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C:\Users\thomat\OneDrive - Airflux\General\devis BE\"/>
    </mc:Choice>
  </mc:AlternateContent>
  <xr:revisionPtr revIDLastSave="0" documentId="13_ncr:1_{D3363FE8-50FB-4C02-932F-D45E66CD20C2}" xr6:coauthVersionLast="47" xr6:coauthVersionMax="47" xr10:uidLastSave="{00000000-0000-0000-0000-000000000000}"/>
  <bookViews>
    <workbookView xWindow="-120" yWindow="-120" windowWidth="29040" windowHeight="15840" tabRatio="752" activeTab="3" xr2:uid="{00000000-000D-0000-FFFF-FFFF00000000}"/>
  </bookViews>
  <sheets>
    <sheet name="Devis Détaillé" sheetId="40" r:id="rId1"/>
    <sheet name="TCD Heure" sheetId="41" state="hidden" r:id="rId2"/>
    <sheet name="TCD MO" sheetId="42" state="hidden" r:id="rId3"/>
    <sheet name="Général" sheetId="25" r:id="rId4"/>
    <sheet name="Autre Familles" sheetId="49" r:id="rId5"/>
    <sheet name="Ajout de Liste" sheetId="50" r:id="rId6"/>
    <sheet name="Travail en cours" sheetId="51" r:id="rId7"/>
    <sheet name="Equivalence" sheetId="44" r:id="rId8"/>
    <sheet name="ChangeLog" sheetId="30" r:id="rId9"/>
  </sheets>
  <definedNames>
    <definedName name="_xlnm._FilterDatabase" localSheetId="3" hidden="1">Général!$A$2:$AB$3667</definedName>
  </definedNames>
  <calcPr calcId="191029"/>
  <pivotCaches>
    <pivotCache cacheId="3"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5" l="1"/>
  <c r="J4"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J249" i="25"/>
  <c r="J250" i="25"/>
  <c r="J251" i="25"/>
  <c r="J252" i="25"/>
  <c r="J253" i="25"/>
  <c r="J254" i="25"/>
  <c r="J255" i="25"/>
  <c r="J256" i="25"/>
  <c r="J257" i="25"/>
  <c r="J258" i="25"/>
  <c r="J259" i="25"/>
  <c r="J260" i="25"/>
  <c r="J261" i="25"/>
  <c r="J262" i="25"/>
  <c r="J263" i="25"/>
  <c r="J264" i="25"/>
  <c r="J265" i="25"/>
  <c r="J266" i="25"/>
  <c r="J267" i="25"/>
  <c r="J268" i="25"/>
  <c r="J269" i="25"/>
  <c r="J270" i="25"/>
  <c r="J271" i="25"/>
  <c r="J272" i="25"/>
  <c r="J273" i="25"/>
  <c r="J274" i="25"/>
  <c r="J275" i="25"/>
  <c r="J276" i="25"/>
  <c r="J277" i="25"/>
  <c r="J278" i="25"/>
  <c r="J279" i="25"/>
  <c r="J280" i="25"/>
  <c r="J281" i="25"/>
  <c r="J282" i="25"/>
  <c r="J283" i="25"/>
  <c r="J284" i="25"/>
  <c r="J285" i="25"/>
  <c r="J286" i="25"/>
  <c r="J287" i="25"/>
  <c r="J288" i="25"/>
  <c r="J289" i="25"/>
  <c r="J290" i="25"/>
  <c r="J291" i="25"/>
  <c r="J292" i="25"/>
  <c r="J293" i="25"/>
  <c r="J294" i="25"/>
  <c r="J295" i="25"/>
  <c r="J296" i="25"/>
  <c r="J297" i="25"/>
  <c r="J298" i="25"/>
  <c r="J299" i="25"/>
  <c r="J300" i="25"/>
  <c r="J301" i="25"/>
  <c r="J302" i="25"/>
  <c r="J303" i="25"/>
  <c r="J304" i="25"/>
  <c r="J305" i="25"/>
  <c r="J306" i="25"/>
  <c r="J307" i="25"/>
  <c r="J308" i="25"/>
  <c r="J309" i="25"/>
  <c r="J310" i="25"/>
  <c r="J311" i="25"/>
  <c r="J312" i="25"/>
  <c r="J313" i="25"/>
  <c r="J314" i="25"/>
  <c r="J315" i="25"/>
  <c r="J316" i="25"/>
  <c r="J317" i="25"/>
  <c r="J318" i="25"/>
  <c r="J319" i="25"/>
  <c r="J320" i="25"/>
  <c r="J321" i="25"/>
  <c r="J322" i="25"/>
  <c r="J323" i="25"/>
  <c r="J324" i="25"/>
  <c r="J325" i="25"/>
  <c r="J326" i="25"/>
  <c r="J327" i="25"/>
  <c r="J328" i="25"/>
  <c r="J329" i="25"/>
  <c r="J330" i="25"/>
  <c r="J331" i="25"/>
  <c r="J332" i="25"/>
  <c r="J333" i="25"/>
  <c r="J334" i="25"/>
  <c r="J335" i="25"/>
  <c r="J336" i="25"/>
  <c r="J337" i="25"/>
  <c r="J338" i="25"/>
  <c r="J339" i="25"/>
  <c r="J340" i="25"/>
  <c r="J341" i="25"/>
  <c r="J342" i="25"/>
  <c r="J343" i="25"/>
  <c r="J344" i="25"/>
  <c r="J345" i="25"/>
  <c r="J346" i="25"/>
  <c r="J347" i="25"/>
  <c r="J348" i="25"/>
  <c r="J349" i="25"/>
  <c r="J350" i="25"/>
  <c r="J351" i="25"/>
  <c r="J352" i="25"/>
  <c r="J353" i="25"/>
  <c r="J354" i="25"/>
  <c r="J355" i="25"/>
  <c r="J356" i="25"/>
  <c r="J357" i="25"/>
  <c r="J358" i="25"/>
  <c r="J359" i="25"/>
  <c r="J360" i="25"/>
  <c r="J361" i="25"/>
  <c r="J362" i="25"/>
  <c r="J363" i="25"/>
  <c r="J364" i="25"/>
  <c r="J365" i="25"/>
  <c r="J366" i="25"/>
  <c r="J367" i="25"/>
  <c r="J368" i="25"/>
  <c r="J369" i="25"/>
  <c r="J370" i="25"/>
  <c r="J371" i="25"/>
  <c r="J372" i="25"/>
  <c r="J373" i="25"/>
  <c r="J374" i="25"/>
  <c r="J375" i="25"/>
  <c r="J376" i="25"/>
  <c r="J377" i="25"/>
  <c r="J378" i="25"/>
  <c r="J379" i="25"/>
  <c r="J380" i="25"/>
  <c r="J381" i="25"/>
  <c r="J382" i="25"/>
  <c r="J383" i="25"/>
  <c r="J384" i="25"/>
  <c r="J385" i="25"/>
  <c r="J386" i="25"/>
  <c r="J387" i="25"/>
  <c r="J388" i="25"/>
  <c r="J389" i="25"/>
  <c r="J390" i="25"/>
  <c r="J391" i="25"/>
  <c r="J392" i="25"/>
  <c r="J393" i="25"/>
  <c r="J394" i="25"/>
  <c r="J395" i="25"/>
  <c r="J396" i="25"/>
  <c r="J397" i="25"/>
  <c r="J398" i="25"/>
  <c r="J399" i="25"/>
  <c r="J400" i="25"/>
  <c r="J401" i="25"/>
  <c r="J402" i="25"/>
  <c r="J403" i="25"/>
  <c r="J404" i="25"/>
  <c r="J405" i="25"/>
  <c r="J406" i="25"/>
  <c r="J407" i="25"/>
  <c r="J408" i="25"/>
  <c r="J409" i="25"/>
  <c r="J410" i="25"/>
  <c r="J411" i="25"/>
  <c r="J412" i="25"/>
  <c r="J413" i="25"/>
  <c r="J414" i="25"/>
  <c r="J415" i="25"/>
  <c r="J416" i="25"/>
  <c r="J417" i="25"/>
  <c r="J418" i="25"/>
  <c r="J419" i="25"/>
  <c r="J420" i="25"/>
  <c r="J421" i="25"/>
  <c r="J422" i="25"/>
  <c r="J423" i="25"/>
  <c r="J424" i="25"/>
  <c r="J425" i="25"/>
  <c r="J426" i="25"/>
  <c r="J427" i="25"/>
  <c r="J428" i="25"/>
  <c r="J429" i="25"/>
  <c r="J430" i="25"/>
  <c r="J431" i="25"/>
  <c r="J432" i="25"/>
  <c r="J433" i="25"/>
  <c r="J434" i="25"/>
  <c r="J435" i="25"/>
  <c r="J436" i="25"/>
  <c r="J437" i="25"/>
  <c r="J438" i="25"/>
  <c r="J439" i="25"/>
  <c r="J440" i="25"/>
  <c r="J441" i="25"/>
  <c r="J442" i="25"/>
  <c r="J443" i="25"/>
  <c r="J444" i="25"/>
  <c r="J445" i="25"/>
  <c r="J446" i="25"/>
  <c r="J447" i="25"/>
  <c r="J448" i="25"/>
  <c r="J449" i="25"/>
  <c r="J450" i="25"/>
  <c r="J451" i="25"/>
  <c r="J452" i="25"/>
  <c r="J453" i="25"/>
  <c r="J454" i="25"/>
  <c r="J455" i="25"/>
  <c r="J456" i="25"/>
  <c r="J457" i="25"/>
  <c r="J458" i="25"/>
  <c r="J459" i="25"/>
  <c r="J460" i="25"/>
  <c r="J461" i="25"/>
  <c r="J462" i="25"/>
  <c r="J463" i="25"/>
  <c r="J464" i="25"/>
  <c r="J465" i="25"/>
  <c r="J466" i="25"/>
  <c r="J467" i="25"/>
  <c r="J468" i="25"/>
  <c r="J469" i="25"/>
  <c r="J470" i="25"/>
  <c r="J471" i="25"/>
  <c r="J472" i="25"/>
  <c r="J473" i="25"/>
  <c r="J474" i="25"/>
  <c r="J475" i="25"/>
  <c r="J476" i="25"/>
  <c r="J477" i="25"/>
  <c r="J478" i="25"/>
  <c r="J479" i="25"/>
  <c r="J480" i="25"/>
  <c r="J481" i="25"/>
  <c r="J482" i="25"/>
  <c r="J483" i="25"/>
  <c r="J484" i="25"/>
  <c r="J485" i="25"/>
  <c r="J486" i="25"/>
  <c r="J487" i="25"/>
  <c r="J488" i="25"/>
  <c r="J489" i="25"/>
  <c r="J490" i="25"/>
  <c r="J491" i="25"/>
  <c r="J492" i="25"/>
  <c r="J493" i="25"/>
  <c r="J494" i="25"/>
  <c r="J495" i="25"/>
  <c r="J496" i="25"/>
  <c r="J497" i="25"/>
  <c r="J498" i="25"/>
  <c r="J499" i="25"/>
  <c r="J500" i="25"/>
  <c r="J501" i="25"/>
  <c r="J502" i="25"/>
  <c r="J503" i="25"/>
  <c r="J504" i="25"/>
  <c r="J505" i="25"/>
  <c r="J506" i="25"/>
  <c r="J507" i="25"/>
  <c r="J508" i="25"/>
  <c r="J509" i="25"/>
  <c r="J510" i="25"/>
  <c r="J511" i="25"/>
  <c r="J512" i="25"/>
  <c r="J513" i="25"/>
  <c r="J514" i="25"/>
  <c r="J515" i="25"/>
  <c r="J516" i="25"/>
  <c r="J517" i="25"/>
  <c r="J518" i="25"/>
  <c r="J519" i="25"/>
  <c r="J520" i="25"/>
  <c r="J521" i="25"/>
  <c r="J522" i="25"/>
  <c r="J523" i="25"/>
  <c r="J524" i="25"/>
  <c r="J525" i="25"/>
  <c r="J526" i="25"/>
  <c r="J527" i="25"/>
  <c r="J528" i="25"/>
  <c r="J529" i="25"/>
  <c r="J530" i="25"/>
  <c r="J531" i="25"/>
  <c r="J532" i="25"/>
  <c r="J533" i="25"/>
  <c r="J534" i="25"/>
  <c r="J535" i="25"/>
  <c r="J536" i="25"/>
  <c r="J537" i="25"/>
  <c r="J538" i="25"/>
  <c r="J539" i="25"/>
  <c r="J540" i="25"/>
  <c r="J541" i="25"/>
  <c r="J542" i="25"/>
  <c r="J543" i="25"/>
  <c r="J544" i="25"/>
  <c r="J545" i="25"/>
  <c r="J546" i="25"/>
  <c r="J547" i="25"/>
  <c r="J548" i="25"/>
  <c r="J549" i="25"/>
  <c r="J550" i="25"/>
  <c r="J551" i="25"/>
  <c r="J552" i="25"/>
  <c r="J553" i="25"/>
  <c r="J554" i="25"/>
  <c r="J555" i="25"/>
  <c r="J556" i="25"/>
  <c r="J557" i="25"/>
  <c r="J558" i="25"/>
  <c r="J559" i="25"/>
  <c r="J560" i="25"/>
  <c r="J561" i="25"/>
  <c r="J562" i="25"/>
  <c r="J563" i="25"/>
  <c r="J564" i="25"/>
  <c r="J565" i="25"/>
  <c r="J566" i="25"/>
  <c r="J567" i="25"/>
  <c r="J568" i="25"/>
  <c r="J569" i="25"/>
  <c r="J570" i="25"/>
  <c r="J571" i="25"/>
  <c r="J572" i="25"/>
  <c r="J573" i="25"/>
  <c r="J574" i="25"/>
  <c r="J575" i="25"/>
  <c r="J576" i="25"/>
  <c r="J577" i="25"/>
  <c r="J578" i="25"/>
  <c r="J579" i="25"/>
  <c r="J580" i="25"/>
  <c r="J581" i="25"/>
  <c r="J582" i="25"/>
  <c r="J583" i="25"/>
  <c r="J584" i="25"/>
  <c r="J585" i="25"/>
  <c r="J586" i="25"/>
  <c r="J587" i="25"/>
  <c r="J588" i="25"/>
  <c r="J589" i="25"/>
  <c r="J590" i="25"/>
  <c r="J591" i="25"/>
  <c r="J592" i="25"/>
  <c r="J593" i="25"/>
  <c r="J594" i="25"/>
  <c r="J595" i="25"/>
  <c r="J596" i="25"/>
  <c r="J597" i="25"/>
  <c r="J598" i="25"/>
  <c r="J599" i="25"/>
  <c r="J600" i="25"/>
  <c r="J601" i="25"/>
  <c r="J602" i="25"/>
  <c r="J603" i="25"/>
  <c r="J604" i="25"/>
  <c r="J605" i="25"/>
  <c r="J606" i="25"/>
  <c r="J607" i="25"/>
  <c r="J608" i="25"/>
  <c r="J609" i="25"/>
  <c r="J610" i="25"/>
  <c r="J611" i="25"/>
  <c r="J612" i="25"/>
  <c r="J613" i="25"/>
  <c r="J614" i="25"/>
  <c r="J615" i="25"/>
  <c r="J616" i="25"/>
  <c r="J617" i="25"/>
  <c r="J618" i="25"/>
  <c r="J619" i="25"/>
  <c r="J620" i="25"/>
  <c r="J621" i="25"/>
  <c r="J622" i="25"/>
  <c r="J623" i="25"/>
  <c r="J624" i="25"/>
  <c r="J625" i="25"/>
  <c r="J626" i="25"/>
  <c r="J627" i="25"/>
  <c r="J628" i="25"/>
  <c r="J629" i="25"/>
  <c r="J630" i="25"/>
  <c r="J631" i="25"/>
  <c r="J632" i="25"/>
  <c r="J633" i="25"/>
  <c r="J634" i="25"/>
  <c r="J635" i="25"/>
  <c r="J636" i="25"/>
  <c r="J637" i="25"/>
  <c r="J638" i="25"/>
  <c r="J639" i="25"/>
  <c r="J640" i="25"/>
  <c r="J641" i="25"/>
  <c r="J642" i="25"/>
  <c r="J643" i="25"/>
  <c r="J644" i="25"/>
  <c r="J645" i="25"/>
  <c r="J646" i="25"/>
  <c r="J647" i="25"/>
  <c r="J648" i="25"/>
  <c r="J649" i="25"/>
  <c r="J650" i="25"/>
  <c r="J651" i="25"/>
  <c r="J652" i="25"/>
  <c r="J653" i="25"/>
  <c r="J654" i="25"/>
  <c r="J655" i="25"/>
  <c r="J656" i="25"/>
  <c r="J657" i="25"/>
  <c r="J658" i="25"/>
  <c r="J659" i="25"/>
  <c r="J660" i="25"/>
  <c r="J661" i="25"/>
  <c r="J662" i="25"/>
  <c r="J663" i="25"/>
  <c r="J664" i="25"/>
  <c r="J665" i="25"/>
  <c r="J666" i="25"/>
  <c r="J667" i="25"/>
  <c r="J668" i="25"/>
  <c r="J669" i="25"/>
  <c r="J670" i="25"/>
  <c r="J671" i="25"/>
  <c r="J672" i="25"/>
  <c r="J673" i="25"/>
  <c r="J674" i="25"/>
  <c r="J675" i="25"/>
  <c r="J676" i="25"/>
  <c r="J677" i="25"/>
  <c r="J678" i="25"/>
  <c r="J679" i="25"/>
  <c r="J680" i="25"/>
  <c r="J681" i="25"/>
  <c r="J682" i="25"/>
  <c r="J683" i="25"/>
  <c r="J684" i="25"/>
  <c r="J685" i="25"/>
  <c r="J686" i="25"/>
  <c r="J687" i="25"/>
  <c r="J688" i="25"/>
  <c r="J689" i="25"/>
  <c r="J690" i="25"/>
  <c r="J691" i="25"/>
  <c r="J692" i="25"/>
  <c r="J693" i="25"/>
  <c r="J694" i="25"/>
  <c r="J695" i="25"/>
  <c r="J696" i="25"/>
  <c r="J697" i="25"/>
  <c r="J698" i="25"/>
  <c r="J699" i="25"/>
  <c r="J700" i="25"/>
  <c r="J701" i="25"/>
  <c r="J702" i="25"/>
  <c r="J703" i="25"/>
  <c r="J704" i="25"/>
  <c r="J705" i="25"/>
  <c r="J706" i="25"/>
  <c r="J707" i="25"/>
  <c r="J708" i="25"/>
  <c r="J709" i="25"/>
  <c r="J710" i="25"/>
  <c r="J711" i="25"/>
  <c r="J712" i="25"/>
  <c r="J713" i="25"/>
  <c r="J714" i="25"/>
  <c r="J715" i="25"/>
  <c r="J716" i="25"/>
  <c r="J717" i="25"/>
  <c r="J718" i="25"/>
  <c r="J719" i="25"/>
  <c r="J720" i="25"/>
  <c r="J721" i="25"/>
  <c r="J722" i="25"/>
  <c r="J723" i="25"/>
  <c r="J724" i="25"/>
  <c r="J725" i="25"/>
  <c r="J726" i="25"/>
  <c r="J727" i="25"/>
  <c r="J728" i="25"/>
  <c r="J729" i="25"/>
  <c r="J730" i="25"/>
  <c r="J731" i="25"/>
  <c r="J732" i="25"/>
  <c r="J733" i="25"/>
  <c r="J734" i="25"/>
  <c r="J735" i="25"/>
  <c r="J736" i="25"/>
  <c r="J737" i="25"/>
  <c r="J738" i="25"/>
  <c r="J739" i="25"/>
  <c r="J740" i="25"/>
  <c r="J741" i="25"/>
  <c r="J742" i="25"/>
  <c r="J743" i="25"/>
  <c r="J744" i="25"/>
  <c r="J745" i="25"/>
  <c r="J746" i="25"/>
  <c r="J747" i="25"/>
  <c r="J748" i="25"/>
  <c r="J749" i="25"/>
  <c r="J750" i="25"/>
  <c r="J751" i="25"/>
  <c r="J752" i="25"/>
  <c r="J753" i="25"/>
  <c r="J754" i="25"/>
  <c r="J755" i="25"/>
  <c r="J756" i="25"/>
  <c r="J757" i="25"/>
  <c r="J758" i="25"/>
  <c r="J759" i="25"/>
  <c r="J760" i="25"/>
  <c r="J761" i="25"/>
  <c r="J762" i="25"/>
  <c r="J763" i="25"/>
  <c r="J764" i="25"/>
  <c r="J765" i="25"/>
  <c r="J766" i="25"/>
  <c r="J767" i="25"/>
  <c r="J768" i="25"/>
  <c r="J769" i="25"/>
  <c r="J770" i="25"/>
  <c r="J771" i="25"/>
  <c r="J772" i="25"/>
  <c r="J773" i="25"/>
  <c r="J774" i="25"/>
  <c r="J775" i="25"/>
  <c r="J776" i="25"/>
  <c r="J777" i="25"/>
  <c r="J778" i="25"/>
  <c r="J779" i="25"/>
  <c r="J780" i="25"/>
  <c r="J781" i="25"/>
  <c r="J782" i="25"/>
  <c r="J783" i="25"/>
  <c r="J784" i="25"/>
  <c r="J785" i="25"/>
  <c r="J786" i="25"/>
  <c r="J787" i="25"/>
  <c r="J788" i="25"/>
  <c r="J789" i="25"/>
  <c r="J790" i="25"/>
  <c r="J791" i="25"/>
  <c r="J792" i="25"/>
  <c r="J793" i="25"/>
  <c r="J794" i="25"/>
  <c r="J795" i="25"/>
  <c r="J796" i="25"/>
  <c r="J797" i="25"/>
  <c r="J798" i="25"/>
  <c r="J799" i="25"/>
  <c r="J800" i="25"/>
  <c r="J801" i="25"/>
  <c r="J802" i="25"/>
  <c r="J803" i="25"/>
  <c r="J804" i="25"/>
  <c r="J805" i="25"/>
  <c r="J806" i="25"/>
  <c r="J807" i="25"/>
  <c r="J808" i="25"/>
  <c r="J809" i="25"/>
  <c r="J810" i="25"/>
  <c r="J811" i="25"/>
  <c r="J812" i="25"/>
  <c r="J813" i="25"/>
  <c r="J814" i="25"/>
  <c r="J815" i="25"/>
  <c r="J816" i="25"/>
  <c r="J817" i="25"/>
  <c r="J818" i="25"/>
  <c r="J819" i="25"/>
  <c r="J820" i="25"/>
  <c r="J821" i="25"/>
  <c r="J822" i="25"/>
  <c r="J823" i="25"/>
  <c r="J824" i="25"/>
  <c r="J825" i="25"/>
  <c r="J826" i="25"/>
  <c r="J827" i="25"/>
  <c r="J828" i="25"/>
  <c r="J829" i="25"/>
  <c r="J830" i="25"/>
  <c r="J831" i="25"/>
  <c r="J832" i="25"/>
  <c r="J833" i="25"/>
  <c r="J834" i="25"/>
  <c r="J835" i="25"/>
  <c r="J836" i="25"/>
  <c r="J837" i="25"/>
  <c r="J838" i="25"/>
  <c r="J839" i="25"/>
  <c r="J840" i="25"/>
  <c r="J841" i="25"/>
  <c r="J842" i="25"/>
  <c r="J843" i="25"/>
  <c r="J844" i="25"/>
  <c r="J845" i="25"/>
  <c r="J846" i="25"/>
  <c r="J847" i="25"/>
  <c r="J848" i="25"/>
  <c r="J849" i="25"/>
  <c r="J850" i="25"/>
  <c r="J851" i="25"/>
  <c r="J852" i="25"/>
  <c r="J853" i="25"/>
  <c r="J854" i="25"/>
  <c r="J855" i="25"/>
  <c r="J856" i="25"/>
  <c r="J857" i="25"/>
  <c r="J858" i="25"/>
  <c r="J859" i="25"/>
  <c r="J860" i="25"/>
  <c r="J861" i="25"/>
  <c r="J862" i="25"/>
  <c r="J863" i="25"/>
  <c r="J864" i="25"/>
  <c r="J865" i="25"/>
  <c r="J866" i="25"/>
  <c r="J867" i="25"/>
  <c r="J868" i="25"/>
  <c r="J869" i="25"/>
  <c r="J870" i="25"/>
  <c r="J871" i="25"/>
  <c r="J872" i="25"/>
  <c r="J873" i="25"/>
  <c r="J874" i="25"/>
  <c r="J875" i="25"/>
  <c r="J876" i="25"/>
  <c r="J877" i="25"/>
  <c r="J878" i="25"/>
  <c r="J879" i="25"/>
  <c r="J880" i="25"/>
  <c r="J881" i="25"/>
  <c r="J882" i="25"/>
  <c r="J883" i="25"/>
  <c r="J884" i="25"/>
  <c r="J885" i="25"/>
  <c r="J886" i="25"/>
  <c r="J887" i="25"/>
  <c r="J888" i="25"/>
  <c r="J889" i="25"/>
  <c r="J890" i="25"/>
  <c r="J891" i="25"/>
  <c r="J892" i="25"/>
  <c r="J893" i="25"/>
  <c r="J894" i="25"/>
  <c r="J895" i="25"/>
  <c r="J896" i="25"/>
  <c r="J897" i="25"/>
  <c r="J898" i="25"/>
  <c r="J899" i="25"/>
  <c r="J900" i="25"/>
  <c r="J901" i="25"/>
  <c r="J902" i="25"/>
  <c r="J903" i="25"/>
  <c r="J904" i="25"/>
  <c r="J905" i="25"/>
  <c r="J906" i="25"/>
  <c r="J907" i="25"/>
  <c r="J908" i="25"/>
  <c r="J909" i="25"/>
  <c r="J910" i="25"/>
  <c r="J911" i="25"/>
  <c r="J912" i="25"/>
  <c r="J913" i="25"/>
  <c r="J914" i="25"/>
  <c r="J915" i="25"/>
  <c r="J916" i="25"/>
  <c r="J917" i="25"/>
  <c r="J918" i="25"/>
  <c r="J919" i="25"/>
  <c r="J920" i="25"/>
  <c r="J921" i="25"/>
  <c r="J922" i="25"/>
  <c r="J923" i="25"/>
  <c r="J924" i="25"/>
  <c r="J925" i="25"/>
  <c r="J926" i="25"/>
  <c r="J927" i="25"/>
  <c r="J928" i="25"/>
  <c r="J929" i="25"/>
  <c r="J930" i="25"/>
  <c r="J931" i="25"/>
  <c r="J932" i="25"/>
  <c r="J933" i="25"/>
  <c r="J934" i="25"/>
  <c r="J935" i="25"/>
  <c r="J936" i="25"/>
  <c r="J937" i="25"/>
  <c r="J938" i="25"/>
  <c r="J939" i="25"/>
  <c r="J940" i="25"/>
  <c r="J941" i="25"/>
  <c r="J942" i="25"/>
  <c r="J943" i="25"/>
  <c r="J944" i="25"/>
  <c r="J945" i="25"/>
  <c r="J946" i="25"/>
  <c r="J947" i="25"/>
  <c r="J948" i="25"/>
  <c r="J949" i="25"/>
  <c r="J950" i="25"/>
  <c r="J951" i="25"/>
  <c r="J952" i="25"/>
  <c r="J953" i="25"/>
  <c r="J954" i="25"/>
  <c r="J955" i="25"/>
  <c r="J956" i="25"/>
  <c r="J957" i="25"/>
  <c r="J958" i="25"/>
  <c r="J959" i="25"/>
  <c r="J960" i="25"/>
  <c r="J961" i="25"/>
  <c r="J962" i="25"/>
  <c r="J963" i="25"/>
  <c r="J964" i="25"/>
  <c r="J965" i="25"/>
  <c r="J966" i="25"/>
  <c r="J967" i="25"/>
  <c r="J968" i="25"/>
  <c r="J969" i="25"/>
  <c r="J970" i="25"/>
  <c r="J971" i="25"/>
  <c r="J972" i="25"/>
  <c r="J973" i="25"/>
  <c r="J974" i="25"/>
  <c r="J975" i="25"/>
  <c r="J976" i="25"/>
  <c r="J977" i="25"/>
  <c r="J978" i="25"/>
  <c r="J979" i="25"/>
  <c r="J980" i="25"/>
  <c r="J981" i="25"/>
  <c r="J982" i="25"/>
  <c r="J983" i="25"/>
  <c r="J984" i="25"/>
  <c r="J985" i="25"/>
  <c r="J986" i="25"/>
  <c r="J987" i="25"/>
  <c r="J988" i="25"/>
  <c r="J989" i="25"/>
  <c r="J990" i="25"/>
  <c r="J991" i="25"/>
  <c r="J992" i="25"/>
  <c r="J993" i="25"/>
  <c r="J994" i="25"/>
  <c r="J995" i="25"/>
  <c r="J996" i="25"/>
  <c r="J997" i="25"/>
  <c r="J998" i="25"/>
  <c r="J999" i="25"/>
  <c r="J1000" i="25"/>
  <c r="J1001" i="25"/>
  <c r="J1002" i="25"/>
  <c r="J1003" i="25"/>
  <c r="J1004" i="25"/>
  <c r="J1005" i="25"/>
  <c r="J1006" i="25"/>
  <c r="J1007" i="25"/>
  <c r="J1008" i="25"/>
  <c r="J1009" i="25"/>
  <c r="J1010" i="25"/>
  <c r="J1011" i="25"/>
  <c r="J1012" i="25"/>
  <c r="J1013" i="25"/>
  <c r="J1014" i="25"/>
  <c r="J1015" i="25"/>
  <c r="J1016" i="25"/>
  <c r="J1017" i="25"/>
  <c r="J1018" i="25"/>
  <c r="J1019" i="25"/>
  <c r="J1020" i="25"/>
  <c r="J1021" i="25"/>
  <c r="J1022" i="25"/>
  <c r="J1023" i="25"/>
  <c r="J1024" i="25"/>
  <c r="J1025" i="25"/>
  <c r="J1026" i="25"/>
  <c r="J1027" i="25"/>
  <c r="J1028" i="25"/>
  <c r="J1029" i="25"/>
  <c r="J1030" i="25"/>
  <c r="J1031" i="25"/>
  <c r="J1032" i="25"/>
  <c r="J1033" i="25"/>
  <c r="J1034" i="25"/>
  <c r="J1035" i="25"/>
  <c r="J1036" i="25"/>
  <c r="J1037" i="25"/>
  <c r="J1038" i="25"/>
  <c r="J1039" i="25"/>
  <c r="J1040" i="25"/>
  <c r="J1041" i="25"/>
  <c r="J1042" i="25"/>
  <c r="J1043" i="25"/>
  <c r="J1044" i="25"/>
  <c r="J1045" i="25"/>
  <c r="J1046" i="25"/>
  <c r="J1047" i="25"/>
  <c r="J1048" i="25"/>
  <c r="J1049" i="25"/>
  <c r="J1050" i="25"/>
  <c r="J1051" i="25"/>
  <c r="J1052" i="25"/>
  <c r="J1053" i="25"/>
  <c r="J1054" i="25"/>
  <c r="J1055" i="25"/>
  <c r="J1056" i="25"/>
  <c r="J1057" i="25"/>
  <c r="J1058" i="25"/>
  <c r="J1059" i="25"/>
  <c r="J1060" i="25"/>
  <c r="J1061" i="25"/>
  <c r="J1062" i="25"/>
  <c r="J1063" i="25"/>
  <c r="J1064" i="25"/>
  <c r="J1065" i="25"/>
  <c r="J1066" i="25"/>
  <c r="J1067" i="25"/>
  <c r="J1068" i="25"/>
  <c r="J1069" i="25"/>
  <c r="J107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J1101" i="25"/>
  <c r="J1102" i="25"/>
  <c r="J1103" i="25"/>
  <c r="J1104" i="25"/>
  <c r="J1105" i="25"/>
  <c r="J1106" i="25"/>
  <c r="J1107" i="25"/>
  <c r="J1108" i="25"/>
  <c r="J1109" i="25"/>
  <c r="J1110" i="25"/>
  <c r="J1111" i="25"/>
  <c r="J1112" i="25"/>
  <c r="J1113" i="25"/>
  <c r="J1114" i="25"/>
  <c r="J1115" i="25"/>
  <c r="J1116" i="25"/>
  <c r="J1117" i="25"/>
  <c r="J1118" i="25"/>
  <c r="J1119" i="25"/>
  <c r="J1120" i="25"/>
  <c r="J1121" i="25"/>
  <c r="J1122" i="25"/>
  <c r="J1123" i="25"/>
  <c r="J1124" i="25"/>
  <c r="J1125" i="25"/>
  <c r="J1126" i="25"/>
  <c r="J1127" i="25"/>
  <c r="J1128" i="25"/>
  <c r="J1129" i="25"/>
  <c r="J1130" i="25"/>
  <c r="J1131" i="25"/>
  <c r="J1132" i="25"/>
  <c r="J1133" i="25"/>
  <c r="J1134" i="25"/>
  <c r="J1135" i="25"/>
  <c r="J1136" i="25"/>
  <c r="J1137" i="25"/>
  <c r="J1138" i="25"/>
  <c r="J1139" i="25"/>
  <c r="J1140" i="25"/>
  <c r="J1141" i="25"/>
  <c r="J1142" i="25"/>
  <c r="J1143" i="25"/>
  <c r="J1144" i="25"/>
  <c r="J1145" i="25"/>
  <c r="J1146" i="25"/>
  <c r="J1147" i="25"/>
  <c r="J1148" i="25"/>
  <c r="J1149" i="25"/>
  <c r="J1150" i="25"/>
  <c r="J1151" i="25"/>
  <c r="J1152" i="25"/>
  <c r="J1153" i="25"/>
  <c r="J1154" i="25"/>
  <c r="J1155" i="25"/>
  <c r="J1156" i="25"/>
  <c r="J1157" i="25"/>
  <c r="J1158" i="25"/>
  <c r="J1159" i="25"/>
  <c r="J1160" i="25"/>
  <c r="J1161" i="25"/>
  <c r="J1162" i="25"/>
  <c r="J1163" i="25"/>
  <c r="J1164" i="25"/>
  <c r="J1165" i="25"/>
  <c r="J1166" i="25"/>
  <c r="J1167" i="25"/>
  <c r="J1168" i="25"/>
  <c r="J1169" i="25"/>
  <c r="J1170" i="25"/>
  <c r="J1171" i="25"/>
  <c r="J1172" i="25"/>
  <c r="J1173" i="25"/>
  <c r="J1174" i="25"/>
  <c r="J1175" i="25"/>
  <c r="J1176" i="25"/>
  <c r="J1177" i="25"/>
  <c r="J1178" i="25"/>
  <c r="J1179" i="25"/>
  <c r="J1180" i="25"/>
  <c r="J1181" i="25"/>
  <c r="J1182" i="25"/>
  <c r="J1183" i="25"/>
  <c r="J1184" i="25"/>
  <c r="J1185" i="25"/>
  <c r="J1186" i="25"/>
  <c r="J1187" i="25"/>
  <c r="J1188" i="25"/>
  <c r="J1189" i="25"/>
  <c r="J1190" i="25"/>
  <c r="J1191" i="25"/>
  <c r="J1192" i="25"/>
  <c r="J1193" i="25"/>
  <c r="J1194" i="25"/>
  <c r="J1195" i="25"/>
  <c r="J1196" i="25"/>
  <c r="J1197" i="25"/>
  <c r="J1198" i="25"/>
  <c r="J1199" i="25"/>
  <c r="J1200" i="25"/>
  <c r="J1201" i="25"/>
  <c r="J1202" i="25"/>
  <c r="J1203" i="25"/>
  <c r="J1204" i="25"/>
  <c r="J1205" i="25"/>
  <c r="J1206" i="25"/>
  <c r="J1207" i="25"/>
  <c r="J1208" i="25"/>
  <c r="J1209" i="25"/>
  <c r="J1210" i="25"/>
  <c r="J1211" i="25"/>
  <c r="J1212" i="25"/>
  <c r="J1213" i="25"/>
  <c r="J1214" i="25"/>
  <c r="J1215" i="25"/>
  <c r="J1216" i="25"/>
  <c r="J1217" i="25"/>
  <c r="J1218" i="25"/>
  <c r="J1219" i="25"/>
  <c r="J1220" i="25"/>
  <c r="J1221" i="25"/>
  <c r="J1222" i="25"/>
  <c r="J1223" i="25"/>
  <c r="J1224" i="25"/>
  <c r="J1225" i="25"/>
  <c r="J1226" i="25"/>
  <c r="J1227" i="25"/>
  <c r="J1228" i="25"/>
  <c r="J1229" i="25"/>
  <c r="J1230" i="25"/>
  <c r="J1231" i="25"/>
  <c r="J1232" i="25"/>
  <c r="J1233" i="25"/>
  <c r="J1234" i="25"/>
  <c r="J1235" i="25"/>
  <c r="J1236" i="25"/>
  <c r="J1237" i="25"/>
  <c r="J1238" i="25"/>
  <c r="J1239" i="25"/>
  <c r="J1240" i="25"/>
  <c r="J1241" i="25"/>
  <c r="J1242" i="25"/>
  <c r="J1243" i="25"/>
  <c r="J1244" i="25"/>
  <c r="J1245" i="25"/>
  <c r="J1246" i="25"/>
  <c r="J1247" i="25"/>
  <c r="J1248" i="25"/>
  <c r="J1249" i="25"/>
  <c r="J1250" i="25"/>
  <c r="J1251" i="25"/>
  <c r="J1252" i="25"/>
  <c r="J1253" i="25"/>
  <c r="J1254" i="25"/>
  <c r="J1255" i="25"/>
  <c r="J1256" i="25"/>
  <c r="J1257" i="25"/>
  <c r="J1258" i="25"/>
  <c r="J1259" i="25"/>
  <c r="J1260" i="25"/>
  <c r="J1261" i="25"/>
  <c r="J1262" i="25"/>
  <c r="J1263" i="25"/>
  <c r="J1264" i="25"/>
  <c r="J1265" i="25"/>
  <c r="J1266" i="25"/>
  <c r="J1267" i="25"/>
  <c r="J1268" i="25"/>
  <c r="J1269" i="25"/>
  <c r="J1270" i="25"/>
  <c r="J1271" i="25"/>
  <c r="J1272" i="25"/>
  <c r="J1273" i="25"/>
  <c r="J1274" i="25"/>
  <c r="J1275" i="25"/>
  <c r="J1276" i="25"/>
  <c r="J1277" i="25"/>
  <c r="J1278" i="25"/>
  <c r="J1279" i="25"/>
  <c r="J1280" i="25"/>
  <c r="J1281" i="25"/>
  <c r="J1282" i="25"/>
  <c r="J1283" i="25"/>
  <c r="J1284" i="25"/>
  <c r="J1285" i="25"/>
  <c r="J1286" i="25"/>
  <c r="J1287" i="25"/>
  <c r="J1288" i="25"/>
  <c r="J1289" i="25"/>
  <c r="J1290" i="25"/>
  <c r="J1291" i="25"/>
  <c r="J1292" i="25"/>
  <c r="J1293" i="25"/>
  <c r="J1294" i="25"/>
  <c r="J1295" i="25"/>
  <c r="J1296" i="25"/>
  <c r="J1297" i="25"/>
  <c r="J1298" i="25"/>
  <c r="J1299" i="25"/>
  <c r="J1300" i="25"/>
  <c r="J1301" i="25"/>
  <c r="J1302" i="25"/>
  <c r="J1303" i="25"/>
  <c r="J1304" i="25"/>
  <c r="J1305" i="25"/>
  <c r="J1306" i="25"/>
  <c r="J1307" i="25"/>
  <c r="J1308" i="25"/>
  <c r="J1309" i="25"/>
  <c r="J1310" i="25"/>
  <c r="J1311" i="25"/>
  <c r="J1312" i="25"/>
  <c r="J1313" i="25"/>
  <c r="J1314" i="25"/>
  <c r="J1315" i="25"/>
  <c r="J1316" i="25"/>
  <c r="J1317" i="25"/>
  <c r="J1318" i="25"/>
  <c r="J1319" i="25"/>
  <c r="J1320" i="25"/>
  <c r="J1321" i="25"/>
  <c r="J1322" i="25"/>
  <c r="J1323" i="25"/>
  <c r="J1324" i="25"/>
  <c r="J1325" i="25"/>
  <c r="J1326" i="25"/>
  <c r="J1327" i="25"/>
  <c r="J1328" i="25"/>
  <c r="J1329" i="25"/>
  <c r="J1330" i="25"/>
  <c r="J1331" i="25"/>
  <c r="J1332" i="25"/>
  <c r="J1333" i="25"/>
  <c r="J1334" i="25"/>
  <c r="J1335" i="25"/>
  <c r="J1336" i="25"/>
  <c r="J1337" i="25"/>
  <c r="J1338" i="25"/>
  <c r="J1339" i="25"/>
  <c r="J1340" i="25"/>
  <c r="J1341" i="25"/>
  <c r="J1342" i="25"/>
  <c r="J1343" i="25"/>
  <c r="J1344" i="25"/>
  <c r="J1345" i="25"/>
  <c r="J1346" i="25"/>
  <c r="J1347" i="25"/>
  <c r="J1348" i="25"/>
  <c r="J1349" i="25"/>
  <c r="J1350" i="25"/>
  <c r="J1351" i="25"/>
  <c r="J1352" i="25"/>
  <c r="J1353" i="25"/>
  <c r="J1354" i="25"/>
  <c r="J1355" i="25"/>
  <c r="J1356" i="25"/>
  <c r="J1357" i="25"/>
  <c r="J1358" i="25"/>
  <c r="J1359" i="25"/>
  <c r="J1360" i="25"/>
  <c r="J1361" i="25"/>
  <c r="J1362" i="25"/>
  <c r="J1363" i="25"/>
  <c r="J1364" i="25"/>
  <c r="J1365" i="25"/>
  <c r="J1366" i="25"/>
  <c r="J1367" i="25"/>
  <c r="J1368" i="25"/>
  <c r="J1369" i="25"/>
  <c r="J1370" i="25"/>
  <c r="J1371" i="25"/>
  <c r="J1372" i="25"/>
  <c r="J1373" i="25"/>
  <c r="J1374" i="25"/>
  <c r="J1375" i="25"/>
  <c r="J1376" i="25"/>
  <c r="J1377" i="25"/>
  <c r="J1378" i="25"/>
  <c r="J1379" i="25"/>
  <c r="J1380" i="25"/>
  <c r="J1381" i="25"/>
  <c r="J1382" i="25"/>
  <c r="J1383" i="25"/>
  <c r="J1384" i="25"/>
  <c r="J1385" i="25"/>
  <c r="J1386" i="25"/>
  <c r="J1387" i="25"/>
  <c r="J1388" i="25"/>
  <c r="J1389" i="25"/>
  <c r="J1390" i="25"/>
  <c r="J1391" i="25"/>
  <c r="J1392" i="25"/>
  <c r="J1393" i="25"/>
  <c r="J1394" i="25"/>
  <c r="J1395" i="25"/>
  <c r="J1396" i="25"/>
  <c r="J1397" i="25"/>
  <c r="J1398" i="25"/>
  <c r="J1399" i="25"/>
  <c r="J1400" i="25"/>
  <c r="J1401" i="25"/>
  <c r="J1402" i="25"/>
  <c r="J1403" i="25"/>
  <c r="J1404" i="25"/>
  <c r="J1405" i="25"/>
  <c r="J1406" i="25"/>
  <c r="J1407" i="25"/>
  <c r="J1408" i="25"/>
  <c r="J1409" i="25"/>
  <c r="J1410" i="25"/>
  <c r="J1411" i="25"/>
  <c r="J1412" i="25"/>
  <c r="J1413" i="25"/>
  <c r="J1414" i="25"/>
  <c r="J1415" i="25"/>
  <c r="J1416" i="25"/>
  <c r="J1417" i="25"/>
  <c r="J1418" i="25"/>
  <c r="J1419" i="25"/>
  <c r="J1420" i="25"/>
  <c r="J1421" i="25"/>
  <c r="J1422" i="25"/>
  <c r="J1423" i="25"/>
  <c r="J1424" i="25"/>
  <c r="J1425" i="25"/>
  <c r="J1426" i="25"/>
  <c r="J1427" i="25"/>
  <c r="J1428" i="25"/>
  <c r="J1429" i="25"/>
  <c r="J1430" i="25"/>
  <c r="J1431" i="25"/>
  <c r="J1432" i="25"/>
  <c r="J1433" i="25"/>
  <c r="J1434" i="25"/>
  <c r="J1435" i="25"/>
  <c r="J1436" i="25"/>
  <c r="J1437" i="25"/>
  <c r="J1438" i="25"/>
  <c r="J1439" i="25"/>
  <c r="J1440" i="25"/>
  <c r="J1441" i="25"/>
  <c r="J1442" i="25"/>
  <c r="J1443" i="25"/>
  <c r="J1444" i="25"/>
  <c r="J1445" i="25"/>
  <c r="J1446" i="25"/>
  <c r="J1447" i="25"/>
  <c r="J1448" i="25"/>
  <c r="J1449" i="25"/>
  <c r="J1450" i="25"/>
  <c r="J1451" i="25"/>
  <c r="J1452" i="25"/>
  <c r="J1453" i="25"/>
  <c r="J1454" i="25"/>
  <c r="J1455" i="25"/>
  <c r="J1456" i="25"/>
  <c r="J1457" i="25"/>
  <c r="J1458" i="25"/>
  <c r="J1459" i="25"/>
  <c r="J1460" i="25"/>
  <c r="J1461" i="25"/>
  <c r="J1462" i="25"/>
  <c r="J1463" i="25"/>
  <c r="J1464" i="25"/>
  <c r="J1465" i="25"/>
  <c r="J1466" i="25"/>
  <c r="J1467" i="25"/>
  <c r="J1468" i="25"/>
  <c r="J1469" i="25"/>
  <c r="J1470" i="25"/>
  <c r="J1471" i="25"/>
  <c r="J1472" i="25"/>
  <c r="J1473" i="25"/>
  <c r="J1474" i="25"/>
  <c r="J1475" i="25"/>
  <c r="J1476" i="25"/>
  <c r="J1477" i="25"/>
  <c r="J1478" i="25"/>
  <c r="J1479" i="25"/>
  <c r="J1480" i="25"/>
  <c r="J1481" i="25"/>
  <c r="J1482" i="25"/>
  <c r="J1483" i="25"/>
  <c r="J1484" i="25"/>
  <c r="J1485" i="25"/>
  <c r="J1486" i="25"/>
  <c r="J1487" i="25"/>
  <c r="J1488" i="25"/>
  <c r="J1489" i="25"/>
  <c r="J1490" i="25"/>
  <c r="J1491" i="25"/>
  <c r="J1492" i="25"/>
  <c r="J1493" i="25"/>
  <c r="J1494" i="25"/>
  <c r="J1495" i="25"/>
  <c r="J1496" i="25"/>
  <c r="J1497" i="25"/>
  <c r="J1498" i="25"/>
  <c r="J1499" i="25"/>
  <c r="J1500" i="25"/>
  <c r="J1501" i="25"/>
  <c r="J1502" i="25"/>
  <c r="J1503" i="25"/>
  <c r="J1504" i="25"/>
  <c r="J1505" i="25"/>
  <c r="J1506" i="25"/>
  <c r="J1507" i="25"/>
  <c r="J1508" i="25"/>
  <c r="J1509" i="25"/>
  <c r="J1510" i="25"/>
  <c r="J1511" i="25"/>
  <c r="J1512" i="25"/>
  <c r="J1513" i="25"/>
  <c r="J1514" i="25"/>
  <c r="J1515" i="25"/>
  <c r="J1516" i="25"/>
  <c r="J1517" i="25"/>
  <c r="J1518" i="25"/>
  <c r="J1519" i="25"/>
  <c r="J1520" i="25"/>
  <c r="J1521" i="25"/>
  <c r="J1522" i="25"/>
  <c r="J1523" i="25"/>
  <c r="J1524" i="25"/>
  <c r="J1525" i="25"/>
  <c r="J1526" i="25"/>
  <c r="J1527" i="25"/>
  <c r="J1528" i="25"/>
  <c r="J1529" i="25"/>
  <c r="J1530" i="25"/>
  <c r="J1531" i="25"/>
  <c r="J1532" i="25"/>
  <c r="J1533" i="25"/>
  <c r="J1534" i="25"/>
  <c r="J1535" i="25"/>
  <c r="J1536" i="25"/>
  <c r="J1537" i="25"/>
  <c r="J1538" i="25"/>
  <c r="J1539" i="25"/>
  <c r="J1540" i="25"/>
  <c r="J1541" i="25"/>
  <c r="J1542" i="25"/>
  <c r="J1543" i="25"/>
  <c r="J1544" i="25"/>
  <c r="J1545" i="25"/>
  <c r="J1546" i="25"/>
  <c r="J1547" i="25"/>
  <c r="J1548" i="25"/>
  <c r="J1549" i="25"/>
  <c r="J1550" i="25"/>
  <c r="J1551" i="25"/>
  <c r="J1552" i="25"/>
  <c r="J1553" i="25"/>
  <c r="J1554" i="25"/>
  <c r="J1555" i="25"/>
  <c r="J1556" i="25"/>
  <c r="J1557" i="25"/>
  <c r="J1558" i="25"/>
  <c r="J1559" i="25"/>
  <c r="J1560" i="25"/>
  <c r="J1561" i="25"/>
  <c r="J1562" i="25"/>
  <c r="J1563" i="25"/>
  <c r="J1564" i="25"/>
  <c r="J1565" i="25"/>
  <c r="J1566" i="25"/>
  <c r="J1567" i="25"/>
  <c r="J1568" i="25"/>
  <c r="J1569" i="25"/>
  <c r="J1570" i="25"/>
  <c r="J1571" i="25"/>
  <c r="J1572" i="25"/>
  <c r="J1573" i="25"/>
  <c r="J1574" i="25"/>
  <c r="J1575" i="25"/>
  <c r="J1576" i="25"/>
  <c r="J1577" i="25"/>
  <c r="J1578" i="25"/>
  <c r="J1579" i="25"/>
  <c r="J1580" i="25"/>
  <c r="J1581" i="25"/>
  <c r="J1582" i="25"/>
  <c r="J1583" i="25"/>
  <c r="J1584" i="25"/>
  <c r="J1585" i="25"/>
  <c r="J1586" i="25"/>
  <c r="J1587" i="25"/>
  <c r="J1588" i="25"/>
  <c r="J1589" i="25"/>
  <c r="J1590" i="25"/>
  <c r="J1591" i="25"/>
  <c r="J1592" i="25"/>
  <c r="J1593" i="25"/>
  <c r="J1594" i="25"/>
  <c r="J1595" i="25"/>
  <c r="J1596" i="25"/>
  <c r="J1597" i="25"/>
  <c r="J1598" i="25"/>
  <c r="J1599" i="25"/>
  <c r="J1600" i="25"/>
  <c r="J1601" i="25"/>
  <c r="J1602" i="25"/>
  <c r="J1603" i="25"/>
  <c r="J1604" i="25"/>
  <c r="J1605" i="25"/>
  <c r="J1606" i="25"/>
  <c r="J1607" i="25"/>
  <c r="J1608" i="25"/>
  <c r="J1609" i="25"/>
  <c r="J1610" i="25"/>
  <c r="J1611" i="25"/>
  <c r="J1612" i="25"/>
  <c r="J1613" i="25"/>
  <c r="J1614" i="25"/>
  <c r="J1615" i="25"/>
  <c r="J1616" i="25"/>
  <c r="J1617" i="25"/>
  <c r="J1618" i="25"/>
  <c r="J1619" i="25"/>
  <c r="J1620" i="25"/>
  <c r="J1621" i="25"/>
  <c r="J1622" i="25"/>
  <c r="J1623" i="25"/>
  <c r="J1624" i="25"/>
  <c r="J1625" i="25"/>
  <c r="J1626" i="25"/>
  <c r="J1627" i="25"/>
  <c r="J1628" i="25"/>
  <c r="J1629" i="25"/>
  <c r="J1630" i="25"/>
  <c r="J1631" i="25"/>
  <c r="J1632" i="25"/>
  <c r="J1633" i="25"/>
  <c r="J1634" i="25"/>
  <c r="J1635" i="25"/>
  <c r="J1636" i="25"/>
  <c r="J1637" i="25"/>
  <c r="J1638" i="25"/>
  <c r="J1639" i="25"/>
  <c r="J1640" i="25"/>
  <c r="J1641" i="25"/>
  <c r="J1642" i="25"/>
  <c r="J1643" i="25"/>
  <c r="J1644" i="25"/>
  <c r="J1645" i="25"/>
  <c r="J1646" i="25"/>
  <c r="J1647" i="25"/>
  <c r="J1648" i="25"/>
  <c r="J1649" i="25"/>
  <c r="J1650" i="25"/>
  <c r="J1651" i="25"/>
  <c r="J1652" i="25"/>
  <c r="J1653" i="25"/>
  <c r="J1654" i="25"/>
  <c r="J1655" i="25"/>
  <c r="J1656" i="25"/>
  <c r="J1657" i="25"/>
  <c r="J1658" i="25"/>
  <c r="J1659" i="25"/>
  <c r="J1660" i="25"/>
  <c r="J1661" i="25"/>
  <c r="J1662" i="25"/>
  <c r="J1663" i="25"/>
  <c r="J1664" i="25"/>
  <c r="J1665" i="25"/>
  <c r="J1666" i="25"/>
  <c r="J1667" i="25"/>
  <c r="J1668" i="25"/>
  <c r="J1669" i="25"/>
  <c r="J1670" i="25"/>
  <c r="J1671" i="25"/>
  <c r="J1672" i="25"/>
  <c r="J1673" i="25"/>
  <c r="J1674" i="25"/>
  <c r="J1675" i="25"/>
  <c r="J1676" i="25"/>
  <c r="J1677" i="25"/>
  <c r="J1678" i="25"/>
  <c r="J1679" i="25"/>
  <c r="J1680" i="25"/>
  <c r="J1681" i="25"/>
  <c r="J1682" i="25"/>
  <c r="J1683" i="25"/>
  <c r="J1684" i="25"/>
  <c r="J1685" i="25"/>
  <c r="J1686" i="25"/>
  <c r="J1687" i="25"/>
  <c r="J1688" i="25"/>
  <c r="J1689" i="25"/>
  <c r="J1690" i="25"/>
  <c r="J1691" i="25"/>
  <c r="J1692" i="25"/>
  <c r="J1693" i="25"/>
  <c r="J1694" i="25"/>
  <c r="J1695" i="25"/>
  <c r="J1696" i="25"/>
  <c r="J1697" i="25"/>
  <c r="J1698" i="25"/>
  <c r="J1699" i="25"/>
  <c r="J1700" i="25"/>
  <c r="J1701" i="25"/>
  <c r="J1702" i="25"/>
  <c r="J1703" i="25"/>
  <c r="J1704" i="25"/>
  <c r="J1705" i="25"/>
  <c r="J1706" i="25"/>
  <c r="J1707" i="25"/>
  <c r="J1708" i="25"/>
  <c r="J1709" i="25"/>
  <c r="J1710" i="25"/>
  <c r="J1711" i="25"/>
  <c r="J1712" i="25"/>
  <c r="J1713" i="25"/>
  <c r="J1714" i="25"/>
  <c r="J1715" i="25"/>
  <c r="J1716" i="25"/>
  <c r="J1717" i="25"/>
  <c r="J1718" i="25"/>
  <c r="J1719" i="25"/>
  <c r="J1720" i="25"/>
  <c r="J1721" i="25"/>
  <c r="J1722" i="25"/>
  <c r="J1723" i="25"/>
  <c r="J1724" i="25"/>
  <c r="J1725" i="25"/>
  <c r="J1726" i="25"/>
  <c r="J1727" i="25"/>
  <c r="J1728" i="25"/>
  <c r="J1729" i="25"/>
  <c r="J1730" i="25"/>
  <c r="J1731" i="25"/>
  <c r="J1732" i="25"/>
  <c r="J1733" i="25"/>
  <c r="J1734" i="25"/>
  <c r="J1735" i="25"/>
  <c r="J1736" i="25"/>
  <c r="J1737" i="25"/>
  <c r="J1738" i="25"/>
  <c r="J1739" i="25"/>
  <c r="J1740" i="25"/>
  <c r="J1741" i="25"/>
  <c r="J1742" i="25"/>
  <c r="J1743" i="25"/>
  <c r="J1744" i="25"/>
  <c r="J1745" i="25"/>
  <c r="J1746" i="25"/>
  <c r="J1747" i="25"/>
  <c r="J1748" i="25"/>
  <c r="J1749" i="25"/>
  <c r="J1750" i="25"/>
  <c r="J1751" i="25"/>
  <c r="J1752" i="25"/>
  <c r="J1753" i="25"/>
  <c r="J1754" i="25"/>
  <c r="J1755" i="25"/>
  <c r="J1756" i="25"/>
  <c r="J1757" i="25"/>
  <c r="J1758" i="25"/>
  <c r="J1759" i="25"/>
  <c r="J1760" i="25"/>
  <c r="J1761" i="25"/>
  <c r="J1762" i="25"/>
  <c r="J1763" i="25"/>
  <c r="J1764" i="25"/>
  <c r="J1765" i="25"/>
  <c r="J1766" i="25"/>
  <c r="J1767" i="25"/>
  <c r="J1768" i="25"/>
  <c r="J1769" i="25"/>
  <c r="J1770" i="25"/>
  <c r="J1771" i="25"/>
  <c r="J1772" i="25"/>
  <c r="J1773" i="25"/>
  <c r="J1774" i="25"/>
  <c r="J1775" i="25"/>
  <c r="J1776" i="25"/>
  <c r="J1777" i="25"/>
  <c r="J1778" i="25"/>
  <c r="J1779" i="25"/>
  <c r="J1780" i="25"/>
  <c r="J1781" i="25"/>
  <c r="J1782" i="25"/>
  <c r="J1783" i="25"/>
  <c r="J1784" i="25"/>
  <c r="J1785" i="25"/>
  <c r="J1786" i="25"/>
  <c r="J1787" i="25"/>
  <c r="J1788" i="25"/>
  <c r="J1789" i="25"/>
  <c r="J1790" i="25"/>
  <c r="J1791" i="25"/>
  <c r="J1792" i="25"/>
  <c r="J1793" i="25"/>
  <c r="J1794" i="25"/>
  <c r="J1795" i="25"/>
  <c r="J1796" i="25"/>
  <c r="J1797" i="25"/>
  <c r="J1798" i="25"/>
  <c r="J1799" i="25"/>
  <c r="J1800" i="25"/>
  <c r="J1801" i="25"/>
  <c r="J1802" i="25"/>
  <c r="J1803" i="25"/>
  <c r="J1804" i="25"/>
  <c r="J1805" i="25"/>
  <c r="J1806" i="25"/>
  <c r="J1807" i="25"/>
  <c r="J1808" i="25"/>
  <c r="J1809" i="25"/>
  <c r="J1810" i="25"/>
  <c r="J1811" i="25"/>
  <c r="J1812" i="25"/>
  <c r="J1813" i="25"/>
  <c r="J1814" i="25"/>
  <c r="J1815" i="25"/>
  <c r="J1816" i="25"/>
  <c r="J1817" i="25"/>
  <c r="J1818" i="25"/>
  <c r="J1819" i="25"/>
  <c r="J1820" i="25"/>
  <c r="J1821" i="25"/>
  <c r="J1822" i="25"/>
  <c r="J1823" i="25"/>
  <c r="J1824" i="25"/>
  <c r="J1825" i="25"/>
  <c r="J1826" i="25"/>
  <c r="J1827" i="25"/>
  <c r="J1828" i="25"/>
  <c r="J1829" i="25"/>
  <c r="J1830" i="25"/>
  <c r="J1831" i="25"/>
  <c r="J1832" i="25"/>
  <c r="J1833" i="25"/>
  <c r="J1834" i="25"/>
  <c r="J1835" i="25"/>
  <c r="J1836" i="25"/>
  <c r="J1837" i="25"/>
  <c r="J1838" i="25"/>
  <c r="J1839" i="25"/>
  <c r="J1840" i="25"/>
  <c r="J1841" i="25"/>
  <c r="J1842" i="25"/>
  <c r="J1843" i="25"/>
  <c r="J1844" i="25"/>
  <c r="J1845" i="25"/>
  <c r="J1846" i="25"/>
  <c r="J1847" i="25"/>
  <c r="J1848" i="25"/>
  <c r="J1849" i="25"/>
  <c r="J1850" i="25"/>
  <c r="J1851" i="25"/>
  <c r="J1852" i="25"/>
  <c r="J1853" i="25"/>
  <c r="J1854" i="25"/>
  <c r="J1855" i="25"/>
  <c r="J1856" i="25"/>
  <c r="J1857" i="25"/>
  <c r="J1858" i="25"/>
  <c r="J1859" i="25"/>
  <c r="J1860" i="25"/>
  <c r="J1861" i="25"/>
  <c r="J1862" i="25"/>
  <c r="J1863" i="25"/>
  <c r="J1864" i="25"/>
  <c r="J1865" i="25"/>
  <c r="J1866" i="25"/>
  <c r="J1867" i="25"/>
  <c r="J1868" i="25"/>
  <c r="J1869" i="25"/>
  <c r="J1870" i="25"/>
  <c r="J1871" i="25"/>
  <c r="J1872" i="25"/>
  <c r="J1873" i="25"/>
  <c r="J1874" i="25"/>
  <c r="J1875" i="25"/>
  <c r="J1876" i="25"/>
  <c r="J1877" i="25"/>
  <c r="J1878" i="25"/>
  <c r="J1879" i="25"/>
  <c r="J1880" i="25"/>
  <c r="J1881" i="25"/>
  <c r="J1882" i="25"/>
  <c r="J1883" i="25"/>
  <c r="J1884" i="25"/>
  <c r="J1885" i="25"/>
  <c r="J1886" i="25"/>
  <c r="J1887" i="25"/>
  <c r="J1888" i="25"/>
  <c r="J1889" i="25"/>
  <c r="J1890" i="25"/>
  <c r="J1891" i="25"/>
  <c r="J1892" i="25"/>
  <c r="J1893" i="25"/>
  <c r="J1894" i="25"/>
  <c r="J1895" i="25"/>
  <c r="J1896" i="25"/>
  <c r="J1897" i="25"/>
  <c r="J1898" i="25"/>
  <c r="J1899" i="25"/>
  <c r="J1900" i="25"/>
  <c r="J1901" i="25"/>
  <c r="J1902" i="25"/>
  <c r="J1903" i="25"/>
  <c r="J1904" i="25"/>
  <c r="J1905" i="25"/>
  <c r="J1906" i="25"/>
  <c r="J1907" i="25"/>
  <c r="J1908" i="25"/>
  <c r="J1909" i="25"/>
  <c r="J1910" i="25"/>
  <c r="J1911" i="25"/>
  <c r="J1912" i="25"/>
  <c r="J1913" i="25"/>
  <c r="J1914" i="25"/>
  <c r="J1915" i="25"/>
  <c r="J1916" i="25"/>
  <c r="J1917" i="25"/>
  <c r="J1918" i="25"/>
  <c r="J1919" i="25"/>
  <c r="J1920" i="25"/>
  <c r="J1921" i="25"/>
  <c r="J1922" i="25"/>
  <c r="J1923" i="25"/>
  <c r="J1924" i="25"/>
  <c r="J1925" i="25"/>
  <c r="J1926" i="25"/>
  <c r="J1927" i="25"/>
  <c r="J1928" i="25"/>
  <c r="J1929" i="25"/>
  <c r="J1930" i="25"/>
  <c r="J1931" i="25"/>
  <c r="J1932" i="25"/>
  <c r="J1933" i="25"/>
  <c r="J1934" i="25"/>
  <c r="J1935" i="25"/>
  <c r="J1936" i="25"/>
  <c r="J1937" i="25"/>
  <c r="J1938" i="25"/>
  <c r="J1939" i="25"/>
  <c r="J1940" i="25"/>
  <c r="J1941" i="25"/>
  <c r="J1942" i="25"/>
  <c r="J1943" i="25"/>
  <c r="J1944" i="25"/>
  <c r="J1945" i="25"/>
  <c r="J1946" i="25"/>
  <c r="J1947" i="25"/>
  <c r="J1948" i="25"/>
  <c r="J1949" i="25"/>
  <c r="J1950" i="25"/>
  <c r="J1951" i="25"/>
  <c r="J1952" i="25"/>
  <c r="J1953" i="25"/>
  <c r="J1954" i="25"/>
  <c r="J1955" i="25"/>
  <c r="J1956" i="25"/>
  <c r="J1957" i="25"/>
  <c r="J1958" i="25"/>
  <c r="J1959" i="25"/>
  <c r="J1960" i="25"/>
  <c r="J1961" i="25"/>
  <c r="J1962" i="25"/>
  <c r="J1963" i="25"/>
  <c r="J1964" i="25"/>
  <c r="J1965" i="25"/>
  <c r="J1966" i="25"/>
  <c r="J1967" i="25"/>
  <c r="J1968" i="25"/>
  <c r="J1969" i="25"/>
  <c r="J1970" i="25"/>
  <c r="J1971" i="25"/>
  <c r="J1972" i="25"/>
  <c r="J1973" i="25"/>
  <c r="J1974" i="25"/>
  <c r="J1975" i="25"/>
  <c r="J1976" i="25"/>
  <c r="J1977" i="25"/>
  <c r="J1978" i="25"/>
  <c r="J1979" i="25"/>
  <c r="J1980" i="25"/>
  <c r="J1981" i="25"/>
  <c r="J1982" i="25"/>
  <c r="J1983" i="25"/>
  <c r="J1984" i="25"/>
  <c r="J1985" i="25"/>
  <c r="J1986" i="25"/>
  <c r="J1987" i="25"/>
  <c r="J1988" i="25"/>
  <c r="J1989" i="25"/>
  <c r="J1990" i="25"/>
  <c r="J1991" i="25"/>
  <c r="J1992" i="25"/>
  <c r="J1993" i="25"/>
  <c r="J1994" i="25"/>
  <c r="J1995" i="25"/>
  <c r="J1996" i="25"/>
  <c r="J1997" i="25"/>
  <c r="J1998" i="25"/>
  <c r="J1999" i="25"/>
  <c r="J2000" i="25"/>
  <c r="J2001" i="25"/>
  <c r="J2002" i="25"/>
  <c r="J2003" i="25"/>
  <c r="J2004" i="25"/>
  <c r="J2005" i="25"/>
  <c r="J2006" i="25"/>
  <c r="J2007" i="25"/>
  <c r="J2008" i="25"/>
  <c r="J2009" i="25"/>
  <c r="J2010" i="25"/>
  <c r="J2011" i="25"/>
  <c r="J2012" i="25"/>
  <c r="J2013" i="25"/>
  <c r="J2014" i="25"/>
  <c r="J2015" i="25"/>
  <c r="J2016" i="25"/>
  <c r="J2017" i="25"/>
  <c r="J2018" i="25"/>
  <c r="J2019" i="25"/>
  <c r="J2020" i="25"/>
  <c r="J2021" i="25"/>
  <c r="J2022" i="25"/>
  <c r="J2023" i="25"/>
  <c r="J2024" i="25"/>
  <c r="J2025" i="25"/>
  <c r="J2026" i="25"/>
  <c r="J2027" i="25"/>
  <c r="J2028" i="25"/>
  <c r="J2029" i="25"/>
  <c r="J2030" i="25"/>
  <c r="J2031" i="25"/>
  <c r="J2032" i="25"/>
  <c r="J2033" i="25"/>
  <c r="J2034" i="25"/>
  <c r="J2035" i="25"/>
  <c r="J2036" i="25"/>
  <c r="J2037" i="25"/>
  <c r="J2038" i="25"/>
  <c r="J2039" i="25"/>
  <c r="J2040" i="25"/>
  <c r="J2041" i="25"/>
  <c r="J2042" i="25"/>
  <c r="J2043" i="25"/>
  <c r="J2044" i="25"/>
  <c r="J2045" i="25"/>
  <c r="J2046" i="25"/>
  <c r="J2047" i="25"/>
  <c r="J2048" i="25"/>
  <c r="J2049" i="25"/>
  <c r="J2050" i="25"/>
  <c r="J2051" i="25"/>
  <c r="J2052" i="25"/>
  <c r="J2053" i="25"/>
  <c r="J2054" i="25"/>
  <c r="J2055" i="25"/>
  <c r="J2056" i="25"/>
  <c r="J2057" i="25"/>
  <c r="J2058" i="25"/>
  <c r="J2059" i="25"/>
  <c r="J2060" i="25"/>
  <c r="J2061" i="25"/>
  <c r="J2062" i="25"/>
  <c r="J2063" i="25"/>
  <c r="J2064" i="25"/>
  <c r="J2065" i="25"/>
  <c r="J2066" i="25"/>
  <c r="J2067" i="25"/>
  <c r="J2068" i="25"/>
  <c r="J2069" i="25"/>
  <c r="J2070" i="25"/>
  <c r="J2071" i="25"/>
  <c r="J2072" i="25"/>
  <c r="J2073" i="25"/>
  <c r="J2074" i="25"/>
  <c r="J2075" i="25"/>
  <c r="J2076" i="25"/>
  <c r="J2077" i="25"/>
  <c r="J2078" i="25"/>
  <c r="J2079" i="25"/>
  <c r="J2080" i="25"/>
  <c r="J2081" i="25"/>
  <c r="J2082" i="25"/>
  <c r="J2083" i="25"/>
  <c r="J2084" i="25"/>
  <c r="J2085" i="25"/>
  <c r="J2086" i="25"/>
  <c r="J2087" i="25"/>
  <c r="J2088" i="25"/>
  <c r="J2089" i="25"/>
  <c r="J2090" i="25"/>
  <c r="J2091" i="25"/>
  <c r="J2092" i="25"/>
  <c r="J2093" i="25"/>
  <c r="J2094" i="25"/>
  <c r="J2095" i="25"/>
  <c r="J2096" i="25"/>
  <c r="J2097" i="25"/>
  <c r="J2098" i="25"/>
  <c r="J2099" i="25"/>
  <c r="J2100" i="25"/>
  <c r="J2101" i="25"/>
  <c r="J2102" i="25"/>
  <c r="J2103" i="25"/>
  <c r="J2104" i="25"/>
  <c r="J2105" i="25"/>
  <c r="J2106" i="25"/>
  <c r="J2107" i="25"/>
  <c r="J2108" i="25"/>
  <c r="J2109" i="25"/>
  <c r="J2110" i="25"/>
  <c r="J2111" i="25"/>
  <c r="J2112" i="25"/>
  <c r="J2113" i="25"/>
  <c r="J2114" i="25"/>
  <c r="J2115" i="25"/>
  <c r="J2116" i="25"/>
  <c r="J2117" i="25"/>
  <c r="J2118" i="25"/>
  <c r="J2119" i="25"/>
  <c r="J2120" i="25"/>
  <c r="J2121" i="25"/>
  <c r="J2122" i="25"/>
  <c r="J2123" i="25"/>
  <c r="J2124" i="25"/>
  <c r="J2125" i="25"/>
  <c r="J2126" i="25"/>
  <c r="J2127" i="25"/>
  <c r="J2128" i="25"/>
  <c r="J2129" i="25"/>
  <c r="J2130" i="25"/>
  <c r="J2131" i="25"/>
  <c r="J2132" i="25"/>
  <c r="J2133" i="25"/>
  <c r="J2134" i="25"/>
  <c r="J2135" i="25"/>
  <c r="J2136" i="25"/>
  <c r="J2137" i="25"/>
  <c r="J2138" i="25"/>
  <c r="J2139" i="25"/>
  <c r="J2140" i="25"/>
  <c r="J2141" i="25"/>
  <c r="J2142" i="25"/>
  <c r="J2143" i="25"/>
  <c r="J2144" i="25"/>
  <c r="J2145" i="25"/>
  <c r="J2146" i="25"/>
  <c r="J2147" i="25"/>
  <c r="J2148" i="25"/>
  <c r="J2149" i="25"/>
  <c r="J2150" i="25"/>
  <c r="J2151" i="25"/>
  <c r="J2152" i="25"/>
  <c r="J2153" i="25"/>
  <c r="J2154" i="25"/>
  <c r="J2155" i="25"/>
  <c r="J2156" i="25"/>
  <c r="J2157" i="25"/>
  <c r="J2158" i="25"/>
  <c r="J2159" i="25"/>
  <c r="J2160" i="25"/>
  <c r="J2161" i="25"/>
  <c r="J2162" i="25"/>
  <c r="J2163" i="25"/>
  <c r="J2164" i="25"/>
  <c r="J2165" i="25"/>
  <c r="J2166" i="25"/>
  <c r="J2167" i="25"/>
  <c r="J2168" i="25"/>
  <c r="J2169" i="25"/>
  <c r="J2170" i="25"/>
  <c r="J2171" i="25"/>
  <c r="J2172" i="25"/>
  <c r="J2173" i="25"/>
  <c r="J2174" i="25"/>
  <c r="J2175" i="25"/>
  <c r="J2176" i="25"/>
  <c r="J2177" i="25"/>
  <c r="J2178" i="25"/>
  <c r="J2179" i="25"/>
  <c r="J2180" i="25"/>
  <c r="J2181" i="25"/>
  <c r="J2182" i="25"/>
  <c r="J2183" i="25"/>
  <c r="J2184" i="25"/>
  <c r="J2185" i="25"/>
  <c r="J2186" i="25"/>
  <c r="J2187" i="25"/>
  <c r="J2188" i="25"/>
  <c r="J2189" i="25"/>
  <c r="J2190" i="25"/>
  <c r="J2191" i="25"/>
  <c r="J2192" i="25"/>
  <c r="J2193" i="25"/>
  <c r="J2194" i="25"/>
  <c r="J2195" i="25"/>
  <c r="J2196" i="25"/>
  <c r="J2197" i="25"/>
  <c r="J2198" i="25"/>
  <c r="J2199" i="25"/>
  <c r="J2200" i="25"/>
  <c r="J2201" i="25"/>
  <c r="J2202" i="25"/>
  <c r="J2203" i="25"/>
  <c r="J2204" i="25"/>
  <c r="J2205" i="25"/>
  <c r="J2206" i="25"/>
  <c r="J2207" i="25"/>
  <c r="J2208" i="25"/>
  <c r="J2209" i="25"/>
  <c r="J2210" i="25"/>
  <c r="J2211" i="25"/>
  <c r="J2212" i="25"/>
  <c r="J2213" i="25"/>
  <c r="J2214" i="25"/>
  <c r="J2215" i="25"/>
  <c r="J2216" i="25"/>
  <c r="J2217" i="25"/>
  <c r="J2218" i="25"/>
  <c r="J2219" i="25"/>
  <c r="J2220" i="25"/>
  <c r="J2221" i="25"/>
  <c r="J2222" i="25"/>
  <c r="J2223" i="25"/>
  <c r="J2224" i="25"/>
  <c r="J2225" i="25"/>
  <c r="J2226" i="25"/>
  <c r="J2227" i="25"/>
  <c r="J2228" i="25"/>
  <c r="J2229" i="25"/>
  <c r="J2230" i="25"/>
  <c r="J2231" i="25"/>
  <c r="J2232" i="25"/>
  <c r="J2233" i="25"/>
  <c r="J2234" i="25"/>
  <c r="J2235" i="25"/>
  <c r="J2236" i="25"/>
  <c r="J2237" i="25"/>
  <c r="J2238" i="25"/>
  <c r="J2239" i="25"/>
  <c r="J2240" i="25"/>
  <c r="J2241" i="25"/>
  <c r="J2242" i="25"/>
  <c r="J2243" i="25"/>
  <c r="J2244" i="25"/>
  <c r="J2245" i="25"/>
  <c r="J2246" i="25"/>
  <c r="J2247" i="25"/>
  <c r="J2248" i="25"/>
  <c r="J2249" i="25"/>
  <c r="J2250" i="25"/>
  <c r="J2251" i="25"/>
  <c r="J2252" i="25"/>
  <c r="J2253" i="25"/>
  <c r="J2254" i="25"/>
  <c r="J2255" i="25"/>
  <c r="J2256" i="25"/>
  <c r="J2257" i="25"/>
  <c r="J2258" i="25"/>
  <c r="J2259" i="25"/>
  <c r="J2260" i="25"/>
  <c r="J2261" i="25"/>
  <c r="J2262" i="25"/>
  <c r="J2263" i="25"/>
  <c r="J2264" i="25"/>
  <c r="J2265" i="25"/>
  <c r="J2266" i="25"/>
  <c r="J2267" i="25"/>
  <c r="J2268" i="25"/>
  <c r="J2269" i="25"/>
  <c r="J2270" i="25"/>
  <c r="J2271" i="25"/>
  <c r="J2272" i="25"/>
  <c r="J2273" i="25"/>
  <c r="J2274" i="25"/>
  <c r="J2275" i="25"/>
  <c r="J2276" i="25"/>
  <c r="J2277" i="25"/>
  <c r="J2278" i="25"/>
  <c r="J2279" i="25"/>
  <c r="J2280" i="25"/>
  <c r="J2281" i="25"/>
  <c r="J2282" i="25"/>
  <c r="J2283" i="25"/>
  <c r="J2284" i="25"/>
  <c r="J2285" i="25"/>
  <c r="J2286" i="25"/>
  <c r="J2287" i="25"/>
  <c r="J2288" i="25"/>
  <c r="J2289" i="25"/>
  <c r="J2290" i="25"/>
  <c r="J2291" i="25"/>
  <c r="J2292" i="25"/>
  <c r="J2293" i="25"/>
  <c r="J2294" i="25"/>
  <c r="J2295" i="25"/>
  <c r="J2296" i="25"/>
  <c r="J2297" i="25"/>
  <c r="J2298" i="25"/>
  <c r="J2299" i="25"/>
  <c r="J2300" i="25"/>
  <c r="J2301" i="25"/>
  <c r="J2302" i="25"/>
  <c r="J2303" i="25"/>
  <c r="J2304" i="25"/>
  <c r="J2305" i="25"/>
  <c r="J2306" i="25"/>
  <c r="J2307" i="25"/>
  <c r="J2308" i="25"/>
  <c r="J2309" i="25"/>
  <c r="J2310" i="25"/>
  <c r="J2311" i="25"/>
  <c r="J2312" i="25"/>
  <c r="J2313" i="25"/>
  <c r="J2314" i="25"/>
  <c r="J2315" i="25"/>
  <c r="J2316" i="25"/>
  <c r="J2317" i="25"/>
  <c r="J2318" i="25"/>
  <c r="J2319" i="25"/>
  <c r="J2320" i="25"/>
  <c r="J2321" i="25"/>
  <c r="J2322" i="25"/>
  <c r="J2323" i="25"/>
  <c r="J2324" i="25"/>
  <c r="J2325" i="25"/>
  <c r="J2326" i="25"/>
  <c r="J2327" i="25"/>
  <c r="J2328" i="25"/>
  <c r="J2329" i="25"/>
  <c r="J2330" i="25"/>
  <c r="J2331" i="25"/>
  <c r="J2332" i="25"/>
  <c r="J2333" i="25"/>
  <c r="J2334" i="25"/>
  <c r="J2335" i="25"/>
  <c r="J2336" i="25"/>
  <c r="J2337" i="25"/>
  <c r="J2338" i="25"/>
  <c r="J2339" i="25"/>
  <c r="J2340" i="25"/>
  <c r="J2341" i="25"/>
  <c r="J2342" i="25"/>
  <c r="J2343" i="25"/>
  <c r="J2344" i="25"/>
  <c r="J2345" i="25"/>
  <c r="J2346" i="25"/>
  <c r="J2347" i="25"/>
  <c r="J2348" i="25"/>
  <c r="J2349" i="25"/>
  <c r="J2350" i="25"/>
  <c r="J2351" i="25"/>
  <c r="J2352" i="25"/>
  <c r="J2353" i="25"/>
  <c r="J2354" i="25"/>
  <c r="J2355" i="25"/>
  <c r="J2356" i="25"/>
  <c r="J2357" i="25"/>
  <c r="J2358" i="25"/>
  <c r="J2359" i="25"/>
  <c r="J2360" i="25"/>
  <c r="J2361" i="25"/>
  <c r="J2362" i="25"/>
  <c r="J2363" i="25"/>
  <c r="J2364" i="25"/>
  <c r="J2365" i="25"/>
  <c r="J2366" i="25"/>
  <c r="J2367" i="25"/>
  <c r="J2368" i="25"/>
  <c r="J2369" i="25"/>
  <c r="J2370" i="25"/>
  <c r="J2371" i="25"/>
  <c r="J2372" i="25"/>
  <c r="J2373" i="25"/>
  <c r="J2374" i="25"/>
  <c r="J2375" i="25"/>
  <c r="J2376" i="25"/>
  <c r="J2377" i="25"/>
  <c r="J2378" i="25"/>
  <c r="J2379" i="25"/>
  <c r="J2380" i="25"/>
  <c r="J2381" i="25"/>
  <c r="J2382" i="25"/>
  <c r="J2383" i="25"/>
  <c r="J2384" i="25"/>
  <c r="J2385" i="25"/>
  <c r="J2386" i="25"/>
  <c r="J2387" i="25"/>
  <c r="J2388" i="25"/>
  <c r="J2389" i="25"/>
  <c r="J2390" i="25"/>
  <c r="J2391" i="25"/>
  <c r="J2392" i="25"/>
  <c r="J2393" i="25"/>
  <c r="J2394" i="25"/>
  <c r="J2395" i="25"/>
  <c r="J2396" i="25"/>
  <c r="J2397" i="25"/>
  <c r="J2398" i="25"/>
  <c r="J2399" i="25"/>
  <c r="J2400" i="25"/>
  <c r="J2401" i="25"/>
  <c r="J2402" i="25"/>
  <c r="J2403" i="25"/>
  <c r="J2404" i="25"/>
  <c r="J2405" i="25"/>
  <c r="J2406" i="25"/>
  <c r="J2407" i="25"/>
  <c r="J2408" i="25"/>
  <c r="J2409" i="25"/>
  <c r="J2410" i="25"/>
  <c r="J2411" i="25"/>
  <c r="J2412" i="25"/>
  <c r="J2413" i="25"/>
  <c r="J2414" i="25"/>
  <c r="J2415" i="25"/>
  <c r="J2416" i="25"/>
  <c r="J2417" i="25"/>
  <c r="J2418" i="25"/>
  <c r="J2419" i="25"/>
  <c r="J2420" i="25"/>
  <c r="J2421" i="25"/>
  <c r="J2422" i="25"/>
  <c r="J2423" i="25"/>
  <c r="J2424" i="25"/>
  <c r="J2425" i="25"/>
  <c r="J2426" i="25"/>
  <c r="J2427" i="25"/>
  <c r="J2428" i="25"/>
  <c r="J2429" i="25"/>
  <c r="J2430" i="25"/>
  <c r="J2431" i="25"/>
  <c r="J2432" i="25"/>
  <c r="J2433" i="25"/>
  <c r="J2434" i="25"/>
  <c r="J2435" i="25"/>
  <c r="J2436" i="25"/>
  <c r="J2437" i="25"/>
  <c r="J2438" i="25"/>
  <c r="J2439" i="25"/>
  <c r="J2440" i="25"/>
  <c r="J2441" i="25"/>
  <c r="J2442" i="25"/>
  <c r="J2443" i="25"/>
  <c r="J2444" i="25"/>
  <c r="J2445" i="25"/>
  <c r="J2446" i="25"/>
  <c r="J2447" i="25"/>
  <c r="J2448" i="25"/>
  <c r="J2449" i="25"/>
  <c r="J2450" i="25"/>
  <c r="J2451" i="25"/>
  <c r="J2452" i="25"/>
  <c r="J2453" i="25"/>
  <c r="J2454" i="25"/>
  <c r="J2455" i="25"/>
  <c r="J2456" i="25"/>
  <c r="J2457" i="25"/>
  <c r="J2458" i="25"/>
  <c r="J2459" i="25"/>
  <c r="J2460" i="25"/>
  <c r="J2461" i="25"/>
  <c r="J2462" i="25"/>
  <c r="J2463" i="25"/>
  <c r="J2464" i="25"/>
  <c r="J2465" i="25"/>
  <c r="J2466" i="25"/>
  <c r="J2467" i="25"/>
  <c r="J2468" i="25"/>
  <c r="J2469" i="25"/>
  <c r="J2470" i="25"/>
  <c r="J2471" i="25"/>
  <c r="J2472" i="25"/>
  <c r="J2473" i="25"/>
  <c r="J2474" i="25"/>
  <c r="J2475" i="25"/>
  <c r="J2476" i="25"/>
  <c r="J2477" i="25"/>
  <c r="J2478" i="25"/>
  <c r="J2479" i="25"/>
  <c r="J2480" i="25"/>
  <c r="J2481" i="25"/>
  <c r="J2482" i="25"/>
  <c r="J2483" i="25"/>
  <c r="J2484" i="25"/>
  <c r="J2485" i="25"/>
  <c r="J2486" i="25"/>
  <c r="J2487" i="25"/>
  <c r="J2488" i="25"/>
  <c r="J2489" i="25"/>
  <c r="J2490" i="25"/>
  <c r="J2491" i="25"/>
  <c r="J2492" i="25"/>
  <c r="J2493" i="25"/>
  <c r="J2494" i="25"/>
  <c r="J2495" i="25"/>
  <c r="J2496" i="25"/>
  <c r="J2497" i="25"/>
  <c r="J2498" i="25"/>
  <c r="J2499" i="25"/>
  <c r="J2500" i="25"/>
  <c r="J2501" i="25"/>
  <c r="J2502" i="25"/>
  <c r="J2503" i="25"/>
  <c r="J2504" i="25"/>
  <c r="J2505" i="25"/>
  <c r="J2506" i="25"/>
  <c r="J2507" i="25"/>
  <c r="J2508" i="25"/>
  <c r="J2509" i="25"/>
  <c r="J2510" i="25"/>
  <c r="J2511" i="25"/>
  <c r="J2512" i="25"/>
  <c r="J2513" i="25"/>
  <c r="J2514" i="25"/>
  <c r="J2515" i="25"/>
  <c r="J2516" i="25"/>
  <c r="J2517" i="25"/>
  <c r="J2518" i="25"/>
  <c r="J2519" i="25"/>
  <c r="J2520" i="25"/>
  <c r="J2521" i="25"/>
  <c r="J2522" i="25"/>
  <c r="J2523" i="25"/>
  <c r="J2524" i="25"/>
  <c r="J2525" i="25"/>
  <c r="J2526" i="25"/>
  <c r="J2527" i="25"/>
  <c r="J2528" i="25"/>
  <c r="J2529" i="25"/>
  <c r="J2530" i="25"/>
  <c r="J2531" i="25"/>
  <c r="J2532" i="25"/>
  <c r="J2533" i="25"/>
  <c r="J2534" i="25"/>
  <c r="J2535" i="25"/>
  <c r="J2536" i="25"/>
  <c r="J2537" i="25"/>
  <c r="J2538" i="25"/>
  <c r="J2539" i="25"/>
  <c r="J2540" i="25"/>
  <c r="J2541" i="25"/>
  <c r="J2542" i="25"/>
  <c r="J2543" i="25"/>
  <c r="J2544" i="25"/>
  <c r="J2545" i="25"/>
  <c r="J2546" i="25"/>
  <c r="J2547" i="25"/>
  <c r="J2548" i="25"/>
  <c r="J2549" i="25"/>
  <c r="J2550" i="25"/>
  <c r="J2551" i="25"/>
  <c r="J2552" i="25"/>
  <c r="J2553" i="25"/>
  <c r="J2554" i="25"/>
  <c r="J2555" i="25"/>
  <c r="J2556" i="25"/>
  <c r="J2557" i="25"/>
  <c r="J2558" i="25"/>
  <c r="J2559" i="25"/>
  <c r="J2560" i="25"/>
  <c r="J2561" i="25"/>
  <c r="J2562" i="25"/>
  <c r="J2563" i="25"/>
  <c r="J2564" i="25"/>
  <c r="J2565" i="25"/>
  <c r="J2566" i="25"/>
  <c r="J2567" i="25"/>
  <c r="J2568" i="25"/>
  <c r="J2569" i="25"/>
  <c r="J2570" i="25"/>
  <c r="J2571" i="25"/>
  <c r="J2572" i="25"/>
  <c r="J2573" i="25"/>
  <c r="J2574" i="25"/>
  <c r="J2575" i="25"/>
  <c r="J2576" i="25"/>
  <c r="J2577" i="25"/>
  <c r="J2578" i="25"/>
  <c r="J2579" i="25"/>
  <c r="J2580" i="25"/>
  <c r="J2581" i="25"/>
  <c r="J2582" i="25"/>
  <c r="J2583" i="25"/>
  <c r="J2584" i="25"/>
  <c r="J2585" i="25"/>
  <c r="J2586" i="25"/>
  <c r="J2587" i="25"/>
  <c r="J2588" i="25"/>
  <c r="J2589" i="25"/>
  <c r="J2590" i="25"/>
  <c r="J2591" i="25"/>
  <c r="J2592" i="25"/>
  <c r="J2593" i="25"/>
  <c r="J2594" i="25"/>
  <c r="J2595" i="25"/>
  <c r="J2596" i="25"/>
  <c r="J2597" i="25"/>
  <c r="J2598" i="25"/>
  <c r="J2599" i="25"/>
  <c r="J2600" i="25"/>
  <c r="J2601" i="25"/>
  <c r="J2602" i="25"/>
  <c r="J2603" i="25"/>
  <c r="J2604" i="25"/>
  <c r="J2605" i="25"/>
  <c r="J2606" i="25"/>
  <c r="J2607" i="25"/>
  <c r="J2608" i="25"/>
  <c r="J2609" i="25"/>
  <c r="J2610" i="25"/>
  <c r="J2611" i="25"/>
  <c r="J2612" i="25"/>
  <c r="J2613" i="25"/>
  <c r="J2614" i="25"/>
  <c r="J2615" i="25"/>
  <c r="J2616" i="25"/>
  <c r="J2617" i="25"/>
  <c r="J2618" i="25"/>
  <c r="J2619" i="25"/>
  <c r="J2620" i="25"/>
  <c r="J2621" i="25"/>
  <c r="J2622" i="25"/>
  <c r="J2623" i="25"/>
  <c r="J2624" i="25"/>
  <c r="J2625" i="25"/>
  <c r="J2626" i="25"/>
  <c r="J2627" i="25"/>
  <c r="J2628" i="25"/>
  <c r="J2629" i="25"/>
  <c r="J2630" i="25"/>
  <c r="J2631" i="25"/>
  <c r="J2632" i="25"/>
  <c r="J2633" i="25"/>
  <c r="J2634" i="25"/>
  <c r="J2635" i="25"/>
  <c r="J2636" i="25"/>
  <c r="J2637" i="25"/>
  <c r="J2638" i="25"/>
  <c r="J2639" i="25"/>
  <c r="J2640" i="25"/>
  <c r="J2641" i="25"/>
  <c r="J2642" i="25"/>
  <c r="J2643" i="25"/>
  <c r="J2644" i="25"/>
  <c r="J2645" i="25"/>
  <c r="J2646" i="25"/>
  <c r="J2647" i="25"/>
  <c r="J2648" i="25"/>
  <c r="J2649" i="25"/>
  <c r="J2650" i="25"/>
  <c r="J2651" i="25"/>
  <c r="J2652" i="25"/>
  <c r="J2653" i="25"/>
  <c r="J2654" i="25"/>
  <c r="J2655" i="25"/>
  <c r="J2656" i="25"/>
  <c r="J2657" i="25"/>
  <c r="J2658" i="25"/>
  <c r="J2659" i="25"/>
  <c r="J2660" i="25"/>
  <c r="J2661" i="25"/>
  <c r="J2662" i="25"/>
  <c r="J2663" i="25"/>
  <c r="J2664" i="25"/>
  <c r="J2665" i="25"/>
  <c r="J2666" i="25"/>
  <c r="J2667" i="25"/>
  <c r="J2668" i="25"/>
  <c r="J2669" i="25"/>
  <c r="J2670" i="25"/>
  <c r="J2671" i="25"/>
  <c r="J2672" i="25"/>
  <c r="J2673" i="25"/>
  <c r="J2674" i="25"/>
  <c r="J2675" i="25"/>
  <c r="J2676" i="25"/>
  <c r="J2677" i="25"/>
  <c r="J2678" i="25"/>
  <c r="J2679" i="25"/>
  <c r="J2680" i="25"/>
  <c r="J2681" i="25"/>
  <c r="J2682" i="25"/>
  <c r="J2683" i="25"/>
  <c r="J2684" i="25"/>
  <c r="J2685" i="25"/>
  <c r="J2686" i="25"/>
  <c r="J2687" i="25"/>
  <c r="J2688" i="25"/>
  <c r="J2689" i="25"/>
  <c r="J2690" i="25"/>
  <c r="J2691" i="25"/>
  <c r="J2692" i="25"/>
  <c r="J2693" i="25"/>
  <c r="J2694" i="25"/>
  <c r="J2695" i="25"/>
  <c r="J2696" i="25"/>
  <c r="J2697" i="25"/>
  <c r="J2698" i="25"/>
  <c r="J2699" i="25"/>
  <c r="J2700" i="25"/>
  <c r="J2701" i="25"/>
  <c r="J2702" i="25"/>
  <c r="J2703" i="25"/>
  <c r="J2704" i="25"/>
  <c r="J2705" i="25"/>
  <c r="J2706" i="25"/>
  <c r="J2707" i="25"/>
  <c r="J2708" i="25"/>
  <c r="J2709" i="25"/>
  <c r="J2710" i="25"/>
  <c r="J2711" i="25"/>
  <c r="J2712" i="25"/>
  <c r="J2713" i="25"/>
  <c r="J2714" i="25"/>
  <c r="J2715" i="25"/>
  <c r="J2716" i="25"/>
  <c r="J2717" i="25"/>
  <c r="J2718" i="25"/>
  <c r="J2719" i="25"/>
  <c r="J2720" i="25"/>
  <c r="J2721" i="25"/>
  <c r="J2722" i="25"/>
  <c r="J2723" i="25"/>
  <c r="J2724" i="25"/>
  <c r="J2725" i="25"/>
  <c r="J2726" i="25"/>
  <c r="J2727" i="25"/>
  <c r="J2728" i="25"/>
  <c r="J2729" i="25"/>
  <c r="J2730" i="25"/>
  <c r="J2731" i="25"/>
  <c r="J2732" i="25"/>
  <c r="J2733" i="25"/>
  <c r="J2734" i="25"/>
  <c r="J2735" i="25"/>
  <c r="J2736" i="25"/>
  <c r="J2737" i="25"/>
  <c r="J2738" i="25"/>
  <c r="J2739" i="25"/>
  <c r="J2740" i="25"/>
  <c r="J2741" i="25"/>
  <c r="J2742" i="25"/>
  <c r="J2743" i="25"/>
  <c r="J2744" i="25"/>
  <c r="J2745" i="25"/>
  <c r="J2746" i="25"/>
  <c r="J2747" i="25"/>
  <c r="J2748" i="25"/>
  <c r="J2749" i="25"/>
  <c r="J2750" i="25"/>
  <c r="J2751" i="25"/>
  <c r="J2752" i="25"/>
  <c r="J2753" i="25"/>
  <c r="J2754" i="25"/>
  <c r="J2755" i="25"/>
  <c r="J2756" i="25"/>
  <c r="J2757" i="25"/>
  <c r="J2758" i="25"/>
  <c r="J2759" i="25"/>
  <c r="J2760" i="25"/>
  <c r="J2761" i="25"/>
  <c r="J2762" i="25"/>
  <c r="J2763" i="25"/>
  <c r="J2764" i="25"/>
  <c r="J2765" i="25"/>
  <c r="J2766" i="25"/>
  <c r="J2767" i="25"/>
  <c r="J2768" i="25"/>
  <c r="J2769" i="25"/>
  <c r="J2770" i="25"/>
  <c r="J2771" i="25"/>
  <c r="J2772" i="25"/>
  <c r="J2773" i="25"/>
  <c r="J2774" i="25"/>
  <c r="J2775" i="25"/>
  <c r="J2776" i="25"/>
  <c r="J2777" i="25"/>
  <c r="J2778" i="25"/>
  <c r="J2779" i="25"/>
  <c r="J2780" i="25"/>
  <c r="J2781" i="25"/>
  <c r="J2782" i="25"/>
  <c r="J2783" i="25"/>
  <c r="J2784" i="25"/>
  <c r="J2785" i="25"/>
  <c r="J2786" i="25"/>
  <c r="J2787" i="25"/>
  <c r="J2788" i="25"/>
  <c r="J2789" i="25"/>
  <c r="J2790" i="25"/>
  <c r="J2791" i="25"/>
  <c r="J2792" i="25"/>
  <c r="J2793" i="25"/>
  <c r="J2794" i="25"/>
  <c r="J2795" i="25"/>
  <c r="J2796" i="25"/>
  <c r="J2797" i="25"/>
  <c r="J2798" i="25"/>
  <c r="J2799" i="25"/>
  <c r="J2800" i="25"/>
  <c r="J2801" i="25"/>
  <c r="J2802" i="25"/>
  <c r="J2803" i="25"/>
  <c r="J2804" i="25"/>
  <c r="J2805" i="25"/>
  <c r="J2806" i="25"/>
  <c r="J2807" i="25"/>
  <c r="J2808" i="25"/>
  <c r="J2809" i="25"/>
  <c r="J2810" i="25"/>
  <c r="J2811" i="25"/>
  <c r="J2812" i="25"/>
  <c r="J2813" i="25"/>
  <c r="J2814" i="25"/>
  <c r="J2815" i="25"/>
  <c r="J2816" i="25"/>
  <c r="J2817" i="25"/>
  <c r="J2818" i="25"/>
  <c r="J2819" i="25"/>
  <c r="J2820" i="25"/>
  <c r="J2821" i="25"/>
  <c r="J2822" i="25"/>
  <c r="J2823" i="25"/>
  <c r="J2824" i="25"/>
  <c r="J2825" i="25"/>
  <c r="J2826" i="25"/>
  <c r="J2827" i="25"/>
  <c r="J2828" i="25"/>
  <c r="J2829" i="25"/>
  <c r="J2830" i="25"/>
  <c r="J2831" i="25"/>
  <c r="J2832" i="25"/>
  <c r="J2833" i="25"/>
  <c r="J2834" i="25"/>
  <c r="J2835" i="25"/>
  <c r="J2836" i="25"/>
  <c r="J2837" i="25"/>
  <c r="J2838" i="25"/>
  <c r="J2839" i="25"/>
  <c r="J2840" i="25"/>
  <c r="J2841" i="25"/>
  <c r="J2842" i="25"/>
  <c r="J2843" i="25"/>
  <c r="J2844" i="25"/>
  <c r="J2845" i="25"/>
  <c r="J2846" i="25"/>
  <c r="J2847" i="25"/>
  <c r="J2848" i="25"/>
  <c r="J2849" i="25"/>
  <c r="J2850" i="25"/>
  <c r="J2851" i="25"/>
  <c r="J2852" i="25"/>
  <c r="J2853" i="25"/>
  <c r="J2854" i="25"/>
  <c r="J2855" i="25"/>
  <c r="J2856" i="25"/>
  <c r="J2857" i="25"/>
  <c r="J2858" i="25"/>
  <c r="J2859" i="25"/>
  <c r="J2860" i="25"/>
  <c r="J2861" i="25"/>
  <c r="J2862" i="25"/>
  <c r="J2863" i="25"/>
  <c r="J2864" i="25"/>
  <c r="J2865" i="25"/>
  <c r="J2866" i="25"/>
  <c r="J2867" i="25"/>
  <c r="J2868" i="25"/>
  <c r="J2869" i="25"/>
  <c r="J2870" i="25"/>
  <c r="J2871" i="25"/>
  <c r="J2872" i="25"/>
  <c r="J2873" i="25"/>
  <c r="J2874" i="25"/>
  <c r="J2875" i="25"/>
  <c r="J2876" i="25"/>
  <c r="J2877" i="25"/>
  <c r="J2878" i="25"/>
  <c r="J2879" i="25"/>
  <c r="J2880" i="25"/>
  <c r="J2881" i="25"/>
  <c r="J2882" i="25"/>
  <c r="J2883" i="25"/>
  <c r="J2884" i="25"/>
  <c r="J2885" i="25"/>
  <c r="J2886" i="25"/>
  <c r="J2887" i="25"/>
  <c r="J2888" i="25"/>
  <c r="J2889" i="25"/>
  <c r="J2890" i="25"/>
  <c r="J2891" i="25"/>
  <c r="J2892" i="25"/>
  <c r="J2893" i="25"/>
  <c r="J2894" i="25"/>
  <c r="J2895" i="25"/>
  <c r="J2896" i="25"/>
  <c r="J2897" i="25"/>
  <c r="J2898" i="25"/>
  <c r="J2899" i="25"/>
  <c r="J2900" i="25"/>
  <c r="J2901" i="25"/>
  <c r="J2902" i="25"/>
  <c r="J2903" i="25"/>
  <c r="J2904" i="25"/>
  <c r="J2905" i="25"/>
  <c r="J2906" i="25"/>
  <c r="J2907" i="25"/>
  <c r="J2908" i="25"/>
  <c r="J2909" i="25"/>
  <c r="J2910" i="25"/>
  <c r="J2911" i="25"/>
  <c r="J2912" i="25"/>
  <c r="J2913" i="25"/>
  <c r="J2914" i="25"/>
  <c r="J2915" i="25"/>
  <c r="J2916" i="25"/>
  <c r="J2917" i="25"/>
  <c r="J2918" i="25"/>
  <c r="J2919" i="25"/>
  <c r="J2920" i="25"/>
  <c r="J2921" i="25"/>
  <c r="J2922" i="25"/>
  <c r="J2923" i="25"/>
  <c r="J2924" i="25"/>
  <c r="J2925" i="25"/>
  <c r="J2926" i="25"/>
  <c r="J2927" i="25"/>
  <c r="J2928" i="25"/>
  <c r="J2929" i="25"/>
  <c r="J2930" i="25"/>
  <c r="J2931" i="25"/>
  <c r="J2932" i="25"/>
  <c r="J2933" i="25"/>
  <c r="J2934" i="25"/>
  <c r="J2935" i="25"/>
  <c r="J2936" i="25"/>
  <c r="J2937" i="25"/>
  <c r="J2938" i="25"/>
  <c r="J2939" i="25"/>
  <c r="J2940" i="25"/>
  <c r="J2941" i="25"/>
  <c r="J2942" i="25"/>
  <c r="J2943" i="25"/>
  <c r="J2944" i="25"/>
  <c r="J2945" i="25"/>
  <c r="J2946" i="25"/>
  <c r="J2947" i="25"/>
  <c r="J2948" i="25"/>
  <c r="J2949" i="25"/>
  <c r="J2950" i="25"/>
  <c r="J2951" i="25"/>
  <c r="J2952" i="25"/>
  <c r="J2953" i="25"/>
  <c r="J2954" i="25"/>
  <c r="J2955" i="25"/>
  <c r="J2956" i="25"/>
  <c r="J2957" i="25"/>
  <c r="J2958" i="25"/>
  <c r="J2959" i="25"/>
  <c r="J2960" i="25"/>
  <c r="J2961" i="25"/>
  <c r="J2962" i="25"/>
  <c r="J2963" i="25"/>
  <c r="J2964" i="25"/>
  <c r="J2965" i="25"/>
  <c r="J2966" i="25"/>
  <c r="J2967" i="25"/>
  <c r="J2968" i="25"/>
  <c r="J2969" i="25"/>
  <c r="J2970" i="25"/>
  <c r="J2971" i="25"/>
  <c r="J2972" i="25"/>
  <c r="J2973" i="25"/>
  <c r="J2974" i="25"/>
  <c r="J2975" i="25"/>
  <c r="J2976" i="25"/>
  <c r="J2977" i="25"/>
  <c r="J2978" i="25"/>
  <c r="J2979" i="25"/>
  <c r="J2980" i="25"/>
  <c r="J2981" i="25"/>
  <c r="J2982" i="25"/>
  <c r="J2983" i="25"/>
  <c r="J2984" i="25"/>
  <c r="J2985" i="25"/>
  <c r="J2986" i="25"/>
  <c r="J2987" i="25"/>
  <c r="J2988" i="25"/>
  <c r="J2989" i="25"/>
  <c r="J2990" i="25"/>
  <c r="J2991" i="25"/>
  <c r="J2992" i="25"/>
  <c r="J2993" i="25"/>
  <c r="J2994" i="25"/>
  <c r="J2995" i="25"/>
  <c r="J2996" i="25"/>
  <c r="J2997" i="25"/>
  <c r="J2998" i="25"/>
  <c r="J2999" i="25"/>
  <c r="J3000" i="25"/>
  <c r="J3001" i="25"/>
  <c r="J3002" i="25"/>
  <c r="J3003" i="25"/>
  <c r="J3004" i="25"/>
  <c r="J3005" i="25"/>
  <c r="J3006" i="25"/>
  <c r="J3007" i="25"/>
  <c r="J3008" i="25"/>
  <c r="J3009" i="25"/>
  <c r="J3010" i="25"/>
  <c r="J3011" i="25"/>
  <c r="J3012" i="25"/>
  <c r="J3013" i="25"/>
  <c r="J3014" i="25"/>
  <c r="J3015" i="25"/>
  <c r="J3016" i="25"/>
  <c r="J3017" i="25"/>
  <c r="J3018" i="25"/>
  <c r="J3019" i="25"/>
  <c r="J3020" i="25"/>
  <c r="J3021" i="25"/>
  <c r="J3022" i="25"/>
  <c r="J3023" i="25"/>
  <c r="J3024" i="25"/>
  <c r="J3025" i="25"/>
  <c r="J3026" i="25"/>
  <c r="J3027" i="25"/>
  <c r="J3028" i="25"/>
  <c r="J3029" i="25"/>
  <c r="J3030" i="25"/>
  <c r="J3031" i="25"/>
  <c r="J3032" i="25"/>
  <c r="J3033" i="25"/>
  <c r="J3034" i="25"/>
  <c r="J3035" i="25"/>
  <c r="J3036" i="25"/>
  <c r="J3037" i="25"/>
  <c r="J3038" i="25"/>
  <c r="J3039" i="25"/>
  <c r="J3040" i="25"/>
  <c r="J3041" i="25"/>
  <c r="J3042" i="25"/>
  <c r="J3043" i="25"/>
  <c r="J3044" i="25"/>
  <c r="J3045" i="25"/>
  <c r="J3046" i="25"/>
  <c r="J3047" i="25"/>
  <c r="J3048" i="25"/>
  <c r="J3049" i="25"/>
  <c r="J3050" i="25"/>
  <c r="J3051" i="25"/>
  <c r="J3052" i="25"/>
  <c r="J3053" i="25"/>
  <c r="J3054" i="25"/>
  <c r="J3055" i="25"/>
  <c r="J3056" i="25"/>
  <c r="J3057" i="25"/>
  <c r="J3058" i="25"/>
  <c r="J3059" i="25"/>
  <c r="J3060" i="25"/>
  <c r="J3061" i="25"/>
  <c r="J3062" i="25"/>
  <c r="J3063" i="25"/>
  <c r="J3064" i="25"/>
  <c r="J3065" i="25"/>
  <c r="J3066" i="25"/>
  <c r="J3067" i="25"/>
  <c r="J3068" i="25"/>
  <c r="J3069" i="25"/>
  <c r="J3070" i="25"/>
  <c r="J3071" i="25"/>
  <c r="J3072" i="25"/>
  <c r="J3073" i="25"/>
  <c r="J3074" i="25"/>
  <c r="J3075" i="25"/>
  <c r="J3076" i="25"/>
  <c r="J3077" i="25"/>
  <c r="J3078" i="25"/>
  <c r="J3079" i="25"/>
  <c r="J3080" i="25"/>
  <c r="J3081" i="25"/>
  <c r="J3082" i="25"/>
  <c r="J3083" i="25"/>
  <c r="J3084" i="25"/>
  <c r="J3085" i="25"/>
  <c r="J3086" i="25"/>
  <c r="J3087" i="25"/>
  <c r="J3088" i="25"/>
  <c r="J3089" i="25"/>
  <c r="J3090" i="25"/>
  <c r="J3091" i="25"/>
  <c r="J3092" i="25"/>
  <c r="J3093" i="25"/>
  <c r="J3094" i="25"/>
  <c r="J3095" i="25"/>
  <c r="J3096" i="25"/>
  <c r="J3097" i="25"/>
  <c r="J3098" i="25"/>
  <c r="J3099" i="25"/>
  <c r="J3100" i="25"/>
  <c r="J3101" i="25"/>
  <c r="J3102" i="25"/>
  <c r="J3103" i="25"/>
  <c r="J3104" i="25"/>
  <c r="J3105" i="25"/>
  <c r="J3106" i="25"/>
  <c r="J3107" i="25"/>
  <c r="J3108" i="25"/>
  <c r="J3109" i="25"/>
  <c r="J3110" i="25"/>
  <c r="J3111" i="25"/>
  <c r="J3112" i="25"/>
  <c r="J3113" i="25"/>
  <c r="J3114" i="25"/>
  <c r="J3115" i="25"/>
  <c r="J3116" i="25"/>
  <c r="J3117" i="25"/>
  <c r="J3118" i="25"/>
  <c r="J3119" i="25"/>
  <c r="J3120" i="25"/>
  <c r="J3121" i="25"/>
  <c r="J3122" i="25"/>
  <c r="J3123" i="25"/>
  <c r="J3124" i="25"/>
  <c r="J3125" i="25"/>
  <c r="J3126" i="25"/>
  <c r="J3127" i="25"/>
  <c r="J3128" i="25"/>
  <c r="J3129" i="25"/>
  <c r="J3130" i="25"/>
  <c r="J3131" i="25"/>
  <c r="J3132" i="25"/>
  <c r="J3133" i="25"/>
  <c r="J3134" i="25"/>
  <c r="J3135" i="25"/>
  <c r="J3136" i="25"/>
  <c r="J3137" i="25"/>
  <c r="J3138" i="25"/>
  <c r="J3139" i="25"/>
  <c r="J3140" i="25"/>
  <c r="J3141" i="25"/>
  <c r="J3142" i="25"/>
  <c r="J3143" i="25"/>
  <c r="J3144" i="25"/>
  <c r="J3145" i="25"/>
  <c r="J3146" i="25"/>
  <c r="J3147" i="25"/>
  <c r="J3148" i="25"/>
  <c r="J3149" i="25"/>
  <c r="J3150" i="25"/>
  <c r="J3151" i="25"/>
  <c r="J3152" i="25"/>
  <c r="J3153" i="25"/>
  <c r="J3154" i="25"/>
  <c r="J3155" i="25"/>
  <c r="J3156" i="25"/>
  <c r="J3157" i="25"/>
  <c r="J3158" i="25"/>
  <c r="J3159" i="25"/>
  <c r="J3160" i="25"/>
  <c r="J3161" i="25"/>
  <c r="J3162" i="25"/>
  <c r="J3163" i="25"/>
  <c r="J3164" i="25"/>
  <c r="J3165" i="25"/>
  <c r="J3166" i="25"/>
  <c r="J3167" i="25"/>
  <c r="J3168" i="25"/>
  <c r="J3169" i="25"/>
  <c r="J3170" i="25"/>
  <c r="J3171" i="25"/>
  <c r="J3172" i="25"/>
  <c r="J3173" i="25"/>
  <c r="J3174" i="25"/>
  <c r="J3175" i="25"/>
  <c r="J3176" i="25"/>
  <c r="J3177" i="25"/>
  <c r="J3178" i="25"/>
  <c r="J3179" i="25"/>
  <c r="J3180" i="25"/>
  <c r="J3181" i="25"/>
  <c r="J3182" i="25"/>
  <c r="J3183" i="25"/>
  <c r="J3184" i="25"/>
  <c r="J3185" i="25"/>
  <c r="J3186" i="25"/>
  <c r="J3187" i="25"/>
  <c r="J3188" i="25"/>
  <c r="J3189" i="25"/>
  <c r="J3190" i="25"/>
  <c r="J3191" i="25"/>
  <c r="J3192" i="25"/>
  <c r="J3193" i="25"/>
  <c r="J3194" i="25"/>
  <c r="J3195" i="25"/>
  <c r="J3196" i="25"/>
  <c r="J3197" i="25"/>
  <c r="J3198" i="25"/>
  <c r="J3199" i="25"/>
  <c r="J3200" i="25"/>
  <c r="J3201" i="25"/>
  <c r="J3202" i="25"/>
  <c r="J3203" i="25"/>
  <c r="J3204" i="25"/>
  <c r="J3205" i="25"/>
  <c r="J3206" i="25"/>
  <c r="J3207" i="25"/>
  <c r="J3208" i="25"/>
  <c r="J3209" i="25"/>
  <c r="J3210" i="25"/>
  <c r="J3211" i="25"/>
  <c r="J3212" i="25"/>
  <c r="J3213" i="25"/>
  <c r="J3214" i="25"/>
  <c r="J3215" i="25"/>
  <c r="J3216" i="25"/>
  <c r="J3217" i="25"/>
  <c r="J3218" i="25"/>
  <c r="J3219" i="25"/>
  <c r="J3220" i="25"/>
  <c r="J3221" i="25"/>
  <c r="J3222" i="25"/>
  <c r="J3223" i="25"/>
  <c r="J3224" i="25"/>
  <c r="J3225" i="25"/>
  <c r="J3226" i="25"/>
  <c r="J3227" i="25"/>
  <c r="J3228" i="25"/>
  <c r="J3229" i="25"/>
  <c r="J3230" i="25"/>
  <c r="J3231" i="25"/>
  <c r="J3232" i="25"/>
  <c r="J3233" i="25"/>
  <c r="J3234" i="25"/>
  <c r="J3235" i="25"/>
  <c r="J3236" i="25"/>
  <c r="J3237" i="25"/>
  <c r="J3238" i="25"/>
  <c r="J3239" i="25"/>
  <c r="J3240" i="25"/>
  <c r="J3241" i="25"/>
  <c r="J3242" i="25"/>
  <c r="J3243" i="25"/>
  <c r="J3244" i="25"/>
  <c r="J3245" i="25"/>
  <c r="J3246" i="25"/>
  <c r="J3247" i="25"/>
  <c r="J3248" i="25"/>
  <c r="J3249" i="25"/>
  <c r="J3250" i="25"/>
  <c r="J3251" i="25"/>
  <c r="J3252" i="25"/>
  <c r="J3253" i="25"/>
  <c r="J3254" i="25"/>
  <c r="J3255" i="25"/>
  <c r="J3256" i="25"/>
  <c r="J3257" i="25"/>
  <c r="J3258" i="25"/>
  <c r="J3259" i="25"/>
  <c r="J3260" i="25"/>
  <c r="J3261" i="25"/>
  <c r="J3262" i="25"/>
  <c r="J3263" i="25"/>
  <c r="J3264" i="25"/>
  <c r="J3265" i="25"/>
  <c r="J3266" i="25"/>
  <c r="J3267" i="25"/>
  <c r="J3268" i="25"/>
  <c r="J3269" i="25"/>
  <c r="J3270" i="25"/>
  <c r="J3271" i="25"/>
  <c r="J3272" i="25"/>
  <c r="J3273" i="25"/>
  <c r="J3274" i="25"/>
  <c r="J3275" i="25"/>
  <c r="J3276" i="25"/>
  <c r="J3277" i="25"/>
  <c r="J3278" i="25"/>
  <c r="J3279" i="25"/>
  <c r="J3280" i="25"/>
  <c r="J3281" i="25"/>
  <c r="J3282" i="25"/>
  <c r="J3283" i="25"/>
  <c r="J3284" i="25"/>
  <c r="J3285" i="25"/>
  <c r="J3286" i="25"/>
  <c r="J3287" i="25"/>
  <c r="J3288" i="25"/>
  <c r="J3289" i="25"/>
  <c r="J3290" i="25"/>
  <c r="J3291" i="25"/>
  <c r="J3292" i="25"/>
  <c r="J3293" i="25"/>
  <c r="J3294" i="25"/>
  <c r="J3295" i="25"/>
  <c r="J3296" i="25"/>
  <c r="J3297" i="25"/>
  <c r="J3298" i="25"/>
  <c r="J3299" i="25"/>
  <c r="J3300" i="25"/>
  <c r="J3301" i="25"/>
  <c r="J3302" i="25"/>
  <c r="J3303" i="25"/>
  <c r="J3304" i="25"/>
  <c r="J3305" i="25"/>
  <c r="J3306" i="25"/>
  <c r="J3307" i="25"/>
  <c r="J3308" i="25"/>
  <c r="J3309" i="25"/>
  <c r="J3310" i="25"/>
  <c r="J3311" i="25"/>
  <c r="J3312" i="25"/>
  <c r="J3313" i="25"/>
  <c r="J3314" i="25"/>
  <c r="J3315" i="25"/>
  <c r="J3316" i="25"/>
  <c r="J3317" i="25"/>
  <c r="J3318" i="25"/>
  <c r="J3319" i="25"/>
  <c r="J3320" i="25"/>
  <c r="J3321" i="25"/>
  <c r="J3322" i="25"/>
  <c r="J3323" i="25"/>
  <c r="J3324" i="25"/>
  <c r="J3325" i="25"/>
  <c r="J3326" i="25"/>
  <c r="J3327" i="25"/>
  <c r="J3328" i="25"/>
  <c r="J3329" i="25"/>
  <c r="J3330" i="25"/>
  <c r="J3331" i="25"/>
  <c r="J3332" i="25"/>
  <c r="J3333" i="25"/>
  <c r="J3334" i="25"/>
  <c r="J3335" i="25"/>
  <c r="J3336" i="25"/>
  <c r="J3337" i="25"/>
  <c r="J3338" i="25"/>
  <c r="J3339" i="25"/>
  <c r="J3340" i="25"/>
  <c r="J3341" i="25"/>
  <c r="J3342" i="25"/>
  <c r="J3343" i="25"/>
  <c r="J3344" i="25"/>
  <c r="J3345" i="25"/>
  <c r="J3346" i="25"/>
  <c r="J3347" i="25"/>
  <c r="J3348" i="25"/>
  <c r="J3349" i="25"/>
  <c r="J3350" i="25"/>
  <c r="J3351" i="25"/>
  <c r="J3352" i="25"/>
  <c r="J3353" i="25"/>
  <c r="J3354" i="25"/>
  <c r="J3355" i="25"/>
  <c r="J3356" i="25"/>
  <c r="J3357" i="25"/>
  <c r="J3358" i="25"/>
  <c r="J3359" i="25"/>
  <c r="J3360" i="25"/>
  <c r="J3361" i="25"/>
  <c r="J3362" i="25"/>
  <c r="J3363" i="25"/>
  <c r="J3364" i="25"/>
  <c r="J3365" i="25"/>
  <c r="J3366" i="25"/>
  <c r="J3367" i="25"/>
  <c r="J3368" i="25"/>
  <c r="J3369" i="25"/>
  <c r="J3370" i="25"/>
  <c r="J3371" i="25"/>
  <c r="J3372" i="25"/>
  <c r="J3373" i="25"/>
  <c r="J3374" i="25"/>
  <c r="J3375" i="25"/>
  <c r="J3376" i="25"/>
  <c r="J3377" i="25"/>
  <c r="J3378" i="25"/>
  <c r="J3379" i="25"/>
  <c r="J3380" i="25"/>
  <c r="J3381" i="25"/>
  <c r="J3382" i="25"/>
  <c r="J3383" i="25"/>
  <c r="J3384" i="25"/>
  <c r="J3385" i="25"/>
  <c r="J3386" i="25"/>
  <c r="J3387" i="25"/>
  <c r="J3388" i="25"/>
  <c r="J3389" i="25"/>
  <c r="J3390" i="25"/>
  <c r="J3391" i="25"/>
  <c r="J3392" i="25"/>
  <c r="J3393" i="25"/>
  <c r="J3394" i="25"/>
  <c r="J3395" i="25"/>
  <c r="J3396" i="25"/>
  <c r="J3397" i="25"/>
  <c r="J3398" i="25"/>
  <c r="J3399" i="25"/>
  <c r="J3400" i="25"/>
  <c r="J3401" i="25"/>
  <c r="J3402" i="25"/>
  <c r="J3403" i="25"/>
  <c r="J3404" i="25"/>
  <c r="J3405" i="25"/>
  <c r="J3406" i="25"/>
  <c r="J3407" i="25"/>
  <c r="J3408" i="25"/>
  <c r="J3409" i="25"/>
  <c r="J3410" i="25"/>
  <c r="J3411" i="25"/>
  <c r="J3412" i="25"/>
  <c r="J3413" i="25"/>
  <c r="J3414" i="25"/>
  <c r="J3415" i="25"/>
  <c r="J3416" i="25"/>
  <c r="J3417" i="25"/>
  <c r="J3418" i="25"/>
  <c r="J3419" i="25"/>
  <c r="J3420" i="25"/>
  <c r="J3421" i="25"/>
  <c r="J3422" i="25"/>
  <c r="J3423" i="25"/>
  <c r="J3424" i="25"/>
  <c r="J3425" i="25"/>
  <c r="J3426" i="25"/>
  <c r="J3427" i="25"/>
  <c r="J3428" i="25"/>
  <c r="J3429" i="25"/>
  <c r="J3430" i="25"/>
  <c r="J3431" i="25"/>
  <c r="J3432" i="25"/>
  <c r="J3433" i="25"/>
  <c r="J3434" i="25"/>
  <c r="J3435" i="25"/>
  <c r="J3436" i="25"/>
  <c r="J3437" i="25"/>
  <c r="J3438" i="25"/>
  <c r="J3439" i="25"/>
  <c r="J3440" i="25"/>
  <c r="J3441" i="25"/>
  <c r="J3442" i="25"/>
  <c r="J3443" i="25"/>
  <c r="J3444" i="25"/>
  <c r="J3445" i="25"/>
  <c r="J3446" i="25"/>
  <c r="J3447" i="25"/>
  <c r="J3448" i="25"/>
  <c r="J3449" i="25"/>
  <c r="J3450" i="25"/>
  <c r="J3451" i="25"/>
  <c r="J3452" i="25"/>
  <c r="J3453" i="25"/>
  <c r="J3454" i="25"/>
  <c r="J3455" i="25"/>
  <c r="J3456" i="25"/>
  <c r="J3457" i="25"/>
  <c r="J3458" i="25"/>
  <c r="J3459" i="25"/>
  <c r="J3460" i="25"/>
  <c r="J3461" i="25"/>
  <c r="J3462" i="25"/>
  <c r="J3463" i="25"/>
  <c r="J3464" i="25"/>
  <c r="J3465" i="25"/>
  <c r="J3466" i="25"/>
  <c r="J3467" i="25"/>
  <c r="J3468" i="25"/>
  <c r="J3469" i="25"/>
  <c r="J3470" i="25"/>
  <c r="J3471" i="25"/>
  <c r="J3472" i="25"/>
  <c r="J3473" i="25"/>
  <c r="J3474" i="25"/>
  <c r="J3475" i="25"/>
  <c r="J3476" i="25"/>
  <c r="J3477" i="25"/>
  <c r="J3478" i="25"/>
  <c r="J3479" i="25"/>
  <c r="J3480" i="25"/>
  <c r="J3481" i="25"/>
  <c r="J3482" i="25"/>
  <c r="J3483" i="25"/>
  <c r="J3484" i="25"/>
  <c r="J3485" i="25"/>
  <c r="J3486" i="25"/>
  <c r="J3487" i="25"/>
  <c r="J3488" i="25"/>
  <c r="J3489" i="25"/>
  <c r="J3490" i="25"/>
  <c r="J3491" i="25"/>
  <c r="J3492" i="25"/>
  <c r="J3493" i="25"/>
  <c r="J3494" i="25"/>
  <c r="J3495" i="25"/>
  <c r="J3496" i="25"/>
  <c r="J3497" i="25"/>
  <c r="J3498" i="25"/>
  <c r="J3499" i="25"/>
  <c r="J3500" i="25"/>
  <c r="J3501" i="25"/>
  <c r="J3502" i="25"/>
  <c r="J3503" i="25"/>
  <c r="J3504" i="25"/>
  <c r="J3505" i="25"/>
  <c r="J3506" i="25"/>
  <c r="J3507" i="25"/>
  <c r="J3508" i="25"/>
  <c r="J3509" i="25"/>
  <c r="J3510" i="25"/>
  <c r="J3511" i="25"/>
  <c r="J3512" i="25"/>
  <c r="J3513" i="25"/>
  <c r="J3514" i="25"/>
  <c r="J3515" i="25"/>
  <c r="J3516" i="25"/>
  <c r="J3517" i="25"/>
  <c r="J3518" i="25"/>
  <c r="J3519" i="25"/>
  <c r="J3520" i="25"/>
  <c r="J3521" i="25"/>
  <c r="J3522" i="25"/>
  <c r="J3523" i="25"/>
  <c r="J3524" i="25"/>
  <c r="J3525" i="25"/>
  <c r="J3526" i="25"/>
  <c r="J3527" i="25"/>
  <c r="J3528" i="25"/>
  <c r="J3529" i="25"/>
  <c r="J3530" i="25"/>
  <c r="J3531" i="25"/>
  <c r="J3532" i="25"/>
  <c r="J3533" i="25"/>
  <c r="J3534" i="25"/>
  <c r="J3535" i="25"/>
  <c r="J3536" i="25"/>
  <c r="J3537" i="25"/>
  <c r="J3538" i="25"/>
  <c r="J3539" i="25"/>
  <c r="J3540" i="25"/>
  <c r="J3541" i="25"/>
  <c r="J3542" i="25"/>
  <c r="J3543" i="25"/>
  <c r="J3544" i="25"/>
  <c r="J3545" i="25"/>
  <c r="J3546" i="25"/>
  <c r="J3547" i="25"/>
  <c r="J3548" i="25"/>
  <c r="J3549" i="25"/>
  <c r="J3550" i="25"/>
  <c r="J3551" i="25"/>
  <c r="J3552" i="25"/>
  <c r="J3553" i="25"/>
  <c r="J3554" i="25"/>
  <c r="J3555" i="25"/>
  <c r="J3556" i="25"/>
  <c r="J3557" i="25"/>
  <c r="J3558" i="25"/>
  <c r="J3559" i="25"/>
  <c r="J3560" i="25"/>
  <c r="J3561" i="25"/>
  <c r="J3562" i="25"/>
  <c r="J3563" i="25"/>
  <c r="J3564" i="25"/>
  <c r="J3565" i="25"/>
  <c r="J3566" i="25"/>
  <c r="J3567" i="25"/>
  <c r="J3568" i="25"/>
  <c r="J3569" i="25"/>
  <c r="J3570" i="25"/>
  <c r="J3571" i="25"/>
  <c r="J3572" i="25"/>
  <c r="J3573" i="25"/>
  <c r="J3574" i="25"/>
  <c r="J3575" i="25"/>
  <c r="J3576" i="25"/>
  <c r="J3577" i="25"/>
  <c r="J3578" i="25"/>
  <c r="J3579" i="25"/>
  <c r="J3580" i="25"/>
  <c r="J3581" i="25"/>
  <c r="J3582" i="25"/>
  <c r="J3583" i="25"/>
  <c r="J3584" i="25"/>
  <c r="J3585" i="25"/>
  <c r="J3586" i="25"/>
  <c r="J3587" i="25"/>
  <c r="J3588" i="25"/>
  <c r="J3589" i="25"/>
  <c r="J3590" i="25"/>
  <c r="J3591" i="25"/>
  <c r="J3592" i="25"/>
  <c r="J3593" i="25"/>
  <c r="J3594" i="25"/>
  <c r="J3595" i="25"/>
  <c r="J3596" i="25"/>
  <c r="J3597" i="25"/>
  <c r="J3598" i="25"/>
  <c r="J3599" i="25"/>
  <c r="J3600" i="25"/>
  <c r="J3601" i="25"/>
  <c r="J3602" i="25"/>
  <c r="J3603" i="25"/>
  <c r="J3604" i="25"/>
  <c r="J3605" i="25"/>
  <c r="J3606" i="25"/>
  <c r="J3607" i="25"/>
  <c r="J3608" i="25"/>
  <c r="J3609" i="25"/>
  <c r="J3610" i="25"/>
  <c r="J3611" i="25"/>
  <c r="J3612" i="25"/>
  <c r="J3613" i="25"/>
  <c r="J3614" i="25"/>
  <c r="J3615" i="25"/>
  <c r="J3616" i="25"/>
  <c r="J3617" i="25"/>
  <c r="J3618" i="25"/>
  <c r="J3619" i="25"/>
  <c r="J3620" i="25"/>
  <c r="J3621" i="25"/>
  <c r="J3622" i="25"/>
  <c r="J3623" i="25"/>
  <c r="J3624" i="25"/>
  <c r="J3625" i="25"/>
  <c r="J3626" i="25"/>
  <c r="J3627" i="25"/>
  <c r="J3628" i="25"/>
  <c r="J3629" i="25"/>
  <c r="J3630" i="25"/>
  <c r="J3631" i="25"/>
  <c r="J3632" i="25"/>
  <c r="J3633" i="25"/>
  <c r="J3634" i="25"/>
  <c r="J3635" i="25"/>
  <c r="J3636" i="25"/>
  <c r="J3637" i="25"/>
  <c r="J3638" i="25"/>
  <c r="J3639" i="25"/>
  <c r="J3640" i="25"/>
  <c r="J3641" i="25"/>
  <c r="J3642" i="25"/>
  <c r="J3643" i="25"/>
  <c r="J3644" i="25"/>
  <c r="J3645" i="25"/>
  <c r="J3646" i="25"/>
  <c r="J3647" i="25"/>
  <c r="J3648" i="25"/>
  <c r="J3649" i="25"/>
  <c r="J3650" i="25"/>
  <c r="J3651" i="25"/>
  <c r="J3652" i="25"/>
  <c r="J3653" i="25"/>
  <c r="J3654" i="25"/>
  <c r="J3655" i="25"/>
  <c r="J3656" i="25"/>
  <c r="J3657" i="25"/>
  <c r="J3658" i="25"/>
  <c r="J3659" i="25"/>
  <c r="J3660" i="25"/>
  <c r="J3661" i="25"/>
  <c r="J3662" i="25"/>
  <c r="J3663" i="25"/>
  <c r="J3664" i="25"/>
  <c r="J3665" i="25"/>
  <c r="J3666" i="25"/>
  <c r="J3667" i="25"/>
  <c r="D3231" i="25"/>
  <c r="Z3231" i="25"/>
  <c r="Q3231" i="25"/>
  <c r="S3231" i="25" s="1"/>
  <c r="Q4" i="25"/>
  <c r="S4" i="25" s="1"/>
  <c r="Q5" i="25"/>
  <c r="S5" i="25" s="1"/>
  <c r="Q6" i="25"/>
  <c r="S6" i="25" s="1"/>
  <c r="Q7" i="25"/>
  <c r="S7" i="25" s="1"/>
  <c r="Q8" i="25"/>
  <c r="S8" i="25" s="1"/>
  <c r="Q9" i="25"/>
  <c r="S9" i="25" s="1"/>
  <c r="Q10" i="25"/>
  <c r="S10" i="25" s="1"/>
  <c r="Q11" i="25"/>
  <c r="S11" i="25" s="1"/>
  <c r="Q12" i="25"/>
  <c r="S12" i="25" s="1"/>
  <c r="Q13" i="25"/>
  <c r="S13" i="25" s="1"/>
  <c r="Q14" i="25"/>
  <c r="S14" i="25" s="1"/>
  <c r="Q15" i="25"/>
  <c r="S15" i="25" s="1"/>
  <c r="Q16" i="25"/>
  <c r="S16" i="25" s="1"/>
  <c r="Q17" i="25"/>
  <c r="S17" i="25" s="1"/>
  <c r="Q18" i="25"/>
  <c r="S18" i="25" s="1"/>
  <c r="Q19" i="25"/>
  <c r="S19" i="25" s="1"/>
  <c r="Q20" i="25"/>
  <c r="S20" i="25" s="1"/>
  <c r="Q21" i="25"/>
  <c r="S21" i="25" s="1"/>
  <c r="Q22" i="25"/>
  <c r="S22" i="25" s="1"/>
  <c r="Q23" i="25"/>
  <c r="S23" i="25" s="1"/>
  <c r="Q24" i="25"/>
  <c r="S24" i="25" s="1"/>
  <c r="Q25" i="25"/>
  <c r="S25" i="25" s="1"/>
  <c r="Q26" i="25"/>
  <c r="S26" i="25" s="1"/>
  <c r="Q27" i="25"/>
  <c r="S27" i="25" s="1"/>
  <c r="Q28" i="25"/>
  <c r="S28" i="25" s="1"/>
  <c r="Q29" i="25"/>
  <c r="S29" i="25" s="1"/>
  <c r="Q30" i="25"/>
  <c r="S30" i="25" s="1"/>
  <c r="Q31" i="25"/>
  <c r="S31" i="25" s="1"/>
  <c r="Q32" i="25"/>
  <c r="S32" i="25" s="1"/>
  <c r="Q33" i="25"/>
  <c r="S33" i="25" s="1"/>
  <c r="Q34" i="25"/>
  <c r="S34" i="25" s="1"/>
  <c r="Q35" i="25"/>
  <c r="S35" i="25" s="1"/>
  <c r="Q36" i="25"/>
  <c r="S36" i="25" s="1"/>
  <c r="Q37" i="25"/>
  <c r="S37" i="25" s="1"/>
  <c r="Q38" i="25"/>
  <c r="S38" i="25" s="1"/>
  <c r="Q39" i="25"/>
  <c r="S39" i="25" s="1"/>
  <c r="Q40" i="25"/>
  <c r="S40" i="25" s="1"/>
  <c r="Q41" i="25"/>
  <c r="S41" i="25" s="1"/>
  <c r="Q42" i="25"/>
  <c r="S42" i="25" s="1"/>
  <c r="Q43" i="25"/>
  <c r="S43" i="25" s="1"/>
  <c r="Q44" i="25"/>
  <c r="S44" i="25" s="1"/>
  <c r="Q45" i="25"/>
  <c r="S45" i="25" s="1"/>
  <c r="Q46" i="25"/>
  <c r="S46" i="25" s="1"/>
  <c r="Q47" i="25"/>
  <c r="S47" i="25" s="1"/>
  <c r="Q48" i="25"/>
  <c r="S48" i="25" s="1"/>
  <c r="Q49" i="25"/>
  <c r="S49" i="25" s="1"/>
  <c r="Q50" i="25"/>
  <c r="S50" i="25" s="1"/>
  <c r="Q51" i="25"/>
  <c r="S51" i="25" s="1"/>
  <c r="Q52" i="25"/>
  <c r="S52" i="25" s="1"/>
  <c r="Q53" i="25"/>
  <c r="S53" i="25" s="1"/>
  <c r="Q54" i="25"/>
  <c r="S54" i="25" s="1"/>
  <c r="Q55" i="25"/>
  <c r="S55" i="25" s="1"/>
  <c r="Q56" i="25"/>
  <c r="S56" i="25" s="1"/>
  <c r="Q57" i="25"/>
  <c r="S57" i="25" s="1"/>
  <c r="Q58" i="25"/>
  <c r="S58" i="25" s="1"/>
  <c r="Q59" i="25"/>
  <c r="S59" i="25" s="1"/>
  <c r="Q60" i="25"/>
  <c r="S60" i="25" s="1"/>
  <c r="Q61" i="25"/>
  <c r="S61" i="25" s="1"/>
  <c r="Q62" i="25"/>
  <c r="S62" i="25" s="1"/>
  <c r="Q63" i="25"/>
  <c r="S63" i="25" s="1"/>
  <c r="Q64" i="25"/>
  <c r="S64" i="25" s="1"/>
  <c r="Q65" i="25"/>
  <c r="S65" i="25" s="1"/>
  <c r="Q66" i="25"/>
  <c r="S66" i="25" s="1"/>
  <c r="Q67" i="25"/>
  <c r="S67" i="25" s="1"/>
  <c r="Q68" i="25"/>
  <c r="S68" i="25" s="1"/>
  <c r="Q69" i="25"/>
  <c r="S69" i="25" s="1"/>
  <c r="Q70" i="25"/>
  <c r="S70" i="25" s="1"/>
  <c r="Q71" i="25"/>
  <c r="S71" i="25" s="1"/>
  <c r="Q72" i="25"/>
  <c r="S72" i="25" s="1"/>
  <c r="Q73" i="25"/>
  <c r="S73" i="25" s="1"/>
  <c r="Q74" i="25"/>
  <c r="S74" i="25" s="1"/>
  <c r="Q75" i="25"/>
  <c r="S75" i="25" s="1"/>
  <c r="Q76" i="25"/>
  <c r="S76" i="25" s="1"/>
  <c r="Q77" i="25"/>
  <c r="S77" i="25" s="1"/>
  <c r="Q78" i="25"/>
  <c r="S78" i="25" s="1"/>
  <c r="Q79" i="25"/>
  <c r="S79" i="25" s="1"/>
  <c r="Q80" i="25"/>
  <c r="S80" i="25" s="1"/>
  <c r="Q81" i="25"/>
  <c r="S81" i="25" s="1"/>
  <c r="Q82" i="25"/>
  <c r="S82" i="25" s="1"/>
  <c r="Q83" i="25"/>
  <c r="S83" i="25" s="1"/>
  <c r="Q84" i="25"/>
  <c r="S84" i="25" s="1"/>
  <c r="Q85" i="25"/>
  <c r="S85" i="25" s="1"/>
  <c r="Q86" i="25"/>
  <c r="S86" i="25" s="1"/>
  <c r="Q87" i="25"/>
  <c r="S87" i="25" s="1"/>
  <c r="Q88" i="25"/>
  <c r="S88" i="25" s="1"/>
  <c r="Q89" i="25"/>
  <c r="S89" i="25" s="1"/>
  <c r="Q90" i="25"/>
  <c r="S90" i="25" s="1"/>
  <c r="Q91" i="25"/>
  <c r="S91" i="25" s="1"/>
  <c r="Q92" i="25"/>
  <c r="S92" i="25" s="1"/>
  <c r="Q93" i="25"/>
  <c r="S93" i="25" s="1"/>
  <c r="Q94" i="25"/>
  <c r="S94" i="25" s="1"/>
  <c r="Q95" i="25"/>
  <c r="S95" i="25" s="1"/>
  <c r="Q96" i="25"/>
  <c r="S96" i="25" s="1"/>
  <c r="Q97" i="25"/>
  <c r="S97" i="25" s="1"/>
  <c r="Q98" i="25"/>
  <c r="S98" i="25" s="1"/>
  <c r="Q99" i="25"/>
  <c r="S99" i="25" s="1"/>
  <c r="Q100" i="25"/>
  <c r="S100" i="25" s="1"/>
  <c r="Q101" i="25"/>
  <c r="S101" i="25" s="1"/>
  <c r="Q102" i="25"/>
  <c r="S102" i="25" s="1"/>
  <c r="Q103" i="25"/>
  <c r="S103" i="25" s="1"/>
  <c r="Q104" i="25"/>
  <c r="S104" i="25" s="1"/>
  <c r="Q105" i="25"/>
  <c r="S105" i="25" s="1"/>
  <c r="Q106" i="25"/>
  <c r="S106" i="25" s="1"/>
  <c r="Q107" i="25"/>
  <c r="S107" i="25" s="1"/>
  <c r="Q108" i="25"/>
  <c r="S108" i="25" s="1"/>
  <c r="Q109" i="25"/>
  <c r="S109" i="25" s="1"/>
  <c r="Q110" i="25"/>
  <c r="S110" i="25" s="1"/>
  <c r="Q111" i="25"/>
  <c r="S111" i="25" s="1"/>
  <c r="Q112" i="25"/>
  <c r="S112" i="25" s="1"/>
  <c r="Q113" i="25"/>
  <c r="S113" i="25" s="1"/>
  <c r="Q114" i="25"/>
  <c r="S114" i="25" s="1"/>
  <c r="Q115" i="25"/>
  <c r="S115" i="25" s="1"/>
  <c r="Q116" i="25"/>
  <c r="S116" i="25" s="1"/>
  <c r="Q117" i="25"/>
  <c r="S117" i="25" s="1"/>
  <c r="Q118" i="25"/>
  <c r="S118" i="25" s="1"/>
  <c r="Q119" i="25"/>
  <c r="S119" i="25" s="1"/>
  <c r="Q120" i="25"/>
  <c r="S120" i="25" s="1"/>
  <c r="Q121" i="25"/>
  <c r="S121" i="25" s="1"/>
  <c r="Q122" i="25"/>
  <c r="S122" i="25" s="1"/>
  <c r="Q123" i="25"/>
  <c r="S123" i="25" s="1"/>
  <c r="Q124" i="25"/>
  <c r="S124" i="25" s="1"/>
  <c r="Q125" i="25"/>
  <c r="S125" i="25" s="1"/>
  <c r="Q126" i="25"/>
  <c r="S126" i="25" s="1"/>
  <c r="Q127" i="25"/>
  <c r="S127" i="25" s="1"/>
  <c r="Q128" i="25"/>
  <c r="S128" i="25" s="1"/>
  <c r="Q129" i="25"/>
  <c r="S129" i="25" s="1"/>
  <c r="Q130" i="25"/>
  <c r="S130" i="25" s="1"/>
  <c r="Q131" i="25"/>
  <c r="S131" i="25" s="1"/>
  <c r="Q132" i="25"/>
  <c r="S132" i="25" s="1"/>
  <c r="Q133" i="25"/>
  <c r="S133" i="25" s="1"/>
  <c r="Q134" i="25"/>
  <c r="S134" i="25" s="1"/>
  <c r="Q135" i="25"/>
  <c r="S135" i="25" s="1"/>
  <c r="Q136" i="25"/>
  <c r="S136" i="25" s="1"/>
  <c r="Q137" i="25"/>
  <c r="S137" i="25" s="1"/>
  <c r="Q138" i="25"/>
  <c r="S138" i="25" s="1"/>
  <c r="Q139" i="25"/>
  <c r="S139" i="25" s="1"/>
  <c r="Q140" i="25"/>
  <c r="S140" i="25" s="1"/>
  <c r="Q141" i="25"/>
  <c r="S141" i="25" s="1"/>
  <c r="Q142" i="25"/>
  <c r="S142" i="25" s="1"/>
  <c r="Q143" i="25"/>
  <c r="S143" i="25" s="1"/>
  <c r="Q144" i="25"/>
  <c r="S144" i="25" s="1"/>
  <c r="Q145" i="25"/>
  <c r="S145" i="25" s="1"/>
  <c r="Q146" i="25"/>
  <c r="S146" i="25" s="1"/>
  <c r="Q147" i="25"/>
  <c r="S147" i="25" s="1"/>
  <c r="Q148" i="25"/>
  <c r="S148" i="25" s="1"/>
  <c r="Q149" i="25"/>
  <c r="S149" i="25" s="1"/>
  <c r="Q150" i="25"/>
  <c r="S150" i="25" s="1"/>
  <c r="Q151" i="25"/>
  <c r="S151" i="25" s="1"/>
  <c r="Q152" i="25"/>
  <c r="S152" i="25" s="1"/>
  <c r="Q153" i="25"/>
  <c r="S153" i="25" s="1"/>
  <c r="Q154" i="25"/>
  <c r="S154" i="25" s="1"/>
  <c r="Q155" i="25"/>
  <c r="S155" i="25" s="1"/>
  <c r="Q156" i="25"/>
  <c r="S156" i="25" s="1"/>
  <c r="Q157" i="25"/>
  <c r="S157" i="25" s="1"/>
  <c r="Q158" i="25"/>
  <c r="S158" i="25" s="1"/>
  <c r="Q159" i="25"/>
  <c r="S159" i="25" s="1"/>
  <c r="Q160" i="25"/>
  <c r="S160" i="25" s="1"/>
  <c r="Q161" i="25"/>
  <c r="S161" i="25" s="1"/>
  <c r="Q162" i="25"/>
  <c r="S162" i="25" s="1"/>
  <c r="Q163" i="25"/>
  <c r="S163" i="25" s="1"/>
  <c r="Q164" i="25"/>
  <c r="S164" i="25" s="1"/>
  <c r="Q165" i="25"/>
  <c r="S165" i="25" s="1"/>
  <c r="Q166" i="25"/>
  <c r="S166" i="25" s="1"/>
  <c r="Q167" i="25"/>
  <c r="S167" i="25" s="1"/>
  <c r="Q168" i="25"/>
  <c r="S168" i="25" s="1"/>
  <c r="Q169" i="25"/>
  <c r="S169" i="25" s="1"/>
  <c r="Q170" i="25"/>
  <c r="S170" i="25" s="1"/>
  <c r="Q171" i="25"/>
  <c r="S171" i="25" s="1"/>
  <c r="Q172" i="25"/>
  <c r="S172" i="25" s="1"/>
  <c r="Q173" i="25"/>
  <c r="S173" i="25" s="1"/>
  <c r="Q174" i="25"/>
  <c r="S174" i="25" s="1"/>
  <c r="Q175" i="25"/>
  <c r="S175" i="25" s="1"/>
  <c r="Q176" i="25"/>
  <c r="S176" i="25" s="1"/>
  <c r="Q177" i="25"/>
  <c r="S177" i="25" s="1"/>
  <c r="Q178" i="25"/>
  <c r="S178" i="25" s="1"/>
  <c r="Q179" i="25"/>
  <c r="S179" i="25" s="1"/>
  <c r="Q180" i="25"/>
  <c r="S180" i="25" s="1"/>
  <c r="Q181" i="25"/>
  <c r="S181" i="25" s="1"/>
  <c r="Q182" i="25"/>
  <c r="S182" i="25" s="1"/>
  <c r="Q183" i="25"/>
  <c r="S183" i="25" s="1"/>
  <c r="Q184" i="25"/>
  <c r="S184" i="25" s="1"/>
  <c r="Q185" i="25"/>
  <c r="S185" i="25" s="1"/>
  <c r="Q186" i="25"/>
  <c r="S186" i="25" s="1"/>
  <c r="Q187" i="25"/>
  <c r="S187" i="25" s="1"/>
  <c r="Q188" i="25"/>
  <c r="S188" i="25" s="1"/>
  <c r="Q189" i="25"/>
  <c r="S189" i="25" s="1"/>
  <c r="Q190" i="25"/>
  <c r="S190" i="25" s="1"/>
  <c r="Q191" i="25"/>
  <c r="S191" i="25" s="1"/>
  <c r="Q192" i="25"/>
  <c r="S192" i="25" s="1"/>
  <c r="Q193" i="25"/>
  <c r="S193" i="25" s="1"/>
  <c r="Q194" i="25"/>
  <c r="S194" i="25" s="1"/>
  <c r="Q195" i="25"/>
  <c r="S195" i="25" s="1"/>
  <c r="Q196" i="25"/>
  <c r="S196" i="25" s="1"/>
  <c r="Q197" i="25"/>
  <c r="S197" i="25" s="1"/>
  <c r="Q198" i="25"/>
  <c r="S198" i="25" s="1"/>
  <c r="Q199" i="25"/>
  <c r="S199" i="25" s="1"/>
  <c r="Q200" i="25"/>
  <c r="S200" i="25" s="1"/>
  <c r="Q201" i="25"/>
  <c r="S201" i="25" s="1"/>
  <c r="Q202" i="25"/>
  <c r="S202" i="25" s="1"/>
  <c r="Q203" i="25"/>
  <c r="S203" i="25" s="1"/>
  <c r="Q204" i="25"/>
  <c r="S204" i="25" s="1"/>
  <c r="Q205" i="25"/>
  <c r="S205" i="25" s="1"/>
  <c r="Q206" i="25"/>
  <c r="S206" i="25" s="1"/>
  <c r="Q207" i="25"/>
  <c r="S207" i="25" s="1"/>
  <c r="Q208" i="25"/>
  <c r="S208" i="25" s="1"/>
  <c r="Q209" i="25"/>
  <c r="S209" i="25" s="1"/>
  <c r="Q210" i="25"/>
  <c r="S210" i="25" s="1"/>
  <c r="Q211" i="25"/>
  <c r="S211" i="25" s="1"/>
  <c r="Q212" i="25"/>
  <c r="S212" i="25" s="1"/>
  <c r="Q213" i="25"/>
  <c r="S213" i="25" s="1"/>
  <c r="Q214" i="25"/>
  <c r="S214" i="25" s="1"/>
  <c r="Q215" i="25"/>
  <c r="S215" i="25" s="1"/>
  <c r="Q216" i="25"/>
  <c r="S216" i="25" s="1"/>
  <c r="Q217" i="25"/>
  <c r="S217" i="25" s="1"/>
  <c r="Q218" i="25"/>
  <c r="S218" i="25" s="1"/>
  <c r="Q219" i="25"/>
  <c r="S219" i="25" s="1"/>
  <c r="Q220" i="25"/>
  <c r="S220" i="25" s="1"/>
  <c r="Q221" i="25"/>
  <c r="S221" i="25" s="1"/>
  <c r="Q222" i="25"/>
  <c r="S222" i="25" s="1"/>
  <c r="Q223" i="25"/>
  <c r="S223" i="25" s="1"/>
  <c r="Q224" i="25"/>
  <c r="S224" i="25" s="1"/>
  <c r="Q225" i="25"/>
  <c r="S225" i="25" s="1"/>
  <c r="Q226" i="25"/>
  <c r="S226" i="25" s="1"/>
  <c r="Q227" i="25"/>
  <c r="S227" i="25" s="1"/>
  <c r="Q228" i="25"/>
  <c r="S228" i="25" s="1"/>
  <c r="Q229" i="25"/>
  <c r="S229" i="25" s="1"/>
  <c r="Q230" i="25"/>
  <c r="S230" i="25" s="1"/>
  <c r="Q231" i="25"/>
  <c r="S231" i="25" s="1"/>
  <c r="Q232" i="25"/>
  <c r="S232" i="25" s="1"/>
  <c r="Q233" i="25"/>
  <c r="S233" i="25" s="1"/>
  <c r="Q234" i="25"/>
  <c r="S234" i="25" s="1"/>
  <c r="Q235" i="25"/>
  <c r="S235" i="25" s="1"/>
  <c r="Q236" i="25"/>
  <c r="S236" i="25" s="1"/>
  <c r="Q237" i="25"/>
  <c r="S237" i="25" s="1"/>
  <c r="Q238" i="25"/>
  <c r="S238" i="25" s="1"/>
  <c r="Q239" i="25"/>
  <c r="S239" i="25" s="1"/>
  <c r="Q240" i="25"/>
  <c r="S240" i="25" s="1"/>
  <c r="Q241" i="25"/>
  <c r="S241" i="25" s="1"/>
  <c r="Q242" i="25"/>
  <c r="S242" i="25" s="1"/>
  <c r="Q243" i="25"/>
  <c r="S243" i="25" s="1"/>
  <c r="Q244" i="25"/>
  <c r="S244" i="25" s="1"/>
  <c r="Q245" i="25"/>
  <c r="S245" i="25" s="1"/>
  <c r="Q246" i="25"/>
  <c r="S246" i="25" s="1"/>
  <c r="Q247" i="25"/>
  <c r="S247" i="25" s="1"/>
  <c r="Q248" i="25"/>
  <c r="S248" i="25" s="1"/>
  <c r="Q249" i="25"/>
  <c r="S249" i="25" s="1"/>
  <c r="Q250" i="25"/>
  <c r="S250" i="25" s="1"/>
  <c r="Q251" i="25"/>
  <c r="S251" i="25" s="1"/>
  <c r="Q252" i="25"/>
  <c r="S252" i="25" s="1"/>
  <c r="Q253" i="25"/>
  <c r="S253" i="25" s="1"/>
  <c r="Q254" i="25"/>
  <c r="S254" i="25" s="1"/>
  <c r="Q255" i="25"/>
  <c r="S255" i="25" s="1"/>
  <c r="Q256" i="25"/>
  <c r="S256" i="25" s="1"/>
  <c r="Q257" i="25"/>
  <c r="S257" i="25" s="1"/>
  <c r="Q258" i="25"/>
  <c r="S258" i="25" s="1"/>
  <c r="Q259" i="25"/>
  <c r="S259" i="25" s="1"/>
  <c r="Q260" i="25"/>
  <c r="S260" i="25" s="1"/>
  <c r="Q261" i="25"/>
  <c r="S261" i="25" s="1"/>
  <c r="Q262" i="25"/>
  <c r="S262" i="25" s="1"/>
  <c r="Q263" i="25"/>
  <c r="S263" i="25" s="1"/>
  <c r="Q264" i="25"/>
  <c r="S264" i="25" s="1"/>
  <c r="Q265" i="25"/>
  <c r="S265" i="25" s="1"/>
  <c r="Q266" i="25"/>
  <c r="S266" i="25" s="1"/>
  <c r="Q267" i="25"/>
  <c r="S267" i="25" s="1"/>
  <c r="Q268" i="25"/>
  <c r="S268" i="25" s="1"/>
  <c r="Q269" i="25"/>
  <c r="S269" i="25" s="1"/>
  <c r="Q270" i="25"/>
  <c r="S270" i="25" s="1"/>
  <c r="Q271" i="25"/>
  <c r="S271" i="25" s="1"/>
  <c r="Q272" i="25"/>
  <c r="S272" i="25" s="1"/>
  <c r="Q273" i="25"/>
  <c r="S273" i="25" s="1"/>
  <c r="Q274" i="25"/>
  <c r="S274" i="25" s="1"/>
  <c r="Q275" i="25"/>
  <c r="S275" i="25" s="1"/>
  <c r="Q276" i="25"/>
  <c r="S276" i="25" s="1"/>
  <c r="Q277" i="25"/>
  <c r="S277" i="25" s="1"/>
  <c r="Q278" i="25"/>
  <c r="S278" i="25" s="1"/>
  <c r="Q279" i="25"/>
  <c r="S279" i="25" s="1"/>
  <c r="Q280" i="25"/>
  <c r="S280" i="25" s="1"/>
  <c r="Q281" i="25"/>
  <c r="S281" i="25" s="1"/>
  <c r="Q282" i="25"/>
  <c r="S282" i="25" s="1"/>
  <c r="Q283" i="25"/>
  <c r="S283" i="25" s="1"/>
  <c r="Q284" i="25"/>
  <c r="S284" i="25" s="1"/>
  <c r="Q285" i="25"/>
  <c r="S285" i="25" s="1"/>
  <c r="Q286" i="25"/>
  <c r="S286" i="25" s="1"/>
  <c r="Q287" i="25"/>
  <c r="S287" i="25" s="1"/>
  <c r="Q288" i="25"/>
  <c r="S288" i="25" s="1"/>
  <c r="Q289" i="25"/>
  <c r="S289" i="25" s="1"/>
  <c r="Q290" i="25"/>
  <c r="S290" i="25" s="1"/>
  <c r="Q291" i="25"/>
  <c r="S291" i="25" s="1"/>
  <c r="Q292" i="25"/>
  <c r="S292" i="25" s="1"/>
  <c r="Q293" i="25"/>
  <c r="S293" i="25" s="1"/>
  <c r="Q294" i="25"/>
  <c r="S294" i="25" s="1"/>
  <c r="Q295" i="25"/>
  <c r="S295" i="25" s="1"/>
  <c r="Q296" i="25"/>
  <c r="S296" i="25" s="1"/>
  <c r="Q297" i="25"/>
  <c r="S297" i="25" s="1"/>
  <c r="Q298" i="25"/>
  <c r="S298" i="25" s="1"/>
  <c r="Q299" i="25"/>
  <c r="S299" i="25" s="1"/>
  <c r="Q300" i="25"/>
  <c r="S300" i="25" s="1"/>
  <c r="Q301" i="25"/>
  <c r="S301" i="25" s="1"/>
  <c r="Q302" i="25"/>
  <c r="S302" i="25" s="1"/>
  <c r="Q303" i="25"/>
  <c r="S303" i="25" s="1"/>
  <c r="Q304" i="25"/>
  <c r="S304" i="25" s="1"/>
  <c r="Q305" i="25"/>
  <c r="S305" i="25" s="1"/>
  <c r="Q306" i="25"/>
  <c r="S306" i="25" s="1"/>
  <c r="Q307" i="25"/>
  <c r="S307" i="25" s="1"/>
  <c r="Q308" i="25"/>
  <c r="S308" i="25" s="1"/>
  <c r="Q309" i="25"/>
  <c r="S309" i="25" s="1"/>
  <c r="Q310" i="25"/>
  <c r="S310" i="25" s="1"/>
  <c r="Q311" i="25"/>
  <c r="S311" i="25" s="1"/>
  <c r="Q312" i="25"/>
  <c r="S312" i="25" s="1"/>
  <c r="Q313" i="25"/>
  <c r="S313" i="25" s="1"/>
  <c r="Q314" i="25"/>
  <c r="S314" i="25" s="1"/>
  <c r="Q315" i="25"/>
  <c r="S315" i="25" s="1"/>
  <c r="Q316" i="25"/>
  <c r="S316" i="25" s="1"/>
  <c r="Q317" i="25"/>
  <c r="S317" i="25" s="1"/>
  <c r="Q318" i="25"/>
  <c r="S318" i="25" s="1"/>
  <c r="Q319" i="25"/>
  <c r="S319" i="25" s="1"/>
  <c r="Q320" i="25"/>
  <c r="S320" i="25" s="1"/>
  <c r="Q321" i="25"/>
  <c r="S321" i="25" s="1"/>
  <c r="Q322" i="25"/>
  <c r="S322" i="25" s="1"/>
  <c r="Q323" i="25"/>
  <c r="S323" i="25" s="1"/>
  <c r="Q324" i="25"/>
  <c r="S324" i="25" s="1"/>
  <c r="Q325" i="25"/>
  <c r="S325" i="25" s="1"/>
  <c r="Q326" i="25"/>
  <c r="S326" i="25" s="1"/>
  <c r="Q327" i="25"/>
  <c r="S327" i="25" s="1"/>
  <c r="Q328" i="25"/>
  <c r="S328" i="25" s="1"/>
  <c r="Q329" i="25"/>
  <c r="S329" i="25" s="1"/>
  <c r="Q330" i="25"/>
  <c r="S330" i="25" s="1"/>
  <c r="Q331" i="25"/>
  <c r="S331" i="25" s="1"/>
  <c r="Q332" i="25"/>
  <c r="S332" i="25" s="1"/>
  <c r="Q333" i="25"/>
  <c r="S333" i="25" s="1"/>
  <c r="Q334" i="25"/>
  <c r="S334" i="25" s="1"/>
  <c r="Q335" i="25"/>
  <c r="S335" i="25" s="1"/>
  <c r="Q336" i="25"/>
  <c r="S336" i="25" s="1"/>
  <c r="Q337" i="25"/>
  <c r="S337" i="25" s="1"/>
  <c r="Q338" i="25"/>
  <c r="S338" i="25" s="1"/>
  <c r="Q339" i="25"/>
  <c r="S339" i="25" s="1"/>
  <c r="Q340" i="25"/>
  <c r="S340" i="25" s="1"/>
  <c r="Q341" i="25"/>
  <c r="S341" i="25" s="1"/>
  <c r="Q342" i="25"/>
  <c r="S342" i="25" s="1"/>
  <c r="Q343" i="25"/>
  <c r="S343" i="25" s="1"/>
  <c r="Q344" i="25"/>
  <c r="S344" i="25" s="1"/>
  <c r="Q345" i="25"/>
  <c r="S345" i="25" s="1"/>
  <c r="Q346" i="25"/>
  <c r="S346" i="25" s="1"/>
  <c r="Q347" i="25"/>
  <c r="S347" i="25" s="1"/>
  <c r="Q348" i="25"/>
  <c r="S348" i="25" s="1"/>
  <c r="Q349" i="25"/>
  <c r="S349" i="25" s="1"/>
  <c r="Q350" i="25"/>
  <c r="S350" i="25" s="1"/>
  <c r="Q351" i="25"/>
  <c r="S351" i="25" s="1"/>
  <c r="Q352" i="25"/>
  <c r="S352" i="25" s="1"/>
  <c r="Q353" i="25"/>
  <c r="S353" i="25" s="1"/>
  <c r="Q354" i="25"/>
  <c r="S354" i="25" s="1"/>
  <c r="Q355" i="25"/>
  <c r="S355" i="25" s="1"/>
  <c r="Q356" i="25"/>
  <c r="S356" i="25" s="1"/>
  <c r="Q357" i="25"/>
  <c r="S357" i="25" s="1"/>
  <c r="Q358" i="25"/>
  <c r="S358" i="25" s="1"/>
  <c r="Q359" i="25"/>
  <c r="S359" i="25" s="1"/>
  <c r="Q360" i="25"/>
  <c r="S360" i="25" s="1"/>
  <c r="Q361" i="25"/>
  <c r="S361" i="25" s="1"/>
  <c r="Q362" i="25"/>
  <c r="S362" i="25" s="1"/>
  <c r="Q363" i="25"/>
  <c r="S363" i="25" s="1"/>
  <c r="Q364" i="25"/>
  <c r="S364" i="25" s="1"/>
  <c r="Q365" i="25"/>
  <c r="S365" i="25" s="1"/>
  <c r="Q366" i="25"/>
  <c r="S366" i="25" s="1"/>
  <c r="Q367" i="25"/>
  <c r="S367" i="25" s="1"/>
  <c r="Q368" i="25"/>
  <c r="S368" i="25" s="1"/>
  <c r="Q369" i="25"/>
  <c r="S369" i="25" s="1"/>
  <c r="Q370" i="25"/>
  <c r="S370" i="25" s="1"/>
  <c r="Q371" i="25"/>
  <c r="S371" i="25" s="1"/>
  <c r="Q372" i="25"/>
  <c r="S372" i="25" s="1"/>
  <c r="Q373" i="25"/>
  <c r="S373" i="25" s="1"/>
  <c r="Q374" i="25"/>
  <c r="S374" i="25" s="1"/>
  <c r="Q375" i="25"/>
  <c r="S375" i="25" s="1"/>
  <c r="Q376" i="25"/>
  <c r="S376" i="25" s="1"/>
  <c r="Q377" i="25"/>
  <c r="S377" i="25" s="1"/>
  <c r="Q378" i="25"/>
  <c r="S378" i="25" s="1"/>
  <c r="Q379" i="25"/>
  <c r="S379" i="25" s="1"/>
  <c r="Q380" i="25"/>
  <c r="S380" i="25" s="1"/>
  <c r="Q381" i="25"/>
  <c r="S381" i="25" s="1"/>
  <c r="Q382" i="25"/>
  <c r="S382" i="25" s="1"/>
  <c r="Q383" i="25"/>
  <c r="S383" i="25" s="1"/>
  <c r="Q384" i="25"/>
  <c r="S384" i="25" s="1"/>
  <c r="Q385" i="25"/>
  <c r="S385" i="25" s="1"/>
  <c r="Q386" i="25"/>
  <c r="S386" i="25" s="1"/>
  <c r="Q387" i="25"/>
  <c r="S387" i="25" s="1"/>
  <c r="Q388" i="25"/>
  <c r="S388" i="25" s="1"/>
  <c r="Q389" i="25"/>
  <c r="S389" i="25" s="1"/>
  <c r="Q390" i="25"/>
  <c r="S390" i="25" s="1"/>
  <c r="Q391" i="25"/>
  <c r="S391" i="25" s="1"/>
  <c r="Q392" i="25"/>
  <c r="S392" i="25" s="1"/>
  <c r="Q393" i="25"/>
  <c r="S393" i="25" s="1"/>
  <c r="Q394" i="25"/>
  <c r="S394" i="25" s="1"/>
  <c r="Q395" i="25"/>
  <c r="S395" i="25" s="1"/>
  <c r="Q396" i="25"/>
  <c r="S396" i="25" s="1"/>
  <c r="Q397" i="25"/>
  <c r="S397" i="25" s="1"/>
  <c r="Q398" i="25"/>
  <c r="S398" i="25" s="1"/>
  <c r="Q399" i="25"/>
  <c r="S399" i="25" s="1"/>
  <c r="Q400" i="25"/>
  <c r="S400" i="25" s="1"/>
  <c r="Q401" i="25"/>
  <c r="S401" i="25" s="1"/>
  <c r="Q402" i="25"/>
  <c r="S402" i="25" s="1"/>
  <c r="Q403" i="25"/>
  <c r="S403" i="25" s="1"/>
  <c r="Q404" i="25"/>
  <c r="S404" i="25" s="1"/>
  <c r="Q405" i="25"/>
  <c r="S405" i="25" s="1"/>
  <c r="Q406" i="25"/>
  <c r="S406" i="25" s="1"/>
  <c r="Q407" i="25"/>
  <c r="S407" i="25" s="1"/>
  <c r="Q408" i="25"/>
  <c r="S408" i="25" s="1"/>
  <c r="Q409" i="25"/>
  <c r="S409" i="25" s="1"/>
  <c r="Q410" i="25"/>
  <c r="S410" i="25" s="1"/>
  <c r="Q411" i="25"/>
  <c r="S411" i="25" s="1"/>
  <c r="Q412" i="25"/>
  <c r="S412" i="25" s="1"/>
  <c r="Q413" i="25"/>
  <c r="S413" i="25" s="1"/>
  <c r="Q414" i="25"/>
  <c r="S414" i="25" s="1"/>
  <c r="Q415" i="25"/>
  <c r="S415" i="25" s="1"/>
  <c r="Q416" i="25"/>
  <c r="S416" i="25" s="1"/>
  <c r="Q417" i="25"/>
  <c r="S417" i="25" s="1"/>
  <c r="Q418" i="25"/>
  <c r="S418" i="25" s="1"/>
  <c r="Q419" i="25"/>
  <c r="S419" i="25" s="1"/>
  <c r="Q420" i="25"/>
  <c r="S420" i="25" s="1"/>
  <c r="Q421" i="25"/>
  <c r="S421" i="25" s="1"/>
  <c r="Q422" i="25"/>
  <c r="S422" i="25" s="1"/>
  <c r="Q423" i="25"/>
  <c r="S423" i="25" s="1"/>
  <c r="Q424" i="25"/>
  <c r="S424" i="25" s="1"/>
  <c r="Q425" i="25"/>
  <c r="S425" i="25" s="1"/>
  <c r="Q426" i="25"/>
  <c r="S426" i="25" s="1"/>
  <c r="Q427" i="25"/>
  <c r="S427" i="25" s="1"/>
  <c r="Q428" i="25"/>
  <c r="S428" i="25" s="1"/>
  <c r="Q429" i="25"/>
  <c r="S429" i="25" s="1"/>
  <c r="Q430" i="25"/>
  <c r="S430" i="25" s="1"/>
  <c r="Q431" i="25"/>
  <c r="S431" i="25" s="1"/>
  <c r="Q432" i="25"/>
  <c r="S432" i="25" s="1"/>
  <c r="Q433" i="25"/>
  <c r="S433" i="25" s="1"/>
  <c r="Q434" i="25"/>
  <c r="S434" i="25" s="1"/>
  <c r="Q435" i="25"/>
  <c r="S435" i="25" s="1"/>
  <c r="Q436" i="25"/>
  <c r="S436" i="25" s="1"/>
  <c r="Q437" i="25"/>
  <c r="S437" i="25" s="1"/>
  <c r="Q438" i="25"/>
  <c r="S438" i="25" s="1"/>
  <c r="Q439" i="25"/>
  <c r="S439" i="25" s="1"/>
  <c r="Q440" i="25"/>
  <c r="S440" i="25" s="1"/>
  <c r="Q441" i="25"/>
  <c r="S441" i="25" s="1"/>
  <c r="Q442" i="25"/>
  <c r="S442" i="25" s="1"/>
  <c r="Q443" i="25"/>
  <c r="S443" i="25" s="1"/>
  <c r="Q444" i="25"/>
  <c r="S444" i="25" s="1"/>
  <c r="Q445" i="25"/>
  <c r="S445" i="25" s="1"/>
  <c r="Q446" i="25"/>
  <c r="S446" i="25" s="1"/>
  <c r="Q447" i="25"/>
  <c r="S447" i="25" s="1"/>
  <c r="Q448" i="25"/>
  <c r="S448" i="25" s="1"/>
  <c r="Q449" i="25"/>
  <c r="S449" i="25" s="1"/>
  <c r="Q450" i="25"/>
  <c r="S450" i="25" s="1"/>
  <c r="Q451" i="25"/>
  <c r="S451" i="25" s="1"/>
  <c r="Q452" i="25"/>
  <c r="S452" i="25" s="1"/>
  <c r="Q453" i="25"/>
  <c r="S453" i="25" s="1"/>
  <c r="Q454" i="25"/>
  <c r="S454" i="25" s="1"/>
  <c r="Q455" i="25"/>
  <c r="S455" i="25" s="1"/>
  <c r="Q456" i="25"/>
  <c r="S456" i="25" s="1"/>
  <c r="Q457" i="25"/>
  <c r="S457" i="25" s="1"/>
  <c r="Q458" i="25"/>
  <c r="S458" i="25" s="1"/>
  <c r="Q459" i="25"/>
  <c r="S459" i="25" s="1"/>
  <c r="Q460" i="25"/>
  <c r="S460" i="25" s="1"/>
  <c r="Q461" i="25"/>
  <c r="S461" i="25" s="1"/>
  <c r="Q462" i="25"/>
  <c r="S462" i="25" s="1"/>
  <c r="Q463" i="25"/>
  <c r="S463" i="25" s="1"/>
  <c r="Q464" i="25"/>
  <c r="S464" i="25" s="1"/>
  <c r="Q465" i="25"/>
  <c r="S465" i="25" s="1"/>
  <c r="Q466" i="25"/>
  <c r="S466" i="25" s="1"/>
  <c r="Q467" i="25"/>
  <c r="S467" i="25" s="1"/>
  <c r="Q468" i="25"/>
  <c r="S468" i="25" s="1"/>
  <c r="Q469" i="25"/>
  <c r="S469" i="25" s="1"/>
  <c r="Q470" i="25"/>
  <c r="S470" i="25" s="1"/>
  <c r="Q471" i="25"/>
  <c r="S471" i="25" s="1"/>
  <c r="Q472" i="25"/>
  <c r="S472" i="25" s="1"/>
  <c r="Q473" i="25"/>
  <c r="S473" i="25" s="1"/>
  <c r="Q474" i="25"/>
  <c r="S474" i="25" s="1"/>
  <c r="Q475" i="25"/>
  <c r="S475" i="25" s="1"/>
  <c r="Q476" i="25"/>
  <c r="S476" i="25" s="1"/>
  <c r="Q477" i="25"/>
  <c r="S477" i="25" s="1"/>
  <c r="Q478" i="25"/>
  <c r="S478" i="25" s="1"/>
  <c r="Q479" i="25"/>
  <c r="S479" i="25" s="1"/>
  <c r="Q480" i="25"/>
  <c r="S480" i="25" s="1"/>
  <c r="Q481" i="25"/>
  <c r="S481" i="25" s="1"/>
  <c r="Q482" i="25"/>
  <c r="S482" i="25" s="1"/>
  <c r="Q483" i="25"/>
  <c r="S483" i="25" s="1"/>
  <c r="Q484" i="25"/>
  <c r="S484" i="25" s="1"/>
  <c r="Q485" i="25"/>
  <c r="S485" i="25" s="1"/>
  <c r="Q486" i="25"/>
  <c r="S486" i="25" s="1"/>
  <c r="Q487" i="25"/>
  <c r="S487" i="25" s="1"/>
  <c r="Q488" i="25"/>
  <c r="S488" i="25" s="1"/>
  <c r="Q489" i="25"/>
  <c r="S489" i="25" s="1"/>
  <c r="Q490" i="25"/>
  <c r="S490" i="25" s="1"/>
  <c r="Q491" i="25"/>
  <c r="S491" i="25" s="1"/>
  <c r="Q492" i="25"/>
  <c r="S492" i="25" s="1"/>
  <c r="Q493" i="25"/>
  <c r="S493" i="25" s="1"/>
  <c r="Q494" i="25"/>
  <c r="S494" i="25" s="1"/>
  <c r="Q495" i="25"/>
  <c r="S495" i="25" s="1"/>
  <c r="Q496" i="25"/>
  <c r="S496" i="25" s="1"/>
  <c r="Q497" i="25"/>
  <c r="S497" i="25" s="1"/>
  <c r="Q498" i="25"/>
  <c r="S498" i="25" s="1"/>
  <c r="Q499" i="25"/>
  <c r="S499" i="25" s="1"/>
  <c r="Q500" i="25"/>
  <c r="S500" i="25" s="1"/>
  <c r="Q501" i="25"/>
  <c r="S501" i="25" s="1"/>
  <c r="Q502" i="25"/>
  <c r="S502" i="25" s="1"/>
  <c r="Q503" i="25"/>
  <c r="S503" i="25" s="1"/>
  <c r="Q504" i="25"/>
  <c r="S504" i="25" s="1"/>
  <c r="Q505" i="25"/>
  <c r="S505" i="25" s="1"/>
  <c r="Q506" i="25"/>
  <c r="S506" i="25" s="1"/>
  <c r="Q507" i="25"/>
  <c r="S507" i="25" s="1"/>
  <c r="Q508" i="25"/>
  <c r="S508" i="25" s="1"/>
  <c r="Q509" i="25"/>
  <c r="S509" i="25" s="1"/>
  <c r="Q510" i="25"/>
  <c r="S510" i="25" s="1"/>
  <c r="Q511" i="25"/>
  <c r="S511" i="25" s="1"/>
  <c r="Q512" i="25"/>
  <c r="S512" i="25" s="1"/>
  <c r="Q513" i="25"/>
  <c r="S513" i="25" s="1"/>
  <c r="Q514" i="25"/>
  <c r="S514" i="25" s="1"/>
  <c r="Q515" i="25"/>
  <c r="S515" i="25" s="1"/>
  <c r="Q516" i="25"/>
  <c r="S516" i="25" s="1"/>
  <c r="Q517" i="25"/>
  <c r="S517" i="25" s="1"/>
  <c r="Q518" i="25"/>
  <c r="S518" i="25" s="1"/>
  <c r="Q519" i="25"/>
  <c r="S519" i="25" s="1"/>
  <c r="Q520" i="25"/>
  <c r="S520" i="25" s="1"/>
  <c r="Q521" i="25"/>
  <c r="S521" i="25" s="1"/>
  <c r="Q522" i="25"/>
  <c r="S522" i="25" s="1"/>
  <c r="Q523" i="25"/>
  <c r="S523" i="25" s="1"/>
  <c r="Q524" i="25"/>
  <c r="S524" i="25" s="1"/>
  <c r="Q525" i="25"/>
  <c r="S525" i="25" s="1"/>
  <c r="Q526" i="25"/>
  <c r="S526" i="25" s="1"/>
  <c r="Q527" i="25"/>
  <c r="S527" i="25" s="1"/>
  <c r="Q528" i="25"/>
  <c r="S528" i="25" s="1"/>
  <c r="Q529" i="25"/>
  <c r="S529" i="25" s="1"/>
  <c r="Q530" i="25"/>
  <c r="S530" i="25" s="1"/>
  <c r="Q531" i="25"/>
  <c r="S531" i="25" s="1"/>
  <c r="Q532" i="25"/>
  <c r="S532" i="25" s="1"/>
  <c r="Q533" i="25"/>
  <c r="S533" i="25" s="1"/>
  <c r="Q534" i="25"/>
  <c r="S534" i="25" s="1"/>
  <c r="Q535" i="25"/>
  <c r="S535" i="25" s="1"/>
  <c r="Q536" i="25"/>
  <c r="S536" i="25" s="1"/>
  <c r="Q537" i="25"/>
  <c r="S537" i="25" s="1"/>
  <c r="Q538" i="25"/>
  <c r="S538" i="25" s="1"/>
  <c r="Q539" i="25"/>
  <c r="S539" i="25" s="1"/>
  <c r="Q540" i="25"/>
  <c r="S540" i="25" s="1"/>
  <c r="Q541" i="25"/>
  <c r="S541" i="25" s="1"/>
  <c r="Q542" i="25"/>
  <c r="S542" i="25" s="1"/>
  <c r="Q543" i="25"/>
  <c r="S543" i="25" s="1"/>
  <c r="Q544" i="25"/>
  <c r="S544" i="25" s="1"/>
  <c r="Q545" i="25"/>
  <c r="S545" i="25" s="1"/>
  <c r="Q546" i="25"/>
  <c r="S546" i="25" s="1"/>
  <c r="Q547" i="25"/>
  <c r="S547" i="25" s="1"/>
  <c r="Q548" i="25"/>
  <c r="S548" i="25" s="1"/>
  <c r="Q549" i="25"/>
  <c r="S549" i="25" s="1"/>
  <c r="Q550" i="25"/>
  <c r="S550" i="25" s="1"/>
  <c r="Q551" i="25"/>
  <c r="S551" i="25" s="1"/>
  <c r="Q552" i="25"/>
  <c r="S552" i="25" s="1"/>
  <c r="Q553" i="25"/>
  <c r="S553" i="25" s="1"/>
  <c r="Q554" i="25"/>
  <c r="S554" i="25" s="1"/>
  <c r="Q555" i="25"/>
  <c r="S555" i="25" s="1"/>
  <c r="Q556" i="25"/>
  <c r="S556" i="25" s="1"/>
  <c r="Q557" i="25"/>
  <c r="S557" i="25" s="1"/>
  <c r="Q558" i="25"/>
  <c r="S558" i="25" s="1"/>
  <c r="Q559" i="25"/>
  <c r="S559" i="25" s="1"/>
  <c r="Q560" i="25"/>
  <c r="S560" i="25" s="1"/>
  <c r="Q561" i="25"/>
  <c r="S561" i="25" s="1"/>
  <c r="Q562" i="25"/>
  <c r="S562" i="25" s="1"/>
  <c r="Q563" i="25"/>
  <c r="S563" i="25" s="1"/>
  <c r="Q564" i="25"/>
  <c r="S564" i="25" s="1"/>
  <c r="Q565" i="25"/>
  <c r="S565" i="25" s="1"/>
  <c r="Q566" i="25"/>
  <c r="S566" i="25" s="1"/>
  <c r="Q567" i="25"/>
  <c r="S567" i="25" s="1"/>
  <c r="Q568" i="25"/>
  <c r="S568" i="25" s="1"/>
  <c r="Q569" i="25"/>
  <c r="S569" i="25" s="1"/>
  <c r="Q570" i="25"/>
  <c r="S570" i="25" s="1"/>
  <c r="Q571" i="25"/>
  <c r="S571" i="25" s="1"/>
  <c r="Q572" i="25"/>
  <c r="S572" i="25" s="1"/>
  <c r="Q573" i="25"/>
  <c r="S573" i="25" s="1"/>
  <c r="Q574" i="25"/>
  <c r="S574" i="25" s="1"/>
  <c r="Q575" i="25"/>
  <c r="S575" i="25" s="1"/>
  <c r="Q576" i="25"/>
  <c r="S576" i="25" s="1"/>
  <c r="Q577" i="25"/>
  <c r="S577" i="25" s="1"/>
  <c r="Q578" i="25"/>
  <c r="S578" i="25" s="1"/>
  <c r="Q579" i="25"/>
  <c r="S579" i="25" s="1"/>
  <c r="Q580" i="25"/>
  <c r="S580" i="25" s="1"/>
  <c r="Q581" i="25"/>
  <c r="S581" i="25" s="1"/>
  <c r="Q582" i="25"/>
  <c r="S582" i="25" s="1"/>
  <c r="Q583" i="25"/>
  <c r="S583" i="25" s="1"/>
  <c r="Q584" i="25"/>
  <c r="S584" i="25" s="1"/>
  <c r="Q585" i="25"/>
  <c r="S585" i="25" s="1"/>
  <c r="Q586" i="25"/>
  <c r="S586" i="25" s="1"/>
  <c r="Q587" i="25"/>
  <c r="S587" i="25" s="1"/>
  <c r="Q588" i="25"/>
  <c r="S588" i="25" s="1"/>
  <c r="Q589" i="25"/>
  <c r="S589" i="25" s="1"/>
  <c r="Q590" i="25"/>
  <c r="S590" i="25" s="1"/>
  <c r="Q591" i="25"/>
  <c r="S591" i="25" s="1"/>
  <c r="Q592" i="25"/>
  <c r="S592" i="25" s="1"/>
  <c r="Q593" i="25"/>
  <c r="S593" i="25" s="1"/>
  <c r="Q594" i="25"/>
  <c r="S594" i="25" s="1"/>
  <c r="Q595" i="25"/>
  <c r="S595" i="25" s="1"/>
  <c r="Q596" i="25"/>
  <c r="S596" i="25" s="1"/>
  <c r="Q597" i="25"/>
  <c r="S597" i="25" s="1"/>
  <c r="Q598" i="25"/>
  <c r="S598" i="25" s="1"/>
  <c r="Q599" i="25"/>
  <c r="S599" i="25" s="1"/>
  <c r="Q600" i="25"/>
  <c r="S600" i="25" s="1"/>
  <c r="Q601" i="25"/>
  <c r="S601" i="25" s="1"/>
  <c r="Q602" i="25"/>
  <c r="S602" i="25" s="1"/>
  <c r="Q603" i="25"/>
  <c r="S603" i="25" s="1"/>
  <c r="Q604" i="25"/>
  <c r="S604" i="25" s="1"/>
  <c r="Q605" i="25"/>
  <c r="S605" i="25" s="1"/>
  <c r="Q606" i="25"/>
  <c r="S606" i="25" s="1"/>
  <c r="Q607" i="25"/>
  <c r="S607" i="25" s="1"/>
  <c r="Q608" i="25"/>
  <c r="S608" i="25" s="1"/>
  <c r="Q609" i="25"/>
  <c r="S609" i="25" s="1"/>
  <c r="Q610" i="25"/>
  <c r="S610" i="25" s="1"/>
  <c r="Q611" i="25"/>
  <c r="S611" i="25" s="1"/>
  <c r="Q612" i="25"/>
  <c r="S612" i="25" s="1"/>
  <c r="Q613" i="25"/>
  <c r="S613" i="25" s="1"/>
  <c r="Q614" i="25"/>
  <c r="S614" i="25" s="1"/>
  <c r="Q615" i="25"/>
  <c r="S615" i="25" s="1"/>
  <c r="Q616" i="25"/>
  <c r="S616" i="25" s="1"/>
  <c r="Q617" i="25"/>
  <c r="S617" i="25" s="1"/>
  <c r="Q618" i="25"/>
  <c r="S618" i="25" s="1"/>
  <c r="Q619" i="25"/>
  <c r="S619" i="25" s="1"/>
  <c r="Q620" i="25"/>
  <c r="S620" i="25" s="1"/>
  <c r="Q621" i="25"/>
  <c r="S621" i="25" s="1"/>
  <c r="Q622" i="25"/>
  <c r="S622" i="25" s="1"/>
  <c r="Q623" i="25"/>
  <c r="S623" i="25" s="1"/>
  <c r="Q624" i="25"/>
  <c r="S624" i="25" s="1"/>
  <c r="Q625" i="25"/>
  <c r="S625" i="25" s="1"/>
  <c r="Q626" i="25"/>
  <c r="S626" i="25" s="1"/>
  <c r="Q627" i="25"/>
  <c r="S627" i="25" s="1"/>
  <c r="Q628" i="25"/>
  <c r="S628" i="25" s="1"/>
  <c r="Q629" i="25"/>
  <c r="S629" i="25" s="1"/>
  <c r="Q630" i="25"/>
  <c r="S630" i="25" s="1"/>
  <c r="Q631" i="25"/>
  <c r="S631" i="25" s="1"/>
  <c r="Q632" i="25"/>
  <c r="S632" i="25" s="1"/>
  <c r="Q633" i="25"/>
  <c r="S633" i="25" s="1"/>
  <c r="Q634" i="25"/>
  <c r="S634" i="25" s="1"/>
  <c r="Q635" i="25"/>
  <c r="S635" i="25" s="1"/>
  <c r="Q636" i="25"/>
  <c r="S636" i="25" s="1"/>
  <c r="Q637" i="25"/>
  <c r="S637" i="25" s="1"/>
  <c r="Q638" i="25"/>
  <c r="S638" i="25" s="1"/>
  <c r="Q639" i="25"/>
  <c r="S639" i="25" s="1"/>
  <c r="Q640" i="25"/>
  <c r="S640" i="25" s="1"/>
  <c r="Q641" i="25"/>
  <c r="S641" i="25" s="1"/>
  <c r="Q642" i="25"/>
  <c r="S642" i="25" s="1"/>
  <c r="Q643" i="25"/>
  <c r="S643" i="25" s="1"/>
  <c r="Q644" i="25"/>
  <c r="S644" i="25" s="1"/>
  <c r="Q645" i="25"/>
  <c r="S645" i="25" s="1"/>
  <c r="Q646" i="25"/>
  <c r="S646" i="25" s="1"/>
  <c r="Q647" i="25"/>
  <c r="S647" i="25" s="1"/>
  <c r="Q648" i="25"/>
  <c r="S648" i="25" s="1"/>
  <c r="Q649" i="25"/>
  <c r="S649" i="25" s="1"/>
  <c r="Q650" i="25"/>
  <c r="S650" i="25" s="1"/>
  <c r="Q651" i="25"/>
  <c r="S651" i="25" s="1"/>
  <c r="Q652" i="25"/>
  <c r="S652" i="25" s="1"/>
  <c r="Q653" i="25"/>
  <c r="S653" i="25" s="1"/>
  <c r="Q654" i="25"/>
  <c r="S654" i="25" s="1"/>
  <c r="Q655" i="25"/>
  <c r="S655" i="25" s="1"/>
  <c r="Q656" i="25"/>
  <c r="S656" i="25" s="1"/>
  <c r="Q657" i="25"/>
  <c r="S657" i="25" s="1"/>
  <c r="Q658" i="25"/>
  <c r="S658" i="25" s="1"/>
  <c r="Q659" i="25"/>
  <c r="S659" i="25" s="1"/>
  <c r="Q660" i="25"/>
  <c r="S660" i="25" s="1"/>
  <c r="Q661" i="25"/>
  <c r="S661" i="25" s="1"/>
  <c r="Q662" i="25"/>
  <c r="S662" i="25" s="1"/>
  <c r="Q663" i="25"/>
  <c r="S663" i="25" s="1"/>
  <c r="Q664" i="25"/>
  <c r="S664" i="25" s="1"/>
  <c r="Q665" i="25"/>
  <c r="S665" i="25" s="1"/>
  <c r="Q666" i="25"/>
  <c r="S666" i="25" s="1"/>
  <c r="Q667" i="25"/>
  <c r="S667" i="25" s="1"/>
  <c r="Q668" i="25"/>
  <c r="S668" i="25" s="1"/>
  <c r="Q669" i="25"/>
  <c r="S669" i="25" s="1"/>
  <c r="Q670" i="25"/>
  <c r="S670" i="25" s="1"/>
  <c r="Q671" i="25"/>
  <c r="S671" i="25" s="1"/>
  <c r="Q672" i="25"/>
  <c r="S672" i="25" s="1"/>
  <c r="Q673" i="25"/>
  <c r="S673" i="25" s="1"/>
  <c r="Q674" i="25"/>
  <c r="S674" i="25" s="1"/>
  <c r="Q675" i="25"/>
  <c r="S675" i="25" s="1"/>
  <c r="Q676" i="25"/>
  <c r="S676" i="25" s="1"/>
  <c r="Q677" i="25"/>
  <c r="S677" i="25" s="1"/>
  <c r="Q678" i="25"/>
  <c r="S678" i="25" s="1"/>
  <c r="Q679" i="25"/>
  <c r="S679" i="25" s="1"/>
  <c r="Q680" i="25"/>
  <c r="S680" i="25" s="1"/>
  <c r="Q681" i="25"/>
  <c r="S681" i="25" s="1"/>
  <c r="Q682" i="25"/>
  <c r="S682" i="25" s="1"/>
  <c r="Q683" i="25"/>
  <c r="S683" i="25" s="1"/>
  <c r="Q684" i="25"/>
  <c r="S684" i="25" s="1"/>
  <c r="Q685" i="25"/>
  <c r="S685" i="25" s="1"/>
  <c r="Q686" i="25"/>
  <c r="S686" i="25" s="1"/>
  <c r="Q687" i="25"/>
  <c r="S687" i="25" s="1"/>
  <c r="Q688" i="25"/>
  <c r="S688" i="25" s="1"/>
  <c r="Q689" i="25"/>
  <c r="S689" i="25" s="1"/>
  <c r="Q690" i="25"/>
  <c r="S690" i="25" s="1"/>
  <c r="Q691" i="25"/>
  <c r="S691" i="25" s="1"/>
  <c r="Q692" i="25"/>
  <c r="S692" i="25" s="1"/>
  <c r="Q693" i="25"/>
  <c r="S693" i="25" s="1"/>
  <c r="Q694" i="25"/>
  <c r="S694" i="25" s="1"/>
  <c r="Q695" i="25"/>
  <c r="S695" i="25" s="1"/>
  <c r="Q696" i="25"/>
  <c r="S696" i="25" s="1"/>
  <c r="Q697" i="25"/>
  <c r="S697" i="25" s="1"/>
  <c r="Q698" i="25"/>
  <c r="S698" i="25" s="1"/>
  <c r="Q699" i="25"/>
  <c r="S699" i="25" s="1"/>
  <c r="Q700" i="25"/>
  <c r="S700" i="25" s="1"/>
  <c r="Q701" i="25"/>
  <c r="S701" i="25" s="1"/>
  <c r="Q702" i="25"/>
  <c r="S702" i="25" s="1"/>
  <c r="Q703" i="25"/>
  <c r="S703" i="25" s="1"/>
  <c r="Q704" i="25"/>
  <c r="S704" i="25" s="1"/>
  <c r="Q705" i="25"/>
  <c r="S705" i="25" s="1"/>
  <c r="Q706" i="25"/>
  <c r="S706" i="25" s="1"/>
  <c r="Q707" i="25"/>
  <c r="S707" i="25" s="1"/>
  <c r="Q708" i="25"/>
  <c r="S708" i="25" s="1"/>
  <c r="Q709" i="25"/>
  <c r="S709" i="25" s="1"/>
  <c r="Q710" i="25"/>
  <c r="S710" i="25" s="1"/>
  <c r="Q711" i="25"/>
  <c r="S711" i="25" s="1"/>
  <c r="Q712" i="25"/>
  <c r="S712" i="25" s="1"/>
  <c r="Q713" i="25"/>
  <c r="S713" i="25" s="1"/>
  <c r="Q714" i="25"/>
  <c r="S714" i="25" s="1"/>
  <c r="Q715" i="25"/>
  <c r="S715" i="25" s="1"/>
  <c r="Q716" i="25"/>
  <c r="S716" i="25" s="1"/>
  <c r="Q717" i="25"/>
  <c r="S717" i="25" s="1"/>
  <c r="Q718" i="25"/>
  <c r="S718" i="25" s="1"/>
  <c r="Q719" i="25"/>
  <c r="S719" i="25" s="1"/>
  <c r="Q720" i="25"/>
  <c r="S720" i="25" s="1"/>
  <c r="Q721" i="25"/>
  <c r="S721" i="25" s="1"/>
  <c r="Q722" i="25"/>
  <c r="S722" i="25" s="1"/>
  <c r="Q723" i="25"/>
  <c r="S723" i="25" s="1"/>
  <c r="Q724" i="25"/>
  <c r="S724" i="25" s="1"/>
  <c r="Q725" i="25"/>
  <c r="S725" i="25" s="1"/>
  <c r="Q726" i="25"/>
  <c r="S726" i="25" s="1"/>
  <c r="Q727" i="25"/>
  <c r="S727" i="25" s="1"/>
  <c r="Q728" i="25"/>
  <c r="S728" i="25" s="1"/>
  <c r="Q729" i="25"/>
  <c r="S729" i="25" s="1"/>
  <c r="Q730" i="25"/>
  <c r="S730" i="25" s="1"/>
  <c r="Q731" i="25"/>
  <c r="S731" i="25" s="1"/>
  <c r="Q732" i="25"/>
  <c r="S732" i="25" s="1"/>
  <c r="Q733" i="25"/>
  <c r="S733" i="25" s="1"/>
  <c r="Q734" i="25"/>
  <c r="S734" i="25" s="1"/>
  <c r="Q735" i="25"/>
  <c r="S735" i="25" s="1"/>
  <c r="Q736" i="25"/>
  <c r="S736" i="25" s="1"/>
  <c r="Q737" i="25"/>
  <c r="S737" i="25" s="1"/>
  <c r="Q738" i="25"/>
  <c r="S738" i="25" s="1"/>
  <c r="Q739" i="25"/>
  <c r="S739" i="25" s="1"/>
  <c r="Q740" i="25"/>
  <c r="S740" i="25" s="1"/>
  <c r="Q741" i="25"/>
  <c r="S741" i="25" s="1"/>
  <c r="Q742" i="25"/>
  <c r="S742" i="25" s="1"/>
  <c r="Q743" i="25"/>
  <c r="S743" i="25" s="1"/>
  <c r="Q744" i="25"/>
  <c r="S744" i="25" s="1"/>
  <c r="Q745" i="25"/>
  <c r="S745" i="25" s="1"/>
  <c r="Q746" i="25"/>
  <c r="S746" i="25" s="1"/>
  <c r="Q747" i="25"/>
  <c r="S747" i="25" s="1"/>
  <c r="Q748" i="25"/>
  <c r="S748" i="25" s="1"/>
  <c r="Q749" i="25"/>
  <c r="S749" i="25" s="1"/>
  <c r="Q750" i="25"/>
  <c r="S750" i="25" s="1"/>
  <c r="Q751" i="25"/>
  <c r="S751" i="25" s="1"/>
  <c r="Q752" i="25"/>
  <c r="S752" i="25" s="1"/>
  <c r="Q753" i="25"/>
  <c r="S753" i="25" s="1"/>
  <c r="Q754" i="25"/>
  <c r="S754" i="25" s="1"/>
  <c r="Q755" i="25"/>
  <c r="S755" i="25" s="1"/>
  <c r="Q756" i="25"/>
  <c r="S756" i="25" s="1"/>
  <c r="Q757" i="25"/>
  <c r="S757" i="25" s="1"/>
  <c r="Q758" i="25"/>
  <c r="S758" i="25" s="1"/>
  <c r="Q759" i="25"/>
  <c r="S759" i="25" s="1"/>
  <c r="Q760" i="25"/>
  <c r="S760" i="25" s="1"/>
  <c r="Q761" i="25"/>
  <c r="S761" i="25" s="1"/>
  <c r="Q762" i="25"/>
  <c r="S762" i="25" s="1"/>
  <c r="Q763" i="25"/>
  <c r="S763" i="25" s="1"/>
  <c r="Q764" i="25"/>
  <c r="S764" i="25" s="1"/>
  <c r="Q765" i="25"/>
  <c r="S765" i="25" s="1"/>
  <c r="Q766" i="25"/>
  <c r="S766" i="25" s="1"/>
  <c r="Q767" i="25"/>
  <c r="S767" i="25" s="1"/>
  <c r="Q768" i="25"/>
  <c r="S768" i="25" s="1"/>
  <c r="Q769" i="25"/>
  <c r="S769" i="25" s="1"/>
  <c r="Q770" i="25"/>
  <c r="S770" i="25" s="1"/>
  <c r="Q771" i="25"/>
  <c r="S771" i="25" s="1"/>
  <c r="Q772" i="25"/>
  <c r="S772" i="25" s="1"/>
  <c r="Q773" i="25"/>
  <c r="S773" i="25" s="1"/>
  <c r="Q774" i="25"/>
  <c r="S774" i="25" s="1"/>
  <c r="Q775" i="25"/>
  <c r="S775" i="25" s="1"/>
  <c r="Q776" i="25"/>
  <c r="S776" i="25" s="1"/>
  <c r="Q777" i="25"/>
  <c r="S777" i="25" s="1"/>
  <c r="Q778" i="25"/>
  <c r="S778" i="25" s="1"/>
  <c r="Q779" i="25"/>
  <c r="S779" i="25" s="1"/>
  <c r="Q780" i="25"/>
  <c r="S780" i="25" s="1"/>
  <c r="Q781" i="25"/>
  <c r="S781" i="25" s="1"/>
  <c r="Q782" i="25"/>
  <c r="S782" i="25" s="1"/>
  <c r="Q783" i="25"/>
  <c r="S783" i="25" s="1"/>
  <c r="Q784" i="25"/>
  <c r="S784" i="25" s="1"/>
  <c r="Q785" i="25"/>
  <c r="S785" i="25" s="1"/>
  <c r="Q786" i="25"/>
  <c r="S786" i="25" s="1"/>
  <c r="Q787" i="25"/>
  <c r="S787" i="25" s="1"/>
  <c r="Q788" i="25"/>
  <c r="S788" i="25" s="1"/>
  <c r="Q789" i="25"/>
  <c r="S789" i="25" s="1"/>
  <c r="Q790" i="25"/>
  <c r="S790" i="25" s="1"/>
  <c r="Q791" i="25"/>
  <c r="S791" i="25" s="1"/>
  <c r="Q792" i="25"/>
  <c r="S792" i="25" s="1"/>
  <c r="Q793" i="25"/>
  <c r="S793" i="25" s="1"/>
  <c r="Q794" i="25"/>
  <c r="S794" i="25" s="1"/>
  <c r="Q795" i="25"/>
  <c r="S795" i="25" s="1"/>
  <c r="Q796" i="25"/>
  <c r="S796" i="25" s="1"/>
  <c r="Q797" i="25"/>
  <c r="S797" i="25" s="1"/>
  <c r="Q798" i="25"/>
  <c r="S798" i="25" s="1"/>
  <c r="Q799" i="25"/>
  <c r="S799" i="25" s="1"/>
  <c r="Q800" i="25"/>
  <c r="S800" i="25" s="1"/>
  <c r="Q801" i="25"/>
  <c r="S801" i="25" s="1"/>
  <c r="Q802" i="25"/>
  <c r="S802" i="25" s="1"/>
  <c r="Q803" i="25"/>
  <c r="S803" i="25" s="1"/>
  <c r="Q804" i="25"/>
  <c r="S804" i="25" s="1"/>
  <c r="Q805" i="25"/>
  <c r="S805" i="25" s="1"/>
  <c r="Q806" i="25"/>
  <c r="S806" i="25" s="1"/>
  <c r="Q807" i="25"/>
  <c r="S807" i="25" s="1"/>
  <c r="Q808" i="25"/>
  <c r="S808" i="25" s="1"/>
  <c r="Q809" i="25"/>
  <c r="S809" i="25" s="1"/>
  <c r="Q810" i="25"/>
  <c r="S810" i="25" s="1"/>
  <c r="Q811" i="25"/>
  <c r="S811" i="25" s="1"/>
  <c r="Q812" i="25"/>
  <c r="S812" i="25" s="1"/>
  <c r="Q813" i="25"/>
  <c r="S813" i="25" s="1"/>
  <c r="Q814" i="25"/>
  <c r="S814" i="25" s="1"/>
  <c r="Q815" i="25"/>
  <c r="S815" i="25" s="1"/>
  <c r="Q816" i="25"/>
  <c r="S816" i="25" s="1"/>
  <c r="Q817" i="25"/>
  <c r="S817" i="25" s="1"/>
  <c r="Q818" i="25"/>
  <c r="S818" i="25" s="1"/>
  <c r="Q819" i="25"/>
  <c r="S819" i="25" s="1"/>
  <c r="Q820" i="25"/>
  <c r="S820" i="25" s="1"/>
  <c r="Q821" i="25"/>
  <c r="S821" i="25" s="1"/>
  <c r="Q822" i="25"/>
  <c r="S822" i="25" s="1"/>
  <c r="Q823" i="25"/>
  <c r="S823" i="25" s="1"/>
  <c r="Q824" i="25"/>
  <c r="S824" i="25" s="1"/>
  <c r="Q825" i="25"/>
  <c r="S825" i="25" s="1"/>
  <c r="Q826" i="25"/>
  <c r="S826" i="25" s="1"/>
  <c r="Q827" i="25"/>
  <c r="S827" i="25" s="1"/>
  <c r="Q828" i="25"/>
  <c r="S828" i="25" s="1"/>
  <c r="Q829" i="25"/>
  <c r="S829" i="25" s="1"/>
  <c r="Q830" i="25"/>
  <c r="S830" i="25" s="1"/>
  <c r="Q831" i="25"/>
  <c r="S831" i="25" s="1"/>
  <c r="Q832" i="25"/>
  <c r="S832" i="25" s="1"/>
  <c r="Q833" i="25"/>
  <c r="S833" i="25" s="1"/>
  <c r="Q834" i="25"/>
  <c r="S834" i="25" s="1"/>
  <c r="Q835" i="25"/>
  <c r="S835" i="25" s="1"/>
  <c r="Q836" i="25"/>
  <c r="S836" i="25" s="1"/>
  <c r="Q837" i="25"/>
  <c r="S837" i="25" s="1"/>
  <c r="Q838" i="25"/>
  <c r="S838" i="25" s="1"/>
  <c r="Q839" i="25"/>
  <c r="S839" i="25" s="1"/>
  <c r="Q840" i="25"/>
  <c r="S840" i="25" s="1"/>
  <c r="Q841" i="25"/>
  <c r="S841" i="25" s="1"/>
  <c r="Q842" i="25"/>
  <c r="S842" i="25" s="1"/>
  <c r="Q843" i="25"/>
  <c r="S843" i="25" s="1"/>
  <c r="Q844" i="25"/>
  <c r="S844" i="25" s="1"/>
  <c r="Q845" i="25"/>
  <c r="S845" i="25" s="1"/>
  <c r="Q846" i="25"/>
  <c r="S846" i="25" s="1"/>
  <c r="Q847" i="25"/>
  <c r="S847" i="25" s="1"/>
  <c r="Q848" i="25"/>
  <c r="S848" i="25" s="1"/>
  <c r="Q849" i="25"/>
  <c r="S849" i="25" s="1"/>
  <c r="Q850" i="25"/>
  <c r="S850" i="25" s="1"/>
  <c r="Q851" i="25"/>
  <c r="S851" i="25" s="1"/>
  <c r="Q852" i="25"/>
  <c r="S852" i="25" s="1"/>
  <c r="Q853" i="25"/>
  <c r="S853" i="25" s="1"/>
  <c r="Q854" i="25"/>
  <c r="S854" i="25" s="1"/>
  <c r="Q855" i="25"/>
  <c r="S855" i="25" s="1"/>
  <c r="Q856" i="25"/>
  <c r="S856" i="25" s="1"/>
  <c r="Q857" i="25"/>
  <c r="S857" i="25" s="1"/>
  <c r="Q858" i="25"/>
  <c r="S858" i="25" s="1"/>
  <c r="Q859" i="25"/>
  <c r="S859" i="25" s="1"/>
  <c r="Q860" i="25"/>
  <c r="S860" i="25" s="1"/>
  <c r="Q861" i="25"/>
  <c r="S861" i="25" s="1"/>
  <c r="Q862" i="25"/>
  <c r="S862" i="25" s="1"/>
  <c r="Q863" i="25"/>
  <c r="S863" i="25" s="1"/>
  <c r="Q864" i="25"/>
  <c r="S864" i="25" s="1"/>
  <c r="Q865" i="25"/>
  <c r="S865" i="25" s="1"/>
  <c r="Q866" i="25"/>
  <c r="S866" i="25" s="1"/>
  <c r="Q867" i="25"/>
  <c r="S867" i="25" s="1"/>
  <c r="Q868" i="25"/>
  <c r="S868" i="25" s="1"/>
  <c r="Q869" i="25"/>
  <c r="S869" i="25" s="1"/>
  <c r="Q870" i="25"/>
  <c r="S870" i="25" s="1"/>
  <c r="Q871" i="25"/>
  <c r="S871" i="25" s="1"/>
  <c r="Q872" i="25"/>
  <c r="S872" i="25" s="1"/>
  <c r="Q873" i="25"/>
  <c r="S873" i="25" s="1"/>
  <c r="Q874" i="25"/>
  <c r="S874" i="25" s="1"/>
  <c r="Q875" i="25"/>
  <c r="S875" i="25" s="1"/>
  <c r="Q876" i="25"/>
  <c r="S876" i="25" s="1"/>
  <c r="Q877" i="25"/>
  <c r="S877" i="25" s="1"/>
  <c r="Q878" i="25"/>
  <c r="S878" i="25" s="1"/>
  <c r="Q879" i="25"/>
  <c r="S879" i="25" s="1"/>
  <c r="Q880" i="25"/>
  <c r="S880" i="25" s="1"/>
  <c r="Q881" i="25"/>
  <c r="S881" i="25" s="1"/>
  <c r="Q882" i="25"/>
  <c r="S882" i="25" s="1"/>
  <c r="Q883" i="25"/>
  <c r="S883" i="25" s="1"/>
  <c r="Q884" i="25"/>
  <c r="S884" i="25" s="1"/>
  <c r="Q885" i="25"/>
  <c r="S885" i="25" s="1"/>
  <c r="Q886" i="25"/>
  <c r="S886" i="25" s="1"/>
  <c r="Q887" i="25"/>
  <c r="S887" i="25" s="1"/>
  <c r="Q888" i="25"/>
  <c r="S888" i="25" s="1"/>
  <c r="Q889" i="25"/>
  <c r="S889" i="25" s="1"/>
  <c r="Q890" i="25"/>
  <c r="S890" i="25" s="1"/>
  <c r="Q891" i="25"/>
  <c r="S891" i="25" s="1"/>
  <c r="Q892" i="25"/>
  <c r="S892" i="25" s="1"/>
  <c r="Q893" i="25"/>
  <c r="S893" i="25" s="1"/>
  <c r="Q894" i="25"/>
  <c r="S894" i="25" s="1"/>
  <c r="Q895" i="25"/>
  <c r="S895" i="25" s="1"/>
  <c r="Q896" i="25"/>
  <c r="S896" i="25" s="1"/>
  <c r="Q897" i="25"/>
  <c r="S897" i="25" s="1"/>
  <c r="Q898" i="25"/>
  <c r="S898" i="25" s="1"/>
  <c r="Q899" i="25"/>
  <c r="S899" i="25" s="1"/>
  <c r="Q900" i="25"/>
  <c r="S900" i="25" s="1"/>
  <c r="Q901" i="25"/>
  <c r="S901" i="25" s="1"/>
  <c r="Q902" i="25"/>
  <c r="S902" i="25" s="1"/>
  <c r="Q903" i="25"/>
  <c r="S903" i="25" s="1"/>
  <c r="Q904" i="25"/>
  <c r="S904" i="25" s="1"/>
  <c r="Q905" i="25"/>
  <c r="S905" i="25" s="1"/>
  <c r="Q906" i="25"/>
  <c r="S906" i="25" s="1"/>
  <c r="Q907" i="25"/>
  <c r="S907" i="25" s="1"/>
  <c r="Q908" i="25"/>
  <c r="S908" i="25" s="1"/>
  <c r="Q909" i="25"/>
  <c r="S909" i="25" s="1"/>
  <c r="Q910" i="25"/>
  <c r="S910" i="25" s="1"/>
  <c r="Q911" i="25"/>
  <c r="S911" i="25" s="1"/>
  <c r="Q912" i="25"/>
  <c r="S912" i="25" s="1"/>
  <c r="Q913" i="25"/>
  <c r="S913" i="25" s="1"/>
  <c r="Q914" i="25"/>
  <c r="S914" i="25" s="1"/>
  <c r="Q915" i="25"/>
  <c r="S915" i="25" s="1"/>
  <c r="Q916" i="25"/>
  <c r="S916" i="25" s="1"/>
  <c r="Q917" i="25"/>
  <c r="S917" i="25" s="1"/>
  <c r="Q918" i="25"/>
  <c r="S918" i="25" s="1"/>
  <c r="Q919" i="25"/>
  <c r="S919" i="25" s="1"/>
  <c r="Q920" i="25"/>
  <c r="S920" i="25" s="1"/>
  <c r="Q921" i="25"/>
  <c r="S921" i="25" s="1"/>
  <c r="Q922" i="25"/>
  <c r="S922" i="25" s="1"/>
  <c r="Q923" i="25"/>
  <c r="S923" i="25" s="1"/>
  <c r="Q924" i="25"/>
  <c r="S924" i="25" s="1"/>
  <c r="Q925" i="25"/>
  <c r="S925" i="25" s="1"/>
  <c r="Q926" i="25"/>
  <c r="S926" i="25" s="1"/>
  <c r="Q927" i="25"/>
  <c r="S927" i="25" s="1"/>
  <c r="Q928" i="25"/>
  <c r="S928" i="25" s="1"/>
  <c r="Q929" i="25"/>
  <c r="S929" i="25" s="1"/>
  <c r="Q930" i="25"/>
  <c r="S930" i="25" s="1"/>
  <c r="Q931" i="25"/>
  <c r="S931" i="25" s="1"/>
  <c r="Q932" i="25"/>
  <c r="S932" i="25" s="1"/>
  <c r="Q933" i="25"/>
  <c r="S933" i="25" s="1"/>
  <c r="Q934" i="25"/>
  <c r="S934" i="25" s="1"/>
  <c r="Q935" i="25"/>
  <c r="S935" i="25" s="1"/>
  <c r="Q936" i="25"/>
  <c r="S936" i="25" s="1"/>
  <c r="Q937" i="25"/>
  <c r="S937" i="25" s="1"/>
  <c r="Q938" i="25"/>
  <c r="S938" i="25" s="1"/>
  <c r="Q939" i="25"/>
  <c r="S939" i="25" s="1"/>
  <c r="Q940" i="25"/>
  <c r="S940" i="25" s="1"/>
  <c r="Q941" i="25"/>
  <c r="S941" i="25" s="1"/>
  <c r="Q942" i="25"/>
  <c r="S942" i="25" s="1"/>
  <c r="Q943" i="25"/>
  <c r="S943" i="25" s="1"/>
  <c r="Q944" i="25"/>
  <c r="S944" i="25" s="1"/>
  <c r="Q945" i="25"/>
  <c r="S945" i="25" s="1"/>
  <c r="Q946" i="25"/>
  <c r="S946" i="25" s="1"/>
  <c r="Q947" i="25"/>
  <c r="S947" i="25" s="1"/>
  <c r="Q948" i="25"/>
  <c r="S948" i="25" s="1"/>
  <c r="Q949" i="25"/>
  <c r="S949" i="25" s="1"/>
  <c r="Q950" i="25"/>
  <c r="S950" i="25" s="1"/>
  <c r="Q951" i="25"/>
  <c r="S951" i="25" s="1"/>
  <c r="Q952" i="25"/>
  <c r="S952" i="25" s="1"/>
  <c r="Q953" i="25"/>
  <c r="S953" i="25" s="1"/>
  <c r="Q954" i="25"/>
  <c r="S954" i="25" s="1"/>
  <c r="Q955" i="25"/>
  <c r="S955" i="25" s="1"/>
  <c r="Q956" i="25"/>
  <c r="S956" i="25" s="1"/>
  <c r="Q957" i="25"/>
  <c r="S957" i="25" s="1"/>
  <c r="Q958" i="25"/>
  <c r="S958" i="25" s="1"/>
  <c r="Q959" i="25"/>
  <c r="S959" i="25" s="1"/>
  <c r="Q960" i="25"/>
  <c r="S960" i="25" s="1"/>
  <c r="Q961" i="25"/>
  <c r="S961" i="25" s="1"/>
  <c r="Q962" i="25"/>
  <c r="S962" i="25" s="1"/>
  <c r="Q963" i="25"/>
  <c r="S963" i="25" s="1"/>
  <c r="Q964" i="25"/>
  <c r="S964" i="25" s="1"/>
  <c r="Q965" i="25"/>
  <c r="S965" i="25" s="1"/>
  <c r="Q966" i="25"/>
  <c r="S966" i="25" s="1"/>
  <c r="Q967" i="25"/>
  <c r="S967" i="25" s="1"/>
  <c r="Q968" i="25"/>
  <c r="S968" i="25" s="1"/>
  <c r="Q969" i="25"/>
  <c r="S969" i="25" s="1"/>
  <c r="Q970" i="25"/>
  <c r="S970" i="25" s="1"/>
  <c r="Q971" i="25"/>
  <c r="S971" i="25" s="1"/>
  <c r="Q972" i="25"/>
  <c r="S972" i="25" s="1"/>
  <c r="Q973" i="25"/>
  <c r="S973" i="25" s="1"/>
  <c r="Q974" i="25"/>
  <c r="S974" i="25" s="1"/>
  <c r="Q975" i="25"/>
  <c r="S975" i="25" s="1"/>
  <c r="Q976" i="25"/>
  <c r="S976" i="25" s="1"/>
  <c r="Q977" i="25"/>
  <c r="S977" i="25" s="1"/>
  <c r="Q978" i="25"/>
  <c r="S978" i="25" s="1"/>
  <c r="Q979" i="25"/>
  <c r="S979" i="25" s="1"/>
  <c r="Q980" i="25"/>
  <c r="S980" i="25" s="1"/>
  <c r="Q981" i="25"/>
  <c r="S981" i="25" s="1"/>
  <c r="Q982" i="25"/>
  <c r="S982" i="25" s="1"/>
  <c r="Q983" i="25"/>
  <c r="S983" i="25" s="1"/>
  <c r="Q984" i="25"/>
  <c r="S984" i="25" s="1"/>
  <c r="Q985" i="25"/>
  <c r="S985" i="25" s="1"/>
  <c r="Q986" i="25"/>
  <c r="S986" i="25" s="1"/>
  <c r="Q987" i="25"/>
  <c r="S987" i="25" s="1"/>
  <c r="Q988" i="25"/>
  <c r="S988" i="25" s="1"/>
  <c r="Q989" i="25"/>
  <c r="S989" i="25" s="1"/>
  <c r="Q990" i="25"/>
  <c r="S990" i="25" s="1"/>
  <c r="Q991" i="25"/>
  <c r="S991" i="25" s="1"/>
  <c r="Q992" i="25"/>
  <c r="S992" i="25" s="1"/>
  <c r="Q993" i="25"/>
  <c r="S993" i="25" s="1"/>
  <c r="Q994" i="25"/>
  <c r="S994" i="25" s="1"/>
  <c r="Q995" i="25"/>
  <c r="S995" i="25" s="1"/>
  <c r="Q996" i="25"/>
  <c r="S996" i="25" s="1"/>
  <c r="Q997" i="25"/>
  <c r="S997" i="25" s="1"/>
  <c r="Q998" i="25"/>
  <c r="S998" i="25" s="1"/>
  <c r="Q999" i="25"/>
  <c r="S999" i="25" s="1"/>
  <c r="Q1000" i="25"/>
  <c r="S1000" i="25" s="1"/>
  <c r="Q1001" i="25"/>
  <c r="S1001" i="25" s="1"/>
  <c r="Q1002" i="25"/>
  <c r="S1002" i="25" s="1"/>
  <c r="Q1003" i="25"/>
  <c r="S1003" i="25" s="1"/>
  <c r="Q1004" i="25"/>
  <c r="S1004" i="25" s="1"/>
  <c r="Q1005" i="25"/>
  <c r="S1005" i="25" s="1"/>
  <c r="Q1006" i="25"/>
  <c r="S1006" i="25" s="1"/>
  <c r="Q1007" i="25"/>
  <c r="S1007" i="25" s="1"/>
  <c r="Q1008" i="25"/>
  <c r="S1008" i="25" s="1"/>
  <c r="Q1009" i="25"/>
  <c r="S1009" i="25" s="1"/>
  <c r="Q1010" i="25"/>
  <c r="S1010" i="25" s="1"/>
  <c r="Q1011" i="25"/>
  <c r="S1011" i="25" s="1"/>
  <c r="Q1012" i="25"/>
  <c r="S1012" i="25" s="1"/>
  <c r="Q1013" i="25"/>
  <c r="S1013" i="25" s="1"/>
  <c r="Q1014" i="25"/>
  <c r="S1014" i="25" s="1"/>
  <c r="Q1015" i="25"/>
  <c r="S1015" i="25" s="1"/>
  <c r="Q1016" i="25"/>
  <c r="S1016" i="25" s="1"/>
  <c r="Q1017" i="25"/>
  <c r="S1017" i="25" s="1"/>
  <c r="Q1018" i="25"/>
  <c r="S1018" i="25" s="1"/>
  <c r="Q1019" i="25"/>
  <c r="S1019" i="25" s="1"/>
  <c r="Q1020" i="25"/>
  <c r="S1020" i="25" s="1"/>
  <c r="Q1021" i="25"/>
  <c r="S1021" i="25" s="1"/>
  <c r="Q1022" i="25"/>
  <c r="S1022" i="25" s="1"/>
  <c r="Q1023" i="25"/>
  <c r="S1023" i="25" s="1"/>
  <c r="Q1024" i="25"/>
  <c r="S1024" i="25" s="1"/>
  <c r="Q1025" i="25"/>
  <c r="S1025" i="25" s="1"/>
  <c r="Q1026" i="25"/>
  <c r="S1026" i="25" s="1"/>
  <c r="Q1027" i="25"/>
  <c r="S1027" i="25" s="1"/>
  <c r="Q1028" i="25"/>
  <c r="S1028" i="25" s="1"/>
  <c r="Q1029" i="25"/>
  <c r="S1029" i="25" s="1"/>
  <c r="Q1030" i="25"/>
  <c r="S1030" i="25" s="1"/>
  <c r="Q1031" i="25"/>
  <c r="S1031" i="25" s="1"/>
  <c r="Q1032" i="25"/>
  <c r="S1032" i="25" s="1"/>
  <c r="Q1033" i="25"/>
  <c r="S1033" i="25" s="1"/>
  <c r="Q1034" i="25"/>
  <c r="S1034" i="25" s="1"/>
  <c r="Q1035" i="25"/>
  <c r="S1035" i="25" s="1"/>
  <c r="Q1036" i="25"/>
  <c r="S1036" i="25" s="1"/>
  <c r="Q1037" i="25"/>
  <c r="S1037" i="25" s="1"/>
  <c r="Q1038" i="25"/>
  <c r="S1038" i="25" s="1"/>
  <c r="Q1039" i="25"/>
  <c r="S1039" i="25" s="1"/>
  <c r="Q1040" i="25"/>
  <c r="S1040" i="25" s="1"/>
  <c r="Q1041" i="25"/>
  <c r="S1041" i="25" s="1"/>
  <c r="Q1042" i="25"/>
  <c r="S1042" i="25" s="1"/>
  <c r="Q1043" i="25"/>
  <c r="S1043" i="25" s="1"/>
  <c r="Q1044" i="25"/>
  <c r="S1044" i="25" s="1"/>
  <c r="Q1045" i="25"/>
  <c r="S1045" i="25" s="1"/>
  <c r="Q1046" i="25"/>
  <c r="S1046" i="25" s="1"/>
  <c r="Q1047" i="25"/>
  <c r="S1047" i="25" s="1"/>
  <c r="Q1048" i="25"/>
  <c r="S1048" i="25" s="1"/>
  <c r="Q1049" i="25"/>
  <c r="S1049" i="25" s="1"/>
  <c r="Q1050" i="25"/>
  <c r="S1050" i="25" s="1"/>
  <c r="Q1051" i="25"/>
  <c r="S1051" i="25" s="1"/>
  <c r="Q1052" i="25"/>
  <c r="S1052" i="25" s="1"/>
  <c r="Q1053" i="25"/>
  <c r="S1053" i="25" s="1"/>
  <c r="Q1054" i="25"/>
  <c r="S1054" i="25" s="1"/>
  <c r="Q1055" i="25"/>
  <c r="S1055" i="25" s="1"/>
  <c r="Q1056" i="25"/>
  <c r="S1056" i="25" s="1"/>
  <c r="Q1057" i="25"/>
  <c r="S1057" i="25" s="1"/>
  <c r="Q1058" i="25"/>
  <c r="S1058" i="25" s="1"/>
  <c r="Q1059" i="25"/>
  <c r="S1059" i="25" s="1"/>
  <c r="Q1060" i="25"/>
  <c r="S1060" i="25" s="1"/>
  <c r="Q1061" i="25"/>
  <c r="S1061" i="25" s="1"/>
  <c r="Q1062" i="25"/>
  <c r="S1062" i="25" s="1"/>
  <c r="Q1063" i="25"/>
  <c r="S1063" i="25" s="1"/>
  <c r="Q1064" i="25"/>
  <c r="S1064" i="25" s="1"/>
  <c r="Q1065" i="25"/>
  <c r="S1065" i="25" s="1"/>
  <c r="Q1066" i="25"/>
  <c r="S1066" i="25" s="1"/>
  <c r="Q1067" i="25"/>
  <c r="S1067" i="25" s="1"/>
  <c r="Q1068" i="25"/>
  <c r="S1068" i="25" s="1"/>
  <c r="Q1069" i="25"/>
  <c r="S1069" i="25" s="1"/>
  <c r="Q1070" i="25"/>
  <c r="S1070" i="25" s="1"/>
  <c r="Q1071" i="25"/>
  <c r="S1071" i="25" s="1"/>
  <c r="Q1072" i="25"/>
  <c r="S1072" i="25" s="1"/>
  <c r="Q1073" i="25"/>
  <c r="S1073" i="25" s="1"/>
  <c r="Q1074" i="25"/>
  <c r="S1074" i="25" s="1"/>
  <c r="Q1075" i="25"/>
  <c r="S1075" i="25" s="1"/>
  <c r="Q1076" i="25"/>
  <c r="S1076" i="25" s="1"/>
  <c r="Q1077" i="25"/>
  <c r="S1077" i="25" s="1"/>
  <c r="Q1078" i="25"/>
  <c r="S1078" i="25" s="1"/>
  <c r="Q1079" i="25"/>
  <c r="S1079" i="25" s="1"/>
  <c r="Q1080" i="25"/>
  <c r="S1080" i="25" s="1"/>
  <c r="Q1081" i="25"/>
  <c r="S1081" i="25" s="1"/>
  <c r="Q1082" i="25"/>
  <c r="S1082" i="25" s="1"/>
  <c r="Q1083" i="25"/>
  <c r="S1083" i="25" s="1"/>
  <c r="Q1084" i="25"/>
  <c r="S1084" i="25" s="1"/>
  <c r="Q1085" i="25"/>
  <c r="S1085" i="25" s="1"/>
  <c r="Q1086" i="25"/>
  <c r="S1086" i="25" s="1"/>
  <c r="Q1087" i="25"/>
  <c r="S1087" i="25" s="1"/>
  <c r="Q1088" i="25"/>
  <c r="S1088" i="25" s="1"/>
  <c r="Q1089" i="25"/>
  <c r="S1089" i="25" s="1"/>
  <c r="Q1090" i="25"/>
  <c r="S1090" i="25" s="1"/>
  <c r="Q1091" i="25"/>
  <c r="S1091" i="25" s="1"/>
  <c r="Q1092" i="25"/>
  <c r="S1092" i="25" s="1"/>
  <c r="Q1093" i="25"/>
  <c r="S1093" i="25" s="1"/>
  <c r="Q1094" i="25"/>
  <c r="S1094" i="25" s="1"/>
  <c r="Q1095" i="25"/>
  <c r="S1095" i="25" s="1"/>
  <c r="Q1096" i="25"/>
  <c r="S1096" i="25" s="1"/>
  <c r="Q1097" i="25"/>
  <c r="S1097" i="25" s="1"/>
  <c r="Q1098" i="25"/>
  <c r="S1098" i="25" s="1"/>
  <c r="Q1099" i="25"/>
  <c r="S1099" i="25" s="1"/>
  <c r="Q1100" i="25"/>
  <c r="S1100" i="25" s="1"/>
  <c r="Q1101" i="25"/>
  <c r="S1101" i="25" s="1"/>
  <c r="Q1102" i="25"/>
  <c r="S1102" i="25" s="1"/>
  <c r="Q1103" i="25"/>
  <c r="S1103" i="25" s="1"/>
  <c r="Q1104" i="25"/>
  <c r="S1104" i="25" s="1"/>
  <c r="Q1105" i="25"/>
  <c r="S1105" i="25" s="1"/>
  <c r="Q1106" i="25"/>
  <c r="S1106" i="25" s="1"/>
  <c r="Q1107" i="25"/>
  <c r="S1107" i="25" s="1"/>
  <c r="Q1108" i="25"/>
  <c r="S1108" i="25" s="1"/>
  <c r="Q1109" i="25"/>
  <c r="S1109" i="25" s="1"/>
  <c r="Q1110" i="25"/>
  <c r="S1110" i="25" s="1"/>
  <c r="Q1111" i="25"/>
  <c r="S1111" i="25" s="1"/>
  <c r="Q1112" i="25"/>
  <c r="S1112" i="25" s="1"/>
  <c r="Q1113" i="25"/>
  <c r="S1113" i="25" s="1"/>
  <c r="Q1114" i="25"/>
  <c r="S1114" i="25" s="1"/>
  <c r="Q1115" i="25"/>
  <c r="S1115" i="25" s="1"/>
  <c r="Q1116" i="25"/>
  <c r="S1116" i="25" s="1"/>
  <c r="Q1117" i="25"/>
  <c r="S1117" i="25" s="1"/>
  <c r="Q1118" i="25"/>
  <c r="S1118" i="25" s="1"/>
  <c r="Q1119" i="25"/>
  <c r="S1119" i="25" s="1"/>
  <c r="Q1120" i="25"/>
  <c r="S1120" i="25" s="1"/>
  <c r="Q1121" i="25"/>
  <c r="S1121" i="25" s="1"/>
  <c r="Q1122" i="25"/>
  <c r="S1122" i="25" s="1"/>
  <c r="Q1123" i="25"/>
  <c r="S1123" i="25" s="1"/>
  <c r="Q1124" i="25"/>
  <c r="S1124" i="25" s="1"/>
  <c r="Q1125" i="25"/>
  <c r="S1125" i="25" s="1"/>
  <c r="Q1126" i="25"/>
  <c r="S1126" i="25" s="1"/>
  <c r="Q1127" i="25"/>
  <c r="S1127" i="25" s="1"/>
  <c r="Q1128" i="25"/>
  <c r="S1128" i="25" s="1"/>
  <c r="Q1129" i="25"/>
  <c r="S1129" i="25" s="1"/>
  <c r="Q1130" i="25"/>
  <c r="S1130" i="25" s="1"/>
  <c r="Q1131" i="25"/>
  <c r="S1131" i="25" s="1"/>
  <c r="Q1132" i="25"/>
  <c r="S1132" i="25" s="1"/>
  <c r="Q1133" i="25"/>
  <c r="S1133" i="25" s="1"/>
  <c r="Q1134" i="25"/>
  <c r="S1134" i="25" s="1"/>
  <c r="Q1135" i="25"/>
  <c r="S1135" i="25" s="1"/>
  <c r="Q1136" i="25"/>
  <c r="S1136" i="25" s="1"/>
  <c r="Q1137" i="25"/>
  <c r="S1137" i="25" s="1"/>
  <c r="Q1138" i="25"/>
  <c r="S1138" i="25" s="1"/>
  <c r="Q1139" i="25"/>
  <c r="S1139" i="25" s="1"/>
  <c r="Q1140" i="25"/>
  <c r="S1140" i="25" s="1"/>
  <c r="Q1141" i="25"/>
  <c r="S1141" i="25" s="1"/>
  <c r="Q1142" i="25"/>
  <c r="S1142" i="25" s="1"/>
  <c r="Q1143" i="25"/>
  <c r="S1143" i="25" s="1"/>
  <c r="Q1144" i="25"/>
  <c r="S1144" i="25" s="1"/>
  <c r="Q1145" i="25"/>
  <c r="S1145" i="25" s="1"/>
  <c r="Q1146" i="25"/>
  <c r="S1146" i="25" s="1"/>
  <c r="Q1147" i="25"/>
  <c r="S1147" i="25" s="1"/>
  <c r="Q1148" i="25"/>
  <c r="S1148" i="25" s="1"/>
  <c r="Q1149" i="25"/>
  <c r="S1149" i="25" s="1"/>
  <c r="Q1150" i="25"/>
  <c r="S1150" i="25" s="1"/>
  <c r="Q1151" i="25"/>
  <c r="S1151" i="25" s="1"/>
  <c r="Q1152" i="25"/>
  <c r="S1152" i="25" s="1"/>
  <c r="Q1153" i="25"/>
  <c r="S1153" i="25" s="1"/>
  <c r="Q1154" i="25"/>
  <c r="S1154" i="25" s="1"/>
  <c r="Q1155" i="25"/>
  <c r="S1155" i="25" s="1"/>
  <c r="Q1156" i="25"/>
  <c r="S1156" i="25" s="1"/>
  <c r="Q1157" i="25"/>
  <c r="S1157" i="25" s="1"/>
  <c r="Q1158" i="25"/>
  <c r="S1158" i="25" s="1"/>
  <c r="Q1159" i="25"/>
  <c r="S1159" i="25" s="1"/>
  <c r="Q1160" i="25"/>
  <c r="S1160" i="25" s="1"/>
  <c r="Q1161" i="25"/>
  <c r="S1161" i="25" s="1"/>
  <c r="Q1162" i="25"/>
  <c r="S1162" i="25" s="1"/>
  <c r="Q1163" i="25"/>
  <c r="S1163" i="25" s="1"/>
  <c r="Q1164" i="25"/>
  <c r="S1164" i="25" s="1"/>
  <c r="Q1165" i="25"/>
  <c r="S1165" i="25" s="1"/>
  <c r="Q1166" i="25"/>
  <c r="S1166" i="25" s="1"/>
  <c r="Q1167" i="25"/>
  <c r="S1167" i="25" s="1"/>
  <c r="Q1168" i="25"/>
  <c r="S1168" i="25" s="1"/>
  <c r="Q1169" i="25"/>
  <c r="S1169" i="25" s="1"/>
  <c r="Q1170" i="25"/>
  <c r="S1170" i="25" s="1"/>
  <c r="Q1171" i="25"/>
  <c r="S1171" i="25" s="1"/>
  <c r="Q1172" i="25"/>
  <c r="S1172" i="25" s="1"/>
  <c r="Q1173" i="25"/>
  <c r="S1173" i="25" s="1"/>
  <c r="Q1174" i="25"/>
  <c r="S1174" i="25" s="1"/>
  <c r="Q1175" i="25"/>
  <c r="S1175" i="25" s="1"/>
  <c r="Q1176" i="25"/>
  <c r="S1176" i="25" s="1"/>
  <c r="Q1177" i="25"/>
  <c r="S1177" i="25" s="1"/>
  <c r="Q1178" i="25"/>
  <c r="S1178" i="25" s="1"/>
  <c r="Q1179" i="25"/>
  <c r="S1179" i="25" s="1"/>
  <c r="Q1180" i="25"/>
  <c r="S1180" i="25" s="1"/>
  <c r="Q1181" i="25"/>
  <c r="S1181" i="25" s="1"/>
  <c r="Q1182" i="25"/>
  <c r="S1182" i="25" s="1"/>
  <c r="Q1183" i="25"/>
  <c r="S1183" i="25" s="1"/>
  <c r="Q1184" i="25"/>
  <c r="S1184" i="25" s="1"/>
  <c r="Q1185" i="25"/>
  <c r="S1185" i="25" s="1"/>
  <c r="Q1186" i="25"/>
  <c r="S1186" i="25" s="1"/>
  <c r="Q1187" i="25"/>
  <c r="S1187" i="25" s="1"/>
  <c r="Q1188" i="25"/>
  <c r="S1188" i="25" s="1"/>
  <c r="Q1189" i="25"/>
  <c r="S1189" i="25" s="1"/>
  <c r="Q1190" i="25"/>
  <c r="S1190" i="25" s="1"/>
  <c r="Q1191" i="25"/>
  <c r="S1191" i="25" s="1"/>
  <c r="Q1192" i="25"/>
  <c r="S1192" i="25" s="1"/>
  <c r="Q1193" i="25"/>
  <c r="S1193" i="25" s="1"/>
  <c r="Q1194" i="25"/>
  <c r="S1194" i="25" s="1"/>
  <c r="Q1195" i="25"/>
  <c r="S1195" i="25" s="1"/>
  <c r="Q1196" i="25"/>
  <c r="S1196" i="25" s="1"/>
  <c r="Q1197" i="25"/>
  <c r="S1197" i="25" s="1"/>
  <c r="Q1198" i="25"/>
  <c r="S1198" i="25" s="1"/>
  <c r="Q1199" i="25"/>
  <c r="S1199" i="25" s="1"/>
  <c r="Q1200" i="25"/>
  <c r="S1200" i="25" s="1"/>
  <c r="Q1201" i="25"/>
  <c r="S1201" i="25" s="1"/>
  <c r="Q1202" i="25"/>
  <c r="S1202" i="25" s="1"/>
  <c r="Q1203" i="25"/>
  <c r="S1203" i="25" s="1"/>
  <c r="Q1204" i="25"/>
  <c r="S1204" i="25" s="1"/>
  <c r="Q1205" i="25"/>
  <c r="S1205" i="25" s="1"/>
  <c r="Q1206" i="25"/>
  <c r="S1206" i="25" s="1"/>
  <c r="Q1207" i="25"/>
  <c r="S1207" i="25" s="1"/>
  <c r="Q1208" i="25"/>
  <c r="S1208" i="25" s="1"/>
  <c r="Q1209" i="25"/>
  <c r="S1209" i="25" s="1"/>
  <c r="Q1210" i="25"/>
  <c r="S1210" i="25" s="1"/>
  <c r="Q1211" i="25"/>
  <c r="S1211" i="25" s="1"/>
  <c r="Q1212" i="25"/>
  <c r="S1212" i="25" s="1"/>
  <c r="Q1213" i="25"/>
  <c r="S1213" i="25" s="1"/>
  <c r="Q1214" i="25"/>
  <c r="S1214" i="25" s="1"/>
  <c r="Q1215" i="25"/>
  <c r="S1215" i="25" s="1"/>
  <c r="Q1216" i="25"/>
  <c r="S1216" i="25" s="1"/>
  <c r="Q1217" i="25"/>
  <c r="S1217" i="25" s="1"/>
  <c r="Q1218" i="25"/>
  <c r="S1218" i="25" s="1"/>
  <c r="Q1219" i="25"/>
  <c r="S1219" i="25" s="1"/>
  <c r="Q1220" i="25"/>
  <c r="S1220" i="25" s="1"/>
  <c r="Q1221" i="25"/>
  <c r="S1221" i="25" s="1"/>
  <c r="Q1222" i="25"/>
  <c r="S1222" i="25" s="1"/>
  <c r="Q1223" i="25"/>
  <c r="S1223" i="25" s="1"/>
  <c r="Q1224" i="25"/>
  <c r="S1224" i="25" s="1"/>
  <c r="Q1225" i="25"/>
  <c r="S1225" i="25" s="1"/>
  <c r="Q1226" i="25"/>
  <c r="S1226" i="25" s="1"/>
  <c r="Q1227" i="25"/>
  <c r="S1227" i="25" s="1"/>
  <c r="Q1228" i="25"/>
  <c r="S1228" i="25" s="1"/>
  <c r="Q1229" i="25"/>
  <c r="S1229" i="25" s="1"/>
  <c r="Q1230" i="25"/>
  <c r="S1230" i="25" s="1"/>
  <c r="Q1231" i="25"/>
  <c r="S1231" i="25" s="1"/>
  <c r="Q1232" i="25"/>
  <c r="S1232" i="25" s="1"/>
  <c r="Q1233" i="25"/>
  <c r="S1233" i="25" s="1"/>
  <c r="Q1234" i="25"/>
  <c r="S1234" i="25" s="1"/>
  <c r="Q1235" i="25"/>
  <c r="S1235" i="25" s="1"/>
  <c r="Q1236" i="25"/>
  <c r="S1236" i="25" s="1"/>
  <c r="Q1237" i="25"/>
  <c r="S1237" i="25" s="1"/>
  <c r="Q1238" i="25"/>
  <c r="S1238" i="25" s="1"/>
  <c r="Q1239" i="25"/>
  <c r="S1239" i="25" s="1"/>
  <c r="Q1240" i="25"/>
  <c r="S1240" i="25" s="1"/>
  <c r="Q1241" i="25"/>
  <c r="S1241" i="25" s="1"/>
  <c r="Q1242" i="25"/>
  <c r="S1242" i="25" s="1"/>
  <c r="Q1243" i="25"/>
  <c r="S1243" i="25" s="1"/>
  <c r="Q1244" i="25"/>
  <c r="S1244" i="25" s="1"/>
  <c r="Q1245" i="25"/>
  <c r="S1245" i="25" s="1"/>
  <c r="Q1246" i="25"/>
  <c r="S1246" i="25" s="1"/>
  <c r="Q1247" i="25"/>
  <c r="S1247" i="25" s="1"/>
  <c r="Q1248" i="25"/>
  <c r="S1248" i="25" s="1"/>
  <c r="Q1249" i="25"/>
  <c r="S1249" i="25" s="1"/>
  <c r="Q1250" i="25"/>
  <c r="S1250" i="25" s="1"/>
  <c r="Q1251" i="25"/>
  <c r="S1251" i="25" s="1"/>
  <c r="Q1252" i="25"/>
  <c r="S1252" i="25" s="1"/>
  <c r="Q1253" i="25"/>
  <c r="S1253" i="25" s="1"/>
  <c r="Q1254" i="25"/>
  <c r="S1254" i="25" s="1"/>
  <c r="Q1255" i="25"/>
  <c r="S1255" i="25" s="1"/>
  <c r="Q1256" i="25"/>
  <c r="S1256" i="25" s="1"/>
  <c r="Q1257" i="25"/>
  <c r="S1257" i="25" s="1"/>
  <c r="Q1258" i="25"/>
  <c r="S1258" i="25" s="1"/>
  <c r="Q1259" i="25"/>
  <c r="S1259" i="25" s="1"/>
  <c r="Q1260" i="25"/>
  <c r="S1260" i="25" s="1"/>
  <c r="Q1261" i="25"/>
  <c r="S1261" i="25" s="1"/>
  <c r="Q1262" i="25"/>
  <c r="S1262" i="25" s="1"/>
  <c r="Q1263" i="25"/>
  <c r="S1263" i="25" s="1"/>
  <c r="Q1264" i="25"/>
  <c r="S1264" i="25" s="1"/>
  <c r="Q1265" i="25"/>
  <c r="S1265" i="25" s="1"/>
  <c r="Q1266" i="25"/>
  <c r="S1266" i="25" s="1"/>
  <c r="Q1267" i="25"/>
  <c r="S1267" i="25" s="1"/>
  <c r="Q1268" i="25"/>
  <c r="S1268" i="25" s="1"/>
  <c r="Q1269" i="25"/>
  <c r="S1269" i="25" s="1"/>
  <c r="Q1270" i="25"/>
  <c r="S1270" i="25" s="1"/>
  <c r="Q1271" i="25"/>
  <c r="S1271" i="25" s="1"/>
  <c r="Q1272" i="25"/>
  <c r="S1272" i="25" s="1"/>
  <c r="Q1273" i="25"/>
  <c r="S1273" i="25" s="1"/>
  <c r="Q1274" i="25"/>
  <c r="S1274" i="25" s="1"/>
  <c r="Q1275" i="25"/>
  <c r="S1275" i="25" s="1"/>
  <c r="Q1276" i="25"/>
  <c r="S1276" i="25" s="1"/>
  <c r="Q1277" i="25"/>
  <c r="S1277" i="25" s="1"/>
  <c r="Q1278" i="25"/>
  <c r="S1278" i="25" s="1"/>
  <c r="Q1279" i="25"/>
  <c r="S1279" i="25" s="1"/>
  <c r="Q1280" i="25"/>
  <c r="S1280" i="25" s="1"/>
  <c r="Q1281" i="25"/>
  <c r="S1281" i="25" s="1"/>
  <c r="Q1282" i="25"/>
  <c r="S1282" i="25" s="1"/>
  <c r="Q1283" i="25"/>
  <c r="S1283" i="25" s="1"/>
  <c r="Q1284" i="25"/>
  <c r="S1284" i="25" s="1"/>
  <c r="Q1285" i="25"/>
  <c r="S1285" i="25" s="1"/>
  <c r="Q1286" i="25"/>
  <c r="S1286" i="25" s="1"/>
  <c r="Q1287" i="25"/>
  <c r="S1287" i="25" s="1"/>
  <c r="Q1288" i="25"/>
  <c r="S1288" i="25" s="1"/>
  <c r="Q1289" i="25"/>
  <c r="S1289" i="25" s="1"/>
  <c r="Q1290" i="25"/>
  <c r="S1290" i="25" s="1"/>
  <c r="Q1291" i="25"/>
  <c r="S1291" i="25" s="1"/>
  <c r="Q1292" i="25"/>
  <c r="S1292" i="25" s="1"/>
  <c r="Q1293" i="25"/>
  <c r="S1293" i="25" s="1"/>
  <c r="Q1294" i="25"/>
  <c r="S1294" i="25" s="1"/>
  <c r="Q1295" i="25"/>
  <c r="S1295" i="25" s="1"/>
  <c r="Q1296" i="25"/>
  <c r="S1296" i="25" s="1"/>
  <c r="Q1297" i="25"/>
  <c r="S1297" i="25" s="1"/>
  <c r="Q1298" i="25"/>
  <c r="S1298" i="25" s="1"/>
  <c r="Q1299" i="25"/>
  <c r="S1299" i="25" s="1"/>
  <c r="Q1300" i="25"/>
  <c r="S1300" i="25" s="1"/>
  <c r="Q1301" i="25"/>
  <c r="S1301" i="25" s="1"/>
  <c r="Q1302" i="25"/>
  <c r="S1302" i="25" s="1"/>
  <c r="Q1303" i="25"/>
  <c r="S1303" i="25" s="1"/>
  <c r="Q1304" i="25"/>
  <c r="S1304" i="25" s="1"/>
  <c r="Q1305" i="25"/>
  <c r="S1305" i="25" s="1"/>
  <c r="Q1306" i="25"/>
  <c r="S1306" i="25" s="1"/>
  <c r="Q1307" i="25"/>
  <c r="S1307" i="25" s="1"/>
  <c r="Q1308" i="25"/>
  <c r="S1308" i="25" s="1"/>
  <c r="Q1309" i="25"/>
  <c r="S1309" i="25" s="1"/>
  <c r="Q1310" i="25"/>
  <c r="S1310" i="25" s="1"/>
  <c r="Q1311" i="25"/>
  <c r="S1311" i="25" s="1"/>
  <c r="Q1312" i="25"/>
  <c r="S1312" i="25" s="1"/>
  <c r="Q1313" i="25"/>
  <c r="S1313" i="25" s="1"/>
  <c r="Q1314" i="25"/>
  <c r="S1314" i="25" s="1"/>
  <c r="Q1315" i="25"/>
  <c r="S1315" i="25" s="1"/>
  <c r="Q1316" i="25"/>
  <c r="S1316" i="25" s="1"/>
  <c r="Q1317" i="25"/>
  <c r="S1317" i="25" s="1"/>
  <c r="Q1318" i="25"/>
  <c r="S1318" i="25" s="1"/>
  <c r="Q1319" i="25"/>
  <c r="S1319" i="25" s="1"/>
  <c r="Q1320" i="25"/>
  <c r="S1320" i="25" s="1"/>
  <c r="Q1321" i="25"/>
  <c r="S1321" i="25" s="1"/>
  <c r="Q1322" i="25"/>
  <c r="S1322" i="25" s="1"/>
  <c r="Q1323" i="25"/>
  <c r="S1323" i="25" s="1"/>
  <c r="Q1324" i="25"/>
  <c r="S1324" i="25" s="1"/>
  <c r="Q1325" i="25"/>
  <c r="S1325" i="25" s="1"/>
  <c r="Q1326" i="25"/>
  <c r="S1326" i="25" s="1"/>
  <c r="Q1327" i="25"/>
  <c r="S1327" i="25" s="1"/>
  <c r="Q1328" i="25"/>
  <c r="S1328" i="25" s="1"/>
  <c r="Q1329" i="25"/>
  <c r="S1329" i="25" s="1"/>
  <c r="Q1330" i="25"/>
  <c r="S1330" i="25" s="1"/>
  <c r="Q1331" i="25"/>
  <c r="S1331" i="25" s="1"/>
  <c r="Q1332" i="25"/>
  <c r="S1332" i="25" s="1"/>
  <c r="Q1333" i="25"/>
  <c r="S1333" i="25" s="1"/>
  <c r="Q1334" i="25"/>
  <c r="S1334" i="25" s="1"/>
  <c r="Q1335" i="25"/>
  <c r="S1335" i="25" s="1"/>
  <c r="Q1336" i="25"/>
  <c r="S1336" i="25" s="1"/>
  <c r="Q1337" i="25"/>
  <c r="S1337" i="25" s="1"/>
  <c r="Q1338" i="25"/>
  <c r="S1338" i="25" s="1"/>
  <c r="Q1339" i="25"/>
  <c r="S1339" i="25" s="1"/>
  <c r="Q1340" i="25"/>
  <c r="S1340" i="25" s="1"/>
  <c r="Q1341" i="25"/>
  <c r="S1341" i="25" s="1"/>
  <c r="Q1342" i="25"/>
  <c r="S1342" i="25" s="1"/>
  <c r="Q1343" i="25"/>
  <c r="S1343" i="25" s="1"/>
  <c r="Q1344" i="25"/>
  <c r="S1344" i="25" s="1"/>
  <c r="Q1345" i="25"/>
  <c r="S1345" i="25" s="1"/>
  <c r="Q1346" i="25"/>
  <c r="S1346" i="25" s="1"/>
  <c r="Q1347" i="25"/>
  <c r="S1347" i="25" s="1"/>
  <c r="Q1348" i="25"/>
  <c r="S1348" i="25" s="1"/>
  <c r="Q1349" i="25"/>
  <c r="S1349" i="25" s="1"/>
  <c r="Q1350" i="25"/>
  <c r="S1350" i="25" s="1"/>
  <c r="Q1351" i="25"/>
  <c r="S1351" i="25" s="1"/>
  <c r="Q1352" i="25"/>
  <c r="S1352" i="25" s="1"/>
  <c r="Q1353" i="25"/>
  <c r="S1353" i="25" s="1"/>
  <c r="Q1354" i="25"/>
  <c r="S1354" i="25" s="1"/>
  <c r="Q1355" i="25"/>
  <c r="S1355" i="25" s="1"/>
  <c r="Q1356" i="25"/>
  <c r="S1356" i="25" s="1"/>
  <c r="Q1357" i="25"/>
  <c r="S1357" i="25" s="1"/>
  <c r="Q1358" i="25"/>
  <c r="S1358" i="25" s="1"/>
  <c r="Q1359" i="25"/>
  <c r="S1359" i="25" s="1"/>
  <c r="Q1360" i="25"/>
  <c r="S1360" i="25" s="1"/>
  <c r="Q1361" i="25"/>
  <c r="S1361" i="25" s="1"/>
  <c r="Q1362" i="25"/>
  <c r="S1362" i="25" s="1"/>
  <c r="Q1363" i="25"/>
  <c r="S1363" i="25" s="1"/>
  <c r="Q1364" i="25"/>
  <c r="S1364" i="25" s="1"/>
  <c r="Q1365" i="25"/>
  <c r="S1365" i="25" s="1"/>
  <c r="Q1366" i="25"/>
  <c r="S1366" i="25" s="1"/>
  <c r="Q1367" i="25"/>
  <c r="S1367" i="25" s="1"/>
  <c r="Q1368" i="25"/>
  <c r="S1368" i="25" s="1"/>
  <c r="Q1369" i="25"/>
  <c r="S1369" i="25" s="1"/>
  <c r="Q1370" i="25"/>
  <c r="S1370" i="25" s="1"/>
  <c r="Q1371" i="25"/>
  <c r="S1371" i="25" s="1"/>
  <c r="Q1372" i="25"/>
  <c r="S1372" i="25" s="1"/>
  <c r="Q1373" i="25"/>
  <c r="S1373" i="25" s="1"/>
  <c r="Q1374" i="25"/>
  <c r="S1374" i="25" s="1"/>
  <c r="Q1375" i="25"/>
  <c r="S1375" i="25" s="1"/>
  <c r="Q1376" i="25"/>
  <c r="S1376" i="25" s="1"/>
  <c r="Q1377" i="25"/>
  <c r="S1377" i="25" s="1"/>
  <c r="Q1378" i="25"/>
  <c r="S1378" i="25" s="1"/>
  <c r="Q1379" i="25"/>
  <c r="S1379" i="25" s="1"/>
  <c r="Q1380" i="25"/>
  <c r="S1380" i="25" s="1"/>
  <c r="Q1381" i="25"/>
  <c r="S1381" i="25" s="1"/>
  <c r="Q1382" i="25"/>
  <c r="S1382" i="25" s="1"/>
  <c r="Q1383" i="25"/>
  <c r="S1383" i="25" s="1"/>
  <c r="Q1384" i="25"/>
  <c r="S1384" i="25" s="1"/>
  <c r="Q1385" i="25"/>
  <c r="S1385" i="25" s="1"/>
  <c r="Q1386" i="25"/>
  <c r="S1386" i="25" s="1"/>
  <c r="Q1387" i="25"/>
  <c r="S1387" i="25" s="1"/>
  <c r="Q1388" i="25"/>
  <c r="S1388" i="25" s="1"/>
  <c r="Q1389" i="25"/>
  <c r="S1389" i="25" s="1"/>
  <c r="Q1390" i="25"/>
  <c r="S1390" i="25" s="1"/>
  <c r="Q1391" i="25"/>
  <c r="S1391" i="25" s="1"/>
  <c r="Q1392" i="25"/>
  <c r="S1392" i="25" s="1"/>
  <c r="Q1393" i="25"/>
  <c r="S1393" i="25" s="1"/>
  <c r="Q1394" i="25"/>
  <c r="S1394" i="25" s="1"/>
  <c r="Q1395" i="25"/>
  <c r="S1395" i="25" s="1"/>
  <c r="Q1396" i="25"/>
  <c r="S1396" i="25" s="1"/>
  <c r="Q1397" i="25"/>
  <c r="S1397" i="25" s="1"/>
  <c r="Q1398" i="25"/>
  <c r="S1398" i="25" s="1"/>
  <c r="Q1399" i="25"/>
  <c r="S1399" i="25" s="1"/>
  <c r="Q1400" i="25"/>
  <c r="S1400" i="25" s="1"/>
  <c r="Q1401" i="25"/>
  <c r="S1401" i="25" s="1"/>
  <c r="Q1402" i="25"/>
  <c r="S1402" i="25" s="1"/>
  <c r="Q1403" i="25"/>
  <c r="S1403" i="25" s="1"/>
  <c r="Q1404" i="25"/>
  <c r="S1404" i="25" s="1"/>
  <c r="Q1405" i="25"/>
  <c r="S1405" i="25" s="1"/>
  <c r="Q1406" i="25"/>
  <c r="S1406" i="25" s="1"/>
  <c r="Q1407" i="25"/>
  <c r="S1407" i="25" s="1"/>
  <c r="Q1408" i="25"/>
  <c r="S1408" i="25" s="1"/>
  <c r="Q1409" i="25"/>
  <c r="S1409" i="25" s="1"/>
  <c r="Q1410" i="25"/>
  <c r="S1410" i="25" s="1"/>
  <c r="Q1411" i="25"/>
  <c r="S1411" i="25" s="1"/>
  <c r="Q1412" i="25"/>
  <c r="S1412" i="25" s="1"/>
  <c r="Q1413" i="25"/>
  <c r="S1413" i="25" s="1"/>
  <c r="Q1414" i="25"/>
  <c r="S1414" i="25" s="1"/>
  <c r="Q1415" i="25"/>
  <c r="S1415" i="25" s="1"/>
  <c r="Q1416" i="25"/>
  <c r="S1416" i="25" s="1"/>
  <c r="Q1417" i="25"/>
  <c r="S1417" i="25" s="1"/>
  <c r="Q1418" i="25"/>
  <c r="S1418" i="25" s="1"/>
  <c r="Q1419" i="25"/>
  <c r="S1419" i="25" s="1"/>
  <c r="Q1420" i="25"/>
  <c r="S1420" i="25" s="1"/>
  <c r="Q1421" i="25"/>
  <c r="S1421" i="25" s="1"/>
  <c r="Q1422" i="25"/>
  <c r="S1422" i="25" s="1"/>
  <c r="Q1423" i="25"/>
  <c r="S1423" i="25" s="1"/>
  <c r="Q1424" i="25"/>
  <c r="S1424" i="25" s="1"/>
  <c r="Q1425" i="25"/>
  <c r="S1425" i="25" s="1"/>
  <c r="Q1426" i="25"/>
  <c r="S1426" i="25" s="1"/>
  <c r="Q1427" i="25"/>
  <c r="S1427" i="25" s="1"/>
  <c r="Q1428" i="25"/>
  <c r="S1428" i="25" s="1"/>
  <c r="Q1429" i="25"/>
  <c r="S1429" i="25" s="1"/>
  <c r="Q1430" i="25"/>
  <c r="S1430" i="25" s="1"/>
  <c r="Q1431" i="25"/>
  <c r="S1431" i="25" s="1"/>
  <c r="Q1432" i="25"/>
  <c r="S1432" i="25" s="1"/>
  <c r="Q1433" i="25"/>
  <c r="S1433" i="25" s="1"/>
  <c r="Q1434" i="25"/>
  <c r="S1434" i="25" s="1"/>
  <c r="Q1435" i="25"/>
  <c r="S1435" i="25" s="1"/>
  <c r="Q1436" i="25"/>
  <c r="S1436" i="25" s="1"/>
  <c r="Q1437" i="25"/>
  <c r="S1437" i="25" s="1"/>
  <c r="Q1438" i="25"/>
  <c r="S1438" i="25" s="1"/>
  <c r="Q1439" i="25"/>
  <c r="S1439" i="25" s="1"/>
  <c r="Q1440" i="25"/>
  <c r="S1440" i="25" s="1"/>
  <c r="Q1441" i="25"/>
  <c r="S1441" i="25" s="1"/>
  <c r="Q1442" i="25"/>
  <c r="S1442" i="25" s="1"/>
  <c r="Q1443" i="25"/>
  <c r="S1443" i="25" s="1"/>
  <c r="Q1444" i="25"/>
  <c r="S1444" i="25" s="1"/>
  <c r="Q1445" i="25"/>
  <c r="S1445" i="25" s="1"/>
  <c r="Q1446" i="25"/>
  <c r="S1446" i="25" s="1"/>
  <c r="Q1447" i="25"/>
  <c r="S1447" i="25" s="1"/>
  <c r="Q1448" i="25"/>
  <c r="S1448" i="25" s="1"/>
  <c r="Q1449" i="25"/>
  <c r="S1449" i="25" s="1"/>
  <c r="Q1450" i="25"/>
  <c r="S1450" i="25" s="1"/>
  <c r="Q1451" i="25"/>
  <c r="S1451" i="25" s="1"/>
  <c r="Q1452" i="25"/>
  <c r="S1452" i="25" s="1"/>
  <c r="Q1453" i="25"/>
  <c r="S1453" i="25" s="1"/>
  <c r="Q1454" i="25"/>
  <c r="S1454" i="25" s="1"/>
  <c r="Q1455" i="25"/>
  <c r="S1455" i="25" s="1"/>
  <c r="Q1456" i="25"/>
  <c r="S1456" i="25" s="1"/>
  <c r="Q1457" i="25"/>
  <c r="S1457" i="25" s="1"/>
  <c r="Q1458" i="25"/>
  <c r="S1458" i="25" s="1"/>
  <c r="Q1459" i="25"/>
  <c r="S1459" i="25" s="1"/>
  <c r="Q1460" i="25"/>
  <c r="S1460" i="25" s="1"/>
  <c r="Q1461" i="25"/>
  <c r="S1461" i="25" s="1"/>
  <c r="Q1462" i="25"/>
  <c r="S1462" i="25" s="1"/>
  <c r="Q1463" i="25"/>
  <c r="S1463" i="25" s="1"/>
  <c r="Q1464" i="25"/>
  <c r="S1464" i="25" s="1"/>
  <c r="Q1465" i="25"/>
  <c r="S1465" i="25" s="1"/>
  <c r="Q1466" i="25"/>
  <c r="S1466" i="25" s="1"/>
  <c r="Q1467" i="25"/>
  <c r="S1467" i="25" s="1"/>
  <c r="Q1468" i="25"/>
  <c r="S1468" i="25" s="1"/>
  <c r="Q1469" i="25"/>
  <c r="S1469" i="25" s="1"/>
  <c r="Q1470" i="25"/>
  <c r="S1470" i="25" s="1"/>
  <c r="Q1471" i="25"/>
  <c r="S1471" i="25" s="1"/>
  <c r="Q1472" i="25"/>
  <c r="S1472" i="25" s="1"/>
  <c r="Q1473" i="25"/>
  <c r="S1473" i="25" s="1"/>
  <c r="Q1474" i="25"/>
  <c r="S1474" i="25" s="1"/>
  <c r="Q1475" i="25"/>
  <c r="S1475" i="25" s="1"/>
  <c r="Q1476" i="25"/>
  <c r="S1476" i="25" s="1"/>
  <c r="Q1477" i="25"/>
  <c r="S1477" i="25" s="1"/>
  <c r="Q1478" i="25"/>
  <c r="S1478" i="25" s="1"/>
  <c r="Q1479" i="25"/>
  <c r="S1479" i="25" s="1"/>
  <c r="Q1480" i="25"/>
  <c r="S1480" i="25" s="1"/>
  <c r="Q1481" i="25"/>
  <c r="S1481" i="25" s="1"/>
  <c r="Q1482" i="25"/>
  <c r="S1482" i="25" s="1"/>
  <c r="Q1483" i="25"/>
  <c r="S1483" i="25" s="1"/>
  <c r="Q1484" i="25"/>
  <c r="S1484" i="25" s="1"/>
  <c r="Q1485" i="25"/>
  <c r="S1485" i="25" s="1"/>
  <c r="Q1486" i="25"/>
  <c r="S1486" i="25" s="1"/>
  <c r="Q1487" i="25"/>
  <c r="S1487" i="25" s="1"/>
  <c r="Q1488" i="25"/>
  <c r="S1488" i="25" s="1"/>
  <c r="Q1489" i="25"/>
  <c r="S1489" i="25" s="1"/>
  <c r="Q1490" i="25"/>
  <c r="S1490" i="25" s="1"/>
  <c r="Q1491" i="25"/>
  <c r="S1491" i="25" s="1"/>
  <c r="Q1492" i="25"/>
  <c r="S1492" i="25" s="1"/>
  <c r="Q1493" i="25"/>
  <c r="S1493" i="25" s="1"/>
  <c r="Q1494" i="25"/>
  <c r="S1494" i="25" s="1"/>
  <c r="Q1495" i="25"/>
  <c r="S1495" i="25" s="1"/>
  <c r="Q1496" i="25"/>
  <c r="S1496" i="25" s="1"/>
  <c r="Q1497" i="25"/>
  <c r="S1497" i="25" s="1"/>
  <c r="Q1498" i="25"/>
  <c r="S1498" i="25" s="1"/>
  <c r="Q1499" i="25"/>
  <c r="S1499" i="25" s="1"/>
  <c r="Q1500" i="25"/>
  <c r="S1500" i="25" s="1"/>
  <c r="Q1501" i="25"/>
  <c r="S1501" i="25" s="1"/>
  <c r="Q1502" i="25"/>
  <c r="S1502" i="25" s="1"/>
  <c r="Q1503" i="25"/>
  <c r="S1503" i="25" s="1"/>
  <c r="Q1504" i="25"/>
  <c r="S1504" i="25" s="1"/>
  <c r="Q1505" i="25"/>
  <c r="S1505" i="25" s="1"/>
  <c r="Q1506" i="25"/>
  <c r="S1506" i="25" s="1"/>
  <c r="Q1507" i="25"/>
  <c r="S1507" i="25" s="1"/>
  <c r="Q1508" i="25"/>
  <c r="S1508" i="25" s="1"/>
  <c r="Q1509" i="25"/>
  <c r="S1509" i="25" s="1"/>
  <c r="Q1510" i="25"/>
  <c r="S1510" i="25" s="1"/>
  <c r="Q1511" i="25"/>
  <c r="S1511" i="25" s="1"/>
  <c r="Q1512" i="25"/>
  <c r="S1512" i="25" s="1"/>
  <c r="Q1513" i="25"/>
  <c r="S1513" i="25" s="1"/>
  <c r="Q1514" i="25"/>
  <c r="S1514" i="25" s="1"/>
  <c r="Q1515" i="25"/>
  <c r="S1515" i="25" s="1"/>
  <c r="Q1516" i="25"/>
  <c r="S1516" i="25" s="1"/>
  <c r="Q1517" i="25"/>
  <c r="S1517" i="25" s="1"/>
  <c r="Q1518" i="25"/>
  <c r="S1518" i="25" s="1"/>
  <c r="Q1519" i="25"/>
  <c r="S1519" i="25" s="1"/>
  <c r="Q1520" i="25"/>
  <c r="S1520" i="25" s="1"/>
  <c r="Q1521" i="25"/>
  <c r="S1521" i="25" s="1"/>
  <c r="Q1522" i="25"/>
  <c r="S1522" i="25" s="1"/>
  <c r="Q1523" i="25"/>
  <c r="S1523" i="25" s="1"/>
  <c r="Q1524" i="25"/>
  <c r="S1524" i="25" s="1"/>
  <c r="Q1525" i="25"/>
  <c r="S1525" i="25" s="1"/>
  <c r="Q1526" i="25"/>
  <c r="S1526" i="25" s="1"/>
  <c r="Q1527" i="25"/>
  <c r="S1527" i="25" s="1"/>
  <c r="Q1528" i="25"/>
  <c r="S1528" i="25" s="1"/>
  <c r="Q1529" i="25"/>
  <c r="S1529" i="25" s="1"/>
  <c r="Q1530" i="25"/>
  <c r="S1530" i="25" s="1"/>
  <c r="Q1531" i="25"/>
  <c r="S1531" i="25" s="1"/>
  <c r="Q1532" i="25"/>
  <c r="S1532" i="25" s="1"/>
  <c r="Q1533" i="25"/>
  <c r="S1533" i="25" s="1"/>
  <c r="Q1534" i="25"/>
  <c r="S1534" i="25" s="1"/>
  <c r="Q1535" i="25"/>
  <c r="S1535" i="25" s="1"/>
  <c r="Q1536" i="25"/>
  <c r="S1536" i="25" s="1"/>
  <c r="Q1537" i="25"/>
  <c r="S1537" i="25" s="1"/>
  <c r="Q1538" i="25"/>
  <c r="S1538" i="25" s="1"/>
  <c r="Q1539" i="25"/>
  <c r="S1539" i="25" s="1"/>
  <c r="Q1540" i="25"/>
  <c r="S1540" i="25" s="1"/>
  <c r="Q1541" i="25"/>
  <c r="S1541" i="25" s="1"/>
  <c r="Q1542" i="25"/>
  <c r="S1542" i="25" s="1"/>
  <c r="Q1543" i="25"/>
  <c r="S1543" i="25" s="1"/>
  <c r="Q1544" i="25"/>
  <c r="S1544" i="25" s="1"/>
  <c r="Q1545" i="25"/>
  <c r="S1545" i="25" s="1"/>
  <c r="Q1546" i="25"/>
  <c r="S1546" i="25" s="1"/>
  <c r="Q1547" i="25"/>
  <c r="S1547" i="25" s="1"/>
  <c r="Q1548" i="25"/>
  <c r="S1548" i="25" s="1"/>
  <c r="Q1549" i="25"/>
  <c r="S1549" i="25" s="1"/>
  <c r="Q1550" i="25"/>
  <c r="S1550" i="25" s="1"/>
  <c r="Q1551" i="25"/>
  <c r="S1551" i="25" s="1"/>
  <c r="Q1552" i="25"/>
  <c r="S1552" i="25" s="1"/>
  <c r="Q1553" i="25"/>
  <c r="S1553" i="25" s="1"/>
  <c r="Q1554" i="25"/>
  <c r="S1554" i="25" s="1"/>
  <c r="Q1555" i="25"/>
  <c r="S1555" i="25" s="1"/>
  <c r="Q1556" i="25"/>
  <c r="S1556" i="25" s="1"/>
  <c r="Q1557" i="25"/>
  <c r="S1557" i="25" s="1"/>
  <c r="Q1558" i="25"/>
  <c r="S1558" i="25" s="1"/>
  <c r="Q1559" i="25"/>
  <c r="S1559" i="25" s="1"/>
  <c r="Q1560" i="25"/>
  <c r="S1560" i="25" s="1"/>
  <c r="Q1561" i="25"/>
  <c r="S1561" i="25" s="1"/>
  <c r="Q1562" i="25"/>
  <c r="S1562" i="25" s="1"/>
  <c r="Q1563" i="25"/>
  <c r="S1563" i="25" s="1"/>
  <c r="Q1564" i="25"/>
  <c r="S1564" i="25" s="1"/>
  <c r="Q1565" i="25"/>
  <c r="S1565" i="25" s="1"/>
  <c r="Q1566" i="25"/>
  <c r="S1566" i="25" s="1"/>
  <c r="Q1567" i="25"/>
  <c r="S1567" i="25" s="1"/>
  <c r="Q1568" i="25"/>
  <c r="S1568" i="25" s="1"/>
  <c r="Q1569" i="25"/>
  <c r="S1569" i="25" s="1"/>
  <c r="Q1570" i="25"/>
  <c r="S1570" i="25" s="1"/>
  <c r="Q1571" i="25"/>
  <c r="S1571" i="25" s="1"/>
  <c r="Q1572" i="25"/>
  <c r="S1572" i="25" s="1"/>
  <c r="Q1573" i="25"/>
  <c r="S1573" i="25" s="1"/>
  <c r="Q1574" i="25"/>
  <c r="S1574" i="25" s="1"/>
  <c r="Q1575" i="25"/>
  <c r="S1575" i="25" s="1"/>
  <c r="Q1576" i="25"/>
  <c r="S1576" i="25" s="1"/>
  <c r="Q1577" i="25"/>
  <c r="S1577" i="25" s="1"/>
  <c r="Q1578" i="25"/>
  <c r="S1578" i="25" s="1"/>
  <c r="Q1579" i="25"/>
  <c r="S1579" i="25" s="1"/>
  <c r="Q1580" i="25"/>
  <c r="S1580" i="25" s="1"/>
  <c r="Q1581" i="25"/>
  <c r="S1581" i="25" s="1"/>
  <c r="Q1582" i="25"/>
  <c r="S1582" i="25" s="1"/>
  <c r="Q1583" i="25"/>
  <c r="S1583" i="25" s="1"/>
  <c r="Q1584" i="25"/>
  <c r="S1584" i="25" s="1"/>
  <c r="Q1585" i="25"/>
  <c r="S1585" i="25" s="1"/>
  <c r="Q1586" i="25"/>
  <c r="S1586" i="25" s="1"/>
  <c r="Q1587" i="25"/>
  <c r="S1587" i="25" s="1"/>
  <c r="Q1588" i="25"/>
  <c r="S1588" i="25" s="1"/>
  <c r="Q1589" i="25"/>
  <c r="S1589" i="25" s="1"/>
  <c r="Q1590" i="25"/>
  <c r="S1590" i="25" s="1"/>
  <c r="Q1591" i="25"/>
  <c r="S1591" i="25" s="1"/>
  <c r="Q1592" i="25"/>
  <c r="S1592" i="25" s="1"/>
  <c r="Q1593" i="25"/>
  <c r="S1593" i="25" s="1"/>
  <c r="Q1594" i="25"/>
  <c r="S1594" i="25" s="1"/>
  <c r="Q1595" i="25"/>
  <c r="S1595" i="25" s="1"/>
  <c r="Q1596" i="25"/>
  <c r="S1596" i="25" s="1"/>
  <c r="Q1597" i="25"/>
  <c r="S1597" i="25" s="1"/>
  <c r="Q1598" i="25"/>
  <c r="S1598" i="25" s="1"/>
  <c r="Q1599" i="25"/>
  <c r="S1599" i="25" s="1"/>
  <c r="Q1600" i="25"/>
  <c r="S1600" i="25" s="1"/>
  <c r="Q1601" i="25"/>
  <c r="S1601" i="25" s="1"/>
  <c r="Q1602" i="25"/>
  <c r="S1602" i="25" s="1"/>
  <c r="Q1603" i="25"/>
  <c r="S1603" i="25" s="1"/>
  <c r="Q1604" i="25"/>
  <c r="S1604" i="25" s="1"/>
  <c r="Q1605" i="25"/>
  <c r="S1605" i="25" s="1"/>
  <c r="Q1606" i="25"/>
  <c r="S1606" i="25" s="1"/>
  <c r="Q1607" i="25"/>
  <c r="S1607" i="25" s="1"/>
  <c r="Q1608" i="25"/>
  <c r="S1608" i="25" s="1"/>
  <c r="Q1609" i="25"/>
  <c r="S1609" i="25" s="1"/>
  <c r="Q1610" i="25"/>
  <c r="S1610" i="25" s="1"/>
  <c r="Q1611" i="25"/>
  <c r="S1611" i="25" s="1"/>
  <c r="Q1612" i="25"/>
  <c r="S1612" i="25" s="1"/>
  <c r="Q1613" i="25"/>
  <c r="S1613" i="25" s="1"/>
  <c r="Q1614" i="25"/>
  <c r="S1614" i="25" s="1"/>
  <c r="Q1615" i="25"/>
  <c r="S1615" i="25" s="1"/>
  <c r="Q1616" i="25"/>
  <c r="S1616" i="25" s="1"/>
  <c r="Q1617" i="25"/>
  <c r="S1617" i="25" s="1"/>
  <c r="Q1618" i="25"/>
  <c r="S1618" i="25" s="1"/>
  <c r="Q1619" i="25"/>
  <c r="S1619" i="25" s="1"/>
  <c r="Q1620" i="25"/>
  <c r="S1620" i="25" s="1"/>
  <c r="Q1621" i="25"/>
  <c r="S1621" i="25" s="1"/>
  <c r="Q1622" i="25"/>
  <c r="S1622" i="25" s="1"/>
  <c r="Q1623" i="25"/>
  <c r="S1623" i="25" s="1"/>
  <c r="Q1624" i="25"/>
  <c r="S1624" i="25" s="1"/>
  <c r="Q1625" i="25"/>
  <c r="S1625" i="25" s="1"/>
  <c r="Q1626" i="25"/>
  <c r="S1626" i="25" s="1"/>
  <c r="Q1627" i="25"/>
  <c r="S1627" i="25" s="1"/>
  <c r="Q1628" i="25"/>
  <c r="S1628" i="25" s="1"/>
  <c r="Q1629" i="25"/>
  <c r="S1629" i="25" s="1"/>
  <c r="Q1630" i="25"/>
  <c r="S1630" i="25" s="1"/>
  <c r="Q1631" i="25"/>
  <c r="S1631" i="25" s="1"/>
  <c r="Q1632" i="25"/>
  <c r="S1632" i="25" s="1"/>
  <c r="Q1633" i="25"/>
  <c r="S1633" i="25" s="1"/>
  <c r="Q1634" i="25"/>
  <c r="S1634" i="25" s="1"/>
  <c r="Q1635" i="25"/>
  <c r="S1635" i="25" s="1"/>
  <c r="Q1636" i="25"/>
  <c r="S1636" i="25" s="1"/>
  <c r="Q1637" i="25"/>
  <c r="S1637" i="25" s="1"/>
  <c r="Q1638" i="25"/>
  <c r="S1638" i="25" s="1"/>
  <c r="Q1639" i="25"/>
  <c r="S1639" i="25" s="1"/>
  <c r="Q1640" i="25"/>
  <c r="S1640" i="25" s="1"/>
  <c r="Q1641" i="25"/>
  <c r="S1641" i="25" s="1"/>
  <c r="Q1642" i="25"/>
  <c r="S1642" i="25" s="1"/>
  <c r="Q1643" i="25"/>
  <c r="S1643" i="25" s="1"/>
  <c r="Q1644" i="25"/>
  <c r="S1644" i="25" s="1"/>
  <c r="Q1645" i="25"/>
  <c r="S1645" i="25" s="1"/>
  <c r="Q1646" i="25"/>
  <c r="S1646" i="25" s="1"/>
  <c r="Q1647" i="25"/>
  <c r="S1647" i="25" s="1"/>
  <c r="Q1648" i="25"/>
  <c r="S1648" i="25" s="1"/>
  <c r="Q1649" i="25"/>
  <c r="S1649" i="25" s="1"/>
  <c r="Q1650" i="25"/>
  <c r="S1650" i="25" s="1"/>
  <c r="Q1651" i="25"/>
  <c r="S1651" i="25" s="1"/>
  <c r="Q1652" i="25"/>
  <c r="S1652" i="25" s="1"/>
  <c r="Q1653" i="25"/>
  <c r="S1653" i="25" s="1"/>
  <c r="Q1654" i="25"/>
  <c r="S1654" i="25" s="1"/>
  <c r="Q1655" i="25"/>
  <c r="S1655" i="25" s="1"/>
  <c r="Q1656" i="25"/>
  <c r="S1656" i="25" s="1"/>
  <c r="Q1657" i="25"/>
  <c r="S1657" i="25" s="1"/>
  <c r="Q1658" i="25"/>
  <c r="S1658" i="25" s="1"/>
  <c r="Q1659" i="25"/>
  <c r="S1659" i="25" s="1"/>
  <c r="Q1660" i="25"/>
  <c r="S1660" i="25" s="1"/>
  <c r="Q1661" i="25"/>
  <c r="S1661" i="25" s="1"/>
  <c r="Q1662" i="25"/>
  <c r="S1662" i="25" s="1"/>
  <c r="Q1663" i="25"/>
  <c r="S1663" i="25" s="1"/>
  <c r="Q1664" i="25"/>
  <c r="S1664" i="25" s="1"/>
  <c r="Q1665" i="25"/>
  <c r="S1665" i="25" s="1"/>
  <c r="Q1666" i="25"/>
  <c r="S1666" i="25" s="1"/>
  <c r="Q1667" i="25"/>
  <c r="S1667" i="25" s="1"/>
  <c r="Q1668" i="25"/>
  <c r="S1668" i="25" s="1"/>
  <c r="Q1669" i="25"/>
  <c r="S1669" i="25" s="1"/>
  <c r="Q1670" i="25"/>
  <c r="S1670" i="25" s="1"/>
  <c r="Q1671" i="25"/>
  <c r="S1671" i="25" s="1"/>
  <c r="Q1672" i="25"/>
  <c r="S1672" i="25" s="1"/>
  <c r="Q1673" i="25"/>
  <c r="S1673" i="25" s="1"/>
  <c r="Q1674" i="25"/>
  <c r="S1674" i="25" s="1"/>
  <c r="Q1675" i="25"/>
  <c r="S1675" i="25" s="1"/>
  <c r="Q1676" i="25"/>
  <c r="S1676" i="25" s="1"/>
  <c r="Q1677" i="25"/>
  <c r="S1677" i="25" s="1"/>
  <c r="Q1678" i="25"/>
  <c r="S1678" i="25" s="1"/>
  <c r="Q1679" i="25"/>
  <c r="S1679" i="25" s="1"/>
  <c r="Q1680" i="25"/>
  <c r="S1680" i="25" s="1"/>
  <c r="Q1681" i="25"/>
  <c r="S1681" i="25" s="1"/>
  <c r="Q1682" i="25"/>
  <c r="S1682" i="25" s="1"/>
  <c r="Q1683" i="25"/>
  <c r="S1683" i="25" s="1"/>
  <c r="Q1684" i="25"/>
  <c r="S1684" i="25" s="1"/>
  <c r="Q1685" i="25"/>
  <c r="S1685" i="25" s="1"/>
  <c r="Q1686" i="25"/>
  <c r="S1686" i="25" s="1"/>
  <c r="Q1687" i="25"/>
  <c r="S1687" i="25" s="1"/>
  <c r="Q1688" i="25"/>
  <c r="S1688" i="25" s="1"/>
  <c r="Q1689" i="25"/>
  <c r="S1689" i="25" s="1"/>
  <c r="Q1690" i="25"/>
  <c r="S1690" i="25" s="1"/>
  <c r="Q1691" i="25"/>
  <c r="S1691" i="25" s="1"/>
  <c r="Q1692" i="25"/>
  <c r="S1692" i="25" s="1"/>
  <c r="Q1693" i="25"/>
  <c r="S1693" i="25" s="1"/>
  <c r="Q1694" i="25"/>
  <c r="S1694" i="25" s="1"/>
  <c r="Q1695" i="25"/>
  <c r="S1695" i="25" s="1"/>
  <c r="Q1696" i="25"/>
  <c r="S1696" i="25" s="1"/>
  <c r="Q1697" i="25"/>
  <c r="S1697" i="25" s="1"/>
  <c r="Q1698" i="25"/>
  <c r="S1698" i="25" s="1"/>
  <c r="Q1699" i="25"/>
  <c r="S1699" i="25" s="1"/>
  <c r="Q1700" i="25"/>
  <c r="S1700" i="25" s="1"/>
  <c r="Q1701" i="25"/>
  <c r="S1701" i="25" s="1"/>
  <c r="Q1702" i="25"/>
  <c r="S1702" i="25" s="1"/>
  <c r="Q1703" i="25"/>
  <c r="S1703" i="25" s="1"/>
  <c r="Q1704" i="25"/>
  <c r="S1704" i="25" s="1"/>
  <c r="Q1705" i="25"/>
  <c r="S1705" i="25" s="1"/>
  <c r="Q1706" i="25"/>
  <c r="S1706" i="25" s="1"/>
  <c r="Q1707" i="25"/>
  <c r="S1707" i="25" s="1"/>
  <c r="Q1708" i="25"/>
  <c r="S1708" i="25" s="1"/>
  <c r="Q1709" i="25"/>
  <c r="S1709" i="25" s="1"/>
  <c r="Q1710" i="25"/>
  <c r="S1710" i="25" s="1"/>
  <c r="Q1711" i="25"/>
  <c r="S1711" i="25" s="1"/>
  <c r="Q1712" i="25"/>
  <c r="S1712" i="25" s="1"/>
  <c r="Q1713" i="25"/>
  <c r="S1713" i="25" s="1"/>
  <c r="Q1714" i="25"/>
  <c r="S1714" i="25" s="1"/>
  <c r="Q1715" i="25"/>
  <c r="S1715" i="25" s="1"/>
  <c r="Q1716" i="25"/>
  <c r="S1716" i="25" s="1"/>
  <c r="Q1717" i="25"/>
  <c r="S1717" i="25" s="1"/>
  <c r="Q1718" i="25"/>
  <c r="S1718" i="25" s="1"/>
  <c r="Q1719" i="25"/>
  <c r="S1719" i="25" s="1"/>
  <c r="Q1720" i="25"/>
  <c r="S1720" i="25" s="1"/>
  <c r="Q1721" i="25"/>
  <c r="S1721" i="25" s="1"/>
  <c r="Q1722" i="25"/>
  <c r="S1722" i="25" s="1"/>
  <c r="Q1723" i="25"/>
  <c r="S1723" i="25" s="1"/>
  <c r="Q1724" i="25"/>
  <c r="S1724" i="25" s="1"/>
  <c r="Q1725" i="25"/>
  <c r="S1725" i="25" s="1"/>
  <c r="Q1726" i="25"/>
  <c r="S1726" i="25" s="1"/>
  <c r="Q1727" i="25"/>
  <c r="S1727" i="25" s="1"/>
  <c r="Q1728" i="25"/>
  <c r="S1728" i="25" s="1"/>
  <c r="Q1729" i="25"/>
  <c r="S1729" i="25" s="1"/>
  <c r="Q1730" i="25"/>
  <c r="S1730" i="25" s="1"/>
  <c r="Q1731" i="25"/>
  <c r="S1731" i="25" s="1"/>
  <c r="Q1732" i="25"/>
  <c r="S1732" i="25" s="1"/>
  <c r="Q1733" i="25"/>
  <c r="S1733" i="25" s="1"/>
  <c r="Q1734" i="25"/>
  <c r="S1734" i="25" s="1"/>
  <c r="Q1735" i="25"/>
  <c r="S1735" i="25" s="1"/>
  <c r="Q1736" i="25"/>
  <c r="S1736" i="25" s="1"/>
  <c r="Q1737" i="25"/>
  <c r="S1737" i="25" s="1"/>
  <c r="Q1738" i="25"/>
  <c r="S1738" i="25" s="1"/>
  <c r="Q1739" i="25"/>
  <c r="S1739" i="25" s="1"/>
  <c r="Q1740" i="25"/>
  <c r="S1740" i="25" s="1"/>
  <c r="Q1741" i="25"/>
  <c r="S1741" i="25" s="1"/>
  <c r="Q1742" i="25"/>
  <c r="S1742" i="25" s="1"/>
  <c r="Q1743" i="25"/>
  <c r="S1743" i="25" s="1"/>
  <c r="Q1744" i="25"/>
  <c r="S1744" i="25" s="1"/>
  <c r="Q1745" i="25"/>
  <c r="S1745" i="25" s="1"/>
  <c r="Q1746" i="25"/>
  <c r="S1746" i="25" s="1"/>
  <c r="Q1747" i="25"/>
  <c r="S1747" i="25" s="1"/>
  <c r="Q1748" i="25"/>
  <c r="S1748" i="25" s="1"/>
  <c r="Q1749" i="25"/>
  <c r="S1749" i="25" s="1"/>
  <c r="Q1750" i="25"/>
  <c r="S1750" i="25" s="1"/>
  <c r="Q1751" i="25"/>
  <c r="S1751" i="25" s="1"/>
  <c r="Q1752" i="25"/>
  <c r="S1752" i="25" s="1"/>
  <c r="Q1753" i="25"/>
  <c r="S1753" i="25" s="1"/>
  <c r="Q1754" i="25"/>
  <c r="S1754" i="25" s="1"/>
  <c r="Q1755" i="25"/>
  <c r="S1755" i="25" s="1"/>
  <c r="Q1756" i="25"/>
  <c r="S1756" i="25" s="1"/>
  <c r="Q1757" i="25"/>
  <c r="S1757" i="25" s="1"/>
  <c r="Q1758" i="25"/>
  <c r="S1758" i="25" s="1"/>
  <c r="Q1759" i="25"/>
  <c r="S1759" i="25" s="1"/>
  <c r="Q1760" i="25"/>
  <c r="S1760" i="25" s="1"/>
  <c r="Q1761" i="25"/>
  <c r="S1761" i="25" s="1"/>
  <c r="Q1762" i="25"/>
  <c r="S1762" i="25" s="1"/>
  <c r="Q1763" i="25"/>
  <c r="S1763" i="25" s="1"/>
  <c r="Q1764" i="25"/>
  <c r="S1764" i="25" s="1"/>
  <c r="Q1765" i="25"/>
  <c r="S1765" i="25" s="1"/>
  <c r="Q1766" i="25"/>
  <c r="S1766" i="25" s="1"/>
  <c r="Q1767" i="25"/>
  <c r="S1767" i="25" s="1"/>
  <c r="Q1768" i="25"/>
  <c r="S1768" i="25" s="1"/>
  <c r="Q1769" i="25"/>
  <c r="S1769" i="25" s="1"/>
  <c r="Q1770" i="25"/>
  <c r="S1770" i="25" s="1"/>
  <c r="Q1771" i="25"/>
  <c r="S1771" i="25" s="1"/>
  <c r="Q1772" i="25"/>
  <c r="S1772" i="25" s="1"/>
  <c r="Q1773" i="25"/>
  <c r="S1773" i="25" s="1"/>
  <c r="Q1774" i="25"/>
  <c r="S1774" i="25" s="1"/>
  <c r="Q1775" i="25"/>
  <c r="S1775" i="25" s="1"/>
  <c r="Q1776" i="25"/>
  <c r="S1776" i="25" s="1"/>
  <c r="Q1777" i="25"/>
  <c r="S1777" i="25" s="1"/>
  <c r="Q1778" i="25"/>
  <c r="S1778" i="25" s="1"/>
  <c r="Q1779" i="25"/>
  <c r="S1779" i="25" s="1"/>
  <c r="Q1780" i="25"/>
  <c r="S1780" i="25" s="1"/>
  <c r="Q1781" i="25"/>
  <c r="S1781" i="25" s="1"/>
  <c r="Q1782" i="25"/>
  <c r="S1782" i="25" s="1"/>
  <c r="Q1783" i="25"/>
  <c r="S1783" i="25" s="1"/>
  <c r="Q1784" i="25"/>
  <c r="S1784" i="25" s="1"/>
  <c r="Q1785" i="25"/>
  <c r="S1785" i="25" s="1"/>
  <c r="Q1786" i="25"/>
  <c r="S1786" i="25" s="1"/>
  <c r="Q1787" i="25"/>
  <c r="S1787" i="25" s="1"/>
  <c r="Q1788" i="25"/>
  <c r="S1788" i="25" s="1"/>
  <c r="Q1789" i="25"/>
  <c r="S1789" i="25" s="1"/>
  <c r="Q1790" i="25"/>
  <c r="S1790" i="25" s="1"/>
  <c r="Q1791" i="25"/>
  <c r="S1791" i="25" s="1"/>
  <c r="Q1792" i="25"/>
  <c r="S1792" i="25" s="1"/>
  <c r="Q1793" i="25"/>
  <c r="S1793" i="25" s="1"/>
  <c r="Q1794" i="25"/>
  <c r="S1794" i="25" s="1"/>
  <c r="Q1795" i="25"/>
  <c r="S1795" i="25" s="1"/>
  <c r="Q1796" i="25"/>
  <c r="S1796" i="25" s="1"/>
  <c r="Q1797" i="25"/>
  <c r="S1797" i="25" s="1"/>
  <c r="Q1798" i="25"/>
  <c r="S1798" i="25" s="1"/>
  <c r="Q1799" i="25"/>
  <c r="S1799" i="25" s="1"/>
  <c r="Q1800" i="25"/>
  <c r="S1800" i="25" s="1"/>
  <c r="Q1801" i="25"/>
  <c r="S1801" i="25" s="1"/>
  <c r="Q1802" i="25"/>
  <c r="S1802" i="25" s="1"/>
  <c r="Q1803" i="25"/>
  <c r="S1803" i="25" s="1"/>
  <c r="Q1804" i="25"/>
  <c r="S1804" i="25" s="1"/>
  <c r="Q1805" i="25"/>
  <c r="S1805" i="25" s="1"/>
  <c r="Q1806" i="25"/>
  <c r="S1806" i="25" s="1"/>
  <c r="Q1807" i="25"/>
  <c r="S1807" i="25" s="1"/>
  <c r="Q1808" i="25"/>
  <c r="S1808" i="25" s="1"/>
  <c r="Q1809" i="25"/>
  <c r="S1809" i="25" s="1"/>
  <c r="Q1810" i="25"/>
  <c r="S1810" i="25" s="1"/>
  <c r="Q1811" i="25"/>
  <c r="S1811" i="25" s="1"/>
  <c r="Q1812" i="25"/>
  <c r="S1812" i="25" s="1"/>
  <c r="Q1813" i="25"/>
  <c r="S1813" i="25" s="1"/>
  <c r="Q1814" i="25"/>
  <c r="S1814" i="25" s="1"/>
  <c r="Q1815" i="25"/>
  <c r="S1815" i="25" s="1"/>
  <c r="Q1816" i="25"/>
  <c r="S1816" i="25" s="1"/>
  <c r="Q1817" i="25"/>
  <c r="S1817" i="25" s="1"/>
  <c r="Q1818" i="25"/>
  <c r="S1818" i="25" s="1"/>
  <c r="Q1819" i="25"/>
  <c r="S1819" i="25" s="1"/>
  <c r="Q1820" i="25"/>
  <c r="S1820" i="25" s="1"/>
  <c r="Q1821" i="25"/>
  <c r="S1821" i="25" s="1"/>
  <c r="Q1822" i="25"/>
  <c r="S1822" i="25" s="1"/>
  <c r="Q1823" i="25"/>
  <c r="S1823" i="25" s="1"/>
  <c r="Q1824" i="25"/>
  <c r="S1824" i="25" s="1"/>
  <c r="Q1825" i="25"/>
  <c r="S1825" i="25" s="1"/>
  <c r="Q1826" i="25"/>
  <c r="S1826" i="25" s="1"/>
  <c r="Q1827" i="25"/>
  <c r="S1827" i="25" s="1"/>
  <c r="Q1828" i="25"/>
  <c r="S1828" i="25" s="1"/>
  <c r="Q1829" i="25"/>
  <c r="S1829" i="25" s="1"/>
  <c r="Q1830" i="25"/>
  <c r="S1830" i="25" s="1"/>
  <c r="Q1831" i="25"/>
  <c r="S1831" i="25" s="1"/>
  <c r="Q1832" i="25"/>
  <c r="S1832" i="25" s="1"/>
  <c r="Q1833" i="25"/>
  <c r="S1833" i="25" s="1"/>
  <c r="Q1834" i="25"/>
  <c r="S1834" i="25" s="1"/>
  <c r="Q1835" i="25"/>
  <c r="S1835" i="25" s="1"/>
  <c r="Q1836" i="25"/>
  <c r="S1836" i="25" s="1"/>
  <c r="Q1837" i="25"/>
  <c r="S1837" i="25" s="1"/>
  <c r="Q1838" i="25"/>
  <c r="S1838" i="25" s="1"/>
  <c r="Q1839" i="25"/>
  <c r="S1839" i="25" s="1"/>
  <c r="Q1840" i="25"/>
  <c r="S1840" i="25" s="1"/>
  <c r="Q1841" i="25"/>
  <c r="S1841" i="25" s="1"/>
  <c r="Q1842" i="25"/>
  <c r="S1842" i="25" s="1"/>
  <c r="Q1843" i="25"/>
  <c r="S1843" i="25" s="1"/>
  <c r="Q1844" i="25"/>
  <c r="S1844" i="25" s="1"/>
  <c r="Q1845" i="25"/>
  <c r="S1845" i="25" s="1"/>
  <c r="Q1846" i="25"/>
  <c r="S1846" i="25" s="1"/>
  <c r="Q1847" i="25"/>
  <c r="S1847" i="25" s="1"/>
  <c r="Q1848" i="25"/>
  <c r="S1848" i="25" s="1"/>
  <c r="Q1849" i="25"/>
  <c r="S1849" i="25" s="1"/>
  <c r="Q1850" i="25"/>
  <c r="S1850" i="25" s="1"/>
  <c r="Q1851" i="25"/>
  <c r="S1851" i="25" s="1"/>
  <c r="Q1852" i="25"/>
  <c r="S1852" i="25" s="1"/>
  <c r="Q1853" i="25"/>
  <c r="S1853" i="25" s="1"/>
  <c r="Q1854" i="25"/>
  <c r="S1854" i="25" s="1"/>
  <c r="Q1855" i="25"/>
  <c r="S1855" i="25" s="1"/>
  <c r="Q1856" i="25"/>
  <c r="S1856" i="25" s="1"/>
  <c r="Q1857" i="25"/>
  <c r="S1857" i="25" s="1"/>
  <c r="Q1858" i="25"/>
  <c r="S1858" i="25" s="1"/>
  <c r="Q1859" i="25"/>
  <c r="S1859" i="25" s="1"/>
  <c r="Q1860" i="25"/>
  <c r="S1860" i="25" s="1"/>
  <c r="Q1861" i="25"/>
  <c r="S1861" i="25" s="1"/>
  <c r="Q1862" i="25"/>
  <c r="S1862" i="25" s="1"/>
  <c r="Q1863" i="25"/>
  <c r="S1863" i="25" s="1"/>
  <c r="Q1864" i="25"/>
  <c r="S1864" i="25" s="1"/>
  <c r="Q1865" i="25"/>
  <c r="S1865" i="25" s="1"/>
  <c r="Q1866" i="25"/>
  <c r="S1866" i="25" s="1"/>
  <c r="Q1867" i="25"/>
  <c r="S1867" i="25" s="1"/>
  <c r="Q1868" i="25"/>
  <c r="S1868" i="25" s="1"/>
  <c r="Q1869" i="25"/>
  <c r="S1869" i="25" s="1"/>
  <c r="Q1870" i="25"/>
  <c r="S1870" i="25" s="1"/>
  <c r="Q1871" i="25"/>
  <c r="S1871" i="25" s="1"/>
  <c r="Q1872" i="25"/>
  <c r="S1872" i="25" s="1"/>
  <c r="Q1873" i="25"/>
  <c r="S1873" i="25" s="1"/>
  <c r="Q1874" i="25"/>
  <c r="S1874" i="25" s="1"/>
  <c r="Q1875" i="25"/>
  <c r="S1875" i="25" s="1"/>
  <c r="Q1876" i="25"/>
  <c r="S1876" i="25" s="1"/>
  <c r="Q1877" i="25"/>
  <c r="S1877" i="25" s="1"/>
  <c r="Q1878" i="25"/>
  <c r="S1878" i="25" s="1"/>
  <c r="Q1879" i="25"/>
  <c r="S1879" i="25" s="1"/>
  <c r="Q1880" i="25"/>
  <c r="S1880" i="25" s="1"/>
  <c r="Q1881" i="25"/>
  <c r="S1881" i="25" s="1"/>
  <c r="Q1882" i="25"/>
  <c r="S1882" i="25" s="1"/>
  <c r="Q1883" i="25"/>
  <c r="S1883" i="25" s="1"/>
  <c r="Q1884" i="25"/>
  <c r="S1884" i="25" s="1"/>
  <c r="Q1885" i="25"/>
  <c r="S1885" i="25" s="1"/>
  <c r="Q1886" i="25"/>
  <c r="S1886" i="25" s="1"/>
  <c r="Q1887" i="25"/>
  <c r="S1887" i="25" s="1"/>
  <c r="Q1888" i="25"/>
  <c r="S1888" i="25" s="1"/>
  <c r="Q1889" i="25"/>
  <c r="S1889" i="25" s="1"/>
  <c r="Q1890" i="25"/>
  <c r="S1890" i="25" s="1"/>
  <c r="Q1891" i="25"/>
  <c r="S1891" i="25" s="1"/>
  <c r="Q1892" i="25"/>
  <c r="S1892" i="25" s="1"/>
  <c r="Q1893" i="25"/>
  <c r="S1893" i="25" s="1"/>
  <c r="Q1894" i="25"/>
  <c r="S1894" i="25" s="1"/>
  <c r="Q1895" i="25"/>
  <c r="S1895" i="25" s="1"/>
  <c r="Q1896" i="25"/>
  <c r="S1896" i="25" s="1"/>
  <c r="Q1897" i="25"/>
  <c r="S1897" i="25" s="1"/>
  <c r="Q1898" i="25"/>
  <c r="S1898" i="25" s="1"/>
  <c r="Q1899" i="25"/>
  <c r="S1899" i="25" s="1"/>
  <c r="Q1900" i="25"/>
  <c r="S1900" i="25" s="1"/>
  <c r="Q1901" i="25"/>
  <c r="S1901" i="25" s="1"/>
  <c r="Q1902" i="25"/>
  <c r="S1902" i="25" s="1"/>
  <c r="Q1903" i="25"/>
  <c r="S1903" i="25" s="1"/>
  <c r="Q1904" i="25"/>
  <c r="S1904" i="25" s="1"/>
  <c r="Q1905" i="25"/>
  <c r="S1905" i="25" s="1"/>
  <c r="Q1906" i="25"/>
  <c r="S1906" i="25" s="1"/>
  <c r="Q1907" i="25"/>
  <c r="S1907" i="25" s="1"/>
  <c r="Q1908" i="25"/>
  <c r="S1908" i="25" s="1"/>
  <c r="Q1909" i="25"/>
  <c r="S1909" i="25" s="1"/>
  <c r="Q1910" i="25"/>
  <c r="S1910" i="25" s="1"/>
  <c r="Q1911" i="25"/>
  <c r="S1911" i="25" s="1"/>
  <c r="Q1912" i="25"/>
  <c r="S1912" i="25" s="1"/>
  <c r="Q1913" i="25"/>
  <c r="S1913" i="25" s="1"/>
  <c r="Q1914" i="25"/>
  <c r="S1914" i="25" s="1"/>
  <c r="Q1915" i="25"/>
  <c r="S1915" i="25" s="1"/>
  <c r="Q1916" i="25"/>
  <c r="S1916" i="25" s="1"/>
  <c r="Q1917" i="25"/>
  <c r="S1917" i="25" s="1"/>
  <c r="Q1918" i="25"/>
  <c r="S1918" i="25" s="1"/>
  <c r="Q1919" i="25"/>
  <c r="S1919" i="25" s="1"/>
  <c r="Q1920" i="25"/>
  <c r="S1920" i="25" s="1"/>
  <c r="Q1921" i="25"/>
  <c r="S1921" i="25" s="1"/>
  <c r="Q1922" i="25"/>
  <c r="S1922" i="25" s="1"/>
  <c r="Q1923" i="25"/>
  <c r="S1923" i="25" s="1"/>
  <c r="Q1924" i="25"/>
  <c r="S1924" i="25" s="1"/>
  <c r="Q1925" i="25"/>
  <c r="S1925" i="25" s="1"/>
  <c r="Q1926" i="25"/>
  <c r="S1926" i="25" s="1"/>
  <c r="Q1927" i="25"/>
  <c r="S1927" i="25" s="1"/>
  <c r="Q1928" i="25"/>
  <c r="S1928" i="25" s="1"/>
  <c r="Q1929" i="25"/>
  <c r="S1929" i="25" s="1"/>
  <c r="Q1930" i="25"/>
  <c r="S1930" i="25" s="1"/>
  <c r="Q1931" i="25"/>
  <c r="S1931" i="25" s="1"/>
  <c r="Q1932" i="25"/>
  <c r="S1932" i="25" s="1"/>
  <c r="Q1933" i="25"/>
  <c r="S1933" i="25" s="1"/>
  <c r="Q1934" i="25"/>
  <c r="S1934" i="25" s="1"/>
  <c r="Q1935" i="25"/>
  <c r="S1935" i="25" s="1"/>
  <c r="Q1936" i="25"/>
  <c r="S1936" i="25" s="1"/>
  <c r="Q1937" i="25"/>
  <c r="S1937" i="25" s="1"/>
  <c r="Q1938" i="25"/>
  <c r="S1938" i="25" s="1"/>
  <c r="Q1939" i="25"/>
  <c r="S1939" i="25" s="1"/>
  <c r="Q1940" i="25"/>
  <c r="S1940" i="25" s="1"/>
  <c r="Q1941" i="25"/>
  <c r="S1941" i="25" s="1"/>
  <c r="Q1942" i="25"/>
  <c r="S1942" i="25" s="1"/>
  <c r="Q1943" i="25"/>
  <c r="S1943" i="25" s="1"/>
  <c r="Q1944" i="25"/>
  <c r="S1944" i="25" s="1"/>
  <c r="Q1945" i="25"/>
  <c r="S1945" i="25" s="1"/>
  <c r="Q1946" i="25"/>
  <c r="S1946" i="25" s="1"/>
  <c r="Q1947" i="25"/>
  <c r="S1947" i="25" s="1"/>
  <c r="Q1948" i="25"/>
  <c r="S1948" i="25" s="1"/>
  <c r="Q1949" i="25"/>
  <c r="S1949" i="25" s="1"/>
  <c r="Q1950" i="25"/>
  <c r="S1950" i="25" s="1"/>
  <c r="Q1951" i="25"/>
  <c r="S1951" i="25" s="1"/>
  <c r="Q1952" i="25"/>
  <c r="S1952" i="25" s="1"/>
  <c r="Q1953" i="25"/>
  <c r="S1953" i="25" s="1"/>
  <c r="Q1954" i="25"/>
  <c r="S1954" i="25" s="1"/>
  <c r="Q1955" i="25"/>
  <c r="S1955" i="25" s="1"/>
  <c r="Q1956" i="25"/>
  <c r="S1956" i="25" s="1"/>
  <c r="Q1957" i="25"/>
  <c r="S1957" i="25" s="1"/>
  <c r="Q1958" i="25"/>
  <c r="S1958" i="25" s="1"/>
  <c r="Q1959" i="25"/>
  <c r="S1959" i="25" s="1"/>
  <c r="Q1960" i="25"/>
  <c r="S1960" i="25" s="1"/>
  <c r="Q1961" i="25"/>
  <c r="S1961" i="25" s="1"/>
  <c r="Q1962" i="25"/>
  <c r="S1962" i="25" s="1"/>
  <c r="Q1963" i="25"/>
  <c r="S1963" i="25" s="1"/>
  <c r="Q1964" i="25"/>
  <c r="S1964" i="25" s="1"/>
  <c r="Q1965" i="25"/>
  <c r="S1965" i="25" s="1"/>
  <c r="Q1966" i="25"/>
  <c r="S1966" i="25" s="1"/>
  <c r="Q1967" i="25"/>
  <c r="S1967" i="25" s="1"/>
  <c r="Q1968" i="25"/>
  <c r="S1968" i="25" s="1"/>
  <c r="Q1969" i="25"/>
  <c r="S1969" i="25" s="1"/>
  <c r="Q1970" i="25"/>
  <c r="S1970" i="25" s="1"/>
  <c r="Q1971" i="25"/>
  <c r="S1971" i="25" s="1"/>
  <c r="Q1972" i="25"/>
  <c r="S1972" i="25" s="1"/>
  <c r="Q1973" i="25"/>
  <c r="S1973" i="25" s="1"/>
  <c r="Q1974" i="25"/>
  <c r="S1974" i="25" s="1"/>
  <c r="Q1975" i="25"/>
  <c r="S1975" i="25" s="1"/>
  <c r="Q1976" i="25"/>
  <c r="S1976" i="25" s="1"/>
  <c r="Q1977" i="25"/>
  <c r="S1977" i="25" s="1"/>
  <c r="Q1978" i="25"/>
  <c r="S1978" i="25" s="1"/>
  <c r="Q1979" i="25"/>
  <c r="S1979" i="25" s="1"/>
  <c r="Q1980" i="25"/>
  <c r="S1980" i="25" s="1"/>
  <c r="Q1981" i="25"/>
  <c r="S1981" i="25" s="1"/>
  <c r="Q1982" i="25"/>
  <c r="S1982" i="25" s="1"/>
  <c r="Q1983" i="25"/>
  <c r="S1983" i="25" s="1"/>
  <c r="Q1984" i="25"/>
  <c r="S1984" i="25" s="1"/>
  <c r="Q1985" i="25"/>
  <c r="S1985" i="25" s="1"/>
  <c r="Q1986" i="25"/>
  <c r="S1986" i="25" s="1"/>
  <c r="Q1987" i="25"/>
  <c r="S1987" i="25" s="1"/>
  <c r="Q1988" i="25"/>
  <c r="S1988" i="25" s="1"/>
  <c r="Q1989" i="25"/>
  <c r="S1989" i="25" s="1"/>
  <c r="Q1990" i="25"/>
  <c r="S1990" i="25" s="1"/>
  <c r="Q1991" i="25"/>
  <c r="S1991" i="25" s="1"/>
  <c r="Q1992" i="25"/>
  <c r="S1992" i="25" s="1"/>
  <c r="Q1993" i="25"/>
  <c r="S1993" i="25" s="1"/>
  <c r="Q1994" i="25"/>
  <c r="S1994" i="25" s="1"/>
  <c r="Q1995" i="25"/>
  <c r="S1995" i="25" s="1"/>
  <c r="Q1996" i="25"/>
  <c r="S1996" i="25" s="1"/>
  <c r="Q1997" i="25"/>
  <c r="S1997" i="25" s="1"/>
  <c r="Q1998" i="25"/>
  <c r="S1998" i="25" s="1"/>
  <c r="Q1999" i="25"/>
  <c r="S1999" i="25" s="1"/>
  <c r="Q2000" i="25"/>
  <c r="S2000" i="25" s="1"/>
  <c r="Q2001" i="25"/>
  <c r="S2001" i="25" s="1"/>
  <c r="Q2002" i="25"/>
  <c r="S2002" i="25" s="1"/>
  <c r="Q2003" i="25"/>
  <c r="S2003" i="25" s="1"/>
  <c r="Q2004" i="25"/>
  <c r="S2004" i="25" s="1"/>
  <c r="Q2005" i="25"/>
  <c r="S2005" i="25" s="1"/>
  <c r="Q2006" i="25"/>
  <c r="S2006" i="25" s="1"/>
  <c r="Q2007" i="25"/>
  <c r="S2007" i="25" s="1"/>
  <c r="Q2008" i="25"/>
  <c r="S2008" i="25" s="1"/>
  <c r="Q2009" i="25"/>
  <c r="S2009" i="25" s="1"/>
  <c r="Q2010" i="25"/>
  <c r="S2010" i="25" s="1"/>
  <c r="Q2011" i="25"/>
  <c r="S2011" i="25" s="1"/>
  <c r="Q2012" i="25"/>
  <c r="S2012" i="25" s="1"/>
  <c r="Q2013" i="25"/>
  <c r="S2013" i="25" s="1"/>
  <c r="Q2014" i="25"/>
  <c r="S2014" i="25" s="1"/>
  <c r="Q2015" i="25"/>
  <c r="S2015" i="25" s="1"/>
  <c r="Q2016" i="25"/>
  <c r="S2016" i="25" s="1"/>
  <c r="Q2017" i="25"/>
  <c r="S2017" i="25" s="1"/>
  <c r="Q2018" i="25"/>
  <c r="S2018" i="25" s="1"/>
  <c r="Q2019" i="25"/>
  <c r="S2019" i="25" s="1"/>
  <c r="Q2020" i="25"/>
  <c r="S2020" i="25" s="1"/>
  <c r="Q2021" i="25"/>
  <c r="S2021" i="25" s="1"/>
  <c r="Q2022" i="25"/>
  <c r="S2022" i="25" s="1"/>
  <c r="Q2023" i="25"/>
  <c r="S2023" i="25" s="1"/>
  <c r="Q2024" i="25"/>
  <c r="S2024" i="25" s="1"/>
  <c r="Q2025" i="25"/>
  <c r="S2025" i="25" s="1"/>
  <c r="Q2026" i="25"/>
  <c r="S2026" i="25" s="1"/>
  <c r="Q2027" i="25"/>
  <c r="S2027" i="25" s="1"/>
  <c r="Q2028" i="25"/>
  <c r="S2028" i="25" s="1"/>
  <c r="Q2029" i="25"/>
  <c r="S2029" i="25" s="1"/>
  <c r="Q2030" i="25"/>
  <c r="S2030" i="25" s="1"/>
  <c r="Q2031" i="25"/>
  <c r="S2031" i="25" s="1"/>
  <c r="Q2032" i="25"/>
  <c r="S2032" i="25" s="1"/>
  <c r="Q2033" i="25"/>
  <c r="S2033" i="25" s="1"/>
  <c r="Q2034" i="25"/>
  <c r="S2034" i="25" s="1"/>
  <c r="Q2035" i="25"/>
  <c r="S2035" i="25" s="1"/>
  <c r="Q2036" i="25"/>
  <c r="S2036" i="25" s="1"/>
  <c r="Q2037" i="25"/>
  <c r="S2037" i="25" s="1"/>
  <c r="Q2038" i="25"/>
  <c r="S2038" i="25" s="1"/>
  <c r="Q2039" i="25"/>
  <c r="S2039" i="25" s="1"/>
  <c r="Q2040" i="25"/>
  <c r="S2040" i="25" s="1"/>
  <c r="Q2041" i="25"/>
  <c r="S2041" i="25" s="1"/>
  <c r="Q2042" i="25"/>
  <c r="S2042" i="25" s="1"/>
  <c r="Q2043" i="25"/>
  <c r="S2043" i="25" s="1"/>
  <c r="Q2044" i="25"/>
  <c r="S2044" i="25" s="1"/>
  <c r="Q2045" i="25"/>
  <c r="S2045" i="25" s="1"/>
  <c r="Q2046" i="25"/>
  <c r="S2046" i="25" s="1"/>
  <c r="Q2047" i="25"/>
  <c r="S2047" i="25" s="1"/>
  <c r="Q2048" i="25"/>
  <c r="S2048" i="25" s="1"/>
  <c r="Q2049" i="25"/>
  <c r="S2049" i="25" s="1"/>
  <c r="Q2050" i="25"/>
  <c r="S2050" i="25" s="1"/>
  <c r="Q2051" i="25"/>
  <c r="S2051" i="25" s="1"/>
  <c r="Q2052" i="25"/>
  <c r="S2052" i="25" s="1"/>
  <c r="Q2053" i="25"/>
  <c r="S2053" i="25" s="1"/>
  <c r="Q2054" i="25"/>
  <c r="S2054" i="25" s="1"/>
  <c r="Q2055" i="25"/>
  <c r="S2055" i="25" s="1"/>
  <c r="Q2056" i="25"/>
  <c r="S2056" i="25" s="1"/>
  <c r="Q2057" i="25"/>
  <c r="S2057" i="25" s="1"/>
  <c r="Q2058" i="25"/>
  <c r="S2058" i="25" s="1"/>
  <c r="Q2059" i="25"/>
  <c r="S2059" i="25" s="1"/>
  <c r="Q2060" i="25"/>
  <c r="S2060" i="25" s="1"/>
  <c r="Q2061" i="25"/>
  <c r="S2061" i="25" s="1"/>
  <c r="Q2062" i="25"/>
  <c r="S2062" i="25" s="1"/>
  <c r="Q2063" i="25"/>
  <c r="S2063" i="25" s="1"/>
  <c r="Q2064" i="25"/>
  <c r="S2064" i="25" s="1"/>
  <c r="Q2065" i="25"/>
  <c r="S2065" i="25" s="1"/>
  <c r="Q2066" i="25"/>
  <c r="S2066" i="25" s="1"/>
  <c r="Q2067" i="25"/>
  <c r="S2067" i="25" s="1"/>
  <c r="Q2068" i="25"/>
  <c r="S2068" i="25" s="1"/>
  <c r="Q2069" i="25"/>
  <c r="S2069" i="25" s="1"/>
  <c r="Q2070" i="25"/>
  <c r="S2070" i="25" s="1"/>
  <c r="Q2071" i="25"/>
  <c r="S2071" i="25" s="1"/>
  <c r="Q2072" i="25"/>
  <c r="S2072" i="25" s="1"/>
  <c r="Q2073" i="25"/>
  <c r="S2073" i="25" s="1"/>
  <c r="Q2074" i="25"/>
  <c r="S2074" i="25" s="1"/>
  <c r="Q2075" i="25"/>
  <c r="S2075" i="25" s="1"/>
  <c r="Q2076" i="25"/>
  <c r="S2076" i="25" s="1"/>
  <c r="Q2077" i="25"/>
  <c r="S2077" i="25" s="1"/>
  <c r="Q2078" i="25"/>
  <c r="S2078" i="25" s="1"/>
  <c r="Q2079" i="25"/>
  <c r="S2079" i="25" s="1"/>
  <c r="Q2080" i="25"/>
  <c r="S2080" i="25" s="1"/>
  <c r="Q2081" i="25"/>
  <c r="S2081" i="25" s="1"/>
  <c r="Q2082" i="25"/>
  <c r="S2082" i="25" s="1"/>
  <c r="Q2083" i="25"/>
  <c r="S2083" i="25" s="1"/>
  <c r="Q2084" i="25"/>
  <c r="S2084" i="25" s="1"/>
  <c r="Q2085" i="25"/>
  <c r="S2085" i="25" s="1"/>
  <c r="Q2086" i="25"/>
  <c r="S2086" i="25" s="1"/>
  <c r="Q2087" i="25"/>
  <c r="S2087" i="25" s="1"/>
  <c r="Q2088" i="25"/>
  <c r="S2088" i="25" s="1"/>
  <c r="Q2089" i="25"/>
  <c r="S2089" i="25" s="1"/>
  <c r="Q2090" i="25"/>
  <c r="S2090" i="25" s="1"/>
  <c r="Q2091" i="25"/>
  <c r="S2091" i="25" s="1"/>
  <c r="Q2092" i="25"/>
  <c r="S2092" i="25" s="1"/>
  <c r="Q2093" i="25"/>
  <c r="S2093" i="25" s="1"/>
  <c r="Q2094" i="25"/>
  <c r="S2094" i="25" s="1"/>
  <c r="Q2095" i="25"/>
  <c r="S2095" i="25" s="1"/>
  <c r="Q2096" i="25"/>
  <c r="S2096" i="25" s="1"/>
  <c r="Q2097" i="25"/>
  <c r="S2097" i="25" s="1"/>
  <c r="Q2098" i="25"/>
  <c r="S2098" i="25" s="1"/>
  <c r="Q2099" i="25"/>
  <c r="S2099" i="25" s="1"/>
  <c r="Q2100" i="25"/>
  <c r="S2100" i="25" s="1"/>
  <c r="Q2101" i="25"/>
  <c r="S2101" i="25" s="1"/>
  <c r="Q2102" i="25"/>
  <c r="S2102" i="25" s="1"/>
  <c r="Q2103" i="25"/>
  <c r="S2103" i="25" s="1"/>
  <c r="Q2104" i="25"/>
  <c r="S2104" i="25" s="1"/>
  <c r="Q2105" i="25"/>
  <c r="S2105" i="25" s="1"/>
  <c r="Q2106" i="25"/>
  <c r="S2106" i="25" s="1"/>
  <c r="Q2107" i="25"/>
  <c r="S2107" i="25" s="1"/>
  <c r="Q2108" i="25"/>
  <c r="S2108" i="25" s="1"/>
  <c r="Q2109" i="25"/>
  <c r="S2109" i="25" s="1"/>
  <c r="Q2110" i="25"/>
  <c r="S2110" i="25" s="1"/>
  <c r="Q2111" i="25"/>
  <c r="S2111" i="25" s="1"/>
  <c r="Q2112" i="25"/>
  <c r="S2112" i="25" s="1"/>
  <c r="Q2113" i="25"/>
  <c r="S2113" i="25" s="1"/>
  <c r="Q2114" i="25"/>
  <c r="S2114" i="25" s="1"/>
  <c r="Q2115" i="25"/>
  <c r="S2115" i="25" s="1"/>
  <c r="Q2116" i="25"/>
  <c r="S2116" i="25" s="1"/>
  <c r="Q2117" i="25"/>
  <c r="S2117" i="25" s="1"/>
  <c r="Q2118" i="25"/>
  <c r="S2118" i="25" s="1"/>
  <c r="Q2119" i="25"/>
  <c r="S2119" i="25" s="1"/>
  <c r="Q2120" i="25"/>
  <c r="S2120" i="25" s="1"/>
  <c r="Q2121" i="25"/>
  <c r="S2121" i="25" s="1"/>
  <c r="Q2122" i="25"/>
  <c r="S2122" i="25" s="1"/>
  <c r="Q2123" i="25"/>
  <c r="S2123" i="25" s="1"/>
  <c r="Q2124" i="25"/>
  <c r="S2124" i="25" s="1"/>
  <c r="Q2125" i="25"/>
  <c r="S2125" i="25" s="1"/>
  <c r="Q2126" i="25"/>
  <c r="S2126" i="25" s="1"/>
  <c r="Q2127" i="25"/>
  <c r="S2127" i="25" s="1"/>
  <c r="Q2128" i="25"/>
  <c r="S2128" i="25" s="1"/>
  <c r="Q2129" i="25"/>
  <c r="S2129" i="25" s="1"/>
  <c r="Q2130" i="25"/>
  <c r="S2130" i="25" s="1"/>
  <c r="Q2131" i="25"/>
  <c r="S2131" i="25" s="1"/>
  <c r="Q2132" i="25"/>
  <c r="S2132" i="25" s="1"/>
  <c r="Q2133" i="25"/>
  <c r="S2133" i="25" s="1"/>
  <c r="Q2134" i="25"/>
  <c r="S2134" i="25" s="1"/>
  <c r="Q2135" i="25"/>
  <c r="S2135" i="25" s="1"/>
  <c r="Q2136" i="25"/>
  <c r="S2136" i="25" s="1"/>
  <c r="Q2137" i="25"/>
  <c r="S2137" i="25" s="1"/>
  <c r="Q2138" i="25"/>
  <c r="S2138" i="25" s="1"/>
  <c r="Q2139" i="25"/>
  <c r="S2139" i="25" s="1"/>
  <c r="Q2140" i="25"/>
  <c r="S2140" i="25" s="1"/>
  <c r="Q2141" i="25"/>
  <c r="S2141" i="25" s="1"/>
  <c r="Q2142" i="25"/>
  <c r="S2142" i="25" s="1"/>
  <c r="Q2143" i="25"/>
  <c r="S2143" i="25" s="1"/>
  <c r="Q2144" i="25"/>
  <c r="S2144" i="25" s="1"/>
  <c r="Q2145" i="25"/>
  <c r="S2145" i="25" s="1"/>
  <c r="Q2146" i="25"/>
  <c r="S2146" i="25" s="1"/>
  <c r="Q2147" i="25"/>
  <c r="S2147" i="25" s="1"/>
  <c r="Q2148" i="25"/>
  <c r="S2148" i="25" s="1"/>
  <c r="Q2149" i="25"/>
  <c r="S2149" i="25" s="1"/>
  <c r="Q2150" i="25"/>
  <c r="S2150" i="25" s="1"/>
  <c r="Q2151" i="25"/>
  <c r="S2151" i="25" s="1"/>
  <c r="Q2152" i="25"/>
  <c r="S2152" i="25" s="1"/>
  <c r="Q2153" i="25"/>
  <c r="S2153" i="25" s="1"/>
  <c r="Q2154" i="25"/>
  <c r="S2154" i="25" s="1"/>
  <c r="Q2155" i="25"/>
  <c r="S2155" i="25" s="1"/>
  <c r="Q2156" i="25"/>
  <c r="S2156" i="25" s="1"/>
  <c r="Q2157" i="25"/>
  <c r="S2157" i="25" s="1"/>
  <c r="Q2158" i="25"/>
  <c r="S2158" i="25" s="1"/>
  <c r="Q2159" i="25"/>
  <c r="S2159" i="25" s="1"/>
  <c r="Q2160" i="25"/>
  <c r="S2160" i="25" s="1"/>
  <c r="Q2161" i="25"/>
  <c r="S2161" i="25" s="1"/>
  <c r="Q2162" i="25"/>
  <c r="S2162" i="25" s="1"/>
  <c r="Q2163" i="25"/>
  <c r="S2163" i="25" s="1"/>
  <c r="Q2164" i="25"/>
  <c r="S2164" i="25" s="1"/>
  <c r="Q2165" i="25"/>
  <c r="S2165" i="25" s="1"/>
  <c r="Q2166" i="25"/>
  <c r="S2166" i="25" s="1"/>
  <c r="Q2167" i="25"/>
  <c r="S2167" i="25" s="1"/>
  <c r="Q2168" i="25"/>
  <c r="S2168" i="25" s="1"/>
  <c r="Q2169" i="25"/>
  <c r="S2169" i="25" s="1"/>
  <c r="Q2170" i="25"/>
  <c r="S2170" i="25" s="1"/>
  <c r="Q2171" i="25"/>
  <c r="S2171" i="25" s="1"/>
  <c r="Q2172" i="25"/>
  <c r="S2172" i="25" s="1"/>
  <c r="Q2173" i="25"/>
  <c r="S2173" i="25" s="1"/>
  <c r="Q2174" i="25"/>
  <c r="S2174" i="25" s="1"/>
  <c r="Q2175" i="25"/>
  <c r="S2175" i="25" s="1"/>
  <c r="Q2176" i="25"/>
  <c r="S2176" i="25" s="1"/>
  <c r="Q2177" i="25"/>
  <c r="S2177" i="25" s="1"/>
  <c r="Q2178" i="25"/>
  <c r="S2178" i="25" s="1"/>
  <c r="Q2179" i="25"/>
  <c r="S2179" i="25" s="1"/>
  <c r="Q2180" i="25"/>
  <c r="S2180" i="25" s="1"/>
  <c r="Q2181" i="25"/>
  <c r="S2181" i="25" s="1"/>
  <c r="Q2182" i="25"/>
  <c r="S2182" i="25" s="1"/>
  <c r="Q2183" i="25"/>
  <c r="S2183" i="25" s="1"/>
  <c r="Q2184" i="25"/>
  <c r="S2184" i="25" s="1"/>
  <c r="Q2185" i="25"/>
  <c r="S2185" i="25" s="1"/>
  <c r="Q2186" i="25"/>
  <c r="S2186" i="25" s="1"/>
  <c r="Q2187" i="25"/>
  <c r="S2187" i="25" s="1"/>
  <c r="Q2188" i="25"/>
  <c r="S2188" i="25" s="1"/>
  <c r="Q2189" i="25"/>
  <c r="S2189" i="25" s="1"/>
  <c r="Q2190" i="25"/>
  <c r="S2190" i="25" s="1"/>
  <c r="Q2191" i="25"/>
  <c r="S2191" i="25" s="1"/>
  <c r="Q2192" i="25"/>
  <c r="S2192" i="25" s="1"/>
  <c r="Q2193" i="25"/>
  <c r="S2193" i="25" s="1"/>
  <c r="Q2194" i="25"/>
  <c r="S2194" i="25" s="1"/>
  <c r="Q2195" i="25"/>
  <c r="S2195" i="25" s="1"/>
  <c r="Q2196" i="25"/>
  <c r="S2196" i="25" s="1"/>
  <c r="Q2197" i="25"/>
  <c r="S2197" i="25" s="1"/>
  <c r="Q2198" i="25"/>
  <c r="S2198" i="25" s="1"/>
  <c r="Q2199" i="25"/>
  <c r="S2199" i="25" s="1"/>
  <c r="Q2200" i="25"/>
  <c r="S2200" i="25" s="1"/>
  <c r="Q2201" i="25"/>
  <c r="S2201" i="25" s="1"/>
  <c r="Q2202" i="25"/>
  <c r="S2202" i="25" s="1"/>
  <c r="Q2203" i="25"/>
  <c r="S2203" i="25" s="1"/>
  <c r="Q2204" i="25"/>
  <c r="S2204" i="25" s="1"/>
  <c r="Q2205" i="25"/>
  <c r="S2205" i="25" s="1"/>
  <c r="Q2206" i="25"/>
  <c r="S2206" i="25" s="1"/>
  <c r="Q2207" i="25"/>
  <c r="S2207" i="25" s="1"/>
  <c r="Q2208" i="25"/>
  <c r="S2208" i="25" s="1"/>
  <c r="Q2209" i="25"/>
  <c r="S2209" i="25" s="1"/>
  <c r="Q2210" i="25"/>
  <c r="S2210" i="25" s="1"/>
  <c r="Q2211" i="25"/>
  <c r="S2211" i="25" s="1"/>
  <c r="Q2212" i="25"/>
  <c r="S2212" i="25" s="1"/>
  <c r="Q2213" i="25"/>
  <c r="S2213" i="25" s="1"/>
  <c r="Q2214" i="25"/>
  <c r="S2214" i="25" s="1"/>
  <c r="Q2215" i="25"/>
  <c r="S2215" i="25" s="1"/>
  <c r="Q2216" i="25"/>
  <c r="S2216" i="25" s="1"/>
  <c r="Q2217" i="25"/>
  <c r="S2217" i="25" s="1"/>
  <c r="Q2218" i="25"/>
  <c r="S2218" i="25" s="1"/>
  <c r="Q2219" i="25"/>
  <c r="S2219" i="25" s="1"/>
  <c r="Q2220" i="25"/>
  <c r="S2220" i="25" s="1"/>
  <c r="Q2221" i="25"/>
  <c r="S2221" i="25" s="1"/>
  <c r="Q2222" i="25"/>
  <c r="S2222" i="25" s="1"/>
  <c r="Q2223" i="25"/>
  <c r="S2223" i="25" s="1"/>
  <c r="Q2224" i="25"/>
  <c r="S2224" i="25" s="1"/>
  <c r="Q2225" i="25"/>
  <c r="S2225" i="25" s="1"/>
  <c r="Q2226" i="25"/>
  <c r="S2226" i="25" s="1"/>
  <c r="Q2227" i="25"/>
  <c r="S2227" i="25" s="1"/>
  <c r="Q2228" i="25"/>
  <c r="S2228" i="25" s="1"/>
  <c r="Q2229" i="25"/>
  <c r="S2229" i="25" s="1"/>
  <c r="Q2230" i="25"/>
  <c r="S2230" i="25" s="1"/>
  <c r="Q2231" i="25"/>
  <c r="S2231" i="25" s="1"/>
  <c r="Q2232" i="25"/>
  <c r="S2232" i="25" s="1"/>
  <c r="Q2233" i="25"/>
  <c r="S2233" i="25" s="1"/>
  <c r="Q2234" i="25"/>
  <c r="S2234" i="25" s="1"/>
  <c r="Q2235" i="25"/>
  <c r="S2235" i="25" s="1"/>
  <c r="Q2236" i="25"/>
  <c r="S2236" i="25" s="1"/>
  <c r="Q2237" i="25"/>
  <c r="S2237" i="25" s="1"/>
  <c r="Q2238" i="25"/>
  <c r="S2238" i="25" s="1"/>
  <c r="Q2239" i="25"/>
  <c r="S2239" i="25" s="1"/>
  <c r="Q2240" i="25"/>
  <c r="S2240" i="25" s="1"/>
  <c r="Q2241" i="25"/>
  <c r="S2241" i="25" s="1"/>
  <c r="Q2242" i="25"/>
  <c r="S2242" i="25" s="1"/>
  <c r="Q2243" i="25"/>
  <c r="S2243" i="25" s="1"/>
  <c r="Q2244" i="25"/>
  <c r="S2244" i="25" s="1"/>
  <c r="Q2245" i="25"/>
  <c r="S2245" i="25" s="1"/>
  <c r="Q2246" i="25"/>
  <c r="S2246" i="25" s="1"/>
  <c r="Q2247" i="25"/>
  <c r="S2247" i="25" s="1"/>
  <c r="Q2248" i="25"/>
  <c r="S2248" i="25" s="1"/>
  <c r="Q2249" i="25"/>
  <c r="S2249" i="25" s="1"/>
  <c r="Q2250" i="25"/>
  <c r="S2250" i="25" s="1"/>
  <c r="Q2251" i="25"/>
  <c r="S2251" i="25" s="1"/>
  <c r="Q2252" i="25"/>
  <c r="S2252" i="25" s="1"/>
  <c r="Q2253" i="25"/>
  <c r="S2253" i="25" s="1"/>
  <c r="Q2254" i="25"/>
  <c r="S2254" i="25" s="1"/>
  <c r="Q2255" i="25"/>
  <c r="S2255" i="25" s="1"/>
  <c r="Q2256" i="25"/>
  <c r="S2256" i="25" s="1"/>
  <c r="Q2257" i="25"/>
  <c r="S2257" i="25" s="1"/>
  <c r="Q2258" i="25"/>
  <c r="S2258" i="25" s="1"/>
  <c r="Q2259" i="25"/>
  <c r="S2259" i="25" s="1"/>
  <c r="Q2260" i="25"/>
  <c r="S2260" i="25" s="1"/>
  <c r="Q2261" i="25"/>
  <c r="S2261" i="25" s="1"/>
  <c r="Q2262" i="25"/>
  <c r="S2262" i="25" s="1"/>
  <c r="Q2263" i="25"/>
  <c r="S2263" i="25" s="1"/>
  <c r="Q2264" i="25"/>
  <c r="S2264" i="25" s="1"/>
  <c r="Q2265" i="25"/>
  <c r="S2265" i="25" s="1"/>
  <c r="Q2266" i="25"/>
  <c r="S2266" i="25" s="1"/>
  <c r="Q2267" i="25"/>
  <c r="S2267" i="25" s="1"/>
  <c r="Q2268" i="25"/>
  <c r="S2268" i="25" s="1"/>
  <c r="Q2269" i="25"/>
  <c r="S2269" i="25" s="1"/>
  <c r="Q2270" i="25"/>
  <c r="S2270" i="25" s="1"/>
  <c r="Q2271" i="25"/>
  <c r="S2271" i="25" s="1"/>
  <c r="Q2272" i="25"/>
  <c r="S2272" i="25" s="1"/>
  <c r="Q2273" i="25"/>
  <c r="S2273" i="25" s="1"/>
  <c r="Q2274" i="25"/>
  <c r="S2274" i="25" s="1"/>
  <c r="Q2275" i="25"/>
  <c r="S2275" i="25" s="1"/>
  <c r="Q2276" i="25"/>
  <c r="S2276" i="25" s="1"/>
  <c r="Q2277" i="25"/>
  <c r="S2277" i="25" s="1"/>
  <c r="Q2278" i="25"/>
  <c r="S2278" i="25" s="1"/>
  <c r="Q2279" i="25"/>
  <c r="S2279" i="25" s="1"/>
  <c r="Q2280" i="25"/>
  <c r="S2280" i="25" s="1"/>
  <c r="Q2281" i="25"/>
  <c r="S2281" i="25" s="1"/>
  <c r="Q2282" i="25"/>
  <c r="S2282" i="25" s="1"/>
  <c r="Q2283" i="25"/>
  <c r="S2283" i="25" s="1"/>
  <c r="Q2284" i="25"/>
  <c r="S2284" i="25" s="1"/>
  <c r="Q2285" i="25"/>
  <c r="S2285" i="25" s="1"/>
  <c r="Q2286" i="25"/>
  <c r="S2286" i="25" s="1"/>
  <c r="Q2287" i="25"/>
  <c r="S2287" i="25" s="1"/>
  <c r="Q2288" i="25"/>
  <c r="S2288" i="25" s="1"/>
  <c r="Q2289" i="25"/>
  <c r="S2289" i="25" s="1"/>
  <c r="Q2290" i="25"/>
  <c r="S2290" i="25" s="1"/>
  <c r="Q2291" i="25"/>
  <c r="S2291" i="25" s="1"/>
  <c r="Q2292" i="25"/>
  <c r="S2292" i="25" s="1"/>
  <c r="Q2293" i="25"/>
  <c r="S2293" i="25" s="1"/>
  <c r="Q2294" i="25"/>
  <c r="S2294" i="25" s="1"/>
  <c r="Q2295" i="25"/>
  <c r="S2295" i="25" s="1"/>
  <c r="Q2296" i="25"/>
  <c r="S2296" i="25" s="1"/>
  <c r="Q2297" i="25"/>
  <c r="S2297" i="25" s="1"/>
  <c r="Q2298" i="25"/>
  <c r="S2298" i="25" s="1"/>
  <c r="Q2299" i="25"/>
  <c r="S2299" i="25" s="1"/>
  <c r="Q2300" i="25"/>
  <c r="S2300" i="25" s="1"/>
  <c r="Q2301" i="25"/>
  <c r="S2301" i="25" s="1"/>
  <c r="Q2302" i="25"/>
  <c r="S2302" i="25" s="1"/>
  <c r="Q2303" i="25"/>
  <c r="S2303" i="25" s="1"/>
  <c r="Q2304" i="25"/>
  <c r="S2304" i="25" s="1"/>
  <c r="Q2305" i="25"/>
  <c r="S2305" i="25" s="1"/>
  <c r="Q2306" i="25"/>
  <c r="S2306" i="25" s="1"/>
  <c r="Q2307" i="25"/>
  <c r="S2307" i="25" s="1"/>
  <c r="Q2308" i="25"/>
  <c r="S2308" i="25" s="1"/>
  <c r="Q2309" i="25"/>
  <c r="S2309" i="25" s="1"/>
  <c r="Q2310" i="25"/>
  <c r="S2310" i="25" s="1"/>
  <c r="Q2311" i="25"/>
  <c r="S2311" i="25" s="1"/>
  <c r="Q2312" i="25"/>
  <c r="S2312" i="25" s="1"/>
  <c r="Q2313" i="25"/>
  <c r="S2313" i="25" s="1"/>
  <c r="Q2314" i="25"/>
  <c r="S2314" i="25" s="1"/>
  <c r="Q2315" i="25"/>
  <c r="S2315" i="25" s="1"/>
  <c r="Q2316" i="25"/>
  <c r="S2316" i="25" s="1"/>
  <c r="Q2317" i="25"/>
  <c r="S2317" i="25" s="1"/>
  <c r="Q2318" i="25"/>
  <c r="S2318" i="25" s="1"/>
  <c r="Q2319" i="25"/>
  <c r="S2319" i="25" s="1"/>
  <c r="Q2320" i="25"/>
  <c r="S2320" i="25" s="1"/>
  <c r="Q2321" i="25"/>
  <c r="S2321" i="25" s="1"/>
  <c r="Q2322" i="25"/>
  <c r="S2322" i="25" s="1"/>
  <c r="Q2323" i="25"/>
  <c r="S2323" i="25" s="1"/>
  <c r="Q2324" i="25"/>
  <c r="S2324" i="25" s="1"/>
  <c r="Q2325" i="25"/>
  <c r="S2325" i="25" s="1"/>
  <c r="Q2326" i="25"/>
  <c r="S2326" i="25" s="1"/>
  <c r="Q2327" i="25"/>
  <c r="S2327" i="25" s="1"/>
  <c r="Q2328" i="25"/>
  <c r="S2328" i="25" s="1"/>
  <c r="Q2329" i="25"/>
  <c r="S2329" i="25" s="1"/>
  <c r="Q2330" i="25"/>
  <c r="S2330" i="25" s="1"/>
  <c r="Q2331" i="25"/>
  <c r="S2331" i="25" s="1"/>
  <c r="Q2332" i="25"/>
  <c r="S2332" i="25" s="1"/>
  <c r="Q2333" i="25"/>
  <c r="S2333" i="25" s="1"/>
  <c r="Q2334" i="25"/>
  <c r="S2334" i="25" s="1"/>
  <c r="Q2335" i="25"/>
  <c r="S2335" i="25" s="1"/>
  <c r="Q2336" i="25"/>
  <c r="S2336" i="25" s="1"/>
  <c r="Q2337" i="25"/>
  <c r="S2337" i="25" s="1"/>
  <c r="Q2338" i="25"/>
  <c r="S2338" i="25" s="1"/>
  <c r="Q2339" i="25"/>
  <c r="S2339" i="25" s="1"/>
  <c r="Q2340" i="25"/>
  <c r="S2340" i="25" s="1"/>
  <c r="Q2341" i="25"/>
  <c r="S2341" i="25" s="1"/>
  <c r="Q2342" i="25"/>
  <c r="S2342" i="25" s="1"/>
  <c r="Q2343" i="25"/>
  <c r="S2343" i="25" s="1"/>
  <c r="Q2344" i="25"/>
  <c r="S2344" i="25" s="1"/>
  <c r="Q2345" i="25"/>
  <c r="S2345" i="25" s="1"/>
  <c r="Q2346" i="25"/>
  <c r="S2346" i="25" s="1"/>
  <c r="Q2347" i="25"/>
  <c r="S2347" i="25" s="1"/>
  <c r="Q2348" i="25"/>
  <c r="S2348" i="25" s="1"/>
  <c r="Q2349" i="25"/>
  <c r="S2349" i="25" s="1"/>
  <c r="Q2350" i="25"/>
  <c r="S2350" i="25" s="1"/>
  <c r="Q2351" i="25"/>
  <c r="S2351" i="25" s="1"/>
  <c r="Q2352" i="25"/>
  <c r="S2352" i="25" s="1"/>
  <c r="Q2353" i="25"/>
  <c r="S2353" i="25" s="1"/>
  <c r="Q2354" i="25"/>
  <c r="S2354" i="25" s="1"/>
  <c r="Q2355" i="25"/>
  <c r="S2355" i="25" s="1"/>
  <c r="Q2356" i="25"/>
  <c r="S2356" i="25" s="1"/>
  <c r="Q2357" i="25"/>
  <c r="S2357" i="25" s="1"/>
  <c r="Q2358" i="25"/>
  <c r="S2358" i="25" s="1"/>
  <c r="Q2359" i="25"/>
  <c r="S2359" i="25" s="1"/>
  <c r="Q2360" i="25"/>
  <c r="S2360" i="25" s="1"/>
  <c r="Q2361" i="25"/>
  <c r="S2361" i="25" s="1"/>
  <c r="Q2362" i="25"/>
  <c r="S2362" i="25" s="1"/>
  <c r="Q2363" i="25"/>
  <c r="S2363" i="25" s="1"/>
  <c r="Q2364" i="25"/>
  <c r="S2364" i="25" s="1"/>
  <c r="Q2365" i="25"/>
  <c r="S2365" i="25" s="1"/>
  <c r="Q2366" i="25"/>
  <c r="S2366" i="25" s="1"/>
  <c r="Q2367" i="25"/>
  <c r="S2367" i="25" s="1"/>
  <c r="Q2368" i="25"/>
  <c r="S2368" i="25" s="1"/>
  <c r="Q2369" i="25"/>
  <c r="S2369" i="25" s="1"/>
  <c r="Q2370" i="25"/>
  <c r="S2370" i="25" s="1"/>
  <c r="Q2371" i="25"/>
  <c r="S2371" i="25" s="1"/>
  <c r="Q2372" i="25"/>
  <c r="S2372" i="25" s="1"/>
  <c r="Q2373" i="25"/>
  <c r="S2373" i="25" s="1"/>
  <c r="Q2374" i="25"/>
  <c r="S2374" i="25" s="1"/>
  <c r="Q2375" i="25"/>
  <c r="S2375" i="25" s="1"/>
  <c r="Q2376" i="25"/>
  <c r="S2376" i="25" s="1"/>
  <c r="Q2377" i="25"/>
  <c r="S2377" i="25" s="1"/>
  <c r="Q2378" i="25"/>
  <c r="S2378" i="25" s="1"/>
  <c r="Q2379" i="25"/>
  <c r="S2379" i="25" s="1"/>
  <c r="Q2380" i="25"/>
  <c r="S2380" i="25" s="1"/>
  <c r="Q2381" i="25"/>
  <c r="S2381" i="25" s="1"/>
  <c r="Q2382" i="25"/>
  <c r="S2382" i="25" s="1"/>
  <c r="Q2383" i="25"/>
  <c r="S2383" i="25" s="1"/>
  <c r="Q2384" i="25"/>
  <c r="S2384" i="25" s="1"/>
  <c r="Q2385" i="25"/>
  <c r="S2385" i="25" s="1"/>
  <c r="Q2386" i="25"/>
  <c r="S2386" i="25" s="1"/>
  <c r="Q2387" i="25"/>
  <c r="S2387" i="25" s="1"/>
  <c r="Q2388" i="25"/>
  <c r="S2388" i="25" s="1"/>
  <c r="Q2389" i="25"/>
  <c r="S2389" i="25" s="1"/>
  <c r="Q2390" i="25"/>
  <c r="S2390" i="25" s="1"/>
  <c r="Q2391" i="25"/>
  <c r="S2391" i="25" s="1"/>
  <c r="Q2392" i="25"/>
  <c r="S2392" i="25" s="1"/>
  <c r="Q2393" i="25"/>
  <c r="S2393" i="25" s="1"/>
  <c r="Q2394" i="25"/>
  <c r="S2394" i="25" s="1"/>
  <c r="Q2395" i="25"/>
  <c r="S2395" i="25" s="1"/>
  <c r="Q2396" i="25"/>
  <c r="S2396" i="25" s="1"/>
  <c r="Q2397" i="25"/>
  <c r="S2397" i="25" s="1"/>
  <c r="Q2398" i="25"/>
  <c r="S2398" i="25" s="1"/>
  <c r="Q2399" i="25"/>
  <c r="S2399" i="25" s="1"/>
  <c r="Q2400" i="25"/>
  <c r="S2400" i="25" s="1"/>
  <c r="Q2401" i="25"/>
  <c r="S2401" i="25" s="1"/>
  <c r="Q2402" i="25"/>
  <c r="S2402" i="25" s="1"/>
  <c r="Q2403" i="25"/>
  <c r="S2403" i="25" s="1"/>
  <c r="Q2404" i="25"/>
  <c r="S2404" i="25" s="1"/>
  <c r="Q2405" i="25"/>
  <c r="S2405" i="25" s="1"/>
  <c r="Q2406" i="25"/>
  <c r="S2406" i="25" s="1"/>
  <c r="Q2407" i="25"/>
  <c r="S2407" i="25" s="1"/>
  <c r="Q2408" i="25"/>
  <c r="S2408" i="25" s="1"/>
  <c r="Q2409" i="25"/>
  <c r="S2409" i="25" s="1"/>
  <c r="Q2410" i="25"/>
  <c r="S2410" i="25" s="1"/>
  <c r="Q2411" i="25"/>
  <c r="S2411" i="25" s="1"/>
  <c r="Q2412" i="25"/>
  <c r="S2412" i="25" s="1"/>
  <c r="Q2413" i="25"/>
  <c r="S2413" i="25" s="1"/>
  <c r="Q2414" i="25"/>
  <c r="S2414" i="25" s="1"/>
  <c r="Q2415" i="25"/>
  <c r="S2415" i="25" s="1"/>
  <c r="Q2416" i="25"/>
  <c r="S2416" i="25" s="1"/>
  <c r="Q2417" i="25"/>
  <c r="S2417" i="25" s="1"/>
  <c r="Q2418" i="25"/>
  <c r="S2418" i="25" s="1"/>
  <c r="Q2419" i="25"/>
  <c r="S2419" i="25" s="1"/>
  <c r="Q2420" i="25"/>
  <c r="S2420" i="25" s="1"/>
  <c r="Q2421" i="25"/>
  <c r="S2421" i="25" s="1"/>
  <c r="Q2422" i="25"/>
  <c r="S2422" i="25" s="1"/>
  <c r="Q2423" i="25"/>
  <c r="S2423" i="25" s="1"/>
  <c r="Q2424" i="25"/>
  <c r="S2424" i="25" s="1"/>
  <c r="Q2425" i="25"/>
  <c r="S2425" i="25" s="1"/>
  <c r="Q2426" i="25"/>
  <c r="S2426" i="25" s="1"/>
  <c r="Q2427" i="25"/>
  <c r="S2427" i="25" s="1"/>
  <c r="Q2428" i="25"/>
  <c r="S2428" i="25" s="1"/>
  <c r="Q2429" i="25"/>
  <c r="S2429" i="25" s="1"/>
  <c r="Q2430" i="25"/>
  <c r="S2430" i="25" s="1"/>
  <c r="Q2431" i="25"/>
  <c r="S2431" i="25" s="1"/>
  <c r="Q2432" i="25"/>
  <c r="S2432" i="25" s="1"/>
  <c r="Q2433" i="25"/>
  <c r="S2433" i="25" s="1"/>
  <c r="Q2434" i="25"/>
  <c r="S2434" i="25" s="1"/>
  <c r="Q2435" i="25"/>
  <c r="S2435" i="25" s="1"/>
  <c r="Q2436" i="25"/>
  <c r="S2436" i="25" s="1"/>
  <c r="Q2437" i="25"/>
  <c r="S2437" i="25" s="1"/>
  <c r="Q2438" i="25"/>
  <c r="S2438" i="25" s="1"/>
  <c r="Q2439" i="25"/>
  <c r="S2439" i="25" s="1"/>
  <c r="Q2440" i="25"/>
  <c r="S2440" i="25" s="1"/>
  <c r="Q2441" i="25"/>
  <c r="S2441" i="25" s="1"/>
  <c r="Q2442" i="25"/>
  <c r="S2442" i="25" s="1"/>
  <c r="Q2443" i="25"/>
  <c r="S2443" i="25" s="1"/>
  <c r="Q2444" i="25"/>
  <c r="S2444" i="25" s="1"/>
  <c r="Q2445" i="25"/>
  <c r="S2445" i="25" s="1"/>
  <c r="Q2446" i="25"/>
  <c r="S2446" i="25" s="1"/>
  <c r="Q2447" i="25"/>
  <c r="S2447" i="25" s="1"/>
  <c r="Q2448" i="25"/>
  <c r="S2448" i="25" s="1"/>
  <c r="Q2449" i="25"/>
  <c r="S2449" i="25" s="1"/>
  <c r="Q2450" i="25"/>
  <c r="S2450" i="25" s="1"/>
  <c r="Q2451" i="25"/>
  <c r="S2451" i="25" s="1"/>
  <c r="Q2452" i="25"/>
  <c r="S2452" i="25" s="1"/>
  <c r="Q2453" i="25"/>
  <c r="S2453" i="25" s="1"/>
  <c r="Q2454" i="25"/>
  <c r="S2454" i="25" s="1"/>
  <c r="Q2455" i="25"/>
  <c r="S2455" i="25" s="1"/>
  <c r="Q2456" i="25"/>
  <c r="S2456" i="25" s="1"/>
  <c r="Q2457" i="25"/>
  <c r="S2457" i="25" s="1"/>
  <c r="Q2458" i="25"/>
  <c r="S2458" i="25" s="1"/>
  <c r="Q2459" i="25"/>
  <c r="S2459" i="25" s="1"/>
  <c r="Q2460" i="25"/>
  <c r="S2460" i="25" s="1"/>
  <c r="Q2461" i="25"/>
  <c r="S2461" i="25" s="1"/>
  <c r="Q2462" i="25"/>
  <c r="S2462" i="25" s="1"/>
  <c r="Q2463" i="25"/>
  <c r="S2463" i="25" s="1"/>
  <c r="Q2464" i="25"/>
  <c r="S2464" i="25" s="1"/>
  <c r="Q2465" i="25"/>
  <c r="S2465" i="25" s="1"/>
  <c r="Q2466" i="25"/>
  <c r="S2466" i="25" s="1"/>
  <c r="Q2467" i="25"/>
  <c r="S2467" i="25" s="1"/>
  <c r="Q2468" i="25"/>
  <c r="S2468" i="25" s="1"/>
  <c r="Q2469" i="25"/>
  <c r="S2469" i="25" s="1"/>
  <c r="Q2470" i="25"/>
  <c r="S2470" i="25" s="1"/>
  <c r="Q2471" i="25"/>
  <c r="S2471" i="25" s="1"/>
  <c r="Q2472" i="25"/>
  <c r="S2472" i="25" s="1"/>
  <c r="Q2473" i="25"/>
  <c r="S2473" i="25" s="1"/>
  <c r="Q2474" i="25"/>
  <c r="S2474" i="25" s="1"/>
  <c r="Q2475" i="25"/>
  <c r="S2475" i="25" s="1"/>
  <c r="Q2476" i="25"/>
  <c r="S2476" i="25" s="1"/>
  <c r="Q2477" i="25"/>
  <c r="S2477" i="25" s="1"/>
  <c r="Q2478" i="25"/>
  <c r="S2478" i="25" s="1"/>
  <c r="Q2479" i="25"/>
  <c r="S2479" i="25" s="1"/>
  <c r="Q2480" i="25"/>
  <c r="S2480" i="25" s="1"/>
  <c r="Q2481" i="25"/>
  <c r="S2481" i="25" s="1"/>
  <c r="Q2482" i="25"/>
  <c r="S2482" i="25" s="1"/>
  <c r="Q2483" i="25"/>
  <c r="S2483" i="25" s="1"/>
  <c r="Q2484" i="25"/>
  <c r="S2484" i="25" s="1"/>
  <c r="Q2485" i="25"/>
  <c r="S2485" i="25" s="1"/>
  <c r="Q2486" i="25"/>
  <c r="S2486" i="25" s="1"/>
  <c r="Q2487" i="25"/>
  <c r="S2487" i="25" s="1"/>
  <c r="Q2488" i="25"/>
  <c r="S2488" i="25" s="1"/>
  <c r="Q2489" i="25"/>
  <c r="S2489" i="25" s="1"/>
  <c r="Q2490" i="25"/>
  <c r="S2490" i="25" s="1"/>
  <c r="Q2491" i="25"/>
  <c r="S2491" i="25" s="1"/>
  <c r="Q2492" i="25"/>
  <c r="S2492" i="25" s="1"/>
  <c r="Q2493" i="25"/>
  <c r="S2493" i="25" s="1"/>
  <c r="Q2494" i="25"/>
  <c r="S2494" i="25" s="1"/>
  <c r="Q2495" i="25"/>
  <c r="S2495" i="25" s="1"/>
  <c r="Q2496" i="25"/>
  <c r="S2496" i="25" s="1"/>
  <c r="Q2497" i="25"/>
  <c r="S2497" i="25" s="1"/>
  <c r="Q2498" i="25"/>
  <c r="S2498" i="25" s="1"/>
  <c r="Q2499" i="25"/>
  <c r="S2499" i="25" s="1"/>
  <c r="Q2500" i="25"/>
  <c r="S2500" i="25" s="1"/>
  <c r="Q2501" i="25"/>
  <c r="S2501" i="25" s="1"/>
  <c r="Q2502" i="25"/>
  <c r="S2502" i="25" s="1"/>
  <c r="Q2503" i="25"/>
  <c r="S2503" i="25" s="1"/>
  <c r="Q2504" i="25"/>
  <c r="S2504" i="25" s="1"/>
  <c r="Q2505" i="25"/>
  <c r="S2505" i="25" s="1"/>
  <c r="Q2506" i="25"/>
  <c r="S2506" i="25" s="1"/>
  <c r="Q2507" i="25"/>
  <c r="S2507" i="25" s="1"/>
  <c r="Q2508" i="25"/>
  <c r="S2508" i="25" s="1"/>
  <c r="Q2509" i="25"/>
  <c r="S2509" i="25" s="1"/>
  <c r="Q2510" i="25"/>
  <c r="S2510" i="25" s="1"/>
  <c r="Q2511" i="25"/>
  <c r="S2511" i="25" s="1"/>
  <c r="Q2512" i="25"/>
  <c r="S2512" i="25" s="1"/>
  <c r="Q2513" i="25"/>
  <c r="S2513" i="25" s="1"/>
  <c r="Q2514" i="25"/>
  <c r="S2514" i="25" s="1"/>
  <c r="Q2515" i="25"/>
  <c r="S2515" i="25" s="1"/>
  <c r="Q2516" i="25"/>
  <c r="S2516" i="25" s="1"/>
  <c r="Q2517" i="25"/>
  <c r="S2517" i="25" s="1"/>
  <c r="Q2518" i="25"/>
  <c r="S2518" i="25" s="1"/>
  <c r="Q2519" i="25"/>
  <c r="S2519" i="25" s="1"/>
  <c r="Q2520" i="25"/>
  <c r="S2520" i="25" s="1"/>
  <c r="Q2521" i="25"/>
  <c r="S2521" i="25" s="1"/>
  <c r="Q2522" i="25"/>
  <c r="S2522" i="25" s="1"/>
  <c r="Q2523" i="25"/>
  <c r="S2523" i="25" s="1"/>
  <c r="Q2524" i="25"/>
  <c r="S2524" i="25" s="1"/>
  <c r="Q2525" i="25"/>
  <c r="S2525" i="25" s="1"/>
  <c r="Q2526" i="25"/>
  <c r="S2526" i="25" s="1"/>
  <c r="Q2527" i="25"/>
  <c r="S2527" i="25" s="1"/>
  <c r="Q2528" i="25"/>
  <c r="S2528" i="25" s="1"/>
  <c r="Q2529" i="25"/>
  <c r="S2529" i="25" s="1"/>
  <c r="Q2530" i="25"/>
  <c r="S2530" i="25" s="1"/>
  <c r="Q2531" i="25"/>
  <c r="S2531" i="25" s="1"/>
  <c r="Q2532" i="25"/>
  <c r="S2532" i="25" s="1"/>
  <c r="Q2533" i="25"/>
  <c r="S2533" i="25" s="1"/>
  <c r="Q2534" i="25"/>
  <c r="S2534" i="25" s="1"/>
  <c r="Q2535" i="25"/>
  <c r="S2535" i="25" s="1"/>
  <c r="Q2536" i="25"/>
  <c r="S2536" i="25" s="1"/>
  <c r="Q2537" i="25"/>
  <c r="S2537" i="25" s="1"/>
  <c r="Q2538" i="25"/>
  <c r="S2538" i="25" s="1"/>
  <c r="Q2539" i="25"/>
  <c r="S2539" i="25" s="1"/>
  <c r="Q2540" i="25"/>
  <c r="S2540" i="25" s="1"/>
  <c r="Q2541" i="25"/>
  <c r="S2541" i="25" s="1"/>
  <c r="Q2542" i="25"/>
  <c r="S2542" i="25" s="1"/>
  <c r="Q2543" i="25"/>
  <c r="S2543" i="25" s="1"/>
  <c r="Q2544" i="25"/>
  <c r="S2544" i="25" s="1"/>
  <c r="Q2545" i="25"/>
  <c r="S2545" i="25" s="1"/>
  <c r="Q2546" i="25"/>
  <c r="S2546" i="25" s="1"/>
  <c r="Q2547" i="25"/>
  <c r="S2547" i="25" s="1"/>
  <c r="Q2548" i="25"/>
  <c r="S2548" i="25" s="1"/>
  <c r="Q2549" i="25"/>
  <c r="S2549" i="25" s="1"/>
  <c r="Q2550" i="25"/>
  <c r="S2550" i="25" s="1"/>
  <c r="Q2551" i="25"/>
  <c r="S2551" i="25" s="1"/>
  <c r="Q2552" i="25"/>
  <c r="S2552" i="25" s="1"/>
  <c r="Q2553" i="25"/>
  <c r="S2553" i="25" s="1"/>
  <c r="Q2554" i="25"/>
  <c r="S2554" i="25" s="1"/>
  <c r="Q2555" i="25"/>
  <c r="S2555" i="25" s="1"/>
  <c r="Q2556" i="25"/>
  <c r="S2556" i="25" s="1"/>
  <c r="Q2557" i="25"/>
  <c r="S2557" i="25" s="1"/>
  <c r="Q2558" i="25"/>
  <c r="S2558" i="25" s="1"/>
  <c r="Q2559" i="25"/>
  <c r="S2559" i="25" s="1"/>
  <c r="Q2560" i="25"/>
  <c r="S2560" i="25" s="1"/>
  <c r="Q2561" i="25"/>
  <c r="S2561" i="25" s="1"/>
  <c r="Q2562" i="25"/>
  <c r="S2562" i="25" s="1"/>
  <c r="Q2563" i="25"/>
  <c r="S2563" i="25" s="1"/>
  <c r="Q2564" i="25"/>
  <c r="S2564" i="25" s="1"/>
  <c r="Q2565" i="25"/>
  <c r="S2565" i="25" s="1"/>
  <c r="Q2566" i="25"/>
  <c r="S2566" i="25" s="1"/>
  <c r="Q2567" i="25"/>
  <c r="S2567" i="25" s="1"/>
  <c r="Q2568" i="25"/>
  <c r="S2568" i="25" s="1"/>
  <c r="Q2569" i="25"/>
  <c r="S2569" i="25" s="1"/>
  <c r="Q2570" i="25"/>
  <c r="S2570" i="25" s="1"/>
  <c r="Q2571" i="25"/>
  <c r="S2571" i="25" s="1"/>
  <c r="Q2572" i="25"/>
  <c r="S2572" i="25" s="1"/>
  <c r="Q2573" i="25"/>
  <c r="S2573" i="25" s="1"/>
  <c r="Q2574" i="25"/>
  <c r="S2574" i="25" s="1"/>
  <c r="Q2575" i="25"/>
  <c r="S2575" i="25" s="1"/>
  <c r="Q2576" i="25"/>
  <c r="S2576" i="25" s="1"/>
  <c r="Q2577" i="25"/>
  <c r="S2577" i="25" s="1"/>
  <c r="Q2578" i="25"/>
  <c r="S2578" i="25" s="1"/>
  <c r="Q2579" i="25"/>
  <c r="S2579" i="25" s="1"/>
  <c r="Q2580" i="25"/>
  <c r="S2580" i="25" s="1"/>
  <c r="Q2581" i="25"/>
  <c r="S2581" i="25" s="1"/>
  <c r="Q2582" i="25"/>
  <c r="S2582" i="25" s="1"/>
  <c r="Q2583" i="25"/>
  <c r="S2583" i="25" s="1"/>
  <c r="Q2584" i="25"/>
  <c r="S2584" i="25" s="1"/>
  <c r="Q2585" i="25"/>
  <c r="S2585" i="25" s="1"/>
  <c r="Q2586" i="25"/>
  <c r="S2586" i="25" s="1"/>
  <c r="Q2587" i="25"/>
  <c r="S2587" i="25" s="1"/>
  <c r="Q2588" i="25"/>
  <c r="S2588" i="25" s="1"/>
  <c r="Q2589" i="25"/>
  <c r="S2589" i="25" s="1"/>
  <c r="Q2590" i="25"/>
  <c r="S2590" i="25" s="1"/>
  <c r="Q2591" i="25"/>
  <c r="S2591" i="25" s="1"/>
  <c r="Q2592" i="25"/>
  <c r="S2592" i="25" s="1"/>
  <c r="Q2593" i="25"/>
  <c r="S2593" i="25" s="1"/>
  <c r="Q2594" i="25"/>
  <c r="S2594" i="25" s="1"/>
  <c r="Q2595" i="25"/>
  <c r="S2595" i="25" s="1"/>
  <c r="Q2596" i="25"/>
  <c r="S2596" i="25" s="1"/>
  <c r="Q2597" i="25"/>
  <c r="S2597" i="25" s="1"/>
  <c r="Q2598" i="25"/>
  <c r="S2598" i="25" s="1"/>
  <c r="Q2599" i="25"/>
  <c r="S2599" i="25" s="1"/>
  <c r="Q2600" i="25"/>
  <c r="S2600" i="25" s="1"/>
  <c r="Q2601" i="25"/>
  <c r="S2601" i="25" s="1"/>
  <c r="Q2602" i="25"/>
  <c r="S2602" i="25" s="1"/>
  <c r="Q2603" i="25"/>
  <c r="S2603" i="25" s="1"/>
  <c r="Q2604" i="25"/>
  <c r="S2604" i="25" s="1"/>
  <c r="Q2605" i="25"/>
  <c r="S2605" i="25" s="1"/>
  <c r="Q2606" i="25"/>
  <c r="S2606" i="25" s="1"/>
  <c r="Q2607" i="25"/>
  <c r="S2607" i="25" s="1"/>
  <c r="Q2608" i="25"/>
  <c r="S2608" i="25" s="1"/>
  <c r="Q2609" i="25"/>
  <c r="S2609" i="25" s="1"/>
  <c r="Q2610" i="25"/>
  <c r="S2610" i="25" s="1"/>
  <c r="Q2611" i="25"/>
  <c r="S2611" i="25" s="1"/>
  <c r="Q2612" i="25"/>
  <c r="S2612" i="25" s="1"/>
  <c r="Q2613" i="25"/>
  <c r="S2613" i="25" s="1"/>
  <c r="Q2614" i="25"/>
  <c r="S2614" i="25" s="1"/>
  <c r="Q2615" i="25"/>
  <c r="S2615" i="25" s="1"/>
  <c r="Q2616" i="25"/>
  <c r="S2616" i="25" s="1"/>
  <c r="Q2617" i="25"/>
  <c r="S2617" i="25" s="1"/>
  <c r="Q2618" i="25"/>
  <c r="S2618" i="25" s="1"/>
  <c r="Q2619" i="25"/>
  <c r="S2619" i="25" s="1"/>
  <c r="Q2620" i="25"/>
  <c r="S2620" i="25" s="1"/>
  <c r="Q2621" i="25"/>
  <c r="S2621" i="25" s="1"/>
  <c r="Q2622" i="25"/>
  <c r="S2622" i="25" s="1"/>
  <c r="Q2623" i="25"/>
  <c r="S2623" i="25" s="1"/>
  <c r="Q2624" i="25"/>
  <c r="S2624" i="25" s="1"/>
  <c r="Q2625" i="25"/>
  <c r="S2625" i="25" s="1"/>
  <c r="Q2626" i="25"/>
  <c r="S2626" i="25" s="1"/>
  <c r="Q2627" i="25"/>
  <c r="S2627" i="25" s="1"/>
  <c r="Q2628" i="25"/>
  <c r="S2628" i="25" s="1"/>
  <c r="Q2629" i="25"/>
  <c r="S2629" i="25" s="1"/>
  <c r="Q2630" i="25"/>
  <c r="S2630" i="25" s="1"/>
  <c r="Q2631" i="25"/>
  <c r="S2631" i="25" s="1"/>
  <c r="Q2632" i="25"/>
  <c r="S2632" i="25" s="1"/>
  <c r="Q2633" i="25"/>
  <c r="S2633" i="25" s="1"/>
  <c r="Q2634" i="25"/>
  <c r="S2634" i="25" s="1"/>
  <c r="Q2635" i="25"/>
  <c r="S2635" i="25" s="1"/>
  <c r="Q2636" i="25"/>
  <c r="S2636" i="25" s="1"/>
  <c r="Q2637" i="25"/>
  <c r="S2637" i="25" s="1"/>
  <c r="Q2638" i="25"/>
  <c r="S2638" i="25" s="1"/>
  <c r="Q2639" i="25"/>
  <c r="S2639" i="25" s="1"/>
  <c r="Q2640" i="25"/>
  <c r="S2640" i="25" s="1"/>
  <c r="Q2641" i="25"/>
  <c r="S2641" i="25" s="1"/>
  <c r="Q2642" i="25"/>
  <c r="S2642" i="25" s="1"/>
  <c r="Q2643" i="25"/>
  <c r="S2643" i="25" s="1"/>
  <c r="Q2644" i="25"/>
  <c r="S2644" i="25" s="1"/>
  <c r="Q2645" i="25"/>
  <c r="S2645" i="25" s="1"/>
  <c r="Q2646" i="25"/>
  <c r="S2646" i="25" s="1"/>
  <c r="Q2647" i="25"/>
  <c r="S2647" i="25" s="1"/>
  <c r="Q2648" i="25"/>
  <c r="S2648" i="25" s="1"/>
  <c r="Q2649" i="25"/>
  <c r="S2649" i="25" s="1"/>
  <c r="Q2650" i="25"/>
  <c r="S2650" i="25" s="1"/>
  <c r="Q2651" i="25"/>
  <c r="S2651" i="25" s="1"/>
  <c r="Q2652" i="25"/>
  <c r="S2652" i="25" s="1"/>
  <c r="Q2653" i="25"/>
  <c r="S2653" i="25" s="1"/>
  <c r="Q2654" i="25"/>
  <c r="S2654" i="25" s="1"/>
  <c r="Q2655" i="25"/>
  <c r="S2655" i="25" s="1"/>
  <c r="Q2656" i="25"/>
  <c r="S2656" i="25" s="1"/>
  <c r="Q2657" i="25"/>
  <c r="S2657" i="25" s="1"/>
  <c r="Q2658" i="25"/>
  <c r="S2658" i="25" s="1"/>
  <c r="Q2659" i="25"/>
  <c r="S2659" i="25" s="1"/>
  <c r="Q2660" i="25"/>
  <c r="S2660" i="25" s="1"/>
  <c r="Q2661" i="25"/>
  <c r="S2661" i="25" s="1"/>
  <c r="Q2662" i="25"/>
  <c r="S2662" i="25" s="1"/>
  <c r="Q2663" i="25"/>
  <c r="S2663" i="25" s="1"/>
  <c r="Q2664" i="25"/>
  <c r="S2664" i="25" s="1"/>
  <c r="Q2665" i="25"/>
  <c r="S2665" i="25" s="1"/>
  <c r="Q2666" i="25"/>
  <c r="S2666" i="25" s="1"/>
  <c r="Q2667" i="25"/>
  <c r="S2667" i="25" s="1"/>
  <c r="Q2668" i="25"/>
  <c r="S2668" i="25" s="1"/>
  <c r="Q2669" i="25"/>
  <c r="S2669" i="25" s="1"/>
  <c r="Q2670" i="25"/>
  <c r="S2670" i="25" s="1"/>
  <c r="Q2671" i="25"/>
  <c r="S2671" i="25" s="1"/>
  <c r="Q2672" i="25"/>
  <c r="S2672" i="25" s="1"/>
  <c r="Q2673" i="25"/>
  <c r="S2673" i="25" s="1"/>
  <c r="Q2674" i="25"/>
  <c r="S2674" i="25" s="1"/>
  <c r="Q2675" i="25"/>
  <c r="S2675" i="25" s="1"/>
  <c r="Q2676" i="25"/>
  <c r="S2676" i="25" s="1"/>
  <c r="Q2677" i="25"/>
  <c r="S2677" i="25" s="1"/>
  <c r="Q2678" i="25"/>
  <c r="S2678" i="25" s="1"/>
  <c r="Q2679" i="25"/>
  <c r="S2679" i="25" s="1"/>
  <c r="Q2680" i="25"/>
  <c r="S2680" i="25" s="1"/>
  <c r="Q2681" i="25"/>
  <c r="S2681" i="25" s="1"/>
  <c r="Q2682" i="25"/>
  <c r="S2682" i="25" s="1"/>
  <c r="Q2683" i="25"/>
  <c r="S2683" i="25" s="1"/>
  <c r="Q2684" i="25"/>
  <c r="S2684" i="25" s="1"/>
  <c r="Q2685" i="25"/>
  <c r="S2685" i="25" s="1"/>
  <c r="Q2686" i="25"/>
  <c r="S2686" i="25" s="1"/>
  <c r="Q2687" i="25"/>
  <c r="S2687" i="25" s="1"/>
  <c r="Q2688" i="25"/>
  <c r="S2688" i="25" s="1"/>
  <c r="Q2689" i="25"/>
  <c r="S2689" i="25" s="1"/>
  <c r="Q2690" i="25"/>
  <c r="S2690" i="25" s="1"/>
  <c r="Q2691" i="25"/>
  <c r="S2691" i="25" s="1"/>
  <c r="Q2692" i="25"/>
  <c r="S2692" i="25" s="1"/>
  <c r="Q2693" i="25"/>
  <c r="S2693" i="25" s="1"/>
  <c r="Q2694" i="25"/>
  <c r="S2694" i="25" s="1"/>
  <c r="Q2695" i="25"/>
  <c r="S2695" i="25" s="1"/>
  <c r="Q2696" i="25"/>
  <c r="S2696" i="25" s="1"/>
  <c r="Q2697" i="25"/>
  <c r="S2697" i="25" s="1"/>
  <c r="Q2698" i="25"/>
  <c r="S2698" i="25" s="1"/>
  <c r="Q2699" i="25"/>
  <c r="S2699" i="25" s="1"/>
  <c r="Q2700" i="25"/>
  <c r="S2700" i="25" s="1"/>
  <c r="Q2701" i="25"/>
  <c r="S2701" i="25" s="1"/>
  <c r="Q2702" i="25"/>
  <c r="S2702" i="25" s="1"/>
  <c r="Q2703" i="25"/>
  <c r="S2703" i="25" s="1"/>
  <c r="Q2704" i="25"/>
  <c r="S2704" i="25" s="1"/>
  <c r="Q2705" i="25"/>
  <c r="S2705" i="25" s="1"/>
  <c r="Q2706" i="25"/>
  <c r="S2706" i="25" s="1"/>
  <c r="Q2707" i="25"/>
  <c r="S2707" i="25" s="1"/>
  <c r="Q2708" i="25"/>
  <c r="S2708" i="25" s="1"/>
  <c r="Q2709" i="25"/>
  <c r="S2709" i="25" s="1"/>
  <c r="Q2710" i="25"/>
  <c r="S2710" i="25" s="1"/>
  <c r="Q2711" i="25"/>
  <c r="S2711" i="25" s="1"/>
  <c r="Q2712" i="25"/>
  <c r="S2712" i="25" s="1"/>
  <c r="Q2713" i="25"/>
  <c r="S2713" i="25" s="1"/>
  <c r="Q2714" i="25"/>
  <c r="S2714" i="25" s="1"/>
  <c r="Q2715" i="25"/>
  <c r="S2715" i="25" s="1"/>
  <c r="Q2716" i="25"/>
  <c r="S2716" i="25" s="1"/>
  <c r="Q2717" i="25"/>
  <c r="S2717" i="25" s="1"/>
  <c r="Q2718" i="25"/>
  <c r="S2718" i="25" s="1"/>
  <c r="Q2719" i="25"/>
  <c r="S2719" i="25" s="1"/>
  <c r="Q2720" i="25"/>
  <c r="S2720" i="25" s="1"/>
  <c r="Q2721" i="25"/>
  <c r="S2721" i="25" s="1"/>
  <c r="Q2722" i="25"/>
  <c r="S2722" i="25" s="1"/>
  <c r="Q2723" i="25"/>
  <c r="S2723" i="25" s="1"/>
  <c r="Q2724" i="25"/>
  <c r="S2724" i="25" s="1"/>
  <c r="Q2725" i="25"/>
  <c r="S2725" i="25" s="1"/>
  <c r="Q2726" i="25"/>
  <c r="S2726" i="25" s="1"/>
  <c r="Q2727" i="25"/>
  <c r="S2727" i="25" s="1"/>
  <c r="Q2728" i="25"/>
  <c r="S2728" i="25" s="1"/>
  <c r="Q2729" i="25"/>
  <c r="S2729" i="25" s="1"/>
  <c r="Q2730" i="25"/>
  <c r="S2730" i="25" s="1"/>
  <c r="Q2731" i="25"/>
  <c r="S2731" i="25" s="1"/>
  <c r="Q2732" i="25"/>
  <c r="S2732" i="25" s="1"/>
  <c r="Q2733" i="25"/>
  <c r="S2733" i="25" s="1"/>
  <c r="Q2734" i="25"/>
  <c r="S2734" i="25" s="1"/>
  <c r="Q2735" i="25"/>
  <c r="S2735" i="25" s="1"/>
  <c r="Q2736" i="25"/>
  <c r="S2736" i="25" s="1"/>
  <c r="Q2737" i="25"/>
  <c r="S2737" i="25" s="1"/>
  <c r="Q2738" i="25"/>
  <c r="S2738" i="25" s="1"/>
  <c r="Q2739" i="25"/>
  <c r="S2739" i="25" s="1"/>
  <c r="Q2740" i="25"/>
  <c r="S2740" i="25" s="1"/>
  <c r="Q2741" i="25"/>
  <c r="S2741" i="25" s="1"/>
  <c r="Q2742" i="25"/>
  <c r="S2742" i="25" s="1"/>
  <c r="Q2743" i="25"/>
  <c r="S2743" i="25" s="1"/>
  <c r="Q2744" i="25"/>
  <c r="S2744" i="25" s="1"/>
  <c r="Q2745" i="25"/>
  <c r="S2745" i="25" s="1"/>
  <c r="Q2746" i="25"/>
  <c r="S2746" i="25" s="1"/>
  <c r="Q2747" i="25"/>
  <c r="S2747" i="25" s="1"/>
  <c r="Q2748" i="25"/>
  <c r="S2748" i="25" s="1"/>
  <c r="Q2749" i="25"/>
  <c r="S2749" i="25" s="1"/>
  <c r="Q2750" i="25"/>
  <c r="S2750" i="25" s="1"/>
  <c r="Q2751" i="25"/>
  <c r="S2751" i="25" s="1"/>
  <c r="Q2752" i="25"/>
  <c r="S2752" i="25" s="1"/>
  <c r="Q2753" i="25"/>
  <c r="S2753" i="25" s="1"/>
  <c r="Q2754" i="25"/>
  <c r="S2754" i="25" s="1"/>
  <c r="Q2755" i="25"/>
  <c r="S2755" i="25" s="1"/>
  <c r="Q2756" i="25"/>
  <c r="S2756" i="25" s="1"/>
  <c r="Q2757" i="25"/>
  <c r="S2757" i="25" s="1"/>
  <c r="Q2758" i="25"/>
  <c r="S2758" i="25" s="1"/>
  <c r="Q2759" i="25"/>
  <c r="S2759" i="25" s="1"/>
  <c r="Q2760" i="25"/>
  <c r="S2760" i="25" s="1"/>
  <c r="Q2761" i="25"/>
  <c r="S2761" i="25" s="1"/>
  <c r="Q2762" i="25"/>
  <c r="S2762" i="25" s="1"/>
  <c r="Q2763" i="25"/>
  <c r="S2763" i="25" s="1"/>
  <c r="Q2764" i="25"/>
  <c r="S2764" i="25" s="1"/>
  <c r="Q2765" i="25"/>
  <c r="S2765" i="25" s="1"/>
  <c r="Q2766" i="25"/>
  <c r="S2766" i="25" s="1"/>
  <c r="Q2767" i="25"/>
  <c r="S2767" i="25" s="1"/>
  <c r="Q2768" i="25"/>
  <c r="S2768" i="25" s="1"/>
  <c r="Q2769" i="25"/>
  <c r="S2769" i="25" s="1"/>
  <c r="Q2770" i="25"/>
  <c r="S2770" i="25" s="1"/>
  <c r="Q2771" i="25"/>
  <c r="S2771" i="25" s="1"/>
  <c r="Q2772" i="25"/>
  <c r="S2772" i="25" s="1"/>
  <c r="Q2773" i="25"/>
  <c r="S2773" i="25" s="1"/>
  <c r="Q2774" i="25"/>
  <c r="S2774" i="25" s="1"/>
  <c r="Q2775" i="25"/>
  <c r="S2775" i="25" s="1"/>
  <c r="Q2776" i="25"/>
  <c r="S2776" i="25" s="1"/>
  <c r="Q2777" i="25"/>
  <c r="S2777" i="25" s="1"/>
  <c r="Q2778" i="25"/>
  <c r="S2778" i="25" s="1"/>
  <c r="Q2779" i="25"/>
  <c r="S2779" i="25" s="1"/>
  <c r="Q2780" i="25"/>
  <c r="S2780" i="25" s="1"/>
  <c r="Q2781" i="25"/>
  <c r="S2781" i="25" s="1"/>
  <c r="Q2782" i="25"/>
  <c r="S2782" i="25" s="1"/>
  <c r="Q2783" i="25"/>
  <c r="S2783" i="25" s="1"/>
  <c r="Q2784" i="25"/>
  <c r="S2784" i="25" s="1"/>
  <c r="Q2785" i="25"/>
  <c r="S2785" i="25" s="1"/>
  <c r="Q2786" i="25"/>
  <c r="S2786" i="25" s="1"/>
  <c r="Q2787" i="25"/>
  <c r="S2787" i="25" s="1"/>
  <c r="Q2788" i="25"/>
  <c r="S2788" i="25" s="1"/>
  <c r="Q2789" i="25"/>
  <c r="S2789" i="25" s="1"/>
  <c r="Q2790" i="25"/>
  <c r="S2790" i="25" s="1"/>
  <c r="Q2791" i="25"/>
  <c r="S2791" i="25" s="1"/>
  <c r="Q2792" i="25"/>
  <c r="S2792" i="25" s="1"/>
  <c r="Q2793" i="25"/>
  <c r="S2793" i="25" s="1"/>
  <c r="Q2794" i="25"/>
  <c r="S2794" i="25" s="1"/>
  <c r="Q2795" i="25"/>
  <c r="S2795" i="25" s="1"/>
  <c r="Q2796" i="25"/>
  <c r="S2796" i="25" s="1"/>
  <c r="Q2797" i="25"/>
  <c r="S2797" i="25" s="1"/>
  <c r="Q2798" i="25"/>
  <c r="S2798" i="25" s="1"/>
  <c r="Q2799" i="25"/>
  <c r="S2799" i="25" s="1"/>
  <c r="Q2800" i="25"/>
  <c r="S2800" i="25" s="1"/>
  <c r="Q2801" i="25"/>
  <c r="S2801" i="25" s="1"/>
  <c r="Q2802" i="25"/>
  <c r="S2802" i="25" s="1"/>
  <c r="Q2803" i="25"/>
  <c r="S2803" i="25" s="1"/>
  <c r="Q2804" i="25"/>
  <c r="S2804" i="25" s="1"/>
  <c r="Q2805" i="25"/>
  <c r="S2805" i="25" s="1"/>
  <c r="Q2806" i="25"/>
  <c r="S2806" i="25" s="1"/>
  <c r="Q2807" i="25"/>
  <c r="S2807" i="25" s="1"/>
  <c r="Q2808" i="25"/>
  <c r="S2808" i="25" s="1"/>
  <c r="Q2809" i="25"/>
  <c r="S2809" i="25" s="1"/>
  <c r="Q2810" i="25"/>
  <c r="S2810" i="25" s="1"/>
  <c r="Q2811" i="25"/>
  <c r="S2811" i="25" s="1"/>
  <c r="Q2812" i="25"/>
  <c r="S2812" i="25" s="1"/>
  <c r="Q2813" i="25"/>
  <c r="S2813" i="25" s="1"/>
  <c r="Q2814" i="25"/>
  <c r="S2814" i="25" s="1"/>
  <c r="Q2815" i="25"/>
  <c r="S2815" i="25" s="1"/>
  <c r="Q2816" i="25"/>
  <c r="S2816" i="25" s="1"/>
  <c r="Q2817" i="25"/>
  <c r="S2817" i="25" s="1"/>
  <c r="Q2818" i="25"/>
  <c r="S2818" i="25" s="1"/>
  <c r="Q2819" i="25"/>
  <c r="S2819" i="25" s="1"/>
  <c r="Q2820" i="25"/>
  <c r="S2820" i="25" s="1"/>
  <c r="Q2821" i="25"/>
  <c r="S2821" i="25" s="1"/>
  <c r="Q2822" i="25"/>
  <c r="S2822" i="25" s="1"/>
  <c r="Q2823" i="25"/>
  <c r="S2823" i="25" s="1"/>
  <c r="Q2824" i="25"/>
  <c r="S2824" i="25" s="1"/>
  <c r="Q2825" i="25"/>
  <c r="S2825" i="25" s="1"/>
  <c r="Q2826" i="25"/>
  <c r="S2826" i="25" s="1"/>
  <c r="Q2827" i="25"/>
  <c r="S2827" i="25" s="1"/>
  <c r="Q2828" i="25"/>
  <c r="S2828" i="25" s="1"/>
  <c r="Q2829" i="25"/>
  <c r="S2829" i="25" s="1"/>
  <c r="Q2830" i="25"/>
  <c r="S2830" i="25" s="1"/>
  <c r="Q2831" i="25"/>
  <c r="S2831" i="25" s="1"/>
  <c r="Q2832" i="25"/>
  <c r="S2832" i="25" s="1"/>
  <c r="Q2833" i="25"/>
  <c r="S2833" i="25" s="1"/>
  <c r="Q2834" i="25"/>
  <c r="S2834" i="25" s="1"/>
  <c r="Q2835" i="25"/>
  <c r="S2835" i="25" s="1"/>
  <c r="Q2836" i="25"/>
  <c r="S2836" i="25" s="1"/>
  <c r="Q2837" i="25"/>
  <c r="S2837" i="25" s="1"/>
  <c r="Q2838" i="25"/>
  <c r="S2838" i="25" s="1"/>
  <c r="Q2839" i="25"/>
  <c r="S2839" i="25" s="1"/>
  <c r="Q2840" i="25"/>
  <c r="S2840" i="25" s="1"/>
  <c r="Q2841" i="25"/>
  <c r="S2841" i="25" s="1"/>
  <c r="Q2842" i="25"/>
  <c r="S2842" i="25" s="1"/>
  <c r="Q2843" i="25"/>
  <c r="S2843" i="25" s="1"/>
  <c r="Q2844" i="25"/>
  <c r="S2844" i="25" s="1"/>
  <c r="Q2845" i="25"/>
  <c r="S2845" i="25" s="1"/>
  <c r="Q2846" i="25"/>
  <c r="S2846" i="25" s="1"/>
  <c r="Q2847" i="25"/>
  <c r="S2847" i="25" s="1"/>
  <c r="Q2848" i="25"/>
  <c r="S2848" i="25" s="1"/>
  <c r="Q2849" i="25"/>
  <c r="S2849" i="25" s="1"/>
  <c r="Q2850" i="25"/>
  <c r="S2850" i="25" s="1"/>
  <c r="Q2851" i="25"/>
  <c r="S2851" i="25" s="1"/>
  <c r="Q2852" i="25"/>
  <c r="S2852" i="25" s="1"/>
  <c r="Q2853" i="25"/>
  <c r="S2853" i="25" s="1"/>
  <c r="Q2854" i="25"/>
  <c r="S2854" i="25" s="1"/>
  <c r="Q2855" i="25"/>
  <c r="S2855" i="25" s="1"/>
  <c r="Q2856" i="25"/>
  <c r="S2856" i="25" s="1"/>
  <c r="Q2857" i="25"/>
  <c r="S2857" i="25" s="1"/>
  <c r="Q2858" i="25"/>
  <c r="S2858" i="25" s="1"/>
  <c r="Q2859" i="25"/>
  <c r="S2859" i="25" s="1"/>
  <c r="Q2860" i="25"/>
  <c r="S2860" i="25" s="1"/>
  <c r="Q2861" i="25"/>
  <c r="S2861" i="25" s="1"/>
  <c r="Q2862" i="25"/>
  <c r="S2862" i="25" s="1"/>
  <c r="Q2863" i="25"/>
  <c r="S2863" i="25" s="1"/>
  <c r="Q2864" i="25"/>
  <c r="S2864" i="25" s="1"/>
  <c r="Q2865" i="25"/>
  <c r="S2865" i="25" s="1"/>
  <c r="Q2866" i="25"/>
  <c r="S2866" i="25" s="1"/>
  <c r="Q2867" i="25"/>
  <c r="S2867" i="25" s="1"/>
  <c r="Q2868" i="25"/>
  <c r="S2868" i="25" s="1"/>
  <c r="Q2869" i="25"/>
  <c r="S2869" i="25" s="1"/>
  <c r="Q2870" i="25"/>
  <c r="S2870" i="25" s="1"/>
  <c r="Q2871" i="25"/>
  <c r="S2871" i="25" s="1"/>
  <c r="Q2872" i="25"/>
  <c r="S2872" i="25" s="1"/>
  <c r="Q2873" i="25"/>
  <c r="S2873" i="25" s="1"/>
  <c r="Q2874" i="25"/>
  <c r="S2874" i="25" s="1"/>
  <c r="Q2875" i="25"/>
  <c r="S2875" i="25" s="1"/>
  <c r="Q2876" i="25"/>
  <c r="S2876" i="25" s="1"/>
  <c r="Q2877" i="25"/>
  <c r="S2877" i="25" s="1"/>
  <c r="Q2878" i="25"/>
  <c r="S2878" i="25" s="1"/>
  <c r="Q2879" i="25"/>
  <c r="S2879" i="25" s="1"/>
  <c r="Q2880" i="25"/>
  <c r="S2880" i="25" s="1"/>
  <c r="Q2881" i="25"/>
  <c r="S2881" i="25" s="1"/>
  <c r="Q2882" i="25"/>
  <c r="S2882" i="25" s="1"/>
  <c r="Q2883" i="25"/>
  <c r="S2883" i="25" s="1"/>
  <c r="Q2884" i="25"/>
  <c r="S2884" i="25" s="1"/>
  <c r="Q2885" i="25"/>
  <c r="S2885" i="25" s="1"/>
  <c r="Q2886" i="25"/>
  <c r="S2886" i="25" s="1"/>
  <c r="Q2887" i="25"/>
  <c r="S2887" i="25" s="1"/>
  <c r="Q2888" i="25"/>
  <c r="S2888" i="25" s="1"/>
  <c r="Q2889" i="25"/>
  <c r="S2889" i="25" s="1"/>
  <c r="Q2890" i="25"/>
  <c r="S2890" i="25" s="1"/>
  <c r="Q2891" i="25"/>
  <c r="S2891" i="25" s="1"/>
  <c r="Q2892" i="25"/>
  <c r="S2892" i="25" s="1"/>
  <c r="Q2893" i="25"/>
  <c r="S2893" i="25" s="1"/>
  <c r="Q2894" i="25"/>
  <c r="S2894" i="25" s="1"/>
  <c r="Q2895" i="25"/>
  <c r="S2895" i="25" s="1"/>
  <c r="Q2896" i="25"/>
  <c r="S2896" i="25" s="1"/>
  <c r="Q2897" i="25"/>
  <c r="S2897" i="25" s="1"/>
  <c r="Q2898" i="25"/>
  <c r="S2898" i="25" s="1"/>
  <c r="Q2899" i="25"/>
  <c r="S2899" i="25" s="1"/>
  <c r="Q2900" i="25"/>
  <c r="S2900" i="25" s="1"/>
  <c r="Q2901" i="25"/>
  <c r="S2901" i="25" s="1"/>
  <c r="Q2902" i="25"/>
  <c r="S2902" i="25" s="1"/>
  <c r="Q2903" i="25"/>
  <c r="S2903" i="25" s="1"/>
  <c r="Q2904" i="25"/>
  <c r="S2904" i="25" s="1"/>
  <c r="Q2905" i="25"/>
  <c r="S2905" i="25" s="1"/>
  <c r="Q2906" i="25"/>
  <c r="S2906" i="25" s="1"/>
  <c r="Q2907" i="25"/>
  <c r="S2907" i="25" s="1"/>
  <c r="Q2908" i="25"/>
  <c r="S2908" i="25" s="1"/>
  <c r="Q2909" i="25"/>
  <c r="S2909" i="25" s="1"/>
  <c r="Q2910" i="25"/>
  <c r="S2910" i="25" s="1"/>
  <c r="Q2911" i="25"/>
  <c r="S2911" i="25" s="1"/>
  <c r="Q2912" i="25"/>
  <c r="S2912" i="25" s="1"/>
  <c r="Q2913" i="25"/>
  <c r="S2913" i="25" s="1"/>
  <c r="Q2914" i="25"/>
  <c r="S2914" i="25" s="1"/>
  <c r="Q2915" i="25"/>
  <c r="S2915" i="25" s="1"/>
  <c r="Q2916" i="25"/>
  <c r="S2916" i="25" s="1"/>
  <c r="Q2917" i="25"/>
  <c r="S2917" i="25" s="1"/>
  <c r="Q2918" i="25"/>
  <c r="S2918" i="25" s="1"/>
  <c r="Q2919" i="25"/>
  <c r="S2919" i="25" s="1"/>
  <c r="Q2920" i="25"/>
  <c r="S2920" i="25" s="1"/>
  <c r="Q2921" i="25"/>
  <c r="S2921" i="25" s="1"/>
  <c r="Q2922" i="25"/>
  <c r="S2922" i="25" s="1"/>
  <c r="Q2923" i="25"/>
  <c r="S2923" i="25" s="1"/>
  <c r="Q2924" i="25"/>
  <c r="S2924" i="25" s="1"/>
  <c r="Q2925" i="25"/>
  <c r="S2925" i="25" s="1"/>
  <c r="Q2926" i="25"/>
  <c r="S2926" i="25" s="1"/>
  <c r="Q2927" i="25"/>
  <c r="S2927" i="25" s="1"/>
  <c r="Q2928" i="25"/>
  <c r="S2928" i="25" s="1"/>
  <c r="Q2929" i="25"/>
  <c r="S2929" i="25" s="1"/>
  <c r="Q2930" i="25"/>
  <c r="S2930" i="25" s="1"/>
  <c r="Q2931" i="25"/>
  <c r="S2931" i="25" s="1"/>
  <c r="Q2932" i="25"/>
  <c r="S2932" i="25" s="1"/>
  <c r="Q2933" i="25"/>
  <c r="S2933" i="25" s="1"/>
  <c r="Q2934" i="25"/>
  <c r="S2934" i="25" s="1"/>
  <c r="Q2935" i="25"/>
  <c r="S2935" i="25" s="1"/>
  <c r="Q2936" i="25"/>
  <c r="S2936" i="25" s="1"/>
  <c r="Q2937" i="25"/>
  <c r="S2937" i="25" s="1"/>
  <c r="Q2938" i="25"/>
  <c r="S2938" i="25" s="1"/>
  <c r="Q2939" i="25"/>
  <c r="S2939" i="25" s="1"/>
  <c r="Q2940" i="25"/>
  <c r="S2940" i="25" s="1"/>
  <c r="Q2941" i="25"/>
  <c r="S2941" i="25" s="1"/>
  <c r="Q2942" i="25"/>
  <c r="S2942" i="25" s="1"/>
  <c r="Q2943" i="25"/>
  <c r="S2943" i="25" s="1"/>
  <c r="Q2944" i="25"/>
  <c r="S2944" i="25" s="1"/>
  <c r="Q2945" i="25"/>
  <c r="S2945" i="25" s="1"/>
  <c r="Q2946" i="25"/>
  <c r="S2946" i="25" s="1"/>
  <c r="Q2947" i="25"/>
  <c r="S2947" i="25" s="1"/>
  <c r="Q2948" i="25"/>
  <c r="S2948" i="25" s="1"/>
  <c r="Q2949" i="25"/>
  <c r="S2949" i="25" s="1"/>
  <c r="Q2950" i="25"/>
  <c r="S2950" i="25" s="1"/>
  <c r="Q2951" i="25"/>
  <c r="S2951" i="25" s="1"/>
  <c r="Q2952" i="25"/>
  <c r="S2952" i="25" s="1"/>
  <c r="Q2953" i="25"/>
  <c r="S2953" i="25" s="1"/>
  <c r="Q2954" i="25"/>
  <c r="S2954" i="25" s="1"/>
  <c r="Q2955" i="25"/>
  <c r="S2955" i="25" s="1"/>
  <c r="Q2956" i="25"/>
  <c r="S2956" i="25" s="1"/>
  <c r="Q2957" i="25"/>
  <c r="S2957" i="25" s="1"/>
  <c r="Q2958" i="25"/>
  <c r="S2958" i="25" s="1"/>
  <c r="Q2959" i="25"/>
  <c r="S2959" i="25" s="1"/>
  <c r="Q2960" i="25"/>
  <c r="S2960" i="25" s="1"/>
  <c r="Q2961" i="25"/>
  <c r="S2961" i="25" s="1"/>
  <c r="Q2962" i="25"/>
  <c r="S2962" i="25" s="1"/>
  <c r="Q2963" i="25"/>
  <c r="S2963" i="25" s="1"/>
  <c r="Q2964" i="25"/>
  <c r="S2964" i="25" s="1"/>
  <c r="Q2965" i="25"/>
  <c r="S2965" i="25" s="1"/>
  <c r="Q2966" i="25"/>
  <c r="S2966" i="25" s="1"/>
  <c r="Q2967" i="25"/>
  <c r="S2967" i="25" s="1"/>
  <c r="Q2968" i="25"/>
  <c r="S2968" i="25" s="1"/>
  <c r="Q2969" i="25"/>
  <c r="S2969" i="25" s="1"/>
  <c r="Q2970" i="25"/>
  <c r="S2970" i="25" s="1"/>
  <c r="Q2971" i="25"/>
  <c r="S2971" i="25" s="1"/>
  <c r="Q2972" i="25"/>
  <c r="S2972" i="25" s="1"/>
  <c r="Q2973" i="25"/>
  <c r="S2973" i="25" s="1"/>
  <c r="Q2974" i="25"/>
  <c r="S2974" i="25" s="1"/>
  <c r="Q2975" i="25"/>
  <c r="S2975" i="25" s="1"/>
  <c r="Q2976" i="25"/>
  <c r="S2976" i="25" s="1"/>
  <c r="Q2977" i="25"/>
  <c r="S2977" i="25" s="1"/>
  <c r="Q2978" i="25"/>
  <c r="S2978" i="25" s="1"/>
  <c r="Q2979" i="25"/>
  <c r="S2979" i="25" s="1"/>
  <c r="Q2980" i="25"/>
  <c r="S2980" i="25" s="1"/>
  <c r="Q2981" i="25"/>
  <c r="S2981" i="25" s="1"/>
  <c r="Q2982" i="25"/>
  <c r="S2982" i="25" s="1"/>
  <c r="Q2983" i="25"/>
  <c r="S2983" i="25" s="1"/>
  <c r="Q2984" i="25"/>
  <c r="S2984" i="25" s="1"/>
  <c r="Q2985" i="25"/>
  <c r="S2985" i="25" s="1"/>
  <c r="Q2986" i="25"/>
  <c r="S2986" i="25" s="1"/>
  <c r="Q2987" i="25"/>
  <c r="S2987" i="25" s="1"/>
  <c r="Q2988" i="25"/>
  <c r="S2988" i="25" s="1"/>
  <c r="Q2989" i="25"/>
  <c r="S2989" i="25" s="1"/>
  <c r="Q2990" i="25"/>
  <c r="S2990" i="25" s="1"/>
  <c r="Q2991" i="25"/>
  <c r="S2991" i="25" s="1"/>
  <c r="Q2992" i="25"/>
  <c r="S2992" i="25" s="1"/>
  <c r="Q2993" i="25"/>
  <c r="S2993" i="25" s="1"/>
  <c r="Q2994" i="25"/>
  <c r="S2994" i="25" s="1"/>
  <c r="Q2995" i="25"/>
  <c r="S2995" i="25" s="1"/>
  <c r="Q2996" i="25"/>
  <c r="S2996" i="25" s="1"/>
  <c r="Q2997" i="25"/>
  <c r="S2997" i="25" s="1"/>
  <c r="Q2998" i="25"/>
  <c r="S2998" i="25" s="1"/>
  <c r="Q2999" i="25"/>
  <c r="S2999" i="25" s="1"/>
  <c r="Q3000" i="25"/>
  <c r="S3000" i="25" s="1"/>
  <c r="Q3001" i="25"/>
  <c r="S3001" i="25" s="1"/>
  <c r="Q3002" i="25"/>
  <c r="S3002" i="25" s="1"/>
  <c r="Q3003" i="25"/>
  <c r="S3003" i="25" s="1"/>
  <c r="Q3004" i="25"/>
  <c r="S3004" i="25" s="1"/>
  <c r="Q3005" i="25"/>
  <c r="S3005" i="25" s="1"/>
  <c r="Q3006" i="25"/>
  <c r="S3006" i="25" s="1"/>
  <c r="Q3007" i="25"/>
  <c r="S3007" i="25" s="1"/>
  <c r="Q3008" i="25"/>
  <c r="S3008" i="25" s="1"/>
  <c r="Q3009" i="25"/>
  <c r="S3009" i="25" s="1"/>
  <c r="Q3010" i="25"/>
  <c r="S3010" i="25" s="1"/>
  <c r="Q3011" i="25"/>
  <c r="S3011" i="25" s="1"/>
  <c r="Q3012" i="25"/>
  <c r="S3012" i="25" s="1"/>
  <c r="Q3013" i="25"/>
  <c r="S3013" i="25" s="1"/>
  <c r="Q3014" i="25"/>
  <c r="S3014" i="25" s="1"/>
  <c r="Q3015" i="25"/>
  <c r="S3015" i="25" s="1"/>
  <c r="Q3016" i="25"/>
  <c r="S3016" i="25" s="1"/>
  <c r="Q3017" i="25"/>
  <c r="S3017" i="25" s="1"/>
  <c r="Q3018" i="25"/>
  <c r="S3018" i="25" s="1"/>
  <c r="Q3019" i="25"/>
  <c r="S3019" i="25" s="1"/>
  <c r="Q3020" i="25"/>
  <c r="S3020" i="25" s="1"/>
  <c r="Q3021" i="25"/>
  <c r="S3021" i="25" s="1"/>
  <c r="Q3022" i="25"/>
  <c r="S3022" i="25" s="1"/>
  <c r="Q3023" i="25"/>
  <c r="S3023" i="25" s="1"/>
  <c r="Q3024" i="25"/>
  <c r="S3024" i="25" s="1"/>
  <c r="Q3025" i="25"/>
  <c r="S3025" i="25" s="1"/>
  <c r="Q3026" i="25"/>
  <c r="S3026" i="25" s="1"/>
  <c r="Q3027" i="25"/>
  <c r="S3027" i="25" s="1"/>
  <c r="Q3028" i="25"/>
  <c r="S3028" i="25" s="1"/>
  <c r="Q3029" i="25"/>
  <c r="S3029" i="25" s="1"/>
  <c r="Q3030" i="25"/>
  <c r="S3030" i="25" s="1"/>
  <c r="Q3031" i="25"/>
  <c r="S3031" i="25" s="1"/>
  <c r="Q3032" i="25"/>
  <c r="S3032" i="25" s="1"/>
  <c r="Q3033" i="25"/>
  <c r="S3033" i="25" s="1"/>
  <c r="Q3034" i="25"/>
  <c r="S3034" i="25" s="1"/>
  <c r="Q3035" i="25"/>
  <c r="S3035" i="25" s="1"/>
  <c r="Q3036" i="25"/>
  <c r="S3036" i="25" s="1"/>
  <c r="Q3037" i="25"/>
  <c r="S3037" i="25" s="1"/>
  <c r="Q3038" i="25"/>
  <c r="S3038" i="25" s="1"/>
  <c r="Q3039" i="25"/>
  <c r="S3039" i="25" s="1"/>
  <c r="Q3040" i="25"/>
  <c r="S3040" i="25" s="1"/>
  <c r="Q3041" i="25"/>
  <c r="S3041" i="25" s="1"/>
  <c r="Q3042" i="25"/>
  <c r="S3042" i="25" s="1"/>
  <c r="Q3043" i="25"/>
  <c r="S3043" i="25" s="1"/>
  <c r="Q3044" i="25"/>
  <c r="S3044" i="25" s="1"/>
  <c r="Q3045" i="25"/>
  <c r="S3045" i="25" s="1"/>
  <c r="Q3046" i="25"/>
  <c r="S3046" i="25" s="1"/>
  <c r="Q3047" i="25"/>
  <c r="S3047" i="25" s="1"/>
  <c r="Q3048" i="25"/>
  <c r="S3048" i="25" s="1"/>
  <c r="Q3049" i="25"/>
  <c r="S3049" i="25" s="1"/>
  <c r="Q3050" i="25"/>
  <c r="S3050" i="25" s="1"/>
  <c r="Q3051" i="25"/>
  <c r="S3051" i="25" s="1"/>
  <c r="Q3052" i="25"/>
  <c r="S3052" i="25" s="1"/>
  <c r="Q3053" i="25"/>
  <c r="S3053" i="25" s="1"/>
  <c r="Q3054" i="25"/>
  <c r="S3054" i="25" s="1"/>
  <c r="Q3055" i="25"/>
  <c r="S3055" i="25" s="1"/>
  <c r="Q3056" i="25"/>
  <c r="S3056" i="25" s="1"/>
  <c r="Q3057" i="25"/>
  <c r="S3057" i="25" s="1"/>
  <c r="Q3058" i="25"/>
  <c r="S3058" i="25" s="1"/>
  <c r="Q3059" i="25"/>
  <c r="S3059" i="25" s="1"/>
  <c r="Q3060" i="25"/>
  <c r="S3060" i="25" s="1"/>
  <c r="Q3061" i="25"/>
  <c r="S3061" i="25" s="1"/>
  <c r="Q3062" i="25"/>
  <c r="S3062" i="25" s="1"/>
  <c r="Q3063" i="25"/>
  <c r="S3063" i="25" s="1"/>
  <c r="Q3064" i="25"/>
  <c r="S3064" i="25" s="1"/>
  <c r="Q3065" i="25"/>
  <c r="S3065" i="25" s="1"/>
  <c r="Q3066" i="25"/>
  <c r="S3066" i="25" s="1"/>
  <c r="Q3067" i="25"/>
  <c r="S3067" i="25" s="1"/>
  <c r="Q3068" i="25"/>
  <c r="S3068" i="25" s="1"/>
  <c r="Q3069" i="25"/>
  <c r="S3069" i="25" s="1"/>
  <c r="Q3070" i="25"/>
  <c r="S3070" i="25" s="1"/>
  <c r="Q3071" i="25"/>
  <c r="S3071" i="25" s="1"/>
  <c r="Q3072" i="25"/>
  <c r="S3072" i="25" s="1"/>
  <c r="Q3073" i="25"/>
  <c r="S3073" i="25" s="1"/>
  <c r="Q3074" i="25"/>
  <c r="S3074" i="25" s="1"/>
  <c r="Q3075" i="25"/>
  <c r="S3075" i="25" s="1"/>
  <c r="Q3076" i="25"/>
  <c r="S3076" i="25" s="1"/>
  <c r="Q3077" i="25"/>
  <c r="S3077" i="25" s="1"/>
  <c r="Q3078" i="25"/>
  <c r="S3078" i="25" s="1"/>
  <c r="Q3079" i="25"/>
  <c r="S3079" i="25" s="1"/>
  <c r="Q3080" i="25"/>
  <c r="S3080" i="25" s="1"/>
  <c r="Q3081" i="25"/>
  <c r="S3081" i="25" s="1"/>
  <c r="Q3082" i="25"/>
  <c r="S3082" i="25" s="1"/>
  <c r="Q3083" i="25"/>
  <c r="S3083" i="25" s="1"/>
  <c r="Q3084" i="25"/>
  <c r="S3084" i="25" s="1"/>
  <c r="Q3085" i="25"/>
  <c r="S3085" i="25" s="1"/>
  <c r="Q3086" i="25"/>
  <c r="S3086" i="25" s="1"/>
  <c r="Q3087" i="25"/>
  <c r="S3087" i="25" s="1"/>
  <c r="Q3088" i="25"/>
  <c r="S3088" i="25" s="1"/>
  <c r="Q3089" i="25"/>
  <c r="S3089" i="25" s="1"/>
  <c r="Q3090" i="25"/>
  <c r="S3090" i="25" s="1"/>
  <c r="Q3091" i="25"/>
  <c r="S3091" i="25" s="1"/>
  <c r="Q3092" i="25"/>
  <c r="S3092" i="25" s="1"/>
  <c r="Q3093" i="25"/>
  <c r="S3093" i="25" s="1"/>
  <c r="Q3094" i="25"/>
  <c r="S3094" i="25" s="1"/>
  <c r="Q3095" i="25"/>
  <c r="S3095" i="25" s="1"/>
  <c r="Q3096" i="25"/>
  <c r="S3096" i="25" s="1"/>
  <c r="Q3097" i="25"/>
  <c r="S3097" i="25" s="1"/>
  <c r="Q3098" i="25"/>
  <c r="S3098" i="25" s="1"/>
  <c r="Q3099" i="25"/>
  <c r="S3099" i="25" s="1"/>
  <c r="Q3100" i="25"/>
  <c r="S3100" i="25" s="1"/>
  <c r="Q3101" i="25"/>
  <c r="S3101" i="25" s="1"/>
  <c r="Q3102" i="25"/>
  <c r="S3102" i="25" s="1"/>
  <c r="Q3103" i="25"/>
  <c r="S3103" i="25" s="1"/>
  <c r="Q3104" i="25"/>
  <c r="S3104" i="25" s="1"/>
  <c r="Q3105" i="25"/>
  <c r="S3105" i="25" s="1"/>
  <c r="Q3106" i="25"/>
  <c r="S3106" i="25" s="1"/>
  <c r="Q3107" i="25"/>
  <c r="S3107" i="25" s="1"/>
  <c r="Q3108" i="25"/>
  <c r="S3108" i="25" s="1"/>
  <c r="Q3109" i="25"/>
  <c r="S3109" i="25" s="1"/>
  <c r="Q3110" i="25"/>
  <c r="S3110" i="25" s="1"/>
  <c r="Q3111" i="25"/>
  <c r="S3111" i="25" s="1"/>
  <c r="Q3112" i="25"/>
  <c r="S3112" i="25" s="1"/>
  <c r="Q3113" i="25"/>
  <c r="S3113" i="25" s="1"/>
  <c r="Q3114" i="25"/>
  <c r="S3114" i="25" s="1"/>
  <c r="Q3115" i="25"/>
  <c r="S3115" i="25" s="1"/>
  <c r="Q3116" i="25"/>
  <c r="S3116" i="25" s="1"/>
  <c r="Q3117" i="25"/>
  <c r="S3117" i="25" s="1"/>
  <c r="Q3118" i="25"/>
  <c r="S3118" i="25" s="1"/>
  <c r="Q3119" i="25"/>
  <c r="S3119" i="25" s="1"/>
  <c r="Q3120" i="25"/>
  <c r="S3120" i="25" s="1"/>
  <c r="Q3121" i="25"/>
  <c r="S3121" i="25" s="1"/>
  <c r="Q3122" i="25"/>
  <c r="S3122" i="25" s="1"/>
  <c r="Q3123" i="25"/>
  <c r="S3123" i="25" s="1"/>
  <c r="Q3124" i="25"/>
  <c r="S3124" i="25" s="1"/>
  <c r="Q3125" i="25"/>
  <c r="S3125" i="25" s="1"/>
  <c r="Q3126" i="25"/>
  <c r="S3126" i="25" s="1"/>
  <c r="Q3127" i="25"/>
  <c r="S3127" i="25" s="1"/>
  <c r="Q3128" i="25"/>
  <c r="S3128" i="25" s="1"/>
  <c r="Q3129" i="25"/>
  <c r="S3129" i="25" s="1"/>
  <c r="Q3130" i="25"/>
  <c r="S3130" i="25" s="1"/>
  <c r="Q3131" i="25"/>
  <c r="S3131" i="25" s="1"/>
  <c r="Q3132" i="25"/>
  <c r="S3132" i="25" s="1"/>
  <c r="Q3133" i="25"/>
  <c r="S3133" i="25" s="1"/>
  <c r="Q3134" i="25"/>
  <c r="S3134" i="25" s="1"/>
  <c r="Q3135" i="25"/>
  <c r="S3135" i="25" s="1"/>
  <c r="Q3136" i="25"/>
  <c r="S3136" i="25" s="1"/>
  <c r="Q3137" i="25"/>
  <c r="S3137" i="25" s="1"/>
  <c r="Q3138" i="25"/>
  <c r="S3138" i="25" s="1"/>
  <c r="Q3139" i="25"/>
  <c r="S3139" i="25" s="1"/>
  <c r="Q3140" i="25"/>
  <c r="S3140" i="25" s="1"/>
  <c r="Q3141" i="25"/>
  <c r="S3141" i="25" s="1"/>
  <c r="Q3142" i="25"/>
  <c r="S3142" i="25" s="1"/>
  <c r="Q3143" i="25"/>
  <c r="S3143" i="25" s="1"/>
  <c r="Q3144" i="25"/>
  <c r="S3144" i="25" s="1"/>
  <c r="Q3145" i="25"/>
  <c r="S3145" i="25" s="1"/>
  <c r="Q3146" i="25"/>
  <c r="S3146" i="25" s="1"/>
  <c r="Q3147" i="25"/>
  <c r="S3147" i="25" s="1"/>
  <c r="Q3148" i="25"/>
  <c r="S3148" i="25" s="1"/>
  <c r="Q3149" i="25"/>
  <c r="S3149" i="25" s="1"/>
  <c r="Q3150" i="25"/>
  <c r="S3150" i="25" s="1"/>
  <c r="Q3151" i="25"/>
  <c r="S3151" i="25" s="1"/>
  <c r="Q3152" i="25"/>
  <c r="S3152" i="25" s="1"/>
  <c r="Q3153" i="25"/>
  <c r="S3153" i="25" s="1"/>
  <c r="Q3154" i="25"/>
  <c r="S3154" i="25" s="1"/>
  <c r="Q3155" i="25"/>
  <c r="S3155" i="25" s="1"/>
  <c r="Q3156" i="25"/>
  <c r="S3156" i="25" s="1"/>
  <c r="Q3157" i="25"/>
  <c r="S3157" i="25" s="1"/>
  <c r="Q3158" i="25"/>
  <c r="S3158" i="25" s="1"/>
  <c r="Q3159" i="25"/>
  <c r="S3159" i="25" s="1"/>
  <c r="Q3160" i="25"/>
  <c r="S3160" i="25" s="1"/>
  <c r="Q3161" i="25"/>
  <c r="S3161" i="25" s="1"/>
  <c r="Q3162" i="25"/>
  <c r="S3162" i="25" s="1"/>
  <c r="Q3163" i="25"/>
  <c r="S3163" i="25" s="1"/>
  <c r="Q3164" i="25"/>
  <c r="S3164" i="25" s="1"/>
  <c r="Q3165" i="25"/>
  <c r="S3165" i="25" s="1"/>
  <c r="Q3166" i="25"/>
  <c r="S3166" i="25" s="1"/>
  <c r="Q3167" i="25"/>
  <c r="S3167" i="25" s="1"/>
  <c r="Q3168" i="25"/>
  <c r="S3168" i="25" s="1"/>
  <c r="Q3169" i="25"/>
  <c r="S3169" i="25" s="1"/>
  <c r="Q3170" i="25"/>
  <c r="S3170" i="25" s="1"/>
  <c r="Q3171" i="25"/>
  <c r="S3171" i="25" s="1"/>
  <c r="Q3172" i="25"/>
  <c r="S3172" i="25" s="1"/>
  <c r="Q3173" i="25"/>
  <c r="S3173" i="25" s="1"/>
  <c r="Q3174" i="25"/>
  <c r="S3174" i="25" s="1"/>
  <c r="Q3175" i="25"/>
  <c r="S3175" i="25" s="1"/>
  <c r="Q3176" i="25"/>
  <c r="S3176" i="25" s="1"/>
  <c r="Q3177" i="25"/>
  <c r="S3177" i="25" s="1"/>
  <c r="Q3178" i="25"/>
  <c r="S3178" i="25" s="1"/>
  <c r="Q3179" i="25"/>
  <c r="S3179" i="25" s="1"/>
  <c r="Q3180" i="25"/>
  <c r="S3180" i="25" s="1"/>
  <c r="Q3181" i="25"/>
  <c r="S3181" i="25" s="1"/>
  <c r="Q3182" i="25"/>
  <c r="S3182" i="25" s="1"/>
  <c r="Q3183" i="25"/>
  <c r="S3183" i="25" s="1"/>
  <c r="Q3184" i="25"/>
  <c r="S3184" i="25" s="1"/>
  <c r="Q3185" i="25"/>
  <c r="S3185" i="25" s="1"/>
  <c r="Q3186" i="25"/>
  <c r="S3186" i="25" s="1"/>
  <c r="Q3187" i="25"/>
  <c r="S3187" i="25" s="1"/>
  <c r="Q3188" i="25"/>
  <c r="S3188" i="25" s="1"/>
  <c r="Q3189" i="25"/>
  <c r="S3189" i="25" s="1"/>
  <c r="Q3190" i="25"/>
  <c r="S3190" i="25" s="1"/>
  <c r="Q3191" i="25"/>
  <c r="S3191" i="25" s="1"/>
  <c r="Q3192" i="25"/>
  <c r="S3192" i="25" s="1"/>
  <c r="Q3193" i="25"/>
  <c r="S3193" i="25" s="1"/>
  <c r="Q3194" i="25"/>
  <c r="S3194" i="25" s="1"/>
  <c r="Q3195" i="25"/>
  <c r="S3195" i="25" s="1"/>
  <c r="Q3196" i="25"/>
  <c r="S3196" i="25" s="1"/>
  <c r="Q3197" i="25"/>
  <c r="S3197" i="25" s="1"/>
  <c r="Q3198" i="25"/>
  <c r="S3198" i="25" s="1"/>
  <c r="Q3199" i="25"/>
  <c r="S3199" i="25" s="1"/>
  <c r="Q3200" i="25"/>
  <c r="S3200" i="25" s="1"/>
  <c r="Q3201" i="25"/>
  <c r="S3201" i="25" s="1"/>
  <c r="Q3202" i="25"/>
  <c r="S3202" i="25" s="1"/>
  <c r="Q3203" i="25"/>
  <c r="S3203" i="25" s="1"/>
  <c r="Q3204" i="25"/>
  <c r="S3204" i="25" s="1"/>
  <c r="Q3205" i="25"/>
  <c r="S3205" i="25" s="1"/>
  <c r="Q3206" i="25"/>
  <c r="S3206" i="25" s="1"/>
  <c r="Q3207" i="25"/>
  <c r="S3207" i="25" s="1"/>
  <c r="Q3208" i="25"/>
  <c r="S3208" i="25" s="1"/>
  <c r="Q3209" i="25"/>
  <c r="S3209" i="25" s="1"/>
  <c r="Q3210" i="25"/>
  <c r="S3210" i="25" s="1"/>
  <c r="Q3211" i="25"/>
  <c r="S3211" i="25" s="1"/>
  <c r="Q3212" i="25"/>
  <c r="S3212" i="25" s="1"/>
  <c r="Q3213" i="25"/>
  <c r="S3213" i="25" s="1"/>
  <c r="Q3214" i="25"/>
  <c r="S3214" i="25" s="1"/>
  <c r="Q3215" i="25"/>
  <c r="S3215" i="25" s="1"/>
  <c r="Q3216" i="25"/>
  <c r="S3216" i="25" s="1"/>
  <c r="Q3217" i="25"/>
  <c r="S3217" i="25" s="1"/>
  <c r="Q3218" i="25"/>
  <c r="S3218" i="25" s="1"/>
  <c r="Q3219" i="25"/>
  <c r="S3219" i="25" s="1"/>
  <c r="Q3220" i="25"/>
  <c r="S3220" i="25" s="1"/>
  <c r="Q3221" i="25"/>
  <c r="S3221" i="25" s="1"/>
  <c r="Q3222" i="25"/>
  <c r="S3222" i="25" s="1"/>
  <c r="Q3223" i="25"/>
  <c r="S3223" i="25" s="1"/>
  <c r="Q3224" i="25"/>
  <c r="S3224" i="25" s="1"/>
  <c r="Q3225" i="25"/>
  <c r="S3225" i="25" s="1"/>
  <c r="Q3226" i="25"/>
  <c r="S3226" i="25" s="1"/>
  <c r="Q3227" i="25"/>
  <c r="S3227" i="25" s="1"/>
  <c r="Q3228" i="25"/>
  <c r="S3228" i="25" s="1"/>
  <c r="Q3229" i="25"/>
  <c r="S3229" i="25" s="1"/>
  <c r="Q3230" i="25"/>
  <c r="S3230" i="25" s="1"/>
  <c r="Q3232" i="25"/>
  <c r="S3232" i="25" s="1"/>
  <c r="Q3233" i="25"/>
  <c r="S3233" i="25" s="1"/>
  <c r="Q3234" i="25"/>
  <c r="S3234" i="25" s="1"/>
  <c r="Q3235" i="25"/>
  <c r="S3235" i="25" s="1"/>
  <c r="Q3236" i="25"/>
  <c r="S3236" i="25" s="1"/>
  <c r="Q3237" i="25"/>
  <c r="S3237" i="25" s="1"/>
  <c r="Q3238" i="25"/>
  <c r="S3238" i="25" s="1"/>
  <c r="Q3239" i="25"/>
  <c r="S3239" i="25" s="1"/>
  <c r="Q3240" i="25"/>
  <c r="S3240" i="25" s="1"/>
  <c r="Q3241" i="25"/>
  <c r="S3241" i="25" s="1"/>
  <c r="Q3242" i="25"/>
  <c r="S3242" i="25" s="1"/>
  <c r="Q3243" i="25"/>
  <c r="S3243" i="25" s="1"/>
  <c r="Q3244" i="25"/>
  <c r="S3244" i="25" s="1"/>
  <c r="Q3245" i="25"/>
  <c r="S3245" i="25" s="1"/>
  <c r="Q3246" i="25"/>
  <c r="S3246" i="25" s="1"/>
  <c r="Q3247" i="25"/>
  <c r="S3247" i="25" s="1"/>
  <c r="Q3248" i="25"/>
  <c r="S3248" i="25" s="1"/>
  <c r="Q3249" i="25"/>
  <c r="S3249" i="25" s="1"/>
  <c r="Q3250" i="25"/>
  <c r="S3250" i="25" s="1"/>
  <c r="Q3251" i="25"/>
  <c r="S3251" i="25" s="1"/>
  <c r="Q3252" i="25"/>
  <c r="S3252" i="25" s="1"/>
  <c r="Q3253" i="25"/>
  <c r="S3253" i="25" s="1"/>
  <c r="Q3254" i="25"/>
  <c r="S3254" i="25" s="1"/>
  <c r="Q3255" i="25"/>
  <c r="S3255" i="25" s="1"/>
  <c r="Q3256" i="25"/>
  <c r="S3256" i="25" s="1"/>
  <c r="Q3257" i="25"/>
  <c r="S3257" i="25" s="1"/>
  <c r="Q3258" i="25"/>
  <c r="S3258" i="25" s="1"/>
  <c r="Q3259" i="25"/>
  <c r="S3259" i="25" s="1"/>
  <c r="Q3260" i="25"/>
  <c r="S3260" i="25" s="1"/>
  <c r="Q3261" i="25"/>
  <c r="S3261" i="25" s="1"/>
  <c r="Q3262" i="25"/>
  <c r="S3262" i="25" s="1"/>
  <c r="Q3263" i="25"/>
  <c r="S3263" i="25" s="1"/>
  <c r="Q3264" i="25"/>
  <c r="S3264" i="25" s="1"/>
  <c r="Q3265" i="25"/>
  <c r="S3265" i="25" s="1"/>
  <c r="Q3266" i="25"/>
  <c r="S3266" i="25" s="1"/>
  <c r="Q3267" i="25"/>
  <c r="S3267" i="25" s="1"/>
  <c r="Q3268" i="25"/>
  <c r="S3268" i="25" s="1"/>
  <c r="Q3269" i="25"/>
  <c r="S3269" i="25" s="1"/>
  <c r="Q3270" i="25"/>
  <c r="S3270" i="25" s="1"/>
  <c r="Q3271" i="25"/>
  <c r="S3271" i="25" s="1"/>
  <c r="Q3272" i="25"/>
  <c r="S3272" i="25" s="1"/>
  <c r="Q3273" i="25"/>
  <c r="S3273" i="25" s="1"/>
  <c r="Q3274" i="25"/>
  <c r="S3274" i="25" s="1"/>
  <c r="Q3275" i="25"/>
  <c r="S3275" i="25" s="1"/>
  <c r="Q3276" i="25"/>
  <c r="S3276" i="25" s="1"/>
  <c r="Q3277" i="25"/>
  <c r="S3277" i="25" s="1"/>
  <c r="Q3278" i="25"/>
  <c r="S3278" i="25" s="1"/>
  <c r="Q3279" i="25"/>
  <c r="S3279" i="25" s="1"/>
  <c r="Q3280" i="25"/>
  <c r="S3280" i="25" s="1"/>
  <c r="Q3281" i="25"/>
  <c r="S3281" i="25" s="1"/>
  <c r="Q3282" i="25"/>
  <c r="S3282" i="25" s="1"/>
  <c r="Q3283" i="25"/>
  <c r="S3283" i="25" s="1"/>
  <c r="Q3284" i="25"/>
  <c r="S3284" i="25" s="1"/>
  <c r="Q3285" i="25"/>
  <c r="S3285" i="25" s="1"/>
  <c r="Q3286" i="25"/>
  <c r="S3286" i="25" s="1"/>
  <c r="Q3287" i="25"/>
  <c r="S3287" i="25" s="1"/>
  <c r="Q3288" i="25"/>
  <c r="S3288" i="25" s="1"/>
  <c r="Q3289" i="25"/>
  <c r="S3289" i="25" s="1"/>
  <c r="Q3290" i="25"/>
  <c r="S3290" i="25" s="1"/>
  <c r="Q3291" i="25"/>
  <c r="S3291" i="25" s="1"/>
  <c r="Q3292" i="25"/>
  <c r="S3292" i="25" s="1"/>
  <c r="Q3293" i="25"/>
  <c r="S3293" i="25" s="1"/>
  <c r="Q3294" i="25"/>
  <c r="S3294" i="25" s="1"/>
  <c r="Q3295" i="25"/>
  <c r="S3295" i="25" s="1"/>
  <c r="Q3296" i="25"/>
  <c r="S3296" i="25" s="1"/>
  <c r="Q3297" i="25"/>
  <c r="S3297" i="25" s="1"/>
  <c r="Q3298" i="25"/>
  <c r="S3298" i="25" s="1"/>
  <c r="Q3299" i="25"/>
  <c r="S3299" i="25" s="1"/>
  <c r="Q3300" i="25"/>
  <c r="S3300" i="25" s="1"/>
  <c r="Q3301" i="25"/>
  <c r="S3301" i="25" s="1"/>
  <c r="Q3302" i="25"/>
  <c r="S3302" i="25" s="1"/>
  <c r="Q3303" i="25"/>
  <c r="S3303" i="25" s="1"/>
  <c r="Q3304" i="25"/>
  <c r="S3304" i="25" s="1"/>
  <c r="Q3305" i="25"/>
  <c r="S3305" i="25" s="1"/>
  <c r="Q3306" i="25"/>
  <c r="S3306" i="25" s="1"/>
  <c r="Q3307" i="25"/>
  <c r="S3307" i="25" s="1"/>
  <c r="Q3308" i="25"/>
  <c r="S3308" i="25" s="1"/>
  <c r="Q3309" i="25"/>
  <c r="S3309" i="25" s="1"/>
  <c r="Q3310" i="25"/>
  <c r="S3310" i="25" s="1"/>
  <c r="Q3311" i="25"/>
  <c r="S3311" i="25" s="1"/>
  <c r="Q3312" i="25"/>
  <c r="S3312" i="25" s="1"/>
  <c r="Q3313" i="25"/>
  <c r="S3313" i="25" s="1"/>
  <c r="Q3314" i="25"/>
  <c r="S3314" i="25" s="1"/>
  <c r="Q3315" i="25"/>
  <c r="S3315" i="25" s="1"/>
  <c r="Q3316" i="25"/>
  <c r="S3316" i="25" s="1"/>
  <c r="Q3317" i="25"/>
  <c r="S3317" i="25" s="1"/>
  <c r="Q3318" i="25"/>
  <c r="S3318" i="25" s="1"/>
  <c r="Q3319" i="25"/>
  <c r="S3319" i="25" s="1"/>
  <c r="Q3320" i="25"/>
  <c r="S3320" i="25" s="1"/>
  <c r="Q3321" i="25"/>
  <c r="S3321" i="25" s="1"/>
  <c r="Q3322" i="25"/>
  <c r="S3322" i="25" s="1"/>
  <c r="Q3323" i="25"/>
  <c r="S3323" i="25" s="1"/>
  <c r="Q3324" i="25"/>
  <c r="S3324" i="25" s="1"/>
  <c r="Q3325" i="25"/>
  <c r="S3325" i="25" s="1"/>
  <c r="Q3326" i="25"/>
  <c r="S3326" i="25" s="1"/>
  <c r="Q3327" i="25"/>
  <c r="S3327" i="25" s="1"/>
  <c r="Q3328" i="25"/>
  <c r="S3328" i="25" s="1"/>
  <c r="Q3329" i="25"/>
  <c r="S3329" i="25" s="1"/>
  <c r="Q3330" i="25"/>
  <c r="S3330" i="25" s="1"/>
  <c r="Q3331" i="25"/>
  <c r="S3331" i="25" s="1"/>
  <c r="Q3332" i="25"/>
  <c r="S3332" i="25" s="1"/>
  <c r="Q3333" i="25"/>
  <c r="S3333" i="25" s="1"/>
  <c r="Q3334" i="25"/>
  <c r="S3334" i="25" s="1"/>
  <c r="Q3335" i="25"/>
  <c r="S3335" i="25" s="1"/>
  <c r="Q3336" i="25"/>
  <c r="S3336" i="25" s="1"/>
  <c r="Q3337" i="25"/>
  <c r="S3337" i="25" s="1"/>
  <c r="Q3338" i="25"/>
  <c r="S3338" i="25" s="1"/>
  <c r="Q3339" i="25"/>
  <c r="S3339" i="25" s="1"/>
  <c r="Q3340" i="25"/>
  <c r="S3340" i="25" s="1"/>
  <c r="Q3341" i="25"/>
  <c r="S3341" i="25" s="1"/>
  <c r="Q3342" i="25"/>
  <c r="S3342" i="25" s="1"/>
  <c r="Q3343" i="25"/>
  <c r="S3343" i="25" s="1"/>
  <c r="Q3344" i="25"/>
  <c r="S3344" i="25" s="1"/>
  <c r="Q3345" i="25"/>
  <c r="S3345" i="25" s="1"/>
  <c r="Q3346" i="25"/>
  <c r="S3346" i="25" s="1"/>
  <c r="Q3347" i="25"/>
  <c r="S3347" i="25" s="1"/>
  <c r="Q3348" i="25"/>
  <c r="S3348" i="25" s="1"/>
  <c r="Q3349" i="25"/>
  <c r="S3349" i="25" s="1"/>
  <c r="Q3350" i="25"/>
  <c r="S3350" i="25" s="1"/>
  <c r="Q3351" i="25"/>
  <c r="S3351" i="25" s="1"/>
  <c r="Q3352" i="25"/>
  <c r="S3352" i="25" s="1"/>
  <c r="Q3353" i="25"/>
  <c r="S3353" i="25" s="1"/>
  <c r="Q3354" i="25"/>
  <c r="S3354" i="25" s="1"/>
  <c r="Q3355" i="25"/>
  <c r="S3355" i="25" s="1"/>
  <c r="Q3356" i="25"/>
  <c r="S3356" i="25" s="1"/>
  <c r="Q3357" i="25"/>
  <c r="S3357" i="25" s="1"/>
  <c r="Q3358" i="25"/>
  <c r="S3358" i="25" s="1"/>
  <c r="Q3359" i="25"/>
  <c r="S3359" i="25" s="1"/>
  <c r="Q3360" i="25"/>
  <c r="S3360" i="25" s="1"/>
  <c r="Q3361" i="25"/>
  <c r="S3361" i="25" s="1"/>
  <c r="Q3362" i="25"/>
  <c r="S3362" i="25" s="1"/>
  <c r="Q3363" i="25"/>
  <c r="S3363" i="25" s="1"/>
  <c r="Q3364" i="25"/>
  <c r="S3364" i="25" s="1"/>
  <c r="Q3365" i="25"/>
  <c r="S3365" i="25" s="1"/>
  <c r="Q3366" i="25"/>
  <c r="S3366" i="25" s="1"/>
  <c r="Q3367" i="25"/>
  <c r="S3367" i="25" s="1"/>
  <c r="Q3368" i="25"/>
  <c r="S3368" i="25" s="1"/>
  <c r="Q3369" i="25"/>
  <c r="S3369" i="25" s="1"/>
  <c r="Q3370" i="25"/>
  <c r="S3370" i="25" s="1"/>
  <c r="Q3371" i="25"/>
  <c r="S3371" i="25" s="1"/>
  <c r="Q3372" i="25"/>
  <c r="S3372" i="25" s="1"/>
  <c r="Q3373" i="25"/>
  <c r="S3373" i="25" s="1"/>
  <c r="Q3374" i="25"/>
  <c r="S3374" i="25" s="1"/>
  <c r="Q3375" i="25"/>
  <c r="S3375" i="25" s="1"/>
  <c r="Q3376" i="25"/>
  <c r="S3376" i="25" s="1"/>
  <c r="Q3377" i="25"/>
  <c r="S3377" i="25" s="1"/>
  <c r="Q3378" i="25"/>
  <c r="S3378" i="25" s="1"/>
  <c r="Q3379" i="25"/>
  <c r="S3379" i="25" s="1"/>
  <c r="Q3380" i="25"/>
  <c r="S3380" i="25" s="1"/>
  <c r="Q3381" i="25"/>
  <c r="S3381" i="25" s="1"/>
  <c r="Q3382" i="25"/>
  <c r="S3382" i="25" s="1"/>
  <c r="Q3383" i="25"/>
  <c r="S3383" i="25" s="1"/>
  <c r="Q3384" i="25"/>
  <c r="S3384" i="25" s="1"/>
  <c r="Q3385" i="25"/>
  <c r="S3385" i="25" s="1"/>
  <c r="Q3386" i="25"/>
  <c r="S3386" i="25" s="1"/>
  <c r="Q3387" i="25"/>
  <c r="S3387" i="25" s="1"/>
  <c r="Q3388" i="25"/>
  <c r="S3388" i="25" s="1"/>
  <c r="Q3389" i="25"/>
  <c r="S3389" i="25" s="1"/>
  <c r="Q3390" i="25"/>
  <c r="S3390" i="25" s="1"/>
  <c r="Q3391" i="25"/>
  <c r="S3391" i="25" s="1"/>
  <c r="Q3392" i="25"/>
  <c r="S3392" i="25" s="1"/>
  <c r="Q3393" i="25"/>
  <c r="S3393" i="25" s="1"/>
  <c r="Q3394" i="25"/>
  <c r="S3394" i="25" s="1"/>
  <c r="Q3395" i="25"/>
  <c r="S3395" i="25" s="1"/>
  <c r="Q3396" i="25"/>
  <c r="S3396" i="25" s="1"/>
  <c r="Q3397" i="25"/>
  <c r="S3397" i="25" s="1"/>
  <c r="Q3398" i="25"/>
  <c r="S3398" i="25" s="1"/>
  <c r="Q3399" i="25"/>
  <c r="S3399" i="25" s="1"/>
  <c r="Q3400" i="25"/>
  <c r="S3400" i="25" s="1"/>
  <c r="Q3401" i="25"/>
  <c r="S3401" i="25" s="1"/>
  <c r="Q3402" i="25"/>
  <c r="S3402" i="25" s="1"/>
  <c r="Q3403" i="25"/>
  <c r="S3403" i="25" s="1"/>
  <c r="Q3404" i="25"/>
  <c r="S3404" i="25" s="1"/>
  <c r="Q3405" i="25"/>
  <c r="S3405" i="25" s="1"/>
  <c r="Q3406" i="25"/>
  <c r="S3406" i="25" s="1"/>
  <c r="Q3407" i="25"/>
  <c r="S3407" i="25" s="1"/>
  <c r="Q3408" i="25"/>
  <c r="S3408" i="25" s="1"/>
  <c r="Q3409" i="25"/>
  <c r="S3409" i="25" s="1"/>
  <c r="Q3410" i="25"/>
  <c r="S3410" i="25" s="1"/>
  <c r="Q3411" i="25"/>
  <c r="S3411" i="25" s="1"/>
  <c r="Q3412" i="25"/>
  <c r="S3412" i="25" s="1"/>
  <c r="Q3413" i="25"/>
  <c r="S3413" i="25" s="1"/>
  <c r="Q3414" i="25"/>
  <c r="S3414" i="25" s="1"/>
  <c r="Q3415" i="25"/>
  <c r="S3415" i="25" s="1"/>
  <c r="Q3416" i="25"/>
  <c r="S3416" i="25" s="1"/>
  <c r="Q3417" i="25"/>
  <c r="S3417" i="25" s="1"/>
  <c r="Q3418" i="25"/>
  <c r="S3418" i="25" s="1"/>
  <c r="Q3419" i="25"/>
  <c r="S3419" i="25" s="1"/>
  <c r="Q3420" i="25"/>
  <c r="S3420" i="25" s="1"/>
  <c r="Q3421" i="25"/>
  <c r="S3421" i="25" s="1"/>
  <c r="Q3422" i="25"/>
  <c r="S3422" i="25" s="1"/>
  <c r="Q3423" i="25"/>
  <c r="S3423" i="25" s="1"/>
  <c r="Q3424" i="25"/>
  <c r="S3424" i="25" s="1"/>
  <c r="Q3425" i="25"/>
  <c r="S3425" i="25" s="1"/>
  <c r="Q3426" i="25"/>
  <c r="S3426" i="25" s="1"/>
  <c r="Q3427" i="25"/>
  <c r="S3427" i="25" s="1"/>
  <c r="Q3428" i="25"/>
  <c r="S3428" i="25" s="1"/>
  <c r="Q3429" i="25"/>
  <c r="S3429" i="25" s="1"/>
  <c r="Q3430" i="25"/>
  <c r="S3430" i="25" s="1"/>
  <c r="Q3431" i="25"/>
  <c r="S3431" i="25" s="1"/>
  <c r="Q3432" i="25"/>
  <c r="S3432" i="25" s="1"/>
  <c r="Q3433" i="25"/>
  <c r="S3433" i="25" s="1"/>
  <c r="Q3434" i="25"/>
  <c r="S3434" i="25" s="1"/>
  <c r="Q3435" i="25"/>
  <c r="S3435" i="25" s="1"/>
  <c r="Q3436" i="25"/>
  <c r="S3436" i="25" s="1"/>
  <c r="Q3437" i="25"/>
  <c r="S3437" i="25" s="1"/>
  <c r="Q3438" i="25"/>
  <c r="S3438" i="25" s="1"/>
  <c r="Q3439" i="25"/>
  <c r="S3439" i="25" s="1"/>
  <c r="Q3440" i="25"/>
  <c r="S3440" i="25" s="1"/>
  <c r="Q3441" i="25"/>
  <c r="S3441" i="25" s="1"/>
  <c r="Q3442" i="25"/>
  <c r="S3442" i="25" s="1"/>
  <c r="Q3443" i="25"/>
  <c r="S3443" i="25" s="1"/>
  <c r="Q3444" i="25"/>
  <c r="S3444" i="25" s="1"/>
  <c r="Q3445" i="25"/>
  <c r="S3445" i="25" s="1"/>
  <c r="Q3446" i="25"/>
  <c r="S3446" i="25" s="1"/>
  <c r="Q3447" i="25"/>
  <c r="S3447" i="25" s="1"/>
  <c r="Q3448" i="25"/>
  <c r="S3448" i="25" s="1"/>
  <c r="Q3449" i="25"/>
  <c r="S3449" i="25" s="1"/>
  <c r="Q3450" i="25"/>
  <c r="S3450" i="25" s="1"/>
  <c r="Q3451" i="25"/>
  <c r="S3451" i="25" s="1"/>
  <c r="Q3452" i="25"/>
  <c r="S3452" i="25" s="1"/>
  <c r="Q3453" i="25"/>
  <c r="S3453" i="25" s="1"/>
  <c r="Q3454" i="25"/>
  <c r="S3454" i="25" s="1"/>
  <c r="Q3455" i="25"/>
  <c r="S3455" i="25" s="1"/>
  <c r="Q3456" i="25"/>
  <c r="S3456" i="25" s="1"/>
  <c r="Q3457" i="25"/>
  <c r="S3457" i="25" s="1"/>
  <c r="Q3458" i="25"/>
  <c r="S3458" i="25" s="1"/>
  <c r="Q3459" i="25"/>
  <c r="S3459" i="25" s="1"/>
  <c r="Q3460" i="25"/>
  <c r="S3460" i="25" s="1"/>
  <c r="Q3461" i="25"/>
  <c r="S3461" i="25" s="1"/>
  <c r="Q3462" i="25"/>
  <c r="S3462" i="25" s="1"/>
  <c r="Q3463" i="25"/>
  <c r="S3463" i="25" s="1"/>
  <c r="Q3464" i="25"/>
  <c r="S3464" i="25" s="1"/>
  <c r="Q3465" i="25"/>
  <c r="S3465" i="25" s="1"/>
  <c r="Q3466" i="25"/>
  <c r="S3466" i="25" s="1"/>
  <c r="Q3467" i="25"/>
  <c r="S3467" i="25" s="1"/>
  <c r="Q3468" i="25"/>
  <c r="S3468" i="25" s="1"/>
  <c r="Q3469" i="25"/>
  <c r="S3469" i="25" s="1"/>
  <c r="Q3470" i="25"/>
  <c r="S3470" i="25" s="1"/>
  <c r="Q3471" i="25"/>
  <c r="S3471" i="25" s="1"/>
  <c r="Q3472" i="25"/>
  <c r="S3472" i="25" s="1"/>
  <c r="Q3473" i="25"/>
  <c r="S3473" i="25" s="1"/>
  <c r="Q3474" i="25"/>
  <c r="S3474" i="25" s="1"/>
  <c r="Q3475" i="25"/>
  <c r="S3475" i="25" s="1"/>
  <c r="Q3476" i="25"/>
  <c r="S3476" i="25" s="1"/>
  <c r="Q3477" i="25"/>
  <c r="S3477" i="25" s="1"/>
  <c r="Q3478" i="25"/>
  <c r="S3478" i="25" s="1"/>
  <c r="Q3479" i="25"/>
  <c r="S3479" i="25" s="1"/>
  <c r="Q3480" i="25"/>
  <c r="S3480" i="25" s="1"/>
  <c r="Q3481" i="25"/>
  <c r="S3481" i="25" s="1"/>
  <c r="Q3482" i="25"/>
  <c r="S3482" i="25" s="1"/>
  <c r="Q3483" i="25"/>
  <c r="S3483" i="25" s="1"/>
  <c r="Q3484" i="25"/>
  <c r="S3484" i="25" s="1"/>
  <c r="Q3485" i="25"/>
  <c r="S3485" i="25" s="1"/>
  <c r="Q3486" i="25"/>
  <c r="S3486" i="25" s="1"/>
  <c r="Q3487" i="25"/>
  <c r="S3487" i="25" s="1"/>
  <c r="Q3488" i="25"/>
  <c r="S3488" i="25" s="1"/>
  <c r="Q3489" i="25"/>
  <c r="S3489" i="25" s="1"/>
  <c r="Q3490" i="25"/>
  <c r="S3490" i="25" s="1"/>
  <c r="Q3491" i="25"/>
  <c r="S3491" i="25" s="1"/>
  <c r="Q3492" i="25"/>
  <c r="S3492" i="25" s="1"/>
  <c r="Q3493" i="25"/>
  <c r="S3493" i="25" s="1"/>
  <c r="Q3494" i="25"/>
  <c r="S3494" i="25" s="1"/>
  <c r="Q3495" i="25"/>
  <c r="S3495" i="25" s="1"/>
  <c r="Q3496" i="25"/>
  <c r="S3496" i="25" s="1"/>
  <c r="Q3497" i="25"/>
  <c r="S3497" i="25" s="1"/>
  <c r="Q3498" i="25"/>
  <c r="S3498" i="25" s="1"/>
  <c r="Q3499" i="25"/>
  <c r="S3499" i="25" s="1"/>
  <c r="Q3500" i="25"/>
  <c r="S3500" i="25" s="1"/>
  <c r="Q3501" i="25"/>
  <c r="S3501" i="25" s="1"/>
  <c r="Q3502" i="25"/>
  <c r="S3502" i="25" s="1"/>
  <c r="Q3503" i="25"/>
  <c r="S3503" i="25" s="1"/>
  <c r="Q3504" i="25"/>
  <c r="S3504" i="25" s="1"/>
  <c r="Q3505" i="25"/>
  <c r="S3505" i="25" s="1"/>
  <c r="Q3506" i="25"/>
  <c r="S3506" i="25" s="1"/>
  <c r="Q3507" i="25"/>
  <c r="S3507" i="25" s="1"/>
  <c r="Q3508" i="25"/>
  <c r="S3508" i="25" s="1"/>
  <c r="Q3509" i="25"/>
  <c r="S3509" i="25" s="1"/>
  <c r="Q3510" i="25"/>
  <c r="S3510" i="25" s="1"/>
  <c r="Q3511" i="25"/>
  <c r="S3511" i="25" s="1"/>
  <c r="Q3512" i="25"/>
  <c r="S3512" i="25" s="1"/>
  <c r="Q3513" i="25"/>
  <c r="S3513" i="25" s="1"/>
  <c r="Q3514" i="25"/>
  <c r="S3514" i="25" s="1"/>
  <c r="Q3515" i="25"/>
  <c r="S3515" i="25" s="1"/>
  <c r="Q3516" i="25"/>
  <c r="S3516" i="25" s="1"/>
  <c r="Q3517" i="25"/>
  <c r="S3517" i="25" s="1"/>
  <c r="Q3518" i="25"/>
  <c r="S3518" i="25" s="1"/>
  <c r="Q3519" i="25"/>
  <c r="S3519" i="25" s="1"/>
  <c r="Q3520" i="25"/>
  <c r="S3520" i="25" s="1"/>
  <c r="Q3521" i="25"/>
  <c r="S3521" i="25" s="1"/>
  <c r="Q3522" i="25"/>
  <c r="S3522" i="25" s="1"/>
  <c r="Q3523" i="25"/>
  <c r="S3523" i="25" s="1"/>
  <c r="Q3524" i="25"/>
  <c r="S3524" i="25" s="1"/>
  <c r="Q3525" i="25"/>
  <c r="S3525" i="25" s="1"/>
  <c r="Q3526" i="25"/>
  <c r="S3526" i="25" s="1"/>
  <c r="Q3527" i="25"/>
  <c r="S3527" i="25" s="1"/>
  <c r="Q3528" i="25"/>
  <c r="S3528" i="25" s="1"/>
  <c r="Q3529" i="25"/>
  <c r="S3529" i="25" s="1"/>
  <c r="Q3530" i="25"/>
  <c r="S3530" i="25" s="1"/>
  <c r="Q3531" i="25"/>
  <c r="S3531" i="25" s="1"/>
  <c r="Q3532" i="25"/>
  <c r="S3532" i="25" s="1"/>
  <c r="Q3533" i="25"/>
  <c r="S3533" i="25" s="1"/>
  <c r="Q3534" i="25"/>
  <c r="S3534" i="25" s="1"/>
  <c r="Q3535" i="25"/>
  <c r="S3535" i="25" s="1"/>
  <c r="Q3536" i="25"/>
  <c r="S3536" i="25" s="1"/>
  <c r="Q3537" i="25"/>
  <c r="S3537" i="25" s="1"/>
  <c r="Q3538" i="25"/>
  <c r="S3538" i="25" s="1"/>
  <c r="Q3539" i="25"/>
  <c r="S3539" i="25" s="1"/>
  <c r="Q3540" i="25"/>
  <c r="S3540" i="25" s="1"/>
  <c r="Q3541" i="25"/>
  <c r="S3541" i="25" s="1"/>
  <c r="Q3542" i="25"/>
  <c r="S3542" i="25" s="1"/>
  <c r="Q3543" i="25"/>
  <c r="S3543" i="25" s="1"/>
  <c r="Q3544" i="25"/>
  <c r="S3544" i="25" s="1"/>
  <c r="Q3545" i="25"/>
  <c r="S3545" i="25" s="1"/>
  <c r="Q3546" i="25"/>
  <c r="S3546" i="25" s="1"/>
  <c r="Q3547" i="25"/>
  <c r="S3547" i="25" s="1"/>
  <c r="Q3548" i="25"/>
  <c r="S3548" i="25" s="1"/>
  <c r="Q3549" i="25"/>
  <c r="S3549" i="25" s="1"/>
  <c r="Q3550" i="25"/>
  <c r="S3550" i="25" s="1"/>
  <c r="Q3551" i="25"/>
  <c r="S3551" i="25" s="1"/>
  <c r="Q3552" i="25"/>
  <c r="S3552" i="25" s="1"/>
  <c r="Q3553" i="25"/>
  <c r="S3553" i="25" s="1"/>
  <c r="Q3554" i="25"/>
  <c r="S3554" i="25" s="1"/>
  <c r="Q3555" i="25"/>
  <c r="S3555" i="25" s="1"/>
  <c r="Q3556" i="25"/>
  <c r="S3556" i="25" s="1"/>
  <c r="Q3557" i="25"/>
  <c r="S3557" i="25" s="1"/>
  <c r="Q3558" i="25"/>
  <c r="S3558" i="25" s="1"/>
  <c r="Q3559" i="25"/>
  <c r="S3559" i="25" s="1"/>
  <c r="Q3560" i="25"/>
  <c r="S3560" i="25" s="1"/>
  <c r="Q3561" i="25"/>
  <c r="S3561" i="25" s="1"/>
  <c r="Q3562" i="25"/>
  <c r="S3562" i="25" s="1"/>
  <c r="Q3563" i="25"/>
  <c r="S3563" i="25" s="1"/>
  <c r="Q3564" i="25"/>
  <c r="S3564" i="25" s="1"/>
  <c r="Q3565" i="25"/>
  <c r="S3565" i="25" s="1"/>
  <c r="Q3566" i="25"/>
  <c r="S3566" i="25" s="1"/>
  <c r="Q3567" i="25"/>
  <c r="S3567" i="25" s="1"/>
  <c r="Q3568" i="25"/>
  <c r="S3568" i="25" s="1"/>
  <c r="Q3569" i="25"/>
  <c r="S3569" i="25" s="1"/>
  <c r="Q3570" i="25"/>
  <c r="S3570" i="25" s="1"/>
  <c r="Q3571" i="25"/>
  <c r="S3571" i="25" s="1"/>
  <c r="Q3572" i="25"/>
  <c r="S3572" i="25" s="1"/>
  <c r="Q3573" i="25"/>
  <c r="S3573" i="25" s="1"/>
  <c r="Q3574" i="25"/>
  <c r="S3574" i="25" s="1"/>
  <c r="Q3575" i="25"/>
  <c r="S3575" i="25" s="1"/>
  <c r="Q3576" i="25"/>
  <c r="S3576" i="25" s="1"/>
  <c r="Q3577" i="25"/>
  <c r="S3577" i="25" s="1"/>
  <c r="Q3578" i="25"/>
  <c r="S3578" i="25" s="1"/>
  <c r="Q3579" i="25"/>
  <c r="S3579" i="25" s="1"/>
  <c r="Q3580" i="25"/>
  <c r="S3580" i="25" s="1"/>
  <c r="Q3581" i="25"/>
  <c r="S3581" i="25" s="1"/>
  <c r="Q3582" i="25"/>
  <c r="S3582" i="25" s="1"/>
  <c r="Q3583" i="25"/>
  <c r="S3583" i="25" s="1"/>
  <c r="Q3584" i="25"/>
  <c r="S3584" i="25" s="1"/>
  <c r="Q3585" i="25"/>
  <c r="S3585" i="25" s="1"/>
  <c r="Q3586" i="25"/>
  <c r="S3586" i="25" s="1"/>
  <c r="Q3587" i="25"/>
  <c r="S3587" i="25" s="1"/>
  <c r="Q3588" i="25"/>
  <c r="S3588" i="25" s="1"/>
  <c r="Q3589" i="25"/>
  <c r="S3589" i="25" s="1"/>
  <c r="Q3590" i="25"/>
  <c r="S3590" i="25" s="1"/>
  <c r="Q3591" i="25"/>
  <c r="S3591" i="25" s="1"/>
  <c r="Q3592" i="25"/>
  <c r="S3592" i="25" s="1"/>
  <c r="Q3593" i="25"/>
  <c r="S3593" i="25" s="1"/>
  <c r="Q3594" i="25"/>
  <c r="S3594" i="25" s="1"/>
  <c r="Q3595" i="25"/>
  <c r="S3595" i="25" s="1"/>
  <c r="Q3596" i="25"/>
  <c r="S3596" i="25" s="1"/>
  <c r="Q3597" i="25"/>
  <c r="S3597" i="25" s="1"/>
  <c r="Q3598" i="25"/>
  <c r="S3598" i="25" s="1"/>
  <c r="Q3599" i="25"/>
  <c r="S3599" i="25" s="1"/>
  <c r="Q3600" i="25"/>
  <c r="S3600" i="25" s="1"/>
  <c r="Q3601" i="25"/>
  <c r="S3601" i="25" s="1"/>
  <c r="Q3602" i="25"/>
  <c r="S3602" i="25" s="1"/>
  <c r="Q3603" i="25"/>
  <c r="S3603" i="25" s="1"/>
  <c r="Q3604" i="25"/>
  <c r="S3604" i="25" s="1"/>
  <c r="Q3605" i="25"/>
  <c r="S3605" i="25" s="1"/>
  <c r="Q3606" i="25"/>
  <c r="S3606" i="25" s="1"/>
  <c r="Q3607" i="25"/>
  <c r="S3607" i="25" s="1"/>
  <c r="Q3608" i="25"/>
  <c r="S3608" i="25" s="1"/>
  <c r="Q3609" i="25"/>
  <c r="S3609" i="25" s="1"/>
  <c r="Q3610" i="25"/>
  <c r="S3610" i="25" s="1"/>
  <c r="Q3611" i="25"/>
  <c r="S3611" i="25" s="1"/>
  <c r="Q3612" i="25"/>
  <c r="S3612" i="25" s="1"/>
  <c r="Q3613" i="25"/>
  <c r="S3613" i="25" s="1"/>
  <c r="Q3614" i="25"/>
  <c r="S3614" i="25" s="1"/>
  <c r="Q3615" i="25"/>
  <c r="S3615" i="25" s="1"/>
  <c r="Q3616" i="25"/>
  <c r="S3616" i="25" s="1"/>
  <c r="Q3617" i="25"/>
  <c r="S3617" i="25" s="1"/>
  <c r="Q3618" i="25"/>
  <c r="S3618" i="25" s="1"/>
  <c r="Q3619" i="25"/>
  <c r="S3619" i="25" s="1"/>
  <c r="Q3620" i="25"/>
  <c r="S3620" i="25" s="1"/>
  <c r="Q3621" i="25"/>
  <c r="S3621" i="25" s="1"/>
  <c r="Q3622" i="25"/>
  <c r="S3622" i="25" s="1"/>
  <c r="Q3623" i="25"/>
  <c r="S3623" i="25" s="1"/>
  <c r="Q3624" i="25"/>
  <c r="S3624" i="25" s="1"/>
  <c r="Q3625" i="25"/>
  <c r="S3625" i="25" s="1"/>
  <c r="Q3626" i="25"/>
  <c r="S3626" i="25" s="1"/>
  <c r="Q3627" i="25"/>
  <c r="S3627" i="25" s="1"/>
  <c r="Q3628" i="25"/>
  <c r="S3628" i="25" s="1"/>
  <c r="Q3629" i="25"/>
  <c r="S3629" i="25" s="1"/>
  <c r="Q3630" i="25"/>
  <c r="S3630" i="25" s="1"/>
  <c r="Q3631" i="25"/>
  <c r="S3631" i="25" s="1"/>
  <c r="Q3632" i="25"/>
  <c r="S3632" i="25" s="1"/>
  <c r="Q3633" i="25"/>
  <c r="S3633" i="25" s="1"/>
  <c r="Q3634" i="25"/>
  <c r="S3634" i="25" s="1"/>
  <c r="Q3635" i="25"/>
  <c r="S3635" i="25" s="1"/>
  <c r="Q3636" i="25"/>
  <c r="S3636" i="25" s="1"/>
  <c r="Q3637" i="25"/>
  <c r="S3637" i="25" s="1"/>
  <c r="Q3638" i="25"/>
  <c r="S3638" i="25" s="1"/>
  <c r="Q3639" i="25"/>
  <c r="S3639" i="25" s="1"/>
  <c r="Q3640" i="25"/>
  <c r="S3640" i="25" s="1"/>
  <c r="Q3641" i="25"/>
  <c r="S3641" i="25" s="1"/>
  <c r="Q3642" i="25"/>
  <c r="S3642" i="25" s="1"/>
  <c r="Q3643" i="25"/>
  <c r="S3643" i="25" s="1"/>
  <c r="Q3644" i="25"/>
  <c r="S3644" i="25" s="1"/>
  <c r="Q3645" i="25"/>
  <c r="S3645" i="25" s="1"/>
  <c r="Q3646" i="25"/>
  <c r="S3646" i="25" s="1"/>
  <c r="Q3647" i="25"/>
  <c r="S3647" i="25" s="1"/>
  <c r="Q3648" i="25"/>
  <c r="S3648" i="25" s="1"/>
  <c r="Q3649" i="25"/>
  <c r="S3649" i="25" s="1"/>
  <c r="Q3650" i="25"/>
  <c r="S3650" i="25" s="1"/>
  <c r="Q3651" i="25"/>
  <c r="S3651" i="25" s="1"/>
  <c r="Q3652" i="25"/>
  <c r="S3652" i="25" s="1"/>
  <c r="Q3653" i="25"/>
  <c r="S3653" i="25" s="1"/>
  <c r="Q3654" i="25"/>
  <c r="S3654" i="25" s="1"/>
  <c r="Q3655" i="25"/>
  <c r="S3655" i="25" s="1"/>
  <c r="Q3656" i="25"/>
  <c r="S3656" i="25" s="1"/>
  <c r="Q3657" i="25"/>
  <c r="S3657" i="25" s="1"/>
  <c r="Q3658" i="25"/>
  <c r="S3658" i="25" s="1"/>
  <c r="Q3659" i="25"/>
  <c r="S3659" i="25" s="1"/>
  <c r="Q3660" i="25"/>
  <c r="S3660" i="25" s="1"/>
  <c r="Q3661" i="25"/>
  <c r="S3661" i="25" s="1"/>
  <c r="Q3662" i="25"/>
  <c r="S3662" i="25" s="1"/>
  <c r="Q3663" i="25"/>
  <c r="S3663" i="25" s="1"/>
  <c r="Q3664" i="25"/>
  <c r="S3664" i="25" s="1"/>
  <c r="Q3665" i="25"/>
  <c r="S3665" i="25" s="1"/>
  <c r="Q3666" i="25"/>
  <c r="S3666" i="25" s="1"/>
  <c r="Q3667" i="25"/>
  <c r="S3667" i="25" s="1"/>
  <c r="Q3" i="25"/>
  <c r="S3" i="25" s="1"/>
  <c r="Z851" i="25"/>
  <c r="D851" i="25"/>
  <c r="D852" i="25"/>
  <c r="Z852" i="25"/>
  <c r="K28" i="51"/>
  <c r="K23" i="51"/>
  <c r="K39" i="51"/>
  <c r="K40" i="51" s="1"/>
  <c r="K7" i="51" s="1"/>
  <c r="K38" i="51"/>
  <c r="K34" i="51"/>
  <c r="K35" i="51"/>
  <c r="K36" i="51"/>
  <c r="K37" i="51"/>
  <c r="K33" i="51"/>
  <c r="K15" i="51"/>
  <c r="K14" i="51"/>
  <c r="K13" i="51"/>
  <c r="AA3231" i="25" l="1"/>
  <c r="Y3231" i="25"/>
  <c r="X3231" i="25"/>
  <c r="W3231" i="25"/>
  <c r="V3231" i="25"/>
  <c r="AB3231" i="25"/>
  <c r="Y851" i="25"/>
  <c r="X851" i="25"/>
  <c r="V851" i="25"/>
  <c r="W851" i="25"/>
  <c r="AB851" i="25"/>
  <c r="AA851" i="25"/>
  <c r="W852" i="25"/>
  <c r="V852" i="25"/>
  <c r="Y852" i="25"/>
  <c r="X852" i="25"/>
  <c r="AA852" i="25"/>
  <c r="AB852" i="25"/>
  <c r="D2959" i="25" l="1"/>
  <c r="V2959" i="25"/>
  <c r="D2962" i="25"/>
  <c r="W2962" i="25"/>
  <c r="D1030" i="25"/>
  <c r="W1030" i="25"/>
  <c r="D1028" i="25"/>
  <c r="Y1028" i="25"/>
  <c r="D1029" i="25"/>
  <c r="V1029" i="25"/>
  <c r="D1025" i="25"/>
  <c r="D1026" i="25"/>
  <c r="V1025" i="25"/>
  <c r="X1026" i="25"/>
  <c r="D1023" i="25"/>
  <c r="D1024" i="25"/>
  <c r="X1023" i="25"/>
  <c r="X1024" i="25"/>
  <c r="D1018" i="25"/>
  <c r="Z1018" i="25"/>
  <c r="D854" i="25"/>
  <c r="Z854" i="25"/>
  <c r="D909" i="25"/>
  <c r="V909" i="25"/>
  <c r="D910" i="25"/>
  <c r="Z910" i="25"/>
  <c r="D911" i="25"/>
  <c r="AA911" i="25"/>
  <c r="D905" i="25"/>
  <c r="V905" i="25"/>
  <c r="AA2959" i="25" l="1"/>
  <c r="Z2959" i="25"/>
  <c r="W2959" i="25"/>
  <c r="AB2959" i="25"/>
  <c r="Y2959" i="25"/>
  <c r="X2959" i="25"/>
  <c r="AA2962" i="25"/>
  <c r="Y2962" i="25"/>
  <c r="Z2962" i="25"/>
  <c r="AB2962" i="25"/>
  <c r="X2962" i="25"/>
  <c r="V2962" i="25"/>
  <c r="Z1029" i="25"/>
  <c r="Y1029" i="25"/>
  <c r="AA1028" i="25"/>
  <c r="Z1030" i="25"/>
  <c r="AA1030" i="25"/>
  <c r="AB1030" i="25"/>
  <c r="Z1028" i="25"/>
  <c r="Y1030" i="25"/>
  <c r="AA1029" i="25"/>
  <c r="X1030" i="25"/>
  <c r="V1030" i="25"/>
  <c r="AB1028" i="25"/>
  <c r="W1029" i="25"/>
  <c r="X1028" i="25"/>
  <c r="W1028" i="25"/>
  <c r="V1028" i="25"/>
  <c r="AB1029" i="25"/>
  <c r="X1029" i="25"/>
  <c r="W1026" i="25"/>
  <c r="Z1024" i="25"/>
  <c r="V1026" i="25"/>
  <c r="AA1023" i="25"/>
  <c r="Z1023" i="25"/>
  <c r="AA1026" i="25"/>
  <c r="W1023" i="25"/>
  <c r="Z1026" i="25"/>
  <c r="Y1026" i="25"/>
  <c r="V1024" i="25"/>
  <c r="Y1025" i="25"/>
  <c r="V1023" i="25"/>
  <c r="AB1026" i="25"/>
  <c r="AA1025" i="25"/>
  <c r="AA1024" i="25"/>
  <c r="AB1025" i="25"/>
  <c r="X1025" i="25"/>
  <c r="W1025" i="25"/>
  <c r="W1024" i="25"/>
  <c r="Z1025" i="25"/>
  <c r="Y1024" i="25"/>
  <c r="Y1023" i="25"/>
  <c r="AB1024" i="25"/>
  <c r="AB1023" i="25"/>
  <c r="Y1018" i="25"/>
  <c r="X1018" i="25"/>
  <c r="V1018" i="25"/>
  <c r="AA1018" i="25"/>
  <c r="W1018" i="25"/>
  <c r="AB1018" i="25"/>
  <c r="Y854" i="25"/>
  <c r="X854" i="25"/>
  <c r="V854" i="25"/>
  <c r="AB854" i="25"/>
  <c r="W854" i="25"/>
  <c r="AA854" i="25"/>
  <c r="Z909" i="25"/>
  <c r="Y909" i="25"/>
  <c r="X909" i="25"/>
  <c r="W909" i="25"/>
  <c r="AB909" i="25"/>
  <c r="AA909" i="25"/>
  <c r="Y910" i="25"/>
  <c r="X910" i="25"/>
  <c r="AB910" i="25"/>
  <c r="V910" i="25"/>
  <c r="W910" i="25"/>
  <c r="AA910" i="25"/>
  <c r="Z911" i="25"/>
  <c r="Y911" i="25"/>
  <c r="X911" i="25"/>
  <c r="V911" i="25"/>
  <c r="AB911" i="25"/>
  <c r="W911" i="25"/>
  <c r="AA905" i="25"/>
  <c r="Z905" i="25"/>
  <c r="AB905" i="25"/>
  <c r="Y905" i="25"/>
  <c r="X905" i="25"/>
  <c r="W905" i="25"/>
  <c r="D849" i="25"/>
  <c r="Z849" i="25"/>
  <c r="D907" i="25"/>
  <c r="Z907" i="25"/>
  <c r="Z513" i="25"/>
  <c r="D442" i="25"/>
  <c r="Y442" i="25"/>
  <c r="V849" i="25" l="1"/>
  <c r="X849" i="25"/>
  <c r="AB849" i="25"/>
  <c r="Y849" i="25"/>
  <c r="W849" i="25"/>
  <c r="AA849" i="25"/>
  <c r="X907" i="25"/>
  <c r="V907" i="25"/>
  <c r="W907" i="25"/>
  <c r="Y907" i="25"/>
  <c r="AB907" i="25"/>
  <c r="AA907" i="25"/>
  <c r="AB513" i="25"/>
  <c r="Y513" i="25"/>
  <c r="V513" i="25"/>
  <c r="X513" i="25"/>
  <c r="W513" i="25"/>
  <c r="AA513" i="25"/>
  <c r="X442" i="25"/>
  <c r="W442" i="25"/>
  <c r="V442" i="25"/>
  <c r="AB442" i="25"/>
  <c r="AA442" i="25"/>
  <c r="Z442" i="25"/>
  <c r="D222" i="25"/>
  <c r="D223" i="25"/>
  <c r="D224" i="25"/>
  <c r="Z222" i="25"/>
  <c r="W223" i="25"/>
  <c r="AA224" i="25"/>
  <c r="D225" i="25"/>
  <c r="D2961" i="25"/>
  <c r="Z2961" i="25"/>
  <c r="D2970" i="25"/>
  <c r="D2971" i="25"/>
  <c r="D2972" i="25"/>
  <c r="D2969" i="25"/>
  <c r="V2970" i="25"/>
  <c r="Y2971" i="25"/>
  <c r="X2972" i="25"/>
  <c r="D2008" i="25"/>
  <c r="Z2008" i="25"/>
  <c r="Y222" i="25" l="1"/>
  <c r="V223" i="25"/>
  <c r="AB224" i="25"/>
  <c r="AB225" i="25"/>
  <c r="AB223" i="25"/>
  <c r="Y224" i="25"/>
  <c r="W222" i="25"/>
  <c r="AB222" i="25"/>
  <c r="Y223" i="25"/>
  <c r="V224" i="25"/>
  <c r="X223" i="25"/>
  <c r="X222" i="25"/>
  <c r="AA223" i="25"/>
  <c r="X224" i="25"/>
  <c r="V222" i="25"/>
  <c r="AA222" i="25"/>
  <c r="Z224" i="25"/>
  <c r="Z223" i="25"/>
  <c r="W224" i="25"/>
  <c r="AA225" i="25"/>
  <c r="Z225" i="25"/>
  <c r="Y225" i="25"/>
  <c r="X225" i="25"/>
  <c r="W225" i="25"/>
  <c r="V225" i="25"/>
  <c r="AA2961" i="25"/>
  <c r="Y2961" i="25"/>
  <c r="X2961" i="25"/>
  <c r="W2961" i="25"/>
  <c r="V2961" i="25"/>
  <c r="AB2961" i="25"/>
  <c r="V2971" i="25"/>
  <c r="AA2971" i="25"/>
  <c r="AA2970" i="25"/>
  <c r="Y2970" i="25"/>
  <c r="X2971" i="25"/>
  <c r="AB2970" i="25"/>
  <c r="Z2972" i="25"/>
  <c r="X2970" i="25"/>
  <c r="Z2971" i="25"/>
  <c r="W2972" i="25"/>
  <c r="AB2972" i="25"/>
  <c r="Z2970" i="25"/>
  <c r="W2971" i="25"/>
  <c r="AB2971" i="25"/>
  <c r="Y2972" i="25"/>
  <c r="W2970" i="25"/>
  <c r="V2972" i="25"/>
  <c r="AA2972" i="25"/>
  <c r="X2008" i="25"/>
  <c r="W2008" i="25"/>
  <c r="AA2008" i="25"/>
  <c r="V2008" i="25"/>
  <c r="Y2008" i="25"/>
  <c r="AB2008" i="25"/>
  <c r="D947" i="25"/>
  <c r="Z947" i="25"/>
  <c r="D948" i="25"/>
  <c r="Z948" i="25"/>
  <c r="D858" i="25"/>
  <c r="Z858" i="25"/>
  <c r="D2999" i="25"/>
  <c r="Z2999" i="25"/>
  <c r="V947" i="25" l="1"/>
  <c r="AB947" i="25"/>
  <c r="W948" i="25"/>
  <c r="Y947" i="25"/>
  <c r="X947" i="25"/>
  <c r="W947" i="25"/>
  <c r="AA947" i="25"/>
  <c r="Y948" i="25"/>
  <c r="X948" i="25"/>
  <c r="V948" i="25"/>
  <c r="AB948" i="25"/>
  <c r="AA948" i="25"/>
  <c r="AA858" i="25"/>
  <c r="Y858" i="25"/>
  <c r="X858" i="25"/>
  <c r="V858" i="25"/>
  <c r="W858" i="25"/>
  <c r="AB858" i="25"/>
  <c r="Y2999" i="25"/>
  <c r="X2999" i="25"/>
  <c r="AA2999" i="25"/>
  <c r="W2999" i="25"/>
  <c r="V2999" i="25"/>
  <c r="AB2999" i="25"/>
  <c r="D94" i="25" l="1"/>
  <c r="Z94" i="25"/>
  <c r="D85" i="25"/>
  <c r="D86" i="25"/>
  <c r="D87" i="25"/>
  <c r="D88" i="25"/>
  <c r="D89" i="25"/>
  <c r="D90" i="25"/>
  <c r="D91" i="25"/>
  <c r="D92" i="25"/>
  <c r="D93" i="25"/>
  <c r="Z85" i="25"/>
  <c r="Y86" i="25"/>
  <c r="Y87" i="25"/>
  <c r="W88" i="25"/>
  <c r="V89" i="25"/>
  <c r="W90" i="25"/>
  <c r="AA92" i="25"/>
  <c r="W93" i="25"/>
  <c r="Y85" i="25" l="1"/>
  <c r="X85" i="25"/>
  <c r="V85" i="25"/>
  <c r="W85" i="25"/>
  <c r="AA85" i="25"/>
  <c r="AA94" i="25"/>
  <c r="Y94" i="25"/>
  <c r="W94" i="25"/>
  <c r="V94" i="25"/>
  <c r="AB94" i="25"/>
  <c r="X94" i="25"/>
  <c r="AB91" i="25"/>
  <c r="Z93" i="25"/>
  <c r="X93" i="25"/>
  <c r="V93" i="25"/>
  <c r="AB93" i="25"/>
  <c r="Y93" i="25"/>
  <c r="AA93" i="25"/>
  <c r="Z92" i="25"/>
  <c r="Y92" i="25"/>
  <c r="V92" i="25"/>
  <c r="X92" i="25"/>
  <c r="W92" i="25"/>
  <c r="AB92" i="25"/>
  <c r="AB90" i="25"/>
  <c r="Z90" i="25"/>
  <c r="X90" i="25"/>
  <c r="V90" i="25"/>
  <c r="AA90" i="25"/>
  <c r="Y90" i="25"/>
  <c r="AB88" i="25"/>
  <c r="X87" i="25"/>
  <c r="AB87" i="25"/>
  <c r="W87" i="25"/>
  <c r="Z87" i="25"/>
  <c r="AA87" i="25"/>
  <c r="V87" i="25"/>
  <c r="Z86" i="25"/>
  <c r="V86" i="25"/>
  <c r="AA86" i="25"/>
  <c r="W86" i="25"/>
  <c r="X86" i="25"/>
  <c r="AB86" i="25"/>
  <c r="AB85" i="25"/>
  <c r="AA91" i="25"/>
  <c r="V88" i="25"/>
  <c r="AB89" i="25"/>
  <c r="Z91" i="25"/>
  <c r="Z88" i="25"/>
  <c r="Y89" i="25"/>
  <c r="W91" i="25"/>
  <c r="Y88" i="25"/>
  <c r="X89" i="25"/>
  <c r="V91" i="25"/>
  <c r="AA89" i="25"/>
  <c r="Y91" i="25"/>
  <c r="AA88" i="25"/>
  <c r="X91" i="25"/>
  <c r="W89" i="25"/>
  <c r="Z89" i="25"/>
  <c r="X88" i="25"/>
  <c r="D29" i="25"/>
  <c r="D30" i="25"/>
  <c r="D31" i="25"/>
  <c r="D32" i="25"/>
  <c r="Z29" i="25"/>
  <c r="V30" i="25"/>
  <c r="V31" i="25"/>
  <c r="V32" i="25"/>
  <c r="D2958" i="25"/>
  <c r="Z2958" i="25"/>
  <c r="D2960" i="25"/>
  <c r="Z2960" i="25"/>
  <c r="Z2963" i="25"/>
  <c r="D423" i="25"/>
  <c r="D424" i="25"/>
  <c r="Z424" i="25"/>
  <c r="D422" i="25"/>
  <c r="V422" i="25"/>
  <c r="AA30" i="25" l="1"/>
  <c r="Y30" i="25"/>
  <c r="W30" i="25"/>
  <c r="Y31" i="25"/>
  <c r="W31" i="25"/>
  <c r="AA31" i="25"/>
  <c r="X29" i="25"/>
  <c r="AA32" i="25"/>
  <c r="Y32" i="25"/>
  <c r="W32" i="25"/>
  <c r="AA29" i="25"/>
  <c r="Y29" i="25"/>
  <c r="W29" i="25"/>
  <c r="AB31" i="25"/>
  <c r="Z31" i="25"/>
  <c r="X31" i="25"/>
  <c r="AB29" i="25"/>
  <c r="V29" i="25"/>
  <c r="AB32" i="25"/>
  <c r="Z32" i="25"/>
  <c r="X32" i="25"/>
  <c r="AB30" i="25"/>
  <c r="Z30" i="25"/>
  <c r="X30" i="25"/>
  <c r="AA2958" i="25"/>
  <c r="Y2958" i="25"/>
  <c r="X2958" i="25"/>
  <c r="W2958" i="25"/>
  <c r="V2958" i="25"/>
  <c r="AB2958" i="25"/>
  <c r="Y2960" i="25"/>
  <c r="X2960" i="25"/>
  <c r="W2960" i="25"/>
  <c r="V2960" i="25"/>
  <c r="AB2960" i="25"/>
  <c r="AA2960" i="25"/>
  <c r="Y2963" i="25"/>
  <c r="X2963" i="25"/>
  <c r="W2963" i="25"/>
  <c r="V2963" i="25"/>
  <c r="AB2963" i="25"/>
  <c r="AA2963" i="25"/>
  <c r="AB423" i="25"/>
  <c r="Z423" i="25"/>
  <c r="Y423" i="25"/>
  <c r="X423" i="25"/>
  <c r="AA423" i="25"/>
  <c r="W423" i="25"/>
  <c r="V423" i="25"/>
  <c r="W424" i="25"/>
  <c r="AA424" i="25"/>
  <c r="Y424" i="25"/>
  <c r="X424" i="25"/>
  <c r="V424" i="25"/>
  <c r="AB424" i="25"/>
  <c r="AB422" i="25"/>
  <c r="W422" i="25"/>
  <c r="AA422" i="25"/>
  <c r="Z422" i="25"/>
  <c r="Y422" i="25"/>
  <c r="X422" i="25"/>
  <c r="K16" i="51"/>
  <c r="K17" i="51" s="1"/>
  <c r="K3" i="51"/>
  <c r="K4" i="51" s="1"/>
  <c r="K5" i="51" l="1"/>
  <c r="K6" i="51" s="1"/>
  <c r="D397" i="25"/>
  <c r="Z397" i="25"/>
  <c r="Y2992" i="25"/>
  <c r="Z2993" i="25"/>
  <c r="Z2997" i="25"/>
  <c r="V3147" i="25"/>
  <c r="X3148" i="25"/>
  <c r="X3149" i="25"/>
  <c r="W3187" i="25"/>
  <c r="Z3189" i="25"/>
  <c r="V3192" i="25"/>
  <c r="V3193" i="25"/>
  <c r="Z3195" i="25"/>
  <c r="V3197" i="25"/>
  <c r="AA3199" i="25"/>
  <c r="V3200" i="25"/>
  <c r="Z3201" i="25"/>
  <c r="W3202" i="25"/>
  <c r="V3203" i="25"/>
  <c r="V3204" i="25"/>
  <c r="V3205" i="25"/>
  <c r="Y3615" i="25"/>
  <c r="Z3626" i="25"/>
  <c r="Z3627" i="25"/>
  <c r="Z3628" i="25"/>
  <c r="Y3629" i="25"/>
  <c r="Z3630" i="25"/>
  <c r="D2997" i="25"/>
  <c r="D2992" i="25"/>
  <c r="D2993" i="25"/>
  <c r="D3626" i="25"/>
  <c r="D3627" i="25"/>
  <c r="D3628" i="25"/>
  <c r="D3629" i="25"/>
  <c r="D3630" i="25"/>
  <c r="D3615" i="25"/>
  <c r="D3192" i="25"/>
  <c r="D3203" i="25"/>
  <c r="D3204" i="25"/>
  <c r="D3189" i="25"/>
  <c r="D3201" i="25"/>
  <c r="D3202" i="25"/>
  <c r="D3187" i="25"/>
  <c r="D3200" i="25"/>
  <c r="D3199" i="25"/>
  <c r="D3197" i="25"/>
  <c r="D3195" i="25"/>
  <c r="D3193" i="25"/>
  <c r="D3205" i="25"/>
  <c r="D3149" i="25"/>
  <c r="D3148" i="25"/>
  <c r="D3147" i="25"/>
  <c r="AA397" i="25" l="1"/>
  <c r="W397" i="25"/>
  <c r="V397" i="25"/>
  <c r="Y397" i="25"/>
  <c r="X397" i="25"/>
  <c r="AB397" i="25"/>
  <c r="AA2997" i="25"/>
  <c r="Y2997" i="25"/>
  <c r="W2997" i="25"/>
  <c r="X2997" i="25"/>
  <c r="V2997" i="25"/>
  <c r="AB2997" i="25"/>
  <c r="AA2992" i="25"/>
  <c r="Z2992" i="25"/>
  <c r="AB2992" i="25"/>
  <c r="X2992" i="25"/>
  <c r="W2992" i="25"/>
  <c r="V2992" i="25"/>
  <c r="AA2993" i="25"/>
  <c r="Y2993" i="25"/>
  <c r="X2993" i="25"/>
  <c r="W2993" i="25"/>
  <c r="V2993" i="25"/>
  <c r="AB2993" i="25"/>
  <c r="Y3627" i="25"/>
  <c r="AA3626" i="25"/>
  <c r="Y3626" i="25"/>
  <c r="W3626" i="25"/>
  <c r="V3626" i="25"/>
  <c r="W3627" i="25"/>
  <c r="X3626" i="25"/>
  <c r="AB3626" i="25"/>
  <c r="AA3627" i="25"/>
  <c r="X3627" i="25"/>
  <c r="V3627" i="25"/>
  <c r="AB3627" i="25"/>
  <c r="AA3628" i="25"/>
  <c r="Y3628" i="25"/>
  <c r="W3628" i="25"/>
  <c r="X3628" i="25"/>
  <c r="V3628" i="25"/>
  <c r="AB3628" i="25"/>
  <c r="AA3629" i="25"/>
  <c r="Z3629" i="25"/>
  <c r="AB3629" i="25"/>
  <c r="X3629" i="25"/>
  <c r="W3629" i="25"/>
  <c r="V3629" i="25"/>
  <c r="AA3630" i="25"/>
  <c r="Y3630" i="25"/>
  <c r="W3630" i="25"/>
  <c r="X3630" i="25"/>
  <c r="V3630" i="25"/>
  <c r="AB3630" i="25"/>
  <c r="AA3615" i="25"/>
  <c r="Z3615" i="25"/>
  <c r="AB3615" i="25"/>
  <c r="X3615" i="25"/>
  <c r="W3615" i="25"/>
  <c r="V3615" i="25"/>
  <c r="Z3193" i="25"/>
  <c r="V3199" i="25"/>
  <c r="Y3199" i="25"/>
  <c r="X3199" i="25"/>
  <c r="Z3199" i="25"/>
  <c r="W3199" i="25"/>
  <c r="AB3199" i="25"/>
  <c r="Y3193" i="25"/>
  <c r="AA3197" i="25"/>
  <c r="Z3197" i="25"/>
  <c r="Y3201" i="25"/>
  <c r="V3189" i="25"/>
  <c r="AB3189" i="25"/>
  <c r="X3205" i="25"/>
  <c r="Y3189" i="25"/>
  <c r="X3189" i="25"/>
  <c r="W3189" i="25"/>
  <c r="AA3193" i="25"/>
  <c r="Z3205" i="25"/>
  <c r="X3193" i="25"/>
  <c r="Y3197" i="25"/>
  <c r="Y3205" i="25"/>
  <c r="W3193" i="25"/>
  <c r="X3197" i="25"/>
  <c r="V3202" i="25"/>
  <c r="AA3205" i="25"/>
  <c r="W3201" i="25"/>
  <c r="Y3204" i="25"/>
  <c r="X3204" i="25"/>
  <c r="AB3204" i="25"/>
  <c r="V3187" i="25"/>
  <c r="Y3195" i="25"/>
  <c r="AB3187" i="25"/>
  <c r="V3201" i="25"/>
  <c r="AB3201" i="25"/>
  <c r="X3201" i="25"/>
  <c r="W3205" i="25"/>
  <c r="W3195" i="25"/>
  <c r="W3197" i="25"/>
  <c r="X3203" i="25"/>
  <c r="V3195" i="25"/>
  <c r="AA3187" i="25"/>
  <c r="AA3202" i="25"/>
  <c r="AA3201" i="25"/>
  <c r="AA3189" i="25"/>
  <c r="AA3204" i="25"/>
  <c r="W3204" i="25"/>
  <c r="X3195" i="25"/>
  <c r="AB3205" i="25"/>
  <c r="AB3193" i="25"/>
  <c r="AB3195" i="25"/>
  <c r="AB3197" i="25"/>
  <c r="Z3187" i="25"/>
  <c r="Z3202" i="25"/>
  <c r="AA3203" i="25"/>
  <c r="W3203" i="25"/>
  <c r="Y3187" i="25"/>
  <c r="Y3202" i="25"/>
  <c r="Z3204" i="25"/>
  <c r="AB3202" i="25"/>
  <c r="AA3195" i="25"/>
  <c r="X3187" i="25"/>
  <c r="X3202" i="25"/>
  <c r="Z3203" i="25"/>
  <c r="AB3203" i="25"/>
  <c r="Y3203" i="25"/>
  <c r="AA3200" i="25"/>
  <c r="AA3192" i="25"/>
  <c r="Z3200" i="25"/>
  <c r="Z3192" i="25"/>
  <c r="Y3200" i="25"/>
  <c r="Y3192" i="25"/>
  <c r="X3200" i="25"/>
  <c r="X3192" i="25"/>
  <c r="W3200" i="25"/>
  <c r="W3192" i="25"/>
  <c r="AB3200" i="25"/>
  <c r="AB3192" i="25"/>
  <c r="Z3149" i="25"/>
  <c r="Y3149" i="25"/>
  <c r="W3149" i="25"/>
  <c r="V3149" i="25"/>
  <c r="AB3149" i="25"/>
  <c r="AA3149" i="25"/>
  <c r="Y3148" i="25"/>
  <c r="W3148" i="25"/>
  <c r="AA3148" i="25"/>
  <c r="V3148" i="25"/>
  <c r="AB3148" i="25"/>
  <c r="Z3148" i="25"/>
  <c r="AA3147" i="25"/>
  <c r="Z3147" i="25"/>
  <c r="Y3147" i="25"/>
  <c r="AB3147" i="25"/>
  <c r="X3147" i="25"/>
  <c r="W3147" i="25"/>
  <c r="V2762" i="25" l="1"/>
  <c r="D2762" i="25"/>
  <c r="V2757" i="25"/>
  <c r="D2757" i="25"/>
  <c r="V2754" i="25"/>
  <c r="D2754" i="25"/>
  <c r="V2742" i="25"/>
  <c r="D2742" i="25"/>
  <c r="AA927" i="25"/>
  <c r="D927" i="25"/>
  <c r="E8" i="40"/>
  <c r="E7" i="40"/>
  <c r="E6" i="40"/>
  <c r="E5" i="40"/>
  <c r="E4" i="40"/>
  <c r="E3" i="40"/>
  <c r="D8" i="40"/>
  <c r="D7" i="40"/>
  <c r="D6" i="40"/>
  <c r="D5" i="40"/>
  <c r="D4" i="40"/>
  <c r="D3" i="40"/>
  <c r="C4" i="40"/>
  <c r="V746" i="25"/>
  <c r="V3665" i="25"/>
  <c r="Y744" i="25"/>
  <c r="V745" i="25"/>
  <c r="Y747" i="25"/>
  <c r="W748" i="25"/>
  <c r="V749" i="25"/>
  <c r="Z750" i="25"/>
  <c r="Y752" i="25"/>
  <c r="X753" i="25"/>
  <c r="Z754" i="25"/>
  <c r="W755" i="25"/>
  <c r="W756" i="25"/>
  <c r="Z757" i="25"/>
  <c r="V758" i="25"/>
  <c r="W760" i="25"/>
  <c r="V761" i="25"/>
  <c r="Z762" i="25"/>
  <c r="X763" i="25"/>
  <c r="X764" i="25"/>
  <c r="W765" i="25"/>
  <c r="V766" i="25"/>
  <c r="AA767" i="25"/>
  <c r="V768" i="25"/>
  <c r="Z769" i="25"/>
  <c r="W770" i="25"/>
  <c r="V771" i="25"/>
  <c r="Z772" i="25"/>
  <c r="AA773" i="25"/>
  <c r="AA774" i="25"/>
  <c r="W776" i="25"/>
  <c r="W777" i="25"/>
  <c r="W778" i="25"/>
  <c r="V779" i="25"/>
  <c r="Z780" i="25"/>
  <c r="Y781" i="25"/>
  <c r="Z782" i="25"/>
  <c r="W784" i="25"/>
  <c r="V785" i="25"/>
  <c r="W786" i="25"/>
  <c r="V787" i="25"/>
  <c r="Z788" i="25"/>
  <c r="W789" i="25"/>
  <c r="X790" i="25"/>
  <c r="Y792" i="25"/>
  <c r="X793" i="25"/>
  <c r="Z794" i="25"/>
  <c r="W795" i="25"/>
  <c r="Z796" i="25"/>
  <c r="W797" i="25"/>
  <c r="X798" i="25"/>
  <c r="V799" i="25"/>
  <c r="X800" i="25"/>
  <c r="V801" i="25"/>
  <c r="W802" i="25"/>
  <c r="V803" i="25"/>
  <c r="Y804" i="25"/>
  <c r="X805" i="25"/>
  <c r="W806" i="25"/>
  <c r="X808" i="25"/>
  <c r="V809" i="25"/>
  <c r="W810" i="25"/>
  <c r="AA811" i="25"/>
  <c r="V813" i="25"/>
  <c r="V814" i="25"/>
  <c r="AA816" i="25"/>
  <c r="Z817" i="25"/>
  <c r="W818" i="25"/>
  <c r="Z819" i="25"/>
  <c r="AA820" i="25"/>
  <c r="AA821" i="25"/>
  <c r="W822" i="25"/>
  <c r="X824" i="25"/>
  <c r="Z825" i="25"/>
  <c r="W826" i="25"/>
  <c r="V827" i="25"/>
  <c r="V828" i="25"/>
  <c r="W829" i="25"/>
  <c r="X830" i="25"/>
  <c r="Z831" i="25"/>
  <c r="V832" i="25"/>
  <c r="X833" i="25"/>
  <c r="W834" i="25"/>
  <c r="Y835" i="25"/>
  <c r="Z836" i="25"/>
  <c r="V837" i="25"/>
  <c r="D745" i="25"/>
  <c r="D746" i="25"/>
  <c r="D747" i="25"/>
  <c r="D748" i="25"/>
  <c r="D749" i="25"/>
  <c r="D750" i="25"/>
  <c r="D751" i="25"/>
  <c r="D752" i="25"/>
  <c r="D753" i="25"/>
  <c r="D754" i="25"/>
  <c r="D755" i="25"/>
  <c r="D756" i="25"/>
  <c r="D757" i="25"/>
  <c r="D758" i="25"/>
  <c r="D759" i="25"/>
  <c r="D760" i="25"/>
  <c r="D761" i="25"/>
  <c r="D762" i="25"/>
  <c r="D763" i="25"/>
  <c r="D764" i="25"/>
  <c r="D765" i="25"/>
  <c r="D766" i="25"/>
  <c r="D767" i="25"/>
  <c r="D768" i="25"/>
  <c r="D769" i="25"/>
  <c r="D770" i="25"/>
  <c r="D771" i="25"/>
  <c r="D772" i="25"/>
  <c r="D773" i="25"/>
  <c r="D774" i="25"/>
  <c r="D775" i="25"/>
  <c r="D776" i="25"/>
  <c r="D777" i="25"/>
  <c r="D778" i="25"/>
  <c r="D779" i="25"/>
  <c r="D780" i="25"/>
  <c r="D781" i="25"/>
  <c r="D782" i="25"/>
  <c r="D783" i="25"/>
  <c r="D784" i="25"/>
  <c r="D785" i="25"/>
  <c r="D786" i="25"/>
  <c r="D787" i="25"/>
  <c r="D788" i="25"/>
  <c r="D789" i="25"/>
  <c r="D790" i="25"/>
  <c r="D791" i="25"/>
  <c r="D792" i="25"/>
  <c r="D793" i="25"/>
  <c r="D794" i="25"/>
  <c r="D795" i="25"/>
  <c r="D796" i="25"/>
  <c r="D797" i="25"/>
  <c r="D798" i="25"/>
  <c r="D799" i="25"/>
  <c r="D800" i="25"/>
  <c r="D801" i="25"/>
  <c r="D802" i="25"/>
  <c r="D803" i="25"/>
  <c r="D804" i="25"/>
  <c r="D805" i="25"/>
  <c r="D806" i="25"/>
  <c r="D807" i="25"/>
  <c r="D808" i="25"/>
  <c r="D809" i="25"/>
  <c r="D810" i="25"/>
  <c r="D811" i="25"/>
  <c r="D812" i="25"/>
  <c r="D813" i="25"/>
  <c r="D814" i="25"/>
  <c r="D815" i="25"/>
  <c r="D816" i="25"/>
  <c r="D817" i="25"/>
  <c r="D818" i="25"/>
  <c r="D819" i="25"/>
  <c r="D820" i="25"/>
  <c r="D821" i="25"/>
  <c r="D822" i="25"/>
  <c r="D823" i="25"/>
  <c r="D824" i="25"/>
  <c r="D825" i="25"/>
  <c r="D826" i="25"/>
  <c r="D827" i="25"/>
  <c r="D828" i="25"/>
  <c r="D829" i="25"/>
  <c r="D830" i="25"/>
  <c r="D831" i="25"/>
  <c r="D832" i="25"/>
  <c r="D833" i="25"/>
  <c r="D834" i="25"/>
  <c r="D835" i="25"/>
  <c r="D836" i="25"/>
  <c r="D837" i="25"/>
  <c r="W762" i="25"/>
  <c r="V3664" i="25"/>
  <c r="V3663" i="25"/>
  <c r="V3662" i="25"/>
  <c r="V3661" i="25"/>
  <c r="V3660" i="25"/>
  <c r="V3659" i="25"/>
  <c r="V3657" i="25"/>
  <c r="V3656" i="25"/>
  <c r="V3655" i="25"/>
  <c r="V3654" i="25"/>
  <c r="V3653" i="25"/>
  <c r="V3652" i="25"/>
  <c r="V3651" i="25"/>
  <c r="V3649" i="25"/>
  <c r="V3648" i="25"/>
  <c r="V3647" i="25"/>
  <c r="V3646" i="25"/>
  <c r="V3645" i="25"/>
  <c r="V3644" i="25"/>
  <c r="V3643" i="25"/>
  <c r="V3641" i="25"/>
  <c r="V3640" i="25"/>
  <c r="V3639" i="25"/>
  <c r="V3638" i="25"/>
  <c r="V3637" i="25"/>
  <c r="V3636" i="25"/>
  <c r="V3635" i="25"/>
  <c r="V3633" i="25"/>
  <c r="V3632" i="25"/>
  <c r="V3631" i="25"/>
  <c r="V3625" i="25"/>
  <c r="V3624" i="25"/>
  <c r="V3623" i="25"/>
  <c r="V3622" i="25"/>
  <c r="V3621" i="25"/>
  <c r="V3620" i="25"/>
  <c r="V3619" i="25"/>
  <c r="V3618" i="25"/>
  <c r="V3617" i="25"/>
  <c r="V3616" i="25"/>
  <c r="V3614" i="25"/>
  <c r="V3612" i="25"/>
  <c r="V3611" i="25"/>
  <c r="V3610" i="25"/>
  <c r="V3609" i="25"/>
  <c r="V3608" i="25"/>
  <c r="V3607" i="25"/>
  <c r="V3606" i="25"/>
  <c r="V3604" i="25"/>
  <c r="V3603" i="25"/>
  <c r="V3602" i="25"/>
  <c r="V3601" i="25"/>
  <c r="V3600" i="25"/>
  <c r="V3599" i="25"/>
  <c r="V3598" i="25"/>
  <c r="V3596" i="25"/>
  <c r="V3595" i="25"/>
  <c r="V3594" i="25"/>
  <c r="V3593" i="25"/>
  <c r="V3592" i="25"/>
  <c r="V3591" i="25"/>
  <c r="V3590" i="25"/>
  <c r="V3588" i="25"/>
  <c r="V3587" i="25"/>
  <c r="V3586" i="25"/>
  <c r="V3585" i="25"/>
  <c r="V3584" i="25"/>
  <c r="V3583" i="25"/>
  <c r="V3582" i="25"/>
  <c r="V3580" i="25"/>
  <c r="V3579" i="25"/>
  <c r="V3578" i="25"/>
  <c r="V3577" i="25"/>
  <c r="V3576" i="25"/>
  <c r="V3575" i="25"/>
  <c r="V3574" i="25"/>
  <c r="V3572" i="25"/>
  <c r="V3571" i="25"/>
  <c r="V3570" i="25"/>
  <c r="V3569" i="25"/>
  <c r="V3568" i="25"/>
  <c r="V3567" i="25"/>
  <c r="V3566" i="25"/>
  <c r="V3564" i="25"/>
  <c r="V3563" i="25"/>
  <c r="V3562" i="25"/>
  <c r="V3561" i="25"/>
  <c r="V3560" i="25"/>
  <c r="V3559" i="25"/>
  <c r="V3558" i="25"/>
  <c r="V3556" i="25"/>
  <c r="V3555" i="25"/>
  <c r="V3554" i="25"/>
  <c r="V3553" i="25"/>
  <c r="V3552" i="25"/>
  <c r="V3551" i="25"/>
  <c r="V3550" i="25"/>
  <c r="V3548" i="25"/>
  <c r="V3547" i="25"/>
  <c r="V3546" i="25"/>
  <c r="V3545" i="25"/>
  <c r="V3544" i="25"/>
  <c r="V3543" i="25"/>
  <c r="V3542" i="25"/>
  <c r="V3540" i="25"/>
  <c r="V3539" i="25"/>
  <c r="V3538" i="25"/>
  <c r="V3537" i="25"/>
  <c r="V3536" i="25"/>
  <c r="V3535" i="25"/>
  <c r="V3534" i="25"/>
  <c r="V3532" i="25"/>
  <c r="V3531" i="25"/>
  <c r="V3530" i="25"/>
  <c r="V3529" i="25"/>
  <c r="V3528" i="25"/>
  <c r="V3527" i="25"/>
  <c r="V3526" i="25"/>
  <c r="V3524" i="25"/>
  <c r="X3522" i="25"/>
  <c r="X3521" i="25"/>
  <c r="Z3520" i="25"/>
  <c r="W3519" i="25"/>
  <c r="W3514" i="25"/>
  <c r="X3513" i="25"/>
  <c r="X3512" i="25"/>
  <c r="W3511" i="25"/>
  <c r="Z3510" i="25"/>
  <c r="W3509" i="25"/>
  <c r="W3506" i="25"/>
  <c r="Y3505" i="25"/>
  <c r="X3504" i="25"/>
  <c r="AA3503" i="25"/>
  <c r="W3502" i="25"/>
  <c r="Y3500" i="25"/>
  <c r="AA3498" i="25"/>
  <c r="X3497" i="25"/>
  <c r="X3496" i="25"/>
  <c r="X3495" i="25"/>
  <c r="W3494" i="25"/>
  <c r="Z3493" i="25"/>
  <c r="X3490" i="25"/>
  <c r="X3489" i="25"/>
  <c r="Z3488" i="25"/>
  <c r="W3487" i="25"/>
  <c r="W3482" i="25"/>
  <c r="X3481" i="25"/>
  <c r="X3480" i="25"/>
  <c r="W3479" i="25"/>
  <c r="Z3478" i="25"/>
  <c r="W3477" i="25"/>
  <c r="W3474" i="25"/>
  <c r="Y3473" i="25"/>
  <c r="X3472" i="25"/>
  <c r="AA3471" i="25"/>
  <c r="W3470" i="25"/>
  <c r="Y3468" i="25"/>
  <c r="AA3466" i="25"/>
  <c r="X3465" i="25"/>
  <c r="X3464" i="25"/>
  <c r="X3463" i="25"/>
  <c r="W3462" i="25"/>
  <c r="Z3461" i="25"/>
  <c r="X3458" i="25"/>
  <c r="X3457" i="25"/>
  <c r="Z3456" i="25"/>
  <c r="W3455" i="25"/>
  <c r="W3450" i="25"/>
  <c r="X3449" i="25"/>
  <c r="X3448" i="25"/>
  <c r="W3447" i="25"/>
  <c r="Z3446" i="25"/>
  <c r="W3445" i="25"/>
  <c r="W3442" i="25"/>
  <c r="Y3441" i="25"/>
  <c r="X3440" i="25"/>
  <c r="AA3439" i="25"/>
  <c r="W3438" i="25"/>
  <c r="Y3436" i="25"/>
  <c r="AA3434" i="25"/>
  <c r="X3433" i="25"/>
  <c r="X3432" i="25"/>
  <c r="X3431" i="25"/>
  <c r="W3430" i="25"/>
  <c r="Z3429" i="25"/>
  <c r="X3426" i="25"/>
  <c r="X3425" i="25"/>
  <c r="Z3424" i="25"/>
  <c r="W3423" i="25"/>
  <c r="W3418" i="25"/>
  <c r="X3417" i="25"/>
  <c r="X3416" i="25"/>
  <c r="W3415" i="25"/>
  <c r="Z3414" i="25"/>
  <c r="W3413" i="25"/>
  <c r="W3410" i="25"/>
  <c r="Y3409" i="25"/>
  <c r="X3408" i="25"/>
  <c r="AA3407" i="25"/>
  <c r="W3406" i="25"/>
  <c r="AA3402" i="25"/>
  <c r="X3401" i="25"/>
  <c r="Z3399" i="25"/>
  <c r="AA3394" i="25"/>
  <c r="X3393" i="25"/>
  <c r="AA3391" i="25"/>
  <c r="Y3388" i="25"/>
  <c r="AA3386" i="25"/>
  <c r="X3385" i="25"/>
  <c r="W3382" i="25"/>
  <c r="AA3378" i="25"/>
  <c r="Y3377" i="25"/>
  <c r="Z3375" i="25"/>
  <c r="W3374" i="25"/>
  <c r="AA3370" i="25"/>
  <c r="X3369" i="25"/>
  <c r="Z3367" i="25"/>
  <c r="AA3362" i="25"/>
  <c r="X3361" i="25"/>
  <c r="AA3359" i="25"/>
  <c r="Y3356" i="25"/>
  <c r="AA3354" i="25"/>
  <c r="X3353" i="25"/>
  <c r="W3350" i="25"/>
  <c r="AA3346" i="25"/>
  <c r="Y3345" i="25"/>
  <c r="Z3343" i="25"/>
  <c r="W3342" i="25"/>
  <c r="AA3338" i="25"/>
  <c r="X3337" i="25"/>
  <c r="Z3335" i="25"/>
  <c r="AA3330" i="25"/>
  <c r="X3329" i="25"/>
  <c r="AA3327" i="25"/>
  <c r="Y3324" i="25"/>
  <c r="AA3322" i="25"/>
  <c r="X3321" i="25"/>
  <c r="W3318" i="25"/>
  <c r="AA3314" i="25"/>
  <c r="Y3313" i="25"/>
  <c r="Z3311" i="25"/>
  <c r="W3310" i="25"/>
  <c r="AA3306" i="25"/>
  <c r="X3305" i="25"/>
  <c r="Z3303" i="25"/>
  <c r="AA3298" i="25"/>
  <c r="X3297" i="25"/>
  <c r="AA3295" i="25"/>
  <c r="Y3292" i="25"/>
  <c r="AA3290" i="25"/>
  <c r="X3289" i="25"/>
  <c r="W3286" i="25"/>
  <c r="AA3282" i="25"/>
  <c r="Y3281" i="25"/>
  <c r="Z3279" i="25"/>
  <c r="W3278" i="25"/>
  <c r="AA3274" i="25"/>
  <c r="X3273" i="25"/>
  <c r="Z3271" i="25"/>
  <c r="AA3266" i="25"/>
  <c r="X3265" i="25"/>
  <c r="AA3263" i="25"/>
  <c r="Y3260" i="25"/>
  <c r="AA3258" i="25"/>
  <c r="X3257" i="25"/>
  <c r="W3254" i="25"/>
  <c r="AA3250" i="25"/>
  <c r="Y3249" i="25"/>
  <c r="Z3247" i="25"/>
  <c r="W3246" i="25"/>
  <c r="AA3242" i="25"/>
  <c r="X3241" i="25"/>
  <c r="Z3239" i="25"/>
  <c r="AA3234" i="25"/>
  <c r="X3233" i="25"/>
  <c r="AA3230" i="25"/>
  <c r="Y3227" i="25"/>
  <c r="AA3225" i="25"/>
  <c r="X3224" i="25"/>
  <c r="W3221" i="25"/>
  <c r="AA3217" i="25"/>
  <c r="Y3216" i="25"/>
  <c r="Z3214" i="25"/>
  <c r="W3213" i="25"/>
  <c r="AA3209" i="25"/>
  <c r="X3208" i="25"/>
  <c r="Z3206" i="25"/>
  <c r="AA3190" i="25"/>
  <c r="X3188" i="25"/>
  <c r="AA3185" i="25"/>
  <c r="X3179" i="25"/>
  <c r="X3177" i="25"/>
  <c r="AA3172" i="25"/>
  <c r="Z3170" i="25"/>
  <c r="X3164" i="25"/>
  <c r="W3162" i="25"/>
  <c r="Z3155" i="25"/>
  <c r="Z3153" i="25"/>
  <c r="X3144" i="25"/>
  <c r="W3142" i="25"/>
  <c r="AA3137" i="25"/>
  <c r="Z3135" i="25"/>
  <c r="Y3133" i="25"/>
  <c r="X3129" i="25"/>
  <c r="W3127" i="25"/>
  <c r="W3125" i="25"/>
  <c r="AA3120" i="25"/>
  <c r="Z3118" i="25"/>
  <c r="Z3116" i="25"/>
  <c r="Y3112" i="25"/>
  <c r="W3110" i="25"/>
  <c r="W3108" i="25"/>
  <c r="AA3105" i="25"/>
  <c r="Y3101" i="25"/>
  <c r="X3097" i="25"/>
  <c r="W3093" i="25"/>
  <c r="Z3088" i="25"/>
  <c r="Y3084" i="25"/>
  <c r="X3080" i="25"/>
  <c r="AA3075" i="25"/>
  <c r="AA3073" i="25"/>
  <c r="Z3071" i="25"/>
  <c r="W3063" i="25"/>
  <c r="W3061" i="25"/>
  <c r="Z3056" i="25"/>
  <c r="W3046" i="25"/>
  <c r="AA3041" i="25"/>
  <c r="Z3039" i="25"/>
  <c r="X3033" i="25"/>
  <c r="W3029" i="25"/>
  <c r="Z3024" i="25"/>
  <c r="Z3022" i="25"/>
  <c r="AA3011" i="25"/>
  <c r="AA3009" i="25"/>
  <c r="Z3007" i="25"/>
  <c r="X3001" i="25"/>
  <c r="Z2988" i="25"/>
  <c r="X2986" i="25"/>
  <c r="X2981" i="25"/>
  <c r="X2940" i="25"/>
  <c r="W2921" i="25"/>
  <c r="Z2914" i="25"/>
  <c r="X2908" i="25"/>
  <c r="W2889" i="25"/>
  <c r="Z2882" i="25"/>
  <c r="X2876" i="25"/>
  <c r="Y2831" i="25"/>
  <c r="W2825" i="25"/>
  <c r="Z2818" i="25"/>
  <c r="X2812" i="25"/>
  <c r="W2785" i="25"/>
  <c r="Y2776" i="25"/>
  <c r="W2768" i="25"/>
  <c r="AA2752" i="25"/>
  <c r="AA2682" i="25"/>
  <c r="AA2631" i="25"/>
  <c r="X2606" i="25"/>
  <c r="Z2511" i="25"/>
  <c r="Z2346" i="25"/>
  <c r="Y2268" i="25"/>
  <c r="Y1941" i="25"/>
  <c r="AB43" i="25"/>
  <c r="AB63" i="25"/>
  <c r="AB67" i="25"/>
  <c r="AB71" i="25"/>
  <c r="AB75" i="25"/>
  <c r="AB109" i="25"/>
  <c r="AB113" i="25"/>
  <c r="AB117" i="25"/>
  <c r="AB129" i="25"/>
  <c r="AB133" i="25"/>
  <c r="AB137" i="25"/>
  <c r="AB141" i="25"/>
  <c r="AB145" i="25"/>
  <c r="AB153" i="25"/>
  <c r="AB157" i="25"/>
  <c r="AB165" i="25"/>
  <c r="AB169" i="25"/>
  <c r="AB173" i="25"/>
  <c r="AB181" i="25"/>
  <c r="AB185" i="25"/>
  <c r="AB193" i="25"/>
  <c r="AB197" i="25"/>
  <c r="AB201" i="25"/>
  <c r="AB205" i="25"/>
  <c r="AB209" i="25"/>
  <c r="AB213" i="25"/>
  <c r="AB217" i="25"/>
  <c r="AB221" i="25"/>
  <c r="AB229" i="25"/>
  <c r="AB233" i="25"/>
  <c r="AB241" i="25"/>
  <c r="AB245" i="25"/>
  <c r="AB249" i="25"/>
  <c r="AB257" i="25"/>
  <c r="AB261" i="25"/>
  <c r="AB265" i="25"/>
  <c r="AB269" i="25"/>
  <c r="AB273" i="25"/>
  <c r="AB277" i="25"/>
  <c r="AB281" i="25"/>
  <c r="AB285" i="25"/>
  <c r="AB289" i="25"/>
  <c r="AB293" i="25"/>
  <c r="AB297" i="25"/>
  <c r="AB301" i="25"/>
  <c r="AB305" i="25"/>
  <c r="AB313" i="25"/>
  <c r="AB317" i="25"/>
  <c r="AB321" i="25"/>
  <c r="AB325" i="25"/>
  <c r="AB329" i="25"/>
  <c r="AB337" i="25"/>
  <c r="AB341" i="25"/>
  <c r="AB345" i="25"/>
  <c r="AB349" i="25"/>
  <c r="AB353" i="25"/>
  <c r="AB357" i="25"/>
  <c r="AB361" i="25"/>
  <c r="AB369" i="25"/>
  <c r="AB373" i="25"/>
  <c r="AB377" i="25"/>
  <c r="AB381" i="25"/>
  <c r="AB385" i="25"/>
  <c r="AB389" i="25"/>
  <c r="AB393" i="25"/>
  <c r="AB398" i="25"/>
  <c r="AB402" i="25"/>
  <c r="AB406" i="25"/>
  <c r="AB410" i="25"/>
  <c r="AB414" i="25"/>
  <c r="AB418" i="25"/>
  <c r="AB425" i="25"/>
  <c r="AB429" i="25"/>
  <c r="AB433" i="25"/>
  <c r="AB437" i="25"/>
  <c r="AB441" i="25"/>
  <c r="AB446" i="25"/>
  <c r="AB450" i="25"/>
  <c r="AB454" i="25"/>
  <c r="AB458" i="25"/>
  <c r="AB462" i="25"/>
  <c r="AB466" i="25"/>
  <c r="AB470" i="25"/>
  <c r="AB474" i="25"/>
  <c r="AB478" i="25"/>
  <c r="AB482" i="25"/>
  <c r="AB486" i="25"/>
  <c r="AB490" i="25"/>
  <c r="AB494" i="25"/>
  <c r="AB498" i="25"/>
  <c r="AB502" i="25"/>
  <c r="AB506" i="25"/>
  <c r="AB510" i="25"/>
  <c r="AB515" i="25"/>
  <c r="AB519" i="25"/>
  <c r="AB523" i="25"/>
  <c r="AB527" i="25"/>
  <c r="AB531" i="25"/>
  <c r="AB535" i="25"/>
  <c r="AB539" i="25"/>
  <c r="AB543" i="25"/>
  <c r="AB547" i="25"/>
  <c r="AB551" i="25"/>
  <c r="AB555" i="25"/>
  <c r="AB559" i="25"/>
  <c r="AB567" i="25"/>
  <c r="AB571" i="25"/>
  <c r="AB575" i="25"/>
  <c r="AB579" i="25"/>
  <c r="AB583" i="25"/>
  <c r="AB587" i="25"/>
  <c r="AB591" i="25"/>
  <c r="AB599" i="25"/>
  <c r="AB603" i="25"/>
  <c r="AB607" i="25"/>
  <c r="AB611" i="25"/>
  <c r="AB615" i="25"/>
  <c r="AB619" i="25"/>
  <c r="AB623" i="25"/>
  <c r="AB627" i="25"/>
  <c r="AB635" i="25"/>
  <c r="AB639" i="25"/>
  <c r="AB643" i="25"/>
  <c r="AB647" i="25"/>
  <c r="AB651" i="25"/>
  <c r="AB655" i="25"/>
  <c r="AB659" i="25"/>
  <c r="AB663" i="25"/>
  <c r="AB667" i="25"/>
  <c r="AB671" i="25"/>
  <c r="AB675" i="25"/>
  <c r="AB679" i="25"/>
  <c r="AB683" i="25"/>
  <c r="AB687" i="25"/>
  <c r="AB691" i="25"/>
  <c r="AB695" i="25"/>
  <c r="AB699" i="25"/>
  <c r="AB703" i="25"/>
  <c r="AB707" i="25"/>
  <c r="AB711" i="25"/>
  <c r="AB715" i="25"/>
  <c r="AB719" i="25"/>
  <c r="AB723" i="25"/>
  <c r="AB727" i="25"/>
  <c r="AB731" i="25"/>
  <c r="AB735" i="25"/>
  <c r="AB739" i="25"/>
  <c r="AB743" i="25"/>
  <c r="AB841" i="25"/>
  <c r="AB845" i="25"/>
  <c r="AB850" i="25"/>
  <c r="AB857" i="25"/>
  <c r="AB862" i="25"/>
  <c r="AB866" i="25"/>
  <c r="AB870" i="25"/>
  <c r="AB874" i="25"/>
  <c r="AB878" i="25"/>
  <c r="AB886" i="25"/>
  <c r="AB890" i="25"/>
  <c r="AB894" i="25"/>
  <c r="AB898" i="25"/>
  <c r="AB902" i="25"/>
  <c r="AB908" i="25"/>
  <c r="AB915" i="25"/>
  <c r="AB919" i="25"/>
  <c r="AB928" i="25"/>
  <c r="AB1811" i="25"/>
  <c r="AB1819" i="25"/>
  <c r="AB1827" i="25"/>
  <c r="AB1835" i="25"/>
  <c r="AB1843" i="25"/>
  <c r="AB1851" i="25"/>
  <c r="AB1859" i="25"/>
  <c r="AB1867" i="25"/>
  <c r="AB1875" i="25"/>
  <c r="AB1883" i="25"/>
  <c r="AB1891" i="25"/>
  <c r="AB1899" i="25"/>
  <c r="AB1907" i="25"/>
  <c r="AB1915" i="25"/>
  <c r="AB1923" i="25"/>
  <c r="AB1931" i="25"/>
  <c r="AB1939" i="25"/>
  <c r="AB1947" i="25"/>
  <c r="AB1955" i="25"/>
  <c r="AB1963" i="25"/>
  <c r="AB1971" i="25"/>
  <c r="AB1979" i="25"/>
  <c r="AB1987" i="25"/>
  <c r="AB1995" i="25"/>
  <c r="AB2003" i="25"/>
  <c r="AB2012" i="25"/>
  <c r="AB2016" i="25"/>
  <c r="AB2020" i="25"/>
  <c r="AB2024" i="25"/>
  <c r="AB2028" i="25"/>
  <c r="AB2052" i="25"/>
  <c r="AB2060" i="25"/>
  <c r="AB2068" i="25"/>
  <c r="AB2076" i="25"/>
  <c r="AB2084" i="25"/>
  <c r="AB2092" i="25"/>
  <c r="AB2100" i="25"/>
  <c r="AB2108" i="25"/>
  <c r="AB2116" i="25"/>
  <c r="AB2124" i="25"/>
  <c r="AB2132" i="25"/>
  <c r="AB2140" i="25"/>
  <c r="AB2148" i="25"/>
  <c r="AB2156" i="25"/>
  <c r="AB2164" i="25"/>
  <c r="AB2172" i="25"/>
  <c r="AB2180" i="25"/>
  <c r="AB2188" i="25"/>
  <c r="AB2196" i="25"/>
  <c r="AB2204" i="25"/>
  <c r="AB2212" i="25"/>
  <c r="AB2220" i="25"/>
  <c r="AB2228" i="25"/>
  <c r="AB2236" i="25"/>
  <c r="AB2244" i="25"/>
  <c r="AB2252" i="25"/>
  <c r="AB2260" i="25"/>
  <c r="AB2268" i="25"/>
  <c r="AB2276" i="25"/>
  <c r="AB2284" i="25"/>
  <c r="AB2292" i="25"/>
  <c r="AB2300" i="25"/>
  <c r="AB2308" i="25"/>
  <c r="AB2316" i="25"/>
  <c r="AB2324" i="25"/>
  <c r="AB2332" i="25"/>
  <c r="AB2340" i="25"/>
  <c r="AB2348" i="25"/>
  <c r="AB2356" i="25"/>
  <c r="AB2364" i="25"/>
  <c r="AB2372" i="25"/>
  <c r="AB2380" i="25"/>
  <c r="AB2388" i="25"/>
  <c r="AB2395" i="25"/>
  <c r="AB2396" i="25"/>
  <c r="AB2403" i="25"/>
  <c r="AB2404" i="25"/>
  <c r="AB2412" i="25"/>
  <c r="AB2419" i="25"/>
  <c r="AB2420" i="25"/>
  <c r="AB2427" i="25"/>
  <c r="AB2428" i="25"/>
  <c r="AB2435" i="25"/>
  <c r="AB2436" i="25"/>
  <c r="AB2443" i="25"/>
  <c r="AB2444" i="25"/>
  <c r="AB2451" i="25"/>
  <c r="AB2452" i="25"/>
  <c r="AB2459" i="25"/>
  <c r="AB2460" i="25"/>
  <c r="AB2467" i="25"/>
  <c r="AB2468" i="25"/>
  <c r="AB2475" i="25"/>
  <c r="AB2476" i="25"/>
  <c r="AB2483" i="25"/>
  <c r="AB2484" i="25"/>
  <c r="AB2491" i="25"/>
  <c r="AB2492" i="25"/>
  <c r="AB2499" i="25"/>
  <c r="AB2500" i="25"/>
  <c r="AB2507" i="25"/>
  <c r="AB2508" i="25"/>
  <c r="AB2515" i="25"/>
  <c r="AB2516" i="25"/>
  <c r="AB2523" i="25"/>
  <c r="AB2524" i="25"/>
  <c r="AB2531" i="25"/>
  <c r="AB2532" i="25"/>
  <c r="AB2539" i="25"/>
  <c r="AB2540" i="25"/>
  <c r="AB2547" i="25"/>
  <c r="AB2548" i="25"/>
  <c r="AB2555" i="25"/>
  <c r="AB2556" i="25"/>
  <c r="AB2563" i="25"/>
  <c r="AB2564" i="25"/>
  <c r="AB2571" i="25"/>
  <c r="AB2572" i="25"/>
  <c r="AB2579" i="25"/>
  <c r="AB2580" i="25"/>
  <c r="AB2587" i="25"/>
  <c r="AB2588" i="25"/>
  <c r="AB2595" i="25"/>
  <c r="AB2596" i="25"/>
  <c r="AB2603" i="25"/>
  <c r="AB2604" i="25"/>
  <c r="AB2611" i="25"/>
  <c r="AB2612" i="25"/>
  <c r="AB2619" i="25"/>
  <c r="AB2620" i="25"/>
  <c r="AB2627" i="25"/>
  <c r="AB2628" i="25"/>
  <c r="AB2635" i="25"/>
  <c r="AB2636" i="25"/>
  <c r="AB2643" i="25"/>
  <c r="AB2644" i="25"/>
  <c r="AB2651" i="25"/>
  <c r="AB2652" i="25"/>
  <c r="AB2659" i="25"/>
  <c r="AB2660" i="25"/>
  <c r="AB2667" i="25"/>
  <c r="AB2668" i="25"/>
  <c r="AB2675" i="25"/>
  <c r="AB2676" i="25"/>
  <c r="AB2683" i="25"/>
  <c r="AB2684" i="25"/>
  <c r="AB2691" i="25"/>
  <c r="AB2692" i="25"/>
  <c r="AB2699" i="25"/>
  <c r="AB2700" i="25"/>
  <c r="AB2707" i="25"/>
  <c r="AB2708" i="25"/>
  <c r="AB2715" i="25"/>
  <c r="AB2716" i="25"/>
  <c r="AB2723" i="25"/>
  <c r="AB2724" i="25"/>
  <c r="AB2731" i="25"/>
  <c r="AB2732" i="25"/>
  <c r="AB2739" i="25"/>
  <c r="AB2740" i="25"/>
  <c r="AB2748" i="25"/>
  <c r="AB2749" i="25"/>
  <c r="AB2758" i="25"/>
  <c r="AB2759" i="25"/>
  <c r="AB2767" i="25"/>
  <c r="AB2768" i="25"/>
  <c r="AB2775" i="25"/>
  <c r="AB2776" i="25"/>
  <c r="AB2783" i="25"/>
  <c r="AB2784" i="25"/>
  <c r="AB2791" i="25"/>
  <c r="AB2792" i="25"/>
  <c r="AB2799" i="25"/>
  <c r="AB2800" i="25"/>
  <c r="AB2807" i="25"/>
  <c r="AB2808" i="25"/>
  <c r="AB2815" i="25"/>
  <c r="AB2816" i="25"/>
  <c r="AB2823" i="25"/>
  <c r="AB2824" i="25"/>
  <c r="AB2831" i="25"/>
  <c r="AB2832" i="25"/>
  <c r="AB2839" i="25"/>
  <c r="AB2840" i="25"/>
  <c r="AB2847" i="25"/>
  <c r="AB2848" i="25"/>
  <c r="AB2855" i="25"/>
  <c r="AB2856" i="25"/>
  <c r="AB2863" i="25"/>
  <c r="AB2864" i="25"/>
  <c r="AB2871" i="25"/>
  <c r="AB2872" i="25"/>
  <c r="AB2879" i="25"/>
  <c r="AB2880" i="25"/>
  <c r="AB2887" i="25"/>
  <c r="AB2888" i="25"/>
  <c r="AB2895" i="25"/>
  <c r="AB2896" i="25"/>
  <c r="AB2903" i="25"/>
  <c r="AB2904" i="25"/>
  <c r="AB2911" i="25"/>
  <c r="AB2912" i="25"/>
  <c r="AB2919" i="25"/>
  <c r="AB2920" i="25"/>
  <c r="AB2927" i="25"/>
  <c r="AB2928" i="25"/>
  <c r="AB2935" i="25"/>
  <c r="AB2936" i="25"/>
  <c r="AB2943" i="25"/>
  <c r="AB2944" i="25"/>
  <c r="AB2951" i="25"/>
  <c r="AB2952" i="25"/>
  <c r="AB2965" i="25"/>
  <c r="AB2966" i="25"/>
  <c r="AB2976" i="25"/>
  <c r="AB2977" i="25"/>
  <c r="AB2984" i="25"/>
  <c r="AB2985" i="25"/>
  <c r="AB2994" i="25"/>
  <c r="AB2995" i="25"/>
  <c r="AB3004" i="25"/>
  <c r="AB3005" i="25"/>
  <c r="AB3012" i="25"/>
  <c r="AB3013" i="25"/>
  <c r="AB3020" i="25"/>
  <c r="AB3021" i="25"/>
  <c r="AB3028" i="25"/>
  <c r="AB3029" i="25"/>
  <c r="AB3036" i="25"/>
  <c r="AB3037" i="25"/>
  <c r="AB3044" i="25"/>
  <c r="AB3045" i="25"/>
  <c r="AB3052" i="25"/>
  <c r="AB3053" i="25"/>
  <c r="AB3060" i="25"/>
  <c r="AB3061" i="25"/>
  <c r="AB3068" i="25"/>
  <c r="AB3069" i="25"/>
  <c r="AB3076" i="25"/>
  <c r="AB3077" i="25"/>
  <c r="AB3080" i="25"/>
  <c r="AB3084" i="25"/>
  <c r="AB3085" i="25"/>
  <c r="AB3092" i="25"/>
  <c r="AB3093" i="25"/>
  <c r="AB3096" i="25"/>
  <c r="AB3100" i="25"/>
  <c r="AB3101" i="25"/>
  <c r="AB3104" i="25"/>
  <c r="AB3108" i="25"/>
  <c r="AB3109" i="25"/>
  <c r="AB3112" i="25"/>
  <c r="AB3116" i="25"/>
  <c r="AB3117" i="25"/>
  <c r="AB3120" i="25"/>
  <c r="AB3124" i="25"/>
  <c r="AB3125" i="25"/>
  <c r="AB3128" i="25"/>
  <c r="AB3132" i="25"/>
  <c r="AB3133" i="25"/>
  <c r="AB3136" i="25"/>
  <c r="AB3140" i="25"/>
  <c r="AB3141" i="25"/>
  <c r="AB3144" i="25"/>
  <c r="AB3151" i="25"/>
  <c r="AB3152" i="25"/>
  <c r="AB3155" i="25"/>
  <c r="AB3159" i="25"/>
  <c r="AB3160" i="25"/>
  <c r="AB3163" i="25"/>
  <c r="AB3167" i="25"/>
  <c r="AB3168" i="25"/>
  <c r="AB3171" i="25"/>
  <c r="AB3175" i="25"/>
  <c r="AB3176" i="25"/>
  <c r="AB3179" i="25"/>
  <c r="AB3183" i="25"/>
  <c r="AB3184" i="25"/>
  <c r="AB3188" i="25"/>
  <c r="AB3191" i="25"/>
  <c r="AB3196" i="25"/>
  <c r="AB3198" i="25"/>
  <c r="AB3210" i="25"/>
  <c r="AB3212" i="25"/>
  <c r="AB3218" i="25"/>
  <c r="AB3220" i="25"/>
  <c r="AB3226" i="25"/>
  <c r="AB3228" i="25"/>
  <c r="AB3235" i="25"/>
  <c r="AB3237" i="25"/>
  <c r="AB3243" i="25"/>
  <c r="AB3245" i="25"/>
  <c r="AB3251" i="25"/>
  <c r="AB3253" i="25"/>
  <c r="AB3259" i="25"/>
  <c r="AB3261" i="25"/>
  <c r="AB3267" i="25"/>
  <c r="AB3269" i="25"/>
  <c r="AB3275" i="25"/>
  <c r="AB3277" i="25"/>
  <c r="AB3283" i="25"/>
  <c r="AB3285" i="25"/>
  <c r="AB3291" i="25"/>
  <c r="AB3293" i="25"/>
  <c r="AB3299" i="25"/>
  <c r="AB3301" i="25"/>
  <c r="AB3307" i="25"/>
  <c r="AB3309" i="25"/>
  <c r="AB3315" i="25"/>
  <c r="AB3317" i="25"/>
  <c r="AB3323" i="25"/>
  <c r="AB3325" i="25"/>
  <c r="AB3331" i="25"/>
  <c r="AB3333" i="25"/>
  <c r="AB3339" i="25"/>
  <c r="AB3341" i="25"/>
  <c r="AB3347" i="25"/>
  <c r="AB3349" i="25"/>
  <c r="AB3355" i="25"/>
  <c r="AB3357" i="25"/>
  <c r="AB3363" i="25"/>
  <c r="AB3365" i="25"/>
  <c r="AB3371" i="25"/>
  <c r="AB3373" i="25"/>
  <c r="AB3379" i="25"/>
  <c r="AB3381" i="25"/>
  <c r="AB3387" i="25"/>
  <c r="AB3389" i="25"/>
  <c r="AB3395" i="25"/>
  <c r="AB3397" i="25"/>
  <c r="AB3403" i="25"/>
  <c r="AB3405" i="25"/>
  <c r="AB3411" i="25"/>
  <c r="AB3413" i="25"/>
  <c r="AB3419" i="25"/>
  <c r="AB3421" i="25"/>
  <c r="AB3427" i="25"/>
  <c r="AB3429" i="25"/>
  <c r="AB3435" i="25"/>
  <c r="AB3437" i="25"/>
  <c r="AB3443" i="25"/>
  <c r="AB3445" i="25"/>
  <c r="AB3451" i="25"/>
  <c r="AB3453" i="25"/>
  <c r="AB3459" i="25"/>
  <c r="AB3461" i="25"/>
  <c r="AB3467" i="25"/>
  <c r="AB3469" i="25"/>
  <c r="AB3475" i="25"/>
  <c r="AB3477" i="25"/>
  <c r="AB3483" i="25"/>
  <c r="AB3485" i="25"/>
  <c r="AB3491" i="25"/>
  <c r="AB3493" i="25"/>
  <c r="AB3499" i="25"/>
  <c r="AB3501" i="25"/>
  <c r="AB3507" i="25"/>
  <c r="AB3509" i="25"/>
  <c r="AB3515" i="25"/>
  <c r="AB3517" i="25"/>
  <c r="AB3523" i="25"/>
  <c r="AB3525" i="25"/>
  <c r="AB3531" i="25"/>
  <c r="AB3533" i="25"/>
  <c r="AB3539" i="25"/>
  <c r="AB3541" i="25"/>
  <c r="AB3547" i="25"/>
  <c r="AB3549" i="25"/>
  <c r="AB3555" i="25"/>
  <c r="AB3557" i="25"/>
  <c r="AB3563" i="25"/>
  <c r="AB3565" i="25"/>
  <c r="AB3571" i="25"/>
  <c r="AB3573" i="25"/>
  <c r="AB3579" i="25"/>
  <c r="AB3581" i="25"/>
  <c r="AB3587" i="25"/>
  <c r="AB3589" i="25"/>
  <c r="AB3595" i="25"/>
  <c r="AB3597" i="25"/>
  <c r="AB3603" i="25"/>
  <c r="AB3605" i="25"/>
  <c r="AB3611" i="25"/>
  <c r="AB3613" i="25"/>
  <c r="AB3620" i="25"/>
  <c r="AB3632" i="25"/>
  <c r="AB3634" i="25"/>
  <c r="AB3640" i="25"/>
  <c r="AB3642" i="25"/>
  <c r="AB3648" i="25"/>
  <c r="AB3650" i="25"/>
  <c r="AB3656" i="25"/>
  <c r="AB3658" i="25"/>
  <c r="AB3664" i="25"/>
  <c r="AB823" i="25"/>
  <c r="AB826" i="25"/>
  <c r="AB827" i="25"/>
  <c r="AB819" i="25"/>
  <c r="AB762" i="25"/>
  <c r="AB763" i="25"/>
  <c r="AB747" i="25"/>
  <c r="AB754" i="25"/>
  <c r="AB745" i="25"/>
  <c r="AB746" i="25"/>
  <c r="AB755" i="25"/>
  <c r="AB786" i="25"/>
  <c r="AB787" i="25"/>
  <c r="AB794" i="25"/>
  <c r="AB795" i="25"/>
  <c r="AB778" i="25"/>
  <c r="AB779" i="25"/>
  <c r="AB810" i="25"/>
  <c r="AB811" i="25"/>
  <c r="AB818" i="25"/>
  <c r="AB802" i="25"/>
  <c r="AB803" i="25"/>
  <c r="AB813" i="25"/>
  <c r="AB772" i="25"/>
  <c r="AB771" i="25"/>
  <c r="AB770" i="25"/>
  <c r="AB835" i="25"/>
  <c r="AB834" i="25"/>
  <c r="AB829" i="25"/>
  <c r="D744" i="25"/>
  <c r="AB1803" i="25" l="1"/>
  <c r="AB1795" i="25"/>
  <c r="AB1787" i="25"/>
  <c r="AB1779" i="25"/>
  <c r="AB1771" i="25"/>
  <c r="AB1763" i="25"/>
  <c r="AB1755" i="25"/>
  <c r="AB1747" i="25"/>
  <c r="AB1739" i="25"/>
  <c r="AB1731" i="25"/>
  <c r="AB1723" i="25"/>
  <c r="AB1715" i="25"/>
  <c r="AB1707" i="25"/>
  <c r="AB1699" i="25"/>
  <c r="AB1691" i="25"/>
  <c r="AB1683" i="25"/>
  <c r="AB1675" i="25"/>
  <c r="AB1667" i="25"/>
  <c r="AB1659" i="25"/>
  <c r="AB1651" i="25"/>
  <c r="AB1643" i="25"/>
  <c r="AB1635" i="25"/>
  <c r="AB1627" i="25"/>
  <c r="AB1619" i="25"/>
  <c r="AB1611" i="25"/>
  <c r="AB1603" i="25"/>
  <c r="AB1595" i="25"/>
  <c r="AB1587" i="25"/>
  <c r="AB1579" i="25"/>
  <c r="AB1571" i="25"/>
  <c r="AB1563" i="25"/>
  <c r="AB1555" i="25"/>
  <c r="AB1547" i="25"/>
  <c r="AB1539" i="25"/>
  <c r="AB1531" i="25"/>
  <c r="AB1523" i="25"/>
  <c r="AB1515" i="25"/>
  <c r="AB1507" i="25"/>
  <c r="AB1499" i="25"/>
  <c r="AB1491" i="25"/>
  <c r="AB1483" i="25"/>
  <c r="AB1475" i="25"/>
  <c r="AB1467" i="25"/>
  <c r="AB1459" i="25"/>
  <c r="AB1451" i="25"/>
  <c r="AB1443" i="25"/>
  <c r="AB1435" i="25"/>
  <c r="AB1427" i="25"/>
  <c r="AB1419" i="25"/>
  <c r="AB1411" i="25"/>
  <c r="AB1403" i="25"/>
  <c r="AB1395" i="25"/>
  <c r="AB1387" i="25"/>
  <c r="AB1379" i="25"/>
  <c r="AB1371" i="25"/>
  <c r="AB1363" i="25"/>
  <c r="AB1355" i="25"/>
  <c r="AB807" i="25"/>
  <c r="AB808" i="25"/>
  <c r="AB800" i="25"/>
  <c r="AB792" i="25"/>
  <c r="AB784" i="25"/>
  <c r="AB776" i="25"/>
  <c r="AB768" i="25"/>
  <c r="AB760" i="25"/>
  <c r="AB752" i="25"/>
  <c r="AB816" i="25"/>
  <c r="AB923" i="25"/>
  <c r="AB121" i="25"/>
  <c r="AB3635" i="25"/>
  <c r="AB3598" i="25"/>
  <c r="AB3566" i="25"/>
  <c r="AB3526" i="25"/>
  <c r="AB3494" i="25"/>
  <c r="AB3462" i="25"/>
  <c r="AB3430" i="25"/>
  <c r="AB3398" i="25"/>
  <c r="AB3358" i="25"/>
  <c r="AB3326" i="25"/>
  <c r="AB3294" i="25"/>
  <c r="AB3262" i="25"/>
  <c r="AB3213" i="25"/>
  <c r="AB3666" i="25"/>
  <c r="AB3659" i="25"/>
  <c r="AB3622" i="25"/>
  <c r="AB3574" i="25"/>
  <c r="AB3542" i="25"/>
  <c r="AB3510" i="25"/>
  <c r="AB3478" i="25"/>
  <c r="AB3446" i="25"/>
  <c r="AB3414" i="25"/>
  <c r="AB3390" i="25"/>
  <c r="AB3366" i="25"/>
  <c r="AB3334" i="25"/>
  <c r="AB3302" i="25"/>
  <c r="AB3270" i="25"/>
  <c r="AB3238" i="25"/>
  <c r="AB3651" i="25"/>
  <c r="AB3614" i="25"/>
  <c r="AB3582" i="25"/>
  <c r="AB3550" i="25"/>
  <c r="AB3518" i="25"/>
  <c r="AB3486" i="25"/>
  <c r="AB3454" i="25"/>
  <c r="AB3422" i="25"/>
  <c r="AB3382" i="25"/>
  <c r="AB3350" i="25"/>
  <c r="AB3318" i="25"/>
  <c r="AB3286" i="25"/>
  <c r="AB3246" i="25"/>
  <c r="AB3221" i="25"/>
  <c r="AB177" i="25"/>
  <c r="AB3643" i="25"/>
  <c r="AB3606" i="25"/>
  <c r="AB3590" i="25"/>
  <c r="AB3558" i="25"/>
  <c r="AB3534" i="25"/>
  <c r="AB3502" i="25"/>
  <c r="AB3470" i="25"/>
  <c r="AB3438" i="25"/>
  <c r="AB3406" i="25"/>
  <c r="AB3374" i="25"/>
  <c r="AB3342" i="25"/>
  <c r="AB3310" i="25"/>
  <c r="AB3278" i="25"/>
  <c r="AB3254" i="25"/>
  <c r="AB3229" i="25"/>
  <c r="AB767" i="25"/>
  <c r="AB3173" i="25"/>
  <c r="AB3157" i="25"/>
  <c r="AB3138" i="25"/>
  <c r="AB3122" i="25"/>
  <c r="AB3106" i="25"/>
  <c r="AB3090" i="25"/>
  <c r="AB3074" i="25"/>
  <c r="AB3058" i="25"/>
  <c r="AB3042" i="25"/>
  <c r="AB3026" i="25"/>
  <c r="AB3010" i="25"/>
  <c r="AB2990" i="25"/>
  <c r="AB2974" i="25"/>
  <c r="AB2949" i="25"/>
  <c r="AB2933" i="25"/>
  <c r="AB2917" i="25"/>
  <c r="AB2901" i="25"/>
  <c r="AB2885" i="25"/>
  <c r="AB2869" i="25"/>
  <c r="AB2853" i="25"/>
  <c r="AB2845" i="25"/>
  <c r="AB2829" i="25"/>
  <c r="AB2821" i="25"/>
  <c r="AB2805" i="25"/>
  <c r="AB2789" i="25"/>
  <c r="AB2773" i="25"/>
  <c r="AB2755" i="25"/>
  <c r="AB2737" i="25"/>
  <c r="AB2721" i="25"/>
  <c r="AB2705" i="25"/>
  <c r="AB2689" i="25"/>
  <c r="AB2673" i="25"/>
  <c r="AB2657" i="25"/>
  <c r="AB2641" i="25"/>
  <c r="AB2633" i="25"/>
  <c r="AB2625" i="25"/>
  <c r="AB2609" i="25"/>
  <c r="AB2601" i="25"/>
  <c r="AB2593" i="25"/>
  <c r="AB2577" i="25"/>
  <c r="AB2569" i="25"/>
  <c r="AB2561" i="25"/>
  <c r="AB2553" i="25"/>
  <c r="AB3181" i="25"/>
  <c r="AB3165" i="25"/>
  <c r="AB3146" i="25"/>
  <c r="AB3130" i="25"/>
  <c r="AB3114" i="25"/>
  <c r="AB3098" i="25"/>
  <c r="AB3082" i="25"/>
  <c r="AB3066" i="25"/>
  <c r="AB3050" i="25"/>
  <c r="AB3034" i="25"/>
  <c r="AB3018" i="25"/>
  <c r="AB3002" i="25"/>
  <c r="AB2982" i="25"/>
  <c r="AB2957" i="25"/>
  <c r="AB2941" i="25"/>
  <c r="AB2925" i="25"/>
  <c r="AB2909" i="25"/>
  <c r="AB2893" i="25"/>
  <c r="AB2877" i="25"/>
  <c r="AB2861" i="25"/>
  <c r="AB2837" i="25"/>
  <c r="AB2813" i="25"/>
  <c r="AB2797" i="25"/>
  <c r="AB2781" i="25"/>
  <c r="AB2765" i="25"/>
  <c r="AB2746" i="25"/>
  <c r="AB2729" i="25"/>
  <c r="AB2713" i="25"/>
  <c r="AB2697" i="25"/>
  <c r="AB2681" i="25"/>
  <c r="AB2665" i="25"/>
  <c r="AB2649" i="25"/>
  <c r="AB2617" i="25"/>
  <c r="AB2585" i="25"/>
  <c r="AB3662" i="25"/>
  <c r="AB3646" i="25"/>
  <c r="AB3625" i="25"/>
  <c r="AB3609" i="25"/>
  <c r="AB3593" i="25"/>
  <c r="AB3577" i="25"/>
  <c r="AB3561" i="25"/>
  <c r="AB3545" i="25"/>
  <c r="AB3529" i="25"/>
  <c r="AB3513" i="25"/>
  <c r="AB3497" i="25"/>
  <c r="AB3481" i="25"/>
  <c r="AB3465" i="25"/>
  <c r="AB3449" i="25"/>
  <c r="AB3433" i="25"/>
  <c r="AB3417" i="25"/>
  <c r="AB3401" i="25"/>
  <c r="AB3385" i="25"/>
  <c r="AB3369" i="25"/>
  <c r="AB3345" i="25"/>
  <c r="AB3329" i="25"/>
  <c r="AB3313" i="25"/>
  <c r="AB3297" i="25"/>
  <c r="AB3281" i="25"/>
  <c r="AB3265" i="25"/>
  <c r="AB3241" i="25"/>
  <c r="AB3224" i="25"/>
  <c r="AB3208" i="25"/>
  <c r="AB3654" i="25"/>
  <c r="AB3638" i="25"/>
  <c r="AB3618" i="25"/>
  <c r="AB3601" i="25"/>
  <c r="AB3585" i="25"/>
  <c r="AB3569" i="25"/>
  <c r="AB3553" i="25"/>
  <c r="AB3537" i="25"/>
  <c r="AB3521" i="25"/>
  <c r="AB3505" i="25"/>
  <c r="AB3489" i="25"/>
  <c r="AB3473" i="25"/>
  <c r="AB3457" i="25"/>
  <c r="AB3441" i="25"/>
  <c r="AB3425" i="25"/>
  <c r="AB3409" i="25"/>
  <c r="AB3393" i="25"/>
  <c r="AB3377" i="25"/>
  <c r="AB3361" i="25"/>
  <c r="AB3353" i="25"/>
  <c r="AB3337" i="25"/>
  <c r="AB3321" i="25"/>
  <c r="AB3305" i="25"/>
  <c r="AB3289" i="25"/>
  <c r="AB3273" i="25"/>
  <c r="AB3257" i="25"/>
  <c r="AB3249" i="25"/>
  <c r="AB3233" i="25"/>
  <c r="AB3216" i="25"/>
  <c r="AB2065" i="25"/>
  <c r="AB2037" i="25"/>
  <c r="AB1984" i="25"/>
  <c r="AB1936" i="25"/>
  <c r="AB1904" i="25"/>
  <c r="AB1864" i="25"/>
  <c r="AB1832" i="25"/>
  <c r="AB1800" i="25"/>
  <c r="AB1768" i="25"/>
  <c r="AB1720" i="25"/>
  <c r="AB1688" i="25"/>
  <c r="AB1640" i="25"/>
  <c r="AB1600" i="25"/>
  <c r="AB1560" i="25"/>
  <c r="AB1520" i="25"/>
  <c r="AB1488" i="25"/>
  <c r="AB1464" i="25"/>
  <c r="AB1408" i="25"/>
  <c r="AB1384" i="25"/>
  <c r="AB1360" i="25"/>
  <c r="AB1328" i="25"/>
  <c r="AB1312" i="25"/>
  <c r="AB1296" i="25"/>
  <c r="AB1280" i="25"/>
  <c r="AB1264" i="25"/>
  <c r="AB1248" i="25"/>
  <c r="AB1240" i="25"/>
  <c r="AB1224" i="25"/>
  <c r="AB1208" i="25"/>
  <c r="AB1192" i="25"/>
  <c r="AB1176" i="25"/>
  <c r="AB1168" i="25"/>
  <c r="AB1152" i="25"/>
  <c r="AB1136" i="25"/>
  <c r="AB1120" i="25"/>
  <c r="AB1104" i="25"/>
  <c r="AB1096" i="25"/>
  <c r="AB1080" i="25"/>
  <c r="AB1064" i="25"/>
  <c r="AB1048" i="25"/>
  <c r="AB1008" i="25"/>
  <c r="AB1000" i="25"/>
  <c r="AB984" i="25"/>
  <c r="AB968" i="25"/>
  <c r="AB952" i="25"/>
  <c r="AB2537" i="25"/>
  <c r="AB2521" i="25"/>
  <c r="AB2497" i="25"/>
  <c r="AB2473" i="25"/>
  <c r="AB2449" i="25"/>
  <c r="AB2425" i="25"/>
  <c r="AB2401" i="25"/>
  <c r="AB2377" i="25"/>
  <c r="AB2353" i="25"/>
  <c r="AB2329" i="25"/>
  <c r="AB2305" i="25"/>
  <c r="AB2281" i="25"/>
  <c r="AB2257" i="25"/>
  <c r="AB2225" i="25"/>
  <c r="AB2201" i="25"/>
  <c r="AB2185" i="25"/>
  <c r="AB2161" i="25"/>
  <c r="AB2137" i="25"/>
  <c r="AB2113" i="25"/>
  <c r="AB2089" i="25"/>
  <c r="AB2057" i="25"/>
  <c r="AB2041" i="25"/>
  <c r="AB2000" i="25"/>
  <c r="AB1968" i="25"/>
  <c r="AB1952" i="25"/>
  <c r="AB1920" i="25"/>
  <c r="AB1888" i="25"/>
  <c r="AB1856" i="25"/>
  <c r="AB1824" i="25"/>
  <c r="AB1784" i="25"/>
  <c r="AB1760" i="25"/>
  <c r="AB1736" i="25"/>
  <c r="AB1696" i="25"/>
  <c r="AB1664" i="25"/>
  <c r="AB1632" i="25"/>
  <c r="AB1608" i="25"/>
  <c r="AB1576" i="25"/>
  <c r="AB1544" i="25"/>
  <c r="AB1512" i="25"/>
  <c r="AB1472" i="25"/>
  <c r="AB1440" i="25"/>
  <c r="AB1416" i="25"/>
  <c r="AB1392" i="25"/>
  <c r="AB1376" i="25"/>
  <c r="AB1352" i="25"/>
  <c r="AB1344" i="25"/>
  <c r="AB1320" i="25"/>
  <c r="AB1304" i="25"/>
  <c r="AB1288" i="25"/>
  <c r="AB1272" i="25"/>
  <c r="AB1256" i="25"/>
  <c r="AB1232" i="25"/>
  <c r="AB1216" i="25"/>
  <c r="AB1200" i="25"/>
  <c r="AB1184" i="25"/>
  <c r="AB1160" i="25"/>
  <c r="AB1144" i="25"/>
  <c r="AB1128" i="25"/>
  <c r="AB1112" i="25"/>
  <c r="AB1088" i="25"/>
  <c r="AB1072" i="25"/>
  <c r="AB1056" i="25"/>
  <c r="AB1040" i="25"/>
  <c r="AB1032" i="25"/>
  <c r="AB1016" i="25"/>
  <c r="AB992" i="25"/>
  <c r="AB976" i="25"/>
  <c r="AB960" i="25"/>
  <c r="AB942" i="25"/>
  <c r="AB2529" i="25"/>
  <c r="AB2505" i="25"/>
  <c r="AB2481" i="25"/>
  <c r="AB2457" i="25"/>
  <c r="AB2433" i="25"/>
  <c r="AB2409" i="25"/>
  <c r="AB2385" i="25"/>
  <c r="AB2361" i="25"/>
  <c r="AB2337" i="25"/>
  <c r="AB2313" i="25"/>
  <c r="AB2289" i="25"/>
  <c r="AB2265" i="25"/>
  <c r="AB2241" i="25"/>
  <c r="AB2209" i="25"/>
  <c r="AB2177" i="25"/>
  <c r="AB2153" i="25"/>
  <c r="AB2129" i="25"/>
  <c r="AB2105" i="25"/>
  <c r="AB2081" i="25"/>
  <c r="AB2045" i="25"/>
  <c r="AB2029" i="25"/>
  <c r="AB1976" i="25"/>
  <c r="AB1944" i="25"/>
  <c r="AB1912" i="25"/>
  <c r="AB1872" i="25"/>
  <c r="AB1840" i="25"/>
  <c r="AB1808" i="25"/>
  <c r="AB1776" i="25"/>
  <c r="AB1744" i="25"/>
  <c r="AB1712" i="25"/>
  <c r="AB1680" i="25"/>
  <c r="AB1656" i="25"/>
  <c r="AB1616" i="25"/>
  <c r="AB1584" i="25"/>
  <c r="AB1552" i="25"/>
  <c r="AB1528" i="25"/>
  <c r="AB1496" i="25"/>
  <c r="AB1456" i="25"/>
  <c r="AB1368" i="25"/>
  <c r="AB2545" i="25"/>
  <c r="AB2513" i="25"/>
  <c r="AB2489" i="25"/>
  <c r="AB2465" i="25"/>
  <c r="AB2441" i="25"/>
  <c r="AB2417" i="25"/>
  <c r="AB2393" i="25"/>
  <c r="AB2369" i="25"/>
  <c r="AB2345" i="25"/>
  <c r="AB2321" i="25"/>
  <c r="AB2297" i="25"/>
  <c r="AB2273" i="25"/>
  <c r="AB2249" i="25"/>
  <c r="AB2233" i="25"/>
  <c r="AB2217" i="25"/>
  <c r="AB2193" i="25"/>
  <c r="AB2169" i="25"/>
  <c r="AB2145" i="25"/>
  <c r="AB2121" i="25"/>
  <c r="AB2097" i="25"/>
  <c r="AB2073" i="25"/>
  <c r="AB2009" i="25"/>
  <c r="AB2033" i="25"/>
  <c r="AB1992" i="25"/>
  <c r="AB1960" i="25"/>
  <c r="AB1928" i="25"/>
  <c r="AB1896" i="25"/>
  <c r="AB1880" i="25"/>
  <c r="AB1848" i="25"/>
  <c r="AB1816" i="25"/>
  <c r="AB1792" i="25"/>
  <c r="AB1752" i="25"/>
  <c r="AB1728" i="25"/>
  <c r="AB1704" i="25"/>
  <c r="AB1672" i="25"/>
  <c r="AB1648" i="25"/>
  <c r="AB1624" i="25"/>
  <c r="AB1592" i="25"/>
  <c r="AB1568" i="25"/>
  <c r="AB1536" i="25"/>
  <c r="AB1504" i="25"/>
  <c r="AB1480" i="25"/>
  <c r="AB1448" i="25"/>
  <c r="AB1424" i="25"/>
  <c r="AB1400" i="25"/>
  <c r="AB1336" i="25"/>
  <c r="AB161" i="25"/>
  <c r="AB237" i="25"/>
  <c r="AB149" i="25"/>
  <c r="AB824" i="25"/>
  <c r="AB832" i="25"/>
  <c r="AB744" i="25"/>
  <c r="AB3660" i="25"/>
  <c r="AB3623" i="25"/>
  <c r="AB3636" i="25"/>
  <c r="AB3652" i="25"/>
  <c r="AB3616" i="25"/>
  <c r="AB3644" i="25"/>
  <c r="AB3599" i="25"/>
  <c r="AB3567" i="25"/>
  <c r="AB3527" i="25"/>
  <c r="AB3495" i="25"/>
  <c r="AB3455" i="25"/>
  <c r="AB3415" i="25"/>
  <c r="AB3375" i="25"/>
  <c r="AB3335" i="25"/>
  <c r="AB3295" i="25"/>
  <c r="AB3255" i="25"/>
  <c r="AB3214" i="25"/>
  <c r="AB3161" i="25"/>
  <c r="AB3118" i="25"/>
  <c r="AB3078" i="25"/>
  <c r="AB3038" i="25"/>
  <c r="AB2986" i="25"/>
  <c r="AB2937" i="25"/>
  <c r="AB2897" i="25"/>
  <c r="AB2865" i="25"/>
  <c r="AB2825" i="25"/>
  <c r="AB2785" i="25"/>
  <c r="AB2733" i="25"/>
  <c r="AB2693" i="25"/>
  <c r="AB2653" i="25"/>
  <c r="AB2613" i="25"/>
  <c r="AB2573" i="25"/>
  <c r="AB2533" i="25"/>
  <c r="AB2485" i="25"/>
  <c r="AB2437" i="25"/>
  <c r="AB2389" i="25"/>
  <c r="AB2349" i="25"/>
  <c r="AB2309" i="25"/>
  <c r="AB2277" i="25"/>
  <c r="AB2229" i="25"/>
  <c r="AB2189" i="25"/>
  <c r="AB2149" i="25"/>
  <c r="AB2109" i="25"/>
  <c r="AB2077" i="25"/>
  <c r="AB2047" i="25"/>
  <c r="AB1996" i="25"/>
  <c r="AB1956" i="25"/>
  <c r="AB1916" i="25"/>
  <c r="AB1876" i="25"/>
  <c r="AB1828" i="25"/>
  <c r="AB1788" i="25"/>
  <c r="AB1740" i="25"/>
  <c r="AB1700" i="25"/>
  <c r="AB1660" i="25"/>
  <c r="AB1620" i="25"/>
  <c r="AB1580" i="25"/>
  <c r="AB1540" i="25"/>
  <c r="AB1460" i="25"/>
  <c r="AB1420" i="25"/>
  <c r="AB1388" i="25"/>
  <c r="AB1348" i="25"/>
  <c r="AB1308" i="25"/>
  <c r="AB1268" i="25"/>
  <c r="AB1228" i="25"/>
  <c r="AB1188" i="25"/>
  <c r="AB563" i="25"/>
  <c r="AB3575" i="25"/>
  <c r="AB3535" i="25"/>
  <c r="AB3487" i="25"/>
  <c r="AB3447" i="25"/>
  <c r="AB3407" i="25"/>
  <c r="AB3367" i="25"/>
  <c r="AB3327" i="25"/>
  <c r="AB3287" i="25"/>
  <c r="AB3247" i="25"/>
  <c r="AB3206" i="25"/>
  <c r="AB3153" i="25"/>
  <c r="AB3110" i="25"/>
  <c r="AB3070" i="25"/>
  <c r="AB3030" i="25"/>
  <c r="AB2996" i="25"/>
  <c r="AB2945" i="25"/>
  <c r="AB2905" i="25"/>
  <c r="AB2857" i="25"/>
  <c r="AB2817" i="25"/>
  <c r="AB2777" i="25"/>
  <c r="AB2741" i="25"/>
  <c r="AB2701" i="25"/>
  <c r="AB2661" i="25"/>
  <c r="AB2621" i="25"/>
  <c r="AB2581" i="25"/>
  <c r="AB2549" i="25"/>
  <c r="AB2509" i="25"/>
  <c r="AB2469" i="25"/>
  <c r="AB2429" i="25"/>
  <c r="AB2397" i="25"/>
  <c r="AB2357" i="25"/>
  <c r="AB2317" i="25"/>
  <c r="AB2269" i="25"/>
  <c r="AB2237" i="25"/>
  <c r="AB2197" i="25"/>
  <c r="AB2157" i="25"/>
  <c r="AB2117" i="25"/>
  <c r="AB2069" i="25"/>
  <c r="AB2035" i="25"/>
  <c r="AB1988" i="25"/>
  <c r="AB1948" i="25"/>
  <c r="AB1908" i="25"/>
  <c r="AB1860" i="25"/>
  <c r="AB1804" i="25"/>
  <c r="AB1764" i="25"/>
  <c r="AB1724" i="25"/>
  <c r="AB1684" i="25"/>
  <c r="AB1644" i="25"/>
  <c r="AB1604" i="25"/>
  <c r="AB1564" i="25"/>
  <c r="AB1516" i="25"/>
  <c r="AB1476" i="25"/>
  <c r="AB1436" i="25"/>
  <c r="AB1396" i="25"/>
  <c r="AB1356" i="25"/>
  <c r="AB1316" i="25"/>
  <c r="AB1276" i="25"/>
  <c r="AB1236" i="25"/>
  <c r="AB1196" i="25"/>
  <c r="AB3607" i="25"/>
  <c r="AB3559" i="25"/>
  <c r="AB3519" i="25"/>
  <c r="AB3479" i="25"/>
  <c r="AB3439" i="25"/>
  <c r="AB3399" i="25"/>
  <c r="AB3359" i="25"/>
  <c r="AB3319" i="25"/>
  <c r="AB3279" i="25"/>
  <c r="AB3239" i="25"/>
  <c r="AB3185" i="25"/>
  <c r="AB3142" i="25"/>
  <c r="AB3094" i="25"/>
  <c r="AB3054" i="25"/>
  <c r="AB3006" i="25"/>
  <c r="AB2953" i="25"/>
  <c r="AB2913" i="25"/>
  <c r="AB2873" i="25"/>
  <c r="AB2833" i="25"/>
  <c r="AB2793" i="25"/>
  <c r="AB2750" i="25"/>
  <c r="AB2709" i="25"/>
  <c r="AB2669" i="25"/>
  <c r="AB2629" i="25"/>
  <c r="AB2589" i="25"/>
  <c r="AB2541" i="25"/>
  <c r="AB2501" i="25"/>
  <c r="AB2461" i="25"/>
  <c r="AB2421" i="25"/>
  <c r="AB2373" i="25"/>
  <c r="AB2333" i="25"/>
  <c r="AB2293" i="25"/>
  <c r="AB2253" i="25"/>
  <c r="AB2213" i="25"/>
  <c r="AB2165" i="25"/>
  <c r="AB2125" i="25"/>
  <c r="AB2085" i="25"/>
  <c r="AB2039" i="25"/>
  <c r="AB1980" i="25"/>
  <c r="AB1940" i="25"/>
  <c r="AB1892" i="25"/>
  <c r="AB1844" i="25"/>
  <c r="AB1812" i="25"/>
  <c r="AB1772" i="25"/>
  <c r="AB1732" i="25"/>
  <c r="AB1692" i="25"/>
  <c r="AB1652" i="25"/>
  <c r="AB1596" i="25"/>
  <c r="AB1548" i="25"/>
  <c r="AB1508" i="25"/>
  <c r="AB1468" i="25"/>
  <c r="AB1428" i="25"/>
  <c r="AB1380" i="25"/>
  <c r="AB1340" i="25"/>
  <c r="AB1300" i="25"/>
  <c r="AB1260" i="25"/>
  <c r="AB1220" i="25"/>
  <c r="AB1180" i="25"/>
  <c r="AB333" i="25"/>
  <c r="AB3583" i="25"/>
  <c r="AB3543" i="25"/>
  <c r="AB3503" i="25"/>
  <c r="AB3463" i="25"/>
  <c r="AB3423" i="25"/>
  <c r="AB3383" i="25"/>
  <c r="AB3343" i="25"/>
  <c r="AB3303" i="25"/>
  <c r="AB3263" i="25"/>
  <c r="AB3230" i="25"/>
  <c r="AB3177" i="25"/>
  <c r="AB3134" i="25"/>
  <c r="AB3102" i="25"/>
  <c r="AB3062" i="25"/>
  <c r="AB3022" i="25"/>
  <c r="AB2978" i="25"/>
  <c r="AB2929" i="25"/>
  <c r="AB2889" i="25"/>
  <c r="AB2849" i="25"/>
  <c r="AB2809" i="25"/>
  <c r="AB2769" i="25"/>
  <c r="AB2725" i="25"/>
  <c r="AB2685" i="25"/>
  <c r="AB2645" i="25"/>
  <c r="AB2597" i="25"/>
  <c r="AB2565" i="25"/>
  <c r="AB2525" i="25"/>
  <c r="AB2493" i="25"/>
  <c r="AB2453" i="25"/>
  <c r="AB2413" i="25"/>
  <c r="AB2381" i="25"/>
  <c r="AB2341" i="25"/>
  <c r="AB2301" i="25"/>
  <c r="AB2261" i="25"/>
  <c r="AB2221" i="25"/>
  <c r="AB2181" i="25"/>
  <c r="AB2133" i="25"/>
  <c r="AB2093" i="25"/>
  <c r="AB2053" i="25"/>
  <c r="AB2031" i="25"/>
  <c r="AB1964" i="25"/>
  <c r="AB1924" i="25"/>
  <c r="AB1884" i="25"/>
  <c r="AB1852" i="25"/>
  <c r="AB1820" i="25"/>
  <c r="AB1780" i="25"/>
  <c r="AB1748" i="25"/>
  <c r="AB1708" i="25"/>
  <c r="AB1668" i="25"/>
  <c r="AB1628" i="25"/>
  <c r="AB1588" i="25"/>
  <c r="AB1556" i="25"/>
  <c r="AB1524" i="25"/>
  <c r="AB1484" i="25"/>
  <c r="AB1444" i="25"/>
  <c r="AB1412" i="25"/>
  <c r="AB1372" i="25"/>
  <c r="AB1332" i="25"/>
  <c r="AB1292" i="25"/>
  <c r="AB1252" i="25"/>
  <c r="AB1212" i="25"/>
  <c r="AB1172" i="25"/>
  <c r="AB3591" i="25"/>
  <c r="AB3551" i="25"/>
  <c r="AB3511" i="25"/>
  <c r="AB3471" i="25"/>
  <c r="AB3431" i="25"/>
  <c r="AB3391" i="25"/>
  <c r="AB3351" i="25"/>
  <c r="AB3311" i="25"/>
  <c r="AB3271" i="25"/>
  <c r="AB3222" i="25"/>
  <c r="AB3169" i="25"/>
  <c r="AB3126" i="25"/>
  <c r="AB3086" i="25"/>
  <c r="AB3046" i="25"/>
  <c r="AB3014" i="25"/>
  <c r="AB2967" i="25"/>
  <c r="AB2921" i="25"/>
  <c r="AB2881" i="25"/>
  <c r="AB2841" i="25"/>
  <c r="AB2801" i="25"/>
  <c r="AB2760" i="25"/>
  <c r="AB2717" i="25"/>
  <c r="AB2677" i="25"/>
  <c r="AB2637" i="25"/>
  <c r="AB2605" i="25"/>
  <c r="AB2557" i="25"/>
  <c r="AB2517" i="25"/>
  <c r="AB2477" i="25"/>
  <c r="AB2445" i="25"/>
  <c r="AB2405" i="25"/>
  <c r="AB2365" i="25"/>
  <c r="AB2325" i="25"/>
  <c r="AB2285" i="25"/>
  <c r="AB2245" i="25"/>
  <c r="AB2205" i="25"/>
  <c r="AB2173" i="25"/>
  <c r="AB2141" i="25"/>
  <c r="AB2101" i="25"/>
  <c r="AB2061" i="25"/>
  <c r="AB2043" i="25"/>
  <c r="AB2004" i="25"/>
  <c r="AB1972" i="25"/>
  <c r="AB1932" i="25"/>
  <c r="AB1900" i="25"/>
  <c r="AB1868" i="25"/>
  <c r="AB1836" i="25"/>
  <c r="AB1796" i="25"/>
  <c r="AB1756" i="25"/>
  <c r="AB1716" i="25"/>
  <c r="AB1676" i="25"/>
  <c r="AB1636" i="25"/>
  <c r="AB1612" i="25"/>
  <c r="AB1572" i="25"/>
  <c r="AB1532" i="25"/>
  <c r="AB1492" i="25"/>
  <c r="AB1452" i="25"/>
  <c r="AB1404" i="25"/>
  <c r="AB1364" i="25"/>
  <c r="AB1324" i="25"/>
  <c r="AB1284" i="25"/>
  <c r="AB1244" i="25"/>
  <c r="AB1204" i="25"/>
  <c r="AB1164" i="25"/>
  <c r="AA760" i="25"/>
  <c r="AB3088" i="25"/>
  <c r="AB3072" i="25"/>
  <c r="AB3064" i="25"/>
  <c r="AB3056" i="25"/>
  <c r="AB3048" i="25"/>
  <c r="AB3040" i="25"/>
  <c r="AB3032" i="25"/>
  <c r="AB3024" i="25"/>
  <c r="AB3016" i="25"/>
  <c r="AB3008" i="25"/>
  <c r="AB3000" i="25"/>
  <c r="AB2988" i="25"/>
  <c r="AB2980" i="25"/>
  <c r="AB2969" i="25"/>
  <c r="AB2955" i="25"/>
  <c r="AB2947" i="25"/>
  <c r="AB2939" i="25"/>
  <c r="AB2931" i="25"/>
  <c r="AB2923" i="25"/>
  <c r="AB2915" i="25"/>
  <c r="AB2907" i="25"/>
  <c r="AB2899" i="25"/>
  <c r="AB2891" i="25"/>
  <c r="AB2883" i="25"/>
  <c r="AB2875" i="25"/>
  <c r="AB2867" i="25"/>
  <c r="AB2859" i="25"/>
  <c r="AB2851" i="25"/>
  <c r="AB2843" i="25"/>
  <c r="AB2835" i="25"/>
  <c r="AB2827" i="25"/>
  <c r="AB2819" i="25"/>
  <c r="AB2811" i="25"/>
  <c r="AB2803" i="25"/>
  <c r="AB2795" i="25"/>
  <c r="AB2787" i="25"/>
  <c r="AB2779" i="25"/>
  <c r="AB2771" i="25"/>
  <c r="AB2763" i="25"/>
  <c r="AB2752" i="25"/>
  <c r="AB2744" i="25"/>
  <c r="AB2735" i="25"/>
  <c r="AB2727" i="25"/>
  <c r="AB2719" i="25"/>
  <c r="AB2711" i="25"/>
  <c r="AB2703" i="25"/>
  <c r="AB2695" i="25"/>
  <c r="AB2687" i="25"/>
  <c r="AB2679" i="25"/>
  <c r="AB2671" i="25"/>
  <c r="AB2663" i="25"/>
  <c r="AB2655" i="25"/>
  <c r="AB2647" i="25"/>
  <c r="AB2639" i="25"/>
  <c r="AB2631" i="25"/>
  <c r="AB2623" i="25"/>
  <c r="AB2615" i="25"/>
  <c r="AB2607" i="25"/>
  <c r="AB2599" i="25"/>
  <c r="AB2591" i="25"/>
  <c r="AB2583" i="25"/>
  <c r="AB2575" i="25"/>
  <c r="AB2567" i="25"/>
  <c r="AB2559" i="25"/>
  <c r="AB2551" i="25"/>
  <c r="AB2543" i="25"/>
  <c r="AB2535" i="25"/>
  <c r="AB2527" i="25"/>
  <c r="AB2519" i="25"/>
  <c r="AB2511" i="25"/>
  <c r="AB2503" i="25"/>
  <c r="AB2495" i="25"/>
  <c r="AB2487" i="25"/>
  <c r="AB2479" i="25"/>
  <c r="AB2471" i="25"/>
  <c r="AB2463" i="25"/>
  <c r="AB2455" i="25"/>
  <c r="AB2447" i="25"/>
  <c r="AB2439" i="25"/>
  <c r="AB2431" i="25"/>
  <c r="AB2423" i="25"/>
  <c r="AB2415" i="25"/>
  <c r="AB2407" i="25"/>
  <c r="AB1347" i="25"/>
  <c r="AA2762" i="25"/>
  <c r="Z2762" i="25"/>
  <c r="Y2762" i="25"/>
  <c r="X2762" i="25"/>
  <c r="W2762" i="25"/>
  <c r="AB2762" i="25"/>
  <c r="AA2757" i="25"/>
  <c r="Z2757" i="25"/>
  <c r="X2757" i="25"/>
  <c r="Y2757" i="25"/>
  <c r="W2757" i="25"/>
  <c r="AB2757" i="25"/>
  <c r="AA2754" i="25"/>
  <c r="X2754" i="25"/>
  <c r="Z2754" i="25"/>
  <c r="Y2754" i="25"/>
  <c r="W2754" i="25"/>
  <c r="AB2754" i="25"/>
  <c r="AA2742" i="25"/>
  <c r="Z2742" i="25"/>
  <c r="Y2742" i="25"/>
  <c r="X2742" i="25"/>
  <c r="W2742" i="25"/>
  <c r="AB2742" i="25"/>
  <c r="Y770" i="25"/>
  <c r="AA778" i="25"/>
  <c r="AA786" i="25"/>
  <c r="Z745" i="25"/>
  <c r="W754" i="25"/>
  <c r="AB253" i="25"/>
  <c r="AB3663" i="25"/>
  <c r="AB3655" i="25"/>
  <c r="AB3647" i="25"/>
  <c r="AB3639" i="25"/>
  <c r="AB3631" i="25"/>
  <c r="AB3619" i="25"/>
  <c r="AB3610" i="25"/>
  <c r="AB3602" i="25"/>
  <c r="AB3594" i="25"/>
  <c r="AB595" i="25"/>
  <c r="AB1339" i="25"/>
  <c r="AB1315" i="25"/>
  <c r="AB1291" i="25"/>
  <c r="AB1251" i="25"/>
  <c r="AB97" i="25"/>
  <c r="AB1331" i="25"/>
  <c r="AB1307" i="25"/>
  <c r="AB1275" i="25"/>
  <c r="AB1259" i="25"/>
  <c r="AB1323" i="25"/>
  <c r="AB1299" i="25"/>
  <c r="AB1283" i="25"/>
  <c r="AB1267" i="25"/>
  <c r="AA802" i="25"/>
  <c r="AB882" i="25"/>
  <c r="Y800" i="25"/>
  <c r="Y768" i="25"/>
  <c r="X752" i="25"/>
  <c r="V776" i="25"/>
  <c r="X768" i="25"/>
  <c r="AA784" i="25"/>
  <c r="W752" i="25"/>
  <c r="V752" i="25"/>
  <c r="X784" i="25"/>
  <c r="V760" i="25"/>
  <c r="Z760" i="25"/>
  <c r="Z776" i="25"/>
  <c r="AA752" i="25"/>
  <c r="Y760" i="25"/>
  <c r="AA768" i="25"/>
  <c r="Y776" i="25"/>
  <c r="Z752" i="25"/>
  <c r="X760" i="25"/>
  <c r="Z768" i="25"/>
  <c r="AA792" i="25"/>
  <c r="X792" i="25"/>
  <c r="V784" i="25"/>
  <c r="AA776" i="25"/>
  <c r="W792" i="25"/>
  <c r="AB1156" i="25"/>
  <c r="AB1148" i="25"/>
  <c r="AB1140" i="25"/>
  <c r="AB1132" i="25"/>
  <c r="AB1124" i="25"/>
  <c r="AB1116" i="25"/>
  <c r="AB1108" i="25"/>
  <c r="AB1100" i="25"/>
  <c r="AB1092" i="25"/>
  <c r="AB1084" i="25"/>
  <c r="AB1076" i="25"/>
  <c r="AB1068" i="25"/>
  <c r="AB1060" i="25"/>
  <c r="AB1052" i="25"/>
  <c r="AB1044" i="25"/>
  <c r="AB1036" i="25"/>
  <c r="AB1021" i="25"/>
  <c r="W768" i="25"/>
  <c r="X776" i="25"/>
  <c r="Z784" i="25"/>
  <c r="Y784" i="25"/>
  <c r="W800" i="25"/>
  <c r="Z792" i="25"/>
  <c r="W744" i="25"/>
  <c r="V792" i="25"/>
  <c r="AB309" i="25"/>
  <c r="AB1012" i="25"/>
  <c r="AB1004" i="25"/>
  <c r="AB996" i="25"/>
  <c r="AB988" i="25"/>
  <c r="AB980" i="25"/>
  <c r="AB972" i="25"/>
  <c r="AB964" i="25"/>
  <c r="AB956" i="25"/>
  <c r="AB946" i="25"/>
  <c r="AB938" i="25"/>
  <c r="AB932" i="25"/>
  <c r="W794" i="25"/>
  <c r="Z810" i="25"/>
  <c r="Y771" i="25"/>
  <c r="V794" i="25"/>
  <c r="Y803" i="25"/>
  <c r="Y793" i="25"/>
  <c r="AA777" i="25"/>
  <c r="W793" i="25"/>
  <c r="V817" i="25"/>
  <c r="AB825" i="25"/>
  <c r="AB817" i="25"/>
  <c r="AB809" i="25"/>
  <c r="AB801" i="25"/>
  <c r="AB793" i="25"/>
  <c r="AB785" i="25"/>
  <c r="AB777" i="25"/>
  <c r="AB769" i="25"/>
  <c r="AB761" i="25"/>
  <c r="AB753" i="25"/>
  <c r="AA769" i="25"/>
  <c r="Z753" i="25"/>
  <c r="AA761" i="25"/>
  <c r="Z927" i="25"/>
  <c r="Y769" i="25"/>
  <c r="W753" i="25"/>
  <c r="Y927" i="25"/>
  <c r="X801" i="25"/>
  <c r="AA744" i="25"/>
  <c r="X744" i="25"/>
  <c r="X927" i="25"/>
  <c r="W927" i="25"/>
  <c r="V927" i="25"/>
  <c r="AB927" i="25"/>
  <c r="Z811" i="25"/>
  <c r="X787" i="25"/>
  <c r="X747" i="25"/>
  <c r="V763" i="25"/>
  <c r="W763" i="25"/>
  <c r="V790" i="25"/>
  <c r="AA814" i="25"/>
  <c r="Y750" i="25"/>
  <c r="W798" i="25"/>
  <c r="Z774" i="25"/>
  <c r="Y782" i="25"/>
  <c r="W790" i="25"/>
  <c r="AA800" i="25"/>
  <c r="Z808" i="25"/>
  <c r="Z800" i="25"/>
  <c r="V800" i="25"/>
  <c r="V816" i="25"/>
  <c r="AB125" i="25"/>
  <c r="W808" i="25"/>
  <c r="V808" i="25"/>
  <c r="AB833" i="25"/>
  <c r="X769" i="25"/>
  <c r="Z809" i="25"/>
  <c r="Z777" i="25"/>
  <c r="AA785" i="25"/>
  <c r="Z761" i="25"/>
  <c r="V777" i="25"/>
  <c r="V744" i="25"/>
  <c r="W769" i="25"/>
  <c r="X809" i="25"/>
  <c r="Y777" i="25"/>
  <c r="Z785" i="25"/>
  <c r="AA753" i="25"/>
  <c r="Y761" i="25"/>
  <c r="Y825" i="25"/>
  <c r="V753" i="25"/>
  <c r="W809" i="25"/>
  <c r="X777" i="25"/>
  <c r="Y785" i="25"/>
  <c r="X761" i="25"/>
  <c r="V769" i="25"/>
  <c r="AB1500" i="25"/>
  <c r="AA801" i="25"/>
  <c r="Y817" i="25"/>
  <c r="AA793" i="25"/>
  <c r="X785" i="25"/>
  <c r="Z744" i="25"/>
  <c r="Y753" i="25"/>
  <c r="W761" i="25"/>
  <c r="V793" i="25"/>
  <c r="Z801" i="25"/>
  <c r="W817" i="25"/>
  <c r="Z793" i="25"/>
  <c r="W785" i="25"/>
  <c r="AA808" i="25"/>
  <c r="Y808" i="25"/>
  <c r="AB23" i="25"/>
  <c r="Y816" i="25"/>
  <c r="X825" i="25"/>
  <c r="Y801" i="25"/>
  <c r="AA817" i="25"/>
  <c r="AA809" i="25"/>
  <c r="W801" i="25"/>
  <c r="X817" i="25"/>
  <c r="Y809" i="25"/>
  <c r="AB631" i="25"/>
  <c r="Y824" i="25"/>
  <c r="W824" i="25"/>
  <c r="Z816" i="25"/>
  <c r="AB365" i="25"/>
  <c r="W816" i="25"/>
  <c r="X781" i="25"/>
  <c r="V765" i="25"/>
  <c r="AA789" i="25"/>
  <c r="W749" i="25"/>
  <c r="Z805" i="25"/>
  <c r="Y789" i="25"/>
  <c r="Z773" i="25"/>
  <c r="Y757" i="25"/>
  <c r="X773" i="25"/>
  <c r="W757" i="25"/>
  <c r="AB35" i="25"/>
  <c r="X835" i="25"/>
  <c r="X771" i="25"/>
  <c r="X803" i="25"/>
  <c r="Y811" i="25"/>
  <c r="AA779" i="25"/>
  <c r="W787" i="25"/>
  <c r="W747" i="25"/>
  <c r="AB1432" i="25"/>
  <c r="W835" i="25"/>
  <c r="W771" i="25"/>
  <c r="W803" i="25"/>
  <c r="X811" i="25"/>
  <c r="Z779" i="25"/>
  <c r="AA795" i="25"/>
  <c r="AA755" i="25"/>
  <c r="V795" i="25"/>
  <c r="W811" i="25"/>
  <c r="Y779" i="25"/>
  <c r="Z795" i="25"/>
  <c r="Z755" i="25"/>
  <c r="V755" i="25"/>
  <c r="X779" i="25"/>
  <c r="Y795" i="25"/>
  <c r="Y755" i="25"/>
  <c r="AA763" i="25"/>
  <c r="Y819" i="25"/>
  <c r="V835" i="25"/>
  <c r="AB815" i="25"/>
  <c r="AB799" i="25"/>
  <c r="AB783" i="25"/>
  <c r="AB759" i="25"/>
  <c r="AB751" i="25"/>
  <c r="W779" i="25"/>
  <c r="X795" i="25"/>
  <c r="AA787" i="25"/>
  <c r="X755" i="25"/>
  <c r="AA747" i="25"/>
  <c r="Z763" i="25"/>
  <c r="X819" i="25"/>
  <c r="V811" i="25"/>
  <c r="AA771" i="25"/>
  <c r="AA803" i="25"/>
  <c r="Z787" i="25"/>
  <c r="Z747" i="25"/>
  <c r="Y763" i="25"/>
  <c r="W819" i="25"/>
  <c r="V747" i="25"/>
  <c r="Z771" i="25"/>
  <c r="Z803" i="25"/>
  <c r="Y787" i="25"/>
  <c r="AA827" i="25"/>
  <c r="Y773" i="25"/>
  <c r="W805" i="25"/>
  <c r="X816" i="25"/>
  <c r="W781" i="25"/>
  <c r="Z789" i="25"/>
  <c r="X757" i="25"/>
  <c r="V805" i="25"/>
  <c r="V757" i="25"/>
  <c r="W773" i="25"/>
  <c r="AA797" i="25"/>
  <c r="X789" i="25"/>
  <c r="AA765" i="25"/>
  <c r="Z797" i="25"/>
  <c r="AA749" i="25"/>
  <c r="Z765" i="25"/>
  <c r="AB765" i="25"/>
  <c r="AB757" i="25"/>
  <c r="AB749" i="25"/>
  <c r="AA813" i="25"/>
  <c r="AA781" i="25"/>
  <c r="Y797" i="25"/>
  <c r="Z749" i="25"/>
  <c r="Y765" i="25"/>
  <c r="V773" i="25"/>
  <c r="X813" i="25"/>
  <c r="Z781" i="25"/>
  <c r="X797" i="25"/>
  <c r="W746" i="25"/>
  <c r="Y749" i="25"/>
  <c r="AA757" i="25"/>
  <c r="X765" i="25"/>
  <c r="AA824" i="25"/>
  <c r="V781" i="25"/>
  <c r="V824" i="25"/>
  <c r="AA805" i="25"/>
  <c r="X749" i="25"/>
  <c r="V789" i="25"/>
  <c r="AB791" i="25"/>
  <c r="AB775" i="25"/>
  <c r="AA832" i="25"/>
  <c r="Z832" i="25"/>
  <c r="AB831" i="25"/>
  <c r="Y832" i="25"/>
  <c r="W832" i="25"/>
  <c r="X823" i="25"/>
  <c r="W823" i="25"/>
  <c r="V823" i="25"/>
  <c r="Y823" i="25"/>
  <c r="W815" i="25"/>
  <c r="Z815" i="25"/>
  <c r="AA815" i="25"/>
  <c r="V815" i="25"/>
  <c r="X815" i="25"/>
  <c r="V807" i="25"/>
  <c r="W807" i="25"/>
  <c r="X807" i="25"/>
  <c r="Y807" i="25"/>
  <c r="Z807" i="25"/>
  <c r="AA807" i="25"/>
  <c r="Y799" i="25"/>
  <c r="Z799" i="25"/>
  <c r="AA799" i="25"/>
  <c r="W799" i="25"/>
  <c r="W791" i="25"/>
  <c r="X791" i="25"/>
  <c r="Y791" i="25"/>
  <c r="V791" i="25"/>
  <c r="Z791" i="25"/>
  <c r="V783" i="25"/>
  <c r="W783" i="25"/>
  <c r="X783" i="25"/>
  <c r="Y783" i="25"/>
  <c r="Z783" i="25"/>
  <c r="AA783" i="25"/>
  <c r="Z775" i="25"/>
  <c r="AA775" i="25"/>
  <c r="V775" i="25"/>
  <c r="W775" i="25"/>
  <c r="X775" i="25"/>
  <c r="W767" i="25"/>
  <c r="X767" i="25"/>
  <c r="Y767" i="25"/>
  <c r="V767" i="25"/>
  <c r="Z767" i="25"/>
  <c r="V759" i="25"/>
  <c r="W759" i="25"/>
  <c r="X759" i="25"/>
  <c r="Y759" i="25"/>
  <c r="Z759" i="25"/>
  <c r="Z751" i="25"/>
  <c r="AA751" i="25"/>
  <c r="V751" i="25"/>
  <c r="W751" i="25"/>
  <c r="X751" i="25"/>
  <c r="X799" i="25"/>
  <c r="Y751" i="25"/>
  <c r="AB3570" i="25"/>
  <c r="AB3546" i="25"/>
  <c r="AB3522" i="25"/>
  <c r="AB3490" i="25"/>
  <c r="AB3466" i="25"/>
  <c r="AB3442" i="25"/>
  <c r="AB3418" i="25"/>
  <c r="AB3394" i="25"/>
  <c r="AB3370" i="25"/>
  <c r="AB3354" i="25"/>
  <c r="AB3346" i="25"/>
  <c r="AB3338" i="25"/>
  <c r="AB3314" i="25"/>
  <c r="AB3306" i="25"/>
  <c r="AB3298" i="25"/>
  <c r="AB3290" i="25"/>
  <c r="AB3282" i="25"/>
  <c r="AB3274" i="25"/>
  <c r="AB3266" i="25"/>
  <c r="AB3258" i="25"/>
  <c r="AB3250" i="25"/>
  <c r="AB3242" i="25"/>
  <c r="AB3234" i="25"/>
  <c r="AB3225" i="25"/>
  <c r="AB3217" i="25"/>
  <c r="AB3209" i="25"/>
  <c r="AB3190" i="25"/>
  <c r="AB3180" i="25"/>
  <c r="AB3172" i="25"/>
  <c r="AB3164" i="25"/>
  <c r="AB3156" i="25"/>
  <c r="AB3145" i="25"/>
  <c r="AB3137" i="25"/>
  <c r="AB3129" i="25"/>
  <c r="AB3121" i="25"/>
  <c r="AB3113" i="25"/>
  <c r="AB3105" i="25"/>
  <c r="AB3097" i="25"/>
  <c r="AB3089" i="25"/>
  <c r="AB3081" i="25"/>
  <c r="AB3073" i="25"/>
  <c r="AB3065" i="25"/>
  <c r="AB3057" i="25"/>
  <c r="AB3049" i="25"/>
  <c r="AB3041" i="25"/>
  <c r="AB3033" i="25"/>
  <c r="AB3025" i="25"/>
  <c r="AB3017" i="25"/>
  <c r="AB3009" i="25"/>
  <c r="AB3001" i="25"/>
  <c r="AB2989" i="25"/>
  <c r="AB2981" i="25"/>
  <c r="AB2973" i="25"/>
  <c r="AB2956" i="25"/>
  <c r="AB2948" i="25"/>
  <c r="AB2940" i="25"/>
  <c r="AB2932" i="25"/>
  <c r="AB2924" i="25"/>
  <c r="AB2916" i="25"/>
  <c r="AB2908" i="25"/>
  <c r="AB2900" i="25"/>
  <c r="AB2892" i="25"/>
  <c r="AB2884" i="25"/>
  <c r="AB2876" i="25"/>
  <c r="AB2868" i="25"/>
  <c r="AB2860" i="25"/>
  <c r="AB2852" i="25"/>
  <c r="AB2844" i="25"/>
  <c r="AB2836" i="25"/>
  <c r="AB2828" i="25"/>
  <c r="AB2820" i="25"/>
  <c r="AB2812" i="25"/>
  <c r="AB2804" i="25"/>
  <c r="AB2796" i="25"/>
  <c r="AB2788" i="25"/>
  <c r="AB2780" i="25"/>
  <c r="AB2772" i="25"/>
  <c r="AB2764" i="25"/>
  <c r="AB2753" i="25"/>
  <c r="AB2745" i="25"/>
  <c r="AB2736" i="25"/>
  <c r="AB2728" i="25"/>
  <c r="AB2720" i="25"/>
  <c r="AB2712" i="25"/>
  <c r="AB2704" i="25"/>
  <c r="AB2696" i="25"/>
  <c r="AB2688" i="25"/>
  <c r="AB2680" i="25"/>
  <c r="AB2672" i="25"/>
  <c r="AB2664" i="25"/>
  <c r="AB2656" i="25"/>
  <c r="AB2648" i="25"/>
  <c r="AB2640" i="25"/>
  <c r="AB2632" i="25"/>
  <c r="AB2624" i="25"/>
  <c r="AB2616" i="25"/>
  <c r="AB2608" i="25"/>
  <c r="AB2600" i="25"/>
  <c r="AB2592" i="25"/>
  <c r="AB2584" i="25"/>
  <c r="AB2576" i="25"/>
  <c r="AB2568" i="25"/>
  <c r="AB2560" i="25"/>
  <c r="AB2552" i="25"/>
  <c r="AB2544" i="25"/>
  <c r="AB3578" i="25"/>
  <c r="AB3554" i="25"/>
  <c r="AB3530" i="25"/>
  <c r="AB3506" i="25"/>
  <c r="AB3474" i="25"/>
  <c r="AB3450" i="25"/>
  <c r="AB3426" i="25"/>
  <c r="AB3402" i="25"/>
  <c r="AB3378" i="25"/>
  <c r="AB3362" i="25"/>
  <c r="AB3330" i="25"/>
  <c r="AB3586" i="25"/>
  <c r="AB3562" i="25"/>
  <c r="AB3538" i="25"/>
  <c r="AB3514" i="25"/>
  <c r="AB3498" i="25"/>
  <c r="AB3482" i="25"/>
  <c r="AB3458" i="25"/>
  <c r="AB3434" i="25"/>
  <c r="AB3410" i="25"/>
  <c r="AB3386" i="25"/>
  <c r="AB3322" i="25"/>
  <c r="AA791" i="25"/>
  <c r="Y815" i="25"/>
  <c r="Y775" i="25"/>
  <c r="AA759" i="25"/>
  <c r="AB2536" i="25"/>
  <c r="AB2528" i="25"/>
  <c r="AB2520" i="25"/>
  <c r="AB2512" i="25"/>
  <c r="AB2504" i="25"/>
  <c r="AB2496" i="25"/>
  <c r="AB2488" i="25"/>
  <c r="AB2480" i="25"/>
  <c r="AB2472" i="25"/>
  <c r="AB2464" i="25"/>
  <c r="AB2456" i="25"/>
  <c r="AB2448" i="25"/>
  <c r="AB2440" i="25"/>
  <c r="AB2432" i="25"/>
  <c r="AB2424" i="25"/>
  <c r="AB2416" i="25"/>
  <c r="AB2408" i="25"/>
  <c r="AB2400" i="25"/>
  <c r="AB2392" i="25"/>
  <c r="AB2384" i="25"/>
  <c r="AB2376" i="25"/>
  <c r="AB2368" i="25"/>
  <c r="AB2360" i="25"/>
  <c r="AB2352" i="25"/>
  <c r="AB2344" i="25"/>
  <c r="AB2336" i="25"/>
  <c r="AB2328" i="25"/>
  <c r="AB2320" i="25"/>
  <c r="AB2312" i="25"/>
  <c r="AB2304" i="25"/>
  <c r="AB2296" i="25"/>
  <c r="AB2288" i="25"/>
  <c r="AB2280" i="25"/>
  <c r="AB2272" i="25"/>
  <c r="AB2264" i="25"/>
  <c r="AB2256" i="25"/>
  <c r="AB2248" i="25"/>
  <c r="AB2240" i="25"/>
  <c r="AB2232" i="25"/>
  <c r="AB2224" i="25"/>
  <c r="AB2216" i="25"/>
  <c r="AB2208" i="25"/>
  <c r="AB2200" i="25"/>
  <c r="AB2192" i="25"/>
  <c r="AB2184" i="25"/>
  <c r="AB2176" i="25"/>
  <c r="AB2168" i="25"/>
  <c r="AB2160" i="25"/>
  <c r="AB2152" i="25"/>
  <c r="AB2144" i="25"/>
  <c r="AB2136" i="25"/>
  <c r="AB2128" i="25"/>
  <c r="AB2120" i="25"/>
  <c r="AB2112" i="25"/>
  <c r="AB2104" i="25"/>
  <c r="AB2096" i="25"/>
  <c r="AB2088" i="25"/>
  <c r="AB2080" i="25"/>
  <c r="AB2072" i="25"/>
  <c r="AB2064" i="25"/>
  <c r="AB2056" i="25"/>
  <c r="AB2049" i="25"/>
  <c r="AB2026" i="25"/>
  <c r="AB2022" i="25"/>
  <c r="AB2018" i="25"/>
  <c r="AB2014" i="25"/>
  <c r="AB2007" i="25"/>
  <c r="AB1999" i="25"/>
  <c r="AB1991" i="25"/>
  <c r="AB1983" i="25"/>
  <c r="AB1975" i="25"/>
  <c r="AB1967" i="25"/>
  <c r="AB1959" i="25"/>
  <c r="AB1951" i="25"/>
  <c r="AB1943" i="25"/>
  <c r="AB1935" i="25"/>
  <c r="AB1927" i="25"/>
  <c r="AB1919" i="25"/>
  <c r="AB1911" i="25"/>
  <c r="X832" i="25"/>
  <c r="Z824" i="25"/>
  <c r="E9" i="40"/>
  <c r="V826" i="25"/>
  <c r="V825" i="25"/>
  <c r="Z814" i="25"/>
  <c r="Y774" i="25"/>
  <c r="X782" i="25"/>
  <c r="X750" i="25"/>
  <c r="AA758" i="25"/>
  <c r="AA822" i="25"/>
  <c r="D9" i="40"/>
  <c r="AA830" i="25"/>
  <c r="Y814" i="25"/>
  <c r="AA806" i="25"/>
  <c r="X774" i="25"/>
  <c r="W782" i="25"/>
  <c r="W750" i="25"/>
  <c r="AA766" i="25"/>
  <c r="Z758" i="25"/>
  <c r="Z822" i="25"/>
  <c r="V782" i="25"/>
  <c r="AB822" i="25"/>
  <c r="AB814" i="25"/>
  <c r="AB806" i="25"/>
  <c r="AB798" i="25"/>
  <c r="AB790" i="25"/>
  <c r="AB782" i="25"/>
  <c r="AB774" i="25"/>
  <c r="AB766" i="25"/>
  <c r="AB758" i="25"/>
  <c r="AB750" i="25"/>
  <c r="Z830" i="25"/>
  <c r="X814" i="25"/>
  <c r="Z806" i="25"/>
  <c r="W774" i="25"/>
  <c r="Z766" i="25"/>
  <c r="Y758" i="25"/>
  <c r="Y822" i="25"/>
  <c r="V806" i="25"/>
  <c r="V750" i="25"/>
  <c r="Y830" i="25"/>
  <c r="AA798" i="25"/>
  <c r="W814" i="25"/>
  <c r="Y806" i="25"/>
  <c r="AA790" i="25"/>
  <c r="Y766" i="25"/>
  <c r="X758" i="25"/>
  <c r="Z827" i="25"/>
  <c r="X822" i="25"/>
  <c r="V774" i="25"/>
  <c r="V822" i="25"/>
  <c r="W830" i="25"/>
  <c r="AA835" i="25"/>
  <c r="Z798" i="25"/>
  <c r="X806" i="25"/>
  <c r="Z790" i="25"/>
  <c r="X766" i="25"/>
  <c r="W758" i="25"/>
  <c r="Y827" i="25"/>
  <c r="V821" i="25"/>
  <c r="AA837" i="25"/>
  <c r="Z835" i="25"/>
  <c r="Y798" i="25"/>
  <c r="AA782" i="25"/>
  <c r="Y790" i="25"/>
  <c r="AA750" i="25"/>
  <c r="W766" i="25"/>
  <c r="AA819" i="25"/>
  <c r="X827" i="25"/>
  <c r="Z821" i="25"/>
  <c r="V798" i="25"/>
  <c r="V819" i="25"/>
  <c r="Z837" i="25"/>
  <c r="W827" i="25"/>
  <c r="Y821" i="25"/>
  <c r="Y837" i="25"/>
  <c r="Z813" i="25"/>
  <c r="W825" i="25"/>
  <c r="X821" i="25"/>
  <c r="AB837" i="25"/>
  <c r="AB821" i="25"/>
  <c r="AB805" i="25"/>
  <c r="AB797" i="25"/>
  <c r="AB789" i="25"/>
  <c r="AB781" i="25"/>
  <c r="AB773" i="25"/>
  <c r="AA829" i="25"/>
  <c r="X837" i="25"/>
  <c r="Y836" i="25"/>
  <c r="Y772" i="25"/>
  <c r="Y813" i="25"/>
  <c r="W821" i="25"/>
  <c r="AB828" i="25"/>
  <c r="Z829" i="25"/>
  <c r="W837" i="25"/>
  <c r="V829" i="25"/>
  <c r="Y829" i="25"/>
  <c r="Z834" i="25"/>
  <c r="W813" i="25"/>
  <c r="Z826" i="25"/>
  <c r="V797" i="25"/>
  <c r="X829" i="25"/>
  <c r="X804" i="25"/>
  <c r="Y805" i="25"/>
  <c r="AA825" i="25"/>
  <c r="V834" i="25"/>
  <c r="Y780" i="25"/>
  <c r="Y796" i="25"/>
  <c r="Y788" i="25"/>
  <c r="W764" i="25"/>
  <c r="W833" i="25"/>
  <c r="Y831" i="25"/>
  <c r="V830" i="25"/>
  <c r="AB830" i="25"/>
  <c r="X831" i="25"/>
  <c r="AA823" i="25"/>
  <c r="W831" i="25"/>
  <c r="Z823" i="25"/>
  <c r="AA833" i="25"/>
  <c r="V833" i="25"/>
  <c r="Z833" i="25"/>
  <c r="Y833" i="25"/>
  <c r="AA831" i="25"/>
  <c r="V831" i="25"/>
  <c r="AA770" i="25"/>
  <c r="Y794" i="25"/>
  <c r="Y754" i="25"/>
  <c r="Y762" i="25"/>
  <c r="V770" i="25"/>
  <c r="V802" i="25"/>
  <c r="V754" i="25"/>
  <c r="AB812" i="25"/>
  <c r="AA834" i="25"/>
  <c r="Z770" i="25"/>
  <c r="AA810" i="25"/>
  <c r="X794" i="25"/>
  <c r="AA745" i="25"/>
  <c r="X754" i="25"/>
  <c r="X762" i="25"/>
  <c r="AA826" i="25"/>
  <c r="V786" i="25"/>
  <c r="Y834" i="25"/>
  <c r="X770" i="25"/>
  <c r="Z802" i="25"/>
  <c r="AA818" i="25"/>
  <c r="Y810" i="25"/>
  <c r="Z778" i="25"/>
  <c r="Z786" i="25"/>
  <c r="Y745" i="25"/>
  <c r="Y826" i="25"/>
  <c r="V810" i="25"/>
  <c r="V778" i="25"/>
  <c r="V762" i="25"/>
  <c r="X834" i="25"/>
  <c r="Y802" i="25"/>
  <c r="Z818" i="25"/>
  <c r="X810" i="25"/>
  <c r="Y778" i="25"/>
  <c r="Y786" i="25"/>
  <c r="X745" i="25"/>
  <c r="X826" i="25"/>
  <c r="X802" i="25"/>
  <c r="Y818" i="25"/>
  <c r="X778" i="25"/>
  <c r="X786" i="25"/>
  <c r="W745" i="25"/>
  <c r="V818" i="25"/>
  <c r="X818" i="25"/>
  <c r="AA794" i="25"/>
  <c r="AA754" i="25"/>
  <c r="AA762" i="25"/>
  <c r="AA746" i="25"/>
  <c r="Z746" i="25"/>
  <c r="Y746" i="25"/>
  <c r="X746" i="25"/>
  <c r="AB836" i="25"/>
  <c r="X836" i="25"/>
  <c r="X772" i="25"/>
  <c r="W804" i="25"/>
  <c r="AA812" i="25"/>
  <c r="X780" i="25"/>
  <c r="X796" i="25"/>
  <c r="X788" i="25"/>
  <c r="AA756" i="25"/>
  <c r="Y820" i="25"/>
  <c r="V764" i="25"/>
  <c r="AA828" i="25"/>
  <c r="W836" i="25"/>
  <c r="W772" i="25"/>
  <c r="Z812" i="25"/>
  <c r="W780" i="25"/>
  <c r="W796" i="25"/>
  <c r="W788" i="25"/>
  <c r="Z756" i="25"/>
  <c r="X820" i="25"/>
  <c r="V812" i="25"/>
  <c r="V756" i="25"/>
  <c r="Z828" i="25"/>
  <c r="Z820" i="25"/>
  <c r="V820" i="25"/>
  <c r="AB804" i="25"/>
  <c r="AB756" i="25"/>
  <c r="Y812" i="25"/>
  <c r="Y756" i="25"/>
  <c r="AA748" i="25"/>
  <c r="W820" i="25"/>
  <c r="V836" i="25"/>
  <c r="V772" i="25"/>
  <c r="V780" i="25"/>
  <c r="V796" i="25"/>
  <c r="V788" i="25"/>
  <c r="Y828" i="25"/>
  <c r="AB788" i="25"/>
  <c r="AB748" i="25"/>
  <c r="X812" i="25"/>
  <c r="X756" i="25"/>
  <c r="Z748" i="25"/>
  <c r="AA764" i="25"/>
  <c r="V748" i="25"/>
  <c r="X828" i="25"/>
  <c r="AB796" i="25"/>
  <c r="AB820" i="25"/>
  <c r="AA804" i="25"/>
  <c r="W812" i="25"/>
  <c r="Y748" i="25"/>
  <c r="Z764" i="25"/>
  <c r="W828" i="25"/>
  <c r="AB780" i="25"/>
  <c r="AA836" i="25"/>
  <c r="AA772" i="25"/>
  <c r="Z804" i="25"/>
  <c r="AA780" i="25"/>
  <c r="AA796" i="25"/>
  <c r="AA788" i="25"/>
  <c r="X748" i="25"/>
  <c r="Y764" i="25"/>
  <c r="V804" i="25"/>
  <c r="AB764" i="25"/>
  <c r="AB3665" i="25"/>
  <c r="AB3657" i="25"/>
  <c r="AB3649" i="25"/>
  <c r="AB3641" i="25"/>
  <c r="AB3633" i="25"/>
  <c r="AB3621" i="25"/>
  <c r="AB3612" i="25"/>
  <c r="AB3604" i="25"/>
  <c r="AB3596" i="25"/>
  <c r="AB3588" i="25"/>
  <c r="AB3580" i="25"/>
  <c r="AB3572" i="25"/>
  <c r="AB3564" i="25"/>
  <c r="AB3556" i="25"/>
  <c r="AB3548" i="25"/>
  <c r="AB3540" i="25"/>
  <c r="AB3532" i="25"/>
  <c r="AB3524" i="25"/>
  <c r="AB3516" i="25"/>
  <c r="AB3508" i="25"/>
  <c r="AB3500" i="25"/>
  <c r="AB3492" i="25"/>
  <c r="AB3484" i="25"/>
  <c r="AB3476" i="25"/>
  <c r="AB3468" i="25"/>
  <c r="AB3460" i="25"/>
  <c r="AB3452" i="25"/>
  <c r="AB3444" i="25"/>
  <c r="AB3436" i="25"/>
  <c r="AB3428" i="25"/>
  <c r="AB3420" i="25"/>
  <c r="AB3412" i="25"/>
  <c r="AB3404" i="25"/>
  <c r="AB3396" i="25"/>
  <c r="AB3388" i="25"/>
  <c r="AB3380" i="25"/>
  <c r="AB3372" i="25"/>
  <c r="AB3364" i="25"/>
  <c r="AB3356" i="25"/>
  <c r="AB3348" i="25"/>
  <c r="AB3340" i="25"/>
  <c r="AB3332" i="25"/>
  <c r="AB3324" i="25"/>
  <c r="AB3316" i="25"/>
  <c r="AB3308" i="25"/>
  <c r="AB3300" i="25"/>
  <c r="AB3292" i="25"/>
  <c r="AB3284" i="25"/>
  <c r="AB3276" i="25"/>
  <c r="AB3268" i="25"/>
  <c r="AB3260" i="25"/>
  <c r="AB3252" i="25"/>
  <c r="AB3244" i="25"/>
  <c r="AB3236" i="25"/>
  <c r="AB3227" i="25"/>
  <c r="AB3219" i="25"/>
  <c r="AB3211" i="25"/>
  <c r="AB3194" i="25"/>
  <c r="AB3182" i="25"/>
  <c r="AB3174" i="25"/>
  <c r="AB3166" i="25"/>
  <c r="AB3158" i="25"/>
  <c r="AB3150" i="25"/>
  <c r="AB3139" i="25"/>
  <c r="AB3131" i="25"/>
  <c r="AB3123" i="25"/>
  <c r="AB3115" i="25"/>
  <c r="AB3107" i="25"/>
  <c r="AB3099" i="25"/>
  <c r="AB3091" i="25"/>
  <c r="AB3083" i="25"/>
  <c r="AB3075" i="25"/>
  <c r="AB3067" i="25"/>
  <c r="AB3059" i="25"/>
  <c r="AB3051" i="25"/>
  <c r="AB3043" i="25"/>
  <c r="AB3035" i="25"/>
  <c r="AB3027" i="25"/>
  <c r="AB3019" i="25"/>
  <c r="AB3011" i="25"/>
  <c r="AB3003" i="25"/>
  <c r="AB2991" i="25"/>
  <c r="AB2983" i="25"/>
  <c r="AB2975" i="25"/>
  <c r="AB2964" i="25"/>
  <c r="AB2950" i="25"/>
  <c r="AB2942" i="25"/>
  <c r="AB2934" i="25"/>
  <c r="AB2926" i="25"/>
  <c r="AB2918" i="25"/>
  <c r="AB2910" i="25"/>
  <c r="AB2902" i="25"/>
  <c r="AB2894" i="25"/>
  <c r="AB2886" i="25"/>
  <c r="AB2878" i="25"/>
  <c r="AB2870" i="25"/>
  <c r="AB2862" i="25"/>
  <c r="AB2854" i="25"/>
  <c r="AB2846" i="25"/>
  <c r="AB2838" i="25"/>
  <c r="AB2830" i="25"/>
  <c r="AB2822" i="25"/>
  <c r="AB2814" i="25"/>
  <c r="AB2806" i="25"/>
  <c r="AB2798" i="25"/>
  <c r="AB2790" i="25"/>
  <c r="AB2782" i="25"/>
  <c r="AB2774" i="25"/>
  <c r="AB2766" i="25"/>
  <c r="AB2756" i="25"/>
  <c r="AB2747" i="25"/>
  <c r="AB2738" i="25"/>
  <c r="AB2730" i="25"/>
  <c r="AB2722" i="25"/>
  <c r="AB2714" i="25"/>
  <c r="AB2706" i="25"/>
  <c r="AB2698" i="25"/>
  <c r="AB2690" i="25"/>
  <c r="AB2682" i="25"/>
  <c r="AB2674" i="25"/>
  <c r="AB2666" i="25"/>
  <c r="AB2658" i="25"/>
  <c r="AB2650" i="25"/>
  <c r="AB2642" i="25"/>
  <c r="AB2634" i="25"/>
  <c r="AB2626" i="25"/>
  <c r="AB2618" i="25"/>
  <c r="AB2610" i="25"/>
  <c r="AB2602" i="25"/>
  <c r="AB2594" i="25"/>
  <c r="AB2586" i="25"/>
  <c r="AB2578" i="25"/>
  <c r="AB2570" i="25"/>
  <c r="AB2562" i="25"/>
  <c r="AB2554" i="25"/>
  <c r="AB2546" i="25"/>
  <c r="AB2538" i="25"/>
  <c r="AB2530" i="25"/>
  <c r="AB2522" i="25"/>
  <c r="AB2514" i="25"/>
  <c r="AB2506" i="25"/>
  <c r="AB2498" i="25"/>
  <c r="AB2490" i="25"/>
  <c r="AB2482" i="25"/>
  <c r="AB2474" i="25"/>
  <c r="AB2466" i="25"/>
  <c r="AB2458" i="25"/>
  <c r="AB2450" i="25"/>
  <c r="AB2442" i="25"/>
  <c r="AB2434" i="25"/>
  <c r="AB2426" i="25"/>
  <c r="AB2418" i="25"/>
  <c r="AB2410" i="25"/>
  <c r="AB2402" i="25"/>
  <c r="AB2394" i="25"/>
  <c r="AB2386" i="25"/>
  <c r="AB2378" i="25"/>
  <c r="AB2370" i="25"/>
  <c r="AB2362" i="25"/>
  <c r="AB2354" i="25"/>
  <c r="AB2346" i="25"/>
  <c r="AB2338" i="25"/>
  <c r="AB2330" i="25"/>
  <c r="AB2322" i="25"/>
  <c r="AB2314" i="25"/>
  <c r="AB2306" i="25"/>
  <c r="AB2298" i="25"/>
  <c r="AB2290" i="25"/>
  <c r="AB2282" i="25"/>
  <c r="AB2274" i="25"/>
  <c r="AB2266" i="25"/>
  <c r="AB2258" i="25"/>
  <c r="AB2250" i="25"/>
  <c r="AB2242" i="25"/>
  <c r="AB2234" i="25"/>
  <c r="AB2226" i="25"/>
  <c r="AB2218" i="25"/>
  <c r="AB2210" i="25"/>
  <c r="AB2202" i="25"/>
  <c r="AB2194" i="25"/>
  <c r="AB2186" i="25"/>
  <c r="AB2178" i="25"/>
  <c r="AB2170" i="25"/>
  <c r="AB2162" i="25"/>
  <c r="AB2154" i="25"/>
  <c r="AB2146" i="25"/>
  <c r="AB2138" i="25"/>
  <c r="AB2130" i="25"/>
  <c r="AB2122" i="25"/>
  <c r="AB2114" i="25"/>
  <c r="AB2106" i="25"/>
  <c r="AB2098" i="25"/>
  <c r="AB2090" i="25"/>
  <c r="AB2082" i="25"/>
  <c r="AB2074" i="25"/>
  <c r="AB2066" i="25"/>
  <c r="AB2058" i="25"/>
  <c r="AB2050" i="25"/>
  <c r="AB2027" i="25"/>
  <c r="AB2023" i="25"/>
  <c r="AB2019" i="25"/>
  <c r="AB2015" i="25"/>
  <c r="AB2011" i="25"/>
  <c r="AB2001" i="25"/>
  <c r="AB1993" i="25"/>
  <c r="AB1985" i="25"/>
  <c r="AB1977" i="25"/>
  <c r="AB1969" i="25"/>
  <c r="AB1961" i="25"/>
  <c r="AB1953" i="25"/>
  <c r="AB1945" i="25"/>
  <c r="AB1937" i="25"/>
  <c r="AB1929" i="25"/>
  <c r="AB1921" i="25"/>
  <c r="AB1913" i="25"/>
  <c r="AB1905" i="25"/>
  <c r="AB1897" i="25"/>
  <c r="AB1889" i="25"/>
  <c r="AB1881" i="25"/>
  <c r="AB1873" i="25"/>
  <c r="AB1865" i="25"/>
  <c r="AB1857" i="25"/>
  <c r="AB1849" i="25"/>
  <c r="AB1841" i="25"/>
  <c r="AB1833" i="25"/>
  <c r="AB1825" i="25"/>
  <c r="AB1817" i="25"/>
  <c r="AB1809" i="25"/>
  <c r="AB1801" i="25"/>
  <c r="AB1793" i="25"/>
  <c r="AB1785" i="25"/>
  <c r="AB1777" i="25"/>
  <c r="AB1769" i="25"/>
  <c r="AB1761" i="25"/>
  <c r="AB1753" i="25"/>
  <c r="AB1745" i="25"/>
  <c r="AB1737" i="25"/>
  <c r="AB1729" i="25"/>
  <c r="AB1721" i="25"/>
  <c r="AB1713" i="25"/>
  <c r="AB1705" i="25"/>
  <c r="AB1697" i="25"/>
  <c r="AB1689" i="25"/>
  <c r="AB1681" i="25"/>
  <c r="AB1673" i="25"/>
  <c r="AB1665" i="25"/>
  <c r="AB1657" i="25"/>
  <c r="AB1649" i="25"/>
  <c r="AB1641" i="25"/>
  <c r="AB1633" i="25"/>
  <c r="AB1625" i="25"/>
  <c r="AB1617" i="25"/>
  <c r="AB1609" i="25"/>
  <c r="AB1601" i="25"/>
  <c r="AB1593" i="25"/>
  <c r="AB1585" i="25"/>
  <c r="AB1577" i="25"/>
  <c r="AB1569" i="25"/>
  <c r="AB1561" i="25"/>
  <c r="AB1553" i="25"/>
  <c r="AB1545" i="25"/>
  <c r="AB1537" i="25"/>
  <c r="AB1529" i="25"/>
  <c r="AB1521" i="25"/>
  <c r="AB1513" i="25"/>
  <c r="AB1505" i="25"/>
  <c r="AB1497" i="25"/>
  <c r="AB1489" i="25"/>
  <c r="AB1481" i="25"/>
  <c r="AB1473" i="25"/>
  <c r="AB1465" i="25"/>
  <c r="AB1457" i="25"/>
  <c r="AB1449" i="25"/>
  <c r="AB1441" i="25"/>
  <c r="AB1433" i="25"/>
  <c r="AB1425" i="25"/>
  <c r="AB1417" i="25"/>
  <c r="AB1409" i="25"/>
  <c r="AB1401" i="25"/>
  <c r="AB1393" i="25"/>
  <c r="AB1385" i="25"/>
  <c r="AB1377" i="25"/>
  <c r="AB1369" i="25"/>
  <c r="AB1361" i="25"/>
  <c r="AB1353" i="25"/>
  <c r="AB1345" i="25"/>
  <c r="AB1337" i="25"/>
  <c r="AB1329" i="25"/>
  <c r="AB1321" i="25"/>
  <c r="AB1313" i="25"/>
  <c r="AB1305" i="25"/>
  <c r="AB1297" i="25"/>
  <c r="AB1289" i="25"/>
  <c r="AB1281" i="25"/>
  <c r="AB1273" i="25"/>
  <c r="AB1265" i="25"/>
  <c r="AB1257" i="25"/>
  <c r="AB1249" i="25"/>
  <c r="AB1241" i="25"/>
  <c r="AB1243" i="25"/>
  <c r="AB1235" i="25"/>
  <c r="AB1227" i="25"/>
  <c r="AB1219" i="25"/>
  <c r="AB1211" i="25"/>
  <c r="AB1203" i="25"/>
  <c r="AB1195" i="25"/>
  <c r="AB1187" i="25"/>
  <c r="AB1179" i="25"/>
  <c r="AB1171" i="25"/>
  <c r="AB1163" i="25"/>
  <c r="AB1155" i="25"/>
  <c r="AB1147" i="25"/>
  <c r="AB1139" i="25"/>
  <c r="AB1131" i="25"/>
  <c r="AB1123" i="25"/>
  <c r="AB1115" i="25"/>
  <c r="AB1107" i="25"/>
  <c r="AB1099" i="25"/>
  <c r="AB1091" i="25"/>
  <c r="AB1083" i="25"/>
  <c r="AB1075" i="25"/>
  <c r="AB1067" i="25"/>
  <c r="AB1059" i="25"/>
  <c r="AB1051" i="25"/>
  <c r="AB1043" i="25"/>
  <c r="AB1035" i="25"/>
  <c r="AB1020" i="25"/>
  <c r="AB1011" i="25"/>
  <c r="AB1003" i="25"/>
  <c r="AB995" i="25"/>
  <c r="AB987" i="25"/>
  <c r="AB979" i="25"/>
  <c r="AB971" i="25"/>
  <c r="AB963" i="25"/>
  <c r="AB955" i="25"/>
  <c r="AB945" i="25"/>
  <c r="AB937" i="25"/>
  <c r="AB931" i="25"/>
  <c r="AB922" i="25"/>
  <c r="AB914" i="25"/>
  <c r="AB901" i="25"/>
  <c r="AB893" i="25"/>
  <c r="AB885" i="25"/>
  <c r="AB877" i="25"/>
  <c r="AB869" i="25"/>
  <c r="AB861" i="25"/>
  <c r="AB848" i="25"/>
  <c r="AB840" i="25"/>
  <c r="AB738" i="25"/>
  <c r="AB730" i="25"/>
  <c r="AB722" i="25"/>
  <c r="AB714" i="25"/>
  <c r="AB706" i="25"/>
  <c r="AB698" i="25"/>
  <c r="AB690" i="25"/>
  <c r="AB682" i="25"/>
  <c r="AB674" i="25"/>
  <c r="AB666" i="25"/>
  <c r="AB658" i="25"/>
  <c r="AB650" i="25"/>
  <c r="AB642" i="25"/>
  <c r="AB634" i="25"/>
  <c r="AB626" i="25"/>
  <c r="AB618" i="25"/>
  <c r="AB610" i="25"/>
  <c r="AB602" i="25"/>
  <c r="AB594" i="25"/>
  <c r="AB586" i="25"/>
  <c r="AB578" i="25"/>
  <c r="AB570" i="25"/>
  <c r="AB562" i="25"/>
  <c r="AB554" i="25"/>
  <c r="AB546" i="25"/>
  <c r="AB538" i="25"/>
  <c r="AB530" i="25"/>
  <c r="AB522" i="25"/>
  <c r="AB514" i="25"/>
  <c r="AB505" i="25"/>
  <c r="AB497" i="25"/>
  <c r="AB489" i="25"/>
  <c r="AB481" i="25"/>
  <c r="AB473" i="25"/>
  <c r="AB465" i="25"/>
  <c r="AB59" i="25"/>
  <c r="AB101" i="25"/>
  <c r="AB1903" i="25"/>
  <c r="AB1895" i="25"/>
  <c r="AB1887" i="25"/>
  <c r="AB1879" i="25"/>
  <c r="AB1871" i="25"/>
  <c r="AB1863" i="25"/>
  <c r="AB1855" i="25"/>
  <c r="AB1847" i="25"/>
  <c r="AB1839" i="25"/>
  <c r="AB1831" i="25"/>
  <c r="AB1823" i="25"/>
  <c r="AB1815" i="25"/>
  <c r="AB1807" i="25"/>
  <c r="AB1799" i="25"/>
  <c r="AB1791" i="25"/>
  <c r="AB1783" i="25"/>
  <c r="AB1775" i="25"/>
  <c r="AB1767" i="25"/>
  <c r="AB1759" i="25"/>
  <c r="AB1751" i="25"/>
  <c r="AB3661" i="25"/>
  <c r="AB3637" i="25"/>
  <c r="AB3617" i="25"/>
  <c r="AB3592" i="25"/>
  <c r="AB3576" i="25"/>
  <c r="AB3552" i="25"/>
  <c r="AB3536" i="25"/>
  <c r="AB3512" i="25"/>
  <c r="AB3496" i="25"/>
  <c r="AB3472" i="25"/>
  <c r="AB3456" i="25"/>
  <c r="AB3432" i="25"/>
  <c r="AB3416" i="25"/>
  <c r="AB3400" i="25"/>
  <c r="AB3384" i="25"/>
  <c r="AB3368" i="25"/>
  <c r="AB3344" i="25"/>
  <c r="AB3328" i="25"/>
  <c r="AB3312" i="25"/>
  <c r="AB3296" i="25"/>
  <c r="AB3280" i="25"/>
  <c r="AB3264" i="25"/>
  <c r="AB3240" i="25"/>
  <c r="AB3223" i="25"/>
  <c r="AB3207" i="25"/>
  <c r="AB3170" i="25"/>
  <c r="AB3154" i="25"/>
  <c r="AB3135" i="25"/>
  <c r="AB3119" i="25"/>
  <c r="AB3103" i="25"/>
  <c r="AB3087" i="25"/>
  <c r="AB3071" i="25"/>
  <c r="AB3047" i="25"/>
  <c r="AB3031" i="25"/>
  <c r="AB3015" i="25"/>
  <c r="AB2998" i="25"/>
  <c r="AB2979" i="25"/>
  <c r="AB2946" i="25"/>
  <c r="AB2930" i="25"/>
  <c r="AB2914" i="25"/>
  <c r="AB2898" i="25"/>
  <c r="AB2874" i="25"/>
  <c r="AB2858" i="25"/>
  <c r="AB2834" i="25"/>
  <c r="AB2786" i="25"/>
  <c r="AB2478" i="25"/>
  <c r="AB3653" i="25"/>
  <c r="AB3645" i="25"/>
  <c r="AB3624" i="25"/>
  <c r="AB3608" i="25"/>
  <c r="AB3600" i="25"/>
  <c r="AB3584" i="25"/>
  <c r="AB3568" i="25"/>
  <c r="AB3560" i="25"/>
  <c r="AB3544" i="25"/>
  <c r="AB3528" i="25"/>
  <c r="AB3520" i="25"/>
  <c r="AB3504" i="25"/>
  <c r="AB3488" i="25"/>
  <c r="AB3480" i="25"/>
  <c r="AB3464" i="25"/>
  <c r="AB3448" i="25"/>
  <c r="AB3440" i="25"/>
  <c r="AB3424" i="25"/>
  <c r="AB3408" i="25"/>
  <c r="AB3392" i="25"/>
  <c r="AB3376" i="25"/>
  <c r="AB3360" i="25"/>
  <c r="AB3352" i="25"/>
  <c r="AB3336" i="25"/>
  <c r="AB3320" i="25"/>
  <c r="AB3304" i="25"/>
  <c r="AB3288" i="25"/>
  <c r="AB3272" i="25"/>
  <c r="AB3256" i="25"/>
  <c r="AB3248" i="25"/>
  <c r="AB3232" i="25"/>
  <c r="AB3215" i="25"/>
  <c r="AB3186" i="25"/>
  <c r="AB3178" i="25"/>
  <c r="AB3162" i="25"/>
  <c r="AB3143" i="25"/>
  <c r="AB3127" i="25"/>
  <c r="AB3111" i="25"/>
  <c r="AB3095" i="25"/>
  <c r="AB3079" i="25"/>
  <c r="AB3063" i="25"/>
  <c r="AB3055" i="25"/>
  <c r="AB3039" i="25"/>
  <c r="AB3023" i="25"/>
  <c r="AB3007" i="25"/>
  <c r="AB2987" i="25"/>
  <c r="AB2968" i="25"/>
  <c r="AB2954" i="25"/>
  <c r="AB2938" i="25"/>
  <c r="AB2922" i="25"/>
  <c r="AB2906" i="25"/>
  <c r="AB2890" i="25"/>
  <c r="AB2882" i="25"/>
  <c r="AB2866" i="25"/>
  <c r="AB2850" i="25"/>
  <c r="AB2842" i="25"/>
  <c r="AB2826" i="25"/>
  <c r="AB2818" i="25"/>
  <c r="AB2810" i="25"/>
  <c r="AB2802" i="25"/>
  <c r="AB2794" i="25"/>
  <c r="AB2778" i="25"/>
  <c r="AB2770" i="25"/>
  <c r="AB2761" i="25"/>
  <c r="AB2751" i="25"/>
  <c r="AB2743" i="25"/>
  <c r="AB2734" i="25"/>
  <c r="AB2726" i="25"/>
  <c r="AB2718" i="25"/>
  <c r="AB2710" i="25"/>
  <c r="AB2702" i="25"/>
  <c r="AB2694" i="25"/>
  <c r="AB2686" i="25"/>
  <c r="AB2678" i="25"/>
  <c r="AB2670" i="25"/>
  <c r="AB2662" i="25"/>
  <c r="AB2654" i="25"/>
  <c r="AB2646" i="25"/>
  <c r="AB2638" i="25"/>
  <c r="AB2630" i="25"/>
  <c r="AB2622" i="25"/>
  <c r="AB2614" i="25"/>
  <c r="AB2606" i="25"/>
  <c r="AB2598" i="25"/>
  <c r="AB2590" i="25"/>
  <c r="AB2582" i="25"/>
  <c r="AB2574" i="25"/>
  <c r="AB2566" i="25"/>
  <c r="AB2558" i="25"/>
  <c r="AB2550" i="25"/>
  <c r="AB2542" i="25"/>
  <c r="AB2534" i="25"/>
  <c r="AB2526" i="25"/>
  <c r="AB2518" i="25"/>
  <c r="AB2510" i="25"/>
  <c r="AB2502" i="25"/>
  <c r="AB2494" i="25"/>
  <c r="AB2486" i="25"/>
  <c r="AB2470" i="25"/>
  <c r="AB2399" i="25"/>
  <c r="AB2391" i="25"/>
  <c r="AB2383" i="25"/>
  <c r="AB2375" i="25"/>
  <c r="AB2367" i="25"/>
  <c r="AB2359" i="25"/>
  <c r="AB2351" i="25"/>
  <c r="AB2343" i="25"/>
  <c r="AB2335" i="25"/>
  <c r="AB2327" i="25"/>
  <c r="AB2319" i="25"/>
  <c r="AB2311" i="25"/>
  <c r="AB2303" i="25"/>
  <c r="AB2295" i="25"/>
  <c r="AB2287" i="25"/>
  <c r="AB2279" i="25"/>
  <c r="AB2271" i="25"/>
  <c r="AB2263" i="25"/>
  <c r="AB2255" i="25"/>
  <c r="AB2247" i="25"/>
  <c r="AB2239" i="25"/>
  <c r="AB2231" i="25"/>
  <c r="AB2223" i="25"/>
  <c r="AB2215" i="25"/>
  <c r="AB2207" i="25"/>
  <c r="AB2199" i="25"/>
  <c r="AB2191" i="25"/>
  <c r="AB2183" i="25"/>
  <c r="AB2175" i="25"/>
  <c r="AB2167" i="25"/>
  <c r="AB2159" i="25"/>
  <c r="AB2151" i="25"/>
  <c r="AB2143" i="25"/>
  <c r="AB2135" i="25"/>
  <c r="AB2127" i="25"/>
  <c r="AB2119" i="25"/>
  <c r="AB2111" i="25"/>
  <c r="AB2103" i="25"/>
  <c r="AB2095" i="25"/>
  <c r="AB2087" i="25"/>
  <c r="AB2079" i="25"/>
  <c r="AB2071" i="25"/>
  <c r="AB2063" i="25"/>
  <c r="AB2055" i="25"/>
  <c r="AB2010" i="25"/>
  <c r="AB2044" i="25"/>
  <c r="AB2040" i="25"/>
  <c r="AB2036" i="25"/>
  <c r="AB2032" i="25"/>
  <c r="AB2006" i="25"/>
  <c r="AB1998" i="25"/>
  <c r="AB1990" i="25"/>
  <c r="AB1982" i="25"/>
  <c r="AB1974" i="25"/>
  <c r="AB1966" i="25"/>
  <c r="AB1958" i="25"/>
  <c r="AB1950" i="25"/>
  <c r="AB1942" i="25"/>
  <c r="AB1934" i="25"/>
  <c r="AB1926" i="25"/>
  <c r="AB1918" i="25"/>
  <c r="AB1910" i="25"/>
  <c r="AB1902" i="25"/>
  <c r="AB1894" i="25"/>
  <c r="AB1886" i="25"/>
  <c r="AB1878" i="25"/>
  <c r="AB1870" i="25"/>
  <c r="AB1862" i="25"/>
  <c r="AB1854" i="25"/>
  <c r="AB1846" i="25"/>
  <c r="AB1318" i="25"/>
  <c r="AB2462" i="25"/>
  <c r="AB2438" i="25"/>
  <c r="AB2422" i="25"/>
  <c r="AB2406" i="25"/>
  <c r="AB2382" i="25"/>
  <c r="AB2366" i="25"/>
  <c r="AB2350" i="25"/>
  <c r="AB2334" i="25"/>
  <c r="AB2310" i="25"/>
  <c r="AB2294" i="25"/>
  <c r="AB2278" i="25"/>
  <c r="AB2254" i="25"/>
  <c r="AB2238" i="25"/>
  <c r="AB2222" i="25"/>
  <c r="AB2198" i="25"/>
  <c r="AB2182" i="25"/>
  <c r="AB2158" i="25"/>
  <c r="AB2142" i="25"/>
  <c r="AB2126" i="25"/>
  <c r="AB2102" i="25"/>
  <c r="AB2086" i="25"/>
  <c r="AB2070" i="25"/>
  <c r="AB2048" i="25"/>
  <c r="AB2021" i="25"/>
  <c r="AB2013" i="25"/>
  <c r="AB1989" i="25"/>
  <c r="AB1973" i="25"/>
  <c r="AB1957" i="25"/>
  <c r="AB1933" i="25"/>
  <c r="AB1917" i="25"/>
  <c r="AB1901" i="25"/>
  <c r="AB1877" i="25"/>
  <c r="AB1861" i="25"/>
  <c r="AB1845" i="25"/>
  <c r="AB1829" i="25"/>
  <c r="AB1805" i="25"/>
  <c r="AB1789" i="25"/>
  <c r="AB1773" i="25"/>
  <c r="AB1749" i="25"/>
  <c r="AB1733" i="25"/>
  <c r="AB1709" i="25"/>
  <c r="AB1693" i="25"/>
  <c r="AB1677" i="25"/>
  <c r="AB1661" i="25"/>
  <c r="AB1637" i="25"/>
  <c r="AB1621" i="25"/>
  <c r="AB1605" i="25"/>
  <c r="AB1581" i="25"/>
  <c r="AB1565" i="25"/>
  <c r="AB1549" i="25"/>
  <c r="AB1525" i="25"/>
  <c r="AB1509" i="25"/>
  <c r="AB1485" i="25"/>
  <c r="AB1469" i="25"/>
  <c r="AB1453" i="25"/>
  <c r="AB1429" i="25"/>
  <c r="AB1413" i="25"/>
  <c r="AB1389" i="25"/>
  <c r="AB1373" i="25"/>
  <c r="AB1357" i="25"/>
  <c r="AB1333" i="25"/>
  <c r="AB1317" i="25"/>
  <c r="AB1301" i="25"/>
  <c r="AB1277" i="25"/>
  <c r="AB2454" i="25"/>
  <c r="AB2446" i="25"/>
  <c r="AB2430" i="25"/>
  <c r="AB2414" i="25"/>
  <c r="AB2398" i="25"/>
  <c r="AB2390" i="25"/>
  <c r="AB2374" i="25"/>
  <c r="AB2358" i="25"/>
  <c r="AB2342" i="25"/>
  <c r="AB2326" i="25"/>
  <c r="AB2318" i="25"/>
  <c r="AB2302" i="25"/>
  <c r="AB2286" i="25"/>
  <c r="AB2270" i="25"/>
  <c r="AB2262" i="25"/>
  <c r="AB2246" i="25"/>
  <c r="AB2230" i="25"/>
  <c r="AB2214" i="25"/>
  <c r="AB2206" i="25"/>
  <c r="AB2190" i="25"/>
  <c r="AB2174" i="25"/>
  <c r="AB2166" i="25"/>
  <c r="AB2150" i="25"/>
  <c r="AB2134" i="25"/>
  <c r="AB2118" i="25"/>
  <c r="AB2110" i="25"/>
  <c r="AB2094" i="25"/>
  <c r="AB2078" i="25"/>
  <c r="AB2062" i="25"/>
  <c r="AB2054" i="25"/>
  <c r="AB2025" i="25"/>
  <c r="AB2017" i="25"/>
  <c r="AB2005" i="25"/>
  <c r="AB1997" i="25"/>
  <c r="AB1981" i="25"/>
  <c r="AB1965" i="25"/>
  <c r="AB1949" i="25"/>
  <c r="AB1941" i="25"/>
  <c r="AB1925" i="25"/>
  <c r="AB1909" i="25"/>
  <c r="AB1893" i="25"/>
  <c r="AB1885" i="25"/>
  <c r="AB1869" i="25"/>
  <c r="AB1853" i="25"/>
  <c r="AB1837" i="25"/>
  <c r="AB1821" i="25"/>
  <c r="AB1813" i="25"/>
  <c r="AB1797" i="25"/>
  <c r="AB1781" i="25"/>
  <c r="AB1765" i="25"/>
  <c r="AB1757" i="25"/>
  <c r="AB1741" i="25"/>
  <c r="AB1725" i="25"/>
  <c r="AB1717" i="25"/>
  <c r="AB1701" i="25"/>
  <c r="AB1685" i="25"/>
  <c r="AB1669" i="25"/>
  <c r="AB1653" i="25"/>
  <c r="AB1645" i="25"/>
  <c r="AB1629" i="25"/>
  <c r="AB1613" i="25"/>
  <c r="AB1597" i="25"/>
  <c r="AB1589" i="25"/>
  <c r="AB1573" i="25"/>
  <c r="AB1557" i="25"/>
  <c r="AB1541" i="25"/>
  <c r="AB1533" i="25"/>
  <c r="AB1517" i="25"/>
  <c r="AB1501" i="25"/>
  <c r="AB1493" i="25"/>
  <c r="AB1477" i="25"/>
  <c r="AB1461" i="25"/>
  <c r="AB1445" i="25"/>
  <c r="AB1437" i="25"/>
  <c r="AB1421" i="25"/>
  <c r="AB1405" i="25"/>
  <c r="AB1397" i="25"/>
  <c r="AB1381" i="25"/>
  <c r="AB1365" i="25"/>
  <c r="AB1349" i="25"/>
  <c r="AB1341" i="25"/>
  <c r="AB1325" i="25"/>
  <c r="AB1309" i="25"/>
  <c r="AB1293" i="25"/>
  <c r="AB1285" i="25"/>
  <c r="AB457" i="25"/>
  <c r="AB1743" i="25"/>
  <c r="AB1735" i="25"/>
  <c r="AB1727" i="25"/>
  <c r="AB1719" i="25"/>
  <c r="AB1711" i="25"/>
  <c r="AB1703" i="25"/>
  <c r="AB1695" i="25"/>
  <c r="AB1687" i="25"/>
  <c r="AB1679" i="25"/>
  <c r="AB1671" i="25"/>
  <c r="AB1663" i="25"/>
  <c r="AB1655" i="25"/>
  <c r="AB1647" i="25"/>
  <c r="AB1639" i="25"/>
  <c r="AB1631" i="25"/>
  <c r="AB1623" i="25"/>
  <c r="AB1615" i="25"/>
  <c r="AB1607" i="25"/>
  <c r="AB1599" i="25"/>
  <c r="AB1591" i="25"/>
  <c r="AB1583" i="25"/>
  <c r="AB1575" i="25"/>
  <c r="AB1567" i="25"/>
  <c r="AB1559" i="25"/>
  <c r="AB1551" i="25"/>
  <c r="AB1543" i="25"/>
  <c r="AB1535" i="25"/>
  <c r="AB1527" i="25"/>
  <c r="AB1519" i="25"/>
  <c r="AB1511" i="25"/>
  <c r="AB1503" i="25"/>
  <c r="AB1495" i="25"/>
  <c r="AB1487" i="25"/>
  <c r="AB1479" i="25"/>
  <c r="AB1471" i="25"/>
  <c r="AB1463" i="25"/>
  <c r="AB1455" i="25"/>
  <c r="AB1447" i="25"/>
  <c r="AB1439" i="25"/>
  <c r="AB1431" i="25"/>
  <c r="AB1423" i="25"/>
  <c r="AB1415" i="25"/>
  <c r="AB1407" i="25"/>
  <c r="AB1399" i="25"/>
  <c r="AB1391" i="25"/>
  <c r="AB1383" i="25"/>
  <c r="AB1375" i="25"/>
  <c r="AB1367" i="25"/>
  <c r="AB1359" i="25"/>
  <c r="AB1351" i="25"/>
  <c r="AB1343" i="25"/>
  <c r="AB1335" i="25"/>
  <c r="AB1327" i="25"/>
  <c r="AB1319" i="25"/>
  <c r="AB1311" i="25"/>
  <c r="AB1303" i="25"/>
  <c r="AB1233" i="25"/>
  <c r="AB1225" i="25"/>
  <c r="AB432" i="25"/>
  <c r="AB396" i="25"/>
  <c r="AB105" i="25"/>
  <c r="AB449" i="25"/>
  <c r="AB440" i="25"/>
  <c r="AB421" i="25"/>
  <c r="AB413" i="25"/>
  <c r="AB405" i="25"/>
  <c r="AB388" i="25"/>
  <c r="AB380" i="25"/>
  <c r="AB372" i="25"/>
  <c r="AB364" i="25"/>
  <c r="AB356" i="25"/>
  <c r="AB348" i="25"/>
  <c r="AB340" i="25"/>
  <c r="AB332" i="25"/>
  <c r="AB324" i="25"/>
  <c r="AB316" i="25"/>
  <c r="AB308" i="25"/>
  <c r="AB300" i="25"/>
  <c r="AB292" i="25"/>
  <c r="AB284" i="25"/>
  <c r="AB276" i="25"/>
  <c r="AB268" i="25"/>
  <c r="AB260" i="25"/>
  <c r="AB252" i="25"/>
  <c r="AB244" i="25"/>
  <c r="AB236" i="25"/>
  <c r="AB228" i="25"/>
  <c r="AB216" i="25"/>
  <c r="AB208" i="25"/>
  <c r="AB200" i="25"/>
  <c r="AB79" i="25"/>
  <c r="AB55" i="25"/>
  <c r="AB737" i="25"/>
  <c r="X3619" i="25"/>
  <c r="X3570" i="25"/>
  <c r="T1" i="25"/>
  <c r="AB189" i="25"/>
  <c r="AB192" i="25"/>
  <c r="AB176" i="25"/>
  <c r="AB160" i="25"/>
  <c r="AB144" i="25"/>
  <c r="AB128" i="25"/>
  <c r="AB112" i="25"/>
  <c r="AB96" i="25"/>
  <c r="AB78" i="25"/>
  <c r="AB62" i="25"/>
  <c r="AB46" i="25"/>
  <c r="AB18" i="25"/>
  <c r="AB1209" i="25"/>
  <c r="AB1201" i="25"/>
  <c r="AB1185" i="25"/>
  <c r="AB1169" i="25"/>
  <c r="AB1153" i="25"/>
  <c r="AB1145" i="25"/>
  <c r="AB1129" i="25"/>
  <c r="AB1113" i="25"/>
  <c r="AB1097" i="25"/>
  <c r="AB1081" i="25"/>
  <c r="AB1073" i="25"/>
  <c r="AB1057" i="25"/>
  <c r="AB1041" i="25"/>
  <c r="AB1017" i="25"/>
  <c r="AB1001" i="25"/>
  <c r="AB985" i="25"/>
  <c r="AB977" i="25"/>
  <c r="AB961" i="25"/>
  <c r="AB943" i="25"/>
  <c r="AB929" i="25"/>
  <c r="AB920" i="25"/>
  <c r="AB899" i="25"/>
  <c r="AB883" i="25"/>
  <c r="AB867" i="25"/>
  <c r="AB846" i="25"/>
  <c r="AB736" i="25"/>
  <c r="AB720" i="25"/>
  <c r="AB704" i="25"/>
  <c r="AB688" i="25"/>
  <c r="AB680" i="25"/>
  <c r="AB664" i="25"/>
  <c r="AB648" i="25"/>
  <c r="AB632" i="25"/>
  <c r="AB616" i="25"/>
  <c r="AB600" i="25"/>
  <c r="AB592" i="25"/>
  <c r="AB576" i="25"/>
  <c r="AB560" i="25"/>
  <c r="AB544" i="25"/>
  <c r="AB528" i="25"/>
  <c r="AB520" i="25"/>
  <c r="AB503" i="25"/>
  <c r="AB487" i="25"/>
  <c r="AB471" i="25"/>
  <c r="AB455" i="25"/>
  <c r="AB447" i="25"/>
  <c r="AB430" i="25"/>
  <c r="AB411" i="25"/>
  <c r="AB394" i="25"/>
  <c r="AB378" i="25"/>
  <c r="AB370" i="25"/>
  <c r="AB354" i="25"/>
  <c r="AB330" i="25"/>
  <c r="AB322" i="25"/>
  <c r="AB306" i="25"/>
  <c r="AB290" i="25"/>
  <c r="AB274" i="25"/>
  <c r="AB258" i="25"/>
  <c r="AB242" i="25"/>
  <c r="AB234" i="25"/>
  <c r="AB214" i="25"/>
  <c r="AB198" i="25"/>
  <c r="AB182" i="25"/>
  <c r="AB166" i="25"/>
  <c r="AB142" i="25"/>
  <c r="X3602" i="25"/>
  <c r="X3586" i="25"/>
  <c r="AA3442" i="25"/>
  <c r="Z3423" i="25"/>
  <c r="AB39" i="25"/>
  <c r="AB27" i="25"/>
  <c r="W3665" i="25"/>
  <c r="X3554" i="25"/>
  <c r="X3660" i="25"/>
  <c r="X3538" i="25"/>
  <c r="AB168" i="25"/>
  <c r="X3652" i="25"/>
  <c r="AA3521" i="25"/>
  <c r="AB184" i="25"/>
  <c r="AB152" i="25"/>
  <c r="AB136" i="25"/>
  <c r="AB120" i="25"/>
  <c r="AB104" i="25"/>
  <c r="AB70" i="25"/>
  <c r="AB54" i="25"/>
  <c r="AB38" i="25"/>
  <c r="AB26" i="25"/>
  <c r="AB10" i="25"/>
  <c r="AB1217" i="25"/>
  <c r="AB1193" i="25"/>
  <c r="AB1177" i="25"/>
  <c r="AB1161" i="25"/>
  <c r="AB1137" i="25"/>
  <c r="AB1121" i="25"/>
  <c r="AB1105" i="25"/>
  <c r="AB1089" i="25"/>
  <c r="AB1065" i="25"/>
  <c r="AB1049" i="25"/>
  <c r="AB1033" i="25"/>
  <c r="AB1009" i="25"/>
  <c r="AB993" i="25"/>
  <c r="AB969" i="25"/>
  <c r="AB953" i="25"/>
  <c r="AB912" i="25"/>
  <c r="AB891" i="25"/>
  <c r="AB875" i="25"/>
  <c r="AB859" i="25"/>
  <c r="AB838" i="25"/>
  <c r="AB728" i="25"/>
  <c r="AB712" i="25"/>
  <c r="AB696" i="25"/>
  <c r="AB672" i="25"/>
  <c r="AB656" i="25"/>
  <c r="AB640" i="25"/>
  <c r="AB624" i="25"/>
  <c r="AB608" i="25"/>
  <c r="AB584" i="25"/>
  <c r="AB568" i="25"/>
  <c r="AB552" i="25"/>
  <c r="AB536" i="25"/>
  <c r="AB511" i="25"/>
  <c r="AB495" i="25"/>
  <c r="AB479" i="25"/>
  <c r="AB463" i="25"/>
  <c r="AB438" i="25"/>
  <c r="AB419" i="25"/>
  <c r="AB403" i="25"/>
  <c r="AB386" i="25"/>
  <c r="AB362" i="25"/>
  <c r="AB346" i="25"/>
  <c r="AB338" i="25"/>
  <c r="AB314" i="25"/>
  <c r="AB298" i="25"/>
  <c r="AB282" i="25"/>
  <c r="AB266" i="25"/>
  <c r="AB250" i="25"/>
  <c r="AB226" i="25"/>
  <c r="AB206" i="25"/>
  <c r="AB190" i="25"/>
  <c r="AB174" i="25"/>
  <c r="AB158" i="25"/>
  <c r="AB150" i="25"/>
  <c r="AB134" i="25"/>
  <c r="AB126" i="25"/>
  <c r="AB118" i="25"/>
  <c r="AB110" i="25"/>
  <c r="AB102" i="25"/>
  <c r="AB84" i="25"/>
  <c r="AB76" i="25"/>
  <c r="AB68" i="25"/>
  <c r="AB60" i="25"/>
  <c r="AB52" i="25"/>
  <c r="AB44" i="25"/>
  <c r="AB36" i="25"/>
  <c r="AB24" i="25"/>
  <c r="AB16" i="25"/>
  <c r="AB8" i="25"/>
  <c r="X3639" i="25"/>
  <c r="Z3502" i="25"/>
  <c r="AB47" i="25"/>
  <c r="AB19" i="25"/>
  <c r="AB2379" i="25"/>
  <c r="AB2355" i="25"/>
  <c r="AB2331" i="25"/>
  <c r="AB2307" i="25"/>
  <c r="AB2283" i="25"/>
  <c r="AB2267" i="25"/>
  <c r="AB2235" i="25"/>
  <c r="AB2211" i="25"/>
  <c r="AB2187" i="25"/>
  <c r="AB2163" i="25"/>
  <c r="AB2147" i="25"/>
  <c r="AB2123" i="25"/>
  <c r="AB2099" i="25"/>
  <c r="AB2075" i="25"/>
  <c r="AB2059" i="25"/>
  <c r="AB2042" i="25"/>
  <c r="AB2030" i="25"/>
  <c r="AB1994" i="25"/>
  <c r="AB1978" i="25"/>
  <c r="AB1954" i="25"/>
  <c r="AB1930" i="25"/>
  <c r="AB1906" i="25"/>
  <c r="AB1890" i="25"/>
  <c r="AB1858" i="25"/>
  <c r="AB1834" i="25"/>
  <c r="AB1810" i="25"/>
  <c r="AB1786" i="25"/>
  <c r="AB1770" i="25"/>
  <c r="AB1746" i="25"/>
  <c r="AB1730" i="25"/>
  <c r="AB1706" i="25"/>
  <c r="AB1682" i="25"/>
  <c r="AB1666" i="25"/>
  <c r="AB1642" i="25"/>
  <c r="AB1610" i="25"/>
  <c r="AB1586" i="25"/>
  <c r="AB1570" i="25"/>
  <c r="AB1546" i="25"/>
  <c r="AB1514" i="25"/>
  <c r="AB1490" i="25"/>
  <c r="AB1466" i="25"/>
  <c r="AB1450" i="25"/>
  <c r="AB1426" i="25"/>
  <c r="AB1410" i="25"/>
  <c r="AB1298" i="25"/>
  <c r="AB1290" i="25"/>
  <c r="AB1266" i="25"/>
  <c r="AB1242" i="25"/>
  <c r="AB1226" i="25"/>
  <c r="AB1202" i="25"/>
  <c r="AB1178" i="25"/>
  <c r="AB1162" i="25"/>
  <c r="AB1138" i="25"/>
  <c r="AB1114" i="25"/>
  <c r="AB1090" i="25"/>
  <c r="AB1074" i="25"/>
  <c r="AB1050" i="25"/>
  <c r="AB1019" i="25"/>
  <c r="AB1002" i="25"/>
  <c r="AB978" i="25"/>
  <c r="AB954" i="25"/>
  <c r="AB936" i="25"/>
  <c r="AB913" i="25"/>
  <c r="AB884" i="25"/>
  <c r="AB860" i="25"/>
  <c r="AB705" i="25"/>
  <c r="AB2411" i="25"/>
  <c r="AB2387" i="25"/>
  <c r="AB2363" i="25"/>
  <c r="AB2339" i="25"/>
  <c r="AB2323" i="25"/>
  <c r="AB2299" i="25"/>
  <c r="AB2275" i="25"/>
  <c r="AB2251" i="25"/>
  <c r="AB2243" i="25"/>
  <c r="AB2219" i="25"/>
  <c r="AB2195" i="25"/>
  <c r="AB2179" i="25"/>
  <c r="AB2155" i="25"/>
  <c r="AB2131" i="25"/>
  <c r="AB2107" i="25"/>
  <c r="AB2091" i="25"/>
  <c r="AB2067" i="25"/>
  <c r="AB2046" i="25"/>
  <c r="AB2034" i="25"/>
  <c r="AB1986" i="25"/>
  <c r="AB1962" i="25"/>
  <c r="AB1946" i="25"/>
  <c r="AB1922" i="25"/>
  <c r="AB1898" i="25"/>
  <c r="AB1874" i="25"/>
  <c r="AB1866" i="25"/>
  <c r="AB1842" i="25"/>
  <c r="AB1818" i="25"/>
  <c r="AB1802" i="25"/>
  <c r="AB1778" i="25"/>
  <c r="AB1754" i="25"/>
  <c r="AB1722" i="25"/>
  <c r="AB1714" i="25"/>
  <c r="AB1690" i="25"/>
  <c r="AB1658" i="25"/>
  <c r="AB1634" i="25"/>
  <c r="AB1618" i="25"/>
  <c r="AB1602" i="25"/>
  <c r="AB1578" i="25"/>
  <c r="AB1554" i="25"/>
  <c r="AB1538" i="25"/>
  <c r="AB1522" i="25"/>
  <c r="AB1498" i="25"/>
  <c r="AB1474" i="25"/>
  <c r="AB1442" i="25"/>
  <c r="AB1434" i="25"/>
  <c r="AB1394" i="25"/>
  <c r="AB1306" i="25"/>
  <c r="AB1282" i="25"/>
  <c r="AB1258" i="25"/>
  <c r="AB1234" i="25"/>
  <c r="AB1210" i="25"/>
  <c r="AB1194" i="25"/>
  <c r="AB1170" i="25"/>
  <c r="AB1146" i="25"/>
  <c r="AB1122" i="25"/>
  <c r="AB1106" i="25"/>
  <c r="AB1082" i="25"/>
  <c r="AB1058" i="25"/>
  <c r="AB1042" i="25"/>
  <c r="AB1010" i="25"/>
  <c r="AB986" i="25"/>
  <c r="AB970" i="25"/>
  <c r="AB944" i="25"/>
  <c r="AB921" i="25"/>
  <c r="AB900" i="25"/>
  <c r="AB876" i="25"/>
  <c r="AB847" i="25"/>
  <c r="AB839" i="25"/>
  <c r="AB721" i="25"/>
  <c r="AB11" i="25"/>
  <c r="AB2371" i="25"/>
  <c r="AB2347" i="25"/>
  <c r="AB2315" i="25"/>
  <c r="AB2291" i="25"/>
  <c r="AB2259" i="25"/>
  <c r="AB2227" i="25"/>
  <c r="AB2203" i="25"/>
  <c r="AB2171" i="25"/>
  <c r="AB2139" i="25"/>
  <c r="AB2115" i="25"/>
  <c r="AB2083" i="25"/>
  <c r="AB2051" i="25"/>
  <c r="AB2038" i="25"/>
  <c r="AB2002" i="25"/>
  <c r="AB1970" i="25"/>
  <c r="AB1938" i="25"/>
  <c r="AB1914" i="25"/>
  <c r="AB1882" i="25"/>
  <c r="AB1850" i="25"/>
  <c r="AB1826" i="25"/>
  <c r="AB1794" i="25"/>
  <c r="AB1762" i="25"/>
  <c r="AB1738" i="25"/>
  <c r="AB1698" i="25"/>
  <c r="AB1674" i="25"/>
  <c r="AB1650" i="25"/>
  <c r="AB1626" i="25"/>
  <c r="AB1594" i="25"/>
  <c r="AB1562" i="25"/>
  <c r="AB1530" i="25"/>
  <c r="AB1506" i="25"/>
  <c r="AB1482" i="25"/>
  <c r="AB1458" i="25"/>
  <c r="AB1418" i="25"/>
  <c r="AB1402" i="25"/>
  <c r="AB1386" i="25"/>
  <c r="AB1378" i="25"/>
  <c r="AB1370" i="25"/>
  <c r="AB1362" i="25"/>
  <c r="AB1354" i="25"/>
  <c r="AB1346" i="25"/>
  <c r="AB1338" i="25"/>
  <c r="AB1330" i="25"/>
  <c r="AB1322" i="25"/>
  <c r="AB1314" i="25"/>
  <c r="AB1274" i="25"/>
  <c r="AB1250" i="25"/>
  <c r="AB1218" i="25"/>
  <c r="AB1186" i="25"/>
  <c r="AB1154" i="25"/>
  <c r="AB1130" i="25"/>
  <c r="AB1098" i="25"/>
  <c r="AB1066" i="25"/>
  <c r="AB1034" i="25"/>
  <c r="AB994" i="25"/>
  <c r="AB962" i="25"/>
  <c r="AB930" i="25"/>
  <c r="AB892" i="25"/>
  <c r="AB868" i="25"/>
  <c r="AB729" i="25"/>
  <c r="AB3" i="25"/>
  <c r="X3421" i="25"/>
  <c r="Y3421" i="25"/>
  <c r="X3453" i="25"/>
  <c r="Y3453" i="25"/>
  <c r="X3485" i="25"/>
  <c r="Y3485" i="25"/>
  <c r="X3517" i="25"/>
  <c r="Y3517" i="25"/>
  <c r="V3525" i="25"/>
  <c r="Y3525" i="25"/>
  <c r="V3533" i="25"/>
  <c r="Y3533" i="25"/>
  <c r="V3541" i="25"/>
  <c r="Y3541" i="25"/>
  <c r="V3549" i="25"/>
  <c r="Y3549" i="25"/>
  <c r="V3557" i="25"/>
  <c r="Y3557" i="25"/>
  <c r="V3565" i="25"/>
  <c r="Y3565" i="25"/>
  <c r="V3573" i="25"/>
  <c r="Y3573" i="25"/>
  <c r="V3581" i="25"/>
  <c r="Y3581" i="25"/>
  <c r="V3589" i="25"/>
  <c r="Y3589" i="25"/>
  <c r="V3597" i="25"/>
  <c r="Y3597" i="25"/>
  <c r="V3605" i="25"/>
  <c r="Y3605" i="25"/>
  <c r="V3613" i="25"/>
  <c r="Y3613" i="25"/>
  <c r="V3634" i="25"/>
  <c r="Y3634" i="25"/>
  <c r="V3642" i="25"/>
  <c r="Y3642" i="25"/>
  <c r="V3650" i="25"/>
  <c r="Y3650" i="25"/>
  <c r="V3658" i="25"/>
  <c r="Y3658" i="25"/>
  <c r="Z3658" i="25"/>
  <c r="V3666" i="25"/>
  <c r="Y3666" i="25"/>
  <c r="Z3666" i="25"/>
  <c r="AB1269" i="25"/>
  <c r="AB1261" i="25"/>
  <c r="AB1253" i="25"/>
  <c r="AB1245" i="25"/>
  <c r="AB1237" i="25"/>
  <c r="AB1229" i="25"/>
  <c r="AB1221" i="25"/>
  <c r="AB1213" i="25"/>
  <c r="AB1205" i="25"/>
  <c r="AB1197" i="25"/>
  <c r="AB1189" i="25"/>
  <c r="AB1181" i="25"/>
  <c r="AB1173" i="25"/>
  <c r="AB1165" i="25"/>
  <c r="AB1157" i="25"/>
  <c r="AB1149" i="25"/>
  <c r="AB1141" i="25"/>
  <c r="AB1133" i="25"/>
  <c r="AB1125" i="25"/>
  <c r="AB1117" i="25"/>
  <c r="AB1109" i="25"/>
  <c r="AB1101" i="25"/>
  <c r="AB1093" i="25"/>
  <c r="AB1085" i="25"/>
  <c r="AB1077" i="25"/>
  <c r="AB1069" i="25"/>
  <c r="AB1061" i="25"/>
  <c r="AB1053" i="25"/>
  <c r="AB1045" i="25"/>
  <c r="AB1037" i="25"/>
  <c r="AB1022" i="25"/>
  <c r="AB1013" i="25"/>
  <c r="AB1005" i="25"/>
  <c r="AB997" i="25"/>
  <c r="AB989" i="25"/>
  <c r="AB981" i="25"/>
  <c r="AB713" i="25"/>
  <c r="AB697" i="25"/>
  <c r="AB689" i="25"/>
  <c r="AB681" i="25"/>
  <c r="AB673" i="25"/>
  <c r="AB665" i="25"/>
  <c r="AB657" i="25"/>
  <c r="AB649" i="25"/>
  <c r="AB641" i="25"/>
  <c r="AB633" i="25"/>
  <c r="AB625" i="25"/>
  <c r="AB617" i="25"/>
  <c r="AB609" i="25"/>
  <c r="AB601" i="25"/>
  <c r="AB593" i="25"/>
  <c r="AB585" i="25"/>
  <c r="AB577" i="25"/>
  <c r="AB569" i="25"/>
  <c r="AB561" i="25"/>
  <c r="AB553" i="25"/>
  <c r="AB545" i="25"/>
  <c r="AB537" i="25"/>
  <c r="AB529" i="25"/>
  <c r="AB521" i="25"/>
  <c r="AB512" i="25"/>
  <c r="AB504" i="25"/>
  <c r="AB496" i="25"/>
  <c r="AB488" i="25"/>
  <c r="AB480" i="25"/>
  <c r="AB472" i="25"/>
  <c r="AB464" i="25"/>
  <c r="AB456" i="25"/>
  <c r="AB448" i="25"/>
  <c r="AB439" i="25"/>
  <c r="AB431" i="25"/>
  <c r="AB420" i="25"/>
  <c r="AB412" i="25"/>
  <c r="AB404" i="25"/>
  <c r="AB395" i="25"/>
  <c r="AB387" i="25"/>
  <c r="AB379" i="25"/>
  <c r="AB371" i="25"/>
  <c r="AB363" i="25"/>
  <c r="AB355" i="25"/>
  <c r="AB347" i="25"/>
  <c r="AB339" i="25"/>
  <c r="AB331" i="25"/>
  <c r="AB323" i="25"/>
  <c r="AB315" i="25"/>
  <c r="AB307" i="25"/>
  <c r="AB299" i="25"/>
  <c r="AB291" i="25"/>
  <c r="AB283" i="25"/>
  <c r="AB275" i="25"/>
  <c r="AB267" i="25"/>
  <c r="AB259" i="25"/>
  <c r="AB251" i="25"/>
  <c r="AB243" i="25"/>
  <c r="AB235" i="25"/>
  <c r="AB227" i="25"/>
  <c r="AB215" i="25"/>
  <c r="AB207" i="25"/>
  <c r="AB199" i="25"/>
  <c r="AB191" i="25"/>
  <c r="AB183" i="25"/>
  <c r="AB175" i="25"/>
  <c r="AB167" i="25"/>
  <c r="AB159" i="25"/>
  <c r="AB151" i="25"/>
  <c r="AB143" i="25"/>
  <c r="AB135" i="25"/>
  <c r="AB127" i="25"/>
  <c r="AB119" i="25"/>
  <c r="AB111" i="25"/>
  <c r="AB103" i="25"/>
  <c r="AB95" i="25"/>
  <c r="AB77" i="25"/>
  <c r="AB69" i="25"/>
  <c r="AB61" i="25"/>
  <c r="AB53" i="25"/>
  <c r="AB45" i="25"/>
  <c r="AB37" i="25"/>
  <c r="AB25" i="25"/>
  <c r="AB17" i="25"/>
  <c r="AB9" i="25"/>
  <c r="AB973" i="25"/>
  <c r="AB965" i="25"/>
  <c r="AB957" i="25"/>
  <c r="AB949" i="25"/>
  <c r="AB939" i="25"/>
  <c r="AB933" i="25"/>
  <c r="AB924" i="25"/>
  <c r="AB916" i="25"/>
  <c r="AB903" i="25"/>
  <c r="AB895" i="25"/>
  <c r="AB887" i="25"/>
  <c r="AB879" i="25"/>
  <c r="AB871" i="25"/>
  <c r="AB863" i="25"/>
  <c r="AB853" i="25"/>
  <c r="AB842" i="25"/>
  <c r="AB740" i="25"/>
  <c r="AB732" i="25"/>
  <c r="AB724" i="25"/>
  <c r="AB716" i="25"/>
  <c r="AB708" i="25"/>
  <c r="AB700" i="25"/>
  <c r="AB692" i="25"/>
  <c r="AB684" i="25"/>
  <c r="AB676" i="25"/>
  <c r="AB668" i="25"/>
  <c r="AB660" i="25"/>
  <c r="AB652" i="25"/>
  <c r="AB644" i="25"/>
  <c r="AB636" i="25"/>
  <c r="AB628" i="25"/>
  <c r="AB620" i="25"/>
  <c r="AB612" i="25"/>
  <c r="AB604" i="25"/>
  <c r="AB596" i="25"/>
  <c r="AB588" i="25"/>
  <c r="AB580" i="25"/>
  <c r="AB572" i="25"/>
  <c r="AB564" i="25"/>
  <c r="AB556" i="25"/>
  <c r="AB548" i="25"/>
  <c r="AB540" i="25"/>
  <c r="AB532" i="25"/>
  <c r="AB524" i="25"/>
  <c r="AB516" i="25"/>
  <c r="AB507" i="25"/>
  <c r="AB499" i="25"/>
  <c r="AB491" i="25"/>
  <c r="AB483" i="25"/>
  <c r="AB475" i="25"/>
  <c r="AB467" i="25"/>
  <c r="AB459" i="25"/>
  <c r="AB451" i="25"/>
  <c r="AB443" i="25"/>
  <c r="AB434" i="25"/>
  <c r="AB426" i="25"/>
  <c r="AB415" i="25"/>
  <c r="AB407" i="25"/>
  <c r="AB399" i="25"/>
  <c r="AB390" i="25"/>
  <c r="AB382" i="25"/>
  <c r="AB374" i="25"/>
  <c r="AB366" i="25"/>
  <c r="W3660" i="25"/>
  <c r="W3652" i="25"/>
  <c r="Z3637" i="25"/>
  <c r="Z3617" i="25"/>
  <c r="Z3600" i="25"/>
  <c r="Z3584" i="25"/>
  <c r="Z3568" i="25"/>
  <c r="Z3552" i="25"/>
  <c r="Z3536" i="25"/>
  <c r="Z3519" i="25"/>
  <c r="Z3440" i="25"/>
  <c r="W3636" i="25"/>
  <c r="W3616" i="25"/>
  <c r="W3599" i="25"/>
  <c r="W3583" i="25"/>
  <c r="W3567" i="25"/>
  <c r="W3551" i="25"/>
  <c r="W3535" i="25"/>
  <c r="X3498" i="25"/>
  <c r="AA3457" i="25"/>
  <c r="Z3438" i="25"/>
  <c r="W3649" i="25"/>
  <c r="AA3474" i="25"/>
  <c r="Z3455" i="25"/>
  <c r="W3657" i="25"/>
  <c r="X3647" i="25"/>
  <c r="X3631" i="25"/>
  <c r="X3610" i="25"/>
  <c r="X3594" i="25"/>
  <c r="X3578" i="25"/>
  <c r="X3562" i="25"/>
  <c r="X3546" i="25"/>
  <c r="X3530" i="25"/>
  <c r="Z3472" i="25"/>
  <c r="X3434" i="25"/>
  <c r="X3663" i="25"/>
  <c r="X3655" i="25"/>
  <c r="Z3645" i="25"/>
  <c r="Z3624" i="25"/>
  <c r="Z3608" i="25"/>
  <c r="Z3592" i="25"/>
  <c r="Z3576" i="25"/>
  <c r="Z3560" i="25"/>
  <c r="Z3544" i="25"/>
  <c r="Z3528" i="25"/>
  <c r="AA3489" i="25"/>
  <c r="Z3470" i="25"/>
  <c r="AA3410" i="25"/>
  <c r="AA3661" i="25"/>
  <c r="AA3653" i="25"/>
  <c r="W3644" i="25"/>
  <c r="W3623" i="25"/>
  <c r="W3607" i="25"/>
  <c r="W3591" i="25"/>
  <c r="W3575" i="25"/>
  <c r="W3559" i="25"/>
  <c r="W3543" i="25"/>
  <c r="W3527" i="25"/>
  <c r="AA3506" i="25"/>
  <c r="Z3487" i="25"/>
  <c r="Z3408" i="25"/>
  <c r="AB1295" i="25"/>
  <c r="AB1287" i="25"/>
  <c r="AB1279" i="25"/>
  <c r="AB1271" i="25"/>
  <c r="AB1263" i="25"/>
  <c r="AB1255" i="25"/>
  <c r="AB1247" i="25"/>
  <c r="AB1239" i="25"/>
  <c r="AB1231" i="25"/>
  <c r="AB1223" i="25"/>
  <c r="AB1215" i="25"/>
  <c r="AB1207" i="25"/>
  <c r="AB1199" i="25"/>
  <c r="AB1191" i="25"/>
  <c r="AB1183" i="25"/>
  <c r="AB1175" i="25"/>
  <c r="AB1167" i="25"/>
  <c r="AB1159" i="25"/>
  <c r="AB1151" i="25"/>
  <c r="AB1143" i="25"/>
  <c r="AB1135" i="25"/>
  <c r="AB1127" i="25"/>
  <c r="AB1119" i="25"/>
  <c r="AB1111" i="25"/>
  <c r="AB1103" i="25"/>
  <c r="AB1095" i="25"/>
  <c r="AB1087" i="25"/>
  <c r="AB1079" i="25"/>
  <c r="AB1071" i="25"/>
  <c r="AB1063" i="25"/>
  <c r="AB1055" i="25"/>
  <c r="AB1047" i="25"/>
  <c r="AB1039" i="25"/>
  <c r="AB1031" i="25"/>
  <c r="AB1015" i="25"/>
  <c r="Z3661" i="25"/>
  <c r="Z3653" i="25"/>
  <c r="Z3504" i="25"/>
  <c r="X3466" i="25"/>
  <c r="AA3425" i="25"/>
  <c r="Z3406" i="25"/>
  <c r="AB1302" i="25"/>
  <c r="AB1286" i="25"/>
  <c r="AB1262" i="25"/>
  <c r="AB1246" i="25"/>
  <c r="AB1230" i="25"/>
  <c r="AB1214" i="25"/>
  <c r="AB1190" i="25"/>
  <c r="AB1174" i="25"/>
  <c r="AB1158" i="25"/>
  <c r="AB1134" i="25"/>
  <c r="AB1118" i="25"/>
  <c r="AB1102" i="25"/>
  <c r="AB1078" i="25"/>
  <c r="AB1062" i="25"/>
  <c r="AB1038" i="25"/>
  <c r="AB1014" i="25"/>
  <c r="AB998" i="25"/>
  <c r="AB982" i="25"/>
  <c r="AB958" i="25"/>
  <c r="AB940" i="25"/>
  <c r="AB917" i="25"/>
  <c r="AB896" i="25"/>
  <c r="AB872" i="25"/>
  <c r="AB855" i="25"/>
  <c r="AB741" i="25"/>
  <c r="AB717" i="25"/>
  <c r="AB701" i="25"/>
  <c r="AB685" i="25"/>
  <c r="AB661" i="25"/>
  <c r="AB645" i="25"/>
  <c r="AB629" i="25"/>
  <c r="AB613" i="25"/>
  <c r="AB589" i="25"/>
  <c r="AB573" i="25"/>
  <c r="AB549" i="25"/>
  <c r="AB533" i="25"/>
  <c r="AB517" i="25"/>
  <c r="AB500" i="25"/>
  <c r="AB484" i="25"/>
  <c r="AB468" i="25"/>
  <c r="AB444" i="25"/>
  <c r="AB427" i="25"/>
  <c r="AB400" i="25"/>
  <c r="AB351" i="25"/>
  <c r="V9" i="25"/>
  <c r="AA9" i="25"/>
  <c r="W9" i="25"/>
  <c r="X9" i="25"/>
  <c r="Y9" i="25"/>
  <c r="Z9" i="25"/>
  <c r="V25" i="25"/>
  <c r="AA25" i="25"/>
  <c r="W25" i="25"/>
  <c r="X25" i="25"/>
  <c r="Y25" i="25"/>
  <c r="Z25" i="25"/>
  <c r="V45" i="25"/>
  <c r="AA45" i="25"/>
  <c r="W45" i="25"/>
  <c r="Y45" i="25"/>
  <c r="Z45" i="25"/>
  <c r="X45" i="25"/>
  <c r="V61" i="25"/>
  <c r="AA61" i="25"/>
  <c r="X61" i="25"/>
  <c r="Y61" i="25"/>
  <c r="Z61" i="25"/>
  <c r="W61" i="25"/>
  <c r="V77" i="25"/>
  <c r="AA77" i="25"/>
  <c r="W77" i="25"/>
  <c r="X77" i="25"/>
  <c r="Y77" i="25"/>
  <c r="Z77" i="25"/>
  <c r="V111" i="25"/>
  <c r="AA111" i="25"/>
  <c r="Y111" i="25"/>
  <c r="Z111" i="25"/>
  <c r="W111" i="25"/>
  <c r="X111" i="25"/>
  <c r="V227" i="25"/>
  <c r="W227" i="25"/>
  <c r="X227" i="25"/>
  <c r="Y227" i="25"/>
  <c r="Z227" i="25"/>
  <c r="AA227" i="25"/>
  <c r="V267" i="25"/>
  <c r="W267" i="25"/>
  <c r="X267" i="25"/>
  <c r="Y267" i="25"/>
  <c r="Z267" i="25"/>
  <c r="AA267" i="25"/>
  <c r="V283" i="25"/>
  <c r="W283" i="25"/>
  <c r="X283" i="25"/>
  <c r="Y283" i="25"/>
  <c r="Z283" i="25"/>
  <c r="AA283" i="25"/>
  <c r="V299" i="25"/>
  <c r="Y299" i="25"/>
  <c r="Z299" i="25"/>
  <c r="AA299" i="25"/>
  <c r="W299" i="25"/>
  <c r="X299" i="25"/>
  <c r="V307" i="25"/>
  <c r="Y307" i="25"/>
  <c r="Z307" i="25"/>
  <c r="AA307" i="25"/>
  <c r="W307" i="25"/>
  <c r="X307" i="25"/>
  <c r="V315" i="25"/>
  <c r="Y315" i="25"/>
  <c r="Z315" i="25"/>
  <c r="AA315" i="25"/>
  <c r="W315" i="25"/>
  <c r="X315" i="25"/>
  <c r="V323" i="25"/>
  <c r="Y323" i="25"/>
  <c r="Z323" i="25"/>
  <c r="AA323" i="25"/>
  <c r="W323" i="25"/>
  <c r="X323" i="25"/>
  <c r="V331" i="25"/>
  <c r="Y331" i="25"/>
  <c r="Z331" i="25"/>
  <c r="AA331" i="25"/>
  <c r="W331" i="25"/>
  <c r="X331" i="25"/>
  <c r="V339" i="25"/>
  <c r="Y339" i="25"/>
  <c r="Z339" i="25"/>
  <c r="AA339" i="25"/>
  <c r="W339" i="25"/>
  <c r="X339" i="25"/>
  <c r="V347" i="25"/>
  <c r="Y347" i="25"/>
  <c r="Z347" i="25"/>
  <c r="W347" i="25"/>
  <c r="AA347" i="25"/>
  <c r="X347" i="25"/>
  <c r="V355" i="25"/>
  <c r="Z355" i="25"/>
  <c r="W355" i="25"/>
  <c r="X355" i="25"/>
  <c r="Y355" i="25"/>
  <c r="AA355" i="25"/>
  <c r="V363" i="25"/>
  <c r="Z363" i="25"/>
  <c r="W363" i="25"/>
  <c r="X363" i="25"/>
  <c r="Y363" i="25"/>
  <c r="AA363" i="25"/>
  <c r="V371" i="25"/>
  <c r="Z371" i="25"/>
  <c r="Y371" i="25"/>
  <c r="AA371" i="25"/>
  <c r="W371" i="25"/>
  <c r="X371" i="25"/>
  <c r="V379" i="25"/>
  <c r="Z379" i="25"/>
  <c r="W379" i="25"/>
  <c r="X379" i="25"/>
  <c r="Y379" i="25"/>
  <c r="AA379" i="25"/>
  <c r="V387" i="25"/>
  <c r="Z387" i="25"/>
  <c r="W387" i="25"/>
  <c r="X387" i="25"/>
  <c r="AA387" i="25"/>
  <c r="Y387" i="25"/>
  <c r="V395" i="25"/>
  <c r="Z395" i="25"/>
  <c r="W395" i="25"/>
  <c r="X395" i="25"/>
  <c r="Y395" i="25"/>
  <c r="AA395" i="25"/>
  <c r="V404" i="25"/>
  <c r="Z404" i="25"/>
  <c r="Y404" i="25"/>
  <c r="AA404" i="25"/>
  <c r="W404" i="25"/>
  <c r="X404" i="25"/>
  <c r="V412" i="25"/>
  <c r="Z412" i="25"/>
  <c r="X412" i="25"/>
  <c r="W412" i="25"/>
  <c r="Y412" i="25"/>
  <c r="AA412" i="25"/>
  <c r="V420" i="25"/>
  <c r="Z420" i="25"/>
  <c r="W420" i="25"/>
  <c r="X420" i="25"/>
  <c r="AA420" i="25"/>
  <c r="Y420" i="25"/>
  <c r="V431" i="25"/>
  <c r="Z431" i="25"/>
  <c r="W431" i="25"/>
  <c r="X431" i="25"/>
  <c r="Y431" i="25"/>
  <c r="AA431" i="25"/>
  <c r="V439" i="25"/>
  <c r="Z439" i="25"/>
  <c r="Y439" i="25"/>
  <c r="AA439" i="25"/>
  <c r="W439" i="25"/>
  <c r="X439" i="25"/>
  <c r="V448" i="25"/>
  <c r="Z448" i="25"/>
  <c r="X448" i="25"/>
  <c r="Y448" i="25"/>
  <c r="AA448" i="25"/>
  <c r="W448" i="25"/>
  <c r="V456" i="25"/>
  <c r="Z456" i="25"/>
  <c r="W456" i="25"/>
  <c r="X456" i="25"/>
  <c r="AA456" i="25"/>
  <c r="Y456" i="25"/>
  <c r="V464" i="25"/>
  <c r="W464" i="25"/>
  <c r="X464" i="25"/>
  <c r="Y464" i="25"/>
  <c r="Z464" i="25"/>
  <c r="AA464" i="25"/>
  <c r="V472" i="25"/>
  <c r="W472" i="25"/>
  <c r="X472" i="25"/>
  <c r="Y472" i="25"/>
  <c r="Z472" i="25"/>
  <c r="AA472" i="25"/>
  <c r="V480" i="25"/>
  <c r="W480" i="25"/>
  <c r="X480" i="25"/>
  <c r="Y480" i="25"/>
  <c r="Z480" i="25"/>
  <c r="AA480" i="25"/>
  <c r="V488" i="25"/>
  <c r="W488" i="25"/>
  <c r="X488" i="25"/>
  <c r="Y488" i="25"/>
  <c r="Z488" i="25"/>
  <c r="AA488" i="25"/>
  <c r="V496" i="25"/>
  <c r="W496" i="25"/>
  <c r="X496" i="25"/>
  <c r="Y496" i="25"/>
  <c r="Z496" i="25"/>
  <c r="AA496" i="25"/>
  <c r="V504" i="25"/>
  <c r="W504" i="25"/>
  <c r="X504" i="25"/>
  <c r="Y504" i="25"/>
  <c r="Z504" i="25"/>
  <c r="AA504" i="25"/>
  <c r="V512" i="25"/>
  <c r="W512" i="25"/>
  <c r="X512" i="25"/>
  <c r="Y512" i="25"/>
  <c r="Z512" i="25"/>
  <c r="AA512" i="25"/>
  <c r="V521" i="25"/>
  <c r="W521" i="25"/>
  <c r="X521" i="25"/>
  <c r="Y521" i="25"/>
  <c r="Z521" i="25"/>
  <c r="AA521" i="25"/>
  <c r="V529" i="25"/>
  <c r="W529" i="25"/>
  <c r="X529" i="25"/>
  <c r="Y529" i="25"/>
  <c r="Z529" i="25"/>
  <c r="AA529" i="25"/>
  <c r="V537" i="25"/>
  <c r="W537" i="25"/>
  <c r="X537" i="25"/>
  <c r="Y537" i="25"/>
  <c r="Z537" i="25"/>
  <c r="AA537" i="25"/>
  <c r="V545" i="25"/>
  <c r="W545" i="25"/>
  <c r="X545" i="25"/>
  <c r="Y545" i="25"/>
  <c r="Z545" i="25"/>
  <c r="AA545" i="25"/>
  <c r="V553" i="25"/>
  <c r="W553" i="25"/>
  <c r="X553" i="25"/>
  <c r="Y553" i="25"/>
  <c r="Z553" i="25"/>
  <c r="AA553" i="25"/>
  <c r="V561" i="25"/>
  <c r="W561" i="25"/>
  <c r="X561" i="25"/>
  <c r="Y561" i="25"/>
  <c r="Z561" i="25"/>
  <c r="AA561" i="25"/>
  <c r="V569" i="25"/>
  <c r="W569" i="25"/>
  <c r="X569" i="25"/>
  <c r="Y569" i="25"/>
  <c r="Z569" i="25"/>
  <c r="AA569" i="25"/>
  <c r="V577" i="25"/>
  <c r="W577" i="25"/>
  <c r="X577" i="25"/>
  <c r="Y577" i="25"/>
  <c r="Z577" i="25"/>
  <c r="AA577" i="25"/>
  <c r="V585" i="25"/>
  <c r="W585" i="25"/>
  <c r="X585" i="25"/>
  <c r="Y585" i="25"/>
  <c r="Z585" i="25"/>
  <c r="AA585" i="25"/>
  <c r="V593" i="25"/>
  <c r="W593" i="25"/>
  <c r="X593" i="25"/>
  <c r="Y593" i="25"/>
  <c r="Z593" i="25"/>
  <c r="AA593" i="25"/>
  <c r="V601" i="25"/>
  <c r="W601" i="25"/>
  <c r="X601" i="25"/>
  <c r="Y601" i="25"/>
  <c r="Z601" i="25"/>
  <c r="AA601" i="25"/>
  <c r="V609" i="25"/>
  <c r="W609" i="25"/>
  <c r="X609" i="25"/>
  <c r="Y609" i="25"/>
  <c r="Z609" i="25"/>
  <c r="AA609" i="25"/>
  <c r="V617" i="25"/>
  <c r="W617" i="25"/>
  <c r="X617" i="25"/>
  <c r="Y617" i="25"/>
  <c r="Z617" i="25"/>
  <c r="AA617" i="25"/>
  <c r="V625" i="25"/>
  <c r="W625" i="25"/>
  <c r="X625" i="25"/>
  <c r="Y625" i="25"/>
  <c r="Z625" i="25"/>
  <c r="AA625" i="25"/>
  <c r="V633" i="25"/>
  <c r="W633" i="25"/>
  <c r="X633" i="25"/>
  <c r="Y633" i="25"/>
  <c r="Z633" i="25"/>
  <c r="AA633" i="25"/>
  <c r="V641" i="25"/>
  <c r="W641" i="25"/>
  <c r="X641" i="25"/>
  <c r="Y641" i="25"/>
  <c r="Z641" i="25"/>
  <c r="AA641" i="25"/>
  <c r="V649" i="25"/>
  <c r="W649" i="25"/>
  <c r="X649" i="25"/>
  <c r="Y649" i="25"/>
  <c r="Z649" i="25"/>
  <c r="AA649" i="25"/>
  <c r="V657" i="25"/>
  <c r="W657" i="25"/>
  <c r="X657" i="25"/>
  <c r="Y657" i="25"/>
  <c r="Z657" i="25"/>
  <c r="AA657" i="25"/>
  <c r="V665" i="25"/>
  <c r="W665" i="25"/>
  <c r="X665" i="25"/>
  <c r="Y665" i="25"/>
  <c r="Z665" i="25"/>
  <c r="AA665" i="25"/>
  <c r="V673" i="25"/>
  <c r="W673" i="25"/>
  <c r="X673" i="25"/>
  <c r="Y673" i="25"/>
  <c r="Z673" i="25"/>
  <c r="AA673" i="25"/>
  <c r="V681" i="25"/>
  <c r="W681" i="25"/>
  <c r="X681" i="25"/>
  <c r="Y681" i="25"/>
  <c r="Z681" i="25"/>
  <c r="AA681" i="25"/>
  <c r="V689" i="25"/>
  <c r="W689" i="25"/>
  <c r="X689" i="25"/>
  <c r="Y689" i="25"/>
  <c r="Z689" i="25"/>
  <c r="AA689" i="25"/>
  <c r="V697" i="25"/>
  <c r="W697" i="25"/>
  <c r="X697" i="25"/>
  <c r="Y697" i="25"/>
  <c r="Z697" i="25"/>
  <c r="AA697" i="25"/>
  <c r="V705" i="25"/>
  <c r="W705" i="25"/>
  <c r="X705" i="25"/>
  <c r="Y705" i="25"/>
  <c r="Z705" i="25"/>
  <c r="AA705" i="25"/>
  <c r="V713" i="25"/>
  <c r="W713" i="25"/>
  <c r="X713" i="25"/>
  <c r="Y713" i="25"/>
  <c r="Z713" i="25"/>
  <c r="AA713" i="25"/>
  <c r="V721" i="25"/>
  <c r="W721" i="25"/>
  <c r="X721" i="25"/>
  <c r="Y721" i="25"/>
  <c r="Z721" i="25"/>
  <c r="AA721" i="25"/>
  <c r="V729" i="25"/>
  <c r="W729" i="25"/>
  <c r="X729" i="25"/>
  <c r="Y729" i="25"/>
  <c r="Z729" i="25"/>
  <c r="AA729" i="25"/>
  <c r="V737" i="25"/>
  <c r="X737" i="25"/>
  <c r="Y737" i="25"/>
  <c r="W737" i="25"/>
  <c r="Z737" i="25"/>
  <c r="AA737" i="25"/>
  <c r="V839" i="25"/>
  <c r="X839" i="25"/>
  <c r="Y839" i="25"/>
  <c r="W839" i="25"/>
  <c r="Z839" i="25"/>
  <c r="AA839" i="25"/>
  <c r="V847" i="25"/>
  <c r="X847" i="25"/>
  <c r="Y847" i="25"/>
  <c r="W847" i="25"/>
  <c r="Z847" i="25"/>
  <c r="AA847" i="25"/>
  <c r="V860" i="25"/>
  <c r="X860" i="25"/>
  <c r="Y860" i="25"/>
  <c r="Z860" i="25"/>
  <c r="AA860" i="25"/>
  <c r="W860" i="25"/>
  <c r="V868" i="25"/>
  <c r="X868" i="25"/>
  <c r="Y868" i="25"/>
  <c r="AA868" i="25"/>
  <c r="W868" i="25"/>
  <c r="Z868" i="25"/>
  <c r="V876" i="25"/>
  <c r="X876" i="25"/>
  <c r="Y876" i="25"/>
  <c r="W876" i="25"/>
  <c r="Z876" i="25"/>
  <c r="AA876" i="25"/>
  <c r="V884" i="25"/>
  <c r="X884" i="25"/>
  <c r="Y884" i="25"/>
  <c r="Z884" i="25"/>
  <c r="AA884" i="25"/>
  <c r="W884" i="25"/>
  <c r="V892" i="25"/>
  <c r="X892" i="25"/>
  <c r="Y892" i="25"/>
  <c r="Z892" i="25"/>
  <c r="W892" i="25"/>
  <c r="AA892" i="25"/>
  <c r="V900" i="25"/>
  <c r="X900" i="25"/>
  <c r="Y900" i="25"/>
  <c r="W900" i="25"/>
  <c r="Z900" i="25"/>
  <c r="AA900" i="25"/>
  <c r="V913" i="25"/>
  <c r="X913" i="25"/>
  <c r="Y913" i="25"/>
  <c r="W913" i="25"/>
  <c r="Z913" i="25"/>
  <c r="AA913" i="25"/>
  <c r="V921" i="25"/>
  <c r="X921" i="25"/>
  <c r="Y921" i="25"/>
  <c r="AA921" i="25"/>
  <c r="W921" i="25"/>
  <c r="Z921" i="25"/>
  <c r="V930" i="25"/>
  <c r="X930" i="25"/>
  <c r="Y930" i="25"/>
  <c r="W930" i="25"/>
  <c r="Z930" i="25"/>
  <c r="AA930" i="25"/>
  <c r="V49" i="25"/>
  <c r="W49" i="25"/>
  <c r="Y49" i="25"/>
  <c r="Z49" i="25"/>
  <c r="AA49" i="25"/>
  <c r="X49" i="25"/>
  <c r="V115" i="25"/>
  <c r="W115" i="25"/>
  <c r="Y115" i="25"/>
  <c r="AA115" i="25"/>
  <c r="X115" i="25"/>
  <c r="Z115" i="25"/>
  <c r="V147" i="25"/>
  <c r="Y147" i="25"/>
  <c r="Z147" i="25"/>
  <c r="AA147" i="25"/>
  <c r="W147" i="25"/>
  <c r="X147" i="25"/>
  <c r="V179" i="25"/>
  <c r="Y179" i="25"/>
  <c r="Z179" i="25"/>
  <c r="AA179" i="25"/>
  <c r="W179" i="25"/>
  <c r="X179" i="25"/>
  <c r="V195" i="25"/>
  <c r="Y195" i="25"/>
  <c r="Z195" i="25"/>
  <c r="AA195" i="25"/>
  <c r="W195" i="25"/>
  <c r="X195" i="25"/>
  <c r="V231" i="25"/>
  <c r="Y231" i="25"/>
  <c r="Z231" i="25"/>
  <c r="AA231" i="25"/>
  <c r="X231" i="25"/>
  <c r="W231" i="25"/>
  <c r="V247" i="25"/>
  <c r="Y247" i="25"/>
  <c r="Z247" i="25"/>
  <c r="AA247" i="25"/>
  <c r="W247" i="25"/>
  <c r="X247" i="25"/>
  <c r="V303" i="25"/>
  <c r="W303" i="25"/>
  <c r="X303" i="25"/>
  <c r="Z303" i="25"/>
  <c r="AA303" i="25"/>
  <c r="Y303" i="25"/>
  <c r="V351" i="25"/>
  <c r="X351" i="25"/>
  <c r="W351" i="25"/>
  <c r="Y351" i="25"/>
  <c r="Z351" i="25"/>
  <c r="AA351" i="25"/>
  <c r="V391" i="25"/>
  <c r="X391" i="25"/>
  <c r="W391" i="25"/>
  <c r="Y391" i="25"/>
  <c r="Z391" i="25"/>
  <c r="AA391" i="25"/>
  <c r="V427" i="25"/>
  <c r="X427" i="25"/>
  <c r="W427" i="25"/>
  <c r="Y427" i="25"/>
  <c r="Z427" i="25"/>
  <c r="AA427" i="25"/>
  <c r="V525" i="25"/>
  <c r="AA525" i="25"/>
  <c r="Y525" i="25"/>
  <c r="W525" i="25"/>
  <c r="X525" i="25"/>
  <c r="Z525" i="25"/>
  <c r="V565" i="25"/>
  <c r="AA565" i="25"/>
  <c r="Y565" i="25"/>
  <c r="W565" i="25"/>
  <c r="X565" i="25"/>
  <c r="Z565" i="25"/>
  <c r="V613" i="25"/>
  <c r="AA613" i="25"/>
  <c r="Y613" i="25"/>
  <c r="Z613" i="25"/>
  <c r="W613" i="25"/>
  <c r="X613" i="25"/>
  <c r="V661" i="25"/>
  <c r="AA661" i="25"/>
  <c r="W661" i="25"/>
  <c r="X661" i="25"/>
  <c r="Y661" i="25"/>
  <c r="Z661" i="25"/>
  <c r="V709" i="25"/>
  <c r="AA709" i="25"/>
  <c r="W709" i="25"/>
  <c r="X709" i="25"/>
  <c r="Y709" i="25"/>
  <c r="Z709" i="25"/>
  <c r="V864" i="25"/>
  <c r="Z864" i="25"/>
  <c r="AA864" i="25"/>
  <c r="W864" i="25"/>
  <c r="X864" i="25"/>
  <c r="Y864" i="25"/>
  <c r="V998" i="25"/>
  <c r="AA998" i="25"/>
  <c r="W998" i="25"/>
  <c r="X998" i="25"/>
  <c r="Y998" i="25"/>
  <c r="Z998" i="25"/>
  <c r="V1062" i="25"/>
  <c r="X1062" i="25"/>
  <c r="Y1062" i="25"/>
  <c r="Z1062" i="25"/>
  <c r="AA1062" i="25"/>
  <c r="W1062" i="25"/>
  <c r="V1158" i="25"/>
  <c r="X1158" i="25"/>
  <c r="Y1158" i="25"/>
  <c r="Z1158" i="25"/>
  <c r="AA1158" i="25"/>
  <c r="W1158" i="25"/>
  <c r="V1182" i="25"/>
  <c r="X1182" i="25"/>
  <c r="Y1182" i="25"/>
  <c r="Z1182" i="25"/>
  <c r="AA1182" i="25"/>
  <c r="W1182" i="25"/>
  <c r="V1206" i="25"/>
  <c r="X1206" i="25"/>
  <c r="Y1206" i="25"/>
  <c r="Z1206" i="25"/>
  <c r="AA1206" i="25"/>
  <c r="W1206" i="25"/>
  <c r="V1254" i="25"/>
  <c r="Y1254" i="25"/>
  <c r="W1254" i="25"/>
  <c r="X1254" i="25"/>
  <c r="Z1254" i="25"/>
  <c r="AA1254" i="25"/>
  <c r="V1286" i="25"/>
  <c r="Y1286" i="25"/>
  <c r="W1286" i="25"/>
  <c r="X1286" i="25"/>
  <c r="Z1286" i="25"/>
  <c r="AA1286" i="25"/>
  <c r="V1350" i="25"/>
  <c r="Z1350" i="25"/>
  <c r="AA1350" i="25"/>
  <c r="W1350" i="25"/>
  <c r="X1350" i="25"/>
  <c r="Y1350" i="25"/>
  <c r="V1366" i="25"/>
  <c r="Z1366" i="25"/>
  <c r="AA1366" i="25"/>
  <c r="W1366" i="25"/>
  <c r="X1366" i="25"/>
  <c r="Y1366" i="25"/>
  <c r="V1422" i="25"/>
  <c r="Z1422" i="25"/>
  <c r="AA1422" i="25"/>
  <c r="W1422" i="25"/>
  <c r="X1422" i="25"/>
  <c r="Y1422" i="25"/>
  <c r="V1446" i="25"/>
  <c r="Z1446" i="25"/>
  <c r="AA1446" i="25"/>
  <c r="W1446" i="25"/>
  <c r="X1446" i="25"/>
  <c r="Y1446" i="25"/>
  <c r="V1478" i="25"/>
  <c r="Z1478" i="25"/>
  <c r="AA1478" i="25"/>
  <c r="W1478" i="25"/>
  <c r="X1478" i="25"/>
  <c r="Y1478" i="25"/>
  <c r="V1574" i="25"/>
  <c r="X1574" i="25"/>
  <c r="Y1574" i="25"/>
  <c r="Z1574" i="25"/>
  <c r="AA1574" i="25"/>
  <c r="W1574" i="25"/>
  <c r="V1606" i="25"/>
  <c r="Y1606" i="25"/>
  <c r="Z1606" i="25"/>
  <c r="AA1606" i="25"/>
  <c r="W1606" i="25"/>
  <c r="X1606" i="25"/>
  <c r="V1686" i="25"/>
  <c r="Y1686" i="25"/>
  <c r="Z1686" i="25"/>
  <c r="AA1686" i="25"/>
  <c r="W1686" i="25"/>
  <c r="X1686" i="25"/>
  <c r="V15" i="25"/>
  <c r="W15" i="25"/>
  <c r="X15" i="25"/>
  <c r="Y15" i="25"/>
  <c r="Z15" i="25"/>
  <c r="AA15" i="25"/>
  <c r="V43" i="25"/>
  <c r="W43" i="25"/>
  <c r="X43" i="25"/>
  <c r="Y43" i="25"/>
  <c r="Z43" i="25"/>
  <c r="AA43" i="25"/>
  <c r="V59" i="25"/>
  <c r="W59" i="25"/>
  <c r="X59" i="25"/>
  <c r="Y59" i="25"/>
  <c r="Z59" i="25"/>
  <c r="AA59" i="25"/>
  <c r="V67" i="25"/>
  <c r="W67" i="25"/>
  <c r="X67" i="25"/>
  <c r="Y67" i="25"/>
  <c r="Z67" i="25"/>
  <c r="AA67" i="25"/>
  <c r="V189" i="25"/>
  <c r="W189" i="25"/>
  <c r="X189" i="25"/>
  <c r="Y189" i="25"/>
  <c r="Z189" i="25"/>
  <c r="AA189" i="25"/>
  <c r="V213" i="25"/>
  <c r="W213" i="25"/>
  <c r="X213" i="25"/>
  <c r="Y213" i="25"/>
  <c r="Z213" i="25"/>
  <c r="AA213" i="25"/>
  <c r="V241" i="25"/>
  <c r="W241" i="25"/>
  <c r="X241" i="25"/>
  <c r="Y241" i="25"/>
  <c r="Z241" i="25"/>
  <c r="AA241" i="25"/>
  <c r="V281" i="25"/>
  <c r="W281" i="25"/>
  <c r="X281" i="25"/>
  <c r="Y281" i="25"/>
  <c r="Z281" i="25"/>
  <c r="AA281" i="25"/>
  <c r="V305" i="25"/>
  <c r="AA305" i="25"/>
  <c r="W305" i="25"/>
  <c r="X305" i="25"/>
  <c r="Y305" i="25"/>
  <c r="Z305" i="25"/>
  <c r="V337" i="25"/>
  <c r="AA337" i="25"/>
  <c r="W337" i="25"/>
  <c r="X337" i="25"/>
  <c r="Y337" i="25"/>
  <c r="Z337" i="25"/>
  <c r="V369" i="25"/>
  <c r="Y369" i="25"/>
  <c r="Z369" i="25"/>
  <c r="AA369" i="25"/>
  <c r="W369" i="25"/>
  <c r="X369" i="25"/>
  <c r="V446" i="25"/>
  <c r="AA446" i="25"/>
  <c r="W446" i="25"/>
  <c r="Y446" i="25"/>
  <c r="X446" i="25"/>
  <c r="Z446" i="25"/>
  <c r="V502" i="25"/>
  <c r="Y502" i="25"/>
  <c r="Z502" i="25"/>
  <c r="AA502" i="25"/>
  <c r="W502" i="25"/>
  <c r="X502" i="25"/>
  <c r="V543" i="25"/>
  <c r="Y543" i="25"/>
  <c r="Z543" i="25"/>
  <c r="AA543" i="25"/>
  <c r="W543" i="25"/>
  <c r="X543" i="25"/>
  <c r="V559" i="25"/>
  <c r="Y559" i="25"/>
  <c r="Z559" i="25"/>
  <c r="AA559" i="25"/>
  <c r="W559" i="25"/>
  <c r="X559" i="25"/>
  <c r="V583" i="25"/>
  <c r="Y583" i="25"/>
  <c r="Z583" i="25"/>
  <c r="AA583" i="25"/>
  <c r="W583" i="25"/>
  <c r="X583" i="25"/>
  <c r="V599" i="25"/>
  <c r="Y599" i="25"/>
  <c r="Z599" i="25"/>
  <c r="AA599" i="25"/>
  <c r="W599" i="25"/>
  <c r="X599" i="25"/>
  <c r="V631" i="25"/>
  <c r="Y631" i="25"/>
  <c r="Z631" i="25"/>
  <c r="AA631" i="25"/>
  <c r="W631" i="25"/>
  <c r="X631" i="25"/>
  <c r="V663" i="25"/>
  <c r="Y663" i="25"/>
  <c r="Z663" i="25"/>
  <c r="AA663" i="25"/>
  <c r="X663" i="25"/>
  <c r="W663" i="25"/>
  <c r="V679" i="25"/>
  <c r="Y679" i="25"/>
  <c r="Z679" i="25"/>
  <c r="AA679" i="25"/>
  <c r="X679" i="25"/>
  <c r="W679" i="25"/>
  <c r="V695" i="25"/>
  <c r="Y695" i="25"/>
  <c r="Z695" i="25"/>
  <c r="AA695" i="25"/>
  <c r="X695" i="25"/>
  <c r="W695" i="25"/>
  <c r="V711" i="25"/>
  <c r="Y711" i="25"/>
  <c r="Z711" i="25"/>
  <c r="AA711" i="25"/>
  <c r="X711" i="25"/>
  <c r="W711" i="25"/>
  <c r="V727" i="25"/>
  <c r="Y727" i="25"/>
  <c r="Z727" i="25"/>
  <c r="AA727" i="25"/>
  <c r="X727" i="25"/>
  <c r="W727" i="25"/>
  <c r="V874" i="25"/>
  <c r="Z874" i="25"/>
  <c r="AA874" i="25"/>
  <c r="W874" i="25"/>
  <c r="X874" i="25"/>
  <c r="Y874" i="25"/>
  <c r="V919" i="25"/>
  <c r="Z919" i="25"/>
  <c r="AA919" i="25"/>
  <c r="Y919" i="25"/>
  <c r="W919" i="25"/>
  <c r="X919" i="25"/>
  <c r="AB1838" i="25"/>
  <c r="AB1830" i="25"/>
  <c r="AB1822" i="25"/>
  <c r="AB1814" i="25"/>
  <c r="AB1806" i="25"/>
  <c r="AB1798" i="25"/>
  <c r="AB1790" i="25"/>
  <c r="AB1782" i="25"/>
  <c r="AB1774" i="25"/>
  <c r="AB1766" i="25"/>
  <c r="AB1758" i="25"/>
  <c r="AB1750" i="25"/>
  <c r="AB1742" i="25"/>
  <c r="AB1734" i="25"/>
  <c r="AB1726" i="25"/>
  <c r="AB1718" i="25"/>
  <c r="AB1710" i="25"/>
  <c r="AB1702" i="25"/>
  <c r="AB1694" i="25"/>
  <c r="AB1686" i="25"/>
  <c r="AB1678" i="25"/>
  <c r="AB1670" i="25"/>
  <c r="AB1662" i="25"/>
  <c r="AB1654" i="25"/>
  <c r="AB1646" i="25"/>
  <c r="AB1638" i="25"/>
  <c r="AB1630" i="25"/>
  <c r="AB1622" i="25"/>
  <c r="AB1614" i="25"/>
  <c r="AB1606" i="25"/>
  <c r="AB1598" i="25"/>
  <c r="AB1590" i="25"/>
  <c r="AB1582" i="25"/>
  <c r="AB1574" i="25"/>
  <c r="AB1566" i="25"/>
  <c r="AB1558" i="25"/>
  <c r="AB1550" i="25"/>
  <c r="AB1542" i="25"/>
  <c r="AB1534" i="25"/>
  <c r="AB1526" i="25"/>
  <c r="AB1518" i="25"/>
  <c r="AB1510" i="25"/>
  <c r="AB1502" i="25"/>
  <c r="AB1494" i="25"/>
  <c r="AB1486" i="25"/>
  <c r="AB1478" i="25"/>
  <c r="AB1470" i="25"/>
  <c r="AB1462" i="25"/>
  <c r="AB1454" i="25"/>
  <c r="AB1446" i="25"/>
  <c r="AB1438" i="25"/>
  <c r="AB1430" i="25"/>
  <c r="AB1422" i="25"/>
  <c r="AB1414" i="25"/>
  <c r="AB1406" i="25"/>
  <c r="AB1398" i="25"/>
  <c r="AB1390" i="25"/>
  <c r="AB1382" i="25"/>
  <c r="AB1374" i="25"/>
  <c r="AB1366" i="25"/>
  <c r="AB1358" i="25"/>
  <c r="AB1350" i="25"/>
  <c r="AB1342" i="25"/>
  <c r="AB1334" i="25"/>
  <c r="AB1326" i="25"/>
  <c r="AB1310" i="25"/>
  <c r="AB1294" i="25"/>
  <c r="AB1278" i="25"/>
  <c r="AB1270" i="25"/>
  <c r="AB1254" i="25"/>
  <c r="AB1238" i="25"/>
  <c r="AB1222" i="25"/>
  <c r="AB1206" i="25"/>
  <c r="AB1198" i="25"/>
  <c r="AB1182" i="25"/>
  <c r="AB1166" i="25"/>
  <c r="AB1150" i="25"/>
  <c r="AB1142" i="25"/>
  <c r="AB1126" i="25"/>
  <c r="AB1110" i="25"/>
  <c r="AB1094" i="25"/>
  <c r="AB1086" i="25"/>
  <c r="AB1070" i="25"/>
  <c r="AB1054" i="25"/>
  <c r="AB1046" i="25"/>
  <c r="AB1027" i="25"/>
  <c r="AB1006" i="25"/>
  <c r="AB990" i="25"/>
  <c r="AB974" i="25"/>
  <c r="AB966" i="25"/>
  <c r="AB950" i="25"/>
  <c r="AB934" i="25"/>
  <c r="AB925" i="25"/>
  <c r="AB904" i="25"/>
  <c r="AB888" i="25"/>
  <c r="AB880" i="25"/>
  <c r="AB864" i="25"/>
  <c r="AB843" i="25"/>
  <c r="AB733" i="25"/>
  <c r="AB725" i="25"/>
  <c r="AB709" i="25"/>
  <c r="AB693" i="25"/>
  <c r="AB677" i="25"/>
  <c r="AB669" i="25"/>
  <c r="AB653" i="25"/>
  <c r="AB637" i="25"/>
  <c r="AB621" i="25"/>
  <c r="AB605" i="25"/>
  <c r="AB597" i="25"/>
  <c r="AB581" i="25"/>
  <c r="AB565" i="25"/>
  <c r="AB557" i="25"/>
  <c r="AB541" i="25"/>
  <c r="AB525" i="25"/>
  <c r="AB508" i="25"/>
  <c r="AB492" i="25"/>
  <c r="AB476" i="25"/>
  <c r="AB460" i="25"/>
  <c r="AB452" i="25"/>
  <c r="AB435" i="25"/>
  <c r="AB416" i="25"/>
  <c r="AB408" i="25"/>
  <c r="AB391" i="25"/>
  <c r="AB383" i="25"/>
  <c r="AB375" i="25"/>
  <c r="AB367" i="25"/>
  <c r="AB359" i="25"/>
  <c r="AB343" i="25"/>
  <c r="AB335" i="25"/>
  <c r="AB327" i="25"/>
  <c r="AB319" i="25"/>
  <c r="AB311" i="25"/>
  <c r="AB303" i="25"/>
  <c r="AB295" i="25"/>
  <c r="AB287" i="25"/>
  <c r="AB279" i="25"/>
  <c r="AB271" i="25"/>
  <c r="AB263" i="25"/>
  <c r="AB255" i="25"/>
  <c r="AB247" i="25"/>
  <c r="AB239" i="25"/>
  <c r="AB231" i="25"/>
  <c r="AB219" i="25"/>
  <c r="AB211" i="25"/>
  <c r="AB203" i="25"/>
  <c r="AB195" i="25"/>
  <c r="AB187" i="25"/>
  <c r="AB179" i="25"/>
  <c r="AB171" i="25"/>
  <c r="AB163" i="25"/>
  <c r="AB155" i="25"/>
  <c r="AB147" i="25"/>
  <c r="AB139" i="25"/>
  <c r="AB131" i="25"/>
  <c r="AB123" i="25"/>
  <c r="AB115" i="25"/>
  <c r="AB107" i="25"/>
  <c r="AB99" i="25"/>
  <c r="AB81" i="25"/>
  <c r="AB73" i="25"/>
  <c r="AB65" i="25"/>
  <c r="AB57" i="25"/>
  <c r="AB49" i="25"/>
  <c r="AB41" i="25"/>
  <c r="AB33" i="25"/>
  <c r="AB21" i="25"/>
  <c r="AB13" i="25"/>
  <c r="AB5" i="25"/>
  <c r="V17" i="25"/>
  <c r="AA17" i="25"/>
  <c r="W17" i="25"/>
  <c r="X17" i="25"/>
  <c r="Y17" i="25"/>
  <c r="Z17" i="25"/>
  <c r="V37" i="25"/>
  <c r="AA37" i="25"/>
  <c r="W37" i="25"/>
  <c r="Y37" i="25"/>
  <c r="Z37" i="25"/>
  <c r="X37" i="25"/>
  <c r="V53" i="25"/>
  <c r="AA53" i="25"/>
  <c r="W53" i="25"/>
  <c r="X53" i="25"/>
  <c r="Y53" i="25"/>
  <c r="Z53" i="25"/>
  <c r="V69" i="25"/>
  <c r="AA69" i="25"/>
  <c r="W69" i="25"/>
  <c r="X69" i="25"/>
  <c r="Y69" i="25"/>
  <c r="Z69" i="25"/>
  <c r="V95" i="25"/>
  <c r="AA95" i="25"/>
  <c r="W95" i="25"/>
  <c r="X95" i="25"/>
  <c r="Y95" i="25"/>
  <c r="Z95" i="25"/>
  <c r="V103" i="25"/>
  <c r="AA103" i="25"/>
  <c r="W103" i="25"/>
  <c r="X103" i="25"/>
  <c r="Y103" i="25"/>
  <c r="Z103" i="25"/>
  <c r="V119" i="25"/>
  <c r="AA119" i="25"/>
  <c r="W119" i="25"/>
  <c r="Z119" i="25"/>
  <c r="Y119" i="25"/>
  <c r="X119" i="25"/>
  <c r="V127" i="25"/>
  <c r="AA127" i="25"/>
  <c r="W127" i="25"/>
  <c r="X127" i="25"/>
  <c r="Y127" i="25"/>
  <c r="Z127" i="25"/>
  <c r="V135" i="25"/>
  <c r="AA135" i="25"/>
  <c r="W135" i="25"/>
  <c r="X135" i="25"/>
  <c r="Y135" i="25"/>
  <c r="Z135" i="25"/>
  <c r="V143" i="25"/>
  <c r="W143" i="25"/>
  <c r="X143" i="25"/>
  <c r="Y143" i="25"/>
  <c r="Z143" i="25"/>
  <c r="AA143" i="25"/>
  <c r="V151" i="25"/>
  <c r="W151" i="25"/>
  <c r="X151" i="25"/>
  <c r="Y151" i="25"/>
  <c r="Z151" i="25"/>
  <c r="AA151" i="25"/>
  <c r="V159" i="25"/>
  <c r="W159" i="25"/>
  <c r="X159" i="25"/>
  <c r="Y159" i="25"/>
  <c r="Z159" i="25"/>
  <c r="AA159" i="25"/>
  <c r="V167" i="25"/>
  <c r="W167" i="25"/>
  <c r="X167" i="25"/>
  <c r="Y167" i="25"/>
  <c r="AA167" i="25"/>
  <c r="Z167" i="25"/>
  <c r="V175" i="25"/>
  <c r="W175" i="25"/>
  <c r="X175" i="25"/>
  <c r="Y175" i="25"/>
  <c r="Z175" i="25"/>
  <c r="AA175" i="25"/>
  <c r="V183" i="25"/>
  <c r="W183" i="25"/>
  <c r="X183" i="25"/>
  <c r="Y183" i="25"/>
  <c r="Z183" i="25"/>
  <c r="AA183" i="25"/>
  <c r="V191" i="25"/>
  <c r="W191" i="25"/>
  <c r="X191" i="25"/>
  <c r="Y191" i="25"/>
  <c r="AA191" i="25"/>
  <c r="Z191" i="25"/>
  <c r="V199" i="25"/>
  <c r="W199" i="25"/>
  <c r="X199" i="25"/>
  <c r="Y199" i="25"/>
  <c r="Z199" i="25"/>
  <c r="AA199" i="25"/>
  <c r="V207" i="25"/>
  <c r="W207" i="25"/>
  <c r="X207" i="25"/>
  <c r="Y207" i="25"/>
  <c r="Z207" i="25"/>
  <c r="AA207" i="25"/>
  <c r="V215" i="25"/>
  <c r="W215" i="25"/>
  <c r="X215" i="25"/>
  <c r="Y215" i="25"/>
  <c r="Z215" i="25"/>
  <c r="AA215" i="25"/>
  <c r="V235" i="25"/>
  <c r="W235" i="25"/>
  <c r="X235" i="25"/>
  <c r="Y235" i="25"/>
  <c r="AA235" i="25"/>
  <c r="Z235" i="25"/>
  <c r="V243" i="25"/>
  <c r="W243" i="25"/>
  <c r="X243" i="25"/>
  <c r="Y243" i="25"/>
  <c r="Z243" i="25"/>
  <c r="AA243" i="25"/>
  <c r="V251" i="25"/>
  <c r="W251" i="25"/>
  <c r="X251" i="25"/>
  <c r="Y251" i="25"/>
  <c r="Z251" i="25"/>
  <c r="AA251" i="25"/>
  <c r="V259" i="25"/>
  <c r="W259" i="25"/>
  <c r="X259" i="25"/>
  <c r="Y259" i="25"/>
  <c r="Z259" i="25"/>
  <c r="AA259" i="25"/>
  <c r="V275" i="25"/>
  <c r="W275" i="25"/>
  <c r="X275" i="25"/>
  <c r="Y275" i="25"/>
  <c r="Z275" i="25"/>
  <c r="AA275" i="25"/>
  <c r="V291" i="25"/>
  <c r="W291" i="25"/>
  <c r="X291" i="25"/>
  <c r="Y291" i="25"/>
  <c r="Z291" i="25"/>
  <c r="AA291" i="25"/>
  <c r="AB358" i="25"/>
  <c r="AB350" i="25"/>
  <c r="AB342" i="25"/>
  <c r="AB334" i="25"/>
  <c r="AB326" i="25"/>
  <c r="AB318" i="25"/>
  <c r="AB310" i="25"/>
  <c r="AB302" i="25"/>
  <c r="AB294" i="25"/>
  <c r="AB286" i="25"/>
  <c r="AB278" i="25"/>
  <c r="AB270" i="25"/>
  <c r="AB262" i="25"/>
  <c r="AB254" i="25"/>
  <c r="AB246" i="25"/>
  <c r="AB238" i="25"/>
  <c r="AB230" i="25"/>
  <c r="AB218" i="25"/>
  <c r="AB210" i="25"/>
  <c r="AB202" i="25"/>
  <c r="AB194" i="25"/>
  <c r="AB186" i="25"/>
  <c r="AB178" i="25"/>
  <c r="AB170" i="25"/>
  <c r="AB162" i="25"/>
  <c r="AB154" i="25"/>
  <c r="AB146" i="25"/>
  <c r="AB138" i="25"/>
  <c r="AB130" i="25"/>
  <c r="AB122" i="25"/>
  <c r="AB114" i="25"/>
  <c r="AB106" i="25"/>
  <c r="AB98" i="25"/>
  <c r="AB80" i="25"/>
  <c r="AB72" i="25"/>
  <c r="AB64" i="25"/>
  <c r="AB56" i="25"/>
  <c r="AB48" i="25"/>
  <c r="AB40" i="25"/>
  <c r="AB28" i="25"/>
  <c r="AB20" i="25"/>
  <c r="AB12" i="25"/>
  <c r="AB4" i="25"/>
  <c r="V10" i="25"/>
  <c r="W10" i="25"/>
  <c r="X10" i="25"/>
  <c r="Y10" i="25"/>
  <c r="Z10" i="25"/>
  <c r="AA10" i="25"/>
  <c r="V18" i="25"/>
  <c r="W18" i="25"/>
  <c r="X18" i="25"/>
  <c r="Y18" i="25"/>
  <c r="Z18" i="25"/>
  <c r="AA18" i="25"/>
  <c r="V26" i="25"/>
  <c r="W26" i="25"/>
  <c r="X26" i="25"/>
  <c r="Y26" i="25"/>
  <c r="Z26" i="25"/>
  <c r="AA26" i="25"/>
  <c r="V38" i="25"/>
  <c r="W38" i="25"/>
  <c r="X38" i="25"/>
  <c r="Y38" i="25"/>
  <c r="Z38" i="25"/>
  <c r="AA38" i="25"/>
  <c r="V46" i="25"/>
  <c r="X46" i="25"/>
  <c r="Y46" i="25"/>
  <c r="Z46" i="25"/>
  <c r="W46" i="25"/>
  <c r="AA46" i="25"/>
  <c r="V54" i="25"/>
  <c r="X54" i="25"/>
  <c r="Y54" i="25"/>
  <c r="Z54" i="25"/>
  <c r="AA54" i="25"/>
  <c r="W54" i="25"/>
  <c r="V62" i="25"/>
  <c r="X62" i="25"/>
  <c r="Y62" i="25"/>
  <c r="W62" i="25"/>
  <c r="Z62" i="25"/>
  <c r="AA62" i="25"/>
  <c r="V70" i="25"/>
  <c r="X70" i="25"/>
  <c r="Y70" i="25"/>
  <c r="W70" i="25"/>
  <c r="Z70" i="25"/>
  <c r="AA70" i="25"/>
  <c r="V78" i="25"/>
  <c r="X78" i="25"/>
  <c r="Y78" i="25"/>
  <c r="Z78" i="25"/>
  <c r="AA78" i="25"/>
  <c r="W78" i="25"/>
  <c r="V96" i="25"/>
  <c r="X96" i="25"/>
  <c r="Y96" i="25"/>
  <c r="AA96" i="25"/>
  <c r="W96" i="25"/>
  <c r="Z96" i="25"/>
  <c r="V104" i="25"/>
  <c r="X104" i="25"/>
  <c r="Y104" i="25"/>
  <c r="Z104" i="25"/>
  <c r="AA104" i="25"/>
  <c r="W104" i="25"/>
  <c r="V112" i="25"/>
  <c r="X112" i="25"/>
  <c r="W112" i="25"/>
  <c r="Y112" i="25"/>
  <c r="Z112" i="25"/>
  <c r="AA112" i="25"/>
  <c r="V120" i="25"/>
  <c r="X120" i="25"/>
  <c r="W120" i="25"/>
  <c r="Y120" i="25"/>
  <c r="Z120" i="25"/>
  <c r="AA120" i="25"/>
  <c r="V128" i="25"/>
  <c r="X128" i="25"/>
  <c r="Z128" i="25"/>
  <c r="AA128" i="25"/>
  <c r="W128" i="25"/>
  <c r="Y128" i="25"/>
  <c r="V136" i="25"/>
  <c r="X136" i="25"/>
  <c r="W136" i="25"/>
  <c r="AA136" i="25"/>
  <c r="Y136" i="25"/>
  <c r="Z136" i="25"/>
  <c r="V144" i="25"/>
  <c r="X144" i="25"/>
  <c r="Y144" i="25"/>
  <c r="Z144" i="25"/>
  <c r="AA144" i="25"/>
  <c r="W144" i="25"/>
  <c r="V152" i="25"/>
  <c r="X152" i="25"/>
  <c r="Y152" i="25"/>
  <c r="Z152" i="25"/>
  <c r="AA152" i="25"/>
  <c r="W152" i="25"/>
  <c r="V160" i="25"/>
  <c r="X160" i="25"/>
  <c r="Y160" i="25"/>
  <c r="Z160" i="25"/>
  <c r="AA160" i="25"/>
  <c r="W160" i="25"/>
  <c r="V168" i="25"/>
  <c r="X168" i="25"/>
  <c r="Y168" i="25"/>
  <c r="Z168" i="25"/>
  <c r="AA168" i="25"/>
  <c r="W168" i="25"/>
  <c r="V176" i="25"/>
  <c r="X176" i="25"/>
  <c r="Y176" i="25"/>
  <c r="Z176" i="25"/>
  <c r="AA176" i="25"/>
  <c r="W176" i="25"/>
  <c r="V184" i="25"/>
  <c r="X184" i="25"/>
  <c r="Y184" i="25"/>
  <c r="Z184" i="25"/>
  <c r="AA184" i="25"/>
  <c r="W184" i="25"/>
  <c r="V192" i="25"/>
  <c r="X192" i="25"/>
  <c r="Y192" i="25"/>
  <c r="Z192" i="25"/>
  <c r="AA192" i="25"/>
  <c r="W192" i="25"/>
  <c r="V200" i="25"/>
  <c r="X200" i="25"/>
  <c r="Y200" i="25"/>
  <c r="Z200" i="25"/>
  <c r="AA200" i="25"/>
  <c r="W200" i="25"/>
  <c r="V208" i="25"/>
  <c r="X208" i="25"/>
  <c r="Y208" i="25"/>
  <c r="Z208" i="25"/>
  <c r="AA208" i="25"/>
  <c r="W208" i="25"/>
  <c r="V216" i="25"/>
  <c r="X216" i="25"/>
  <c r="Y216" i="25"/>
  <c r="Z216" i="25"/>
  <c r="AA216" i="25"/>
  <c r="W216" i="25"/>
  <c r="V228" i="25"/>
  <c r="X228" i="25"/>
  <c r="Y228" i="25"/>
  <c r="Z228" i="25"/>
  <c r="AA228" i="25"/>
  <c r="W228" i="25"/>
  <c r="V236" i="25"/>
  <c r="X236" i="25"/>
  <c r="Y236" i="25"/>
  <c r="Z236" i="25"/>
  <c r="AA236" i="25"/>
  <c r="W236" i="25"/>
  <c r="V244" i="25"/>
  <c r="X244" i="25"/>
  <c r="Y244" i="25"/>
  <c r="Z244" i="25"/>
  <c r="AA244" i="25"/>
  <c r="W244" i="25"/>
  <c r="V252" i="25"/>
  <c r="X252" i="25"/>
  <c r="Y252" i="25"/>
  <c r="Z252" i="25"/>
  <c r="AA252" i="25"/>
  <c r="W252" i="25"/>
  <c r="V260" i="25"/>
  <c r="X260" i="25"/>
  <c r="Y260" i="25"/>
  <c r="Z260" i="25"/>
  <c r="AA260" i="25"/>
  <c r="W260" i="25"/>
  <c r="V268" i="25"/>
  <c r="X268" i="25"/>
  <c r="Y268" i="25"/>
  <c r="Z268" i="25"/>
  <c r="AA268" i="25"/>
  <c r="W268" i="25"/>
  <c r="V276" i="25"/>
  <c r="X276" i="25"/>
  <c r="Y276" i="25"/>
  <c r="Z276" i="25"/>
  <c r="AA276" i="25"/>
  <c r="W276" i="25"/>
  <c r="V284" i="25"/>
  <c r="X284" i="25"/>
  <c r="Z284" i="25"/>
  <c r="AA284" i="25"/>
  <c r="W284" i="25"/>
  <c r="Y284" i="25"/>
  <c r="V292" i="25"/>
  <c r="Z292" i="25"/>
  <c r="W292" i="25"/>
  <c r="X292" i="25"/>
  <c r="Y292" i="25"/>
  <c r="AA292" i="25"/>
  <c r="V300" i="25"/>
  <c r="W300" i="25"/>
  <c r="Y300" i="25"/>
  <c r="Z300" i="25"/>
  <c r="AA300" i="25"/>
  <c r="X300" i="25"/>
  <c r="V308" i="25"/>
  <c r="W308" i="25"/>
  <c r="X308" i="25"/>
  <c r="Y308" i="25"/>
  <c r="Z308" i="25"/>
  <c r="AA308" i="25"/>
  <c r="V316" i="25"/>
  <c r="W316" i="25"/>
  <c r="Y316" i="25"/>
  <c r="Z316" i="25"/>
  <c r="AA316" i="25"/>
  <c r="X316" i="25"/>
  <c r="V324" i="25"/>
  <c r="W324" i="25"/>
  <c r="X324" i="25"/>
  <c r="Y324" i="25"/>
  <c r="Z324" i="25"/>
  <c r="AA324" i="25"/>
  <c r="V332" i="25"/>
  <c r="W332" i="25"/>
  <c r="Y332" i="25"/>
  <c r="Z332" i="25"/>
  <c r="AA332" i="25"/>
  <c r="X332" i="25"/>
  <c r="V340" i="25"/>
  <c r="W340" i="25"/>
  <c r="X340" i="25"/>
  <c r="Y340" i="25"/>
  <c r="Z340" i="25"/>
  <c r="AA340" i="25"/>
  <c r="V348" i="25"/>
  <c r="W348" i="25"/>
  <c r="X348" i="25"/>
  <c r="Y348" i="25"/>
  <c r="Z348" i="25"/>
  <c r="AA348" i="25"/>
  <c r="V356" i="25"/>
  <c r="W356" i="25"/>
  <c r="Z356" i="25"/>
  <c r="AA356" i="25"/>
  <c r="Y356" i="25"/>
  <c r="X356" i="25"/>
  <c r="V364" i="25"/>
  <c r="W364" i="25"/>
  <c r="X364" i="25"/>
  <c r="Y364" i="25"/>
  <c r="AA364" i="25"/>
  <c r="Z364" i="25"/>
  <c r="V372" i="25"/>
  <c r="W372" i="25"/>
  <c r="X372" i="25"/>
  <c r="Y372" i="25"/>
  <c r="Z372" i="25"/>
  <c r="AA372" i="25"/>
  <c r="V380" i="25"/>
  <c r="W380" i="25"/>
  <c r="X380" i="25"/>
  <c r="Y380" i="25"/>
  <c r="Z380" i="25"/>
  <c r="AA380" i="25"/>
  <c r="V388" i="25"/>
  <c r="W388" i="25"/>
  <c r="Z388" i="25"/>
  <c r="AA388" i="25"/>
  <c r="X388" i="25"/>
  <c r="Y388" i="25"/>
  <c r="V396" i="25"/>
  <c r="W396" i="25"/>
  <c r="Y396" i="25"/>
  <c r="X396" i="25"/>
  <c r="AA396" i="25"/>
  <c r="Z396" i="25"/>
  <c r="V405" i="25"/>
  <c r="W405" i="25"/>
  <c r="X405" i="25"/>
  <c r="Y405" i="25"/>
  <c r="AA405" i="25"/>
  <c r="Z405" i="25"/>
  <c r="V413" i="25"/>
  <c r="W413" i="25"/>
  <c r="X413" i="25"/>
  <c r="Y413" i="25"/>
  <c r="Z413" i="25"/>
  <c r="AA413" i="25"/>
  <c r="V421" i="25"/>
  <c r="W421" i="25"/>
  <c r="Z421" i="25"/>
  <c r="AA421" i="25"/>
  <c r="X421" i="25"/>
  <c r="Y421" i="25"/>
  <c r="V432" i="25"/>
  <c r="W432" i="25"/>
  <c r="X432" i="25"/>
  <c r="Z432" i="25"/>
  <c r="Y432" i="25"/>
  <c r="AA432" i="25"/>
  <c r="V440" i="25"/>
  <c r="W440" i="25"/>
  <c r="X440" i="25"/>
  <c r="Y440" i="25"/>
  <c r="Z440" i="25"/>
  <c r="AA440" i="25"/>
  <c r="V449" i="25"/>
  <c r="W449" i="25"/>
  <c r="X449" i="25"/>
  <c r="Y449" i="25"/>
  <c r="Z449" i="25"/>
  <c r="AA449" i="25"/>
  <c r="V457" i="25"/>
  <c r="W457" i="25"/>
  <c r="Z457" i="25"/>
  <c r="AA457" i="25"/>
  <c r="X457" i="25"/>
  <c r="Y457" i="25"/>
  <c r="V465" i="25"/>
  <c r="Z465" i="25"/>
  <c r="AA465" i="25"/>
  <c r="W465" i="25"/>
  <c r="X465" i="25"/>
  <c r="Y465" i="25"/>
  <c r="V473" i="25"/>
  <c r="Z473" i="25"/>
  <c r="AA473" i="25"/>
  <c r="X473" i="25"/>
  <c r="W473" i="25"/>
  <c r="Y473" i="25"/>
  <c r="V481" i="25"/>
  <c r="Z481" i="25"/>
  <c r="AA481" i="25"/>
  <c r="W481" i="25"/>
  <c r="X481" i="25"/>
  <c r="Y481" i="25"/>
  <c r="V489" i="25"/>
  <c r="Z489" i="25"/>
  <c r="AA489" i="25"/>
  <c r="X489" i="25"/>
  <c r="W489" i="25"/>
  <c r="Y489" i="25"/>
  <c r="V497" i="25"/>
  <c r="Z497" i="25"/>
  <c r="AA497" i="25"/>
  <c r="X497" i="25"/>
  <c r="Y497" i="25"/>
  <c r="W497" i="25"/>
  <c r="V505" i="25"/>
  <c r="Z505" i="25"/>
  <c r="AA505" i="25"/>
  <c r="X505" i="25"/>
  <c r="W505" i="25"/>
  <c r="Y505" i="25"/>
  <c r="V514" i="25"/>
  <c r="Z514" i="25"/>
  <c r="AA514" i="25"/>
  <c r="X514" i="25"/>
  <c r="W514" i="25"/>
  <c r="Y514" i="25"/>
  <c r="V522" i="25"/>
  <c r="Z522" i="25"/>
  <c r="AA522" i="25"/>
  <c r="X522" i="25"/>
  <c r="W522" i="25"/>
  <c r="Y522" i="25"/>
  <c r="V530" i="25"/>
  <c r="Z530" i="25"/>
  <c r="AA530" i="25"/>
  <c r="X530" i="25"/>
  <c r="W530" i="25"/>
  <c r="Y530" i="25"/>
  <c r="V538" i="25"/>
  <c r="Z538" i="25"/>
  <c r="AA538" i="25"/>
  <c r="X538" i="25"/>
  <c r="W538" i="25"/>
  <c r="Y538" i="25"/>
  <c r="V546" i="25"/>
  <c r="Z546" i="25"/>
  <c r="AA546" i="25"/>
  <c r="X546" i="25"/>
  <c r="W546" i="25"/>
  <c r="Y546" i="25"/>
  <c r="V554" i="25"/>
  <c r="Z554" i="25"/>
  <c r="AA554" i="25"/>
  <c r="X554" i="25"/>
  <c r="W554" i="25"/>
  <c r="Y554" i="25"/>
  <c r="V562" i="25"/>
  <c r="Z562" i="25"/>
  <c r="AA562" i="25"/>
  <c r="X562" i="25"/>
  <c r="Y562" i="25"/>
  <c r="W562" i="25"/>
  <c r="V570" i="25"/>
  <c r="Z570" i="25"/>
  <c r="AA570" i="25"/>
  <c r="X570" i="25"/>
  <c r="W570" i="25"/>
  <c r="Y570" i="25"/>
  <c r="V578" i="25"/>
  <c r="Z578" i="25"/>
  <c r="AA578" i="25"/>
  <c r="X578" i="25"/>
  <c r="Y578" i="25"/>
  <c r="W578" i="25"/>
  <c r="V586" i="25"/>
  <c r="Z586" i="25"/>
  <c r="AA586" i="25"/>
  <c r="X586" i="25"/>
  <c r="W586" i="25"/>
  <c r="Y586" i="25"/>
  <c r="V594" i="25"/>
  <c r="Z594" i="25"/>
  <c r="AA594" i="25"/>
  <c r="X594" i="25"/>
  <c r="W594" i="25"/>
  <c r="Y594" i="25"/>
  <c r="V602" i="25"/>
  <c r="Z602" i="25"/>
  <c r="AA602" i="25"/>
  <c r="X602" i="25"/>
  <c r="W602" i="25"/>
  <c r="Y602" i="25"/>
  <c r="V610" i="25"/>
  <c r="Z610" i="25"/>
  <c r="AA610" i="25"/>
  <c r="X610" i="25"/>
  <c r="W610" i="25"/>
  <c r="Y610" i="25"/>
  <c r="V618" i="25"/>
  <c r="Z618" i="25"/>
  <c r="AA618" i="25"/>
  <c r="X618" i="25"/>
  <c r="W618" i="25"/>
  <c r="Y618" i="25"/>
  <c r="V626" i="25"/>
  <c r="Z626" i="25"/>
  <c r="AA626" i="25"/>
  <c r="X626" i="25"/>
  <c r="Y626" i="25"/>
  <c r="W626" i="25"/>
  <c r="V634" i="25"/>
  <c r="Z634" i="25"/>
  <c r="AA634" i="25"/>
  <c r="X634" i="25"/>
  <c r="Y634" i="25"/>
  <c r="W634" i="25"/>
  <c r="V642" i="25"/>
  <c r="Z642" i="25"/>
  <c r="AA642" i="25"/>
  <c r="W642" i="25"/>
  <c r="X642" i="25"/>
  <c r="Y642" i="25"/>
  <c r="V650" i="25"/>
  <c r="Z650" i="25"/>
  <c r="AA650" i="25"/>
  <c r="Y650" i="25"/>
  <c r="W650" i="25"/>
  <c r="X650" i="25"/>
  <c r="V658" i="25"/>
  <c r="Z658" i="25"/>
  <c r="AA658" i="25"/>
  <c r="W658" i="25"/>
  <c r="X658" i="25"/>
  <c r="Y658" i="25"/>
  <c r="V666" i="25"/>
  <c r="Z666" i="25"/>
  <c r="AA666" i="25"/>
  <c r="Y666" i="25"/>
  <c r="W666" i="25"/>
  <c r="X666" i="25"/>
  <c r="V674" i="25"/>
  <c r="Z674" i="25"/>
  <c r="AA674" i="25"/>
  <c r="W674" i="25"/>
  <c r="X674" i="25"/>
  <c r="Y674" i="25"/>
  <c r="V682" i="25"/>
  <c r="Z682" i="25"/>
  <c r="AA682" i="25"/>
  <c r="Y682" i="25"/>
  <c r="W682" i="25"/>
  <c r="X682" i="25"/>
  <c r="V690" i="25"/>
  <c r="Z690" i="25"/>
  <c r="AA690" i="25"/>
  <c r="W690" i="25"/>
  <c r="X690" i="25"/>
  <c r="Y690" i="25"/>
  <c r="V698" i="25"/>
  <c r="Z698" i="25"/>
  <c r="AA698" i="25"/>
  <c r="Y698" i="25"/>
  <c r="W698" i="25"/>
  <c r="X698" i="25"/>
  <c r="V706" i="25"/>
  <c r="Z706" i="25"/>
  <c r="AA706" i="25"/>
  <c r="W706" i="25"/>
  <c r="X706" i="25"/>
  <c r="Y706" i="25"/>
  <c r="V714" i="25"/>
  <c r="Z714" i="25"/>
  <c r="AA714" i="25"/>
  <c r="Y714" i="25"/>
  <c r="W714" i="25"/>
  <c r="X714" i="25"/>
  <c r="V722" i="25"/>
  <c r="Z722" i="25"/>
  <c r="AA722" i="25"/>
  <c r="W722" i="25"/>
  <c r="X722" i="25"/>
  <c r="Y722" i="25"/>
  <c r="V730" i="25"/>
  <c r="Z730" i="25"/>
  <c r="AA730" i="25"/>
  <c r="Y730" i="25"/>
  <c r="W730" i="25"/>
  <c r="X730" i="25"/>
  <c r="V738" i="25"/>
  <c r="AA738" i="25"/>
  <c r="W738" i="25"/>
  <c r="X738" i="25"/>
  <c r="Y738" i="25"/>
  <c r="Z738" i="25"/>
  <c r="V840" i="25"/>
  <c r="AA840" i="25"/>
  <c r="Y840" i="25"/>
  <c r="Z840" i="25"/>
  <c r="W840" i="25"/>
  <c r="X840" i="25"/>
  <c r="V848" i="25"/>
  <c r="AA848" i="25"/>
  <c r="W848" i="25"/>
  <c r="X848" i="25"/>
  <c r="Y848" i="25"/>
  <c r="Z848" i="25"/>
  <c r="V861" i="25"/>
  <c r="AA861" i="25"/>
  <c r="W861" i="25"/>
  <c r="X861" i="25"/>
  <c r="Y861" i="25"/>
  <c r="Z861" i="25"/>
  <c r="V869" i="25"/>
  <c r="AA869" i="25"/>
  <c r="W869" i="25"/>
  <c r="X869" i="25"/>
  <c r="Y869" i="25"/>
  <c r="Z869" i="25"/>
  <c r="V877" i="25"/>
  <c r="AA877" i="25"/>
  <c r="Y877" i="25"/>
  <c r="Z877" i="25"/>
  <c r="W877" i="25"/>
  <c r="X877" i="25"/>
  <c r="V885" i="25"/>
  <c r="AA885" i="25"/>
  <c r="W885" i="25"/>
  <c r="X885" i="25"/>
  <c r="Y885" i="25"/>
  <c r="Z885" i="25"/>
  <c r="V893" i="25"/>
  <c r="AA893" i="25"/>
  <c r="W893" i="25"/>
  <c r="X893" i="25"/>
  <c r="Y893" i="25"/>
  <c r="Z893" i="25"/>
  <c r="V901" i="25"/>
  <c r="AA901" i="25"/>
  <c r="Z901" i="25"/>
  <c r="X901" i="25"/>
  <c r="Y901" i="25"/>
  <c r="W901" i="25"/>
  <c r="V914" i="25"/>
  <c r="AA914" i="25"/>
  <c r="Z914" i="25"/>
  <c r="W914" i="25"/>
  <c r="X914" i="25"/>
  <c r="Y914" i="25"/>
  <c r="V922" i="25"/>
  <c r="AA922" i="25"/>
  <c r="W922" i="25"/>
  <c r="X922" i="25"/>
  <c r="Y922" i="25"/>
  <c r="Z922" i="25"/>
  <c r="V931" i="25"/>
  <c r="AA931" i="25"/>
  <c r="X931" i="25"/>
  <c r="Y931" i="25"/>
  <c r="W931" i="25"/>
  <c r="Z931" i="25"/>
  <c r="V937" i="25"/>
  <c r="AA937" i="25"/>
  <c r="Z937" i="25"/>
  <c r="W937" i="25"/>
  <c r="X937" i="25"/>
  <c r="Y937" i="25"/>
  <c r="V945" i="25"/>
  <c r="AA945" i="25"/>
  <c r="X945" i="25"/>
  <c r="Y945" i="25"/>
  <c r="Z945" i="25"/>
  <c r="W945" i="25"/>
  <c r="V955" i="25"/>
  <c r="AA955" i="25"/>
  <c r="W955" i="25"/>
  <c r="Z955" i="25"/>
  <c r="X955" i="25"/>
  <c r="Y955" i="25"/>
  <c r="V963" i="25"/>
  <c r="Y963" i="25"/>
  <c r="Z963" i="25"/>
  <c r="W963" i="25"/>
  <c r="X963" i="25"/>
  <c r="AA963" i="25"/>
  <c r="V971" i="25"/>
  <c r="Z971" i="25"/>
  <c r="W971" i="25"/>
  <c r="X971" i="25"/>
  <c r="Y971" i="25"/>
  <c r="AA971" i="25"/>
  <c r="V979" i="25"/>
  <c r="Z979" i="25"/>
  <c r="X979" i="25"/>
  <c r="Y979" i="25"/>
  <c r="AA979" i="25"/>
  <c r="W979" i="25"/>
  <c r="V139" i="25"/>
  <c r="W139" i="25"/>
  <c r="Y139" i="25"/>
  <c r="X139" i="25"/>
  <c r="Z139" i="25"/>
  <c r="AA139" i="25"/>
  <c r="V187" i="25"/>
  <c r="Y187" i="25"/>
  <c r="Z187" i="25"/>
  <c r="AA187" i="25"/>
  <c r="W187" i="25"/>
  <c r="X187" i="25"/>
  <c r="V287" i="25"/>
  <c r="Y287" i="25"/>
  <c r="AA287" i="25"/>
  <c r="W287" i="25"/>
  <c r="X287" i="25"/>
  <c r="Z287" i="25"/>
  <c r="V460" i="25"/>
  <c r="X460" i="25"/>
  <c r="W460" i="25"/>
  <c r="Y460" i="25"/>
  <c r="Z460" i="25"/>
  <c r="AA460" i="25"/>
  <c r="V492" i="25"/>
  <c r="AA492" i="25"/>
  <c r="Y492" i="25"/>
  <c r="W492" i="25"/>
  <c r="X492" i="25"/>
  <c r="Z492" i="25"/>
  <c r="V508" i="25"/>
  <c r="AA508" i="25"/>
  <c r="Y508" i="25"/>
  <c r="W508" i="25"/>
  <c r="X508" i="25"/>
  <c r="Z508" i="25"/>
  <c r="V589" i="25"/>
  <c r="AA589" i="25"/>
  <c r="Y589" i="25"/>
  <c r="W589" i="25"/>
  <c r="X589" i="25"/>
  <c r="Z589" i="25"/>
  <c r="V645" i="25"/>
  <c r="AA645" i="25"/>
  <c r="W645" i="25"/>
  <c r="X645" i="25"/>
  <c r="Y645" i="25"/>
  <c r="Z645" i="25"/>
  <c r="V685" i="25"/>
  <c r="AA685" i="25"/>
  <c r="Z685" i="25"/>
  <c r="Y685" i="25"/>
  <c r="W685" i="25"/>
  <c r="X685" i="25"/>
  <c r="V872" i="25"/>
  <c r="W872" i="25"/>
  <c r="X872" i="25"/>
  <c r="Y872" i="25"/>
  <c r="Z872" i="25"/>
  <c r="AA872" i="25"/>
  <c r="V982" i="25"/>
  <c r="AA982" i="25"/>
  <c r="W982" i="25"/>
  <c r="X982" i="25"/>
  <c r="Y982" i="25"/>
  <c r="Z982" i="25"/>
  <c r="V1070" i="25"/>
  <c r="X1070" i="25"/>
  <c r="AA1070" i="25"/>
  <c r="W1070" i="25"/>
  <c r="Y1070" i="25"/>
  <c r="Z1070" i="25"/>
  <c r="V1134" i="25"/>
  <c r="X1134" i="25"/>
  <c r="W1134" i="25"/>
  <c r="Y1134" i="25"/>
  <c r="Z1134" i="25"/>
  <c r="AA1134" i="25"/>
  <c r="V1222" i="25"/>
  <c r="X1222" i="25"/>
  <c r="Y1222" i="25"/>
  <c r="W1222" i="25"/>
  <c r="Z1222" i="25"/>
  <c r="AA1222" i="25"/>
  <c r="V1302" i="25"/>
  <c r="Y1302" i="25"/>
  <c r="W1302" i="25"/>
  <c r="X1302" i="25"/>
  <c r="Z1302" i="25"/>
  <c r="AA1302" i="25"/>
  <c r="V1318" i="25"/>
  <c r="Y1318" i="25"/>
  <c r="W1318" i="25"/>
  <c r="X1318" i="25"/>
  <c r="Z1318" i="25"/>
  <c r="AA1318" i="25"/>
  <c r="V1390" i="25"/>
  <c r="Z1390" i="25"/>
  <c r="AA1390" i="25"/>
  <c r="W1390" i="25"/>
  <c r="X1390" i="25"/>
  <c r="Y1390" i="25"/>
  <c r="V1462" i="25"/>
  <c r="Z1462" i="25"/>
  <c r="AA1462" i="25"/>
  <c r="W1462" i="25"/>
  <c r="Y1462" i="25"/>
  <c r="X1462" i="25"/>
  <c r="V1494" i="25"/>
  <c r="Z1494" i="25"/>
  <c r="AA1494" i="25"/>
  <c r="W1494" i="25"/>
  <c r="Y1494" i="25"/>
  <c r="X1494" i="25"/>
  <c r="V1550" i="25"/>
  <c r="Z1550" i="25"/>
  <c r="W1550" i="25"/>
  <c r="Y1550" i="25"/>
  <c r="AA1550" i="25"/>
  <c r="X1550" i="25"/>
  <c r="V1638" i="25"/>
  <c r="Y1638" i="25"/>
  <c r="Z1638" i="25"/>
  <c r="AA1638" i="25"/>
  <c r="W1638" i="25"/>
  <c r="X1638" i="25"/>
  <c r="V7" i="25"/>
  <c r="W7" i="25"/>
  <c r="X7" i="25"/>
  <c r="Y7" i="25"/>
  <c r="AA7" i="25"/>
  <c r="Z7" i="25"/>
  <c r="V35" i="25"/>
  <c r="W35" i="25"/>
  <c r="X35" i="25"/>
  <c r="Y35" i="25"/>
  <c r="Z35" i="25"/>
  <c r="AA35" i="25"/>
  <c r="V117" i="25"/>
  <c r="W117" i="25"/>
  <c r="AA117" i="25"/>
  <c r="X117" i="25"/>
  <c r="Y117" i="25"/>
  <c r="Z117" i="25"/>
  <c r="V157" i="25"/>
  <c r="W157" i="25"/>
  <c r="X157" i="25"/>
  <c r="Y157" i="25"/>
  <c r="Z157" i="25"/>
  <c r="AA157" i="25"/>
  <c r="V173" i="25"/>
  <c r="W173" i="25"/>
  <c r="X173" i="25"/>
  <c r="Y173" i="25"/>
  <c r="Z173" i="25"/>
  <c r="AA173" i="25"/>
  <c r="V289" i="25"/>
  <c r="W289" i="25"/>
  <c r="Y289" i="25"/>
  <c r="X289" i="25"/>
  <c r="Z289" i="25"/>
  <c r="AA289" i="25"/>
  <c r="V345" i="25"/>
  <c r="AA345" i="25"/>
  <c r="X345" i="25"/>
  <c r="Y345" i="25"/>
  <c r="Z345" i="25"/>
  <c r="W345" i="25"/>
  <c r="V377" i="25"/>
  <c r="AA377" i="25"/>
  <c r="W377" i="25"/>
  <c r="X377" i="25"/>
  <c r="Y377" i="25"/>
  <c r="Z377" i="25"/>
  <c r="V402" i="25"/>
  <c r="Y402" i="25"/>
  <c r="Z402" i="25"/>
  <c r="AA402" i="25"/>
  <c r="W402" i="25"/>
  <c r="X402" i="25"/>
  <c r="V429" i="25"/>
  <c r="W429" i="25"/>
  <c r="X429" i="25"/>
  <c r="Y429" i="25"/>
  <c r="Z429" i="25"/>
  <c r="AA429" i="25"/>
  <c r="V527" i="25"/>
  <c r="Y527" i="25"/>
  <c r="Z527" i="25"/>
  <c r="AA527" i="25"/>
  <c r="W527" i="25"/>
  <c r="X527" i="25"/>
  <c r="V575" i="25"/>
  <c r="Y575" i="25"/>
  <c r="Z575" i="25"/>
  <c r="AA575" i="25"/>
  <c r="W575" i="25"/>
  <c r="X575" i="25"/>
  <c r="V623" i="25"/>
  <c r="Y623" i="25"/>
  <c r="Z623" i="25"/>
  <c r="AA623" i="25"/>
  <c r="W623" i="25"/>
  <c r="X623" i="25"/>
  <c r="V655" i="25"/>
  <c r="Y655" i="25"/>
  <c r="Z655" i="25"/>
  <c r="AA655" i="25"/>
  <c r="W655" i="25"/>
  <c r="X655" i="25"/>
  <c r="V719" i="25"/>
  <c r="Y719" i="25"/>
  <c r="Z719" i="25"/>
  <c r="AA719" i="25"/>
  <c r="W719" i="25"/>
  <c r="X719" i="25"/>
  <c r="V3" i="25"/>
  <c r="AA3" i="25"/>
  <c r="Z3" i="25"/>
  <c r="Y3" i="25"/>
  <c r="X3" i="25"/>
  <c r="W3" i="25"/>
  <c r="V11" i="25"/>
  <c r="Y11" i="25"/>
  <c r="Z11" i="25"/>
  <c r="AA11" i="25"/>
  <c r="X11" i="25"/>
  <c r="W11" i="25"/>
  <c r="V19" i="25"/>
  <c r="Y19" i="25"/>
  <c r="Z19" i="25"/>
  <c r="AA19" i="25"/>
  <c r="W19" i="25"/>
  <c r="X19" i="25"/>
  <c r="V27" i="25"/>
  <c r="Y27" i="25"/>
  <c r="Z27" i="25"/>
  <c r="AA27" i="25"/>
  <c r="W27" i="25"/>
  <c r="X27" i="25"/>
  <c r="V39" i="25"/>
  <c r="Y39" i="25"/>
  <c r="Z39" i="25"/>
  <c r="AA39" i="25"/>
  <c r="W39" i="25"/>
  <c r="X39" i="25"/>
  <c r="V47" i="25"/>
  <c r="Y47" i="25"/>
  <c r="AA47" i="25"/>
  <c r="W47" i="25"/>
  <c r="X47" i="25"/>
  <c r="Z47" i="25"/>
  <c r="V55" i="25"/>
  <c r="Y55" i="25"/>
  <c r="AA55" i="25"/>
  <c r="W55" i="25"/>
  <c r="X55" i="25"/>
  <c r="Z55" i="25"/>
  <c r="V63" i="25"/>
  <c r="Y63" i="25"/>
  <c r="AA63" i="25"/>
  <c r="Z63" i="25"/>
  <c r="W63" i="25"/>
  <c r="X63" i="25"/>
  <c r="V71" i="25"/>
  <c r="Y71" i="25"/>
  <c r="AA71" i="25"/>
  <c r="X71" i="25"/>
  <c r="Z71" i="25"/>
  <c r="W71" i="25"/>
  <c r="V79" i="25"/>
  <c r="Y79" i="25"/>
  <c r="AA79" i="25"/>
  <c r="W79" i="25"/>
  <c r="X79" i="25"/>
  <c r="Z79" i="25"/>
  <c r="V97" i="25"/>
  <c r="Y97" i="25"/>
  <c r="AA97" i="25"/>
  <c r="W97" i="25"/>
  <c r="X97" i="25"/>
  <c r="Z97" i="25"/>
  <c r="V105" i="25"/>
  <c r="Y105" i="25"/>
  <c r="AA105" i="25"/>
  <c r="W105" i="25"/>
  <c r="X105" i="25"/>
  <c r="Z105" i="25"/>
  <c r="V113" i="25"/>
  <c r="Y113" i="25"/>
  <c r="AA113" i="25"/>
  <c r="Z113" i="25"/>
  <c r="W113" i="25"/>
  <c r="X113" i="25"/>
  <c r="V121" i="25"/>
  <c r="Y121" i="25"/>
  <c r="AA121" i="25"/>
  <c r="W121" i="25"/>
  <c r="X121" i="25"/>
  <c r="Z121" i="25"/>
  <c r="V129" i="25"/>
  <c r="Y129" i="25"/>
  <c r="AA129" i="25"/>
  <c r="W129" i="25"/>
  <c r="X129" i="25"/>
  <c r="Z129" i="25"/>
  <c r="V137" i="25"/>
  <c r="Y137" i="25"/>
  <c r="AA137" i="25"/>
  <c r="W137" i="25"/>
  <c r="X137" i="25"/>
  <c r="Z137" i="25"/>
  <c r="V145" i="25"/>
  <c r="AA145" i="25"/>
  <c r="W145" i="25"/>
  <c r="X145" i="25"/>
  <c r="Y145" i="25"/>
  <c r="Z145" i="25"/>
  <c r="V153" i="25"/>
  <c r="AA153" i="25"/>
  <c r="W153" i="25"/>
  <c r="X153" i="25"/>
  <c r="Y153" i="25"/>
  <c r="Z153" i="25"/>
  <c r="V161" i="25"/>
  <c r="AA161" i="25"/>
  <c r="W161" i="25"/>
  <c r="X161" i="25"/>
  <c r="Y161" i="25"/>
  <c r="Z161" i="25"/>
  <c r="V169" i="25"/>
  <c r="AA169" i="25"/>
  <c r="W169" i="25"/>
  <c r="X169" i="25"/>
  <c r="Y169" i="25"/>
  <c r="Z169" i="25"/>
  <c r="V177" i="25"/>
  <c r="AA177" i="25"/>
  <c r="W177" i="25"/>
  <c r="X177" i="25"/>
  <c r="Y177" i="25"/>
  <c r="Z177" i="25"/>
  <c r="V185" i="25"/>
  <c r="AA185" i="25"/>
  <c r="W185" i="25"/>
  <c r="X185" i="25"/>
  <c r="Y185" i="25"/>
  <c r="Z185" i="25"/>
  <c r="V193" i="25"/>
  <c r="AA193" i="25"/>
  <c r="W193" i="25"/>
  <c r="Y193" i="25"/>
  <c r="Z193" i="25"/>
  <c r="X193" i="25"/>
  <c r="V201" i="25"/>
  <c r="AA201" i="25"/>
  <c r="W201" i="25"/>
  <c r="Z201" i="25"/>
  <c r="X201" i="25"/>
  <c r="Y201" i="25"/>
  <c r="V209" i="25"/>
  <c r="AA209" i="25"/>
  <c r="W209" i="25"/>
  <c r="X209" i="25"/>
  <c r="Y209" i="25"/>
  <c r="Z209" i="25"/>
  <c r="V217" i="25"/>
  <c r="AA217" i="25"/>
  <c r="W217" i="25"/>
  <c r="Y217" i="25"/>
  <c r="Z217" i="25"/>
  <c r="X217" i="25"/>
  <c r="V229" i="25"/>
  <c r="AA229" i="25"/>
  <c r="W229" i="25"/>
  <c r="X229" i="25"/>
  <c r="Z229" i="25"/>
  <c r="Y229" i="25"/>
  <c r="V237" i="25"/>
  <c r="AA237" i="25"/>
  <c r="W237" i="25"/>
  <c r="X237" i="25"/>
  <c r="Y237" i="25"/>
  <c r="Z237" i="25"/>
  <c r="V245" i="25"/>
  <c r="AA245" i="25"/>
  <c r="W245" i="25"/>
  <c r="X245" i="25"/>
  <c r="Y245" i="25"/>
  <c r="Z245" i="25"/>
  <c r="V253" i="25"/>
  <c r="AA253" i="25"/>
  <c r="W253" i="25"/>
  <c r="X253" i="25"/>
  <c r="Y253" i="25"/>
  <c r="Z253" i="25"/>
  <c r="V261" i="25"/>
  <c r="AA261" i="25"/>
  <c r="W261" i="25"/>
  <c r="Y261" i="25"/>
  <c r="Z261" i="25"/>
  <c r="X261" i="25"/>
  <c r="V269" i="25"/>
  <c r="AA269" i="25"/>
  <c r="W269" i="25"/>
  <c r="Z269" i="25"/>
  <c r="X269" i="25"/>
  <c r="Y269" i="25"/>
  <c r="V277" i="25"/>
  <c r="AA277" i="25"/>
  <c r="W277" i="25"/>
  <c r="X277" i="25"/>
  <c r="Y277" i="25"/>
  <c r="Z277" i="25"/>
  <c r="V285" i="25"/>
  <c r="AA285" i="25"/>
  <c r="W285" i="25"/>
  <c r="X285" i="25"/>
  <c r="Y285" i="25"/>
  <c r="Z285" i="25"/>
  <c r="V293" i="25"/>
  <c r="W293" i="25"/>
  <c r="X293" i="25"/>
  <c r="Y293" i="25"/>
  <c r="Z293" i="25"/>
  <c r="AA293" i="25"/>
  <c r="V301" i="25"/>
  <c r="W301" i="25"/>
  <c r="X301" i="25"/>
  <c r="Y301" i="25"/>
  <c r="Z301" i="25"/>
  <c r="AA301" i="25"/>
  <c r="V309" i="25"/>
  <c r="W309" i="25"/>
  <c r="X309" i="25"/>
  <c r="Y309" i="25"/>
  <c r="Z309" i="25"/>
  <c r="AA309" i="25"/>
  <c r="V317" i="25"/>
  <c r="W317" i="25"/>
  <c r="X317" i="25"/>
  <c r="Y317" i="25"/>
  <c r="Z317" i="25"/>
  <c r="AA317" i="25"/>
  <c r="V325" i="25"/>
  <c r="W325" i="25"/>
  <c r="X325" i="25"/>
  <c r="Y325" i="25"/>
  <c r="Z325" i="25"/>
  <c r="AA325" i="25"/>
  <c r="V333" i="25"/>
  <c r="W333" i="25"/>
  <c r="X333" i="25"/>
  <c r="Y333" i="25"/>
  <c r="Z333" i="25"/>
  <c r="AA333" i="25"/>
  <c r="V341" i="25"/>
  <c r="W341" i="25"/>
  <c r="X341" i="25"/>
  <c r="Y341" i="25"/>
  <c r="Z341" i="25"/>
  <c r="AA341" i="25"/>
  <c r="V349" i="25"/>
  <c r="X349" i="25"/>
  <c r="Z349" i="25"/>
  <c r="W349" i="25"/>
  <c r="Y349" i="25"/>
  <c r="AA349" i="25"/>
  <c r="V357" i="25"/>
  <c r="X357" i="25"/>
  <c r="Z357" i="25"/>
  <c r="W357" i="25"/>
  <c r="Y357" i="25"/>
  <c r="AA357" i="25"/>
  <c r="V365" i="25"/>
  <c r="X365" i="25"/>
  <c r="Z365" i="25"/>
  <c r="W365" i="25"/>
  <c r="Y365" i="25"/>
  <c r="AA365" i="25"/>
  <c r="V373" i="25"/>
  <c r="X373" i="25"/>
  <c r="Z373" i="25"/>
  <c r="AA373" i="25"/>
  <c r="Y373" i="25"/>
  <c r="W373" i="25"/>
  <c r="V381" i="25"/>
  <c r="X381" i="25"/>
  <c r="Z381" i="25"/>
  <c r="W381" i="25"/>
  <c r="Y381" i="25"/>
  <c r="AA381" i="25"/>
  <c r="V389" i="25"/>
  <c r="X389" i="25"/>
  <c r="Z389" i="25"/>
  <c r="W389" i="25"/>
  <c r="Y389" i="25"/>
  <c r="AA389" i="25"/>
  <c r="V398" i="25"/>
  <c r="X398" i="25"/>
  <c r="Z398" i="25"/>
  <c r="W398" i="25"/>
  <c r="Y398" i="25"/>
  <c r="AA398" i="25"/>
  <c r="V406" i="25"/>
  <c r="X406" i="25"/>
  <c r="Z406" i="25"/>
  <c r="AA406" i="25"/>
  <c r="W406" i="25"/>
  <c r="Y406" i="25"/>
  <c r="V414" i="25"/>
  <c r="X414" i="25"/>
  <c r="Z414" i="25"/>
  <c r="Y414" i="25"/>
  <c r="W414" i="25"/>
  <c r="AA414" i="25"/>
  <c r="V425" i="25"/>
  <c r="X425" i="25"/>
  <c r="Z425" i="25"/>
  <c r="W425" i="25"/>
  <c r="Y425" i="25"/>
  <c r="AA425" i="25"/>
  <c r="V433" i="25"/>
  <c r="X433" i="25"/>
  <c r="Z433" i="25"/>
  <c r="W433" i="25"/>
  <c r="Y433" i="25"/>
  <c r="AA433" i="25"/>
  <c r="V441" i="25"/>
  <c r="X441" i="25"/>
  <c r="Z441" i="25"/>
  <c r="AA441" i="25"/>
  <c r="W441" i="25"/>
  <c r="Y441" i="25"/>
  <c r="V450" i="25"/>
  <c r="X450" i="25"/>
  <c r="Z450" i="25"/>
  <c r="W450" i="25"/>
  <c r="AA450" i="25"/>
  <c r="Y450" i="25"/>
  <c r="V458" i="25"/>
  <c r="X458" i="25"/>
  <c r="Z458" i="25"/>
  <c r="W458" i="25"/>
  <c r="Y458" i="25"/>
  <c r="AA458" i="25"/>
  <c r="V466" i="25"/>
  <c r="W466" i="25"/>
  <c r="X466" i="25"/>
  <c r="Y466" i="25"/>
  <c r="AA466" i="25"/>
  <c r="Z466" i="25"/>
  <c r="V474" i="25"/>
  <c r="W474" i="25"/>
  <c r="X474" i="25"/>
  <c r="Z474" i="25"/>
  <c r="AA474" i="25"/>
  <c r="Y474" i="25"/>
  <c r="V482" i="25"/>
  <c r="W482" i="25"/>
  <c r="X482" i="25"/>
  <c r="AA482" i="25"/>
  <c r="Y482" i="25"/>
  <c r="Z482" i="25"/>
  <c r="V490" i="25"/>
  <c r="W490" i="25"/>
  <c r="X490" i="25"/>
  <c r="AA490" i="25"/>
  <c r="Y490" i="25"/>
  <c r="Z490" i="25"/>
  <c r="V498" i="25"/>
  <c r="W498" i="25"/>
  <c r="X498" i="25"/>
  <c r="AA498" i="25"/>
  <c r="Y498" i="25"/>
  <c r="Z498" i="25"/>
  <c r="V506" i="25"/>
  <c r="W506" i="25"/>
  <c r="X506" i="25"/>
  <c r="AA506" i="25"/>
  <c r="Y506" i="25"/>
  <c r="Z506" i="25"/>
  <c r="V515" i="25"/>
  <c r="W515" i="25"/>
  <c r="X515" i="25"/>
  <c r="AA515" i="25"/>
  <c r="Z515" i="25"/>
  <c r="Y515" i="25"/>
  <c r="V523" i="25"/>
  <c r="W523" i="25"/>
  <c r="X523" i="25"/>
  <c r="AA523" i="25"/>
  <c r="Y523" i="25"/>
  <c r="Z523" i="25"/>
  <c r="V531" i="25"/>
  <c r="W531" i="25"/>
  <c r="X531" i="25"/>
  <c r="AA531" i="25"/>
  <c r="Y531" i="25"/>
  <c r="Z531" i="25"/>
  <c r="V539" i="25"/>
  <c r="W539" i="25"/>
  <c r="X539" i="25"/>
  <c r="AA539" i="25"/>
  <c r="Y539" i="25"/>
  <c r="Z539" i="25"/>
  <c r="V547" i="25"/>
  <c r="W547" i="25"/>
  <c r="X547" i="25"/>
  <c r="AA547" i="25"/>
  <c r="Y547" i="25"/>
  <c r="Z547" i="25"/>
  <c r="V555" i="25"/>
  <c r="W555" i="25"/>
  <c r="X555" i="25"/>
  <c r="AA555" i="25"/>
  <c r="Y555" i="25"/>
  <c r="Z555" i="25"/>
  <c r="V563" i="25"/>
  <c r="W563" i="25"/>
  <c r="X563" i="25"/>
  <c r="AA563" i="25"/>
  <c r="Y563" i="25"/>
  <c r="Z563" i="25"/>
  <c r="V571" i="25"/>
  <c r="W571" i="25"/>
  <c r="X571" i="25"/>
  <c r="AA571" i="25"/>
  <c r="Y571" i="25"/>
  <c r="Z571" i="25"/>
  <c r="V579" i="25"/>
  <c r="W579" i="25"/>
  <c r="X579" i="25"/>
  <c r="AA579" i="25"/>
  <c r="Z579" i="25"/>
  <c r="Y579" i="25"/>
  <c r="V587" i="25"/>
  <c r="W587" i="25"/>
  <c r="X587" i="25"/>
  <c r="AA587" i="25"/>
  <c r="Y587" i="25"/>
  <c r="Z587" i="25"/>
  <c r="V595" i="25"/>
  <c r="W595" i="25"/>
  <c r="X595" i="25"/>
  <c r="AA595" i="25"/>
  <c r="Y595" i="25"/>
  <c r="Z595" i="25"/>
  <c r="V603" i="25"/>
  <c r="W603" i="25"/>
  <c r="X603" i="25"/>
  <c r="AA603" i="25"/>
  <c r="Y603" i="25"/>
  <c r="Z603" i="25"/>
  <c r="V611" i="25"/>
  <c r="W611" i="25"/>
  <c r="X611" i="25"/>
  <c r="AA611" i="25"/>
  <c r="Y611" i="25"/>
  <c r="Z611" i="25"/>
  <c r="V619" i="25"/>
  <c r="W619" i="25"/>
  <c r="X619" i="25"/>
  <c r="AA619" i="25"/>
  <c r="Y619" i="25"/>
  <c r="Z619" i="25"/>
  <c r="V627" i="25"/>
  <c r="W627" i="25"/>
  <c r="X627" i="25"/>
  <c r="AA627" i="25"/>
  <c r="Y627" i="25"/>
  <c r="Z627" i="25"/>
  <c r="V635" i="25"/>
  <c r="W635" i="25"/>
  <c r="X635" i="25"/>
  <c r="Y635" i="25"/>
  <c r="Z635" i="25"/>
  <c r="AA635" i="25"/>
  <c r="V643" i="25"/>
  <c r="W643" i="25"/>
  <c r="X643" i="25"/>
  <c r="Z643" i="25"/>
  <c r="AA643" i="25"/>
  <c r="Y643" i="25"/>
  <c r="V651" i="25"/>
  <c r="W651" i="25"/>
  <c r="X651" i="25"/>
  <c r="Y651" i="25"/>
  <c r="Z651" i="25"/>
  <c r="AA651" i="25"/>
  <c r="V659" i="25"/>
  <c r="W659" i="25"/>
  <c r="X659" i="25"/>
  <c r="AA659" i="25"/>
  <c r="Y659" i="25"/>
  <c r="Z659" i="25"/>
  <c r="V667" i="25"/>
  <c r="W667" i="25"/>
  <c r="X667" i="25"/>
  <c r="Y667" i="25"/>
  <c r="Z667" i="25"/>
  <c r="AA667" i="25"/>
  <c r="V675" i="25"/>
  <c r="W675" i="25"/>
  <c r="X675" i="25"/>
  <c r="Y675" i="25"/>
  <c r="Z675" i="25"/>
  <c r="AA675" i="25"/>
  <c r="V683" i="25"/>
  <c r="W683" i="25"/>
  <c r="X683" i="25"/>
  <c r="Y683" i="25"/>
  <c r="Z683" i="25"/>
  <c r="AA683" i="25"/>
  <c r="V691" i="25"/>
  <c r="W691" i="25"/>
  <c r="X691" i="25"/>
  <c r="Y691" i="25"/>
  <c r="Z691" i="25"/>
  <c r="AA691" i="25"/>
  <c r="V699" i="25"/>
  <c r="W699" i="25"/>
  <c r="X699" i="25"/>
  <c r="Y699" i="25"/>
  <c r="Z699" i="25"/>
  <c r="AA699" i="25"/>
  <c r="V707" i="25"/>
  <c r="W707" i="25"/>
  <c r="X707" i="25"/>
  <c r="Y707" i="25"/>
  <c r="Z707" i="25"/>
  <c r="AA707" i="25"/>
  <c r="V715" i="25"/>
  <c r="W715" i="25"/>
  <c r="X715" i="25"/>
  <c r="Y715" i="25"/>
  <c r="Z715" i="25"/>
  <c r="AA715" i="25"/>
  <c r="V723" i="25"/>
  <c r="W723" i="25"/>
  <c r="X723" i="25"/>
  <c r="Y723" i="25"/>
  <c r="Z723" i="25"/>
  <c r="AA723" i="25"/>
  <c r="V731" i="25"/>
  <c r="W731" i="25"/>
  <c r="X731" i="25"/>
  <c r="Y731" i="25"/>
  <c r="Z731" i="25"/>
  <c r="AA731" i="25"/>
  <c r="V739" i="25"/>
  <c r="W739" i="25"/>
  <c r="X739" i="25"/>
  <c r="Y739" i="25"/>
  <c r="Z739" i="25"/>
  <c r="AA739" i="25"/>
  <c r="V841" i="25"/>
  <c r="W841" i="25"/>
  <c r="X841" i="25"/>
  <c r="Y841" i="25"/>
  <c r="Z841" i="25"/>
  <c r="AA841" i="25"/>
  <c r="V850" i="25"/>
  <c r="W850" i="25"/>
  <c r="X850" i="25"/>
  <c r="Y850" i="25"/>
  <c r="Z850" i="25"/>
  <c r="AA850" i="25"/>
  <c r="V862" i="25"/>
  <c r="W862" i="25"/>
  <c r="Z862" i="25"/>
  <c r="AA862" i="25"/>
  <c r="X862" i="25"/>
  <c r="Y862" i="25"/>
  <c r="V870" i="25"/>
  <c r="W870" i="25"/>
  <c r="X870" i="25"/>
  <c r="Y870" i="25"/>
  <c r="Z870" i="25"/>
  <c r="AA870" i="25"/>
  <c r="V878" i="25"/>
  <c r="W878" i="25"/>
  <c r="X878" i="25"/>
  <c r="Y878" i="25"/>
  <c r="Z878" i="25"/>
  <c r="AA878" i="25"/>
  <c r="V886" i="25"/>
  <c r="W886" i="25"/>
  <c r="X886" i="25"/>
  <c r="Z886" i="25"/>
  <c r="AA886" i="25"/>
  <c r="Y886" i="25"/>
  <c r="V894" i="25"/>
  <c r="W894" i="25"/>
  <c r="Z894" i="25"/>
  <c r="X894" i="25"/>
  <c r="Y894" i="25"/>
  <c r="AA894" i="25"/>
  <c r="V902" i="25"/>
  <c r="W902" i="25"/>
  <c r="X902" i="25"/>
  <c r="Y902" i="25"/>
  <c r="Z902" i="25"/>
  <c r="AA902" i="25"/>
  <c r="V915" i="25"/>
  <c r="W915" i="25"/>
  <c r="Y915" i="25"/>
  <c r="Z915" i="25"/>
  <c r="X915" i="25"/>
  <c r="AA915" i="25"/>
  <c r="V923" i="25"/>
  <c r="W923" i="25"/>
  <c r="AA923" i="25"/>
  <c r="Y923" i="25"/>
  <c r="Z923" i="25"/>
  <c r="X923" i="25"/>
  <c r="V932" i="25"/>
  <c r="W932" i="25"/>
  <c r="AA932" i="25"/>
  <c r="X932" i="25"/>
  <c r="Y932" i="25"/>
  <c r="Z932" i="25"/>
  <c r="V938" i="25"/>
  <c r="W938" i="25"/>
  <c r="X938" i="25"/>
  <c r="Y938" i="25"/>
  <c r="Z938" i="25"/>
  <c r="AA938" i="25"/>
  <c r="V946" i="25"/>
  <c r="W946" i="25"/>
  <c r="Y946" i="25"/>
  <c r="Z946" i="25"/>
  <c r="X946" i="25"/>
  <c r="AA946" i="25"/>
  <c r="V956" i="25"/>
  <c r="W956" i="25"/>
  <c r="AA956" i="25"/>
  <c r="X956" i="25"/>
  <c r="Y956" i="25"/>
  <c r="Z956" i="25"/>
  <c r="V964" i="25"/>
  <c r="Z964" i="25"/>
  <c r="AA964" i="25"/>
  <c r="W964" i="25"/>
  <c r="X964" i="25"/>
  <c r="Y964" i="25"/>
  <c r="V972" i="25"/>
  <c r="W972" i="25"/>
  <c r="X972" i="25"/>
  <c r="Y972" i="25"/>
  <c r="Z972" i="25"/>
  <c r="AA972" i="25"/>
  <c r="V980" i="25"/>
  <c r="W980" i="25"/>
  <c r="X980" i="25"/>
  <c r="Y980" i="25"/>
  <c r="Z980" i="25"/>
  <c r="AA980" i="25"/>
  <c r="V988" i="25"/>
  <c r="Y988" i="25"/>
  <c r="Z988" i="25"/>
  <c r="AA988" i="25"/>
  <c r="W988" i="25"/>
  <c r="X988" i="25"/>
  <c r="V996" i="25"/>
  <c r="W996" i="25"/>
  <c r="X996" i="25"/>
  <c r="Y996" i="25"/>
  <c r="Z996" i="25"/>
  <c r="AA996" i="25"/>
  <c r="V1004" i="25"/>
  <c r="AA1004" i="25"/>
  <c r="W1004" i="25"/>
  <c r="X1004" i="25"/>
  <c r="Y1004" i="25"/>
  <c r="Z1004" i="25"/>
  <c r="V41" i="25"/>
  <c r="W41" i="25"/>
  <c r="X41" i="25"/>
  <c r="Y41" i="25"/>
  <c r="Z41" i="25"/>
  <c r="AA41" i="25"/>
  <c r="V81" i="25"/>
  <c r="W81" i="25"/>
  <c r="Y81" i="25"/>
  <c r="Z81" i="25"/>
  <c r="AA81" i="25"/>
  <c r="X81" i="25"/>
  <c r="V107" i="25"/>
  <c r="W107" i="25"/>
  <c r="Y107" i="25"/>
  <c r="Z107" i="25"/>
  <c r="X107" i="25"/>
  <c r="AA107" i="25"/>
  <c r="V155" i="25"/>
  <c r="Y155" i="25"/>
  <c r="Z155" i="25"/>
  <c r="AA155" i="25"/>
  <c r="W155" i="25"/>
  <c r="X155" i="25"/>
  <c r="V211" i="25"/>
  <c r="Y211" i="25"/>
  <c r="Z211" i="25"/>
  <c r="AA211" i="25"/>
  <c r="W211" i="25"/>
  <c r="X211" i="25"/>
  <c r="V279" i="25"/>
  <c r="Y279" i="25"/>
  <c r="Z279" i="25"/>
  <c r="AA279" i="25"/>
  <c r="W279" i="25"/>
  <c r="X279" i="25"/>
  <c r="V335" i="25"/>
  <c r="W335" i="25"/>
  <c r="X335" i="25"/>
  <c r="Z335" i="25"/>
  <c r="AA335" i="25"/>
  <c r="Y335" i="25"/>
  <c r="V367" i="25"/>
  <c r="X367" i="25"/>
  <c r="Y367" i="25"/>
  <c r="Z367" i="25"/>
  <c r="AA367" i="25"/>
  <c r="W367" i="25"/>
  <c r="V400" i="25"/>
  <c r="X400" i="25"/>
  <c r="Y400" i="25"/>
  <c r="Z400" i="25"/>
  <c r="AA400" i="25"/>
  <c r="W400" i="25"/>
  <c r="V435" i="25"/>
  <c r="X435" i="25"/>
  <c r="Y435" i="25"/>
  <c r="Z435" i="25"/>
  <c r="AA435" i="25"/>
  <c r="W435" i="25"/>
  <c r="V476" i="25"/>
  <c r="AA476" i="25"/>
  <c r="Y476" i="25"/>
  <c r="W476" i="25"/>
  <c r="X476" i="25"/>
  <c r="Z476" i="25"/>
  <c r="V573" i="25"/>
  <c r="AA573" i="25"/>
  <c r="Y573" i="25"/>
  <c r="W573" i="25"/>
  <c r="X573" i="25"/>
  <c r="Z573" i="25"/>
  <c r="V637" i="25"/>
  <c r="AA637" i="25"/>
  <c r="Z637" i="25"/>
  <c r="W637" i="25"/>
  <c r="X637" i="25"/>
  <c r="Y637" i="25"/>
  <c r="V717" i="25"/>
  <c r="AA717" i="25"/>
  <c r="Z717" i="25"/>
  <c r="W717" i="25"/>
  <c r="X717" i="25"/>
  <c r="Y717" i="25"/>
  <c r="V880" i="25"/>
  <c r="W880" i="25"/>
  <c r="X880" i="25"/>
  <c r="Y880" i="25"/>
  <c r="Z880" i="25"/>
  <c r="AA880" i="25"/>
  <c r="V896" i="25"/>
  <c r="Z896" i="25"/>
  <c r="W896" i="25"/>
  <c r="X896" i="25"/>
  <c r="Y896" i="25"/>
  <c r="AA896" i="25"/>
  <c r="V934" i="25"/>
  <c r="W934" i="25"/>
  <c r="X934" i="25"/>
  <c r="Y934" i="25"/>
  <c r="Z934" i="25"/>
  <c r="AA934" i="25"/>
  <c r="V1027" i="25"/>
  <c r="X1027" i="25"/>
  <c r="Y1027" i="25"/>
  <c r="Z1027" i="25"/>
  <c r="AA1027" i="25"/>
  <c r="W1027" i="25"/>
  <c r="V1038" i="25"/>
  <c r="X1038" i="25"/>
  <c r="Y1038" i="25"/>
  <c r="Z1038" i="25"/>
  <c r="AA1038" i="25"/>
  <c r="W1038" i="25"/>
  <c r="V1094" i="25"/>
  <c r="X1094" i="25"/>
  <c r="AA1094" i="25"/>
  <c r="Z1094" i="25"/>
  <c r="W1094" i="25"/>
  <c r="Y1094" i="25"/>
  <c r="V1118" i="25"/>
  <c r="X1118" i="25"/>
  <c r="W1118" i="25"/>
  <c r="Y1118" i="25"/>
  <c r="Z1118" i="25"/>
  <c r="AA1118" i="25"/>
  <c r="V1214" i="25"/>
  <c r="X1214" i="25"/>
  <c r="Y1214" i="25"/>
  <c r="W1214" i="25"/>
  <c r="Z1214" i="25"/>
  <c r="AA1214" i="25"/>
  <c r="V1270" i="25"/>
  <c r="Y1270" i="25"/>
  <c r="W1270" i="25"/>
  <c r="X1270" i="25"/>
  <c r="Z1270" i="25"/>
  <c r="AA1270" i="25"/>
  <c r="V1342" i="25"/>
  <c r="Z1342" i="25"/>
  <c r="AA1342" i="25"/>
  <c r="W1342" i="25"/>
  <c r="X1342" i="25"/>
  <c r="Y1342" i="25"/>
  <c r="V1406" i="25"/>
  <c r="Z1406" i="25"/>
  <c r="AA1406" i="25"/>
  <c r="W1406" i="25"/>
  <c r="X1406" i="25"/>
  <c r="Y1406" i="25"/>
  <c r="V1470" i="25"/>
  <c r="Z1470" i="25"/>
  <c r="AA1470" i="25"/>
  <c r="W1470" i="25"/>
  <c r="X1470" i="25"/>
  <c r="Y1470" i="25"/>
  <c r="V1486" i="25"/>
  <c r="Z1486" i="25"/>
  <c r="AA1486" i="25"/>
  <c r="W1486" i="25"/>
  <c r="X1486" i="25"/>
  <c r="Y1486" i="25"/>
  <c r="V1590" i="25"/>
  <c r="Y1590" i="25"/>
  <c r="Z1590" i="25"/>
  <c r="AA1590" i="25"/>
  <c r="W1590" i="25"/>
  <c r="X1590" i="25"/>
  <c r="V1670" i="25"/>
  <c r="Y1670" i="25"/>
  <c r="Z1670" i="25"/>
  <c r="AA1670" i="25"/>
  <c r="W1670" i="25"/>
  <c r="X1670" i="25"/>
  <c r="V51" i="25"/>
  <c r="W51" i="25"/>
  <c r="X51" i="25"/>
  <c r="Y51" i="25"/>
  <c r="AA51" i="25"/>
  <c r="Z51" i="25"/>
  <c r="V75" i="25"/>
  <c r="W75" i="25"/>
  <c r="X75" i="25"/>
  <c r="Y75" i="25"/>
  <c r="Z75" i="25"/>
  <c r="AA75" i="25"/>
  <c r="V133" i="25"/>
  <c r="W133" i="25"/>
  <c r="X133" i="25"/>
  <c r="Y133" i="25"/>
  <c r="Z133" i="25"/>
  <c r="AA133" i="25"/>
  <c r="V197" i="25"/>
  <c r="W197" i="25"/>
  <c r="X197" i="25"/>
  <c r="Y197" i="25"/>
  <c r="Z197" i="25"/>
  <c r="AA197" i="25"/>
  <c r="V4" i="25"/>
  <c r="W4" i="25"/>
  <c r="X4" i="25"/>
  <c r="Y4" i="25"/>
  <c r="Z4" i="25"/>
  <c r="AA4" i="25"/>
  <c r="V12" i="25"/>
  <c r="W12" i="25"/>
  <c r="X12" i="25"/>
  <c r="Y12" i="25"/>
  <c r="Z12" i="25"/>
  <c r="AA12" i="25"/>
  <c r="V20" i="25"/>
  <c r="W20" i="25"/>
  <c r="X20" i="25"/>
  <c r="Z20" i="25"/>
  <c r="AA20" i="25"/>
  <c r="Y20" i="25"/>
  <c r="V28" i="25"/>
  <c r="W28" i="25"/>
  <c r="X28" i="25"/>
  <c r="AA28" i="25"/>
  <c r="Y28" i="25"/>
  <c r="Z28" i="25"/>
  <c r="V40" i="25"/>
  <c r="W40" i="25"/>
  <c r="X40" i="25"/>
  <c r="Y40" i="25"/>
  <c r="Z40" i="25"/>
  <c r="AA40" i="25"/>
  <c r="V48" i="25"/>
  <c r="W48" i="25"/>
  <c r="X48" i="25"/>
  <c r="Z48" i="25"/>
  <c r="AA48" i="25"/>
  <c r="Y48" i="25"/>
  <c r="V56" i="25"/>
  <c r="W56" i="25"/>
  <c r="X56" i="25"/>
  <c r="Y56" i="25"/>
  <c r="Z56" i="25"/>
  <c r="AA56" i="25"/>
  <c r="V64" i="25"/>
  <c r="W64" i="25"/>
  <c r="X64" i="25"/>
  <c r="Y64" i="25"/>
  <c r="Z64" i="25"/>
  <c r="AA64" i="25"/>
  <c r="V72" i="25"/>
  <c r="W72" i="25"/>
  <c r="X72" i="25"/>
  <c r="Y72" i="25"/>
  <c r="Z72" i="25"/>
  <c r="AA72" i="25"/>
  <c r="V80" i="25"/>
  <c r="W80" i="25"/>
  <c r="X80" i="25"/>
  <c r="Y80" i="25"/>
  <c r="Z80" i="25"/>
  <c r="AA80" i="25"/>
  <c r="V98" i="25"/>
  <c r="W98" i="25"/>
  <c r="X98" i="25"/>
  <c r="Y98" i="25"/>
  <c r="Z98" i="25"/>
  <c r="AA98" i="25"/>
  <c r="V106" i="25"/>
  <c r="W106" i="25"/>
  <c r="AA106" i="25"/>
  <c r="X106" i="25"/>
  <c r="Y106" i="25"/>
  <c r="Z106" i="25"/>
  <c r="V114" i="25"/>
  <c r="W114" i="25"/>
  <c r="X114" i="25"/>
  <c r="Y114" i="25"/>
  <c r="Z114" i="25"/>
  <c r="AA114" i="25"/>
  <c r="V122" i="25"/>
  <c r="X122" i="25"/>
  <c r="Y122" i="25"/>
  <c r="Z122" i="25"/>
  <c r="AA122" i="25"/>
  <c r="W122" i="25"/>
  <c r="V130" i="25"/>
  <c r="Z130" i="25"/>
  <c r="AA130" i="25"/>
  <c r="W130" i="25"/>
  <c r="X130" i="25"/>
  <c r="Y130" i="25"/>
  <c r="V138" i="25"/>
  <c r="W138" i="25"/>
  <c r="X138" i="25"/>
  <c r="Y138" i="25"/>
  <c r="Z138" i="25"/>
  <c r="AA138" i="25"/>
  <c r="V146" i="25"/>
  <c r="W146" i="25"/>
  <c r="X146" i="25"/>
  <c r="Y146" i="25"/>
  <c r="Z146" i="25"/>
  <c r="AA146" i="25"/>
  <c r="V154" i="25"/>
  <c r="W154" i="25"/>
  <c r="X154" i="25"/>
  <c r="Y154" i="25"/>
  <c r="Z154" i="25"/>
  <c r="AA154" i="25"/>
  <c r="V162" i="25"/>
  <c r="W162" i="25"/>
  <c r="X162" i="25"/>
  <c r="Y162" i="25"/>
  <c r="Z162" i="25"/>
  <c r="AA162" i="25"/>
  <c r="V170" i="25"/>
  <c r="W170" i="25"/>
  <c r="X170" i="25"/>
  <c r="Y170" i="25"/>
  <c r="Z170" i="25"/>
  <c r="AA170" i="25"/>
  <c r="V178" i="25"/>
  <c r="W178" i="25"/>
  <c r="X178" i="25"/>
  <c r="Y178" i="25"/>
  <c r="Z178" i="25"/>
  <c r="AA178" i="25"/>
  <c r="V186" i="25"/>
  <c r="W186" i="25"/>
  <c r="X186" i="25"/>
  <c r="Y186" i="25"/>
  <c r="Z186" i="25"/>
  <c r="AA186" i="25"/>
  <c r="V194" i="25"/>
  <c r="W194" i="25"/>
  <c r="X194" i="25"/>
  <c r="Y194" i="25"/>
  <c r="Z194" i="25"/>
  <c r="AA194" i="25"/>
  <c r="V202" i="25"/>
  <c r="W202" i="25"/>
  <c r="X202" i="25"/>
  <c r="Y202" i="25"/>
  <c r="Z202" i="25"/>
  <c r="AA202" i="25"/>
  <c r="V210" i="25"/>
  <c r="W210" i="25"/>
  <c r="X210" i="25"/>
  <c r="Y210" i="25"/>
  <c r="Z210" i="25"/>
  <c r="AA210" i="25"/>
  <c r="V218" i="25"/>
  <c r="W218" i="25"/>
  <c r="X218" i="25"/>
  <c r="Y218" i="25"/>
  <c r="Z218" i="25"/>
  <c r="AA218" i="25"/>
  <c r="V230" i="25"/>
  <c r="W230" i="25"/>
  <c r="X230" i="25"/>
  <c r="Y230" i="25"/>
  <c r="Z230" i="25"/>
  <c r="AA230" i="25"/>
  <c r="V238" i="25"/>
  <c r="W238" i="25"/>
  <c r="X238" i="25"/>
  <c r="Y238" i="25"/>
  <c r="Z238" i="25"/>
  <c r="AA238" i="25"/>
  <c r="V246" i="25"/>
  <c r="W246" i="25"/>
  <c r="X246" i="25"/>
  <c r="Y246" i="25"/>
  <c r="Z246" i="25"/>
  <c r="AA246" i="25"/>
  <c r="V254" i="25"/>
  <c r="W254" i="25"/>
  <c r="X254" i="25"/>
  <c r="Y254" i="25"/>
  <c r="Z254" i="25"/>
  <c r="AA254" i="25"/>
  <c r="V262" i="25"/>
  <c r="W262" i="25"/>
  <c r="X262" i="25"/>
  <c r="Y262" i="25"/>
  <c r="Z262" i="25"/>
  <c r="AA262" i="25"/>
  <c r="V270" i="25"/>
  <c r="W270" i="25"/>
  <c r="X270" i="25"/>
  <c r="Y270" i="25"/>
  <c r="Z270" i="25"/>
  <c r="AA270" i="25"/>
  <c r="V278" i="25"/>
  <c r="W278" i="25"/>
  <c r="X278" i="25"/>
  <c r="Y278" i="25"/>
  <c r="Z278" i="25"/>
  <c r="AA278" i="25"/>
  <c r="V286" i="25"/>
  <c r="X286" i="25"/>
  <c r="AA286" i="25"/>
  <c r="W286" i="25"/>
  <c r="Y286" i="25"/>
  <c r="Z286" i="25"/>
  <c r="V294" i="25"/>
  <c r="Z294" i="25"/>
  <c r="AA294" i="25"/>
  <c r="W294" i="25"/>
  <c r="X294" i="25"/>
  <c r="Y294" i="25"/>
  <c r="V302" i="25"/>
  <c r="Z302" i="25"/>
  <c r="AA302" i="25"/>
  <c r="W302" i="25"/>
  <c r="X302" i="25"/>
  <c r="Y302" i="25"/>
  <c r="V310" i="25"/>
  <c r="Z310" i="25"/>
  <c r="AA310" i="25"/>
  <c r="W310" i="25"/>
  <c r="X310" i="25"/>
  <c r="Y310" i="25"/>
  <c r="V318" i="25"/>
  <c r="Z318" i="25"/>
  <c r="AA318" i="25"/>
  <c r="W318" i="25"/>
  <c r="X318" i="25"/>
  <c r="Y318" i="25"/>
  <c r="V326" i="25"/>
  <c r="Z326" i="25"/>
  <c r="AA326" i="25"/>
  <c r="W326" i="25"/>
  <c r="X326" i="25"/>
  <c r="Y326" i="25"/>
  <c r="V334" i="25"/>
  <c r="Z334" i="25"/>
  <c r="AA334" i="25"/>
  <c r="W334" i="25"/>
  <c r="X334" i="25"/>
  <c r="Y334" i="25"/>
  <c r="V342" i="25"/>
  <c r="Z342" i="25"/>
  <c r="AA342" i="25"/>
  <c r="W342" i="25"/>
  <c r="X342" i="25"/>
  <c r="Y342" i="25"/>
  <c r="V350" i="25"/>
  <c r="AA350" i="25"/>
  <c r="X350" i="25"/>
  <c r="Y350" i="25"/>
  <c r="Z350" i="25"/>
  <c r="W350" i="25"/>
  <c r="V358" i="25"/>
  <c r="AA358" i="25"/>
  <c r="Z358" i="25"/>
  <c r="W358" i="25"/>
  <c r="X358" i="25"/>
  <c r="Y358" i="25"/>
  <c r="V366" i="25"/>
  <c r="AA366" i="25"/>
  <c r="W366" i="25"/>
  <c r="X366" i="25"/>
  <c r="Y366" i="25"/>
  <c r="Z366" i="25"/>
  <c r="V374" i="25"/>
  <c r="AA374" i="25"/>
  <c r="W374" i="25"/>
  <c r="X374" i="25"/>
  <c r="Y374" i="25"/>
  <c r="Z374" i="25"/>
  <c r="V382" i="25"/>
  <c r="AA382" i="25"/>
  <c r="X382" i="25"/>
  <c r="Y382" i="25"/>
  <c r="Z382" i="25"/>
  <c r="W382" i="25"/>
  <c r="V390" i="25"/>
  <c r="AA390" i="25"/>
  <c r="Z390" i="25"/>
  <c r="W390" i="25"/>
  <c r="X390" i="25"/>
  <c r="Y390" i="25"/>
  <c r="V399" i="25"/>
  <c r="AA399" i="25"/>
  <c r="W399" i="25"/>
  <c r="Y399" i="25"/>
  <c r="Z399" i="25"/>
  <c r="X399" i="25"/>
  <c r="V407" i="25"/>
  <c r="AA407" i="25"/>
  <c r="W407" i="25"/>
  <c r="X407" i="25"/>
  <c r="Y407" i="25"/>
  <c r="Z407" i="25"/>
  <c r="V415" i="25"/>
  <c r="AA415" i="25"/>
  <c r="X415" i="25"/>
  <c r="Y415" i="25"/>
  <c r="Z415" i="25"/>
  <c r="W415" i="25"/>
  <c r="V426" i="25"/>
  <c r="AA426" i="25"/>
  <c r="Z426" i="25"/>
  <c r="W426" i="25"/>
  <c r="X426" i="25"/>
  <c r="Y426" i="25"/>
  <c r="V434" i="25"/>
  <c r="AA434" i="25"/>
  <c r="W434" i="25"/>
  <c r="Y434" i="25"/>
  <c r="Z434" i="25"/>
  <c r="X434" i="25"/>
  <c r="V443" i="25"/>
  <c r="AA443" i="25"/>
  <c r="W443" i="25"/>
  <c r="X443" i="25"/>
  <c r="Y443" i="25"/>
  <c r="Z443" i="25"/>
  <c r="V451" i="25"/>
  <c r="AA451" i="25"/>
  <c r="X451" i="25"/>
  <c r="Y451" i="25"/>
  <c r="Z451" i="25"/>
  <c r="W451" i="25"/>
  <c r="V459" i="25"/>
  <c r="AA459" i="25"/>
  <c r="Z459" i="25"/>
  <c r="X459" i="25"/>
  <c r="W459" i="25"/>
  <c r="Y459" i="25"/>
  <c r="V467" i="25"/>
  <c r="X467" i="25"/>
  <c r="Y467" i="25"/>
  <c r="Z467" i="25"/>
  <c r="AA467" i="25"/>
  <c r="W467" i="25"/>
  <c r="V475" i="25"/>
  <c r="X475" i="25"/>
  <c r="Y475" i="25"/>
  <c r="Z475" i="25"/>
  <c r="AA475" i="25"/>
  <c r="W475" i="25"/>
  <c r="V483" i="25"/>
  <c r="X483" i="25"/>
  <c r="Y483" i="25"/>
  <c r="Z483" i="25"/>
  <c r="AA483" i="25"/>
  <c r="W483" i="25"/>
  <c r="V491" i="25"/>
  <c r="X491" i="25"/>
  <c r="Y491" i="25"/>
  <c r="Z491" i="25"/>
  <c r="AA491" i="25"/>
  <c r="W491" i="25"/>
  <c r="V499" i="25"/>
  <c r="X499" i="25"/>
  <c r="Y499" i="25"/>
  <c r="Z499" i="25"/>
  <c r="AA499" i="25"/>
  <c r="W499" i="25"/>
  <c r="V507" i="25"/>
  <c r="X507" i="25"/>
  <c r="Y507" i="25"/>
  <c r="Z507" i="25"/>
  <c r="AA507" i="25"/>
  <c r="W507" i="25"/>
  <c r="V516" i="25"/>
  <c r="X516" i="25"/>
  <c r="Y516" i="25"/>
  <c r="Z516" i="25"/>
  <c r="AA516" i="25"/>
  <c r="W516" i="25"/>
  <c r="V524" i="25"/>
  <c r="X524" i="25"/>
  <c r="Y524" i="25"/>
  <c r="Z524" i="25"/>
  <c r="AA524" i="25"/>
  <c r="W524" i="25"/>
  <c r="V532" i="25"/>
  <c r="X532" i="25"/>
  <c r="Y532" i="25"/>
  <c r="Z532" i="25"/>
  <c r="AA532" i="25"/>
  <c r="W532" i="25"/>
  <c r="V540" i="25"/>
  <c r="X540" i="25"/>
  <c r="Y540" i="25"/>
  <c r="Z540" i="25"/>
  <c r="AA540" i="25"/>
  <c r="W540" i="25"/>
  <c r="V548" i="25"/>
  <c r="X548" i="25"/>
  <c r="Y548" i="25"/>
  <c r="Z548" i="25"/>
  <c r="AA548" i="25"/>
  <c r="W548" i="25"/>
  <c r="V556" i="25"/>
  <c r="X556" i="25"/>
  <c r="Y556" i="25"/>
  <c r="Z556" i="25"/>
  <c r="AA556" i="25"/>
  <c r="W556" i="25"/>
  <c r="V564" i="25"/>
  <c r="X564" i="25"/>
  <c r="Y564" i="25"/>
  <c r="Z564" i="25"/>
  <c r="AA564" i="25"/>
  <c r="W564" i="25"/>
  <c r="V572" i="25"/>
  <c r="X572" i="25"/>
  <c r="Y572" i="25"/>
  <c r="Z572" i="25"/>
  <c r="AA572" i="25"/>
  <c r="W572" i="25"/>
  <c r="V580" i="25"/>
  <c r="X580" i="25"/>
  <c r="Y580" i="25"/>
  <c r="Z580" i="25"/>
  <c r="AA580" i="25"/>
  <c r="W580" i="25"/>
  <c r="V588" i="25"/>
  <c r="X588" i="25"/>
  <c r="Y588" i="25"/>
  <c r="Z588" i="25"/>
  <c r="AA588" i="25"/>
  <c r="W588" i="25"/>
  <c r="V596" i="25"/>
  <c r="X596" i="25"/>
  <c r="Y596" i="25"/>
  <c r="Z596" i="25"/>
  <c r="AA596" i="25"/>
  <c r="W596" i="25"/>
  <c r="V604" i="25"/>
  <c r="X604" i="25"/>
  <c r="Y604" i="25"/>
  <c r="Z604" i="25"/>
  <c r="AA604" i="25"/>
  <c r="W604" i="25"/>
  <c r="V612" i="25"/>
  <c r="X612" i="25"/>
  <c r="Y612" i="25"/>
  <c r="Z612" i="25"/>
  <c r="AA612" i="25"/>
  <c r="W612" i="25"/>
  <c r="V620" i="25"/>
  <c r="X620" i="25"/>
  <c r="Y620" i="25"/>
  <c r="Z620" i="25"/>
  <c r="AA620" i="25"/>
  <c r="W620" i="25"/>
  <c r="V628" i="25"/>
  <c r="X628" i="25"/>
  <c r="Y628" i="25"/>
  <c r="Z628" i="25"/>
  <c r="AA628" i="25"/>
  <c r="W628" i="25"/>
  <c r="V636" i="25"/>
  <c r="X636" i="25"/>
  <c r="Y636" i="25"/>
  <c r="Z636" i="25"/>
  <c r="AA636" i="25"/>
  <c r="W636" i="25"/>
  <c r="V644" i="25"/>
  <c r="X644" i="25"/>
  <c r="Y644" i="25"/>
  <c r="Z644" i="25"/>
  <c r="AA644" i="25"/>
  <c r="W644" i="25"/>
  <c r="V652" i="25"/>
  <c r="X652" i="25"/>
  <c r="Y652" i="25"/>
  <c r="Z652" i="25"/>
  <c r="AA652" i="25"/>
  <c r="W652" i="25"/>
  <c r="V660" i="25"/>
  <c r="X660" i="25"/>
  <c r="Y660" i="25"/>
  <c r="Z660" i="25"/>
  <c r="AA660" i="25"/>
  <c r="W660" i="25"/>
  <c r="V668" i="25"/>
  <c r="X668" i="25"/>
  <c r="Y668" i="25"/>
  <c r="Z668" i="25"/>
  <c r="AA668" i="25"/>
  <c r="W668" i="25"/>
  <c r="V676" i="25"/>
  <c r="X676" i="25"/>
  <c r="Y676" i="25"/>
  <c r="Z676" i="25"/>
  <c r="AA676" i="25"/>
  <c r="W676" i="25"/>
  <c r="V684" i="25"/>
  <c r="X684" i="25"/>
  <c r="Y684" i="25"/>
  <c r="Z684" i="25"/>
  <c r="AA684" i="25"/>
  <c r="W684" i="25"/>
  <c r="V692" i="25"/>
  <c r="X692" i="25"/>
  <c r="Y692" i="25"/>
  <c r="Z692" i="25"/>
  <c r="AA692" i="25"/>
  <c r="W692" i="25"/>
  <c r="V700" i="25"/>
  <c r="X700" i="25"/>
  <c r="Y700" i="25"/>
  <c r="Z700" i="25"/>
  <c r="AA700" i="25"/>
  <c r="W700" i="25"/>
  <c r="V708" i="25"/>
  <c r="X708" i="25"/>
  <c r="Y708" i="25"/>
  <c r="Z708" i="25"/>
  <c r="AA708" i="25"/>
  <c r="W708" i="25"/>
  <c r="V716" i="25"/>
  <c r="X716" i="25"/>
  <c r="Y716" i="25"/>
  <c r="Z716" i="25"/>
  <c r="AA716" i="25"/>
  <c r="W716" i="25"/>
  <c r="V724" i="25"/>
  <c r="X724" i="25"/>
  <c r="Y724" i="25"/>
  <c r="Z724" i="25"/>
  <c r="AA724" i="25"/>
  <c r="W724" i="25"/>
  <c r="V732" i="25"/>
  <c r="Y732" i="25"/>
  <c r="Z732" i="25"/>
  <c r="AA732" i="25"/>
  <c r="W732" i="25"/>
  <c r="X732" i="25"/>
  <c r="V740" i="25"/>
  <c r="Y740" i="25"/>
  <c r="Z740" i="25"/>
  <c r="W740" i="25"/>
  <c r="X740" i="25"/>
  <c r="AA740" i="25"/>
  <c r="V842" i="25"/>
  <c r="Y842" i="25"/>
  <c r="Z842" i="25"/>
  <c r="AA842" i="25"/>
  <c r="W842" i="25"/>
  <c r="X842" i="25"/>
  <c r="V853" i="25"/>
  <c r="Y853" i="25"/>
  <c r="Z853" i="25"/>
  <c r="W853" i="25"/>
  <c r="X853" i="25"/>
  <c r="AA853" i="25"/>
  <c r="V863" i="25"/>
  <c r="Y863" i="25"/>
  <c r="Z863" i="25"/>
  <c r="W863" i="25"/>
  <c r="X863" i="25"/>
  <c r="AA863" i="25"/>
  <c r="V871" i="25"/>
  <c r="Y871" i="25"/>
  <c r="Z871" i="25"/>
  <c r="W871" i="25"/>
  <c r="X871" i="25"/>
  <c r="AA871" i="25"/>
  <c r="V879" i="25"/>
  <c r="Y879" i="25"/>
  <c r="Z879" i="25"/>
  <c r="AA879" i="25"/>
  <c r="W879" i="25"/>
  <c r="X879" i="25"/>
  <c r="V887" i="25"/>
  <c r="Y887" i="25"/>
  <c r="Z887" i="25"/>
  <c r="W887" i="25"/>
  <c r="X887" i="25"/>
  <c r="AA887" i="25"/>
  <c r="V895" i="25"/>
  <c r="Y895" i="25"/>
  <c r="Z895" i="25"/>
  <c r="W895" i="25"/>
  <c r="X895" i="25"/>
  <c r="AA895" i="25"/>
  <c r="V903" i="25"/>
  <c r="Y903" i="25"/>
  <c r="Z903" i="25"/>
  <c r="W903" i="25"/>
  <c r="X903" i="25"/>
  <c r="AA903" i="25"/>
  <c r="V916" i="25"/>
  <c r="Y916" i="25"/>
  <c r="Z916" i="25"/>
  <c r="W916" i="25"/>
  <c r="X916" i="25"/>
  <c r="AA916" i="25"/>
  <c r="V924" i="25"/>
  <c r="Y924" i="25"/>
  <c r="Z924" i="25"/>
  <c r="W924" i="25"/>
  <c r="X924" i="25"/>
  <c r="AA924" i="25"/>
  <c r="V933" i="25"/>
  <c r="Y933" i="25"/>
  <c r="Z933" i="25"/>
  <c r="X933" i="25"/>
  <c r="AA933" i="25"/>
  <c r="W933" i="25"/>
  <c r="V939" i="25"/>
  <c r="Y939" i="25"/>
  <c r="Z939" i="25"/>
  <c r="X939" i="25"/>
  <c r="AA939" i="25"/>
  <c r="W939" i="25"/>
  <c r="V949" i="25"/>
  <c r="Y949" i="25"/>
  <c r="Z949" i="25"/>
  <c r="W949" i="25"/>
  <c r="X949" i="25"/>
  <c r="AA949" i="25"/>
  <c r="V957" i="25"/>
  <c r="Y957" i="25"/>
  <c r="W957" i="25"/>
  <c r="X957" i="25"/>
  <c r="Z957" i="25"/>
  <c r="AA957" i="25"/>
  <c r="V965" i="25"/>
  <c r="X965" i="25"/>
  <c r="W965" i="25"/>
  <c r="Y965" i="25"/>
  <c r="Z965" i="25"/>
  <c r="AA965" i="25"/>
  <c r="V973" i="25"/>
  <c r="X973" i="25"/>
  <c r="AA973" i="25"/>
  <c r="W973" i="25"/>
  <c r="Y973" i="25"/>
  <c r="Z973" i="25"/>
  <c r="V981" i="25"/>
  <c r="X981" i="25"/>
  <c r="W981" i="25"/>
  <c r="Y981" i="25"/>
  <c r="Z981" i="25"/>
  <c r="AA981" i="25"/>
  <c r="V989" i="25"/>
  <c r="X989" i="25"/>
  <c r="W989" i="25"/>
  <c r="Y989" i="25"/>
  <c r="Z989" i="25"/>
  <c r="AA989" i="25"/>
  <c r="V997" i="25"/>
  <c r="X997" i="25"/>
  <c r="Z997" i="25"/>
  <c r="AA997" i="25"/>
  <c r="W997" i="25"/>
  <c r="Y997" i="25"/>
  <c r="V1005" i="25"/>
  <c r="X1005" i="25"/>
  <c r="W1005" i="25"/>
  <c r="Y1005" i="25"/>
  <c r="Z1005" i="25"/>
  <c r="AA1005" i="25"/>
  <c r="V1013" i="25"/>
  <c r="X1013" i="25"/>
  <c r="W1013" i="25"/>
  <c r="Y1013" i="25"/>
  <c r="Z1013" i="25"/>
  <c r="AA1013" i="25"/>
  <c r="V1022" i="25"/>
  <c r="W1022" i="25"/>
  <c r="X1022" i="25"/>
  <c r="Y1022" i="25"/>
  <c r="Z1022" i="25"/>
  <c r="AA1022" i="25"/>
  <c r="V1037" i="25"/>
  <c r="W1037" i="25"/>
  <c r="X1037" i="25"/>
  <c r="Y1037" i="25"/>
  <c r="Z1037" i="25"/>
  <c r="AA1037" i="25"/>
  <c r="V1045" i="25"/>
  <c r="W1045" i="25"/>
  <c r="X1045" i="25"/>
  <c r="Y1045" i="25"/>
  <c r="Z1045" i="25"/>
  <c r="AA1045" i="25"/>
  <c r="V21" i="25"/>
  <c r="W21" i="25"/>
  <c r="X21" i="25"/>
  <c r="Y21" i="25"/>
  <c r="Z21" i="25"/>
  <c r="AA21" i="25"/>
  <c r="V123" i="25"/>
  <c r="W123" i="25"/>
  <c r="Y123" i="25"/>
  <c r="X123" i="25"/>
  <c r="Z123" i="25"/>
  <c r="AA123" i="25"/>
  <c r="V171" i="25"/>
  <c r="Y171" i="25"/>
  <c r="Z171" i="25"/>
  <c r="AA171" i="25"/>
  <c r="W171" i="25"/>
  <c r="X171" i="25"/>
  <c r="V295" i="25"/>
  <c r="W295" i="25"/>
  <c r="X295" i="25"/>
  <c r="Y295" i="25"/>
  <c r="Z295" i="25"/>
  <c r="AA295" i="25"/>
  <c r="V452" i="25"/>
  <c r="X452" i="25"/>
  <c r="W452" i="25"/>
  <c r="Z452" i="25"/>
  <c r="AA452" i="25"/>
  <c r="Y452" i="25"/>
  <c r="V500" i="25"/>
  <c r="AA500" i="25"/>
  <c r="Y500" i="25"/>
  <c r="W500" i="25"/>
  <c r="X500" i="25"/>
  <c r="Z500" i="25"/>
  <c r="V517" i="25"/>
  <c r="AA517" i="25"/>
  <c r="Y517" i="25"/>
  <c r="W517" i="25"/>
  <c r="X517" i="25"/>
  <c r="Z517" i="25"/>
  <c r="V581" i="25"/>
  <c r="AA581" i="25"/>
  <c r="Y581" i="25"/>
  <c r="W581" i="25"/>
  <c r="X581" i="25"/>
  <c r="Z581" i="25"/>
  <c r="V629" i="25"/>
  <c r="AA629" i="25"/>
  <c r="Y629" i="25"/>
  <c r="W629" i="25"/>
  <c r="X629" i="25"/>
  <c r="Z629" i="25"/>
  <c r="V701" i="25"/>
  <c r="AA701" i="25"/>
  <c r="Z701" i="25"/>
  <c r="W701" i="25"/>
  <c r="X701" i="25"/>
  <c r="Y701" i="25"/>
  <c r="V925" i="25"/>
  <c r="AA925" i="25"/>
  <c r="W925" i="25"/>
  <c r="X925" i="25"/>
  <c r="Y925" i="25"/>
  <c r="Z925" i="25"/>
  <c r="V950" i="25"/>
  <c r="Y950" i="25"/>
  <c r="Z950" i="25"/>
  <c r="W950" i="25"/>
  <c r="X950" i="25"/>
  <c r="AA950" i="25"/>
  <c r="V974" i="25"/>
  <c r="AA974" i="25"/>
  <c r="W974" i="25"/>
  <c r="X974" i="25"/>
  <c r="Y974" i="25"/>
  <c r="Z974" i="25"/>
  <c r="V1078" i="25"/>
  <c r="X1078" i="25"/>
  <c r="AA1078" i="25"/>
  <c r="W1078" i="25"/>
  <c r="Y1078" i="25"/>
  <c r="Z1078" i="25"/>
  <c r="V1126" i="25"/>
  <c r="X1126" i="25"/>
  <c r="W1126" i="25"/>
  <c r="Y1126" i="25"/>
  <c r="Z1126" i="25"/>
  <c r="AA1126" i="25"/>
  <c r="V1230" i="25"/>
  <c r="X1230" i="25"/>
  <c r="Y1230" i="25"/>
  <c r="W1230" i="25"/>
  <c r="Z1230" i="25"/>
  <c r="AA1230" i="25"/>
  <c r="V1294" i="25"/>
  <c r="Y1294" i="25"/>
  <c r="Z1294" i="25"/>
  <c r="AA1294" i="25"/>
  <c r="W1294" i="25"/>
  <c r="X1294" i="25"/>
  <c r="V1382" i="25"/>
  <c r="Z1382" i="25"/>
  <c r="AA1382" i="25"/>
  <c r="W1382" i="25"/>
  <c r="X1382" i="25"/>
  <c r="Y1382" i="25"/>
  <c r="V1534" i="25"/>
  <c r="Z1534" i="25"/>
  <c r="W1534" i="25"/>
  <c r="X1534" i="25"/>
  <c r="Y1534" i="25"/>
  <c r="AA1534" i="25"/>
  <c r="V1566" i="25"/>
  <c r="W1566" i="25"/>
  <c r="X1566" i="25"/>
  <c r="Y1566" i="25"/>
  <c r="Z1566" i="25"/>
  <c r="AA1566" i="25"/>
  <c r="V1614" i="25"/>
  <c r="Y1614" i="25"/>
  <c r="Z1614" i="25"/>
  <c r="AA1614" i="25"/>
  <c r="W1614" i="25"/>
  <c r="X1614" i="25"/>
  <c r="V1654" i="25"/>
  <c r="Y1654" i="25"/>
  <c r="Z1654" i="25"/>
  <c r="AA1654" i="25"/>
  <c r="W1654" i="25"/>
  <c r="X1654" i="25"/>
  <c r="V1694" i="25"/>
  <c r="Y1694" i="25"/>
  <c r="Z1694" i="25"/>
  <c r="AA1694" i="25"/>
  <c r="W1694" i="25"/>
  <c r="X1694" i="25"/>
  <c r="V1702" i="25"/>
  <c r="Y1702" i="25"/>
  <c r="Z1702" i="25"/>
  <c r="AA1702" i="25"/>
  <c r="W1702" i="25"/>
  <c r="X1702" i="25"/>
  <c r="V1710" i="25"/>
  <c r="Y1710" i="25"/>
  <c r="Z1710" i="25"/>
  <c r="AA1710" i="25"/>
  <c r="W1710" i="25"/>
  <c r="X1710" i="25"/>
  <c r="V1718" i="25"/>
  <c r="Y1718" i="25"/>
  <c r="Z1718" i="25"/>
  <c r="AA1718" i="25"/>
  <c r="W1718" i="25"/>
  <c r="X1718" i="25"/>
  <c r="V1726" i="25"/>
  <c r="Y1726" i="25"/>
  <c r="Z1726" i="25"/>
  <c r="AA1726" i="25"/>
  <c r="W1726" i="25"/>
  <c r="X1726" i="25"/>
  <c r="V1734" i="25"/>
  <c r="Y1734" i="25"/>
  <c r="Z1734" i="25"/>
  <c r="AA1734" i="25"/>
  <c r="W1734" i="25"/>
  <c r="X1734" i="25"/>
  <c r="V1742" i="25"/>
  <c r="Y1742" i="25"/>
  <c r="Z1742" i="25"/>
  <c r="AA1742" i="25"/>
  <c r="W1742" i="25"/>
  <c r="X1742" i="25"/>
  <c r="V1750" i="25"/>
  <c r="Y1750" i="25"/>
  <c r="Z1750" i="25"/>
  <c r="AA1750" i="25"/>
  <c r="W1750" i="25"/>
  <c r="X1750" i="25"/>
  <c r="V1758" i="25"/>
  <c r="Y1758" i="25"/>
  <c r="Z1758" i="25"/>
  <c r="AA1758" i="25"/>
  <c r="W1758" i="25"/>
  <c r="X1758" i="25"/>
  <c r="V1766" i="25"/>
  <c r="Y1766" i="25"/>
  <c r="Z1766" i="25"/>
  <c r="AA1766" i="25"/>
  <c r="W1766" i="25"/>
  <c r="X1766" i="25"/>
  <c r="V1774" i="25"/>
  <c r="Y1774" i="25"/>
  <c r="Z1774" i="25"/>
  <c r="AA1774" i="25"/>
  <c r="W1774" i="25"/>
  <c r="X1774" i="25"/>
  <c r="V1782" i="25"/>
  <c r="Y1782" i="25"/>
  <c r="Z1782" i="25"/>
  <c r="AA1782" i="25"/>
  <c r="W1782" i="25"/>
  <c r="X1782" i="25"/>
  <c r="V1790" i="25"/>
  <c r="Y1790" i="25"/>
  <c r="Z1790" i="25"/>
  <c r="AA1790" i="25"/>
  <c r="W1790" i="25"/>
  <c r="X1790" i="25"/>
  <c r="V1798" i="25"/>
  <c r="Y1798" i="25"/>
  <c r="Z1798" i="25"/>
  <c r="AA1798" i="25"/>
  <c r="W1798" i="25"/>
  <c r="X1798" i="25"/>
  <c r="V1806" i="25"/>
  <c r="Y1806" i="25"/>
  <c r="Z1806" i="25"/>
  <c r="AA1806" i="25"/>
  <c r="W1806" i="25"/>
  <c r="X1806" i="25"/>
  <c r="V1814" i="25"/>
  <c r="Y1814" i="25"/>
  <c r="Z1814" i="25"/>
  <c r="AA1814" i="25"/>
  <c r="W1814" i="25"/>
  <c r="X1814" i="25"/>
  <c r="V1822" i="25"/>
  <c r="Y1822" i="25"/>
  <c r="Z1822" i="25"/>
  <c r="AA1822" i="25"/>
  <c r="W1822" i="25"/>
  <c r="X1822" i="25"/>
  <c r="V1830" i="25"/>
  <c r="Y1830" i="25"/>
  <c r="Z1830" i="25"/>
  <c r="AA1830" i="25"/>
  <c r="W1830" i="25"/>
  <c r="X1830" i="25"/>
  <c r="V1838" i="25"/>
  <c r="Y1838" i="25"/>
  <c r="Z1838" i="25"/>
  <c r="AA1838" i="25"/>
  <c r="W1838" i="25"/>
  <c r="X1838" i="25"/>
  <c r="V1846" i="25"/>
  <c r="Y1846" i="25"/>
  <c r="Z1846" i="25"/>
  <c r="AA1846" i="25"/>
  <c r="W1846" i="25"/>
  <c r="X1846" i="25"/>
  <c r="V1854" i="25"/>
  <c r="Y1854" i="25"/>
  <c r="Z1854" i="25"/>
  <c r="AA1854" i="25"/>
  <c r="W1854" i="25"/>
  <c r="X1854" i="25"/>
  <c r="V1862" i="25"/>
  <c r="Y1862" i="25"/>
  <c r="Z1862" i="25"/>
  <c r="AA1862" i="25"/>
  <c r="W1862" i="25"/>
  <c r="X1862" i="25"/>
  <c r="V1870" i="25"/>
  <c r="Y1870" i="25"/>
  <c r="Z1870" i="25"/>
  <c r="AA1870" i="25"/>
  <c r="W1870" i="25"/>
  <c r="X1870" i="25"/>
  <c r="V1878" i="25"/>
  <c r="Y1878" i="25"/>
  <c r="Z1878" i="25"/>
  <c r="AA1878" i="25"/>
  <c r="W1878" i="25"/>
  <c r="X1878" i="25"/>
  <c r="V1886" i="25"/>
  <c r="Y1886" i="25"/>
  <c r="Z1886" i="25"/>
  <c r="AA1886" i="25"/>
  <c r="W1886" i="25"/>
  <c r="X1886" i="25"/>
  <c r="V1894" i="25"/>
  <c r="Y1894" i="25"/>
  <c r="Z1894" i="25"/>
  <c r="AA1894" i="25"/>
  <c r="W1894" i="25"/>
  <c r="X1894" i="25"/>
  <c r="V1902" i="25"/>
  <c r="Y1902" i="25"/>
  <c r="Z1902" i="25"/>
  <c r="AA1902" i="25"/>
  <c r="W1902" i="25"/>
  <c r="X1902" i="25"/>
  <c r="V1910" i="25"/>
  <c r="Y1910" i="25"/>
  <c r="Z1910" i="25"/>
  <c r="AA1910" i="25"/>
  <c r="W1910" i="25"/>
  <c r="X1910" i="25"/>
  <c r="V1918" i="25"/>
  <c r="Y1918" i="25"/>
  <c r="X1918" i="25"/>
  <c r="Z1918" i="25"/>
  <c r="AA1918" i="25"/>
  <c r="W1918" i="25"/>
  <c r="V1926" i="25"/>
  <c r="Y1926" i="25"/>
  <c r="AA1926" i="25"/>
  <c r="W1926" i="25"/>
  <c r="X1926" i="25"/>
  <c r="Z1926" i="25"/>
  <c r="V1934" i="25"/>
  <c r="Y1934" i="25"/>
  <c r="W1934" i="25"/>
  <c r="X1934" i="25"/>
  <c r="Z1934" i="25"/>
  <c r="AA1934" i="25"/>
  <c r="V1942" i="25"/>
  <c r="Y1942" i="25"/>
  <c r="W1942" i="25"/>
  <c r="X1942" i="25"/>
  <c r="Z1942" i="25"/>
  <c r="AA1942" i="25"/>
  <c r="V1950" i="25"/>
  <c r="Y1950" i="25"/>
  <c r="X1950" i="25"/>
  <c r="Z1950" i="25"/>
  <c r="AA1950" i="25"/>
  <c r="W1950" i="25"/>
  <c r="V1958" i="25"/>
  <c r="Y1958" i="25"/>
  <c r="AA1958" i="25"/>
  <c r="W1958" i="25"/>
  <c r="X1958" i="25"/>
  <c r="Z1958" i="25"/>
  <c r="V1966" i="25"/>
  <c r="Y1966" i="25"/>
  <c r="W1966" i="25"/>
  <c r="X1966" i="25"/>
  <c r="Z1966" i="25"/>
  <c r="AA1966" i="25"/>
  <c r="V1974" i="25"/>
  <c r="Y1974" i="25"/>
  <c r="W1974" i="25"/>
  <c r="X1974" i="25"/>
  <c r="Z1974" i="25"/>
  <c r="AA1974" i="25"/>
  <c r="V1982" i="25"/>
  <c r="Y1982" i="25"/>
  <c r="X1982" i="25"/>
  <c r="Z1982" i="25"/>
  <c r="AA1982" i="25"/>
  <c r="W1982" i="25"/>
  <c r="V1990" i="25"/>
  <c r="Y1990" i="25"/>
  <c r="AA1990" i="25"/>
  <c r="W1990" i="25"/>
  <c r="X1990" i="25"/>
  <c r="Z1990" i="25"/>
  <c r="V1998" i="25"/>
  <c r="Y1998" i="25"/>
  <c r="W1998" i="25"/>
  <c r="X1998" i="25"/>
  <c r="Z1998" i="25"/>
  <c r="AA1998" i="25"/>
  <c r="V2006" i="25"/>
  <c r="Y2006" i="25"/>
  <c r="W2006" i="25"/>
  <c r="X2006" i="25"/>
  <c r="Z2006" i="25"/>
  <c r="AA2006" i="25"/>
  <c r="V2032" i="25"/>
  <c r="Y2032" i="25"/>
  <c r="X2032" i="25"/>
  <c r="Z2032" i="25"/>
  <c r="AA2032" i="25"/>
  <c r="W2032" i="25"/>
  <c r="V2036" i="25"/>
  <c r="Y2036" i="25"/>
  <c r="Z2036" i="25"/>
  <c r="AA2036" i="25"/>
  <c r="W2036" i="25"/>
  <c r="X2036" i="25"/>
  <c r="V2040" i="25"/>
  <c r="Y2040" i="25"/>
  <c r="Z2040" i="25"/>
  <c r="AA2040" i="25"/>
  <c r="W2040" i="25"/>
  <c r="X2040" i="25"/>
  <c r="V2044" i="25"/>
  <c r="Y2044" i="25"/>
  <c r="Z2044" i="25"/>
  <c r="AA2044" i="25"/>
  <c r="W2044" i="25"/>
  <c r="X2044" i="25"/>
  <c r="V2010" i="25"/>
  <c r="Y2010" i="25"/>
  <c r="Z2010" i="25"/>
  <c r="AA2010" i="25"/>
  <c r="W2010" i="25"/>
  <c r="X2010" i="25"/>
  <c r="V2055" i="25"/>
  <c r="Y2055" i="25"/>
  <c r="Z2055" i="25"/>
  <c r="AA2055" i="25"/>
  <c r="W2055" i="25"/>
  <c r="X2055" i="25"/>
  <c r="V2063" i="25"/>
  <c r="Y2063" i="25"/>
  <c r="Z2063" i="25"/>
  <c r="AA2063" i="25"/>
  <c r="W2063" i="25"/>
  <c r="X2063" i="25"/>
  <c r="V2071" i="25"/>
  <c r="Y2071" i="25"/>
  <c r="Z2071" i="25"/>
  <c r="AA2071" i="25"/>
  <c r="W2071" i="25"/>
  <c r="X2071" i="25"/>
  <c r="V2079" i="25"/>
  <c r="Y2079" i="25"/>
  <c r="Z2079" i="25"/>
  <c r="AA2079" i="25"/>
  <c r="W2079" i="25"/>
  <c r="X2079" i="25"/>
  <c r="V2087" i="25"/>
  <c r="Y2087" i="25"/>
  <c r="Z2087" i="25"/>
  <c r="AA2087" i="25"/>
  <c r="W2087" i="25"/>
  <c r="X2087" i="25"/>
  <c r="V2095" i="25"/>
  <c r="Y2095" i="25"/>
  <c r="Z2095" i="25"/>
  <c r="AA2095" i="25"/>
  <c r="W2095" i="25"/>
  <c r="X2095" i="25"/>
  <c r="V2103" i="25"/>
  <c r="Y2103" i="25"/>
  <c r="Z2103" i="25"/>
  <c r="AA2103" i="25"/>
  <c r="W2103" i="25"/>
  <c r="X2103" i="25"/>
  <c r="V2111" i="25"/>
  <c r="Y2111" i="25"/>
  <c r="Z2111" i="25"/>
  <c r="AA2111" i="25"/>
  <c r="W2111" i="25"/>
  <c r="X2111" i="25"/>
  <c r="V2119" i="25"/>
  <c r="Y2119" i="25"/>
  <c r="Z2119" i="25"/>
  <c r="AA2119" i="25"/>
  <c r="W2119" i="25"/>
  <c r="X2119" i="25"/>
  <c r="V2127" i="25"/>
  <c r="Y2127" i="25"/>
  <c r="Z2127" i="25"/>
  <c r="AA2127" i="25"/>
  <c r="W2127" i="25"/>
  <c r="X2127" i="25"/>
  <c r="V2135" i="25"/>
  <c r="Y2135" i="25"/>
  <c r="Z2135" i="25"/>
  <c r="AA2135" i="25"/>
  <c r="W2135" i="25"/>
  <c r="X2135" i="25"/>
  <c r="V2143" i="25"/>
  <c r="Y2143" i="25"/>
  <c r="Z2143" i="25"/>
  <c r="AA2143" i="25"/>
  <c r="W2143" i="25"/>
  <c r="X2143" i="25"/>
  <c r="V2151" i="25"/>
  <c r="Y2151" i="25"/>
  <c r="Z2151" i="25"/>
  <c r="AA2151" i="25"/>
  <c r="W2151" i="25"/>
  <c r="X2151" i="25"/>
  <c r="V2159" i="25"/>
  <c r="Y2159" i="25"/>
  <c r="Z2159" i="25"/>
  <c r="AA2159" i="25"/>
  <c r="W2159" i="25"/>
  <c r="X2159" i="25"/>
  <c r="V2167" i="25"/>
  <c r="Y2167" i="25"/>
  <c r="AA2167" i="25"/>
  <c r="W2167" i="25"/>
  <c r="Z2167" i="25"/>
  <c r="X2167" i="25"/>
  <c r="V2175" i="25"/>
  <c r="Y2175" i="25"/>
  <c r="AA2175" i="25"/>
  <c r="W2175" i="25"/>
  <c r="X2175" i="25"/>
  <c r="Z2175" i="25"/>
  <c r="V2183" i="25"/>
  <c r="Y2183" i="25"/>
  <c r="AA2183" i="25"/>
  <c r="W2183" i="25"/>
  <c r="X2183" i="25"/>
  <c r="Z2183" i="25"/>
  <c r="V2191" i="25"/>
  <c r="Y2191" i="25"/>
  <c r="AA2191" i="25"/>
  <c r="W2191" i="25"/>
  <c r="X2191" i="25"/>
  <c r="Z2191" i="25"/>
  <c r="V2199" i="25"/>
  <c r="Y2199" i="25"/>
  <c r="AA2199" i="25"/>
  <c r="W2199" i="25"/>
  <c r="Z2199" i="25"/>
  <c r="X2199" i="25"/>
  <c r="V2207" i="25"/>
  <c r="Y2207" i="25"/>
  <c r="AA2207" i="25"/>
  <c r="W2207" i="25"/>
  <c r="X2207" i="25"/>
  <c r="Z2207" i="25"/>
  <c r="V2215" i="25"/>
  <c r="Y2215" i="25"/>
  <c r="AA2215" i="25"/>
  <c r="W2215" i="25"/>
  <c r="X2215" i="25"/>
  <c r="Z2215" i="25"/>
  <c r="V2223" i="25"/>
  <c r="Y2223" i="25"/>
  <c r="AA2223" i="25"/>
  <c r="W2223" i="25"/>
  <c r="X2223" i="25"/>
  <c r="Z2223" i="25"/>
  <c r="V2231" i="25"/>
  <c r="Y2231" i="25"/>
  <c r="AA2231" i="25"/>
  <c r="W2231" i="25"/>
  <c r="Z2231" i="25"/>
  <c r="X2231" i="25"/>
  <c r="V2239" i="25"/>
  <c r="Y2239" i="25"/>
  <c r="AA2239" i="25"/>
  <c r="W2239" i="25"/>
  <c r="X2239" i="25"/>
  <c r="Z2239" i="25"/>
  <c r="V2247" i="25"/>
  <c r="Y2247" i="25"/>
  <c r="AA2247" i="25"/>
  <c r="W2247" i="25"/>
  <c r="X2247" i="25"/>
  <c r="Z2247" i="25"/>
  <c r="V2255" i="25"/>
  <c r="Y2255" i="25"/>
  <c r="AA2255" i="25"/>
  <c r="W2255" i="25"/>
  <c r="X2255" i="25"/>
  <c r="Z2255" i="25"/>
  <c r="V2263" i="25"/>
  <c r="Y2263" i="25"/>
  <c r="AA2263" i="25"/>
  <c r="W2263" i="25"/>
  <c r="Z2263" i="25"/>
  <c r="X2263" i="25"/>
  <c r="V2271" i="25"/>
  <c r="Y2271" i="25"/>
  <c r="AA2271" i="25"/>
  <c r="W2271" i="25"/>
  <c r="X2271" i="25"/>
  <c r="Z2271" i="25"/>
  <c r="V2279" i="25"/>
  <c r="Y2279" i="25"/>
  <c r="AA2279" i="25"/>
  <c r="W2279" i="25"/>
  <c r="X2279" i="25"/>
  <c r="Z2279" i="25"/>
  <c r="V2287" i="25"/>
  <c r="Y2287" i="25"/>
  <c r="AA2287" i="25"/>
  <c r="W2287" i="25"/>
  <c r="X2287" i="25"/>
  <c r="Z2287" i="25"/>
  <c r="V2295" i="25"/>
  <c r="W2295" i="25"/>
  <c r="AA2295" i="25"/>
  <c r="X2295" i="25"/>
  <c r="Z2295" i="25"/>
  <c r="Y2295" i="25"/>
  <c r="V2303" i="25"/>
  <c r="W2303" i="25"/>
  <c r="X2303" i="25"/>
  <c r="Y2303" i="25"/>
  <c r="Z2303" i="25"/>
  <c r="AA2303" i="25"/>
  <c r="V2311" i="25"/>
  <c r="W2311" i="25"/>
  <c r="X2311" i="25"/>
  <c r="Y2311" i="25"/>
  <c r="Z2311" i="25"/>
  <c r="AA2311" i="25"/>
  <c r="V2319" i="25"/>
  <c r="W2319" i="25"/>
  <c r="Y2319" i="25"/>
  <c r="Z2319" i="25"/>
  <c r="AA2319" i="25"/>
  <c r="X2319" i="25"/>
  <c r="V2327" i="25"/>
  <c r="W2327" i="25"/>
  <c r="AA2327" i="25"/>
  <c r="X2327" i="25"/>
  <c r="Y2327" i="25"/>
  <c r="Z2327" i="25"/>
  <c r="V2335" i="25"/>
  <c r="W2335" i="25"/>
  <c r="X2335" i="25"/>
  <c r="Y2335" i="25"/>
  <c r="Z2335" i="25"/>
  <c r="AA2335" i="25"/>
  <c r="V2343" i="25"/>
  <c r="W2343" i="25"/>
  <c r="X2343" i="25"/>
  <c r="Y2343" i="25"/>
  <c r="Z2343" i="25"/>
  <c r="AA2343" i="25"/>
  <c r="V2351" i="25"/>
  <c r="W2351" i="25"/>
  <c r="Y2351" i="25"/>
  <c r="Z2351" i="25"/>
  <c r="AA2351" i="25"/>
  <c r="X2351" i="25"/>
  <c r="V2359" i="25"/>
  <c r="W2359" i="25"/>
  <c r="AA2359" i="25"/>
  <c r="X2359" i="25"/>
  <c r="Y2359" i="25"/>
  <c r="Z2359" i="25"/>
  <c r="V2367" i="25"/>
  <c r="W2367" i="25"/>
  <c r="X2367" i="25"/>
  <c r="Y2367" i="25"/>
  <c r="Z2367" i="25"/>
  <c r="AA2367" i="25"/>
  <c r="V2375" i="25"/>
  <c r="W2375" i="25"/>
  <c r="X2375" i="25"/>
  <c r="Y2375" i="25"/>
  <c r="Z2375" i="25"/>
  <c r="AA2375" i="25"/>
  <c r="V2383" i="25"/>
  <c r="W2383" i="25"/>
  <c r="Y2383" i="25"/>
  <c r="Z2383" i="25"/>
  <c r="AA2383" i="25"/>
  <c r="X2383" i="25"/>
  <c r="V2391" i="25"/>
  <c r="W2391" i="25"/>
  <c r="AA2391" i="25"/>
  <c r="X2391" i="25"/>
  <c r="Y2391" i="25"/>
  <c r="Z2391" i="25"/>
  <c r="V2399" i="25"/>
  <c r="W2399" i="25"/>
  <c r="X2399" i="25"/>
  <c r="Y2399" i="25"/>
  <c r="Z2399" i="25"/>
  <c r="AA2399" i="25"/>
  <c r="V2407" i="25"/>
  <c r="W2407" i="25"/>
  <c r="X2407" i="25"/>
  <c r="Y2407" i="25"/>
  <c r="Z2407" i="25"/>
  <c r="AA2407" i="25"/>
  <c r="V57" i="25"/>
  <c r="W57" i="25"/>
  <c r="Y57" i="25"/>
  <c r="Z57" i="25"/>
  <c r="AA57" i="25"/>
  <c r="X57" i="25"/>
  <c r="V271" i="25"/>
  <c r="Y271" i="25"/>
  <c r="Z271" i="25"/>
  <c r="AA271" i="25"/>
  <c r="W271" i="25"/>
  <c r="X271" i="25"/>
  <c r="V327" i="25"/>
  <c r="W327" i="25"/>
  <c r="X327" i="25"/>
  <c r="Y327" i="25"/>
  <c r="Z327" i="25"/>
  <c r="AA327" i="25"/>
  <c r="V383" i="25"/>
  <c r="X383" i="25"/>
  <c r="W383" i="25"/>
  <c r="Z383" i="25"/>
  <c r="Y383" i="25"/>
  <c r="AA383" i="25"/>
  <c r="V416" i="25"/>
  <c r="X416" i="25"/>
  <c r="W416" i="25"/>
  <c r="Z416" i="25"/>
  <c r="Y416" i="25"/>
  <c r="AA416" i="25"/>
  <c r="V533" i="25"/>
  <c r="AA533" i="25"/>
  <c r="Y533" i="25"/>
  <c r="W533" i="25"/>
  <c r="X533" i="25"/>
  <c r="Z533" i="25"/>
  <c r="V605" i="25"/>
  <c r="AA605" i="25"/>
  <c r="Y605" i="25"/>
  <c r="X605" i="25"/>
  <c r="Z605" i="25"/>
  <c r="W605" i="25"/>
  <c r="V669" i="25"/>
  <c r="AA669" i="25"/>
  <c r="Z669" i="25"/>
  <c r="X669" i="25"/>
  <c r="Y669" i="25"/>
  <c r="W669" i="25"/>
  <c r="V733" i="25"/>
  <c r="Y733" i="25"/>
  <c r="Z733" i="25"/>
  <c r="AA733" i="25"/>
  <c r="W733" i="25"/>
  <c r="X733" i="25"/>
  <c r="V990" i="25"/>
  <c r="AA990" i="25"/>
  <c r="X990" i="25"/>
  <c r="Y990" i="25"/>
  <c r="Z990" i="25"/>
  <c r="W990" i="25"/>
  <c r="V1054" i="25"/>
  <c r="X1054" i="25"/>
  <c r="Y1054" i="25"/>
  <c r="Z1054" i="25"/>
  <c r="AA1054" i="25"/>
  <c r="W1054" i="25"/>
  <c r="V1150" i="25"/>
  <c r="X1150" i="25"/>
  <c r="Y1150" i="25"/>
  <c r="Z1150" i="25"/>
  <c r="AA1150" i="25"/>
  <c r="W1150" i="25"/>
  <c r="V1246" i="25"/>
  <c r="X1246" i="25"/>
  <c r="Y1246" i="25"/>
  <c r="Z1246" i="25"/>
  <c r="AA1246" i="25"/>
  <c r="W1246" i="25"/>
  <c r="V1310" i="25"/>
  <c r="Y1310" i="25"/>
  <c r="W1310" i="25"/>
  <c r="X1310" i="25"/>
  <c r="Z1310" i="25"/>
  <c r="AA1310" i="25"/>
  <c r="V1358" i="25"/>
  <c r="Z1358" i="25"/>
  <c r="AA1358" i="25"/>
  <c r="W1358" i="25"/>
  <c r="X1358" i="25"/>
  <c r="Y1358" i="25"/>
  <c r="V1414" i="25"/>
  <c r="Z1414" i="25"/>
  <c r="AA1414" i="25"/>
  <c r="W1414" i="25"/>
  <c r="X1414" i="25"/>
  <c r="Y1414" i="25"/>
  <c r="V1438" i="25"/>
  <c r="Z1438" i="25"/>
  <c r="AA1438" i="25"/>
  <c r="W1438" i="25"/>
  <c r="X1438" i="25"/>
  <c r="Y1438" i="25"/>
  <c r="V1510" i="25"/>
  <c r="Z1510" i="25"/>
  <c r="W1510" i="25"/>
  <c r="X1510" i="25"/>
  <c r="Y1510" i="25"/>
  <c r="AA1510" i="25"/>
  <c r="V1558" i="25"/>
  <c r="Z1558" i="25"/>
  <c r="W1558" i="25"/>
  <c r="X1558" i="25"/>
  <c r="Y1558" i="25"/>
  <c r="AA1558" i="25"/>
  <c r="V1622" i="25"/>
  <c r="Y1622" i="25"/>
  <c r="Z1622" i="25"/>
  <c r="AA1622" i="25"/>
  <c r="W1622" i="25"/>
  <c r="X1622" i="25"/>
  <c r="V1646" i="25"/>
  <c r="Y1646" i="25"/>
  <c r="Z1646" i="25"/>
  <c r="AA1646" i="25"/>
  <c r="W1646" i="25"/>
  <c r="X1646" i="25"/>
  <c r="V6" i="25"/>
  <c r="Z6" i="25"/>
  <c r="AA6" i="25"/>
  <c r="W6" i="25"/>
  <c r="X6" i="25"/>
  <c r="Y6" i="25"/>
  <c r="V14" i="25"/>
  <c r="Z14" i="25"/>
  <c r="AA14" i="25"/>
  <c r="W14" i="25"/>
  <c r="X14" i="25"/>
  <c r="Y14" i="25"/>
  <c r="V22" i="25"/>
  <c r="Z22" i="25"/>
  <c r="AA22" i="25"/>
  <c r="W22" i="25"/>
  <c r="X22" i="25"/>
  <c r="Y22" i="25"/>
  <c r="V34" i="25"/>
  <c r="Z34" i="25"/>
  <c r="AA34" i="25"/>
  <c r="W34" i="25"/>
  <c r="X34" i="25"/>
  <c r="Y34" i="25"/>
  <c r="V42" i="25"/>
  <c r="Z42" i="25"/>
  <c r="AA42" i="25"/>
  <c r="W42" i="25"/>
  <c r="X42" i="25"/>
  <c r="Y42" i="25"/>
  <c r="V50" i="25"/>
  <c r="Z50" i="25"/>
  <c r="W50" i="25"/>
  <c r="X50" i="25"/>
  <c r="Y50" i="25"/>
  <c r="AA50" i="25"/>
  <c r="V58" i="25"/>
  <c r="Z58" i="25"/>
  <c r="X58" i="25"/>
  <c r="Y58" i="25"/>
  <c r="AA58" i="25"/>
  <c r="W58" i="25"/>
  <c r="V66" i="25"/>
  <c r="Z66" i="25"/>
  <c r="X66" i="25"/>
  <c r="Y66" i="25"/>
  <c r="AA66" i="25"/>
  <c r="W66" i="25"/>
  <c r="V74" i="25"/>
  <c r="Z74" i="25"/>
  <c r="W74" i="25"/>
  <c r="X74" i="25"/>
  <c r="Y74" i="25"/>
  <c r="AA74" i="25"/>
  <c r="V82" i="25"/>
  <c r="Z82" i="25"/>
  <c r="W82" i="25"/>
  <c r="X82" i="25"/>
  <c r="Y82" i="25"/>
  <c r="AA82" i="25"/>
  <c r="V100" i="25"/>
  <c r="Z100" i="25"/>
  <c r="W100" i="25"/>
  <c r="X100" i="25"/>
  <c r="Y100" i="25"/>
  <c r="AA100" i="25"/>
  <c r="V108" i="25"/>
  <c r="Z108" i="25"/>
  <c r="W108" i="25"/>
  <c r="X108" i="25"/>
  <c r="AA108" i="25"/>
  <c r="Y108" i="25"/>
  <c r="V116" i="25"/>
  <c r="Z116" i="25"/>
  <c r="W116" i="25"/>
  <c r="X116" i="25"/>
  <c r="Y116" i="25"/>
  <c r="AA116" i="25"/>
  <c r="V124" i="25"/>
  <c r="Z124" i="25"/>
  <c r="X124" i="25"/>
  <c r="Y124" i="25"/>
  <c r="AA124" i="25"/>
  <c r="W124" i="25"/>
  <c r="V132" i="25"/>
  <c r="Z132" i="25"/>
  <c r="AA132" i="25"/>
  <c r="W132" i="25"/>
  <c r="X132" i="25"/>
  <c r="Y132" i="25"/>
  <c r="V140" i="25"/>
  <c r="W140" i="25"/>
  <c r="X140" i="25"/>
  <c r="Y140" i="25"/>
  <c r="Z140" i="25"/>
  <c r="AA140" i="25"/>
  <c r="V148" i="25"/>
  <c r="W148" i="25"/>
  <c r="X148" i="25"/>
  <c r="Y148" i="25"/>
  <c r="Z148" i="25"/>
  <c r="AA148" i="25"/>
  <c r="V156" i="25"/>
  <c r="W156" i="25"/>
  <c r="X156" i="25"/>
  <c r="Y156" i="25"/>
  <c r="Z156" i="25"/>
  <c r="AA156" i="25"/>
  <c r="V164" i="25"/>
  <c r="W164" i="25"/>
  <c r="X164" i="25"/>
  <c r="Y164" i="25"/>
  <c r="Z164" i="25"/>
  <c r="AA164" i="25"/>
  <c r="V172" i="25"/>
  <c r="W172" i="25"/>
  <c r="X172" i="25"/>
  <c r="Y172" i="25"/>
  <c r="Z172" i="25"/>
  <c r="AA172" i="25"/>
  <c r="V180" i="25"/>
  <c r="W180" i="25"/>
  <c r="X180" i="25"/>
  <c r="Z180" i="25"/>
  <c r="AA180" i="25"/>
  <c r="Y180" i="25"/>
  <c r="V188" i="25"/>
  <c r="W188" i="25"/>
  <c r="X188" i="25"/>
  <c r="AA188" i="25"/>
  <c r="Y188" i="25"/>
  <c r="Z188" i="25"/>
  <c r="V196" i="25"/>
  <c r="W196" i="25"/>
  <c r="X196" i="25"/>
  <c r="Y196" i="25"/>
  <c r="Z196" i="25"/>
  <c r="AA196" i="25"/>
  <c r="V204" i="25"/>
  <c r="W204" i="25"/>
  <c r="X204" i="25"/>
  <c r="Y204" i="25"/>
  <c r="Z204" i="25"/>
  <c r="AA204" i="25"/>
  <c r="V212" i="25"/>
  <c r="W212" i="25"/>
  <c r="X212" i="25"/>
  <c r="Y212" i="25"/>
  <c r="Z212" i="25"/>
  <c r="AA212" i="25"/>
  <c r="V220" i="25"/>
  <c r="W220" i="25"/>
  <c r="X220" i="25"/>
  <c r="Y220" i="25"/>
  <c r="Z220" i="25"/>
  <c r="AA220" i="25"/>
  <c r="V232" i="25"/>
  <c r="W232" i="25"/>
  <c r="X232" i="25"/>
  <c r="Y232" i="25"/>
  <c r="Z232" i="25"/>
  <c r="AA232" i="25"/>
  <c r="V240" i="25"/>
  <c r="W240" i="25"/>
  <c r="X240" i="25"/>
  <c r="Y240" i="25"/>
  <c r="Z240" i="25"/>
  <c r="AA240" i="25"/>
  <c r="V248" i="25"/>
  <c r="W248" i="25"/>
  <c r="X248" i="25"/>
  <c r="Z248" i="25"/>
  <c r="AA248" i="25"/>
  <c r="Y248" i="25"/>
  <c r="V256" i="25"/>
  <c r="W256" i="25"/>
  <c r="X256" i="25"/>
  <c r="AA256" i="25"/>
  <c r="Y256" i="25"/>
  <c r="Z256" i="25"/>
  <c r="V264" i="25"/>
  <c r="W264" i="25"/>
  <c r="X264" i="25"/>
  <c r="Y264" i="25"/>
  <c r="Z264" i="25"/>
  <c r="AA264" i="25"/>
  <c r="V272" i="25"/>
  <c r="W272" i="25"/>
  <c r="X272" i="25"/>
  <c r="Z272" i="25"/>
  <c r="AA272" i="25"/>
  <c r="Y272" i="25"/>
  <c r="V280" i="25"/>
  <c r="W280" i="25"/>
  <c r="X280" i="25"/>
  <c r="Z280" i="25"/>
  <c r="AA280" i="25"/>
  <c r="Y280" i="25"/>
  <c r="V288" i="25"/>
  <c r="AA288" i="25"/>
  <c r="W288" i="25"/>
  <c r="X288" i="25"/>
  <c r="Y288" i="25"/>
  <c r="Z288" i="25"/>
  <c r="V296" i="25"/>
  <c r="X296" i="25"/>
  <c r="Y296" i="25"/>
  <c r="Z296" i="25"/>
  <c r="AA296" i="25"/>
  <c r="W296" i="25"/>
  <c r="V304" i="25"/>
  <c r="X304" i="25"/>
  <c r="Y304" i="25"/>
  <c r="Z304" i="25"/>
  <c r="AA304" i="25"/>
  <c r="W304" i="25"/>
  <c r="V312" i="25"/>
  <c r="X312" i="25"/>
  <c r="Y312" i="25"/>
  <c r="Z312" i="25"/>
  <c r="AA312" i="25"/>
  <c r="W312" i="25"/>
  <c r="V320" i="25"/>
  <c r="X320" i="25"/>
  <c r="Y320" i="25"/>
  <c r="Z320" i="25"/>
  <c r="AA320" i="25"/>
  <c r="W320" i="25"/>
  <c r="V328" i="25"/>
  <c r="X328" i="25"/>
  <c r="Y328" i="25"/>
  <c r="Z328" i="25"/>
  <c r="AA328" i="25"/>
  <c r="W328" i="25"/>
  <c r="V336" i="25"/>
  <c r="X336" i="25"/>
  <c r="Y336" i="25"/>
  <c r="Z336" i="25"/>
  <c r="AA336" i="25"/>
  <c r="W336" i="25"/>
  <c r="V344" i="25"/>
  <c r="X344" i="25"/>
  <c r="Y344" i="25"/>
  <c r="Z344" i="25"/>
  <c r="AA344" i="25"/>
  <c r="W344" i="25"/>
  <c r="V352" i="25"/>
  <c r="Y352" i="25"/>
  <c r="AA352" i="25"/>
  <c r="X352" i="25"/>
  <c r="Z352" i="25"/>
  <c r="W352" i="25"/>
  <c r="V360" i="25"/>
  <c r="Y360" i="25"/>
  <c r="AA360" i="25"/>
  <c r="W360" i="25"/>
  <c r="X360" i="25"/>
  <c r="Z360" i="25"/>
  <c r="V368" i="25"/>
  <c r="Y368" i="25"/>
  <c r="AA368" i="25"/>
  <c r="W368" i="25"/>
  <c r="X368" i="25"/>
  <c r="Z368" i="25"/>
  <c r="V376" i="25"/>
  <c r="Y376" i="25"/>
  <c r="AA376" i="25"/>
  <c r="W376" i="25"/>
  <c r="X376" i="25"/>
  <c r="Z376" i="25"/>
  <c r="V384" i="25"/>
  <c r="Y384" i="25"/>
  <c r="AA384" i="25"/>
  <c r="X384" i="25"/>
  <c r="Z384" i="25"/>
  <c r="W384" i="25"/>
  <c r="V392" i="25"/>
  <c r="Y392" i="25"/>
  <c r="AA392" i="25"/>
  <c r="W392" i="25"/>
  <c r="X392" i="25"/>
  <c r="Z392" i="25"/>
  <c r="V401" i="25"/>
  <c r="Y401" i="25"/>
  <c r="AA401" i="25"/>
  <c r="W401" i="25"/>
  <c r="Z401" i="25"/>
  <c r="X401" i="25"/>
  <c r="V409" i="25"/>
  <c r="Y409" i="25"/>
  <c r="AA409" i="25"/>
  <c r="W409" i="25"/>
  <c r="X409" i="25"/>
  <c r="Z409" i="25"/>
  <c r="V417" i="25"/>
  <c r="Y417" i="25"/>
  <c r="AA417" i="25"/>
  <c r="X417" i="25"/>
  <c r="Z417" i="25"/>
  <c r="W417" i="25"/>
  <c r="V428" i="25"/>
  <c r="Y428" i="25"/>
  <c r="AA428" i="25"/>
  <c r="X428" i="25"/>
  <c r="W428" i="25"/>
  <c r="Z428" i="25"/>
  <c r="V436" i="25"/>
  <c r="Y436" i="25"/>
  <c r="AA436" i="25"/>
  <c r="W436" i="25"/>
  <c r="X436" i="25"/>
  <c r="Z436" i="25"/>
  <c r="V445" i="25"/>
  <c r="Y445" i="25"/>
  <c r="AA445" i="25"/>
  <c r="W445" i="25"/>
  <c r="X445" i="25"/>
  <c r="Z445" i="25"/>
  <c r="V453" i="25"/>
  <c r="Y453" i="25"/>
  <c r="AA453" i="25"/>
  <c r="X453" i="25"/>
  <c r="Z453" i="25"/>
  <c r="W453" i="25"/>
  <c r="V461" i="25"/>
  <c r="Y461" i="25"/>
  <c r="AA461" i="25"/>
  <c r="W461" i="25"/>
  <c r="X461" i="25"/>
  <c r="Z461" i="25"/>
  <c r="V469" i="25"/>
  <c r="W469" i="25"/>
  <c r="X469" i="25"/>
  <c r="Y469" i="25"/>
  <c r="Z469" i="25"/>
  <c r="AA469" i="25"/>
  <c r="V477" i="25"/>
  <c r="W477" i="25"/>
  <c r="X477" i="25"/>
  <c r="Y477" i="25"/>
  <c r="AA477" i="25"/>
  <c r="Z477" i="25"/>
  <c r="V485" i="25"/>
  <c r="W485" i="25"/>
  <c r="X485" i="25"/>
  <c r="Y485" i="25"/>
  <c r="Z485" i="25"/>
  <c r="AA485" i="25"/>
  <c r="V493" i="25"/>
  <c r="W493" i="25"/>
  <c r="X493" i="25"/>
  <c r="Y493" i="25"/>
  <c r="Z493" i="25"/>
  <c r="AA493" i="25"/>
  <c r="V501" i="25"/>
  <c r="W501" i="25"/>
  <c r="X501" i="25"/>
  <c r="Y501" i="25"/>
  <c r="AA501" i="25"/>
  <c r="Z501" i="25"/>
  <c r="V509" i="25"/>
  <c r="W509" i="25"/>
  <c r="X509" i="25"/>
  <c r="Y509" i="25"/>
  <c r="Z509" i="25"/>
  <c r="AA509" i="25"/>
  <c r="V518" i="25"/>
  <c r="W518" i="25"/>
  <c r="X518" i="25"/>
  <c r="Y518" i="25"/>
  <c r="Z518" i="25"/>
  <c r="AA518" i="25"/>
  <c r="V526" i="25"/>
  <c r="W526" i="25"/>
  <c r="X526" i="25"/>
  <c r="Y526" i="25"/>
  <c r="Z526" i="25"/>
  <c r="AA526" i="25"/>
  <c r="V534" i="25"/>
  <c r="W534" i="25"/>
  <c r="X534" i="25"/>
  <c r="Y534" i="25"/>
  <c r="Z534" i="25"/>
  <c r="AA534" i="25"/>
  <c r="V542" i="25"/>
  <c r="W542" i="25"/>
  <c r="X542" i="25"/>
  <c r="Y542" i="25"/>
  <c r="Z542" i="25"/>
  <c r="AA542" i="25"/>
  <c r="V550" i="25"/>
  <c r="W550" i="25"/>
  <c r="X550" i="25"/>
  <c r="Y550" i="25"/>
  <c r="Z550" i="25"/>
  <c r="AA550" i="25"/>
  <c r="V558" i="25"/>
  <c r="W558" i="25"/>
  <c r="X558" i="25"/>
  <c r="Y558" i="25"/>
  <c r="Z558" i="25"/>
  <c r="AA558" i="25"/>
  <c r="V566" i="25"/>
  <c r="W566" i="25"/>
  <c r="X566" i="25"/>
  <c r="Y566" i="25"/>
  <c r="AA566" i="25"/>
  <c r="Z566" i="25"/>
  <c r="V574" i="25"/>
  <c r="W574" i="25"/>
  <c r="X574" i="25"/>
  <c r="Y574" i="25"/>
  <c r="Z574" i="25"/>
  <c r="AA574" i="25"/>
  <c r="V582" i="25"/>
  <c r="W582" i="25"/>
  <c r="X582" i="25"/>
  <c r="Y582" i="25"/>
  <c r="Z582" i="25"/>
  <c r="AA582" i="25"/>
  <c r="V590" i="25"/>
  <c r="W590" i="25"/>
  <c r="X590" i="25"/>
  <c r="Y590" i="25"/>
  <c r="Z590" i="25"/>
  <c r="AA590" i="25"/>
  <c r="V598" i="25"/>
  <c r="W598" i="25"/>
  <c r="X598" i="25"/>
  <c r="Y598" i="25"/>
  <c r="Z598" i="25"/>
  <c r="AA598" i="25"/>
  <c r="V606" i="25"/>
  <c r="W606" i="25"/>
  <c r="X606" i="25"/>
  <c r="Y606" i="25"/>
  <c r="Z606" i="25"/>
  <c r="AA606" i="25"/>
  <c r="V614" i="25"/>
  <c r="W614" i="25"/>
  <c r="X614" i="25"/>
  <c r="Y614" i="25"/>
  <c r="Z614" i="25"/>
  <c r="AA614" i="25"/>
  <c r="V622" i="25"/>
  <c r="W622" i="25"/>
  <c r="X622" i="25"/>
  <c r="Y622" i="25"/>
  <c r="Z622" i="25"/>
  <c r="AA622" i="25"/>
  <c r="V630" i="25"/>
  <c r="W630" i="25"/>
  <c r="X630" i="25"/>
  <c r="Y630" i="25"/>
  <c r="AA630" i="25"/>
  <c r="Z630" i="25"/>
  <c r="V638" i="25"/>
  <c r="W638" i="25"/>
  <c r="X638" i="25"/>
  <c r="Y638" i="25"/>
  <c r="Z638" i="25"/>
  <c r="AA638" i="25"/>
  <c r="V646" i="25"/>
  <c r="W646" i="25"/>
  <c r="X646" i="25"/>
  <c r="Y646" i="25"/>
  <c r="Z646" i="25"/>
  <c r="AA646" i="25"/>
  <c r="V654" i="25"/>
  <c r="W654" i="25"/>
  <c r="X654" i="25"/>
  <c r="Y654" i="25"/>
  <c r="Z654" i="25"/>
  <c r="AA654" i="25"/>
  <c r="V662" i="25"/>
  <c r="W662" i="25"/>
  <c r="X662" i="25"/>
  <c r="Y662" i="25"/>
  <c r="Z662" i="25"/>
  <c r="AA662" i="25"/>
  <c r="V670" i="25"/>
  <c r="W670" i="25"/>
  <c r="X670" i="25"/>
  <c r="Y670" i="25"/>
  <c r="Z670" i="25"/>
  <c r="AA670" i="25"/>
  <c r="V678" i="25"/>
  <c r="W678" i="25"/>
  <c r="X678" i="25"/>
  <c r="Y678" i="25"/>
  <c r="Z678" i="25"/>
  <c r="AA678" i="25"/>
  <c r="V686" i="25"/>
  <c r="W686" i="25"/>
  <c r="X686" i="25"/>
  <c r="Y686" i="25"/>
  <c r="Z686" i="25"/>
  <c r="AA686" i="25"/>
  <c r="V694" i="25"/>
  <c r="W694" i="25"/>
  <c r="X694" i="25"/>
  <c r="Y694" i="25"/>
  <c r="AA694" i="25"/>
  <c r="Z694" i="25"/>
  <c r="V702" i="25"/>
  <c r="W702" i="25"/>
  <c r="X702" i="25"/>
  <c r="Y702" i="25"/>
  <c r="Z702" i="25"/>
  <c r="AA702" i="25"/>
  <c r="V710" i="25"/>
  <c r="W710" i="25"/>
  <c r="X710" i="25"/>
  <c r="Y710" i="25"/>
  <c r="Z710" i="25"/>
  <c r="AA710" i="25"/>
  <c r="V718" i="25"/>
  <c r="W718" i="25"/>
  <c r="X718" i="25"/>
  <c r="Y718" i="25"/>
  <c r="Z718" i="25"/>
  <c r="AA718" i="25"/>
  <c r="V726" i="25"/>
  <c r="W726" i="25"/>
  <c r="X726" i="25"/>
  <c r="Y726" i="25"/>
  <c r="Z726" i="25"/>
  <c r="AA726" i="25"/>
  <c r="V734" i="25"/>
  <c r="W734" i="25"/>
  <c r="X734" i="25"/>
  <c r="Y734" i="25"/>
  <c r="Z734" i="25"/>
  <c r="AA734" i="25"/>
  <c r="V742" i="25"/>
  <c r="W742" i="25"/>
  <c r="X742" i="25"/>
  <c r="Y742" i="25"/>
  <c r="Z742" i="25"/>
  <c r="AA742" i="25"/>
  <c r="V844" i="25"/>
  <c r="W844" i="25"/>
  <c r="X844" i="25"/>
  <c r="AA844" i="25"/>
  <c r="Y844" i="25"/>
  <c r="Z844" i="25"/>
  <c r="V856" i="25"/>
  <c r="W856" i="25"/>
  <c r="X856" i="25"/>
  <c r="Y856" i="25"/>
  <c r="AA856" i="25"/>
  <c r="Z856" i="25"/>
  <c r="V865" i="25"/>
  <c r="W865" i="25"/>
  <c r="X865" i="25"/>
  <c r="Y865" i="25"/>
  <c r="Z865" i="25"/>
  <c r="AA865" i="25"/>
  <c r="V873" i="25"/>
  <c r="W873" i="25"/>
  <c r="X873" i="25"/>
  <c r="Y873" i="25"/>
  <c r="Z873" i="25"/>
  <c r="AA873" i="25"/>
  <c r="V881" i="25"/>
  <c r="W881" i="25"/>
  <c r="X881" i="25"/>
  <c r="AA881" i="25"/>
  <c r="Y881" i="25"/>
  <c r="Z881" i="25"/>
  <c r="V889" i="25"/>
  <c r="W889" i="25"/>
  <c r="X889" i="25"/>
  <c r="Y889" i="25"/>
  <c r="Z889" i="25"/>
  <c r="AA889" i="25"/>
  <c r="V897" i="25"/>
  <c r="W897" i="25"/>
  <c r="X897" i="25"/>
  <c r="Y897" i="25"/>
  <c r="Z897" i="25"/>
  <c r="AA897" i="25"/>
  <c r="V906" i="25"/>
  <c r="W906" i="25"/>
  <c r="X906" i="25"/>
  <c r="Y906" i="25"/>
  <c r="Z906" i="25"/>
  <c r="AA906" i="25"/>
  <c r="V918" i="25"/>
  <c r="W918" i="25"/>
  <c r="X918" i="25"/>
  <c r="Y918" i="25"/>
  <c r="Z918" i="25"/>
  <c r="AA918" i="25"/>
  <c r="V926" i="25"/>
  <c r="W926" i="25"/>
  <c r="X926" i="25"/>
  <c r="Y926" i="25"/>
  <c r="Z926" i="25"/>
  <c r="AA926" i="25"/>
  <c r="V935" i="25"/>
  <c r="W935" i="25"/>
  <c r="X935" i="25"/>
  <c r="Z935" i="25"/>
  <c r="AA935" i="25"/>
  <c r="Y935" i="25"/>
  <c r="V941" i="25"/>
  <c r="W941" i="25"/>
  <c r="X941" i="25"/>
  <c r="Y941" i="25"/>
  <c r="Z941" i="25"/>
  <c r="AA941" i="25"/>
  <c r="V951" i="25"/>
  <c r="W951" i="25"/>
  <c r="X951" i="25"/>
  <c r="Y951" i="25"/>
  <c r="Z951" i="25"/>
  <c r="AA951" i="25"/>
  <c r="V959" i="25"/>
  <c r="W959" i="25"/>
  <c r="X959" i="25"/>
  <c r="Y959" i="25"/>
  <c r="Z959" i="25"/>
  <c r="AA959" i="25"/>
  <c r="V967" i="25"/>
  <c r="W967" i="25"/>
  <c r="X967" i="25"/>
  <c r="Y967" i="25"/>
  <c r="Z967" i="25"/>
  <c r="AA967" i="25"/>
  <c r="V975" i="25"/>
  <c r="Z975" i="25"/>
  <c r="AA975" i="25"/>
  <c r="W975" i="25"/>
  <c r="X975" i="25"/>
  <c r="Y975" i="25"/>
  <c r="V983" i="25"/>
  <c r="W983" i="25"/>
  <c r="X983" i="25"/>
  <c r="Y983" i="25"/>
  <c r="Z983" i="25"/>
  <c r="AA983" i="25"/>
  <c r="V991" i="25"/>
  <c r="W991" i="25"/>
  <c r="X991" i="25"/>
  <c r="Y991" i="25"/>
  <c r="Z991" i="25"/>
  <c r="AA991" i="25"/>
  <c r="V999" i="25"/>
  <c r="Y999" i="25"/>
  <c r="Z999" i="25"/>
  <c r="AA999" i="25"/>
  <c r="W999" i="25"/>
  <c r="X999" i="25"/>
  <c r="V1007" i="25"/>
  <c r="W1007" i="25"/>
  <c r="X1007" i="25"/>
  <c r="Y1007" i="25"/>
  <c r="Z1007" i="25"/>
  <c r="AA1007" i="25"/>
  <c r="V1015" i="25"/>
  <c r="AA1015" i="25"/>
  <c r="W1015" i="25"/>
  <c r="X1015" i="25"/>
  <c r="Y1015" i="25"/>
  <c r="Z1015" i="25"/>
  <c r="V1031" i="25"/>
  <c r="AA1031" i="25"/>
  <c r="W1031" i="25"/>
  <c r="X1031" i="25"/>
  <c r="Y1031" i="25"/>
  <c r="Z1031" i="25"/>
  <c r="V1039" i="25"/>
  <c r="AA1039" i="25"/>
  <c r="W1039" i="25"/>
  <c r="Y1039" i="25"/>
  <c r="Z1039" i="25"/>
  <c r="X1039" i="25"/>
  <c r="V1047" i="25"/>
  <c r="AA1047" i="25"/>
  <c r="W1047" i="25"/>
  <c r="Z1047" i="25"/>
  <c r="X1047" i="25"/>
  <c r="Y1047" i="25"/>
  <c r="V1055" i="25"/>
  <c r="AA1055" i="25"/>
  <c r="W1055" i="25"/>
  <c r="X1055" i="25"/>
  <c r="Y1055" i="25"/>
  <c r="Z1055" i="25"/>
  <c r="V1063" i="25"/>
  <c r="AA1063" i="25"/>
  <c r="W1063" i="25"/>
  <c r="X1063" i="25"/>
  <c r="Y1063" i="25"/>
  <c r="Z1063" i="25"/>
  <c r="V1071" i="25"/>
  <c r="AA1071" i="25"/>
  <c r="W1071" i="25"/>
  <c r="Z1071" i="25"/>
  <c r="X1071" i="25"/>
  <c r="Y1071" i="25"/>
  <c r="V1079" i="25"/>
  <c r="AA1079" i="25"/>
  <c r="W1079" i="25"/>
  <c r="Y1079" i="25"/>
  <c r="Z1079" i="25"/>
  <c r="X1079" i="25"/>
  <c r="V1087" i="25"/>
  <c r="AA1087" i="25"/>
  <c r="W1087" i="25"/>
  <c r="X1087" i="25"/>
  <c r="Y1087" i="25"/>
  <c r="Z1087" i="25"/>
  <c r="V1095" i="25"/>
  <c r="AA1095" i="25"/>
  <c r="W1095" i="25"/>
  <c r="X1095" i="25"/>
  <c r="Y1095" i="25"/>
  <c r="Z1095" i="25"/>
  <c r="V1103" i="25"/>
  <c r="AA1103" i="25"/>
  <c r="W1103" i="25"/>
  <c r="X1103" i="25"/>
  <c r="Y1103" i="25"/>
  <c r="Z1103" i="25"/>
  <c r="V1111" i="25"/>
  <c r="AA1111" i="25"/>
  <c r="W1111" i="25"/>
  <c r="X1111" i="25"/>
  <c r="Y1111" i="25"/>
  <c r="Z1111" i="25"/>
  <c r="V1119" i="25"/>
  <c r="AA1119" i="25"/>
  <c r="W1119" i="25"/>
  <c r="X1119" i="25"/>
  <c r="Y1119" i="25"/>
  <c r="Z1119" i="25"/>
  <c r="V1127" i="25"/>
  <c r="AA1127" i="25"/>
  <c r="W1127" i="25"/>
  <c r="Z1127" i="25"/>
  <c r="X1127" i="25"/>
  <c r="Y1127" i="25"/>
  <c r="V1135" i="25"/>
  <c r="AA1135" i="25"/>
  <c r="W1135" i="25"/>
  <c r="X1135" i="25"/>
  <c r="Y1135" i="25"/>
  <c r="Z1135" i="25"/>
  <c r="V1143" i="25"/>
  <c r="AA1143" i="25"/>
  <c r="W1143" i="25"/>
  <c r="X1143" i="25"/>
  <c r="Y1143" i="25"/>
  <c r="Z1143" i="25"/>
  <c r="V1151" i="25"/>
  <c r="AA1151" i="25"/>
  <c r="W1151" i="25"/>
  <c r="X1151" i="25"/>
  <c r="Y1151" i="25"/>
  <c r="Z1151" i="25"/>
  <c r="V1159" i="25"/>
  <c r="AA1159" i="25"/>
  <c r="W1159" i="25"/>
  <c r="X1159" i="25"/>
  <c r="Y1159" i="25"/>
  <c r="Z1159" i="25"/>
  <c r="V1167" i="25"/>
  <c r="AA1167" i="25"/>
  <c r="W1167" i="25"/>
  <c r="X1167" i="25"/>
  <c r="Y1167" i="25"/>
  <c r="Z1167" i="25"/>
  <c r="V1175" i="25"/>
  <c r="AA1175" i="25"/>
  <c r="W1175" i="25"/>
  <c r="X1175" i="25"/>
  <c r="Y1175" i="25"/>
  <c r="Z1175" i="25"/>
  <c r="V1183" i="25"/>
  <c r="AA1183" i="25"/>
  <c r="W1183" i="25"/>
  <c r="X1183" i="25"/>
  <c r="Y1183" i="25"/>
  <c r="Z1183" i="25"/>
  <c r="V1191" i="25"/>
  <c r="AA1191" i="25"/>
  <c r="W1191" i="25"/>
  <c r="X1191" i="25"/>
  <c r="Y1191" i="25"/>
  <c r="Z1191" i="25"/>
  <c r="V1199" i="25"/>
  <c r="AA1199" i="25"/>
  <c r="W1199" i="25"/>
  <c r="X1199" i="25"/>
  <c r="Y1199" i="25"/>
  <c r="Z1199" i="25"/>
  <c r="V1207" i="25"/>
  <c r="AA1207" i="25"/>
  <c r="W1207" i="25"/>
  <c r="X1207" i="25"/>
  <c r="Y1207" i="25"/>
  <c r="Z1207" i="25"/>
  <c r="V1215" i="25"/>
  <c r="AA1215" i="25"/>
  <c r="Y1215" i="25"/>
  <c r="Z1215" i="25"/>
  <c r="W1215" i="25"/>
  <c r="X1215" i="25"/>
  <c r="V1223" i="25"/>
  <c r="AA1223" i="25"/>
  <c r="Y1223" i="25"/>
  <c r="X1223" i="25"/>
  <c r="Z1223" i="25"/>
  <c r="W1223" i="25"/>
  <c r="V1231" i="25"/>
  <c r="AA1231" i="25"/>
  <c r="Y1231" i="25"/>
  <c r="W1231" i="25"/>
  <c r="X1231" i="25"/>
  <c r="Z1231" i="25"/>
  <c r="V1239" i="25"/>
  <c r="AA1239" i="25"/>
  <c r="Y1239" i="25"/>
  <c r="W1239" i="25"/>
  <c r="X1239" i="25"/>
  <c r="Z1239" i="25"/>
  <c r="V1247" i="25"/>
  <c r="AA1247" i="25"/>
  <c r="Y1247" i="25"/>
  <c r="W1247" i="25"/>
  <c r="X1247" i="25"/>
  <c r="Z1247" i="25"/>
  <c r="V1255" i="25"/>
  <c r="Y1255" i="25"/>
  <c r="W1255" i="25"/>
  <c r="X1255" i="25"/>
  <c r="Z1255" i="25"/>
  <c r="AA1255" i="25"/>
  <c r="V1263" i="25"/>
  <c r="Y1263" i="25"/>
  <c r="W1263" i="25"/>
  <c r="X1263" i="25"/>
  <c r="Z1263" i="25"/>
  <c r="AA1263" i="25"/>
  <c r="V1271" i="25"/>
  <c r="Y1271" i="25"/>
  <c r="W1271" i="25"/>
  <c r="X1271" i="25"/>
  <c r="Z1271" i="25"/>
  <c r="AA1271" i="25"/>
  <c r="V1279" i="25"/>
  <c r="Y1279" i="25"/>
  <c r="Z1279" i="25"/>
  <c r="AA1279" i="25"/>
  <c r="W1279" i="25"/>
  <c r="X1279" i="25"/>
  <c r="V13" i="25"/>
  <c r="W13" i="25"/>
  <c r="X13" i="25"/>
  <c r="Y13" i="25"/>
  <c r="Z13" i="25"/>
  <c r="AA13" i="25"/>
  <c r="V65" i="25"/>
  <c r="W65" i="25"/>
  <c r="Y65" i="25"/>
  <c r="Z65" i="25"/>
  <c r="X65" i="25"/>
  <c r="AA65" i="25"/>
  <c r="V73" i="25"/>
  <c r="W73" i="25"/>
  <c r="Y73" i="25"/>
  <c r="Z73" i="25"/>
  <c r="X73" i="25"/>
  <c r="AA73" i="25"/>
  <c r="V219" i="25"/>
  <c r="Y219" i="25"/>
  <c r="Z219" i="25"/>
  <c r="AA219" i="25"/>
  <c r="W219" i="25"/>
  <c r="X219" i="25"/>
  <c r="V239" i="25"/>
  <c r="Y239" i="25"/>
  <c r="Z239" i="25"/>
  <c r="AA239" i="25"/>
  <c r="W239" i="25"/>
  <c r="X239" i="25"/>
  <c r="V263" i="25"/>
  <c r="Y263" i="25"/>
  <c r="Z263" i="25"/>
  <c r="AA263" i="25"/>
  <c r="W263" i="25"/>
  <c r="X263" i="25"/>
  <c r="V311" i="25"/>
  <c r="W311" i="25"/>
  <c r="X311" i="25"/>
  <c r="Y311" i="25"/>
  <c r="Z311" i="25"/>
  <c r="AA311" i="25"/>
  <c r="V343" i="25"/>
  <c r="W343" i="25"/>
  <c r="X343" i="25"/>
  <c r="Y343" i="25"/>
  <c r="Z343" i="25"/>
  <c r="AA343" i="25"/>
  <c r="V375" i="25"/>
  <c r="X375" i="25"/>
  <c r="AA375" i="25"/>
  <c r="W375" i="25"/>
  <c r="Y375" i="25"/>
  <c r="Z375" i="25"/>
  <c r="V468" i="25"/>
  <c r="AA468" i="25"/>
  <c r="X468" i="25"/>
  <c r="Y468" i="25"/>
  <c r="Z468" i="25"/>
  <c r="W468" i="25"/>
  <c r="V541" i="25"/>
  <c r="AA541" i="25"/>
  <c r="Y541" i="25"/>
  <c r="X541" i="25"/>
  <c r="Z541" i="25"/>
  <c r="W541" i="25"/>
  <c r="V549" i="25"/>
  <c r="AA549" i="25"/>
  <c r="Y549" i="25"/>
  <c r="Z549" i="25"/>
  <c r="W549" i="25"/>
  <c r="X549" i="25"/>
  <c r="V597" i="25"/>
  <c r="AA597" i="25"/>
  <c r="Y597" i="25"/>
  <c r="W597" i="25"/>
  <c r="X597" i="25"/>
  <c r="Z597" i="25"/>
  <c r="V653" i="25"/>
  <c r="AA653" i="25"/>
  <c r="Z653" i="25"/>
  <c r="W653" i="25"/>
  <c r="X653" i="25"/>
  <c r="Y653" i="25"/>
  <c r="V693" i="25"/>
  <c r="AA693" i="25"/>
  <c r="W693" i="25"/>
  <c r="X693" i="25"/>
  <c r="Y693" i="25"/>
  <c r="Z693" i="25"/>
  <c r="V843" i="25"/>
  <c r="W843" i="25"/>
  <c r="X843" i="25"/>
  <c r="Y843" i="25"/>
  <c r="Z843" i="25"/>
  <c r="AA843" i="25"/>
  <c r="V855" i="25"/>
  <c r="X855" i="25"/>
  <c r="Y855" i="25"/>
  <c r="Z855" i="25"/>
  <c r="AA855" i="25"/>
  <c r="W855" i="25"/>
  <c r="V888" i="25"/>
  <c r="X888" i="25"/>
  <c r="Z888" i="25"/>
  <c r="AA888" i="25"/>
  <c r="W888" i="25"/>
  <c r="Y888" i="25"/>
  <c r="V904" i="25"/>
  <c r="W904" i="25"/>
  <c r="X904" i="25"/>
  <c r="Y904" i="25"/>
  <c r="Z904" i="25"/>
  <c r="AA904" i="25"/>
  <c r="V917" i="25"/>
  <c r="Y917" i="25"/>
  <c r="Z917" i="25"/>
  <c r="AA917" i="25"/>
  <c r="W917" i="25"/>
  <c r="X917" i="25"/>
  <c r="V940" i="25"/>
  <c r="W940" i="25"/>
  <c r="X940" i="25"/>
  <c r="Y940" i="25"/>
  <c r="Z940" i="25"/>
  <c r="AA940" i="25"/>
  <c r="V958" i="25"/>
  <c r="Z958" i="25"/>
  <c r="AA958" i="25"/>
  <c r="X958" i="25"/>
  <c r="Y958" i="25"/>
  <c r="W958" i="25"/>
  <c r="V1014" i="25"/>
  <c r="AA1014" i="25"/>
  <c r="W1014" i="25"/>
  <c r="X1014" i="25"/>
  <c r="Y1014" i="25"/>
  <c r="Z1014" i="25"/>
  <c r="V1046" i="25"/>
  <c r="X1046" i="25"/>
  <c r="Y1046" i="25"/>
  <c r="Z1046" i="25"/>
  <c r="AA1046" i="25"/>
  <c r="W1046" i="25"/>
  <c r="V1102" i="25"/>
  <c r="X1102" i="25"/>
  <c r="W1102" i="25"/>
  <c r="Y1102" i="25"/>
  <c r="Z1102" i="25"/>
  <c r="AA1102" i="25"/>
  <c r="V1142" i="25"/>
  <c r="X1142" i="25"/>
  <c r="Y1142" i="25"/>
  <c r="Z1142" i="25"/>
  <c r="AA1142" i="25"/>
  <c r="W1142" i="25"/>
  <c r="V1166" i="25"/>
  <c r="X1166" i="25"/>
  <c r="Y1166" i="25"/>
  <c r="Z1166" i="25"/>
  <c r="AA1166" i="25"/>
  <c r="W1166" i="25"/>
  <c r="V1174" i="25"/>
  <c r="X1174" i="25"/>
  <c r="Y1174" i="25"/>
  <c r="Z1174" i="25"/>
  <c r="AA1174" i="25"/>
  <c r="W1174" i="25"/>
  <c r="V1198" i="25"/>
  <c r="X1198" i="25"/>
  <c r="Y1198" i="25"/>
  <c r="Z1198" i="25"/>
  <c r="AA1198" i="25"/>
  <c r="W1198" i="25"/>
  <c r="V1238" i="25"/>
  <c r="X1238" i="25"/>
  <c r="Y1238" i="25"/>
  <c r="AA1238" i="25"/>
  <c r="W1238" i="25"/>
  <c r="Z1238" i="25"/>
  <c r="V1278" i="25"/>
  <c r="Y1278" i="25"/>
  <c r="W1278" i="25"/>
  <c r="X1278" i="25"/>
  <c r="Z1278" i="25"/>
  <c r="AA1278" i="25"/>
  <c r="V1334" i="25"/>
  <c r="Z1334" i="25"/>
  <c r="AA1334" i="25"/>
  <c r="W1334" i="25"/>
  <c r="X1334" i="25"/>
  <c r="Y1334" i="25"/>
  <c r="V1374" i="25"/>
  <c r="Z1374" i="25"/>
  <c r="AA1374" i="25"/>
  <c r="W1374" i="25"/>
  <c r="X1374" i="25"/>
  <c r="Y1374" i="25"/>
  <c r="V1430" i="25"/>
  <c r="Z1430" i="25"/>
  <c r="AA1430" i="25"/>
  <c r="W1430" i="25"/>
  <c r="X1430" i="25"/>
  <c r="Y1430" i="25"/>
  <c r="V1454" i="25"/>
  <c r="Z1454" i="25"/>
  <c r="AA1454" i="25"/>
  <c r="W1454" i="25"/>
  <c r="X1454" i="25"/>
  <c r="Y1454" i="25"/>
  <c r="V1502" i="25"/>
  <c r="Z1502" i="25"/>
  <c r="W1502" i="25"/>
  <c r="X1502" i="25"/>
  <c r="Y1502" i="25"/>
  <c r="AA1502" i="25"/>
  <c r="V1518" i="25"/>
  <c r="Z1518" i="25"/>
  <c r="W1518" i="25"/>
  <c r="Y1518" i="25"/>
  <c r="AA1518" i="25"/>
  <c r="X1518" i="25"/>
  <c r="V1542" i="25"/>
  <c r="Z1542" i="25"/>
  <c r="W1542" i="25"/>
  <c r="X1542" i="25"/>
  <c r="Y1542" i="25"/>
  <c r="AA1542" i="25"/>
  <c r="V1582" i="25"/>
  <c r="X1582" i="25"/>
  <c r="Y1582" i="25"/>
  <c r="Z1582" i="25"/>
  <c r="AA1582" i="25"/>
  <c r="W1582" i="25"/>
  <c r="V1630" i="25"/>
  <c r="Y1630" i="25"/>
  <c r="Z1630" i="25"/>
  <c r="AA1630" i="25"/>
  <c r="W1630" i="25"/>
  <c r="X1630" i="25"/>
  <c r="V1678" i="25"/>
  <c r="Y1678" i="25"/>
  <c r="Z1678" i="25"/>
  <c r="AA1678" i="25"/>
  <c r="W1678" i="25"/>
  <c r="X1678" i="25"/>
  <c r="V83" i="25"/>
  <c r="W83" i="25"/>
  <c r="X83" i="25"/>
  <c r="Y83" i="25"/>
  <c r="Z83" i="25"/>
  <c r="AA83" i="25"/>
  <c r="V109" i="25"/>
  <c r="W109" i="25"/>
  <c r="Y109" i="25"/>
  <c r="Z109" i="25"/>
  <c r="AA109" i="25"/>
  <c r="X109" i="25"/>
  <c r="V125" i="25"/>
  <c r="W125" i="25"/>
  <c r="X125" i="25"/>
  <c r="Y125" i="25"/>
  <c r="AA125" i="25"/>
  <c r="Z125" i="25"/>
  <c r="V149" i="25"/>
  <c r="W149" i="25"/>
  <c r="X149" i="25"/>
  <c r="Y149" i="25"/>
  <c r="Z149" i="25"/>
  <c r="AA149" i="25"/>
  <c r="V165" i="25"/>
  <c r="W165" i="25"/>
  <c r="X165" i="25"/>
  <c r="Y165" i="25"/>
  <c r="Z165" i="25"/>
  <c r="AA165" i="25"/>
  <c r="V181" i="25"/>
  <c r="W181" i="25"/>
  <c r="X181" i="25"/>
  <c r="Y181" i="25"/>
  <c r="Z181" i="25"/>
  <c r="AA181" i="25"/>
  <c r="V205" i="25"/>
  <c r="W205" i="25"/>
  <c r="X205" i="25"/>
  <c r="Y205" i="25"/>
  <c r="Z205" i="25"/>
  <c r="AA205" i="25"/>
  <c r="V233" i="25"/>
  <c r="W233" i="25"/>
  <c r="X233" i="25"/>
  <c r="Y233" i="25"/>
  <c r="Z233" i="25"/>
  <c r="AA233" i="25"/>
  <c r="V249" i="25"/>
  <c r="W249" i="25"/>
  <c r="X249" i="25"/>
  <c r="Y249" i="25"/>
  <c r="Z249" i="25"/>
  <c r="AA249" i="25"/>
  <c r="V257" i="25"/>
  <c r="W257" i="25"/>
  <c r="X257" i="25"/>
  <c r="Y257" i="25"/>
  <c r="Z257" i="25"/>
  <c r="AA257" i="25"/>
  <c r="V265" i="25"/>
  <c r="W265" i="25"/>
  <c r="X265" i="25"/>
  <c r="Y265" i="25"/>
  <c r="Z265" i="25"/>
  <c r="AA265" i="25"/>
  <c r="V273" i="25"/>
  <c r="W273" i="25"/>
  <c r="X273" i="25"/>
  <c r="Y273" i="25"/>
  <c r="Z273" i="25"/>
  <c r="AA273" i="25"/>
  <c r="V313" i="25"/>
  <c r="AA313" i="25"/>
  <c r="X313" i="25"/>
  <c r="Y313" i="25"/>
  <c r="Z313" i="25"/>
  <c r="W313" i="25"/>
  <c r="V321" i="25"/>
  <c r="AA321" i="25"/>
  <c r="W321" i="25"/>
  <c r="X321" i="25"/>
  <c r="Y321" i="25"/>
  <c r="Z321" i="25"/>
  <c r="V329" i="25"/>
  <c r="AA329" i="25"/>
  <c r="X329" i="25"/>
  <c r="Y329" i="25"/>
  <c r="Z329" i="25"/>
  <c r="W329" i="25"/>
  <c r="V361" i="25"/>
  <c r="W361" i="25"/>
  <c r="X361" i="25"/>
  <c r="Y361" i="25"/>
  <c r="Z361" i="25"/>
  <c r="AA361" i="25"/>
  <c r="V385" i="25"/>
  <c r="W385" i="25"/>
  <c r="X385" i="25"/>
  <c r="Z385" i="25"/>
  <c r="AA385" i="25"/>
  <c r="Y385" i="25"/>
  <c r="V410" i="25"/>
  <c r="AA410" i="25"/>
  <c r="X410" i="25"/>
  <c r="W410" i="25"/>
  <c r="Y410" i="25"/>
  <c r="Z410" i="25"/>
  <c r="V454" i="25"/>
  <c r="W454" i="25"/>
  <c r="X454" i="25"/>
  <c r="Y454" i="25"/>
  <c r="AA454" i="25"/>
  <c r="Z454" i="25"/>
  <c r="V462" i="25"/>
  <c r="W462" i="25"/>
  <c r="X462" i="25"/>
  <c r="Y462" i="25"/>
  <c r="Z462" i="25"/>
  <c r="AA462" i="25"/>
  <c r="V478" i="25"/>
  <c r="Y478" i="25"/>
  <c r="Z478" i="25"/>
  <c r="AA478" i="25"/>
  <c r="W478" i="25"/>
  <c r="X478" i="25"/>
  <c r="V494" i="25"/>
  <c r="Y494" i="25"/>
  <c r="Z494" i="25"/>
  <c r="AA494" i="25"/>
  <c r="W494" i="25"/>
  <c r="X494" i="25"/>
  <c r="V535" i="25"/>
  <c r="Y535" i="25"/>
  <c r="Z535" i="25"/>
  <c r="AA535" i="25"/>
  <c r="W535" i="25"/>
  <c r="X535" i="25"/>
  <c r="V551" i="25"/>
  <c r="Y551" i="25"/>
  <c r="Z551" i="25"/>
  <c r="AA551" i="25"/>
  <c r="W551" i="25"/>
  <c r="X551" i="25"/>
  <c r="V591" i="25"/>
  <c r="Y591" i="25"/>
  <c r="Z591" i="25"/>
  <c r="AA591" i="25"/>
  <c r="W591" i="25"/>
  <c r="X591" i="25"/>
  <c r="V607" i="25"/>
  <c r="Y607" i="25"/>
  <c r="Z607" i="25"/>
  <c r="AA607" i="25"/>
  <c r="W607" i="25"/>
  <c r="X607" i="25"/>
  <c r="V639" i="25"/>
  <c r="Y639" i="25"/>
  <c r="Z639" i="25"/>
  <c r="AA639" i="25"/>
  <c r="W639" i="25"/>
  <c r="X639" i="25"/>
  <c r="V671" i="25"/>
  <c r="Y671" i="25"/>
  <c r="Z671" i="25"/>
  <c r="AA671" i="25"/>
  <c r="W671" i="25"/>
  <c r="X671" i="25"/>
  <c r="V687" i="25"/>
  <c r="Y687" i="25"/>
  <c r="Z687" i="25"/>
  <c r="AA687" i="25"/>
  <c r="W687" i="25"/>
  <c r="X687" i="25"/>
  <c r="V703" i="25"/>
  <c r="Y703" i="25"/>
  <c r="Z703" i="25"/>
  <c r="AA703" i="25"/>
  <c r="W703" i="25"/>
  <c r="X703" i="25"/>
  <c r="V735" i="25"/>
  <c r="Z735" i="25"/>
  <c r="AA735" i="25"/>
  <c r="Y735" i="25"/>
  <c r="W735" i="25"/>
  <c r="X735" i="25"/>
  <c r="V743" i="25"/>
  <c r="Z743" i="25"/>
  <c r="AA743" i="25"/>
  <c r="W743" i="25"/>
  <c r="X743" i="25"/>
  <c r="Y743" i="25"/>
  <c r="V845" i="25"/>
  <c r="Z845" i="25"/>
  <c r="AA845" i="25"/>
  <c r="W845" i="25"/>
  <c r="X845" i="25"/>
  <c r="Y845" i="25"/>
  <c r="V857" i="25"/>
  <c r="Z857" i="25"/>
  <c r="AA857" i="25"/>
  <c r="X857" i="25"/>
  <c r="Y857" i="25"/>
  <c r="W857" i="25"/>
  <c r="V882" i="25"/>
  <c r="Z882" i="25"/>
  <c r="AA882" i="25"/>
  <c r="X882" i="25"/>
  <c r="Y882" i="25"/>
  <c r="W882" i="25"/>
  <c r="V928" i="25"/>
  <c r="Z928" i="25"/>
  <c r="AA928" i="25"/>
  <c r="W928" i="25"/>
  <c r="X928" i="25"/>
  <c r="Y928" i="25"/>
  <c r="V942" i="25"/>
  <c r="Z942" i="25"/>
  <c r="AA942" i="25"/>
  <c r="W942" i="25"/>
  <c r="X942" i="25"/>
  <c r="Y942" i="25"/>
  <c r="V952" i="25"/>
  <c r="Z952" i="25"/>
  <c r="AA952" i="25"/>
  <c r="Y952" i="25"/>
  <c r="W952" i="25"/>
  <c r="X952" i="25"/>
  <c r="V960" i="25"/>
  <c r="X960" i="25"/>
  <c r="Y960" i="25"/>
  <c r="Z960" i="25"/>
  <c r="AA960" i="25"/>
  <c r="W960" i="25"/>
  <c r="V976" i="25"/>
  <c r="Y976" i="25"/>
  <c r="W976" i="25"/>
  <c r="X976" i="25"/>
  <c r="Z976" i="25"/>
  <c r="AA976" i="25"/>
  <c r="V984" i="25"/>
  <c r="Y984" i="25"/>
  <c r="AA984" i="25"/>
  <c r="W984" i="25"/>
  <c r="X984" i="25"/>
  <c r="Z984" i="25"/>
  <c r="V992" i="25"/>
  <c r="Y992" i="25"/>
  <c r="W992" i="25"/>
  <c r="X992" i="25"/>
  <c r="Z992" i="25"/>
  <c r="AA992" i="25"/>
  <c r="V1008" i="25"/>
  <c r="Y1008" i="25"/>
  <c r="Z1008" i="25"/>
  <c r="AA1008" i="25"/>
  <c r="W1008" i="25"/>
  <c r="X1008" i="25"/>
  <c r="V1032" i="25"/>
  <c r="W1032" i="25"/>
  <c r="X1032" i="25"/>
  <c r="Y1032" i="25"/>
  <c r="Z1032" i="25"/>
  <c r="AA1032" i="25"/>
  <c r="V1056" i="25"/>
  <c r="W1056" i="25"/>
  <c r="X1056" i="25"/>
  <c r="Y1056" i="25"/>
  <c r="Z1056" i="25"/>
  <c r="AA1056" i="25"/>
  <c r="V1072" i="25"/>
  <c r="Y1072" i="25"/>
  <c r="Z1072" i="25"/>
  <c r="W1072" i="25"/>
  <c r="X1072" i="25"/>
  <c r="AA1072" i="25"/>
  <c r="V1096" i="25"/>
  <c r="Y1096" i="25"/>
  <c r="Z1096" i="25"/>
  <c r="W1096" i="25"/>
  <c r="X1096" i="25"/>
  <c r="AA1096" i="25"/>
  <c r="V1104" i="25"/>
  <c r="Z1104" i="25"/>
  <c r="X1104" i="25"/>
  <c r="Y1104" i="25"/>
  <c r="AA1104" i="25"/>
  <c r="W1104" i="25"/>
  <c r="V1120" i="25"/>
  <c r="Z1120" i="25"/>
  <c r="W1120" i="25"/>
  <c r="X1120" i="25"/>
  <c r="Y1120" i="25"/>
  <c r="AA1120" i="25"/>
  <c r="V1128" i="25"/>
  <c r="Z1128" i="25"/>
  <c r="W1128" i="25"/>
  <c r="X1128" i="25"/>
  <c r="Y1128" i="25"/>
  <c r="AA1128" i="25"/>
  <c r="V1144" i="25"/>
  <c r="W1144" i="25"/>
  <c r="X1144" i="25"/>
  <c r="Y1144" i="25"/>
  <c r="Z1144" i="25"/>
  <c r="AA1144" i="25"/>
  <c r="V1160" i="25"/>
  <c r="W1160" i="25"/>
  <c r="X1160" i="25"/>
  <c r="Y1160" i="25"/>
  <c r="Z1160" i="25"/>
  <c r="AA1160" i="25"/>
  <c r="V1168" i="25"/>
  <c r="W1168" i="25"/>
  <c r="X1168" i="25"/>
  <c r="Y1168" i="25"/>
  <c r="Z1168" i="25"/>
  <c r="AA1168" i="25"/>
  <c r="V1184" i="25"/>
  <c r="W1184" i="25"/>
  <c r="X1184" i="25"/>
  <c r="Y1184" i="25"/>
  <c r="Z1184" i="25"/>
  <c r="AA1184" i="25"/>
  <c r="V1200" i="25"/>
  <c r="W1200" i="25"/>
  <c r="X1200" i="25"/>
  <c r="Y1200" i="25"/>
  <c r="Z1200" i="25"/>
  <c r="AA1200" i="25"/>
  <c r="V1216" i="25"/>
  <c r="W1216" i="25"/>
  <c r="X1216" i="25"/>
  <c r="Y1216" i="25"/>
  <c r="Z1216" i="25"/>
  <c r="AA1216" i="25"/>
  <c r="V1232" i="25"/>
  <c r="W1232" i="25"/>
  <c r="X1232" i="25"/>
  <c r="Y1232" i="25"/>
  <c r="Z1232" i="25"/>
  <c r="AA1232" i="25"/>
  <c r="V1240" i="25"/>
  <c r="W1240" i="25"/>
  <c r="X1240" i="25"/>
  <c r="Y1240" i="25"/>
  <c r="Z1240" i="25"/>
  <c r="AA1240" i="25"/>
  <c r="V1256" i="25"/>
  <c r="W1256" i="25"/>
  <c r="X1256" i="25"/>
  <c r="Y1256" i="25"/>
  <c r="Z1256" i="25"/>
  <c r="AA1256" i="25"/>
  <c r="V1272" i="25"/>
  <c r="W1272" i="25"/>
  <c r="X1272" i="25"/>
  <c r="Y1272" i="25"/>
  <c r="Z1272" i="25"/>
  <c r="AA1272" i="25"/>
  <c r="V1288" i="25"/>
  <c r="W1288" i="25"/>
  <c r="X1288" i="25"/>
  <c r="Y1288" i="25"/>
  <c r="Z1288" i="25"/>
  <c r="AA1288" i="25"/>
  <c r="V1296" i="25"/>
  <c r="W1296" i="25"/>
  <c r="Z1296" i="25"/>
  <c r="AA1296" i="25"/>
  <c r="X1296" i="25"/>
  <c r="Y1296" i="25"/>
  <c r="V1312" i="25"/>
  <c r="W1312" i="25"/>
  <c r="X1312" i="25"/>
  <c r="Y1312" i="25"/>
  <c r="Z1312" i="25"/>
  <c r="AA1312" i="25"/>
  <c r="V1328" i="25"/>
  <c r="X1328" i="25"/>
  <c r="Y1328" i="25"/>
  <c r="Z1328" i="25"/>
  <c r="AA1328" i="25"/>
  <c r="W1328" i="25"/>
  <c r="V1352" i="25"/>
  <c r="X1352" i="25"/>
  <c r="Y1352" i="25"/>
  <c r="Z1352" i="25"/>
  <c r="AA1352" i="25"/>
  <c r="W1352" i="25"/>
  <c r="V1368" i="25"/>
  <c r="X1368" i="25"/>
  <c r="Y1368" i="25"/>
  <c r="Z1368" i="25"/>
  <c r="AA1368" i="25"/>
  <c r="W1368" i="25"/>
  <c r="V1384" i="25"/>
  <c r="X1384" i="25"/>
  <c r="Y1384" i="25"/>
  <c r="Z1384" i="25"/>
  <c r="AA1384" i="25"/>
  <c r="W1384" i="25"/>
  <c r="V1400" i="25"/>
  <c r="X1400" i="25"/>
  <c r="Y1400" i="25"/>
  <c r="Z1400" i="25"/>
  <c r="AA1400" i="25"/>
  <c r="W1400" i="25"/>
  <c r="V1416" i="25"/>
  <c r="X1416" i="25"/>
  <c r="Y1416" i="25"/>
  <c r="Z1416" i="25"/>
  <c r="AA1416" i="25"/>
  <c r="W1416" i="25"/>
  <c r="V1432" i="25"/>
  <c r="X1432" i="25"/>
  <c r="Y1432" i="25"/>
  <c r="Z1432" i="25"/>
  <c r="AA1432" i="25"/>
  <c r="W1432" i="25"/>
  <c r="V1448" i="25"/>
  <c r="X1448" i="25"/>
  <c r="Y1448" i="25"/>
  <c r="Z1448" i="25"/>
  <c r="AA1448" i="25"/>
  <c r="W1448" i="25"/>
  <c r="V1456" i="25"/>
  <c r="X1456" i="25"/>
  <c r="Y1456" i="25"/>
  <c r="Z1456" i="25"/>
  <c r="AA1456" i="25"/>
  <c r="W1456" i="25"/>
  <c r="V1472" i="25"/>
  <c r="X1472" i="25"/>
  <c r="Y1472" i="25"/>
  <c r="Z1472" i="25"/>
  <c r="AA1472" i="25"/>
  <c r="W1472" i="25"/>
  <c r="V1480" i="25"/>
  <c r="X1480" i="25"/>
  <c r="Y1480" i="25"/>
  <c r="Z1480" i="25"/>
  <c r="AA1480" i="25"/>
  <c r="W1480" i="25"/>
  <c r="V1496" i="25"/>
  <c r="X1496" i="25"/>
  <c r="Y1496" i="25"/>
  <c r="Z1496" i="25"/>
  <c r="AA1496" i="25"/>
  <c r="W1496" i="25"/>
  <c r="V1504" i="25"/>
  <c r="X1504" i="25"/>
  <c r="W1504" i="25"/>
  <c r="Y1504" i="25"/>
  <c r="Z1504" i="25"/>
  <c r="AA1504" i="25"/>
  <c r="V1520" i="25"/>
  <c r="X1520" i="25"/>
  <c r="Z1520" i="25"/>
  <c r="AA1520" i="25"/>
  <c r="W1520" i="25"/>
  <c r="Y1520" i="25"/>
  <c r="V1536" i="25"/>
  <c r="X1536" i="25"/>
  <c r="W1536" i="25"/>
  <c r="Y1536" i="25"/>
  <c r="Z1536" i="25"/>
  <c r="AA1536" i="25"/>
  <c r="V1544" i="25"/>
  <c r="X1544" i="25"/>
  <c r="W1544" i="25"/>
  <c r="Y1544" i="25"/>
  <c r="Z1544" i="25"/>
  <c r="AA1544" i="25"/>
  <c r="V1560" i="25"/>
  <c r="X1560" i="25"/>
  <c r="W1560" i="25"/>
  <c r="Y1560" i="25"/>
  <c r="Z1560" i="25"/>
  <c r="AA1560" i="25"/>
  <c r="V1576" i="25"/>
  <c r="W1576" i="25"/>
  <c r="X1576" i="25"/>
  <c r="Y1576" i="25"/>
  <c r="Z1576" i="25"/>
  <c r="AA1576" i="25"/>
  <c r="V1600" i="25"/>
  <c r="W1600" i="25"/>
  <c r="X1600" i="25"/>
  <c r="Y1600" i="25"/>
  <c r="Z1600" i="25"/>
  <c r="AA1600" i="25"/>
  <c r="V1608" i="25"/>
  <c r="W1608" i="25"/>
  <c r="X1608" i="25"/>
  <c r="Y1608" i="25"/>
  <c r="Z1608" i="25"/>
  <c r="AA1608" i="25"/>
  <c r="V1632" i="25"/>
  <c r="W1632" i="25"/>
  <c r="X1632" i="25"/>
  <c r="Y1632" i="25"/>
  <c r="Z1632" i="25"/>
  <c r="AA1632" i="25"/>
  <c r="V1648" i="25"/>
  <c r="W1648" i="25"/>
  <c r="X1648" i="25"/>
  <c r="Y1648" i="25"/>
  <c r="Z1648" i="25"/>
  <c r="AA1648" i="25"/>
  <c r="V1664" i="25"/>
  <c r="W1664" i="25"/>
  <c r="X1664" i="25"/>
  <c r="Y1664" i="25"/>
  <c r="Z1664" i="25"/>
  <c r="AA1664" i="25"/>
  <c r="V1672" i="25"/>
  <c r="W1672" i="25"/>
  <c r="X1672" i="25"/>
  <c r="Y1672" i="25"/>
  <c r="Z1672" i="25"/>
  <c r="AA1672" i="25"/>
  <c r="V1680" i="25"/>
  <c r="W1680" i="25"/>
  <c r="X1680" i="25"/>
  <c r="Y1680" i="25"/>
  <c r="Z1680" i="25"/>
  <c r="AA1680" i="25"/>
  <c r="V1688" i="25"/>
  <c r="W1688" i="25"/>
  <c r="X1688" i="25"/>
  <c r="Y1688" i="25"/>
  <c r="Z1688" i="25"/>
  <c r="AA1688" i="25"/>
  <c r="V1704" i="25"/>
  <c r="W1704" i="25"/>
  <c r="X1704" i="25"/>
  <c r="Y1704" i="25"/>
  <c r="Z1704" i="25"/>
  <c r="AA1704" i="25"/>
  <c r="V1712" i="25"/>
  <c r="W1712" i="25"/>
  <c r="X1712" i="25"/>
  <c r="Y1712" i="25"/>
  <c r="Z1712" i="25"/>
  <c r="AA1712" i="25"/>
  <c r="V1720" i="25"/>
  <c r="W1720" i="25"/>
  <c r="X1720" i="25"/>
  <c r="Y1720" i="25"/>
  <c r="Z1720" i="25"/>
  <c r="AA1720" i="25"/>
  <c r="V1736" i="25"/>
  <c r="W1736" i="25"/>
  <c r="X1736" i="25"/>
  <c r="Y1736" i="25"/>
  <c r="Z1736" i="25"/>
  <c r="AA1736" i="25"/>
  <c r="V1744" i="25"/>
  <c r="W1744" i="25"/>
  <c r="X1744" i="25"/>
  <c r="Y1744" i="25"/>
  <c r="Z1744" i="25"/>
  <c r="AA1744" i="25"/>
  <c r="V1752" i="25"/>
  <c r="W1752" i="25"/>
  <c r="X1752" i="25"/>
  <c r="Y1752" i="25"/>
  <c r="Z1752" i="25"/>
  <c r="AA1752" i="25"/>
  <c r="V1760" i="25"/>
  <c r="W1760" i="25"/>
  <c r="X1760" i="25"/>
  <c r="Y1760" i="25"/>
  <c r="Z1760" i="25"/>
  <c r="AA1760" i="25"/>
  <c r="V1768" i="25"/>
  <c r="W1768" i="25"/>
  <c r="X1768" i="25"/>
  <c r="Y1768" i="25"/>
  <c r="Z1768" i="25"/>
  <c r="AA1768" i="25"/>
  <c r="V1776" i="25"/>
  <c r="W1776" i="25"/>
  <c r="X1776" i="25"/>
  <c r="Y1776" i="25"/>
  <c r="Z1776" i="25"/>
  <c r="AA1776" i="25"/>
  <c r="V1784" i="25"/>
  <c r="W1784" i="25"/>
  <c r="X1784" i="25"/>
  <c r="Y1784" i="25"/>
  <c r="Z1784" i="25"/>
  <c r="AA1784" i="25"/>
  <c r="V1792" i="25"/>
  <c r="W1792" i="25"/>
  <c r="X1792" i="25"/>
  <c r="Y1792" i="25"/>
  <c r="Z1792" i="25"/>
  <c r="AA1792" i="25"/>
  <c r="V1800" i="25"/>
  <c r="W1800" i="25"/>
  <c r="X1800" i="25"/>
  <c r="Y1800" i="25"/>
  <c r="Z1800" i="25"/>
  <c r="AA1800" i="25"/>
  <c r="V1808" i="25"/>
  <c r="W1808" i="25"/>
  <c r="X1808" i="25"/>
  <c r="Y1808" i="25"/>
  <c r="Z1808" i="25"/>
  <c r="AA1808" i="25"/>
  <c r="V1816" i="25"/>
  <c r="W1816" i="25"/>
  <c r="X1816" i="25"/>
  <c r="Y1816" i="25"/>
  <c r="Z1816" i="25"/>
  <c r="AA1816" i="25"/>
  <c r="V1824" i="25"/>
  <c r="W1824" i="25"/>
  <c r="X1824" i="25"/>
  <c r="Y1824" i="25"/>
  <c r="Z1824" i="25"/>
  <c r="AA1824" i="25"/>
  <c r="V1832" i="25"/>
  <c r="W1832" i="25"/>
  <c r="X1832" i="25"/>
  <c r="Y1832" i="25"/>
  <c r="Z1832" i="25"/>
  <c r="AA1832" i="25"/>
  <c r="V1840" i="25"/>
  <c r="W1840" i="25"/>
  <c r="X1840" i="25"/>
  <c r="Y1840" i="25"/>
  <c r="Z1840" i="25"/>
  <c r="AA1840" i="25"/>
  <c r="V1848" i="25"/>
  <c r="W1848" i="25"/>
  <c r="X1848" i="25"/>
  <c r="Y1848" i="25"/>
  <c r="Z1848" i="25"/>
  <c r="AA1848" i="25"/>
  <c r="V1856" i="25"/>
  <c r="W1856" i="25"/>
  <c r="X1856" i="25"/>
  <c r="Y1856" i="25"/>
  <c r="Z1856" i="25"/>
  <c r="AA1856" i="25"/>
  <c r="V1864" i="25"/>
  <c r="W1864" i="25"/>
  <c r="X1864" i="25"/>
  <c r="Y1864" i="25"/>
  <c r="Z1864" i="25"/>
  <c r="AA1864" i="25"/>
  <c r="V1872" i="25"/>
  <c r="W1872" i="25"/>
  <c r="X1872" i="25"/>
  <c r="Y1872" i="25"/>
  <c r="Z1872" i="25"/>
  <c r="AA1872" i="25"/>
  <c r="V1880" i="25"/>
  <c r="W1880" i="25"/>
  <c r="X1880" i="25"/>
  <c r="Y1880" i="25"/>
  <c r="Z1880" i="25"/>
  <c r="AA1880" i="25"/>
  <c r="V1888" i="25"/>
  <c r="W1888" i="25"/>
  <c r="X1888" i="25"/>
  <c r="Y1888" i="25"/>
  <c r="Z1888" i="25"/>
  <c r="AA1888" i="25"/>
  <c r="V1896" i="25"/>
  <c r="W1896" i="25"/>
  <c r="X1896" i="25"/>
  <c r="Y1896" i="25"/>
  <c r="Z1896" i="25"/>
  <c r="AA1896" i="25"/>
  <c r="V1904" i="25"/>
  <c r="W1904" i="25"/>
  <c r="X1904" i="25"/>
  <c r="Y1904" i="25"/>
  <c r="Z1904" i="25"/>
  <c r="AA1904" i="25"/>
  <c r="V1912" i="25"/>
  <c r="W1912" i="25"/>
  <c r="Y1912" i="25"/>
  <c r="X1912" i="25"/>
  <c r="Z1912" i="25"/>
  <c r="AA1912" i="25"/>
  <c r="V1920" i="25"/>
  <c r="W1920" i="25"/>
  <c r="Y1920" i="25"/>
  <c r="Z1920" i="25"/>
  <c r="AA1920" i="25"/>
  <c r="X1920" i="25"/>
  <c r="V1928" i="25"/>
  <c r="W1928" i="25"/>
  <c r="AA1928" i="25"/>
  <c r="X1928" i="25"/>
  <c r="Y1928" i="25"/>
  <c r="Z1928" i="25"/>
  <c r="V1936" i="25"/>
  <c r="W1936" i="25"/>
  <c r="X1936" i="25"/>
  <c r="Y1936" i="25"/>
  <c r="Z1936" i="25"/>
  <c r="AA1936" i="25"/>
  <c r="V1944" i="25"/>
  <c r="W1944" i="25"/>
  <c r="X1944" i="25"/>
  <c r="Y1944" i="25"/>
  <c r="Z1944" i="25"/>
  <c r="AA1944" i="25"/>
  <c r="V1952" i="25"/>
  <c r="W1952" i="25"/>
  <c r="Y1952" i="25"/>
  <c r="Z1952" i="25"/>
  <c r="AA1952" i="25"/>
  <c r="X1952" i="25"/>
  <c r="V1960" i="25"/>
  <c r="W1960" i="25"/>
  <c r="AA1960" i="25"/>
  <c r="X1960" i="25"/>
  <c r="Y1960" i="25"/>
  <c r="Z1960" i="25"/>
  <c r="V1968" i="25"/>
  <c r="W1968" i="25"/>
  <c r="X1968" i="25"/>
  <c r="Y1968" i="25"/>
  <c r="Z1968" i="25"/>
  <c r="AA1968" i="25"/>
  <c r="V1976" i="25"/>
  <c r="W1976" i="25"/>
  <c r="X1976" i="25"/>
  <c r="Y1976" i="25"/>
  <c r="Z1976" i="25"/>
  <c r="AA1976" i="25"/>
  <c r="V1984" i="25"/>
  <c r="W1984" i="25"/>
  <c r="Y1984" i="25"/>
  <c r="Z1984" i="25"/>
  <c r="AA1984" i="25"/>
  <c r="X1984" i="25"/>
  <c r="V1992" i="25"/>
  <c r="W1992" i="25"/>
  <c r="AA1992" i="25"/>
  <c r="X1992" i="25"/>
  <c r="Y1992" i="25"/>
  <c r="Z1992" i="25"/>
  <c r="V2000" i="25"/>
  <c r="W2000" i="25"/>
  <c r="X2000" i="25"/>
  <c r="Y2000" i="25"/>
  <c r="Z2000" i="25"/>
  <c r="AA2000" i="25"/>
  <c r="V2029" i="25"/>
  <c r="W2029" i="25"/>
  <c r="X2029" i="25"/>
  <c r="Y2029" i="25"/>
  <c r="Z2029" i="25"/>
  <c r="AA2029" i="25"/>
  <c r="V2033" i="25"/>
  <c r="W2033" i="25"/>
  <c r="Y2033" i="25"/>
  <c r="Z2033" i="25"/>
  <c r="AA2033" i="25"/>
  <c r="X2033" i="25"/>
  <c r="V2037" i="25"/>
  <c r="W2037" i="25"/>
  <c r="X2037" i="25"/>
  <c r="Y2037" i="25"/>
  <c r="Z2037" i="25"/>
  <c r="AA2037" i="25"/>
  <c r="V2041" i="25"/>
  <c r="W2041" i="25"/>
  <c r="X2041" i="25"/>
  <c r="Y2041" i="25"/>
  <c r="Z2041" i="25"/>
  <c r="AA2041" i="25"/>
  <c r="V2045" i="25"/>
  <c r="W2045" i="25"/>
  <c r="X2045" i="25"/>
  <c r="Y2045" i="25"/>
  <c r="Z2045" i="25"/>
  <c r="AA2045" i="25"/>
  <c r="V2009" i="25"/>
  <c r="W2009" i="25"/>
  <c r="X2009" i="25"/>
  <c r="Y2009" i="25"/>
  <c r="Z2009" i="25"/>
  <c r="AA2009" i="25"/>
  <c r="V2057" i="25"/>
  <c r="W2057" i="25"/>
  <c r="X2057" i="25"/>
  <c r="Y2057" i="25"/>
  <c r="Z2057" i="25"/>
  <c r="AA2057" i="25"/>
  <c r="V2065" i="25"/>
  <c r="W2065" i="25"/>
  <c r="X2065" i="25"/>
  <c r="Y2065" i="25"/>
  <c r="Z2065" i="25"/>
  <c r="AA2065" i="25"/>
  <c r="V2073" i="25"/>
  <c r="W2073" i="25"/>
  <c r="X2073" i="25"/>
  <c r="Y2073" i="25"/>
  <c r="Z2073" i="25"/>
  <c r="AA2073" i="25"/>
  <c r="V2081" i="25"/>
  <c r="W2081" i="25"/>
  <c r="X2081" i="25"/>
  <c r="Y2081" i="25"/>
  <c r="Z2081" i="25"/>
  <c r="AA2081" i="25"/>
  <c r="V2089" i="25"/>
  <c r="W2089" i="25"/>
  <c r="X2089" i="25"/>
  <c r="Y2089" i="25"/>
  <c r="Z2089" i="25"/>
  <c r="AA2089" i="25"/>
  <c r="V2097" i="25"/>
  <c r="W2097" i="25"/>
  <c r="X2097" i="25"/>
  <c r="Y2097" i="25"/>
  <c r="Z2097" i="25"/>
  <c r="AA2097" i="25"/>
  <c r="V2105" i="25"/>
  <c r="W2105" i="25"/>
  <c r="X2105" i="25"/>
  <c r="Y2105" i="25"/>
  <c r="Z2105" i="25"/>
  <c r="AA2105" i="25"/>
  <c r="V2113" i="25"/>
  <c r="W2113" i="25"/>
  <c r="X2113" i="25"/>
  <c r="Y2113" i="25"/>
  <c r="Z2113" i="25"/>
  <c r="AA2113" i="25"/>
  <c r="V2121" i="25"/>
  <c r="W2121" i="25"/>
  <c r="X2121" i="25"/>
  <c r="Y2121" i="25"/>
  <c r="Z2121" i="25"/>
  <c r="AA2121" i="25"/>
  <c r="V2129" i="25"/>
  <c r="W2129" i="25"/>
  <c r="X2129" i="25"/>
  <c r="Y2129" i="25"/>
  <c r="Z2129" i="25"/>
  <c r="AA2129" i="25"/>
  <c r="V2137" i="25"/>
  <c r="W2137" i="25"/>
  <c r="X2137" i="25"/>
  <c r="Y2137" i="25"/>
  <c r="Z2137" i="25"/>
  <c r="AA2137" i="25"/>
  <c r="V2145" i="25"/>
  <c r="W2145" i="25"/>
  <c r="X2145" i="25"/>
  <c r="Y2145" i="25"/>
  <c r="Z2145" i="25"/>
  <c r="AA2145" i="25"/>
  <c r="V2153" i="25"/>
  <c r="W2153" i="25"/>
  <c r="X2153" i="25"/>
  <c r="Y2153" i="25"/>
  <c r="Z2153" i="25"/>
  <c r="AA2153" i="25"/>
  <c r="V2161" i="25"/>
  <c r="W2161" i="25"/>
  <c r="X2161" i="25"/>
  <c r="Y2161" i="25"/>
  <c r="Z2161" i="25"/>
  <c r="AA2161" i="25"/>
  <c r="V2169" i="25"/>
  <c r="W2169" i="25"/>
  <c r="Y2169" i="25"/>
  <c r="Z2169" i="25"/>
  <c r="AA2169" i="25"/>
  <c r="X2169" i="25"/>
  <c r="V2177" i="25"/>
  <c r="W2177" i="25"/>
  <c r="Y2177" i="25"/>
  <c r="Z2177" i="25"/>
  <c r="AA2177" i="25"/>
  <c r="X2177" i="25"/>
  <c r="V5" i="25"/>
  <c r="W5" i="25"/>
  <c r="X5" i="25"/>
  <c r="Y5" i="25"/>
  <c r="Z5" i="25"/>
  <c r="AA5" i="25"/>
  <c r="V33" i="25"/>
  <c r="W33" i="25"/>
  <c r="X33" i="25"/>
  <c r="Y33" i="25"/>
  <c r="Z33" i="25"/>
  <c r="AA33" i="25"/>
  <c r="V99" i="25"/>
  <c r="W99" i="25"/>
  <c r="Y99" i="25"/>
  <c r="Z99" i="25"/>
  <c r="X99" i="25"/>
  <c r="AA99" i="25"/>
  <c r="V131" i="25"/>
  <c r="W131" i="25"/>
  <c r="Y131" i="25"/>
  <c r="X131" i="25"/>
  <c r="Z131" i="25"/>
  <c r="AA131" i="25"/>
  <c r="V163" i="25"/>
  <c r="Y163" i="25"/>
  <c r="Z163" i="25"/>
  <c r="AA163" i="25"/>
  <c r="X163" i="25"/>
  <c r="W163" i="25"/>
  <c r="V203" i="25"/>
  <c r="Y203" i="25"/>
  <c r="Z203" i="25"/>
  <c r="AA203" i="25"/>
  <c r="W203" i="25"/>
  <c r="X203" i="25"/>
  <c r="V255" i="25"/>
  <c r="Y255" i="25"/>
  <c r="Z255" i="25"/>
  <c r="AA255" i="25"/>
  <c r="X255" i="25"/>
  <c r="W255" i="25"/>
  <c r="V319" i="25"/>
  <c r="W319" i="25"/>
  <c r="X319" i="25"/>
  <c r="Z319" i="25"/>
  <c r="AA319" i="25"/>
  <c r="Y319" i="25"/>
  <c r="V359" i="25"/>
  <c r="X359" i="25"/>
  <c r="W359" i="25"/>
  <c r="Y359" i="25"/>
  <c r="Z359" i="25"/>
  <c r="AA359" i="25"/>
  <c r="V408" i="25"/>
  <c r="X408" i="25"/>
  <c r="AA408" i="25"/>
  <c r="W408" i="25"/>
  <c r="Y408" i="25"/>
  <c r="Z408" i="25"/>
  <c r="V444" i="25"/>
  <c r="X444" i="25"/>
  <c r="AA444" i="25"/>
  <c r="W444" i="25"/>
  <c r="Y444" i="25"/>
  <c r="Z444" i="25"/>
  <c r="V484" i="25"/>
  <c r="AA484" i="25"/>
  <c r="X484" i="25"/>
  <c r="Y484" i="25"/>
  <c r="W484" i="25"/>
  <c r="Z484" i="25"/>
  <c r="V557" i="25"/>
  <c r="AA557" i="25"/>
  <c r="Y557" i="25"/>
  <c r="W557" i="25"/>
  <c r="X557" i="25"/>
  <c r="Z557" i="25"/>
  <c r="V621" i="25"/>
  <c r="AA621" i="25"/>
  <c r="Y621" i="25"/>
  <c r="W621" i="25"/>
  <c r="X621" i="25"/>
  <c r="Z621" i="25"/>
  <c r="V677" i="25"/>
  <c r="AA677" i="25"/>
  <c r="W677" i="25"/>
  <c r="X677" i="25"/>
  <c r="Y677" i="25"/>
  <c r="Z677" i="25"/>
  <c r="V725" i="25"/>
  <c r="AA725" i="25"/>
  <c r="W725" i="25"/>
  <c r="X725" i="25"/>
  <c r="Y725" i="25"/>
  <c r="Z725" i="25"/>
  <c r="V741" i="25"/>
  <c r="W741" i="25"/>
  <c r="X741" i="25"/>
  <c r="Z741" i="25"/>
  <c r="AA741" i="25"/>
  <c r="Y741" i="25"/>
  <c r="V966" i="25"/>
  <c r="AA966" i="25"/>
  <c r="Y966" i="25"/>
  <c r="Z966" i="25"/>
  <c r="W966" i="25"/>
  <c r="X966" i="25"/>
  <c r="V1006" i="25"/>
  <c r="AA1006" i="25"/>
  <c r="Z1006" i="25"/>
  <c r="W1006" i="25"/>
  <c r="X1006" i="25"/>
  <c r="Y1006" i="25"/>
  <c r="V1086" i="25"/>
  <c r="X1086" i="25"/>
  <c r="AA1086" i="25"/>
  <c r="W1086" i="25"/>
  <c r="Y1086" i="25"/>
  <c r="Z1086" i="25"/>
  <c r="V1110" i="25"/>
  <c r="X1110" i="25"/>
  <c r="Z1110" i="25"/>
  <c r="AA1110" i="25"/>
  <c r="W1110" i="25"/>
  <c r="Y1110" i="25"/>
  <c r="V1190" i="25"/>
  <c r="X1190" i="25"/>
  <c r="Y1190" i="25"/>
  <c r="Z1190" i="25"/>
  <c r="AA1190" i="25"/>
  <c r="W1190" i="25"/>
  <c r="V1262" i="25"/>
  <c r="Y1262" i="25"/>
  <c r="Z1262" i="25"/>
  <c r="AA1262" i="25"/>
  <c r="W1262" i="25"/>
  <c r="X1262" i="25"/>
  <c r="V1326" i="25"/>
  <c r="Y1326" i="25"/>
  <c r="Z1326" i="25"/>
  <c r="AA1326" i="25"/>
  <c r="W1326" i="25"/>
  <c r="X1326" i="25"/>
  <c r="V1398" i="25"/>
  <c r="Z1398" i="25"/>
  <c r="AA1398" i="25"/>
  <c r="W1398" i="25"/>
  <c r="X1398" i="25"/>
  <c r="Y1398" i="25"/>
  <c r="V1526" i="25"/>
  <c r="Z1526" i="25"/>
  <c r="W1526" i="25"/>
  <c r="X1526" i="25"/>
  <c r="Y1526" i="25"/>
  <c r="AA1526" i="25"/>
  <c r="V1598" i="25"/>
  <c r="Y1598" i="25"/>
  <c r="Z1598" i="25"/>
  <c r="AA1598" i="25"/>
  <c r="W1598" i="25"/>
  <c r="X1598" i="25"/>
  <c r="V1662" i="25"/>
  <c r="Y1662" i="25"/>
  <c r="Z1662" i="25"/>
  <c r="AA1662" i="25"/>
  <c r="W1662" i="25"/>
  <c r="X1662" i="25"/>
  <c r="AB83" i="25"/>
  <c r="AB51" i="25"/>
  <c r="AB15" i="25"/>
  <c r="AB7" i="25"/>
  <c r="V23" i="25"/>
  <c r="W23" i="25"/>
  <c r="X23" i="25"/>
  <c r="Y23" i="25"/>
  <c r="AA23" i="25"/>
  <c r="Z23" i="25"/>
  <c r="V101" i="25"/>
  <c r="W101" i="25"/>
  <c r="X101" i="25"/>
  <c r="AA101" i="25"/>
  <c r="Z101" i="25"/>
  <c r="Y101" i="25"/>
  <c r="V141" i="25"/>
  <c r="W141" i="25"/>
  <c r="X141" i="25"/>
  <c r="Y141" i="25"/>
  <c r="Z141" i="25"/>
  <c r="AA141" i="25"/>
  <c r="V221" i="25"/>
  <c r="W221" i="25"/>
  <c r="X221" i="25"/>
  <c r="Y221" i="25"/>
  <c r="Z221" i="25"/>
  <c r="AA221" i="25"/>
  <c r="V297" i="25"/>
  <c r="AA297" i="25"/>
  <c r="X297" i="25"/>
  <c r="Y297" i="25"/>
  <c r="Z297" i="25"/>
  <c r="W297" i="25"/>
  <c r="V353" i="25"/>
  <c r="W353" i="25"/>
  <c r="X353" i="25"/>
  <c r="Y353" i="25"/>
  <c r="Z353" i="25"/>
  <c r="AA353" i="25"/>
  <c r="V393" i="25"/>
  <c r="W393" i="25"/>
  <c r="X393" i="25"/>
  <c r="Y393" i="25"/>
  <c r="Z393" i="25"/>
  <c r="AA393" i="25"/>
  <c r="V418" i="25"/>
  <c r="W418" i="25"/>
  <c r="X418" i="25"/>
  <c r="Z418" i="25"/>
  <c r="Y418" i="25"/>
  <c r="AA418" i="25"/>
  <c r="V437" i="25"/>
  <c r="Y437" i="25"/>
  <c r="Z437" i="25"/>
  <c r="AA437" i="25"/>
  <c r="W437" i="25"/>
  <c r="X437" i="25"/>
  <c r="V470" i="25"/>
  <c r="Y470" i="25"/>
  <c r="Z470" i="25"/>
  <c r="AA470" i="25"/>
  <c r="W470" i="25"/>
  <c r="X470" i="25"/>
  <c r="V486" i="25"/>
  <c r="Y486" i="25"/>
  <c r="Z486" i="25"/>
  <c r="AA486" i="25"/>
  <c r="W486" i="25"/>
  <c r="X486" i="25"/>
  <c r="V510" i="25"/>
  <c r="Y510" i="25"/>
  <c r="Z510" i="25"/>
  <c r="AA510" i="25"/>
  <c r="W510" i="25"/>
  <c r="X510" i="25"/>
  <c r="V519" i="25"/>
  <c r="Y519" i="25"/>
  <c r="Z519" i="25"/>
  <c r="AA519" i="25"/>
  <c r="W519" i="25"/>
  <c r="X519" i="25"/>
  <c r="V567" i="25"/>
  <c r="Y567" i="25"/>
  <c r="Z567" i="25"/>
  <c r="AA567" i="25"/>
  <c r="W567" i="25"/>
  <c r="X567" i="25"/>
  <c r="V615" i="25"/>
  <c r="Y615" i="25"/>
  <c r="Z615" i="25"/>
  <c r="AA615" i="25"/>
  <c r="W615" i="25"/>
  <c r="X615" i="25"/>
  <c r="V647" i="25"/>
  <c r="Y647" i="25"/>
  <c r="Z647" i="25"/>
  <c r="AA647" i="25"/>
  <c r="X647" i="25"/>
  <c r="W647" i="25"/>
  <c r="V866" i="25"/>
  <c r="Z866" i="25"/>
  <c r="AA866" i="25"/>
  <c r="W866" i="25"/>
  <c r="X866" i="25"/>
  <c r="Y866" i="25"/>
  <c r="V890" i="25"/>
  <c r="Z890" i="25"/>
  <c r="AA890" i="25"/>
  <c r="X890" i="25"/>
  <c r="W890" i="25"/>
  <c r="Y890" i="25"/>
  <c r="V898" i="25"/>
  <c r="Z898" i="25"/>
  <c r="AA898" i="25"/>
  <c r="W898" i="25"/>
  <c r="X898" i="25"/>
  <c r="Y898" i="25"/>
  <c r="V908" i="25"/>
  <c r="Z908" i="25"/>
  <c r="AA908" i="25"/>
  <c r="W908" i="25"/>
  <c r="X908" i="25"/>
  <c r="Y908" i="25"/>
  <c r="V968" i="25"/>
  <c r="Y968" i="25"/>
  <c r="X968" i="25"/>
  <c r="Z968" i="25"/>
  <c r="AA968" i="25"/>
  <c r="W968" i="25"/>
  <c r="V1000" i="25"/>
  <c r="Y1000" i="25"/>
  <c r="W1000" i="25"/>
  <c r="X1000" i="25"/>
  <c r="Z1000" i="25"/>
  <c r="AA1000" i="25"/>
  <c r="V1016" i="25"/>
  <c r="W1016" i="25"/>
  <c r="X1016" i="25"/>
  <c r="Y1016" i="25"/>
  <c r="Z1016" i="25"/>
  <c r="AA1016" i="25"/>
  <c r="V1040" i="25"/>
  <c r="W1040" i="25"/>
  <c r="X1040" i="25"/>
  <c r="Y1040" i="25"/>
  <c r="Z1040" i="25"/>
  <c r="AA1040" i="25"/>
  <c r="V1048" i="25"/>
  <c r="W1048" i="25"/>
  <c r="X1048" i="25"/>
  <c r="Y1048" i="25"/>
  <c r="Z1048" i="25"/>
  <c r="AA1048" i="25"/>
  <c r="V1064" i="25"/>
  <c r="W1064" i="25"/>
  <c r="X1064" i="25"/>
  <c r="Y1064" i="25"/>
  <c r="Z1064" i="25"/>
  <c r="AA1064" i="25"/>
  <c r="V1080" i="25"/>
  <c r="Y1080" i="25"/>
  <c r="Z1080" i="25"/>
  <c r="W1080" i="25"/>
  <c r="X1080" i="25"/>
  <c r="AA1080" i="25"/>
  <c r="V1088" i="25"/>
  <c r="Y1088" i="25"/>
  <c r="Z1088" i="25"/>
  <c r="W1088" i="25"/>
  <c r="X1088" i="25"/>
  <c r="AA1088" i="25"/>
  <c r="V1112" i="25"/>
  <c r="Z1112" i="25"/>
  <c r="AA1112" i="25"/>
  <c r="W1112" i="25"/>
  <c r="X1112" i="25"/>
  <c r="Y1112" i="25"/>
  <c r="V1136" i="25"/>
  <c r="Z1136" i="25"/>
  <c r="X1136" i="25"/>
  <c r="Y1136" i="25"/>
  <c r="AA1136" i="25"/>
  <c r="W1136" i="25"/>
  <c r="V1152" i="25"/>
  <c r="W1152" i="25"/>
  <c r="X1152" i="25"/>
  <c r="Y1152" i="25"/>
  <c r="Z1152" i="25"/>
  <c r="AA1152" i="25"/>
  <c r="V1176" i="25"/>
  <c r="W1176" i="25"/>
  <c r="X1176" i="25"/>
  <c r="Y1176" i="25"/>
  <c r="Z1176" i="25"/>
  <c r="AA1176" i="25"/>
  <c r="V1192" i="25"/>
  <c r="W1192" i="25"/>
  <c r="X1192" i="25"/>
  <c r="Y1192" i="25"/>
  <c r="Z1192" i="25"/>
  <c r="AA1192" i="25"/>
  <c r="V1208" i="25"/>
  <c r="W1208" i="25"/>
  <c r="X1208" i="25"/>
  <c r="Y1208" i="25"/>
  <c r="Z1208" i="25"/>
  <c r="AA1208" i="25"/>
  <c r="V1224" i="25"/>
  <c r="W1224" i="25"/>
  <c r="X1224" i="25"/>
  <c r="Y1224" i="25"/>
  <c r="Z1224" i="25"/>
  <c r="AA1224" i="25"/>
  <c r="V1248" i="25"/>
  <c r="W1248" i="25"/>
  <c r="AA1248" i="25"/>
  <c r="X1248" i="25"/>
  <c r="Y1248" i="25"/>
  <c r="Z1248" i="25"/>
  <c r="V1264" i="25"/>
  <c r="W1264" i="25"/>
  <c r="Z1264" i="25"/>
  <c r="AA1264" i="25"/>
  <c r="X1264" i="25"/>
  <c r="Y1264" i="25"/>
  <c r="V1280" i="25"/>
  <c r="W1280" i="25"/>
  <c r="X1280" i="25"/>
  <c r="Y1280" i="25"/>
  <c r="Z1280" i="25"/>
  <c r="AA1280" i="25"/>
  <c r="V1304" i="25"/>
  <c r="W1304" i="25"/>
  <c r="X1304" i="25"/>
  <c r="Y1304" i="25"/>
  <c r="Z1304" i="25"/>
  <c r="AA1304" i="25"/>
  <c r="V1320" i="25"/>
  <c r="W1320" i="25"/>
  <c r="X1320" i="25"/>
  <c r="Y1320" i="25"/>
  <c r="Z1320" i="25"/>
  <c r="AA1320" i="25"/>
  <c r="V1336" i="25"/>
  <c r="X1336" i="25"/>
  <c r="Y1336" i="25"/>
  <c r="Z1336" i="25"/>
  <c r="AA1336" i="25"/>
  <c r="W1336" i="25"/>
  <c r="V1344" i="25"/>
  <c r="X1344" i="25"/>
  <c r="Y1344" i="25"/>
  <c r="Z1344" i="25"/>
  <c r="AA1344" i="25"/>
  <c r="W1344" i="25"/>
  <c r="V1360" i="25"/>
  <c r="X1360" i="25"/>
  <c r="Y1360" i="25"/>
  <c r="Z1360" i="25"/>
  <c r="AA1360" i="25"/>
  <c r="W1360" i="25"/>
  <c r="V1376" i="25"/>
  <c r="X1376" i="25"/>
  <c r="Y1376" i="25"/>
  <c r="Z1376" i="25"/>
  <c r="AA1376" i="25"/>
  <c r="W1376" i="25"/>
  <c r="V1392" i="25"/>
  <c r="X1392" i="25"/>
  <c r="Y1392" i="25"/>
  <c r="Z1392" i="25"/>
  <c r="AA1392" i="25"/>
  <c r="W1392" i="25"/>
  <c r="V1408" i="25"/>
  <c r="X1408" i="25"/>
  <c r="Y1408" i="25"/>
  <c r="Z1408" i="25"/>
  <c r="AA1408" i="25"/>
  <c r="W1408" i="25"/>
  <c r="V1424" i="25"/>
  <c r="X1424" i="25"/>
  <c r="Y1424" i="25"/>
  <c r="Z1424" i="25"/>
  <c r="AA1424" i="25"/>
  <c r="W1424" i="25"/>
  <c r="V1440" i="25"/>
  <c r="X1440" i="25"/>
  <c r="Y1440" i="25"/>
  <c r="Z1440" i="25"/>
  <c r="AA1440" i="25"/>
  <c r="W1440" i="25"/>
  <c r="V1464" i="25"/>
  <c r="X1464" i="25"/>
  <c r="Y1464" i="25"/>
  <c r="Z1464" i="25"/>
  <c r="AA1464" i="25"/>
  <c r="W1464" i="25"/>
  <c r="V1488" i="25"/>
  <c r="X1488" i="25"/>
  <c r="Y1488" i="25"/>
  <c r="Z1488" i="25"/>
  <c r="AA1488" i="25"/>
  <c r="W1488" i="25"/>
  <c r="V1512" i="25"/>
  <c r="X1512" i="25"/>
  <c r="W1512" i="25"/>
  <c r="Y1512" i="25"/>
  <c r="Z1512" i="25"/>
  <c r="AA1512" i="25"/>
  <c r="V1528" i="25"/>
  <c r="X1528" i="25"/>
  <c r="W1528" i="25"/>
  <c r="Y1528" i="25"/>
  <c r="Z1528" i="25"/>
  <c r="AA1528" i="25"/>
  <c r="V1552" i="25"/>
  <c r="X1552" i="25"/>
  <c r="Z1552" i="25"/>
  <c r="AA1552" i="25"/>
  <c r="W1552" i="25"/>
  <c r="Y1552" i="25"/>
  <c r="V1568" i="25"/>
  <c r="AA1568" i="25"/>
  <c r="W1568" i="25"/>
  <c r="X1568" i="25"/>
  <c r="Y1568" i="25"/>
  <c r="Z1568" i="25"/>
  <c r="V1584" i="25"/>
  <c r="W1584" i="25"/>
  <c r="X1584" i="25"/>
  <c r="Y1584" i="25"/>
  <c r="Z1584" i="25"/>
  <c r="AA1584" i="25"/>
  <c r="V1592" i="25"/>
  <c r="W1592" i="25"/>
  <c r="X1592" i="25"/>
  <c r="Y1592" i="25"/>
  <c r="Z1592" i="25"/>
  <c r="AA1592" i="25"/>
  <c r="V1616" i="25"/>
  <c r="W1616" i="25"/>
  <c r="X1616" i="25"/>
  <c r="Y1616" i="25"/>
  <c r="Z1616" i="25"/>
  <c r="AA1616" i="25"/>
  <c r="V1624" i="25"/>
  <c r="W1624" i="25"/>
  <c r="X1624" i="25"/>
  <c r="Y1624" i="25"/>
  <c r="Z1624" i="25"/>
  <c r="AA1624" i="25"/>
  <c r="V1640" i="25"/>
  <c r="W1640" i="25"/>
  <c r="X1640" i="25"/>
  <c r="Y1640" i="25"/>
  <c r="Z1640" i="25"/>
  <c r="AA1640" i="25"/>
  <c r="V1656" i="25"/>
  <c r="W1656" i="25"/>
  <c r="X1656" i="25"/>
  <c r="Y1656" i="25"/>
  <c r="Z1656" i="25"/>
  <c r="AA1656" i="25"/>
  <c r="V1696" i="25"/>
  <c r="W1696" i="25"/>
  <c r="X1696" i="25"/>
  <c r="Y1696" i="25"/>
  <c r="Z1696" i="25"/>
  <c r="AA1696" i="25"/>
  <c r="V1728" i="25"/>
  <c r="W1728" i="25"/>
  <c r="X1728" i="25"/>
  <c r="Y1728" i="25"/>
  <c r="Z1728" i="25"/>
  <c r="AA1728" i="25"/>
  <c r="AB1007" i="25"/>
  <c r="AB999" i="25"/>
  <c r="AB991" i="25"/>
  <c r="AB983" i="25"/>
  <c r="AB975" i="25"/>
  <c r="AB967" i="25"/>
  <c r="AB959" i="25"/>
  <c r="AB951" i="25"/>
  <c r="AB941" i="25"/>
  <c r="AB935" i="25"/>
  <c r="AB926" i="25"/>
  <c r="AB918" i="25"/>
  <c r="AB906" i="25"/>
  <c r="AB897" i="25"/>
  <c r="AB889" i="25"/>
  <c r="AB881" i="25"/>
  <c r="AB873" i="25"/>
  <c r="AB865" i="25"/>
  <c r="AB856" i="25"/>
  <c r="AB844" i="25"/>
  <c r="AB742" i="25"/>
  <c r="AB734" i="25"/>
  <c r="AB726" i="25"/>
  <c r="AB718" i="25"/>
  <c r="AB710" i="25"/>
  <c r="AB702" i="25"/>
  <c r="AB694" i="25"/>
  <c r="AB686" i="25"/>
  <c r="AB678" i="25"/>
  <c r="AB670" i="25"/>
  <c r="AB662" i="25"/>
  <c r="AB654" i="25"/>
  <c r="AB646" i="25"/>
  <c r="AB638" i="25"/>
  <c r="AB630" i="25"/>
  <c r="AB622" i="25"/>
  <c r="AB614" i="25"/>
  <c r="AB606" i="25"/>
  <c r="AB598" i="25"/>
  <c r="AB590" i="25"/>
  <c r="AB582" i="25"/>
  <c r="AB574" i="25"/>
  <c r="AB566" i="25"/>
  <c r="AB558" i="25"/>
  <c r="AB550" i="25"/>
  <c r="AB542" i="25"/>
  <c r="AB534" i="25"/>
  <c r="AB526" i="25"/>
  <c r="AB518" i="25"/>
  <c r="AB509" i="25"/>
  <c r="AB501" i="25"/>
  <c r="AB493" i="25"/>
  <c r="AB485" i="25"/>
  <c r="AB477" i="25"/>
  <c r="AB469" i="25"/>
  <c r="AB461" i="25"/>
  <c r="AB453" i="25"/>
  <c r="AB445" i="25"/>
  <c r="AB436" i="25"/>
  <c r="AB428" i="25"/>
  <c r="AB417" i="25"/>
  <c r="AB409" i="25"/>
  <c r="AB401" i="25"/>
  <c r="AB392" i="25"/>
  <c r="AB384" i="25"/>
  <c r="AB376" i="25"/>
  <c r="AB368" i="25"/>
  <c r="AB360" i="25"/>
  <c r="AB352" i="25"/>
  <c r="AB344" i="25"/>
  <c r="AB336" i="25"/>
  <c r="AB328" i="25"/>
  <c r="AB320" i="25"/>
  <c r="AB312" i="25"/>
  <c r="AB304" i="25"/>
  <c r="AB296" i="25"/>
  <c r="AB288" i="25"/>
  <c r="AB280" i="25"/>
  <c r="AB272" i="25"/>
  <c r="AB264" i="25"/>
  <c r="AB256" i="25"/>
  <c r="AB248" i="25"/>
  <c r="AB240" i="25"/>
  <c r="AB232" i="25"/>
  <c r="AB220" i="25"/>
  <c r="AB212" i="25"/>
  <c r="AB204" i="25"/>
  <c r="AB196" i="25"/>
  <c r="AB188" i="25"/>
  <c r="AB180" i="25"/>
  <c r="AB172" i="25"/>
  <c r="AB164" i="25"/>
  <c r="AB156" i="25"/>
  <c r="AB148" i="25"/>
  <c r="AB140" i="25"/>
  <c r="AB132" i="25"/>
  <c r="AB124" i="25"/>
  <c r="AB116" i="25"/>
  <c r="AB108" i="25"/>
  <c r="AB100" i="25"/>
  <c r="AB82" i="25"/>
  <c r="AB74" i="25"/>
  <c r="AB66" i="25"/>
  <c r="AB58" i="25"/>
  <c r="AB50" i="25"/>
  <c r="AB42" i="25"/>
  <c r="AB34" i="25"/>
  <c r="AB22" i="25"/>
  <c r="AB14" i="25"/>
  <c r="AB6" i="25"/>
  <c r="V8" i="25"/>
  <c r="X8" i="25"/>
  <c r="Y8" i="25"/>
  <c r="Z8" i="25"/>
  <c r="AA8" i="25"/>
  <c r="W8" i="25"/>
  <c r="V16" i="25"/>
  <c r="X16" i="25"/>
  <c r="Y16" i="25"/>
  <c r="Z16" i="25"/>
  <c r="AA16" i="25"/>
  <c r="W16" i="25"/>
  <c r="V24" i="25"/>
  <c r="X24" i="25"/>
  <c r="Y24" i="25"/>
  <c r="Z24" i="25"/>
  <c r="AA24" i="25"/>
  <c r="W24" i="25"/>
  <c r="V36" i="25"/>
  <c r="X36" i="25"/>
  <c r="Y36" i="25"/>
  <c r="Z36" i="25"/>
  <c r="AA36" i="25"/>
  <c r="W36" i="25"/>
  <c r="V44" i="25"/>
  <c r="X44" i="25"/>
  <c r="Z44" i="25"/>
  <c r="AA44" i="25"/>
  <c r="W44" i="25"/>
  <c r="Y44" i="25"/>
  <c r="V52" i="25"/>
  <c r="X52" i="25"/>
  <c r="Z52" i="25"/>
  <c r="AA52" i="25"/>
  <c r="W52" i="25"/>
  <c r="Y52" i="25"/>
  <c r="V60" i="25"/>
  <c r="X60" i="25"/>
  <c r="Z60" i="25"/>
  <c r="AA60" i="25"/>
  <c r="W60" i="25"/>
  <c r="Y60" i="25"/>
  <c r="V68" i="25"/>
  <c r="X68" i="25"/>
  <c r="Z68" i="25"/>
  <c r="AA68" i="25"/>
  <c r="W68" i="25"/>
  <c r="Y68" i="25"/>
  <c r="V76" i="25"/>
  <c r="X76" i="25"/>
  <c r="Z76" i="25"/>
  <c r="AA76" i="25"/>
  <c r="Y76" i="25"/>
  <c r="W76" i="25"/>
  <c r="V84" i="25"/>
  <c r="X84" i="25"/>
  <c r="Z84" i="25"/>
  <c r="AA84" i="25"/>
  <c r="W84" i="25"/>
  <c r="Y84" i="25"/>
  <c r="V102" i="25"/>
  <c r="X102" i="25"/>
  <c r="Z102" i="25"/>
  <c r="AA102" i="25"/>
  <c r="W102" i="25"/>
  <c r="Y102" i="25"/>
  <c r="V110" i="25"/>
  <c r="X110" i="25"/>
  <c r="Z110" i="25"/>
  <c r="W110" i="25"/>
  <c r="Y110" i="25"/>
  <c r="AA110" i="25"/>
  <c r="V118" i="25"/>
  <c r="X118" i="25"/>
  <c r="Z118" i="25"/>
  <c r="W118" i="25"/>
  <c r="Y118" i="25"/>
  <c r="AA118" i="25"/>
  <c r="V126" i="25"/>
  <c r="X126" i="25"/>
  <c r="Z126" i="25"/>
  <c r="Y126" i="25"/>
  <c r="AA126" i="25"/>
  <c r="W126" i="25"/>
  <c r="V134" i="25"/>
  <c r="X134" i="25"/>
  <c r="Z134" i="25"/>
  <c r="W134" i="25"/>
  <c r="Y134" i="25"/>
  <c r="AA134" i="25"/>
  <c r="V142" i="25"/>
  <c r="Z142" i="25"/>
  <c r="AA142" i="25"/>
  <c r="X142" i="25"/>
  <c r="Y142" i="25"/>
  <c r="W142" i="25"/>
  <c r="V150" i="25"/>
  <c r="Z150" i="25"/>
  <c r="AA150" i="25"/>
  <c r="Y150" i="25"/>
  <c r="W150" i="25"/>
  <c r="X150" i="25"/>
  <c r="V158" i="25"/>
  <c r="Z158" i="25"/>
  <c r="AA158" i="25"/>
  <c r="W158" i="25"/>
  <c r="X158" i="25"/>
  <c r="Y158" i="25"/>
  <c r="V166" i="25"/>
  <c r="Z166" i="25"/>
  <c r="AA166" i="25"/>
  <c r="X166" i="25"/>
  <c r="Y166" i="25"/>
  <c r="W166" i="25"/>
  <c r="V174" i="25"/>
  <c r="Z174" i="25"/>
  <c r="AA174" i="25"/>
  <c r="W174" i="25"/>
  <c r="Y174" i="25"/>
  <c r="X174" i="25"/>
  <c r="V182" i="25"/>
  <c r="Z182" i="25"/>
  <c r="AA182" i="25"/>
  <c r="W182" i="25"/>
  <c r="X182" i="25"/>
  <c r="Y182" i="25"/>
  <c r="V190" i="25"/>
  <c r="Z190" i="25"/>
  <c r="AA190" i="25"/>
  <c r="W190" i="25"/>
  <c r="X190" i="25"/>
  <c r="Y190" i="25"/>
  <c r="V198" i="25"/>
  <c r="Z198" i="25"/>
  <c r="AA198" i="25"/>
  <c r="W198" i="25"/>
  <c r="X198" i="25"/>
  <c r="Y198" i="25"/>
  <c r="V206" i="25"/>
  <c r="Z206" i="25"/>
  <c r="AA206" i="25"/>
  <c r="X206" i="25"/>
  <c r="Y206" i="25"/>
  <c r="W206" i="25"/>
  <c r="V214" i="25"/>
  <c r="Z214" i="25"/>
  <c r="AA214" i="25"/>
  <c r="Y214" i="25"/>
  <c r="W214" i="25"/>
  <c r="X214" i="25"/>
  <c r="V226" i="25"/>
  <c r="Z226" i="25"/>
  <c r="AA226" i="25"/>
  <c r="W226" i="25"/>
  <c r="X226" i="25"/>
  <c r="Y226" i="25"/>
  <c r="V234" i="25"/>
  <c r="Z234" i="25"/>
  <c r="AA234" i="25"/>
  <c r="W234" i="25"/>
  <c r="X234" i="25"/>
  <c r="Y234" i="25"/>
  <c r="V242" i="25"/>
  <c r="Z242" i="25"/>
  <c r="AA242" i="25"/>
  <c r="W242" i="25"/>
  <c r="X242" i="25"/>
  <c r="Y242" i="25"/>
  <c r="V250" i="25"/>
  <c r="Z250" i="25"/>
  <c r="AA250" i="25"/>
  <c r="W250" i="25"/>
  <c r="X250" i="25"/>
  <c r="Y250" i="25"/>
  <c r="V258" i="25"/>
  <c r="Z258" i="25"/>
  <c r="AA258" i="25"/>
  <c r="W258" i="25"/>
  <c r="X258" i="25"/>
  <c r="Y258" i="25"/>
  <c r="V266" i="25"/>
  <c r="Z266" i="25"/>
  <c r="AA266" i="25"/>
  <c r="W266" i="25"/>
  <c r="X266" i="25"/>
  <c r="Y266" i="25"/>
  <c r="V274" i="25"/>
  <c r="Z274" i="25"/>
  <c r="AA274" i="25"/>
  <c r="X274" i="25"/>
  <c r="Y274" i="25"/>
  <c r="W274" i="25"/>
  <c r="V282" i="25"/>
  <c r="Z282" i="25"/>
  <c r="AA282" i="25"/>
  <c r="W282" i="25"/>
  <c r="X282" i="25"/>
  <c r="Y282" i="25"/>
  <c r="V290" i="25"/>
  <c r="Z290" i="25"/>
  <c r="X290" i="25"/>
  <c r="Y290" i="25"/>
  <c r="AA290" i="25"/>
  <c r="W290" i="25"/>
  <c r="V298" i="25"/>
  <c r="W298" i="25"/>
  <c r="X298" i="25"/>
  <c r="Y298" i="25"/>
  <c r="Z298" i="25"/>
  <c r="AA298" i="25"/>
  <c r="V306" i="25"/>
  <c r="W306" i="25"/>
  <c r="X306" i="25"/>
  <c r="Y306" i="25"/>
  <c r="AA306" i="25"/>
  <c r="Z306" i="25"/>
  <c r="V314" i="25"/>
  <c r="W314" i="25"/>
  <c r="X314" i="25"/>
  <c r="Y314" i="25"/>
  <c r="Z314" i="25"/>
  <c r="AA314" i="25"/>
  <c r="V322" i="25"/>
  <c r="W322" i="25"/>
  <c r="X322" i="25"/>
  <c r="Y322" i="25"/>
  <c r="AA322" i="25"/>
  <c r="Z322" i="25"/>
  <c r="V330" i="25"/>
  <c r="W330" i="25"/>
  <c r="X330" i="25"/>
  <c r="Y330" i="25"/>
  <c r="Z330" i="25"/>
  <c r="AA330" i="25"/>
  <c r="V338" i="25"/>
  <c r="W338" i="25"/>
  <c r="X338" i="25"/>
  <c r="Y338" i="25"/>
  <c r="AA338" i="25"/>
  <c r="Z338" i="25"/>
  <c r="V346" i="25"/>
  <c r="W346" i="25"/>
  <c r="X346" i="25"/>
  <c r="Y346" i="25"/>
  <c r="Z346" i="25"/>
  <c r="AA346" i="25"/>
  <c r="V354" i="25"/>
  <c r="W354" i="25"/>
  <c r="Y354" i="25"/>
  <c r="Z354" i="25"/>
  <c r="AA354" i="25"/>
  <c r="X354" i="25"/>
  <c r="V362" i="25"/>
  <c r="W362" i="25"/>
  <c r="Y362" i="25"/>
  <c r="X362" i="25"/>
  <c r="Z362" i="25"/>
  <c r="AA362" i="25"/>
  <c r="V370" i="25"/>
  <c r="W370" i="25"/>
  <c r="Y370" i="25"/>
  <c r="X370" i="25"/>
  <c r="Z370" i="25"/>
  <c r="AA370" i="25"/>
  <c r="V378" i="25"/>
  <c r="W378" i="25"/>
  <c r="Y378" i="25"/>
  <c r="X378" i="25"/>
  <c r="Z378" i="25"/>
  <c r="AA378" i="25"/>
  <c r="V386" i="25"/>
  <c r="W386" i="25"/>
  <c r="Y386" i="25"/>
  <c r="Z386" i="25"/>
  <c r="AA386" i="25"/>
  <c r="X386" i="25"/>
  <c r="V394" i="25"/>
  <c r="W394" i="25"/>
  <c r="Y394" i="25"/>
  <c r="X394" i="25"/>
  <c r="Z394" i="25"/>
  <c r="AA394" i="25"/>
  <c r="V403" i="25"/>
  <c r="W403" i="25"/>
  <c r="Y403" i="25"/>
  <c r="X403" i="25"/>
  <c r="AA403" i="25"/>
  <c r="Z403" i="25"/>
  <c r="V411" i="25"/>
  <c r="W411" i="25"/>
  <c r="Y411" i="25"/>
  <c r="X411" i="25"/>
  <c r="Z411" i="25"/>
  <c r="AA411" i="25"/>
  <c r="V419" i="25"/>
  <c r="W419" i="25"/>
  <c r="Y419" i="25"/>
  <c r="Z419" i="25"/>
  <c r="AA419" i="25"/>
  <c r="X419" i="25"/>
  <c r="V430" i="25"/>
  <c r="W430" i="25"/>
  <c r="Y430" i="25"/>
  <c r="X430" i="25"/>
  <c r="Z430" i="25"/>
  <c r="AA430" i="25"/>
  <c r="V438" i="25"/>
  <c r="W438" i="25"/>
  <c r="Y438" i="25"/>
  <c r="X438" i="25"/>
  <c r="AA438" i="25"/>
  <c r="Z438" i="25"/>
  <c r="V447" i="25"/>
  <c r="W447" i="25"/>
  <c r="Y447" i="25"/>
  <c r="X447" i="25"/>
  <c r="Z447" i="25"/>
  <c r="AA447" i="25"/>
  <c r="V2185" i="25"/>
  <c r="W2185" i="25"/>
  <c r="Y2185" i="25"/>
  <c r="Z2185" i="25"/>
  <c r="AA2185" i="25"/>
  <c r="X2185" i="25"/>
  <c r="V2193" i="25"/>
  <c r="W2193" i="25"/>
  <c r="Y2193" i="25"/>
  <c r="Z2193" i="25"/>
  <c r="AA2193" i="25"/>
  <c r="X2193" i="25"/>
  <c r="V2201" i="25"/>
  <c r="W2201" i="25"/>
  <c r="Y2201" i="25"/>
  <c r="Z2201" i="25"/>
  <c r="AA2201" i="25"/>
  <c r="X2201" i="25"/>
  <c r="V2209" i="25"/>
  <c r="W2209" i="25"/>
  <c r="Y2209" i="25"/>
  <c r="Z2209" i="25"/>
  <c r="AA2209" i="25"/>
  <c r="X2209" i="25"/>
  <c r="V2217" i="25"/>
  <c r="W2217" i="25"/>
  <c r="Y2217" i="25"/>
  <c r="Z2217" i="25"/>
  <c r="AA2217" i="25"/>
  <c r="X2217" i="25"/>
  <c r="V2225" i="25"/>
  <c r="W2225" i="25"/>
  <c r="Y2225" i="25"/>
  <c r="Z2225" i="25"/>
  <c r="AA2225" i="25"/>
  <c r="X2225" i="25"/>
  <c r="V2233" i="25"/>
  <c r="W2233" i="25"/>
  <c r="Y2233" i="25"/>
  <c r="Z2233" i="25"/>
  <c r="AA2233" i="25"/>
  <c r="X2233" i="25"/>
  <c r="V2241" i="25"/>
  <c r="W2241" i="25"/>
  <c r="Y2241" i="25"/>
  <c r="Z2241" i="25"/>
  <c r="AA2241" i="25"/>
  <c r="X2241" i="25"/>
  <c r="V2249" i="25"/>
  <c r="W2249" i="25"/>
  <c r="Y2249" i="25"/>
  <c r="Z2249" i="25"/>
  <c r="AA2249" i="25"/>
  <c r="X2249" i="25"/>
  <c r="V2257" i="25"/>
  <c r="W2257" i="25"/>
  <c r="Y2257" i="25"/>
  <c r="Z2257" i="25"/>
  <c r="AA2257" i="25"/>
  <c r="X2257" i="25"/>
  <c r="V2265" i="25"/>
  <c r="W2265" i="25"/>
  <c r="Y2265" i="25"/>
  <c r="Z2265" i="25"/>
  <c r="AA2265" i="25"/>
  <c r="X2265" i="25"/>
  <c r="V2273" i="25"/>
  <c r="W2273" i="25"/>
  <c r="Y2273" i="25"/>
  <c r="Z2273" i="25"/>
  <c r="AA2273" i="25"/>
  <c r="X2273" i="25"/>
  <c r="V2281" i="25"/>
  <c r="W2281" i="25"/>
  <c r="Y2281" i="25"/>
  <c r="AA2281" i="25"/>
  <c r="X2281" i="25"/>
  <c r="Z2281" i="25"/>
  <c r="V2289" i="25"/>
  <c r="AA2289" i="25"/>
  <c r="Y2289" i="25"/>
  <c r="Z2289" i="25"/>
  <c r="W2289" i="25"/>
  <c r="X2289" i="25"/>
  <c r="V2297" i="25"/>
  <c r="AA2297" i="25"/>
  <c r="W2297" i="25"/>
  <c r="X2297" i="25"/>
  <c r="Y2297" i="25"/>
  <c r="Z2297" i="25"/>
  <c r="V2305" i="25"/>
  <c r="AA2305" i="25"/>
  <c r="W2305" i="25"/>
  <c r="X2305" i="25"/>
  <c r="Y2305" i="25"/>
  <c r="Z2305" i="25"/>
  <c r="V2313" i="25"/>
  <c r="AA2313" i="25"/>
  <c r="W2313" i="25"/>
  <c r="X2313" i="25"/>
  <c r="Y2313" i="25"/>
  <c r="Z2313" i="25"/>
  <c r="V2321" i="25"/>
  <c r="AA2321" i="25"/>
  <c r="Y2321" i="25"/>
  <c r="Z2321" i="25"/>
  <c r="X2321" i="25"/>
  <c r="W2321" i="25"/>
  <c r="V2329" i="25"/>
  <c r="AA2329" i="25"/>
  <c r="W2329" i="25"/>
  <c r="X2329" i="25"/>
  <c r="Z2329" i="25"/>
  <c r="Y2329" i="25"/>
  <c r="V2337" i="25"/>
  <c r="AA2337" i="25"/>
  <c r="W2337" i="25"/>
  <c r="X2337" i="25"/>
  <c r="Y2337" i="25"/>
  <c r="Z2337" i="25"/>
  <c r="V2345" i="25"/>
  <c r="AA2345" i="25"/>
  <c r="W2345" i="25"/>
  <c r="X2345" i="25"/>
  <c r="Y2345" i="25"/>
  <c r="Z2345" i="25"/>
  <c r="V2353" i="25"/>
  <c r="AA2353" i="25"/>
  <c r="Y2353" i="25"/>
  <c r="Z2353" i="25"/>
  <c r="W2353" i="25"/>
  <c r="X2353" i="25"/>
  <c r="V2361" i="25"/>
  <c r="AA2361" i="25"/>
  <c r="W2361" i="25"/>
  <c r="X2361" i="25"/>
  <c r="Y2361" i="25"/>
  <c r="Z2361" i="25"/>
  <c r="V2369" i="25"/>
  <c r="AA2369" i="25"/>
  <c r="W2369" i="25"/>
  <c r="X2369" i="25"/>
  <c r="Y2369" i="25"/>
  <c r="Z2369" i="25"/>
  <c r="V2377" i="25"/>
  <c r="AA2377" i="25"/>
  <c r="W2377" i="25"/>
  <c r="X2377" i="25"/>
  <c r="Y2377" i="25"/>
  <c r="Z2377" i="25"/>
  <c r="V2385" i="25"/>
  <c r="AA2385" i="25"/>
  <c r="Y2385" i="25"/>
  <c r="Z2385" i="25"/>
  <c r="W2385" i="25"/>
  <c r="X2385" i="25"/>
  <c r="V2393" i="25"/>
  <c r="Z2393" i="25"/>
  <c r="AA2393" i="25"/>
  <c r="W2393" i="25"/>
  <c r="X2393" i="25"/>
  <c r="Y2393" i="25"/>
  <c r="V2401" i="25"/>
  <c r="Z2401" i="25"/>
  <c r="AA2401" i="25"/>
  <c r="W2401" i="25"/>
  <c r="X2401" i="25"/>
  <c r="Y2401" i="25"/>
  <c r="V2409" i="25"/>
  <c r="Z2409" i="25"/>
  <c r="AA2409" i="25"/>
  <c r="W2409" i="25"/>
  <c r="Y2409" i="25"/>
  <c r="V2417" i="25"/>
  <c r="Z2417" i="25"/>
  <c r="AA2417" i="25"/>
  <c r="W2417" i="25"/>
  <c r="X2417" i="25"/>
  <c r="Y2417" i="25"/>
  <c r="V2425" i="25"/>
  <c r="Z2425" i="25"/>
  <c r="AA2425" i="25"/>
  <c r="W2425" i="25"/>
  <c r="X2425" i="25"/>
  <c r="Y2425" i="25"/>
  <c r="V2433" i="25"/>
  <c r="Z2433" i="25"/>
  <c r="AA2433" i="25"/>
  <c r="W2433" i="25"/>
  <c r="X2433" i="25"/>
  <c r="Y2433" i="25"/>
  <c r="V2441" i="25"/>
  <c r="Z2441" i="25"/>
  <c r="AA2441" i="25"/>
  <c r="W2441" i="25"/>
  <c r="Y2441" i="25"/>
  <c r="X2441" i="25"/>
  <c r="V2449" i="25"/>
  <c r="Z2449" i="25"/>
  <c r="AA2449" i="25"/>
  <c r="W2449" i="25"/>
  <c r="X2449" i="25"/>
  <c r="Y2449" i="25"/>
  <c r="V2457" i="25"/>
  <c r="Z2457" i="25"/>
  <c r="AA2457" i="25"/>
  <c r="W2457" i="25"/>
  <c r="X2457" i="25"/>
  <c r="Y2457" i="25"/>
  <c r="V2465" i="25"/>
  <c r="Z2465" i="25"/>
  <c r="AA2465" i="25"/>
  <c r="W2465" i="25"/>
  <c r="X2465" i="25"/>
  <c r="Y2465" i="25"/>
  <c r="V2473" i="25"/>
  <c r="Z2473" i="25"/>
  <c r="AA2473" i="25"/>
  <c r="W2473" i="25"/>
  <c r="Y2473" i="25"/>
  <c r="X2473" i="25"/>
  <c r="V2481" i="25"/>
  <c r="Z2481" i="25"/>
  <c r="AA2481" i="25"/>
  <c r="W2481" i="25"/>
  <c r="X2481" i="25"/>
  <c r="Y2481" i="25"/>
  <c r="V2489" i="25"/>
  <c r="Z2489" i="25"/>
  <c r="AA2489" i="25"/>
  <c r="W2489" i="25"/>
  <c r="X2489" i="25"/>
  <c r="Y2489" i="25"/>
  <c r="V2497" i="25"/>
  <c r="Z2497" i="25"/>
  <c r="AA2497" i="25"/>
  <c r="W2497" i="25"/>
  <c r="X2497" i="25"/>
  <c r="Y2497" i="25"/>
  <c r="V2505" i="25"/>
  <c r="Z2505" i="25"/>
  <c r="AA2505" i="25"/>
  <c r="W2505" i="25"/>
  <c r="Y2505" i="25"/>
  <c r="X2505" i="25"/>
  <c r="V2513" i="25"/>
  <c r="Z2513" i="25"/>
  <c r="AA2513" i="25"/>
  <c r="W2513" i="25"/>
  <c r="X2513" i="25"/>
  <c r="Y2513" i="25"/>
  <c r="V2521" i="25"/>
  <c r="Z2521" i="25"/>
  <c r="AA2521" i="25"/>
  <c r="W2521" i="25"/>
  <c r="X2521" i="25"/>
  <c r="Y2521" i="25"/>
  <c r="V2529" i="25"/>
  <c r="Z2529" i="25"/>
  <c r="AA2529" i="25"/>
  <c r="W2529" i="25"/>
  <c r="X2529" i="25"/>
  <c r="Y2529" i="25"/>
  <c r="V2537" i="25"/>
  <c r="Z2537" i="25"/>
  <c r="AA2537" i="25"/>
  <c r="W2537" i="25"/>
  <c r="Y2537" i="25"/>
  <c r="X2537" i="25"/>
  <c r="V2545" i="25"/>
  <c r="Z2545" i="25"/>
  <c r="AA2545" i="25"/>
  <c r="W2545" i="25"/>
  <c r="X2545" i="25"/>
  <c r="Y2545" i="25"/>
  <c r="V2553" i="25"/>
  <c r="Z2553" i="25"/>
  <c r="AA2553" i="25"/>
  <c r="W2553" i="25"/>
  <c r="X2553" i="25"/>
  <c r="Y2553" i="25"/>
  <c r="V2561" i="25"/>
  <c r="Z2561" i="25"/>
  <c r="AA2561" i="25"/>
  <c r="W2561" i="25"/>
  <c r="X2561" i="25"/>
  <c r="Y2561" i="25"/>
  <c r="V2569" i="25"/>
  <c r="Z2569" i="25"/>
  <c r="AA2569" i="25"/>
  <c r="W2569" i="25"/>
  <c r="Y2569" i="25"/>
  <c r="X2569" i="25"/>
  <c r="V2577" i="25"/>
  <c r="Z2577" i="25"/>
  <c r="AA2577" i="25"/>
  <c r="W2577" i="25"/>
  <c r="X2577" i="25"/>
  <c r="Y2577" i="25"/>
  <c r="V2585" i="25"/>
  <c r="Z2585" i="25"/>
  <c r="AA2585" i="25"/>
  <c r="W2585" i="25"/>
  <c r="X2585" i="25"/>
  <c r="Y2585" i="25"/>
  <c r="V2593" i="25"/>
  <c r="Z2593" i="25"/>
  <c r="AA2593" i="25"/>
  <c r="W2593" i="25"/>
  <c r="X2593" i="25"/>
  <c r="Y2593" i="25"/>
  <c r="V2601" i="25"/>
  <c r="Z2601" i="25"/>
  <c r="AA2601" i="25"/>
  <c r="W2601" i="25"/>
  <c r="Y2601" i="25"/>
  <c r="X2601" i="25"/>
  <c r="V2609" i="25"/>
  <c r="Z2609" i="25"/>
  <c r="AA2609" i="25"/>
  <c r="W2609" i="25"/>
  <c r="X2609" i="25"/>
  <c r="Y2609" i="25"/>
  <c r="V2617" i="25"/>
  <c r="Z2617" i="25"/>
  <c r="AA2617" i="25"/>
  <c r="W2617" i="25"/>
  <c r="X2617" i="25"/>
  <c r="Y2617" i="25"/>
  <c r="V2625" i="25"/>
  <c r="Z2625" i="25"/>
  <c r="AA2625" i="25"/>
  <c r="W2625" i="25"/>
  <c r="X2625" i="25"/>
  <c r="Y2625" i="25"/>
  <c r="V2633" i="25"/>
  <c r="Z2633" i="25"/>
  <c r="AA2633" i="25"/>
  <c r="W2633" i="25"/>
  <c r="Y2633" i="25"/>
  <c r="X2633" i="25"/>
  <c r="V2641" i="25"/>
  <c r="Z2641" i="25"/>
  <c r="AA2641" i="25"/>
  <c r="W2641" i="25"/>
  <c r="X2641" i="25"/>
  <c r="Y2641" i="25"/>
  <c r="V2649" i="25"/>
  <c r="Z2649" i="25"/>
  <c r="AA2649" i="25"/>
  <c r="W2649" i="25"/>
  <c r="X2649" i="25"/>
  <c r="Y2649" i="25"/>
  <c r="V2657" i="25"/>
  <c r="Z2657" i="25"/>
  <c r="AA2657" i="25"/>
  <c r="W2657" i="25"/>
  <c r="X2657" i="25"/>
  <c r="V2665" i="25"/>
  <c r="Z2665" i="25"/>
  <c r="AA2665" i="25"/>
  <c r="W2665" i="25"/>
  <c r="Y2665" i="25"/>
  <c r="X2665" i="25"/>
  <c r="V2673" i="25"/>
  <c r="Z2673" i="25"/>
  <c r="AA2673" i="25"/>
  <c r="W2673" i="25"/>
  <c r="X2673" i="25"/>
  <c r="Y2673" i="25"/>
  <c r="V2681" i="25"/>
  <c r="Z2681" i="25"/>
  <c r="AA2681" i="25"/>
  <c r="W2681" i="25"/>
  <c r="X2681" i="25"/>
  <c r="Y2681" i="25"/>
  <c r="V2689" i="25"/>
  <c r="Z2689" i="25"/>
  <c r="AA2689" i="25"/>
  <c r="W2689" i="25"/>
  <c r="X2689" i="25"/>
  <c r="Y2689" i="25"/>
  <c r="V2697" i="25"/>
  <c r="Z2697" i="25"/>
  <c r="AA2697" i="25"/>
  <c r="W2697" i="25"/>
  <c r="X2697" i="25"/>
  <c r="Y2697" i="25"/>
  <c r="V2705" i="25"/>
  <c r="Z2705" i="25"/>
  <c r="AA2705" i="25"/>
  <c r="W2705" i="25"/>
  <c r="X2705" i="25"/>
  <c r="Y2705" i="25"/>
  <c r="V2713" i="25"/>
  <c r="Z2713" i="25"/>
  <c r="AA2713" i="25"/>
  <c r="W2713" i="25"/>
  <c r="X2713" i="25"/>
  <c r="V2721" i="25"/>
  <c r="Z2721" i="25"/>
  <c r="AA2721" i="25"/>
  <c r="W2721" i="25"/>
  <c r="X2721" i="25"/>
  <c r="Y2721" i="25"/>
  <c r="V2729" i="25"/>
  <c r="Z2729" i="25"/>
  <c r="AA2729" i="25"/>
  <c r="W2729" i="25"/>
  <c r="X2729" i="25"/>
  <c r="Y2729" i="25"/>
  <c r="V2737" i="25"/>
  <c r="Z2737" i="25"/>
  <c r="AA2737" i="25"/>
  <c r="W2737" i="25"/>
  <c r="X2737" i="25"/>
  <c r="Y2737" i="25"/>
  <c r="V2746" i="25"/>
  <c r="Z2746" i="25"/>
  <c r="AA2746" i="25"/>
  <c r="W2746" i="25"/>
  <c r="X2746" i="25"/>
  <c r="Y2746" i="25"/>
  <c r="V2755" i="25"/>
  <c r="Z2755" i="25"/>
  <c r="AA2755" i="25"/>
  <c r="W2755" i="25"/>
  <c r="X2755" i="25"/>
  <c r="Y2755" i="25"/>
  <c r="V2765" i="25"/>
  <c r="Z2765" i="25"/>
  <c r="AA2765" i="25"/>
  <c r="W2765" i="25"/>
  <c r="X2765" i="25"/>
  <c r="Y2765" i="25"/>
  <c r="V2773" i="25"/>
  <c r="Z2773" i="25"/>
  <c r="W2773" i="25"/>
  <c r="X2773" i="25"/>
  <c r="Y2773" i="25"/>
  <c r="AA2773" i="25"/>
  <c r="V2781" i="25"/>
  <c r="Z2781" i="25"/>
  <c r="X2781" i="25"/>
  <c r="Y2781" i="25"/>
  <c r="AA2781" i="25"/>
  <c r="W2781" i="25"/>
  <c r="V2789" i="25"/>
  <c r="Z2789" i="25"/>
  <c r="AA2789" i="25"/>
  <c r="W2789" i="25"/>
  <c r="X2789" i="25"/>
  <c r="Y2789" i="25"/>
  <c r="V2797" i="25"/>
  <c r="W2797" i="25"/>
  <c r="X2797" i="25"/>
  <c r="Y2797" i="25"/>
  <c r="Z2797" i="25"/>
  <c r="AA2797" i="25"/>
  <c r="V2805" i="25"/>
  <c r="W2805" i="25"/>
  <c r="X2805" i="25"/>
  <c r="Y2805" i="25"/>
  <c r="Z2805" i="25"/>
  <c r="V2813" i="25"/>
  <c r="W2813" i="25"/>
  <c r="X2813" i="25"/>
  <c r="Y2813" i="25"/>
  <c r="Z2813" i="25"/>
  <c r="AA2813" i="25"/>
  <c r="V2821" i="25"/>
  <c r="W2821" i="25"/>
  <c r="X2821" i="25"/>
  <c r="Y2821" i="25"/>
  <c r="Z2821" i="25"/>
  <c r="AA2821" i="25"/>
  <c r="V2829" i="25"/>
  <c r="W2829" i="25"/>
  <c r="X2829" i="25"/>
  <c r="Y2829" i="25"/>
  <c r="Z2829" i="25"/>
  <c r="AA2829" i="25"/>
  <c r="V2837" i="25"/>
  <c r="W2837" i="25"/>
  <c r="X2837" i="25"/>
  <c r="Y2837" i="25"/>
  <c r="Z2837" i="25"/>
  <c r="V2845" i="25"/>
  <c r="W2845" i="25"/>
  <c r="X2845" i="25"/>
  <c r="Y2845" i="25"/>
  <c r="Z2845" i="25"/>
  <c r="AA2845" i="25"/>
  <c r="V2853" i="25"/>
  <c r="W2853" i="25"/>
  <c r="X2853" i="25"/>
  <c r="Y2853" i="25"/>
  <c r="Z2853" i="25"/>
  <c r="AA2853" i="25"/>
  <c r="V2861" i="25"/>
  <c r="W2861" i="25"/>
  <c r="X2861" i="25"/>
  <c r="Y2861" i="25"/>
  <c r="Z2861" i="25"/>
  <c r="AA2861" i="25"/>
  <c r="V2869" i="25"/>
  <c r="W2869" i="25"/>
  <c r="X2869" i="25"/>
  <c r="Y2869" i="25"/>
  <c r="Z2869" i="25"/>
  <c r="V2877" i="25"/>
  <c r="W2877" i="25"/>
  <c r="X2877" i="25"/>
  <c r="Y2877" i="25"/>
  <c r="Z2877" i="25"/>
  <c r="AA2877" i="25"/>
  <c r="V2885" i="25"/>
  <c r="W2885" i="25"/>
  <c r="X2885" i="25"/>
  <c r="Y2885" i="25"/>
  <c r="Z2885" i="25"/>
  <c r="AA2885" i="25"/>
  <c r="V2893" i="25"/>
  <c r="W2893" i="25"/>
  <c r="X2893" i="25"/>
  <c r="Y2893" i="25"/>
  <c r="Z2893" i="25"/>
  <c r="AA2893" i="25"/>
  <c r="V2901" i="25"/>
  <c r="W2901" i="25"/>
  <c r="X2901" i="25"/>
  <c r="Y2901" i="25"/>
  <c r="Z2901" i="25"/>
  <c r="V2909" i="25"/>
  <c r="W2909" i="25"/>
  <c r="X2909" i="25"/>
  <c r="Y2909" i="25"/>
  <c r="Z2909" i="25"/>
  <c r="AA2909" i="25"/>
  <c r="V2917" i="25"/>
  <c r="W2917" i="25"/>
  <c r="X2917" i="25"/>
  <c r="Y2917" i="25"/>
  <c r="Z2917" i="25"/>
  <c r="AA2917" i="25"/>
  <c r="V2925" i="25"/>
  <c r="W2925" i="25"/>
  <c r="X2925" i="25"/>
  <c r="Y2925" i="25"/>
  <c r="Z2925" i="25"/>
  <c r="AA2925" i="25"/>
  <c r="V2933" i="25"/>
  <c r="W2933" i="25"/>
  <c r="X2933" i="25"/>
  <c r="Y2933" i="25"/>
  <c r="Z2933" i="25"/>
  <c r="V2941" i="25"/>
  <c r="W2941" i="25"/>
  <c r="X2941" i="25"/>
  <c r="Y2941" i="25"/>
  <c r="Z2941" i="25"/>
  <c r="AA2941" i="25"/>
  <c r="V2949" i="25"/>
  <c r="W2949" i="25"/>
  <c r="X2949" i="25"/>
  <c r="Y2949" i="25"/>
  <c r="Z2949" i="25"/>
  <c r="AA2949" i="25"/>
  <c r="V2957" i="25"/>
  <c r="W2957" i="25"/>
  <c r="X2957" i="25"/>
  <c r="Y2957" i="25"/>
  <c r="Z2957" i="25"/>
  <c r="AA2957" i="25"/>
  <c r="V2974" i="25"/>
  <c r="W2974" i="25"/>
  <c r="X2974" i="25"/>
  <c r="Y2974" i="25"/>
  <c r="Z2974" i="25"/>
  <c r="V2982" i="25"/>
  <c r="W2982" i="25"/>
  <c r="X2982" i="25"/>
  <c r="Y2982" i="25"/>
  <c r="Z2982" i="25"/>
  <c r="AA2982" i="25"/>
  <c r="V2990" i="25"/>
  <c r="Z2990" i="25"/>
  <c r="W2990" i="25"/>
  <c r="X2990" i="25"/>
  <c r="Y2990" i="25"/>
  <c r="V3002" i="25"/>
  <c r="Z3002" i="25"/>
  <c r="W3002" i="25"/>
  <c r="X3002" i="25"/>
  <c r="Y3002" i="25"/>
  <c r="AA3002" i="25"/>
  <c r="V3010" i="25"/>
  <c r="Z3010" i="25"/>
  <c r="W3010" i="25"/>
  <c r="X3010" i="25"/>
  <c r="Y3010" i="25"/>
  <c r="AA3010" i="25"/>
  <c r="V3018" i="25"/>
  <c r="Z3018" i="25"/>
  <c r="Y3018" i="25"/>
  <c r="AA3018" i="25"/>
  <c r="W3018" i="25"/>
  <c r="V3026" i="25"/>
  <c r="Z3026" i="25"/>
  <c r="W3026" i="25"/>
  <c r="X3026" i="25"/>
  <c r="Y3026" i="25"/>
  <c r="V3034" i="25"/>
  <c r="Z3034" i="25"/>
  <c r="W3034" i="25"/>
  <c r="X3034" i="25"/>
  <c r="Y3034" i="25"/>
  <c r="AA3034" i="25"/>
  <c r="V3042" i="25"/>
  <c r="Z3042" i="25"/>
  <c r="W3042" i="25"/>
  <c r="X3042" i="25"/>
  <c r="Y3042" i="25"/>
  <c r="AA3042" i="25"/>
  <c r="V3050" i="25"/>
  <c r="Z3050" i="25"/>
  <c r="Y3050" i="25"/>
  <c r="AA3050" i="25"/>
  <c r="W3050" i="25"/>
  <c r="V3058" i="25"/>
  <c r="Z3058" i="25"/>
  <c r="W3058" i="25"/>
  <c r="X3058" i="25"/>
  <c r="Y3058" i="25"/>
  <c r="V3066" i="25"/>
  <c r="Z3066" i="25"/>
  <c r="W3066" i="25"/>
  <c r="X3066" i="25"/>
  <c r="Y3066" i="25"/>
  <c r="AA3066" i="25"/>
  <c r="V3074" i="25"/>
  <c r="Z3074" i="25"/>
  <c r="X3074" i="25"/>
  <c r="Y3074" i="25"/>
  <c r="AA3074" i="25"/>
  <c r="V3082" i="25"/>
  <c r="Z3082" i="25"/>
  <c r="AA3082" i="25"/>
  <c r="W3082" i="25"/>
  <c r="V3090" i="25"/>
  <c r="Z3090" i="25"/>
  <c r="W3090" i="25"/>
  <c r="X3090" i="25"/>
  <c r="Y3090" i="25"/>
  <c r="V3098" i="25"/>
  <c r="Z3098" i="25"/>
  <c r="W3098" i="25"/>
  <c r="X3098" i="25"/>
  <c r="Y3098" i="25"/>
  <c r="AA3098" i="25"/>
  <c r="V3106" i="25"/>
  <c r="Z3106" i="25"/>
  <c r="X3106" i="25"/>
  <c r="Y3106" i="25"/>
  <c r="AA3106" i="25"/>
  <c r="V3114" i="25"/>
  <c r="Z3114" i="25"/>
  <c r="AA3114" i="25"/>
  <c r="W3114" i="25"/>
  <c r="V3122" i="25"/>
  <c r="Z3122" i="25"/>
  <c r="W3122" i="25"/>
  <c r="X3122" i="25"/>
  <c r="Y3122" i="25"/>
  <c r="V3130" i="25"/>
  <c r="Z3130" i="25"/>
  <c r="W3130" i="25"/>
  <c r="X3130" i="25"/>
  <c r="Y3130" i="25"/>
  <c r="AA3130" i="25"/>
  <c r="V3138" i="25"/>
  <c r="Z3138" i="25"/>
  <c r="X3138" i="25"/>
  <c r="Y3138" i="25"/>
  <c r="AA3138" i="25"/>
  <c r="V3146" i="25"/>
  <c r="Z3146" i="25"/>
  <c r="AA3146" i="25"/>
  <c r="W3146" i="25"/>
  <c r="V3157" i="25"/>
  <c r="Z3157" i="25"/>
  <c r="W3157" i="25"/>
  <c r="X3157" i="25"/>
  <c r="Y3157" i="25"/>
  <c r="V3165" i="25"/>
  <c r="Z3165" i="25"/>
  <c r="W3165" i="25"/>
  <c r="X3165" i="25"/>
  <c r="Y3165" i="25"/>
  <c r="AA3165" i="25"/>
  <c r="V3173" i="25"/>
  <c r="Z3173" i="25"/>
  <c r="X3173" i="25"/>
  <c r="Y3173" i="25"/>
  <c r="AA3173" i="25"/>
  <c r="V3181" i="25"/>
  <c r="Z3181" i="25"/>
  <c r="AA3181" i="25"/>
  <c r="W3181" i="25"/>
  <c r="V3191" i="25"/>
  <c r="X3191" i="25"/>
  <c r="Y3191" i="25"/>
  <c r="Z3191" i="25"/>
  <c r="AA3191" i="25"/>
  <c r="V3210" i="25"/>
  <c r="X3210" i="25"/>
  <c r="Y3210" i="25"/>
  <c r="Z3210" i="25"/>
  <c r="AA3210" i="25"/>
  <c r="V3218" i="25"/>
  <c r="X3218" i="25"/>
  <c r="Y3218" i="25"/>
  <c r="Z3218" i="25"/>
  <c r="AA3218" i="25"/>
  <c r="V3226" i="25"/>
  <c r="X3226" i="25"/>
  <c r="Y3226" i="25"/>
  <c r="Z3226" i="25"/>
  <c r="AA3226" i="25"/>
  <c r="V3235" i="25"/>
  <c r="X3235" i="25"/>
  <c r="Y3235" i="25"/>
  <c r="Z3235" i="25"/>
  <c r="AA3235" i="25"/>
  <c r="V3243" i="25"/>
  <c r="X3243" i="25"/>
  <c r="Y3243" i="25"/>
  <c r="Z3243" i="25"/>
  <c r="AA3243" i="25"/>
  <c r="V3251" i="25"/>
  <c r="X3251" i="25"/>
  <c r="Y3251" i="25"/>
  <c r="Z3251" i="25"/>
  <c r="AA3251" i="25"/>
  <c r="V3259" i="25"/>
  <c r="X3259" i="25"/>
  <c r="Y3259" i="25"/>
  <c r="Z3259" i="25"/>
  <c r="AA3259" i="25"/>
  <c r="V3267" i="25"/>
  <c r="X3267" i="25"/>
  <c r="Y3267" i="25"/>
  <c r="Z3267" i="25"/>
  <c r="AA3267" i="25"/>
  <c r="V3275" i="25"/>
  <c r="X3275" i="25"/>
  <c r="Y3275" i="25"/>
  <c r="Z3275" i="25"/>
  <c r="AA3275" i="25"/>
  <c r="V3283" i="25"/>
  <c r="X3283" i="25"/>
  <c r="Y3283" i="25"/>
  <c r="Z3283" i="25"/>
  <c r="AA3283" i="25"/>
  <c r="V3291" i="25"/>
  <c r="X3291" i="25"/>
  <c r="Y3291" i="25"/>
  <c r="Z3291" i="25"/>
  <c r="AA3291" i="25"/>
  <c r="V3299" i="25"/>
  <c r="X3299" i="25"/>
  <c r="Y3299" i="25"/>
  <c r="Z3299" i="25"/>
  <c r="AA3299" i="25"/>
  <c r="V3307" i="25"/>
  <c r="X3307" i="25"/>
  <c r="Y3307" i="25"/>
  <c r="Z3307" i="25"/>
  <c r="AA3307" i="25"/>
  <c r="V3315" i="25"/>
  <c r="X3315" i="25"/>
  <c r="Y3315" i="25"/>
  <c r="Z3315" i="25"/>
  <c r="AA3315" i="25"/>
  <c r="V3323" i="25"/>
  <c r="X3323" i="25"/>
  <c r="Y3323" i="25"/>
  <c r="Z3323" i="25"/>
  <c r="AA3323" i="25"/>
  <c r="V3331" i="25"/>
  <c r="X3331" i="25"/>
  <c r="Y3331" i="25"/>
  <c r="Z3331" i="25"/>
  <c r="AA3331" i="25"/>
  <c r="V3339" i="25"/>
  <c r="X3339" i="25"/>
  <c r="Y3339" i="25"/>
  <c r="Z3339" i="25"/>
  <c r="AA3339" i="25"/>
  <c r="V3347" i="25"/>
  <c r="X3347" i="25"/>
  <c r="Y3347" i="25"/>
  <c r="Z3347" i="25"/>
  <c r="AA3347" i="25"/>
  <c r="V3355" i="25"/>
  <c r="X3355" i="25"/>
  <c r="Y3355" i="25"/>
  <c r="Z3355" i="25"/>
  <c r="AA3355" i="25"/>
  <c r="V3363" i="25"/>
  <c r="X3363" i="25"/>
  <c r="Y3363" i="25"/>
  <c r="Z3363" i="25"/>
  <c r="AA3363" i="25"/>
  <c r="V3371" i="25"/>
  <c r="X3371" i="25"/>
  <c r="Y3371" i="25"/>
  <c r="Z3371" i="25"/>
  <c r="AA3371" i="25"/>
  <c r="V3379" i="25"/>
  <c r="X3379" i="25"/>
  <c r="Y3379" i="25"/>
  <c r="Z3379" i="25"/>
  <c r="AA3379" i="25"/>
  <c r="V3387" i="25"/>
  <c r="X3387" i="25"/>
  <c r="Y3387" i="25"/>
  <c r="Z3387" i="25"/>
  <c r="AA3387" i="25"/>
  <c r="V3395" i="25"/>
  <c r="X3395" i="25"/>
  <c r="Y3395" i="25"/>
  <c r="Z3395" i="25"/>
  <c r="AA3395" i="25"/>
  <c r="V3403" i="25"/>
  <c r="X3403" i="25"/>
  <c r="Y3403" i="25"/>
  <c r="Z3403" i="25"/>
  <c r="AA3403" i="25"/>
  <c r="V3411" i="25"/>
  <c r="X3411" i="25"/>
  <c r="V3419" i="25"/>
  <c r="X3419" i="25"/>
  <c r="V3427" i="25"/>
  <c r="X3427" i="25"/>
  <c r="V3435" i="25"/>
  <c r="X3435" i="25"/>
  <c r="V3443" i="25"/>
  <c r="X3443" i="25"/>
  <c r="V3451" i="25"/>
  <c r="X3451" i="25"/>
  <c r="V3459" i="25"/>
  <c r="X3459" i="25"/>
  <c r="V3467" i="25"/>
  <c r="X3467" i="25"/>
  <c r="V3475" i="25"/>
  <c r="X3475" i="25"/>
  <c r="V3483" i="25"/>
  <c r="X3483" i="25"/>
  <c r="V3491" i="25"/>
  <c r="X3491" i="25"/>
  <c r="V3499" i="25"/>
  <c r="X3499" i="25"/>
  <c r="V3507" i="25"/>
  <c r="X3507" i="25"/>
  <c r="V3515" i="25"/>
  <c r="X3515" i="25"/>
  <c r="V3523" i="25"/>
  <c r="X3523" i="25"/>
  <c r="AA3664" i="25"/>
  <c r="AA3656" i="25"/>
  <c r="AA3648" i="25"/>
  <c r="AA3640" i="25"/>
  <c r="AA3632" i="25"/>
  <c r="AA3620" i="25"/>
  <c r="AA3611" i="25"/>
  <c r="AA3603" i="25"/>
  <c r="AA3595" i="25"/>
  <c r="AA3587" i="25"/>
  <c r="AA3579" i="25"/>
  <c r="AA3571" i="25"/>
  <c r="AA3563" i="25"/>
  <c r="AA3555" i="25"/>
  <c r="AA3547" i="25"/>
  <c r="AA3539" i="25"/>
  <c r="AA3531" i="25"/>
  <c r="AA3523" i="25"/>
  <c r="Y3515" i="25"/>
  <c r="AA3491" i="25"/>
  <c r="Y3483" i="25"/>
  <c r="AA3459" i="25"/>
  <c r="Y3451" i="25"/>
  <c r="AA3427" i="25"/>
  <c r="Y3419" i="25"/>
  <c r="X3181" i="25"/>
  <c r="AA2990" i="25"/>
  <c r="AA2837" i="25"/>
  <c r="V455" i="25"/>
  <c r="W455" i="25"/>
  <c r="Y455" i="25"/>
  <c r="Z455" i="25"/>
  <c r="AA455" i="25"/>
  <c r="X455" i="25"/>
  <c r="V463" i="25"/>
  <c r="W463" i="25"/>
  <c r="Y463" i="25"/>
  <c r="Z463" i="25"/>
  <c r="X463" i="25"/>
  <c r="AA463" i="25"/>
  <c r="V471" i="25"/>
  <c r="W471" i="25"/>
  <c r="Y471" i="25"/>
  <c r="Z471" i="25"/>
  <c r="X471" i="25"/>
  <c r="AA471" i="25"/>
  <c r="V479" i="25"/>
  <c r="W479" i="25"/>
  <c r="Z479" i="25"/>
  <c r="X479" i="25"/>
  <c r="Y479" i="25"/>
  <c r="AA479" i="25"/>
  <c r="V487" i="25"/>
  <c r="W487" i="25"/>
  <c r="Y487" i="25"/>
  <c r="Z487" i="25"/>
  <c r="X487" i="25"/>
  <c r="AA487" i="25"/>
  <c r="V495" i="25"/>
  <c r="W495" i="25"/>
  <c r="Z495" i="25"/>
  <c r="X495" i="25"/>
  <c r="Y495" i="25"/>
  <c r="AA495" i="25"/>
  <c r="V503" i="25"/>
  <c r="W503" i="25"/>
  <c r="Z503" i="25"/>
  <c r="X503" i="25"/>
  <c r="Y503" i="25"/>
  <c r="AA503" i="25"/>
  <c r="V511" i="25"/>
  <c r="W511" i="25"/>
  <c r="Z511" i="25"/>
  <c r="X511" i="25"/>
  <c r="Y511" i="25"/>
  <c r="AA511" i="25"/>
  <c r="V520" i="25"/>
  <c r="W520" i="25"/>
  <c r="Z520" i="25"/>
  <c r="X520" i="25"/>
  <c r="Y520" i="25"/>
  <c r="AA520" i="25"/>
  <c r="V528" i="25"/>
  <c r="W528" i="25"/>
  <c r="Z528" i="25"/>
  <c r="Y528" i="25"/>
  <c r="AA528" i="25"/>
  <c r="X528" i="25"/>
  <c r="V536" i="25"/>
  <c r="W536" i="25"/>
  <c r="Z536" i="25"/>
  <c r="AA536" i="25"/>
  <c r="X536" i="25"/>
  <c r="Y536" i="25"/>
  <c r="V544" i="25"/>
  <c r="W544" i="25"/>
  <c r="Z544" i="25"/>
  <c r="Y544" i="25"/>
  <c r="AA544" i="25"/>
  <c r="X544" i="25"/>
  <c r="V552" i="25"/>
  <c r="W552" i="25"/>
  <c r="Z552" i="25"/>
  <c r="X552" i="25"/>
  <c r="Y552" i="25"/>
  <c r="AA552" i="25"/>
  <c r="V560" i="25"/>
  <c r="W560" i="25"/>
  <c r="Z560" i="25"/>
  <c r="X560" i="25"/>
  <c r="Y560" i="25"/>
  <c r="AA560" i="25"/>
  <c r="V568" i="25"/>
  <c r="W568" i="25"/>
  <c r="Z568" i="25"/>
  <c r="X568" i="25"/>
  <c r="Y568" i="25"/>
  <c r="AA568" i="25"/>
  <c r="V576" i="25"/>
  <c r="W576" i="25"/>
  <c r="Z576" i="25"/>
  <c r="X576" i="25"/>
  <c r="Y576" i="25"/>
  <c r="AA576" i="25"/>
  <c r="V584" i="25"/>
  <c r="W584" i="25"/>
  <c r="Z584" i="25"/>
  <c r="X584" i="25"/>
  <c r="Y584" i="25"/>
  <c r="AA584" i="25"/>
  <c r="V592" i="25"/>
  <c r="W592" i="25"/>
  <c r="Z592" i="25"/>
  <c r="Y592" i="25"/>
  <c r="AA592" i="25"/>
  <c r="X592" i="25"/>
  <c r="V600" i="25"/>
  <c r="W600" i="25"/>
  <c r="Z600" i="25"/>
  <c r="AA600" i="25"/>
  <c r="Y600" i="25"/>
  <c r="X600" i="25"/>
  <c r="V608" i="25"/>
  <c r="W608" i="25"/>
  <c r="Z608" i="25"/>
  <c r="X608" i="25"/>
  <c r="Y608" i="25"/>
  <c r="AA608" i="25"/>
  <c r="V616" i="25"/>
  <c r="W616" i="25"/>
  <c r="Z616" i="25"/>
  <c r="X616" i="25"/>
  <c r="Y616" i="25"/>
  <c r="AA616" i="25"/>
  <c r="V624" i="25"/>
  <c r="W624" i="25"/>
  <c r="Z624" i="25"/>
  <c r="X624" i="25"/>
  <c r="Y624" i="25"/>
  <c r="AA624" i="25"/>
  <c r="V632" i="25"/>
  <c r="W632" i="25"/>
  <c r="X632" i="25"/>
  <c r="Y632" i="25"/>
  <c r="Z632" i="25"/>
  <c r="AA632" i="25"/>
  <c r="V640" i="25"/>
  <c r="W640" i="25"/>
  <c r="AA640" i="25"/>
  <c r="X640" i="25"/>
  <c r="Y640" i="25"/>
  <c r="Z640" i="25"/>
  <c r="V648" i="25"/>
  <c r="W648" i="25"/>
  <c r="X648" i="25"/>
  <c r="Y648" i="25"/>
  <c r="Z648" i="25"/>
  <c r="AA648" i="25"/>
  <c r="V656" i="25"/>
  <c r="W656" i="25"/>
  <c r="AA656" i="25"/>
  <c r="X656" i="25"/>
  <c r="Y656" i="25"/>
  <c r="Z656" i="25"/>
  <c r="V664" i="25"/>
  <c r="W664" i="25"/>
  <c r="X664" i="25"/>
  <c r="Y664" i="25"/>
  <c r="Z664" i="25"/>
  <c r="AA664" i="25"/>
  <c r="V672" i="25"/>
  <c r="W672" i="25"/>
  <c r="AA672" i="25"/>
  <c r="X672" i="25"/>
  <c r="Y672" i="25"/>
  <c r="Z672" i="25"/>
  <c r="V680" i="25"/>
  <c r="W680" i="25"/>
  <c r="X680" i="25"/>
  <c r="Y680" i="25"/>
  <c r="Z680" i="25"/>
  <c r="AA680" i="25"/>
  <c r="V688" i="25"/>
  <c r="W688" i="25"/>
  <c r="AA688" i="25"/>
  <c r="X688" i="25"/>
  <c r="Y688" i="25"/>
  <c r="Z688" i="25"/>
  <c r="V696" i="25"/>
  <c r="W696" i="25"/>
  <c r="X696" i="25"/>
  <c r="Y696" i="25"/>
  <c r="Z696" i="25"/>
  <c r="AA696" i="25"/>
  <c r="V704" i="25"/>
  <c r="W704" i="25"/>
  <c r="AA704" i="25"/>
  <c r="X704" i="25"/>
  <c r="Y704" i="25"/>
  <c r="Z704" i="25"/>
  <c r="V712" i="25"/>
  <c r="W712" i="25"/>
  <c r="X712" i="25"/>
  <c r="Y712" i="25"/>
  <c r="Z712" i="25"/>
  <c r="AA712" i="25"/>
  <c r="V720" i="25"/>
  <c r="W720" i="25"/>
  <c r="AA720" i="25"/>
  <c r="Y720" i="25"/>
  <c r="Z720" i="25"/>
  <c r="X720" i="25"/>
  <c r="V728" i="25"/>
  <c r="W728" i="25"/>
  <c r="X728" i="25"/>
  <c r="Y728" i="25"/>
  <c r="Z728" i="25"/>
  <c r="AA728" i="25"/>
  <c r="V736" i="25"/>
  <c r="W736" i="25"/>
  <c r="X736" i="25"/>
  <c r="Y736" i="25"/>
  <c r="Z736" i="25"/>
  <c r="AA736" i="25"/>
  <c r="V838" i="25"/>
  <c r="Y838" i="25"/>
  <c r="Z838" i="25"/>
  <c r="AA838" i="25"/>
  <c r="W838" i="25"/>
  <c r="X838" i="25"/>
  <c r="V846" i="25"/>
  <c r="AA846" i="25"/>
  <c r="W846" i="25"/>
  <c r="Z846" i="25"/>
  <c r="X846" i="25"/>
  <c r="Y846" i="25"/>
  <c r="V859" i="25"/>
  <c r="W859" i="25"/>
  <c r="X859" i="25"/>
  <c r="Y859" i="25"/>
  <c r="Z859" i="25"/>
  <c r="AA859" i="25"/>
  <c r="V867" i="25"/>
  <c r="W867" i="25"/>
  <c r="X867" i="25"/>
  <c r="Y867" i="25"/>
  <c r="Z867" i="25"/>
  <c r="AA867" i="25"/>
  <c r="V875" i="25"/>
  <c r="Y875" i="25"/>
  <c r="Z875" i="25"/>
  <c r="AA875" i="25"/>
  <c r="W875" i="25"/>
  <c r="X875" i="25"/>
  <c r="V883" i="25"/>
  <c r="AA883" i="25"/>
  <c r="W883" i="25"/>
  <c r="X883" i="25"/>
  <c r="Y883" i="25"/>
  <c r="Z883" i="25"/>
  <c r="V891" i="25"/>
  <c r="W891" i="25"/>
  <c r="X891" i="25"/>
  <c r="Y891" i="25"/>
  <c r="Z891" i="25"/>
  <c r="AA891" i="25"/>
  <c r="V899" i="25"/>
  <c r="W899" i="25"/>
  <c r="Y899" i="25"/>
  <c r="Z899" i="25"/>
  <c r="AA899" i="25"/>
  <c r="X899" i="25"/>
  <c r="V912" i="25"/>
  <c r="X912" i="25"/>
  <c r="Y912" i="25"/>
  <c r="Z912" i="25"/>
  <c r="AA912" i="25"/>
  <c r="W912" i="25"/>
  <c r="V920" i="25"/>
  <c r="W920" i="25"/>
  <c r="Z920" i="25"/>
  <c r="AA920" i="25"/>
  <c r="X920" i="25"/>
  <c r="Y920" i="25"/>
  <c r="V929" i="25"/>
  <c r="X929" i="25"/>
  <c r="Y929" i="25"/>
  <c r="W929" i="25"/>
  <c r="Z929" i="25"/>
  <c r="AA929" i="25"/>
  <c r="V943" i="25"/>
  <c r="W943" i="25"/>
  <c r="X943" i="25"/>
  <c r="Y943" i="25"/>
  <c r="Z943" i="25"/>
  <c r="AA943" i="25"/>
  <c r="V953" i="25"/>
  <c r="W953" i="25"/>
  <c r="X953" i="25"/>
  <c r="Y953" i="25"/>
  <c r="Z953" i="25"/>
  <c r="AA953" i="25"/>
  <c r="V961" i="25"/>
  <c r="AA961" i="25"/>
  <c r="W961" i="25"/>
  <c r="X961" i="25"/>
  <c r="Y961" i="25"/>
  <c r="Z961" i="25"/>
  <c r="V969" i="25"/>
  <c r="W969" i="25"/>
  <c r="X969" i="25"/>
  <c r="Y969" i="25"/>
  <c r="Z969" i="25"/>
  <c r="AA969" i="25"/>
  <c r="V977" i="25"/>
  <c r="Y977" i="25"/>
  <c r="Z977" i="25"/>
  <c r="AA977" i="25"/>
  <c r="W977" i="25"/>
  <c r="X977" i="25"/>
  <c r="V985" i="25"/>
  <c r="W985" i="25"/>
  <c r="X985" i="25"/>
  <c r="Y985" i="25"/>
  <c r="Z985" i="25"/>
  <c r="AA985" i="25"/>
  <c r="V993" i="25"/>
  <c r="AA993" i="25"/>
  <c r="W993" i="25"/>
  <c r="X993" i="25"/>
  <c r="Y993" i="25"/>
  <c r="Z993" i="25"/>
  <c r="V1001" i="25"/>
  <c r="X1001" i="25"/>
  <c r="Y1001" i="25"/>
  <c r="Z1001" i="25"/>
  <c r="AA1001" i="25"/>
  <c r="W1001" i="25"/>
  <c r="V1009" i="25"/>
  <c r="W1009" i="25"/>
  <c r="X1009" i="25"/>
  <c r="Y1009" i="25"/>
  <c r="Z1009" i="25"/>
  <c r="AA1009" i="25"/>
  <c r="V1017" i="25"/>
  <c r="Y1017" i="25"/>
  <c r="Z1017" i="25"/>
  <c r="AA1017" i="25"/>
  <c r="W1017" i="25"/>
  <c r="X1017" i="25"/>
  <c r="V1033" i="25"/>
  <c r="Y1033" i="25"/>
  <c r="Z1033" i="25"/>
  <c r="AA1033" i="25"/>
  <c r="W1033" i="25"/>
  <c r="X1033" i="25"/>
  <c r="V1041" i="25"/>
  <c r="Y1041" i="25"/>
  <c r="Z1041" i="25"/>
  <c r="AA1041" i="25"/>
  <c r="W1041" i="25"/>
  <c r="X1041" i="25"/>
  <c r="V1049" i="25"/>
  <c r="Y1049" i="25"/>
  <c r="Z1049" i="25"/>
  <c r="AA1049" i="25"/>
  <c r="W1049" i="25"/>
  <c r="X1049" i="25"/>
  <c r="V1057" i="25"/>
  <c r="Y1057" i="25"/>
  <c r="Z1057" i="25"/>
  <c r="AA1057" i="25"/>
  <c r="W1057" i="25"/>
  <c r="X1057" i="25"/>
  <c r="V1065" i="25"/>
  <c r="Y1065" i="25"/>
  <c r="Z1065" i="25"/>
  <c r="AA1065" i="25"/>
  <c r="W1065" i="25"/>
  <c r="X1065" i="25"/>
  <c r="V1073" i="25"/>
  <c r="Y1073" i="25"/>
  <c r="W1073" i="25"/>
  <c r="X1073" i="25"/>
  <c r="Z1073" i="25"/>
  <c r="AA1073" i="25"/>
  <c r="V1081" i="25"/>
  <c r="Y1081" i="25"/>
  <c r="AA1081" i="25"/>
  <c r="W1081" i="25"/>
  <c r="X1081" i="25"/>
  <c r="Z1081" i="25"/>
  <c r="V1089" i="25"/>
  <c r="Y1089" i="25"/>
  <c r="Z1089" i="25"/>
  <c r="AA1089" i="25"/>
  <c r="W1089" i="25"/>
  <c r="X1089" i="25"/>
  <c r="V1097" i="25"/>
  <c r="Y1097" i="25"/>
  <c r="X1097" i="25"/>
  <c r="Z1097" i="25"/>
  <c r="AA1097" i="25"/>
  <c r="W1097" i="25"/>
  <c r="V1105" i="25"/>
  <c r="Y1105" i="25"/>
  <c r="W1105" i="25"/>
  <c r="X1105" i="25"/>
  <c r="Z1105" i="25"/>
  <c r="AA1105" i="25"/>
  <c r="V1113" i="25"/>
  <c r="Y1113" i="25"/>
  <c r="W1113" i="25"/>
  <c r="X1113" i="25"/>
  <c r="Z1113" i="25"/>
  <c r="AA1113" i="25"/>
  <c r="V1121" i="25"/>
  <c r="Y1121" i="25"/>
  <c r="X1121" i="25"/>
  <c r="Z1121" i="25"/>
  <c r="AA1121" i="25"/>
  <c r="W1121" i="25"/>
  <c r="V1129" i="25"/>
  <c r="Y1129" i="25"/>
  <c r="AA1129" i="25"/>
  <c r="W1129" i="25"/>
  <c r="X1129" i="25"/>
  <c r="Z1129" i="25"/>
  <c r="V1137" i="25"/>
  <c r="Y1137" i="25"/>
  <c r="W1137" i="25"/>
  <c r="X1137" i="25"/>
  <c r="Z1137" i="25"/>
  <c r="AA1137" i="25"/>
  <c r="V1145" i="25"/>
  <c r="Y1145" i="25"/>
  <c r="Z1145" i="25"/>
  <c r="AA1145" i="25"/>
  <c r="W1145" i="25"/>
  <c r="X1145" i="25"/>
  <c r="V1153" i="25"/>
  <c r="Y1153" i="25"/>
  <c r="Z1153" i="25"/>
  <c r="AA1153" i="25"/>
  <c r="W1153" i="25"/>
  <c r="X1153" i="25"/>
  <c r="V1161" i="25"/>
  <c r="Y1161" i="25"/>
  <c r="Z1161" i="25"/>
  <c r="AA1161" i="25"/>
  <c r="W1161" i="25"/>
  <c r="X1161" i="25"/>
  <c r="V1169" i="25"/>
  <c r="Y1169" i="25"/>
  <c r="Z1169" i="25"/>
  <c r="AA1169" i="25"/>
  <c r="W1169" i="25"/>
  <c r="X1169" i="25"/>
  <c r="V1177" i="25"/>
  <c r="Y1177" i="25"/>
  <c r="Z1177" i="25"/>
  <c r="AA1177" i="25"/>
  <c r="W1177" i="25"/>
  <c r="X1177" i="25"/>
  <c r="V1185" i="25"/>
  <c r="Y1185" i="25"/>
  <c r="Z1185" i="25"/>
  <c r="AA1185" i="25"/>
  <c r="W1185" i="25"/>
  <c r="X1185" i="25"/>
  <c r="V1193" i="25"/>
  <c r="Y1193" i="25"/>
  <c r="Z1193" i="25"/>
  <c r="AA1193" i="25"/>
  <c r="W1193" i="25"/>
  <c r="X1193" i="25"/>
  <c r="V1201" i="25"/>
  <c r="Y1201" i="25"/>
  <c r="Z1201" i="25"/>
  <c r="AA1201" i="25"/>
  <c r="W1201" i="25"/>
  <c r="X1201" i="25"/>
  <c r="V1209" i="25"/>
  <c r="Y1209" i="25"/>
  <c r="Z1209" i="25"/>
  <c r="W1209" i="25"/>
  <c r="X1209" i="25"/>
  <c r="AA1209" i="25"/>
  <c r="V1217" i="25"/>
  <c r="Y1217" i="25"/>
  <c r="Z1217" i="25"/>
  <c r="W1217" i="25"/>
  <c r="X1217" i="25"/>
  <c r="AA1217" i="25"/>
  <c r="V1225" i="25"/>
  <c r="Y1225" i="25"/>
  <c r="Z1225" i="25"/>
  <c r="W1225" i="25"/>
  <c r="X1225" i="25"/>
  <c r="AA1225" i="25"/>
  <c r="V1233" i="25"/>
  <c r="Y1233" i="25"/>
  <c r="Z1233" i="25"/>
  <c r="W1233" i="25"/>
  <c r="AA1233" i="25"/>
  <c r="X1233" i="25"/>
  <c r="V1241" i="25"/>
  <c r="Y1241" i="25"/>
  <c r="Z1241" i="25"/>
  <c r="W1241" i="25"/>
  <c r="X1241" i="25"/>
  <c r="AA1241" i="25"/>
  <c r="V1249" i="25"/>
  <c r="Y1249" i="25"/>
  <c r="Z1249" i="25"/>
  <c r="W1249" i="25"/>
  <c r="X1249" i="25"/>
  <c r="AA1249" i="25"/>
  <c r="V1257" i="25"/>
  <c r="Z1257" i="25"/>
  <c r="W1257" i="25"/>
  <c r="X1257" i="25"/>
  <c r="Y1257" i="25"/>
  <c r="AA1257" i="25"/>
  <c r="V1265" i="25"/>
  <c r="Z1265" i="25"/>
  <c r="W1265" i="25"/>
  <c r="X1265" i="25"/>
  <c r="Y1265" i="25"/>
  <c r="AA1265" i="25"/>
  <c r="V1273" i="25"/>
  <c r="Z1273" i="25"/>
  <c r="W1273" i="25"/>
  <c r="X1273" i="25"/>
  <c r="Y1273" i="25"/>
  <c r="AA1273" i="25"/>
  <c r="V1281" i="25"/>
  <c r="Z1281" i="25"/>
  <c r="W1281" i="25"/>
  <c r="AA1281" i="25"/>
  <c r="X1281" i="25"/>
  <c r="Y1281" i="25"/>
  <c r="V1289" i="25"/>
  <c r="Z1289" i="25"/>
  <c r="W1289" i="25"/>
  <c r="X1289" i="25"/>
  <c r="Y1289" i="25"/>
  <c r="AA1289" i="25"/>
  <c r="V1297" i="25"/>
  <c r="Z1297" i="25"/>
  <c r="W1297" i="25"/>
  <c r="X1297" i="25"/>
  <c r="Y1297" i="25"/>
  <c r="AA1297" i="25"/>
  <c r="V1305" i="25"/>
  <c r="Z1305" i="25"/>
  <c r="W1305" i="25"/>
  <c r="X1305" i="25"/>
  <c r="Y1305" i="25"/>
  <c r="AA1305" i="25"/>
  <c r="V1313" i="25"/>
  <c r="Z1313" i="25"/>
  <c r="W1313" i="25"/>
  <c r="AA1313" i="25"/>
  <c r="X1313" i="25"/>
  <c r="Y1313" i="25"/>
  <c r="V1321" i="25"/>
  <c r="Z1321" i="25"/>
  <c r="W1321" i="25"/>
  <c r="X1321" i="25"/>
  <c r="Y1321" i="25"/>
  <c r="AA1321" i="25"/>
  <c r="V1329" i="25"/>
  <c r="AA1329" i="25"/>
  <c r="W1329" i="25"/>
  <c r="X1329" i="25"/>
  <c r="Y1329" i="25"/>
  <c r="Z1329" i="25"/>
  <c r="V1337" i="25"/>
  <c r="AA1337" i="25"/>
  <c r="W1337" i="25"/>
  <c r="X1337" i="25"/>
  <c r="Y1337" i="25"/>
  <c r="Z1337" i="25"/>
  <c r="V1345" i="25"/>
  <c r="AA1345" i="25"/>
  <c r="W1345" i="25"/>
  <c r="X1345" i="25"/>
  <c r="Y1345" i="25"/>
  <c r="Z1345" i="25"/>
  <c r="V1353" i="25"/>
  <c r="AA1353" i="25"/>
  <c r="W1353" i="25"/>
  <c r="X1353" i="25"/>
  <c r="Y1353" i="25"/>
  <c r="Z1353" i="25"/>
  <c r="V1361" i="25"/>
  <c r="AA1361" i="25"/>
  <c r="W1361" i="25"/>
  <c r="X1361" i="25"/>
  <c r="Y1361" i="25"/>
  <c r="Z1361" i="25"/>
  <c r="V1369" i="25"/>
  <c r="AA1369" i="25"/>
  <c r="W1369" i="25"/>
  <c r="X1369" i="25"/>
  <c r="Y1369" i="25"/>
  <c r="Z1369" i="25"/>
  <c r="V1377" i="25"/>
  <c r="AA1377" i="25"/>
  <c r="W1377" i="25"/>
  <c r="X1377" i="25"/>
  <c r="Y1377" i="25"/>
  <c r="Z1377" i="25"/>
  <c r="V1385" i="25"/>
  <c r="AA1385" i="25"/>
  <c r="W1385" i="25"/>
  <c r="X1385" i="25"/>
  <c r="Y1385" i="25"/>
  <c r="Z1385" i="25"/>
  <c r="V1393" i="25"/>
  <c r="AA1393" i="25"/>
  <c r="W1393" i="25"/>
  <c r="X1393" i="25"/>
  <c r="Y1393" i="25"/>
  <c r="Z1393" i="25"/>
  <c r="V1401" i="25"/>
  <c r="AA1401" i="25"/>
  <c r="W1401" i="25"/>
  <c r="X1401" i="25"/>
  <c r="Y1401" i="25"/>
  <c r="Z1401" i="25"/>
  <c r="V1409" i="25"/>
  <c r="AA1409" i="25"/>
  <c r="W1409" i="25"/>
  <c r="X1409" i="25"/>
  <c r="Y1409" i="25"/>
  <c r="Z1409" i="25"/>
  <c r="V1417" i="25"/>
  <c r="AA1417" i="25"/>
  <c r="W1417" i="25"/>
  <c r="X1417" i="25"/>
  <c r="Y1417" i="25"/>
  <c r="Z1417" i="25"/>
  <c r="V1425" i="25"/>
  <c r="AA1425" i="25"/>
  <c r="W1425" i="25"/>
  <c r="X1425" i="25"/>
  <c r="Y1425" i="25"/>
  <c r="Z1425" i="25"/>
  <c r="V1433" i="25"/>
  <c r="AA1433" i="25"/>
  <c r="W1433" i="25"/>
  <c r="X1433" i="25"/>
  <c r="Y1433" i="25"/>
  <c r="Z1433" i="25"/>
  <c r="V1441" i="25"/>
  <c r="AA1441" i="25"/>
  <c r="W1441" i="25"/>
  <c r="X1441" i="25"/>
  <c r="Y1441" i="25"/>
  <c r="Z1441" i="25"/>
  <c r="V1449" i="25"/>
  <c r="AA1449" i="25"/>
  <c r="W1449" i="25"/>
  <c r="X1449" i="25"/>
  <c r="Y1449" i="25"/>
  <c r="Z1449" i="25"/>
  <c r="V1457" i="25"/>
  <c r="AA1457" i="25"/>
  <c r="W1457" i="25"/>
  <c r="X1457" i="25"/>
  <c r="Y1457" i="25"/>
  <c r="Z1457" i="25"/>
  <c r="V1465" i="25"/>
  <c r="AA1465" i="25"/>
  <c r="W1465" i="25"/>
  <c r="X1465" i="25"/>
  <c r="Y1465" i="25"/>
  <c r="Z1465" i="25"/>
  <c r="V1473" i="25"/>
  <c r="AA1473" i="25"/>
  <c r="W1473" i="25"/>
  <c r="X1473" i="25"/>
  <c r="Y1473" i="25"/>
  <c r="Z1473" i="25"/>
  <c r="V1481" i="25"/>
  <c r="AA1481" i="25"/>
  <c r="W1481" i="25"/>
  <c r="X1481" i="25"/>
  <c r="Z1481" i="25"/>
  <c r="Y1481" i="25"/>
  <c r="V1489" i="25"/>
  <c r="AA1489" i="25"/>
  <c r="W1489" i="25"/>
  <c r="X1489" i="25"/>
  <c r="Y1489" i="25"/>
  <c r="Z1489" i="25"/>
  <c r="V1497" i="25"/>
  <c r="AA1497" i="25"/>
  <c r="W1497" i="25"/>
  <c r="X1497" i="25"/>
  <c r="Y1497" i="25"/>
  <c r="Z1497" i="25"/>
  <c r="V1505" i="25"/>
  <c r="AA1505" i="25"/>
  <c r="X1505" i="25"/>
  <c r="Z1505" i="25"/>
  <c r="W1505" i="25"/>
  <c r="Y1505" i="25"/>
  <c r="V1513" i="25"/>
  <c r="AA1513" i="25"/>
  <c r="X1513" i="25"/>
  <c r="W1513" i="25"/>
  <c r="Y1513" i="25"/>
  <c r="Z1513" i="25"/>
  <c r="V1521" i="25"/>
  <c r="AA1521" i="25"/>
  <c r="X1521" i="25"/>
  <c r="W1521" i="25"/>
  <c r="Y1521" i="25"/>
  <c r="Z1521" i="25"/>
  <c r="V1529" i="25"/>
  <c r="AA1529" i="25"/>
  <c r="X1529" i="25"/>
  <c r="W1529" i="25"/>
  <c r="Y1529" i="25"/>
  <c r="Z1529" i="25"/>
  <c r="V1537" i="25"/>
  <c r="AA1537" i="25"/>
  <c r="X1537" i="25"/>
  <c r="Z1537" i="25"/>
  <c r="W1537" i="25"/>
  <c r="Y1537" i="25"/>
  <c r="V1545" i="25"/>
  <c r="AA1545" i="25"/>
  <c r="X1545" i="25"/>
  <c r="W1545" i="25"/>
  <c r="Y1545" i="25"/>
  <c r="Z1545" i="25"/>
  <c r="V1553" i="25"/>
  <c r="AA1553" i="25"/>
  <c r="X1553" i="25"/>
  <c r="W1553" i="25"/>
  <c r="Y1553" i="25"/>
  <c r="Z1553" i="25"/>
  <c r="V1561" i="25"/>
  <c r="AA1561" i="25"/>
  <c r="X1561" i="25"/>
  <c r="W1561" i="25"/>
  <c r="Y1561" i="25"/>
  <c r="Z1561" i="25"/>
  <c r="V1569" i="25"/>
  <c r="X1569" i="25"/>
  <c r="W1569" i="25"/>
  <c r="Y1569" i="25"/>
  <c r="Z1569" i="25"/>
  <c r="AA1569" i="25"/>
  <c r="V1577" i="25"/>
  <c r="Y1577" i="25"/>
  <c r="Z1577" i="25"/>
  <c r="AA1577" i="25"/>
  <c r="W1577" i="25"/>
  <c r="X1577" i="25"/>
  <c r="V1585" i="25"/>
  <c r="Y1585" i="25"/>
  <c r="Z1585" i="25"/>
  <c r="AA1585" i="25"/>
  <c r="W1585" i="25"/>
  <c r="X1585" i="25"/>
  <c r="V1593" i="25"/>
  <c r="Z1593" i="25"/>
  <c r="AA1593" i="25"/>
  <c r="W1593" i="25"/>
  <c r="X1593" i="25"/>
  <c r="Y1593" i="25"/>
  <c r="V1601" i="25"/>
  <c r="Z1601" i="25"/>
  <c r="AA1601" i="25"/>
  <c r="W1601" i="25"/>
  <c r="X1601" i="25"/>
  <c r="Y1601" i="25"/>
  <c r="V1609" i="25"/>
  <c r="Z1609" i="25"/>
  <c r="AA1609" i="25"/>
  <c r="W1609" i="25"/>
  <c r="X1609" i="25"/>
  <c r="Y1609" i="25"/>
  <c r="V1617" i="25"/>
  <c r="Z1617" i="25"/>
  <c r="AA1617" i="25"/>
  <c r="W1617" i="25"/>
  <c r="X1617" i="25"/>
  <c r="Y1617" i="25"/>
  <c r="V1625" i="25"/>
  <c r="Z1625" i="25"/>
  <c r="AA1625" i="25"/>
  <c r="W1625" i="25"/>
  <c r="X1625" i="25"/>
  <c r="Y1625" i="25"/>
  <c r="V1633" i="25"/>
  <c r="Z1633" i="25"/>
  <c r="AA1633" i="25"/>
  <c r="W1633" i="25"/>
  <c r="X1633" i="25"/>
  <c r="Y1633" i="25"/>
  <c r="V1641" i="25"/>
  <c r="Z1641" i="25"/>
  <c r="AA1641" i="25"/>
  <c r="W1641" i="25"/>
  <c r="X1641" i="25"/>
  <c r="Y1641" i="25"/>
  <c r="V1649" i="25"/>
  <c r="Z1649" i="25"/>
  <c r="AA1649" i="25"/>
  <c r="W1649" i="25"/>
  <c r="X1649" i="25"/>
  <c r="Y1649" i="25"/>
  <c r="V1657" i="25"/>
  <c r="Z1657" i="25"/>
  <c r="AA1657" i="25"/>
  <c r="W1657" i="25"/>
  <c r="X1657" i="25"/>
  <c r="Y1657" i="25"/>
  <c r="V1665" i="25"/>
  <c r="Z1665" i="25"/>
  <c r="AA1665" i="25"/>
  <c r="W1665" i="25"/>
  <c r="X1665" i="25"/>
  <c r="Y1665" i="25"/>
  <c r="V1673" i="25"/>
  <c r="Z1673" i="25"/>
  <c r="AA1673" i="25"/>
  <c r="W1673" i="25"/>
  <c r="X1673" i="25"/>
  <c r="Y1673" i="25"/>
  <c r="V1681" i="25"/>
  <c r="Z1681" i="25"/>
  <c r="AA1681" i="25"/>
  <c r="W1681" i="25"/>
  <c r="X1681" i="25"/>
  <c r="Y1681" i="25"/>
  <c r="V1689" i="25"/>
  <c r="Z1689" i="25"/>
  <c r="AA1689" i="25"/>
  <c r="W1689" i="25"/>
  <c r="X1689" i="25"/>
  <c r="Y1689" i="25"/>
  <c r="V1697" i="25"/>
  <c r="Z1697" i="25"/>
  <c r="AA1697" i="25"/>
  <c r="W1697" i="25"/>
  <c r="X1697" i="25"/>
  <c r="Y1697" i="25"/>
  <c r="V1705" i="25"/>
  <c r="Z1705" i="25"/>
  <c r="AA1705" i="25"/>
  <c r="W1705" i="25"/>
  <c r="X1705" i="25"/>
  <c r="Y1705" i="25"/>
  <c r="V1713" i="25"/>
  <c r="Z1713" i="25"/>
  <c r="AA1713" i="25"/>
  <c r="W1713" i="25"/>
  <c r="X1713" i="25"/>
  <c r="Y1713" i="25"/>
  <c r="V1721" i="25"/>
  <c r="Z1721" i="25"/>
  <c r="AA1721" i="25"/>
  <c r="W1721" i="25"/>
  <c r="X1721" i="25"/>
  <c r="Y1721" i="25"/>
  <c r="V1729" i="25"/>
  <c r="Z1729" i="25"/>
  <c r="AA1729" i="25"/>
  <c r="W1729" i="25"/>
  <c r="X1729" i="25"/>
  <c r="Y1729" i="25"/>
  <c r="V1737" i="25"/>
  <c r="Z1737" i="25"/>
  <c r="AA1737" i="25"/>
  <c r="W1737" i="25"/>
  <c r="X1737" i="25"/>
  <c r="Y1737" i="25"/>
  <c r="V1745" i="25"/>
  <c r="Z1745" i="25"/>
  <c r="AA1745" i="25"/>
  <c r="W1745" i="25"/>
  <c r="X1745" i="25"/>
  <c r="Y1745" i="25"/>
  <c r="V1753" i="25"/>
  <c r="Z1753" i="25"/>
  <c r="AA1753" i="25"/>
  <c r="W1753" i="25"/>
  <c r="X1753" i="25"/>
  <c r="Y1753" i="25"/>
  <c r="V1761" i="25"/>
  <c r="Z1761" i="25"/>
  <c r="AA1761" i="25"/>
  <c r="W1761" i="25"/>
  <c r="X1761" i="25"/>
  <c r="Y1761" i="25"/>
  <c r="V1769" i="25"/>
  <c r="Z1769" i="25"/>
  <c r="AA1769" i="25"/>
  <c r="W1769" i="25"/>
  <c r="X1769" i="25"/>
  <c r="Y1769" i="25"/>
  <c r="V1777" i="25"/>
  <c r="Z1777" i="25"/>
  <c r="AA1777" i="25"/>
  <c r="W1777" i="25"/>
  <c r="X1777" i="25"/>
  <c r="Y1777" i="25"/>
  <c r="V1785" i="25"/>
  <c r="Z1785" i="25"/>
  <c r="AA1785" i="25"/>
  <c r="W1785" i="25"/>
  <c r="X1785" i="25"/>
  <c r="Y1785" i="25"/>
  <c r="V1793" i="25"/>
  <c r="Z1793" i="25"/>
  <c r="AA1793" i="25"/>
  <c r="W1793" i="25"/>
  <c r="X1793" i="25"/>
  <c r="Y1793" i="25"/>
  <c r="V1801" i="25"/>
  <c r="Z1801" i="25"/>
  <c r="AA1801" i="25"/>
  <c r="W1801" i="25"/>
  <c r="X1801" i="25"/>
  <c r="Y1801" i="25"/>
  <c r="V1809" i="25"/>
  <c r="Z1809" i="25"/>
  <c r="AA1809" i="25"/>
  <c r="W1809" i="25"/>
  <c r="X1809" i="25"/>
  <c r="Y1809" i="25"/>
  <c r="V1817" i="25"/>
  <c r="Z1817" i="25"/>
  <c r="AA1817" i="25"/>
  <c r="W1817" i="25"/>
  <c r="X1817" i="25"/>
  <c r="Y1817" i="25"/>
  <c r="V1825" i="25"/>
  <c r="Z1825" i="25"/>
  <c r="AA1825" i="25"/>
  <c r="W1825" i="25"/>
  <c r="X1825" i="25"/>
  <c r="Y1825" i="25"/>
  <c r="V1833" i="25"/>
  <c r="Z1833" i="25"/>
  <c r="AA1833" i="25"/>
  <c r="W1833" i="25"/>
  <c r="X1833" i="25"/>
  <c r="Y1833" i="25"/>
  <c r="V1841" i="25"/>
  <c r="Z1841" i="25"/>
  <c r="AA1841" i="25"/>
  <c r="W1841" i="25"/>
  <c r="X1841" i="25"/>
  <c r="Y1841" i="25"/>
  <c r="V1849" i="25"/>
  <c r="Z1849" i="25"/>
  <c r="AA1849" i="25"/>
  <c r="W1849" i="25"/>
  <c r="X1849" i="25"/>
  <c r="Y1849" i="25"/>
  <c r="V1857" i="25"/>
  <c r="Z1857" i="25"/>
  <c r="AA1857" i="25"/>
  <c r="W1857" i="25"/>
  <c r="X1857" i="25"/>
  <c r="Y1857" i="25"/>
  <c r="V1865" i="25"/>
  <c r="Z1865" i="25"/>
  <c r="AA1865" i="25"/>
  <c r="W1865" i="25"/>
  <c r="X1865" i="25"/>
  <c r="Y1865" i="25"/>
  <c r="V1873" i="25"/>
  <c r="Z1873" i="25"/>
  <c r="AA1873" i="25"/>
  <c r="W1873" i="25"/>
  <c r="X1873" i="25"/>
  <c r="Y1873" i="25"/>
  <c r="V1881" i="25"/>
  <c r="Z1881" i="25"/>
  <c r="AA1881" i="25"/>
  <c r="W1881" i="25"/>
  <c r="X1881" i="25"/>
  <c r="Y1881" i="25"/>
  <c r="V1889" i="25"/>
  <c r="Z1889" i="25"/>
  <c r="AA1889" i="25"/>
  <c r="W1889" i="25"/>
  <c r="X1889" i="25"/>
  <c r="Y1889" i="25"/>
  <c r="V1897" i="25"/>
  <c r="Z1897" i="25"/>
  <c r="AA1897" i="25"/>
  <c r="W1897" i="25"/>
  <c r="X1897" i="25"/>
  <c r="Y1897" i="25"/>
  <c r="V1905" i="25"/>
  <c r="Z1905" i="25"/>
  <c r="AA1905" i="25"/>
  <c r="W1905" i="25"/>
  <c r="X1905" i="25"/>
  <c r="Y1905" i="25"/>
  <c r="V1913" i="25"/>
  <c r="Z1913" i="25"/>
  <c r="W1913" i="25"/>
  <c r="X1913" i="25"/>
  <c r="Y1913" i="25"/>
  <c r="AA1913" i="25"/>
  <c r="V1921" i="25"/>
  <c r="Z1921" i="25"/>
  <c r="W1921" i="25"/>
  <c r="X1921" i="25"/>
  <c r="Y1921" i="25"/>
  <c r="AA1921" i="25"/>
  <c r="V1929" i="25"/>
  <c r="Z1929" i="25"/>
  <c r="W1929" i="25"/>
  <c r="X1929" i="25"/>
  <c r="Y1929" i="25"/>
  <c r="AA1929" i="25"/>
  <c r="V1937" i="25"/>
  <c r="Z1937" i="25"/>
  <c r="W1937" i="25"/>
  <c r="Y1937" i="25"/>
  <c r="AA1937" i="25"/>
  <c r="X1937" i="25"/>
  <c r="V1945" i="25"/>
  <c r="Z1945" i="25"/>
  <c r="W1945" i="25"/>
  <c r="X1945" i="25"/>
  <c r="Y1945" i="25"/>
  <c r="AA1945" i="25"/>
  <c r="V1953" i="25"/>
  <c r="Z1953" i="25"/>
  <c r="W1953" i="25"/>
  <c r="X1953" i="25"/>
  <c r="Y1953" i="25"/>
  <c r="AA1953" i="25"/>
  <c r="V1961" i="25"/>
  <c r="Z1961" i="25"/>
  <c r="W1961" i="25"/>
  <c r="X1961" i="25"/>
  <c r="Y1961" i="25"/>
  <c r="AA1961" i="25"/>
  <c r="V1969" i="25"/>
  <c r="Z1969" i="25"/>
  <c r="W1969" i="25"/>
  <c r="Y1969" i="25"/>
  <c r="AA1969" i="25"/>
  <c r="X1969" i="25"/>
  <c r="V1977" i="25"/>
  <c r="Z1977" i="25"/>
  <c r="W1977" i="25"/>
  <c r="X1977" i="25"/>
  <c r="Y1977" i="25"/>
  <c r="AA1977" i="25"/>
  <c r="V1985" i="25"/>
  <c r="Z1985" i="25"/>
  <c r="W1985" i="25"/>
  <c r="X1985" i="25"/>
  <c r="Y1985" i="25"/>
  <c r="AA1985" i="25"/>
  <c r="V1993" i="25"/>
  <c r="Z1993" i="25"/>
  <c r="W1993" i="25"/>
  <c r="X1993" i="25"/>
  <c r="Y1993" i="25"/>
  <c r="AA1993" i="25"/>
  <c r="V2001" i="25"/>
  <c r="Z2001" i="25"/>
  <c r="W2001" i="25"/>
  <c r="Y2001" i="25"/>
  <c r="AA2001" i="25"/>
  <c r="X2001" i="25"/>
  <c r="V2011" i="25"/>
  <c r="Z2011" i="25"/>
  <c r="W2011" i="25"/>
  <c r="X2011" i="25"/>
  <c r="Y2011" i="25"/>
  <c r="AA2011" i="25"/>
  <c r="V2015" i="25"/>
  <c r="Z2015" i="25"/>
  <c r="W2015" i="25"/>
  <c r="X2015" i="25"/>
  <c r="Y2015" i="25"/>
  <c r="AA2015" i="25"/>
  <c r="V2019" i="25"/>
  <c r="Z2019" i="25"/>
  <c r="AA2019" i="25"/>
  <c r="W2019" i="25"/>
  <c r="X2019" i="25"/>
  <c r="Y2019" i="25"/>
  <c r="V2023" i="25"/>
  <c r="Z2023" i="25"/>
  <c r="AA2023" i="25"/>
  <c r="W2023" i="25"/>
  <c r="X2023" i="25"/>
  <c r="Y2023" i="25"/>
  <c r="V2027" i="25"/>
  <c r="Z2027" i="25"/>
  <c r="AA2027" i="25"/>
  <c r="W2027" i="25"/>
  <c r="X2027" i="25"/>
  <c r="Y2027" i="25"/>
  <c r="V2050" i="25"/>
  <c r="Z2050" i="25"/>
  <c r="AA2050" i="25"/>
  <c r="W2050" i="25"/>
  <c r="X2050" i="25"/>
  <c r="Y2050" i="25"/>
  <c r="V2058" i="25"/>
  <c r="Z2058" i="25"/>
  <c r="AA2058" i="25"/>
  <c r="W2058" i="25"/>
  <c r="X2058" i="25"/>
  <c r="Y2058" i="25"/>
  <c r="V2066" i="25"/>
  <c r="Z2066" i="25"/>
  <c r="AA2066" i="25"/>
  <c r="W2066" i="25"/>
  <c r="X2066" i="25"/>
  <c r="Y2066" i="25"/>
  <c r="V2074" i="25"/>
  <c r="Z2074" i="25"/>
  <c r="AA2074" i="25"/>
  <c r="W2074" i="25"/>
  <c r="X2074" i="25"/>
  <c r="Y2074" i="25"/>
  <c r="V2082" i="25"/>
  <c r="Z2082" i="25"/>
  <c r="AA2082" i="25"/>
  <c r="W2082" i="25"/>
  <c r="X2082" i="25"/>
  <c r="Y2082" i="25"/>
  <c r="V2090" i="25"/>
  <c r="Z2090" i="25"/>
  <c r="AA2090" i="25"/>
  <c r="W2090" i="25"/>
  <c r="X2090" i="25"/>
  <c r="Y2090" i="25"/>
  <c r="V2098" i="25"/>
  <c r="Z2098" i="25"/>
  <c r="AA2098" i="25"/>
  <c r="W2098" i="25"/>
  <c r="X2098" i="25"/>
  <c r="Y2098" i="25"/>
  <c r="V2106" i="25"/>
  <c r="Z2106" i="25"/>
  <c r="AA2106" i="25"/>
  <c r="W2106" i="25"/>
  <c r="X2106" i="25"/>
  <c r="Y2106" i="25"/>
  <c r="V2114" i="25"/>
  <c r="Z2114" i="25"/>
  <c r="AA2114" i="25"/>
  <c r="W2114" i="25"/>
  <c r="X2114" i="25"/>
  <c r="Y2114" i="25"/>
  <c r="V2122" i="25"/>
  <c r="Z2122" i="25"/>
  <c r="AA2122" i="25"/>
  <c r="W2122" i="25"/>
  <c r="X2122" i="25"/>
  <c r="Y2122" i="25"/>
  <c r="V2130" i="25"/>
  <c r="Z2130" i="25"/>
  <c r="AA2130" i="25"/>
  <c r="W2130" i="25"/>
  <c r="X2130" i="25"/>
  <c r="Y2130" i="25"/>
  <c r="V2138" i="25"/>
  <c r="Z2138" i="25"/>
  <c r="AA2138" i="25"/>
  <c r="W2138" i="25"/>
  <c r="X2138" i="25"/>
  <c r="Y2138" i="25"/>
  <c r="V2146" i="25"/>
  <c r="Z2146" i="25"/>
  <c r="AA2146" i="25"/>
  <c r="W2146" i="25"/>
  <c r="X2146" i="25"/>
  <c r="Y2146" i="25"/>
  <c r="V2154" i="25"/>
  <c r="Z2154" i="25"/>
  <c r="AA2154" i="25"/>
  <c r="W2154" i="25"/>
  <c r="X2154" i="25"/>
  <c r="Y2154" i="25"/>
  <c r="V2162" i="25"/>
  <c r="Z2162" i="25"/>
  <c r="AA2162" i="25"/>
  <c r="W2162" i="25"/>
  <c r="X2162" i="25"/>
  <c r="Y2162" i="25"/>
  <c r="V2170" i="25"/>
  <c r="Z2170" i="25"/>
  <c r="W2170" i="25"/>
  <c r="X2170" i="25"/>
  <c r="Y2170" i="25"/>
  <c r="AA2170" i="25"/>
  <c r="V2178" i="25"/>
  <c r="Z2178" i="25"/>
  <c r="W2178" i="25"/>
  <c r="X2178" i="25"/>
  <c r="Y2178" i="25"/>
  <c r="AA2178" i="25"/>
  <c r="V2186" i="25"/>
  <c r="Z2186" i="25"/>
  <c r="W2186" i="25"/>
  <c r="X2186" i="25"/>
  <c r="AA2186" i="25"/>
  <c r="Y2186" i="25"/>
  <c r="V2194" i="25"/>
  <c r="Z2194" i="25"/>
  <c r="W2194" i="25"/>
  <c r="X2194" i="25"/>
  <c r="Y2194" i="25"/>
  <c r="AA2194" i="25"/>
  <c r="V2202" i="25"/>
  <c r="Z2202" i="25"/>
  <c r="W2202" i="25"/>
  <c r="X2202" i="25"/>
  <c r="Y2202" i="25"/>
  <c r="AA2202" i="25"/>
  <c r="V2210" i="25"/>
  <c r="Z2210" i="25"/>
  <c r="W2210" i="25"/>
  <c r="X2210" i="25"/>
  <c r="Y2210" i="25"/>
  <c r="AA2210" i="25"/>
  <c r="V2218" i="25"/>
  <c r="Z2218" i="25"/>
  <c r="W2218" i="25"/>
  <c r="X2218" i="25"/>
  <c r="AA2218" i="25"/>
  <c r="Y2218" i="25"/>
  <c r="V2226" i="25"/>
  <c r="Z2226" i="25"/>
  <c r="W2226" i="25"/>
  <c r="X2226" i="25"/>
  <c r="Y2226" i="25"/>
  <c r="AA2226" i="25"/>
  <c r="V2234" i="25"/>
  <c r="Z2234" i="25"/>
  <c r="W2234" i="25"/>
  <c r="X2234" i="25"/>
  <c r="Y2234" i="25"/>
  <c r="AA2234" i="25"/>
  <c r="V2242" i="25"/>
  <c r="Z2242" i="25"/>
  <c r="W2242" i="25"/>
  <c r="X2242" i="25"/>
  <c r="Y2242" i="25"/>
  <c r="AA2242" i="25"/>
  <c r="V2250" i="25"/>
  <c r="Z2250" i="25"/>
  <c r="W2250" i="25"/>
  <c r="X2250" i="25"/>
  <c r="AA2250" i="25"/>
  <c r="Y2250" i="25"/>
  <c r="V2258" i="25"/>
  <c r="Z2258" i="25"/>
  <c r="W2258" i="25"/>
  <c r="X2258" i="25"/>
  <c r="Y2258" i="25"/>
  <c r="AA2258" i="25"/>
  <c r="V2266" i="25"/>
  <c r="Z2266" i="25"/>
  <c r="W2266" i="25"/>
  <c r="X2266" i="25"/>
  <c r="Y2266" i="25"/>
  <c r="AA2266" i="25"/>
  <c r="V2274" i="25"/>
  <c r="Z2274" i="25"/>
  <c r="W2274" i="25"/>
  <c r="X2274" i="25"/>
  <c r="Y2274" i="25"/>
  <c r="AA2274" i="25"/>
  <c r="V2282" i="25"/>
  <c r="Z2282" i="25"/>
  <c r="X2282" i="25"/>
  <c r="W2282" i="25"/>
  <c r="Y2282" i="25"/>
  <c r="AA2282" i="25"/>
  <c r="V2290" i="25"/>
  <c r="X2290" i="25"/>
  <c r="W2290" i="25"/>
  <c r="Y2290" i="25"/>
  <c r="Z2290" i="25"/>
  <c r="AA2290" i="25"/>
  <c r="V2298" i="25"/>
  <c r="X2298" i="25"/>
  <c r="W2298" i="25"/>
  <c r="Y2298" i="25"/>
  <c r="Z2298" i="25"/>
  <c r="AA2298" i="25"/>
  <c r="V2306" i="25"/>
  <c r="X2306" i="25"/>
  <c r="Z2306" i="25"/>
  <c r="AA2306" i="25"/>
  <c r="W2306" i="25"/>
  <c r="Y2306" i="25"/>
  <c r="V2314" i="25"/>
  <c r="X2314" i="25"/>
  <c r="W2314" i="25"/>
  <c r="Y2314" i="25"/>
  <c r="Z2314" i="25"/>
  <c r="AA2314" i="25"/>
  <c r="V2322" i="25"/>
  <c r="X2322" i="25"/>
  <c r="W2322" i="25"/>
  <c r="Y2322" i="25"/>
  <c r="Z2322" i="25"/>
  <c r="AA2322" i="25"/>
  <c r="V2330" i="25"/>
  <c r="X2330" i="25"/>
  <c r="W2330" i="25"/>
  <c r="Y2330" i="25"/>
  <c r="Z2330" i="25"/>
  <c r="AA2330" i="25"/>
  <c r="V2338" i="25"/>
  <c r="X2338" i="25"/>
  <c r="Z2338" i="25"/>
  <c r="AA2338" i="25"/>
  <c r="Y2338" i="25"/>
  <c r="W2338" i="25"/>
  <c r="V2346" i="25"/>
  <c r="X2346" i="25"/>
  <c r="W2346" i="25"/>
  <c r="Y2346" i="25"/>
  <c r="AA2346" i="25"/>
  <c r="V2354" i="25"/>
  <c r="X2354" i="25"/>
  <c r="W2354" i="25"/>
  <c r="Y2354" i="25"/>
  <c r="Z2354" i="25"/>
  <c r="AA2354" i="25"/>
  <c r="V2362" i="25"/>
  <c r="X2362" i="25"/>
  <c r="W2362" i="25"/>
  <c r="Y2362" i="25"/>
  <c r="Z2362" i="25"/>
  <c r="AA2362" i="25"/>
  <c r="V2370" i="25"/>
  <c r="X2370" i="25"/>
  <c r="Z2370" i="25"/>
  <c r="AA2370" i="25"/>
  <c r="W2370" i="25"/>
  <c r="Y2370" i="25"/>
  <c r="V2378" i="25"/>
  <c r="X2378" i="25"/>
  <c r="W2378" i="25"/>
  <c r="Y2378" i="25"/>
  <c r="Z2378" i="25"/>
  <c r="AA2378" i="25"/>
  <c r="V2386" i="25"/>
  <c r="X2386" i="25"/>
  <c r="W2386" i="25"/>
  <c r="Y2386" i="25"/>
  <c r="Z2386" i="25"/>
  <c r="AA2386" i="25"/>
  <c r="V2394" i="25"/>
  <c r="W2394" i="25"/>
  <c r="X2394" i="25"/>
  <c r="Y2394" i="25"/>
  <c r="Z2394" i="25"/>
  <c r="AA2394" i="25"/>
  <c r="V2402" i="25"/>
  <c r="W2402" i="25"/>
  <c r="X2402" i="25"/>
  <c r="Y2402" i="25"/>
  <c r="Z2402" i="25"/>
  <c r="AA2402" i="25"/>
  <c r="V2410" i="25"/>
  <c r="W2410" i="25"/>
  <c r="X2410" i="25"/>
  <c r="Y2410" i="25"/>
  <c r="Z2410" i="25"/>
  <c r="AA2410" i="25"/>
  <c r="V2418" i="25"/>
  <c r="W2418" i="25"/>
  <c r="X2418" i="25"/>
  <c r="Y2418" i="25"/>
  <c r="Z2418" i="25"/>
  <c r="AA2418" i="25"/>
  <c r="V2426" i="25"/>
  <c r="W2426" i="25"/>
  <c r="X2426" i="25"/>
  <c r="Y2426" i="25"/>
  <c r="Z2426" i="25"/>
  <c r="AA2426" i="25"/>
  <c r="V2434" i="25"/>
  <c r="W2434" i="25"/>
  <c r="X2434" i="25"/>
  <c r="Y2434" i="25"/>
  <c r="Z2434" i="25"/>
  <c r="AA2434" i="25"/>
  <c r="V2442" i="25"/>
  <c r="W2442" i="25"/>
  <c r="X2442" i="25"/>
  <c r="Y2442" i="25"/>
  <c r="Z2442" i="25"/>
  <c r="AA2442" i="25"/>
  <c r="V2450" i="25"/>
  <c r="W2450" i="25"/>
  <c r="X2450" i="25"/>
  <c r="Y2450" i="25"/>
  <c r="Z2450" i="25"/>
  <c r="AA2450" i="25"/>
  <c r="V2458" i="25"/>
  <c r="W2458" i="25"/>
  <c r="X2458" i="25"/>
  <c r="Y2458" i="25"/>
  <c r="Z2458" i="25"/>
  <c r="AA2458" i="25"/>
  <c r="V2466" i="25"/>
  <c r="W2466" i="25"/>
  <c r="X2466" i="25"/>
  <c r="Y2466" i="25"/>
  <c r="Z2466" i="25"/>
  <c r="AA2466" i="25"/>
  <c r="V2474" i="25"/>
  <c r="W2474" i="25"/>
  <c r="X2474" i="25"/>
  <c r="Y2474" i="25"/>
  <c r="Z2474" i="25"/>
  <c r="AA2474" i="25"/>
  <c r="V2482" i="25"/>
  <c r="W2482" i="25"/>
  <c r="X2482" i="25"/>
  <c r="Y2482" i="25"/>
  <c r="Z2482" i="25"/>
  <c r="AA2482" i="25"/>
  <c r="V2490" i="25"/>
  <c r="W2490" i="25"/>
  <c r="X2490" i="25"/>
  <c r="Y2490" i="25"/>
  <c r="Z2490" i="25"/>
  <c r="AA2490" i="25"/>
  <c r="V2498" i="25"/>
  <c r="W2498" i="25"/>
  <c r="X2498" i="25"/>
  <c r="Y2498" i="25"/>
  <c r="Z2498" i="25"/>
  <c r="AA2498" i="25"/>
  <c r="V2506" i="25"/>
  <c r="W2506" i="25"/>
  <c r="X2506" i="25"/>
  <c r="Y2506" i="25"/>
  <c r="Z2506" i="25"/>
  <c r="AA2506" i="25"/>
  <c r="V2514" i="25"/>
  <c r="W2514" i="25"/>
  <c r="X2514" i="25"/>
  <c r="Y2514" i="25"/>
  <c r="Z2514" i="25"/>
  <c r="AA2514" i="25"/>
  <c r="V2522" i="25"/>
  <c r="W2522" i="25"/>
  <c r="X2522" i="25"/>
  <c r="Y2522" i="25"/>
  <c r="Z2522" i="25"/>
  <c r="AA2522" i="25"/>
  <c r="V2530" i="25"/>
  <c r="W2530" i="25"/>
  <c r="X2530" i="25"/>
  <c r="Y2530" i="25"/>
  <c r="Z2530" i="25"/>
  <c r="AA2530" i="25"/>
  <c r="V2538" i="25"/>
  <c r="W2538" i="25"/>
  <c r="X2538" i="25"/>
  <c r="Y2538" i="25"/>
  <c r="Z2538" i="25"/>
  <c r="AA2538" i="25"/>
  <c r="V2546" i="25"/>
  <c r="W2546" i="25"/>
  <c r="X2546" i="25"/>
  <c r="Y2546" i="25"/>
  <c r="Z2546" i="25"/>
  <c r="AA2546" i="25"/>
  <c r="V2554" i="25"/>
  <c r="W2554" i="25"/>
  <c r="X2554" i="25"/>
  <c r="Y2554" i="25"/>
  <c r="Z2554" i="25"/>
  <c r="AA2554" i="25"/>
  <c r="V2562" i="25"/>
  <c r="W2562" i="25"/>
  <c r="X2562" i="25"/>
  <c r="Y2562" i="25"/>
  <c r="Z2562" i="25"/>
  <c r="V2570" i="25"/>
  <c r="W2570" i="25"/>
  <c r="X2570" i="25"/>
  <c r="Y2570" i="25"/>
  <c r="Z2570" i="25"/>
  <c r="AA2570" i="25"/>
  <c r="V2578" i="25"/>
  <c r="W2578" i="25"/>
  <c r="X2578" i="25"/>
  <c r="Y2578" i="25"/>
  <c r="Z2578" i="25"/>
  <c r="AA2578" i="25"/>
  <c r="V2586" i="25"/>
  <c r="W2586" i="25"/>
  <c r="X2586" i="25"/>
  <c r="Y2586" i="25"/>
  <c r="Z2586" i="25"/>
  <c r="AA2586" i="25"/>
  <c r="V2594" i="25"/>
  <c r="W2594" i="25"/>
  <c r="X2594" i="25"/>
  <c r="Y2594" i="25"/>
  <c r="Z2594" i="25"/>
  <c r="AA2594" i="25"/>
  <c r="V2602" i="25"/>
  <c r="W2602" i="25"/>
  <c r="X2602" i="25"/>
  <c r="Y2602" i="25"/>
  <c r="Z2602" i="25"/>
  <c r="AA2602" i="25"/>
  <c r="V2610" i="25"/>
  <c r="W2610" i="25"/>
  <c r="X2610" i="25"/>
  <c r="Y2610" i="25"/>
  <c r="Z2610" i="25"/>
  <c r="AA2610" i="25"/>
  <c r="V2618" i="25"/>
  <c r="W2618" i="25"/>
  <c r="X2618" i="25"/>
  <c r="Y2618" i="25"/>
  <c r="Z2618" i="25"/>
  <c r="AA2618" i="25"/>
  <c r="V2626" i="25"/>
  <c r="W2626" i="25"/>
  <c r="X2626" i="25"/>
  <c r="Y2626" i="25"/>
  <c r="Z2626" i="25"/>
  <c r="AA2626" i="25"/>
  <c r="V2634" i="25"/>
  <c r="W2634" i="25"/>
  <c r="X2634" i="25"/>
  <c r="Y2634" i="25"/>
  <c r="Z2634" i="25"/>
  <c r="AA2634" i="25"/>
  <c r="V2642" i="25"/>
  <c r="W2642" i="25"/>
  <c r="X2642" i="25"/>
  <c r="Y2642" i="25"/>
  <c r="Z2642" i="25"/>
  <c r="AA2642" i="25"/>
  <c r="V2650" i="25"/>
  <c r="W2650" i="25"/>
  <c r="X2650" i="25"/>
  <c r="Y2650" i="25"/>
  <c r="Z2650" i="25"/>
  <c r="AA2650" i="25"/>
  <c r="V2658" i="25"/>
  <c r="W2658" i="25"/>
  <c r="X2658" i="25"/>
  <c r="Y2658" i="25"/>
  <c r="Z2658" i="25"/>
  <c r="AA2658" i="25"/>
  <c r="V2666" i="25"/>
  <c r="W2666" i="25"/>
  <c r="X2666" i="25"/>
  <c r="Y2666" i="25"/>
  <c r="Z2666" i="25"/>
  <c r="AA2666" i="25"/>
  <c r="V2674" i="25"/>
  <c r="W2674" i="25"/>
  <c r="X2674" i="25"/>
  <c r="Y2674" i="25"/>
  <c r="Z2674" i="25"/>
  <c r="AA2674" i="25"/>
  <c r="V2682" i="25"/>
  <c r="W2682" i="25"/>
  <c r="X2682" i="25"/>
  <c r="Z2682" i="25"/>
  <c r="Y2682" i="25"/>
  <c r="V2690" i="25"/>
  <c r="W2690" i="25"/>
  <c r="X2690" i="25"/>
  <c r="Z2690" i="25"/>
  <c r="Y2690" i="25"/>
  <c r="AA2690" i="25"/>
  <c r="V2698" i="25"/>
  <c r="W2698" i="25"/>
  <c r="X2698" i="25"/>
  <c r="Z2698" i="25"/>
  <c r="Y2698" i="25"/>
  <c r="AA2698" i="25"/>
  <c r="V2706" i="25"/>
  <c r="W2706" i="25"/>
  <c r="X2706" i="25"/>
  <c r="Y2706" i="25"/>
  <c r="Z2706" i="25"/>
  <c r="AA2706" i="25"/>
  <c r="V2714" i="25"/>
  <c r="W2714" i="25"/>
  <c r="X2714" i="25"/>
  <c r="Z2714" i="25"/>
  <c r="AA2714" i="25"/>
  <c r="Y2714" i="25"/>
  <c r="V2722" i="25"/>
  <c r="W2722" i="25"/>
  <c r="X2722" i="25"/>
  <c r="Y2722" i="25"/>
  <c r="Z2722" i="25"/>
  <c r="AA2722" i="25"/>
  <c r="V2730" i="25"/>
  <c r="W2730" i="25"/>
  <c r="X2730" i="25"/>
  <c r="Z2730" i="25"/>
  <c r="AA2730" i="25"/>
  <c r="Y2730" i="25"/>
  <c r="V2738" i="25"/>
  <c r="W2738" i="25"/>
  <c r="X2738" i="25"/>
  <c r="Y2738" i="25"/>
  <c r="Z2738" i="25"/>
  <c r="AA2738" i="25"/>
  <c r="V2747" i="25"/>
  <c r="W2747" i="25"/>
  <c r="X2747" i="25"/>
  <c r="Z2747" i="25"/>
  <c r="AA2747" i="25"/>
  <c r="Y2747" i="25"/>
  <c r="V2756" i="25"/>
  <c r="W2756" i="25"/>
  <c r="X2756" i="25"/>
  <c r="Y2756" i="25"/>
  <c r="Z2756" i="25"/>
  <c r="AA2756" i="25"/>
  <c r="V2766" i="25"/>
  <c r="W2766" i="25"/>
  <c r="Y2766" i="25"/>
  <c r="Z2766" i="25"/>
  <c r="AA2766" i="25"/>
  <c r="X2766" i="25"/>
  <c r="V2774" i="25"/>
  <c r="W2774" i="25"/>
  <c r="AA2774" i="25"/>
  <c r="X2774" i="25"/>
  <c r="Y2774" i="25"/>
  <c r="Z2774" i="25"/>
  <c r="V2782" i="25"/>
  <c r="W2782" i="25"/>
  <c r="X2782" i="25"/>
  <c r="Y2782" i="25"/>
  <c r="Z2782" i="25"/>
  <c r="AA2782" i="25"/>
  <c r="V2790" i="25"/>
  <c r="W2790" i="25"/>
  <c r="X2790" i="25"/>
  <c r="Y2790" i="25"/>
  <c r="Z2790" i="25"/>
  <c r="AA2790" i="25"/>
  <c r="V2798" i="25"/>
  <c r="X2798" i="25"/>
  <c r="Y2798" i="25"/>
  <c r="Z2798" i="25"/>
  <c r="AA2798" i="25"/>
  <c r="W2798" i="25"/>
  <c r="V2806" i="25"/>
  <c r="X2806" i="25"/>
  <c r="Y2806" i="25"/>
  <c r="Z2806" i="25"/>
  <c r="AA2806" i="25"/>
  <c r="W2806" i="25"/>
  <c r="V2814" i="25"/>
  <c r="X2814" i="25"/>
  <c r="Y2814" i="25"/>
  <c r="Z2814" i="25"/>
  <c r="AA2814" i="25"/>
  <c r="W2814" i="25"/>
  <c r="V2822" i="25"/>
  <c r="X2822" i="25"/>
  <c r="Y2822" i="25"/>
  <c r="Z2822" i="25"/>
  <c r="AA2822" i="25"/>
  <c r="W2822" i="25"/>
  <c r="V2830" i="25"/>
  <c r="X2830" i="25"/>
  <c r="Y2830" i="25"/>
  <c r="Z2830" i="25"/>
  <c r="AA2830" i="25"/>
  <c r="W2830" i="25"/>
  <c r="V2838" i="25"/>
  <c r="X2838" i="25"/>
  <c r="Y2838" i="25"/>
  <c r="Z2838" i="25"/>
  <c r="AA2838" i="25"/>
  <c r="W2838" i="25"/>
  <c r="V2846" i="25"/>
  <c r="X2846" i="25"/>
  <c r="Y2846" i="25"/>
  <c r="Z2846" i="25"/>
  <c r="AA2846" i="25"/>
  <c r="W2846" i="25"/>
  <c r="V2854" i="25"/>
  <c r="X2854" i="25"/>
  <c r="Y2854" i="25"/>
  <c r="Z2854" i="25"/>
  <c r="AA2854" i="25"/>
  <c r="W2854" i="25"/>
  <c r="V2862" i="25"/>
  <c r="X2862" i="25"/>
  <c r="Y2862" i="25"/>
  <c r="Z2862" i="25"/>
  <c r="AA2862" i="25"/>
  <c r="W2862" i="25"/>
  <c r="V2870" i="25"/>
  <c r="X2870" i="25"/>
  <c r="Y2870" i="25"/>
  <c r="Z2870" i="25"/>
  <c r="AA2870" i="25"/>
  <c r="W2870" i="25"/>
  <c r="V2878" i="25"/>
  <c r="X2878" i="25"/>
  <c r="Y2878" i="25"/>
  <c r="Z2878" i="25"/>
  <c r="AA2878" i="25"/>
  <c r="W2878" i="25"/>
  <c r="V2886" i="25"/>
  <c r="X2886" i="25"/>
  <c r="Y2886" i="25"/>
  <c r="Z2886" i="25"/>
  <c r="AA2886" i="25"/>
  <c r="W2886" i="25"/>
  <c r="V2894" i="25"/>
  <c r="X2894" i="25"/>
  <c r="Y2894" i="25"/>
  <c r="Z2894" i="25"/>
  <c r="AA2894" i="25"/>
  <c r="W2894" i="25"/>
  <c r="V2902" i="25"/>
  <c r="X2902" i="25"/>
  <c r="Y2902" i="25"/>
  <c r="Z2902" i="25"/>
  <c r="AA2902" i="25"/>
  <c r="W2902" i="25"/>
  <c r="V2910" i="25"/>
  <c r="X2910" i="25"/>
  <c r="Y2910" i="25"/>
  <c r="Z2910" i="25"/>
  <c r="AA2910" i="25"/>
  <c r="W2910" i="25"/>
  <c r="V2918" i="25"/>
  <c r="X2918" i="25"/>
  <c r="Y2918" i="25"/>
  <c r="Z2918" i="25"/>
  <c r="AA2918" i="25"/>
  <c r="W2918" i="25"/>
  <c r="V2926" i="25"/>
  <c r="X2926" i="25"/>
  <c r="Y2926" i="25"/>
  <c r="Z2926" i="25"/>
  <c r="AA2926" i="25"/>
  <c r="W2926" i="25"/>
  <c r="V2934" i="25"/>
  <c r="X2934" i="25"/>
  <c r="Y2934" i="25"/>
  <c r="Z2934" i="25"/>
  <c r="AA2934" i="25"/>
  <c r="W2934" i="25"/>
  <c r="V2942" i="25"/>
  <c r="X2942" i="25"/>
  <c r="Y2942" i="25"/>
  <c r="Z2942" i="25"/>
  <c r="AA2942" i="25"/>
  <c r="W2942" i="25"/>
  <c r="V2950" i="25"/>
  <c r="X2950" i="25"/>
  <c r="Y2950" i="25"/>
  <c r="Z2950" i="25"/>
  <c r="AA2950" i="25"/>
  <c r="W2950" i="25"/>
  <c r="V2964" i="25"/>
  <c r="X2964" i="25"/>
  <c r="Y2964" i="25"/>
  <c r="Z2964" i="25"/>
  <c r="AA2964" i="25"/>
  <c r="W2964" i="25"/>
  <c r="V2975" i="25"/>
  <c r="X2975" i="25"/>
  <c r="Y2975" i="25"/>
  <c r="Z2975" i="25"/>
  <c r="AA2975" i="25"/>
  <c r="W2975" i="25"/>
  <c r="V2983" i="25"/>
  <c r="X2983" i="25"/>
  <c r="Y2983" i="25"/>
  <c r="Z2983" i="25"/>
  <c r="AA2983" i="25"/>
  <c r="W2983" i="25"/>
  <c r="V2991" i="25"/>
  <c r="X2991" i="25"/>
  <c r="W2991" i="25"/>
  <c r="Y2991" i="25"/>
  <c r="Z2991" i="25"/>
  <c r="AA2991" i="25"/>
  <c r="V3003" i="25"/>
  <c r="X3003" i="25"/>
  <c r="Z3003" i="25"/>
  <c r="AA3003" i="25"/>
  <c r="W3003" i="25"/>
  <c r="V3011" i="25"/>
  <c r="X3011" i="25"/>
  <c r="W3011" i="25"/>
  <c r="Y3011" i="25"/>
  <c r="Z3011" i="25"/>
  <c r="V3019" i="25"/>
  <c r="X3019" i="25"/>
  <c r="W3019" i="25"/>
  <c r="Y3019" i="25"/>
  <c r="Z3019" i="25"/>
  <c r="AA3019" i="25"/>
  <c r="V3027" i="25"/>
  <c r="X3027" i="25"/>
  <c r="W3027" i="25"/>
  <c r="Y3027" i="25"/>
  <c r="Z3027" i="25"/>
  <c r="AA3027" i="25"/>
  <c r="V3035" i="25"/>
  <c r="X3035" i="25"/>
  <c r="Z3035" i="25"/>
  <c r="AA3035" i="25"/>
  <c r="W3035" i="25"/>
  <c r="V3043" i="25"/>
  <c r="X3043" i="25"/>
  <c r="W3043" i="25"/>
  <c r="Y3043" i="25"/>
  <c r="Z3043" i="25"/>
  <c r="V3051" i="25"/>
  <c r="X3051" i="25"/>
  <c r="W3051" i="25"/>
  <c r="Y3051" i="25"/>
  <c r="Z3051" i="25"/>
  <c r="AA3051" i="25"/>
  <c r="V3059" i="25"/>
  <c r="X3059" i="25"/>
  <c r="W3059" i="25"/>
  <c r="Y3059" i="25"/>
  <c r="Z3059" i="25"/>
  <c r="AA3059" i="25"/>
  <c r="V3067" i="25"/>
  <c r="X3067" i="25"/>
  <c r="Z3067" i="25"/>
  <c r="AA3067" i="25"/>
  <c r="W3067" i="25"/>
  <c r="V3075" i="25"/>
  <c r="X3075" i="25"/>
  <c r="W3075" i="25"/>
  <c r="Y3075" i="25"/>
  <c r="Z3075" i="25"/>
  <c r="V3083" i="25"/>
  <c r="X3083" i="25"/>
  <c r="W3083" i="25"/>
  <c r="Y3083" i="25"/>
  <c r="Z3083" i="25"/>
  <c r="AA3083" i="25"/>
  <c r="V3091" i="25"/>
  <c r="X3091" i="25"/>
  <c r="Y3091" i="25"/>
  <c r="Z3091" i="25"/>
  <c r="AA3091" i="25"/>
  <c r="V3099" i="25"/>
  <c r="X3099" i="25"/>
  <c r="AA3099" i="25"/>
  <c r="W3099" i="25"/>
  <c r="V3107" i="25"/>
  <c r="X3107" i="25"/>
  <c r="W3107" i="25"/>
  <c r="Y3107" i="25"/>
  <c r="Z3107" i="25"/>
  <c r="V3115" i="25"/>
  <c r="X3115" i="25"/>
  <c r="W3115" i="25"/>
  <c r="Y3115" i="25"/>
  <c r="Z3115" i="25"/>
  <c r="AA3115" i="25"/>
  <c r="V3123" i="25"/>
  <c r="X3123" i="25"/>
  <c r="Y3123" i="25"/>
  <c r="Z3123" i="25"/>
  <c r="AA3123" i="25"/>
  <c r="V3131" i="25"/>
  <c r="X3131" i="25"/>
  <c r="AA3131" i="25"/>
  <c r="W3131" i="25"/>
  <c r="V3139" i="25"/>
  <c r="X3139" i="25"/>
  <c r="W3139" i="25"/>
  <c r="Y3139" i="25"/>
  <c r="Z3139" i="25"/>
  <c r="V3150" i="25"/>
  <c r="X3150" i="25"/>
  <c r="W3150" i="25"/>
  <c r="Y3150" i="25"/>
  <c r="Z3150" i="25"/>
  <c r="AA3150" i="25"/>
  <c r="V3158" i="25"/>
  <c r="X3158" i="25"/>
  <c r="Y3158" i="25"/>
  <c r="Z3158" i="25"/>
  <c r="AA3158" i="25"/>
  <c r="V3166" i="25"/>
  <c r="X3166" i="25"/>
  <c r="AA3166" i="25"/>
  <c r="W3166" i="25"/>
  <c r="V3174" i="25"/>
  <c r="X3174" i="25"/>
  <c r="W3174" i="25"/>
  <c r="Y3174" i="25"/>
  <c r="Z3174" i="25"/>
  <c r="V3182" i="25"/>
  <c r="X3182" i="25"/>
  <c r="W3182" i="25"/>
  <c r="Y3182" i="25"/>
  <c r="Z3182" i="25"/>
  <c r="AA3182" i="25"/>
  <c r="V3194" i="25"/>
  <c r="AA3194" i="25"/>
  <c r="W3194" i="25"/>
  <c r="X3194" i="25"/>
  <c r="V3211" i="25"/>
  <c r="AA3211" i="25"/>
  <c r="W3211" i="25"/>
  <c r="X3211" i="25"/>
  <c r="V3219" i="25"/>
  <c r="AA3219" i="25"/>
  <c r="W3219" i="25"/>
  <c r="X3219" i="25"/>
  <c r="V3227" i="25"/>
  <c r="AA3227" i="25"/>
  <c r="W3227" i="25"/>
  <c r="X3227" i="25"/>
  <c r="V3236" i="25"/>
  <c r="AA3236" i="25"/>
  <c r="W3236" i="25"/>
  <c r="X3236" i="25"/>
  <c r="V3244" i="25"/>
  <c r="AA3244" i="25"/>
  <c r="W3244" i="25"/>
  <c r="X3244" i="25"/>
  <c r="V3252" i="25"/>
  <c r="AA3252" i="25"/>
  <c r="W3252" i="25"/>
  <c r="X3252" i="25"/>
  <c r="V3260" i="25"/>
  <c r="AA3260" i="25"/>
  <c r="W3260" i="25"/>
  <c r="X3260" i="25"/>
  <c r="V3268" i="25"/>
  <c r="AA3268" i="25"/>
  <c r="W3268" i="25"/>
  <c r="X3268" i="25"/>
  <c r="V3276" i="25"/>
  <c r="AA3276" i="25"/>
  <c r="W3276" i="25"/>
  <c r="X3276" i="25"/>
  <c r="V3284" i="25"/>
  <c r="AA3284" i="25"/>
  <c r="W3284" i="25"/>
  <c r="X3284" i="25"/>
  <c r="V3292" i="25"/>
  <c r="AA3292" i="25"/>
  <c r="W3292" i="25"/>
  <c r="X3292" i="25"/>
  <c r="V3300" i="25"/>
  <c r="AA3300" i="25"/>
  <c r="W3300" i="25"/>
  <c r="X3300" i="25"/>
  <c r="V3308" i="25"/>
  <c r="AA3308" i="25"/>
  <c r="W3308" i="25"/>
  <c r="X3308" i="25"/>
  <c r="V3316" i="25"/>
  <c r="AA3316" i="25"/>
  <c r="W3316" i="25"/>
  <c r="X3316" i="25"/>
  <c r="V3324" i="25"/>
  <c r="AA3324" i="25"/>
  <c r="W3324" i="25"/>
  <c r="X3324" i="25"/>
  <c r="V3332" i="25"/>
  <c r="AA3332" i="25"/>
  <c r="W3332" i="25"/>
  <c r="X3332" i="25"/>
  <c r="V3340" i="25"/>
  <c r="AA3340" i="25"/>
  <c r="W3340" i="25"/>
  <c r="X3340" i="25"/>
  <c r="V3348" i="25"/>
  <c r="AA3348" i="25"/>
  <c r="W3348" i="25"/>
  <c r="X3348" i="25"/>
  <c r="V3356" i="25"/>
  <c r="AA3356" i="25"/>
  <c r="W3356" i="25"/>
  <c r="X3356" i="25"/>
  <c r="V3364" i="25"/>
  <c r="AA3364" i="25"/>
  <c r="W3364" i="25"/>
  <c r="X3364" i="25"/>
  <c r="V3372" i="25"/>
  <c r="AA3372" i="25"/>
  <c r="W3372" i="25"/>
  <c r="X3372" i="25"/>
  <c r="V3380" i="25"/>
  <c r="AA3380" i="25"/>
  <c r="W3380" i="25"/>
  <c r="X3380" i="25"/>
  <c r="V3388" i="25"/>
  <c r="AA3388" i="25"/>
  <c r="W3388" i="25"/>
  <c r="X3388" i="25"/>
  <c r="V3396" i="25"/>
  <c r="AA3396" i="25"/>
  <c r="W3396" i="25"/>
  <c r="X3396" i="25"/>
  <c r="V3404" i="25"/>
  <c r="AA3404" i="25"/>
  <c r="W3404" i="25"/>
  <c r="X3404" i="25"/>
  <c r="V3412" i="25"/>
  <c r="AA3412" i="25"/>
  <c r="X3412" i="25"/>
  <c r="V3420" i="25"/>
  <c r="AA3420" i="25"/>
  <c r="X3420" i="25"/>
  <c r="V3428" i="25"/>
  <c r="AA3428" i="25"/>
  <c r="X3428" i="25"/>
  <c r="V3436" i="25"/>
  <c r="AA3436" i="25"/>
  <c r="X3436" i="25"/>
  <c r="V3444" i="25"/>
  <c r="AA3444" i="25"/>
  <c r="X3444" i="25"/>
  <c r="V3452" i="25"/>
  <c r="AA3452" i="25"/>
  <c r="X3452" i="25"/>
  <c r="V3460" i="25"/>
  <c r="AA3460" i="25"/>
  <c r="X3460" i="25"/>
  <c r="V3468" i="25"/>
  <c r="AA3468" i="25"/>
  <c r="X3468" i="25"/>
  <c r="V3476" i="25"/>
  <c r="AA3476" i="25"/>
  <c r="X3476" i="25"/>
  <c r="V3484" i="25"/>
  <c r="AA3484" i="25"/>
  <c r="X3484" i="25"/>
  <c r="V3492" i="25"/>
  <c r="AA3492" i="25"/>
  <c r="X3492" i="25"/>
  <c r="V3500" i="25"/>
  <c r="AA3500" i="25"/>
  <c r="X3500" i="25"/>
  <c r="V3508" i="25"/>
  <c r="AA3508" i="25"/>
  <c r="X3508" i="25"/>
  <c r="V3516" i="25"/>
  <c r="AA3516" i="25"/>
  <c r="X3516" i="25"/>
  <c r="X3666" i="25"/>
  <c r="Z3664" i="25"/>
  <c r="W3663" i="25"/>
  <c r="Y3661" i="25"/>
  <c r="AA3659" i="25"/>
  <c r="X3658" i="25"/>
  <c r="Z3656" i="25"/>
  <c r="W3655" i="25"/>
  <c r="Y3653" i="25"/>
  <c r="AA3651" i="25"/>
  <c r="X3650" i="25"/>
  <c r="Z3648" i="25"/>
  <c r="W3647" i="25"/>
  <c r="Y3645" i="25"/>
  <c r="AA3643" i="25"/>
  <c r="X3642" i="25"/>
  <c r="Z3640" i="25"/>
  <c r="W3639" i="25"/>
  <c r="Y3637" i="25"/>
  <c r="AA3635" i="25"/>
  <c r="X3634" i="25"/>
  <c r="Z3632" i="25"/>
  <c r="W3631" i="25"/>
  <c r="Y3624" i="25"/>
  <c r="AA3622" i="25"/>
  <c r="Z3620" i="25"/>
  <c r="W3619" i="25"/>
  <c r="Y3617" i="25"/>
  <c r="AA3614" i="25"/>
  <c r="X3613" i="25"/>
  <c r="Z3611" i="25"/>
  <c r="W3610" i="25"/>
  <c r="Y3608" i="25"/>
  <c r="AA3606" i="25"/>
  <c r="X3605" i="25"/>
  <c r="Z3603" i="25"/>
  <c r="W3602" i="25"/>
  <c r="Y3600" i="25"/>
  <c r="AA3598" i="25"/>
  <c r="X3597" i="25"/>
  <c r="Z3595" i="25"/>
  <c r="W3594" i="25"/>
  <c r="Y3592" i="25"/>
  <c r="AA3590" i="25"/>
  <c r="X3589" i="25"/>
  <c r="Z3587" i="25"/>
  <c r="W3586" i="25"/>
  <c r="Y3584" i="25"/>
  <c r="AA3582" i="25"/>
  <c r="X3581" i="25"/>
  <c r="Z3579" i="25"/>
  <c r="W3578" i="25"/>
  <c r="Y3576" i="25"/>
  <c r="AA3574" i="25"/>
  <c r="X3573" i="25"/>
  <c r="Z3571" i="25"/>
  <c r="W3570" i="25"/>
  <c r="Y3568" i="25"/>
  <c r="AA3566" i="25"/>
  <c r="X3565" i="25"/>
  <c r="Z3563" i="25"/>
  <c r="W3562" i="25"/>
  <c r="Y3560" i="25"/>
  <c r="AA3558" i="25"/>
  <c r="X3557" i="25"/>
  <c r="Z3555" i="25"/>
  <c r="W3554" i="25"/>
  <c r="Y3552" i="25"/>
  <c r="AA3550" i="25"/>
  <c r="X3549" i="25"/>
  <c r="Z3547" i="25"/>
  <c r="W3546" i="25"/>
  <c r="Y3544" i="25"/>
  <c r="AA3542" i="25"/>
  <c r="X3541" i="25"/>
  <c r="Z3539" i="25"/>
  <c r="W3538" i="25"/>
  <c r="Y3536" i="25"/>
  <c r="AA3534" i="25"/>
  <c r="X3533" i="25"/>
  <c r="Z3531" i="25"/>
  <c r="W3530" i="25"/>
  <c r="Y3528" i="25"/>
  <c r="AA3526" i="25"/>
  <c r="X3525" i="25"/>
  <c r="Z3523" i="25"/>
  <c r="Y3521" i="25"/>
  <c r="X3519" i="25"/>
  <c r="W3515" i="25"/>
  <c r="AA3512" i="25"/>
  <c r="AA3510" i="25"/>
  <c r="Z3508" i="25"/>
  <c r="Y3506" i="25"/>
  <c r="Y3504" i="25"/>
  <c r="X3502" i="25"/>
  <c r="W3500" i="25"/>
  <c r="W3498" i="25"/>
  <c r="AA3495" i="25"/>
  <c r="Z3491" i="25"/>
  <c r="Y3489" i="25"/>
  <c r="X3487" i="25"/>
  <c r="W3483" i="25"/>
  <c r="AA3480" i="25"/>
  <c r="AA3478" i="25"/>
  <c r="Z3476" i="25"/>
  <c r="Y3474" i="25"/>
  <c r="Y3472" i="25"/>
  <c r="X3470" i="25"/>
  <c r="W3468" i="25"/>
  <c r="W3466" i="25"/>
  <c r="AA3463" i="25"/>
  <c r="Z3459" i="25"/>
  <c r="Y3457" i="25"/>
  <c r="X3455" i="25"/>
  <c r="W3451" i="25"/>
  <c r="AA3448" i="25"/>
  <c r="AA3446" i="25"/>
  <c r="Z3444" i="25"/>
  <c r="Y3442" i="25"/>
  <c r="Y3440" i="25"/>
  <c r="X3438" i="25"/>
  <c r="W3436" i="25"/>
  <c r="W3434" i="25"/>
  <c r="AA3431" i="25"/>
  <c r="Z3427" i="25"/>
  <c r="Y3425" i="25"/>
  <c r="X3423" i="25"/>
  <c r="W3419" i="25"/>
  <c r="AA3416" i="25"/>
  <c r="AA3414" i="25"/>
  <c r="Z3412" i="25"/>
  <c r="Y3410" i="25"/>
  <c r="Y3408" i="25"/>
  <c r="X3406" i="25"/>
  <c r="AA3399" i="25"/>
  <c r="Y3393" i="25"/>
  <c r="W3387" i="25"/>
  <c r="Z3380" i="25"/>
  <c r="X3374" i="25"/>
  <c r="AA3367" i="25"/>
  <c r="Y3361" i="25"/>
  <c r="W3355" i="25"/>
  <c r="Z3348" i="25"/>
  <c r="X3342" i="25"/>
  <c r="AA3335" i="25"/>
  <c r="Y3329" i="25"/>
  <c r="W3323" i="25"/>
  <c r="Z3316" i="25"/>
  <c r="X3310" i="25"/>
  <c r="AA3303" i="25"/>
  <c r="Y3297" i="25"/>
  <c r="W3291" i="25"/>
  <c r="Z3284" i="25"/>
  <c r="X3278" i="25"/>
  <c r="AA3271" i="25"/>
  <c r="Y3265" i="25"/>
  <c r="W3259" i="25"/>
  <c r="Z3252" i="25"/>
  <c r="X3246" i="25"/>
  <c r="AA3239" i="25"/>
  <c r="Y3233" i="25"/>
  <c r="W3226" i="25"/>
  <c r="Z3219" i="25"/>
  <c r="X3213" i="25"/>
  <c r="AA3206" i="25"/>
  <c r="Y3188" i="25"/>
  <c r="Y3179" i="25"/>
  <c r="AA3170" i="25"/>
  <c r="X3162" i="25"/>
  <c r="AA3153" i="25"/>
  <c r="X3142" i="25"/>
  <c r="Z3133" i="25"/>
  <c r="X3125" i="25"/>
  <c r="Z3099" i="25"/>
  <c r="W3091" i="25"/>
  <c r="Y3082" i="25"/>
  <c r="W3074" i="25"/>
  <c r="AA3043" i="25"/>
  <c r="AA3026" i="25"/>
  <c r="AA2933" i="25"/>
  <c r="Y2657" i="25"/>
  <c r="V936" i="25"/>
  <c r="X936" i="25"/>
  <c r="Y936" i="25"/>
  <c r="AA936" i="25"/>
  <c r="W936" i="25"/>
  <c r="Z936" i="25"/>
  <c r="V944" i="25"/>
  <c r="X944" i="25"/>
  <c r="Y944" i="25"/>
  <c r="W944" i="25"/>
  <c r="Z944" i="25"/>
  <c r="AA944" i="25"/>
  <c r="V954" i="25"/>
  <c r="X954" i="25"/>
  <c r="Y954" i="25"/>
  <c r="AA954" i="25"/>
  <c r="W954" i="25"/>
  <c r="Z954" i="25"/>
  <c r="V962" i="25"/>
  <c r="W962" i="25"/>
  <c r="Z962" i="25"/>
  <c r="AA962" i="25"/>
  <c r="X962" i="25"/>
  <c r="Y962" i="25"/>
  <c r="V970" i="25"/>
  <c r="W970" i="25"/>
  <c r="X970" i="25"/>
  <c r="Y970" i="25"/>
  <c r="Z970" i="25"/>
  <c r="AA970" i="25"/>
  <c r="V978" i="25"/>
  <c r="W978" i="25"/>
  <c r="X978" i="25"/>
  <c r="Y978" i="25"/>
  <c r="Z978" i="25"/>
  <c r="AA978" i="25"/>
  <c r="V986" i="25"/>
  <c r="W986" i="25"/>
  <c r="Z986" i="25"/>
  <c r="AA986" i="25"/>
  <c r="X986" i="25"/>
  <c r="Y986" i="25"/>
  <c r="V994" i="25"/>
  <c r="W994" i="25"/>
  <c r="X994" i="25"/>
  <c r="Y994" i="25"/>
  <c r="Z994" i="25"/>
  <c r="AA994" i="25"/>
  <c r="V1002" i="25"/>
  <c r="W1002" i="25"/>
  <c r="X1002" i="25"/>
  <c r="Y1002" i="25"/>
  <c r="Z1002" i="25"/>
  <c r="AA1002" i="25"/>
  <c r="V1010" i="25"/>
  <c r="W1010" i="25"/>
  <c r="Y1010" i="25"/>
  <c r="Z1010" i="25"/>
  <c r="AA1010" i="25"/>
  <c r="X1010" i="25"/>
  <c r="V1019" i="25"/>
  <c r="W1019" i="25"/>
  <c r="X1019" i="25"/>
  <c r="Y1019" i="25"/>
  <c r="Z1019" i="25"/>
  <c r="AA1019" i="25"/>
  <c r="V1034" i="25"/>
  <c r="W1034" i="25"/>
  <c r="X1034" i="25"/>
  <c r="AA1034" i="25"/>
  <c r="Y1034" i="25"/>
  <c r="Z1034" i="25"/>
  <c r="V1042" i="25"/>
  <c r="W1042" i="25"/>
  <c r="X1042" i="25"/>
  <c r="Y1042" i="25"/>
  <c r="Z1042" i="25"/>
  <c r="AA1042" i="25"/>
  <c r="V1050" i="25"/>
  <c r="W1050" i="25"/>
  <c r="X1050" i="25"/>
  <c r="Y1050" i="25"/>
  <c r="Z1050" i="25"/>
  <c r="AA1050" i="25"/>
  <c r="V1058" i="25"/>
  <c r="W1058" i="25"/>
  <c r="X1058" i="25"/>
  <c r="Y1058" i="25"/>
  <c r="Z1058" i="25"/>
  <c r="AA1058" i="25"/>
  <c r="V1066" i="25"/>
  <c r="W1066" i="25"/>
  <c r="X1066" i="25"/>
  <c r="Y1066" i="25"/>
  <c r="Z1066" i="25"/>
  <c r="AA1066" i="25"/>
  <c r="V1074" i="25"/>
  <c r="W1074" i="25"/>
  <c r="X1074" i="25"/>
  <c r="Y1074" i="25"/>
  <c r="Z1074" i="25"/>
  <c r="AA1074" i="25"/>
  <c r="V1082" i="25"/>
  <c r="W1082" i="25"/>
  <c r="X1082" i="25"/>
  <c r="Y1082" i="25"/>
  <c r="Z1082" i="25"/>
  <c r="AA1082" i="25"/>
  <c r="V1090" i="25"/>
  <c r="W1090" i="25"/>
  <c r="X1090" i="25"/>
  <c r="Y1090" i="25"/>
  <c r="Z1090" i="25"/>
  <c r="AA1090" i="25"/>
  <c r="V1098" i="25"/>
  <c r="W1098" i="25"/>
  <c r="X1098" i="25"/>
  <c r="Y1098" i="25"/>
  <c r="Z1098" i="25"/>
  <c r="AA1098" i="25"/>
  <c r="V1106" i="25"/>
  <c r="X1106" i="25"/>
  <c r="Y1106" i="25"/>
  <c r="Z1106" i="25"/>
  <c r="AA1106" i="25"/>
  <c r="W1106" i="25"/>
  <c r="V1114" i="25"/>
  <c r="X1114" i="25"/>
  <c r="AA1114" i="25"/>
  <c r="W1114" i="25"/>
  <c r="Y1114" i="25"/>
  <c r="Z1114" i="25"/>
  <c r="V1122" i="25"/>
  <c r="X1122" i="25"/>
  <c r="W1122" i="25"/>
  <c r="Y1122" i="25"/>
  <c r="Z1122" i="25"/>
  <c r="AA1122" i="25"/>
  <c r="V1130" i="25"/>
  <c r="X1130" i="25"/>
  <c r="W1130" i="25"/>
  <c r="Y1130" i="25"/>
  <c r="Z1130" i="25"/>
  <c r="AA1130" i="25"/>
  <c r="V1138" i="25"/>
  <c r="X1138" i="25"/>
  <c r="Y1138" i="25"/>
  <c r="Z1138" i="25"/>
  <c r="AA1138" i="25"/>
  <c r="W1138" i="25"/>
  <c r="V1146" i="25"/>
  <c r="W1146" i="25"/>
  <c r="X1146" i="25"/>
  <c r="Y1146" i="25"/>
  <c r="Z1146" i="25"/>
  <c r="AA1146" i="25"/>
  <c r="V1154" i="25"/>
  <c r="W1154" i="25"/>
  <c r="X1154" i="25"/>
  <c r="Y1154" i="25"/>
  <c r="Z1154" i="25"/>
  <c r="AA1154" i="25"/>
  <c r="V1162" i="25"/>
  <c r="W1162" i="25"/>
  <c r="X1162" i="25"/>
  <c r="Y1162" i="25"/>
  <c r="Z1162" i="25"/>
  <c r="AA1162" i="25"/>
  <c r="V1170" i="25"/>
  <c r="W1170" i="25"/>
  <c r="X1170" i="25"/>
  <c r="Y1170" i="25"/>
  <c r="Z1170" i="25"/>
  <c r="AA1170" i="25"/>
  <c r="V1178" i="25"/>
  <c r="W1178" i="25"/>
  <c r="X1178" i="25"/>
  <c r="Y1178" i="25"/>
  <c r="Z1178" i="25"/>
  <c r="AA1178" i="25"/>
  <c r="V1186" i="25"/>
  <c r="W1186" i="25"/>
  <c r="X1186" i="25"/>
  <c r="Y1186" i="25"/>
  <c r="Z1186" i="25"/>
  <c r="AA1186" i="25"/>
  <c r="V1194" i="25"/>
  <c r="W1194" i="25"/>
  <c r="X1194" i="25"/>
  <c r="Y1194" i="25"/>
  <c r="Z1194" i="25"/>
  <c r="AA1194" i="25"/>
  <c r="V1202" i="25"/>
  <c r="W1202" i="25"/>
  <c r="X1202" i="25"/>
  <c r="Y1202" i="25"/>
  <c r="Z1202" i="25"/>
  <c r="AA1202" i="25"/>
  <c r="V1210" i="25"/>
  <c r="X1210" i="25"/>
  <c r="Z1210" i="25"/>
  <c r="Y1210" i="25"/>
  <c r="AA1210" i="25"/>
  <c r="W1210" i="25"/>
  <c r="V1218" i="25"/>
  <c r="Z1218" i="25"/>
  <c r="X1218" i="25"/>
  <c r="Y1218" i="25"/>
  <c r="AA1218" i="25"/>
  <c r="W1218" i="25"/>
  <c r="V1226" i="25"/>
  <c r="Z1226" i="25"/>
  <c r="W1226" i="25"/>
  <c r="X1226" i="25"/>
  <c r="Y1226" i="25"/>
  <c r="AA1226" i="25"/>
  <c r="V1234" i="25"/>
  <c r="Z1234" i="25"/>
  <c r="W1234" i="25"/>
  <c r="X1234" i="25"/>
  <c r="Y1234" i="25"/>
  <c r="AA1234" i="25"/>
  <c r="V1242" i="25"/>
  <c r="Z1242" i="25"/>
  <c r="W1242" i="25"/>
  <c r="X1242" i="25"/>
  <c r="Y1242" i="25"/>
  <c r="AA1242" i="25"/>
  <c r="V1250" i="25"/>
  <c r="Z1250" i="25"/>
  <c r="W1250" i="25"/>
  <c r="X1250" i="25"/>
  <c r="Y1250" i="25"/>
  <c r="AA1250" i="25"/>
  <c r="V1258" i="25"/>
  <c r="Z1258" i="25"/>
  <c r="X1258" i="25"/>
  <c r="Y1258" i="25"/>
  <c r="AA1258" i="25"/>
  <c r="W1258" i="25"/>
  <c r="V1266" i="25"/>
  <c r="Z1266" i="25"/>
  <c r="AA1266" i="25"/>
  <c r="W1266" i="25"/>
  <c r="X1266" i="25"/>
  <c r="Y1266" i="25"/>
  <c r="V1274" i="25"/>
  <c r="Z1274" i="25"/>
  <c r="W1274" i="25"/>
  <c r="X1274" i="25"/>
  <c r="Y1274" i="25"/>
  <c r="AA1274" i="25"/>
  <c r="V1282" i="25"/>
  <c r="Z1282" i="25"/>
  <c r="W1282" i="25"/>
  <c r="X1282" i="25"/>
  <c r="Y1282" i="25"/>
  <c r="AA1282" i="25"/>
  <c r="V1290" i="25"/>
  <c r="Z1290" i="25"/>
  <c r="X1290" i="25"/>
  <c r="Y1290" i="25"/>
  <c r="AA1290" i="25"/>
  <c r="W1290" i="25"/>
  <c r="V1298" i="25"/>
  <c r="Z1298" i="25"/>
  <c r="AA1298" i="25"/>
  <c r="W1298" i="25"/>
  <c r="X1298" i="25"/>
  <c r="Y1298" i="25"/>
  <c r="V1306" i="25"/>
  <c r="Z1306" i="25"/>
  <c r="W1306" i="25"/>
  <c r="X1306" i="25"/>
  <c r="Y1306" i="25"/>
  <c r="AA1306" i="25"/>
  <c r="V1314" i="25"/>
  <c r="Z1314" i="25"/>
  <c r="W1314" i="25"/>
  <c r="X1314" i="25"/>
  <c r="Y1314" i="25"/>
  <c r="AA1314" i="25"/>
  <c r="V1322" i="25"/>
  <c r="Z1322" i="25"/>
  <c r="X1322" i="25"/>
  <c r="Y1322" i="25"/>
  <c r="AA1322" i="25"/>
  <c r="W1322" i="25"/>
  <c r="V1330" i="25"/>
  <c r="W1330" i="25"/>
  <c r="X1330" i="25"/>
  <c r="Y1330" i="25"/>
  <c r="Z1330" i="25"/>
  <c r="AA1330" i="25"/>
  <c r="V1338" i="25"/>
  <c r="W1338" i="25"/>
  <c r="X1338" i="25"/>
  <c r="Y1338" i="25"/>
  <c r="Z1338" i="25"/>
  <c r="AA1338" i="25"/>
  <c r="V1346" i="25"/>
  <c r="W1346" i="25"/>
  <c r="X1346" i="25"/>
  <c r="Y1346" i="25"/>
  <c r="Z1346" i="25"/>
  <c r="AA1346" i="25"/>
  <c r="V1354" i="25"/>
  <c r="W1354" i="25"/>
  <c r="X1354" i="25"/>
  <c r="Y1354" i="25"/>
  <c r="Z1354" i="25"/>
  <c r="AA1354" i="25"/>
  <c r="V1362" i="25"/>
  <c r="W1362" i="25"/>
  <c r="X1362" i="25"/>
  <c r="Y1362" i="25"/>
  <c r="Z1362" i="25"/>
  <c r="AA1362" i="25"/>
  <c r="V1370" i="25"/>
  <c r="W1370" i="25"/>
  <c r="X1370" i="25"/>
  <c r="Y1370" i="25"/>
  <c r="Z1370" i="25"/>
  <c r="AA1370" i="25"/>
  <c r="V1378" i="25"/>
  <c r="W1378" i="25"/>
  <c r="X1378" i="25"/>
  <c r="Y1378" i="25"/>
  <c r="Z1378" i="25"/>
  <c r="AA1378" i="25"/>
  <c r="V1386" i="25"/>
  <c r="W1386" i="25"/>
  <c r="X1386" i="25"/>
  <c r="Y1386" i="25"/>
  <c r="Z1386" i="25"/>
  <c r="AA1386" i="25"/>
  <c r="V1394" i="25"/>
  <c r="W1394" i="25"/>
  <c r="X1394" i="25"/>
  <c r="Y1394" i="25"/>
  <c r="Z1394" i="25"/>
  <c r="AA1394" i="25"/>
  <c r="V1402" i="25"/>
  <c r="W1402" i="25"/>
  <c r="X1402" i="25"/>
  <c r="Y1402" i="25"/>
  <c r="Z1402" i="25"/>
  <c r="AA1402" i="25"/>
  <c r="V1410" i="25"/>
  <c r="W1410" i="25"/>
  <c r="X1410" i="25"/>
  <c r="Y1410" i="25"/>
  <c r="Z1410" i="25"/>
  <c r="AA1410" i="25"/>
  <c r="V1418" i="25"/>
  <c r="W1418" i="25"/>
  <c r="X1418" i="25"/>
  <c r="Y1418" i="25"/>
  <c r="Z1418" i="25"/>
  <c r="AA1418" i="25"/>
  <c r="V1426" i="25"/>
  <c r="W1426" i="25"/>
  <c r="X1426" i="25"/>
  <c r="Y1426" i="25"/>
  <c r="Z1426" i="25"/>
  <c r="AA1426" i="25"/>
  <c r="V1434" i="25"/>
  <c r="W1434" i="25"/>
  <c r="X1434" i="25"/>
  <c r="Y1434" i="25"/>
  <c r="Z1434" i="25"/>
  <c r="AA1434" i="25"/>
  <c r="V1442" i="25"/>
  <c r="W1442" i="25"/>
  <c r="X1442" i="25"/>
  <c r="Y1442" i="25"/>
  <c r="Z1442" i="25"/>
  <c r="AA1442" i="25"/>
  <c r="V1450" i="25"/>
  <c r="W1450" i="25"/>
  <c r="X1450" i="25"/>
  <c r="Y1450" i="25"/>
  <c r="Z1450" i="25"/>
  <c r="AA1450" i="25"/>
  <c r="V1458" i="25"/>
  <c r="W1458" i="25"/>
  <c r="X1458" i="25"/>
  <c r="Y1458" i="25"/>
  <c r="Z1458" i="25"/>
  <c r="AA1458" i="25"/>
  <c r="V1466" i="25"/>
  <c r="W1466" i="25"/>
  <c r="X1466" i="25"/>
  <c r="Y1466" i="25"/>
  <c r="Z1466" i="25"/>
  <c r="AA1466" i="25"/>
  <c r="V1474" i="25"/>
  <c r="W1474" i="25"/>
  <c r="X1474" i="25"/>
  <c r="Y1474" i="25"/>
  <c r="Z1474" i="25"/>
  <c r="AA1474" i="25"/>
  <c r="V1482" i="25"/>
  <c r="W1482" i="25"/>
  <c r="X1482" i="25"/>
  <c r="Y1482" i="25"/>
  <c r="Z1482" i="25"/>
  <c r="AA1482" i="25"/>
  <c r="V1490" i="25"/>
  <c r="W1490" i="25"/>
  <c r="X1490" i="25"/>
  <c r="Y1490" i="25"/>
  <c r="Z1490" i="25"/>
  <c r="AA1490" i="25"/>
  <c r="V1498" i="25"/>
  <c r="W1498" i="25"/>
  <c r="Y1498" i="25"/>
  <c r="AA1498" i="25"/>
  <c r="X1498" i="25"/>
  <c r="Z1498" i="25"/>
  <c r="V1506" i="25"/>
  <c r="AA1506" i="25"/>
  <c r="W1506" i="25"/>
  <c r="X1506" i="25"/>
  <c r="Y1506" i="25"/>
  <c r="Z1506" i="25"/>
  <c r="V1514" i="25"/>
  <c r="AA1514" i="25"/>
  <c r="X1514" i="25"/>
  <c r="Y1514" i="25"/>
  <c r="Z1514" i="25"/>
  <c r="W1514" i="25"/>
  <c r="V1522" i="25"/>
  <c r="AA1522" i="25"/>
  <c r="Z1522" i="25"/>
  <c r="W1522" i="25"/>
  <c r="X1522" i="25"/>
  <c r="Y1522" i="25"/>
  <c r="V1530" i="25"/>
  <c r="AA1530" i="25"/>
  <c r="W1530" i="25"/>
  <c r="X1530" i="25"/>
  <c r="Y1530" i="25"/>
  <c r="Z1530" i="25"/>
  <c r="V1538" i="25"/>
  <c r="AA1538" i="25"/>
  <c r="W1538" i="25"/>
  <c r="X1538" i="25"/>
  <c r="Y1538" i="25"/>
  <c r="Z1538" i="25"/>
  <c r="V1546" i="25"/>
  <c r="AA1546" i="25"/>
  <c r="X1546" i="25"/>
  <c r="Y1546" i="25"/>
  <c r="Z1546" i="25"/>
  <c r="W1546" i="25"/>
  <c r="V1554" i="25"/>
  <c r="AA1554" i="25"/>
  <c r="Z1554" i="25"/>
  <c r="W1554" i="25"/>
  <c r="X1554" i="25"/>
  <c r="Y1554" i="25"/>
  <c r="V1562" i="25"/>
  <c r="AA1562" i="25"/>
  <c r="W1562" i="25"/>
  <c r="X1562" i="25"/>
  <c r="Y1562" i="25"/>
  <c r="Z1562" i="25"/>
  <c r="V1570" i="25"/>
  <c r="AA1570" i="25"/>
  <c r="Z1570" i="25"/>
  <c r="W1570" i="25"/>
  <c r="X1570" i="25"/>
  <c r="Y1570" i="25"/>
  <c r="V1578" i="25"/>
  <c r="W1578" i="25"/>
  <c r="X1578" i="25"/>
  <c r="Y1578" i="25"/>
  <c r="Z1578" i="25"/>
  <c r="AA1578" i="25"/>
  <c r="V1586" i="25"/>
  <c r="W1586" i="25"/>
  <c r="X1586" i="25"/>
  <c r="Y1586" i="25"/>
  <c r="Z1586" i="25"/>
  <c r="AA1586" i="25"/>
  <c r="V1594" i="25"/>
  <c r="W1594" i="25"/>
  <c r="X1594" i="25"/>
  <c r="Y1594" i="25"/>
  <c r="Z1594" i="25"/>
  <c r="AA1594" i="25"/>
  <c r="V1602" i="25"/>
  <c r="W1602" i="25"/>
  <c r="X1602" i="25"/>
  <c r="Y1602" i="25"/>
  <c r="Z1602" i="25"/>
  <c r="AA1602" i="25"/>
  <c r="V1610" i="25"/>
  <c r="W1610" i="25"/>
  <c r="X1610" i="25"/>
  <c r="Y1610" i="25"/>
  <c r="Z1610" i="25"/>
  <c r="AA1610" i="25"/>
  <c r="V1618" i="25"/>
  <c r="W1618" i="25"/>
  <c r="X1618" i="25"/>
  <c r="Y1618" i="25"/>
  <c r="Z1618" i="25"/>
  <c r="AA1618" i="25"/>
  <c r="V1626" i="25"/>
  <c r="W1626" i="25"/>
  <c r="X1626" i="25"/>
  <c r="Y1626" i="25"/>
  <c r="Z1626" i="25"/>
  <c r="AA1626" i="25"/>
  <c r="V1634" i="25"/>
  <c r="W1634" i="25"/>
  <c r="X1634" i="25"/>
  <c r="Y1634" i="25"/>
  <c r="Z1634" i="25"/>
  <c r="AA1634" i="25"/>
  <c r="V1642" i="25"/>
  <c r="W1642" i="25"/>
  <c r="X1642" i="25"/>
  <c r="Y1642" i="25"/>
  <c r="Z1642" i="25"/>
  <c r="AA1642" i="25"/>
  <c r="V1650" i="25"/>
  <c r="W1650" i="25"/>
  <c r="X1650" i="25"/>
  <c r="Y1650" i="25"/>
  <c r="Z1650" i="25"/>
  <c r="AA1650" i="25"/>
  <c r="V1658" i="25"/>
  <c r="W1658" i="25"/>
  <c r="X1658" i="25"/>
  <c r="Y1658" i="25"/>
  <c r="Z1658" i="25"/>
  <c r="AA1658" i="25"/>
  <c r="V1666" i="25"/>
  <c r="W1666" i="25"/>
  <c r="X1666" i="25"/>
  <c r="Y1666" i="25"/>
  <c r="Z1666" i="25"/>
  <c r="AA1666" i="25"/>
  <c r="V1674" i="25"/>
  <c r="W1674" i="25"/>
  <c r="X1674" i="25"/>
  <c r="Y1674" i="25"/>
  <c r="Z1674" i="25"/>
  <c r="AA1674" i="25"/>
  <c r="V1682" i="25"/>
  <c r="W1682" i="25"/>
  <c r="X1682" i="25"/>
  <c r="Y1682" i="25"/>
  <c r="Z1682" i="25"/>
  <c r="AA1682" i="25"/>
  <c r="V1690" i="25"/>
  <c r="W1690" i="25"/>
  <c r="X1690" i="25"/>
  <c r="Y1690" i="25"/>
  <c r="Z1690" i="25"/>
  <c r="AA1690" i="25"/>
  <c r="V1698" i="25"/>
  <c r="W1698" i="25"/>
  <c r="X1698" i="25"/>
  <c r="Y1698" i="25"/>
  <c r="Z1698" i="25"/>
  <c r="AA1698" i="25"/>
  <c r="V1706" i="25"/>
  <c r="W1706" i="25"/>
  <c r="X1706" i="25"/>
  <c r="Y1706" i="25"/>
  <c r="Z1706" i="25"/>
  <c r="AA1706" i="25"/>
  <c r="V1714" i="25"/>
  <c r="W1714" i="25"/>
  <c r="X1714" i="25"/>
  <c r="Y1714" i="25"/>
  <c r="Z1714" i="25"/>
  <c r="AA1714" i="25"/>
  <c r="V1722" i="25"/>
  <c r="W1722" i="25"/>
  <c r="X1722" i="25"/>
  <c r="Y1722" i="25"/>
  <c r="Z1722" i="25"/>
  <c r="AA1722" i="25"/>
  <c r="V1730" i="25"/>
  <c r="W1730" i="25"/>
  <c r="X1730" i="25"/>
  <c r="Y1730" i="25"/>
  <c r="Z1730" i="25"/>
  <c r="AA1730" i="25"/>
  <c r="V1738" i="25"/>
  <c r="W1738" i="25"/>
  <c r="X1738" i="25"/>
  <c r="Y1738" i="25"/>
  <c r="Z1738" i="25"/>
  <c r="AA1738" i="25"/>
  <c r="V1746" i="25"/>
  <c r="W1746" i="25"/>
  <c r="X1746" i="25"/>
  <c r="Y1746" i="25"/>
  <c r="Z1746" i="25"/>
  <c r="AA1746" i="25"/>
  <c r="V1754" i="25"/>
  <c r="W1754" i="25"/>
  <c r="X1754" i="25"/>
  <c r="Y1754" i="25"/>
  <c r="Z1754" i="25"/>
  <c r="AA1754" i="25"/>
  <c r="V1762" i="25"/>
  <c r="W1762" i="25"/>
  <c r="X1762" i="25"/>
  <c r="Y1762" i="25"/>
  <c r="Z1762" i="25"/>
  <c r="AA1762" i="25"/>
  <c r="V1770" i="25"/>
  <c r="W1770" i="25"/>
  <c r="X1770" i="25"/>
  <c r="Y1770" i="25"/>
  <c r="Z1770" i="25"/>
  <c r="AA1770" i="25"/>
  <c r="V1778" i="25"/>
  <c r="W1778" i="25"/>
  <c r="X1778" i="25"/>
  <c r="Y1778" i="25"/>
  <c r="Z1778" i="25"/>
  <c r="AA1778" i="25"/>
  <c r="V1786" i="25"/>
  <c r="W1786" i="25"/>
  <c r="X1786" i="25"/>
  <c r="Y1786" i="25"/>
  <c r="Z1786" i="25"/>
  <c r="AA1786" i="25"/>
  <c r="V1794" i="25"/>
  <c r="W1794" i="25"/>
  <c r="X1794" i="25"/>
  <c r="Y1794" i="25"/>
  <c r="Z1794" i="25"/>
  <c r="AA1794" i="25"/>
  <c r="V1802" i="25"/>
  <c r="W1802" i="25"/>
  <c r="X1802" i="25"/>
  <c r="Y1802" i="25"/>
  <c r="Z1802" i="25"/>
  <c r="AA1802" i="25"/>
  <c r="V1810" i="25"/>
  <c r="W1810" i="25"/>
  <c r="X1810" i="25"/>
  <c r="Y1810" i="25"/>
  <c r="Z1810" i="25"/>
  <c r="AA1810" i="25"/>
  <c r="V1818" i="25"/>
  <c r="W1818" i="25"/>
  <c r="X1818" i="25"/>
  <c r="Y1818" i="25"/>
  <c r="Z1818" i="25"/>
  <c r="AA1818" i="25"/>
  <c r="V1826" i="25"/>
  <c r="W1826" i="25"/>
  <c r="X1826" i="25"/>
  <c r="Y1826" i="25"/>
  <c r="Z1826" i="25"/>
  <c r="AA1826" i="25"/>
  <c r="V1834" i="25"/>
  <c r="W1834" i="25"/>
  <c r="X1834" i="25"/>
  <c r="Y1834" i="25"/>
  <c r="Z1834" i="25"/>
  <c r="AA1834" i="25"/>
  <c r="V1842" i="25"/>
  <c r="W1842" i="25"/>
  <c r="X1842" i="25"/>
  <c r="Y1842" i="25"/>
  <c r="Z1842" i="25"/>
  <c r="AA1842" i="25"/>
  <c r="V1850" i="25"/>
  <c r="W1850" i="25"/>
  <c r="X1850" i="25"/>
  <c r="Y1850" i="25"/>
  <c r="Z1850" i="25"/>
  <c r="AA1850" i="25"/>
  <c r="V1858" i="25"/>
  <c r="W1858" i="25"/>
  <c r="X1858" i="25"/>
  <c r="Y1858" i="25"/>
  <c r="Z1858" i="25"/>
  <c r="AA1858" i="25"/>
  <c r="V1866" i="25"/>
  <c r="W1866" i="25"/>
  <c r="X1866" i="25"/>
  <c r="Y1866" i="25"/>
  <c r="Z1866" i="25"/>
  <c r="AA1866" i="25"/>
  <c r="V1874" i="25"/>
  <c r="W1874" i="25"/>
  <c r="X1874" i="25"/>
  <c r="Y1874" i="25"/>
  <c r="Z1874" i="25"/>
  <c r="AA1874" i="25"/>
  <c r="V1882" i="25"/>
  <c r="W1882" i="25"/>
  <c r="X1882" i="25"/>
  <c r="Y1882" i="25"/>
  <c r="Z1882" i="25"/>
  <c r="AA1882" i="25"/>
  <c r="V1890" i="25"/>
  <c r="W1890" i="25"/>
  <c r="X1890" i="25"/>
  <c r="Y1890" i="25"/>
  <c r="Z1890" i="25"/>
  <c r="AA1890" i="25"/>
  <c r="V1898" i="25"/>
  <c r="W1898" i="25"/>
  <c r="X1898" i="25"/>
  <c r="Y1898" i="25"/>
  <c r="Z1898" i="25"/>
  <c r="AA1898" i="25"/>
  <c r="V1906" i="25"/>
  <c r="W1906" i="25"/>
  <c r="X1906" i="25"/>
  <c r="Y1906" i="25"/>
  <c r="Z1906" i="25"/>
  <c r="AA1906" i="25"/>
  <c r="V1914" i="25"/>
  <c r="Z1914" i="25"/>
  <c r="W1914" i="25"/>
  <c r="X1914" i="25"/>
  <c r="Y1914" i="25"/>
  <c r="AA1914" i="25"/>
  <c r="V1922" i="25"/>
  <c r="Z1922" i="25"/>
  <c r="Y1922" i="25"/>
  <c r="AA1922" i="25"/>
  <c r="W1922" i="25"/>
  <c r="X1922" i="25"/>
  <c r="V1930" i="25"/>
  <c r="Z1930" i="25"/>
  <c r="W1930" i="25"/>
  <c r="X1930" i="25"/>
  <c r="Y1930" i="25"/>
  <c r="AA1930" i="25"/>
  <c r="V1938" i="25"/>
  <c r="Z1938" i="25"/>
  <c r="W1938" i="25"/>
  <c r="X1938" i="25"/>
  <c r="Y1938" i="25"/>
  <c r="AA1938" i="25"/>
  <c r="V1946" i="25"/>
  <c r="Z1946" i="25"/>
  <c r="W1946" i="25"/>
  <c r="X1946" i="25"/>
  <c r="Y1946" i="25"/>
  <c r="AA1946" i="25"/>
  <c r="V1954" i="25"/>
  <c r="Z1954" i="25"/>
  <c r="Y1954" i="25"/>
  <c r="AA1954" i="25"/>
  <c r="W1954" i="25"/>
  <c r="X1954" i="25"/>
  <c r="V1962" i="25"/>
  <c r="Z1962" i="25"/>
  <c r="W1962" i="25"/>
  <c r="X1962" i="25"/>
  <c r="Y1962" i="25"/>
  <c r="AA1962" i="25"/>
  <c r="V1970" i="25"/>
  <c r="Z1970" i="25"/>
  <c r="W1970" i="25"/>
  <c r="X1970" i="25"/>
  <c r="Y1970" i="25"/>
  <c r="AA1970" i="25"/>
  <c r="V1978" i="25"/>
  <c r="Z1978" i="25"/>
  <c r="W1978" i="25"/>
  <c r="X1978" i="25"/>
  <c r="Y1978" i="25"/>
  <c r="AA1978" i="25"/>
  <c r="V1986" i="25"/>
  <c r="Z1986" i="25"/>
  <c r="Y1986" i="25"/>
  <c r="AA1986" i="25"/>
  <c r="W1986" i="25"/>
  <c r="X1986" i="25"/>
  <c r="V1994" i="25"/>
  <c r="Z1994" i="25"/>
  <c r="W1994" i="25"/>
  <c r="X1994" i="25"/>
  <c r="Y1994" i="25"/>
  <c r="AA1994" i="25"/>
  <c r="V2002" i="25"/>
  <c r="Z2002" i="25"/>
  <c r="W2002" i="25"/>
  <c r="X2002" i="25"/>
  <c r="Y2002" i="25"/>
  <c r="AA2002" i="25"/>
  <c r="V2030" i="25"/>
  <c r="Z2030" i="25"/>
  <c r="W2030" i="25"/>
  <c r="X2030" i="25"/>
  <c r="Y2030" i="25"/>
  <c r="AA2030" i="25"/>
  <c r="V2034" i="25"/>
  <c r="Z2034" i="25"/>
  <c r="Y2034" i="25"/>
  <c r="AA2034" i="25"/>
  <c r="W2034" i="25"/>
  <c r="X2034" i="25"/>
  <c r="V2038" i="25"/>
  <c r="W2038" i="25"/>
  <c r="X2038" i="25"/>
  <c r="Y2038" i="25"/>
  <c r="Z2038" i="25"/>
  <c r="AA2038" i="25"/>
  <c r="V2042" i="25"/>
  <c r="W2042" i="25"/>
  <c r="X2042" i="25"/>
  <c r="Y2042" i="25"/>
  <c r="Z2042" i="25"/>
  <c r="AA2042" i="25"/>
  <c r="V2046" i="25"/>
  <c r="W2046" i="25"/>
  <c r="X2046" i="25"/>
  <c r="Y2046" i="25"/>
  <c r="Z2046" i="25"/>
  <c r="AA2046" i="25"/>
  <c r="V2051" i="25"/>
  <c r="W2051" i="25"/>
  <c r="X2051" i="25"/>
  <c r="Y2051" i="25"/>
  <c r="Z2051" i="25"/>
  <c r="AA2051" i="25"/>
  <c r="V2059" i="25"/>
  <c r="W2059" i="25"/>
  <c r="X2059" i="25"/>
  <c r="Y2059" i="25"/>
  <c r="Z2059" i="25"/>
  <c r="AA2059" i="25"/>
  <c r="V2067" i="25"/>
  <c r="W2067" i="25"/>
  <c r="X2067" i="25"/>
  <c r="Y2067" i="25"/>
  <c r="Z2067" i="25"/>
  <c r="AA2067" i="25"/>
  <c r="V2075" i="25"/>
  <c r="W2075" i="25"/>
  <c r="X2075" i="25"/>
  <c r="Y2075" i="25"/>
  <c r="Z2075" i="25"/>
  <c r="AA2075" i="25"/>
  <c r="V2083" i="25"/>
  <c r="W2083" i="25"/>
  <c r="X2083" i="25"/>
  <c r="Y2083" i="25"/>
  <c r="Z2083" i="25"/>
  <c r="AA2083" i="25"/>
  <c r="V2091" i="25"/>
  <c r="W2091" i="25"/>
  <c r="X2091" i="25"/>
  <c r="Y2091" i="25"/>
  <c r="Z2091" i="25"/>
  <c r="AA2091" i="25"/>
  <c r="V2099" i="25"/>
  <c r="W2099" i="25"/>
  <c r="X2099" i="25"/>
  <c r="Y2099" i="25"/>
  <c r="Z2099" i="25"/>
  <c r="AA2099" i="25"/>
  <c r="V2107" i="25"/>
  <c r="W2107" i="25"/>
  <c r="X2107" i="25"/>
  <c r="Y2107" i="25"/>
  <c r="Z2107" i="25"/>
  <c r="AA2107" i="25"/>
  <c r="V2115" i="25"/>
  <c r="W2115" i="25"/>
  <c r="X2115" i="25"/>
  <c r="Y2115" i="25"/>
  <c r="Z2115" i="25"/>
  <c r="AA2115" i="25"/>
  <c r="V2123" i="25"/>
  <c r="W2123" i="25"/>
  <c r="X2123" i="25"/>
  <c r="Y2123" i="25"/>
  <c r="Z2123" i="25"/>
  <c r="AA2123" i="25"/>
  <c r="V2131" i="25"/>
  <c r="W2131" i="25"/>
  <c r="X2131" i="25"/>
  <c r="Y2131" i="25"/>
  <c r="Z2131" i="25"/>
  <c r="AA2131" i="25"/>
  <c r="V2139" i="25"/>
  <c r="W2139" i="25"/>
  <c r="X2139" i="25"/>
  <c r="Y2139" i="25"/>
  <c r="Z2139" i="25"/>
  <c r="AA2139" i="25"/>
  <c r="V2147" i="25"/>
  <c r="W2147" i="25"/>
  <c r="X2147" i="25"/>
  <c r="Y2147" i="25"/>
  <c r="Z2147" i="25"/>
  <c r="AA2147" i="25"/>
  <c r="V2155" i="25"/>
  <c r="W2155" i="25"/>
  <c r="X2155" i="25"/>
  <c r="Y2155" i="25"/>
  <c r="Z2155" i="25"/>
  <c r="AA2155" i="25"/>
  <c r="V2163" i="25"/>
  <c r="W2163" i="25"/>
  <c r="X2163" i="25"/>
  <c r="Y2163" i="25"/>
  <c r="Z2163" i="25"/>
  <c r="AA2163" i="25"/>
  <c r="V2171" i="25"/>
  <c r="W2171" i="25"/>
  <c r="X2171" i="25"/>
  <c r="Y2171" i="25"/>
  <c r="Z2171" i="25"/>
  <c r="AA2171" i="25"/>
  <c r="V2179" i="25"/>
  <c r="W2179" i="25"/>
  <c r="X2179" i="25"/>
  <c r="Y2179" i="25"/>
  <c r="Z2179" i="25"/>
  <c r="AA2179" i="25"/>
  <c r="V2187" i="25"/>
  <c r="W2187" i="25"/>
  <c r="X2187" i="25"/>
  <c r="Y2187" i="25"/>
  <c r="Z2187" i="25"/>
  <c r="AA2187" i="25"/>
  <c r="V2195" i="25"/>
  <c r="W2195" i="25"/>
  <c r="X2195" i="25"/>
  <c r="Y2195" i="25"/>
  <c r="Z2195" i="25"/>
  <c r="AA2195" i="25"/>
  <c r="V2203" i="25"/>
  <c r="W2203" i="25"/>
  <c r="X2203" i="25"/>
  <c r="Y2203" i="25"/>
  <c r="Z2203" i="25"/>
  <c r="AA2203" i="25"/>
  <c r="V2211" i="25"/>
  <c r="W2211" i="25"/>
  <c r="X2211" i="25"/>
  <c r="Y2211" i="25"/>
  <c r="Z2211" i="25"/>
  <c r="AA2211" i="25"/>
  <c r="V2219" i="25"/>
  <c r="W2219" i="25"/>
  <c r="X2219" i="25"/>
  <c r="Y2219" i="25"/>
  <c r="Z2219" i="25"/>
  <c r="AA2219" i="25"/>
  <c r="V2227" i="25"/>
  <c r="W2227" i="25"/>
  <c r="X2227" i="25"/>
  <c r="Y2227" i="25"/>
  <c r="Z2227" i="25"/>
  <c r="AA2227" i="25"/>
  <c r="V2235" i="25"/>
  <c r="W2235" i="25"/>
  <c r="X2235" i="25"/>
  <c r="Y2235" i="25"/>
  <c r="Z2235" i="25"/>
  <c r="AA2235" i="25"/>
  <c r="V2243" i="25"/>
  <c r="W2243" i="25"/>
  <c r="X2243" i="25"/>
  <c r="Y2243" i="25"/>
  <c r="Z2243" i="25"/>
  <c r="AA2243" i="25"/>
  <c r="V2251" i="25"/>
  <c r="W2251" i="25"/>
  <c r="X2251" i="25"/>
  <c r="Y2251" i="25"/>
  <c r="Z2251" i="25"/>
  <c r="AA2251" i="25"/>
  <c r="V2259" i="25"/>
  <c r="W2259" i="25"/>
  <c r="X2259" i="25"/>
  <c r="Y2259" i="25"/>
  <c r="Z2259" i="25"/>
  <c r="AA2259" i="25"/>
  <c r="V2267" i="25"/>
  <c r="W2267" i="25"/>
  <c r="X2267" i="25"/>
  <c r="Y2267" i="25"/>
  <c r="Z2267" i="25"/>
  <c r="AA2267" i="25"/>
  <c r="V2275" i="25"/>
  <c r="W2275" i="25"/>
  <c r="X2275" i="25"/>
  <c r="Y2275" i="25"/>
  <c r="Z2275" i="25"/>
  <c r="AA2275" i="25"/>
  <c r="V2283" i="25"/>
  <c r="W2283" i="25"/>
  <c r="Y2283" i="25"/>
  <c r="AA2283" i="25"/>
  <c r="Z2283" i="25"/>
  <c r="X2283" i="25"/>
  <c r="V2291" i="25"/>
  <c r="Y2291" i="25"/>
  <c r="AA2291" i="25"/>
  <c r="Z2291" i="25"/>
  <c r="W2291" i="25"/>
  <c r="X2291" i="25"/>
  <c r="V2299" i="25"/>
  <c r="Y2299" i="25"/>
  <c r="AA2299" i="25"/>
  <c r="W2299" i="25"/>
  <c r="X2299" i="25"/>
  <c r="Z2299" i="25"/>
  <c r="V2307" i="25"/>
  <c r="Y2307" i="25"/>
  <c r="AA2307" i="25"/>
  <c r="W2307" i="25"/>
  <c r="X2307" i="25"/>
  <c r="Z2307" i="25"/>
  <c r="V2315" i="25"/>
  <c r="Y2315" i="25"/>
  <c r="AA2315" i="25"/>
  <c r="W2315" i="25"/>
  <c r="X2315" i="25"/>
  <c r="Z2315" i="25"/>
  <c r="V2323" i="25"/>
  <c r="Y2323" i="25"/>
  <c r="AA2323" i="25"/>
  <c r="Z2323" i="25"/>
  <c r="W2323" i="25"/>
  <c r="X2323" i="25"/>
  <c r="V2331" i="25"/>
  <c r="Y2331" i="25"/>
  <c r="AA2331" i="25"/>
  <c r="W2331" i="25"/>
  <c r="X2331" i="25"/>
  <c r="Z2331" i="25"/>
  <c r="V2339" i="25"/>
  <c r="Y2339" i="25"/>
  <c r="AA2339" i="25"/>
  <c r="W2339" i="25"/>
  <c r="X2339" i="25"/>
  <c r="Z2339" i="25"/>
  <c r="V2347" i="25"/>
  <c r="Y2347" i="25"/>
  <c r="AA2347" i="25"/>
  <c r="W2347" i="25"/>
  <c r="X2347" i="25"/>
  <c r="Z2347" i="25"/>
  <c r="V2355" i="25"/>
  <c r="Y2355" i="25"/>
  <c r="AA2355" i="25"/>
  <c r="Z2355" i="25"/>
  <c r="X2355" i="25"/>
  <c r="W2355" i="25"/>
  <c r="V2363" i="25"/>
  <c r="Y2363" i="25"/>
  <c r="AA2363" i="25"/>
  <c r="W2363" i="25"/>
  <c r="X2363" i="25"/>
  <c r="Z2363" i="25"/>
  <c r="V2371" i="25"/>
  <c r="Y2371" i="25"/>
  <c r="AA2371" i="25"/>
  <c r="W2371" i="25"/>
  <c r="X2371" i="25"/>
  <c r="Z2371" i="25"/>
  <c r="V2379" i="25"/>
  <c r="Y2379" i="25"/>
  <c r="AA2379" i="25"/>
  <c r="W2379" i="25"/>
  <c r="X2379" i="25"/>
  <c r="Z2379" i="25"/>
  <c r="V2387" i="25"/>
  <c r="Y2387" i="25"/>
  <c r="AA2387" i="25"/>
  <c r="Z2387" i="25"/>
  <c r="W2387" i="25"/>
  <c r="X2387" i="25"/>
  <c r="V2395" i="25"/>
  <c r="X2395" i="25"/>
  <c r="Y2395" i="25"/>
  <c r="Z2395" i="25"/>
  <c r="AA2395" i="25"/>
  <c r="W2395" i="25"/>
  <c r="V2403" i="25"/>
  <c r="X2403" i="25"/>
  <c r="Y2403" i="25"/>
  <c r="Z2403" i="25"/>
  <c r="AA2403" i="25"/>
  <c r="W2403" i="25"/>
  <c r="V2411" i="25"/>
  <c r="X2411" i="25"/>
  <c r="Y2411" i="25"/>
  <c r="Z2411" i="25"/>
  <c r="AA2411" i="25"/>
  <c r="W2411" i="25"/>
  <c r="V2419" i="25"/>
  <c r="X2419" i="25"/>
  <c r="Y2419" i="25"/>
  <c r="Z2419" i="25"/>
  <c r="AA2419" i="25"/>
  <c r="W2419" i="25"/>
  <c r="V2427" i="25"/>
  <c r="X2427" i="25"/>
  <c r="Y2427" i="25"/>
  <c r="Z2427" i="25"/>
  <c r="AA2427" i="25"/>
  <c r="W2427" i="25"/>
  <c r="V2435" i="25"/>
  <c r="X2435" i="25"/>
  <c r="Y2435" i="25"/>
  <c r="Z2435" i="25"/>
  <c r="AA2435" i="25"/>
  <c r="W2435" i="25"/>
  <c r="V2443" i="25"/>
  <c r="X2443" i="25"/>
  <c r="Y2443" i="25"/>
  <c r="Z2443" i="25"/>
  <c r="AA2443" i="25"/>
  <c r="W2443" i="25"/>
  <c r="V2451" i="25"/>
  <c r="X2451" i="25"/>
  <c r="Y2451" i="25"/>
  <c r="Z2451" i="25"/>
  <c r="AA2451" i="25"/>
  <c r="W2451" i="25"/>
  <c r="V2459" i="25"/>
  <c r="X2459" i="25"/>
  <c r="Y2459" i="25"/>
  <c r="Z2459" i="25"/>
  <c r="AA2459" i="25"/>
  <c r="W2459" i="25"/>
  <c r="V2467" i="25"/>
  <c r="X2467" i="25"/>
  <c r="Y2467" i="25"/>
  <c r="Z2467" i="25"/>
  <c r="AA2467" i="25"/>
  <c r="W2467" i="25"/>
  <c r="V2475" i="25"/>
  <c r="X2475" i="25"/>
  <c r="Y2475" i="25"/>
  <c r="Z2475" i="25"/>
  <c r="AA2475" i="25"/>
  <c r="W2475" i="25"/>
  <c r="V2483" i="25"/>
  <c r="X2483" i="25"/>
  <c r="Y2483" i="25"/>
  <c r="Z2483" i="25"/>
  <c r="AA2483" i="25"/>
  <c r="W2483" i="25"/>
  <c r="V2491" i="25"/>
  <c r="X2491" i="25"/>
  <c r="Y2491" i="25"/>
  <c r="Z2491" i="25"/>
  <c r="AA2491" i="25"/>
  <c r="W2491" i="25"/>
  <c r="V2499" i="25"/>
  <c r="X2499" i="25"/>
  <c r="Y2499" i="25"/>
  <c r="Z2499" i="25"/>
  <c r="AA2499" i="25"/>
  <c r="W2499" i="25"/>
  <c r="V2507" i="25"/>
  <c r="X2507" i="25"/>
  <c r="Y2507" i="25"/>
  <c r="Z2507" i="25"/>
  <c r="AA2507" i="25"/>
  <c r="W2507" i="25"/>
  <c r="V2515" i="25"/>
  <c r="X2515" i="25"/>
  <c r="Y2515" i="25"/>
  <c r="Z2515" i="25"/>
  <c r="AA2515" i="25"/>
  <c r="W2515" i="25"/>
  <c r="V2523" i="25"/>
  <c r="X2523" i="25"/>
  <c r="Y2523" i="25"/>
  <c r="Z2523" i="25"/>
  <c r="AA2523" i="25"/>
  <c r="W2523" i="25"/>
  <c r="V2531" i="25"/>
  <c r="X2531" i="25"/>
  <c r="Y2531" i="25"/>
  <c r="Z2531" i="25"/>
  <c r="AA2531" i="25"/>
  <c r="W2531" i="25"/>
  <c r="V2539" i="25"/>
  <c r="X2539" i="25"/>
  <c r="Y2539" i="25"/>
  <c r="Z2539" i="25"/>
  <c r="AA2539" i="25"/>
  <c r="W2539" i="25"/>
  <c r="V2547" i="25"/>
  <c r="X2547" i="25"/>
  <c r="Y2547" i="25"/>
  <c r="Z2547" i="25"/>
  <c r="AA2547" i="25"/>
  <c r="W2547" i="25"/>
  <c r="V2555" i="25"/>
  <c r="X2555" i="25"/>
  <c r="Y2555" i="25"/>
  <c r="Z2555" i="25"/>
  <c r="AA2555" i="25"/>
  <c r="W2555" i="25"/>
  <c r="V2563" i="25"/>
  <c r="X2563" i="25"/>
  <c r="Y2563" i="25"/>
  <c r="Z2563" i="25"/>
  <c r="AA2563" i="25"/>
  <c r="W2563" i="25"/>
  <c r="V2571" i="25"/>
  <c r="X2571" i="25"/>
  <c r="Y2571" i="25"/>
  <c r="Z2571" i="25"/>
  <c r="AA2571" i="25"/>
  <c r="W2571" i="25"/>
  <c r="V2579" i="25"/>
  <c r="X2579" i="25"/>
  <c r="Y2579" i="25"/>
  <c r="Z2579" i="25"/>
  <c r="AA2579" i="25"/>
  <c r="W2579" i="25"/>
  <c r="V2587" i="25"/>
  <c r="X2587" i="25"/>
  <c r="Y2587" i="25"/>
  <c r="Z2587" i="25"/>
  <c r="AA2587" i="25"/>
  <c r="W2587" i="25"/>
  <c r="V2595" i="25"/>
  <c r="X2595" i="25"/>
  <c r="Y2595" i="25"/>
  <c r="Z2595" i="25"/>
  <c r="AA2595" i="25"/>
  <c r="W2595" i="25"/>
  <c r="V2603" i="25"/>
  <c r="X2603" i="25"/>
  <c r="Y2603" i="25"/>
  <c r="Z2603" i="25"/>
  <c r="AA2603" i="25"/>
  <c r="W2603" i="25"/>
  <c r="V2611" i="25"/>
  <c r="X2611" i="25"/>
  <c r="Y2611" i="25"/>
  <c r="Z2611" i="25"/>
  <c r="AA2611" i="25"/>
  <c r="W2611" i="25"/>
  <c r="V2619" i="25"/>
  <c r="X2619" i="25"/>
  <c r="Y2619" i="25"/>
  <c r="Z2619" i="25"/>
  <c r="AA2619" i="25"/>
  <c r="W2619" i="25"/>
  <c r="V2627" i="25"/>
  <c r="X2627" i="25"/>
  <c r="Y2627" i="25"/>
  <c r="Z2627" i="25"/>
  <c r="AA2627" i="25"/>
  <c r="W2627" i="25"/>
  <c r="V2635" i="25"/>
  <c r="X2635" i="25"/>
  <c r="Y2635" i="25"/>
  <c r="Z2635" i="25"/>
  <c r="AA2635" i="25"/>
  <c r="W2635" i="25"/>
  <c r="V2643" i="25"/>
  <c r="X2643" i="25"/>
  <c r="Y2643" i="25"/>
  <c r="Z2643" i="25"/>
  <c r="AA2643" i="25"/>
  <c r="W2643" i="25"/>
  <c r="V2651" i="25"/>
  <c r="X2651" i="25"/>
  <c r="Y2651" i="25"/>
  <c r="Z2651" i="25"/>
  <c r="AA2651" i="25"/>
  <c r="W2651" i="25"/>
  <c r="V2659" i="25"/>
  <c r="X2659" i="25"/>
  <c r="Y2659" i="25"/>
  <c r="Z2659" i="25"/>
  <c r="AA2659" i="25"/>
  <c r="W2659" i="25"/>
  <c r="V2667" i="25"/>
  <c r="X2667" i="25"/>
  <c r="Y2667" i="25"/>
  <c r="Z2667" i="25"/>
  <c r="AA2667" i="25"/>
  <c r="W2667" i="25"/>
  <c r="V2675" i="25"/>
  <c r="X2675" i="25"/>
  <c r="Y2675" i="25"/>
  <c r="Z2675" i="25"/>
  <c r="AA2675" i="25"/>
  <c r="W2675" i="25"/>
  <c r="V2683" i="25"/>
  <c r="X2683" i="25"/>
  <c r="Y2683" i="25"/>
  <c r="Z2683" i="25"/>
  <c r="AA2683" i="25"/>
  <c r="W2683" i="25"/>
  <c r="V2691" i="25"/>
  <c r="X2691" i="25"/>
  <c r="Y2691" i="25"/>
  <c r="Z2691" i="25"/>
  <c r="AA2691" i="25"/>
  <c r="W2691" i="25"/>
  <c r="V2699" i="25"/>
  <c r="X2699" i="25"/>
  <c r="Y2699" i="25"/>
  <c r="Z2699" i="25"/>
  <c r="AA2699" i="25"/>
  <c r="W2699" i="25"/>
  <c r="V2707" i="25"/>
  <c r="X2707" i="25"/>
  <c r="Y2707" i="25"/>
  <c r="Z2707" i="25"/>
  <c r="AA2707" i="25"/>
  <c r="W2707" i="25"/>
  <c r="V2715" i="25"/>
  <c r="X2715" i="25"/>
  <c r="Y2715" i="25"/>
  <c r="Z2715" i="25"/>
  <c r="AA2715" i="25"/>
  <c r="W2715" i="25"/>
  <c r="V2723" i="25"/>
  <c r="X2723" i="25"/>
  <c r="Y2723" i="25"/>
  <c r="Z2723" i="25"/>
  <c r="AA2723" i="25"/>
  <c r="W2723" i="25"/>
  <c r="V2731" i="25"/>
  <c r="X2731" i="25"/>
  <c r="Y2731" i="25"/>
  <c r="Z2731" i="25"/>
  <c r="AA2731" i="25"/>
  <c r="W2731" i="25"/>
  <c r="V2739" i="25"/>
  <c r="X2739" i="25"/>
  <c r="Y2739" i="25"/>
  <c r="Z2739" i="25"/>
  <c r="AA2739" i="25"/>
  <c r="V2748" i="25"/>
  <c r="X2748" i="25"/>
  <c r="Y2748" i="25"/>
  <c r="Z2748" i="25"/>
  <c r="AA2748" i="25"/>
  <c r="W2748" i="25"/>
  <c r="V2758" i="25"/>
  <c r="X2758" i="25"/>
  <c r="Y2758" i="25"/>
  <c r="Z2758" i="25"/>
  <c r="AA2758" i="25"/>
  <c r="W2758" i="25"/>
  <c r="V2767" i="25"/>
  <c r="X2767" i="25"/>
  <c r="Z2767" i="25"/>
  <c r="W2767" i="25"/>
  <c r="Y2767" i="25"/>
  <c r="AA2767" i="25"/>
  <c r="V2775" i="25"/>
  <c r="X2775" i="25"/>
  <c r="Z2775" i="25"/>
  <c r="W2775" i="25"/>
  <c r="Y2775" i="25"/>
  <c r="AA2775" i="25"/>
  <c r="V2783" i="25"/>
  <c r="X2783" i="25"/>
  <c r="Z2783" i="25"/>
  <c r="Y2783" i="25"/>
  <c r="AA2783" i="25"/>
  <c r="W2783" i="25"/>
  <c r="V2791" i="25"/>
  <c r="Z2791" i="25"/>
  <c r="AA2791" i="25"/>
  <c r="W2791" i="25"/>
  <c r="X2791" i="25"/>
  <c r="Y2791" i="25"/>
  <c r="V2799" i="25"/>
  <c r="AA2799" i="25"/>
  <c r="W2799" i="25"/>
  <c r="X2799" i="25"/>
  <c r="Z2799" i="25"/>
  <c r="V2807" i="25"/>
  <c r="AA2807" i="25"/>
  <c r="W2807" i="25"/>
  <c r="X2807" i="25"/>
  <c r="Y2807" i="25"/>
  <c r="Z2807" i="25"/>
  <c r="V2815" i="25"/>
  <c r="AA2815" i="25"/>
  <c r="W2815" i="25"/>
  <c r="X2815" i="25"/>
  <c r="Y2815" i="25"/>
  <c r="Z2815" i="25"/>
  <c r="V2823" i="25"/>
  <c r="AA2823" i="25"/>
  <c r="W2823" i="25"/>
  <c r="X2823" i="25"/>
  <c r="Y2823" i="25"/>
  <c r="Z2823" i="25"/>
  <c r="V2831" i="25"/>
  <c r="AA2831" i="25"/>
  <c r="W2831" i="25"/>
  <c r="X2831" i="25"/>
  <c r="Z2831" i="25"/>
  <c r="V2839" i="25"/>
  <c r="AA2839" i="25"/>
  <c r="W2839" i="25"/>
  <c r="X2839" i="25"/>
  <c r="Y2839" i="25"/>
  <c r="Z2839" i="25"/>
  <c r="V2847" i="25"/>
  <c r="AA2847" i="25"/>
  <c r="W2847" i="25"/>
  <c r="X2847" i="25"/>
  <c r="Y2847" i="25"/>
  <c r="Z2847" i="25"/>
  <c r="V2855" i="25"/>
  <c r="AA2855" i="25"/>
  <c r="W2855" i="25"/>
  <c r="X2855" i="25"/>
  <c r="Y2855" i="25"/>
  <c r="Z2855" i="25"/>
  <c r="V2863" i="25"/>
  <c r="AA2863" i="25"/>
  <c r="W2863" i="25"/>
  <c r="X2863" i="25"/>
  <c r="Z2863" i="25"/>
  <c r="V2871" i="25"/>
  <c r="AA2871" i="25"/>
  <c r="W2871" i="25"/>
  <c r="X2871" i="25"/>
  <c r="Y2871" i="25"/>
  <c r="Z2871" i="25"/>
  <c r="V2879" i="25"/>
  <c r="AA2879" i="25"/>
  <c r="W2879" i="25"/>
  <c r="X2879" i="25"/>
  <c r="Y2879" i="25"/>
  <c r="Z2879" i="25"/>
  <c r="V2887" i="25"/>
  <c r="AA2887" i="25"/>
  <c r="W2887" i="25"/>
  <c r="X2887" i="25"/>
  <c r="Y2887" i="25"/>
  <c r="Z2887" i="25"/>
  <c r="V2895" i="25"/>
  <c r="AA2895" i="25"/>
  <c r="W2895" i="25"/>
  <c r="X2895" i="25"/>
  <c r="Z2895" i="25"/>
  <c r="V2903" i="25"/>
  <c r="AA2903" i="25"/>
  <c r="W2903" i="25"/>
  <c r="X2903" i="25"/>
  <c r="Y2903" i="25"/>
  <c r="Z2903" i="25"/>
  <c r="V2911" i="25"/>
  <c r="AA2911" i="25"/>
  <c r="W2911" i="25"/>
  <c r="X2911" i="25"/>
  <c r="Y2911" i="25"/>
  <c r="Z2911" i="25"/>
  <c r="V2919" i="25"/>
  <c r="AA2919" i="25"/>
  <c r="W2919" i="25"/>
  <c r="X2919" i="25"/>
  <c r="Y2919" i="25"/>
  <c r="Z2919" i="25"/>
  <c r="V2927" i="25"/>
  <c r="AA2927" i="25"/>
  <c r="W2927" i="25"/>
  <c r="X2927" i="25"/>
  <c r="Z2927" i="25"/>
  <c r="V2935" i="25"/>
  <c r="AA2935" i="25"/>
  <c r="W2935" i="25"/>
  <c r="X2935" i="25"/>
  <c r="Y2935" i="25"/>
  <c r="Z2935" i="25"/>
  <c r="V2943" i="25"/>
  <c r="AA2943" i="25"/>
  <c r="W2943" i="25"/>
  <c r="X2943" i="25"/>
  <c r="Y2943" i="25"/>
  <c r="Z2943" i="25"/>
  <c r="V2951" i="25"/>
  <c r="AA2951" i="25"/>
  <c r="W2951" i="25"/>
  <c r="X2951" i="25"/>
  <c r="Y2951" i="25"/>
  <c r="Z2951" i="25"/>
  <c r="V2965" i="25"/>
  <c r="AA2965" i="25"/>
  <c r="W2965" i="25"/>
  <c r="X2965" i="25"/>
  <c r="Z2965" i="25"/>
  <c r="V2976" i="25"/>
  <c r="AA2976" i="25"/>
  <c r="W2976" i="25"/>
  <c r="X2976" i="25"/>
  <c r="Y2976" i="25"/>
  <c r="Z2976" i="25"/>
  <c r="V2984" i="25"/>
  <c r="AA2984" i="25"/>
  <c r="W2984" i="25"/>
  <c r="X2984" i="25"/>
  <c r="Y2984" i="25"/>
  <c r="Z2984" i="25"/>
  <c r="V2994" i="25"/>
  <c r="AA2994" i="25"/>
  <c r="X2994" i="25"/>
  <c r="W2994" i="25"/>
  <c r="Y2994" i="25"/>
  <c r="Z2994" i="25"/>
  <c r="V3004" i="25"/>
  <c r="AA3004" i="25"/>
  <c r="X3004" i="25"/>
  <c r="W3004" i="25"/>
  <c r="Y3004" i="25"/>
  <c r="Z3004" i="25"/>
  <c r="V3012" i="25"/>
  <c r="AA3012" i="25"/>
  <c r="X3012" i="25"/>
  <c r="W3012" i="25"/>
  <c r="Y3012" i="25"/>
  <c r="Z3012" i="25"/>
  <c r="V3020" i="25"/>
  <c r="AA3020" i="25"/>
  <c r="X3020" i="25"/>
  <c r="Z3020" i="25"/>
  <c r="W3020" i="25"/>
  <c r="V3028" i="25"/>
  <c r="AA3028" i="25"/>
  <c r="X3028" i="25"/>
  <c r="W3028" i="25"/>
  <c r="Y3028" i="25"/>
  <c r="Z3028" i="25"/>
  <c r="V3036" i="25"/>
  <c r="AA3036" i="25"/>
  <c r="X3036" i="25"/>
  <c r="W3036" i="25"/>
  <c r="Y3036" i="25"/>
  <c r="Z3036" i="25"/>
  <c r="V3044" i="25"/>
  <c r="AA3044" i="25"/>
  <c r="X3044" i="25"/>
  <c r="W3044" i="25"/>
  <c r="Y3044" i="25"/>
  <c r="Z3044" i="25"/>
  <c r="V3052" i="25"/>
  <c r="AA3052" i="25"/>
  <c r="X3052" i="25"/>
  <c r="Z3052" i="25"/>
  <c r="W3052" i="25"/>
  <c r="V3060" i="25"/>
  <c r="AA3060" i="25"/>
  <c r="X3060" i="25"/>
  <c r="W3060" i="25"/>
  <c r="Y3060" i="25"/>
  <c r="Z3060" i="25"/>
  <c r="V3068" i="25"/>
  <c r="AA3068" i="25"/>
  <c r="X3068" i="25"/>
  <c r="W3068" i="25"/>
  <c r="Y3068" i="25"/>
  <c r="Z3068" i="25"/>
  <c r="V3076" i="25"/>
  <c r="AA3076" i="25"/>
  <c r="X3076" i="25"/>
  <c r="Y3076" i="25"/>
  <c r="Z3076" i="25"/>
  <c r="V3084" i="25"/>
  <c r="AA3084" i="25"/>
  <c r="X3084" i="25"/>
  <c r="W3084" i="25"/>
  <c r="V3092" i="25"/>
  <c r="AA3092" i="25"/>
  <c r="X3092" i="25"/>
  <c r="W3092" i="25"/>
  <c r="Y3092" i="25"/>
  <c r="Z3092" i="25"/>
  <c r="V3100" i="25"/>
  <c r="AA3100" i="25"/>
  <c r="X3100" i="25"/>
  <c r="W3100" i="25"/>
  <c r="Y3100" i="25"/>
  <c r="Z3100" i="25"/>
  <c r="V3108" i="25"/>
  <c r="AA3108" i="25"/>
  <c r="X3108" i="25"/>
  <c r="Y3108" i="25"/>
  <c r="Z3108" i="25"/>
  <c r="V3116" i="25"/>
  <c r="AA3116" i="25"/>
  <c r="X3116" i="25"/>
  <c r="W3116" i="25"/>
  <c r="V3124" i="25"/>
  <c r="AA3124" i="25"/>
  <c r="X3124" i="25"/>
  <c r="W3124" i="25"/>
  <c r="Y3124" i="25"/>
  <c r="Z3124" i="25"/>
  <c r="V3132" i="25"/>
  <c r="AA3132" i="25"/>
  <c r="X3132" i="25"/>
  <c r="W3132" i="25"/>
  <c r="Y3132" i="25"/>
  <c r="Z3132" i="25"/>
  <c r="V3140" i="25"/>
  <c r="AA3140" i="25"/>
  <c r="X3140" i="25"/>
  <c r="Y3140" i="25"/>
  <c r="Z3140" i="25"/>
  <c r="V3151" i="25"/>
  <c r="AA3151" i="25"/>
  <c r="X3151" i="25"/>
  <c r="W3151" i="25"/>
  <c r="V3159" i="25"/>
  <c r="AA3159" i="25"/>
  <c r="X3159" i="25"/>
  <c r="W3159" i="25"/>
  <c r="Y3159" i="25"/>
  <c r="Z3159" i="25"/>
  <c r="V3167" i="25"/>
  <c r="AA3167" i="25"/>
  <c r="X3167" i="25"/>
  <c r="W3167" i="25"/>
  <c r="Y3167" i="25"/>
  <c r="Z3167" i="25"/>
  <c r="V3175" i="25"/>
  <c r="AA3175" i="25"/>
  <c r="X3175" i="25"/>
  <c r="Y3175" i="25"/>
  <c r="Z3175" i="25"/>
  <c r="V3183" i="25"/>
  <c r="AA3183" i="25"/>
  <c r="X3183" i="25"/>
  <c r="W3183" i="25"/>
  <c r="V3196" i="25"/>
  <c r="W3196" i="25"/>
  <c r="X3196" i="25"/>
  <c r="Y3196" i="25"/>
  <c r="Z3196" i="25"/>
  <c r="AA3196" i="25"/>
  <c r="V3212" i="25"/>
  <c r="W3212" i="25"/>
  <c r="X3212" i="25"/>
  <c r="Y3212" i="25"/>
  <c r="Z3212" i="25"/>
  <c r="AA3212" i="25"/>
  <c r="V3220" i="25"/>
  <c r="W3220" i="25"/>
  <c r="X3220" i="25"/>
  <c r="Y3220" i="25"/>
  <c r="Z3220" i="25"/>
  <c r="AA3220" i="25"/>
  <c r="V3228" i="25"/>
  <c r="W3228" i="25"/>
  <c r="X3228" i="25"/>
  <c r="Y3228" i="25"/>
  <c r="Z3228" i="25"/>
  <c r="AA3228" i="25"/>
  <c r="V3237" i="25"/>
  <c r="W3237" i="25"/>
  <c r="X3237" i="25"/>
  <c r="Y3237" i="25"/>
  <c r="Z3237" i="25"/>
  <c r="AA3237" i="25"/>
  <c r="V3245" i="25"/>
  <c r="W3245" i="25"/>
  <c r="X3245" i="25"/>
  <c r="Y3245" i="25"/>
  <c r="Z3245" i="25"/>
  <c r="AA3245" i="25"/>
  <c r="V3253" i="25"/>
  <c r="W3253" i="25"/>
  <c r="X3253" i="25"/>
  <c r="Y3253" i="25"/>
  <c r="Z3253" i="25"/>
  <c r="AA3253" i="25"/>
  <c r="V3261" i="25"/>
  <c r="W3261" i="25"/>
  <c r="X3261" i="25"/>
  <c r="Y3261" i="25"/>
  <c r="Z3261" i="25"/>
  <c r="AA3261" i="25"/>
  <c r="V3269" i="25"/>
  <c r="W3269" i="25"/>
  <c r="X3269" i="25"/>
  <c r="Y3269" i="25"/>
  <c r="Z3269" i="25"/>
  <c r="AA3269" i="25"/>
  <c r="V3277" i="25"/>
  <c r="W3277" i="25"/>
  <c r="X3277" i="25"/>
  <c r="Y3277" i="25"/>
  <c r="Z3277" i="25"/>
  <c r="AA3277" i="25"/>
  <c r="V3285" i="25"/>
  <c r="W3285" i="25"/>
  <c r="X3285" i="25"/>
  <c r="Y3285" i="25"/>
  <c r="Z3285" i="25"/>
  <c r="AA3285" i="25"/>
  <c r="V3293" i="25"/>
  <c r="W3293" i="25"/>
  <c r="X3293" i="25"/>
  <c r="Y3293" i="25"/>
  <c r="Z3293" i="25"/>
  <c r="AA3293" i="25"/>
  <c r="V3301" i="25"/>
  <c r="W3301" i="25"/>
  <c r="X3301" i="25"/>
  <c r="Y3301" i="25"/>
  <c r="Z3301" i="25"/>
  <c r="AA3301" i="25"/>
  <c r="V3309" i="25"/>
  <c r="W3309" i="25"/>
  <c r="X3309" i="25"/>
  <c r="Y3309" i="25"/>
  <c r="Z3309" i="25"/>
  <c r="AA3309" i="25"/>
  <c r="V3317" i="25"/>
  <c r="W3317" i="25"/>
  <c r="X3317" i="25"/>
  <c r="Y3317" i="25"/>
  <c r="Z3317" i="25"/>
  <c r="AA3317" i="25"/>
  <c r="V3325" i="25"/>
  <c r="W3325" i="25"/>
  <c r="X3325" i="25"/>
  <c r="Y3325" i="25"/>
  <c r="Z3325" i="25"/>
  <c r="AA3325" i="25"/>
  <c r="V3333" i="25"/>
  <c r="W3333" i="25"/>
  <c r="X3333" i="25"/>
  <c r="Y3333" i="25"/>
  <c r="Z3333" i="25"/>
  <c r="AA3333" i="25"/>
  <c r="V3341" i="25"/>
  <c r="W3341" i="25"/>
  <c r="X3341" i="25"/>
  <c r="Y3341" i="25"/>
  <c r="Z3341" i="25"/>
  <c r="AA3341" i="25"/>
  <c r="V3349" i="25"/>
  <c r="W3349" i="25"/>
  <c r="X3349" i="25"/>
  <c r="Y3349" i="25"/>
  <c r="Z3349" i="25"/>
  <c r="AA3349" i="25"/>
  <c r="V3357" i="25"/>
  <c r="W3357" i="25"/>
  <c r="X3357" i="25"/>
  <c r="Y3357" i="25"/>
  <c r="Z3357" i="25"/>
  <c r="AA3357" i="25"/>
  <c r="V3365" i="25"/>
  <c r="W3365" i="25"/>
  <c r="X3365" i="25"/>
  <c r="Y3365" i="25"/>
  <c r="Z3365" i="25"/>
  <c r="AA3365" i="25"/>
  <c r="V3373" i="25"/>
  <c r="W3373" i="25"/>
  <c r="X3373" i="25"/>
  <c r="Y3373" i="25"/>
  <c r="Z3373" i="25"/>
  <c r="AA3373" i="25"/>
  <c r="V3381" i="25"/>
  <c r="W3381" i="25"/>
  <c r="X3381" i="25"/>
  <c r="Y3381" i="25"/>
  <c r="Z3381" i="25"/>
  <c r="AA3381" i="25"/>
  <c r="V3389" i="25"/>
  <c r="W3389" i="25"/>
  <c r="X3389" i="25"/>
  <c r="Y3389" i="25"/>
  <c r="Z3389" i="25"/>
  <c r="AA3389" i="25"/>
  <c r="V3397" i="25"/>
  <c r="W3397" i="25"/>
  <c r="X3397" i="25"/>
  <c r="Y3397" i="25"/>
  <c r="Z3397" i="25"/>
  <c r="AA3397" i="25"/>
  <c r="V3405" i="25"/>
  <c r="W3405" i="25"/>
  <c r="X3405" i="25"/>
  <c r="Y3405" i="25"/>
  <c r="Z3405" i="25"/>
  <c r="AA3405" i="25"/>
  <c r="V3413" i="25"/>
  <c r="AA3413" i="25"/>
  <c r="V3421" i="25"/>
  <c r="AA3421" i="25"/>
  <c r="V3429" i="25"/>
  <c r="AA3429" i="25"/>
  <c r="V3437" i="25"/>
  <c r="AA3437" i="25"/>
  <c r="V3445" i="25"/>
  <c r="AA3445" i="25"/>
  <c r="V3453" i="25"/>
  <c r="AA3453" i="25"/>
  <c r="V3461" i="25"/>
  <c r="AA3461" i="25"/>
  <c r="V3469" i="25"/>
  <c r="AA3469" i="25"/>
  <c r="V3477" i="25"/>
  <c r="AA3477" i="25"/>
  <c r="V3485" i="25"/>
  <c r="AA3485" i="25"/>
  <c r="V3493" i="25"/>
  <c r="AA3493" i="25"/>
  <c r="V3501" i="25"/>
  <c r="AA3501" i="25"/>
  <c r="V3509" i="25"/>
  <c r="AA3509" i="25"/>
  <c r="V3517" i="25"/>
  <c r="AA3517" i="25"/>
  <c r="W3666" i="25"/>
  <c r="Y3664" i="25"/>
  <c r="AA3662" i="25"/>
  <c r="X3661" i="25"/>
  <c r="Z3659" i="25"/>
  <c r="W3658" i="25"/>
  <c r="Y3656" i="25"/>
  <c r="AA3654" i="25"/>
  <c r="X3653" i="25"/>
  <c r="Z3651" i="25"/>
  <c r="W3650" i="25"/>
  <c r="Y3648" i="25"/>
  <c r="AA3646" i="25"/>
  <c r="X3645" i="25"/>
  <c r="Z3643" i="25"/>
  <c r="W3642" i="25"/>
  <c r="Y3640" i="25"/>
  <c r="AA3638" i="25"/>
  <c r="X3637" i="25"/>
  <c r="Z3635" i="25"/>
  <c r="W3634" i="25"/>
  <c r="Y3632" i="25"/>
  <c r="AA3625" i="25"/>
  <c r="X3624" i="25"/>
  <c r="Z3622" i="25"/>
  <c r="Y3620" i="25"/>
  <c r="AA3618" i="25"/>
  <c r="X3617" i="25"/>
  <c r="Z3614" i="25"/>
  <c r="W3613" i="25"/>
  <c r="Y3611" i="25"/>
  <c r="AA3609" i="25"/>
  <c r="X3608" i="25"/>
  <c r="Z3606" i="25"/>
  <c r="W3605" i="25"/>
  <c r="Y3603" i="25"/>
  <c r="AA3601" i="25"/>
  <c r="X3600" i="25"/>
  <c r="Z3598" i="25"/>
  <c r="W3597" i="25"/>
  <c r="Y3595" i="25"/>
  <c r="AA3593" i="25"/>
  <c r="X3592" i="25"/>
  <c r="Z3590" i="25"/>
  <c r="W3589" i="25"/>
  <c r="Y3587" i="25"/>
  <c r="AA3585" i="25"/>
  <c r="X3584" i="25"/>
  <c r="Z3582" i="25"/>
  <c r="W3581" i="25"/>
  <c r="Y3579" i="25"/>
  <c r="AA3577" i="25"/>
  <c r="X3576" i="25"/>
  <c r="Z3574" i="25"/>
  <c r="W3573" i="25"/>
  <c r="Y3571" i="25"/>
  <c r="AA3569" i="25"/>
  <c r="X3568" i="25"/>
  <c r="Z3566" i="25"/>
  <c r="W3565" i="25"/>
  <c r="Y3563" i="25"/>
  <c r="AA3561" i="25"/>
  <c r="X3560" i="25"/>
  <c r="Z3558" i="25"/>
  <c r="W3557" i="25"/>
  <c r="Y3555" i="25"/>
  <c r="AA3553" i="25"/>
  <c r="X3552" i="25"/>
  <c r="Z3550" i="25"/>
  <c r="W3549" i="25"/>
  <c r="Y3547" i="25"/>
  <c r="AA3545" i="25"/>
  <c r="X3544" i="25"/>
  <c r="Z3542" i="25"/>
  <c r="W3541" i="25"/>
  <c r="Y3539" i="25"/>
  <c r="AA3537" i="25"/>
  <c r="X3536" i="25"/>
  <c r="Z3534" i="25"/>
  <c r="W3533" i="25"/>
  <c r="Y3531" i="25"/>
  <c r="AA3529" i="25"/>
  <c r="X3528" i="25"/>
  <c r="Z3526" i="25"/>
  <c r="W3525" i="25"/>
  <c r="Y3523" i="25"/>
  <c r="W3517" i="25"/>
  <c r="AA3514" i="25"/>
  <c r="Z3512" i="25"/>
  <c r="Y3508" i="25"/>
  <c r="X3506" i="25"/>
  <c r="AA3499" i="25"/>
  <c r="AA3497" i="25"/>
  <c r="Z3495" i="25"/>
  <c r="Y3493" i="25"/>
  <c r="Y3491" i="25"/>
  <c r="W3485" i="25"/>
  <c r="AA3482" i="25"/>
  <c r="Z3480" i="25"/>
  <c r="Y3476" i="25"/>
  <c r="X3474" i="25"/>
  <c r="AA3467" i="25"/>
  <c r="AA3465" i="25"/>
  <c r="Z3463" i="25"/>
  <c r="Y3461" i="25"/>
  <c r="Y3459" i="25"/>
  <c r="W3453" i="25"/>
  <c r="AA3450" i="25"/>
  <c r="Z3448" i="25"/>
  <c r="Y3444" i="25"/>
  <c r="X3442" i="25"/>
  <c r="AA3435" i="25"/>
  <c r="AA3433" i="25"/>
  <c r="Z3431" i="25"/>
  <c r="Y3429" i="25"/>
  <c r="Y3427" i="25"/>
  <c r="W3421" i="25"/>
  <c r="AA3418" i="25"/>
  <c r="Z3416" i="25"/>
  <c r="Y3412" i="25"/>
  <c r="X3410" i="25"/>
  <c r="Y3380" i="25"/>
  <c r="Y3348" i="25"/>
  <c r="Y3316" i="25"/>
  <c r="Y3284" i="25"/>
  <c r="Y3252" i="25"/>
  <c r="Y3219" i="25"/>
  <c r="Y3116" i="25"/>
  <c r="AA3107" i="25"/>
  <c r="Y3099" i="25"/>
  <c r="AA3090" i="25"/>
  <c r="X3082" i="25"/>
  <c r="AA3058" i="25"/>
  <c r="Y2927" i="25"/>
  <c r="V987" i="25"/>
  <c r="Z987" i="25"/>
  <c r="W987" i="25"/>
  <c r="X987" i="25"/>
  <c r="Y987" i="25"/>
  <c r="AA987" i="25"/>
  <c r="V995" i="25"/>
  <c r="Z995" i="25"/>
  <c r="AA995" i="25"/>
  <c r="W995" i="25"/>
  <c r="X995" i="25"/>
  <c r="Y995" i="25"/>
  <c r="V1003" i="25"/>
  <c r="Z1003" i="25"/>
  <c r="W1003" i="25"/>
  <c r="X1003" i="25"/>
  <c r="Y1003" i="25"/>
  <c r="AA1003" i="25"/>
  <c r="V1011" i="25"/>
  <c r="Z1011" i="25"/>
  <c r="W1011" i="25"/>
  <c r="X1011" i="25"/>
  <c r="Y1011" i="25"/>
  <c r="AA1011" i="25"/>
  <c r="V1020" i="25"/>
  <c r="W1020" i="25"/>
  <c r="X1020" i="25"/>
  <c r="Y1020" i="25"/>
  <c r="Z1020" i="25"/>
  <c r="AA1020" i="25"/>
  <c r="V1035" i="25"/>
  <c r="W1035" i="25"/>
  <c r="X1035" i="25"/>
  <c r="Y1035" i="25"/>
  <c r="Z1035" i="25"/>
  <c r="AA1035" i="25"/>
  <c r="V1043" i="25"/>
  <c r="W1043" i="25"/>
  <c r="X1043" i="25"/>
  <c r="Y1043" i="25"/>
  <c r="Z1043" i="25"/>
  <c r="AA1043" i="25"/>
  <c r="V1051" i="25"/>
  <c r="W1051" i="25"/>
  <c r="X1051" i="25"/>
  <c r="Y1051" i="25"/>
  <c r="Z1051" i="25"/>
  <c r="AA1051" i="25"/>
  <c r="V1059" i="25"/>
  <c r="W1059" i="25"/>
  <c r="X1059" i="25"/>
  <c r="Y1059" i="25"/>
  <c r="Z1059" i="25"/>
  <c r="AA1059" i="25"/>
  <c r="V1067" i="25"/>
  <c r="W1067" i="25"/>
  <c r="X1067" i="25"/>
  <c r="Y1067" i="25"/>
  <c r="Z1067" i="25"/>
  <c r="AA1067" i="25"/>
  <c r="V1075" i="25"/>
  <c r="W1075" i="25"/>
  <c r="Z1075" i="25"/>
  <c r="AA1075" i="25"/>
  <c r="X1075" i="25"/>
  <c r="Y1075" i="25"/>
  <c r="V1083" i="25"/>
  <c r="W1083" i="25"/>
  <c r="Z1083" i="25"/>
  <c r="AA1083" i="25"/>
  <c r="X1083" i="25"/>
  <c r="Y1083" i="25"/>
  <c r="V1091" i="25"/>
  <c r="W1091" i="25"/>
  <c r="Z1091" i="25"/>
  <c r="AA1091" i="25"/>
  <c r="X1091" i="25"/>
  <c r="Y1091" i="25"/>
  <c r="V1099" i="25"/>
  <c r="W1099" i="25"/>
  <c r="Z1099" i="25"/>
  <c r="AA1099" i="25"/>
  <c r="X1099" i="25"/>
  <c r="Y1099" i="25"/>
  <c r="V1107" i="25"/>
  <c r="W1107" i="25"/>
  <c r="AA1107" i="25"/>
  <c r="X1107" i="25"/>
  <c r="Y1107" i="25"/>
  <c r="Z1107" i="25"/>
  <c r="V1115" i="25"/>
  <c r="W1115" i="25"/>
  <c r="AA1115" i="25"/>
  <c r="X1115" i="25"/>
  <c r="Y1115" i="25"/>
  <c r="Z1115" i="25"/>
  <c r="V1123" i="25"/>
  <c r="W1123" i="25"/>
  <c r="AA1123" i="25"/>
  <c r="Y1123" i="25"/>
  <c r="Z1123" i="25"/>
  <c r="X1123" i="25"/>
  <c r="V1131" i="25"/>
  <c r="W1131" i="25"/>
  <c r="AA1131" i="25"/>
  <c r="X1131" i="25"/>
  <c r="Y1131" i="25"/>
  <c r="Z1131" i="25"/>
  <c r="V1139" i="25"/>
  <c r="W1139" i="25"/>
  <c r="AA1139" i="25"/>
  <c r="X1139" i="25"/>
  <c r="Y1139" i="25"/>
  <c r="Z1139" i="25"/>
  <c r="V1147" i="25"/>
  <c r="W1147" i="25"/>
  <c r="X1147" i="25"/>
  <c r="Y1147" i="25"/>
  <c r="Z1147" i="25"/>
  <c r="AA1147" i="25"/>
  <c r="V1155" i="25"/>
  <c r="W1155" i="25"/>
  <c r="X1155" i="25"/>
  <c r="Y1155" i="25"/>
  <c r="Z1155" i="25"/>
  <c r="AA1155" i="25"/>
  <c r="V1163" i="25"/>
  <c r="W1163" i="25"/>
  <c r="X1163" i="25"/>
  <c r="Y1163" i="25"/>
  <c r="Z1163" i="25"/>
  <c r="AA1163" i="25"/>
  <c r="V1171" i="25"/>
  <c r="W1171" i="25"/>
  <c r="X1171" i="25"/>
  <c r="Y1171" i="25"/>
  <c r="Z1171" i="25"/>
  <c r="AA1171" i="25"/>
  <c r="V1179" i="25"/>
  <c r="W1179" i="25"/>
  <c r="X1179" i="25"/>
  <c r="Y1179" i="25"/>
  <c r="Z1179" i="25"/>
  <c r="AA1179" i="25"/>
  <c r="V1187" i="25"/>
  <c r="W1187" i="25"/>
  <c r="X1187" i="25"/>
  <c r="Y1187" i="25"/>
  <c r="Z1187" i="25"/>
  <c r="AA1187" i="25"/>
  <c r="V1195" i="25"/>
  <c r="W1195" i="25"/>
  <c r="X1195" i="25"/>
  <c r="Y1195" i="25"/>
  <c r="Z1195" i="25"/>
  <c r="AA1195" i="25"/>
  <c r="V1203" i="25"/>
  <c r="W1203" i="25"/>
  <c r="X1203" i="25"/>
  <c r="Y1203" i="25"/>
  <c r="Z1203" i="25"/>
  <c r="AA1203" i="25"/>
  <c r="V1211" i="25"/>
  <c r="W1211" i="25"/>
  <c r="X1211" i="25"/>
  <c r="Y1211" i="25"/>
  <c r="Z1211" i="25"/>
  <c r="AA1211" i="25"/>
  <c r="V1219" i="25"/>
  <c r="W1219" i="25"/>
  <c r="X1219" i="25"/>
  <c r="Y1219" i="25"/>
  <c r="Z1219" i="25"/>
  <c r="AA1219" i="25"/>
  <c r="V1227" i="25"/>
  <c r="W1227" i="25"/>
  <c r="X1227" i="25"/>
  <c r="Y1227" i="25"/>
  <c r="Z1227" i="25"/>
  <c r="AA1227" i="25"/>
  <c r="V1235" i="25"/>
  <c r="W1235" i="25"/>
  <c r="X1235" i="25"/>
  <c r="Y1235" i="25"/>
  <c r="Z1235" i="25"/>
  <c r="AA1235" i="25"/>
  <c r="V1243" i="25"/>
  <c r="W1243" i="25"/>
  <c r="X1243" i="25"/>
  <c r="AA1243" i="25"/>
  <c r="Y1243" i="25"/>
  <c r="Z1243" i="25"/>
  <c r="V1251" i="25"/>
  <c r="W1251" i="25"/>
  <c r="X1251" i="25"/>
  <c r="Z1251" i="25"/>
  <c r="AA1251" i="25"/>
  <c r="Y1251" i="25"/>
  <c r="V1259" i="25"/>
  <c r="X1259" i="25"/>
  <c r="W1259" i="25"/>
  <c r="Y1259" i="25"/>
  <c r="Z1259" i="25"/>
  <c r="AA1259" i="25"/>
  <c r="V1267" i="25"/>
  <c r="X1267" i="25"/>
  <c r="W1267" i="25"/>
  <c r="Y1267" i="25"/>
  <c r="Z1267" i="25"/>
  <c r="AA1267" i="25"/>
  <c r="V1275" i="25"/>
  <c r="X1275" i="25"/>
  <c r="Y1275" i="25"/>
  <c r="Z1275" i="25"/>
  <c r="AA1275" i="25"/>
  <c r="W1275" i="25"/>
  <c r="V1283" i="25"/>
  <c r="X1283" i="25"/>
  <c r="AA1283" i="25"/>
  <c r="W1283" i="25"/>
  <c r="Y1283" i="25"/>
  <c r="Z1283" i="25"/>
  <c r="V1291" i="25"/>
  <c r="X1291" i="25"/>
  <c r="W1291" i="25"/>
  <c r="Y1291" i="25"/>
  <c r="Z1291" i="25"/>
  <c r="AA1291" i="25"/>
  <c r="V1299" i="25"/>
  <c r="X1299" i="25"/>
  <c r="W1299" i="25"/>
  <c r="Y1299" i="25"/>
  <c r="Z1299" i="25"/>
  <c r="AA1299" i="25"/>
  <c r="V1307" i="25"/>
  <c r="X1307" i="25"/>
  <c r="Y1307" i="25"/>
  <c r="Z1307" i="25"/>
  <c r="AA1307" i="25"/>
  <c r="W1307" i="25"/>
  <c r="V1315" i="25"/>
  <c r="X1315" i="25"/>
  <c r="AA1315" i="25"/>
  <c r="W1315" i="25"/>
  <c r="Y1315" i="25"/>
  <c r="Z1315" i="25"/>
  <c r="V1323" i="25"/>
  <c r="X1323" i="25"/>
  <c r="W1323" i="25"/>
  <c r="Y1323" i="25"/>
  <c r="Z1323" i="25"/>
  <c r="AA1323" i="25"/>
  <c r="V1331" i="25"/>
  <c r="Y1331" i="25"/>
  <c r="Z1331" i="25"/>
  <c r="AA1331" i="25"/>
  <c r="W1331" i="25"/>
  <c r="X1331" i="25"/>
  <c r="V1339" i="25"/>
  <c r="Y1339" i="25"/>
  <c r="Z1339" i="25"/>
  <c r="AA1339" i="25"/>
  <c r="W1339" i="25"/>
  <c r="X1339" i="25"/>
  <c r="V1347" i="25"/>
  <c r="Y1347" i="25"/>
  <c r="Z1347" i="25"/>
  <c r="AA1347" i="25"/>
  <c r="W1347" i="25"/>
  <c r="X1347" i="25"/>
  <c r="V1355" i="25"/>
  <c r="Y1355" i="25"/>
  <c r="Z1355" i="25"/>
  <c r="AA1355" i="25"/>
  <c r="W1355" i="25"/>
  <c r="X1355" i="25"/>
  <c r="V1363" i="25"/>
  <c r="Y1363" i="25"/>
  <c r="Z1363" i="25"/>
  <c r="AA1363" i="25"/>
  <c r="W1363" i="25"/>
  <c r="X1363" i="25"/>
  <c r="V1371" i="25"/>
  <c r="Y1371" i="25"/>
  <c r="Z1371" i="25"/>
  <c r="AA1371" i="25"/>
  <c r="W1371" i="25"/>
  <c r="X1371" i="25"/>
  <c r="V1379" i="25"/>
  <c r="Y1379" i="25"/>
  <c r="Z1379" i="25"/>
  <c r="AA1379" i="25"/>
  <c r="W1379" i="25"/>
  <c r="X1379" i="25"/>
  <c r="V1387" i="25"/>
  <c r="Y1387" i="25"/>
  <c r="Z1387" i="25"/>
  <c r="AA1387" i="25"/>
  <c r="W1387" i="25"/>
  <c r="X1387" i="25"/>
  <c r="V1395" i="25"/>
  <c r="Y1395" i="25"/>
  <c r="Z1395" i="25"/>
  <c r="AA1395" i="25"/>
  <c r="W1395" i="25"/>
  <c r="X1395" i="25"/>
  <c r="V1403" i="25"/>
  <c r="Y1403" i="25"/>
  <c r="Z1403" i="25"/>
  <c r="AA1403" i="25"/>
  <c r="W1403" i="25"/>
  <c r="X1403" i="25"/>
  <c r="V1411" i="25"/>
  <c r="Y1411" i="25"/>
  <c r="Z1411" i="25"/>
  <c r="AA1411" i="25"/>
  <c r="W1411" i="25"/>
  <c r="X1411" i="25"/>
  <c r="V1419" i="25"/>
  <c r="Y1419" i="25"/>
  <c r="Z1419" i="25"/>
  <c r="AA1419" i="25"/>
  <c r="W1419" i="25"/>
  <c r="X1419" i="25"/>
  <c r="V1427" i="25"/>
  <c r="Y1427" i="25"/>
  <c r="Z1427" i="25"/>
  <c r="AA1427" i="25"/>
  <c r="W1427" i="25"/>
  <c r="X1427" i="25"/>
  <c r="V1435" i="25"/>
  <c r="Y1435" i="25"/>
  <c r="Z1435" i="25"/>
  <c r="AA1435" i="25"/>
  <c r="W1435" i="25"/>
  <c r="X1435" i="25"/>
  <c r="V1443" i="25"/>
  <c r="Y1443" i="25"/>
  <c r="Z1443" i="25"/>
  <c r="AA1443" i="25"/>
  <c r="W1443" i="25"/>
  <c r="X1443" i="25"/>
  <c r="V1451" i="25"/>
  <c r="Y1451" i="25"/>
  <c r="Z1451" i="25"/>
  <c r="AA1451" i="25"/>
  <c r="W1451" i="25"/>
  <c r="X1451" i="25"/>
  <c r="V1459" i="25"/>
  <c r="Y1459" i="25"/>
  <c r="Z1459" i="25"/>
  <c r="AA1459" i="25"/>
  <c r="W1459" i="25"/>
  <c r="X1459" i="25"/>
  <c r="V1467" i="25"/>
  <c r="Y1467" i="25"/>
  <c r="Z1467" i="25"/>
  <c r="AA1467" i="25"/>
  <c r="W1467" i="25"/>
  <c r="X1467" i="25"/>
  <c r="V1475" i="25"/>
  <c r="Y1475" i="25"/>
  <c r="Z1475" i="25"/>
  <c r="AA1475" i="25"/>
  <c r="X1475" i="25"/>
  <c r="W1475" i="25"/>
  <c r="V1483" i="25"/>
  <c r="Y1483" i="25"/>
  <c r="Z1483" i="25"/>
  <c r="AA1483" i="25"/>
  <c r="W1483" i="25"/>
  <c r="X1483" i="25"/>
  <c r="V1491" i="25"/>
  <c r="Y1491" i="25"/>
  <c r="Z1491" i="25"/>
  <c r="AA1491" i="25"/>
  <c r="W1491" i="25"/>
  <c r="X1491" i="25"/>
  <c r="V1499" i="25"/>
  <c r="Y1499" i="25"/>
  <c r="X1499" i="25"/>
  <c r="Z1499" i="25"/>
  <c r="AA1499" i="25"/>
  <c r="W1499" i="25"/>
  <c r="V1507" i="25"/>
  <c r="Y1507" i="25"/>
  <c r="AA1507" i="25"/>
  <c r="W1507" i="25"/>
  <c r="X1507" i="25"/>
  <c r="Z1507" i="25"/>
  <c r="V1515" i="25"/>
  <c r="Y1515" i="25"/>
  <c r="W1515" i="25"/>
  <c r="X1515" i="25"/>
  <c r="Z1515" i="25"/>
  <c r="AA1515" i="25"/>
  <c r="V1523" i="25"/>
  <c r="Y1523" i="25"/>
  <c r="W1523" i="25"/>
  <c r="X1523" i="25"/>
  <c r="Z1523" i="25"/>
  <c r="AA1523" i="25"/>
  <c r="V1531" i="25"/>
  <c r="Y1531" i="25"/>
  <c r="X1531" i="25"/>
  <c r="Z1531" i="25"/>
  <c r="AA1531" i="25"/>
  <c r="W1531" i="25"/>
  <c r="V1539" i="25"/>
  <c r="Y1539" i="25"/>
  <c r="AA1539" i="25"/>
  <c r="W1539" i="25"/>
  <c r="X1539" i="25"/>
  <c r="Z1539" i="25"/>
  <c r="V1547" i="25"/>
  <c r="Y1547" i="25"/>
  <c r="W1547" i="25"/>
  <c r="X1547" i="25"/>
  <c r="Z1547" i="25"/>
  <c r="AA1547" i="25"/>
  <c r="V1555" i="25"/>
  <c r="Y1555" i="25"/>
  <c r="W1555" i="25"/>
  <c r="X1555" i="25"/>
  <c r="Z1555" i="25"/>
  <c r="AA1555" i="25"/>
  <c r="V1563" i="25"/>
  <c r="Y1563" i="25"/>
  <c r="X1563" i="25"/>
  <c r="Z1563" i="25"/>
  <c r="AA1563" i="25"/>
  <c r="W1563" i="25"/>
  <c r="V1571" i="25"/>
  <c r="W1571" i="25"/>
  <c r="X1571" i="25"/>
  <c r="Y1571" i="25"/>
  <c r="Z1571" i="25"/>
  <c r="AA1571" i="25"/>
  <c r="V1579" i="25"/>
  <c r="W1579" i="25"/>
  <c r="X1579" i="25"/>
  <c r="Y1579" i="25"/>
  <c r="Z1579" i="25"/>
  <c r="AA1579" i="25"/>
  <c r="V1587" i="25"/>
  <c r="X1587" i="25"/>
  <c r="Y1587" i="25"/>
  <c r="Z1587" i="25"/>
  <c r="AA1587" i="25"/>
  <c r="W1587" i="25"/>
  <c r="V1595" i="25"/>
  <c r="X1595" i="25"/>
  <c r="Y1595" i="25"/>
  <c r="Z1595" i="25"/>
  <c r="AA1595" i="25"/>
  <c r="W1595" i="25"/>
  <c r="V1603" i="25"/>
  <c r="X1603" i="25"/>
  <c r="Y1603" i="25"/>
  <c r="Z1603" i="25"/>
  <c r="AA1603" i="25"/>
  <c r="W1603" i="25"/>
  <c r="V1611" i="25"/>
  <c r="X1611" i="25"/>
  <c r="Y1611" i="25"/>
  <c r="Z1611" i="25"/>
  <c r="AA1611" i="25"/>
  <c r="W1611" i="25"/>
  <c r="V1619" i="25"/>
  <c r="X1619" i="25"/>
  <c r="Y1619" i="25"/>
  <c r="Z1619" i="25"/>
  <c r="AA1619" i="25"/>
  <c r="W1619" i="25"/>
  <c r="V1627" i="25"/>
  <c r="X1627" i="25"/>
  <c r="Y1627" i="25"/>
  <c r="Z1627" i="25"/>
  <c r="AA1627" i="25"/>
  <c r="W1627" i="25"/>
  <c r="V1635" i="25"/>
  <c r="X1635" i="25"/>
  <c r="Y1635" i="25"/>
  <c r="Z1635" i="25"/>
  <c r="AA1635" i="25"/>
  <c r="W1635" i="25"/>
  <c r="V1643" i="25"/>
  <c r="X1643" i="25"/>
  <c r="Y1643" i="25"/>
  <c r="Z1643" i="25"/>
  <c r="AA1643" i="25"/>
  <c r="W1643" i="25"/>
  <c r="V1651" i="25"/>
  <c r="X1651" i="25"/>
  <c r="Y1651" i="25"/>
  <c r="Z1651" i="25"/>
  <c r="AA1651" i="25"/>
  <c r="W1651" i="25"/>
  <c r="V1659" i="25"/>
  <c r="X1659" i="25"/>
  <c r="Y1659" i="25"/>
  <c r="Z1659" i="25"/>
  <c r="AA1659" i="25"/>
  <c r="W1659" i="25"/>
  <c r="V1667" i="25"/>
  <c r="X1667" i="25"/>
  <c r="Y1667" i="25"/>
  <c r="Z1667" i="25"/>
  <c r="AA1667" i="25"/>
  <c r="W1667" i="25"/>
  <c r="V1675" i="25"/>
  <c r="X1675" i="25"/>
  <c r="Y1675" i="25"/>
  <c r="Z1675" i="25"/>
  <c r="AA1675" i="25"/>
  <c r="W1675" i="25"/>
  <c r="V1683" i="25"/>
  <c r="X1683" i="25"/>
  <c r="Y1683" i="25"/>
  <c r="Z1683" i="25"/>
  <c r="AA1683" i="25"/>
  <c r="W1683" i="25"/>
  <c r="V1691" i="25"/>
  <c r="X1691" i="25"/>
  <c r="Y1691" i="25"/>
  <c r="Z1691" i="25"/>
  <c r="AA1691" i="25"/>
  <c r="W1691" i="25"/>
  <c r="V1699" i="25"/>
  <c r="X1699" i="25"/>
  <c r="Y1699" i="25"/>
  <c r="Z1699" i="25"/>
  <c r="AA1699" i="25"/>
  <c r="W1699" i="25"/>
  <c r="V1707" i="25"/>
  <c r="X1707" i="25"/>
  <c r="Y1707" i="25"/>
  <c r="Z1707" i="25"/>
  <c r="AA1707" i="25"/>
  <c r="W1707" i="25"/>
  <c r="V1715" i="25"/>
  <c r="X1715" i="25"/>
  <c r="Y1715" i="25"/>
  <c r="Z1715" i="25"/>
  <c r="AA1715" i="25"/>
  <c r="W1715" i="25"/>
  <c r="V1723" i="25"/>
  <c r="X1723" i="25"/>
  <c r="Y1723" i="25"/>
  <c r="Z1723" i="25"/>
  <c r="AA1723" i="25"/>
  <c r="W1723" i="25"/>
  <c r="V1731" i="25"/>
  <c r="X1731" i="25"/>
  <c r="Y1731" i="25"/>
  <c r="Z1731" i="25"/>
  <c r="AA1731" i="25"/>
  <c r="W1731" i="25"/>
  <c r="V1739" i="25"/>
  <c r="X1739" i="25"/>
  <c r="Y1739" i="25"/>
  <c r="Z1739" i="25"/>
  <c r="AA1739" i="25"/>
  <c r="W1739" i="25"/>
  <c r="V1747" i="25"/>
  <c r="X1747" i="25"/>
  <c r="Y1747" i="25"/>
  <c r="Z1747" i="25"/>
  <c r="AA1747" i="25"/>
  <c r="W1747" i="25"/>
  <c r="V1755" i="25"/>
  <c r="X1755" i="25"/>
  <c r="Y1755" i="25"/>
  <c r="Z1755" i="25"/>
  <c r="AA1755" i="25"/>
  <c r="W1755" i="25"/>
  <c r="V1763" i="25"/>
  <c r="X1763" i="25"/>
  <c r="Y1763" i="25"/>
  <c r="Z1763" i="25"/>
  <c r="AA1763" i="25"/>
  <c r="W1763" i="25"/>
  <c r="V1771" i="25"/>
  <c r="X1771" i="25"/>
  <c r="Y1771" i="25"/>
  <c r="Z1771" i="25"/>
  <c r="AA1771" i="25"/>
  <c r="W1771" i="25"/>
  <c r="V1779" i="25"/>
  <c r="X1779" i="25"/>
  <c r="Y1779" i="25"/>
  <c r="Z1779" i="25"/>
  <c r="AA1779" i="25"/>
  <c r="W1779" i="25"/>
  <c r="V1787" i="25"/>
  <c r="X1787" i="25"/>
  <c r="Y1787" i="25"/>
  <c r="Z1787" i="25"/>
  <c r="AA1787" i="25"/>
  <c r="W1787" i="25"/>
  <c r="V1795" i="25"/>
  <c r="X1795" i="25"/>
  <c r="Y1795" i="25"/>
  <c r="Z1795" i="25"/>
  <c r="AA1795" i="25"/>
  <c r="W1795" i="25"/>
  <c r="V1803" i="25"/>
  <c r="X1803" i="25"/>
  <c r="Y1803" i="25"/>
  <c r="Z1803" i="25"/>
  <c r="AA1803" i="25"/>
  <c r="W1803" i="25"/>
  <c r="V1811" i="25"/>
  <c r="X1811" i="25"/>
  <c r="Y1811" i="25"/>
  <c r="Z1811" i="25"/>
  <c r="AA1811" i="25"/>
  <c r="W1811" i="25"/>
  <c r="V1819" i="25"/>
  <c r="X1819" i="25"/>
  <c r="Y1819" i="25"/>
  <c r="Z1819" i="25"/>
  <c r="AA1819" i="25"/>
  <c r="W1819" i="25"/>
  <c r="V1827" i="25"/>
  <c r="X1827" i="25"/>
  <c r="Y1827" i="25"/>
  <c r="Z1827" i="25"/>
  <c r="AA1827" i="25"/>
  <c r="W1827" i="25"/>
  <c r="V1835" i="25"/>
  <c r="X1835" i="25"/>
  <c r="Y1835" i="25"/>
  <c r="Z1835" i="25"/>
  <c r="AA1835" i="25"/>
  <c r="W1835" i="25"/>
  <c r="V1843" i="25"/>
  <c r="X1843" i="25"/>
  <c r="Y1843" i="25"/>
  <c r="Z1843" i="25"/>
  <c r="AA1843" i="25"/>
  <c r="W1843" i="25"/>
  <c r="V1851" i="25"/>
  <c r="X1851" i="25"/>
  <c r="Y1851" i="25"/>
  <c r="Z1851" i="25"/>
  <c r="AA1851" i="25"/>
  <c r="W1851" i="25"/>
  <c r="V1859" i="25"/>
  <c r="X1859" i="25"/>
  <c r="Y1859" i="25"/>
  <c r="Z1859" i="25"/>
  <c r="AA1859" i="25"/>
  <c r="W1859" i="25"/>
  <c r="V1867" i="25"/>
  <c r="X1867" i="25"/>
  <c r="Y1867" i="25"/>
  <c r="Z1867" i="25"/>
  <c r="AA1867" i="25"/>
  <c r="W1867" i="25"/>
  <c r="V1875" i="25"/>
  <c r="X1875" i="25"/>
  <c r="Y1875" i="25"/>
  <c r="Z1875" i="25"/>
  <c r="AA1875" i="25"/>
  <c r="W1875" i="25"/>
  <c r="V1883" i="25"/>
  <c r="X1883" i="25"/>
  <c r="Y1883" i="25"/>
  <c r="Z1883" i="25"/>
  <c r="AA1883" i="25"/>
  <c r="W1883" i="25"/>
  <c r="V1891" i="25"/>
  <c r="X1891" i="25"/>
  <c r="Y1891" i="25"/>
  <c r="Z1891" i="25"/>
  <c r="AA1891" i="25"/>
  <c r="W1891" i="25"/>
  <c r="V1899" i="25"/>
  <c r="X1899" i="25"/>
  <c r="Y1899" i="25"/>
  <c r="Z1899" i="25"/>
  <c r="AA1899" i="25"/>
  <c r="W1899" i="25"/>
  <c r="V1907" i="25"/>
  <c r="X1907" i="25"/>
  <c r="Y1907" i="25"/>
  <c r="Z1907" i="25"/>
  <c r="AA1907" i="25"/>
  <c r="W1907" i="25"/>
  <c r="V1915" i="25"/>
  <c r="X1915" i="25"/>
  <c r="W1915" i="25"/>
  <c r="Y1915" i="25"/>
  <c r="Z1915" i="25"/>
  <c r="AA1915" i="25"/>
  <c r="V1923" i="25"/>
  <c r="X1923" i="25"/>
  <c r="W1923" i="25"/>
  <c r="Y1923" i="25"/>
  <c r="Z1923" i="25"/>
  <c r="AA1923" i="25"/>
  <c r="V1931" i="25"/>
  <c r="X1931" i="25"/>
  <c r="W1931" i="25"/>
  <c r="Y1931" i="25"/>
  <c r="Z1931" i="25"/>
  <c r="AA1931" i="25"/>
  <c r="V1939" i="25"/>
  <c r="X1939" i="25"/>
  <c r="Z1939" i="25"/>
  <c r="AA1939" i="25"/>
  <c r="W1939" i="25"/>
  <c r="Y1939" i="25"/>
  <c r="V1947" i="25"/>
  <c r="X1947" i="25"/>
  <c r="W1947" i="25"/>
  <c r="Y1947" i="25"/>
  <c r="Z1947" i="25"/>
  <c r="AA1947" i="25"/>
  <c r="V1955" i="25"/>
  <c r="X1955" i="25"/>
  <c r="W1955" i="25"/>
  <c r="Y1955" i="25"/>
  <c r="Z1955" i="25"/>
  <c r="AA1955" i="25"/>
  <c r="V1963" i="25"/>
  <c r="X1963" i="25"/>
  <c r="W1963" i="25"/>
  <c r="Y1963" i="25"/>
  <c r="Z1963" i="25"/>
  <c r="AA1963" i="25"/>
  <c r="V1971" i="25"/>
  <c r="X1971" i="25"/>
  <c r="Z1971" i="25"/>
  <c r="AA1971" i="25"/>
  <c r="W1971" i="25"/>
  <c r="Y1971" i="25"/>
  <c r="V1979" i="25"/>
  <c r="X1979" i="25"/>
  <c r="W1979" i="25"/>
  <c r="Y1979" i="25"/>
  <c r="Z1979" i="25"/>
  <c r="AA1979" i="25"/>
  <c r="V1987" i="25"/>
  <c r="X1987" i="25"/>
  <c r="W1987" i="25"/>
  <c r="Y1987" i="25"/>
  <c r="Z1987" i="25"/>
  <c r="AA1987" i="25"/>
  <c r="V1995" i="25"/>
  <c r="X1995" i="25"/>
  <c r="W1995" i="25"/>
  <c r="Y1995" i="25"/>
  <c r="Z1995" i="25"/>
  <c r="AA1995" i="25"/>
  <c r="V2003" i="25"/>
  <c r="X2003" i="25"/>
  <c r="Z2003" i="25"/>
  <c r="AA2003" i="25"/>
  <c r="W2003" i="25"/>
  <c r="Y2003" i="25"/>
  <c r="V2012" i="25"/>
  <c r="X2012" i="25"/>
  <c r="W2012" i="25"/>
  <c r="Y2012" i="25"/>
  <c r="Z2012" i="25"/>
  <c r="AA2012" i="25"/>
  <c r="V2016" i="25"/>
  <c r="X2016" i="25"/>
  <c r="W2016" i="25"/>
  <c r="Y2016" i="25"/>
  <c r="Z2016" i="25"/>
  <c r="AA2016" i="25"/>
  <c r="V2020" i="25"/>
  <c r="X2020" i="25"/>
  <c r="Y2020" i="25"/>
  <c r="Z2020" i="25"/>
  <c r="AA2020" i="25"/>
  <c r="W2020" i="25"/>
  <c r="V2024" i="25"/>
  <c r="X2024" i="25"/>
  <c r="Y2024" i="25"/>
  <c r="Z2024" i="25"/>
  <c r="AA2024" i="25"/>
  <c r="W2024" i="25"/>
  <c r="V2028" i="25"/>
  <c r="X2028" i="25"/>
  <c r="Y2028" i="25"/>
  <c r="Z2028" i="25"/>
  <c r="AA2028" i="25"/>
  <c r="W2028" i="25"/>
  <c r="V2052" i="25"/>
  <c r="X2052" i="25"/>
  <c r="Y2052" i="25"/>
  <c r="Z2052" i="25"/>
  <c r="AA2052" i="25"/>
  <c r="W2052" i="25"/>
  <c r="V2060" i="25"/>
  <c r="X2060" i="25"/>
  <c r="Y2060" i="25"/>
  <c r="Z2060" i="25"/>
  <c r="AA2060" i="25"/>
  <c r="W2060" i="25"/>
  <c r="V2068" i="25"/>
  <c r="X2068" i="25"/>
  <c r="Y2068" i="25"/>
  <c r="Z2068" i="25"/>
  <c r="AA2068" i="25"/>
  <c r="W2068" i="25"/>
  <c r="V2076" i="25"/>
  <c r="X2076" i="25"/>
  <c r="Y2076" i="25"/>
  <c r="Z2076" i="25"/>
  <c r="AA2076" i="25"/>
  <c r="W2076" i="25"/>
  <c r="V2084" i="25"/>
  <c r="X2084" i="25"/>
  <c r="Y2084" i="25"/>
  <c r="Z2084" i="25"/>
  <c r="AA2084" i="25"/>
  <c r="W2084" i="25"/>
  <c r="V2092" i="25"/>
  <c r="X2092" i="25"/>
  <c r="Y2092" i="25"/>
  <c r="Z2092" i="25"/>
  <c r="AA2092" i="25"/>
  <c r="W2092" i="25"/>
  <c r="V2100" i="25"/>
  <c r="X2100" i="25"/>
  <c r="Y2100" i="25"/>
  <c r="Z2100" i="25"/>
  <c r="AA2100" i="25"/>
  <c r="W2100" i="25"/>
  <c r="V2108" i="25"/>
  <c r="X2108" i="25"/>
  <c r="Y2108" i="25"/>
  <c r="Z2108" i="25"/>
  <c r="AA2108" i="25"/>
  <c r="W2108" i="25"/>
  <c r="V2116" i="25"/>
  <c r="X2116" i="25"/>
  <c r="Y2116" i="25"/>
  <c r="Z2116" i="25"/>
  <c r="AA2116" i="25"/>
  <c r="W2116" i="25"/>
  <c r="V2124" i="25"/>
  <c r="X2124" i="25"/>
  <c r="Y2124" i="25"/>
  <c r="Z2124" i="25"/>
  <c r="AA2124" i="25"/>
  <c r="W2124" i="25"/>
  <c r="V2132" i="25"/>
  <c r="X2132" i="25"/>
  <c r="Y2132" i="25"/>
  <c r="Z2132" i="25"/>
  <c r="AA2132" i="25"/>
  <c r="W2132" i="25"/>
  <c r="V2140" i="25"/>
  <c r="X2140" i="25"/>
  <c r="Y2140" i="25"/>
  <c r="Z2140" i="25"/>
  <c r="AA2140" i="25"/>
  <c r="W2140" i="25"/>
  <c r="V2148" i="25"/>
  <c r="X2148" i="25"/>
  <c r="Y2148" i="25"/>
  <c r="Z2148" i="25"/>
  <c r="AA2148" i="25"/>
  <c r="W2148" i="25"/>
  <c r="V2156" i="25"/>
  <c r="X2156" i="25"/>
  <c r="Y2156" i="25"/>
  <c r="Z2156" i="25"/>
  <c r="AA2156" i="25"/>
  <c r="W2156" i="25"/>
  <c r="V2164" i="25"/>
  <c r="X2164" i="25"/>
  <c r="Y2164" i="25"/>
  <c r="Z2164" i="25"/>
  <c r="AA2164" i="25"/>
  <c r="W2164" i="25"/>
  <c r="V2172" i="25"/>
  <c r="X2172" i="25"/>
  <c r="Z2172" i="25"/>
  <c r="AA2172" i="25"/>
  <c r="W2172" i="25"/>
  <c r="Y2172" i="25"/>
  <c r="V2180" i="25"/>
  <c r="X2180" i="25"/>
  <c r="Z2180" i="25"/>
  <c r="AA2180" i="25"/>
  <c r="Y2180" i="25"/>
  <c r="W2180" i="25"/>
  <c r="V2188" i="25"/>
  <c r="X2188" i="25"/>
  <c r="Z2188" i="25"/>
  <c r="AA2188" i="25"/>
  <c r="W2188" i="25"/>
  <c r="Y2188" i="25"/>
  <c r="V2196" i="25"/>
  <c r="X2196" i="25"/>
  <c r="Z2196" i="25"/>
  <c r="AA2196" i="25"/>
  <c r="W2196" i="25"/>
  <c r="Y2196" i="25"/>
  <c r="V2204" i="25"/>
  <c r="X2204" i="25"/>
  <c r="Z2204" i="25"/>
  <c r="AA2204" i="25"/>
  <c r="W2204" i="25"/>
  <c r="Y2204" i="25"/>
  <c r="V2212" i="25"/>
  <c r="X2212" i="25"/>
  <c r="Z2212" i="25"/>
  <c r="AA2212" i="25"/>
  <c r="Y2212" i="25"/>
  <c r="W2212" i="25"/>
  <c r="V2220" i="25"/>
  <c r="X2220" i="25"/>
  <c r="Z2220" i="25"/>
  <c r="AA2220" i="25"/>
  <c r="W2220" i="25"/>
  <c r="Y2220" i="25"/>
  <c r="V2228" i="25"/>
  <c r="X2228" i="25"/>
  <c r="Z2228" i="25"/>
  <c r="AA2228" i="25"/>
  <c r="W2228" i="25"/>
  <c r="Y2228" i="25"/>
  <c r="V2236" i="25"/>
  <c r="X2236" i="25"/>
  <c r="Z2236" i="25"/>
  <c r="AA2236" i="25"/>
  <c r="W2236" i="25"/>
  <c r="Y2236" i="25"/>
  <c r="V2244" i="25"/>
  <c r="X2244" i="25"/>
  <c r="Z2244" i="25"/>
  <c r="AA2244" i="25"/>
  <c r="Y2244" i="25"/>
  <c r="W2244" i="25"/>
  <c r="V2252" i="25"/>
  <c r="X2252" i="25"/>
  <c r="Z2252" i="25"/>
  <c r="AA2252" i="25"/>
  <c r="W2252" i="25"/>
  <c r="Y2252" i="25"/>
  <c r="V2260" i="25"/>
  <c r="X2260" i="25"/>
  <c r="Z2260" i="25"/>
  <c r="AA2260" i="25"/>
  <c r="W2260" i="25"/>
  <c r="Y2260" i="25"/>
  <c r="V2268" i="25"/>
  <c r="X2268" i="25"/>
  <c r="Z2268" i="25"/>
  <c r="AA2268" i="25"/>
  <c r="W2268" i="25"/>
  <c r="V2276" i="25"/>
  <c r="X2276" i="25"/>
  <c r="Z2276" i="25"/>
  <c r="AA2276" i="25"/>
  <c r="Y2276" i="25"/>
  <c r="W2276" i="25"/>
  <c r="V2284" i="25"/>
  <c r="X2284" i="25"/>
  <c r="Z2284" i="25"/>
  <c r="W2284" i="25"/>
  <c r="Y2284" i="25"/>
  <c r="AA2284" i="25"/>
  <c r="V2292" i="25"/>
  <c r="W2292" i="25"/>
  <c r="X2292" i="25"/>
  <c r="Y2292" i="25"/>
  <c r="Z2292" i="25"/>
  <c r="AA2292" i="25"/>
  <c r="V2300" i="25"/>
  <c r="X2300" i="25"/>
  <c r="Y2300" i="25"/>
  <c r="Z2300" i="25"/>
  <c r="AA2300" i="25"/>
  <c r="W2300" i="25"/>
  <c r="V2308" i="25"/>
  <c r="Z2308" i="25"/>
  <c r="AA2308" i="25"/>
  <c r="W2308" i="25"/>
  <c r="X2308" i="25"/>
  <c r="Y2308" i="25"/>
  <c r="V2316" i="25"/>
  <c r="W2316" i="25"/>
  <c r="X2316" i="25"/>
  <c r="Y2316" i="25"/>
  <c r="Z2316" i="25"/>
  <c r="AA2316" i="25"/>
  <c r="V2324" i="25"/>
  <c r="W2324" i="25"/>
  <c r="X2324" i="25"/>
  <c r="Y2324" i="25"/>
  <c r="Z2324" i="25"/>
  <c r="AA2324" i="25"/>
  <c r="V2332" i="25"/>
  <c r="X2332" i="25"/>
  <c r="Y2332" i="25"/>
  <c r="Z2332" i="25"/>
  <c r="AA2332" i="25"/>
  <c r="W2332" i="25"/>
  <c r="V2340" i="25"/>
  <c r="Z2340" i="25"/>
  <c r="AA2340" i="25"/>
  <c r="W2340" i="25"/>
  <c r="X2340" i="25"/>
  <c r="Y2340" i="25"/>
  <c r="V2348" i="25"/>
  <c r="W2348" i="25"/>
  <c r="X2348" i="25"/>
  <c r="Y2348" i="25"/>
  <c r="Z2348" i="25"/>
  <c r="AA2348" i="25"/>
  <c r="V2356" i="25"/>
  <c r="W2356" i="25"/>
  <c r="X2356" i="25"/>
  <c r="Y2356" i="25"/>
  <c r="Z2356" i="25"/>
  <c r="AA2356" i="25"/>
  <c r="V2364" i="25"/>
  <c r="X2364" i="25"/>
  <c r="Y2364" i="25"/>
  <c r="Z2364" i="25"/>
  <c r="AA2364" i="25"/>
  <c r="W2364" i="25"/>
  <c r="V2372" i="25"/>
  <c r="Z2372" i="25"/>
  <c r="AA2372" i="25"/>
  <c r="W2372" i="25"/>
  <c r="Y2372" i="25"/>
  <c r="X2372" i="25"/>
  <c r="V2380" i="25"/>
  <c r="W2380" i="25"/>
  <c r="X2380" i="25"/>
  <c r="Y2380" i="25"/>
  <c r="AA2380" i="25"/>
  <c r="Z2380" i="25"/>
  <c r="V2388" i="25"/>
  <c r="W2388" i="25"/>
  <c r="X2388" i="25"/>
  <c r="Y2388" i="25"/>
  <c r="Z2388" i="25"/>
  <c r="AA2388" i="25"/>
  <c r="V2396" i="25"/>
  <c r="AA2396" i="25"/>
  <c r="W2396" i="25"/>
  <c r="X2396" i="25"/>
  <c r="Z2396" i="25"/>
  <c r="Y2396" i="25"/>
  <c r="V2404" i="25"/>
  <c r="AA2404" i="25"/>
  <c r="W2404" i="25"/>
  <c r="X2404" i="25"/>
  <c r="Y2404" i="25"/>
  <c r="Z2404" i="25"/>
  <c r="V2412" i="25"/>
  <c r="AA2412" i="25"/>
  <c r="W2412" i="25"/>
  <c r="X2412" i="25"/>
  <c r="Y2412" i="25"/>
  <c r="Z2412" i="25"/>
  <c r="V2420" i="25"/>
  <c r="AA2420" i="25"/>
  <c r="W2420" i="25"/>
  <c r="X2420" i="25"/>
  <c r="Y2420" i="25"/>
  <c r="Z2420" i="25"/>
  <c r="V2428" i="25"/>
  <c r="AA2428" i="25"/>
  <c r="W2428" i="25"/>
  <c r="X2428" i="25"/>
  <c r="Z2428" i="25"/>
  <c r="Y2428" i="25"/>
  <c r="V2436" i="25"/>
  <c r="AA2436" i="25"/>
  <c r="W2436" i="25"/>
  <c r="X2436" i="25"/>
  <c r="Y2436" i="25"/>
  <c r="Z2436" i="25"/>
  <c r="V2444" i="25"/>
  <c r="AA2444" i="25"/>
  <c r="W2444" i="25"/>
  <c r="X2444" i="25"/>
  <c r="Y2444" i="25"/>
  <c r="Z2444" i="25"/>
  <c r="V2452" i="25"/>
  <c r="AA2452" i="25"/>
  <c r="W2452" i="25"/>
  <c r="X2452" i="25"/>
  <c r="Y2452" i="25"/>
  <c r="Z2452" i="25"/>
  <c r="V2460" i="25"/>
  <c r="AA2460" i="25"/>
  <c r="W2460" i="25"/>
  <c r="X2460" i="25"/>
  <c r="Z2460" i="25"/>
  <c r="V2468" i="25"/>
  <c r="AA2468" i="25"/>
  <c r="W2468" i="25"/>
  <c r="X2468" i="25"/>
  <c r="Y2468" i="25"/>
  <c r="Z2468" i="25"/>
  <c r="V2476" i="25"/>
  <c r="AA2476" i="25"/>
  <c r="W2476" i="25"/>
  <c r="X2476" i="25"/>
  <c r="Y2476" i="25"/>
  <c r="Z2476" i="25"/>
  <c r="V2484" i="25"/>
  <c r="AA2484" i="25"/>
  <c r="W2484" i="25"/>
  <c r="X2484" i="25"/>
  <c r="Y2484" i="25"/>
  <c r="Z2484" i="25"/>
  <c r="V2492" i="25"/>
  <c r="AA2492" i="25"/>
  <c r="W2492" i="25"/>
  <c r="X2492" i="25"/>
  <c r="Z2492" i="25"/>
  <c r="Y2492" i="25"/>
  <c r="V2500" i="25"/>
  <c r="AA2500" i="25"/>
  <c r="W2500" i="25"/>
  <c r="X2500" i="25"/>
  <c r="Y2500" i="25"/>
  <c r="Z2500" i="25"/>
  <c r="V2508" i="25"/>
  <c r="AA2508" i="25"/>
  <c r="W2508" i="25"/>
  <c r="X2508" i="25"/>
  <c r="Y2508" i="25"/>
  <c r="Z2508" i="25"/>
  <c r="V2516" i="25"/>
  <c r="AA2516" i="25"/>
  <c r="W2516" i="25"/>
  <c r="X2516" i="25"/>
  <c r="Y2516" i="25"/>
  <c r="Z2516" i="25"/>
  <c r="V2524" i="25"/>
  <c r="AA2524" i="25"/>
  <c r="W2524" i="25"/>
  <c r="X2524" i="25"/>
  <c r="Z2524" i="25"/>
  <c r="Y2524" i="25"/>
  <c r="V2532" i="25"/>
  <c r="AA2532" i="25"/>
  <c r="W2532" i="25"/>
  <c r="X2532" i="25"/>
  <c r="Y2532" i="25"/>
  <c r="Z2532" i="25"/>
  <c r="V2540" i="25"/>
  <c r="AA2540" i="25"/>
  <c r="W2540" i="25"/>
  <c r="X2540" i="25"/>
  <c r="Y2540" i="25"/>
  <c r="Z2540" i="25"/>
  <c r="V2548" i="25"/>
  <c r="AA2548" i="25"/>
  <c r="W2548" i="25"/>
  <c r="X2548" i="25"/>
  <c r="Y2548" i="25"/>
  <c r="Z2548" i="25"/>
  <c r="V2556" i="25"/>
  <c r="AA2556" i="25"/>
  <c r="W2556" i="25"/>
  <c r="X2556" i="25"/>
  <c r="Z2556" i="25"/>
  <c r="Y2556" i="25"/>
  <c r="V2564" i="25"/>
  <c r="AA2564" i="25"/>
  <c r="W2564" i="25"/>
  <c r="X2564" i="25"/>
  <c r="Y2564" i="25"/>
  <c r="Z2564" i="25"/>
  <c r="V2572" i="25"/>
  <c r="AA2572" i="25"/>
  <c r="W2572" i="25"/>
  <c r="X2572" i="25"/>
  <c r="Y2572" i="25"/>
  <c r="Z2572" i="25"/>
  <c r="V2580" i="25"/>
  <c r="AA2580" i="25"/>
  <c r="W2580" i="25"/>
  <c r="X2580" i="25"/>
  <c r="Y2580" i="25"/>
  <c r="Z2580" i="25"/>
  <c r="V2588" i="25"/>
  <c r="AA2588" i="25"/>
  <c r="W2588" i="25"/>
  <c r="X2588" i="25"/>
  <c r="Z2588" i="25"/>
  <c r="Y2588" i="25"/>
  <c r="V2596" i="25"/>
  <c r="AA2596" i="25"/>
  <c r="W2596" i="25"/>
  <c r="X2596" i="25"/>
  <c r="Y2596" i="25"/>
  <c r="Z2596" i="25"/>
  <c r="V2604" i="25"/>
  <c r="AA2604" i="25"/>
  <c r="W2604" i="25"/>
  <c r="X2604" i="25"/>
  <c r="Y2604" i="25"/>
  <c r="Z2604" i="25"/>
  <c r="V2612" i="25"/>
  <c r="AA2612" i="25"/>
  <c r="W2612" i="25"/>
  <c r="X2612" i="25"/>
  <c r="Y2612" i="25"/>
  <c r="Z2612" i="25"/>
  <c r="V2620" i="25"/>
  <c r="AA2620" i="25"/>
  <c r="W2620" i="25"/>
  <c r="X2620" i="25"/>
  <c r="Z2620" i="25"/>
  <c r="Y2620" i="25"/>
  <c r="V2628" i="25"/>
  <c r="AA2628" i="25"/>
  <c r="W2628" i="25"/>
  <c r="X2628" i="25"/>
  <c r="Y2628" i="25"/>
  <c r="Z2628" i="25"/>
  <c r="V2636" i="25"/>
  <c r="AA2636" i="25"/>
  <c r="W2636" i="25"/>
  <c r="X2636" i="25"/>
  <c r="Y2636" i="25"/>
  <c r="Z2636" i="25"/>
  <c r="V2644" i="25"/>
  <c r="AA2644" i="25"/>
  <c r="W2644" i="25"/>
  <c r="X2644" i="25"/>
  <c r="Y2644" i="25"/>
  <c r="Z2644" i="25"/>
  <c r="V2652" i="25"/>
  <c r="AA2652" i="25"/>
  <c r="W2652" i="25"/>
  <c r="X2652" i="25"/>
  <c r="Z2652" i="25"/>
  <c r="Y2652" i="25"/>
  <c r="V2660" i="25"/>
  <c r="AA2660" i="25"/>
  <c r="W2660" i="25"/>
  <c r="X2660" i="25"/>
  <c r="Y2660" i="25"/>
  <c r="Z2660" i="25"/>
  <c r="V2668" i="25"/>
  <c r="AA2668" i="25"/>
  <c r="W2668" i="25"/>
  <c r="X2668" i="25"/>
  <c r="Y2668" i="25"/>
  <c r="Z2668" i="25"/>
  <c r="V2676" i="25"/>
  <c r="AA2676" i="25"/>
  <c r="W2676" i="25"/>
  <c r="X2676" i="25"/>
  <c r="Y2676" i="25"/>
  <c r="Z2676" i="25"/>
  <c r="V2684" i="25"/>
  <c r="AA2684" i="25"/>
  <c r="X2684" i="25"/>
  <c r="W2684" i="25"/>
  <c r="Y2684" i="25"/>
  <c r="Z2684" i="25"/>
  <c r="V2692" i="25"/>
  <c r="AA2692" i="25"/>
  <c r="X2692" i="25"/>
  <c r="Y2692" i="25"/>
  <c r="Z2692" i="25"/>
  <c r="W2692" i="25"/>
  <c r="V2700" i="25"/>
  <c r="AA2700" i="25"/>
  <c r="X2700" i="25"/>
  <c r="Z2700" i="25"/>
  <c r="Y2700" i="25"/>
  <c r="V2708" i="25"/>
  <c r="AA2708" i="25"/>
  <c r="X2708" i="25"/>
  <c r="Y2708" i="25"/>
  <c r="Z2708" i="25"/>
  <c r="W2708" i="25"/>
  <c r="V2716" i="25"/>
  <c r="AA2716" i="25"/>
  <c r="W2716" i="25"/>
  <c r="X2716" i="25"/>
  <c r="Y2716" i="25"/>
  <c r="Z2716" i="25"/>
  <c r="V2724" i="25"/>
  <c r="AA2724" i="25"/>
  <c r="X2724" i="25"/>
  <c r="Y2724" i="25"/>
  <c r="Z2724" i="25"/>
  <c r="W2724" i="25"/>
  <c r="V2732" i="25"/>
  <c r="AA2732" i="25"/>
  <c r="W2732" i="25"/>
  <c r="X2732" i="25"/>
  <c r="Y2732" i="25"/>
  <c r="Z2732" i="25"/>
  <c r="V2740" i="25"/>
  <c r="AA2740" i="25"/>
  <c r="X2740" i="25"/>
  <c r="Y2740" i="25"/>
  <c r="Z2740" i="25"/>
  <c r="W2740" i="25"/>
  <c r="V2749" i="25"/>
  <c r="AA2749" i="25"/>
  <c r="W2749" i="25"/>
  <c r="X2749" i="25"/>
  <c r="Y2749" i="25"/>
  <c r="Z2749" i="25"/>
  <c r="V2759" i="25"/>
  <c r="AA2759" i="25"/>
  <c r="X2759" i="25"/>
  <c r="Y2759" i="25"/>
  <c r="Z2759" i="25"/>
  <c r="W2759" i="25"/>
  <c r="V2768" i="25"/>
  <c r="AA2768" i="25"/>
  <c r="Y2768" i="25"/>
  <c r="Z2768" i="25"/>
  <c r="X2768" i="25"/>
  <c r="V2776" i="25"/>
  <c r="AA2776" i="25"/>
  <c r="W2776" i="25"/>
  <c r="X2776" i="25"/>
  <c r="Z2776" i="25"/>
  <c r="V2784" i="25"/>
  <c r="AA2784" i="25"/>
  <c r="W2784" i="25"/>
  <c r="X2784" i="25"/>
  <c r="Y2784" i="25"/>
  <c r="Z2784" i="25"/>
  <c r="V2792" i="25"/>
  <c r="W2792" i="25"/>
  <c r="X2792" i="25"/>
  <c r="Y2792" i="25"/>
  <c r="Z2792" i="25"/>
  <c r="AA2792" i="25"/>
  <c r="V2800" i="25"/>
  <c r="W2800" i="25"/>
  <c r="X2800" i="25"/>
  <c r="Y2800" i="25"/>
  <c r="Z2800" i="25"/>
  <c r="AA2800" i="25"/>
  <c r="V2808" i="25"/>
  <c r="W2808" i="25"/>
  <c r="X2808" i="25"/>
  <c r="Y2808" i="25"/>
  <c r="Z2808" i="25"/>
  <c r="AA2808" i="25"/>
  <c r="V2816" i="25"/>
  <c r="W2816" i="25"/>
  <c r="X2816" i="25"/>
  <c r="Y2816" i="25"/>
  <c r="Z2816" i="25"/>
  <c r="AA2816" i="25"/>
  <c r="V2824" i="25"/>
  <c r="W2824" i="25"/>
  <c r="X2824" i="25"/>
  <c r="Y2824" i="25"/>
  <c r="Z2824" i="25"/>
  <c r="AA2824" i="25"/>
  <c r="V2832" i="25"/>
  <c r="W2832" i="25"/>
  <c r="X2832" i="25"/>
  <c r="Y2832" i="25"/>
  <c r="Z2832" i="25"/>
  <c r="AA2832" i="25"/>
  <c r="V2840" i="25"/>
  <c r="W2840" i="25"/>
  <c r="X2840" i="25"/>
  <c r="Y2840" i="25"/>
  <c r="Z2840" i="25"/>
  <c r="AA2840" i="25"/>
  <c r="V2848" i="25"/>
  <c r="W2848" i="25"/>
  <c r="X2848" i="25"/>
  <c r="Y2848" i="25"/>
  <c r="Z2848" i="25"/>
  <c r="AA2848" i="25"/>
  <c r="V2856" i="25"/>
  <c r="W2856" i="25"/>
  <c r="X2856" i="25"/>
  <c r="Y2856" i="25"/>
  <c r="Z2856" i="25"/>
  <c r="AA2856" i="25"/>
  <c r="V2864" i="25"/>
  <c r="W2864" i="25"/>
  <c r="X2864" i="25"/>
  <c r="Y2864" i="25"/>
  <c r="Z2864" i="25"/>
  <c r="AA2864" i="25"/>
  <c r="V2872" i="25"/>
  <c r="W2872" i="25"/>
  <c r="X2872" i="25"/>
  <c r="Y2872" i="25"/>
  <c r="Z2872" i="25"/>
  <c r="AA2872" i="25"/>
  <c r="V2880" i="25"/>
  <c r="W2880" i="25"/>
  <c r="X2880" i="25"/>
  <c r="Y2880" i="25"/>
  <c r="Z2880" i="25"/>
  <c r="AA2880" i="25"/>
  <c r="V2888" i="25"/>
  <c r="W2888" i="25"/>
  <c r="X2888" i="25"/>
  <c r="Y2888" i="25"/>
  <c r="Z2888" i="25"/>
  <c r="AA2888" i="25"/>
  <c r="V2896" i="25"/>
  <c r="W2896" i="25"/>
  <c r="X2896" i="25"/>
  <c r="Y2896" i="25"/>
  <c r="Z2896" i="25"/>
  <c r="AA2896" i="25"/>
  <c r="V2904" i="25"/>
  <c r="W2904" i="25"/>
  <c r="X2904" i="25"/>
  <c r="Y2904" i="25"/>
  <c r="Z2904" i="25"/>
  <c r="AA2904" i="25"/>
  <c r="V2912" i="25"/>
  <c r="W2912" i="25"/>
  <c r="X2912" i="25"/>
  <c r="Y2912" i="25"/>
  <c r="Z2912" i="25"/>
  <c r="AA2912" i="25"/>
  <c r="V2920" i="25"/>
  <c r="W2920" i="25"/>
  <c r="X2920" i="25"/>
  <c r="Y2920" i="25"/>
  <c r="Z2920" i="25"/>
  <c r="AA2920" i="25"/>
  <c r="V2928" i="25"/>
  <c r="W2928" i="25"/>
  <c r="X2928" i="25"/>
  <c r="Y2928" i="25"/>
  <c r="Z2928" i="25"/>
  <c r="AA2928" i="25"/>
  <c r="V2936" i="25"/>
  <c r="W2936" i="25"/>
  <c r="X2936" i="25"/>
  <c r="Y2936" i="25"/>
  <c r="Z2936" i="25"/>
  <c r="AA2936" i="25"/>
  <c r="V2944" i="25"/>
  <c r="W2944" i="25"/>
  <c r="X2944" i="25"/>
  <c r="Y2944" i="25"/>
  <c r="Z2944" i="25"/>
  <c r="AA2944" i="25"/>
  <c r="V2952" i="25"/>
  <c r="W2952" i="25"/>
  <c r="X2952" i="25"/>
  <c r="Y2952" i="25"/>
  <c r="Z2952" i="25"/>
  <c r="AA2952" i="25"/>
  <c r="V2966" i="25"/>
  <c r="W2966" i="25"/>
  <c r="X2966" i="25"/>
  <c r="Y2966" i="25"/>
  <c r="Z2966" i="25"/>
  <c r="AA2966" i="25"/>
  <c r="V2977" i="25"/>
  <c r="W2977" i="25"/>
  <c r="X2977" i="25"/>
  <c r="Y2977" i="25"/>
  <c r="Z2977" i="25"/>
  <c r="AA2977" i="25"/>
  <c r="V2985" i="25"/>
  <c r="W2985" i="25"/>
  <c r="X2985" i="25"/>
  <c r="Y2985" i="25"/>
  <c r="AA2985" i="25"/>
  <c r="Z2985" i="25"/>
  <c r="V2995" i="25"/>
  <c r="AA2995" i="25"/>
  <c r="X2995" i="25"/>
  <c r="Y2995" i="25"/>
  <c r="Z2995" i="25"/>
  <c r="V3005" i="25"/>
  <c r="AA3005" i="25"/>
  <c r="Z3005" i="25"/>
  <c r="W3005" i="25"/>
  <c r="X3005" i="25"/>
  <c r="V3013" i="25"/>
  <c r="AA3013" i="25"/>
  <c r="W3013" i="25"/>
  <c r="X3013" i="25"/>
  <c r="Y3013" i="25"/>
  <c r="Z3013" i="25"/>
  <c r="V3021" i="25"/>
  <c r="AA3021" i="25"/>
  <c r="W3021" i="25"/>
  <c r="X3021" i="25"/>
  <c r="Y3021" i="25"/>
  <c r="Z3021" i="25"/>
  <c r="V3029" i="25"/>
  <c r="AA3029" i="25"/>
  <c r="X3029" i="25"/>
  <c r="Y3029" i="25"/>
  <c r="Z3029" i="25"/>
  <c r="V3037" i="25"/>
  <c r="AA3037" i="25"/>
  <c r="Z3037" i="25"/>
  <c r="W3037" i="25"/>
  <c r="X3037" i="25"/>
  <c r="V3045" i="25"/>
  <c r="AA3045" i="25"/>
  <c r="W3045" i="25"/>
  <c r="X3045" i="25"/>
  <c r="Y3045" i="25"/>
  <c r="Z3045" i="25"/>
  <c r="V3053" i="25"/>
  <c r="AA3053" i="25"/>
  <c r="W3053" i="25"/>
  <c r="X3053" i="25"/>
  <c r="Y3053" i="25"/>
  <c r="Z3053" i="25"/>
  <c r="V3061" i="25"/>
  <c r="AA3061" i="25"/>
  <c r="X3061" i="25"/>
  <c r="Y3061" i="25"/>
  <c r="Z3061" i="25"/>
  <c r="V3069" i="25"/>
  <c r="AA3069" i="25"/>
  <c r="Z3069" i="25"/>
  <c r="W3069" i="25"/>
  <c r="X3069" i="25"/>
  <c r="V3077" i="25"/>
  <c r="AA3077" i="25"/>
  <c r="W3077" i="25"/>
  <c r="X3077" i="25"/>
  <c r="Y3077" i="25"/>
  <c r="Z3077" i="25"/>
  <c r="V3085" i="25"/>
  <c r="AA3085" i="25"/>
  <c r="W3085" i="25"/>
  <c r="X3085" i="25"/>
  <c r="Y3085" i="25"/>
  <c r="Z3085" i="25"/>
  <c r="V3093" i="25"/>
  <c r="AA3093" i="25"/>
  <c r="Y3093" i="25"/>
  <c r="Z3093" i="25"/>
  <c r="V3101" i="25"/>
  <c r="AA3101" i="25"/>
  <c r="W3101" i="25"/>
  <c r="X3101" i="25"/>
  <c r="V3109" i="25"/>
  <c r="AA3109" i="25"/>
  <c r="W3109" i="25"/>
  <c r="X3109" i="25"/>
  <c r="Y3109" i="25"/>
  <c r="Z3109" i="25"/>
  <c r="V3117" i="25"/>
  <c r="AA3117" i="25"/>
  <c r="W3117" i="25"/>
  <c r="X3117" i="25"/>
  <c r="Y3117" i="25"/>
  <c r="Z3117" i="25"/>
  <c r="V3125" i="25"/>
  <c r="AA3125" i="25"/>
  <c r="Y3125" i="25"/>
  <c r="Z3125" i="25"/>
  <c r="V3133" i="25"/>
  <c r="AA3133" i="25"/>
  <c r="W3133" i="25"/>
  <c r="X3133" i="25"/>
  <c r="V3141" i="25"/>
  <c r="AA3141" i="25"/>
  <c r="W3141" i="25"/>
  <c r="X3141" i="25"/>
  <c r="Y3141" i="25"/>
  <c r="Z3141" i="25"/>
  <c r="V3152" i="25"/>
  <c r="AA3152" i="25"/>
  <c r="W3152" i="25"/>
  <c r="X3152" i="25"/>
  <c r="Y3152" i="25"/>
  <c r="Z3152" i="25"/>
  <c r="V3160" i="25"/>
  <c r="AA3160" i="25"/>
  <c r="Y3160" i="25"/>
  <c r="Z3160" i="25"/>
  <c r="V3168" i="25"/>
  <c r="AA3168" i="25"/>
  <c r="W3168" i="25"/>
  <c r="X3168" i="25"/>
  <c r="V3176" i="25"/>
  <c r="AA3176" i="25"/>
  <c r="W3176" i="25"/>
  <c r="X3176" i="25"/>
  <c r="Y3176" i="25"/>
  <c r="Z3176" i="25"/>
  <c r="V3184" i="25"/>
  <c r="AA3184" i="25"/>
  <c r="W3184" i="25"/>
  <c r="X3184" i="25"/>
  <c r="Y3184" i="25"/>
  <c r="Z3184" i="25"/>
  <c r="V3198" i="25"/>
  <c r="Y3198" i="25"/>
  <c r="Z3198" i="25"/>
  <c r="AA3198" i="25"/>
  <c r="V3213" i="25"/>
  <c r="Y3213" i="25"/>
  <c r="Z3213" i="25"/>
  <c r="AA3213" i="25"/>
  <c r="V3221" i="25"/>
  <c r="Y3221" i="25"/>
  <c r="Z3221" i="25"/>
  <c r="AA3221" i="25"/>
  <c r="V3229" i="25"/>
  <c r="Y3229" i="25"/>
  <c r="Z3229" i="25"/>
  <c r="AA3229" i="25"/>
  <c r="V3238" i="25"/>
  <c r="Y3238" i="25"/>
  <c r="Z3238" i="25"/>
  <c r="AA3238" i="25"/>
  <c r="V3246" i="25"/>
  <c r="Y3246" i="25"/>
  <c r="Z3246" i="25"/>
  <c r="AA3246" i="25"/>
  <c r="V3254" i="25"/>
  <c r="Y3254" i="25"/>
  <c r="Z3254" i="25"/>
  <c r="AA3254" i="25"/>
  <c r="V3262" i="25"/>
  <c r="Y3262" i="25"/>
  <c r="Z3262" i="25"/>
  <c r="AA3262" i="25"/>
  <c r="V3270" i="25"/>
  <c r="Y3270" i="25"/>
  <c r="Z3270" i="25"/>
  <c r="AA3270" i="25"/>
  <c r="V3278" i="25"/>
  <c r="Y3278" i="25"/>
  <c r="Z3278" i="25"/>
  <c r="AA3278" i="25"/>
  <c r="V3286" i="25"/>
  <c r="Y3286" i="25"/>
  <c r="Z3286" i="25"/>
  <c r="AA3286" i="25"/>
  <c r="V3294" i="25"/>
  <c r="Y3294" i="25"/>
  <c r="Z3294" i="25"/>
  <c r="AA3294" i="25"/>
  <c r="V3302" i="25"/>
  <c r="Y3302" i="25"/>
  <c r="Z3302" i="25"/>
  <c r="AA3302" i="25"/>
  <c r="V3310" i="25"/>
  <c r="Y3310" i="25"/>
  <c r="Z3310" i="25"/>
  <c r="AA3310" i="25"/>
  <c r="V3318" i="25"/>
  <c r="Y3318" i="25"/>
  <c r="Z3318" i="25"/>
  <c r="AA3318" i="25"/>
  <c r="V3326" i="25"/>
  <c r="Y3326" i="25"/>
  <c r="Z3326" i="25"/>
  <c r="AA3326" i="25"/>
  <c r="V3334" i="25"/>
  <c r="Y3334" i="25"/>
  <c r="Z3334" i="25"/>
  <c r="AA3334" i="25"/>
  <c r="V3342" i="25"/>
  <c r="Y3342" i="25"/>
  <c r="Z3342" i="25"/>
  <c r="AA3342" i="25"/>
  <c r="V3350" i="25"/>
  <c r="Y3350" i="25"/>
  <c r="Z3350" i="25"/>
  <c r="AA3350" i="25"/>
  <c r="V3358" i="25"/>
  <c r="Y3358" i="25"/>
  <c r="Z3358" i="25"/>
  <c r="AA3358" i="25"/>
  <c r="V3366" i="25"/>
  <c r="Y3366" i="25"/>
  <c r="Z3366" i="25"/>
  <c r="AA3366" i="25"/>
  <c r="V3374" i="25"/>
  <c r="Y3374" i="25"/>
  <c r="Z3374" i="25"/>
  <c r="AA3374" i="25"/>
  <c r="V3382" i="25"/>
  <c r="Y3382" i="25"/>
  <c r="Z3382" i="25"/>
  <c r="AA3382" i="25"/>
  <c r="V3390" i="25"/>
  <c r="Y3390" i="25"/>
  <c r="Z3390" i="25"/>
  <c r="AA3390" i="25"/>
  <c r="V3398" i="25"/>
  <c r="Y3398" i="25"/>
  <c r="Z3398" i="25"/>
  <c r="AA3398" i="25"/>
  <c r="V3406" i="25"/>
  <c r="Y3406" i="25"/>
  <c r="V3414" i="25"/>
  <c r="Y3414" i="25"/>
  <c r="V3422" i="25"/>
  <c r="Y3422" i="25"/>
  <c r="V3430" i="25"/>
  <c r="Y3430" i="25"/>
  <c r="V3438" i="25"/>
  <c r="Y3438" i="25"/>
  <c r="V3446" i="25"/>
  <c r="Y3446" i="25"/>
  <c r="V3454" i="25"/>
  <c r="Y3454" i="25"/>
  <c r="V3462" i="25"/>
  <c r="Y3462" i="25"/>
  <c r="V3470" i="25"/>
  <c r="Y3470" i="25"/>
  <c r="V3478" i="25"/>
  <c r="Y3478" i="25"/>
  <c r="V3486" i="25"/>
  <c r="Y3486" i="25"/>
  <c r="V3494" i="25"/>
  <c r="Y3494" i="25"/>
  <c r="V3502" i="25"/>
  <c r="Y3502" i="25"/>
  <c r="V3510" i="25"/>
  <c r="Y3510" i="25"/>
  <c r="V3518" i="25"/>
  <c r="Y3518" i="25"/>
  <c r="AA3665" i="25"/>
  <c r="X3664" i="25"/>
  <c r="Z3662" i="25"/>
  <c r="W3661" i="25"/>
  <c r="Y3659" i="25"/>
  <c r="AA3657" i="25"/>
  <c r="X3656" i="25"/>
  <c r="Z3654" i="25"/>
  <c r="W3653" i="25"/>
  <c r="Y3651" i="25"/>
  <c r="AA3649" i="25"/>
  <c r="X3648" i="25"/>
  <c r="Z3646" i="25"/>
  <c r="W3645" i="25"/>
  <c r="Y3643" i="25"/>
  <c r="AA3641" i="25"/>
  <c r="X3640" i="25"/>
  <c r="Z3638" i="25"/>
  <c r="W3637" i="25"/>
  <c r="Y3635" i="25"/>
  <c r="AA3633" i="25"/>
  <c r="X3632" i="25"/>
  <c r="Z3625" i="25"/>
  <c r="W3624" i="25"/>
  <c r="Y3622" i="25"/>
  <c r="AA3621" i="25"/>
  <c r="X3620" i="25"/>
  <c r="Z3618" i="25"/>
  <c r="W3617" i="25"/>
  <c r="Y3614" i="25"/>
  <c r="AA3612" i="25"/>
  <c r="X3611" i="25"/>
  <c r="Z3609" i="25"/>
  <c r="W3608" i="25"/>
  <c r="Y3606" i="25"/>
  <c r="AA3604" i="25"/>
  <c r="X3603" i="25"/>
  <c r="Z3601" i="25"/>
  <c r="W3600" i="25"/>
  <c r="Y3598" i="25"/>
  <c r="AA3596" i="25"/>
  <c r="X3595" i="25"/>
  <c r="Z3593" i="25"/>
  <c r="W3592" i="25"/>
  <c r="Y3590" i="25"/>
  <c r="AA3588" i="25"/>
  <c r="X3587" i="25"/>
  <c r="Z3585" i="25"/>
  <c r="W3584" i="25"/>
  <c r="Y3582" i="25"/>
  <c r="AA3580" i="25"/>
  <c r="X3579" i="25"/>
  <c r="Z3577" i="25"/>
  <c r="W3576" i="25"/>
  <c r="Y3574" i="25"/>
  <c r="AA3572" i="25"/>
  <c r="X3571" i="25"/>
  <c r="Z3569" i="25"/>
  <c r="W3568" i="25"/>
  <c r="Y3566" i="25"/>
  <c r="AA3564" i="25"/>
  <c r="X3563" i="25"/>
  <c r="Z3561" i="25"/>
  <c r="W3560" i="25"/>
  <c r="Y3558" i="25"/>
  <c r="AA3556" i="25"/>
  <c r="X3555" i="25"/>
  <c r="Z3553" i="25"/>
  <c r="W3552" i="25"/>
  <c r="Y3550" i="25"/>
  <c r="AA3548" i="25"/>
  <c r="X3547" i="25"/>
  <c r="Z3545" i="25"/>
  <c r="W3544" i="25"/>
  <c r="Y3542" i="25"/>
  <c r="AA3540" i="25"/>
  <c r="X3539" i="25"/>
  <c r="Z3537" i="25"/>
  <c r="W3536" i="25"/>
  <c r="Y3534" i="25"/>
  <c r="AA3532" i="25"/>
  <c r="X3531" i="25"/>
  <c r="Z3529" i="25"/>
  <c r="W3528" i="25"/>
  <c r="Y3526" i="25"/>
  <c r="AA3524" i="25"/>
  <c r="W3523" i="25"/>
  <c r="AA3520" i="25"/>
  <c r="AA3518" i="25"/>
  <c r="Z3516" i="25"/>
  <c r="Y3514" i="25"/>
  <c r="Y3512" i="25"/>
  <c r="X3510" i="25"/>
  <c r="W3508" i="25"/>
  <c r="Z3501" i="25"/>
  <c r="Z3499" i="25"/>
  <c r="Y3497" i="25"/>
  <c r="X3493" i="25"/>
  <c r="W3491" i="25"/>
  <c r="AA3488" i="25"/>
  <c r="AA3486" i="25"/>
  <c r="Z3484" i="25"/>
  <c r="Y3482" i="25"/>
  <c r="Y3480" i="25"/>
  <c r="X3478" i="25"/>
  <c r="W3476" i="25"/>
  <c r="Z3469" i="25"/>
  <c r="Z3467" i="25"/>
  <c r="Y3465" i="25"/>
  <c r="X3461" i="25"/>
  <c r="W3459" i="25"/>
  <c r="AA3456" i="25"/>
  <c r="AA3454" i="25"/>
  <c r="Z3452" i="25"/>
  <c r="Y3450" i="25"/>
  <c r="Y3448" i="25"/>
  <c r="X3446" i="25"/>
  <c r="W3444" i="25"/>
  <c r="Z3437" i="25"/>
  <c r="Z3435" i="25"/>
  <c r="Y3433" i="25"/>
  <c r="X3429" i="25"/>
  <c r="W3427" i="25"/>
  <c r="AA3424" i="25"/>
  <c r="AA3422" i="25"/>
  <c r="Z3420" i="25"/>
  <c r="Y3418" i="25"/>
  <c r="Y3416" i="25"/>
  <c r="X3414" i="25"/>
  <c r="W3412" i="25"/>
  <c r="Z3404" i="25"/>
  <c r="X3398" i="25"/>
  <c r="Y3385" i="25"/>
  <c r="W3379" i="25"/>
  <c r="Z3372" i="25"/>
  <c r="X3366" i="25"/>
  <c r="Y3353" i="25"/>
  <c r="W3347" i="25"/>
  <c r="Z3340" i="25"/>
  <c r="X3334" i="25"/>
  <c r="Y3321" i="25"/>
  <c r="W3315" i="25"/>
  <c r="Z3308" i="25"/>
  <c r="X3302" i="25"/>
  <c r="Y3289" i="25"/>
  <c r="W3283" i="25"/>
  <c r="Z3276" i="25"/>
  <c r="X3270" i="25"/>
  <c r="Y3257" i="25"/>
  <c r="W3251" i="25"/>
  <c r="Z3244" i="25"/>
  <c r="X3238" i="25"/>
  <c r="Y3224" i="25"/>
  <c r="W3218" i="25"/>
  <c r="Z3211" i="25"/>
  <c r="X3198" i="25"/>
  <c r="Z3168" i="25"/>
  <c r="X3160" i="25"/>
  <c r="Z3151" i="25"/>
  <c r="W3140" i="25"/>
  <c r="Z3131" i="25"/>
  <c r="W3123" i="25"/>
  <c r="Y3114" i="25"/>
  <c r="W3106" i="25"/>
  <c r="Y3097" i="25"/>
  <c r="AA3088" i="25"/>
  <c r="Y3080" i="25"/>
  <c r="AA3071" i="25"/>
  <c r="Y3005" i="25"/>
  <c r="AA2869" i="25"/>
  <c r="V1012" i="25"/>
  <c r="X1012" i="25"/>
  <c r="Y1012" i="25"/>
  <c r="Z1012" i="25"/>
  <c r="AA1012" i="25"/>
  <c r="W1012" i="25"/>
  <c r="V1021" i="25"/>
  <c r="Z1021" i="25"/>
  <c r="AA1021" i="25"/>
  <c r="W1021" i="25"/>
  <c r="X1021" i="25"/>
  <c r="Y1021" i="25"/>
  <c r="V1036" i="25"/>
  <c r="Z1036" i="25"/>
  <c r="AA1036" i="25"/>
  <c r="W1036" i="25"/>
  <c r="X1036" i="25"/>
  <c r="Y1036" i="25"/>
  <c r="V1044" i="25"/>
  <c r="Z1044" i="25"/>
  <c r="AA1044" i="25"/>
  <c r="W1044" i="25"/>
  <c r="X1044" i="25"/>
  <c r="Y1044" i="25"/>
  <c r="V1052" i="25"/>
  <c r="Z1052" i="25"/>
  <c r="AA1052" i="25"/>
  <c r="X1052" i="25"/>
  <c r="Y1052" i="25"/>
  <c r="W1052" i="25"/>
  <c r="V1060" i="25"/>
  <c r="Z1060" i="25"/>
  <c r="AA1060" i="25"/>
  <c r="Y1060" i="25"/>
  <c r="W1060" i="25"/>
  <c r="X1060" i="25"/>
  <c r="V1068" i="25"/>
  <c r="Z1068" i="25"/>
  <c r="AA1068" i="25"/>
  <c r="W1068" i="25"/>
  <c r="X1068" i="25"/>
  <c r="Y1068" i="25"/>
  <c r="V1076" i="25"/>
  <c r="Z1076" i="25"/>
  <c r="AA1076" i="25"/>
  <c r="W1076" i="25"/>
  <c r="X1076" i="25"/>
  <c r="Y1076" i="25"/>
  <c r="V1084" i="25"/>
  <c r="Z1084" i="25"/>
  <c r="Y1084" i="25"/>
  <c r="AA1084" i="25"/>
  <c r="W1084" i="25"/>
  <c r="X1084" i="25"/>
  <c r="V1092" i="25"/>
  <c r="Z1092" i="25"/>
  <c r="X1092" i="25"/>
  <c r="Y1092" i="25"/>
  <c r="AA1092" i="25"/>
  <c r="W1092" i="25"/>
  <c r="V1100" i="25"/>
  <c r="Z1100" i="25"/>
  <c r="W1100" i="25"/>
  <c r="X1100" i="25"/>
  <c r="Y1100" i="25"/>
  <c r="AA1100" i="25"/>
  <c r="V1108" i="25"/>
  <c r="Z1108" i="25"/>
  <c r="Y1108" i="25"/>
  <c r="AA1108" i="25"/>
  <c r="W1108" i="25"/>
  <c r="X1108" i="25"/>
  <c r="V1116" i="25"/>
  <c r="Z1116" i="25"/>
  <c r="W1116" i="25"/>
  <c r="X1116" i="25"/>
  <c r="Y1116" i="25"/>
  <c r="AA1116" i="25"/>
  <c r="V1124" i="25"/>
  <c r="Z1124" i="25"/>
  <c r="W1124" i="25"/>
  <c r="X1124" i="25"/>
  <c r="Y1124" i="25"/>
  <c r="AA1124" i="25"/>
  <c r="V1132" i="25"/>
  <c r="Z1132" i="25"/>
  <c r="W1132" i="25"/>
  <c r="X1132" i="25"/>
  <c r="Y1132" i="25"/>
  <c r="AA1132" i="25"/>
  <c r="V1140" i="25"/>
  <c r="Z1140" i="25"/>
  <c r="Y1140" i="25"/>
  <c r="AA1140" i="25"/>
  <c r="W1140" i="25"/>
  <c r="X1140" i="25"/>
  <c r="V1148" i="25"/>
  <c r="Z1148" i="25"/>
  <c r="AA1148" i="25"/>
  <c r="W1148" i="25"/>
  <c r="X1148" i="25"/>
  <c r="Y1148" i="25"/>
  <c r="V1156" i="25"/>
  <c r="Z1156" i="25"/>
  <c r="AA1156" i="25"/>
  <c r="W1156" i="25"/>
  <c r="X1156" i="25"/>
  <c r="Y1156" i="25"/>
  <c r="V1164" i="25"/>
  <c r="Z1164" i="25"/>
  <c r="AA1164" i="25"/>
  <c r="W1164" i="25"/>
  <c r="X1164" i="25"/>
  <c r="Y1164" i="25"/>
  <c r="V1172" i="25"/>
  <c r="Z1172" i="25"/>
  <c r="AA1172" i="25"/>
  <c r="W1172" i="25"/>
  <c r="X1172" i="25"/>
  <c r="Y1172" i="25"/>
  <c r="V1180" i="25"/>
  <c r="Z1180" i="25"/>
  <c r="AA1180" i="25"/>
  <c r="W1180" i="25"/>
  <c r="X1180" i="25"/>
  <c r="Y1180" i="25"/>
  <c r="V1188" i="25"/>
  <c r="Z1188" i="25"/>
  <c r="AA1188" i="25"/>
  <c r="W1188" i="25"/>
  <c r="X1188" i="25"/>
  <c r="Y1188" i="25"/>
  <c r="V1196" i="25"/>
  <c r="Z1196" i="25"/>
  <c r="AA1196" i="25"/>
  <c r="W1196" i="25"/>
  <c r="X1196" i="25"/>
  <c r="Y1196" i="25"/>
  <c r="V1204" i="25"/>
  <c r="Z1204" i="25"/>
  <c r="AA1204" i="25"/>
  <c r="W1204" i="25"/>
  <c r="X1204" i="25"/>
  <c r="Y1204" i="25"/>
  <c r="V1212" i="25"/>
  <c r="Z1212" i="25"/>
  <c r="AA1212" i="25"/>
  <c r="X1212" i="25"/>
  <c r="W1212" i="25"/>
  <c r="Y1212" i="25"/>
  <c r="V1220" i="25"/>
  <c r="Z1220" i="25"/>
  <c r="AA1220" i="25"/>
  <c r="X1220" i="25"/>
  <c r="W1220" i="25"/>
  <c r="Y1220" i="25"/>
  <c r="V1228" i="25"/>
  <c r="Z1228" i="25"/>
  <c r="AA1228" i="25"/>
  <c r="X1228" i="25"/>
  <c r="Y1228" i="25"/>
  <c r="W1228" i="25"/>
  <c r="V1236" i="25"/>
  <c r="Z1236" i="25"/>
  <c r="AA1236" i="25"/>
  <c r="X1236" i="25"/>
  <c r="W1236" i="25"/>
  <c r="Y1236" i="25"/>
  <c r="V1244" i="25"/>
  <c r="Z1244" i="25"/>
  <c r="AA1244" i="25"/>
  <c r="X1244" i="25"/>
  <c r="W1244" i="25"/>
  <c r="Y1244" i="25"/>
  <c r="V1252" i="25"/>
  <c r="Z1252" i="25"/>
  <c r="AA1252" i="25"/>
  <c r="X1252" i="25"/>
  <c r="W1252" i="25"/>
  <c r="Y1252" i="25"/>
  <c r="V1260" i="25"/>
  <c r="AA1260" i="25"/>
  <c r="X1260" i="25"/>
  <c r="Y1260" i="25"/>
  <c r="Z1260" i="25"/>
  <c r="W1260" i="25"/>
  <c r="V1268" i="25"/>
  <c r="AA1268" i="25"/>
  <c r="X1268" i="25"/>
  <c r="W1268" i="25"/>
  <c r="Y1268" i="25"/>
  <c r="Z1268" i="25"/>
  <c r="V1276" i="25"/>
  <c r="AA1276" i="25"/>
  <c r="X1276" i="25"/>
  <c r="W1276" i="25"/>
  <c r="Y1276" i="25"/>
  <c r="Z1276" i="25"/>
  <c r="V1284" i="25"/>
  <c r="AA1284" i="25"/>
  <c r="X1284" i="25"/>
  <c r="W1284" i="25"/>
  <c r="Y1284" i="25"/>
  <c r="Z1284" i="25"/>
  <c r="V1292" i="25"/>
  <c r="AA1292" i="25"/>
  <c r="X1292" i="25"/>
  <c r="Y1292" i="25"/>
  <c r="Z1292" i="25"/>
  <c r="W1292" i="25"/>
  <c r="V1300" i="25"/>
  <c r="AA1300" i="25"/>
  <c r="X1300" i="25"/>
  <c r="W1300" i="25"/>
  <c r="Y1300" i="25"/>
  <c r="Z1300" i="25"/>
  <c r="V1308" i="25"/>
  <c r="AA1308" i="25"/>
  <c r="X1308" i="25"/>
  <c r="W1308" i="25"/>
  <c r="Y1308" i="25"/>
  <c r="Z1308" i="25"/>
  <c r="V1316" i="25"/>
  <c r="AA1316" i="25"/>
  <c r="X1316" i="25"/>
  <c r="W1316" i="25"/>
  <c r="Y1316" i="25"/>
  <c r="Z1316" i="25"/>
  <c r="V1324" i="25"/>
  <c r="AA1324" i="25"/>
  <c r="X1324" i="25"/>
  <c r="Y1324" i="25"/>
  <c r="Z1324" i="25"/>
  <c r="W1324" i="25"/>
  <c r="V1332" i="25"/>
  <c r="W1332" i="25"/>
  <c r="X1332" i="25"/>
  <c r="Y1332" i="25"/>
  <c r="Z1332" i="25"/>
  <c r="AA1332" i="25"/>
  <c r="V1340" i="25"/>
  <c r="W1340" i="25"/>
  <c r="X1340" i="25"/>
  <c r="Y1340" i="25"/>
  <c r="Z1340" i="25"/>
  <c r="AA1340" i="25"/>
  <c r="V1348" i="25"/>
  <c r="W1348" i="25"/>
  <c r="X1348" i="25"/>
  <c r="Y1348" i="25"/>
  <c r="Z1348" i="25"/>
  <c r="AA1348" i="25"/>
  <c r="V1356" i="25"/>
  <c r="W1356" i="25"/>
  <c r="X1356" i="25"/>
  <c r="Y1356" i="25"/>
  <c r="Z1356" i="25"/>
  <c r="AA1356" i="25"/>
  <c r="V1364" i="25"/>
  <c r="W1364" i="25"/>
  <c r="X1364" i="25"/>
  <c r="Y1364" i="25"/>
  <c r="Z1364" i="25"/>
  <c r="AA1364" i="25"/>
  <c r="V1372" i="25"/>
  <c r="W1372" i="25"/>
  <c r="X1372" i="25"/>
  <c r="Y1372" i="25"/>
  <c r="Z1372" i="25"/>
  <c r="AA1372" i="25"/>
  <c r="V1380" i="25"/>
  <c r="W1380" i="25"/>
  <c r="X1380" i="25"/>
  <c r="Y1380" i="25"/>
  <c r="Z1380" i="25"/>
  <c r="AA1380" i="25"/>
  <c r="V1388" i="25"/>
  <c r="W1388" i="25"/>
  <c r="X1388" i="25"/>
  <c r="Y1388" i="25"/>
  <c r="Z1388" i="25"/>
  <c r="AA1388" i="25"/>
  <c r="V1396" i="25"/>
  <c r="W1396" i="25"/>
  <c r="X1396" i="25"/>
  <c r="Y1396" i="25"/>
  <c r="Z1396" i="25"/>
  <c r="AA1396" i="25"/>
  <c r="V1404" i="25"/>
  <c r="W1404" i="25"/>
  <c r="X1404" i="25"/>
  <c r="Y1404" i="25"/>
  <c r="Z1404" i="25"/>
  <c r="AA1404" i="25"/>
  <c r="V1412" i="25"/>
  <c r="W1412" i="25"/>
  <c r="X1412" i="25"/>
  <c r="Y1412" i="25"/>
  <c r="Z1412" i="25"/>
  <c r="AA1412" i="25"/>
  <c r="V1420" i="25"/>
  <c r="W1420" i="25"/>
  <c r="X1420" i="25"/>
  <c r="Y1420" i="25"/>
  <c r="Z1420" i="25"/>
  <c r="AA1420" i="25"/>
  <c r="V1428" i="25"/>
  <c r="W1428" i="25"/>
  <c r="X1428" i="25"/>
  <c r="Y1428" i="25"/>
  <c r="Z1428" i="25"/>
  <c r="AA1428" i="25"/>
  <c r="V1436" i="25"/>
  <c r="W1436" i="25"/>
  <c r="X1436" i="25"/>
  <c r="Y1436" i="25"/>
  <c r="Z1436" i="25"/>
  <c r="AA1436" i="25"/>
  <c r="V1444" i="25"/>
  <c r="W1444" i="25"/>
  <c r="X1444" i="25"/>
  <c r="Y1444" i="25"/>
  <c r="Z1444" i="25"/>
  <c r="AA1444" i="25"/>
  <c r="V1452" i="25"/>
  <c r="W1452" i="25"/>
  <c r="X1452" i="25"/>
  <c r="Y1452" i="25"/>
  <c r="Z1452" i="25"/>
  <c r="AA1452" i="25"/>
  <c r="V1460" i="25"/>
  <c r="W1460" i="25"/>
  <c r="X1460" i="25"/>
  <c r="Y1460" i="25"/>
  <c r="Z1460" i="25"/>
  <c r="AA1460" i="25"/>
  <c r="V1468" i="25"/>
  <c r="W1468" i="25"/>
  <c r="X1468" i="25"/>
  <c r="Y1468" i="25"/>
  <c r="AA1468" i="25"/>
  <c r="Z1468" i="25"/>
  <c r="V1476" i="25"/>
  <c r="W1476" i="25"/>
  <c r="X1476" i="25"/>
  <c r="Y1476" i="25"/>
  <c r="Z1476" i="25"/>
  <c r="AA1476" i="25"/>
  <c r="V1484" i="25"/>
  <c r="W1484" i="25"/>
  <c r="X1484" i="25"/>
  <c r="Y1484" i="25"/>
  <c r="Z1484" i="25"/>
  <c r="AA1484" i="25"/>
  <c r="V1492" i="25"/>
  <c r="W1492" i="25"/>
  <c r="X1492" i="25"/>
  <c r="Y1492" i="25"/>
  <c r="Z1492" i="25"/>
  <c r="AA1492" i="25"/>
  <c r="V1500" i="25"/>
  <c r="Y1500" i="25"/>
  <c r="W1500" i="25"/>
  <c r="X1500" i="25"/>
  <c r="Z1500" i="25"/>
  <c r="AA1500" i="25"/>
  <c r="V1508" i="25"/>
  <c r="Y1508" i="25"/>
  <c r="W1508" i="25"/>
  <c r="X1508" i="25"/>
  <c r="Z1508" i="25"/>
  <c r="AA1508" i="25"/>
  <c r="V1516" i="25"/>
  <c r="Y1516" i="25"/>
  <c r="X1516" i="25"/>
  <c r="Z1516" i="25"/>
  <c r="AA1516" i="25"/>
  <c r="W1516" i="25"/>
  <c r="V1524" i="25"/>
  <c r="Y1524" i="25"/>
  <c r="AA1524" i="25"/>
  <c r="W1524" i="25"/>
  <c r="X1524" i="25"/>
  <c r="Z1524" i="25"/>
  <c r="V1532" i="25"/>
  <c r="Y1532" i="25"/>
  <c r="W1532" i="25"/>
  <c r="X1532" i="25"/>
  <c r="Z1532" i="25"/>
  <c r="AA1532" i="25"/>
  <c r="V1540" i="25"/>
  <c r="Y1540" i="25"/>
  <c r="W1540" i="25"/>
  <c r="X1540" i="25"/>
  <c r="Z1540" i="25"/>
  <c r="AA1540" i="25"/>
  <c r="V1548" i="25"/>
  <c r="Y1548" i="25"/>
  <c r="X1548" i="25"/>
  <c r="Z1548" i="25"/>
  <c r="AA1548" i="25"/>
  <c r="W1548" i="25"/>
  <c r="V1556" i="25"/>
  <c r="Y1556" i="25"/>
  <c r="AA1556" i="25"/>
  <c r="W1556" i="25"/>
  <c r="X1556" i="25"/>
  <c r="Z1556" i="25"/>
  <c r="V1564" i="25"/>
  <c r="Y1564" i="25"/>
  <c r="W1564" i="25"/>
  <c r="X1564" i="25"/>
  <c r="Z1564" i="25"/>
  <c r="AA1564" i="25"/>
  <c r="V1572" i="25"/>
  <c r="Y1572" i="25"/>
  <c r="Z1572" i="25"/>
  <c r="AA1572" i="25"/>
  <c r="W1572" i="25"/>
  <c r="X1572" i="25"/>
  <c r="V1580" i="25"/>
  <c r="Z1580" i="25"/>
  <c r="AA1580" i="25"/>
  <c r="W1580" i="25"/>
  <c r="X1580" i="25"/>
  <c r="Y1580" i="25"/>
  <c r="V1588" i="25"/>
  <c r="AA1588" i="25"/>
  <c r="W1588" i="25"/>
  <c r="X1588" i="25"/>
  <c r="Y1588" i="25"/>
  <c r="Z1588" i="25"/>
  <c r="V1596" i="25"/>
  <c r="AA1596" i="25"/>
  <c r="W1596" i="25"/>
  <c r="X1596" i="25"/>
  <c r="Y1596" i="25"/>
  <c r="Z1596" i="25"/>
  <c r="V1604" i="25"/>
  <c r="AA1604" i="25"/>
  <c r="W1604" i="25"/>
  <c r="X1604" i="25"/>
  <c r="Y1604" i="25"/>
  <c r="Z1604" i="25"/>
  <c r="V1612" i="25"/>
  <c r="AA1612" i="25"/>
  <c r="W1612" i="25"/>
  <c r="X1612" i="25"/>
  <c r="Y1612" i="25"/>
  <c r="Z1612" i="25"/>
  <c r="V1620" i="25"/>
  <c r="AA1620" i="25"/>
  <c r="W1620" i="25"/>
  <c r="X1620" i="25"/>
  <c r="Y1620" i="25"/>
  <c r="Z1620" i="25"/>
  <c r="V1628" i="25"/>
  <c r="AA1628" i="25"/>
  <c r="W1628" i="25"/>
  <c r="X1628" i="25"/>
  <c r="Y1628" i="25"/>
  <c r="Z1628" i="25"/>
  <c r="V1636" i="25"/>
  <c r="AA1636" i="25"/>
  <c r="W1636" i="25"/>
  <c r="X1636" i="25"/>
  <c r="Y1636" i="25"/>
  <c r="Z1636" i="25"/>
  <c r="V1644" i="25"/>
  <c r="AA1644" i="25"/>
  <c r="W1644" i="25"/>
  <c r="X1644" i="25"/>
  <c r="Y1644" i="25"/>
  <c r="Z1644" i="25"/>
  <c r="V1652" i="25"/>
  <c r="AA1652" i="25"/>
  <c r="W1652" i="25"/>
  <c r="X1652" i="25"/>
  <c r="Y1652" i="25"/>
  <c r="Z1652" i="25"/>
  <c r="V1660" i="25"/>
  <c r="AA1660" i="25"/>
  <c r="W1660" i="25"/>
  <c r="X1660" i="25"/>
  <c r="Y1660" i="25"/>
  <c r="Z1660" i="25"/>
  <c r="V1668" i="25"/>
  <c r="AA1668" i="25"/>
  <c r="W1668" i="25"/>
  <c r="X1668" i="25"/>
  <c r="Y1668" i="25"/>
  <c r="Z1668" i="25"/>
  <c r="V1676" i="25"/>
  <c r="AA1676" i="25"/>
  <c r="W1676" i="25"/>
  <c r="X1676" i="25"/>
  <c r="Y1676" i="25"/>
  <c r="Z1676" i="25"/>
  <c r="V1684" i="25"/>
  <c r="AA1684" i="25"/>
  <c r="W1684" i="25"/>
  <c r="X1684" i="25"/>
  <c r="Y1684" i="25"/>
  <c r="Z1684" i="25"/>
  <c r="V1692" i="25"/>
  <c r="AA1692" i="25"/>
  <c r="W1692" i="25"/>
  <c r="X1692" i="25"/>
  <c r="Y1692" i="25"/>
  <c r="Z1692" i="25"/>
  <c r="V1700" i="25"/>
  <c r="AA1700" i="25"/>
  <c r="W1700" i="25"/>
  <c r="X1700" i="25"/>
  <c r="Y1700" i="25"/>
  <c r="Z1700" i="25"/>
  <c r="V1708" i="25"/>
  <c r="AA1708" i="25"/>
  <c r="W1708" i="25"/>
  <c r="X1708" i="25"/>
  <c r="Y1708" i="25"/>
  <c r="Z1708" i="25"/>
  <c r="V1716" i="25"/>
  <c r="AA1716" i="25"/>
  <c r="W1716" i="25"/>
  <c r="X1716" i="25"/>
  <c r="Y1716" i="25"/>
  <c r="Z1716" i="25"/>
  <c r="V1724" i="25"/>
  <c r="AA1724" i="25"/>
  <c r="W1724" i="25"/>
  <c r="X1724" i="25"/>
  <c r="Y1724" i="25"/>
  <c r="Z1724" i="25"/>
  <c r="V1732" i="25"/>
  <c r="AA1732" i="25"/>
  <c r="W1732" i="25"/>
  <c r="X1732" i="25"/>
  <c r="Y1732" i="25"/>
  <c r="Z1732" i="25"/>
  <c r="V1740" i="25"/>
  <c r="AA1740" i="25"/>
  <c r="W1740" i="25"/>
  <c r="X1740" i="25"/>
  <c r="Y1740" i="25"/>
  <c r="Z1740" i="25"/>
  <c r="V1748" i="25"/>
  <c r="AA1748" i="25"/>
  <c r="W1748" i="25"/>
  <c r="X1748" i="25"/>
  <c r="Y1748" i="25"/>
  <c r="Z1748" i="25"/>
  <c r="V1756" i="25"/>
  <c r="AA1756" i="25"/>
  <c r="W1756" i="25"/>
  <c r="X1756" i="25"/>
  <c r="Y1756" i="25"/>
  <c r="Z1756" i="25"/>
  <c r="V1764" i="25"/>
  <c r="AA1764" i="25"/>
  <c r="W1764" i="25"/>
  <c r="X1764" i="25"/>
  <c r="Y1764" i="25"/>
  <c r="Z1764" i="25"/>
  <c r="V1772" i="25"/>
  <c r="AA1772" i="25"/>
  <c r="W1772" i="25"/>
  <c r="X1772" i="25"/>
  <c r="Y1772" i="25"/>
  <c r="Z1772" i="25"/>
  <c r="V1780" i="25"/>
  <c r="AA1780" i="25"/>
  <c r="W1780" i="25"/>
  <c r="X1780" i="25"/>
  <c r="Y1780" i="25"/>
  <c r="Z1780" i="25"/>
  <c r="V1788" i="25"/>
  <c r="AA1788" i="25"/>
  <c r="W1788" i="25"/>
  <c r="X1788" i="25"/>
  <c r="Y1788" i="25"/>
  <c r="Z1788" i="25"/>
  <c r="V1796" i="25"/>
  <c r="AA1796" i="25"/>
  <c r="W1796" i="25"/>
  <c r="X1796" i="25"/>
  <c r="Y1796" i="25"/>
  <c r="Z1796" i="25"/>
  <c r="V1804" i="25"/>
  <c r="AA1804" i="25"/>
  <c r="W1804" i="25"/>
  <c r="X1804" i="25"/>
  <c r="Y1804" i="25"/>
  <c r="Z1804" i="25"/>
  <c r="V1812" i="25"/>
  <c r="AA1812" i="25"/>
  <c r="W1812" i="25"/>
  <c r="X1812" i="25"/>
  <c r="Y1812" i="25"/>
  <c r="Z1812" i="25"/>
  <c r="V1820" i="25"/>
  <c r="AA1820" i="25"/>
  <c r="W1820" i="25"/>
  <c r="X1820" i="25"/>
  <c r="Y1820" i="25"/>
  <c r="Z1820" i="25"/>
  <c r="V1828" i="25"/>
  <c r="AA1828" i="25"/>
  <c r="W1828" i="25"/>
  <c r="X1828" i="25"/>
  <c r="Y1828" i="25"/>
  <c r="Z1828" i="25"/>
  <c r="V1836" i="25"/>
  <c r="AA1836" i="25"/>
  <c r="W1836" i="25"/>
  <c r="X1836" i="25"/>
  <c r="Y1836" i="25"/>
  <c r="Z1836" i="25"/>
  <c r="V1844" i="25"/>
  <c r="AA1844" i="25"/>
  <c r="W1844" i="25"/>
  <c r="X1844" i="25"/>
  <c r="Y1844" i="25"/>
  <c r="Z1844" i="25"/>
  <c r="V1852" i="25"/>
  <c r="AA1852" i="25"/>
  <c r="W1852" i="25"/>
  <c r="X1852" i="25"/>
  <c r="Y1852" i="25"/>
  <c r="Z1852" i="25"/>
  <c r="V1860" i="25"/>
  <c r="AA1860" i="25"/>
  <c r="W1860" i="25"/>
  <c r="X1860" i="25"/>
  <c r="Y1860" i="25"/>
  <c r="Z1860" i="25"/>
  <c r="V1868" i="25"/>
  <c r="AA1868" i="25"/>
  <c r="W1868" i="25"/>
  <c r="X1868" i="25"/>
  <c r="Y1868" i="25"/>
  <c r="Z1868" i="25"/>
  <c r="V1876" i="25"/>
  <c r="AA1876" i="25"/>
  <c r="W1876" i="25"/>
  <c r="X1876" i="25"/>
  <c r="Y1876" i="25"/>
  <c r="Z1876" i="25"/>
  <c r="V1884" i="25"/>
  <c r="AA1884" i="25"/>
  <c r="W1884" i="25"/>
  <c r="X1884" i="25"/>
  <c r="Y1884" i="25"/>
  <c r="Z1884" i="25"/>
  <c r="V1892" i="25"/>
  <c r="AA1892" i="25"/>
  <c r="W1892" i="25"/>
  <c r="X1892" i="25"/>
  <c r="Y1892" i="25"/>
  <c r="Z1892" i="25"/>
  <c r="V1900" i="25"/>
  <c r="AA1900" i="25"/>
  <c r="W1900" i="25"/>
  <c r="X1900" i="25"/>
  <c r="Y1900" i="25"/>
  <c r="Z1900" i="25"/>
  <c r="V1908" i="25"/>
  <c r="AA1908" i="25"/>
  <c r="W1908" i="25"/>
  <c r="X1908" i="25"/>
  <c r="Y1908" i="25"/>
  <c r="Z1908" i="25"/>
  <c r="V1916" i="25"/>
  <c r="AA1916" i="25"/>
  <c r="X1916" i="25"/>
  <c r="W1916" i="25"/>
  <c r="Y1916" i="25"/>
  <c r="Z1916" i="25"/>
  <c r="V1924" i="25"/>
  <c r="AA1924" i="25"/>
  <c r="X1924" i="25"/>
  <c r="Z1924" i="25"/>
  <c r="W1924" i="25"/>
  <c r="Y1924" i="25"/>
  <c r="V1932" i="25"/>
  <c r="AA1932" i="25"/>
  <c r="X1932" i="25"/>
  <c r="W1932" i="25"/>
  <c r="Y1932" i="25"/>
  <c r="Z1932" i="25"/>
  <c r="V1940" i="25"/>
  <c r="AA1940" i="25"/>
  <c r="X1940" i="25"/>
  <c r="W1940" i="25"/>
  <c r="Y1940" i="25"/>
  <c r="Z1940" i="25"/>
  <c r="V1948" i="25"/>
  <c r="AA1948" i="25"/>
  <c r="X1948" i="25"/>
  <c r="W1948" i="25"/>
  <c r="Y1948" i="25"/>
  <c r="Z1948" i="25"/>
  <c r="V1956" i="25"/>
  <c r="AA1956" i="25"/>
  <c r="X1956" i="25"/>
  <c r="Z1956" i="25"/>
  <c r="W1956" i="25"/>
  <c r="Y1956" i="25"/>
  <c r="V1964" i="25"/>
  <c r="AA1964" i="25"/>
  <c r="X1964" i="25"/>
  <c r="W1964" i="25"/>
  <c r="Y1964" i="25"/>
  <c r="Z1964" i="25"/>
  <c r="V1972" i="25"/>
  <c r="AA1972" i="25"/>
  <c r="X1972" i="25"/>
  <c r="W1972" i="25"/>
  <c r="Y1972" i="25"/>
  <c r="Z1972" i="25"/>
  <c r="V1980" i="25"/>
  <c r="AA1980" i="25"/>
  <c r="X1980" i="25"/>
  <c r="W1980" i="25"/>
  <c r="Y1980" i="25"/>
  <c r="Z1980" i="25"/>
  <c r="V1988" i="25"/>
  <c r="AA1988" i="25"/>
  <c r="X1988" i="25"/>
  <c r="Z1988" i="25"/>
  <c r="W1988" i="25"/>
  <c r="Y1988" i="25"/>
  <c r="V1996" i="25"/>
  <c r="AA1996" i="25"/>
  <c r="X1996" i="25"/>
  <c r="W1996" i="25"/>
  <c r="Y1996" i="25"/>
  <c r="Z1996" i="25"/>
  <c r="V2004" i="25"/>
  <c r="AA2004" i="25"/>
  <c r="X2004" i="25"/>
  <c r="W2004" i="25"/>
  <c r="Y2004" i="25"/>
  <c r="Z2004" i="25"/>
  <c r="V2031" i="25"/>
  <c r="AA2031" i="25"/>
  <c r="X2031" i="25"/>
  <c r="W2031" i="25"/>
  <c r="Y2031" i="25"/>
  <c r="Z2031" i="25"/>
  <c r="V2035" i="25"/>
  <c r="AA2035" i="25"/>
  <c r="X2035" i="25"/>
  <c r="Z2035" i="25"/>
  <c r="W2035" i="25"/>
  <c r="Y2035" i="25"/>
  <c r="V2039" i="25"/>
  <c r="AA2039" i="25"/>
  <c r="W2039" i="25"/>
  <c r="X2039" i="25"/>
  <c r="Y2039" i="25"/>
  <c r="Z2039" i="25"/>
  <c r="V2043" i="25"/>
  <c r="AA2043" i="25"/>
  <c r="W2043" i="25"/>
  <c r="X2043" i="25"/>
  <c r="Y2043" i="25"/>
  <c r="Z2043" i="25"/>
  <c r="V2047" i="25"/>
  <c r="AA2047" i="25"/>
  <c r="W2047" i="25"/>
  <c r="X2047" i="25"/>
  <c r="Y2047" i="25"/>
  <c r="Z2047" i="25"/>
  <c r="V2053" i="25"/>
  <c r="AA2053" i="25"/>
  <c r="W2053" i="25"/>
  <c r="X2053" i="25"/>
  <c r="Y2053" i="25"/>
  <c r="Z2053" i="25"/>
  <c r="V2061" i="25"/>
  <c r="AA2061" i="25"/>
  <c r="W2061" i="25"/>
  <c r="X2061" i="25"/>
  <c r="Y2061" i="25"/>
  <c r="Z2061" i="25"/>
  <c r="V2069" i="25"/>
  <c r="AA2069" i="25"/>
  <c r="W2069" i="25"/>
  <c r="X2069" i="25"/>
  <c r="Y2069" i="25"/>
  <c r="Z2069" i="25"/>
  <c r="V2077" i="25"/>
  <c r="AA2077" i="25"/>
  <c r="W2077" i="25"/>
  <c r="X2077" i="25"/>
  <c r="Y2077" i="25"/>
  <c r="Z2077" i="25"/>
  <c r="V2085" i="25"/>
  <c r="AA2085" i="25"/>
  <c r="W2085" i="25"/>
  <c r="X2085" i="25"/>
  <c r="Y2085" i="25"/>
  <c r="Z2085" i="25"/>
  <c r="V2093" i="25"/>
  <c r="AA2093" i="25"/>
  <c r="W2093" i="25"/>
  <c r="X2093" i="25"/>
  <c r="Y2093" i="25"/>
  <c r="Z2093" i="25"/>
  <c r="V2101" i="25"/>
  <c r="AA2101" i="25"/>
  <c r="W2101" i="25"/>
  <c r="X2101" i="25"/>
  <c r="Y2101" i="25"/>
  <c r="Z2101" i="25"/>
  <c r="V2109" i="25"/>
  <c r="AA2109" i="25"/>
  <c r="W2109" i="25"/>
  <c r="X2109" i="25"/>
  <c r="Y2109" i="25"/>
  <c r="Z2109" i="25"/>
  <c r="V2117" i="25"/>
  <c r="AA2117" i="25"/>
  <c r="W2117" i="25"/>
  <c r="X2117" i="25"/>
  <c r="Y2117" i="25"/>
  <c r="Z2117" i="25"/>
  <c r="V2125" i="25"/>
  <c r="AA2125" i="25"/>
  <c r="W2125" i="25"/>
  <c r="X2125" i="25"/>
  <c r="Y2125" i="25"/>
  <c r="Z2125" i="25"/>
  <c r="V2133" i="25"/>
  <c r="AA2133" i="25"/>
  <c r="W2133" i="25"/>
  <c r="X2133" i="25"/>
  <c r="Y2133" i="25"/>
  <c r="Z2133" i="25"/>
  <c r="V2141" i="25"/>
  <c r="AA2141" i="25"/>
  <c r="W2141" i="25"/>
  <c r="X2141" i="25"/>
  <c r="Y2141" i="25"/>
  <c r="Z2141" i="25"/>
  <c r="V2149" i="25"/>
  <c r="AA2149" i="25"/>
  <c r="W2149" i="25"/>
  <c r="X2149" i="25"/>
  <c r="Y2149" i="25"/>
  <c r="Z2149" i="25"/>
  <c r="V2157" i="25"/>
  <c r="AA2157" i="25"/>
  <c r="W2157" i="25"/>
  <c r="X2157" i="25"/>
  <c r="Y2157" i="25"/>
  <c r="Z2157" i="25"/>
  <c r="V2165" i="25"/>
  <c r="AA2165" i="25"/>
  <c r="W2165" i="25"/>
  <c r="X2165" i="25"/>
  <c r="Y2165" i="25"/>
  <c r="Z2165" i="25"/>
  <c r="V2173" i="25"/>
  <c r="AA2173" i="25"/>
  <c r="W2173" i="25"/>
  <c r="X2173" i="25"/>
  <c r="Y2173" i="25"/>
  <c r="Z2173" i="25"/>
  <c r="V2181" i="25"/>
  <c r="AA2181" i="25"/>
  <c r="W2181" i="25"/>
  <c r="X2181" i="25"/>
  <c r="Y2181" i="25"/>
  <c r="Z2181" i="25"/>
  <c r="V2189" i="25"/>
  <c r="AA2189" i="25"/>
  <c r="W2189" i="25"/>
  <c r="X2189" i="25"/>
  <c r="Y2189" i="25"/>
  <c r="Z2189" i="25"/>
  <c r="V2197" i="25"/>
  <c r="AA2197" i="25"/>
  <c r="W2197" i="25"/>
  <c r="X2197" i="25"/>
  <c r="Y2197" i="25"/>
  <c r="Z2197" i="25"/>
  <c r="V2205" i="25"/>
  <c r="AA2205" i="25"/>
  <c r="W2205" i="25"/>
  <c r="X2205" i="25"/>
  <c r="Y2205" i="25"/>
  <c r="Z2205" i="25"/>
  <c r="V2213" i="25"/>
  <c r="AA2213" i="25"/>
  <c r="W2213" i="25"/>
  <c r="X2213" i="25"/>
  <c r="Y2213" i="25"/>
  <c r="Z2213" i="25"/>
  <c r="V2221" i="25"/>
  <c r="AA2221" i="25"/>
  <c r="W2221" i="25"/>
  <c r="X2221" i="25"/>
  <c r="Y2221" i="25"/>
  <c r="Z2221" i="25"/>
  <c r="V2229" i="25"/>
  <c r="AA2229" i="25"/>
  <c r="W2229" i="25"/>
  <c r="X2229" i="25"/>
  <c r="Y2229" i="25"/>
  <c r="Z2229" i="25"/>
  <c r="V2237" i="25"/>
  <c r="AA2237" i="25"/>
  <c r="W2237" i="25"/>
  <c r="X2237" i="25"/>
  <c r="Y2237" i="25"/>
  <c r="Z2237" i="25"/>
  <c r="V2245" i="25"/>
  <c r="AA2245" i="25"/>
  <c r="W2245" i="25"/>
  <c r="X2245" i="25"/>
  <c r="Y2245" i="25"/>
  <c r="Z2245" i="25"/>
  <c r="V2253" i="25"/>
  <c r="AA2253" i="25"/>
  <c r="W2253" i="25"/>
  <c r="X2253" i="25"/>
  <c r="Y2253" i="25"/>
  <c r="Z2253" i="25"/>
  <c r="V2261" i="25"/>
  <c r="AA2261" i="25"/>
  <c r="W2261" i="25"/>
  <c r="X2261" i="25"/>
  <c r="Y2261" i="25"/>
  <c r="Z2261" i="25"/>
  <c r="V2269" i="25"/>
  <c r="AA2269" i="25"/>
  <c r="W2269" i="25"/>
  <c r="X2269" i="25"/>
  <c r="Y2269" i="25"/>
  <c r="Z2269" i="25"/>
  <c r="V2277" i="25"/>
  <c r="AA2277" i="25"/>
  <c r="W2277" i="25"/>
  <c r="Y2277" i="25"/>
  <c r="X2277" i="25"/>
  <c r="Z2277" i="25"/>
  <c r="V2285" i="25"/>
  <c r="AA2285" i="25"/>
  <c r="W2285" i="25"/>
  <c r="Y2285" i="25"/>
  <c r="X2285" i="25"/>
  <c r="Z2285" i="25"/>
  <c r="V2293" i="25"/>
  <c r="W2293" i="25"/>
  <c r="Y2293" i="25"/>
  <c r="AA2293" i="25"/>
  <c r="X2293" i="25"/>
  <c r="Z2293" i="25"/>
  <c r="V2301" i="25"/>
  <c r="W2301" i="25"/>
  <c r="Y2301" i="25"/>
  <c r="X2301" i="25"/>
  <c r="Z2301" i="25"/>
  <c r="AA2301" i="25"/>
  <c r="V2309" i="25"/>
  <c r="W2309" i="25"/>
  <c r="Y2309" i="25"/>
  <c r="X2309" i="25"/>
  <c r="Z2309" i="25"/>
  <c r="AA2309" i="25"/>
  <c r="V2317" i="25"/>
  <c r="W2317" i="25"/>
  <c r="Y2317" i="25"/>
  <c r="X2317" i="25"/>
  <c r="Z2317" i="25"/>
  <c r="AA2317" i="25"/>
  <c r="V2325" i="25"/>
  <c r="W2325" i="25"/>
  <c r="Y2325" i="25"/>
  <c r="AA2325" i="25"/>
  <c r="X2325" i="25"/>
  <c r="Z2325" i="25"/>
  <c r="V2333" i="25"/>
  <c r="W2333" i="25"/>
  <c r="Y2333" i="25"/>
  <c r="X2333" i="25"/>
  <c r="Z2333" i="25"/>
  <c r="AA2333" i="25"/>
  <c r="V2341" i="25"/>
  <c r="W2341" i="25"/>
  <c r="Y2341" i="25"/>
  <c r="X2341" i="25"/>
  <c r="Z2341" i="25"/>
  <c r="AA2341" i="25"/>
  <c r="V2349" i="25"/>
  <c r="W2349" i="25"/>
  <c r="Y2349" i="25"/>
  <c r="X2349" i="25"/>
  <c r="Z2349" i="25"/>
  <c r="AA2349" i="25"/>
  <c r="V2357" i="25"/>
  <c r="W2357" i="25"/>
  <c r="Y2357" i="25"/>
  <c r="AA2357" i="25"/>
  <c r="X2357" i="25"/>
  <c r="Z2357" i="25"/>
  <c r="V2365" i="25"/>
  <c r="W2365" i="25"/>
  <c r="Y2365" i="25"/>
  <c r="X2365" i="25"/>
  <c r="Z2365" i="25"/>
  <c r="AA2365" i="25"/>
  <c r="V2373" i="25"/>
  <c r="W2373" i="25"/>
  <c r="Y2373" i="25"/>
  <c r="X2373" i="25"/>
  <c r="Z2373" i="25"/>
  <c r="AA2373" i="25"/>
  <c r="V2381" i="25"/>
  <c r="W2381" i="25"/>
  <c r="Y2381" i="25"/>
  <c r="X2381" i="25"/>
  <c r="Z2381" i="25"/>
  <c r="AA2381" i="25"/>
  <c r="V2389" i="25"/>
  <c r="W2389" i="25"/>
  <c r="Y2389" i="25"/>
  <c r="AA2389" i="25"/>
  <c r="Z2389" i="25"/>
  <c r="X2389" i="25"/>
  <c r="V2397" i="25"/>
  <c r="W2397" i="25"/>
  <c r="X2397" i="25"/>
  <c r="Y2397" i="25"/>
  <c r="Z2397" i="25"/>
  <c r="AA2397" i="25"/>
  <c r="V2405" i="25"/>
  <c r="W2405" i="25"/>
  <c r="X2405" i="25"/>
  <c r="Y2405" i="25"/>
  <c r="Z2405" i="25"/>
  <c r="AA2405" i="25"/>
  <c r="V2413" i="25"/>
  <c r="W2413" i="25"/>
  <c r="X2413" i="25"/>
  <c r="Y2413" i="25"/>
  <c r="Z2413" i="25"/>
  <c r="AA2413" i="25"/>
  <c r="V2421" i="25"/>
  <c r="W2421" i="25"/>
  <c r="X2421" i="25"/>
  <c r="Y2421" i="25"/>
  <c r="Z2421" i="25"/>
  <c r="AA2421" i="25"/>
  <c r="V2429" i="25"/>
  <c r="W2429" i="25"/>
  <c r="X2429" i="25"/>
  <c r="Y2429" i="25"/>
  <c r="Z2429" i="25"/>
  <c r="AA2429" i="25"/>
  <c r="V2437" i="25"/>
  <c r="W2437" i="25"/>
  <c r="X2437" i="25"/>
  <c r="Y2437" i="25"/>
  <c r="Z2437" i="25"/>
  <c r="AA2437" i="25"/>
  <c r="V2445" i="25"/>
  <c r="W2445" i="25"/>
  <c r="X2445" i="25"/>
  <c r="Y2445" i="25"/>
  <c r="Z2445" i="25"/>
  <c r="AA2445" i="25"/>
  <c r="V2453" i="25"/>
  <c r="W2453" i="25"/>
  <c r="X2453" i="25"/>
  <c r="Y2453" i="25"/>
  <c r="Z2453" i="25"/>
  <c r="AA2453" i="25"/>
  <c r="V2461" i="25"/>
  <c r="W2461" i="25"/>
  <c r="X2461" i="25"/>
  <c r="Y2461" i="25"/>
  <c r="Z2461" i="25"/>
  <c r="AA2461" i="25"/>
  <c r="V2469" i="25"/>
  <c r="W2469" i="25"/>
  <c r="X2469" i="25"/>
  <c r="Y2469" i="25"/>
  <c r="Z2469" i="25"/>
  <c r="AA2469" i="25"/>
  <c r="V2477" i="25"/>
  <c r="W2477" i="25"/>
  <c r="X2477" i="25"/>
  <c r="Y2477" i="25"/>
  <c r="Z2477" i="25"/>
  <c r="AA2477" i="25"/>
  <c r="V2485" i="25"/>
  <c r="W2485" i="25"/>
  <c r="X2485" i="25"/>
  <c r="Y2485" i="25"/>
  <c r="Z2485" i="25"/>
  <c r="AA2485" i="25"/>
  <c r="V2493" i="25"/>
  <c r="W2493" i="25"/>
  <c r="X2493" i="25"/>
  <c r="Y2493" i="25"/>
  <c r="Z2493" i="25"/>
  <c r="AA2493" i="25"/>
  <c r="V2501" i="25"/>
  <c r="W2501" i="25"/>
  <c r="X2501" i="25"/>
  <c r="Y2501" i="25"/>
  <c r="Z2501" i="25"/>
  <c r="AA2501" i="25"/>
  <c r="V2509" i="25"/>
  <c r="W2509" i="25"/>
  <c r="X2509" i="25"/>
  <c r="Y2509" i="25"/>
  <c r="Z2509" i="25"/>
  <c r="AA2509" i="25"/>
  <c r="V2517" i="25"/>
  <c r="W2517" i="25"/>
  <c r="X2517" i="25"/>
  <c r="Y2517" i="25"/>
  <c r="Z2517" i="25"/>
  <c r="AA2517" i="25"/>
  <c r="V2525" i="25"/>
  <c r="W2525" i="25"/>
  <c r="X2525" i="25"/>
  <c r="Y2525" i="25"/>
  <c r="Z2525" i="25"/>
  <c r="AA2525" i="25"/>
  <c r="V2533" i="25"/>
  <c r="W2533" i="25"/>
  <c r="X2533" i="25"/>
  <c r="Y2533" i="25"/>
  <c r="Z2533" i="25"/>
  <c r="AA2533" i="25"/>
  <c r="V2541" i="25"/>
  <c r="W2541" i="25"/>
  <c r="X2541" i="25"/>
  <c r="Y2541" i="25"/>
  <c r="Z2541" i="25"/>
  <c r="AA2541" i="25"/>
  <c r="V2549" i="25"/>
  <c r="W2549" i="25"/>
  <c r="X2549" i="25"/>
  <c r="Y2549" i="25"/>
  <c r="Z2549" i="25"/>
  <c r="AA2549" i="25"/>
  <c r="V2557" i="25"/>
  <c r="W2557" i="25"/>
  <c r="X2557" i="25"/>
  <c r="Y2557" i="25"/>
  <c r="Z2557" i="25"/>
  <c r="AA2557" i="25"/>
  <c r="V2565" i="25"/>
  <c r="W2565" i="25"/>
  <c r="X2565" i="25"/>
  <c r="Y2565" i="25"/>
  <c r="Z2565" i="25"/>
  <c r="AA2565" i="25"/>
  <c r="V2573" i="25"/>
  <c r="W2573" i="25"/>
  <c r="X2573" i="25"/>
  <c r="Y2573" i="25"/>
  <c r="Z2573" i="25"/>
  <c r="AA2573" i="25"/>
  <c r="V2581" i="25"/>
  <c r="W2581" i="25"/>
  <c r="X2581" i="25"/>
  <c r="Y2581" i="25"/>
  <c r="Z2581" i="25"/>
  <c r="AA2581" i="25"/>
  <c r="V2589" i="25"/>
  <c r="W2589" i="25"/>
  <c r="X2589" i="25"/>
  <c r="Y2589" i="25"/>
  <c r="Z2589" i="25"/>
  <c r="AA2589" i="25"/>
  <c r="V2597" i="25"/>
  <c r="W2597" i="25"/>
  <c r="X2597" i="25"/>
  <c r="Y2597" i="25"/>
  <c r="Z2597" i="25"/>
  <c r="AA2597" i="25"/>
  <c r="V2605" i="25"/>
  <c r="W2605" i="25"/>
  <c r="X2605" i="25"/>
  <c r="Y2605" i="25"/>
  <c r="Z2605" i="25"/>
  <c r="AA2605" i="25"/>
  <c r="V2613" i="25"/>
  <c r="W2613" i="25"/>
  <c r="X2613" i="25"/>
  <c r="Y2613" i="25"/>
  <c r="Z2613" i="25"/>
  <c r="AA2613" i="25"/>
  <c r="V2621" i="25"/>
  <c r="W2621" i="25"/>
  <c r="X2621" i="25"/>
  <c r="Y2621" i="25"/>
  <c r="Z2621" i="25"/>
  <c r="AA2621" i="25"/>
  <c r="V2629" i="25"/>
  <c r="W2629" i="25"/>
  <c r="X2629" i="25"/>
  <c r="Y2629" i="25"/>
  <c r="Z2629" i="25"/>
  <c r="AA2629" i="25"/>
  <c r="V2637" i="25"/>
  <c r="W2637" i="25"/>
  <c r="X2637" i="25"/>
  <c r="Y2637" i="25"/>
  <c r="Z2637" i="25"/>
  <c r="AA2637" i="25"/>
  <c r="V2645" i="25"/>
  <c r="W2645" i="25"/>
  <c r="X2645" i="25"/>
  <c r="Y2645" i="25"/>
  <c r="Z2645" i="25"/>
  <c r="AA2645" i="25"/>
  <c r="V2653" i="25"/>
  <c r="W2653" i="25"/>
  <c r="X2653" i="25"/>
  <c r="Y2653" i="25"/>
  <c r="Z2653" i="25"/>
  <c r="AA2653" i="25"/>
  <c r="V2661" i="25"/>
  <c r="W2661" i="25"/>
  <c r="X2661" i="25"/>
  <c r="Y2661" i="25"/>
  <c r="Z2661" i="25"/>
  <c r="AA2661" i="25"/>
  <c r="V2669" i="25"/>
  <c r="W2669" i="25"/>
  <c r="X2669" i="25"/>
  <c r="Y2669" i="25"/>
  <c r="Z2669" i="25"/>
  <c r="AA2669" i="25"/>
  <c r="V2677" i="25"/>
  <c r="W2677" i="25"/>
  <c r="X2677" i="25"/>
  <c r="Y2677" i="25"/>
  <c r="Z2677" i="25"/>
  <c r="AA2677" i="25"/>
  <c r="V2685" i="25"/>
  <c r="W2685" i="25"/>
  <c r="X2685" i="25"/>
  <c r="Y2685" i="25"/>
  <c r="AA2685" i="25"/>
  <c r="Z2685" i="25"/>
  <c r="V2693" i="25"/>
  <c r="W2693" i="25"/>
  <c r="X2693" i="25"/>
  <c r="Y2693" i="25"/>
  <c r="AA2693" i="25"/>
  <c r="Z2693" i="25"/>
  <c r="V2701" i="25"/>
  <c r="W2701" i="25"/>
  <c r="X2701" i="25"/>
  <c r="Y2701" i="25"/>
  <c r="AA2701" i="25"/>
  <c r="Z2701" i="25"/>
  <c r="V2709" i="25"/>
  <c r="W2709" i="25"/>
  <c r="X2709" i="25"/>
  <c r="Y2709" i="25"/>
  <c r="Z2709" i="25"/>
  <c r="AA2709" i="25"/>
  <c r="V2717" i="25"/>
  <c r="W2717" i="25"/>
  <c r="X2717" i="25"/>
  <c r="Y2717" i="25"/>
  <c r="AA2717" i="25"/>
  <c r="Z2717" i="25"/>
  <c r="V2725" i="25"/>
  <c r="W2725" i="25"/>
  <c r="X2725" i="25"/>
  <c r="Y2725" i="25"/>
  <c r="Z2725" i="25"/>
  <c r="AA2725" i="25"/>
  <c r="V2733" i="25"/>
  <c r="W2733" i="25"/>
  <c r="X2733" i="25"/>
  <c r="Y2733" i="25"/>
  <c r="AA2733" i="25"/>
  <c r="Z2733" i="25"/>
  <c r="V2741" i="25"/>
  <c r="W2741" i="25"/>
  <c r="X2741" i="25"/>
  <c r="Y2741" i="25"/>
  <c r="Z2741" i="25"/>
  <c r="AA2741" i="25"/>
  <c r="V2750" i="25"/>
  <c r="W2750" i="25"/>
  <c r="X2750" i="25"/>
  <c r="Y2750" i="25"/>
  <c r="AA2750" i="25"/>
  <c r="Z2750" i="25"/>
  <c r="V2760" i="25"/>
  <c r="W2760" i="25"/>
  <c r="X2760" i="25"/>
  <c r="Y2760" i="25"/>
  <c r="Z2760" i="25"/>
  <c r="AA2760" i="25"/>
  <c r="V2769" i="25"/>
  <c r="X2769" i="25"/>
  <c r="W2769" i="25"/>
  <c r="Y2769" i="25"/>
  <c r="Z2769" i="25"/>
  <c r="AA2769" i="25"/>
  <c r="V2777" i="25"/>
  <c r="X2777" i="25"/>
  <c r="W2777" i="25"/>
  <c r="Y2777" i="25"/>
  <c r="Z2777" i="25"/>
  <c r="AA2777" i="25"/>
  <c r="V2785" i="25"/>
  <c r="X2785" i="25"/>
  <c r="Z2785" i="25"/>
  <c r="AA2785" i="25"/>
  <c r="Y2785" i="25"/>
  <c r="V2793" i="25"/>
  <c r="Y2793" i="25"/>
  <c r="Z2793" i="25"/>
  <c r="AA2793" i="25"/>
  <c r="X2793" i="25"/>
  <c r="V2801" i="25"/>
  <c r="Y2801" i="25"/>
  <c r="Z2801" i="25"/>
  <c r="AA2801" i="25"/>
  <c r="W2801" i="25"/>
  <c r="X2801" i="25"/>
  <c r="V2809" i="25"/>
  <c r="Y2809" i="25"/>
  <c r="Z2809" i="25"/>
  <c r="AA2809" i="25"/>
  <c r="W2809" i="25"/>
  <c r="X2809" i="25"/>
  <c r="V2817" i="25"/>
  <c r="Y2817" i="25"/>
  <c r="Z2817" i="25"/>
  <c r="AA2817" i="25"/>
  <c r="W2817" i="25"/>
  <c r="X2817" i="25"/>
  <c r="V2825" i="25"/>
  <c r="Y2825" i="25"/>
  <c r="Z2825" i="25"/>
  <c r="AA2825" i="25"/>
  <c r="X2825" i="25"/>
  <c r="V2833" i="25"/>
  <c r="Y2833" i="25"/>
  <c r="Z2833" i="25"/>
  <c r="AA2833" i="25"/>
  <c r="W2833" i="25"/>
  <c r="X2833" i="25"/>
  <c r="V2841" i="25"/>
  <c r="Y2841" i="25"/>
  <c r="Z2841" i="25"/>
  <c r="AA2841" i="25"/>
  <c r="W2841" i="25"/>
  <c r="X2841" i="25"/>
  <c r="V2849" i="25"/>
  <c r="Y2849" i="25"/>
  <c r="Z2849" i="25"/>
  <c r="AA2849" i="25"/>
  <c r="W2849" i="25"/>
  <c r="X2849" i="25"/>
  <c r="V2857" i="25"/>
  <c r="Y2857" i="25"/>
  <c r="Z2857" i="25"/>
  <c r="AA2857" i="25"/>
  <c r="X2857" i="25"/>
  <c r="V2865" i="25"/>
  <c r="Y2865" i="25"/>
  <c r="Z2865" i="25"/>
  <c r="AA2865" i="25"/>
  <c r="W2865" i="25"/>
  <c r="X2865" i="25"/>
  <c r="V2873" i="25"/>
  <c r="Y2873" i="25"/>
  <c r="Z2873" i="25"/>
  <c r="AA2873" i="25"/>
  <c r="W2873" i="25"/>
  <c r="X2873" i="25"/>
  <c r="V2881" i="25"/>
  <c r="Y2881" i="25"/>
  <c r="Z2881" i="25"/>
  <c r="AA2881" i="25"/>
  <c r="W2881" i="25"/>
  <c r="X2881" i="25"/>
  <c r="V2889" i="25"/>
  <c r="Y2889" i="25"/>
  <c r="Z2889" i="25"/>
  <c r="AA2889" i="25"/>
  <c r="X2889" i="25"/>
  <c r="V2897" i="25"/>
  <c r="Y2897" i="25"/>
  <c r="Z2897" i="25"/>
  <c r="AA2897" i="25"/>
  <c r="W2897" i="25"/>
  <c r="X2897" i="25"/>
  <c r="V2905" i="25"/>
  <c r="Y2905" i="25"/>
  <c r="Z2905" i="25"/>
  <c r="AA2905" i="25"/>
  <c r="W2905" i="25"/>
  <c r="X2905" i="25"/>
  <c r="V2913" i="25"/>
  <c r="Y2913" i="25"/>
  <c r="Z2913" i="25"/>
  <c r="AA2913" i="25"/>
  <c r="W2913" i="25"/>
  <c r="X2913" i="25"/>
  <c r="V2921" i="25"/>
  <c r="Y2921" i="25"/>
  <c r="Z2921" i="25"/>
  <c r="AA2921" i="25"/>
  <c r="X2921" i="25"/>
  <c r="V2929" i="25"/>
  <c r="Y2929" i="25"/>
  <c r="Z2929" i="25"/>
  <c r="AA2929" i="25"/>
  <c r="W2929" i="25"/>
  <c r="X2929" i="25"/>
  <c r="V2937" i="25"/>
  <c r="Y2937" i="25"/>
  <c r="Z2937" i="25"/>
  <c r="AA2937" i="25"/>
  <c r="W2937" i="25"/>
  <c r="X2937" i="25"/>
  <c r="V2945" i="25"/>
  <c r="Y2945" i="25"/>
  <c r="Z2945" i="25"/>
  <c r="AA2945" i="25"/>
  <c r="W2945" i="25"/>
  <c r="X2945" i="25"/>
  <c r="V2953" i="25"/>
  <c r="Y2953" i="25"/>
  <c r="Z2953" i="25"/>
  <c r="AA2953" i="25"/>
  <c r="X2953" i="25"/>
  <c r="V2967" i="25"/>
  <c r="Y2967" i="25"/>
  <c r="Z2967" i="25"/>
  <c r="AA2967" i="25"/>
  <c r="W2967" i="25"/>
  <c r="X2967" i="25"/>
  <c r="V2978" i="25"/>
  <c r="Y2978" i="25"/>
  <c r="Z2978" i="25"/>
  <c r="AA2978" i="25"/>
  <c r="W2978" i="25"/>
  <c r="X2978" i="25"/>
  <c r="V2986" i="25"/>
  <c r="Y2986" i="25"/>
  <c r="Z2986" i="25"/>
  <c r="AA2986" i="25"/>
  <c r="W2986" i="25"/>
  <c r="V2996" i="25"/>
  <c r="Y2996" i="25"/>
  <c r="W2996" i="25"/>
  <c r="X2996" i="25"/>
  <c r="Z2996" i="25"/>
  <c r="AA2996" i="25"/>
  <c r="V3006" i="25"/>
  <c r="Y3006" i="25"/>
  <c r="W3006" i="25"/>
  <c r="X3006" i="25"/>
  <c r="Z3006" i="25"/>
  <c r="AA3006" i="25"/>
  <c r="V3014" i="25"/>
  <c r="Y3014" i="25"/>
  <c r="X3014" i="25"/>
  <c r="Z3014" i="25"/>
  <c r="AA3014" i="25"/>
  <c r="V3022" i="25"/>
  <c r="Y3022" i="25"/>
  <c r="AA3022" i="25"/>
  <c r="W3022" i="25"/>
  <c r="X3022" i="25"/>
  <c r="V3030" i="25"/>
  <c r="Y3030" i="25"/>
  <c r="W3030" i="25"/>
  <c r="X3030" i="25"/>
  <c r="Z3030" i="25"/>
  <c r="AA3030" i="25"/>
  <c r="V3038" i="25"/>
  <c r="Y3038" i="25"/>
  <c r="W3038" i="25"/>
  <c r="X3038" i="25"/>
  <c r="Z3038" i="25"/>
  <c r="AA3038" i="25"/>
  <c r="V3046" i="25"/>
  <c r="Y3046" i="25"/>
  <c r="X3046" i="25"/>
  <c r="Z3046" i="25"/>
  <c r="AA3046" i="25"/>
  <c r="V3054" i="25"/>
  <c r="Y3054" i="25"/>
  <c r="AA3054" i="25"/>
  <c r="W3054" i="25"/>
  <c r="X3054" i="25"/>
  <c r="V3062" i="25"/>
  <c r="Y3062" i="25"/>
  <c r="W3062" i="25"/>
  <c r="X3062" i="25"/>
  <c r="Z3062" i="25"/>
  <c r="AA3062" i="25"/>
  <c r="V3070" i="25"/>
  <c r="Y3070" i="25"/>
  <c r="W3070" i="25"/>
  <c r="X3070" i="25"/>
  <c r="Z3070" i="25"/>
  <c r="AA3070" i="25"/>
  <c r="V3078" i="25"/>
  <c r="Y3078" i="25"/>
  <c r="Z3078" i="25"/>
  <c r="AA3078" i="25"/>
  <c r="V3086" i="25"/>
  <c r="Y3086" i="25"/>
  <c r="W3086" i="25"/>
  <c r="X3086" i="25"/>
  <c r="V3094" i="25"/>
  <c r="Y3094" i="25"/>
  <c r="W3094" i="25"/>
  <c r="X3094" i="25"/>
  <c r="Z3094" i="25"/>
  <c r="AA3094" i="25"/>
  <c r="V3102" i="25"/>
  <c r="Y3102" i="25"/>
  <c r="W3102" i="25"/>
  <c r="X3102" i="25"/>
  <c r="Z3102" i="25"/>
  <c r="AA3102" i="25"/>
  <c r="V3110" i="25"/>
  <c r="Y3110" i="25"/>
  <c r="Z3110" i="25"/>
  <c r="AA3110" i="25"/>
  <c r="V3118" i="25"/>
  <c r="Y3118" i="25"/>
  <c r="W3118" i="25"/>
  <c r="X3118" i="25"/>
  <c r="V3126" i="25"/>
  <c r="Y3126" i="25"/>
  <c r="W3126" i="25"/>
  <c r="X3126" i="25"/>
  <c r="Z3126" i="25"/>
  <c r="AA3126" i="25"/>
  <c r="V3134" i="25"/>
  <c r="Y3134" i="25"/>
  <c r="W3134" i="25"/>
  <c r="X3134" i="25"/>
  <c r="Z3134" i="25"/>
  <c r="AA3134" i="25"/>
  <c r="V3142" i="25"/>
  <c r="Y3142" i="25"/>
  <c r="Z3142" i="25"/>
  <c r="AA3142" i="25"/>
  <c r="V3153" i="25"/>
  <c r="Y3153" i="25"/>
  <c r="W3153" i="25"/>
  <c r="X3153" i="25"/>
  <c r="V3161" i="25"/>
  <c r="Y3161" i="25"/>
  <c r="W3161" i="25"/>
  <c r="X3161" i="25"/>
  <c r="Z3161" i="25"/>
  <c r="AA3161" i="25"/>
  <c r="V3169" i="25"/>
  <c r="Y3169" i="25"/>
  <c r="W3169" i="25"/>
  <c r="X3169" i="25"/>
  <c r="Z3169" i="25"/>
  <c r="AA3169" i="25"/>
  <c r="V3177" i="25"/>
  <c r="Y3177" i="25"/>
  <c r="Z3177" i="25"/>
  <c r="AA3177" i="25"/>
  <c r="V3185" i="25"/>
  <c r="Y3185" i="25"/>
  <c r="W3185" i="25"/>
  <c r="X3185" i="25"/>
  <c r="V3206" i="25"/>
  <c r="W3206" i="25"/>
  <c r="X3206" i="25"/>
  <c r="Y3206" i="25"/>
  <c r="V3214" i="25"/>
  <c r="W3214" i="25"/>
  <c r="X3214" i="25"/>
  <c r="Y3214" i="25"/>
  <c r="V3222" i="25"/>
  <c r="W3222" i="25"/>
  <c r="X3222" i="25"/>
  <c r="Y3222" i="25"/>
  <c r="V3230" i="25"/>
  <c r="W3230" i="25"/>
  <c r="X3230" i="25"/>
  <c r="Y3230" i="25"/>
  <c r="V3239" i="25"/>
  <c r="W3239" i="25"/>
  <c r="X3239" i="25"/>
  <c r="Y3239" i="25"/>
  <c r="V3247" i="25"/>
  <c r="W3247" i="25"/>
  <c r="X3247" i="25"/>
  <c r="Y3247" i="25"/>
  <c r="V3255" i="25"/>
  <c r="W3255" i="25"/>
  <c r="X3255" i="25"/>
  <c r="Y3255" i="25"/>
  <c r="V3263" i="25"/>
  <c r="W3263" i="25"/>
  <c r="X3263" i="25"/>
  <c r="Y3263" i="25"/>
  <c r="V3271" i="25"/>
  <c r="W3271" i="25"/>
  <c r="X3271" i="25"/>
  <c r="Y3271" i="25"/>
  <c r="V3279" i="25"/>
  <c r="W3279" i="25"/>
  <c r="X3279" i="25"/>
  <c r="Y3279" i="25"/>
  <c r="V3287" i="25"/>
  <c r="W3287" i="25"/>
  <c r="X3287" i="25"/>
  <c r="Y3287" i="25"/>
  <c r="V3295" i="25"/>
  <c r="W3295" i="25"/>
  <c r="X3295" i="25"/>
  <c r="Y3295" i="25"/>
  <c r="V3303" i="25"/>
  <c r="W3303" i="25"/>
  <c r="X3303" i="25"/>
  <c r="Y3303" i="25"/>
  <c r="V3311" i="25"/>
  <c r="W3311" i="25"/>
  <c r="X3311" i="25"/>
  <c r="Y3311" i="25"/>
  <c r="V3319" i="25"/>
  <c r="W3319" i="25"/>
  <c r="X3319" i="25"/>
  <c r="Y3319" i="25"/>
  <c r="V3327" i="25"/>
  <c r="W3327" i="25"/>
  <c r="X3327" i="25"/>
  <c r="Y3327" i="25"/>
  <c r="V3335" i="25"/>
  <c r="W3335" i="25"/>
  <c r="X3335" i="25"/>
  <c r="Y3335" i="25"/>
  <c r="V3343" i="25"/>
  <c r="W3343" i="25"/>
  <c r="X3343" i="25"/>
  <c r="Y3343" i="25"/>
  <c r="V3351" i="25"/>
  <c r="W3351" i="25"/>
  <c r="X3351" i="25"/>
  <c r="Y3351" i="25"/>
  <c r="V3359" i="25"/>
  <c r="W3359" i="25"/>
  <c r="X3359" i="25"/>
  <c r="Y3359" i="25"/>
  <c r="V3367" i="25"/>
  <c r="W3367" i="25"/>
  <c r="X3367" i="25"/>
  <c r="Y3367" i="25"/>
  <c r="V3375" i="25"/>
  <c r="W3375" i="25"/>
  <c r="X3375" i="25"/>
  <c r="Y3375" i="25"/>
  <c r="V3383" i="25"/>
  <c r="W3383" i="25"/>
  <c r="X3383" i="25"/>
  <c r="Y3383" i="25"/>
  <c r="V3391" i="25"/>
  <c r="W3391" i="25"/>
  <c r="X3391" i="25"/>
  <c r="Y3391" i="25"/>
  <c r="V3399" i="25"/>
  <c r="W3399" i="25"/>
  <c r="X3399" i="25"/>
  <c r="Y3399" i="25"/>
  <c r="V3407" i="25"/>
  <c r="Y3407" i="25"/>
  <c r="V3415" i="25"/>
  <c r="Y3415" i="25"/>
  <c r="V3423" i="25"/>
  <c r="Y3423" i="25"/>
  <c r="V3431" i="25"/>
  <c r="Y3431" i="25"/>
  <c r="V3439" i="25"/>
  <c r="Y3439" i="25"/>
  <c r="V3447" i="25"/>
  <c r="Y3447" i="25"/>
  <c r="V3455" i="25"/>
  <c r="Y3455" i="25"/>
  <c r="V3463" i="25"/>
  <c r="Y3463" i="25"/>
  <c r="V3471" i="25"/>
  <c r="Y3471" i="25"/>
  <c r="V3479" i="25"/>
  <c r="Y3479" i="25"/>
  <c r="V3487" i="25"/>
  <c r="Y3487" i="25"/>
  <c r="V3495" i="25"/>
  <c r="Y3495" i="25"/>
  <c r="V3503" i="25"/>
  <c r="Y3503" i="25"/>
  <c r="V3511" i="25"/>
  <c r="Y3511" i="25"/>
  <c r="V3519" i="25"/>
  <c r="Y3519" i="25"/>
  <c r="Z3665" i="25"/>
  <c r="W3664" i="25"/>
  <c r="Y3662" i="25"/>
  <c r="AA3660" i="25"/>
  <c r="X3659" i="25"/>
  <c r="Z3657" i="25"/>
  <c r="W3656" i="25"/>
  <c r="Y3654" i="25"/>
  <c r="AA3652" i="25"/>
  <c r="X3651" i="25"/>
  <c r="Z3649" i="25"/>
  <c r="W3648" i="25"/>
  <c r="Y3646" i="25"/>
  <c r="AA3644" i="25"/>
  <c r="X3643" i="25"/>
  <c r="Z3641" i="25"/>
  <c r="W3640" i="25"/>
  <c r="Y3638" i="25"/>
  <c r="AA3636" i="25"/>
  <c r="X3635" i="25"/>
  <c r="Z3633" i="25"/>
  <c r="W3632" i="25"/>
  <c r="Y3625" i="25"/>
  <c r="AA3623" i="25"/>
  <c r="X3622" i="25"/>
  <c r="Z3621" i="25"/>
  <c r="W3620" i="25"/>
  <c r="Y3618" i="25"/>
  <c r="AA3616" i="25"/>
  <c r="X3614" i="25"/>
  <c r="Z3612" i="25"/>
  <c r="W3611" i="25"/>
  <c r="Y3609" i="25"/>
  <c r="AA3607" i="25"/>
  <c r="X3606" i="25"/>
  <c r="Z3604" i="25"/>
  <c r="W3603" i="25"/>
  <c r="Y3601" i="25"/>
  <c r="AA3599" i="25"/>
  <c r="X3598" i="25"/>
  <c r="Z3596" i="25"/>
  <c r="W3595" i="25"/>
  <c r="Y3593" i="25"/>
  <c r="AA3591" i="25"/>
  <c r="X3590" i="25"/>
  <c r="Z3588" i="25"/>
  <c r="W3587" i="25"/>
  <c r="Y3585" i="25"/>
  <c r="AA3583" i="25"/>
  <c r="X3582" i="25"/>
  <c r="Z3580" i="25"/>
  <c r="W3579" i="25"/>
  <c r="Y3577" i="25"/>
  <c r="AA3575" i="25"/>
  <c r="X3574" i="25"/>
  <c r="Z3572" i="25"/>
  <c r="W3571" i="25"/>
  <c r="Y3569" i="25"/>
  <c r="AA3567" i="25"/>
  <c r="X3566" i="25"/>
  <c r="Z3564" i="25"/>
  <c r="W3563" i="25"/>
  <c r="Y3561" i="25"/>
  <c r="AA3559" i="25"/>
  <c r="X3558" i="25"/>
  <c r="Z3556" i="25"/>
  <c r="W3555" i="25"/>
  <c r="Y3553" i="25"/>
  <c r="AA3551" i="25"/>
  <c r="X3550" i="25"/>
  <c r="Z3548" i="25"/>
  <c r="W3547" i="25"/>
  <c r="Y3545" i="25"/>
  <c r="AA3543" i="25"/>
  <c r="X3542" i="25"/>
  <c r="Z3540" i="25"/>
  <c r="W3539" i="25"/>
  <c r="Y3537" i="25"/>
  <c r="AA3535" i="25"/>
  <c r="X3534" i="25"/>
  <c r="Z3532" i="25"/>
  <c r="W3531" i="25"/>
  <c r="Y3529" i="25"/>
  <c r="AA3527" i="25"/>
  <c r="X3526" i="25"/>
  <c r="Z3524" i="25"/>
  <c r="AA3522" i="25"/>
  <c r="Z3518" i="25"/>
  <c r="Y3516" i="25"/>
  <c r="X3514" i="25"/>
  <c r="W3510" i="25"/>
  <c r="AA3507" i="25"/>
  <c r="AA3505" i="25"/>
  <c r="Z3503" i="25"/>
  <c r="Y3501" i="25"/>
  <c r="Y3499" i="25"/>
  <c r="W3495" i="25"/>
  <c r="W3493" i="25"/>
  <c r="AA3490" i="25"/>
  <c r="Z3486" i="25"/>
  <c r="Y3484" i="25"/>
  <c r="X3482" i="25"/>
  <c r="W3478" i="25"/>
  <c r="AA3475" i="25"/>
  <c r="AA3473" i="25"/>
  <c r="Z3471" i="25"/>
  <c r="Y3469" i="25"/>
  <c r="Y3467" i="25"/>
  <c r="W3463" i="25"/>
  <c r="W3461" i="25"/>
  <c r="AA3458" i="25"/>
  <c r="Z3454" i="25"/>
  <c r="Y3452" i="25"/>
  <c r="X3450" i="25"/>
  <c r="W3446" i="25"/>
  <c r="AA3443" i="25"/>
  <c r="AA3441" i="25"/>
  <c r="Z3439" i="25"/>
  <c r="Y3437" i="25"/>
  <c r="Y3435" i="25"/>
  <c r="W3431" i="25"/>
  <c r="W3429" i="25"/>
  <c r="AA3426" i="25"/>
  <c r="Z3422" i="25"/>
  <c r="Y3420" i="25"/>
  <c r="X3418" i="25"/>
  <c r="W3414" i="25"/>
  <c r="AA3411" i="25"/>
  <c r="AA3409" i="25"/>
  <c r="Z3407" i="25"/>
  <c r="Y3404" i="25"/>
  <c r="W3398" i="25"/>
  <c r="Z3391" i="25"/>
  <c r="Y3372" i="25"/>
  <c r="W3366" i="25"/>
  <c r="Z3359" i="25"/>
  <c r="Y3340" i="25"/>
  <c r="W3334" i="25"/>
  <c r="Z3327" i="25"/>
  <c r="Y3308" i="25"/>
  <c r="W3302" i="25"/>
  <c r="Z3295" i="25"/>
  <c r="Y3276" i="25"/>
  <c r="W3270" i="25"/>
  <c r="Z3263" i="25"/>
  <c r="Y3244" i="25"/>
  <c r="W3238" i="25"/>
  <c r="Z3230" i="25"/>
  <c r="Y3211" i="25"/>
  <c r="W3198" i="25"/>
  <c r="Z3185" i="25"/>
  <c r="W3177" i="25"/>
  <c r="Y3168" i="25"/>
  <c r="W3160" i="25"/>
  <c r="Y3151" i="25"/>
  <c r="AA3139" i="25"/>
  <c r="Y3131" i="25"/>
  <c r="AA3122" i="25"/>
  <c r="X3114" i="25"/>
  <c r="Z3054" i="25"/>
  <c r="Y3037" i="25"/>
  <c r="Y3020" i="25"/>
  <c r="Y3003" i="25"/>
  <c r="AA2974" i="25"/>
  <c r="Y2863" i="25"/>
  <c r="W2739" i="25"/>
  <c r="AA2562" i="25"/>
  <c r="V1053" i="25"/>
  <c r="W1053" i="25"/>
  <c r="X1053" i="25"/>
  <c r="Y1053" i="25"/>
  <c r="Z1053" i="25"/>
  <c r="AA1053" i="25"/>
  <c r="V1061" i="25"/>
  <c r="W1061" i="25"/>
  <c r="X1061" i="25"/>
  <c r="Y1061" i="25"/>
  <c r="Z1061" i="25"/>
  <c r="AA1061" i="25"/>
  <c r="V1069" i="25"/>
  <c r="W1069" i="25"/>
  <c r="X1069" i="25"/>
  <c r="Y1069" i="25"/>
  <c r="Z1069" i="25"/>
  <c r="AA1069" i="25"/>
  <c r="V1077" i="25"/>
  <c r="X1077" i="25"/>
  <c r="Y1077" i="25"/>
  <c r="W1077" i="25"/>
  <c r="Z1077" i="25"/>
  <c r="AA1077" i="25"/>
  <c r="V1085" i="25"/>
  <c r="X1085" i="25"/>
  <c r="Y1085" i="25"/>
  <c r="W1085" i="25"/>
  <c r="Z1085" i="25"/>
  <c r="AA1085" i="25"/>
  <c r="V1093" i="25"/>
  <c r="X1093" i="25"/>
  <c r="Y1093" i="25"/>
  <c r="W1093" i="25"/>
  <c r="Z1093" i="25"/>
  <c r="AA1093" i="25"/>
  <c r="V1101" i="25"/>
  <c r="Y1101" i="25"/>
  <c r="W1101" i="25"/>
  <c r="X1101" i="25"/>
  <c r="Z1101" i="25"/>
  <c r="AA1101" i="25"/>
  <c r="V1109" i="25"/>
  <c r="Y1109" i="25"/>
  <c r="W1109" i="25"/>
  <c r="X1109" i="25"/>
  <c r="Z1109" i="25"/>
  <c r="AA1109" i="25"/>
  <c r="V1117" i="25"/>
  <c r="Y1117" i="25"/>
  <c r="W1117" i="25"/>
  <c r="X1117" i="25"/>
  <c r="Z1117" i="25"/>
  <c r="AA1117" i="25"/>
  <c r="V1125" i="25"/>
  <c r="Y1125" i="25"/>
  <c r="Z1125" i="25"/>
  <c r="AA1125" i="25"/>
  <c r="W1125" i="25"/>
  <c r="X1125" i="25"/>
  <c r="V1133" i="25"/>
  <c r="Y1133" i="25"/>
  <c r="W1133" i="25"/>
  <c r="X1133" i="25"/>
  <c r="Z1133" i="25"/>
  <c r="AA1133" i="25"/>
  <c r="V1141" i="25"/>
  <c r="W1141" i="25"/>
  <c r="X1141" i="25"/>
  <c r="Y1141" i="25"/>
  <c r="Z1141" i="25"/>
  <c r="AA1141" i="25"/>
  <c r="V1149" i="25"/>
  <c r="W1149" i="25"/>
  <c r="X1149" i="25"/>
  <c r="Y1149" i="25"/>
  <c r="Z1149" i="25"/>
  <c r="AA1149" i="25"/>
  <c r="V1157" i="25"/>
  <c r="W1157" i="25"/>
  <c r="X1157" i="25"/>
  <c r="Y1157" i="25"/>
  <c r="Z1157" i="25"/>
  <c r="AA1157" i="25"/>
  <c r="V1165" i="25"/>
  <c r="W1165" i="25"/>
  <c r="X1165" i="25"/>
  <c r="Y1165" i="25"/>
  <c r="Z1165" i="25"/>
  <c r="AA1165" i="25"/>
  <c r="V1173" i="25"/>
  <c r="W1173" i="25"/>
  <c r="X1173" i="25"/>
  <c r="Y1173" i="25"/>
  <c r="Z1173" i="25"/>
  <c r="AA1173" i="25"/>
  <c r="V1181" i="25"/>
  <c r="W1181" i="25"/>
  <c r="X1181" i="25"/>
  <c r="Y1181" i="25"/>
  <c r="Z1181" i="25"/>
  <c r="AA1181" i="25"/>
  <c r="V1189" i="25"/>
  <c r="W1189" i="25"/>
  <c r="X1189" i="25"/>
  <c r="Y1189" i="25"/>
  <c r="Z1189" i="25"/>
  <c r="AA1189" i="25"/>
  <c r="V1197" i="25"/>
  <c r="W1197" i="25"/>
  <c r="X1197" i="25"/>
  <c r="Y1197" i="25"/>
  <c r="Z1197" i="25"/>
  <c r="AA1197" i="25"/>
  <c r="V1205" i="25"/>
  <c r="W1205" i="25"/>
  <c r="X1205" i="25"/>
  <c r="Y1205" i="25"/>
  <c r="Z1205" i="25"/>
  <c r="AA1205" i="25"/>
  <c r="V1213" i="25"/>
  <c r="AA1213" i="25"/>
  <c r="X1213" i="25"/>
  <c r="Y1213" i="25"/>
  <c r="Z1213" i="25"/>
  <c r="W1213" i="25"/>
  <c r="V1221" i="25"/>
  <c r="AA1221" i="25"/>
  <c r="W1221" i="25"/>
  <c r="X1221" i="25"/>
  <c r="Y1221" i="25"/>
  <c r="Z1221" i="25"/>
  <c r="V1229" i="25"/>
  <c r="AA1229" i="25"/>
  <c r="W1229" i="25"/>
  <c r="X1229" i="25"/>
  <c r="Y1229" i="25"/>
  <c r="Z1229" i="25"/>
  <c r="V1237" i="25"/>
  <c r="AA1237" i="25"/>
  <c r="W1237" i="25"/>
  <c r="X1237" i="25"/>
  <c r="Y1237" i="25"/>
  <c r="Z1237" i="25"/>
  <c r="V1245" i="25"/>
  <c r="AA1245" i="25"/>
  <c r="W1245" i="25"/>
  <c r="X1245" i="25"/>
  <c r="Y1245" i="25"/>
  <c r="Z1245" i="25"/>
  <c r="V1253" i="25"/>
  <c r="AA1253" i="25"/>
  <c r="W1253" i="25"/>
  <c r="X1253" i="25"/>
  <c r="Y1253" i="25"/>
  <c r="Z1253" i="25"/>
  <c r="V1261" i="25"/>
  <c r="AA1261" i="25"/>
  <c r="W1261" i="25"/>
  <c r="X1261" i="25"/>
  <c r="Y1261" i="25"/>
  <c r="Z1261" i="25"/>
  <c r="V1269" i="25"/>
  <c r="AA1269" i="25"/>
  <c r="W1269" i="25"/>
  <c r="X1269" i="25"/>
  <c r="Y1269" i="25"/>
  <c r="Z1269" i="25"/>
  <c r="V1277" i="25"/>
  <c r="AA1277" i="25"/>
  <c r="Y1277" i="25"/>
  <c r="Z1277" i="25"/>
  <c r="W1277" i="25"/>
  <c r="X1277" i="25"/>
  <c r="V1285" i="25"/>
  <c r="AA1285" i="25"/>
  <c r="W1285" i="25"/>
  <c r="X1285" i="25"/>
  <c r="Y1285" i="25"/>
  <c r="Z1285" i="25"/>
  <c r="V1293" i="25"/>
  <c r="AA1293" i="25"/>
  <c r="W1293" i="25"/>
  <c r="X1293" i="25"/>
  <c r="Y1293" i="25"/>
  <c r="Z1293" i="25"/>
  <c r="V1301" i="25"/>
  <c r="AA1301" i="25"/>
  <c r="W1301" i="25"/>
  <c r="X1301" i="25"/>
  <c r="Y1301" i="25"/>
  <c r="Z1301" i="25"/>
  <c r="V1309" i="25"/>
  <c r="AA1309" i="25"/>
  <c r="Y1309" i="25"/>
  <c r="Z1309" i="25"/>
  <c r="W1309" i="25"/>
  <c r="X1309" i="25"/>
  <c r="V1317" i="25"/>
  <c r="AA1317" i="25"/>
  <c r="W1317" i="25"/>
  <c r="X1317" i="25"/>
  <c r="Y1317" i="25"/>
  <c r="Z1317" i="25"/>
  <c r="V1325" i="25"/>
  <c r="AA1325" i="25"/>
  <c r="W1325" i="25"/>
  <c r="X1325" i="25"/>
  <c r="Y1325" i="25"/>
  <c r="Z1325" i="25"/>
  <c r="V1333" i="25"/>
  <c r="W1333" i="25"/>
  <c r="X1333" i="25"/>
  <c r="Y1333" i="25"/>
  <c r="Z1333" i="25"/>
  <c r="AA1333" i="25"/>
  <c r="V1341" i="25"/>
  <c r="W1341" i="25"/>
  <c r="X1341" i="25"/>
  <c r="Y1341" i="25"/>
  <c r="Z1341" i="25"/>
  <c r="AA1341" i="25"/>
  <c r="V1349" i="25"/>
  <c r="W1349" i="25"/>
  <c r="X1349" i="25"/>
  <c r="Y1349" i="25"/>
  <c r="Z1349" i="25"/>
  <c r="AA1349" i="25"/>
  <c r="V1357" i="25"/>
  <c r="W1357" i="25"/>
  <c r="X1357" i="25"/>
  <c r="Y1357" i="25"/>
  <c r="Z1357" i="25"/>
  <c r="AA1357" i="25"/>
  <c r="V1365" i="25"/>
  <c r="W1365" i="25"/>
  <c r="X1365" i="25"/>
  <c r="Y1365" i="25"/>
  <c r="Z1365" i="25"/>
  <c r="AA1365" i="25"/>
  <c r="V1373" i="25"/>
  <c r="W1373" i="25"/>
  <c r="X1373" i="25"/>
  <c r="Y1373" i="25"/>
  <c r="Z1373" i="25"/>
  <c r="AA1373" i="25"/>
  <c r="V1381" i="25"/>
  <c r="W1381" i="25"/>
  <c r="X1381" i="25"/>
  <c r="Y1381" i="25"/>
  <c r="Z1381" i="25"/>
  <c r="AA1381" i="25"/>
  <c r="V1389" i="25"/>
  <c r="W1389" i="25"/>
  <c r="X1389" i="25"/>
  <c r="Y1389" i="25"/>
  <c r="Z1389" i="25"/>
  <c r="AA1389" i="25"/>
  <c r="V1397" i="25"/>
  <c r="W1397" i="25"/>
  <c r="X1397" i="25"/>
  <c r="Y1397" i="25"/>
  <c r="Z1397" i="25"/>
  <c r="AA1397" i="25"/>
  <c r="V1405" i="25"/>
  <c r="W1405" i="25"/>
  <c r="X1405" i="25"/>
  <c r="Y1405" i="25"/>
  <c r="Z1405" i="25"/>
  <c r="AA1405" i="25"/>
  <c r="V1413" i="25"/>
  <c r="W1413" i="25"/>
  <c r="X1413" i="25"/>
  <c r="Y1413" i="25"/>
  <c r="Z1413" i="25"/>
  <c r="AA1413" i="25"/>
  <c r="V1421" i="25"/>
  <c r="W1421" i="25"/>
  <c r="X1421" i="25"/>
  <c r="Y1421" i="25"/>
  <c r="Z1421" i="25"/>
  <c r="AA1421" i="25"/>
  <c r="V1429" i="25"/>
  <c r="W1429" i="25"/>
  <c r="X1429" i="25"/>
  <c r="Y1429" i="25"/>
  <c r="Z1429" i="25"/>
  <c r="AA1429" i="25"/>
  <c r="V1437" i="25"/>
  <c r="W1437" i="25"/>
  <c r="X1437" i="25"/>
  <c r="Y1437" i="25"/>
  <c r="Z1437" i="25"/>
  <c r="AA1437" i="25"/>
  <c r="V1445" i="25"/>
  <c r="W1445" i="25"/>
  <c r="X1445" i="25"/>
  <c r="Y1445" i="25"/>
  <c r="Z1445" i="25"/>
  <c r="AA1445" i="25"/>
  <c r="V1453" i="25"/>
  <c r="W1453" i="25"/>
  <c r="X1453" i="25"/>
  <c r="Y1453" i="25"/>
  <c r="Z1453" i="25"/>
  <c r="AA1453" i="25"/>
  <c r="V1461" i="25"/>
  <c r="W1461" i="25"/>
  <c r="X1461" i="25"/>
  <c r="Y1461" i="25"/>
  <c r="Z1461" i="25"/>
  <c r="AA1461" i="25"/>
  <c r="V1469" i="25"/>
  <c r="W1469" i="25"/>
  <c r="X1469" i="25"/>
  <c r="Y1469" i="25"/>
  <c r="Z1469" i="25"/>
  <c r="AA1469" i="25"/>
  <c r="V1477" i="25"/>
  <c r="W1477" i="25"/>
  <c r="X1477" i="25"/>
  <c r="Y1477" i="25"/>
  <c r="Z1477" i="25"/>
  <c r="AA1477" i="25"/>
  <c r="V1485" i="25"/>
  <c r="W1485" i="25"/>
  <c r="X1485" i="25"/>
  <c r="Y1485" i="25"/>
  <c r="Z1485" i="25"/>
  <c r="AA1485" i="25"/>
  <c r="V1493" i="25"/>
  <c r="W1493" i="25"/>
  <c r="X1493" i="25"/>
  <c r="Y1493" i="25"/>
  <c r="Z1493" i="25"/>
  <c r="AA1493" i="25"/>
  <c r="V1501" i="25"/>
  <c r="W1501" i="25"/>
  <c r="Y1501" i="25"/>
  <c r="Z1501" i="25"/>
  <c r="AA1501" i="25"/>
  <c r="X1501" i="25"/>
  <c r="V1509" i="25"/>
  <c r="W1509" i="25"/>
  <c r="AA1509" i="25"/>
  <c r="X1509" i="25"/>
  <c r="Y1509" i="25"/>
  <c r="Z1509" i="25"/>
  <c r="V1517" i="25"/>
  <c r="W1517" i="25"/>
  <c r="X1517" i="25"/>
  <c r="Y1517" i="25"/>
  <c r="Z1517" i="25"/>
  <c r="AA1517" i="25"/>
  <c r="V1525" i="25"/>
  <c r="W1525" i="25"/>
  <c r="X1525" i="25"/>
  <c r="Y1525" i="25"/>
  <c r="Z1525" i="25"/>
  <c r="AA1525" i="25"/>
  <c r="V1533" i="25"/>
  <c r="W1533" i="25"/>
  <c r="Y1533" i="25"/>
  <c r="Z1533" i="25"/>
  <c r="AA1533" i="25"/>
  <c r="X1533" i="25"/>
  <c r="V1541" i="25"/>
  <c r="W1541" i="25"/>
  <c r="AA1541" i="25"/>
  <c r="X1541" i="25"/>
  <c r="Y1541" i="25"/>
  <c r="Z1541" i="25"/>
  <c r="V1549" i="25"/>
  <c r="W1549" i="25"/>
  <c r="X1549" i="25"/>
  <c r="Y1549" i="25"/>
  <c r="Z1549" i="25"/>
  <c r="AA1549" i="25"/>
  <c r="V1557" i="25"/>
  <c r="W1557" i="25"/>
  <c r="X1557" i="25"/>
  <c r="Y1557" i="25"/>
  <c r="Z1557" i="25"/>
  <c r="AA1557" i="25"/>
  <c r="V1565" i="25"/>
  <c r="X1565" i="25"/>
  <c r="Y1565" i="25"/>
  <c r="Z1565" i="25"/>
  <c r="AA1565" i="25"/>
  <c r="W1565" i="25"/>
  <c r="V1573" i="25"/>
  <c r="W1573" i="25"/>
  <c r="X1573" i="25"/>
  <c r="Y1573" i="25"/>
  <c r="Z1573" i="25"/>
  <c r="AA1573" i="25"/>
  <c r="V1581" i="25"/>
  <c r="W1581" i="25"/>
  <c r="X1581" i="25"/>
  <c r="Y1581" i="25"/>
  <c r="Z1581" i="25"/>
  <c r="AA1581" i="25"/>
  <c r="V1589" i="25"/>
  <c r="W1589" i="25"/>
  <c r="X1589" i="25"/>
  <c r="Y1589" i="25"/>
  <c r="Z1589" i="25"/>
  <c r="AA1589" i="25"/>
  <c r="V1597" i="25"/>
  <c r="W1597" i="25"/>
  <c r="X1597" i="25"/>
  <c r="Y1597" i="25"/>
  <c r="Z1597" i="25"/>
  <c r="AA1597" i="25"/>
  <c r="V1605" i="25"/>
  <c r="W1605" i="25"/>
  <c r="X1605" i="25"/>
  <c r="Y1605" i="25"/>
  <c r="Z1605" i="25"/>
  <c r="AA1605" i="25"/>
  <c r="V1613" i="25"/>
  <c r="W1613" i="25"/>
  <c r="X1613" i="25"/>
  <c r="Y1613" i="25"/>
  <c r="Z1613" i="25"/>
  <c r="AA1613" i="25"/>
  <c r="V1621" i="25"/>
  <c r="W1621" i="25"/>
  <c r="X1621" i="25"/>
  <c r="Y1621" i="25"/>
  <c r="Z1621" i="25"/>
  <c r="AA1621" i="25"/>
  <c r="V1629" i="25"/>
  <c r="W1629" i="25"/>
  <c r="X1629" i="25"/>
  <c r="Y1629" i="25"/>
  <c r="Z1629" i="25"/>
  <c r="AA1629" i="25"/>
  <c r="V1637" i="25"/>
  <c r="W1637" i="25"/>
  <c r="X1637" i="25"/>
  <c r="Y1637" i="25"/>
  <c r="Z1637" i="25"/>
  <c r="AA1637" i="25"/>
  <c r="V1645" i="25"/>
  <c r="W1645" i="25"/>
  <c r="X1645" i="25"/>
  <c r="Y1645" i="25"/>
  <c r="Z1645" i="25"/>
  <c r="AA1645" i="25"/>
  <c r="V1653" i="25"/>
  <c r="W1653" i="25"/>
  <c r="X1653" i="25"/>
  <c r="Y1653" i="25"/>
  <c r="Z1653" i="25"/>
  <c r="AA1653" i="25"/>
  <c r="V1661" i="25"/>
  <c r="W1661" i="25"/>
  <c r="X1661" i="25"/>
  <c r="Y1661" i="25"/>
  <c r="Z1661" i="25"/>
  <c r="AA1661" i="25"/>
  <c r="V1669" i="25"/>
  <c r="W1669" i="25"/>
  <c r="X1669" i="25"/>
  <c r="Y1669" i="25"/>
  <c r="Z1669" i="25"/>
  <c r="AA1669" i="25"/>
  <c r="V1677" i="25"/>
  <c r="W1677" i="25"/>
  <c r="X1677" i="25"/>
  <c r="Y1677" i="25"/>
  <c r="Z1677" i="25"/>
  <c r="AA1677" i="25"/>
  <c r="V1685" i="25"/>
  <c r="W1685" i="25"/>
  <c r="X1685" i="25"/>
  <c r="Y1685" i="25"/>
  <c r="Z1685" i="25"/>
  <c r="AA1685" i="25"/>
  <c r="V1693" i="25"/>
  <c r="W1693" i="25"/>
  <c r="X1693" i="25"/>
  <c r="Y1693" i="25"/>
  <c r="Z1693" i="25"/>
  <c r="AA1693" i="25"/>
  <c r="V1701" i="25"/>
  <c r="W1701" i="25"/>
  <c r="X1701" i="25"/>
  <c r="Y1701" i="25"/>
  <c r="Z1701" i="25"/>
  <c r="AA1701" i="25"/>
  <c r="V1709" i="25"/>
  <c r="W1709" i="25"/>
  <c r="X1709" i="25"/>
  <c r="Y1709" i="25"/>
  <c r="Z1709" i="25"/>
  <c r="AA1709" i="25"/>
  <c r="V1717" i="25"/>
  <c r="W1717" i="25"/>
  <c r="X1717" i="25"/>
  <c r="Y1717" i="25"/>
  <c r="Z1717" i="25"/>
  <c r="AA1717" i="25"/>
  <c r="V1725" i="25"/>
  <c r="W1725" i="25"/>
  <c r="X1725" i="25"/>
  <c r="Y1725" i="25"/>
  <c r="Z1725" i="25"/>
  <c r="AA1725" i="25"/>
  <c r="V1733" i="25"/>
  <c r="W1733" i="25"/>
  <c r="X1733" i="25"/>
  <c r="Y1733" i="25"/>
  <c r="Z1733" i="25"/>
  <c r="AA1733" i="25"/>
  <c r="V1741" i="25"/>
  <c r="W1741" i="25"/>
  <c r="X1741" i="25"/>
  <c r="Y1741" i="25"/>
  <c r="Z1741" i="25"/>
  <c r="AA1741" i="25"/>
  <c r="V1749" i="25"/>
  <c r="W1749" i="25"/>
  <c r="X1749" i="25"/>
  <c r="Y1749" i="25"/>
  <c r="Z1749" i="25"/>
  <c r="AA1749" i="25"/>
  <c r="V1757" i="25"/>
  <c r="W1757" i="25"/>
  <c r="X1757" i="25"/>
  <c r="Y1757" i="25"/>
  <c r="Z1757" i="25"/>
  <c r="AA1757" i="25"/>
  <c r="V1765" i="25"/>
  <c r="W1765" i="25"/>
  <c r="X1765" i="25"/>
  <c r="Y1765" i="25"/>
  <c r="Z1765" i="25"/>
  <c r="AA1765" i="25"/>
  <c r="V1773" i="25"/>
  <c r="W1773" i="25"/>
  <c r="X1773" i="25"/>
  <c r="Y1773" i="25"/>
  <c r="Z1773" i="25"/>
  <c r="AA1773" i="25"/>
  <c r="V1781" i="25"/>
  <c r="W1781" i="25"/>
  <c r="X1781" i="25"/>
  <c r="Y1781" i="25"/>
  <c r="Z1781" i="25"/>
  <c r="AA1781" i="25"/>
  <c r="V1789" i="25"/>
  <c r="W1789" i="25"/>
  <c r="X1789" i="25"/>
  <c r="Y1789" i="25"/>
  <c r="Z1789" i="25"/>
  <c r="AA1789" i="25"/>
  <c r="V1797" i="25"/>
  <c r="W1797" i="25"/>
  <c r="X1797" i="25"/>
  <c r="Y1797" i="25"/>
  <c r="Z1797" i="25"/>
  <c r="AA1797" i="25"/>
  <c r="V1805" i="25"/>
  <c r="W1805" i="25"/>
  <c r="X1805" i="25"/>
  <c r="Y1805" i="25"/>
  <c r="Z1805" i="25"/>
  <c r="AA1805" i="25"/>
  <c r="V1813" i="25"/>
  <c r="W1813" i="25"/>
  <c r="X1813" i="25"/>
  <c r="Y1813" i="25"/>
  <c r="Z1813" i="25"/>
  <c r="AA1813" i="25"/>
  <c r="V1821" i="25"/>
  <c r="W1821" i="25"/>
  <c r="X1821" i="25"/>
  <c r="Y1821" i="25"/>
  <c r="Z1821" i="25"/>
  <c r="AA1821" i="25"/>
  <c r="V1829" i="25"/>
  <c r="W1829" i="25"/>
  <c r="X1829" i="25"/>
  <c r="Y1829" i="25"/>
  <c r="Z1829" i="25"/>
  <c r="AA1829" i="25"/>
  <c r="V1837" i="25"/>
  <c r="W1837" i="25"/>
  <c r="X1837" i="25"/>
  <c r="Y1837" i="25"/>
  <c r="Z1837" i="25"/>
  <c r="AA1837" i="25"/>
  <c r="V1845" i="25"/>
  <c r="W1845" i="25"/>
  <c r="X1845" i="25"/>
  <c r="Y1845" i="25"/>
  <c r="Z1845" i="25"/>
  <c r="AA1845" i="25"/>
  <c r="V1853" i="25"/>
  <c r="W1853" i="25"/>
  <c r="X1853" i="25"/>
  <c r="Y1853" i="25"/>
  <c r="Z1853" i="25"/>
  <c r="AA1853" i="25"/>
  <c r="V1861" i="25"/>
  <c r="W1861" i="25"/>
  <c r="X1861" i="25"/>
  <c r="Y1861" i="25"/>
  <c r="Z1861" i="25"/>
  <c r="AA1861" i="25"/>
  <c r="V1869" i="25"/>
  <c r="W1869" i="25"/>
  <c r="X1869" i="25"/>
  <c r="Y1869" i="25"/>
  <c r="Z1869" i="25"/>
  <c r="AA1869" i="25"/>
  <c r="V1877" i="25"/>
  <c r="W1877" i="25"/>
  <c r="X1877" i="25"/>
  <c r="Y1877" i="25"/>
  <c r="Z1877" i="25"/>
  <c r="AA1877" i="25"/>
  <c r="V1885" i="25"/>
  <c r="W1885" i="25"/>
  <c r="X1885" i="25"/>
  <c r="Y1885" i="25"/>
  <c r="Z1885" i="25"/>
  <c r="AA1885" i="25"/>
  <c r="V1893" i="25"/>
  <c r="W1893" i="25"/>
  <c r="X1893" i="25"/>
  <c r="Y1893" i="25"/>
  <c r="Z1893" i="25"/>
  <c r="AA1893" i="25"/>
  <c r="V1901" i="25"/>
  <c r="W1901" i="25"/>
  <c r="X1901" i="25"/>
  <c r="Y1901" i="25"/>
  <c r="Z1901" i="25"/>
  <c r="AA1901" i="25"/>
  <c r="V1909" i="25"/>
  <c r="W1909" i="25"/>
  <c r="X1909" i="25"/>
  <c r="Y1909" i="25"/>
  <c r="Z1909" i="25"/>
  <c r="AA1909" i="25"/>
  <c r="V1917" i="25"/>
  <c r="AA1917" i="25"/>
  <c r="W1917" i="25"/>
  <c r="X1917" i="25"/>
  <c r="Y1917" i="25"/>
  <c r="Z1917" i="25"/>
  <c r="V1925" i="25"/>
  <c r="AA1925" i="25"/>
  <c r="W1925" i="25"/>
  <c r="X1925" i="25"/>
  <c r="Y1925" i="25"/>
  <c r="Z1925" i="25"/>
  <c r="V1933" i="25"/>
  <c r="AA1933" i="25"/>
  <c r="X1933" i="25"/>
  <c r="Y1933" i="25"/>
  <c r="Z1933" i="25"/>
  <c r="W1933" i="25"/>
  <c r="V1941" i="25"/>
  <c r="AA1941" i="25"/>
  <c r="Z1941" i="25"/>
  <c r="W1941" i="25"/>
  <c r="X1941" i="25"/>
  <c r="V1949" i="25"/>
  <c r="AA1949" i="25"/>
  <c r="W1949" i="25"/>
  <c r="X1949" i="25"/>
  <c r="Y1949" i="25"/>
  <c r="Z1949" i="25"/>
  <c r="V1957" i="25"/>
  <c r="AA1957" i="25"/>
  <c r="W1957" i="25"/>
  <c r="X1957" i="25"/>
  <c r="Y1957" i="25"/>
  <c r="Z1957" i="25"/>
  <c r="V1965" i="25"/>
  <c r="AA1965" i="25"/>
  <c r="X1965" i="25"/>
  <c r="Y1965" i="25"/>
  <c r="Z1965" i="25"/>
  <c r="W1965" i="25"/>
  <c r="V1973" i="25"/>
  <c r="AA1973" i="25"/>
  <c r="Z1973" i="25"/>
  <c r="W1973" i="25"/>
  <c r="X1973" i="25"/>
  <c r="Y1973" i="25"/>
  <c r="V1981" i="25"/>
  <c r="AA1981" i="25"/>
  <c r="W1981" i="25"/>
  <c r="X1981" i="25"/>
  <c r="Y1981" i="25"/>
  <c r="Z1981" i="25"/>
  <c r="V1989" i="25"/>
  <c r="AA1989" i="25"/>
  <c r="W1989" i="25"/>
  <c r="X1989" i="25"/>
  <c r="Y1989" i="25"/>
  <c r="Z1989" i="25"/>
  <c r="V1997" i="25"/>
  <c r="AA1997" i="25"/>
  <c r="X1997" i="25"/>
  <c r="Y1997" i="25"/>
  <c r="Z1997" i="25"/>
  <c r="W1997" i="25"/>
  <c r="V2005" i="25"/>
  <c r="AA2005" i="25"/>
  <c r="Z2005" i="25"/>
  <c r="W2005" i="25"/>
  <c r="X2005" i="25"/>
  <c r="Y2005" i="25"/>
  <c r="V2013" i="25"/>
  <c r="AA2013" i="25"/>
  <c r="W2013" i="25"/>
  <c r="X2013" i="25"/>
  <c r="Y2013" i="25"/>
  <c r="Z2013" i="25"/>
  <c r="V2017" i="25"/>
  <c r="W2017" i="25"/>
  <c r="X2017" i="25"/>
  <c r="Y2017" i="25"/>
  <c r="Z2017" i="25"/>
  <c r="AA2017" i="25"/>
  <c r="V2021" i="25"/>
  <c r="W2021" i="25"/>
  <c r="X2021" i="25"/>
  <c r="Y2021" i="25"/>
  <c r="Z2021" i="25"/>
  <c r="AA2021" i="25"/>
  <c r="V2025" i="25"/>
  <c r="W2025" i="25"/>
  <c r="X2025" i="25"/>
  <c r="Y2025" i="25"/>
  <c r="Z2025" i="25"/>
  <c r="AA2025" i="25"/>
  <c r="V2048" i="25"/>
  <c r="W2048" i="25"/>
  <c r="X2048" i="25"/>
  <c r="Y2048" i="25"/>
  <c r="Z2048" i="25"/>
  <c r="AA2048" i="25"/>
  <c r="V2054" i="25"/>
  <c r="W2054" i="25"/>
  <c r="X2054" i="25"/>
  <c r="Y2054" i="25"/>
  <c r="Z2054" i="25"/>
  <c r="AA2054" i="25"/>
  <c r="V2062" i="25"/>
  <c r="W2062" i="25"/>
  <c r="X2062" i="25"/>
  <c r="Y2062" i="25"/>
  <c r="Z2062" i="25"/>
  <c r="AA2062" i="25"/>
  <c r="V2070" i="25"/>
  <c r="W2070" i="25"/>
  <c r="X2070" i="25"/>
  <c r="Y2070" i="25"/>
  <c r="Z2070" i="25"/>
  <c r="AA2070" i="25"/>
  <c r="V2078" i="25"/>
  <c r="W2078" i="25"/>
  <c r="X2078" i="25"/>
  <c r="Y2078" i="25"/>
  <c r="Z2078" i="25"/>
  <c r="AA2078" i="25"/>
  <c r="V2086" i="25"/>
  <c r="W2086" i="25"/>
  <c r="X2086" i="25"/>
  <c r="Y2086" i="25"/>
  <c r="Z2086" i="25"/>
  <c r="AA2086" i="25"/>
  <c r="V2094" i="25"/>
  <c r="W2094" i="25"/>
  <c r="X2094" i="25"/>
  <c r="Y2094" i="25"/>
  <c r="Z2094" i="25"/>
  <c r="AA2094" i="25"/>
  <c r="V2102" i="25"/>
  <c r="W2102" i="25"/>
  <c r="X2102" i="25"/>
  <c r="Y2102" i="25"/>
  <c r="Z2102" i="25"/>
  <c r="AA2102" i="25"/>
  <c r="V2110" i="25"/>
  <c r="W2110" i="25"/>
  <c r="X2110" i="25"/>
  <c r="Y2110" i="25"/>
  <c r="Z2110" i="25"/>
  <c r="AA2110" i="25"/>
  <c r="V2118" i="25"/>
  <c r="W2118" i="25"/>
  <c r="X2118" i="25"/>
  <c r="Y2118" i="25"/>
  <c r="Z2118" i="25"/>
  <c r="AA2118" i="25"/>
  <c r="V2126" i="25"/>
  <c r="W2126" i="25"/>
  <c r="X2126" i="25"/>
  <c r="Y2126" i="25"/>
  <c r="Z2126" i="25"/>
  <c r="AA2126" i="25"/>
  <c r="V2134" i="25"/>
  <c r="W2134" i="25"/>
  <c r="X2134" i="25"/>
  <c r="Y2134" i="25"/>
  <c r="Z2134" i="25"/>
  <c r="AA2134" i="25"/>
  <c r="V2142" i="25"/>
  <c r="W2142" i="25"/>
  <c r="X2142" i="25"/>
  <c r="Y2142" i="25"/>
  <c r="Z2142" i="25"/>
  <c r="AA2142" i="25"/>
  <c r="V2150" i="25"/>
  <c r="W2150" i="25"/>
  <c r="X2150" i="25"/>
  <c r="Y2150" i="25"/>
  <c r="Z2150" i="25"/>
  <c r="AA2150" i="25"/>
  <c r="V2158" i="25"/>
  <c r="W2158" i="25"/>
  <c r="X2158" i="25"/>
  <c r="Y2158" i="25"/>
  <c r="Z2158" i="25"/>
  <c r="AA2158" i="25"/>
  <c r="V2166" i="25"/>
  <c r="X2166" i="25"/>
  <c r="Y2166" i="25"/>
  <c r="Z2166" i="25"/>
  <c r="AA2166" i="25"/>
  <c r="W2166" i="25"/>
  <c r="V2174" i="25"/>
  <c r="X2174" i="25"/>
  <c r="Y2174" i="25"/>
  <c r="Z2174" i="25"/>
  <c r="AA2174" i="25"/>
  <c r="W2174" i="25"/>
  <c r="V2182" i="25"/>
  <c r="X2182" i="25"/>
  <c r="Y2182" i="25"/>
  <c r="Z2182" i="25"/>
  <c r="AA2182" i="25"/>
  <c r="W2182" i="25"/>
  <c r="V2190" i="25"/>
  <c r="X2190" i="25"/>
  <c r="Y2190" i="25"/>
  <c r="Z2190" i="25"/>
  <c r="AA2190" i="25"/>
  <c r="W2190" i="25"/>
  <c r="V2198" i="25"/>
  <c r="X2198" i="25"/>
  <c r="Y2198" i="25"/>
  <c r="Z2198" i="25"/>
  <c r="AA2198" i="25"/>
  <c r="W2198" i="25"/>
  <c r="V2206" i="25"/>
  <c r="X2206" i="25"/>
  <c r="Y2206" i="25"/>
  <c r="Z2206" i="25"/>
  <c r="AA2206" i="25"/>
  <c r="W2206" i="25"/>
  <c r="V2214" i="25"/>
  <c r="X2214" i="25"/>
  <c r="Y2214" i="25"/>
  <c r="Z2214" i="25"/>
  <c r="AA2214" i="25"/>
  <c r="W2214" i="25"/>
  <c r="V2222" i="25"/>
  <c r="X2222" i="25"/>
  <c r="Y2222" i="25"/>
  <c r="Z2222" i="25"/>
  <c r="AA2222" i="25"/>
  <c r="W2222" i="25"/>
  <c r="V2230" i="25"/>
  <c r="X2230" i="25"/>
  <c r="Y2230" i="25"/>
  <c r="Z2230" i="25"/>
  <c r="AA2230" i="25"/>
  <c r="W2230" i="25"/>
  <c r="V2238" i="25"/>
  <c r="X2238" i="25"/>
  <c r="Y2238" i="25"/>
  <c r="Z2238" i="25"/>
  <c r="AA2238" i="25"/>
  <c r="W2238" i="25"/>
  <c r="V2246" i="25"/>
  <c r="X2246" i="25"/>
  <c r="Y2246" i="25"/>
  <c r="Z2246" i="25"/>
  <c r="AA2246" i="25"/>
  <c r="W2246" i="25"/>
  <c r="V2254" i="25"/>
  <c r="X2254" i="25"/>
  <c r="Y2254" i="25"/>
  <c r="Z2254" i="25"/>
  <c r="AA2254" i="25"/>
  <c r="W2254" i="25"/>
  <c r="V2262" i="25"/>
  <c r="X2262" i="25"/>
  <c r="Y2262" i="25"/>
  <c r="Z2262" i="25"/>
  <c r="AA2262" i="25"/>
  <c r="W2262" i="25"/>
  <c r="V2270" i="25"/>
  <c r="X2270" i="25"/>
  <c r="Y2270" i="25"/>
  <c r="Z2270" i="25"/>
  <c r="AA2270" i="25"/>
  <c r="W2270" i="25"/>
  <c r="V2278" i="25"/>
  <c r="X2278" i="25"/>
  <c r="Y2278" i="25"/>
  <c r="Z2278" i="25"/>
  <c r="W2278" i="25"/>
  <c r="AA2278" i="25"/>
  <c r="V2286" i="25"/>
  <c r="X2286" i="25"/>
  <c r="Z2286" i="25"/>
  <c r="AA2286" i="25"/>
  <c r="Y2286" i="25"/>
  <c r="W2286" i="25"/>
  <c r="V2294" i="25"/>
  <c r="Z2294" i="25"/>
  <c r="W2294" i="25"/>
  <c r="X2294" i="25"/>
  <c r="Y2294" i="25"/>
  <c r="AA2294" i="25"/>
  <c r="V2302" i="25"/>
  <c r="Z2302" i="25"/>
  <c r="X2302" i="25"/>
  <c r="Y2302" i="25"/>
  <c r="AA2302" i="25"/>
  <c r="W2302" i="25"/>
  <c r="V2310" i="25"/>
  <c r="Z2310" i="25"/>
  <c r="AA2310" i="25"/>
  <c r="W2310" i="25"/>
  <c r="X2310" i="25"/>
  <c r="Y2310" i="25"/>
  <c r="V2318" i="25"/>
  <c r="Z2318" i="25"/>
  <c r="W2318" i="25"/>
  <c r="X2318" i="25"/>
  <c r="Y2318" i="25"/>
  <c r="AA2318" i="25"/>
  <c r="V2326" i="25"/>
  <c r="Z2326" i="25"/>
  <c r="W2326" i="25"/>
  <c r="X2326" i="25"/>
  <c r="Y2326" i="25"/>
  <c r="AA2326" i="25"/>
  <c r="V2334" i="25"/>
  <c r="Z2334" i="25"/>
  <c r="X2334" i="25"/>
  <c r="Y2334" i="25"/>
  <c r="AA2334" i="25"/>
  <c r="W2334" i="25"/>
  <c r="V2342" i="25"/>
  <c r="Z2342" i="25"/>
  <c r="AA2342" i="25"/>
  <c r="W2342" i="25"/>
  <c r="X2342" i="25"/>
  <c r="Y2342" i="25"/>
  <c r="V2350" i="25"/>
  <c r="Z2350" i="25"/>
  <c r="W2350" i="25"/>
  <c r="X2350" i="25"/>
  <c r="Y2350" i="25"/>
  <c r="AA2350" i="25"/>
  <c r="V2358" i="25"/>
  <c r="Z2358" i="25"/>
  <c r="W2358" i="25"/>
  <c r="X2358" i="25"/>
  <c r="Y2358" i="25"/>
  <c r="AA2358" i="25"/>
  <c r="V2366" i="25"/>
  <c r="Z2366" i="25"/>
  <c r="X2366" i="25"/>
  <c r="Y2366" i="25"/>
  <c r="AA2366" i="25"/>
  <c r="W2366" i="25"/>
  <c r="V2374" i="25"/>
  <c r="Z2374" i="25"/>
  <c r="AA2374" i="25"/>
  <c r="W2374" i="25"/>
  <c r="X2374" i="25"/>
  <c r="Y2374" i="25"/>
  <c r="V2382" i="25"/>
  <c r="Z2382" i="25"/>
  <c r="W2382" i="25"/>
  <c r="X2382" i="25"/>
  <c r="Y2382" i="25"/>
  <c r="AA2382" i="25"/>
  <c r="V2390" i="25"/>
  <c r="Z2390" i="25"/>
  <c r="W2390" i="25"/>
  <c r="X2390" i="25"/>
  <c r="Y2390" i="25"/>
  <c r="AA2390" i="25"/>
  <c r="V2398" i="25"/>
  <c r="Y2398" i="25"/>
  <c r="Z2398" i="25"/>
  <c r="AA2398" i="25"/>
  <c r="W2398" i="25"/>
  <c r="X2398" i="25"/>
  <c r="V2406" i="25"/>
  <c r="Y2406" i="25"/>
  <c r="Z2406" i="25"/>
  <c r="AA2406" i="25"/>
  <c r="W2406" i="25"/>
  <c r="X2406" i="25"/>
  <c r="V2414" i="25"/>
  <c r="Y2414" i="25"/>
  <c r="Z2414" i="25"/>
  <c r="AA2414" i="25"/>
  <c r="W2414" i="25"/>
  <c r="X2414" i="25"/>
  <c r="V2422" i="25"/>
  <c r="Y2422" i="25"/>
  <c r="Z2422" i="25"/>
  <c r="AA2422" i="25"/>
  <c r="X2422" i="25"/>
  <c r="W2422" i="25"/>
  <c r="V2430" i="25"/>
  <c r="Y2430" i="25"/>
  <c r="Z2430" i="25"/>
  <c r="AA2430" i="25"/>
  <c r="W2430" i="25"/>
  <c r="X2430" i="25"/>
  <c r="V2438" i="25"/>
  <c r="Y2438" i="25"/>
  <c r="Z2438" i="25"/>
  <c r="AA2438" i="25"/>
  <c r="W2438" i="25"/>
  <c r="X2438" i="25"/>
  <c r="V2446" i="25"/>
  <c r="Y2446" i="25"/>
  <c r="Z2446" i="25"/>
  <c r="AA2446" i="25"/>
  <c r="W2446" i="25"/>
  <c r="X2446" i="25"/>
  <c r="V2454" i="25"/>
  <c r="Y2454" i="25"/>
  <c r="Z2454" i="25"/>
  <c r="AA2454" i="25"/>
  <c r="X2454" i="25"/>
  <c r="W2454" i="25"/>
  <c r="V2462" i="25"/>
  <c r="Y2462" i="25"/>
  <c r="Z2462" i="25"/>
  <c r="AA2462" i="25"/>
  <c r="W2462" i="25"/>
  <c r="X2462" i="25"/>
  <c r="V2470" i="25"/>
  <c r="Y2470" i="25"/>
  <c r="Z2470" i="25"/>
  <c r="AA2470" i="25"/>
  <c r="W2470" i="25"/>
  <c r="X2470" i="25"/>
  <c r="V2478" i="25"/>
  <c r="Y2478" i="25"/>
  <c r="Z2478" i="25"/>
  <c r="AA2478" i="25"/>
  <c r="W2478" i="25"/>
  <c r="X2478" i="25"/>
  <c r="V2486" i="25"/>
  <c r="Y2486" i="25"/>
  <c r="Z2486" i="25"/>
  <c r="AA2486" i="25"/>
  <c r="X2486" i="25"/>
  <c r="W2486" i="25"/>
  <c r="V2494" i="25"/>
  <c r="Y2494" i="25"/>
  <c r="Z2494" i="25"/>
  <c r="AA2494" i="25"/>
  <c r="W2494" i="25"/>
  <c r="X2494" i="25"/>
  <c r="V2502" i="25"/>
  <c r="Y2502" i="25"/>
  <c r="Z2502" i="25"/>
  <c r="AA2502" i="25"/>
  <c r="W2502" i="25"/>
  <c r="X2502" i="25"/>
  <c r="V2510" i="25"/>
  <c r="Y2510" i="25"/>
  <c r="Z2510" i="25"/>
  <c r="AA2510" i="25"/>
  <c r="W2510" i="25"/>
  <c r="X2510" i="25"/>
  <c r="V2518" i="25"/>
  <c r="Y2518" i="25"/>
  <c r="Z2518" i="25"/>
  <c r="AA2518" i="25"/>
  <c r="X2518" i="25"/>
  <c r="W2518" i="25"/>
  <c r="V2526" i="25"/>
  <c r="Y2526" i="25"/>
  <c r="Z2526" i="25"/>
  <c r="AA2526" i="25"/>
  <c r="W2526" i="25"/>
  <c r="X2526" i="25"/>
  <c r="V2534" i="25"/>
  <c r="Y2534" i="25"/>
  <c r="Z2534" i="25"/>
  <c r="AA2534" i="25"/>
  <c r="W2534" i="25"/>
  <c r="X2534" i="25"/>
  <c r="V2542" i="25"/>
  <c r="Y2542" i="25"/>
  <c r="Z2542" i="25"/>
  <c r="AA2542" i="25"/>
  <c r="W2542" i="25"/>
  <c r="X2542" i="25"/>
  <c r="V2550" i="25"/>
  <c r="Y2550" i="25"/>
  <c r="Z2550" i="25"/>
  <c r="AA2550" i="25"/>
  <c r="X2550" i="25"/>
  <c r="W2550" i="25"/>
  <c r="V2558" i="25"/>
  <c r="Y2558" i="25"/>
  <c r="Z2558" i="25"/>
  <c r="AA2558" i="25"/>
  <c r="W2558" i="25"/>
  <c r="X2558" i="25"/>
  <c r="V2566" i="25"/>
  <c r="Y2566" i="25"/>
  <c r="Z2566" i="25"/>
  <c r="AA2566" i="25"/>
  <c r="W2566" i="25"/>
  <c r="X2566" i="25"/>
  <c r="V2574" i="25"/>
  <c r="Y2574" i="25"/>
  <c r="Z2574" i="25"/>
  <c r="AA2574" i="25"/>
  <c r="W2574" i="25"/>
  <c r="X2574" i="25"/>
  <c r="V2582" i="25"/>
  <c r="Y2582" i="25"/>
  <c r="Z2582" i="25"/>
  <c r="AA2582" i="25"/>
  <c r="X2582" i="25"/>
  <c r="W2582" i="25"/>
  <c r="V2590" i="25"/>
  <c r="Y2590" i="25"/>
  <c r="Z2590" i="25"/>
  <c r="AA2590" i="25"/>
  <c r="W2590" i="25"/>
  <c r="X2590" i="25"/>
  <c r="V2598" i="25"/>
  <c r="Y2598" i="25"/>
  <c r="Z2598" i="25"/>
  <c r="AA2598" i="25"/>
  <c r="W2598" i="25"/>
  <c r="X2598" i="25"/>
  <c r="V2606" i="25"/>
  <c r="Y2606" i="25"/>
  <c r="Z2606" i="25"/>
  <c r="AA2606" i="25"/>
  <c r="W2606" i="25"/>
  <c r="V2614" i="25"/>
  <c r="Y2614" i="25"/>
  <c r="Z2614" i="25"/>
  <c r="AA2614" i="25"/>
  <c r="X2614" i="25"/>
  <c r="W2614" i="25"/>
  <c r="V2622" i="25"/>
  <c r="Y2622" i="25"/>
  <c r="Z2622" i="25"/>
  <c r="AA2622" i="25"/>
  <c r="W2622" i="25"/>
  <c r="X2622" i="25"/>
  <c r="V2630" i="25"/>
  <c r="Y2630" i="25"/>
  <c r="Z2630" i="25"/>
  <c r="AA2630" i="25"/>
  <c r="W2630" i="25"/>
  <c r="X2630" i="25"/>
  <c r="V2638" i="25"/>
  <c r="Y2638" i="25"/>
  <c r="Z2638" i="25"/>
  <c r="AA2638" i="25"/>
  <c r="W2638" i="25"/>
  <c r="X2638" i="25"/>
  <c r="V2646" i="25"/>
  <c r="Y2646" i="25"/>
  <c r="Z2646" i="25"/>
  <c r="AA2646" i="25"/>
  <c r="X2646" i="25"/>
  <c r="W2646" i="25"/>
  <c r="V2654" i="25"/>
  <c r="Y2654" i="25"/>
  <c r="Z2654" i="25"/>
  <c r="AA2654" i="25"/>
  <c r="W2654" i="25"/>
  <c r="X2654" i="25"/>
  <c r="V2662" i="25"/>
  <c r="Y2662" i="25"/>
  <c r="Z2662" i="25"/>
  <c r="AA2662" i="25"/>
  <c r="W2662" i="25"/>
  <c r="X2662" i="25"/>
  <c r="V2670" i="25"/>
  <c r="Y2670" i="25"/>
  <c r="Z2670" i="25"/>
  <c r="AA2670" i="25"/>
  <c r="W2670" i="25"/>
  <c r="X2670" i="25"/>
  <c r="V2678" i="25"/>
  <c r="Y2678" i="25"/>
  <c r="Z2678" i="25"/>
  <c r="AA2678" i="25"/>
  <c r="X2678" i="25"/>
  <c r="W2678" i="25"/>
  <c r="V2686" i="25"/>
  <c r="Y2686" i="25"/>
  <c r="Z2686" i="25"/>
  <c r="AA2686" i="25"/>
  <c r="W2686" i="25"/>
  <c r="X2686" i="25"/>
  <c r="V2694" i="25"/>
  <c r="Y2694" i="25"/>
  <c r="Z2694" i="25"/>
  <c r="AA2694" i="25"/>
  <c r="W2694" i="25"/>
  <c r="X2694" i="25"/>
  <c r="V2702" i="25"/>
  <c r="Y2702" i="25"/>
  <c r="Z2702" i="25"/>
  <c r="AA2702" i="25"/>
  <c r="W2702" i="25"/>
  <c r="X2702" i="25"/>
  <c r="V2710" i="25"/>
  <c r="Y2710" i="25"/>
  <c r="Z2710" i="25"/>
  <c r="AA2710" i="25"/>
  <c r="W2710" i="25"/>
  <c r="X2710" i="25"/>
  <c r="V2718" i="25"/>
  <c r="Y2718" i="25"/>
  <c r="Z2718" i="25"/>
  <c r="AA2718" i="25"/>
  <c r="W2718" i="25"/>
  <c r="X2718" i="25"/>
  <c r="V2726" i="25"/>
  <c r="Y2726" i="25"/>
  <c r="Z2726" i="25"/>
  <c r="AA2726" i="25"/>
  <c r="W2726" i="25"/>
  <c r="V2734" i="25"/>
  <c r="Y2734" i="25"/>
  <c r="Z2734" i="25"/>
  <c r="AA2734" i="25"/>
  <c r="W2734" i="25"/>
  <c r="X2734" i="25"/>
  <c r="V2743" i="25"/>
  <c r="Y2743" i="25"/>
  <c r="Z2743" i="25"/>
  <c r="AA2743" i="25"/>
  <c r="W2743" i="25"/>
  <c r="X2743" i="25"/>
  <c r="V2751" i="25"/>
  <c r="Y2751" i="25"/>
  <c r="Z2751" i="25"/>
  <c r="AA2751" i="25"/>
  <c r="W2751" i="25"/>
  <c r="X2751" i="25"/>
  <c r="V2761" i="25"/>
  <c r="Y2761" i="25"/>
  <c r="Z2761" i="25"/>
  <c r="AA2761" i="25"/>
  <c r="W2761" i="25"/>
  <c r="X2761" i="25"/>
  <c r="V2770" i="25"/>
  <c r="Y2770" i="25"/>
  <c r="AA2770" i="25"/>
  <c r="Z2770" i="25"/>
  <c r="W2770" i="25"/>
  <c r="X2770" i="25"/>
  <c r="V2778" i="25"/>
  <c r="Y2778" i="25"/>
  <c r="AA2778" i="25"/>
  <c r="W2778" i="25"/>
  <c r="X2778" i="25"/>
  <c r="Z2778" i="25"/>
  <c r="V2786" i="25"/>
  <c r="Y2786" i="25"/>
  <c r="AA2786" i="25"/>
  <c r="W2786" i="25"/>
  <c r="X2786" i="25"/>
  <c r="Z2786" i="25"/>
  <c r="V2794" i="25"/>
  <c r="W2794" i="25"/>
  <c r="X2794" i="25"/>
  <c r="Y2794" i="25"/>
  <c r="Z2794" i="25"/>
  <c r="AA2794" i="25"/>
  <c r="V2802" i="25"/>
  <c r="W2802" i="25"/>
  <c r="X2802" i="25"/>
  <c r="Y2802" i="25"/>
  <c r="Z2802" i="25"/>
  <c r="AA2802" i="25"/>
  <c r="V2810" i="25"/>
  <c r="W2810" i="25"/>
  <c r="X2810" i="25"/>
  <c r="Y2810" i="25"/>
  <c r="Z2810" i="25"/>
  <c r="AA2810" i="25"/>
  <c r="V2818" i="25"/>
  <c r="W2818" i="25"/>
  <c r="X2818" i="25"/>
  <c r="Y2818" i="25"/>
  <c r="AA2818" i="25"/>
  <c r="V2826" i="25"/>
  <c r="W2826" i="25"/>
  <c r="X2826" i="25"/>
  <c r="Y2826" i="25"/>
  <c r="Z2826" i="25"/>
  <c r="AA2826" i="25"/>
  <c r="V2834" i="25"/>
  <c r="W2834" i="25"/>
  <c r="X2834" i="25"/>
  <c r="Y2834" i="25"/>
  <c r="Z2834" i="25"/>
  <c r="AA2834" i="25"/>
  <c r="V2842" i="25"/>
  <c r="W2842" i="25"/>
  <c r="X2842" i="25"/>
  <c r="Y2842" i="25"/>
  <c r="Z2842" i="25"/>
  <c r="AA2842" i="25"/>
  <c r="V2850" i="25"/>
  <c r="W2850" i="25"/>
  <c r="X2850" i="25"/>
  <c r="Y2850" i="25"/>
  <c r="AA2850" i="25"/>
  <c r="V2858" i="25"/>
  <c r="W2858" i="25"/>
  <c r="X2858" i="25"/>
  <c r="Y2858" i="25"/>
  <c r="Z2858" i="25"/>
  <c r="AA2858" i="25"/>
  <c r="V2866" i="25"/>
  <c r="W2866" i="25"/>
  <c r="X2866" i="25"/>
  <c r="Y2866" i="25"/>
  <c r="Z2866" i="25"/>
  <c r="AA2866" i="25"/>
  <c r="V2874" i="25"/>
  <c r="W2874" i="25"/>
  <c r="X2874" i="25"/>
  <c r="Y2874" i="25"/>
  <c r="Z2874" i="25"/>
  <c r="AA2874" i="25"/>
  <c r="V2882" i="25"/>
  <c r="W2882" i="25"/>
  <c r="X2882" i="25"/>
  <c r="Y2882" i="25"/>
  <c r="AA2882" i="25"/>
  <c r="V2890" i="25"/>
  <c r="W2890" i="25"/>
  <c r="X2890" i="25"/>
  <c r="Y2890" i="25"/>
  <c r="Z2890" i="25"/>
  <c r="AA2890" i="25"/>
  <c r="V2898" i="25"/>
  <c r="W2898" i="25"/>
  <c r="X2898" i="25"/>
  <c r="Y2898" i="25"/>
  <c r="Z2898" i="25"/>
  <c r="AA2898" i="25"/>
  <c r="V2906" i="25"/>
  <c r="W2906" i="25"/>
  <c r="X2906" i="25"/>
  <c r="Y2906" i="25"/>
  <c r="Z2906" i="25"/>
  <c r="AA2906" i="25"/>
  <c r="V2914" i="25"/>
  <c r="W2914" i="25"/>
  <c r="X2914" i="25"/>
  <c r="Y2914" i="25"/>
  <c r="AA2914" i="25"/>
  <c r="V2922" i="25"/>
  <c r="W2922" i="25"/>
  <c r="X2922" i="25"/>
  <c r="Y2922" i="25"/>
  <c r="Z2922" i="25"/>
  <c r="AA2922" i="25"/>
  <c r="V2930" i="25"/>
  <c r="W2930" i="25"/>
  <c r="X2930" i="25"/>
  <c r="Y2930" i="25"/>
  <c r="Z2930" i="25"/>
  <c r="AA2930" i="25"/>
  <c r="V2938" i="25"/>
  <c r="W2938" i="25"/>
  <c r="X2938" i="25"/>
  <c r="Y2938" i="25"/>
  <c r="Z2938" i="25"/>
  <c r="AA2938" i="25"/>
  <c r="V2946" i="25"/>
  <c r="W2946" i="25"/>
  <c r="X2946" i="25"/>
  <c r="Y2946" i="25"/>
  <c r="AA2946" i="25"/>
  <c r="V2954" i="25"/>
  <c r="W2954" i="25"/>
  <c r="X2954" i="25"/>
  <c r="Y2954" i="25"/>
  <c r="Z2954" i="25"/>
  <c r="AA2954" i="25"/>
  <c r="V2968" i="25"/>
  <c r="W2968" i="25"/>
  <c r="X2968" i="25"/>
  <c r="Y2968" i="25"/>
  <c r="Z2968" i="25"/>
  <c r="AA2968" i="25"/>
  <c r="V2979" i="25"/>
  <c r="W2979" i="25"/>
  <c r="X2979" i="25"/>
  <c r="Y2979" i="25"/>
  <c r="Z2979" i="25"/>
  <c r="AA2979" i="25"/>
  <c r="V2987" i="25"/>
  <c r="Y2987" i="25"/>
  <c r="W2987" i="25"/>
  <c r="X2987" i="25"/>
  <c r="Z2987" i="25"/>
  <c r="AA2987" i="25"/>
  <c r="V2998" i="25"/>
  <c r="Y2998" i="25"/>
  <c r="X2998" i="25"/>
  <c r="Z2998" i="25"/>
  <c r="AA2998" i="25"/>
  <c r="V3007" i="25"/>
  <c r="Y3007" i="25"/>
  <c r="AA3007" i="25"/>
  <c r="W3007" i="25"/>
  <c r="X3007" i="25"/>
  <c r="V3015" i="25"/>
  <c r="Y3015" i="25"/>
  <c r="W3015" i="25"/>
  <c r="X3015" i="25"/>
  <c r="Z3015" i="25"/>
  <c r="AA3015" i="25"/>
  <c r="V3023" i="25"/>
  <c r="Y3023" i="25"/>
  <c r="W3023" i="25"/>
  <c r="X3023" i="25"/>
  <c r="Z3023" i="25"/>
  <c r="AA3023" i="25"/>
  <c r="V3031" i="25"/>
  <c r="Y3031" i="25"/>
  <c r="X3031" i="25"/>
  <c r="Z3031" i="25"/>
  <c r="AA3031" i="25"/>
  <c r="V3039" i="25"/>
  <c r="Y3039" i="25"/>
  <c r="AA3039" i="25"/>
  <c r="W3039" i="25"/>
  <c r="X3039" i="25"/>
  <c r="V3047" i="25"/>
  <c r="Y3047" i="25"/>
  <c r="W3047" i="25"/>
  <c r="X3047" i="25"/>
  <c r="Z3047" i="25"/>
  <c r="AA3047" i="25"/>
  <c r="V3055" i="25"/>
  <c r="Y3055" i="25"/>
  <c r="W3055" i="25"/>
  <c r="X3055" i="25"/>
  <c r="Z3055" i="25"/>
  <c r="AA3055" i="25"/>
  <c r="V3063" i="25"/>
  <c r="Y3063" i="25"/>
  <c r="X3063" i="25"/>
  <c r="Z3063" i="25"/>
  <c r="AA3063" i="25"/>
  <c r="V3071" i="25"/>
  <c r="Y3071" i="25"/>
  <c r="W3071" i="25"/>
  <c r="X3071" i="25"/>
  <c r="V3079" i="25"/>
  <c r="Y3079" i="25"/>
  <c r="W3079" i="25"/>
  <c r="X3079" i="25"/>
  <c r="Z3079" i="25"/>
  <c r="AA3079" i="25"/>
  <c r="V3087" i="25"/>
  <c r="Y3087" i="25"/>
  <c r="W3087" i="25"/>
  <c r="X3087" i="25"/>
  <c r="Z3087" i="25"/>
  <c r="AA3087" i="25"/>
  <c r="V3095" i="25"/>
  <c r="Y3095" i="25"/>
  <c r="Z3095" i="25"/>
  <c r="AA3095" i="25"/>
  <c r="V3103" i="25"/>
  <c r="Y3103" i="25"/>
  <c r="W3103" i="25"/>
  <c r="X3103" i="25"/>
  <c r="V3111" i="25"/>
  <c r="Y3111" i="25"/>
  <c r="W3111" i="25"/>
  <c r="X3111" i="25"/>
  <c r="Z3111" i="25"/>
  <c r="AA3111" i="25"/>
  <c r="V3119" i="25"/>
  <c r="Y3119" i="25"/>
  <c r="W3119" i="25"/>
  <c r="X3119" i="25"/>
  <c r="Z3119" i="25"/>
  <c r="AA3119" i="25"/>
  <c r="V3127" i="25"/>
  <c r="Y3127" i="25"/>
  <c r="Z3127" i="25"/>
  <c r="AA3127" i="25"/>
  <c r="V3135" i="25"/>
  <c r="Y3135" i="25"/>
  <c r="W3135" i="25"/>
  <c r="X3135" i="25"/>
  <c r="V3143" i="25"/>
  <c r="Y3143" i="25"/>
  <c r="W3143" i="25"/>
  <c r="X3143" i="25"/>
  <c r="Z3143" i="25"/>
  <c r="AA3143" i="25"/>
  <c r="V3154" i="25"/>
  <c r="Y3154" i="25"/>
  <c r="W3154" i="25"/>
  <c r="X3154" i="25"/>
  <c r="Z3154" i="25"/>
  <c r="AA3154" i="25"/>
  <c r="V3162" i="25"/>
  <c r="Y3162" i="25"/>
  <c r="Z3162" i="25"/>
  <c r="AA3162" i="25"/>
  <c r="V3170" i="25"/>
  <c r="Y3170" i="25"/>
  <c r="W3170" i="25"/>
  <c r="X3170" i="25"/>
  <c r="V3178" i="25"/>
  <c r="Y3178" i="25"/>
  <c r="W3178" i="25"/>
  <c r="X3178" i="25"/>
  <c r="Z3178" i="25"/>
  <c r="AA3178" i="25"/>
  <c r="V3186" i="25"/>
  <c r="W3186" i="25"/>
  <c r="X3186" i="25"/>
  <c r="Y3186" i="25"/>
  <c r="Z3186" i="25"/>
  <c r="AA3186" i="25"/>
  <c r="V3207" i="25"/>
  <c r="W3207" i="25"/>
  <c r="X3207" i="25"/>
  <c r="Y3207" i="25"/>
  <c r="Z3207" i="25"/>
  <c r="AA3207" i="25"/>
  <c r="V3215" i="25"/>
  <c r="W3215" i="25"/>
  <c r="X3215" i="25"/>
  <c r="Y3215" i="25"/>
  <c r="Z3215" i="25"/>
  <c r="AA3215" i="25"/>
  <c r="V3223" i="25"/>
  <c r="W3223" i="25"/>
  <c r="X3223" i="25"/>
  <c r="Y3223" i="25"/>
  <c r="Z3223" i="25"/>
  <c r="AA3223" i="25"/>
  <c r="V3232" i="25"/>
  <c r="W3232" i="25"/>
  <c r="X3232" i="25"/>
  <c r="Y3232" i="25"/>
  <c r="Z3232" i="25"/>
  <c r="AA3232" i="25"/>
  <c r="V3240" i="25"/>
  <c r="W3240" i="25"/>
  <c r="X3240" i="25"/>
  <c r="Y3240" i="25"/>
  <c r="Z3240" i="25"/>
  <c r="AA3240" i="25"/>
  <c r="V3248" i="25"/>
  <c r="W3248" i="25"/>
  <c r="X3248" i="25"/>
  <c r="Y3248" i="25"/>
  <c r="Z3248" i="25"/>
  <c r="AA3248" i="25"/>
  <c r="V3256" i="25"/>
  <c r="W3256" i="25"/>
  <c r="X3256" i="25"/>
  <c r="Y3256" i="25"/>
  <c r="Z3256" i="25"/>
  <c r="AA3256" i="25"/>
  <c r="V3264" i="25"/>
  <c r="W3264" i="25"/>
  <c r="X3264" i="25"/>
  <c r="Y3264" i="25"/>
  <c r="Z3264" i="25"/>
  <c r="AA3264" i="25"/>
  <c r="V3272" i="25"/>
  <c r="W3272" i="25"/>
  <c r="X3272" i="25"/>
  <c r="Y3272" i="25"/>
  <c r="Z3272" i="25"/>
  <c r="AA3272" i="25"/>
  <c r="V3280" i="25"/>
  <c r="W3280" i="25"/>
  <c r="X3280" i="25"/>
  <c r="Y3280" i="25"/>
  <c r="Z3280" i="25"/>
  <c r="AA3280" i="25"/>
  <c r="V3288" i="25"/>
  <c r="W3288" i="25"/>
  <c r="X3288" i="25"/>
  <c r="Y3288" i="25"/>
  <c r="Z3288" i="25"/>
  <c r="AA3288" i="25"/>
  <c r="V3296" i="25"/>
  <c r="W3296" i="25"/>
  <c r="X3296" i="25"/>
  <c r="Y3296" i="25"/>
  <c r="Z3296" i="25"/>
  <c r="AA3296" i="25"/>
  <c r="V3304" i="25"/>
  <c r="W3304" i="25"/>
  <c r="X3304" i="25"/>
  <c r="Y3304" i="25"/>
  <c r="Z3304" i="25"/>
  <c r="AA3304" i="25"/>
  <c r="V3312" i="25"/>
  <c r="W3312" i="25"/>
  <c r="X3312" i="25"/>
  <c r="Y3312" i="25"/>
  <c r="Z3312" i="25"/>
  <c r="AA3312" i="25"/>
  <c r="V3320" i="25"/>
  <c r="W3320" i="25"/>
  <c r="X3320" i="25"/>
  <c r="Y3320" i="25"/>
  <c r="Z3320" i="25"/>
  <c r="AA3320" i="25"/>
  <c r="V3328" i="25"/>
  <c r="W3328" i="25"/>
  <c r="X3328" i="25"/>
  <c r="Y3328" i="25"/>
  <c r="Z3328" i="25"/>
  <c r="AA3328" i="25"/>
  <c r="V3336" i="25"/>
  <c r="W3336" i="25"/>
  <c r="X3336" i="25"/>
  <c r="Y3336" i="25"/>
  <c r="Z3336" i="25"/>
  <c r="AA3336" i="25"/>
  <c r="V3344" i="25"/>
  <c r="W3344" i="25"/>
  <c r="X3344" i="25"/>
  <c r="Y3344" i="25"/>
  <c r="Z3344" i="25"/>
  <c r="AA3344" i="25"/>
  <c r="V3352" i="25"/>
  <c r="W3352" i="25"/>
  <c r="X3352" i="25"/>
  <c r="Y3352" i="25"/>
  <c r="Z3352" i="25"/>
  <c r="AA3352" i="25"/>
  <c r="V3360" i="25"/>
  <c r="W3360" i="25"/>
  <c r="X3360" i="25"/>
  <c r="Y3360" i="25"/>
  <c r="Z3360" i="25"/>
  <c r="AA3360" i="25"/>
  <c r="V3368" i="25"/>
  <c r="W3368" i="25"/>
  <c r="X3368" i="25"/>
  <c r="Y3368" i="25"/>
  <c r="Z3368" i="25"/>
  <c r="AA3368" i="25"/>
  <c r="V3376" i="25"/>
  <c r="W3376" i="25"/>
  <c r="X3376" i="25"/>
  <c r="Y3376" i="25"/>
  <c r="Z3376" i="25"/>
  <c r="AA3376" i="25"/>
  <c r="V3384" i="25"/>
  <c r="W3384" i="25"/>
  <c r="X3384" i="25"/>
  <c r="Y3384" i="25"/>
  <c r="Z3384" i="25"/>
  <c r="AA3384" i="25"/>
  <c r="V3392" i="25"/>
  <c r="W3392" i="25"/>
  <c r="X3392" i="25"/>
  <c r="Y3392" i="25"/>
  <c r="Z3392" i="25"/>
  <c r="AA3392" i="25"/>
  <c r="V3400" i="25"/>
  <c r="W3400" i="25"/>
  <c r="X3400" i="25"/>
  <c r="Y3400" i="25"/>
  <c r="Z3400" i="25"/>
  <c r="AA3400" i="25"/>
  <c r="V3408" i="25"/>
  <c r="W3408" i="25"/>
  <c r="V3416" i="25"/>
  <c r="W3416" i="25"/>
  <c r="V3424" i="25"/>
  <c r="W3424" i="25"/>
  <c r="V3432" i="25"/>
  <c r="W3432" i="25"/>
  <c r="V3440" i="25"/>
  <c r="W3440" i="25"/>
  <c r="V3448" i="25"/>
  <c r="W3448" i="25"/>
  <c r="V3456" i="25"/>
  <c r="W3456" i="25"/>
  <c r="V3464" i="25"/>
  <c r="W3464" i="25"/>
  <c r="V3472" i="25"/>
  <c r="W3472" i="25"/>
  <c r="V3480" i="25"/>
  <c r="W3480" i="25"/>
  <c r="V3488" i="25"/>
  <c r="W3488" i="25"/>
  <c r="V3496" i="25"/>
  <c r="W3496" i="25"/>
  <c r="V3504" i="25"/>
  <c r="W3504" i="25"/>
  <c r="V3512" i="25"/>
  <c r="W3512" i="25"/>
  <c r="V3520" i="25"/>
  <c r="W3520" i="25"/>
  <c r="Y3665" i="25"/>
  <c r="AA3663" i="25"/>
  <c r="X3662" i="25"/>
  <c r="Z3660" i="25"/>
  <c r="W3659" i="25"/>
  <c r="Y3657" i="25"/>
  <c r="AA3655" i="25"/>
  <c r="X3654" i="25"/>
  <c r="Z3652" i="25"/>
  <c r="W3651" i="25"/>
  <c r="Y3649" i="25"/>
  <c r="AA3647" i="25"/>
  <c r="X3646" i="25"/>
  <c r="Z3644" i="25"/>
  <c r="W3643" i="25"/>
  <c r="Y3641" i="25"/>
  <c r="AA3639" i="25"/>
  <c r="X3638" i="25"/>
  <c r="Z3636" i="25"/>
  <c r="W3635" i="25"/>
  <c r="Y3633" i="25"/>
  <c r="AA3631" i="25"/>
  <c r="X3625" i="25"/>
  <c r="Z3623" i="25"/>
  <c r="W3622" i="25"/>
  <c r="Y3621" i="25"/>
  <c r="AA3619" i="25"/>
  <c r="X3618" i="25"/>
  <c r="Z3616" i="25"/>
  <c r="W3614" i="25"/>
  <c r="Y3612" i="25"/>
  <c r="AA3610" i="25"/>
  <c r="X3609" i="25"/>
  <c r="Z3607" i="25"/>
  <c r="W3606" i="25"/>
  <c r="Y3604" i="25"/>
  <c r="AA3602" i="25"/>
  <c r="X3601" i="25"/>
  <c r="Z3599" i="25"/>
  <c r="W3598" i="25"/>
  <c r="Y3596" i="25"/>
  <c r="AA3594" i="25"/>
  <c r="X3593" i="25"/>
  <c r="Z3591" i="25"/>
  <c r="W3590" i="25"/>
  <c r="Y3588" i="25"/>
  <c r="AA3586" i="25"/>
  <c r="X3585" i="25"/>
  <c r="Z3583" i="25"/>
  <c r="W3582" i="25"/>
  <c r="Y3580" i="25"/>
  <c r="AA3578" i="25"/>
  <c r="X3577" i="25"/>
  <c r="Z3575" i="25"/>
  <c r="W3574" i="25"/>
  <c r="Y3572" i="25"/>
  <c r="AA3570" i="25"/>
  <c r="X3569" i="25"/>
  <c r="Z3567" i="25"/>
  <c r="W3566" i="25"/>
  <c r="Y3564" i="25"/>
  <c r="AA3562" i="25"/>
  <c r="X3561" i="25"/>
  <c r="Z3559" i="25"/>
  <c r="W3558" i="25"/>
  <c r="Y3556" i="25"/>
  <c r="AA3554" i="25"/>
  <c r="X3553" i="25"/>
  <c r="Z3551" i="25"/>
  <c r="W3550" i="25"/>
  <c r="Y3548" i="25"/>
  <c r="AA3546" i="25"/>
  <c r="X3545" i="25"/>
  <c r="Z3543" i="25"/>
  <c r="W3542" i="25"/>
  <c r="Y3540" i="25"/>
  <c r="AA3538" i="25"/>
  <c r="X3537" i="25"/>
  <c r="Z3535" i="25"/>
  <c r="W3534" i="25"/>
  <c r="Y3532" i="25"/>
  <c r="AA3530" i="25"/>
  <c r="X3529" i="25"/>
  <c r="Z3527" i="25"/>
  <c r="W3526" i="25"/>
  <c r="Y3524" i="25"/>
  <c r="Y3522" i="25"/>
  <c r="Y3520" i="25"/>
  <c r="X3518" i="25"/>
  <c r="W3516" i="25"/>
  <c r="AA3511" i="25"/>
  <c r="Z3509" i="25"/>
  <c r="Z3507" i="25"/>
  <c r="X3503" i="25"/>
  <c r="X3501" i="25"/>
  <c r="W3499" i="25"/>
  <c r="AA3496" i="25"/>
  <c r="AA3494" i="25"/>
  <c r="Z3492" i="25"/>
  <c r="Y3490" i="25"/>
  <c r="Y3488" i="25"/>
  <c r="X3486" i="25"/>
  <c r="W3484" i="25"/>
  <c r="AA3479" i="25"/>
  <c r="Z3477" i="25"/>
  <c r="Z3475" i="25"/>
  <c r="X3471" i="25"/>
  <c r="X3469" i="25"/>
  <c r="W3467" i="25"/>
  <c r="AA3464" i="25"/>
  <c r="AA3462" i="25"/>
  <c r="Z3460" i="25"/>
  <c r="Y3458" i="25"/>
  <c r="Y3456" i="25"/>
  <c r="X3454" i="25"/>
  <c r="W3452" i="25"/>
  <c r="AA3447" i="25"/>
  <c r="Z3445" i="25"/>
  <c r="Z3443" i="25"/>
  <c r="X3439" i="25"/>
  <c r="X3437" i="25"/>
  <c r="W3435" i="25"/>
  <c r="AA3432" i="25"/>
  <c r="AA3430" i="25"/>
  <c r="Z3428" i="25"/>
  <c r="Y3426" i="25"/>
  <c r="Y3424" i="25"/>
  <c r="X3422" i="25"/>
  <c r="W3420" i="25"/>
  <c r="AA3415" i="25"/>
  <c r="Z3413" i="25"/>
  <c r="Z3411" i="25"/>
  <c r="X3407" i="25"/>
  <c r="W3403" i="25"/>
  <c r="Z3396" i="25"/>
  <c r="X3390" i="25"/>
  <c r="AA3383" i="25"/>
  <c r="W3371" i="25"/>
  <c r="Z3364" i="25"/>
  <c r="X3358" i="25"/>
  <c r="AA3351" i="25"/>
  <c r="W3339" i="25"/>
  <c r="Z3332" i="25"/>
  <c r="X3326" i="25"/>
  <c r="AA3319" i="25"/>
  <c r="W3307" i="25"/>
  <c r="Z3300" i="25"/>
  <c r="X3294" i="25"/>
  <c r="AA3287" i="25"/>
  <c r="W3275" i="25"/>
  <c r="Z3268" i="25"/>
  <c r="X3262" i="25"/>
  <c r="AA3255" i="25"/>
  <c r="W3243" i="25"/>
  <c r="Z3236" i="25"/>
  <c r="X3229" i="25"/>
  <c r="AA3222" i="25"/>
  <c r="W3210" i="25"/>
  <c r="Z3194" i="25"/>
  <c r="Z3183" i="25"/>
  <c r="W3175" i="25"/>
  <c r="Z3166" i="25"/>
  <c r="W3158" i="25"/>
  <c r="Y3146" i="25"/>
  <c r="W3138" i="25"/>
  <c r="Y3129" i="25"/>
  <c r="AA3103" i="25"/>
  <c r="X3095" i="25"/>
  <c r="AA3086" i="25"/>
  <c r="X3078" i="25"/>
  <c r="Y3069" i="25"/>
  <c r="Y3052" i="25"/>
  <c r="Y3035" i="25"/>
  <c r="X3018" i="25"/>
  <c r="Y2965" i="25"/>
  <c r="W2857" i="25"/>
  <c r="AA2805" i="25"/>
  <c r="X2726" i="25"/>
  <c r="V2415" i="25"/>
  <c r="W2415" i="25"/>
  <c r="X2415" i="25"/>
  <c r="Y2415" i="25"/>
  <c r="AA2415" i="25"/>
  <c r="Z2415" i="25"/>
  <c r="V2423" i="25"/>
  <c r="W2423" i="25"/>
  <c r="X2423" i="25"/>
  <c r="Y2423" i="25"/>
  <c r="Z2423" i="25"/>
  <c r="AA2423" i="25"/>
  <c r="V2431" i="25"/>
  <c r="W2431" i="25"/>
  <c r="X2431" i="25"/>
  <c r="Y2431" i="25"/>
  <c r="Z2431" i="25"/>
  <c r="AA2431" i="25"/>
  <c r="V2439" i="25"/>
  <c r="W2439" i="25"/>
  <c r="X2439" i="25"/>
  <c r="Y2439" i="25"/>
  <c r="Z2439" i="25"/>
  <c r="AA2439" i="25"/>
  <c r="V2447" i="25"/>
  <c r="W2447" i="25"/>
  <c r="X2447" i="25"/>
  <c r="Y2447" i="25"/>
  <c r="AA2447" i="25"/>
  <c r="Z2447" i="25"/>
  <c r="V2455" i="25"/>
  <c r="W2455" i="25"/>
  <c r="X2455" i="25"/>
  <c r="Y2455" i="25"/>
  <c r="Z2455" i="25"/>
  <c r="AA2455" i="25"/>
  <c r="V2463" i="25"/>
  <c r="W2463" i="25"/>
  <c r="X2463" i="25"/>
  <c r="Y2463" i="25"/>
  <c r="Z2463" i="25"/>
  <c r="AA2463" i="25"/>
  <c r="V2471" i="25"/>
  <c r="W2471" i="25"/>
  <c r="X2471" i="25"/>
  <c r="Y2471" i="25"/>
  <c r="Z2471" i="25"/>
  <c r="AA2471" i="25"/>
  <c r="V2479" i="25"/>
  <c r="W2479" i="25"/>
  <c r="X2479" i="25"/>
  <c r="Y2479" i="25"/>
  <c r="AA2479" i="25"/>
  <c r="Z2479" i="25"/>
  <c r="V2487" i="25"/>
  <c r="W2487" i="25"/>
  <c r="X2487" i="25"/>
  <c r="Y2487" i="25"/>
  <c r="Z2487" i="25"/>
  <c r="AA2487" i="25"/>
  <c r="V2495" i="25"/>
  <c r="W2495" i="25"/>
  <c r="X2495" i="25"/>
  <c r="Y2495" i="25"/>
  <c r="Z2495" i="25"/>
  <c r="AA2495" i="25"/>
  <c r="V2503" i="25"/>
  <c r="W2503" i="25"/>
  <c r="X2503" i="25"/>
  <c r="Y2503" i="25"/>
  <c r="Z2503" i="25"/>
  <c r="AA2503" i="25"/>
  <c r="V2511" i="25"/>
  <c r="W2511" i="25"/>
  <c r="X2511" i="25"/>
  <c r="Y2511" i="25"/>
  <c r="AA2511" i="25"/>
  <c r="V2519" i="25"/>
  <c r="W2519" i="25"/>
  <c r="X2519" i="25"/>
  <c r="Y2519" i="25"/>
  <c r="Z2519" i="25"/>
  <c r="AA2519" i="25"/>
  <c r="V2527" i="25"/>
  <c r="W2527" i="25"/>
  <c r="X2527" i="25"/>
  <c r="Y2527" i="25"/>
  <c r="Z2527" i="25"/>
  <c r="AA2527" i="25"/>
  <c r="V2535" i="25"/>
  <c r="W2535" i="25"/>
  <c r="X2535" i="25"/>
  <c r="Y2535" i="25"/>
  <c r="Z2535" i="25"/>
  <c r="AA2535" i="25"/>
  <c r="V2543" i="25"/>
  <c r="W2543" i="25"/>
  <c r="X2543" i="25"/>
  <c r="Y2543" i="25"/>
  <c r="AA2543" i="25"/>
  <c r="Z2543" i="25"/>
  <c r="V2551" i="25"/>
  <c r="W2551" i="25"/>
  <c r="X2551" i="25"/>
  <c r="Y2551" i="25"/>
  <c r="Z2551" i="25"/>
  <c r="AA2551" i="25"/>
  <c r="V2559" i="25"/>
  <c r="W2559" i="25"/>
  <c r="X2559" i="25"/>
  <c r="Y2559" i="25"/>
  <c r="Z2559" i="25"/>
  <c r="AA2559" i="25"/>
  <c r="V2567" i="25"/>
  <c r="W2567" i="25"/>
  <c r="X2567" i="25"/>
  <c r="Y2567" i="25"/>
  <c r="Z2567" i="25"/>
  <c r="AA2567" i="25"/>
  <c r="V2575" i="25"/>
  <c r="W2575" i="25"/>
  <c r="X2575" i="25"/>
  <c r="Y2575" i="25"/>
  <c r="AA2575" i="25"/>
  <c r="Z2575" i="25"/>
  <c r="V2583" i="25"/>
  <c r="W2583" i="25"/>
  <c r="X2583" i="25"/>
  <c r="Y2583" i="25"/>
  <c r="Z2583" i="25"/>
  <c r="AA2583" i="25"/>
  <c r="V2591" i="25"/>
  <c r="W2591" i="25"/>
  <c r="X2591" i="25"/>
  <c r="Y2591" i="25"/>
  <c r="Z2591" i="25"/>
  <c r="AA2591" i="25"/>
  <c r="V2599" i="25"/>
  <c r="W2599" i="25"/>
  <c r="X2599" i="25"/>
  <c r="Y2599" i="25"/>
  <c r="Z2599" i="25"/>
  <c r="AA2599" i="25"/>
  <c r="V2607" i="25"/>
  <c r="W2607" i="25"/>
  <c r="X2607" i="25"/>
  <c r="Y2607" i="25"/>
  <c r="AA2607" i="25"/>
  <c r="Z2607" i="25"/>
  <c r="V2615" i="25"/>
  <c r="W2615" i="25"/>
  <c r="X2615" i="25"/>
  <c r="Y2615" i="25"/>
  <c r="Z2615" i="25"/>
  <c r="AA2615" i="25"/>
  <c r="V2623" i="25"/>
  <c r="W2623" i="25"/>
  <c r="X2623" i="25"/>
  <c r="Y2623" i="25"/>
  <c r="Z2623" i="25"/>
  <c r="AA2623" i="25"/>
  <c r="V2631" i="25"/>
  <c r="W2631" i="25"/>
  <c r="X2631" i="25"/>
  <c r="Y2631" i="25"/>
  <c r="Z2631" i="25"/>
  <c r="V2639" i="25"/>
  <c r="W2639" i="25"/>
  <c r="X2639" i="25"/>
  <c r="Y2639" i="25"/>
  <c r="AA2639" i="25"/>
  <c r="Z2639" i="25"/>
  <c r="V2647" i="25"/>
  <c r="W2647" i="25"/>
  <c r="X2647" i="25"/>
  <c r="Y2647" i="25"/>
  <c r="Z2647" i="25"/>
  <c r="AA2647" i="25"/>
  <c r="V2655" i="25"/>
  <c r="W2655" i="25"/>
  <c r="X2655" i="25"/>
  <c r="Y2655" i="25"/>
  <c r="Z2655" i="25"/>
  <c r="AA2655" i="25"/>
  <c r="V2663" i="25"/>
  <c r="W2663" i="25"/>
  <c r="X2663" i="25"/>
  <c r="Y2663" i="25"/>
  <c r="Z2663" i="25"/>
  <c r="AA2663" i="25"/>
  <c r="V2671" i="25"/>
  <c r="W2671" i="25"/>
  <c r="X2671" i="25"/>
  <c r="Y2671" i="25"/>
  <c r="AA2671" i="25"/>
  <c r="Z2671" i="25"/>
  <c r="V2679" i="25"/>
  <c r="W2679" i="25"/>
  <c r="X2679" i="25"/>
  <c r="Y2679" i="25"/>
  <c r="Z2679" i="25"/>
  <c r="AA2679" i="25"/>
  <c r="V2687" i="25"/>
  <c r="W2687" i="25"/>
  <c r="Y2687" i="25"/>
  <c r="AA2687" i="25"/>
  <c r="X2687" i="25"/>
  <c r="Z2687" i="25"/>
  <c r="V2695" i="25"/>
  <c r="W2695" i="25"/>
  <c r="Y2695" i="25"/>
  <c r="X2695" i="25"/>
  <c r="Z2695" i="25"/>
  <c r="AA2695" i="25"/>
  <c r="V2703" i="25"/>
  <c r="W2703" i="25"/>
  <c r="Y2703" i="25"/>
  <c r="X2703" i="25"/>
  <c r="Z2703" i="25"/>
  <c r="AA2703" i="25"/>
  <c r="V2711" i="25"/>
  <c r="W2711" i="25"/>
  <c r="Y2711" i="25"/>
  <c r="Z2711" i="25"/>
  <c r="AA2711" i="25"/>
  <c r="X2711" i="25"/>
  <c r="V2719" i="25"/>
  <c r="W2719" i="25"/>
  <c r="X2719" i="25"/>
  <c r="Y2719" i="25"/>
  <c r="Z2719" i="25"/>
  <c r="AA2719" i="25"/>
  <c r="V2727" i="25"/>
  <c r="W2727" i="25"/>
  <c r="Y2727" i="25"/>
  <c r="Z2727" i="25"/>
  <c r="AA2727" i="25"/>
  <c r="X2727" i="25"/>
  <c r="V2735" i="25"/>
  <c r="W2735" i="25"/>
  <c r="X2735" i="25"/>
  <c r="Y2735" i="25"/>
  <c r="Z2735" i="25"/>
  <c r="AA2735" i="25"/>
  <c r="V2744" i="25"/>
  <c r="W2744" i="25"/>
  <c r="Y2744" i="25"/>
  <c r="Z2744" i="25"/>
  <c r="AA2744" i="25"/>
  <c r="X2744" i="25"/>
  <c r="V2752" i="25"/>
  <c r="W2752" i="25"/>
  <c r="X2752" i="25"/>
  <c r="Y2752" i="25"/>
  <c r="Z2752" i="25"/>
  <c r="V2763" i="25"/>
  <c r="W2763" i="25"/>
  <c r="Y2763" i="25"/>
  <c r="Z2763" i="25"/>
  <c r="AA2763" i="25"/>
  <c r="X2763" i="25"/>
  <c r="V2771" i="25"/>
  <c r="W2771" i="25"/>
  <c r="X2771" i="25"/>
  <c r="Y2771" i="25"/>
  <c r="Z2771" i="25"/>
  <c r="AA2771" i="25"/>
  <c r="V2779" i="25"/>
  <c r="X2779" i="25"/>
  <c r="Y2779" i="25"/>
  <c r="Z2779" i="25"/>
  <c r="AA2779" i="25"/>
  <c r="W2779" i="25"/>
  <c r="V2787" i="25"/>
  <c r="Z2787" i="25"/>
  <c r="AA2787" i="25"/>
  <c r="W2787" i="25"/>
  <c r="X2787" i="25"/>
  <c r="Y2787" i="25"/>
  <c r="V2795" i="25"/>
  <c r="W2795" i="25"/>
  <c r="X2795" i="25"/>
  <c r="Y2795" i="25"/>
  <c r="Z2795" i="25"/>
  <c r="AA2795" i="25"/>
  <c r="V2803" i="25"/>
  <c r="W2803" i="25"/>
  <c r="X2803" i="25"/>
  <c r="Y2803" i="25"/>
  <c r="Z2803" i="25"/>
  <c r="AA2803" i="25"/>
  <c r="V2811" i="25"/>
  <c r="W2811" i="25"/>
  <c r="X2811" i="25"/>
  <c r="Y2811" i="25"/>
  <c r="Z2811" i="25"/>
  <c r="AA2811" i="25"/>
  <c r="V2819" i="25"/>
  <c r="W2819" i="25"/>
  <c r="X2819" i="25"/>
  <c r="Y2819" i="25"/>
  <c r="Z2819" i="25"/>
  <c r="AA2819" i="25"/>
  <c r="V2827" i="25"/>
  <c r="W2827" i="25"/>
  <c r="X2827" i="25"/>
  <c r="Y2827" i="25"/>
  <c r="Z2827" i="25"/>
  <c r="AA2827" i="25"/>
  <c r="V2835" i="25"/>
  <c r="W2835" i="25"/>
  <c r="X2835" i="25"/>
  <c r="Y2835" i="25"/>
  <c r="Z2835" i="25"/>
  <c r="AA2835" i="25"/>
  <c r="V2843" i="25"/>
  <c r="W2843" i="25"/>
  <c r="X2843" i="25"/>
  <c r="Y2843" i="25"/>
  <c r="Z2843" i="25"/>
  <c r="AA2843" i="25"/>
  <c r="V2851" i="25"/>
  <c r="W2851" i="25"/>
  <c r="X2851" i="25"/>
  <c r="Y2851" i="25"/>
  <c r="Z2851" i="25"/>
  <c r="AA2851" i="25"/>
  <c r="V2859" i="25"/>
  <c r="W2859" i="25"/>
  <c r="X2859" i="25"/>
  <c r="Y2859" i="25"/>
  <c r="Z2859" i="25"/>
  <c r="AA2859" i="25"/>
  <c r="V2867" i="25"/>
  <c r="W2867" i="25"/>
  <c r="X2867" i="25"/>
  <c r="Y2867" i="25"/>
  <c r="Z2867" i="25"/>
  <c r="AA2867" i="25"/>
  <c r="V2875" i="25"/>
  <c r="W2875" i="25"/>
  <c r="X2875" i="25"/>
  <c r="Y2875" i="25"/>
  <c r="Z2875" i="25"/>
  <c r="AA2875" i="25"/>
  <c r="V2883" i="25"/>
  <c r="W2883" i="25"/>
  <c r="X2883" i="25"/>
  <c r="Y2883" i="25"/>
  <c r="Z2883" i="25"/>
  <c r="AA2883" i="25"/>
  <c r="V2891" i="25"/>
  <c r="W2891" i="25"/>
  <c r="X2891" i="25"/>
  <c r="Y2891" i="25"/>
  <c r="Z2891" i="25"/>
  <c r="AA2891" i="25"/>
  <c r="V2899" i="25"/>
  <c r="W2899" i="25"/>
  <c r="X2899" i="25"/>
  <c r="Y2899" i="25"/>
  <c r="Z2899" i="25"/>
  <c r="AA2899" i="25"/>
  <c r="V2907" i="25"/>
  <c r="W2907" i="25"/>
  <c r="X2907" i="25"/>
  <c r="Y2907" i="25"/>
  <c r="Z2907" i="25"/>
  <c r="AA2907" i="25"/>
  <c r="V2915" i="25"/>
  <c r="W2915" i="25"/>
  <c r="X2915" i="25"/>
  <c r="Y2915" i="25"/>
  <c r="Z2915" i="25"/>
  <c r="AA2915" i="25"/>
  <c r="V2923" i="25"/>
  <c r="W2923" i="25"/>
  <c r="X2923" i="25"/>
  <c r="Y2923" i="25"/>
  <c r="Z2923" i="25"/>
  <c r="AA2923" i="25"/>
  <c r="V2931" i="25"/>
  <c r="W2931" i="25"/>
  <c r="X2931" i="25"/>
  <c r="Y2931" i="25"/>
  <c r="Z2931" i="25"/>
  <c r="AA2931" i="25"/>
  <c r="V2939" i="25"/>
  <c r="W2939" i="25"/>
  <c r="X2939" i="25"/>
  <c r="Y2939" i="25"/>
  <c r="Z2939" i="25"/>
  <c r="AA2939" i="25"/>
  <c r="V2947" i="25"/>
  <c r="W2947" i="25"/>
  <c r="X2947" i="25"/>
  <c r="Y2947" i="25"/>
  <c r="Z2947" i="25"/>
  <c r="AA2947" i="25"/>
  <c r="V2955" i="25"/>
  <c r="W2955" i="25"/>
  <c r="X2955" i="25"/>
  <c r="Y2955" i="25"/>
  <c r="Z2955" i="25"/>
  <c r="AA2955" i="25"/>
  <c r="V2969" i="25"/>
  <c r="W2969" i="25"/>
  <c r="X2969" i="25"/>
  <c r="Y2969" i="25"/>
  <c r="Z2969" i="25"/>
  <c r="AA2969" i="25"/>
  <c r="V2980" i="25"/>
  <c r="W2980" i="25"/>
  <c r="X2980" i="25"/>
  <c r="Y2980" i="25"/>
  <c r="Z2980" i="25"/>
  <c r="AA2980" i="25"/>
  <c r="V2988" i="25"/>
  <c r="W2988" i="25"/>
  <c r="AA2988" i="25"/>
  <c r="X2988" i="25"/>
  <c r="Y2988" i="25"/>
  <c r="V3000" i="25"/>
  <c r="W3000" i="25"/>
  <c r="X3000" i="25"/>
  <c r="Y3000" i="25"/>
  <c r="Z3000" i="25"/>
  <c r="AA3000" i="25"/>
  <c r="V3008" i="25"/>
  <c r="W3008" i="25"/>
  <c r="X3008" i="25"/>
  <c r="Y3008" i="25"/>
  <c r="Z3008" i="25"/>
  <c r="AA3008" i="25"/>
  <c r="V3016" i="25"/>
  <c r="W3016" i="25"/>
  <c r="Y3016" i="25"/>
  <c r="Z3016" i="25"/>
  <c r="AA3016" i="25"/>
  <c r="V3024" i="25"/>
  <c r="W3024" i="25"/>
  <c r="AA3024" i="25"/>
  <c r="X3024" i="25"/>
  <c r="Y3024" i="25"/>
  <c r="V3032" i="25"/>
  <c r="W3032" i="25"/>
  <c r="X3032" i="25"/>
  <c r="Y3032" i="25"/>
  <c r="Z3032" i="25"/>
  <c r="AA3032" i="25"/>
  <c r="V3040" i="25"/>
  <c r="W3040" i="25"/>
  <c r="X3040" i="25"/>
  <c r="Y3040" i="25"/>
  <c r="Z3040" i="25"/>
  <c r="AA3040" i="25"/>
  <c r="V3048" i="25"/>
  <c r="W3048" i="25"/>
  <c r="Y3048" i="25"/>
  <c r="Z3048" i="25"/>
  <c r="AA3048" i="25"/>
  <c r="V3056" i="25"/>
  <c r="W3056" i="25"/>
  <c r="AA3056" i="25"/>
  <c r="X3056" i="25"/>
  <c r="Y3056" i="25"/>
  <c r="V3064" i="25"/>
  <c r="W3064" i="25"/>
  <c r="X3064" i="25"/>
  <c r="Y3064" i="25"/>
  <c r="Z3064" i="25"/>
  <c r="AA3064" i="25"/>
  <c r="V3072" i="25"/>
  <c r="W3072" i="25"/>
  <c r="X3072" i="25"/>
  <c r="Y3072" i="25"/>
  <c r="Z3072" i="25"/>
  <c r="AA3072" i="25"/>
  <c r="V3080" i="25"/>
  <c r="W3080" i="25"/>
  <c r="Z3080" i="25"/>
  <c r="AA3080" i="25"/>
  <c r="V3088" i="25"/>
  <c r="W3088" i="25"/>
  <c r="X3088" i="25"/>
  <c r="Y3088" i="25"/>
  <c r="V3096" i="25"/>
  <c r="W3096" i="25"/>
  <c r="X3096" i="25"/>
  <c r="Y3096" i="25"/>
  <c r="Z3096" i="25"/>
  <c r="AA3096" i="25"/>
  <c r="V3104" i="25"/>
  <c r="W3104" i="25"/>
  <c r="X3104" i="25"/>
  <c r="Y3104" i="25"/>
  <c r="Z3104" i="25"/>
  <c r="AA3104" i="25"/>
  <c r="V3112" i="25"/>
  <c r="W3112" i="25"/>
  <c r="Z3112" i="25"/>
  <c r="AA3112" i="25"/>
  <c r="V3120" i="25"/>
  <c r="W3120" i="25"/>
  <c r="X3120" i="25"/>
  <c r="Y3120" i="25"/>
  <c r="V3128" i="25"/>
  <c r="W3128" i="25"/>
  <c r="X3128" i="25"/>
  <c r="Y3128" i="25"/>
  <c r="Z3128" i="25"/>
  <c r="AA3128" i="25"/>
  <c r="V3136" i="25"/>
  <c r="W3136" i="25"/>
  <c r="X3136" i="25"/>
  <c r="Y3136" i="25"/>
  <c r="Z3136" i="25"/>
  <c r="AA3136" i="25"/>
  <c r="V3144" i="25"/>
  <c r="W3144" i="25"/>
  <c r="Z3144" i="25"/>
  <c r="AA3144" i="25"/>
  <c r="V3155" i="25"/>
  <c r="W3155" i="25"/>
  <c r="X3155" i="25"/>
  <c r="Y3155" i="25"/>
  <c r="V3163" i="25"/>
  <c r="W3163" i="25"/>
  <c r="X3163" i="25"/>
  <c r="Y3163" i="25"/>
  <c r="Z3163" i="25"/>
  <c r="AA3163" i="25"/>
  <c r="V3171" i="25"/>
  <c r="W3171" i="25"/>
  <c r="X3171" i="25"/>
  <c r="Y3171" i="25"/>
  <c r="Z3171" i="25"/>
  <c r="AA3171" i="25"/>
  <c r="V3179" i="25"/>
  <c r="W3179" i="25"/>
  <c r="Z3179" i="25"/>
  <c r="AA3179" i="25"/>
  <c r="V3188" i="25"/>
  <c r="Z3188" i="25"/>
  <c r="AA3188" i="25"/>
  <c r="W3188" i="25"/>
  <c r="V3208" i="25"/>
  <c r="Z3208" i="25"/>
  <c r="AA3208" i="25"/>
  <c r="W3208" i="25"/>
  <c r="V3216" i="25"/>
  <c r="Z3216" i="25"/>
  <c r="AA3216" i="25"/>
  <c r="W3216" i="25"/>
  <c r="V3224" i="25"/>
  <c r="Z3224" i="25"/>
  <c r="AA3224" i="25"/>
  <c r="W3224" i="25"/>
  <c r="V3233" i="25"/>
  <c r="Z3233" i="25"/>
  <c r="AA3233" i="25"/>
  <c r="W3233" i="25"/>
  <c r="V3241" i="25"/>
  <c r="Z3241" i="25"/>
  <c r="AA3241" i="25"/>
  <c r="W3241" i="25"/>
  <c r="V3249" i="25"/>
  <c r="Z3249" i="25"/>
  <c r="AA3249" i="25"/>
  <c r="W3249" i="25"/>
  <c r="V3257" i="25"/>
  <c r="Z3257" i="25"/>
  <c r="AA3257" i="25"/>
  <c r="W3257" i="25"/>
  <c r="V3265" i="25"/>
  <c r="Z3265" i="25"/>
  <c r="AA3265" i="25"/>
  <c r="W3265" i="25"/>
  <c r="V3273" i="25"/>
  <c r="Z3273" i="25"/>
  <c r="AA3273" i="25"/>
  <c r="W3273" i="25"/>
  <c r="V3281" i="25"/>
  <c r="Z3281" i="25"/>
  <c r="AA3281" i="25"/>
  <c r="W3281" i="25"/>
  <c r="V3289" i="25"/>
  <c r="Z3289" i="25"/>
  <c r="AA3289" i="25"/>
  <c r="W3289" i="25"/>
  <c r="V3297" i="25"/>
  <c r="Z3297" i="25"/>
  <c r="AA3297" i="25"/>
  <c r="W3297" i="25"/>
  <c r="V3305" i="25"/>
  <c r="Z3305" i="25"/>
  <c r="AA3305" i="25"/>
  <c r="W3305" i="25"/>
  <c r="V3313" i="25"/>
  <c r="Z3313" i="25"/>
  <c r="AA3313" i="25"/>
  <c r="W3313" i="25"/>
  <c r="V3321" i="25"/>
  <c r="Z3321" i="25"/>
  <c r="AA3321" i="25"/>
  <c r="W3321" i="25"/>
  <c r="V3329" i="25"/>
  <c r="Z3329" i="25"/>
  <c r="AA3329" i="25"/>
  <c r="W3329" i="25"/>
  <c r="V3337" i="25"/>
  <c r="Z3337" i="25"/>
  <c r="AA3337" i="25"/>
  <c r="W3337" i="25"/>
  <c r="V3345" i="25"/>
  <c r="Z3345" i="25"/>
  <c r="AA3345" i="25"/>
  <c r="W3345" i="25"/>
  <c r="V3353" i="25"/>
  <c r="Z3353" i="25"/>
  <c r="AA3353" i="25"/>
  <c r="W3353" i="25"/>
  <c r="V3361" i="25"/>
  <c r="Z3361" i="25"/>
  <c r="AA3361" i="25"/>
  <c r="W3361" i="25"/>
  <c r="V3369" i="25"/>
  <c r="Z3369" i="25"/>
  <c r="AA3369" i="25"/>
  <c r="W3369" i="25"/>
  <c r="V3377" i="25"/>
  <c r="Z3377" i="25"/>
  <c r="AA3377" i="25"/>
  <c r="W3377" i="25"/>
  <c r="V3385" i="25"/>
  <c r="Z3385" i="25"/>
  <c r="AA3385" i="25"/>
  <c r="W3385" i="25"/>
  <c r="V3393" i="25"/>
  <c r="Z3393" i="25"/>
  <c r="AA3393" i="25"/>
  <c r="W3393" i="25"/>
  <c r="V3401" i="25"/>
  <c r="Z3401" i="25"/>
  <c r="AA3401" i="25"/>
  <c r="W3401" i="25"/>
  <c r="V3409" i="25"/>
  <c r="Z3409" i="25"/>
  <c r="W3409" i="25"/>
  <c r="V3417" i="25"/>
  <c r="Z3417" i="25"/>
  <c r="W3417" i="25"/>
  <c r="V3425" i="25"/>
  <c r="Z3425" i="25"/>
  <c r="W3425" i="25"/>
  <c r="V3433" i="25"/>
  <c r="Z3433" i="25"/>
  <c r="W3433" i="25"/>
  <c r="V3441" i="25"/>
  <c r="Z3441" i="25"/>
  <c r="W3441" i="25"/>
  <c r="V3449" i="25"/>
  <c r="Z3449" i="25"/>
  <c r="W3449" i="25"/>
  <c r="V3457" i="25"/>
  <c r="Z3457" i="25"/>
  <c r="W3457" i="25"/>
  <c r="V3465" i="25"/>
  <c r="Z3465" i="25"/>
  <c r="W3465" i="25"/>
  <c r="V3473" i="25"/>
  <c r="Z3473" i="25"/>
  <c r="W3473" i="25"/>
  <c r="V3481" i="25"/>
  <c r="Z3481" i="25"/>
  <c r="W3481" i="25"/>
  <c r="V3489" i="25"/>
  <c r="Z3489" i="25"/>
  <c r="W3489" i="25"/>
  <c r="V3497" i="25"/>
  <c r="Z3497" i="25"/>
  <c r="W3497" i="25"/>
  <c r="V3505" i="25"/>
  <c r="Z3505" i="25"/>
  <c r="W3505" i="25"/>
  <c r="V3513" i="25"/>
  <c r="Z3513" i="25"/>
  <c r="W3513" i="25"/>
  <c r="V3521" i="25"/>
  <c r="Z3521" i="25"/>
  <c r="W3521" i="25"/>
  <c r="AA3666" i="25"/>
  <c r="X3665" i="25"/>
  <c r="Z3663" i="25"/>
  <c r="W3662" i="25"/>
  <c r="Y3660" i="25"/>
  <c r="AA3658" i="25"/>
  <c r="X3657" i="25"/>
  <c r="Z3655" i="25"/>
  <c r="W3654" i="25"/>
  <c r="Y3652" i="25"/>
  <c r="AA3650" i="25"/>
  <c r="X3649" i="25"/>
  <c r="Z3647" i="25"/>
  <c r="W3646" i="25"/>
  <c r="Y3644" i="25"/>
  <c r="AA3642" i="25"/>
  <c r="X3641" i="25"/>
  <c r="Z3639" i="25"/>
  <c r="W3638" i="25"/>
  <c r="Y3636" i="25"/>
  <c r="AA3634" i="25"/>
  <c r="X3633" i="25"/>
  <c r="Z3631" i="25"/>
  <c r="W3625" i="25"/>
  <c r="Y3623" i="25"/>
  <c r="X3621" i="25"/>
  <c r="Z3619" i="25"/>
  <c r="W3618" i="25"/>
  <c r="Y3616" i="25"/>
  <c r="AA3613" i="25"/>
  <c r="X3612" i="25"/>
  <c r="Z3610" i="25"/>
  <c r="W3609" i="25"/>
  <c r="Y3607" i="25"/>
  <c r="AA3605" i="25"/>
  <c r="X3604" i="25"/>
  <c r="Z3602" i="25"/>
  <c r="W3601" i="25"/>
  <c r="Y3599" i="25"/>
  <c r="AA3597" i="25"/>
  <c r="X3596" i="25"/>
  <c r="Z3594" i="25"/>
  <c r="W3593" i="25"/>
  <c r="Y3591" i="25"/>
  <c r="AA3589" i="25"/>
  <c r="X3588" i="25"/>
  <c r="Z3586" i="25"/>
  <c r="W3585" i="25"/>
  <c r="Y3583" i="25"/>
  <c r="AA3581" i="25"/>
  <c r="X3580" i="25"/>
  <c r="Z3578" i="25"/>
  <c r="W3577" i="25"/>
  <c r="Y3575" i="25"/>
  <c r="AA3573" i="25"/>
  <c r="X3572" i="25"/>
  <c r="Z3570" i="25"/>
  <c r="W3569" i="25"/>
  <c r="Y3567" i="25"/>
  <c r="AA3565" i="25"/>
  <c r="X3564" i="25"/>
  <c r="Z3562" i="25"/>
  <c r="W3561" i="25"/>
  <c r="Y3559" i="25"/>
  <c r="AA3557" i="25"/>
  <c r="X3556" i="25"/>
  <c r="Z3554" i="25"/>
  <c r="W3553" i="25"/>
  <c r="Y3551" i="25"/>
  <c r="AA3549" i="25"/>
  <c r="X3548" i="25"/>
  <c r="Z3546" i="25"/>
  <c r="W3545" i="25"/>
  <c r="Y3543" i="25"/>
  <c r="AA3541" i="25"/>
  <c r="X3540" i="25"/>
  <c r="Z3538" i="25"/>
  <c r="W3537" i="25"/>
  <c r="Y3535" i="25"/>
  <c r="AA3533" i="25"/>
  <c r="X3532" i="25"/>
  <c r="Z3530" i="25"/>
  <c r="W3529" i="25"/>
  <c r="Y3527" i="25"/>
  <c r="AA3525" i="25"/>
  <c r="X3524" i="25"/>
  <c r="X3520" i="25"/>
  <c r="W3518" i="25"/>
  <c r="AA3515" i="25"/>
  <c r="AA3513" i="25"/>
  <c r="Z3511" i="25"/>
  <c r="Y3509" i="25"/>
  <c r="Y3507" i="25"/>
  <c r="X3505" i="25"/>
  <c r="W3503" i="25"/>
  <c r="W3501" i="25"/>
  <c r="Z3496" i="25"/>
  <c r="Z3494" i="25"/>
  <c r="Y3492" i="25"/>
  <c r="X3488" i="25"/>
  <c r="W3486" i="25"/>
  <c r="AA3483" i="25"/>
  <c r="AA3481" i="25"/>
  <c r="Z3479" i="25"/>
  <c r="Y3477" i="25"/>
  <c r="Y3475" i="25"/>
  <c r="X3473" i="25"/>
  <c r="W3471" i="25"/>
  <c r="W3469" i="25"/>
  <c r="Z3464" i="25"/>
  <c r="Z3462" i="25"/>
  <c r="Y3460" i="25"/>
  <c r="X3456" i="25"/>
  <c r="W3454" i="25"/>
  <c r="AA3451" i="25"/>
  <c r="AA3449" i="25"/>
  <c r="Z3447" i="25"/>
  <c r="Y3445" i="25"/>
  <c r="Y3443" i="25"/>
  <c r="X3441" i="25"/>
  <c r="W3439" i="25"/>
  <c r="W3437" i="25"/>
  <c r="Z3432" i="25"/>
  <c r="Z3430" i="25"/>
  <c r="Y3428" i="25"/>
  <c r="X3424" i="25"/>
  <c r="W3422" i="25"/>
  <c r="AA3419" i="25"/>
  <c r="AA3417" i="25"/>
  <c r="Z3415" i="25"/>
  <c r="Y3413" i="25"/>
  <c r="Y3411" i="25"/>
  <c r="X3409" i="25"/>
  <c r="W3407" i="25"/>
  <c r="Y3396" i="25"/>
  <c r="W3390" i="25"/>
  <c r="Z3383" i="25"/>
  <c r="X3377" i="25"/>
  <c r="Y3364" i="25"/>
  <c r="W3358" i="25"/>
  <c r="Z3351" i="25"/>
  <c r="X3345" i="25"/>
  <c r="Y3332" i="25"/>
  <c r="W3326" i="25"/>
  <c r="Z3319" i="25"/>
  <c r="X3313" i="25"/>
  <c r="Y3300" i="25"/>
  <c r="W3294" i="25"/>
  <c r="Z3287" i="25"/>
  <c r="X3281" i="25"/>
  <c r="Y3268" i="25"/>
  <c r="W3262" i="25"/>
  <c r="Z3255" i="25"/>
  <c r="X3249" i="25"/>
  <c r="Y3236" i="25"/>
  <c r="W3229" i="25"/>
  <c r="Z3222" i="25"/>
  <c r="X3216" i="25"/>
  <c r="Y3194" i="25"/>
  <c r="Y3183" i="25"/>
  <c r="AA3174" i="25"/>
  <c r="Y3166" i="25"/>
  <c r="AA3157" i="25"/>
  <c r="X3146" i="25"/>
  <c r="Z3120" i="25"/>
  <c r="X3112" i="25"/>
  <c r="Z3103" i="25"/>
  <c r="W3095" i="25"/>
  <c r="Z3086" i="25"/>
  <c r="W3078" i="25"/>
  <c r="Y3067" i="25"/>
  <c r="X3050" i="25"/>
  <c r="X3016" i="25"/>
  <c r="W2998" i="25"/>
  <c r="W2953" i="25"/>
  <c r="AA2901" i="25"/>
  <c r="Z2850" i="25"/>
  <c r="Y2799" i="25"/>
  <c r="Y2713" i="25"/>
  <c r="Y2460" i="25"/>
  <c r="V1287" i="25"/>
  <c r="Y1287" i="25"/>
  <c r="W1287" i="25"/>
  <c r="X1287" i="25"/>
  <c r="Z1287" i="25"/>
  <c r="AA1287" i="25"/>
  <c r="V1295" i="25"/>
  <c r="Y1295" i="25"/>
  <c r="W1295" i="25"/>
  <c r="X1295" i="25"/>
  <c r="Z1295" i="25"/>
  <c r="AA1295" i="25"/>
  <c r="V1303" i="25"/>
  <c r="Y1303" i="25"/>
  <c r="W1303" i="25"/>
  <c r="X1303" i="25"/>
  <c r="Z1303" i="25"/>
  <c r="AA1303" i="25"/>
  <c r="V1311" i="25"/>
  <c r="Y1311" i="25"/>
  <c r="Z1311" i="25"/>
  <c r="AA1311" i="25"/>
  <c r="W1311" i="25"/>
  <c r="X1311" i="25"/>
  <c r="V1319" i="25"/>
  <c r="Y1319" i="25"/>
  <c r="W1319" i="25"/>
  <c r="X1319" i="25"/>
  <c r="Z1319" i="25"/>
  <c r="AA1319" i="25"/>
  <c r="V1327" i="25"/>
  <c r="W1327" i="25"/>
  <c r="X1327" i="25"/>
  <c r="Y1327" i="25"/>
  <c r="Z1327" i="25"/>
  <c r="AA1327" i="25"/>
  <c r="V1335" i="25"/>
  <c r="W1335" i="25"/>
  <c r="X1335" i="25"/>
  <c r="Y1335" i="25"/>
  <c r="Z1335" i="25"/>
  <c r="AA1335" i="25"/>
  <c r="V1343" i="25"/>
  <c r="W1343" i="25"/>
  <c r="X1343" i="25"/>
  <c r="Y1343" i="25"/>
  <c r="Z1343" i="25"/>
  <c r="AA1343" i="25"/>
  <c r="V1351" i="25"/>
  <c r="W1351" i="25"/>
  <c r="X1351" i="25"/>
  <c r="Y1351" i="25"/>
  <c r="Z1351" i="25"/>
  <c r="AA1351" i="25"/>
  <c r="V1359" i="25"/>
  <c r="W1359" i="25"/>
  <c r="X1359" i="25"/>
  <c r="Y1359" i="25"/>
  <c r="Z1359" i="25"/>
  <c r="AA1359" i="25"/>
  <c r="V1367" i="25"/>
  <c r="W1367" i="25"/>
  <c r="X1367" i="25"/>
  <c r="Y1367" i="25"/>
  <c r="Z1367" i="25"/>
  <c r="AA1367" i="25"/>
  <c r="V1375" i="25"/>
  <c r="W1375" i="25"/>
  <c r="X1375" i="25"/>
  <c r="Y1375" i="25"/>
  <c r="Z1375" i="25"/>
  <c r="AA1375" i="25"/>
  <c r="V1383" i="25"/>
  <c r="W1383" i="25"/>
  <c r="X1383" i="25"/>
  <c r="Y1383" i="25"/>
  <c r="Z1383" i="25"/>
  <c r="AA1383" i="25"/>
  <c r="V1391" i="25"/>
  <c r="W1391" i="25"/>
  <c r="X1391" i="25"/>
  <c r="Y1391" i="25"/>
  <c r="Z1391" i="25"/>
  <c r="AA1391" i="25"/>
  <c r="V1399" i="25"/>
  <c r="W1399" i="25"/>
  <c r="X1399" i="25"/>
  <c r="Y1399" i="25"/>
  <c r="Z1399" i="25"/>
  <c r="AA1399" i="25"/>
  <c r="V1407" i="25"/>
  <c r="W1407" i="25"/>
  <c r="X1407" i="25"/>
  <c r="Y1407" i="25"/>
  <c r="Z1407" i="25"/>
  <c r="AA1407" i="25"/>
  <c r="V1415" i="25"/>
  <c r="W1415" i="25"/>
  <c r="X1415" i="25"/>
  <c r="Y1415" i="25"/>
  <c r="Z1415" i="25"/>
  <c r="AA1415" i="25"/>
  <c r="V1423" i="25"/>
  <c r="W1423" i="25"/>
  <c r="X1423" i="25"/>
  <c r="Y1423" i="25"/>
  <c r="Z1423" i="25"/>
  <c r="AA1423" i="25"/>
  <c r="V1431" i="25"/>
  <c r="W1431" i="25"/>
  <c r="X1431" i="25"/>
  <c r="Y1431" i="25"/>
  <c r="Z1431" i="25"/>
  <c r="AA1431" i="25"/>
  <c r="V1439" i="25"/>
  <c r="W1439" i="25"/>
  <c r="X1439" i="25"/>
  <c r="Y1439" i="25"/>
  <c r="Z1439" i="25"/>
  <c r="AA1439" i="25"/>
  <c r="V1447" i="25"/>
  <c r="W1447" i="25"/>
  <c r="X1447" i="25"/>
  <c r="Y1447" i="25"/>
  <c r="Z1447" i="25"/>
  <c r="AA1447" i="25"/>
  <c r="V1455" i="25"/>
  <c r="W1455" i="25"/>
  <c r="X1455" i="25"/>
  <c r="Y1455" i="25"/>
  <c r="Z1455" i="25"/>
  <c r="AA1455" i="25"/>
  <c r="V1463" i="25"/>
  <c r="W1463" i="25"/>
  <c r="X1463" i="25"/>
  <c r="Y1463" i="25"/>
  <c r="Z1463" i="25"/>
  <c r="AA1463" i="25"/>
  <c r="V1471" i="25"/>
  <c r="W1471" i="25"/>
  <c r="X1471" i="25"/>
  <c r="Y1471" i="25"/>
  <c r="Z1471" i="25"/>
  <c r="AA1471" i="25"/>
  <c r="V1479" i="25"/>
  <c r="W1479" i="25"/>
  <c r="X1479" i="25"/>
  <c r="Y1479" i="25"/>
  <c r="Z1479" i="25"/>
  <c r="AA1479" i="25"/>
  <c r="V1487" i="25"/>
  <c r="W1487" i="25"/>
  <c r="X1487" i="25"/>
  <c r="Y1487" i="25"/>
  <c r="Z1487" i="25"/>
  <c r="AA1487" i="25"/>
  <c r="V1495" i="25"/>
  <c r="W1495" i="25"/>
  <c r="X1495" i="25"/>
  <c r="Y1495" i="25"/>
  <c r="Z1495" i="25"/>
  <c r="AA1495" i="25"/>
  <c r="V1503" i="25"/>
  <c r="Z1503" i="25"/>
  <c r="Y1503" i="25"/>
  <c r="AA1503" i="25"/>
  <c r="W1503" i="25"/>
  <c r="X1503" i="25"/>
  <c r="V1511" i="25"/>
  <c r="Z1511" i="25"/>
  <c r="W1511" i="25"/>
  <c r="X1511" i="25"/>
  <c r="Y1511" i="25"/>
  <c r="AA1511" i="25"/>
  <c r="V1519" i="25"/>
  <c r="Z1519" i="25"/>
  <c r="W1519" i="25"/>
  <c r="X1519" i="25"/>
  <c r="Y1519" i="25"/>
  <c r="AA1519" i="25"/>
  <c r="V1527" i="25"/>
  <c r="Z1527" i="25"/>
  <c r="W1527" i="25"/>
  <c r="X1527" i="25"/>
  <c r="Y1527" i="25"/>
  <c r="AA1527" i="25"/>
  <c r="V1535" i="25"/>
  <c r="Z1535" i="25"/>
  <c r="Y1535" i="25"/>
  <c r="AA1535" i="25"/>
  <c r="W1535" i="25"/>
  <c r="X1535" i="25"/>
  <c r="V1543" i="25"/>
  <c r="Z1543" i="25"/>
  <c r="W1543" i="25"/>
  <c r="X1543" i="25"/>
  <c r="Y1543" i="25"/>
  <c r="AA1543" i="25"/>
  <c r="V1551" i="25"/>
  <c r="Z1551" i="25"/>
  <c r="W1551" i="25"/>
  <c r="X1551" i="25"/>
  <c r="Y1551" i="25"/>
  <c r="AA1551" i="25"/>
  <c r="V1559" i="25"/>
  <c r="Z1559" i="25"/>
  <c r="W1559" i="25"/>
  <c r="X1559" i="25"/>
  <c r="Y1559" i="25"/>
  <c r="AA1559" i="25"/>
  <c r="V1567" i="25"/>
  <c r="Z1567" i="25"/>
  <c r="W1567" i="25"/>
  <c r="X1567" i="25"/>
  <c r="Y1567" i="25"/>
  <c r="AA1567" i="25"/>
  <c r="V1575" i="25"/>
  <c r="AA1575" i="25"/>
  <c r="W1575" i="25"/>
  <c r="X1575" i="25"/>
  <c r="Y1575" i="25"/>
  <c r="Z1575" i="25"/>
  <c r="V1583" i="25"/>
  <c r="AA1583" i="25"/>
  <c r="W1583" i="25"/>
  <c r="X1583" i="25"/>
  <c r="Y1583" i="25"/>
  <c r="Z1583" i="25"/>
  <c r="V1591" i="25"/>
  <c r="W1591" i="25"/>
  <c r="X1591" i="25"/>
  <c r="Y1591" i="25"/>
  <c r="Z1591" i="25"/>
  <c r="AA1591" i="25"/>
  <c r="V1599" i="25"/>
  <c r="W1599" i="25"/>
  <c r="X1599" i="25"/>
  <c r="Y1599" i="25"/>
  <c r="Z1599" i="25"/>
  <c r="AA1599" i="25"/>
  <c r="V1607" i="25"/>
  <c r="W1607" i="25"/>
  <c r="X1607" i="25"/>
  <c r="Y1607" i="25"/>
  <c r="Z1607" i="25"/>
  <c r="AA1607" i="25"/>
  <c r="V1615" i="25"/>
  <c r="W1615" i="25"/>
  <c r="X1615" i="25"/>
  <c r="Y1615" i="25"/>
  <c r="Z1615" i="25"/>
  <c r="AA1615" i="25"/>
  <c r="V1623" i="25"/>
  <c r="W1623" i="25"/>
  <c r="X1623" i="25"/>
  <c r="Y1623" i="25"/>
  <c r="Z1623" i="25"/>
  <c r="AA1623" i="25"/>
  <c r="V1631" i="25"/>
  <c r="W1631" i="25"/>
  <c r="X1631" i="25"/>
  <c r="Y1631" i="25"/>
  <c r="Z1631" i="25"/>
  <c r="AA1631" i="25"/>
  <c r="V1639" i="25"/>
  <c r="W1639" i="25"/>
  <c r="X1639" i="25"/>
  <c r="Y1639" i="25"/>
  <c r="Z1639" i="25"/>
  <c r="AA1639" i="25"/>
  <c r="V1647" i="25"/>
  <c r="W1647" i="25"/>
  <c r="X1647" i="25"/>
  <c r="Y1647" i="25"/>
  <c r="Z1647" i="25"/>
  <c r="AA1647" i="25"/>
  <c r="V1655" i="25"/>
  <c r="W1655" i="25"/>
  <c r="X1655" i="25"/>
  <c r="Y1655" i="25"/>
  <c r="Z1655" i="25"/>
  <c r="AA1655" i="25"/>
  <c r="V1663" i="25"/>
  <c r="W1663" i="25"/>
  <c r="X1663" i="25"/>
  <c r="Y1663" i="25"/>
  <c r="Z1663" i="25"/>
  <c r="AA1663" i="25"/>
  <c r="V1671" i="25"/>
  <c r="W1671" i="25"/>
  <c r="X1671" i="25"/>
  <c r="Y1671" i="25"/>
  <c r="Z1671" i="25"/>
  <c r="AA1671" i="25"/>
  <c r="V1679" i="25"/>
  <c r="W1679" i="25"/>
  <c r="X1679" i="25"/>
  <c r="Y1679" i="25"/>
  <c r="Z1679" i="25"/>
  <c r="AA1679" i="25"/>
  <c r="V1687" i="25"/>
  <c r="W1687" i="25"/>
  <c r="X1687" i="25"/>
  <c r="Y1687" i="25"/>
  <c r="Z1687" i="25"/>
  <c r="AA1687" i="25"/>
  <c r="V1695" i="25"/>
  <c r="W1695" i="25"/>
  <c r="X1695" i="25"/>
  <c r="Y1695" i="25"/>
  <c r="Z1695" i="25"/>
  <c r="AA1695" i="25"/>
  <c r="V1703" i="25"/>
  <c r="W1703" i="25"/>
  <c r="X1703" i="25"/>
  <c r="Y1703" i="25"/>
  <c r="Z1703" i="25"/>
  <c r="AA1703" i="25"/>
  <c r="V1711" i="25"/>
  <c r="W1711" i="25"/>
  <c r="X1711" i="25"/>
  <c r="Y1711" i="25"/>
  <c r="Z1711" i="25"/>
  <c r="AA1711" i="25"/>
  <c r="V1719" i="25"/>
  <c r="W1719" i="25"/>
  <c r="X1719" i="25"/>
  <c r="Y1719" i="25"/>
  <c r="Z1719" i="25"/>
  <c r="AA1719" i="25"/>
  <c r="V1727" i="25"/>
  <c r="W1727" i="25"/>
  <c r="X1727" i="25"/>
  <c r="Y1727" i="25"/>
  <c r="Z1727" i="25"/>
  <c r="AA1727" i="25"/>
  <c r="V1735" i="25"/>
  <c r="W1735" i="25"/>
  <c r="X1735" i="25"/>
  <c r="Y1735" i="25"/>
  <c r="Z1735" i="25"/>
  <c r="AA1735" i="25"/>
  <c r="V1743" i="25"/>
  <c r="W1743" i="25"/>
  <c r="X1743" i="25"/>
  <c r="Y1743" i="25"/>
  <c r="Z1743" i="25"/>
  <c r="AA1743" i="25"/>
  <c r="V1751" i="25"/>
  <c r="W1751" i="25"/>
  <c r="X1751" i="25"/>
  <c r="Y1751" i="25"/>
  <c r="Z1751" i="25"/>
  <c r="AA1751" i="25"/>
  <c r="V1759" i="25"/>
  <c r="W1759" i="25"/>
  <c r="X1759" i="25"/>
  <c r="Y1759" i="25"/>
  <c r="Z1759" i="25"/>
  <c r="AA1759" i="25"/>
  <c r="V1767" i="25"/>
  <c r="W1767" i="25"/>
  <c r="X1767" i="25"/>
  <c r="Y1767" i="25"/>
  <c r="Z1767" i="25"/>
  <c r="AA1767" i="25"/>
  <c r="V1775" i="25"/>
  <c r="W1775" i="25"/>
  <c r="X1775" i="25"/>
  <c r="Y1775" i="25"/>
  <c r="Z1775" i="25"/>
  <c r="AA1775" i="25"/>
  <c r="V1783" i="25"/>
  <c r="W1783" i="25"/>
  <c r="X1783" i="25"/>
  <c r="Y1783" i="25"/>
  <c r="Z1783" i="25"/>
  <c r="AA1783" i="25"/>
  <c r="V1791" i="25"/>
  <c r="W1791" i="25"/>
  <c r="X1791" i="25"/>
  <c r="Y1791" i="25"/>
  <c r="Z1791" i="25"/>
  <c r="AA1791" i="25"/>
  <c r="V1799" i="25"/>
  <c r="W1799" i="25"/>
  <c r="X1799" i="25"/>
  <c r="Y1799" i="25"/>
  <c r="Z1799" i="25"/>
  <c r="AA1799" i="25"/>
  <c r="V1807" i="25"/>
  <c r="W1807" i="25"/>
  <c r="X1807" i="25"/>
  <c r="Y1807" i="25"/>
  <c r="Z1807" i="25"/>
  <c r="AA1807" i="25"/>
  <c r="V1815" i="25"/>
  <c r="W1815" i="25"/>
  <c r="X1815" i="25"/>
  <c r="Y1815" i="25"/>
  <c r="Z1815" i="25"/>
  <c r="AA1815" i="25"/>
  <c r="V1823" i="25"/>
  <c r="W1823" i="25"/>
  <c r="X1823" i="25"/>
  <c r="Y1823" i="25"/>
  <c r="Z1823" i="25"/>
  <c r="AA1823" i="25"/>
  <c r="V1831" i="25"/>
  <c r="W1831" i="25"/>
  <c r="X1831" i="25"/>
  <c r="Y1831" i="25"/>
  <c r="Z1831" i="25"/>
  <c r="AA1831" i="25"/>
  <c r="V1839" i="25"/>
  <c r="W1839" i="25"/>
  <c r="X1839" i="25"/>
  <c r="Y1839" i="25"/>
  <c r="Z1839" i="25"/>
  <c r="AA1839" i="25"/>
  <c r="V1847" i="25"/>
  <c r="W1847" i="25"/>
  <c r="X1847" i="25"/>
  <c r="Y1847" i="25"/>
  <c r="Z1847" i="25"/>
  <c r="AA1847" i="25"/>
  <c r="V1855" i="25"/>
  <c r="W1855" i="25"/>
  <c r="X1855" i="25"/>
  <c r="Y1855" i="25"/>
  <c r="Z1855" i="25"/>
  <c r="AA1855" i="25"/>
  <c r="V1863" i="25"/>
  <c r="W1863" i="25"/>
  <c r="X1863" i="25"/>
  <c r="Y1863" i="25"/>
  <c r="Z1863" i="25"/>
  <c r="AA1863" i="25"/>
  <c r="V1871" i="25"/>
  <c r="W1871" i="25"/>
  <c r="X1871" i="25"/>
  <c r="Y1871" i="25"/>
  <c r="Z1871" i="25"/>
  <c r="AA1871" i="25"/>
  <c r="V1879" i="25"/>
  <c r="W1879" i="25"/>
  <c r="X1879" i="25"/>
  <c r="Y1879" i="25"/>
  <c r="Z1879" i="25"/>
  <c r="AA1879" i="25"/>
  <c r="V1887" i="25"/>
  <c r="W1887" i="25"/>
  <c r="X1887" i="25"/>
  <c r="Y1887" i="25"/>
  <c r="Z1887" i="25"/>
  <c r="AA1887" i="25"/>
  <c r="V1895" i="25"/>
  <c r="W1895" i="25"/>
  <c r="X1895" i="25"/>
  <c r="Y1895" i="25"/>
  <c r="Z1895" i="25"/>
  <c r="AA1895" i="25"/>
  <c r="V1903" i="25"/>
  <c r="W1903" i="25"/>
  <c r="X1903" i="25"/>
  <c r="Y1903" i="25"/>
  <c r="Z1903" i="25"/>
  <c r="AA1903" i="25"/>
  <c r="V1911" i="25"/>
  <c r="W1911" i="25"/>
  <c r="X1911" i="25"/>
  <c r="Y1911" i="25"/>
  <c r="Z1911" i="25"/>
  <c r="AA1911" i="25"/>
  <c r="V1919" i="25"/>
  <c r="Y1919" i="25"/>
  <c r="W1919" i="25"/>
  <c r="X1919" i="25"/>
  <c r="Z1919" i="25"/>
  <c r="AA1919" i="25"/>
  <c r="V1927" i="25"/>
  <c r="Y1927" i="25"/>
  <c r="W1927" i="25"/>
  <c r="X1927" i="25"/>
  <c r="Z1927" i="25"/>
  <c r="AA1927" i="25"/>
  <c r="V1935" i="25"/>
  <c r="Y1935" i="25"/>
  <c r="X1935" i="25"/>
  <c r="Z1935" i="25"/>
  <c r="AA1935" i="25"/>
  <c r="W1935" i="25"/>
  <c r="V1943" i="25"/>
  <c r="Y1943" i="25"/>
  <c r="AA1943" i="25"/>
  <c r="W1943" i="25"/>
  <c r="X1943" i="25"/>
  <c r="Z1943" i="25"/>
  <c r="V1951" i="25"/>
  <c r="Y1951" i="25"/>
  <c r="W1951" i="25"/>
  <c r="X1951" i="25"/>
  <c r="Z1951" i="25"/>
  <c r="AA1951" i="25"/>
  <c r="V1959" i="25"/>
  <c r="Y1959" i="25"/>
  <c r="W1959" i="25"/>
  <c r="X1959" i="25"/>
  <c r="Z1959" i="25"/>
  <c r="AA1959" i="25"/>
  <c r="V1967" i="25"/>
  <c r="Y1967" i="25"/>
  <c r="X1967" i="25"/>
  <c r="Z1967" i="25"/>
  <c r="AA1967" i="25"/>
  <c r="W1967" i="25"/>
  <c r="V1975" i="25"/>
  <c r="Y1975" i="25"/>
  <c r="AA1975" i="25"/>
  <c r="W1975" i="25"/>
  <c r="X1975" i="25"/>
  <c r="Z1975" i="25"/>
  <c r="V1983" i="25"/>
  <c r="Y1983" i="25"/>
  <c r="W1983" i="25"/>
  <c r="X1983" i="25"/>
  <c r="Z1983" i="25"/>
  <c r="AA1983" i="25"/>
  <c r="V1991" i="25"/>
  <c r="Y1991" i="25"/>
  <c r="W1991" i="25"/>
  <c r="X1991" i="25"/>
  <c r="Z1991" i="25"/>
  <c r="AA1991" i="25"/>
  <c r="V1999" i="25"/>
  <c r="Y1999" i="25"/>
  <c r="X1999" i="25"/>
  <c r="Z1999" i="25"/>
  <c r="AA1999" i="25"/>
  <c r="W1999" i="25"/>
  <c r="V2007" i="25"/>
  <c r="Y2007" i="25"/>
  <c r="AA2007" i="25"/>
  <c r="W2007" i="25"/>
  <c r="X2007" i="25"/>
  <c r="Z2007" i="25"/>
  <c r="V2014" i="25"/>
  <c r="Y2014" i="25"/>
  <c r="W2014" i="25"/>
  <c r="X2014" i="25"/>
  <c r="Z2014" i="25"/>
  <c r="AA2014" i="25"/>
  <c r="V2018" i="25"/>
  <c r="W2018" i="25"/>
  <c r="X2018" i="25"/>
  <c r="Y2018" i="25"/>
  <c r="Z2018" i="25"/>
  <c r="AA2018" i="25"/>
  <c r="V2022" i="25"/>
  <c r="W2022" i="25"/>
  <c r="X2022" i="25"/>
  <c r="Y2022" i="25"/>
  <c r="Z2022" i="25"/>
  <c r="AA2022" i="25"/>
  <c r="V2026" i="25"/>
  <c r="W2026" i="25"/>
  <c r="X2026" i="25"/>
  <c r="Y2026" i="25"/>
  <c r="Z2026" i="25"/>
  <c r="AA2026" i="25"/>
  <c r="V2049" i="25"/>
  <c r="W2049" i="25"/>
  <c r="X2049" i="25"/>
  <c r="Y2049" i="25"/>
  <c r="Z2049" i="25"/>
  <c r="AA2049" i="25"/>
  <c r="V2056" i="25"/>
  <c r="W2056" i="25"/>
  <c r="X2056" i="25"/>
  <c r="Y2056" i="25"/>
  <c r="Z2056" i="25"/>
  <c r="AA2056" i="25"/>
  <c r="V2064" i="25"/>
  <c r="W2064" i="25"/>
  <c r="X2064" i="25"/>
  <c r="Y2064" i="25"/>
  <c r="Z2064" i="25"/>
  <c r="AA2064" i="25"/>
  <c r="V2072" i="25"/>
  <c r="W2072" i="25"/>
  <c r="X2072" i="25"/>
  <c r="Y2072" i="25"/>
  <c r="Z2072" i="25"/>
  <c r="AA2072" i="25"/>
  <c r="V2080" i="25"/>
  <c r="W2080" i="25"/>
  <c r="X2080" i="25"/>
  <c r="Y2080" i="25"/>
  <c r="Z2080" i="25"/>
  <c r="AA2080" i="25"/>
  <c r="V2088" i="25"/>
  <c r="W2088" i="25"/>
  <c r="X2088" i="25"/>
  <c r="Y2088" i="25"/>
  <c r="Z2088" i="25"/>
  <c r="AA2088" i="25"/>
  <c r="V2096" i="25"/>
  <c r="W2096" i="25"/>
  <c r="X2096" i="25"/>
  <c r="Y2096" i="25"/>
  <c r="Z2096" i="25"/>
  <c r="AA2096" i="25"/>
  <c r="V2104" i="25"/>
  <c r="W2104" i="25"/>
  <c r="X2104" i="25"/>
  <c r="Y2104" i="25"/>
  <c r="Z2104" i="25"/>
  <c r="AA2104" i="25"/>
  <c r="V2112" i="25"/>
  <c r="W2112" i="25"/>
  <c r="X2112" i="25"/>
  <c r="Y2112" i="25"/>
  <c r="Z2112" i="25"/>
  <c r="AA2112" i="25"/>
  <c r="V2120" i="25"/>
  <c r="W2120" i="25"/>
  <c r="X2120" i="25"/>
  <c r="Y2120" i="25"/>
  <c r="Z2120" i="25"/>
  <c r="AA2120" i="25"/>
  <c r="V2128" i="25"/>
  <c r="W2128" i="25"/>
  <c r="X2128" i="25"/>
  <c r="Y2128" i="25"/>
  <c r="Z2128" i="25"/>
  <c r="AA2128" i="25"/>
  <c r="V2136" i="25"/>
  <c r="W2136" i="25"/>
  <c r="X2136" i="25"/>
  <c r="Y2136" i="25"/>
  <c r="Z2136" i="25"/>
  <c r="AA2136" i="25"/>
  <c r="V2144" i="25"/>
  <c r="W2144" i="25"/>
  <c r="X2144" i="25"/>
  <c r="Y2144" i="25"/>
  <c r="Z2144" i="25"/>
  <c r="AA2144" i="25"/>
  <c r="V2152" i="25"/>
  <c r="W2152" i="25"/>
  <c r="X2152" i="25"/>
  <c r="Y2152" i="25"/>
  <c r="Z2152" i="25"/>
  <c r="AA2152" i="25"/>
  <c r="V2160" i="25"/>
  <c r="W2160" i="25"/>
  <c r="X2160" i="25"/>
  <c r="Y2160" i="25"/>
  <c r="Z2160" i="25"/>
  <c r="AA2160" i="25"/>
  <c r="V2168" i="25"/>
  <c r="W2168" i="25"/>
  <c r="X2168" i="25"/>
  <c r="Y2168" i="25"/>
  <c r="Z2168" i="25"/>
  <c r="AA2168" i="25"/>
  <c r="V2176" i="25"/>
  <c r="W2176" i="25"/>
  <c r="X2176" i="25"/>
  <c r="Y2176" i="25"/>
  <c r="Z2176" i="25"/>
  <c r="AA2176" i="25"/>
  <c r="V2184" i="25"/>
  <c r="W2184" i="25"/>
  <c r="X2184" i="25"/>
  <c r="Y2184" i="25"/>
  <c r="Z2184" i="25"/>
  <c r="AA2184" i="25"/>
  <c r="V2192" i="25"/>
  <c r="W2192" i="25"/>
  <c r="X2192" i="25"/>
  <c r="Y2192" i="25"/>
  <c r="Z2192" i="25"/>
  <c r="AA2192" i="25"/>
  <c r="V2200" i="25"/>
  <c r="W2200" i="25"/>
  <c r="X2200" i="25"/>
  <c r="Y2200" i="25"/>
  <c r="Z2200" i="25"/>
  <c r="AA2200" i="25"/>
  <c r="V2208" i="25"/>
  <c r="W2208" i="25"/>
  <c r="X2208" i="25"/>
  <c r="Y2208" i="25"/>
  <c r="Z2208" i="25"/>
  <c r="AA2208" i="25"/>
  <c r="V2216" i="25"/>
  <c r="W2216" i="25"/>
  <c r="X2216" i="25"/>
  <c r="Y2216" i="25"/>
  <c r="Z2216" i="25"/>
  <c r="AA2216" i="25"/>
  <c r="V2224" i="25"/>
  <c r="W2224" i="25"/>
  <c r="X2224" i="25"/>
  <c r="Y2224" i="25"/>
  <c r="Z2224" i="25"/>
  <c r="AA2224" i="25"/>
  <c r="V2232" i="25"/>
  <c r="W2232" i="25"/>
  <c r="X2232" i="25"/>
  <c r="Y2232" i="25"/>
  <c r="Z2232" i="25"/>
  <c r="AA2232" i="25"/>
  <c r="V2240" i="25"/>
  <c r="W2240" i="25"/>
  <c r="X2240" i="25"/>
  <c r="Y2240" i="25"/>
  <c r="Z2240" i="25"/>
  <c r="AA2240" i="25"/>
  <c r="V2248" i="25"/>
  <c r="W2248" i="25"/>
  <c r="X2248" i="25"/>
  <c r="Y2248" i="25"/>
  <c r="Z2248" i="25"/>
  <c r="AA2248" i="25"/>
  <c r="V2256" i="25"/>
  <c r="W2256" i="25"/>
  <c r="X2256" i="25"/>
  <c r="Y2256" i="25"/>
  <c r="Z2256" i="25"/>
  <c r="AA2256" i="25"/>
  <c r="V2264" i="25"/>
  <c r="W2264" i="25"/>
  <c r="X2264" i="25"/>
  <c r="Y2264" i="25"/>
  <c r="Z2264" i="25"/>
  <c r="AA2264" i="25"/>
  <c r="V2272" i="25"/>
  <c r="W2272" i="25"/>
  <c r="X2272" i="25"/>
  <c r="Y2272" i="25"/>
  <c r="Z2272" i="25"/>
  <c r="AA2272" i="25"/>
  <c r="V2280" i="25"/>
  <c r="X2280" i="25"/>
  <c r="Z2280" i="25"/>
  <c r="Y2280" i="25"/>
  <c r="AA2280" i="25"/>
  <c r="W2280" i="25"/>
  <c r="V2288" i="25"/>
  <c r="X2288" i="25"/>
  <c r="Z2288" i="25"/>
  <c r="W2288" i="25"/>
  <c r="Y2288" i="25"/>
  <c r="AA2288" i="25"/>
  <c r="V2296" i="25"/>
  <c r="X2296" i="25"/>
  <c r="Z2296" i="25"/>
  <c r="W2296" i="25"/>
  <c r="Y2296" i="25"/>
  <c r="AA2296" i="25"/>
  <c r="V2304" i="25"/>
  <c r="X2304" i="25"/>
  <c r="Z2304" i="25"/>
  <c r="Y2304" i="25"/>
  <c r="AA2304" i="25"/>
  <c r="W2304" i="25"/>
  <c r="V2312" i="25"/>
  <c r="X2312" i="25"/>
  <c r="Z2312" i="25"/>
  <c r="W2312" i="25"/>
  <c r="AA2312" i="25"/>
  <c r="Y2312" i="25"/>
  <c r="V2320" i="25"/>
  <c r="X2320" i="25"/>
  <c r="Z2320" i="25"/>
  <c r="W2320" i="25"/>
  <c r="Y2320" i="25"/>
  <c r="AA2320" i="25"/>
  <c r="V2328" i="25"/>
  <c r="X2328" i="25"/>
  <c r="Z2328" i="25"/>
  <c r="W2328" i="25"/>
  <c r="Y2328" i="25"/>
  <c r="AA2328" i="25"/>
  <c r="V2336" i="25"/>
  <c r="X2336" i="25"/>
  <c r="Z2336" i="25"/>
  <c r="Y2336" i="25"/>
  <c r="AA2336" i="25"/>
  <c r="W2336" i="25"/>
  <c r="V2344" i="25"/>
  <c r="X2344" i="25"/>
  <c r="Z2344" i="25"/>
  <c r="W2344" i="25"/>
  <c r="Y2344" i="25"/>
  <c r="AA2344" i="25"/>
  <c r="V2352" i="25"/>
  <c r="X2352" i="25"/>
  <c r="Z2352" i="25"/>
  <c r="W2352" i="25"/>
  <c r="Y2352" i="25"/>
  <c r="AA2352" i="25"/>
  <c r="V2360" i="25"/>
  <c r="X2360" i="25"/>
  <c r="Z2360" i="25"/>
  <c r="W2360" i="25"/>
  <c r="Y2360" i="25"/>
  <c r="AA2360" i="25"/>
  <c r="V2368" i="25"/>
  <c r="X2368" i="25"/>
  <c r="Z2368" i="25"/>
  <c r="Y2368" i="25"/>
  <c r="AA2368" i="25"/>
  <c r="W2368" i="25"/>
  <c r="V2376" i="25"/>
  <c r="X2376" i="25"/>
  <c r="Z2376" i="25"/>
  <c r="W2376" i="25"/>
  <c r="Y2376" i="25"/>
  <c r="AA2376" i="25"/>
  <c r="V2384" i="25"/>
  <c r="X2384" i="25"/>
  <c r="Z2384" i="25"/>
  <c r="W2384" i="25"/>
  <c r="Y2384" i="25"/>
  <c r="AA2384" i="25"/>
  <c r="V2392" i="25"/>
  <c r="Z2392" i="25"/>
  <c r="W2392" i="25"/>
  <c r="X2392" i="25"/>
  <c r="Y2392" i="25"/>
  <c r="AA2392" i="25"/>
  <c r="V2400" i="25"/>
  <c r="W2400" i="25"/>
  <c r="X2400" i="25"/>
  <c r="Y2400" i="25"/>
  <c r="Z2400" i="25"/>
  <c r="AA2400" i="25"/>
  <c r="V2408" i="25"/>
  <c r="W2408" i="25"/>
  <c r="X2408" i="25"/>
  <c r="Y2408" i="25"/>
  <c r="Z2408" i="25"/>
  <c r="AA2408" i="25"/>
  <c r="V2416" i="25"/>
  <c r="W2416" i="25"/>
  <c r="X2416" i="25"/>
  <c r="Y2416" i="25"/>
  <c r="Z2416" i="25"/>
  <c r="AA2416" i="25"/>
  <c r="V2424" i="25"/>
  <c r="W2424" i="25"/>
  <c r="X2424" i="25"/>
  <c r="Y2424" i="25"/>
  <c r="Z2424" i="25"/>
  <c r="AA2424" i="25"/>
  <c r="V2432" i="25"/>
  <c r="W2432" i="25"/>
  <c r="X2432" i="25"/>
  <c r="Y2432" i="25"/>
  <c r="Z2432" i="25"/>
  <c r="AA2432" i="25"/>
  <c r="V2440" i="25"/>
  <c r="W2440" i="25"/>
  <c r="X2440" i="25"/>
  <c r="Y2440" i="25"/>
  <c r="Z2440" i="25"/>
  <c r="AA2440" i="25"/>
  <c r="V2448" i="25"/>
  <c r="W2448" i="25"/>
  <c r="X2448" i="25"/>
  <c r="Y2448" i="25"/>
  <c r="Z2448" i="25"/>
  <c r="AA2448" i="25"/>
  <c r="V2456" i="25"/>
  <c r="W2456" i="25"/>
  <c r="X2456" i="25"/>
  <c r="Y2456" i="25"/>
  <c r="Z2456" i="25"/>
  <c r="AA2456" i="25"/>
  <c r="V2464" i="25"/>
  <c r="W2464" i="25"/>
  <c r="X2464" i="25"/>
  <c r="Y2464" i="25"/>
  <c r="Z2464" i="25"/>
  <c r="AA2464" i="25"/>
  <c r="V2472" i="25"/>
  <c r="W2472" i="25"/>
  <c r="X2472" i="25"/>
  <c r="Y2472" i="25"/>
  <c r="Z2472" i="25"/>
  <c r="AA2472" i="25"/>
  <c r="V2480" i="25"/>
  <c r="W2480" i="25"/>
  <c r="X2480" i="25"/>
  <c r="Y2480" i="25"/>
  <c r="Z2480" i="25"/>
  <c r="AA2480" i="25"/>
  <c r="V2488" i="25"/>
  <c r="W2488" i="25"/>
  <c r="X2488" i="25"/>
  <c r="Y2488" i="25"/>
  <c r="Z2488" i="25"/>
  <c r="AA2488" i="25"/>
  <c r="V2496" i="25"/>
  <c r="W2496" i="25"/>
  <c r="X2496" i="25"/>
  <c r="Y2496" i="25"/>
  <c r="Z2496" i="25"/>
  <c r="AA2496" i="25"/>
  <c r="V2504" i="25"/>
  <c r="W2504" i="25"/>
  <c r="X2504" i="25"/>
  <c r="Y2504" i="25"/>
  <c r="Z2504" i="25"/>
  <c r="AA2504" i="25"/>
  <c r="V2512" i="25"/>
  <c r="W2512" i="25"/>
  <c r="X2512" i="25"/>
  <c r="Y2512" i="25"/>
  <c r="Z2512" i="25"/>
  <c r="AA2512" i="25"/>
  <c r="V2520" i="25"/>
  <c r="W2520" i="25"/>
  <c r="X2520" i="25"/>
  <c r="Y2520" i="25"/>
  <c r="Z2520" i="25"/>
  <c r="AA2520" i="25"/>
  <c r="V2528" i="25"/>
  <c r="W2528" i="25"/>
  <c r="X2528" i="25"/>
  <c r="Y2528" i="25"/>
  <c r="Z2528" i="25"/>
  <c r="AA2528" i="25"/>
  <c r="V2536" i="25"/>
  <c r="W2536" i="25"/>
  <c r="X2536" i="25"/>
  <c r="Y2536" i="25"/>
  <c r="Z2536" i="25"/>
  <c r="AA2536" i="25"/>
  <c r="V2544" i="25"/>
  <c r="W2544" i="25"/>
  <c r="X2544" i="25"/>
  <c r="Y2544" i="25"/>
  <c r="Z2544" i="25"/>
  <c r="AA2544" i="25"/>
  <c r="V2552" i="25"/>
  <c r="W2552" i="25"/>
  <c r="X2552" i="25"/>
  <c r="Y2552" i="25"/>
  <c r="Z2552" i="25"/>
  <c r="AA2552" i="25"/>
  <c r="V2560" i="25"/>
  <c r="W2560" i="25"/>
  <c r="X2560" i="25"/>
  <c r="Y2560" i="25"/>
  <c r="Z2560" i="25"/>
  <c r="AA2560" i="25"/>
  <c r="V2568" i="25"/>
  <c r="W2568" i="25"/>
  <c r="X2568" i="25"/>
  <c r="Y2568" i="25"/>
  <c r="Z2568" i="25"/>
  <c r="AA2568" i="25"/>
  <c r="V2576" i="25"/>
  <c r="W2576" i="25"/>
  <c r="X2576" i="25"/>
  <c r="Y2576" i="25"/>
  <c r="Z2576" i="25"/>
  <c r="AA2576" i="25"/>
  <c r="V2584" i="25"/>
  <c r="W2584" i="25"/>
  <c r="X2584" i="25"/>
  <c r="Y2584" i="25"/>
  <c r="Z2584" i="25"/>
  <c r="AA2584" i="25"/>
  <c r="V2592" i="25"/>
  <c r="W2592" i="25"/>
  <c r="X2592" i="25"/>
  <c r="Y2592" i="25"/>
  <c r="Z2592" i="25"/>
  <c r="AA2592" i="25"/>
  <c r="V2600" i="25"/>
  <c r="W2600" i="25"/>
  <c r="X2600" i="25"/>
  <c r="Y2600" i="25"/>
  <c r="Z2600" i="25"/>
  <c r="AA2600" i="25"/>
  <c r="V2608" i="25"/>
  <c r="W2608" i="25"/>
  <c r="X2608" i="25"/>
  <c r="Y2608" i="25"/>
  <c r="Z2608" i="25"/>
  <c r="AA2608" i="25"/>
  <c r="V2616" i="25"/>
  <c r="W2616" i="25"/>
  <c r="X2616" i="25"/>
  <c r="Y2616" i="25"/>
  <c r="Z2616" i="25"/>
  <c r="AA2616" i="25"/>
  <c r="V2624" i="25"/>
  <c r="W2624" i="25"/>
  <c r="X2624" i="25"/>
  <c r="Y2624" i="25"/>
  <c r="Z2624" i="25"/>
  <c r="AA2624" i="25"/>
  <c r="V2632" i="25"/>
  <c r="W2632" i="25"/>
  <c r="X2632" i="25"/>
  <c r="Y2632" i="25"/>
  <c r="Z2632" i="25"/>
  <c r="AA2632" i="25"/>
  <c r="V2640" i="25"/>
  <c r="W2640" i="25"/>
  <c r="X2640" i="25"/>
  <c r="Y2640" i="25"/>
  <c r="Z2640" i="25"/>
  <c r="AA2640" i="25"/>
  <c r="V2648" i="25"/>
  <c r="W2648" i="25"/>
  <c r="X2648" i="25"/>
  <c r="Y2648" i="25"/>
  <c r="Z2648" i="25"/>
  <c r="AA2648" i="25"/>
  <c r="V2656" i="25"/>
  <c r="W2656" i="25"/>
  <c r="X2656" i="25"/>
  <c r="Y2656" i="25"/>
  <c r="Z2656" i="25"/>
  <c r="AA2656" i="25"/>
  <c r="V2664" i="25"/>
  <c r="W2664" i="25"/>
  <c r="X2664" i="25"/>
  <c r="Y2664" i="25"/>
  <c r="Z2664" i="25"/>
  <c r="AA2664" i="25"/>
  <c r="V2672" i="25"/>
  <c r="W2672" i="25"/>
  <c r="X2672" i="25"/>
  <c r="Y2672" i="25"/>
  <c r="Z2672" i="25"/>
  <c r="AA2672" i="25"/>
  <c r="V2680" i="25"/>
  <c r="W2680" i="25"/>
  <c r="X2680" i="25"/>
  <c r="Y2680" i="25"/>
  <c r="Z2680" i="25"/>
  <c r="AA2680" i="25"/>
  <c r="V2688" i="25"/>
  <c r="W2688" i="25"/>
  <c r="X2688" i="25"/>
  <c r="Y2688" i="25"/>
  <c r="Z2688" i="25"/>
  <c r="AA2688" i="25"/>
  <c r="V2696" i="25"/>
  <c r="W2696" i="25"/>
  <c r="X2696" i="25"/>
  <c r="Y2696" i="25"/>
  <c r="Z2696" i="25"/>
  <c r="AA2696" i="25"/>
  <c r="V2704" i="25"/>
  <c r="W2704" i="25"/>
  <c r="X2704" i="25"/>
  <c r="Y2704" i="25"/>
  <c r="Z2704" i="25"/>
  <c r="AA2704" i="25"/>
  <c r="V2712" i="25"/>
  <c r="W2712" i="25"/>
  <c r="X2712" i="25"/>
  <c r="Y2712" i="25"/>
  <c r="Z2712" i="25"/>
  <c r="AA2712" i="25"/>
  <c r="V2720" i="25"/>
  <c r="W2720" i="25"/>
  <c r="X2720" i="25"/>
  <c r="Y2720" i="25"/>
  <c r="Z2720" i="25"/>
  <c r="AA2720" i="25"/>
  <c r="V2728" i="25"/>
  <c r="W2728" i="25"/>
  <c r="X2728" i="25"/>
  <c r="Y2728" i="25"/>
  <c r="Z2728" i="25"/>
  <c r="AA2728" i="25"/>
  <c r="V2736" i="25"/>
  <c r="W2736" i="25"/>
  <c r="X2736" i="25"/>
  <c r="Y2736" i="25"/>
  <c r="Z2736" i="25"/>
  <c r="AA2736" i="25"/>
  <c r="V2745" i="25"/>
  <c r="W2745" i="25"/>
  <c r="X2745" i="25"/>
  <c r="Y2745" i="25"/>
  <c r="Z2745" i="25"/>
  <c r="AA2745" i="25"/>
  <c r="V2753" i="25"/>
  <c r="W2753" i="25"/>
  <c r="X2753" i="25"/>
  <c r="Y2753" i="25"/>
  <c r="Z2753" i="25"/>
  <c r="AA2753" i="25"/>
  <c r="V2764" i="25"/>
  <c r="W2764" i="25"/>
  <c r="X2764" i="25"/>
  <c r="Y2764" i="25"/>
  <c r="Z2764" i="25"/>
  <c r="AA2764" i="25"/>
  <c r="V2772" i="25"/>
  <c r="W2772" i="25"/>
  <c r="Y2772" i="25"/>
  <c r="AA2772" i="25"/>
  <c r="X2772" i="25"/>
  <c r="Z2772" i="25"/>
  <c r="V2780" i="25"/>
  <c r="W2780" i="25"/>
  <c r="Y2780" i="25"/>
  <c r="X2780" i="25"/>
  <c r="Z2780" i="25"/>
  <c r="AA2780" i="25"/>
  <c r="V2788" i="25"/>
  <c r="W2788" i="25"/>
  <c r="Y2788" i="25"/>
  <c r="X2788" i="25"/>
  <c r="Z2788" i="25"/>
  <c r="AA2788" i="25"/>
  <c r="V2796" i="25"/>
  <c r="Z2796" i="25"/>
  <c r="AA2796" i="25"/>
  <c r="W2796" i="25"/>
  <c r="X2796" i="25"/>
  <c r="Y2796" i="25"/>
  <c r="V2804" i="25"/>
  <c r="Z2804" i="25"/>
  <c r="AA2804" i="25"/>
  <c r="W2804" i="25"/>
  <c r="X2804" i="25"/>
  <c r="Y2804" i="25"/>
  <c r="V2812" i="25"/>
  <c r="Z2812" i="25"/>
  <c r="AA2812" i="25"/>
  <c r="W2812" i="25"/>
  <c r="Y2812" i="25"/>
  <c r="V2820" i="25"/>
  <c r="Z2820" i="25"/>
  <c r="AA2820" i="25"/>
  <c r="W2820" i="25"/>
  <c r="X2820" i="25"/>
  <c r="Y2820" i="25"/>
  <c r="V2828" i="25"/>
  <c r="Z2828" i="25"/>
  <c r="AA2828" i="25"/>
  <c r="W2828" i="25"/>
  <c r="X2828" i="25"/>
  <c r="Y2828" i="25"/>
  <c r="V2836" i="25"/>
  <c r="Z2836" i="25"/>
  <c r="AA2836" i="25"/>
  <c r="W2836" i="25"/>
  <c r="X2836" i="25"/>
  <c r="Y2836" i="25"/>
  <c r="V2844" i="25"/>
  <c r="Z2844" i="25"/>
  <c r="AA2844" i="25"/>
  <c r="W2844" i="25"/>
  <c r="Y2844" i="25"/>
  <c r="V2852" i="25"/>
  <c r="Z2852" i="25"/>
  <c r="AA2852" i="25"/>
  <c r="W2852" i="25"/>
  <c r="X2852" i="25"/>
  <c r="Y2852" i="25"/>
  <c r="V2860" i="25"/>
  <c r="Z2860" i="25"/>
  <c r="AA2860" i="25"/>
  <c r="W2860" i="25"/>
  <c r="X2860" i="25"/>
  <c r="Y2860" i="25"/>
  <c r="V2868" i="25"/>
  <c r="Z2868" i="25"/>
  <c r="AA2868" i="25"/>
  <c r="W2868" i="25"/>
  <c r="X2868" i="25"/>
  <c r="Y2868" i="25"/>
  <c r="V2876" i="25"/>
  <c r="Z2876" i="25"/>
  <c r="AA2876" i="25"/>
  <c r="W2876" i="25"/>
  <c r="Y2876" i="25"/>
  <c r="V2884" i="25"/>
  <c r="Z2884" i="25"/>
  <c r="AA2884" i="25"/>
  <c r="W2884" i="25"/>
  <c r="X2884" i="25"/>
  <c r="Y2884" i="25"/>
  <c r="V2892" i="25"/>
  <c r="Z2892" i="25"/>
  <c r="AA2892" i="25"/>
  <c r="W2892" i="25"/>
  <c r="X2892" i="25"/>
  <c r="Y2892" i="25"/>
  <c r="V2900" i="25"/>
  <c r="Z2900" i="25"/>
  <c r="AA2900" i="25"/>
  <c r="W2900" i="25"/>
  <c r="X2900" i="25"/>
  <c r="Y2900" i="25"/>
  <c r="V2908" i="25"/>
  <c r="Z2908" i="25"/>
  <c r="AA2908" i="25"/>
  <c r="W2908" i="25"/>
  <c r="Y2908" i="25"/>
  <c r="V2916" i="25"/>
  <c r="Z2916" i="25"/>
  <c r="AA2916" i="25"/>
  <c r="W2916" i="25"/>
  <c r="X2916" i="25"/>
  <c r="Y2916" i="25"/>
  <c r="V2924" i="25"/>
  <c r="Z2924" i="25"/>
  <c r="AA2924" i="25"/>
  <c r="W2924" i="25"/>
  <c r="X2924" i="25"/>
  <c r="Y2924" i="25"/>
  <c r="V2932" i="25"/>
  <c r="Z2932" i="25"/>
  <c r="AA2932" i="25"/>
  <c r="W2932" i="25"/>
  <c r="X2932" i="25"/>
  <c r="Y2932" i="25"/>
  <c r="V2940" i="25"/>
  <c r="Z2940" i="25"/>
  <c r="AA2940" i="25"/>
  <c r="W2940" i="25"/>
  <c r="Y2940" i="25"/>
  <c r="V2948" i="25"/>
  <c r="Z2948" i="25"/>
  <c r="AA2948" i="25"/>
  <c r="W2948" i="25"/>
  <c r="X2948" i="25"/>
  <c r="Y2948" i="25"/>
  <c r="V2956" i="25"/>
  <c r="Z2956" i="25"/>
  <c r="AA2956" i="25"/>
  <c r="W2956" i="25"/>
  <c r="X2956" i="25"/>
  <c r="Y2956" i="25"/>
  <c r="V2973" i="25"/>
  <c r="Z2973" i="25"/>
  <c r="AA2973" i="25"/>
  <c r="W2973" i="25"/>
  <c r="X2973" i="25"/>
  <c r="Y2973" i="25"/>
  <c r="V2981" i="25"/>
  <c r="Z2981" i="25"/>
  <c r="AA2981" i="25"/>
  <c r="W2981" i="25"/>
  <c r="Y2981" i="25"/>
  <c r="V2989" i="25"/>
  <c r="Z2989" i="25"/>
  <c r="W2989" i="25"/>
  <c r="X2989" i="25"/>
  <c r="Y2989" i="25"/>
  <c r="AA2989" i="25"/>
  <c r="V3001" i="25"/>
  <c r="Z3001" i="25"/>
  <c r="W3001" i="25"/>
  <c r="Y3001" i="25"/>
  <c r="AA3001" i="25"/>
  <c r="V3009" i="25"/>
  <c r="Z3009" i="25"/>
  <c r="W3009" i="25"/>
  <c r="X3009" i="25"/>
  <c r="Y3009" i="25"/>
  <c r="V3017" i="25"/>
  <c r="Z3017" i="25"/>
  <c r="W3017" i="25"/>
  <c r="X3017" i="25"/>
  <c r="Y3017" i="25"/>
  <c r="AA3017" i="25"/>
  <c r="V3025" i="25"/>
  <c r="Z3025" i="25"/>
  <c r="W3025" i="25"/>
  <c r="X3025" i="25"/>
  <c r="Y3025" i="25"/>
  <c r="AA3025" i="25"/>
  <c r="V3033" i="25"/>
  <c r="Z3033" i="25"/>
  <c r="W3033" i="25"/>
  <c r="Y3033" i="25"/>
  <c r="AA3033" i="25"/>
  <c r="V3041" i="25"/>
  <c r="Z3041" i="25"/>
  <c r="W3041" i="25"/>
  <c r="X3041" i="25"/>
  <c r="Y3041" i="25"/>
  <c r="V3049" i="25"/>
  <c r="Z3049" i="25"/>
  <c r="W3049" i="25"/>
  <c r="X3049" i="25"/>
  <c r="Y3049" i="25"/>
  <c r="AA3049" i="25"/>
  <c r="V3057" i="25"/>
  <c r="Z3057" i="25"/>
  <c r="W3057" i="25"/>
  <c r="X3057" i="25"/>
  <c r="Y3057" i="25"/>
  <c r="AA3057" i="25"/>
  <c r="V3065" i="25"/>
  <c r="Z3065" i="25"/>
  <c r="W3065" i="25"/>
  <c r="Y3065" i="25"/>
  <c r="AA3065" i="25"/>
  <c r="V3073" i="25"/>
  <c r="Z3073" i="25"/>
  <c r="W3073" i="25"/>
  <c r="X3073" i="25"/>
  <c r="Y3073" i="25"/>
  <c r="V3081" i="25"/>
  <c r="Z3081" i="25"/>
  <c r="W3081" i="25"/>
  <c r="X3081" i="25"/>
  <c r="Y3081" i="25"/>
  <c r="AA3081" i="25"/>
  <c r="V3089" i="25"/>
  <c r="Z3089" i="25"/>
  <c r="W3089" i="25"/>
  <c r="X3089" i="25"/>
  <c r="Y3089" i="25"/>
  <c r="AA3089" i="25"/>
  <c r="V3097" i="25"/>
  <c r="Z3097" i="25"/>
  <c r="W3097" i="25"/>
  <c r="AA3097" i="25"/>
  <c r="V3105" i="25"/>
  <c r="Z3105" i="25"/>
  <c r="W3105" i="25"/>
  <c r="X3105" i="25"/>
  <c r="Y3105" i="25"/>
  <c r="V3113" i="25"/>
  <c r="Z3113" i="25"/>
  <c r="W3113" i="25"/>
  <c r="X3113" i="25"/>
  <c r="Y3113" i="25"/>
  <c r="AA3113" i="25"/>
  <c r="V3121" i="25"/>
  <c r="Z3121" i="25"/>
  <c r="W3121" i="25"/>
  <c r="X3121" i="25"/>
  <c r="Y3121" i="25"/>
  <c r="AA3121" i="25"/>
  <c r="V3129" i="25"/>
  <c r="Z3129" i="25"/>
  <c r="W3129" i="25"/>
  <c r="AA3129" i="25"/>
  <c r="V3137" i="25"/>
  <c r="Z3137" i="25"/>
  <c r="W3137" i="25"/>
  <c r="X3137" i="25"/>
  <c r="Y3137" i="25"/>
  <c r="V3145" i="25"/>
  <c r="Z3145" i="25"/>
  <c r="W3145" i="25"/>
  <c r="X3145" i="25"/>
  <c r="Y3145" i="25"/>
  <c r="AA3145" i="25"/>
  <c r="V3156" i="25"/>
  <c r="Z3156" i="25"/>
  <c r="W3156" i="25"/>
  <c r="X3156" i="25"/>
  <c r="Y3156" i="25"/>
  <c r="AA3156" i="25"/>
  <c r="V3164" i="25"/>
  <c r="Z3164" i="25"/>
  <c r="W3164" i="25"/>
  <c r="AA3164" i="25"/>
  <c r="V3172" i="25"/>
  <c r="Z3172" i="25"/>
  <c r="W3172" i="25"/>
  <c r="X3172" i="25"/>
  <c r="Y3172" i="25"/>
  <c r="V3180" i="25"/>
  <c r="Z3180" i="25"/>
  <c r="W3180" i="25"/>
  <c r="X3180" i="25"/>
  <c r="Y3180" i="25"/>
  <c r="AA3180" i="25"/>
  <c r="V3190" i="25"/>
  <c r="W3190" i="25"/>
  <c r="X3190" i="25"/>
  <c r="Y3190" i="25"/>
  <c r="Z3190" i="25"/>
  <c r="V3209" i="25"/>
  <c r="W3209" i="25"/>
  <c r="X3209" i="25"/>
  <c r="Y3209" i="25"/>
  <c r="Z3209" i="25"/>
  <c r="V3217" i="25"/>
  <c r="W3217" i="25"/>
  <c r="X3217" i="25"/>
  <c r="Y3217" i="25"/>
  <c r="Z3217" i="25"/>
  <c r="V3225" i="25"/>
  <c r="W3225" i="25"/>
  <c r="X3225" i="25"/>
  <c r="Y3225" i="25"/>
  <c r="Z3225" i="25"/>
  <c r="V3234" i="25"/>
  <c r="W3234" i="25"/>
  <c r="X3234" i="25"/>
  <c r="Y3234" i="25"/>
  <c r="Z3234" i="25"/>
  <c r="V3242" i="25"/>
  <c r="W3242" i="25"/>
  <c r="X3242" i="25"/>
  <c r="Y3242" i="25"/>
  <c r="Z3242" i="25"/>
  <c r="V3250" i="25"/>
  <c r="W3250" i="25"/>
  <c r="X3250" i="25"/>
  <c r="Y3250" i="25"/>
  <c r="Z3250" i="25"/>
  <c r="V3258" i="25"/>
  <c r="W3258" i="25"/>
  <c r="X3258" i="25"/>
  <c r="Y3258" i="25"/>
  <c r="Z3258" i="25"/>
  <c r="V3266" i="25"/>
  <c r="W3266" i="25"/>
  <c r="X3266" i="25"/>
  <c r="Y3266" i="25"/>
  <c r="Z3266" i="25"/>
  <c r="V3274" i="25"/>
  <c r="W3274" i="25"/>
  <c r="X3274" i="25"/>
  <c r="Y3274" i="25"/>
  <c r="Z3274" i="25"/>
  <c r="V3282" i="25"/>
  <c r="W3282" i="25"/>
  <c r="X3282" i="25"/>
  <c r="Y3282" i="25"/>
  <c r="Z3282" i="25"/>
  <c r="V3290" i="25"/>
  <c r="W3290" i="25"/>
  <c r="X3290" i="25"/>
  <c r="Y3290" i="25"/>
  <c r="Z3290" i="25"/>
  <c r="V3298" i="25"/>
  <c r="W3298" i="25"/>
  <c r="X3298" i="25"/>
  <c r="Y3298" i="25"/>
  <c r="Z3298" i="25"/>
  <c r="V3306" i="25"/>
  <c r="W3306" i="25"/>
  <c r="X3306" i="25"/>
  <c r="Y3306" i="25"/>
  <c r="Z3306" i="25"/>
  <c r="V3314" i="25"/>
  <c r="W3314" i="25"/>
  <c r="X3314" i="25"/>
  <c r="Y3314" i="25"/>
  <c r="Z3314" i="25"/>
  <c r="V3322" i="25"/>
  <c r="W3322" i="25"/>
  <c r="X3322" i="25"/>
  <c r="Y3322" i="25"/>
  <c r="Z3322" i="25"/>
  <c r="V3330" i="25"/>
  <c r="W3330" i="25"/>
  <c r="X3330" i="25"/>
  <c r="Y3330" i="25"/>
  <c r="Z3330" i="25"/>
  <c r="V3338" i="25"/>
  <c r="W3338" i="25"/>
  <c r="X3338" i="25"/>
  <c r="Y3338" i="25"/>
  <c r="Z3338" i="25"/>
  <c r="V3346" i="25"/>
  <c r="W3346" i="25"/>
  <c r="X3346" i="25"/>
  <c r="Y3346" i="25"/>
  <c r="Z3346" i="25"/>
  <c r="V3354" i="25"/>
  <c r="W3354" i="25"/>
  <c r="X3354" i="25"/>
  <c r="Y3354" i="25"/>
  <c r="Z3354" i="25"/>
  <c r="V3362" i="25"/>
  <c r="W3362" i="25"/>
  <c r="X3362" i="25"/>
  <c r="Y3362" i="25"/>
  <c r="Z3362" i="25"/>
  <c r="V3370" i="25"/>
  <c r="W3370" i="25"/>
  <c r="X3370" i="25"/>
  <c r="Y3370" i="25"/>
  <c r="Z3370" i="25"/>
  <c r="V3378" i="25"/>
  <c r="W3378" i="25"/>
  <c r="X3378" i="25"/>
  <c r="Y3378" i="25"/>
  <c r="Z3378" i="25"/>
  <c r="V3386" i="25"/>
  <c r="W3386" i="25"/>
  <c r="X3386" i="25"/>
  <c r="Y3386" i="25"/>
  <c r="Z3386" i="25"/>
  <c r="V3394" i="25"/>
  <c r="W3394" i="25"/>
  <c r="X3394" i="25"/>
  <c r="Y3394" i="25"/>
  <c r="Z3394" i="25"/>
  <c r="V3402" i="25"/>
  <c r="W3402" i="25"/>
  <c r="X3402" i="25"/>
  <c r="Y3402" i="25"/>
  <c r="Z3402" i="25"/>
  <c r="V3410" i="25"/>
  <c r="Z3410" i="25"/>
  <c r="V3418" i="25"/>
  <c r="Z3418" i="25"/>
  <c r="V3426" i="25"/>
  <c r="Z3426" i="25"/>
  <c r="V3434" i="25"/>
  <c r="Z3434" i="25"/>
  <c r="V3442" i="25"/>
  <c r="Z3442" i="25"/>
  <c r="V3450" i="25"/>
  <c r="Z3450" i="25"/>
  <c r="V3458" i="25"/>
  <c r="Z3458" i="25"/>
  <c r="V3466" i="25"/>
  <c r="Z3466" i="25"/>
  <c r="V3474" i="25"/>
  <c r="Z3474" i="25"/>
  <c r="V3482" i="25"/>
  <c r="Z3482" i="25"/>
  <c r="V3490" i="25"/>
  <c r="Z3490" i="25"/>
  <c r="V3498" i="25"/>
  <c r="Z3498" i="25"/>
  <c r="V3506" i="25"/>
  <c r="Z3506" i="25"/>
  <c r="V3514" i="25"/>
  <c r="Z3514" i="25"/>
  <c r="V3522" i="25"/>
  <c r="Z3522" i="25"/>
  <c r="Y3663" i="25"/>
  <c r="Y3655" i="25"/>
  <c r="Z3650" i="25"/>
  <c r="Y3647" i="25"/>
  <c r="AA3645" i="25"/>
  <c r="X3644" i="25"/>
  <c r="Z3642" i="25"/>
  <c r="W3641" i="25"/>
  <c r="Y3639" i="25"/>
  <c r="AA3637" i="25"/>
  <c r="X3636" i="25"/>
  <c r="Z3634" i="25"/>
  <c r="W3633" i="25"/>
  <c r="Y3631" i="25"/>
  <c r="AA3624" i="25"/>
  <c r="X3623" i="25"/>
  <c r="W3621" i="25"/>
  <c r="Y3619" i="25"/>
  <c r="AA3617" i="25"/>
  <c r="X3616" i="25"/>
  <c r="Z3613" i="25"/>
  <c r="W3612" i="25"/>
  <c r="Y3610" i="25"/>
  <c r="AA3608" i="25"/>
  <c r="X3607" i="25"/>
  <c r="Z3605" i="25"/>
  <c r="W3604" i="25"/>
  <c r="Y3602" i="25"/>
  <c r="AA3600" i="25"/>
  <c r="X3599" i="25"/>
  <c r="Z3597" i="25"/>
  <c r="W3596" i="25"/>
  <c r="Y3594" i="25"/>
  <c r="AA3592" i="25"/>
  <c r="X3591" i="25"/>
  <c r="Z3589" i="25"/>
  <c r="W3588" i="25"/>
  <c r="Y3586" i="25"/>
  <c r="AA3584" i="25"/>
  <c r="X3583" i="25"/>
  <c r="Z3581" i="25"/>
  <c r="W3580" i="25"/>
  <c r="Y3578" i="25"/>
  <c r="AA3576" i="25"/>
  <c r="X3575" i="25"/>
  <c r="Z3573" i="25"/>
  <c r="W3572" i="25"/>
  <c r="Y3570" i="25"/>
  <c r="AA3568" i="25"/>
  <c r="X3567" i="25"/>
  <c r="Z3565" i="25"/>
  <c r="W3564" i="25"/>
  <c r="Y3562" i="25"/>
  <c r="AA3560" i="25"/>
  <c r="X3559" i="25"/>
  <c r="Z3557" i="25"/>
  <c r="W3556" i="25"/>
  <c r="Y3554" i="25"/>
  <c r="AA3552" i="25"/>
  <c r="X3551" i="25"/>
  <c r="Z3549" i="25"/>
  <c r="W3548" i="25"/>
  <c r="Y3546" i="25"/>
  <c r="AA3544" i="25"/>
  <c r="X3543" i="25"/>
  <c r="Z3541" i="25"/>
  <c r="W3540" i="25"/>
  <c r="Y3538" i="25"/>
  <c r="AA3536" i="25"/>
  <c r="X3535" i="25"/>
  <c r="Z3533" i="25"/>
  <c r="W3532" i="25"/>
  <c r="Y3530" i="25"/>
  <c r="AA3528" i="25"/>
  <c r="X3527" i="25"/>
  <c r="Z3525" i="25"/>
  <c r="W3524" i="25"/>
  <c r="W3522" i="25"/>
  <c r="AA3519" i="25"/>
  <c r="Z3517" i="25"/>
  <c r="Z3515" i="25"/>
  <c r="Y3513" i="25"/>
  <c r="X3511" i="25"/>
  <c r="X3509" i="25"/>
  <c r="W3507" i="25"/>
  <c r="AA3504" i="25"/>
  <c r="AA3502" i="25"/>
  <c r="Z3500" i="25"/>
  <c r="Y3498" i="25"/>
  <c r="Y3496" i="25"/>
  <c r="X3494" i="25"/>
  <c r="W3492" i="25"/>
  <c r="W3490" i="25"/>
  <c r="AA3487" i="25"/>
  <c r="Z3485" i="25"/>
  <c r="Z3483" i="25"/>
  <c r="Y3481" i="25"/>
  <c r="X3479" i="25"/>
  <c r="X3477" i="25"/>
  <c r="W3475" i="25"/>
  <c r="AA3472" i="25"/>
  <c r="AA3470" i="25"/>
  <c r="Z3468" i="25"/>
  <c r="Y3466" i="25"/>
  <c r="Y3464" i="25"/>
  <c r="X3462" i="25"/>
  <c r="W3460" i="25"/>
  <c r="W3458" i="25"/>
  <c r="AA3455" i="25"/>
  <c r="Z3453" i="25"/>
  <c r="Z3451" i="25"/>
  <c r="Y3449" i="25"/>
  <c r="X3447" i="25"/>
  <c r="X3445" i="25"/>
  <c r="W3443" i="25"/>
  <c r="AA3440" i="25"/>
  <c r="AA3438" i="25"/>
  <c r="Z3436" i="25"/>
  <c r="Y3434" i="25"/>
  <c r="Y3432" i="25"/>
  <c r="X3430" i="25"/>
  <c r="W3428" i="25"/>
  <c r="W3426" i="25"/>
  <c r="AA3423" i="25"/>
  <c r="Z3421" i="25"/>
  <c r="Z3419" i="25"/>
  <c r="Y3417" i="25"/>
  <c r="X3415" i="25"/>
  <c r="X3413" i="25"/>
  <c r="W3411" i="25"/>
  <c r="AA3408" i="25"/>
  <c r="AA3406" i="25"/>
  <c r="Y3401" i="25"/>
  <c r="W3395" i="25"/>
  <c r="Z3388" i="25"/>
  <c r="X3382" i="25"/>
  <c r="AA3375" i="25"/>
  <c r="Y3369" i="25"/>
  <c r="W3363" i="25"/>
  <c r="Z3356" i="25"/>
  <c r="X3350" i="25"/>
  <c r="AA3343" i="25"/>
  <c r="Y3337" i="25"/>
  <c r="W3331" i="25"/>
  <c r="Z3324" i="25"/>
  <c r="X3318" i="25"/>
  <c r="AA3311" i="25"/>
  <c r="Y3305" i="25"/>
  <c r="W3299" i="25"/>
  <c r="Z3292" i="25"/>
  <c r="X3286" i="25"/>
  <c r="AA3279" i="25"/>
  <c r="Y3273" i="25"/>
  <c r="W3267" i="25"/>
  <c r="Z3260" i="25"/>
  <c r="X3254" i="25"/>
  <c r="AA3247" i="25"/>
  <c r="Y3241" i="25"/>
  <c r="W3235" i="25"/>
  <c r="Z3227" i="25"/>
  <c r="X3221" i="25"/>
  <c r="AA3214" i="25"/>
  <c r="Y3208" i="25"/>
  <c r="W3191" i="25"/>
  <c r="Y3181" i="25"/>
  <c r="W3173" i="25"/>
  <c r="Y3164" i="25"/>
  <c r="AA3155" i="25"/>
  <c r="Y3144" i="25"/>
  <c r="AA3135" i="25"/>
  <c r="X3127" i="25"/>
  <c r="AA3118" i="25"/>
  <c r="X3110" i="25"/>
  <c r="Z3101" i="25"/>
  <c r="X3093" i="25"/>
  <c r="Z3084" i="25"/>
  <c r="W3076" i="25"/>
  <c r="X3065" i="25"/>
  <c r="X3048" i="25"/>
  <c r="W3031" i="25"/>
  <c r="W3014" i="25"/>
  <c r="W2995" i="25"/>
  <c r="Z2946" i="25"/>
  <c r="Y2895" i="25"/>
  <c r="X2844" i="25"/>
  <c r="W2793" i="25"/>
  <c r="W2700" i="25"/>
  <c r="X2409" i="25"/>
  <c r="D3290" i="25" l="1"/>
  <c r="D3026" i="25"/>
  <c r="D102" i="25"/>
  <c r="D95" i="25"/>
  <c r="D82" i="25"/>
  <c r="D73" i="25"/>
  <c r="D67" i="25"/>
  <c r="D64" i="25"/>
  <c r="D42" i="25"/>
  <c r="D34" i="25"/>
  <c r="D35" i="25"/>
  <c r="D36" i="25"/>
  <c r="D37" i="25"/>
  <c r="D38" i="25"/>
  <c r="D39" i="25"/>
  <c r="D40" i="25"/>
  <c r="D41" i="25"/>
  <c r="D43" i="25"/>
  <c r="D44" i="25"/>
  <c r="D45" i="25"/>
  <c r="D46" i="25"/>
  <c r="D47" i="25"/>
  <c r="D48" i="25"/>
  <c r="D49" i="25"/>
  <c r="D50" i="25"/>
  <c r="D51" i="25"/>
  <c r="D52" i="25"/>
  <c r="D53" i="25"/>
  <c r="D54" i="25"/>
  <c r="D55" i="25"/>
  <c r="D56" i="25"/>
  <c r="D57" i="25"/>
  <c r="D58" i="25"/>
  <c r="D59" i="25"/>
  <c r="D60" i="25"/>
  <c r="D61" i="25"/>
  <c r="D62" i="25"/>
  <c r="D63" i="25"/>
  <c r="D65" i="25"/>
  <c r="D66" i="25"/>
  <c r="D68" i="25"/>
  <c r="D69" i="25"/>
  <c r="D70" i="25"/>
  <c r="D71" i="25"/>
  <c r="D72" i="25"/>
  <c r="D74" i="25"/>
  <c r="D75" i="25"/>
  <c r="D76" i="25"/>
  <c r="D77" i="25"/>
  <c r="D78" i="25"/>
  <c r="D79" i="25"/>
  <c r="D80" i="25"/>
  <c r="D81" i="25"/>
  <c r="D83" i="25"/>
  <c r="D84" i="25"/>
  <c r="D96" i="25"/>
  <c r="D97" i="25"/>
  <c r="D98" i="25"/>
  <c r="D99" i="25"/>
  <c r="D100" i="25"/>
  <c r="D101" i="25"/>
  <c r="D103" i="25"/>
  <c r="D104" i="25"/>
  <c r="D105" i="25"/>
  <c r="D2964" i="25"/>
  <c r="D2957" i="25"/>
  <c r="D2956" i="25"/>
  <c r="D1234" i="25"/>
  <c r="D1233" i="25"/>
  <c r="D2955" i="25"/>
  <c r="D2949" i="25"/>
  <c r="D2950" i="25"/>
  <c r="D2951" i="25"/>
  <c r="D2952" i="25"/>
  <c r="D2953" i="25"/>
  <c r="D2954" i="25"/>
  <c r="D2948" i="25"/>
  <c r="D3047" i="25"/>
  <c r="D3048" i="25"/>
  <c r="D3049" i="25"/>
  <c r="D3050" i="25"/>
  <c r="D3051" i="25"/>
  <c r="D3052" i="25"/>
  <c r="D3053" i="25"/>
  <c r="D3054" i="25"/>
  <c r="D3055" i="25"/>
  <c r="D3056" i="25"/>
  <c r="D3057" i="25"/>
  <c r="D3058" i="25"/>
  <c r="D3059" i="25"/>
  <c r="D3060" i="25"/>
  <c r="D3061" i="25"/>
  <c r="D3062" i="25"/>
  <c r="D3063" i="25"/>
  <c r="D3064" i="25"/>
  <c r="D3065" i="25"/>
  <c r="D3066" i="25"/>
  <c r="D3067" i="25"/>
  <c r="D3068" i="25"/>
  <c r="D3069" i="25"/>
  <c r="D3070" i="25"/>
  <c r="D3071" i="25"/>
  <c r="D3072" i="25"/>
  <c r="D3073" i="25"/>
  <c r="D3074" i="25"/>
  <c r="D3075" i="25"/>
  <c r="D3046" i="25"/>
  <c r="D3076" i="25"/>
  <c r="D3077" i="25"/>
  <c r="D3078" i="25"/>
  <c r="D3079" i="25"/>
  <c r="D3080" i="25"/>
  <c r="D3081" i="25"/>
  <c r="D3082" i="25"/>
  <c r="D3083" i="25"/>
  <c r="D3084" i="25"/>
  <c r="D3085" i="25"/>
  <c r="D3086" i="25"/>
  <c r="D2967" i="25"/>
  <c r="D2998" i="25"/>
  <c r="D3000" i="25"/>
  <c r="D3001" i="25"/>
  <c r="D3002" i="25"/>
  <c r="D18" i="25"/>
  <c r="D3" i="25"/>
  <c r="D4" i="25"/>
  <c r="D5" i="25"/>
  <c r="D6" i="25"/>
  <c r="D7" i="25"/>
  <c r="D8" i="25"/>
  <c r="D9" i="25"/>
  <c r="D10" i="25"/>
  <c r="D11" i="25"/>
  <c r="D12" i="25"/>
  <c r="D13" i="25"/>
  <c r="D14" i="25"/>
  <c r="D15" i="25"/>
  <c r="D16" i="25"/>
  <c r="D17" i="25"/>
  <c r="D27" i="25"/>
  <c r="D28" i="25"/>
  <c r="D33" i="25"/>
  <c r="D19" i="25"/>
  <c r="D20" i="25"/>
  <c r="D21" i="25"/>
  <c r="D22" i="25"/>
  <c r="D23" i="25"/>
  <c r="D24" i="25"/>
  <c r="D25" i="25"/>
  <c r="D26" i="25"/>
  <c r="D2738" i="25" l="1"/>
  <c r="D1985" i="25"/>
  <c r="D2605" i="25"/>
  <c r="D2597" i="25"/>
  <c r="D2594" i="25"/>
  <c r="V3667" i="25" l="1"/>
  <c r="F3" i="40" s="1"/>
  <c r="W3667" i="25"/>
  <c r="F4" i="40" s="1"/>
  <c r="X3667" i="25"/>
  <c r="F5" i="40" s="1"/>
  <c r="Y3667" i="25"/>
  <c r="F6" i="40" s="1"/>
  <c r="Z3667" i="25"/>
  <c r="F7" i="40" s="1"/>
  <c r="AA3667" i="25"/>
  <c r="F8" i="40" s="1"/>
  <c r="AB3667" i="25"/>
  <c r="D3667" i="25"/>
  <c r="D3666" i="25"/>
  <c r="D3665" i="25"/>
  <c r="D3664" i="25"/>
  <c r="D3663" i="25"/>
  <c r="D3662" i="25"/>
  <c r="D3661" i="25"/>
  <c r="D3660" i="25"/>
  <c r="D3659" i="25"/>
  <c r="D3658" i="25"/>
  <c r="D3657" i="25"/>
  <c r="D3656" i="25"/>
  <c r="D3655" i="25"/>
  <c r="D3654" i="25"/>
  <c r="D3653" i="25"/>
  <c r="D3652" i="25"/>
  <c r="D3651" i="25"/>
  <c r="D3650" i="25"/>
  <c r="D3649" i="25"/>
  <c r="D3648" i="25"/>
  <c r="D3647" i="25"/>
  <c r="D3646" i="25"/>
  <c r="D3645" i="25"/>
  <c r="D3644" i="25"/>
  <c r="D3643" i="25"/>
  <c r="D3642" i="25"/>
  <c r="D3641" i="25"/>
  <c r="D3640" i="25"/>
  <c r="D3639" i="25"/>
  <c r="D3638" i="25"/>
  <c r="D3637" i="25"/>
  <c r="D3636" i="25"/>
  <c r="D3635" i="25"/>
  <c r="D3634" i="25"/>
  <c r="D3633" i="25"/>
  <c r="D3632" i="25"/>
  <c r="D3623" i="25"/>
  <c r="D3613" i="25"/>
  <c r="D3622" i="25"/>
  <c r="D3621" i="25"/>
  <c r="D3620" i="25"/>
  <c r="D3619" i="25"/>
  <c r="D3618" i="25"/>
  <c r="D3617" i="25"/>
  <c r="D3616" i="25"/>
  <c r="D3614" i="25"/>
  <c r="D3631" i="25"/>
  <c r="D3625" i="25"/>
  <c r="D3624" i="25"/>
  <c r="D3612" i="25"/>
  <c r="D3611" i="25"/>
  <c r="D3610" i="25"/>
  <c r="D3609" i="25"/>
  <c r="D3608" i="25"/>
  <c r="D3607" i="25"/>
  <c r="D3606" i="25"/>
  <c r="D3605" i="25"/>
  <c r="D3604" i="25"/>
  <c r="D3603" i="25"/>
  <c r="D3602" i="25"/>
  <c r="D3601" i="25"/>
  <c r="D3600" i="25"/>
  <c r="D3599" i="25"/>
  <c r="D3598" i="25"/>
  <c r="D3597" i="25"/>
  <c r="D3596" i="25"/>
  <c r="D3595" i="25"/>
  <c r="D3594" i="25"/>
  <c r="D3593" i="25"/>
  <c r="D3592" i="25"/>
  <c r="D3591" i="25"/>
  <c r="D3590" i="25"/>
  <c r="D3589" i="25"/>
  <c r="D3588" i="25"/>
  <c r="D3587" i="25"/>
  <c r="D3586" i="25"/>
  <c r="D3585" i="25"/>
  <c r="D3584" i="25"/>
  <c r="D3583" i="25"/>
  <c r="D3582" i="25"/>
  <c r="D3581" i="25"/>
  <c r="D3580" i="25"/>
  <c r="D3579" i="25"/>
  <c r="D3578" i="25"/>
  <c r="D3577" i="25"/>
  <c r="D3576" i="25"/>
  <c r="D3575" i="25"/>
  <c r="D3574" i="25"/>
  <c r="D3573" i="25"/>
  <c r="D3572" i="25"/>
  <c r="D3571" i="25"/>
  <c r="D3570" i="25"/>
  <c r="D3569" i="25"/>
  <c r="D3568" i="25"/>
  <c r="D3567" i="25"/>
  <c r="D3566" i="25"/>
  <c r="D3565" i="25"/>
  <c r="D3564" i="25"/>
  <c r="D3563" i="25"/>
  <c r="D3562" i="25"/>
  <c r="D3561" i="25"/>
  <c r="D3560" i="25"/>
  <c r="D3559" i="25"/>
  <c r="D3558" i="25"/>
  <c r="D3557" i="25"/>
  <c r="D3556" i="25"/>
  <c r="D3555" i="25"/>
  <c r="D3554" i="25"/>
  <c r="D3553" i="25"/>
  <c r="D3552" i="25"/>
  <c r="D3551" i="25"/>
  <c r="D3550" i="25"/>
  <c r="D3549" i="25"/>
  <c r="D3548" i="25"/>
  <c r="D3547" i="25"/>
  <c r="D3546" i="25"/>
  <c r="D3545" i="25"/>
  <c r="D2940" i="25"/>
  <c r="D2939" i="25"/>
  <c r="D2938" i="25"/>
  <c r="D2937" i="25"/>
  <c r="D2936" i="25"/>
  <c r="D2935" i="25"/>
  <c r="D2934" i="25"/>
  <c r="D2933" i="25"/>
  <c r="D2932" i="25"/>
  <c r="D2931" i="25"/>
  <c r="D2930" i="25"/>
  <c r="D2929" i="25"/>
  <c r="D2928" i="25"/>
  <c r="D2927" i="25"/>
  <c r="D2926" i="25"/>
  <c r="D2925" i="25"/>
  <c r="D2924" i="25"/>
  <c r="D2923" i="25"/>
  <c r="D2922" i="25"/>
  <c r="D2921" i="25"/>
  <c r="D2920" i="25"/>
  <c r="D2919" i="25"/>
  <c r="D2918" i="25"/>
  <c r="D2917" i="25"/>
  <c r="D2916" i="25"/>
  <c r="D2915" i="25"/>
  <c r="D2914" i="25"/>
  <c r="D2913" i="25"/>
  <c r="D2912" i="25"/>
  <c r="D2911" i="25"/>
  <c r="D2910" i="25"/>
  <c r="D2909" i="25"/>
  <c r="D2908" i="25"/>
  <c r="D2907" i="25"/>
  <c r="D2906" i="25"/>
  <c r="D2905" i="25"/>
  <c r="D2904" i="25"/>
  <c r="D2903" i="25"/>
  <c r="D2902" i="25"/>
  <c r="D2901" i="25"/>
  <c r="D2900" i="25"/>
  <c r="D2899" i="25"/>
  <c r="D2898" i="25"/>
  <c r="D2897" i="25"/>
  <c r="D2896" i="25"/>
  <c r="D2895" i="25"/>
  <c r="D2894" i="25"/>
  <c r="D2893" i="25"/>
  <c r="D2892" i="25"/>
  <c r="D2891" i="25"/>
  <c r="D2890" i="25"/>
  <c r="D2889" i="25"/>
  <c r="D2888" i="25"/>
  <c r="D2887" i="25"/>
  <c r="D2886" i="25"/>
  <c r="D2885" i="25"/>
  <c r="D2884" i="25"/>
  <c r="D2883" i="25"/>
  <c r="D2882" i="25"/>
  <c r="D2881" i="25"/>
  <c r="D2880" i="25"/>
  <c r="D2879" i="25"/>
  <c r="D2878" i="25"/>
  <c r="D2877" i="25"/>
  <c r="D2876" i="25"/>
  <c r="D2875" i="25"/>
  <c r="D2874" i="25"/>
  <c r="D2873" i="25"/>
  <c r="D2872" i="25"/>
  <c r="D2871" i="25"/>
  <c r="D2870" i="25"/>
  <c r="D2869" i="25"/>
  <c r="D2868" i="25"/>
  <c r="D2867" i="25"/>
  <c r="D2866" i="25"/>
  <c r="D2865" i="25"/>
  <c r="D2864" i="25"/>
  <c r="D2863" i="25"/>
  <c r="D2862" i="25"/>
  <c r="D2861" i="25"/>
  <c r="D2860" i="25"/>
  <c r="D2859" i="25"/>
  <c r="D2858" i="25"/>
  <c r="D2857" i="25"/>
  <c r="D2856" i="25"/>
  <c r="D2855" i="25"/>
  <c r="D2854" i="25"/>
  <c r="D2853" i="25"/>
  <c r="D2852" i="25"/>
  <c r="D2851" i="25"/>
  <c r="D2850" i="25"/>
  <c r="D2849" i="25"/>
  <c r="D2848" i="25"/>
  <c r="D2847" i="25"/>
  <c r="D2846" i="25"/>
  <c r="D2845" i="25"/>
  <c r="D2844" i="25"/>
  <c r="D2843" i="25"/>
  <c r="D2842" i="25"/>
  <c r="D2841" i="25"/>
  <c r="D2840" i="25"/>
  <c r="D2839" i="25"/>
  <c r="D2838" i="25"/>
  <c r="D2837" i="25"/>
  <c r="D2836" i="25"/>
  <c r="D2835" i="25"/>
  <c r="D2834" i="25"/>
  <c r="D2833" i="25"/>
  <c r="D2832" i="25"/>
  <c r="D2831" i="25"/>
  <c r="D2830" i="25"/>
  <c r="D2829" i="25"/>
  <c r="D2828" i="25"/>
  <c r="D2827" i="25"/>
  <c r="D2826" i="25"/>
  <c r="D2825" i="25"/>
  <c r="D2824" i="25"/>
  <c r="D2823" i="25"/>
  <c r="D2822" i="25"/>
  <c r="D2821" i="25"/>
  <c r="D2820" i="25"/>
  <c r="D2819" i="25"/>
  <c r="D2818" i="25"/>
  <c r="D2817" i="25"/>
  <c r="D2816" i="25"/>
  <c r="D2815" i="25"/>
  <c r="D2814" i="25"/>
  <c r="D2813" i="25"/>
  <c r="D2812" i="25"/>
  <c r="D2811" i="25"/>
  <c r="D2810" i="25"/>
  <c r="D2809" i="25"/>
  <c r="D2808" i="25"/>
  <c r="D2807" i="25"/>
  <c r="D2806" i="25"/>
  <c r="D2805" i="25"/>
  <c r="D2804" i="25"/>
  <c r="D2803" i="25"/>
  <c r="D2802" i="25"/>
  <c r="D2801" i="25"/>
  <c r="D2800" i="25"/>
  <c r="D2799" i="25"/>
  <c r="D2798" i="25"/>
  <c r="D2797" i="25"/>
  <c r="D2796" i="25"/>
  <c r="D2795" i="25"/>
  <c r="D2794" i="25"/>
  <c r="D2793" i="25"/>
  <c r="D2792" i="25"/>
  <c r="D2791" i="25"/>
  <c r="D2790" i="25"/>
  <c r="D2789" i="25"/>
  <c r="D2788" i="25"/>
  <c r="D2787" i="25"/>
  <c r="D2786" i="25"/>
  <c r="D2785" i="25"/>
  <c r="D2784" i="25"/>
  <c r="D2783" i="25"/>
  <c r="D2782" i="25"/>
  <c r="D2781" i="25"/>
  <c r="D2780" i="25"/>
  <c r="D2779" i="25"/>
  <c r="D2778" i="25"/>
  <c r="D2777" i="25"/>
  <c r="D2776" i="25"/>
  <c r="D2775" i="25"/>
  <c r="D2774" i="25"/>
  <c r="D2773" i="25"/>
  <c r="D2772" i="25"/>
  <c r="D2771" i="25"/>
  <c r="D2770" i="25"/>
  <c r="D2769" i="25"/>
  <c r="D2768" i="25"/>
  <c r="D2767" i="25"/>
  <c r="D2766" i="25"/>
  <c r="D2765" i="25"/>
  <c r="D2764" i="25"/>
  <c r="D2763" i="25"/>
  <c r="D2761" i="25"/>
  <c r="D2760" i="25"/>
  <c r="D2759" i="25"/>
  <c r="D2758" i="25"/>
  <c r="D2756" i="25"/>
  <c r="D2755" i="25"/>
  <c r="D2753" i="25"/>
  <c r="D2752" i="25"/>
  <c r="D2751" i="25"/>
  <c r="D2750" i="25"/>
  <c r="D2749" i="25"/>
  <c r="D2748" i="25"/>
  <c r="D2747" i="25"/>
  <c r="D2746" i="25"/>
  <c r="D2745" i="25"/>
  <c r="D2744" i="25"/>
  <c r="D2743" i="25"/>
  <c r="D2741" i="25"/>
  <c r="D2740" i="25"/>
  <c r="D2739" i="25"/>
  <c r="D2737" i="25"/>
  <c r="D2736" i="25"/>
  <c r="D2735" i="25"/>
  <c r="D2734" i="25"/>
  <c r="D2733" i="25"/>
  <c r="D2732" i="25"/>
  <c r="D2731" i="25"/>
  <c r="D2730" i="25"/>
  <c r="D2729" i="25"/>
  <c r="D2728" i="25"/>
  <c r="D2727" i="25"/>
  <c r="D2726" i="25"/>
  <c r="D2725" i="25"/>
  <c r="D2724" i="25"/>
  <c r="D2723" i="25"/>
  <c r="D2722" i="25"/>
  <c r="D2721" i="25"/>
  <c r="D2720" i="25"/>
  <c r="D2719" i="25"/>
  <c r="D2718" i="25"/>
  <c r="D2717" i="25"/>
  <c r="D2716" i="25"/>
  <c r="D2715" i="25"/>
  <c r="D2714" i="25"/>
  <c r="D2713" i="25"/>
  <c r="D2712" i="25"/>
  <c r="D2711" i="25"/>
  <c r="D2710" i="25"/>
  <c r="D2709" i="25"/>
  <c r="D2708" i="25"/>
  <c r="D2707" i="25"/>
  <c r="D2706" i="25"/>
  <c r="D2705" i="25"/>
  <c r="D2704" i="25"/>
  <c r="D2703" i="25"/>
  <c r="D2702" i="25"/>
  <c r="D2701" i="25"/>
  <c r="D2700" i="25"/>
  <c r="D2699" i="25"/>
  <c r="D2698" i="25"/>
  <c r="D2697" i="25"/>
  <c r="D2696" i="25"/>
  <c r="D2695" i="25"/>
  <c r="D2694" i="25"/>
  <c r="D2693" i="25"/>
  <c r="D2692" i="25"/>
  <c r="D2691" i="25"/>
  <c r="D2690" i="25"/>
  <c r="D2689" i="25"/>
  <c r="D2688" i="25"/>
  <c r="D2687" i="25"/>
  <c r="D2686" i="25"/>
  <c r="D2685" i="25"/>
  <c r="D2684" i="25"/>
  <c r="D2683" i="25"/>
  <c r="D2682" i="25"/>
  <c r="D2681" i="25"/>
  <c r="D2680" i="25"/>
  <c r="D2679" i="25"/>
  <c r="D2678" i="25"/>
  <c r="D2677" i="25"/>
  <c r="D2676" i="25"/>
  <c r="D2675" i="25"/>
  <c r="D2674" i="25"/>
  <c r="D2673" i="25"/>
  <c r="D2672" i="25"/>
  <c r="D2671" i="25"/>
  <c r="D2670" i="25"/>
  <c r="D2669" i="25"/>
  <c r="D2668" i="25"/>
  <c r="D2667" i="25"/>
  <c r="D2666" i="25"/>
  <c r="D2665" i="25"/>
  <c r="D2664" i="25"/>
  <c r="D2663" i="25"/>
  <c r="D2662" i="25"/>
  <c r="D2661" i="25"/>
  <c r="D2660" i="25"/>
  <c r="D2659" i="25"/>
  <c r="D2658" i="25"/>
  <c r="D2657" i="25"/>
  <c r="D2656" i="25"/>
  <c r="D2655" i="25"/>
  <c r="D2654" i="25"/>
  <c r="D2653" i="25"/>
  <c r="D2652" i="25"/>
  <c r="D2651" i="25"/>
  <c r="D2650" i="25"/>
  <c r="D2649" i="25"/>
  <c r="D2648" i="25"/>
  <c r="D2647" i="25"/>
  <c r="D2646" i="25"/>
  <c r="D2645" i="25"/>
  <c r="D2644" i="25"/>
  <c r="D2643" i="25"/>
  <c r="D2642" i="25"/>
  <c r="D2641" i="25"/>
  <c r="D2640" i="25"/>
  <c r="D2639" i="25"/>
  <c r="D2638" i="25"/>
  <c r="D2637" i="25"/>
  <c r="D2636" i="25"/>
  <c r="D2635" i="25"/>
  <c r="D2634" i="25"/>
  <c r="D2633" i="25"/>
  <c r="D2632" i="25"/>
  <c r="D2631" i="25"/>
  <c r="D2630" i="25"/>
  <c r="D2629" i="25"/>
  <c r="D2628" i="25"/>
  <c r="D2627" i="25"/>
  <c r="D2626" i="25"/>
  <c r="D2625" i="25"/>
  <c r="D2624" i="25"/>
  <c r="D2623" i="25"/>
  <c r="D2622" i="25"/>
  <c r="D2621" i="25"/>
  <c r="D2620" i="25"/>
  <c r="D2619" i="25"/>
  <c r="D2618" i="25"/>
  <c r="D2617" i="25"/>
  <c r="D2616" i="25"/>
  <c r="D2615" i="25"/>
  <c r="D2614" i="25"/>
  <c r="D2613" i="25"/>
  <c r="D2612" i="25"/>
  <c r="D2611" i="25"/>
  <c r="D2610" i="25"/>
  <c r="D2609" i="25"/>
  <c r="D2608" i="25"/>
  <c r="D2175" i="25"/>
  <c r="D2174" i="25"/>
  <c r="D2173" i="25"/>
  <c r="D2172" i="25"/>
  <c r="D2171" i="25"/>
  <c r="D2170" i="25"/>
  <c r="D2169" i="25"/>
  <c r="D2168" i="25"/>
  <c r="D2167" i="25"/>
  <c r="D2166" i="25"/>
  <c r="D2165" i="25"/>
  <c r="D2164" i="25"/>
  <c r="D2163" i="25"/>
  <c r="D2162" i="25"/>
  <c r="D2161" i="25"/>
  <c r="D2160" i="25"/>
  <c r="D2159" i="25"/>
  <c r="D2158" i="25"/>
  <c r="D2157" i="25"/>
  <c r="D2156" i="25"/>
  <c r="D2155" i="25"/>
  <c r="D2154" i="25"/>
  <c r="D2153" i="25"/>
  <c r="D2152" i="25"/>
  <c r="D2151" i="25"/>
  <c r="D2150" i="25"/>
  <c r="D2149" i="25"/>
  <c r="D2148" i="25"/>
  <c r="D2147" i="25"/>
  <c r="D2146" i="25"/>
  <c r="D2145" i="25"/>
  <c r="D2144" i="25"/>
  <c r="D2143" i="25"/>
  <c r="D2142" i="25"/>
  <c r="D2141" i="25"/>
  <c r="D2140" i="25"/>
  <c r="D2139" i="25"/>
  <c r="D2138" i="25"/>
  <c r="D2137" i="25"/>
  <c r="D2136" i="25"/>
  <c r="D2135" i="25"/>
  <c r="D2134" i="25"/>
  <c r="D2133" i="25"/>
  <c r="D2132" i="25"/>
  <c r="D2131" i="25"/>
  <c r="D2130" i="25"/>
  <c r="D2129" i="25"/>
  <c r="D2128" i="25"/>
  <c r="D2127" i="25"/>
  <c r="D2126" i="25"/>
  <c r="D2125" i="25"/>
  <c r="D2124" i="25"/>
  <c r="D2123" i="25"/>
  <c r="D2122" i="25"/>
  <c r="D2121" i="25"/>
  <c r="D2120" i="25"/>
  <c r="D2119" i="25"/>
  <c r="D2118" i="25"/>
  <c r="D2117" i="25"/>
  <c r="D2116" i="25"/>
  <c r="D2115" i="25"/>
  <c r="D2114" i="25"/>
  <c r="D2113" i="25"/>
  <c r="D2112" i="25"/>
  <c r="D2111" i="25"/>
  <c r="D2110" i="25"/>
  <c r="D2109" i="25"/>
  <c r="D2108" i="25"/>
  <c r="D2107" i="25"/>
  <c r="D2106" i="25"/>
  <c r="D2105" i="25"/>
  <c r="D2104" i="25"/>
  <c r="D2103" i="25"/>
  <c r="D2102" i="25"/>
  <c r="D2101" i="25"/>
  <c r="D2100" i="25"/>
  <c r="D2099" i="25"/>
  <c r="D2098" i="25"/>
  <c r="D2097" i="25"/>
  <c r="D2096" i="25"/>
  <c r="D2095" i="25"/>
  <c r="D2094" i="25"/>
  <c r="D2093" i="25"/>
  <c r="D2092" i="25"/>
  <c r="D2091" i="25"/>
  <c r="D2090" i="25"/>
  <c r="D2089" i="25"/>
  <c r="D2088" i="25"/>
  <c r="D2087" i="25"/>
  <c r="D2086" i="25"/>
  <c r="D2085" i="25"/>
  <c r="D2084" i="25"/>
  <c r="D2083" i="25"/>
  <c r="D2082" i="25"/>
  <c r="D2081" i="25"/>
  <c r="D2080" i="25"/>
  <c r="D2079" i="25"/>
  <c r="D2078" i="25"/>
  <c r="D2077" i="25"/>
  <c r="D2076" i="25"/>
  <c r="D2075" i="25"/>
  <c r="D2074" i="25"/>
  <c r="D2073" i="25"/>
  <c r="D2072" i="25"/>
  <c r="D2071" i="25"/>
  <c r="D2070" i="25"/>
  <c r="D2069" i="25"/>
  <c r="D2068" i="25"/>
  <c r="D2067" i="25"/>
  <c r="D2066" i="25"/>
  <c r="D2065" i="25"/>
  <c r="D2064" i="25"/>
  <c r="D2063" i="25"/>
  <c r="D2062" i="25"/>
  <c r="D2061" i="25"/>
  <c r="D2060" i="25"/>
  <c r="D2059" i="25"/>
  <c r="D2058" i="25"/>
  <c r="D2057" i="25"/>
  <c r="D2056" i="25"/>
  <c r="D2055" i="25"/>
  <c r="D2054" i="25"/>
  <c r="D2053" i="25"/>
  <c r="D2052" i="25"/>
  <c r="D2010" i="25"/>
  <c r="D2009" i="25"/>
  <c r="D2051" i="25"/>
  <c r="D2050" i="25"/>
  <c r="D2049" i="25"/>
  <c r="D2048" i="25"/>
  <c r="D2047" i="25"/>
  <c r="D2046" i="25"/>
  <c r="D2045" i="25"/>
  <c r="D2044" i="25"/>
  <c r="D2043" i="25"/>
  <c r="D2042" i="25"/>
  <c r="D2041" i="25"/>
  <c r="D2040" i="25"/>
  <c r="D2039" i="25"/>
  <c r="D2038" i="25"/>
  <c r="D2037" i="25"/>
  <c r="D2036" i="25"/>
  <c r="D2035" i="25"/>
  <c r="D2034" i="25"/>
  <c r="D2033" i="25"/>
  <c r="D2032" i="25"/>
  <c r="D2031" i="25"/>
  <c r="D2030" i="25"/>
  <c r="D2028" i="25"/>
  <c r="D2027" i="25"/>
  <c r="D2026" i="25"/>
  <c r="D2025" i="25"/>
  <c r="D2024" i="25"/>
  <c r="D2023" i="25"/>
  <c r="D2022" i="25"/>
  <c r="D2021" i="25"/>
  <c r="D2020" i="25"/>
  <c r="D2019" i="25"/>
  <c r="D2018" i="25"/>
  <c r="D2017" i="25"/>
  <c r="D2016" i="25"/>
  <c r="D2015" i="25"/>
  <c r="D2014" i="25"/>
  <c r="D2013" i="25"/>
  <c r="D2012" i="25"/>
  <c r="D2011" i="25"/>
  <c r="D2029" i="25"/>
  <c r="D2007" i="25"/>
  <c r="D2006" i="25"/>
  <c r="D2005" i="25"/>
  <c r="D2004" i="25"/>
  <c r="D2003" i="25"/>
  <c r="D2002" i="25"/>
  <c r="D2001" i="25"/>
  <c r="D2000" i="25"/>
  <c r="D1999" i="25"/>
  <c r="D1998" i="25"/>
  <c r="D1997" i="25"/>
  <c r="D1996" i="25"/>
  <c r="D1995" i="25"/>
  <c r="D1994" i="25"/>
  <c r="D1993" i="25"/>
  <c r="D1992" i="25"/>
  <c r="D1991" i="25"/>
  <c r="D1990" i="25"/>
  <c r="D1989" i="25"/>
  <c r="D1988" i="25"/>
  <c r="D1987" i="25"/>
  <c r="D1986" i="25"/>
  <c r="D1984" i="25"/>
  <c r="D1983" i="25"/>
  <c r="D1982" i="25"/>
  <c r="D1981" i="25"/>
  <c r="D1980" i="25"/>
  <c r="D1979" i="25"/>
  <c r="D1978" i="25"/>
  <c r="D1977" i="25"/>
  <c r="D1976" i="25"/>
  <c r="D1975" i="25"/>
  <c r="D1974" i="25"/>
  <c r="D1973" i="25"/>
  <c r="D1972" i="25"/>
  <c r="D1971" i="25"/>
  <c r="D1970" i="25"/>
  <c r="D1969" i="25"/>
  <c r="D1968" i="25"/>
  <c r="D1967" i="25"/>
  <c r="D1966" i="25"/>
  <c r="D1965" i="25"/>
  <c r="D1964" i="25"/>
  <c r="D1963" i="25"/>
  <c r="D1962" i="25"/>
  <c r="D1961" i="25"/>
  <c r="D1960" i="25"/>
  <c r="D1959" i="25"/>
  <c r="D1958" i="25"/>
  <c r="D1957" i="25"/>
  <c r="D1956" i="25"/>
  <c r="D1955" i="25"/>
  <c r="D1954" i="25"/>
  <c r="D1953" i="25"/>
  <c r="D1952" i="25"/>
  <c r="D1951" i="25"/>
  <c r="D1950" i="25"/>
  <c r="D1949" i="25"/>
  <c r="D1948" i="25"/>
  <c r="D1947" i="25"/>
  <c r="D1946" i="25"/>
  <c r="D1945" i="25"/>
  <c r="D1944" i="25"/>
  <c r="D1943" i="25"/>
  <c r="D1942" i="25"/>
  <c r="D1941" i="25"/>
  <c r="D1940" i="25"/>
  <c r="D1939" i="25"/>
  <c r="D1938" i="25"/>
  <c r="D1937" i="25"/>
  <c r="D1936" i="25"/>
  <c r="D1935" i="25"/>
  <c r="D1934" i="25"/>
  <c r="D1933" i="25"/>
  <c r="D1932" i="25"/>
  <c r="D1931" i="25"/>
  <c r="D1930" i="25"/>
  <c r="D1929" i="25"/>
  <c r="D1928" i="25"/>
  <c r="D1927" i="25"/>
  <c r="D1926" i="25"/>
  <c r="D1925" i="25"/>
  <c r="D1924" i="25"/>
  <c r="D1923" i="25"/>
  <c r="D1922" i="25"/>
  <c r="D1921" i="25"/>
  <c r="D1920" i="25"/>
  <c r="D1919" i="25"/>
  <c r="D1918" i="25"/>
  <c r="D1917" i="25"/>
  <c r="D1916" i="25"/>
  <c r="D1915" i="25"/>
  <c r="D1914" i="25"/>
  <c r="D1913" i="25"/>
  <c r="D1912" i="25"/>
  <c r="D1911" i="25"/>
  <c r="D1910" i="25"/>
  <c r="D1909" i="25"/>
  <c r="D1908" i="25"/>
  <c r="D1907" i="25"/>
  <c r="D1906" i="25"/>
  <c r="D1905" i="25"/>
  <c r="D1904" i="25"/>
  <c r="D1903" i="25"/>
  <c r="D1902" i="25"/>
  <c r="D1901" i="25"/>
  <c r="D1900" i="25"/>
  <c r="D1899" i="25"/>
  <c r="D1898" i="25"/>
  <c r="D1897" i="25"/>
  <c r="D1896" i="25"/>
  <c r="D1895" i="25"/>
  <c r="D1894" i="25"/>
  <c r="D1893" i="25"/>
  <c r="D1892" i="25"/>
  <c r="D1891" i="25"/>
  <c r="D1890" i="25"/>
  <c r="D1889" i="25"/>
  <c r="D1888" i="25"/>
  <c r="D1887" i="25"/>
  <c r="D1886" i="25"/>
  <c r="D1885" i="25"/>
  <c r="D1884" i="25"/>
  <c r="D1883" i="25"/>
  <c r="D1882" i="25"/>
  <c r="D1881" i="25"/>
  <c r="D1880" i="25"/>
  <c r="D1879" i="25"/>
  <c r="D1878" i="25"/>
  <c r="D1877" i="25"/>
  <c r="D1876" i="25"/>
  <c r="D1875" i="25"/>
  <c r="D1874" i="25"/>
  <c r="D1869" i="25"/>
  <c r="D1873" i="25"/>
  <c r="D1872" i="25"/>
  <c r="D1871" i="25"/>
  <c r="D1870" i="25"/>
  <c r="D1863" i="25"/>
  <c r="D1861" i="25"/>
  <c r="D1862" i="25"/>
  <c r="D1868" i="25"/>
  <c r="D1867" i="25"/>
  <c r="D1866" i="25"/>
  <c r="D1865" i="25"/>
  <c r="D1864" i="25"/>
  <c r="D1860" i="25"/>
  <c r="D1859" i="25"/>
  <c r="D1858" i="25"/>
  <c r="D1857" i="25"/>
  <c r="D1856" i="25"/>
  <c r="D1855" i="25"/>
  <c r="D1854" i="25"/>
  <c r="D1853" i="25"/>
  <c r="D1852" i="25"/>
  <c r="D1851" i="25"/>
  <c r="D1850" i="25"/>
  <c r="D1849" i="25"/>
  <c r="D1848" i="25"/>
  <c r="D1847" i="25"/>
  <c r="D1846" i="25"/>
  <c r="D1845" i="25"/>
  <c r="D1844" i="25"/>
  <c r="D1843" i="25"/>
  <c r="D1842" i="25"/>
  <c r="D1841" i="25"/>
  <c r="D1840" i="25"/>
  <c r="D1839" i="25"/>
  <c r="D3544" i="25"/>
  <c r="D3543" i="25"/>
  <c r="D3542" i="25"/>
  <c r="D3541" i="25"/>
  <c r="D3540" i="25"/>
  <c r="D3539" i="25"/>
  <c r="D3538" i="25"/>
  <c r="D3537" i="25"/>
  <c r="D3536" i="25"/>
  <c r="D3535" i="25"/>
  <c r="D3534" i="25"/>
  <c r="D3533" i="25"/>
  <c r="D3532" i="25"/>
  <c r="D3531" i="25"/>
  <c r="D3530" i="25"/>
  <c r="D3529" i="25"/>
  <c r="D3528" i="25"/>
  <c r="D3527" i="25"/>
  <c r="D3526" i="25"/>
  <c r="D3525" i="25"/>
  <c r="D3524" i="25"/>
  <c r="D3523" i="25"/>
  <c r="D3522" i="25"/>
  <c r="D3521" i="25"/>
  <c r="D3520" i="25"/>
  <c r="D3519" i="25"/>
  <c r="D3518" i="25"/>
  <c r="D3517" i="25"/>
  <c r="D3516" i="25"/>
  <c r="D3515" i="25"/>
  <c r="D3514" i="25"/>
  <c r="D3513" i="25"/>
  <c r="D3512" i="25"/>
  <c r="D3511" i="25"/>
  <c r="D3510" i="25"/>
  <c r="D3509" i="25"/>
  <c r="D3508" i="25"/>
  <c r="D3507" i="25"/>
  <c r="D3506" i="25"/>
  <c r="D3505" i="25"/>
  <c r="D3504" i="25"/>
  <c r="D3503" i="25"/>
  <c r="D3502" i="25"/>
  <c r="D3501" i="25"/>
  <c r="D3500" i="25"/>
  <c r="D3499" i="25"/>
  <c r="D3498" i="25"/>
  <c r="D3497" i="25"/>
  <c r="D3496" i="25"/>
  <c r="D3495" i="25"/>
  <c r="D3494" i="25"/>
  <c r="D3493" i="25"/>
  <c r="D3492" i="25"/>
  <c r="D3491" i="25"/>
  <c r="D3490" i="25"/>
  <c r="D3489" i="25"/>
  <c r="D3488" i="25"/>
  <c r="D3487" i="25"/>
  <c r="D3486" i="25"/>
  <c r="D3485" i="25"/>
  <c r="D3484" i="25"/>
  <c r="D3483" i="25"/>
  <c r="D3482" i="25"/>
  <c r="D3481" i="25"/>
  <c r="D3480" i="25"/>
  <c r="D3479" i="25"/>
  <c r="D3478" i="25"/>
  <c r="D3477" i="25"/>
  <c r="D3476" i="25"/>
  <c r="D3475" i="25"/>
  <c r="D3474" i="25"/>
  <c r="D3473" i="25"/>
  <c r="D3472" i="25"/>
  <c r="D3471" i="25"/>
  <c r="D3470" i="25"/>
  <c r="D3469" i="25"/>
  <c r="D3468" i="25"/>
  <c r="D3467" i="25"/>
  <c r="D3466" i="25"/>
  <c r="D3465" i="25"/>
  <c r="D3464" i="25"/>
  <c r="D3463" i="25"/>
  <c r="D3462" i="25"/>
  <c r="D3461" i="25"/>
  <c r="D3460" i="25"/>
  <c r="D3459" i="25"/>
  <c r="D3458" i="25"/>
  <c r="D3457" i="25"/>
  <c r="D3456" i="25"/>
  <c r="D3455" i="25"/>
  <c r="D3454" i="25"/>
  <c r="D3453" i="25"/>
  <c r="D3452" i="25"/>
  <c r="D3451" i="25"/>
  <c r="D3450" i="25"/>
  <c r="D3449" i="25"/>
  <c r="D3448" i="25"/>
  <c r="D3447" i="25"/>
  <c r="D3446" i="25"/>
  <c r="D3445" i="25"/>
  <c r="D3444" i="25"/>
  <c r="D3443" i="25"/>
  <c r="D3442" i="25"/>
  <c r="D3441" i="25"/>
  <c r="D3440" i="25"/>
  <c r="D3439" i="25"/>
  <c r="D3438" i="25"/>
  <c r="D3437" i="25"/>
  <c r="D3436" i="25"/>
  <c r="D3435" i="25"/>
  <c r="D3434" i="25"/>
  <c r="D3433" i="25"/>
  <c r="D3432" i="25"/>
  <c r="D3431" i="25"/>
  <c r="D3430" i="25"/>
  <c r="D3429" i="25"/>
  <c r="D3428" i="25"/>
  <c r="D3427" i="25"/>
  <c r="D3426" i="25"/>
  <c r="D3425" i="25"/>
  <c r="D3424" i="25"/>
  <c r="D3423" i="25"/>
  <c r="D3422" i="25"/>
  <c r="D3421" i="25"/>
  <c r="D3420" i="25"/>
  <c r="D3419" i="25"/>
  <c r="D3418" i="25"/>
  <c r="D3417" i="25"/>
  <c r="D3416" i="25"/>
  <c r="D3415" i="25"/>
  <c r="D3414" i="25"/>
  <c r="D3413" i="25"/>
  <c r="D3412" i="25"/>
  <c r="D3411" i="25"/>
  <c r="D3410" i="25"/>
  <c r="D3409" i="25"/>
  <c r="D3408" i="25"/>
  <c r="D3407" i="25"/>
  <c r="D3406" i="25"/>
  <c r="D3405" i="25"/>
  <c r="D3404" i="25"/>
  <c r="D3403" i="25"/>
  <c r="D3402" i="25"/>
  <c r="D3401" i="25"/>
  <c r="D3400" i="25"/>
  <c r="D3399" i="25"/>
  <c r="D3398" i="25"/>
  <c r="D3397" i="25"/>
  <c r="D3396" i="25"/>
  <c r="D3395" i="25"/>
  <c r="D3394" i="25"/>
  <c r="D3393" i="25"/>
  <c r="D3392" i="25"/>
  <c r="D3391" i="25"/>
  <c r="D3390" i="25"/>
  <c r="D3389" i="25"/>
  <c r="D3388" i="25"/>
  <c r="D3387" i="25"/>
  <c r="D3386" i="25"/>
  <c r="D3385" i="25"/>
  <c r="D3384" i="25"/>
  <c r="D3383" i="25"/>
  <c r="D3382" i="25"/>
  <c r="D3381" i="25"/>
  <c r="D3371" i="25"/>
  <c r="D3370" i="25"/>
  <c r="D3369" i="25"/>
  <c r="D3368" i="25"/>
  <c r="D3367" i="25"/>
  <c r="D3366" i="25"/>
  <c r="D3365" i="25"/>
  <c r="D3364" i="25"/>
  <c r="D3363" i="25"/>
  <c r="D3362" i="25"/>
  <c r="D3361" i="25"/>
  <c r="D3355" i="25"/>
  <c r="D3354" i="25"/>
  <c r="D3380" i="25"/>
  <c r="D3379" i="25"/>
  <c r="D3378" i="25"/>
  <c r="D3377" i="25"/>
  <c r="D3376" i="25"/>
  <c r="D3375" i="25"/>
  <c r="D3374" i="25"/>
  <c r="D3373" i="25"/>
  <c r="D3372" i="25"/>
  <c r="D3360" i="25"/>
  <c r="D3359" i="25"/>
  <c r="D3358" i="25"/>
  <c r="D3357" i="25"/>
  <c r="D3356" i="25"/>
  <c r="D3353" i="25"/>
  <c r="D3352" i="25"/>
  <c r="D3351" i="25"/>
  <c r="D3350" i="25"/>
  <c r="D3349" i="25"/>
  <c r="D3348" i="25"/>
  <c r="D3347" i="25"/>
  <c r="D3346" i="25"/>
  <c r="D3345" i="25"/>
  <c r="D3344" i="25"/>
  <c r="D3343" i="25"/>
  <c r="D3342" i="25"/>
  <c r="D3341" i="25"/>
  <c r="D3340" i="25"/>
  <c r="D2593" i="25"/>
  <c r="D2592" i="25"/>
  <c r="D2591" i="25"/>
  <c r="D2590" i="25"/>
  <c r="D2589" i="25"/>
  <c r="D2588" i="25"/>
  <c r="D2587" i="25"/>
  <c r="D2586" i="25"/>
  <c r="D2585" i="25"/>
  <c r="D2584" i="25"/>
  <c r="D2583" i="25"/>
  <c r="D2582" i="25"/>
  <c r="D2581" i="25"/>
  <c r="D2580" i="25"/>
  <c r="D2579" i="25"/>
  <c r="D2578" i="25"/>
  <c r="D2577" i="25"/>
  <c r="D2576" i="25"/>
  <c r="D2575" i="25"/>
  <c r="D2574" i="25"/>
  <c r="D2573" i="25"/>
  <c r="D2572" i="25"/>
  <c r="D2571" i="25"/>
  <c r="D2570" i="25"/>
  <c r="D2569" i="25"/>
  <c r="D2568" i="25"/>
  <c r="D2567" i="25"/>
  <c r="D2566" i="25"/>
  <c r="D2565" i="25"/>
  <c r="D2564" i="25"/>
  <c r="D2563" i="25"/>
  <c r="D2562" i="25"/>
  <c r="D2561" i="25"/>
  <c r="D2560" i="25"/>
  <c r="D2559" i="25"/>
  <c r="D2558" i="25"/>
  <c r="D2557" i="25"/>
  <c r="D2556" i="25"/>
  <c r="D2555" i="25"/>
  <c r="D2554" i="25"/>
  <c r="D2553" i="25"/>
  <c r="D2552" i="25"/>
  <c r="D2551" i="25"/>
  <c r="D2550" i="25"/>
  <c r="D2549" i="25"/>
  <c r="D2548" i="25"/>
  <c r="D2547" i="25"/>
  <c r="D2546" i="25"/>
  <c r="D2545" i="25"/>
  <c r="D2544" i="25"/>
  <c r="D2543" i="25"/>
  <c r="D2542" i="25"/>
  <c r="D2541" i="25"/>
  <c r="D2540" i="25"/>
  <c r="D2539" i="25"/>
  <c r="D2538" i="25"/>
  <c r="D2537" i="25"/>
  <c r="D2536" i="25"/>
  <c r="D2535" i="25"/>
  <c r="D2534" i="25"/>
  <c r="D2533" i="25"/>
  <c r="D2532" i="25"/>
  <c r="D2531" i="25"/>
  <c r="D2530" i="25"/>
  <c r="D2529" i="25"/>
  <c r="D2528" i="25"/>
  <c r="D2527" i="25"/>
  <c r="D2526" i="25"/>
  <c r="D2525" i="25"/>
  <c r="D2524" i="25"/>
  <c r="D2523" i="25"/>
  <c r="D2522" i="25"/>
  <c r="D2521" i="25"/>
  <c r="D2520" i="25"/>
  <c r="D2519" i="25"/>
  <c r="D2518" i="25"/>
  <c r="D2517" i="25"/>
  <c r="D2516" i="25"/>
  <c r="D2515" i="25"/>
  <c r="D2514" i="25"/>
  <c r="D2513" i="25"/>
  <c r="D2512" i="25"/>
  <c r="D2511" i="25"/>
  <c r="D2510" i="25"/>
  <c r="D2509" i="25"/>
  <c r="D2508" i="25"/>
  <c r="D2507" i="25"/>
  <c r="D2506" i="25"/>
  <c r="D2505" i="25"/>
  <c r="D2504" i="25"/>
  <c r="D2503" i="25"/>
  <c r="D2502" i="25"/>
  <c r="D2501" i="25"/>
  <c r="D2500" i="25"/>
  <c r="D2499" i="25"/>
  <c r="D2498" i="25"/>
  <c r="D2497" i="25"/>
  <c r="D2496" i="25"/>
  <c r="D2495" i="25"/>
  <c r="D2494" i="25"/>
  <c r="D2493" i="25"/>
  <c r="D2492" i="25"/>
  <c r="D2491" i="25"/>
  <c r="D2490" i="25"/>
  <c r="D2489" i="25"/>
  <c r="D2488" i="25"/>
  <c r="D2487" i="25"/>
  <c r="D2486" i="25"/>
  <c r="D2485" i="25"/>
  <c r="D2484" i="25"/>
  <c r="D2483" i="25"/>
  <c r="D2482" i="25"/>
  <c r="D2481" i="25"/>
  <c r="D2480" i="25"/>
  <c r="D2479" i="25"/>
  <c r="D2478" i="25"/>
  <c r="D2477" i="25"/>
  <c r="D2476" i="25"/>
  <c r="D2475" i="25"/>
  <c r="D2474" i="25"/>
  <c r="D2473" i="25"/>
  <c r="D2472" i="25"/>
  <c r="D2471" i="25"/>
  <c r="D2470" i="25"/>
  <c r="D2469" i="25"/>
  <c r="D2468" i="25"/>
  <c r="D2467" i="25"/>
  <c r="D2466" i="25"/>
  <c r="D2465" i="25"/>
  <c r="D2464" i="25"/>
  <c r="D2463" i="25"/>
  <c r="D2462" i="25"/>
  <c r="D2461" i="25"/>
  <c r="D2460" i="25"/>
  <c r="D2459" i="25"/>
  <c r="D2458" i="25"/>
  <c r="D2457" i="25"/>
  <c r="D2456" i="25"/>
  <c r="D1032" i="25"/>
  <c r="D1031" i="25"/>
  <c r="D1027" i="25"/>
  <c r="D1022" i="25"/>
  <c r="D1021" i="25"/>
  <c r="D1020" i="25"/>
  <c r="D1019" i="25"/>
  <c r="D1017" i="25"/>
  <c r="D963" i="25"/>
  <c r="D962" i="25"/>
  <c r="D961" i="25"/>
  <c r="D960" i="25"/>
  <c r="D959" i="25"/>
  <c r="D958" i="25"/>
  <c r="D957" i="25"/>
  <c r="D956" i="25"/>
  <c r="D955" i="25"/>
  <c r="D954" i="25"/>
  <c r="D953" i="25"/>
  <c r="D952" i="25"/>
  <c r="D951" i="25"/>
  <c r="D950" i="25"/>
  <c r="D949" i="25"/>
  <c r="D946" i="25"/>
  <c r="D945" i="25"/>
  <c r="D944" i="25"/>
  <c r="D943" i="25"/>
  <c r="D942" i="25"/>
  <c r="D941" i="25"/>
  <c r="D940" i="25"/>
  <c r="D939" i="25"/>
  <c r="D938" i="25"/>
  <c r="D937" i="25"/>
  <c r="D936" i="25"/>
  <c r="D1016" i="25"/>
  <c r="D1015" i="25"/>
  <c r="D1014" i="25"/>
  <c r="D1013" i="25"/>
  <c r="D1012" i="25"/>
  <c r="D1011" i="25"/>
  <c r="D1010" i="25"/>
  <c r="D1009" i="25"/>
  <c r="D1008" i="25"/>
  <c r="D1007" i="25"/>
  <c r="D1006" i="25"/>
  <c r="D1005" i="25"/>
  <c r="D1004" i="25"/>
  <c r="D1003" i="25"/>
  <c r="D1002" i="25"/>
  <c r="D1001" i="25"/>
  <c r="D1000" i="25"/>
  <c r="D999" i="25"/>
  <c r="D998" i="25"/>
  <c r="D997" i="25"/>
  <c r="D996" i="25"/>
  <c r="D995" i="25"/>
  <c r="D994" i="25"/>
  <c r="D993" i="25"/>
  <c r="D992" i="25"/>
  <c r="D991" i="25"/>
  <c r="D990" i="25"/>
  <c r="D989" i="25"/>
  <c r="D988" i="25"/>
  <c r="D987" i="25"/>
  <c r="D986" i="25"/>
  <c r="D985" i="25"/>
  <c r="D984" i="25"/>
  <c r="D983" i="25"/>
  <c r="D982" i="25"/>
  <c r="D981" i="25"/>
  <c r="D980" i="25"/>
  <c r="D979" i="25"/>
  <c r="D978" i="25"/>
  <c r="D977" i="25"/>
  <c r="D976" i="25"/>
  <c r="D975" i="25"/>
  <c r="D974" i="25"/>
  <c r="D973" i="25"/>
  <c r="D972" i="25"/>
  <c r="D971" i="25"/>
  <c r="D970" i="25"/>
  <c r="D969" i="25"/>
  <c r="D968" i="25"/>
  <c r="D967" i="25"/>
  <c r="D966" i="25"/>
  <c r="D965" i="25"/>
  <c r="D964" i="25"/>
  <c r="D935" i="25"/>
  <c r="D934" i="25"/>
  <c r="D933" i="25"/>
  <c r="D932" i="25"/>
  <c r="D931" i="25"/>
  <c r="D930" i="25"/>
  <c r="D929" i="25"/>
  <c r="D928" i="25"/>
  <c r="D926" i="25"/>
  <c r="D925" i="25"/>
  <c r="D924" i="25"/>
  <c r="D923" i="25"/>
  <c r="D922" i="25"/>
  <c r="D921" i="25"/>
  <c r="D920" i="25"/>
  <c r="D919" i="25"/>
  <c r="D918" i="25"/>
  <c r="D917" i="25"/>
  <c r="D916" i="25"/>
  <c r="D915" i="25"/>
  <c r="D914" i="25"/>
  <c r="D913" i="25"/>
  <c r="D912" i="25"/>
  <c r="D908" i="25"/>
  <c r="D906" i="25"/>
  <c r="D904" i="25"/>
  <c r="D903" i="25"/>
  <c r="D902" i="25"/>
  <c r="D901" i="25"/>
  <c r="D900" i="25"/>
  <c r="D899" i="25"/>
  <c r="D898" i="25"/>
  <c r="D897" i="25"/>
  <c r="D896" i="25"/>
  <c r="D895" i="25"/>
  <c r="D894" i="25"/>
  <c r="D893" i="25"/>
  <c r="D892" i="25"/>
  <c r="D891" i="25"/>
  <c r="D890" i="25"/>
  <c r="D889" i="25"/>
  <c r="D888" i="25"/>
  <c r="D887" i="25"/>
  <c r="D886" i="25"/>
  <c r="D885" i="25"/>
  <c r="D884" i="25"/>
  <c r="D883" i="25"/>
  <c r="D882" i="25"/>
  <c r="D881" i="25"/>
  <c r="D880" i="25"/>
  <c r="D879" i="25"/>
  <c r="D878" i="25"/>
  <c r="D877" i="25"/>
  <c r="D876" i="25"/>
  <c r="D875" i="25"/>
  <c r="D874" i="25"/>
  <c r="D873" i="25"/>
  <c r="D872" i="25"/>
  <c r="D871" i="25"/>
  <c r="D870" i="25"/>
  <c r="D869" i="25"/>
  <c r="D868" i="25"/>
  <c r="D867" i="25"/>
  <c r="D866" i="25"/>
  <c r="D865" i="25"/>
  <c r="D864" i="25"/>
  <c r="D863" i="25"/>
  <c r="D862" i="25"/>
  <c r="D861" i="25"/>
  <c r="D860" i="25"/>
  <c r="D859" i="25"/>
  <c r="D857" i="25"/>
  <c r="D856" i="25"/>
  <c r="D855" i="25"/>
  <c r="D853" i="25"/>
  <c r="D850" i="25"/>
  <c r="D848" i="25"/>
  <c r="D847" i="25"/>
  <c r="D846" i="25"/>
  <c r="D845" i="25"/>
  <c r="D844" i="25"/>
  <c r="D843" i="25"/>
  <c r="D842" i="25"/>
  <c r="D841" i="25"/>
  <c r="D840" i="25"/>
  <c r="D839" i="25"/>
  <c r="D838" i="25"/>
  <c r="D618" i="25"/>
  <c r="D617" i="25"/>
  <c r="D616" i="25"/>
  <c r="D615" i="25"/>
  <c r="D614" i="25"/>
  <c r="D613" i="25"/>
  <c r="D612" i="25"/>
  <c r="D611" i="25"/>
  <c r="D610" i="25"/>
  <c r="D609" i="25"/>
  <c r="D608" i="25"/>
  <c r="D607" i="25"/>
  <c r="D606" i="25"/>
  <c r="D605" i="25"/>
  <c r="D604" i="25"/>
  <c r="D603" i="25"/>
  <c r="D602" i="25"/>
  <c r="D601" i="25"/>
  <c r="D600" i="25"/>
  <c r="D599" i="25"/>
  <c r="D598" i="25"/>
  <c r="D597" i="25"/>
  <c r="D596" i="25"/>
  <c r="D595" i="25"/>
  <c r="D594" i="25"/>
  <c r="D593" i="25"/>
  <c r="D592" i="25"/>
  <c r="D591" i="25"/>
  <c r="D590" i="25"/>
  <c r="D589" i="25"/>
  <c r="D588" i="25"/>
  <c r="D587" i="25"/>
  <c r="D586" i="25"/>
  <c r="D585" i="25"/>
  <c r="D584" i="25"/>
  <c r="D583" i="25"/>
  <c r="D743" i="25"/>
  <c r="D742" i="25"/>
  <c r="D741" i="25"/>
  <c r="D740" i="25"/>
  <c r="D739" i="25"/>
  <c r="D738" i="25"/>
  <c r="D737" i="25"/>
  <c r="D736" i="25"/>
  <c r="D735" i="25"/>
  <c r="D734" i="25"/>
  <c r="D733" i="25"/>
  <c r="D732" i="25"/>
  <c r="D731" i="25"/>
  <c r="D730" i="25"/>
  <c r="D729" i="25"/>
  <c r="D728" i="25"/>
  <c r="D727" i="25"/>
  <c r="D726" i="25"/>
  <c r="D725" i="25"/>
  <c r="D724" i="25"/>
  <c r="D723" i="25"/>
  <c r="D722" i="25"/>
  <c r="D721" i="25"/>
  <c r="D720" i="25"/>
  <c r="D719" i="25"/>
  <c r="D718" i="25"/>
  <c r="D717" i="25"/>
  <c r="D716" i="25"/>
  <c r="D715" i="25"/>
  <c r="D714" i="25"/>
  <c r="D713" i="25"/>
  <c r="D712" i="25"/>
  <c r="D711" i="25"/>
  <c r="D710" i="25"/>
  <c r="D709" i="25"/>
  <c r="D708" i="25"/>
  <c r="D707" i="25"/>
  <c r="D706" i="25"/>
  <c r="D705" i="25"/>
  <c r="D704" i="25"/>
  <c r="D703" i="25"/>
  <c r="D702" i="25"/>
  <c r="D701" i="25"/>
  <c r="D700" i="25"/>
  <c r="D699" i="25"/>
  <c r="D698" i="25"/>
  <c r="D697" i="25"/>
  <c r="D696" i="25"/>
  <c r="D695" i="25"/>
  <c r="D694" i="25"/>
  <c r="D693" i="25"/>
  <c r="D692" i="25"/>
  <c r="D691" i="25"/>
  <c r="D690" i="25"/>
  <c r="D689" i="25"/>
  <c r="D688" i="25"/>
  <c r="D687" i="25"/>
  <c r="D686" i="25"/>
  <c r="D685" i="25"/>
  <c r="D684" i="25"/>
  <c r="D683" i="25"/>
  <c r="D682" i="25"/>
  <c r="D681" i="25"/>
  <c r="D680" i="25"/>
  <c r="D679" i="25"/>
  <c r="D678" i="25"/>
  <c r="D677" i="25"/>
  <c r="D676" i="25"/>
  <c r="D675" i="25"/>
  <c r="D674" i="25"/>
  <c r="D673" i="25"/>
  <c r="D672" i="25"/>
  <c r="D671" i="25"/>
  <c r="D670" i="25"/>
  <c r="D669" i="25"/>
  <c r="D668" i="25"/>
  <c r="D667" i="25"/>
  <c r="D666" i="25"/>
  <c r="D665" i="25"/>
  <c r="D664" i="25"/>
  <c r="D663" i="25"/>
  <c r="D662" i="25"/>
  <c r="D661" i="25"/>
  <c r="D660" i="25"/>
  <c r="D659" i="25"/>
  <c r="D658" i="25"/>
  <c r="D657" i="25"/>
  <c r="D656" i="25"/>
  <c r="D655" i="25"/>
  <c r="D654" i="25"/>
  <c r="D653" i="25"/>
  <c r="D652" i="25"/>
  <c r="D651" i="25"/>
  <c r="D650" i="25"/>
  <c r="D649" i="25"/>
  <c r="D648" i="25"/>
  <c r="D647" i="25"/>
  <c r="D646" i="25"/>
  <c r="D645" i="25"/>
  <c r="D644" i="25"/>
  <c r="D643" i="25"/>
  <c r="D642" i="25"/>
  <c r="D641" i="25"/>
  <c r="D640" i="25"/>
  <c r="D639" i="25"/>
  <c r="D638" i="25"/>
  <c r="D637" i="25"/>
  <c r="D636" i="25"/>
  <c r="D635" i="25"/>
  <c r="D634" i="25"/>
  <c r="D633" i="25"/>
  <c r="D632" i="25"/>
  <c r="D631" i="25"/>
  <c r="D630" i="25"/>
  <c r="D629" i="25"/>
  <c r="D628" i="25"/>
  <c r="D627" i="25"/>
  <c r="D626" i="25"/>
  <c r="D625" i="25"/>
  <c r="D624" i="25"/>
  <c r="D623" i="25"/>
  <c r="D622" i="25"/>
  <c r="D621" i="25"/>
  <c r="D620" i="25"/>
  <c r="D619" i="25"/>
  <c r="D582" i="25"/>
  <c r="D581" i="25"/>
  <c r="D580" i="25"/>
  <c r="D579" i="25"/>
  <c r="D578" i="25"/>
  <c r="D577" i="25"/>
  <c r="D576" i="25"/>
  <c r="D575" i="25"/>
  <c r="D574" i="25"/>
  <c r="D573" i="25"/>
  <c r="D572" i="25"/>
  <c r="D571" i="25"/>
  <c r="D570" i="25"/>
  <c r="D569" i="25"/>
  <c r="D568" i="25"/>
  <c r="D567" i="25"/>
  <c r="D566" i="25"/>
  <c r="D565" i="25"/>
  <c r="D564" i="25"/>
  <c r="D563" i="25"/>
  <c r="D562" i="25"/>
  <c r="D561" i="25"/>
  <c r="D560" i="25"/>
  <c r="D559" i="25"/>
  <c r="D558" i="25"/>
  <c r="D557" i="25"/>
  <c r="D556" i="25"/>
  <c r="D555" i="25"/>
  <c r="D554" i="25"/>
  <c r="D553" i="25"/>
  <c r="D552" i="25"/>
  <c r="D551" i="25"/>
  <c r="D550" i="25"/>
  <c r="D549" i="25"/>
  <c r="D548" i="25"/>
  <c r="D547" i="25"/>
  <c r="D546" i="25"/>
  <c r="D545" i="25"/>
  <c r="D544" i="25"/>
  <c r="D543" i="25"/>
  <c r="D542" i="25"/>
  <c r="D541" i="25"/>
  <c r="D540" i="25"/>
  <c r="D539" i="25"/>
  <c r="D538" i="25"/>
  <c r="D537" i="25"/>
  <c r="D536" i="25"/>
  <c r="D535" i="25"/>
  <c r="D534" i="25"/>
  <c r="D533" i="25"/>
  <c r="D532" i="25"/>
  <c r="D531" i="25"/>
  <c r="D530" i="25"/>
  <c r="D529" i="25"/>
  <c r="D528" i="25"/>
  <c r="D527" i="25"/>
  <c r="D526" i="25"/>
  <c r="D525" i="25"/>
  <c r="D524" i="25"/>
  <c r="D523" i="25"/>
  <c r="D522" i="25"/>
  <c r="D1838" i="25"/>
  <c r="D1837" i="25"/>
  <c r="D1836" i="25"/>
  <c r="D1835" i="25"/>
  <c r="D1834" i="25"/>
  <c r="D1833" i="25"/>
  <c r="D1832" i="25"/>
  <c r="D1831" i="25"/>
  <c r="D1830" i="25"/>
  <c r="D1829" i="25"/>
  <c r="D1828" i="25"/>
  <c r="D1827" i="25"/>
  <c r="D1826" i="25"/>
  <c r="D1825" i="25"/>
  <c r="D1824" i="25"/>
  <c r="D1823" i="25"/>
  <c r="D1822" i="25"/>
  <c r="D1821" i="25"/>
  <c r="D1820" i="25"/>
  <c r="D1819" i="25"/>
  <c r="D1818" i="25"/>
  <c r="D1817" i="25"/>
  <c r="D1816" i="25"/>
  <c r="D1815" i="25"/>
  <c r="D1814" i="25"/>
  <c r="D1813" i="25"/>
  <c r="D1812" i="25"/>
  <c r="D1811" i="25"/>
  <c r="D1810" i="25"/>
  <c r="D1809" i="25"/>
  <c r="D1808" i="25"/>
  <c r="D1807" i="25"/>
  <c r="D1806" i="25"/>
  <c r="D1805" i="25"/>
  <c r="D1804" i="25"/>
  <c r="D1803" i="25"/>
  <c r="D1802" i="25"/>
  <c r="D1801" i="25"/>
  <c r="D1800" i="25"/>
  <c r="D1799" i="25"/>
  <c r="D1798" i="25"/>
  <c r="D1797" i="25"/>
  <c r="D1796" i="25"/>
  <c r="D1795" i="25"/>
  <c r="D1794" i="25"/>
  <c r="D1793" i="25"/>
  <c r="D1792" i="25"/>
  <c r="D1791" i="25"/>
  <c r="D1790" i="25"/>
  <c r="D1789" i="25"/>
  <c r="D1788" i="25"/>
  <c r="D1787" i="25"/>
  <c r="D1786" i="25"/>
  <c r="D1785" i="25"/>
  <c r="D1784" i="25"/>
  <c r="D1783" i="25"/>
  <c r="D1782" i="25"/>
  <c r="D1781" i="25"/>
  <c r="D1780" i="25"/>
  <c r="D1779" i="25"/>
  <c r="D1778" i="25"/>
  <c r="D1777" i="25"/>
  <c r="D1776" i="25"/>
  <c r="D1775" i="25"/>
  <c r="D1774" i="25"/>
  <c r="D1773" i="25"/>
  <c r="D1772" i="25"/>
  <c r="D1771" i="25"/>
  <c r="D1770" i="25"/>
  <c r="D1769" i="25"/>
  <c r="D1768" i="25"/>
  <c r="D1767" i="25"/>
  <c r="D1766" i="25"/>
  <c r="D1765" i="25"/>
  <c r="D1764" i="25"/>
  <c r="D1763" i="25"/>
  <c r="D1762" i="25"/>
  <c r="D1761" i="25"/>
  <c r="D1760" i="25"/>
  <c r="D1759" i="25"/>
  <c r="D1758" i="25"/>
  <c r="D1757" i="25"/>
  <c r="D1756" i="25"/>
  <c r="D1755" i="25"/>
  <c r="D1754" i="25"/>
  <c r="D1753" i="25"/>
  <c r="D1752" i="25"/>
  <c r="D1751" i="25"/>
  <c r="D1750" i="25"/>
  <c r="D1749" i="25"/>
  <c r="D1748" i="25"/>
  <c r="D1747" i="25"/>
  <c r="D1746" i="25"/>
  <c r="D1745" i="25"/>
  <c r="D1744" i="25"/>
  <c r="D1743" i="25"/>
  <c r="D1742" i="25"/>
  <c r="D1741" i="25"/>
  <c r="D1740" i="25"/>
  <c r="D1739" i="25"/>
  <c r="D1738" i="25"/>
  <c r="D1737" i="25"/>
  <c r="D1736" i="25"/>
  <c r="D1735" i="25"/>
  <c r="D1734" i="25"/>
  <c r="D1733" i="25"/>
  <c r="D1732" i="25"/>
  <c r="D1731" i="25"/>
  <c r="D1730" i="25"/>
  <c r="D1729" i="25"/>
  <c r="D1728" i="25"/>
  <c r="D1727" i="25"/>
  <c r="D1726" i="25"/>
  <c r="D1725" i="25"/>
  <c r="D1724" i="25"/>
  <c r="D1723" i="25"/>
  <c r="D1722" i="25"/>
  <c r="D1721" i="25"/>
  <c r="D1720" i="25"/>
  <c r="D1719" i="25"/>
  <c r="D1718" i="25"/>
  <c r="D1717" i="25"/>
  <c r="D1716" i="25"/>
  <c r="D1715" i="25"/>
  <c r="D1714" i="25"/>
  <c r="D1713" i="25"/>
  <c r="D1712" i="25"/>
  <c r="D1711" i="25"/>
  <c r="D1710" i="25"/>
  <c r="D1709" i="25"/>
  <c r="D1708" i="25"/>
  <c r="D1707" i="25"/>
  <c r="D1706" i="25"/>
  <c r="D1705" i="25"/>
  <c r="D1704" i="25"/>
  <c r="D1703" i="25"/>
  <c r="D1662" i="25"/>
  <c r="D1661" i="25"/>
  <c r="D1660" i="25"/>
  <c r="D1659" i="25"/>
  <c r="D1658" i="25"/>
  <c r="D1657" i="25"/>
  <c r="D1656" i="25"/>
  <c r="D1655" i="25"/>
  <c r="D1702" i="25"/>
  <c r="D1701" i="25"/>
  <c r="D1700" i="25"/>
  <c r="D1699" i="25"/>
  <c r="D1698" i="25"/>
  <c r="D1697" i="25"/>
  <c r="D1696" i="25"/>
  <c r="D1695" i="25"/>
  <c r="D1694" i="25"/>
  <c r="D1693" i="25"/>
  <c r="D1692" i="25"/>
  <c r="D1691" i="25"/>
  <c r="D1690" i="25"/>
  <c r="D1689" i="25"/>
  <c r="D1688" i="25"/>
  <c r="D1687" i="25"/>
  <c r="D1686" i="25"/>
  <c r="D1685" i="25"/>
  <c r="D1684" i="25"/>
  <c r="D1683" i="25"/>
  <c r="D1682" i="25"/>
  <c r="D1681" i="25"/>
  <c r="D1680" i="25"/>
  <c r="D1679" i="25"/>
  <c r="D1678" i="25"/>
  <c r="D1677" i="25"/>
  <c r="D1676" i="25"/>
  <c r="D1675" i="25"/>
  <c r="D1674" i="25"/>
  <c r="D1673" i="25"/>
  <c r="D1672" i="25"/>
  <c r="D1671" i="25"/>
  <c r="D1670" i="25"/>
  <c r="D1669" i="25"/>
  <c r="D1668" i="25"/>
  <c r="D1667" i="25"/>
  <c r="D1666" i="25"/>
  <c r="D1665" i="25"/>
  <c r="D1664" i="25"/>
  <c r="D1663" i="25"/>
  <c r="D1654" i="25"/>
  <c r="D1653" i="25"/>
  <c r="D1652" i="25"/>
  <c r="D1651" i="25"/>
  <c r="D1650" i="25"/>
  <c r="D1649" i="25"/>
  <c r="D1648" i="25"/>
  <c r="D1647" i="25"/>
  <c r="D1646" i="25"/>
  <c r="D1645" i="25"/>
  <c r="D1644" i="25"/>
  <c r="D1643" i="25"/>
  <c r="D1642" i="25"/>
  <c r="D1641" i="25"/>
  <c r="D1640" i="25"/>
  <c r="D1639" i="25"/>
  <c r="D1638" i="25"/>
  <c r="D1637" i="25"/>
  <c r="D1636" i="25"/>
  <c r="D1635" i="25"/>
  <c r="D1634" i="25"/>
  <c r="D1633" i="25"/>
  <c r="D1156" i="25"/>
  <c r="D1155" i="25"/>
  <c r="D1154" i="25"/>
  <c r="D1153" i="25"/>
  <c r="D1152" i="25"/>
  <c r="D1151" i="25"/>
  <c r="D1150" i="25"/>
  <c r="D1149" i="25"/>
  <c r="D1148" i="25"/>
  <c r="D1147" i="25"/>
  <c r="D1146" i="25"/>
  <c r="D1145" i="25"/>
  <c r="D1144" i="25"/>
  <c r="D1143" i="25"/>
  <c r="D1142" i="25"/>
  <c r="D1141" i="25"/>
  <c r="D1140" i="25"/>
  <c r="D1139" i="25"/>
  <c r="D1138" i="25"/>
  <c r="D1137" i="25"/>
  <c r="D1136" i="25"/>
  <c r="D1135" i="25"/>
  <c r="D1134" i="25"/>
  <c r="D1133" i="25"/>
  <c r="D1132" i="25"/>
  <c r="D1131" i="25"/>
  <c r="D1130" i="25"/>
  <c r="D1129" i="25"/>
  <c r="D1107" i="25"/>
  <c r="D1106" i="25"/>
  <c r="D1105" i="25"/>
  <c r="D1104" i="25"/>
  <c r="D1103" i="25"/>
  <c r="D1102" i="25"/>
  <c r="D1101" i="25"/>
  <c r="D1100" i="25"/>
  <c r="D1099" i="25"/>
  <c r="D1098" i="25"/>
  <c r="D1097" i="25"/>
  <c r="D1096" i="25"/>
  <c r="D1095" i="25"/>
  <c r="D1094" i="25"/>
  <c r="D1093" i="25"/>
  <c r="D1092" i="25"/>
  <c r="D1091" i="25"/>
  <c r="D1090" i="25"/>
  <c r="D1089" i="25"/>
  <c r="D1088" i="25"/>
  <c r="D1087" i="25"/>
  <c r="D1086" i="25"/>
  <c r="D1085" i="25"/>
  <c r="D1084" i="25"/>
  <c r="D1083" i="25"/>
  <c r="D1082" i="25"/>
  <c r="D1081" i="25"/>
  <c r="D1080" i="25"/>
  <c r="D1079" i="25"/>
  <c r="D1078" i="25"/>
  <c r="D1077" i="25"/>
  <c r="D1076" i="25"/>
  <c r="D1075" i="25"/>
  <c r="D1074" i="25"/>
  <c r="D1073" i="25"/>
  <c r="D1072" i="25"/>
  <c r="D1071" i="25"/>
  <c r="D1070" i="25"/>
  <c r="D1069" i="25"/>
  <c r="D1068" i="25"/>
  <c r="D1067" i="25"/>
  <c r="D1066" i="25"/>
  <c r="D1065" i="25"/>
  <c r="D1064" i="25"/>
  <c r="D1063" i="25"/>
  <c r="D1062" i="25"/>
  <c r="D1061" i="25"/>
  <c r="D1060" i="25"/>
  <c r="D1059" i="25"/>
  <c r="D1058" i="25"/>
  <c r="D1057" i="25"/>
  <c r="D1056" i="25"/>
  <c r="D1055" i="25"/>
  <c r="D1054" i="25"/>
  <c r="D1053" i="25"/>
  <c r="D1052" i="25"/>
  <c r="D1051" i="25"/>
  <c r="D1050" i="25"/>
  <c r="D1049" i="25"/>
  <c r="D1048" i="25"/>
  <c r="D1128" i="25"/>
  <c r="D1127" i="25"/>
  <c r="D1126" i="25"/>
  <c r="D1125" i="25"/>
  <c r="D1124" i="25"/>
  <c r="D1123" i="25"/>
  <c r="D1122" i="25"/>
  <c r="D1121" i="25"/>
  <c r="D1120" i="25"/>
  <c r="D1119" i="25"/>
  <c r="D1118" i="25"/>
  <c r="D1117" i="25"/>
  <c r="D1116" i="25"/>
  <c r="D1115" i="25"/>
  <c r="D1114" i="25"/>
  <c r="D1113" i="25"/>
  <c r="D1112" i="25"/>
  <c r="D1111" i="25"/>
  <c r="D1110" i="25"/>
  <c r="D1109" i="25"/>
  <c r="D1108" i="25"/>
  <c r="D1047" i="25"/>
  <c r="D1046" i="25"/>
  <c r="D1045" i="25"/>
  <c r="D1044" i="25"/>
  <c r="D1043" i="25"/>
  <c r="D1042" i="25"/>
  <c r="D1041" i="25"/>
  <c r="D1040" i="25"/>
  <c r="D1039" i="25"/>
  <c r="D1038" i="25"/>
  <c r="D1037" i="25"/>
  <c r="D1036" i="25"/>
  <c r="D1035" i="25"/>
  <c r="D1034" i="25"/>
  <c r="D1033" i="25"/>
  <c r="D2455" i="25"/>
  <c r="D2454" i="25"/>
  <c r="D2453" i="25"/>
  <c r="D2452" i="25"/>
  <c r="D2451" i="25"/>
  <c r="D2450" i="25"/>
  <c r="D2449" i="25"/>
  <c r="D2448" i="25"/>
  <c r="D2447" i="25"/>
  <c r="D2446" i="25"/>
  <c r="D2445" i="25"/>
  <c r="D2444" i="25"/>
  <c r="D2443" i="25"/>
  <c r="D2442" i="25"/>
  <c r="D2441" i="25"/>
  <c r="D2440" i="25"/>
  <c r="D2439" i="25"/>
  <c r="D2438" i="25"/>
  <c r="D444" i="25"/>
  <c r="D443" i="25"/>
  <c r="D441" i="25"/>
  <c r="D440" i="25"/>
  <c r="D439" i="25"/>
  <c r="D438" i="25"/>
  <c r="D437" i="25"/>
  <c r="D436" i="25"/>
  <c r="D435" i="25"/>
  <c r="D434" i="25"/>
  <c r="D433" i="25"/>
  <c r="D432" i="25"/>
  <c r="D521" i="25"/>
  <c r="D520" i="25"/>
  <c r="D519" i="25"/>
  <c r="D518" i="25"/>
  <c r="D517" i="25"/>
  <c r="D516" i="25"/>
  <c r="D515" i="25"/>
  <c r="D514" i="25"/>
  <c r="D512" i="25"/>
  <c r="D511" i="25"/>
  <c r="D510" i="25"/>
  <c r="D509" i="25"/>
  <c r="D508" i="25"/>
  <c r="D507" i="25"/>
  <c r="D506" i="25"/>
  <c r="D505" i="25"/>
  <c r="D490" i="25"/>
  <c r="D489" i="25"/>
  <c r="D488" i="25"/>
  <c r="D487" i="25"/>
  <c r="D486" i="25"/>
  <c r="D485" i="25"/>
  <c r="D484" i="25"/>
  <c r="D483" i="25"/>
  <c r="D482" i="25"/>
  <c r="D481" i="25"/>
  <c r="D480" i="25"/>
  <c r="D479" i="25"/>
  <c r="D478" i="25"/>
  <c r="D477" i="25"/>
  <c r="D476" i="25"/>
  <c r="D475" i="25"/>
  <c r="D474" i="25"/>
  <c r="D473" i="25"/>
  <c r="D472" i="25"/>
  <c r="D262" i="25"/>
  <c r="D261" i="25"/>
  <c r="D260" i="25"/>
  <c r="D259" i="25"/>
  <c r="D258" i="25"/>
  <c r="D257" i="25"/>
  <c r="D256" i="25"/>
  <c r="D255" i="25"/>
  <c r="D254" i="25"/>
  <c r="D471" i="25"/>
  <c r="D470" i="25"/>
  <c r="D469" i="25"/>
  <c r="D468" i="25"/>
  <c r="D467" i="25"/>
  <c r="D466" i="25"/>
  <c r="D465" i="25"/>
  <c r="D464" i="25"/>
  <c r="D463" i="25"/>
  <c r="D462" i="25"/>
  <c r="D461" i="25"/>
  <c r="D460" i="25"/>
  <c r="D459" i="25"/>
  <c r="D458" i="25"/>
  <c r="D457" i="25"/>
  <c r="D456" i="25"/>
  <c r="D455" i="25"/>
  <c r="D454" i="25"/>
  <c r="D453" i="25"/>
  <c r="D452" i="25"/>
  <c r="D451" i="25"/>
  <c r="D450" i="25"/>
  <c r="D449" i="25"/>
  <c r="D448" i="25"/>
  <c r="D447" i="25"/>
  <c r="D446" i="25"/>
  <c r="D445" i="25"/>
  <c r="D504" i="25"/>
  <c r="D503" i="25"/>
  <c r="D502" i="25"/>
  <c r="D501" i="25"/>
  <c r="D500" i="25"/>
  <c r="D499" i="25"/>
  <c r="D498" i="25"/>
  <c r="D497" i="25"/>
  <c r="D496" i="25"/>
  <c r="D495" i="25"/>
  <c r="D494" i="25"/>
  <c r="D493" i="25"/>
  <c r="D492" i="25"/>
  <c r="D491" i="25"/>
  <c r="D431" i="25"/>
  <c r="D430" i="25"/>
  <c r="D429" i="25"/>
  <c r="D428" i="25"/>
  <c r="D427" i="25"/>
  <c r="D426" i="25"/>
  <c r="D425" i="25"/>
  <c r="D421" i="25"/>
  <c r="D420" i="25"/>
  <c r="D419" i="25"/>
  <c r="D418" i="25"/>
  <c r="D417" i="25"/>
  <c r="D416" i="25"/>
  <c r="D415" i="25"/>
  <c r="D414" i="25"/>
  <c r="D413" i="25"/>
  <c r="D412" i="25"/>
  <c r="D411" i="25"/>
  <c r="D410" i="25"/>
  <c r="D409" i="25"/>
  <c r="D408" i="25"/>
  <c r="D407" i="25"/>
  <c r="D406" i="25"/>
  <c r="D405" i="25"/>
  <c r="D404" i="25"/>
  <c r="D403" i="25"/>
  <c r="D402" i="25"/>
  <c r="D401" i="25"/>
  <c r="D400" i="25"/>
  <c r="D399" i="25"/>
  <c r="D398" i="25"/>
  <c r="D396" i="25"/>
  <c r="D395" i="25"/>
  <c r="D394" i="25"/>
  <c r="D393" i="25"/>
  <c r="D392" i="25"/>
  <c r="D391" i="25"/>
  <c r="D390" i="25"/>
  <c r="D389" i="25"/>
  <c r="D388" i="25"/>
  <c r="D314" i="25"/>
  <c r="D313" i="25"/>
  <c r="D312" i="25"/>
  <c r="D311" i="25"/>
  <c r="D310" i="25"/>
  <c r="D309" i="25"/>
  <c r="D308" i="25"/>
  <c r="D307" i="25"/>
  <c r="D306" i="25"/>
  <c r="D305" i="25"/>
  <c r="D304" i="25"/>
  <c r="D303" i="25"/>
  <c r="D302" i="25"/>
  <c r="D301" i="25"/>
  <c r="D300" i="25"/>
  <c r="D299" i="25"/>
  <c r="D298" i="25"/>
  <c r="D387" i="25"/>
  <c r="D386" i="25"/>
  <c r="D385" i="25"/>
  <c r="D384" i="25"/>
  <c r="D383" i="25"/>
  <c r="D382" i="25"/>
  <c r="D381" i="25"/>
  <c r="D380" i="25"/>
  <c r="D379" i="25"/>
  <c r="D378" i="25"/>
  <c r="D377" i="25"/>
  <c r="D376" i="25"/>
  <c r="D375" i="25"/>
  <c r="D374" i="25"/>
  <c r="D373" i="25"/>
  <c r="D372" i="25"/>
  <c r="D371" i="25"/>
  <c r="D370" i="25"/>
  <c r="D369" i="25"/>
  <c r="D368" i="25"/>
  <c r="D367" i="25"/>
  <c r="D366" i="25"/>
  <c r="D365" i="25"/>
  <c r="D364" i="25"/>
  <c r="D363" i="25"/>
  <c r="D362" i="25"/>
  <c r="D361" i="25"/>
  <c r="D360" i="25"/>
  <c r="D359" i="25"/>
  <c r="D358" i="25"/>
  <c r="D357" i="25"/>
  <c r="D356" i="25"/>
  <c r="D355" i="25"/>
  <c r="D354" i="25"/>
  <c r="D353" i="25"/>
  <c r="D352" i="25"/>
  <c r="D351" i="25"/>
  <c r="D350" i="25"/>
  <c r="D349" i="25"/>
  <c r="D348" i="25"/>
  <c r="D347" i="25"/>
  <c r="D346" i="25"/>
  <c r="D345" i="25"/>
  <c r="D344" i="25"/>
  <c r="D343" i="25"/>
  <c r="D342" i="25"/>
  <c r="D341" i="25"/>
  <c r="D340" i="25"/>
  <c r="D339" i="25"/>
  <c r="D338" i="25"/>
  <c r="D337" i="25"/>
  <c r="D336" i="25"/>
  <c r="D335" i="25"/>
  <c r="D334" i="25"/>
  <c r="D333" i="25"/>
  <c r="D332" i="25"/>
  <c r="D331" i="25"/>
  <c r="D330" i="25"/>
  <c r="D329" i="25"/>
  <c r="D328" i="25"/>
  <c r="D327" i="25"/>
  <c r="D326" i="25"/>
  <c r="D325" i="25"/>
  <c r="D324" i="25"/>
  <c r="D323" i="25"/>
  <c r="D322" i="25"/>
  <c r="D321" i="25"/>
  <c r="D320" i="25"/>
  <c r="D319" i="25"/>
  <c r="D318" i="25"/>
  <c r="D317" i="25"/>
  <c r="D316" i="25"/>
  <c r="D315" i="25"/>
  <c r="D297" i="25"/>
  <c r="D296" i="25"/>
  <c r="D295" i="25"/>
  <c r="D294" i="25"/>
  <c r="D293" i="25"/>
  <c r="D292" i="25"/>
  <c r="D291" i="25"/>
  <c r="D290" i="25"/>
  <c r="D289" i="25"/>
  <c r="D288" i="25"/>
  <c r="D287" i="25"/>
  <c r="D286" i="25"/>
  <c r="D285" i="25"/>
  <c r="D284" i="25"/>
  <c r="D283" i="25"/>
  <c r="D282" i="25"/>
  <c r="D281" i="25"/>
  <c r="D280" i="25"/>
  <c r="D279" i="25"/>
  <c r="D278" i="25"/>
  <c r="D277" i="25"/>
  <c r="D276" i="25"/>
  <c r="D275" i="25"/>
  <c r="D274" i="25"/>
  <c r="D273" i="25"/>
  <c r="D272" i="25"/>
  <c r="D271" i="25"/>
  <c r="D270" i="25"/>
  <c r="D269" i="25"/>
  <c r="D268" i="25"/>
  <c r="D267" i="25"/>
  <c r="D266" i="25"/>
  <c r="D265" i="25"/>
  <c r="D264" i="25"/>
  <c r="D263" i="25"/>
  <c r="D253" i="25"/>
  <c r="D252" i="25"/>
  <c r="D251" i="25"/>
  <c r="D230" i="25"/>
  <c r="D229" i="25"/>
  <c r="D228" i="25"/>
  <c r="D227" i="25"/>
  <c r="D250" i="25"/>
  <c r="D249" i="25"/>
  <c r="D248" i="25"/>
  <c r="D247" i="25"/>
  <c r="D238" i="25"/>
  <c r="D237" i="25"/>
  <c r="D236" i="25"/>
  <c r="D235" i="25"/>
  <c r="D234" i="25"/>
  <c r="D233" i="25"/>
  <c r="D232" i="25"/>
  <c r="D231" i="25"/>
  <c r="D246" i="25"/>
  <c r="D245" i="25"/>
  <c r="D244" i="25"/>
  <c r="D243" i="25"/>
  <c r="D242" i="25"/>
  <c r="D241" i="25"/>
  <c r="D240" i="25"/>
  <c r="D239" i="25"/>
  <c r="D135" i="25"/>
  <c r="D134" i="25"/>
  <c r="D133" i="25"/>
  <c r="D132" i="25"/>
  <c r="D131" i="25"/>
  <c r="D130" i="25"/>
  <c r="D129" i="25"/>
  <c r="D128" i="25"/>
  <c r="D127" i="25"/>
  <c r="D126" i="25"/>
  <c r="D125" i="25"/>
  <c r="D124" i="25"/>
  <c r="D123" i="25"/>
  <c r="D122" i="25"/>
  <c r="D121" i="25"/>
  <c r="D120" i="25"/>
  <c r="D119" i="25"/>
  <c r="D118" i="25"/>
  <c r="D117" i="25"/>
  <c r="D116" i="25"/>
  <c r="D115" i="25"/>
  <c r="D114" i="25"/>
  <c r="D113" i="25"/>
  <c r="D139" i="25"/>
  <c r="D138" i="25"/>
  <c r="D137" i="25"/>
  <c r="D136" i="25"/>
  <c r="D163" i="25"/>
  <c r="D162" i="25"/>
  <c r="D161" i="25"/>
  <c r="D160" i="25"/>
  <c r="D159" i="25"/>
  <c r="D158" i="25"/>
  <c r="D157" i="25"/>
  <c r="D156" i="25"/>
  <c r="D155" i="25"/>
  <c r="D154" i="25"/>
  <c r="D153" i="25"/>
  <c r="D152" i="25"/>
  <c r="D151" i="25"/>
  <c r="D150" i="25"/>
  <c r="D149" i="25"/>
  <c r="D148" i="25"/>
  <c r="D147" i="25"/>
  <c r="D146" i="25"/>
  <c r="D145" i="25"/>
  <c r="D144" i="25"/>
  <c r="D194" i="25"/>
  <c r="D193" i="25"/>
  <c r="D192" i="25"/>
  <c r="D191" i="25"/>
  <c r="D190" i="25"/>
  <c r="D189" i="25"/>
  <c r="D188" i="25"/>
  <c r="D187" i="25"/>
  <c r="D186" i="25"/>
  <c r="D185" i="25"/>
  <c r="D184" i="25"/>
  <c r="D183" i="25"/>
  <c r="D182" i="25"/>
  <c r="D181" i="25"/>
  <c r="D180" i="25"/>
  <c r="D179" i="25"/>
  <c r="D178" i="25"/>
  <c r="D177" i="25"/>
  <c r="D176" i="25"/>
  <c r="D175" i="25"/>
  <c r="D174" i="25"/>
  <c r="D173" i="25"/>
  <c r="D172" i="25"/>
  <c r="D171" i="25"/>
  <c r="D170" i="25"/>
  <c r="D169" i="25"/>
  <c r="D168" i="25"/>
  <c r="D167" i="25"/>
  <c r="D166" i="25"/>
  <c r="D165" i="25"/>
  <c r="D164" i="25"/>
  <c r="D143" i="25"/>
  <c r="D142" i="25"/>
  <c r="D141" i="25"/>
  <c r="D140" i="25"/>
  <c r="D226" i="25"/>
  <c r="D221" i="25"/>
  <c r="D220" i="25"/>
  <c r="D219" i="25"/>
  <c r="D218" i="25"/>
  <c r="D217" i="25"/>
  <c r="D216" i="25"/>
  <c r="D215" i="25"/>
  <c r="D214" i="25"/>
  <c r="D213" i="25"/>
  <c r="D212" i="25"/>
  <c r="D211" i="25"/>
  <c r="D210" i="25"/>
  <c r="D209" i="25"/>
  <c r="D208" i="25"/>
  <c r="D207" i="25"/>
  <c r="D206" i="25"/>
  <c r="D205" i="25"/>
  <c r="D204" i="25"/>
  <c r="D203" i="25"/>
  <c r="D202" i="25"/>
  <c r="D201" i="25"/>
  <c r="D200" i="25"/>
  <c r="D199" i="25"/>
  <c r="D198" i="25"/>
  <c r="D197" i="25"/>
  <c r="D196" i="25"/>
  <c r="D195" i="25"/>
  <c r="D112" i="25"/>
  <c r="D111" i="25"/>
  <c r="D110" i="25"/>
  <c r="D109" i="25"/>
  <c r="D108" i="25"/>
  <c r="D107" i="25"/>
  <c r="D106" i="25"/>
  <c r="D3331" i="25"/>
  <c r="D3339" i="25"/>
  <c r="D3338" i="25"/>
  <c r="D3337" i="25"/>
  <c r="D3336" i="25"/>
  <c r="D3335" i="25"/>
  <c r="D3334" i="25"/>
  <c r="D3333" i="25"/>
  <c r="D3332" i="25"/>
  <c r="D3208" i="25"/>
  <c r="D3219" i="25"/>
  <c r="D3218" i="25"/>
  <c r="D3217" i="25"/>
  <c r="D3216" i="25"/>
  <c r="D3215" i="25"/>
  <c r="D3214" i="25"/>
  <c r="D3213" i="25"/>
  <c r="D3212" i="25"/>
  <c r="D3211" i="25"/>
  <c r="D3210" i="25"/>
  <c r="D3209" i="25"/>
  <c r="D3309" i="25"/>
  <c r="D3330" i="25"/>
  <c r="D3329" i="25"/>
  <c r="D3328" i="25"/>
  <c r="D3327" i="25"/>
  <c r="D3326" i="25"/>
  <c r="D3325" i="25"/>
  <c r="D3324" i="25"/>
  <c r="D3323" i="25"/>
  <c r="D3322" i="25"/>
  <c r="D3321" i="25"/>
  <c r="D3320" i="25"/>
  <c r="D3319" i="25"/>
  <c r="D3318" i="25"/>
  <c r="D3317" i="25"/>
  <c r="D3316" i="25"/>
  <c r="D3315" i="25"/>
  <c r="D3314" i="25"/>
  <c r="D3313" i="25"/>
  <c r="D3312" i="25"/>
  <c r="D3311" i="25"/>
  <c r="D3310" i="25"/>
  <c r="D3292" i="25"/>
  <c r="D3308" i="25"/>
  <c r="D3307" i="25"/>
  <c r="D3306" i="25"/>
  <c r="D3305" i="25"/>
  <c r="D3304" i="25"/>
  <c r="D3303" i="25"/>
  <c r="D3302" i="25"/>
  <c r="D3301" i="25"/>
  <c r="D3300" i="25"/>
  <c r="D3299" i="25"/>
  <c r="D3298" i="25"/>
  <c r="D3297" i="25"/>
  <c r="D3296" i="25"/>
  <c r="D3295" i="25"/>
  <c r="D3294" i="25"/>
  <c r="D3293" i="25"/>
  <c r="D3291" i="25"/>
  <c r="D3281" i="25"/>
  <c r="D3289" i="25"/>
  <c r="D3288" i="25"/>
  <c r="D3287" i="25"/>
  <c r="D3286" i="25"/>
  <c r="D3285" i="25"/>
  <c r="D3284" i="25"/>
  <c r="D3283" i="25"/>
  <c r="D3282" i="25"/>
  <c r="D3256" i="25"/>
  <c r="D3280" i="25"/>
  <c r="D3279" i="25"/>
  <c r="D3278" i="25"/>
  <c r="D3277" i="25"/>
  <c r="D3276" i="25"/>
  <c r="D3275" i="25"/>
  <c r="D3274" i="25"/>
  <c r="D3273" i="25"/>
  <c r="D3272" i="25"/>
  <c r="D3271" i="25"/>
  <c r="D3270" i="25"/>
  <c r="D3269" i="25"/>
  <c r="D3268" i="25"/>
  <c r="D3267" i="25"/>
  <c r="D3266" i="25"/>
  <c r="D3265" i="25"/>
  <c r="D3264" i="25"/>
  <c r="D3263" i="25"/>
  <c r="D3262" i="25"/>
  <c r="D3261" i="25"/>
  <c r="D3260" i="25"/>
  <c r="D3259" i="25"/>
  <c r="D3258" i="25"/>
  <c r="D3257" i="25"/>
  <c r="D3236" i="25"/>
  <c r="D3255" i="25"/>
  <c r="D3254" i="25"/>
  <c r="D3253" i="25"/>
  <c r="D3252" i="25"/>
  <c r="D3251" i="25"/>
  <c r="D3250" i="25"/>
  <c r="D3249" i="25"/>
  <c r="D3248" i="25"/>
  <c r="D3247" i="25"/>
  <c r="D3246" i="25"/>
  <c r="D3245" i="25"/>
  <c r="D3244" i="25"/>
  <c r="D3243" i="25"/>
  <c r="D3242" i="25"/>
  <c r="D3241" i="25"/>
  <c r="D3240" i="25"/>
  <c r="D3239" i="25"/>
  <c r="D3238" i="25"/>
  <c r="D3237" i="25"/>
  <c r="D3220" i="25"/>
  <c r="D3232" i="25"/>
  <c r="D3230" i="25"/>
  <c r="D3229" i="25"/>
  <c r="D3228" i="25"/>
  <c r="D3227" i="25"/>
  <c r="D3226" i="25"/>
  <c r="D3225" i="25"/>
  <c r="D3224" i="25"/>
  <c r="D3223" i="25"/>
  <c r="D3222" i="25"/>
  <c r="D3221" i="25"/>
  <c r="D3181" i="25"/>
  <c r="D3207" i="25"/>
  <c r="D3206" i="25"/>
  <c r="D3182" i="25"/>
  <c r="D3191" i="25"/>
  <c r="D3190" i="25"/>
  <c r="D3188" i="25"/>
  <c r="D3186" i="25"/>
  <c r="D3185" i="25"/>
  <c r="D3198" i="25"/>
  <c r="D3196" i="25"/>
  <c r="D3184" i="25"/>
  <c r="D3183" i="25"/>
  <c r="D3194" i="25"/>
  <c r="D3176" i="25"/>
  <c r="D3179" i="25"/>
  <c r="D3180" i="25"/>
  <c r="D3178" i="25"/>
  <c r="D3177" i="25"/>
  <c r="D3170" i="25"/>
  <c r="D3171" i="25"/>
  <c r="D3175" i="25"/>
  <c r="D3173" i="25"/>
  <c r="D3174" i="25"/>
  <c r="D3172" i="25"/>
  <c r="D3159" i="25"/>
  <c r="D3169" i="25"/>
  <c r="D3168" i="25"/>
  <c r="D3167" i="25"/>
  <c r="D3166" i="25"/>
  <c r="D3165" i="25"/>
  <c r="D3164" i="25"/>
  <c r="D3163" i="25"/>
  <c r="D3162" i="25"/>
  <c r="D3161" i="25"/>
  <c r="D3160" i="25"/>
  <c r="D3144" i="25"/>
  <c r="D3158" i="25"/>
  <c r="D3157" i="25"/>
  <c r="D3156" i="25"/>
  <c r="D3155" i="25"/>
  <c r="D3154" i="25"/>
  <c r="D3153" i="25"/>
  <c r="D3152" i="25"/>
  <c r="D3151" i="25"/>
  <c r="D3150" i="25"/>
  <c r="D3146" i="25"/>
  <c r="D3145" i="25"/>
  <c r="D3141" i="25"/>
  <c r="D3143" i="25"/>
  <c r="D3142" i="25"/>
  <c r="D3135" i="25"/>
  <c r="D3137" i="25"/>
  <c r="D3138" i="25"/>
  <c r="D3136" i="25"/>
  <c r="D3139" i="25"/>
  <c r="D3140" i="25"/>
  <c r="D3132" i="25"/>
  <c r="D3133" i="25"/>
  <c r="D3134" i="25"/>
  <c r="D3129" i="25"/>
  <c r="D3130" i="25"/>
  <c r="D3131" i="25"/>
  <c r="D3123" i="25"/>
  <c r="D3126" i="25"/>
  <c r="D3125" i="25"/>
  <c r="D3124" i="25"/>
  <c r="D3128" i="25"/>
  <c r="D3127" i="25"/>
  <c r="D3117" i="25"/>
  <c r="D3119" i="25"/>
  <c r="D3118" i="25"/>
  <c r="D3121" i="25"/>
  <c r="D3122" i="25"/>
  <c r="D3120" i="25"/>
  <c r="D3102" i="25"/>
  <c r="D3116" i="25"/>
  <c r="D3115" i="25"/>
  <c r="D3114" i="25"/>
  <c r="D3113" i="25"/>
  <c r="D3112" i="25"/>
  <c r="D3111" i="25"/>
  <c r="D3110" i="25"/>
  <c r="D3109" i="25"/>
  <c r="D3108" i="25"/>
  <c r="D3107" i="25"/>
  <c r="D3106" i="25"/>
  <c r="D3105" i="25"/>
  <c r="D3104" i="25"/>
  <c r="D3103" i="25"/>
  <c r="D3098" i="25"/>
  <c r="D3101" i="25"/>
  <c r="D3100" i="25"/>
  <c r="D3099" i="25"/>
  <c r="D3094" i="25"/>
  <c r="D3097" i="25"/>
  <c r="D3096" i="25"/>
  <c r="D3095" i="25"/>
  <c r="D3090" i="25"/>
  <c r="D3093" i="25"/>
  <c r="D3092" i="25"/>
  <c r="D3091" i="25"/>
  <c r="D3045" i="25"/>
  <c r="D3089" i="25"/>
  <c r="D3088" i="25"/>
  <c r="D3087" i="25"/>
  <c r="D3024" i="25"/>
  <c r="D3044" i="25"/>
  <c r="D3043" i="25"/>
  <c r="D3042" i="25"/>
  <c r="D3041" i="25"/>
  <c r="D3040" i="25"/>
  <c r="D3039" i="25"/>
  <c r="D3038" i="25"/>
  <c r="D3037" i="25"/>
  <c r="D3036" i="25"/>
  <c r="D3035" i="25"/>
  <c r="D3034" i="25"/>
  <c r="D3033" i="25"/>
  <c r="D3032" i="25"/>
  <c r="D3031" i="25"/>
  <c r="D3030" i="25"/>
  <c r="D3029" i="25"/>
  <c r="D3028" i="25"/>
  <c r="D3027" i="25"/>
  <c r="D3025" i="25"/>
  <c r="D3008" i="25"/>
  <c r="D3023" i="25"/>
  <c r="D3022" i="25"/>
  <c r="D3021" i="25"/>
  <c r="D3020" i="25"/>
  <c r="D3019" i="25"/>
  <c r="D3018" i="25"/>
  <c r="D3017" i="25"/>
  <c r="D3016" i="25"/>
  <c r="D3015" i="25"/>
  <c r="D3014" i="25"/>
  <c r="D3013" i="25"/>
  <c r="D3012" i="25"/>
  <c r="D3011" i="25"/>
  <c r="D3010" i="25"/>
  <c r="D3009" i="25"/>
  <c r="D3004" i="25"/>
  <c r="D3007" i="25"/>
  <c r="D3006" i="25"/>
  <c r="D3005" i="25"/>
  <c r="D2941" i="25"/>
  <c r="D2944" i="25"/>
  <c r="D2943" i="25"/>
  <c r="D2942" i="25"/>
  <c r="D2990" i="25"/>
  <c r="D3003" i="25"/>
  <c r="D2991" i="25"/>
  <c r="D2996" i="25"/>
  <c r="D2994" i="25"/>
  <c r="D2995" i="25"/>
  <c r="D2981" i="25"/>
  <c r="D2989" i="25"/>
  <c r="D2988" i="25"/>
  <c r="D2987" i="25"/>
  <c r="D2986" i="25"/>
  <c r="D2985" i="25"/>
  <c r="D2984" i="25"/>
  <c r="D2983" i="25"/>
  <c r="D2982" i="25"/>
  <c r="D2975" i="25"/>
  <c r="D2980" i="25"/>
  <c r="D2979" i="25"/>
  <c r="D2978" i="25"/>
  <c r="D2977" i="25"/>
  <c r="D2976" i="25"/>
  <c r="D2965" i="25"/>
  <c r="D2974" i="25"/>
  <c r="D2973" i="25"/>
  <c r="D2968" i="25"/>
  <c r="D2966" i="25"/>
  <c r="D2945" i="25"/>
  <c r="D2947" i="25"/>
  <c r="D2946" i="25"/>
  <c r="D2428" i="25"/>
  <c r="D2437" i="25"/>
  <c r="D2436" i="25"/>
  <c r="D2435" i="25"/>
  <c r="D2434" i="25"/>
  <c r="D2433" i="25"/>
  <c r="D2432" i="25"/>
  <c r="D2431" i="25"/>
  <c r="D2430" i="25"/>
  <c r="D2429" i="25"/>
  <c r="D2417" i="25"/>
  <c r="D2427" i="25"/>
  <c r="D2426" i="25"/>
  <c r="D2425" i="25"/>
  <c r="D2424" i="25"/>
  <c r="D2423" i="25"/>
  <c r="D2422" i="25"/>
  <c r="D2421" i="25"/>
  <c r="D2420" i="25"/>
  <c r="D2419" i="25"/>
  <c r="D2418" i="25"/>
  <c r="D2406" i="25"/>
  <c r="D2416" i="25"/>
  <c r="D2415" i="25"/>
  <c r="D2414" i="25"/>
  <c r="D2413" i="25"/>
  <c r="D2412" i="25"/>
  <c r="D2411" i="25"/>
  <c r="D2410" i="25"/>
  <c r="D2409" i="25"/>
  <c r="D2408" i="25"/>
  <c r="D2407" i="25"/>
  <c r="D2378" i="25"/>
  <c r="D2405" i="25"/>
  <c r="D2404" i="25"/>
  <c r="D2403" i="25"/>
  <c r="D2402" i="25"/>
  <c r="D2401" i="25"/>
  <c r="D2400" i="25"/>
  <c r="D2399" i="25"/>
  <c r="D2398" i="25"/>
  <c r="D2397" i="25"/>
  <c r="D2396" i="25"/>
  <c r="D2395" i="25"/>
  <c r="D2394" i="25"/>
  <c r="D2393" i="25"/>
  <c r="D2392" i="25"/>
  <c r="D2391" i="25"/>
  <c r="D2390" i="25"/>
  <c r="D2389" i="25"/>
  <c r="D2388" i="25"/>
  <c r="D2387" i="25"/>
  <c r="D2386" i="25"/>
  <c r="D2385" i="25"/>
  <c r="D2384" i="25"/>
  <c r="D2383" i="25"/>
  <c r="D2382" i="25"/>
  <c r="D2381" i="25"/>
  <c r="D2380" i="25"/>
  <c r="D2379" i="25"/>
  <c r="D2366" i="25"/>
  <c r="D2377" i="25"/>
  <c r="D2376" i="25"/>
  <c r="D2375" i="25"/>
  <c r="D2374" i="25"/>
  <c r="D2373" i="25"/>
  <c r="D2372" i="25"/>
  <c r="D2371" i="25"/>
  <c r="D2370" i="25"/>
  <c r="D2369" i="25"/>
  <c r="D2368" i="25"/>
  <c r="D2367" i="25"/>
  <c r="D2354" i="25"/>
  <c r="D2365" i="25"/>
  <c r="D2364" i="25"/>
  <c r="D2363" i="25"/>
  <c r="D2362" i="25"/>
  <c r="D2361" i="25"/>
  <c r="D2360" i="25"/>
  <c r="D2359" i="25"/>
  <c r="D2358" i="25"/>
  <c r="D2357" i="25"/>
  <c r="D2356" i="25"/>
  <c r="D2355" i="25"/>
  <c r="D2341" i="25"/>
  <c r="D2353" i="25"/>
  <c r="D2352" i="25"/>
  <c r="D2351" i="25"/>
  <c r="D2350" i="25"/>
  <c r="D2349" i="25"/>
  <c r="D2348" i="25"/>
  <c r="D2347" i="25"/>
  <c r="D2346" i="25"/>
  <c r="D2345" i="25"/>
  <c r="D2344" i="25"/>
  <c r="D2343" i="25"/>
  <c r="D2342" i="25"/>
  <c r="D2330" i="25"/>
  <c r="D2340" i="25"/>
  <c r="D2339" i="25"/>
  <c r="D2338" i="25"/>
  <c r="D2337" i="25"/>
  <c r="D2336" i="25"/>
  <c r="D2335" i="25"/>
  <c r="D2334" i="25"/>
  <c r="D2333" i="25"/>
  <c r="D2332" i="25"/>
  <c r="D2331" i="25"/>
  <c r="D2319" i="25"/>
  <c r="D2329" i="25"/>
  <c r="D2328" i="25"/>
  <c r="D2327" i="25"/>
  <c r="D2326" i="25"/>
  <c r="D2325" i="25"/>
  <c r="D2324" i="25"/>
  <c r="D2323" i="25"/>
  <c r="D2322" i="25"/>
  <c r="D2321" i="25"/>
  <c r="D2320" i="25"/>
  <c r="D2318" i="25"/>
  <c r="D2308" i="25"/>
  <c r="D2317" i="25"/>
  <c r="D2316" i="25"/>
  <c r="D2315" i="25"/>
  <c r="D2314" i="25"/>
  <c r="D2313" i="25"/>
  <c r="D2312" i="25"/>
  <c r="D2311" i="25"/>
  <c r="D2310" i="25"/>
  <c r="D2309" i="25"/>
  <c r="D2297" i="25"/>
  <c r="D2307" i="25"/>
  <c r="D2306" i="25"/>
  <c r="D2305" i="25"/>
  <c r="D2304" i="25"/>
  <c r="D2303" i="25"/>
  <c r="D2302" i="25"/>
  <c r="D2301" i="25"/>
  <c r="D2300" i="25"/>
  <c r="D2299" i="25"/>
  <c r="D2298" i="25"/>
  <c r="D2285" i="25"/>
  <c r="D2296" i="25"/>
  <c r="D2295" i="25"/>
  <c r="D2294" i="25"/>
  <c r="D2293" i="25"/>
  <c r="D2292" i="25"/>
  <c r="D2291" i="25"/>
  <c r="D2290" i="25"/>
  <c r="D2289" i="25"/>
  <c r="D2288" i="25"/>
  <c r="D2287" i="25"/>
  <c r="D2286" i="25"/>
  <c r="D2254" i="25"/>
  <c r="D2284" i="25"/>
  <c r="D2283" i="25"/>
  <c r="D2282" i="25"/>
  <c r="D2281" i="25"/>
  <c r="D2280" i="25"/>
  <c r="D2279" i="25"/>
  <c r="D2278" i="25"/>
  <c r="D2277" i="25"/>
  <c r="D2276" i="25"/>
  <c r="D2275" i="25"/>
  <c r="D2274" i="25"/>
  <c r="D2273" i="25"/>
  <c r="D2272" i="25"/>
  <c r="D2271" i="25"/>
  <c r="D2270" i="25"/>
  <c r="D2269" i="25"/>
  <c r="D2268" i="25"/>
  <c r="D2267" i="25"/>
  <c r="D2266" i="25"/>
  <c r="D2265" i="25"/>
  <c r="D2264" i="25"/>
  <c r="D2263" i="25"/>
  <c r="D2262" i="25"/>
  <c r="D2261" i="25"/>
  <c r="D2260" i="25"/>
  <c r="D2259" i="25"/>
  <c r="D2258" i="25"/>
  <c r="D2257" i="25"/>
  <c r="D2256" i="25"/>
  <c r="D2255" i="25"/>
  <c r="D2243" i="25"/>
  <c r="D2253" i="25"/>
  <c r="D2252" i="25"/>
  <c r="D2251" i="25"/>
  <c r="D2250" i="25"/>
  <c r="D2249" i="25"/>
  <c r="D2248" i="25"/>
  <c r="D2247" i="25"/>
  <c r="D2246" i="25"/>
  <c r="D2245" i="25"/>
  <c r="D2244" i="25"/>
  <c r="D2230" i="25"/>
  <c r="D2242" i="25"/>
  <c r="D2241" i="25"/>
  <c r="D2240" i="25"/>
  <c r="D2239" i="25"/>
  <c r="D2238" i="25"/>
  <c r="D2237" i="25"/>
  <c r="D2236" i="25"/>
  <c r="D2235" i="25"/>
  <c r="D2234" i="25"/>
  <c r="D2233" i="25"/>
  <c r="D2232" i="25"/>
  <c r="D2231" i="25"/>
  <c r="D2219" i="25"/>
  <c r="D2229" i="25"/>
  <c r="D2228" i="25"/>
  <c r="D2227" i="25"/>
  <c r="D2226" i="25"/>
  <c r="D2225" i="25"/>
  <c r="D2224" i="25"/>
  <c r="D2223" i="25"/>
  <c r="D2222" i="25"/>
  <c r="D2221" i="25"/>
  <c r="D2220" i="25"/>
  <c r="D2208" i="25"/>
  <c r="D2218" i="25"/>
  <c r="D2217" i="25"/>
  <c r="D2216" i="25"/>
  <c r="D2215" i="25"/>
  <c r="D2214" i="25"/>
  <c r="D2213" i="25"/>
  <c r="D2212" i="25"/>
  <c r="D2211" i="25"/>
  <c r="D2210" i="25"/>
  <c r="D2209" i="25"/>
  <c r="D2197" i="25"/>
  <c r="D2207" i="25"/>
  <c r="D2206" i="25"/>
  <c r="D2205" i="25"/>
  <c r="D2204" i="25"/>
  <c r="D2203" i="25"/>
  <c r="D2202" i="25"/>
  <c r="D2201" i="25"/>
  <c r="D2200" i="25"/>
  <c r="D2199" i="25"/>
  <c r="D2198" i="25"/>
  <c r="D2189" i="25"/>
  <c r="D2196" i="25"/>
  <c r="D2195" i="25"/>
  <c r="D2194" i="25"/>
  <c r="D2193" i="25"/>
  <c r="D2192" i="25"/>
  <c r="D2191" i="25"/>
  <c r="D2190" i="25"/>
  <c r="D2187" i="25"/>
  <c r="D2188" i="25"/>
  <c r="D2176" i="25"/>
  <c r="D2186" i="25"/>
  <c r="D2185" i="25"/>
  <c r="D2184" i="25"/>
  <c r="D2183" i="25"/>
  <c r="D2182" i="25"/>
  <c r="D2181" i="25"/>
  <c r="D2180" i="25"/>
  <c r="D2179" i="25"/>
  <c r="D2178" i="25"/>
  <c r="D2177" i="25"/>
  <c r="D1624" i="25"/>
  <c r="D1632" i="25"/>
  <c r="D1631" i="25"/>
  <c r="D1630" i="25"/>
  <c r="D1629" i="25"/>
  <c r="D1628" i="25"/>
  <c r="D1627" i="25"/>
  <c r="D1626" i="25"/>
  <c r="D1625" i="25"/>
  <c r="D1612" i="25"/>
  <c r="D1623" i="25"/>
  <c r="D1622" i="25"/>
  <c r="D1621" i="25"/>
  <c r="D1620" i="25"/>
  <c r="D1619" i="25"/>
  <c r="D1618" i="25"/>
  <c r="D1617" i="25"/>
  <c r="D1616" i="25"/>
  <c r="D1615" i="25"/>
  <c r="D1614" i="25"/>
  <c r="D1613" i="25"/>
  <c r="D1603" i="25"/>
  <c r="D1611" i="25"/>
  <c r="D1610" i="25"/>
  <c r="D1609" i="25"/>
  <c r="D1608" i="25"/>
  <c r="D1607" i="25"/>
  <c r="D1606" i="25"/>
  <c r="D1605" i="25"/>
  <c r="D1604" i="25"/>
  <c r="D1592" i="25"/>
  <c r="D1602" i="25"/>
  <c r="D1601" i="25"/>
  <c r="D1600" i="25"/>
  <c r="D1599" i="25"/>
  <c r="D1598" i="25"/>
  <c r="D1597" i="25"/>
  <c r="D1596" i="25"/>
  <c r="D1595" i="25"/>
  <c r="D1594" i="25"/>
  <c r="D1593" i="25"/>
  <c r="D1580" i="25"/>
  <c r="D1591" i="25"/>
  <c r="D1590" i="25"/>
  <c r="D1589" i="25"/>
  <c r="D1588" i="25"/>
  <c r="D1587" i="25"/>
  <c r="D1586" i="25"/>
  <c r="D1585" i="25"/>
  <c r="D1584" i="25"/>
  <c r="D1583" i="25"/>
  <c r="D1582" i="25"/>
  <c r="D1581" i="25"/>
  <c r="D1569" i="25"/>
  <c r="D1579" i="25"/>
  <c r="D1578" i="25"/>
  <c r="D1577" i="25"/>
  <c r="D1576" i="25"/>
  <c r="D1575" i="25"/>
  <c r="D1574" i="25"/>
  <c r="D1573" i="25"/>
  <c r="D1572" i="25"/>
  <c r="D1571" i="25"/>
  <c r="D1570" i="25"/>
  <c r="D1538" i="25"/>
  <c r="D1568" i="25"/>
  <c r="D1567" i="25"/>
  <c r="D1566" i="25"/>
  <c r="D1565" i="25"/>
  <c r="D1564" i="25"/>
  <c r="D1563" i="25"/>
  <c r="D1562" i="25"/>
  <c r="D1561" i="25"/>
  <c r="D1560" i="25"/>
  <c r="D1559" i="25"/>
  <c r="D1558" i="25"/>
  <c r="D1557" i="25"/>
  <c r="D1556" i="25"/>
  <c r="D1555" i="25"/>
  <c r="D1554" i="25"/>
  <c r="D1553" i="25"/>
  <c r="D1552" i="25"/>
  <c r="D1551" i="25"/>
  <c r="D1550" i="25"/>
  <c r="D1549" i="25"/>
  <c r="D1548" i="25"/>
  <c r="D1547" i="25"/>
  <c r="D1546" i="25"/>
  <c r="D1545" i="25"/>
  <c r="D1544" i="25"/>
  <c r="D1543" i="25"/>
  <c r="D1542" i="25"/>
  <c r="D1541" i="25"/>
  <c r="D1540" i="25"/>
  <c r="D1539" i="25"/>
  <c r="D1529" i="25"/>
  <c r="D1537" i="25"/>
  <c r="D1536" i="25"/>
  <c r="D1535" i="25"/>
  <c r="D1534" i="25"/>
  <c r="D1533" i="25"/>
  <c r="D1532" i="25"/>
  <c r="D1531" i="25"/>
  <c r="D1530" i="25"/>
  <c r="D1518" i="25"/>
  <c r="D1528" i="25"/>
  <c r="D1527" i="25"/>
  <c r="D1526" i="25"/>
  <c r="D1525" i="25"/>
  <c r="D1524" i="25"/>
  <c r="D1523" i="25"/>
  <c r="D1522" i="25"/>
  <c r="D1521" i="25"/>
  <c r="D1520" i="25"/>
  <c r="D1519" i="25"/>
  <c r="D1507" i="25"/>
  <c r="D1517" i="25"/>
  <c r="D1516" i="25"/>
  <c r="D1515" i="25"/>
  <c r="D1514" i="25"/>
  <c r="D1513" i="25"/>
  <c r="D1512" i="25"/>
  <c r="D1511" i="25"/>
  <c r="D1510" i="25"/>
  <c r="D1509" i="25"/>
  <c r="D1508" i="25"/>
  <c r="D1475" i="25"/>
  <c r="D1506" i="25"/>
  <c r="D1505" i="25"/>
  <c r="D1504" i="25"/>
  <c r="D1503" i="25"/>
  <c r="D1502" i="25"/>
  <c r="D1501" i="25"/>
  <c r="D1500" i="25"/>
  <c r="D1499" i="25"/>
  <c r="D1498" i="25"/>
  <c r="D1497" i="25"/>
  <c r="D1496" i="25"/>
  <c r="D1495" i="25"/>
  <c r="D1494" i="25"/>
  <c r="D1493" i="25"/>
  <c r="D1492" i="25"/>
  <c r="D1491" i="25"/>
  <c r="D1490" i="25"/>
  <c r="D1489" i="25"/>
  <c r="D1488" i="25"/>
  <c r="D1487" i="25"/>
  <c r="D1486" i="25"/>
  <c r="D1485" i="25"/>
  <c r="D1484" i="25"/>
  <c r="D1483" i="25"/>
  <c r="D1482" i="25"/>
  <c r="D1481" i="25"/>
  <c r="D1480" i="25"/>
  <c r="D1479" i="25"/>
  <c r="D1478" i="25"/>
  <c r="D1477" i="25"/>
  <c r="D1476" i="25"/>
  <c r="D1438" i="25"/>
  <c r="D1474" i="25"/>
  <c r="D1473" i="25"/>
  <c r="D1472" i="25"/>
  <c r="D1471" i="25"/>
  <c r="D1470" i="25"/>
  <c r="D1469" i="25"/>
  <c r="D1468" i="25"/>
  <c r="D1467" i="25"/>
  <c r="D1466" i="25"/>
  <c r="D1465" i="25"/>
  <c r="D1464" i="25"/>
  <c r="D1463" i="25"/>
  <c r="D1462" i="25"/>
  <c r="D1461" i="25"/>
  <c r="D1460" i="25"/>
  <c r="D1459" i="25"/>
  <c r="D1458" i="25"/>
  <c r="D1457" i="25"/>
  <c r="D1456" i="25"/>
  <c r="D1455" i="25"/>
  <c r="D1454" i="25"/>
  <c r="D1453" i="25"/>
  <c r="D1452" i="25"/>
  <c r="D1451" i="25"/>
  <c r="D1450" i="25"/>
  <c r="D1449" i="25"/>
  <c r="D1448" i="25"/>
  <c r="D1447" i="25"/>
  <c r="D1446" i="25"/>
  <c r="D1445" i="25"/>
  <c r="D1444" i="25"/>
  <c r="D1443" i="25"/>
  <c r="D1442" i="25"/>
  <c r="D1441" i="25"/>
  <c r="D1440" i="25"/>
  <c r="D1439" i="25"/>
  <c r="D1405" i="25"/>
  <c r="D1437" i="25"/>
  <c r="D1436" i="25"/>
  <c r="D1435" i="25"/>
  <c r="D1434" i="25"/>
  <c r="D1433" i="25"/>
  <c r="D1432" i="25"/>
  <c r="D1431" i="25"/>
  <c r="D1430" i="25"/>
  <c r="D1429" i="25"/>
  <c r="D1428" i="25"/>
  <c r="D1427" i="25"/>
  <c r="D1426" i="25"/>
  <c r="D1425" i="25"/>
  <c r="D1424" i="25"/>
  <c r="D1423" i="25"/>
  <c r="D1422" i="25"/>
  <c r="D1421" i="25"/>
  <c r="D1420" i="25"/>
  <c r="D1419" i="25"/>
  <c r="D1418" i="25"/>
  <c r="D1417" i="25"/>
  <c r="D1416" i="25"/>
  <c r="D1415" i="25"/>
  <c r="D1414" i="25"/>
  <c r="D1413" i="25"/>
  <c r="D1412" i="25"/>
  <c r="D1411" i="25"/>
  <c r="D1410" i="25"/>
  <c r="D1409" i="25"/>
  <c r="D1408" i="25"/>
  <c r="D1407" i="25"/>
  <c r="D1406" i="25"/>
  <c r="D1393" i="25"/>
  <c r="D1404" i="25"/>
  <c r="D1403" i="25"/>
  <c r="D1402" i="25"/>
  <c r="D1401" i="25"/>
  <c r="D1400" i="25"/>
  <c r="D1399" i="25"/>
  <c r="D1398" i="25"/>
  <c r="D1397" i="25"/>
  <c r="D1396" i="25"/>
  <c r="D1395" i="25"/>
  <c r="D1394" i="25"/>
  <c r="D1357" i="25"/>
  <c r="D1392" i="25"/>
  <c r="D1391" i="25"/>
  <c r="D1390" i="25"/>
  <c r="D1389" i="25"/>
  <c r="D1388" i="25"/>
  <c r="D1387" i="25"/>
  <c r="D1386" i="25"/>
  <c r="D1385" i="25"/>
  <c r="D1384" i="25"/>
  <c r="D1383" i="25"/>
  <c r="D1382" i="25"/>
  <c r="D1381" i="25"/>
  <c r="D1380" i="25"/>
  <c r="D1379" i="25"/>
  <c r="D1378" i="25"/>
  <c r="D1377" i="25"/>
  <c r="D1376" i="25"/>
  <c r="D1375" i="25"/>
  <c r="D1374" i="25"/>
  <c r="D1373" i="25"/>
  <c r="D1372" i="25"/>
  <c r="D1371" i="25"/>
  <c r="D1370" i="25"/>
  <c r="D1369" i="25"/>
  <c r="D1368" i="25"/>
  <c r="D1367" i="25"/>
  <c r="D1366" i="25"/>
  <c r="D1365" i="25"/>
  <c r="D1364" i="25"/>
  <c r="D1363" i="25"/>
  <c r="D1362" i="25"/>
  <c r="D1361" i="25"/>
  <c r="D1360" i="25"/>
  <c r="D1359" i="25"/>
  <c r="D1358" i="25"/>
  <c r="D1344" i="25"/>
  <c r="D1356" i="25"/>
  <c r="D1355" i="25"/>
  <c r="D1354" i="25"/>
  <c r="D1353" i="25"/>
  <c r="D1352" i="25"/>
  <c r="D1351" i="25"/>
  <c r="D1350" i="25"/>
  <c r="D1349" i="25"/>
  <c r="D1348" i="25"/>
  <c r="D1347" i="25"/>
  <c r="D1346" i="25"/>
  <c r="D1345" i="25"/>
  <c r="D1338" i="25"/>
  <c r="D1343" i="25"/>
  <c r="D1342" i="25"/>
  <c r="D1341" i="25"/>
  <c r="D1340" i="25"/>
  <c r="D1339" i="25"/>
  <c r="D1329" i="25"/>
  <c r="D1337" i="25"/>
  <c r="D1336" i="25"/>
  <c r="D1335" i="25"/>
  <c r="D1334" i="25"/>
  <c r="D1333" i="25"/>
  <c r="D1332" i="25"/>
  <c r="D1331" i="25"/>
  <c r="D1330" i="25"/>
  <c r="D1318" i="25"/>
  <c r="D1328" i="25"/>
  <c r="D1327" i="25"/>
  <c r="D1326" i="25"/>
  <c r="D1325" i="25"/>
  <c r="D1324" i="25"/>
  <c r="D1323" i="25"/>
  <c r="D1322" i="25"/>
  <c r="D1321" i="25"/>
  <c r="D1320" i="25"/>
  <c r="D1319" i="25"/>
  <c r="D1306" i="25"/>
  <c r="D1317" i="25"/>
  <c r="D1316" i="25"/>
  <c r="D1315" i="25"/>
  <c r="D1314" i="25"/>
  <c r="D1313" i="25"/>
  <c r="D1312" i="25"/>
  <c r="D1311" i="25"/>
  <c r="D1310" i="25"/>
  <c r="D1309" i="25"/>
  <c r="D1308" i="25"/>
  <c r="D1307" i="25"/>
  <c r="D1293" i="25"/>
  <c r="D1305" i="25"/>
  <c r="D1304" i="25"/>
  <c r="D1303" i="25"/>
  <c r="D1302" i="25"/>
  <c r="D1301" i="25"/>
  <c r="D1300" i="25"/>
  <c r="D1299" i="25"/>
  <c r="D1298" i="25"/>
  <c r="D1297" i="25"/>
  <c r="D1296" i="25"/>
  <c r="D1295" i="25"/>
  <c r="D1294" i="25"/>
  <c r="D1283" i="25"/>
  <c r="D1292" i="25"/>
  <c r="D1291" i="25"/>
  <c r="D1290" i="25"/>
  <c r="D1289" i="25"/>
  <c r="D1288" i="25"/>
  <c r="D1287" i="25"/>
  <c r="D1286" i="25"/>
  <c r="D1285" i="25"/>
  <c r="D1284" i="25"/>
  <c r="D1271" i="25"/>
  <c r="D1282" i="25"/>
  <c r="D1281" i="25"/>
  <c r="D1280" i="25"/>
  <c r="D1279" i="25"/>
  <c r="D1278" i="25"/>
  <c r="D1277" i="25"/>
  <c r="D1276" i="25"/>
  <c r="D1275" i="25"/>
  <c r="D1274" i="25"/>
  <c r="D1273" i="25"/>
  <c r="D1272" i="25"/>
  <c r="D1259" i="25"/>
  <c r="D1270" i="25"/>
  <c r="D1269" i="25"/>
  <c r="D1268" i="25"/>
  <c r="D1267" i="25"/>
  <c r="D1266" i="25"/>
  <c r="D1265" i="25"/>
  <c r="D1264" i="25"/>
  <c r="D1263" i="25"/>
  <c r="D1262" i="25"/>
  <c r="D1261" i="25"/>
  <c r="D1260" i="25"/>
  <c r="D1247" i="25"/>
  <c r="D1258" i="25"/>
  <c r="D1257" i="25"/>
  <c r="D1256" i="25"/>
  <c r="D1255" i="25"/>
  <c r="D1254" i="25"/>
  <c r="D1253" i="25"/>
  <c r="D1252" i="25"/>
  <c r="D1251" i="25"/>
  <c r="D1250" i="25"/>
  <c r="D1249" i="25"/>
  <c r="D1248" i="25"/>
  <c r="D1235" i="25"/>
  <c r="D1246" i="25"/>
  <c r="D1245" i="25"/>
  <c r="D1244" i="25"/>
  <c r="D1243" i="25"/>
  <c r="D1242" i="25"/>
  <c r="D1241" i="25"/>
  <c r="D1240" i="25"/>
  <c r="D1239" i="25"/>
  <c r="D1238" i="25"/>
  <c r="D1237" i="25"/>
  <c r="D1236" i="25"/>
  <c r="D1221" i="25"/>
  <c r="D1232" i="25"/>
  <c r="D1231" i="25"/>
  <c r="D1230" i="25"/>
  <c r="D1229" i="25"/>
  <c r="D1228" i="25"/>
  <c r="D1227" i="25"/>
  <c r="D1226" i="25"/>
  <c r="D1225" i="25"/>
  <c r="D1224" i="25"/>
  <c r="D1223" i="25"/>
  <c r="D1222" i="25"/>
  <c r="D1209" i="25"/>
  <c r="D1220" i="25"/>
  <c r="D1219" i="25"/>
  <c r="D1218" i="25"/>
  <c r="D1217" i="25"/>
  <c r="D1216" i="25"/>
  <c r="D1215" i="25"/>
  <c r="D1214" i="25"/>
  <c r="D1213" i="25"/>
  <c r="D1212" i="25"/>
  <c r="D1211" i="25"/>
  <c r="D1210" i="25"/>
  <c r="D1165" i="25"/>
  <c r="D1208" i="25"/>
  <c r="D1207" i="25"/>
  <c r="D1206" i="25"/>
  <c r="D1205" i="25"/>
  <c r="D1204" i="25"/>
  <c r="D1203" i="25"/>
  <c r="D1202" i="25"/>
  <c r="D1201" i="25"/>
  <c r="D1200" i="25"/>
  <c r="D1199" i="25"/>
  <c r="D1198" i="25"/>
  <c r="D1197" i="25"/>
  <c r="D1196" i="25"/>
  <c r="D1195" i="25"/>
  <c r="D1194" i="25"/>
  <c r="D1193" i="25"/>
  <c r="D1192" i="25"/>
  <c r="D1191" i="25"/>
  <c r="D1190" i="25"/>
  <c r="D1189" i="25"/>
  <c r="D1188" i="25"/>
  <c r="D1187" i="25"/>
  <c r="D1186" i="25"/>
  <c r="D1185" i="25"/>
  <c r="D1184" i="25"/>
  <c r="D1183" i="25"/>
  <c r="D1182" i="25"/>
  <c r="D1181" i="25"/>
  <c r="D1180" i="25"/>
  <c r="D1179" i="25"/>
  <c r="D1178" i="25"/>
  <c r="D1177" i="25"/>
  <c r="D1176" i="25"/>
  <c r="D1175" i="25"/>
  <c r="D1174" i="25"/>
  <c r="D1173" i="25"/>
  <c r="D1172" i="25"/>
  <c r="D1171" i="25"/>
  <c r="D1170" i="25"/>
  <c r="D1169" i="25"/>
  <c r="D1168" i="25"/>
  <c r="D1167" i="25"/>
  <c r="D1166" i="25"/>
  <c r="D1157" i="25"/>
  <c r="D1164" i="25"/>
  <c r="D1163" i="25"/>
  <c r="D1162" i="25"/>
  <c r="D1161" i="25"/>
  <c r="D1160" i="25"/>
  <c r="D1159" i="25"/>
  <c r="D1158" i="25"/>
  <c r="F9" i="40" l="1"/>
  <c r="C8" i="40"/>
  <c r="C7" i="40"/>
  <c r="C6" i="40"/>
  <c r="C5" i="40"/>
  <c r="C3" i="40"/>
  <c r="B9" i="40" l="1"/>
  <c r="B8" i="40"/>
  <c r="B7" i="40"/>
  <c r="B6" i="40"/>
  <c r="B5" i="40"/>
  <c r="B4" i="40"/>
  <c r="B3" i="40"/>
  <c r="G8" i="40"/>
  <c r="H6" i="40"/>
  <c r="G5" i="40"/>
  <c r="G7" i="40"/>
  <c r="G4" i="40"/>
  <c r="I6" i="40" l="1"/>
  <c r="H3" i="40"/>
  <c r="H7" i="40"/>
  <c r="H8" i="40"/>
  <c r="H4" i="40"/>
  <c r="H5" i="40"/>
  <c r="G6" i="40"/>
  <c r="G3" i="40"/>
  <c r="I8" i="40" l="1"/>
  <c r="I3" i="40"/>
  <c r="I7" i="40"/>
  <c r="G9" i="40"/>
  <c r="H9" i="40"/>
  <c r="I4" i="40"/>
  <c r="I5" i="40"/>
  <c r="J9" i="40" l="1"/>
  <c r="I9" i="40"/>
  <c r="J8" i="40"/>
  <c r="J5" i="40"/>
  <c r="J4" i="40"/>
  <c r="J7" i="40"/>
  <c r="J6" i="40"/>
  <c r="J3" i="40"/>
  <c r="K24" i="51"/>
  <c r="K26" i="51" s="1"/>
  <c r="K25" i="51" s="1"/>
  <c r="K27" i="5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tc={A4FFDEDF-2040-4EDA-BDEA-4B0632CBB5EC}</author>
  </authors>
  <commentList>
    <comment ref="F2" authorId="0" shapeId="0" xr:uid="{A4FFDEDF-2040-4EDA-BDEA-4B0632CBB5E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Attention, vérifier les prix à 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FLORIN</author>
    <author>tc={18611E35-1993-47C5-8E43-B3326B60C82A}</author>
    <author>.</author>
  </authors>
  <commentList>
    <comment ref="J746" authorId="0" shapeId="0" xr:uid="{20DE325A-83A7-4E05-AC49-739D9065C53B}">
      <text>
        <r>
          <rPr>
            <b/>
            <sz val="9"/>
            <color indexed="81"/>
            <rFont val="Tahoma"/>
            <family val="2"/>
          </rPr>
          <t>Eric FLORIN:</t>
        </r>
        <r>
          <rPr>
            <sz val="9"/>
            <color indexed="81"/>
            <rFont val="Tahoma"/>
            <family val="2"/>
          </rPr>
          <t xml:space="preserve">
350€ de 1 à 2 jours
235€ de 3 à 5 jours</t>
        </r>
      </text>
    </comment>
    <comment ref="U746" authorId="0" shapeId="0" xr:uid="{E6B1C15D-4C0E-4EC4-B1F1-426B57A53978}">
      <text>
        <r>
          <rPr>
            <b/>
            <sz val="9"/>
            <color indexed="81"/>
            <rFont val="Tahoma"/>
            <family val="2"/>
          </rPr>
          <t>Eric FLORIN:</t>
        </r>
        <r>
          <rPr>
            <sz val="9"/>
            <color indexed="81"/>
            <rFont val="Tahoma"/>
            <family val="2"/>
          </rPr>
          <t xml:space="preserve">
350€ de 1 à 2 jours
235€ de 3 à 5 jours</t>
        </r>
      </text>
    </comment>
    <comment ref="J747" authorId="0" shapeId="0" xr:uid="{C2312956-3B86-4497-A2FA-A479C83A06E3}">
      <text>
        <r>
          <rPr>
            <b/>
            <sz val="9"/>
            <color indexed="81"/>
            <rFont val="Tahoma"/>
            <family val="2"/>
          </rPr>
          <t>Eric FLORIN:</t>
        </r>
        <r>
          <rPr>
            <sz val="9"/>
            <color indexed="81"/>
            <rFont val="Tahoma"/>
            <family val="2"/>
          </rPr>
          <t xml:space="preserve">
62&gt;4J
57€&gt;21J</t>
        </r>
      </text>
    </comment>
    <comment ref="U747" authorId="0" shapeId="0" xr:uid="{120034EE-3DFF-406A-85C5-ECAC7CAE7E0F}">
      <text>
        <r>
          <rPr>
            <b/>
            <sz val="9"/>
            <color indexed="81"/>
            <rFont val="Tahoma"/>
            <family val="2"/>
          </rPr>
          <t>Eric FLORIN:</t>
        </r>
        <r>
          <rPr>
            <sz val="9"/>
            <color indexed="81"/>
            <rFont val="Tahoma"/>
            <family val="2"/>
          </rPr>
          <t xml:space="preserve">
62&gt;4J
57€&gt;21J</t>
        </r>
      </text>
    </comment>
    <comment ref="J748" authorId="0" shapeId="0" xr:uid="{99BF4C58-9A2E-4640-8D54-C215BCB2938B}">
      <text>
        <r>
          <rPr>
            <b/>
            <sz val="9"/>
            <color indexed="81"/>
            <rFont val="Tahoma"/>
            <family val="2"/>
          </rPr>
          <t>Eric FLORIN:</t>
        </r>
        <r>
          <rPr>
            <sz val="9"/>
            <color indexed="81"/>
            <rFont val="Tahoma"/>
            <family val="2"/>
          </rPr>
          <t xml:space="preserve">
62€&gt;4J
57€&gt;21J</t>
        </r>
      </text>
    </comment>
    <comment ref="U748" authorId="0" shapeId="0" xr:uid="{1EF26AC8-0B4A-4543-ADB8-971D2B2E55AB}">
      <text>
        <r>
          <rPr>
            <b/>
            <sz val="9"/>
            <color indexed="81"/>
            <rFont val="Tahoma"/>
            <family val="2"/>
          </rPr>
          <t>Eric FLORIN:</t>
        </r>
        <r>
          <rPr>
            <sz val="9"/>
            <color indexed="81"/>
            <rFont val="Tahoma"/>
            <family val="2"/>
          </rPr>
          <t xml:space="preserve">
62€&gt;4J
57€&gt;21J</t>
        </r>
      </text>
    </comment>
    <comment ref="J749" authorId="0" shapeId="0" xr:uid="{A260E8E1-AA0C-4EC4-A7B6-6B208F5ADA04}">
      <text>
        <r>
          <rPr>
            <b/>
            <sz val="9"/>
            <color indexed="81"/>
            <rFont val="Tahoma"/>
            <family val="2"/>
          </rPr>
          <t>Eric FLORIN:</t>
        </r>
        <r>
          <rPr>
            <sz val="9"/>
            <color indexed="81"/>
            <rFont val="Tahoma"/>
            <family val="2"/>
          </rPr>
          <t xml:space="preserve">
67€&gt;4J
62€&gt;21J</t>
        </r>
      </text>
    </comment>
    <comment ref="U749" authorId="0" shapeId="0" xr:uid="{4D0169BC-E93E-402A-852C-73146EBB3A0A}">
      <text>
        <r>
          <rPr>
            <b/>
            <sz val="9"/>
            <color indexed="81"/>
            <rFont val="Tahoma"/>
            <family val="2"/>
          </rPr>
          <t>Eric FLORIN:</t>
        </r>
        <r>
          <rPr>
            <sz val="9"/>
            <color indexed="81"/>
            <rFont val="Tahoma"/>
            <family val="2"/>
          </rPr>
          <t xml:space="preserve">
67€&gt;4J
62€&gt;21J</t>
        </r>
      </text>
    </comment>
    <comment ref="J750" authorId="0" shapeId="0" xr:uid="{61721120-D5DD-436B-89DF-D0A632D17068}">
      <text>
        <r>
          <rPr>
            <b/>
            <sz val="9"/>
            <color indexed="81"/>
            <rFont val="Tahoma"/>
            <family val="2"/>
          </rPr>
          <t>Eric FLORIN:
67€&gt;5J
62€&gt;21J</t>
        </r>
      </text>
    </comment>
    <comment ref="U750" authorId="0" shapeId="0" xr:uid="{48A2899B-56B6-4D21-A51C-85DA1D0C95C1}">
      <text>
        <r>
          <rPr>
            <b/>
            <sz val="9"/>
            <color indexed="81"/>
            <rFont val="Tahoma"/>
            <family val="2"/>
          </rPr>
          <t>Eric FLORIN:
67€&gt;5J
62€&gt;21J</t>
        </r>
      </text>
    </comment>
    <comment ref="J751" authorId="0" shapeId="0" xr:uid="{FE822FAF-4737-4104-AB97-68603CAEB86E}">
      <text>
        <r>
          <rPr>
            <b/>
            <sz val="9"/>
            <color indexed="81"/>
            <rFont val="Tahoma"/>
            <family val="2"/>
          </rPr>
          <t>Eric FLORIN:</t>
        </r>
        <r>
          <rPr>
            <sz val="9"/>
            <color indexed="81"/>
            <rFont val="Tahoma"/>
            <family val="2"/>
          </rPr>
          <t xml:space="preserve">
trasnport selon zone
de 90€ à 150€</t>
        </r>
      </text>
    </comment>
    <comment ref="U751" authorId="0" shapeId="0" xr:uid="{5115AE72-4A2C-48AB-A0DE-AF37334B62C0}">
      <text>
        <r>
          <rPr>
            <b/>
            <sz val="9"/>
            <color indexed="81"/>
            <rFont val="Tahoma"/>
            <family val="2"/>
          </rPr>
          <t>Eric FLORIN:</t>
        </r>
        <r>
          <rPr>
            <sz val="9"/>
            <color indexed="81"/>
            <rFont val="Tahoma"/>
            <family val="2"/>
          </rPr>
          <t xml:space="preserve">
trasnport selon zone
de 90€ à 150€</t>
        </r>
      </text>
    </comment>
    <comment ref="J752" authorId="0" shapeId="0" xr:uid="{52F84335-555F-4BE7-9C74-F08552516E2F}">
      <text>
        <r>
          <rPr>
            <b/>
            <sz val="9"/>
            <color indexed="81"/>
            <rFont val="Tahoma"/>
            <family val="2"/>
          </rPr>
          <t>Eric FLORIN:</t>
        </r>
        <r>
          <rPr>
            <sz val="9"/>
            <color indexed="81"/>
            <rFont val="Tahoma"/>
            <family val="2"/>
          </rPr>
          <t xml:space="preserve">
168€ de 1 à 2J
112€ de 3 à 5J</t>
        </r>
      </text>
    </comment>
    <comment ref="U752" authorId="0" shapeId="0" xr:uid="{04EE33FB-812C-4BCE-ADED-EAB450E6221A}">
      <text>
        <r>
          <rPr>
            <b/>
            <sz val="9"/>
            <color indexed="81"/>
            <rFont val="Tahoma"/>
            <family val="2"/>
          </rPr>
          <t>Eric FLORIN:</t>
        </r>
        <r>
          <rPr>
            <sz val="9"/>
            <color indexed="81"/>
            <rFont val="Tahoma"/>
            <family val="2"/>
          </rPr>
          <t xml:space="preserve">
168€ de 1 à 2J
112€ de 3 à 5J</t>
        </r>
      </text>
    </comment>
    <comment ref="J754" authorId="0" shapeId="0" xr:uid="{B5AA7551-68C7-422B-BE72-B3B794B33416}">
      <text>
        <r>
          <rPr>
            <b/>
            <sz val="9"/>
            <color indexed="81"/>
            <rFont val="Tahoma"/>
            <family val="2"/>
          </rPr>
          <t>Eric FLORIN:</t>
        </r>
        <r>
          <rPr>
            <sz val="9"/>
            <color indexed="81"/>
            <rFont val="Tahoma"/>
            <family val="2"/>
          </rPr>
          <t xml:space="preserve">
235€ de 1 à 2 jours
157€ de 3 à 5 jours</t>
        </r>
      </text>
    </comment>
    <comment ref="U754" authorId="0" shapeId="0" xr:uid="{B623647B-0031-4DB9-AE33-86D9DFE5CBB6}">
      <text>
        <r>
          <rPr>
            <b/>
            <sz val="9"/>
            <color indexed="81"/>
            <rFont val="Tahoma"/>
            <family val="2"/>
          </rPr>
          <t>Eric FLORIN:</t>
        </r>
        <r>
          <rPr>
            <sz val="9"/>
            <color indexed="81"/>
            <rFont val="Tahoma"/>
            <family val="2"/>
          </rPr>
          <t xml:space="preserve">
235€ de 1 à 2 jours
157€ de 3 à 5 jours</t>
        </r>
      </text>
    </comment>
    <comment ref="J758" authorId="0" shapeId="0" xr:uid="{2CB94157-2C05-48A6-984C-1366333131FE}">
      <text>
        <r>
          <rPr>
            <b/>
            <sz val="9"/>
            <color indexed="81"/>
            <rFont val="Tahoma"/>
            <family val="2"/>
          </rPr>
          <t>Eric FLORIN:</t>
        </r>
        <r>
          <rPr>
            <sz val="9"/>
            <color indexed="81"/>
            <rFont val="Tahoma"/>
            <family val="2"/>
          </rPr>
          <t xml:space="preserve">
32€ &gt;4J
26€&gt;21J</t>
        </r>
      </text>
    </comment>
    <comment ref="U758" authorId="0" shapeId="0" xr:uid="{4A42D88B-CC2F-4FE1-9CF5-FF507F667EA5}">
      <text>
        <r>
          <rPr>
            <b/>
            <sz val="9"/>
            <color indexed="81"/>
            <rFont val="Tahoma"/>
            <family val="2"/>
          </rPr>
          <t>Eric FLORIN:</t>
        </r>
        <r>
          <rPr>
            <sz val="9"/>
            <color indexed="81"/>
            <rFont val="Tahoma"/>
            <family val="2"/>
          </rPr>
          <t xml:space="preserve">
32€ &gt;4J
26€&gt;21J</t>
        </r>
      </text>
    </comment>
    <comment ref="J759" authorId="0" shapeId="0" xr:uid="{68F4E8F6-5487-44A0-8039-9560D955C273}">
      <text>
        <r>
          <rPr>
            <b/>
            <sz val="9"/>
            <color indexed="81"/>
            <rFont val="Tahoma"/>
            <family val="2"/>
          </rPr>
          <t>Eric FLORIN:</t>
        </r>
        <r>
          <rPr>
            <sz val="9"/>
            <color indexed="81"/>
            <rFont val="Tahoma"/>
            <family val="2"/>
          </rPr>
          <t xml:space="preserve">
32€ &gt;4J
26€&gt;21J</t>
        </r>
      </text>
    </comment>
    <comment ref="U759" authorId="0" shapeId="0" xr:uid="{E2AD5834-2EF9-47FF-B418-84B53A45711F}">
      <text>
        <r>
          <rPr>
            <b/>
            <sz val="9"/>
            <color indexed="81"/>
            <rFont val="Tahoma"/>
            <family val="2"/>
          </rPr>
          <t>Eric FLORIN:</t>
        </r>
        <r>
          <rPr>
            <sz val="9"/>
            <color indexed="81"/>
            <rFont val="Tahoma"/>
            <family val="2"/>
          </rPr>
          <t xml:space="preserve">
32€ &gt;4J
26€&gt;21J</t>
        </r>
      </text>
    </comment>
    <comment ref="J760" authorId="0" shapeId="0" xr:uid="{3724B23B-5524-4201-8EF7-D9614920D352}">
      <text>
        <r>
          <rPr>
            <b/>
            <sz val="9"/>
            <color indexed="81"/>
            <rFont val="Tahoma"/>
            <family val="2"/>
          </rPr>
          <t>Eric FLORIN:</t>
        </r>
        <r>
          <rPr>
            <sz val="9"/>
            <color indexed="81"/>
            <rFont val="Tahoma"/>
            <family val="2"/>
          </rPr>
          <t xml:space="preserve">
37€ &gt;4J
32€&gt;21J</t>
        </r>
      </text>
    </comment>
    <comment ref="U760" authorId="0" shapeId="0" xr:uid="{46A63305-2937-4D64-83D6-97E3CF52D636}">
      <text>
        <r>
          <rPr>
            <b/>
            <sz val="9"/>
            <color indexed="81"/>
            <rFont val="Tahoma"/>
            <family val="2"/>
          </rPr>
          <t>Eric FLORIN:</t>
        </r>
        <r>
          <rPr>
            <sz val="9"/>
            <color indexed="81"/>
            <rFont val="Tahoma"/>
            <family val="2"/>
          </rPr>
          <t xml:space="preserve">
37€ &gt;4J
32€&gt;21J</t>
        </r>
      </text>
    </comment>
    <comment ref="J761" authorId="0" shapeId="0" xr:uid="{2904C9E7-D6F6-440E-B97D-FE5B1A80862D}">
      <text>
        <r>
          <rPr>
            <b/>
            <sz val="9"/>
            <color indexed="81"/>
            <rFont val="Tahoma"/>
            <family val="2"/>
          </rPr>
          <t>Eric FLORIN:</t>
        </r>
        <r>
          <rPr>
            <sz val="9"/>
            <color indexed="81"/>
            <rFont val="Tahoma"/>
            <family val="2"/>
          </rPr>
          <t xml:space="preserve">
37€&gt;4J
32€&gt;21J</t>
        </r>
      </text>
    </comment>
    <comment ref="U761" authorId="0" shapeId="0" xr:uid="{6283E9C5-ECF5-44B9-A36C-8ECD807BD67A}">
      <text>
        <r>
          <rPr>
            <b/>
            <sz val="9"/>
            <color indexed="81"/>
            <rFont val="Tahoma"/>
            <family val="2"/>
          </rPr>
          <t>Eric FLORIN:</t>
        </r>
        <r>
          <rPr>
            <sz val="9"/>
            <color indexed="81"/>
            <rFont val="Tahoma"/>
            <family val="2"/>
          </rPr>
          <t xml:space="preserve">
37€&gt;4J
32€&gt;21J</t>
        </r>
      </text>
    </comment>
    <comment ref="J762" authorId="0" shapeId="0" xr:uid="{7AB6B3C0-9163-4617-9779-658F266421DF}">
      <text>
        <r>
          <rPr>
            <b/>
            <sz val="9"/>
            <color indexed="81"/>
            <rFont val="Tahoma"/>
            <family val="2"/>
          </rPr>
          <t>Eric FLORIN:</t>
        </r>
        <r>
          <rPr>
            <sz val="9"/>
            <color indexed="81"/>
            <rFont val="Tahoma"/>
            <family val="2"/>
          </rPr>
          <t xml:space="preserve">
42€&gt;4J
37€&gt;21J</t>
        </r>
      </text>
    </comment>
    <comment ref="U762" authorId="0" shapeId="0" xr:uid="{89A8ACCD-7B8F-454C-BC6A-1B6B67648A69}">
      <text>
        <r>
          <rPr>
            <b/>
            <sz val="9"/>
            <color indexed="81"/>
            <rFont val="Tahoma"/>
            <family val="2"/>
          </rPr>
          <t>Eric FLORIN:</t>
        </r>
        <r>
          <rPr>
            <sz val="9"/>
            <color indexed="81"/>
            <rFont val="Tahoma"/>
            <family val="2"/>
          </rPr>
          <t xml:space="preserve">
42€&gt;4J
37€&gt;21J</t>
        </r>
      </text>
    </comment>
    <comment ref="J763" authorId="0" shapeId="0" xr:uid="{BD3E2104-F4AD-4035-BCB7-F70797718DD3}">
      <text>
        <r>
          <rPr>
            <b/>
            <sz val="9"/>
            <color indexed="81"/>
            <rFont val="Tahoma"/>
            <family val="2"/>
          </rPr>
          <t>Eric FLORIN:</t>
        </r>
        <r>
          <rPr>
            <sz val="9"/>
            <color indexed="81"/>
            <rFont val="Tahoma"/>
            <family val="2"/>
          </rPr>
          <t xml:space="preserve">
42&gt;4J
37€&gt;21J</t>
        </r>
      </text>
    </comment>
    <comment ref="U763" authorId="0" shapeId="0" xr:uid="{3CA13C49-CE46-4227-9701-CCF73DC7CD93}">
      <text>
        <r>
          <rPr>
            <b/>
            <sz val="9"/>
            <color indexed="81"/>
            <rFont val="Tahoma"/>
            <family val="2"/>
          </rPr>
          <t>Eric FLORIN:</t>
        </r>
        <r>
          <rPr>
            <sz val="9"/>
            <color indexed="81"/>
            <rFont val="Tahoma"/>
            <family val="2"/>
          </rPr>
          <t xml:space="preserve">
42&gt;4J
37€&gt;21J</t>
        </r>
      </text>
    </comment>
    <comment ref="J764" authorId="0" shapeId="0" xr:uid="{B575B0D6-E590-42D2-93A9-D1B9F1D17ACA}">
      <text>
        <r>
          <rPr>
            <b/>
            <sz val="9"/>
            <color indexed="81"/>
            <rFont val="Tahoma"/>
            <family val="2"/>
          </rPr>
          <t>Eric FLORIN:</t>
        </r>
        <r>
          <rPr>
            <sz val="9"/>
            <color indexed="81"/>
            <rFont val="Tahoma"/>
            <family val="2"/>
          </rPr>
          <t xml:space="preserve">
48€&gt;4J
42€&gt;21J</t>
        </r>
      </text>
    </comment>
    <comment ref="U764" authorId="0" shapeId="0" xr:uid="{01A85088-571D-4F95-912F-0732D65BACBD}">
      <text>
        <r>
          <rPr>
            <b/>
            <sz val="9"/>
            <color indexed="81"/>
            <rFont val="Tahoma"/>
            <family val="2"/>
          </rPr>
          <t>Eric FLORIN:</t>
        </r>
        <r>
          <rPr>
            <sz val="9"/>
            <color indexed="81"/>
            <rFont val="Tahoma"/>
            <family val="2"/>
          </rPr>
          <t xml:space="preserve">
48€&gt;4J
42€&gt;21J</t>
        </r>
      </text>
    </comment>
    <comment ref="J765" authorId="0" shapeId="0" xr:uid="{13AB7157-223D-42AD-84BC-522AA91B45E9}">
      <text>
        <r>
          <rPr>
            <b/>
            <sz val="9"/>
            <color indexed="81"/>
            <rFont val="Tahoma"/>
            <family val="2"/>
          </rPr>
          <t>Eric FLORIN:</t>
        </r>
        <r>
          <rPr>
            <sz val="9"/>
            <color indexed="81"/>
            <rFont val="Tahoma"/>
            <family val="2"/>
          </rPr>
          <t xml:space="preserve">
48€ &gt;4J
42€&gt;21J</t>
        </r>
      </text>
    </comment>
    <comment ref="U765" authorId="0" shapeId="0" xr:uid="{155BE083-EDB2-4F54-8FD0-67A9DB3A673D}">
      <text>
        <r>
          <rPr>
            <b/>
            <sz val="9"/>
            <color indexed="81"/>
            <rFont val="Tahoma"/>
            <family val="2"/>
          </rPr>
          <t>Eric FLORIN:</t>
        </r>
        <r>
          <rPr>
            <sz val="9"/>
            <color indexed="81"/>
            <rFont val="Tahoma"/>
            <family val="2"/>
          </rPr>
          <t xml:space="preserve">
48€ &gt;4J
42€&gt;21J</t>
        </r>
      </text>
    </comment>
    <comment ref="J766" authorId="0" shapeId="0" xr:uid="{6ED5591C-BF02-4BAB-A42A-58CB94C42E76}">
      <text>
        <r>
          <rPr>
            <b/>
            <sz val="9"/>
            <color indexed="81"/>
            <rFont val="Tahoma"/>
            <family val="2"/>
          </rPr>
          <t>Eric FLORIN:</t>
        </r>
        <r>
          <rPr>
            <sz val="9"/>
            <color indexed="81"/>
            <rFont val="Tahoma"/>
            <family val="2"/>
          </rPr>
          <t xml:space="preserve">
69€&gt;4J
64€&gt;21J</t>
        </r>
      </text>
    </comment>
    <comment ref="U766" authorId="0" shapeId="0" xr:uid="{4D857A65-F9EA-4B43-B3F8-845B0AE8ACD9}">
      <text>
        <r>
          <rPr>
            <b/>
            <sz val="9"/>
            <color indexed="81"/>
            <rFont val="Tahoma"/>
            <family val="2"/>
          </rPr>
          <t>Eric FLORIN:</t>
        </r>
        <r>
          <rPr>
            <sz val="9"/>
            <color indexed="81"/>
            <rFont val="Tahoma"/>
            <family val="2"/>
          </rPr>
          <t xml:space="preserve">
69€&gt;4J
64€&gt;21J</t>
        </r>
      </text>
    </comment>
    <comment ref="J768" authorId="0" shapeId="0" xr:uid="{DEFA6D9B-A504-4585-B7B7-57346B9B2586}">
      <text>
        <r>
          <rPr>
            <b/>
            <sz val="9"/>
            <color indexed="81"/>
            <rFont val="Tahoma"/>
            <family val="2"/>
          </rPr>
          <t>Eric FLORIN:</t>
        </r>
        <r>
          <rPr>
            <sz val="9"/>
            <color indexed="81"/>
            <rFont val="Tahoma"/>
            <family val="2"/>
          </rPr>
          <t xml:space="preserve">
6€&gt;4J
5€&gt;11J</t>
        </r>
      </text>
    </comment>
    <comment ref="U768" authorId="0" shapeId="0" xr:uid="{F3201FBB-88D7-4A90-968C-0DCE6C2461D2}">
      <text>
        <r>
          <rPr>
            <b/>
            <sz val="9"/>
            <color indexed="81"/>
            <rFont val="Tahoma"/>
            <family val="2"/>
          </rPr>
          <t>Eric FLORIN:</t>
        </r>
        <r>
          <rPr>
            <sz val="9"/>
            <color indexed="81"/>
            <rFont val="Tahoma"/>
            <family val="2"/>
          </rPr>
          <t xml:space="preserve">
6€&gt;4J
5€&gt;11J</t>
        </r>
      </text>
    </comment>
    <comment ref="J769" authorId="0" shapeId="0" xr:uid="{300BDE85-8274-4B9C-B7BB-32139E068567}">
      <text>
        <r>
          <rPr>
            <b/>
            <sz val="9"/>
            <color indexed="81"/>
            <rFont val="Tahoma"/>
            <family val="2"/>
          </rPr>
          <t>Eric FLORIN:</t>
        </r>
        <r>
          <rPr>
            <sz val="9"/>
            <color indexed="81"/>
            <rFont val="Tahoma"/>
            <family val="2"/>
          </rPr>
          <t xml:space="preserve">
16€&gt;4J
11€&gt;11J</t>
        </r>
      </text>
    </comment>
    <comment ref="U769" authorId="0" shapeId="0" xr:uid="{ED5CD9B4-91DC-4039-B5FD-C94D4B97920D}">
      <text>
        <r>
          <rPr>
            <b/>
            <sz val="9"/>
            <color indexed="81"/>
            <rFont val="Tahoma"/>
            <family val="2"/>
          </rPr>
          <t>Eric FLORIN:</t>
        </r>
        <r>
          <rPr>
            <sz val="9"/>
            <color indexed="81"/>
            <rFont val="Tahoma"/>
            <family val="2"/>
          </rPr>
          <t xml:space="preserve">
16€&gt;4J
11€&gt;11J</t>
        </r>
      </text>
    </comment>
    <comment ref="J770" authorId="0" shapeId="0" xr:uid="{70793F15-C94D-4C97-A4D1-242B6AA6D890}">
      <text>
        <r>
          <rPr>
            <b/>
            <sz val="9"/>
            <color indexed="81"/>
            <rFont val="Tahoma"/>
            <family val="2"/>
          </rPr>
          <t>Eric FLORIN:</t>
        </r>
        <r>
          <rPr>
            <sz val="9"/>
            <color indexed="81"/>
            <rFont val="Tahoma"/>
            <family val="2"/>
          </rPr>
          <t xml:space="preserve">
21€&gt;4J
16€&gt;11J</t>
        </r>
      </text>
    </comment>
    <comment ref="U770" authorId="0" shapeId="0" xr:uid="{EDB05985-9E15-4B56-9090-CC6C1D0B4FC9}">
      <text>
        <r>
          <rPr>
            <b/>
            <sz val="9"/>
            <color indexed="81"/>
            <rFont val="Tahoma"/>
            <family val="2"/>
          </rPr>
          <t>Eric FLORIN:</t>
        </r>
        <r>
          <rPr>
            <sz val="9"/>
            <color indexed="81"/>
            <rFont val="Tahoma"/>
            <family val="2"/>
          </rPr>
          <t xml:space="preserve">
21€&gt;4J
16€&gt;11J</t>
        </r>
      </text>
    </comment>
    <comment ref="J772" authorId="0" shapeId="0" xr:uid="{A26D2968-D01D-419F-B75F-EE873FEB9E63}">
      <text>
        <r>
          <rPr>
            <b/>
            <sz val="9"/>
            <color indexed="81"/>
            <rFont val="Tahoma"/>
            <family val="2"/>
          </rPr>
          <t>Eric FLORIN:</t>
        </r>
        <r>
          <rPr>
            <sz val="9"/>
            <color indexed="81"/>
            <rFont val="Tahoma"/>
            <family val="2"/>
          </rPr>
          <t xml:space="preserve">
24€&gt;4J
16€&gt;11J</t>
        </r>
      </text>
    </comment>
    <comment ref="U772" authorId="0" shapeId="0" xr:uid="{D98884CF-3527-432D-927B-A091ADE541FE}">
      <text>
        <r>
          <rPr>
            <b/>
            <sz val="9"/>
            <color indexed="81"/>
            <rFont val="Tahoma"/>
            <family val="2"/>
          </rPr>
          <t>Eric FLORIN:</t>
        </r>
        <r>
          <rPr>
            <sz val="9"/>
            <color indexed="81"/>
            <rFont val="Tahoma"/>
            <family val="2"/>
          </rPr>
          <t xml:space="preserve">
24€&gt;4J
16€&gt;11J</t>
        </r>
      </text>
    </comment>
    <comment ref="J773" authorId="0" shapeId="0" xr:uid="{8DE88137-F362-485F-9EB0-D6CCF2B3A202}">
      <text>
        <r>
          <rPr>
            <b/>
            <sz val="9"/>
            <color indexed="81"/>
            <rFont val="Tahoma"/>
            <family val="2"/>
          </rPr>
          <t>Eric FLORIN:</t>
        </r>
        <r>
          <rPr>
            <sz val="9"/>
            <color indexed="81"/>
            <rFont val="Tahoma"/>
            <family val="2"/>
          </rPr>
          <t xml:space="preserve">
31€&gt;4J
21€&gt;11J</t>
        </r>
      </text>
    </comment>
    <comment ref="U773" authorId="0" shapeId="0" xr:uid="{D6B7DBD9-4EC2-4814-992A-4C1FDCF3C489}">
      <text>
        <r>
          <rPr>
            <b/>
            <sz val="9"/>
            <color indexed="81"/>
            <rFont val="Tahoma"/>
            <family val="2"/>
          </rPr>
          <t>Eric FLORIN:</t>
        </r>
        <r>
          <rPr>
            <sz val="9"/>
            <color indexed="81"/>
            <rFont val="Tahoma"/>
            <family val="2"/>
          </rPr>
          <t xml:space="preserve">
31€&gt;4J
21€&gt;11J</t>
        </r>
      </text>
    </comment>
    <comment ref="J775" authorId="0" shapeId="0" xr:uid="{703F2E92-CA60-4C0E-A8BC-141251DA7794}">
      <text>
        <r>
          <rPr>
            <b/>
            <sz val="9"/>
            <color indexed="81"/>
            <rFont val="Tahoma"/>
            <family val="2"/>
          </rPr>
          <t>Eric FLORIN:</t>
        </r>
        <r>
          <rPr>
            <sz val="9"/>
            <color indexed="81"/>
            <rFont val="Tahoma"/>
            <family val="2"/>
          </rPr>
          <t xml:space="preserve">
79€&gt;4j</t>
        </r>
      </text>
    </comment>
    <comment ref="U775" authorId="0" shapeId="0" xr:uid="{F5C6DB64-8C33-401E-8D95-A372F772D9DB}">
      <text>
        <r>
          <rPr>
            <b/>
            <sz val="9"/>
            <color indexed="81"/>
            <rFont val="Tahoma"/>
            <family val="2"/>
          </rPr>
          <t>Eric FLORIN:</t>
        </r>
        <r>
          <rPr>
            <sz val="9"/>
            <color indexed="81"/>
            <rFont val="Tahoma"/>
            <family val="2"/>
          </rPr>
          <t xml:space="preserve">
79€&gt;4j</t>
        </r>
      </text>
    </comment>
    <comment ref="J776" authorId="0" shapeId="0" xr:uid="{C931AF4E-4F8C-4DBD-A821-B88EF052E252}">
      <text>
        <r>
          <rPr>
            <b/>
            <sz val="9"/>
            <color indexed="81"/>
            <rFont val="Tahoma"/>
            <family val="2"/>
          </rPr>
          <t>Eric FLORIN:</t>
        </r>
        <r>
          <rPr>
            <sz val="9"/>
            <color indexed="81"/>
            <rFont val="Tahoma"/>
            <family val="2"/>
          </rPr>
          <t xml:space="preserve">
79€&gt;4J</t>
        </r>
      </text>
    </comment>
    <comment ref="U776" authorId="0" shapeId="0" xr:uid="{3E893663-8B70-4EAE-B1C7-D22916093578}">
      <text>
        <r>
          <rPr>
            <b/>
            <sz val="9"/>
            <color indexed="81"/>
            <rFont val="Tahoma"/>
            <family val="2"/>
          </rPr>
          <t>Eric FLORIN:</t>
        </r>
        <r>
          <rPr>
            <sz val="9"/>
            <color indexed="81"/>
            <rFont val="Tahoma"/>
            <family val="2"/>
          </rPr>
          <t xml:space="preserve">
79€&gt;4J</t>
        </r>
      </text>
    </comment>
    <comment ref="J777" authorId="0" shapeId="0" xr:uid="{BB2A7D1C-1029-4CA7-BCFE-5B2F652F0EEF}">
      <text>
        <r>
          <rPr>
            <b/>
            <sz val="9"/>
            <color indexed="81"/>
            <rFont val="Tahoma"/>
            <family val="2"/>
          </rPr>
          <t>Eric FLORIN:</t>
        </r>
        <r>
          <rPr>
            <sz val="9"/>
            <color indexed="81"/>
            <rFont val="Tahoma"/>
            <family val="2"/>
          </rPr>
          <t xml:space="preserve">
79€&gt;4J</t>
        </r>
      </text>
    </comment>
    <comment ref="U777" authorId="0" shapeId="0" xr:uid="{96154DAE-E36D-41AF-ACBF-6881CE4AA1DE}">
      <text>
        <r>
          <rPr>
            <b/>
            <sz val="9"/>
            <color indexed="81"/>
            <rFont val="Tahoma"/>
            <family val="2"/>
          </rPr>
          <t>Eric FLORIN:</t>
        </r>
        <r>
          <rPr>
            <sz val="9"/>
            <color indexed="81"/>
            <rFont val="Tahoma"/>
            <family val="2"/>
          </rPr>
          <t xml:space="preserve">
79€&gt;4J</t>
        </r>
      </text>
    </comment>
    <comment ref="J778" authorId="0" shapeId="0" xr:uid="{4F7CC287-6CAD-41C9-B5F2-3DCDF6351FA8}">
      <text>
        <r>
          <rPr>
            <b/>
            <sz val="9"/>
            <color indexed="81"/>
            <rFont val="Tahoma"/>
            <family val="2"/>
          </rPr>
          <t>Eric FLORIN:</t>
        </r>
        <r>
          <rPr>
            <sz val="9"/>
            <color indexed="81"/>
            <rFont val="Tahoma"/>
            <family val="2"/>
          </rPr>
          <t xml:space="preserve">
92€&gt;4J</t>
        </r>
      </text>
    </comment>
    <comment ref="U778" authorId="0" shapeId="0" xr:uid="{224146B1-5307-483B-961B-D6B3B9F3887B}">
      <text>
        <r>
          <rPr>
            <b/>
            <sz val="9"/>
            <color indexed="81"/>
            <rFont val="Tahoma"/>
            <family val="2"/>
          </rPr>
          <t>Eric FLORIN:</t>
        </r>
        <r>
          <rPr>
            <sz val="9"/>
            <color indexed="81"/>
            <rFont val="Tahoma"/>
            <family val="2"/>
          </rPr>
          <t xml:space="preserve">
92€&gt;4J</t>
        </r>
      </text>
    </comment>
    <comment ref="J779" authorId="0" shapeId="0" xr:uid="{97BFB74F-75D2-4521-A5E6-99E0DB47604C}">
      <text>
        <r>
          <rPr>
            <b/>
            <sz val="9"/>
            <color indexed="81"/>
            <rFont val="Tahoma"/>
            <family val="2"/>
          </rPr>
          <t>Eric FLORIN:</t>
        </r>
        <r>
          <rPr>
            <sz val="9"/>
            <color indexed="81"/>
            <rFont val="Tahoma"/>
            <family val="2"/>
          </rPr>
          <t xml:space="preserve">
92€&gt;4J</t>
        </r>
      </text>
    </comment>
    <comment ref="U779" authorId="0" shapeId="0" xr:uid="{B01BE81F-DA8E-4A14-9926-FF0299A78AC9}">
      <text>
        <r>
          <rPr>
            <b/>
            <sz val="9"/>
            <color indexed="81"/>
            <rFont val="Tahoma"/>
            <family val="2"/>
          </rPr>
          <t>Eric FLORIN:</t>
        </r>
        <r>
          <rPr>
            <sz val="9"/>
            <color indexed="81"/>
            <rFont val="Tahoma"/>
            <family val="2"/>
          </rPr>
          <t xml:space="preserve">
92€&gt;4J</t>
        </r>
      </text>
    </comment>
    <comment ref="J780" authorId="0" shapeId="0" xr:uid="{253F014E-C66F-48BC-BF69-76E24F45D913}">
      <text>
        <r>
          <rPr>
            <b/>
            <sz val="9"/>
            <color indexed="81"/>
            <rFont val="Tahoma"/>
            <family val="2"/>
          </rPr>
          <t>Eric FLORIN:</t>
        </r>
        <r>
          <rPr>
            <sz val="9"/>
            <color indexed="81"/>
            <rFont val="Tahoma"/>
            <family val="2"/>
          </rPr>
          <t xml:space="preserve">
122€&gt;4J</t>
        </r>
      </text>
    </comment>
    <comment ref="U780" authorId="0" shapeId="0" xr:uid="{326DDBBC-B374-4098-BAD4-A099E4563802}">
      <text>
        <r>
          <rPr>
            <b/>
            <sz val="9"/>
            <color indexed="81"/>
            <rFont val="Tahoma"/>
            <family val="2"/>
          </rPr>
          <t>Eric FLORIN:</t>
        </r>
        <r>
          <rPr>
            <sz val="9"/>
            <color indexed="81"/>
            <rFont val="Tahoma"/>
            <family val="2"/>
          </rPr>
          <t xml:space="preserve">
122€&gt;4J</t>
        </r>
      </text>
    </comment>
    <comment ref="J781" authorId="0" shapeId="0" xr:uid="{AFDECB3E-B53C-4492-A380-4C5CE59BAE55}">
      <text>
        <r>
          <rPr>
            <b/>
            <sz val="9"/>
            <color indexed="81"/>
            <rFont val="Tahoma"/>
            <family val="2"/>
          </rPr>
          <t>Eric FLORIN:</t>
        </r>
        <r>
          <rPr>
            <sz val="9"/>
            <color indexed="81"/>
            <rFont val="Tahoma"/>
            <family val="2"/>
          </rPr>
          <t xml:space="preserve">
trasnport selon zone
de 90€ à 150€</t>
        </r>
      </text>
    </comment>
    <comment ref="U781" authorId="0" shapeId="0" xr:uid="{E920C313-93D6-4D54-AC4E-097B5E82065B}">
      <text>
        <r>
          <rPr>
            <b/>
            <sz val="9"/>
            <color indexed="81"/>
            <rFont val="Tahoma"/>
            <family val="2"/>
          </rPr>
          <t>Eric FLORIN:</t>
        </r>
        <r>
          <rPr>
            <sz val="9"/>
            <color indexed="81"/>
            <rFont val="Tahoma"/>
            <family val="2"/>
          </rPr>
          <t xml:space="preserve">
trasnport selon zone
de 90€ à 150€</t>
        </r>
      </text>
    </comment>
    <comment ref="J783" authorId="0" shapeId="0" xr:uid="{96835C1A-A8A7-406A-9C37-DD67230485F0}">
      <text>
        <r>
          <rPr>
            <b/>
            <sz val="9"/>
            <color indexed="81"/>
            <rFont val="Tahoma"/>
            <family val="2"/>
          </rPr>
          <t>Eric FLORIN:</t>
        </r>
        <r>
          <rPr>
            <sz val="9"/>
            <color indexed="81"/>
            <rFont val="Tahoma"/>
            <family val="2"/>
          </rPr>
          <t xml:space="preserve">
31€&gt;4J</t>
        </r>
      </text>
    </comment>
    <comment ref="U783" authorId="0" shapeId="0" xr:uid="{E7685E56-A9AE-468A-94C2-02296FDDCF02}">
      <text>
        <r>
          <rPr>
            <b/>
            <sz val="9"/>
            <color indexed="81"/>
            <rFont val="Tahoma"/>
            <family val="2"/>
          </rPr>
          <t>Eric FLORIN:</t>
        </r>
        <r>
          <rPr>
            <sz val="9"/>
            <color indexed="81"/>
            <rFont val="Tahoma"/>
            <family val="2"/>
          </rPr>
          <t xml:space="preserve">
31€&gt;4J</t>
        </r>
      </text>
    </comment>
    <comment ref="J784" authorId="0" shapeId="0" xr:uid="{A76B4BC9-F35F-44DA-BC45-900FEABCEE56}">
      <text>
        <r>
          <rPr>
            <b/>
            <sz val="9"/>
            <color indexed="81"/>
            <rFont val="Tahoma"/>
            <family val="2"/>
          </rPr>
          <t>Eric FLORIN:</t>
        </r>
        <r>
          <rPr>
            <sz val="9"/>
            <color indexed="81"/>
            <rFont val="Tahoma"/>
            <family val="2"/>
          </rPr>
          <t xml:space="preserve">
33€&gt;4J</t>
        </r>
      </text>
    </comment>
    <comment ref="U784" authorId="0" shapeId="0" xr:uid="{4B14D1E3-B65F-4F1F-BA0A-F477FBAB7B10}">
      <text>
        <r>
          <rPr>
            <b/>
            <sz val="9"/>
            <color indexed="81"/>
            <rFont val="Tahoma"/>
            <family val="2"/>
          </rPr>
          <t>Eric FLORIN:</t>
        </r>
        <r>
          <rPr>
            <sz val="9"/>
            <color indexed="81"/>
            <rFont val="Tahoma"/>
            <family val="2"/>
          </rPr>
          <t xml:space="preserve">
33€&gt;4J</t>
        </r>
      </text>
    </comment>
    <comment ref="J785" authorId="0" shapeId="0" xr:uid="{23946C19-0374-4AB7-B3D4-64D47985BC98}">
      <text>
        <r>
          <rPr>
            <b/>
            <sz val="9"/>
            <color indexed="81"/>
            <rFont val="Tahoma"/>
            <family val="2"/>
          </rPr>
          <t>Eric FLORIN:</t>
        </r>
        <r>
          <rPr>
            <sz val="9"/>
            <color indexed="81"/>
            <rFont val="Tahoma"/>
            <family val="2"/>
          </rPr>
          <t xml:space="preserve">
39€&gt;4J</t>
        </r>
      </text>
    </comment>
    <comment ref="U785" authorId="0" shapeId="0" xr:uid="{8FC50C87-6CE2-47C1-B951-DD0B1AF5F176}">
      <text>
        <r>
          <rPr>
            <b/>
            <sz val="9"/>
            <color indexed="81"/>
            <rFont val="Tahoma"/>
            <family val="2"/>
          </rPr>
          <t>Eric FLORIN:</t>
        </r>
        <r>
          <rPr>
            <sz val="9"/>
            <color indexed="81"/>
            <rFont val="Tahoma"/>
            <family val="2"/>
          </rPr>
          <t xml:space="preserve">
39€&gt;4J</t>
        </r>
      </text>
    </comment>
    <comment ref="J786" authorId="0" shapeId="0" xr:uid="{4353CAFF-66BE-4015-AB8C-AF98746BF3EC}">
      <text>
        <r>
          <rPr>
            <b/>
            <sz val="9"/>
            <color indexed="81"/>
            <rFont val="Tahoma"/>
            <family val="2"/>
          </rPr>
          <t>Eric FLORIN:</t>
        </r>
        <r>
          <rPr>
            <sz val="9"/>
            <color indexed="81"/>
            <rFont val="Tahoma"/>
            <family val="2"/>
          </rPr>
          <t xml:space="preserve">
44€&gt;4J</t>
        </r>
      </text>
    </comment>
    <comment ref="U786" authorId="0" shapeId="0" xr:uid="{668A4526-09C0-4355-AEF0-76BD3727216D}">
      <text>
        <r>
          <rPr>
            <b/>
            <sz val="9"/>
            <color indexed="81"/>
            <rFont val="Tahoma"/>
            <family val="2"/>
          </rPr>
          <t>Eric FLORIN:</t>
        </r>
        <r>
          <rPr>
            <sz val="9"/>
            <color indexed="81"/>
            <rFont val="Tahoma"/>
            <family val="2"/>
          </rPr>
          <t xml:space="preserve">
44€&gt;4J</t>
        </r>
      </text>
    </comment>
    <comment ref="J787" authorId="0" shapeId="0" xr:uid="{BB0AC83B-824D-41A8-BEB6-BE0D4D7DF39D}">
      <text>
        <r>
          <rPr>
            <b/>
            <sz val="9"/>
            <color indexed="81"/>
            <rFont val="Tahoma"/>
            <family val="2"/>
          </rPr>
          <t>Eric FLORIN:</t>
        </r>
        <r>
          <rPr>
            <sz val="9"/>
            <color indexed="81"/>
            <rFont val="Tahoma"/>
            <family val="2"/>
          </rPr>
          <t xml:space="preserve">
48€&gt;4J</t>
        </r>
      </text>
    </comment>
    <comment ref="U787" authorId="0" shapeId="0" xr:uid="{1E8DF496-B123-4028-AE17-89752CE6986C}">
      <text>
        <r>
          <rPr>
            <b/>
            <sz val="9"/>
            <color indexed="81"/>
            <rFont val="Tahoma"/>
            <family val="2"/>
          </rPr>
          <t>Eric FLORIN:</t>
        </r>
        <r>
          <rPr>
            <sz val="9"/>
            <color indexed="81"/>
            <rFont val="Tahoma"/>
            <family val="2"/>
          </rPr>
          <t xml:space="preserve">
48€&gt;4J</t>
        </r>
      </text>
    </comment>
    <comment ref="J788" authorId="0" shapeId="0" xr:uid="{0525F2F4-9CA1-4301-BC62-4C75F00E69DA}">
      <text>
        <r>
          <rPr>
            <b/>
            <sz val="9"/>
            <color indexed="81"/>
            <rFont val="Tahoma"/>
            <family val="2"/>
          </rPr>
          <t>Eric FLORIN:</t>
        </r>
        <r>
          <rPr>
            <sz val="9"/>
            <color indexed="81"/>
            <rFont val="Tahoma"/>
            <family val="2"/>
          </rPr>
          <t xml:space="preserve">
48€&gt;4J</t>
        </r>
      </text>
    </comment>
    <comment ref="U788" authorId="0" shapeId="0" xr:uid="{85342AA3-C4EB-46D4-85C6-0521B2A8C6A1}">
      <text>
        <r>
          <rPr>
            <b/>
            <sz val="9"/>
            <color indexed="81"/>
            <rFont val="Tahoma"/>
            <family val="2"/>
          </rPr>
          <t>Eric FLORIN:</t>
        </r>
        <r>
          <rPr>
            <sz val="9"/>
            <color indexed="81"/>
            <rFont val="Tahoma"/>
            <family val="2"/>
          </rPr>
          <t xml:space="preserve">
48€&gt;4J</t>
        </r>
      </text>
    </comment>
    <comment ref="J789" authorId="0" shapeId="0" xr:uid="{EC5C6A02-5E71-4928-9E07-D645A202AD5B}">
      <text>
        <r>
          <rPr>
            <b/>
            <sz val="9"/>
            <color indexed="81"/>
            <rFont val="Tahoma"/>
            <family val="2"/>
          </rPr>
          <t>Eric FLORIN:</t>
        </r>
        <r>
          <rPr>
            <sz val="9"/>
            <color indexed="81"/>
            <rFont val="Tahoma"/>
            <family val="2"/>
          </rPr>
          <t xml:space="preserve">
66€&gt;4J</t>
        </r>
      </text>
    </comment>
    <comment ref="U789" authorId="0" shapeId="0" xr:uid="{24B98AA9-8BF7-4478-AEBB-04D2141F3DFA}">
      <text>
        <r>
          <rPr>
            <b/>
            <sz val="9"/>
            <color indexed="81"/>
            <rFont val="Tahoma"/>
            <family val="2"/>
          </rPr>
          <t>Eric FLORIN:</t>
        </r>
        <r>
          <rPr>
            <sz val="9"/>
            <color indexed="81"/>
            <rFont val="Tahoma"/>
            <family val="2"/>
          </rPr>
          <t xml:space="preserve">
66€&gt;4J</t>
        </r>
      </text>
    </comment>
    <comment ref="J790" authorId="0" shapeId="0" xr:uid="{6805F82E-94EB-4C51-A6ED-A3FE3FB02357}">
      <text>
        <r>
          <rPr>
            <b/>
            <sz val="9"/>
            <color indexed="81"/>
            <rFont val="Tahoma"/>
            <family val="2"/>
          </rPr>
          <t>Eric FLORIN:</t>
        </r>
        <r>
          <rPr>
            <sz val="9"/>
            <color indexed="81"/>
            <rFont val="Tahoma"/>
            <family val="2"/>
          </rPr>
          <t xml:space="preserve">
92€&gt;4J
89€&gt;21J</t>
        </r>
      </text>
    </comment>
    <comment ref="U790" authorId="0" shapeId="0" xr:uid="{EA751C99-451B-48DB-A6E5-2DF6C91CC9C0}">
      <text>
        <r>
          <rPr>
            <b/>
            <sz val="9"/>
            <color indexed="81"/>
            <rFont val="Tahoma"/>
            <family val="2"/>
          </rPr>
          <t>Eric FLORIN:</t>
        </r>
        <r>
          <rPr>
            <sz val="9"/>
            <color indexed="81"/>
            <rFont val="Tahoma"/>
            <family val="2"/>
          </rPr>
          <t xml:space="preserve">
92€&gt;4J
89€&gt;21J</t>
        </r>
      </text>
    </comment>
    <comment ref="J791" authorId="0" shapeId="0" xr:uid="{B228C0D6-D1A7-4F39-A6D4-BFC6DC014391}">
      <text>
        <r>
          <rPr>
            <b/>
            <sz val="9"/>
            <color indexed="81"/>
            <rFont val="Tahoma"/>
            <family val="2"/>
          </rPr>
          <t>Eric FLORIN:</t>
        </r>
        <r>
          <rPr>
            <sz val="9"/>
            <color indexed="81"/>
            <rFont val="Tahoma"/>
            <family val="2"/>
          </rPr>
          <t xml:space="preserve">
trasnport selon zone
de 90€ à 150€</t>
        </r>
      </text>
    </comment>
    <comment ref="U791" authorId="0" shapeId="0" xr:uid="{1D90EDF2-EA2D-44F2-A181-0990BC1DA8F7}">
      <text>
        <r>
          <rPr>
            <b/>
            <sz val="9"/>
            <color indexed="81"/>
            <rFont val="Tahoma"/>
            <family val="2"/>
          </rPr>
          <t>Eric FLORIN:</t>
        </r>
        <r>
          <rPr>
            <sz val="9"/>
            <color indexed="81"/>
            <rFont val="Tahoma"/>
            <family val="2"/>
          </rPr>
          <t xml:space="preserve">
trasnport selon zone
de 90€ à 150€</t>
        </r>
      </text>
    </comment>
    <comment ref="J792" authorId="0" shapeId="0" xr:uid="{88191A4E-57D2-49F5-BB32-DE4A365266AF}">
      <text>
        <r>
          <rPr>
            <b/>
            <sz val="9"/>
            <color indexed="81"/>
            <rFont val="Tahoma"/>
            <family val="2"/>
          </rPr>
          <t>Eric FLORIN:</t>
        </r>
        <r>
          <rPr>
            <sz val="9"/>
            <color indexed="81"/>
            <rFont val="Tahoma"/>
            <family val="2"/>
          </rPr>
          <t xml:space="preserve">
28€&gt;5J
22€&gt;10J</t>
        </r>
      </text>
    </comment>
    <comment ref="U792" authorId="0" shapeId="0" xr:uid="{8019AEF3-6731-4F3D-8568-E3ED69C0D1B6}">
      <text>
        <r>
          <rPr>
            <b/>
            <sz val="9"/>
            <color indexed="81"/>
            <rFont val="Tahoma"/>
            <family val="2"/>
          </rPr>
          <t>Eric FLORIN:</t>
        </r>
        <r>
          <rPr>
            <sz val="9"/>
            <color indexed="81"/>
            <rFont val="Tahoma"/>
            <family val="2"/>
          </rPr>
          <t xml:space="preserve">
28€&gt;5J
22€&gt;10J</t>
        </r>
      </text>
    </comment>
    <comment ref="J793" authorId="0" shapeId="0" xr:uid="{2F58D927-782F-4AD0-89F9-77B2FE731022}">
      <text>
        <r>
          <rPr>
            <b/>
            <sz val="9"/>
            <color indexed="81"/>
            <rFont val="Tahoma"/>
            <family val="2"/>
          </rPr>
          <t>Eric FLORIN:</t>
        </r>
        <r>
          <rPr>
            <sz val="9"/>
            <color indexed="81"/>
            <rFont val="Tahoma"/>
            <family val="2"/>
          </rPr>
          <t xml:space="preserve">
30€&gt;5j
25€&gt;10j
</t>
        </r>
      </text>
    </comment>
    <comment ref="U793" authorId="0" shapeId="0" xr:uid="{55C8CD18-C0AA-4BEE-8CB0-A4B1FFB48C00}">
      <text>
        <r>
          <rPr>
            <b/>
            <sz val="9"/>
            <color indexed="81"/>
            <rFont val="Tahoma"/>
            <family val="2"/>
          </rPr>
          <t>Eric FLORIN:</t>
        </r>
        <r>
          <rPr>
            <sz val="9"/>
            <color indexed="81"/>
            <rFont val="Tahoma"/>
            <family val="2"/>
          </rPr>
          <t xml:space="preserve">
30€&gt;5j
25€&gt;10j
</t>
        </r>
      </text>
    </comment>
    <comment ref="J794" authorId="0" shapeId="0" xr:uid="{DF67E505-2B47-4F3B-AC4A-D7F3910BF1D8}">
      <text>
        <r>
          <rPr>
            <b/>
            <sz val="9"/>
            <color indexed="81"/>
            <rFont val="Tahoma"/>
            <family val="2"/>
          </rPr>
          <t>Eric FLORIN:</t>
        </r>
        <r>
          <rPr>
            <sz val="9"/>
            <color indexed="81"/>
            <rFont val="Tahoma"/>
            <family val="2"/>
          </rPr>
          <t xml:space="preserve">
35€&gt;5j
30€&gt;10j
</t>
        </r>
      </text>
    </comment>
    <comment ref="U794" authorId="0" shapeId="0" xr:uid="{A671E783-F429-4985-A677-AAE4D2A5A033}">
      <text>
        <r>
          <rPr>
            <b/>
            <sz val="9"/>
            <color indexed="81"/>
            <rFont val="Tahoma"/>
            <family val="2"/>
          </rPr>
          <t>Eric FLORIN:</t>
        </r>
        <r>
          <rPr>
            <sz val="9"/>
            <color indexed="81"/>
            <rFont val="Tahoma"/>
            <family val="2"/>
          </rPr>
          <t xml:space="preserve">
35€&gt;5j
30€&gt;10j
</t>
        </r>
      </text>
    </comment>
    <comment ref="J795" authorId="0" shapeId="0" xr:uid="{5F6467BE-4F4F-441F-A805-F1E394A60787}">
      <text>
        <r>
          <rPr>
            <b/>
            <sz val="9"/>
            <color indexed="81"/>
            <rFont val="Tahoma"/>
            <family val="2"/>
          </rPr>
          <t>Eric FLORIN:</t>
        </r>
        <r>
          <rPr>
            <sz val="9"/>
            <color indexed="81"/>
            <rFont val="Tahoma"/>
            <family val="2"/>
          </rPr>
          <t xml:space="preserve">
45€&gt;5J
35€&gt;10j</t>
        </r>
      </text>
    </comment>
    <comment ref="U795" authorId="0" shapeId="0" xr:uid="{68C64274-699D-4EF4-995B-96C7B89D044B}">
      <text>
        <r>
          <rPr>
            <b/>
            <sz val="9"/>
            <color indexed="81"/>
            <rFont val="Tahoma"/>
            <family val="2"/>
          </rPr>
          <t>Eric FLORIN:</t>
        </r>
        <r>
          <rPr>
            <sz val="9"/>
            <color indexed="81"/>
            <rFont val="Tahoma"/>
            <family val="2"/>
          </rPr>
          <t xml:space="preserve">
45€&gt;5J
35€&gt;10j</t>
        </r>
      </text>
    </comment>
    <comment ref="J796" authorId="0" shapeId="0" xr:uid="{2B317044-A19C-48F5-BBD3-4EAD66EA7ACB}">
      <text>
        <r>
          <rPr>
            <b/>
            <sz val="9"/>
            <color indexed="81"/>
            <rFont val="Tahoma"/>
            <family val="2"/>
          </rPr>
          <t>Eric FLORIN:</t>
        </r>
        <r>
          <rPr>
            <sz val="9"/>
            <color indexed="81"/>
            <rFont val="Tahoma"/>
            <family val="2"/>
          </rPr>
          <t xml:space="preserve">
50€&gt;5j
45€&gt;10j</t>
        </r>
      </text>
    </comment>
    <comment ref="U796" authorId="0" shapeId="0" xr:uid="{A045BDB7-9329-4D6D-9B39-91FF90BAE1EC}">
      <text>
        <r>
          <rPr>
            <b/>
            <sz val="9"/>
            <color indexed="81"/>
            <rFont val="Tahoma"/>
            <family val="2"/>
          </rPr>
          <t>Eric FLORIN:</t>
        </r>
        <r>
          <rPr>
            <sz val="9"/>
            <color indexed="81"/>
            <rFont val="Tahoma"/>
            <family val="2"/>
          </rPr>
          <t xml:space="preserve">
50€&gt;5j
45€&gt;10j</t>
        </r>
      </text>
    </comment>
    <comment ref="J797" authorId="0" shapeId="0" xr:uid="{049D5775-55EF-49DC-BA08-EC4EF1FC13B7}">
      <text>
        <r>
          <rPr>
            <b/>
            <sz val="9"/>
            <color indexed="81"/>
            <rFont val="Tahoma"/>
            <family val="2"/>
          </rPr>
          <t>Eric FLORIN:</t>
        </r>
        <r>
          <rPr>
            <sz val="9"/>
            <color indexed="81"/>
            <rFont val="Tahoma"/>
            <family val="2"/>
          </rPr>
          <t xml:space="preserve">
100€&gt;30km
110€&gt;50km
120€&gt;80km
consulter &gt;100km
</t>
        </r>
      </text>
    </comment>
    <comment ref="U797" authorId="0" shapeId="0" xr:uid="{A218752E-1E96-40D3-958B-B6EBEC4F55CD}">
      <text>
        <r>
          <rPr>
            <b/>
            <sz val="9"/>
            <color indexed="81"/>
            <rFont val="Tahoma"/>
            <family val="2"/>
          </rPr>
          <t>Eric FLORIN:</t>
        </r>
        <r>
          <rPr>
            <sz val="9"/>
            <color indexed="81"/>
            <rFont val="Tahoma"/>
            <family val="2"/>
          </rPr>
          <t xml:space="preserve">
100€&gt;30km
110€&gt;50km
120€&gt;80km
consulter &gt;100km
</t>
        </r>
      </text>
    </comment>
    <comment ref="J799" authorId="0" shapeId="0" xr:uid="{D999071A-C1C8-4987-B55A-89CFB969ED2D}">
      <text>
        <r>
          <rPr>
            <b/>
            <sz val="9"/>
            <color indexed="81"/>
            <rFont val="Tahoma"/>
            <family val="2"/>
          </rPr>
          <t>Eric FLORIN:</t>
        </r>
        <r>
          <rPr>
            <sz val="9"/>
            <color indexed="81"/>
            <rFont val="Tahoma"/>
            <family val="2"/>
          </rPr>
          <t xml:space="preserve">
91€&gt;4J
</t>
        </r>
      </text>
    </comment>
    <comment ref="U799" authorId="0" shapeId="0" xr:uid="{5DCB1A48-3F80-4274-A8FA-E9F01DEFEDAF}">
      <text>
        <r>
          <rPr>
            <b/>
            <sz val="9"/>
            <color indexed="81"/>
            <rFont val="Tahoma"/>
            <family val="2"/>
          </rPr>
          <t>Eric FLORIN:</t>
        </r>
        <r>
          <rPr>
            <sz val="9"/>
            <color indexed="81"/>
            <rFont val="Tahoma"/>
            <family val="2"/>
          </rPr>
          <t xml:space="preserve">
91€&gt;4J
</t>
        </r>
      </text>
    </comment>
    <comment ref="J800" authorId="0" shapeId="0" xr:uid="{E0571BD4-039C-4E1F-9FF2-3123B52E029F}">
      <text>
        <r>
          <rPr>
            <b/>
            <sz val="9"/>
            <color indexed="81"/>
            <rFont val="Tahoma"/>
            <family val="2"/>
          </rPr>
          <t>Eric FLORIN:</t>
        </r>
        <r>
          <rPr>
            <sz val="9"/>
            <color indexed="81"/>
            <rFont val="Tahoma"/>
            <family val="2"/>
          </rPr>
          <t xml:space="preserve">
102€&gt;4J</t>
        </r>
      </text>
    </comment>
    <comment ref="U800" authorId="0" shapeId="0" xr:uid="{6FCC323B-F386-4E00-B913-5EB1F5511A52}">
      <text>
        <r>
          <rPr>
            <b/>
            <sz val="9"/>
            <color indexed="81"/>
            <rFont val="Tahoma"/>
            <family val="2"/>
          </rPr>
          <t>Eric FLORIN:</t>
        </r>
        <r>
          <rPr>
            <sz val="9"/>
            <color indexed="81"/>
            <rFont val="Tahoma"/>
            <family val="2"/>
          </rPr>
          <t xml:space="preserve">
102€&gt;4J</t>
        </r>
      </text>
    </comment>
    <comment ref="J801" authorId="0" shapeId="0" xr:uid="{D504B374-0DA3-4ACE-8D9A-ACCE619A259E}">
      <text>
        <r>
          <rPr>
            <b/>
            <sz val="9"/>
            <color indexed="81"/>
            <rFont val="Tahoma"/>
            <family val="2"/>
          </rPr>
          <t>Eric FLORIN:</t>
        </r>
        <r>
          <rPr>
            <sz val="9"/>
            <color indexed="81"/>
            <rFont val="Tahoma"/>
            <family val="2"/>
          </rPr>
          <t xml:space="preserve">
102€&gt;4J</t>
        </r>
      </text>
    </comment>
    <comment ref="U801" authorId="0" shapeId="0" xr:uid="{A2DEAE52-5382-4E84-A563-1F2FAF3D1919}">
      <text>
        <r>
          <rPr>
            <b/>
            <sz val="9"/>
            <color indexed="81"/>
            <rFont val="Tahoma"/>
            <family val="2"/>
          </rPr>
          <t>Eric FLORIN:</t>
        </r>
        <r>
          <rPr>
            <sz val="9"/>
            <color indexed="81"/>
            <rFont val="Tahoma"/>
            <family val="2"/>
          </rPr>
          <t xml:space="preserve">
102€&gt;4J</t>
        </r>
      </text>
    </comment>
    <comment ref="J802" authorId="0" shapeId="0" xr:uid="{CBE999C5-27B2-4866-8FB6-FF336F083FB4}">
      <text>
        <r>
          <rPr>
            <b/>
            <sz val="9"/>
            <color indexed="81"/>
            <rFont val="Tahoma"/>
            <family val="2"/>
          </rPr>
          <t>Eric FLORIN:</t>
        </r>
        <r>
          <rPr>
            <sz val="9"/>
            <color indexed="81"/>
            <rFont val="Tahoma"/>
            <family val="2"/>
          </rPr>
          <t xml:space="preserve">
135€&gt;4J</t>
        </r>
      </text>
    </comment>
    <comment ref="U802" authorId="0" shapeId="0" xr:uid="{5CA13437-2658-4B48-98EE-765A6A75113D}">
      <text>
        <r>
          <rPr>
            <b/>
            <sz val="9"/>
            <color indexed="81"/>
            <rFont val="Tahoma"/>
            <family val="2"/>
          </rPr>
          <t>Eric FLORIN:</t>
        </r>
        <r>
          <rPr>
            <sz val="9"/>
            <color indexed="81"/>
            <rFont val="Tahoma"/>
            <family val="2"/>
          </rPr>
          <t xml:space="preserve">
135€&gt;4J</t>
        </r>
      </text>
    </comment>
    <comment ref="J803" authorId="0" shapeId="0" xr:uid="{C86967F2-E001-4CD5-937C-5C678BBFAA75}">
      <text>
        <r>
          <rPr>
            <b/>
            <sz val="9"/>
            <color indexed="81"/>
            <rFont val="Tahoma"/>
            <family val="2"/>
          </rPr>
          <t>Eric FLORIN:</t>
        </r>
        <r>
          <rPr>
            <sz val="9"/>
            <color indexed="81"/>
            <rFont val="Tahoma"/>
            <family val="2"/>
          </rPr>
          <t xml:space="preserve">
145€&gt;4J</t>
        </r>
      </text>
    </comment>
    <comment ref="U803" authorId="0" shapeId="0" xr:uid="{849F012C-EBEE-4D08-B40D-24ADB6541AC5}">
      <text>
        <r>
          <rPr>
            <b/>
            <sz val="9"/>
            <color indexed="81"/>
            <rFont val="Tahoma"/>
            <family val="2"/>
          </rPr>
          <t>Eric FLORIN:</t>
        </r>
        <r>
          <rPr>
            <sz val="9"/>
            <color indexed="81"/>
            <rFont val="Tahoma"/>
            <family val="2"/>
          </rPr>
          <t xml:space="preserve">
145€&gt;4J</t>
        </r>
      </text>
    </comment>
    <comment ref="J804" authorId="0" shapeId="0" xr:uid="{34B1958C-3F65-42A6-B5A4-E8192DF5E880}">
      <text>
        <r>
          <rPr>
            <b/>
            <sz val="9"/>
            <color indexed="81"/>
            <rFont val="Tahoma"/>
            <family val="2"/>
          </rPr>
          <t>Eric FLORIN:</t>
        </r>
        <r>
          <rPr>
            <sz val="9"/>
            <color indexed="81"/>
            <rFont val="Tahoma"/>
            <family val="2"/>
          </rPr>
          <t xml:space="preserve">
trasnport selon zone
de 120€ à 180€</t>
        </r>
      </text>
    </comment>
    <comment ref="U804" authorId="0" shapeId="0" xr:uid="{95AF7B5B-7100-472F-9BB6-91AC378D0319}">
      <text>
        <r>
          <rPr>
            <b/>
            <sz val="9"/>
            <color indexed="81"/>
            <rFont val="Tahoma"/>
            <family val="2"/>
          </rPr>
          <t>Eric FLORIN:</t>
        </r>
        <r>
          <rPr>
            <sz val="9"/>
            <color indexed="81"/>
            <rFont val="Tahoma"/>
            <family val="2"/>
          </rPr>
          <t xml:space="preserve">
trasnport selon zone
de 120€ à 180€</t>
        </r>
      </text>
    </comment>
    <comment ref="J806" authorId="0" shapeId="0" xr:uid="{8638164A-8672-4D56-9EE1-93A329D8FF01}">
      <text>
        <r>
          <rPr>
            <b/>
            <sz val="9"/>
            <color indexed="81"/>
            <rFont val="Tahoma"/>
            <family val="2"/>
          </rPr>
          <t>Eric FLORIN:</t>
        </r>
        <r>
          <rPr>
            <sz val="9"/>
            <color indexed="81"/>
            <rFont val="Tahoma"/>
            <family val="2"/>
          </rPr>
          <t xml:space="preserve">
80€&gt;4J
</t>
        </r>
      </text>
    </comment>
    <comment ref="U806" authorId="0" shapeId="0" xr:uid="{C49FA868-BE59-4FB9-8111-7B72F3086699}">
      <text>
        <r>
          <rPr>
            <b/>
            <sz val="9"/>
            <color indexed="81"/>
            <rFont val="Tahoma"/>
            <family val="2"/>
          </rPr>
          <t>Eric FLORIN:</t>
        </r>
        <r>
          <rPr>
            <sz val="9"/>
            <color indexed="81"/>
            <rFont val="Tahoma"/>
            <family val="2"/>
          </rPr>
          <t xml:space="preserve">
80€&gt;4J
</t>
        </r>
      </text>
    </comment>
    <comment ref="J807" authorId="0" shapeId="0" xr:uid="{349677F9-14EC-4439-819B-5AE7AA1144D9}">
      <text>
        <r>
          <rPr>
            <b/>
            <sz val="9"/>
            <color indexed="81"/>
            <rFont val="Tahoma"/>
            <family val="2"/>
          </rPr>
          <t>Eric FLORIN:</t>
        </r>
        <r>
          <rPr>
            <sz val="9"/>
            <color indexed="81"/>
            <rFont val="Tahoma"/>
            <family val="2"/>
          </rPr>
          <t xml:space="preserve">
95€&gt;4J</t>
        </r>
      </text>
    </comment>
    <comment ref="U807" authorId="0" shapeId="0" xr:uid="{79A992ED-AE68-44D8-8B8A-2C5F9A5FC81F}">
      <text>
        <r>
          <rPr>
            <b/>
            <sz val="9"/>
            <color indexed="81"/>
            <rFont val="Tahoma"/>
            <family val="2"/>
          </rPr>
          <t>Eric FLORIN:</t>
        </r>
        <r>
          <rPr>
            <sz val="9"/>
            <color indexed="81"/>
            <rFont val="Tahoma"/>
            <family val="2"/>
          </rPr>
          <t xml:space="preserve">
95€&gt;4J</t>
        </r>
      </text>
    </comment>
    <comment ref="J808" authorId="0" shapeId="0" xr:uid="{A43C79D7-583B-4D57-805B-933F15549291}">
      <text>
        <r>
          <rPr>
            <b/>
            <sz val="9"/>
            <color indexed="81"/>
            <rFont val="Tahoma"/>
            <family val="2"/>
          </rPr>
          <t>Eric FLORIN:</t>
        </r>
        <r>
          <rPr>
            <sz val="9"/>
            <color indexed="81"/>
            <rFont val="Tahoma"/>
            <family val="2"/>
          </rPr>
          <t xml:space="preserve">
95€&gt;4J</t>
        </r>
      </text>
    </comment>
    <comment ref="U808" authorId="0" shapeId="0" xr:uid="{EC90F135-A198-4728-96FA-79762CCB1BE8}">
      <text>
        <r>
          <rPr>
            <b/>
            <sz val="9"/>
            <color indexed="81"/>
            <rFont val="Tahoma"/>
            <family val="2"/>
          </rPr>
          <t>Eric FLORIN:</t>
        </r>
        <r>
          <rPr>
            <sz val="9"/>
            <color indexed="81"/>
            <rFont val="Tahoma"/>
            <family val="2"/>
          </rPr>
          <t xml:space="preserve">
95€&gt;4J</t>
        </r>
      </text>
    </comment>
    <comment ref="J809" authorId="0" shapeId="0" xr:uid="{65ED6008-F18F-467F-B497-A4FF512367C3}">
      <text>
        <r>
          <rPr>
            <b/>
            <sz val="9"/>
            <color indexed="81"/>
            <rFont val="Tahoma"/>
            <family val="2"/>
          </rPr>
          <t>Eric FLORIN:</t>
        </r>
        <r>
          <rPr>
            <sz val="9"/>
            <color indexed="81"/>
            <rFont val="Tahoma"/>
            <family val="2"/>
          </rPr>
          <t xml:space="preserve">
106€&gt;4J</t>
        </r>
      </text>
    </comment>
    <comment ref="U809" authorId="0" shapeId="0" xr:uid="{DC4B3A6F-A88A-4CB1-AAB1-7ADC5873E833}">
      <text>
        <r>
          <rPr>
            <b/>
            <sz val="9"/>
            <color indexed="81"/>
            <rFont val="Tahoma"/>
            <family val="2"/>
          </rPr>
          <t>Eric FLORIN:</t>
        </r>
        <r>
          <rPr>
            <sz val="9"/>
            <color indexed="81"/>
            <rFont val="Tahoma"/>
            <family val="2"/>
          </rPr>
          <t xml:space="preserve">
106€&gt;4J</t>
        </r>
      </text>
    </comment>
    <comment ref="J810" authorId="0" shapeId="0" xr:uid="{F27F0044-8F74-4AB6-B9B4-C6202E472107}">
      <text>
        <r>
          <rPr>
            <b/>
            <sz val="9"/>
            <color indexed="81"/>
            <rFont val="Tahoma"/>
            <family val="2"/>
          </rPr>
          <t>Eric FLORIN:</t>
        </r>
        <r>
          <rPr>
            <sz val="9"/>
            <color indexed="81"/>
            <rFont val="Tahoma"/>
            <family val="2"/>
          </rPr>
          <t xml:space="preserve">
106€&gt;4J</t>
        </r>
      </text>
    </comment>
    <comment ref="U810" authorId="0" shapeId="0" xr:uid="{9B45CD9B-C494-415B-B4D0-17C4ADC2FEF6}">
      <text>
        <r>
          <rPr>
            <b/>
            <sz val="9"/>
            <color indexed="81"/>
            <rFont val="Tahoma"/>
            <family val="2"/>
          </rPr>
          <t>Eric FLORIN:</t>
        </r>
        <r>
          <rPr>
            <sz val="9"/>
            <color indexed="81"/>
            <rFont val="Tahoma"/>
            <family val="2"/>
          </rPr>
          <t xml:space="preserve">
106€&gt;4J</t>
        </r>
      </text>
    </comment>
    <comment ref="J811" authorId="0" shapeId="0" xr:uid="{3201D3FC-1355-467C-91AB-C0CC79BF0326}">
      <text>
        <r>
          <rPr>
            <b/>
            <sz val="9"/>
            <color indexed="81"/>
            <rFont val="Tahoma"/>
            <family val="2"/>
          </rPr>
          <t>Eric FLORIN:</t>
        </r>
        <r>
          <rPr>
            <sz val="9"/>
            <color indexed="81"/>
            <rFont val="Tahoma"/>
            <family val="2"/>
          </rPr>
          <t xml:space="preserve">
de 120€ à 180€ selon zone</t>
        </r>
      </text>
    </comment>
    <comment ref="U811" authorId="0" shapeId="0" xr:uid="{47017692-B525-4A16-9165-B2FB3B6CCB14}">
      <text>
        <r>
          <rPr>
            <b/>
            <sz val="9"/>
            <color indexed="81"/>
            <rFont val="Tahoma"/>
            <family val="2"/>
          </rPr>
          <t>Eric FLORIN:</t>
        </r>
        <r>
          <rPr>
            <sz val="9"/>
            <color indexed="81"/>
            <rFont val="Tahoma"/>
            <family val="2"/>
          </rPr>
          <t xml:space="preserve">
de 120€ à 180€ selon zone</t>
        </r>
      </text>
    </comment>
    <comment ref="J812" authorId="0" shapeId="0" xr:uid="{6706BED5-4B65-4590-A60E-3419C76B11EF}">
      <text>
        <r>
          <rPr>
            <b/>
            <sz val="9"/>
            <color indexed="81"/>
            <rFont val="Tahoma"/>
            <family val="2"/>
          </rPr>
          <t>Eric FLORIN:</t>
        </r>
        <r>
          <rPr>
            <sz val="9"/>
            <color indexed="81"/>
            <rFont val="Tahoma"/>
            <family val="2"/>
          </rPr>
          <t xml:space="preserve">
 63€/j &gt;5J 
57€/j &gt;10J</t>
        </r>
      </text>
    </comment>
    <comment ref="U812" authorId="0" shapeId="0" xr:uid="{B00DDE8B-6B86-4722-9429-938C1B7C54E8}">
      <text>
        <r>
          <rPr>
            <b/>
            <sz val="9"/>
            <color indexed="81"/>
            <rFont val="Tahoma"/>
            <family val="2"/>
          </rPr>
          <t>Eric FLORIN:</t>
        </r>
        <r>
          <rPr>
            <sz val="9"/>
            <color indexed="81"/>
            <rFont val="Tahoma"/>
            <family val="2"/>
          </rPr>
          <t xml:space="preserve">
 63€/j &gt;5J 
57€/j &gt;10J</t>
        </r>
      </text>
    </comment>
    <comment ref="J813" authorId="0" shapeId="0" xr:uid="{0D4FAAC3-C340-4AF2-8E95-E92CF4A91330}">
      <text>
        <r>
          <rPr>
            <b/>
            <sz val="9"/>
            <color indexed="81"/>
            <rFont val="Tahoma"/>
            <family val="2"/>
          </rPr>
          <t>Eric FLORIN:</t>
        </r>
        <r>
          <rPr>
            <sz val="9"/>
            <color indexed="81"/>
            <rFont val="Tahoma"/>
            <family val="2"/>
          </rPr>
          <t xml:space="preserve">
100€&gt;30km
110€&gt;50km
120€&gt;80km
consulter &gt;100km
</t>
        </r>
      </text>
    </comment>
    <comment ref="U813" authorId="0" shapeId="0" xr:uid="{CB8B16CE-0C25-4A79-826B-DA50CDC6EB68}">
      <text>
        <r>
          <rPr>
            <b/>
            <sz val="9"/>
            <color indexed="81"/>
            <rFont val="Tahoma"/>
            <family val="2"/>
          </rPr>
          <t>Eric FLORIN:</t>
        </r>
        <r>
          <rPr>
            <sz val="9"/>
            <color indexed="81"/>
            <rFont val="Tahoma"/>
            <family val="2"/>
          </rPr>
          <t xml:space="preserve">
100€&gt;30km
110€&gt;50km
120€&gt;80km
consulter &gt;100km
</t>
        </r>
      </text>
    </comment>
    <comment ref="J814" authorId="0" shapeId="0" xr:uid="{CA25BFB9-AF7E-4E3D-B60A-65053F3BE503}">
      <text>
        <r>
          <rPr>
            <b/>
            <sz val="9"/>
            <color indexed="81"/>
            <rFont val="Tahoma"/>
            <family val="2"/>
          </rPr>
          <t>Eric FLORIN:</t>
        </r>
        <r>
          <rPr>
            <sz val="9"/>
            <color indexed="81"/>
            <rFont val="Tahoma"/>
            <family val="2"/>
          </rPr>
          <t xml:space="preserve">
70€ &gt;5J
65€&gt;10J</t>
        </r>
      </text>
    </comment>
    <comment ref="U814" authorId="0" shapeId="0" xr:uid="{1D181752-555E-4FAA-8020-E0D91930133C}">
      <text>
        <r>
          <rPr>
            <b/>
            <sz val="9"/>
            <color indexed="81"/>
            <rFont val="Tahoma"/>
            <family val="2"/>
          </rPr>
          <t>Eric FLORIN:</t>
        </r>
        <r>
          <rPr>
            <sz val="9"/>
            <color indexed="81"/>
            <rFont val="Tahoma"/>
            <family val="2"/>
          </rPr>
          <t xml:space="preserve">
70€ &gt;5J
65€&gt;10J</t>
        </r>
      </text>
    </comment>
    <comment ref="J815" authorId="0" shapeId="0" xr:uid="{E9B3BF98-4665-46E8-BD12-2E2D2B52D66B}">
      <text>
        <r>
          <rPr>
            <b/>
            <sz val="9"/>
            <color indexed="81"/>
            <rFont val="Tahoma"/>
            <family val="2"/>
          </rPr>
          <t>Eric FLORIN:</t>
        </r>
        <r>
          <rPr>
            <sz val="9"/>
            <color indexed="81"/>
            <rFont val="Tahoma"/>
            <family val="2"/>
          </rPr>
          <t xml:space="preserve">
85€ &gt;5J
75€ &gt;10J</t>
        </r>
      </text>
    </comment>
    <comment ref="U815" authorId="0" shapeId="0" xr:uid="{285ADB85-C3A9-415A-AC95-FC545B8896BF}">
      <text>
        <r>
          <rPr>
            <b/>
            <sz val="9"/>
            <color indexed="81"/>
            <rFont val="Tahoma"/>
            <family val="2"/>
          </rPr>
          <t>Eric FLORIN:</t>
        </r>
        <r>
          <rPr>
            <sz val="9"/>
            <color indexed="81"/>
            <rFont val="Tahoma"/>
            <family val="2"/>
          </rPr>
          <t xml:space="preserve">
85€ &gt;5J
75€ &gt;10J</t>
        </r>
      </text>
    </comment>
    <comment ref="J816" authorId="0" shapeId="0" xr:uid="{B4D3EB9B-54F0-4F78-8ADB-477E5E1CE1FE}">
      <text>
        <r>
          <rPr>
            <b/>
            <sz val="9"/>
            <color indexed="81"/>
            <rFont val="Tahoma"/>
            <family val="2"/>
          </rPr>
          <t>Eric FLORIN:</t>
        </r>
        <r>
          <rPr>
            <sz val="9"/>
            <color indexed="81"/>
            <rFont val="Tahoma"/>
            <family val="2"/>
          </rPr>
          <t xml:space="preserve">
15€/j  de 1 à 2J
39€ - 3 ours
50€- 4 jours
60€ - 5 jours</t>
        </r>
      </text>
    </comment>
    <comment ref="U816" authorId="0" shapeId="0" xr:uid="{2FD28E58-67A0-4C02-B8DE-77E964190E7C}">
      <text>
        <r>
          <rPr>
            <b/>
            <sz val="9"/>
            <color indexed="81"/>
            <rFont val="Tahoma"/>
            <family val="2"/>
          </rPr>
          <t>Eric FLORIN:</t>
        </r>
        <r>
          <rPr>
            <sz val="9"/>
            <color indexed="81"/>
            <rFont val="Tahoma"/>
            <family val="2"/>
          </rPr>
          <t xml:space="preserve">
15€/j  de 1 à 2J
39€ - 3 ours
50€- 4 jours
60€ - 5 jours</t>
        </r>
      </text>
    </comment>
    <comment ref="J817" authorId="0" shapeId="0" xr:uid="{03FD18E4-4165-42FB-9D1F-AE1644B7A771}">
      <text>
        <r>
          <rPr>
            <b/>
            <sz val="9"/>
            <color indexed="81"/>
            <rFont val="Tahoma"/>
            <family val="2"/>
          </rPr>
          <t>Eric FLORIN:</t>
        </r>
        <r>
          <rPr>
            <sz val="9"/>
            <color indexed="81"/>
            <rFont val="Tahoma"/>
            <family val="2"/>
          </rPr>
          <t xml:space="preserve">
17€ -  1 jours
34€ - 2 jours
42€ - 3 jours
52€- 4 jours
60€ - 6 jours</t>
        </r>
      </text>
    </comment>
    <comment ref="U817" authorId="0" shapeId="0" xr:uid="{D0473E35-457A-4A2F-844F-B802072EA8AF}">
      <text>
        <r>
          <rPr>
            <b/>
            <sz val="9"/>
            <color indexed="81"/>
            <rFont val="Tahoma"/>
            <family val="2"/>
          </rPr>
          <t>Eric FLORIN:</t>
        </r>
        <r>
          <rPr>
            <sz val="9"/>
            <color indexed="81"/>
            <rFont val="Tahoma"/>
            <family val="2"/>
          </rPr>
          <t xml:space="preserve">
17€ -  1 jours
34€ - 2 jours
42€ - 3 jours
52€- 4 jours
60€ - 6 jours</t>
        </r>
      </text>
    </comment>
    <comment ref="J818" authorId="0" shapeId="0" xr:uid="{BBFDBF0D-97CE-4C79-A401-EA4DE6B4F394}">
      <text>
        <r>
          <rPr>
            <b/>
            <sz val="9"/>
            <color indexed="81"/>
            <rFont val="Tahoma"/>
            <family val="2"/>
          </rPr>
          <t>Eric FLORIN:</t>
        </r>
        <r>
          <rPr>
            <sz val="9"/>
            <color indexed="81"/>
            <rFont val="Tahoma"/>
            <family val="2"/>
          </rPr>
          <t xml:space="preserve">
100€&gt;30km
110€&gt;50km
120€&gt;80km
consulter &gt;100km
</t>
        </r>
      </text>
    </comment>
    <comment ref="U818" authorId="0" shapeId="0" xr:uid="{570AF6D6-9DDC-4008-8011-D49415FC7C1B}">
      <text>
        <r>
          <rPr>
            <b/>
            <sz val="9"/>
            <color indexed="81"/>
            <rFont val="Tahoma"/>
            <family val="2"/>
          </rPr>
          <t>Eric FLORIN:</t>
        </r>
        <r>
          <rPr>
            <sz val="9"/>
            <color indexed="81"/>
            <rFont val="Tahoma"/>
            <family val="2"/>
          </rPr>
          <t xml:space="preserve">
100€&gt;30km
110€&gt;50km
120€&gt;80km
consulter &gt;100km
</t>
        </r>
      </text>
    </comment>
    <comment ref="J820" authorId="0" shapeId="0" xr:uid="{B7E4319F-3135-4FD2-B152-79B2EC14BFBC}">
      <text>
        <r>
          <rPr>
            <b/>
            <sz val="9"/>
            <color indexed="81"/>
            <rFont val="Tahoma"/>
            <family val="2"/>
          </rPr>
          <t>Eric FLORIN:</t>
        </r>
        <r>
          <rPr>
            <sz val="9"/>
            <color indexed="81"/>
            <rFont val="Tahoma"/>
            <family val="2"/>
          </rPr>
          <t xml:space="preserve">
36€ &gt;4J</t>
        </r>
      </text>
    </comment>
    <comment ref="U820" authorId="0" shapeId="0" xr:uid="{833A40D7-4754-4584-B369-10E98890A992}">
      <text>
        <r>
          <rPr>
            <b/>
            <sz val="9"/>
            <color indexed="81"/>
            <rFont val="Tahoma"/>
            <family val="2"/>
          </rPr>
          <t>Eric FLORIN:</t>
        </r>
        <r>
          <rPr>
            <sz val="9"/>
            <color indexed="81"/>
            <rFont val="Tahoma"/>
            <family val="2"/>
          </rPr>
          <t xml:space="preserve">
36€ &gt;4J</t>
        </r>
      </text>
    </comment>
    <comment ref="J821" authorId="0" shapeId="0" xr:uid="{54DCDA05-702D-42FB-AC8E-A9735999140F}">
      <text>
        <r>
          <rPr>
            <b/>
            <sz val="9"/>
            <color indexed="81"/>
            <rFont val="Tahoma"/>
            <family val="2"/>
          </rPr>
          <t>Eric FLORIN:</t>
        </r>
        <r>
          <rPr>
            <sz val="9"/>
            <color indexed="81"/>
            <rFont val="Tahoma"/>
            <family val="2"/>
          </rPr>
          <t xml:space="preserve">
40€ &gt;4J</t>
        </r>
      </text>
    </comment>
    <comment ref="U821" authorId="0" shapeId="0" xr:uid="{33248012-2261-44EA-ABF8-15B7F083B59C}">
      <text>
        <r>
          <rPr>
            <b/>
            <sz val="9"/>
            <color indexed="81"/>
            <rFont val="Tahoma"/>
            <family val="2"/>
          </rPr>
          <t>Eric FLORIN:</t>
        </r>
        <r>
          <rPr>
            <sz val="9"/>
            <color indexed="81"/>
            <rFont val="Tahoma"/>
            <family val="2"/>
          </rPr>
          <t xml:space="preserve">
40€ &gt;4J</t>
        </r>
      </text>
    </comment>
    <comment ref="J822" authorId="0" shapeId="0" xr:uid="{8C61202F-C8CB-403F-911C-DB3A471EEC9A}">
      <text>
        <r>
          <rPr>
            <b/>
            <sz val="9"/>
            <color indexed="81"/>
            <rFont val="Tahoma"/>
            <family val="2"/>
          </rPr>
          <t>Eric FLORIN:</t>
        </r>
        <r>
          <rPr>
            <sz val="9"/>
            <color indexed="81"/>
            <rFont val="Tahoma"/>
            <family val="2"/>
          </rPr>
          <t xml:space="preserve">
58€ &gt;4J</t>
        </r>
      </text>
    </comment>
    <comment ref="U822" authorId="0" shapeId="0" xr:uid="{6506CC5A-6FB6-42F4-9964-9CBC9D205CBD}">
      <text>
        <r>
          <rPr>
            <b/>
            <sz val="9"/>
            <color indexed="81"/>
            <rFont val="Tahoma"/>
            <family val="2"/>
          </rPr>
          <t>Eric FLORIN:</t>
        </r>
        <r>
          <rPr>
            <sz val="9"/>
            <color indexed="81"/>
            <rFont val="Tahoma"/>
            <family val="2"/>
          </rPr>
          <t xml:space="preserve">
58€ &gt;4J</t>
        </r>
      </text>
    </comment>
    <comment ref="J823" authorId="0" shapeId="0" xr:uid="{F706F605-573D-4E05-9FE0-766854D79FB1}">
      <text>
        <r>
          <rPr>
            <b/>
            <sz val="9"/>
            <color indexed="81"/>
            <rFont val="Tahoma"/>
            <family val="2"/>
          </rPr>
          <t>Eric FLORIN:</t>
        </r>
        <r>
          <rPr>
            <sz val="9"/>
            <color indexed="81"/>
            <rFont val="Tahoma"/>
            <family val="2"/>
          </rPr>
          <t xml:space="preserve">
58€ &gt;4J</t>
        </r>
      </text>
    </comment>
    <comment ref="U823" authorId="0" shapeId="0" xr:uid="{94EF627E-71E2-4428-B3D0-DFE0D03CA7AF}">
      <text>
        <r>
          <rPr>
            <b/>
            <sz val="9"/>
            <color indexed="81"/>
            <rFont val="Tahoma"/>
            <family val="2"/>
          </rPr>
          <t>Eric FLORIN:</t>
        </r>
        <r>
          <rPr>
            <sz val="9"/>
            <color indexed="81"/>
            <rFont val="Tahoma"/>
            <family val="2"/>
          </rPr>
          <t xml:space="preserve">
58€ &gt;4J</t>
        </r>
      </text>
    </comment>
    <comment ref="J824" authorId="0" shapeId="0" xr:uid="{1DD3CCBB-BA47-414A-9729-A1FF2B6600A4}">
      <text>
        <r>
          <rPr>
            <b/>
            <sz val="9"/>
            <color indexed="81"/>
            <rFont val="Tahoma"/>
            <family val="2"/>
          </rPr>
          <t>Eric FLORIN:</t>
        </r>
        <r>
          <rPr>
            <sz val="9"/>
            <color indexed="81"/>
            <rFont val="Tahoma"/>
            <family val="2"/>
          </rPr>
          <t xml:space="preserve">
62€ &gt;4J</t>
        </r>
      </text>
    </comment>
    <comment ref="U824" authorId="0" shapeId="0" xr:uid="{2F1DE507-BF08-4932-8FE9-483DD8763D07}">
      <text>
        <r>
          <rPr>
            <b/>
            <sz val="9"/>
            <color indexed="81"/>
            <rFont val="Tahoma"/>
            <family val="2"/>
          </rPr>
          <t>Eric FLORIN:</t>
        </r>
        <r>
          <rPr>
            <sz val="9"/>
            <color indexed="81"/>
            <rFont val="Tahoma"/>
            <family val="2"/>
          </rPr>
          <t xml:space="preserve">
62€ &gt;4J</t>
        </r>
      </text>
    </comment>
    <comment ref="J825" authorId="0" shapeId="0" xr:uid="{449B8DFC-3E64-4ACC-86B0-755A4DA80E87}">
      <text>
        <r>
          <rPr>
            <b/>
            <sz val="9"/>
            <color indexed="81"/>
            <rFont val="Tahoma"/>
            <family val="2"/>
          </rPr>
          <t>Eric FLORIN:</t>
        </r>
        <r>
          <rPr>
            <sz val="9"/>
            <color indexed="81"/>
            <rFont val="Tahoma"/>
            <family val="2"/>
          </rPr>
          <t xml:space="preserve">
trasnport selon zone
de 90€ à 150€</t>
        </r>
      </text>
    </comment>
    <comment ref="U825" authorId="0" shapeId="0" xr:uid="{34525BE5-0AF9-4E30-88B6-25565FE304C5}">
      <text>
        <r>
          <rPr>
            <b/>
            <sz val="9"/>
            <color indexed="81"/>
            <rFont val="Tahoma"/>
            <family val="2"/>
          </rPr>
          <t>Eric FLORIN:</t>
        </r>
        <r>
          <rPr>
            <sz val="9"/>
            <color indexed="81"/>
            <rFont val="Tahoma"/>
            <family val="2"/>
          </rPr>
          <t xml:space="preserve">
trasnport selon zone
de 90€ à 150€</t>
        </r>
      </text>
    </comment>
    <comment ref="J826" authorId="0" shapeId="0" xr:uid="{42147C98-0025-4B4B-8685-F42BF8C8A08D}">
      <text>
        <r>
          <rPr>
            <b/>
            <sz val="9"/>
            <color indexed="81"/>
            <rFont val="Tahoma"/>
            <family val="2"/>
          </rPr>
          <t>Eric FLORIN:</t>
        </r>
        <r>
          <rPr>
            <sz val="9"/>
            <color indexed="81"/>
            <rFont val="Tahoma"/>
            <family val="2"/>
          </rPr>
          <t xml:space="preserve">
45€&gt;5J
35€&gt;10J</t>
        </r>
      </text>
    </comment>
    <comment ref="U826" authorId="0" shapeId="0" xr:uid="{F98DB7A8-C211-4605-ADD2-CB24B8B5CEFE}">
      <text>
        <r>
          <rPr>
            <b/>
            <sz val="9"/>
            <color indexed="81"/>
            <rFont val="Tahoma"/>
            <family val="2"/>
          </rPr>
          <t>Eric FLORIN:</t>
        </r>
        <r>
          <rPr>
            <sz val="9"/>
            <color indexed="81"/>
            <rFont val="Tahoma"/>
            <family val="2"/>
          </rPr>
          <t xml:space="preserve">
45€&gt;5J
35€&gt;10J</t>
        </r>
      </text>
    </comment>
    <comment ref="J827" authorId="0" shapeId="0" xr:uid="{0873690B-D4CB-4B41-B0AB-3516F89577BC}">
      <text>
        <r>
          <rPr>
            <b/>
            <sz val="9"/>
            <color indexed="81"/>
            <rFont val="Tahoma"/>
            <family val="2"/>
          </rPr>
          <t>Eric FLORIN:</t>
        </r>
        <r>
          <rPr>
            <sz val="9"/>
            <color indexed="81"/>
            <rFont val="Tahoma"/>
            <family val="2"/>
          </rPr>
          <t xml:space="preserve">
100€&gt;30km
110€&gt;50km
120€&gt;80km
consulter &gt;100km
</t>
        </r>
      </text>
    </comment>
    <comment ref="U827" authorId="0" shapeId="0" xr:uid="{001C14CF-17CA-4FCD-9A41-AA710B0C2063}">
      <text>
        <r>
          <rPr>
            <b/>
            <sz val="9"/>
            <color indexed="81"/>
            <rFont val="Tahoma"/>
            <family val="2"/>
          </rPr>
          <t>Eric FLORIN:</t>
        </r>
        <r>
          <rPr>
            <sz val="9"/>
            <color indexed="81"/>
            <rFont val="Tahoma"/>
            <family val="2"/>
          </rPr>
          <t xml:space="preserve">
100€&gt;30km
110€&gt;50km
120€&gt;80km
consulter &gt;100km
</t>
        </r>
      </text>
    </comment>
    <comment ref="J829" authorId="0" shapeId="0" xr:uid="{48CC942B-ACEB-48F0-BFE2-83C3203185E4}">
      <text>
        <r>
          <rPr>
            <b/>
            <sz val="9"/>
            <color indexed="81"/>
            <rFont val="Tahoma"/>
            <family val="2"/>
          </rPr>
          <t>Eric FLORIN:</t>
        </r>
        <r>
          <rPr>
            <sz val="9"/>
            <color indexed="81"/>
            <rFont val="Tahoma"/>
            <family val="2"/>
          </rPr>
          <t xml:space="preserve">
92€&gt;4J
82€&gt;11J</t>
        </r>
      </text>
    </comment>
    <comment ref="U829" authorId="0" shapeId="0" xr:uid="{C1A1C00B-E310-425B-B9B7-4E558FDF609F}">
      <text>
        <r>
          <rPr>
            <b/>
            <sz val="9"/>
            <color indexed="81"/>
            <rFont val="Tahoma"/>
            <family val="2"/>
          </rPr>
          <t>Eric FLORIN:</t>
        </r>
        <r>
          <rPr>
            <sz val="9"/>
            <color indexed="81"/>
            <rFont val="Tahoma"/>
            <family val="2"/>
          </rPr>
          <t xml:space="preserve">
92€&gt;4J
82€&gt;11J</t>
        </r>
      </text>
    </comment>
    <comment ref="J830" authorId="0" shapeId="0" xr:uid="{C3DBF300-575F-4965-A2ED-C4733070DFA3}">
      <text>
        <r>
          <rPr>
            <b/>
            <sz val="9"/>
            <color indexed="81"/>
            <rFont val="Tahoma"/>
            <family val="2"/>
          </rPr>
          <t>Eric FLORIN:</t>
        </r>
        <r>
          <rPr>
            <sz val="9"/>
            <color indexed="81"/>
            <rFont val="Tahoma"/>
            <family val="2"/>
          </rPr>
          <t xml:space="preserve">
108€&gt;4J
92€&gt;11J</t>
        </r>
      </text>
    </comment>
    <comment ref="U830" authorId="0" shapeId="0" xr:uid="{29992C92-DE56-4172-9FE1-A13B39778A6E}">
      <text>
        <r>
          <rPr>
            <b/>
            <sz val="9"/>
            <color indexed="81"/>
            <rFont val="Tahoma"/>
            <family val="2"/>
          </rPr>
          <t>Eric FLORIN:</t>
        </r>
        <r>
          <rPr>
            <sz val="9"/>
            <color indexed="81"/>
            <rFont val="Tahoma"/>
            <family val="2"/>
          </rPr>
          <t xml:space="preserve">
108€&gt;4J
92€&gt;11J</t>
        </r>
      </text>
    </comment>
    <comment ref="J831" authorId="0" shapeId="0" xr:uid="{AC852A17-D700-4EE1-9E53-07431CDCD36A}">
      <text>
        <r>
          <rPr>
            <b/>
            <sz val="9"/>
            <color indexed="81"/>
            <rFont val="Tahoma"/>
            <family val="2"/>
          </rPr>
          <t>Eric FLORIN:</t>
        </r>
        <r>
          <rPr>
            <sz val="9"/>
            <color indexed="81"/>
            <rFont val="Tahoma"/>
            <family val="2"/>
          </rPr>
          <t xml:space="preserve">
7€&gt;4J
6€&gt;11J</t>
        </r>
      </text>
    </comment>
    <comment ref="U831" authorId="0" shapeId="0" xr:uid="{257896A5-F133-45AB-B11D-BEA9049DCED8}">
      <text>
        <r>
          <rPr>
            <b/>
            <sz val="9"/>
            <color indexed="81"/>
            <rFont val="Tahoma"/>
            <family val="2"/>
          </rPr>
          <t>Eric FLORIN:</t>
        </r>
        <r>
          <rPr>
            <sz val="9"/>
            <color indexed="81"/>
            <rFont val="Tahoma"/>
            <family val="2"/>
          </rPr>
          <t xml:space="preserve">
7€&gt;4J
6€&gt;11J</t>
        </r>
      </text>
    </comment>
    <comment ref="J832" authorId="0" shapeId="0" xr:uid="{81EA353B-BC8D-47D8-AA36-A36546189309}">
      <text>
        <r>
          <rPr>
            <b/>
            <sz val="9"/>
            <color indexed="81"/>
            <rFont val="Tahoma"/>
            <family val="2"/>
          </rPr>
          <t>Eric FLORIN:</t>
        </r>
        <r>
          <rPr>
            <sz val="9"/>
            <color indexed="81"/>
            <rFont val="Tahoma"/>
            <family val="2"/>
          </rPr>
          <t xml:space="preserve">
26€&gt;4J</t>
        </r>
      </text>
    </comment>
    <comment ref="U832" authorId="0" shapeId="0" xr:uid="{F7FCEAEB-241D-4376-A3B1-BCABE0D979E1}">
      <text>
        <r>
          <rPr>
            <b/>
            <sz val="9"/>
            <color indexed="81"/>
            <rFont val="Tahoma"/>
            <family val="2"/>
          </rPr>
          <t>Eric FLORIN:</t>
        </r>
        <r>
          <rPr>
            <sz val="9"/>
            <color indexed="81"/>
            <rFont val="Tahoma"/>
            <family val="2"/>
          </rPr>
          <t xml:space="preserve">
26€&gt;4J</t>
        </r>
      </text>
    </comment>
    <comment ref="J833" authorId="0" shapeId="0" xr:uid="{7B661938-3412-4A0F-9BA4-BA1CBACE6551}">
      <text>
        <r>
          <rPr>
            <b/>
            <sz val="9"/>
            <color indexed="81"/>
            <rFont val="Tahoma"/>
            <family val="2"/>
          </rPr>
          <t>Eric FLORIN:</t>
        </r>
        <r>
          <rPr>
            <sz val="9"/>
            <color indexed="81"/>
            <rFont val="Tahoma"/>
            <family val="2"/>
          </rPr>
          <t xml:space="preserve">
41€&gt;4J</t>
        </r>
      </text>
    </comment>
    <comment ref="U833" authorId="0" shapeId="0" xr:uid="{208A071A-E561-40EB-9E3A-A4576C3DA0BD}">
      <text>
        <r>
          <rPr>
            <b/>
            <sz val="9"/>
            <color indexed="81"/>
            <rFont val="Tahoma"/>
            <family val="2"/>
          </rPr>
          <t>Eric FLORIN:</t>
        </r>
        <r>
          <rPr>
            <sz val="9"/>
            <color indexed="81"/>
            <rFont val="Tahoma"/>
            <family val="2"/>
          </rPr>
          <t xml:space="preserve">
41€&gt;4J</t>
        </r>
      </text>
    </comment>
    <comment ref="J834" authorId="0" shapeId="0" xr:uid="{9F5BBF12-4F0C-4868-BC41-224003CBC8A5}">
      <text>
        <r>
          <rPr>
            <b/>
            <sz val="9"/>
            <color indexed="81"/>
            <rFont val="Tahoma"/>
            <family val="2"/>
          </rPr>
          <t>Eric FLORIN:</t>
        </r>
        <r>
          <rPr>
            <sz val="9"/>
            <color indexed="81"/>
            <rFont val="Tahoma"/>
            <family val="2"/>
          </rPr>
          <t xml:space="preserve">
46€&gt;4J</t>
        </r>
      </text>
    </comment>
    <comment ref="U834" authorId="0" shapeId="0" xr:uid="{2E12EEDE-EBB9-4D3F-B1F9-13DA91999F1E}">
      <text>
        <r>
          <rPr>
            <b/>
            <sz val="9"/>
            <color indexed="81"/>
            <rFont val="Tahoma"/>
            <family val="2"/>
          </rPr>
          <t>Eric FLORIN:</t>
        </r>
        <r>
          <rPr>
            <sz val="9"/>
            <color indexed="81"/>
            <rFont val="Tahoma"/>
            <family val="2"/>
          </rPr>
          <t xml:space="preserve">
46€&gt;4J</t>
        </r>
      </text>
    </comment>
    <comment ref="J835" authorId="0" shapeId="0" xr:uid="{5B895D9B-BE84-4BF7-A0B4-96220D3AC118}">
      <text>
        <r>
          <rPr>
            <b/>
            <sz val="9"/>
            <color indexed="81"/>
            <rFont val="Tahoma"/>
            <family val="2"/>
          </rPr>
          <t>Eric FLORIN:</t>
        </r>
        <r>
          <rPr>
            <sz val="9"/>
            <color indexed="81"/>
            <rFont val="Tahoma"/>
            <family val="2"/>
          </rPr>
          <t xml:space="preserve">
31€&gt;4J
21€&gt;11J</t>
        </r>
      </text>
    </comment>
    <comment ref="U835" authorId="0" shapeId="0" xr:uid="{DE709198-6BDF-45BB-AF9B-4C0AE02B2F3E}">
      <text>
        <r>
          <rPr>
            <b/>
            <sz val="9"/>
            <color indexed="81"/>
            <rFont val="Tahoma"/>
            <family val="2"/>
          </rPr>
          <t>Eric FLORIN:</t>
        </r>
        <r>
          <rPr>
            <sz val="9"/>
            <color indexed="81"/>
            <rFont val="Tahoma"/>
            <family val="2"/>
          </rPr>
          <t xml:space="preserve">
31€&gt;4J
21€&gt;11J</t>
        </r>
      </text>
    </comment>
    <comment ref="J836" authorId="0" shapeId="0" xr:uid="{D4E543DE-076D-4907-A6DE-3CAB7147CFD9}">
      <text>
        <r>
          <rPr>
            <b/>
            <sz val="9"/>
            <color indexed="81"/>
            <rFont val="Tahoma"/>
            <family val="2"/>
          </rPr>
          <t>Eric FLORIN:</t>
        </r>
        <r>
          <rPr>
            <sz val="9"/>
            <color indexed="81"/>
            <rFont val="Tahoma"/>
            <family val="2"/>
          </rPr>
          <t xml:space="preserve">
36€&gt;4J
31€&gt;11J</t>
        </r>
      </text>
    </comment>
    <comment ref="U836" authorId="0" shapeId="0" xr:uid="{D3F7CF93-FAF3-4817-B7CD-E901E6BD1522}">
      <text>
        <r>
          <rPr>
            <b/>
            <sz val="9"/>
            <color indexed="81"/>
            <rFont val="Tahoma"/>
            <family val="2"/>
          </rPr>
          <t>Eric FLORIN:</t>
        </r>
        <r>
          <rPr>
            <sz val="9"/>
            <color indexed="81"/>
            <rFont val="Tahoma"/>
            <family val="2"/>
          </rPr>
          <t xml:space="preserve">
36€&gt;4J
31€&gt;11J</t>
        </r>
      </text>
    </comment>
    <comment ref="J837" authorId="0" shapeId="0" xr:uid="{F624542B-C6E7-459C-9C2A-AD195C7D4230}">
      <text>
        <r>
          <rPr>
            <b/>
            <sz val="9"/>
            <color indexed="81"/>
            <rFont val="Tahoma"/>
            <family val="2"/>
          </rPr>
          <t>Eric FLORIN:</t>
        </r>
        <r>
          <rPr>
            <sz val="9"/>
            <color indexed="81"/>
            <rFont val="Tahoma"/>
            <family val="2"/>
          </rPr>
          <t xml:space="preserve">
31€&gt;4J
21&gt;11J</t>
        </r>
      </text>
    </comment>
    <comment ref="U837" authorId="0" shapeId="0" xr:uid="{BA3E2519-E5C3-4C66-AECC-F2CAC69C7F5E}">
      <text>
        <r>
          <rPr>
            <b/>
            <sz val="9"/>
            <color indexed="81"/>
            <rFont val="Tahoma"/>
            <family val="2"/>
          </rPr>
          <t>Eric FLORIN:</t>
        </r>
        <r>
          <rPr>
            <sz val="9"/>
            <color indexed="81"/>
            <rFont val="Tahoma"/>
            <family val="2"/>
          </rPr>
          <t xml:space="preserve">
31€&gt;4J
21&gt;11J</t>
        </r>
      </text>
    </comment>
    <comment ref="B2189" authorId="1" shapeId="0" xr:uid="{18611E35-1993-47C5-8E43-B3326B60C8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5J &gt;36€</t>
      </text>
    </comment>
    <comment ref="E3259" authorId="2" shapeId="0" xr:uid="{1F81D3D5-BE8E-4BCA-A215-2362C0CB41DC}">
      <text>
        <r>
          <rPr>
            <b/>
            <sz val="8"/>
            <color indexed="81"/>
            <rFont val="Tahoma"/>
            <family val="2"/>
          </rPr>
          <t>.:</t>
        </r>
        <r>
          <rPr>
            <sz val="8"/>
            <color indexed="81"/>
            <rFont val="Tahoma"/>
            <family val="2"/>
          </rPr>
          <t xml:space="preserve">
a sortir par 2</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C06814-385B-4875-83A5-199368112B64}" keepAlive="1" interval="60" name="Requête - BasePrix" description="Connexion à la requête « BasePrix » dans le classeur." type="5" refreshedVersion="8" background="1" refreshOnLoad="1" saveData="1">
    <dbPr connection="Provider=Microsoft.Mashup.OleDb.1;Data Source=$Workbook$;Location=BasePrix;Extended Properties=&quot;&quot;" command="SELECT * FROM [BasePrix]"/>
  </connection>
</connections>
</file>

<file path=xl/sharedStrings.xml><?xml version="1.0" encoding="utf-8"?>
<sst xmlns="http://schemas.openxmlformats.org/spreadsheetml/2006/main" count="19942" uniqueCount="6519">
  <si>
    <t>2"</t>
  </si>
  <si>
    <t>Gamme</t>
  </si>
  <si>
    <t>Famille</t>
  </si>
  <si>
    <t>Désignation</t>
  </si>
  <si>
    <t>Ref Air Flux</t>
  </si>
  <si>
    <t>Fournisseur</t>
  </si>
  <si>
    <t>Ref Fournisseur</t>
  </si>
  <si>
    <t>Prix de Revient</t>
  </si>
  <si>
    <t>Poste 4</t>
  </si>
  <si>
    <t>Poste 5</t>
  </si>
  <si>
    <t>Quantité Totale</t>
  </si>
  <si>
    <t>Conditionnement</t>
  </si>
  <si>
    <t>Quantité Totale Conditionnée</t>
  </si>
  <si>
    <t>tps de soudure en h / pièce</t>
  </si>
  <si>
    <t>Commentaire</t>
  </si>
  <si>
    <t>ABS</t>
  </si>
  <si>
    <t xml:space="preserve"> 3/8</t>
  </si>
  <si>
    <t xml:space="preserve"> 1/2</t>
  </si>
  <si>
    <t xml:space="preserve"> 3/4</t>
  </si>
  <si>
    <t>1"</t>
  </si>
  <si>
    <t>1"1/4</t>
  </si>
  <si>
    <t>1"1/2</t>
  </si>
  <si>
    <t>3"</t>
  </si>
  <si>
    <t>Colliers</t>
  </si>
  <si>
    <t>Mamelons</t>
  </si>
  <si>
    <t>4"</t>
  </si>
  <si>
    <t xml:space="preserve"> 1"</t>
  </si>
  <si>
    <t>1/2-3/8</t>
  </si>
  <si>
    <t>3/4-1/2</t>
  </si>
  <si>
    <t>1"-3/4</t>
  </si>
  <si>
    <t>1"1/4-1"</t>
  </si>
  <si>
    <t>Accessoires</t>
  </si>
  <si>
    <t>Beko</t>
  </si>
  <si>
    <t>204-38</t>
  </si>
  <si>
    <t>Sferaco</t>
  </si>
  <si>
    <t>204-12</t>
  </si>
  <si>
    <t>204-34</t>
  </si>
  <si>
    <t>204-1</t>
  </si>
  <si>
    <t>204-114</t>
  </si>
  <si>
    <t>204-112</t>
  </si>
  <si>
    <t>204-2</t>
  </si>
  <si>
    <t>Embase</t>
  </si>
  <si>
    <t>Ensemble Souflette</t>
  </si>
  <si>
    <t>Equerres de fixation</t>
  </si>
  <si>
    <t>Filtre-regulateur ( tecnicair)</t>
  </si>
  <si>
    <t>Filtre-regulateur-lubrificateur</t>
  </si>
  <si>
    <t xml:space="preserve"> 1/4</t>
  </si>
  <si>
    <t>Filtres</t>
  </si>
  <si>
    <t>Filtres cyclones</t>
  </si>
  <si>
    <t>2"1/2</t>
  </si>
  <si>
    <t>KHG0250W.00</t>
  </si>
  <si>
    <t>KHG0500W.00</t>
  </si>
  <si>
    <t>Lubrificateur</t>
  </si>
  <si>
    <t>Pilotes pour regulateur</t>
  </si>
  <si>
    <t>Pressostats</t>
  </si>
  <si>
    <t>Purgeur de ligne</t>
  </si>
  <si>
    <t>Purgeur sequencé</t>
  </si>
  <si>
    <t>311D-220V</t>
  </si>
  <si>
    <t>Regulateur ( technicair)</t>
  </si>
  <si>
    <t>Regulateur gros debit</t>
  </si>
  <si>
    <t>BECA2</t>
  </si>
  <si>
    <t>Soupape</t>
  </si>
  <si>
    <t>Vacuometre</t>
  </si>
  <si>
    <t>Air Line</t>
  </si>
  <si>
    <t>Bouchons</t>
  </si>
  <si>
    <t>Manchons</t>
  </si>
  <si>
    <t>Tube</t>
  </si>
  <si>
    <t>Unions</t>
  </si>
  <si>
    <t>App Electrique</t>
  </si>
  <si>
    <t>Corps + contact</t>
  </si>
  <si>
    <t>XB4BD21</t>
  </si>
  <si>
    <t>1 NC</t>
  </si>
  <si>
    <t>1 NO 1 NC</t>
  </si>
  <si>
    <t>ZB4BD25</t>
  </si>
  <si>
    <t>10A</t>
  </si>
  <si>
    <t>20A</t>
  </si>
  <si>
    <t>32A</t>
  </si>
  <si>
    <t>40A</t>
  </si>
  <si>
    <t>Disj. modulaire  bipolaires C legrand</t>
  </si>
  <si>
    <t>50A</t>
  </si>
  <si>
    <t>63A</t>
  </si>
  <si>
    <t>80A</t>
  </si>
  <si>
    <t>Disj. modulaire  IC60N tri. D Schneider</t>
  </si>
  <si>
    <t>SCHA9F75310</t>
  </si>
  <si>
    <t xml:space="preserve"> 2 A</t>
  </si>
  <si>
    <t>SCH9F74302</t>
  </si>
  <si>
    <t>SCHA9F77320</t>
  </si>
  <si>
    <t>SCHA9F77332</t>
  </si>
  <si>
    <t>SCHA9F75350</t>
  </si>
  <si>
    <t>SCHA9F75363</t>
  </si>
  <si>
    <t>Disj. modulaire  ph.+ N. C legrand</t>
  </si>
  <si>
    <t>0 6388</t>
  </si>
  <si>
    <t>0 6389</t>
  </si>
  <si>
    <t>0 6392</t>
  </si>
  <si>
    <t>0 6390</t>
  </si>
  <si>
    <t>SCHA9F77432</t>
  </si>
  <si>
    <t>SCHA9F75440</t>
  </si>
  <si>
    <t>Disj. modulaire  tri. D legrand</t>
  </si>
  <si>
    <t>Disj. Modulaire IC60N  bipolaires schneider</t>
  </si>
  <si>
    <t>SCHA9F75202</t>
  </si>
  <si>
    <t>SCHA9F77206</t>
  </si>
  <si>
    <t>4RT 24 V=</t>
  </si>
  <si>
    <t>4RT 24V AC</t>
  </si>
  <si>
    <t>4RT 110 V AC</t>
  </si>
  <si>
    <t>4RT 220 V AC</t>
  </si>
  <si>
    <t>Repartiteur modulaire TETRA legrand</t>
  </si>
  <si>
    <t>Thermostats/kit HORSGEL</t>
  </si>
  <si>
    <t>Ruban chauffant</t>
  </si>
  <si>
    <t>FSA2X</t>
  </si>
  <si>
    <t>ELTTRACECO020</t>
  </si>
  <si>
    <t>RAYCE02</t>
  </si>
  <si>
    <t>ELTBE8</t>
  </si>
  <si>
    <t>KIT ALIMENTATION + 2 DEPART</t>
  </si>
  <si>
    <t>RAYCE03</t>
  </si>
  <si>
    <t>ELTHB104</t>
  </si>
  <si>
    <t>DERIVATION EN T</t>
  </si>
  <si>
    <t>RAYPT02</t>
  </si>
  <si>
    <t>ELTDHB103</t>
  </si>
  <si>
    <t>THErmostats HEATHERME CONTAINER</t>
  </si>
  <si>
    <t>Vistop à Plastron TETRA</t>
  </si>
  <si>
    <t>Cablage</t>
  </si>
  <si>
    <t>petits</t>
  </si>
  <si>
    <t>CE25</t>
  </si>
  <si>
    <t>grands</t>
  </si>
  <si>
    <t>CE30</t>
  </si>
  <si>
    <t>Eclisse EDRN ( 2 x6m)</t>
  </si>
  <si>
    <t>equerres CF54/50</t>
  </si>
  <si>
    <t>Consol droite fixation CF54/100</t>
  </si>
  <si>
    <t>CONSCF100</t>
  </si>
  <si>
    <t>Consol droite fixation CF54/200</t>
  </si>
  <si>
    <t>CONSCF200</t>
  </si>
  <si>
    <t>Barreau cuivre</t>
  </si>
  <si>
    <t>M8</t>
  </si>
  <si>
    <t>Boites de deriv. plexo</t>
  </si>
  <si>
    <t>carrée 4 trous Ø 60</t>
  </si>
  <si>
    <t>carrée 7 trous 105x105x55</t>
  </si>
  <si>
    <t>4²</t>
  </si>
  <si>
    <t>6²</t>
  </si>
  <si>
    <t>10²</t>
  </si>
  <si>
    <t>CUNU5,5</t>
  </si>
  <si>
    <t>CUNU25</t>
  </si>
  <si>
    <t>CUNU35</t>
  </si>
  <si>
    <t>CUNU50</t>
  </si>
  <si>
    <t>CUNU70</t>
  </si>
  <si>
    <t>CUNU95</t>
  </si>
  <si>
    <t>CUNU120</t>
  </si>
  <si>
    <t>GRIFFE POU CUNU/CHEMIN DE CABE</t>
  </si>
  <si>
    <t>GRIFF4-30CUNU</t>
  </si>
  <si>
    <t>RO2V1X50</t>
  </si>
  <si>
    <t>RO2V1X70</t>
  </si>
  <si>
    <t>RO2V1X95</t>
  </si>
  <si>
    <t>1X120</t>
  </si>
  <si>
    <t>RO2V1X120</t>
  </si>
  <si>
    <t>RO2V1x150</t>
  </si>
  <si>
    <t>RO2V1x185</t>
  </si>
  <si>
    <t>3G2,5</t>
  </si>
  <si>
    <t>RO2V3G2.5</t>
  </si>
  <si>
    <t>4G2,5</t>
  </si>
  <si>
    <t>RO2V4G2.5</t>
  </si>
  <si>
    <t>4G4</t>
  </si>
  <si>
    <t>RO2V4G4</t>
  </si>
  <si>
    <t>4G6</t>
  </si>
  <si>
    <t>RO2V4G6</t>
  </si>
  <si>
    <t>4G10</t>
  </si>
  <si>
    <t>RO2V4G10</t>
  </si>
  <si>
    <t>5G10</t>
  </si>
  <si>
    <t>RO2V5G10</t>
  </si>
  <si>
    <t>4G16</t>
  </si>
  <si>
    <t>RO2V4G16</t>
  </si>
  <si>
    <t>4G25</t>
  </si>
  <si>
    <t>RO2V4G25</t>
  </si>
  <si>
    <t>5G25</t>
  </si>
  <si>
    <t>RO2V5G25</t>
  </si>
  <si>
    <t>4G35</t>
  </si>
  <si>
    <t>RO2V4G35</t>
  </si>
  <si>
    <t>4G50</t>
  </si>
  <si>
    <t>RO2V4G50</t>
  </si>
  <si>
    <t>4G70</t>
  </si>
  <si>
    <t>RO2V4G70</t>
  </si>
  <si>
    <t>7 G 0,75  ( souple gris  )</t>
  </si>
  <si>
    <t>5 G 1       ( souple gris  )</t>
  </si>
  <si>
    <t>LYCY5G1</t>
  </si>
  <si>
    <t>LYCY2X0,75</t>
  </si>
  <si>
    <t>LYCY3X0,75</t>
  </si>
  <si>
    <t>2X1  ( souple gris )</t>
  </si>
  <si>
    <t>LYCY2X1</t>
  </si>
  <si>
    <t>LYFLEX2X0,5</t>
  </si>
  <si>
    <t>3 G 0,75  ( souple gris  )</t>
  </si>
  <si>
    <t>LYFLEXNB3G0,75</t>
  </si>
  <si>
    <t>(purgeur)</t>
  </si>
  <si>
    <t>4 G 0,75  ( souple gris  )</t>
  </si>
  <si>
    <t>5 G 0,75  ( souple gris  )</t>
  </si>
  <si>
    <t>LYCY5G0,75</t>
  </si>
  <si>
    <t>3 G 1       ( souple gris  )</t>
  </si>
  <si>
    <t>LYFLEXNB3G1</t>
  </si>
  <si>
    <t>4 G 1       ( souple gris  )</t>
  </si>
  <si>
    <t>LYCY4G1</t>
  </si>
  <si>
    <t>1x0,5²     ( unifilaire de cablage  )</t>
  </si>
  <si>
    <t>HO5VK0,50</t>
  </si>
  <si>
    <t>Cable raccordement carte de regule (x multiple de 100m)</t>
  </si>
  <si>
    <t>Bretelle de racoordement)</t>
  </si>
  <si>
    <t>1x1,5²  ( unifilaire de cablage  )</t>
  </si>
  <si>
    <t>1x2,5²  ( unifilaire de cablage  )</t>
  </si>
  <si>
    <t>1x6²     ( unifilaire de cablage  )</t>
  </si>
  <si>
    <t>1x10²   ( unifilaire de cablage  )</t>
  </si>
  <si>
    <t>1x16²   ( unifilaire de cablage  )</t>
  </si>
  <si>
    <t>1x25²   ( unifilaire de cablage  )</t>
  </si>
  <si>
    <t>1x35²   ( unifilaire de cablage  )</t>
  </si>
  <si>
    <t>1x50²   ( unifilaire de cablage  )</t>
  </si>
  <si>
    <t>LYCY7X1</t>
  </si>
  <si>
    <t>LYCY12X1</t>
  </si>
  <si>
    <t>2x1     ( souple noir  )</t>
  </si>
  <si>
    <t>3G1     ( souple noir  )</t>
  </si>
  <si>
    <t>HO7RNF3G1</t>
  </si>
  <si>
    <t>4G1     ( souple noir  )</t>
  </si>
  <si>
    <t>HO7RNF4G1</t>
  </si>
  <si>
    <t>3G1,5  ( souple noir  )</t>
  </si>
  <si>
    <t>HO7RNF3G1,5</t>
  </si>
  <si>
    <t>4G1,5  ( souple noir  )</t>
  </si>
  <si>
    <t>HO7RNF4G1,5</t>
  </si>
  <si>
    <t>3G2,5  ( souple noir  )</t>
  </si>
  <si>
    <t>HO7RNF3G2,5</t>
  </si>
  <si>
    <t>4G2,5  ( souple noir  )</t>
  </si>
  <si>
    <t>HO7RNF4G2,5</t>
  </si>
  <si>
    <t>3G4     ( souple noir  )</t>
  </si>
  <si>
    <t>HO7RNF3G4</t>
  </si>
  <si>
    <t>4G4     ( souple noir  )</t>
  </si>
  <si>
    <t>HO7RNF4G4</t>
  </si>
  <si>
    <t>5G4     ( souple noir  )</t>
  </si>
  <si>
    <t>HO7RNF5G4</t>
  </si>
  <si>
    <t>3G6     ( souple noir  )</t>
  </si>
  <si>
    <t>HO7RNF3G6</t>
  </si>
  <si>
    <t>4G6     ( souple noir  )</t>
  </si>
  <si>
    <t>HO7RNF4G6</t>
  </si>
  <si>
    <t>5G6     ( souple noir  )</t>
  </si>
  <si>
    <t>HO7RNF5G6</t>
  </si>
  <si>
    <t>4G10   ( souple noir  )</t>
  </si>
  <si>
    <t>HO7RNF4G10</t>
  </si>
  <si>
    <t>5G10   ( souple noir  )</t>
  </si>
  <si>
    <t>HO7RNF5G10</t>
  </si>
  <si>
    <t>4G16   ( souple noir  )</t>
  </si>
  <si>
    <t>HO7RNF4G16</t>
  </si>
  <si>
    <t>5G16   ( souple noir  )</t>
  </si>
  <si>
    <t>HO7RNF5G16</t>
  </si>
  <si>
    <t>4G25   ( souple noir  )</t>
  </si>
  <si>
    <t>H07RNF4G25</t>
  </si>
  <si>
    <t>4G35   ( souple noir  )</t>
  </si>
  <si>
    <t>H07RNF4G35</t>
  </si>
  <si>
    <t>2x0,75  ( souple gris blindé  )</t>
  </si>
  <si>
    <t>3x0,75  ( souple gris blindé  )</t>
  </si>
  <si>
    <t>2x1       ( souple gris blindé  )</t>
  </si>
  <si>
    <t>4x0,75  ( souple gris blindé  )</t>
  </si>
  <si>
    <t>LYCY4X0,75</t>
  </si>
  <si>
    <t>Hygromtère / debit mètre</t>
  </si>
  <si>
    <t>Cablofil (unité m / multiple de 3)</t>
  </si>
  <si>
    <t>CF5450</t>
  </si>
  <si>
    <t>CF54/100</t>
  </si>
  <si>
    <t>CF54/150</t>
  </si>
  <si>
    <t>CF54/200</t>
  </si>
  <si>
    <t>Coffrets L*H*P</t>
  </si>
  <si>
    <t>Armoire à plastron</t>
  </si>
  <si>
    <t xml:space="preserve"> 200-300-160 a</t>
  </si>
  <si>
    <t>armoire metallique Atlantic</t>
  </si>
  <si>
    <t>300-400-200 b</t>
  </si>
  <si>
    <t>400-500-200 c</t>
  </si>
  <si>
    <t>400-600-200 d</t>
  </si>
  <si>
    <t>400-500-250 e</t>
  </si>
  <si>
    <t>400-600-250 d</t>
  </si>
  <si>
    <t>500-700-250 g</t>
  </si>
  <si>
    <t>Cosses pour cable cuivre</t>
  </si>
  <si>
    <t>XCT6-6</t>
  </si>
  <si>
    <t>XCT25-8</t>
  </si>
  <si>
    <t>XCT25-10</t>
  </si>
  <si>
    <t>XCT35-8</t>
  </si>
  <si>
    <t>XCT35-10</t>
  </si>
  <si>
    <t>XCT70-8</t>
  </si>
  <si>
    <t>XCT 70-10-Cosse tubulaire cuivre BT selon NF C20-130-Section: 70mm -Born: 10mm</t>
  </si>
  <si>
    <t>XCT7010</t>
  </si>
  <si>
    <t>XCT95-8</t>
  </si>
  <si>
    <t>XCT 95-10-Cosse tubulaire cuivre BT selon NF C20-130-Section: 95mm -Born: 10mm</t>
  </si>
  <si>
    <t>XCT9510</t>
  </si>
  <si>
    <t>XCT95-12</t>
  </si>
  <si>
    <t>XCT120-10</t>
  </si>
  <si>
    <t>XCT120-12</t>
  </si>
  <si>
    <t>Dominos</t>
  </si>
  <si>
    <t>Eclairage</t>
  </si>
  <si>
    <t>rampe 1 neon</t>
  </si>
  <si>
    <t>rampe 2 neon</t>
  </si>
  <si>
    <t>Embouts de cablage</t>
  </si>
  <si>
    <t>0,5²</t>
  </si>
  <si>
    <t>pour cable unifilaire souple</t>
  </si>
  <si>
    <t>1²</t>
  </si>
  <si>
    <t>1,5²</t>
  </si>
  <si>
    <t>16²</t>
  </si>
  <si>
    <t>25²</t>
  </si>
  <si>
    <t>35²</t>
  </si>
  <si>
    <t>50²</t>
  </si>
  <si>
    <t>Fixation murale</t>
  </si>
  <si>
    <t>Interupteur en applique</t>
  </si>
  <si>
    <t>Peignes</t>
  </si>
  <si>
    <t>Plastrons</t>
  </si>
  <si>
    <t xml:space="preserve">11p  7 à 10  </t>
  </si>
  <si>
    <t>3g0,75</t>
  </si>
  <si>
    <t xml:space="preserve">13p  9 à 12  </t>
  </si>
  <si>
    <t>3G1,5-</t>
  </si>
  <si>
    <t xml:space="preserve">16p  10 à 14 </t>
  </si>
  <si>
    <t>3G2,5-3G4-4G2,5-</t>
  </si>
  <si>
    <t xml:space="preserve">29p  16 à 24  </t>
  </si>
  <si>
    <t>4G10-4G16-5G10-5G16-</t>
  </si>
  <si>
    <t>PE 21 -26 PGN</t>
  </si>
  <si>
    <t>4G25-4G35-avec ecrou</t>
  </si>
  <si>
    <t xml:space="preserve">42p  30 à 35  </t>
  </si>
  <si>
    <t>4G50-5G35-</t>
  </si>
  <si>
    <t xml:space="preserve">48p  31 à 40  </t>
  </si>
  <si>
    <t>4G70-</t>
  </si>
  <si>
    <t>Rail  oméga</t>
  </si>
  <si>
    <t>Tube IRO</t>
  </si>
  <si>
    <t>IRO30</t>
  </si>
  <si>
    <t>IRO20</t>
  </si>
  <si>
    <t>IRO25</t>
  </si>
  <si>
    <t xml:space="preserve">Vis griffe pour platine </t>
  </si>
  <si>
    <t>M5</t>
  </si>
  <si>
    <t>AF1EA5</t>
  </si>
  <si>
    <t>M6</t>
  </si>
  <si>
    <t>Vis pour cavaliers</t>
  </si>
  <si>
    <t>TRCCM6X20</t>
  </si>
  <si>
    <t>Cuve</t>
  </si>
  <si>
    <t>EQT1</t>
  </si>
  <si>
    <t>EQT4</t>
  </si>
  <si>
    <t>EQT5</t>
  </si>
  <si>
    <t>EQT2</t>
  </si>
  <si>
    <t>EQT6</t>
  </si>
  <si>
    <t>EQT3</t>
  </si>
  <si>
    <t>EQTPAU2000</t>
  </si>
  <si>
    <t>RVPA2000.10G-DN80</t>
  </si>
  <si>
    <t>RVPA1000.10G</t>
  </si>
  <si>
    <t>RVPA1500.10G</t>
  </si>
  <si>
    <t>Divers</t>
  </si>
  <si>
    <t>Joint de bride DN32</t>
  </si>
  <si>
    <t>JT32</t>
  </si>
  <si>
    <t>DN40</t>
  </si>
  <si>
    <t>JT40</t>
  </si>
  <si>
    <t>2" - DN50 - 60</t>
  </si>
  <si>
    <t>JT50</t>
  </si>
  <si>
    <t>2"1/2 -  DN65 - 76</t>
  </si>
  <si>
    <t>JT65</t>
  </si>
  <si>
    <t>3" - DN80 - 88,9</t>
  </si>
  <si>
    <t>JT80</t>
  </si>
  <si>
    <t>4" -  DN 100 - 114,3</t>
  </si>
  <si>
    <t>JT100</t>
  </si>
  <si>
    <t>5" - DN 125  - 139,7</t>
  </si>
  <si>
    <t>JT125</t>
  </si>
  <si>
    <t>6" - DN150 - 168,3</t>
  </si>
  <si>
    <t>JT150</t>
  </si>
  <si>
    <t>8" - DN150 -219,1</t>
  </si>
  <si>
    <t>JT200</t>
  </si>
  <si>
    <t>Fixation</t>
  </si>
  <si>
    <t>Attaches  Erico</t>
  </si>
  <si>
    <t>Boulons</t>
  </si>
  <si>
    <t>M16x70</t>
  </si>
  <si>
    <t>DBR25+DDA09</t>
  </si>
  <si>
    <t>pour assemblage bride DN80/DN100</t>
  </si>
  <si>
    <t>M16x100</t>
  </si>
  <si>
    <t>DBR51+DDA10</t>
  </si>
  <si>
    <t>M16x120</t>
  </si>
  <si>
    <t>DBR514+DDA11</t>
  </si>
  <si>
    <t>M20x50</t>
  </si>
  <si>
    <t>M20X80</t>
  </si>
  <si>
    <t>DBR29+DDA11</t>
  </si>
  <si>
    <t>pour assemblage bride DN150</t>
  </si>
  <si>
    <t>M20x130</t>
  </si>
  <si>
    <t>DBR304+DDA11</t>
  </si>
  <si>
    <t>pour assemblage bride DN200</t>
  </si>
  <si>
    <t xml:space="preserve">Capuchon de securité </t>
  </si>
  <si>
    <t>pour rail 27/18</t>
  </si>
  <si>
    <t>pour rail 38/24</t>
  </si>
  <si>
    <t>10000-M</t>
  </si>
  <si>
    <t>pour rail 38/40</t>
  </si>
  <si>
    <t>BAM05</t>
  </si>
  <si>
    <t>Chainette</t>
  </si>
  <si>
    <t>CHAAC.D3</t>
  </si>
  <si>
    <t>BDG02</t>
  </si>
  <si>
    <t>Chevilles</t>
  </si>
  <si>
    <t>8 pour tirefond 6x40</t>
  </si>
  <si>
    <t>EEE02</t>
  </si>
  <si>
    <t>10 pour patte à vis et tirefond de 8</t>
  </si>
  <si>
    <t>EEB06</t>
  </si>
  <si>
    <t>12 pour tirefond de 10</t>
  </si>
  <si>
    <t>EEB08</t>
  </si>
  <si>
    <t>Ø 12</t>
  </si>
  <si>
    <t>8X30</t>
  </si>
  <si>
    <t>EAI02</t>
  </si>
  <si>
    <t>CV3/8</t>
  </si>
  <si>
    <t>AFB01</t>
  </si>
  <si>
    <t>tube Ø22- 1/2</t>
  </si>
  <si>
    <t>CV1/2</t>
  </si>
  <si>
    <t>AFB02</t>
  </si>
  <si>
    <t>CV3/4</t>
  </si>
  <si>
    <t>AFB03</t>
  </si>
  <si>
    <t>tube Ø34 - 1"</t>
  </si>
  <si>
    <t>CV1</t>
  </si>
  <si>
    <t>AFB04</t>
  </si>
  <si>
    <t>tube Ø42 -1"1/4</t>
  </si>
  <si>
    <t>CV114</t>
  </si>
  <si>
    <t>AFB05</t>
  </si>
  <si>
    <t>tube Ø48 - 1"1/2</t>
  </si>
  <si>
    <t>CV112</t>
  </si>
  <si>
    <t>AFB06</t>
  </si>
  <si>
    <t>tube Ø60 -2"</t>
  </si>
  <si>
    <t>CV2</t>
  </si>
  <si>
    <t>AFB07</t>
  </si>
  <si>
    <t>tube Ø76 - 2"1/2</t>
  </si>
  <si>
    <t>CV212</t>
  </si>
  <si>
    <t>AFB08</t>
  </si>
  <si>
    <t>tube Ø89 -3"</t>
  </si>
  <si>
    <t>CV3</t>
  </si>
  <si>
    <t>AFB09</t>
  </si>
  <si>
    <t>tube Ø114 - 4 "</t>
  </si>
  <si>
    <t>CV4</t>
  </si>
  <si>
    <t>AFB10</t>
  </si>
  <si>
    <t>pour maxair 8</t>
  </si>
  <si>
    <t>CSS15</t>
  </si>
  <si>
    <t>pour maxair 10</t>
  </si>
  <si>
    <t>CSS17</t>
  </si>
  <si>
    <t>pour maxair 13</t>
  </si>
  <si>
    <t>CSS20</t>
  </si>
  <si>
    <t>pour maxair 19</t>
  </si>
  <si>
    <t>CSS29</t>
  </si>
  <si>
    <t>pour maxair 25</t>
  </si>
  <si>
    <t>CSS36</t>
  </si>
  <si>
    <t>pour maxair 16</t>
  </si>
  <si>
    <t>CSS23</t>
  </si>
  <si>
    <t>pour maxair 32</t>
  </si>
  <si>
    <t>CSS38</t>
  </si>
  <si>
    <t xml:space="preserve"> 7-9</t>
  </si>
  <si>
    <t>CO0709</t>
  </si>
  <si>
    <t xml:space="preserve"> 9-11</t>
  </si>
  <si>
    <t>CO0911</t>
  </si>
  <si>
    <t xml:space="preserve"> 11-13</t>
  </si>
  <si>
    <t>CO1113</t>
  </si>
  <si>
    <t>13-15            ( trico 08)</t>
  </si>
  <si>
    <t>CO1315</t>
  </si>
  <si>
    <t>15-18            ( trico 10)</t>
  </si>
  <si>
    <t>CO1518</t>
  </si>
  <si>
    <t>17-20</t>
  </si>
  <si>
    <t>CO1720</t>
  </si>
  <si>
    <t>18-21           ( trico 13)</t>
  </si>
  <si>
    <t>CO1821</t>
  </si>
  <si>
    <t>20-23</t>
  </si>
  <si>
    <t>CO2023</t>
  </si>
  <si>
    <t>23-27           ( trico 19)</t>
  </si>
  <si>
    <t>CO2327</t>
  </si>
  <si>
    <t>25-28</t>
  </si>
  <si>
    <t>CO2528</t>
  </si>
  <si>
    <t>27-31</t>
  </si>
  <si>
    <t>CO2731</t>
  </si>
  <si>
    <t>30-34           ( trico 25)</t>
  </si>
  <si>
    <t>CO3034</t>
  </si>
  <si>
    <t>CVI15</t>
  </si>
  <si>
    <t>RacMet</t>
  </si>
  <si>
    <t>CVI18</t>
  </si>
  <si>
    <t>CVI22</t>
  </si>
  <si>
    <t>CVI28</t>
  </si>
  <si>
    <t>CVI35</t>
  </si>
  <si>
    <t>CVI42</t>
  </si>
  <si>
    <t>CVI54</t>
  </si>
  <si>
    <t>CVI76</t>
  </si>
  <si>
    <t>CVI88</t>
  </si>
  <si>
    <t>CVI108</t>
  </si>
  <si>
    <t>CV15-ISO</t>
  </si>
  <si>
    <t>156150304G</t>
  </si>
  <si>
    <t>CV18-ISO</t>
  </si>
  <si>
    <t>156308304G</t>
  </si>
  <si>
    <t>CV22-ISO</t>
  </si>
  <si>
    <t>156102304G</t>
  </si>
  <si>
    <t>CV28-ISO</t>
  </si>
  <si>
    <t>156304304G</t>
  </si>
  <si>
    <t>CV35-ISO</t>
  </si>
  <si>
    <t>156100304G</t>
  </si>
  <si>
    <t>CV42-ISO</t>
  </si>
  <si>
    <t>156114304G</t>
  </si>
  <si>
    <t>CV54-ISO</t>
  </si>
  <si>
    <t>156112304G</t>
  </si>
  <si>
    <t>CV76-ISO</t>
  </si>
  <si>
    <t>156212304G</t>
  </si>
  <si>
    <t>CV88-ISO</t>
  </si>
  <si>
    <t>156300304G</t>
  </si>
  <si>
    <t>CV108-ISO</t>
  </si>
  <si>
    <t>1546108304G</t>
  </si>
  <si>
    <t>10 16</t>
  </si>
  <si>
    <t>CV1016</t>
  </si>
  <si>
    <t>?</t>
  </si>
  <si>
    <t>11 17</t>
  </si>
  <si>
    <t>CV1117</t>
  </si>
  <si>
    <t>13 20</t>
  </si>
  <si>
    <t>CV1320</t>
  </si>
  <si>
    <t>14 24</t>
  </si>
  <si>
    <t>CV1424</t>
  </si>
  <si>
    <t>18 28</t>
  </si>
  <si>
    <t>CV1828</t>
  </si>
  <si>
    <t>24 36</t>
  </si>
  <si>
    <t>CV2436</t>
  </si>
  <si>
    <t>40 43</t>
  </si>
  <si>
    <t>CV4043</t>
  </si>
  <si>
    <t>32 52</t>
  </si>
  <si>
    <t>CV3252</t>
  </si>
  <si>
    <t>44-47</t>
  </si>
  <si>
    <t>CV44-47</t>
  </si>
  <si>
    <t>40-43</t>
  </si>
  <si>
    <t>ZTOE43</t>
  </si>
  <si>
    <t>36-39</t>
  </si>
  <si>
    <t>CV36-39</t>
  </si>
  <si>
    <t>32-35</t>
  </si>
  <si>
    <t>CV32-35</t>
  </si>
  <si>
    <t>60-63</t>
  </si>
  <si>
    <t>CV60-63</t>
  </si>
  <si>
    <t>64-67</t>
  </si>
  <si>
    <t>CV64-67</t>
  </si>
  <si>
    <t>LG 200 - 27x18</t>
  </si>
  <si>
    <t>CONS200</t>
  </si>
  <si>
    <t>LG 240 - 38x40</t>
  </si>
  <si>
    <t>LG 560 - 38x40</t>
  </si>
  <si>
    <t>BAD14</t>
  </si>
  <si>
    <t>LG400 - 28x30</t>
  </si>
  <si>
    <t>BAD13</t>
  </si>
  <si>
    <t>à modifier en 38x40</t>
  </si>
  <si>
    <t>LG800 - 38x40</t>
  </si>
  <si>
    <t>CONS800</t>
  </si>
  <si>
    <t>BAD19</t>
  </si>
  <si>
    <t>Ø 8</t>
  </si>
  <si>
    <t>BED05</t>
  </si>
  <si>
    <t>Ø10</t>
  </si>
  <si>
    <t>BED06</t>
  </si>
  <si>
    <t>BED07</t>
  </si>
  <si>
    <t>Ecrous</t>
  </si>
  <si>
    <t>Mupro</t>
  </si>
  <si>
    <t>M10</t>
  </si>
  <si>
    <t>DDA06</t>
  </si>
  <si>
    <t>Etriers longs</t>
  </si>
  <si>
    <t>Dn65-2"1/2</t>
  </si>
  <si>
    <t>ETR212</t>
  </si>
  <si>
    <t>AJA83</t>
  </si>
  <si>
    <t>DN80 -3"</t>
  </si>
  <si>
    <t>ETR3</t>
  </si>
  <si>
    <t>AJA84</t>
  </si>
  <si>
    <t>DN100 -4"</t>
  </si>
  <si>
    <t>ETR4</t>
  </si>
  <si>
    <t>AJA85</t>
  </si>
  <si>
    <t>DN125 -5"</t>
  </si>
  <si>
    <t>ETR5</t>
  </si>
  <si>
    <t>AJA86</t>
  </si>
  <si>
    <t>DN150 -6"</t>
  </si>
  <si>
    <t>ETR6</t>
  </si>
  <si>
    <t>AJA87</t>
  </si>
  <si>
    <t>DN200</t>
  </si>
  <si>
    <t>M8x30</t>
  </si>
  <si>
    <t>M8/40</t>
  </si>
  <si>
    <t>DCE03</t>
  </si>
  <si>
    <t>M10X40</t>
  </si>
  <si>
    <t>DCE04</t>
  </si>
  <si>
    <t>Pattes à vis</t>
  </si>
  <si>
    <t>pate à vis autoforeuse M8x15</t>
  </si>
  <si>
    <t>0207000815</t>
  </si>
  <si>
    <t>DAI04</t>
  </si>
  <si>
    <t xml:space="preserve"> 8/50</t>
  </si>
  <si>
    <t>DBA01</t>
  </si>
  <si>
    <t xml:space="preserve"> 8/70</t>
  </si>
  <si>
    <t>DBA03</t>
  </si>
  <si>
    <t xml:space="preserve"> 8/100</t>
  </si>
  <si>
    <t>DBA04</t>
  </si>
  <si>
    <t>PI Erico</t>
  </si>
  <si>
    <t>EBC</t>
  </si>
  <si>
    <t>Eclisse rail 38x40 (prolonagateur)</t>
  </si>
  <si>
    <t>EQ90-RAIL3824</t>
  </si>
  <si>
    <t>BAL03</t>
  </si>
  <si>
    <t>Rails mupro</t>
  </si>
  <si>
    <t>27/18   lg    2m</t>
  </si>
  <si>
    <t>38X40 lg    2m</t>
  </si>
  <si>
    <t>BAA12</t>
  </si>
  <si>
    <t>38X40  lg    3m</t>
  </si>
  <si>
    <t>RAIL3840x3</t>
  </si>
  <si>
    <t>BAA13</t>
  </si>
  <si>
    <t xml:space="preserve"> 40X60 lg   4 m</t>
  </si>
  <si>
    <t>RAIL4060X4</t>
  </si>
  <si>
    <t>38/24 lg   2 m</t>
  </si>
  <si>
    <t>Rivklés  - insert</t>
  </si>
  <si>
    <t>RM6</t>
  </si>
  <si>
    <t>DDB52</t>
  </si>
  <si>
    <t>RM8</t>
  </si>
  <si>
    <t>DDB521</t>
  </si>
  <si>
    <t>RM10</t>
  </si>
  <si>
    <t>DDB522</t>
  </si>
  <si>
    <t>DDC02</t>
  </si>
  <si>
    <t>DDC04</t>
  </si>
  <si>
    <t>DDC05</t>
  </si>
  <si>
    <t xml:space="preserve"> 8X30</t>
  </si>
  <si>
    <t>DDD10</t>
  </si>
  <si>
    <t>10X36</t>
  </si>
  <si>
    <t>DDD12</t>
  </si>
  <si>
    <t>Tige filetée</t>
  </si>
  <si>
    <t>TF051</t>
  </si>
  <si>
    <t>TF061</t>
  </si>
  <si>
    <t>TF081</t>
  </si>
  <si>
    <t>DBC03</t>
  </si>
  <si>
    <t>TF101</t>
  </si>
  <si>
    <t>DBC04</t>
  </si>
  <si>
    <t>M12</t>
  </si>
  <si>
    <t>TF121</t>
  </si>
  <si>
    <t>DBC05</t>
  </si>
  <si>
    <t>Tirefonds</t>
  </si>
  <si>
    <t>DBN19</t>
  </si>
  <si>
    <t>DBN22</t>
  </si>
  <si>
    <t>Double écrou MPC 38/24 jusqu'à 40/120 M8x40 EZ</t>
  </si>
  <si>
    <t>EC-RAILM10X35</t>
  </si>
  <si>
    <t>BAG22</t>
  </si>
  <si>
    <t>6x20</t>
  </si>
  <si>
    <t>6x30</t>
  </si>
  <si>
    <t>THM6x20</t>
  </si>
  <si>
    <t>THM6x30</t>
  </si>
  <si>
    <t>THM10x50</t>
  </si>
  <si>
    <t>DBR09</t>
  </si>
  <si>
    <t>16x40 ( vanne oreille taraudé DN65 - DN100)</t>
  </si>
  <si>
    <t>M16x40</t>
  </si>
  <si>
    <t>THM16x45</t>
  </si>
  <si>
    <t>Flexibles</t>
  </si>
  <si>
    <t>DN65</t>
  </si>
  <si>
    <t>K8.0786.00010</t>
  </si>
  <si>
    <t>DN80</t>
  </si>
  <si>
    <t>K8.0787.00010</t>
  </si>
  <si>
    <t>DN100</t>
  </si>
  <si>
    <t>DN125</t>
  </si>
  <si>
    <t>DN150</t>
  </si>
  <si>
    <t>Flexible annelé pour vide</t>
  </si>
  <si>
    <t>ARTASPIR 20</t>
  </si>
  <si>
    <t>ARTASPIR 25</t>
  </si>
  <si>
    <t>ARTASPIR 40</t>
  </si>
  <si>
    <t>ARTASPIR 50</t>
  </si>
  <si>
    <t>ARTASPIR 60</t>
  </si>
  <si>
    <t>ARTASPIR 70</t>
  </si>
  <si>
    <t>ARTASPIR 90</t>
  </si>
  <si>
    <t xml:space="preserve"> 1/2 LG 1000</t>
  </si>
  <si>
    <t>FI12.1000</t>
  </si>
  <si>
    <t xml:space="preserve"> 1/2 LG 2000</t>
  </si>
  <si>
    <t>FI12.2000</t>
  </si>
  <si>
    <t xml:space="preserve"> 1/2 LG 3000</t>
  </si>
  <si>
    <t>FI12.3000</t>
  </si>
  <si>
    <t xml:space="preserve"> 3/4 LG 1000</t>
  </si>
  <si>
    <t>FI34.1000</t>
  </si>
  <si>
    <t xml:space="preserve"> 3/4 LG 2000</t>
  </si>
  <si>
    <t>FI34.2000</t>
  </si>
  <si>
    <t xml:space="preserve"> 3/4 LG 2800</t>
  </si>
  <si>
    <t>FI34.2800</t>
  </si>
  <si>
    <t>1" LG 1000</t>
  </si>
  <si>
    <t>FI1.1000</t>
  </si>
  <si>
    <t>1" LG 1250</t>
  </si>
  <si>
    <t>FI1.1250</t>
  </si>
  <si>
    <t xml:space="preserve">1"1/4 LG 500 </t>
  </si>
  <si>
    <t>FI114.500</t>
  </si>
  <si>
    <t>1"1/4 LG 1000</t>
  </si>
  <si>
    <t>FI114.1000</t>
  </si>
  <si>
    <t>1"1/4 LG 1200</t>
  </si>
  <si>
    <t>FI114.1200</t>
  </si>
  <si>
    <t>1"1/4 LG 2000</t>
  </si>
  <si>
    <t>FI114.2000</t>
  </si>
  <si>
    <t>1"1/2 LG 1000</t>
  </si>
  <si>
    <t>FI112.1000</t>
  </si>
  <si>
    <t>1"1/2 LG 2000</t>
  </si>
  <si>
    <t>FI112.2000</t>
  </si>
  <si>
    <t>2" LG 500</t>
  </si>
  <si>
    <t>F2.0500</t>
  </si>
  <si>
    <t>2" LG 1000</t>
  </si>
  <si>
    <t>FI2.1000</t>
  </si>
  <si>
    <t>2" LG 1500</t>
  </si>
  <si>
    <t>FI2.1500</t>
  </si>
  <si>
    <t>2" LG 2000</t>
  </si>
  <si>
    <t>FI2.2000</t>
  </si>
  <si>
    <t>2"1/2 LG 1000</t>
  </si>
  <si>
    <t>FI212.1000</t>
  </si>
  <si>
    <t>3" LG 1000</t>
  </si>
  <si>
    <t>FI3.1000</t>
  </si>
  <si>
    <t>3/8 LG1000</t>
  </si>
  <si>
    <t xml:space="preserve"> 1/2 LG500</t>
  </si>
  <si>
    <t>FC12.500</t>
  </si>
  <si>
    <t xml:space="preserve"> 1/2 LG1000</t>
  </si>
  <si>
    <t>FC12.1000</t>
  </si>
  <si>
    <t xml:space="preserve"> 1/2 LG1500</t>
  </si>
  <si>
    <t>FC12.1500</t>
  </si>
  <si>
    <t xml:space="preserve"> 1/2 LG2000</t>
  </si>
  <si>
    <t>FC12.2000</t>
  </si>
  <si>
    <t xml:space="preserve"> 1/2 LG3000</t>
  </si>
  <si>
    <t>FC12.3000</t>
  </si>
  <si>
    <t xml:space="preserve"> 1/2 LG4000</t>
  </si>
  <si>
    <t>FC12.4000</t>
  </si>
  <si>
    <t xml:space="preserve"> 1/2 LG5000</t>
  </si>
  <si>
    <t>FC12.5000</t>
  </si>
  <si>
    <t xml:space="preserve"> 1/2 LG6000</t>
  </si>
  <si>
    <t>FC12.6000</t>
  </si>
  <si>
    <t xml:space="preserve"> 1/2 LG8000</t>
  </si>
  <si>
    <t>FC12.8000</t>
  </si>
  <si>
    <t xml:space="preserve"> 3/4 LG 500</t>
  </si>
  <si>
    <t>FC34.500</t>
  </si>
  <si>
    <t>FC34.1000</t>
  </si>
  <si>
    <t xml:space="preserve"> 3/4 LG 1500</t>
  </si>
  <si>
    <t>FC34.1500</t>
  </si>
  <si>
    <t>FC34.2000</t>
  </si>
  <si>
    <t xml:space="preserve"> 3/4 LG 2500</t>
  </si>
  <si>
    <t>FC34.2500</t>
  </si>
  <si>
    <t xml:space="preserve"> 3/4 LG 3000</t>
  </si>
  <si>
    <t>FC34.3000</t>
  </si>
  <si>
    <t xml:space="preserve"> 3/4 LG 4000</t>
  </si>
  <si>
    <t>FC34.4000</t>
  </si>
  <si>
    <t xml:space="preserve"> 3/4 LG 5000</t>
  </si>
  <si>
    <t>FC34.5000</t>
  </si>
  <si>
    <t xml:space="preserve"> 3/4 LG 6000</t>
  </si>
  <si>
    <t>FC34.6000</t>
  </si>
  <si>
    <t>1" LG 500</t>
  </si>
  <si>
    <t>FC1.500</t>
  </si>
  <si>
    <t>FC1.1000</t>
  </si>
  <si>
    <t>1" LG 1500</t>
  </si>
  <si>
    <t>FC1.1500</t>
  </si>
  <si>
    <t>1" LG 2000</t>
  </si>
  <si>
    <t>FC1.2000</t>
  </si>
  <si>
    <t>1" LG 2500</t>
  </si>
  <si>
    <t>FC1.2500</t>
  </si>
  <si>
    <t>1" LG 3000</t>
  </si>
  <si>
    <t>FC1.3000</t>
  </si>
  <si>
    <t>1" LG 3500</t>
  </si>
  <si>
    <t>FC1.3500</t>
  </si>
  <si>
    <t>1" LG 4000</t>
  </si>
  <si>
    <t>FC1.4000</t>
  </si>
  <si>
    <t>1" LG 5000</t>
  </si>
  <si>
    <t>FC1.5000</t>
  </si>
  <si>
    <t>1" LG 6000</t>
  </si>
  <si>
    <t>FC1.6000</t>
  </si>
  <si>
    <t>1" LG 8000</t>
  </si>
  <si>
    <t>FC1.8000</t>
  </si>
  <si>
    <t>FC1.10000</t>
  </si>
  <si>
    <t>FC114.1000</t>
  </si>
  <si>
    <t>1"1/4 LG 1500</t>
  </si>
  <si>
    <t>FC114.1500</t>
  </si>
  <si>
    <t>FC114.2000</t>
  </si>
  <si>
    <t>1"1/4 LG 2500</t>
  </si>
  <si>
    <t>FC114.2500</t>
  </si>
  <si>
    <t>1"1/4 LG 3000</t>
  </si>
  <si>
    <t>FC114.3000</t>
  </si>
  <si>
    <t>1"1/4 LG 4000</t>
  </si>
  <si>
    <t>FC114.4000</t>
  </si>
  <si>
    <t>1"1/4 LG 5000</t>
  </si>
  <si>
    <t>FC114.5000</t>
  </si>
  <si>
    <t>1"1/4 LG 9000</t>
  </si>
  <si>
    <t>FC114.9000</t>
  </si>
  <si>
    <t>1"1/4 LG 10000</t>
  </si>
  <si>
    <t>FC114.10000</t>
  </si>
  <si>
    <t>1"1/2 LG 500</t>
  </si>
  <si>
    <t>FC112.500</t>
  </si>
  <si>
    <t>FC112.1000</t>
  </si>
  <si>
    <t>1"1/2 LG 1500</t>
  </si>
  <si>
    <t>FC112.1500</t>
  </si>
  <si>
    <t>FC112.2000</t>
  </si>
  <si>
    <t>1"1/2 LG 2500</t>
  </si>
  <si>
    <t>FC112.2500</t>
  </si>
  <si>
    <t>1"1/2 LG3000</t>
  </si>
  <si>
    <t>FC112.3000</t>
  </si>
  <si>
    <t>1"1/2 LG5000</t>
  </si>
  <si>
    <t>FC112.5000</t>
  </si>
  <si>
    <t>FC2.500</t>
  </si>
  <si>
    <t>FC2.1000</t>
  </si>
  <si>
    <t>FC2.1500</t>
  </si>
  <si>
    <t>FC2.2000</t>
  </si>
  <si>
    <t>2" LG 2500</t>
  </si>
  <si>
    <t>FC2.2500</t>
  </si>
  <si>
    <t>2" LG 3000</t>
  </si>
  <si>
    <t>FC2.3000</t>
  </si>
  <si>
    <t>2" LG 4000</t>
  </si>
  <si>
    <t>FC2.4000</t>
  </si>
  <si>
    <t>2" LG 10000</t>
  </si>
  <si>
    <t>FC2.10000</t>
  </si>
  <si>
    <t>2" LG 15000</t>
  </si>
  <si>
    <t>FC2.15000</t>
  </si>
  <si>
    <t>FC212.1000</t>
  </si>
  <si>
    <t>2"1/2 LG 1500</t>
  </si>
  <si>
    <t>FC212.1500</t>
  </si>
  <si>
    <t>2"1/2 LG 5000</t>
  </si>
  <si>
    <t>Maxair</t>
  </si>
  <si>
    <t>MAXAIR09</t>
  </si>
  <si>
    <t>MAXAIR10</t>
  </si>
  <si>
    <t>MAXAIR13</t>
  </si>
  <si>
    <t>16x25</t>
  </si>
  <si>
    <t>MAXAIR16</t>
  </si>
  <si>
    <t>19x30</t>
  </si>
  <si>
    <t>MAXAIR19</t>
  </si>
  <si>
    <t>MAXAIR25</t>
  </si>
  <si>
    <t>MAXAIR32</t>
  </si>
  <si>
    <t>Polyethylene</t>
  </si>
  <si>
    <t xml:space="preserve"> DN20  </t>
  </si>
  <si>
    <t>Rilsan</t>
  </si>
  <si>
    <t xml:space="preserve"> 2-4</t>
  </si>
  <si>
    <t>RILSAN-24</t>
  </si>
  <si>
    <t>RILSAN-46</t>
  </si>
  <si>
    <t xml:space="preserve"> 6-8</t>
  </si>
  <si>
    <t>RILSAN-68</t>
  </si>
  <si>
    <t xml:space="preserve"> 8-10</t>
  </si>
  <si>
    <t>RILSAN-810</t>
  </si>
  <si>
    <t xml:space="preserve"> 10-12</t>
  </si>
  <si>
    <t>RILSAN-1012</t>
  </si>
  <si>
    <t xml:space="preserve"> 12-14</t>
  </si>
  <si>
    <t>RILSAN-1214</t>
  </si>
  <si>
    <t>Tricoclair</t>
  </si>
  <si>
    <t>TRICO06</t>
  </si>
  <si>
    <t>TRICO08</t>
  </si>
  <si>
    <t>TRICO10</t>
  </si>
  <si>
    <t>TRICO12</t>
  </si>
  <si>
    <t>13 - 20</t>
  </si>
  <si>
    <t>TRICO13</t>
  </si>
  <si>
    <t>TRICO16</t>
  </si>
  <si>
    <t>TRICO19</t>
  </si>
  <si>
    <t>TRICO25</t>
  </si>
  <si>
    <t>TRICO32</t>
  </si>
  <si>
    <t>1/2 bobines 530A</t>
  </si>
  <si>
    <t>530AN4</t>
  </si>
  <si>
    <t>530A212</t>
  </si>
  <si>
    <t xml:space="preserve"> 3"</t>
  </si>
  <si>
    <t>530A3</t>
  </si>
  <si>
    <t>530A2</t>
  </si>
  <si>
    <t>530A112</t>
  </si>
  <si>
    <t>530A1</t>
  </si>
  <si>
    <t>530A12</t>
  </si>
  <si>
    <t>Bobines 530</t>
  </si>
  <si>
    <t>4" lg 150</t>
  </si>
  <si>
    <t>530G4-150</t>
  </si>
  <si>
    <t>2"1/2 lg 80</t>
  </si>
  <si>
    <t>530G212-80</t>
  </si>
  <si>
    <t>2"1/2 lg 300</t>
  </si>
  <si>
    <t>530G212-300</t>
  </si>
  <si>
    <t>530G212</t>
  </si>
  <si>
    <t>2" lg 400</t>
  </si>
  <si>
    <t>530G2-400</t>
  </si>
  <si>
    <t>2" lg 300</t>
  </si>
  <si>
    <t>530G2-300</t>
  </si>
  <si>
    <t>2" lg 200</t>
  </si>
  <si>
    <t>530G2-200</t>
  </si>
  <si>
    <t>2" lg150</t>
  </si>
  <si>
    <t>530G2-150</t>
  </si>
  <si>
    <t>2" lg 100</t>
  </si>
  <si>
    <t>530G2-100</t>
  </si>
  <si>
    <t>530G2</t>
  </si>
  <si>
    <t>1"1/2 lg 200</t>
  </si>
  <si>
    <t>530G112-200</t>
  </si>
  <si>
    <t>1"1/2 lg 150</t>
  </si>
  <si>
    <t>530G112-150</t>
  </si>
  <si>
    <t>1"1/2 lg 100</t>
  </si>
  <si>
    <t>530G112-100</t>
  </si>
  <si>
    <t>1"1/2 lg 80</t>
  </si>
  <si>
    <t>530G112-80</t>
  </si>
  <si>
    <t>530G112</t>
  </si>
  <si>
    <t>1"1/4 lg 100</t>
  </si>
  <si>
    <t>530G114-100</t>
  </si>
  <si>
    <t>530G114</t>
  </si>
  <si>
    <t>1" lg 80</t>
  </si>
  <si>
    <t>530G1-80</t>
  </si>
  <si>
    <t>1" lg 150</t>
  </si>
  <si>
    <t>530G1-150</t>
  </si>
  <si>
    <t>1" lg 200</t>
  </si>
  <si>
    <t>530G1-200</t>
  </si>
  <si>
    <t>1" lg 500</t>
  </si>
  <si>
    <t>530G1-500</t>
  </si>
  <si>
    <t>1" lg 700</t>
  </si>
  <si>
    <t>530G1-700</t>
  </si>
  <si>
    <t>1" lg 1000</t>
  </si>
  <si>
    <t>530G1-1000</t>
  </si>
  <si>
    <t>530G1</t>
  </si>
  <si>
    <t>3/4" lg 500</t>
  </si>
  <si>
    <t>530G34-500</t>
  </si>
  <si>
    <t>3/4" lg 400</t>
  </si>
  <si>
    <t>530G34-400</t>
  </si>
  <si>
    <t>3/4" lg 300</t>
  </si>
  <si>
    <t>530G34-300</t>
  </si>
  <si>
    <t>3/4" lg 200</t>
  </si>
  <si>
    <t>530G34-200</t>
  </si>
  <si>
    <t>3/4" lg 150</t>
  </si>
  <si>
    <t>530G34-150</t>
  </si>
  <si>
    <t>3/4" lg 100</t>
  </si>
  <si>
    <t>530G34-100</t>
  </si>
  <si>
    <t>530G34</t>
  </si>
  <si>
    <t>1/2" lg 100</t>
  </si>
  <si>
    <t>530G12-100</t>
  </si>
  <si>
    <t>1/2" lg 150</t>
  </si>
  <si>
    <t>530G12-150</t>
  </si>
  <si>
    <t>1/2" lg 200</t>
  </si>
  <si>
    <t>530G12-200</t>
  </si>
  <si>
    <t>1/2 LG 300</t>
  </si>
  <si>
    <t>530-300-12</t>
  </si>
  <si>
    <t>1/2 LG 500</t>
  </si>
  <si>
    <t>530-500-12</t>
  </si>
  <si>
    <t>1/2 LG 600</t>
  </si>
  <si>
    <t>530-600-12</t>
  </si>
  <si>
    <t>530G12</t>
  </si>
  <si>
    <t>3/8" lg 300</t>
  </si>
  <si>
    <t>530G38-300</t>
  </si>
  <si>
    <t>3/8" lg 200</t>
  </si>
  <si>
    <t>530G38-200</t>
  </si>
  <si>
    <t>3/8" lg 150</t>
  </si>
  <si>
    <t>530G38-150</t>
  </si>
  <si>
    <t>530G38</t>
  </si>
  <si>
    <t>530G14</t>
  </si>
  <si>
    <t>Bouchons F 300</t>
  </si>
  <si>
    <t>300G4</t>
  </si>
  <si>
    <t>300G3</t>
  </si>
  <si>
    <t>300G212</t>
  </si>
  <si>
    <t>300G2</t>
  </si>
  <si>
    <t>300G112</t>
  </si>
  <si>
    <t>300G114</t>
  </si>
  <si>
    <t>300G1</t>
  </si>
  <si>
    <t>300G34</t>
  </si>
  <si>
    <t>300G12</t>
  </si>
  <si>
    <t>300G38</t>
  </si>
  <si>
    <t>300G14</t>
  </si>
  <si>
    <t>Bouchons M 290</t>
  </si>
  <si>
    <t>290G3</t>
  </si>
  <si>
    <t>290G212</t>
  </si>
  <si>
    <t>290G2</t>
  </si>
  <si>
    <t>290G112</t>
  </si>
  <si>
    <t>290G114</t>
  </si>
  <si>
    <t>290G1</t>
  </si>
  <si>
    <t>290G34</t>
  </si>
  <si>
    <t>290G12</t>
  </si>
  <si>
    <t>290G38</t>
  </si>
  <si>
    <t>290G14</t>
  </si>
  <si>
    <t xml:space="preserve"> 1/8</t>
  </si>
  <si>
    <t>290G18</t>
  </si>
  <si>
    <t>Coude ff 90</t>
  </si>
  <si>
    <t>90G3</t>
  </si>
  <si>
    <t>90G212</t>
  </si>
  <si>
    <t>90G2</t>
  </si>
  <si>
    <t>90G112</t>
  </si>
  <si>
    <t>90G114</t>
  </si>
  <si>
    <t>90G1</t>
  </si>
  <si>
    <t>90G34</t>
  </si>
  <si>
    <t>90G12</t>
  </si>
  <si>
    <t>90G38</t>
  </si>
  <si>
    <t>90G14</t>
  </si>
  <si>
    <t>90G18</t>
  </si>
  <si>
    <t>Coudes mf 92</t>
  </si>
  <si>
    <t>92G114</t>
  </si>
  <si>
    <t>92G3</t>
  </si>
  <si>
    <t>92G212</t>
  </si>
  <si>
    <t>92G2</t>
  </si>
  <si>
    <t>92G112</t>
  </si>
  <si>
    <t>92G1</t>
  </si>
  <si>
    <t>92G34</t>
  </si>
  <si>
    <t>92G12</t>
  </si>
  <si>
    <t>92G38</t>
  </si>
  <si>
    <t>92G14</t>
  </si>
  <si>
    <t>92G18</t>
  </si>
  <si>
    <t xml:space="preserve">Coudes mm </t>
  </si>
  <si>
    <t>3G3</t>
  </si>
  <si>
    <t>3G212</t>
  </si>
  <si>
    <t>3G2</t>
  </si>
  <si>
    <t>3G112</t>
  </si>
  <si>
    <t>3G1</t>
  </si>
  <si>
    <t>3G34</t>
  </si>
  <si>
    <t>3G12</t>
  </si>
  <si>
    <t>3G38</t>
  </si>
  <si>
    <t>3G14</t>
  </si>
  <si>
    <t>3G18</t>
  </si>
  <si>
    <t>Courbe ff  2</t>
  </si>
  <si>
    <t>2G3</t>
  </si>
  <si>
    <t>2G212</t>
  </si>
  <si>
    <t>2G2</t>
  </si>
  <si>
    <t>2G112</t>
  </si>
  <si>
    <t>2G114</t>
  </si>
  <si>
    <t>2G1</t>
  </si>
  <si>
    <t>2G34</t>
  </si>
  <si>
    <t>2G12</t>
  </si>
  <si>
    <t>2G38</t>
  </si>
  <si>
    <t>2G14</t>
  </si>
  <si>
    <t>HHHHHH</t>
  </si>
  <si>
    <t>Courbe ff 45° 41</t>
  </si>
  <si>
    <t>41G212</t>
  </si>
  <si>
    <t>41G2</t>
  </si>
  <si>
    <t>41G112</t>
  </si>
  <si>
    <t>41G114</t>
  </si>
  <si>
    <t>41G1</t>
  </si>
  <si>
    <t>41G34</t>
  </si>
  <si>
    <t>41G12</t>
  </si>
  <si>
    <t>41G38</t>
  </si>
  <si>
    <t>41G14</t>
  </si>
  <si>
    <t>Courbe mm 3</t>
  </si>
  <si>
    <t>3G4</t>
  </si>
  <si>
    <t>3G114</t>
  </si>
  <si>
    <t>Courbes mf 1</t>
  </si>
  <si>
    <t>1G3</t>
  </si>
  <si>
    <t>1G212</t>
  </si>
  <si>
    <t>1G2</t>
  </si>
  <si>
    <t>1G112</t>
  </si>
  <si>
    <t>1G114</t>
  </si>
  <si>
    <t>1G1</t>
  </si>
  <si>
    <t>1G34</t>
  </si>
  <si>
    <t>1G12</t>
  </si>
  <si>
    <t>1G38</t>
  </si>
  <si>
    <t>1G14</t>
  </si>
  <si>
    <t>1G18</t>
  </si>
  <si>
    <t>Courbes mf 45° 40</t>
  </si>
  <si>
    <t>40G3</t>
  </si>
  <si>
    <t>40G212</t>
  </si>
  <si>
    <t>40G2</t>
  </si>
  <si>
    <t>40G112</t>
  </si>
  <si>
    <t>40G114</t>
  </si>
  <si>
    <t>40G1</t>
  </si>
  <si>
    <t>40G34</t>
  </si>
  <si>
    <t>40G12</t>
  </si>
  <si>
    <t>40G38</t>
  </si>
  <si>
    <t>40G14</t>
  </si>
  <si>
    <t>Croix 180</t>
  </si>
  <si>
    <t>180G2</t>
  </si>
  <si>
    <t>180G112</t>
  </si>
  <si>
    <t>180G114</t>
  </si>
  <si>
    <t>180G1</t>
  </si>
  <si>
    <t>180G34</t>
  </si>
  <si>
    <t>180G12</t>
  </si>
  <si>
    <t>180G38</t>
  </si>
  <si>
    <t>180G14</t>
  </si>
  <si>
    <t>Distributeurs Y 220</t>
  </si>
  <si>
    <t>220N12</t>
  </si>
  <si>
    <t xml:space="preserve"> 1/2 NIKELE MF</t>
  </si>
  <si>
    <t>220G1</t>
  </si>
  <si>
    <t>220G34</t>
  </si>
  <si>
    <t>220G38</t>
  </si>
  <si>
    <t>Mamelons  280</t>
  </si>
  <si>
    <t xml:space="preserve"> 4"</t>
  </si>
  <si>
    <t>280G4</t>
  </si>
  <si>
    <t>280G3</t>
  </si>
  <si>
    <t>280G212</t>
  </si>
  <si>
    <t>280G2</t>
  </si>
  <si>
    <t>280G112</t>
  </si>
  <si>
    <t>280G114</t>
  </si>
  <si>
    <t>280G1</t>
  </si>
  <si>
    <t>280G34</t>
  </si>
  <si>
    <t>280G12</t>
  </si>
  <si>
    <t>280G38</t>
  </si>
  <si>
    <t>280G14</t>
  </si>
  <si>
    <t>280G18</t>
  </si>
  <si>
    <t>Mamelons réduits 245</t>
  </si>
  <si>
    <t>4"-3"</t>
  </si>
  <si>
    <t>245G43</t>
  </si>
  <si>
    <t>4"-2"1/2</t>
  </si>
  <si>
    <t>245G4212</t>
  </si>
  <si>
    <t>4"-2"</t>
  </si>
  <si>
    <t>245G4112</t>
  </si>
  <si>
    <t>4"-1"1/2</t>
  </si>
  <si>
    <t>245G42</t>
  </si>
  <si>
    <t>3"-2"1/2</t>
  </si>
  <si>
    <t>245G3212</t>
  </si>
  <si>
    <t>3"-2"</t>
  </si>
  <si>
    <t>245G32</t>
  </si>
  <si>
    <t>3"-1"1/2</t>
  </si>
  <si>
    <t>245G3112</t>
  </si>
  <si>
    <t>3"-1"1/4</t>
  </si>
  <si>
    <t>245G3114</t>
  </si>
  <si>
    <t>3"-1"</t>
  </si>
  <si>
    <t>245G31</t>
  </si>
  <si>
    <t>2"1/2-2"</t>
  </si>
  <si>
    <t>245G2122</t>
  </si>
  <si>
    <t>2"1/2-1"1/2</t>
  </si>
  <si>
    <t>245G212112</t>
  </si>
  <si>
    <t>2"1/2-1"1/4</t>
  </si>
  <si>
    <t>245G212114</t>
  </si>
  <si>
    <t>2"-1"1/2</t>
  </si>
  <si>
    <t>245G2112</t>
  </si>
  <si>
    <t>2"-1"1/4</t>
  </si>
  <si>
    <t>245G2114</t>
  </si>
  <si>
    <t>2"-1"</t>
  </si>
  <si>
    <t>245G21</t>
  </si>
  <si>
    <t>2"-3/4</t>
  </si>
  <si>
    <t>245G234</t>
  </si>
  <si>
    <t>2"-1/2</t>
  </si>
  <si>
    <t>245G212</t>
  </si>
  <si>
    <t>1"1/2-1"1/4</t>
  </si>
  <si>
    <t>245G112114</t>
  </si>
  <si>
    <t>1"1/2-1"</t>
  </si>
  <si>
    <t>245G1121</t>
  </si>
  <si>
    <t>1"1/2-3/4</t>
  </si>
  <si>
    <t>245G11234</t>
  </si>
  <si>
    <t>1"1/2-1/2</t>
  </si>
  <si>
    <t>245G11212</t>
  </si>
  <si>
    <t>245G1141</t>
  </si>
  <si>
    <t>1"1/4-3/4</t>
  </si>
  <si>
    <t>245G11434</t>
  </si>
  <si>
    <t>1"1/4-1/2</t>
  </si>
  <si>
    <t>245G11412</t>
  </si>
  <si>
    <t>245G134</t>
  </si>
  <si>
    <t>1"-1/2</t>
  </si>
  <si>
    <t>245G112</t>
  </si>
  <si>
    <t>1"-3/8</t>
  </si>
  <si>
    <t>245G138</t>
  </si>
  <si>
    <t>245G3412</t>
  </si>
  <si>
    <t>3/4-3/8</t>
  </si>
  <si>
    <t>245G3438</t>
  </si>
  <si>
    <t>3/4-1/4</t>
  </si>
  <si>
    <t>245G3414</t>
  </si>
  <si>
    <t>245G1238</t>
  </si>
  <si>
    <t xml:space="preserve"> 1/2 1/4</t>
  </si>
  <si>
    <t>245G1214</t>
  </si>
  <si>
    <t xml:space="preserve"> 1/2 1/8</t>
  </si>
  <si>
    <t>245G1218</t>
  </si>
  <si>
    <t>3/8 1/4</t>
  </si>
  <si>
    <t>245G3814</t>
  </si>
  <si>
    <t>3/8 1/8</t>
  </si>
  <si>
    <t>245G3818</t>
  </si>
  <si>
    <t>Manchons  FF 270</t>
  </si>
  <si>
    <t>270G3</t>
  </si>
  <si>
    <t>270G212</t>
  </si>
  <si>
    <t>270G2</t>
  </si>
  <si>
    <t>270G112</t>
  </si>
  <si>
    <t>270G114</t>
  </si>
  <si>
    <t>270G1</t>
  </si>
  <si>
    <t>270G34</t>
  </si>
  <si>
    <t>270G12</t>
  </si>
  <si>
    <t>270G38</t>
  </si>
  <si>
    <t>270G14</t>
  </si>
  <si>
    <t>270G18</t>
  </si>
  <si>
    <t>Manchons réduits ff 240</t>
  </si>
  <si>
    <t>240G4212</t>
  </si>
  <si>
    <t>240G43</t>
  </si>
  <si>
    <t>240G42</t>
  </si>
  <si>
    <t>240G3212</t>
  </si>
  <si>
    <t>240G32</t>
  </si>
  <si>
    <t>240G2122</t>
  </si>
  <si>
    <t>240G212112</t>
  </si>
  <si>
    <t>240G212114</t>
  </si>
  <si>
    <t>240G2112</t>
  </si>
  <si>
    <t>240G2114</t>
  </si>
  <si>
    <t>240G21</t>
  </si>
  <si>
    <t>240G234</t>
  </si>
  <si>
    <t>240G212</t>
  </si>
  <si>
    <t>240G112114</t>
  </si>
  <si>
    <t>240G1121</t>
  </si>
  <si>
    <t>240G11234</t>
  </si>
  <si>
    <t>240G11212</t>
  </si>
  <si>
    <t>240G1141</t>
  </si>
  <si>
    <t>240G11434</t>
  </si>
  <si>
    <t>240G11412</t>
  </si>
  <si>
    <t>1"1/4-3/8</t>
  </si>
  <si>
    <t>240G11438</t>
  </si>
  <si>
    <t>240G134</t>
  </si>
  <si>
    <t>240G112</t>
  </si>
  <si>
    <t>240G138</t>
  </si>
  <si>
    <t>240G3412</t>
  </si>
  <si>
    <t>240G3438</t>
  </si>
  <si>
    <t>240G3414</t>
  </si>
  <si>
    <t>240G1238</t>
  </si>
  <si>
    <t>240G1214</t>
  </si>
  <si>
    <t>240G3814</t>
  </si>
  <si>
    <t>240G3818</t>
  </si>
  <si>
    <t>1/4 1/8</t>
  </si>
  <si>
    <t>240G1418</t>
  </si>
  <si>
    <t>Manchons réduits FM 246 (Tulippe)</t>
  </si>
  <si>
    <t>246G43</t>
  </si>
  <si>
    <t>246G4212</t>
  </si>
  <si>
    <t>246G4112</t>
  </si>
  <si>
    <t>246G42</t>
  </si>
  <si>
    <t>246G3212</t>
  </si>
  <si>
    <t>246G32</t>
  </si>
  <si>
    <t>246G3112</t>
  </si>
  <si>
    <t>246G3114</t>
  </si>
  <si>
    <t>246G31</t>
  </si>
  <si>
    <t>246G2122</t>
  </si>
  <si>
    <t>246G212112</t>
  </si>
  <si>
    <t>246G212114</t>
  </si>
  <si>
    <t>246G2112</t>
  </si>
  <si>
    <t>246G2114</t>
  </si>
  <si>
    <t>246G21</t>
  </si>
  <si>
    <t>246G234</t>
  </si>
  <si>
    <t>246G212</t>
  </si>
  <si>
    <t>246G112114</t>
  </si>
  <si>
    <t>246G1121</t>
  </si>
  <si>
    <t>246G11234</t>
  </si>
  <si>
    <t>246G11212</t>
  </si>
  <si>
    <t>246G1141</t>
  </si>
  <si>
    <t>246G11434</t>
  </si>
  <si>
    <t>246G11412</t>
  </si>
  <si>
    <t>246G134</t>
  </si>
  <si>
    <t>246G112</t>
  </si>
  <si>
    <t>246G138</t>
  </si>
  <si>
    <t>246G3412</t>
  </si>
  <si>
    <t>246G3438</t>
  </si>
  <si>
    <t>246G3414</t>
  </si>
  <si>
    <t>246G1238</t>
  </si>
  <si>
    <t>246G1214</t>
  </si>
  <si>
    <t>246G1218</t>
  </si>
  <si>
    <t>246G3814</t>
  </si>
  <si>
    <t>246G3818</t>
  </si>
  <si>
    <t xml:space="preserve"> 1/4 1/8</t>
  </si>
  <si>
    <t>246G1418</t>
  </si>
  <si>
    <t>Réductions  MF 241</t>
  </si>
  <si>
    <t>4" 3"</t>
  </si>
  <si>
    <t>241G43</t>
  </si>
  <si>
    <t>4" 2"1/2</t>
  </si>
  <si>
    <t>241G4212</t>
  </si>
  <si>
    <t>4" 2"</t>
  </si>
  <si>
    <t>241G42</t>
  </si>
  <si>
    <t>241G3212</t>
  </si>
  <si>
    <t>3" 2"</t>
  </si>
  <si>
    <t>241G32</t>
  </si>
  <si>
    <t>2"1/2 2"</t>
  </si>
  <si>
    <t>241G2122</t>
  </si>
  <si>
    <t>2"1/2 1"1/2</t>
  </si>
  <si>
    <t>241G212112</t>
  </si>
  <si>
    <t>2" 1"1/2</t>
  </si>
  <si>
    <t>241G2112</t>
  </si>
  <si>
    <t>2" 1"1/4</t>
  </si>
  <si>
    <t>241G2114</t>
  </si>
  <si>
    <t>2" 1"</t>
  </si>
  <si>
    <t>241G21</t>
  </si>
  <si>
    <t>2" 3/4</t>
  </si>
  <si>
    <t>241G234</t>
  </si>
  <si>
    <t>2" 1/2</t>
  </si>
  <si>
    <t>241G212</t>
  </si>
  <si>
    <t>1"1/2 1"1/4</t>
  </si>
  <si>
    <t>241G112114</t>
  </si>
  <si>
    <t>1"1/2 1"</t>
  </si>
  <si>
    <t>241G1121</t>
  </si>
  <si>
    <t>1"1/2 3/4</t>
  </si>
  <si>
    <t>241G11234</t>
  </si>
  <si>
    <t>1"1/2 1/2</t>
  </si>
  <si>
    <t>241G11212</t>
  </si>
  <si>
    <t>1"1/4 1"</t>
  </si>
  <si>
    <t>241G1141</t>
  </si>
  <si>
    <t>1"1/4 3/4</t>
  </si>
  <si>
    <t>241G11434</t>
  </si>
  <si>
    <t>1"1/4 1/2</t>
  </si>
  <si>
    <t>241G11412</t>
  </si>
  <si>
    <t>1" 3/4</t>
  </si>
  <si>
    <t>241G134</t>
  </si>
  <si>
    <t>1" 1/2</t>
  </si>
  <si>
    <t>241G112</t>
  </si>
  <si>
    <t>1" 3/8</t>
  </si>
  <si>
    <t>241G138</t>
  </si>
  <si>
    <t xml:space="preserve"> 3/4 1/2</t>
  </si>
  <si>
    <t>241G3412</t>
  </si>
  <si>
    <t xml:space="preserve"> 3/4 3/8</t>
  </si>
  <si>
    <t>241G3438</t>
  </si>
  <si>
    <t xml:space="preserve"> 3/4 1/4</t>
  </si>
  <si>
    <t>241G3414</t>
  </si>
  <si>
    <t xml:space="preserve"> 1/2 3/8</t>
  </si>
  <si>
    <t>241G1238</t>
  </si>
  <si>
    <t>241G1214</t>
  </si>
  <si>
    <t>241G1218</t>
  </si>
  <si>
    <t>241G3814</t>
  </si>
  <si>
    <t>241G3818</t>
  </si>
  <si>
    <t>241G1418</t>
  </si>
  <si>
    <t>Té 130</t>
  </si>
  <si>
    <t>130G3</t>
  </si>
  <si>
    <t>130G212</t>
  </si>
  <si>
    <t>130G2</t>
  </si>
  <si>
    <t>130G112</t>
  </si>
  <si>
    <t>130G114</t>
  </si>
  <si>
    <t>130G1</t>
  </si>
  <si>
    <t>130G34</t>
  </si>
  <si>
    <t>130G12</t>
  </si>
  <si>
    <t>130G38</t>
  </si>
  <si>
    <t>130G14</t>
  </si>
  <si>
    <t>Té 131</t>
  </si>
  <si>
    <t>131G3</t>
  </si>
  <si>
    <t>131G212</t>
  </si>
  <si>
    <t>131G2</t>
  </si>
  <si>
    <t>131G112</t>
  </si>
  <si>
    <t>131G114</t>
  </si>
  <si>
    <t>131G1</t>
  </si>
  <si>
    <t>131G34</t>
  </si>
  <si>
    <t>131G12</t>
  </si>
  <si>
    <t>131G38</t>
  </si>
  <si>
    <t>131G14</t>
  </si>
  <si>
    <t>Té 132</t>
  </si>
  <si>
    <t>132G3</t>
  </si>
  <si>
    <t>132G212</t>
  </si>
  <si>
    <t>132G2</t>
  </si>
  <si>
    <t>132G112</t>
  </si>
  <si>
    <t>132G114</t>
  </si>
  <si>
    <t>132G1</t>
  </si>
  <si>
    <t>132G34</t>
  </si>
  <si>
    <t>132G12</t>
  </si>
  <si>
    <t>Té réduit 130 RG</t>
  </si>
  <si>
    <t>130RG434</t>
  </si>
  <si>
    <t>130RG42124</t>
  </si>
  <si>
    <t>130RG424</t>
  </si>
  <si>
    <t>130RG41124</t>
  </si>
  <si>
    <t>130RG32123</t>
  </si>
  <si>
    <t>130RG323</t>
  </si>
  <si>
    <t>130RG31123</t>
  </si>
  <si>
    <t>130RG31143</t>
  </si>
  <si>
    <t>130RG313</t>
  </si>
  <si>
    <t>130RG2122212</t>
  </si>
  <si>
    <t>130RG212112212</t>
  </si>
  <si>
    <t>130RG212114212</t>
  </si>
  <si>
    <t>130RG21122</t>
  </si>
  <si>
    <t>130RG21142</t>
  </si>
  <si>
    <t>130RG212</t>
  </si>
  <si>
    <t>130RG2342</t>
  </si>
  <si>
    <t>130RG2122</t>
  </si>
  <si>
    <t>130RG112114112</t>
  </si>
  <si>
    <t>130RG1121112</t>
  </si>
  <si>
    <t>130RG11234112</t>
  </si>
  <si>
    <t>130RG11212112</t>
  </si>
  <si>
    <t>130RG1141114</t>
  </si>
  <si>
    <t>130RG11434114</t>
  </si>
  <si>
    <t>130RG11412114</t>
  </si>
  <si>
    <t>130RG1341</t>
  </si>
  <si>
    <t>130RG1121</t>
  </si>
  <si>
    <t>130RG138</t>
  </si>
  <si>
    <t>130RG341234</t>
  </si>
  <si>
    <t>130RG343834</t>
  </si>
  <si>
    <t>130RG123812</t>
  </si>
  <si>
    <t>Tube galva</t>
  </si>
  <si>
    <t>T3GM4</t>
  </si>
  <si>
    <t>T3GM3</t>
  </si>
  <si>
    <t>T3GM212</t>
  </si>
  <si>
    <t>T3GM2</t>
  </si>
  <si>
    <t>T3GM112</t>
  </si>
  <si>
    <t>T3GM114</t>
  </si>
  <si>
    <t>T3GM1</t>
  </si>
  <si>
    <t>T3GM34</t>
  </si>
  <si>
    <t>T3GM12</t>
  </si>
  <si>
    <t>T3GM38</t>
  </si>
  <si>
    <t>Union MM 344</t>
  </si>
  <si>
    <t>1/4"</t>
  </si>
  <si>
    <t>344G14</t>
  </si>
  <si>
    <t>344G4</t>
  </si>
  <si>
    <t>344G3</t>
  </si>
  <si>
    <t>344G212</t>
  </si>
  <si>
    <t>344G2</t>
  </si>
  <si>
    <t>344G112</t>
  </si>
  <si>
    <t>344G114</t>
  </si>
  <si>
    <t>344G1</t>
  </si>
  <si>
    <t>344G34</t>
  </si>
  <si>
    <t>344G12</t>
  </si>
  <si>
    <t>344G38</t>
  </si>
  <si>
    <t>Unions ff 340</t>
  </si>
  <si>
    <t>340G3</t>
  </si>
  <si>
    <t>340G212</t>
  </si>
  <si>
    <t>340G2</t>
  </si>
  <si>
    <t>340G112</t>
  </si>
  <si>
    <t>340G114</t>
  </si>
  <si>
    <t>340G1</t>
  </si>
  <si>
    <t>340G34</t>
  </si>
  <si>
    <t>340G12</t>
  </si>
  <si>
    <t>340G38</t>
  </si>
  <si>
    <t>340G14</t>
  </si>
  <si>
    <t>Unions ff coudés 96</t>
  </si>
  <si>
    <t>96G3</t>
  </si>
  <si>
    <t>96G212</t>
  </si>
  <si>
    <t>96G2</t>
  </si>
  <si>
    <t>96G112</t>
  </si>
  <si>
    <t>96G114</t>
  </si>
  <si>
    <t>96G1</t>
  </si>
  <si>
    <t>96G34</t>
  </si>
  <si>
    <t>96G12</t>
  </si>
  <si>
    <t>Unions mf 341</t>
  </si>
  <si>
    <t>341G4</t>
  </si>
  <si>
    <t>341G3</t>
  </si>
  <si>
    <t>341G212</t>
  </si>
  <si>
    <t>341G2</t>
  </si>
  <si>
    <t>341G112</t>
  </si>
  <si>
    <t>341G114</t>
  </si>
  <si>
    <t>341G1</t>
  </si>
  <si>
    <t>341G34</t>
  </si>
  <si>
    <t>341G12</t>
  </si>
  <si>
    <t>341G38</t>
  </si>
  <si>
    <t>341G14</t>
  </si>
  <si>
    <t>Unions mf coudés 98</t>
  </si>
  <si>
    <t>98G3</t>
  </si>
  <si>
    <t>98G212</t>
  </si>
  <si>
    <t>98G2</t>
  </si>
  <si>
    <t>98G112</t>
  </si>
  <si>
    <t>98G114</t>
  </si>
  <si>
    <t>98G1</t>
  </si>
  <si>
    <t>98G34</t>
  </si>
  <si>
    <t>98G12</t>
  </si>
  <si>
    <t>Inox Serti Coréen</t>
  </si>
  <si>
    <t>Bouchon</t>
  </si>
  <si>
    <t>F50160</t>
  </si>
  <si>
    <t>F50220</t>
  </si>
  <si>
    <t>F50280</t>
  </si>
  <si>
    <t>F50340</t>
  </si>
  <si>
    <t>F50420</t>
  </si>
  <si>
    <t>F50480</t>
  </si>
  <si>
    <t>F50600</t>
  </si>
  <si>
    <t>F50800</t>
  </si>
  <si>
    <t>Chicane 45°</t>
  </si>
  <si>
    <t>F25160</t>
  </si>
  <si>
    <t>F25220</t>
  </si>
  <si>
    <t>F25280</t>
  </si>
  <si>
    <t>Courbe 45° FF</t>
  </si>
  <si>
    <t>F45160</t>
  </si>
  <si>
    <t>F45220</t>
  </si>
  <si>
    <t>F45228</t>
  </si>
  <si>
    <t>F45340</t>
  </si>
  <si>
    <t>F45420</t>
  </si>
  <si>
    <t>F45480</t>
  </si>
  <si>
    <t>F45600</t>
  </si>
  <si>
    <t>F45800</t>
  </si>
  <si>
    <t>Courbe 90° FF</t>
  </si>
  <si>
    <t>F90160</t>
  </si>
  <si>
    <t>F90220</t>
  </si>
  <si>
    <t>F90280</t>
  </si>
  <si>
    <t>F90340</t>
  </si>
  <si>
    <t>F90420</t>
  </si>
  <si>
    <t>F90480</t>
  </si>
  <si>
    <t>F90600</t>
  </si>
  <si>
    <t>F90800</t>
  </si>
  <si>
    <t>Courbe 90° MF</t>
  </si>
  <si>
    <t>F90160S</t>
  </si>
  <si>
    <t>F90220S</t>
  </si>
  <si>
    <t>F90280S</t>
  </si>
  <si>
    <t>F90340S</t>
  </si>
  <si>
    <t>F90420S</t>
  </si>
  <si>
    <t>F90480S</t>
  </si>
  <si>
    <t>F90600S</t>
  </si>
  <si>
    <t>Courbe mixte FF</t>
  </si>
  <si>
    <t>F40160</t>
  </si>
  <si>
    <t>F4016S</t>
  </si>
  <si>
    <t>F40221</t>
  </si>
  <si>
    <t>F4022S</t>
  </si>
  <si>
    <t>28 1"</t>
  </si>
  <si>
    <t>F40280</t>
  </si>
  <si>
    <t>F41160</t>
  </si>
  <si>
    <t>F41220</t>
  </si>
  <si>
    <t>F41280</t>
  </si>
  <si>
    <t>34 1"1/4</t>
  </si>
  <si>
    <t>F41340</t>
  </si>
  <si>
    <t>42 1"1/2</t>
  </si>
  <si>
    <t>F41420</t>
  </si>
  <si>
    <t>48  2"</t>
  </si>
  <si>
    <t>F41480</t>
  </si>
  <si>
    <t>60 2"1/2</t>
  </si>
  <si>
    <t>F41600</t>
  </si>
  <si>
    <t>60 - 2"</t>
  </si>
  <si>
    <t>F41601</t>
  </si>
  <si>
    <t>Courbe mixte FM</t>
  </si>
  <si>
    <t>F42160</t>
  </si>
  <si>
    <t>F42220</t>
  </si>
  <si>
    <t>F42280</t>
  </si>
  <si>
    <t>F42340</t>
  </si>
  <si>
    <t>F42420</t>
  </si>
  <si>
    <t>F42480</t>
  </si>
  <si>
    <t>F42600</t>
  </si>
  <si>
    <t xml:space="preserve">60-2" </t>
  </si>
  <si>
    <t>F42601</t>
  </si>
  <si>
    <t>Courbe45° MF</t>
  </si>
  <si>
    <t>F45160S</t>
  </si>
  <si>
    <t>F45220S</t>
  </si>
  <si>
    <t>F45280S</t>
  </si>
  <si>
    <t>F45340S</t>
  </si>
  <si>
    <t>F45420S</t>
  </si>
  <si>
    <t>F45480S</t>
  </si>
  <si>
    <t>F45600S</t>
  </si>
  <si>
    <t>Embout fileté M 3 pieces</t>
  </si>
  <si>
    <t>F33160</t>
  </si>
  <si>
    <t>F33220</t>
  </si>
  <si>
    <t>F33280</t>
  </si>
  <si>
    <t>F33340</t>
  </si>
  <si>
    <t>F33420</t>
  </si>
  <si>
    <t>F33480</t>
  </si>
  <si>
    <t>F33600</t>
  </si>
  <si>
    <t>Manchon court</t>
  </si>
  <si>
    <t>F20160</t>
  </si>
  <si>
    <t>F20220</t>
  </si>
  <si>
    <t>F20280</t>
  </si>
  <si>
    <t>F20340</t>
  </si>
  <si>
    <t>F20420</t>
  </si>
  <si>
    <t>F20480</t>
  </si>
  <si>
    <t>F20600</t>
  </si>
  <si>
    <t>F20800</t>
  </si>
  <si>
    <t xml:space="preserve">Manchon long </t>
  </si>
  <si>
    <t>BRIDE DN80</t>
  </si>
  <si>
    <t>EQF800</t>
  </si>
  <si>
    <t>F21160</t>
  </si>
  <si>
    <t>F21220</t>
  </si>
  <si>
    <t>F21280</t>
  </si>
  <si>
    <t>F21340</t>
  </si>
  <si>
    <t>F21420</t>
  </si>
  <si>
    <t>F21480</t>
  </si>
  <si>
    <t>F21600</t>
  </si>
  <si>
    <t>Manchon réduit FF</t>
  </si>
  <si>
    <t>22 16</t>
  </si>
  <si>
    <t>F25221</t>
  </si>
  <si>
    <t>28 16</t>
  </si>
  <si>
    <t>F25281</t>
  </si>
  <si>
    <t>28 22</t>
  </si>
  <si>
    <t>F25282</t>
  </si>
  <si>
    <t>34 16</t>
  </si>
  <si>
    <t>F25341</t>
  </si>
  <si>
    <t xml:space="preserve">34 22 </t>
  </si>
  <si>
    <t>F25342</t>
  </si>
  <si>
    <t>34 28</t>
  </si>
  <si>
    <t>F25348</t>
  </si>
  <si>
    <t>42 16</t>
  </si>
  <si>
    <t>F25421</t>
  </si>
  <si>
    <t>42 22</t>
  </si>
  <si>
    <t>F25422</t>
  </si>
  <si>
    <t xml:space="preserve">42 34 </t>
  </si>
  <si>
    <t>F25423</t>
  </si>
  <si>
    <t>42 28</t>
  </si>
  <si>
    <t>F25428</t>
  </si>
  <si>
    <t>48 16</t>
  </si>
  <si>
    <t>F25481</t>
  </si>
  <si>
    <t xml:space="preserve">48 22 </t>
  </si>
  <si>
    <t>F25482</t>
  </si>
  <si>
    <t>48 34</t>
  </si>
  <si>
    <t>F25483</t>
  </si>
  <si>
    <t>48 42</t>
  </si>
  <si>
    <t>F25484</t>
  </si>
  <si>
    <t>48 28</t>
  </si>
  <si>
    <t>F25488</t>
  </si>
  <si>
    <t>60 22</t>
  </si>
  <si>
    <t>F25622</t>
  </si>
  <si>
    <t>60 28</t>
  </si>
  <si>
    <t>F25628</t>
  </si>
  <si>
    <t>60 34</t>
  </si>
  <si>
    <t>F25634</t>
  </si>
  <si>
    <t>60 42</t>
  </si>
  <si>
    <t>F25642</t>
  </si>
  <si>
    <t>60 48</t>
  </si>
  <si>
    <t>F25648</t>
  </si>
  <si>
    <t>80 42</t>
  </si>
  <si>
    <t>F25842</t>
  </si>
  <si>
    <t>80 48</t>
  </si>
  <si>
    <t>F25848</t>
  </si>
  <si>
    <t>80 60</t>
  </si>
  <si>
    <t>F25860</t>
  </si>
  <si>
    <t>Manchons à sertir F mixtes F</t>
  </si>
  <si>
    <t>F22160</t>
  </si>
  <si>
    <t>F22221</t>
  </si>
  <si>
    <t>F22223</t>
  </si>
  <si>
    <t>F22280</t>
  </si>
  <si>
    <t>F22281</t>
  </si>
  <si>
    <t>F22283</t>
  </si>
  <si>
    <t>F23340</t>
  </si>
  <si>
    <t>F23420</t>
  </si>
  <si>
    <t>F23480</t>
  </si>
  <si>
    <t>F23600</t>
  </si>
  <si>
    <t>60 -2"</t>
  </si>
  <si>
    <t>F23601</t>
  </si>
  <si>
    <t xml:space="preserve">Manchons à sertir F mixtes M </t>
  </si>
  <si>
    <t>F24160</t>
  </si>
  <si>
    <t>F24220</t>
  </si>
  <si>
    <t>F24280</t>
  </si>
  <si>
    <t>F24340</t>
  </si>
  <si>
    <t>F24420</t>
  </si>
  <si>
    <t>F24480</t>
  </si>
  <si>
    <t>F24600</t>
  </si>
  <si>
    <t>60-2"</t>
  </si>
  <si>
    <t>F24601</t>
  </si>
  <si>
    <t xml:space="preserve">Té </t>
  </si>
  <si>
    <t>F15160</t>
  </si>
  <si>
    <t>F15220</t>
  </si>
  <si>
    <t>F15280</t>
  </si>
  <si>
    <t>F15340</t>
  </si>
  <si>
    <t>F15420</t>
  </si>
  <si>
    <t>F15480</t>
  </si>
  <si>
    <t>F15600</t>
  </si>
  <si>
    <t>F15800</t>
  </si>
  <si>
    <t>Té mixte F</t>
  </si>
  <si>
    <t>1/2 16</t>
  </si>
  <si>
    <t>F13160</t>
  </si>
  <si>
    <t>1/2 22</t>
  </si>
  <si>
    <t>F13221</t>
  </si>
  <si>
    <t>3/4 22</t>
  </si>
  <si>
    <t>F13223</t>
  </si>
  <si>
    <t>3/4 28</t>
  </si>
  <si>
    <t>F13283</t>
  </si>
  <si>
    <t>1/2 28</t>
  </si>
  <si>
    <t>F13281</t>
  </si>
  <si>
    <t>1" 28</t>
  </si>
  <si>
    <t>F13280</t>
  </si>
  <si>
    <t>1/2 34</t>
  </si>
  <si>
    <t>F13341</t>
  </si>
  <si>
    <t>3/4 34</t>
  </si>
  <si>
    <t>F13343</t>
  </si>
  <si>
    <t>1" 34</t>
  </si>
  <si>
    <t>F13340</t>
  </si>
  <si>
    <t>1/2 42</t>
  </si>
  <si>
    <t>F13421</t>
  </si>
  <si>
    <t>3/4 42</t>
  </si>
  <si>
    <t>F13423</t>
  </si>
  <si>
    <t>1" 42</t>
  </si>
  <si>
    <t>F13420</t>
  </si>
  <si>
    <t>1/2 48</t>
  </si>
  <si>
    <t>F13481</t>
  </si>
  <si>
    <t>3/4 48</t>
  </si>
  <si>
    <t>F13483</t>
  </si>
  <si>
    <t>1" 48</t>
  </si>
  <si>
    <t>F13480</t>
  </si>
  <si>
    <t>1/2 60</t>
  </si>
  <si>
    <t>F13601</t>
  </si>
  <si>
    <t>3/4 60</t>
  </si>
  <si>
    <t>F13603</t>
  </si>
  <si>
    <t>1" 60</t>
  </si>
  <si>
    <t>F13600</t>
  </si>
  <si>
    <t>1/2" 80</t>
  </si>
  <si>
    <t>F13801</t>
  </si>
  <si>
    <t>3/4 80</t>
  </si>
  <si>
    <t>F13803</t>
  </si>
  <si>
    <t>1" 80</t>
  </si>
  <si>
    <t>F13800</t>
  </si>
  <si>
    <t>Té réduit</t>
  </si>
  <si>
    <t>F14221</t>
  </si>
  <si>
    <t>F14281</t>
  </si>
  <si>
    <t>F14282</t>
  </si>
  <si>
    <t>F14341</t>
  </si>
  <si>
    <t>F14342</t>
  </si>
  <si>
    <t>F14348</t>
  </si>
  <si>
    <t>F14421</t>
  </si>
  <si>
    <t>F14422</t>
  </si>
  <si>
    <t>F14423</t>
  </si>
  <si>
    <t>F14428</t>
  </si>
  <si>
    <t>F14481</t>
  </si>
  <si>
    <t>F14482</t>
  </si>
  <si>
    <t>F14483</t>
  </si>
  <si>
    <t>F14484</t>
  </si>
  <si>
    <t>F14488</t>
  </si>
  <si>
    <t>F14601</t>
  </si>
  <si>
    <t>F14603</t>
  </si>
  <si>
    <t>F14622</t>
  </si>
  <si>
    <t>F14628</t>
  </si>
  <si>
    <t>F14642</t>
  </si>
  <si>
    <t>F14648</t>
  </si>
  <si>
    <t>F14842</t>
  </si>
  <si>
    <t>F14848</t>
  </si>
  <si>
    <t>F14860</t>
  </si>
  <si>
    <t>Tube 304 L</t>
  </si>
  <si>
    <t>16 (1/2")</t>
  </si>
  <si>
    <t>TXS16</t>
  </si>
  <si>
    <t>22 (3/4")</t>
  </si>
  <si>
    <t>TXS22</t>
  </si>
  <si>
    <t>28 (1")</t>
  </si>
  <si>
    <t>TXS28</t>
  </si>
  <si>
    <t>34 (1"1/4)</t>
  </si>
  <si>
    <t>TXS34</t>
  </si>
  <si>
    <t>42 (1"1/2)</t>
  </si>
  <si>
    <t>TXS42</t>
  </si>
  <si>
    <t>48 (2")</t>
  </si>
  <si>
    <t>TXS48</t>
  </si>
  <si>
    <t>60 ( 2"1/2)</t>
  </si>
  <si>
    <t>TXS60</t>
  </si>
  <si>
    <t>88,9 ( 3")</t>
  </si>
  <si>
    <t>TXS80</t>
  </si>
  <si>
    <t>Inox Serti Italien</t>
  </si>
  <si>
    <t>15 mm</t>
  </si>
  <si>
    <t>R50150</t>
  </si>
  <si>
    <t>18 mm</t>
  </si>
  <si>
    <t>R50180</t>
  </si>
  <si>
    <t>22 mm</t>
  </si>
  <si>
    <t>R50220</t>
  </si>
  <si>
    <t>R50280</t>
  </si>
  <si>
    <t>35 mm</t>
  </si>
  <si>
    <t>R50350</t>
  </si>
  <si>
    <t>42 mm</t>
  </si>
  <si>
    <t>R50420</t>
  </si>
  <si>
    <t>R50540</t>
  </si>
  <si>
    <t>R50076</t>
  </si>
  <si>
    <t>R50080</t>
  </si>
  <si>
    <t>R50108</t>
  </si>
  <si>
    <t>Bride fixe à sertir inox 316L PN16</t>
  </si>
  <si>
    <t>Bride fixe à sertir inox 316L diam 15 mm PN16 DN15</t>
  </si>
  <si>
    <t>REQF015-PN16</t>
  </si>
  <si>
    <t>DN15</t>
  </si>
  <si>
    <t>Bride fixe à sertir inox 316L diam 18 mm PN16 DN15</t>
  </si>
  <si>
    <t>REQF018-PN16</t>
  </si>
  <si>
    <t>Bride fixe à sertir inox 316L diam 22 mm PN16 DN20</t>
  </si>
  <si>
    <t>REQF022-PN16</t>
  </si>
  <si>
    <t>DN20</t>
  </si>
  <si>
    <t>Bride fixe à sertir inox 316L diam 28 mm PN16 DN25</t>
  </si>
  <si>
    <t>REQF028-PN16</t>
  </si>
  <si>
    <t>DN25</t>
  </si>
  <si>
    <t>Bride fixe à sertir inox 316L diam 35 mm PN16 DN32</t>
  </si>
  <si>
    <t>REQF035-PN16</t>
  </si>
  <si>
    <t>DN32</t>
  </si>
  <si>
    <t>Bride fixe à sertir inox 316L diam 42 mm PN16 DN40</t>
  </si>
  <si>
    <t>REQF042-PN16</t>
  </si>
  <si>
    <t>Bride fixe à sertir inox 316L diam 54 mm PN16 DN50</t>
  </si>
  <si>
    <t>REQF054-PN16</t>
  </si>
  <si>
    <t>DN50</t>
  </si>
  <si>
    <t>Bride fixe à sertir inox 316L diam 76,1 mm PN16 DN65</t>
  </si>
  <si>
    <t>REQF076-PN16</t>
  </si>
  <si>
    <t>Bride fixe à sertir inox 316L diam 88,9 mm PN16 DN80</t>
  </si>
  <si>
    <t>REQF088-PN16</t>
  </si>
  <si>
    <t>Bride fixe à sertir inox 316L diam 108 mm PN16 DN100</t>
  </si>
  <si>
    <t>REQF108-PN16</t>
  </si>
  <si>
    <t>bride tournante emboutie PN11</t>
  </si>
  <si>
    <t>54 DN50</t>
  </si>
  <si>
    <t>REQF054</t>
  </si>
  <si>
    <t>76,1 DN65</t>
  </si>
  <si>
    <t>REQF076</t>
  </si>
  <si>
    <t>88,9 DN80</t>
  </si>
  <si>
    <t>REQF080</t>
  </si>
  <si>
    <t>108 DN100</t>
  </si>
  <si>
    <t>REQF108</t>
  </si>
  <si>
    <t>88,9 fixe PN16</t>
  </si>
  <si>
    <t>REQF080FIXE</t>
  </si>
  <si>
    <t>Coude 30° FF inox serti 316L</t>
  </si>
  <si>
    <t>R30150</t>
  </si>
  <si>
    <t>R30180</t>
  </si>
  <si>
    <t>R30220</t>
  </si>
  <si>
    <t>28 mm</t>
  </si>
  <si>
    <t>R30280</t>
  </si>
  <si>
    <t>R30350</t>
  </si>
  <si>
    <t>R30420</t>
  </si>
  <si>
    <t>54 mm</t>
  </si>
  <si>
    <t>R30540</t>
  </si>
  <si>
    <t>76,1 mm</t>
  </si>
  <si>
    <t>R30760</t>
  </si>
  <si>
    <t>88,9 mm</t>
  </si>
  <si>
    <t>R30800</t>
  </si>
  <si>
    <t>108 mm</t>
  </si>
  <si>
    <t>R30108</t>
  </si>
  <si>
    <t>Coude 30° MF inox serti 316L</t>
  </si>
  <si>
    <t>R30150S</t>
  </si>
  <si>
    <t>R30220S</t>
  </si>
  <si>
    <t>R30280S</t>
  </si>
  <si>
    <t>R30350S</t>
  </si>
  <si>
    <t>R30420S</t>
  </si>
  <si>
    <t>R30540S</t>
  </si>
  <si>
    <t>R30760S</t>
  </si>
  <si>
    <t>R30800S</t>
  </si>
  <si>
    <t>R30108S</t>
  </si>
  <si>
    <t>Coude 60° FF inox serti 316L</t>
  </si>
  <si>
    <t>R60150</t>
  </si>
  <si>
    <t>R60180</t>
  </si>
  <si>
    <t>R60220</t>
  </si>
  <si>
    <t>R60280</t>
  </si>
  <si>
    <t>R60350</t>
  </si>
  <si>
    <t>R60420</t>
  </si>
  <si>
    <t>R60540</t>
  </si>
  <si>
    <t>R60760</t>
  </si>
  <si>
    <t>R60800</t>
  </si>
  <si>
    <t>R60108</t>
  </si>
  <si>
    <t>Coude 60° MF inox serti 316L</t>
  </si>
  <si>
    <t>R60150S</t>
  </si>
  <si>
    <t>R60180S</t>
  </si>
  <si>
    <t>R60220S</t>
  </si>
  <si>
    <t>R60280S</t>
  </si>
  <si>
    <t>R60350S</t>
  </si>
  <si>
    <t>R60420S</t>
  </si>
  <si>
    <t>R60540S</t>
  </si>
  <si>
    <t>R60760S</t>
  </si>
  <si>
    <t>R60800S</t>
  </si>
  <si>
    <t>R60108S</t>
  </si>
  <si>
    <t>R45150</t>
  </si>
  <si>
    <t>R45180</t>
  </si>
  <si>
    <t>R45220</t>
  </si>
  <si>
    <t>R45280</t>
  </si>
  <si>
    <t>R45350</t>
  </si>
  <si>
    <t>R45420</t>
  </si>
  <si>
    <t>R45540</t>
  </si>
  <si>
    <t>R45760</t>
  </si>
  <si>
    <t>R45800</t>
  </si>
  <si>
    <t>R45108</t>
  </si>
  <si>
    <t>R90150</t>
  </si>
  <si>
    <t xml:space="preserve">R90180 </t>
  </si>
  <si>
    <t>R90220</t>
  </si>
  <si>
    <t>R90280</t>
  </si>
  <si>
    <t>R90350</t>
  </si>
  <si>
    <t>R90420</t>
  </si>
  <si>
    <t>R90540</t>
  </si>
  <si>
    <t>R90760</t>
  </si>
  <si>
    <t>R90800</t>
  </si>
  <si>
    <t>R90108</t>
  </si>
  <si>
    <t>R90150S</t>
  </si>
  <si>
    <t>R90180S</t>
  </si>
  <si>
    <t>R90220S</t>
  </si>
  <si>
    <t>R90280S</t>
  </si>
  <si>
    <t>R90350S</t>
  </si>
  <si>
    <t>R90420S</t>
  </si>
  <si>
    <t>R90540S</t>
  </si>
  <si>
    <t>R90760S</t>
  </si>
  <si>
    <t>R90800S</t>
  </si>
  <si>
    <t>R90108S</t>
  </si>
  <si>
    <t>15 mm x 1/2''</t>
  </si>
  <si>
    <t>R421512</t>
  </si>
  <si>
    <t>18 mm x 1/2''</t>
  </si>
  <si>
    <t>R421812</t>
  </si>
  <si>
    <t>22 mm x 3/4''</t>
  </si>
  <si>
    <t>R422234</t>
  </si>
  <si>
    <t>28 mm x 1''</t>
  </si>
  <si>
    <t>R42281</t>
  </si>
  <si>
    <t>35 mm x 1''</t>
  </si>
  <si>
    <t>R42351</t>
  </si>
  <si>
    <t>R4235114</t>
  </si>
  <si>
    <t>42 mm x 1''1/4</t>
  </si>
  <si>
    <t>R4242114</t>
  </si>
  <si>
    <t>42 mm x 1''1/2</t>
  </si>
  <si>
    <t>R4242112</t>
  </si>
  <si>
    <t>54 mm x 2''</t>
  </si>
  <si>
    <t>R42542</t>
  </si>
  <si>
    <t>R45150S</t>
  </si>
  <si>
    <t>R45180S</t>
  </si>
  <si>
    <t>R45220S</t>
  </si>
  <si>
    <t>R45280S</t>
  </si>
  <si>
    <t>R45350S</t>
  </si>
  <si>
    <t>R45420S</t>
  </si>
  <si>
    <t>R45540S</t>
  </si>
  <si>
    <t>R45760S</t>
  </si>
  <si>
    <t>R45800S</t>
  </si>
  <si>
    <t>R45108S</t>
  </si>
  <si>
    <t>R331512</t>
  </si>
  <si>
    <t>15 mm x 3/4''</t>
  </si>
  <si>
    <t>R331534</t>
  </si>
  <si>
    <t>R331812</t>
  </si>
  <si>
    <t>18 mm x 3/4''</t>
  </si>
  <si>
    <t>R331834</t>
  </si>
  <si>
    <t>22 mm x 1/2''</t>
  </si>
  <si>
    <t>R332212</t>
  </si>
  <si>
    <t>R332234</t>
  </si>
  <si>
    <t>22 mm x 1''</t>
  </si>
  <si>
    <t>R33221</t>
  </si>
  <si>
    <t>R255428</t>
  </si>
  <si>
    <t>R3335114</t>
  </si>
  <si>
    <t>R3342112</t>
  </si>
  <si>
    <t>R33542</t>
  </si>
  <si>
    <t>R20150</t>
  </si>
  <si>
    <t>R20180</t>
  </si>
  <si>
    <t>R20220</t>
  </si>
  <si>
    <t>R20280</t>
  </si>
  <si>
    <t>R20350</t>
  </si>
  <si>
    <t>R20420</t>
  </si>
  <si>
    <t>R20540</t>
  </si>
  <si>
    <t>R20760</t>
  </si>
  <si>
    <t>R20800</t>
  </si>
  <si>
    <t>R20108</t>
  </si>
  <si>
    <t>R21150</t>
  </si>
  <si>
    <t>R21180</t>
  </si>
  <si>
    <t>R21220</t>
  </si>
  <si>
    <t>R21280</t>
  </si>
  <si>
    <t>R21350</t>
  </si>
  <si>
    <t>R21420</t>
  </si>
  <si>
    <t>R21540</t>
  </si>
  <si>
    <t>R21760</t>
  </si>
  <si>
    <t>R21800</t>
  </si>
  <si>
    <t>R21108</t>
  </si>
  <si>
    <t>Manchon réduit MF</t>
  </si>
  <si>
    <t>18 x 15 mm</t>
  </si>
  <si>
    <t>R251815</t>
  </si>
  <si>
    <t>R252215</t>
  </si>
  <si>
    <t>R252218</t>
  </si>
  <si>
    <t>28 x 15 mm</t>
  </si>
  <si>
    <t>R252815</t>
  </si>
  <si>
    <t>R252818</t>
  </si>
  <si>
    <t>28 x 22 mm</t>
  </si>
  <si>
    <t>R252822</t>
  </si>
  <si>
    <t>35 x 15 mm</t>
  </si>
  <si>
    <t>R253515</t>
  </si>
  <si>
    <t>35 x 18 mm</t>
  </si>
  <si>
    <t>R253518</t>
  </si>
  <si>
    <t>35 x 22 mm</t>
  </si>
  <si>
    <t>R253522</t>
  </si>
  <si>
    <t>35 x 28 mm</t>
  </si>
  <si>
    <t>R253528</t>
  </si>
  <si>
    <t>42 x 15 mm</t>
  </si>
  <si>
    <t>R254215</t>
  </si>
  <si>
    <t>42 x 18 mm</t>
  </si>
  <si>
    <t>R254218</t>
  </si>
  <si>
    <t>42 x 22 mm</t>
  </si>
  <si>
    <t>R254222</t>
  </si>
  <si>
    <t>42 x 28 mm</t>
  </si>
  <si>
    <t>R254228</t>
  </si>
  <si>
    <t>42 x 35 mm</t>
  </si>
  <si>
    <t>R254235</t>
  </si>
  <si>
    <t>54 x 15 mm</t>
  </si>
  <si>
    <t>R255415</t>
  </si>
  <si>
    <t>R255418</t>
  </si>
  <si>
    <t>54 x 22 mm</t>
  </si>
  <si>
    <t>R255422</t>
  </si>
  <si>
    <t>54 x 28 mm</t>
  </si>
  <si>
    <t>54 x 35 mm</t>
  </si>
  <si>
    <t>R255435</t>
  </si>
  <si>
    <t>54 x 42 mm</t>
  </si>
  <si>
    <t>R255442</t>
  </si>
  <si>
    <t>R257642</t>
  </si>
  <si>
    <t>76,1 x 54 mm</t>
  </si>
  <si>
    <t>R257654</t>
  </si>
  <si>
    <t>R258854</t>
  </si>
  <si>
    <t>R258876</t>
  </si>
  <si>
    <t>R2510854</t>
  </si>
  <si>
    <t>R2510876</t>
  </si>
  <si>
    <t>R2510888</t>
  </si>
  <si>
    <t>R221512</t>
  </si>
  <si>
    <t>R221534</t>
  </si>
  <si>
    <t>R221812</t>
  </si>
  <si>
    <t>R221834</t>
  </si>
  <si>
    <t>R222212</t>
  </si>
  <si>
    <t>R222234</t>
  </si>
  <si>
    <t>R22221</t>
  </si>
  <si>
    <t>R222812</t>
  </si>
  <si>
    <t>R222834</t>
  </si>
  <si>
    <t>R22281</t>
  </si>
  <si>
    <t>28 mm x 1''1/4</t>
  </si>
  <si>
    <t>R2228114</t>
  </si>
  <si>
    <t>R22351</t>
  </si>
  <si>
    <t>R2235114</t>
  </si>
  <si>
    <t>35 mm x 1''1/2</t>
  </si>
  <si>
    <t>R2235112</t>
  </si>
  <si>
    <t>R2242114</t>
  </si>
  <si>
    <t>R2242112</t>
  </si>
  <si>
    <t>R2254112</t>
  </si>
  <si>
    <t>R22542</t>
  </si>
  <si>
    <t>15 mm x 3/8''</t>
  </si>
  <si>
    <t>R241538</t>
  </si>
  <si>
    <t>R241512</t>
  </si>
  <si>
    <t>R241534</t>
  </si>
  <si>
    <t>R241812</t>
  </si>
  <si>
    <t>R241834</t>
  </si>
  <si>
    <t>R242212</t>
  </si>
  <si>
    <t>R242234</t>
  </si>
  <si>
    <t>R24221</t>
  </si>
  <si>
    <t>28 mm x 1/2''</t>
  </si>
  <si>
    <t>R242812</t>
  </si>
  <si>
    <t>R242834</t>
  </si>
  <si>
    <t>R24281</t>
  </si>
  <si>
    <t>R2428114</t>
  </si>
  <si>
    <t>R24351</t>
  </si>
  <si>
    <t>35 mm x 1''1/4</t>
  </si>
  <si>
    <t>R2435114</t>
  </si>
  <si>
    <t>R2435112</t>
  </si>
  <si>
    <t>R2442114</t>
  </si>
  <si>
    <t>R2442112</t>
  </si>
  <si>
    <t>R2454112</t>
  </si>
  <si>
    <t>R24542</t>
  </si>
  <si>
    <t>R2476212</t>
  </si>
  <si>
    <t>R24883</t>
  </si>
  <si>
    <t>R241084</t>
  </si>
  <si>
    <t>R15150</t>
  </si>
  <si>
    <t>Té Egal</t>
  </si>
  <si>
    <t>R15180</t>
  </si>
  <si>
    <t>R15220</t>
  </si>
  <si>
    <t>R15280</t>
  </si>
  <si>
    <t>R15350</t>
  </si>
  <si>
    <t>R15420</t>
  </si>
  <si>
    <t>R15540</t>
  </si>
  <si>
    <t>R15760</t>
  </si>
  <si>
    <t>R15800</t>
  </si>
  <si>
    <t>R15108</t>
  </si>
  <si>
    <t>R131512</t>
  </si>
  <si>
    <t>1/2"</t>
  </si>
  <si>
    <t>R131812</t>
  </si>
  <si>
    <t>R131834</t>
  </si>
  <si>
    <t>R132212</t>
  </si>
  <si>
    <t>R132234</t>
  </si>
  <si>
    <t>R132812</t>
  </si>
  <si>
    <t>R132834</t>
  </si>
  <si>
    <t>R13281</t>
  </si>
  <si>
    <t>R133512</t>
  </si>
  <si>
    <t>35 mm x 3/4''</t>
  </si>
  <si>
    <t>R133534</t>
  </si>
  <si>
    <t>R13351</t>
  </si>
  <si>
    <t>R134212</t>
  </si>
  <si>
    <t>42 mm x 3/4''</t>
  </si>
  <si>
    <t>R134234</t>
  </si>
  <si>
    <t>42 mm x 1''</t>
  </si>
  <si>
    <t>R13421</t>
  </si>
  <si>
    <t>R135412</t>
  </si>
  <si>
    <t>R135434</t>
  </si>
  <si>
    <t>R13542</t>
  </si>
  <si>
    <t>R137634</t>
  </si>
  <si>
    <t>R13761</t>
  </si>
  <si>
    <t>R13762</t>
  </si>
  <si>
    <t>R138834</t>
  </si>
  <si>
    <t>R13882</t>
  </si>
  <si>
    <t>R1310834</t>
  </si>
  <si>
    <t>R131082</t>
  </si>
  <si>
    <t>R141815</t>
  </si>
  <si>
    <t>Té Réduit</t>
  </si>
  <si>
    <t>22 x 15 mm</t>
  </si>
  <si>
    <t>R142215</t>
  </si>
  <si>
    <t>22 x 18 mm</t>
  </si>
  <si>
    <t>R142218</t>
  </si>
  <si>
    <t>R142815</t>
  </si>
  <si>
    <t>28 x 18 mm</t>
  </si>
  <si>
    <t>R142818</t>
  </si>
  <si>
    <t>R142822</t>
  </si>
  <si>
    <t>R143515</t>
  </si>
  <si>
    <t>R143518</t>
  </si>
  <si>
    <t>R143522</t>
  </si>
  <si>
    <t>R143528</t>
  </si>
  <si>
    <t>R144218</t>
  </si>
  <si>
    <t>R144222</t>
  </si>
  <si>
    <t>R144228</t>
  </si>
  <si>
    <t>R144235</t>
  </si>
  <si>
    <t>54 x 18 mm</t>
  </si>
  <si>
    <t>R145418</t>
  </si>
  <si>
    <t>R145422</t>
  </si>
  <si>
    <t>R145428</t>
  </si>
  <si>
    <t>R145435</t>
  </si>
  <si>
    <t>R145442</t>
  </si>
  <si>
    <t>76,1-22-76,1</t>
  </si>
  <si>
    <t>R147622</t>
  </si>
  <si>
    <t>76,1-28-76,1</t>
  </si>
  <si>
    <t>R147628</t>
  </si>
  <si>
    <t>76,1-35-76,1</t>
  </si>
  <si>
    <t>R147635</t>
  </si>
  <si>
    <t>76,1-42-76,1</t>
  </si>
  <si>
    <t>R147642</t>
  </si>
  <si>
    <t>76,1-54-76,1</t>
  </si>
  <si>
    <t>R147654</t>
  </si>
  <si>
    <t>88,9-22-88,9</t>
  </si>
  <si>
    <t>R148822</t>
  </si>
  <si>
    <t>88,9-28-88,9</t>
  </si>
  <si>
    <t>R148828</t>
  </si>
  <si>
    <t>Ø88,9 Ø35</t>
  </si>
  <si>
    <t>R148835</t>
  </si>
  <si>
    <t>Ø88,9 Ø42</t>
  </si>
  <si>
    <t>R148842</t>
  </si>
  <si>
    <t>Ø88,9 Ø54</t>
  </si>
  <si>
    <t>R148854</t>
  </si>
  <si>
    <t>88,9-76,1-88,9</t>
  </si>
  <si>
    <t>R148876</t>
  </si>
  <si>
    <t>108-22-108</t>
  </si>
  <si>
    <t>R1410822</t>
  </si>
  <si>
    <t>108-28-108</t>
  </si>
  <si>
    <t>R1410828</t>
  </si>
  <si>
    <t>108 x 35 mm</t>
  </si>
  <si>
    <t>R1410835</t>
  </si>
  <si>
    <t>108-42-108</t>
  </si>
  <si>
    <t>R1410842</t>
  </si>
  <si>
    <t>Ø108 54</t>
  </si>
  <si>
    <t>R1410854</t>
  </si>
  <si>
    <t>108-76-108</t>
  </si>
  <si>
    <t>R1410876</t>
  </si>
  <si>
    <t>108-88,9-108</t>
  </si>
  <si>
    <t>R1410888</t>
  </si>
  <si>
    <t>RXS15</t>
  </si>
  <si>
    <t>RXS18</t>
  </si>
  <si>
    <t>RXS22</t>
  </si>
  <si>
    <t>RXS28</t>
  </si>
  <si>
    <t>RXS42</t>
  </si>
  <si>
    <t>54 ( 2")</t>
  </si>
  <si>
    <t>RXS54</t>
  </si>
  <si>
    <t>RXS76</t>
  </si>
  <si>
    <t>88,9 (3")</t>
  </si>
  <si>
    <t>RXS88</t>
  </si>
  <si>
    <t>108 (4")</t>
  </si>
  <si>
    <t>RXS108</t>
  </si>
  <si>
    <t>Tube 316 L</t>
  </si>
  <si>
    <t>RXS15-316</t>
  </si>
  <si>
    <t>RXS18-316</t>
  </si>
  <si>
    <t>RXS22-316</t>
  </si>
  <si>
    <t>RXS28-316</t>
  </si>
  <si>
    <t>RXS35-316</t>
  </si>
  <si>
    <t>RXS42-316</t>
  </si>
  <si>
    <t>RXS54-316</t>
  </si>
  <si>
    <t>RXS076-316</t>
  </si>
  <si>
    <t>RXS080-316</t>
  </si>
  <si>
    <t>RXS108-316</t>
  </si>
  <si>
    <t>Inox Soudé</t>
  </si>
  <si>
    <t xml:space="preserve">Bouchon male  inox 316L </t>
  </si>
  <si>
    <t>290I3</t>
  </si>
  <si>
    <t>290I2</t>
  </si>
  <si>
    <t>290I112</t>
  </si>
  <si>
    <t>290I114</t>
  </si>
  <si>
    <t>290I1</t>
  </si>
  <si>
    <t>290I34</t>
  </si>
  <si>
    <t>3/4"</t>
  </si>
  <si>
    <t>290I12</t>
  </si>
  <si>
    <t>290I14</t>
  </si>
  <si>
    <t>Bouts filetés inox 316L</t>
  </si>
  <si>
    <t>BFI14</t>
  </si>
  <si>
    <t>3/8"</t>
  </si>
  <si>
    <t>BFI38</t>
  </si>
  <si>
    <t>BFI12</t>
  </si>
  <si>
    <t>BFI34</t>
  </si>
  <si>
    <t>BFI114</t>
  </si>
  <si>
    <t>BFI112</t>
  </si>
  <si>
    <t>BFI2</t>
  </si>
  <si>
    <t>BFI212</t>
  </si>
  <si>
    <t>BFI3</t>
  </si>
  <si>
    <t>Bride  plate tournante inox PN16</t>
  </si>
  <si>
    <t>2" DN50 ( 4 trous)</t>
  </si>
  <si>
    <t>BPTI50</t>
  </si>
  <si>
    <t>2"1/2 DN65 ( 4 trous)</t>
  </si>
  <si>
    <t>BPTI65</t>
  </si>
  <si>
    <t>3" DN80( 8 trous)</t>
  </si>
  <si>
    <t>BPTI80</t>
  </si>
  <si>
    <t>4" DN100 ( 8 trous)</t>
  </si>
  <si>
    <t>BPTI100</t>
  </si>
  <si>
    <t>5" DN125(8 trous)</t>
  </si>
  <si>
    <t>BPTI125</t>
  </si>
  <si>
    <t>5"</t>
  </si>
  <si>
    <t>6"  DN150 ( 8 trous)</t>
  </si>
  <si>
    <t>BPTI150</t>
  </si>
  <si>
    <t>6"</t>
  </si>
  <si>
    <t xml:space="preserve"> 8" DN200 ( 12 trous)</t>
  </si>
  <si>
    <t>BPTI200</t>
  </si>
  <si>
    <t>8"</t>
  </si>
  <si>
    <t>Brides COLLERETTE INOX  à souder</t>
  </si>
  <si>
    <t>1"  DN25</t>
  </si>
  <si>
    <t>BCSI25</t>
  </si>
  <si>
    <t>1"1/4 DN32</t>
  </si>
  <si>
    <t>BCSI32</t>
  </si>
  <si>
    <t>1"1/2 DN40</t>
  </si>
  <si>
    <t>BCSI40</t>
  </si>
  <si>
    <t>2" DN50</t>
  </si>
  <si>
    <t>BCSI50</t>
  </si>
  <si>
    <t>2"1/2 DN65</t>
  </si>
  <si>
    <t>BCSI65</t>
  </si>
  <si>
    <t>3" DN80</t>
  </si>
  <si>
    <t>BCSI80</t>
  </si>
  <si>
    <t>4" DN100</t>
  </si>
  <si>
    <t>BCSI100</t>
  </si>
  <si>
    <t>5" DN125</t>
  </si>
  <si>
    <t>BCSI125</t>
  </si>
  <si>
    <t>6" DN150</t>
  </si>
  <si>
    <t>BCSI150</t>
  </si>
  <si>
    <t xml:space="preserve"> 8" DN200 ( 8 trous ou 12 trous)</t>
  </si>
  <si>
    <t>BCS200</t>
  </si>
  <si>
    <t>BPB25</t>
  </si>
  <si>
    <t>BPB32</t>
  </si>
  <si>
    <t>BPB40</t>
  </si>
  <si>
    <t>BPB50</t>
  </si>
  <si>
    <t>BPB65</t>
  </si>
  <si>
    <t>BPB80</t>
  </si>
  <si>
    <t>BPB100</t>
  </si>
  <si>
    <t>BPB125</t>
  </si>
  <si>
    <t>6"  DN150</t>
  </si>
  <si>
    <t>BPB150</t>
  </si>
  <si>
    <t xml:space="preserve"> 8" DN200 ( 8 trous)</t>
  </si>
  <si>
    <t>BPB200</t>
  </si>
  <si>
    <t>CLAPET2-316L</t>
  </si>
  <si>
    <t>Collets 304L</t>
  </si>
  <si>
    <t xml:space="preserve">1" </t>
  </si>
  <si>
    <t xml:space="preserve">COLI3041 </t>
  </si>
  <si>
    <t>COLI304114</t>
  </si>
  <si>
    <t>COLI40</t>
  </si>
  <si>
    <t>COLI 50</t>
  </si>
  <si>
    <t>COLI65</t>
  </si>
  <si>
    <t>COLI80</t>
  </si>
  <si>
    <t>COLI100</t>
  </si>
  <si>
    <t>COLI125</t>
  </si>
  <si>
    <t>COLI150</t>
  </si>
  <si>
    <t>COLI200</t>
  </si>
  <si>
    <t>Coude Inox fileté 90 ff 316L</t>
  </si>
  <si>
    <t>90I3</t>
  </si>
  <si>
    <t>90I212</t>
  </si>
  <si>
    <t>90I2</t>
  </si>
  <si>
    <t>90I112</t>
  </si>
  <si>
    <t>90I114</t>
  </si>
  <si>
    <t>90I1</t>
  </si>
  <si>
    <t>90I34</t>
  </si>
  <si>
    <t>90I12</t>
  </si>
  <si>
    <t>90I38</t>
  </si>
  <si>
    <t>90I14</t>
  </si>
  <si>
    <t>Coudes  inox 304L -3D</t>
  </si>
  <si>
    <t>1/2"  DN15</t>
  </si>
  <si>
    <t>CASI30412</t>
  </si>
  <si>
    <t>3/4"  DN20</t>
  </si>
  <si>
    <t>CASI30434</t>
  </si>
  <si>
    <t>CASI3041</t>
  </si>
  <si>
    <t>CASI304114</t>
  </si>
  <si>
    <t>CAS3DI40</t>
  </si>
  <si>
    <t>CAS3DI50</t>
  </si>
  <si>
    <t>CAS3DI65</t>
  </si>
  <si>
    <t>CAS3DI80</t>
  </si>
  <si>
    <t>CAS3DI100</t>
  </si>
  <si>
    <t>CAS3DI125</t>
  </si>
  <si>
    <t>CAS3DI150</t>
  </si>
  <si>
    <t>CAS3DI200</t>
  </si>
  <si>
    <t>Coudes Inox fileté 92 mf 316L</t>
  </si>
  <si>
    <t>92I3</t>
  </si>
  <si>
    <t>92I212</t>
  </si>
  <si>
    <t>92I2</t>
  </si>
  <si>
    <t>92I112</t>
  </si>
  <si>
    <t>92I114</t>
  </si>
  <si>
    <t>92I1</t>
  </si>
  <si>
    <t>92I34</t>
  </si>
  <si>
    <t>92I12</t>
  </si>
  <si>
    <t>92I38</t>
  </si>
  <si>
    <t>92I14</t>
  </si>
  <si>
    <t>Fonds bombés 304L</t>
  </si>
  <si>
    <t>FASI304112</t>
  </si>
  <si>
    <t>FBI65</t>
  </si>
  <si>
    <t>FBI80</t>
  </si>
  <si>
    <t>FBI100</t>
  </si>
  <si>
    <t>FBI125</t>
  </si>
  <si>
    <t>FBI150</t>
  </si>
  <si>
    <t>FBI200</t>
  </si>
  <si>
    <t>280I4</t>
  </si>
  <si>
    <t>280I3</t>
  </si>
  <si>
    <t>280I212</t>
  </si>
  <si>
    <t>280I2</t>
  </si>
  <si>
    <t>280I112</t>
  </si>
  <si>
    <t>280I114</t>
  </si>
  <si>
    <t>280I1</t>
  </si>
  <si>
    <t>280I34</t>
  </si>
  <si>
    <t>280I12</t>
  </si>
  <si>
    <t>280I38</t>
  </si>
  <si>
    <t>280I14</t>
  </si>
  <si>
    <t>280I18</t>
  </si>
  <si>
    <t>1/8"</t>
  </si>
  <si>
    <t>Mamelons réduits inox 316L MM 245</t>
  </si>
  <si>
    <t>245I2114</t>
  </si>
  <si>
    <t>245I112114</t>
  </si>
  <si>
    <t>245I1121</t>
  </si>
  <si>
    <t>245I1141</t>
  </si>
  <si>
    <t>245I11434</t>
  </si>
  <si>
    <t>245I134</t>
  </si>
  <si>
    <t>245I112</t>
  </si>
  <si>
    <t>245I3412</t>
  </si>
  <si>
    <t>245I3438</t>
  </si>
  <si>
    <t>245I1238</t>
  </si>
  <si>
    <t>245I3814</t>
  </si>
  <si>
    <t>Manchons  Fileté inox  316L FF 270</t>
  </si>
  <si>
    <t>270I3</t>
  </si>
  <si>
    <t>270I212</t>
  </si>
  <si>
    <t>MFI.2</t>
  </si>
  <si>
    <t>Idem 270I2 ?</t>
  </si>
  <si>
    <t>270I316112</t>
  </si>
  <si>
    <t>270I316114</t>
  </si>
  <si>
    <t>Idem 270I114 ?</t>
  </si>
  <si>
    <t>270I3161</t>
  </si>
  <si>
    <t>Idem 270I26 / 270I1 ?</t>
  </si>
  <si>
    <t>MFI34</t>
  </si>
  <si>
    <t>Idem 270I34 ?</t>
  </si>
  <si>
    <t>270I31612</t>
  </si>
  <si>
    <t>Idem MFI12 ?</t>
  </si>
  <si>
    <t>270I31638</t>
  </si>
  <si>
    <t>270I31614</t>
  </si>
  <si>
    <t>Idem 270I14 ?</t>
  </si>
  <si>
    <t>270I31618</t>
  </si>
  <si>
    <t>Réduc concentrique Inox 304L</t>
  </si>
  <si>
    <t>DN200-DN150</t>
  </si>
  <si>
    <t>RCI200-150</t>
  </si>
  <si>
    <t>DN200-DN125</t>
  </si>
  <si>
    <t>RCI200-125</t>
  </si>
  <si>
    <t>DN200-DN100</t>
  </si>
  <si>
    <t>RCI200-100</t>
  </si>
  <si>
    <t>DN200-DN80</t>
  </si>
  <si>
    <t>RCI200-80</t>
  </si>
  <si>
    <t>DN150-DN125</t>
  </si>
  <si>
    <t>RCI150-125</t>
  </si>
  <si>
    <t>DN150-DN100</t>
  </si>
  <si>
    <t>RCI150-100</t>
  </si>
  <si>
    <t>DN150-DN80</t>
  </si>
  <si>
    <t>RCI150-80</t>
  </si>
  <si>
    <t>DN125-DN100</t>
  </si>
  <si>
    <t>RCI125-100</t>
  </si>
  <si>
    <t>DN125-DN80</t>
  </si>
  <si>
    <t>RCI125-80</t>
  </si>
  <si>
    <t>DN125-DN65</t>
  </si>
  <si>
    <t>RCI125-65</t>
  </si>
  <si>
    <t>DN100-DN80</t>
  </si>
  <si>
    <t>RCI100-80</t>
  </si>
  <si>
    <t>DN100-DN65</t>
  </si>
  <si>
    <t>RCI100-65</t>
  </si>
  <si>
    <t>DN100-DN50</t>
  </si>
  <si>
    <t>RCI100-50</t>
  </si>
  <si>
    <t>DN80-DN65</t>
  </si>
  <si>
    <t>RCI80-65</t>
  </si>
  <si>
    <t>DN80-DN50</t>
  </si>
  <si>
    <t>RCI80-50</t>
  </si>
  <si>
    <t>DN80-DN40</t>
  </si>
  <si>
    <t>RCI80-40</t>
  </si>
  <si>
    <t>DN65-DN50</t>
  </si>
  <si>
    <t>RCI65-50</t>
  </si>
  <si>
    <t>DN65-DN40</t>
  </si>
  <si>
    <t>RCI65-40</t>
  </si>
  <si>
    <t>DN65-DN32</t>
  </si>
  <si>
    <t>RCI65-32</t>
  </si>
  <si>
    <t>DN65-DN25</t>
  </si>
  <si>
    <t>RCI65-25</t>
  </si>
  <si>
    <t>DN50-DN40</t>
  </si>
  <si>
    <t>DN50-DN32</t>
  </si>
  <si>
    <t>RASI3042114</t>
  </si>
  <si>
    <t>DN50-DN25</t>
  </si>
  <si>
    <t>RCI50-25</t>
  </si>
  <si>
    <t>DN40-DN32</t>
  </si>
  <si>
    <t>RASI304112114</t>
  </si>
  <si>
    <t>DN40-DN25</t>
  </si>
  <si>
    <t>RASI3041121</t>
  </si>
  <si>
    <t>DN32-DN25</t>
  </si>
  <si>
    <t>RASI3041141</t>
  </si>
  <si>
    <t>DN32-DN20</t>
  </si>
  <si>
    <t>RASI30411434</t>
  </si>
  <si>
    <t>DN32-DN15</t>
  </si>
  <si>
    <t>RASI30411412</t>
  </si>
  <si>
    <t>DN25-DN20</t>
  </si>
  <si>
    <t>RASI304134</t>
  </si>
  <si>
    <t xml:space="preserve">Réductions   MF inox 316 L filété  241 </t>
  </si>
  <si>
    <t>241I2122</t>
  </si>
  <si>
    <t>241I212112</t>
  </si>
  <si>
    <t>241I2112</t>
  </si>
  <si>
    <t>241I2114</t>
  </si>
  <si>
    <t>241I21</t>
  </si>
  <si>
    <t>241I234</t>
  </si>
  <si>
    <t xml:space="preserve">241I212 </t>
  </si>
  <si>
    <t>241I112114</t>
  </si>
  <si>
    <t>241I1121</t>
  </si>
  <si>
    <t>241I11234</t>
  </si>
  <si>
    <t>241I11212</t>
  </si>
  <si>
    <t>241I1141</t>
  </si>
  <si>
    <t>241I11434</t>
  </si>
  <si>
    <t>241I11412</t>
  </si>
  <si>
    <t>241I134</t>
  </si>
  <si>
    <t>241I212</t>
  </si>
  <si>
    <t>241I138</t>
  </si>
  <si>
    <t>1" 1/4"</t>
  </si>
  <si>
    <t>241I114</t>
  </si>
  <si>
    <t>241I3412</t>
  </si>
  <si>
    <t>241I3438</t>
  </si>
  <si>
    <t>241I3414</t>
  </si>
  <si>
    <t>241I1238</t>
  </si>
  <si>
    <t>241I1214</t>
  </si>
  <si>
    <t>241I1218</t>
  </si>
  <si>
    <t>241I3814</t>
  </si>
  <si>
    <t>241I3818</t>
  </si>
  <si>
    <t>241I1418</t>
  </si>
  <si>
    <t>Té  FFF inox 316L</t>
  </si>
  <si>
    <t>130I3</t>
  </si>
  <si>
    <t>130I212</t>
  </si>
  <si>
    <t>130I2</t>
  </si>
  <si>
    <t>130I112</t>
  </si>
  <si>
    <t>130I114</t>
  </si>
  <si>
    <t>130I1</t>
  </si>
  <si>
    <t>130I34</t>
  </si>
  <si>
    <t>130I12</t>
  </si>
  <si>
    <t>130I38</t>
  </si>
  <si>
    <t>130I14</t>
  </si>
  <si>
    <t>Té égaux inox 304L</t>
  </si>
  <si>
    <t>TASI60</t>
  </si>
  <si>
    <t>TASI65</t>
  </si>
  <si>
    <t>TASI80</t>
  </si>
  <si>
    <t>TASI100</t>
  </si>
  <si>
    <t>TASI125</t>
  </si>
  <si>
    <t>TASI150</t>
  </si>
  <si>
    <t>TASI200</t>
  </si>
  <si>
    <t>Tube roulé soudé</t>
  </si>
  <si>
    <t>1"   26x34</t>
  </si>
  <si>
    <t>T3IL25</t>
  </si>
  <si>
    <t>1"1/4  33x42</t>
  </si>
  <si>
    <t>T3IL32</t>
  </si>
  <si>
    <t>1"1/2  40x49</t>
  </si>
  <si>
    <t>T3IL40</t>
  </si>
  <si>
    <t>2"  DN50(Ø60)</t>
  </si>
  <si>
    <t>T3IL50</t>
  </si>
  <si>
    <t>2"1/2  DN65 ( Ø76,1)</t>
  </si>
  <si>
    <t>T3IL65</t>
  </si>
  <si>
    <t>3"  DN80 (Ø88,9)</t>
  </si>
  <si>
    <t>T3IL80</t>
  </si>
  <si>
    <t>4"  DN100 (Ø114,3)</t>
  </si>
  <si>
    <t>T3IL100</t>
  </si>
  <si>
    <t>5" DN125 (Ø138)</t>
  </si>
  <si>
    <t>T3IL125</t>
  </si>
  <si>
    <t>6"  DN150 (Ø168,9)</t>
  </si>
  <si>
    <t>T3IL150</t>
  </si>
  <si>
    <t xml:space="preserve"> 8" DN200 (Ø219,1)</t>
  </si>
  <si>
    <t>T3IL200</t>
  </si>
  <si>
    <t>Unions ff  inox (joint plat) 316L</t>
  </si>
  <si>
    <t>340I212</t>
  </si>
  <si>
    <t xml:space="preserve">340I2 </t>
  </si>
  <si>
    <t>340I112</t>
  </si>
  <si>
    <t>340I114</t>
  </si>
  <si>
    <t>340I1</t>
  </si>
  <si>
    <t>340I34</t>
  </si>
  <si>
    <t>340I12</t>
  </si>
  <si>
    <t>340I38</t>
  </si>
  <si>
    <t>340I14</t>
  </si>
  <si>
    <t>Unions mf  inox (joint plat) 316L</t>
  </si>
  <si>
    <t>341I212</t>
  </si>
  <si>
    <t>341I2</t>
  </si>
  <si>
    <t>341I112</t>
  </si>
  <si>
    <t>341I114</t>
  </si>
  <si>
    <t>341I1</t>
  </si>
  <si>
    <t>341I34</t>
  </si>
  <si>
    <t>341I12</t>
  </si>
  <si>
    <t>341I38</t>
  </si>
  <si>
    <t>341I14</t>
  </si>
  <si>
    <t>Laiton - Bronze</t>
  </si>
  <si>
    <t>Bobines 530 LAITON</t>
  </si>
  <si>
    <t>3/4 " LG 1000</t>
  </si>
  <si>
    <t>TCL34</t>
  </si>
  <si>
    <t>1/2" LG 1000</t>
  </si>
  <si>
    <t>TCL12</t>
  </si>
  <si>
    <t xml:space="preserve">  ecrou laiton3/4"</t>
  </si>
  <si>
    <t>ECL34</t>
  </si>
  <si>
    <t xml:space="preserve">  ecrou laiton 1/2"</t>
  </si>
  <si>
    <t>ECL12</t>
  </si>
  <si>
    <t>Bouchons F 300 LAITON</t>
  </si>
  <si>
    <t>300L112</t>
  </si>
  <si>
    <t>300L114</t>
  </si>
  <si>
    <t>300L1</t>
  </si>
  <si>
    <t>Bouchons M 290 LAITON</t>
  </si>
  <si>
    <t>290L2</t>
  </si>
  <si>
    <t>290L1</t>
  </si>
  <si>
    <t>290L34</t>
  </si>
  <si>
    <t>290L12</t>
  </si>
  <si>
    <t>290L38</t>
  </si>
  <si>
    <t>290L14</t>
  </si>
  <si>
    <t>290L18</t>
  </si>
  <si>
    <t>Collecteur Laiton MF</t>
  </si>
  <si>
    <t>Collecteur laiton MF1" - 2 départs 1/2" male</t>
  </si>
  <si>
    <t>CL1-2X1/2</t>
  </si>
  <si>
    <t>Collecteur laiton MF1" - 3 départs 1/2" male</t>
  </si>
  <si>
    <t>CL1-3X1/2</t>
  </si>
  <si>
    <t>Collecteur laiton MF1" - 4 départs 1/2" male</t>
  </si>
  <si>
    <t>CL1-4X1/2</t>
  </si>
  <si>
    <t>Collecteur laiton MF1" - 5 départs 1/2" male</t>
  </si>
  <si>
    <t>CL1-5X1/2</t>
  </si>
  <si>
    <t>Coude ff 90 LAITON</t>
  </si>
  <si>
    <t>90L2</t>
  </si>
  <si>
    <t>90L112</t>
  </si>
  <si>
    <t>90L114</t>
  </si>
  <si>
    <t>90L1</t>
  </si>
  <si>
    <t>90L34</t>
  </si>
  <si>
    <t>90L12</t>
  </si>
  <si>
    <t>90L38</t>
  </si>
  <si>
    <t>90L14</t>
  </si>
  <si>
    <t>90L18</t>
  </si>
  <si>
    <t>Coudes mf 92 LAITON</t>
  </si>
  <si>
    <t>92L2</t>
  </si>
  <si>
    <t>92L112</t>
  </si>
  <si>
    <t>92L114</t>
  </si>
  <si>
    <t>92L1</t>
  </si>
  <si>
    <t>92L34</t>
  </si>
  <si>
    <t>92L12</t>
  </si>
  <si>
    <t>92L38</t>
  </si>
  <si>
    <t>92L14</t>
  </si>
  <si>
    <t>92L18</t>
  </si>
  <si>
    <t>Mamelons  280 LAITON</t>
  </si>
  <si>
    <t>280L2</t>
  </si>
  <si>
    <t>280L112</t>
  </si>
  <si>
    <t>280L114</t>
  </si>
  <si>
    <t>280L1</t>
  </si>
  <si>
    <t>280L34</t>
  </si>
  <si>
    <t>280L12</t>
  </si>
  <si>
    <t>280L38</t>
  </si>
  <si>
    <t>280L14</t>
  </si>
  <si>
    <t>280L18</t>
  </si>
  <si>
    <t>Mamelons réduits 245 LAITON</t>
  </si>
  <si>
    <t>245L2112</t>
  </si>
  <si>
    <t>245L2114</t>
  </si>
  <si>
    <t>245L21</t>
  </si>
  <si>
    <t>245L112114</t>
  </si>
  <si>
    <t>245L1121</t>
  </si>
  <si>
    <t>245L1141</t>
  </si>
  <si>
    <t>245L11434</t>
  </si>
  <si>
    <t>245L134</t>
  </si>
  <si>
    <t>245L112</t>
  </si>
  <si>
    <t>245L3412</t>
  </si>
  <si>
    <t>245L3438</t>
  </si>
  <si>
    <t>245L1238</t>
  </si>
  <si>
    <t>245L1214</t>
  </si>
  <si>
    <t>245L3814</t>
  </si>
  <si>
    <t>1/4-1/8</t>
  </si>
  <si>
    <t>245L1418</t>
  </si>
  <si>
    <t>Manchons réduits FF 240 Laiton</t>
  </si>
  <si>
    <t>240L134</t>
  </si>
  <si>
    <t>240L3412</t>
  </si>
  <si>
    <t>240L1238</t>
  </si>
  <si>
    <t>1/2-1/4</t>
  </si>
  <si>
    <t>240L1214</t>
  </si>
  <si>
    <t>Manchons réduits FM 246 LAITON</t>
  </si>
  <si>
    <t>246L2112</t>
  </si>
  <si>
    <t>246L2114</t>
  </si>
  <si>
    <t>246L112114</t>
  </si>
  <si>
    <t>246L1121</t>
  </si>
  <si>
    <t>246L1141</t>
  </si>
  <si>
    <t>246L11434</t>
  </si>
  <si>
    <t>246L134</t>
  </si>
  <si>
    <t>246L112</t>
  </si>
  <si>
    <t>246L3412</t>
  </si>
  <si>
    <t>246L3438</t>
  </si>
  <si>
    <t>246L1238</t>
  </si>
  <si>
    <t>246L1214</t>
  </si>
  <si>
    <t>246L3814</t>
  </si>
  <si>
    <t>Réductions  MF 241 LAITON</t>
  </si>
  <si>
    <t>241L2112</t>
  </si>
  <si>
    <t>241L2114</t>
  </si>
  <si>
    <t>241L21</t>
  </si>
  <si>
    <t>241L112114</t>
  </si>
  <si>
    <t>241L1121</t>
  </si>
  <si>
    <t>241L11234</t>
  </si>
  <si>
    <t>241L1141</t>
  </si>
  <si>
    <t>241L11434</t>
  </si>
  <si>
    <t>241L134</t>
  </si>
  <si>
    <t>241L112</t>
  </si>
  <si>
    <t>241L138</t>
  </si>
  <si>
    <t>241L3412</t>
  </si>
  <si>
    <t>241L3438</t>
  </si>
  <si>
    <t>241L3414</t>
  </si>
  <si>
    <t>241L1238</t>
  </si>
  <si>
    <t>241L1214</t>
  </si>
  <si>
    <t>241L1218</t>
  </si>
  <si>
    <t>241L3814</t>
  </si>
  <si>
    <t>241L3818</t>
  </si>
  <si>
    <t xml:space="preserve">Té 130 Laiton </t>
  </si>
  <si>
    <t>130L2</t>
  </si>
  <si>
    <t>130L112</t>
  </si>
  <si>
    <t>130L114</t>
  </si>
  <si>
    <t>130L1</t>
  </si>
  <si>
    <t>130L34</t>
  </si>
  <si>
    <t>130L12</t>
  </si>
  <si>
    <t>130L38</t>
  </si>
  <si>
    <t>Unions ff 340 bronze</t>
  </si>
  <si>
    <t>340B2</t>
  </si>
  <si>
    <t>340B112</t>
  </si>
  <si>
    <t>340B114</t>
  </si>
  <si>
    <t>340B1</t>
  </si>
  <si>
    <t>340B34</t>
  </si>
  <si>
    <t>340B12</t>
  </si>
  <si>
    <t>340B38</t>
  </si>
  <si>
    <t>Unions mf 341 Bronze</t>
  </si>
  <si>
    <t>341B2</t>
  </si>
  <si>
    <t>341B112</t>
  </si>
  <si>
    <t>341B114</t>
  </si>
  <si>
    <t>341B1</t>
  </si>
  <si>
    <t>341B34</t>
  </si>
  <si>
    <t>341B12</t>
  </si>
  <si>
    <t>341B38</t>
  </si>
  <si>
    <t>Unions mf 341 Laiton</t>
  </si>
  <si>
    <t>341L2</t>
  </si>
  <si>
    <t>341L112</t>
  </si>
  <si>
    <t>341L114</t>
  </si>
  <si>
    <t>341L1</t>
  </si>
  <si>
    <t>341L34</t>
  </si>
  <si>
    <t>Unions mf coudés 98 LAITON</t>
  </si>
  <si>
    <t>98L34</t>
  </si>
  <si>
    <t>Main d'Œuvre</t>
  </si>
  <si>
    <t>Kilomètres</t>
  </si>
  <si>
    <t>Raccord Acier à souder</t>
  </si>
  <si>
    <t>Bouts filetés</t>
  </si>
  <si>
    <t>530AN1</t>
  </si>
  <si>
    <t>530AN114</t>
  </si>
  <si>
    <t>530AN112</t>
  </si>
  <si>
    <t>530AN2</t>
  </si>
  <si>
    <t>530AN3</t>
  </si>
  <si>
    <t xml:space="preserve">Brides à collerette à souder </t>
  </si>
  <si>
    <t>2"- DN50- 60,3</t>
  </si>
  <si>
    <t>BCS50</t>
  </si>
  <si>
    <t>2"1/2-DN65-76,1</t>
  </si>
  <si>
    <t>BCS65</t>
  </si>
  <si>
    <t>3"-DN80-88,9</t>
  </si>
  <si>
    <t>BCS80</t>
  </si>
  <si>
    <t>4"-DN100-114,3</t>
  </si>
  <si>
    <t>BCS100</t>
  </si>
  <si>
    <t>5"-DN125-139,7</t>
  </si>
  <si>
    <t>BCS125</t>
  </si>
  <si>
    <t>6"-DN150-168,3</t>
  </si>
  <si>
    <t>BCS150</t>
  </si>
  <si>
    <t>8"-DN200-219,1</t>
  </si>
  <si>
    <t>Brides à collerette taraudées</t>
  </si>
  <si>
    <t xml:space="preserve"> 1"1/2-DN40-48,3</t>
  </si>
  <si>
    <t>BCV112</t>
  </si>
  <si>
    <t>BCV2</t>
  </si>
  <si>
    <t>BCV212</t>
  </si>
  <si>
    <t>BCV3</t>
  </si>
  <si>
    <t>BCV4</t>
  </si>
  <si>
    <t>Brides plates à souder</t>
  </si>
  <si>
    <t>BPS50</t>
  </si>
  <si>
    <t>BPS65</t>
  </si>
  <si>
    <t>BPS80</t>
  </si>
  <si>
    <t>BPS100</t>
  </si>
  <si>
    <t>BPS125</t>
  </si>
  <si>
    <t>BPS150</t>
  </si>
  <si>
    <t>Coudes à souder 3D galva</t>
  </si>
  <si>
    <t>CAS3DG2</t>
  </si>
  <si>
    <t>CAS3DG212</t>
  </si>
  <si>
    <t>CAS3DG3</t>
  </si>
  <si>
    <t>CAS3DG4</t>
  </si>
  <si>
    <t>Coudes à souder 3D noir</t>
  </si>
  <si>
    <t>CAS3DN2</t>
  </si>
  <si>
    <t>CAS3DN212</t>
  </si>
  <si>
    <t>CAS3DN3</t>
  </si>
  <si>
    <t>CAS3DN4</t>
  </si>
  <si>
    <t>CAS3DN5</t>
  </si>
  <si>
    <t>Courbes à souder 5D noir</t>
  </si>
  <si>
    <t>CAS5DN212</t>
  </si>
  <si>
    <t>CAS5DN3</t>
  </si>
  <si>
    <t>Fonds à souder</t>
  </si>
  <si>
    <t>FASN3</t>
  </si>
  <si>
    <t>FASN5</t>
  </si>
  <si>
    <t>FASN6</t>
  </si>
  <si>
    <t>Plateaux ( bride pleine)</t>
  </si>
  <si>
    <t>BP50</t>
  </si>
  <si>
    <t>BP65</t>
  </si>
  <si>
    <t>BP80</t>
  </si>
  <si>
    <t>BP100</t>
  </si>
  <si>
    <t>BP125</t>
  </si>
  <si>
    <t>BP150</t>
  </si>
  <si>
    <t>Réductions concentriques</t>
  </si>
  <si>
    <t>6" 5"</t>
  </si>
  <si>
    <t>RAS65</t>
  </si>
  <si>
    <t>6" 4"</t>
  </si>
  <si>
    <t>RAS64</t>
  </si>
  <si>
    <t>6" 3"</t>
  </si>
  <si>
    <t>RAS63</t>
  </si>
  <si>
    <t>6" 2"1/2</t>
  </si>
  <si>
    <t>RAS6212</t>
  </si>
  <si>
    <t>5" 4"</t>
  </si>
  <si>
    <t>RAS54</t>
  </si>
  <si>
    <t>5" 3"</t>
  </si>
  <si>
    <t>RAS53</t>
  </si>
  <si>
    <t>RAS43</t>
  </si>
  <si>
    <t>4"2"1/2</t>
  </si>
  <si>
    <t>RAS4212</t>
  </si>
  <si>
    <t>3"2"1/2</t>
  </si>
  <si>
    <t>RAS3212</t>
  </si>
  <si>
    <t>3"2"</t>
  </si>
  <si>
    <t>RAS32</t>
  </si>
  <si>
    <t>3"1"1/2</t>
  </si>
  <si>
    <t>RAS3112</t>
  </si>
  <si>
    <t>RAS2114</t>
  </si>
  <si>
    <t>RAS21</t>
  </si>
  <si>
    <t>RAS1121</t>
  </si>
  <si>
    <t>RAS134</t>
  </si>
  <si>
    <t xml:space="preserve">Tube T10 </t>
  </si>
  <si>
    <t>T10NL212</t>
  </si>
  <si>
    <t>T10NL3</t>
  </si>
  <si>
    <t>T10NL4</t>
  </si>
  <si>
    <t>T10NL5</t>
  </si>
  <si>
    <t>Raccords</t>
  </si>
  <si>
    <t>colliers</t>
  </si>
  <si>
    <t>Adaptateur raccord tournant Male</t>
  </si>
  <si>
    <t>G110-06-06</t>
  </si>
  <si>
    <t>G110-06-08</t>
  </si>
  <si>
    <t>Bicones coudés</t>
  </si>
  <si>
    <t xml:space="preserve"> 1/8-6</t>
  </si>
  <si>
    <t>ROCM18D06</t>
  </si>
  <si>
    <t xml:space="preserve"> 1/8-8</t>
  </si>
  <si>
    <t>ROCM18D08</t>
  </si>
  <si>
    <t xml:space="preserve"> 1/4-6</t>
  </si>
  <si>
    <t>ROCM14D06</t>
  </si>
  <si>
    <t xml:space="preserve"> 1/4-8</t>
  </si>
  <si>
    <t>ROCM14D08</t>
  </si>
  <si>
    <t xml:space="preserve"> 1/4-10</t>
  </si>
  <si>
    <t>ROCM14D10</t>
  </si>
  <si>
    <t>1/4 12</t>
  </si>
  <si>
    <t>ROCM14D12</t>
  </si>
  <si>
    <t xml:space="preserve"> 3/8-8</t>
  </si>
  <si>
    <t>ROCM38D08</t>
  </si>
  <si>
    <t xml:space="preserve"> 3/8-10</t>
  </si>
  <si>
    <t>ROCM38D10</t>
  </si>
  <si>
    <t xml:space="preserve"> 3/8-12</t>
  </si>
  <si>
    <t>ROCM38D12</t>
  </si>
  <si>
    <t xml:space="preserve"> 1/2-12</t>
  </si>
  <si>
    <t>ROCM12D12</t>
  </si>
  <si>
    <t>Bicones doubles</t>
  </si>
  <si>
    <t>ROUD04</t>
  </si>
  <si>
    <t>ROUD06</t>
  </si>
  <si>
    <t>ROUD08</t>
  </si>
  <si>
    <t>ROUD10</t>
  </si>
  <si>
    <t>ROUD12</t>
  </si>
  <si>
    <t>Bicones droits</t>
  </si>
  <si>
    <t>RODM18D08</t>
  </si>
  <si>
    <t>RODM14D06</t>
  </si>
  <si>
    <t>RODM14D08</t>
  </si>
  <si>
    <t>RODM14D10</t>
  </si>
  <si>
    <t>RODM38D08</t>
  </si>
  <si>
    <t>RODM38D10</t>
  </si>
  <si>
    <t>RODM38D12</t>
  </si>
  <si>
    <t xml:space="preserve"> 1/2-10</t>
  </si>
  <si>
    <t>RODM12D10</t>
  </si>
  <si>
    <t>RODM12D12</t>
  </si>
  <si>
    <t>900-0223</t>
  </si>
  <si>
    <t>900-0224</t>
  </si>
  <si>
    <t xml:space="preserve"> 1/4-13</t>
  </si>
  <si>
    <t>900-0225</t>
  </si>
  <si>
    <t>900-0233</t>
  </si>
  <si>
    <t>900-0234</t>
  </si>
  <si>
    <t xml:space="preserve"> 3/8-13</t>
  </si>
  <si>
    <t>900-0235</t>
  </si>
  <si>
    <t>900-0244</t>
  </si>
  <si>
    <t xml:space="preserve"> 1/2-13</t>
  </si>
  <si>
    <t>900-0245</t>
  </si>
  <si>
    <t xml:space="preserve"> 1/2-16</t>
  </si>
  <si>
    <t>900-0246</t>
  </si>
  <si>
    <t xml:space="preserve"> 1/2-19</t>
  </si>
  <si>
    <t>900-0247</t>
  </si>
  <si>
    <t>3/4 19</t>
  </si>
  <si>
    <t>900-0257</t>
  </si>
  <si>
    <t xml:space="preserve"> 3/4-25</t>
  </si>
  <si>
    <t>900-0258B</t>
  </si>
  <si>
    <t>1"-25</t>
  </si>
  <si>
    <t>900-0258</t>
  </si>
  <si>
    <t>CSS26</t>
  </si>
  <si>
    <t>CSS39</t>
  </si>
  <si>
    <t>PVC purges</t>
  </si>
  <si>
    <t>manchon 32</t>
  </si>
  <si>
    <t>M2F</t>
  </si>
  <si>
    <t>coude 32</t>
  </si>
  <si>
    <t>CF88</t>
  </si>
  <si>
    <t>té 32</t>
  </si>
  <si>
    <t>BF144</t>
  </si>
  <si>
    <t>tampon 32</t>
  </si>
  <si>
    <t>FF</t>
  </si>
  <si>
    <t>tube 32</t>
  </si>
  <si>
    <t>T32</t>
  </si>
  <si>
    <t>coudes 45°</t>
  </si>
  <si>
    <t>CF44</t>
  </si>
  <si>
    <t>manchon 40</t>
  </si>
  <si>
    <t>coude 40</t>
  </si>
  <si>
    <t>C8F4</t>
  </si>
  <si>
    <t>té 40</t>
  </si>
  <si>
    <t>TFFF40PVC</t>
  </si>
  <si>
    <t>tampon 40</t>
  </si>
  <si>
    <t>tube 40</t>
  </si>
  <si>
    <t>T40</t>
  </si>
  <si>
    <t>COUDE A 90) pvc Ø40 ff jk</t>
  </si>
  <si>
    <t>cff90-40jk</t>
  </si>
  <si>
    <t>EXPD8</t>
  </si>
  <si>
    <t>EXPF12</t>
  </si>
  <si>
    <t>EXPF1</t>
  </si>
  <si>
    <t>EXPF38</t>
  </si>
  <si>
    <t>EXPF34</t>
  </si>
  <si>
    <t>EXPF114</t>
  </si>
  <si>
    <t>EXPF112</t>
  </si>
  <si>
    <t>EXPM12</t>
  </si>
  <si>
    <t>EXPM1</t>
  </si>
  <si>
    <t>EXPM38</t>
  </si>
  <si>
    <t>EXPM34</t>
  </si>
  <si>
    <t>EXPM114</t>
  </si>
  <si>
    <t>EXPM112</t>
  </si>
  <si>
    <t xml:space="preserve"> 1/8-4</t>
  </si>
  <si>
    <t>RICM18D04</t>
  </si>
  <si>
    <t>RICM18D06</t>
  </si>
  <si>
    <t>RICM18D08</t>
  </si>
  <si>
    <t>RICM14D06</t>
  </si>
  <si>
    <t>RICM14D08</t>
  </si>
  <si>
    <t>RICM14D10</t>
  </si>
  <si>
    <t>RICM38D08</t>
  </si>
  <si>
    <t>RICM38D10</t>
  </si>
  <si>
    <t>RICM38D12</t>
  </si>
  <si>
    <t>RICM12D12</t>
  </si>
  <si>
    <t>RIDM18D04</t>
  </si>
  <si>
    <t>RIDM18D06</t>
  </si>
  <si>
    <t>RIDM18D08</t>
  </si>
  <si>
    <t>1/4 4</t>
  </si>
  <si>
    <t>RIDM14D04</t>
  </si>
  <si>
    <t>RIDM14D06</t>
  </si>
  <si>
    <t>RIDM14D08</t>
  </si>
  <si>
    <t>RIDM14D10</t>
  </si>
  <si>
    <t xml:space="preserve"> 1/4-12</t>
  </si>
  <si>
    <t>RIDM14D12</t>
  </si>
  <si>
    <t>RIDM38D08</t>
  </si>
  <si>
    <t>RIDM38D10</t>
  </si>
  <si>
    <t>RIDM38D12</t>
  </si>
  <si>
    <t>3/8 14</t>
  </si>
  <si>
    <t>RIDM38D14</t>
  </si>
  <si>
    <t>RIDM12D10</t>
  </si>
  <si>
    <t>RIDM12D12</t>
  </si>
  <si>
    <t>1/2 14</t>
  </si>
  <si>
    <t>RIDM12D14</t>
  </si>
  <si>
    <t>1/8 6  -  31140610</t>
  </si>
  <si>
    <t>RIDF18D06</t>
  </si>
  <si>
    <t>1/4 6  -  31140613</t>
  </si>
  <si>
    <t>RIDF14D06</t>
  </si>
  <si>
    <t>1/8 8  -  31140810</t>
  </si>
  <si>
    <t>RIDF18D08</t>
  </si>
  <si>
    <t>1/4 8  -  31140813</t>
  </si>
  <si>
    <t>RIDF14D08</t>
  </si>
  <si>
    <t>3/8 8  -  31140817</t>
  </si>
  <si>
    <t>RIDF38D08</t>
  </si>
  <si>
    <t xml:space="preserve"> 1/4-10  -  31141013</t>
  </si>
  <si>
    <t>RIDF14D10</t>
  </si>
  <si>
    <t xml:space="preserve"> 3/8-10  -  31141017</t>
  </si>
  <si>
    <t>RIDF38D10</t>
  </si>
  <si>
    <t xml:space="preserve"> 3/8-12  -  31141217</t>
  </si>
  <si>
    <t>RIDF38D12</t>
  </si>
  <si>
    <t xml:space="preserve"> 1/2-12  -  31141221</t>
  </si>
  <si>
    <t>RIDF12D12</t>
  </si>
  <si>
    <t xml:space="preserve"> 6-4</t>
  </si>
  <si>
    <t xml:space="preserve"> 8-6</t>
  </si>
  <si>
    <t xml:space="preserve"> 10-8</t>
  </si>
  <si>
    <t xml:space="preserve"> 12-8</t>
  </si>
  <si>
    <t xml:space="preserve"> 12-10</t>
  </si>
  <si>
    <t>1/8 4</t>
  </si>
  <si>
    <t>RIT18D04</t>
  </si>
  <si>
    <t>RIT18D06</t>
  </si>
  <si>
    <t>RIT18D08</t>
  </si>
  <si>
    <t>RIT14D06</t>
  </si>
  <si>
    <t>RIT14D08</t>
  </si>
  <si>
    <t>1/4 10</t>
  </si>
  <si>
    <t>RIT14D10</t>
  </si>
  <si>
    <t>RIT38D08</t>
  </si>
  <si>
    <t>RIT38D10</t>
  </si>
  <si>
    <t>RIT38D12</t>
  </si>
  <si>
    <t>RITD04</t>
  </si>
  <si>
    <t>RITD06</t>
  </si>
  <si>
    <t>RITD08</t>
  </si>
  <si>
    <t>RITD10</t>
  </si>
  <si>
    <t>RITD12</t>
  </si>
  <si>
    <t>RIUD04</t>
  </si>
  <si>
    <t>RIUD06</t>
  </si>
  <si>
    <t>RIUD08</t>
  </si>
  <si>
    <t>RIUD10</t>
  </si>
  <si>
    <t>RIUD12</t>
  </si>
  <si>
    <t>RITC06</t>
  </si>
  <si>
    <t>Recup Calorie</t>
  </si>
  <si>
    <t>Thermomètre</t>
  </si>
  <si>
    <t>Thermomètre 1/2"M avec doigt de gant 63mm Arrière Diam 80 0/+120</t>
  </si>
  <si>
    <t>TH0-120CAD1/2</t>
  </si>
  <si>
    <t>Catry</t>
  </si>
  <si>
    <t>C17269</t>
  </si>
  <si>
    <t>Mano pour circuit de chauffage diam 40 - 4 bar</t>
  </si>
  <si>
    <t>MANO-04B</t>
  </si>
  <si>
    <t>Aquasta en aplique reglable</t>
  </si>
  <si>
    <t>AQA</t>
  </si>
  <si>
    <t>Chaufamat</t>
  </si>
  <si>
    <t>AQA-1</t>
  </si>
  <si>
    <t>ecrou ( 3 pièces)pour circulateur sanitaire 1"1/2x1"</t>
  </si>
  <si>
    <t>ECS112-1</t>
  </si>
  <si>
    <t>ecrou ( 3 pièces)pour circulateur chauffage2"x1"1/4</t>
  </si>
  <si>
    <t>ECR2-46</t>
  </si>
  <si>
    <t>Purgeur automatique 3/8</t>
  </si>
  <si>
    <t>PR38</t>
  </si>
  <si>
    <t>Vase d'expansion 8L</t>
  </si>
  <si>
    <t>K00469</t>
  </si>
  <si>
    <t>K00453</t>
  </si>
  <si>
    <t>K00456</t>
  </si>
  <si>
    <t>K00459</t>
  </si>
  <si>
    <t>K00465</t>
  </si>
  <si>
    <t>Soupape vase d'expansion 3 bar 1/2 "l</t>
  </si>
  <si>
    <t>Soupape vase d'expansion 4 bar 3/4 "</t>
  </si>
  <si>
    <t>SP34F-4B</t>
  </si>
  <si>
    <t>Entonnoir pour soupape</t>
  </si>
  <si>
    <t>K00497</t>
  </si>
  <si>
    <t>K03836</t>
  </si>
  <si>
    <t>Purgeur automatique 1/2"</t>
  </si>
  <si>
    <t>Richardson</t>
  </si>
  <si>
    <t>TH0-120EQ1/2</t>
  </si>
  <si>
    <t>Filtre Tamis</t>
  </si>
  <si>
    <t>FT2</t>
  </si>
  <si>
    <t>PUM 53459</t>
  </si>
  <si>
    <t>MIR22x13</t>
  </si>
  <si>
    <t>PUM 53461</t>
  </si>
  <si>
    <t>MIR28x13</t>
  </si>
  <si>
    <t>MIR34x13</t>
  </si>
  <si>
    <t>PUM 53463</t>
  </si>
  <si>
    <t>MIR42x13</t>
  </si>
  <si>
    <t>PUM 53464</t>
  </si>
  <si>
    <t>MIR48x13</t>
  </si>
  <si>
    <t>PUM 53465</t>
  </si>
  <si>
    <t>MIR54X13</t>
  </si>
  <si>
    <t>MIR60x13</t>
  </si>
  <si>
    <t>PUM 53467</t>
  </si>
  <si>
    <t>Ruban adhésif pvc couleur 33mx50mm</t>
  </si>
  <si>
    <t>RAPVC50</t>
  </si>
  <si>
    <t>PUM 12466</t>
  </si>
  <si>
    <t>MIR22x19</t>
  </si>
  <si>
    <t>MIR28x19</t>
  </si>
  <si>
    <t>ARMMNXG028019</t>
  </si>
  <si>
    <t>MIR34x19</t>
  </si>
  <si>
    <t>MIR42x19</t>
  </si>
  <si>
    <t>MIR48x19</t>
  </si>
  <si>
    <t>MIR60x19</t>
  </si>
  <si>
    <t>ARMMNXG060019</t>
  </si>
  <si>
    <t>Glycol</t>
  </si>
  <si>
    <t xml:space="preserve"> propylene Glycol( Alimentaire) Fut de  1000L Qté e L</t>
  </si>
  <si>
    <t>MPROGLYCOL-1000L</t>
  </si>
  <si>
    <t>Brabant</t>
  </si>
  <si>
    <t xml:space="preserve"> propylene Glycol( Alimentaire) Fut de  220L Qté e L</t>
  </si>
  <si>
    <t>MPROGLYCOL-220L</t>
  </si>
  <si>
    <t>kit vanne 3/4" - 22L</t>
  </si>
  <si>
    <t>ECOV3V34-KIT</t>
  </si>
  <si>
    <t>kit vanne 1" - 28L</t>
  </si>
  <si>
    <t>ECOV3V1-KIT</t>
  </si>
  <si>
    <t>kit vanne 1"1/4 - 35L</t>
  </si>
  <si>
    <t>ECOV3V114-KIT</t>
  </si>
  <si>
    <t>kit vanne 1"1/2  - 42L</t>
  </si>
  <si>
    <t>ECOV3V112-KIT</t>
  </si>
  <si>
    <t>kit vanne 2"  - bride DN50</t>
  </si>
  <si>
    <t>ECOV3V2-KIT</t>
  </si>
  <si>
    <t>ECOV3V34-24VAC-KIT</t>
  </si>
  <si>
    <t>ECOV3V1-24VAC-KIT</t>
  </si>
  <si>
    <t>ECOV3V114-24VAC-KIT</t>
  </si>
  <si>
    <t>ECOV3V112-24VAC-KIT</t>
  </si>
  <si>
    <t>ECOV3V2-24VAC-KIT</t>
  </si>
  <si>
    <t>ECOV3V34-24VDC-KIT</t>
  </si>
  <si>
    <t>ECOV3V1-24VDC-KIT</t>
  </si>
  <si>
    <t>ECOV3V114-24VDC-KIT</t>
  </si>
  <si>
    <t>ECOV3V112-24VDC-KIT</t>
  </si>
  <si>
    <t>ECOV3V2-24VDC-KIT</t>
  </si>
  <si>
    <t>Raccord Hydraulique COUDE ORIENTABLE</t>
  </si>
  <si>
    <t>CELA15LNU</t>
  </si>
  <si>
    <t>CELA22LNU</t>
  </si>
  <si>
    <t>CELA42L</t>
  </si>
  <si>
    <t>Raccord Hydraulique passe cloison</t>
  </si>
  <si>
    <t>UA15CL,LNU</t>
  </si>
  <si>
    <t>UA22CL,LNU</t>
  </si>
  <si>
    <t>UA28CL,LNU</t>
  </si>
  <si>
    <t>UA35CL,LNU</t>
  </si>
  <si>
    <t>UA42CL,LNU</t>
  </si>
  <si>
    <t>Raccord Hydraulique Raccord union</t>
  </si>
  <si>
    <t>UA15L</t>
  </si>
  <si>
    <t>UA18L</t>
  </si>
  <si>
    <t>UA22L</t>
  </si>
  <si>
    <t>UA28L</t>
  </si>
  <si>
    <t>UA42L</t>
  </si>
  <si>
    <t>ARA42x35L</t>
  </si>
  <si>
    <t>ARA35x28L</t>
  </si>
  <si>
    <t>AA28JEX1L</t>
  </si>
  <si>
    <t>AA35JEX11/4L</t>
  </si>
  <si>
    <t xml:space="preserve">Raccord Hydraulique Té Embout lisse </t>
  </si>
  <si>
    <t>TELA35L</t>
  </si>
  <si>
    <t>TELA42L</t>
  </si>
  <si>
    <t>Raccord Hydraulique Té Embout lisse renversé</t>
  </si>
  <si>
    <t>TELA15EL15L</t>
  </si>
  <si>
    <t>TELA22EL22L</t>
  </si>
  <si>
    <t>TELA28L</t>
  </si>
  <si>
    <t>TELA35EL35L</t>
  </si>
  <si>
    <t>TELA42EL42L</t>
  </si>
  <si>
    <t>UMA15L3/4</t>
  </si>
  <si>
    <t>UMA22L</t>
  </si>
  <si>
    <t>UMA22LX1"</t>
  </si>
  <si>
    <t>UMA28L</t>
  </si>
  <si>
    <t>UMA28LX1"1/4</t>
  </si>
  <si>
    <t>UMA35LX1L</t>
  </si>
  <si>
    <t>UMA35LX114</t>
  </si>
  <si>
    <t>UMA42L</t>
  </si>
  <si>
    <t>UMA18JEX3/4LNU</t>
  </si>
  <si>
    <t>UMA22LX1"NU</t>
  </si>
  <si>
    <t>UMA28JEX3/4NU</t>
  </si>
  <si>
    <t>UMA35JEX11/4LNU</t>
  </si>
  <si>
    <t>UMAJEX11/4LNU</t>
  </si>
  <si>
    <t>UMA42JEX11/2NU</t>
  </si>
  <si>
    <t>Soupape  Prescor chauffage 3 bars - 3/4"</t>
  </si>
  <si>
    <t>SSCH34-03</t>
  </si>
  <si>
    <t>Soupape  Prescor chauffage 4 bars - 1"</t>
  </si>
  <si>
    <t>SSCH1-04</t>
  </si>
  <si>
    <t>Soupape sanitaire 7 bars 3/4"</t>
  </si>
  <si>
    <t>SSSA34-07</t>
  </si>
  <si>
    <t>Soupape sanitaire 7 bars 1"</t>
  </si>
  <si>
    <t>SSSA1-07</t>
  </si>
  <si>
    <t>Entonnoir pour soupape  prescor laiton 3/4</t>
  </si>
  <si>
    <t>Entonnoir pour soupape  prescor laiton 1"1/4</t>
  </si>
  <si>
    <t>K00495</t>
  </si>
  <si>
    <t>Vanne 3 voie thermomix</t>
  </si>
  <si>
    <t>Vanne fonte à secteur 3 voies FFF 3/4 "</t>
  </si>
  <si>
    <t>V3V34</t>
  </si>
  <si>
    <t>Thermador</t>
  </si>
  <si>
    <t>V3V20</t>
  </si>
  <si>
    <t>Vanne fonte à secteur 3 voies FFF 1 "</t>
  </si>
  <si>
    <t>V3V1</t>
  </si>
  <si>
    <t>V3V26</t>
  </si>
  <si>
    <t xml:space="preserve">Vanne fonte à secteur 3 voies FFF 1  "1/4 </t>
  </si>
  <si>
    <t>V3V114</t>
  </si>
  <si>
    <t>V3V33</t>
  </si>
  <si>
    <t>Vanne fonte à secteur 3 voies FFF 1 "1/2</t>
  </si>
  <si>
    <t>V3V112</t>
  </si>
  <si>
    <t>V3V40</t>
  </si>
  <si>
    <t>Vanne fonte à secteur 3 voies FFF 2"</t>
  </si>
  <si>
    <t>V3V2</t>
  </si>
  <si>
    <t>V3V50</t>
  </si>
  <si>
    <t>Vanne motorise</t>
  </si>
  <si>
    <t>Vanne Laiton FF 1" - 230Vac</t>
  </si>
  <si>
    <t>VAE220-1</t>
  </si>
  <si>
    <t>Sectoriel</t>
  </si>
  <si>
    <t>270004024110</t>
  </si>
  <si>
    <t>Vanne Laiton FF 1"1/4-230Vac</t>
  </si>
  <si>
    <t>VAE220-114</t>
  </si>
  <si>
    <t>270005024310</t>
  </si>
  <si>
    <t>Vase d'expansion chauffage</t>
  </si>
  <si>
    <t>VASEXP80L-2,5B</t>
  </si>
  <si>
    <t>VASEXP50L-0,5B</t>
  </si>
  <si>
    <t>VASEXP18L-1B</t>
  </si>
  <si>
    <t>VASEXP12L-0,5B</t>
  </si>
  <si>
    <t>Console non equipée pour vase d'expansion  2 à 25 L "FLAMSOL"</t>
  </si>
  <si>
    <t>VASECONS-NEQ</t>
  </si>
  <si>
    <t>Console equipée pour vase d'expansion  2 à 25 L "FLAMCO"</t>
  </si>
  <si>
    <t>VASECONS</t>
  </si>
  <si>
    <t>Airleader</t>
  </si>
  <si>
    <t>A-2416-3T</t>
  </si>
  <si>
    <t>Cable regul. 2 sigma</t>
  </si>
  <si>
    <t>KIT RS 485</t>
  </si>
  <si>
    <t>PR-21</t>
  </si>
  <si>
    <t>CP16.1</t>
  </si>
  <si>
    <t>Coupleur 4-20Ma</t>
  </si>
  <si>
    <t>5006-PO</t>
  </si>
  <si>
    <t>equipement capteur de pression</t>
  </si>
  <si>
    <t>connecteur embrochable 4  poles</t>
  </si>
  <si>
    <t>490-677</t>
  </si>
  <si>
    <t>radiospare</t>
  </si>
  <si>
    <t>Hygrometrie</t>
  </si>
  <si>
    <t>Régulair Millenium</t>
  </si>
  <si>
    <t>COFMIL</t>
  </si>
  <si>
    <t>Telesurveillance</t>
  </si>
  <si>
    <t>Transair</t>
  </si>
  <si>
    <t>RR05 L1 20</t>
  </si>
  <si>
    <t>ENSEMBLE ANTI-COUP DE FOUET</t>
  </si>
  <si>
    <t>6698 99 03</t>
  </si>
  <si>
    <t>6625 17 00</t>
  </si>
  <si>
    <t>6625 25 00</t>
  </si>
  <si>
    <t>6625 40 00</t>
  </si>
  <si>
    <t>6625 63 00</t>
  </si>
  <si>
    <t>RX25 L1 00</t>
  </si>
  <si>
    <t>Brides</t>
  </si>
  <si>
    <t>RX30 L1 00 01</t>
  </si>
  <si>
    <t>BRIDE CIRCULAIRE D168 DN150 ALUMINIUM (NORME ANSI ET EN 1092)</t>
  </si>
  <si>
    <t>RA31 L8 00</t>
  </si>
  <si>
    <t>EW05 L1 00</t>
  </si>
  <si>
    <t>JOINT POUR BRIDE CIRCULAIRE Ø 76 DN 80</t>
  </si>
  <si>
    <t>6662 25 17</t>
  </si>
  <si>
    <t>6662 25 00</t>
  </si>
  <si>
    <t>6662 40 17</t>
  </si>
  <si>
    <t>6662 40 25</t>
  </si>
  <si>
    <t>6662 63 25</t>
  </si>
  <si>
    <t>BRIDE SIMPLE POSE RAPIDE Ø 25 &gt; Ø 16,5</t>
  </si>
  <si>
    <t>RA69 25 17</t>
  </si>
  <si>
    <t>BRIDE SIMPLE POSE RAPIDE Ø 40 &gt; Ø 25</t>
  </si>
  <si>
    <t>RA69 40 25</t>
  </si>
  <si>
    <t>RR61 L1 08</t>
  </si>
  <si>
    <t>RR61 L3 08</t>
  </si>
  <si>
    <t>6612 25 00</t>
  </si>
  <si>
    <t>6612 40 00</t>
  </si>
  <si>
    <t>6612 63 00</t>
  </si>
  <si>
    <t>RX12 L1 00</t>
  </si>
  <si>
    <t>6602 17 00</t>
  </si>
  <si>
    <t>6602 25 00</t>
  </si>
  <si>
    <t>6602 40 00</t>
  </si>
  <si>
    <t>6602 63 00</t>
  </si>
  <si>
    <t>RX02 L1 00</t>
  </si>
  <si>
    <t>RX02 L3 00</t>
  </si>
  <si>
    <t>RA02 L8 00</t>
  </si>
  <si>
    <t>6619 25 27</t>
  </si>
  <si>
    <t>6609 17 21</t>
  </si>
  <si>
    <t>6609 25 21</t>
  </si>
  <si>
    <t>6609 25 27</t>
  </si>
  <si>
    <t>6609 25 34</t>
  </si>
  <si>
    <t>6609 40 34</t>
  </si>
  <si>
    <t>6609 40 42</t>
  </si>
  <si>
    <t>6609 40 49</t>
  </si>
  <si>
    <t>6609 63 48</t>
  </si>
  <si>
    <t>6609 63 47</t>
  </si>
  <si>
    <t>Etiquettes</t>
  </si>
  <si>
    <t>6697 17 00</t>
  </si>
  <si>
    <t>6697 25 00</t>
  </si>
  <si>
    <t>6697 40 00</t>
  </si>
  <si>
    <t>6697 63 00</t>
  </si>
  <si>
    <t>ER01 L1 00</t>
  </si>
  <si>
    <t>ER01 L3 00</t>
  </si>
  <si>
    <t>ER01 L8 00</t>
  </si>
  <si>
    <t>CALE D’ADAPTATION Ø 16,5/25/40 &gt; Ø 63</t>
  </si>
  <si>
    <t>6697 00 03</t>
  </si>
  <si>
    <t>ADAPTATEUR POUR CLIP M8  M10</t>
  </si>
  <si>
    <t>6697 00 02</t>
  </si>
  <si>
    <t>6606 17 00</t>
  </si>
  <si>
    <t>6606 25 00</t>
  </si>
  <si>
    <t>6606 40 00</t>
  </si>
  <si>
    <t>6606 63 00</t>
  </si>
  <si>
    <t>RR01 L1 00</t>
  </si>
  <si>
    <t>RR01 L3 00</t>
  </si>
  <si>
    <t>RR01 L8 00</t>
  </si>
  <si>
    <t>MANCHON AVEC PURGE Ø 25</t>
  </si>
  <si>
    <t>6676 25 00</t>
  </si>
  <si>
    <t>MANCHON AVEC PURGE Ø 40</t>
  </si>
  <si>
    <t>6676 40 00</t>
  </si>
  <si>
    <t>MANCHON AVEC PURGE Ø 63</t>
  </si>
  <si>
    <t>6676 63 00</t>
  </si>
  <si>
    <t>6605 17 13</t>
  </si>
  <si>
    <t>6605 17 21</t>
  </si>
  <si>
    <t>6605 25 21</t>
  </si>
  <si>
    <t>6605 25 27</t>
  </si>
  <si>
    <t>6605 25 34</t>
  </si>
  <si>
    <t>6605 40 34</t>
  </si>
  <si>
    <t>6605 40 42</t>
  </si>
  <si>
    <t>6615 40 42</t>
  </si>
  <si>
    <t>6605 40 49</t>
  </si>
  <si>
    <t>6615 40 49</t>
  </si>
  <si>
    <t>6605 63 48</t>
  </si>
  <si>
    <t>6605 63 47</t>
  </si>
  <si>
    <t>6666 17 25</t>
  </si>
  <si>
    <t>6666 25 40</t>
  </si>
  <si>
    <t>6666 40 63</t>
  </si>
  <si>
    <t>RX64 L1 63</t>
  </si>
  <si>
    <t>RX64 L3 63</t>
  </si>
  <si>
    <t>RX66 L3 L1</t>
  </si>
  <si>
    <t>RA66 L8 L3</t>
  </si>
  <si>
    <t>6661 25 21</t>
  </si>
  <si>
    <t>6661 40 21</t>
  </si>
  <si>
    <t>6661 40 27</t>
  </si>
  <si>
    <t>6661 63 21</t>
  </si>
  <si>
    <t>6661 63 27</t>
  </si>
  <si>
    <t>RX23 L1 04</t>
  </si>
  <si>
    <t>6669 25 21</t>
  </si>
  <si>
    <t>6669 40 21</t>
  </si>
  <si>
    <t>6669 40 27</t>
  </si>
  <si>
    <t>6669 63 21</t>
  </si>
  <si>
    <t>6669 63 27</t>
  </si>
  <si>
    <t>RA65 25 04</t>
  </si>
  <si>
    <t>RA65 40 04</t>
  </si>
  <si>
    <t>MINI-BRIDE Ø 25 COUPLEUR ISO B 8 MM</t>
  </si>
  <si>
    <t>6660 25 U2</t>
  </si>
  <si>
    <t>MINI-BRIDE Ø 40 COUPLEUR ISO B 5,5 MM</t>
  </si>
  <si>
    <t>6660 40 U1</t>
  </si>
  <si>
    <t>Nourrices</t>
  </si>
  <si>
    <t>NOURRICE Ø 25 AVEC 4 SORTIES Ø 12</t>
  </si>
  <si>
    <t>6651 25 12 04</t>
  </si>
  <si>
    <t>NOURRICE Ø 25 AVEC 6 SORTIES 1/2" BSP CYL</t>
  </si>
  <si>
    <t>6652 25 21 06</t>
  </si>
  <si>
    <t>Prises murales</t>
  </si>
  <si>
    <t>6639 17 21</t>
  </si>
  <si>
    <t>6639 25 21</t>
  </si>
  <si>
    <t>6681 25 21</t>
  </si>
  <si>
    <t>6686 21 21</t>
  </si>
  <si>
    <t>6677 25 U1</t>
  </si>
  <si>
    <t>6677 25 U2</t>
  </si>
  <si>
    <t>6671 17 U1</t>
  </si>
  <si>
    <t>6671 25 U1</t>
  </si>
  <si>
    <t>6671 25 U2</t>
  </si>
  <si>
    <t>6682 17 21</t>
  </si>
  <si>
    <t>6682 25 21</t>
  </si>
  <si>
    <t>6690 21 21</t>
  </si>
  <si>
    <t>6692 17 U1</t>
  </si>
  <si>
    <t>6692 25 A1</t>
  </si>
  <si>
    <t>6692 25 U1</t>
  </si>
  <si>
    <t>6695 25 21</t>
  </si>
  <si>
    <t>6678 17 21</t>
  </si>
  <si>
    <t>6678 25 21</t>
  </si>
  <si>
    <t>6693 17 21</t>
  </si>
  <si>
    <t>6693 25 21</t>
  </si>
  <si>
    <t>VR02 L1 00</t>
  </si>
  <si>
    <t>VR02 L3 00</t>
  </si>
  <si>
    <t>VR02 L8 00</t>
  </si>
  <si>
    <t>VR03 00 04</t>
  </si>
  <si>
    <t>VR03 00 06</t>
  </si>
  <si>
    <t>VR03 00 08</t>
  </si>
  <si>
    <t>VR03 00 10</t>
  </si>
  <si>
    <t>VR03 00 12</t>
  </si>
  <si>
    <t>VR03 00 16</t>
  </si>
  <si>
    <t>VR03 00 20</t>
  </si>
  <si>
    <t>VR04 00 04</t>
  </si>
  <si>
    <t>VR04 00 06</t>
  </si>
  <si>
    <t>VR04 00 08</t>
  </si>
  <si>
    <t>VR04 00 10</t>
  </si>
  <si>
    <t>VR04 00 12</t>
  </si>
  <si>
    <t>VR04 00 16</t>
  </si>
  <si>
    <t>4981 10 21TR</t>
  </si>
  <si>
    <t>VANNE PILOTEE Ø 40</t>
  </si>
  <si>
    <t>4230 00 40</t>
  </si>
  <si>
    <t>ENSEMBLE DE PILOTAGE</t>
  </si>
  <si>
    <t>4299 03 01</t>
  </si>
  <si>
    <t>6604 17 00</t>
  </si>
  <si>
    <t>6604 25 00</t>
  </si>
  <si>
    <t>6604 40 00</t>
  </si>
  <si>
    <t>6604 63 00</t>
  </si>
  <si>
    <t>RX04 L1 00</t>
  </si>
  <si>
    <t>RX04 L3 00</t>
  </si>
  <si>
    <t>RA04 L8 00</t>
  </si>
  <si>
    <t>6604 63 40</t>
  </si>
  <si>
    <t>RX24 L1 40</t>
  </si>
  <si>
    <t>RX24 L1 63</t>
  </si>
  <si>
    <t>RX04 L3 L1</t>
  </si>
  <si>
    <t>RA04 L8 L1</t>
  </si>
  <si>
    <t>1003A17 04 00</t>
  </si>
  <si>
    <t>1004A17 04</t>
  </si>
  <si>
    <t>1003A25 04 00</t>
  </si>
  <si>
    <t>1006A25 04 00</t>
  </si>
  <si>
    <t>1003A40 04 00</t>
  </si>
  <si>
    <t>1006A40 04 00</t>
  </si>
  <si>
    <t>1003A63 04</t>
  </si>
  <si>
    <t>1006A63 04</t>
  </si>
  <si>
    <t>TA06 L1 04</t>
  </si>
  <si>
    <t>TA03 L3 04</t>
  </si>
  <si>
    <t>TA06 L3 04</t>
  </si>
  <si>
    <t>TA06 L8 04</t>
  </si>
  <si>
    <t>1003A25 06 00</t>
  </si>
  <si>
    <t>1006A25 06 00</t>
  </si>
  <si>
    <t>1006A40 06 00</t>
  </si>
  <si>
    <t>1006A63 06</t>
  </si>
  <si>
    <t>1004A17 02</t>
  </si>
  <si>
    <t>1006A25 02 00</t>
  </si>
  <si>
    <t>Tuyaux flexibles</t>
  </si>
  <si>
    <t>1001E25 00 01</t>
  </si>
  <si>
    <t>1001E25 00 03</t>
  </si>
  <si>
    <t>1001E25 00 04</t>
  </si>
  <si>
    <t>1001E40 00 02</t>
  </si>
  <si>
    <t>1001E40 00 04</t>
  </si>
  <si>
    <t>1001E40 00 05</t>
  </si>
  <si>
    <t>1001E63 00 08</t>
  </si>
  <si>
    <t>1001E63 00 05</t>
  </si>
  <si>
    <t>Vannes</t>
  </si>
  <si>
    <t>VBP14FF</t>
  </si>
  <si>
    <t>VBP38FF</t>
  </si>
  <si>
    <t>VBP12FF</t>
  </si>
  <si>
    <t>VBP34FF</t>
  </si>
  <si>
    <t>VBP1FF</t>
  </si>
  <si>
    <t>VBP114FF</t>
  </si>
  <si>
    <t>VBP112FF</t>
  </si>
  <si>
    <t>VBP2FF</t>
  </si>
  <si>
    <t>VBP212FF</t>
  </si>
  <si>
    <t>VBP3FF</t>
  </si>
  <si>
    <t>VBP12FF.CAD.I</t>
  </si>
  <si>
    <t>VBP34FF.CAD.I</t>
  </si>
  <si>
    <t>VBP114FF.CAD.I</t>
  </si>
  <si>
    <t>VBP112FF.CAD.I</t>
  </si>
  <si>
    <t>VBP2FF.CAD.I</t>
  </si>
  <si>
    <t>VBP212FF.CAD.I</t>
  </si>
  <si>
    <t>VBP3FF.CAD.I</t>
  </si>
  <si>
    <t>VBP14MF</t>
  </si>
  <si>
    <t>VBP38MF</t>
  </si>
  <si>
    <t>VBP12MF</t>
  </si>
  <si>
    <t>VBP34MF</t>
  </si>
  <si>
    <t>VBP1MF</t>
  </si>
  <si>
    <t>VBP114MF</t>
  </si>
  <si>
    <t>VBP112MF</t>
  </si>
  <si>
    <t>VBP2MF</t>
  </si>
  <si>
    <t>VBP212MF</t>
  </si>
  <si>
    <t>VBP12MF.CAD.I</t>
  </si>
  <si>
    <t>VBP34MF.CAD.I</t>
  </si>
  <si>
    <t>VBP1MF.CAD.I</t>
  </si>
  <si>
    <t>VBP114MF.CAD.I</t>
  </si>
  <si>
    <t>VBP112MF.CAD.I</t>
  </si>
  <si>
    <t>VBP2MF.CAD.I</t>
  </si>
  <si>
    <t>Vanne d'ajuttage ( pour manometre)</t>
  </si>
  <si>
    <t>VEQ1/2FF</t>
  </si>
  <si>
    <t>VEQ34FF</t>
  </si>
  <si>
    <t>VEQ1FF</t>
  </si>
  <si>
    <t>VEQ114FF</t>
  </si>
  <si>
    <t>VEQ112FF</t>
  </si>
  <si>
    <t>VEQ2FF</t>
  </si>
  <si>
    <t>Ø  50x60        DN 50</t>
  </si>
  <si>
    <t>Ø 65x76       DN 65</t>
  </si>
  <si>
    <t>VPI065OTEPDM</t>
  </si>
  <si>
    <t>Ø  80x90        DN 80</t>
  </si>
  <si>
    <t>Ø  114,3        DN 100</t>
  </si>
  <si>
    <t>Ø  139,7        DN 125</t>
  </si>
  <si>
    <t>Ø  168,3        DN 150</t>
  </si>
  <si>
    <t>Ø  219            DN 200</t>
  </si>
  <si>
    <t>Ø  273            DN 250</t>
  </si>
  <si>
    <t>VP50OT</t>
  </si>
  <si>
    <t>VP65OT</t>
  </si>
  <si>
    <t>VP80OT</t>
  </si>
  <si>
    <t>VP100OT</t>
  </si>
  <si>
    <t>VP125OT</t>
  </si>
  <si>
    <t>VP150OT</t>
  </si>
  <si>
    <t>VP200OT</t>
  </si>
  <si>
    <t>VP80OT-MET/MET</t>
  </si>
  <si>
    <t>FT114</t>
  </si>
  <si>
    <t>FT112</t>
  </si>
  <si>
    <t>Filtre Tamis Inox à Bride DN100</t>
  </si>
  <si>
    <t>FTI100-C</t>
  </si>
  <si>
    <t>Ecran Encastrable 10"</t>
  </si>
  <si>
    <t>Tablet 10"ANDR 6.0, RAM 2GB, BLACK, POE/WiFi/BT/Front Cam/Pow Adapt</t>
  </si>
  <si>
    <t>DO-TABQ8919-9-B</t>
  </si>
  <si>
    <t>Giga Concept</t>
  </si>
  <si>
    <t>Besoin fixation DO-TABQ896-CLIP</t>
  </si>
  <si>
    <t>Set of 4 clips for Tablet Q896 + 4 Flat head screw, pour DO-TABQ8919-9-B</t>
  </si>
  <si>
    <t>DO-TABQ896-CLIP</t>
  </si>
  <si>
    <t>Pour écran DO-TABQ896-CLIP</t>
  </si>
  <si>
    <t>Thermomètre Alcool Droit -30/+50 plongeur Lg100mm</t>
  </si>
  <si>
    <t>TH-30/+50DLG100</t>
  </si>
  <si>
    <t>Thermomètre Alcool Equerre-30/+50 plongeur Lg100mm</t>
  </si>
  <si>
    <t>TH-30/+50ELG100</t>
  </si>
  <si>
    <t>Pressostat Manque d'eau</t>
  </si>
  <si>
    <t>Kit Pressostat manque d'eau et raccord pour 109P77AAA9300</t>
  </si>
  <si>
    <t>004156</t>
  </si>
  <si>
    <t>Johnson Controls</t>
  </si>
  <si>
    <t>Pressostat P77L 0.5-7b 109P77AAA9300</t>
  </si>
  <si>
    <t>004154</t>
  </si>
  <si>
    <t>109P77AAA9300</t>
  </si>
  <si>
    <t>Raccord Laiton Male 1/2" pour pressostat</t>
  </si>
  <si>
    <t>004390</t>
  </si>
  <si>
    <t>SF1615005</t>
  </si>
  <si>
    <t>Vanne Inox FF 1" - 230Vac</t>
  </si>
  <si>
    <t>VAEI220-1</t>
  </si>
  <si>
    <t>272404024110</t>
  </si>
  <si>
    <t>Vanne Inox FF 1"1/4-230Vac</t>
  </si>
  <si>
    <t>VAEI220-114</t>
  </si>
  <si>
    <t>272405024110</t>
  </si>
  <si>
    <t>Vase d'expansion chauffage 110L- 1 bar</t>
  </si>
  <si>
    <t xml:space="preserve">VASEXP110L-1,5B	
</t>
  </si>
  <si>
    <t>Groupe raccord 1" avec mano pour vase à partir de 80L</t>
  </si>
  <si>
    <t>VASEGROUPE1</t>
  </si>
  <si>
    <t>Teseo</t>
  </si>
  <si>
    <t>Date</t>
  </si>
  <si>
    <t>Auteur</t>
  </si>
  <si>
    <t>Commentaires</t>
  </si>
  <si>
    <t>TM</t>
  </si>
  <si>
    <t>Mise en forme sous liste
Ajouts des colonnes poste avec quantité totale
Ajout des colonnes avec les dimension standard sur l'italien et le soudé avec filtres
Recherche de prix dans "Base Prix"
Calcul du temps total de soudure : ATTENTION MANQUE TEMPS SUR CERTAIN ARTICLES</t>
  </si>
  <si>
    <t>Ajout d'une colone pour le conditionement et le calcul de la quantité à commander basé sur la quantité totale (P1 à P5)</t>
  </si>
  <si>
    <t>FC212.5000</t>
  </si>
  <si>
    <t>1613002</t>
  </si>
  <si>
    <t>1613006</t>
  </si>
  <si>
    <t>1613007</t>
  </si>
  <si>
    <t>1613008</t>
  </si>
  <si>
    <t>1613011</t>
  </si>
  <si>
    <t>1615002</t>
  </si>
  <si>
    <t>1719020</t>
  </si>
  <si>
    <t>940005</t>
  </si>
  <si>
    <t>9811065</t>
  </si>
  <si>
    <t>Poste 6</t>
  </si>
  <si>
    <t>Postes</t>
  </si>
  <si>
    <t>Nbr de ref</t>
  </si>
  <si>
    <t>Quantité Total</t>
  </si>
  <si>
    <t>Montant €</t>
  </si>
  <si>
    <t>Ajout base taifaire, prioritaire sur la base de prix pratiqués</t>
  </si>
  <si>
    <t>Parker</t>
  </si>
  <si>
    <t>RR05L120</t>
  </si>
  <si>
    <t>RX25L100</t>
  </si>
  <si>
    <t>RX30L10001</t>
  </si>
  <si>
    <t>RA31L800</t>
  </si>
  <si>
    <t>EW05L100</t>
  </si>
  <si>
    <t>RA692517</t>
  </si>
  <si>
    <t>RA694025</t>
  </si>
  <si>
    <t>RR61L108</t>
  </si>
  <si>
    <t>RR61L308</t>
  </si>
  <si>
    <t>RX12L100</t>
  </si>
  <si>
    <t>RX02L100</t>
  </si>
  <si>
    <t>RX02L300</t>
  </si>
  <si>
    <t>RA02L800</t>
  </si>
  <si>
    <t>ER01L100</t>
  </si>
  <si>
    <t>ER01L300</t>
  </si>
  <si>
    <t>ER01L800</t>
  </si>
  <si>
    <t>RR01L100</t>
  </si>
  <si>
    <t>RR01L300</t>
  </si>
  <si>
    <t>RR01L800</t>
  </si>
  <si>
    <t>RX64L163</t>
  </si>
  <si>
    <t>RX64L363</t>
  </si>
  <si>
    <t>RX66L3L1</t>
  </si>
  <si>
    <t>RA66L8L3</t>
  </si>
  <si>
    <t>RX23L104</t>
  </si>
  <si>
    <t>RA652504</t>
  </si>
  <si>
    <t>RA654004</t>
  </si>
  <si>
    <t>666025U2</t>
  </si>
  <si>
    <t>666040U1</t>
  </si>
  <si>
    <t>667725U1</t>
  </si>
  <si>
    <t>667725U2</t>
  </si>
  <si>
    <t>667117U1</t>
  </si>
  <si>
    <t>667125U1</t>
  </si>
  <si>
    <t>667125U2</t>
  </si>
  <si>
    <t>669217U1</t>
  </si>
  <si>
    <t>669225A1</t>
  </si>
  <si>
    <t>669225U1</t>
  </si>
  <si>
    <t>VR02L100</t>
  </si>
  <si>
    <t>VR02L300</t>
  </si>
  <si>
    <t>VR02L800</t>
  </si>
  <si>
    <t>VR030004</t>
  </si>
  <si>
    <t>VR030006</t>
  </si>
  <si>
    <t>VR030008</t>
  </si>
  <si>
    <t>VR030010</t>
  </si>
  <si>
    <t>VR030012</t>
  </si>
  <si>
    <t>VR030016</t>
  </si>
  <si>
    <t>VR030020</t>
  </si>
  <si>
    <t>VR040004</t>
  </si>
  <si>
    <t>VR040006</t>
  </si>
  <si>
    <t>VR040008</t>
  </si>
  <si>
    <t>VR040010</t>
  </si>
  <si>
    <t>VR040012</t>
  </si>
  <si>
    <t>VR040016</t>
  </si>
  <si>
    <t>49811021TR</t>
  </si>
  <si>
    <t>RX04L100</t>
  </si>
  <si>
    <t>RX04L300</t>
  </si>
  <si>
    <t>RA04L800</t>
  </si>
  <si>
    <t>RX24L140</t>
  </si>
  <si>
    <t>RX24L163</t>
  </si>
  <si>
    <t>RX04L3L1</t>
  </si>
  <si>
    <t>RA04L8L1</t>
  </si>
  <si>
    <t>1003A170400</t>
  </si>
  <si>
    <t>1004A1704</t>
  </si>
  <si>
    <t>1003A250400</t>
  </si>
  <si>
    <t>1006A250400</t>
  </si>
  <si>
    <t>1003A400400</t>
  </si>
  <si>
    <t>1006A400400</t>
  </si>
  <si>
    <t>1003A6304</t>
  </si>
  <si>
    <t>1006A6304</t>
  </si>
  <si>
    <t>TA06L104</t>
  </si>
  <si>
    <t>TA03L304</t>
  </si>
  <si>
    <t>TA06L304</t>
  </si>
  <si>
    <t>TA06L804</t>
  </si>
  <si>
    <t>1003A250600</t>
  </si>
  <si>
    <t>1006A250600</t>
  </si>
  <si>
    <t>1006A400600</t>
  </si>
  <si>
    <t>1006A6306</t>
  </si>
  <si>
    <t>1004A1702</t>
  </si>
  <si>
    <t>1006A250200</t>
  </si>
  <si>
    <t>1001E250001</t>
  </si>
  <si>
    <t>1001E250003</t>
  </si>
  <si>
    <t>1001E250004</t>
  </si>
  <si>
    <t>1001E400002</t>
  </si>
  <si>
    <t>1001E400004</t>
  </si>
  <si>
    <t>1001E400005</t>
  </si>
  <si>
    <t>1001E630008</t>
  </si>
  <si>
    <t>1001E630005</t>
  </si>
  <si>
    <t>ATC Mesure</t>
  </si>
  <si>
    <t>Sofinther</t>
  </si>
  <si>
    <t>008930</t>
  </si>
  <si>
    <t>008929</t>
  </si>
  <si>
    <t>THERMOMETRE DROIT H150MM PL100MM T-30+50°C</t>
  </si>
  <si>
    <t>THERMOMETRE DROIT H150MM PL100MM T0+120°C</t>
  </si>
  <si>
    <t>THERMOMETRE DROIT H150MM PL63MM T0+120°C</t>
  </si>
  <si>
    <t>008935</t>
  </si>
  <si>
    <t>THERMOMETRE EQUERRE H150MM PL63MM T0+120°C</t>
  </si>
  <si>
    <t>009019</t>
  </si>
  <si>
    <t>Pas créé dans Divalto</t>
  </si>
  <si>
    <t>Heures</t>
  </si>
  <si>
    <t>MO Totale</t>
  </si>
  <si>
    <t>Montant % Poste / Total</t>
  </si>
  <si>
    <t>%MO / Poste</t>
  </si>
  <si>
    <t>Étiquettes de lignes</t>
  </si>
  <si>
    <t>Total général</t>
  </si>
  <si>
    <t>Poste 1</t>
  </si>
  <si>
    <t>Poste 2</t>
  </si>
  <si>
    <t>Poste 3</t>
  </si>
  <si>
    <t>Somme de Poste 1</t>
  </si>
  <si>
    <t>Somme de Poste 3</t>
  </si>
  <si>
    <t>Somme de Poste 2</t>
  </si>
  <si>
    <t>Somme de Poste 4</t>
  </si>
  <si>
    <t>Somme de Poste 5</t>
  </si>
  <si>
    <t>Somme de Poste 6</t>
  </si>
  <si>
    <t>Frais</t>
  </si>
  <si>
    <t>Détail du Poste</t>
  </si>
  <si>
    <t>Prix Total</t>
  </si>
  <si>
    <t>Détail des Postes</t>
  </si>
  <si>
    <t>Prix Poste 1</t>
  </si>
  <si>
    <t>Prix Poste 2</t>
  </si>
  <si>
    <t>Prix Poste 3</t>
  </si>
  <si>
    <t>Prix Poste 4</t>
  </si>
  <si>
    <t>Prix Poste 5</t>
  </si>
  <si>
    <t>Prix Poste 6</t>
  </si>
  <si>
    <t>Somme de Prix Poste 1</t>
  </si>
  <si>
    <t>Somme de Prix Poste 2</t>
  </si>
  <si>
    <t>Somme de Prix Poste 3</t>
  </si>
  <si>
    <t>Somme de Prix Poste 4</t>
  </si>
  <si>
    <t>Somme de Prix Poste 5</t>
  </si>
  <si>
    <t>Somme de Prix Poste 6</t>
  </si>
  <si>
    <t>Attention aux prix à 0€</t>
  </si>
  <si>
    <t>Ajout du calcul des postes</t>
  </si>
  <si>
    <t>Externalisation du fichier de base prix, pour modification plus simple.</t>
  </si>
  <si>
    <t>Ajout du calcul des postes MO et % de MO via TCD</t>
  </si>
  <si>
    <t>BFI1</t>
  </si>
  <si>
    <t>RXS35</t>
  </si>
  <si>
    <t>TASI20</t>
  </si>
  <si>
    <t>TASI25</t>
  </si>
  <si>
    <t>VBP1FF.CAD.I</t>
  </si>
  <si>
    <t>DN25-DN15</t>
  </si>
  <si>
    <t>TR66251700</t>
  </si>
  <si>
    <t>TR66096347</t>
  </si>
  <si>
    <t>Manchon pour tube D22 - Ep13</t>
  </si>
  <si>
    <t>Manchon pour tube D28 - Ep13</t>
  </si>
  <si>
    <t>Manchon pour tube D34 - Ep13</t>
  </si>
  <si>
    <t>Manchon pour tube D42 - Ep13</t>
  </si>
  <si>
    <t>Manchon pour tube D48 - Ep13</t>
  </si>
  <si>
    <t>Manchon pour tube D54 - Ep13</t>
  </si>
  <si>
    <t>Manchon pour tube D60 - Ep13</t>
  </si>
  <si>
    <t>Manchon pour tube D80 - Ep13</t>
  </si>
  <si>
    <t>Manchon pour tube D22 - Ep19</t>
  </si>
  <si>
    <t>Manchon pour tube D28 - Ep19</t>
  </si>
  <si>
    <t>Manchon pour tube D34 - Ep19</t>
  </si>
  <si>
    <t>Manchon pour tube D42 - Ep19</t>
  </si>
  <si>
    <t>Manchon pour tube D48 - Ep19</t>
  </si>
  <si>
    <t>Manchon pour tube D60 - Ep19</t>
  </si>
  <si>
    <t>Manchon pour tube D80 - Ep19</t>
  </si>
  <si>
    <t>PUM Plastique</t>
  </si>
  <si>
    <t>Manchon Isolant - Armaflex</t>
  </si>
  <si>
    <t>Doublon CVI108-ISO</t>
  </si>
  <si>
    <t>Tube D15 - M8</t>
  </si>
  <si>
    <t>Tube D18 - M8</t>
  </si>
  <si>
    <t>Tube D22 - M8</t>
  </si>
  <si>
    <t>Tube D28 - M8</t>
  </si>
  <si>
    <t>Tube D35 - M8</t>
  </si>
  <si>
    <t>Tube D42 - M8</t>
  </si>
  <si>
    <t>Tube D54 - M8</t>
  </si>
  <si>
    <t>Tube D76 - M10</t>
  </si>
  <si>
    <t>Tube D88 - M10</t>
  </si>
  <si>
    <t>Tube D108 - M10</t>
  </si>
  <si>
    <t>Collier ISO Tube D15 - M8</t>
  </si>
  <si>
    <t>Collier ISO Tube D18 - M8</t>
  </si>
  <si>
    <t>Collier ISO Tube D22 - M8</t>
  </si>
  <si>
    <t>Collier ISO Tube D28 - M8</t>
  </si>
  <si>
    <t>Collier ISO Tube D35 - M8</t>
  </si>
  <si>
    <t>Collier ISO Tube D42 - M8</t>
  </si>
  <si>
    <t>Collier ISO Tube D54 - M8</t>
  </si>
  <si>
    <t>Collier ISO Tube D76 - M10</t>
  </si>
  <si>
    <t>Collier ISO Tube D88 - M10</t>
  </si>
  <si>
    <t>Collier ISO Tube D108 mm M8/M10</t>
  </si>
  <si>
    <t>Double écrou MPC 27/18 =&gt; 28/30 M8x40 EZ</t>
  </si>
  <si>
    <t>Double écrou MPC 27/18 =&gt; 28/30 M10x35 EZ</t>
  </si>
  <si>
    <t>Manchons à sertir M mixtes F</t>
  </si>
  <si>
    <t>R2235114S</t>
  </si>
  <si>
    <t>Bouts filetés inox 316L long</t>
  </si>
  <si>
    <t>1/2" L 100 mm</t>
  </si>
  <si>
    <t>BFI12-100</t>
  </si>
  <si>
    <t>Inox vissé</t>
  </si>
  <si>
    <t>Idem 241G3326 ?</t>
  </si>
  <si>
    <t>Joint huile FKM</t>
  </si>
  <si>
    <t>JT35FKM-RIM</t>
  </si>
  <si>
    <t>Racmet</t>
  </si>
  <si>
    <t>Joint</t>
  </si>
  <si>
    <t xml:space="preserve"> 1"1/4-DN32</t>
  </si>
  <si>
    <t>BCV114</t>
  </si>
  <si>
    <t>Ratio</t>
  </si>
  <si>
    <t>Italien D108</t>
  </si>
  <si>
    <t>Italien 88</t>
  </si>
  <si>
    <t>Italien D76</t>
  </si>
  <si>
    <t>Italien D54</t>
  </si>
  <si>
    <t>Italien D42</t>
  </si>
  <si>
    <t>Italien D28</t>
  </si>
  <si>
    <t>Italien D18</t>
  </si>
  <si>
    <t>Coude FF</t>
  </si>
  <si>
    <t>Coude MF</t>
  </si>
  <si>
    <t>Manchon réduit MF DN vers DN utilisé inférieur</t>
  </si>
  <si>
    <t>NA</t>
  </si>
  <si>
    <t>Té Réduit vers DN utilisé inférieur</t>
  </si>
  <si>
    <t>Vanne</t>
  </si>
  <si>
    <t>Kaeser</t>
  </si>
  <si>
    <t>Carte modbus TCP</t>
  </si>
  <si>
    <t xml:space="preserve">Jeu de conecteur SIGMA2  RJ45 </t>
  </si>
  <si>
    <t>Kit rattrapage RJ45-sigma2</t>
  </si>
  <si>
    <t>carte interface IO supplementaire</t>
  </si>
  <si>
    <t>044746</t>
  </si>
  <si>
    <t>DN</t>
  </si>
  <si>
    <t>Diam Tube</t>
  </si>
  <si>
    <t>G en "</t>
  </si>
  <si>
    <t>R258076</t>
  </si>
  <si>
    <t>R148076</t>
  </si>
  <si>
    <t>Italien D15</t>
  </si>
  <si>
    <t>Italien D22</t>
  </si>
  <si>
    <t>Italien D35</t>
  </si>
  <si>
    <t>DN10</t>
  </si>
  <si>
    <t>R253225</t>
  </si>
  <si>
    <t>Collier ISO M8 / M10 à partir de D76</t>
  </si>
  <si>
    <t>Collier M8 / M10 à partir de D76</t>
  </si>
  <si>
    <t>Bride PN16</t>
  </si>
  <si>
    <t>Bride Tournantes</t>
  </si>
  <si>
    <t>Raccords pour vanne</t>
  </si>
  <si>
    <t>Té mixte petit =&gt; outillage 1/2" ou à partir de D76 3/4"</t>
  </si>
  <si>
    <t>Té mixte grand =&gt; autre</t>
  </si>
  <si>
    <t>Schneider</t>
  </si>
  <si>
    <t>PUM 53466</t>
  </si>
  <si>
    <t>CMC</t>
  </si>
  <si>
    <t>CP10.1</t>
  </si>
  <si>
    <t>RS-component</t>
  </si>
  <si>
    <t>routeur 3G+monde 4G + 1 ETH,LAN - RAS-EC-400-LE</t>
  </si>
  <si>
    <t>Antenne  ETIC de travbersée , 2G/3G/4G + CABLKE LONG 5M - ANT310</t>
  </si>
  <si>
    <t>IPLDEC400</t>
  </si>
  <si>
    <t>ANT310</t>
  </si>
  <si>
    <t>ETIC</t>
  </si>
  <si>
    <t>0010402</t>
  </si>
  <si>
    <t>Switch Ethernet</t>
  </si>
  <si>
    <t>136-3015</t>
  </si>
  <si>
    <t>Câble CAT.5 SIGMA NETWORK (liaison SAM2)</t>
  </si>
  <si>
    <t>Cable capteur de pression</t>
  </si>
  <si>
    <t>7.4666.0</t>
  </si>
  <si>
    <t>K 7.4666.0</t>
  </si>
  <si>
    <t>Connecteur "PROFIBUS" pour SC1-SC2</t>
  </si>
  <si>
    <t>7.5250.00300</t>
  </si>
  <si>
    <t>K 7.5250.00300</t>
  </si>
  <si>
    <t>Connecteur "PROFIBUS" pour SAM</t>
  </si>
  <si>
    <t xml:space="preserve"> 7.4664.20010</t>
  </si>
  <si>
    <t>K 7.4664.20010</t>
  </si>
  <si>
    <t>ETR1</t>
  </si>
  <si>
    <t>ETR114</t>
  </si>
  <si>
    <t>ETR112</t>
  </si>
  <si>
    <t>ETR2</t>
  </si>
  <si>
    <t>DN25 - D34</t>
  </si>
  <si>
    <t>DN32 - D42</t>
  </si>
  <si>
    <t>DN40 - D49</t>
  </si>
  <si>
    <t>DN50 - D60</t>
  </si>
  <si>
    <t>Sous-Famille</t>
  </si>
  <si>
    <t>Vis</t>
  </si>
  <si>
    <t>Galva</t>
  </si>
  <si>
    <t>Régulation - Mesure</t>
  </si>
  <si>
    <t>CF801-DN50</t>
  </si>
  <si>
    <t>CF801-DN40</t>
  </si>
  <si>
    <t>CF801-DN32</t>
  </si>
  <si>
    <t>Com-AnaCF800</t>
  </si>
  <si>
    <t>Itron</t>
  </si>
  <si>
    <t>CF801 US50BP</t>
  </si>
  <si>
    <t xml:space="preserve">CF801 US40BP </t>
  </si>
  <si>
    <t xml:space="preserve">CF801 US32BP </t>
  </si>
  <si>
    <t>6273000050PB</t>
  </si>
  <si>
    <t xml:space="preserve">Poste de comptage CF800 DN40 Qp10m3/h +mesureur ultra sond et sondes de temp </t>
  </si>
  <si>
    <t xml:space="preserve">Poste de comptage CF800 DN32 Qp6m3/h +mesureur ultra sond et sondes de temp </t>
  </si>
  <si>
    <t>Carte de comunication comio Mbus+4 ana+1 tor avec pulse box et alim 230V</t>
  </si>
  <si>
    <t>Poste de comptage CF800 DN50 Qp15m3/h +mesureur ultra sond et sondes de temp</t>
  </si>
  <si>
    <t>Regulation</t>
  </si>
  <si>
    <t xml:space="preserve">Purgeur automatique </t>
  </si>
  <si>
    <t>3/8</t>
  </si>
  <si>
    <t>Vase d'expansion 18L 1 Bar</t>
  </si>
  <si>
    <t>Vase d'expansion25L - 1 Bar</t>
  </si>
  <si>
    <t>Vase d'expansion 12L - 0,5 Bar</t>
  </si>
  <si>
    <t>Vase d'expansion 35L - 1 Bar</t>
  </si>
  <si>
    <t>Vase d'expansion50L -0,5 bar</t>
  </si>
  <si>
    <t>Vase d'expansion 80L -2,5 bars</t>
  </si>
  <si>
    <t>Vase d'expansion 200L - 1,5 bars</t>
  </si>
  <si>
    <t>VASEXP200L-1,5B</t>
  </si>
  <si>
    <t>Vase d'expansion 250L -2,5B</t>
  </si>
  <si>
    <t>VASEXP250L-2,5B</t>
  </si>
  <si>
    <t>TC Concept</t>
  </si>
  <si>
    <t xml:space="preserve">Manomètre </t>
  </si>
  <si>
    <t xml:space="preserve">Manomètre 0 -4 bar dia 63 - 1/4" </t>
  </si>
  <si>
    <t>MANO-06B</t>
  </si>
  <si>
    <t>7.9679.0</t>
  </si>
  <si>
    <t>7.7280.00060</t>
  </si>
  <si>
    <t>K7.9679.0</t>
  </si>
  <si>
    <t xml:space="preserve">TH0-120EQ1/2LG100 </t>
  </si>
  <si>
    <t>Thermomètre 1/2"M avec doigt de gant 100mm - Alcool Equerre - 0/+120</t>
  </si>
  <si>
    <t>Thermomètre 1/2"M avec doigt de gant 63mm - Alcool Equerre 0/+120</t>
  </si>
  <si>
    <t>DGL1/2LG60</t>
  </si>
  <si>
    <t>DGL1/2LG100</t>
  </si>
  <si>
    <t>TC concept</t>
  </si>
  <si>
    <t>Doigt de gant laiton 1/2 pour thermomètre longueur 60 mm</t>
  </si>
  <si>
    <t>Doigt de gant laiton 1/2 pour thermomètre longueur 100 mm</t>
  </si>
  <si>
    <t>Doigt de gant</t>
  </si>
  <si>
    <t>1/2 "</t>
  </si>
  <si>
    <t>RCI50-40</t>
  </si>
  <si>
    <t>MIR89x13</t>
  </si>
  <si>
    <t>PUM 58959</t>
  </si>
  <si>
    <t>Aquasta</t>
  </si>
  <si>
    <t>sonde de température( contact sec) en aplique  65°C</t>
  </si>
  <si>
    <t xml:space="preserve">Raccord Hydraulique FILETE </t>
  </si>
  <si>
    <t xml:space="preserve">ecrou  pompe ( 3 pièces) </t>
  </si>
  <si>
    <t>3/4" ( 3bars)</t>
  </si>
  <si>
    <t>1" ( 4 bars)</t>
  </si>
  <si>
    <t>3/4"(7bars)</t>
  </si>
  <si>
    <t>1"(7bars)</t>
  </si>
  <si>
    <t>0/+120</t>
  </si>
  <si>
    <t>-30/+50</t>
  </si>
  <si>
    <t>0+120</t>
  </si>
  <si>
    <t>Alimentaire</t>
  </si>
  <si>
    <t>Non Alimentaire</t>
  </si>
  <si>
    <t>Raccord Hydraulique union male</t>
  </si>
  <si>
    <t>Raccord Hydraulique reduction(avec ecrou prisonié)</t>
  </si>
  <si>
    <t>Ø22</t>
  </si>
  <si>
    <t>Ø28</t>
  </si>
  <si>
    <t>Ø34</t>
  </si>
  <si>
    <t>Ø42</t>
  </si>
  <si>
    <t>Ø48</t>
  </si>
  <si>
    <t>Ø54</t>
  </si>
  <si>
    <t>Ø60</t>
  </si>
  <si>
    <t>Ø89</t>
  </si>
  <si>
    <t>Purgeur gand debit Laiton110°C Ø65 10BARS  1/2"</t>
  </si>
  <si>
    <t>Kit de raccordement pneumatique capotyeur de pression</t>
  </si>
  <si>
    <t>Débit mètre</t>
  </si>
  <si>
    <t>APICO</t>
  </si>
  <si>
    <t>Debit metre DN50</t>
  </si>
  <si>
    <t>DMT0</t>
  </si>
  <si>
    <t>Apico</t>
  </si>
  <si>
    <t>DMT1</t>
  </si>
  <si>
    <t>Debitmètre  massique thermique corrigé en Pression ABS - en charge DN50 à DN65</t>
  </si>
  <si>
    <t>DMT10</t>
  </si>
  <si>
    <t>Debitmètre  massique thermique corrigé en Pression ABS - en charge DN50 à DN65  haute vitesse</t>
  </si>
  <si>
    <t>DMT2</t>
  </si>
  <si>
    <t>Debitmètre  massique thermique corrigé en Pression ABS - en charge DN80 à DN200</t>
  </si>
  <si>
    <t>Debitmètre  massique thermique corrigé en Pression ABS - en charge DN80 à DN200 haute vitesse</t>
  </si>
  <si>
    <t>DMT20</t>
  </si>
  <si>
    <t>DMT2-MODBUS</t>
  </si>
  <si>
    <t>Debitmètre  massique thermique corrigé en Pression ABS - en charge DN80 à DN200+ ACC MDBUS</t>
  </si>
  <si>
    <t>EE776-CL1N300DA1-RI6IMA</t>
  </si>
  <si>
    <t>DMT3</t>
  </si>
  <si>
    <t>Debitmètre  massique thermique corrigé en Pression ABS - en charge DN250 à DN300</t>
  </si>
  <si>
    <t>DMT30</t>
  </si>
  <si>
    <t>Debitmètre  massique thermique corrigé en Pression ABS - en charge DN250 à DN300 haute vitesse</t>
  </si>
  <si>
    <t>1/2" (3 bars)</t>
  </si>
  <si>
    <t>Racord union fonte  circulateur Fileté 1"1/2 x3/4"</t>
  </si>
  <si>
    <t>Racord union fonte  circulateur Fileté 1"1/2 x1"</t>
  </si>
  <si>
    <t>Racord union Acier  circulateur Fileté 1"1/2 x1"1/4</t>
  </si>
  <si>
    <t>Racord union laiton  circulateur Fileté 1"1/2 x1/2"</t>
  </si>
  <si>
    <t>Racord union laiton  circulateur Fileté 1"1/2 x3/4"</t>
  </si>
  <si>
    <t>Racord union laiton  circulateur Fileté 1"1/2 x1"</t>
  </si>
  <si>
    <t>ECR112-34</t>
  </si>
  <si>
    <t>ECR112-1</t>
  </si>
  <si>
    <t>ECR112-114</t>
  </si>
  <si>
    <t>ECS112-12</t>
  </si>
  <si>
    <t>ECS112-34</t>
  </si>
  <si>
    <t>Anti bellier a Membrane Pression prégonflé 3,5b - 0,16L</t>
  </si>
  <si>
    <t>Anti bellier a Membrane Pression prégonflé 3,5b - 0,5L</t>
  </si>
  <si>
    <t>Anti bellier a Membrane Pression prégonflé 3,5b - 2L</t>
  </si>
  <si>
    <t>ANTIBEL-0,16L</t>
  </si>
  <si>
    <t>ANTIBEL-0,5L</t>
  </si>
  <si>
    <t>ANTIBEL-2L</t>
  </si>
  <si>
    <t>3/4(4  Bars)</t>
  </si>
  <si>
    <t xml:space="preserve">1/2" </t>
  </si>
  <si>
    <t>1/2(3  Bars)</t>
  </si>
  <si>
    <t>1"1/4 (7bars)</t>
  </si>
  <si>
    <t>Soupape sanitaire 7bars 1"1/4</t>
  </si>
  <si>
    <t>SSSA114-07</t>
  </si>
  <si>
    <t>K7.5250.0950</t>
  </si>
  <si>
    <t>Cordon de brassage cat6 long  0,5m</t>
  </si>
  <si>
    <t>CABRJ45CAT6-0,5M</t>
  </si>
  <si>
    <t>CABRJ45CAT6-3M</t>
  </si>
  <si>
    <t>Rexel</t>
  </si>
  <si>
    <t>Cordon de brassage cat6 long  3m</t>
  </si>
  <si>
    <t>cordon de brassage</t>
  </si>
  <si>
    <t>Antenne modem</t>
  </si>
  <si>
    <t>Switch</t>
  </si>
  <si>
    <t>Cordon de brassage cat6 long 1m</t>
  </si>
  <si>
    <t>556-998</t>
  </si>
  <si>
    <t>Routeur</t>
  </si>
  <si>
    <t>AF connect</t>
  </si>
  <si>
    <t>CARTE TWEET'AIR V1.3</t>
  </si>
  <si>
    <t>CARTE TWEET'AIR V1.3 équipé mdule GSM</t>
  </si>
  <si>
    <t>TWA-V1.3</t>
  </si>
  <si>
    <t>TWA/GSM-V1.3</t>
  </si>
  <si>
    <t>Airflux</t>
  </si>
  <si>
    <t>Disconnecteur</t>
  </si>
  <si>
    <t>Disconnecteur DN40</t>
  </si>
  <si>
    <t>Disconnecteur DN80</t>
  </si>
  <si>
    <t>BA276040</t>
  </si>
  <si>
    <t>CGR</t>
  </si>
  <si>
    <t>BA476080</t>
  </si>
  <si>
    <t>Disconecteur non controlable 3/4"</t>
  </si>
  <si>
    <t>Disconecteur Controlable 3/4" BA2860 ACS NF SOCLA</t>
  </si>
  <si>
    <t>SOFINTHER</t>
  </si>
  <si>
    <t>052725</t>
  </si>
  <si>
    <t>Disconecteur Controlable 1" BA2860 ACS NF SOCLA</t>
  </si>
  <si>
    <t>052726</t>
  </si>
  <si>
    <t>LAITON</t>
  </si>
  <si>
    <t>INOX</t>
  </si>
  <si>
    <t>DOIGT DE GANT INOX 1/2" Longueur 50 mm</t>
  </si>
  <si>
    <t>DOIGT DE GANT INOX 1/2" Longueur 100 mm</t>
  </si>
  <si>
    <t>TH-08-VA-50MM</t>
  </si>
  <si>
    <t>TH-08-VA-100MM</t>
  </si>
  <si>
    <t>SES AUTOMATION</t>
  </si>
  <si>
    <t>MPG Friogel neo 20L</t>
  </si>
  <si>
    <t>MTA</t>
  </si>
  <si>
    <t>Produit chimique du mont blanc</t>
  </si>
  <si>
    <t>MIR15x13</t>
  </si>
  <si>
    <t>Manchon pour tube D15 - Ep13</t>
  </si>
  <si>
    <t>Manchon pour tube D15 - Ep19</t>
  </si>
  <si>
    <t>MIR15x19</t>
  </si>
  <si>
    <t>Manchon pour tube D54 - Ep19</t>
  </si>
  <si>
    <t>MIR54X19</t>
  </si>
  <si>
    <t>53475</t>
  </si>
  <si>
    <t>53474</t>
  </si>
  <si>
    <t>53473</t>
  </si>
  <si>
    <t>53472</t>
  </si>
  <si>
    <t>53476</t>
  </si>
  <si>
    <t>MIR89x19</t>
  </si>
  <si>
    <t>58965</t>
  </si>
  <si>
    <t>Ruban adhésif isolant</t>
  </si>
  <si>
    <t>Ruban adhésif  non isolant</t>
  </si>
  <si>
    <t>Ø15</t>
  </si>
  <si>
    <t>Ruban adhésif isolant 50mm x15mxép 3mm</t>
  </si>
  <si>
    <t>Sonde de mesure pour remplacement DMT1</t>
  </si>
  <si>
    <t>DMT1SONDE</t>
  </si>
  <si>
    <t>Sonde de mesure pour remplacement DMT10</t>
  </si>
  <si>
    <t>DMT10SONDE</t>
  </si>
  <si>
    <t>Sonde de mesure pour remplacement DMT2</t>
  </si>
  <si>
    <t>DMT2SONDE</t>
  </si>
  <si>
    <t>EE776-T3-HV321N300</t>
  </si>
  <si>
    <t>EE776-T3-HV321N100</t>
  </si>
  <si>
    <t>EE776-T3-HV33N100</t>
  </si>
  <si>
    <t>Sonde de mesure pour remplacement DMT20</t>
  </si>
  <si>
    <t>DMT20SONDE</t>
  </si>
  <si>
    <t>EE776-T3HV33N300</t>
  </si>
  <si>
    <t>Sonde de mesure pour remplacement DMT3</t>
  </si>
  <si>
    <t>Sonde de mesure pour remplacement DMT30</t>
  </si>
  <si>
    <t>DMT3SONDE</t>
  </si>
  <si>
    <t>DMT30SONDE</t>
  </si>
  <si>
    <t>EE776-T3HV33N700</t>
  </si>
  <si>
    <t>EE776-T3HV31N700</t>
  </si>
  <si>
    <t>EE371-T-E-HA03-D08-C6-TD</t>
  </si>
  <si>
    <t>Transmetteur compact pou rmesure point de rosée avec afficheur</t>
  </si>
  <si>
    <t>EE371-T-E-HA03-F08-C6-TD</t>
  </si>
  <si>
    <t>HYGAD</t>
  </si>
  <si>
    <t>Hygromètre secheur Add avec chambre de mesure et sans afficheur</t>
  </si>
  <si>
    <t>HYGAFFAD</t>
  </si>
  <si>
    <t>Hygromètre secheur Add avec chambre de mesure et afficheur</t>
  </si>
  <si>
    <t>Hygromètre secheur Add a insertion ( sous presion) et afficheur deporté + relais d'alarme</t>
  </si>
  <si>
    <t>HYGEE35AD</t>
  </si>
  <si>
    <t>HYGEE35FR</t>
  </si>
  <si>
    <t>Hygromètre secheur FRIGO A insertion ( sous presion) et afficheur deporté + relais d'alarme</t>
  </si>
  <si>
    <t>Hygromètre secheur FRIGO avec chambre de mesure</t>
  </si>
  <si>
    <t>HYGFR</t>
  </si>
  <si>
    <t>cable 10m raccordement acpteur de debit</t>
  </si>
  <si>
    <t>HA010818</t>
  </si>
  <si>
    <t>Cable 10 conexion EE354 avec fils denudés</t>
  </si>
  <si>
    <t>HA010821</t>
  </si>
  <si>
    <t>Capteur de pression absolue 0-10 bars</t>
  </si>
  <si>
    <t>PTX50723-TYA-A1-CA-HO-PB/10</t>
  </si>
  <si>
    <t>Vanne à boule 3 voies 3/4"-1/4"-1/2" ( debit metre avec capteur de pression)</t>
  </si>
  <si>
    <t>VAB3V34X12</t>
  </si>
  <si>
    <t>SDP</t>
  </si>
  <si>
    <t>EE451-T3/6XXPO002M</t>
  </si>
  <si>
    <t>Capteur de température murale intérieur / extérieur</t>
  </si>
  <si>
    <t>Température</t>
  </si>
  <si>
    <t>ATC MESURE</t>
  </si>
  <si>
    <t>DMT132</t>
  </si>
  <si>
    <t>DMT142-CXD33X</t>
  </si>
  <si>
    <t>DMT143</t>
  </si>
  <si>
    <t>DMT143-CXD33X</t>
  </si>
  <si>
    <t>DMT152-A1DX1</t>
  </si>
  <si>
    <t>DMT242</t>
  </si>
  <si>
    <t>Transmetteur  de point de rosée pour secheur frigo</t>
  </si>
  <si>
    <t>Hygromètre pour secehur frigo avec câble de 3m</t>
  </si>
  <si>
    <t>Hygromètre miniature sécheur frigo avec câble de 3m</t>
  </si>
  <si>
    <t>Hygromètre miniature sécheur frigo avec câble de 2m</t>
  </si>
  <si>
    <t>Hygromètre pour secehur absorption avec câble de 3m</t>
  </si>
  <si>
    <t>Hygromètre OEM</t>
  </si>
  <si>
    <t>Transmetteur de point de rosé</t>
  </si>
  <si>
    <t>DMT348</t>
  </si>
  <si>
    <t>DMT347</t>
  </si>
  <si>
    <t>Hygromètre industriel</t>
  </si>
  <si>
    <t>Afficheur pour hygromètre DMT348</t>
  </si>
  <si>
    <t>DMT348-AFF</t>
  </si>
  <si>
    <t>Hygromètre a afficheur sech absorption avec câble de5m</t>
  </si>
  <si>
    <t>Hygromètre a afficheur sech frigo, avec câble de5m</t>
  </si>
  <si>
    <t>DMT348-W0B1A-BV-A</t>
  </si>
  <si>
    <t>DMT348-W0B1A-BV-F</t>
  </si>
  <si>
    <t>Chambre d'echantillonage avec vis de fuite</t>
  </si>
  <si>
    <t>CE-1</t>
  </si>
  <si>
    <t>Delta P</t>
  </si>
  <si>
    <t>PT100</t>
  </si>
  <si>
    <t>sonde de température PT100 tête standard</t>
  </si>
  <si>
    <t>cable pour contrôle DMT142</t>
  </si>
  <si>
    <t>cable pour contrôle DMT152</t>
  </si>
  <si>
    <t>cable pour contrôle DMT348</t>
  </si>
  <si>
    <t>CCTRL142</t>
  </si>
  <si>
    <t>CCTRL152</t>
  </si>
  <si>
    <t>CCTRL3482</t>
  </si>
  <si>
    <t>VA400</t>
  </si>
  <si>
    <t>Debimetre massique thermique sonde 400mm (non corrigé en pression)</t>
  </si>
  <si>
    <t>BEKO</t>
  </si>
  <si>
    <t>CPV-1</t>
  </si>
  <si>
    <t>carte d'interface</t>
  </si>
  <si>
    <t>Carte d'interface RS485</t>
  </si>
  <si>
    <t>Carte interface vitesse variable</t>
  </si>
  <si>
    <t xml:space="preserve">Metacentre module entrée /sortie </t>
  </si>
  <si>
    <t>META,ES</t>
  </si>
  <si>
    <t>Interface module</t>
  </si>
  <si>
    <t>Interface RDT 4 cartes CIM</t>
  </si>
  <si>
    <t>CIM.VV</t>
  </si>
  <si>
    <t>CIM.1</t>
  </si>
  <si>
    <t>CIM.485</t>
  </si>
  <si>
    <t>META.EX</t>
  </si>
  <si>
    <t>META.IX</t>
  </si>
  <si>
    <t>META.P4</t>
  </si>
  <si>
    <t>META.P4-KIT</t>
  </si>
  <si>
    <t>Régulation 4 compresseurs</t>
  </si>
  <si>
    <t>Régulation 4 compresseurs + 4 cartes CIM+ capteur de pression</t>
  </si>
  <si>
    <t>META.RCB</t>
  </si>
  <si>
    <t>META.S2</t>
  </si>
  <si>
    <t>META.S2-KIT</t>
  </si>
  <si>
    <t>META.S3</t>
  </si>
  <si>
    <t>META.S3-KIT</t>
  </si>
  <si>
    <t>META.SX</t>
  </si>
  <si>
    <t>META.SX-KIT</t>
  </si>
  <si>
    <t>META,TX</t>
  </si>
  <si>
    <t>META.VSD</t>
  </si>
  <si>
    <t>META.VSD-VO</t>
  </si>
  <si>
    <t>META.XC</t>
  </si>
  <si>
    <t>Boitier de surveillance</t>
  </si>
  <si>
    <t>regulation pour 2 compresseurs maxi 2P  SD</t>
  </si>
  <si>
    <t>regulation pour 3 compresseurs maxi 2P  SD</t>
  </si>
  <si>
    <t>Régulation 3 compresseurs + 3 cartes CIM+ capteur de pression</t>
  </si>
  <si>
    <t>Régulation 2 compresseurs + 2 cartes CIM+ capteur de pression</t>
  </si>
  <si>
    <t>Régulation pour 12 compresseur maxi</t>
  </si>
  <si>
    <t>Régulation 12  compresseurs + 4 cartes CIM+ capteur de pression</t>
  </si>
  <si>
    <t>Passerelle de comunication sans modem</t>
  </si>
  <si>
    <t>interface VSD pour capteur 4-20MA</t>
  </si>
  <si>
    <t>interface VSD pour capteur 0-10V</t>
  </si>
  <si>
    <t>regulation pour 24 compresseurs</t>
  </si>
  <si>
    <t>VSDMON100</t>
  </si>
  <si>
    <t>VSDMON600</t>
  </si>
  <si>
    <t>Carte de Contrôle I=25,50,100amp</t>
  </si>
  <si>
    <t>Carte de Contrôle I=200,600amp</t>
  </si>
  <si>
    <t>Poste de comptage sans sortie de signal avec afficheur DN25</t>
  </si>
  <si>
    <t>CPTENER-25</t>
  </si>
  <si>
    <t>CPTENER-32</t>
  </si>
  <si>
    <t>CPTENER-40</t>
  </si>
  <si>
    <t>Poste de comptage sans sortie de signal avec afficheur DN32</t>
  </si>
  <si>
    <t>Poste de comptage sans sortie de signal avec afficheur DN40</t>
  </si>
  <si>
    <t xml:space="preserve"> Regulation </t>
  </si>
  <si>
    <t>AIRLEADER</t>
  </si>
  <si>
    <t>2401-M</t>
  </si>
  <si>
    <t>Airleeader master modul</t>
  </si>
  <si>
    <t>2401SE</t>
  </si>
  <si>
    <t>Baie de regulation 16 compresseurs</t>
  </si>
  <si>
    <t>Airleader CN-II + light ( complet avec PC) 8 compresseurs</t>
  </si>
  <si>
    <t>Système de regulation Airleader CN  8 compresseurs ( ancien modèle)</t>
  </si>
  <si>
    <t>Logiciel serveur WEB</t>
  </si>
  <si>
    <t>Modbus serveur Airleader</t>
  </si>
  <si>
    <t>A-2401-MS</t>
  </si>
  <si>
    <t>boitier de regulation Airleader Master II</t>
  </si>
  <si>
    <t>boitier de regulation Master modul( ancien modèle)</t>
  </si>
  <si>
    <t>A-2403-MS</t>
  </si>
  <si>
    <t>boitier de regulation Airleader Master module</t>
  </si>
  <si>
    <t xml:space="preserve">module interface RS485 </t>
  </si>
  <si>
    <t>Isolateur de boucle 4/-20MA</t>
  </si>
  <si>
    <t>DTH-S</t>
  </si>
  <si>
    <t>SAM4.0-4</t>
  </si>
  <si>
    <t>7.9685.00050</t>
  </si>
  <si>
    <t>STAMI</t>
  </si>
  <si>
    <t>CP60</t>
  </si>
  <si>
    <t>Capteur capacitif</t>
  </si>
  <si>
    <t>KQ6001</t>
  </si>
  <si>
    <t>Capteur capacitif   TOR (NO+NF)</t>
  </si>
  <si>
    <t>IFM Electronic</t>
  </si>
  <si>
    <t>Capteur de Pression 0….10b / 4-20ma</t>
  </si>
  <si>
    <t>Capteur de Pression 0-20b / 0-10v</t>
  </si>
  <si>
    <t>Capteur de Pression 0….16b /4-20ma</t>
  </si>
  <si>
    <t>Capteur de Pression 0….60b /4-20ma</t>
  </si>
  <si>
    <t>Capteur de presion pou rpompe a vide  /4-20ma</t>
  </si>
  <si>
    <t>Sonde delta P -2500/+2500 mbar -1/4" FF  /4-20ma</t>
  </si>
  <si>
    <t>Capteur</t>
  </si>
  <si>
    <t>Pression</t>
  </si>
  <si>
    <t>Autres</t>
  </si>
  <si>
    <t>EQT2-16B</t>
  </si>
  <si>
    <t>EQTPAU0050</t>
  </si>
  <si>
    <t>EQTPAU0100</t>
  </si>
  <si>
    <t>EQTPAU0200</t>
  </si>
  <si>
    <t>EQTPAU0300</t>
  </si>
  <si>
    <t>EQTPAU0500</t>
  </si>
  <si>
    <t>EQTPAU0500.16G</t>
  </si>
  <si>
    <t>EQTPAU0750</t>
  </si>
  <si>
    <t>EQTPAU0900</t>
  </si>
  <si>
    <t>EQTPAU1000</t>
  </si>
  <si>
    <t>EQTPAU10000</t>
  </si>
  <si>
    <t>EQTPAU10000I</t>
  </si>
  <si>
    <t>EQTPAU1500</t>
  </si>
  <si>
    <t>EQTPAU1500.16G</t>
  </si>
  <si>
    <t>EQTPAU20000</t>
  </si>
  <si>
    <t>EQTPAU3000</t>
  </si>
  <si>
    <t>EQTPAU4000</t>
  </si>
  <si>
    <t>EQTPAU5000</t>
  </si>
  <si>
    <t>EQTPAU5000-2"</t>
  </si>
  <si>
    <t>EQTPAU7000</t>
  </si>
  <si>
    <t>EQTPAU8000</t>
  </si>
  <si>
    <t>EQTPAU8000-2"</t>
  </si>
  <si>
    <t>RVPA0050.10G</t>
  </si>
  <si>
    <t>RVPA1000.11G</t>
  </si>
  <si>
    <t>RVPA1000.16G</t>
  </si>
  <si>
    <t>RVPA1500.16G</t>
  </si>
  <si>
    <t>RVPA2000.11G</t>
  </si>
  <si>
    <t>RVPA3000.11G</t>
  </si>
  <si>
    <t>RVPA4000.11G</t>
  </si>
  <si>
    <t>RVPA5000.10G</t>
  </si>
  <si>
    <t>RVPA5000.10G-DN150</t>
  </si>
  <si>
    <t>RVPA5000.10I</t>
  </si>
  <si>
    <t>RVPA8000.10-DN150</t>
  </si>
  <si>
    <t>RVPA8000.10-DN200</t>
  </si>
  <si>
    <t>RVPA8000.10G</t>
  </si>
  <si>
    <t>RVPA8000.10G-DN100</t>
  </si>
  <si>
    <t>RVPA10000.13G</t>
  </si>
  <si>
    <t>RVPA10000.13I</t>
  </si>
  <si>
    <t>RVPA10000.15I</t>
  </si>
  <si>
    <t>Pauchard</t>
  </si>
  <si>
    <t>Vanne 3V</t>
  </si>
  <si>
    <t>Vanne 3V a secteur fonte</t>
  </si>
  <si>
    <t>3/4" FFF</t>
  </si>
  <si>
    <t>1" FFF</t>
  </si>
  <si>
    <t>1"1/4 FFF</t>
  </si>
  <si>
    <t>1"1/2 FFF</t>
  </si>
  <si>
    <t>2" FFF</t>
  </si>
  <si>
    <t>Vanne Boisseau Sphérique</t>
  </si>
  <si>
    <t>VBP18FF</t>
  </si>
  <si>
    <t>Doublon 012335</t>
  </si>
  <si>
    <t>Doublon 012336</t>
  </si>
  <si>
    <t>Doublon 012337</t>
  </si>
  <si>
    <t>Doublon 012338</t>
  </si>
  <si>
    <t>Doublon 012339</t>
  </si>
  <si>
    <t>Laiton Cadenassable FF - Poinge longue</t>
  </si>
  <si>
    <t>VBP2FF.CAD</t>
  </si>
  <si>
    <t>Inox Cadenassable FF - Poignée Longue</t>
  </si>
  <si>
    <t>Doublon ?</t>
  </si>
  <si>
    <t>VBP34FF.CAD.INOX</t>
  </si>
  <si>
    <t>Apro Ouest</t>
  </si>
  <si>
    <t>Doublon VBP112FF.CAD.INOX</t>
  </si>
  <si>
    <t>VBP112FF.CAD.INOX</t>
  </si>
  <si>
    <t>Doublon  VBP112FF.CAD.I</t>
  </si>
  <si>
    <t>Doublon 012343</t>
  </si>
  <si>
    <t>Laiton MM</t>
  </si>
  <si>
    <t>VBP38MM</t>
  </si>
  <si>
    <t>VBP12MM</t>
  </si>
  <si>
    <t>VBP34MM</t>
  </si>
  <si>
    <t>VBP1MM</t>
  </si>
  <si>
    <t>VBP114MM</t>
  </si>
  <si>
    <t>VBP112MM</t>
  </si>
  <si>
    <t>VBP2MM</t>
  </si>
  <si>
    <t>Inox Cadenassable MF - Poignée Longue</t>
  </si>
  <si>
    <t>Laiton FF - Poignée papillon</t>
  </si>
  <si>
    <t>VBSP12FF</t>
  </si>
  <si>
    <t>012363</t>
  </si>
  <si>
    <t>Laiton MF - Poignée papillon</t>
  </si>
  <si>
    <t>VBSP12MF</t>
  </si>
  <si>
    <t>Laiton FF - Poignée papillon - Filet long</t>
  </si>
  <si>
    <t>VBSP1FF</t>
  </si>
  <si>
    <t>VBSP34FF</t>
  </si>
  <si>
    <t>VBSP34MF</t>
  </si>
  <si>
    <t>VBSP38FF</t>
  </si>
  <si>
    <t>K01000</t>
  </si>
  <si>
    <t>VBSP38MF</t>
  </si>
  <si>
    <t>Vanne d'équillibrage</t>
  </si>
  <si>
    <t>Femelle - Femelle</t>
  </si>
  <si>
    <t>1/2" FF - 3m3/h</t>
  </si>
  <si>
    <t>K13876</t>
  </si>
  <si>
    <t>Doublon VEQ12FF</t>
  </si>
  <si>
    <t>1/2" FF</t>
  </si>
  <si>
    <t>VEQ12FF</t>
  </si>
  <si>
    <t>C17679</t>
  </si>
  <si>
    <t>Doublon VEQ1/2FF</t>
  </si>
  <si>
    <t>3/4" FF - 6,6m3/h</t>
  </si>
  <si>
    <t>K13877</t>
  </si>
  <si>
    <t>Male - Male</t>
  </si>
  <si>
    <t>3/4" MM</t>
  </si>
  <si>
    <t>072696</t>
  </si>
  <si>
    <t>1" FF - 9,5m3/h</t>
  </si>
  <si>
    <t>K13878</t>
  </si>
  <si>
    <t>1"1/4 FF - 26m3/h</t>
  </si>
  <si>
    <t>C17682</t>
  </si>
  <si>
    <t>1"1/2 FF - 26m3/h</t>
  </si>
  <si>
    <t>K13880</t>
  </si>
  <si>
    <t>2"FF - 40m3/h</t>
  </si>
  <si>
    <t>C17684</t>
  </si>
  <si>
    <t>Bride</t>
  </si>
  <si>
    <t>VEQ80</t>
  </si>
  <si>
    <t>DN100 - Thermador</t>
  </si>
  <si>
    <t>VEQ100</t>
  </si>
  <si>
    <t>DN100 - TA</t>
  </si>
  <si>
    <t>009847</t>
  </si>
  <si>
    <t>Vanne Papillon</t>
  </si>
  <si>
    <t>Oreille de centrage - Fonte - EPDM "Eau"</t>
  </si>
  <si>
    <t>VP50OC-EPDM</t>
  </si>
  <si>
    <t>Oreille Taraudée - Inox/Fonte ? - EPDM "Eau"</t>
  </si>
  <si>
    <t>VP65OT-EPDM</t>
  </si>
  <si>
    <t>Oreille Taraudée - Inox - EPDM "Eau"</t>
  </si>
  <si>
    <t>VPI65OT-EPDM</t>
  </si>
  <si>
    <t>VP80OTEPDM</t>
  </si>
  <si>
    <t>VPI100OT-EPDM</t>
  </si>
  <si>
    <t>Oreille Taraudée - Fonte - EPDM "Eau"</t>
  </si>
  <si>
    <t>VP50OT-EPDM</t>
  </si>
  <si>
    <t>Oreille Taraudée - Fonte - NBR "Air"</t>
  </si>
  <si>
    <t>Doublon VPOT1162</t>
  </si>
  <si>
    <t>VP200OTPN16</t>
  </si>
  <si>
    <t>Oreille Taraudée - Metal / Metal - Haute T°</t>
  </si>
  <si>
    <t>Oreille de centrage - NBR "Air"</t>
  </si>
  <si>
    <t>VP100OC</t>
  </si>
  <si>
    <t>VP DN100 610BL</t>
  </si>
  <si>
    <t>VP125OC</t>
  </si>
  <si>
    <t>VP DN125 610BL</t>
  </si>
  <si>
    <t>VP150OC</t>
  </si>
  <si>
    <t>VP DN150 610BL</t>
  </si>
  <si>
    <t>VP65OC</t>
  </si>
  <si>
    <t>Oreille de centrage - EPDM "Eau"</t>
  </si>
  <si>
    <t>VP65OC-EPDM</t>
  </si>
  <si>
    <t>VP80OC</t>
  </si>
  <si>
    <t>DN80 - Avec actionneur pneumatique simple effet</t>
  </si>
  <si>
    <t>VP80OC-APSE</t>
  </si>
  <si>
    <t>Lamoot Dari</t>
  </si>
  <si>
    <t>SL3NAN080+AP35S</t>
  </si>
  <si>
    <t>Oreille Taraudée - Inox - NBR "Air"</t>
  </si>
  <si>
    <t>VPI080OT</t>
  </si>
  <si>
    <t>Gerondeau</t>
  </si>
  <si>
    <t>0006LD</t>
  </si>
  <si>
    <t>Oreille Taraudée - Inox - NBR "Air"?</t>
  </si>
  <si>
    <t>VPI125OT</t>
  </si>
  <si>
    <t>0006LF</t>
  </si>
  <si>
    <t>Flexible Hydraulique</t>
  </si>
  <si>
    <t>ETN</t>
  </si>
  <si>
    <t>CEJN</t>
  </si>
  <si>
    <t>Pour flexible Tricoclair</t>
  </si>
  <si>
    <t>1"M - Flexible Dint 25</t>
  </si>
  <si>
    <t>Senga</t>
  </si>
  <si>
    <t>1"M - Flexible Dint 27</t>
  </si>
  <si>
    <t>3/4"M - Flexible Dint 21</t>
  </si>
  <si>
    <t>3/4"M - Flexible Dint 25</t>
  </si>
  <si>
    <t>3/4"M - Flexible Dint 16</t>
  </si>
  <si>
    <t>3/4"M - Flexible Dint 18</t>
  </si>
  <si>
    <t>3/4"M - Flexible Dint 27</t>
  </si>
  <si>
    <t>1/2"M - Flexible Dint 10</t>
  </si>
  <si>
    <t>1/2"M - Flexible Dint 14</t>
  </si>
  <si>
    <t>1/2"M - Flexible Dint 13,5</t>
  </si>
  <si>
    <t>1/2"M - Flexible Dint 17</t>
  </si>
  <si>
    <t>1/2"M - Flexible Dint 20</t>
  </si>
  <si>
    <t>1/2"M - Flexible Dint 9</t>
  </si>
  <si>
    <t>3/8"M - Flexible Dint 20</t>
  </si>
  <si>
    <t>3/8"M - Flexible Dint 10</t>
  </si>
  <si>
    <t>3/8"M - Flexible Dint 14</t>
  </si>
  <si>
    <t>3/8"M - Flexible Dint 12</t>
  </si>
  <si>
    <t>3/8"M - Flexible Dint 13,5</t>
  </si>
  <si>
    <t>3/8"M - Flexible Dint 17</t>
  </si>
  <si>
    <t>3/8"M - Flexible Dint 9</t>
  </si>
  <si>
    <t>1/4"M - Flexible Dint 12</t>
  </si>
  <si>
    <t>1/4"M - Flexible Dint 11,5</t>
  </si>
  <si>
    <t>1/4"M - Flexible Dint 7</t>
  </si>
  <si>
    <t>1/4"M Long - Flexible Dint 9</t>
  </si>
  <si>
    <t>1/8"M - Flexible Dint 9</t>
  </si>
  <si>
    <t>Col de cygne</t>
  </si>
  <si>
    <t>180R150</t>
  </si>
  <si>
    <t>180R180</t>
  </si>
  <si>
    <t>180R220</t>
  </si>
  <si>
    <t>180R280</t>
  </si>
  <si>
    <t>Bac de rétention</t>
  </si>
  <si>
    <t>Compteur d'eau</t>
  </si>
  <si>
    <t>Ordre de classement inter-sous-famille</t>
  </si>
  <si>
    <t>Consoles</t>
  </si>
  <si>
    <t>Concat. Gam Fam Sous-Fam</t>
  </si>
  <si>
    <t>RASI304112</t>
  </si>
  <si>
    <t>RVPA0900.10G</t>
  </si>
  <si>
    <t>XCT 120-10-Cosse tubulaire cuivre BT selon NF C20-130-Section: 120mm -Born: 10mm</t>
  </si>
  <si>
    <t>XCT 95-12-Cosse tubulaire cuivre BT selon NF C20-130-Section: 95mm -Born: 12mm</t>
  </si>
  <si>
    <t>Brides PB TOURNANTE Camier PN10</t>
  </si>
  <si>
    <t>1" - DN25</t>
  </si>
  <si>
    <t>FASI3041</t>
  </si>
  <si>
    <t>1"1/4 - DN32</t>
  </si>
  <si>
    <t>FASI304114</t>
  </si>
  <si>
    <t>1"1/2 - DN40</t>
  </si>
  <si>
    <t>4" - DN100</t>
  </si>
  <si>
    <t>5" - DN125</t>
  </si>
  <si>
    <t xml:space="preserve">6" - DN150 </t>
  </si>
  <si>
    <t>8" - DN200</t>
  </si>
  <si>
    <t>2"1/2 - DN65</t>
  </si>
  <si>
    <t xml:space="preserve">3" - DN80 </t>
  </si>
  <si>
    <t xml:space="preserve">2" - DN50 </t>
  </si>
  <si>
    <t>FBI50</t>
  </si>
  <si>
    <t xml:space="preserve">TASI15 </t>
  </si>
  <si>
    <t>TASI42</t>
  </si>
  <si>
    <t>Bouchon male inox 316L 2"1/2</t>
  </si>
  <si>
    <t>290I212</t>
  </si>
  <si>
    <t>Bouchon male inox 316L 1"</t>
  </si>
  <si>
    <t>Bouchon male inox 316L 1"1/2</t>
  </si>
  <si>
    <t>Bouchon male inox 316L 1"1/4</t>
  </si>
  <si>
    <t>Bouchon male inox 316L 1/2"</t>
  </si>
  <si>
    <t>Bouchon male inox 316L 1/4"</t>
  </si>
  <si>
    <t>Bouchon male inox 316L 2"</t>
  </si>
  <si>
    <t>Bouchon male inox 316L 3"</t>
  </si>
  <si>
    <t>Bouchon male inox 316L 3/4"</t>
  </si>
  <si>
    <t>Clapets anti-retour inox FF</t>
  </si>
  <si>
    <t>Mamelons  Inox fileté 316 L / 280I</t>
  </si>
  <si>
    <t>Mamelon inox316L fileté 1"</t>
  </si>
  <si>
    <t>Mamelon inox316L fileté 1"1/2</t>
  </si>
  <si>
    <t>Mamelon inox316L fileté 1"1/4</t>
  </si>
  <si>
    <t>Mamelon inox316L fileté 1/2"</t>
  </si>
  <si>
    <t>Mamelon inox316L fileté 1/4"</t>
  </si>
  <si>
    <t>Mamelon inox316L fileté 1/8"</t>
  </si>
  <si>
    <t>Mamelon inox316L fileté 2"</t>
  </si>
  <si>
    <t>Mamelon inox316L fileté 2"1/2</t>
  </si>
  <si>
    <t>Mamelon inox316L fileté 3"</t>
  </si>
  <si>
    <t>Mamelon inox316L fileté 3/4"</t>
  </si>
  <si>
    <t>Mamelon inox316L fileté 3/8"</t>
  </si>
  <si>
    <t>Mamelon inox316L fileté 4"</t>
  </si>
  <si>
    <t>DOIGT DE GANT INOX 1/2" Longueur 160 mm</t>
  </si>
  <si>
    <t>DGI1/2LG160</t>
  </si>
  <si>
    <t>Kit vanne 3 voies 230 Vac</t>
  </si>
  <si>
    <t>Kit vanne 3 voies 24 Vac</t>
  </si>
  <si>
    <t>Kit vanne 3 voies 24 Vdc</t>
  </si>
  <si>
    <t xml:space="preserve">Kit vanne 3 voies </t>
  </si>
  <si>
    <t>Manomètre 0- 10 bars dia 63 - 1/4" (90)°</t>
  </si>
  <si>
    <t>MANO-010B</t>
  </si>
  <si>
    <t>thermador</t>
  </si>
  <si>
    <t>MR10</t>
  </si>
  <si>
    <t>COUDE 42L</t>
  </si>
  <si>
    <t>COUDE 15L</t>
  </si>
  <si>
    <t>COUDE 22L</t>
  </si>
  <si>
    <t>1 " (28L)</t>
  </si>
  <si>
    <t>UMA28LX1"</t>
  </si>
  <si>
    <t>1" (22L)</t>
  </si>
  <si>
    <t>1" (35L)</t>
  </si>
  <si>
    <t>UMA35LX1"</t>
  </si>
  <si>
    <t>1"1/2 (42L)</t>
  </si>
  <si>
    <t>UMA42LX1"1/2</t>
  </si>
  <si>
    <t>1"1/4 (35L)</t>
  </si>
  <si>
    <t>UMA35LX1"1/4</t>
  </si>
  <si>
    <t>1"1/4(28L)</t>
  </si>
  <si>
    <t>1"1/4(35L)</t>
  </si>
  <si>
    <t>1"1/4(42L)</t>
  </si>
  <si>
    <t>UMA42LX1"1/4</t>
  </si>
  <si>
    <t>3/4" (15L)</t>
  </si>
  <si>
    <t>3/4" (22L)</t>
  </si>
  <si>
    <t>UMA22LX3/4</t>
  </si>
  <si>
    <t>3/4" (28L)</t>
  </si>
  <si>
    <t>UMA28LX3/4</t>
  </si>
  <si>
    <t>3/4"(18L)</t>
  </si>
  <si>
    <t>UMA18 X3/4L</t>
  </si>
  <si>
    <t>1"(28L)</t>
  </si>
  <si>
    <t>UA28CL,LNU(1")</t>
  </si>
  <si>
    <t>1"1/2(42l)</t>
  </si>
  <si>
    <t>UA42CL,LNU(1"1/2)</t>
  </si>
  <si>
    <t>UA35CL,LNU(1"1/4)</t>
  </si>
  <si>
    <t>1/2"(15L)</t>
  </si>
  <si>
    <t>UA15CL,LNU (1/2")</t>
  </si>
  <si>
    <t>3/4"(22l)</t>
  </si>
  <si>
    <t>UA22CL,LNU(3/4")</t>
  </si>
  <si>
    <t>1" (28L)</t>
  </si>
  <si>
    <t>union 28L</t>
  </si>
  <si>
    <t>1"1/2  (42L)</t>
  </si>
  <si>
    <t>union 42L</t>
  </si>
  <si>
    <t>1/2" (15L)</t>
  </si>
  <si>
    <t>union 15L</t>
  </si>
  <si>
    <t>1/2" (18L)</t>
  </si>
  <si>
    <t>union 18L</t>
  </si>
  <si>
    <t>union 22L</t>
  </si>
  <si>
    <t>1"1/2x1"1/4 (42Lx35L)</t>
  </si>
  <si>
    <t>42Lx35L</t>
  </si>
  <si>
    <t>1"1/4 x1" (35Lx28L)</t>
  </si>
  <si>
    <t>35Lx28L</t>
  </si>
  <si>
    <t>Té EMBOUT LISSE 42L</t>
  </si>
  <si>
    <t>Té EMBOUT LISSE 35L</t>
  </si>
  <si>
    <t>té renversé 42L</t>
  </si>
  <si>
    <t>té renversé 35L</t>
  </si>
  <si>
    <t>té renversé 15L</t>
  </si>
  <si>
    <t>2/2" (28L)</t>
  </si>
  <si>
    <t>té renversé 28L</t>
  </si>
  <si>
    <t>té renversé 22L</t>
  </si>
  <si>
    <t>28lx1"</t>
  </si>
  <si>
    <t>35lLx1"1/4</t>
  </si>
  <si>
    <t>Thermomètre à cadran 0/+120°C plongeur lg160mm</t>
  </si>
  <si>
    <t>TH0-120CAD1/2LG160</t>
  </si>
  <si>
    <t>232DGL160</t>
  </si>
  <si>
    <t>Récup calorie</t>
  </si>
  <si>
    <t>Compteur d'energies</t>
  </si>
  <si>
    <t>Câble Profibus. blindé 1x2x0.64/2.55</t>
  </si>
  <si>
    <t>Câble olfex Class.110 x1.0 AWG18 ( Sigma 1)</t>
  </si>
  <si>
    <t>K7.0630.00010</t>
  </si>
  <si>
    <t>7..0630.0010</t>
  </si>
  <si>
    <t>K7.2679.0</t>
  </si>
  <si>
    <t>7.2679.0</t>
  </si>
  <si>
    <t>7.5250.01950</t>
  </si>
  <si>
    <t>K7.5250.01870</t>
  </si>
  <si>
    <t>7.5250.1870</t>
  </si>
  <si>
    <t>Câble olfex 150 Quatro 2x1.0 AWG18 ( defaut s)</t>
  </si>
  <si>
    <t>K7.7280.00060</t>
  </si>
  <si>
    <t>K7.7628.1</t>
  </si>
  <si>
    <t>7.7628.1</t>
  </si>
  <si>
    <t>K7.9681.2</t>
  </si>
  <si>
    <t>7.9681.2</t>
  </si>
  <si>
    <t>programmation sd carte mis à jour Software 4.0.1</t>
  </si>
  <si>
    <t>K9.5022.0</t>
  </si>
  <si>
    <t>9.5022.0</t>
  </si>
  <si>
    <t>regulation SAM4.0-4 compresseurs</t>
  </si>
  <si>
    <t>regulation SAM4.0-8 compresseurs</t>
  </si>
  <si>
    <t>SAM4.0-8</t>
  </si>
  <si>
    <t>regulation SAM4.0-16 compresseurs</t>
  </si>
  <si>
    <t>SAM4.0-16</t>
  </si>
  <si>
    <t>k8.0484.10050</t>
  </si>
  <si>
    <t>8.0484.10050</t>
  </si>
  <si>
    <t>BARRE DE CUIVRE</t>
  </si>
  <si>
    <t>Barre de cuivre plate 15x4mm-200A lg 990mm</t>
  </si>
  <si>
    <t>Barre de cuivre plate 25x4mm-280/250A lg 990mm</t>
  </si>
  <si>
    <t>Barre de cuivre plate 25x5mm-330/270A lg 1750mm</t>
  </si>
  <si>
    <t>DISJONCTEUR MONOPHASE</t>
  </si>
  <si>
    <t>Disjoncteur Modulaire-1P+N Courbe C 4,5KA/6KA_1A</t>
  </si>
  <si>
    <t>SCHA9P22601</t>
  </si>
  <si>
    <t>Disjoncteur Modulaire-1P+N Courbe C 4,5KA/6KA_2A</t>
  </si>
  <si>
    <t>SCHA9P22602</t>
  </si>
  <si>
    <t>Disjoncteur Modulaire-1P+N Courbe C 4,5KA/6KA_4A</t>
  </si>
  <si>
    <t>SCHA9P22604</t>
  </si>
  <si>
    <t>Disjoncteur Modulaire-1P+N Courbe C 4,5KA/6KA_6A</t>
  </si>
  <si>
    <t>SCHA9P22606</t>
  </si>
  <si>
    <t>Disjoncteur Modulaire-1P+N Courbe C 4,5KA/6KA_10A</t>
  </si>
  <si>
    <t>SCHA9P22610</t>
  </si>
  <si>
    <t>Disjoncteur Modulaire-1P+N Courbe C 4,5KA/6KA_16A</t>
  </si>
  <si>
    <t>SCHA9P22616</t>
  </si>
  <si>
    <t>Disjoncteur Modulaire-1P+N Courbe C 4,5KA/6KA_20A</t>
  </si>
  <si>
    <t>SCHA9P22620</t>
  </si>
  <si>
    <t>Disjoncteur Modulaire-1P+N Courbe C 4,5KA/6KA_25A</t>
  </si>
  <si>
    <t>SCHA9P22625</t>
  </si>
  <si>
    <t>Disjoncteur Modulaire-1P+N Courbe C 4,5KA/6KA_32A</t>
  </si>
  <si>
    <t>SCHA9P22632</t>
  </si>
  <si>
    <t>Disjoncteur Modulaire-1P+N Courbe C 4,5KA/6KA_40A</t>
  </si>
  <si>
    <t>SCHA9P22640</t>
  </si>
  <si>
    <t>Disjoncteur Modulaire-1P+N Courbe C 6KA/10KA_1A</t>
  </si>
  <si>
    <t>SCHA9P24601</t>
  </si>
  <si>
    <t>Disjoncteur Modulaire-1P+N Courbe C 6KA/10KA_2A</t>
  </si>
  <si>
    <t>SCHA9P24602</t>
  </si>
  <si>
    <t>Disjoncteur Modulaire-1P+N Courbe C 6KA/10KA_4A</t>
  </si>
  <si>
    <t>SCHA9P24604</t>
  </si>
  <si>
    <t>Disjoncteur Modulaire-1P+N Courbe C 6KA/10KA_6A</t>
  </si>
  <si>
    <t>SCHA9P24606</t>
  </si>
  <si>
    <t>Disjoncteur Modulaire-1P+N Courbe C 6KA/10KA_10A</t>
  </si>
  <si>
    <t>SCHA9P24610</t>
  </si>
  <si>
    <t>Disjoncteur Modulaire-1P+N Courbe C 6KA/10KA_16A</t>
  </si>
  <si>
    <t>SCHA9P24616</t>
  </si>
  <si>
    <t>Disjoncteur Modulaire-1P+N Courbe C 6KA/10KA_20A</t>
  </si>
  <si>
    <t>SCHA9P24620</t>
  </si>
  <si>
    <t>Disjoncteur Modulaire-1P+N Courbe C 6KA/10KA_25A</t>
  </si>
  <si>
    <t>SCHA9P24625</t>
  </si>
  <si>
    <t>Disjoncteur Modulaire-1P+N Courbe C 6KA/10KA_32A</t>
  </si>
  <si>
    <t>SCHA9P24632</t>
  </si>
  <si>
    <t>Disjoncteur Modulaire-1P+N Courbe C 6KA/10KA_40A</t>
  </si>
  <si>
    <t>SCHA9P24640</t>
  </si>
  <si>
    <t>Legrand</t>
  </si>
  <si>
    <t>Disjoncteur Modulaire-1P+N Courbe C 10KA_1A</t>
  </si>
  <si>
    <t>Disjoncteur Modulaire-1P+N Courbe C 10KA_2A</t>
  </si>
  <si>
    <t>Disjoncteur Modulaire-1P+N Courbe C 10KA_3A</t>
  </si>
  <si>
    <t>Disjoncteur Modulaire-1P+N Courbe C 10KA_6A</t>
  </si>
  <si>
    <t xml:space="preserve">DISJONCTEUR MODULAIRE TETRA </t>
  </si>
  <si>
    <t>Disj. modulaire  IC60N tri. C Schneider</t>
  </si>
  <si>
    <t>DISJONCTEUR MODULAIRE TRIPHASE COURBE D</t>
  </si>
  <si>
    <t>SCHA9N18387</t>
  </si>
  <si>
    <t>Disjoncteur Modulaire 3P Courbe D_4,5KA/6KA _6A</t>
  </si>
  <si>
    <t>SCHA9P32306</t>
  </si>
  <si>
    <t>Disjoncteur Modulaire 3P Courbe D_4,5KA/6KA _10A</t>
  </si>
  <si>
    <t>SCHA9P32310</t>
  </si>
  <si>
    <t>Disjoncteur Modulaire 3P Courbe D_4,5KA/6KA _16A</t>
  </si>
  <si>
    <t>SCHA9P32316</t>
  </si>
  <si>
    <t>Disjoncteur Modulaire 3P Courbe D_4,5KA/6KA _20A</t>
  </si>
  <si>
    <t>SCHA9P32320</t>
  </si>
  <si>
    <t>Disjoncteur Modulaire 3P Courbe D_4,5KA/6KA _25A</t>
  </si>
  <si>
    <t>SCHA9P32325</t>
  </si>
  <si>
    <t>Disjoncteur Modulaire 3P Courbe D_4,5KA/6KA _32A</t>
  </si>
  <si>
    <t>SCHA9P32332</t>
  </si>
  <si>
    <t>Disjoncteur Modulaire 3P Courbe D_4,5KA/6KA _40A</t>
  </si>
  <si>
    <t>SCHA9P32340</t>
  </si>
  <si>
    <t>Disjoncteur Modulaire 3P Courbe D_6KA/10KA _6A</t>
  </si>
  <si>
    <t>SCHA9P34306</t>
  </si>
  <si>
    <t>Disjoncteur Modulaire 3P Courbe D_6KA/10KA _10A</t>
  </si>
  <si>
    <t>SCHA9P34310</t>
  </si>
  <si>
    <t>Disjoncteur Modulaire 3P Courbe D_6KA/10KA _16A</t>
  </si>
  <si>
    <t>SCHA9P34316</t>
  </si>
  <si>
    <t>Disjoncteur Modulaire 3P Courbe D_6KA/10KA _20A</t>
  </si>
  <si>
    <t>SCHA9P34320</t>
  </si>
  <si>
    <t>Disjoncteur Modulaire 3P Courbe D_6KA/10KA _25A</t>
  </si>
  <si>
    <t>SCHA9P34325</t>
  </si>
  <si>
    <t>Disjoncteur Modulaire 3P Courbe D_6KA/10KA _32A</t>
  </si>
  <si>
    <t>SCHA9P34332</t>
  </si>
  <si>
    <t>Disjoncteur Modulaire 3P Courbe D_6KA/10KA _40A</t>
  </si>
  <si>
    <t>Disjoncteur Legrand 2 Amp TYPE D 6 KA Triple Pole MCB  400 V</t>
  </si>
  <si>
    <t>06646</t>
  </si>
  <si>
    <t>Disjoncteur Legrand 6 Amp TYPE D 6 KA Triple Pole MCB  400 V</t>
  </si>
  <si>
    <t>06649</t>
  </si>
  <si>
    <t>Disjoncteur magnéto-thermique dx 6000 - lexic - 3p - 400 v~ - 16 A - 15 KA - Courbe d</t>
  </si>
  <si>
    <t>06653</t>
  </si>
  <si>
    <t>Disjoncteur magnéto-thermique dx 6000 - lexic - 3p - 400 v~ - 32 A - 15 ka - Courbe d</t>
  </si>
  <si>
    <t>06656</t>
  </si>
  <si>
    <t>Disjoncteur 3 Poles Triphasé D63 LEGRAND 63A</t>
  </si>
  <si>
    <t>06659</t>
  </si>
  <si>
    <t>Disjoncteur triphasé 125A Courbe D</t>
  </si>
  <si>
    <t>06662</t>
  </si>
  <si>
    <t>DISJONCTEUR MODULAIRE TRIPHASE COURBE C</t>
  </si>
  <si>
    <t>Disjoncteur Modulaire 3P Courbe C_4,5KA/6KA _6A</t>
  </si>
  <si>
    <t>SCHA9P22306</t>
  </si>
  <si>
    <t>Disjoncteur Modulaire 3P Courbe C_4,5KA/6KA _10A</t>
  </si>
  <si>
    <t>SCHA9P22310</t>
  </si>
  <si>
    <t>Disjoncteur Modulaire 3P Courbe C_4,5KA/6KA _16A</t>
  </si>
  <si>
    <t>SCHA9P22316</t>
  </si>
  <si>
    <t>Disjoncteur Modulaire 3P Courbe C_4,5KA/6KA _20A</t>
  </si>
  <si>
    <t>SCHA9P22320</t>
  </si>
  <si>
    <t>Disjoncteur Modulaire 3P Courbe C_4,5KA/6KA _25A</t>
  </si>
  <si>
    <t>SCHA9P22325</t>
  </si>
  <si>
    <t>Disjoncteur Modulaire 3P Courbe C_4,5KA/6KA _32A</t>
  </si>
  <si>
    <t>SCHA9P22332</t>
  </si>
  <si>
    <t>Disjoncteur Modulaire 3P Courbe C_4,5KA/6KA _40A</t>
  </si>
  <si>
    <t>SCHA9P22340</t>
  </si>
  <si>
    <t>Disjoncteur Modulaire 3P Courbe C_6KA/10KA _6A</t>
  </si>
  <si>
    <t>SCHA9P24306</t>
  </si>
  <si>
    <t>Disjoncteur Modulaire 3P Courbe C_6KA/10KA _10A</t>
  </si>
  <si>
    <t>SCHA9P24310</t>
  </si>
  <si>
    <t>Disjoncteur Modulaire 3P Courbe C_6KA/10KA _16A</t>
  </si>
  <si>
    <t>SCHA9P24316</t>
  </si>
  <si>
    <t>Disjoncteur Modulaire 3P Courbe C_6KA/10KA _20A</t>
  </si>
  <si>
    <t>SCHA9P24320</t>
  </si>
  <si>
    <t>Disjoncteur Modulaire 3P Courbe C_6KA/10KA _25A</t>
  </si>
  <si>
    <t>SCHA9P24325</t>
  </si>
  <si>
    <t>Disjoncteur Modulaire 3P Courbe C_6KA/10KA _32A</t>
  </si>
  <si>
    <t>SCHA9P24332</t>
  </si>
  <si>
    <t>Disjoncteur Modulaire 3P Courbe C_6KA/10KA _40A</t>
  </si>
  <si>
    <t>SCHA9P24340</t>
  </si>
  <si>
    <t xml:space="preserve">DISJONCTEUR MODULAIRE BIPOLAIRE </t>
  </si>
  <si>
    <t>Acti9  IC60N disjoncteur 2P 2A Courbe C</t>
  </si>
  <si>
    <t>Acti9  IC60N disjoncteur 2P 6A Courbe C</t>
  </si>
  <si>
    <t>Disjoncteur DX 6000 10Ka 6A Courbe C</t>
  </si>
  <si>
    <t>06464</t>
  </si>
  <si>
    <t>006464</t>
  </si>
  <si>
    <t>DISJONCTEUR ACTI9 NG125N</t>
  </si>
  <si>
    <t>Disjoncteur Acti9 NG125N-3P Courbe C 25KA /400V_10A</t>
  </si>
  <si>
    <t>SCH18632</t>
  </si>
  <si>
    <t>Disjoncteur Acti9 NG125N-3P Courbe C 25KA /400V_16A</t>
  </si>
  <si>
    <t>SCH18633</t>
  </si>
  <si>
    <t>Disjoncteur Acti9 NG125N-3P Courbe C 25KA /400V_20A</t>
  </si>
  <si>
    <t>SCH18634</t>
  </si>
  <si>
    <t>Disjoncteur Acti9 NG125N-3P Courbe C 25KA /400V_25A</t>
  </si>
  <si>
    <t>SCH18635</t>
  </si>
  <si>
    <t>Disjoncteur Acti9 NG125N-3P Courbe C 25KA /400V_32A</t>
  </si>
  <si>
    <t>SCH18636</t>
  </si>
  <si>
    <t>Disjoncteur Acti9 NG125N-3P Courbe C 25KA /400V_40A</t>
  </si>
  <si>
    <t>SCH18637</t>
  </si>
  <si>
    <t>Disjoncteur Acti9 NG125N-3P Courbe C 25KA /400V_50A</t>
  </si>
  <si>
    <t>SCH18638</t>
  </si>
  <si>
    <t>Disjoncteur Acti9 NG125N-3P Courbe C 25KA /400V_63A</t>
  </si>
  <si>
    <t>SCH18639</t>
  </si>
  <si>
    <t>Disjoncteur Acti9 NG125N-3P Courbe C 25KA /400V_80A</t>
  </si>
  <si>
    <t>SCH18641</t>
  </si>
  <si>
    <t>Disjoncteur Acti9 NG125N-3P Courbe C 25KA /400V_100A</t>
  </si>
  <si>
    <t>SCH18643</t>
  </si>
  <si>
    <t>Disjoncteur Acti9 NG125N-3P Courbe C 25KA /400V_125A</t>
  </si>
  <si>
    <t>SCH18645</t>
  </si>
  <si>
    <t>Disjoncteur Acti9 NG125N-3P Courbe D 25KA /400V_80A</t>
  </si>
  <si>
    <t>SCH18669</t>
  </si>
  <si>
    <t>Disjoncteur Acti9 NG125N-3P Courbe D 25KA /400V_100A</t>
  </si>
  <si>
    <t>SCH18670</t>
  </si>
  <si>
    <t>Disjoncteur Acti9 NG125N-3P Courbe D 25KA /400V_125A</t>
  </si>
  <si>
    <t>SCH18671</t>
  </si>
  <si>
    <t>DISJONCTEUR COMPACT</t>
  </si>
  <si>
    <t>Disjoncteur Compact NSX 100F + déclencheur micrologic2,2 100A</t>
  </si>
  <si>
    <t>SCHLV429770</t>
  </si>
  <si>
    <t>Disjoncteur Compact NSX 160F + déclencheur micrologic 2,2 160A</t>
  </si>
  <si>
    <t>SCHLV430770</t>
  </si>
  <si>
    <t>Disjoncteur Compact NSX250F + déclencheur magnéto-termique 250A</t>
  </si>
  <si>
    <t>SCHLV431630</t>
  </si>
  <si>
    <t>Disjoncteur Compact NSX400F + déclencheur micrologic2,3- 400A</t>
  </si>
  <si>
    <t>SCHLV432676</t>
  </si>
  <si>
    <t xml:space="preserve">RELAIS DE COMMANDE </t>
  </si>
  <si>
    <t xml:space="preserve">Relais </t>
  </si>
  <si>
    <t>RXN41G11BD</t>
  </si>
  <si>
    <t>RXN41G11B7</t>
  </si>
  <si>
    <t>RXN41G11P7</t>
  </si>
  <si>
    <t>REPARTITEUR DE PUISSANCE</t>
  </si>
  <si>
    <t>Répartiteur de puissance pour cosse 200A</t>
  </si>
  <si>
    <t>Repartiteur modulaire TETRA legrand 400A</t>
  </si>
  <si>
    <t>KIT HORS-GEL</t>
  </si>
  <si>
    <t>Kit HorsGel Compresseur 250W</t>
  </si>
  <si>
    <t>Kit HorsGel pour compresseur 250 W</t>
  </si>
  <si>
    <t>Kit HorsGel pour compresseur500 W</t>
  </si>
  <si>
    <t>Kit HorsGel Bekomat</t>
  </si>
  <si>
    <t>Kit Hors Gel pour beko13</t>
  </si>
  <si>
    <t>CUB-230V</t>
  </si>
  <si>
    <t>KIT ALIMENTATION + 1 DEPART</t>
  </si>
  <si>
    <t>THERMOSTATS</t>
  </si>
  <si>
    <t>thermostat d'ambiance Legrand mecanique</t>
  </si>
  <si>
    <t>INTERSECTIONNEUR TETRA</t>
  </si>
  <si>
    <t>Vistop 63A-4P</t>
  </si>
  <si>
    <t>Vistop 100A-4P commande latéral</t>
  </si>
  <si>
    <t>BOITE DE DERIVATION</t>
  </si>
  <si>
    <t>CABLE ET ATTACHE CUIVRE NU</t>
  </si>
  <si>
    <t xml:space="preserve">Cables </t>
  </si>
  <si>
    <t>1X6</t>
  </si>
  <si>
    <t>1X10</t>
  </si>
  <si>
    <t>1X16</t>
  </si>
  <si>
    <t>1X25</t>
  </si>
  <si>
    <t>1X35</t>
  </si>
  <si>
    <t>1X50</t>
  </si>
  <si>
    <t>1X70</t>
  </si>
  <si>
    <t>1X95</t>
  </si>
  <si>
    <t>Attache</t>
  </si>
  <si>
    <t>CABLES RIGIDES CUIVRE</t>
  </si>
  <si>
    <t>RO2V1X</t>
  </si>
  <si>
    <t>RO2V1X35</t>
  </si>
  <si>
    <t>1X150</t>
  </si>
  <si>
    <t>1X185</t>
  </si>
  <si>
    <t>RO2V2G</t>
  </si>
  <si>
    <t>2G1,5</t>
  </si>
  <si>
    <t>RO2V2G1,5</t>
  </si>
  <si>
    <t>RO2V3G</t>
  </si>
  <si>
    <t>3G1,5</t>
  </si>
  <si>
    <t>RO2V3G1.5</t>
  </si>
  <si>
    <t>3G6</t>
  </si>
  <si>
    <t>RO2V3G6</t>
  </si>
  <si>
    <t>RO2V4G</t>
  </si>
  <si>
    <t>4G1,5</t>
  </si>
  <si>
    <t>RO2V4g1.5</t>
  </si>
  <si>
    <t>RO2V5G</t>
  </si>
  <si>
    <t>CABLES SOUPLES CUIVRE</t>
  </si>
  <si>
    <t>7G</t>
  </si>
  <si>
    <t>NO5VVF7G0,75</t>
  </si>
  <si>
    <t>5G</t>
  </si>
  <si>
    <t>2X</t>
  </si>
  <si>
    <t>2X0,75  ( souple gris ) - défaut purgeur</t>
  </si>
  <si>
    <t>3X</t>
  </si>
  <si>
    <t>3X0,75  ( souple gris ) - alimentation purgeur</t>
  </si>
  <si>
    <t>2 X 0,5  ( souple gris  ) - défaut purgeur</t>
  </si>
  <si>
    <t>3G</t>
  </si>
  <si>
    <t>3 G 0,75  ( souple gris  ) - alimentation purgeur</t>
  </si>
  <si>
    <t>4G</t>
  </si>
  <si>
    <t>HO5VVF4G0,75</t>
  </si>
  <si>
    <t>5 G 0,75  ( souple gris  ) - ailmentation + défaut purgeur</t>
  </si>
  <si>
    <t>12G</t>
  </si>
  <si>
    <t>12G0,75  (souple Gris)</t>
  </si>
  <si>
    <t>HO5VV12G0,75GRTGL</t>
  </si>
  <si>
    <t>HO5VV5F7G0,75</t>
  </si>
  <si>
    <t>2G</t>
  </si>
  <si>
    <t>2 G 0,75   (souple Gris</t>
  </si>
  <si>
    <t>HO5VVF2X0,75</t>
  </si>
  <si>
    <t>HO5VVF3G0,75</t>
  </si>
  <si>
    <t>HO5VVF3G1</t>
  </si>
  <si>
    <t>HO5VVF3G1.5</t>
  </si>
  <si>
    <t>4 G 1  ( souple gris  )</t>
  </si>
  <si>
    <t>HO5VVF4G1</t>
  </si>
  <si>
    <t>4 G 1.5  ( souple gris  )</t>
  </si>
  <si>
    <t>HO5VVF4X1,5</t>
  </si>
  <si>
    <t>HO5VVF5G0,75</t>
  </si>
  <si>
    <t>HO5VVF5G1</t>
  </si>
  <si>
    <t>unifilaire</t>
  </si>
  <si>
    <t>1x0,75²     ( unifilaire de cablage Noir )</t>
  </si>
  <si>
    <t>HO5VK0,75</t>
  </si>
  <si>
    <t>1x0,75²     ( unifilaire de cablage Bleu )</t>
  </si>
  <si>
    <t>HO5VK0,75 B</t>
  </si>
  <si>
    <t>1x0,75²     ( unifilaire de cablage Orange )</t>
  </si>
  <si>
    <t>HO5VK0,75 OR</t>
  </si>
  <si>
    <t>1x0,75²     ( unifilaire de cablage Rouge )</t>
  </si>
  <si>
    <t>HO5VK0,75-RO</t>
  </si>
  <si>
    <t>1x1²     ( unifilaire de cablage Noir)</t>
  </si>
  <si>
    <t>H05VK1-N</t>
  </si>
  <si>
    <t>1x1²     ( unifilaire de cablage Rouge )</t>
  </si>
  <si>
    <t>H05VK1-RO</t>
  </si>
  <si>
    <t>HO7VK1,5</t>
  </si>
  <si>
    <t>1x1,5²  ( unifilaire de cablage Rouge )</t>
  </si>
  <si>
    <t>HO7VK1,5-R</t>
  </si>
  <si>
    <t>HO7VK2,5-N</t>
  </si>
  <si>
    <t>1x2,5²  ( unifilaire de cablage  Vert/Jaune)</t>
  </si>
  <si>
    <t>HO7VK2,5VERT/JAUN</t>
  </si>
  <si>
    <t>1x4²     ( unifilaire de cablageNoir)</t>
  </si>
  <si>
    <t>HO7VK4-N</t>
  </si>
  <si>
    <t>1x4²     ( unifilaire de cablageBleu)</t>
  </si>
  <si>
    <t>HO7VK4B</t>
  </si>
  <si>
    <t>HO7VK6-N</t>
  </si>
  <si>
    <t>HO7VK10</t>
  </si>
  <si>
    <t>HO7VK16</t>
  </si>
  <si>
    <t>HO7VK25-N</t>
  </si>
  <si>
    <t>1x25²   ( unifilaire de cablage Rouge )</t>
  </si>
  <si>
    <t>HO7VK25-R</t>
  </si>
  <si>
    <t>HO7VK35</t>
  </si>
  <si>
    <t>HO7VK50-N</t>
  </si>
  <si>
    <t>1x70²   ( unifilaire de cablage  Vert/JAUNE)</t>
  </si>
  <si>
    <t>HO7VK70VERT/JAUN</t>
  </si>
  <si>
    <t>2x</t>
  </si>
  <si>
    <t>HO7RNF2X1</t>
  </si>
  <si>
    <t>4G50  ( souple noir  )</t>
  </si>
  <si>
    <t>HO7RNF4G50</t>
  </si>
  <si>
    <t>4G70  ( souple noir  )</t>
  </si>
  <si>
    <t>HO7RNF4G70</t>
  </si>
  <si>
    <t>4G95  ( souple noir  )</t>
  </si>
  <si>
    <t>HO7RNF4G95</t>
  </si>
  <si>
    <t>5G1    ( souple noir  )</t>
  </si>
  <si>
    <t>HO7RNF5G1</t>
  </si>
  <si>
    <t>5G1,5   ( souple noir  )</t>
  </si>
  <si>
    <t>HO7RNF5G1,5</t>
  </si>
  <si>
    <t>5G2.5   ( souple noir  )</t>
  </si>
  <si>
    <t>HO7RNF5G2.5</t>
  </si>
  <si>
    <t>5G70   ( souple noir  )</t>
  </si>
  <si>
    <t>HO7RNF5G70</t>
  </si>
  <si>
    <t>7G2,5 (souple noir)</t>
  </si>
  <si>
    <t>HO7RNF7G2,5</t>
  </si>
  <si>
    <t>CABLES SOUPLE BLINDE</t>
  </si>
  <si>
    <t>2x0,5       ( souple gris blindé  )</t>
  </si>
  <si>
    <t>LYCY2X0.5</t>
  </si>
  <si>
    <t>2x1,5       ( souple gris blindé  )</t>
  </si>
  <si>
    <t>LYCY2X1.5</t>
  </si>
  <si>
    <t>4X</t>
  </si>
  <si>
    <t>4G1 ( souple gris blindé  )</t>
  </si>
  <si>
    <t>4x0,5  ( souple gris blindé  )</t>
  </si>
  <si>
    <t>LYCY4X0,5</t>
  </si>
  <si>
    <t>5X</t>
  </si>
  <si>
    <t>5G0,75       ( souple gris blindé  )</t>
  </si>
  <si>
    <t>LYCY5G0.75</t>
  </si>
  <si>
    <t>5G1       ( souple gris blindé  )</t>
  </si>
  <si>
    <t>7X</t>
  </si>
  <si>
    <t>7x0,75       ( souple gris blindé  )</t>
  </si>
  <si>
    <t>LYCY7X0,75</t>
  </si>
  <si>
    <t>7x1       ( souple gris blindé  )</t>
  </si>
  <si>
    <t>7x1,5       ( souple gris blindé  )</t>
  </si>
  <si>
    <t>LYCY7X1,5</t>
  </si>
  <si>
    <t>12X</t>
  </si>
  <si>
    <t>12X1</t>
  </si>
  <si>
    <t>CHEMIN DE CABLES</t>
  </si>
  <si>
    <t>Attaches ( cavaliers)</t>
  </si>
  <si>
    <t>TRCC M6x20</t>
  </si>
  <si>
    <t>Attaches pour cablofil  ( 1x m)</t>
  </si>
  <si>
    <t>COFFRETS ELECTRIQUE VIDE &amp; ACCESSOIRES</t>
  </si>
  <si>
    <t>400-400-200</t>
  </si>
  <si>
    <t>Platines L*H</t>
  </si>
  <si>
    <t>Plaque perforée Lina pour coffrets Atlantic/Marina 300*400b</t>
  </si>
  <si>
    <t>Plaque perforée Lina pour coffrets Atlantic/Marina 400*500c</t>
  </si>
  <si>
    <t>Plaque perforée Lina pour coffrets Atlantic/Marina 400*600d</t>
  </si>
  <si>
    <t>Plaque perforée Lina pour coffrets Atlantic/Marina 500*500f</t>
  </si>
  <si>
    <t>Plaque perforée Lina pour coffrets Atlantic/Marina 500*700g</t>
  </si>
  <si>
    <t>Châssis avec plastron 300*400b   3 rangées de 10 modules</t>
  </si>
  <si>
    <t>support</t>
  </si>
  <si>
    <t>Châssis avec plastron 400*500c   3 rangées de 16 mudules</t>
  </si>
  <si>
    <t>pattes de fixation murale pour coffret Atlantic-300Kg-Zamak RAL70</t>
  </si>
  <si>
    <t xml:space="preserve">Raill Longeur 400 </t>
  </si>
  <si>
    <t xml:space="preserve">Raill Longeur 600 </t>
  </si>
  <si>
    <t xml:space="preserve">Raill Longeur 300 </t>
  </si>
  <si>
    <t>Rail omega perforé 35 mm X 7,5mm X 2 mm lg 2m</t>
  </si>
  <si>
    <t>BIZ200240</t>
  </si>
  <si>
    <t xml:space="preserve"> ECROU CLIPS M5</t>
  </si>
  <si>
    <t>Peigne pour bloc de jonction viking 3 vis et ressort pour 10 blocs Pas de 5mm</t>
  </si>
  <si>
    <t>35mm</t>
  </si>
  <si>
    <t>Barre cuivre plate rigide 15x4mm- 200A admissibles-Lg 990mm</t>
  </si>
  <si>
    <t>Barre cuivre plate rigide 25x4mm- 250-280A admissibles-Lg 990mm</t>
  </si>
  <si>
    <t>15mm</t>
  </si>
  <si>
    <t>Barre cuivre plate rigide 25x5mm- 270-330A admissibles-Lg 1750mm</t>
  </si>
  <si>
    <t>IRO &amp; ATTACHES</t>
  </si>
  <si>
    <t xml:space="preserve">Attache Colliers Blanc tube IRO </t>
  </si>
  <si>
    <t>Attache pour Tube IRO Ø16</t>
  </si>
  <si>
    <t>Attache pour Tube IRO Ø20</t>
  </si>
  <si>
    <t>Attache pour Tube IRO Ø25</t>
  </si>
  <si>
    <t>Crapeau Caddy EBC</t>
  </si>
  <si>
    <t xml:space="preserve">Clips Ø25-32mm pour rail ep 8-12mm </t>
  </si>
  <si>
    <t>Attache Caddy</t>
  </si>
  <si>
    <t>Clips pour suspendre avec support Iro</t>
  </si>
  <si>
    <t>Cheville Ø8 pour tube IRO</t>
  </si>
  <si>
    <t>Embase noire protégée ultraviolets aà cheville standard perçage a 8 mm</t>
  </si>
  <si>
    <t>Embase Autocollante pour tube Iro Ø20</t>
  </si>
  <si>
    <t>Embase adhésive incolore Colring pour collliers largeur 4,6mm maxi</t>
  </si>
  <si>
    <t>Tube Pvc Gris Ø20</t>
  </si>
  <si>
    <t>Tube Pvc Gris Ø25</t>
  </si>
  <si>
    <t>Tube Pvc Gris Ø30</t>
  </si>
  <si>
    <t>65mm</t>
  </si>
  <si>
    <t>XCT 6-6-Cosse tubulaire cuivre BT selon NF C20-130-Section: 6mm -Born: 6mm</t>
  </si>
  <si>
    <t>XCT 6-6-Cosse tubulaire cuivre BT selon NF C20-130-Section: 6mm -Born: 8mm</t>
  </si>
  <si>
    <t>XCT6-8</t>
  </si>
  <si>
    <t>XCT 10-6-Cosse tubulaire cuivre BT selon NF C20-130-Section: 10mm -Born: 6mm</t>
  </si>
  <si>
    <t>XCT106</t>
  </si>
  <si>
    <t>XCT 10-6-Cosse tubulaire cuivre BT selon NF C20-130-Section: 10mm -Born: 8mm</t>
  </si>
  <si>
    <t>XCT108</t>
  </si>
  <si>
    <t>XCT 16-6-Cosse tubulaire cuivre BT selon NF C20-130-Section: 16mm -Born: 6mm</t>
  </si>
  <si>
    <t>XCT166</t>
  </si>
  <si>
    <t>XCT 16-6-Cosse tubulaire cuivre BT selon NF C20-130-Section:16mm -Born: 8mm</t>
  </si>
  <si>
    <t>XCT168</t>
  </si>
  <si>
    <t>XCT 16-6-Cosse tubulaire cuivre BT selon NF C20-130-Section: 16mm -Born: 10mm</t>
  </si>
  <si>
    <t>XCT1610</t>
  </si>
  <si>
    <t>25mm</t>
  </si>
  <si>
    <t>XCT 25-6-Cosse tubulaire cuivre BT selon NF C20-130-Section: 25mm -Born: 6mm</t>
  </si>
  <si>
    <t>XCT25-6</t>
  </si>
  <si>
    <t>XCT 25-8-Cosse tubulaire cuivre BT selon NF C20-130-Section: 25mm -Born: 8mm</t>
  </si>
  <si>
    <t>XCT 25-10-Cosse tubulaire cuivre BT selon NF C20-130-Section: 25mm -Born: 10mm</t>
  </si>
  <si>
    <t>XCT 35-8-Cosse tubulaire cuivre BT selon NF C20-130-Section: 35mm -Born: 8mm</t>
  </si>
  <si>
    <t>XCT 35-10-Cosse tubulaire cuivre BT selon NF C20-130-Section: 35mm -Born: 10mm</t>
  </si>
  <si>
    <t>55mm</t>
  </si>
  <si>
    <t>XCT 50-8-Cosse tubulaire cuivre BT selon NF C20-130-Section: 50mm -Born: 8mm</t>
  </si>
  <si>
    <t>XCT508</t>
  </si>
  <si>
    <t>XCT 50-10-Cosse tubulaire cuivre BT selon NF C20-130-Section: 50mm -Born: 10mm</t>
  </si>
  <si>
    <t>XCT5010</t>
  </si>
  <si>
    <t>XCT 50-12-Cosse tubulaire cuivre BT selon NF C20-130-Section: 50mm -Born: 12mm</t>
  </si>
  <si>
    <t>XCT5012</t>
  </si>
  <si>
    <t>75mm</t>
  </si>
  <si>
    <t>XCT 70-8-Cosse tubulaire cuivre BT selon NF C20-130-Section: 70mm -Born: 8mm</t>
  </si>
  <si>
    <t>XCT 70-12-Cosse tubulaire cuivre BT selon NF C20-130-Section: 70mm -Born: 12mm</t>
  </si>
  <si>
    <t>XCT70-12</t>
  </si>
  <si>
    <t>95mm</t>
  </si>
  <si>
    <t>XCT 95-8-Cosse tubulaire cuivre BT selon NF C20-130-Section: 95mm -Born: 8mm</t>
  </si>
  <si>
    <t>120mm</t>
  </si>
  <si>
    <t>XCT 120-12-Cosse tubulaire cuivre BT selon NF C20-130-Section: 120mm -Born: 12mm</t>
  </si>
  <si>
    <t>150mm</t>
  </si>
  <si>
    <t>XCT 150-10-Cosse tubulaire cuivre BT selon NF C20-130-Section: 150mm -Born: 10mm</t>
  </si>
  <si>
    <t>XCT150-10</t>
  </si>
  <si>
    <t>XCT 150-12-Cosse tubulaire cuivre BT selon NF C20-130-Section: 150mm -Born: 12mm</t>
  </si>
  <si>
    <t>XCT150</t>
  </si>
  <si>
    <t>185mm</t>
  </si>
  <si>
    <t>XCT 185-12-Cosse tubulaire cuivre BT selon NF C20-130-Section: 185mm -Born: 12mm</t>
  </si>
  <si>
    <t>XCT18512</t>
  </si>
  <si>
    <t>BORNE WAGO &amp; DOMINOS</t>
  </si>
  <si>
    <t xml:space="preserve">Barrette de connexion pour section maxi 2,5 mm2 </t>
  </si>
  <si>
    <t xml:space="preserve">Barrette de connexion pour section maxi 6 mm2 </t>
  </si>
  <si>
    <t xml:space="preserve">Barrette de connexion pour section maxi 10 mm2 </t>
  </si>
  <si>
    <t xml:space="preserve">Barrette de connexion pour section maxi 16 mm2 </t>
  </si>
  <si>
    <t>Bloc de jonction Wago</t>
  </si>
  <si>
    <t>Bloc de jonction  Wago 221 -2 Pôles-Cage à ressort- 4mm2 -32A</t>
  </si>
  <si>
    <t>WAG221 -412</t>
  </si>
  <si>
    <t>Bloc de jonction  Wago 221 -3 Pôles-Cage à ressort- 4mm2 -32A</t>
  </si>
  <si>
    <t>WAG221 -413</t>
  </si>
  <si>
    <t>Bloc de jonction  Wago 221 -2 Pôles-Cage à ressort- 6mm2 -41A</t>
  </si>
  <si>
    <t>WAG221 -612</t>
  </si>
  <si>
    <t>Bloc de jonction  Wago 221 -3 Pôles-Cage à ressort- 6mm2 -32A</t>
  </si>
  <si>
    <t>WAG221 -613</t>
  </si>
  <si>
    <t>ECLAIRAGE &amp; INTERRUPTEUR</t>
  </si>
  <si>
    <t>Interrupteur va et  vient Plexo 10A-230V</t>
  </si>
  <si>
    <t>GAINE SPIRALEE</t>
  </si>
  <si>
    <t>05mm</t>
  </si>
  <si>
    <t>Gaine spiraléeØ9mm-12mm</t>
  </si>
  <si>
    <t>IBO00964</t>
  </si>
  <si>
    <t>PRESSE ETOUPE</t>
  </si>
  <si>
    <t>PG9</t>
  </si>
  <si>
    <t>PG11</t>
  </si>
  <si>
    <t>PG13</t>
  </si>
  <si>
    <t>PG16</t>
  </si>
  <si>
    <t>PG21</t>
  </si>
  <si>
    <t>PG29</t>
  </si>
  <si>
    <t>PG36</t>
  </si>
  <si>
    <t>PG42</t>
  </si>
  <si>
    <t>PRISES</t>
  </si>
  <si>
    <t>2P+T</t>
  </si>
  <si>
    <t>Prise Saillie étanche  avec éclips de protection 16A - IP 55</t>
  </si>
  <si>
    <t xml:space="preserve"> Femelle pour cable 2P+T16A</t>
  </si>
  <si>
    <t>Mâle pour cable 2P+T 16A</t>
  </si>
  <si>
    <t>Idem 50445, a supprimer</t>
  </si>
  <si>
    <t>3P + T</t>
  </si>
  <si>
    <t>Prise à entraxes unifié fixe Hypra IP4 32A -380V-415V  3P+T-plastique</t>
  </si>
  <si>
    <t>052919</t>
  </si>
  <si>
    <t>Fiche mobile droite Hypra IP 44 32A -380V_415V-3P+T-Plastique</t>
  </si>
  <si>
    <t>052943</t>
  </si>
  <si>
    <t>COLSONS &amp; COLRING</t>
  </si>
  <si>
    <t>Collier</t>
  </si>
  <si>
    <t>Collier Colson noir protégé ultraviolet- largeur 9mm-lg 123mm</t>
  </si>
  <si>
    <t>Collier Colson noir protégé ultraviolet- largeur 9mm-lg 185mm</t>
  </si>
  <si>
    <t>Collier Colson noir protégé ultraviolet- largeur 9mm-lg 262mm</t>
  </si>
  <si>
    <t>Collier Colson noir protégé ultraviolet- largeur 9mm-lg 357mm</t>
  </si>
  <si>
    <t>Support colson</t>
  </si>
  <si>
    <t>Embase noire protégé ultraviolets a cheville standard  percage Ø8</t>
  </si>
  <si>
    <t>Embase à visser protégé ultraviolet -fixable par cheville réf 031957 noir ou vis autoforeuse</t>
  </si>
  <si>
    <t>Petit</t>
  </si>
  <si>
    <t>Collier Colring incolore- largeur 2,4mm-lg 180mm</t>
  </si>
  <si>
    <t>Collier Colring incolore- largeur 3,5mm-lg 180mm</t>
  </si>
  <si>
    <t>Collier Colring incolore- largeur 4mm-lg 550mm</t>
  </si>
  <si>
    <t>Support Colring</t>
  </si>
  <si>
    <t>Embase Adhésive incolore Colring-Largeur Maxi 4,6mm</t>
  </si>
  <si>
    <t>KLINGERIT</t>
  </si>
  <si>
    <t>VITON</t>
  </si>
  <si>
    <t>Inox sertis coreen</t>
  </si>
  <si>
    <t>Joint thorique viton 16x2.5</t>
  </si>
  <si>
    <t>JTVI 16X2,5</t>
  </si>
  <si>
    <t>Joint thorique viton 22x3</t>
  </si>
  <si>
    <t>JTVI 22X3</t>
  </si>
  <si>
    <t>Joint thorique viton  28x3</t>
  </si>
  <si>
    <t>JTVI 28X3</t>
  </si>
  <si>
    <t>Joint thorique viton 28x3,5</t>
  </si>
  <si>
    <t>JTVI 28X3,5</t>
  </si>
  <si>
    <t>Joint thorique viton 35x4</t>
  </si>
  <si>
    <t>JTVI 35X4</t>
  </si>
  <si>
    <t>Joint thorique viton 43x5</t>
  </si>
  <si>
    <t>JTVI 43X5</t>
  </si>
  <si>
    <t>Joint thorique viton 48x6</t>
  </si>
  <si>
    <t>JTVI 48X6</t>
  </si>
  <si>
    <t>COMPENSATEUR INOX</t>
  </si>
  <si>
    <t>K8.0794.00010</t>
  </si>
  <si>
    <t>K8.0787.00020</t>
  </si>
  <si>
    <t>FC38.1000</t>
  </si>
  <si>
    <t>MAXAIR</t>
  </si>
  <si>
    <t>POLYETHYLENE</t>
  </si>
  <si>
    <t>RILSAN</t>
  </si>
  <si>
    <t>Blanc</t>
  </si>
  <si>
    <t xml:space="preserve"> 4-6</t>
  </si>
  <si>
    <t>TRICOCLAIR</t>
  </si>
  <si>
    <t>BOUCHON</t>
  </si>
  <si>
    <t>Ø16</t>
  </si>
  <si>
    <t>Ø80</t>
  </si>
  <si>
    <t>CHICANE 45°</t>
  </si>
  <si>
    <t>COURBE MIXTE FF</t>
  </si>
  <si>
    <t xml:space="preserve">Ø16 </t>
  </si>
  <si>
    <t>COURBE MIXTE FM</t>
  </si>
  <si>
    <t>MANCHON COURT</t>
  </si>
  <si>
    <t xml:space="preserve">MANCHON LONG </t>
  </si>
  <si>
    <t>Ø62</t>
  </si>
  <si>
    <t>Ø63</t>
  </si>
  <si>
    <t>Ø64</t>
  </si>
  <si>
    <t>Ø84</t>
  </si>
  <si>
    <t>Ø86</t>
  </si>
  <si>
    <t>Té réduit 22- 16 -22</t>
  </si>
  <si>
    <t>Té réduit 28- 16 -28</t>
  </si>
  <si>
    <t>Té réduit 28- 22 -28</t>
  </si>
  <si>
    <t>Té réduit 34- 16 -34</t>
  </si>
  <si>
    <t>Té réduit 34- 22 -34</t>
  </si>
  <si>
    <t>Té réduit 34- 28 -34</t>
  </si>
  <si>
    <t>Té réduit 42- 16 -42</t>
  </si>
  <si>
    <t>Té réduit 42- 22 -42</t>
  </si>
  <si>
    <t>Té réduit 42- 34 -42</t>
  </si>
  <si>
    <t>Té réduit 42- 28 -42</t>
  </si>
  <si>
    <t>Té réduit 48- 16 -48</t>
  </si>
  <si>
    <t xml:space="preserve">Té réduit 48- 22 -48 </t>
  </si>
  <si>
    <t>Té réduit 48- 34 -48</t>
  </si>
  <si>
    <t>Té réduit 48- 42 -48</t>
  </si>
  <si>
    <t>Té réduit 48- 28 -48</t>
  </si>
  <si>
    <t>Té réduit 60- 16 -60</t>
  </si>
  <si>
    <t>Té réduit 60- 34 -60</t>
  </si>
  <si>
    <t>Té réduit 60- 22 -60</t>
  </si>
  <si>
    <t>Té réduit 60- 28 -60</t>
  </si>
  <si>
    <t>Té réduit 60- 42 -60</t>
  </si>
  <si>
    <t>Té réduit 60- 48 -60</t>
  </si>
  <si>
    <t>Té réduit 80- 42 -80</t>
  </si>
  <si>
    <t>Té réduit 80- 48 -80</t>
  </si>
  <si>
    <t>Té réduit 80- 60 -80</t>
  </si>
  <si>
    <t>Equipements de cuve</t>
  </si>
  <si>
    <t>100l à 300 l - 11 bars</t>
  </si>
  <si>
    <t>500L - 11 bars</t>
  </si>
  <si>
    <t>500L - 16 bars</t>
  </si>
  <si>
    <t>900L - 11 bars</t>
  </si>
  <si>
    <t>1 000L à 2 000L - 11 bars</t>
  </si>
  <si>
    <t>3 000L - 11 bars</t>
  </si>
  <si>
    <t>5 000L - 11 bars</t>
  </si>
  <si>
    <t>EQTSI0500</t>
  </si>
  <si>
    <t>SIAP</t>
  </si>
  <si>
    <t>800L - 11 bars</t>
  </si>
  <si>
    <t>EQTSI0800</t>
  </si>
  <si>
    <t>EQTSI0900</t>
  </si>
  <si>
    <t>EQTMT0900</t>
  </si>
  <si>
    <t>Mattei</t>
  </si>
  <si>
    <t>1 000L - 11 bars</t>
  </si>
  <si>
    <t>EQTSI1000</t>
  </si>
  <si>
    <t>2 000L - 11 bars</t>
  </si>
  <si>
    <t>EQTSI2000</t>
  </si>
  <si>
    <t>10 000L - 11 bars</t>
  </si>
  <si>
    <t>EQTRO10000</t>
  </si>
  <si>
    <t>RONOT</t>
  </si>
  <si>
    <t>90L - 11 bars</t>
  </si>
  <si>
    <t>EQTKS0090</t>
  </si>
  <si>
    <t>150L - 11 bars</t>
  </si>
  <si>
    <t>EQTS0150</t>
  </si>
  <si>
    <t>150L - 16 bars</t>
  </si>
  <si>
    <t>EQTKS0150.16B</t>
  </si>
  <si>
    <t>250L - 11 bars</t>
  </si>
  <si>
    <t>EQTKS0250</t>
  </si>
  <si>
    <t>350L - 11 bars</t>
  </si>
  <si>
    <t>EQTKS0350</t>
  </si>
  <si>
    <t>350L - 16 bars</t>
  </si>
  <si>
    <t>EQTKS0350.16B</t>
  </si>
  <si>
    <t>EQTKS0500</t>
  </si>
  <si>
    <t>EQTKS0500.16B</t>
  </si>
  <si>
    <t>500L - 45 bars</t>
  </si>
  <si>
    <t>EQTKS0500.45B</t>
  </si>
  <si>
    <t>EQTKS0900</t>
  </si>
  <si>
    <t>EQTKS1000</t>
  </si>
  <si>
    <t>1 000L - 16 bars</t>
  </si>
  <si>
    <t>EQTKS1000.16B</t>
  </si>
  <si>
    <t>1 000L - 45 bars</t>
  </si>
  <si>
    <t>EQTKS1000.45B</t>
  </si>
  <si>
    <t>EQTKS2000</t>
  </si>
  <si>
    <t>2 000L - 16 bars</t>
  </si>
  <si>
    <t>EQTKS2000-16B</t>
  </si>
  <si>
    <t>2 000L - 50 bars</t>
  </si>
  <si>
    <t>EQTKS2000-50B</t>
  </si>
  <si>
    <t>EQTKS3000</t>
  </si>
  <si>
    <t>3 000L - 16 bars</t>
  </si>
  <si>
    <t>EQTKS3000.16B</t>
  </si>
  <si>
    <t>EQTKS5000</t>
  </si>
  <si>
    <t>5 000L Horizontal - 11 bars</t>
  </si>
  <si>
    <t>EQTKS5000-H</t>
  </si>
  <si>
    <t>8 000L - 11 bars</t>
  </si>
  <si>
    <t>EQTKS8000</t>
  </si>
  <si>
    <t>8 000L - 16 bars</t>
  </si>
  <si>
    <t>EQTKS8000-16B</t>
  </si>
  <si>
    <t>8 000L Horizontal - 11 bars</t>
  </si>
  <si>
    <t>EQTKS8000-H</t>
  </si>
  <si>
    <t>EQTKS10000</t>
  </si>
  <si>
    <t>50L - 11 bars</t>
  </si>
  <si>
    <t>100L - 11 bars</t>
  </si>
  <si>
    <t>200L - 11 bars</t>
  </si>
  <si>
    <t>300L - 11 bars</t>
  </si>
  <si>
    <t>750L - 11 bars</t>
  </si>
  <si>
    <t>1 500L - 11 bars</t>
  </si>
  <si>
    <t>1 500L - 16 bars</t>
  </si>
  <si>
    <t>4 000L - 11 bars</t>
  </si>
  <si>
    <t>Kit standard 2" - 5 000L - 11 bars</t>
  </si>
  <si>
    <t>Kit standard 2" - 5 000L et plus - 11 bars</t>
  </si>
  <si>
    <t>7 000L - 11 bars</t>
  </si>
  <si>
    <t>10 000L INOX - 11 bars</t>
  </si>
  <si>
    <t>20 000L - 11 bars</t>
  </si>
  <si>
    <t>Reservoir Vertical - Air comprimé</t>
  </si>
  <si>
    <t>Compair</t>
  </si>
  <si>
    <t>200L - 10 bars - Peint et équipé</t>
  </si>
  <si>
    <t>RV0200-PS10-01</t>
  </si>
  <si>
    <t>200L - 10 bars - Galva et équipé</t>
  </si>
  <si>
    <t>RV0200-PS10-G</t>
  </si>
  <si>
    <t>250L - 10,7 bars - Galva</t>
  </si>
  <si>
    <t>RV0250-PS10-G</t>
  </si>
  <si>
    <t>270L - 11 bars - Galva</t>
  </si>
  <si>
    <t>RV0270-PS11-G</t>
  </si>
  <si>
    <t>500L - 10 bars - Peint et équipé</t>
  </si>
  <si>
    <t>RV0500-PS10-01</t>
  </si>
  <si>
    <t>500L - 10,7 bars - Galva</t>
  </si>
  <si>
    <t>RV0500-PS10-G</t>
  </si>
  <si>
    <t>500L - 10 bars - Galva</t>
  </si>
  <si>
    <t>RVCO0500.10G</t>
  </si>
  <si>
    <t>500L - 16 bars - Peint</t>
  </si>
  <si>
    <t>RV0500-PS16-01</t>
  </si>
  <si>
    <t>800L - 10 bars - Peint</t>
  </si>
  <si>
    <t>RV0800-PS10</t>
  </si>
  <si>
    <t>900L - 10 bars - Peint</t>
  </si>
  <si>
    <t>RV0900-PS10-01</t>
  </si>
  <si>
    <t>900L - 10 bars - Galva</t>
  </si>
  <si>
    <t>RVCO0900.10G</t>
  </si>
  <si>
    <t>900L - 10,7 bars - Galva</t>
  </si>
  <si>
    <t>RV0901-PS10-G</t>
  </si>
  <si>
    <t>1000L - 11 bars - Galva</t>
  </si>
  <si>
    <t>RV0901-PS11-G</t>
  </si>
  <si>
    <t>1000L - 12 bars - Peint</t>
  </si>
  <si>
    <t>RV1000-PS12</t>
  </si>
  <si>
    <t>1000L - 14 bars - Peint</t>
  </si>
  <si>
    <t>RV1000PS14</t>
  </si>
  <si>
    <t>2000L - 10 bars - Galva</t>
  </si>
  <si>
    <t>RV2000-PS10</t>
  </si>
  <si>
    <t>90L - 11 bars - Galva</t>
  </si>
  <si>
    <t>RVKS0090.11G</t>
  </si>
  <si>
    <t>90L - 45 bars - Galva</t>
  </si>
  <si>
    <t>RVKS0090.45G</t>
  </si>
  <si>
    <t>150L - 11 bars - Galva</t>
  </si>
  <si>
    <t>RVKS0150.11G</t>
  </si>
  <si>
    <t>150L - 16 bars - Galva</t>
  </si>
  <si>
    <t>RVKS0150.16G</t>
  </si>
  <si>
    <t>250L - 11 bars - Galva</t>
  </si>
  <si>
    <t>RVKS0250.11G</t>
  </si>
  <si>
    <t>250L - 16 bars - Galva</t>
  </si>
  <si>
    <t>RVKS0250.16G</t>
  </si>
  <si>
    <t>250L - 45 bars - Galva</t>
  </si>
  <si>
    <t>RVKS0250.45G</t>
  </si>
  <si>
    <t>350L - 11 bars - Galva</t>
  </si>
  <si>
    <t>RVKS0350.11G</t>
  </si>
  <si>
    <t>350L - 16 bars - Galva</t>
  </si>
  <si>
    <t>RVKS0350.16G</t>
  </si>
  <si>
    <t>500L - 11 bars - Galva</t>
  </si>
  <si>
    <t>RVKS0500.11G</t>
  </si>
  <si>
    <t>500L - 16 bars - Galva</t>
  </si>
  <si>
    <t>RVKS0500.16G</t>
  </si>
  <si>
    <t>500L - 45 bars - Galva</t>
  </si>
  <si>
    <t>RVKS0500.45G</t>
  </si>
  <si>
    <t>900L - 11 bars - Galva</t>
  </si>
  <si>
    <t>RVKS0900.11G</t>
  </si>
  <si>
    <t>RVKS1000.11G</t>
  </si>
  <si>
    <t>1000L - 16 bars - Galva</t>
  </si>
  <si>
    <t>RVKS1000.16G</t>
  </si>
  <si>
    <t>1000L - 45 bars - Galva</t>
  </si>
  <si>
    <t>RVKS1000.45G</t>
  </si>
  <si>
    <t>2000L - 50 bars - Galva</t>
  </si>
  <si>
    <t>RVKS2000-50G</t>
  </si>
  <si>
    <t>2000L - 11 bars - Galva</t>
  </si>
  <si>
    <t>RVKS2000.11G</t>
  </si>
  <si>
    <t>2000L - 16 bars - Galva</t>
  </si>
  <si>
    <t>RVKS2000.16G</t>
  </si>
  <si>
    <t>3000L - 11 bars - Galva</t>
  </si>
  <si>
    <t>RVKS3000.11G</t>
  </si>
  <si>
    <t>3000L - 16 bars - Galva</t>
  </si>
  <si>
    <t>RVKS3000.16G</t>
  </si>
  <si>
    <t>5000L - 11 bars - Galva</t>
  </si>
  <si>
    <t>RVKS5000.11G</t>
  </si>
  <si>
    <t>5000L - 16 bars - Galva</t>
  </si>
  <si>
    <t>RVKS5000.16G</t>
  </si>
  <si>
    <t>8000L - 11 bars - Galva</t>
  </si>
  <si>
    <t>RVKS8000.11G</t>
  </si>
  <si>
    <t>8000L - 16 bars - Galva</t>
  </si>
  <si>
    <t>RVKS8000.16G</t>
  </si>
  <si>
    <t>10 000L - 11 bars - Galva</t>
  </si>
  <si>
    <t>RVKS10000.11G</t>
  </si>
  <si>
    <t>10 000L - 16 bars - Galva</t>
  </si>
  <si>
    <t>RVKS10000.16G</t>
  </si>
  <si>
    <t>50L - 10 bars - Galva</t>
  </si>
  <si>
    <t>100L - 10 bars - Galva</t>
  </si>
  <si>
    <t>RVPA0100.10G</t>
  </si>
  <si>
    <t>200L - 10 bars - Galva</t>
  </si>
  <si>
    <t>RVPA0200.10G</t>
  </si>
  <si>
    <t>300L - 10 bars - Galva</t>
  </si>
  <si>
    <t>RVPA0300.10G</t>
  </si>
  <si>
    <t>300L - 16 bars - Galva</t>
  </si>
  <si>
    <t>RVPA0300.16G</t>
  </si>
  <si>
    <t>RVPA0500.11G</t>
  </si>
  <si>
    <t>RVPA0500.16G</t>
  </si>
  <si>
    <t>750L - 11 bars - Galva</t>
  </si>
  <si>
    <t>RVPA0750.11G</t>
  </si>
  <si>
    <t>RVPA0900-11G</t>
  </si>
  <si>
    <t>1000 L - 10 bars - Galva</t>
  </si>
  <si>
    <t>1500 L - 10 bars - Galva</t>
  </si>
  <si>
    <t>1500L - 16 bars - Galva</t>
  </si>
  <si>
    <t>2000L - 10 bars - Galva - DN80</t>
  </si>
  <si>
    <t>4000L - 11 bars - Galva</t>
  </si>
  <si>
    <t>5000L - 10 bars - Galva</t>
  </si>
  <si>
    <t>5000L - 10 bars - Galva - DN150</t>
  </si>
  <si>
    <t>5000L - 11 bars - Galva - DN150</t>
  </si>
  <si>
    <t>RVPA5000.11G-DN150</t>
  </si>
  <si>
    <t>5000L - 11 bars - Galva - DN200</t>
  </si>
  <si>
    <t>RVPA5000.11G-DN200</t>
  </si>
  <si>
    <t>8000L - 10 bars - Galva - DN150</t>
  </si>
  <si>
    <t>8000L - 10 bars - Galva - DN200</t>
  </si>
  <si>
    <t>8000L - 10 bars - Galva</t>
  </si>
  <si>
    <t>8000L - 10 bars - Galva - DN100</t>
  </si>
  <si>
    <t>10 000L - 13 bars - Galva</t>
  </si>
  <si>
    <t>15L - 11 bars - Peint et équipé</t>
  </si>
  <si>
    <t>RVSE0015.11P</t>
  </si>
  <si>
    <t>50L - 11 bars - Peint et équipé</t>
  </si>
  <si>
    <t>RVSE0050.11P</t>
  </si>
  <si>
    <t>RVGU0050.11P</t>
  </si>
  <si>
    <t>Guernet</t>
  </si>
  <si>
    <t>100L - 11 bars - Galva - Equipé</t>
  </si>
  <si>
    <t>RVSE0100.11G</t>
  </si>
  <si>
    <t>100L - 11 bars - Peint et Equipé</t>
  </si>
  <si>
    <t>RVSE0100.11P</t>
  </si>
  <si>
    <t>120L - 11 bars - Galva - Equipé</t>
  </si>
  <si>
    <t>RVMA0120.11G</t>
  </si>
  <si>
    <t>Mauguiere</t>
  </si>
  <si>
    <t>200L - 11 bars - Galva - Equipé</t>
  </si>
  <si>
    <t>RVSE0200.11G</t>
  </si>
  <si>
    <t>RVMA0250.11G</t>
  </si>
  <si>
    <t>250L - 10 bars - Galva</t>
  </si>
  <si>
    <t>RVSI0250.10G</t>
  </si>
  <si>
    <t>270L - 11 bars - Peint et Equipé</t>
  </si>
  <si>
    <t>RVSI0270.11P</t>
  </si>
  <si>
    <t>RVNU0270.11G</t>
  </si>
  <si>
    <t>Nuair</t>
  </si>
  <si>
    <t>270L - 11 bars - Peint</t>
  </si>
  <si>
    <t>RVMA0270.11P</t>
  </si>
  <si>
    <t>270L - 11 bars - Galva - Equipé</t>
  </si>
  <si>
    <t>RVSE0270.11G</t>
  </si>
  <si>
    <t>RVSE0270.11P</t>
  </si>
  <si>
    <t>500L - 11 bars - Galva - Equipé</t>
  </si>
  <si>
    <t>RVSE0500.11G</t>
  </si>
  <si>
    <t>500L - 11 bars - Peint</t>
  </si>
  <si>
    <t>RV500P11</t>
  </si>
  <si>
    <t>RVCS0500.11G</t>
  </si>
  <si>
    <t>CSC Baglioni</t>
  </si>
  <si>
    <t>RVMA0500.10G</t>
  </si>
  <si>
    <t>500L - 10 bars - Peint</t>
  </si>
  <si>
    <t>RVMA0500.10P</t>
  </si>
  <si>
    <t>RVMA0500.11G</t>
  </si>
  <si>
    <t>RVMA0500.11P</t>
  </si>
  <si>
    <t>RVMAT0500.11G</t>
  </si>
  <si>
    <t>RVMAT0500.11P</t>
  </si>
  <si>
    <t>710L - 11 bars - Galva - Equipé</t>
  </si>
  <si>
    <t>RVSE710.11G</t>
  </si>
  <si>
    <t>900L - 11 bars - Galva - Equipé</t>
  </si>
  <si>
    <t>RVSE0900.11G</t>
  </si>
  <si>
    <t>RVMAT0900.11G</t>
  </si>
  <si>
    <t>RVNU0900.11G</t>
  </si>
  <si>
    <t>RVSI0900.10G</t>
  </si>
  <si>
    <t>RVMA0900.11G</t>
  </si>
  <si>
    <t>1000L - 10,7 bars - Galva - Equipé</t>
  </si>
  <si>
    <t>RVMA1000.10.7G</t>
  </si>
  <si>
    <t>1000L - 12 bars - Galva</t>
  </si>
  <si>
    <t>RVIN1000.12G</t>
  </si>
  <si>
    <t>Ingersoll</t>
  </si>
  <si>
    <t>1000L - 10,67 bars - Galva - Equipé</t>
  </si>
  <si>
    <t>RVSE1000.10,67G</t>
  </si>
  <si>
    <t>1500L - 15 bars - Galva - Equipé</t>
  </si>
  <si>
    <t>RVSE1500.15G</t>
  </si>
  <si>
    <t>2000L - 10,7 bars - Galva - Equipé</t>
  </si>
  <si>
    <t>RVSE2000.10G</t>
  </si>
  <si>
    <t>RVRO10000.16G</t>
  </si>
  <si>
    <t>Reservoir Vertical - Autres applications</t>
  </si>
  <si>
    <t>300L - 10 bars - Réservoir domestique</t>
  </si>
  <si>
    <t>RVCH0300.10D</t>
  </si>
  <si>
    <t>Charlatte</t>
  </si>
  <si>
    <t>500L - Vessie gonflable 10 bars</t>
  </si>
  <si>
    <t>RVSA0500.10B</t>
  </si>
  <si>
    <t>Sanisitt-Comutherm</t>
  </si>
  <si>
    <t>500L - POUR LE VIDE</t>
  </si>
  <si>
    <t>RVBU0500.VIDE</t>
  </si>
  <si>
    <t>Busch</t>
  </si>
  <si>
    <t>500L - 10 bars - Hydrophore eau froide</t>
  </si>
  <si>
    <t>RVMAS0500.10G</t>
  </si>
  <si>
    <t>Massal</t>
  </si>
  <si>
    <t>1000L pour eau sanitaire</t>
  </si>
  <si>
    <t>RVES1000.E</t>
  </si>
  <si>
    <t>Charot</t>
  </si>
  <si>
    <t>1000L pour eau chaude sanitaire</t>
  </si>
  <si>
    <t>RVECS1000</t>
  </si>
  <si>
    <t>1500L pour eau chaude sanitaire</t>
  </si>
  <si>
    <t>RVECS1500</t>
  </si>
  <si>
    <t>Lacaze</t>
  </si>
  <si>
    <t>1500L pour eau sanitaire</t>
  </si>
  <si>
    <t>RVES1500</t>
  </si>
  <si>
    <t>2000L pour eau sanitaire</t>
  </si>
  <si>
    <t>RVES2000</t>
  </si>
  <si>
    <t>RVES2000.E</t>
  </si>
  <si>
    <t>6 000L pour eau chaude</t>
  </si>
  <si>
    <t>RVEC6000</t>
  </si>
  <si>
    <t>8000L pour eau sanitaire</t>
  </si>
  <si>
    <t>RVES8000</t>
  </si>
  <si>
    <t>10 000L - 4 bars - INOX pour eau chaude</t>
  </si>
  <si>
    <t>RVEC10000.04I</t>
  </si>
  <si>
    <t>500L - 11 bars - Galva + intérieur epoxy</t>
  </si>
  <si>
    <t>RVPA0500E.11G</t>
  </si>
  <si>
    <t>5000L - 10 bars - Inox - DN150</t>
  </si>
  <si>
    <t>10 000L - 13 bars - Inox</t>
  </si>
  <si>
    <t>10 000L - 15 bars - Inox</t>
  </si>
  <si>
    <t>Reservoir Horizontal - Air comprimé</t>
  </si>
  <si>
    <t>RHKS0150.16G</t>
  </si>
  <si>
    <t>RHKS5000.11G</t>
  </si>
  <si>
    <t>RHKS8000.11G</t>
  </si>
  <si>
    <t>RHPA0100.10G</t>
  </si>
  <si>
    <t>200L - 11 bars - Galva</t>
  </si>
  <si>
    <t>RHPA0200.11G</t>
  </si>
  <si>
    <t>RHPA0300.10G</t>
  </si>
  <si>
    <t>RHPA0500.10G</t>
  </si>
  <si>
    <t>1000L - 10 bars - Galva</t>
  </si>
  <si>
    <t>RHPA1000.10G</t>
  </si>
  <si>
    <t>1500L - 10 bars - Galva</t>
  </si>
  <si>
    <t>RHPA1500.10G</t>
  </si>
  <si>
    <t>RHPA2000.10G</t>
  </si>
  <si>
    <t>RHPA3000.11G</t>
  </si>
  <si>
    <t>RHPA5000.10G</t>
  </si>
  <si>
    <t>RHPA5000.11G</t>
  </si>
  <si>
    <t>10L - 11 bars - Peint</t>
  </si>
  <si>
    <t>RHSI0010.11HP</t>
  </si>
  <si>
    <t>15L - 11 bars - Peint - Equipé</t>
  </si>
  <si>
    <t>RHSE0015.11P</t>
  </si>
  <si>
    <t>24L - 11 bars - Peint</t>
  </si>
  <si>
    <t>RHSI0024.11P</t>
  </si>
  <si>
    <t>50L - 11 bars - Peint</t>
  </si>
  <si>
    <t>RHNU0050.11P</t>
  </si>
  <si>
    <t>50L - 11 bars - Peint - Equipé</t>
  </si>
  <si>
    <t>RHSE0050.11P</t>
  </si>
  <si>
    <t>RHSI0050.11B</t>
  </si>
  <si>
    <t>50L - 11 bars - Galva</t>
  </si>
  <si>
    <t>RHSI0050.11G</t>
  </si>
  <si>
    <t>90L - 10 bars - Peint</t>
  </si>
  <si>
    <t>RHMAT0090.10P</t>
  </si>
  <si>
    <t>RHSE0100.11G</t>
  </si>
  <si>
    <t>100L - 11 bars - Peint - Equipé</t>
  </si>
  <si>
    <t>RHSE0100.11GP</t>
  </si>
  <si>
    <t>RHSI0100.11P</t>
  </si>
  <si>
    <t>RHSI0200.10G</t>
  </si>
  <si>
    <t>RHSE0200.11G</t>
  </si>
  <si>
    <t>250L - 11 bars - Peint</t>
  </si>
  <si>
    <t>RHMA0250.11G</t>
  </si>
  <si>
    <t>250L - 10 bars - Galva + platine</t>
  </si>
  <si>
    <t>RHRE0250.10GPL</t>
  </si>
  <si>
    <t>Renner</t>
  </si>
  <si>
    <t>270L - 10 bars - Galva + platine</t>
  </si>
  <si>
    <t>RHRE0270.10GPL</t>
  </si>
  <si>
    <t>RHSE0270.11G</t>
  </si>
  <si>
    <t>300L - 10 bars - Peint</t>
  </si>
  <si>
    <t>RHMA0300.10P</t>
  </si>
  <si>
    <t>RHSI0500.11P</t>
  </si>
  <si>
    <t>500L - 10 bars - Peint alimentaire</t>
  </si>
  <si>
    <t>RHSI0500P.10G</t>
  </si>
  <si>
    <t>900L - 10 bars - Peint alimentaire</t>
  </si>
  <si>
    <t>RHSI0900P.10G</t>
  </si>
  <si>
    <t>5000L - 5 bars - Galva - Equipé</t>
  </si>
  <si>
    <t>RHFL5000.08G</t>
  </si>
  <si>
    <t>Flytec</t>
  </si>
  <si>
    <t>vis + ecrou 16x70</t>
  </si>
  <si>
    <t>vis + ecrou 16x100</t>
  </si>
  <si>
    <t>vis + ecrou 16x120</t>
  </si>
  <si>
    <t>vis + ecrou 20X80</t>
  </si>
  <si>
    <t>vis + ecrou 20X130</t>
  </si>
  <si>
    <t>Ø 3 au mètre (sceau de 50m)</t>
  </si>
  <si>
    <t>Colliers pour flexibles</t>
  </si>
  <si>
    <t>Griffes</t>
  </si>
  <si>
    <t>Oreilles</t>
  </si>
  <si>
    <t>Serflex</t>
  </si>
  <si>
    <t>Tourillon</t>
  </si>
  <si>
    <t>CRAPAUD  ou Crampon</t>
  </si>
  <si>
    <t>Ecrou réduit M10-M6</t>
  </si>
  <si>
    <t>Ecrou rectangulaire M8 pour rail 38/24</t>
  </si>
  <si>
    <t>Fixation chemin de cable 6x40</t>
  </si>
  <si>
    <t>Fixation armoire electrique 8X50</t>
  </si>
  <si>
    <t>Fixation console 10X60</t>
  </si>
  <si>
    <t>Ø 16,5</t>
  </si>
  <si>
    <t>Ø 25</t>
  </si>
  <si>
    <t>Ø 40</t>
  </si>
  <si>
    <t>Ø 50</t>
  </si>
  <si>
    <t>6697 50 00</t>
  </si>
  <si>
    <t>Ø 63</t>
  </si>
  <si>
    <t>ISO Ø 76</t>
  </si>
  <si>
    <t>ISO Ø 100</t>
  </si>
  <si>
    <t>ISO Ø 168</t>
  </si>
  <si>
    <t>Tube Coréen</t>
  </si>
  <si>
    <t>tube Ø16 - 3/8</t>
  </si>
  <si>
    <t>tube Ø28 - 3/4</t>
  </si>
  <si>
    <t>Tube Italien</t>
  </si>
  <si>
    <t>Colliers ISO</t>
  </si>
  <si>
    <t>Feragrip (eclisse) pour rail 38X40</t>
  </si>
  <si>
    <t>Feragrip (eclisse) pour rail 27/18</t>
  </si>
  <si>
    <t>Fixation rapide M8 pour rail 38/24; 38/40; 39/52;</t>
  </si>
  <si>
    <t>Jambe de force 45° pour rail  38/40</t>
  </si>
  <si>
    <t>Prolongateur</t>
  </si>
  <si>
    <t>Equerre à 90° premontée rail 38/24 à 40/80</t>
  </si>
  <si>
    <t>Rails</t>
  </si>
  <si>
    <t>Rondelles</t>
  </si>
  <si>
    <t>Mince</t>
  </si>
  <si>
    <t>Large</t>
  </si>
  <si>
    <t>20x50</t>
  </si>
  <si>
    <t>CHC8x20</t>
  </si>
  <si>
    <t>10X50 (Crapaud Ø10)</t>
  </si>
  <si>
    <t>16X45 ( vanne oreille taraudé DN65 - DN125)</t>
  </si>
  <si>
    <t>Outils</t>
  </si>
  <si>
    <t>Outil de percage 1'' pour tube diam 76-100 mm</t>
  </si>
  <si>
    <t>EW090030</t>
  </si>
  <si>
    <t>Outil de percage 1''1/2-2'' pour tube diam 76-100-168 mm</t>
  </si>
  <si>
    <t>EW090051</t>
  </si>
  <si>
    <t>6625 50 00</t>
  </si>
  <si>
    <t>Ø 76</t>
  </si>
  <si>
    <t>BRIDE CIRCULAIRE INOX Ø 76 DN 80</t>
  </si>
  <si>
    <t>Coudes 45°FF</t>
  </si>
  <si>
    <t>45° FF</t>
  </si>
  <si>
    <t>Coudes 90°FF</t>
  </si>
  <si>
    <t>90° FF</t>
  </si>
  <si>
    <t>6602 50 00</t>
  </si>
  <si>
    <t>Ø 100</t>
  </si>
  <si>
    <t>Ø 168</t>
  </si>
  <si>
    <t>Coudes 45° Mixte M</t>
  </si>
  <si>
    <t xml:space="preserve">45° mixte M </t>
  </si>
  <si>
    <t>Ø 25 FILETE MALE 3/4" BSP CONIQUE</t>
  </si>
  <si>
    <t>Coudes 90° Mixte M</t>
  </si>
  <si>
    <t>90° mixte M</t>
  </si>
  <si>
    <t>Ø 16,5 FILETE MALE 1/2" BSP CONIQUE</t>
  </si>
  <si>
    <t>Ø 25 FILETE MALE 1/2" BSP CONIQUE</t>
  </si>
  <si>
    <t>Ø 25 FILETE MALE 1" BSP CONIQUE</t>
  </si>
  <si>
    <t>Ø 40 FILETE MALE 1" BSP CONIQUE</t>
  </si>
  <si>
    <t>Ø 40 FILETE MALE 1"1/4 BSP CONIQUE</t>
  </si>
  <si>
    <t>Ø 40 FILETE MALE 1"1/2 BSP CONIQUE</t>
  </si>
  <si>
    <t>Ø 50 FILETE MALE 2" BSP CONIQUE</t>
  </si>
  <si>
    <t>6609 50 48</t>
  </si>
  <si>
    <t>Ø 63 FILETE MALE 2" BSP CONIQUE</t>
  </si>
  <si>
    <t>Ø 63 FILETE MALE 2"1/2 BSP CONIQUE</t>
  </si>
  <si>
    <t>Etanchéité</t>
  </si>
  <si>
    <t>Joints</t>
  </si>
  <si>
    <t>Manchons FF</t>
  </si>
  <si>
    <t>6676 50 00</t>
  </si>
  <si>
    <t>Manchons Mixte M</t>
  </si>
  <si>
    <t>Mixte M</t>
  </si>
  <si>
    <t>Ø 16,5 R1/4</t>
  </si>
  <si>
    <t>Ø 16,5 R1/2</t>
  </si>
  <si>
    <t>Ø 25 R1/2</t>
  </si>
  <si>
    <t>Ø 25 R3/4</t>
  </si>
  <si>
    <t>Ø 25 R1”</t>
  </si>
  <si>
    <t>Ø 40 R1”</t>
  </si>
  <si>
    <t>Ø 40 R1”1/4</t>
  </si>
  <si>
    <t>Ø 40 FILETE MALE 1"1/4 BSP CONIQUE AVEC FIXATION</t>
  </si>
  <si>
    <t>Ø 40 R1”1/2</t>
  </si>
  <si>
    <t>Ø 40 FILETE MALE 1"1/2 BSP CONIQUE AVEC FIXATION</t>
  </si>
  <si>
    <t>Ø 50 R1”1/2</t>
  </si>
  <si>
    <t>6605 50 49</t>
  </si>
  <si>
    <t>Ø 50 R2”</t>
  </si>
  <si>
    <t>6605 50 48</t>
  </si>
  <si>
    <t>Ø 63 R2”</t>
  </si>
  <si>
    <t>Ø 63 R2”1/2</t>
  </si>
  <si>
    <t>Ø 76 R2"1/2</t>
  </si>
  <si>
    <t>Manchons Réduit FM</t>
  </si>
  <si>
    <t>Réduit FM</t>
  </si>
  <si>
    <t>Ø 25 &gt; Ø 16,5</t>
  </si>
  <si>
    <t>Ø 40 &gt; Ø 25</t>
  </si>
  <si>
    <t>Ø 50 &gt; Ø 25</t>
  </si>
  <si>
    <t>6666 25 50</t>
  </si>
  <si>
    <t>Ø 50 &gt; Ø 40</t>
  </si>
  <si>
    <t>6666 40 50</t>
  </si>
  <si>
    <t>Ø 63 &gt; Ø 40</t>
  </si>
  <si>
    <t>Ø 76 &gt; Ø 50</t>
  </si>
  <si>
    <t>RX64L150</t>
  </si>
  <si>
    <t>Ø 76 &gt; Ø 63</t>
  </si>
  <si>
    <t>Ø 100 &gt; Ø 63</t>
  </si>
  <si>
    <t>Ø 100 &gt; Ø 76</t>
  </si>
  <si>
    <t>Ø 168 &gt; Ø 100</t>
  </si>
  <si>
    <t>Piquage</t>
  </si>
  <si>
    <t>A emboiter</t>
  </si>
  <si>
    <t>Ø 25 &gt; Ø 25</t>
  </si>
  <si>
    <t>Ø 40 &gt; Ø 16,5</t>
  </si>
  <si>
    <t>6662 50 25</t>
  </si>
  <si>
    <t>Ø 63 &gt; Ø 25</t>
  </si>
  <si>
    <t>A visser</t>
  </si>
  <si>
    <t>Ø 25 G1/2</t>
  </si>
  <si>
    <t>Ø 25 G1/2 POSE RAPIDE</t>
  </si>
  <si>
    <t>Ø 25 AVEC ROBINET 1/2" BSP CYL.</t>
  </si>
  <si>
    <t>Ø 40 G1/2</t>
  </si>
  <si>
    <t>Ø 40 G1/2 POSE RAPIDE</t>
  </si>
  <si>
    <t>Ø 40 AVEC ROBINET 1/2" BSP CYL.</t>
  </si>
  <si>
    <t>Ø 40 G3/4</t>
  </si>
  <si>
    <t>Ø 40 AVEC ROBINET 3/4" BSP CYL.</t>
  </si>
  <si>
    <t>Ø 50 G1/2</t>
  </si>
  <si>
    <t>6669 50 21</t>
  </si>
  <si>
    <t>Ø 63 G1/2</t>
  </si>
  <si>
    <t>Ø 63 AVEC ROBINET 1/2" BSP CYL.</t>
  </si>
  <si>
    <t>Ø 63 G 3/4</t>
  </si>
  <si>
    <t>Ø 63 AVEC ROBINET 3/4" BSP CYL.</t>
  </si>
  <si>
    <t>Ø 76 G1’’</t>
  </si>
  <si>
    <t>Ø 76 G2’’</t>
  </si>
  <si>
    <t>RR61L116</t>
  </si>
  <si>
    <t>Ø 100 G1’’</t>
  </si>
  <si>
    <t>Ø 100 G2’’</t>
  </si>
  <si>
    <t>RR61L316</t>
  </si>
  <si>
    <t>Avec coupleur</t>
  </si>
  <si>
    <t>2 SORTIES G1/2  BSPP</t>
  </si>
  <si>
    <t>2 SORTIES 45° FEMELLE 1/2'' BSP CYL</t>
  </si>
  <si>
    <t>Ø 16,5 1 SORTIE 45° FEMELLE 1/2'' BSP CYL</t>
  </si>
  <si>
    <t>Ø 16,5 2 SORTIES 45° FEMELLE 1/2'' BSP CYL</t>
  </si>
  <si>
    <t>Ø 16,5 ROBINET 1 SORTIE 45° 1/2'' BSP CYL</t>
  </si>
  <si>
    <t>Ø 16,5 ROBINET 2 SORTIES 45° 1/2'' BSP CYL</t>
  </si>
  <si>
    <t>Ø 16,5 COUPLEUR ISO B 5,5</t>
  </si>
  <si>
    <t>Ø 16,5 AVEC 2 COUPLEURS ISO B6</t>
  </si>
  <si>
    <t>Ø 25 1 SORTIE 45° FEMELLE 1/2'' BSP CYL</t>
  </si>
  <si>
    <t>Ø 25 2 SORTIES F BSPP</t>
  </si>
  <si>
    <t>Ø 25 AVEC 1 COUPLEUR ISO B6</t>
  </si>
  <si>
    <t>Ø 25 AVEC 1 COUPLEUR ISO B8</t>
  </si>
  <si>
    <t>Ø 25 COUPLEUR ISO B 5,5</t>
  </si>
  <si>
    <t>Ø 25 COUPLEUR ISO B8</t>
  </si>
  <si>
    <t>Ø 25 2 SORTIES 45° FEMELLE 1/2'' BSP CYL</t>
  </si>
  <si>
    <t>Ø 25 AVEC 2 COUPLEURS ARO</t>
  </si>
  <si>
    <t>Ø 25 AVEC 2 COUPLEURS ISO B6</t>
  </si>
  <si>
    <t>Ø 25 3 SORTIES FEMELLE 1/2'' BSP CYL</t>
  </si>
  <si>
    <t>Ø 25 ROBINET 1 SORTIE 45° 1/2'' BSP CYL</t>
  </si>
  <si>
    <t>Ø 25 ROBINET 2 SORTIES 45° 1/2'' BSP CYL</t>
  </si>
  <si>
    <t>Egal</t>
  </si>
  <si>
    <t>6604 50 00</t>
  </si>
  <si>
    <t>Réduit</t>
  </si>
  <si>
    <t>TE GROSSISSEUR Ø 63 &gt; Ø 76</t>
  </si>
  <si>
    <t>RA0463L1</t>
  </si>
  <si>
    <t>Ø 76 &gt; Ø 40</t>
  </si>
  <si>
    <t>RX24L150</t>
  </si>
  <si>
    <t>RX24 L1 50</t>
  </si>
  <si>
    <t>Ø 168 &gt; Ø 76</t>
  </si>
  <si>
    <t>Mixte F</t>
  </si>
  <si>
    <t>Ø 76 G1/2</t>
  </si>
  <si>
    <t>Bleu (Air comprimé)</t>
  </si>
  <si>
    <t xml:space="preserve">Ø 16,5 LONG : 3M </t>
  </si>
  <si>
    <t xml:space="preserve">Ø16,5 LONG : 4,5M </t>
  </si>
  <si>
    <t>Ø 25 LONG : 3M</t>
  </si>
  <si>
    <t>Ø 25 LONG : 6M</t>
  </si>
  <si>
    <t>Ø 40 LONG : 3M</t>
  </si>
  <si>
    <t>Ø 40 LONG : 6M</t>
  </si>
  <si>
    <t>Ø 50 LONG : 6M</t>
  </si>
  <si>
    <t>1006A500400</t>
  </si>
  <si>
    <t>1006A50 04 00</t>
  </si>
  <si>
    <t>Ø 63 LONG : 3M</t>
  </si>
  <si>
    <t>Ø 63 LONG : 6M</t>
  </si>
  <si>
    <t>Ø 76 LONG : 6M</t>
  </si>
  <si>
    <t>Ø 100 LONG : 3M</t>
  </si>
  <si>
    <t>Ø 100 LONG : 6M</t>
  </si>
  <si>
    <t>Ø 168 LONG : 6M</t>
  </si>
  <si>
    <t>Gris (Vide)</t>
  </si>
  <si>
    <t>1006A50 06</t>
  </si>
  <si>
    <t>Vert (Gazs neutres)</t>
  </si>
  <si>
    <t>Ø 25 LONG : 6M</t>
  </si>
  <si>
    <t>Ø 50 LONG : 6M</t>
  </si>
  <si>
    <t>1006A5002</t>
  </si>
  <si>
    <t>1006A50 02</t>
  </si>
  <si>
    <t>Ø 25 LONG : 0,570M</t>
  </si>
  <si>
    <t>Ø 25 LONG : 1,500M</t>
  </si>
  <si>
    <t>Ø 25 LONG : 2,000M</t>
  </si>
  <si>
    <t>Ø 40 LONG : 1,150M</t>
  </si>
  <si>
    <t>Ø 40 LONG : 2,000M</t>
  </si>
  <si>
    <t>Ø 40 LONG : 3,000M</t>
  </si>
  <si>
    <t>Ø 50 LONG : 2,000M</t>
  </si>
  <si>
    <t>1001E500004</t>
  </si>
  <si>
    <t>1001E50 00 04</t>
  </si>
  <si>
    <t>Ø 50 LONG : 1,000M</t>
  </si>
  <si>
    <t>1001E500009</t>
  </si>
  <si>
    <t>1001E50 00 09</t>
  </si>
  <si>
    <t>Ø 63 LONG : 1,400M</t>
  </si>
  <si>
    <t>Ø 63 LONG : 3,000M</t>
  </si>
  <si>
    <t>Boisseau sph. FF</t>
  </si>
  <si>
    <t>G1/2</t>
  </si>
  <si>
    <t>G3/4</t>
  </si>
  <si>
    <t>G1’’</t>
  </si>
  <si>
    <t>G1’’1/4</t>
  </si>
  <si>
    <t>G1’’1/2</t>
  </si>
  <si>
    <t>G2’’</t>
  </si>
  <si>
    <t>G2’’1/2</t>
  </si>
  <si>
    <t>Boisseau sph. MF</t>
  </si>
  <si>
    <t>G1/2"</t>
  </si>
  <si>
    <t>G3/4"</t>
  </si>
  <si>
    <t>G1"</t>
  </si>
  <si>
    <t>G1"1/4</t>
  </si>
  <si>
    <t>G1"1/2</t>
  </si>
  <si>
    <t>G2"</t>
  </si>
  <si>
    <t>Mini vanne</t>
  </si>
  <si>
    <t>MINI-VANNE MF 1/2"</t>
  </si>
  <si>
    <t>Papillon joint NBR</t>
  </si>
  <si>
    <t>Pilotée</t>
  </si>
  <si>
    <t>Bride tournante à sertir emboutie PN10</t>
  </si>
  <si>
    <t>35 mm x 1"1/4</t>
  </si>
  <si>
    <t>28 mm x 1"</t>
  </si>
  <si>
    <t>R33281</t>
  </si>
  <si>
    <t>54mm x  2"</t>
  </si>
  <si>
    <t>Manchon Mixte</t>
  </si>
  <si>
    <t>15 mm x 1/2"</t>
  </si>
  <si>
    <t>18 mm x 1/2"</t>
  </si>
  <si>
    <t>18 mm x 3/4"</t>
  </si>
  <si>
    <t>22 mm x 1/2"</t>
  </si>
  <si>
    <t>22 mm x 3/4"</t>
  </si>
  <si>
    <t>28 mm x 1/2"</t>
  </si>
  <si>
    <t>28 mm x 3/4"</t>
  </si>
  <si>
    <t xml:space="preserve">42 mm x 1"1/4 </t>
  </si>
  <si>
    <t>54 mm x 1"1/2</t>
  </si>
  <si>
    <t>54 mm x 2"</t>
  </si>
  <si>
    <t>76,1 mm x 2"1/2</t>
  </si>
  <si>
    <t>88,9 mm x 3"</t>
  </si>
  <si>
    <t>108 mm x 4"</t>
  </si>
  <si>
    <t>Manchon male 35 mm x 1"1/4</t>
  </si>
  <si>
    <t>51 x 18 mm</t>
  </si>
  <si>
    <t>76,1 x 42 mm</t>
  </si>
  <si>
    <t>88,9 x 54 mm</t>
  </si>
  <si>
    <t>88,9 x 76,1 mm</t>
  </si>
  <si>
    <t>108 x 54 mm</t>
  </si>
  <si>
    <t>108 x 76,1 mm</t>
  </si>
  <si>
    <t>108 x 88,9 mm</t>
  </si>
  <si>
    <t>35 mm x 1/2''</t>
  </si>
  <si>
    <t>42 mm x 1/2"</t>
  </si>
  <si>
    <t>54 mm x 1/2"</t>
  </si>
  <si>
    <t>54 mm x 3/4"</t>
  </si>
  <si>
    <t>76 mm x 3/4"</t>
  </si>
  <si>
    <t>76 mm x 1"</t>
  </si>
  <si>
    <t>76 mm x 2"</t>
  </si>
  <si>
    <t>88,9 mm x 3/4"</t>
  </si>
  <si>
    <t>88,9 mm x 2"</t>
  </si>
  <si>
    <t>108 mm x 3/4"</t>
  </si>
  <si>
    <t>108 mm x 2"</t>
  </si>
  <si>
    <t>15 (1/2")</t>
  </si>
  <si>
    <t>18 ( 1/2 "- 3/4")</t>
  </si>
  <si>
    <t>35 (1"1/4)</t>
  </si>
  <si>
    <t>76,1 (2"1/2)</t>
  </si>
  <si>
    <t>3/4" - DN20</t>
  </si>
  <si>
    <t>BCS20</t>
  </si>
  <si>
    <t>BCV34</t>
  </si>
  <si>
    <t>BCV1</t>
  </si>
  <si>
    <t>BPS200</t>
  </si>
  <si>
    <t>8"-DN250</t>
  </si>
  <si>
    <t>BPS250</t>
  </si>
  <si>
    <t>CAS3DG114</t>
  </si>
  <si>
    <t>CAS3DN112</t>
  </si>
  <si>
    <t>BP40</t>
  </si>
  <si>
    <t>BP200</t>
  </si>
  <si>
    <t>10"</t>
  </si>
  <si>
    <t>BP250</t>
  </si>
  <si>
    <t>12"</t>
  </si>
  <si>
    <t>BP300</t>
  </si>
  <si>
    <t>1" 3/4"</t>
  </si>
  <si>
    <t>RAS1</t>
  </si>
  <si>
    <t>8"-6"</t>
  </si>
  <si>
    <t>RAS68</t>
  </si>
  <si>
    <t>Bicones</t>
  </si>
  <si>
    <t>Cannelés filetés Flexible Hydraulique</t>
  </si>
  <si>
    <t>Cannelés filetés Flexible Tricoclair</t>
  </si>
  <si>
    <t>Colliers à griffe (Maxair)</t>
  </si>
  <si>
    <t>Coupleur Rapide</t>
  </si>
  <si>
    <t>Séries 291 Anti coup de fouet 640L/min - ISO C - Coupleur (F) Queue Cannelée 8mm</t>
  </si>
  <si>
    <t>10.291.1003</t>
  </si>
  <si>
    <t>Séries 291 Anti coup de fouet 640L/min - ISO C - Coupleur (F) Queue Cannelée 10mm</t>
  </si>
  <si>
    <t>10.291.1004</t>
  </si>
  <si>
    <t>Séries 291 Anti coup de fouet 640L/min - ISO C - Coupleur (F) Fileté 3/8"</t>
  </si>
  <si>
    <t>10.291.1154</t>
  </si>
  <si>
    <t>Séries 291 Anti coup de fouet 640L/min - ISO C - Coupleur (F) Taraudé 1/4"</t>
  </si>
  <si>
    <t>10.291.1202</t>
  </si>
  <si>
    <t>Séries 291 Anti coup de fouet 640L/min - ISO C - Coupleur (F) Taraudé 3/8"</t>
  </si>
  <si>
    <t>10.291.1204</t>
  </si>
  <si>
    <t>Séries 291 Anti coup de fouet 640L/min - ISO C - Embout (M) Queue Cannelée 8mm</t>
  </si>
  <si>
    <t>10.291.5003</t>
  </si>
  <si>
    <t>Serie 310 950L/min - ISO B - Coupleur (F) queue cannelée 6mm</t>
  </si>
  <si>
    <t>Doublon 10.310.1002</t>
  </si>
  <si>
    <t>Serie 310 950L/min - ISO B - Coupleur (F) queue cannelée 8mm</t>
  </si>
  <si>
    <t>Doublon 10.310.1003</t>
  </si>
  <si>
    <t>Serie 310 950L/min - ISO B - Coupleur (F) queue cannelée 10mm</t>
  </si>
  <si>
    <t>Doublon 10.310.1004</t>
  </si>
  <si>
    <t>Serie 310 950L/min - ISO B - Coupleur (F) queue cannelée 13mm</t>
  </si>
  <si>
    <t>Doublon 10.310.1005</t>
  </si>
  <si>
    <t>Serie 310 950L/min - ISO B - Coupleur (F) Fileté 1/4"</t>
  </si>
  <si>
    <t>Doublon 10.310.1152</t>
  </si>
  <si>
    <t>Serie 310 950L/min - ISO B - Coupleur (F) Fileté 3/8"</t>
  </si>
  <si>
    <t>Doublon 10.310.1154</t>
  </si>
  <si>
    <t>Serie 310 950L/min - ISO B - Coupleur (F) Fileté 1/2"</t>
  </si>
  <si>
    <t>10.310.1155</t>
  </si>
  <si>
    <t>Serie 310 950L/min - ISO B - Coupleur (F) Taraudé 1/4"</t>
  </si>
  <si>
    <t>Doublon 10.310.1202</t>
  </si>
  <si>
    <t>Serie 310 950L/min - ISO B - Coupleur (F) Taraudé 3/8"</t>
  </si>
  <si>
    <t>Doublon 10.310.1204</t>
  </si>
  <si>
    <t>Serie 310 950L/min - ISO B - Coupleur (F) Taraudé 1/2"</t>
  </si>
  <si>
    <t>Doublon 10.310.1205</t>
  </si>
  <si>
    <t>Serie 310 Anti coup de fouet 950L/min - ISO B - Coupleur (F) queue cannelée 8mm</t>
  </si>
  <si>
    <t>10.310.2003</t>
  </si>
  <si>
    <t>Serie 310 Anti coup de fouet 950L/min - ISO B - Coupleur (F) queue cannelée 13mm</t>
  </si>
  <si>
    <t>Serie 310 Anti coup de fouet 950L/min - ISO B - Coupleur (F) Fileté 3/8"</t>
  </si>
  <si>
    <t>Serie 310 Anti coup de fouet 950L/min - ISO B - Coupleur (F) Fileté 1/2"</t>
  </si>
  <si>
    <t>Serie 310 Anti coup de fouet 950L/min - ISO B - Coupleur (F) Taraudé 1/4"</t>
  </si>
  <si>
    <t>Serie 310 Anti coup de fouet 950L/min - ISO B - Coupleur (F) Taraudé 3/8"</t>
  </si>
  <si>
    <t>Serie 310 Anti coup de fouet 950L/min - ISO B - Coupleur (F) Taraudé 1/2"</t>
  </si>
  <si>
    <t>Serie 310 Anti coup de fouet 950L/min - ISO B - Embout (M) queue cannelée 6mm</t>
  </si>
  <si>
    <t>Doublon 10.310.5002</t>
  </si>
  <si>
    <t>Serie 310 Anti coup de fouet 950L/min - ISO B - Embout (M) queue cannelée 8mm</t>
  </si>
  <si>
    <t>Doublon 10.310.5003</t>
  </si>
  <si>
    <t>Serie 310 Anti coup de fouet 950L/min - ISO B - Embout (M) queue cannelée 10mm</t>
  </si>
  <si>
    <t>Doublon 10.310.5004</t>
  </si>
  <si>
    <t>Serie 310 Anti coup de fouet 950L/min - ISO B - Embout (M) queue cannelée 13mm</t>
  </si>
  <si>
    <t>Serie 310 Anti coup de fouet 950L/min - ISO B - Embout (M) Fileté 1/8"</t>
  </si>
  <si>
    <t>Serie 310 Anti coup de fouet 950L/min - ISO B - Embout (M) Fileté 1/4"</t>
  </si>
  <si>
    <t>Doublon 10.310.5152</t>
  </si>
  <si>
    <t>Serie 310 Anti coup de fouet 950L/min - ISO B - Embout (M) Fileté 3/8"</t>
  </si>
  <si>
    <t>Doublon 10.310.5154</t>
  </si>
  <si>
    <t>Serie 310 Anti coup de fouet 950L/min - ISO B - Embout (M) Taraudé 1/8"</t>
  </si>
  <si>
    <t>Serie 310 Anti coup de fouet 950L/min - ISO B - Embout (M) Taraudé 1/4"</t>
  </si>
  <si>
    <t>Doublon 10.310.5202</t>
  </si>
  <si>
    <t>Serie 310 Anti coup de fouet 950L/min - ISO B - Embout (M) Taraudé 3/8"</t>
  </si>
  <si>
    <t>Doublon 10.310.5204</t>
  </si>
  <si>
    <t>Serie 320 Anti coup de fouet 2250L/min - Eurostandard 7,4mm - Coupleur (F) Fileté 1/4"</t>
  </si>
  <si>
    <t>10.320.2152</t>
  </si>
  <si>
    <t>Serie 320 Anti coup de fouet 2250L/min - Eurostandard 7,4mm - Embout (M) queue cannelée 8mm</t>
  </si>
  <si>
    <t>10.320.5003</t>
  </si>
  <si>
    <t>Serie 320 Anti coup de fouet 2250L/min - Eurostandard 7,4mm - Embout (M) Fileté 1/4"</t>
  </si>
  <si>
    <t>10.320.5152</t>
  </si>
  <si>
    <t>Serie 320 Anti coup de fouet 2250L/min - Eurostandard 7,4mm - Embout (M) Taraudé 1/4"</t>
  </si>
  <si>
    <t>10.320.5202</t>
  </si>
  <si>
    <t>Série 341 Air Respirable 1950L/min - Coupleur (F) Queue cannelée 10mm</t>
  </si>
  <si>
    <t>10.341.1004</t>
  </si>
  <si>
    <t>Série 341 Air Respirable 1950L/min - Embout (M) Queue cannelée 14mm</t>
  </si>
  <si>
    <t>10.341.5004</t>
  </si>
  <si>
    <t>Série 342 Anticoup de fouet 1950L/min - Saftylock 7,4mm - Coupleur (F) Queue Cannelée 10mm</t>
  </si>
  <si>
    <t>10.342.1004</t>
  </si>
  <si>
    <t>Série 342 Anticoup de fouet 1950L/min - Saftylock 7,4mm - Coupleur (F) Fileté 3/8"</t>
  </si>
  <si>
    <t>10.342.1154</t>
  </si>
  <si>
    <t>Série 342 Anticoup de fouet 1950L/min - Saftylock 7,4mm - Embout (M) Queue Cannelée 10mm</t>
  </si>
  <si>
    <t>10.342.5004</t>
  </si>
  <si>
    <t>Série 342 Anticoup de fouet 1950L/min - Saftylock 7,4mm - Embout (M) Fileté 1/4"</t>
  </si>
  <si>
    <t>10.342.5152</t>
  </si>
  <si>
    <t>Série 410 3900L/min - Eurostandard 10m - Embout (M) Queue cannelée 10mm</t>
  </si>
  <si>
    <t>10.410.5004</t>
  </si>
  <si>
    <t>Série 410 3900L/min - Eurostandard 10m - Embout (M) Fileté 1/4"</t>
  </si>
  <si>
    <t>10.410.5152</t>
  </si>
  <si>
    <t>Série 430 2350L/min - ISO B - Coupleur (F) Fileté 1/2"</t>
  </si>
  <si>
    <t>10.430.1155</t>
  </si>
  <si>
    <t>Série 430 2350L/min - ISO B - Embout (L) Queue Cannelée 8mm</t>
  </si>
  <si>
    <t>10.430.5003</t>
  </si>
  <si>
    <t>Série 430 2350L/min - ISO B - Embout (L) Queue Cannelée 10mm</t>
  </si>
  <si>
    <t>10.430.5004</t>
  </si>
  <si>
    <t>Série 550 3750 l/min - ISO B 11mm - Coupleur (F) queue cannelée 19mm</t>
  </si>
  <si>
    <t>Série 550 3750 l/min - ISO B 11mm - Coupleur (F) Fileté 1/2"</t>
  </si>
  <si>
    <t>Doublon 10.550.1155</t>
  </si>
  <si>
    <t>Série 550 3750 l/min - ISO B 11mm - Coupleur (F) Fileté 3/4"</t>
  </si>
  <si>
    <t>10.550.1157</t>
  </si>
  <si>
    <t>Doublon 10.550.1157</t>
  </si>
  <si>
    <t>Série 550 3750 l/min - ISO B 11mm - Embout (M) queue cannelée 13mm</t>
  </si>
  <si>
    <t>10.550.5005</t>
  </si>
  <si>
    <t>Série 550 3750 l/min - ISO B 11mm - Embout (M) queue cannelée 19mm</t>
  </si>
  <si>
    <t>10.550.5007</t>
  </si>
  <si>
    <t>Série 550 3750 l/min - ISO B 11mm - Embout (M) Fileté 3/8"</t>
  </si>
  <si>
    <t>10.550.5154</t>
  </si>
  <si>
    <t>Série 550 3750 l/min - ISO B 11mm - Embout (M) Fileté 1/2"</t>
  </si>
  <si>
    <t>10.550.5155</t>
  </si>
  <si>
    <t>Série 550 3750 l/min - ISO B 11mm - Embout (M) Fileté 3/4"</t>
  </si>
  <si>
    <t>Raccords pompier canelés</t>
  </si>
  <si>
    <t>EXPD9</t>
  </si>
  <si>
    <t>Raccords pompier F</t>
  </si>
  <si>
    <t>EXPF2</t>
  </si>
  <si>
    <t>Raccords pompier M</t>
  </si>
  <si>
    <t>EXPM2</t>
  </si>
  <si>
    <t>RI  coudés</t>
  </si>
  <si>
    <t>RI  droits</t>
  </si>
  <si>
    <t>RI  gaz femelle droit</t>
  </si>
  <si>
    <t>RI  réduction</t>
  </si>
  <si>
    <t>RI  té au centre</t>
  </si>
  <si>
    <t>RI  té egal</t>
  </si>
  <si>
    <t>RI double</t>
  </si>
  <si>
    <t>Passe cloin D06</t>
  </si>
  <si>
    <t>Laiton FF - Poignée Longue</t>
  </si>
  <si>
    <t>Laiton MF - Poignée Longue</t>
  </si>
  <si>
    <t>BEKO12</t>
  </si>
  <si>
    <t>BEKO13</t>
  </si>
  <si>
    <t>BEKO13-KIT</t>
  </si>
  <si>
    <t>BEKO14</t>
  </si>
  <si>
    <t>BEKO14-KIT</t>
  </si>
  <si>
    <t>BEKO21-KIT</t>
  </si>
  <si>
    <t>BEKO32</t>
  </si>
  <si>
    <t>BR90L</t>
  </si>
  <si>
    <t>Kit de montage pour Bekomat 13 (Cuve &lt;5000L) Sortie 1/2"M pour Rilsan D12</t>
  </si>
  <si>
    <t>Kit de montage pour Bekomat 12 (Filtre) Sortie 3/8" pour rilsan D8</t>
  </si>
  <si>
    <t>Bekomat 12 (Avec Alarme) Entrée 1/2" Sortie 3/8"</t>
  </si>
  <si>
    <t>HNT</t>
  </si>
  <si>
    <t>KMVA</t>
  </si>
  <si>
    <t>FR</t>
  </si>
  <si>
    <t>FH</t>
  </si>
  <si>
    <t>Frais Hotel</t>
  </si>
  <si>
    <t>Frais Repas</t>
  </si>
  <si>
    <t>Heure Etude Devis</t>
  </si>
  <si>
    <t>HDBE</t>
  </si>
  <si>
    <t>Heure Technicien 100</t>
  </si>
  <si>
    <t xml:space="preserve">HN </t>
  </si>
  <si>
    <t>Heure Etude BE</t>
  </si>
  <si>
    <t>HNBE</t>
  </si>
  <si>
    <t>Heure Tuyauteur 100</t>
  </si>
  <si>
    <t>Heure Sup 125</t>
  </si>
  <si>
    <t>HS125</t>
  </si>
  <si>
    <t>Heure Sup 150</t>
  </si>
  <si>
    <t>HS150</t>
  </si>
  <si>
    <t>Heure Sup 200</t>
  </si>
  <si>
    <t>HS200</t>
  </si>
  <si>
    <t>V. atelier</t>
  </si>
  <si>
    <t>V leger</t>
  </si>
  <si>
    <t>KMVL</t>
  </si>
  <si>
    <t>JT42FKM-RIM</t>
  </si>
  <si>
    <t>IBC 1000 LITRES</t>
  </si>
  <si>
    <t>MCT1000-C</t>
  </si>
  <si>
    <t>MCT1000SP-C</t>
  </si>
  <si>
    <t>MINIMCT-C</t>
  </si>
  <si>
    <t>MINIMCT870-C</t>
  </si>
  <si>
    <t>BRLP225</t>
  </si>
  <si>
    <t>MCT-C</t>
  </si>
  <si>
    <t>BR06</t>
  </si>
  <si>
    <t>BR08</t>
  </si>
  <si>
    <t>BR08P</t>
  </si>
  <si>
    <t>BR120</t>
  </si>
  <si>
    <t>BR14S</t>
  </si>
  <si>
    <t>MINIMCT842B-C</t>
  </si>
  <si>
    <t>XZKA1202</t>
  </si>
  <si>
    <t>XZKA13001</t>
  </si>
  <si>
    <t>Beko31</t>
  </si>
  <si>
    <t>Y64A-4GA-N2N</t>
  </si>
  <si>
    <t>11-2080100</t>
  </si>
  <si>
    <t>50,058,2901</t>
  </si>
  <si>
    <t>50,058,4901</t>
  </si>
  <si>
    <t>50,058,6901</t>
  </si>
  <si>
    <t>50,058,8901</t>
  </si>
  <si>
    <t>74504-50</t>
  </si>
  <si>
    <t>B64G3GKAD3RMN</t>
  </si>
  <si>
    <t>B64GNNKAD3RMN</t>
  </si>
  <si>
    <t>FRL64-201</t>
  </si>
  <si>
    <t>AF0035P</t>
  </si>
  <si>
    <t>AF0035C</t>
  </si>
  <si>
    <t>AF0035A</t>
  </si>
  <si>
    <t>AF0052P</t>
  </si>
  <si>
    <t>AF0052C</t>
  </si>
  <si>
    <t>AF0052A</t>
  </si>
  <si>
    <t>AF0108P</t>
  </si>
  <si>
    <t>AF0108C</t>
  </si>
  <si>
    <t>AF0108A</t>
  </si>
  <si>
    <t>AF0216P</t>
  </si>
  <si>
    <t>AF0216C</t>
  </si>
  <si>
    <t>AF0216A</t>
  </si>
  <si>
    <t>KFM02</t>
  </si>
  <si>
    <t>L72M-3GP-ETN</t>
  </si>
  <si>
    <t>L64M-4GP-ED</t>
  </si>
  <si>
    <t>L64M-6GP-ED</t>
  </si>
  <si>
    <t>421.18</t>
  </si>
  <si>
    <t>SF1640006</t>
  </si>
  <si>
    <t>SF1622004</t>
  </si>
  <si>
    <t>SF1622005</t>
  </si>
  <si>
    <t>SF1622006</t>
  </si>
  <si>
    <t>SF1623002</t>
  </si>
  <si>
    <t>SF1623004</t>
  </si>
  <si>
    <t>SF1623006</t>
  </si>
  <si>
    <t>SF1623007</t>
  </si>
  <si>
    <t>SF1623008</t>
  </si>
  <si>
    <t>SF1623011</t>
  </si>
  <si>
    <t>SF1625006</t>
  </si>
  <si>
    <t>SF1643006</t>
  </si>
  <si>
    <t>008821</t>
  </si>
  <si>
    <t>SF1613002</t>
  </si>
  <si>
    <t>SF1613006</t>
  </si>
  <si>
    <t>SF1613007</t>
  </si>
  <si>
    <t>SF1613008</t>
  </si>
  <si>
    <t>SF1613011</t>
  </si>
  <si>
    <t>008792</t>
  </si>
  <si>
    <t>008862</t>
  </si>
  <si>
    <t>1011.12</t>
  </si>
  <si>
    <t>SF1615002</t>
  </si>
  <si>
    <t>K7.0220.0</t>
  </si>
  <si>
    <t>K7.0221.0</t>
  </si>
  <si>
    <t>311D-380V</t>
  </si>
  <si>
    <t>AFT0</t>
  </si>
  <si>
    <t>74316-50</t>
  </si>
  <si>
    <t>R72G-2GK-RMN</t>
  </si>
  <si>
    <t>R72G-3GK-RMN</t>
  </si>
  <si>
    <t>R64G-NNK-RMN</t>
  </si>
  <si>
    <t>11808-960</t>
  </si>
  <si>
    <t>11808-980</t>
  </si>
  <si>
    <t>R18 812 RNXD</t>
  </si>
  <si>
    <t>R18 816 RNXD</t>
  </si>
  <si>
    <t>F4H</t>
  </si>
  <si>
    <t>SSL12.10</t>
  </si>
  <si>
    <t>SSL34.10</t>
  </si>
  <si>
    <t>SSL1.10</t>
  </si>
  <si>
    <t>SSL114.10</t>
  </si>
  <si>
    <t>SSL112.10</t>
  </si>
  <si>
    <t>SSL2.10</t>
  </si>
  <si>
    <t>VACUO100</t>
  </si>
  <si>
    <t>VACUOV63</t>
  </si>
  <si>
    <t>VACUOA63</t>
  </si>
  <si>
    <t>BPT803</t>
  </si>
  <si>
    <t>CPTEAU34-IMP1L</t>
  </si>
  <si>
    <t>RCL1-34</t>
  </si>
  <si>
    <t>CPTEAU1-IMP1L</t>
  </si>
  <si>
    <t>014447</t>
  </si>
  <si>
    <t>014438</t>
  </si>
  <si>
    <t>014439</t>
  </si>
  <si>
    <t>014440</t>
  </si>
  <si>
    <t>SF1615007</t>
  </si>
  <si>
    <t>SF1615008</t>
  </si>
  <si>
    <t>SF1615010</t>
  </si>
  <si>
    <t>SF1645007</t>
  </si>
  <si>
    <t>K00479</t>
  </si>
  <si>
    <t>MANO004</t>
  </si>
  <si>
    <t>MANO010</t>
  </si>
  <si>
    <t>MANO010-PV</t>
  </si>
  <si>
    <t>G12</t>
  </si>
  <si>
    <t>725.010.056</t>
  </si>
  <si>
    <t>003.001.074</t>
  </si>
  <si>
    <t>104.025.150</t>
  </si>
  <si>
    <t>003.001.026</t>
  </si>
  <si>
    <t>003.002.035</t>
  </si>
  <si>
    <t>003.002.033</t>
  </si>
  <si>
    <t>003.001.020</t>
  </si>
  <si>
    <t>800.036.500</t>
  </si>
  <si>
    <t>Appliques murales FF</t>
  </si>
  <si>
    <t xml:space="preserve"> 16-3/8</t>
  </si>
  <si>
    <t xml:space="preserve"> 20-1/2</t>
  </si>
  <si>
    <t xml:space="preserve"> 25-1/2</t>
  </si>
  <si>
    <t xml:space="preserve"> 25-3/4</t>
  </si>
  <si>
    <t>Bouchons collés</t>
  </si>
  <si>
    <t>Bouchons filetés</t>
  </si>
  <si>
    <t>Bouchons taraudés</t>
  </si>
  <si>
    <t>Brides acier galva,</t>
  </si>
  <si>
    <t>Colle</t>
  </si>
  <si>
    <t>0,5 l</t>
  </si>
  <si>
    <t>1l</t>
  </si>
  <si>
    <t>Collets coté joint torique</t>
  </si>
  <si>
    <t>Collets coté plat</t>
  </si>
  <si>
    <t>Coudes 90°</t>
  </si>
  <si>
    <t>Coudes 90° taraudes Gaz</t>
  </si>
  <si>
    <t>Courbes 45°</t>
  </si>
  <si>
    <t>Courbes 90°</t>
  </si>
  <si>
    <t>Decapant</t>
  </si>
  <si>
    <t>0,5l</t>
  </si>
  <si>
    <t>0,25l</t>
  </si>
  <si>
    <t>Embouts cannelés</t>
  </si>
  <si>
    <t>Embouts mixtes F</t>
  </si>
  <si>
    <t>12-8-1/4</t>
  </si>
  <si>
    <t>16-12 -3/8</t>
  </si>
  <si>
    <t xml:space="preserve"> 20-16-1/2</t>
  </si>
  <si>
    <t xml:space="preserve"> 25-20-3/4</t>
  </si>
  <si>
    <t>32-25-1"</t>
  </si>
  <si>
    <t>40-32-1"1/4</t>
  </si>
  <si>
    <t>50-40-1"1/2</t>
  </si>
  <si>
    <t>63-50-2"</t>
  </si>
  <si>
    <t>Embouts mixtes M</t>
  </si>
  <si>
    <t>16-12 3/8</t>
  </si>
  <si>
    <t>20-16-3/8</t>
  </si>
  <si>
    <t>20-16-1/2</t>
  </si>
  <si>
    <t>25-20-1/2</t>
  </si>
  <si>
    <t>25-20-3/4</t>
  </si>
  <si>
    <t>32-25-3/4</t>
  </si>
  <si>
    <t>40-32-1"</t>
  </si>
  <si>
    <t>50-40-1"1/4</t>
  </si>
  <si>
    <t>63-50-1"1/2</t>
  </si>
  <si>
    <t>75-63-2"</t>
  </si>
  <si>
    <t>Joint torique</t>
  </si>
  <si>
    <t>Joints de dilatation</t>
  </si>
  <si>
    <t xml:space="preserve">Manchons </t>
  </si>
  <si>
    <t>Manchons filetes Gaz</t>
  </si>
  <si>
    <t>Réductions doubles</t>
  </si>
  <si>
    <t>20-16-12</t>
  </si>
  <si>
    <t>25-20-16</t>
  </si>
  <si>
    <t>32-25-20</t>
  </si>
  <si>
    <t>40-32-25</t>
  </si>
  <si>
    <t>50-40-32</t>
  </si>
  <si>
    <t>63-50-40</t>
  </si>
  <si>
    <t>75-63-50</t>
  </si>
  <si>
    <t>90-75-63</t>
  </si>
  <si>
    <t>110-90-75</t>
  </si>
  <si>
    <t>125-110-90</t>
  </si>
  <si>
    <t>140-125-110</t>
  </si>
  <si>
    <t>160-140-125</t>
  </si>
  <si>
    <t>200-160-140</t>
  </si>
  <si>
    <t>225-200-160</t>
  </si>
  <si>
    <t>Réductions MF Gaz</t>
  </si>
  <si>
    <t>Réductions simples</t>
  </si>
  <si>
    <t xml:space="preserve"> 16 - 12</t>
  </si>
  <si>
    <t>20 - 16</t>
  </si>
  <si>
    <t>25 - 20</t>
  </si>
  <si>
    <t>32 - 16</t>
  </si>
  <si>
    <t>32 - 25</t>
  </si>
  <si>
    <t>40 - 32</t>
  </si>
  <si>
    <t>50 - 32</t>
  </si>
  <si>
    <t>50 - 40</t>
  </si>
  <si>
    <t>63 - 32</t>
  </si>
  <si>
    <t>63 - 50</t>
  </si>
  <si>
    <t>75 - 63</t>
  </si>
  <si>
    <t>90 - 63</t>
  </si>
  <si>
    <t>90 - 75</t>
  </si>
  <si>
    <t>110 - 63</t>
  </si>
  <si>
    <t>110 - 90</t>
  </si>
  <si>
    <t>125 - 110</t>
  </si>
  <si>
    <t>140 - 125</t>
  </si>
  <si>
    <t>160 - 40</t>
  </si>
  <si>
    <t>160 - 110</t>
  </si>
  <si>
    <t>160 - 140</t>
  </si>
  <si>
    <t>200 - 160</t>
  </si>
  <si>
    <t>225 - 160</t>
  </si>
  <si>
    <t>225 - 200</t>
  </si>
  <si>
    <t>Té egal</t>
  </si>
  <si>
    <t>Té reduit</t>
  </si>
  <si>
    <t xml:space="preserve"> 20-12</t>
  </si>
  <si>
    <t>20-16</t>
  </si>
  <si>
    <t xml:space="preserve"> 25-12</t>
  </si>
  <si>
    <t>25-16</t>
  </si>
  <si>
    <t>25-20</t>
  </si>
  <si>
    <t>32-12</t>
  </si>
  <si>
    <t>32-16</t>
  </si>
  <si>
    <t>32-20</t>
  </si>
  <si>
    <t>32-25</t>
  </si>
  <si>
    <t>40-16</t>
  </si>
  <si>
    <t>40-20</t>
  </si>
  <si>
    <t>40-25</t>
  </si>
  <si>
    <t>40-32</t>
  </si>
  <si>
    <t>50-20</t>
  </si>
  <si>
    <t>50-25</t>
  </si>
  <si>
    <t>50-32</t>
  </si>
  <si>
    <t>50-40</t>
  </si>
  <si>
    <t>60-20</t>
  </si>
  <si>
    <t>60-25</t>
  </si>
  <si>
    <t>63-32</t>
  </si>
  <si>
    <t>63-40</t>
  </si>
  <si>
    <t>63-50</t>
  </si>
  <si>
    <t>Tube 10 bars</t>
  </si>
  <si>
    <t>Tube 6 bars</t>
  </si>
  <si>
    <t>Unions collés</t>
  </si>
  <si>
    <t>Unions collés - filetés</t>
  </si>
  <si>
    <t xml:space="preserve"> 12-1/4</t>
  </si>
  <si>
    <t>32-1"</t>
  </si>
  <si>
    <t>40-1"1/4</t>
  </si>
  <si>
    <t>50-1"1/2</t>
  </si>
  <si>
    <t>63-2"</t>
  </si>
  <si>
    <t>Unions collés - taraudés</t>
  </si>
  <si>
    <t>Vannes BS</t>
  </si>
  <si>
    <t>Bac de récupération 1000L</t>
  </si>
  <si>
    <t>Bac de rétention 1000L - 1320x1220x760</t>
  </si>
  <si>
    <t>Bac de rétention 1000L - 2660x1220x435</t>
  </si>
  <si>
    <t>Bac de rétention 220L - 665x1220x400</t>
  </si>
  <si>
    <t>Bac de rétention 220L - 870x870x420</t>
  </si>
  <si>
    <t>Bac de rétention 225L - 925x755x555</t>
  </si>
  <si>
    <t>Bac de rétention 440L - 1320x1220x400</t>
  </si>
  <si>
    <t>Bac de rétention 90L - 1200x640x160</t>
  </si>
  <si>
    <t>MANUTAN</t>
  </si>
  <si>
    <t>A148307</t>
  </si>
  <si>
    <t>Bac de rétention - Owamat 6 - 840x1250x350</t>
  </si>
  <si>
    <t>Bac de rétention - Owamat 8 - 1320x1220x760</t>
  </si>
  <si>
    <t>Bac de rétention - 1740x1450x600 - Plastique</t>
  </si>
  <si>
    <t>Bac de rétention 120L - 1245x1245x115</t>
  </si>
  <si>
    <t>Bac de récupération</t>
  </si>
  <si>
    <t>Accessoires beko</t>
  </si>
  <si>
    <t>coque d’isolation beko 12</t>
  </si>
  <si>
    <t>coque d’isolation beko 13</t>
  </si>
  <si>
    <t xml:space="preserve">Distributeur de condensat </t>
  </si>
  <si>
    <t>Bekomat 31 (Sans Alarme) Entrée 1/2" Sortie 1/4"</t>
  </si>
  <si>
    <t>Bekomat 32 (Sans Alarme) Entrée 1/2" Sortie 1/4"</t>
  </si>
  <si>
    <t>14 (Cuve &gt;5000L) Sortie 3/4"M</t>
  </si>
  <si>
    <t>Equipement Beko</t>
  </si>
  <si>
    <t>Kit de montage pour Bekomat 14 (Cuve &gt;5000L) Sortie 3/4"M pour rilsan D14?</t>
  </si>
  <si>
    <t>Clapet anti retour laiton F/F</t>
  </si>
  <si>
    <t xml:space="preserve"> 3/8 </t>
  </si>
  <si>
    <t>Souflette (femelle 1/4")</t>
  </si>
  <si>
    <t>Spirale  2m (male male 1/4")</t>
  </si>
  <si>
    <t>Spirale  4m  (male male 1/4")</t>
  </si>
  <si>
    <t>Spirale  6m  (male male 1/4")</t>
  </si>
  <si>
    <t>Spirale  8m  (male male 1/4")</t>
  </si>
  <si>
    <t xml:space="preserve"> 1/4 P</t>
  </si>
  <si>
    <t xml:space="preserve"> 1/4C</t>
  </si>
  <si>
    <t xml:space="preserve"> 1/4A</t>
  </si>
  <si>
    <t>3/8 P</t>
  </si>
  <si>
    <t>3/8 C</t>
  </si>
  <si>
    <t>3/8 A</t>
  </si>
  <si>
    <t>1/2P</t>
  </si>
  <si>
    <t>1/2C</t>
  </si>
  <si>
    <t>1/2A</t>
  </si>
  <si>
    <t>3/4P</t>
  </si>
  <si>
    <t>3/4C</t>
  </si>
  <si>
    <t>3/4A</t>
  </si>
  <si>
    <t>pour filtre 1/4</t>
  </si>
  <si>
    <t>Mano Plast - 0-60° - D40 - Axial - 1/8" - 0-16b</t>
  </si>
  <si>
    <t>Mano Plast - 0-60° - D40 - Axial - 1/8" - 0-10b</t>
  </si>
  <si>
    <t>Mano Inox - 0-60° - A bain d'huile- D50 - Axial - 1/4" - 0-4b</t>
  </si>
  <si>
    <t>Mano Inox - 0-60° - A bain d'huile- D50 - Axial - 1/4" - 0-6b</t>
  </si>
  <si>
    <t>Mano Inox - 0-60° - A bain d'huile- D50 - Axial - 1/4" - 0-10b</t>
  </si>
  <si>
    <t>Mano Inox - 0-60° - A bain d'huile- D63 - Axial - 1/4" - 0-1,6b</t>
  </si>
  <si>
    <t>Mano Inox - 0-60° - A bain d'huile- D63 - Axial - 1/4" - 0-4b</t>
  </si>
  <si>
    <t>Mano Inox - 0-60° - A bain d'huile- D63 - Axial - 1/4" - 0-10b</t>
  </si>
  <si>
    <t>Mano Inox - 0-60° - A bain d'huile- D63 - Axial - 1/4" - 0-16b</t>
  </si>
  <si>
    <t>Mano Inox - 0-60° - A bain d'huile- D63 - Axial - 1/4" - 0-25b</t>
  </si>
  <si>
    <t>Mano Inox - 0-60° - A bain d'huile- D63 - Axial - 1/4" - 0-40b</t>
  </si>
  <si>
    <t>Mano Inox - 0-60° - A bain d'huile- D63 - Axial - 1/4" - 0-100b</t>
  </si>
  <si>
    <t>Mano Inox - 0-60° - A bain d'huile- D100 - Axial - 1/2" - 0-10b</t>
  </si>
  <si>
    <t>Mano Plast - 0-60° - D63 - Radial - 1/8" - 0-10b</t>
  </si>
  <si>
    <t>Mano Plast - 0-60° - D63 - Radial - 1/8" - 0-16b</t>
  </si>
  <si>
    <t>Mano Inox - -20-60° - A bain d'huile- D63 - Radial - 1/4" - 0-6b</t>
  </si>
  <si>
    <t>Sofinther / Distrilabo</t>
  </si>
  <si>
    <t>Mano Inox - 0-60° - A bain d'huile- D63 - Radial - 1/4" - -1+1b</t>
  </si>
  <si>
    <t>Mano Inox - 0-60° - A bain d'huile- D63 - Radial - 1/4" - 0-1,6b</t>
  </si>
  <si>
    <t>Mano Inox - 0-60° - A bain d'huile- D63 - Radial - 1/4" - 0-6b</t>
  </si>
  <si>
    <t>Mano Inox - 0-60° - A bain d'huile- D63 - Radial - 1/4" - 0-10b</t>
  </si>
  <si>
    <t>Mano Inox - 0-60° - A bain d'huile- D63 - Radial - 1/4" - 0-16b</t>
  </si>
  <si>
    <t>Mano Inox - 0-60° - A bain d'huile- D63 - Radial - 1/4" - 0-25b</t>
  </si>
  <si>
    <t>Mano Inox - 0-60° - A bain d'huile- D63 - Radial - 1/4" - 0-100b</t>
  </si>
  <si>
    <t>Mano Inox - -20-60° - A bain d'huile- D100 - Radial - 1/2" - 0-6b</t>
  </si>
  <si>
    <t>Mano Plast - -25-60° - D80 - Radial - 1/2" - 0-6b</t>
  </si>
  <si>
    <t>Mano - D100 - Radial - 1/2" - 0-16b</t>
  </si>
  <si>
    <t>CITEC</t>
  </si>
  <si>
    <t>Mano Inox - 0-60° - A bain d'huile- D100 - Radial - 1/2" - 0-16b</t>
  </si>
  <si>
    <t>Mano Inox - 0-60° - A bain d'huile- D100 - Radial - 1/2" - 0-6b</t>
  </si>
  <si>
    <t>asservi 0,16 à 7 b</t>
  </si>
  <si>
    <t>asservi 4 à 16 b</t>
  </si>
  <si>
    <t>7 -7,5 b</t>
  </si>
  <si>
    <t>9,2 - 10 b</t>
  </si>
  <si>
    <t>EV 220v</t>
  </si>
  <si>
    <t>EV 380v</t>
  </si>
  <si>
    <t>Timer</t>
  </si>
  <si>
    <t>Pneumovalve</t>
  </si>
  <si>
    <t>support mural</t>
  </si>
  <si>
    <t xml:space="preserve"> 3/4 </t>
  </si>
  <si>
    <t>compair</t>
  </si>
  <si>
    <t>M 10</t>
  </si>
  <si>
    <t>Ø 100-1/2 latéral</t>
  </si>
  <si>
    <t>Ø 63-1/4 latéral</t>
  </si>
  <si>
    <t>Ø 63-1/4 arriere</t>
  </si>
  <si>
    <t>Appliques à coller</t>
  </si>
  <si>
    <t>Appliques à visser 3 voies</t>
  </si>
  <si>
    <t xml:space="preserve"> 1/2- 3/4</t>
  </si>
  <si>
    <t>Brides pleines</t>
  </si>
  <si>
    <t>Collets</t>
  </si>
  <si>
    <t>Colliers de prise en charge</t>
  </si>
  <si>
    <t>50-1"</t>
  </si>
  <si>
    <t>63-1"</t>
  </si>
  <si>
    <t>75-1"</t>
  </si>
  <si>
    <t>90-1"1/2</t>
  </si>
  <si>
    <t>110-1"1/2</t>
  </si>
  <si>
    <t>Coudes 45°</t>
  </si>
  <si>
    <t>Crosses</t>
  </si>
  <si>
    <t>Joints pour collets</t>
  </si>
  <si>
    <t>Manchons mixte F F</t>
  </si>
  <si>
    <t xml:space="preserve"> 32-1"</t>
  </si>
  <si>
    <t xml:space="preserve"> 16-12-3/8</t>
  </si>
  <si>
    <t>60-50-2"</t>
  </si>
  <si>
    <t>Reductions doubles</t>
  </si>
  <si>
    <t>75-63</t>
  </si>
  <si>
    <t>90-75</t>
  </si>
  <si>
    <t>110-90</t>
  </si>
  <si>
    <t>Reductions simples</t>
  </si>
  <si>
    <t>63-25</t>
  </si>
  <si>
    <t>90-50</t>
  </si>
  <si>
    <t>90-63</t>
  </si>
  <si>
    <t>110-63</t>
  </si>
  <si>
    <t>Robinet BS</t>
  </si>
  <si>
    <t>Supports pour robinet</t>
  </si>
  <si>
    <t>Tes egaux</t>
  </si>
  <si>
    <t>Tes reduits</t>
  </si>
  <si>
    <t>Unions  mixte F F</t>
  </si>
  <si>
    <t>Unions  mixte F M</t>
  </si>
  <si>
    <t>Disconecteur non controlable 1/2"</t>
  </si>
  <si>
    <t>DN100 Lg 130mm/ Acier Zingué / EPDM Ronge  (Eau) 16b  -30/+90</t>
  </si>
  <si>
    <t>Compteur à impulsion</t>
  </si>
  <si>
    <t>Compteur d'eau 3/4"MM pour joint plat - Qnom = 2,5m3/h - 1 imp/L</t>
  </si>
  <si>
    <t>Raccord pour compteur</t>
  </si>
  <si>
    <t>Compteur d'eau 1"MM pour joint plat - Qnom = 4m3/h - 1 imp/L</t>
  </si>
  <si>
    <t>Filrte Tamis Fonte ACS DN65</t>
  </si>
  <si>
    <t>Filrte Tamis Fonte ACS DN100</t>
  </si>
  <si>
    <t>Filrte Tamis Fonte ACS DN125</t>
  </si>
  <si>
    <t>Filrte Tamis Fonte ACS DN150</t>
  </si>
  <si>
    <t>Mano Inox - 0-60° - A bain d'huile- D100 - Radial - 1/2" - 0-10b</t>
  </si>
  <si>
    <t>Mano Inox - 0-60° - A bain d'huile- D100 - Radial - 1/2" - 0-25b</t>
  </si>
  <si>
    <t>Mano Inox - 0-60° - A bain d'huile- D100 - Radial - 1/2" - 0-40b</t>
  </si>
  <si>
    <t>Mano Inox - 0-60° - A bain d'huile- D100 - Radial - 1/2" - 0-60b</t>
  </si>
  <si>
    <t>Mano tout Inox - 0-100° - D100 - Radial - 1/2" - 0-16b</t>
  </si>
  <si>
    <t>Mano Plast - 0-60° - D100 - Radial - 1/2" - 0-16b</t>
  </si>
  <si>
    <t>Mano Plast - D40 - Radial - 1/2" -0-4b</t>
  </si>
  <si>
    <t>Mano Plast - D63 - Radial - 1/4" - 0-4b ?</t>
  </si>
  <si>
    <t>MT63RA1/4"G0+4/G</t>
  </si>
  <si>
    <t>Mano Plast - D63 - Radial - 1/4" - 0-10b ?</t>
  </si>
  <si>
    <t>MT63RA1/4"G0+10GEOM</t>
  </si>
  <si>
    <t>Mano Plast - D63 - Axial - 1/4" - 0-10b ?</t>
  </si>
  <si>
    <t>MT63RV1/4"G0+10GEOM</t>
  </si>
  <si>
    <t>0-4 b 1/8 ar.</t>
  </si>
  <si>
    <t>Technic Air</t>
  </si>
  <si>
    <t>Barette Taraudée M6</t>
  </si>
  <si>
    <t>Pour Socomec : Réseau Alu section rectangulaire.</t>
  </si>
  <si>
    <t>Chrochet de suspension complet</t>
  </si>
  <si>
    <t>Etiquette Air comrpimé Teseo</t>
  </si>
  <si>
    <t>Raccord</t>
  </si>
  <si>
    <t>HBS32</t>
  </si>
  <si>
    <t>Bride sortie Femelle</t>
  </si>
  <si>
    <t>Jonction Droite</t>
  </si>
  <si>
    <t>Barre alu Naturel</t>
  </si>
  <si>
    <t>HBS32 (La barre de 5m)</t>
  </si>
  <si>
    <t>Raccord Compteur d'eau Laiton 1"F joint plat- G3/4"M</t>
  </si>
  <si>
    <t>Bride Plate Taraudée</t>
  </si>
  <si>
    <t>Bride plate taraudée 3" - DN80</t>
  </si>
  <si>
    <t>Compensateur / Dilatoflex</t>
  </si>
  <si>
    <t>DN150 Lg 130mm/ Acier Zingué / EPDM Rouge  (Eau) 16b  -30/+90</t>
  </si>
  <si>
    <t>Purgeurs</t>
  </si>
  <si>
    <t>Régulateurs</t>
  </si>
  <si>
    <t>Sécheur</t>
  </si>
  <si>
    <t xml:space="preserve">Anti belier </t>
  </si>
  <si>
    <t>Fournisseur
Fabricant</t>
  </si>
  <si>
    <t>FLEXIBLE INOX MM</t>
  </si>
  <si>
    <t>FLEXIBLE CAOUTCHOUC MM</t>
  </si>
  <si>
    <t>Courbe 45° MF</t>
  </si>
  <si>
    <t>Barre de cuivre</t>
  </si>
  <si>
    <t>Nacelle</t>
  </si>
  <si>
    <t>Toucan</t>
  </si>
  <si>
    <t>4,5m -1 personne</t>
  </si>
  <si>
    <t>Kiloutou</t>
  </si>
  <si>
    <t>ELE450</t>
  </si>
  <si>
    <t>6m - 2 personnes</t>
  </si>
  <si>
    <t>ELE600</t>
  </si>
  <si>
    <t>8m-1 personne</t>
  </si>
  <si>
    <t>ELE80L</t>
  </si>
  <si>
    <t xml:space="preserve">8m -2 personnes </t>
  </si>
  <si>
    <t>ELE800</t>
  </si>
  <si>
    <t>10 m - 2 personnes</t>
  </si>
  <si>
    <t>ELE100</t>
  </si>
  <si>
    <t>Livraison ou reprise transport PL</t>
  </si>
  <si>
    <t>520201 &amp; 520202</t>
  </si>
  <si>
    <t>SGB</t>
  </si>
  <si>
    <t>T10E</t>
  </si>
  <si>
    <t>Transport</t>
  </si>
  <si>
    <t>Compresseur</t>
  </si>
  <si>
    <t>Diesel</t>
  </si>
  <si>
    <t>Compresseur d'air diesel - 7 bar - 2 000 l/min</t>
  </si>
  <si>
    <t>COM23D</t>
  </si>
  <si>
    <t xml:space="preserve">  Compresseur d'air diesel - 7 bar - 2 000 l/min - Stage V</t>
  </si>
  <si>
    <t>COV23D</t>
  </si>
  <si>
    <t>Compresseur d'air diesel - 7 bar - 3 000 l/min - Stage V</t>
  </si>
  <si>
    <t>COV34D</t>
  </si>
  <si>
    <t>Compresseur d'air diesel - 7 bar - 3 500 l/min</t>
  </si>
  <si>
    <t>COM34D</t>
  </si>
  <si>
    <t xml:space="preserve">Compresseur d'air diesel - 7 bar - 4 100 l/min </t>
  </si>
  <si>
    <t>COM40D</t>
  </si>
  <si>
    <t>Compresseur d'air diesel - 7 bar - 4 100 l/min - Stage V</t>
  </si>
  <si>
    <t>COV40D</t>
  </si>
  <si>
    <t xml:space="preserve">Compresseur d'air diesel - 7 bar - 5 100 l/min </t>
  </si>
  <si>
    <t>COM50D</t>
  </si>
  <si>
    <t>Compresseur d'air diesel - 7 bar - 5 000 l/min - Stage V</t>
  </si>
  <si>
    <t xml:space="preserve">COV50D </t>
  </si>
  <si>
    <t>Compresseur d'air diesel - 7 bar - 7 000 l/min</t>
  </si>
  <si>
    <t>COM70D</t>
  </si>
  <si>
    <t>Chariot Industriel</t>
  </si>
  <si>
    <t>Gaz</t>
  </si>
  <si>
    <t>Chariot à mât vertical industriel gaz 4.8m - CU 1.7 t Stage V</t>
  </si>
  <si>
    <t>CHV18S</t>
  </si>
  <si>
    <t>Chariot à mât vertical industriel gaz 4.9 m - CU 1.6 t</t>
  </si>
  <si>
    <t>CHA18S</t>
  </si>
  <si>
    <t xml:space="preserve">Chariot à mât vertical industriel gaz 4.4 m - CU 2.3 </t>
  </si>
  <si>
    <t>CHA25G</t>
  </si>
  <si>
    <t>Chariot à mât vertical industriel gaz 4.4 m - CU 2.3 t - Stage V</t>
  </si>
  <si>
    <t>CHAV25G</t>
  </si>
  <si>
    <t>chariot gaz 3T5 fourche longues 1800mm</t>
  </si>
  <si>
    <t>Fenwick</t>
  </si>
  <si>
    <t>H35T</t>
  </si>
  <si>
    <t>chariot gaz 4T5 fourche longues 1800mm</t>
  </si>
  <si>
    <t>H45T</t>
  </si>
  <si>
    <t>chariot gaz 5T fourche longues</t>
  </si>
  <si>
    <t>H50T</t>
  </si>
  <si>
    <t>chariot diesel 5T fourche longues</t>
  </si>
  <si>
    <t>H50D</t>
  </si>
  <si>
    <t>Chariot lectrique 8T000 diesel fourche longue</t>
  </si>
  <si>
    <t>E80/900</t>
  </si>
  <si>
    <t>bouteille supplémentaire pour chariot gaz</t>
  </si>
  <si>
    <t>Bouteille gaz</t>
  </si>
  <si>
    <t>Transport chariot</t>
  </si>
  <si>
    <t>Transport aller/retour</t>
  </si>
  <si>
    <t>Ciseaux</t>
  </si>
  <si>
    <t xml:space="preserve">Plate-forme automotrice électrique 4,55 m - 1 personne </t>
  </si>
  <si>
    <t>SCI455</t>
  </si>
  <si>
    <t>Plate-forme automotrice électrique 5.1 m - 1 personne</t>
  </si>
  <si>
    <t xml:space="preserve">SCI510 </t>
  </si>
  <si>
    <t>Plate-forme automotrice électrique 6.7 m - 2 personnes</t>
  </si>
  <si>
    <t xml:space="preserve">SCI680 </t>
  </si>
  <si>
    <t>Plate-forme automotrice électrique 8.3 m - 2 personnes</t>
  </si>
  <si>
    <t>SCI830</t>
  </si>
  <si>
    <t>Plate-forme automotrice électrique 10.2 m - 3 personnes</t>
  </si>
  <si>
    <t>SCI10E</t>
  </si>
  <si>
    <t xml:space="preserve"> Plate-forme automotrice électrique 10 m - 2 personne</t>
  </si>
  <si>
    <t xml:space="preserve">SCI10S </t>
  </si>
  <si>
    <t>Plate-forme automotrice électrique 11.8 m - 2 personne</t>
  </si>
  <si>
    <t xml:space="preserve">SCI12S </t>
  </si>
  <si>
    <t xml:space="preserve">Plate-forme automotrice électrique 14 m - 2 personnes </t>
  </si>
  <si>
    <t>SCI14E</t>
  </si>
  <si>
    <t>Plate-forme automotrice électrique 7 m</t>
  </si>
  <si>
    <t>CE7</t>
  </si>
  <si>
    <t>Plate-forme automotrice électrique 8 m</t>
  </si>
  <si>
    <t>CE8</t>
  </si>
  <si>
    <t>Plate-forme automotrice électrique 10 m</t>
  </si>
  <si>
    <t>CE10</t>
  </si>
  <si>
    <t>Plate-forme automotrice électrique 12 m</t>
  </si>
  <si>
    <t>CE12</t>
  </si>
  <si>
    <t>Plate-forme automotrice électrique 14 m</t>
  </si>
  <si>
    <t>CE14</t>
  </si>
  <si>
    <t>Articulée</t>
  </si>
  <si>
    <t xml:space="preserve"> Nacelle articulée bi-énergie 12 m - déport maxi 5.9 m</t>
  </si>
  <si>
    <t>ELE12B</t>
  </si>
  <si>
    <t>Elévateur articulé automoteur électrique 12 m - déport maxi 6.5 m</t>
  </si>
  <si>
    <t>ELE12E</t>
  </si>
  <si>
    <t xml:space="preserve">Nacelle articulée électrique 12 m - déport maxi 7 m </t>
  </si>
  <si>
    <t>ELE12P</t>
  </si>
  <si>
    <t>Elévateur articulée électrique 15 m - déport maxi 8,9 m</t>
  </si>
  <si>
    <t>ELE15E</t>
  </si>
  <si>
    <t>Nacelle articulée électrique 15 m - déport maxi 7.6 m</t>
  </si>
  <si>
    <t>ELE15P</t>
  </si>
  <si>
    <t xml:space="preserve"> Nacelle articulée électrique 16.9 m - déport maxi 9.4 m</t>
  </si>
  <si>
    <t>ELE17P</t>
  </si>
  <si>
    <t>Plate-forme tout terrain</t>
  </si>
  <si>
    <t xml:space="preserve">Plate-forme tout-terrain automotrice diesel 12.1 m - 3 personnes </t>
  </si>
  <si>
    <t>SCI10D</t>
  </si>
  <si>
    <t>Plate-forme tout-terrain automotrice diesel 12.1 m - 7 personnes - Stage V</t>
  </si>
  <si>
    <t>SCV12P</t>
  </si>
  <si>
    <t>Plate-forme tout-terrain automotrice diesel 12.1 m - 7 personnes</t>
  </si>
  <si>
    <t>SCI12P</t>
  </si>
  <si>
    <t>Plate-forme tout-terrain automotrice diesel 15 m - 6 personnes - Stage V</t>
  </si>
  <si>
    <t>SCV15D</t>
  </si>
  <si>
    <t>Plate-forme tout-terrain automotrice diesel 15 m - 6 personnes</t>
  </si>
  <si>
    <t>SCI15D</t>
  </si>
  <si>
    <t xml:space="preserve">Plate-forme tout-terrain automotrice diesel 12 m - 3 personnes </t>
  </si>
  <si>
    <t>CT12</t>
  </si>
  <si>
    <t xml:space="preserve">Plate-forme tout-terrain automotrice diesel 15 m - 3 personnes </t>
  </si>
  <si>
    <t>CT15</t>
  </si>
  <si>
    <t xml:space="preserve">Plate-forme tout-terrain automotrice diesel 18 m - 3 personnes </t>
  </si>
  <si>
    <t>CT18</t>
  </si>
  <si>
    <t>Prestations carburants</t>
  </si>
  <si>
    <t>prestation carburant CT12</t>
  </si>
  <si>
    <t>prestation carburant CT15/18</t>
  </si>
  <si>
    <t>Elévateur articulé tout-terrain</t>
  </si>
  <si>
    <t>Nacelle articulée diesel 12.4 m - déport maxi 6.6 m</t>
  </si>
  <si>
    <t xml:space="preserve">ELE12D </t>
  </si>
  <si>
    <t>Nacelle articulée diesel 15.7 m - déport maxi 7.6 m</t>
  </si>
  <si>
    <t>ELE16D</t>
  </si>
  <si>
    <t>Nacelle articulée diesel 16 m - déport maxi 8.3 m</t>
  </si>
  <si>
    <t xml:space="preserve">ELE16S </t>
  </si>
  <si>
    <t xml:space="preserve">Nacelle articulée diesel 17.7 m - déport maxi 10.6 m </t>
  </si>
  <si>
    <t>ELE18D</t>
  </si>
  <si>
    <t>Nacelle articulée diesel 20.6 m - déport maxi 12.2 m</t>
  </si>
  <si>
    <t>ELE20D</t>
  </si>
  <si>
    <t>Groupe électrogène</t>
  </si>
  <si>
    <t>essence</t>
  </si>
  <si>
    <t>Groupe électrogène 2 kVA 230 V - essence</t>
  </si>
  <si>
    <t>GRO200</t>
  </si>
  <si>
    <t>Groupe électrogène 4 kVA 230 V - essence</t>
  </si>
  <si>
    <t>GRO400</t>
  </si>
  <si>
    <t xml:space="preserve">Echaffaudage,echelle,escabeaux </t>
  </si>
  <si>
    <t>Gazelle</t>
  </si>
  <si>
    <t>Plate-forme individuelle de travail 3.00 m - 4 positions</t>
  </si>
  <si>
    <t>PLAT3M</t>
  </si>
  <si>
    <t>Plate-forme individuelle roulante 3.65 m</t>
  </si>
  <si>
    <t xml:space="preserve">ESCPRO </t>
  </si>
  <si>
    <t>Plate-forme individuelle roulante 4.3 m</t>
  </si>
  <si>
    <t>ESC430</t>
  </si>
  <si>
    <t>Sciage, perforation, ponçage</t>
  </si>
  <si>
    <t>PERFO</t>
  </si>
  <si>
    <t xml:space="preserve"> Perforateur 230 V 6.6 kg - diam. max 40 mm</t>
  </si>
  <si>
    <t xml:space="preserve">PER08H </t>
  </si>
  <si>
    <t>Perforateur 230 V 7.9 kg - diam. max 150 mm avec trépan - 8.3 J</t>
  </si>
  <si>
    <t xml:space="preserve">PER18H </t>
  </si>
  <si>
    <t>FOREUSE DIAMANT</t>
  </si>
  <si>
    <t>Pompe à vide avec ventouse - pour foreuse diamant</t>
  </si>
  <si>
    <t xml:space="preserve">FORVID </t>
  </si>
  <si>
    <t>Foreuse diamant portable 230 V - diam. 16 à 62 mm</t>
  </si>
  <si>
    <t>FOR18H</t>
  </si>
  <si>
    <t>Foreuse diamant sur colonne 230 V - diam. jusqu'à 150 mm</t>
  </si>
  <si>
    <t>FORDIA</t>
  </si>
  <si>
    <t>Foreuse diamant sur colonne 230 V - diam. jusqu'à 350 mm</t>
  </si>
  <si>
    <t xml:space="preserve">FOR440 </t>
  </si>
  <si>
    <t>Tronçonneuse</t>
  </si>
  <si>
    <t>Tronçonneuse de matériaux essence 2 temps - diam. 300 mm</t>
  </si>
  <si>
    <t xml:space="preserve">TROMAT </t>
  </si>
  <si>
    <t>Découpeuse</t>
  </si>
  <si>
    <t>Découpeuse électrique HF - profondeur 270 mm</t>
  </si>
  <si>
    <t>TRONHF</t>
  </si>
  <si>
    <t xml:space="preserve"> Découpeuse hydraulique - profondeur 270 mm </t>
  </si>
  <si>
    <t>TROHYD</t>
  </si>
  <si>
    <t>0</t>
  </si>
  <si>
    <t>A</t>
  </si>
  <si>
    <t>AG18-H50D</t>
  </si>
  <si>
    <t>AG18-E80/900</t>
  </si>
  <si>
    <t>AG18-CHV18S</t>
  </si>
  <si>
    <t>AG18-CHA18S</t>
  </si>
  <si>
    <t>AG18-CHA25G</t>
  </si>
  <si>
    <t>AG18-CHAV25G</t>
  </si>
  <si>
    <t>AG18-520201 &amp; 520202</t>
  </si>
  <si>
    <t>AG18-H35T</t>
  </si>
  <si>
    <t>AG18-H45T</t>
  </si>
  <si>
    <t>AG18-H50T</t>
  </si>
  <si>
    <t>AG18-Bouteille gaz</t>
  </si>
  <si>
    <t>AG18-Transport aller/retour</t>
  </si>
  <si>
    <t/>
  </si>
  <si>
    <t>AG18-COM23D</t>
  </si>
  <si>
    <t>AG18-COV23D</t>
  </si>
  <si>
    <t>AG18-COV34D</t>
  </si>
  <si>
    <t>AG18-COM34D</t>
  </si>
  <si>
    <t>AG18-COM40D</t>
  </si>
  <si>
    <t>AG18-COV40D</t>
  </si>
  <si>
    <t>AG18-COM50D</t>
  </si>
  <si>
    <t xml:space="preserve">AG18-COV50D </t>
  </si>
  <si>
    <t>AG18-COM70D</t>
  </si>
  <si>
    <t>AG18-PLAT3M</t>
  </si>
  <si>
    <t xml:space="preserve">AG18-ESCPRO </t>
  </si>
  <si>
    <t>AG18-ESC430</t>
  </si>
  <si>
    <t>AG18-GRO200</t>
  </si>
  <si>
    <t>AG18-GRO400</t>
  </si>
  <si>
    <t>AG18-ELE12B</t>
  </si>
  <si>
    <t>AG18-ELE12E</t>
  </si>
  <si>
    <t>AG18-ELE12P</t>
  </si>
  <si>
    <t>AG18-ELE15E</t>
  </si>
  <si>
    <t>AG18-ELE15P</t>
  </si>
  <si>
    <t>AG18-ELE17P</t>
  </si>
  <si>
    <t>AG18-SCI455</t>
  </si>
  <si>
    <t xml:space="preserve">AG18-SCI510 </t>
  </si>
  <si>
    <t xml:space="preserve">AG18-SCI680 </t>
  </si>
  <si>
    <t>AG18-SCI830</t>
  </si>
  <si>
    <t>AG18-SCI10E</t>
  </si>
  <si>
    <t xml:space="preserve">AG18-SCI10S </t>
  </si>
  <si>
    <t xml:space="preserve">AG18-SCI12S </t>
  </si>
  <si>
    <t>AG18-SCI14E</t>
  </si>
  <si>
    <t>AG18-CE7</t>
  </si>
  <si>
    <t>AG18-CE8</t>
  </si>
  <si>
    <t>AG18-CE10</t>
  </si>
  <si>
    <t>AG18-CE12</t>
  </si>
  <si>
    <t>AG18-CE14</t>
  </si>
  <si>
    <t>AG18-Transport</t>
  </si>
  <si>
    <t xml:space="preserve">AG18-ELE12D </t>
  </si>
  <si>
    <t>AG18-ELE16D</t>
  </si>
  <si>
    <t xml:space="preserve">AG18-ELE16S </t>
  </si>
  <si>
    <t>AG18-ELE18D</t>
  </si>
  <si>
    <t>AG18-ELE20D</t>
  </si>
  <si>
    <t>AG18-SCI10D</t>
  </si>
  <si>
    <t>AG18-SCV12P</t>
  </si>
  <si>
    <t>AG18-SCI12P</t>
  </si>
  <si>
    <t>AG18-SCV15D</t>
  </si>
  <si>
    <t>AG18-SCI15D</t>
  </si>
  <si>
    <t>AG18-CT12</t>
  </si>
  <si>
    <t>AG18-CT15</t>
  </si>
  <si>
    <t>AG18-CT18</t>
  </si>
  <si>
    <t>AG18-prestation carburant CT12</t>
  </si>
  <si>
    <t>AG18-prestation carburant CT15/18</t>
  </si>
  <si>
    <t>AG18-ELE450</t>
  </si>
  <si>
    <t>AG18-ELE600</t>
  </si>
  <si>
    <t>AG18-ELE80L</t>
  </si>
  <si>
    <t>AG18-ELE800</t>
  </si>
  <si>
    <t>AG18-ELE100</t>
  </si>
  <si>
    <t>AG18-T10E</t>
  </si>
  <si>
    <t>AG18-TRONHF</t>
  </si>
  <si>
    <t>AG18-TROHYD</t>
  </si>
  <si>
    <t xml:space="preserve">AG18-FORVID </t>
  </si>
  <si>
    <t>AG18-FOR18H</t>
  </si>
  <si>
    <t>AG18-FORDIA</t>
  </si>
  <si>
    <t xml:space="preserve">AG18-FOR440 </t>
  </si>
  <si>
    <t xml:space="preserve">AG18-PER08H </t>
  </si>
  <si>
    <t xml:space="preserve">AG18-PER18H </t>
  </si>
  <si>
    <t xml:space="preserve">AG18-TROMAT </t>
  </si>
  <si>
    <t>AG18-520201 &amp; 520202 TT</t>
  </si>
  <si>
    <t>Ajout de la catégorie divers pour les locations avec formules spécifiques.</t>
  </si>
  <si>
    <t>DN200 - 8"</t>
  </si>
  <si>
    <t>Doublon 3040.09.13</t>
  </si>
  <si>
    <t>Doublon 3040.09.17</t>
  </si>
  <si>
    <t>Doublon 3040.09.21</t>
  </si>
  <si>
    <t>1/4"M - Flexible Dint 10</t>
  </si>
  <si>
    <t>3040.10.13</t>
  </si>
  <si>
    <t>APC</t>
  </si>
  <si>
    <t>Doublon 3040.10.21</t>
  </si>
  <si>
    <t>Doublon 3040.14.21</t>
  </si>
  <si>
    <t>Doublon 3040.17.21</t>
  </si>
  <si>
    <t>Doublon 3040.20.21</t>
  </si>
  <si>
    <t>Doublon 3040.12.13</t>
  </si>
  <si>
    <t>Doublon 3040.12.17</t>
  </si>
  <si>
    <t>1/2"M - Flexible Dint 12</t>
  </si>
  <si>
    <t>3040.12.21</t>
  </si>
  <si>
    <t>1/2"M - Flexible Dint 16</t>
  </si>
  <si>
    <t>3040.16.21</t>
  </si>
  <si>
    <t>Doublon 3040.16.27</t>
  </si>
  <si>
    <t>3/4"M - Flexible Dint 20</t>
  </si>
  <si>
    <t>3040.20.27</t>
  </si>
  <si>
    <t>Doublon 3040.25.34</t>
  </si>
  <si>
    <t>Doublon strict 009212</t>
  </si>
  <si>
    <t>1"1/4 ( 4 bars)</t>
  </si>
  <si>
    <t>Soupape  Prescor chauffage 4 bars - 1"1/4</t>
  </si>
  <si>
    <t>009259</t>
  </si>
  <si>
    <t>1"1/2 ( 4 bars)</t>
  </si>
  <si>
    <t>Soupape  Prescor chauffage 4 bars - 1"1/2</t>
  </si>
  <si>
    <t>009263</t>
  </si>
  <si>
    <t>2" ( 4 bars)</t>
  </si>
  <si>
    <t>Soupape  Prescor chauffage 4 bars - 2"</t>
  </si>
  <si>
    <t>009267</t>
  </si>
  <si>
    <t>VASEXP1000L-6B</t>
  </si>
  <si>
    <t>009633</t>
  </si>
  <si>
    <t>VASEXP100L-6B</t>
  </si>
  <si>
    <t>080628</t>
  </si>
  <si>
    <t>VASEXP140L-6B</t>
  </si>
  <si>
    <t>080629</t>
  </si>
  <si>
    <t>VASEXP200L-6B</t>
  </si>
  <si>
    <t>Vase d'expansion à membrane 1000L - 6bars</t>
  </si>
  <si>
    <t>Vase d'expansion à membrane 100L - 6bars</t>
  </si>
  <si>
    <t>Vase d'expansion à membrane 140L - 6bars</t>
  </si>
  <si>
    <t>Vase d'expansion à membrane 200L - 6bars</t>
  </si>
  <si>
    <t>009637</t>
  </si>
  <si>
    <t>Vase d'expansion 250L -6B</t>
  </si>
  <si>
    <t>VASEXP250L-6B</t>
  </si>
  <si>
    <t>009639</t>
  </si>
  <si>
    <t>Vase d'expansion 300L -6B</t>
  </si>
  <si>
    <t>VASEXP300L-6B</t>
  </si>
  <si>
    <t>009640</t>
  </si>
  <si>
    <t>VASEXP35L-6B</t>
  </si>
  <si>
    <t>VASEXP35L-1B</t>
  </si>
  <si>
    <t>VASEXP25L-1B</t>
  </si>
  <si>
    <t>Vase d'expansion à membrane 35L - 6bars</t>
  </si>
  <si>
    <t>080625</t>
  </si>
  <si>
    <t>Vase d'expansion 400L -6B</t>
  </si>
  <si>
    <t>Vase d'expansion 500L -6B</t>
  </si>
  <si>
    <t>VASEXP400L-6B</t>
  </si>
  <si>
    <t>VASEXP500L-6B</t>
  </si>
  <si>
    <t>009642</t>
  </si>
  <si>
    <t>009644</t>
  </si>
  <si>
    <t>VASEXP50L-6B</t>
  </si>
  <si>
    <t>Vase d'expansion50L -6 bar</t>
  </si>
  <si>
    <t>080626</t>
  </si>
  <si>
    <t>Vase d'expansion 600L -6B</t>
  </si>
  <si>
    <t>Vase d'expansion 800L -6B</t>
  </si>
  <si>
    <t>VASEXP600L-6B</t>
  </si>
  <si>
    <t>VASEXP800L-6B</t>
  </si>
  <si>
    <t>009645</t>
  </si>
  <si>
    <t>009647</t>
  </si>
  <si>
    <t>Vase d'expansion à membrane 80L - 6bars</t>
  </si>
  <si>
    <t>VASEXP80L-6B</t>
  </si>
  <si>
    <t>080627</t>
  </si>
  <si>
    <t>VEQ65</t>
  </si>
  <si>
    <t>009853</t>
  </si>
  <si>
    <t>3/8" FF</t>
  </si>
  <si>
    <t>VEQ38FF</t>
  </si>
  <si>
    <t>sofinther</t>
  </si>
  <si>
    <t>072694</t>
  </si>
  <si>
    <t>VEQ300</t>
  </si>
  <si>
    <t>009852</t>
  </si>
  <si>
    <t>DN300</t>
  </si>
  <si>
    <t>VEQ250</t>
  </si>
  <si>
    <t>DN250</t>
  </si>
  <si>
    <t>009851</t>
  </si>
  <si>
    <t>VEQ200</t>
  </si>
  <si>
    <t>009850</t>
  </si>
  <si>
    <t>VEQ150</t>
  </si>
  <si>
    <t>VEQ125</t>
  </si>
  <si>
    <t>009849</t>
  </si>
  <si>
    <t>009848</t>
  </si>
  <si>
    <t>Fileté</t>
  </si>
  <si>
    <t>FT34</t>
  </si>
  <si>
    <t>FT1</t>
  </si>
  <si>
    <t>058612</t>
  </si>
  <si>
    <t>058613</t>
  </si>
  <si>
    <t>Filtre  Laiton Tamis inox 1" FF avec robinet de rincage</t>
  </si>
  <si>
    <t>Filtre  Laiton Tamis inox 3/4" FF avec robinet de rincage</t>
  </si>
  <si>
    <t>FT12</t>
  </si>
  <si>
    <t>Filtre  Laiton Tamis inox 1/2" FF avec robinet de rincage</t>
  </si>
  <si>
    <t>058610</t>
  </si>
  <si>
    <t>058611</t>
  </si>
  <si>
    <t>Filtre  Laiton Tamis inox 1"1/4 FF avec robinet de rincage</t>
  </si>
  <si>
    <t>Filtre  Laiton Tamis inox 1"1/2 FF avec robinet de rincage</t>
  </si>
  <si>
    <t>058614</t>
  </si>
  <si>
    <t>Filtre  Laiton Tamis inox 2" FF avec robinet de rincage</t>
  </si>
  <si>
    <t>058615</t>
  </si>
  <si>
    <t>Filtre tamis inox à bride DN50</t>
  </si>
  <si>
    <t>Poste</t>
  </si>
  <si>
    <t>Référence</t>
  </si>
  <si>
    <t>Quantité</t>
  </si>
  <si>
    <t>Résultat</t>
  </si>
  <si>
    <t>SEP120ST</t>
  </si>
  <si>
    <t>DILATO-G114</t>
  </si>
  <si>
    <t>R90180</t>
  </si>
  <si>
    <t>Coude</t>
  </si>
  <si>
    <t>Attache UFU</t>
  </si>
  <si>
    <t>Support UFU zingué multifonction</t>
  </si>
  <si>
    <t>Materiaux</t>
  </si>
  <si>
    <t>Ø</t>
  </si>
  <si>
    <t>PV BE €/qté</t>
  </si>
  <si>
    <t>qté</t>
  </si>
  <si>
    <t>Inox serti 304L</t>
  </si>
  <si>
    <t>DN100(Ø108)</t>
  </si>
  <si>
    <t>linéaire</t>
  </si>
  <si>
    <t xml:space="preserve">coude </t>
  </si>
  <si>
    <t>té</t>
  </si>
  <si>
    <t>DN80 (Ø88,9)</t>
  </si>
  <si>
    <t>DN65(Ø76,1)</t>
  </si>
  <si>
    <t>DN50(Ø54)</t>
  </si>
  <si>
    <t>DN40(Ø42)</t>
  </si>
  <si>
    <t>DN32(Ø35)</t>
  </si>
  <si>
    <t>DN25(Ø28)</t>
  </si>
  <si>
    <t>DN20(Ø22)</t>
  </si>
  <si>
    <t>DN15 (Ø18)</t>
  </si>
  <si>
    <t>DN10 (Ø15)</t>
  </si>
  <si>
    <t>Sous total inox serti</t>
  </si>
  <si>
    <t>Tps pose</t>
  </si>
  <si>
    <t xml:space="preserve">Inox serti ou transair </t>
  </si>
  <si>
    <t>Hauteur</t>
  </si>
  <si>
    <t>H ≤4,5m</t>
  </si>
  <si>
    <t>4&lt; H&lt; 8 m</t>
  </si>
  <si>
    <r>
      <t>H</t>
    </r>
    <r>
      <rPr>
        <sz val="11"/>
        <color theme="1"/>
        <rFont val="Calibri"/>
        <family val="2"/>
      </rPr>
      <t>≥ 8m</t>
    </r>
  </si>
  <si>
    <t>Linéaire</t>
  </si>
  <si>
    <t>Manchon</t>
  </si>
  <si>
    <t>Té</t>
  </si>
  <si>
    <t>Base de calcul</t>
  </si>
  <si>
    <t>5% de sécurité arrondi à la barre pleine + 2 barres</t>
  </si>
  <si>
    <t>Vanne BS</t>
  </si>
  <si>
    <t>Manchon Mixte Male</t>
  </si>
  <si>
    <t>Vanne FF</t>
  </si>
  <si>
    <t>RXS</t>
  </si>
  <si>
    <t>Temps de Pose</t>
  </si>
  <si>
    <t>Inox soudé</t>
  </si>
  <si>
    <t>Console</t>
  </si>
  <si>
    <t>Dans le temps de pose et compté le temps de pose des consoles de fixations et des colliers ou Etriers de fixation</t>
  </si>
  <si>
    <t>la réalisation de la coupe , la pose des manchons ( serti ou transair) , ou l'assemblage des brides ( soudé)</t>
  </si>
  <si>
    <t>Temps de pose estimé pour un chantier avec un accès libre et dégagé</t>
  </si>
  <si>
    <t>Distance en m entre colliers</t>
  </si>
  <si>
    <t>Nombre de barre -1-0,8*Nbr Té + Coude + Vanne  + Ajout</t>
  </si>
  <si>
    <t>LEG001908</t>
  </si>
  <si>
    <t>Coffret étanche Plexo 8 modules avec embouts prémontés perforation directe IP65 IK09</t>
  </si>
  <si>
    <t>Coffret étanche Plexo 4 modules avec embouts prémontés perforation directe IP65 IK09</t>
  </si>
  <si>
    <t>Coffrets 1 Rangée</t>
  </si>
  <si>
    <t>SEP1250ST</t>
  </si>
  <si>
    <t>01904</t>
  </si>
  <si>
    <t>DILATO-G1</t>
  </si>
  <si>
    <t>Beko - Purgeurs</t>
  </si>
  <si>
    <t>CAPTAIR-COMPAT</t>
  </si>
  <si>
    <t>Partenair</t>
  </si>
  <si>
    <t>CAPTAIR</t>
  </si>
  <si>
    <t>Purgeur 16b sans alarme - Entrée 1/2"F Dessus- Sortie 1/4"F / Cannelé D8 - 240V</t>
  </si>
  <si>
    <t>Purgeur 16b avec alarme - Entrée 1/2"F Dessus - Sortie 1/4F - 240V</t>
  </si>
  <si>
    <t>Ultraair</t>
  </si>
  <si>
    <t>UAD S012</t>
  </si>
  <si>
    <t>ID012</t>
  </si>
  <si>
    <t>Sépura</t>
  </si>
  <si>
    <t>SEP060ST</t>
  </si>
  <si>
    <t>SEP360ST</t>
  </si>
  <si>
    <t>SEP900ST</t>
  </si>
  <si>
    <t>SEP1800ST</t>
  </si>
  <si>
    <t>SEP2500ST</t>
  </si>
  <si>
    <t>SEP3500ST</t>
  </si>
  <si>
    <t>SEP7000ST</t>
  </si>
  <si>
    <t>Séparateur de condensat - 612m3/h</t>
  </si>
  <si>
    <t>Séparateur de condensat - 1530m3/h</t>
  </si>
  <si>
    <t>Séparateur de condensat - 2124m3/h</t>
  </si>
  <si>
    <t>Séparateur de condensat - 3060m3/h</t>
  </si>
  <si>
    <t>Séparateur de condensat - 4248m3/h</t>
  </si>
  <si>
    <t>Séparateur de condensat - 204m3/h</t>
  </si>
  <si>
    <t>Séparateur de condensat - 6000m3/h</t>
  </si>
  <si>
    <t>Séparateur de condensat - 12000m3/h</t>
  </si>
  <si>
    <t>Séparateur de condensat - 102m3/h</t>
  </si>
  <si>
    <t>Séparateur de condensat</t>
  </si>
  <si>
    <t>Purgeur Partenair</t>
  </si>
  <si>
    <t>Purgeur UltraAir</t>
  </si>
  <si>
    <t>Purgeur 12l/h - Entrée 1/2"F - Sortie Tube D8 - 230V</t>
  </si>
  <si>
    <t>Filrte Tamis Fonte ACS DN80</t>
  </si>
  <si>
    <t>014448</t>
  </si>
  <si>
    <t>CCRM8X50</t>
  </si>
  <si>
    <t>BIZ720099</t>
  </si>
  <si>
    <t>Manchon Mixte M</t>
  </si>
  <si>
    <t>Manchon Mixte F</t>
  </si>
  <si>
    <t>Mano tout Inox - 0-100° - D63 - Axial - 1/4" - 0-4b</t>
  </si>
  <si>
    <t>Eclisse Lourde</t>
  </si>
  <si>
    <t>Eclisse lourde pour profil 38/40-40/120, 41/21-41/124</t>
  </si>
  <si>
    <t>Eclisse lourde double pour profil 38/40-40/120, 41/21-41/124</t>
  </si>
  <si>
    <t>Ajout de la gestion des listes de pièces par poste sur la base d'un catalogue a définir.</t>
  </si>
  <si>
    <t>Debut d'un calcul de temps automatique sur la base des infos partagées par Eric.</t>
  </si>
  <si>
    <t>Doublon 156809</t>
  </si>
  <si>
    <t>LEG052943</t>
  </si>
  <si>
    <t>Platine U soudure longitudinale pour rail 38/40 et 40/60</t>
  </si>
  <si>
    <t>052727</t>
  </si>
  <si>
    <t>052728</t>
  </si>
  <si>
    <t>052729</t>
  </si>
  <si>
    <t>Disconecteur Controlable 1"1/4 BA2860 ACS NF SOCLA</t>
  </si>
  <si>
    <t>Disconecteur Controlable 1"1/2 BA2860 ACS NF SOCLA</t>
  </si>
  <si>
    <t>Disconecteur Controlable 2" BA2860 ACS NF SOCLA</t>
  </si>
  <si>
    <t>Compensateur EPDM (Eau) Union Fonte FF 1"</t>
  </si>
  <si>
    <t>Compensateur EPDM (Eau) Union Fonte FF 1"1/4</t>
  </si>
  <si>
    <t>DN65 Lg 130mm/ Acier Zingué / EPDM Ronge  (Eau) 16b  -30/+90</t>
  </si>
  <si>
    <t>Intersectionneur  Différentiel PN</t>
  </si>
  <si>
    <t>Accessoires Legrand</t>
  </si>
  <si>
    <t>Interdif PN 230V 25A 30 mA</t>
  </si>
  <si>
    <t>Peigne 1P 13 Module</t>
  </si>
  <si>
    <t>Obturateur sécable 5 modules</t>
  </si>
  <si>
    <t>LEG404926</t>
  </si>
  <si>
    <t>LEG001961</t>
  </si>
  <si>
    <t>LEG411610</t>
  </si>
  <si>
    <t>Collier Colring incolore- largeur 3,5mm-lg 280mm</t>
  </si>
  <si>
    <t>LEG032039</t>
  </si>
  <si>
    <t>Doublon LEG32038</t>
  </si>
  <si>
    <t>PG48</t>
  </si>
  <si>
    <t>34 à 44</t>
  </si>
  <si>
    <t>BIZ770200</t>
  </si>
  <si>
    <t>M6 Embase crantée - Boite de 100</t>
  </si>
  <si>
    <t>KITCABLE10X1.5</t>
  </si>
  <si>
    <t>SLK15L10LP</t>
  </si>
  <si>
    <t>AF206</t>
  </si>
  <si>
    <t>Ecrou H</t>
  </si>
  <si>
    <t>Ecrou Réduit</t>
  </si>
  <si>
    <t>Ecrou reduit MF -M8/M6</t>
  </si>
  <si>
    <t>Prolonguateur</t>
  </si>
  <si>
    <t>Manchon  prolongateur reduit M8/M6</t>
  </si>
  <si>
    <t>Manchon Prolongateur tige fileté M6</t>
  </si>
  <si>
    <t>Cheville Molly - Placo</t>
  </si>
  <si>
    <t>Cheville Molly M8x50</t>
  </si>
  <si>
    <t>Cheville mécanique - Beton</t>
  </si>
  <si>
    <t>Cheville Plastique</t>
  </si>
  <si>
    <t>cheville Ø6</t>
  </si>
  <si>
    <t>CHC</t>
  </si>
  <si>
    <t>Vis CHC M6x20</t>
  </si>
  <si>
    <t>M6x20</t>
  </si>
  <si>
    <t>TH Hexagonales</t>
  </si>
  <si>
    <t>Vis CHC M8x20</t>
  </si>
  <si>
    <t>THM8X50</t>
  </si>
  <si>
    <t>THM8X45</t>
  </si>
  <si>
    <t>THM8X30</t>
  </si>
  <si>
    <t>THM8X20</t>
  </si>
  <si>
    <t>Vis TH M8x20</t>
  </si>
  <si>
    <t>Vis TH M8x30</t>
  </si>
  <si>
    <t>Vis TH M8x45</t>
  </si>
  <si>
    <t>Vis TH M8x50</t>
  </si>
  <si>
    <t>Vis TH M10x55</t>
  </si>
  <si>
    <t>Vis TH M10x60</t>
  </si>
  <si>
    <t>Vis TH M12x50x60</t>
  </si>
  <si>
    <t>THM12X50</t>
  </si>
  <si>
    <t>THM10X55</t>
  </si>
  <si>
    <t>THM10x60</t>
  </si>
  <si>
    <t>DILATODN80-EPDM</t>
  </si>
  <si>
    <t>DN80 Lg 130mm/ Acier Zingué / EPDM Ronge  (Eau) 16b  -30/+90</t>
  </si>
  <si>
    <t>Compensateur EPDM (Eau) Union Fonte FF2" Lg 200</t>
  </si>
  <si>
    <t>DILATO2"-EPDM</t>
  </si>
  <si>
    <t>Bekomat 13 (Avec Alarme) (Cuve &lt;5000L) Entrée 1/2F Sortie 1/2"F</t>
  </si>
  <si>
    <t>CVI</t>
  </si>
  <si>
    <t>2 brides par vanne</t>
  </si>
  <si>
    <t>REQF</t>
  </si>
  <si>
    <t>VP</t>
  </si>
  <si>
    <t>VBP FF</t>
  </si>
  <si>
    <t>R24xxx</t>
  </si>
  <si>
    <t>Decente</t>
  </si>
  <si>
    <t>Manchon mixte</t>
  </si>
  <si>
    <t>R24180</t>
  </si>
  <si>
    <t>Longueur</t>
  </si>
  <si>
    <t>Diamètre</t>
  </si>
  <si>
    <t>Longueur descente avec déport</t>
  </si>
  <si>
    <t>Diamètre Descente</t>
  </si>
  <si>
    <t>CV</t>
  </si>
  <si>
    <t>3/Descente pour 15 et 18 et 2/descente 22+</t>
  </si>
  <si>
    <t>vanne</t>
  </si>
  <si>
    <t>16 par vannes DN100-</t>
  </si>
  <si>
    <t>2 par vanne</t>
  </si>
  <si>
    <t>Arrondi à la barre supérieure</t>
  </si>
  <si>
    <t>Ecrou console</t>
  </si>
  <si>
    <t>kit suspention long 10m Ø1,5 - 20 kg (cable + 1x verrou de suspention)</t>
  </si>
  <si>
    <t>MO</t>
  </si>
  <si>
    <t>Heure</t>
  </si>
  <si>
    <t>Cheville</t>
  </si>
  <si>
    <t>HR</t>
  </si>
  <si>
    <t>Nbr d'heure</t>
  </si>
  <si>
    <t>Distance</t>
  </si>
  <si>
    <t>Temps de roualge pour 1A/R</t>
  </si>
  <si>
    <t>Nb Jour travaillé</t>
  </si>
  <si>
    <t>1 nuit entre 2 jours avec 4 nuits par semaines</t>
  </si>
  <si>
    <t>Heure/j max</t>
  </si>
  <si>
    <t>1 repas par jour + 1 repas par nuit</t>
  </si>
  <si>
    <t>A/R : 250km et/ou 3h =&gt; découchage "obligatoire"</t>
  </si>
  <si>
    <t>Découchage : 40km/j</t>
  </si>
  <si>
    <t>Tirefond</t>
  </si>
  <si>
    <t>Ecrou de console</t>
  </si>
  <si>
    <t>piton</t>
  </si>
  <si>
    <t>PITON 6X40</t>
  </si>
  <si>
    <t>PITON 6X60</t>
  </si>
  <si>
    <t>Piton M6x40</t>
  </si>
  <si>
    <t>Piton M6x60</t>
  </si>
  <si>
    <t>PT1000</t>
  </si>
  <si>
    <t>Radiospare</t>
  </si>
  <si>
    <t>896-8399</t>
  </si>
  <si>
    <t>Capteur RTD PT1000</t>
  </si>
  <si>
    <t>pour vannes OT DN 65 à 125</t>
  </si>
  <si>
    <t>pour vannes OT DN 100 à 125</t>
  </si>
  <si>
    <t>pour vanne OT DN150 à 200</t>
  </si>
  <si>
    <t>Ajout de liste sans poste ou sans référence mieux gérés, erreur descriptive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</si>
</sst>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 &quot;F&quot;_-;\-* #,##0.00\ &quot;F&quot;_-;_-* &quot;-&quot;??\ &quot;F&quot;_-;_-@_-"/>
    <numFmt numFmtId="165" formatCode="#,##0.00\ &quot;F&quot;"/>
    <numFmt numFmtId="166" formatCode="#,##0.00\ _F"/>
    <numFmt numFmtId="167" formatCode="_-* #,##0.00\ [$€]_-;\-* #,##0.00\ [$€]_-;_-* &quot;-&quot;??\ [$€]_-;_-@_-"/>
    <numFmt numFmtId="168" formatCode="_-* #,##0.00\ [$€-40C]_-;\-* #,##0.00\ [$€-40C]_-;_-* &quot;-&quot;??\ [$€-40C]_-;_-@_-"/>
    <numFmt numFmtId="169" formatCode="General&quot;   &quot;"/>
    <numFmt numFmtId="170" formatCode="0.0&quot;m/h&quot;"/>
  </numFmts>
  <fonts count="25" x14ac:knownFonts="1">
    <font>
      <sz val="10"/>
      <name val="Arial"/>
    </font>
    <font>
      <sz val="10"/>
      <name val="Arial"/>
      <family val="2"/>
    </font>
    <font>
      <sz val="11"/>
      <name val="Arial"/>
      <family val="2"/>
    </font>
    <font>
      <sz val="8"/>
      <name val="Arial"/>
      <family val="2"/>
    </font>
    <font>
      <sz val="8"/>
      <color indexed="81"/>
      <name val="Tahoma"/>
      <family val="2"/>
    </font>
    <font>
      <b/>
      <sz val="8"/>
      <color indexed="81"/>
      <name val="Tahoma"/>
      <family val="2"/>
    </font>
    <font>
      <sz val="11"/>
      <color rgb="FFFF0000"/>
      <name val="Arial"/>
      <family val="2"/>
    </font>
    <font>
      <sz val="11"/>
      <color theme="1"/>
      <name val="Arial"/>
      <family val="2"/>
    </font>
    <font>
      <sz val="11"/>
      <color rgb="FFFFC000"/>
      <name val="Arial"/>
      <family val="2"/>
    </font>
    <font>
      <sz val="11"/>
      <color rgb="FF444444"/>
      <name val="Calibri"/>
      <family val="2"/>
      <charset val="1"/>
    </font>
    <font>
      <sz val="11"/>
      <color rgb="FF000000"/>
      <name val="Arial"/>
      <family val="2"/>
    </font>
    <font>
      <u/>
      <sz val="10"/>
      <color theme="10"/>
      <name val="Arial"/>
      <family val="2"/>
    </font>
    <font>
      <sz val="10"/>
      <name val="Arial"/>
      <family val="2"/>
    </font>
    <font>
      <b/>
      <sz val="12"/>
      <name val="Arial"/>
      <family val="2"/>
    </font>
    <font>
      <sz val="10"/>
      <color rgb="FF000000"/>
      <name val="Arial"/>
      <family val="2"/>
    </font>
    <font>
      <b/>
      <sz val="11"/>
      <color theme="0"/>
      <name val="Arial"/>
      <family val="2"/>
    </font>
    <font>
      <b/>
      <sz val="11"/>
      <color rgb="FFFF0000"/>
      <name val="Arial"/>
      <family val="2"/>
    </font>
    <font>
      <sz val="11"/>
      <color rgb="FF333333"/>
      <name val="Arial"/>
      <family val="2"/>
    </font>
    <font>
      <sz val="10"/>
      <color theme="1"/>
      <name val="Arial"/>
      <family val="2"/>
    </font>
    <font>
      <b/>
      <sz val="11"/>
      <color theme="1"/>
      <name val="Arial"/>
      <family val="2"/>
    </font>
    <font>
      <b/>
      <sz val="9"/>
      <color indexed="81"/>
      <name val="Tahoma"/>
      <family val="2"/>
    </font>
    <font>
      <sz val="9"/>
      <color indexed="81"/>
      <name val="Tahoma"/>
      <family val="2"/>
    </font>
    <font>
      <sz val="18"/>
      <color theme="1"/>
      <name val="Calibri"/>
      <family val="2"/>
      <scheme val="minor"/>
    </font>
    <font>
      <sz val="11"/>
      <color theme="1"/>
      <name val="Calibri"/>
      <family val="2"/>
    </font>
    <font>
      <sz val="11"/>
      <name val="Calibri"/>
      <family val="2"/>
    </font>
  </fonts>
  <fills count="10">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theme="0"/>
      </left>
      <right style="thin">
        <color theme="0"/>
      </right>
      <top/>
      <bottom/>
      <diagonal/>
    </border>
    <border>
      <left/>
      <right style="thin">
        <color theme="0"/>
      </right>
      <top/>
      <bottom/>
      <diagonal/>
    </border>
    <border>
      <left style="thin">
        <color theme="0"/>
      </left>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
    <xf numFmtId="0" fontId="0" fillId="0" borderId="0"/>
    <xf numFmtId="167" fontId="1" fillId="0" borderId="0" applyFont="0" applyFill="0" applyBorder="0" applyAlignment="0" applyProtection="0"/>
    <xf numFmtId="164" fontId="1" fillId="0" borderId="0" applyFont="0" applyFill="0" applyBorder="0" applyAlignment="0" applyProtection="0"/>
    <xf numFmtId="0" fontId="11" fillId="0" borderId="0" applyNumberFormat="0" applyFill="0" applyBorder="0" applyAlignment="0" applyProtection="0"/>
    <xf numFmtId="9" fontId="12" fillId="0" borderId="0" applyFont="0" applyFill="0" applyBorder="0" applyAlignment="0" applyProtection="0"/>
    <xf numFmtId="0" fontId="1" fillId="0" borderId="0"/>
  </cellStyleXfs>
  <cellXfs count="178">
    <xf numFmtId="0" fontId="0" fillId="0" borderId="0" xfId="0"/>
    <xf numFmtId="0" fontId="1" fillId="0" borderId="0" xfId="0" applyFont="1"/>
    <xf numFmtId="0" fontId="0" fillId="0" borderId="0" xfId="0" applyAlignment="1">
      <alignment wrapText="1"/>
    </xf>
    <xf numFmtId="168" fontId="0" fillId="0" borderId="0" xfId="0" applyNumberFormat="1"/>
    <xf numFmtId="0" fontId="0" fillId="0" borderId="0" xfId="0" applyAlignment="1">
      <alignment horizontal="left"/>
    </xf>
    <xf numFmtId="14" fontId="0" fillId="0" borderId="0" xfId="0" applyNumberFormat="1"/>
    <xf numFmtId="0" fontId="1" fillId="0" borderId="0" xfId="0" applyFont="1" applyAlignment="1">
      <alignment wrapText="1"/>
    </xf>
    <xf numFmtId="0" fontId="0" fillId="0" borderId="1" xfId="0" applyBorder="1"/>
    <xf numFmtId="9" fontId="0" fillId="0" borderId="3" xfId="4" applyFont="1" applyBorder="1"/>
    <xf numFmtId="0" fontId="0" fillId="0" borderId="4" xfId="0" applyBorder="1"/>
    <xf numFmtId="0" fontId="0" fillId="0" borderId="5" xfId="0" applyBorder="1"/>
    <xf numFmtId="0" fontId="0" fillId="0" borderId="6" xfId="0" applyBorder="1"/>
    <xf numFmtId="168" fontId="0" fillId="0" borderId="6" xfId="2" applyNumberFormat="1" applyFont="1" applyBorder="1"/>
    <xf numFmtId="9" fontId="0" fillId="0" borderId="7" xfId="4" applyFont="1" applyBorder="1"/>
    <xf numFmtId="0" fontId="0" fillId="0" borderId="8" xfId="0" applyBorder="1"/>
    <xf numFmtId="0" fontId="0" fillId="0" borderId="9" xfId="0" applyBorder="1"/>
    <xf numFmtId="0" fontId="0" fillId="0" borderId="10" xfId="0" applyBorder="1"/>
    <xf numFmtId="0" fontId="0" fillId="0" borderId="11" xfId="0" applyBorder="1"/>
    <xf numFmtId="9" fontId="0" fillId="0" borderId="12" xfId="4" applyFont="1" applyBorder="1"/>
    <xf numFmtId="0" fontId="0" fillId="0" borderId="2" xfId="0" applyBorder="1"/>
    <xf numFmtId="168" fontId="0" fillId="0" borderId="8" xfId="2" applyNumberFormat="1" applyFont="1" applyBorder="1"/>
    <xf numFmtId="9" fontId="0" fillId="0" borderId="9" xfId="4" applyFont="1" applyBorder="1"/>
    <xf numFmtId="0" fontId="0" fillId="0" borderId="0" xfId="0" pivotButton="1"/>
    <xf numFmtId="0" fontId="0" fillId="0" borderId="0" xfId="0" applyAlignment="1">
      <alignment horizontal="left" indent="1"/>
    </xf>
    <xf numFmtId="0" fontId="0" fillId="0" borderId="0" xfId="0" applyNumberFormat="1"/>
    <xf numFmtId="168" fontId="0" fillId="0" borderId="6"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9" fontId="0" fillId="0" borderId="6" xfId="4" applyFont="1" applyBorder="1"/>
    <xf numFmtId="9" fontId="0" fillId="0" borderId="1" xfId="4" applyFont="1" applyBorder="1"/>
    <xf numFmtId="9" fontId="0" fillId="0" borderId="11" xfId="4" applyFont="1" applyBorder="1"/>
    <xf numFmtId="9" fontId="0" fillId="0" borderId="8" xfId="4" applyFont="1" applyBorder="1"/>
    <xf numFmtId="169" fontId="0" fillId="0" borderId="0" xfId="0" applyNumberFormat="1" applyAlignment="1">
      <alignment horizontal="center"/>
    </xf>
    <xf numFmtId="0" fontId="0" fillId="0" borderId="0" xfId="0" applyAlignment="1">
      <alignment horizontal="center"/>
    </xf>
    <xf numFmtId="0" fontId="15" fillId="4" borderId="0" xfId="0" applyFont="1" applyFill="1" applyBorder="1" applyAlignment="1">
      <alignment vertical="top" wrapText="1"/>
    </xf>
    <xf numFmtId="49" fontId="13" fillId="0" borderId="0" xfId="0" applyNumberFormat="1" applyFont="1" applyAlignment="1">
      <alignment horizontal="left"/>
    </xf>
    <xf numFmtId="49" fontId="0" fillId="0" borderId="0" xfId="0" applyNumberFormat="1" applyAlignment="1">
      <alignment horizontal="left"/>
    </xf>
    <xf numFmtId="49" fontId="0" fillId="0" borderId="0" xfId="0" applyNumberFormat="1"/>
    <xf numFmtId="168" fontId="0" fillId="0" borderId="0" xfId="0" applyNumberFormat="1" applyAlignment="1">
      <alignment horizontal="center"/>
    </xf>
    <xf numFmtId="168" fontId="0" fillId="0" borderId="0" xfId="2" applyNumberFormat="1" applyFont="1"/>
    <xf numFmtId="0" fontId="15" fillId="4" borderId="13" xfId="0" applyFont="1" applyFill="1" applyBorder="1" applyAlignment="1">
      <alignment vertical="top" wrapText="1"/>
    </xf>
    <xf numFmtId="0" fontId="15" fillId="4" borderId="14" xfId="0" applyFont="1" applyFill="1" applyBorder="1" applyAlignment="1">
      <alignment vertical="top" wrapText="1"/>
    </xf>
    <xf numFmtId="49" fontId="15" fillId="4" borderId="13" xfId="0" applyNumberFormat="1" applyFont="1" applyFill="1" applyBorder="1" applyAlignment="1">
      <alignment vertical="top" wrapText="1"/>
    </xf>
    <xf numFmtId="0" fontId="15" fillId="4" borderId="13" xfId="0" applyFont="1" applyFill="1" applyBorder="1" applyAlignment="1">
      <alignment horizontal="center" vertical="top"/>
    </xf>
    <xf numFmtId="49" fontId="15" fillId="4" borderId="13" xfId="0" applyNumberFormat="1" applyFont="1" applyFill="1" applyBorder="1" applyAlignment="1">
      <alignment horizontal="left" vertical="top" wrapText="1"/>
    </xf>
    <xf numFmtId="168" fontId="15" fillId="4" borderId="13" xfId="0" applyNumberFormat="1" applyFont="1" applyFill="1" applyBorder="1" applyAlignment="1">
      <alignment vertical="top" wrapText="1"/>
    </xf>
    <xf numFmtId="0" fontId="15" fillId="4" borderId="13" xfId="0" applyFont="1" applyFill="1" applyBorder="1" applyAlignment="1">
      <alignment horizontal="center" vertical="top" wrapText="1"/>
    </xf>
    <xf numFmtId="168" fontId="15" fillId="4" borderId="13" xfId="2" applyNumberFormat="1" applyFont="1" applyFill="1" applyBorder="1" applyAlignment="1">
      <alignment vertical="top" wrapText="1"/>
    </xf>
    <xf numFmtId="168" fontId="15" fillId="4" borderId="15" xfId="2" applyNumberFormat="1" applyFont="1" applyFill="1" applyBorder="1" applyAlignment="1">
      <alignment vertical="top" wrapText="1"/>
    </xf>
    <xf numFmtId="0" fontId="2" fillId="2" borderId="0" xfId="0" applyFont="1" applyFill="1" applyBorder="1" applyAlignment="1">
      <alignment horizontal="left"/>
    </xf>
    <xf numFmtId="0" fontId="2" fillId="2" borderId="0" xfId="0" applyFont="1" applyFill="1" applyBorder="1" applyAlignment="1">
      <alignment horizontal="right"/>
    </xf>
    <xf numFmtId="0" fontId="1" fillId="0" borderId="0" xfId="0" applyFont="1" applyBorder="1"/>
    <xf numFmtId="0" fontId="2" fillId="2" borderId="0" xfId="0" applyFont="1" applyFill="1" applyBorder="1" applyAlignment="1">
      <alignment horizontal="center"/>
    </xf>
    <xf numFmtId="0" fontId="2" fillId="3" borderId="0" xfId="0" applyFont="1" applyFill="1" applyBorder="1" applyAlignment="1">
      <alignment horizontal="left"/>
    </xf>
    <xf numFmtId="0" fontId="2" fillId="3" borderId="0" xfId="0" applyFont="1" applyFill="1" applyBorder="1" applyAlignment="1">
      <alignment horizontal="right"/>
    </xf>
    <xf numFmtId="0" fontId="2" fillId="3" borderId="0" xfId="0" applyFont="1" applyFill="1" applyBorder="1" applyAlignment="1">
      <alignment horizontal="center"/>
    </xf>
    <xf numFmtId="0" fontId="2" fillId="2" borderId="0" xfId="0" applyFont="1" applyFill="1" applyBorder="1"/>
    <xf numFmtId="0" fontId="2" fillId="3" borderId="0" xfId="0" applyFont="1" applyFill="1" applyBorder="1"/>
    <xf numFmtId="0" fontId="15" fillId="4" borderId="15" xfId="0" applyFont="1" applyFill="1" applyBorder="1" applyAlignment="1">
      <alignment vertical="top" wrapText="1"/>
    </xf>
    <xf numFmtId="49" fontId="15" fillId="4" borderId="15" xfId="0" applyNumberFormat="1" applyFont="1" applyFill="1" applyBorder="1" applyAlignment="1">
      <alignment vertical="top" wrapText="1"/>
    </xf>
    <xf numFmtId="49" fontId="15" fillId="4" borderId="15" xfId="0" applyNumberFormat="1" applyFont="1" applyFill="1" applyBorder="1" applyAlignment="1">
      <alignment horizontal="left" vertical="top" wrapText="1"/>
    </xf>
    <xf numFmtId="168" fontId="15" fillId="4" borderId="15" xfId="0" applyNumberFormat="1" applyFont="1" applyFill="1" applyBorder="1" applyAlignment="1">
      <alignment vertical="top" wrapText="1"/>
    </xf>
    <xf numFmtId="0" fontId="15" fillId="4" borderId="15" xfId="0" applyFont="1" applyFill="1" applyBorder="1" applyAlignment="1">
      <alignment horizontal="center" vertical="top" wrapText="1"/>
    </xf>
    <xf numFmtId="0" fontId="0" fillId="5" borderId="0" xfId="0" applyFont="1" applyFill="1"/>
    <xf numFmtId="0" fontId="16" fillId="0" borderId="0" xfId="0" applyFont="1" applyFill="1" applyBorder="1" applyAlignment="1">
      <alignment horizontal="left"/>
    </xf>
    <xf numFmtId="0" fontId="16" fillId="0" borderId="0" xfId="0" applyNumberFormat="1" applyFont="1" applyFill="1" applyBorder="1" applyAlignment="1">
      <alignment horizontal="left"/>
    </xf>
    <xf numFmtId="0" fontId="7" fillId="0" borderId="0" xfId="0" applyNumberFormat="1" applyFont="1" applyFill="1" applyBorder="1" applyAlignment="1">
      <alignment horizontal="right"/>
    </xf>
    <xf numFmtId="0" fontId="7" fillId="0" borderId="0" xfId="0" applyNumberFormat="1" applyFont="1" applyFill="1" applyBorder="1" applyAlignment="1">
      <alignment horizontal="center"/>
    </xf>
    <xf numFmtId="0" fontId="7" fillId="0" borderId="0" xfId="0" applyNumberFormat="1" applyFont="1" applyFill="1" applyBorder="1" applyAlignment="1">
      <alignment horizontal="left"/>
    </xf>
    <xf numFmtId="168" fontId="7" fillId="0" borderId="0" xfId="2" applyNumberFormat="1" applyFont="1" applyFill="1" applyBorder="1" applyAlignment="1">
      <alignment horizontal="center"/>
    </xf>
    <xf numFmtId="0" fontId="7" fillId="0" borderId="0" xfId="0" applyFont="1" applyFill="1" applyBorder="1" applyAlignment="1">
      <alignment horizontal="center"/>
    </xf>
    <xf numFmtId="0" fontId="7" fillId="0" borderId="0" xfId="0" applyNumberFormat="1" applyFont="1" applyFill="1" applyBorder="1"/>
    <xf numFmtId="0" fontId="7" fillId="0" borderId="0" xfId="0" applyFont="1" applyFill="1" applyBorder="1"/>
    <xf numFmtId="168" fontId="7" fillId="0" borderId="0" xfId="2" applyNumberFormat="1" applyFont="1" applyFill="1" applyBorder="1"/>
    <xf numFmtId="0" fontId="7" fillId="0" borderId="0" xfId="0" applyFont="1" applyFill="1" applyBorder="1" applyAlignment="1">
      <alignment horizontal="left"/>
    </xf>
    <xf numFmtId="0" fontId="7" fillId="0" borderId="0" xfId="0" applyFont="1" applyFill="1" applyBorder="1" applyAlignment="1">
      <alignment horizontal="right"/>
    </xf>
    <xf numFmtId="0" fontId="16" fillId="0" borderId="0" xfId="0" applyFont="1" applyFill="1" applyBorder="1" applyAlignment="1"/>
    <xf numFmtId="0" fontId="16" fillId="0" borderId="0" xfId="0" applyNumberFormat="1" applyFont="1" applyFill="1" applyBorder="1" applyAlignment="1"/>
    <xf numFmtId="165" fontId="7" fillId="0" borderId="0" xfId="0" applyNumberFormat="1" applyFont="1" applyFill="1" applyBorder="1" applyAlignment="1">
      <alignment horizontal="center"/>
    </xf>
    <xf numFmtId="16" fontId="7" fillId="0" borderId="0" xfId="0" applyNumberFormat="1" applyFont="1" applyFill="1" applyBorder="1" applyAlignment="1">
      <alignment horizontal="right"/>
    </xf>
    <xf numFmtId="0" fontId="18" fillId="0" borderId="0" xfId="0" applyFont="1" applyFill="1" applyBorder="1"/>
    <xf numFmtId="0" fontId="7" fillId="0" borderId="0" xfId="0" applyFont="1" applyFill="1" applyBorder="1" applyAlignment="1">
      <alignment horizontal="center" vertical="center"/>
    </xf>
    <xf numFmtId="0" fontId="18" fillId="0" borderId="0" xfId="0" applyFont="1" applyFill="1" applyBorder="1" applyAlignment="1">
      <alignment horizontal="center"/>
    </xf>
    <xf numFmtId="0" fontId="7" fillId="0" borderId="0" xfId="5" applyNumberFormat="1" applyFont="1" applyFill="1" applyBorder="1" applyAlignment="1">
      <alignment horizontal="right"/>
    </xf>
    <xf numFmtId="0" fontId="18" fillId="0" borderId="0" xfId="5" applyNumberFormat="1" applyFont="1" applyFill="1" applyBorder="1" applyAlignment="1">
      <alignment horizontal="center" vertical="center"/>
    </xf>
    <xf numFmtId="49" fontId="7" fillId="0" borderId="0" xfId="0" applyNumberFormat="1" applyFont="1" applyFill="1" applyBorder="1" applyAlignment="1">
      <alignment horizontal="center"/>
    </xf>
    <xf numFmtId="49" fontId="7" fillId="0" borderId="0" xfId="0" applyNumberFormat="1" applyFont="1" applyFill="1" applyBorder="1" applyAlignment="1">
      <alignment horizontal="center" vertical="center"/>
    </xf>
    <xf numFmtId="0" fontId="18" fillId="0" borderId="0" xfId="0" applyFont="1" applyFill="1" applyBorder="1" applyAlignment="1">
      <alignment horizontal="right"/>
    </xf>
    <xf numFmtId="0" fontId="17" fillId="0" borderId="0" xfId="0" applyFont="1" applyFill="1" applyBorder="1" applyAlignment="1">
      <alignment horizontal="right"/>
    </xf>
    <xf numFmtId="18" fontId="7" fillId="0" borderId="0" xfId="0" applyNumberFormat="1" applyFont="1" applyFill="1" applyBorder="1" applyAlignment="1">
      <alignment horizontal="right"/>
    </xf>
    <xf numFmtId="168" fontId="18" fillId="0" borderId="0" xfId="0" applyNumberFormat="1" applyFont="1" applyFill="1" applyBorder="1"/>
    <xf numFmtId="0" fontId="18" fillId="0" borderId="0" xfId="0" applyNumberFormat="1" applyFont="1" applyFill="1" applyBorder="1"/>
    <xf numFmtId="49" fontId="7" fillId="0" borderId="0" xfId="0" applyNumberFormat="1" applyFont="1" applyFill="1" applyBorder="1"/>
    <xf numFmtId="168" fontId="7" fillId="0" borderId="0" xfId="0" applyNumberFormat="1" applyFont="1" applyFill="1" applyBorder="1" applyAlignment="1">
      <alignment horizontal="center"/>
    </xf>
    <xf numFmtId="165" fontId="7" fillId="0" borderId="0" xfId="0" applyNumberFormat="1" applyFont="1" applyFill="1" applyBorder="1" applyAlignment="1">
      <alignment horizontal="left"/>
    </xf>
    <xf numFmtId="1" fontId="6" fillId="0" borderId="0" xfId="0" applyNumberFormat="1" applyFont="1" applyFill="1" applyBorder="1" applyAlignment="1">
      <alignment horizontal="left"/>
    </xf>
    <xf numFmtId="0" fontId="6" fillId="0" borderId="0" xfId="0" applyNumberFormat="1" applyFont="1" applyFill="1" applyBorder="1"/>
    <xf numFmtId="0" fontId="6" fillId="0" borderId="0" xfId="0" applyFont="1" applyFill="1" applyBorder="1"/>
    <xf numFmtId="0" fontId="10" fillId="0" borderId="0" xfId="0" applyFont="1" applyFill="1" applyBorder="1" applyAlignment="1">
      <alignment wrapText="1"/>
    </xf>
    <xf numFmtId="0" fontId="11" fillId="0" borderId="0" xfId="3" applyNumberFormat="1" applyFont="1" applyFill="1" applyBorder="1" applyAlignment="1">
      <alignment horizontal="center"/>
    </xf>
    <xf numFmtId="0" fontId="7" fillId="0" borderId="0" xfId="0" applyFont="1" applyFill="1" applyBorder="1" applyAlignment="1">
      <alignment horizontal="center" vertical="center" wrapText="1"/>
    </xf>
    <xf numFmtId="49" fontId="7" fillId="0" borderId="0" xfId="0" applyNumberFormat="1" applyFont="1" applyFill="1" applyBorder="1" applyAlignment="1">
      <alignment horizontal="left"/>
    </xf>
    <xf numFmtId="17" fontId="7" fillId="0" borderId="0" xfId="0" applyNumberFormat="1" applyFont="1" applyFill="1" applyBorder="1" applyAlignment="1">
      <alignment horizontal="left"/>
    </xf>
    <xf numFmtId="0" fontId="7" fillId="0" borderId="0" xfId="0" applyFont="1" applyFill="1" applyBorder="1" applyAlignment="1">
      <alignment vertical="center"/>
    </xf>
    <xf numFmtId="16" fontId="7" fillId="0" borderId="0" xfId="0" applyNumberFormat="1" applyFont="1" applyFill="1" applyBorder="1" applyAlignment="1">
      <alignment horizontal="left"/>
    </xf>
    <xf numFmtId="168" fontId="7" fillId="0" borderId="0" xfId="0" applyNumberFormat="1" applyFont="1" applyFill="1" applyBorder="1"/>
    <xf numFmtId="49" fontId="7" fillId="0" borderId="0" xfId="0" applyNumberFormat="1" applyFont="1" applyFill="1" applyBorder="1" applyAlignment="1">
      <alignment horizontal="right"/>
    </xf>
    <xf numFmtId="49" fontId="6" fillId="0" borderId="0" xfId="0" applyNumberFormat="1" applyFont="1" applyFill="1" applyBorder="1" applyAlignment="1">
      <alignment horizontal="center"/>
    </xf>
    <xf numFmtId="16" fontId="16" fillId="0" borderId="0" xfId="0" applyNumberFormat="1" applyFont="1" applyFill="1" applyBorder="1" applyAlignment="1">
      <alignment horizontal="left"/>
    </xf>
    <xf numFmtId="12" fontId="7" fillId="0" borderId="0" xfId="0" applyNumberFormat="1" applyFont="1" applyFill="1" applyBorder="1" applyAlignment="1">
      <alignment horizontal="right"/>
    </xf>
    <xf numFmtId="166" fontId="7" fillId="0" borderId="0" xfId="0" applyNumberFormat="1" applyFont="1" applyFill="1" applyBorder="1" applyAlignment="1">
      <alignment horizontal="center"/>
    </xf>
    <xf numFmtId="16" fontId="7" fillId="0" borderId="0" xfId="0" applyNumberFormat="1" applyFont="1" applyFill="1" applyBorder="1" applyAlignment="1">
      <alignment horizontal="center"/>
    </xf>
    <xf numFmtId="0" fontId="6" fillId="0" borderId="0" xfId="0" applyFont="1" applyFill="1" applyBorder="1" applyAlignment="1">
      <alignment horizontal="left"/>
    </xf>
    <xf numFmtId="0" fontId="10" fillId="0" borderId="0" xfId="0" applyFont="1" applyFill="1" applyBorder="1" applyAlignment="1">
      <alignment horizontal="right" wrapText="1"/>
    </xf>
    <xf numFmtId="49" fontId="7" fillId="0" borderId="0" xfId="0" applyNumberFormat="1" applyFont="1" applyFill="1" applyBorder="1" applyAlignment="1">
      <alignment horizontal="center" wrapText="1"/>
    </xf>
    <xf numFmtId="49" fontId="9" fillId="0" borderId="0" xfId="0" applyNumberFormat="1" applyFont="1" applyFill="1" applyBorder="1" applyAlignment="1">
      <alignment horizontal="left" wrapText="1"/>
    </xf>
    <xf numFmtId="49" fontId="19" fillId="0" borderId="0" xfId="0" applyNumberFormat="1" applyFont="1" applyFill="1" applyBorder="1" applyAlignment="1">
      <alignment horizontal="left"/>
    </xf>
    <xf numFmtId="0" fontId="10" fillId="0" borderId="0" xfId="0" applyFont="1" applyFill="1" applyBorder="1" applyAlignment="1">
      <alignment horizontal="right"/>
    </xf>
    <xf numFmtId="0" fontId="8" fillId="0" borderId="0" xfId="0" applyFont="1" applyFill="1" applyBorder="1" applyAlignment="1">
      <alignment horizontal="right"/>
    </xf>
    <xf numFmtId="49" fontId="8" fillId="0" borderId="0" xfId="0" applyNumberFormat="1" applyFont="1" applyFill="1" applyBorder="1" applyAlignment="1">
      <alignment horizontal="center"/>
    </xf>
    <xf numFmtId="0" fontId="16" fillId="0" borderId="0" xfId="0" applyFont="1" applyFill="1" applyBorder="1"/>
    <xf numFmtId="0" fontId="18" fillId="0" borderId="0" xfId="0" applyFont="1" applyFill="1" applyBorder="1" applyAlignment="1">
      <alignment horizontal="left"/>
    </xf>
    <xf numFmtId="0" fontId="7" fillId="0" borderId="0" xfId="0" applyFont="1" applyFill="1" applyBorder="1" applyAlignment="1">
      <alignment horizontal="left" vertical="center"/>
    </xf>
    <xf numFmtId="168" fontId="7" fillId="0" borderId="0" xfId="0" applyNumberFormat="1" applyFont="1" applyFill="1" applyBorder="1" applyAlignment="1">
      <alignment horizontal="left" vertical="top"/>
    </xf>
    <xf numFmtId="11" fontId="7" fillId="0" borderId="0" xfId="0" applyNumberFormat="1" applyFont="1" applyFill="1" applyBorder="1" applyAlignment="1">
      <alignment horizontal="left" vertical="center"/>
    </xf>
    <xf numFmtId="11" fontId="7" fillId="0" borderId="0" xfId="0" applyNumberFormat="1" applyFont="1" applyFill="1" applyBorder="1" applyAlignment="1">
      <alignment horizontal="left"/>
    </xf>
    <xf numFmtId="0" fontId="16" fillId="0" borderId="0" xfId="0" applyFont="1" applyFill="1" applyBorder="1" applyAlignment="1">
      <alignment horizontal="right"/>
    </xf>
    <xf numFmtId="0" fontId="18" fillId="0" borderId="0" xfId="0" applyNumberFormat="1" applyFont="1" applyFill="1" applyBorder="1" applyAlignment="1">
      <alignment horizontal="center"/>
    </xf>
    <xf numFmtId="0" fontId="1" fillId="0" borderId="0" xfId="0" applyFont="1" applyAlignment="1">
      <alignment horizontal="center"/>
    </xf>
    <xf numFmtId="0" fontId="1" fillId="0" borderId="0" xfId="5"/>
    <xf numFmtId="0" fontId="0" fillId="0" borderId="16" xfId="0" applyBorder="1"/>
    <xf numFmtId="0" fontId="0" fillId="0" borderId="17" xfId="0" applyBorder="1" applyAlignment="1">
      <alignment horizontal="center"/>
    </xf>
    <xf numFmtId="0" fontId="0" fillId="0" borderId="18" xfId="0" applyBorder="1"/>
    <xf numFmtId="0" fontId="0" fillId="0" borderId="19" xfId="0" applyBorder="1"/>
    <xf numFmtId="0" fontId="0" fillId="0" borderId="20" xfId="0" applyBorder="1"/>
    <xf numFmtId="0" fontId="0" fillId="6" borderId="20" xfId="0" applyFill="1" applyBorder="1"/>
    <xf numFmtId="0" fontId="0" fillId="0" borderId="22" xfId="0" applyBorder="1"/>
    <xf numFmtId="0" fontId="0" fillId="6" borderId="1" xfId="0" applyFill="1" applyBorder="1"/>
    <xf numFmtId="0" fontId="0" fillId="0" borderId="23" xfId="0" applyBorder="1"/>
    <xf numFmtId="0" fontId="0" fillId="0" borderId="24" xfId="0" applyBorder="1"/>
    <xf numFmtId="0" fontId="0" fillId="6" borderId="24" xfId="0" applyFill="1" applyBorder="1"/>
    <xf numFmtId="0" fontId="0" fillId="0" borderId="26" xfId="0" applyBorder="1"/>
    <xf numFmtId="0" fontId="0" fillId="0" borderId="28" xfId="0" applyBorder="1"/>
    <xf numFmtId="0" fontId="0" fillId="0" borderId="3" xfId="0" applyBorder="1"/>
    <xf numFmtId="170" fontId="0" fillId="0" borderId="1" xfId="0" applyNumberFormat="1" applyBorder="1"/>
    <xf numFmtId="170" fontId="0" fillId="0" borderId="3" xfId="0" applyNumberFormat="1" applyBorder="1"/>
    <xf numFmtId="170" fontId="23" fillId="0" borderId="1" xfId="0" applyNumberFormat="1" applyFont="1" applyBorder="1"/>
    <xf numFmtId="0" fontId="0" fillId="0" borderId="29" xfId="0" applyBorder="1"/>
    <xf numFmtId="170" fontId="0" fillId="0" borderId="11" xfId="0" applyNumberFormat="1" applyBorder="1"/>
    <xf numFmtId="170" fontId="0" fillId="0" borderId="12" xfId="0" applyNumberFormat="1" applyBorder="1"/>
    <xf numFmtId="0" fontId="1" fillId="0" borderId="0" xfId="0" applyFont="1" applyFill="1" applyBorder="1"/>
    <xf numFmtId="0" fontId="1" fillId="7" borderId="0" xfId="0" applyFont="1" applyFill="1"/>
    <xf numFmtId="0" fontId="0" fillId="0" borderId="0" xfId="0" applyBorder="1"/>
    <xf numFmtId="170" fontId="0" fillId="0" borderId="0" xfId="0" applyNumberFormat="1" applyBorder="1"/>
    <xf numFmtId="170" fontId="23" fillId="0" borderId="0" xfId="0" applyNumberFormat="1" applyFont="1" applyBorder="1"/>
    <xf numFmtId="0" fontId="0" fillId="0" borderId="33" xfId="0" applyBorder="1"/>
    <xf numFmtId="0" fontId="0" fillId="0" borderId="7" xfId="0" applyBorder="1"/>
    <xf numFmtId="0" fontId="0" fillId="0" borderId="34" xfId="0" applyBorder="1"/>
    <xf numFmtId="170" fontId="0" fillId="0" borderId="24" xfId="0" applyNumberFormat="1" applyBorder="1"/>
    <xf numFmtId="170" fontId="0" fillId="0" borderId="35" xfId="0" applyNumberFormat="1" applyBorder="1"/>
    <xf numFmtId="0" fontId="0" fillId="7" borderId="0" xfId="0" applyFill="1"/>
    <xf numFmtId="0" fontId="7" fillId="0" borderId="0" xfId="0" quotePrefix="1" applyFont="1" applyFill="1" applyBorder="1" applyAlignment="1">
      <alignment horizontal="center"/>
    </xf>
    <xf numFmtId="0" fontId="18" fillId="0" borderId="0" xfId="0" applyNumberFormat="1" applyFont="1" applyFill="1" applyBorder="1" applyAlignment="1">
      <alignment horizontal="right"/>
    </xf>
    <xf numFmtId="0" fontId="7" fillId="0" borderId="0" xfId="0" applyFont="1"/>
    <xf numFmtId="0" fontId="7" fillId="8" borderId="0" xfId="0" applyFont="1" applyFill="1" applyBorder="1" applyAlignment="1">
      <alignment horizontal="center"/>
    </xf>
    <xf numFmtId="0" fontId="7" fillId="8" borderId="0" xfId="0" applyFont="1" applyFill="1"/>
    <xf numFmtId="0" fontId="7" fillId="0" borderId="0" xfId="0" applyFont="1" applyAlignment="1">
      <alignment horizontal="right"/>
    </xf>
    <xf numFmtId="0" fontId="24" fillId="9" borderId="0" xfId="0" applyFont="1" applyFill="1"/>
    <xf numFmtId="0" fontId="1" fillId="9" borderId="0" xfId="0" applyFont="1" applyFill="1"/>
    <xf numFmtId="0" fontId="22" fillId="0" borderId="10" xfId="0" applyFont="1" applyBorder="1" applyAlignment="1">
      <alignment horizontal="center" vertical="center" textRotation="90"/>
    </xf>
    <xf numFmtId="0" fontId="22" fillId="0" borderId="21" xfId="0" applyFont="1" applyBorder="1" applyAlignment="1">
      <alignment horizontal="center" vertical="center" textRotation="90"/>
    </xf>
    <xf numFmtId="0" fontId="22" fillId="0" borderId="25" xfId="0" applyFont="1" applyBorder="1" applyAlignment="1">
      <alignment horizontal="center" vertical="center" textRotation="90"/>
    </xf>
    <xf numFmtId="0" fontId="22" fillId="0" borderId="20" xfId="0" applyFont="1" applyBorder="1" applyAlignment="1">
      <alignment horizontal="center"/>
    </xf>
    <xf numFmtId="0" fontId="22" fillId="0" borderId="27" xfId="0" applyFont="1" applyBorder="1" applyAlignment="1">
      <alignment horizontal="center"/>
    </xf>
    <xf numFmtId="0" fontId="22" fillId="0" borderId="30" xfId="0" applyFont="1" applyBorder="1" applyAlignment="1">
      <alignment horizontal="center"/>
    </xf>
    <xf numFmtId="0" fontId="22" fillId="0" borderId="31" xfId="0" applyFont="1" applyBorder="1" applyAlignment="1">
      <alignment horizontal="center"/>
    </xf>
    <xf numFmtId="0" fontId="22" fillId="0" borderId="32" xfId="0" applyFont="1" applyBorder="1" applyAlignment="1">
      <alignment horizontal="center"/>
    </xf>
  </cellXfs>
  <cellStyles count="6">
    <cellStyle name="Euro" xfId="1" xr:uid="{00000000-0005-0000-0000-000000000000}"/>
    <cellStyle name="Lien hypertexte" xfId="3" builtinId="8"/>
    <cellStyle name="Monétaire" xfId="2" builtinId="4"/>
    <cellStyle name="Normal" xfId="0" builtinId="0"/>
    <cellStyle name="Normal 2" xfId="5" xr:uid="{F4820C8E-CCDF-47FD-8AC3-5852BD76E5F0}"/>
    <cellStyle name="Pourcentage" xfId="4" builtinId="5"/>
  </cellStyles>
  <dxfs count="63">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center" vertical="bottom" textRotation="0" wrapText="0" indent="0" justifyLastLine="0" shrinkToFit="0" readingOrder="0"/>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left" vertical="bottom" textRotation="0" wrapText="0" indent="0" justifyLastLine="0" shrinkToFit="0" readingOrder="0"/>
    </dxf>
    <dxf>
      <font>
        <strike val="0"/>
        <outline val="0"/>
        <shadow val="0"/>
        <u val="none"/>
        <vertAlign val="baseline"/>
        <color auto="1"/>
        <name val="Arial"/>
        <scheme val="none"/>
      </font>
    </dxf>
    <dxf>
      <border outline="0">
        <bottom style="thick">
          <color theme="0"/>
        </bottom>
      </border>
    </dxf>
    <dxf>
      <font>
        <b/>
        <i val="0"/>
        <strike val="0"/>
        <condense val="0"/>
        <extend val="0"/>
        <outline val="0"/>
        <shadow val="0"/>
        <u val="none"/>
        <vertAlign val="baseline"/>
        <sz val="11"/>
        <color theme="0"/>
        <name val="Arial"/>
        <family val="2"/>
        <scheme val="none"/>
      </font>
      <numFmt numFmtId="168" formatCode="_-* #,##0.00\ [$€-40C]_-;\-* #,##0.00\ [$€-40C]_-;_-* &quot;-&quot;??\ [$€-40C]_-;_-@_-"/>
      <fill>
        <patternFill patternType="solid">
          <fgColor theme="4"/>
          <bgColor theme="4"/>
        </patternFill>
      </fill>
      <alignment horizontal="general" vertical="top"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dxf>
    <dxf>
      <font>
        <b/>
        <i val="0"/>
        <strike val="0"/>
        <condense val="0"/>
        <extend val="0"/>
        <outline val="0"/>
        <shadow val="0"/>
        <u val="none"/>
        <vertAlign val="baseline"/>
        <sz val="11"/>
        <color theme="0"/>
        <name val="Arial"/>
        <family val="2"/>
        <scheme val="none"/>
      </font>
      <numFmt numFmtId="168" formatCode="_-* #,##0.00\ [$€-40C]_-;\-* #,##0.00\ [$€-40C]_-;_-* &quot;-&quot;??\ [$€-40C]_-;_-@_-"/>
      <fill>
        <patternFill patternType="solid">
          <fgColor theme="4"/>
          <bgColor theme="4"/>
        </patternFill>
      </fill>
      <alignment horizontal="general" vertical="top" textRotation="0" wrapText="1" 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0</xdr:row>
          <xdr:rowOff>66675</xdr:rowOff>
        </xdr:from>
        <xdr:to>
          <xdr:col>16</xdr:col>
          <xdr:colOff>657225</xdr:colOff>
          <xdr:row>0</xdr:row>
          <xdr:rowOff>495300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Filtrer</a:t>
              </a:r>
            </a:p>
            <a:p>
              <a:pPr algn="ctr" rtl="0">
                <a:defRPr sz="1000"/>
              </a:pPr>
              <a:r>
                <a:rPr lang="fr-FR" sz="1000" b="0" i="0" u="none" strike="noStrike" baseline="0">
                  <a:solidFill>
                    <a:srgbClr val="000000"/>
                  </a:solidFill>
                  <a:latin typeface="Arial"/>
                  <a:cs typeface="Arial"/>
                </a:rPr>
                <a:t>=/=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1647825</xdr:colOff>
          <xdr:row>0</xdr:row>
          <xdr:rowOff>76200</xdr:rowOff>
        </xdr:from>
        <xdr:to>
          <xdr:col>9</xdr:col>
          <xdr:colOff>1228725</xdr:colOff>
          <xdr:row>0</xdr:row>
          <xdr:rowOff>504825</xdr:rowOff>
        </xdr:to>
        <xdr:sp macro="" textlink="">
          <xdr:nvSpPr>
            <xdr:cNvPr id="19624" name="Button 168" hidden="1">
              <a:extLst>
                <a:ext uri="{63B3BB69-23CF-44E3-9099-C40C66FF867C}">
                  <a14:compatExt spid="_x0000_s19624"/>
                </a:ext>
                <a:ext uri="{FF2B5EF4-FFF2-40B4-BE49-F238E27FC236}">
                  <a16:creationId xmlns:a16="http://schemas.microsoft.com/office/drawing/2014/main" id="{00000000-0008-0000-0300-0000A8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Nettoyage</a:t>
              </a:r>
            </a:p>
            <a:p>
              <a:pPr algn="ctr" rtl="0">
                <a:defRPr sz="1000"/>
              </a:pPr>
              <a:r>
                <a:rPr lang="fr-FR" sz="1000" b="0" i="0" u="none" strike="noStrike" baseline="0">
                  <a:solidFill>
                    <a:srgbClr val="000000"/>
                  </a:solidFill>
                  <a:latin typeface="Arial"/>
                  <a:cs typeface="Arial"/>
                </a:rPr>
                <a:t>Vérification Formule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57150</xdr:rowOff>
        </xdr:from>
        <xdr:to>
          <xdr:col>5</xdr:col>
          <xdr:colOff>666750</xdr:colOff>
          <xdr:row>3</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Ajouter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ric FLORIN" id="{1B758E6D-4F0B-4C59-978F-B1CCAC5757AE}" userId="S::EriFlo@airflux.fr::67c43e49-1530-4574-a142-22c78b4f6c91" providerId="AD"/>
  <person displayName="Thomas MATHIEU" id="{CA32516E-5E5E-4238-9225-76878616B020}" userId="S::thomat@airflux.fr::dbe6166f-939d-4539-b51a-931ef9e870d3" providerId="AD"/>
</personList>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Devis%20Avril%202022%20-%20Mod&#232;le.xlt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MATHIEU" refreshedDate="44659.686576388885" createdVersion="7" refreshedVersion="7" minRefreshableVersion="3" recordCount="3488" xr:uid="{26A307B6-F0C7-4F9A-8C18-A29E971E7ADE}">
  <cacheSource type="worksheet">
    <worksheetSource ref="A2:AB3490" sheet="Général" r:id="rId2"/>
  </cacheSource>
  <cacheFields count="28">
    <cacheField name="Gamme" numFmtId="0">
      <sharedItems containsBlank="1" count="34">
        <s v="Galva"/>
        <s v="Inox Soudé"/>
        <s v="Inox vissé"/>
        <s v="Recup Calorie"/>
        <s v="Régulation - Mesure"/>
        <s v="App Electrique"/>
        <s v="Cablage"/>
        <s v="Joint"/>
        <s v="Flexibles"/>
        <s v="Inox Serti Coréen"/>
        <s v="Cuve"/>
        <s v="Fixation"/>
        <s v="Laiton - Bronze"/>
        <s v="Transair"/>
        <s v="Inox Serti Italien"/>
        <s v="Raccord Acier à souder"/>
        <s v="Raccords"/>
        <s v="Vannes"/>
        <s v="Main d'Œuvre"/>
        <s v="Accessoires"/>
        <m u="1"/>
        <s v="Fonte" u="1"/>
        <s v="Machine" u="1"/>
        <s v="ABS" u="1"/>
        <s v="Divers" u="1"/>
        <s v="Accessoires - Eau" u="1"/>
        <s v="Régulation - Débit" u="1"/>
        <s v="Etanchéité - Peinture" u="1"/>
        <s v="Fonte - Galva" u="1"/>
        <s v="Mesure" u="1"/>
        <s v="Teseo" u="1"/>
        <s v="Accessoires - Air" u="1"/>
        <s v="Air Line" u="1"/>
        <s v="Autres" u="1"/>
      </sharedItems>
    </cacheField>
    <cacheField name="Famille" numFmtId="0">
      <sharedItems containsBlank="1" count="799">
        <s v="1/2 bobines 530A"/>
        <s v="Bobines 530"/>
        <s v="Bouchons F 300"/>
        <s v="Bouchons M 290"/>
        <s v="Coude ff 90"/>
        <s v="Coudes mf 92"/>
        <s v="Coudes mm "/>
        <s v="Courbe ff  2"/>
        <s v="Courbe ff 45° 41"/>
        <s v="Courbe mm 3"/>
        <s v="Courbes mf 1"/>
        <s v="Courbes mf 45° 40"/>
        <s v="Croix 180"/>
        <s v="Distributeurs Y 220"/>
        <s v="Mamelons  280"/>
        <s v="Mamelons réduits 245"/>
        <s v="Manchons  FF 270"/>
        <s v="Manchons réduits ff 240"/>
        <s v="Manchons réduits FM 246 (Tulippe)"/>
        <s v="Réductions  MF 241"/>
        <s v="Té 130"/>
        <s v="Té 131"/>
        <s v="Té 132"/>
        <s v="Té réduit 130 RG"/>
        <s v="Tube galva"/>
        <s v="Union MM 344"/>
        <s v="Unions ff 340"/>
        <s v="Unions ff coudés 96"/>
        <s v="Unions mf 341"/>
        <s v="Unions mf coudés 98"/>
        <s v="Bride Plate Taraudée"/>
        <s v="Bouts filetés inox 316L"/>
        <s v="Bouts filetés inox 316L long"/>
        <s v="Bride  plate tournante inox PN16"/>
        <s v="Brides COLLERETTE INOX  à souder"/>
        <s v="Brides PB TOURNANTE Camier PN10"/>
        <s v="Collets 304L"/>
        <s v="Coudes  inox 304L -3D"/>
        <s v="Fonds bombés 304L"/>
        <s v="Réduc concentrique Inox 304L"/>
        <s v="Té égaux inox 304L"/>
        <s v="Tube roulé soudé"/>
        <s v="Bouchon male  inox 316L "/>
        <s v="Clapets anti-retour inox FF"/>
        <s v="Coude Inox fileté 90 ff 316L"/>
        <s v="Coudes Inox fileté 92 mf 316L"/>
        <s v="Mamelons  Inox fileté 316 L / 280I"/>
        <s v="Mamelons réduits inox 316L MM 245"/>
        <s v="Manchons  Fileté inox  316L FF 270"/>
        <s v="Réductions   MF inox 316 L filété  241 "/>
        <s v="Té  FFF inox 316L"/>
        <s v="Unions ff  inox (joint plat) 316L"/>
        <s v="Unions mf  inox (joint plat) 316L"/>
        <s v="Aquasta"/>
        <s v="Disconnecteur"/>
        <s v="Doigt de gant"/>
        <s v="ecrou  pompe ( 3 pièces) "/>
        <s v="Filtre Tamis"/>
        <s v="Anti belier "/>
        <s v="Glycol"/>
        <s v="Kit vanne 3 voies "/>
        <s v="Clapet anti retour laiton F/F"/>
        <s v="Manchon Isolant - Armaflex"/>
        <s v="Manomètre "/>
        <s v="Pressostat Manque d'eau"/>
        <s v="Purgeur automatique "/>
        <s v="Raccord Hydraulique COUDE ORIENTABLE"/>
        <s v="Raccord Hydraulique FILETE "/>
        <s v="Raccord Hydraulique passe cloison"/>
        <s v="Raccord Hydraulique Raccord union"/>
        <s v="Raccord Hydraulique reduction(avec ecrou prisonié)"/>
        <s v="Raccord Hydraulique Té Embout lisse "/>
        <s v="Raccord Hydraulique Té Embout lisse renversé"/>
        <s v="Raccord Hydraulique union male"/>
        <s v="Soupape"/>
        <s v="Thermomètre"/>
        <s v="Vanne 3 voie thermomix"/>
        <s v="Vanne motorise"/>
        <s v="Compensateur / Dilatoflex"/>
        <s v="Vase d'expansion chauffage"/>
        <s v="Capteur"/>
        <s v="Débit mètre"/>
        <s v="Hygrometrie"/>
        <s v="recup calorie"/>
        <s v="Récup calorie"/>
        <s v="Regulation"/>
        <s v=" Regulation "/>
        <s v="Telesurveillance"/>
        <s v="BARRE DE CUIVRE"/>
        <s v="Barres de cuivre"/>
        <s v="Corps + contact"/>
        <s v="DISJONCTEUR MONOPHASE"/>
        <s v="DISJONCTEUR MODULAIRE TETRA "/>
        <s v="Disj. modulaire  IC60N tri. C Schneider"/>
        <m/>
        <s v="Disj. modulaire  IC60N tri. D Schneider"/>
        <s v="DISJONCTEUR MODULAIRE TRIPHASE COURBE D"/>
        <s v="DISJONCTEUR MODULAIRE TRIPHASE COURBE C"/>
        <s v="DISJONCTEUR MODULAIRE BIPOLAIRE "/>
        <s v="Disj. Modulaire IC60N  bipolaires schneider"/>
        <s v="Disj. modulaire  bipolaires C legrand"/>
        <s v="DISJONCTEUR ACTI9 NG125N"/>
        <s v="DISJONCTEUR COMPACT"/>
        <s v="RELAIS DE COMMANDE "/>
        <s v="REPARTITEUR DE PUISSANCE"/>
        <s v="KIT HORS-GEL"/>
        <s v="THERMOSTATS"/>
        <s v="INTERSECTIONNEUR TETRA"/>
        <s v="BOITE DE DERIVATION"/>
        <s v="CABLE ET ATTACHE CUIVRE NU"/>
        <s v="CABLES RIGIDES CUIVRE"/>
        <s v="CABLES SOUPLES CUIVRE"/>
        <s v="CABLES SOUPLE BLINDE"/>
        <s v="CHEMIN DE CABLES"/>
        <s v="COFFRETS ELECTRIQUE VIDE &amp; ACCESSOIRES"/>
        <s v="IRO &amp; ATTACHES"/>
        <s v="Cosses pour cable cuivre"/>
        <s v="BORNE WAGO &amp; DOMINOS"/>
        <s v="ECLAIRAGE &amp; INTERRUPTEUR"/>
        <s v="Embouts de cablage"/>
        <s v="GAINE SPIRALEE"/>
        <s v="PRESSE ETOUPE"/>
        <s v="PRISES"/>
        <s v="COLSONS &amp; COLRING"/>
        <s v="KLINGERIT"/>
        <s v="VITON"/>
        <s v="COMPENSATEUR INOX"/>
        <s v="Flexible annelé pour vide"/>
        <s v="FLEXIBLE INOX MM"/>
        <s v="FLEXIBLE CAOUTCHOUC MM"/>
        <s v="MAXAIR"/>
        <s v="POLYETHYLENE"/>
        <s v="RILSAN"/>
        <s v="TRICOCLAIR"/>
        <s v="BOUCHON"/>
        <s v="CHICANE 45°"/>
        <s v="COURBE 45°FF"/>
        <s v="Courbe 45° FF"/>
        <s v="COURBE 90°FF"/>
        <s v="Courbe 90° FF"/>
        <s v="COURBE 90°MF"/>
        <s v="Courbe 90° MF"/>
        <s v="COURBE MIXTE FF"/>
        <s v="COURBE MIXTE FM"/>
        <s v="COURBE 45° MF"/>
        <s v="Embout fileté M 3 pieces"/>
        <s v="MANCHON COURT"/>
        <s v="MANCHON LONG "/>
        <s v="Manchon réduit FF"/>
        <s v="Manchons à sertir F mixtes F"/>
        <s v="Manchons à sertir F mixtes M "/>
        <s v="Té "/>
        <s v="Té mixte F"/>
        <s v="Té réduit"/>
        <s v="Tube 304 L"/>
        <s v="Equipements de cuve"/>
        <s v="Reservoir Vertical - Air comprimé"/>
        <s v="Reservoir Vertical - Autres applications"/>
        <s v="Reservoir Horizontal - Air comprimé"/>
        <s v="Boulons"/>
        <s v="Capuchon de securité "/>
        <s v="Chainette"/>
        <s v="Chevilles"/>
        <s v="Colliers pour flexibles"/>
        <s v="Consoles"/>
        <s v="CRAPAUD  ou Crampon"/>
        <s v="Ecrous"/>
        <s v="Etriers longs"/>
        <s v="Pattes à vis"/>
        <s v="PI Erico"/>
        <s v="Pitons"/>
        <s v="Tige filetée"/>
        <s v="Tirefonds"/>
        <s v="Transair"/>
        <s v="Tube Coréen"/>
        <s v="Tube Italien"/>
        <s v="Rails mupro"/>
        <s v="Rivklés  - insert"/>
        <s v="Rondelles"/>
        <s v="Vis"/>
        <s v="Bobines 530 LAITON"/>
        <s v="Bouchons F 300 LAITON"/>
        <s v="Bouchons M 290 LAITON"/>
        <s v="Collecteur Laiton MF"/>
        <s v="Coude ff 90 LAITON"/>
        <s v="Coudes mf 92 LAITON"/>
        <s v="Mamelons  280 LAITON"/>
        <s v="Mamelons réduits 245 LAITON"/>
        <s v="Manchons réduits FF 240 Laiton"/>
        <s v="Manchons réduits FM 246 LAITON"/>
        <s v="Réductions  MF 241 LAITON"/>
        <s v="Té 130 Laiton "/>
        <s v="Unions ff 340 bronze"/>
        <s v="Unions mf 341 Bronze"/>
        <s v="Unions mf 341 Laiton"/>
        <s v="Unions mf coudés 98 LAITON"/>
        <s v="Accessoires"/>
        <s v="Bouchons"/>
        <s v="Brides"/>
        <s v="Coudes 45°FF"/>
        <s v="Coudes 90°FF"/>
        <s v="Coudes 45° Mixte M"/>
        <s v="Coudes 90° Mixte M"/>
        <s v="Etanchéité"/>
        <s v="Manchons FF"/>
        <s v="Manchons Mixte M"/>
        <s v="Manchons Réduit FM"/>
        <s v="Nourrices"/>
        <s v="Piquage"/>
        <s v="Prises murales"/>
        <s v="Té Egal"/>
        <s v="Tube"/>
        <s v="Tuyaux flexibles"/>
        <s v="Vannes"/>
        <s v="Bride"/>
        <s v="Col de cygne"/>
        <s v="Coude 30° FF inox serti 316L"/>
        <s v="Coude 30° MF inox serti 316L"/>
        <s v="Coude 60° FF inox serti 316L"/>
        <s v="Coude 60° MF inox serti 316L"/>
        <s v="Courbe45° MF"/>
        <s v="Joint huile FKM"/>
        <s v="Manchon Mixte"/>
        <s v="Manchon réduit MF"/>
        <s v="Tube 316 L"/>
        <s v="Bouts filetés"/>
        <s v="Brides à collerette à souder "/>
        <s v="Brides à collerette taraudées"/>
        <s v="Brides plates à souder"/>
        <s v="Coudes à souder 3D galva"/>
        <s v="Coudes à souder 3D noir"/>
        <s v="Courbes à souder 5D noir"/>
        <s v="Fonds à souder"/>
        <s v="Plateaux ( bride pleine)"/>
        <s v="Réductions concentriques"/>
        <s v="Tube T10 "/>
        <s v="Adaptateur raccord tournant Male"/>
        <s v="Bicones"/>
        <s v="Cannelés filetés"/>
        <s v="Colliers à griffe (Maxair)"/>
        <s v="Coupleur Rapide"/>
        <s v="PVC purges"/>
        <s v="Raccords pompier canelés"/>
        <s v="Raccords pompier F"/>
        <s v="Raccords pompier M"/>
        <s v="RI  coudés"/>
        <s v="RI  droits"/>
        <s v="RI  gaz femelle droit"/>
        <s v="RI  réduction"/>
        <s v="RI  té au centre"/>
        <s v="RI  té egal"/>
        <s v="RI double"/>
        <s v="Vanne 3V"/>
        <s v="Vanne Boisseau Sphérique"/>
        <s v="Vanne d'ajuttage ( pour manometre)"/>
        <s v="Vanne d'équillibrage"/>
        <s v="Vanne Papillon"/>
        <s v="Frais"/>
        <s v="Heures"/>
        <s v="Kilomètres"/>
        <s v="Bac de rétention"/>
        <s v="Beko"/>
        <s v="Ensemble Souflette"/>
        <s v="Embase"/>
        <s v="Equerres de fixation"/>
        <s v="Filtres"/>
        <s v="Filtre-regulateur ( tecnicair)"/>
        <s v="Filtre-regulateur-lubrificateur"/>
        <s v="Filtres cyclones"/>
        <s v="Lubrificateur"/>
        <s v="Pilotes pour regulateur"/>
        <s v="Pressostats"/>
        <s v="Purgeurs"/>
        <s v="Purgeur de ligne"/>
        <s v="Purgeur sequencé"/>
        <s v="Régulateurs"/>
        <s v="Regulateur ( technicair)"/>
        <s v="Regulateur gros debit"/>
        <s v="Sécheur"/>
        <s v="secheur"/>
        <s v="Vacuometre"/>
        <s v="Disjoncteur Acti9 NG125N-3P Courbe C 25KA /400V_32A" u="1"/>
        <s v="Manchons à souder" u="1"/>
        <s v="Carte modbus Airleader" u="1"/>
        <s v="Domino - Wago" u="1"/>
        <s v="Purgeur grande capacite 1/2&quot;" u="1"/>
        <s v="Robinets" u="1"/>
        <s v="Frais Hotel" u="1"/>
        <s v="Jonction Droite" u="1"/>
        <s v="Jupes" u="1"/>
        <s v="Coudes - Courbes" u="1"/>
        <s v="Tube Aluminium Vert" u="1"/>
        <s v="Inter-Sect.TRI modulaire Legrand" u="1"/>
        <s v="Adpatateur de reduction(avec ecrou prisonieé)" u="1"/>
        <s v="rondelle mince" u="1"/>
        <s v="Cosses" u="1"/>
        <s v="Manchon isolant à  recouvrement dia60 ep 13" u="1"/>
        <s v="Equi.cuve 500 l" u="1"/>
        <s v="Sonde débimètre" u="1"/>
        <s v="Chanvre" u="1"/>
        <s v="Contacteurs modulaires de puissance" u="1"/>
        <s v="Prises 16A mono Male" u="1"/>
        <s v="Equi.cuve 900 l" u="1"/>
        <s v="Barreau cuivre" u="1"/>
        <s v="Feragrip ( eclisses)" u="1"/>
        <s v="Chrochet de suspension complet" u="1"/>
        <s v="Disjoncteur Modulaire-1P+N Courbe C 6KA/10KA_16A" u="1"/>
        <s v="Té" u="1"/>
        <s v="Courbe 45" u="1"/>
        <s v="Disjoncteur Modulaire-1P+N Courbe C 6KA/10KA_32A" u="1"/>
        <s v="Vanne Papillon INOX  OT manchon &quot;EPDM&quot;" u="1"/>
        <s v="Disjoncteur Modulaire-1P+N Courbe C 6KA/10KA_40A" u="1"/>
        <s v="Borniers V J" u="1"/>
        <s v="Equipement reseau de récup calorie" u="1"/>
        <s v="Câbles" u="1"/>
        <s v="Adjonction d'eau" u="1"/>
        <s v="Embouts mixtes M" u="1"/>
        <s v="Embase Autocollante pour tube Iro Ø20" u="1"/>
        <s v="Colliers inox pour tube inoxpres" u="1"/>
        <s v="EMBOUT FILTE M 3 PIECES" u="1"/>
        <s v=" Programme Carte com Airleader" u="1"/>
        <s v="Colliers à tourillon" u="1"/>
        <s v="Declancheur" u="1"/>
        <s v="Thermostats/kit HORSGEL" u="1"/>
        <s v="Bloc de jonction Wago" u="1"/>
        <s v="Reductions simples" u="1"/>
        <s v="Sonde hygromètre" u="1"/>
        <s v="Tube 6 bars" u="1"/>
        <s v="Disjoncteur Modulaire 3P Courbe C_6KA/10KA _10A" u="1"/>
        <s v="Disjoncteur Modulaire 3P Courbe D_6KA/10KA _10A" u="1"/>
        <s v="Teseo" u="1"/>
        <s v="Disjoncteur Modulaire 3P Courbe C_6KA/10KA _20A" u="1"/>
        <s v="Disjoncteur Modulaire 3P Courbe D_6KA/10KA _20A" u="1"/>
        <s v="Vis griffe pour platine " u="1"/>
        <s v="Disjoncteur Modulaire-1P+N Courbe C 6KA/10KA_25A" u="1"/>
        <s v="MANCHON REDUIT FF" u="1"/>
        <s v="Disjoncteur Modulaire 3P Courbe C_6KA/10KA _40A" u="1"/>
        <s v="Disjoncteur Modulaire 3P Courbe D_6KA/10KA _40A" u="1"/>
        <s v="Boutons Télem," u="1"/>
        <s v="Rondelles large" u="1"/>
        <s v="Declancheur  NS630 MG" u="1"/>
        <s v="Enregistreur" u="1"/>
        <s v="Kit vanne 3 voies 24 Vac" u="1"/>
        <s v="Union" u="1"/>
        <s v="ecrou ( 3 pièces)pour circulateur sanitaire 1&quot;1/2x1&quot;" u="1"/>
        <s v=" Regulation Airleader " u="1"/>
        <s v="Coudes mixtes M à 45°" u="1"/>
        <s v="Colliers Blanc tube IRO " u="1"/>
        <s v="Vis pour collier - Ecrou rail" u="1"/>
        <s v="Coudes 90° taraudes Gaz" u="1"/>
        <s v="MANCHONS A SERTIR F MIXTES M" u="1"/>
        <s v="Téflon" u="1"/>
        <s v="Bouchons collés" u="1"/>
        <s v="Manchon isolant à  recouvrement dia60 ep 19" u="1"/>
        <s v="Vanne Boisseau Sphérique FF" u="1"/>
        <s v="Sectionneurs BACO tetra ( radiospare )" u="1"/>
        <s v="TE REDUIT" u="1"/>
        <s v="Colliers blancs" u="1"/>
        <s v="Disjoncteur Acti9 NG125N-3P Courbe C 25KA /400V_63A" u="1"/>
        <s v="Frein d'échappement laiton 1/8&quot; - Silencieux" u="1"/>
        <s v="Reservoir Pauchard" u="1"/>
        <s v="Bicones droits" u="1"/>
        <s v="Heures Tuyauteur" u="1"/>
        <s v="Collets coté joint torique" u="1"/>
        <s v="Vanne 3 pieces ff + platine ISO" u="1"/>
        <s v="Mini-brides (piquage)" u="1"/>
        <s v="Vanne Boisseau Sphérique MF" u="1"/>
        <s v="Kaeser" u="1"/>
        <s v="Réductions MF Gaz" u="1"/>
        <s v="Tés" u="1"/>
        <s v="Signalisation" u="1"/>
        <s v="CEJN 310 coupleur cannelé" u="1"/>
        <s v="CEJN 550 coupleur cannelé" u="1"/>
        <s v="Disjoncteur modulaire 30mA  uni+neutre" u="1"/>
        <s v="Flexible inox fileté  longueur en MM" u="1"/>
        <s v="Thermostat" u="1"/>
        <s v="Reductions doubles" u="1"/>
        <s v="Manchons réduits ff 240 bronze" u="1"/>
        <s v="Bride sortie Femelle" u="1"/>
        <s v="Embouts cannelés" u="1"/>
        <s v="Accesoires circulateurs" u="1"/>
        <s v="Kit vanne 3 voies 24 Vdc" u="1"/>
        <s v="Vis T.Héxagonale" u="1"/>
        <s v="Peignes" u="1"/>
        <s v="Joints pour collets" u="1"/>
        <s v="Cable regul. 2 sigma" u="1"/>
        <s v="Kit antige  250w 220v" u="1"/>
        <s v="Colliers serflex" u="1"/>
        <s v="Declancheur  NS160 MG" u="1"/>
        <s v="Platine soudure longitudinale" u="1"/>
        <s v="Disjoncteur modulaire 30mA  bipolaires" u="1"/>
        <s v="Inter-Sect.BIpôlaire. modulaire Legrand" u="1"/>
        <s v="Entonnoir pour soupape" u="1"/>
        <s v="Cables souples" u="1"/>
        <s v="Tiges filetées" u="1"/>
        <s v="Disjoncteur Modulaire 3P Courbe C_6KA/10KA _32A" u="1"/>
        <s v="Disjoncteur Modulaire 3P Courbe D_6KA/10KA _32A" u="1"/>
        <s v="Autres Formes" u="1"/>
        <s v="Joints klingerit" u="1"/>
        <s v="Courbe 90" u="1"/>
        <s v="Disjoncteur Modulaire-1P+N Courbe C 4,5KA/6KA_16A" u="1"/>
        <s v="Disjoncteur Modulaire-1P+N Courbe C 4,5KA/6KA_1A" u="1"/>
        <s v="Repartiteur tetra" u="1"/>
        <s v="Visserie" u="1"/>
        <s v=" " u="1"/>
        <s v="Bobines et 1/2 Bobines" u="1"/>
        <s v="Sonde energie" u="1"/>
        <s v="ROULEAU ARMAFLEX XG LONG 6MX1X13MM" u="1"/>
        <s v="Disjoncteur Modulaire 3P Courbe C_4,5KA/6KA _6A" u="1"/>
        <s v="Disjoncteur Modulaire 3P Courbe D_4,5KA/6KA _6A" u="1"/>
        <s v="Té réduits" u="1"/>
        <s v="Crosses" u="1"/>
        <s v="Manometre" u="1"/>
        <s v="Disjoncteur Modulaire-1P+N Courbe C 4,5KA/6KA_2A" u="1"/>
        <s v="Colmat" u="1"/>
        <s v="Disj. modulaire  bipolaires D legrand" u="1"/>
        <s v="Plastrons" u="1"/>
        <s v="Barette Taraudée M6" u="1"/>
        <s v="Disjoncteur Modulaire-1P+N Courbe C 4,5KA/6KA_25A" u="1"/>
        <s v="Clapet anti retour" u="1"/>
        <s v="Manchon isolant à  recouvrement dia80 ep 13" u="1"/>
        <s v="Protection transfo" u="1"/>
        <s v="Cables cuivre nu" u="1"/>
        <s v="Adaptateurs filetés M" u="1"/>
        <s v="Vis griffe pour rail " u="1"/>
        <s v="Té égaux" u="1"/>
        <s v="Appliques à visser 3 voies" u="1"/>
        <s v="Vase d'expansion 12L" u="1"/>
        <s v="contact" u="1"/>
        <s v="Decapant" u="1"/>
        <s v="Embouts mixtes F" u="1"/>
        <s v="Sonde T° air comprimé" u="1"/>
        <s v="Sonde T° air ambiant" u="1"/>
        <s v="Ecrous rectangulaires" u="1"/>
        <s v="ABS" u="1"/>
        <s v="Equi.Beko " u="1"/>
        <s v="Carte interface Airleader " u="1"/>
        <s v="Raccord Hydraulique UNION FILETE avec écrou et olive" u="1"/>
        <s v="Raccord Hydraulique UNION FILETE sans écrou et olive" u="1"/>
        <s v="Collets coté plat" u="1"/>
        <s v="Unions collés - taraudés" u="1"/>
        <s v="Attaches ( cavaliers)" u="1"/>
        <s v="Chemin de cable" u="1"/>
        <s v="Disjoncteur Modulaire-1P+N Courbe C 4,5KA/6KA_4A" u="1"/>
        <s v="Embases autocollantes" u="1"/>
        <s v="Disjoncteur Modulaire-1P+N Courbe C 4,5KA/6KA_10A" u="1"/>
        <s v="Anit belier " u="1"/>
        <s v="union male" u="1"/>
        <s v="accesoires  beko" u="1"/>
        <s v="Disj.  NS630 MG" u="1"/>
        <s v="Declancheur  NS250 MG" u="1"/>
        <s v="Brides acier galva," u="1"/>
        <s v="Colliers isophonique" u="1"/>
        <s v="Bouchons filetés" u="1"/>
        <s v="Tube 10 bars" u="1"/>
        <s v="Prise telephone" u="1"/>
        <s v="Unions collés" u="1"/>
        <s v="Disj. modulaire bipol. C 3kA MG" u="1"/>
        <s v="Embases à colsons" u="1"/>
        <s v="Disjoncteur Modulaire-1P+N Courbe C 4,5KA/6KA_32A" u="1"/>
        <s v="Equipement Cuve 2000L Pauchard" u="1"/>
        <s v="Disjoncteur Modulaire 3P Courbe C_4,5KA/6KA _10A" u="1"/>
        <s v="Disjoncteur Modulaire 3P Courbe D_4,5KA/6KA _10A" u="1"/>
        <s v="Réductions" u="1"/>
        <s v="Disjoncteur Modulaire-1P+N Courbe C 4,5KA/6KA_20A" u="1"/>
        <s v="Raccords pour polyethylene" u="1"/>
        <s v="Frais Repas" u="1"/>
        <s v="Colliers isophonique pour tube inoxpress" u="1"/>
        <s v="Presse étoupe PE" u="1"/>
        <s v="Prises 30 A  tetra plastique" u="1"/>
        <s v="Manchons réduits MF" u="1"/>
        <s v="CEJN 310 embout  filetage M" u="1"/>
        <s v="CEJN 550 embout  filetage M" u="1"/>
        <s v="Tube IRO" u="1"/>
        <s v="Mini-brides + coupleurs" u="1"/>
        <s v="Coffrets L*H*P" u="1"/>
        <s v="Colliers à griffe" u="1"/>
        <s v="Disjoncteur Acti9 NG125N-3P Courbe C 25KA /400V_25A" u="1"/>
        <s v="Isolateur de boucle" u="1"/>
        <s v="Bornes pour peigne" u="1"/>
        <s v="Manchon isolant à  recouvrement dia80 ep 19" u="1"/>
        <s v="Reservoirs" u="1"/>
        <s v="Manchons mixte F F" u="1"/>
        <s v="Compteur horaire rond" u="1"/>
        <s v="Vase d'expansion 8L" u="1"/>
        <s v="Ecran Encastrable 10&quot;" u="1"/>
        <s v="Manchon" u="1"/>
        <s v="Disjoncteur Modulaire-1P+N Courbe C 4,5KA/6KA_6A" u="1"/>
        <s v="Vase d'expansion 18L" u="1"/>
        <s v="Coudes à 90°" u="1"/>
        <s v="Chemin de cable tôle" u="1"/>
        <s v="Ruban adhésif pvc couleur 33mx50mm" u="1"/>
        <s v="Colliers " u="1"/>
        <s v="Vanne d'equilibrage Danfoss femelle femelle" u="1"/>
        <s v="Fixation diverse" u="1"/>
        <s v="Heures Technicien" u="1"/>
        <s v="Disjoncteur Acti9 NG125N-3P Courbe C 25KA /400V_125A" u="1"/>
        <s v="Disjoncteur Acti9 NG125N-3P Courbe D 25KA /400V_125A" u="1"/>
        <s v="Colle PVC" u="1"/>
        <s v="Bouchons taraudés" u="1"/>
        <s v="Joint Raccords Raccorderie Mettaliche" u="1"/>
        <s v="Disj.  NS100 MG" u="1"/>
        <s v="Chevilles mécaniques" u="1"/>
        <s v="Barreau de liaison 12 blocs" u="1"/>
        <s v="Disj.  NS250 MG" u="1"/>
        <s v="Colliers" u="1"/>
        <s v="Disjoncteur Modulaire 3P Courbe C_6KA/10KA _25A" u="1"/>
        <s v="Disjoncteur Modulaire 3P Courbe D_6KA/10KA _25A" u="1"/>
        <s v="Appliques à coller" u="1"/>
        <s v="Kit vanne de modif, compresseur 24 Vac" u="1"/>
        <s v="Kit vanne de modif, compresseur 24 Vdc" u="1"/>
        <s v="Brides PB TOURNANTE PN10" u="1"/>
        <s v="Cables souples blindés" u="1"/>
        <s v="Disjoncteur Modulaire-1P+N Courbe C 4,5KA/6KA_40A" u="1"/>
        <s v="cbale regulation RS485/4-20MA" u="1"/>
        <s v="Disjoncteur Modulaire 3P Courbe C_4,5KA/6KA _20A" u="1"/>
        <s v="Disjoncteur Modulaire 3P Courbe D_4,5KA/6KA _20A" u="1"/>
        <s v="Coupleur Rapide ISO 6150 B 5,3mm Sécurisé - 950l/min - Zingué" u="1"/>
        <s v="Manchon isolant à  recouvrement dia16 ep 13" u="1"/>
        <s v="Capteur de pression 4-20mA" u="1"/>
        <s v="Joint torique" u="1"/>
        <s v="Colliers à griffes" u="1"/>
        <s v="Disj.  NS160 MG" u="1"/>
        <s v="Colliers à oreilles" u="1"/>
        <s v="Supports pour robinet" u="1"/>
        <s v="Unions  mixte F M" u="1"/>
        <s v="Robinet BS" u="1"/>
        <s v="Bride fixe à sertir inox 316L PN16" u="1"/>
        <s v="Inter-Sect.TETRA interpack MG" u="1"/>
        <s v="Transfos " u="1"/>
        <s v="Canelés tournant avec jupe à sertir" u="1"/>
        <s v="Collets" u="1"/>
        <s v="Disconecteur non controlable 3/4&quot;" u="1"/>
        <s v="Fixation murale" u="1"/>
        <s v="Disjoncteur Modulaire-1P+N Courbe C 6KA/10KA_1A" u="1"/>
        <s v="Démareur Moteur" u="1"/>
        <s v="Declancheur  NS100 MG" u="1"/>
        <s v="Blocs VIGI MG" u="1"/>
        <s v="Bouchons PE" u="1"/>
        <s v="Disjoncteur Modulaire 3P Courbe C_6KA/10KA _16A" u="1"/>
        <s v="Disjoncteur Modulaire 3P Courbe D_6KA/10KA _16A" u="1"/>
        <s v="FLEXIBLE CAOUTCHOUC" u="1"/>
        <s v="Ecrous PE" u="1"/>
        <s v="Coupleur Rapide ISO 6150 B 5,3mm - 950l/min - Zingué" u="1"/>
        <s v="Coupleur Rapide ISO 6510 B 11mm - 3750l/min - Zingué" u="1"/>
        <s v="Vanne Papillon INOX  OT manchon &quot;EPDM&quot; - Eau" u="1"/>
        <s v="Fixations" u="1"/>
        <s v="Consoles  38/40" u="1"/>
        <s v="Vanne Papillon OT manchon &quot;NITRILE&quot;" u="1"/>
        <s v="Kit vanne de modif, compresseur 230 Vac" u="1"/>
        <s v="Obturateurs" u="1"/>
        <s v="Anti-coup de fouet" u="1"/>
        <s v="Coudes à 45°" u="1"/>
        <s v="Disjoncteur Acti9 NG125N-3P Courbe C 25KA /400V_16A" u="1"/>
        <s v="Traitement des condensats" u="1"/>
        <s v="Airleader" u="1"/>
        <s v="Consoles  38/42" u="1"/>
        <s v="Bouchons " u="1"/>
        <s v="Consoles  38/43" u="1"/>
        <s v="Vis pour cavaliers" u="1"/>
        <s v="Consoles  28/30" u="1"/>
        <s v="Vanne d'épreuve" u="1"/>
        <s v="Manchon isolant à  recouvrement dia16 ep 19" u="1"/>
        <s v="Nacelle" u="1"/>
        <s v="Consoles  27/18" u="1"/>
        <s v="Consoles  38/44" u="1"/>
        <s v="Equi.cuve 1000 l à 2000 l" u="1"/>
        <s v="Kit antige  500w 400v" u="1"/>
        <s v="Tempos téléméca. 24-240 v" u="1"/>
        <s v="Attache Colliers Blanc tube IRO " u="1"/>
        <s v="Consoles  38/45" u="1"/>
        <s v="Disjoncteur Modulaire-1P+N Courbe C 6KA/10KA_2A" u="1"/>
        <s v="Transfo / alimention" u="1"/>
        <s v="Disjoncteurs" u="1"/>
        <s v="Vistop  TRI" u="1"/>
        <s v="Disjoncteur Modulaire 3P Courbe C_4,5KA/6KA _16A" u="1"/>
        <s v="Disjoncteur Modulaire 3P Courbe D_4,5KA/6KA _16A" u="1"/>
        <s v="Tube  Aluminium Bleu" u="1"/>
        <s v="Manchon isolant à  recouvrement dia22 ep 13" u="1"/>
        <s v="Réductions simples" u="1"/>
        <s v="Disjoncteur Modulaire 3P Courbe C_4,5KA/6KA _32A" u="1"/>
        <s v="Disjoncteur Modulaire 3P Courbe D_4,5KA/6KA _32A" u="1"/>
        <s v="Manchon isolant à  recouvrement dia28 ep 13" u="1"/>
        <s v="Disjoncteur Modulaire 3P Courbe C_4,5KA/6KA _40A" u="1"/>
        <s v="Disjoncteur Modulaire 3P Courbe D_4,5KA/6KA _40A" u="1"/>
        <s v="Kit vanne 3 voies 230 Vac" u="1"/>
        <s v="Brides embouties PB TOURNANTE Camier PN10" u="1"/>
        <s v="Dominos" u="1"/>
        <s v="Régulair Millenium" u="1"/>
        <s v="Coudes" u="1"/>
        <s v="Brides pour collets" u="1"/>
        <s v="Vanne Boisseau Spherique FF inox cadenassable" u="1"/>
        <s v="Vanne Boisseau Spherique MF inox cadenassable" u="1"/>
        <s v="CEJN 310 coupleur taraudage  F" u="1"/>
        <s v="Inter-Sect.TETRA modulaire Legrand" u="1"/>
        <s v="Boites de deriv. plexo" u="1"/>
        <s v="Raccords de prise en charge" u="1"/>
        <s v="Fixation rapide " u="1"/>
        <s v="Disjoncteur Modulaire 3P Courbe C_4,5KA/6KA _25A" u="1"/>
        <s v="Disjoncteur Modulaire 3P Courbe D_4,5KA/6KA _25A" u="1"/>
        <s v="Unions  mixte F F" u="1"/>
        <s v="Boite pour applique" u="1"/>
        <s v="Vanne Papillon - Air" u="1"/>
        <s v="Té reduit" u="1"/>
        <s v="Vase d'expansion25L" u="1"/>
        <s v="Goulotte plastique       l.x h." u="1"/>
        <s v="Réduction concentrique" u="1"/>
        <s v="Ecrous réduits" u="1"/>
        <s v="Ruban adhésif isolant" u="1"/>
        <s v="Disjoncteur Compact NSX400F + déclencheur micrologic2,3- 400A" u="1"/>
        <s v="Interupteur en applique" u="1"/>
        <s v="CRAPAUD ou Crampon" u="1"/>
        <s v="CEJN 310 coupleur filetage M anti cdf" u="1"/>
        <s v="RegulationCMC" u="1"/>
        <s v="Bobines" u="1"/>
        <s v="Manchons mixtes M" u="1"/>
        <s v="Repartiteur modulaire TETRA legrand 400A" u="1"/>
        <s v="Sonde pression" u="1"/>
        <s v="Inter-Sect.TETRA " u="1"/>
        <s v="ROULEAU ARMAFLEX XG LONG 6MX1X19MM" u="1"/>
        <s v="Regulation CMC" u="1"/>
        <s v="Equi.cuve 3000 l" u="1"/>
        <s v="Disjoncteur Compact NSX250F + déclencheur magnéto-termique 250A" u="1"/>
        <s v="Equi.cuve 4000 l" u="1"/>
        <s v="Brides - Collet" u="1"/>
        <s v="Tes reduits" u="1"/>
        <s v="Equi.cuve 5000 l" u="1"/>
        <s v="Voyants Télém. (complets )" u="1"/>
        <s v="Réductions doubles" u="1"/>
        <s v="Vanne Papillon OT Metal /metal" u="1"/>
        <s v="Manchon isolant à  recouvrement dia28 ep 19" u="1"/>
        <s v="Manchons " u="1"/>
        <s v="Repartiteur modulaires BI legrand" u="1"/>
        <s v="TE EGAUX" u="1"/>
        <s v="Rail  oméga" u="1"/>
        <s v="Courbes à souder 5D galva" u="1"/>
        <s v="Mamelons  Inox fileté 316 L 280" u="1"/>
        <s v="Vanne Papillon OT manchon &quot;NITRILE / NBR&quot; - Air" u="1"/>
        <s v="Cloisons" u="1"/>
        <s v="Aquasta en aplique reglable" u="1"/>
        <s v="Air Line" u="1"/>
        <s v="Coudes mixtes M à 90°" u="1"/>
        <s v="Compteur d'eau" u="1"/>
        <s v="Carte interface" u="1"/>
        <s v="Disjoncteur Modulaire-1P+N Courbe C 6KA/10KA_4A" u="1"/>
        <s v="Manchons" u="1"/>
        <s v="Disj.  NS80 MG" u="1"/>
        <s v="Manchon isolant à  recouvrement dia34 ep 13" u="1"/>
        <s v="Chevilles molly + vis" u="1"/>
        <s v="Coudes 45°" u="1"/>
        <s v="Raccords Instantanés" u="1"/>
        <s v="Capteur de pression 0-10v" u="1"/>
        <s v="FLEXIBLE INOX " u="1"/>
        <s v="Module de consignation" u="1"/>
        <s v="Repartiteur modulaire TETRA legrand" u="1"/>
        <s v="Colliers de prise en charge" u="1"/>
        <s v="Cosses coudées" u="1"/>
        <s v="fiche telephone" u="1"/>
        <s v="Courbes 45°" u="1"/>
        <s v="Ruban adhésif  non isolant" u="1"/>
        <s v="Attaches  Erico" u="1"/>
        <s v="Cosses BI metal" u="1"/>
        <s v="Mano pour circuit de chauffage diam 40 - 4 bar" u="1"/>
        <s v="Cablofil (unité m / multiple de 3)" u="1"/>
        <s v="Barre alu Naturel" u="1"/>
        <s v="Réduction" u="1"/>
        <s v="couvercle" u="1"/>
        <s v="Heures Sup" u="1"/>
        <s v="ecrou ( 3 pièces)pour circulateur chauffage2&quot;x1&quot;1/4" u="1"/>
        <s v="Unions mm 344" u="1"/>
        <s v="Raccords pompier" u="1"/>
        <s v="Manchons filetes Gaz" u="1"/>
        <s v="Disjoncteur Acti9 NG125N-3P Courbe C 25KA /400V_10A" u="1"/>
        <s v="Soupape vase d'expansion 3 bar 1/2 &quot;l" u="1"/>
        <s v="Réservoir - Cuve" u="1"/>
        <s v="Disjoncteur Acti9 NG125N-3P Courbe C 25KA /400V_20A" u="1"/>
        <s v="Bicones coudés" u="1"/>
        <s v="Relais " u="1"/>
        <s v="Tubétanche" u="1"/>
        <s v="Manchons  FF 270 bronze" u="1"/>
        <s v="Joints de dilatation" u="1"/>
        <s v="Colring" u="1"/>
        <s v="Mini contacteurs  de puissance Telé" u="1"/>
        <s v="bride tournante emboutie PN16" u="1"/>
        <s v="Disjoncteur Acti9 NG125N-3P Courbe C 25KA /400V_40A" u="1"/>
        <s v="Butées" u="1"/>
        <s v="Heures Etude" u="1"/>
        <s v="Disjoncteur Acti9 NG125N-3P Courbe C 25KA /400V_50A" u="1"/>
        <s v="Prises 20 A mono" u="1"/>
        <s v="Bobines - 1/2 Bobines" u="1"/>
        <s v="Capteur de pression vide" u="1"/>
        <s v="Colliers serflex à tourillon" u="1"/>
        <s v="Kit antigel  500w 400v" u="1"/>
        <s v="Purgeur automatique 3/8" u="1"/>
        <s v="Disjoncteur Acti9 NG125N-3P Courbe C 25KA /400V_80A" u="1"/>
        <s v="Disjoncteur Acti9 NG125N-3P Courbe D 25KA /400V_80A" u="1"/>
        <s v="COSSES CUIVRE" u="1"/>
        <s v="Manchon isolant à  recouvrement dia34 ep 19" u="1"/>
        <s v="Peinture" u="1"/>
        <s v="Unions collés - filetés" u="1"/>
        <s v="Kit HorsGel Bekomat" u="1"/>
        <s v="Attache Caddy" u="1"/>
        <s v="Centrale de mesure" u="1"/>
        <s v="Vis T. Cylindrique" u="1"/>
        <s v="Mamelons" u="1"/>
        <s v="Ruban adhésif ISOLANT 50x15mx3MM" u="1"/>
        <s v="Disjoncteur Modulaire-1P+N Courbe C 6KA/10KA_6A" u="1"/>
        <s v="Cheville Ø8 pour tube IRO" u="1"/>
        <s v="Flexibles Caoutchouc fileté  Longueur MM" u="1"/>
        <s v="Vis aglo" u="1"/>
        <s v="Consol pour vase d'expansion pré equipé" u="1"/>
        <s v="Manchon isolant à  recouvrement dia42 ep 13" u="1"/>
        <s v="Manchon isolant à  recouvrement dia48 ep 13" u="1"/>
        <s v="Tube Aluminium Gris" u="1"/>
        <s v="Compensateur / Dolatoflex à Bride Zingué" u="1"/>
        <s v="equipement capteur de pression" u="1"/>
        <s v="Chevilles mecanique" u="1"/>
        <s v="équipement enercom" u="1"/>
        <s v="bride tournante emboutie PN11" u="1"/>
        <s v="Joint" u="1"/>
        <s v="Etiquettes" u="1"/>
        <s v="CEJN 310 coupleur taraudage  F anti cdf" u="1"/>
        <s v="Kit HorsGel Compresseur 250W" u="1"/>
        <s v="Chevilles chimiques" u="1"/>
        <s v="Vistop à Plastron TETRA" u="1"/>
        <s v="Gaine spiralée (radiospare)" u="1"/>
        <s v="Disjoncteur Acti9 NG125N-3P Courbe C 25KA /400V_100A" u="1"/>
        <s v="Disjoncteur Acti9 NG125N-3P Courbe D 25KA /400V_100A" u="1"/>
        <s v="Vase d'expansion 200L" u="1"/>
        <s v="bride tournante emboutie PN10" u="1"/>
        <s v="Coudes 90°" u="1"/>
        <s v="CEJN 310 embout taraudage  F" u="1"/>
        <s v="Brides pleines" u="1"/>
        <s v="Eclairage" u="1"/>
        <s v="Vis T.Fraisée" u="1"/>
        <s v="CEJN 310 embout cannelé" u="1"/>
        <s v="Attaches pour cablofil  ( 1x m)" u="1"/>
        <s v="Appliques murales FF" u="1"/>
        <s v="FLEXIBLE  ANNELE&quot;VIDE&quot;" u="1"/>
        <s v="Borniers viking" u="1"/>
        <s v="Soupape vase d'expansion 4 bar 3/4 &quot;" u="1"/>
        <s v="TE MIXTE F" u="1"/>
        <s v="Prise Male pour cable 380V 3P+T" u="1"/>
        <s v="Prises 16 A mono" u="1"/>
        <s v="Kit antigel  250w 220v" u="1"/>
        <s v="Vannes BS" u="1"/>
        <s v="Disjoncteur Modulaire-1P+N Courbe C 6KA/10KA_10A" u="1"/>
        <s v="Disjoncteur Compact NSX 100F + déclencheur micrologic2,2 100A" u="1"/>
        <s v="Manchon isolant à  recouvrement dia42 ep 19" u="1"/>
        <s v="Disjoncteur Compact NSX 160F + déclencheur micrologic 2,2 160A" u="1"/>
        <s v="Colsons" u="1"/>
        <s v="Manchon isolant à  recouvrement dia48 ep 19" u="1"/>
        <s v="Debimetre ETA" u="1"/>
        <s v="CEJN 310 coupleur filetage M " u="1"/>
        <s v="CEJN 550 coupleur filetage M " u="1"/>
        <s v="Equi.cuve 100 à 300 l" u="1"/>
        <s v="Manchons - Prolongateur" u="1"/>
        <s v="Disj.  tri.modulaire C 3kA MG" u="1"/>
        <s v="Ancrage" u="1"/>
        <s v="cbale regulation RS485 + alim" u="1"/>
        <s v="Relais + coupleur Y" u="1"/>
        <s v="MANCHONS A SERTIR F MIXTES F" u="1"/>
        <s v="Manchons à sertir M mixtes F" u="1"/>
        <s v="Tes egaux" u="1"/>
        <s v="Fournitures diverses  + ISOLATION" u="1"/>
        <s v="Manchon isolant à  recouvrement dia54 ep 13" u="1"/>
        <s v="Clapets anti-retour" u="1"/>
        <s v="Platines" u="1"/>
        <s v="Unions" u="1"/>
        <s v="Disjoncteur Modulaire 3P Courbe C_6KA/10KA _6A" u="1"/>
        <s v="Disjoncteur Modulaire 3P Courbe D_6KA/10KA _6A" u="1"/>
        <s v="Raccord Hydraulique" u="1"/>
        <s v="Boitier en saillie +Prise Femelle 380 V 3P+T 32A pour boitier Hypra" u="1"/>
        <s v="Purgeur automatique 1/2&quot;" u="1"/>
        <s v="Electrovanne" u="1"/>
        <s v="Courbes 90°" u="1"/>
        <s v="Equi.cuve 770 l" u="1"/>
        <s v="Disj. modulaire  tetra. D merlin" u="1"/>
        <s v="Vistop à Plastron TRI" u="1"/>
        <s v="Disjoncteur Modulaire-1P+N Courbe C 6KA/10KA_20A" u="1"/>
        <s v="Bicones doubles" u="1"/>
        <s v="Manomètre 0 -4 bar dia 80 - 1/2&quot; " u="1"/>
        <s v="Brides de dérivation (piquage)" u="1"/>
        <s v="Disj. modulaire  ph.+ N. C legrand" u="1"/>
        <s v="Vase d'expansion50L" u="1"/>
        <s v="Platines L*H" u="1"/>
        <s v="Inter sectionneur" u="1"/>
        <s v="CEJN 550 embout canelé" u="1"/>
        <s v="Joint Viton" u="1"/>
        <s v="Milbulles" u="1"/>
        <s v="Fonds bombés" u="1"/>
        <s v="Rails - Console MUPRO" u="1"/>
        <s v="Manchon isolant à  recouvrement dia20ep 19" u="1"/>
        <s v="FRL complets" u="1"/>
        <s v="Disj. modulaire  tri. D legrand" u="1"/>
        <s v="Vanne Papillon - Eau" u="1"/>
        <s v="Colle" u="1"/>
        <s v="Kit vanne 3 voies" u="1"/>
        <s v="Cable Kaeser" u="1"/>
      </sharedItems>
    </cacheField>
    <cacheField name="Sous-Famille" numFmtId="0">
      <sharedItems containsBlank="1"/>
    </cacheField>
    <cacheField name="Concat. Gam Fam Sous-Fam" numFmtId="0">
      <sharedItems/>
    </cacheField>
    <cacheField name="Désignation" numFmtId="0">
      <sharedItems containsBlank="1" containsMixedTypes="1" containsNumber="1" minValue="0.25" maxValue="200"/>
    </cacheField>
    <cacheField name="Ordre de classement inter-sous-famille" numFmtId="0">
      <sharedItems containsMixedTypes="1" containsNumber="1" containsInteger="1" minValue="0" maxValue="106"/>
    </cacheField>
    <cacheField name="Ref Air Flux" numFmtId="0">
      <sharedItems containsBlank="1" containsMixedTypes="1" containsNumber="1" containsInteger="1" minValue="2416" maxValue="6652252106"/>
    </cacheField>
    <cacheField name="Fournisseur_x000a_Fabricant" numFmtId="0">
      <sharedItems containsBlank="1"/>
    </cacheField>
    <cacheField name="Ref Fournisseur" numFmtId="0">
      <sharedItems containsBlank="1" containsMixedTypes="1" containsNumber="1" containsInteger="1" minValue="16117" maxValue="1840540021"/>
    </cacheField>
    <cacheField name="Prix de Revient" numFmtId="168">
      <sharedItems containsSemiMixedTypes="0" containsString="0" containsNumber="1" containsInteger="1" minValue="0" maxValue="0"/>
    </cacheField>
    <cacheField name="Poste 1" numFmtId="0">
      <sharedItems containsNonDate="0" containsString="0" containsBlank="1"/>
    </cacheField>
    <cacheField name="Poste 2" numFmtId="0">
      <sharedItems containsNonDate="0" containsString="0" containsBlank="1"/>
    </cacheField>
    <cacheField name="Poste 3" numFmtId="0">
      <sharedItems containsNonDate="0" containsString="0" containsBlank="1"/>
    </cacheField>
    <cacheField name="Poste 4" numFmtId="0">
      <sharedItems containsNonDate="0" containsString="0" containsBlank="1"/>
    </cacheField>
    <cacheField name="Poste 5" numFmtId="0">
      <sharedItems containsNonDate="0" containsString="0" containsBlank="1"/>
    </cacheField>
    <cacheField name="Poste 6" numFmtId="0">
      <sharedItems containsNonDate="0" containsString="0" containsBlank="1"/>
    </cacheField>
    <cacheField name="Quantité Totale" numFmtId="0">
      <sharedItems containsSemiMixedTypes="0" containsString="0" containsNumber="1" containsInteger="1" minValue="0" maxValue="0"/>
    </cacheField>
    <cacheField name="Conditionnement" numFmtId="0">
      <sharedItems containsString="0" containsBlank="1" containsNumber="1" containsInteger="1" minValue="2" maxValue="50"/>
    </cacheField>
    <cacheField name="Quantité Totale Conditionnée" numFmtId="0">
      <sharedItems containsString="0" containsBlank="1" containsNumber="1" containsInteger="1" minValue="0" maxValue="0"/>
    </cacheField>
    <cacheField name="tps de soudure en h / pièce" numFmtId="0">
      <sharedItems containsString="0" containsBlank="1" containsNumber="1" minValue="0.12" maxValue="6"/>
    </cacheField>
    <cacheField name="Commentaire" numFmtId="0">
      <sharedItems containsBlank="1"/>
    </cacheField>
    <cacheField name="Prix Poste 1" numFmtId="168">
      <sharedItems containsSemiMixedTypes="0" containsString="0" containsNumber="1" containsInteger="1" minValue="0" maxValue="0"/>
    </cacheField>
    <cacheField name="Prix Poste 2" numFmtId="168">
      <sharedItems containsSemiMixedTypes="0" containsString="0" containsNumber="1" containsInteger="1" minValue="0" maxValue="0"/>
    </cacheField>
    <cacheField name="Prix Poste 3" numFmtId="168">
      <sharedItems containsSemiMixedTypes="0" containsString="0" containsNumber="1" containsInteger="1" minValue="0" maxValue="0"/>
    </cacheField>
    <cacheField name="Prix Poste 4" numFmtId="168">
      <sharedItems containsSemiMixedTypes="0" containsString="0" containsNumber="1" containsInteger="1" minValue="0" maxValue="0"/>
    </cacheField>
    <cacheField name="Prix Poste 5" numFmtId="168">
      <sharedItems containsSemiMixedTypes="0" containsString="0" containsNumber="1" containsInteger="1" minValue="0" maxValue="0"/>
    </cacheField>
    <cacheField name="Prix Poste 6" numFmtId="168">
      <sharedItems containsSemiMixedTypes="0" containsString="0" containsNumber="1" containsInteger="1" minValue="0" maxValue="0"/>
    </cacheField>
    <cacheField name="Prix Total" numFmtId="168">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8">
  <r>
    <x v="0"/>
    <x v="0"/>
    <m/>
    <s v="Galva1/2 bobines 530A"/>
    <s v="1&quot;"/>
    <n v="1"/>
    <s v="530A1"/>
    <m/>
    <m/>
    <n v="0"/>
    <m/>
    <m/>
    <m/>
    <m/>
    <m/>
    <m/>
    <n v="0"/>
    <m/>
    <m/>
    <m/>
    <m/>
    <n v="0"/>
    <n v="0"/>
    <n v="0"/>
    <n v="0"/>
    <n v="0"/>
    <n v="0"/>
    <n v="0"/>
  </r>
  <r>
    <x v="0"/>
    <x v="0"/>
    <m/>
    <s v="Galva1/2 bobines 530A"/>
    <s v="1&quot;1/2"/>
    <n v="2"/>
    <s v="530A112"/>
    <m/>
    <m/>
    <n v="0"/>
    <m/>
    <m/>
    <m/>
    <m/>
    <m/>
    <m/>
    <n v="0"/>
    <m/>
    <m/>
    <m/>
    <m/>
    <n v="0"/>
    <n v="0"/>
    <n v="0"/>
    <n v="0"/>
    <n v="0"/>
    <n v="0"/>
    <n v="0"/>
  </r>
  <r>
    <x v="0"/>
    <x v="0"/>
    <m/>
    <s v="Galva1/2 bobines 530A"/>
    <s v=" 1/2"/>
    <n v="3"/>
    <s v="530A12"/>
    <m/>
    <m/>
    <n v="0"/>
    <m/>
    <m/>
    <m/>
    <m/>
    <m/>
    <m/>
    <n v="0"/>
    <m/>
    <m/>
    <m/>
    <m/>
    <n v="0"/>
    <n v="0"/>
    <n v="0"/>
    <n v="0"/>
    <n v="0"/>
    <n v="0"/>
    <n v="0"/>
  </r>
  <r>
    <x v="0"/>
    <x v="0"/>
    <m/>
    <s v="Galva1/2 bobines 530A"/>
    <s v="2&quot;"/>
    <n v="4"/>
    <s v="530A2"/>
    <m/>
    <m/>
    <n v="0"/>
    <m/>
    <m/>
    <m/>
    <m/>
    <m/>
    <m/>
    <n v="0"/>
    <m/>
    <m/>
    <m/>
    <m/>
    <n v="0"/>
    <n v="0"/>
    <n v="0"/>
    <n v="0"/>
    <n v="0"/>
    <n v="0"/>
    <n v="0"/>
  </r>
  <r>
    <x v="0"/>
    <x v="0"/>
    <m/>
    <s v="Galva1/2 bobines 530A"/>
    <s v="2&quot;1/2"/>
    <n v="5"/>
    <s v="530A212"/>
    <m/>
    <m/>
    <n v="0"/>
    <m/>
    <m/>
    <m/>
    <m/>
    <m/>
    <m/>
    <n v="0"/>
    <m/>
    <m/>
    <m/>
    <m/>
    <n v="0"/>
    <n v="0"/>
    <n v="0"/>
    <n v="0"/>
    <n v="0"/>
    <n v="0"/>
    <n v="0"/>
  </r>
  <r>
    <x v="0"/>
    <x v="0"/>
    <m/>
    <s v="Galva1/2 bobines 530A"/>
    <s v=" 3&quot;"/>
    <n v="6"/>
    <s v="530A3"/>
    <m/>
    <m/>
    <n v="0"/>
    <m/>
    <m/>
    <m/>
    <m/>
    <m/>
    <m/>
    <n v="0"/>
    <m/>
    <m/>
    <m/>
    <m/>
    <n v="0"/>
    <n v="0"/>
    <n v="0"/>
    <n v="0"/>
    <n v="0"/>
    <n v="0"/>
    <n v="0"/>
  </r>
  <r>
    <x v="0"/>
    <x v="0"/>
    <m/>
    <s v="Galva1/2 bobines 530A"/>
    <s v="4&quot;"/>
    <n v="7"/>
    <s v="530AN4"/>
    <m/>
    <m/>
    <n v="0"/>
    <m/>
    <m/>
    <m/>
    <m/>
    <m/>
    <m/>
    <n v="0"/>
    <m/>
    <m/>
    <m/>
    <m/>
    <n v="0"/>
    <n v="0"/>
    <n v="0"/>
    <n v="0"/>
    <n v="0"/>
    <n v="0"/>
    <n v="0"/>
  </r>
  <r>
    <x v="0"/>
    <x v="0"/>
    <m/>
    <s v="Galva1/2 bobines 530A"/>
    <m/>
    <n v="0"/>
    <m/>
    <m/>
    <m/>
    <n v="0"/>
    <m/>
    <m/>
    <m/>
    <m/>
    <m/>
    <m/>
    <n v="0"/>
    <m/>
    <m/>
    <m/>
    <m/>
    <n v="0"/>
    <n v="0"/>
    <n v="0"/>
    <n v="0"/>
    <n v="0"/>
    <n v="0"/>
    <n v="0"/>
  </r>
  <r>
    <x v="0"/>
    <x v="1"/>
    <s v="1/2&quot;"/>
    <s v="GalvaBobines 5301/2&quot;"/>
    <s v="1/2 LG 300"/>
    <n v="1"/>
    <s v="530-300-12"/>
    <m/>
    <m/>
    <n v="0"/>
    <m/>
    <m/>
    <m/>
    <m/>
    <m/>
    <m/>
    <n v="0"/>
    <m/>
    <m/>
    <m/>
    <m/>
    <n v="0"/>
    <n v="0"/>
    <n v="0"/>
    <n v="0"/>
    <n v="0"/>
    <n v="0"/>
    <n v="0"/>
  </r>
  <r>
    <x v="0"/>
    <x v="1"/>
    <s v="1/2&quot;"/>
    <s v="GalvaBobines 5301/2&quot;"/>
    <s v="1/2 LG 500"/>
    <n v="2"/>
    <s v="530-500-12"/>
    <m/>
    <m/>
    <n v="0"/>
    <m/>
    <m/>
    <m/>
    <m/>
    <m/>
    <m/>
    <n v="0"/>
    <m/>
    <m/>
    <m/>
    <m/>
    <n v="0"/>
    <n v="0"/>
    <n v="0"/>
    <n v="0"/>
    <n v="0"/>
    <n v="0"/>
    <n v="0"/>
  </r>
  <r>
    <x v="0"/>
    <x v="1"/>
    <s v="1/2&quot;"/>
    <s v="GalvaBobines 5301/2&quot;"/>
    <s v="1/2 LG 600"/>
    <n v="3"/>
    <s v="530-600-12"/>
    <m/>
    <m/>
    <n v="0"/>
    <m/>
    <m/>
    <m/>
    <m/>
    <m/>
    <m/>
    <n v="0"/>
    <m/>
    <m/>
    <m/>
    <m/>
    <n v="0"/>
    <n v="0"/>
    <n v="0"/>
    <n v="0"/>
    <n v="0"/>
    <n v="0"/>
    <n v="0"/>
  </r>
  <r>
    <x v="0"/>
    <x v="1"/>
    <s v="1&quot;"/>
    <s v="GalvaBobines 5301&quot;"/>
    <s v="1&quot;"/>
    <n v="4"/>
    <s v="530G1"/>
    <m/>
    <m/>
    <n v="0"/>
    <m/>
    <m/>
    <m/>
    <m/>
    <m/>
    <m/>
    <n v="0"/>
    <m/>
    <m/>
    <m/>
    <m/>
    <n v="0"/>
    <n v="0"/>
    <n v="0"/>
    <n v="0"/>
    <n v="0"/>
    <n v="0"/>
    <n v="0"/>
  </r>
  <r>
    <x v="0"/>
    <x v="1"/>
    <s v="1&quot;"/>
    <s v="GalvaBobines 5301&quot;"/>
    <s v="1&quot; lg 1000"/>
    <n v="5"/>
    <s v="530G1-1000"/>
    <m/>
    <m/>
    <n v="0"/>
    <m/>
    <m/>
    <m/>
    <m/>
    <m/>
    <m/>
    <n v="0"/>
    <m/>
    <m/>
    <m/>
    <m/>
    <n v="0"/>
    <n v="0"/>
    <n v="0"/>
    <n v="0"/>
    <n v="0"/>
    <n v="0"/>
    <n v="0"/>
  </r>
  <r>
    <x v="0"/>
    <x v="1"/>
    <s v="1&quot;1/2"/>
    <s v="GalvaBobines 5301&quot;1/2"/>
    <s v="1&quot;1/2"/>
    <n v="6"/>
    <s v="530G112"/>
    <m/>
    <m/>
    <n v="0"/>
    <m/>
    <m/>
    <m/>
    <m/>
    <m/>
    <m/>
    <n v="0"/>
    <m/>
    <m/>
    <m/>
    <m/>
    <n v="0"/>
    <n v="0"/>
    <n v="0"/>
    <n v="0"/>
    <n v="0"/>
    <n v="0"/>
    <n v="0"/>
  </r>
  <r>
    <x v="0"/>
    <x v="1"/>
    <s v="1&quot;1/2"/>
    <s v="GalvaBobines 5301&quot;1/2"/>
    <s v="1&quot;1/2 lg 100"/>
    <n v="7"/>
    <s v="530G112-100"/>
    <m/>
    <m/>
    <n v="0"/>
    <m/>
    <m/>
    <m/>
    <m/>
    <m/>
    <m/>
    <n v="0"/>
    <m/>
    <m/>
    <m/>
    <m/>
    <n v="0"/>
    <n v="0"/>
    <n v="0"/>
    <n v="0"/>
    <n v="0"/>
    <n v="0"/>
    <n v="0"/>
  </r>
  <r>
    <x v="0"/>
    <x v="1"/>
    <s v="1&quot;1/2"/>
    <s v="GalvaBobines 5301&quot;1/2"/>
    <s v="1&quot;1/2 lg 150"/>
    <n v="8"/>
    <s v="530G112-150"/>
    <m/>
    <m/>
    <n v="0"/>
    <m/>
    <m/>
    <m/>
    <m/>
    <m/>
    <m/>
    <n v="0"/>
    <m/>
    <m/>
    <m/>
    <m/>
    <n v="0"/>
    <n v="0"/>
    <n v="0"/>
    <n v="0"/>
    <n v="0"/>
    <n v="0"/>
    <n v="0"/>
  </r>
  <r>
    <x v="0"/>
    <x v="1"/>
    <s v="1&quot;1/2"/>
    <s v="GalvaBobines 5301&quot;1/2"/>
    <s v="1&quot;1/2 lg 200"/>
    <n v="9"/>
    <s v="530G112-200"/>
    <m/>
    <m/>
    <n v="0"/>
    <m/>
    <m/>
    <m/>
    <m/>
    <m/>
    <m/>
    <n v="0"/>
    <m/>
    <m/>
    <m/>
    <m/>
    <n v="0"/>
    <n v="0"/>
    <n v="0"/>
    <n v="0"/>
    <n v="0"/>
    <n v="0"/>
    <n v="0"/>
  </r>
  <r>
    <x v="0"/>
    <x v="1"/>
    <s v="1&quot;1/2"/>
    <s v="GalvaBobines 5301&quot;1/2"/>
    <s v="1&quot;1/2 lg 80"/>
    <n v="10"/>
    <s v="530G112-80"/>
    <m/>
    <m/>
    <n v="0"/>
    <m/>
    <m/>
    <m/>
    <m/>
    <m/>
    <m/>
    <n v="0"/>
    <m/>
    <m/>
    <m/>
    <m/>
    <n v="0"/>
    <n v="0"/>
    <n v="0"/>
    <n v="0"/>
    <n v="0"/>
    <n v="0"/>
    <n v="0"/>
  </r>
  <r>
    <x v="0"/>
    <x v="1"/>
    <s v="1&quot;1/4"/>
    <s v="GalvaBobines 5301&quot;1/4"/>
    <s v="1&quot;1/4"/>
    <n v="11"/>
    <s v="530G114"/>
    <m/>
    <m/>
    <n v="0"/>
    <m/>
    <m/>
    <m/>
    <m/>
    <m/>
    <m/>
    <n v="0"/>
    <m/>
    <m/>
    <m/>
    <m/>
    <n v="0"/>
    <n v="0"/>
    <n v="0"/>
    <n v="0"/>
    <n v="0"/>
    <n v="0"/>
    <n v="0"/>
  </r>
  <r>
    <x v="0"/>
    <x v="1"/>
    <s v="1&quot;1/4"/>
    <s v="GalvaBobines 5301&quot;1/4"/>
    <s v="1&quot;1/4 lg 100"/>
    <n v="12"/>
    <s v="530G114-100"/>
    <m/>
    <m/>
    <n v="0"/>
    <m/>
    <m/>
    <m/>
    <m/>
    <m/>
    <m/>
    <n v="0"/>
    <m/>
    <m/>
    <m/>
    <m/>
    <n v="0"/>
    <n v="0"/>
    <n v="0"/>
    <n v="0"/>
    <n v="0"/>
    <n v="0"/>
    <n v="0"/>
  </r>
  <r>
    <x v="0"/>
    <x v="1"/>
    <s v="1&quot;"/>
    <s v="GalvaBobines 5301&quot;"/>
    <s v="1&quot; lg 150"/>
    <n v="13"/>
    <s v="530G1-150"/>
    <m/>
    <m/>
    <n v="0"/>
    <m/>
    <m/>
    <m/>
    <m/>
    <m/>
    <m/>
    <n v="0"/>
    <m/>
    <m/>
    <m/>
    <m/>
    <n v="0"/>
    <n v="0"/>
    <n v="0"/>
    <n v="0"/>
    <n v="0"/>
    <n v="0"/>
    <n v="0"/>
  </r>
  <r>
    <x v="0"/>
    <x v="1"/>
    <s v="1/2&quot;"/>
    <s v="GalvaBobines 5301/2&quot;"/>
    <s v=" 1/2"/>
    <n v="14"/>
    <s v="530G12"/>
    <m/>
    <m/>
    <n v="0"/>
    <m/>
    <m/>
    <m/>
    <m/>
    <m/>
    <m/>
    <n v="0"/>
    <m/>
    <m/>
    <m/>
    <m/>
    <n v="0"/>
    <n v="0"/>
    <n v="0"/>
    <n v="0"/>
    <n v="0"/>
    <n v="0"/>
    <n v="0"/>
  </r>
  <r>
    <x v="0"/>
    <x v="1"/>
    <s v="1&quot;"/>
    <s v="GalvaBobines 5301&quot;"/>
    <s v="1&quot; lg 200"/>
    <n v="15"/>
    <s v="530G1-200"/>
    <m/>
    <m/>
    <n v="0"/>
    <m/>
    <m/>
    <m/>
    <m/>
    <m/>
    <m/>
    <n v="0"/>
    <m/>
    <m/>
    <m/>
    <m/>
    <n v="0"/>
    <n v="0"/>
    <n v="0"/>
    <n v="0"/>
    <n v="0"/>
    <n v="0"/>
    <n v="0"/>
  </r>
  <r>
    <x v="0"/>
    <x v="1"/>
    <s v="1/2&quot;"/>
    <s v="GalvaBobines 5301/2&quot;"/>
    <s v="1/2&quot; lg 100"/>
    <n v="16"/>
    <s v="530G12-100"/>
    <m/>
    <m/>
    <n v="0"/>
    <m/>
    <m/>
    <m/>
    <m/>
    <m/>
    <m/>
    <n v="0"/>
    <m/>
    <m/>
    <m/>
    <m/>
    <n v="0"/>
    <n v="0"/>
    <n v="0"/>
    <n v="0"/>
    <n v="0"/>
    <n v="0"/>
    <n v="0"/>
  </r>
  <r>
    <x v="0"/>
    <x v="1"/>
    <s v="1/2&quot;"/>
    <s v="GalvaBobines 5301/2&quot;"/>
    <s v="1/2&quot; lg 150"/>
    <n v="17"/>
    <s v="530G12-150"/>
    <m/>
    <m/>
    <n v="0"/>
    <m/>
    <m/>
    <m/>
    <m/>
    <m/>
    <m/>
    <n v="0"/>
    <m/>
    <m/>
    <m/>
    <m/>
    <n v="0"/>
    <n v="0"/>
    <n v="0"/>
    <n v="0"/>
    <n v="0"/>
    <n v="0"/>
    <n v="0"/>
  </r>
  <r>
    <x v="0"/>
    <x v="1"/>
    <s v="1/2&quot;"/>
    <s v="GalvaBobines 5301/2&quot;"/>
    <s v="1/2&quot; lg 200"/>
    <n v="18"/>
    <s v="530G12-200"/>
    <m/>
    <m/>
    <n v="0"/>
    <m/>
    <m/>
    <m/>
    <m/>
    <m/>
    <m/>
    <n v="0"/>
    <m/>
    <m/>
    <m/>
    <m/>
    <n v="0"/>
    <n v="0"/>
    <n v="0"/>
    <n v="0"/>
    <n v="0"/>
    <n v="0"/>
    <n v="0"/>
  </r>
  <r>
    <x v="0"/>
    <x v="1"/>
    <s v="1/4&quot;"/>
    <s v="GalvaBobines 5301/4&quot;"/>
    <s v=" 1/4"/>
    <n v="19"/>
    <s v="530G14"/>
    <m/>
    <m/>
    <n v="0"/>
    <m/>
    <m/>
    <m/>
    <m/>
    <m/>
    <m/>
    <n v="0"/>
    <m/>
    <m/>
    <m/>
    <m/>
    <n v="0"/>
    <n v="0"/>
    <n v="0"/>
    <n v="0"/>
    <n v="0"/>
    <n v="0"/>
    <n v="0"/>
  </r>
  <r>
    <x v="0"/>
    <x v="1"/>
    <s v="1&quot;"/>
    <s v="GalvaBobines 5301&quot;"/>
    <s v="1&quot; lg 500"/>
    <n v="20"/>
    <s v="530G1-500"/>
    <m/>
    <m/>
    <n v="0"/>
    <m/>
    <m/>
    <m/>
    <m/>
    <m/>
    <m/>
    <n v="0"/>
    <m/>
    <m/>
    <m/>
    <m/>
    <n v="0"/>
    <n v="0"/>
    <n v="0"/>
    <n v="0"/>
    <n v="0"/>
    <n v="0"/>
    <n v="0"/>
  </r>
  <r>
    <x v="0"/>
    <x v="1"/>
    <s v="1&quot;"/>
    <s v="GalvaBobines 5301&quot;"/>
    <s v="1&quot; lg 700"/>
    <n v="21"/>
    <s v="530G1-700"/>
    <m/>
    <m/>
    <n v="0"/>
    <m/>
    <m/>
    <m/>
    <m/>
    <m/>
    <m/>
    <n v="0"/>
    <m/>
    <m/>
    <m/>
    <m/>
    <n v="0"/>
    <n v="0"/>
    <n v="0"/>
    <n v="0"/>
    <n v="0"/>
    <n v="0"/>
    <n v="0"/>
  </r>
  <r>
    <x v="0"/>
    <x v="1"/>
    <s v="1&quot;"/>
    <s v="GalvaBobines 5301&quot;"/>
    <s v="1&quot; lg 80"/>
    <n v="22"/>
    <s v="530G1-80"/>
    <m/>
    <m/>
    <n v="0"/>
    <m/>
    <m/>
    <m/>
    <m/>
    <m/>
    <m/>
    <n v="0"/>
    <m/>
    <m/>
    <m/>
    <m/>
    <n v="0"/>
    <n v="0"/>
    <n v="0"/>
    <n v="0"/>
    <n v="0"/>
    <n v="0"/>
    <n v="0"/>
  </r>
  <r>
    <x v="0"/>
    <x v="1"/>
    <s v="2&quot;"/>
    <s v="GalvaBobines 5302&quot;"/>
    <s v="2&quot;"/>
    <n v="23"/>
    <s v="530G2"/>
    <m/>
    <m/>
    <n v="0"/>
    <m/>
    <m/>
    <m/>
    <m/>
    <m/>
    <m/>
    <n v="0"/>
    <m/>
    <m/>
    <m/>
    <m/>
    <n v="0"/>
    <n v="0"/>
    <n v="0"/>
    <n v="0"/>
    <n v="0"/>
    <n v="0"/>
    <n v="0"/>
  </r>
  <r>
    <x v="0"/>
    <x v="1"/>
    <s v="2&quot;"/>
    <s v="GalvaBobines 5302&quot;"/>
    <s v="2&quot; lg 100"/>
    <n v="24"/>
    <s v="530G2-100"/>
    <m/>
    <m/>
    <n v="0"/>
    <m/>
    <m/>
    <m/>
    <m/>
    <m/>
    <m/>
    <n v="0"/>
    <m/>
    <m/>
    <m/>
    <m/>
    <n v="0"/>
    <n v="0"/>
    <n v="0"/>
    <n v="0"/>
    <n v="0"/>
    <n v="0"/>
    <n v="0"/>
  </r>
  <r>
    <x v="0"/>
    <x v="1"/>
    <s v="2&quot;1/2"/>
    <s v="GalvaBobines 5302&quot;1/2"/>
    <s v="2&quot;1/2"/>
    <n v="25"/>
    <s v="530G212"/>
    <m/>
    <m/>
    <n v="0"/>
    <m/>
    <m/>
    <m/>
    <m/>
    <m/>
    <m/>
    <n v="0"/>
    <m/>
    <m/>
    <m/>
    <m/>
    <n v="0"/>
    <n v="0"/>
    <n v="0"/>
    <n v="0"/>
    <n v="0"/>
    <n v="0"/>
    <n v="0"/>
  </r>
  <r>
    <x v="0"/>
    <x v="1"/>
    <s v="2&quot;1/2"/>
    <s v="GalvaBobines 5302&quot;1/2"/>
    <s v="2&quot;1/2 lg 300"/>
    <n v="26"/>
    <s v="530G212-300"/>
    <m/>
    <m/>
    <n v="0"/>
    <m/>
    <m/>
    <m/>
    <m/>
    <m/>
    <m/>
    <n v="0"/>
    <m/>
    <m/>
    <m/>
    <m/>
    <n v="0"/>
    <n v="0"/>
    <n v="0"/>
    <n v="0"/>
    <n v="0"/>
    <n v="0"/>
    <n v="0"/>
  </r>
  <r>
    <x v="0"/>
    <x v="1"/>
    <s v="2&quot;1/2"/>
    <s v="GalvaBobines 5302&quot;1/2"/>
    <s v="2&quot;1/2 lg 80"/>
    <n v="27"/>
    <s v="530G212-80"/>
    <m/>
    <m/>
    <n v="0"/>
    <m/>
    <m/>
    <m/>
    <m/>
    <m/>
    <m/>
    <n v="0"/>
    <m/>
    <m/>
    <m/>
    <m/>
    <n v="0"/>
    <n v="0"/>
    <n v="0"/>
    <n v="0"/>
    <n v="0"/>
    <n v="0"/>
    <n v="0"/>
  </r>
  <r>
    <x v="0"/>
    <x v="1"/>
    <s v="2&quot;"/>
    <s v="GalvaBobines 5302&quot;"/>
    <s v="2&quot; lg150"/>
    <n v="28"/>
    <s v="530G2-150"/>
    <m/>
    <m/>
    <n v="0"/>
    <m/>
    <m/>
    <m/>
    <m/>
    <m/>
    <m/>
    <n v="0"/>
    <m/>
    <m/>
    <m/>
    <m/>
    <n v="0"/>
    <n v="0"/>
    <n v="0"/>
    <n v="0"/>
    <n v="0"/>
    <n v="0"/>
    <n v="0"/>
  </r>
  <r>
    <x v="0"/>
    <x v="1"/>
    <s v="2&quot;"/>
    <s v="GalvaBobines 5302&quot;"/>
    <s v="2&quot; lg 200"/>
    <n v="29"/>
    <s v="530G2-200"/>
    <m/>
    <m/>
    <n v="0"/>
    <m/>
    <m/>
    <m/>
    <m/>
    <m/>
    <m/>
    <n v="0"/>
    <m/>
    <m/>
    <m/>
    <m/>
    <n v="0"/>
    <n v="0"/>
    <n v="0"/>
    <n v="0"/>
    <n v="0"/>
    <n v="0"/>
    <n v="0"/>
  </r>
  <r>
    <x v="0"/>
    <x v="1"/>
    <s v="2&quot;"/>
    <s v="GalvaBobines 5302&quot;"/>
    <s v="2&quot; lg 300"/>
    <n v="30"/>
    <s v="530G2-300"/>
    <m/>
    <m/>
    <n v="0"/>
    <m/>
    <m/>
    <m/>
    <m/>
    <m/>
    <m/>
    <n v="0"/>
    <m/>
    <m/>
    <m/>
    <m/>
    <n v="0"/>
    <n v="0"/>
    <n v="0"/>
    <n v="0"/>
    <n v="0"/>
    <n v="0"/>
    <n v="0"/>
  </r>
  <r>
    <x v="0"/>
    <x v="1"/>
    <s v="2&quot;"/>
    <s v="GalvaBobines 5302&quot;"/>
    <s v="2&quot; lg 400"/>
    <n v="31"/>
    <s v="530G2-400"/>
    <m/>
    <m/>
    <n v="0"/>
    <m/>
    <m/>
    <m/>
    <m/>
    <m/>
    <m/>
    <n v="0"/>
    <m/>
    <m/>
    <m/>
    <m/>
    <n v="0"/>
    <n v="0"/>
    <n v="0"/>
    <n v="0"/>
    <n v="0"/>
    <n v="0"/>
    <n v="0"/>
  </r>
  <r>
    <x v="0"/>
    <x v="1"/>
    <s v="3/4&quot;"/>
    <s v="GalvaBobines 5303/4&quot;"/>
    <s v=" 3/4"/>
    <n v="32"/>
    <s v="530G34"/>
    <m/>
    <m/>
    <n v="0"/>
    <m/>
    <m/>
    <m/>
    <m/>
    <m/>
    <m/>
    <n v="0"/>
    <m/>
    <m/>
    <m/>
    <m/>
    <n v="0"/>
    <n v="0"/>
    <n v="0"/>
    <n v="0"/>
    <n v="0"/>
    <n v="0"/>
    <n v="0"/>
  </r>
  <r>
    <x v="0"/>
    <x v="1"/>
    <s v="3/4&quot;"/>
    <s v="GalvaBobines 5303/4&quot;"/>
    <s v="3/4&quot; lg 100"/>
    <n v="33"/>
    <s v="530G34-100"/>
    <m/>
    <m/>
    <n v="0"/>
    <m/>
    <m/>
    <m/>
    <m/>
    <m/>
    <m/>
    <n v="0"/>
    <m/>
    <m/>
    <m/>
    <m/>
    <n v="0"/>
    <n v="0"/>
    <n v="0"/>
    <n v="0"/>
    <n v="0"/>
    <n v="0"/>
    <n v="0"/>
  </r>
  <r>
    <x v="0"/>
    <x v="1"/>
    <s v="3/4&quot;"/>
    <s v="GalvaBobines 5303/4&quot;"/>
    <s v="3/4&quot; lg 150"/>
    <n v="34"/>
    <s v="530G34-150"/>
    <m/>
    <m/>
    <n v="0"/>
    <m/>
    <m/>
    <m/>
    <m/>
    <m/>
    <m/>
    <n v="0"/>
    <m/>
    <m/>
    <m/>
    <m/>
    <n v="0"/>
    <n v="0"/>
    <n v="0"/>
    <n v="0"/>
    <n v="0"/>
    <n v="0"/>
    <n v="0"/>
  </r>
  <r>
    <x v="0"/>
    <x v="1"/>
    <s v="3/4&quot;"/>
    <s v="GalvaBobines 5303/4&quot;"/>
    <s v="3/4&quot; lg 200"/>
    <n v="35"/>
    <s v="530G34-200"/>
    <m/>
    <m/>
    <n v="0"/>
    <m/>
    <m/>
    <m/>
    <m/>
    <m/>
    <m/>
    <n v="0"/>
    <m/>
    <m/>
    <m/>
    <m/>
    <n v="0"/>
    <n v="0"/>
    <n v="0"/>
    <n v="0"/>
    <n v="0"/>
    <n v="0"/>
    <n v="0"/>
  </r>
  <r>
    <x v="0"/>
    <x v="1"/>
    <s v="3/4&quot;"/>
    <s v="GalvaBobines 5303/4&quot;"/>
    <s v="3/4&quot; lg 300"/>
    <n v="36"/>
    <s v="530G34-300"/>
    <m/>
    <m/>
    <n v="0"/>
    <m/>
    <m/>
    <m/>
    <m/>
    <m/>
    <m/>
    <n v="0"/>
    <m/>
    <m/>
    <m/>
    <m/>
    <n v="0"/>
    <n v="0"/>
    <n v="0"/>
    <n v="0"/>
    <n v="0"/>
    <n v="0"/>
    <n v="0"/>
  </r>
  <r>
    <x v="0"/>
    <x v="1"/>
    <s v="3/4&quot;"/>
    <s v="GalvaBobines 5303/4&quot;"/>
    <s v="3/4&quot; lg 400"/>
    <n v="37"/>
    <s v="530G34-400"/>
    <m/>
    <m/>
    <n v="0"/>
    <m/>
    <m/>
    <m/>
    <m/>
    <m/>
    <m/>
    <n v="0"/>
    <m/>
    <m/>
    <m/>
    <m/>
    <n v="0"/>
    <n v="0"/>
    <n v="0"/>
    <n v="0"/>
    <n v="0"/>
    <n v="0"/>
    <n v="0"/>
  </r>
  <r>
    <x v="0"/>
    <x v="1"/>
    <s v="3/4&quot;"/>
    <s v="GalvaBobines 5303/4&quot;"/>
    <s v="3/4&quot; lg 500"/>
    <n v="38"/>
    <s v="530G34-500"/>
    <m/>
    <m/>
    <n v="0"/>
    <m/>
    <m/>
    <m/>
    <m/>
    <m/>
    <m/>
    <n v="0"/>
    <m/>
    <m/>
    <m/>
    <m/>
    <n v="0"/>
    <n v="0"/>
    <n v="0"/>
    <n v="0"/>
    <n v="0"/>
    <n v="0"/>
    <n v="0"/>
  </r>
  <r>
    <x v="0"/>
    <x v="1"/>
    <s v="3/8&quot;"/>
    <s v="GalvaBobines 5303/8&quot;"/>
    <s v=" 3/8"/>
    <n v="39"/>
    <s v="530G38"/>
    <m/>
    <m/>
    <n v="0"/>
    <m/>
    <m/>
    <m/>
    <m/>
    <m/>
    <m/>
    <n v="0"/>
    <m/>
    <m/>
    <m/>
    <m/>
    <n v="0"/>
    <n v="0"/>
    <n v="0"/>
    <n v="0"/>
    <n v="0"/>
    <n v="0"/>
    <n v="0"/>
  </r>
  <r>
    <x v="0"/>
    <x v="1"/>
    <s v="3/8&quot;"/>
    <s v="GalvaBobines 5303/8&quot;"/>
    <s v="3/8&quot; lg 150"/>
    <n v="40"/>
    <s v="530G38-150"/>
    <m/>
    <m/>
    <n v="0"/>
    <m/>
    <m/>
    <m/>
    <m/>
    <m/>
    <m/>
    <n v="0"/>
    <m/>
    <m/>
    <m/>
    <m/>
    <n v="0"/>
    <n v="0"/>
    <n v="0"/>
    <n v="0"/>
    <n v="0"/>
    <n v="0"/>
    <n v="0"/>
  </r>
  <r>
    <x v="0"/>
    <x v="1"/>
    <s v="3/8&quot;"/>
    <s v="GalvaBobines 5303/8&quot;"/>
    <s v="3/8&quot; lg 200"/>
    <n v="41"/>
    <s v="530G38-200"/>
    <m/>
    <m/>
    <n v="0"/>
    <m/>
    <m/>
    <m/>
    <m/>
    <m/>
    <m/>
    <n v="0"/>
    <m/>
    <m/>
    <m/>
    <m/>
    <n v="0"/>
    <n v="0"/>
    <n v="0"/>
    <n v="0"/>
    <n v="0"/>
    <n v="0"/>
    <n v="0"/>
  </r>
  <r>
    <x v="0"/>
    <x v="1"/>
    <s v="3/8&quot;"/>
    <s v="GalvaBobines 5303/8&quot;"/>
    <s v="3/8&quot; lg 300"/>
    <n v="42"/>
    <s v="530G38-300"/>
    <m/>
    <m/>
    <n v="0"/>
    <m/>
    <m/>
    <m/>
    <m/>
    <m/>
    <m/>
    <n v="0"/>
    <m/>
    <m/>
    <m/>
    <m/>
    <n v="0"/>
    <n v="0"/>
    <n v="0"/>
    <n v="0"/>
    <n v="0"/>
    <n v="0"/>
    <n v="0"/>
  </r>
  <r>
    <x v="0"/>
    <x v="1"/>
    <s v="4&quot;"/>
    <s v="GalvaBobines 5304&quot;"/>
    <s v="4&quot; lg 150"/>
    <n v="43"/>
    <s v="530G4-150"/>
    <m/>
    <m/>
    <n v="0"/>
    <m/>
    <m/>
    <m/>
    <m/>
    <m/>
    <m/>
    <n v="0"/>
    <m/>
    <m/>
    <m/>
    <m/>
    <n v="0"/>
    <n v="0"/>
    <n v="0"/>
    <n v="0"/>
    <n v="0"/>
    <n v="0"/>
    <n v="0"/>
  </r>
  <r>
    <x v="0"/>
    <x v="1"/>
    <m/>
    <s v="GalvaBobines 530"/>
    <m/>
    <n v="0"/>
    <m/>
    <m/>
    <m/>
    <n v="0"/>
    <m/>
    <m/>
    <m/>
    <m/>
    <m/>
    <m/>
    <n v="0"/>
    <m/>
    <m/>
    <m/>
    <m/>
    <n v="0"/>
    <n v="0"/>
    <n v="0"/>
    <n v="0"/>
    <n v="0"/>
    <n v="0"/>
    <n v="0"/>
  </r>
  <r>
    <x v="0"/>
    <x v="2"/>
    <m/>
    <s v="GalvaBouchons F 300"/>
    <s v="1&quot;"/>
    <n v="1"/>
    <s v="300G1"/>
    <m/>
    <m/>
    <n v="0"/>
    <m/>
    <m/>
    <m/>
    <m/>
    <m/>
    <m/>
    <n v="0"/>
    <m/>
    <m/>
    <m/>
    <m/>
    <n v="0"/>
    <n v="0"/>
    <n v="0"/>
    <n v="0"/>
    <n v="0"/>
    <n v="0"/>
    <n v="0"/>
  </r>
  <r>
    <x v="0"/>
    <x v="2"/>
    <m/>
    <s v="GalvaBouchons F 300"/>
    <s v="1&quot;1/2"/>
    <n v="2"/>
    <s v="300G112"/>
    <m/>
    <m/>
    <n v="0"/>
    <m/>
    <m/>
    <m/>
    <m/>
    <m/>
    <m/>
    <n v="0"/>
    <m/>
    <m/>
    <m/>
    <m/>
    <n v="0"/>
    <n v="0"/>
    <n v="0"/>
    <n v="0"/>
    <n v="0"/>
    <n v="0"/>
    <n v="0"/>
  </r>
  <r>
    <x v="0"/>
    <x v="2"/>
    <m/>
    <s v="GalvaBouchons F 300"/>
    <s v="1&quot;1/4"/>
    <n v="3"/>
    <s v="300G114"/>
    <m/>
    <m/>
    <n v="0"/>
    <m/>
    <m/>
    <m/>
    <m/>
    <m/>
    <m/>
    <n v="0"/>
    <m/>
    <m/>
    <m/>
    <m/>
    <n v="0"/>
    <n v="0"/>
    <n v="0"/>
    <n v="0"/>
    <n v="0"/>
    <n v="0"/>
    <n v="0"/>
  </r>
  <r>
    <x v="0"/>
    <x v="2"/>
    <m/>
    <s v="GalvaBouchons F 300"/>
    <s v=" 1/2"/>
    <n v="4"/>
    <s v="300G12"/>
    <m/>
    <m/>
    <n v="0"/>
    <m/>
    <m/>
    <m/>
    <m/>
    <m/>
    <m/>
    <n v="0"/>
    <m/>
    <m/>
    <m/>
    <m/>
    <n v="0"/>
    <n v="0"/>
    <n v="0"/>
    <n v="0"/>
    <n v="0"/>
    <n v="0"/>
    <n v="0"/>
  </r>
  <r>
    <x v="0"/>
    <x v="2"/>
    <m/>
    <s v="GalvaBouchons F 300"/>
    <s v=" 1/4"/>
    <n v="5"/>
    <s v="300G14"/>
    <m/>
    <m/>
    <n v="0"/>
    <m/>
    <m/>
    <m/>
    <m/>
    <m/>
    <m/>
    <n v="0"/>
    <m/>
    <m/>
    <m/>
    <m/>
    <n v="0"/>
    <n v="0"/>
    <n v="0"/>
    <n v="0"/>
    <n v="0"/>
    <n v="0"/>
    <n v="0"/>
  </r>
  <r>
    <x v="0"/>
    <x v="2"/>
    <m/>
    <s v="GalvaBouchons F 300"/>
    <s v="2&quot;"/>
    <n v="6"/>
    <s v="300G2"/>
    <m/>
    <m/>
    <n v="0"/>
    <m/>
    <m/>
    <m/>
    <m/>
    <m/>
    <m/>
    <n v="0"/>
    <m/>
    <m/>
    <m/>
    <m/>
    <n v="0"/>
    <n v="0"/>
    <n v="0"/>
    <n v="0"/>
    <n v="0"/>
    <n v="0"/>
    <n v="0"/>
  </r>
  <r>
    <x v="0"/>
    <x v="2"/>
    <m/>
    <s v="GalvaBouchons F 300"/>
    <s v="2&quot;1/2"/>
    <n v="7"/>
    <s v="300G212"/>
    <m/>
    <m/>
    <n v="0"/>
    <m/>
    <m/>
    <m/>
    <m/>
    <m/>
    <m/>
    <n v="0"/>
    <m/>
    <m/>
    <m/>
    <m/>
    <n v="0"/>
    <n v="0"/>
    <n v="0"/>
    <n v="0"/>
    <n v="0"/>
    <n v="0"/>
    <n v="0"/>
  </r>
  <r>
    <x v="0"/>
    <x v="2"/>
    <m/>
    <s v="GalvaBouchons F 300"/>
    <s v=" 3&quot;"/>
    <n v="8"/>
    <s v="300G3"/>
    <m/>
    <m/>
    <n v="0"/>
    <m/>
    <m/>
    <m/>
    <m/>
    <m/>
    <m/>
    <n v="0"/>
    <m/>
    <m/>
    <m/>
    <m/>
    <n v="0"/>
    <n v="0"/>
    <n v="0"/>
    <n v="0"/>
    <n v="0"/>
    <n v="0"/>
    <n v="0"/>
  </r>
  <r>
    <x v="0"/>
    <x v="2"/>
    <m/>
    <s v="GalvaBouchons F 300"/>
    <s v=" 3/4"/>
    <n v="9"/>
    <s v="300G34"/>
    <m/>
    <m/>
    <n v="0"/>
    <m/>
    <m/>
    <m/>
    <m/>
    <m/>
    <m/>
    <n v="0"/>
    <m/>
    <m/>
    <m/>
    <m/>
    <n v="0"/>
    <n v="0"/>
    <n v="0"/>
    <n v="0"/>
    <n v="0"/>
    <n v="0"/>
    <n v="0"/>
  </r>
  <r>
    <x v="0"/>
    <x v="2"/>
    <m/>
    <s v="GalvaBouchons F 300"/>
    <s v=" 3/8"/>
    <n v="10"/>
    <s v="300G38"/>
    <m/>
    <m/>
    <n v="0"/>
    <m/>
    <m/>
    <m/>
    <m/>
    <m/>
    <m/>
    <n v="0"/>
    <m/>
    <m/>
    <m/>
    <m/>
    <n v="0"/>
    <n v="0"/>
    <n v="0"/>
    <n v="0"/>
    <n v="0"/>
    <n v="0"/>
    <n v="0"/>
  </r>
  <r>
    <x v="0"/>
    <x v="2"/>
    <m/>
    <s v="GalvaBouchons F 300"/>
    <s v="4&quot;"/>
    <n v="11"/>
    <s v="300G4"/>
    <m/>
    <m/>
    <n v="0"/>
    <m/>
    <m/>
    <m/>
    <m/>
    <m/>
    <m/>
    <n v="0"/>
    <m/>
    <m/>
    <m/>
    <m/>
    <n v="0"/>
    <n v="0"/>
    <n v="0"/>
    <n v="0"/>
    <n v="0"/>
    <n v="0"/>
    <n v="0"/>
  </r>
  <r>
    <x v="0"/>
    <x v="2"/>
    <m/>
    <s v="GalvaBouchons F 300"/>
    <m/>
    <n v="0"/>
    <m/>
    <m/>
    <m/>
    <n v="0"/>
    <m/>
    <m/>
    <m/>
    <m/>
    <m/>
    <m/>
    <n v="0"/>
    <m/>
    <m/>
    <m/>
    <m/>
    <n v="0"/>
    <n v="0"/>
    <n v="0"/>
    <n v="0"/>
    <n v="0"/>
    <n v="0"/>
    <n v="0"/>
  </r>
  <r>
    <x v="0"/>
    <x v="3"/>
    <m/>
    <s v="GalvaBouchons M 290"/>
    <s v="1&quot;"/>
    <n v="1"/>
    <s v="290G1"/>
    <m/>
    <m/>
    <n v="0"/>
    <m/>
    <m/>
    <m/>
    <m/>
    <m/>
    <m/>
    <n v="0"/>
    <m/>
    <m/>
    <m/>
    <m/>
    <n v="0"/>
    <n v="0"/>
    <n v="0"/>
    <n v="0"/>
    <n v="0"/>
    <n v="0"/>
    <n v="0"/>
  </r>
  <r>
    <x v="0"/>
    <x v="3"/>
    <m/>
    <s v="GalvaBouchons M 290"/>
    <s v="1&quot;1/2"/>
    <n v="2"/>
    <s v="290G112"/>
    <m/>
    <m/>
    <n v="0"/>
    <m/>
    <m/>
    <m/>
    <m/>
    <m/>
    <m/>
    <n v="0"/>
    <m/>
    <m/>
    <m/>
    <m/>
    <n v="0"/>
    <n v="0"/>
    <n v="0"/>
    <n v="0"/>
    <n v="0"/>
    <n v="0"/>
    <n v="0"/>
  </r>
  <r>
    <x v="0"/>
    <x v="3"/>
    <m/>
    <s v="GalvaBouchons M 290"/>
    <s v="1&quot;1/4"/>
    <n v="3"/>
    <s v="290G114"/>
    <m/>
    <m/>
    <n v="0"/>
    <m/>
    <m/>
    <m/>
    <m/>
    <m/>
    <m/>
    <n v="0"/>
    <m/>
    <m/>
    <m/>
    <m/>
    <n v="0"/>
    <n v="0"/>
    <n v="0"/>
    <n v="0"/>
    <n v="0"/>
    <n v="0"/>
    <n v="0"/>
  </r>
  <r>
    <x v="0"/>
    <x v="3"/>
    <m/>
    <s v="GalvaBouchons M 290"/>
    <s v=" 1/2"/>
    <n v="4"/>
    <s v="290G12"/>
    <m/>
    <m/>
    <n v="0"/>
    <m/>
    <m/>
    <m/>
    <m/>
    <m/>
    <m/>
    <n v="0"/>
    <m/>
    <m/>
    <m/>
    <m/>
    <n v="0"/>
    <n v="0"/>
    <n v="0"/>
    <n v="0"/>
    <n v="0"/>
    <n v="0"/>
    <n v="0"/>
  </r>
  <r>
    <x v="0"/>
    <x v="3"/>
    <m/>
    <s v="GalvaBouchons M 290"/>
    <s v=" 1/4"/>
    <n v="5"/>
    <s v="290G14"/>
    <m/>
    <m/>
    <n v="0"/>
    <m/>
    <m/>
    <m/>
    <m/>
    <m/>
    <m/>
    <n v="0"/>
    <m/>
    <m/>
    <m/>
    <m/>
    <n v="0"/>
    <n v="0"/>
    <n v="0"/>
    <n v="0"/>
    <n v="0"/>
    <n v="0"/>
    <n v="0"/>
  </r>
  <r>
    <x v="0"/>
    <x v="3"/>
    <m/>
    <s v="GalvaBouchons M 290"/>
    <s v=" 1/8"/>
    <n v="6"/>
    <s v="290G18"/>
    <m/>
    <m/>
    <n v="0"/>
    <m/>
    <m/>
    <m/>
    <m/>
    <m/>
    <m/>
    <n v="0"/>
    <m/>
    <m/>
    <m/>
    <m/>
    <n v="0"/>
    <n v="0"/>
    <n v="0"/>
    <n v="0"/>
    <n v="0"/>
    <n v="0"/>
    <n v="0"/>
  </r>
  <r>
    <x v="0"/>
    <x v="3"/>
    <m/>
    <s v="GalvaBouchons M 290"/>
    <s v="2&quot;"/>
    <n v="7"/>
    <s v="290G2"/>
    <m/>
    <m/>
    <n v="0"/>
    <m/>
    <m/>
    <m/>
    <m/>
    <m/>
    <m/>
    <n v="0"/>
    <m/>
    <m/>
    <m/>
    <m/>
    <n v="0"/>
    <n v="0"/>
    <n v="0"/>
    <n v="0"/>
    <n v="0"/>
    <n v="0"/>
    <n v="0"/>
  </r>
  <r>
    <x v="0"/>
    <x v="3"/>
    <m/>
    <s v="GalvaBouchons M 290"/>
    <s v="2&quot;1/2"/>
    <n v="8"/>
    <s v="290G212"/>
    <m/>
    <m/>
    <n v="0"/>
    <m/>
    <m/>
    <m/>
    <m/>
    <m/>
    <m/>
    <n v="0"/>
    <m/>
    <m/>
    <m/>
    <m/>
    <n v="0"/>
    <n v="0"/>
    <n v="0"/>
    <n v="0"/>
    <n v="0"/>
    <n v="0"/>
    <n v="0"/>
  </r>
  <r>
    <x v="0"/>
    <x v="3"/>
    <m/>
    <s v="GalvaBouchons M 290"/>
    <s v=" 3&quot;"/>
    <n v="9"/>
    <s v="290G3"/>
    <m/>
    <m/>
    <n v="0"/>
    <m/>
    <m/>
    <m/>
    <m/>
    <m/>
    <m/>
    <n v="0"/>
    <m/>
    <m/>
    <m/>
    <m/>
    <n v="0"/>
    <n v="0"/>
    <n v="0"/>
    <n v="0"/>
    <n v="0"/>
    <n v="0"/>
    <n v="0"/>
  </r>
  <r>
    <x v="0"/>
    <x v="3"/>
    <m/>
    <s v="GalvaBouchons M 290"/>
    <s v=" 3/4"/>
    <n v="10"/>
    <s v="290G34"/>
    <m/>
    <m/>
    <n v="0"/>
    <m/>
    <m/>
    <m/>
    <m/>
    <m/>
    <m/>
    <n v="0"/>
    <m/>
    <m/>
    <m/>
    <m/>
    <n v="0"/>
    <n v="0"/>
    <n v="0"/>
    <n v="0"/>
    <n v="0"/>
    <n v="0"/>
    <n v="0"/>
  </r>
  <r>
    <x v="0"/>
    <x v="3"/>
    <m/>
    <s v="GalvaBouchons M 290"/>
    <s v=" 3/8"/>
    <n v="11"/>
    <s v="290G38"/>
    <m/>
    <m/>
    <n v="0"/>
    <m/>
    <m/>
    <m/>
    <m/>
    <m/>
    <m/>
    <n v="0"/>
    <m/>
    <m/>
    <m/>
    <m/>
    <n v="0"/>
    <n v="0"/>
    <n v="0"/>
    <n v="0"/>
    <n v="0"/>
    <n v="0"/>
    <n v="0"/>
  </r>
  <r>
    <x v="0"/>
    <x v="3"/>
    <m/>
    <s v="GalvaBouchons M 290"/>
    <m/>
    <n v="0"/>
    <m/>
    <m/>
    <m/>
    <n v="0"/>
    <m/>
    <m/>
    <m/>
    <m/>
    <m/>
    <m/>
    <n v="0"/>
    <m/>
    <m/>
    <m/>
    <m/>
    <n v="0"/>
    <n v="0"/>
    <n v="0"/>
    <n v="0"/>
    <n v="0"/>
    <n v="0"/>
    <n v="0"/>
  </r>
  <r>
    <x v="0"/>
    <x v="4"/>
    <m/>
    <s v="GalvaCoude ff 90"/>
    <s v="1&quot;"/>
    <n v="1"/>
    <s v="90G1"/>
    <m/>
    <m/>
    <n v="0"/>
    <m/>
    <m/>
    <m/>
    <m/>
    <m/>
    <m/>
    <n v="0"/>
    <m/>
    <m/>
    <m/>
    <m/>
    <n v="0"/>
    <n v="0"/>
    <n v="0"/>
    <n v="0"/>
    <n v="0"/>
    <n v="0"/>
    <n v="0"/>
  </r>
  <r>
    <x v="0"/>
    <x v="4"/>
    <m/>
    <s v="GalvaCoude ff 90"/>
    <s v="1&quot;1/2"/>
    <n v="2"/>
    <s v="90G112"/>
    <m/>
    <m/>
    <n v="0"/>
    <m/>
    <m/>
    <m/>
    <m/>
    <m/>
    <m/>
    <n v="0"/>
    <m/>
    <m/>
    <m/>
    <m/>
    <n v="0"/>
    <n v="0"/>
    <n v="0"/>
    <n v="0"/>
    <n v="0"/>
    <n v="0"/>
    <n v="0"/>
  </r>
  <r>
    <x v="0"/>
    <x v="4"/>
    <m/>
    <s v="GalvaCoude ff 90"/>
    <s v="1&quot;1/4"/>
    <n v="3"/>
    <s v="90G114"/>
    <m/>
    <m/>
    <n v="0"/>
    <m/>
    <m/>
    <m/>
    <m/>
    <m/>
    <m/>
    <n v="0"/>
    <m/>
    <m/>
    <m/>
    <m/>
    <n v="0"/>
    <n v="0"/>
    <n v="0"/>
    <n v="0"/>
    <n v="0"/>
    <n v="0"/>
    <n v="0"/>
  </r>
  <r>
    <x v="0"/>
    <x v="4"/>
    <m/>
    <s v="GalvaCoude ff 90"/>
    <s v=" 1/2"/>
    <n v="4"/>
    <s v="90G12"/>
    <m/>
    <m/>
    <n v="0"/>
    <m/>
    <m/>
    <m/>
    <m/>
    <m/>
    <m/>
    <n v="0"/>
    <m/>
    <m/>
    <m/>
    <m/>
    <n v="0"/>
    <n v="0"/>
    <n v="0"/>
    <n v="0"/>
    <n v="0"/>
    <n v="0"/>
    <n v="0"/>
  </r>
  <r>
    <x v="0"/>
    <x v="4"/>
    <m/>
    <s v="GalvaCoude ff 90"/>
    <s v=" 1/4"/>
    <n v="5"/>
    <s v="90G14"/>
    <m/>
    <m/>
    <n v="0"/>
    <m/>
    <m/>
    <m/>
    <m/>
    <m/>
    <m/>
    <n v="0"/>
    <m/>
    <m/>
    <m/>
    <m/>
    <n v="0"/>
    <n v="0"/>
    <n v="0"/>
    <n v="0"/>
    <n v="0"/>
    <n v="0"/>
    <n v="0"/>
  </r>
  <r>
    <x v="0"/>
    <x v="4"/>
    <m/>
    <s v="GalvaCoude ff 90"/>
    <s v=" 1/8"/>
    <n v="6"/>
    <s v="90G18"/>
    <m/>
    <m/>
    <n v="0"/>
    <m/>
    <m/>
    <m/>
    <m/>
    <m/>
    <m/>
    <n v="0"/>
    <m/>
    <m/>
    <m/>
    <m/>
    <n v="0"/>
    <n v="0"/>
    <n v="0"/>
    <n v="0"/>
    <n v="0"/>
    <n v="0"/>
    <n v="0"/>
  </r>
  <r>
    <x v="0"/>
    <x v="4"/>
    <m/>
    <s v="GalvaCoude ff 90"/>
    <s v="2&quot;"/>
    <n v="7"/>
    <s v="90G2"/>
    <m/>
    <m/>
    <n v="0"/>
    <m/>
    <m/>
    <m/>
    <m/>
    <m/>
    <m/>
    <n v="0"/>
    <m/>
    <m/>
    <m/>
    <m/>
    <n v="0"/>
    <n v="0"/>
    <n v="0"/>
    <n v="0"/>
    <n v="0"/>
    <n v="0"/>
    <n v="0"/>
  </r>
  <r>
    <x v="0"/>
    <x v="4"/>
    <m/>
    <s v="GalvaCoude ff 90"/>
    <s v="2&quot;1/2"/>
    <n v="8"/>
    <s v="90G212"/>
    <m/>
    <m/>
    <n v="0"/>
    <m/>
    <m/>
    <m/>
    <m/>
    <m/>
    <m/>
    <n v="0"/>
    <m/>
    <m/>
    <m/>
    <m/>
    <n v="0"/>
    <n v="0"/>
    <n v="0"/>
    <n v="0"/>
    <n v="0"/>
    <n v="0"/>
    <n v="0"/>
  </r>
  <r>
    <x v="0"/>
    <x v="4"/>
    <m/>
    <s v="GalvaCoude ff 90"/>
    <s v=" 3&quot;"/>
    <n v="9"/>
    <s v="90G3"/>
    <m/>
    <m/>
    <n v="0"/>
    <m/>
    <m/>
    <m/>
    <m/>
    <m/>
    <m/>
    <n v="0"/>
    <m/>
    <m/>
    <m/>
    <m/>
    <n v="0"/>
    <n v="0"/>
    <n v="0"/>
    <n v="0"/>
    <n v="0"/>
    <n v="0"/>
    <n v="0"/>
  </r>
  <r>
    <x v="0"/>
    <x v="4"/>
    <m/>
    <s v="GalvaCoude ff 90"/>
    <s v=" 3/4"/>
    <n v="10"/>
    <s v="90G34"/>
    <m/>
    <m/>
    <n v="0"/>
    <m/>
    <m/>
    <m/>
    <m/>
    <m/>
    <m/>
    <n v="0"/>
    <m/>
    <m/>
    <m/>
    <m/>
    <n v="0"/>
    <n v="0"/>
    <n v="0"/>
    <n v="0"/>
    <n v="0"/>
    <n v="0"/>
    <n v="0"/>
  </r>
  <r>
    <x v="0"/>
    <x v="4"/>
    <m/>
    <s v="GalvaCoude ff 90"/>
    <s v=" 3/8"/>
    <n v="11"/>
    <s v="90G38"/>
    <m/>
    <m/>
    <n v="0"/>
    <m/>
    <m/>
    <m/>
    <m/>
    <m/>
    <m/>
    <n v="0"/>
    <m/>
    <m/>
    <m/>
    <m/>
    <n v="0"/>
    <n v="0"/>
    <n v="0"/>
    <n v="0"/>
    <n v="0"/>
    <n v="0"/>
    <n v="0"/>
  </r>
  <r>
    <x v="0"/>
    <x v="4"/>
    <m/>
    <s v="GalvaCoude ff 90"/>
    <m/>
    <n v="0"/>
    <m/>
    <m/>
    <m/>
    <n v="0"/>
    <m/>
    <m/>
    <m/>
    <m/>
    <m/>
    <m/>
    <n v="0"/>
    <m/>
    <m/>
    <m/>
    <m/>
    <n v="0"/>
    <n v="0"/>
    <n v="0"/>
    <n v="0"/>
    <n v="0"/>
    <n v="0"/>
    <n v="0"/>
  </r>
  <r>
    <x v="0"/>
    <x v="5"/>
    <m/>
    <s v="GalvaCoudes mf 92"/>
    <s v="1&quot;"/>
    <n v="1"/>
    <s v="92G1"/>
    <m/>
    <m/>
    <n v="0"/>
    <m/>
    <m/>
    <m/>
    <m/>
    <m/>
    <m/>
    <n v="0"/>
    <m/>
    <m/>
    <m/>
    <m/>
    <n v="0"/>
    <n v="0"/>
    <n v="0"/>
    <n v="0"/>
    <n v="0"/>
    <n v="0"/>
    <n v="0"/>
  </r>
  <r>
    <x v="0"/>
    <x v="5"/>
    <m/>
    <s v="GalvaCoudes mf 92"/>
    <s v="1&quot;1/2"/>
    <n v="2"/>
    <s v="92G112"/>
    <m/>
    <m/>
    <n v="0"/>
    <m/>
    <m/>
    <m/>
    <m/>
    <m/>
    <m/>
    <n v="0"/>
    <m/>
    <m/>
    <m/>
    <m/>
    <n v="0"/>
    <n v="0"/>
    <n v="0"/>
    <n v="0"/>
    <n v="0"/>
    <n v="0"/>
    <n v="0"/>
  </r>
  <r>
    <x v="0"/>
    <x v="5"/>
    <m/>
    <s v="GalvaCoudes mf 92"/>
    <s v="1&quot;1/4"/>
    <n v="3"/>
    <s v="92G114"/>
    <m/>
    <m/>
    <n v="0"/>
    <m/>
    <m/>
    <m/>
    <m/>
    <m/>
    <m/>
    <n v="0"/>
    <m/>
    <m/>
    <m/>
    <m/>
    <n v="0"/>
    <n v="0"/>
    <n v="0"/>
    <n v="0"/>
    <n v="0"/>
    <n v="0"/>
    <n v="0"/>
  </r>
  <r>
    <x v="0"/>
    <x v="5"/>
    <m/>
    <s v="GalvaCoudes mf 92"/>
    <s v=" 1/2"/>
    <n v="4"/>
    <s v="92G12"/>
    <m/>
    <m/>
    <n v="0"/>
    <m/>
    <m/>
    <m/>
    <m/>
    <m/>
    <m/>
    <n v="0"/>
    <m/>
    <m/>
    <m/>
    <m/>
    <n v="0"/>
    <n v="0"/>
    <n v="0"/>
    <n v="0"/>
    <n v="0"/>
    <n v="0"/>
    <n v="0"/>
  </r>
  <r>
    <x v="0"/>
    <x v="5"/>
    <m/>
    <s v="GalvaCoudes mf 92"/>
    <s v=" 1/4"/>
    <n v="5"/>
    <s v="92G14"/>
    <m/>
    <m/>
    <n v="0"/>
    <m/>
    <m/>
    <m/>
    <m/>
    <m/>
    <m/>
    <n v="0"/>
    <m/>
    <m/>
    <m/>
    <m/>
    <n v="0"/>
    <n v="0"/>
    <n v="0"/>
    <n v="0"/>
    <n v="0"/>
    <n v="0"/>
    <n v="0"/>
  </r>
  <r>
    <x v="0"/>
    <x v="5"/>
    <m/>
    <s v="GalvaCoudes mf 92"/>
    <s v=" 1/8"/>
    <n v="6"/>
    <s v="92G18"/>
    <m/>
    <m/>
    <n v="0"/>
    <m/>
    <m/>
    <m/>
    <m/>
    <m/>
    <m/>
    <n v="0"/>
    <m/>
    <m/>
    <m/>
    <m/>
    <n v="0"/>
    <n v="0"/>
    <n v="0"/>
    <n v="0"/>
    <n v="0"/>
    <n v="0"/>
    <n v="0"/>
  </r>
  <r>
    <x v="0"/>
    <x v="5"/>
    <m/>
    <s v="GalvaCoudes mf 92"/>
    <s v="2&quot;"/>
    <n v="7"/>
    <s v="92G2"/>
    <m/>
    <m/>
    <n v="0"/>
    <m/>
    <m/>
    <m/>
    <m/>
    <m/>
    <m/>
    <n v="0"/>
    <m/>
    <m/>
    <m/>
    <m/>
    <n v="0"/>
    <n v="0"/>
    <n v="0"/>
    <n v="0"/>
    <n v="0"/>
    <n v="0"/>
    <n v="0"/>
  </r>
  <r>
    <x v="0"/>
    <x v="5"/>
    <m/>
    <s v="GalvaCoudes mf 92"/>
    <s v="2&quot;1/2"/>
    <n v="8"/>
    <s v="92G212"/>
    <m/>
    <m/>
    <n v="0"/>
    <m/>
    <m/>
    <m/>
    <m/>
    <m/>
    <m/>
    <n v="0"/>
    <m/>
    <m/>
    <m/>
    <m/>
    <n v="0"/>
    <n v="0"/>
    <n v="0"/>
    <n v="0"/>
    <n v="0"/>
    <n v="0"/>
    <n v="0"/>
  </r>
  <r>
    <x v="0"/>
    <x v="5"/>
    <m/>
    <s v="GalvaCoudes mf 92"/>
    <s v=" 3&quot;"/>
    <n v="9"/>
    <s v="92G3"/>
    <m/>
    <m/>
    <n v="0"/>
    <m/>
    <m/>
    <m/>
    <m/>
    <m/>
    <m/>
    <n v="0"/>
    <m/>
    <m/>
    <m/>
    <m/>
    <n v="0"/>
    <n v="0"/>
    <n v="0"/>
    <n v="0"/>
    <n v="0"/>
    <n v="0"/>
    <n v="0"/>
  </r>
  <r>
    <x v="0"/>
    <x v="5"/>
    <m/>
    <s v="GalvaCoudes mf 92"/>
    <s v=" 3/4"/>
    <n v="10"/>
    <s v="92G34"/>
    <m/>
    <m/>
    <n v="0"/>
    <m/>
    <m/>
    <m/>
    <m/>
    <m/>
    <m/>
    <n v="0"/>
    <m/>
    <m/>
    <m/>
    <m/>
    <n v="0"/>
    <n v="0"/>
    <n v="0"/>
    <n v="0"/>
    <n v="0"/>
    <n v="0"/>
    <n v="0"/>
  </r>
  <r>
    <x v="0"/>
    <x v="5"/>
    <m/>
    <s v="GalvaCoudes mf 92"/>
    <s v=" 3/8"/>
    <n v="11"/>
    <s v="92G38"/>
    <m/>
    <m/>
    <n v="0"/>
    <m/>
    <m/>
    <m/>
    <m/>
    <m/>
    <m/>
    <n v="0"/>
    <m/>
    <m/>
    <m/>
    <m/>
    <n v="0"/>
    <n v="0"/>
    <n v="0"/>
    <n v="0"/>
    <n v="0"/>
    <n v="0"/>
    <n v="0"/>
  </r>
  <r>
    <x v="0"/>
    <x v="5"/>
    <m/>
    <s v="GalvaCoudes mf 92"/>
    <m/>
    <n v="0"/>
    <m/>
    <m/>
    <m/>
    <n v="0"/>
    <m/>
    <m/>
    <m/>
    <m/>
    <m/>
    <m/>
    <n v="0"/>
    <m/>
    <m/>
    <m/>
    <m/>
    <n v="0"/>
    <n v="0"/>
    <n v="0"/>
    <n v="0"/>
    <n v="0"/>
    <n v="0"/>
    <n v="0"/>
  </r>
  <r>
    <x v="0"/>
    <x v="6"/>
    <m/>
    <s v="GalvaCoudes mm "/>
    <s v="1&quot;"/>
    <n v="1"/>
    <s v="3G1"/>
    <m/>
    <m/>
    <n v="0"/>
    <m/>
    <m/>
    <m/>
    <m/>
    <m/>
    <m/>
    <n v="0"/>
    <m/>
    <m/>
    <m/>
    <m/>
    <n v="0"/>
    <n v="0"/>
    <n v="0"/>
    <n v="0"/>
    <n v="0"/>
    <n v="0"/>
    <n v="0"/>
  </r>
  <r>
    <x v="0"/>
    <x v="6"/>
    <m/>
    <s v="GalvaCoudes mm "/>
    <s v="1&quot;1/2"/>
    <n v="2"/>
    <s v="3G112"/>
    <m/>
    <m/>
    <n v="0"/>
    <m/>
    <m/>
    <m/>
    <m/>
    <m/>
    <m/>
    <n v="0"/>
    <m/>
    <m/>
    <m/>
    <m/>
    <n v="0"/>
    <n v="0"/>
    <n v="0"/>
    <n v="0"/>
    <n v="0"/>
    <n v="0"/>
    <n v="0"/>
  </r>
  <r>
    <x v="0"/>
    <x v="6"/>
    <m/>
    <s v="GalvaCoudes mm "/>
    <s v=" 1/2"/>
    <n v="3"/>
    <s v="3G12"/>
    <m/>
    <m/>
    <n v="0"/>
    <m/>
    <m/>
    <m/>
    <m/>
    <m/>
    <m/>
    <n v="0"/>
    <m/>
    <m/>
    <m/>
    <m/>
    <n v="0"/>
    <n v="0"/>
    <n v="0"/>
    <n v="0"/>
    <n v="0"/>
    <n v="0"/>
    <n v="0"/>
  </r>
  <r>
    <x v="0"/>
    <x v="6"/>
    <m/>
    <s v="GalvaCoudes mm "/>
    <s v=" 1/4"/>
    <n v="4"/>
    <s v="3G14"/>
    <m/>
    <m/>
    <n v="0"/>
    <m/>
    <m/>
    <m/>
    <m/>
    <m/>
    <m/>
    <n v="0"/>
    <m/>
    <m/>
    <m/>
    <m/>
    <n v="0"/>
    <n v="0"/>
    <n v="0"/>
    <n v="0"/>
    <n v="0"/>
    <n v="0"/>
    <n v="0"/>
  </r>
  <r>
    <x v="0"/>
    <x v="6"/>
    <m/>
    <s v="GalvaCoudes mm "/>
    <s v=" 1/8"/>
    <n v="5"/>
    <s v="3G18"/>
    <m/>
    <m/>
    <n v="0"/>
    <m/>
    <m/>
    <m/>
    <m/>
    <m/>
    <m/>
    <n v="0"/>
    <m/>
    <m/>
    <m/>
    <m/>
    <n v="0"/>
    <n v="0"/>
    <n v="0"/>
    <n v="0"/>
    <n v="0"/>
    <n v="0"/>
    <n v="0"/>
  </r>
  <r>
    <x v="0"/>
    <x v="6"/>
    <m/>
    <s v="GalvaCoudes mm "/>
    <s v="2&quot;"/>
    <n v="6"/>
    <s v="3G2"/>
    <m/>
    <m/>
    <n v="0"/>
    <m/>
    <m/>
    <m/>
    <m/>
    <m/>
    <m/>
    <n v="0"/>
    <m/>
    <m/>
    <m/>
    <m/>
    <n v="0"/>
    <n v="0"/>
    <n v="0"/>
    <n v="0"/>
    <n v="0"/>
    <n v="0"/>
    <n v="0"/>
  </r>
  <r>
    <x v="0"/>
    <x v="6"/>
    <m/>
    <s v="GalvaCoudes mm "/>
    <s v="2&quot;1/2"/>
    <n v="7"/>
    <s v="3G212"/>
    <m/>
    <m/>
    <n v="0"/>
    <m/>
    <m/>
    <m/>
    <m/>
    <m/>
    <m/>
    <n v="0"/>
    <m/>
    <m/>
    <m/>
    <m/>
    <n v="0"/>
    <n v="0"/>
    <n v="0"/>
    <n v="0"/>
    <n v="0"/>
    <n v="0"/>
    <n v="0"/>
  </r>
  <r>
    <x v="0"/>
    <x v="6"/>
    <m/>
    <s v="GalvaCoudes mm "/>
    <s v=" 3&quot;"/>
    <n v="8"/>
    <s v="3G3"/>
    <m/>
    <m/>
    <n v="0"/>
    <m/>
    <m/>
    <m/>
    <m/>
    <m/>
    <m/>
    <n v="0"/>
    <m/>
    <m/>
    <m/>
    <m/>
    <n v="0"/>
    <n v="0"/>
    <n v="0"/>
    <n v="0"/>
    <n v="0"/>
    <n v="0"/>
    <n v="0"/>
  </r>
  <r>
    <x v="0"/>
    <x v="6"/>
    <m/>
    <s v="GalvaCoudes mm "/>
    <s v=" 3/4"/>
    <n v="9"/>
    <s v="3G34"/>
    <m/>
    <m/>
    <n v="0"/>
    <m/>
    <m/>
    <m/>
    <m/>
    <m/>
    <m/>
    <n v="0"/>
    <m/>
    <m/>
    <m/>
    <m/>
    <n v="0"/>
    <n v="0"/>
    <n v="0"/>
    <n v="0"/>
    <n v="0"/>
    <n v="0"/>
    <n v="0"/>
  </r>
  <r>
    <x v="0"/>
    <x v="6"/>
    <m/>
    <s v="GalvaCoudes mm "/>
    <s v=" 3/8"/>
    <n v="10"/>
    <s v="3G38"/>
    <m/>
    <m/>
    <n v="0"/>
    <m/>
    <m/>
    <m/>
    <m/>
    <m/>
    <m/>
    <n v="0"/>
    <m/>
    <m/>
    <m/>
    <m/>
    <n v="0"/>
    <n v="0"/>
    <n v="0"/>
    <n v="0"/>
    <n v="0"/>
    <n v="0"/>
    <n v="0"/>
  </r>
  <r>
    <x v="0"/>
    <x v="6"/>
    <m/>
    <s v="GalvaCoudes mm "/>
    <s v="1&quot;1/4"/>
    <n v="11"/>
    <s v="92G114"/>
    <m/>
    <m/>
    <n v="0"/>
    <m/>
    <m/>
    <m/>
    <m/>
    <m/>
    <m/>
    <n v="0"/>
    <m/>
    <m/>
    <m/>
    <m/>
    <n v="0"/>
    <n v="0"/>
    <n v="0"/>
    <n v="0"/>
    <n v="0"/>
    <n v="0"/>
    <n v="0"/>
  </r>
  <r>
    <x v="0"/>
    <x v="6"/>
    <m/>
    <s v="GalvaCoudes mm "/>
    <m/>
    <n v="0"/>
    <m/>
    <m/>
    <m/>
    <n v="0"/>
    <m/>
    <m/>
    <m/>
    <m/>
    <m/>
    <m/>
    <n v="0"/>
    <m/>
    <m/>
    <m/>
    <m/>
    <n v="0"/>
    <n v="0"/>
    <n v="0"/>
    <n v="0"/>
    <n v="0"/>
    <n v="0"/>
    <n v="0"/>
  </r>
  <r>
    <x v="0"/>
    <x v="7"/>
    <m/>
    <s v="GalvaCourbe ff  2"/>
    <s v="1&quot;"/>
    <n v="1"/>
    <s v="2G1"/>
    <m/>
    <m/>
    <n v="0"/>
    <m/>
    <m/>
    <m/>
    <m/>
    <m/>
    <m/>
    <n v="0"/>
    <m/>
    <m/>
    <m/>
    <m/>
    <n v="0"/>
    <n v="0"/>
    <n v="0"/>
    <n v="0"/>
    <n v="0"/>
    <n v="0"/>
    <n v="0"/>
  </r>
  <r>
    <x v="0"/>
    <x v="7"/>
    <m/>
    <s v="GalvaCourbe ff  2"/>
    <s v="1&quot;1/2"/>
    <n v="2"/>
    <s v="2G112"/>
    <m/>
    <m/>
    <n v="0"/>
    <m/>
    <m/>
    <m/>
    <m/>
    <m/>
    <m/>
    <n v="0"/>
    <m/>
    <m/>
    <m/>
    <m/>
    <n v="0"/>
    <n v="0"/>
    <n v="0"/>
    <n v="0"/>
    <n v="0"/>
    <n v="0"/>
    <n v="0"/>
  </r>
  <r>
    <x v="0"/>
    <x v="7"/>
    <m/>
    <s v="GalvaCourbe ff  2"/>
    <s v="1&quot;1/4"/>
    <n v="3"/>
    <s v="2G114"/>
    <m/>
    <m/>
    <n v="0"/>
    <m/>
    <m/>
    <m/>
    <m/>
    <m/>
    <m/>
    <n v="0"/>
    <m/>
    <m/>
    <m/>
    <m/>
    <n v="0"/>
    <n v="0"/>
    <n v="0"/>
    <n v="0"/>
    <n v="0"/>
    <n v="0"/>
    <n v="0"/>
  </r>
  <r>
    <x v="0"/>
    <x v="7"/>
    <m/>
    <s v="GalvaCourbe ff  2"/>
    <s v=" 1/2"/>
    <n v="4"/>
    <s v="2G12"/>
    <m/>
    <m/>
    <n v="0"/>
    <m/>
    <m/>
    <m/>
    <m/>
    <m/>
    <m/>
    <n v="0"/>
    <m/>
    <m/>
    <m/>
    <m/>
    <n v="0"/>
    <n v="0"/>
    <n v="0"/>
    <n v="0"/>
    <n v="0"/>
    <n v="0"/>
    <n v="0"/>
  </r>
  <r>
    <x v="0"/>
    <x v="7"/>
    <m/>
    <s v="GalvaCourbe ff  2"/>
    <s v=" 1/4"/>
    <n v="5"/>
    <s v="2G14"/>
    <m/>
    <m/>
    <n v="0"/>
    <m/>
    <m/>
    <m/>
    <m/>
    <m/>
    <m/>
    <n v="0"/>
    <m/>
    <m/>
    <m/>
    <m/>
    <n v="0"/>
    <n v="0"/>
    <n v="0"/>
    <n v="0"/>
    <n v="0"/>
    <n v="0"/>
    <n v="0"/>
  </r>
  <r>
    <x v="0"/>
    <x v="7"/>
    <m/>
    <s v="GalvaCourbe ff  2"/>
    <s v="2&quot;"/>
    <n v="6"/>
    <s v="2G2"/>
    <m/>
    <m/>
    <n v="0"/>
    <m/>
    <m/>
    <m/>
    <m/>
    <m/>
    <m/>
    <n v="0"/>
    <m/>
    <m/>
    <m/>
    <m/>
    <n v="0"/>
    <n v="0"/>
    <n v="0"/>
    <n v="0"/>
    <n v="0"/>
    <n v="0"/>
    <n v="0"/>
  </r>
  <r>
    <x v="0"/>
    <x v="7"/>
    <m/>
    <s v="GalvaCourbe ff  2"/>
    <s v="2&quot;1/2"/>
    <n v="7"/>
    <s v="2G212"/>
    <m/>
    <m/>
    <n v="0"/>
    <m/>
    <m/>
    <m/>
    <m/>
    <m/>
    <m/>
    <n v="0"/>
    <m/>
    <m/>
    <m/>
    <m/>
    <n v="0"/>
    <n v="0"/>
    <n v="0"/>
    <n v="0"/>
    <n v="0"/>
    <n v="0"/>
    <n v="0"/>
  </r>
  <r>
    <x v="0"/>
    <x v="7"/>
    <m/>
    <s v="GalvaCourbe ff  2"/>
    <s v=" 3&quot;"/>
    <n v="8"/>
    <s v="2G3"/>
    <m/>
    <m/>
    <n v="0"/>
    <m/>
    <m/>
    <m/>
    <m/>
    <m/>
    <m/>
    <n v="0"/>
    <m/>
    <m/>
    <m/>
    <m/>
    <n v="0"/>
    <n v="0"/>
    <n v="0"/>
    <n v="0"/>
    <n v="0"/>
    <n v="0"/>
    <n v="0"/>
  </r>
  <r>
    <x v="0"/>
    <x v="7"/>
    <m/>
    <s v="GalvaCourbe ff  2"/>
    <s v=" 3/4"/>
    <n v="9"/>
    <s v="2G34"/>
    <m/>
    <m/>
    <n v="0"/>
    <m/>
    <m/>
    <m/>
    <m/>
    <m/>
    <m/>
    <n v="0"/>
    <m/>
    <m/>
    <m/>
    <m/>
    <n v="0"/>
    <n v="0"/>
    <n v="0"/>
    <n v="0"/>
    <n v="0"/>
    <n v="0"/>
    <n v="0"/>
  </r>
  <r>
    <x v="0"/>
    <x v="7"/>
    <m/>
    <s v="GalvaCourbe ff  2"/>
    <s v=" 3/8"/>
    <n v="10"/>
    <s v="2G38"/>
    <m/>
    <m/>
    <n v="0"/>
    <m/>
    <m/>
    <m/>
    <m/>
    <m/>
    <m/>
    <n v="0"/>
    <m/>
    <m/>
    <m/>
    <m/>
    <n v="0"/>
    <n v="0"/>
    <n v="0"/>
    <n v="0"/>
    <n v="0"/>
    <n v="0"/>
    <n v="0"/>
  </r>
  <r>
    <x v="0"/>
    <x v="7"/>
    <m/>
    <s v="GalvaCourbe ff  2"/>
    <s v=" 1/8"/>
    <n v="11"/>
    <s v="HHHHHH"/>
    <m/>
    <m/>
    <n v="0"/>
    <m/>
    <m/>
    <m/>
    <m/>
    <m/>
    <m/>
    <n v="0"/>
    <m/>
    <m/>
    <m/>
    <m/>
    <n v="0"/>
    <n v="0"/>
    <n v="0"/>
    <n v="0"/>
    <n v="0"/>
    <n v="0"/>
    <n v="0"/>
  </r>
  <r>
    <x v="0"/>
    <x v="7"/>
    <m/>
    <s v="GalvaCourbe ff  2"/>
    <m/>
    <n v="0"/>
    <m/>
    <m/>
    <m/>
    <n v="0"/>
    <m/>
    <m/>
    <m/>
    <m/>
    <m/>
    <m/>
    <n v="0"/>
    <m/>
    <m/>
    <m/>
    <m/>
    <n v="0"/>
    <n v="0"/>
    <n v="0"/>
    <n v="0"/>
    <n v="0"/>
    <n v="0"/>
    <n v="0"/>
  </r>
  <r>
    <x v="0"/>
    <x v="8"/>
    <m/>
    <s v="GalvaCourbe ff 45° 41"/>
    <s v="1&quot;"/>
    <n v="1"/>
    <s v="41G1"/>
    <m/>
    <m/>
    <n v="0"/>
    <m/>
    <m/>
    <m/>
    <m/>
    <m/>
    <m/>
    <n v="0"/>
    <m/>
    <m/>
    <m/>
    <m/>
    <n v="0"/>
    <n v="0"/>
    <n v="0"/>
    <n v="0"/>
    <n v="0"/>
    <n v="0"/>
    <n v="0"/>
  </r>
  <r>
    <x v="0"/>
    <x v="8"/>
    <m/>
    <s v="GalvaCourbe ff 45° 41"/>
    <s v="1&quot;1/2"/>
    <n v="2"/>
    <s v="41G112"/>
    <m/>
    <m/>
    <n v="0"/>
    <m/>
    <m/>
    <m/>
    <m/>
    <m/>
    <m/>
    <n v="0"/>
    <m/>
    <m/>
    <m/>
    <m/>
    <n v="0"/>
    <n v="0"/>
    <n v="0"/>
    <n v="0"/>
    <n v="0"/>
    <n v="0"/>
    <n v="0"/>
  </r>
  <r>
    <x v="0"/>
    <x v="8"/>
    <m/>
    <s v="GalvaCourbe ff 45° 41"/>
    <s v="1&quot;1/4"/>
    <n v="3"/>
    <s v="41G114"/>
    <m/>
    <m/>
    <n v="0"/>
    <m/>
    <m/>
    <m/>
    <m/>
    <m/>
    <m/>
    <n v="0"/>
    <m/>
    <m/>
    <m/>
    <m/>
    <n v="0"/>
    <n v="0"/>
    <n v="0"/>
    <n v="0"/>
    <n v="0"/>
    <n v="0"/>
    <n v="0"/>
  </r>
  <r>
    <x v="0"/>
    <x v="8"/>
    <m/>
    <s v="GalvaCourbe ff 45° 41"/>
    <s v=" 1/2"/>
    <n v="4"/>
    <s v="41G12"/>
    <m/>
    <m/>
    <n v="0"/>
    <m/>
    <m/>
    <m/>
    <m/>
    <m/>
    <m/>
    <n v="0"/>
    <m/>
    <m/>
    <m/>
    <m/>
    <n v="0"/>
    <n v="0"/>
    <n v="0"/>
    <n v="0"/>
    <n v="0"/>
    <n v="0"/>
    <n v="0"/>
  </r>
  <r>
    <x v="0"/>
    <x v="8"/>
    <m/>
    <s v="GalvaCourbe ff 45° 41"/>
    <s v=" 1/4"/>
    <n v="5"/>
    <s v="41G14"/>
    <m/>
    <m/>
    <n v="0"/>
    <m/>
    <m/>
    <m/>
    <m/>
    <m/>
    <m/>
    <n v="0"/>
    <m/>
    <m/>
    <m/>
    <m/>
    <n v="0"/>
    <n v="0"/>
    <n v="0"/>
    <n v="0"/>
    <n v="0"/>
    <n v="0"/>
    <n v="0"/>
  </r>
  <r>
    <x v="0"/>
    <x v="8"/>
    <m/>
    <s v="GalvaCourbe ff 45° 41"/>
    <s v="2&quot;"/>
    <n v="6"/>
    <s v="41G2"/>
    <m/>
    <m/>
    <n v="0"/>
    <m/>
    <m/>
    <m/>
    <m/>
    <m/>
    <m/>
    <n v="0"/>
    <m/>
    <m/>
    <m/>
    <m/>
    <n v="0"/>
    <n v="0"/>
    <n v="0"/>
    <n v="0"/>
    <n v="0"/>
    <n v="0"/>
    <n v="0"/>
  </r>
  <r>
    <x v="0"/>
    <x v="8"/>
    <m/>
    <s v="GalvaCourbe ff 45° 41"/>
    <s v="2&quot;1/2"/>
    <n v="7"/>
    <s v="41G212"/>
    <m/>
    <m/>
    <n v="0"/>
    <m/>
    <m/>
    <m/>
    <m/>
    <m/>
    <m/>
    <n v="0"/>
    <m/>
    <m/>
    <m/>
    <m/>
    <n v="0"/>
    <n v="0"/>
    <n v="0"/>
    <n v="0"/>
    <n v="0"/>
    <n v="0"/>
    <n v="0"/>
  </r>
  <r>
    <x v="0"/>
    <x v="8"/>
    <m/>
    <s v="GalvaCourbe ff 45° 41"/>
    <s v=" 3/4"/>
    <n v="8"/>
    <s v="41G34"/>
    <m/>
    <m/>
    <n v="0"/>
    <m/>
    <m/>
    <m/>
    <m/>
    <m/>
    <m/>
    <n v="0"/>
    <m/>
    <m/>
    <m/>
    <m/>
    <n v="0"/>
    <n v="0"/>
    <n v="0"/>
    <n v="0"/>
    <n v="0"/>
    <n v="0"/>
    <n v="0"/>
  </r>
  <r>
    <x v="0"/>
    <x v="8"/>
    <m/>
    <s v="GalvaCourbe ff 45° 41"/>
    <s v=" 3/8"/>
    <n v="9"/>
    <s v="41G38"/>
    <m/>
    <m/>
    <n v="0"/>
    <m/>
    <m/>
    <m/>
    <m/>
    <m/>
    <m/>
    <n v="0"/>
    <m/>
    <m/>
    <m/>
    <m/>
    <n v="0"/>
    <n v="0"/>
    <n v="0"/>
    <n v="0"/>
    <n v="0"/>
    <n v="0"/>
    <n v="0"/>
  </r>
  <r>
    <x v="0"/>
    <x v="8"/>
    <m/>
    <s v="GalvaCourbe ff 45° 41"/>
    <m/>
    <n v="0"/>
    <m/>
    <m/>
    <m/>
    <n v="0"/>
    <m/>
    <m/>
    <m/>
    <m/>
    <m/>
    <m/>
    <n v="0"/>
    <m/>
    <m/>
    <m/>
    <m/>
    <n v="0"/>
    <n v="0"/>
    <n v="0"/>
    <n v="0"/>
    <n v="0"/>
    <n v="0"/>
    <n v="0"/>
  </r>
  <r>
    <x v="0"/>
    <x v="9"/>
    <m/>
    <s v="GalvaCourbe mm 3"/>
    <s v="1&quot;"/>
    <n v="1"/>
    <s v="3G1"/>
    <m/>
    <m/>
    <n v="0"/>
    <m/>
    <m/>
    <m/>
    <m/>
    <m/>
    <m/>
    <n v="0"/>
    <m/>
    <m/>
    <m/>
    <m/>
    <n v="0"/>
    <n v="0"/>
    <n v="0"/>
    <n v="0"/>
    <n v="0"/>
    <n v="0"/>
    <n v="0"/>
  </r>
  <r>
    <x v="0"/>
    <x v="9"/>
    <m/>
    <s v="GalvaCourbe mm 3"/>
    <s v="1&quot;1/2"/>
    <n v="2"/>
    <s v="3G112"/>
    <m/>
    <m/>
    <n v="0"/>
    <m/>
    <m/>
    <m/>
    <m/>
    <m/>
    <m/>
    <n v="0"/>
    <m/>
    <m/>
    <m/>
    <m/>
    <n v="0"/>
    <n v="0"/>
    <n v="0"/>
    <n v="0"/>
    <n v="0"/>
    <n v="0"/>
    <n v="0"/>
  </r>
  <r>
    <x v="0"/>
    <x v="9"/>
    <m/>
    <s v="GalvaCourbe mm 3"/>
    <s v="1&quot;1/4"/>
    <n v="3"/>
    <s v="3G114"/>
    <m/>
    <m/>
    <n v="0"/>
    <m/>
    <m/>
    <m/>
    <m/>
    <m/>
    <m/>
    <n v="0"/>
    <m/>
    <m/>
    <m/>
    <m/>
    <n v="0"/>
    <n v="0"/>
    <n v="0"/>
    <n v="0"/>
    <n v="0"/>
    <n v="0"/>
    <n v="0"/>
  </r>
  <r>
    <x v="0"/>
    <x v="9"/>
    <m/>
    <s v="GalvaCourbe mm 3"/>
    <s v=" 1/2"/>
    <n v="4"/>
    <s v="3G12"/>
    <m/>
    <m/>
    <n v="0"/>
    <m/>
    <m/>
    <m/>
    <m/>
    <m/>
    <m/>
    <n v="0"/>
    <m/>
    <m/>
    <m/>
    <m/>
    <n v="0"/>
    <n v="0"/>
    <n v="0"/>
    <n v="0"/>
    <n v="0"/>
    <n v="0"/>
    <n v="0"/>
  </r>
  <r>
    <x v="0"/>
    <x v="9"/>
    <m/>
    <s v="GalvaCourbe mm 3"/>
    <s v=" 1/4"/>
    <n v="5"/>
    <s v="3G14"/>
    <m/>
    <m/>
    <n v="0"/>
    <m/>
    <m/>
    <m/>
    <m/>
    <m/>
    <m/>
    <n v="0"/>
    <m/>
    <m/>
    <m/>
    <m/>
    <n v="0"/>
    <n v="0"/>
    <n v="0"/>
    <n v="0"/>
    <n v="0"/>
    <n v="0"/>
    <n v="0"/>
  </r>
  <r>
    <x v="0"/>
    <x v="9"/>
    <m/>
    <s v="GalvaCourbe mm 3"/>
    <s v=" 1/8"/>
    <n v="6"/>
    <s v="3G18"/>
    <m/>
    <m/>
    <n v="0"/>
    <m/>
    <m/>
    <m/>
    <m/>
    <m/>
    <m/>
    <n v="0"/>
    <m/>
    <m/>
    <m/>
    <m/>
    <n v="0"/>
    <n v="0"/>
    <n v="0"/>
    <n v="0"/>
    <n v="0"/>
    <n v="0"/>
    <n v="0"/>
  </r>
  <r>
    <x v="0"/>
    <x v="9"/>
    <m/>
    <s v="GalvaCourbe mm 3"/>
    <s v="2&quot;"/>
    <n v="7"/>
    <s v="3G2"/>
    <m/>
    <m/>
    <n v="0"/>
    <m/>
    <m/>
    <m/>
    <m/>
    <m/>
    <m/>
    <n v="0"/>
    <m/>
    <m/>
    <m/>
    <m/>
    <n v="0"/>
    <n v="0"/>
    <n v="0"/>
    <n v="0"/>
    <n v="0"/>
    <n v="0"/>
    <n v="0"/>
  </r>
  <r>
    <x v="0"/>
    <x v="9"/>
    <m/>
    <s v="GalvaCourbe mm 3"/>
    <s v="2&quot;1/2"/>
    <n v="8"/>
    <s v="3G212"/>
    <m/>
    <m/>
    <n v="0"/>
    <m/>
    <m/>
    <m/>
    <m/>
    <m/>
    <m/>
    <n v="0"/>
    <m/>
    <m/>
    <m/>
    <m/>
    <n v="0"/>
    <n v="0"/>
    <n v="0"/>
    <n v="0"/>
    <n v="0"/>
    <n v="0"/>
    <n v="0"/>
  </r>
  <r>
    <x v="0"/>
    <x v="9"/>
    <m/>
    <s v="GalvaCourbe mm 3"/>
    <s v=" 3&quot;"/>
    <n v="9"/>
    <s v="3G3"/>
    <m/>
    <m/>
    <n v="0"/>
    <m/>
    <m/>
    <m/>
    <m/>
    <m/>
    <m/>
    <n v="0"/>
    <m/>
    <m/>
    <m/>
    <m/>
    <n v="0"/>
    <n v="0"/>
    <n v="0"/>
    <n v="0"/>
    <n v="0"/>
    <n v="0"/>
    <n v="0"/>
  </r>
  <r>
    <x v="0"/>
    <x v="9"/>
    <m/>
    <s v="GalvaCourbe mm 3"/>
    <s v=" 3/4"/>
    <n v="10"/>
    <s v="3G34"/>
    <m/>
    <m/>
    <n v="0"/>
    <m/>
    <m/>
    <m/>
    <m/>
    <m/>
    <m/>
    <n v="0"/>
    <m/>
    <m/>
    <m/>
    <m/>
    <n v="0"/>
    <n v="0"/>
    <n v="0"/>
    <n v="0"/>
    <n v="0"/>
    <n v="0"/>
    <n v="0"/>
  </r>
  <r>
    <x v="0"/>
    <x v="9"/>
    <m/>
    <s v="GalvaCourbe mm 3"/>
    <s v=" 3/8"/>
    <n v="11"/>
    <s v="3G38"/>
    <m/>
    <m/>
    <n v="0"/>
    <m/>
    <m/>
    <m/>
    <m/>
    <m/>
    <m/>
    <n v="0"/>
    <m/>
    <m/>
    <m/>
    <m/>
    <n v="0"/>
    <n v="0"/>
    <n v="0"/>
    <n v="0"/>
    <n v="0"/>
    <n v="0"/>
    <n v="0"/>
  </r>
  <r>
    <x v="0"/>
    <x v="9"/>
    <m/>
    <s v="GalvaCourbe mm 3"/>
    <s v="4&quot;"/>
    <n v="12"/>
    <s v="3G4"/>
    <m/>
    <m/>
    <n v="0"/>
    <m/>
    <m/>
    <m/>
    <m/>
    <m/>
    <m/>
    <n v="0"/>
    <m/>
    <m/>
    <m/>
    <m/>
    <n v="0"/>
    <n v="0"/>
    <n v="0"/>
    <n v="0"/>
    <n v="0"/>
    <n v="0"/>
    <n v="0"/>
  </r>
  <r>
    <x v="0"/>
    <x v="9"/>
    <m/>
    <s v="GalvaCourbe mm 3"/>
    <m/>
    <n v="0"/>
    <m/>
    <m/>
    <m/>
    <n v="0"/>
    <m/>
    <m/>
    <m/>
    <m/>
    <m/>
    <m/>
    <n v="0"/>
    <m/>
    <m/>
    <m/>
    <m/>
    <n v="0"/>
    <n v="0"/>
    <n v="0"/>
    <n v="0"/>
    <n v="0"/>
    <n v="0"/>
    <n v="0"/>
  </r>
  <r>
    <x v="0"/>
    <x v="10"/>
    <m/>
    <s v="GalvaCourbes mf 1"/>
    <s v="1&quot;"/>
    <n v="1"/>
    <s v="1G1"/>
    <m/>
    <m/>
    <n v="0"/>
    <m/>
    <m/>
    <m/>
    <m/>
    <m/>
    <m/>
    <n v="0"/>
    <m/>
    <m/>
    <m/>
    <m/>
    <n v="0"/>
    <n v="0"/>
    <n v="0"/>
    <n v="0"/>
    <n v="0"/>
    <n v="0"/>
    <n v="0"/>
  </r>
  <r>
    <x v="0"/>
    <x v="10"/>
    <m/>
    <s v="GalvaCourbes mf 1"/>
    <s v="1&quot;1/2"/>
    <n v="2"/>
    <s v="1G112"/>
    <m/>
    <m/>
    <n v="0"/>
    <m/>
    <m/>
    <m/>
    <m/>
    <m/>
    <m/>
    <n v="0"/>
    <m/>
    <m/>
    <m/>
    <m/>
    <n v="0"/>
    <n v="0"/>
    <n v="0"/>
    <n v="0"/>
    <n v="0"/>
    <n v="0"/>
    <n v="0"/>
  </r>
  <r>
    <x v="0"/>
    <x v="10"/>
    <m/>
    <s v="GalvaCourbes mf 1"/>
    <s v="1&quot;1/4"/>
    <n v="3"/>
    <s v="1G114"/>
    <m/>
    <m/>
    <n v="0"/>
    <m/>
    <m/>
    <m/>
    <m/>
    <m/>
    <m/>
    <n v="0"/>
    <m/>
    <m/>
    <m/>
    <m/>
    <n v="0"/>
    <n v="0"/>
    <n v="0"/>
    <n v="0"/>
    <n v="0"/>
    <n v="0"/>
    <n v="0"/>
  </r>
  <r>
    <x v="0"/>
    <x v="10"/>
    <m/>
    <s v="GalvaCourbes mf 1"/>
    <s v=" 1/2"/>
    <n v="4"/>
    <s v="1G12"/>
    <m/>
    <m/>
    <n v="0"/>
    <m/>
    <m/>
    <m/>
    <m/>
    <m/>
    <m/>
    <n v="0"/>
    <m/>
    <m/>
    <m/>
    <m/>
    <n v="0"/>
    <n v="0"/>
    <n v="0"/>
    <n v="0"/>
    <n v="0"/>
    <n v="0"/>
    <n v="0"/>
  </r>
  <r>
    <x v="0"/>
    <x v="10"/>
    <m/>
    <s v="GalvaCourbes mf 1"/>
    <s v=" 1/4"/>
    <n v="5"/>
    <s v="1G14"/>
    <m/>
    <m/>
    <n v="0"/>
    <m/>
    <m/>
    <m/>
    <m/>
    <m/>
    <m/>
    <n v="0"/>
    <m/>
    <m/>
    <m/>
    <m/>
    <n v="0"/>
    <n v="0"/>
    <n v="0"/>
    <n v="0"/>
    <n v="0"/>
    <n v="0"/>
    <n v="0"/>
  </r>
  <r>
    <x v="0"/>
    <x v="10"/>
    <m/>
    <s v="GalvaCourbes mf 1"/>
    <s v=" 1/8"/>
    <n v="6"/>
    <s v="1G18"/>
    <m/>
    <m/>
    <n v="0"/>
    <m/>
    <m/>
    <m/>
    <m/>
    <m/>
    <m/>
    <n v="0"/>
    <m/>
    <m/>
    <m/>
    <m/>
    <n v="0"/>
    <n v="0"/>
    <n v="0"/>
    <n v="0"/>
    <n v="0"/>
    <n v="0"/>
    <n v="0"/>
  </r>
  <r>
    <x v="0"/>
    <x v="10"/>
    <m/>
    <s v="GalvaCourbes mf 1"/>
    <s v="2&quot;"/>
    <n v="7"/>
    <s v="1G2"/>
    <m/>
    <m/>
    <n v="0"/>
    <m/>
    <m/>
    <m/>
    <m/>
    <m/>
    <m/>
    <n v="0"/>
    <m/>
    <m/>
    <m/>
    <m/>
    <n v="0"/>
    <n v="0"/>
    <n v="0"/>
    <n v="0"/>
    <n v="0"/>
    <n v="0"/>
    <n v="0"/>
  </r>
  <r>
    <x v="0"/>
    <x v="10"/>
    <m/>
    <s v="GalvaCourbes mf 1"/>
    <s v="2&quot;1/2"/>
    <n v="8"/>
    <s v="1G212"/>
    <m/>
    <m/>
    <n v="0"/>
    <m/>
    <m/>
    <m/>
    <m/>
    <m/>
    <m/>
    <n v="0"/>
    <m/>
    <m/>
    <m/>
    <m/>
    <n v="0"/>
    <n v="0"/>
    <n v="0"/>
    <n v="0"/>
    <n v="0"/>
    <n v="0"/>
    <n v="0"/>
  </r>
  <r>
    <x v="0"/>
    <x v="10"/>
    <m/>
    <s v="GalvaCourbes mf 1"/>
    <s v=" 3&quot;"/>
    <n v="9"/>
    <s v="1G3"/>
    <m/>
    <m/>
    <n v="0"/>
    <m/>
    <m/>
    <m/>
    <m/>
    <m/>
    <m/>
    <n v="0"/>
    <m/>
    <m/>
    <m/>
    <m/>
    <n v="0"/>
    <n v="0"/>
    <n v="0"/>
    <n v="0"/>
    <n v="0"/>
    <n v="0"/>
    <n v="0"/>
  </r>
  <r>
    <x v="0"/>
    <x v="10"/>
    <m/>
    <s v="GalvaCourbes mf 1"/>
    <s v=" 3/4"/>
    <n v="10"/>
    <s v="1G34"/>
    <m/>
    <m/>
    <n v="0"/>
    <m/>
    <m/>
    <m/>
    <m/>
    <m/>
    <m/>
    <n v="0"/>
    <m/>
    <m/>
    <m/>
    <m/>
    <n v="0"/>
    <n v="0"/>
    <n v="0"/>
    <n v="0"/>
    <n v="0"/>
    <n v="0"/>
    <n v="0"/>
  </r>
  <r>
    <x v="0"/>
    <x v="10"/>
    <m/>
    <s v="GalvaCourbes mf 1"/>
    <s v=" 3/8"/>
    <n v="11"/>
    <s v="1G38"/>
    <m/>
    <m/>
    <n v="0"/>
    <m/>
    <m/>
    <m/>
    <m/>
    <m/>
    <m/>
    <n v="0"/>
    <m/>
    <m/>
    <m/>
    <m/>
    <n v="0"/>
    <n v="0"/>
    <n v="0"/>
    <n v="0"/>
    <n v="0"/>
    <n v="0"/>
    <n v="0"/>
  </r>
  <r>
    <x v="0"/>
    <x v="10"/>
    <m/>
    <s v="GalvaCourbes mf 1"/>
    <m/>
    <n v="0"/>
    <m/>
    <m/>
    <m/>
    <n v="0"/>
    <m/>
    <m/>
    <m/>
    <m/>
    <m/>
    <m/>
    <n v="0"/>
    <m/>
    <m/>
    <m/>
    <m/>
    <n v="0"/>
    <n v="0"/>
    <n v="0"/>
    <n v="0"/>
    <n v="0"/>
    <n v="0"/>
    <n v="0"/>
  </r>
  <r>
    <x v="0"/>
    <x v="11"/>
    <m/>
    <s v="GalvaCourbes mf 45° 40"/>
    <s v="1&quot;"/>
    <n v="1"/>
    <s v="40G1"/>
    <m/>
    <m/>
    <n v="0"/>
    <m/>
    <m/>
    <m/>
    <m/>
    <m/>
    <m/>
    <n v="0"/>
    <m/>
    <m/>
    <m/>
    <m/>
    <n v="0"/>
    <n v="0"/>
    <n v="0"/>
    <n v="0"/>
    <n v="0"/>
    <n v="0"/>
    <n v="0"/>
  </r>
  <r>
    <x v="0"/>
    <x v="11"/>
    <m/>
    <s v="GalvaCourbes mf 45° 40"/>
    <s v="1&quot;1/2"/>
    <n v="2"/>
    <s v="40G112"/>
    <m/>
    <m/>
    <n v="0"/>
    <m/>
    <m/>
    <m/>
    <m/>
    <m/>
    <m/>
    <n v="0"/>
    <m/>
    <m/>
    <m/>
    <m/>
    <n v="0"/>
    <n v="0"/>
    <n v="0"/>
    <n v="0"/>
    <n v="0"/>
    <n v="0"/>
    <n v="0"/>
  </r>
  <r>
    <x v="0"/>
    <x v="11"/>
    <m/>
    <s v="GalvaCourbes mf 45° 40"/>
    <s v="1&quot;1/4"/>
    <n v="3"/>
    <s v="40G114"/>
    <m/>
    <m/>
    <n v="0"/>
    <m/>
    <m/>
    <m/>
    <m/>
    <m/>
    <m/>
    <n v="0"/>
    <m/>
    <m/>
    <m/>
    <m/>
    <n v="0"/>
    <n v="0"/>
    <n v="0"/>
    <n v="0"/>
    <n v="0"/>
    <n v="0"/>
    <n v="0"/>
  </r>
  <r>
    <x v="0"/>
    <x v="11"/>
    <m/>
    <s v="GalvaCourbes mf 45° 40"/>
    <s v=" 1/2"/>
    <n v="4"/>
    <s v="40G12"/>
    <m/>
    <m/>
    <n v="0"/>
    <m/>
    <m/>
    <m/>
    <m/>
    <m/>
    <m/>
    <n v="0"/>
    <m/>
    <m/>
    <m/>
    <m/>
    <n v="0"/>
    <n v="0"/>
    <n v="0"/>
    <n v="0"/>
    <n v="0"/>
    <n v="0"/>
    <n v="0"/>
  </r>
  <r>
    <x v="0"/>
    <x v="11"/>
    <m/>
    <s v="GalvaCourbes mf 45° 40"/>
    <s v=" 1/4"/>
    <n v="5"/>
    <s v="40G14"/>
    <m/>
    <m/>
    <n v="0"/>
    <m/>
    <m/>
    <m/>
    <m/>
    <m/>
    <m/>
    <n v="0"/>
    <m/>
    <m/>
    <m/>
    <m/>
    <n v="0"/>
    <n v="0"/>
    <n v="0"/>
    <n v="0"/>
    <n v="0"/>
    <n v="0"/>
    <n v="0"/>
  </r>
  <r>
    <x v="0"/>
    <x v="11"/>
    <m/>
    <s v="GalvaCourbes mf 45° 40"/>
    <s v="2&quot;"/>
    <n v="6"/>
    <s v="40G2"/>
    <m/>
    <m/>
    <n v="0"/>
    <m/>
    <m/>
    <m/>
    <m/>
    <m/>
    <m/>
    <n v="0"/>
    <m/>
    <m/>
    <m/>
    <m/>
    <n v="0"/>
    <n v="0"/>
    <n v="0"/>
    <n v="0"/>
    <n v="0"/>
    <n v="0"/>
    <n v="0"/>
  </r>
  <r>
    <x v="0"/>
    <x v="11"/>
    <m/>
    <s v="GalvaCourbes mf 45° 40"/>
    <s v="2&quot;1/2"/>
    <n v="7"/>
    <s v="40G212"/>
    <m/>
    <m/>
    <n v="0"/>
    <m/>
    <m/>
    <m/>
    <m/>
    <m/>
    <m/>
    <n v="0"/>
    <m/>
    <m/>
    <m/>
    <m/>
    <n v="0"/>
    <n v="0"/>
    <n v="0"/>
    <n v="0"/>
    <n v="0"/>
    <n v="0"/>
    <n v="0"/>
  </r>
  <r>
    <x v="0"/>
    <x v="11"/>
    <m/>
    <s v="GalvaCourbes mf 45° 40"/>
    <s v=" 3&quot;"/>
    <n v="8"/>
    <s v="40G3"/>
    <m/>
    <m/>
    <n v="0"/>
    <m/>
    <m/>
    <m/>
    <m/>
    <m/>
    <m/>
    <n v="0"/>
    <m/>
    <m/>
    <m/>
    <m/>
    <n v="0"/>
    <n v="0"/>
    <n v="0"/>
    <n v="0"/>
    <n v="0"/>
    <n v="0"/>
    <n v="0"/>
  </r>
  <r>
    <x v="0"/>
    <x v="11"/>
    <m/>
    <s v="GalvaCourbes mf 45° 40"/>
    <s v=" 3/4"/>
    <n v="9"/>
    <s v="40G34"/>
    <m/>
    <m/>
    <n v="0"/>
    <m/>
    <m/>
    <m/>
    <m/>
    <m/>
    <m/>
    <n v="0"/>
    <m/>
    <m/>
    <m/>
    <m/>
    <n v="0"/>
    <n v="0"/>
    <n v="0"/>
    <n v="0"/>
    <n v="0"/>
    <n v="0"/>
    <n v="0"/>
  </r>
  <r>
    <x v="0"/>
    <x v="11"/>
    <m/>
    <s v="GalvaCourbes mf 45° 40"/>
    <s v=" 3/8"/>
    <n v="10"/>
    <s v="40G38"/>
    <m/>
    <m/>
    <n v="0"/>
    <m/>
    <m/>
    <m/>
    <m/>
    <m/>
    <m/>
    <n v="0"/>
    <m/>
    <m/>
    <m/>
    <m/>
    <n v="0"/>
    <n v="0"/>
    <n v="0"/>
    <n v="0"/>
    <n v="0"/>
    <n v="0"/>
    <n v="0"/>
  </r>
  <r>
    <x v="0"/>
    <x v="11"/>
    <m/>
    <s v="GalvaCourbes mf 45° 40"/>
    <m/>
    <n v="0"/>
    <m/>
    <m/>
    <m/>
    <n v="0"/>
    <m/>
    <m/>
    <m/>
    <m/>
    <m/>
    <m/>
    <n v="0"/>
    <m/>
    <m/>
    <m/>
    <m/>
    <n v="0"/>
    <n v="0"/>
    <n v="0"/>
    <n v="0"/>
    <n v="0"/>
    <n v="0"/>
    <n v="0"/>
  </r>
  <r>
    <x v="0"/>
    <x v="12"/>
    <m/>
    <s v="GalvaCroix 180"/>
    <s v="1&quot;"/>
    <n v="1"/>
    <s v="180G1"/>
    <m/>
    <m/>
    <n v="0"/>
    <m/>
    <m/>
    <m/>
    <m/>
    <m/>
    <m/>
    <n v="0"/>
    <m/>
    <m/>
    <m/>
    <m/>
    <n v="0"/>
    <n v="0"/>
    <n v="0"/>
    <n v="0"/>
    <n v="0"/>
    <n v="0"/>
    <n v="0"/>
  </r>
  <r>
    <x v="0"/>
    <x v="12"/>
    <m/>
    <s v="GalvaCroix 180"/>
    <s v="1&quot;1/2"/>
    <n v="2"/>
    <s v="180G112"/>
    <m/>
    <m/>
    <n v="0"/>
    <m/>
    <m/>
    <m/>
    <m/>
    <m/>
    <m/>
    <n v="0"/>
    <m/>
    <m/>
    <m/>
    <m/>
    <n v="0"/>
    <n v="0"/>
    <n v="0"/>
    <n v="0"/>
    <n v="0"/>
    <n v="0"/>
    <n v="0"/>
  </r>
  <r>
    <x v="0"/>
    <x v="12"/>
    <m/>
    <s v="GalvaCroix 180"/>
    <s v="1&quot;1/4"/>
    <n v="3"/>
    <s v="180G114"/>
    <m/>
    <m/>
    <n v="0"/>
    <m/>
    <m/>
    <m/>
    <m/>
    <m/>
    <m/>
    <n v="0"/>
    <m/>
    <m/>
    <m/>
    <m/>
    <n v="0"/>
    <n v="0"/>
    <n v="0"/>
    <n v="0"/>
    <n v="0"/>
    <n v="0"/>
    <n v="0"/>
  </r>
  <r>
    <x v="0"/>
    <x v="12"/>
    <m/>
    <s v="GalvaCroix 180"/>
    <s v=" 1/2"/>
    <n v="4"/>
    <s v="180G12"/>
    <m/>
    <m/>
    <n v="0"/>
    <m/>
    <m/>
    <m/>
    <m/>
    <m/>
    <m/>
    <n v="0"/>
    <m/>
    <m/>
    <m/>
    <m/>
    <n v="0"/>
    <n v="0"/>
    <n v="0"/>
    <n v="0"/>
    <n v="0"/>
    <n v="0"/>
    <n v="0"/>
  </r>
  <r>
    <x v="0"/>
    <x v="12"/>
    <m/>
    <s v="GalvaCroix 180"/>
    <s v=" 1/4"/>
    <n v="5"/>
    <s v="180G14"/>
    <m/>
    <m/>
    <n v="0"/>
    <m/>
    <m/>
    <m/>
    <m/>
    <m/>
    <m/>
    <n v="0"/>
    <m/>
    <m/>
    <m/>
    <m/>
    <n v="0"/>
    <n v="0"/>
    <n v="0"/>
    <n v="0"/>
    <n v="0"/>
    <n v="0"/>
    <n v="0"/>
  </r>
  <r>
    <x v="0"/>
    <x v="12"/>
    <m/>
    <s v="GalvaCroix 180"/>
    <s v="2&quot;"/>
    <n v="6"/>
    <s v="180G2"/>
    <m/>
    <m/>
    <n v="0"/>
    <m/>
    <m/>
    <m/>
    <m/>
    <m/>
    <m/>
    <n v="0"/>
    <m/>
    <m/>
    <m/>
    <m/>
    <n v="0"/>
    <n v="0"/>
    <n v="0"/>
    <n v="0"/>
    <n v="0"/>
    <n v="0"/>
    <n v="0"/>
  </r>
  <r>
    <x v="0"/>
    <x v="12"/>
    <m/>
    <s v="GalvaCroix 180"/>
    <s v=" 3/4"/>
    <n v="7"/>
    <s v="180G34"/>
    <m/>
    <m/>
    <n v="0"/>
    <m/>
    <m/>
    <m/>
    <m/>
    <m/>
    <m/>
    <n v="0"/>
    <m/>
    <m/>
    <m/>
    <m/>
    <n v="0"/>
    <n v="0"/>
    <n v="0"/>
    <n v="0"/>
    <n v="0"/>
    <n v="0"/>
    <n v="0"/>
  </r>
  <r>
    <x v="0"/>
    <x v="12"/>
    <m/>
    <s v="GalvaCroix 180"/>
    <s v=" 3/8"/>
    <n v="8"/>
    <s v="180G38"/>
    <m/>
    <m/>
    <n v="0"/>
    <m/>
    <m/>
    <m/>
    <m/>
    <m/>
    <m/>
    <n v="0"/>
    <m/>
    <m/>
    <m/>
    <m/>
    <n v="0"/>
    <n v="0"/>
    <n v="0"/>
    <n v="0"/>
    <n v="0"/>
    <n v="0"/>
    <n v="0"/>
  </r>
  <r>
    <x v="0"/>
    <x v="12"/>
    <m/>
    <s v="GalvaCroix 180"/>
    <m/>
    <n v="0"/>
    <m/>
    <m/>
    <m/>
    <n v="0"/>
    <m/>
    <m/>
    <m/>
    <m/>
    <m/>
    <m/>
    <n v="0"/>
    <m/>
    <m/>
    <m/>
    <m/>
    <n v="0"/>
    <n v="0"/>
    <n v="0"/>
    <n v="0"/>
    <n v="0"/>
    <n v="0"/>
    <n v="0"/>
  </r>
  <r>
    <x v="0"/>
    <x v="13"/>
    <m/>
    <s v="GalvaDistributeurs Y 220"/>
    <s v="1&quot;"/>
    <n v="1"/>
    <s v="220G1"/>
    <m/>
    <m/>
    <n v="0"/>
    <m/>
    <m/>
    <m/>
    <m/>
    <m/>
    <m/>
    <n v="0"/>
    <m/>
    <m/>
    <m/>
    <m/>
    <n v="0"/>
    <n v="0"/>
    <n v="0"/>
    <n v="0"/>
    <n v="0"/>
    <n v="0"/>
    <n v="0"/>
  </r>
  <r>
    <x v="0"/>
    <x v="13"/>
    <m/>
    <s v="GalvaDistributeurs Y 220"/>
    <s v=" 3/4"/>
    <n v="2"/>
    <s v="220G34"/>
    <m/>
    <m/>
    <n v="0"/>
    <m/>
    <m/>
    <m/>
    <m/>
    <m/>
    <m/>
    <n v="0"/>
    <m/>
    <m/>
    <m/>
    <m/>
    <n v="0"/>
    <n v="0"/>
    <n v="0"/>
    <n v="0"/>
    <n v="0"/>
    <n v="0"/>
    <n v="0"/>
  </r>
  <r>
    <x v="0"/>
    <x v="13"/>
    <m/>
    <s v="GalvaDistributeurs Y 220"/>
    <s v=" 3/8"/>
    <n v="3"/>
    <s v="220G38"/>
    <m/>
    <m/>
    <n v="0"/>
    <m/>
    <m/>
    <m/>
    <m/>
    <m/>
    <m/>
    <n v="0"/>
    <m/>
    <m/>
    <m/>
    <m/>
    <n v="0"/>
    <n v="0"/>
    <n v="0"/>
    <n v="0"/>
    <n v="0"/>
    <n v="0"/>
    <n v="0"/>
  </r>
  <r>
    <x v="0"/>
    <x v="13"/>
    <m/>
    <s v="GalvaDistributeurs Y 220"/>
    <s v=" 1/2"/>
    <n v="4"/>
    <s v="220N12"/>
    <m/>
    <m/>
    <n v="0"/>
    <m/>
    <m/>
    <m/>
    <m/>
    <m/>
    <m/>
    <n v="0"/>
    <m/>
    <m/>
    <m/>
    <m/>
    <n v="0"/>
    <n v="0"/>
    <n v="0"/>
    <n v="0"/>
    <n v="0"/>
    <n v="0"/>
    <n v="0"/>
  </r>
  <r>
    <x v="0"/>
    <x v="13"/>
    <m/>
    <s v="GalvaDistributeurs Y 220"/>
    <s v=" 1/2 NIKELE MF"/>
    <n v="5"/>
    <s v="220N12"/>
    <m/>
    <m/>
    <n v="0"/>
    <m/>
    <m/>
    <m/>
    <m/>
    <m/>
    <m/>
    <n v="0"/>
    <m/>
    <m/>
    <m/>
    <m/>
    <n v="0"/>
    <n v="0"/>
    <n v="0"/>
    <n v="0"/>
    <n v="0"/>
    <n v="0"/>
    <n v="0"/>
  </r>
  <r>
    <x v="0"/>
    <x v="13"/>
    <m/>
    <s v="GalvaDistributeurs Y 220"/>
    <m/>
    <n v="0"/>
    <m/>
    <m/>
    <m/>
    <n v="0"/>
    <m/>
    <m/>
    <m/>
    <m/>
    <m/>
    <m/>
    <n v="0"/>
    <m/>
    <m/>
    <m/>
    <m/>
    <n v="0"/>
    <n v="0"/>
    <n v="0"/>
    <n v="0"/>
    <n v="0"/>
    <n v="0"/>
    <n v="0"/>
  </r>
  <r>
    <x v="0"/>
    <x v="14"/>
    <m/>
    <s v="GalvaMamelons  280"/>
    <s v="1&quot;"/>
    <n v="1"/>
    <s v="280G1"/>
    <m/>
    <m/>
    <n v="0"/>
    <m/>
    <m/>
    <m/>
    <m/>
    <m/>
    <m/>
    <n v="0"/>
    <m/>
    <m/>
    <m/>
    <m/>
    <n v="0"/>
    <n v="0"/>
    <n v="0"/>
    <n v="0"/>
    <n v="0"/>
    <n v="0"/>
    <n v="0"/>
  </r>
  <r>
    <x v="0"/>
    <x v="14"/>
    <m/>
    <s v="GalvaMamelons  280"/>
    <s v="1&quot;1/2"/>
    <n v="2"/>
    <s v="280G112"/>
    <m/>
    <m/>
    <n v="0"/>
    <m/>
    <m/>
    <m/>
    <m/>
    <m/>
    <m/>
    <n v="0"/>
    <m/>
    <m/>
    <m/>
    <m/>
    <n v="0"/>
    <n v="0"/>
    <n v="0"/>
    <n v="0"/>
    <n v="0"/>
    <n v="0"/>
    <n v="0"/>
  </r>
  <r>
    <x v="0"/>
    <x v="14"/>
    <m/>
    <s v="GalvaMamelons  280"/>
    <s v="1&quot;1/4"/>
    <n v="3"/>
    <s v="280G114"/>
    <m/>
    <m/>
    <n v="0"/>
    <m/>
    <m/>
    <m/>
    <m/>
    <m/>
    <m/>
    <n v="0"/>
    <m/>
    <m/>
    <m/>
    <m/>
    <n v="0"/>
    <n v="0"/>
    <n v="0"/>
    <n v="0"/>
    <n v="0"/>
    <n v="0"/>
    <n v="0"/>
  </r>
  <r>
    <x v="0"/>
    <x v="14"/>
    <m/>
    <s v="GalvaMamelons  280"/>
    <s v=" 1/2"/>
    <n v="4"/>
    <s v="280G12"/>
    <m/>
    <m/>
    <n v="0"/>
    <m/>
    <m/>
    <m/>
    <m/>
    <m/>
    <m/>
    <n v="0"/>
    <m/>
    <m/>
    <m/>
    <m/>
    <n v="0"/>
    <n v="0"/>
    <n v="0"/>
    <n v="0"/>
    <n v="0"/>
    <n v="0"/>
    <n v="0"/>
  </r>
  <r>
    <x v="0"/>
    <x v="14"/>
    <m/>
    <s v="GalvaMamelons  280"/>
    <s v=" 1/4"/>
    <n v="5"/>
    <s v="280G14"/>
    <m/>
    <m/>
    <n v="0"/>
    <m/>
    <m/>
    <m/>
    <m/>
    <m/>
    <m/>
    <n v="0"/>
    <m/>
    <m/>
    <m/>
    <m/>
    <n v="0"/>
    <n v="0"/>
    <n v="0"/>
    <n v="0"/>
    <n v="0"/>
    <n v="0"/>
    <n v="0"/>
  </r>
  <r>
    <x v="0"/>
    <x v="14"/>
    <m/>
    <s v="GalvaMamelons  280"/>
    <s v=" 1/8"/>
    <n v="6"/>
    <s v="280G18"/>
    <m/>
    <m/>
    <n v="0"/>
    <m/>
    <m/>
    <m/>
    <m/>
    <m/>
    <m/>
    <n v="0"/>
    <m/>
    <m/>
    <m/>
    <m/>
    <n v="0"/>
    <n v="0"/>
    <n v="0"/>
    <n v="0"/>
    <n v="0"/>
    <n v="0"/>
    <n v="0"/>
  </r>
  <r>
    <x v="0"/>
    <x v="14"/>
    <m/>
    <s v="GalvaMamelons  280"/>
    <s v="2&quot;"/>
    <n v="7"/>
    <s v="280G2"/>
    <m/>
    <m/>
    <n v="0"/>
    <m/>
    <m/>
    <m/>
    <m/>
    <m/>
    <m/>
    <n v="0"/>
    <m/>
    <m/>
    <m/>
    <m/>
    <n v="0"/>
    <n v="0"/>
    <n v="0"/>
    <n v="0"/>
    <n v="0"/>
    <n v="0"/>
    <n v="0"/>
  </r>
  <r>
    <x v="0"/>
    <x v="14"/>
    <m/>
    <s v="GalvaMamelons  280"/>
    <s v="2&quot;1/2"/>
    <n v="8"/>
    <s v="280G212"/>
    <m/>
    <m/>
    <n v="0"/>
    <m/>
    <m/>
    <m/>
    <m/>
    <m/>
    <m/>
    <n v="0"/>
    <m/>
    <m/>
    <m/>
    <m/>
    <n v="0"/>
    <n v="0"/>
    <n v="0"/>
    <n v="0"/>
    <n v="0"/>
    <n v="0"/>
    <n v="0"/>
  </r>
  <r>
    <x v="0"/>
    <x v="14"/>
    <m/>
    <s v="GalvaMamelons  280"/>
    <s v=" 3&quot;"/>
    <n v="9"/>
    <s v="280G3"/>
    <m/>
    <m/>
    <n v="0"/>
    <m/>
    <m/>
    <m/>
    <m/>
    <m/>
    <m/>
    <n v="0"/>
    <m/>
    <m/>
    <m/>
    <m/>
    <n v="0"/>
    <n v="0"/>
    <n v="0"/>
    <n v="0"/>
    <n v="0"/>
    <n v="0"/>
    <n v="0"/>
  </r>
  <r>
    <x v="0"/>
    <x v="14"/>
    <m/>
    <s v="GalvaMamelons  280"/>
    <s v=" 3/4"/>
    <n v="10"/>
    <s v="280G34"/>
    <m/>
    <m/>
    <n v="0"/>
    <m/>
    <m/>
    <m/>
    <m/>
    <m/>
    <m/>
    <n v="0"/>
    <m/>
    <m/>
    <m/>
    <m/>
    <n v="0"/>
    <n v="0"/>
    <n v="0"/>
    <n v="0"/>
    <n v="0"/>
    <n v="0"/>
    <n v="0"/>
  </r>
  <r>
    <x v="0"/>
    <x v="14"/>
    <m/>
    <s v="GalvaMamelons  280"/>
    <s v=" 3/8"/>
    <n v="11"/>
    <s v="280G38"/>
    <m/>
    <m/>
    <n v="0"/>
    <m/>
    <m/>
    <m/>
    <m/>
    <m/>
    <m/>
    <n v="0"/>
    <m/>
    <m/>
    <m/>
    <m/>
    <n v="0"/>
    <n v="0"/>
    <n v="0"/>
    <n v="0"/>
    <n v="0"/>
    <n v="0"/>
    <n v="0"/>
  </r>
  <r>
    <x v="0"/>
    <x v="14"/>
    <m/>
    <s v="GalvaMamelons  280"/>
    <s v=" 4&quot;"/>
    <n v="12"/>
    <s v="280G4"/>
    <m/>
    <m/>
    <n v="0"/>
    <m/>
    <m/>
    <m/>
    <m/>
    <m/>
    <m/>
    <n v="0"/>
    <m/>
    <m/>
    <m/>
    <m/>
    <n v="0"/>
    <n v="0"/>
    <n v="0"/>
    <n v="0"/>
    <n v="0"/>
    <n v="0"/>
    <n v="0"/>
  </r>
  <r>
    <x v="0"/>
    <x v="14"/>
    <m/>
    <s v="GalvaMamelons  280"/>
    <m/>
    <n v="0"/>
    <m/>
    <m/>
    <m/>
    <n v="0"/>
    <m/>
    <m/>
    <m/>
    <m/>
    <m/>
    <m/>
    <n v="0"/>
    <m/>
    <m/>
    <m/>
    <m/>
    <n v="0"/>
    <n v="0"/>
    <n v="0"/>
    <n v="0"/>
    <n v="0"/>
    <n v="0"/>
    <n v="0"/>
  </r>
  <r>
    <x v="0"/>
    <x v="15"/>
    <m/>
    <s v="GalvaMamelons réduits 245"/>
    <s v="1&quot;-1/2"/>
    <n v="1"/>
    <s v="245G112"/>
    <m/>
    <m/>
    <n v="0"/>
    <m/>
    <m/>
    <m/>
    <m/>
    <m/>
    <m/>
    <n v="0"/>
    <m/>
    <m/>
    <m/>
    <m/>
    <n v="0"/>
    <n v="0"/>
    <n v="0"/>
    <n v="0"/>
    <n v="0"/>
    <n v="0"/>
    <n v="0"/>
  </r>
  <r>
    <x v="0"/>
    <x v="15"/>
    <m/>
    <s v="GalvaMamelons réduits 245"/>
    <s v="1&quot;1/2-1&quot;"/>
    <n v="2"/>
    <s v="245G1121"/>
    <m/>
    <m/>
    <n v="0"/>
    <m/>
    <m/>
    <m/>
    <m/>
    <m/>
    <m/>
    <n v="0"/>
    <m/>
    <m/>
    <m/>
    <m/>
    <n v="0"/>
    <n v="0"/>
    <n v="0"/>
    <n v="0"/>
    <n v="0"/>
    <n v="0"/>
    <n v="0"/>
  </r>
  <r>
    <x v="0"/>
    <x v="15"/>
    <m/>
    <s v="GalvaMamelons réduits 245"/>
    <s v="1&quot;1/2-1&quot;1/4"/>
    <n v="3"/>
    <s v="245G112114"/>
    <m/>
    <m/>
    <n v="0"/>
    <m/>
    <m/>
    <m/>
    <m/>
    <m/>
    <m/>
    <n v="0"/>
    <m/>
    <m/>
    <m/>
    <m/>
    <n v="0"/>
    <n v="0"/>
    <n v="0"/>
    <n v="0"/>
    <n v="0"/>
    <n v="0"/>
    <n v="0"/>
  </r>
  <r>
    <x v="0"/>
    <x v="15"/>
    <m/>
    <s v="GalvaMamelons réduits 245"/>
    <s v="1&quot;1/2-1/2"/>
    <n v="4"/>
    <s v="245G11212"/>
    <m/>
    <m/>
    <n v="0"/>
    <m/>
    <m/>
    <m/>
    <m/>
    <m/>
    <m/>
    <n v="0"/>
    <m/>
    <m/>
    <m/>
    <m/>
    <n v="0"/>
    <n v="0"/>
    <n v="0"/>
    <n v="0"/>
    <n v="0"/>
    <n v="0"/>
    <n v="0"/>
  </r>
  <r>
    <x v="0"/>
    <x v="15"/>
    <m/>
    <s v="GalvaMamelons réduits 245"/>
    <s v="1&quot;1/2-3/4"/>
    <n v="5"/>
    <s v="245G11234"/>
    <m/>
    <m/>
    <n v="0"/>
    <m/>
    <m/>
    <m/>
    <m/>
    <m/>
    <m/>
    <n v="0"/>
    <m/>
    <m/>
    <m/>
    <m/>
    <n v="0"/>
    <n v="0"/>
    <n v="0"/>
    <n v="0"/>
    <n v="0"/>
    <n v="0"/>
    <n v="0"/>
  </r>
  <r>
    <x v="0"/>
    <x v="15"/>
    <m/>
    <s v="GalvaMamelons réduits 245"/>
    <s v="1&quot;1/4-1&quot;"/>
    <n v="6"/>
    <s v="245G1141"/>
    <m/>
    <m/>
    <n v="0"/>
    <m/>
    <m/>
    <m/>
    <m/>
    <m/>
    <m/>
    <n v="0"/>
    <m/>
    <m/>
    <m/>
    <m/>
    <n v="0"/>
    <n v="0"/>
    <n v="0"/>
    <n v="0"/>
    <n v="0"/>
    <n v="0"/>
    <n v="0"/>
  </r>
  <r>
    <x v="0"/>
    <x v="15"/>
    <m/>
    <s v="GalvaMamelons réduits 245"/>
    <s v="1&quot;1/4-1/2"/>
    <n v="7"/>
    <s v="245G11412"/>
    <m/>
    <m/>
    <n v="0"/>
    <m/>
    <m/>
    <m/>
    <m/>
    <m/>
    <m/>
    <n v="0"/>
    <m/>
    <m/>
    <m/>
    <m/>
    <n v="0"/>
    <n v="0"/>
    <n v="0"/>
    <n v="0"/>
    <n v="0"/>
    <n v="0"/>
    <n v="0"/>
  </r>
  <r>
    <x v="0"/>
    <x v="15"/>
    <m/>
    <s v="GalvaMamelons réduits 245"/>
    <s v="1&quot;1/4-3/4"/>
    <n v="8"/>
    <s v="245G11434"/>
    <m/>
    <m/>
    <n v="0"/>
    <m/>
    <m/>
    <m/>
    <m/>
    <m/>
    <m/>
    <n v="0"/>
    <m/>
    <m/>
    <m/>
    <m/>
    <n v="0"/>
    <n v="0"/>
    <n v="0"/>
    <n v="0"/>
    <n v="0"/>
    <n v="0"/>
    <n v="0"/>
  </r>
  <r>
    <x v="0"/>
    <x v="15"/>
    <m/>
    <s v="GalvaMamelons réduits 245"/>
    <s v=" 1/2 1/4"/>
    <n v="9"/>
    <s v="245G1214"/>
    <m/>
    <m/>
    <n v="0"/>
    <m/>
    <m/>
    <m/>
    <m/>
    <m/>
    <m/>
    <n v="0"/>
    <m/>
    <m/>
    <m/>
    <m/>
    <n v="0"/>
    <n v="0"/>
    <n v="0"/>
    <n v="0"/>
    <n v="0"/>
    <n v="0"/>
    <n v="0"/>
  </r>
  <r>
    <x v="0"/>
    <x v="15"/>
    <m/>
    <s v="GalvaMamelons réduits 245"/>
    <s v=" 1/2 1/8"/>
    <n v="10"/>
    <s v="245G1218"/>
    <m/>
    <m/>
    <n v="0"/>
    <m/>
    <m/>
    <m/>
    <m/>
    <m/>
    <m/>
    <n v="0"/>
    <m/>
    <m/>
    <m/>
    <m/>
    <n v="0"/>
    <n v="0"/>
    <n v="0"/>
    <n v="0"/>
    <n v="0"/>
    <n v="0"/>
    <n v="0"/>
  </r>
  <r>
    <x v="0"/>
    <x v="15"/>
    <m/>
    <s v="GalvaMamelons réduits 245"/>
    <s v="1/2-3/8"/>
    <n v="11"/>
    <s v="245G1238"/>
    <m/>
    <m/>
    <n v="0"/>
    <m/>
    <m/>
    <m/>
    <m/>
    <m/>
    <m/>
    <n v="0"/>
    <m/>
    <m/>
    <m/>
    <m/>
    <n v="0"/>
    <n v="0"/>
    <n v="0"/>
    <n v="0"/>
    <n v="0"/>
    <n v="0"/>
    <n v="0"/>
  </r>
  <r>
    <x v="0"/>
    <x v="15"/>
    <m/>
    <s v="GalvaMamelons réduits 245"/>
    <s v="1&quot;-3/4"/>
    <n v="12"/>
    <s v="245G134"/>
    <m/>
    <m/>
    <n v="0"/>
    <m/>
    <m/>
    <m/>
    <m/>
    <m/>
    <m/>
    <n v="0"/>
    <m/>
    <m/>
    <m/>
    <m/>
    <n v="0"/>
    <n v="0"/>
    <n v="0"/>
    <n v="0"/>
    <n v="0"/>
    <n v="0"/>
    <n v="0"/>
  </r>
  <r>
    <x v="0"/>
    <x v="15"/>
    <m/>
    <s v="GalvaMamelons réduits 245"/>
    <s v="1&quot;-3/8"/>
    <n v="13"/>
    <s v="245G138"/>
    <m/>
    <m/>
    <n v="0"/>
    <m/>
    <m/>
    <m/>
    <m/>
    <m/>
    <m/>
    <n v="0"/>
    <m/>
    <m/>
    <m/>
    <m/>
    <n v="0"/>
    <n v="0"/>
    <n v="0"/>
    <n v="0"/>
    <n v="0"/>
    <n v="0"/>
    <n v="0"/>
  </r>
  <r>
    <x v="0"/>
    <x v="15"/>
    <m/>
    <s v="GalvaMamelons réduits 245"/>
    <s v="2&quot;-1&quot;"/>
    <n v="14"/>
    <s v="245G21"/>
    <m/>
    <m/>
    <n v="0"/>
    <m/>
    <m/>
    <m/>
    <m/>
    <m/>
    <m/>
    <n v="0"/>
    <m/>
    <m/>
    <m/>
    <m/>
    <n v="0"/>
    <n v="0"/>
    <n v="0"/>
    <n v="0"/>
    <n v="0"/>
    <n v="0"/>
    <n v="0"/>
  </r>
  <r>
    <x v="0"/>
    <x v="15"/>
    <m/>
    <s v="GalvaMamelons réduits 245"/>
    <s v="2&quot;-1&quot;1/2"/>
    <n v="15"/>
    <s v="245G2112"/>
    <m/>
    <m/>
    <n v="0"/>
    <m/>
    <m/>
    <m/>
    <m/>
    <m/>
    <m/>
    <n v="0"/>
    <m/>
    <m/>
    <m/>
    <m/>
    <n v="0"/>
    <n v="0"/>
    <n v="0"/>
    <n v="0"/>
    <n v="0"/>
    <n v="0"/>
    <n v="0"/>
  </r>
  <r>
    <x v="0"/>
    <x v="15"/>
    <m/>
    <s v="GalvaMamelons réduits 245"/>
    <s v="2&quot;-1&quot;1/4"/>
    <n v="16"/>
    <s v="245G2114"/>
    <m/>
    <m/>
    <n v="0"/>
    <m/>
    <m/>
    <m/>
    <m/>
    <m/>
    <m/>
    <n v="0"/>
    <m/>
    <m/>
    <m/>
    <m/>
    <n v="0"/>
    <n v="0"/>
    <n v="0"/>
    <n v="0"/>
    <n v="0"/>
    <n v="0"/>
    <n v="0"/>
  </r>
  <r>
    <x v="0"/>
    <x v="15"/>
    <m/>
    <s v="GalvaMamelons réduits 245"/>
    <s v="2&quot;-1/2"/>
    <n v="17"/>
    <s v="245G212"/>
    <m/>
    <m/>
    <n v="0"/>
    <m/>
    <m/>
    <m/>
    <m/>
    <m/>
    <m/>
    <n v="0"/>
    <m/>
    <m/>
    <m/>
    <m/>
    <n v="0"/>
    <n v="0"/>
    <n v="0"/>
    <n v="0"/>
    <n v="0"/>
    <n v="0"/>
    <n v="0"/>
  </r>
  <r>
    <x v="0"/>
    <x v="15"/>
    <m/>
    <s v="GalvaMamelons réduits 245"/>
    <s v="2&quot;1/2-1&quot;1/2"/>
    <n v="18"/>
    <s v="245G212112"/>
    <m/>
    <m/>
    <n v="0"/>
    <m/>
    <m/>
    <m/>
    <m/>
    <m/>
    <m/>
    <n v="0"/>
    <m/>
    <m/>
    <m/>
    <m/>
    <n v="0"/>
    <n v="0"/>
    <n v="0"/>
    <n v="0"/>
    <n v="0"/>
    <n v="0"/>
    <n v="0"/>
  </r>
  <r>
    <x v="0"/>
    <x v="15"/>
    <m/>
    <s v="GalvaMamelons réduits 245"/>
    <s v="2&quot;1/2-1&quot;1/4"/>
    <n v="19"/>
    <s v="245G212114"/>
    <m/>
    <m/>
    <n v="0"/>
    <m/>
    <m/>
    <m/>
    <m/>
    <m/>
    <m/>
    <n v="0"/>
    <m/>
    <m/>
    <m/>
    <m/>
    <n v="0"/>
    <n v="0"/>
    <n v="0"/>
    <n v="0"/>
    <n v="0"/>
    <n v="0"/>
    <n v="0"/>
  </r>
  <r>
    <x v="0"/>
    <x v="15"/>
    <m/>
    <s v="GalvaMamelons réduits 245"/>
    <s v="2&quot;1/2-2&quot;"/>
    <n v="20"/>
    <s v="245G2122"/>
    <m/>
    <m/>
    <n v="0"/>
    <m/>
    <m/>
    <m/>
    <m/>
    <m/>
    <m/>
    <n v="0"/>
    <m/>
    <m/>
    <m/>
    <m/>
    <n v="0"/>
    <n v="0"/>
    <n v="0"/>
    <n v="0"/>
    <n v="0"/>
    <n v="0"/>
    <n v="0"/>
  </r>
  <r>
    <x v="0"/>
    <x v="15"/>
    <m/>
    <s v="GalvaMamelons réduits 245"/>
    <s v="2&quot;-3/4"/>
    <n v="21"/>
    <s v="245G234"/>
    <m/>
    <m/>
    <n v="0"/>
    <m/>
    <m/>
    <m/>
    <m/>
    <m/>
    <m/>
    <n v="0"/>
    <m/>
    <m/>
    <m/>
    <m/>
    <n v="0"/>
    <n v="0"/>
    <n v="0"/>
    <n v="0"/>
    <n v="0"/>
    <n v="0"/>
    <n v="0"/>
  </r>
  <r>
    <x v="0"/>
    <x v="15"/>
    <m/>
    <s v="GalvaMamelons réduits 245"/>
    <s v="3&quot;-1&quot;"/>
    <n v="22"/>
    <s v="245G31"/>
    <m/>
    <m/>
    <n v="0"/>
    <m/>
    <m/>
    <m/>
    <m/>
    <m/>
    <m/>
    <n v="0"/>
    <m/>
    <m/>
    <m/>
    <m/>
    <n v="0"/>
    <n v="0"/>
    <n v="0"/>
    <n v="0"/>
    <n v="0"/>
    <n v="0"/>
    <n v="0"/>
  </r>
  <r>
    <x v="0"/>
    <x v="15"/>
    <m/>
    <s v="GalvaMamelons réduits 245"/>
    <s v="3&quot;-1&quot;1/2"/>
    <n v="23"/>
    <s v="245G3112"/>
    <m/>
    <m/>
    <n v="0"/>
    <m/>
    <m/>
    <m/>
    <m/>
    <m/>
    <m/>
    <n v="0"/>
    <m/>
    <m/>
    <m/>
    <m/>
    <n v="0"/>
    <n v="0"/>
    <n v="0"/>
    <n v="0"/>
    <n v="0"/>
    <n v="0"/>
    <n v="0"/>
  </r>
  <r>
    <x v="0"/>
    <x v="15"/>
    <m/>
    <s v="GalvaMamelons réduits 245"/>
    <s v="3&quot;-1&quot;1/4"/>
    <n v="24"/>
    <s v="245G3114"/>
    <m/>
    <m/>
    <n v="0"/>
    <m/>
    <m/>
    <m/>
    <m/>
    <m/>
    <m/>
    <n v="0"/>
    <m/>
    <m/>
    <m/>
    <m/>
    <n v="0"/>
    <n v="0"/>
    <n v="0"/>
    <n v="0"/>
    <n v="0"/>
    <n v="0"/>
    <n v="0"/>
  </r>
  <r>
    <x v="0"/>
    <x v="15"/>
    <m/>
    <s v="GalvaMamelons réduits 245"/>
    <s v="3&quot;-2&quot;"/>
    <n v="25"/>
    <s v="245G32"/>
    <m/>
    <m/>
    <n v="0"/>
    <m/>
    <m/>
    <m/>
    <m/>
    <m/>
    <m/>
    <n v="0"/>
    <m/>
    <m/>
    <m/>
    <m/>
    <n v="0"/>
    <n v="0"/>
    <n v="0"/>
    <n v="0"/>
    <n v="0"/>
    <n v="0"/>
    <n v="0"/>
  </r>
  <r>
    <x v="0"/>
    <x v="15"/>
    <m/>
    <s v="GalvaMamelons réduits 245"/>
    <s v="3&quot;-2&quot;1/2"/>
    <n v="26"/>
    <s v="245G3212"/>
    <m/>
    <m/>
    <n v="0"/>
    <m/>
    <m/>
    <m/>
    <m/>
    <m/>
    <m/>
    <n v="0"/>
    <m/>
    <m/>
    <m/>
    <m/>
    <n v="0"/>
    <n v="0"/>
    <n v="0"/>
    <n v="0"/>
    <n v="0"/>
    <n v="0"/>
    <n v="0"/>
  </r>
  <r>
    <x v="0"/>
    <x v="15"/>
    <m/>
    <s v="GalvaMamelons réduits 245"/>
    <s v="3/4-1/2"/>
    <n v="27"/>
    <s v="245G3412"/>
    <m/>
    <m/>
    <n v="0"/>
    <m/>
    <m/>
    <m/>
    <m/>
    <m/>
    <m/>
    <n v="0"/>
    <m/>
    <m/>
    <m/>
    <m/>
    <n v="0"/>
    <n v="0"/>
    <n v="0"/>
    <n v="0"/>
    <n v="0"/>
    <n v="0"/>
    <n v="0"/>
  </r>
  <r>
    <x v="0"/>
    <x v="15"/>
    <m/>
    <s v="GalvaMamelons réduits 245"/>
    <s v="3/4-1/4"/>
    <n v="28"/>
    <s v="245G3414"/>
    <m/>
    <m/>
    <n v="0"/>
    <m/>
    <m/>
    <m/>
    <m/>
    <m/>
    <m/>
    <n v="0"/>
    <m/>
    <m/>
    <m/>
    <m/>
    <n v="0"/>
    <n v="0"/>
    <n v="0"/>
    <n v="0"/>
    <n v="0"/>
    <n v="0"/>
    <n v="0"/>
  </r>
  <r>
    <x v="0"/>
    <x v="15"/>
    <m/>
    <s v="GalvaMamelons réduits 245"/>
    <s v="3/4-3/8"/>
    <n v="29"/>
    <s v="245G3438"/>
    <m/>
    <m/>
    <n v="0"/>
    <m/>
    <m/>
    <m/>
    <m/>
    <m/>
    <m/>
    <n v="0"/>
    <m/>
    <m/>
    <m/>
    <m/>
    <n v="0"/>
    <n v="0"/>
    <n v="0"/>
    <n v="0"/>
    <n v="0"/>
    <n v="0"/>
    <n v="0"/>
  </r>
  <r>
    <x v="0"/>
    <x v="15"/>
    <m/>
    <s v="GalvaMamelons réduits 245"/>
    <s v="3/8 1/4"/>
    <n v="30"/>
    <s v="245G3814"/>
    <m/>
    <m/>
    <n v="0"/>
    <m/>
    <m/>
    <m/>
    <m/>
    <m/>
    <m/>
    <n v="0"/>
    <m/>
    <m/>
    <m/>
    <m/>
    <n v="0"/>
    <n v="0"/>
    <n v="0"/>
    <n v="0"/>
    <n v="0"/>
    <n v="0"/>
    <n v="0"/>
  </r>
  <r>
    <x v="0"/>
    <x v="15"/>
    <m/>
    <s v="GalvaMamelons réduits 245"/>
    <s v="3/8 1/8"/>
    <n v="31"/>
    <s v="245G3818"/>
    <m/>
    <m/>
    <n v="0"/>
    <m/>
    <m/>
    <m/>
    <m/>
    <m/>
    <m/>
    <n v="0"/>
    <m/>
    <m/>
    <m/>
    <m/>
    <n v="0"/>
    <n v="0"/>
    <n v="0"/>
    <n v="0"/>
    <n v="0"/>
    <n v="0"/>
    <n v="0"/>
  </r>
  <r>
    <x v="0"/>
    <x v="15"/>
    <m/>
    <s v="GalvaMamelons réduits 245"/>
    <s v="4&quot;-2&quot;"/>
    <n v="32"/>
    <s v="245G4112"/>
    <m/>
    <m/>
    <n v="0"/>
    <m/>
    <m/>
    <m/>
    <m/>
    <m/>
    <m/>
    <n v="0"/>
    <m/>
    <m/>
    <m/>
    <m/>
    <n v="0"/>
    <n v="0"/>
    <n v="0"/>
    <n v="0"/>
    <n v="0"/>
    <n v="0"/>
    <n v="0"/>
  </r>
  <r>
    <x v="0"/>
    <x v="15"/>
    <m/>
    <s v="GalvaMamelons réduits 245"/>
    <s v="4&quot;-1&quot;1/2"/>
    <n v="33"/>
    <s v="245G42"/>
    <m/>
    <m/>
    <n v="0"/>
    <m/>
    <m/>
    <m/>
    <m/>
    <m/>
    <m/>
    <n v="0"/>
    <m/>
    <m/>
    <m/>
    <m/>
    <n v="0"/>
    <n v="0"/>
    <n v="0"/>
    <n v="0"/>
    <n v="0"/>
    <n v="0"/>
    <n v="0"/>
  </r>
  <r>
    <x v="0"/>
    <x v="15"/>
    <m/>
    <s v="GalvaMamelons réduits 245"/>
    <s v="4&quot;-2&quot;1/2"/>
    <n v="34"/>
    <s v="245G4212"/>
    <m/>
    <m/>
    <n v="0"/>
    <m/>
    <m/>
    <m/>
    <m/>
    <m/>
    <m/>
    <n v="0"/>
    <m/>
    <m/>
    <m/>
    <m/>
    <n v="0"/>
    <n v="0"/>
    <n v="0"/>
    <n v="0"/>
    <n v="0"/>
    <n v="0"/>
    <n v="0"/>
  </r>
  <r>
    <x v="0"/>
    <x v="15"/>
    <m/>
    <s v="GalvaMamelons réduits 245"/>
    <s v="4&quot;-3&quot;"/>
    <n v="35"/>
    <s v="245G43"/>
    <m/>
    <m/>
    <n v="0"/>
    <m/>
    <m/>
    <m/>
    <m/>
    <m/>
    <m/>
    <n v="0"/>
    <m/>
    <m/>
    <m/>
    <m/>
    <n v="0"/>
    <n v="0"/>
    <n v="0"/>
    <n v="0"/>
    <n v="0"/>
    <n v="0"/>
    <n v="0"/>
  </r>
  <r>
    <x v="0"/>
    <x v="15"/>
    <m/>
    <s v="GalvaMamelons réduits 245"/>
    <m/>
    <n v="0"/>
    <m/>
    <m/>
    <m/>
    <n v="0"/>
    <m/>
    <m/>
    <m/>
    <m/>
    <m/>
    <m/>
    <n v="0"/>
    <m/>
    <m/>
    <m/>
    <m/>
    <n v="0"/>
    <n v="0"/>
    <n v="0"/>
    <n v="0"/>
    <n v="0"/>
    <n v="0"/>
    <n v="0"/>
  </r>
  <r>
    <x v="0"/>
    <x v="16"/>
    <m/>
    <s v="GalvaManchons  FF 270"/>
    <s v="1&quot;"/>
    <n v="1"/>
    <s v="270G1"/>
    <m/>
    <m/>
    <n v="0"/>
    <m/>
    <m/>
    <m/>
    <m/>
    <m/>
    <m/>
    <n v="0"/>
    <m/>
    <m/>
    <m/>
    <m/>
    <n v="0"/>
    <n v="0"/>
    <n v="0"/>
    <n v="0"/>
    <n v="0"/>
    <n v="0"/>
    <n v="0"/>
  </r>
  <r>
    <x v="0"/>
    <x v="16"/>
    <m/>
    <s v="GalvaManchons  FF 270"/>
    <s v="1&quot;1/2"/>
    <n v="2"/>
    <s v="270G112"/>
    <m/>
    <m/>
    <n v="0"/>
    <m/>
    <m/>
    <m/>
    <m/>
    <m/>
    <m/>
    <n v="0"/>
    <m/>
    <m/>
    <m/>
    <m/>
    <n v="0"/>
    <n v="0"/>
    <n v="0"/>
    <n v="0"/>
    <n v="0"/>
    <n v="0"/>
    <n v="0"/>
  </r>
  <r>
    <x v="0"/>
    <x v="16"/>
    <m/>
    <s v="GalvaManchons  FF 270"/>
    <s v="1&quot;1/4"/>
    <n v="3"/>
    <s v="270G114"/>
    <m/>
    <m/>
    <n v="0"/>
    <m/>
    <m/>
    <m/>
    <m/>
    <m/>
    <m/>
    <n v="0"/>
    <m/>
    <m/>
    <m/>
    <m/>
    <n v="0"/>
    <n v="0"/>
    <n v="0"/>
    <n v="0"/>
    <n v="0"/>
    <n v="0"/>
    <n v="0"/>
  </r>
  <r>
    <x v="0"/>
    <x v="16"/>
    <m/>
    <s v="GalvaManchons  FF 270"/>
    <s v=" 1/2"/>
    <n v="4"/>
    <s v="270G12"/>
    <m/>
    <m/>
    <n v="0"/>
    <m/>
    <m/>
    <m/>
    <m/>
    <m/>
    <m/>
    <n v="0"/>
    <m/>
    <m/>
    <m/>
    <m/>
    <n v="0"/>
    <n v="0"/>
    <n v="0"/>
    <n v="0"/>
    <n v="0"/>
    <n v="0"/>
    <n v="0"/>
  </r>
  <r>
    <x v="0"/>
    <x v="16"/>
    <m/>
    <s v="GalvaManchons  FF 270"/>
    <s v=" 1/4"/>
    <n v="5"/>
    <s v="270G14"/>
    <m/>
    <m/>
    <n v="0"/>
    <m/>
    <m/>
    <m/>
    <m/>
    <m/>
    <m/>
    <n v="0"/>
    <m/>
    <m/>
    <m/>
    <m/>
    <n v="0"/>
    <n v="0"/>
    <n v="0"/>
    <n v="0"/>
    <n v="0"/>
    <n v="0"/>
    <n v="0"/>
  </r>
  <r>
    <x v="0"/>
    <x v="16"/>
    <m/>
    <s v="GalvaManchons  FF 270"/>
    <s v=" 1/8"/>
    <n v="6"/>
    <s v="270G18"/>
    <m/>
    <m/>
    <n v="0"/>
    <m/>
    <m/>
    <m/>
    <m/>
    <m/>
    <m/>
    <n v="0"/>
    <m/>
    <m/>
    <m/>
    <m/>
    <n v="0"/>
    <n v="0"/>
    <n v="0"/>
    <n v="0"/>
    <n v="0"/>
    <n v="0"/>
    <n v="0"/>
  </r>
  <r>
    <x v="0"/>
    <x v="16"/>
    <m/>
    <s v="GalvaManchons  FF 270"/>
    <s v="2&quot;"/>
    <n v="7"/>
    <s v="270G2"/>
    <m/>
    <m/>
    <n v="0"/>
    <m/>
    <m/>
    <m/>
    <m/>
    <m/>
    <m/>
    <n v="0"/>
    <m/>
    <m/>
    <m/>
    <m/>
    <n v="0"/>
    <n v="0"/>
    <n v="0"/>
    <n v="0"/>
    <n v="0"/>
    <n v="0"/>
    <n v="0"/>
  </r>
  <r>
    <x v="0"/>
    <x v="16"/>
    <m/>
    <s v="GalvaManchons  FF 270"/>
    <s v="2&quot;1/2"/>
    <n v="8"/>
    <s v="270G212"/>
    <m/>
    <m/>
    <n v="0"/>
    <m/>
    <m/>
    <m/>
    <m/>
    <m/>
    <m/>
    <n v="0"/>
    <m/>
    <m/>
    <m/>
    <m/>
    <n v="0"/>
    <n v="0"/>
    <n v="0"/>
    <n v="0"/>
    <n v="0"/>
    <n v="0"/>
    <n v="0"/>
  </r>
  <r>
    <x v="0"/>
    <x v="16"/>
    <m/>
    <s v="GalvaManchons  FF 270"/>
    <s v=" 3&quot;"/>
    <n v="9"/>
    <s v="270G3"/>
    <m/>
    <m/>
    <n v="0"/>
    <m/>
    <m/>
    <m/>
    <m/>
    <m/>
    <m/>
    <n v="0"/>
    <m/>
    <m/>
    <m/>
    <m/>
    <n v="0"/>
    <n v="0"/>
    <n v="0"/>
    <n v="0"/>
    <n v="0"/>
    <n v="0"/>
    <n v="0"/>
  </r>
  <r>
    <x v="0"/>
    <x v="16"/>
    <m/>
    <s v="GalvaManchons  FF 270"/>
    <s v=" 3/4"/>
    <n v="10"/>
    <s v="270G34"/>
    <m/>
    <m/>
    <n v="0"/>
    <m/>
    <m/>
    <m/>
    <m/>
    <m/>
    <m/>
    <n v="0"/>
    <m/>
    <m/>
    <m/>
    <m/>
    <n v="0"/>
    <n v="0"/>
    <n v="0"/>
    <n v="0"/>
    <n v="0"/>
    <n v="0"/>
    <n v="0"/>
  </r>
  <r>
    <x v="0"/>
    <x v="16"/>
    <m/>
    <s v="GalvaManchons  FF 270"/>
    <s v=" 3/8"/>
    <n v="11"/>
    <s v="270G38"/>
    <m/>
    <m/>
    <n v="0"/>
    <m/>
    <m/>
    <m/>
    <m/>
    <m/>
    <m/>
    <n v="0"/>
    <m/>
    <m/>
    <m/>
    <m/>
    <n v="0"/>
    <n v="0"/>
    <n v="0"/>
    <n v="0"/>
    <n v="0"/>
    <n v="0"/>
    <n v="0"/>
  </r>
  <r>
    <x v="0"/>
    <x v="16"/>
    <m/>
    <s v="GalvaManchons  FF 270"/>
    <m/>
    <n v="0"/>
    <m/>
    <m/>
    <m/>
    <n v="0"/>
    <m/>
    <m/>
    <m/>
    <m/>
    <m/>
    <m/>
    <n v="0"/>
    <m/>
    <m/>
    <m/>
    <m/>
    <n v="0"/>
    <n v="0"/>
    <n v="0"/>
    <n v="0"/>
    <n v="0"/>
    <n v="0"/>
    <n v="0"/>
  </r>
  <r>
    <x v="0"/>
    <x v="17"/>
    <m/>
    <s v="GalvaManchons réduits ff 240"/>
    <s v="1&quot;-1/2"/>
    <n v="1"/>
    <s v="240G112"/>
    <m/>
    <m/>
    <n v="0"/>
    <m/>
    <m/>
    <m/>
    <m/>
    <m/>
    <m/>
    <n v="0"/>
    <m/>
    <m/>
    <m/>
    <m/>
    <n v="0"/>
    <n v="0"/>
    <n v="0"/>
    <n v="0"/>
    <n v="0"/>
    <n v="0"/>
    <n v="0"/>
  </r>
  <r>
    <x v="0"/>
    <x v="17"/>
    <m/>
    <s v="GalvaManchons réduits ff 240"/>
    <s v="1&quot;1/2-1&quot;"/>
    <n v="2"/>
    <s v="240G1121"/>
    <m/>
    <m/>
    <n v="0"/>
    <m/>
    <m/>
    <m/>
    <m/>
    <m/>
    <m/>
    <n v="0"/>
    <m/>
    <m/>
    <m/>
    <m/>
    <n v="0"/>
    <n v="0"/>
    <n v="0"/>
    <n v="0"/>
    <n v="0"/>
    <n v="0"/>
    <n v="0"/>
  </r>
  <r>
    <x v="0"/>
    <x v="17"/>
    <m/>
    <s v="GalvaManchons réduits ff 240"/>
    <s v="1&quot;1/2-1&quot;1/4"/>
    <n v="3"/>
    <s v="240G112114"/>
    <m/>
    <m/>
    <n v="0"/>
    <m/>
    <m/>
    <m/>
    <m/>
    <m/>
    <m/>
    <n v="0"/>
    <m/>
    <m/>
    <m/>
    <m/>
    <n v="0"/>
    <n v="0"/>
    <n v="0"/>
    <n v="0"/>
    <n v="0"/>
    <n v="0"/>
    <n v="0"/>
  </r>
  <r>
    <x v="0"/>
    <x v="17"/>
    <m/>
    <s v="GalvaManchons réduits ff 240"/>
    <s v="1&quot;1/2-1/2"/>
    <n v="4"/>
    <s v="240G11212"/>
    <m/>
    <m/>
    <n v="0"/>
    <m/>
    <m/>
    <m/>
    <m/>
    <m/>
    <m/>
    <n v="0"/>
    <m/>
    <m/>
    <m/>
    <m/>
    <n v="0"/>
    <n v="0"/>
    <n v="0"/>
    <n v="0"/>
    <n v="0"/>
    <n v="0"/>
    <n v="0"/>
  </r>
  <r>
    <x v="0"/>
    <x v="17"/>
    <m/>
    <s v="GalvaManchons réduits ff 240"/>
    <s v="1&quot;1/2-3/4"/>
    <n v="5"/>
    <s v="240G11234"/>
    <m/>
    <m/>
    <n v="0"/>
    <m/>
    <m/>
    <m/>
    <m/>
    <m/>
    <m/>
    <n v="0"/>
    <m/>
    <m/>
    <m/>
    <m/>
    <n v="0"/>
    <n v="0"/>
    <n v="0"/>
    <n v="0"/>
    <n v="0"/>
    <n v="0"/>
    <n v="0"/>
  </r>
  <r>
    <x v="0"/>
    <x v="17"/>
    <m/>
    <s v="GalvaManchons réduits ff 240"/>
    <s v="1&quot;1/4-1&quot;"/>
    <n v="6"/>
    <s v="240G1141"/>
    <m/>
    <m/>
    <n v="0"/>
    <m/>
    <m/>
    <m/>
    <m/>
    <m/>
    <m/>
    <n v="0"/>
    <m/>
    <m/>
    <m/>
    <m/>
    <n v="0"/>
    <n v="0"/>
    <n v="0"/>
    <n v="0"/>
    <n v="0"/>
    <n v="0"/>
    <n v="0"/>
  </r>
  <r>
    <x v="0"/>
    <x v="17"/>
    <m/>
    <s v="GalvaManchons réduits ff 240"/>
    <s v="1&quot;1/4-1/2"/>
    <n v="7"/>
    <s v="240G11412"/>
    <m/>
    <m/>
    <n v="0"/>
    <m/>
    <m/>
    <m/>
    <m/>
    <m/>
    <m/>
    <n v="0"/>
    <m/>
    <m/>
    <m/>
    <m/>
    <n v="0"/>
    <n v="0"/>
    <n v="0"/>
    <n v="0"/>
    <n v="0"/>
    <n v="0"/>
    <n v="0"/>
  </r>
  <r>
    <x v="0"/>
    <x v="17"/>
    <m/>
    <s v="GalvaManchons réduits ff 240"/>
    <s v="1&quot;1/4-3/4"/>
    <n v="8"/>
    <s v="240G11434"/>
    <m/>
    <m/>
    <n v="0"/>
    <m/>
    <m/>
    <m/>
    <m/>
    <m/>
    <m/>
    <n v="0"/>
    <m/>
    <m/>
    <m/>
    <m/>
    <n v="0"/>
    <n v="0"/>
    <n v="0"/>
    <n v="0"/>
    <n v="0"/>
    <n v="0"/>
    <n v="0"/>
  </r>
  <r>
    <x v="0"/>
    <x v="17"/>
    <m/>
    <s v="GalvaManchons réduits ff 240"/>
    <s v="1&quot;1/4-3/8"/>
    <n v="9"/>
    <s v="240G11438"/>
    <m/>
    <m/>
    <n v="0"/>
    <m/>
    <m/>
    <m/>
    <m/>
    <m/>
    <m/>
    <n v="0"/>
    <m/>
    <m/>
    <m/>
    <m/>
    <n v="0"/>
    <n v="0"/>
    <n v="0"/>
    <n v="0"/>
    <n v="0"/>
    <n v="0"/>
    <n v="0"/>
  </r>
  <r>
    <x v="0"/>
    <x v="17"/>
    <m/>
    <s v="GalvaManchons réduits ff 240"/>
    <s v=" 1/2 1/4"/>
    <n v="10"/>
    <s v="240G1214"/>
    <m/>
    <m/>
    <n v="0"/>
    <m/>
    <m/>
    <m/>
    <m/>
    <m/>
    <m/>
    <n v="0"/>
    <m/>
    <m/>
    <m/>
    <m/>
    <n v="0"/>
    <n v="0"/>
    <n v="0"/>
    <n v="0"/>
    <n v="0"/>
    <n v="0"/>
    <n v="0"/>
  </r>
  <r>
    <x v="0"/>
    <x v="17"/>
    <m/>
    <s v="GalvaManchons réduits ff 240"/>
    <s v="1/2-3/8"/>
    <n v="11"/>
    <s v="240G1238"/>
    <m/>
    <m/>
    <n v="0"/>
    <m/>
    <m/>
    <m/>
    <m/>
    <m/>
    <m/>
    <n v="0"/>
    <m/>
    <m/>
    <m/>
    <m/>
    <n v="0"/>
    <n v="0"/>
    <n v="0"/>
    <n v="0"/>
    <n v="0"/>
    <n v="0"/>
    <n v="0"/>
  </r>
  <r>
    <x v="0"/>
    <x v="17"/>
    <m/>
    <s v="GalvaManchons réduits ff 240"/>
    <s v="1&quot;-3/4"/>
    <n v="12"/>
    <s v="240G134"/>
    <m/>
    <m/>
    <n v="0"/>
    <m/>
    <m/>
    <m/>
    <m/>
    <m/>
    <m/>
    <n v="0"/>
    <m/>
    <m/>
    <m/>
    <m/>
    <n v="0"/>
    <n v="0"/>
    <n v="0"/>
    <n v="0"/>
    <n v="0"/>
    <n v="0"/>
    <n v="0"/>
  </r>
  <r>
    <x v="0"/>
    <x v="17"/>
    <m/>
    <s v="GalvaManchons réduits ff 240"/>
    <s v="1&quot;-3/8"/>
    <n v="13"/>
    <s v="240G138"/>
    <m/>
    <m/>
    <n v="0"/>
    <m/>
    <m/>
    <m/>
    <m/>
    <m/>
    <m/>
    <n v="0"/>
    <m/>
    <m/>
    <m/>
    <m/>
    <n v="0"/>
    <n v="0"/>
    <n v="0"/>
    <n v="0"/>
    <n v="0"/>
    <n v="0"/>
    <n v="0"/>
  </r>
  <r>
    <x v="0"/>
    <x v="17"/>
    <m/>
    <s v="GalvaManchons réduits ff 240"/>
    <s v="1/4 1/8"/>
    <n v="14"/>
    <s v="240G1418"/>
    <m/>
    <m/>
    <n v="0"/>
    <m/>
    <m/>
    <m/>
    <m/>
    <m/>
    <m/>
    <n v="0"/>
    <m/>
    <m/>
    <m/>
    <m/>
    <n v="0"/>
    <n v="0"/>
    <n v="0"/>
    <n v="0"/>
    <n v="0"/>
    <n v="0"/>
    <n v="0"/>
  </r>
  <r>
    <x v="0"/>
    <x v="17"/>
    <m/>
    <s v="GalvaManchons réduits ff 240"/>
    <s v="2&quot;-1&quot;"/>
    <n v="15"/>
    <s v="240G21"/>
    <m/>
    <m/>
    <n v="0"/>
    <m/>
    <m/>
    <m/>
    <m/>
    <m/>
    <m/>
    <n v="0"/>
    <m/>
    <m/>
    <m/>
    <m/>
    <n v="0"/>
    <n v="0"/>
    <n v="0"/>
    <n v="0"/>
    <n v="0"/>
    <n v="0"/>
    <n v="0"/>
  </r>
  <r>
    <x v="0"/>
    <x v="17"/>
    <m/>
    <s v="GalvaManchons réduits ff 240"/>
    <s v="2&quot;-1&quot;1/2"/>
    <n v="16"/>
    <s v="240G2112"/>
    <m/>
    <m/>
    <n v="0"/>
    <m/>
    <m/>
    <m/>
    <m/>
    <m/>
    <m/>
    <n v="0"/>
    <m/>
    <m/>
    <m/>
    <m/>
    <n v="0"/>
    <n v="0"/>
    <n v="0"/>
    <n v="0"/>
    <n v="0"/>
    <n v="0"/>
    <n v="0"/>
  </r>
  <r>
    <x v="0"/>
    <x v="17"/>
    <m/>
    <s v="GalvaManchons réduits ff 240"/>
    <s v="2&quot;-1&quot;1/4"/>
    <n v="17"/>
    <s v="240G2114"/>
    <m/>
    <m/>
    <n v="0"/>
    <m/>
    <m/>
    <m/>
    <m/>
    <m/>
    <m/>
    <n v="0"/>
    <m/>
    <m/>
    <m/>
    <m/>
    <n v="0"/>
    <n v="0"/>
    <n v="0"/>
    <n v="0"/>
    <n v="0"/>
    <n v="0"/>
    <n v="0"/>
  </r>
  <r>
    <x v="0"/>
    <x v="17"/>
    <m/>
    <s v="GalvaManchons réduits ff 240"/>
    <s v="2&quot;-1/2"/>
    <n v="18"/>
    <s v="240G212"/>
    <m/>
    <m/>
    <n v="0"/>
    <m/>
    <m/>
    <m/>
    <m/>
    <m/>
    <m/>
    <n v="0"/>
    <m/>
    <m/>
    <m/>
    <m/>
    <n v="0"/>
    <n v="0"/>
    <n v="0"/>
    <n v="0"/>
    <n v="0"/>
    <n v="0"/>
    <n v="0"/>
  </r>
  <r>
    <x v="0"/>
    <x v="17"/>
    <m/>
    <s v="GalvaManchons réduits ff 240"/>
    <s v="2&quot;1/2-1&quot;1/2"/>
    <n v="19"/>
    <s v="240G212112"/>
    <m/>
    <m/>
    <n v="0"/>
    <m/>
    <m/>
    <m/>
    <m/>
    <m/>
    <m/>
    <n v="0"/>
    <m/>
    <m/>
    <m/>
    <m/>
    <n v="0"/>
    <n v="0"/>
    <n v="0"/>
    <n v="0"/>
    <n v="0"/>
    <n v="0"/>
    <n v="0"/>
  </r>
  <r>
    <x v="0"/>
    <x v="17"/>
    <m/>
    <s v="GalvaManchons réduits ff 240"/>
    <s v="2&quot;1/2-1&quot;1/4"/>
    <n v="20"/>
    <s v="240G212114"/>
    <m/>
    <m/>
    <n v="0"/>
    <m/>
    <m/>
    <m/>
    <m/>
    <m/>
    <m/>
    <n v="0"/>
    <m/>
    <m/>
    <m/>
    <m/>
    <n v="0"/>
    <n v="0"/>
    <n v="0"/>
    <n v="0"/>
    <n v="0"/>
    <n v="0"/>
    <n v="0"/>
  </r>
  <r>
    <x v="0"/>
    <x v="17"/>
    <m/>
    <s v="GalvaManchons réduits ff 240"/>
    <s v="2&quot;1/2-2&quot;"/>
    <n v="21"/>
    <s v="240G2122"/>
    <m/>
    <m/>
    <n v="0"/>
    <m/>
    <m/>
    <m/>
    <m/>
    <m/>
    <m/>
    <n v="0"/>
    <m/>
    <m/>
    <m/>
    <m/>
    <n v="0"/>
    <n v="0"/>
    <n v="0"/>
    <n v="0"/>
    <n v="0"/>
    <n v="0"/>
    <n v="0"/>
  </r>
  <r>
    <x v="0"/>
    <x v="17"/>
    <m/>
    <s v="GalvaManchons réduits ff 240"/>
    <s v="2&quot;-3/4"/>
    <n v="22"/>
    <s v="240G234"/>
    <m/>
    <m/>
    <n v="0"/>
    <m/>
    <m/>
    <m/>
    <m/>
    <m/>
    <m/>
    <n v="0"/>
    <m/>
    <m/>
    <m/>
    <m/>
    <n v="0"/>
    <n v="0"/>
    <n v="0"/>
    <n v="0"/>
    <n v="0"/>
    <n v="0"/>
    <n v="0"/>
  </r>
  <r>
    <x v="0"/>
    <x v="17"/>
    <m/>
    <s v="GalvaManchons réduits ff 240"/>
    <s v="3&quot;-2&quot;"/>
    <n v="23"/>
    <s v="240G32"/>
    <m/>
    <m/>
    <n v="0"/>
    <m/>
    <m/>
    <m/>
    <m/>
    <m/>
    <m/>
    <n v="0"/>
    <m/>
    <m/>
    <m/>
    <m/>
    <n v="0"/>
    <n v="0"/>
    <n v="0"/>
    <n v="0"/>
    <n v="0"/>
    <n v="0"/>
    <n v="0"/>
  </r>
  <r>
    <x v="0"/>
    <x v="17"/>
    <m/>
    <s v="GalvaManchons réduits ff 240"/>
    <s v="3&quot;-2&quot;1/2"/>
    <n v="24"/>
    <s v="240G3212"/>
    <m/>
    <m/>
    <n v="0"/>
    <m/>
    <m/>
    <m/>
    <m/>
    <m/>
    <m/>
    <n v="0"/>
    <m/>
    <m/>
    <m/>
    <m/>
    <n v="0"/>
    <n v="0"/>
    <n v="0"/>
    <n v="0"/>
    <n v="0"/>
    <n v="0"/>
    <n v="0"/>
  </r>
  <r>
    <x v="0"/>
    <x v="17"/>
    <m/>
    <s v="GalvaManchons réduits ff 240"/>
    <s v="3/4-1/2"/>
    <n v="25"/>
    <s v="240G3412"/>
    <m/>
    <m/>
    <n v="0"/>
    <m/>
    <m/>
    <m/>
    <m/>
    <m/>
    <m/>
    <n v="0"/>
    <m/>
    <m/>
    <m/>
    <m/>
    <n v="0"/>
    <n v="0"/>
    <n v="0"/>
    <n v="0"/>
    <n v="0"/>
    <n v="0"/>
    <n v="0"/>
  </r>
  <r>
    <x v="0"/>
    <x v="17"/>
    <m/>
    <s v="GalvaManchons réduits ff 240"/>
    <s v="3/4-1/4"/>
    <n v="26"/>
    <s v="240G3414"/>
    <m/>
    <m/>
    <n v="0"/>
    <m/>
    <m/>
    <m/>
    <m/>
    <m/>
    <m/>
    <n v="0"/>
    <m/>
    <m/>
    <m/>
    <m/>
    <n v="0"/>
    <n v="0"/>
    <n v="0"/>
    <n v="0"/>
    <n v="0"/>
    <n v="0"/>
    <n v="0"/>
  </r>
  <r>
    <x v="0"/>
    <x v="17"/>
    <m/>
    <s v="GalvaManchons réduits ff 240"/>
    <s v="3/4-3/8"/>
    <n v="27"/>
    <s v="240G3438"/>
    <m/>
    <m/>
    <n v="0"/>
    <m/>
    <m/>
    <m/>
    <m/>
    <m/>
    <m/>
    <n v="0"/>
    <m/>
    <m/>
    <m/>
    <m/>
    <n v="0"/>
    <n v="0"/>
    <n v="0"/>
    <n v="0"/>
    <n v="0"/>
    <n v="0"/>
    <n v="0"/>
  </r>
  <r>
    <x v="0"/>
    <x v="17"/>
    <m/>
    <s v="GalvaManchons réduits ff 240"/>
    <s v="3/8 1/4"/>
    <n v="28"/>
    <s v="240G3814"/>
    <m/>
    <m/>
    <n v="0"/>
    <m/>
    <m/>
    <m/>
    <m/>
    <m/>
    <m/>
    <n v="0"/>
    <m/>
    <m/>
    <m/>
    <m/>
    <n v="0"/>
    <n v="0"/>
    <n v="0"/>
    <n v="0"/>
    <n v="0"/>
    <n v="0"/>
    <n v="0"/>
  </r>
  <r>
    <x v="0"/>
    <x v="17"/>
    <m/>
    <s v="GalvaManchons réduits ff 240"/>
    <s v="3/8 1/8"/>
    <n v="29"/>
    <s v="240G3818"/>
    <m/>
    <m/>
    <n v="0"/>
    <m/>
    <m/>
    <m/>
    <m/>
    <m/>
    <m/>
    <n v="0"/>
    <m/>
    <m/>
    <m/>
    <m/>
    <n v="0"/>
    <n v="0"/>
    <n v="0"/>
    <n v="0"/>
    <n v="0"/>
    <n v="0"/>
    <n v="0"/>
  </r>
  <r>
    <x v="0"/>
    <x v="17"/>
    <m/>
    <s v="GalvaManchons réduits ff 240"/>
    <s v="4&quot;-2&quot;"/>
    <n v="30"/>
    <s v="240G42"/>
    <m/>
    <m/>
    <n v="0"/>
    <m/>
    <m/>
    <m/>
    <m/>
    <m/>
    <m/>
    <n v="0"/>
    <m/>
    <m/>
    <m/>
    <m/>
    <n v="0"/>
    <n v="0"/>
    <n v="0"/>
    <n v="0"/>
    <n v="0"/>
    <n v="0"/>
    <n v="0"/>
  </r>
  <r>
    <x v="0"/>
    <x v="17"/>
    <m/>
    <s v="GalvaManchons réduits ff 240"/>
    <s v="4&quot;-2&quot;1/2"/>
    <n v="31"/>
    <s v="240G4212"/>
    <m/>
    <m/>
    <n v="0"/>
    <m/>
    <m/>
    <m/>
    <m/>
    <m/>
    <m/>
    <n v="0"/>
    <m/>
    <m/>
    <m/>
    <m/>
    <n v="0"/>
    <n v="0"/>
    <n v="0"/>
    <n v="0"/>
    <n v="0"/>
    <n v="0"/>
    <n v="0"/>
  </r>
  <r>
    <x v="0"/>
    <x v="17"/>
    <m/>
    <s v="GalvaManchons réduits ff 240"/>
    <s v="4&quot;-3&quot;"/>
    <n v="32"/>
    <s v="240G43"/>
    <m/>
    <m/>
    <n v="0"/>
    <m/>
    <m/>
    <m/>
    <m/>
    <m/>
    <m/>
    <n v="0"/>
    <m/>
    <m/>
    <m/>
    <m/>
    <n v="0"/>
    <n v="0"/>
    <n v="0"/>
    <n v="0"/>
    <n v="0"/>
    <n v="0"/>
    <n v="0"/>
  </r>
  <r>
    <x v="0"/>
    <x v="17"/>
    <m/>
    <s v="GalvaManchons réduits ff 240"/>
    <m/>
    <n v="0"/>
    <m/>
    <m/>
    <m/>
    <n v="0"/>
    <m/>
    <m/>
    <m/>
    <m/>
    <m/>
    <m/>
    <n v="0"/>
    <m/>
    <m/>
    <m/>
    <m/>
    <n v="0"/>
    <n v="0"/>
    <n v="0"/>
    <n v="0"/>
    <n v="0"/>
    <n v="0"/>
    <n v="0"/>
  </r>
  <r>
    <x v="0"/>
    <x v="18"/>
    <m/>
    <s v="GalvaManchons réduits FM 246 (Tulippe)"/>
    <s v="1&quot;-1/2"/>
    <n v="1"/>
    <s v="246G112"/>
    <m/>
    <m/>
    <n v="0"/>
    <m/>
    <m/>
    <m/>
    <m/>
    <m/>
    <m/>
    <n v="0"/>
    <m/>
    <m/>
    <m/>
    <m/>
    <n v="0"/>
    <n v="0"/>
    <n v="0"/>
    <n v="0"/>
    <n v="0"/>
    <n v="0"/>
    <n v="0"/>
  </r>
  <r>
    <x v="0"/>
    <x v="18"/>
    <m/>
    <s v="GalvaManchons réduits FM 246 (Tulippe)"/>
    <s v="1&quot;1/2-1&quot;"/>
    <n v="2"/>
    <s v="246G1121"/>
    <m/>
    <m/>
    <n v="0"/>
    <m/>
    <m/>
    <m/>
    <m/>
    <m/>
    <m/>
    <n v="0"/>
    <m/>
    <m/>
    <m/>
    <m/>
    <n v="0"/>
    <n v="0"/>
    <n v="0"/>
    <n v="0"/>
    <n v="0"/>
    <n v="0"/>
    <n v="0"/>
  </r>
  <r>
    <x v="0"/>
    <x v="18"/>
    <m/>
    <s v="GalvaManchons réduits FM 246 (Tulippe)"/>
    <s v="1&quot;1/2-1&quot;1/4"/>
    <n v="3"/>
    <s v="246G112114"/>
    <m/>
    <m/>
    <n v="0"/>
    <m/>
    <m/>
    <m/>
    <m/>
    <m/>
    <m/>
    <n v="0"/>
    <m/>
    <m/>
    <m/>
    <m/>
    <n v="0"/>
    <n v="0"/>
    <n v="0"/>
    <n v="0"/>
    <n v="0"/>
    <n v="0"/>
    <n v="0"/>
  </r>
  <r>
    <x v="0"/>
    <x v="18"/>
    <m/>
    <s v="GalvaManchons réduits FM 246 (Tulippe)"/>
    <s v="1&quot;1/2-1/2"/>
    <n v="4"/>
    <s v="246G11212"/>
    <m/>
    <m/>
    <n v="0"/>
    <m/>
    <m/>
    <m/>
    <m/>
    <m/>
    <m/>
    <n v="0"/>
    <m/>
    <m/>
    <m/>
    <m/>
    <n v="0"/>
    <n v="0"/>
    <n v="0"/>
    <n v="0"/>
    <n v="0"/>
    <n v="0"/>
    <n v="0"/>
  </r>
  <r>
    <x v="0"/>
    <x v="18"/>
    <m/>
    <s v="GalvaManchons réduits FM 246 (Tulippe)"/>
    <s v="1&quot;1/2-3/4"/>
    <n v="5"/>
    <s v="246G11234"/>
    <m/>
    <m/>
    <n v="0"/>
    <m/>
    <m/>
    <m/>
    <m/>
    <m/>
    <m/>
    <n v="0"/>
    <m/>
    <m/>
    <m/>
    <m/>
    <n v="0"/>
    <n v="0"/>
    <n v="0"/>
    <n v="0"/>
    <n v="0"/>
    <n v="0"/>
    <n v="0"/>
  </r>
  <r>
    <x v="0"/>
    <x v="18"/>
    <m/>
    <s v="GalvaManchons réduits FM 246 (Tulippe)"/>
    <s v="1&quot;1/4-1&quot;"/>
    <n v="6"/>
    <s v="246G1141"/>
    <m/>
    <m/>
    <n v="0"/>
    <m/>
    <m/>
    <m/>
    <m/>
    <m/>
    <m/>
    <n v="0"/>
    <m/>
    <m/>
    <m/>
    <m/>
    <n v="0"/>
    <n v="0"/>
    <n v="0"/>
    <n v="0"/>
    <n v="0"/>
    <n v="0"/>
    <n v="0"/>
  </r>
  <r>
    <x v="0"/>
    <x v="18"/>
    <m/>
    <s v="GalvaManchons réduits FM 246 (Tulippe)"/>
    <s v="1&quot;1/4-1/2"/>
    <n v="7"/>
    <s v="246G11412"/>
    <m/>
    <m/>
    <n v="0"/>
    <m/>
    <m/>
    <m/>
    <m/>
    <m/>
    <m/>
    <n v="0"/>
    <m/>
    <m/>
    <m/>
    <m/>
    <n v="0"/>
    <n v="0"/>
    <n v="0"/>
    <n v="0"/>
    <n v="0"/>
    <n v="0"/>
    <n v="0"/>
  </r>
  <r>
    <x v="0"/>
    <x v="18"/>
    <m/>
    <s v="GalvaManchons réduits FM 246 (Tulippe)"/>
    <s v="1&quot;1/4-3/4"/>
    <n v="8"/>
    <s v="246G11434"/>
    <m/>
    <m/>
    <n v="0"/>
    <m/>
    <m/>
    <m/>
    <m/>
    <m/>
    <m/>
    <n v="0"/>
    <m/>
    <m/>
    <m/>
    <m/>
    <n v="0"/>
    <n v="0"/>
    <n v="0"/>
    <n v="0"/>
    <n v="0"/>
    <n v="0"/>
    <n v="0"/>
  </r>
  <r>
    <x v="0"/>
    <x v="18"/>
    <m/>
    <s v="GalvaManchons réduits FM 246 (Tulippe)"/>
    <s v=" 1/2 1/4"/>
    <n v="9"/>
    <s v="246G1214"/>
    <m/>
    <m/>
    <n v="0"/>
    <m/>
    <m/>
    <m/>
    <m/>
    <m/>
    <m/>
    <n v="0"/>
    <m/>
    <m/>
    <m/>
    <m/>
    <n v="0"/>
    <n v="0"/>
    <n v="0"/>
    <n v="0"/>
    <n v="0"/>
    <n v="0"/>
    <n v="0"/>
  </r>
  <r>
    <x v="0"/>
    <x v="18"/>
    <m/>
    <s v="GalvaManchons réduits FM 246 (Tulippe)"/>
    <s v=" 1/2 1/8"/>
    <n v="10"/>
    <s v="246G1218"/>
    <m/>
    <m/>
    <n v="0"/>
    <m/>
    <m/>
    <m/>
    <m/>
    <m/>
    <m/>
    <n v="0"/>
    <m/>
    <m/>
    <m/>
    <m/>
    <n v="0"/>
    <n v="0"/>
    <n v="0"/>
    <n v="0"/>
    <n v="0"/>
    <n v="0"/>
    <n v="0"/>
  </r>
  <r>
    <x v="0"/>
    <x v="18"/>
    <m/>
    <s v="GalvaManchons réduits FM 246 (Tulippe)"/>
    <s v="1/2-3/8"/>
    <n v="11"/>
    <s v="246G1238"/>
    <m/>
    <m/>
    <n v="0"/>
    <m/>
    <m/>
    <m/>
    <m/>
    <m/>
    <m/>
    <n v="0"/>
    <m/>
    <m/>
    <m/>
    <m/>
    <n v="0"/>
    <n v="0"/>
    <n v="0"/>
    <n v="0"/>
    <n v="0"/>
    <n v="0"/>
    <n v="0"/>
  </r>
  <r>
    <x v="0"/>
    <x v="18"/>
    <m/>
    <s v="GalvaManchons réduits FM 246 (Tulippe)"/>
    <s v="1&quot;-3/4"/>
    <n v="12"/>
    <s v="246G134"/>
    <m/>
    <m/>
    <n v="0"/>
    <m/>
    <m/>
    <m/>
    <m/>
    <m/>
    <m/>
    <n v="0"/>
    <m/>
    <m/>
    <m/>
    <m/>
    <n v="0"/>
    <n v="0"/>
    <n v="0"/>
    <n v="0"/>
    <n v="0"/>
    <n v="0"/>
    <n v="0"/>
  </r>
  <r>
    <x v="0"/>
    <x v="18"/>
    <m/>
    <s v="GalvaManchons réduits FM 246 (Tulippe)"/>
    <s v="1&quot;-3/8"/>
    <n v="13"/>
    <s v="246G138"/>
    <m/>
    <m/>
    <n v="0"/>
    <m/>
    <m/>
    <m/>
    <m/>
    <m/>
    <m/>
    <n v="0"/>
    <m/>
    <m/>
    <m/>
    <m/>
    <n v="0"/>
    <n v="0"/>
    <n v="0"/>
    <n v="0"/>
    <n v="0"/>
    <n v="0"/>
    <n v="0"/>
  </r>
  <r>
    <x v="0"/>
    <x v="18"/>
    <m/>
    <s v="GalvaManchons réduits FM 246 (Tulippe)"/>
    <s v=" 1/4 1/8"/>
    <n v="14"/>
    <s v="246G1418"/>
    <m/>
    <m/>
    <n v="0"/>
    <m/>
    <m/>
    <m/>
    <m/>
    <m/>
    <m/>
    <n v="0"/>
    <m/>
    <m/>
    <m/>
    <m/>
    <n v="0"/>
    <n v="0"/>
    <n v="0"/>
    <n v="0"/>
    <n v="0"/>
    <n v="0"/>
    <n v="0"/>
  </r>
  <r>
    <x v="0"/>
    <x v="18"/>
    <m/>
    <s v="GalvaManchons réduits FM 246 (Tulippe)"/>
    <s v="2&quot;-1&quot;"/>
    <n v="15"/>
    <s v="246G21"/>
    <m/>
    <m/>
    <n v="0"/>
    <m/>
    <m/>
    <m/>
    <m/>
    <m/>
    <m/>
    <n v="0"/>
    <m/>
    <m/>
    <m/>
    <m/>
    <n v="0"/>
    <n v="0"/>
    <n v="0"/>
    <n v="0"/>
    <n v="0"/>
    <n v="0"/>
    <n v="0"/>
  </r>
  <r>
    <x v="0"/>
    <x v="18"/>
    <m/>
    <s v="GalvaManchons réduits FM 246 (Tulippe)"/>
    <s v="2&quot;-1&quot;1/2"/>
    <n v="16"/>
    <s v="246G2112"/>
    <m/>
    <m/>
    <n v="0"/>
    <m/>
    <m/>
    <m/>
    <m/>
    <m/>
    <m/>
    <n v="0"/>
    <m/>
    <m/>
    <m/>
    <m/>
    <n v="0"/>
    <n v="0"/>
    <n v="0"/>
    <n v="0"/>
    <n v="0"/>
    <n v="0"/>
    <n v="0"/>
  </r>
  <r>
    <x v="0"/>
    <x v="18"/>
    <m/>
    <s v="GalvaManchons réduits FM 246 (Tulippe)"/>
    <s v="2&quot;-1&quot;1/4"/>
    <n v="17"/>
    <s v="246G2114"/>
    <m/>
    <m/>
    <n v="0"/>
    <m/>
    <m/>
    <m/>
    <m/>
    <m/>
    <m/>
    <n v="0"/>
    <m/>
    <m/>
    <m/>
    <m/>
    <n v="0"/>
    <n v="0"/>
    <n v="0"/>
    <n v="0"/>
    <n v="0"/>
    <n v="0"/>
    <n v="0"/>
  </r>
  <r>
    <x v="0"/>
    <x v="18"/>
    <m/>
    <s v="GalvaManchons réduits FM 246 (Tulippe)"/>
    <s v="2&quot;-1/2"/>
    <n v="18"/>
    <s v="246G212"/>
    <m/>
    <m/>
    <n v="0"/>
    <m/>
    <m/>
    <m/>
    <m/>
    <m/>
    <m/>
    <n v="0"/>
    <m/>
    <m/>
    <m/>
    <m/>
    <n v="0"/>
    <n v="0"/>
    <n v="0"/>
    <n v="0"/>
    <n v="0"/>
    <n v="0"/>
    <n v="0"/>
  </r>
  <r>
    <x v="0"/>
    <x v="18"/>
    <m/>
    <s v="GalvaManchons réduits FM 246 (Tulippe)"/>
    <s v="2&quot;1/2-1&quot;1/2"/>
    <n v="19"/>
    <s v="246G212112"/>
    <m/>
    <m/>
    <n v="0"/>
    <m/>
    <m/>
    <m/>
    <m/>
    <m/>
    <m/>
    <n v="0"/>
    <m/>
    <m/>
    <m/>
    <m/>
    <n v="0"/>
    <n v="0"/>
    <n v="0"/>
    <n v="0"/>
    <n v="0"/>
    <n v="0"/>
    <n v="0"/>
  </r>
  <r>
    <x v="0"/>
    <x v="18"/>
    <m/>
    <s v="GalvaManchons réduits FM 246 (Tulippe)"/>
    <s v="2&quot;1/2-1&quot;1/4"/>
    <n v="20"/>
    <s v="246G212114"/>
    <m/>
    <m/>
    <n v="0"/>
    <m/>
    <m/>
    <m/>
    <m/>
    <m/>
    <m/>
    <n v="0"/>
    <m/>
    <m/>
    <m/>
    <m/>
    <n v="0"/>
    <n v="0"/>
    <n v="0"/>
    <n v="0"/>
    <n v="0"/>
    <n v="0"/>
    <n v="0"/>
  </r>
  <r>
    <x v="0"/>
    <x v="18"/>
    <m/>
    <s v="GalvaManchons réduits FM 246 (Tulippe)"/>
    <s v="2&quot;1/2-2&quot;"/>
    <n v="21"/>
    <s v="246G2122"/>
    <m/>
    <m/>
    <n v="0"/>
    <m/>
    <m/>
    <m/>
    <m/>
    <m/>
    <m/>
    <n v="0"/>
    <m/>
    <m/>
    <m/>
    <m/>
    <n v="0"/>
    <n v="0"/>
    <n v="0"/>
    <n v="0"/>
    <n v="0"/>
    <n v="0"/>
    <n v="0"/>
  </r>
  <r>
    <x v="0"/>
    <x v="18"/>
    <m/>
    <s v="GalvaManchons réduits FM 246 (Tulippe)"/>
    <s v="2&quot;-3/4"/>
    <n v="22"/>
    <s v="246G234"/>
    <m/>
    <m/>
    <n v="0"/>
    <m/>
    <m/>
    <m/>
    <m/>
    <m/>
    <m/>
    <n v="0"/>
    <m/>
    <m/>
    <m/>
    <m/>
    <n v="0"/>
    <n v="0"/>
    <n v="0"/>
    <n v="0"/>
    <n v="0"/>
    <n v="0"/>
    <n v="0"/>
  </r>
  <r>
    <x v="0"/>
    <x v="18"/>
    <m/>
    <s v="GalvaManchons réduits FM 246 (Tulippe)"/>
    <s v="3&quot;-1&quot;"/>
    <n v="23"/>
    <s v="246G31"/>
    <m/>
    <m/>
    <n v="0"/>
    <m/>
    <m/>
    <m/>
    <m/>
    <m/>
    <m/>
    <n v="0"/>
    <m/>
    <m/>
    <m/>
    <m/>
    <n v="0"/>
    <n v="0"/>
    <n v="0"/>
    <n v="0"/>
    <n v="0"/>
    <n v="0"/>
    <n v="0"/>
  </r>
  <r>
    <x v="0"/>
    <x v="18"/>
    <m/>
    <s v="GalvaManchons réduits FM 246 (Tulippe)"/>
    <s v="3&quot;-1&quot;1/2"/>
    <n v="24"/>
    <s v="246G3112"/>
    <m/>
    <m/>
    <n v="0"/>
    <m/>
    <m/>
    <m/>
    <m/>
    <m/>
    <m/>
    <n v="0"/>
    <m/>
    <m/>
    <m/>
    <m/>
    <n v="0"/>
    <n v="0"/>
    <n v="0"/>
    <n v="0"/>
    <n v="0"/>
    <n v="0"/>
    <n v="0"/>
  </r>
  <r>
    <x v="0"/>
    <x v="18"/>
    <m/>
    <s v="GalvaManchons réduits FM 246 (Tulippe)"/>
    <s v="3&quot;-1&quot;1/4"/>
    <n v="25"/>
    <s v="246G3114"/>
    <m/>
    <m/>
    <n v="0"/>
    <m/>
    <m/>
    <m/>
    <m/>
    <m/>
    <m/>
    <n v="0"/>
    <m/>
    <m/>
    <m/>
    <m/>
    <n v="0"/>
    <n v="0"/>
    <n v="0"/>
    <n v="0"/>
    <n v="0"/>
    <n v="0"/>
    <n v="0"/>
  </r>
  <r>
    <x v="0"/>
    <x v="18"/>
    <m/>
    <s v="GalvaManchons réduits FM 246 (Tulippe)"/>
    <s v="3&quot;-2&quot;"/>
    <n v="26"/>
    <s v="246G32"/>
    <m/>
    <m/>
    <n v="0"/>
    <m/>
    <m/>
    <m/>
    <m/>
    <m/>
    <m/>
    <n v="0"/>
    <m/>
    <m/>
    <m/>
    <m/>
    <n v="0"/>
    <n v="0"/>
    <n v="0"/>
    <n v="0"/>
    <n v="0"/>
    <n v="0"/>
    <n v="0"/>
  </r>
  <r>
    <x v="0"/>
    <x v="18"/>
    <m/>
    <s v="GalvaManchons réduits FM 246 (Tulippe)"/>
    <s v="3&quot;-2&quot;1/2"/>
    <n v="27"/>
    <s v="246G3212"/>
    <m/>
    <m/>
    <n v="0"/>
    <m/>
    <m/>
    <m/>
    <m/>
    <m/>
    <m/>
    <n v="0"/>
    <m/>
    <m/>
    <m/>
    <m/>
    <n v="0"/>
    <n v="0"/>
    <n v="0"/>
    <n v="0"/>
    <n v="0"/>
    <n v="0"/>
    <n v="0"/>
  </r>
  <r>
    <x v="0"/>
    <x v="18"/>
    <m/>
    <s v="GalvaManchons réduits FM 246 (Tulippe)"/>
    <s v="3/4-1/2"/>
    <n v="28"/>
    <s v="246G3412"/>
    <m/>
    <m/>
    <n v="0"/>
    <m/>
    <m/>
    <m/>
    <m/>
    <m/>
    <m/>
    <n v="0"/>
    <m/>
    <m/>
    <m/>
    <m/>
    <n v="0"/>
    <n v="0"/>
    <n v="0"/>
    <n v="0"/>
    <n v="0"/>
    <n v="0"/>
    <n v="0"/>
  </r>
  <r>
    <x v="0"/>
    <x v="18"/>
    <m/>
    <s v="GalvaManchons réduits FM 246 (Tulippe)"/>
    <s v="3/4-1/4"/>
    <n v="29"/>
    <s v="246G3414"/>
    <m/>
    <m/>
    <n v="0"/>
    <m/>
    <m/>
    <m/>
    <m/>
    <m/>
    <m/>
    <n v="0"/>
    <m/>
    <m/>
    <m/>
    <m/>
    <n v="0"/>
    <n v="0"/>
    <n v="0"/>
    <n v="0"/>
    <n v="0"/>
    <n v="0"/>
    <n v="0"/>
  </r>
  <r>
    <x v="0"/>
    <x v="18"/>
    <m/>
    <s v="GalvaManchons réduits FM 246 (Tulippe)"/>
    <s v="3/4-3/8"/>
    <n v="30"/>
    <s v="246G3438"/>
    <m/>
    <m/>
    <n v="0"/>
    <m/>
    <m/>
    <m/>
    <m/>
    <m/>
    <m/>
    <n v="0"/>
    <m/>
    <m/>
    <m/>
    <m/>
    <n v="0"/>
    <n v="0"/>
    <n v="0"/>
    <n v="0"/>
    <n v="0"/>
    <n v="0"/>
    <n v="0"/>
  </r>
  <r>
    <x v="0"/>
    <x v="18"/>
    <m/>
    <s v="GalvaManchons réduits FM 246 (Tulippe)"/>
    <s v="3/8 1/4"/>
    <n v="31"/>
    <s v="246G3814"/>
    <m/>
    <m/>
    <n v="0"/>
    <m/>
    <m/>
    <m/>
    <m/>
    <m/>
    <m/>
    <n v="0"/>
    <m/>
    <m/>
    <m/>
    <m/>
    <n v="0"/>
    <n v="0"/>
    <n v="0"/>
    <n v="0"/>
    <n v="0"/>
    <n v="0"/>
    <n v="0"/>
  </r>
  <r>
    <x v="0"/>
    <x v="18"/>
    <m/>
    <s v="GalvaManchons réduits FM 246 (Tulippe)"/>
    <s v="3/8 1/8"/>
    <n v="32"/>
    <s v="246G3818"/>
    <m/>
    <m/>
    <n v="0"/>
    <m/>
    <m/>
    <m/>
    <m/>
    <m/>
    <m/>
    <n v="0"/>
    <m/>
    <m/>
    <m/>
    <m/>
    <n v="0"/>
    <n v="0"/>
    <n v="0"/>
    <n v="0"/>
    <n v="0"/>
    <n v="0"/>
    <n v="0"/>
  </r>
  <r>
    <x v="0"/>
    <x v="18"/>
    <m/>
    <s v="GalvaManchons réduits FM 246 (Tulippe)"/>
    <s v="4&quot;-2&quot;"/>
    <n v="33"/>
    <s v="246G4112"/>
    <m/>
    <m/>
    <n v="0"/>
    <m/>
    <m/>
    <m/>
    <m/>
    <m/>
    <m/>
    <n v="0"/>
    <m/>
    <m/>
    <m/>
    <m/>
    <n v="0"/>
    <n v="0"/>
    <n v="0"/>
    <n v="0"/>
    <n v="0"/>
    <n v="0"/>
    <n v="0"/>
  </r>
  <r>
    <x v="0"/>
    <x v="18"/>
    <m/>
    <s v="GalvaManchons réduits FM 246 (Tulippe)"/>
    <s v="4&quot;-1&quot;1/2"/>
    <n v="34"/>
    <s v="246G42"/>
    <m/>
    <m/>
    <n v="0"/>
    <m/>
    <m/>
    <m/>
    <m/>
    <m/>
    <m/>
    <n v="0"/>
    <m/>
    <m/>
    <m/>
    <m/>
    <n v="0"/>
    <n v="0"/>
    <n v="0"/>
    <n v="0"/>
    <n v="0"/>
    <n v="0"/>
    <n v="0"/>
  </r>
  <r>
    <x v="0"/>
    <x v="18"/>
    <m/>
    <s v="GalvaManchons réduits FM 246 (Tulippe)"/>
    <s v="4&quot;-2&quot;1/2"/>
    <n v="35"/>
    <s v="246G4212"/>
    <m/>
    <m/>
    <n v="0"/>
    <m/>
    <m/>
    <m/>
    <m/>
    <m/>
    <m/>
    <n v="0"/>
    <m/>
    <m/>
    <m/>
    <m/>
    <n v="0"/>
    <n v="0"/>
    <n v="0"/>
    <n v="0"/>
    <n v="0"/>
    <n v="0"/>
    <n v="0"/>
  </r>
  <r>
    <x v="0"/>
    <x v="18"/>
    <m/>
    <s v="GalvaManchons réduits FM 246 (Tulippe)"/>
    <s v="4&quot;-3&quot;"/>
    <n v="36"/>
    <s v="246G43"/>
    <m/>
    <m/>
    <n v="0"/>
    <m/>
    <m/>
    <m/>
    <m/>
    <m/>
    <m/>
    <n v="0"/>
    <m/>
    <m/>
    <m/>
    <m/>
    <n v="0"/>
    <n v="0"/>
    <n v="0"/>
    <n v="0"/>
    <n v="0"/>
    <n v="0"/>
    <n v="0"/>
  </r>
  <r>
    <x v="0"/>
    <x v="18"/>
    <m/>
    <s v="GalvaManchons réduits FM 246 (Tulippe)"/>
    <m/>
    <n v="0"/>
    <m/>
    <m/>
    <m/>
    <n v="0"/>
    <m/>
    <m/>
    <m/>
    <m/>
    <m/>
    <m/>
    <n v="0"/>
    <m/>
    <m/>
    <m/>
    <m/>
    <n v="0"/>
    <n v="0"/>
    <n v="0"/>
    <n v="0"/>
    <n v="0"/>
    <n v="0"/>
    <n v="0"/>
  </r>
  <r>
    <x v="0"/>
    <x v="19"/>
    <m/>
    <s v="GalvaRéductions  MF 241"/>
    <s v="1&quot; 1/2"/>
    <n v="1"/>
    <s v="241G112"/>
    <m/>
    <m/>
    <n v="0"/>
    <m/>
    <m/>
    <m/>
    <m/>
    <m/>
    <m/>
    <n v="0"/>
    <m/>
    <m/>
    <m/>
    <m/>
    <n v="0"/>
    <n v="0"/>
    <n v="0"/>
    <n v="0"/>
    <n v="0"/>
    <n v="0"/>
    <n v="0"/>
  </r>
  <r>
    <x v="0"/>
    <x v="19"/>
    <m/>
    <s v="GalvaRéductions  MF 241"/>
    <s v="1&quot;1/2 1&quot;"/>
    <n v="2"/>
    <s v="241G1121"/>
    <m/>
    <m/>
    <n v="0"/>
    <m/>
    <m/>
    <m/>
    <m/>
    <m/>
    <m/>
    <n v="0"/>
    <m/>
    <m/>
    <m/>
    <m/>
    <n v="0"/>
    <n v="0"/>
    <n v="0"/>
    <n v="0"/>
    <n v="0"/>
    <n v="0"/>
    <n v="0"/>
  </r>
  <r>
    <x v="0"/>
    <x v="19"/>
    <m/>
    <s v="GalvaRéductions  MF 241"/>
    <s v="1&quot;1/2 1&quot;1/4"/>
    <n v="3"/>
    <s v="241G112114"/>
    <m/>
    <m/>
    <n v="0"/>
    <m/>
    <m/>
    <m/>
    <m/>
    <m/>
    <m/>
    <n v="0"/>
    <m/>
    <m/>
    <m/>
    <m/>
    <n v="0"/>
    <n v="0"/>
    <n v="0"/>
    <n v="0"/>
    <n v="0"/>
    <n v="0"/>
    <n v="0"/>
  </r>
  <r>
    <x v="0"/>
    <x v="19"/>
    <m/>
    <s v="GalvaRéductions  MF 241"/>
    <s v="1&quot;1/2 1/2"/>
    <n v="4"/>
    <s v="241G11212"/>
    <m/>
    <m/>
    <n v="0"/>
    <m/>
    <m/>
    <m/>
    <m/>
    <m/>
    <m/>
    <n v="0"/>
    <m/>
    <m/>
    <m/>
    <m/>
    <n v="0"/>
    <n v="0"/>
    <n v="0"/>
    <n v="0"/>
    <n v="0"/>
    <n v="0"/>
    <n v="0"/>
  </r>
  <r>
    <x v="0"/>
    <x v="19"/>
    <m/>
    <s v="GalvaRéductions  MF 241"/>
    <s v="1&quot;1/2 3/4"/>
    <n v="5"/>
    <s v="241G11234"/>
    <m/>
    <m/>
    <n v="0"/>
    <m/>
    <m/>
    <m/>
    <m/>
    <m/>
    <m/>
    <n v="0"/>
    <m/>
    <m/>
    <m/>
    <m/>
    <n v="0"/>
    <n v="0"/>
    <n v="0"/>
    <n v="0"/>
    <n v="0"/>
    <n v="0"/>
    <n v="0"/>
  </r>
  <r>
    <x v="0"/>
    <x v="19"/>
    <m/>
    <s v="GalvaRéductions  MF 241"/>
    <s v="1&quot;1/4 1&quot;"/>
    <n v="6"/>
    <s v="241G1141"/>
    <m/>
    <m/>
    <n v="0"/>
    <m/>
    <m/>
    <m/>
    <m/>
    <m/>
    <m/>
    <n v="0"/>
    <m/>
    <m/>
    <m/>
    <s v="Idem 241G3326 ?"/>
    <n v="0"/>
    <n v="0"/>
    <n v="0"/>
    <n v="0"/>
    <n v="0"/>
    <n v="0"/>
    <n v="0"/>
  </r>
  <r>
    <x v="0"/>
    <x v="19"/>
    <m/>
    <s v="GalvaRéductions  MF 241"/>
    <s v="1&quot;1/4 1/2"/>
    <n v="7"/>
    <s v="241G11412"/>
    <m/>
    <m/>
    <n v="0"/>
    <m/>
    <m/>
    <m/>
    <m/>
    <m/>
    <m/>
    <n v="0"/>
    <m/>
    <m/>
    <m/>
    <m/>
    <n v="0"/>
    <n v="0"/>
    <n v="0"/>
    <n v="0"/>
    <n v="0"/>
    <n v="0"/>
    <n v="0"/>
  </r>
  <r>
    <x v="0"/>
    <x v="19"/>
    <m/>
    <s v="GalvaRéductions  MF 241"/>
    <s v="1&quot;1/4 3/4"/>
    <n v="8"/>
    <s v="241G11434"/>
    <m/>
    <m/>
    <n v="0"/>
    <m/>
    <m/>
    <m/>
    <m/>
    <m/>
    <m/>
    <n v="0"/>
    <m/>
    <m/>
    <m/>
    <m/>
    <n v="0"/>
    <n v="0"/>
    <n v="0"/>
    <n v="0"/>
    <n v="0"/>
    <n v="0"/>
    <n v="0"/>
  </r>
  <r>
    <x v="0"/>
    <x v="19"/>
    <m/>
    <s v="GalvaRéductions  MF 241"/>
    <s v=" 1/2 1/4"/>
    <n v="9"/>
    <s v="241G1214"/>
    <m/>
    <m/>
    <n v="0"/>
    <m/>
    <m/>
    <m/>
    <m/>
    <m/>
    <m/>
    <n v="0"/>
    <m/>
    <m/>
    <m/>
    <m/>
    <n v="0"/>
    <n v="0"/>
    <n v="0"/>
    <n v="0"/>
    <n v="0"/>
    <n v="0"/>
    <n v="0"/>
  </r>
  <r>
    <x v="0"/>
    <x v="19"/>
    <m/>
    <s v="GalvaRéductions  MF 241"/>
    <s v=" 1/2 1/8"/>
    <n v="10"/>
    <s v="241G1218"/>
    <m/>
    <m/>
    <n v="0"/>
    <m/>
    <m/>
    <m/>
    <m/>
    <m/>
    <m/>
    <n v="0"/>
    <m/>
    <m/>
    <m/>
    <m/>
    <n v="0"/>
    <n v="0"/>
    <n v="0"/>
    <n v="0"/>
    <n v="0"/>
    <n v="0"/>
    <n v="0"/>
  </r>
  <r>
    <x v="0"/>
    <x v="19"/>
    <m/>
    <s v="GalvaRéductions  MF 241"/>
    <s v=" 1/2 3/8"/>
    <n v="11"/>
    <s v="241G1238"/>
    <m/>
    <m/>
    <n v="0"/>
    <m/>
    <m/>
    <m/>
    <m/>
    <m/>
    <m/>
    <n v="0"/>
    <m/>
    <m/>
    <m/>
    <m/>
    <n v="0"/>
    <n v="0"/>
    <n v="0"/>
    <n v="0"/>
    <n v="0"/>
    <n v="0"/>
    <n v="0"/>
  </r>
  <r>
    <x v="0"/>
    <x v="19"/>
    <m/>
    <s v="GalvaRéductions  MF 241"/>
    <s v="1&quot; 3/4"/>
    <n v="12"/>
    <s v="241G134"/>
    <m/>
    <m/>
    <n v="0"/>
    <m/>
    <m/>
    <m/>
    <m/>
    <m/>
    <m/>
    <n v="0"/>
    <m/>
    <m/>
    <m/>
    <m/>
    <n v="0"/>
    <n v="0"/>
    <n v="0"/>
    <n v="0"/>
    <n v="0"/>
    <n v="0"/>
    <n v="0"/>
  </r>
  <r>
    <x v="0"/>
    <x v="19"/>
    <m/>
    <s v="GalvaRéductions  MF 241"/>
    <s v="1&quot; 3/8"/>
    <n v="13"/>
    <s v="241G138"/>
    <m/>
    <m/>
    <n v="0"/>
    <m/>
    <m/>
    <m/>
    <m/>
    <m/>
    <m/>
    <n v="0"/>
    <m/>
    <m/>
    <m/>
    <m/>
    <n v="0"/>
    <n v="0"/>
    <n v="0"/>
    <n v="0"/>
    <n v="0"/>
    <n v="0"/>
    <n v="0"/>
  </r>
  <r>
    <x v="0"/>
    <x v="19"/>
    <m/>
    <s v="GalvaRéductions  MF 241"/>
    <s v=" 1/4 1/8"/>
    <n v="14"/>
    <s v="241G1418"/>
    <m/>
    <m/>
    <n v="0"/>
    <m/>
    <m/>
    <m/>
    <m/>
    <m/>
    <m/>
    <n v="0"/>
    <m/>
    <m/>
    <m/>
    <m/>
    <n v="0"/>
    <n v="0"/>
    <n v="0"/>
    <n v="0"/>
    <n v="0"/>
    <n v="0"/>
    <n v="0"/>
  </r>
  <r>
    <x v="0"/>
    <x v="19"/>
    <m/>
    <s v="GalvaRéductions  MF 241"/>
    <s v="2&quot; 1&quot;"/>
    <n v="15"/>
    <s v="241G21"/>
    <m/>
    <m/>
    <n v="0"/>
    <m/>
    <m/>
    <m/>
    <m/>
    <m/>
    <m/>
    <n v="0"/>
    <m/>
    <m/>
    <m/>
    <m/>
    <n v="0"/>
    <n v="0"/>
    <n v="0"/>
    <n v="0"/>
    <n v="0"/>
    <n v="0"/>
    <n v="0"/>
  </r>
  <r>
    <x v="0"/>
    <x v="19"/>
    <m/>
    <s v="GalvaRéductions  MF 241"/>
    <s v="2&quot; 1&quot;1/2"/>
    <n v="16"/>
    <s v="241G2112"/>
    <m/>
    <m/>
    <n v="0"/>
    <m/>
    <m/>
    <m/>
    <m/>
    <m/>
    <m/>
    <n v="0"/>
    <m/>
    <m/>
    <m/>
    <m/>
    <n v="0"/>
    <n v="0"/>
    <n v="0"/>
    <n v="0"/>
    <n v="0"/>
    <n v="0"/>
    <n v="0"/>
  </r>
  <r>
    <x v="0"/>
    <x v="19"/>
    <m/>
    <s v="GalvaRéductions  MF 241"/>
    <s v="2&quot; 1&quot;1/4"/>
    <n v="17"/>
    <s v="241G2114"/>
    <m/>
    <m/>
    <n v="0"/>
    <m/>
    <m/>
    <m/>
    <m/>
    <m/>
    <m/>
    <n v="0"/>
    <m/>
    <m/>
    <m/>
    <m/>
    <n v="0"/>
    <n v="0"/>
    <n v="0"/>
    <n v="0"/>
    <n v="0"/>
    <n v="0"/>
    <n v="0"/>
  </r>
  <r>
    <x v="0"/>
    <x v="19"/>
    <m/>
    <s v="GalvaRéductions  MF 241"/>
    <s v="2&quot; 1/2"/>
    <n v="18"/>
    <s v="241G212"/>
    <m/>
    <m/>
    <n v="0"/>
    <m/>
    <m/>
    <m/>
    <m/>
    <m/>
    <m/>
    <n v="0"/>
    <m/>
    <m/>
    <m/>
    <m/>
    <n v="0"/>
    <n v="0"/>
    <n v="0"/>
    <n v="0"/>
    <n v="0"/>
    <n v="0"/>
    <n v="0"/>
  </r>
  <r>
    <x v="0"/>
    <x v="19"/>
    <m/>
    <s v="GalvaRéductions  MF 241"/>
    <s v="2&quot;1/2 1&quot;1/2"/>
    <n v="19"/>
    <s v="241G212112"/>
    <m/>
    <m/>
    <n v="0"/>
    <m/>
    <m/>
    <m/>
    <m/>
    <m/>
    <m/>
    <n v="0"/>
    <m/>
    <m/>
    <m/>
    <m/>
    <n v="0"/>
    <n v="0"/>
    <n v="0"/>
    <n v="0"/>
    <n v="0"/>
    <n v="0"/>
    <n v="0"/>
  </r>
  <r>
    <x v="0"/>
    <x v="19"/>
    <m/>
    <s v="GalvaRéductions  MF 241"/>
    <s v="2&quot;1/2 2&quot;"/>
    <n v="20"/>
    <s v="241G2122"/>
    <m/>
    <m/>
    <n v="0"/>
    <m/>
    <m/>
    <m/>
    <m/>
    <m/>
    <m/>
    <n v="0"/>
    <m/>
    <m/>
    <m/>
    <m/>
    <n v="0"/>
    <n v="0"/>
    <n v="0"/>
    <n v="0"/>
    <n v="0"/>
    <n v="0"/>
    <n v="0"/>
  </r>
  <r>
    <x v="0"/>
    <x v="19"/>
    <m/>
    <s v="GalvaRéductions  MF 241"/>
    <s v="2&quot; 3/4"/>
    <n v="21"/>
    <s v="241G234"/>
    <m/>
    <m/>
    <n v="0"/>
    <m/>
    <m/>
    <m/>
    <m/>
    <m/>
    <m/>
    <n v="0"/>
    <m/>
    <m/>
    <m/>
    <m/>
    <n v="0"/>
    <n v="0"/>
    <n v="0"/>
    <n v="0"/>
    <n v="0"/>
    <n v="0"/>
    <n v="0"/>
  </r>
  <r>
    <x v="0"/>
    <x v="19"/>
    <m/>
    <s v="GalvaRéductions  MF 241"/>
    <s v="3&quot; 2&quot;"/>
    <n v="22"/>
    <s v="241G32"/>
    <m/>
    <m/>
    <n v="0"/>
    <m/>
    <m/>
    <m/>
    <m/>
    <m/>
    <m/>
    <n v="0"/>
    <m/>
    <m/>
    <m/>
    <m/>
    <n v="0"/>
    <n v="0"/>
    <n v="0"/>
    <n v="0"/>
    <n v="0"/>
    <n v="0"/>
    <n v="0"/>
  </r>
  <r>
    <x v="0"/>
    <x v="19"/>
    <m/>
    <s v="GalvaRéductions  MF 241"/>
    <s v="3&quot;-2&quot;1/2"/>
    <n v="23"/>
    <s v="241G3212"/>
    <m/>
    <m/>
    <n v="0"/>
    <m/>
    <m/>
    <m/>
    <m/>
    <m/>
    <m/>
    <n v="0"/>
    <m/>
    <m/>
    <m/>
    <m/>
    <n v="0"/>
    <n v="0"/>
    <n v="0"/>
    <n v="0"/>
    <n v="0"/>
    <n v="0"/>
    <n v="0"/>
  </r>
  <r>
    <x v="0"/>
    <x v="19"/>
    <m/>
    <s v="GalvaRéductions  MF 241"/>
    <s v=" 3/4 1/2"/>
    <n v="24"/>
    <s v="241G3412"/>
    <m/>
    <m/>
    <n v="0"/>
    <m/>
    <m/>
    <m/>
    <m/>
    <m/>
    <m/>
    <n v="0"/>
    <m/>
    <m/>
    <m/>
    <m/>
    <n v="0"/>
    <n v="0"/>
    <n v="0"/>
    <n v="0"/>
    <n v="0"/>
    <n v="0"/>
    <n v="0"/>
  </r>
  <r>
    <x v="0"/>
    <x v="19"/>
    <m/>
    <s v="GalvaRéductions  MF 241"/>
    <s v=" 3/4 1/4"/>
    <n v="25"/>
    <s v="241G3414"/>
    <m/>
    <m/>
    <n v="0"/>
    <m/>
    <m/>
    <m/>
    <m/>
    <m/>
    <m/>
    <n v="0"/>
    <m/>
    <m/>
    <m/>
    <m/>
    <n v="0"/>
    <n v="0"/>
    <n v="0"/>
    <n v="0"/>
    <n v="0"/>
    <n v="0"/>
    <n v="0"/>
  </r>
  <r>
    <x v="0"/>
    <x v="19"/>
    <m/>
    <s v="GalvaRéductions  MF 241"/>
    <s v=" 3/4 3/8"/>
    <n v="26"/>
    <s v="241G3438"/>
    <m/>
    <m/>
    <n v="0"/>
    <m/>
    <m/>
    <m/>
    <m/>
    <m/>
    <m/>
    <n v="0"/>
    <m/>
    <m/>
    <m/>
    <m/>
    <n v="0"/>
    <n v="0"/>
    <n v="0"/>
    <n v="0"/>
    <n v="0"/>
    <n v="0"/>
    <n v="0"/>
  </r>
  <r>
    <x v="0"/>
    <x v="19"/>
    <m/>
    <s v="GalvaRéductions  MF 241"/>
    <s v="3/8 1/4"/>
    <n v="27"/>
    <s v="241G3814"/>
    <m/>
    <m/>
    <n v="0"/>
    <m/>
    <m/>
    <m/>
    <m/>
    <m/>
    <m/>
    <n v="0"/>
    <m/>
    <m/>
    <m/>
    <m/>
    <n v="0"/>
    <n v="0"/>
    <n v="0"/>
    <n v="0"/>
    <n v="0"/>
    <n v="0"/>
    <n v="0"/>
  </r>
  <r>
    <x v="0"/>
    <x v="19"/>
    <m/>
    <s v="GalvaRéductions  MF 241"/>
    <s v="3/8 1/8"/>
    <n v="28"/>
    <s v="241G3818"/>
    <m/>
    <m/>
    <n v="0"/>
    <m/>
    <m/>
    <m/>
    <m/>
    <m/>
    <m/>
    <n v="0"/>
    <m/>
    <m/>
    <m/>
    <m/>
    <n v="0"/>
    <n v="0"/>
    <n v="0"/>
    <n v="0"/>
    <n v="0"/>
    <n v="0"/>
    <n v="0"/>
  </r>
  <r>
    <x v="0"/>
    <x v="19"/>
    <m/>
    <s v="GalvaRéductions  MF 241"/>
    <s v="4&quot; 2&quot;"/>
    <n v="29"/>
    <s v="241G42"/>
    <m/>
    <m/>
    <n v="0"/>
    <m/>
    <m/>
    <m/>
    <m/>
    <m/>
    <m/>
    <n v="0"/>
    <m/>
    <m/>
    <m/>
    <m/>
    <n v="0"/>
    <n v="0"/>
    <n v="0"/>
    <n v="0"/>
    <n v="0"/>
    <n v="0"/>
    <n v="0"/>
  </r>
  <r>
    <x v="0"/>
    <x v="19"/>
    <m/>
    <s v="GalvaRéductions  MF 241"/>
    <s v="4&quot; 2&quot;1/2"/>
    <n v="30"/>
    <s v="241G4212"/>
    <m/>
    <m/>
    <n v="0"/>
    <m/>
    <m/>
    <m/>
    <m/>
    <m/>
    <m/>
    <n v="0"/>
    <m/>
    <m/>
    <m/>
    <m/>
    <n v="0"/>
    <n v="0"/>
    <n v="0"/>
    <n v="0"/>
    <n v="0"/>
    <n v="0"/>
    <n v="0"/>
  </r>
  <r>
    <x v="0"/>
    <x v="19"/>
    <m/>
    <s v="GalvaRéductions  MF 241"/>
    <s v="4&quot; 3&quot;"/>
    <n v="31"/>
    <s v="241G43"/>
    <m/>
    <m/>
    <n v="0"/>
    <m/>
    <m/>
    <m/>
    <m/>
    <m/>
    <m/>
    <n v="0"/>
    <m/>
    <m/>
    <m/>
    <m/>
    <n v="0"/>
    <n v="0"/>
    <n v="0"/>
    <n v="0"/>
    <n v="0"/>
    <n v="0"/>
    <n v="0"/>
  </r>
  <r>
    <x v="0"/>
    <x v="19"/>
    <m/>
    <s v="GalvaRéductions  MF 241"/>
    <m/>
    <n v="0"/>
    <m/>
    <m/>
    <m/>
    <n v="0"/>
    <m/>
    <m/>
    <m/>
    <m/>
    <m/>
    <m/>
    <n v="0"/>
    <m/>
    <m/>
    <m/>
    <m/>
    <n v="0"/>
    <n v="0"/>
    <n v="0"/>
    <n v="0"/>
    <n v="0"/>
    <n v="0"/>
    <n v="0"/>
  </r>
  <r>
    <x v="0"/>
    <x v="20"/>
    <m/>
    <s v="GalvaTé 130"/>
    <s v="1&quot;"/>
    <n v="1"/>
    <s v="130G1"/>
    <m/>
    <m/>
    <n v="0"/>
    <m/>
    <m/>
    <m/>
    <m/>
    <m/>
    <m/>
    <n v="0"/>
    <m/>
    <m/>
    <m/>
    <m/>
    <n v="0"/>
    <n v="0"/>
    <n v="0"/>
    <n v="0"/>
    <n v="0"/>
    <n v="0"/>
    <n v="0"/>
  </r>
  <r>
    <x v="0"/>
    <x v="20"/>
    <m/>
    <s v="GalvaTé 130"/>
    <s v="1&quot;1/2"/>
    <n v="2"/>
    <s v="130G112"/>
    <m/>
    <m/>
    <n v="0"/>
    <m/>
    <m/>
    <m/>
    <m/>
    <m/>
    <m/>
    <n v="0"/>
    <m/>
    <m/>
    <m/>
    <m/>
    <n v="0"/>
    <n v="0"/>
    <n v="0"/>
    <n v="0"/>
    <n v="0"/>
    <n v="0"/>
    <n v="0"/>
  </r>
  <r>
    <x v="0"/>
    <x v="20"/>
    <m/>
    <s v="GalvaTé 130"/>
    <s v="1&quot;1/4"/>
    <n v="3"/>
    <s v="130G114"/>
    <m/>
    <m/>
    <n v="0"/>
    <m/>
    <m/>
    <m/>
    <m/>
    <m/>
    <m/>
    <n v="0"/>
    <m/>
    <m/>
    <m/>
    <m/>
    <n v="0"/>
    <n v="0"/>
    <n v="0"/>
    <n v="0"/>
    <n v="0"/>
    <n v="0"/>
    <n v="0"/>
  </r>
  <r>
    <x v="0"/>
    <x v="20"/>
    <m/>
    <s v="GalvaTé 130"/>
    <s v=" 1/2"/>
    <n v="4"/>
    <s v="130G12"/>
    <m/>
    <m/>
    <n v="0"/>
    <m/>
    <m/>
    <m/>
    <m/>
    <m/>
    <m/>
    <n v="0"/>
    <m/>
    <m/>
    <m/>
    <m/>
    <n v="0"/>
    <n v="0"/>
    <n v="0"/>
    <n v="0"/>
    <n v="0"/>
    <n v="0"/>
    <n v="0"/>
  </r>
  <r>
    <x v="0"/>
    <x v="20"/>
    <m/>
    <s v="GalvaTé 130"/>
    <s v=" 1/4"/>
    <n v="5"/>
    <s v="130G14"/>
    <m/>
    <m/>
    <n v="0"/>
    <m/>
    <m/>
    <m/>
    <m/>
    <m/>
    <m/>
    <n v="0"/>
    <m/>
    <m/>
    <m/>
    <m/>
    <n v="0"/>
    <n v="0"/>
    <n v="0"/>
    <n v="0"/>
    <n v="0"/>
    <n v="0"/>
    <n v="0"/>
  </r>
  <r>
    <x v="0"/>
    <x v="20"/>
    <m/>
    <s v="GalvaTé 130"/>
    <s v="2&quot;"/>
    <n v="6"/>
    <s v="130G2"/>
    <m/>
    <m/>
    <n v="0"/>
    <m/>
    <m/>
    <m/>
    <m/>
    <m/>
    <m/>
    <n v="0"/>
    <m/>
    <m/>
    <m/>
    <m/>
    <n v="0"/>
    <n v="0"/>
    <n v="0"/>
    <n v="0"/>
    <n v="0"/>
    <n v="0"/>
    <n v="0"/>
  </r>
  <r>
    <x v="0"/>
    <x v="20"/>
    <m/>
    <s v="GalvaTé 130"/>
    <s v="2&quot;1/2"/>
    <n v="7"/>
    <s v="130G212"/>
    <m/>
    <m/>
    <n v="0"/>
    <m/>
    <m/>
    <m/>
    <m/>
    <m/>
    <m/>
    <n v="0"/>
    <m/>
    <m/>
    <m/>
    <m/>
    <n v="0"/>
    <n v="0"/>
    <n v="0"/>
    <n v="0"/>
    <n v="0"/>
    <n v="0"/>
    <n v="0"/>
  </r>
  <r>
    <x v="0"/>
    <x v="20"/>
    <m/>
    <s v="GalvaTé 130"/>
    <s v=" 3&quot;"/>
    <n v="8"/>
    <s v="130G3"/>
    <m/>
    <m/>
    <n v="0"/>
    <m/>
    <m/>
    <m/>
    <m/>
    <m/>
    <m/>
    <n v="0"/>
    <m/>
    <m/>
    <m/>
    <m/>
    <n v="0"/>
    <n v="0"/>
    <n v="0"/>
    <n v="0"/>
    <n v="0"/>
    <n v="0"/>
    <n v="0"/>
  </r>
  <r>
    <x v="0"/>
    <x v="20"/>
    <m/>
    <s v="GalvaTé 130"/>
    <s v=" 3/4"/>
    <n v="9"/>
    <s v="130G34"/>
    <m/>
    <m/>
    <n v="0"/>
    <m/>
    <m/>
    <m/>
    <m/>
    <m/>
    <m/>
    <n v="0"/>
    <m/>
    <m/>
    <m/>
    <m/>
    <n v="0"/>
    <n v="0"/>
    <n v="0"/>
    <n v="0"/>
    <n v="0"/>
    <n v="0"/>
    <n v="0"/>
  </r>
  <r>
    <x v="0"/>
    <x v="20"/>
    <m/>
    <s v="GalvaTé 130"/>
    <s v=" 3/8"/>
    <n v="10"/>
    <s v="130G38"/>
    <m/>
    <m/>
    <n v="0"/>
    <m/>
    <m/>
    <m/>
    <m/>
    <m/>
    <m/>
    <n v="0"/>
    <m/>
    <m/>
    <m/>
    <m/>
    <n v="0"/>
    <n v="0"/>
    <n v="0"/>
    <n v="0"/>
    <n v="0"/>
    <n v="0"/>
    <n v="0"/>
  </r>
  <r>
    <x v="0"/>
    <x v="20"/>
    <m/>
    <s v="GalvaTé 130"/>
    <m/>
    <n v="0"/>
    <m/>
    <m/>
    <m/>
    <n v="0"/>
    <m/>
    <m/>
    <m/>
    <m/>
    <m/>
    <m/>
    <n v="0"/>
    <m/>
    <m/>
    <m/>
    <m/>
    <n v="0"/>
    <n v="0"/>
    <n v="0"/>
    <n v="0"/>
    <n v="0"/>
    <n v="0"/>
    <n v="0"/>
  </r>
  <r>
    <x v="0"/>
    <x v="21"/>
    <m/>
    <s v="GalvaTé 131"/>
    <s v="1&quot;"/>
    <n v="1"/>
    <s v="131G1"/>
    <m/>
    <m/>
    <n v="0"/>
    <m/>
    <m/>
    <m/>
    <m/>
    <m/>
    <m/>
    <n v="0"/>
    <m/>
    <m/>
    <m/>
    <m/>
    <n v="0"/>
    <n v="0"/>
    <n v="0"/>
    <n v="0"/>
    <n v="0"/>
    <n v="0"/>
    <n v="0"/>
  </r>
  <r>
    <x v="0"/>
    <x v="21"/>
    <m/>
    <s v="GalvaTé 131"/>
    <s v="1&quot;1/2"/>
    <n v="2"/>
    <s v="131G112"/>
    <m/>
    <m/>
    <n v="0"/>
    <m/>
    <m/>
    <m/>
    <m/>
    <m/>
    <m/>
    <n v="0"/>
    <m/>
    <m/>
    <m/>
    <m/>
    <n v="0"/>
    <n v="0"/>
    <n v="0"/>
    <n v="0"/>
    <n v="0"/>
    <n v="0"/>
    <n v="0"/>
  </r>
  <r>
    <x v="0"/>
    <x v="21"/>
    <m/>
    <s v="GalvaTé 131"/>
    <s v="1&quot;1/4"/>
    <n v="3"/>
    <s v="131G114"/>
    <m/>
    <m/>
    <n v="0"/>
    <m/>
    <m/>
    <m/>
    <m/>
    <m/>
    <m/>
    <n v="0"/>
    <m/>
    <m/>
    <m/>
    <m/>
    <n v="0"/>
    <n v="0"/>
    <n v="0"/>
    <n v="0"/>
    <n v="0"/>
    <n v="0"/>
    <n v="0"/>
  </r>
  <r>
    <x v="0"/>
    <x v="21"/>
    <m/>
    <s v="GalvaTé 131"/>
    <s v=" 1/2"/>
    <n v="4"/>
    <s v="131G12"/>
    <m/>
    <m/>
    <n v="0"/>
    <m/>
    <m/>
    <m/>
    <m/>
    <m/>
    <m/>
    <n v="0"/>
    <m/>
    <m/>
    <m/>
    <m/>
    <n v="0"/>
    <n v="0"/>
    <n v="0"/>
    <n v="0"/>
    <n v="0"/>
    <n v="0"/>
    <n v="0"/>
  </r>
  <r>
    <x v="0"/>
    <x v="21"/>
    <m/>
    <s v="GalvaTé 131"/>
    <s v=" 1/4"/>
    <n v="5"/>
    <s v="131G14"/>
    <m/>
    <m/>
    <n v="0"/>
    <m/>
    <m/>
    <m/>
    <m/>
    <m/>
    <m/>
    <n v="0"/>
    <m/>
    <m/>
    <m/>
    <m/>
    <n v="0"/>
    <n v="0"/>
    <n v="0"/>
    <n v="0"/>
    <n v="0"/>
    <n v="0"/>
    <n v="0"/>
  </r>
  <r>
    <x v="0"/>
    <x v="21"/>
    <m/>
    <s v="GalvaTé 131"/>
    <s v="2&quot;"/>
    <n v="6"/>
    <s v="131G2"/>
    <m/>
    <m/>
    <n v="0"/>
    <m/>
    <m/>
    <m/>
    <m/>
    <m/>
    <m/>
    <n v="0"/>
    <m/>
    <m/>
    <m/>
    <m/>
    <n v="0"/>
    <n v="0"/>
    <n v="0"/>
    <n v="0"/>
    <n v="0"/>
    <n v="0"/>
    <n v="0"/>
  </r>
  <r>
    <x v="0"/>
    <x v="21"/>
    <m/>
    <s v="GalvaTé 131"/>
    <s v="2&quot;1/2"/>
    <n v="7"/>
    <s v="131G212"/>
    <m/>
    <m/>
    <n v="0"/>
    <m/>
    <m/>
    <m/>
    <m/>
    <m/>
    <m/>
    <n v="0"/>
    <m/>
    <m/>
    <m/>
    <m/>
    <n v="0"/>
    <n v="0"/>
    <n v="0"/>
    <n v="0"/>
    <n v="0"/>
    <n v="0"/>
    <n v="0"/>
  </r>
  <r>
    <x v="0"/>
    <x v="21"/>
    <m/>
    <s v="GalvaTé 131"/>
    <s v=" 3&quot;"/>
    <n v="8"/>
    <s v="131G3"/>
    <m/>
    <m/>
    <n v="0"/>
    <m/>
    <m/>
    <m/>
    <m/>
    <m/>
    <m/>
    <n v="0"/>
    <m/>
    <m/>
    <m/>
    <m/>
    <n v="0"/>
    <n v="0"/>
    <n v="0"/>
    <n v="0"/>
    <n v="0"/>
    <n v="0"/>
    <n v="0"/>
  </r>
  <r>
    <x v="0"/>
    <x v="21"/>
    <m/>
    <s v="GalvaTé 131"/>
    <s v=" 3/4"/>
    <n v="9"/>
    <s v="131G34"/>
    <m/>
    <m/>
    <n v="0"/>
    <m/>
    <m/>
    <m/>
    <m/>
    <m/>
    <m/>
    <n v="0"/>
    <m/>
    <m/>
    <m/>
    <m/>
    <n v="0"/>
    <n v="0"/>
    <n v="0"/>
    <n v="0"/>
    <n v="0"/>
    <n v="0"/>
    <n v="0"/>
  </r>
  <r>
    <x v="0"/>
    <x v="21"/>
    <m/>
    <s v="GalvaTé 131"/>
    <s v=" 3/8"/>
    <n v="10"/>
    <s v="131G38"/>
    <m/>
    <m/>
    <n v="0"/>
    <m/>
    <m/>
    <m/>
    <m/>
    <m/>
    <m/>
    <n v="0"/>
    <m/>
    <m/>
    <m/>
    <m/>
    <n v="0"/>
    <n v="0"/>
    <n v="0"/>
    <n v="0"/>
    <n v="0"/>
    <n v="0"/>
    <n v="0"/>
  </r>
  <r>
    <x v="0"/>
    <x v="21"/>
    <m/>
    <s v="GalvaTé 131"/>
    <m/>
    <n v="0"/>
    <m/>
    <m/>
    <m/>
    <n v="0"/>
    <m/>
    <m/>
    <m/>
    <m/>
    <m/>
    <m/>
    <n v="0"/>
    <m/>
    <m/>
    <m/>
    <m/>
    <n v="0"/>
    <n v="0"/>
    <n v="0"/>
    <n v="0"/>
    <n v="0"/>
    <n v="0"/>
    <n v="0"/>
  </r>
  <r>
    <x v="0"/>
    <x v="22"/>
    <m/>
    <s v="GalvaTé 132"/>
    <s v="1&quot;"/>
    <n v="1"/>
    <s v="132G1"/>
    <m/>
    <m/>
    <n v="0"/>
    <m/>
    <m/>
    <m/>
    <m/>
    <m/>
    <m/>
    <n v="0"/>
    <m/>
    <m/>
    <m/>
    <m/>
    <n v="0"/>
    <n v="0"/>
    <n v="0"/>
    <n v="0"/>
    <n v="0"/>
    <n v="0"/>
    <n v="0"/>
  </r>
  <r>
    <x v="0"/>
    <x v="22"/>
    <m/>
    <s v="GalvaTé 132"/>
    <s v="1&quot;1/2"/>
    <n v="2"/>
    <s v="132G112"/>
    <m/>
    <m/>
    <n v="0"/>
    <m/>
    <m/>
    <m/>
    <m/>
    <m/>
    <m/>
    <n v="0"/>
    <m/>
    <m/>
    <m/>
    <m/>
    <n v="0"/>
    <n v="0"/>
    <n v="0"/>
    <n v="0"/>
    <n v="0"/>
    <n v="0"/>
    <n v="0"/>
  </r>
  <r>
    <x v="0"/>
    <x v="22"/>
    <m/>
    <s v="GalvaTé 132"/>
    <s v="1&quot;1/4"/>
    <n v="3"/>
    <s v="132G114"/>
    <m/>
    <m/>
    <n v="0"/>
    <m/>
    <m/>
    <m/>
    <m/>
    <m/>
    <m/>
    <n v="0"/>
    <m/>
    <m/>
    <m/>
    <m/>
    <n v="0"/>
    <n v="0"/>
    <n v="0"/>
    <n v="0"/>
    <n v="0"/>
    <n v="0"/>
    <n v="0"/>
  </r>
  <r>
    <x v="0"/>
    <x v="22"/>
    <m/>
    <s v="GalvaTé 132"/>
    <s v=" 1/2"/>
    <n v="4"/>
    <s v="132G12"/>
    <m/>
    <m/>
    <n v="0"/>
    <m/>
    <m/>
    <m/>
    <m/>
    <m/>
    <m/>
    <n v="0"/>
    <m/>
    <m/>
    <m/>
    <m/>
    <n v="0"/>
    <n v="0"/>
    <n v="0"/>
    <n v="0"/>
    <n v="0"/>
    <n v="0"/>
    <n v="0"/>
  </r>
  <r>
    <x v="0"/>
    <x v="22"/>
    <m/>
    <s v="GalvaTé 132"/>
    <s v="2&quot;"/>
    <n v="5"/>
    <s v="132G2"/>
    <m/>
    <m/>
    <n v="0"/>
    <m/>
    <m/>
    <m/>
    <m/>
    <m/>
    <m/>
    <n v="0"/>
    <m/>
    <m/>
    <m/>
    <m/>
    <n v="0"/>
    <n v="0"/>
    <n v="0"/>
    <n v="0"/>
    <n v="0"/>
    <n v="0"/>
    <n v="0"/>
  </r>
  <r>
    <x v="0"/>
    <x v="22"/>
    <m/>
    <s v="GalvaTé 132"/>
    <s v="2&quot;1/2"/>
    <n v="6"/>
    <s v="132G212"/>
    <m/>
    <m/>
    <n v="0"/>
    <m/>
    <m/>
    <m/>
    <m/>
    <m/>
    <m/>
    <n v="0"/>
    <m/>
    <m/>
    <m/>
    <m/>
    <n v="0"/>
    <n v="0"/>
    <n v="0"/>
    <n v="0"/>
    <n v="0"/>
    <n v="0"/>
    <n v="0"/>
  </r>
  <r>
    <x v="0"/>
    <x v="22"/>
    <m/>
    <s v="GalvaTé 132"/>
    <s v=" 3&quot;"/>
    <n v="7"/>
    <s v="132G3"/>
    <m/>
    <m/>
    <n v="0"/>
    <m/>
    <m/>
    <m/>
    <m/>
    <m/>
    <m/>
    <n v="0"/>
    <m/>
    <m/>
    <m/>
    <m/>
    <n v="0"/>
    <n v="0"/>
    <n v="0"/>
    <n v="0"/>
    <n v="0"/>
    <n v="0"/>
    <n v="0"/>
  </r>
  <r>
    <x v="0"/>
    <x v="22"/>
    <m/>
    <s v="GalvaTé 132"/>
    <s v=" 3/4"/>
    <n v="8"/>
    <s v="132G34"/>
    <m/>
    <m/>
    <n v="0"/>
    <m/>
    <m/>
    <m/>
    <m/>
    <m/>
    <m/>
    <n v="0"/>
    <m/>
    <m/>
    <m/>
    <m/>
    <n v="0"/>
    <n v="0"/>
    <n v="0"/>
    <n v="0"/>
    <n v="0"/>
    <n v="0"/>
    <n v="0"/>
  </r>
  <r>
    <x v="0"/>
    <x v="22"/>
    <m/>
    <s v="GalvaTé 132"/>
    <m/>
    <n v="0"/>
    <m/>
    <m/>
    <m/>
    <n v="0"/>
    <m/>
    <m/>
    <m/>
    <m/>
    <m/>
    <m/>
    <n v="0"/>
    <m/>
    <m/>
    <m/>
    <m/>
    <n v="0"/>
    <n v="0"/>
    <n v="0"/>
    <n v="0"/>
    <n v="0"/>
    <n v="0"/>
    <n v="0"/>
  </r>
  <r>
    <x v="0"/>
    <x v="23"/>
    <m/>
    <s v="GalvaTé réduit 130 RG"/>
    <s v="1&quot;-1/2"/>
    <n v="1"/>
    <s v="130RG1121"/>
    <m/>
    <m/>
    <n v="0"/>
    <m/>
    <m/>
    <m/>
    <m/>
    <m/>
    <m/>
    <n v="0"/>
    <m/>
    <m/>
    <m/>
    <m/>
    <n v="0"/>
    <n v="0"/>
    <n v="0"/>
    <n v="0"/>
    <n v="0"/>
    <n v="0"/>
    <n v="0"/>
  </r>
  <r>
    <x v="0"/>
    <x v="23"/>
    <m/>
    <s v="GalvaTé réduit 130 RG"/>
    <s v="1&quot;1/2-1&quot;"/>
    <n v="2"/>
    <s v="130RG1121112"/>
    <m/>
    <m/>
    <n v="0"/>
    <m/>
    <m/>
    <m/>
    <m/>
    <m/>
    <m/>
    <n v="0"/>
    <m/>
    <m/>
    <m/>
    <m/>
    <n v="0"/>
    <n v="0"/>
    <n v="0"/>
    <n v="0"/>
    <n v="0"/>
    <n v="0"/>
    <n v="0"/>
  </r>
  <r>
    <x v="0"/>
    <x v="23"/>
    <m/>
    <s v="GalvaTé réduit 130 RG"/>
    <s v="1&quot;1/2-1&quot;1/4"/>
    <n v="3"/>
    <s v="130RG112114112"/>
    <m/>
    <m/>
    <n v="0"/>
    <m/>
    <m/>
    <m/>
    <m/>
    <m/>
    <m/>
    <n v="0"/>
    <m/>
    <m/>
    <m/>
    <m/>
    <n v="0"/>
    <n v="0"/>
    <n v="0"/>
    <n v="0"/>
    <n v="0"/>
    <n v="0"/>
    <n v="0"/>
  </r>
  <r>
    <x v="0"/>
    <x v="23"/>
    <m/>
    <s v="GalvaTé réduit 130 RG"/>
    <s v="1&quot;1/2-1/2"/>
    <n v="4"/>
    <s v="130RG11212112"/>
    <m/>
    <m/>
    <n v="0"/>
    <m/>
    <m/>
    <m/>
    <m/>
    <m/>
    <m/>
    <n v="0"/>
    <m/>
    <m/>
    <m/>
    <m/>
    <n v="0"/>
    <n v="0"/>
    <n v="0"/>
    <n v="0"/>
    <n v="0"/>
    <n v="0"/>
    <n v="0"/>
  </r>
  <r>
    <x v="0"/>
    <x v="23"/>
    <m/>
    <s v="GalvaTé réduit 130 RG"/>
    <s v="1&quot;1/2-3/4"/>
    <n v="5"/>
    <s v="130RG11234112"/>
    <m/>
    <m/>
    <n v="0"/>
    <m/>
    <m/>
    <m/>
    <m/>
    <m/>
    <m/>
    <n v="0"/>
    <m/>
    <m/>
    <m/>
    <m/>
    <n v="0"/>
    <n v="0"/>
    <n v="0"/>
    <n v="0"/>
    <n v="0"/>
    <n v="0"/>
    <n v="0"/>
  </r>
  <r>
    <x v="0"/>
    <x v="23"/>
    <m/>
    <s v="GalvaTé réduit 130 RG"/>
    <s v="1&quot;1/4-1&quot;"/>
    <n v="6"/>
    <s v="130RG1141114"/>
    <m/>
    <m/>
    <n v="0"/>
    <m/>
    <m/>
    <m/>
    <m/>
    <m/>
    <m/>
    <n v="0"/>
    <m/>
    <m/>
    <m/>
    <m/>
    <n v="0"/>
    <n v="0"/>
    <n v="0"/>
    <n v="0"/>
    <n v="0"/>
    <n v="0"/>
    <n v="0"/>
  </r>
  <r>
    <x v="0"/>
    <x v="23"/>
    <m/>
    <s v="GalvaTé réduit 130 RG"/>
    <s v="1&quot;1/4-1/2"/>
    <n v="7"/>
    <s v="130RG11412114"/>
    <m/>
    <m/>
    <n v="0"/>
    <m/>
    <m/>
    <m/>
    <m/>
    <m/>
    <m/>
    <n v="0"/>
    <m/>
    <m/>
    <m/>
    <m/>
    <n v="0"/>
    <n v="0"/>
    <n v="0"/>
    <n v="0"/>
    <n v="0"/>
    <n v="0"/>
    <n v="0"/>
  </r>
  <r>
    <x v="0"/>
    <x v="23"/>
    <m/>
    <s v="GalvaTé réduit 130 RG"/>
    <s v="1&quot;1/4-3/4"/>
    <n v="8"/>
    <s v="130RG11434114"/>
    <m/>
    <m/>
    <n v="0"/>
    <m/>
    <m/>
    <m/>
    <m/>
    <m/>
    <m/>
    <n v="0"/>
    <m/>
    <m/>
    <m/>
    <m/>
    <n v="0"/>
    <n v="0"/>
    <n v="0"/>
    <n v="0"/>
    <n v="0"/>
    <n v="0"/>
    <n v="0"/>
  </r>
  <r>
    <x v="0"/>
    <x v="23"/>
    <m/>
    <s v="GalvaTé réduit 130 RG"/>
    <s v="1/2-3/8"/>
    <n v="9"/>
    <s v="130RG123812"/>
    <m/>
    <m/>
    <n v="0"/>
    <m/>
    <m/>
    <m/>
    <m/>
    <m/>
    <m/>
    <n v="0"/>
    <m/>
    <m/>
    <m/>
    <m/>
    <n v="0"/>
    <n v="0"/>
    <n v="0"/>
    <n v="0"/>
    <n v="0"/>
    <n v="0"/>
    <n v="0"/>
  </r>
  <r>
    <x v="0"/>
    <x v="23"/>
    <m/>
    <s v="GalvaTé réduit 130 RG"/>
    <s v="1&quot;-3/4"/>
    <n v="10"/>
    <s v="130RG1341"/>
    <m/>
    <m/>
    <n v="0"/>
    <m/>
    <m/>
    <m/>
    <m/>
    <m/>
    <m/>
    <n v="0"/>
    <m/>
    <m/>
    <m/>
    <m/>
    <n v="0"/>
    <n v="0"/>
    <n v="0"/>
    <n v="0"/>
    <n v="0"/>
    <n v="0"/>
    <n v="0"/>
  </r>
  <r>
    <x v="0"/>
    <x v="23"/>
    <m/>
    <s v="GalvaTé réduit 130 RG"/>
    <s v="1&quot;-3/8"/>
    <n v="11"/>
    <s v="130RG138"/>
    <m/>
    <m/>
    <n v="0"/>
    <m/>
    <m/>
    <m/>
    <m/>
    <m/>
    <m/>
    <n v="0"/>
    <m/>
    <m/>
    <m/>
    <m/>
    <n v="0"/>
    <n v="0"/>
    <n v="0"/>
    <n v="0"/>
    <n v="0"/>
    <n v="0"/>
    <n v="0"/>
  </r>
  <r>
    <x v="0"/>
    <x v="23"/>
    <m/>
    <s v="GalvaTé réduit 130 RG"/>
    <s v="2&quot;-1&quot;1/2"/>
    <n v="12"/>
    <s v="130RG21122"/>
    <m/>
    <m/>
    <n v="0"/>
    <m/>
    <m/>
    <m/>
    <m/>
    <m/>
    <m/>
    <n v="0"/>
    <m/>
    <m/>
    <m/>
    <m/>
    <n v="0"/>
    <n v="0"/>
    <n v="0"/>
    <n v="0"/>
    <n v="0"/>
    <n v="0"/>
    <n v="0"/>
  </r>
  <r>
    <x v="0"/>
    <x v="23"/>
    <m/>
    <s v="GalvaTé réduit 130 RG"/>
    <s v="2&quot;-1&quot;1/4"/>
    <n v="13"/>
    <s v="130RG21142"/>
    <m/>
    <m/>
    <n v="0"/>
    <m/>
    <m/>
    <m/>
    <m/>
    <m/>
    <m/>
    <n v="0"/>
    <m/>
    <m/>
    <m/>
    <m/>
    <n v="0"/>
    <n v="0"/>
    <n v="0"/>
    <n v="0"/>
    <n v="0"/>
    <n v="0"/>
    <n v="0"/>
  </r>
  <r>
    <x v="0"/>
    <x v="23"/>
    <m/>
    <s v="GalvaTé réduit 130 RG"/>
    <s v="2&quot;-1&quot;"/>
    <n v="14"/>
    <s v="130RG212"/>
    <m/>
    <m/>
    <n v="0"/>
    <m/>
    <m/>
    <m/>
    <m/>
    <m/>
    <m/>
    <n v="0"/>
    <m/>
    <m/>
    <m/>
    <m/>
    <n v="0"/>
    <n v="0"/>
    <n v="0"/>
    <n v="0"/>
    <n v="0"/>
    <n v="0"/>
    <n v="0"/>
  </r>
  <r>
    <x v="0"/>
    <x v="23"/>
    <m/>
    <s v="GalvaTé réduit 130 RG"/>
    <s v="2&quot;1/2-1&quot;1/2"/>
    <n v="15"/>
    <s v="130RG212112212"/>
    <m/>
    <m/>
    <n v="0"/>
    <m/>
    <m/>
    <m/>
    <m/>
    <m/>
    <m/>
    <n v="0"/>
    <m/>
    <m/>
    <m/>
    <m/>
    <n v="0"/>
    <n v="0"/>
    <n v="0"/>
    <n v="0"/>
    <n v="0"/>
    <n v="0"/>
    <n v="0"/>
  </r>
  <r>
    <x v="0"/>
    <x v="23"/>
    <m/>
    <s v="GalvaTé réduit 130 RG"/>
    <s v="2&quot;1/2-1&quot;1/4"/>
    <n v="16"/>
    <s v="130RG212114212"/>
    <m/>
    <m/>
    <n v="0"/>
    <m/>
    <m/>
    <m/>
    <m/>
    <m/>
    <m/>
    <n v="0"/>
    <m/>
    <m/>
    <m/>
    <m/>
    <n v="0"/>
    <n v="0"/>
    <n v="0"/>
    <n v="0"/>
    <n v="0"/>
    <n v="0"/>
    <n v="0"/>
  </r>
  <r>
    <x v="0"/>
    <x v="23"/>
    <m/>
    <s v="GalvaTé réduit 130 RG"/>
    <s v="2&quot;-1/2"/>
    <n v="17"/>
    <s v="130RG2122"/>
    <m/>
    <m/>
    <n v="0"/>
    <m/>
    <m/>
    <m/>
    <m/>
    <m/>
    <m/>
    <n v="0"/>
    <m/>
    <m/>
    <m/>
    <m/>
    <n v="0"/>
    <n v="0"/>
    <n v="0"/>
    <n v="0"/>
    <n v="0"/>
    <n v="0"/>
    <n v="0"/>
  </r>
  <r>
    <x v="0"/>
    <x v="23"/>
    <m/>
    <s v="GalvaTé réduit 130 RG"/>
    <s v="2&quot;1/2-2&quot;"/>
    <n v="18"/>
    <s v="130RG2122212"/>
    <m/>
    <m/>
    <n v="0"/>
    <m/>
    <m/>
    <m/>
    <m/>
    <m/>
    <m/>
    <n v="0"/>
    <m/>
    <m/>
    <m/>
    <m/>
    <n v="0"/>
    <n v="0"/>
    <n v="0"/>
    <n v="0"/>
    <n v="0"/>
    <n v="0"/>
    <n v="0"/>
  </r>
  <r>
    <x v="0"/>
    <x v="23"/>
    <m/>
    <s v="GalvaTé réduit 130 RG"/>
    <s v="2&quot;-3/4"/>
    <n v="19"/>
    <s v="130RG2342"/>
    <m/>
    <m/>
    <n v="0"/>
    <m/>
    <m/>
    <m/>
    <m/>
    <m/>
    <m/>
    <n v="0"/>
    <m/>
    <m/>
    <m/>
    <m/>
    <n v="0"/>
    <n v="0"/>
    <n v="0"/>
    <n v="0"/>
    <n v="0"/>
    <n v="0"/>
    <n v="0"/>
  </r>
  <r>
    <x v="0"/>
    <x v="23"/>
    <m/>
    <s v="GalvaTé réduit 130 RG"/>
    <s v="3&quot;-1&quot;1/2"/>
    <n v="20"/>
    <s v="130RG31123"/>
    <m/>
    <m/>
    <n v="0"/>
    <m/>
    <m/>
    <m/>
    <m/>
    <m/>
    <m/>
    <n v="0"/>
    <m/>
    <m/>
    <m/>
    <m/>
    <n v="0"/>
    <n v="0"/>
    <n v="0"/>
    <n v="0"/>
    <n v="0"/>
    <n v="0"/>
    <n v="0"/>
  </r>
  <r>
    <x v="0"/>
    <x v="23"/>
    <m/>
    <s v="GalvaTé réduit 130 RG"/>
    <s v="3&quot;-1&quot;1/4"/>
    <n v="21"/>
    <s v="130RG31143"/>
    <m/>
    <m/>
    <n v="0"/>
    <m/>
    <m/>
    <m/>
    <m/>
    <m/>
    <m/>
    <n v="0"/>
    <m/>
    <m/>
    <m/>
    <m/>
    <n v="0"/>
    <n v="0"/>
    <n v="0"/>
    <n v="0"/>
    <n v="0"/>
    <n v="0"/>
    <n v="0"/>
  </r>
  <r>
    <x v="0"/>
    <x v="23"/>
    <m/>
    <s v="GalvaTé réduit 130 RG"/>
    <s v="3&quot;-1&quot;"/>
    <n v="22"/>
    <s v="130RG313"/>
    <m/>
    <m/>
    <n v="0"/>
    <m/>
    <m/>
    <m/>
    <m/>
    <m/>
    <m/>
    <n v="0"/>
    <m/>
    <m/>
    <m/>
    <m/>
    <n v="0"/>
    <n v="0"/>
    <n v="0"/>
    <n v="0"/>
    <n v="0"/>
    <n v="0"/>
    <n v="0"/>
  </r>
  <r>
    <x v="0"/>
    <x v="23"/>
    <m/>
    <s v="GalvaTé réduit 130 RG"/>
    <s v="3&quot;-2&quot;1/2"/>
    <n v="23"/>
    <s v="130RG32123"/>
    <m/>
    <m/>
    <n v="0"/>
    <m/>
    <m/>
    <m/>
    <m/>
    <m/>
    <m/>
    <n v="0"/>
    <m/>
    <m/>
    <m/>
    <m/>
    <n v="0"/>
    <n v="0"/>
    <n v="0"/>
    <n v="0"/>
    <n v="0"/>
    <n v="0"/>
    <n v="0"/>
  </r>
  <r>
    <x v="0"/>
    <x v="23"/>
    <m/>
    <s v="GalvaTé réduit 130 RG"/>
    <s v="3&quot;-2&quot;"/>
    <n v="24"/>
    <s v="130RG323"/>
    <m/>
    <m/>
    <n v="0"/>
    <m/>
    <m/>
    <m/>
    <m/>
    <m/>
    <m/>
    <n v="0"/>
    <m/>
    <m/>
    <m/>
    <m/>
    <n v="0"/>
    <n v="0"/>
    <n v="0"/>
    <n v="0"/>
    <n v="0"/>
    <n v="0"/>
    <n v="0"/>
  </r>
  <r>
    <x v="0"/>
    <x v="23"/>
    <m/>
    <s v="GalvaTé réduit 130 RG"/>
    <s v="3/4-1/2"/>
    <n v="25"/>
    <s v="130RG341234"/>
    <m/>
    <m/>
    <n v="0"/>
    <m/>
    <m/>
    <m/>
    <m/>
    <m/>
    <m/>
    <n v="0"/>
    <m/>
    <m/>
    <m/>
    <m/>
    <n v="0"/>
    <n v="0"/>
    <n v="0"/>
    <n v="0"/>
    <n v="0"/>
    <n v="0"/>
    <n v="0"/>
  </r>
  <r>
    <x v="0"/>
    <x v="23"/>
    <m/>
    <s v="GalvaTé réduit 130 RG"/>
    <s v="3/4-3/8"/>
    <n v="26"/>
    <s v="130RG343834"/>
    <m/>
    <m/>
    <n v="0"/>
    <m/>
    <m/>
    <m/>
    <m/>
    <m/>
    <m/>
    <n v="0"/>
    <m/>
    <m/>
    <m/>
    <m/>
    <n v="0"/>
    <n v="0"/>
    <n v="0"/>
    <n v="0"/>
    <n v="0"/>
    <n v="0"/>
    <n v="0"/>
  </r>
  <r>
    <x v="0"/>
    <x v="23"/>
    <m/>
    <s v="GalvaTé réduit 130 RG"/>
    <s v="4&quot;-1&quot;1/2"/>
    <n v="27"/>
    <s v="130RG41124"/>
    <m/>
    <m/>
    <n v="0"/>
    <m/>
    <m/>
    <m/>
    <m/>
    <m/>
    <m/>
    <n v="0"/>
    <m/>
    <m/>
    <m/>
    <m/>
    <n v="0"/>
    <n v="0"/>
    <n v="0"/>
    <n v="0"/>
    <n v="0"/>
    <n v="0"/>
    <n v="0"/>
  </r>
  <r>
    <x v="0"/>
    <x v="23"/>
    <m/>
    <s v="GalvaTé réduit 130 RG"/>
    <s v="4&quot;-2&quot;1/2"/>
    <n v="28"/>
    <s v="130RG42124"/>
    <m/>
    <m/>
    <n v="0"/>
    <m/>
    <m/>
    <m/>
    <m/>
    <m/>
    <m/>
    <n v="0"/>
    <m/>
    <m/>
    <m/>
    <m/>
    <n v="0"/>
    <n v="0"/>
    <n v="0"/>
    <n v="0"/>
    <n v="0"/>
    <n v="0"/>
    <n v="0"/>
  </r>
  <r>
    <x v="0"/>
    <x v="23"/>
    <m/>
    <s v="GalvaTé réduit 130 RG"/>
    <s v="4&quot;-2&quot;"/>
    <n v="29"/>
    <s v="130RG424"/>
    <m/>
    <m/>
    <n v="0"/>
    <m/>
    <m/>
    <m/>
    <m/>
    <m/>
    <m/>
    <n v="0"/>
    <m/>
    <m/>
    <m/>
    <m/>
    <n v="0"/>
    <n v="0"/>
    <n v="0"/>
    <n v="0"/>
    <n v="0"/>
    <n v="0"/>
    <n v="0"/>
  </r>
  <r>
    <x v="0"/>
    <x v="23"/>
    <m/>
    <s v="GalvaTé réduit 130 RG"/>
    <s v="4&quot;-3&quot;"/>
    <n v="30"/>
    <s v="130RG434"/>
    <m/>
    <m/>
    <n v="0"/>
    <m/>
    <m/>
    <m/>
    <m/>
    <m/>
    <m/>
    <n v="0"/>
    <m/>
    <m/>
    <m/>
    <m/>
    <n v="0"/>
    <n v="0"/>
    <n v="0"/>
    <n v="0"/>
    <n v="0"/>
    <n v="0"/>
    <n v="0"/>
  </r>
  <r>
    <x v="0"/>
    <x v="23"/>
    <m/>
    <s v="GalvaTé réduit 130 RG"/>
    <m/>
    <n v="0"/>
    <m/>
    <m/>
    <m/>
    <n v="0"/>
    <m/>
    <m/>
    <m/>
    <m/>
    <m/>
    <m/>
    <n v="0"/>
    <m/>
    <m/>
    <m/>
    <m/>
    <n v="0"/>
    <n v="0"/>
    <n v="0"/>
    <n v="0"/>
    <n v="0"/>
    <n v="0"/>
    <n v="0"/>
  </r>
  <r>
    <x v="0"/>
    <x v="24"/>
    <m/>
    <s v="GalvaTube galva"/>
    <s v="1&quot;"/>
    <n v="1"/>
    <s v="T3GM1"/>
    <m/>
    <m/>
    <n v="0"/>
    <m/>
    <m/>
    <m/>
    <m/>
    <m/>
    <m/>
    <n v="0"/>
    <m/>
    <m/>
    <m/>
    <m/>
    <n v="0"/>
    <n v="0"/>
    <n v="0"/>
    <n v="0"/>
    <n v="0"/>
    <n v="0"/>
    <n v="0"/>
  </r>
  <r>
    <x v="0"/>
    <x v="24"/>
    <m/>
    <s v="GalvaTube galva"/>
    <s v="1&quot;1/2"/>
    <n v="2"/>
    <s v="T3GM112"/>
    <m/>
    <m/>
    <n v="0"/>
    <m/>
    <m/>
    <m/>
    <m/>
    <m/>
    <m/>
    <n v="0"/>
    <m/>
    <m/>
    <m/>
    <m/>
    <n v="0"/>
    <n v="0"/>
    <n v="0"/>
    <n v="0"/>
    <n v="0"/>
    <n v="0"/>
    <n v="0"/>
  </r>
  <r>
    <x v="0"/>
    <x v="24"/>
    <m/>
    <s v="GalvaTube galva"/>
    <s v="1&quot;1/4"/>
    <n v="3"/>
    <s v="T3GM114"/>
    <m/>
    <m/>
    <n v="0"/>
    <m/>
    <m/>
    <m/>
    <m/>
    <m/>
    <m/>
    <n v="0"/>
    <m/>
    <m/>
    <m/>
    <m/>
    <n v="0"/>
    <n v="0"/>
    <n v="0"/>
    <n v="0"/>
    <n v="0"/>
    <n v="0"/>
    <n v="0"/>
  </r>
  <r>
    <x v="0"/>
    <x v="24"/>
    <m/>
    <s v="GalvaTube galva"/>
    <s v=" 1/2"/>
    <n v="4"/>
    <s v="T3GM12"/>
    <m/>
    <m/>
    <n v="0"/>
    <m/>
    <m/>
    <m/>
    <m/>
    <m/>
    <m/>
    <n v="0"/>
    <m/>
    <m/>
    <m/>
    <m/>
    <n v="0"/>
    <n v="0"/>
    <n v="0"/>
    <n v="0"/>
    <n v="0"/>
    <n v="0"/>
    <n v="0"/>
  </r>
  <r>
    <x v="0"/>
    <x v="24"/>
    <m/>
    <s v="GalvaTube galva"/>
    <s v="2&quot;"/>
    <n v="5"/>
    <s v="T3GM2"/>
    <m/>
    <m/>
    <n v="0"/>
    <m/>
    <m/>
    <m/>
    <m/>
    <m/>
    <m/>
    <n v="0"/>
    <m/>
    <m/>
    <m/>
    <m/>
    <n v="0"/>
    <n v="0"/>
    <n v="0"/>
    <n v="0"/>
    <n v="0"/>
    <n v="0"/>
    <n v="0"/>
  </r>
  <r>
    <x v="0"/>
    <x v="24"/>
    <m/>
    <s v="GalvaTube galva"/>
    <s v="2&quot;1/2"/>
    <n v="6"/>
    <s v="T3GM212"/>
    <m/>
    <m/>
    <n v="0"/>
    <m/>
    <m/>
    <m/>
    <m/>
    <m/>
    <m/>
    <n v="0"/>
    <m/>
    <m/>
    <m/>
    <m/>
    <n v="0"/>
    <n v="0"/>
    <n v="0"/>
    <n v="0"/>
    <n v="0"/>
    <n v="0"/>
    <n v="0"/>
  </r>
  <r>
    <x v="0"/>
    <x v="24"/>
    <m/>
    <s v="GalvaTube galva"/>
    <s v="3&quot;"/>
    <n v="7"/>
    <s v="T3GM3"/>
    <m/>
    <m/>
    <n v="0"/>
    <m/>
    <m/>
    <m/>
    <m/>
    <m/>
    <m/>
    <n v="0"/>
    <m/>
    <m/>
    <m/>
    <m/>
    <n v="0"/>
    <n v="0"/>
    <n v="0"/>
    <n v="0"/>
    <n v="0"/>
    <n v="0"/>
    <n v="0"/>
  </r>
  <r>
    <x v="0"/>
    <x v="24"/>
    <m/>
    <s v="GalvaTube galva"/>
    <s v=" 3/4"/>
    <n v="8"/>
    <s v="T3GM34"/>
    <m/>
    <m/>
    <n v="0"/>
    <m/>
    <m/>
    <m/>
    <m/>
    <m/>
    <m/>
    <n v="0"/>
    <m/>
    <m/>
    <m/>
    <m/>
    <n v="0"/>
    <n v="0"/>
    <n v="0"/>
    <n v="0"/>
    <n v="0"/>
    <n v="0"/>
    <n v="0"/>
  </r>
  <r>
    <x v="0"/>
    <x v="24"/>
    <m/>
    <s v="GalvaTube galva"/>
    <s v=" 3/8"/>
    <n v="9"/>
    <s v="T3GM38"/>
    <m/>
    <m/>
    <n v="0"/>
    <m/>
    <m/>
    <m/>
    <m/>
    <m/>
    <m/>
    <n v="0"/>
    <m/>
    <m/>
    <m/>
    <m/>
    <n v="0"/>
    <n v="0"/>
    <n v="0"/>
    <n v="0"/>
    <n v="0"/>
    <n v="0"/>
    <n v="0"/>
  </r>
  <r>
    <x v="0"/>
    <x v="24"/>
    <m/>
    <s v="GalvaTube galva"/>
    <s v="4&quot;"/>
    <n v="10"/>
    <s v="T3GM4"/>
    <m/>
    <m/>
    <n v="0"/>
    <m/>
    <m/>
    <m/>
    <m/>
    <m/>
    <m/>
    <n v="0"/>
    <m/>
    <m/>
    <m/>
    <m/>
    <n v="0"/>
    <n v="0"/>
    <n v="0"/>
    <n v="0"/>
    <n v="0"/>
    <n v="0"/>
    <n v="0"/>
  </r>
  <r>
    <x v="0"/>
    <x v="24"/>
    <m/>
    <s v="GalvaTube galva"/>
    <m/>
    <n v="0"/>
    <m/>
    <m/>
    <m/>
    <n v="0"/>
    <m/>
    <m/>
    <m/>
    <m/>
    <m/>
    <m/>
    <n v="0"/>
    <m/>
    <m/>
    <m/>
    <m/>
    <n v="0"/>
    <n v="0"/>
    <n v="0"/>
    <n v="0"/>
    <n v="0"/>
    <n v="0"/>
    <n v="0"/>
  </r>
  <r>
    <x v="0"/>
    <x v="25"/>
    <m/>
    <s v="GalvaUnion MM 344"/>
    <s v="1&quot;"/>
    <n v="1"/>
    <s v="344G1"/>
    <m/>
    <m/>
    <n v="0"/>
    <m/>
    <m/>
    <m/>
    <m/>
    <m/>
    <m/>
    <n v="0"/>
    <m/>
    <m/>
    <m/>
    <m/>
    <n v="0"/>
    <n v="0"/>
    <n v="0"/>
    <n v="0"/>
    <n v="0"/>
    <n v="0"/>
    <n v="0"/>
  </r>
  <r>
    <x v="0"/>
    <x v="25"/>
    <m/>
    <s v="GalvaUnion MM 344"/>
    <s v="1&quot;1/2"/>
    <n v="2"/>
    <s v="344G112"/>
    <m/>
    <m/>
    <n v="0"/>
    <m/>
    <m/>
    <m/>
    <m/>
    <m/>
    <m/>
    <n v="0"/>
    <m/>
    <m/>
    <m/>
    <m/>
    <n v="0"/>
    <n v="0"/>
    <n v="0"/>
    <n v="0"/>
    <n v="0"/>
    <n v="0"/>
    <n v="0"/>
  </r>
  <r>
    <x v="0"/>
    <x v="25"/>
    <m/>
    <s v="GalvaUnion MM 344"/>
    <s v="1&quot;1/4"/>
    <n v="3"/>
    <s v="344G114"/>
    <m/>
    <m/>
    <n v="0"/>
    <m/>
    <m/>
    <m/>
    <m/>
    <m/>
    <m/>
    <n v="0"/>
    <m/>
    <m/>
    <m/>
    <m/>
    <n v="0"/>
    <n v="0"/>
    <n v="0"/>
    <n v="0"/>
    <n v="0"/>
    <n v="0"/>
    <n v="0"/>
  </r>
  <r>
    <x v="0"/>
    <x v="25"/>
    <m/>
    <s v="GalvaUnion MM 344"/>
    <s v=" 1/2"/>
    <n v="4"/>
    <s v="344G12"/>
    <m/>
    <m/>
    <n v="0"/>
    <m/>
    <m/>
    <m/>
    <m/>
    <m/>
    <m/>
    <n v="0"/>
    <m/>
    <m/>
    <m/>
    <m/>
    <n v="0"/>
    <n v="0"/>
    <n v="0"/>
    <n v="0"/>
    <n v="0"/>
    <n v="0"/>
    <n v="0"/>
  </r>
  <r>
    <x v="0"/>
    <x v="25"/>
    <m/>
    <s v="GalvaUnion MM 344"/>
    <s v="1/4&quot;"/>
    <n v="5"/>
    <s v="344G14"/>
    <m/>
    <m/>
    <n v="0"/>
    <m/>
    <m/>
    <m/>
    <m/>
    <m/>
    <m/>
    <n v="0"/>
    <m/>
    <m/>
    <m/>
    <m/>
    <n v="0"/>
    <n v="0"/>
    <n v="0"/>
    <n v="0"/>
    <n v="0"/>
    <n v="0"/>
    <n v="0"/>
  </r>
  <r>
    <x v="0"/>
    <x v="25"/>
    <m/>
    <s v="GalvaUnion MM 344"/>
    <s v="2&quot;"/>
    <n v="6"/>
    <s v="344G2"/>
    <m/>
    <m/>
    <n v="0"/>
    <m/>
    <m/>
    <m/>
    <m/>
    <m/>
    <m/>
    <n v="0"/>
    <m/>
    <m/>
    <m/>
    <m/>
    <n v="0"/>
    <n v="0"/>
    <n v="0"/>
    <n v="0"/>
    <n v="0"/>
    <n v="0"/>
    <n v="0"/>
  </r>
  <r>
    <x v="0"/>
    <x v="25"/>
    <m/>
    <s v="GalvaUnion MM 344"/>
    <s v="2&quot;1/2"/>
    <n v="7"/>
    <s v="344G212"/>
    <m/>
    <m/>
    <n v="0"/>
    <m/>
    <m/>
    <m/>
    <m/>
    <m/>
    <m/>
    <n v="0"/>
    <m/>
    <m/>
    <m/>
    <m/>
    <n v="0"/>
    <n v="0"/>
    <n v="0"/>
    <n v="0"/>
    <n v="0"/>
    <n v="0"/>
    <n v="0"/>
  </r>
  <r>
    <x v="0"/>
    <x v="25"/>
    <m/>
    <s v="GalvaUnion MM 344"/>
    <s v=" 3&quot;"/>
    <n v="8"/>
    <s v="344G3"/>
    <m/>
    <m/>
    <n v="0"/>
    <m/>
    <m/>
    <m/>
    <m/>
    <m/>
    <m/>
    <n v="0"/>
    <m/>
    <m/>
    <m/>
    <m/>
    <n v="0"/>
    <n v="0"/>
    <n v="0"/>
    <n v="0"/>
    <n v="0"/>
    <n v="0"/>
    <n v="0"/>
  </r>
  <r>
    <x v="0"/>
    <x v="25"/>
    <m/>
    <s v="GalvaUnion MM 344"/>
    <s v=" 3/4"/>
    <n v="9"/>
    <s v="344G34"/>
    <m/>
    <m/>
    <n v="0"/>
    <m/>
    <m/>
    <m/>
    <m/>
    <m/>
    <m/>
    <n v="0"/>
    <m/>
    <m/>
    <m/>
    <m/>
    <n v="0"/>
    <n v="0"/>
    <n v="0"/>
    <n v="0"/>
    <n v="0"/>
    <n v="0"/>
    <n v="0"/>
  </r>
  <r>
    <x v="0"/>
    <x v="25"/>
    <m/>
    <s v="GalvaUnion MM 344"/>
    <s v=" 3/8"/>
    <n v="10"/>
    <s v="344G38"/>
    <m/>
    <m/>
    <n v="0"/>
    <m/>
    <m/>
    <m/>
    <m/>
    <m/>
    <m/>
    <n v="0"/>
    <m/>
    <m/>
    <m/>
    <m/>
    <n v="0"/>
    <n v="0"/>
    <n v="0"/>
    <n v="0"/>
    <n v="0"/>
    <n v="0"/>
    <n v="0"/>
  </r>
  <r>
    <x v="0"/>
    <x v="25"/>
    <m/>
    <s v="GalvaUnion MM 344"/>
    <s v="4&quot;"/>
    <n v="11"/>
    <s v="344G4"/>
    <m/>
    <m/>
    <n v="0"/>
    <m/>
    <m/>
    <m/>
    <m/>
    <m/>
    <m/>
    <n v="0"/>
    <m/>
    <m/>
    <m/>
    <m/>
    <n v="0"/>
    <n v="0"/>
    <n v="0"/>
    <n v="0"/>
    <n v="0"/>
    <n v="0"/>
    <n v="0"/>
  </r>
  <r>
    <x v="0"/>
    <x v="25"/>
    <m/>
    <s v="GalvaUnion MM 344"/>
    <m/>
    <n v="0"/>
    <m/>
    <m/>
    <m/>
    <n v="0"/>
    <m/>
    <m/>
    <m/>
    <m/>
    <m/>
    <m/>
    <n v="0"/>
    <m/>
    <m/>
    <m/>
    <m/>
    <n v="0"/>
    <n v="0"/>
    <n v="0"/>
    <n v="0"/>
    <n v="0"/>
    <n v="0"/>
    <n v="0"/>
  </r>
  <r>
    <x v="0"/>
    <x v="26"/>
    <m/>
    <s v="GalvaUnions ff 340"/>
    <s v="1&quot;"/>
    <n v="1"/>
    <s v="340G1"/>
    <m/>
    <m/>
    <n v="0"/>
    <m/>
    <m/>
    <m/>
    <m/>
    <m/>
    <m/>
    <n v="0"/>
    <m/>
    <m/>
    <m/>
    <m/>
    <n v="0"/>
    <n v="0"/>
    <n v="0"/>
    <n v="0"/>
    <n v="0"/>
    <n v="0"/>
    <n v="0"/>
  </r>
  <r>
    <x v="0"/>
    <x v="26"/>
    <m/>
    <s v="GalvaUnions ff 340"/>
    <s v="1&quot;1/2"/>
    <n v="2"/>
    <s v="340G112"/>
    <m/>
    <m/>
    <n v="0"/>
    <m/>
    <m/>
    <m/>
    <m/>
    <m/>
    <m/>
    <n v="0"/>
    <m/>
    <m/>
    <m/>
    <m/>
    <n v="0"/>
    <n v="0"/>
    <n v="0"/>
    <n v="0"/>
    <n v="0"/>
    <n v="0"/>
    <n v="0"/>
  </r>
  <r>
    <x v="0"/>
    <x v="26"/>
    <m/>
    <s v="GalvaUnions ff 340"/>
    <s v="1&quot;1/4"/>
    <n v="3"/>
    <s v="340G114"/>
    <m/>
    <m/>
    <n v="0"/>
    <m/>
    <m/>
    <m/>
    <m/>
    <m/>
    <m/>
    <n v="0"/>
    <m/>
    <m/>
    <m/>
    <m/>
    <n v="0"/>
    <n v="0"/>
    <n v="0"/>
    <n v="0"/>
    <n v="0"/>
    <n v="0"/>
    <n v="0"/>
  </r>
  <r>
    <x v="0"/>
    <x v="26"/>
    <m/>
    <s v="GalvaUnions ff 340"/>
    <s v=" 1/2"/>
    <n v="4"/>
    <s v="340G12"/>
    <m/>
    <m/>
    <n v="0"/>
    <m/>
    <m/>
    <m/>
    <m/>
    <m/>
    <m/>
    <n v="0"/>
    <m/>
    <m/>
    <m/>
    <m/>
    <n v="0"/>
    <n v="0"/>
    <n v="0"/>
    <n v="0"/>
    <n v="0"/>
    <n v="0"/>
    <n v="0"/>
  </r>
  <r>
    <x v="0"/>
    <x v="26"/>
    <m/>
    <s v="GalvaUnions ff 340"/>
    <s v=" 1/4"/>
    <n v="5"/>
    <s v="340G14"/>
    <m/>
    <m/>
    <n v="0"/>
    <m/>
    <m/>
    <m/>
    <m/>
    <m/>
    <m/>
    <n v="0"/>
    <m/>
    <m/>
    <m/>
    <m/>
    <n v="0"/>
    <n v="0"/>
    <n v="0"/>
    <n v="0"/>
    <n v="0"/>
    <n v="0"/>
    <n v="0"/>
  </r>
  <r>
    <x v="0"/>
    <x v="26"/>
    <m/>
    <s v="GalvaUnions ff 340"/>
    <s v="2&quot;"/>
    <n v="6"/>
    <s v="340G2"/>
    <m/>
    <m/>
    <n v="0"/>
    <m/>
    <m/>
    <m/>
    <m/>
    <m/>
    <m/>
    <n v="0"/>
    <m/>
    <m/>
    <m/>
    <m/>
    <n v="0"/>
    <n v="0"/>
    <n v="0"/>
    <n v="0"/>
    <n v="0"/>
    <n v="0"/>
    <n v="0"/>
  </r>
  <r>
    <x v="0"/>
    <x v="26"/>
    <m/>
    <s v="GalvaUnions ff 340"/>
    <s v="2&quot;1/2"/>
    <n v="7"/>
    <s v="340G212"/>
    <m/>
    <m/>
    <n v="0"/>
    <m/>
    <m/>
    <m/>
    <m/>
    <m/>
    <m/>
    <n v="0"/>
    <m/>
    <m/>
    <m/>
    <m/>
    <n v="0"/>
    <n v="0"/>
    <n v="0"/>
    <n v="0"/>
    <n v="0"/>
    <n v="0"/>
    <n v="0"/>
  </r>
  <r>
    <x v="0"/>
    <x v="26"/>
    <m/>
    <s v="GalvaUnions ff 340"/>
    <s v=" 3&quot;"/>
    <n v="8"/>
    <s v="340G3"/>
    <m/>
    <m/>
    <n v="0"/>
    <m/>
    <m/>
    <m/>
    <m/>
    <m/>
    <m/>
    <n v="0"/>
    <m/>
    <m/>
    <m/>
    <m/>
    <n v="0"/>
    <n v="0"/>
    <n v="0"/>
    <n v="0"/>
    <n v="0"/>
    <n v="0"/>
    <n v="0"/>
  </r>
  <r>
    <x v="0"/>
    <x v="26"/>
    <m/>
    <s v="GalvaUnions ff 340"/>
    <s v=" 3/4"/>
    <n v="9"/>
    <s v="340G34"/>
    <m/>
    <m/>
    <n v="0"/>
    <m/>
    <m/>
    <m/>
    <m/>
    <m/>
    <m/>
    <n v="0"/>
    <m/>
    <m/>
    <m/>
    <m/>
    <n v="0"/>
    <n v="0"/>
    <n v="0"/>
    <n v="0"/>
    <n v="0"/>
    <n v="0"/>
    <n v="0"/>
  </r>
  <r>
    <x v="0"/>
    <x v="26"/>
    <m/>
    <s v="GalvaUnions ff 340"/>
    <s v=" 3/8"/>
    <n v="10"/>
    <s v="340G38"/>
    <m/>
    <m/>
    <n v="0"/>
    <m/>
    <m/>
    <m/>
    <m/>
    <m/>
    <m/>
    <n v="0"/>
    <m/>
    <m/>
    <m/>
    <m/>
    <n v="0"/>
    <n v="0"/>
    <n v="0"/>
    <n v="0"/>
    <n v="0"/>
    <n v="0"/>
    <n v="0"/>
  </r>
  <r>
    <x v="0"/>
    <x v="26"/>
    <m/>
    <s v="GalvaUnions ff 340"/>
    <m/>
    <n v="0"/>
    <m/>
    <m/>
    <m/>
    <n v="0"/>
    <m/>
    <m/>
    <m/>
    <m/>
    <m/>
    <m/>
    <n v="0"/>
    <m/>
    <m/>
    <m/>
    <m/>
    <n v="0"/>
    <n v="0"/>
    <n v="0"/>
    <n v="0"/>
    <n v="0"/>
    <n v="0"/>
    <n v="0"/>
  </r>
  <r>
    <x v="0"/>
    <x v="27"/>
    <m/>
    <s v="GalvaUnions ff coudés 96"/>
    <s v="1&quot;"/>
    <n v="1"/>
    <s v="96G1"/>
    <m/>
    <m/>
    <n v="0"/>
    <m/>
    <m/>
    <m/>
    <m/>
    <m/>
    <m/>
    <n v="0"/>
    <m/>
    <m/>
    <m/>
    <m/>
    <n v="0"/>
    <n v="0"/>
    <n v="0"/>
    <n v="0"/>
    <n v="0"/>
    <n v="0"/>
    <n v="0"/>
  </r>
  <r>
    <x v="0"/>
    <x v="27"/>
    <m/>
    <s v="GalvaUnions ff coudés 96"/>
    <s v="1&quot;1/2"/>
    <n v="2"/>
    <s v="96G112"/>
    <m/>
    <m/>
    <n v="0"/>
    <m/>
    <m/>
    <m/>
    <m/>
    <m/>
    <m/>
    <n v="0"/>
    <m/>
    <m/>
    <m/>
    <m/>
    <n v="0"/>
    <n v="0"/>
    <n v="0"/>
    <n v="0"/>
    <n v="0"/>
    <n v="0"/>
    <n v="0"/>
  </r>
  <r>
    <x v="0"/>
    <x v="27"/>
    <m/>
    <s v="GalvaUnions ff coudés 96"/>
    <s v="1&quot;1/4"/>
    <n v="3"/>
    <s v="96G114"/>
    <m/>
    <m/>
    <n v="0"/>
    <m/>
    <m/>
    <m/>
    <m/>
    <m/>
    <m/>
    <n v="0"/>
    <m/>
    <m/>
    <m/>
    <m/>
    <n v="0"/>
    <n v="0"/>
    <n v="0"/>
    <n v="0"/>
    <n v="0"/>
    <n v="0"/>
    <n v="0"/>
  </r>
  <r>
    <x v="0"/>
    <x v="27"/>
    <m/>
    <s v="GalvaUnions ff coudés 96"/>
    <s v=" 1/2"/>
    <n v="4"/>
    <s v="96G12"/>
    <m/>
    <m/>
    <n v="0"/>
    <m/>
    <m/>
    <m/>
    <m/>
    <m/>
    <m/>
    <n v="0"/>
    <m/>
    <m/>
    <m/>
    <m/>
    <n v="0"/>
    <n v="0"/>
    <n v="0"/>
    <n v="0"/>
    <n v="0"/>
    <n v="0"/>
    <n v="0"/>
  </r>
  <r>
    <x v="0"/>
    <x v="27"/>
    <m/>
    <s v="GalvaUnions ff coudés 96"/>
    <s v="2&quot;"/>
    <n v="5"/>
    <s v="96G2"/>
    <m/>
    <m/>
    <n v="0"/>
    <m/>
    <m/>
    <m/>
    <m/>
    <m/>
    <m/>
    <n v="0"/>
    <m/>
    <m/>
    <m/>
    <m/>
    <n v="0"/>
    <n v="0"/>
    <n v="0"/>
    <n v="0"/>
    <n v="0"/>
    <n v="0"/>
    <n v="0"/>
  </r>
  <r>
    <x v="0"/>
    <x v="27"/>
    <m/>
    <s v="GalvaUnions ff coudés 96"/>
    <s v="2&quot;1/2"/>
    <n v="6"/>
    <s v="96G212"/>
    <m/>
    <m/>
    <n v="0"/>
    <m/>
    <m/>
    <m/>
    <m/>
    <m/>
    <m/>
    <n v="0"/>
    <m/>
    <m/>
    <m/>
    <m/>
    <n v="0"/>
    <n v="0"/>
    <n v="0"/>
    <n v="0"/>
    <n v="0"/>
    <n v="0"/>
    <n v="0"/>
  </r>
  <r>
    <x v="0"/>
    <x v="27"/>
    <m/>
    <s v="GalvaUnions ff coudés 96"/>
    <s v="3&quot;"/>
    <n v="7"/>
    <s v="96G3"/>
    <m/>
    <m/>
    <n v="0"/>
    <m/>
    <m/>
    <m/>
    <m/>
    <m/>
    <m/>
    <n v="0"/>
    <m/>
    <m/>
    <m/>
    <m/>
    <n v="0"/>
    <n v="0"/>
    <n v="0"/>
    <n v="0"/>
    <n v="0"/>
    <n v="0"/>
    <n v="0"/>
  </r>
  <r>
    <x v="0"/>
    <x v="27"/>
    <m/>
    <s v="GalvaUnions ff coudés 96"/>
    <s v=" 3/4"/>
    <n v="8"/>
    <s v="96G34"/>
    <m/>
    <m/>
    <n v="0"/>
    <m/>
    <m/>
    <m/>
    <m/>
    <m/>
    <m/>
    <n v="0"/>
    <m/>
    <m/>
    <m/>
    <m/>
    <n v="0"/>
    <n v="0"/>
    <n v="0"/>
    <n v="0"/>
    <n v="0"/>
    <n v="0"/>
    <n v="0"/>
  </r>
  <r>
    <x v="0"/>
    <x v="27"/>
    <m/>
    <s v="GalvaUnions ff coudés 96"/>
    <m/>
    <n v="0"/>
    <m/>
    <m/>
    <m/>
    <n v="0"/>
    <m/>
    <m/>
    <m/>
    <m/>
    <m/>
    <m/>
    <n v="0"/>
    <m/>
    <m/>
    <m/>
    <m/>
    <n v="0"/>
    <n v="0"/>
    <n v="0"/>
    <n v="0"/>
    <n v="0"/>
    <n v="0"/>
    <n v="0"/>
  </r>
  <r>
    <x v="0"/>
    <x v="28"/>
    <m/>
    <s v="GalvaUnions mf 341"/>
    <s v="1&quot;"/>
    <n v="1"/>
    <s v="341G1"/>
    <m/>
    <m/>
    <n v="0"/>
    <m/>
    <m/>
    <m/>
    <m/>
    <m/>
    <m/>
    <n v="0"/>
    <m/>
    <m/>
    <m/>
    <m/>
    <n v="0"/>
    <n v="0"/>
    <n v="0"/>
    <n v="0"/>
    <n v="0"/>
    <n v="0"/>
    <n v="0"/>
  </r>
  <r>
    <x v="0"/>
    <x v="28"/>
    <m/>
    <s v="GalvaUnions mf 341"/>
    <s v="1&quot;1/2"/>
    <n v="2"/>
    <s v="341G112"/>
    <m/>
    <m/>
    <n v="0"/>
    <m/>
    <m/>
    <m/>
    <m/>
    <m/>
    <m/>
    <n v="0"/>
    <m/>
    <m/>
    <m/>
    <m/>
    <n v="0"/>
    <n v="0"/>
    <n v="0"/>
    <n v="0"/>
    <n v="0"/>
    <n v="0"/>
    <n v="0"/>
  </r>
  <r>
    <x v="0"/>
    <x v="28"/>
    <m/>
    <s v="GalvaUnions mf 341"/>
    <s v="1&quot;1/4"/>
    <n v="3"/>
    <s v="341G114"/>
    <m/>
    <m/>
    <n v="0"/>
    <m/>
    <m/>
    <m/>
    <m/>
    <m/>
    <m/>
    <n v="0"/>
    <m/>
    <m/>
    <m/>
    <m/>
    <n v="0"/>
    <n v="0"/>
    <n v="0"/>
    <n v="0"/>
    <n v="0"/>
    <n v="0"/>
    <n v="0"/>
  </r>
  <r>
    <x v="0"/>
    <x v="28"/>
    <m/>
    <s v="GalvaUnions mf 341"/>
    <s v=" 1/2"/>
    <n v="4"/>
    <s v="341G12"/>
    <m/>
    <m/>
    <n v="0"/>
    <m/>
    <m/>
    <m/>
    <m/>
    <m/>
    <m/>
    <n v="0"/>
    <m/>
    <m/>
    <m/>
    <m/>
    <n v="0"/>
    <n v="0"/>
    <n v="0"/>
    <n v="0"/>
    <n v="0"/>
    <n v="0"/>
    <n v="0"/>
  </r>
  <r>
    <x v="0"/>
    <x v="28"/>
    <m/>
    <s v="GalvaUnions mf 341"/>
    <s v=" 1/4"/>
    <n v="5"/>
    <s v="341G14"/>
    <m/>
    <m/>
    <n v="0"/>
    <m/>
    <m/>
    <m/>
    <m/>
    <m/>
    <m/>
    <n v="0"/>
    <m/>
    <m/>
    <m/>
    <m/>
    <n v="0"/>
    <n v="0"/>
    <n v="0"/>
    <n v="0"/>
    <n v="0"/>
    <n v="0"/>
    <n v="0"/>
  </r>
  <r>
    <x v="0"/>
    <x v="28"/>
    <m/>
    <s v="GalvaUnions mf 341"/>
    <s v="2&quot;"/>
    <n v="6"/>
    <s v="341G2"/>
    <m/>
    <m/>
    <n v="0"/>
    <m/>
    <m/>
    <m/>
    <m/>
    <m/>
    <m/>
    <n v="0"/>
    <m/>
    <m/>
    <m/>
    <m/>
    <n v="0"/>
    <n v="0"/>
    <n v="0"/>
    <n v="0"/>
    <n v="0"/>
    <n v="0"/>
    <n v="0"/>
  </r>
  <r>
    <x v="0"/>
    <x v="28"/>
    <m/>
    <s v="GalvaUnions mf 341"/>
    <s v="2&quot;1/2"/>
    <n v="7"/>
    <s v="341G212"/>
    <m/>
    <m/>
    <n v="0"/>
    <m/>
    <m/>
    <m/>
    <m/>
    <m/>
    <m/>
    <n v="0"/>
    <m/>
    <m/>
    <m/>
    <m/>
    <n v="0"/>
    <n v="0"/>
    <n v="0"/>
    <n v="0"/>
    <n v="0"/>
    <n v="0"/>
    <n v="0"/>
  </r>
  <r>
    <x v="0"/>
    <x v="28"/>
    <m/>
    <s v="GalvaUnions mf 341"/>
    <s v=" 3&quot;"/>
    <n v="8"/>
    <s v="341G3"/>
    <m/>
    <m/>
    <n v="0"/>
    <m/>
    <m/>
    <m/>
    <m/>
    <m/>
    <m/>
    <n v="0"/>
    <m/>
    <m/>
    <m/>
    <m/>
    <n v="0"/>
    <n v="0"/>
    <n v="0"/>
    <n v="0"/>
    <n v="0"/>
    <n v="0"/>
    <n v="0"/>
  </r>
  <r>
    <x v="0"/>
    <x v="28"/>
    <m/>
    <s v="GalvaUnions mf 341"/>
    <s v=" 3/4"/>
    <n v="9"/>
    <s v="341G34"/>
    <m/>
    <m/>
    <n v="0"/>
    <m/>
    <m/>
    <m/>
    <m/>
    <m/>
    <m/>
    <n v="0"/>
    <m/>
    <m/>
    <m/>
    <m/>
    <n v="0"/>
    <n v="0"/>
    <n v="0"/>
    <n v="0"/>
    <n v="0"/>
    <n v="0"/>
    <n v="0"/>
  </r>
  <r>
    <x v="0"/>
    <x v="28"/>
    <m/>
    <s v="GalvaUnions mf 341"/>
    <s v=" 3/8"/>
    <n v="10"/>
    <s v="341G38"/>
    <m/>
    <m/>
    <n v="0"/>
    <m/>
    <m/>
    <m/>
    <m/>
    <m/>
    <m/>
    <n v="0"/>
    <m/>
    <m/>
    <m/>
    <m/>
    <n v="0"/>
    <n v="0"/>
    <n v="0"/>
    <n v="0"/>
    <n v="0"/>
    <n v="0"/>
    <n v="0"/>
  </r>
  <r>
    <x v="0"/>
    <x v="28"/>
    <m/>
    <s v="GalvaUnions mf 341"/>
    <s v="4&quot;"/>
    <n v="11"/>
    <s v="341G4"/>
    <m/>
    <m/>
    <n v="0"/>
    <m/>
    <m/>
    <m/>
    <m/>
    <m/>
    <m/>
    <n v="0"/>
    <m/>
    <m/>
    <m/>
    <m/>
    <n v="0"/>
    <n v="0"/>
    <n v="0"/>
    <n v="0"/>
    <n v="0"/>
    <n v="0"/>
    <n v="0"/>
  </r>
  <r>
    <x v="0"/>
    <x v="28"/>
    <m/>
    <s v="GalvaUnions mf 341"/>
    <m/>
    <n v="0"/>
    <m/>
    <m/>
    <m/>
    <n v="0"/>
    <m/>
    <m/>
    <m/>
    <m/>
    <m/>
    <m/>
    <n v="0"/>
    <m/>
    <m/>
    <m/>
    <m/>
    <n v="0"/>
    <n v="0"/>
    <n v="0"/>
    <n v="0"/>
    <n v="0"/>
    <n v="0"/>
    <n v="0"/>
  </r>
  <r>
    <x v="0"/>
    <x v="29"/>
    <m/>
    <s v="GalvaUnions mf coudés 98"/>
    <s v="1&quot;"/>
    <n v="1"/>
    <s v="98G1"/>
    <m/>
    <m/>
    <n v="0"/>
    <m/>
    <m/>
    <m/>
    <m/>
    <m/>
    <m/>
    <n v="0"/>
    <m/>
    <m/>
    <m/>
    <m/>
    <n v="0"/>
    <n v="0"/>
    <n v="0"/>
    <n v="0"/>
    <n v="0"/>
    <n v="0"/>
    <n v="0"/>
  </r>
  <r>
    <x v="0"/>
    <x v="29"/>
    <m/>
    <s v="GalvaUnions mf coudés 98"/>
    <s v="1&quot;1/2"/>
    <n v="2"/>
    <s v="98G112"/>
    <m/>
    <m/>
    <n v="0"/>
    <m/>
    <m/>
    <m/>
    <m/>
    <m/>
    <m/>
    <n v="0"/>
    <m/>
    <m/>
    <m/>
    <m/>
    <n v="0"/>
    <n v="0"/>
    <n v="0"/>
    <n v="0"/>
    <n v="0"/>
    <n v="0"/>
    <n v="0"/>
  </r>
  <r>
    <x v="0"/>
    <x v="29"/>
    <m/>
    <s v="GalvaUnions mf coudés 98"/>
    <s v="1&quot;1/4"/>
    <n v="3"/>
    <s v="98G114"/>
    <m/>
    <m/>
    <n v="0"/>
    <m/>
    <m/>
    <m/>
    <m/>
    <m/>
    <m/>
    <n v="0"/>
    <m/>
    <m/>
    <m/>
    <m/>
    <n v="0"/>
    <n v="0"/>
    <n v="0"/>
    <n v="0"/>
    <n v="0"/>
    <n v="0"/>
    <n v="0"/>
  </r>
  <r>
    <x v="0"/>
    <x v="29"/>
    <m/>
    <s v="GalvaUnions mf coudés 98"/>
    <s v=" 1/2"/>
    <n v="4"/>
    <s v="98G12"/>
    <m/>
    <m/>
    <n v="0"/>
    <m/>
    <m/>
    <m/>
    <m/>
    <m/>
    <m/>
    <n v="0"/>
    <m/>
    <m/>
    <m/>
    <m/>
    <n v="0"/>
    <n v="0"/>
    <n v="0"/>
    <n v="0"/>
    <n v="0"/>
    <n v="0"/>
    <n v="0"/>
  </r>
  <r>
    <x v="0"/>
    <x v="29"/>
    <m/>
    <s v="GalvaUnions mf coudés 98"/>
    <s v="2&quot;"/>
    <n v="5"/>
    <s v="98G2"/>
    <m/>
    <m/>
    <n v="0"/>
    <m/>
    <m/>
    <m/>
    <m/>
    <m/>
    <m/>
    <n v="0"/>
    <m/>
    <m/>
    <m/>
    <m/>
    <n v="0"/>
    <n v="0"/>
    <n v="0"/>
    <n v="0"/>
    <n v="0"/>
    <n v="0"/>
    <n v="0"/>
  </r>
  <r>
    <x v="0"/>
    <x v="29"/>
    <m/>
    <s v="GalvaUnions mf coudés 98"/>
    <s v="2&quot;1/2"/>
    <n v="6"/>
    <s v="98G212"/>
    <m/>
    <m/>
    <n v="0"/>
    <m/>
    <m/>
    <m/>
    <m/>
    <m/>
    <m/>
    <n v="0"/>
    <m/>
    <m/>
    <m/>
    <m/>
    <n v="0"/>
    <n v="0"/>
    <n v="0"/>
    <n v="0"/>
    <n v="0"/>
    <n v="0"/>
    <n v="0"/>
  </r>
  <r>
    <x v="0"/>
    <x v="29"/>
    <m/>
    <s v="GalvaUnions mf coudés 98"/>
    <s v="3&quot;"/>
    <n v="7"/>
    <s v="98G3"/>
    <m/>
    <m/>
    <n v="0"/>
    <m/>
    <m/>
    <m/>
    <m/>
    <m/>
    <m/>
    <n v="0"/>
    <m/>
    <m/>
    <m/>
    <m/>
    <n v="0"/>
    <n v="0"/>
    <n v="0"/>
    <n v="0"/>
    <n v="0"/>
    <n v="0"/>
    <n v="0"/>
  </r>
  <r>
    <x v="0"/>
    <x v="29"/>
    <m/>
    <s v="GalvaUnions mf coudés 98"/>
    <s v=" 3/4"/>
    <n v="8"/>
    <s v="98G34"/>
    <m/>
    <m/>
    <n v="0"/>
    <m/>
    <m/>
    <m/>
    <m/>
    <m/>
    <m/>
    <n v="0"/>
    <m/>
    <m/>
    <m/>
    <m/>
    <n v="0"/>
    <n v="0"/>
    <n v="0"/>
    <n v="0"/>
    <n v="0"/>
    <n v="0"/>
    <n v="0"/>
  </r>
  <r>
    <x v="0"/>
    <x v="29"/>
    <m/>
    <s v="GalvaUnions mf coudés 98"/>
    <m/>
    <n v="0"/>
    <m/>
    <m/>
    <m/>
    <n v="0"/>
    <m/>
    <m/>
    <m/>
    <m/>
    <m/>
    <m/>
    <n v="0"/>
    <m/>
    <m/>
    <m/>
    <m/>
    <n v="0"/>
    <n v="0"/>
    <n v="0"/>
    <n v="0"/>
    <n v="0"/>
    <n v="0"/>
    <n v="0"/>
  </r>
  <r>
    <x v="0"/>
    <x v="30"/>
    <m/>
    <s v="GalvaBride Plate Taraudée"/>
    <s v="Bride plate taraudée 3&quot; - DN80"/>
    <n v="1"/>
    <s v="BPT803"/>
    <m/>
    <m/>
    <n v="0"/>
    <m/>
    <m/>
    <m/>
    <m/>
    <m/>
    <m/>
    <n v="0"/>
    <m/>
    <m/>
    <m/>
    <m/>
    <n v="0"/>
    <n v="0"/>
    <n v="0"/>
    <n v="0"/>
    <n v="0"/>
    <n v="0"/>
    <n v="0"/>
  </r>
  <r>
    <x v="0"/>
    <x v="30"/>
    <m/>
    <s v="GalvaBride Plate Taraudée"/>
    <m/>
    <n v="0"/>
    <m/>
    <m/>
    <m/>
    <n v="0"/>
    <m/>
    <m/>
    <m/>
    <m/>
    <m/>
    <m/>
    <n v="0"/>
    <m/>
    <m/>
    <m/>
    <m/>
    <n v="0"/>
    <n v="0"/>
    <n v="0"/>
    <n v="0"/>
    <n v="0"/>
    <n v="0"/>
    <n v="0"/>
  </r>
  <r>
    <x v="1"/>
    <x v="31"/>
    <m/>
    <s v="Inox SoudéBouts filetés inox 316L"/>
    <s v="1&quot;"/>
    <n v="1"/>
    <s v="BFI1"/>
    <m/>
    <m/>
    <n v="0"/>
    <m/>
    <m/>
    <m/>
    <m/>
    <m/>
    <m/>
    <n v="0"/>
    <m/>
    <m/>
    <n v="0.25"/>
    <m/>
    <n v="0"/>
    <n v="0"/>
    <n v="0"/>
    <n v="0"/>
    <n v="0"/>
    <n v="0"/>
    <n v="0"/>
  </r>
  <r>
    <x v="1"/>
    <x v="31"/>
    <m/>
    <s v="Inox SoudéBouts filetés inox 316L"/>
    <s v="1&quot;1/2"/>
    <n v="2"/>
    <s v="BFI112"/>
    <m/>
    <m/>
    <n v="0"/>
    <m/>
    <m/>
    <m/>
    <m/>
    <m/>
    <m/>
    <n v="0"/>
    <m/>
    <m/>
    <n v="0.35"/>
    <m/>
    <n v="0"/>
    <n v="0"/>
    <n v="0"/>
    <n v="0"/>
    <n v="0"/>
    <n v="0"/>
    <n v="0"/>
  </r>
  <r>
    <x v="1"/>
    <x v="31"/>
    <m/>
    <s v="Inox SoudéBouts filetés inox 316L"/>
    <s v="1&quot;1/4"/>
    <n v="3"/>
    <s v="BFI114"/>
    <m/>
    <m/>
    <n v="0"/>
    <m/>
    <m/>
    <m/>
    <m/>
    <m/>
    <m/>
    <n v="0"/>
    <m/>
    <m/>
    <n v="0.3"/>
    <m/>
    <n v="0"/>
    <n v="0"/>
    <n v="0"/>
    <n v="0"/>
    <n v="0"/>
    <n v="0"/>
    <n v="0"/>
  </r>
  <r>
    <x v="1"/>
    <x v="31"/>
    <m/>
    <s v="Inox SoudéBouts filetés inox 316L"/>
    <s v="1/2&quot;"/>
    <n v="4"/>
    <s v="BFI12"/>
    <m/>
    <m/>
    <n v="0"/>
    <m/>
    <m/>
    <m/>
    <m/>
    <m/>
    <m/>
    <n v="0"/>
    <m/>
    <m/>
    <n v="0.25"/>
    <m/>
    <n v="0"/>
    <n v="0"/>
    <n v="0"/>
    <n v="0"/>
    <n v="0"/>
    <n v="0"/>
    <n v="0"/>
  </r>
  <r>
    <x v="1"/>
    <x v="31"/>
    <m/>
    <s v="Inox SoudéBouts filetés inox 316L"/>
    <s v="1/4&quot;"/>
    <n v="5"/>
    <s v="BFI14"/>
    <m/>
    <m/>
    <n v="0"/>
    <m/>
    <m/>
    <m/>
    <m/>
    <m/>
    <m/>
    <n v="0"/>
    <m/>
    <m/>
    <n v="0.25"/>
    <m/>
    <n v="0"/>
    <n v="0"/>
    <n v="0"/>
    <n v="0"/>
    <n v="0"/>
    <n v="0"/>
    <n v="0"/>
  </r>
  <r>
    <x v="1"/>
    <x v="31"/>
    <m/>
    <s v="Inox SoudéBouts filetés inox 316L"/>
    <s v="2&quot;"/>
    <n v="6"/>
    <s v="BFI2"/>
    <m/>
    <m/>
    <n v="0"/>
    <m/>
    <m/>
    <m/>
    <m/>
    <m/>
    <m/>
    <n v="0"/>
    <m/>
    <m/>
    <n v="0.5"/>
    <m/>
    <n v="0"/>
    <n v="0"/>
    <n v="0"/>
    <n v="0"/>
    <n v="0"/>
    <n v="0"/>
    <n v="0"/>
  </r>
  <r>
    <x v="1"/>
    <x v="31"/>
    <m/>
    <s v="Inox SoudéBouts filetés inox 316L"/>
    <s v="2&quot;1/2"/>
    <n v="7"/>
    <s v="BFI212"/>
    <m/>
    <m/>
    <n v="0"/>
    <m/>
    <m/>
    <m/>
    <m/>
    <m/>
    <m/>
    <n v="0"/>
    <m/>
    <m/>
    <n v="0.6"/>
    <m/>
    <n v="0"/>
    <n v="0"/>
    <n v="0"/>
    <n v="0"/>
    <n v="0"/>
    <n v="0"/>
    <n v="0"/>
  </r>
  <r>
    <x v="1"/>
    <x v="31"/>
    <m/>
    <s v="Inox SoudéBouts filetés inox 316L"/>
    <s v="3&quot;"/>
    <n v="8"/>
    <s v="BFI3"/>
    <m/>
    <m/>
    <n v="0"/>
    <m/>
    <m/>
    <m/>
    <m/>
    <m/>
    <m/>
    <n v="0"/>
    <m/>
    <m/>
    <n v="0.75"/>
    <m/>
    <n v="0"/>
    <n v="0"/>
    <n v="0"/>
    <n v="0"/>
    <n v="0"/>
    <n v="0"/>
    <n v="0"/>
  </r>
  <r>
    <x v="1"/>
    <x v="31"/>
    <m/>
    <s v="Inox SoudéBouts filetés inox 316L"/>
    <s v="3/4&quot;"/>
    <n v="9"/>
    <s v="BFI34"/>
    <m/>
    <m/>
    <n v="0"/>
    <m/>
    <m/>
    <m/>
    <m/>
    <m/>
    <m/>
    <n v="0"/>
    <m/>
    <m/>
    <n v="0.25"/>
    <m/>
    <n v="0"/>
    <n v="0"/>
    <n v="0"/>
    <n v="0"/>
    <n v="0"/>
    <n v="0"/>
    <n v="0"/>
  </r>
  <r>
    <x v="1"/>
    <x v="31"/>
    <m/>
    <s v="Inox SoudéBouts filetés inox 316L"/>
    <s v="3/8&quot;"/>
    <n v="10"/>
    <s v="BFI38"/>
    <m/>
    <m/>
    <n v="0"/>
    <m/>
    <m/>
    <m/>
    <m/>
    <m/>
    <m/>
    <n v="0"/>
    <m/>
    <m/>
    <n v="0.25"/>
    <m/>
    <n v="0"/>
    <n v="0"/>
    <n v="0"/>
    <n v="0"/>
    <n v="0"/>
    <n v="0"/>
    <n v="0"/>
  </r>
  <r>
    <x v="1"/>
    <x v="31"/>
    <m/>
    <s v="Inox SoudéBouts filetés inox 316L"/>
    <m/>
    <n v="0"/>
    <m/>
    <m/>
    <m/>
    <n v="0"/>
    <m/>
    <m/>
    <m/>
    <m/>
    <m/>
    <m/>
    <n v="0"/>
    <m/>
    <m/>
    <m/>
    <m/>
    <n v="0"/>
    <n v="0"/>
    <n v="0"/>
    <n v="0"/>
    <n v="0"/>
    <n v="0"/>
    <n v="0"/>
  </r>
  <r>
    <x v="1"/>
    <x v="32"/>
    <m/>
    <s v="Inox SoudéBouts filetés inox 316L long"/>
    <s v="1/2&quot; L 100 mm"/>
    <n v="1"/>
    <s v="BFI12-100"/>
    <m/>
    <m/>
    <n v="0"/>
    <m/>
    <m/>
    <m/>
    <m/>
    <m/>
    <m/>
    <n v="0"/>
    <m/>
    <m/>
    <n v="0.25"/>
    <m/>
    <n v="0"/>
    <n v="0"/>
    <n v="0"/>
    <n v="0"/>
    <n v="0"/>
    <n v="0"/>
    <n v="0"/>
  </r>
  <r>
    <x v="1"/>
    <x v="32"/>
    <m/>
    <s v="Inox SoudéBouts filetés inox 316L long"/>
    <m/>
    <n v="0"/>
    <m/>
    <m/>
    <m/>
    <n v="0"/>
    <m/>
    <m/>
    <m/>
    <m/>
    <m/>
    <m/>
    <n v="0"/>
    <m/>
    <m/>
    <m/>
    <m/>
    <n v="0"/>
    <n v="0"/>
    <n v="0"/>
    <n v="0"/>
    <n v="0"/>
    <n v="0"/>
    <n v="0"/>
  </r>
  <r>
    <x v="1"/>
    <x v="33"/>
    <m/>
    <s v="Inox SoudéBride  plate tournante inox PN16"/>
    <s v="4&quot; DN100 ( 8 trous)"/>
    <n v="1"/>
    <s v="BPTI100"/>
    <m/>
    <m/>
    <n v="0"/>
    <m/>
    <m/>
    <m/>
    <m/>
    <m/>
    <m/>
    <n v="0"/>
    <m/>
    <m/>
    <m/>
    <m/>
    <n v="0"/>
    <n v="0"/>
    <n v="0"/>
    <n v="0"/>
    <n v="0"/>
    <n v="0"/>
    <n v="0"/>
  </r>
  <r>
    <x v="1"/>
    <x v="33"/>
    <m/>
    <s v="Inox SoudéBride  plate tournante inox PN16"/>
    <s v="5&quot; DN125(8 trous)"/>
    <n v="2"/>
    <s v="BPTI125"/>
    <m/>
    <m/>
    <n v="0"/>
    <m/>
    <m/>
    <m/>
    <m/>
    <m/>
    <m/>
    <n v="0"/>
    <m/>
    <m/>
    <m/>
    <m/>
    <n v="0"/>
    <n v="0"/>
    <n v="0"/>
    <n v="0"/>
    <n v="0"/>
    <n v="0"/>
    <n v="0"/>
  </r>
  <r>
    <x v="1"/>
    <x v="33"/>
    <m/>
    <s v="Inox SoudéBride  plate tournante inox PN16"/>
    <s v="6&quot;  DN150 ( 8 trous)"/>
    <n v="3"/>
    <s v="BPTI150"/>
    <m/>
    <m/>
    <n v="0"/>
    <m/>
    <m/>
    <m/>
    <m/>
    <m/>
    <m/>
    <n v="0"/>
    <m/>
    <m/>
    <m/>
    <m/>
    <n v="0"/>
    <n v="0"/>
    <n v="0"/>
    <n v="0"/>
    <n v="0"/>
    <n v="0"/>
    <n v="0"/>
  </r>
  <r>
    <x v="1"/>
    <x v="33"/>
    <m/>
    <s v="Inox SoudéBride  plate tournante inox PN16"/>
    <s v=" 8&quot; DN200 ( 12 trous)"/>
    <n v="4"/>
    <s v="BPTI200"/>
    <m/>
    <m/>
    <n v="0"/>
    <m/>
    <m/>
    <m/>
    <m/>
    <m/>
    <m/>
    <n v="0"/>
    <m/>
    <m/>
    <m/>
    <m/>
    <n v="0"/>
    <n v="0"/>
    <n v="0"/>
    <n v="0"/>
    <n v="0"/>
    <n v="0"/>
    <n v="0"/>
  </r>
  <r>
    <x v="1"/>
    <x v="33"/>
    <m/>
    <s v="Inox SoudéBride  plate tournante inox PN16"/>
    <s v="2&quot; DN50 ( 4 trous)"/>
    <n v="5"/>
    <s v="BPTI50"/>
    <m/>
    <m/>
    <n v="0"/>
    <m/>
    <m/>
    <m/>
    <m/>
    <m/>
    <m/>
    <n v="0"/>
    <m/>
    <m/>
    <m/>
    <m/>
    <n v="0"/>
    <n v="0"/>
    <n v="0"/>
    <n v="0"/>
    <n v="0"/>
    <n v="0"/>
    <n v="0"/>
  </r>
  <r>
    <x v="1"/>
    <x v="33"/>
    <m/>
    <s v="Inox SoudéBride  plate tournante inox PN16"/>
    <s v="2&quot;1/2 DN65 ( 4 trous)"/>
    <n v="6"/>
    <s v="BPTI65"/>
    <m/>
    <m/>
    <n v="0"/>
    <m/>
    <m/>
    <m/>
    <m/>
    <m/>
    <m/>
    <n v="0"/>
    <m/>
    <m/>
    <m/>
    <m/>
    <n v="0"/>
    <n v="0"/>
    <n v="0"/>
    <n v="0"/>
    <n v="0"/>
    <n v="0"/>
    <n v="0"/>
  </r>
  <r>
    <x v="1"/>
    <x v="33"/>
    <m/>
    <s v="Inox SoudéBride  plate tournante inox PN16"/>
    <s v="3&quot; DN80( 8 trous)"/>
    <n v="7"/>
    <s v="BPTI80"/>
    <m/>
    <m/>
    <n v="0"/>
    <m/>
    <m/>
    <m/>
    <m/>
    <m/>
    <m/>
    <n v="0"/>
    <m/>
    <m/>
    <m/>
    <m/>
    <n v="0"/>
    <n v="0"/>
    <n v="0"/>
    <n v="0"/>
    <n v="0"/>
    <n v="0"/>
    <n v="0"/>
  </r>
  <r>
    <x v="1"/>
    <x v="33"/>
    <m/>
    <s v="Inox SoudéBride  plate tournante inox PN16"/>
    <m/>
    <n v="0"/>
    <m/>
    <m/>
    <m/>
    <n v="0"/>
    <m/>
    <m/>
    <m/>
    <m/>
    <m/>
    <m/>
    <n v="0"/>
    <m/>
    <m/>
    <m/>
    <m/>
    <n v="0"/>
    <n v="0"/>
    <n v="0"/>
    <n v="0"/>
    <n v="0"/>
    <n v="0"/>
    <n v="0"/>
  </r>
  <r>
    <x v="1"/>
    <x v="34"/>
    <m/>
    <s v="Inox SoudéBrides COLLERETTE INOX  à souder"/>
    <s v=" 8&quot; DN200 ( 8 trous ou 12 trous)"/>
    <n v="1"/>
    <s v="BCS200"/>
    <m/>
    <m/>
    <n v="0"/>
    <m/>
    <m/>
    <m/>
    <m/>
    <m/>
    <m/>
    <n v="0"/>
    <m/>
    <m/>
    <n v="2"/>
    <m/>
    <n v="0"/>
    <n v="0"/>
    <n v="0"/>
    <n v="0"/>
    <n v="0"/>
    <n v="0"/>
    <n v="0"/>
  </r>
  <r>
    <x v="1"/>
    <x v="34"/>
    <m/>
    <s v="Inox SoudéBrides COLLERETTE INOX  à souder"/>
    <s v="4&quot; DN100"/>
    <n v="2"/>
    <s v="BCSI100"/>
    <m/>
    <m/>
    <n v="0"/>
    <m/>
    <m/>
    <m/>
    <m/>
    <m/>
    <m/>
    <n v="0"/>
    <m/>
    <m/>
    <n v="1"/>
    <m/>
    <n v="0"/>
    <n v="0"/>
    <n v="0"/>
    <n v="0"/>
    <n v="0"/>
    <n v="0"/>
    <n v="0"/>
  </r>
  <r>
    <x v="1"/>
    <x v="34"/>
    <m/>
    <s v="Inox SoudéBrides COLLERETTE INOX  à souder"/>
    <s v="5&quot; DN125"/>
    <n v="3"/>
    <s v="BCSI125"/>
    <m/>
    <m/>
    <n v="0"/>
    <m/>
    <m/>
    <m/>
    <m/>
    <m/>
    <m/>
    <n v="0"/>
    <m/>
    <m/>
    <n v="1.25"/>
    <m/>
    <n v="0"/>
    <n v="0"/>
    <n v="0"/>
    <n v="0"/>
    <n v="0"/>
    <n v="0"/>
    <n v="0"/>
  </r>
  <r>
    <x v="1"/>
    <x v="34"/>
    <m/>
    <s v="Inox SoudéBrides COLLERETTE INOX  à souder"/>
    <s v="6&quot; DN150"/>
    <n v="4"/>
    <s v="BCSI150"/>
    <m/>
    <m/>
    <n v="0"/>
    <m/>
    <m/>
    <m/>
    <m/>
    <m/>
    <m/>
    <n v="0"/>
    <m/>
    <m/>
    <n v="1.5"/>
    <m/>
    <n v="0"/>
    <n v="0"/>
    <n v="0"/>
    <n v="0"/>
    <n v="0"/>
    <n v="0"/>
    <n v="0"/>
  </r>
  <r>
    <x v="1"/>
    <x v="34"/>
    <m/>
    <s v="Inox SoudéBrides COLLERETTE INOX  à souder"/>
    <s v="1&quot;  DN25"/>
    <n v="5"/>
    <s v="BCSI25"/>
    <m/>
    <m/>
    <n v="0"/>
    <m/>
    <m/>
    <m/>
    <m/>
    <m/>
    <m/>
    <n v="0"/>
    <m/>
    <m/>
    <n v="0.25"/>
    <m/>
    <n v="0"/>
    <n v="0"/>
    <n v="0"/>
    <n v="0"/>
    <n v="0"/>
    <n v="0"/>
    <n v="0"/>
  </r>
  <r>
    <x v="1"/>
    <x v="34"/>
    <m/>
    <s v="Inox SoudéBrides COLLERETTE INOX  à souder"/>
    <s v="1&quot;1/4 DN32"/>
    <n v="6"/>
    <s v="BCSI32"/>
    <m/>
    <m/>
    <n v="0"/>
    <m/>
    <m/>
    <m/>
    <m/>
    <m/>
    <m/>
    <n v="0"/>
    <m/>
    <m/>
    <n v="0.3"/>
    <m/>
    <n v="0"/>
    <n v="0"/>
    <n v="0"/>
    <n v="0"/>
    <n v="0"/>
    <n v="0"/>
    <n v="0"/>
  </r>
  <r>
    <x v="1"/>
    <x v="34"/>
    <m/>
    <s v="Inox SoudéBrides COLLERETTE INOX  à souder"/>
    <s v="1&quot;1/2 DN40"/>
    <n v="7"/>
    <s v="BCSI40"/>
    <m/>
    <m/>
    <n v="0"/>
    <m/>
    <m/>
    <m/>
    <m/>
    <m/>
    <m/>
    <n v="0"/>
    <m/>
    <m/>
    <n v="0.35"/>
    <m/>
    <n v="0"/>
    <n v="0"/>
    <n v="0"/>
    <n v="0"/>
    <n v="0"/>
    <n v="0"/>
    <n v="0"/>
  </r>
  <r>
    <x v="1"/>
    <x v="34"/>
    <m/>
    <s v="Inox SoudéBrides COLLERETTE INOX  à souder"/>
    <s v="2&quot; DN50"/>
    <n v="8"/>
    <s v="BCSI50"/>
    <m/>
    <m/>
    <n v="0"/>
    <m/>
    <m/>
    <m/>
    <m/>
    <m/>
    <m/>
    <n v="0"/>
    <m/>
    <m/>
    <n v="0.5"/>
    <m/>
    <n v="0"/>
    <n v="0"/>
    <n v="0"/>
    <n v="0"/>
    <n v="0"/>
    <n v="0"/>
    <n v="0"/>
  </r>
  <r>
    <x v="1"/>
    <x v="34"/>
    <m/>
    <s v="Inox SoudéBrides COLLERETTE INOX  à souder"/>
    <s v="2&quot;1/2 DN65"/>
    <n v="9"/>
    <s v="BCSI65"/>
    <m/>
    <m/>
    <n v="0"/>
    <m/>
    <m/>
    <m/>
    <m/>
    <m/>
    <m/>
    <n v="0"/>
    <m/>
    <m/>
    <n v="0.6"/>
    <m/>
    <n v="0"/>
    <n v="0"/>
    <n v="0"/>
    <n v="0"/>
    <n v="0"/>
    <n v="0"/>
    <n v="0"/>
  </r>
  <r>
    <x v="1"/>
    <x v="34"/>
    <m/>
    <s v="Inox SoudéBrides COLLERETTE INOX  à souder"/>
    <s v="3&quot; DN80"/>
    <n v="10"/>
    <s v="BCSI80"/>
    <m/>
    <m/>
    <n v="0"/>
    <m/>
    <m/>
    <m/>
    <m/>
    <m/>
    <m/>
    <n v="0"/>
    <m/>
    <m/>
    <n v="0.75"/>
    <m/>
    <n v="0"/>
    <n v="0"/>
    <n v="0"/>
    <n v="0"/>
    <n v="0"/>
    <n v="0"/>
    <n v="0"/>
  </r>
  <r>
    <x v="1"/>
    <x v="34"/>
    <m/>
    <s v="Inox SoudéBrides COLLERETTE INOX  à souder"/>
    <m/>
    <n v="0"/>
    <m/>
    <m/>
    <m/>
    <n v="0"/>
    <m/>
    <m/>
    <m/>
    <m/>
    <m/>
    <m/>
    <n v="0"/>
    <m/>
    <m/>
    <m/>
    <m/>
    <n v="0"/>
    <n v="0"/>
    <n v="0"/>
    <n v="0"/>
    <n v="0"/>
    <n v="0"/>
    <n v="0"/>
  </r>
  <r>
    <x v="1"/>
    <x v="35"/>
    <m/>
    <s v="Inox SoudéBrides PB TOURNANTE Camier PN10"/>
    <s v="4&quot; DN100"/>
    <n v="1"/>
    <s v="BPB100"/>
    <m/>
    <m/>
    <n v="0"/>
    <m/>
    <m/>
    <m/>
    <m/>
    <m/>
    <m/>
    <n v="0"/>
    <m/>
    <m/>
    <n v="0.24"/>
    <m/>
    <n v="0"/>
    <n v="0"/>
    <n v="0"/>
    <n v="0"/>
    <n v="0"/>
    <n v="0"/>
    <n v="0"/>
  </r>
  <r>
    <x v="1"/>
    <x v="35"/>
    <m/>
    <s v="Inox SoudéBrides PB TOURNANTE Camier PN10"/>
    <s v="5&quot; DN125"/>
    <n v="2"/>
    <s v="BPB125"/>
    <m/>
    <m/>
    <n v="0"/>
    <m/>
    <m/>
    <m/>
    <m/>
    <m/>
    <m/>
    <n v="0"/>
    <m/>
    <m/>
    <n v="0.24"/>
    <m/>
    <n v="0"/>
    <n v="0"/>
    <n v="0"/>
    <n v="0"/>
    <n v="0"/>
    <n v="0"/>
    <n v="0"/>
  </r>
  <r>
    <x v="1"/>
    <x v="35"/>
    <m/>
    <s v="Inox SoudéBrides PB TOURNANTE Camier PN10"/>
    <s v="6&quot;  DN150"/>
    <n v="3"/>
    <s v="BPB150"/>
    <m/>
    <m/>
    <n v="0"/>
    <m/>
    <m/>
    <m/>
    <m/>
    <m/>
    <m/>
    <n v="0"/>
    <m/>
    <m/>
    <n v="0.32"/>
    <m/>
    <n v="0"/>
    <n v="0"/>
    <n v="0"/>
    <n v="0"/>
    <n v="0"/>
    <n v="0"/>
    <n v="0"/>
  </r>
  <r>
    <x v="1"/>
    <x v="35"/>
    <m/>
    <s v="Inox SoudéBrides PB TOURNANTE Camier PN10"/>
    <s v=" 8&quot; DN200 ( 8 trous)"/>
    <n v="4"/>
    <s v="BPB200"/>
    <m/>
    <m/>
    <n v="0"/>
    <m/>
    <m/>
    <m/>
    <m/>
    <m/>
    <m/>
    <n v="0"/>
    <m/>
    <m/>
    <n v="0.32"/>
    <m/>
    <n v="0"/>
    <n v="0"/>
    <n v="0"/>
    <n v="0"/>
    <n v="0"/>
    <n v="0"/>
    <n v="0"/>
  </r>
  <r>
    <x v="1"/>
    <x v="35"/>
    <m/>
    <s v="Inox SoudéBrides PB TOURNANTE Camier PN10"/>
    <s v="1&quot;  DN25"/>
    <n v="5"/>
    <s v="BPB25"/>
    <m/>
    <m/>
    <n v="0"/>
    <m/>
    <m/>
    <m/>
    <m/>
    <m/>
    <m/>
    <n v="0"/>
    <m/>
    <m/>
    <n v="0.12"/>
    <m/>
    <n v="0"/>
    <n v="0"/>
    <n v="0"/>
    <n v="0"/>
    <n v="0"/>
    <n v="0"/>
    <n v="0"/>
  </r>
  <r>
    <x v="1"/>
    <x v="35"/>
    <m/>
    <s v="Inox SoudéBrides PB TOURNANTE Camier PN10"/>
    <s v="1&quot;1/4 DN32"/>
    <n v="6"/>
    <s v="BPB32"/>
    <m/>
    <m/>
    <n v="0"/>
    <m/>
    <m/>
    <m/>
    <m/>
    <m/>
    <m/>
    <n v="0"/>
    <m/>
    <m/>
    <n v="0.12"/>
    <m/>
    <n v="0"/>
    <n v="0"/>
    <n v="0"/>
    <n v="0"/>
    <n v="0"/>
    <n v="0"/>
    <n v="0"/>
  </r>
  <r>
    <x v="1"/>
    <x v="35"/>
    <m/>
    <s v="Inox SoudéBrides PB TOURNANTE Camier PN10"/>
    <s v="1&quot;1/2 DN40"/>
    <n v="7"/>
    <s v="BPB40"/>
    <m/>
    <m/>
    <n v="0"/>
    <m/>
    <m/>
    <m/>
    <m/>
    <m/>
    <m/>
    <n v="0"/>
    <m/>
    <m/>
    <n v="0.12"/>
    <m/>
    <n v="0"/>
    <n v="0"/>
    <n v="0"/>
    <n v="0"/>
    <n v="0"/>
    <n v="0"/>
    <n v="0"/>
  </r>
  <r>
    <x v="1"/>
    <x v="35"/>
    <m/>
    <s v="Inox SoudéBrides PB TOURNANTE Camier PN10"/>
    <s v="2&quot; DN50"/>
    <n v="8"/>
    <s v="BPB50"/>
    <m/>
    <m/>
    <n v="0"/>
    <m/>
    <m/>
    <m/>
    <m/>
    <m/>
    <m/>
    <n v="0"/>
    <m/>
    <m/>
    <n v="0.12"/>
    <m/>
    <n v="0"/>
    <n v="0"/>
    <n v="0"/>
    <n v="0"/>
    <n v="0"/>
    <n v="0"/>
    <n v="0"/>
  </r>
  <r>
    <x v="1"/>
    <x v="35"/>
    <m/>
    <s v="Inox SoudéBrides PB TOURNANTE Camier PN10"/>
    <s v="2&quot;1/2 DN65"/>
    <n v="9"/>
    <s v="BPB65"/>
    <m/>
    <m/>
    <n v="0"/>
    <m/>
    <m/>
    <m/>
    <m/>
    <m/>
    <m/>
    <n v="0"/>
    <m/>
    <m/>
    <n v="0.12"/>
    <m/>
    <n v="0"/>
    <n v="0"/>
    <n v="0"/>
    <n v="0"/>
    <n v="0"/>
    <n v="0"/>
    <n v="0"/>
  </r>
  <r>
    <x v="1"/>
    <x v="35"/>
    <m/>
    <s v="Inox SoudéBrides PB TOURNANTE Camier PN10"/>
    <s v="3&quot; DN80"/>
    <n v="10"/>
    <s v="BPB80"/>
    <m/>
    <m/>
    <n v="0"/>
    <m/>
    <m/>
    <m/>
    <m/>
    <m/>
    <m/>
    <n v="0"/>
    <m/>
    <m/>
    <n v="0.24"/>
    <m/>
    <n v="0"/>
    <n v="0"/>
    <n v="0"/>
    <n v="0"/>
    <n v="0"/>
    <n v="0"/>
    <n v="0"/>
  </r>
  <r>
    <x v="1"/>
    <x v="35"/>
    <m/>
    <s v="Inox SoudéBrides PB TOURNANTE Camier PN10"/>
    <m/>
    <n v="0"/>
    <m/>
    <m/>
    <m/>
    <n v="0"/>
    <m/>
    <m/>
    <m/>
    <m/>
    <m/>
    <m/>
    <n v="0"/>
    <m/>
    <m/>
    <m/>
    <m/>
    <n v="0"/>
    <n v="0"/>
    <n v="0"/>
    <n v="0"/>
    <n v="0"/>
    <n v="0"/>
    <n v="0"/>
  </r>
  <r>
    <x v="1"/>
    <x v="36"/>
    <m/>
    <s v="Inox SoudéCollets 304L"/>
    <s v="2&quot;"/>
    <n v="1"/>
    <s v="COLI 50"/>
    <m/>
    <m/>
    <n v="0"/>
    <m/>
    <m/>
    <m/>
    <m/>
    <m/>
    <m/>
    <n v="0"/>
    <m/>
    <m/>
    <n v="0.5"/>
    <m/>
    <n v="0"/>
    <n v="0"/>
    <n v="0"/>
    <n v="0"/>
    <n v="0"/>
    <n v="0"/>
    <n v="0"/>
  </r>
  <r>
    <x v="1"/>
    <x v="36"/>
    <m/>
    <s v="Inox SoudéCollets 304L"/>
    <s v="4&quot;"/>
    <n v="2"/>
    <s v="COLI100"/>
    <m/>
    <m/>
    <n v="0"/>
    <m/>
    <m/>
    <m/>
    <m/>
    <m/>
    <m/>
    <n v="0"/>
    <m/>
    <m/>
    <n v="1"/>
    <m/>
    <n v="0"/>
    <n v="0"/>
    <n v="0"/>
    <n v="0"/>
    <n v="0"/>
    <n v="0"/>
    <n v="0"/>
  </r>
  <r>
    <x v="1"/>
    <x v="36"/>
    <m/>
    <s v="Inox SoudéCollets 304L"/>
    <s v="5&quot; DN125"/>
    <n v="3"/>
    <s v="COLI125"/>
    <m/>
    <m/>
    <n v="0"/>
    <m/>
    <m/>
    <m/>
    <m/>
    <m/>
    <m/>
    <n v="0"/>
    <m/>
    <m/>
    <n v="1.25"/>
    <m/>
    <n v="0"/>
    <n v="0"/>
    <n v="0"/>
    <n v="0"/>
    <n v="0"/>
    <n v="0"/>
    <n v="0"/>
  </r>
  <r>
    <x v="1"/>
    <x v="36"/>
    <m/>
    <s v="Inox SoudéCollets 304L"/>
    <s v="6&quot;  DN150"/>
    <n v="4"/>
    <s v="COLI150"/>
    <m/>
    <m/>
    <n v="0"/>
    <m/>
    <m/>
    <m/>
    <m/>
    <m/>
    <m/>
    <n v="0"/>
    <m/>
    <m/>
    <n v="1.5"/>
    <m/>
    <n v="0"/>
    <n v="0"/>
    <n v="0"/>
    <n v="0"/>
    <n v="0"/>
    <n v="0"/>
    <n v="0"/>
  </r>
  <r>
    <x v="1"/>
    <x v="36"/>
    <m/>
    <s v="Inox SoudéCollets 304L"/>
    <s v="DN200"/>
    <n v="5"/>
    <s v="COLI200"/>
    <m/>
    <m/>
    <n v="0"/>
    <m/>
    <m/>
    <m/>
    <m/>
    <m/>
    <m/>
    <n v="0"/>
    <m/>
    <m/>
    <n v="2"/>
    <m/>
    <n v="0"/>
    <n v="0"/>
    <n v="0"/>
    <n v="0"/>
    <n v="0"/>
    <n v="0"/>
    <n v="0"/>
  </r>
  <r>
    <x v="1"/>
    <x v="36"/>
    <m/>
    <s v="Inox SoudéCollets 304L"/>
    <s v="1&quot; "/>
    <n v="6"/>
    <s v="COLI3041 "/>
    <m/>
    <m/>
    <n v="0"/>
    <m/>
    <m/>
    <m/>
    <m/>
    <m/>
    <m/>
    <n v="0"/>
    <m/>
    <m/>
    <n v="0.25"/>
    <m/>
    <n v="0"/>
    <n v="0"/>
    <n v="0"/>
    <n v="0"/>
    <n v="0"/>
    <n v="0"/>
    <n v="0"/>
  </r>
  <r>
    <x v="1"/>
    <x v="36"/>
    <m/>
    <s v="Inox SoudéCollets 304L"/>
    <s v="1&quot;1/4"/>
    <n v="7"/>
    <s v="COLI304114"/>
    <m/>
    <m/>
    <n v="0"/>
    <m/>
    <m/>
    <m/>
    <m/>
    <m/>
    <m/>
    <n v="0"/>
    <m/>
    <m/>
    <n v="0.3"/>
    <m/>
    <n v="0"/>
    <n v="0"/>
    <n v="0"/>
    <n v="0"/>
    <n v="0"/>
    <n v="0"/>
    <n v="0"/>
  </r>
  <r>
    <x v="1"/>
    <x v="36"/>
    <m/>
    <s v="Inox SoudéCollets 304L"/>
    <s v="1&quot;1/2"/>
    <n v="8"/>
    <s v="COLI40"/>
    <m/>
    <m/>
    <n v="0"/>
    <m/>
    <m/>
    <m/>
    <m/>
    <m/>
    <m/>
    <n v="0"/>
    <m/>
    <m/>
    <n v="0.35"/>
    <m/>
    <n v="0"/>
    <n v="0"/>
    <n v="0"/>
    <n v="0"/>
    <n v="0"/>
    <n v="0"/>
    <n v="0"/>
  </r>
  <r>
    <x v="1"/>
    <x v="36"/>
    <m/>
    <s v="Inox SoudéCollets 304L"/>
    <s v="2&quot;1/2"/>
    <n v="9"/>
    <s v="COLI65"/>
    <m/>
    <m/>
    <n v="0"/>
    <m/>
    <m/>
    <m/>
    <m/>
    <m/>
    <m/>
    <n v="0"/>
    <m/>
    <m/>
    <n v="0.6"/>
    <m/>
    <n v="0"/>
    <n v="0"/>
    <n v="0"/>
    <n v="0"/>
    <n v="0"/>
    <n v="0"/>
    <n v="0"/>
  </r>
  <r>
    <x v="1"/>
    <x v="36"/>
    <m/>
    <s v="Inox SoudéCollets 304L"/>
    <s v="3&quot;"/>
    <n v="10"/>
    <s v="COLI80"/>
    <m/>
    <m/>
    <n v="0"/>
    <m/>
    <m/>
    <m/>
    <m/>
    <m/>
    <m/>
    <n v="0"/>
    <m/>
    <m/>
    <n v="0.75"/>
    <m/>
    <n v="0"/>
    <n v="0"/>
    <n v="0"/>
    <n v="0"/>
    <n v="0"/>
    <n v="0"/>
    <n v="0"/>
  </r>
  <r>
    <x v="1"/>
    <x v="36"/>
    <m/>
    <s v="Inox SoudéCollets 304L"/>
    <m/>
    <n v="0"/>
    <m/>
    <m/>
    <m/>
    <n v="0"/>
    <m/>
    <m/>
    <m/>
    <m/>
    <m/>
    <m/>
    <n v="0"/>
    <m/>
    <m/>
    <m/>
    <m/>
    <n v="0"/>
    <n v="0"/>
    <n v="0"/>
    <n v="0"/>
    <n v="0"/>
    <n v="0"/>
    <n v="0"/>
  </r>
  <r>
    <x v="1"/>
    <x v="37"/>
    <m/>
    <s v="Inox SoudéCoudes  inox 304L -3D"/>
    <s v="4&quot; DN100"/>
    <n v="1"/>
    <s v="CAS3DI100"/>
    <m/>
    <m/>
    <n v="0"/>
    <m/>
    <m/>
    <m/>
    <m/>
    <m/>
    <m/>
    <n v="0"/>
    <m/>
    <m/>
    <n v="2"/>
    <m/>
    <n v="0"/>
    <n v="0"/>
    <n v="0"/>
    <n v="0"/>
    <n v="0"/>
    <n v="0"/>
    <n v="0"/>
  </r>
  <r>
    <x v="1"/>
    <x v="37"/>
    <m/>
    <s v="Inox SoudéCoudes  inox 304L -3D"/>
    <s v="5&quot; DN125"/>
    <n v="2"/>
    <s v="CAS3DI125"/>
    <m/>
    <m/>
    <n v="0"/>
    <m/>
    <m/>
    <m/>
    <m/>
    <m/>
    <m/>
    <n v="0"/>
    <m/>
    <m/>
    <n v="2.5"/>
    <m/>
    <n v="0"/>
    <n v="0"/>
    <n v="0"/>
    <n v="0"/>
    <n v="0"/>
    <n v="0"/>
    <n v="0"/>
  </r>
  <r>
    <x v="1"/>
    <x v="37"/>
    <m/>
    <s v="Inox SoudéCoudes  inox 304L -3D"/>
    <s v="6&quot;  DN150"/>
    <n v="3"/>
    <s v="CAS3DI150"/>
    <m/>
    <m/>
    <n v="0"/>
    <m/>
    <m/>
    <m/>
    <m/>
    <m/>
    <m/>
    <n v="0"/>
    <m/>
    <m/>
    <n v="3"/>
    <m/>
    <n v="0"/>
    <n v="0"/>
    <n v="0"/>
    <n v="0"/>
    <n v="0"/>
    <n v="0"/>
    <n v="0"/>
  </r>
  <r>
    <x v="1"/>
    <x v="37"/>
    <m/>
    <s v="Inox SoudéCoudes  inox 304L -3D"/>
    <s v="DN200"/>
    <n v="4"/>
    <s v="CAS3DI200"/>
    <m/>
    <m/>
    <n v="0"/>
    <m/>
    <m/>
    <m/>
    <m/>
    <m/>
    <m/>
    <n v="0"/>
    <m/>
    <m/>
    <n v="4"/>
    <m/>
    <n v="0"/>
    <n v="0"/>
    <n v="0"/>
    <n v="0"/>
    <n v="0"/>
    <n v="0"/>
    <n v="0"/>
  </r>
  <r>
    <x v="1"/>
    <x v="37"/>
    <m/>
    <s v="Inox SoudéCoudes  inox 304L -3D"/>
    <s v="1&quot;1/2 DN40"/>
    <n v="5"/>
    <s v="CAS3DI40"/>
    <m/>
    <m/>
    <n v="0"/>
    <m/>
    <m/>
    <m/>
    <m/>
    <m/>
    <m/>
    <n v="0"/>
    <m/>
    <m/>
    <n v="0.7"/>
    <m/>
    <n v="0"/>
    <n v="0"/>
    <n v="0"/>
    <n v="0"/>
    <n v="0"/>
    <n v="0"/>
    <n v="0"/>
  </r>
  <r>
    <x v="1"/>
    <x v="37"/>
    <m/>
    <s v="Inox SoudéCoudes  inox 304L -3D"/>
    <s v="2&quot; DN50"/>
    <n v="6"/>
    <s v="CAS3DI50"/>
    <m/>
    <m/>
    <n v="0"/>
    <m/>
    <m/>
    <m/>
    <m/>
    <m/>
    <m/>
    <n v="0"/>
    <m/>
    <m/>
    <n v="1"/>
    <m/>
    <n v="0"/>
    <n v="0"/>
    <n v="0"/>
    <n v="0"/>
    <n v="0"/>
    <n v="0"/>
    <n v="0"/>
  </r>
  <r>
    <x v="1"/>
    <x v="37"/>
    <m/>
    <s v="Inox SoudéCoudes  inox 304L -3D"/>
    <s v="2&quot;1/2 DN65"/>
    <n v="7"/>
    <s v="CAS3DI65"/>
    <m/>
    <m/>
    <n v="0"/>
    <m/>
    <m/>
    <m/>
    <m/>
    <m/>
    <m/>
    <n v="0"/>
    <m/>
    <m/>
    <n v="1.2"/>
    <m/>
    <n v="0"/>
    <n v="0"/>
    <n v="0"/>
    <n v="0"/>
    <n v="0"/>
    <n v="0"/>
    <n v="0"/>
  </r>
  <r>
    <x v="1"/>
    <x v="37"/>
    <m/>
    <s v="Inox SoudéCoudes  inox 304L -3D"/>
    <s v="3&quot; DN80"/>
    <n v="8"/>
    <s v="CAS3DI80"/>
    <m/>
    <m/>
    <n v="0"/>
    <m/>
    <m/>
    <m/>
    <m/>
    <m/>
    <m/>
    <n v="0"/>
    <m/>
    <m/>
    <n v="1.5"/>
    <m/>
    <n v="0"/>
    <n v="0"/>
    <n v="0"/>
    <n v="0"/>
    <n v="0"/>
    <n v="0"/>
    <n v="0"/>
  </r>
  <r>
    <x v="1"/>
    <x v="37"/>
    <m/>
    <s v="Inox SoudéCoudes  inox 304L -3D"/>
    <s v="1&quot;  DN25"/>
    <n v="9"/>
    <s v="CASI3041"/>
    <m/>
    <m/>
    <n v="0"/>
    <m/>
    <m/>
    <m/>
    <m/>
    <m/>
    <m/>
    <n v="0"/>
    <m/>
    <m/>
    <n v="0.5"/>
    <m/>
    <n v="0"/>
    <n v="0"/>
    <n v="0"/>
    <n v="0"/>
    <n v="0"/>
    <n v="0"/>
    <n v="0"/>
  </r>
  <r>
    <x v="1"/>
    <x v="37"/>
    <m/>
    <s v="Inox SoudéCoudes  inox 304L -3D"/>
    <s v="1&quot;1/4 DN32"/>
    <n v="10"/>
    <s v="CASI304114"/>
    <m/>
    <m/>
    <n v="0"/>
    <m/>
    <m/>
    <m/>
    <m/>
    <m/>
    <m/>
    <n v="0"/>
    <m/>
    <m/>
    <n v="0.6"/>
    <m/>
    <n v="0"/>
    <n v="0"/>
    <n v="0"/>
    <n v="0"/>
    <n v="0"/>
    <n v="0"/>
    <n v="0"/>
  </r>
  <r>
    <x v="1"/>
    <x v="37"/>
    <m/>
    <s v="Inox SoudéCoudes  inox 304L -3D"/>
    <s v="1/2&quot;  DN15"/>
    <n v="11"/>
    <s v="CASI30412"/>
    <m/>
    <m/>
    <n v="0"/>
    <m/>
    <m/>
    <m/>
    <m/>
    <m/>
    <m/>
    <n v="0"/>
    <m/>
    <m/>
    <n v="0.5"/>
    <m/>
    <n v="0"/>
    <n v="0"/>
    <n v="0"/>
    <n v="0"/>
    <n v="0"/>
    <n v="0"/>
    <n v="0"/>
  </r>
  <r>
    <x v="1"/>
    <x v="37"/>
    <m/>
    <s v="Inox SoudéCoudes  inox 304L -3D"/>
    <s v="3/4&quot;  DN20"/>
    <n v="12"/>
    <s v="CASI30434"/>
    <m/>
    <m/>
    <n v="0"/>
    <m/>
    <m/>
    <m/>
    <m/>
    <m/>
    <m/>
    <n v="0"/>
    <m/>
    <m/>
    <n v="0.5"/>
    <m/>
    <n v="0"/>
    <n v="0"/>
    <n v="0"/>
    <n v="0"/>
    <n v="0"/>
    <n v="0"/>
    <n v="0"/>
  </r>
  <r>
    <x v="1"/>
    <x v="37"/>
    <m/>
    <s v="Inox SoudéCoudes  inox 304L -3D"/>
    <m/>
    <n v="0"/>
    <m/>
    <m/>
    <m/>
    <n v="0"/>
    <m/>
    <m/>
    <m/>
    <m/>
    <m/>
    <m/>
    <n v="0"/>
    <m/>
    <m/>
    <m/>
    <m/>
    <n v="0"/>
    <n v="0"/>
    <n v="0"/>
    <n v="0"/>
    <n v="0"/>
    <n v="0"/>
    <n v="0"/>
  </r>
  <r>
    <x v="1"/>
    <x v="38"/>
    <m/>
    <s v="Inox SoudéFonds bombés 304L"/>
    <s v="1&quot; - DN25"/>
    <n v="1"/>
    <s v="FASI3041"/>
    <m/>
    <m/>
    <n v="0"/>
    <m/>
    <m/>
    <m/>
    <m/>
    <m/>
    <m/>
    <n v="0"/>
    <m/>
    <m/>
    <m/>
    <m/>
    <n v="0"/>
    <n v="0"/>
    <n v="0"/>
    <n v="0"/>
    <n v="0"/>
    <n v="0"/>
    <n v="0"/>
  </r>
  <r>
    <x v="1"/>
    <x v="38"/>
    <m/>
    <s v="Inox SoudéFonds bombés 304L"/>
    <s v="1&quot;1/4 - DN32"/>
    <n v="2"/>
    <s v="FASI304114"/>
    <m/>
    <m/>
    <n v="0"/>
    <m/>
    <m/>
    <m/>
    <m/>
    <m/>
    <m/>
    <n v="0"/>
    <m/>
    <m/>
    <m/>
    <m/>
    <n v="0"/>
    <n v="0"/>
    <n v="0"/>
    <n v="0"/>
    <n v="0"/>
    <n v="0"/>
    <n v="0"/>
  </r>
  <r>
    <x v="1"/>
    <x v="38"/>
    <m/>
    <s v="Inox SoudéFonds bombés 304L"/>
    <s v="1&quot;1/2 - DN40"/>
    <n v="3"/>
    <s v="FASI304112"/>
    <m/>
    <m/>
    <n v="0"/>
    <m/>
    <m/>
    <m/>
    <m/>
    <m/>
    <m/>
    <n v="0"/>
    <m/>
    <m/>
    <n v="0.35"/>
    <m/>
    <n v="0"/>
    <n v="0"/>
    <n v="0"/>
    <n v="0"/>
    <n v="0"/>
    <n v="0"/>
    <n v="0"/>
  </r>
  <r>
    <x v="1"/>
    <x v="38"/>
    <m/>
    <s v="Inox SoudéFonds bombés 304L"/>
    <s v="4&quot; - DN100"/>
    <n v="4"/>
    <s v="FBI100"/>
    <m/>
    <m/>
    <n v="0"/>
    <m/>
    <m/>
    <m/>
    <m/>
    <m/>
    <m/>
    <n v="0"/>
    <m/>
    <m/>
    <n v="1"/>
    <m/>
    <n v="0"/>
    <n v="0"/>
    <n v="0"/>
    <n v="0"/>
    <n v="0"/>
    <n v="0"/>
    <n v="0"/>
  </r>
  <r>
    <x v="1"/>
    <x v="38"/>
    <m/>
    <s v="Inox SoudéFonds bombés 304L"/>
    <s v="5&quot; - DN125"/>
    <n v="5"/>
    <s v="FBI125"/>
    <m/>
    <m/>
    <n v="0"/>
    <m/>
    <m/>
    <m/>
    <m/>
    <m/>
    <m/>
    <n v="0"/>
    <m/>
    <m/>
    <n v="1.25"/>
    <m/>
    <n v="0"/>
    <n v="0"/>
    <n v="0"/>
    <n v="0"/>
    <n v="0"/>
    <n v="0"/>
    <n v="0"/>
  </r>
  <r>
    <x v="1"/>
    <x v="38"/>
    <m/>
    <s v="Inox SoudéFonds bombés 304L"/>
    <s v="6&quot; - DN150 "/>
    <n v="6"/>
    <s v="FBI150"/>
    <m/>
    <m/>
    <n v="0"/>
    <m/>
    <m/>
    <m/>
    <m/>
    <m/>
    <m/>
    <n v="0"/>
    <m/>
    <m/>
    <n v="1.5"/>
    <m/>
    <n v="0"/>
    <n v="0"/>
    <n v="0"/>
    <n v="0"/>
    <n v="0"/>
    <n v="0"/>
    <n v="0"/>
  </r>
  <r>
    <x v="1"/>
    <x v="38"/>
    <m/>
    <s v="Inox SoudéFonds bombés 304L"/>
    <s v="8&quot; - DN200"/>
    <n v="7"/>
    <s v="FBI200"/>
    <m/>
    <m/>
    <n v="0"/>
    <m/>
    <m/>
    <m/>
    <m/>
    <m/>
    <m/>
    <n v="0"/>
    <m/>
    <m/>
    <n v="2"/>
    <m/>
    <n v="0"/>
    <n v="0"/>
    <n v="0"/>
    <n v="0"/>
    <n v="0"/>
    <n v="0"/>
    <n v="0"/>
  </r>
  <r>
    <x v="1"/>
    <x v="38"/>
    <m/>
    <s v="Inox SoudéFonds bombés 304L"/>
    <s v="2&quot;1/2 - DN65"/>
    <n v="8"/>
    <s v="FBI65"/>
    <m/>
    <m/>
    <n v="0"/>
    <m/>
    <m/>
    <m/>
    <m/>
    <m/>
    <m/>
    <n v="0"/>
    <m/>
    <m/>
    <n v="0.6"/>
    <m/>
    <n v="0"/>
    <n v="0"/>
    <n v="0"/>
    <n v="0"/>
    <n v="0"/>
    <n v="0"/>
    <n v="0"/>
  </r>
  <r>
    <x v="1"/>
    <x v="38"/>
    <m/>
    <s v="Inox SoudéFonds bombés 304L"/>
    <s v="3&quot; - DN80 "/>
    <n v="9"/>
    <s v="FBI80"/>
    <m/>
    <m/>
    <n v="0"/>
    <m/>
    <m/>
    <m/>
    <m/>
    <m/>
    <m/>
    <n v="0"/>
    <m/>
    <m/>
    <n v="0.75"/>
    <m/>
    <n v="0"/>
    <n v="0"/>
    <n v="0"/>
    <n v="0"/>
    <n v="0"/>
    <n v="0"/>
    <n v="0"/>
  </r>
  <r>
    <x v="1"/>
    <x v="38"/>
    <m/>
    <s v="Inox SoudéFonds bombés 304L"/>
    <s v="2&quot; - DN50 "/>
    <n v="10"/>
    <s v="FBI50"/>
    <m/>
    <m/>
    <n v="0"/>
    <m/>
    <m/>
    <m/>
    <m/>
    <m/>
    <m/>
    <n v="0"/>
    <m/>
    <m/>
    <n v="0.5"/>
    <m/>
    <n v="0"/>
    <n v="0"/>
    <n v="0"/>
    <n v="0"/>
    <n v="0"/>
    <n v="0"/>
    <n v="0"/>
  </r>
  <r>
    <x v="1"/>
    <x v="38"/>
    <m/>
    <s v="Inox SoudéFonds bombés 304L"/>
    <m/>
    <n v="0"/>
    <m/>
    <m/>
    <m/>
    <n v="0"/>
    <m/>
    <m/>
    <m/>
    <m/>
    <m/>
    <m/>
    <n v="0"/>
    <m/>
    <m/>
    <m/>
    <m/>
    <n v="0"/>
    <n v="0"/>
    <n v="0"/>
    <n v="0"/>
    <n v="0"/>
    <n v="0"/>
    <n v="0"/>
  </r>
  <r>
    <x v="1"/>
    <x v="39"/>
    <m/>
    <s v="Inox SoudéRéduc concentrique Inox 304L"/>
    <s v="DN25-DN15"/>
    <n v="1"/>
    <s v="RASI304112"/>
    <m/>
    <m/>
    <n v="0"/>
    <m/>
    <m/>
    <m/>
    <m/>
    <m/>
    <m/>
    <n v="0"/>
    <m/>
    <m/>
    <m/>
    <m/>
    <n v="0"/>
    <n v="0"/>
    <n v="0"/>
    <n v="0"/>
    <n v="0"/>
    <n v="0"/>
    <n v="0"/>
  </r>
  <r>
    <x v="1"/>
    <x v="39"/>
    <m/>
    <s v="Inox SoudéRéduc concentrique Inox 304L"/>
    <s v="DN40-DN25"/>
    <n v="2"/>
    <s v="RASI3041121"/>
    <m/>
    <m/>
    <n v="0"/>
    <m/>
    <m/>
    <m/>
    <m/>
    <m/>
    <m/>
    <n v="0"/>
    <m/>
    <m/>
    <n v="0.6"/>
    <m/>
    <n v="0"/>
    <n v="0"/>
    <n v="0"/>
    <n v="0"/>
    <n v="0"/>
    <n v="0"/>
    <n v="0"/>
  </r>
  <r>
    <x v="1"/>
    <x v="39"/>
    <m/>
    <s v="Inox SoudéRéduc concentrique Inox 304L"/>
    <s v="DN40-DN32"/>
    <n v="3"/>
    <s v="RASI304112114"/>
    <m/>
    <m/>
    <n v="0"/>
    <m/>
    <m/>
    <m/>
    <m/>
    <m/>
    <m/>
    <n v="0"/>
    <m/>
    <m/>
    <n v="0.64999999999999991"/>
    <m/>
    <n v="0"/>
    <n v="0"/>
    <n v="0"/>
    <n v="0"/>
    <n v="0"/>
    <n v="0"/>
    <n v="0"/>
  </r>
  <r>
    <x v="1"/>
    <x v="39"/>
    <m/>
    <s v="Inox SoudéRéduc concentrique Inox 304L"/>
    <s v="DN32-DN25"/>
    <n v="4"/>
    <s v="RASI3041141"/>
    <m/>
    <m/>
    <n v="0"/>
    <m/>
    <m/>
    <m/>
    <m/>
    <m/>
    <m/>
    <n v="0"/>
    <m/>
    <m/>
    <n v="0.55000000000000004"/>
    <m/>
    <n v="0"/>
    <n v="0"/>
    <n v="0"/>
    <n v="0"/>
    <n v="0"/>
    <n v="0"/>
    <n v="0"/>
  </r>
  <r>
    <x v="1"/>
    <x v="39"/>
    <m/>
    <s v="Inox SoudéRéduc concentrique Inox 304L"/>
    <s v="DN32-DN15"/>
    <n v="5"/>
    <s v="RASI30411412"/>
    <m/>
    <m/>
    <n v="0"/>
    <m/>
    <m/>
    <m/>
    <m/>
    <m/>
    <m/>
    <n v="0"/>
    <m/>
    <m/>
    <n v="0.5"/>
    <m/>
    <n v="0"/>
    <n v="0"/>
    <n v="0"/>
    <n v="0"/>
    <n v="0"/>
    <n v="0"/>
    <n v="0"/>
  </r>
  <r>
    <x v="1"/>
    <x v="39"/>
    <m/>
    <s v="Inox SoudéRéduc concentrique Inox 304L"/>
    <s v="DN32-DN20"/>
    <n v="6"/>
    <s v="RASI30411434"/>
    <m/>
    <m/>
    <n v="0"/>
    <m/>
    <m/>
    <m/>
    <m/>
    <m/>
    <m/>
    <n v="0"/>
    <m/>
    <m/>
    <n v="0.5"/>
    <m/>
    <n v="0"/>
    <n v="0"/>
    <n v="0"/>
    <n v="0"/>
    <n v="0"/>
    <n v="0"/>
    <n v="0"/>
  </r>
  <r>
    <x v="1"/>
    <x v="39"/>
    <m/>
    <s v="Inox SoudéRéduc concentrique Inox 304L"/>
    <s v="DN25-DN20"/>
    <n v="7"/>
    <s v="RASI304134"/>
    <m/>
    <m/>
    <n v="0"/>
    <m/>
    <m/>
    <m/>
    <m/>
    <m/>
    <m/>
    <n v="0"/>
    <m/>
    <m/>
    <n v="0.5"/>
    <m/>
    <n v="0"/>
    <n v="0"/>
    <n v="0"/>
    <n v="0"/>
    <n v="0"/>
    <n v="0"/>
    <n v="0"/>
  </r>
  <r>
    <x v="1"/>
    <x v="39"/>
    <m/>
    <s v="Inox SoudéRéduc concentrique Inox 304L"/>
    <s v="DN50-DN32"/>
    <n v="8"/>
    <s v="RASI3042114"/>
    <m/>
    <m/>
    <n v="0"/>
    <m/>
    <m/>
    <m/>
    <m/>
    <m/>
    <m/>
    <n v="0"/>
    <m/>
    <m/>
    <n v="0.8"/>
    <m/>
    <n v="0"/>
    <n v="0"/>
    <n v="0"/>
    <n v="0"/>
    <n v="0"/>
    <n v="0"/>
    <n v="0"/>
  </r>
  <r>
    <x v="1"/>
    <x v="39"/>
    <m/>
    <s v="Inox SoudéRéduc concentrique Inox 304L"/>
    <s v="DN100-DN50"/>
    <n v="9"/>
    <s v="RCI100-50"/>
    <m/>
    <m/>
    <n v="0"/>
    <m/>
    <m/>
    <m/>
    <m/>
    <m/>
    <m/>
    <n v="0"/>
    <m/>
    <m/>
    <n v="1.5"/>
    <m/>
    <n v="0"/>
    <n v="0"/>
    <n v="0"/>
    <n v="0"/>
    <n v="0"/>
    <n v="0"/>
    <n v="0"/>
  </r>
  <r>
    <x v="1"/>
    <x v="39"/>
    <m/>
    <s v="Inox SoudéRéduc concentrique Inox 304L"/>
    <s v="DN100-DN65"/>
    <n v="10"/>
    <s v="RCI100-65"/>
    <m/>
    <m/>
    <n v="0"/>
    <m/>
    <m/>
    <m/>
    <m/>
    <m/>
    <m/>
    <n v="0"/>
    <m/>
    <m/>
    <n v="1.6"/>
    <m/>
    <n v="0"/>
    <n v="0"/>
    <n v="0"/>
    <n v="0"/>
    <n v="0"/>
    <n v="0"/>
    <n v="0"/>
  </r>
  <r>
    <x v="1"/>
    <x v="39"/>
    <m/>
    <s v="Inox SoudéRéduc concentrique Inox 304L"/>
    <s v="DN100-DN80"/>
    <n v="11"/>
    <s v="RCI100-80"/>
    <m/>
    <m/>
    <n v="0"/>
    <m/>
    <m/>
    <m/>
    <m/>
    <m/>
    <m/>
    <n v="0"/>
    <m/>
    <m/>
    <n v="1.75"/>
    <m/>
    <n v="0"/>
    <n v="0"/>
    <n v="0"/>
    <n v="0"/>
    <n v="0"/>
    <n v="0"/>
    <n v="0"/>
  </r>
  <r>
    <x v="1"/>
    <x v="39"/>
    <m/>
    <s v="Inox SoudéRéduc concentrique Inox 304L"/>
    <s v="DN125-DN100"/>
    <n v="12"/>
    <s v="RCI125-100"/>
    <m/>
    <m/>
    <n v="0"/>
    <m/>
    <m/>
    <m/>
    <m/>
    <m/>
    <m/>
    <n v="0"/>
    <m/>
    <m/>
    <n v="2.25"/>
    <m/>
    <n v="0"/>
    <n v="0"/>
    <n v="0"/>
    <n v="0"/>
    <n v="0"/>
    <n v="0"/>
    <n v="0"/>
  </r>
  <r>
    <x v="1"/>
    <x v="39"/>
    <m/>
    <s v="Inox SoudéRéduc concentrique Inox 304L"/>
    <s v="DN125-DN65"/>
    <n v="13"/>
    <s v="RCI125-65"/>
    <m/>
    <m/>
    <n v="0"/>
    <m/>
    <m/>
    <m/>
    <m/>
    <m/>
    <m/>
    <n v="0"/>
    <m/>
    <m/>
    <n v="1.75"/>
    <m/>
    <n v="0"/>
    <n v="0"/>
    <n v="0"/>
    <n v="0"/>
    <n v="0"/>
    <n v="0"/>
    <n v="0"/>
  </r>
  <r>
    <x v="1"/>
    <x v="39"/>
    <m/>
    <s v="Inox SoudéRéduc concentrique Inox 304L"/>
    <s v="DN125-DN80"/>
    <n v="14"/>
    <s v="RCI125-80"/>
    <m/>
    <m/>
    <n v="0"/>
    <m/>
    <m/>
    <m/>
    <m/>
    <m/>
    <m/>
    <n v="0"/>
    <m/>
    <m/>
    <n v="2"/>
    <m/>
    <n v="0"/>
    <n v="0"/>
    <n v="0"/>
    <n v="0"/>
    <n v="0"/>
    <n v="0"/>
    <n v="0"/>
  </r>
  <r>
    <x v="1"/>
    <x v="39"/>
    <m/>
    <s v="Inox SoudéRéduc concentrique Inox 304L"/>
    <s v="DN150-DN100"/>
    <n v="15"/>
    <s v="RCI150-100"/>
    <m/>
    <m/>
    <n v="0"/>
    <m/>
    <m/>
    <m/>
    <m/>
    <m/>
    <m/>
    <n v="0"/>
    <m/>
    <m/>
    <n v="2.5"/>
    <m/>
    <n v="0"/>
    <n v="0"/>
    <n v="0"/>
    <n v="0"/>
    <n v="0"/>
    <n v="0"/>
    <n v="0"/>
  </r>
  <r>
    <x v="1"/>
    <x v="39"/>
    <m/>
    <s v="Inox SoudéRéduc concentrique Inox 304L"/>
    <s v="DN150-DN125"/>
    <n v="16"/>
    <s v="RCI150-125"/>
    <m/>
    <m/>
    <n v="0"/>
    <m/>
    <m/>
    <m/>
    <m/>
    <m/>
    <m/>
    <n v="0"/>
    <m/>
    <m/>
    <n v="2.75"/>
    <m/>
    <n v="0"/>
    <n v="0"/>
    <n v="0"/>
    <n v="0"/>
    <n v="0"/>
    <n v="0"/>
    <n v="0"/>
  </r>
  <r>
    <x v="1"/>
    <x v="39"/>
    <m/>
    <s v="Inox SoudéRéduc concentrique Inox 304L"/>
    <s v="DN150-DN80"/>
    <n v="17"/>
    <s v="RCI150-80"/>
    <m/>
    <m/>
    <n v="0"/>
    <m/>
    <m/>
    <m/>
    <m/>
    <m/>
    <m/>
    <n v="0"/>
    <m/>
    <m/>
    <n v="2.25"/>
    <m/>
    <n v="0"/>
    <n v="0"/>
    <n v="0"/>
    <n v="0"/>
    <n v="0"/>
    <n v="0"/>
    <n v="0"/>
  </r>
  <r>
    <x v="1"/>
    <x v="39"/>
    <m/>
    <s v="Inox SoudéRéduc concentrique Inox 304L"/>
    <s v="DN200-DN100"/>
    <n v="18"/>
    <s v="RCI200-100"/>
    <m/>
    <m/>
    <n v="0"/>
    <m/>
    <m/>
    <m/>
    <m/>
    <m/>
    <m/>
    <n v="0"/>
    <m/>
    <m/>
    <n v="3"/>
    <m/>
    <n v="0"/>
    <n v="0"/>
    <n v="0"/>
    <n v="0"/>
    <n v="0"/>
    <n v="0"/>
    <n v="0"/>
  </r>
  <r>
    <x v="1"/>
    <x v="39"/>
    <m/>
    <s v="Inox SoudéRéduc concentrique Inox 304L"/>
    <s v="DN200-DN125"/>
    <n v="19"/>
    <s v="RCI200-125"/>
    <m/>
    <m/>
    <n v="0"/>
    <m/>
    <m/>
    <m/>
    <m/>
    <m/>
    <m/>
    <n v="0"/>
    <m/>
    <m/>
    <n v="3.25"/>
    <m/>
    <n v="0"/>
    <n v="0"/>
    <n v="0"/>
    <n v="0"/>
    <n v="0"/>
    <n v="0"/>
    <n v="0"/>
  </r>
  <r>
    <x v="1"/>
    <x v="39"/>
    <m/>
    <s v="Inox SoudéRéduc concentrique Inox 304L"/>
    <s v="DN200-DN150"/>
    <n v="20"/>
    <s v="RCI200-150"/>
    <m/>
    <m/>
    <n v="0"/>
    <m/>
    <m/>
    <m/>
    <m/>
    <m/>
    <m/>
    <n v="0"/>
    <m/>
    <m/>
    <n v="3.5"/>
    <m/>
    <n v="0"/>
    <n v="0"/>
    <n v="0"/>
    <n v="0"/>
    <n v="0"/>
    <n v="0"/>
    <n v="0"/>
  </r>
  <r>
    <x v="1"/>
    <x v="39"/>
    <m/>
    <s v="Inox SoudéRéduc concentrique Inox 304L"/>
    <s v="DN200-DN80"/>
    <n v="21"/>
    <s v="RCI200-80"/>
    <m/>
    <m/>
    <n v="0"/>
    <m/>
    <m/>
    <m/>
    <m/>
    <m/>
    <m/>
    <n v="0"/>
    <m/>
    <m/>
    <n v="2.75"/>
    <m/>
    <n v="0"/>
    <n v="0"/>
    <n v="0"/>
    <n v="0"/>
    <n v="0"/>
    <n v="0"/>
    <n v="0"/>
  </r>
  <r>
    <x v="1"/>
    <x v="39"/>
    <m/>
    <s v="Inox SoudéRéduc concentrique Inox 304L"/>
    <s v="DN50-DN25"/>
    <n v="22"/>
    <s v="RCI50-25"/>
    <m/>
    <m/>
    <n v="0"/>
    <m/>
    <m/>
    <m/>
    <m/>
    <m/>
    <m/>
    <n v="0"/>
    <m/>
    <m/>
    <n v="0.8"/>
    <m/>
    <n v="0"/>
    <n v="0"/>
    <n v="0"/>
    <n v="0"/>
    <n v="0"/>
    <n v="0"/>
    <n v="0"/>
  </r>
  <r>
    <x v="1"/>
    <x v="39"/>
    <m/>
    <s v="Inox SoudéRéduc concentrique Inox 304L"/>
    <s v="DN50-DN40"/>
    <n v="23"/>
    <s v="RCI50-40"/>
    <m/>
    <m/>
    <n v="0"/>
    <m/>
    <m/>
    <m/>
    <m/>
    <m/>
    <m/>
    <n v="0"/>
    <m/>
    <m/>
    <n v="0.85"/>
    <m/>
    <n v="0"/>
    <n v="0"/>
    <n v="0"/>
    <n v="0"/>
    <n v="0"/>
    <n v="0"/>
    <n v="0"/>
  </r>
  <r>
    <x v="1"/>
    <x v="39"/>
    <m/>
    <s v="Inox SoudéRéduc concentrique Inox 304L"/>
    <s v="DN65-DN25"/>
    <n v="24"/>
    <s v="RCI65-25"/>
    <m/>
    <m/>
    <n v="0"/>
    <m/>
    <m/>
    <m/>
    <m/>
    <m/>
    <m/>
    <n v="0"/>
    <m/>
    <m/>
    <n v="0.85"/>
    <m/>
    <n v="0"/>
    <n v="0"/>
    <n v="0"/>
    <n v="0"/>
    <n v="0"/>
    <n v="0"/>
    <n v="0"/>
  </r>
  <r>
    <x v="1"/>
    <x v="39"/>
    <m/>
    <s v="Inox SoudéRéduc concentrique Inox 304L"/>
    <s v="DN65-DN32"/>
    <n v="25"/>
    <s v="RCI65-32"/>
    <m/>
    <m/>
    <n v="0"/>
    <m/>
    <m/>
    <m/>
    <m/>
    <m/>
    <m/>
    <n v="0"/>
    <m/>
    <m/>
    <n v="0.89999999999999991"/>
    <m/>
    <n v="0"/>
    <n v="0"/>
    <n v="0"/>
    <n v="0"/>
    <n v="0"/>
    <n v="0"/>
    <n v="0"/>
  </r>
  <r>
    <x v="1"/>
    <x v="39"/>
    <m/>
    <s v="Inox SoudéRéduc concentrique Inox 304L"/>
    <s v="DN65-DN40"/>
    <n v="26"/>
    <s v="RCI65-40"/>
    <m/>
    <m/>
    <n v="0"/>
    <m/>
    <m/>
    <m/>
    <m/>
    <m/>
    <m/>
    <n v="0"/>
    <m/>
    <m/>
    <n v="0.95"/>
    <m/>
    <n v="0"/>
    <n v="0"/>
    <n v="0"/>
    <n v="0"/>
    <n v="0"/>
    <n v="0"/>
    <n v="0"/>
  </r>
  <r>
    <x v="1"/>
    <x v="39"/>
    <m/>
    <s v="Inox SoudéRéduc concentrique Inox 304L"/>
    <s v="DN65-DN50"/>
    <n v="27"/>
    <s v="RCI65-50"/>
    <m/>
    <m/>
    <n v="0"/>
    <m/>
    <m/>
    <m/>
    <m/>
    <m/>
    <m/>
    <n v="0"/>
    <m/>
    <m/>
    <n v="1.1000000000000001"/>
    <m/>
    <n v="0"/>
    <n v="0"/>
    <n v="0"/>
    <n v="0"/>
    <n v="0"/>
    <n v="0"/>
    <n v="0"/>
  </r>
  <r>
    <x v="1"/>
    <x v="39"/>
    <m/>
    <s v="Inox SoudéRéduc concentrique Inox 304L"/>
    <s v="DN80-DN40"/>
    <n v="28"/>
    <s v="RCI80-40"/>
    <m/>
    <m/>
    <n v="0"/>
    <m/>
    <m/>
    <m/>
    <m/>
    <m/>
    <m/>
    <n v="0"/>
    <m/>
    <m/>
    <n v="1.1000000000000001"/>
    <m/>
    <n v="0"/>
    <n v="0"/>
    <n v="0"/>
    <n v="0"/>
    <n v="0"/>
    <n v="0"/>
    <n v="0"/>
  </r>
  <r>
    <x v="1"/>
    <x v="39"/>
    <m/>
    <s v="Inox SoudéRéduc concentrique Inox 304L"/>
    <s v="DN80-DN50"/>
    <n v="29"/>
    <s v="RCI80-50"/>
    <m/>
    <m/>
    <n v="0"/>
    <m/>
    <m/>
    <m/>
    <m/>
    <m/>
    <m/>
    <n v="0"/>
    <m/>
    <m/>
    <n v="1.25"/>
    <m/>
    <n v="0"/>
    <n v="0"/>
    <n v="0"/>
    <n v="0"/>
    <n v="0"/>
    <n v="0"/>
    <n v="0"/>
  </r>
  <r>
    <x v="1"/>
    <x v="39"/>
    <m/>
    <s v="Inox SoudéRéduc concentrique Inox 304L"/>
    <s v="DN80-DN65"/>
    <n v="30"/>
    <s v="RCI80-65"/>
    <m/>
    <m/>
    <n v="0"/>
    <m/>
    <m/>
    <m/>
    <m/>
    <m/>
    <m/>
    <n v="0"/>
    <m/>
    <m/>
    <n v="1.35"/>
    <m/>
    <n v="0"/>
    <n v="0"/>
    <n v="0"/>
    <n v="0"/>
    <n v="0"/>
    <n v="0"/>
    <n v="0"/>
  </r>
  <r>
    <x v="1"/>
    <x v="39"/>
    <m/>
    <s v="Inox SoudéRéduc concentrique Inox 304L"/>
    <m/>
    <n v="0"/>
    <m/>
    <m/>
    <m/>
    <n v="0"/>
    <m/>
    <m/>
    <m/>
    <m/>
    <m/>
    <m/>
    <n v="0"/>
    <m/>
    <m/>
    <m/>
    <m/>
    <n v="0"/>
    <n v="0"/>
    <n v="0"/>
    <n v="0"/>
    <n v="0"/>
    <n v="0"/>
    <n v="0"/>
  </r>
  <r>
    <x v="1"/>
    <x v="40"/>
    <m/>
    <s v="Inox SoudéTé égaux inox 304L"/>
    <s v="DN100"/>
    <n v="1"/>
    <s v="TASI100"/>
    <m/>
    <m/>
    <n v="0"/>
    <m/>
    <m/>
    <m/>
    <m/>
    <m/>
    <m/>
    <n v="0"/>
    <m/>
    <m/>
    <n v="3"/>
    <m/>
    <n v="0"/>
    <n v="0"/>
    <n v="0"/>
    <n v="0"/>
    <n v="0"/>
    <n v="0"/>
    <n v="0"/>
  </r>
  <r>
    <x v="1"/>
    <x v="40"/>
    <m/>
    <s v="Inox SoudéTé égaux inox 304L"/>
    <s v="DN125"/>
    <n v="2"/>
    <s v="TASI125"/>
    <m/>
    <m/>
    <n v="0"/>
    <m/>
    <m/>
    <m/>
    <m/>
    <m/>
    <m/>
    <n v="0"/>
    <m/>
    <m/>
    <n v="3.75"/>
    <m/>
    <n v="0"/>
    <n v="0"/>
    <n v="0"/>
    <n v="0"/>
    <n v="0"/>
    <n v="0"/>
    <n v="0"/>
  </r>
  <r>
    <x v="1"/>
    <x v="40"/>
    <m/>
    <s v="Inox SoudéTé égaux inox 304L"/>
    <s v="DN150"/>
    <n v="3"/>
    <s v="TASI150"/>
    <m/>
    <m/>
    <n v="0"/>
    <m/>
    <m/>
    <m/>
    <m/>
    <m/>
    <m/>
    <n v="0"/>
    <m/>
    <m/>
    <n v="4.5"/>
    <m/>
    <n v="0"/>
    <n v="0"/>
    <n v="0"/>
    <n v="0"/>
    <n v="0"/>
    <n v="0"/>
    <n v="0"/>
  </r>
  <r>
    <x v="1"/>
    <x v="40"/>
    <m/>
    <s v="Inox SoudéTé égaux inox 304L"/>
    <s v="DN20"/>
    <n v="4"/>
    <s v="TASI20"/>
    <m/>
    <m/>
    <n v="0"/>
    <m/>
    <m/>
    <m/>
    <m/>
    <m/>
    <m/>
    <n v="0"/>
    <m/>
    <m/>
    <m/>
    <m/>
    <n v="0"/>
    <n v="0"/>
    <n v="0"/>
    <n v="0"/>
    <n v="0"/>
    <n v="0"/>
    <n v="0"/>
  </r>
  <r>
    <x v="1"/>
    <x v="40"/>
    <m/>
    <s v="Inox SoudéTé égaux inox 304L"/>
    <s v="DN200"/>
    <n v="5"/>
    <s v="TASI200"/>
    <m/>
    <m/>
    <n v="0"/>
    <m/>
    <m/>
    <m/>
    <m/>
    <m/>
    <m/>
    <n v="0"/>
    <m/>
    <m/>
    <n v="6"/>
    <m/>
    <n v="0"/>
    <n v="0"/>
    <n v="0"/>
    <n v="0"/>
    <n v="0"/>
    <n v="0"/>
    <n v="0"/>
  </r>
  <r>
    <x v="1"/>
    <x v="40"/>
    <m/>
    <s v="Inox SoudéTé égaux inox 304L"/>
    <s v="DN15"/>
    <n v="6"/>
    <s v="TASI15 "/>
    <m/>
    <m/>
    <n v="0"/>
    <m/>
    <m/>
    <m/>
    <m/>
    <m/>
    <m/>
    <n v="0"/>
    <m/>
    <m/>
    <m/>
    <m/>
    <n v="0"/>
    <n v="0"/>
    <n v="0"/>
    <n v="0"/>
    <n v="0"/>
    <n v="0"/>
    <n v="0"/>
  </r>
  <r>
    <x v="1"/>
    <x v="40"/>
    <m/>
    <s v="Inox SoudéTé égaux inox 304L"/>
    <s v="DN25"/>
    <n v="7"/>
    <s v="TASI25"/>
    <m/>
    <m/>
    <n v="0"/>
    <m/>
    <m/>
    <m/>
    <m/>
    <m/>
    <m/>
    <n v="0"/>
    <m/>
    <m/>
    <m/>
    <m/>
    <n v="0"/>
    <n v="0"/>
    <n v="0"/>
    <n v="0"/>
    <n v="0"/>
    <n v="0"/>
    <n v="0"/>
  </r>
  <r>
    <x v="1"/>
    <x v="40"/>
    <m/>
    <s v="Inox SoudéTé égaux inox 304L"/>
    <s v="DN40"/>
    <n v="8"/>
    <s v="TASI42"/>
    <m/>
    <m/>
    <n v="0"/>
    <m/>
    <m/>
    <m/>
    <m/>
    <m/>
    <m/>
    <n v="0"/>
    <m/>
    <m/>
    <n v="1.0499999999999998"/>
    <m/>
    <n v="0"/>
    <n v="0"/>
    <n v="0"/>
    <n v="0"/>
    <n v="0"/>
    <n v="0"/>
    <n v="0"/>
  </r>
  <r>
    <x v="1"/>
    <x v="40"/>
    <m/>
    <s v="Inox SoudéTé égaux inox 304L"/>
    <s v="DN50"/>
    <n v="9"/>
    <s v="TASI60"/>
    <m/>
    <m/>
    <n v="0"/>
    <m/>
    <m/>
    <m/>
    <m/>
    <m/>
    <m/>
    <n v="0"/>
    <m/>
    <m/>
    <n v="1.5"/>
    <m/>
    <n v="0"/>
    <n v="0"/>
    <n v="0"/>
    <n v="0"/>
    <n v="0"/>
    <n v="0"/>
    <n v="0"/>
  </r>
  <r>
    <x v="1"/>
    <x v="40"/>
    <m/>
    <s v="Inox SoudéTé égaux inox 304L"/>
    <s v="DN65"/>
    <n v="10"/>
    <s v="TASI65"/>
    <m/>
    <m/>
    <n v="0"/>
    <m/>
    <m/>
    <m/>
    <m/>
    <m/>
    <m/>
    <n v="0"/>
    <m/>
    <m/>
    <n v="1.7999999999999998"/>
    <m/>
    <n v="0"/>
    <n v="0"/>
    <n v="0"/>
    <n v="0"/>
    <n v="0"/>
    <n v="0"/>
    <n v="0"/>
  </r>
  <r>
    <x v="1"/>
    <x v="40"/>
    <m/>
    <s v="Inox SoudéTé égaux inox 304L"/>
    <s v="DN80"/>
    <n v="11"/>
    <s v="TASI80"/>
    <m/>
    <m/>
    <n v="0"/>
    <m/>
    <m/>
    <m/>
    <m/>
    <m/>
    <m/>
    <n v="0"/>
    <m/>
    <m/>
    <n v="2.25"/>
    <m/>
    <n v="0"/>
    <n v="0"/>
    <n v="0"/>
    <n v="0"/>
    <n v="0"/>
    <n v="0"/>
    <n v="0"/>
  </r>
  <r>
    <x v="1"/>
    <x v="40"/>
    <m/>
    <s v="Inox SoudéTé égaux inox 304L"/>
    <m/>
    <n v="0"/>
    <m/>
    <m/>
    <m/>
    <n v="0"/>
    <m/>
    <m/>
    <m/>
    <m/>
    <m/>
    <m/>
    <n v="0"/>
    <m/>
    <m/>
    <m/>
    <m/>
    <n v="0"/>
    <n v="0"/>
    <n v="0"/>
    <n v="0"/>
    <n v="0"/>
    <n v="0"/>
    <n v="0"/>
  </r>
  <r>
    <x v="1"/>
    <x v="41"/>
    <m/>
    <s v="Inox SoudéTube roulé soudé"/>
    <s v="4&quot;  DN100 (Ø114,3)"/>
    <n v="1"/>
    <s v="T3IL100"/>
    <m/>
    <m/>
    <n v="0"/>
    <m/>
    <m/>
    <m/>
    <m/>
    <m/>
    <m/>
    <n v="0"/>
    <m/>
    <m/>
    <n v="2.5"/>
    <m/>
    <n v="0"/>
    <n v="0"/>
    <n v="0"/>
    <n v="0"/>
    <n v="0"/>
    <n v="0"/>
    <n v="0"/>
  </r>
  <r>
    <x v="1"/>
    <x v="41"/>
    <m/>
    <s v="Inox SoudéTube roulé soudé"/>
    <s v="5&quot; DN125 (Ø138)"/>
    <n v="2"/>
    <s v="T3IL125"/>
    <m/>
    <m/>
    <n v="0"/>
    <m/>
    <m/>
    <m/>
    <m/>
    <m/>
    <m/>
    <n v="0"/>
    <m/>
    <m/>
    <n v="2.5"/>
    <m/>
    <n v="0"/>
    <n v="0"/>
    <n v="0"/>
    <n v="0"/>
    <n v="0"/>
    <n v="0"/>
    <n v="0"/>
  </r>
  <r>
    <x v="1"/>
    <x v="41"/>
    <m/>
    <s v="Inox SoudéTube roulé soudé"/>
    <s v="6&quot;  DN150 (Ø168,9)"/>
    <n v="3"/>
    <s v="T3IL150"/>
    <m/>
    <m/>
    <n v="0"/>
    <m/>
    <m/>
    <m/>
    <m/>
    <m/>
    <m/>
    <n v="0"/>
    <m/>
    <m/>
    <n v="2"/>
    <m/>
    <n v="0"/>
    <n v="0"/>
    <n v="0"/>
    <n v="0"/>
    <n v="0"/>
    <n v="0"/>
    <n v="0"/>
  </r>
  <r>
    <x v="1"/>
    <x v="41"/>
    <m/>
    <s v="Inox SoudéTube roulé soudé"/>
    <s v=" 8&quot; DN200 (Ø219,1)"/>
    <n v="4"/>
    <s v="T3IL200"/>
    <m/>
    <m/>
    <n v="0"/>
    <m/>
    <m/>
    <m/>
    <m/>
    <m/>
    <m/>
    <n v="0"/>
    <m/>
    <m/>
    <n v="2"/>
    <m/>
    <n v="0"/>
    <n v="0"/>
    <n v="0"/>
    <n v="0"/>
    <n v="0"/>
    <n v="0"/>
    <n v="0"/>
  </r>
  <r>
    <x v="1"/>
    <x v="41"/>
    <m/>
    <s v="Inox SoudéTube roulé soudé"/>
    <s v="1&quot;   26x34"/>
    <n v="5"/>
    <s v="T3IL25"/>
    <m/>
    <m/>
    <n v="0"/>
    <m/>
    <m/>
    <m/>
    <m/>
    <m/>
    <m/>
    <n v="0"/>
    <m/>
    <m/>
    <n v="3"/>
    <m/>
    <n v="0"/>
    <n v="0"/>
    <n v="0"/>
    <n v="0"/>
    <n v="0"/>
    <n v="0"/>
    <n v="0"/>
  </r>
  <r>
    <x v="1"/>
    <x v="41"/>
    <m/>
    <s v="Inox SoudéTube roulé soudé"/>
    <s v="1&quot;1/4  33x42"/>
    <n v="6"/>
    <s v="T3IL32"/>
    <m/>
    <m/>
    <n v="0"/>
    <m/>
    <m/>
    <m/>
    <m/>
    <m/>
    <m/>
    <n v="0"/>
    <m/>
    <m/>
    <n v="3"/>
    <m/>
    <n v="0"/>
    <n v="0"/>
    <n v="0"/>
    <n v="0"/>
    <n v="0"/>
    <n v="0"/>
    <n v="0"/>
  </r>
  <r>
    <x v="1"/>
    <x v="41"/>
    <m/>
    <s v="Inox SoudéTube roulé soudé"/>
    <s v="1&quot;1/2  40x49"/>
    <n v="7"/>
    <s v="T3IL40"/>
    <m/>
    <m/>
    <n v="0"/>
    <m/>
    <m/>
    <m/>
    <m/>
    <m/>
    <m/>
    <n v="0"/>
    <m/>
    <m/>
    <n v="3"/>
    <m/>
    <n v="0"/>
    <n v="0"/>
    <n v="0"/>
    <n v="0"/>
    <n v="0"/>
    <n v="0"/>
    <n v="0"/>
  </r>
  <r>
    <x v="1"/>
    <x v="41"/>
    <m/>
    <s v="Inox SoudéTube roulé soudé"/>
    <s v="2&quot;  DN50(Ø60)"/>
    <n v="8"/>
    <s v="T3IL50"/>
    <m/>
    <m/>
    <n v="0"/>
    <m/>
    <m/>
    <m/>
    <m/>
    <m/>
    <m/>
    <n v="0"/>
    <m/>
    <m/>
    <n v="3"/>
    <m/>
    <n v="0"/>
    <n v="0"/>
    <n v="0"/>
    <n v="0"/>
    <n v="0"/>
    <n v="0"/>
    <n v="0"/>
  </r>
  <r>
    <x v="1"/>
    <x v="41"/>
    <m/>
    <s v="Inox SoudéTube roulé soudé"/>
    <s v="2&quot;1/2  DN65 ( Ø76,1)"/>
    <n v="9"/>
    <s v="T3IL65"/>
    <m/>
    <m/>
    <n v="0"/>
    <m/>
    <m/>
    <m/>
    <m/>
    <m/>
    <m/>
    <n v="0"/>
    <m/>
    <m/>
    <n v="3"/>
    <m/>
    <n v="0"/>
    <n v="0"/>
    <n v="0"/>
    <n v="0"/>
    <n v="0"/>
    <n v="0"/>
    <n v="0"/>
  </r>
  <r>
    <x v="1"/>
    <x v="41"/>
    <m/>
    <s v="Inox SoudéTube roulé soudé"/>
    <s v="3&quot;  DN80 (Ø88,9)"/>
    <n v="10"/>
    <s v="T3IL80"/>
    <m/>
    <m/>
    <n v="0"/>
    <m/>
    <m/>
    <m/>
    <m/>
    <m/>
    <m/>
    <n v="0"/>
    <m/>
    <m/>
    <n v="3"/>
    <m/>
    <n v="0"/>
    <n v="0"/>
    <n v="0"/>
    <n v="0"/>
    <n v="0"/>
    <n v="0"/>
    <n v="0"/>
  </r>
  <r>
    <x v="1"/>
    <x v="41"/>
    <m/>
    <s v="Inox SoudéTube roulé soudé"/>
    <m/>
    <n v="0"/>
    <m/>
    <m/>
    <m/>
    <n v="0"/>
    <m/>
    <m/>
    <m/>
    <m/>
    <m/>
    <m/>
    <n v="0"/>
    <m/>
    <m/>
    <m/>
    <m/>
    <n v="0"/>
    <n v="0"/>
    <n v="0"/>
    <n v="0"/>
    <n v="0"/>
    <n v="0"/>
    <n v="0"/>
  </r>
  <r>
    <x v="2"/>
    <x v="42"/>
    <m/>
    <s v="Inox visséBouchon male  inox 316L "/>
    <s v="Bouchon male inox 316L 2&quot;1/2"/>
    <n v="1"/>
    <s v="290I212"/>
    <m/>
    <m/>
    <n v="0"/>
    <m/>
    <m/>
    <m/>
    <m/>
    <m/>
    <m/>
    <n v="0"/>
    <m/>
    <m/>
    <m/>
    <m/>
    <n v="0"/>
    <n v="0"/>
    <n v="0"/>
    <n v="0"/>
    <n v="0"/>
    <n v="0"/>
    <n v="0"/>
  </r>
  <r>
    <x v="2"/>
    <x v="42"/>
    <m/>
    <s v="Inox visséBouchon male  inox 316L "/>
    <s v="Bouchon male inox 316L 1&quot;"/>
    <n v="2"/>
    <s v="290I1"/>
    <m/>
    <m/>
    <n v="0"/>
    <m/>
    <m/>
    <m/>
    <m/>
    <m/>
    <m/>
    <n v="0"/>
    <m/>
    <m/>
    <m/>
    <m/>
    <n v="0"/>
    <n v="0"/>
    <n v="0"/>
    <n v="0"/>
    <n v="0"/>
    <n v="0"/>
    <n v="0"/>
  </r>
  <r>
    <x v="2"/>
    <x v="42"/>
    <m/>
    <s v="Inox visséBouchon male  inox 316L "/>
    <s v="Bouchon male inox 316L 1&quot;1/2"/>
    <n v="3"/>
    <s v="290I112"/>
    <m/>
    <m/>
    <n v="0"/>
    <m/>
    <m/>
    <m/>
    <m/>
    <m/>
    <m/>
    <n v="0"/>
    <m/>
    <m/>
    <m/>
    <m/>
    <n v="0"/>
    <n v="0"/>
    <n v="0"/>
    <n v="0"/>
    <n v="0"/>
    <n v="0"/>
    <n v="0"/>
  </r>
  <r>
    <x v="2"/>
    <x v="42"/>
    <m/>
    <s v="Inox visséBouchon male  inox 316L "/>
    <s v="Bouchon male inox 316L 1&quot;1/4"/>
    <n v="4"/>
    <s v="290I114"/>
    <m/>
    <m/>
    <n v="0"/>
    <m/>
    <m/>
    <m/>
    <m/>
    <m/>
    <m/>
    <n v="0"/>
    <m/>
    <m/>
    <m/>
    <m/>
    <n v="0"/>
    <n v="0"/>
    <n v="0"/>
    <n v="0"/>
    <n v="0"/>
    <n v="0"/>
    <n v="0"/>
  </r>
  <r>
    <x v="2"/>
    <x v="42"/>
    <m/>
    <s v="Inox visséBouchon male  inox 316L "/>
    <s v="Bouchon male inox 316L 1/2&quot;"/>
    <n v="5"/>
    <s v="290I12"/>
    <m/>
    <m/>
    <n v="0"/>
    <m/>
    <m/>
    <m/>
    <m/>
    <m/>
    <m/>
    <n v="0"/>
    <m/>
    <m/>
    <m/>
    <m/>
    <n v="0"/>
    <n v="0"/>
    <n v="0"/>
    <n v="0"/>
    <n v="0"/>
    <n v="0"/>
    <n v="0"/>
  </r>
  <r>
    <x v="2"/>
    <x v="42"/>
    <m/>
    <s v="Inox visséBouchon male  inox 316L "/>
    <s v="Bouchon male inox 316L 1/4&quot;"/>
    <n v="6"/>
    <s v="290I14"/>
    <m/>
    <m/>
    <n v="0"/>
    <m/>
    <m/>
    <m/>
    <m/>
    <m/>
    <m/>
    <n v="0"/>
    <m/>
    <m/>
    <m/>
    <m/>
    <n v="0"/>
    <n v="0"/>
    <n v="0"/>
    <n v="0"/>
    <n v="0"/>
    <n v="0"/>
    <n v="0"/>
  </r>
  <r>
    <x v="2"/>
    <x v="42"/>
    <m/>
    <s v="Inox visséBouchon male  inox 316L "/>
    <s v="Bouchon male inox 316L 2&quot;"/>
    <n v="7"/>
    <s v="290I2"/>
    <m/>
    <m/>
    <n v="0"/>
    <m/>
    <m/>
    <m/>
    <m/>
    <m/>
    <m/>
    <n v="0"/>
    <m/>
    <m/>
    <m/>
    <m/>
    <n v="0"/>
    <n v="0"/>
    <n v="0"/>
    <n v="0"/>
    <n v="0"/>
    <n v="0"/>
    <n v="0"/>
  </r>
  <r>
    <x v="2"/>
    <x v="42"/>
    <m/>
    <s v="Inox visséBouchon male  inox 316L "/>
    <s v="Bouchon male inox 316L 3&quot;"/>
    <n v="8"/>
    <s v="290I3"/>
    <m/>
    <m/>
    <n v="0"/>
    <m/>
    <m/>
    <m/>
    <m/>
    <m/>
    <m/>
    <n v="0"/>
    <m/>
    <m/>
    <m/>
    <m/>
    <n v="0"/>
    <n v="0"/>
    <n v="0"/>
    <n v="0"/>
    <n v="0"/>
    <n v="0"/>
    <n v="0"/>
  </r>
  <r>
    <x v="2"/>
    <x v="42"/>
    <m/>
    <s v="Inox visséBouchon male  inox 316L "/>
    <s v="Bouchon male inox 316L 3/4&quot;"/>
    <n v="9"/>
    <s v="290I34"/>
    <m/>
    <m/>
    <n v="0"/>
    <m/>
    <m/>
    <m/>
    <m/>
    <m/>
    <m/>
    <n v="0"/>
    <m/>
    <m/>
    <m/>
    <m/>
    <n v="0"/>
    <n v="0"/>
    <n v="0"/>
    <n v="0"/>
    <n v="0"/>
    <n v="0"/>
    <n v="0"/>
  </r>
  <r>
    <x v="2"/>
    <x v="42"/>
    <m/>
    <s v="Inox visséBouchon male  inox 316L "/>
    <m/>
    <n v="0"/>
    <m/>
    <m/>
    <m/>
    <n v="0"/>
    <m/>
    <m/>
    <m/>
    <m/>
    <m/>
    <m/>
    <n v="0"/>
    <m/>
    <m/>
    <m/>
    <m/>
    <n v="0"/>
    <n v="0"/>
    <n v="0"/>
    <n v="0"/>
    <n v="0"/>
    <n v="0"/>
    <n v="0"/>
  </r>
  <r>
    <x v="2"/>
    <x v="43"/>
    <m/>
    <s v="Inox visséClapets anti-retour inox FF"/>
    <s v="2&quot;"/>
    <n v="1"/>
    <s v="CLAPET2-316L"/>
    <m/>
    <m/>
    <n v="0"/>
    <m/>
    <m/>
    <m/>
    <m/>
    <m/>
    <m/>
    <n v="0"/>
    <m/>
    <m/>
    <m/>
    <m/>
    <n v="0"/>
    <n v="0"/>
    <n v="0"/>
    <n v="0"/>
    <n v="0"/>
    <n v="0"/>
    <n v="0"/>
  </r>
  <r>
    <x v="2"/>
    <x v="44"/>
    <m/>
    <s v="Inox visséCoude Inox fileté 90 ff 316L"/>
    <s v="1&quot;"/>
    <n v="2"/>
    <s v="90I1"/>
    <m/>
    <m/>
    <n v="0"/>
    <m/>
    <m/>
    <m/>
    <m/>
    <m/>
    <m/>
    <n v="0"/>
    <m/>
    <m/>
    <m/>
    <m/>
    <n v="0"/>
    <n v="0"/>
    <n v="0"/>
    <n v="0"/>
    <n v="0"/>
    <n v="0"/>
    <n v="0"/>
  </r>
  <r>
    <x v="2"/>
    <x v="44"/>
    <m/>
    <s v="Inox visséCoude Inox fileté 90 ff 316L"/>
    <s v="1&quot;1/2"/>
    <n v="3"/>
    <s v="90I112"/>
    <m/>
    <m/>
    <n v="0"/>
    <m/>
    <m/>
    <m/>
    <m/>
    <m/>
    <m/>
    <n v="0"/>
    <m/>
    <m/>
    <m/>
    <m/>
    <n v="0"/>
    <n v="0"/>
    <n v="0"/>
    <n v="0"/>
    <n v="0"/>
    <n v="0"/>
    <n v="0"/>
  </r>
  <r>
    <x v="2"/>
    <x v="44"/>
    <m/>
    <s v="Inox visséCoude Inox fileté 90 ff 316L"/>
    <s v="1&quot;1/4"/>
    <n v="4"/>
    <s v="90I114"/>
    <m/>
    <m/>
    <n v="0"/>
    <m/>
    <m/>
    <m/>
    <m/>
    <m/>
    <m/>
    <n v="0"/>
    <m/>
    <m/>
    <m/>
    <m/>
    <n v="0"/>
    <n v="0"/>
    <n v="0"/>
    <n v="0"/>
    <n v="0"/>
    <n v="0"/>
    <n v="0"/>
  </r>
  <r>
    <x v="2"/>
    <x v="44"/>
    <m/>
    <s v="Inox visséCoude Inox fileté 90 ff 316L"/>
    <s v=" 1/2"/>
    <n v="5"/>
    <s v="90I12"/>
    <m/>
    <m/>
    <n v="0"/>
    <m/>
    <m/>
    <m/>
    <m/>
    <m/>
    <m/>
    <n v="0"/>
    <m/>
    <m/>
    <m/>
    <m/>
    <n v="0"/>
    <n v="0"/>
    <n v="0"/>
    <n v="0"/>
    <n v="0"/>
    <n v="0"/>
    <n v="0"/>
  </r>
  <r>
    <x v="2"/>
    <x v="44"/>
    <m/>
    <s v="Inox visséCoude Inox fileté 90 ff 316L"/>
    <s v=" 1/4"/>
    <n v="6"/>
    <s v="90I14"/>
    <m/>
    <m/>
    <n v="0"/>
    <m/>
    <m/>
    <m/>
    <m/>
    <m/>
    <m/>
    <n v="0"/>
    <m/>
    <m/>
    <m/>
    <m/>
    <n v="0"/>
    <n v="0"/>
    <n v="0"/>
    <n v="0"/>
    <n v="0"/>
    <n v="0"/>
    <n v="0"/>
  </r>
  <r>
    <x v="2"/>
    <x v="44"/>
    <m/>
    <s v="Inox visséCoude Inox fileté 90 ff 316L"/>
    <s v="2&quot;"/>
    <n v="7"/>
    <s v="90I2"/>
    <m/>
    <m/>
    <n v="0"/>
    <m/>
    <m/>
    <m/>
    <m/>
    <m/>
    <m/>
    <n v="0"/>
    <m/>
    <m/>
    <m/>
    <m/>
    <n v="0"/>
    <n v="0"/>
    <n v="0"/>
    <n v="0"/>
    <n v="0"/>
    <n v="0"/>
    <n v="0"/>
  </r>
  <r>
    <x v="2"/>
    <x v="44"/>
    <m/>
    <s v="Inox visséCoude Inox fileté 90 ff 316L"/>
    <s v="2&quot;1/2"/>
    <n v="8"/>
    <s v="90I212"/>
    <m/>
    <m/>
    <n v="0"/>
    <m/>
    <m/>
    <m/>
    <m/>
    <m/>
    <m/>
    <n v="0"/>
    <m/>
    <m/>
    <m/>
    <m/>
    <n v="0"/>
    <n v="0"/>
    <n v="0"/>
    <n v="0"/>
    <n v="0"/>
    <n v="0"/>
    <n v="0"/>
  </r>
  <r>
    <x v="2"/>
    <x v="44"/>
    <m/>
    <s v="Inox visséCoude Inox fileté 90 ff 316L"/>
    <s v=" 3&quot;"/>
    <n v="9"/>
    <s v="90I3"/>
    <m/>
    <m/>
    <n v="0"/>
    <m/>
    <m/>
    <m/>
    <m/>
    <m/>
    <m/>
    <n v="0"/>
    <m/>
    <m/>
    <m/>
    <m/>
    <n v="0"/>
    <n v="0"/>
    <n v="0"/>
    <n v="0"/>
    <n v="0"/>
    <n v="0"/>
    <n v="0"/>
  </r>
  <r>
    <x v="2"/>
    <x v="44"/>
    <m/>
    <s v="Inox visséCoude Inox fileté 90 ff 316L"/>
    <s v=" 3/4"/>
    <n v="10"/>
    <s v="90I34"/>
    <m/>
    <m/>
    <n v="0"/>
    <m/>
    <m/>
    <m/>
    <m/>
    <m/>
    <m/>
    <n v="0"/>
    <m/>
    <m/>
    <m/>
    <m/>
    <n v="0"/>
    <n v="0"/>
    <n v="0"/>
    <n v="0"/>
    <n v="0"/>
    <n v="0"/>
    <n v="0"/>
  </r>
  <r>
    <x v="2"/>
    <x v="44"/>
    <m/>
    <s v="Inox visséCoude Inox fileté 90 ff 316L"/>
    <s v=" 3/8"/>
    <n v="11"/>
    <s v="90I38"/>
    <m/>
    <m/>
    <n v="0"/>
    <m/>
    <m/>
    <m/>
    <m/>
    <m/>
    <m/>
    <n v="0"/>
    <m/>
    <m/>
    <m/>
    <m/>
    <n v="0"/>
    <n v="0"/>
    <n v="0"/>
    <n v="0"/>
    <n v="0"/>
    <n v="0"/>
    <n v="0"/>
  </r>
  <r>
    <x v="2"/>
    <x v="44"/>
    <m/>
    <s v="Inox visséCoude Inox fileté 90 ff 316L"/>
    <m/>
    <n v="0"/>
    <m/>
    <m/>
    <m/>
    <n v="0"/>
    <m/>
    <m/>
    <m/>
    <m/>
    <m/>
    <m/>
    <n v="0"/>
    <m/>
    <m/>
    <m/>
    <m/>
    <n v="0"/>
    <n v="0"/>
    <n v="0"/>
    <n v="0"/>
    <n v="0"/>
    <n v="0"/>
    <n v="0"/>
  </r>
  <r>
    <x v="2"/>
    <x v="45"/>
    <m/>
    <s v="Inox visséCoudes Inox fileté 92 mf 316L"/>
    <s v="1&quot;"/>
    <n v="1"/>
    <s v="92I1"/>
    <m/>
    <m/>
    <n v="0"/>
    <m/>
    <m/>
    <m/>
    <m/>
    <m/>
    <m/>
    <n v="0"/>
    <m/>
    <m/>
    <m/>
    <m/>
    <n v="0"/>
    <n v="0"/>
    <n v="0"/>
    <n v="0"/>
    <n v="0"/>
    <n v="0"/>
    <n v="0"/>
  </r>
  <r>
    <x v="2"/>
    <x v="45"/>
    <m/>
    <s v="Inox visséCoudes Inox fileté 92 mf 316L"/>
    <s v="1&quot;1/2"/>
    <n v="2"/>
    <s v="92I112"/>
    <m/>
    <m/>
    <n v="0"/>
    <m/>
    <m/>
    <m/>
    <m/>
    <m/>
    <m/>
    <n v="0"/>
    <m/>
    <m/>
    <m/>
    <m/>
    <n v="0"/>
    <n v="0"/>
    <n v="0"/>
    <n v="0"/>
    <n v="0"/>
    <n v="0"/>
    <n v="0"/>
  </r>
  <r>
    <x v="2"/>
    <x v="45"/>
    <m/>
    <s v="Inox visséCoudes Inox fileté 92 mf 316L"/>
    <s v="1&quot;1/4"/>
    <n v="3"/>
    <s v="92I114"/>
    <m/>
    <m/>
    <n v="0"/>
    <m/>
    <m/>
    <m/>
    <m/>
    <m/>
    <m/>
    <n v="0"/>
    <m/>
    <m/>
    <m/>
    <m/>
    <n v="0"/>
    <n v="0"/>
    <n v="0"/>
    <n v="0"/>
    <n v="0"/>
    <n v="0"/>
    <n v="0"/>
  </r>
  <r>
    <x v="2"/>
    <x v="45"/>
    <m/>
    <s v="Inox visséCoudes Inox fileté 92 mf 316L"/>
    <s v=" 1/2"/>
    <n v="4"/>
    <s v="92I12"/>
    <m/>
    <m/>
    <n v="0"/>
    <m/>
    <m/>
    <m/>
    <m/>
    <m/>
    <m/>
    <n v="0"/>
    <m/>
    <m/>
    <m/>
    <m/>
    <n v="0"/>
    <n v="0"/>
    <n v="0"/>
    <n v="0"/>
    <n v="0"/>
    <n v="0"/>
    <n v="0"/>
  </r>
  <r>
    <x v="2"/>
    <x v="45"/>
    <m/>
    <s v="Inox visséCoudes Inox fileté 92 mf 316L"/>
    <s v=" 1/4"/>
    <n v="5"/>
    <s v="92I14"/>
    <m/>
    <m/>
    <n v="0"/>
    <m/>
    <m/>
    <m/>
    <m/>
    <m/>
    <m/>
    <n v="0"/>
    <m/>
    <m/>
    <m/>
    <m/>
    <n v="0"/>
    <n v="0"/>
    <n v="0"/>
    <n v="0"/>
    <n v="0"/>
    <n v="0"/>
    <n v="0"/>
  </r>
  <r>
    <x v="2"/>
    <x v="45"/>
    <m/>
    <s v="Inox visséCoudes Inox fileté 92 mf 316L"/>
    <s v="2&quot;"/>
    <n v="6"/>
    <s v="92I2"/>
    <m/>
    <m/>
    <n v="0"/>
    <m/>
    <m/>
    <m/>
    <m/>
    <m/>
    <m/>
    <n v="0"/>
    <m/>
    <m/>
    <m/>
    <m/>
    <n v="0"/>
    <n v="0"/>
    <n v="0"/>
    <n v="0"/>
    <n v="0"/>
    <n v="0"/>
    <n v="0"/>
  </r>
  <r>
    <x v="2"/>
    <x v="45"/>
    <m/>
    <s v="Inox visséCoudes Inox fileté 92 mf 316L"/>
    <s v="2&quot;1/2"/>
    <n v="7"/>
    <s v="92I212"/>
    <m/>
    <m/>
    <n v="0"/>
    <m/>
    <m/>
    <m/>
    <m/>
    <m/>
    <m/>
    <n v="0"/>
    <m/>
    <m/>
    <m/>
    <m/>
    <n v="0"/>
    <n v="0"/>
    <n v="0"/>
    <n v="0"/>
    <n v="0"/>
    <n v="0"/>
    <n v="0"/>
  </r>
  <r>
    <x v="2"/>
    <x v="45"/>
    <m/>
    <s v="Inox visséCoudes Inox fileté 92 mf 316L"/>
    <s v=" 3&quot;"/>
    <n v="8"/>
    <s v="92I3"/>
    <m/>
    <m/>
    <n v="0"/>
    <m/>
    <m/>
    <m/>
    <m/>
    <m/>
    <m/>
    <n v="0"/>
    <m/>
    <m/>
    <m/>
    <m/>
    <n v="0"/>
    <n v="0"/>
    <n v="0"/>
    <n v="0"/>
    <n v="0"/>
    <n v="0"/>
    <n v="0"/>
  </r>
  <r>
    <x v="2"/>
    <x v="45"/>
    <m/>
    <s v="Inox visséCoudes Inox fileté 92 mf 316L"/>
    <s v=" 3/4"/>
    <n v="9"/>
    <s v="92I34"/>
    <m/>
    <m/>
    <n v="0"/>
    <m/>
    <m/>
    <m/>
    <m/>
    <m/>
    <m/>
    <n v="0"/>
    <m/>
    <m/>
    <m/>
    <m/>
    <n v="0"/>
    <n v="0"/>
    <n v="0"/>
    <n v="0"/>
    <n v="0"/>
    <n v="0"/>
    <n v="0"/>
  </r>
  <r>
    <x v="2"/>
    <x v="45"/>
    <m/>
    <s v="Inox visséCoudes Inox fileté 92 mf 316L"/>
    <s v=" 3/8"/>
    <n v="10"/>
    <s v="92I38"/>
    <m/>
    <m/>
    <n v="0"/>
    <m/>
    <m/>
    <m/>
    <m/>
    <m/>
    <m/>
    <n v="0"/>
    <m/>
    <m/>
    <m/>
    <m/>
    <n v="0"/>
    <n v="0"/>
    <n v="0"/>
    <n v="0"/>
    <n v="0"/>
    <n v="0"/>
    <n v="0"/>
  </r>
  <r>
    <x v="2"/>
    <x v="45"/>
    <m/>
    <s v="Inox visséCoudes Inox fileté 92 mf 316L"/>
    <m/>
    <n v="0"/>
    <m/>
    <m/>
    <m/>
    <n v="0"/>
    <m/>
    <m/>
    <m/>
    <m/>
    <m/>
    <m/>
    <n v="0"/>
    <m/>
    <m/>
    <m/>
    <m/>
    <n v="0"/>
    <n v="0"/>
    <n v="0"/>
    <n v="0"/>
    <n v="0"/>
    <n v="0"/>
    <n v="0"/>
  </r>
  <r>
    <x v="2"/>
    <x v="46"/>
    <m/>
    <s v="Inox visséMamelons  Inox fileté 316 L / 280I"/>
    <s v="Mamelon inox316L fileté 1&quot;"/>
    <n v="1"/>
    <s v="280I1"/>
    <m/>
    <m/>
    <n v="0"/>
    <m/>
    <m/>
    <m/>
    <m/>
    <m/>
    <m/>
    <n v="0"/>
    <m/>
    <m/>
    <m/>
    <m/>
    <n v="0"/>
    <n v="0"/>
    <n v="0"/>
    <n v="0"/>
    <n v="0"/>
    <n v="0"/>
    <n v="0"/>
  </r>
  <r>
    <x v="2"/>
    <x v="46"/>
    <m/>
    <s v="Inox visséMamelons  Inox fileté 316 L / 280I"/>
    <s v="Mamelon inox316L fileté 1&quot;1/2"/>
    <n v="2"/>
    <s v="280I112"/>
    <m/>
    <m/>
    <n v="0"/>
    <m/>
    <m/>
    <m/>
    <m/>
    <m/>
    <m/>
    <n v="0"/>
    <m/>
    <m/>
    <m/>
    <m/>
    <n v="0"/>
    <n v="0"/>
    <n v="0"/>
    <n v="0"/>
    <n v="0"/>
    <n v="0"/>
    <n v="0"/>
  </r>
  <r>
    <x v="2"/>
    <x v="46"/>
    <m/>
    <s v="Inox visséMamelons  Inox fileté 316 L / 280I"/>
    <s v="Mamelon inox316L fileté 1&quot;1/4"/>
    <n v="3"/>
    <s v="280I114"/>
    <m/>
    <m/>
    <n v="0"/>
    <m/>
    <m/>
    <m/>
    <m/>
    <m/>
    <m/>
    <n v="0"/>
    <m/>
    <m/>
    <m/>
    <m/>
    <n v="0"/>
    <n v="0"/>
    <n v="0"/>
    <n v="0"/>
    <n v="0"/>
    <n v="0"/>
    <n v="0"/>
  </r>
  <r>
    <x v="2"/>
    <x v="46"/>
    <m/>
    <s v="Inox visséMamelons  Inox fileté 316 L / 280I"/>
    <s v="Mamelon inox316L fileté 1/2&quot;"/>
    <n v="4"/>
    <s v="280I12"/>
    <m/>
    <m/>
    <n v="0"/>
    <m/>
    <m/>
    <m/>
    <m/>
    <m/>
    <m/>
    <n v="0"/>
    <m/>
    <m/>
    <m/>
    <m/>
    <n v="0"/>
    <n v="0"/>
    <n v="0"/>
    <n v="0"/>
    <n v="0"/>
    <n v="0"/>
    <n v="0"/>
  </r>
  <r>
    <x v="2"/>
    <x v="46"/>
    <m/>
    <s v="Inox visséMamelons  Inox fileté 316 L / 280I"/>
    <s v="Mamelon inox316L fileté 1/4&quot;"/>
    <n v="5"/>
    <s v="280I14"/>
    <m/>
    <m/>
    <n v="0"/>
    <m/>
    <m/>
    <m/>
    <m/>
    <m/>
    <m/>
    <n v="0"/>
    <m/>
    <m/>
    <m/>
    <m/>
    <n v="0"/>
    <n v="0"/>
    <n v="0"/>
    <n v="0"/>
    <n v="0"/>
    <n v="0"/>
    <n v="0"/>
  </r>
  <r>
    <x v="2"/>
    <x v="46"/>
    <m/>
    <s v="Inox visséMamelons  Inox fileté 316 L / 280I"/>
    <s v="Mamelon inox316L fileté 1/8&quot;"/>
    <n v="6"/>
    <s v="280I18"/>
    <m/>
    <m/>
    <n v="0"/>
    <m/>
    <m/>
    <m/>
    <m/>
    <m/>
    <m/>
    <n v="0"/>
    <m/>
    <m/>
    <m/>
    <m/>
    <n v="0"/>
    <n v="0"/>
    <n v="0"/>
    <n v="0"/>
    <n v="0"/>
    <n v="0"/>
    <n v="0"/>
  </r>
  <r>
    <x v="2"/>
    <x v="46"/>
    <m/>
    <s v="Inox visséMamelons  Inox fileté 316 L / 280I"/>
    <s v="Mamelon inox316L fileté 2&quot;"/>
    <n v="7"/>
    <s v="280I2"/>
    <m/>
    <m/>
    <n v="0"/>
    <m/>
    <m/>
    <m/>
    <m/>
    <m/>
    <m/>
    <n v="0"/>
    <m/>
    <m/>
    <m/>
    <m/>
    <n v="0"/>
    <n v="0"/>
    <n v="0"/>
    <n v="0"/>
    <n v="0"/>
    <n v="0"/>
    <n v="0"/>
  </r>
  <r>
    <x v="2"/>
    <x v="46"/>
    <m/>
    <s v="Inox visséMamelons  Inox fileté 316 L / 280I"/>
    <s v="Mamelon inox316L fileté 2&quot;1/2"/>
    <n v="8"/>
    <s v="280I212"/>
    <m/>
    <m/>
    <n v="0"/>
    <m/>
    <m/>
    <m/>
    <m/>
    <m/>
    <m/>
    <n v="0"/>
    <m/>
    <m/>
    <m/>
    <m/>
    <n v="0"/>
    <n v="0"/>
    <n v="0"/>
    <n v="0"/>
    <n v="0"/>
    <n v="0"/>
    <n v="0"/>
  </r>
  <r>
    <x v="2"/>
    <x v="46"/>
    <m/>
    <s v="Inox visséMamelons  Inox fileté 316 L / 280I"/>
    <s v="Mamelon inox316L fileté 3&quot;"/>
    <n v="9"/>
    <s v="280I3"/>
    <m/>
    <m/>
    <n v="0"/>
    <m/>
    <m/>
    <m/>
    <m/>
    <m/>
    <m/>
    <n v="0"/>
    <m/>
    <m/>
    <m/>
    <m/>
    <n v="0"/>
    <n v="0"/>
    <n v="0"/>
    <n v="0"/>
    <n v="0"/>
    <n v="0"/>
    <n v="0"/>
  </r>
  <r>
    <x v="2"/>
    <x v="46"/>
    <m/>
    <s v="Inox visséMamelons  Inox fileté 316 L / 280I"/>
    <s v="Mamelon inox316L fileté 3/4&quot;"/>
    <n v="10"/>
    <s v="280I34"/>
    <m/>
    <m/>
    <n v="0"/>
    <m/>
    <m/>
    <m/>
    <m/>
    <m/>
    <m/>
    <n v="0"/>
    <m/>
    <m/>
    <m/>
    <m/>
    <n v="0"/>
    <n v="0"/>
    <n v="0"/>
    <n v="0"/>
    <n v="0"/>
    <n v="0"/>
    <n v="0"/>
  </r>
  <r>
    <x v="2"/>
    <x v="46"/>
    <m/>
    <s v="Inox visséMamelons  Inox fileté 316 L / 280I"/>
    <s v="Mamelon inox316L fileté 3/8&quot;"/>
    <n v="11"/>
    <s v="280I38"/>
    <m/>
    <m/>
    <n v="0"/>
    <m/>
    <m/>
    <m/>
    <m/>
    <m/>
    <m/>
    <n v="0"/>
    <m/>
    <m/>
    <m/>
    <m/>
    <n v="0"/>
    <n v="0"/>
    <n v="0"/>
    <n v="0"/>
    <n v="0"/>
    <n v="0"/>
    <n v="0"/>
  </r>
  <r>
    <x v="2"/>
    <x v="46"/>
    <m/>
    <s v="Inox visséMamelons  Inox fileté 316 L / 280I"/>
    <s v="Mamelon inox316L fileté 4&quot;"/>
    <n v="12"/>
    <s v="280I4"/>
    <m/>
    <m/>
    <n v="0"/>
    <m/>
    <m/>
    <m/>
    <m/>
    <m/>
    <m/>
    <n v="0"/>
    <m/>
    <m/>
    <m/>
    <m/>
    <n v="0"/>
    <n v="0"/>
    <n v="0"/>
    <n v="0"/>
    <n v="0"/>
    <n v="0"/>
    <n v="0"/>
  </r>
  <r>
    <x v="2"/>
    <x v="46"/>
    <m/>
    <s v="Inox visséMamelons  Inox fileté 316 L / 280I"/>
    <m/>
    <n v="0"/>
    <m/>
    <m/>
    <m/>
    <n v="0"/>
    <m/>
    <m/>
    <m/>
    <m/>
    <m/>
    <m/>
    <n v="0"/>
    <m/>
    <m/>
    <m/>
    <m/>
    <n v="0"/>
    <n v="0"/>
    <n v="0"/>
    <n v="0"/>
    <n v="0"/>
    <n v="0"/>
    <n v="0"/>
  </r>
  <r>
    <x v="2"/>
    <x v="47"/>
    <m/>
    <s v="Inox visséMamelons réduits inox 316L MM 245"/>
    <s v="1&quot;-1/2"/>
    <n v="1"/>
    <s v="245I112"/>
    <m/>
    <m/>
    <n v="0"/>
    <m/>
    <m/>
    <m/>
    <m/>
    <m/>
    <m/>
    <n v="0"/>
    <m/>
    <m/>
    <m/>
    <m/>
    <n v="0"/>
    <n v="0"/>
    <n v="0"/>
    <n v="0"/>
    <n v="0"/>
    <n v="0"/>
    <n v="0"/>
  </r>
  <r>
    <x v="2"/>
    <x v="47"/>
    <m/>
    <s v="Inox visséMamelons réduits inox 316L MM 245"/>
    <s v="1&quot;1/2-1&quot;"/>
    <n v="2"/>
    <s v="245I1121"/>
    <m/>
    <m/>
    <n v="0"/>
    <m/>
    <m/>
    <m/>
    <m/>
    <m/>
    <m/>
    <n v="0"/>
    <m/>
    <m/>
    <m/>
    <m/>
    <n v="0"/>
    <n v="0"/>
    <n v="0"/>
    <n v="0"/>
    <n v="0"/>
    <n v="0"/>
    <n v="0"/>
  </r>
  <r>
    <x v="2"/>
    <x v="47"/>
    <m/>
    <s v="Inox visséMamelons réduits inox 316L MM 245"/>
    <s v="1&quot;1/2-1&quot;1/4"/>
    <n v="3"/>
    <s v="245I112114"/>
    <m/>
    <m/>
    <n v="0"/>
    <m/>
    <m/>
    <m/>
    <m/>
    <m/>
    <m/>
    <n v="0"/>
    <m/>
    <m/>
    <m/>
    <m/>
    <n v="0"/>
    <n v="0"/>
    <n v="0"/>
    <n v="0"/>
    <n v="0"/>
    <n v="0"/>
    <n v="0"/>
  </r>
  <r>
    <x v="2"/>
    <x v="47"/>
    <m/>
    <s v="Inox visséMamelons réduits inox 316L MM 245"/>
    <s v="1&quot;1/4-1&quot;"/>
    <n v="4"/>
    <s v="245I1141"/>
    <m/>
    <m/>
    <n v="0"/>
    <m/>
    <m/>
    <m/>
    <m/>
    <m/>
    <m/>
    <n v="0"/>
    <m/>
    <m/>
    <m/>
    <m/>
    <n v="0"/>
    <n v="0"/>
    <n v="0"/>
    <n v="0"/>
    <n v="0"/>
    <n v="0"/>
    <n v="0"/>
  </r>
  <r>
    <x v="2"/>
    <x v="47"/>
    <m/>
    <s v="Inox visséMamelons réduits inox 316L MM 245"/>
    <s v="1&quot;1/4-3/4"/>
    <n v="5"/>
    <s v="245I11434"/>
    <m/>
    <m/>
    <n v="0"/>
    <m/>
    <m/>
    <m/>
    <m/>
    <m/>
    <m/>
    <n v="0"/>
    <m/>
    <m/>
    <m/>
    <m/>
    <n v="0"/>
    <n v="0"/>
    <n v="0"/>
    <n v="0"/>
    <n v="0"/>
    <n v="0"/>
    <n v="0"/>
  </r>
  <r>
    <x v="2"/>
    <x v="47"/>
    <m/>
    <s v="Inox visséMamelons réduits inox 316L MM 245"/>
    <s v="1/2-3/8"/>
    <n v="6"/>
    <s v="245I1238"/>
    <m/>
    <m/>
    <n v="0"/>
    <m/>
    <m/>
    <m/>
    <m/>
    <m/>
    <m/>
    <n v="0"/>
    <m/>
    <m/>
    <m/>
    <m/>
    <n v="0"/>
    <n v="0"/>
    <n v="0"/>
    <n v="0"/>
    <n v="0"/>
    <n v="0"/>
    <n v="0"/>
  </r>
  <r>
    <x v="2"/>
    <x v="47"/>
    <m/>
    <s v="Inox visséMamelons réduits inox 316L MM 245"/>
    <s v="1&quot;-3/4"/>
    <n v="7"/>
    <s v="245I134"/>
    <m/>
    <m/>
    <n v="0"/>
    <m/>
    <m/>
    <m/>
    <m/>
    <m/>
    <m/>
    <n v="0"/>
    <m/>
    <m/>
    <m/>
    <m/>
    <n v="0"/>
    <n v="0"/>
    <n v="0"/>
    <n v="0"/>
    <n v="0"/>
    <n v="0"/>
    <n v="0"/>
  </r>
  <r>
    <x v="2"/>
    <x v="47"/>
    <m/>
    <s v="Inox visséMamelons réduits inox 316L MM 245"/>
    <s v="2&quot;-1&quot;1/4"/>
    <n v="8"/>
    <s v="245I2114"/>
    <m/>
    <m/>
    <n v="0"/>
    <m/>
    <m/>
    <m/>
    <m/>
    <m/>
    <m/>
    <n v="0"/>
    <m/>
    <m/>
    <m/>
    <m/>
    <n v="0"/>
    <n v="0"/>
    <n v="0"/>
    <n v="0"/>
    <n v="0"/>
    <n v="0"/>
    <n v="0"/>
  </r>
  <r>
    <x v="2"/>
    <x v="47"/>
    <m/>
    <s v="Inox visséMamelons réduits inox 316L MM 245"/>
    <s v="3/4-1/2"/>
    <n v="9"/>
    <s v="245I3412"/>
    <m/>
    <m/>
    <n v="0"/>
    <m/>
    <m/>
    <m/>
    <m/>
    <m/>
    <m/>
    <n v="0"/>
    <m/>
    <m/>
    <m/>
    <m/>
    <n v="0"/>
    <n v="0"/>
    <n v="0"/>
    <n v="0"/>
    <n v="0"/>
    <n v="0"/>
    <n v="0"/>
  </r>
  <r>
    <x v="2"/>
    <x v="47"/>
    <m/>
    <s v="Inox visséMamelons réduits inox 316L MM 245"/>
    <s v="3/4-3/8"/>
    <n v="10"/>
    <s v="245I3438"/>
    <m/>
    <m/>
    <n v="0"/>
    <m/>
    <m/>
    <m/>
    <m/>
    <m/>
    <m/>
    <n v="0"/>
    <m/>
    <m/>
    <m/>
    <m/>
    <n v="0"/>
    <n v="0"/>
    <n v="0"/>
    <n v="0"/>
    <n v="0"/>
    <n v="0"/>
    <n v="0"/>
  </r>
  <r>
    <x v="2"/>
    <x v="47"/>
    <m/>
    <s v="Inox visséMamelons réduits inox 316L MM 245"/>
    <s v="3/8 1/4"/>
    <n v="11"/>
    <s v="245I3814"/>
    <m/>
    <m/>
    <n v="0"/>
    <m/>
    <m/>
    <m/>
    <m/>
    <m/>
    <m/>
    <n v="0"/>
    <m/>
    <m/>
    <m/>
    <m/>
    <n v="0"/>
    <n v="0"/>
    <n v="0"/>
    <n v="0"/>
    <n v="0"/>
    <n v="0"/>
    <n v="0"/>
  </r>
  <r>
    <x v="2"/>
    <x v="47"/>
    <m/>
    <s v="Inox visséMamelons réduits inox 316L MM 245"/>
    <m/>
    <n v="0"/>
    <m/>
    <m/>
    <m/>
    <n v="0"/>
    <m/>
    <m/>
    <m/>
    <m/>
    <m/>
    <m/>
    <n v="0"/>
    <m/>
    <m/>
    <m/>
    <m/>
    <n v="0"/>
    <n v="0"/>
    <n v="0"/>
    <n v="0"/>
    <n v="0"/>
    <n v="0"/>
    <n v="0"/>
  </r>
  <r>
    <x v="2"/>
    <x v="48"/>
    <m/>
    <s v="Inox visséManchons  Fileté inox  316L FF 270"/>
    <s v="2&quot;1/2"/>
    <n v="1"/>
    <s v="270I212"/>
    <m/>
    <m/>
    <n v="0"/>
    <m/>
    <m/>
    <m/>
    <m/>
    <m/>
    <m/>
    <n v="0"/>
    <m/>
    <m/>
    <m/>
    <m/>
    <n v="0"/>
    <n v="0"/>
    <n v="0"/>
    <n v="0"/>
    <n v="0"/>
    <n v="0"/>
    <n v="0"/>
  </r>
  <r>
    <x v="2"/>
    <x v="48"/>
    <m/>
    <s v="Inox visséManchons  Fileté inox  316L FF 270"/>
    <s v=" 3&quot;"/>
    <n v="2"/>
    <s v="270I3"/>
    <m/>
    <m/>
    <n v="0"/>
    <m/>
    <m/>
    <m/>
    <m/>
    <m/>
    <m/>
    <n v="0"/>
    <m/>
    <m/>
    <m/>
    <m/>
    <n v="0"/>
    <n v="0"/>
    <n v="0"/>
    <n v="0"/>
    <n v="0"/>
    <n v="0"/>
    <n v="0"/>
  </r>
  <r>
    <x v="2"/>
    <x v="48"/>
    <m/>
    <s v="Inox visséManchons  Fileté inox  316L FF 270"/>
    <s v="1&quot;"/>
    <n v="3"/>
    <s v="270I3161"/>
    <m/>
    <m/>
    <n v="0"/>
    <m/>
    <m/>
    <m/>
    <m/>
    <m/>
    <m/>
    <n v="0"/>
    <m/>
    <m/>
    <m/>
    <s v="Idem 270I26 / 270I1 ?"/>
    <n v="0"/>
    <n v="0"/>
    <n v="0"/>
    <n v="0"/>
    <n v="0"/>
    <n v="0"/>
    <n v="0"/>
  </r>
  <r>
    <x v="2"/>
    <x v="48"/>
    <m/>
    <s v="Inox visséManchons  Fileté inox  316L FF 270"/>
    <s v="1&quot;1/2"/>
    <n v="4"/>
    <s v="270I316112"/>
    <m/>
    <m/>
    <n v="0"/>
    <m/>
    <m/>
    <m/>
    <m/>
    <m/>
    <m/>
    <n v="0"/>
    <m/>
    <m/>
    <m/>
    <m/>
    <n v="0"/>
    <n v="0"/>
    <n v="0"/>
    <n v="0"/>
    <n v="0"/>
    <n v="0"/>
    <n v="0"/>
  </r>
  <r>
    <x v="2"/>
    <x v="48"/>
    <m/>
    <s v="Inox visséManchons  Fileté inox  316L FF 270"/>
    <s v="1&quot;1/4"/>
    <n v="5"/>
    <s v="270I316114"/>
    <m/>
    <m/>
    <n v="0"/>
    <m/>
    <m/>
    <m/>
    <m/>
    <m/>
    <m/>
    <n v="0"/>
    <m/>
    <m/>
    <m/>
    <s v="Idem 270I114 ?"/>
    <n v="0"/>
    <n v="0"/>
    <n v="0"/>
    <n v="0"/>
    <n v="0"/>
    <n v="0"/>
    <n v="0"/>
  </r>
  <r>
    <x v="2"/>
    <x v="48"/>
    <m/>
    <s v="Inox visséManchons  Fileté inox  316L FF 270"/>
    <s v=" 1/2"/>
    <n v="6"/>
    <s v="270I31612"/>
    <m/>
    <m/>
    <n v="0"/>
    <m/>
    <m/>
    <m/>
    <m/>
    <m/>
    <m/>
    <n v="0"/>
    <m/>
    <m/>
    <m/>
    <s v="Idem MFI12 ?"/>
    <n v="0"/>
    <n v="0"/>
    <n v="0"/>
    <n v="0"/>
    <n v="0"/>
    <n v="0"/>
    <n v="0"/>
  </r>
  <r>
    <x v="2"/>
    <x v="48"/>
    <m/>
    <s v="Inox visséManchons  Fileté inox  316L FF 270"/>
    <s v=" 1/4"/>
    <n v="7"/>
    <s v="270I31614"/>
    <m/>
    <m/>
    <n v="0"/>
    <m/>
    <m/>
    <m/>
    <m/>
    <m/>
    <m/>
    <n v="0"/>
    <m/>
    <m/>
    <m/>
    <s v="Idem 270I14 ?"/>
    <n v="0"/>
    <n v="0"/>
    <n v="0"/>
    <n v="0"/>
    <n v="0"/>
    <n v="0"/>
    <n v="0"/>
  </r>
  <r>
    <x v="2"/>
    <x v="48"/>
    <m/>
    <s v="Inox visséManchons  Fileté inox  316L FF 270"/>
    <s v=" 1/8"/>
    <n v="8"/>
    <s v="270I31618"/>
    <m/>
    <m/>
    <n v="0"/>
    <m/>
    <m/>
    <m/>
    <m/>
    <m/>
    <m/>
    <n v="0"/>
    <m/>
    <m/>
    <m/>
    <m/>
    <n v="0"/>
    <n v="0"/>
    <n v="0"/>
    <n v="0"/>
    <n v="0"/>
    <n v="0"/>
    <n v="0"/>
  </r>
  <r>
    <x v="2"/>
    <x v="48"/>
    <m/>
    <s v="Inox visséManchons  Fileté inox  316L FF 270"/>
    <s v=" 3/8"/>
    <n v="9"/>
    <s v="270I31638"/>
    <m/>
    <m/>
    <n v="0"/>
    <m/>
    <m/>
    <m/>
    <m/>
    <m/>
    <m/>
    <n v="0"/>
    <m/>
    <m/>
    <m/>
    <m/>
    <n v="0"/>
    <n v="0"/>
    <n v="0"/>
    <n v="0"/>
    <n v="0"/>
    <n v="0"/>
    <n v="0"/>
  </r>
  <r>
    <x v="2"/>
    <x v="48"/>
    <m/>
    <s v="Inox visséManchons  Fileté inox  316L FF 270"/>
    <s v="2&quot;"/>
    <n v="10"/>
    <s v="MFI.2"/>
    <m/>
    <m/>
    <n v="0"/>
    <m/>
    <m/>
    <m/>
    <m/>
    <m/>
    <m/>
    <n v="0"/>
    <m/>
    <m/>
    <m/>
    <s v="Idem 270I2 ?"/>
    <n v="0"/>
    <n v="0"/>
    <n v="0"/>
    <n v="0"/>
    <n v="0"/>
    <n v="0"/>
    <n v="0"/>
  </r>
  <r>
    <x v="2"/>
    <x v="48"/>
    <m/>
    <s v="Inox visséManchons  Fileté inox  316L FF 270"/>
    <s v=" 3/4"/>
    <n v="11"/>
    <s v="MFI34"/>
    <m/>
    <m/>
    <n v="0"/>
    <m/>
    <m/>
    <m/>
    <m/>
    <m/>
    <m/>
    <n v="0"/>
    <m/>
    <m/>
    <m/>
    <s v="Idem 270I34 ?"/>
    <n v="0"/>
    <n v="0"/>
    <n v="0"/>
    <n v="0"/>
    <n v="0"/>
    <n v="0"/>
    <n v="0"/>
  </r>
  <r>
    <x v="2"/>
    <x v="48"/>
    <m/>
    <s v="Inox visséManchons  Fileté inox  316L FF 270"/>
    <m/>
    <n v="0"/>
    <m/>
    <m/>
    <m/>
    <n v="0"/>
    <m/>
    <m/>
    <m/>
    <m/>
    <m/>
    <m/>
    <n v="0"/>
    <m/>
    <m/>
    <m/>
    <m/>
    <n v="0"/>
    <n v="0"/>
    <n v="0"/>
    <n v="0"/>
    <n v="0"/>
    <n v="0"/>
    <n v="0"/>
  </r>
  <r>
    <x v="2"/>
    <x v="49"/>
    <m/>
    <s v="Inox visséRéductions   MF inox 316 L filété  241 "/>
    <s v="1&quot;1/2 1&quot;"/>
    <n v="1"/>
    <s v="241I1121"/>
    <m/>
    <m/>
    <n v="0"/>
    <m/>
    <m/>
    <m/>
    <m/>
    <m/>
    <m/>
    <n v="0"/>
    <m/>
    <m/>
    <m/>
    <m/>
    <n v="0"/>
    <n v="0"/>
    <n v="0"/>
    <n v="0"/>
    <n v="0"/>
    <n v="0"/>
    <n v="0"/>
  </r>
  <r>
    <x v="2"/>
    <x v="49"/>
    <m/>
    <s v="Inox visséRéductions   MF inox 316 L filété  241 "/>
    <s v="1&quot;1/2 1&quot;1/4"/>
    <n v="2"/>
    <s v="241I112114"/>
    <m/>
    <m/>
    <n v="0"/>
    <m/>
    <m/>
    <m/>
    <m/>
    <m/>
    <m/>
    <n v="0"/>
    <m/>
    <m/>
    <m/>
    <m/>
    <n v="0"/>
    <n v="0"/>
    <n v="0"/>
    <n v="0"/>
    <n v="0"/>
    <n v="0"/>
    <n v="0"/>
  </r>
  <r>
    <x v="2"/>
    <x v="49"/>
    <m/>
    <s v="Inox visséRéductions   MF inox 316 L filété  241 "/>
    <s v="1&quot;1/2 1/2"/>
    <n v="3"/>
    <s v="241I11212"/>
    <m/>
    <m/>
    <n v="0"/>
    <m/>
    <m/>
    <m/>
    <m/>
    <m/>
    <m/>
    <n v="0"/>
    <m/>
    <m/>
    <m/>
    <m/>
    <n v="0"/>
    <n v="0"/>
    <n v="0"/>
    <n v="0"/>
    <n v="0"/>
    <n v="0"/>
    <n v="0"/>
  </r>
  <r>
    <x v="2"/>
    <x v="49"/>
    <m/>
    <s v="Inox visséRéductions   MF inox 316 L filété  241 "/>
    <s v="1&quot;1/2 3/4"/>
    <n v="4"/>
    <s v="241I11234"/>
    <m/>
    <m/>
    <n v="0"/>
    <m/>
    <m/>
    <m/>
    <m/>
    <m/>
    <m/>
    <n v="0"/>
    <m/>
    <m/>
    <m/>
    <m/>
    <n v="0"/>
    <n v="0"/>
    <n v="0"/>
    <n v="0"/>
    <n v="0"/>
    <n v="0"/>
    <n v="0"/>
  </r>
  <r>
    <x v="2"/>
    <x v="49"/>
    <m/>
    <s v="Inox visséRéductions   MF inox 316 L filété  241 "/>
    <s v="1&quot; 1/4&quot;"/>
    <n v="5"/>
    <s v="241I114"/>
    <m/>
    <m/>
    <n v="0"/>
    <m/>
    <m/>
    <m/>
    <m/>
    <m/>
    <m/>
    <n v="0"/>
    <m/>
    <m/>
    <m/>
    <m/>
    <n v="0"/>
    <n v="0"/>
    <n v="0"/>
    <n v="0"/>
    <n v="0"/>
    <n v="0"/>
    <n v="0"/>
  </r>
  <r>
    <x v="2"/>
    <x v="49"/>
    <m/>
    <s v="Inox visséRéductions   MF inox 316 L filété  241 "/>
    <s v="1&quot;1/4 1&quot;"/>
    <n v="6"/>
    <s v="241I1141"/>
    <m/>
    <m/>
    <n v="0"/>
    <m/>
    <m/>
    <m/>
    <m/>
    <m/>
    <m/>
    <n v="0"/>
    <m/>
    <m/>
    <m/>
    <m/>
    <n v="0"/>
    <n v="0"/>
    <n v="0"/>
    <n v="0"/>
    <n v="0"/>
    <n v="0"/>
    <n v="0"/>
  </r>
  <r>
    <x v="2"/>
    <x v="49"/>
    <m/>
    <s v="Inox visséRéductions   MF inox 316 L filété  241 "/>
    <s v="1&quot;1/4 1/2"/>
    <n v="7"/>
    <s v="241I11412"/>
    <m/>
    <m/>
    <n v="0"/>
    <m/>
    <m/>
    <m/>
    <m/>
    <m/>
    <m/>
    <n v="0"/>
    <m/>
    <m/>
    <m/>
    <m/>
    <n v="0"/>
    <n v="0"/>
    <n v="0"/>
    <n v="0"/>
    <n v="0"/>
    <n v="0"/>
    <n v="0"/>
  </r>
  <r>
    <x v="2"/>
    <x v="49"/>
    <m/>
    <s v="Inox visséRéductions   MF inox 316 L filété  241 "/>
    <s v="1&quot;1/4 3/4"/>
    <n v="8"/>
    <s v="241I11434"/>
    <m/>
    <m/>
    <n v="0"/>
    <m/>
    <m/>
    <m/>
    <m/>
    <m/>
    <m/>
    <n v="0"/>
    <m/>
    <m/>
    <m/>
    <m/>
    <n v="0"/>
    <n v="0"/>
    <n v="0"/>
    <n v="0"/>
    <n v="0"/>
    <n v="0"/>
    <n v="0"/>
  </r>
  <r>
    <x v="2"/>
    <x v="49"/>
    <m/>
    <s v="Inox visséRéductions   MF inox 316 L filété  241 "/>
    <s v=" 1/2 1/4"/>
    <n v="9"/>
    <s v="241I1214"/>
    <m/>
    <m/>
    <n v="0"/>
    <m/>
    <m/>
    <m/>
    <m/>
    <m/>
    <m/>
    <n v="0"/>
    <m/>
    <m/>
    <m/>
    <m/>
    <n v="0"/>
    <n v="0"/>
    <n v="0"/>
    <n v="0"/>
    <n v="0"/>
    <n v="0"/>
    <n v="0"/>
  </r>
  <r>
    <x v="2"/>
    <x v="49"/>
    <m/>
    <s v="Inox visséRéductions   MF inox 316 L filété  241 "/>
    <s v=" 1/2 1/8"/>
    <n v="10"/>
    <s v="241I1218"/>
    <m/>
    <m/>
    <n v="0"/>
    <m/>
    <m/>
    <m/>
    <m/>
    <m/>
    <m/>
    <n v="0"/>
    <m/>
    <m/>
    <m/>
    <m/>
    <n v="0"/>
    <n v="0"/>
    <n v="0"/>
    <n v="0"/>
    <n v="0"/>
    <n v="0"/>
    <n v="0"/>
  </r>
  <r>
    <x v="2"/>
    <x v="49"/>
    <m/>
    <s v="Inox visséRéductions   MF inox 316 L filété  241 "/>
    <s v=" 1/2 3/8"/>
    <n v="11"/>
    <s v="241I1238"/>
    <m/>
    <m/>
    <n v="0"/>
    <m/>
    <m/>
    <m/>
    <m/>
    <m/>
    <m/>
    <n v="0"/>
    <m/>
    <m/>
    <m/>
    <m/>
    <n v="0"/>
    <n v="0"/>
    <n v="0"/>
    <n v="0"/>
    <n v="0"/>
    <n v="0"/>
    <n v="0"/>
  </r>
  <r>
    <x v="2"/>
    <x v="49"/>
    <m/>
    <s v="Inox visséRéductions   MF inox 316 L filété  241 "/>
    <s v="1&quot; 3/4"/>
    <n v="12"/>
    <s v="241I134"/>
    <m/>
    <m/>
    <n v="0"/>
    <m/>
    <m/>
    <m/>
    <m/>
    <m/>
    <m/>
    <n v="0"/>
    <m/>
    <m/>
    <m/>
    <m/>
    <n v="0"/>
    <n v="0"/>
    <n v="0"/>
    <n v="0"/>
    <n v="0"/>
    <n v="0"/>
    <n v="0"/>
  </r>
  <r>
    <x v="2"/>
    <x v="49"/>
    <m/>
    <s v="Inox visséRéductions   MF inox 316 L filété  241 "/>
    <s v="1&quot; 3/8"/>
    <n v="13"/>
    <s v="241I138"/>
    <m/>
    <m/>
    <n v="0"/>
    <m/>
    <m/>
    <m/>
    <m/>
    <m/>
    <m/>
    <n v="0"/>
    <m/>
    <m/>
    <m/>
    <m/>
    <n v="0"/>
    <n v="0"/>
    <n v="0"/>
    <n v="0"/>
    <n v="0"/>
    <n v="0"/>
    <n v="0"/>
  </r>
  <r>
    <x v="2"/>
    <x v="49"/>
    <m/>
    <s v="Inox visséRéductions   MF inox 316 L filété  241 "/>
    <s v=" 1/4 1/8"/>
    <n v="14"/>
    <s v="241I1418"/>
    <m/>
    <m/>
    <n v="0"/>
    <m/>
    <m/>
    <m/>
    <m/>
    <m/>
    <m/>
    <n v="0"/>
    <m/>
    <m/>
    <m/>
    <m/>
    <n v="0"/>
    <n v="0"/>
    <n v="0"/>
    <n v="0"/>
    <n v="0"/>
    <n v="0"/>
    <n v="0"/>
  </r>
  <r>
    <x v="2"/>
    <x v="49"/>
    <m/>
    <s v="Inox visséRéductions   MF inox 316 L filété  241 "/>
    <s v="2&quot; 1&quot;"/>
    <n v="15"/>
    <s v="241I21"/>
    <m/>
    <m/>
    <n v="0"/>
    <m/>
    <m/>
    <m/>
    <m/>
    <m/>
    <m/>
    <n v="0"/>
    <m/>
    <m/>
    <m/>
    <m/>
    <n v="0"/>
    <n v="0"/>
    <n v="0"/>
    <n v="0"/>
    <n v="0"/>
    <n v="0"/>
    <n v="0"/>
  </r>
  <r>
    <x v="2"/>
    <x v="49"/>
    <m/>
    <s v="Inox visséRéductions   MF inox 316 L filété  241 "/>
    <s v="2&quot; 1&quot;1/2"/>
    <n v="16"/>
    <s v="241I2112"/>
    <m/>
    <m/>
    <n v="0"/>
    <m/>
    <m/>
    <m/>
    <m/>
    <m/>
    <m/>
    <n v="0"/>
    <m/>
    <m/>
    <m/>
    <m/>
    <n v="0"/>
    <n v="0"/>
    <n v="0"/>
    <n v="0"/>
    <n v="0"/>
    <n v="0"/>
    <n v="0"/>
  </r>
  <r>
    <x v="2"/>
    <x v="49"/>
    <m/>
    <s v="Inox visséRéductions   MF inox 316 L filété  241 "/>
    <s v="2&quot; 1&quot;1/4"/>
    <n v="17"/>
    <s v="241I2114"/>
    <m/>
    <m/>
    <n v="0"/>
    <m/>
    <m/>
    <m/>
    <m/>
    <m/>
    <m/>
    <n v="0"/>
    <m/>
    <m/>
    <m/>
    <m/>
    <n v="0"/>
    <n v="0"/>
    <n v="0"/>
    <n v="0"/>
    <n v="0"/>
    <n v="0"/>
    <n v="0"/>
  </r>
  <r>
    <x v="2"/>
    <x v="49"/>
    <m/>
    <s v="Inox visséRéductions   MF inox 316 L filété  241 "/>
    <s v="1&quot; 1/2"/>
    <n v="18"/>
    <s v="241I212"/>
    <m/>
    <m/>
    <n v="0"/>
    <m/>
    <m/>
    <m/>
    <m/>
    <m/>
    <m/>
    <n v="0"/>
    <m/>
    <m/>
    <m/>
    <m/>
    <n v="0"/>
    <n v="0"/>
    <n v="0"/>
    <n v="0"/>
    <n v="0"/>
    <n v="0"/>
    <n v="0"/>
  </r>
  <r>
    <x v="2"/>
    <x v="49"/>
    <m/>
    <s v="Inox visséRéductions   MF inox 316 L filété  241 "/>
    <s v="2&quot; 1/2"/>
    <n v="19"/>
    <s v="241I212 "/>
    <m/>
    <m/>
    <n v="0"/>
    <m/>
    <m/>
    <m/>
    <m/>
    <m/>
    <m/>
    <n v="0"/>
    <m/>
    <m/>
    <m/>
    <m/>
    <n v="0"/>
    <n v="0"/>
    <n v="0"/>
    <n v="0"/>
    <n v="0"/>
    <n v="0"/>
    <n v="0"/>
  </r>
  <r>
    <x v="2"/>
    <x v="49"/>
    <m/>
    <s v="Inox visséRéductions   MF inox 316 L filété  241 "/>
    <s v="2&quot;1/2 1&quot;1/2"/>
    <n v="20"/>
    <s v="241I212112"/>
    <m/>
    <m/>
    <n v="0"/>
    <m/>
    <m/>
    <m/>
    <m/>
    <m/>
    <m/>
    <n v="0"/>
    <m/>
    <m/>
    <m/>
    <m/>
    <n v="0"/>
    <n v="0"/>
    <n v="0"/>
    <n v="0"/>
    <n v="0"/>
    <n v="0"/>
    <n v="0"/>
  </r>
  <r>
    <x v="2"/>
    <x v="49"/>
    <m/>
    <s v="Inox visséRéductions   MF inox 316 L filété  241 "/>
    <s v="2&quot;1/2 2&quot;"/>
    <n v="21"/>
    <s v="241I2122"/>
    <m/>
    <m/>
    <n v="0"/>
    <m/>
    <m/>
    <m/>
    <m/>
    <m/>
    <m/>
    <n v="0"/>
    <m/>
    <m/>
    <m/>
    <m/>
    <n v="0"/>
    <n v="0"/>
    <n v="0"/>
    <n v="0"/>
    <n v="0"/>
    <n v="0"/>
    <n v="0"/>
  </r>
  <r>
    <x v="2"/>
    <x v="49"/>
    <m/>
    <s v="Inox visséRéductions   MF inox 316 L filété  241 "/>
    <s v="2&quot; 3/4"/>
    <n v="22"/>
    <s v="241I234"/>
    <m/>
    <m/>
    <n v="0"/>
    <m/>
    <m/>
    <m/>
    <m/>
    <m/>
    <m/>
    <n v="0"/>
    <m/>
    <m/>
    <m/>
    <m/>
    <n v="0"/>
    <n v="0"/>
    <n v="0"/>
    <n v="0"/>
    <n v="0"/>
    <n v="0"/>
    <n v="0"/>
  </r>
  <r>
    <x v="2"/>
    <x v="49"/>
    <m/>
    <s v="Inox visséRéductions   MF inox 316 L filété  241 "/>
    <s v=" 3/4 1/2"/>
    <n v="23"/>
    <s v="241I3412"/>
    <m/>
    <m/>
    <n v="0"/>
    <m/>
    <m/>
    <m/>
    <m/>
    <m/>
    <m/>
    <n v="0"/>
    <m/>
    <m/>
    <m/>
    <m/>
    <n v="0"/>
    <n v="0"/>
    <n v="0"/>
    <n v="0"/>
    <n v="0"/>
    <n v="0"/>
    <n v="0"/>
  </r>
  <r>
    <x v="2"/>
    <x v="49"/>
    <m/>
    <s v="Inox visséRéductions   MF inox 316 L filété  241 "/>
    <s v=" 3/4 1/4"/>
    <n v="24"/>
    <s v="241I3414"/>
    <m/>
    <m/>
    <n v="0"/>
    <m/>
    <m/>
    <m/>
    <m/>
    <m/>
    <m/>
    <n v="0"/>
    <m/>
    <m/>
    <m/>
    <m/>
    <n v="0"/>
    <n v="0"/>
    <n v="0"/>
    <n v="0"/>
    <n v="0"/>
    <n v="0"/>
    <n v="0"/>
  </r>
  <r>
    <x v="2"/>
    <x v="49"/>
    <m/>
    <s v="Inox visséRéductions   MF inox 316 L filété  241 "/>
    <s v=" 3/4 3/8"/>
    <n v="25"/>
    <s v="241I3438"/>
    <m/>
    <m/>
    <n v="0"/>
    <m/>
    <m/>
    <m/>
    <m/>
    <m/>
    <m/>
    <n v="0"/>
    <m/>
    <m/>
    <m/>
    <m/>
    <n v="0"/>
    <n v="0"/>
    <n v="0"/>
    <n v="0"/>
    <n v="0"/>
    <n v="0"/>
    <n v="0"/>
  </r>
  <r>
    <x v="2"/>
    <x v="49"/>
    <m/>
    <s v="Inox visséRéductions   MF inox 316 L filété  241 "/>
    <s v="3/8 1/4"/>
    <n v="26"/>
    <s v="241I3814"/>
    <m/>
    <m/>
    <n v="0"/>
    <m/>
    <m/>
    <m/>
    <m/>
    <m/>
    <m/>
    <n v="0"/>
    <m/>
    <m/>
    <m/>
    <m/>
    <n v="0"/>
    <n v="0"/>
    <n v="0"/>
    <n v="0"/>
    <n v="0"/>
    <n v="0"/>
    <n v="0"/>
  </r>
  <r>
    <x v="2"/>
    <x v="49"/>
    <m/>
    <s v="Inox visséRéductions   MF inox 316 L filété  241 "/>
    <s v="3/8 1/8"/>
    <n v="27"/>
    <s v="241I3818"/>
    <m/>
    <m/>
    <n v="0"/>
    <m/>
    <m/>
    <m/>
    <m/>
    <m/>
    <m/>
    <n v="0"/>
    <m/>
    <m/>
    <m/>
    <m/>
    <n v="0"/>
    <n v="0"/>
    <n v="0"/>
    <n v="0"/>
    <n v="0"/>
    <n v="0"/>
    <n v="0"/>
  </r>
  <r>
    <x v="2"/>
    <x v="49"/>
    <m/>
    <s v="Inox visséRéductions   MF inox 316 L filété  241 "/>
    <m/>
    <n v="0"/>
    <m/>
    <m/>
    <m/>
    <n v="0"/>
    <m/>
    <m/>
    <m/>
    <m/>
    <m/>
    <m/>
    <n v="0"/>
    <m/>
    <m/>
    <m/>
    <m/>
    <n v="0"/>
    <n v="0"/>
    <n v="0"/>
    <n v="0"/>
    <n v="0"/>
    <n v="0"/>
    <n v="0"/>
  </r>
  <r>
    <x v="2"/>
    <x v="50"/>
    <m/>
    <s v="Inox visséTé  FFF inox 316L"/>
    <s v="1&quot;"/>
    <n v="1"/>
    <s v="130I1"/>
    <m/>
    <m/>
    <n v="0"/>
    <m/>
    <m/>
    <m/>
    <m/>
    <m/>
    <m/>
    <n v="0"/>
    <m/>
    <m/>
    <m/>
    <m/>
    <n v="0"/>
    <n v="0"/>
    <n v="0"/>
    <n v="0"/>
    <n v="0"/>
    <n v="0"/>
    <n v="0"/>
  </r>
  <r>
    <x v="2"/>
    <x v="50"/>
    <m/>
    <s v="Inox visséTé  FFF inox 316L"/>
    <s v="1&quot;1/2"/>
    <n v="2"/>
    <s v="130I112"/>
    <m/>
    <m/>
    <n v="0"/>
    <m/>
    <m/>
    <m/>
    <m/>
    <m/>
    <m/>
    <n v="0"/>
    <m/>
    <m/>
    <m/>
    <m/>
    <n v="0"/>
    <n v="0"/>
    <n v="0"/>
    <n v="0"/>
    <n v="0"/>
    <n v="0"/>
    <n v="0"/>
  </r>
  <r>
    <x v="2"/>
    <x v="50"/>
    <m/>
    <s v="Inox visséTé  FFF inox 316L"/>
    <s v="1&quot;1/4"/>
    <n v="3"/>
    <s v="130I114"/>
    <m/>
    <m/>
    <n v="0"/>
    <m/>
    <m/>
    <m/>
    <m/>
    <m/>
    <m/>
    <n v="0"/>
    <m/>
    <m/>
    <m/>
    <m/>
    <n v="0"/>
    <n v="0"/>
    <n v="0"/>
    <n v="0"/>
    <n v="0"/>
    <n v="0"/>
    <n v="0"/>
  </r>
  <r>
    <x v="2"/>
    <x v="50"/>
    <m/>
    <s v="Inox visséTé  FFF inox 316L"/>
    <s v=" 1/2"/>
    <n v="4"/>
    <s v="130I12"/>
    <m/>
    <m/>
    <n v="0"/>
    <m/>
    <m/>
    <m/>
    <m/>
    <m/>
    <m/>
    <n v="0"/>
    <m/>
    <m/>
    <m/>
    <m/>
    <n v="0"/>
    <n v="0"/>
    <n v="0"/>
    <n v="0"/>
    <n v="0"/>
    <n v="0"/>
    <n v="0"/>
  </r>
  <r>
    <x v="2"/>
    <x v="50"/>
    <m/>
    <s v="Inox visséTé  FFF inox 316L"/>
    <s v=" 1/4"/>
    <n v="5"/>
    <s v="130I14"/>
    <m/>
    <m/>
    <n v="0"/>
    <m/>
    <m/>
    <m/>
    <m/>
    <m/>
    <m/>
    <n v="0"/>
    <m/>
    <m/>
    <m/>
    <m/>
    <n v="0"/>
    <n v="0"/>
    <n v="0"/>
    <n v="0"/>
    <n v="0"/>
    <n v="0"/>
    <n v="0"/>
  </r>
  <r>
    <x v="2"/>
    <x v="50"/>
    <m/>
    <s v="Inox visséTé  FFF inox 316L"/>
    <s v="2&quot;"/>
    <n v="6"/>
    <s v="130I2"/>
    <m/>
    <m/>
    <n v="0"/>
    <m/>
    <m/>
    <m/>
    <m/>
    <m/>
    <m/>
    <n v="0"/>
    <m/>
    <m/>
    <m/>
    <m/>
    <n v="0"/>
    <n v="0"/>
    <n v="0"/>
    <n v="0"/>
    <n v="0"/>
    <n v="0"/>
    <n v="0"/>
  </r>
  <r>
    <x v="2"/>
    <x v="50"/>
    <m/>
    <s v="Inox visséTé  FFF inox 316L"/>
    <s v="2&quot;1/2"/>
    <n v="7"/>
    <s v="130I212"/>
    <m/>
    <m/>
    <n v="0"/>
    <m/>
    <m/>
    <m/>
    <m/>
    <m/>
    <m/>
    <n v="0"/>
    <m/>
    <m/>
    <m/>
    <m/>
    <n v="0"/>
    <n v="0"/>
    <n v="0"/>
    <n v="0"/>
    <n v="0"/>
    <n v="0"/>
    <n v="0"/>
  </r>
  <r>
    <x v="2"/>
    <x v="50"/>
    <m/>
    <s v="Inox visséTé  FFF inox 316L"/>
    <s v=" 3&quot;"/>
    <n v="8"/>
    <s v="130I3"/>
    <m/>
    <m/>
    <n v="0"/>
    <m/>
    <m/>
    <m/>
    <m/>
    <m/>
    <m/>
    <n v="0"/>
    <m/>
    <m/>
    <m/>
    <m/>
    <n v="0"/>
    <n v="0"/>
    <n v="0"/>
    <n v="0"/>
    <n v="0"/>
    <n v="0"/>
    <n v="0"/>
  </r>
  <r>
    <x v="2"/>
    <x v="50"/>
    <m/>
    <s v="Inox visséTé  FFF inox 316L"/>
    <s v=" 3/4"/>
    <n v="9"/>
    <s v="130I34"/>
    <m/>
    <m/>
    <n v="0"/>
    <m/>
    <m/>
    <m/>
    <m/>
    <m/>
    <m/>
    <n v="0"/>
    <m/>
    <m/>
    <m/>
    <m/>
    <n v="0"/>
    <n v="0"/>
    <n v="0"/>
    <n v="0"/>
    <n v="0"/>
    <n v="0"/>
    <n v="0"/>
  </r>
  <r>
    <x v="2"/>
    <x v="50"/>
    <m/>
    <s v="Inox visséTé  FFF inox 316L"/>
    <s v=" 3/8"/>
    <n v="10"/>
    <s v="130I38"/>
    <m/>
    <m/>
    <n v="0"/>
    <m/>
    <m/>
    <m/>
    <m/>
    <m/>
    <m/>
    <n v="0"/>
    <m/>
    <m/>
    <m/>
    <m/>
    <n v="0"/>
    <n v="0"/>
    <n v="0"/>
    <n v="0"/>
    <n v="0"/>
    <n v="0"/>
    <n v="0"/>
  </r>
  <r>
    <x v="2"/>
    <x v="50"/>
    <m/>
    <s v="Inox visséTé  FFF inox 316L"/>
    <m/>
    <n v="0"/>
    <m/>
    <m/>
    <m/>
    <n v="0"/>
    <m/>
    <m/>
    <m/>
    <m/>
    <m/>
    <m/>
    <n v="0"/>
    <m/>
    <m/>
    <m/>
    <m/>
    <n v="0"/>
    <n v="0"/>
    <n v="0"/>
    <n v="0"/>
    <n v="0"/>
    <n v="0"/>
    <n v="0"/>
  </r>
  <r>
    <x v="2"/>
    <x v="51"/>
    <m/>
    <s v="Inox visséUnions ff  inox (joint plat) 316L"/>
    <s v="1&quot;"/>
    <n v="1"/>
    <s v="340I1"/>
    <m/>
    <m/>
    <n v="0"/>
    <m/>
    <m/>
    <m/>
    <m/>
    <m/>
    <m/>
    <n v="0"/>
    <m/>
    <m/>
    <m/>
    <m/>
    <n v="0"/>
    <n v="0"/>
    <n v="0"/>
    <n v="0"/>
    <n v="0"/>
    <n v="0"/>
    <n v="0"/>
  </r>
  <r>
    <x v="2"/>
    <x v="51"/>
    <m/>
    <s v="Inox visséUnions ff  inox (joint plat) 316L"/>
    <s v="1&quot;1/2"/>
    <n v="2"/>
    <s v="340I112"/>
    <m/>
    <m/>
    <n v="0"/>
    <m/>
    <m/>
    <m/>
    <m/>
    <m/>
    <m/>
    <n v="0"/>
    <m/>
    <m/>
    <m/>
    <m/>
    <n v="0"/>
    <n v="0"/>
    <n v="0"/>
    <n v="0"/>
    <n v="0"/>
    <n v="0"/>
    <n v="0"/>
  </r>
  <r>
    <x v="2"/>
    <x v="51"/>
    <m/>
    <s v="Inox visséUnions ff  inox (joint plat) 316L"/>
    <s v="1&quot;1/4"/>
    <n v="3"/>
    <s v="340I114"/>
    <m/>
    <m/>
    <n v="0"/>
    <m/>
    <m/>
    <m/>
    <m/>
    <m/>
    <m/>
    <n v="0"/>
    <m/>
    <m/>
    <m/>
    <m/>
    <n v="0"/>
    <n v="0"/>
    <n v="0"/>
    <n v="0"/>
    <n v="0"/>
    <n v="0"/>
    <n v="0"/>
  </r>
  <r>
    <x v="2"/>
    <x v="51"/>
    <m/>
    <s v="Inox visséUnions ff  inox (joint plat) 316L"/>
    <s v=" 1/2"/>
    <n v="4"/>
    <s v="340I12"/>
    <m/>
    <m/>
    <n v="0"/>
    <m/>
    <m/>
    <m/>
    <m/>
    <m/>
    <m/>
    <n v="0"/>
    <m/>
    <m/>
    <m/>
    <m/>
    <n v="0"/>
    <n v="0"/>
    <n v="0"/>
    <n v="0"/>
    <n v="0"/>
    <n v="0"/>
    <n v="0"/>
  </r>
  <r>
    <x v="2"/>
    <x v="51"/>
    <m/>
    <s v="Inox visséUnions ff  inox (joint plat) 316L"/>
    <s v=" 1/4"/>
    <n v="5"/>
    <s v="340I14"/>
    <m/>
    <m/>
    <n v="0"/>
    <m/>
    <m/>
    <m/>
    <m/>
    <m/>
    <m/>
    <n v="0"/>
    <m/>
    <m/>
    <m/>
    <m/>
    <n v="0"/>
    <n v="0"/>
    <n v="0"/>
    <n v="0"/>
    <n v="0"/>
    <n v="0"/>
    <n v="0"/>
  </r>
  <r>
    <x v="2"/>
    <x v="51"/>
    <m/>
    <s v="Inox visséUnions ff  inox (joint plat) 316L"/>
    <s v="2&quot;"/>
    <n v="6"/>
    <s v="340I2 "/>
    <m/>
    <m/>
    <n v="0"/>
    <m/>
    <m/>
    <m/>
    <m/>
    <m/>
    <m/>
    <n v="0"/>
    <m/>
    <m/>
    <m/>
    <m/>
    <n v="0"/>
    <n v="0"/>
    <n v="0"/>
    <n v="0"/>
    <n v="0"/>
    <n v="0"/>
    <n v="0"/>
  </r>
  <r>
    <x v="2"/>
    <x v="51"/>
    <m/>
    <s v="Inox visséUnions ff  inox (joint plat) 316L"/>
    <s v="2&quot;1/2"/>
    <n v="7"/>
    <s v="340I212"/>
    <m/>
    <m/>
    <n v="0"/>
    <m/>
    <m/>
    <m/>
    <m/>
    <m/>
    <m/>
    <n v="0"/>
    <m/>
    <m/>
    <m/>
    <m/>
    <n v="0"/>
    <n v="0"/>
    <n v="0"/>
    <n v="0"/>
    <n v="0"/>
    <n v="0"/>
    <n v="0"/>
  </r>
  <r>
    <x v="2"/>
    <x v="51"/>
    <m/>
    <s v="Inox visséUnions ff  inox (joint plat) 316L"/>
    <s v=" 3/4"/>
    <n v="8"/>
    <s v="340I34"/>
    <m/>
    <m/>
    <n v="0"/>
    <m/>
    <m/>
    <m/>
    <m/>
    <m/>
    <m/>
    <n v="0"/>
    <m/>
    <m/>
    <m/>
    <m/>
    <n v="0"/>
    <n v="0"/>
    <n v="0"/>
    <n v="0"/>
    <n v="0"/>
    <n v="0"/>
    <n v="0"/>
  </r>
  <r>
    <x v="2"/>
    <x v="51"/>
    <m/>
    <s v="Inox visséUnions ff  inox (joint plat) 316L"/>
    <s v=" 3/8"/>
    <n v="9"/>
    <s v="340I38"/>
    <m/>
    <m/>
    <n v="0"/>
    <m/>
    <m/>
    <m/>
    <m/>
    <m/>
    <m/>
    <n v="0"/>
    <m/>
    <m/>
    <m/>
    <m/>
    <n v="0"/>
    <n v="0"/>
    <n v="0"/>
    <n v="0"/>
    <n v="0"/>
    <n v="0"/>
    <n v="0"/>
  </r>
  <r>
    <x v="2"/>
    <x v="51"/>
    <m/>
    <s v="Inox visséUnions ff  inox (joint plat) 316L"/>
    <s v=" 3&quot;"/>
    <n v="10"/>
    <m/>
    <m/>
    <m/>
    <n v="0"/>
    <m/>
    <m/>
    <m/>
    <m/>
    <m/>
    <m/>
    <n v="0"/>
    <m/>
    <m/>
    <m/>
    <m/>
    <n v="0"/>
    <n v="0"/>
    <n v="0"/>
    <n v="0"/>
    <n v="0"/>
    <n v="0"/>
    <n v="0"/>
  </r>
  <r>
    <x v="2"/>
    <x v="51"/>
    <m/>
    <s v="Inox visséUnions ff  inox (joint plat) 316L"/>
    <m/>
    <n v="0"/>
    <m/>
    <m/>
    <m/>
    <n v="0"/>
    <m/>
    <m/>
    <m/>
    <m/>
    <m/>
    <m/>
    <n v="0"/>
    <m/>
    <m/>
    <m/>
    <m/>
    <n v="0"/>
    <n v="0"/>
    <n v="0"/>
    <n v="0"/>
    <n v="0"/>
    <n v="0"/>
    <n v="0"/>
  </r>
  <r>
    <x v="2"/>
    <x v="52"/>
    <m/>
    <s v="Inox visséUnions mf  inox (joint plat) 316L"/>
    <s v="1&quot;"/>
    <n v="1"/>
    <s v="341I1"/>
    <m/>
    <m/>
    <n v="0"/>
    <m/>
    <m/>
    <m/>
    <m/>
    <m/>
    <m/>
    <n v="0"/>
    <m/>
    <m/>
    <m/>
    <m/>
    <n v="0"/>
    <n v="0"/>
    <n v="0"/>
    <n v="0"/>
    <n v="0"/>
    <n v="0"/>
    <n v="0"/>
  </r>
  <r>
    <x v="2"/>
    <x v="52"/>
    <m/>
    <s v="Inox visséUnions mf  inox (joint plat) 316L"/>
    <s v="1&quot;1/2"/>
    <n v="2"/>
    <s v="341I112"/>
    <m/>
    <m/>
    <n v="0"/>
    <m/>
    <m/>
    <m/>
    <m/>
    <m/>
    <m/>
    <n v="0"/>
    <m/>
    <m/>
    <m/>
    <m/>
    <n v="0"/>
    <n v="0"/>
    <n v="0"/>
    <n v="0"/>
    <n v="0"/>
    <n v="0"/>
    <n v="0"/>
  </r>
  <r>
    <x v="2"/>
    <x v="52"/>
    <m/>
    <s v="Inox visséUnions mf  inox (joint plat) 316L"/>
    <s v="1&quot;1/4"/>
    <n v="3"/>
    <s v="341I114"/>
    <m/>
    <m/>
    <n v="0"/>
    <m/>
    <m/>
    <m/>
    <m/>
    <m/>
    <m/>
    <n v="0"/>
    <m/>
    <m/>
    <m/>
    <m/>
    <n v="0"/>
    <n v="0"/>
    <n v="0"/>
    <n v="0"/>
    <n v="0"/>
    <n v="0"/>
    <n v="0"/>
  </r>
  <r>
    <x v="2"/>
    <x v="52"/>
    <m/>
    <s v="Inox visséUnions mf  inox (joint plat) 316L"/>
    <s v=" 1/2"/>
    <n v="4"/>
    <s v="341I12"/>
    <m/>
    <m/>
    <n v="0"/>
    <m/>
    <m/>
    <m/>
    <m/>
    <m/>
    <m/>
    <n v="0"/>
    <m/>
    <m/>
    <m/>
    <m/>
    <n v="0"/>
    <n v="0"/>
    <n v="0"/>
    <n v="0"/>
    <n v="0"/>
    <n v="0"/>
    <n v="0"/>
  </r>
  <r>
    <x v="2"/>
    <x v="52"/>
    <m/>
    <s v="Inox visséUnions mf  inox (joint plat) 316L"/>
    <s v=" 1/4"/>
    <n v="5"/>
    <s v="341I14"/>
    <m/>
    <m/>
    <n v="0"/>
    <m/>
    <m/>
    <m/>
    <m/>
    <m/>
    <m/>
    <n v="0"/>
    <m/>
    <m/>
    <m/>
    <m/>
    <n v="0"/>
    <n v="0"/>
    <n v="0"/>
    <n v="0"/>
    <n v="0"/>
    <n v="0"/>
    <n v="0"/>
  </r>
  <r>
    <x v="2"/>
    <x v="52"/>
    <m/>
    <s v="Inox visséUnions mf  inox (joint plat) 316L"/>
    <s v="2&quot;"/>
    <n v="6"/>
    <s v="341I2"/>
    <m/>
    <m/>
    <n v="0"/>
    <m/>
    <m/>
    <m/>
    <m/>
    <m/>
    <m/>
    <n v="0"/>
    <m/>
    <m/>
    <m/>
    <m/>
    <n v="0"/>
    <n v="0"/>
    <n v="0"/>
    <n v="0"/>
    <n v="0"/>
    <n v="0"/>
    <n v="0"/>
  </r>
  <r>
    <x v="2"/>
    <x v="52"/>
    <m/>
    <s v="Inox visséUnions mf  inox (joint plat) 316L"/>
    <s v="2&quot;1/2"/>
    <n v="7"/>
    <s v="341I212"/>
    <m/>
    <m/>
    <n v="0"/>
    <m/>
    <m/>
    <m/>
    <m/>
    <m/>
    <m/>
    <n v="0"/>
    <m/>
    <m/>
    <m/>
    <m/>
    <n v="0"/>
    <n v="0"/>
    <n v="0"/>
    <n v="0"/>
    <n v="0"/>
    <n v="0"/>
    <n v="0"/>
  </r>
  <r>
    <x v="2"/>
    <x v="52"/>
    <m/>
    <s v="Inox visséUnions mf  inox (joint plat) 316L"/>
    <s v=" 3/4"/>
    <n v="8"/>
    <s v="341I34"/>
    <m/>
    <m/>
    <n v="0"/>
    <m/>
    <m/>
    <m/>
    <m/>
    <m/>
    <m/>
    <n v="0"/>
    <m/>
    <m/>
    <m/>
    <m/>
    <n v="0"/>
    <n v="0"/>
    <n v="0"/>
    <n v="0"/>
    <n v="0"/>
    <n v="0"/>
    <n v="0"/>
  </r>
  <r>
    <x v="2"/>
    <x v="52"/>
    <m/>
    <s v="Inox visséUnions mf  inox (joint plat) 316L"/>
    <s v=" 3/8"/>
    <n v="9"/>
    <s v="341I38"/>
    <m/>
    <m/>
    <n v="0"/>
    <m/>
    <m/>
    <m/>
    <m/>
    <m/>
    <m/>
    <n v="0"/>
    <m/>
    <m/>
    <m/>
    <m/>
    <n v="0"/>
    <n v="0"/>
    <n v="0"/>
    <n v="0"/>
    <n v="0"/>
    <n v="0"/>
    <n v="0"/>
  </r>
  <r>
    <x v="2"/>
    <x v="52"/>
    <m/>
    <s v="Inox visséUnions mf  inox (joint plat) 316L"/>
    <m/>
    <n v="0"/>
    <m/>
    <m/>
    <m/>
    <n v="0"/>
    <m/>
    <m/>
    <m/>
    <m/>
    <m/>
    <m/>
    <n v="0"/>
    <m/>
    <m/>
    <m/>
    <m/>
    <n v="0"/>
    <n v="0"/>
    <n v="0"/>
    <n v="0"/>
    <n v="0"/>
    <n v="0"/>
    <n v="0"/>
  </r>
  <r>
    <x v="3"/>
    <x v="53"/>
    <m/>
    <s v="Recup CalorieAquasta"/>
    <s v="Aquasta en aplique reglable"/>
    <n v="1"/>
    <s v="AQA"/>
    <s v="Chaufamat"/>
    <m/>
    <n v="0"/>
    <m/>
    <m/>
    <m/>
    <m/>
    <m/>
    <m/>
    <n v="0"/>
    <m/>
    <m/>
    <m/>
    <m/>
    <n v="0"/>
    <n v="0"/>
    <n v="0"/>
    <n v="0"/>
    <n v="0"/>
    <n v="0"/>
    <n v="0"/>
  </r>
  <r>
    <x v="3"/>
    <x v="53"/>
    <m/>
    <s v="Recup CalorieAquasta"/>
    <s v="sonde de température( contact sec) en aplique  65°C"/>
    <n v="2"/>
    <s v="AQA-1"/>
    <m/>
    <m/>
    <n v="0"/>
    <m/>
    <m/>
    <m/>
    <m/>
    <m/>
    <m/>
    <n v="0"/>
    <m/>
    <m/>
    <m/>
    <m/>
    <n v="0"/>
    <n v="0"/>
    <n v="0"/>
    <n v="0"/>
    <n v="0"/>
    <n v="0"/>
    <n v="0"/>
  </r>
  <r>
    <x v="3"/>
    <x v="53"/>
    <m/>
    <s v="Recup CalorieAquasta"/>
    <m/>
    <n v="0"/>
    <m/>
    <m/>
    <m/>
    <n v="0"/>
    <m/>
    <m/>
    <m/>
    <m/>
    <m/>
    <m/>
    <n v="0"/>
    <m/>
    <m/>
    <m/>
    <m/>
    <n v="0"/>
    <n v="0"/>
    <n v="0"/>
    <n v="0"/>
    <n v="0"/>
    <n v="0"/>
    <n v="0"/>
  </r>
  <r>
    <x v="3"/>
    <x v="54"/>
    <m/>
    <s v="Recup CalorieDisconnecteur"/>
    <s v="Disconecteur non controlable 3/4&quot;"/>
    <n v="1"/>
    <s v="940005"/>
    <s v="Sferaco"/>
    <s v="940005"/>
    <n v="0"/>
    <m/>
    <m/>
    <m/>
    <m/>
    <m/>
    <m/>
    <n v="0"/>
    <m/>
    <m/>
    <m/>
    <m/>
    <n v="0"/>
    <n v="0"/>
    <n v="0"/>
    <n v="0"/>
    <n v="0"/>
    <n v="0"/>
    <n v="0"/>
  </r>
  <r>
    <x v="3"/>
    <x v="54"/>
    <m/>
    <s v="Recup CalorieDisconnecteur"/>
    <s v="Disconecteur non controlable 1/2&quot;"/>
    <n v="2"/>
    <s v="K03836"/>
    <s v="Catry"/>
    <s v="K03836"/>
    <n v="0"/>
    <m/>
    <m/>
    <m/>
    <m/>
    <m/>
    <m/>
    <n v="0"/>
    <m/>
    <m/>
    <m/>
    <m/>
    <n v="0"/>
    <n v="0"/>
    <n v="0"/>
    <n v="0"/>
    <n v="0"/>
    <n v="0"/>
    <n v="0"/>
  </r>
  <r>
    <x v="3"/>
    <x v="54"/>
    <m/>
    <s v="Recup CalorieDisconnecteur"/>
    <s v="Disconecteur Controlable 3/4&quot; BA2860 ACS NF SOCLA"/>
    <n v="3"/>
    <s v="052725"/>
    <s v="SOFINTHER"/>
    <s v="052725"/>
    <n v="0"/>
    <m/>
    <m/>
    <m/>
    <m/>
    <m/>
    <m/>
    <n v="0"/>
    <m/>
    <m/>
    <m/>
    <m/>
    <n v="0"/>
    <n v="0"/>
    <n v="0"/>
    <n v="0"/>
    <n v="0"/>
    <n v="0"/>
    <n v="0"/>
  </r>
  <r>
    <x v="3"/>
    <x v="54"/>
    <m/>
    <s v="Recup CalorieDisconnecteur"/>
    <s v="Disconecteur Controlable 1&quot; BA2860 ACS NF SOCLA"/>
    <n v="4"/>
    <s v="052726"/>
    <s v="SOFINTHER"/>
    <s v="052726"/>
    <n v="0"/>
    <m/>
    <m/>
    <m/>
    <m/>
    <m/>
    <m/>
    <n v="0"/>
    <m/>
    <m/>
    <m/>
    <m/>
    <n v="0"/>
    <n v="0"/>
    <n v="0"/>
    <n v="0"/>
    <n v="0"/>
    <n v="0"/>
    <n v="0"/>
  </r>
  <r>
    <x v="3"/>
    <x v="54"/>
    <m/>
    <s v="Recup CalorieDisconnecteur"/>
    <s v="Disconnecteur DN40"/>
    <n v="5"/>
    <s v="BA276040"/>
    <s v="CGR"/>
    <s v="BA276040"/>
    <n v="0"/>
    <m/>
    <m/>
    <m/>
    <m/>
    <m/>
    <m/>
    <n v="0"/>
    <m/>
    <m/>
    <m/>
    <m/>
    <n v="0"/>
    <n v="0"/>
    <n v="0"/>
    <n v="0"/>
    <n v="0"/>
    <n v="0"/>
    <n v="0"/>
  </r>
  <r>
    <x v="3"/>
    <x v="54"/>
    <m/>
    <s v="Recup CalorieDisconnecteur"/>
    <s v="Disconnecteur DN80"/>
    <n v="6"/>
    <s v="BA476080"/>
    <s v="CGR"/>
    <s v="BA476080"/>
    <n v="0"/>
    <m/>
    <m/>
    <m/>
    <m/>
    <m/>
    <m/>
    <n v="0"/>
    <m/>
    <m/>
    <m/>
    <m/>
    <n v="0"/>
    <n v="0"/>
    <n v="0"/>
    <n v="0"/>
    <n v="0"/>
    <n v="0"/>
    <n v="0"/>
  </r>
  <r>
    <x v="3"/>
    <x v="54"/>
    <m/>
    <s v="Recup CalorieDisconnecteur"/>
    <m/>
    <n v="0"/>
    <m/>
    <m/>
    <m/>
    <n v="0"/>
    <m/>
    <m/>
    <m/>
    <m/>
    <m/>
    <m/>
    <n v="0"/>
    <m/>
    <m/>
    <m/>
    <m/>
    <n v="0"/>
    <n v="0"/>
    <n v="0"/>
    <n v="0"/>
    <n v="0"/>
    <n v="0"/>
    <n v="0"/>
  </r>
  <r>
    <x v="3"/>
    <x v="55"/>
    <s v="LAITON"/>
    <s v="Recup CalorieDoigt de gantLAITON"/>
    <s v="Doigt de gant laiton 1/2 pour thermomètre longueur 100 mm"/>
    <n v="1"/>
    <s v="DGL1/2LG100"/>
    <s v="TC concept"/>
    <n v="3726870"/>
    <n v="0"/>
    <m/>
    <m/>
    <m/>
    <m/>
    <m/>
    <m/>
    <n v="0"/>
    <m/>
    <m/>
    <m/>
    <m/>
    <n v="0"/>
    <n v="0"/>
    <n v="0"/>
    <n v="0"/>
    <n v="0"/>
    <n v="0"/>
    <n v="0"/>
  </r>
  <r>
    <x v="3"/>
    <x v="55"/>
    <s v="LAITON"/>
    <s v="Recup CalorieDoigt de gantLAITON"/>
    <s v="Doigt de gant laiton 1/2 pour thermomètre longueur 60 mm"/>
    <n v="2"/>
    <s v="DGL1/2LG60"/>
    <s v="TC concept"/>
    <n v="3726869"/>
    <n v="0"/>
    <m/>
    <m/>
    <m/>
    <m/>
    <m/>
    <m/>
    <n v="0"/>
    <m/>
    <m/>
    <m/>
    <m/>
    <n v="0"/>
    <n v="0"/>
    <n v="0"/>
    <n v="0"/>
    <n v="0"/>
    <n v="0"/>
    <n v="0"/>
  </r>
  <r>
    <x v="3"/>
    <x v="55"/>
    <s v="INOX"/>
    <s v="Recup CalorieDoigt de gantINOX"/>
    <s v="DOIGT DE GANT INOX 1/2&quot; Longueur 50 mm"/>
    <n v="3"/>
    <s v="TH-08-VA-50MM"/>
    <s v="SES AUTOMATION"/>
    <s v="TH-08-VA-50MM"/>
    <n v="0"/>
    <m/>
    <m/>
    <m/>
    <m/>
    <m/>
    <m/>
    <n v="0"/>
    <m/>
    <m/>
    <m/>
    <m/>
    <n v="0"/>
    <n v="0"/>
    <n v="0"/>
    <n v="0"/>
    <n v="0"/>
    <n v="0"/>
    <n v="0"/>
  </r>
  <r>
    <x v="3"/>
    <x v="55"/>
    <s v="INOX"/>
    <s v="Recup CalorieDoigt de gantINOX"/>
    <s v="DOIGT DE GANT INOX 1/2&quot; Longueur 100 mm"/>
    <n v="4"/>
    <s v="TH-08-VA-100MM"/>
    <s v="SES AUTOMATION"/>
    <s v="TH-08-VA-100MM"/>
    <n v="0"/>
    <m/>
    <m/>
    <m/>
    <m/>
    <m/>
    <m/>
    <n v="0"/>
    <m/>
    <m/>
    <m/>
    <m/>
    <n v="0"/>
    <n v="0"/>
    <n v="0"/>
    <n v="0"/>
    <n v="0"/>
    <n v="0"/>
    <n v="0"/>
  </r>
  <r>
    <x v="3"/>
    <x v="55"/>
    <s v="INOX"/>
    <s v="Recup CalorieDoigt de gantINOX"/>
    <s v="DOIGT DE GANT INOX 1/2&quot; Longueur 160 mm"/>
    <n v="5"/>
    <s v="DGI1/2LG160"/>
    <s v="CGR"/>
    <n v="1316160"/>
    <n v="0"/>
    <m/>
    <m/>
    <m/>
    <m/>
    <m/>
    <m/>
    <n v="0"/>
    <m/>
    <m/>
    <m/>
    <m/>
    <n v="0"/>
    <n v="0"/>
    <n v="0"/>
    <n v="0"/>
    <n v="0"/>
    <n v="0"/>
    <n v="0"/>
  </r>
  <r>
    <x v="3"/>
    <x v="55"/>
    <m/>
    <s v="Recup CalorieDoigt de gant"/>
    <m/>
    <n v="0"/>
    <m/>
    <m/>
    <m/>
    <n v="0"/>
    <m/>
    <m/>
    <m/>
    <m/>
    <m/>
    <m/>
    <n v="0"/>
    <m/>
    <m/>
    <m/>
    <m/>
    <n v="0"/>
    <n v="0"/>
    <n v="0"/>
    <n v="0"/>
    <n v="0"/>
    <n v="0"/>
    <n v="0"/>
  </r>
  <r>
    <x v="3"/>
    <x v="56"/>
    <m/>
    <s v="Recup Calorieecrou  pompe ( 3 pièces) "/>
    <s v="ecrou ( 3 pièces)pour circulateur sanitaire 1&quot;1/2x1&quot;"/>
    <n v="1"/>
    <s v="ECS112-1"/>
    <s v="Catry"/>
    <m/>
    <n v="0"/>
    <m/>
    <m/>
    <m/>
    <m/>
    <m/>
    <m/>
    <n v="0"/>
    <m/>
    <m/>
    <m/>
    <m/>
    <n v="0"/>
    <n v="0"/>
    <n v="0"/>
    <n v="0"/>
    <n v="0"/>
    <n v="0"/>
    <n v="0"/>
  </r>
  <r>
    <x v="3"/>
    <x v="56"/>
    <m/>
    <s v="Recup Calorieecrou  pompe ( 3 pièces) "/>
    <s v="Racord union fonte  circulateur Fileté 1&quot;1/2 x3/4&quot;"/>
    <n v="2"/>
    <s v="ECR112-34"/>
    <s v="Thermador"/>
    <m/>
    <n v="0"/>
    <m/>
    <m/>
    <m/>
    <m/>
    <m/>
    <m/>
    <n v="0"/>
    <m/>
    <m/>
    <m/>
    <m/>
    <n v="0"/>
    <n v="0"/>
    <n v="0"/>
    <n v="0"/>
    <n v="0"/>
    <n v="0"/>
    <n v="0"/>
  </r>
  <r>
    <x v="3"/>
    <x v="56"/>
    <m/>
    <s v="Recup Calorieecrou  pompe ( 3 pièces) "/>
    <s v="Racord union fonte  circulateur Fileté 1&quot;1/2 x1&quot;"/>
    <n v="3"/>
    <s v="ECR112-1"/>
    <s v="Thermador"/>
    <m/>
    <n v="0"/>
    <m/>
    <m/>
    <m/>
    <m/>
    <m/>
    <m/>
    <n v="0"/>
    <m/>
    <m/>
    <m/>
    <m/>
    <n v="0"/>
    <n v="0"/>
    <n v="0"/>
    <n v="0"/>
    <n v="0"/>
    <n v="0"/>
    <n v="0"/>
  </r>
  <r>
    <x v="3"/>
    <x v="56"/>
    <m/>
    <s v="Recup Calorieecrou  pompe ( 3 pièces) "/>
    <s v="Racord union Acier  circulateur Fileté 1&quot;1/2 x1&quot;1/4"/>
    <n v="4"/>
    <s v="ECR112-114"/>
    <s v="Thermador"/>
    <m/>
    <n v="0"/>
    <m/>
    <m/>
    <m/>
    <m/>
    <m/>
    <m/>
    <n v="0"/>
    <m/>
    <m/>
    <m/>
    <m/>
    <n v="0"/>
    <n v="0"/>
    <n v="0"/>
    <n v="0"/>
    <n v="0"/>
    <n v="0"/>
    <n v="0"/>
  </r>
  <r>
    <x v="3"/>
    <x v="56"/>
    <m/>
    <s v="Recup Calorieecrou  pompe ( 3 pièces) "/>
    <s v="Racord union laiton  circulateur Fileté 1&quot;1/2 x1/2&quot;"/>
    <n v="5"/>
    <s v="ECS112-12"/>
    <s v="Thermador"/>
    <m/>
    <n v="0"/>
    <m/>
    <m/>
    <m/>
    <m/>
    <m/>
    <m/>
    <n v="0"/>
    <m/>
    <m/>
    <m/>
    <m/>
    <n v="0"/>
    <n v="0"/>
    <n v="0"/>
    <n v="0"/>
    <n v="0"/>
    <n v="0"/>
    <n v="0"/>
  </r>
  <r>
    <x v="3"/>
    <x v="56"/>
    <m/>
    <s v="Recup Calorieecrou  pompe ( 3 pièces) "/>
    <s v="Racord union laiton  circulateur Fileté 1&quot;1/2 x3/4&quot;"/>
    <n v="6"/>
    <s v="ECS112-34"/>
    <s v="Thermador"/>
    <m/>
    <n v="0"/>
    <m/>
    <m/>
    <m/>
    <m/>
    <m/>
    <m/>
    <n v="0"/>
    <m/>
    <m/>
    <m/>
    <m/>
    <n v="0"/>
    <n v="0"/>
    <n v="0"/>
    <n v="0"/>
    <n v="0"/>
    <n v="0"/>
    <n v="0"/>
  </r>
  <r>
    <x v="3"/>
    <x v="56"/>
    <m/>
    <s v="Recup Calorieecrou  pompe ( 3 pièces) "/>
    <s v="Racord union laiton  circulateur Fileté 1&quot;1/2 x1&quot;"/>
    <n v="7"/>
    <s v="ECS112-1"/>
    <s v="Thermador"/>
    <m/>
    <n v="0"/>
    <m/>
    <m/>
    <m/>
    <m/>
    <m/>
    <m/>
    <n v="0"/>
    <m/>
    <m/>
    <m/>
    <m/>
    <n v="0"/>
    <n v="0"/>
    <n v="0"/>
    <n v="0"/>
    <n v="0"/>
    <n v="0"/>
    <n v="0"/>
  </r>
  <r>
    <x v="3"/>
    <x v="56"/>
    <m/>
    <s v="Recup Calorieecrou  pompe ( 3 pièces) "/>
    <s v="ecrou ( 3 pièces)pour circulateur chauffage2&quot;x1&quot;1/4"/>
    <n v="8"/>
    <s v="ECR2-46"/>
    <s v="Catry"/>
    <m/>
    <n v="0"/>
    <m/>
    <m/>
    <m/>
    <m/>
    <m/>
    <m/>
    <n v="0"/>
    <m/>
    <m/>
    <m/>
    <m/>
    <n v="0"/>
    <n v="0"/>
    <n v="0"/>
    <n v="0"/>
    <n v="0"/>
    <n v="0"/>
    <n v="0"/>
  </r>
  <r>
    <x v="3"/>
    <x v="56"/>
    <m/>
    <s v="Recup Calorieecrou  pompe ( 3 pièces) "/>
    <m/>
    <n v="0"/>
    <m/>
    <m/>
    <m/>
    <n v="0"/>
    <m/>
    <m/>
    <m/>
    <m/>
    <m/>
    <m/>
    <n v="0"/>
    <m/>
    <m/>
    <m/>
    <m/>
    <n v="0"/>
    <n v="0"/>
    <n v="0"/>
    <n v="0"/>
    <n v="0"/>
    <n v="0"/>
    <n v="0"/>
  </r>
  <r>
    <x v="3"/>
    <x v="57"/>
    <m/>
    <s v="Recup CalorieFiltre Tamis"/>
    <s v="Laiton tamis inox robinet rinçage 1&quot;1/2"/>
    <n v="3"/>
    <s v="FT112"/>
    <m/>
    <m/>
    <n v="0"/>
    <m/>
    <m/>
    <m/>
    <m/>
    <m/>
    <m/>
    <n v="0"/>
    <m/>
    <m/>
    <m/>
    <m/>
    <n v="0"/>
    <n v="0"/>
    <n v="0"/>
    <n v="0"/>
    <n v="0"/>
    <n v="0"/>
    <n v="0"/>
  </r>
  <r>
    <x v="3"/>
    <x v="57"/>
    <m/>
    <s v="Recup CalorieFiltre Tamis"/>
    <s v="Laiton tamis inox robinet rinçage 1&quot;1/4"/>
    <n v="2"/>
    <s v="FT114"/>
    <m/>
    <m/>
    <n v="0"/>
    <m/>
    <m/>
    <m/>
    <m/>
    <m/>
    <m/>
    <n v="0"/>
    <m/>
    <m/>
    <m/>
    <m/>
    <n v="0"/>
    <n v="0"/>
    <n v="0"/>
    <n v="0"/>
    <n v="0"/>
    <n v="0"/>
    <n v="0"/>
  </r>
  <r>
    <x v="3"/>
    <x v="57"/>
    <m/>
    <s v="Recup CalorieFiltre Tamis"/>
    <s v="Laiton tamis inox robinet rinçage 2'"/>
    <n v="4"/>
    <s v="FT2"/>
    <m/>
    <m/>
    <n v="0"/>
    <m/>
    <m/>
    <m/>
    <m/>
    <m/>
    <m/>
    <n v="0"/>
    <m/>
    <m/>
    <m/>
    <m/>
    <n v="0"/>
    <n v="0"/>
    <n v="0"/>
    <n v="0"/>
    <n v="0"/>
    <n v="0"/>
    <n v="0"/>
  </r>
  <r>
    <x v="3"/>
    <x v="57"/>
    <m/>
    <s v="Recup CalorieFiltre Tamis"/>
    <s v="Filtre Tamis Laiton 211 3/4&quot; FF avec robinet de rincage"/>
    <n v="1"/>
    <n v="211005"/>
    <s v="Sferaco"/>
    <n v="211005"/>
    <n v="0"/>
    <m/>
    <m/>
    <m/>
    <m/>
    <m/>
    <m/>
    <n v="0"/>
    <m/>
    <m/>
    <m/>
    <m/>
    <n v="0"/>
    <n v="0"/>
    <n v="0"/>
    <n v="0"/>
    <n v="0"/>
    <n v="0"/>
    <n v="0"/>
  </r>
  <r>
    <x v="3"/>
    <x v="57"/>
    <m/>
    <s v="Recup CalorieFiltre Tamis"/>
    <s v="Filtre Tamis Inox à Bride DN100"/>
    <n v="9"/>
    <s v="FTI100-C"/>
    <m/>
    <m/>
    <n v="0"/>
    <m/>
    <m/>
    <m/>
    <m/>
    <m/>
    <m/>
    <n v="0"/>
    <m/>
    <m/>
    <m/>
    <m/>
    <n v="0"/>
    <n v="0"/>
    <n v="0"/>
    <n v="0"/>
    <n v="0"/>
    <n v="0"/>
    <n v="0"/>
  </r>
  <r>
    <x v="3"/>
    <x v="57"/>
    <m/>
    <s v="Recup CalorieFiltre Tamis"/>
    <s v="Filrte Tamis Fonte ACS DN65"/>
    <n v="5"/>
    <s v="014447"/>
    <s v="SOFINTHER"/>
    <s v="014447"/>
    <n v="0"/>
    <m/>
    <m/>
    <m/>
    <m/>
    <m/>
    <m/>
    <n v="0"/>
    <m/>
    <m/>
    <m/>
    <m/>
    <n v="0"/>
    <n v="0"/>
    <n v="0"/>
    <n v="0"/>
    <n v="0"/>
    <n v="0"/>
    <n v="0"/>
  </r>
  <r>
    <x v="3"/>
    <x v="57"/>
    <m/>
    <s v="Recup CalorieFiltre Tamis"/>
    <s v="Filrte Tamis Fonte ACS DN100"/>
    <n v="6"/>
    <s v="014438"/>
    <s v="SOFINTHER"/>
    <s v="014438"/>
    <n v="0"/>
    <m/>
    <m/>
    <m/>
    <m/>
    <m/>
    <m/>
    <n v="0"/>
    <m/>
    <m/>
    <m/>
    <m/>
    <n v="0"/>
    <n v="0"/>
    <n v="0"/>
    <n v="0"/>
    <n v="0"/>
    <n v="0"/>
    <n v="0"/>
  </r>
  <r>
    <x v="3"/>
    <x v="57"/>
    <m/>
    <s v="Recup CalorieFiltre Tamis"/>
    <s v="Filrte Tamis Fonte ACS DN125"/>
    <n v="7"/>
    <s v="014439"/>
    <s v="SOFINTHER"/>
    <s v="014439"/>
    <n v="0"/>
    <m/>
    <m/>
    <m/>
    <m/>
    <m/>
    <m/>
    <n v="0"/>
    <m/>
    <m/>
    <m/>
    <m/>
    <n v="0"/>
    <n v="0"/>
    <n v="0"/>
    <n v="0"/>
    <n v="0"/>
    <n v="0"/>
    <n v="0"/>
  </r>
  <r>
    <x v="3"/>
    <x v="57"/>
    <m/>
    <s v="Recup CalorieFiltre Tamis"/>
    <s v="Filrte Tamis Fonte ACS DN150"/>
    <n v="8"/>
    <s v="014440"/>
    <s v="SOFINTHER"/>
    <s v="014440"/>
    <n v="0"/>
    <m/>
    <m/>
    <m/>
    <m/>
    <m/>
    <m/>
    <n v="0"/>
    <m/>
    <m/>
    <m/>
    <m/>
    <n v="0"/>
    <n v="0"/>
    <n v="0"/>
    <n v="0"/>
    <n v="0"/>
    <n v="0"/>
    <n v="0"/>
  </r>
  <r>
    <x v="3"/>
    <x v="57"/>
    <m/>
    <s v="Recup CalorieFiltre Tamis"/>
    <m/>
    <n v="0"/>
    <m/>
    <m/>
    <m/>
    <n v="0"/>
    <m/>
    <m/>
    <m/>
    <m/>
    <m/>
    <m/>
    <n v="0"/>
    <m/>
    <m/>
    <m/>
    <m/>
    <n v="0"/>
    <n v="0"/>
    <n v="0"/>
    <n v="0"/>
    <n v="0"/>
    <n v="0"/>
    <n v="0"/>
  </r>
  <r>
    <x v="3"/>
    <x v="58"/>
    <m/>
    <s v="Recup CalorieAnti belier "/>
    <s v="Anti bellier a Membrane Pression prégonflé 3,5b - 0,16L"/>
    <n v="1"/>
    <s v="ANTIBEL-0,16L"/>
    <s v="Thermador"/>
    <m/>
    <n v="0"/>
    <m/>
    <m/>
    <m/>
    <m/>
    <m/>
    <m/>
    <n v="0"/>
    <m/>
    <m/>
    <m/>
    <m/>
    <n v="0"/>
    <n v="0"/>
    <n v="0"/>
    <n v="0"/>
    <n v="0"/>
    <n v="0"/>
    <n v="0"/>
  </r>
  <r>
    <x v="3"/>
    <x v="58"/>
    <m/>
    <s v="Recup CalorieAnti belier "/>
    <s v="Anti bellier a Membrane Pression prégonflé 3,5b - 0,5L"/>
    <n v="2"/>
    <s v="ANTIBEL-0,5L"/>
    <s v="Thermador"/>
    <m/>
    <n v="0"/>
    <m/>
    <m/>
    <m/>
    <m/>
    <m/>
    <m/>
    <n v="0"/>
    <m/>
    <m/>
    <m/>
    <m/>
    <n v="0"/>
    <n v="0"/>
    <n v="0"/>
    <n v="0"/>
    <n v="0"/>
    <n v="0"/>
    <n v="0"/>
  </r>
  <r>
    <x v="3"/>
    <x v="58"/>
    <m/>
    <s v="Recup CalorieAnti belier "/>
    <s v="Anti bellier a Membrane Pression prégonflé 3,5b - 2L"/>
    <n v="3"/>
    <s v="ANTIBEL-2L"/>
    <s v="Thermador"/>
    <m/>
    <n v="0"/>
    <m/>
    <m/>
    <m/>
    <m/>
    <m/>
    <m/>
    <n v="0"/>
    <m/>
    <m/>
    <m/>
    <m/>
    <n v="0"/>
    <n v="0"/>
    <n v="0"/>
    <n v="0"/>
    <n v="0"/>
    <n v="0"/>
    <n v="0"/>
  </r>
  <r>
    <x v="3"/>
    <x v="58"/>
    <m/>
    <s v="Recup CalorieAnti belier "/>
    <m/>
    <n v="0"/>
    <m/>
    <m/>
    <m/>
    <n v="0"/>
    <m/>
    <m/>
    <m/>
    <m/>
    <m/>
    <m/>
    <n v="0"/>
    <m/>
    <m/>
    <m/>
    <m/>
    <n v="0"/>
    <n v="0"/>
    <n v="0"/>
    <n v="0"/>
    <n v="0"/>
    <n v="0"/>
    <n v="0"/>
  </r>
  <r>
    <x v="3"/>
    <x v="59"/>
    <s v="Alimentaire"/>
    <s v="Recup CalorieGlycolAlimentaire"/>
    <s v=" propylene Glycol( Alimentaire) Fut de  1000L Qté e L"/>
    <n v="1"/>
    <s v="MPROGLYCOL-1000L"/>
    <s v="Produit chimique du mont blanc"/>
    <m/>
    <n v="0"/>
    <m/>
    <m/>
    <m/>
    <m/>
    <m/>
    <m/>
    <n v="0"/>
    <m/>
    <m/>
    <m/>
    <m/>
    <n v="0"/>
    <n v="0"/>
    <n v="0"/>
    <n v="0"/>
    <n v="0"/>
    <n v="0"/>
    <n v="0"/>
  </r>
  <r>
    <x v="3"/>
    <x v="59"/>
    <s v="Alimentaire"/>
    <s v="Recup CalorieGlycolAlimentaire"/>
    <s v=" propylene Glycol( Alimentaire) Fut de  220L Qté e L"/>
    <n v="2"/>
    <s v="MPROGLYCOL-220L"/>
    <s v="Brabant"/>
    <m/>
    <n v="0"/>
    <m/>
    <m/>
    <m/>
    <m/>
    <m/>
    <m/>
    <n v="0"/>
    <m/>
    <m/>
    <m/>
    <m/>
    <n v="0"/>
    <n v="0"/>
    <n v="0"/>
    <n v="0"/>
    <n v="0"/>
    <n v="0"/>
    <n v="0"/>
  </r>
  <r>
    <x v="3"/>
    <x v="59"/>
    <s v="Non Alimentaire"/>
    <s v="Recup CalorieGlycolNon Alimentaire"/>
    <s v="MPG Friogel neo 20L"/>
    <n v="3"/>
    <n v="7479"/>
    <s v="MTA"/>
    <m/>
    <n v="0"/>
    <m/>
    <m/>
    <m/>
    <m/>
    <m/>
    <m/>
    <n v="0"/>
    <m/>
    <m/>
    <m/>
    <m/>
    <n v="0"/>
    <n v="0"/>
    <n v="0"/>
    <n v="0"/>
    <n v="0"/>
    <n v="0"/>
    <n v="0"/>
  </r>
  <r>
    <x v="3"/>
    <x v="59"/>
    <m/>
    <s v="Recup CalorieGlycol"/>
    <m/>
    <n v="0"/>
    <m/>
    <m/>
    <m/>
    <n v="0"/>
    <m/>
    <m/>
    <m/>
    <m/>
    <m/>
    <m/>
    <n v="0"/>
    <m/>
    <m/>
    <m/>
    <m/>
    <n v="0"/>
    <n v="0"/>
    <n v="0"/>
    <n v="0"/>
    <n v="0"/>
    <n v="0"/>
    <n v="0"/>
  </r>
  <r>
    <x v="3"/>
    <x v="60"/>
    <s v="Kit vanne 3 voies 230 Vac"/>
    <s v="Recup CalorieKit vanne 3 voies Kit vanne 3 voies 230 Vac"/>
    <s v="kit vanne 1&quot; - 28L"/>
    <n v="1"/>
    <s v="ECOV3V1-KIT"/>
    <m/>
    <m/>
    <n v="0"/>
    <m/>
    <m/>
    <m/>
    <m/>
    <m/>
    <m/>
    <n v="0"/>
    <m/>
    <m/>
    <m/>
    <m/>
    <n v="0"/>
    <n v="0"/>
    <n v="0"/>
    <n v="0"/>
    <n v="0"/>
    <n v="0"/>
    <n v="0"/>
  </r>
  <r>
    <x v="3"/>
    <x v="60"/>
    <s v="Kit vanne 3 voies 230 Vac"/>
    <s v="Recup CalorieKit vanne 3 voies Kit vanne 3 voies 230 Vac"/>
    <s v="kit vanne 1&quot;1/2  - 42L"/>
    <n v="2"/>
    <s v="ECOV3V112-KIT"/>
    <m/>
    <m/>
    <n v="0"/>
    <m/>
    <m/>
    <m/>
    <m/>
    <m/>
    <m/>
    <n v="0"/>
    <m/>
    <m/>
    <m/>
    <m/>
    <n v="0"/>
    <n v="0"/>
    <n v="0"/>
    <n v="0"/>
    <n v="0"/>
    <n v="0"/>
    <n v="0"/>
  </r>
  <r>
    <x v="3"/>
    <x v="60"/>
    <s v="Kit vanne 3 voies 230 Vac"/>
    <s v="Recup CalorieKit vanne 3 voies Kit vanne 3 voies 230 Vac"/>
    <s v="kit vanne 1&quot;1/4 - 35L"/>
    <n v="3"/>
    <s v="ECOV3V114-KIT"/>
    <m/>
    <m/>
    <n v="0"/>
    <m/>
    <m/>
    <m/>
    <m/>
    <m/>
    <m/>
    <n v="0"/>
    <m/>
    <m/>
    <m/>
    <m/>
    <n v="0"/>
    <n v="0"/>
    <n v="0"/>
    <n v="0"/>
    <n v="0"/>
    <n v="0"/>
    <n v="0"/>
  </r>
  <r>
    <x v="3"/>
    <x v="60"/>
    <s v="Kit vanne 3 voies 230 Vac"/>
    <s v="Recup CalorieKit vanne 3 voies Kit vanne 3 voies 230 Vac"/>
    <s v="kit vanne 3/4&quot; - 22L"/>
    <n v="4"/>
    <s v="ECOV3V34-KIT"/>
    <m/>
    <m/>
    <n v="0"/>
    <m/>
    <m/>
    <m/>
    <m/>
    <m/>
    <m/>
    <n v="0"/>
    <m/>
    <m/>
    <m/>
    <m/>
    <n v="0"/>
    <n v="0"/>
    <n v="0"/>
    <n v="0"/>
    <n v="0"/>
    <n v="0"/>
    <n v="0"/>
  </r>
  <r>
    <x v="3"/>
    <x v="60"/>
    <s v="Kit vanne 3 voies 230 Vac"/>
    <s v="Recup CalorieKit vanne 3 voies Kit vanne 3 voies 230 Vac"/>
    <s v="kit vanne 2&quot;  - bride DN50"/>
    <n v="5"/>
    <s v="ECOV3V2-KIT"/>
    <m/>
    <m/>
    <n v="0"/>
    <m/>
    <m/>
    <m/>
    <m/>
    <m/>
    <m/>
    <n v="0"/>
    <m/>
    <m/>
    <m/>
    <m/>
    <n v="0"/>
    <n v="0"/>
    <n v="0"/>
    <n v="0"/>
    <n v="0"/>
    <n v="0"/>
    <n v="0"/>
  </r>
  <r>
    <x v="3"/>
    <x v="60"/>
    <s v="Kit vanne 3 voies 24 Vac"/>
    <s v="Recup CalorieKit vanne 3 voies Kit vanne 3 voies 24 Vac"/>
    <s v="kit vanne 1&quot; - 28L"/>
    <n v="6"/>
    <s v="ECOV3V1-24VAC-KIT"/>
    <m/>
    <m/>
    <n v="0"/>
    <m/>
    <m/>
    <m/>
    <m/>
    <m/>
    <m/>
    <n v="0"/>
    <m/>
    <m/>
    <m/>
    <m/>
    <n v="0"/>
    <n v="0"/>
    <n v="0"/>
    <n v="0"/>
    <n v="0"/>
    <n v="0"/>
    <n v="0"/>
  </r>
  <r>
    <x v="3"/>
    <x v="60"/>
    <s v="Kit vanne 3 voies 24 Vac"/>
    <s v="Recup CalorieKit vanne 3 voies Kit vanne 3 voies 24 Vac"/>
    <s v="kit vanne 1&quot;1/2  - 42L"/>
    <n v="7"/>
    <s v="ECOV3V112-24VAC-KIT"/>
    <m/>
    <m/>
    <n v="0"/>
    <m/>
    <m/>
    <m/>
    <m/>
    <m/>
    <m/>
    <n v="0"/>
    <m/>
    <m/>
    <m/>
    <m/>
    <n v="0"/>
    <n v="0"/>
    <n v="0"/>
    <n v="0"/>
    <n v="0"/>
    <n v="0"/>
    <n v="0"/>
  </r>
  <r>
    <x v="3"/>
    <x v="60"/>
    <s v="Kit vanne 3 voies 24 Vac"/>
    <s v="Recup CalorieKit vanne 3 voies Kit vanne 3 voies 24 Vac"/>
    <s v="kit vanne 1&quot;1/4 - 35L"/>
    <n v="8"/>
    <s v="ECOV3V114-24VAC-KIT"/>
    <m/>
    <m/>
    <n v="0"/>
    <m/>
    <m/>
    <m/>
    <m/>
    <m/>
    <m/>
    <n v="0"/>
    <m/>
    <m/>
    <m/>
    <m/>
    <n v="0"/>
    <n v="0"/>
    <n v="0"/>
    <n v="0"/>
    <n v="0"/>
    <n v="0"/>
    <n v="0"/>
  </r>
  <r>
    <x v="3"/>
    <x v="60"/>
    <s v="Kit vanne 3 voies 24 Vac"/>
    <s v="Recup CalorieKit vanne 3 voies Kit vanne 3 voies 24 Vac"/>
    <s v="kit vanne 3/4&quot; - 22L"/>
    <n v="9"/>
    <s v="ECOV3V34-24VAC-KIT"/>
    <m/>
    <m/>
    <n v="0"/>
    <m/>
    <m/>
    <m/>
    <m/>
    <m/>
    <m/>
    <n v="0"/>
    <m/>
    <m/>
    <m/>
    <m/>
    <n v="0"/>
    <n v="0"/>
    <n v="0"/>
    <n v="0"/>
    <n v="0"/>
    <n v="0"/>
    <n v="0"/>
  </r>
  <r>
    <x v="3"/>
    <x v="60"/>
    <s v="Kit vanne 3 voies 24 Vac"/>
    <s v="Recup CalorieKit vanne 3 voies Kit vanne 3 voies 24 Vac"/>
    <s v="kit vanne 2&quot;  - bride DN50"/>
    <n v="10"/>
    <s v="ECOV3V2-24VAC-KIT"/>
    <m/>
    <m/>
    <n v="0"/>
    <m/>
    <m/>
    <m/>
    <m/>
    <m/>
    <m/>
    <n v="0"/>
    <m/>
    <m/>
    <m/>
    <m/>
    <n v="0"/>
    <n v="0"/>
    <n v="0"/>
    <n v="0"/>
    <n v="0"/>
    <n v="0"/>
    <n v="0"/>
  </r>
  <r>
    <x v="3"/>
    <x v="60"/>
    <s v="Kit vanne 3 voies 24 Vdc"/>
    <s v="Recup CalorieKit vanne 3 voies Kit vanne 3 voies 24 Vdc"/>
    <s v="kit vanne 1&quot; - 28L"/>
    <n v="11"/>
    <s v="ECOV3V1-24VDC-KIT"/>
    <m/>
    <m/>
    <n v="0"/>
    <m/>
    <m/>
    <m/>
    <m/>
    <m/>
    <m/>
    <n v="0"/>
    <m/>
    <m/>
    <m/>
    <m/>
    <n v="0"/>
    <n v="0"/>
    <n v="0"/>
    <n v="0"/>
    <n v="0"/>
    <n v="0"/>
    <n v="0"/>
  </r>
  <r>
    <x v="3"/>
    <x v="60"/>
    <s v="Kit vanne 3 voies 24 Vdc"/>
    <s v="Recup CalorieKit vanne 3 voies Kit vanne 3 voies 24 Vdc"/>
    <s v="kit vanne 1&quot;1/2  - 42L"/>
    <n v="12"/>
    <s v="ECOV3V112-24VDC-KIT"/>
    <m/>
    <m/>
    <n v="0"/>
    <m/>
    <m/>
    <m/>
    <m/>
    <m/>
    <m/>
    <n v="0"/>
    <m/>
    <m/>
    <m/>
    <m/>
    <n v="0"/>
    <n v="0"/>
    <n v="0"/>
    <n v="0"/>
    <n v="0"/>
    <n v="0"/>
    <n v="0"/>
  </r>
  <r>
    <x v="3"/>
    <x v="60"/>
    <s v="Kit vanne 3 voies 24 Vdc"/>
    <s v="Recup CalorieKit vanne 3 voies Kit vanne 3 voies 24 Vdc"/>
    <s v="kit vanne 1&quot;1/4 - 35L"/>
    <n v="13"/>
    <s v="ECOV3V114-24VDC-KIT"/>
    <m/>
    <m/>
    <n v="0"/>
    <m/>
    <m/>
    <m/>
    <m/>
    <m/>
    <m/>
    <n v="0"/>
    <m/>
    <m/>
    <m/>
    <m/>
    <n v="0"/>
    <n v="0"/>
    <n v="0"/>
    <n v="0"/>
    <n v="0"/>
    <n v="0"/>
    <n v="0"/>
  </r>
  <r>
    <x v="3"/>
    <x v="60"/>
    <s v="Kit vanne 3 voies 24 Vdc"/>
    <s v="Recup CalorieKit vanne 3 voies Kit vanne 3 voies 24 Vdc"/>
    <s v="kit vanne 3/4&quot; - 22L"/>
    <n v="14"/>
    <s v="ECOV3V34-24VDC-KIT"/>
    <m/>
    <m/>
    <n v="0"/>
    <m/>
    <m/>
    <m/>
    <m/>
    <m/>
    <m/>
    <n v="0"/>
    <m/>
    <m/>
    <m/>
    <m/>
    <n v="0"/>
    <n v="0"/>
    <n v="0"/>
    <n v="0"/>
    <n v="0"/>
    <n v="0"/>
    <n v="0"/>
  </r>
  <r>
    <x v="3"/>
    <x v="60"/>
    <s v="Kit vanne 3 voies 24 Vdc"/>
    <s v="Recup CalorieKit vanne 3 voies Kit vanne 3 voies 24 Vdc"/>
    <s v="kit vanne 2&quot;  - bride DN50"/>
    <n v="15"/>
    <s v="ECOV3V2-24VDC-KIT"/>
    <m/>
    <m/>
    <n v="0"/>
    <m/>
    <m/>
    <m/>
    <m/>
    <m/>
    <m/>
    <n v="0"/>
    <m/>
    <m/>
    <m/>
    <m/>
    <n v="0"/>
    <n v="0"/>
    <n v="0"/>
    <n v="0"/>
    <n v="0"/>
    <n v="0"/>
    <n v="0"/>
  </r>
  <r>
    <x v="3"/>
    <x v="60"/>
    <m/>
    <s v="Recup CalorieKit vanne 3 voies "/>
    <m/>
    <n v="0"/>
    <m/>
    <m/>
    <m/>
    <n v="0"/>
    <m/>
    <m/>
    <m/>
    <m/>
    <m/>
    <m/>
    <n v="0"/>
    <m/>
    <m/>
    <m/>
    <m/>
    <n v="0"/>
    <n v="0"/>
    <n v="0"/>
    <n v="0"/>
    <n v="0"/>
    <n v="0"/>
    <n v="0"/>
  </r>
  <r>
    <x v="3"/>
    <x v="61"/>
    <s v=" 3/8 "/>
    <s v="Recup CalorieClapet anti retour laiton F/F 3/8 "/>
    <m/>
    <n v="1"/>
    <s v="204-38"/>
    <s v="Sferaco"/>
    <n v="305003"/>
    <n v="0"/>
    <m/>
    <m/>
    <m/>
    <m/>
    <m/>
    <m/>
    <n v="0"/>
    <m/>
    <m/>
    <m/>
    <m/>
    <n v="0"/>
    <n v="0"/>
    <n v="0"/>
    <n v="0"/>
    <n v="0"/>
    <n v="0"/>
    <n v="0"/>
  </r>
  <r>
    <x v="3"/>
    <x v="61"/>
    <s v=" 1/2"/>
    <s v="Recup CalorieClapet anti retour laiton F/F 1/2"/>
    <m/>
    <n v="2"/>
    <s v="204-12"/>
    <s v="Sferaco"/>
    <n v="305004"/>
    <n v="0"/>
    <m/>
    <m/>
    <m/>
    <m/>
    <m/>
    <m/>
    <n v="0"/>
    <m/>
    <m/>
    <m/>
    <m/>
    <n v="0"/>
    <n v="0"/>
    <n v="0"/>
    <n v="0"/>
    <n v="0"/>
    <n v="0"/>
    <n v="0"/>
  </r>
  <r>
    <x v="3"/>
    <x v="61"/>
    <s v=" 3/4"/>
    <s v="Recup CalorieClapet anti retour laiton F/F 3/4"/>
    <m/>
    <n v="3"/>
    <s v="204-34"/>
    <s v="Sferaco"/>
    <n v="305005"/>
    <n v="0"/>
    <m/>
    <m/>
    <m/>
    <m/>
    <m/>
    <m/>
    <n v="0"/>
    <m/>
    <m/>
    <m/>
    <m/>
    <n v="0"/>
    <n v="0"/>
    <n v="0"/>
    <n v="0"/>
    <n v="0"/>
    <n v="0"/>
    <n v="0"/>
  </r>
  <r>
    <x v="3"/>
    <x v="61"/>
    <s v=" 1&quot;"/>
    <s v="Recup CalorieClapet anti retour laiton F/F 1&quot;"/>
    <m/>
    <n v="4"/>
    <s v="204-1"/>
    <s v="Sferaco"/>
    <n v="305006"/>
    <n v="0"/>
    <m/>
    <m/>
    <m/>
    <m/>
    <m/>
    <m/>
    <n v="0"/>
    <m/>
    <m/>
    <m/>
    <m/>
    <n v="0"/>
    <n v="0"/>
    <n v="0"/>
    <n v="0"/>
    <n v="0"/>
    <n v="0"/>
    <n v="0"/>
  </r>
  <r>
    <x v="3"/>
    <x v="61"/>
    <s v="1&quot;1/4"/>
    <s v="Recup CalorieClapet anti retour laiton F/F1&quot;1/4"/>
    <m/>
    <n v="5"/>
    <s v="204-114"/>
    <s v="Sferaco"/>
    <n v="305007"/>
    <n v="0"/>
    <m/>
    <m/>
    <m/>
    <m/>
    <m/>
    <m/>
    <n v="0"/>
    <m/>
    <m/>
    <m/>
    <m/>
    <n v="0"/>
    <n v="0"/>
    <n v="0"/>
    <n v="0"/>
    <n v="0"/>
    <n v="0"/>
    <n v="0"/>
  </r>
  <r>
    <x v="3"/>
    <x v="61"/>
    <s v="1&quot;1/2"/>
    <s v="Recup CalorieClapet anti retour laiton F/F1&quot;1/2"/>
    <m/>
    <n v="6"/>
    <s v="204-112"/>
    <s v="Sferaco"/>
    <n v="305008"/>
    <n v="0"/>
    <m/>
    <m/>
    <m/>
    <m/>
    <m/>
    <m/>
    <n v="0"/>
    <m/>
    <m/>
    <m/>
    <m/>
    <n v="0"/>
    <n v="0"/>
    <n v="0"/>
    <n v="0"/>
    <n v="0"/>
    <n v="0"/>
    <n v="0"/>
  </r>
  <r>
    <x v="3"/>
    <x v="61"/>
    <s v="2&quot;"/>
    <s v="Recup CalorieClapet anti retour laiton F/F2&quot;"/>
    <m/>
    <n v="7"/>
    <s v="204-2"/>
    <s v="Sferaco"/>
    <n v="305009"/>
    <n v="0"/>
    <m/>
    <m/>
    <m/>
    <m/>
    <m/>
    <m/>
    <n v="0"/>
    <m/>
    <m/>
    <m/>
    <m/>
    <n v="0"/>
    <n v="0"/>
    <n v="0"/>
    <n v="0"/>
    <n v="0"/>
    <n v="0"/>
    <n v="0"/>
  </r>
  <r>
    <x v="3"/>
    <x v="61"/>
    <m/>
    <s v="Recup CalorieClapet anti retour laiton F/F"/>
    <m/>
    <n v="0"/>
    <m/>
    <m/>
    <m/>
    <n v="0"/>
    <m/>
    <m/>
    <m/>
    <m/>
    <m/>
    <m/>
    <n v="0"/>
    <m/>
    <m/>
    <m/>
    <m/>
    <n v="0"/>
    <n v="0"/>
    <n v="0"/>
    <n v="0"/>
    <n v="0"/>
    <n v="0"/>
    <n v="0"/>
  </r>
  <r>
    <x v="3"/>
    <x v="62"/>
    <s v="Ruban adhésif  non isolant"/>
    <s v="Recup CalorieManchon Isolant - ArmaflexRuban adhésif  non isolant"/>
    <s v="Ruban adhésif pvc couleur 33mx50mm"/>
    <n v="1"/>
    <s v="RAPVC50"/>
    <s v="PUM Plastique"/>
    <s v="PUM 12466"/>
    <n v="0"/>
    <m/>
    <m/>
    <m/>
    <m/>
    <m/>
    <m/>
    <n v="0"/>
    <m/>
    <m/>
    <m/>
    <m/>
    <n v="0"/>
    <n v="0"/>
    <n v="0"/>
    <n v="0"/>
    <n v="0"/>
    <n v="0"/>
    <n v="0"/>
  </r>
  <r>
    <x v="3"/>
    <x v="62"/>
    <s v="Ruban adhésif isolant"/>
    <s v="Recup CalorieManchon Isolant - ArmaflexRuban adhésif isolant"/>
    <s v="Ruban adhésif isolant 50mm x15mxép 3mm"/>
    <n v="2"/>
    <m/>
    <m/>
    <m/>
    <n v="0"/>
    <m/>
    <m/>
    <m/>
    <m/>
    <m/>
    <m/>
    <n v="0"/>
    <m/>
    <m/>
    <m/>
    <m/>
    <n v="0"/>
    <n v="0"/>
    <n v="0"/>
    <n v="0"/>
    <n v="0"/>
    <n v="0"/>
    <n v="0"/>
  </r>
  <r>
    <x v="3"/>
    <x v="62"/>
    <s v="Ø15"/>
    <s v="Recup CalorieManchon Isolant - ArmaflexØ15"/>
    <s v="Manchon pour tube D15 - Ep13"/>
    <n v="3"/>
    <s v="MIR15x13"/>
    <s v="PUM Plastique"/>
    <s v="PUM 53459"/>
    <n v="0"/>
    <m/>
    <m/>
    <m/>
    <m/>
    <m/>
    <m/>
    <n v="0"/>
    <m/>
    <m/>
    <m/>
    <m/>
    <n v="0"/>
    <n v="0"/>
    <n v="0"/>
    <n v="0"/>
    <n v="0"/>
    <n v="0"/>
    <n v="0"/>
  </r>
  <r>
    <x v="3"/>
    <x v="62"/>
    <s v="Ø15"/>
    <s v="Recup CalorieManchon Isolant - ArmaflexØ15"/>
    <s v="Manchon pour tube D15 - Ep19"/>
    <n v="4"/>
    <s v="MIR15x19"/>
    <s v="PUM Plastique"/>
    <n v="53470"/>
    <n v="0"/>
    <m/>
    <m/>
    <m/>
    <m/>
    <m/>
    <m/>
    <n v="0"/>
    <m/>
    <m/>
    <m/>
    <m/>
    <n v="0"/>
    <n v="0"/>
    <n v="0"/>
    <n v="0"/>
    <n v="0"/>
    <n v="0"/>
    <n v="0"/>
  </r>
  <r>
    <x v="3"/>
    <x v="62"/>
    <s v="Ø22"/>
    <s v="Recup CalorieManchon Isolant - ArmaflexØ22"/>
    <s v="Manchon pour tube D22 - Ep13"/>
    <n v="5"/>
    <s v="MIR22x13"/>
    <s v="PUM Plastique"/>
    <s v="PUM 53461"/>
    <n v="0"/>
    <m/>
    <m/>
    <m/>
    <m/>
    <m/>
    <m/>
    <n v="0"/>
    <m/>
    <m/>
    <m/>
    <m/>
    <n v="0"/>
    <n v="0"/>
    <n v="0"/>
    <n v="0"/>
    <n v="0"/>
    <n v="0"/>
    <n v="0"/>
  </r>
  <r>
    <x v="3"/>
    <x v="62"/>
    <s v="Ø22"/>
    <s v="Recup CalorieManchon Isolant - ArmaflexØ22"/>
    <s v="Manchon pour tube D22 - Ep19"/>
    <n v="6"/>
    <s v="MIR22x19"/>
    <m/>
    <s v="53472"/>
    <n v="0"/>
    <m/>
    <m/>
    <m/>
    <m/>
    <m/>
    <m/>
    <n v="0"/>
    <m/>
    <m/>
    <m/>
    <m/>
    <n v="0"/>
    <n v="0"/>
    <n v="0"/>
    <n v="0"/>
    <n v="0"/>
    <n v="0"/>
    <n v="0"/>
  </r>
  <r>
    <x v="3"/>
    <x v="62"/>
    <s v="Ø28"/>
    <s v="Recup CalorieManchon Isolant - ArmaflexØ28"/>
    <s v="Manchon pour tube D28 - Ep13"/>
    <n v="7"/>
    <s v="MIR28x13"/>
    <s v="PUM Plastique"/>
    <s v="53473"/>
    <n v="0"/>
    <m/>
    <m/>
    <m/>
    <m/>
    <m/>
    <m/>
    <n v="0"/>
    <m/>
    <m/>
    <m/>
    <m/>
    <n v="0"/>
    <n v="0"/>
    <n v="0"/>
    <n v="0"/>
    <n v="0"/>
    <n v="0"/>
    <n v="0"/>
  </r>
  <r>
    <x v="3"/>
    <x v="62"/>
    <s v="Ø28"/>
    <s v="Recup CalorieManchon Isolant - ArmaflexØ28"/>
    <s v="Manchon pour tube D28 - Ep19"/>
    <n v="8"/>
    <s v="MIR28x19"/>
    <m/>
    <s v="ARMMNXG028019"/>
    <n v="0"/>
    <m/>
    <m/>
    <m/>
    <m/>
    <m/>
    <m/>
    <n v="0"/>
    <m/>
    <m/>
    <m/>
    <m/>
    <n v="0"/>
    <n v="0"/>
    <n v="0"/>
    <n v="0"/>
    <n v="0"/>
    <n v="0"/>
    <n v="0"/>
  </r>
  <r>
    <x v="3"/>
    <x v="62"/>
    <s v="Ø34"/>
    <s v="Recup CalorieManchon Isolant - ArmaflexØ34"/>
    <s v="Manchon pour tube D34 - Ep13"/>
    <n v="9"/>
    <s v="MIR34x13"/>
    <s v="PUM Plastique"/>
    <s v="PUM 53463"/>
    <n v="0"/>
    <m/>
    <m/>
    <m/>
    <m/>
    <m/>
    <m/>
    <n v="0"/>
    <m/>
    <m/>
    <m/>
    <m/>
    <n v="0"/>
    <n v="0"/>
    <n v="0"/>
    <n v="0"/>
    <n v="0"/>
    <n v="0"/>
    <n v="0"/>
  </r>
  <r>
    <x v="3"/>
    <x v="62"/>
    <s v="Ø34"/>
    <s v="Recup CalorieManchon Isolant - ArmaflexØ34"/>
    <s v="Manchon pour tube D34 - Ep19"/>
    <n v="10"/>
    <s v="MIR34x19"/>
    <m/>
    <s v="53474"/>
    <n v="0"/>
    <m/>
    <m/>
    <m/>
    <m/>
    <m/>
    <m/>
    <n v="0"/>
    <m/>
    <m/>
    <m/>
    <m/>
    <n v="0"/>
    <n v="0"/>
    <n v="0"/>
    <n v="0"/>
    <n v="0"/>
    <n v="0"/>
    <n v="0"/>
  </r>
  <r>
    <x v="3"/>
    <x v="62"/>
    <s v="Ø42"/>
    <s v="Recup CalorieManchon Isolant - ArmaflexØ42"/>
    <s v="Manchon pour tube D42 - Ep13"/>
    <n v="11"/>
    <s v="MIR42x13"/>
    <s v="PUM Plastique"/>
    <s v="PUM 53464"/>
    <n v="0"/>
    <m/>
    <m/>
    <m/>
    <m/>
    <m/>
    <m/>
    <n v="0"/>
    <m/>
    <m/>
    <m/>
    <m/>
    <n v="0"/>
    <n v="0"/>
    <n v="0"/>
    <n v="0"/>
    <n v="0"/>
    <n v="0"/>
    <n v="0"/>
  </r>
  <r>
    <x v="3"/>
    <x v="62"/>
    <s v="Ø42"/>
    <s v="Recup CalorieManchon Isolant - ArmaflexØ42"/>
    <s v="Manchon pour tube D42 - Ep19"/>
    <n v="12"/>
    <s v="MIR42x19"/>
    <m/>
    <s v="53475"/>
    <n v="0"/>
    <m/>
    <m/>
    <m/>
    <m/>
    <m/>
    <m/>
    <n v="0"/>
    <m/>
    <m/>
    <m/>
    <m/>
    <n v="0"/>
    <n v="0"/>
    <n v="0"/>
    <n v="0"/>
    <n v="0"/>
    <n v="0"/>
    <n v="0"/>
  </r>
  <r>
    <x v="3"/>
    <x v="62"/>
    <s v="Ø48"/>
    <s v="Recup CalorieManchon Isolant - ArmaflexØ48"/>
    <s v="Manchon pour tube D48 - Ep13"/>
    <n v="13"/>
    <s v="MIR48x13"/>
    <s v="PUM Plastique"/>
    <s v="PUM 53465"/>
    <n v="0"/>
    <m/>
    <m/>
    <m/>
    <m/>
    <m/>
    <m/>
    <n v="0"/>
    <m/>
    <m/>
    <m/>
    <m/>
    <n v="0"/>
    <n v="0"/>
    <n v="0"/>
    <n v="0"/>
    <n v="0"/>
    <n v="0"/>
    <n v="0"/>
  </r>
  <r>
    <x v="3"/>
    <x v="62"/>
    <s v="Ø48"/>
    <s v="Recup CalorieManchon Isolant - ArmaflexØ48"/>
    <s v="Manchon pour tube D48 - Ep19"/>
    <n v="14"/>
    <s v="MIR48x19"/>
    <m/>
    <s v="53476"/>
    <n v="0"/>
    <m/>
    <m/>
    <m/>
    <m/>
    <m/>
    <m/>
    <n v="0"/>
    <m/>
    <m/>
    <m/>
    <m/>
    <n v="0"/>
    <n v="0"/>
    <n v="0"/>
    <n v="0"/>
    <n v="0"/>
    <n v="0"/>
    <n v="0"/>
  </r>
  <r>
    <x v="3"/>
    <x v="62"/>
    <s v="Ø54"/>
    <s v="Recup CalorieManchon Isolant - ArmaflexØ54"/>
    <s v="Manchon pour tube D54 - Ep19"/>
    <n v="15"/>
    <s v="MIR54X13"/>
    <s v="PUM Plastique"/>
    <s v="PUM 53466"/>
    <n v="0"/>
    <m/>
    <m/>
    <m/>
    <m/>
    <m/>
    <m/>
    <n v="0"/>
    <m/>
    <m/>
    <m/>
    <m/>
    <n v="0"/>
    <n v="0"/>
    <n v="0"/>
    <n v="0"/>
    <n v="0"/>
    <n v="0"/>
    <n v="0"/>
  </r>
  <r>
    <x v="3"/>
    <x v="62"/>
    <s v="Ø54"/>
    <s v="Recup CalorieManchon Isolant - ArmaflexØ54"/>
    <s v="Manchon pour tube D54 - Ep13"/>
    <n v="16"/>
    <s v="MIR54X19"/>
    <s v="PUM Plastique"/>
    <n v="53477"/>
    <n v="0"/>
    <m/>
    <m/>
    <m/>
    <m/>
    <m/>
    <m/>
    <n v="0"/>
    <m/>
    <m/>
    <m/>
    <m/>
    <n v="0"/>
    <n v="0"/>
    <n v="0"/>
    <n v="0"/>
    <n v="0"/>
    <n v="0"/>
    <n v="0"/>
  </r>
  <r>
    <x v="3"/>
    <x v="62"/>
    <s v="Ø60"/>
    <s v="Recup CalorieManchon Isolant - ArmaflexØ60"/>
    <s v="Manchon pour tube D60 - Ep13"/>
    <n v="17"/>
    <s v="MIR60x13"/>
    <s v="PUM Plastique"/>
    <s v="PUM 53467"/>
    <n v="0"/>
    <m/>
    <m/>
    <m/>
    <m/>
    <m/>
    <m/>
    <n v="0"/>
    <m/>
    <m/>
    <m/>
    <m/>
    <n v="0"/>
    <n v="0"/>
    <n v="0"/>
    <n v="0"/>
    <n v="0"/>
    <n v="0"/>
    <n v="0"/>
  </r>
  <r>
    <x v="3"/>
    <x v="62"/>
    <s v="Ø60"/>
    <s v="Recup CalorieManchon Isolant - ArmaflexØ60"/>
    <s v="Manchon pour tube D60 - Ep19"/>
    <n v="18"/>
    <s v="MIR60x19"/>
    <m/>
    <s v="ARMMNXG060019"/>
    <n v="0"/>
    <m/>
    <m/>
    <m/>
    <m/>
    <m/>
    <m/>
    <n v="0"/>
    <m/>
    <m/>
    <m/>
    <m/>
    <n v="0"/>
    <n v="0"/>
    <n v="0"/>
    <n v="0"/>
    <n v="0"/>
    <n v="0"/>
    <n v="0"/>
  </r>
  <r>
    <x v="3"/>
    <x v="62"/>
    <s v="Ø89"/>
    <s v="Recup CalorieManchon Isolant - ArmaflexØ89"/>
    <s v="Manchon pour tube D80 - Ep19"/>
    <n v="19"/>
    <s v="MIR89x19"/>
    <m/>
    <s v="58965"/>
    <n v="0"/>
    <m/>
    <m/>
    <m/>
    <m/>
    <m/>
    <m/>
    <n v="0"/>
    <m/>
    <m/>
    <m/>
    <m/>
    <n v="0"/>
    <n v="0"/>
    <n v="0"/>
    <n v="0"/>
    <n v="0"/>
    <n v="0"/>
    <n v="0"/>
  </r>
  <r>
    <x v="3"/>
    <x v="62"/>
    <s v="Ø89"/>
    <s v="Recup CalorieManchon Isolant - ArmaflexØ89"/>
    <s v="Manchon pour tube D80 - Ep13"/>
    <n v="20"/>
    <s v="MIR89x13"/>
    <s v="PUM Plastique"/>
    <s v="PUM 58959"/>
    <n v="0"/>
    <m/>
    <m/>
    <m/>
    <m/>
    <m/>
    <m/>
    <n v="0"/>
    <m/>
    <m/>
    <m/>
    <m/>
    <n v="0"/>
    <n v="0"/>
    <n v="0"/>
    <n v="0"/>
    <n v="0"/>
    <n v="0"/>
    <n v="0"/>
  </r>
  <r>
    <x v="3"/>
    <x v="62"/>
    <m/>
    <s v="Recup CalorieManchon Isolant - Armaflex"/>
    <m/>
    <n v="0"/>
    <m/>
    <m/>
    <m/>
    <n v="0"/>
    <m/>
    <m/>
    <m/>
    <m/>
    <m/>
    <m/>
    <n v="0"/>
    <m/>
    <m/>
    <m/>
    <m/>
    <n v="0"/>
    <n v="0"/>
    <n v="0"/>
    <n v="0"/>
    <n v="0"/>
    <n v="0"/>
    <n v="0"/>
  </r>
  <r>
    <x v="3"/>
    <x v="63"/>
    <m/>
    <s v="Recup CalorieManomètre "/>
    <s v="Mano Inox - 0-60° - A bain d'huile- D100 - Radial - 1/2&quot; - 0-10b"/>
    <n v="1"/>
    <n v="1615006"/>
    <s v="Sferaco"/>
    <n v="1615006"/>
    <n v="0"/>
    <m/>
    <m/>
    <m/>
    <m/>
    <m/>
    <m/>
    <n v="0"/>
    <m/>
    <m/>
    <m/>
    <m/>
    <n v="0"/>
    <n v="0"/>
    <n v="0"/>
    <n v="0"/>
    <n v="0"/>
    <n v="0"/>
    <n v="0"/>
  </r>
  <r>
    <x v="3"/>
    <x v="63"/>
    <m/>
    <s v="Recup CalorieManomètre "/>
    <s v="Mano Plast - 0-60° - D40 - Axial - 1/8&quot; - 0-16b"/>
    <n v="2"/>
    <s v="421.18"/>
    <s v="Sferaco"/>
    <n v="1640007"/>
    <n v="0"/>
    <m/>
    <m/>
    <m/>
    <m/>
    <m/>
    <m/>
    <n v="0"/>
    <m/>
    <m/>
    <m/>
    <m/>
    <n v="0"/>
    <n v="0"/>
    <n v="0"/>
    <n v="0"/>
    <n v="0"/>
    <n v="0"/>
    <n v="0"/>
  </r>
  <r>
    <x v="3"/>
    <x v="63"/>
    <m/>
    <s v="Recup CalorieManomètre "/>
    <s v="Mano Plast - 0-60° - D40 - Axial - 1/8&quot; - 0-10b"/>
    <n v="3"/>
    <s v="SF1640006"/>
    <s v="Sferaco"/>
    <n v="1640006"/>
    <n v="0"/>
    <m/>
    <m/>
    <m/>
    <m/>
    <m/>
    <m/>
    <n v="0"/>
    <m/>
    <m/>
    <m/>
    <m/>
    <n v="0"/>
    <n v="0"/>
    <n v="0"/>
    <n v="0"/>
    <n v="0"/>
    <n v="0"/>
    <n v="0"/>
  </r>
  <r>
    <x v="3"/>
    <x v="63"/>
    <m/>
    <s v="Recup CalorieManomètre "/>
    <s v="Mano Inox - 0-60° - A bain d'huile- D50 - Axial - 1/4&quot; - 0-4b"/>
    <n v="4"/>
    <s v="SF1622004"/>
    <s v="Sferaco"/>
    <n v="1622004"/>
    <n v="0"/>
    <m/>
    <m/>
    <m/>
    <m/>
    <m/>
    <m/>
    <n v="0"/>
    <m/>
    <m/>
    <m/>
    <m/>
    <n v="0"/>
    <n v="0"/>
    <n v="0"/>
    <n v="0"/>
    <n v="0"/>
    <n v="0"/>
    <n v="0"/>
  </r>
  <r>
    <x v="3"/>
    <x v="63"/>
    <m/>
    <s v="Recup CalorieManomètre "/>
    <s v="Mano Inox - 0-60° - A bain d'huile- D50 - Axial - 1/4&quot; - 0-6b"/>
    <n v="5"/>
    <s v="SF1622005"/>
    <s v="Sferaco"/>
    <n v="1622005"/>
    <n v="0"/>
    <m/>
    <m/>
    <m/>
    <m/>
    <m/>
    <m/>
    <n v="0"/>
    <m/>
    <m/>
    <m/>
    <m/>
    <n v="0"/>
    <n v="0"/>
    <n v="0"/>
    <n v="0"/>
    <n v="0"/>
    <n v="0"/>
    <n v="0"/>
  </r>
  <r>
    <x v="3"/>
    <x v="63"/>
    <m/>
    <s v="Recup CalorieManomètre "/>
    <s v="Mano Inox - 0-60° - A bain d'huile- D50 - Axial - 1/4&quot; - 0-10b"/>
    <n v="6"/>
    <s v="SF1622006"/>
    <s v="Sferaco"/>
    <n v="1622006"/>
    <n v="0"/>
    <m/>
    <m/>
    <m/>
    <m/>
    <m/>
    <m/>
    <n v="0"/>
    <m/>
    <m/>
    <m/>
    <m/>
    <n v="0"/>
    <n v="0"/>
    <n v="0"/>
    <n v="0"/>
    <n v="0"/>
    <n v="0"/>
    <n v="0"/>
  </r>
  <r>
    <x v="3"/>
    <x v="63"/>
    <m/>
    <s v="Recup CalorieManomètre "/>
    <s v="Mano Inox - 0-60° - A bain d'huile- D63 - Axial - 1/4&quot; - 0-1,6b"/>
    <n v="7"/>
    <s v="SF1623002"/>
    <s v="Sferaco"/>
    <n v="1623002"/>
    <n v="0"/>
    <m/>
    <m/>
    <m/>
    <m/>
    <m/>
    <m/>
    <n v="0"/>
    <m/>
    <m/>
    <m/>
    <m/>
    <n v="0"/>
    <n v="0"/>
    <n v="0"/>
    <n v="0"/>
    <n v="0"/>
    <n v="0"/>
    <n v="0"/>
  </r>
  <r>
    <x v="3"/>
    <x v="63"/>
    <m/>
    <s v="Recup CalorieManomètre "/>
    <s v="Mano Inox - 0-60° - A bain d'huile- D63 - Axial - 1/4&quot; - 0-4b"/>
    <n v="8"/>
    <s v="SF1623004"/>
    <s v="Sferaco"/>
    <n v="1623004"/>
    <n v="0"/>
    <m/>
    <m/>
    <m/>
    <m/>
    <m/>
    <m/>
    <n v="0"/>
    <m/>
    <m/>
    <m/>
    <m/>
    <n v="0"/>
    <n v="0"/>
    <n v="0"/>
    <n v="0"/>
    <n v="0"/>
    <n v="0"/>
    <n v="0"/>
  </r>
  <r>
    <x v="3"/>
    <x v="63"/>
    <m/>
    <s v="Recup CalorieManomètre "/>
    <s v="Mano Inox - 0-60° - A bain d'huile- D63 - Axial - 1/4&quot; - 0-10b"/>
    <n v="9"/>
    <s v="SF1623006"/>
    <s v="Sferaco"/>
    <n v="1623006"/>
    <n v="0"/>
    <m/>
    <m/>
    <m/>
    <m/>
    <m/>
    <m/>
    <n v="0"/>
    <m/>
    <m/>
    <m/>
    <m/>
    <n v="0"/>
    <n v="0"/>
    <n v="0"/>
    <n v="0"/>
    <n v="0"/>
    <n v="0"/>
    <n v="0"/>
  </r>
  <r>
    <x v="3"/>
    <x v="63"/>
    <m/>
    <s v="Recup CalorieManomètre "/>
    <s v="Mano Inox - 0-60° - A bain d'huile- D63 - Axial - 1/4&quot; - 0-16b"/>
    <n v="10"/>
    <s v="SF1623007"/>
    <s v="Sferaco"/>
    <n v="1623007"/>
    <n v="0"/>
    <m/>
    <m/>
    <m/>
    <m/>
    <m/>
    <m/>
    <n v="0"/>
    <m/>
    <m/>
    <m/>
    <m/>
    <n v="0"/>
    <n v="0"/>
    <n v="0"/>
    <n v="0"/>
    <n v="0"/>
    <n v="0"/>
    <n v="0"/>
  </r>
  <r>
    <x v="3"/>
    <x v="63"/>
    <m/>
    <s v="Recup CalorieManomètre "/>
    <s v="Mano Inox - 0-60° - A bain d'huile- D63 - Axial - 1/4&quot; - 0-25b"/>
    <n v="11"/>
    <s v="SF1623008"/>
    <s v="Sferaco"/>
    <n v="1623008"/>
    <n v="0"/>
    <m/>
    <m/>
    <m/>
    <m/>
    <m/>
    <m/>
    <n v="0"/>
    <m/>
    <m/>
    <m/>
    <m/>
    <n v="0"/>
    <n v="0"/>
    <n v="0"/>
    <n v="0"/>
    <n v="0"/>
    <n v="0"/>
    <n v="0"/>
  </r>
  <r>
    <x v="3"/>
    <x v="63"/>
    <m/>
    <s v="Recup CalorieManomètre "/>
    <s v="Mano Inox - 0-60° - A bain d'huile- D63 - Axial - 1/4&quot; - 0-40b"/>
    <n v="12"/>
    <n v="1623009"/>
    <s v="Sferaco"/>
    <n v="1623009"/>
    <n v="0"/>
    <m/>
    <m/>
    <m/>
    <m/>
    <m/>
    <m/>
    <n v="0"/>
    <m/>
    <m/>
    <m/>
    <m/>
    <n v="0"/>
    <n v="0"/>
    <n v="0"/>
    <n v="0"/>
    <n v="0"/>
    <n v="0"/>
    <n v="0"/>
  </r>
  <r>
    <x v="3"/>
    <x v="63"/>
    <m/>
    <s v="Recup CalorieManomètre "/>
    <s v="Mano Inox - 0-60° - A bain d'huile- D63 - Axial - 1/4&quot; - 0-100b"/>
    <n v="13"/>
    <s v="SF1623011"/>
    <s v="Sferaco"/>
    <n v="1623011"/>
    <n v="0"/>
    <m/>
    <m/>
    <m/>
    <m/>
    <m/>
    <m/>
    <n v="0"/>
    <m/>
    <m/>
    <m/>
    <m/>
    <n v="0"/>
    <n v="0"/>
    <n v="0"/>
    <n v="0"/>
    <n v="0"/>
    <n v="0"/>
    <n v="0"/>
  </r>
  <r>
    <x v="3"/>
    <x v="63"/>
    <m/>
    <s v="Recup CalorieManomètre "/>
    <s v="Mano Inox - 0-60° - A bain d'huile- D100 - Axial - 1/2&quot; - 0-10b"/>
    <n v="14"/>
    <s v="SF1625006"/>
    <s v="Sferaco"/>
    <n v="1625006"/>
    <n v="0"/>
    <m/>
    <m/>
    <m/>
    <m/>
    <m/>
    <m/>
    <n v="0"/>
    <m/>
    <m/>
    <m/>
    <m/>
    <n v="0"/>
    <n v="0"/>
    <n v="0"/>
    <n v="0"/>
    <n v="0"/>
    <n v="0"/>
    <n v="0"/>
  </r>
  <r>
    <x v="3"/>
    <x v="63"/>
    <m/>
    <s v="Recup CalorieManomètre "/>
    <s v="Mano tout Inox - 0-100° - D63 - Axial - 1/2&quot; - 0-4b"/>
    <n v="15"/>
    <n v="1626004"/>
    <s v="Sferaco"/>
    <n v="1626004"/>
    <n v="0"/>
    <m/>
    <m/>
    <m/>
    <m/>
    <m/>
    <m/>
    <n v="0"/>
    <m/>
    <m/>
    <m/>
    <m/>
    <n v="0"/>
    <n v="0"/>
    <n v="0"/>
    <n v="0"/>
    <n v="0"/>
    <n v="0"/>
    <n v="0"/>
  </r>
  <r>
    <x v="3"/>
    <x v="63"/>
    <m/>
    <s v="Recup CalorieManomètre "/>
    <s v="Mano Plast - 0-60° - D63 - Radial - 1/8&quot; - 0-10b"/>
    <n v="16"/>
    <s v="SF1643006"/>
    <s v="Sferaco"/>
    <n v="1643006"/>
    <n v="0"/>
    <m/>
    <m/>
    <m/>
    <m/>
    <m/>
    <m/>
    <n v="0"/>
    <m/>
    <m/>
    <m/>
    <m/>
    <n v="0"/>
    <n v="0"/>
    <n v="0"/>
    <n v="0"/>
    <n v="0"/>
    <n v="0"/>
    <n v="0"/>
  </r>
  <r>
    <x v="3"/>
    <x v="63"/>
    <m/>
    <s v="Recup CalorieManomètre "/>
    <s v="Mano Plast - 0-60° - D63 - Radial - 1/8&quot; - 0-16b"/>
    <n v="17"/>
    <n v="1643007"/>
    <m/>
    <n v="1643007"/>
    <n v="0"/>
    <m/>
    <m/>
    <m/>
    <m/>
    <m/>
    <m/>
    <n v="0"/>
    <m/>
    <m/>
    <m/>
    <m/>
    <n v="0"/>
    <n v="0"/>
    <n v="0"/>
    <n v="0"/>
    <n v="0"/>
    <n v="0"/>
    <n v="0"/>
  </r>
  <r>
    <x v="3"/>
    <x v="63"/>
    <m/>
    <s v="Recup CalorieManomètre "/>
    <s v="Mano Inox - -20-60° - A bain d'huile- D63 - Radial - 1/4&quot; - 0-6b"/>
    <n v="18"/>
    <s v="008821"/>
    <s v="Sofinther / Distrilabo"/>
    <s v="008821"/>
    <n v="0"/>
    <m/>
    <m/>
    <m/>
    <m/>
    <m/>
    <m/>
    <n v="0"/>
    <m/>
    <m/>
    <m/>
    <m/>
    <n v="0"/>
    <n v="0"/>
    <n v="0"/>
    <n v="0"/>
    <n v="0"/>
    <n v="0"/>
    <n v="0"/>
  </r>
  <r>
    <x v="3"/>
    <x v="63"/>
    <m/>
    <s v="Recup CalorieManomètre "/>
    <s v="Mano Inox - 0-60° - A bain d'huile- D63 - Radial - 1/4&quot; - -1+1b"/>
    <n v="19"/>
    <n v="1613001"/>
    <s v="Sferaco"/>
    <n v="1613001"/>
    <n v="0"/>
    <m/>
    <m/>
    <m/>
    <m/>
    <m/>
    <m/>
    <n v="0"/>
    <m/>
    <m/>
    <m/>
    <m/>
    <n v="0"/>
    <n v="0"/>
    <n v="0"/>
    <n v="0"/>
    <n v="0"/>
    <n v="0"/>
    <n v="0"/>
  </r>
  <r>
    <x v="3"/>
    <x v="63"/>
    <m/>
    <s v="Recup CalorieManomètre "/>
    <s v="Mano Inox - 0-60° - A bain d'huile- D63 - Radial - 1/4&quot; - 0-1,6b"/>
    <n v="20"/>
    <s v="SF1613002"/>
    <s v="Sferaco"/>
    <s v="1613002"/>
    <n v="0"/>
    <m/>
    <m/>
    <m/>
    <m/>
    <m/>
    <m/>
    <n v="0"/>
    <m/>
    <m/>
    <m/>
    <m/>
    <n v="0"/>
    <n v="0"/>
    <n v="0"/>
    <n v="0"/>
    <n v="0"/>
    <n v="0"/>
    <n v="0"/>
  </r>
  <r>
    <x v="3"/>
    <x v="63"/>
    <m/>
    <s v="Recup CalorieManomètre "/>
    <s v="Mano Inox - 0-60° - A bain d'huile- D63 - Radial - 1/4&quot; - 0-6b"/>
    <n v="21"/>
    <n v="16130005"/>
    <s v="Sferaco"/>
    <n v="1613005"/>
    <n v="0"/>
    <m/>
    <m/>
    <m/>
    <m/>
    <m/>
    <m/>
    <n v="0"/>
    <m/>
    <m/>
    <m/>
    <m/>
    <n v="0"/>
    <n v="0"/>
    <n v="0"/>
    <n v="0"/>
    <n v="0"/>
    <n v="0"/>
    <n v="0"/>
  </r>
  <r>
    <x v="3"/>
    <x v="63"/>
    <m/>
    <s v="Recup CalorieManomètre "/>
    <s v="Mano Inox - 0-60° - A bain d'huile- D63 - Radial - 1/4&quot; - 0-10b"/>
    <n v="22"/>
    <s v="SF1613006"/>
    <s v="Sferaco"/>
    <s v="1613006"/>
    <n v="0"/>
    <m/>
    <m/>
    <m/>
    <m/>
    <m/>
    <m/>
    <n v="0"/>
    <m/>
    <m/>
    <m/>
    <m/>
    <n v="0"/>
    <n v="0"/>
    <n v="0"/>
    <n v="0"/>
    <n v="0"/>
    <n v="0"/>
    <n v="0"/>
  </r>
  <r>
    <x v="3"/>
    <x v="63"/>
    <m/>
    <s v="Recup CalorieManomètre "/>
    <s v="Mano Inox - 0-60° - A bain d'huile- D63 - Radial - 1/4&quot; - 0-16b"/>
    <n v="23"/>
    <s v="SF1613007"/>
    <s v="Sferaco"/>
    <s v="1613007"/>
    <n v="0"/>
    <m/>
    <m/>
    <m/>
    <m/>
    <m/>
    <m/>
    <n v="0"/>
    <m/>
    <m/>
    <m/>
    <m/>
    <n v="0"/>
    <n v="0"/>
    <n v="0"/>
    <n v="0"/>
    <n v="0"/>
    <n v="0"/>
    <n v="0"/>
  </r>
  <r>
    <x v="3"/>
    <x v="63"/>
    <m/>
    <s v="Recup CalorieManomètre "/>
    <s v="Mano Inox - 0-60° - A bain d'huile- D63 - Radial - 1/4&quot; - 0-25b"/>
    <n v="24"/>
    <s v="SF1613008"/>
    <s v="Sferaco"/>
    <s v="1613008"/>
    <n v="0"/>
    <m/>
    <m/>
    <m/>
    <m/>
    <m/>
    <m/>
    <n v="0"/>
    <m/>
    <m/>
    <m/>
    <m/>
    <n v="0"/>
    <n v="0"/>
    <n v="0"/>
    <n v="0"/>
    <n v="0"/>
    <n v="0"/>
    <n v="0"/>
  </r>
  <r>
    <x v="3"/>
    <x v="63"/>
    <m/>
    <s v="Recup CalorieManomètre "/>
    <s v="Mano Inox - 0-60° - A bain d'huile- D63 - Radial - 1/4&quot; - 0-100b"/>
    <n v="25"/>
    <s v="SF1613011"/>
    <s v="Sferaco"/>
    <s v="1613011"/>
    <n v="0"/>
    <m/>
    <m/>
    <m/>
    <m/>
    <m/>
    <m/>
    <n v="0"/>
    <m/>
    <m/>
    <m/>
    <m/>
    <n v="0"/>
    <n v="0"/>
    <n v="0"/>
    <n v="0"/>
    <n v="0"/>
    <n v="0"/>
    <n v="0"/>
  </r>
  <r>
    <x v="3"/>
    <x v="63"/>
    <m/>
    <s v="Recup CalorieManomètre "/>
    <s v="Mano Inox - -20-60° - A bain d'huile- D100 - Radial - 1/2&quot; - 0-6b"/>
    <n v="26"/>
    <s v="008792"/>
    <s v="Sofinther / Distrilabo"/>
    <s v="008792"/>
    <n v="0"/>
    <m/>
    <m/>
    <m/>
    <m/>
    <m/>
    <m/>
    <n v="0"/>
    <m/>
    <m/>
    <m/>
    <m/>
    <n v="0"/>
    <n v="0"/>
    <n v="0"/>
    <n v="0"/>
    <n v="0"/>
    <n v="0"/>
    <n v="0"/>
  </r>
  <r>
    <x v="3"/>
    <x v="63"/>
    <m/>
    <s v="Recup CalorieManomètre "/>
    <s v="Mano Plast - -25-60° - D80 - Radial - 1/2&quot; - 0-6b"/>
    <n v="27"/>
    <s v="008862"/>
    <s v="Sofinther / Distrilabo"/>
    <s v="008862"/>
    <n v="0"/>
    <m/>
    <m/>
    <m/>
    <m/>
    <m/>
    <m/>
    <n v="0"/>
    <m/>
    <m/>
    <m/>
    <m/>
    <n v="0"/>
    <n v="0"/>
    <n v="0"/>
    <n v="0"/>
    <n v="0"/>
    <n v="0"/>
    <n v="0"/>
  </r>
  <r>
    <x v="3"/>
    <x v="63"/>
    <m/>
    <s v="Recup CalorieManomètre "/>
    <s v="Mano - D100 - Radial - 1/2&quot; - 0-16b"/>
    <n v="28"/>
    <s v="1011.12"/>
    <s v="CITEC"/>
    <s v="1011.12"/>
    <n v="0"/>
    <m/>
    <m/>
    <m/>
    <m/>
    <m/>
    <m/>
    <n v="0"/>
    <m/>
    <m/>
    <m/>
    <m/>
    <n v="0"/>
    <n v="0"/>
    <n v="0"/>
    <n v="0"/>
    <n v="0"/>
    <n v="0"/>
    <n v="0"/>
  </r>
  <r>
    <x v="3"/>
    <x v="63"/>
    <m/>
    <s v="Recup CalorieManomètre "/>
    <s v="Mano Inox - 0-60° - A bain d'huile- D100 - Radial - 1/2&quot; - 0-16b"/>
    <n v="29"/>
    <s v="SF1615002"/>
    <s v="Sferaco"/>
    <s v="1615002"/>
    <n v="0"/>
    <m/>
    <m/>
    <m/>
    <m/>
    <m/>
    <m/>
    <n v="0"/>
    <m/>
    <m/>
    <m/>
    <m/>
    <n v="0"/>
    <n v="0"/>
    <n v="0"/>
    <n v="0"/>
    <n v="0"/>
    <n v="0"/>
    <n v="0"/>
  </r>
  <r>
    <x v="3"/>
    <x v="63"/>
    <m/>
    <s v="Recup CalorieManomètre "/>
    <s v="Mano Inox - 0-60° - A bain d'huile- D100 - Radial - 1/2&quot; - 0-6b"/>
    <n v="30"/>
    <s v="SF1615005"/>
    <s v="Sferaco"/>
    <n v="1615005"/>
    <n v="0"/>
    <m/>
    <m/>
    <m/>
    <m/>
    <m/>
    <m/>
    <n v="0"/>
    <m/>
    <m/>
    <m/>
    <m/>
    <n v="0"/>
    <n v="0"/>
    <n v="0"/>
    <n v="0"/>
    <n v="0"/>
    <n v="0"/>
    <n v="0"/>
  </r>
  <r>
    <x v="3"/>
    <x v="63"/>
    <m/>
    <s v="Recup CalorieManomètre "/>
    <s v="Mano Inox - 0-60° - A bain d'huile- D100 - Radial - 1/2&quot; - 0-16b"/>
    <n v="31"/>
    <s v="SF1615007"/>
    <s v="Sferaco"/>
    <n v="1615007"/>
    <n v="0"/>
    <m/>
    <m/>
    <m/>
    <m/>
    <m/>
    <m/>
    <n v="0"/>
    <m/>
    <m/>
    <m/>
    <m/>
    <n v="0"/>
    <n v="0"/>
    <n v="0"/>
    <n v="0"/>
    <n v="0"/>
    <n v="0"/>
    <n v="0"/>
  </r>
  <r>
    <x v="3"/>
    <x v="63"/>
    <m/>
    <s v="Recup CalorieManomètre "/>
    <s v="Mano Inox - 0-60° - A bain d'huile- D100 - Radial - 1/2&quot; - 0-25b"/>
    <n v="32"/>
    <s v="SF1615008"/>
    <s v="Sferaco"/>
    <n v="1615008"/>
    <n v="0"/>
    <m/>
    <m/>
    <m/>
    <m/>
    <m/>
    <m/>
    <n v="0"/>
    <m/>
    <m/>
    <m/>
    <m/>
    <n v="0"/>
    <n v="0"/>
    <n v="0"/>
    <n v="0"/>
    <n v="0"/>
    <n v="0"/>
    <n v="0"/>
  </r>
  <r>
    <x v="3"/>
    <x v="63"/>
    <m/>
    <s v="Recup CalorieManomètre "/>
    <s v="Mano Inox - 0-60° - A bain d'huile- D100 - Radial - 1/2&quot; - 0-40b"/>
    <n v="33"/>
    <n v="1615009"/>
    <s v="Sferaco"/>
    <n v="1615009"/>
    <n v="0"/>
    <m/>
    <m/>
    <m/>
    <m/>
    <m/>
    <m/>
    <n v="0"/>
    <m/>
    <m/>
    <m/>
    <m/>
    <n v="0"/>
    <n v="0"/>
    <n v="0"/>
    <n v="0"/>
    <n v="0"/>
    <n v="0"/>
    <n v="0"/>
  </r>
  <r>
    <x v="3"/>
    <x v="63"/>
    <m/>
    <s v="Recup CalorieManomètre "/>
    <s v="Mano Inox - 0-60° - A bain d'huile- D100 - Radial - 1/2&quot; - 0-60b"/>
    <n v="34"/>
    <s v="SF1615010"/>
    <s v="Sferaco"/>
    <n v="1615010"/>
    <n v="0"/>
    <m/>
    <m/>
    <m/>
    <m/>
    <m/>
    <m/>
    <n v="0"/>
    <m/>
    <m/>
    <m/>
    <m/>
    <n v="0"/>
    <n v="0"/>
    <n v="0"/>
    <n v="0"/>
    <n v="0"/>
    <n v="0"/>
    <n v="0"/>
  </r>
  <r>
    <x v="3"/>
    <x v="63"/>
    <m/>
    <s v="Recup CalorieManomètre "/>
    <s v="Mano tout Inox - 0-100° - D100 - Radial - 1/2&quot; - 0-16b"/>
    <n v="35"/>
    <n v="1617007"/>
    <s v="Sferaco"/>
    <n v="1617007"/>
    <n v="0"/>
    <m/>
    <m/>
    <m/>
    <m/>
    <m/>
    <m/>
    <n v="0"/>
    <m/>
    <m/>
    <m/>
    <m/>
    <n v="0"/>
    <n v="0"/>
    <n v="0"/>
    <n v="0"/>
    <n v="0"/>
    <n v="0"/>
    <n v="0"/>
  </r>
  <r>
    <x v="3"/>
    <x v="63"/>
    <m/>
    <s v="Recup CalorieManomètre "/>
    <s v="Mano Plast - 0-60° - D100 - Radial - 1/2&quot; - 0-16b"/>
    <n v="36"/>
    <s v="SF1645007"/>
    <s v="Sferaco"/>
    <n v="1645007"/>
    <n v="0"/>
    <m/>
    <m/>
    <m/>
    <m/>
    <m/>
    <m/>
    <n v="0"/>
    <m/>
    <m/>
    <m/>
    <m/>
    <n v="0"/>
    <n v="0"/>
    <n v="0"/>
    <n v="0"/>
    <n v="0"/>
    <n v="0"/>
    <n v="0"/>
  </r>
  <r>
    <x v="3"/>
    <x v="63"/>
    <m/>
    <s v="Recup CalorieManomètre "/>
    <s v="Mano Plast - D40 - Radial - 1/2&quot; -0-4b"/>
    <n v="37"/>
    <s v="K00479"/>
    <s v="Catry"/>
    <n v="27560"/>
    <n v="0"/>
    <m/>
    <m/>
    <m/>
    <m/>
    <m/>
    <m/>
    <n v="0"/>
    <m/>
    <m/>
    <m/>
    <m/>
    <n v="0"/>
    <n v="0"/>
    <n v="0"/>
    <n v="0"/>
    <n v="0"/>
    <n v="0"/>
    <n v="0"/>
  </r>
  <r>
    <x v="3"/>
    <x v="63"/>
    <m/>
    <s v="Recup CalorieManomètre "/>
    <s v="Mano Plast - D63 - Radial - 1/4&quot; - 0-4b ?"/>
    <n v="38"/>
    <s v="MANO004"/>
    <s v="STAMI"/>
    <s v="MT63RA1/4&quot;G0+4/G"/>
    <n v="0"/>
    <m/>
    <m/>
    <m/>
    <m/>
    <m/>
    <m/>
    <n v="0"/>
    <m/>
    <m/>
    <m/>
    <m/>
    <n v="0"/>
    <n v="0"/>
    <n v="0"/>
    <n v="0"/>
    <n v="0"/>
    <n v="0"/>
    <n v="0"/>
  </r>
  <r>
    <x v="3"/>
    <x v="63"/>
    <m/>
    <s v="Recup CalorieManomètre "/>
    <s v="Mano Plast - D63 - Radial - 1/4&quot; - 0-10b ?"/>
    <n v="39"/>
    <s v="MANO010"/>
    <s v="STAMI"/>
    <s v="MT63RA1/4&quot;G0+10GEOM"/>
    <n v="0"/>
    <m/>
    <m/>
    <m/>
    <m/>
    <m/>
    <m/>
    <n v="0"/>
    <m/>
    <m/>
    <m/>
    <m/>
    <n v="0"/>
    <n v="0"/>
    <n v="0"/>
    <n v="0"/>
    <n v="0"/>
    <n v="0"/>
    <n v="0"/>
  </r>
  <r>
    <x v="3"/>
    <x v="63"/>
    <m/>
    <s v="Recup CalorieManomètre "/>
    <s v="Mano Plast - D63 - Axial - 1/4&quot; - 0-10b ?"/>
    <n v="40"/>
    <s v="MANO010-PV"/>
    <m/>
    <s v="MT63RV1/4&quot;G0+10GEOM"/>
    <n v="0"/>
    <m/>
    <m/>
    <m/>
    <m/>
    <m/>
    <m/>
    <n v="0"/>
    <m/>
    <m/>
    <m/>
    <m/>
    <n v="0"/>
    <n v="0"/>
    <n v="0"/>
    <n v="0"/>
    <n v="0"/>
    <n v="0"/>
    <n v="0"/>
  </r>
  <r>
    <x v="3"/>
    <x v="63"/>
    <m/>
    <s v="Recup CalorieManomètre "/>
    <s v="0-4 b 1/8 ar."/>
    <n v="41"/>
    <s v="G12"/>
    <s v="Technic Air"/>
    <m/>
    <n v="0"/>
    <m/>
    <m/>
    <m/>
    <m/>
    <m/>
    <m/>
    <n v="0"/>
    <m/>
    <m/>
    <m/>
    <m/>
    <n v="0"/>
    <n v="0"/>
    <n v="0"/>
    <n v="0"/>
    <n v="0"/>
    <n v="0"/>
    <n v="0"/>
  </r>
  <r>
    <x v="3"/>
    <x v="63"/>
    <m/>
    <s v="Recup CalorieManomètre "/>
    <s v="Manomètre 0 -4 bar dia 63 - 1/4&quot; "/>
    <n v="42"/>
    <s v="MANO-06B"/>
    <s v="TC concept"/>
    <n v="3510307"/>
    <n v="0"/>
    <m/>
    <m/>
    <m/>
    <m/>
    <m/>
    <m/>
    <n v="0"/>
    <m/>
    <m/>
    <m/>
    <m/>
    <n v="0"/>
    <n v="0"/>
    <n v="0"/>
    <n v="0"/>
    <n v="0"/>
    <n v="0"/>
    <n v="0"/>
  </r>
  <r>
    <x v="3"/>
    <x v="63"/>
    <m/>
    <s v="Recup CalorieManomètre "/>
    <s v="Mano pour circuit de chauffage diam 40 - 4 bar"/>
    <n v="43"/>
    <s v="MANO-04B"/>
    <s v="Catry"/>
    <m/>
    <n v="0"/>
    <m/>
    <m/>
    <m/>
    <m/>
    <m/>
    <m/>
    <n v="0"/>
    <m/>
    <m/>
    <m/>
    <m/>
    <n v="0"/>
    <n v="0"/>
    <n v="0"/>
    <n v="0"/>
    <n v="0"/>
    <n v="0"/>
    <n v="0"/>
  </r>
  <r>
    <x v="3"/>
    <x v="63"/>
    <m/>
    <s v="Recup CalorieManomètre "/>
    <s v="Manomètre 0- 10 bars dia 63 - 1/4&quot; (90)°"/>
    <n v="44"/>
    <s v="MANO-010B"/>
    <s v="Thermador"/>
    <s v="MR10"/>
    <n v="0"/>
    <m/>
    <m/>
    <m/>
    <m/>
    <m/>
    <m/>
    <n v="0"/>
    <m/>
    <m/>
    <m/>
    <m/>
    <n v="0"/>
    <n v="0"/>
    <n v="0"/>
    <n v="0"/>
    <n v="0"/>
    <n v="0"/>
    <n v="0"/>
  </r>
  <r>
    <x v="3"/>
    <x v="63"/>
    <m/>
    <s v="Recup CalorieManomètre "/>
    <m/>
    <n v="0"/>
    <m/>
    <m/>
    <m/>
    <n v="0"/>
    <m/>
    <m/>
    <m/>
    <m/>
    <m/>
    <m/>
    <n v="0"/>
    <m/>
    <m/>
    <m/>
    <m/>
    <n v="0"/>
    <n v="0"/>
    <n v="0"/>
    <n v="0"/>
    <n v="0"/>
    <n v="0"/>
    <n v="0"/>
  </r>
  <r>
    <x v="3"/>
    <x v="64"/>
    <m/>
    <s v="Recup CaloriePressostat Manque d'eau"/>
    <s v="Pressostat P77L 0.5-7b 109P77AAA9300"/>
    <n v="1"/>
    <s v="004154"/>
    <s v="Johnson Controls"/>
    <s v="109P77AAA9300"/>
    <n v="0"/>
    <m/>
    <m/>
    <m/>
    <m/>
    <m/>
    <m/>
    <n v="0"/>
    <m/>
    <m/>
    <m/>
    <m/>
    <n v="0"/>
    <n v="0"/>
    <n v="0"/>
    <n v="0"/>
    <n v="0"/>
    <n v="0"/>
    <n v="0"/>
  </r>
  <r>
    <x v="3"/>
    <x v="64"/>
    <m/>
    <s v="Recup CaloriePressostat Manque d'eau"/>
    <s v="Raccord Laiton Male 1/2&quot; pour pressostat"/>
    <n v="2"/>
    <s v="004390"/>
    <s v="Johnson Controls"/>
    <m/>
    <n v="0"/>
    <m/>
    <m/>
    <m/>
    <m/>
    <m/>
    <m/>
    <n v="0"/>
    <m/>
    <m/>
    <m/>
    <m/>
    <n v="0"/>
    <n v="0"/>
    <n v="0"/>
    <n v="0"/>
    <n v="0"/>
    <n v="0"/>
    <n v="0"/>
  </r>
  <r>
    <x v="3"/>
    <x v="64"/>
    <m/>
    <s v="Recup CaloriePressostat Manque d'eau"/>
    <s v="Kit Pressostat manque d'eau et raccord pour 109P77AAA9300"/>
    <n v="3"/>
    <s v="004156"/>
    <s v="Johnson Controls"/>
    <m/>
    <n v="0"/>
    <m/>
    <m/>
    <m/>
    <m/>
    <m/>
    <m/>
    <n v="0"/>
    <m/>
    <m/>
    <m/>
    <m/>
    <n v="0"/>
    <n v="0"/>
    <n v="0"/>
    <n v="0"/>
    <n v="0"/>
    <n v="0"/>
    <n v="0"/>
  </r>
  <r>
    <x v="3"/>
    <x v="64"/>
    <m/>
    <s v="Recup CaloriePressostat Manque d'eau"/>
    <m/>
    <n v="0"/>
    <m/>
    <m/>
    <m/>
    <n v="0"/>
    <m/>
    <m/>
    <m/>
    <m/>
    <m/>
    <m/>
    <n v="0"/>
    <m/>
    <m/>
    <m/>
    <m/>
    <n v="0"/>
    <n v="0"/>
    <n v="0"/>
    <n v="0"/>
    <n v="0"/>
    <n v="0"/>
    <n v="0"/>
  </r>
  <r>
    <x v="3"/>
    <x v="65"/>
    <s v="1/2&quot;"/>
    <s v="Recup CaloriePurgeur automatique 1/2&quot;"/>
    <s v="Purgeur gand debit Laiton110°C Ø65 10BARS  1/2&quot;"/>
    <n v="1"/>
    <s v="044746"/>
    <s v="SOFINTHER"/>
    <s v="044746"/>
    <n v="0"/>
    <m/>
    <m/>
    <m/>
    <m/>
    <m/>
    <m/>
    <n v="0"/>
    <m/>
    <m/>
    <m/>
    <m/>
    <n v="0"/>
    <n v="0"/>
    <n v="0"/>
    <n v="0"/>
    <n v="0"/>
    <n v="0"/>
    <n v="0"/>
  </r>
  <r>
    <x v="3"/>
    <x v="65"/>
    <s v="1/2&quot;"/>
    <s v="Recup CaloriePurgeur automatique 1/2&quot;"/>
    <s v="Purgeur automatique 1/2&quot;"/>
    <n v="2"/>
    <n v="431429"/>
    <s v="Richardson"/>
    <n v="43142"/>
    <n v="0"/>
    <m/>
    <m/>
    <m/>
    <m/>
    <m/>
    <m/>
    <n v="0"/>
    <m/>
    <m/>
    <m/>
    <m/>
    <n v="0"/>
    <n v="0"/>
    <n v="0"/>
    <n v="0"/>
    <n v="0"/>
    <n v="0"/>
    <n v="0"/>
  </r>
  <r>
    <x v="3"/>
    <x v="65"/>
    <s v="3/8"/>
    <s v="Recup CaloriePurgeur automatique 3/8"/>
    <s v="Purgeur automatique 3/8"/>
    <n v="3"/>
    <s v="PR38"/>
    <s v="Catry"/>
    <m/>
    <n v="0"/>
    <m/>
    <m/>
    <m/>
    <m/>
    <m/>
    <m/>
    <n v="0"/>
    <m/>
    <m/>
    <m/>
    <m/>
    <n v="0"/>
    <n v="0"/>
    <n v="0"/>
    <n v="0"/>
    <n v="0"/>
    <n v="0"/>
    <n v="0"/>
  </r>
  <r>
    <x v="3"/>
    <x v="65"/>
    <m/>
    <s v="Recup CaloriePurgeur automatique "/>
    <m/>
    <n v="0"/>
    <m/>
    <m/>
    <m/>
    <n v="0"/>
    <m/>
    <m/>
    <m/>
    <m/>
    <m/>
    <m/>
    <n v="0"/>
    <m/>
    <m/>
    <m/>
    <m/>
    <n v="0"/>
    <n v="0"/>
    <n v="0"/>
    <n v="0"/>
    <n v="0"/>
    <n v="0"/>
    <n v="0"/>
  </r>
  <r>
    <x v="3"/>
    <x v="66"/>
    <m/>
    <s v="Recup CalorieRaccord Hydraulique COUDE ORIENTABLE"/>
    <s v="COUDE 42L"/>
    <n v="1"/>
    <s v="CELA42L"/>
    <m/>
    <m/>
    <n v="0"/>
    <m/>
    <m/>
    <m/>
    <m/>
    <m/>
    <m/>
    <n v="0"/>
    <m/>
    <m/>
    <m/>
    <m/>
    <n v="0"/>
    <n v="0"/>
    <n v="0"/>
    <n v="0"/>
    <n v="0"/>
    <n v="0"/>
    <n v="0"/>
  </r>
  <r>
    <x v="3"/>
    <x v="66"/>
    <m/>
    <s v="Recup CalorieRaccord Hydraulique COUDE ORIENTABLE"/>
    <s v="COUDE 15L"/>
    <n v="2"/>
    <s v="CELA15LNU"/>
    <m/>
    <m/>
    <n v="0"/>
    <m/>
    <m/>
    <m/>
    <m/>
    <m/>
    <m/>
    <n v="0"/>
    <m/>
    <m/>
    <m/>
    <m/>
    <n v="0"/>
    <n v="0"/>
    <n v="0"/>
    <n v="0"/>
    <n v="0"/>
    <n v="0"/>
    <n v="0"/>
  </r>
  <r>
    <x v="3"/>
    <x v="66"/>
    <m/>
    <s v="Recup CalorieRaccord Hydraulique COUDE ORIENTABLE"/>
    <s v="COUDE 22L"/>
    <n v="3"/>
    <s v="CELA22LNU"/>
    <m/>
    <m/>
    <n v="0"/>
    <m/>
    <m/>
    <m/>
    <m/>
    <m/>
    <m/>
    <n v="0"/>
    <m/>
    <m/>
    <m/>
    <m/>
    <n v="0"/>
    <n v="0"/>
    <n v="0"/>
    <n v="0"/>
    <n v="0"/>
    <n v="0"/>
    <n v="0"/>
  </r>
  <r>
    <x v="3"/>
    <x v="66"/>
    <m/>
    <s v="Recup CalorieRaccord Hydraulique COUDE ORIENTABLE"/>
    <m/>
    <n v="0"/>
    <m/>
    <m/>
    <m/>
    <n v="0"/>
    <m/>
    <m/>
    <m/>
    <m/>
    <m/>
    <m/>
    <n v="0"/>
    <m/>
    <m/>
    <m/>
    <m/>
    <n v="0"/>
    <n v="0"/>
    <n v="0"/>
    <n v="0"/>
    <n v="0"/>
    <n v="0"/>
    <n v="0"/>
  </r>
  <r>
    <x v="3"/>
    <x v="67"/>
    <s v="1 &quot; (28L)"/>
    <s v="Recup CalorieRaccord Hydraulique FILETE 1 &quot; (28L)"/>
    <s v="UMA28LX1&quot;"/>
    <n v="1"/>
    <s v="UMA28L"/>
    <m/>
    <m/>
    <n v="0"/>
    <m/>
    <m/>
    <m/>
    <m/>
    <m/>
    <m/>
    <n v="0"/>
    <m/>
    <m/>
    <m/>
    <m/>
    <n v="0"/>
    <n v="0"/>
    <n v="0"/>
    <n v="0"/>
    <n v="0"/>
    <n v="0"/>
    <n v="0"/>
  </r>
  <r>
    <x v="3"/>
    <x v="67"/>
    <s v="1&quot; (22L)"/>
    <s v="Recup CalorieRaccord Hydraulique FILETE 1&quot; (22L)"/>
    <s v="UMA22LX1&quot;"/>
    <n v="2"/>
    <s v="UMA22LX1&quot;"/>
    <m/>
    <m/>
    <n v="0"/>
    <m/>
    <m/>
    <m/>
    <m/>
    <m/>
    <m/>
    <n v="0"/>
    <m/>
    <m/>
    <m/>
    <m/>
    <n v="0"/>
    <n v="0"/>
    <n v="0"/>
    <n v="0"/>
    <n v="0"/>
    <n v="0"/>
    <n v="0"/>
  </r>
  <r>
    <x v="3"/>
    <x v="67"/>
    <s v="1&quot; (22L)"/>
    <s v="Recup CalorieRaccord Hydraulique FILETE 1&quot; (22L)"/>
    <s v="UMA22LX1&quot;"/>
    <n v="3"/>
    <s v="UMA22LX1&quot;NU"/>
    <m/>
    <m/>
    <n v="0"/>
    <m/>
    <m/>
    <m/>
    <m/>
    <m/>
    <m/>
    <n v="0"/>
    <m/>
    <m/>
    <m/>
    <m/>
    <n v="0"/>
    <n v="0"/>
    <n v="0"/>
    <n v="0"/>
    <n v="0"/>
    <n v="0"/>
    <n v="0"/>
  </r>
  <r>
    <x v="3"/>
    <x v="67"/>
    <s v="1&quot; (35L)"/>
    <s v="Recup CalorieRaccord Hydraulique FILETE 1&quot; (35L)"/>
    <s v="UMA35LX1&quot;"/>
    <n v="4"/>
    <s v="UMA35LX1L"/>
    <m/>
    <m/>
    <n v="0"/>
    <m/>
    <m/>
    <m/>
    <m/>
    <m/>
    <m/>
    <n v="0"/>
    <m/>
    <m/>
    <m/>
    <m/>
    <n v="0"/>
    <n v="0"/>
    <n v="0"/>
    <n v="0"/>
    <n v="0"/>
    <n v="0"/>
    <n v="0"/>
  </r>
  <r>
    <x v="3"/>
    <x v="67"/>
    <s v="1&quot;1/2 (42L)"/>
    <s v="Recup CalorieRaccord Hydraulique FILETE 1&quot;1/2 (42L)"/>
    <s v="UMA42LX1&quot;1/2"/>
    <n v="5"/>
    <s v="UMA42JEX11/2NU"/>
    <m/>
    <m/>
    <n v="0"/>
    <m/>
    <m/>
    <m/>
    <m/>
    <m/>
    <m/>
    <n v="0"/>
    <m/>
    <m/>
    <m/>
    <m/>
    <n v="0"/>
    <n v="0"/>
    <n v="0"/>
    <n v="0"/>
    <n v="0"/>
    <n v="0"/>
    <n v="0"/>
  </r>
  <r>
    <x v="3"/>
    <x v="67"/>
    <s v="1&quot;1/2 (42L)"/>
    <s v="Recup CalorieRaccord Hydraulique FILETE 1&quot;1/2 (42L)"/>
    <s v="UMA42LX1&quot;1/2"/>
    <n v="6"/>
    <s v="UMA42L"/>
    <m/>
    <m/>
    <n v="0"/>
    <m/>
    <m/>
    <m/>
    <m/>
    <m/>
    <m/>
    <n v="0"/>
    <m/>
    <m/>
    <m/>
    <m/>
    <n v="0"/>
    <n v="0"/>
    <n v="0"/>
    <n v="0"/>
    <n v="0"/>
    <n v="0"/>
    <n v="0"/>
  </r>
  <r>
    <x v="3"/>
    <x v="67"/>
    <s v="1&quot;1/4 (35L)"/>
    <s v="Recup CalorieRaccord Hydraulique FILETE 1&quot;1/4 (35L)"/>
    <s v="UMA35LX1&quot;1/4"/>
    <n v="7"/>
    <s v="UMA35LX114"/>
    <m/>
    <m/>
    <n v="0"/>
    <m/>
    <m/>
    <m/>
    <m/>
    <m/>
    <m/>
    <n v="0"/>
    <m/>
    <m/>
    <m/>
    <m/>
    <n v="0"/>
    <n v="0"/>
    <n v="0"/>
    <n v="0"/>
    <n v="0"/>
    <n v="0"/>
    <n v="0"/>
  </r>
  <r>
    <x v="3"/>
    <x v="67"/>
    <s v="1&quot;1/4(28L)"/>
    <s v="Recup CalorieRaccord Hydraulique FILETE 1&quot;1/4(28L)"/>
    <s v="UMA28LX1&quot;1/4"/>
    <n v="8"/>
    <s v="UMA28LX1&quot;1/4"/>
    <m/>
    <m/>
    <n v="0"/>
    <m/>
    <m/>
    <m/>
    <m/>
    <m/>
    <m/>
    <n v="0"/>
    <m/>
    <m/>
    <m/>
    <m/>
    <n v="0"/>
    <n v="0"/>
    <n v="0"/>
    <n v="0"/>
    <n v="0"/>
    <n v="0"/>
    <n v="0"/>
  </r>
  <r>
    <x v="3"/>
    <x v="67"/>
    <s v="1&quot;1/4(35L)"/>
    <s v="Recup CalorieRaccord Hydraulique FILETE 1&quot;1/4(35L)"/>
    <s v="UMA35LX1&quot;1/4"/>
    <n v="9"/>
    <s v="UMA35JEX11/4LNU"/>
    <m/>
    <m/>
    <n v="0"/>
    <m/>
    <m/>
    <m/>
    <m/>
    <m/>
    <m/>
    <n v="0"/>
    <m/>
    <m/>
    <m/>
    <m/>
    <n v="0"/>
    <n v="0"/>
    <n v="0"/>
    <n v="0"/>
    <n v="0"/>
    <n v="0"/>
    <n v="0"/>
  </r>
  <r>
    <x v="3"/>
    <x v="67"/>
    <s v="1&quot;1/4(42L)"/>
    <s v="Recup CalorieRaccord Hydraulique FILETE 1&quot;1/4(42L)"/>
    <s v="UMA42LX1&quot;1/4"/>
    <n v="10"/>
    <s v="UMAJEX11/4LNU"/>
    <m/>
    <m/>
    <n v="0"/>
    <m/>
    <m/>
    <m/>
    <m/>
    <m/>
    <m/>
    <n v="0"/>
    <m/>
    <m/>
    <m/>
    <m/>
    <n v="0"/>
    <n v="0"/>
    <n v="0"/>
    <n v="0"/>
    <n v="0"/>
    <n v="0"/>
    <n v="0"/>
  </r>
  <r>
    <x v="3"/>
    <x v="67"/>
    <s v="3/4&quot; (15L)"/>
    <s v="Recup CalorieRaccord Hydraulique FILETE 3/4&quot; (15L)"/>
    <s v="UMA15L3/4"/>
    <n v="11"/>
    <s v="UMA15L3/4"/>
    <m/>
    <m/>
    <n v="0"/>
    <m/>
    <m/>
    <m/>
    <m/>
    <m/>
    <m/>
    <n v="0"/>
    <m/>
    <m/>
    <m/>
    <m/>
    <n v="0"/>
    <n v="0"/>
    <n v="0"/>
    <n v="0"/>
    <n v="0"/>
    <n v="0"/>
    <n v="0"/>
  </r>
  <r>
    <x v="3"/>
    <x v="67"/>
    <s v="3/4&quot; (22L)"/>
    <s v="Recup CalorieRaccord Hydraulique FILETE 3/4&quot; (22L)"/>
    <s v="UMA22LX3/4"/>
    <n v="12"/>
    <s v="UMA22L"/>
    <m/>
    <m/>
    <n v="0"/>
    <m/>
    <m/>
    <m/>
    <m/>
    <m/>
    <m/>
    <n v="0"/>
    <m/>
    <m/>
    <m/>
    <m/>
    <n v="0"/>
    <n v="0"/>
    <n v="0"/>
    <n v="0"/>
    <n v="0"/>
    <n v="0"/>
    <n v="0"/>
  </r>
  <r>
    <x v="3"/>
    <x v="67"/>
    <s v="3/4&quot; (28L)"/>
    <s v="Recup CalorieRaccord Hydraulique FILETE 3/4&quot; (28L)"/>
    <s v="UMA28LX3/4"/>
    <n v="13"/>
    <s v="UMA28JEX3/4NU"/>
    <m/>
    <m/>
    <n v="0"/>
    <m/>
    <m/>
    <m/>
    <m/>
    <m/>
    <m/>
    <n v="0"/>
    <m/>
    <m/>
    <m/>
    <m/>
    <n v="0"/>
    <n v="0"/>
    <n v="0"/>
    <n v="0"/>
    <n v="0"/>
    <n v="0"/>
    <n v="0"/>
  </r>
  <r>
    <x v="3"/>
    <x v="67"/>
    <s v="3/4&quot;(18L)"/>
    <s v="Recup CalorieRaccord Hydraulique FILETE 3/4&quot;(18L)"/>
    <s v="UMA18 X3/4L"/>
    <n v="14"/>
    <s v="UMA18JEX3/4LNU"/>
    <m/>
    <m/>
    <n v="0"/>
    <m/>
    <m/>
    <m/>
    <m/>
    <m/>
    <m/>
    <n v="0"/>
    <m/>
    <m/>
    <m/>
    <m/>
    <n v="0"/>
    <n v="0"/>
    <n v="0"/>
    <n v="0"/>
    <n v="0"/>
    <n v="0"/>
    <n v="0"/>
  </r>
  <r>
    <x v="3"/>
    <x v="67"/>
    <m/>
    <s v="Recup CalorieRaccord Hydraulique FILETE "/>
    <m/>
    <n v="0"/>
    <m/>
    <m/>
    <m/>
    <n v="0"/>
    <m/>
    <m/>
    <m/>
    <m/>
    <m/>
    <m/>
    <n v="0"/>
    <m/>
    <m/>
    <m/>
    <m/>
    <n v="0"/>
    <n v="0"/>
    <n v="0"/>
    <n v="0"/>
    <n v="0"/>
    <n v="0"/>
    <n v="0"/>
  </r>
  <r>
    <x v="3"/>
    <x v="68"/>
    <s v="1&quot;(28L)"/>
    <s v="Recup CalorieRaccord Hydraulique passe cloison1&quot;(28L)"/>
    <s v="UA28CL,LNU(1&quot;)"/>
    <n v="3"/>
    <s v="UA28CL,LNU"/>
    <m/>
    <m/>
    <n v="0"/>
    <m/>
    <m/>
    <m/>
    <m/>
    <m/>
    <m/>
    <n v="0"/>
    <m/>
    <m/>
    <m/>
    <m/>
    <n v="0"/>
    <n v="0"/>
    <n v="0"/>
    <n v="0"/>
    <n v="0"/>
    <n v="0"/>
    <n v="0"/>
  </r>
  <r>
    <x v="3"/>
    <x v="68"/>
    <s v="1&quot;1/2(42l)"/>
    <s v="Recup CalorieRaccord Hydraulique passe cloison1&quot;1/2(42l)"/>
    <s v="UA42CL,LNU(1&quot;1/2)"/>
    <n v="5"/>
    <s v="UA42CL,LNU"/>
    <m/>
    <m/>
    <n v="0"/>
    <m/>
    <m/>
    <m/>
    <m/>
    <m/>
    <m/>
    <n v="0"/>
    <m/>
    <m/>
    <m/>
    <m/>
    <n v="0"/>
    <n v="0"/>
    <n v="0"/>
    <n v="0"/>
    <n v="0"/>
    <n v="0"/>
    <n v="0"/>
  </r>
  <r>
    <x v="3"/>
    <x v="68"/>
    <s v="1&quot;1/4(35L)"/>
    <s v="Recup CalorieRaccord Hydraulique passe cloison1&quot;1/4(35L)"/>
    <s v="UA35CL,LNU(1&quot;1/4)"/>
    <n v="4"/>
    <s v="UA35CL,LNU"/>
    <m/>
    <m/>
    <n v="0"/>
    <m/>
    <m/>
    <m/>
    <m/>
    <m/>
    <m/>
    <n v="0"/>
    <m/>
    <m/>
    <m/>
    <m/>
    <n v="0"/>
    <n v="0"/>
    <n v="0"/>
    <n v="0"/>
    <n v="0"/>
    <n v="0"/>
    <n v="0"/>
  </r>
  <r>
    <x v="3"/>
    <x v="68"/>
    <s v="1/2&quot;(15L)"/>
    <s v="Recup CalorieRaccord Hydraulique passe cloison1/2&quot;(15L)"/>
    <s v="UA15CL,LNU (1/2&quot;)"/>
    <n v="1"/>
    <s v="UA15CL,LNU"/>
    <m/>
    <m/>
    <n v="0"/>
    <m/>
    <m/>
    <m/>
    <m/>
    <m/>
    <m/>
    <n v="0"/>
    <m/>
    <m/>
    <m/>
    <m/>
    <n v="0"/>
    <n v="0"/>
    <n v="0"/>
    <n v="0"/>
    <n v="0"/>
    <n v="0"/>
    <n v="0"/>
  </r>
  <r>
    <x v="3"/>
    <x v="68"/>
    <s v="3/4&quot;(22l)"/>
    <s v="Recup CalorieRaccord Hydraulique passe cloison3/4&quot;(22l)"/>
    <s v="UA22CL,LNU(3/4&quot;)"/>
    <n v="2"/>
    <s v="UA22CL,LNU"/>
    <m/>
    <m/>
    <n v="0"/>
    <m/>
    <m/>
    <m/>
    <m/>
    <m/>
    <m/>
    <n v="0"/>
    <m/>
    <m/>
    <m/>
    <m/>
    <n v="0"/>
    <n v="0"/>
    <n v="0"/>
    <n v="0"/>
    <n v="0"/>
    <n v="0"/>
    <n v="0"/>
  </r>
  <r>
    <x v="3"/>
    <x v="68"/>
    <m/>
    <s v="Recup CalorieRaccord Hydraulique passe cloison"/>
    <m/>
    <n v="0"/>
    <m/>
    <m/>
    <m/>
    <n v="0"/>
    <m/>
    <m/>
    <m/>
    <m/>
    <m/>
    <m/>
    <n v="0"/>
    <m/>
    <m/>
    <m/>
    <m/>
    <n v="0"/>
    <n v="0"/>
    <n v="0"/>
    <n v="0"/>
    <n v="0"/>
    <n v="0"/>
    <n v="0"/>
  </r>
  <r>
    <x v="3"/>
    <x v="69"/>
    <s v="1&quot; (28L)"/>
    <s v="Recup CalorieRaccord Hydraulique Raccord union1&quot; (28L)"/>
    <s v="union 28L"/>
    <n v="4"/>
    <s v="UA28L"/>
    <m/>
    <m/>
    <n v="0"/>
    <m/>
    <m/>
    <m/>
    <m/>
    <m/>
    <m/>
    <n v="0"/>
    <m/>
    <m/>
    <m/>
    <m/>
    <n v="0"/>
    <n v="0"/>
    <n v="0"/>
    <n v="0"/>
    <n v="0"/>
    <n v="0"/>
    <n v="0"/>
  </r>
  <r>
    <x v="3"/>
    <x v="69"/>
    <s v="1&quot;1/2  (42L)"/>
    <s v="Recup CalorieRaccord Hydraulique Raccord union1&quot;1/2  (42L)"/>
    <s v="union 42L"/>
    <n v="5"/>
    <s v="UA42L"/>
    <m/>
    <m/>
    <n v="0"/>
    <m/>
    <m/>
    <m/>
    <m/>
    <m/>
    <m/>
    <n v="0"/>
    <m/>
    <m/>
    <m/>
    <m/>
    <n v="0"/>
    <n v="0"/>
    <n v="0"/>
    <n v="0"/>
    <n v="0"/>
    <n v="0"/>
    <n v="0"/>
  </r>
  <r>
    <x v="3"/>
    <x v="69"/>
    <s v="1/2&quot; (15L)"/>
    <s v="Recup CalorieRaccord Hydraulique Raccord union1/2&quot; (15L)"/>
    <s v="union 15L"/>
    <n v="1"/>
    <s v="UA15L"/>
    <m/>
    <m/>
    <n v="0"/>
    <m/>
    <m/>
    <m/>
    <m/>
    <m/>
    <m/>
    <n v="0"/>
    <m/>
    <m/>
    <m/>
    <m/>
    <n v="0"/>
    <n v="0"/>
    <n v="0"/>
    <n v="0"/>
    <n v="0"/>
    <n v="0"/>
    <n v="0"/>
  </r>
  <r>
    <x v="3"/>
    <x v="69"/>
    <s v="1/2&quot; (18L)"/>
    <s v="Recup CalorieRaccord Hydraulique Raccord union1/2&quot; (18L)"/>
    <s v="union 18L"/>
    <n v="2"/>
    <s v="UA18L"/>
    <m/>
    <m/>
    <n v="0"/>
    <m/>
    <m/>
    <m/>
    <m/>
    <m/>
    <m/>
    <n v="0"/>
    <m/>
    <m/>
    <m/>
    <m/>
    <n v="0"/>
    <n v="0"/>
    <n v="0"/>
    <n v="0"/>
    <n v="0"/>
    <n v="0"/>
    <n v="0"/>
  </r>
  <r>
    <x v="3"/>
    <x v="69"/>
    <s v="3/4&quot; (22L)"/>
    <s v="Recup CalorieRaccord Hydraulique Raccord union3/4&quot; (22L)"/>
    <s v="union 22L"/>
    <n v="3"/>
    <s v="UA22L"/>
    <m/>
    <m/>
    <n v="0"/>
    <m/>
    <m/>
    <m/>
    <m/>
    <m/>
    <m/>
    <n v="0"/>
    <m/>
    <m/>
    <m/>
    <m/>
    <n v="0"/>
    <n v="0"/>
    <n v="0"/>
    <n v="0"/>
    <n v="0"/>
    <n v="0"/>
    <n v="0"/>
  </r>
  <r>
    <x v="3"/>
    <x v="69"/>
    <m/>
    <s v="Recup CalorieRaccord Hydraulique Raccord union"/>
    <m/>
    <n v="0"/>
    <m/>
    <m/>
    <m/>
    <n v="0"/>
    <m/>
    <m/>
    <m/>
    <m/>
    <m/>
    <m/>
    <n v="0"/>
    <m/>
    <m/>
    <m/>
    <m/>
    <n v="0"/>
    <n v="0"/>
    <n v="0"/>
    <n v="0"/>
    <n v="0"/>
    <n v="0"/>
    <n v="0"/>
  </r>
  <r>
    <x v="3"/>
    <x v="70"/>
    <s v="1&quot;1/2x1&quot;1/4 (42Lx35L)"/>
    <s v="Recup CalorieRaccord Hydraulique reduction(avec ecrou prisonié)1&quot;1/2x1&quot;1/4 (42Lx35L)"/>
    <s v="42Lx35L"/>
    <n v="2"/>
    <s v="ARA42x35L"/>
    <m/>
    <m/>
    <n v="0"/>
    <m/>
    <m/>
    <m/>
    <m/>
    <m/>
    <m/>
    <n v="0"/>
    <m/>
    <m/>
    <m/>
    <m/>
    <n v="0"/>
    <n v="0"/>
    <n v="0"/>
    <n v="0"/>
    <n v="0"/>
    <n v="0"/>
    <n v="0"/>
  </r>
  <r>
    <x v="3"/>
    <x v="70"/>
    <s v="1&quot;1/4 x1&quot; (35Lx28L)"/>
    <s v="Recup CalorieRaccord Hydraulique reduction(avec ecrou prisonié)1&quot;1/4 x1&quot; (35Lx28L)"/>
    <s v="35Lx28L"/>
    <n v="1"/>
    <s v="ARA35x28L"/>
    <m/>
    <m/>
    <n v="0"/>
    <m/>
    <m/>
    <m/>
    <m/>
    <m/>
    <m/>
    <n v="0"/>
    <m/>
    <m/>
    <m/>
    <m/>
    <n v="0"/>
    <n v="0"/>
    <n v="0"/>
    <n v="0"/>
    <n v="0"/>
    <n v="0"/>
    <n v="0"/>
  </r>
  <r>
    <x v="3"/>
    <x v="70"/>
    <m/>
    <s v="Recup CalorieRaccord Hydraulique reduction(avec ecrou prisonié)"/>
    <m/>
    <n v="0"/>
    <m/>
    <m/>
    <m/>
    <n v="0"/>
    <m/>
    <m/>
    <m/>
    <m/>
    <m/>
    <m/>
    <n v="0"/>
    <m/>
    <m/>
    <m/>
    <m/>
    <n v="0"/>
    <n v="0"/>
    <n v="0"/>
    <n v="0"/>
    <n v="0"/>
    <n v="0"/>
    <n v="0"/>
  </r>
  <r>
    <x v="3"/>
    <x v="71"/>
    <s v="1&quot;1/2 (42L)"/>
    <s v="Recup CalorieRaccord Hydraulique Té Embout lisse 1&quot;1/2 (42L)"/>
    <s v="Té EMBOUT LISSE 42L"/>
    <n v="2"/>
    <s v="TELA42L"/>
    <m/>
    <m/>
    <n v="0"/>
    <m/>
    <m/>
    <m/>
    <m/>
    <m/>
    <m/>
    <n v="0"/>
    <m/>
    <m/>
    <m/>
    <m/>
    <n v="0"/>
    <n v="0"/>
    <n v="0"/>
    <n v="0"/>
    <n v="0"/>
    <n v="0"/>
    <n v="0"/>
  </r>
  <r>
    <x v="3"/>
    <x v="71"/>
    <s v="1&quot;1/4(35L)"/>
    <s v="Recup CalorieRaccord Hydraulique Té Embout lisse 1&quot;1/4(35L)"/>
    <s v="Té EMBOUT LISSE 35L"/>
    <n v="1"/>
    <s v="TELA35L"/>
    <m/>
    <m/>
    <n v="0"/>
    <m/>
    <m/>
    <m/>
    <m/>
    <m/>
    <m/>
    <n v="0"/>
    <m/>
    <m/>
    <m/>
    <m/>
    <n v="0"/>
    <n v="0"/>
    <n v="0"/>
    <n v="0"/>
    <n v="0"/>
    <n v="0"/>
    <n v="0"/>
  </r>
  <r>
    <x v="3"/>
    <x v="71"/>
    <m/>
    <s v="Recup CalorieRaccord Hydraulique Té Embout lisse "/>
    <m/>
    <n v="0"/>
    <m/>
    <m/>
    <m/>
    <n v="0"/>
    <m/>
    <m/>
    <m/>
    <m/>
    <m/>
    <m/>
    <n v="0"/>
    <m/>
    <m/>
    <m/>
    <m/>
    <n v="0"/>
    <n v="0"/>
    <n v="0"/>
    <n v="0"/>
    <n v="0"/>
    <n v="0"/>
    <n v="0"/>
  </r>
  <r>
    <x v="3"/>
    <x v="72"/>
    <s v="1&quot;1/2 (42L)"/>
    <s v="Recup CalorieRaccord Hydraulique Té Embout lisse renversé1&quot;1/2 (42L)"/>
    <s v="té renversé 42L"/>
    <n v="5"/>
    <s v="TELA42EL42L"/>
    <m/>
    <m/>
    <n v="0"/>
    <m/>
    <m/>
    <m/>
    <m/>
    <m/>
    <m/>
    <n v="0"/>
    <m/>
    <m/>
    <m/>
    <m/>
    <n v="0"/>
    <n v="0"/>
    <n v="0"/>
    <n v="0"/>
    <n v="0"/>
    <n v="0"/>
    <n v="0"/>
  </r>
  <r>
    <x v="3"/>
    <x v="72"/>
    <s v="1&quot;1/4(35L)"/>
    <s v="Recup CalorieRaccord Hydraulique Té Embout lisse renversé1&quot;1/4(35L)"/>
    <s v="té renversé 35L"/>
    <n v="4"/>
    <s v="TELA35EL35L"/>
    <m/>
    <m/>
    <n v="0"/>
    <m/>
    <m/>
    <m/>
    <m/>
    <m/>
    <m/>
    <n v="0"/>
    <m/>
    <m/>
    <m/>
    <m/>
    <n v="0"/>
    <n v="0"/>
    <n v="0"/>
    <n v="0"/>
    <n v="0"/>
    <n v="0"/>
    <n v="0"/>
  </r>
  <r>
    <x v="3"/>
    <x v="72"/>
    <s v="1/2&quot; (15L)"/>
    <s v="Recup CalorieRaccord Hydraulique Té Embout lisse renversé1/2&quot; (15L)"/>
    <s v="té renversé 15L"/>
    <n v="1"/>
    <s v="TELA15EL15L"/>
    <m/>
    <m/>
    <n v="0"/>
    <m/>
    <m/>
    <m/>
    <m/>
    <m/>
    <m/>
    <n v="0"/>
    <m/>
    <m/>
    <m/>
    <m/>
    <n v="0"/>
    <n v="0"/>
    <n v="0"/>
    <n v="0"/>
    <n v="0"/>
    <n v="0"/>
    <n v="0"/>
  </r>
  <r>
    <x v="3"/>
    <x v="72"/>
    <s v="2/2&quot; (28L)"/>
    <s v="Recup CalorieRaccord Hydraulique Té Embout lisse renversé2/2&quot; (28L)"/>
    <s v="té renversé 28L"/>
    <n v="3"/>
    <s v="TELA28L"/>
    <m/>
    <m/>
    <n v="0"/>
    <m/>
    <m/>
    <m/>
    <m/>
    <m/>
    <m/>
    <n v="0"/>
    <m/>
    <m/>
    <m/>
    <m/>
    <n v="0"/>
    <n v="0"/>
    <n v="0"/>
    <n v="0"/>
    <n v="0"/>
    <n v="0"/>
    <n v="0"/>
  </r>
  <r>
    <x v="3"/>
    <x v="72"/>
    <s v="3/4&quot; (22L)"/>
    <s v="Recup CalorieRaccord Hydraulique Té Embout lisse renversé3/4&quot; (22L)"/>
    <s v="té renversé 22L"/>
    <n v="2"/>
    <s v="TELA22EL22L"/>
    <m/>
    <m/>
    <n v="0"/>
    <m/>
    <m/>
    <m/>
    <m/>
    <m/>
    <m/>
    <n v="0"/>
    <m/>
    <m/>
    <m/>
    <m/>
    <n v="0"/>
    <n v="0"/>
    <n v="0"/>
    <n v="0"/>
    <n v="0"/>
    <n v="0"/>
    <n v="0"/>
  </r>
  <r>
    <x v="3"/>
    <x v="72"/>
    <m/>
    <s v="Recup CalorieRaccord Hydraulique Té Embout lisse renversé"/>
    <m/>
    <n v="0"/>
    <m/>
    <m/>
    <m/>
    <n v="0"/>
    <m/>
    <m/>
    <m/>
    <m/>
    <m/>
    <m/>
    <n v="0"/>
    <m/>
    <m/>
    <m/>
    <m/>
    <n v="0"/>
    <n v="0"/>
    <n v="0"/>
    <n v="0"/>
    <n v="0"/>
    <n v="0"/>
    <n v="0"/>
  </r>
  <r>
    <x v="3"/>
    <x v="73"/>
    <s v="1&quot; (28L)"/>
    <s v="Recup CalorieRaccord Hydraulique union male1&quot; (28L)"/>
    <s v="28lx1&quot;"/>
    <n v="1"/>
    <s v="AA28JEX1L"/>
    <m/>
    <m/>
    <n v="0"/>
    <m/>
    <m/>
    <m/>
    <m/>
    <m/>
    <m/>
    <n v="0"/>
    <m/>
    <m/>
    <m/>
    <m/>
    <n v="0"/>
    <n v="0"/>
    <n v="0"/>
    <n v="0"/>
    <n v="0"/>
    <n v="0"/>
    <n v="0"/>
  </r>
  <r>
    <x v="3"/>
    <x v="73"/>
    <s v="1&quot;1/4(35L)"/>
    <s v="Recup CalorieRaccord Hydraulique union male1&quot;1/4(35L)"/>
    <s v="35lLx1&quot;1/4"/>
    <n v="2"/>
    <s v="AA35JEX11/4L"/>
    <m/>
    <m/>
    <n v="0"/>
    <m/>
    <m/>
    <m/>
    <m/>
    <m/>
    <m/>
    <n v="0"/>
    <m/>
    <m/>
    <m/>
    <m/>
    <n v="0"/>
    <n v="0"/>
    <n v="0"/>
    <n v="0"/>
    <n v="0"/>
    <n v="0"/>
    <n v="0"/>
  </r>
  <r>
    <x v="3"/>
    <x v="73"/>
    <m/>
    <s v="Recup CalorieRaccord Hydraulique union male"/>
    <m/>
    <n v="0"/>
    <m/>
    <m/>
    <m/>
    <n v="0"/>
    <m/>
    <m/>
    <m/>
    <m/>
    <m/>
    <m/>
    <n v="0"/>
    <m/>
    <m/>
    <m/>
    <m/>
    <n v="0"/>
    <n v="0"/>
    <n v="0"/>
    <n v="0"/>
    <n v="0"/>
    <n v="0"/>
    <n v="0"/>
  </r>
  <r>
    <x v="3"/>
    <x v="74"/>
    <s v="1/2&quot; (3 bars)"/>
    <s v="Recup CalorieSoupape1/2&quot; (3 bars)"/>
    <s v="Soupape vase d'expansion 3 bar 1/2 &quot;l"/>
    <n v="1"/>
    <s v="K00495"/>
    <s v="Catry"/>
    <m/>
    <n v="0"/>
    <m/>
    <m/>
    <m/>
    <m/>
    <m/>
    <m/>
    <n v="0"/>
    <m/>
    <m/>
    <m/>
    <m/>
    <n v="0"/>
    <n v="0"/>
    <n v="0"/>
    <n v="0"/>
    <n v="0"/>
    <n v="0"/>
    <n v="0"/>
  </r>
  <r>
    <x v="3"/>
    <x v="74"/>
    <s v="1&quot; ( 4 bars)"/>
    <s v="Recup CalorieSoupape1&quot; ( 4 bars)"/>
    <s v="Soupape  Prescor chauffage 4 bars - 1&quot;"/>
    <n v="2"/>
    <s v="SSCH1-04"/>
    <s v="Catry"/>
    <m/>
    <n v="0"/>
    <m/>
    <m/>
    <m/>
    <m/>
    <m/>
    <m/>
    <n v="0"/>
    <m/>
    <m/>
    <m/>
    <m/>
    <n v="0"/>
    <n v="0"/>
    <n v="0"/>
    <n v="0"/>
    <n v="0"/>
    <n v="0"/>
    <n v="0"/>
  </r>
  <r>
    <x v="3"/>
    <x v="74"/>
    <s v="1&quot;1/4 (7bars)"/>
    <s v="Recup CalorieSoupape1&quot;1/4 (7bars)"/>
    <s v="Soupape sanitaire 7 bars 1&quot;"/>
    <n v="3"/>
    <s v="SSSA1-07"/>
    <s v="Catry"/>
    <m/>
    <n v="0"/>
    <m/>
    <m/>
    <m/>
    <m/>
    <m/>
    <m/>
    <n v="0"/>
    <m/>
    <m/>
    <m/>
    <m/>
    <n v="0"/>
    <n v="0"/>
    <n v="0"/>
    <n v="0"/>
    <n v="0"/>
    <n v="0"/>
    <n v="0"/>
  </r>
  <r>
    <x v="3"/>
    <x v="74"/>
    <s v="1&quot;(7bars)"/>
    <s v="Recup CalorieSoupape1&quot;(7bars)"/>
    <s v="Soupape sanitaire 7bars 1&quot;1/4"/>
    <n v="4"/>
    <s v="SSSA114-07"/>
    <s v="Thermador"/>
    <m/>
    <n v="0"/>
    <m/>
    <m/>
    <m/>
    <m/>
    <m/>
    <m/>
    <n v="0"/>
    <m/>
    <m/>
    <m/>
    <m/>
    <n v="0"/>
    <n v="0"/>
    <n v="0"/>
    <n v="0"/>
    <n v="0"/>
    <n v="0"/>
    <n v="0"/>
  </r>
  <r>
    <x v="3"/>
    <x v="74"/>
    <s v="1&quot;1/4"/>
    <s v="Recup CalorieSoupape1&quot;1/4"/>
    <s v="Entonnoir pour soupape"/>
    <n v="5"/>
    <s v="K00497"/>
    <s v="Catry"/>
    <m/>
    <n v="0"/>
    <m/>
    <m/>
    <m/>
    <m/>
    <m/>
    <m/>
    <n v="0"/>
    <m/>
    <m/>
    <m/>
    <m/>
    <n v="0"/>
    <n v="0"/>
    <n v="0"/>
    <n v="0"/>
    <n v="0"/>
    <n v="0"/>
    <n v="0"/>
  </r>
  <r>
    <x v="3"/>
    <x v="74"/>
    <s v="1/2&quot; "/>
    <s v="Recup CalorieSoupape1/2&quot; "/>
    <s v="Entonnoir pour soupape  prescor laiton 1&quot;1/4"/>
    <n v="6"/>
    <n v="27330"/>
    <s v="Catry"/>
    <m/>
    <n v="0"/>
    <m/>
    <m/>
    <m/>
    <m/>
    <m/>
    <m/>
    <n v="0"/>
    <m/>
    <m/>
    <m/>
    <m/>
    <n v="0"/>
    <n v="0"/>
    <n v="0"/>
    <n v="0"/>
    <n v="0"/>
    <n v="0"/>
    <n v="0"/>
  </r>
  <r>
    <x v="3"/>
    <x v="74"/>
    <s v="1/2(3  Bars)"/>
    <s v="Recup CalorieSoupape1/2(3  Bars)"/>
    <s v="Soupape vase d'expansion 3 bar 1/2 &quot;l"/>
    <n v="7"/>
    <n v="22769"/>
    <s v="Catry"/>
    <m/>
    <n v="0"/>
    <m/>
    <m/>
    <m/>
    <m/>
    <m/>
    <m/>
    <n v="0"/>
    <m/>
    <m/>
    <m/>
    <m/>
    <n v="0"/>
    <n v="0"/>
    <n v="0"/>
    <n v="0"/>
    <n v="0"/>
    <n v="0"/>
    <n v="0"/>
  </r>
  <r>
    <x v="3"/>
    <x v="74"/>
    <s v="3/4&quot;"/>
    <s v="Recup CalorieSoupape3/4&quot;"/>
    <s v="Entonnoir pour soupape  prescor laiton 3/4"/>
    <n v="8"/>
    <n v="27360"/>
    <s v="Catry"/>
    <m/>
    <n v="0"/>
    <m/>
    <m/>
    <m/>
    <m/>
    <m/>
    <m/>
    <n v="0"/>
    <m/>
    <m/>
    <m/>
    <m/>
    <n v="0"/>
    <n v="0"/>
    <n v="0"/>
    <n v="0"/>
    <n v="0"/>
    <n v="0"/>
    <n v="0"/>
  </r>
  <r>
    <x v="3"/>
    <x v="74"/>
    <s v="3/4&quot; ( 3bars)"/>
    <s v="Recup CalorieSoupape3/4&quot; ( 3bars)"/>
    <s v="Soupape  Prescor chauffage 3 bars - 3/4&quot;"/>
    <n v="9"/>
    <s v="SSCH34-03"/>
    <s v="Catry"/>
    <m/>
    <n v="0"/>
    <m/>
    <m/>
    <m/>
    <m/>
    <m/>
    <m/>
    <n v="0"/>
    <m/>
    <m/>
    <m/>
    <m/>
    <n v="0"/>
    <n v="0"/>
    <n v="0"/>
    <n v="0"/>
    <n v="0"/>
    <n v="0"/>
    <n v="0"/>
  </r>
  <r>
    <x v="3"/>
    <x v="74"/>
    <s v="3/4&quot;(7bars)"/>
    <s v="Recup CalorieSoupape3/4&quot;(7bars)"/>
    <s v="Soupape sanitaire 7 bars 3/4&quot;"/>
    <n v="10"/>
    <s v="SSSA34-07"/>
    <s v="Catry"/>
    <m/>
    <n v="0"/>
    <m/>
    <m/>
    <m/>
    <m/>
    <m/>
    <m/>
    <n v="0"/>
    <m/>
    <m/>
    <m/>
    <m/>
    <n v="0"/>
    <n v="0"/>
    <n v="0"/>
    <n v="0"/>
    <n v="0"/>
    <n v="0"/>
    <n v="0"/>
  </r>
  <r>
    <x v="3"/>
    <x v="74"/>
    <s v="3/4(4  Bars)"/>
    <s v="Recup CalorieSoupape3/4(4  Bars)"/>
    <s v="Soupape vase d'expansion 4 bar 3/4 &quot;"/>
    <n v="11"/>
    <s v="SP34F-4B"/>
    <s v="Catry"/>
    <m/>
    <n v="0"/>
    <m/>
    <m/>
    <m/>
    <m/>
    <m/>
    <m/>
    <n v="0"/>
    <m/>
    <m/>
    <m/>
    <m/>
    <n v="0"/>
    <n v="0"/>
    <n v="0"/>
    <n v="0"/>
    <n v="0"/>
    <n v="0"/>
    <n v="0"/>
  </r>
  <r>
    <x v="3"/>
    <x v="74"/>
    <m/>
    <s v="Recup CalorieSoupape"/>
    <m/>
    <n v="0"/>
    <m/>
    <m/>
    <m/>
    <n v="0"/>
    <m/>
    <m/>
    <m/>
    <m/>
    <m/>
    <m/>
    <n v="0"/>
    <m/>
    <m/>
    <m/>
    <m/>
    <n v="0"/>
    <n v="0"/>
    <n v="0"/>
    <n v="0"/>
    <n v="0"/>
    <n v="0"/>
    <n v="0"/>
  </r>
  <r>
    <x v="3"/>
    <x v="75"/>
    <s v="0/+120"/>
    <s v="Recup CalorieThermomètre0/+120"/>
    <s v="THERMOMETRE DROIT H150MM PL100MM T0+120°C"/>
    <n v="1"/>
    <s v="008929"/>
    <s v="SOFINTHER"/>
    <s v="008929"/>
    <n v="0"/>
    <m/>
    <m/>
    <m/>
    <m/>
    <m/>
    <m/>
    <n v="0"/>
    <m/>
    <m/>
    <m/>
    <m/>
    <n v="0"/>
    <n v="0"/>
    <n v="0"/>
    <n v="0"/>
    <n v="0"/>
    <n v="0"/>
    <n v="0"/>
  </r>
  <r>
    <x v="3"/>
    <x v="75"/>
    <s v="0/+120"/>
    <s v="Recup CalorieThermomètre0/+120"/>
    <s v="THERMOMETRE EQUERRE H150MM PL63MM T0+120°C"/>
    <n v="2"/>
    <s v="009019"/>
    <s v="SOFINTHER"/>
    <s v="009019"/>
    <n v="0"/>
    <m/>
    <m/>
    <m/>
    <m/>
    <m/>
    <m/>
    <n v="0"/>
    <m/>
    <m/>
    <m/>
    <m/>
    <n v="0"/>
    <n v="0"/>
    <n v="0"/>
    <n v="0"/>
    <n v="0"/>
    <n v="0"/>
    <n v="0"/>
  </r>
  <r>
    <x v="3"/>
    <x v="75"/>
    <s v="0+120"/>
    <s v="Recup CalorieThermomètre0+120"/>
    <s v="THERMOMETRE DROIT H150MM PL63MM T0+120°C"/>
    <n v="3"/>
    <s v="008935"/>
    <s v="SOFINTHER"/>
    <s v="008935"/>
    <n v="0"/>
    <m/>
    <m/>
    <m/>
    <m/>
    <m/>
    <m/>
    <n v="0"/>
    <m/>
    <m/>
    <m/>
    <m/>
    <n v="0"/>
    <n v="0"/>
    <n v="0"/>
    <n v="0"/>
    <n v="0"/>
    <n v="0"/>
    <n v="0"/>
  </r>
  <r>
    <x v="3"/>
    <x v="75"/>
    <s v="1/2 &quot;"/>
    <s v="Recup CalorieThermomètre1/2 &quot;"/>
    <s v="Thermomètre 1/2&quot;M avec doigt de gant 63mm Arrière Diam 80 0/+120"/>
    <n v="4"/>
    <s v="TH0-120CAD1/2"/>
    <s v="Catry"/>
    <s v="C17269"/>
    <n v="0"/>
    <m/>
    <m/>
    <m/>
    <m/>
    <m/>
    <m/>
    <n v="0"/>
    <m/>
    <m/>
    <m/>
    <m/>
    <n v="0"/>
    <n v="0"/>
    <n v="0"/>
    <n v="0"/>
    <n v="0"/>
    <n v="0"/>
    <n v="0"/>
  </r>
  <r>
    <x v="3"/>
    <x v="75"/>
    <s v="1/2 &quot;"/>
    <s v="Recup CalorieThermomètre1/2 &quot;"/>
    <s v="Thermomètre 1/2&quot;M avec doigt de gant 63mm - Alcool Equerre 0/+120"/>
    <n v="5"/>
    <s v="TH0-120EQ1/2"/>
    <s v="TC concept"/>
    <m/>
    <n v="0"/>
    <m/>
    <m/>
    <m/>
    <m/>
    <m/>
    <m/>
    <n v="0"/>
    <m/>
    <m/>
    <m/>
    <m/>
    <n v="0"/>
    <n v="0"/>
    <n v="0"/>
    <n v="0"/>
    <n v="0"/>
    <n v="0"/>
    <n v="0"/>
  </r>
  <r>
    <x v="3"/>
    <x v="75"/>
    <s v="1/2 &quot;"/>
    <s v="Recup CalorieThermomètre1/2 &quot;"/>
    <s v="Thermomètre 1/2&quot;M avec doigt de gant 100mm - Alcool Equerre - 0/+120"/>
    <n v="6"/>
    <s v="TH0-120EQ1/2LG100 "/>
    <s v="TC concept"/>
    <m/>
    <n v="0"/>
    <m/>
    <m/>
    <m/>
    <m/>
    <m/>
    <m/>
    <n v="0"/>
    <m/>
    <m/>
    <m/>
    <m/>
    <n v="0"/>
    <n v="0"/>
    <n v="0"/>
    <n v="0"/>
    <n v="0"/>
    <n v="0"/>
    <n v="0"/>
  </r>
  <r>
    <x v="3"/>
    <x v="75"/>
    <s v="-30/+50"/>
    <s v="Recup CalorieThermomètre-30/+50"/>
    <s v="THERMOMETRE DROIT H150MM PL100MM T-30+50°C"/>
    <n v="7"/>
    <s v="008930"/>
    <s v="SOFINTHER"/>
    <s v="008930"/>
    <n v="0"/>
    <m/>
    <m/>
    <m/>
    <m/>
    <m/>
    <m/>
    <n v="0"/>
    <m/>
    <m/>
    <m/>
    <m/>
    <n v="0"/>
    <n v="0"/>
    <n v="0"/>
    <n v="0"/>
    <n v="0"/>
    <n v="0"/>
    <n v="0"/>
  </r>
  <r>
    <x v="3"/>
    <x v="75"/>
    <s v="-30/+50"/>
    <s v="Recup CalorieThermomètre-30/+50"/>
    <s v="Thermomètre Alcool Droit -30/+50 plongeur Lg100mm"/>
    <n v="8"/>
    <s v="TH-30/+50DLG100"/>
    <s v="Sferaco"/>
    <n v="1672002"/>
    <n v="0"/>
    <m/>
    <m/>
    <m/>
    <m/>
    <m/>
    <m/>
    <n v="0"/>
    <m/>
    <m/>
    <m/>
    <m/>
    <n v="0"/>
    <n v="0"/>
    <n v="0"/>
    <n v="0"/>
    <n v="0"/>
    <n v="0"/>
    <n v="0"/>
  </r>
  <r>
    <x v="3"/>
    <x v="75"/>
    <s v="-30/+50"/>
    <s v="Recup CalorieThermomètre-30/+50"/>
    <s v="Thermomètre Alcool Equerre-30/+50 plongeur Lg100mm"/>
    <n v="9"/>
    <s v="TH-30/+50ELG100"/>
    <s v="Sferaco"/>
    <n v="1677002"/>
    <n v="0"/>
    <m/>
    <m/>
    <m/>
    <m/>
    <m/>
    <m/>
    <n v="0"/>
    <m/>
    <m/>
    <m/>
    <m/>
    <n v="0"/>
    <n v="0"/>
    <n v="0"/>
    <n v="0"/>
    <n v="0"/>
    <n v="0"/>
    <n v="0"/>
  </r>
  <r>
    <x v="3"/>
    <x v="75"/>
    <s v="0/+120"/>
    <s v="Recup CalorieThermomètre0/+120"/>
    <s v="Thermomètre à cadran 0/+120°C plongeur lg160mm"/>
    <n v="10"/>
    <s v="TH0-120CAD1/2LG160"/>
    <s v="CGR"/>
    <s v="232DGL160"/>
    <n v="0"/>
    <m/>
    <m/>
    <m/>
    <m/>
    <m/>
    <m/>
    <n v="0"/>
    <m/>
    <m/>
    <m/>
    <m/>
    <n v="0"/>
    <n v="0"/>
    <n v="0"/>
    <n v="0"/>
    <n v="0"/>
    <n v="0"/>
    <n v="0"/>
  </r>
  <r>
    <x v="3"/>
    <x v="75"/>
    <m/>
    <s v="Recup CalorieThermomètre"/>
    <m/>
    <n v="0"/>
    <m/>
    <m/>
    <m/>
    <n v="0"/>
    <m/>
    <m/>
    <m/>
    <m/>
    <m/>
    <m/>
    <n v="0"/>
    <m/>
    <m/>
    <m/>
    <m/>
    <n v="0"/>
    <n v="0"/>
    <n v="0"/>
    <n v="0"/>
    <n v="0"/>
    <n v="0"/>
    <n v="0"/>
  </r>
  <r>
    <x v="3"/>
    <x v="76"/>
    <m/>
    <s v="Recup CalorieVanne 3 voie thermomix"/>
    <s v="Vanne fonte à secteur 3 voies FFF 1 &quot;"/>
    <n v="2"/>
    <s v="V3V1"/>
    <s v="Thermador"/>
    <s v="V3V26"/>
    <n v="0"/>
    <m/>
    <m/>
    <m/>
    <m/>
    <m/>
    <m/>
    <n v="0"/>
    <m/>
    <m/>
    <m/>
    <m/>
    <n v="0"/>
    <n v="0"/>
    <n v="0"/>
    <n v="0"/>
    <n v="0"/>
    <n v="0"/>
    <n v="0"/>
  </r>
  <r>
    <x v="3"/>
    <x v="76"/>
    <m/>
    <s v="Recup CalorieVanne 3 voie thermomix"/>
    <s v="Vanne fonte à secteur 3 voies FFF 1 &quot;1/2"/>
    <n v="4"/>
    <s v="V3V112"/>
    <s v="Thermador"/>
    <s v="V3V40"/>
    <n v="0"/>
    <m/>
    <m/>
    <m/>
    <m/>
    <m/>
    <m/>
    <n v="0"/>
    <m/>
    <m/>
    <m/>
    <m/>
    <n v="0"/>
    <n v="0"/>
    <n v="0"/>
    <n v="0"/>
    <n v="0"/>
    <n v="0"/>
    <n v="0"/>
  </r>
  <r>
    <x v="3"/>
    <x v="76"/>
    <m/>
    <s v="Recup CalorieVanne 3 voie thermomix"/>
    <s v="Vanne fonte à secteur 3 voies FFF 1  &quot;1/4 "/>
    <n v="3"/>
    <s v="V3V114"/>
    <s v="Thermador"/>
    <s v="V3V33"/>
    <n v="0"/>
    <m/>
    <m/>
    <m/>
    <m/>
    <m/>
    <m/>
    <n v="0"/>
    <m/>
    <m/>
    <m/>
    <m/>
    <n v="0"/>
    <n v="0"/>
    <n v="0"/>
    <n v="0"/>
    <n v="0"/>
    <n v="0"/>
    <n v="0"/>
  </r>
  <r>
    <x v="3"/>
    <x v="76"/>
    <m/>
    <s v="Recup CalorieVanne 3 voie thermomix"/>
    <s v="Vanne fonte à secteur 3 voies FFF 2&quot;"/>
    <n v="5"/>
    <s v="V3V2"/>
    <s v="Thermador"/>
    <s v="V3V50"/>
    <n v="0"/>
    <m/>
    <m/>
    <m/>
    <m/>
    <m/>
    <m/>
    <n v="0"/>
    <m/>
    <m/>
    <m/>
    <m/>
    <n v="0"/>
    <n v="0"/>
    <n v="0"/>
    <n v="0"/>
    <n v="0"/>
    <n v="0"/>
    <n v="0"/>
  </r>
  <r>
    <x v="3"/>
    <x v="76"/>
    <m/>
    <s v="Recup CalorieVanne 3 voie thermomix"/>
    <s v="Vanne fonte à secteur 3 voies FFF 3/4 &quot;"/>
    <n v="1"/>
    <s v="V3V34"/>
    <s v="Thermador"/>
    <s v="V3V20"/>
    <n v="0"/>
    <m/>
    <m/>
    <m/>
    <m/>
    <m/>
    <m/>
    <n v="0"/>
    <m/>
    <m/>
    <m/>
    <m/>
    <n v="0"/>
    <n v="0"/>
    <n v="0"/>
    <n v="0"/>
    <n v="0"/>
    <n v="0"/>
    <n v="0"/>
  </r>
  <r>
    <x v="3"/>
    <x v="76"/>
    <m/>
    <s v="Recup CalorieVanne 3 voie thermomix"/>
    <m/>
    <n v="0"/>
    <m/>
    <m/>
    <m/>
    <n v="0"/>
    <m/>
    <m/>
    <m/>
    <m/>
    <m/>
    <m/>
    <n v="0"/>
    <m/>
    <m/>
    <m/>
    <m/>
    <n v="0"/>
    <n v="0"/>
    <n v="0"/>
    <n v="0"/>
    <n v="0"/>
    <n v="0"/>
    <n v="0"/>
  </r>
  <r>
    <x v="3"/>
    <x v="77"/>
    <m/>
    <s v="Recup CalorieVanne motorise"/>
    <s v="Vanne Laiton FF 1&quot; - 230Vac"/>
    <n v="1"/>
    <s v="VAE220-1"/>
    <s v="Sectoriel"/>
    <s v="270004024110"/>
    <n v="0"/>
    <m/>
    <m/>
    <m/>
    <m/>
    <m/>
    <m/>
    <n v="0"/>
    <m/>
    <m/>
    <m/>
    <m/>
    <n v="0"/>
    <n v="0"/>
    <n v="0"/>
    <n v="0"/>
    <n v="0"/>
    <n v="0"/>
    <n v="0"/>
  </r>
  <r>
    <x v="3"/>
    <x v="77"/>
    <m/>
    <s v="Recup CalorieVanne motorise"/>
    <s v="Vanne Laiton FF 1&quot;1/4-230Vac"/>
    <n v="2"/>
    <s v="VAE220-114"/>
    <s v="Sectoriel"/>
    <s v="270005024310"/>
    <n v="0"/>
    <m/>
    <m/>
    <m/>
    <m/>
    <m/>
    <m/>
    <n v="0"/>
    <m/>
    <m/>
    <m/>
    <m/>
    <n v="0"/>
    <n v="0"/>
    <n v="0"/>
    <n v="0"/>
    <n v="0"/>
    <n v="0"/>
    <n v="0"/>
  </r>
  <r>
    <x v="3"/>
    <x v="77"/>
    <m/>
    <s v="Recup CalorieVanne motorise"/>
    <s v="Vanne Inox FF 1&quot;1/4-230Vac"/>
    <n v="4"/>
    <s v="VAEI220-114"/>
    <s v="Sectoriel"/>
    <s v="272405024110"/>
    <n v="0"/>
    <m/>
    <m/>
    <m/>
    <m/>
    <m/>
    <m/>
    <n v="0"/>
    <m/>
    <m/>
    <m/>
    <m/>
    <n v="0"/>
    <n v="0"/>
    <n v="0"/>
    <n v="0"/>
    <n v="0"/>
    <n v="0"/>
    <n v="0"/>
  </r>
  <r>
    <x v="3"/>
    <x v="77"/>
    <m/>
    <s v="Recup CalorieVanne motorise"/>
    <s v="Vanne Inox FF 1&quot; - 230Vac"/>
    <n v="3"/>
    <s v="VAEI220-1"/>
    <s v="Sectoriel"/>
    <s v="272404024110"/>
    <n v="0"/>
    <m/>
    <m/>
    <m/>
    <m/>
    <m/>
    <m/>
    <n v="0"/>
    <m/>
    <m/>
    <m/>
    <m/>
    <n v="0"/>
    <n v="0"/>
    <n v="0"/>
    <n v="0"/>
    <n v="0"/>
    <n v="0"/>
    <n v="0"/>
  </r>
  <r>
    <x v="3"/>
    <x v="77"/>
    <m/>
    <s v="Recup CalorieVanne motorise"/>
    <m/>
    <n v="0"/>
    <m/>
    <m/>
    <m/>
    <n v="0"/>
    <m/>
    <m/>
    <m/>
    <m/>
    <m/>
    <m/>
    <n v="0"/>
    <m/>
    <m/>
    <m/>
    <m/>
    <n v="0"/>
    <n v="0"/>
    <n v="0"/>
    <n v="0"/>
    <n v="0"/>
    <n v="0"/>
    <n v="0"/>
  </r>
  <r>
    <x v="3"/>
    <x v="78"/>
    <m/>
    <s v="Recup CalorieCompensateur / Dilatoflex"/>
    <s v="DN100 Lg 130mm/ Acier Zingué / EPDM Ronge  (Eau) 16b  -30/+90"/>
    <n v="1"/>
    <n v="1560100"/>
    <s v="Sferaco"/>
    <n v="1560100"/>
    <n v="0"/>
    <m/>
    <m/>
    <m/>
    <m/>
    <m/>
    <m/>
    <n v="0"/>
    <m/>
    <m/>
    <m/>
    <m/>
    <n v="0"/>
    <n v="0"/>
    <n v="0"/>
    <n v="0"/>
    <n v="0"/>
    <n v="0"/>
    <n v="0"/>
  </r>
  <r>
    <x v="3"/>
    <x v="78"/>
    <m/>
    <s v="Recup CalorieCompensateur / Dilatoflex"/>
    <s v="DN150 Lg 130mm/ Acier Zingué / EPDM Rouge  (Eau) 16b  -30/+90"/>
    <n v="2"/>
    <n v="1560150"/>
    <s v="Sferaco"/>
    <n v="1560150"/>
    <n v="0"/>
    <m/>
    <m/>
    <m/>
    <m/>
    <m/>
    <m/>
    <n v="0"/>
    <m/>
    <m/>
    <m/>
    <m/>
    <n v="0"/>
    <n v="0"/>
    <n v="0"/>
    <n v="0"/>
    <n v="0"/>
    <n v="0"/>
    <n v="0"/>
  </r>
  <r>
    <x v="3"/>
    <x v="78"/>
    <m/>
    <s v="Recup CalorieCompensateur / Dilatoflex"/>
    <m/>
    <n v="0"/>
    <m/>
    <m/>
    <m/>
    <n v="0"/>
    <m/>
    <m/>
    <m/>
    <m/>
    <m/>
    <m/>
    <n v="0"/>
    <m/>
    <m/>
    <m/>
    <m/>
    <n v="0"/>
    <n v="0"/>
    <n v="0"/>
    <n v="0"/>
    <n v="0"/>
    <n v="0"/>
    <n v="0"/>
  </r>
  <r>
    <x v="3"/>
    <x v="79"/>
    <m/>
    <s v="Recup CalorieVase d'expansion chauffage"/>
    <s v="Vase d'expansion chauffage 110L- 1 bar"/>
    <n v="9"/>
    <s v="VASEXP110L-1,5B_x0009__x000a_"/>
    <s v="Catry"/>
    <n v="16117"/>
    <n v="0"/>
    <m/>
    <m/>
    <m/>
    <m/>
    <m/>
    <m/>
    <n v="0"/>
    <m/>
    <m/>
    <m/>
    <m/>
    <n v="0"/>
    <n v="0"/>
    <n v="0"/>
    <n v="0"/>
    <n v="0"/>
    <n v="0"/>
    <n v="0"/>
  </r>
  <r>
    <x v="3"/>
    <x v="79"/>
    <m/>
    <s v="Recup CalorieVase d'expansion chauffage"/>
    <s v="Vase d'expansion 12L - 0,5 Bar"/>
    <n v="2"/>
    <s v="VASEXP12L-0,5B"/>
    <s v="Catry"/>
    <s v="K00453"/>
    <n v="0"/>
    <m/>
    <m/>
    <m/>
    <m/>
    <m/>
    <m/>
    <n v="0"/>
    <m/>
    <m/>
    <m/>
    <m/>
    <n v="0"/>
    <n v="0"/>
    <n v="0"/>
    <n v="0"/>
    <n v="0"/>
    <n v="0"/>
    <n v="0"/>
  </r>
  <r>
    <x v="3"/>
    <x v="79"/>
    <m/>
    <s v="Recup CalorieVase d'expansion chauffage"/>
    <s v="Vase d'expansion 18L 1 Bar"/>
    <n v="3"/>
    <s v="VASEXP18L-1B"/>
    <s v="Catry"/>
    <s v="K00456"/>
    <n v="0"/>
    <m/>
    <m/>
    <m/>
    <m/>
    <m/>
    <m/>
    <n v="0"/>
    <m/>
    <m/>
    <m/>
    <m/>
    <n v="0"/>
    <n v="0"/>
    <n v="0"/>
    <n v="0"/>
    <n v="0"/>
    <n v="0"/>
    <n v="0"/>
  </r>
  <r>
    <x v="3"/>
    <x v="79"/>
    <m/>
    <s v="Recup CalorieVase d'expansion chauffage"/>
    <s v="Vase d'expansion 200L - 1,5 bars"/>
    <n v="10"/>
    <s v="VASEXP200L-1,5B"/>
    <s v="Catry"/>
    <m/>
    <n v="0"/>
    <m/>
    <m/>
    <m/>
    <m/>
    <m/>
    <m/>
    <n v="0"/>
    <m/>
    <m/>
    <m/>
    <m/>
    <n v="0"/>
    <n v="0"/>
    <n v="0"/>
    <n v="0"/>
    <n v="0"/>
    <n v="0"/>
    <n v="0"/>
  </r>
  <r>
    <x v="3"/>
    <x v="79"/>
    <m/>
    <s v="Recup CalorieVase d'expansion chauffage"/>
    <s v="Vase d'expansion 250L -2,5B"/>
    <n v="11"/>
    <s v="VASEXP250L-2,5B"/>
    <s v="TC concept"/>
    <n v="1330358"/>
    <n v="0"/>
    <m/>
    <m/>
    <m/>
    <m/>
    <m/>
    <m/>
    <n v="0"/>
    <m/>
    <m/>
    <m/>
    <m/>
    <n v="0"/>
    <n v="0"/>
    <n v="0"/>
    <n v="0"/>
    <n v="0"/>
    <n v="0"/>
    <n v="0"/>
  </r>
  <r>
    <x v="3"/>
    <x v="79"/>
    <m/>
    <s v="Recup CalorieVase d'expansion chauffage"/>
    <s v="Vase d'expansion25L - 1 Bar"/>
    <n v="4"/>
    <s v="VASEXP25L-01B"/>
    <s v="Catry"/>
    <s v="K00459"/>
    <n v="0"/>
    <m/>
    <m/>
    <m/>
    <m/>
    <m/>
    <m/>
    <n v="0"/>
    <m/>
    <m/>
    <m/>
    <m/>
    <n v="0"/>
    <n v="0"/>
    <n v="0"/>
    <n v="0"/>
    <n v="0"/>
    <n v="0"/>
    <n v="0"/>
  </r>
  <r>
    <x v="3"/>
    <x v="79"/>
    <m/>
    <s v="Recup CalorieVase d'expansion chauffage"/>
    <s v="Vase d'expansion 35L - 1 Bar"/>
    <n v="5"/>
    <s v="VASEXP35L-01B"/>
    <s v="Catry"/>
    <m/>
    <n v="0"/>
    <m/>
    <m/>
    <m/>
    <m/>
    <m/>
    <m/>
    <n v="0"/>
    <m/>
    <m/>
    <m/>
    <m/>
    <n v="0"/>
    <n v="0"/>
    <n v="0"/>
    <n v="0"/>
    <n v="0"/>
    <n v="0"/>
    <n v="0"/>
  </r>
  <r>
    <x v="3"/>
    <x v="79"/>
    <m/>
    <s v="Recup CalorieVase d'expansion chauffage"/>
    <s v="Vase d'expansion50L -0,5 bar"/>
    <n v="6"/>
    <s v="VASEXP50L-0,5B"/>
    <s v="Catry"/>
    <s v="K00465"/>
    <n v="0"/>
    <m/>
    <m/>
    <m/>
    <m/>
    <m/>
    <m/>
    <n v="0"/>
    <m/>
    <m/>
    <m/>
    <m/>
    <n v="0"/>
    <n v="0"/>
    <n v="0"/>
    <n v="0"/>
    <n v="0"/>
    <n v="0"/>
    <n v="0"/>
  </r>
  <r>
    <x v="3"/>
    <x v="79"/>
    <m/>
    <s v="Recup CalorieVase d'expansion chauffage"/>
    <s v="Groupe raccord 1&quot; avec mano pour vase à partir de 80L"/>
    <n v="7"/>
    <s v="VASEGROUPE1"/>
    <s v="Catry"/>
    <n v="27293"/>
    <n v="0"/>
    <m/>
    <m/>
    <m/>
    <m/>
    <m/>
    <m/>
    <n v="0"/>
    <m/>
    <m/>
    <m/>
    <m/>
    <n v="0"/>
    <n v="0"/>
    <n v="0"/>
    <n v="0"/>
    <n v="0"/>
    <n v="0"/>
    <n v="0"/>
  </r>
  <r>
    <x v="3"/>
    <x v="79"/>
    <m/>
    <s v="Recup CalorieVase d'expansion chauffage"/>
    <s v="Vase d'expansion 80L -2,5 bars"/>
    <n v="8"/>
    <s v="VASEXP80L-2,5B"/>
    <s v="Catry"/>
    <m/>
    <n v="0"/>
    <m/>
    <m/>
    <m/>
    <m/>
    <m/>
    <m/>
    <n v="0"/>
    <m/>
    <m/>
    <m/>
    <m/>
    <n v="0"/>
    <n v="0"/>
    <n v="0"/>
    <n v="0"/>
    <n v="0"/>
    <n v="0"/>
    <n v="0"/>
  </r>
  <r>
    <x v="3"/>
    <x v="79"/>
    <m/>
    <s v="Recup CalorieVase d'expansion chauffage"/>
    <s v="Vase d'expansion 8L"/>
    <n v="1"/>
    <s v="K00469"/>
    <s v="Catry"/>
    <s v="K00469"/>
    <n v="0"/>
    <m/>
    <m/>
    <m/>
    <m/>
    <m/>
    <m/>
    <n v="0"/>
    <m/>
    <m/>
    <m/>
    <m/>
    <n v="0"/>
    <n v="0"/>
    <n v="0"/>
    <n v="0"/>
    <n v="0"/>
    <n v="0"/>
    <n v="0"/>
  </r>
  <r>
    <x v="3"/>
    <x v="79"/>
    <m/>
    <s v="Recup CalorieVase d'expansion chauffage"/>
    <s v="Console equipée pour vase d'expansion  2 à 25 L &quot;FLAMCO&quot;"/>
    <n v="12"/>
    <s v="VASECONS"/>
    <s v="Catry"/>
    <m/>
    <n v="0"/>
    <m/>
    <m/>
    <m/>
    <m/>
    <m/>
    <m/>
    <n v="0"/>
    <m/>
    <m/>
    <m/>
    <m/>
    <n v="0"/>
    <n v="0"/>
    <n v="0"/>
    <n v="0"/>
    <n v="0"/>
    <n v="0"/>
    <n v="0"/>
  </r>
  <r>
    <x v="3"/>
    <x v="79"/>
    <m/>
    <s v="Recup CalorieVase d'expansion chauffage"/>
    <s v="Console non equipée pour vase d'expansion  2 à 25 L &quot;FLAMSOL&quot;"/>
    <n v="13"/>
    <s v="VASECONS-NEQ"/>
    <s v="Catry"/>
    <m/>
    <n v="0"/>
    <m/>
    <m/>
    <m/>
    <m/>
    <m/>
    <m/>
    <n v="0"/>
    <m/>
    <m/>
    <m/>
    <m/>
    <n v="0"/>
    <n v="0"/>
    <n v="0"/>
    <n v="0"/>
    <n v="0"/>
    <n v="0"/>
    <n v="0"/>
  </r>
  <r>
    <x v="3"/>
    <x v="79"/>
    <m/>
    <s v="Recup CalorieVase d'expansion chauffage"/>
    <m/>
    <n v="0"/>
    <m/>
    <m/>
    <m/>
    <n v="0"/>
    <m/>
    <m/>
    <m/>
    <m/>
    <m/>
    <m/>
    <n v="0"/>
    <m/>
    <m/>
    <m/>
    <m/>
    <n v="0"/>
    <n v="0"/>
    <n v="0"/>
    <n v="0"/>
    <n v="0"/>
    <n v="0"/>
    <n v="0"/>
  </r>
  <r>
    <x v="4"/>
    <x v="80"/>
    <s v="Cable regul. 2 sigma"/>
    <s v="Régulation - MesureCapteurCable regul. 2 sigma"/>
    <s v="Cable regul. 2 sigma"/>
    <n v="1"/>
    <s v="KIT RS 485"/>
    <s v="Kaeser"/>
    <m/>
    <n v="0"/>
    <m/>
    <m/>
    <m/>
    <m/>
    <m/>
    <m/>
    <n v="0"/>
    <m/>
    <m/>
    <m/>
    <m/>
    <n v="0"/>
    <n v="0"/>
    <n v="0"/>
    <n v="0"/>
    <n v="0"/>
    <n v="0"/>
    <n v="0"/>
  </r>
  <r>
    <x v="4"/>
    <x v="80"/>
    <s v="Pression"/>
    <s v="Régulation - MesureCapteurPression"/>
    <s v="Capteur de Pression 0-20b / 0-10v"/>
    <n v="2"/>
    <s v="PR-21"/>
    <s v="STAMI"/>
    <m/>
    <n v="0"/>
    <m/>
    <m/>
    <m/>
    <m/>
    <m/>
    <m/>
    <n v="0"/>
    <m/>
    <m/>
    <m/>
    <m/>
    <n v="0"/>
    <n v="0"/>
    <n v="0"/>
    <n v="0"/>
    <n v="0"/>
    <n v="0"/>
    <n v="0"/>
  </r>
  <r>
    <x v="4"/>
    <x v="80"/>
    <s v="Pression"/>
    <s v="Régulation - MesureCapteurPression"/>
    <s v="Capteur de Pression 0….10b / 4-20ma"/>
    <n v="3"/>
    <s v="CP10.1"/>
    <s v="RS-component"/>
    <m/>
    <n v="0"/>
    <m/>
    <m/>
    <m/>
    <m/>
    <m/>
    <m/>
    <n v="0"/>
    <m/>
    <m/>
    <m/>
    <m/>
    <n v="0"/>
    <n v="0"/>
    <n v="0"/>
    <n v="0"/>
    <n v="0"/>
    <n v="0"/>
    <n v="0"/>
  </r>
  <r>
    <x v="4"/>
    <x v="80"/>
    <s v="Pression"/>
    <s v="Régulation - MesureCapteurPression"/>
    <s v="Capteur de Pression 0….16b /4-20ma"/>
    <n v="4"/>
    <s v="CP16.1"/>
    <s v="ATC Mesure"/>
    <m/>
    <n v="0"/>
    <m/>
    <m/>
    <m/>
    <m/>
    <m/>
    <m/>
    <n v="0"/>
    <m/>
    <m/>
    <m/>
    <m/>
    <n v="0"/>
    <n v="0"/>
    <n v="0"/>
    <n v="0"/>
    <n v="0"/>
    <n v="0"/>
    <n v="0"/>
  </r>
  <r>
    <x v="4"/>
    <x v="80"/>
    <s v="Pression"/>
    <s v="Régulation - MesureCapteurPression"/>
    <s v="Capteur de Pression 0….16b /4-20ma"/>
    <n v="5"/>
    <s v="DTH-S"/>
    <s v="Airleader"/>
    <m/>
    <n v="0"/>
    <m/>
    <m/>
    <m/>
    <m/>
    <m/>
    <m/>
    <n v="0"/>
    <m/>
    <m/>
    <m/>
    <m/>
    <n v="0"/>
    <n v="0"/>
    <n v="0"/>
    <n v="0"/>
    <n v="0"/>
    <n v="0"/>
    <n v="0"/>
  </r>
  <r>
    <x v="4"/>
    <x v="80"/>
    <s v="Pression"/>
    <s v="Régulation - MesureCapteurPression"/>
    <s v="Capteur de Pression 0….60b /4-20ma"/>
    <n v="6"/>
    <s v="CP60"/>
    <s v="CMC"/>
    <m/>
    <n v="0"/>
    <m/>
    <m/>
    <m/>
    <m/>
    <m/>
    <m/>
    <n v="0"/>
    <m/>
    <m/>
    <m/>
    <m/>
    <n v="0"/>
    <n v="0"/>
    <n v="0"/>
    <n v="0"/>
    <n v="0"/>
    <n v="0"/>
    <n v="0"/>
  </r>
  <r>
    <x v="4"/>
    <x v="80"/>
    <s v="Pression"/>
    <s v="Régulation - MesureCapteurPression"/>
    <s v="Capteur de presion pou rpompe a vide  /4-20ma"/>
    <n v="7"/>
    <s v="CPV-1"/>
    <s v="CMC"/>
    <m/>
    <n v="0"/>
    <m/>
    <m/>
    <m/>
    <m/>
    <m/>
    <m/>
    <n v="0"/>
    <m/>
    <m/>
    <m/>
    <m/>
    <n v="0"/>
    <n v="0"/>
    <n v="0"/>
    <n v="0"/>
    <n v="0"/>
    <n v="0"/>
    <n v="0"/>
  </r>
  <r>
    <x v="4"/>
    <x v="80"/>
    <s v="Delta P"/>
    <s v="Régulation - MesureCapteurDelta P"/>
    <s v="Sonde delta P -2500/+2500 mbar -1/4&quot; FF  /4-20ma"/>
    <n v="8"/>
    <s v="SDP"/>
    <s v="Apico"/>
    <m/>
    <n v="0"/>
    <m/>
    <m/>
    <m/>
    <m/>
    <m/>
    <m/>
    <n v="0"/>
    <m/>
    <m/>
    <m/>
    <m/>
    <n v="0"/>
    <n v="0"/>
    <n v="0"/>
    <n v="0"/>
    <n v="0"/>
    <n v="0"/>
    <n v="0"/>
  </r>
  <r>
    <x v="4"/>
    <x v="80"/>
    <s v="Température"/>
    <s v="Régulation - MesureCapteurTempérature"/>
    <s v="Capteur de température murale intérieur / extérieur"/>
    <n v="9"/>
    <s v="EE451-T3/6XXPO002M"/>
    <s v="Apico"/>
    <m/>
    <n v="0"/>
    <m/>
    <m/>
    <m/>
    <m/>
    <m/>
    <m/>
    <n v="0"/>
    <m/>
    <m/>
    <m/>
    <m/>
    <n v="0"/>
    <n v="0"/>
    <n v="0"/>
    <n v="0"/>
    <n v="0"/>
    <n v="0"/>
    <n v="0"/>
  </r>
  <r>
    <x v="4"/>
    <x v="80"/>
    <s v="Température"/>
    <s v="Régulation - MesureCapteurTempérature"/>
    <s v="sonde de température PT100 tête standard"/>
    <n v="10"/>
    <s v="PT100"/>
    <s v="ATC Mesure"/>
    <m/>
    <n v="0"/>
    <m/>
    <m/>
    <m/>
    <m/>
    <m/>
    <m/>
    <n v="0"/>
    <m/>
    <m/>
    <m/>
    <m/>
    <n v="0"/>
    <n v="0"/>
    <n v="0"/>
    <n v="0"/>
    <n v="0"/>
    <n v="0"/>
    <n v="0"/>
  </r>
  <r>
    <x v="4"/>
    <x v="80"/>
    <s v="Capteur capacitif"/>
    <s v="Régulation - MesureCapteurCapteur capacitif"/>
    <s v="Capteur capacitif   TOR (NO+NF)"/>
    <n v="11"/>
    <s v="KQ6001"/>
    <s v="IFM Electronic"/>
    <s v="KQ6001"/>
    <n v="0"/>
    <m/>
    <m/>
    <m/>
    <m/>
    <m/>
    <m/>
    <n v="0"/>
    <m/>
    <m/>
    <m/>
    <m/>
    <n v="0"/>
    <n v="0"/>
    <n v="0"/>
    <n v="0"/>
    <n v="0"/>
    <n v="0"/>
    <n v="0"/>
  </r>
  <r>
    <x v="4"/>
    <x v="80"/>
    <s v="Compteur d'eau"/>
    <s v="Compteur à impulsion"/>
    <s v="Compteur d'eau 3/4&quot;MM pour joint plat - Qnom = 2,5m3/h - 1 imp/L"/>
    <n v="12"/>
    <s v="CPTEAU34-IMP1L"/>
    <s v="Sferaco"/>
    <s v="1719020"/>
    <n v="0"/>
    <m/>
    <m/>
    <m/>
    <m/>
    <m/>
    <m/>
    <n v="0"/>
    <m/>
    <m/>
    <m/>
    <m/>
    <n v="0"/>
    <n v="0"/>
    <n v="0"/>
    <n v="0"/>
    <n v="0"/>
    <n v="0"/>
    <n v="0"/>
  </r>
  <r>
    <x v="4"/>
    <x v="80"/>
    <s v="Compteur d'eau"/>
    <s v="Compteur à impulsion"/>
    <s v="Raccord Compteur d'eau Laiton 1&quot;F joint plat- G3/4&quot;M"/>
    <n v="13"/>
    <s v="RCL1-34"/>
    <s v="Sferaco"/>
    <s v="9811065"/>
    <n v="0"/>
    <m/>
    <m/>
    <m/>
    <m/>
    <m/>
    <m/>
    <n v="0"/>
    <m/>
    <m/>
    <m/>
    <m/>
    <n v="0"/>
    <n v="0"/>
    <n v="0"/>
    <n v="0"/>
    <n v="0"/>
    <n v="0"/>
    <n v="0"/>
  </r>
  <r>
    <x v="4"/>
    <x v="80"/>
    <s v="Compteur d'eau"/>
    <s v="Raccord pour compteur"/>
    <s v="Compteur d'eau 1&quot;MM pour joint plat - Qnom = 4m3/h - 1 imp/L"/>
    <n v="14"/>
    <s v="CPTEAU1-IMP1L"/>
    <s v="Sferaco"/>
    <s v="1719020"/>
    <n v="0"/>
    <m/>
    <m/>
    <m/>
    <m/>
    <m/>
    <m/>
    <n v="0"/>
    <m/>
    <m/>
    <m/>
    <m/>
    <n v="0"/>
    <n v="0"/>
    <n v="0"/>
    <n v="0"/>
    <n v="0"/>
    <n v="0"/>
    <n v="0"/>
  </r>
  <r>
    <x v="4"/>
    <x v="80"/>
    <m/>
    <s v="Régulation - MesureCapteur"/>
    <m/>
    <n v="0"/>
    <m/>
    <m/>
    <m/>
    <n v="0"/>
    <m/>
    <m/>
    <m/>
    <m/>
    <m/>
    <m/>
    <n v="0"/>
    <m/>
    <m/>
    <m/>
    <m/>
    <n v="0"/>
    <n v="0"/>
    <n v="0"/>
    <n v="0"/>
    <n v="0"/>
    <n v="0"/>
    <n v="0"/>
  </r>
  <r>
    <x v="4"/>
    <x v="81"/>
    <s v="APICO"/>
    <s v="Régulation - MesureDébit mètreAPICO"/>
    <s v="Debit metre DN50"/>
    <n v="1"/>
    <s v="DMT0"/>
    <s v="Apico"/>
    <s v="DMT0"/>
    <n v="0"/>
    <m/>
    <m/>
    <m/>
    <m/>
    <m/>
    <m/>
    <n v="0"/>
    <m/>
    <m/>
    <m/>
    <m/>
    <n v="0"/>
    <n v="0"/>
    <n v="0"/>
    <n v="0"/>
    <n v="0"/>
    <n v="0"/>
    <n v="0"/>
  </r>
  <r>
    <x v="4"/>
    <x v="81"/>
    <s v="APICO"/>
    <s v="Régulation - MesureDébit mètreAPICO"/>
    <s v="Debitmètre  massique thermique corrigé en Pression ABS - en charge DN50 à DN65"/>
    <n v="2"/>
    <s v="DMT1"/>
    <s v="Apico"/>
    <s v="DMT1"/>
    <n v="0"/>
    <m/>
    <m/>
    <m/>
    <m/>
    <m/>
    <m/>
    <n v="0"/>
    <m/>
    <m/>
    <m/>
    <m/>
    <n v="0"/>
    <n v="0"/>
    <n v="0"/>
    <n v="0"/>
    <n v="0"/>
    <n v="0"/>
    <n v="0"/>
  </r>
  <r>
    <x v="4"/>
    <x v="81"/>
    <s v="APICO"/>
    <s v="Régulation - MesureDébit mètreAPICO"/>
    <s v="Debitmètre  massique thermique corrigé en Pression ABS - en charge DN50 à DN65  haute vitesse"/>
    <n v="3"/>
    <s v="DMT10"/>
    <s v="Apico"/>
    <s v="DMT10"/>
    <n v="0"/>
    <m/>
    <m/>
    <m/>
    <m/>
    <m/>
    <m/>
    <n v="0"/>
    <m/>
    <m/>
    <m/>
    <m/>
    <n v="0"/>
    <n v="0"/>
    <n v="0"/>
    <n v="0"/>
    <n v="0"/>
    <n v="0"/>
    <n v="0"/>
  </r>
  <r>
    <x v="4"/>
    <x v="81"/>
    <s v="APICO"/>
    <s v="Régulation - MesureDébit mètreAPICO"/>
    <s v="Debitmètre  massique thermique corrigé en Pression ABS - en charge DN80 à DN200"/>
    <n v="4"/>
    <s v="DMT2"/>
    <s v="Apico"/>
    <s v="DMT2"/>
    <n v="0"/>
    <m/>
    <m/>
    <m/>
    <m/>
    <m/>
    <m/>
    <n v="0"/>
    <m/>
    <m/>
    <m/>
    <m/>
    <n v="0"/>
    <n v="0"/>
    <n v="0"/>
    <n v="0"/>
    <n v="0"/>
    <n v="0"/>
    <n v="0"/>
  </r>
  <r>
    <x v="4"/>
    <x v="81"/>
    <s v="APICO"/>
    <s v="Régulation - MesureDébit mètreAPICO"/>
    <s v="Debitmètre  massique thermique corrigé en Pression ABS - en charge DN80 à DN200+ ACC MDBUS"/>
    <n v="5"/>
    <s v="DMT2-MODBUS"/>
    <s v="Apico"/>
    <s v="EE776-CL1N300DA1-RI6IMA"/>
    <n v="0"/>
    <m/>
    <m/>
    <m/>
    <m/>
    <m/>
    <m/>
    <n v="0"/>
    <m/>
    <m/>
    <m/>
    <m/>
    <n v="0"/>
    <n v="0"/>
    <n v="0"/>
    <n v="0"/>
    <n v="0"/>
    <n v="0"/>
    <n v="0"/>
  </r>
  <r>
    <x v="4"/>
    <x v="81"/>
    <s v="APICO"/>
    <s v="Régulation - MesureDébit mètreAPICO"/>
    <s v="Debitmètre  massique thermique corrigé en Pression ABS - en charge DN80 à DN200 haute vitesse"/>
    <n v="6"/>
    <s v="DMT20"/>
    <s v="Apico"/>
    <s v="DMT20"/>
    <n v="0"/>
    <m/>
    <m/>
    <m/>
    <m/>
    <m/>
    <m/>
    <n v="0"/>
    <m/>
    <m/>
    <m/>
    <m/>
    <n v="0"/>
    <n v="0"/>
    <n v="0"/>
    <n v="0"/>
    <n v="0"/>
    <n v="0"/>
    <n v="0"/>
  </r>
  <r>
    <x v="4"/>
    <x v="81"/>
    <s v="APICO"/>
    <s v="Régulation - MesureDébit mètreAPICO"/>
    <s v="Debitmètre  massique thermique corrigé en Pression ABS - en charge DN250 à DN300"/>
    <n v="7"/>
    <s v="DMT3"/>
    <s v="Apico"/>
    <s v="DMT3"/>
    <n v="0"/>
    <m/>
    <m/>
    <m/>
    <m/>
    <m/>
    <m/>
    <n v="0"/>
    <m/>
    <m/>
    <m/>
    <m/>
    <n v="0"/>
    <n v="0"/>
    <n v="0"/>
    <n v="0"/>
    <n v="0"/>
    <n v="0"/>
    <n v="0"/>
  </r>
  <r>
    <x v="4"/>
    <x v="81"/>
    <s v="APICO"/>
    <s v="Régulation - MesureDébit mètreAPICO"/>
    <s v="Debitmètre  massique thermique corrigé en Pression ABS - en charge DN250 à DN300 haute vitesse"/>
    <n v="8"/>
    <s v="DMT30"/>
    <s v="Apico"/>
    <s v="DMT30"/>
    <n v="0"/>
    <m/>
    <m/>
    <m/>
    <m/>
    <m/>
    <m/>
    <n v="0"/>
    <m/>
    <m/>
    <m/>
    <m/>
    <n v="0"/>
    <n v="0"/>
    <n v="0"/>
    <n v="0"/>
    <n v="0"/>
    <n v="0"/>
    <n v="0"/>
  </r>
  <r>
    <x v="4"/>
    <x v="81"/>
    <s v="APICO"/>
    <s v="Régulation - MesureDébit mètreAPICO"/>
    <s v="Sonde de mesure pour remplacement DMT1"/>
    <n v="9"/>
    <s v="DMT1SONDE"/>
    <s v="Apico"/>
    <s v="EE776-T3-HV321N100"/>
    <n v="0"/>
    <m/>
    <m/>
    <m/>
    <m/>
    <m/>
    <m/>
    <n v="0"/>
    <m/>
    <m/>
    <m/>
    <m/>
    <n v="0"/>
    <n v="0"/>
    <n v="0"/>
    <n v="0"/>
    <n v="0"/>
    <n v="0"/>
    <n v="0"/>
  </r>
  <r>
    <x v="4"/>
    <x v="81"/>
    <s v="APICO"/>
    <s v="Régulation - MesureDébit mètreAPICO"/>
    <s v="Sonde de mesure pour remplacement DMT10"/>
    <n v="10"/>
    <s v="DMT10SONDE"/>
    <s v="Apico"/>
    <s v="EE776-T3-HV33N100"/>
    <n v="0"/>
    <m/>
    <m/>
    <m/>
    <m/>
    <m/>
    <m/>
    <n v="0"/>
    <m/>
    <m/>
    <m/>
    <m/>
    <n v="0"/>
    <n v="0"/>
    <n v="0"/>
    <n v="0"/>
    <n v="0"/>
    <n v="0"/>
    <n v="0"/>
  </r>
  <r>
    <x v="4"/>
    <x v="81"/>
    <s v="APICO"/>
    <s v="Régulation - MesureDébit mètreAPICO"/>
    <s v="Sonde de mesure pour remplacement DMT2"/>
    <n v="11"/>
    <s v="DMT2SONDE"/>
    <s v="Apico"/>
    <s v="EE776-T3-HV321N300"/>
    <n v="0"/>
    <m/>
    <m/>
    <m/>
    <m/>
    <m/>
    <m/>
    <n v="0"/>
    <m/>
    <m/>
    <m/>
    <m/>
    <n v="0"/>
    <n v="0"/>
    <n v="0"/>
    <n v="0"/>
    <n v="0"/>
    <n v="0"/>
    <n v="0"/>
  </r>
  <r>
    <x v="4"/>
    <x v="81"/>
    <s v="APICO"/>
    <s v="Régulation - MesureDébit mètreAPICO"/>
    <s v="Sonde de mesure pour remplacement DMT20"/>
    <n v="12"/>
    <s v="DMT20SONDE"/>
    <s v="Apico"/>
    <s v="EE776-T3HV33N300"/>
    <n v="0"/>
    <m/>
    <m/>
    <m/>
    <m/>
    <m/>
    <m/>
    <n v="0"/>
    <m/>
    <m/>
    <m/>
    <m/>
    <n v="0"/>
    <n v="0"/>
    <n v="0"/>
    <n v="0"/>
    <n v="0"/>
    <n v="0"/>
    <n v="0"/>
  </r>
  <r>
    <x v="4"/>
    <x v="81"/>
    <s v="APICO"/>
    <s v="Régulation - MesureDébit mètreAPICO"/>
    <s v="Sonde de mesure pour remplacement DMT3"/>
    <n v="13"/>
    <s v="DMT3SONDE"/>
    <s v="Apico"/>
    <s v="EE776-T3HV31N700"/>
    <n v="0"/>
    <m/>
    <m/>
    <m/>
    <m/>
    <m/>
    <m/>
    <n v="0"/>
    <m/>
    <m/>
    <m/>
    <m/>
    <n v="0"/>
    <n v="0"/>
    <n v="0"/>
    <n v="0"/>
    <n v="0"/>
    <n v="0"/>
    <n v="0"/>
  </r>
  <r>
    <x v="4"/>
    <x v="81"/>
    <s v="APICO"/>
    <s v="Régulation - MesureDébit mètreAPICO"/>
    <s v="Sonde de mesure pour remplacement DMT30"/>
    <n v="14"/>
    <s v="DMT30SONDE"/>
    <s v="Apico"/>
    <s v="EE776-T3HV33N700"/>
    <n v="0"/>
    <m/>
    <m/>
    <m/>
    <m/>
    <m/>
    <m/>
    <n v="0"/>
    <m/>
    <m/>
    <m/>
    <m/>
    <n v="0"/>
    <n v="0"/>
    <n v="0"/>
    <n v="0"/>
    <n v="0"/>
    <n v="0"/>
    <n v="0"/>
  </r>
  <r>
    <x v="4"/>
    <x v="81"/>
    <s v="APICO"/>
    <s v="Régulation - MesureDébit mètreAPICO"/>
    <s v="cable 10m raccordement acpteur de debit"/>
    <n v="15"/>
    <s v="HA010818"/>
    <s v="Apico"/>
    <m/>
    <n v="0"/>
    <m/>
    <m/>
    <m/>
    <m/>
    <m/>
    <m/>
    <n v="0"/>
    <m/>
    <m/>
    <m/>
    <m/>
    <n v="0"/>
    <n v="0"/>
    <n v="0"/>
    <n v="0"/>
    <n v="0"/>
    <n v="0"/>
    <n v="0"/>
  </r>
  <r>
    <x v="4"/>
    <x v="81"/>
    <s v="APICO"/>
    <s v="Régulation - MesureDébit mètreAPICO"/>
    <s v="Cable 10 conexion EE354 avec fils denudés"/>
    <n v="16"/>
    <s v="HA010821"/>
    <s v="Apico"/>
    <m/>
    <n v="0"/>
    <m/>
    <m/>
    <m/>
    <m/>
    <m/>
    <m/>
    <n v="0"/>
    <m/>
    <m/>
    <m/>
    <m/>
    <n v="0"/>
    <n v="0"/>
    <n v="0"/>
    <n v="0"/>
    <n v="0"/>
    <n v="0"/>
    <n v="0"/>
  </r>
  <r>
    <x v="4"/>
    <x v="81"/>
    <s v="APICO"/>
    <s v="Régulation - MesureDébit mètreAPICO"/>
    <s v="Capteur de pression absolue 0-10 bars"/>
    <n v="17"/>
    <s v="PTX50723-TYA-A1-CA-HO-PB/10"/>
    <s v="Apico"/>
    <m/>
    <n v="0"/>
    <m/>
    <m/>
    <m/>
    <m/>
    <m/>
    <m/>
    <n v="0"/>
    <m/>
    <m/>
    <m/>
    <m/>
    <n v="0"/>
    <n v="0"/>
    <n v="0"/>
    <n v="0"/>
    <n v="0"/>
    <n v="0"/>
    <n v="0"/>
  </r>
  <r>
    <x v="4"/>
    <x v="81"/>
    <s v="APICO"/>
    <s v="Régulation - MesureDébit mètreAPICO"/>
    <s v="Vanne à boule 3 voies 3/4&quot;-1/4&quot;-1/2&quot; ( debit metre avec capteur de pression)"/>
    <n v="18"/>
    <s v="VAB3V34X12"/>
    <s v="Apico"/>
    <m/>
    <n v="0"/>
    <m/>
    <m/>
    <m/>
    <m/>
    <m/>
    <m/>
    <n v="0"/>
    <m/>
    <m/>
    <m/>
    <m/>
    <n v="0"/>
    <n v="0"/>
    <n v="0"/>
    <n v="0"/>
    <n v="0"/>
    <n v="0"/>
    <n v="0"/>
  </r>
  <r>
    <x v="4"/>
    <x v="81"/>
    <s v="BEKO"/>
    <s v="Régulation - MesureDébit mètreBEKO"/>
    <s v="Debimetre massique thermique sonde 400mm (non corrigé en pression)"/>
    <n v="19"/>
    <s v="VA400"/>
    <s v="Beko"/>
    <m/>
    <n v="0"/>
    <m/>
    <m/>
    <m/>
    <m/>
    <m/>
    <m/>
    <n v="0"/>
    <m/>
    <m/>
    <m/>
    <m/>
    <n v="0"/>
    <n v="0"/>
    <n v="0"/>
    <n v="0"/>
    <n v="0"/>
    <n v="0"/>
    <n v="0"/>
  </r>
  <r>
    <x v="4"/>
    <x v="81"/>
    <m/>
    <s v="Régulation - MesureDébit mètre"/>
    <m/>
    <n v="0"/>
    <m/>
    <m/>
    <m/>
    <n v="0"/>
    <m/>
    <m/>
    <m/>
    <m/>
    <m/>
    <m/>
    <n v="0"/>
    <m/>
    <m/>
    <m/>
    <m/>
    <n v="0"/>
    <n v="0"/>
    <n v="0"/>
    <n v="0"/>
    <n v="0"/>
    <n v="0"/>
    <n v="0"/>
  </r>
  <r>
    <x v="4"/>
    <x v="82"/>
    <s v="Ecran Encastrable 10&quot;"/>
    <s v="Régulation - MesureHygrometrieEcran Encastrable 10&quot;"/>
    <s v="Tablet 10&quot;ANDR 6.0, RAM 2GB, BLACK, POE/WiFi/BT/Front Cam/Pow Adapt"/>
    <n v="1"/>
    <s v="DO-TABQ8919-9-B"/>
    <s v="Giga Concept"/>
    <s v="DO-TABQ8919-9-B"/>
    <n v="0"/>
    <m/>
    <m/>
    <m/>
    <m/>
    <m/>
    <m/>
    <n v="0"/>
    <m/>
    <m/>
    <m/>
    <s v="Besoin fixation DO-TABQ896-CLIP"/>
    <n v="0"/>
    <n v="0"/>
    <n v="0"/>
    <n v="0"/>
    <n v="0"/>
    <n v="0"/>
    <n v="0"/>
  </r>
  <r>
    <x v="4"/>
    <x v="82"/>
    <s v="Ecran Encastrable 10&quot;"/>
    <s v="Régulation - MesureHygrometrieEcran Encastrable 10&quot;"/>
    <s v="Set of 4 clips for Tablet Q896 + 4 Flat head screw, pour DO-TABQ8919-9-B"/>
    <n v="2"/>
    <s v="DO-TABQ896-CLIP"/>
    <s v="Giga Concept"/>
    <s v="DO-TABQ896-CLIP"/>
    <n v="0"/>
    <m/>
    <m/>
    <m/>
    <m/>
    <m/>
    <m/>
    <n v="0"/>
    <m/>
    <m/>
    <m/>
    <s v="Pour écran DO-TABQ896-CLIP"/>
    <n v="0"/>
    <n v="0"/>
    <n v="0"/>
    <n v="0"/>
    <n v="0"/>
    <n v="0"/>
    <n v="0"/>
  </r>
  <r>
    <x v="4"/>
    <x v="82"/>
    <s v="equipement capteur de pression"/>
    <s v="Régulation - MesureHygrometrieequipement capteur de pression"/>
    <s v="connecteur embrochable 4  poles"/>
    <n v="3"/>
    <s v="490-677"/>
    <m/>
    <s v="radiospare"/>
    <n v="0"/>
    <m/>
    <m/>
    <m/>
    <m/>
    <m/>
    <m/>
    <n v="0"/>
    <m/>
    <m/>
    <m/>
    <m/>
    <n v="0"/>
    <n v="0"/>
    <n v="0"/>
    <n v="0"/>
    <n v="0"/>
    <n v="0"/>
    <n v="0"/>
  </r>
  <r>
    <x v="4"/>
    <x v="82"/>
    <s v="APICO"/>
    <s v="Régulation - MesureHygrometrieAPICO"/>
    <s v="Transmetteur compact pou rmesure point de rosée avec afficheur"/>
    <n v="4"/>
    <s v="EE371-T-E-HA03-D08-C6-TD"/>
    <s v="Apico"/>
    <s v="EE371-T-E-HA03-F08-C6-TD"/>
    <n v="0"/>
    <m/>
    <m/>
    <m/>
    <m/>
    <m/>
    <m/>
    <n v="0"/>
    <m/>
    <m/>
    <m/>
    <m/>
    <n v="0"/>
    <n v="0"/>
    <n v="0"/>
    <n v="0"/>
    <n v="0"/>
    <n v="0"/>
    <n v="0"/>
  </r>
  <r>
    <x v="4"/>
    <x v="82"/>
    <s v="APICO"/>
    <s v="Régulation - MesureHygrometrieAPICO"/>
    <s v="Hygromètre secheur Add avec chambre de mesure et sans afficheur"/>
    <n v="5"/>
    <s v="HYGAD"/>
    <s v="Apico"/>
    <m/>
    <n v="0"/>
    <m/>
    <m/>
    <m/>
    <m/>
    <m/>
    <m/>
    <n v="0"/>
    <m/>
    <m/>
    <m/>
    <m/>
    <n v="0"/>
    <n v="0"/>
    <n v="0"/>
    <n v="0"/>
    <n v="0"/>
    <n v="0"/>
    <n v="0"/>
  </r>
  <r>
    <x v="4"/>
    <x v="82"/>
    <s v="APICO"/>
    <s v="Régulation - MesureHygrometrieAPICO"/>
    <s v="Hygromètre secheur Add avec chambre de mesure et afficheur"/>
    <n v="6"/>
    <s v="HYGAFFAD"/>
    <s v="Apico"/>
    <m/>
    <n v="0"/>
    <m/>
    <m/>
    <m/>
    <m/>
    <m/>
    <m/>
    <n v="0"/>
    <m/>
    <m/>
    <m/>
    <m/>
    <n v="0"/>
    <n v="0"/>
    <n v="0"/>
    <n v="0"/>
    <n v="0"/>
    <n v="0"/>
    <n v="0"/>
  </r>
  <r>
    <x v="4"/>
    <x v="82"/>
    <s v="APICO"/>
    <s v="Régulation - MesureHygrometrieAPICO"/>
    <s v="Hygromètre secheur Add a insertion ( sous presion) et afficheur deporté + relais d'alarme"/>
    <n v="7"/>
    <s v="HYGEE35AD"/>
    <s v="Apico"/>
    <m/>
    <n v="0"/>
    <m/>
    <m/>
    <m/>
    <m/>
    <m/>
    <m/>
    <n v="0"/>
    <m/>
    <m/>
    <m/>
    <m/>
    <n v="0"/>
    <n v="0"/>
    <n v="0"/>
    <n v="0"/>
    <n v="0"/>
    <n v="0"/>
    <n v="0"/>
  </r>
  <r>
    <x v="4"/>
    <x v="82"/>
    <s v="APICO"/>
    <s v="Régulation - MesureHygrometrieAPICO"/>
    <s v="Hygromètre secheur FRIGO A insertion ( sous presion) et afficheur deporté + relais d'alarme"/>
    <n v="8"/>
    <s v="HYGEE35FR"/>
    <s v="Apico"/>
    <m/>
    <n v="0"/>
    <m/>
    <m/>
    <m/>
    <m/>
    <m/>
    <m/>
    <n v="0"/>
    <m/>
    <m/>
    <m/>
    <m/>
    <n v="0"/>
    <n v="0"/>
    <n v="0"/>
    <n v="0"/>
    <n v="0"/>
    <n v="0"/>
    <n v="0"/>
  </r>
  <r>
    <x v="4"/>
    <x v="82"/>
    <s v="APICO"/>
    <s v="Régulation - MesureHygrometrieAPICO"/>
    <s v="Hygromètre secheur FRIGO avec chambre de mesure"/>
    <n v="9"/>
    <s v="HYGFR"/>
    <s v="Apico"/>
    <m/>
    <n v="0"/>
    <m/>
    <m/>
    <m/>
    <m/>
    <m/>
    <m/>
    <n v="0"/>
    <m/>
    <m/>
    <m/>
    <m/>
    <n v="0"/>
    <n v="0"/>
    <n v="0"/>
    <n v="0"/>
    <n v="0"/>
    <n v="0"/>
    <n v="0"/>
  </r>
  <r>
    <x v="4"/>
    <x v="82"/>
    <s v="ATC MESURE"/>
    <s v="Régulation - MesureHygrometrieATC MESURE"/>
    <s v="Transmetteur  de point de rosée pour secheur frigo"/>
    <n v="10"/>
    <s v="DMT132"/>
    <s v="ATC Mesure"/>
    <m/>
    <n v="0"/>
    <m/>
    <m/>
    <m/>
    <m/>
    <m/>
    <m/>
    <n v="0"/>
    <m/>
    <m/>
    <m/>
    <m/>
    <n v="0"/>
    <n v="0"/>
    <n v="0"/>
    <n v="0"/>
    <n v="0"/>
    <n v="0"/>
    <n v="0"/>
  </r>
  <r>
    <x v="4"/>
    <x v="82"/>
    <s v="ATC MESURE"/>
    <s v="Régulation - MesureHygrometrieATC MESURE"/>
    <s v="Hygromètre pour secehur frigo avec câble de 3m"/>
    <n v="11"/>
    <s v="DMT142-CXD33X"/>
    <s v="ATC Mesure"/>
    <m/>
    <n v="0"/>
    <m/>
    <m/>
    <m/>
    <m/>
    <m/>
    <m/>
    <n v="0"/>
    <m/>
    <m/>
    <m/>
    <m/>
    <n v="0"/>
    <n v="0"/>
    <n v="0"/>
    <n v="0"/>
    <n v="0"/>
    <n v="0"/>
    <n v="0"/>
  </r>
  <r>
    <x v="4"/>
    <x v="82"/>
    <s v="ATC MESURE"/>
    <s v="Régulation - MesureHygrometrieATC MESURE"/>
    <s v="Hygromètre miniature sécheur frigo avec câble de 3m"/>
    <n v="12"/>
    <s v="DMT143"/>
    <s v="ATC Mesure"/>
    <m/>
    <n v="0"/>
    <m/>
    <m/>
    <m/>
    <m/>
    <m/>
    <m/>
    <n v="0"/>
    <m/>
    <m/>
    <m/>
    <m/>
    <n v="0"/>
    <n v="0"/>
    <n v="0"/>
    <n v="0"/>
    <n v="0"/>
    <n v="0"/>
    <n v="0"/>
  </r>
  <r>
    <x v="4"/>
    <x v="82"/>
    <s v="ATC MESURE"/>
    <s v="Régulation - MesureHygrometrieATC MESURE"/>
    <s v="Hygromètre miniature sécheur frigo avec câble de 2m"/>
    <n v="13"/>
    <s v="DMT143-CXD33X"/>
    <s v="ATC Mesure"/>
    <m/>
    <n v="0"/>
    <m/>
    <m/>
    <m/>
    <m/>
    <m/>
    <m/>
    <n v="0"/>
    <m/>
    <m/>
    <m/>
    <m/>
    <n v="0"/>
    <n v="0"/>
    <n v="0"/>
    <n v="0"/>
    <n v="0"/>
    <n v="0"/>
    <n v="0"/>
  </r>
  <r>
    <x v="4"/>
    <x v="82"/>
    <s v="ATC MESURE"/>
    <s v="Régulation - MesureHygrometrieATC MESURE"/>
    <s v="Hygromètre pour secehur absorption avec câble de 3m"/>
    <n v="14"/>
    <s v="DMT152-A1DX1"/>
    <s v="ATC Mesure"/>
    <m/>
    <n v="0"/>
    <m/>
    <m/>
    <m/>
    <m/>
    <m/>
    <m/>
    <n v="0"/>
    <m/>
    <m/>
    <m/>
    <m/>
    <n v="0"/>
    <n v="0"/>
    <n v="0"/>
    <n v="0"/>
    <n v="0"/>
    <n v="0"/>
    <n v="0"/>
  </r>
  <r>
    <x v="4"/>
    <x v="82"/>
    <s v="ATC MESURE"/>
    <s v="Régulation - MesureHygrometrieATC MESURE"/>
    <s v="Hygromètre OEM"/>
    <n v="15"/>
    <s v="DMT242"/>
    <s v="ATC Mesure"/>
    <m/>
    <n v="0"/>
    <m/>
    <m/>
    <m/>
    <m/>
    <m/>
    <m/>
    <n v="0"/>
    <m/>
    <m/>
    <m/>
    <m/>
    <n v="0"/>
    <n v="0"/>
    <n v="0"/>
    <n v="0"/>
    <n v="0"/>
    <n v="0"/>
    <n v="0"/>
  </r>
  <r>
    <x v="4"/>
    <x v="82"/>
    <s v="ATC MESURE"/>
    <s v="Régulation - MesureHygrometrieATC MESURE"/>
    <s v="Transmetteur de point de rosé"/>
    <n v="16"/>
    <s v="DMT347"/>
    <s v="ATC Mesure"/>
    <m/>
    <n v="0"/>
    <m/>
    <m/>
    <m/>
    <m/>
    <m/>
    <m/>
    <n v="0"/>
    <m/>
    <m/>
    <m/>
    <m/>
    <n v="0"/>
    <n v="0"/>
    <n v="0"/>
    <n v="0"/>
    <n v="0"/>
    <n v="0"/>
    <n v="0"/>
  </r>
  <r>
    <x v="4"/>
    <x v="82"/>
    <s v="ATC MESURE"/>
    <s v="Régulation - MesureHygrometrieATC MESURE"/>
    <s v="Hygromètre industriel"/>
    <n v="17"/>
    <s v="DMT348"/>
    <s v="ATC Mesure"/>
    <m/>
    <n v="0"/>
    <m/>
    <m/>
    <m/>
    <m/>
    <m/>
    <m/>
    <n v="0"/>
    <m/>
    <m/>
    <m/>
    <m/>
    <n v="0"/>
    <n v="0"/>
    <n v="0"/>
    <n v="0"/>
    <n v="0"/>
    <n v="0"/>
    <n v="0"/>
  </r>
  <r>
    <x v="4"/>
    <x v="82"/>
    <s v="ATC MESURE"/>
    <s v="Régulation - MesureHygrometrieATC MESURE"/>
    <s v="Afficheur pour hygromètre DMT348"/>
    <n v="18"/>
    <s v="DMT348-AFF"/>
    <s v="ATC Mesure"/>
    <m/>
    <n v="0"/>
    <m/>
    <m/>
    <m/>
    <m/>
    <m/>
    <m/>
    <n v="0"/>
    <m/>
    <m/>
    <m/>
    <m/>
    <n v="0"/>
    <n v="0"/>
    <n v="0"/>
    <n v="0"/>
    <n v="0"/>
    <n v="0"/>
    <n v="0"/>
  </r>
  <r>
    <x v="4"/>
    <x v="82"/>
    <s v="ATC MESURE"/>
    <s v="Régulation - MesureHygrometrieATC MESURE"/>
    <s v="Hygromètre a afficheur sech absorption avec câble de5m"/>
    <n v="19"/>
    <s v="DMT348-W0B1A-BV-A"/>
    <s v="ATC Mesure"/>
    <m/>
    <n v="0"/>
    <m/>
    <m/>
    <m/>
    <m/>
    <m/>
    <m/>
    <n v="0"/>
    <m/>
    <m/>
    <m/>
    <m/>
    <n v="0"/>
    <n v="0"/>
    <n v="0"/>
    <n v="0"/>
    <n v="0"/>
    <n v="0"/>
    <n v="0"/>
  </r>
  <r>
    <x v="4"/>
    <x v="82"/>
    <s v="ATC MESURE"/>
    <s v="Régulation - MesureHygrometrieATC MESURE"/>
    <s v="Hygromètre a afficheur sech frigo, avec câble de5m"/>
    <n v="20"/>
    <s v="DMT348-W0B1A-BV-F"/>
    <s v="ATC Mesure"/>
    <m/>
    <n v="0"/>
    <m/>
    <m/>
    <m/>
    <m/>
    <m/>
    <m/>
    <n v="0"/>
    <m/>
    <m/>
    <m/>
    <m/>
    <n v="0"/>
    <n v="0"/>
    <n v="0"/>
    <n v="0"/>
    <n v="0"/>
    <n v="0"/>
    <n v="0"/>
  </r>
  <r>
    <x v="4"/>
    <x v="82"/>
    <s v="ATC MESURE"/>
    <s v="Régulation - MesureHygrometrieATC MESURE"/>
    <s v="cable pour contrôle DMT142"/>
    <n v="21"/>
    <s v="CCTRL142"/>
    <s v="ATC Mesure"/>
    <m/>
    <n v="0"/>
    <m/>
    <m/>
    <m/>
    <m/>
    <m/>
    <m/>
    <n v="0"/>
    <m/>
    <m/>
    <m/>
    <m/>
    <n v="0"/>
    <n v="0"/>
    <n v="0"/>
    <n v="0"/>
    <n v="0"/>
    <n v="0"/>
    <n v="0"/>
  </r>
  <r>
    <x v="4"/>
    <x v="82"/>
    <s v="ATC MESURE"/>
    <s v="Régulation - MesureHygrometrieATC MESURE"/>
    <s v="cable pour contrôle DMT152"/>
    <n v="22"/>
    <s v="CCTRL152"/>
    <s v="ATC Mesure"/>
    <m/>
    <n v="0"/>
    <m/>
    <m/>
    <m/>
    <m/>
    <m/>
    <m/>
    <n v="0"/>
    <m/>
    <m/>
    <m/>
    <m/>
    <n v="0"/>
    <n v="0"/>
    <n v="0"/>
    <n v="0"/>
    <n v="0"/>
    <n v="0"/>
    <n v="0"/>
  </r>
  <r>
    <x v="4"/>
    <x v="82"/>
    <s v="ATC MESURE"/>
    <s v="Régulation - MesureHygrometrieATC MESURE"/>
    <s v="cable pour contrôle DMT348"/>
    <n v="23"/>
    <s v="CCTRL3482"/>
    <s v="ATC Mesure"/>
    <m/>
    <n v="0"/>
    <m/>
    <m/>
    <m/>
    <m/>
    <m/>
    <m/>
    <n v="0"/>
    <m/>
    <m/>
    <m/>
    <m/>
    <n v="0"/>
    <n v="0"/>
    <n v="0"/>
    <n v="0"/>
    <n v="0"/>
    <n v="0"/>
    <n v="0"/>
  </r>
  <r>
    <x v="4"/>
    <x v="82"/>
    <s v="ATC MESURE"/>
    <s v="Régulation - MesureHygrometrieATC MESURE"/>
    <s v="Chambre d'echantillonage avec vis de fuite"/>
    <n v="24"/>
    <s v="CE-1"/>
    <s v="ATC Mesure"/>
    <m/>
    <n v="0"/>
    <m/>
    <m/>
    <m/>
    <m/>
    <m/>
    <m/>
    <n v="0"/>
    <m/>
    <m/>
    <m/>
    <m/>
    <n v="0"/>
    <n v="0"/>
    <n v="0"/>
    <n v="0"/>
    <n v="0"/>
    <n v="0"/>
    <n v="0"/>
  </r>
  <r>
    <x v="4"/>
    <x v="82"/>
    <m/>
    <s v="Régulation - MesureHygrometrie"/>
    <m/>
    <n v="0"/>
    <m/>
    <m/>
    <m/>
    <n v="0"/>
    <m/>
    <m/>
    <m/>
    <m/>
    <m/>
    <m/>
    <n v="0"/>
    <m/>
    <m/>
    <m/>
    <m/>
    <n v="0"/>
    <n v="0"/>
    <n v="0"/>
    <n v="0"/>
    <n v="0"/>
    <n v="0"/>
    <n v="0"/>
  </r>
  <r>
    <x v="4"/>
    <x v="83"/>
    <s v="Isolateur de boucle"/>
    <s v="Régulation - Mesurerecup calorieIsolateur de boucle"/>
    <s v="Coupleur 4-20Ma"/>
    <n v="1"/>
    <s v="5006-PO"/>
    <s v="Airleader"/>
    <m/>
    <n v="0"/>
    <m/>
    <m/>
    <m/>
    <m/>
    <m/>
    <m/>
    <n v="0"/>
    <m/>
    <m/>
    <m/>
    <m/>
    <n v="0"/>
    <n v="0"/>
    <n v="0"/>
    <n v="0"/>
    <n v="0"/>
    <n v="0"/>
    <n v="0"/>
  </r>
  <r>
    <x v="4"/>
    <x v="83"/>
    <s v="compteur d'energies"/>
    <s v="Régulation - Mesurerecup caloriecompteur d'energies"/>
    <s v="Poste de comptage sans sortie de signal avec afficheur DN25"/>
    <n v="2"/>
    <s v="CPTENER-25"/>
    <s v="Itron"/>
    <m/>
    <n v="0"/>
    <m/>
    <m/>
    <m/>
    <m/>
    <m/>
    <m/>
    <n v="0"/>
    <m/>
    <m/>
    <m/>
    <m/>
    <n v="0"/>
    <n v="0"/>
    <n v="0"/>
    <n v="0"/>
    <n v="0"/>
    <n v="0"/>
    <n v="0"/>
  </r>
  <r>
    <x v="4"/>
    <x v="83"/>
    <s v="compteur d'energies"/>
    <s v="Régulation - Mesurerecup caloriecompteur d'energies"/>
    <s v="Poste de comptage sans sortie de signal avec afficheur DN32"/>
    <n v="3"/>
    <s v="CPTENER-32"/>
    <s v="Itron"/>
    <m/>
    <n v="0"/>
    <m/>
    <m/>
    <m/>
    <m/>
    <m/>
    <m/>
    <n v="0"/>
    <m/>
    <m/>
    <m/>
    <m/>
    <n v="0"/>
    <n v="0"/>
    <n v="0"/>
    <n v="0"/>
    <n v="0"/>
    <n v="0"/>
    <n v="0"/>
  </r>
  <r>
    <x v="4"/>
    <x v="83"/>
    <s v="compteur d'energies"/>
    <s v="Régulation - Mesurerecup caloriecompteur d'energies"/>
    <s v="Poste de comptage sans sortie de signal avec afficheur DN40"/>
    <n v="4"/>
    <s v="CPTENER-40"/>
    <s v="Itron"/>
    <m/>
    <n v="0"/>
    <m/>
    <m/>
    <m/>
    <m/>
    <m/>
    <m/>
    <n v="0"/>
    <m/>
    <m/>
    <m/>
    <m/>
    <n v="0"/>
    <n v="0"/>
    <n v="0"/>
    <n v="0"/>
    <n v="0"/>
    <n v="0"/>
    <n v="0"/>
  </r>
  <r>
    <x v="4"/>
    <x v="83"/>
    <s v="compteur d'energies"/>
    <s v="Régulation - Mesurerecup caloriecompteur d'energies"/>
    <s v="Poste de comptage CF800 DN32 Qp6m3/h +mesureur ultra sond et sondes de temp "/>
    <n v="5"/>
    <s v="CF801-DN32"/>
    <s v="Itron"/>
    <s v="CF801 US32BP "/>
    <n v="0"/>
    <m/>
    <m/>
    <m/>
    <m/>
    <m/>
    <m/>
    <n v="0"/>
    <m/>
    <m/>
    <m/>
    <m/>
    <n v="0"/>
    <n v="0"/>
    <n v="0"/>
    <n v="0"/>
    <n v="0"/>
    <n v="0"/>
    <n v="0"/>
  </r>
  <r>
    <x v="4"/>
    <x v="83"/>
    <s v="compteur d'energies"/>
    <s v="Régulation - Mesurerecup caloriecompteur d'energies"/>
    <s v="Poste de comptage CF800 DN40 Qp10m3/h +mesureur ultra sond et sondes de temp "/>
    <n v="6"/>
    <s v="CF801-DN40"/>
    <s v="Itron"/>
    <s v="CF801 US40BP "/>
    <n v="0"/>
    <m/>
    <m/>
    <m/>
    <m/>
    <m/>
    <m/>
    <n v="0"/>
    <m/>
    <m/>
    <m/>
    <m/>
    <n v="0"/>
    <n v="0"/>
    <n v="0"/>
    <n v="0"/>
    <n v="0"/>
    <n v="0"/>
    <n v="0"/>
  </r>
  <r>
    <x v="4"/>
    <x v="83"/>
    <s v="compteur d'energies"/>
    <s v="Régulation - Mesurerecup caloriecompteur d'energies"/>
    <s v="Poste de comptage CF800 DN50 Qp15m3/h +mesureur ultra sond et sondes de temp"/>
    <n v="7"/>
    <s v="CF801-DN50"/>
    <s v="Itron"/>
    <s v="CF801 US50BP"/>
    <n v="0"/>
    <m/>
    <m/>
    <m/>
    <m/>
    <m/>
    <m/>
    <n v="0"/>
    <m/>
    <m/>
    <m/>
    <m/>
    <n v="0"/>
    <n v="0"/>
    <n v="0"/>
    <n v="0"/>
    <n v="0"/>
    <n v="0"/>
    <n v="0"/>
  </r>
  <r>
    <x v="4"/>
    <x v="83"/>
    <s v="compteur d'energies"/>
    <s v="Régulation - Mesurerecup caloriecompteur d'energies"/>
    <s v="Carte de comunication comio Mbus+4 ana+1 tor avec pulse box et alim 230V"/>
    <n v="8"/>
    <s v="Com-AnaCF800"/>
    <s v="Itron"/>
    <s v="6273000050PB"/>
    <n v="0"/>
    <m/>
    <m/>
    <m/>
    <m/>
    <m/>
    <m/>
    <n v="0"/>
    <m/>
    <m/>
    <m/>
    <m/>
    <n v="0"/>
    <n v="0"/>
    <n v="0"/>
    <n v="0"/>
    <n v="0"/>
    <n v="0"/>
    <n v="0"/>
  </r>
  <r>
    <x v="4"/>
    <x v="84"/>
    <s v="Compteur d'energies"/>
    <s v="Régulation - MesureRécup calorieCompteur d'energies"/>
    <m/>
    <n v="0"/>
    <m/>
    <m/>
    <m/>
    <n v="0"/>
    <m/>
    <m/>
    <m/>
    <m/>
    <m/>
    <m/>
    <n v="0"/>
    <m/>
    <m/>
    <m/>
    <m/>
    <n v="0"/>
    <n v="0"/>
    <n v="0"/>
    <n v="0"/>
    <n v="0"/>
    <n v="0"/>
    <n v="0"/>
  </r>
  <r>
    <x v="4"/>
    <x v="85"/>
    <m/>
    <s v="Régulation - MesureRegulation"/>
    <m/>
    <n v="0"/>
    <m/>
    <m/>
    <m/>
    <n v="0"/>
    <m/>
    <m/>
    <m/>
    <m/>
    <m/>
    <m/>
    <n v="0"/>
    <m/>
    <m/>
    <m/>
    <m/>
    <n v="0"/>
    <n v="0"/>
    <n v="0"/>
    <n v="0"/>
    <n v="0"/>
    <n v="0"/>
    <n v="0"/>
  </r>
  <r>
    <x v="4"/>
    <x v="85"/>
    <s v="Régulair Millenium"/>
    <s v="Régulation - MesureRegulationRégulair Millenium"/>
    <s v="Régulair Millenium"/>
    <n v="1"/>
    <s v="COFMIL"/>
    <m/>
    <m/>
    <n v="0"/>
    <m/>
    <m/>
    <m/>
    <m/>
    <m/>
    <m/>
    <n v="0"/>
    <m/>
    <m/>
    <m/>
    <m/>
    <n v="0"/>
    <n v="0"/>
    <n v="0"/>
    <n v="0"/>
    <n v="0"/>
    <n v="0"/>
    <n v="0"/>
  </r>
  <r>
    <x v="4"/>
    <x v="85"/>
    <s v="Kaeser"/>
    <s v="Régulation - MesureRegulationKaeser"/>
    <s v="Connecteur &quot;PROFIBUS&quot; pour SAM"/>
    <n v="3"/>
    <s v="K 7.4664.20010"/>
    <s v="Kaeser"/>
    <s v=" 7.4664.20010"/>
    <n v="0"/>
    <m/>
    <m/>
    <m/>
    <m/>
    <m/>
    <m/>
    <n v="0"/>
    <m/>
    <m/>
    <m/>
    <m/>
    <n v="0"/>
    <n v="0"/>
    <n v="0"/>
    <n v="0"/>
    <n v="0"/>
    <n v="0"/>
    <n v="0"/>
  </r>
  <r>
    <x v="4"/>
    <x v="85"/>
    <s v="Kaeser"/>
    <s v="Régulation - MesureRegulationKaeser"/>
    <s v="Câble Profibus. blindé 1x2x0.64/2.55"/>
    <n v="4"/>
    <s v="K 7.4666.0"/>
    <s v="Kaeser"/>
    <s v="7.4666.0"/>
    <n v="0"/>
    <m/>
    <m/>
    <m/>
    <m/>
    <m/>
    <m/>
    <n v="0"/>
    <m/>
    <m/>
    <m/>
    <m/>
    <n v="0"/>
    <n v="0"/>
    <n v="0"/>
    <n v="0"/>
    <n v="0"/>
    <n v="0"/>
    <n v="0"/>
  </r>
  <r>
    <x v="4"/>
    <x v="85"/>
    <s v="Kaeser"/>
    <s v="Régulation - MesureRegulationKaeser"/>
    <s v="Connecteur &quot;PROFIBUS&quot; pour SC1-SC2"/>
    <n v="5"/>
    <s v="K 7.5250.00300"/>
    <s v="Kaeser"/>
    <s v="7.5250.00300"/>
    <n v="0"/>
    <m/>
    <m/>
    <m/>
    <m/>
    <m/>
    <m/>
    <n v="0"/>
    <m/>
    <m/>
    <m/>
    <m/>
    <n v="0"/>
    <n v="0"/>
    <n v="0"/>
    <n v="0"/>
    <n v="0"/>
    <n v="0"/>
    <n v="0"/>
  </r>
  <r>
    <x v="4"/>
    <x v="85"/>
    <s v="Kaeser"/>
    <s v="Régulation - MesureRegulationKaeser"/>
    <s v="Câble olfex Class.110 x1.0 AWG18 ( Sigma 1)"/>
    <n v="6"/>
    <s v="K7.0630.00010"/>
    <s v="Kaeser"/>
    <s v="7..0630.0010"/>
    <n v="0"/>
    <m/>
    <m/>
    <m/>
    <m/>
    <m/>
    <m/>
    <n v="0"/>
    <m/>
    <m/>
    <m/>
    <m/>
    <n v="0"/>
    <n v="0"/>
    <n v="0"/>
    <n v="0"/>
    <n v="0"/>
    <n v="0"/>
    <n v="0"/>
  </r>
  <r>
    <x v="4"/>
    <x v="85"/>
    <s v="Kaeser"/>
    <s v="Régulation - MesureRegulationKaeser"/>
    <s v="Cable capteur de pression"/>
    <n v="7"/>
    <s v="K7.2679.0"/>
    <s v="Kaeser"/>
    <s v="7.2679.0"/>
    <n v="0"/>
    <m/>
    <m/>
    <m/>
    <m/>
    <m/>
    <m/>
    <n v="0"/>
    <m/>
    <m/>
    <m/>
    <m/>
    <n v="0"/>
    <n v="0"/>
    <n v="0"/>
    <n v="0"/>
    <n v="0"/>
    <n v="0"/>
    <n v="0"/>
  </r>
  <r>
    <x v="4"/>
    <x v="85"/>
    <s v="Kaeser"/>
    <s v="Régulation - MesureRegulationKaeser"/>
    <s v="Carte modbus TCP"/>
    <n v="8"/>
    <s v="K7.5250.0950"/>
    <s v="Kaeser"/>
    <s v="7.5250.01950"/>
    <n v="0"/>
    <m/>
    <m/>
    <m/>
    <m/>
    <m/>
    <m/>
    <n v="0"/>
    <m/>
    <m/>
    <m/>
    <m/>
    <n v="0"/>
    <n v="0"/>
    <n v="0"/>
    <n v="0"/>
    <n v="0"/>
    <n v="0"/>
    <n v="0"/>
  </r>
  <r>
    <x v="4"/>
    <x v="85"/>
    <s v="Kaeser"/>
    <s v="Régulation - MesureRegulationKaeser"/>
    <s v="Kit rattrapage RJ45-sigma2"/>
    <n v="9"/>
    <s v="K7.5250.01870"/>
    <s v="Kaeser"/>
    <s v="7.5250.1870"/>
    <n v="0"/>
    <m/>
    <m/>
    <m/>
    <m/>
    <m/>
    <m/>
    <n v="0"/>
    <m/>
    <m/>
    <m/>
    <m/>
    <n v="0"/>
    <n v="0"/>
    <n v="0"/>
    <n v="0"/>
    <n v="0"/>
    <n v="0"/>
    <n v="0"/>
  </r>
  <r>
    <x v="4"/>
    <x v="85"/>
    <s v="Kaeser"/>
    <s v="Régulation - MesureRegulationKaeser"/>
    <s v="Câble olfex 150 Quatro 2x1.0 AWG18 ( defaut s)"/>
    <n v="10"/>
    <s v="K7.7280.00060"/>
    <s v="Kaeser"/>
    <s v="7.7280.00060"/>
    <n v="0"/>
    <m/>
    <m/>
    <m/>
    <m/>
    <m/>
    <m/>
    <n v="0"/>
    <m/>
    <m/>
    <m/>
    <m/>
    <n v="0"/>
    <n v="0"/>
    <n v="0"/>
    <n v="0"/>
    <n v="0"/>
    <n v="0"/>
    <n v="0"/>
  </r>
  <r>
    <x v="4"/>
    <x v="85"/>
    <s v="Kaeser"/>
    <s v="Régulation - MesureRegulationKaeser"/>
    <s v="Jeu de conecteur SIGMA2  RJ45 "/>
    <n v="11"/>
    <s v="K7.7628.1"/>
    <s v="Kaeser"/>
    <s v="7.7628.1"/>
    <n v="0"/>
    <m/>
    <m/>
    <m/>
    <m/>
    <m/>
    <m/>
    <n v="0"/>
    <m/>
    <m/>
    <m/>
    <m/>
    <n v="0"/>
    <n v="0"/>
    <n v="0"/>
    <n v="0"/>
    <n v="0"/>
    <n v="0"/>
    <n v="0"/>
  </r>
  <r>
    <x v="4"/>
    <x v="85"/>
    <s v="Kaeser"/>
    <s v="Régulation - MesureRegulationKaeser"/>
    <s v="carte interface IO supplementaire"/>
    <n v="12"/>
    <s v="K7.9681.2"/>
    <s v="Kaeser"/>
    <s v="7.9681.2"/>
    <n v="0"/>
    <m/>
    <m/>
    <m/>
    <m/>
    <m/>
    <m/>
    <n v="0"/>
    <m/>
    <m/>
    <m/>
    <m/>
    <n v="0"/>
    <n v="0"/>
    <n v="0"/>
    <n v="0"/>
    <n v="0"/>
    <n v="0"/>
    <n v="0"/>
  </r>
  <r>
    <x v="4"/>
    <x v="85"/>
    <s v="Kaeser"/>
    <s v="Régulation - MesureRegulationKaeser"/>
    <s v="Câble CAT.5 SIGMA NETWORK (liaison SAM2)"/>
    <n v="13"/>
    <s v="K7.9679.0"/>
    <s v="Kaeser"/>
    <s v="7.9679.0"/>
    <n v="0"/>
    <m/>
    <m/>
    <m/>
    <m/>
    <m/>
    <m/>
    <n v="0"/>
    <m/>
    <m/>
    <m/>
    <m/>
    <n v="0"/>
    <n v="0"/>
    <n v="0"/>
    <n v="0"/>
    <n v="0"/>
    <n v="0"/>
    <n v="0"/>
  </r>
  <r>
    <x v="4"/>
    <x v="85"/>
    <s v="Kaeser"/>
    <s v="Régulation - MesureRegulationKaeser"/>
    <s v="programmation sd carte mis à jour Software 4.0.1"/>
    <n v="14"/>
    <s v="K9.5022.0"/>
    <s v="Kaeser"/>
    <s v="9.5022.0"/>
    <n v="0"/>
    <m/>
    <m/>
    <m/>
    <m/>
    <m/>
    <m/>
    <n v="0"/>
    <m/>
    <m/>
    <m/>
    <m/>
    <n v="0"/>
    <n v="0"/>
    <n v="0"/>
    <n v="0"/>
    <n v="0"/>
    <n v="0"/>
    <n v="0"/>
  </r>
  <r>
    <x v="4"/>
    <x v="85"/>
    <s v="Kaeser"/>
    <s v="Régulation - MesureRegulationKaeser"/>
    <s v="regulation SAM4.0-4 compresseurs"/>
    <n v="15"/>
    <s v="SAM4.0-4"/>
    <s v="Kaeser"/>
    <s v="SAM4.0-4"/>
    <n v="0"/>
    <m/>
    <m/>
    <m/>
    <m/>
    <m/>
    <m/>
    <n v="0"/>
    <m/>
    <m/>
    <m/>
    <m/>
    <n v="0"/>
    <n v="0"/>
    <n v="0"/>
    <n v="0"/>
    <n v="0"/>
    <n v="0"/>
    <n v="0"/>
  </r>
  <r>
    <x v="4"/>
    <x v="85"/>
    <s v="Kaeser"/>
    <s v="Régulation - MesureRegulationKaeser"/>
    <s v="regulation SAM4.0-8 compresseurs"/>
    <n v="16"/>
    <s v="SAM4.0-8"/>
    <s v="Kaeser"/>
    <s v="7.9685.00050"/>
    <n v="0"/>
    <m/>
    <m/>
    <m/>
    <m/>
    <m/>
    <m/>
    <n v="0"/>
    <m/>
    <m/>
    <m/>
    <m/>
    <n v="0"/>
    <n v="0"/>
    <n v="0"/>
    <n v="0"/>
    <n v="0"/>
    <n v="0"/>
    <n v="0"/>
  </r>
  <r>
    <x v="4"/>
    <x v="85"/>
    <s v="Kaeser"/>
    <s v="Régulation - MesureRegulationKaeser"/>
    <s v="regulation SAM4.0-16 compresseurs"/>
    <n v="17"/>
    <s v="SAM4.0-16"/>
    <s v="Kaeser"/>
    <s v="SAM4.0-16"/>
    <n v="0"/>
    <m/>
    <m/>
    <m/>
    <m/>
    <m/>
    <m/>
    <n v="0"/>
    <m/>
    <m/>
    <m/>
    <m/>
    <n v="0"/>
    <n v="0"/>
    <n v="0"/>
    <n v="0"/>
    <n v="0"/>
    <n v="0"/>
    <n v="0"/>
  </r>
  <r>
    <x v="4"/>
    <x v="85"/>
    <s v="Kaeser"/>
    <s v="Régulation - MesureRegulationKaeser"/>
    <s v="Kit de raccordement pneumatique capotyeur de pression"/>
    <n v="18"/>
    <s v="k8.0484.10050"/>
    <s v="Kaeser"/>
    <s v="8.0484.10050"/>
    <n v="0"/>
    <m/>
    <m/>
    <m/>
    <m/>
    <m/>
    <m/>
    <n v="0"/>
    <m/>
    <m/>
    <m/>
    <m/>
    <n v="0"/>
    <n v="0"/>
    <n v="0"/>
    <n v="0"/>
    <n v="0"/>
    <n v="0"/>
    <n v="0"/>
  </r>
  <r>
    <x v="4"/>
    <x v="85"/>
    <s v="Kaeser"/>
    <s v="Régulation - MesureRegulationKaeser"/>
    <m/>
    <n v="2"/>
    <m/>
    <m/>
    <m/>
    <n v="0"/>
    <m/>
    <m/>
    <m/>
    <m/>
    <m/>
    <m/>
    <n v="0"/>
    <m/>
    <m/>
    <m/>
    <m/>
    <n v="0"/>
    <n v="0"/>
    <n v="0"/>
    <n v="0"/>
    <n v="0"/>
    <n v="0"/>
    <n v="0"/>
  </r>
  <r>
    <x v="4"/>
    <x v="85"/>
    <s v="CMC"/>
    <s v="Régulation - MesureRegulationCMC"/>
    <s v="carte d'interface"/>
    <n v="20"/>
    <s v="CIM.1"/>
    <s v="CMC"/>
    <m/>
    <n v="0"/>
    <m/>
    <m/>
    <m/>
    <m/>
    <m/>
    <m/>
    <n v="0"/>
    <m/>
    <m/>
    <m/>
    <m/>
    <n v="0"/>
    <n v="0"/>
    <n v="0"/>
    <n v="0"/>
    <n v="0"/>
    <n v="0"/>
    <n v="0"/>
  </r>
  <r>
    <x v="4"/>
    <x v="85"/>
    <s v="CMC"/>
    <s v="Régulation - MesureRegulationCMC"/>
    <s v="Carte d'interface RS485"/>
    <n v="21"/>
    <s v="CIM.485"/>
    <s v="CMC"/>
    <m/>
    <n v="0"/>
    <m/>
    <m/>
    <m/>
    <m/>
    <m/>
    <m/>
    <n v="0"/>
    <m/>
    <m/>
    <m/>
    <m/>
    <n v="0"/>
    <n v="0"/>
    <n v="0"/>
    <n v="0"/>
    <n v="0"/>
    <n v="0"/>
    <n v="0"/>
  </r>
  <r>
    <x v="4"/>
    <x v="85"/>
    <s v="CMC"/>
    <s v="Régulation - MesureRegulationCMC"/>
    <s v="Carte interface vitesse variable"/>
    <n v="22"/>
    <s v="CIM.VV"/>
    <s v="CMC"/>
    <m/>
    <n v="0"/>
    <m/>
    <m/>
    <m/>
    <m/>
    <m/>
    <m/>
    <n v="0"/>
    <m/>
    <m/>
    <m/>
    <m/>
    <n v="0"/>
    <n v="0"/>
    <n v="0"/>
    <n v="0"/>
    <n v="0"/>
    <n v="0"/>
    <n v="0"/>
  </r>
  <r>
    <x v="4"/>
    <x v="85"/>
    <s v="CMC"/>
    <s v="Régulation - MesureRegulationCMC"/>
    <s v="Metacentre module entrée /sortie "/>
    <n v="23"/>
    <s v="META,ES"/>
    <s v="CMC"/>
    <m/>
    <n v="0"/>
    <m/>
    <m/>
    <m/>
    <m/>
    <m/>
    <m/>
    <n v="0"/>
    <m/>
    <m/>
    <m/>
    <m/>
    <n v="0"/>
    <n v="0"/>
    <n v="0"/>
    <n v="0"/>
    <n v="0"/>
    <n v="0"/>
    <n v="0"/>
  </r>
  <r>
    <x v="4"/>
    <x v="85"/>
    <s v="CMC"/>
    <s v="Régulation - MesureRegulationCMC"/>
    <s v="Interface module"/>
    <n v="24"/>
    <s v="META.EX"/>
    <s v="CMC"/>
    <m/>
    <n v="0"/>
    <m/>
    <m/>
    <m/>
    <m/>
    <m/>
    <m/>
    <n v="0"/>
    <m/>
    <m/>
    <m/>
    <m/>
    <n v="0"/>
    <n v="0"/>
    <n v="0"/>
    <n v="0"/>
    <n v="0"/>
    <n v="0"/>
    <n v="0"/>
  </r>
  <r>
    <x v="4"/>
    <x v="85"/>
    <s v="CMC"/>
    <s v="Régulation - MesureRegulationCMC"/>
    <s v="Interface RDT 4 cartes CIM"/>
    <n v="25"/>
    <s v="META.IX"/>
    <s v="CMC"/>
    <m/>
    <n v="0"/>
    <m/>
    <m/>
    <m/>
    <m/>
    <m/>
    <m/>
    <n v="0"/>
    <m/>
    <m/>
    <m/>
    <m/>
    <n v="0"/>
    <n v="0"/>
    <n v="0"/>
    <n v="0"/>
    <n v="0"/>
    <n v="0"/>
    <n v="0"/>
  </r>
  <r>
    <x v="4"/>
    <x v="85"/>
    <s v="CMC"/>
    <s v="Régulation - MesureRegulationCMC"/>
    <s v="Régulation 4 compresseurs"/>
    <n v="26"/>
    <s v="META.P4"/>
    <s v="CMC"/>
    <m/>
    <n v="0"/>
    <m/>
    <m/>
    <m/>
    <m/>
    <m/>
    <m/>
    <n v="0"/>
    <m/>
    <m/>
    <m/>
    <m/>
    <n v="0"/>
    <n v="0"/>
    <n v="0"/>
    <n v="0"/>
    <n v="0"/>
    <n v="0"/>
    <n v="0"/>
  </r>
  <r>
    <x v="4"/>
    <x v="85"/>
    <s v="CMC"/>
    <s v="Régulation - MesureRegulationCMC"/>
    <s v="Régulation 4 compresseurs + 4 cartes CIM+ capteur de pression"/>
    <n v="27"/>
    <s v="META.P4-KIT"/>
    <s v="CMC"/>
    <m/>
    <n v="0"/>
    <m/>
    <m/>
    <m/>
    <m/>
    <m/>
    <m/>
    <n v="0"/>
    <m/>
    <m/>
    <m/>
    <m/>
    <n v="0"/>
    <n v="0"/>
    <n v="0"/>
    <n v="0"/>
    <n v="0"/>
    <n v="0"/>
    <n v="0"/>
  </r>
  <r>
    <x v="4"/>
    <x v="85"/>
    <s v="CMC"/>
    <s v="Régulation - MesureRegulationCMC"/>
    <s v="Boitier de surveillance"/>
    <n v="28"/>
    <s v="META.RCB"/>
    <s v="CMC"/>
    <m/>
    <n v="0"/>
    <m/>
    <m/>
    <m/>
    <m/>
    <m/>
    <m/>
    <n v="0"/>
    <m/>
    <m/>
    <m/>
    <m/>
    <n v="0"/>
    <n v="0"/>
    <n v="0"/>
    <n v="0"/>
    <n v="0"/>
    <n v="0"/>
    <n v="0"/>
  </r>
  <r>
    <x v="4"/>
    <x v="85"/>
    <s v="CMC"/>
    <s v="Régulation - MesureRegulationCMC"/>
    <s v="regulation pour 2 compresseurs maxi 2P  SD"/>
    <n v="29"/>
    <s v="META.S2"/>
    <s v="CMC"/>
    <m/>
    <n v="0"/>
    <m/>
    <m/>
    <m/>
    <m/>
    <m/>
    <m/>
    <n v="0"/>
    <m/>
    <m/>
    <m/>
    <m/>
    <n v="0"/>
    <n v="0"/>
    <n v="0"/>
    <n v="0"/>
    <n v="0"/>
    <n v="0"/>
    <n v="0"/>
  </r>
  <r>
    <x v="4"/>
    <x v="85"/>
    <s v="CMC"/>
    <s v="Régulation - MesureRegulationCMC"/>
    <s v="Régulation 2 compresseurs + 2 cartes CIM+ capteur de pression"/>
    <n v="30"/>
    <s v="META.S2-KIT"/>
    <s v="CMC"/>
    <m/>
    <n v="0"/>
    <m/>
    <m/>
    <m/>
    <m/>
    <m/>
    <m/>
    <n v="0"/>
    <m/>
    <m/>
    <m/>
    <m/>
    <n v="0"/>
    <n v="0"/>
    <n v="0"/>
    <n v="0"/>
    <n v="0"/>
    <n v="0"/>
    <n v="0"/>
  </r>
  <r>
    <x v="4"/>
    <x v="85"/>
    <s v="CMC"/>
    <s v="Régulation - MesureRegulationCMC"/>
    <s v="regulation pour 3 compresseurs maxi 2P  SD"/>
    <n v="31"/>
    <s v="META.S3"/>
    <s v="CMC"/>
    <m/>
    <n v="0"/>
    <m/>
    <m/>
    <m/>
    <m/>
    <m/>
    <m/>
    <n v="0"/>
    <m/>
    <m/>
    <m/>
    <m/>
    <n v="0"/>
    <n v="0"/>
    <n v="0"/>
    <n v="0"/>
    <n v="0"/>
    <n v="0"/>
    <n v="0"/>
  </r>
  <r>
    <x v="4"/>
    <x v="85"/>
    <s v="CMC"/>
    <s v="Régulation - MesureRegulationCMC"/>
    <s v="Régulation 3 compresseurs + 3 cartes CIM+ capteur de pression"/>
    <n v="32"/>
    <s v="META.S3-KIT"/>
    <s v="CMC"/>
    <m/>
    <n v="0"/>
    <m/>
    <m/>
    <m/>
    <m/>
    <m/>
    <m/>
    <n v="0"/>
    <m/>
    <m/>
    <m/>
    <m/>
    <n v="0"/>
    <n v="0"/>
    <n v="0"/>
    <n v="0"/>
    <n v="0"/>
    <n v="0"/>
    <n v="0"/>
  </r>
  <r>
    <x v="4"/>
    <x v="85"/>
    <s v="CMC"/>
    <s v="Régulation - MesureRegulationCMC"/>
    <s v="Régulation pour 12 compresseur maxi"/>
    <n v="33"/>
    <s v="META.SX"/>
    <s v="CMC"/>
    <m/>
    <n v="0"/>
    <m/>
    <m/>
    <m/>
    <m/>
    <m/>
    <m/>
    <n v="0"/>
    <m/>
    <m/>
    <m/>
    <m/>
    <n v="0"/>
    <n v="0"/>
    <n v="0"/>
    <n v="0"/>
    <n v="0"/>
    <n v="0"/>
    <n v="0"/>
  </r>
  <r>
    <x v="4"/>
    <x v="85"/>
    <s v="CMC"/>
    <s v="Régulation - MesureRegulationCMC"/>
    <s v="Régulation 12  compresseurs + 4 cartes CIM+ capteur de pression"/>
    <n v="34"/>
    <s v="META.SX-KIT"/>
    <s v="CMC"/>
    <m/>
    <n v="0"/>
    <m/>
    <m/>
    <m/>
    <m/>
    <m/>
    <m/>
    <n v="0"/>
    <m/>
    <m/>
    <m/>
    <m/>
    <n v="0"/>
    <n v="0"/>
    <n v="0"/>
    <n v="0"/>
    <n v="0"/>
    <n v="0"/>
    <n v="0"/>
  </r>
  <r>
    <x v="4"/>
    <x v="85"/>
    <s v="CMC"/>
    <s v="Régulation - MesureRegulationCMC"/>
    <s v="Passerelle de comunication sans modem"/>
    <n v="35"/>
    <s v="META,TX"/>
    <s v="CMC"/>
    <m/>
    <n v="0"/>
    <m/>
    <m/>
    <m/>
    <m/>
    <m/>
    <m/>
    <n v="0"/>
    <m/>
    <m/>
    <m/>
    <m/>
    <n v="0"/>
    <n v="0"/>
    <n v="0"/>
    <n v="0"/>
    <n v="0"/>
    <n v="0"/>
    <n v="0"/>
  </r>
  <r>
    <x v="4"/>
    <x v="85"/>
    <s v="CMC"/>
    <s v="Régulation - MesureRegulationCMC"/>
    <s v="interface VSD pour capteur 4-20MA"/>
    <n v="36"/>
    <s v="META.VSD"/>
    <s v="CMC"/>
    <m/>
    <n v="0"/>
    <m/>
    <m/>
    <m/>
    <m/>
    <m/>
    <m/>
    <n v="0"/>
    <m/>
    <m/>
    <m/>
    <m/>
    <n v="0"/>
    <n v="0"/>
    <n v="0"/>
    <n v="0"/>
    <n v="0"/>
    <n v="0"/>
    <n v="0"/>
  </r>
  <r>
    <x v="4"/>
    <x v="85"/>
    <s v="CMC"/>
    <s v="Régulation - MesureRegulationCMC"/>
    <s v="interface VSD pour capteur 0-10V"/>
    <n v="37"/>
    <s v="META.VSD-VO"/>
    <s v="CMC"/>
    <m/>
    <n v="0"/>
    <m/>
    <m/>
    <m/>
    <m/>
    <m/>
    <m/>
    <n v="0"/>
    <m/>
    <m/>
    <m/>
    <m/>
    <n v="0"/>
    <n v="0"/>
    <n v="0"/>
    <n v="0"/>
    <n v="0"/>
    <n v="0"/>
    <n v="0"/>
  </r>
  <r>
    <x v="4"/>
    <x v="85"/>
    <s v="CMC"/>
    <s v="Régulation - MesureRegulationCMC"/>
    <s v="regulation pour 24 compresseurs"/>
    <n v="38"/>
    <s v="META.XC"/>
    <s v="CMC"/>
    <m/>
    <n v="0"/>
    <m/>
    <m/>
    <m/>
    <m/>
    <m/>
    <m/>
    <n v="0"/>
    <m/>
    <m/>
    <m/>
    <m/>
    <n v="0"/>
    <n v="0"/>
    <n v="0"/>
    <n v="0"/>
    <n v="0"/>
    <n v="0"/>
    <n v="0"/>
  </r>
  <r>
    <x v="4"/>
    <x v="85"/>
    <s v="CMC"/>
    <s v="Régulation - MesureRegulationCMC"/>
    <s v="Carte de Contrôle I=25,50,100amp"/>
    <n v="39"/>
    <s v="VSDMON100"/>
    <s v="CMC"/>
    <m/>
    <n v="0"/>
    <m/>
    <m/>
    <m/>
    <m/>
    <m/>
    <m/>
    <n v="0"/>
    <m/>
    <m/>
    <m/>
    <m/>
    <n v="0"/>
    <n v="0"/>
    <n v="0"/>
    <n v="0"/>
    <n v="0"/>
    <n v="0"/>
    <n v="0"/>
  </r>
  <r>
    <x v="4"/>
    <x v="85"/>
    <s v="CMC"/>
    <s v="Régulation - MesureRegulationCMC"/>
    <s v="Carte de Contrôle I=200,600amp"/>
    <n v="40"/>
    <s v="VSDMON600"/>
    <s v="CMC"/>
    <m/>
    <n v="0"/>
    <m/>
    <m/>
    <m/>
    <m/>
    <m/>
    <m/>
    <n v="0"/>
    <m/>
    <m/>
    <m/>
    <m/>
    <n v="0"/>
    <n v="0"/>
    <n v="0"/>
    <n v="0"/>
    <n v="0"/>
    <n v="0"/>
    <n v="0"/>
  </r>
  <r>
    <x v="4"/>
    <x v="85"/>
    <s v="CMC"/>
    <s v="Régulation - MesureRegulationCMC"/>
    <m/>
    <n v="19"/>
    <m/>
    <m/>
    <m/>
    <n v="0"/>
    <m/>
    <m/>
    <m/>
    <m/>
    <m/>
    <m/>
    <n v="0"/>
    <m/>
    <m/>
    <m/>
    <m/>
    <n v="0"/>
    <n v="0"/>
    <n v="0"/>
    <n v="0"/>
    <n v="0"/>
    <n v="0"/>
    <n v="0"/>
  </r>
  <r>
    <x v="4"/>
    <x v="86"/>
    <s v="AIRLEADER"/>
    <s v="Régulation - Mesure Regulation AIRLEADER"/>
    <s v="Airleader CN-II + light ( complet avec PC) 8 compresseurs"/>
    <n v="42"/>
    <s v="A-2416-3T"/>
    <s v="Airleader"/>
    <m/>
    <n v="0"/>
    <m/>
    <m/>
    <m/>
    <m/>
    <m/>
    <m/>
    <n v="0"/>
    <m/>
    <m/>
    <m/>
    <m/>
    <n v="0"/>
    <n v="0"/>
    <n v="0"/>
    <n v="0"/>
    <n v="0"/>
    <n v="0"/>
    <n v="0"/>
  </r>
  <r>
    <x v="4"/>
    <x v="86"/>
    <s v="AIRLEADER"/>
    <s v="Régulation - Mesure Regulation AIRLEADER"/>
    <s v="Système de regulation Airleader CN  8 compresseurs ( ancien modèle)"/>
    <n v="43"/>
    <n v="2416"/>
    <s v="Airleader"/>
    <m/>
    <n v="0"/>
    <m/>
    <m/>
    <m/>
    <m/>
    <m/>
    <m/>
    <n v="0"/>
    <m/>
    <m/>
    <m/>
    <m/>
    <n v="0"/>
    <n v="0"/>
    <n v="0"/>
    <n v="0"/>
    <n v="0"/>
    <n v="0"/>
    <n v="0"/>
  </r>
  <r>
    <x v="4"/>
    <x v="86"/>
    <s v="AIRLEADER"/>
    <s v="Régulation - Mesure Regulation AIRLEADER"/>
    <s v="boitier de regulation Airleader Master module"/>
    <n v="44"/>
    <s v="A-2401-MS"/>
    <s v="Airleader"/>
    <m/>
    <n v="0"/>
    <m/>
    <m/>
    <m/>
    <m/>
    <m/>
    <m/>
    <n v="0"/>
    <m/>
    <m/>
    <m/>
    <m/>
    <n v="0"/>
    <n v="0"/>
    <n v="0"/>
    <n v="0"/>
    <n v="0"/>
    <n v="0"/>
    <n v="0"/>
  </r>
  <r>
    <x v="4"/>
    <x v="86"/>
    <s v="AIRLEADER"/>
    <s v="Régulation - Mesure Regulation AIRLEADER"/>
    <s v="boitier de regulation Master modul( ancien modèle)"/>
    <n v="45"/>
    <s v="2401-M"/>
    <s v="Airleader"/>
    <m/>
    <n v="0"/>
    <m/>
    <m/>
    <m/>
    <m/>
    <m/>
    <m/>
    <n v="0"/>
    <m/>
    <m/>
    <m/>
    <m/>
    <n v="0"/>
    <n v="0"/>
    <n v="0"/>
    <n v="0"/>
    <n v="0"/>
    <n v="0"/>
    <n v="0"/>
  </r>
  <r>
    <x v="4"/>
    <x v="86"/>
    <s v="AIRLEADER"/>
    <s v="Régulation - Mesure Regulation AIRLEADER"/>
    <s v="boitier de regulation Airleader Master II"/>
    <n v="46"/>
    <s v="A-2403-MS"/>
    <s v="Airleader"/>
    <m/>
    <n v="0"/>
    <m/>
    <m/>
    <m/>
    <m/>
    <m/>
    <m/>
    <n v="0"/>
    <m/>
    <m/>
    <m/>
    <m/>
    <n v="0"/>
    <n v="0"/>
    <n v="0"/>
    <n v="0"/>
    <n v="0"/>
    <n v="0"/>
    <n v="0"/>
  </r>
  <r>
    <x v="4"/>
    <x v="86"/>
    <s v="AIRLEADER"/>
    <s v="Régulation - Mesure Regulation AIRLEADER"/>
    <s v="Airleeader master modul"/>
    <n v="47"/>
    <s v="2401SE"/>
    <s v="Airleader"/>
    <m/>
    <n v="0"/>
    <m/>
    <m/>
    <m/>
    <m/>
    <m/>
    <m/>
    <n v="0"/>
    <m/>
    <m/>
    <m/>
    <m/>
    <n v="0"/>
    <n v="0"/>
    <n v="0"/>
    <n v="0"/>
    <n v="0"/>
    <n v="0"/>
    <n v="0"/>
  </r>
  <r>
    <x v="4"/>
    <x v="86"/>
    <s v="AIRLEADER"/>
    <s v="Régulation - Mesure Regulation AIRLEADER"/>
    <s v="Baie de regulation 16 compresseurs"/>
    <n v="48"/>
    <n v="3201"/>
    <s v="Airleader"/>
    <m/>
    <n v="0"/>
    <m/>
    <m/>
    <m/>
    <m/>
    <m/>
    <m/>
    <n v="0"/>
    <m/>
    <m/>
    <m/>
    <m/>
    <n v="0"/>
    <n v="0"/>
    <n v="0"/>
    <n v="0"/>
    <n v="0"/>
    <n v="0"/>
    <n v="0"/>
  </r>
  <r>
    <x v="4"/>
    <x v="86"/>
    <s v="AIRLEADER"/>
    <s v="Régulation - Mesure Regulation AIRLEADER"/>
    <s v="Logiciel serveur WEB"/>
    <n v="49"/>
    <n v="9012"/>
    <s v="Airleader"/>
    <m/>
    <n v="0"/>
    <m/>
    <m/>
    <m/>
    <m/>
    <m/>
    <m/>
    <n v="0"/>
    <m/>
    <m/>
    <m/>
    <m/>
    <n v="0"/>
    <n v="0"/>
    <n v="0"/>
    <n v="0"/>
    <n v="0"/>
    <n v="0"/>
    <n v="0"/>
  </r>
  <r>
    <x v="4"/>
    <x v="86"/>
    <s v="AIRLEADER"/>
    <s v="Régulation - Mesure Regulation AIRLEADER"/>
    <s v="Modbus serveur Airleader"/>
    <n v="50"/>
    <n v="9015"/>
    <s v="Airleader"/>
    <m/>
    <n v="0"/>
    <m/>
    <m/>
    <m/>
    <m/>
    <m/>
    <m/>
    <n v="0"/>
    <m/>
    <m/>
    <m/>
    <m/>
    <n v="0"/>
    <n v="0"/>
    <n v="0"/>
    <n v="0"/>
    <n v="0"/>
    <n v="0"/>
    <n v="0"/>
  </r>
  <r>
    <x v="4"/>
    <x v="86"/>
    <s v="AIRLEADER"/>
    <s v="Régulation - Mesure Regulation AIRLEADER"/>
    <s v="module interface RS485 "/>
    <n v="51"/>
    <n v="4702"/>
    <s v="Airleader"/>
    <m/>
    <n v="0"/>
    <m/>
    <m/>
    <m/>
    <m/>
    <m/>
    <m/>
    <n v="0"/>
    <m/>
    <m/>
    <m/>
    <m/>
    <n v="0"/>
    <n v="0"/>
    <n v="0"/>
    <n v="0"/>
    <n v="0"/>
    <n v="0"/>
    <n v="0"/>
  </r>
  <r>
    <x v="4"/>
    <x v="86"/>
    <s v="AIRLEADER"/>
    <s v="Régulation - Mesure Regulation AIRLEADER"/>
    <s v="Isolateur de boucle 4/-20MA"/>
    <n v="52"/>
    <s v="5006-PO"/>
    <s v="Airleader"/>
    <m/>
    <n v="0"/>
    <m/>
    <m/>
    <m/>
    <m/>
    <m/>
    <m/>
    <n v="0"/>
    <m/>
    <m/>
    <m/>
    <m/>
    <n v="0"/>
    <n v="0"/>
    <n v="0"/>
    <n v="0"/>
    <n v="0"/>
    <n v="0"/>
    <n v="0"/>
  </r>
  <r>
    <x v="4"/>
    <x v="86"/>
    <s v="AIRLEADER"/>
    <s v="Régulation - Mesure Regulation AIRLEADER"/>
    <m/>
    <n v="41"/>
    <m/>
    <m/>
    <m/>
    <n v="0"/>
    <m/>
    <m/>
    <m/>
    <m/>
    <m/>
    <m/>
    <n v="0"/>
    <m/>
    <m/>
    <m/>
    <m/>
    <n v="0"/>
    <n v="0"/>
    <n v="0"/>
    <n v="0"/>
    <n v="0"/>
    <n v="0"/>
    <n v="0"/>
  </r>
  <r>
    <x v="4"/>
    <x v="87"/>
    <s v="Switch"/>
    <s v="Régulation - MesureTelesurveillanceSwitch"/>
    <s v="Switch Ethernet"/>
    <n v="1"/>
    <s v="136-3015"/>
    <s v="RS-component"/>
    <s v="136-3015"/>
    <n v="0"/>
    <m/>
    <m/>
    <m/>
    <m/>
    <m/>
    <m/>
    <n v="0"/>
    <m/>
    <m/>
    <m/>
    <m/>
    <n v="0"/>
    <n v="0"/>
    <n v="0"/>
    <n v="0"/>
    <n v="0"/>
    <n v="0"/>
    <n v="0"/>
  </r>
  <r>
    <x v="4"/>
    <x v="87"/>
    <s v="Antenne modem"/>
    <s v="Régulation - MesureTelesurveillanceAntenne modem"/>
    <s v="Antenne  ETIC de travbersée , 2G/3G/4G + CABLKE LONG 5M - ANT310"/>
    <n v="2"/>
    <s v="ANT310"/>
    <s v="ETIC"/>
    <s v="0010402"/>
    <n v="0"/>
    <m/>
    <m/>
    <m/>
    <m/>
    <m/>
    <m/>
    <n v="0"/>
    <m/>
    <m/>
    <m/>
    <m/>
    <n v="0"/>
    <n v="0"/>
    <n v="0"/>
    <n v="0"/>
    <n v="0"/>
    <n v="0"/>
    <n v="0"/>
  </r>
  <r>
    <x v="4"/>
    <x v="87"/>
    <s v="Routeur"/>
    <s v="Régulation - MesureTelesurveillanceRouteur"/>
    <s v="routeur 3G+monde 4G + 1 ETH,LAN - RAS-EC-400-LE"/>
    <n v="3"/>
    <s v="IPLDEC400"/>
    <s v="ETIC"/>
    <n v="1034002"/>
    <n v="0"/>
    <m/>
    <m/>
    <m/>
    <m/>
    <m/>
    <m/>
    <n v="0"/>
    <m/>
    <m/>
    <m/>
    <m/>
    <n v="0"/>
    <n v="0"/>
    <n v="0"/>
    <n v="0"/>
    <n v="0"/>
    <n v="0"/>
    <n v="0"/>
  </r>
  <r>
    <x v="4"/>
    <x v="87"/>
    <s v="cordon de brassage"/>
    <s v="Régulation - MesureTelesurveillancecordon de brassage"/>
    <s v="Cordon de brassage cat6 long  0,5m"/>
    <n v="4"/>
    <s v="CABRJ45CAT6-0,5M"/>
    <s v="Rexel"/>
    <m/>
    <n v="0"/>
    <m/>
    <m/>
    <m/>
    <m/>
    <m/>
    <m/>
    <n v="0"/>
    <m/>
    <m/>
    <m/>
    <m/>
    <n v="0"/>
    <n v="0"/>
    <n v="0"/>
    <n v="0"/>
    <n v="0"/>
    <n v="0"/>
    <n v="0"/>
  </r>
  <r>
    <x v="4"/>
    <x v="87"/>
    <s v="cordon de brassage"/>
    <s v="Régulation - MesureTelesurveillancecordon de brassage"/>
    <s v="Cordon de brassage cat6 long 1m"/>
    <n v="5"/>
    <s v="556-998"/>
    <s v="RS-component"/>
    <m/>
    <n v="0"/>
    <m/>
    <m/>
    <m/>
    <m/>
    <m/>
    <m/>
    <n v="0"/>
    <m/>
    <m/>
    <m/>
    <m/>
    <n v="0"/>
    <n v="0"/>
    <n v="0"/>
    <n v="0"/>
    <n v="0"/>
    <n v="0"/>
    <n v="0"/>
  </r>
  <r>
    <x v="4"/>
    <x v="87"/>
    <s v="cordon de brassage"/>
    <s v="Régulation - MesureTelesurveillancecordon de brassage"/>
    <s v="Cordon de brassage cat6 long  3m"/>
    <n v="6"/>
    <s v="CABRJ45CAT6-3M"/>
    <s v="Rexel"/>
    <m/>
    <n v="0"/>
    <m/>
    <m/>
    <m/>
    <m/>
    <m/>
    <m/>
    <n v="0"/>
    <m/>
    <m/>
    <m/>
    <m/>
    <n v="0"/>
    <n v="0"/>
    <n v="0"/>
    <n v="0"/>
    <n v="0"/>
    <n v="0"/>
    <n v="0"/>
  </r>
  <r>
    <x v="4"/>
    <x v="87"/>
    <s v="AF connect"/>
    <s v="Régulation - MesureTelesurveillanceAF connect"/>
    <s v="CARTE TWEET'AIR V1.3"/>
    <n v="7"/>
    <s v="TWA-V1.3"/>
    <s v="Airflux"/>
    <m/>
    <n v="0"/>
    <m/>
    <m/>
    <m/>
    <m/>
    <m/>
    <m/>
    <n v="0"/>
    <m/>
    <m/>
    <m/>
    <m/>
    <n v="0"/>
    <n v="0"/>
    <n v="0"/>
    <n v="0"/>
    <n v="0"/>
    <n v="0"/>
    <n v="0"/>
  </r>
  <r>
    <x v="4"/>
    <x v="87"/>
    <s v="AF connect"/>
    <s v="Régulation - MesureTelesurveillanceAF connect"/>
    <s v="CARTE TWEET'AIR V1.3 équipé mdule GSM"/>
    <n v="8"/>
    <s v="TWA/GSM-V1.3"/>
    <s v="Airflux"/>
    <m/>
    <n v="0"/>
    <m/>
    <m/>
    <m/>
    <m/>
    <m/>
    <m/>
    <n v="0"/>
    <m/>
    <m/>
    <m/>
    <m/>
    <n v="0"/>
    <n v="0"/>
    <n v="0"/>
    <n v="0"/>
    <n v="0"/>
    <n v="0"/>
    <n v="0"/>
  </r>
  <r>
    <x v="4"/>
    <x v="87"/>
    <m/>
    <s v="Régulation - MesureTelesurveillance"/>
    <m/>
    <n v="0"/>
    <m/>
    <m/>
    <m/>
    <n v="0"/>
    <m/>
    <m/>
    <m/>
    <m/>
    <m/>
    <m/>
    <n v="0"/>
    <m/>
    <m/>
    <m/>
    <m/>
    <n v="0"/>
    <n v="0"/>
    <n v="0"/>
    <n v="0"/>
    <n v="0"/>
    <n v="0"/>
    <n v="0"/>
  </r>
  <r>
    <x v="5"/>
    <x v="88"/>
    <m/>
    <s v="App ElectriqueBARRE DE CUIVRE"/>
    <m/>
    <n v="0"/>
    <m/>
    <m/>
    <m/>
    <n v="0"/>
    <m/>
    <m/>
    <m/>
    <m/>
    <m/>
    <m/>
    <n v="0"/>
    <m/>
    <m/>
    <m/>
    <m/>
    <n v="0"/>
    <n v="0"/>
    <n v="0"/>
    <n v="0"/>
    <n v="0"/>
    <n v="0"/>
    <n v="0"/>
  </r>
  <r>
    <x v="5"/>
    <x v="89"/>
    <m/>
    <s v="App ElectriqueBarres de cuivre"/>
    <s v="Barre de cuivre plate 15x4mm-200A lg 990mm"/>
    <n v="1"/>
    <n v="37433"/>
    <m/>
    <m/>
    <n v="0"/>
    <m/>
    <m/>
    <m/>
    <m/>
    <m/>
    <m/>
    <n v="0"/>
    <m/>
    <m/>
    <m/>
    <m/>
    <n v="0"/>
    <n v="0"/>
    <n v="0"/>
    <n v="0"/>
    <n v="0"/>
    <n v="0"/>
    <n v="0"/>
  </r>
  <r>
    <x v="5"/>
    <x v="89"/>
    <m/>
    <s v="App ElectriqueBarres de cuivre"/>
    <s v="Barre de cuivre plate 25x4mm-280/250A lg 990mm"/>
    <n v="2"/>
    <n v="37438"/>
    <m/>
    <m/>
    <n v="0"/>
    <m/>
    <m/>
    <m/>
    <m/>
    <m/>
    <m/>
    <n v="0"/>
    <m/>
    <m/>
    <m/>
    <m/>
    <n v="0"/>
    <n v="0"/>
    <n v="0"/>
    <n v="0"/>
    <n v="0"/>
    <n v="0"/>
    <n v="0"/>
  </r>
  <r>
    <x v="5"/>
    <x v="89"/>
    <m/>
    <s v="App ElectriqueBarres de cuivre"/>
    <s v="Barre de cuivre plate 25x5mm-330/270A lg 1750mm"/>
    <n v="3"/>
    <n v="37418"/>
    <m/>
    <m/>
    <n v="0"/>
    <m/>
    <m/>
    <m/>
    <m/>
    <m/>
    <m/>
    <n v="0"/>
    <m/>
    <m/>
    <m/>
    <m/>
    <n v="0"/>
    <n v="0"/>
    <n v="0"/>
    <n v="0"/>
    <n v="0"/>
    <n v="0"/>
    <n v="0"/>
  </r>
  <r>
    <x v="5"/>
    <x v="90"/>
    <m/>
    <s v="App ElectriqueCorps + contact"/>
    <m/>
    <n v="0"/>
    <m/>
    <m/>
    <m/>
    <n v="0"/>
    <m/>
    <m/>
    <m/>
    <m/>
    <m/>
    <m/>
    <n v="0"/>
    <m/>
    <m/>
    <m/>
    <m/>
    <n v="0"/>
    <n v="0"/>
    <n v="0"/>
    <n v="0"/>
    <n v="0"/>
    <n v="0"/>
    <n v="0"/>
  </r>
  <r>
    <x v="5"/>
    <x v="90"/>
    <m/>
    <s v="App ElectriqueCorps + contact"/>
    <s v="1 NC"/>
    <n v="1"/>
    <s v="XB4BD21"/>
    <m/>
    <m/>
    <n v="0"/>
    <m/>
    <m/>
    <m/>
    <m/>
    <m/>
    <m/>
    <n v="0"/>
    <m/>
    <m/>
    <m/>
    <m/>
    <n v="0"/>
    <n v="0"/>
    <n v="0"/>
    <n v="0"/>
    <n v="0"/>
    <n v="0"/>
    <n v="0"/>
  </r>
  <r>
    <x v="5"/>
    <x v="90"/>
    <m/>
    <s v="App ElectriqueCorps + contact"/>
    <s v="1 NO 1 NC"/>
    <n v="2"/>
    <s v="ZB4BD25"/>
    <m/>
    <m/>
    <n v="0"/>
    <m/>
    <m/>
    <m/>
    <m/>
    <m/>
    <m/>
    <n v="0"/>
    <m/>
    <m/>
    <m/>
    <m/>
    <n v="0"/>
    <n v="0"/>
    <n v="0"/>
    <n v="0"/>
    <n v="0"/>
    <n v="0"/>
    <n v="0"/>
  </r>
  <r>
    <x v="5"/>
    <x v="91"/>
    <m/>
    <s v="App ElectriqueDISJONCTEUR MONOPHASE"/>
    <m/>
    <n v="0"/>
    <m/>
    <m/>
    <m/>
    <n v="0"/>
    <m/>
    <m/>
    <m/>
    <m/>
    <m/>
    <m/>
    <n v="0"/>
    <m/>
    <m/>
    <m/>
    <m/>
    <n v="0"/>
    <n v="0"/>
    <n v="0"/>
    <n v="0"/>
    <n v="0"/>
    <n v="0"/>
    <n v="0"/>
  </r>
  <r>
    <x v="5"/>
    <x v="91"/>
    <s v="Disjoncteur Modulaire-1P+N Courbe C 4,5KA/6KA_1A"/>
    <e v="#REF!"/>
    <s v="Disjoncteur Modulaire-1P+N Courbe C 4,5KA/6KA_1A"/>
    <n v="1"/>
    <s v="SCHA9P22601"/>
    <s v="Schneider"/>
    <m/>
    <n v="0"/>
    <m/>
    <m/>
    <m/>
    <m/>
    <m/>
    <m/>
    <n v="0"/>
    <m/>
    <m/>
    <m/>
    <m/>
    <n v="0"/>
    <n v="0"/>
    <n v="0"/>
    <n v="0"/>
    <n v="0"/>
    <n v="0"/>
    <n v="0"/>
  </r>
  <r>
    <x v="5"/>
    <x v="91"/>
    <s v="Disjoncteur Modulaire-1P+N Courbe C 4,5KA/6KA_2A"/>
    <e v="#REF!"/>
    <s v="Disjoncteur Modulaire-1P+N Courbe C 4,5KA/6KA_2A"/>
    <n v="2"/>
    <s v="SCHA9P22602"/>
    <s v="Schneider"/>
    <m/>
    <n v="0"/>
    <m/>
    <m/>
    <m/>
    <m/>
    <m/>
    <m/>
    <n v="0"/>
    <m/>
    <m/>
    <m/>
    <m/>
    <n v="0"/>
    <n v="0"/>
    <n v="0"/>
    <n v="0"/>
    <n v="0"/>
    <n v="0"/>
    <n v="0"/>
  </r>
  <r>
    <x v="5"/>
    <x v="91"/>
    <s v="Disjoncteur Modulaire-1P+N Courbe C 4,5KA/6KA_4A"/>
    <e v="#REF!"/>
    <s v="Disjoncteur Modulaire-1P+N Courbe C 4,5KA/6KA_4A"/>
    <n v="3"/>
    <s v="SCHA9P22604"/>
    <s v="Schneider"/>
    <m/>
    <n v="0"/>
    <m/>
    <m/>
    <m/>
    <m/>
    <m/>
    <m/>
    <n v="0"/>
    <m/>
    <m/>
    <m/>
    <m/>
    <n v="0"/>
    <n v="0"/>
    <n v="0"/>
    <n v="0"/>
    <n v="0"/>
    <n v="0"/>
    <n v="0"/>
  </r>
  <r>
    <x v="5"/>
    <x v="91"/>
    <s v="Disjoncteur Modulaire-1P+N Courbe C 4,5KA/6KA_6A"/>
    <e v="#REF!"/>
    <s v="Disjoncteur Modulaire-1P+N Courbe C 4,5KA/6KA_6A"/>
    <n v="4"/>
    <s v="SCHA9P22606"/>
    <s v="Schneider"/>
    <m/>
    <n v="0"/>
    <m/>
    <m/>
    <m/>
    <m/>
    <m/>
    <m/>
    <n v="0"/>
    <m/>
    <m/>
    <m/>
    <m/>
    <n v="0"/>
    <n v="0"/>
    <n v="0"/>
    <n v="0"/>
    <n v="0"/>
    <n v="0"/>
    <n v="0"/>
  </r>
  <r>
    <x v="5"/>
    <x v="91"/>
    <s v="Disjoncteur Modulaire-1P+N Courbe C 4,5KA/6KA_10A"/>
    <e v="#REF!"/>
    <s v="Disjoncteur Modulaire-1P+N Courbe C 4,5KA/6KA_10A"/>
    <n v="5"/>
    <s v="SCHA9P22610"/>
    <s v="Schneider"/>
    <m/>
    <n v="0"/>
    <m/>
    <m/>
    <m/>
    <m/>
    <m/>
    <m/>
    <n v="0"/>
    <m/>
    <m/>
    <m/>
    <m/>
    <n v="0"/>
    <n v="0"/>
    <n v="0"/>
    <n v="0"/>
    <n v="0"/>
    <n v="0"/>
    <n v="0"/>
  </r>
  <r>
    <x v="5"/>
    <x v="91"/>
    <s v="Disjoncteur Modulaire-1P+N Courbe C 4,5KA/6KA_16A"/>
    <e v="#REF!"/>
    <s v="Disjoncteur Modulaire-1P+N Courbe C 4,5KA/6KA_16A"/>
    <n v="6"/>
    <s v="SCHA9P22616"/>
    <s v="Schneider"/>
    <m/>
    <n v="0"/>
    <m/>
    <m/>
    <m/>
    <m/>
    <m/>
    <m/>
    <n v="0"/>
    <m/>
    <m/>
    <m/>
    <m/>
    <n v="0"/>
    <n v="0"/>
    <n v="0"/>
    <n v="0"/>
    <n v="0"/>
    <n v="0"/>
    <n v="0"/>
  </r>
  <r>
    <x v="5"/>
    <x v="91"/>
    <s v="Disjoncteur Modulaire-1P+N Courbe C 4,5KA/6KA_20A"/>
    <e v="#REF!"/>
    <s v="Disjoncteur Modulaire-1P+N Courbe C 4,5KA/6KA_20A"/>
    <n v="7"/>
    <s v="SCHA9P22620"/>
    <s v="Schneider"/>
    <m/>
    <n v="0"/>
    <m/>
    <m/>
    <m/>
    <m/>
    <m/>
    <m/>
    <n v="0"/>
    <m/>
    <m/>
    <m/>
    <m/>
    <n v="0"/>
    <n v="0"/>
    <n v="0"/>
    <n v="0"/>
    <n v="0"/>
    <n v="0"/>
    <n v="0"/>
  </r>
  <r>
    <x v="5"/>
    <x v="91"/>
    <s v="Disjoncteur Modulaire-1P+N Courbe C 4,5KA/6KA_25A"/>
    <e v="#REF!"/>
    <s v="Disjoncteur Modulaire-1P+N Courbe C 4,5KA/6KA_25A"/>
    <n v="8"/>
    <s v="SCHA9P22625"/>
    <s v="Schneider"/>
    <m/>
    <n v="0"/>
    <m/>
    <m/>
    <m/>
    <m/>
    <m/>
    <m/>
    <n v="0"/>
    <m/>
    <m/>
    <m/>
    <m/>
    <n v="0"/>
    <n v="0"/>
    <n v="0"/>
    <n v="0"/>
    <n v="0"/>
    <n v="0"/>
    <n v="0"/>
  </r>
  <r>
    <x v="5"/>
    <x v="91"/>
    <s v="Disjoncteur Modulaire-1P+N Courbe C 4,5KA/6KA_32A"/>
    <e v="#REF!"/>
    <s v="Disjoncteur Modulaire-1P+N Courbe C 4,5KA/6KA_32A"/>
    <n v="9"/>
    <s v="SCHA9P22632"/>
    <s v="Schneider"/>
    <m/>
    <n v="0"/>
    <m/>
    <m/>
    <m/>
    <m/>
    <m/>
    <m/>
    <n v="0"/>
    <m/>
    <m/>
    <m/>
    <m/>
    <n v="0"/>
    <n v="0"/>
    <n v="0"/>
    <n v="0"/>
    <n v="0"/>
    <n v="0"/>
    <n v="0"/>
  </r>
  <r>
    <x v="5"/>
    <x v="91"/>
    <s v="Disjoncteur Modulaire-1P+N Courbe C 4,5KA/6KA_40A"/>
    <e v="#REF!"/>
    <s v="Disjoncteur Modulaire-1P+N Courbe C 4,5KA/6KA_40A"/>
    <n v="10"/>
    <s v="SCHA9P22640"/>
    <s v="Schneider"/>
    <m/>
    <n v="0"/>
    <m/>
    <m/>
    <m/>
    <m/>
    <m/>
    <m/>
    <n v="0"/>
    <m/>
    <m/>
    <m/>
    <m/>
    <n v="0"/>
    <n v="0"/>
    <n v="0"/>
    <n v="0"/>
    <n v="0"/>
    <n v="0"/>
    <n v="0"/>
  </r>
  <r>
    <x v="5"/>
    <x v="91"/>
    <m/>
    <e v="#REF!"/>
    <m/>
    <n v="11"/>
    <m/>
    <m/>
    <m/>
    <n v="0"/>
    <m/>
    <m/>
    <m/>
    <m/>
    <m/>
    <m/>
    <n v="0"/>
    <m/>
    <m/>
    <m/>
    <m/>
    <n v="0"/>
    <n v="0"/>
    <n v="0"/>
    <n v="0"/>
    <n v="0"/>
    <n v="0"/>
    <n v="0"/>
  </r>
  <r>
    <x v="5"/>
    <x v="91"/>
    <s v="Disjoncteur Modulaire-1P+N Courbe C 6KA/10KA_1A"/>
    <e v="#REF!"/>
    <s v="Disjoncteur Modulaire-1P+N Courbe C 6KA/10KA_1A"/>
    <n v="12"/>
    <s v="SCHA9P24601"/>
    <s v="Schneider"/>
    <m/>
    <n v="0"/>
    <m/>
    <m/>
    <m/>
    <m/>
    <m/>
    <m/>
    <n v="0"/>
    <m/>
    <m/>
    <m/>
    <m/>
    <n v="0"/>
    <n v="0"/>
    <n v="0"/>
    <n v="0"/>
    <n v="0"/>
    <n v="0"/>
    <n v="0"/>
  </r>
  <r>
    <x v="5"/>
    <x v="91"/>
    <s v="Disjoncteur Modulaire-1P+N Courbe C 6KA/10KA_2A"/>
    <e v="#REF!"/>
    <s v="Disjoncteur Modulaire-1P+N Courbe C 6KA/10KA_2A"/>
    <n v="13"/>
    <s v="SCHA9P24602"/>
    <s v="Schneider"/>
    <m/>
    <n v="0"/>
    <m/>
    <m/>
    <m/>
    <m/>
    <m/>
    <m/>
    <n v="0"/>
    <m/>
    <m/>
    <m/>
    <m/>
    <n v="0"/>
    <n v="0"/>
    <n v="0"/>
    <n v="0"/>
    <n v="0"/>
    <n v="0"/>
    <n v="0"/>
  </r>
  <r>
    <x v="5"/>
    <x v="91"/>
    <s v="Disjoncteur Modulaire-1P+N Courbe C 6KA/10KA_4A"/>
    <e v="#REF!"/>
    <s v="Disjoncteur Modulaire-1P+N Courbe C 6KA/10KA_4A"/>
    <n v="14"/>
    <s v="SCHA9P24604"/>
    <s v="Schneider"/>
    <m/>
    <n v="0"/>
    <m/>
    <m/>
    <m/>
    <m/>
    <m/>
    <m/>
    <n v="0"/>
    <m/>
    <m/>
    <m/>
    <m/>
    <n v="0"/>
    <n v="0"/>
    <n v="0"/>
    <n v="0"/>
    <n v="0"/>
    <n v="0"/>
    <n v="0"/>
  </r>
  <r>
    <x v="5"/>
    <x v="91"/>
    <s v="Disjoncteur Modulaire-1P+N Courbe C 6KA/10KA_6A"/>
    <e v="#REF!"/>
    <s v="Disjoncteur Modulaire-1P+N Courbe C 6KA/10KA_6A"/>
    <n v="15"/>
    <s v="SCHA9P24606"/>
    <s v="Schneider"/>
    <m/>
    <n v="0"/>
    <m/>
    <m/>
    <m/>
    <m/>
    <m/>
    <m/>
    <n v="0"/>
    <m/>
    <m/>
    <m/>
    <m/>
    <n v="0"/>
    <n v="0"/>
    <n v="0"/>
    <n v="0"/>
    <n v="0"/>
    <n v="0"/>
    <n v="0"/>
  </r>
  <r>
    <x v="5"/>
    <x v="91"/>
    <s v="Disjoncteur Modulaire-1P+N Courbe C 6KA/10KA_10A"/>
    <e v="#REF!"/>
    <s v="Disjoncteur Modulaire-1P+N Courbe C 6KA/10KA_10A"/>
    <n v="16"/>
    <s v="SCHA9P24610"/>
    <s v="Schneider"/>
    <m/>
    <n v="0"/>
    <m/>
    <m/>
    <m/>
    <m/>
    <m/>
    <m/>
    <n v="0"/>
    <m/>
    <m/>
    <m/>
    <m/>
    <n v="0"/>
    <n v="0"/>
    <n v="0"/>
    <n v="0"/>
    <n v="0"/>
    <n v="0"/>
    <n v="0"/>
  </r>
  <r>
    <x v="5"/>
    <x v="91"/>
    <s v="Disjoncteur Modulaire-1P+N Courbe C 6KA/10KA_16A"/>
    <e v="#REF!"/>
    <s v="Disjoncteur Modulaire-1P+N Courbe C 6KA/10KA_16A"/>
    <n v="17"/>
    <s v="SCHA9P24616"/>
    <s v="Schneider"/>
    <m/>
    <n v="0"/>
    <m/>
    <m/>
    <m/>
    <m/>
    <m/>
    <m/>
    <n v="0"/>
    <m/>
    <m/>
    <m/>
    <m/>
    <n v="0"/>
    <n v="0"/>
    <n v="0"/>
    <n v="0"/>
    <n v="0"/>
    <n v="0"/>
    <n v="0"/>
  </r>
  <r>
    <x v="5"/>
    <x v="91"/>
    <s v="Disjoncteur Modulaire-1P+N Courbe C 6KA/10KA_20A"/>
    <e v="#REF!"/>
    <s v="Disjoncteur Modulaire-1P+N Courbe C 6KA/10KA_20A"/>
    <n v="18"/>
    <s v="SCHA9P24620"/>
    <s v="Schneider"/>
    <m/>
    <n v="0"/>
    <m/>
    <m/>
    <m/>
    <m/>
    <m/>
    <m/>
    <n v="0"/>
    <m/>
    <m/>
    <m/>
    <m/>
    <n v="0"/>
    <n v="0"/>
    <n v="0"/>
    <n v="0"/>
    <n v="0"/>
    <n v="0"/>
    <n v="0"/>
  </r>
  <r>
    <x v="5"/>
    <x v="91"/>
    <s v="Disjoncteur Modulaire-1P+N Courbe C 6KA/10KA_25A"/>
    <e v="#REF!"/>
    <s v="Disjoncteur Modulaire-1P+N Courbe C 6KA/10KA_25A"/>
    <n v="19"/>
    <s v="SCHA9P24625"/>
    <s v="Schneider"/>
    <m/>
    <n v="0"/>
    <m/>
    <m/>
    <m/>
    <m/>
    <m/>
    <m/>
    <n v="0"/>
    <m/>
    <m/>
    <m/>
    <m/>
    <n v="0"/>
    <n v="0"/>
    <n v="0"/>
    <n v="0"/>
    <n v="0"/>
    <n v="0"/>
    <n v="0"/>
  </r>
  <r>
    <x v="5"/>
    <x v="91"/>
    <s v="Disjoncteur Modulaire-1P+N Courbe C 6KA/10KA_32A"/>
    <e v="#REF!"/>
    <s v="Disjoncteur Modulaire-1P+N Courbe C 6KA/10KA_32A"/>
    <n v="20"/>
    <s v="SCHA9P24632"/>
    <s v="Schneider"/>
    <m/>
    <n v="0"/>
    <m/>
    <m/>
    <m/>
    <m/>
    <m/>
    <m/>
    <n v="0"/>
    <m/>
    <m/>
    <m/>
    <m/>
    <n v="0"/>
    <n v="0"/>
    <n v="0"/>
    <n v="0"/>
    <n v="0"/>
    <n v="0"/>
    <n v="0"/>
  </r>
  <r>
    <x v="5"/>
    <x v="91"/>
    <s v="Disjoncteur Modulaire-1P+N Courbe C 6KA/10KA_40A"/>
    <e v="#REF!"/>
    <s v="Disjoncteur Modulaire-1P+N Courbe C 6KA/10KA_40A"/>
    <n v="21"/>
    <s v="SCHA9P24640"/>
    <s v="Schneider"/>
    <m/>
    <n v="0"/>
    <m/>
    <m/>
    <m/>
    <m/>
    <m/>
    <m/>
    <n v="0"/>
    <m/>
    <m/>
    <m/>
    <m/>
    <n v="0"/>
    <n v="0"/>
    <n v="0"/>
    <n v="0"/>
    <n v="0"/>
    <n v="0"/>
    <n v="0"/>
  </r>
  <r>
    <x v="5"/>
    <x v="91"/>
    <m/>
    <e v="#REF!"/>
    <m/>
    <n v="22"/>
    <m/>
    <m/>
    <m/>
    <n v="0"/>
    <m/>
    <m/>
    <m/>
    <m/>
    <m/>
    <m/>
    <n v="0"/>
    <m/>
    <m/>
    <m/>
    <m/>
    <n v="0"/>
    <n v="0"/>
    <n v="0"/>
    <n v="0"/>
    <n v="0"/>
    <n v="0"/>
    <n v="0"/>
  </r>
  <r>
    <x v="5"/>
    <x v="91"/>
    <s v="Disj. modulaire  ph.+ N. C legrand"/>
    <e v="#REF!"/>
    <s v="Disjoncteur Modulaire-1P+N Courbe C 10KA_1A"/>
    <n v="23"/>
    <s v="0 6388"/>
    <s v="Legrand"/>
    <m/>
    <n v="0"/>
    <m/>
    <m/>
    <m/>
    <m/>
    <m/>
    <m/>
    <n v="0"/>
    <m/>
    <m/>
    <m/>
    <m/>
    <n v="0"/>
    <n v="0"/>
    <n v="0"/>
    <n v="0"/>
    <n v="0"/>
    <n v="0"/>
    <n v="0"/>
  </r>
  <r>
    <x v="5"/>
    <x v="91"/>
    <s v="Disj. modulaire  ph.+ N. C legrand"/>
    <e v="#REF!"/>
    <s v="Disjoncteur Modulaire-1P+N Courbe C 10KA_2A"/>
    <n v="24"/>
    <s v="0 6389"/>
    <s v="Legrand"/>
    <m/>
    <n v="0"/>
    <m/>
    <m/>
    <m/>
    <m/>
    <m/>
    <m/>
    <n v="0"/>
    <m/>
    <m/>
    <m/>
    <m/>
    <n v="0"/>
    <n v="0"/>
    <n v="0"/>
    <n v="0"/>
    <n v="0"/>
    <n v="0"/>
    <n v="0"/>
  </r>
  <r>
    <x v="5"/>
    <x v="91"/>
    <s v="Disj. modulaire  ph.+ N. C legrand"/>
    <e v="#REF!"/>
    <s v="Disjoncteur Modulaire-1P+N Courbe C 10KA_3A"/>
    <n v="25"/>
    <s v="0 6390"/>
    <s v="Legrand"/>
    <m/>
    <n v="0"/>
    <m/>
    <m/>
    <m/>
    <m/>
    <m/>
    <m/>
    <n v="0"/>
    <m/>
    <m/>
    <m/>
    <m/>
    <n v="0"/>
    <n v="0"/>
    <n v="0"/>
    <n v="0"/>
    <n v="0"/>
    <n v="0"/>
    <n v="0"/>
  </r>
  <r>
    <x v="5"/>
    <x v="91"/>
    <s v="Disj. modulaire  ph.+ N. C legrand"/>
    <e v="#REF!"/>
    <s v="Disjoncteur Modulaire-1P+N Courbe C 10KA_6A"/>
    <n v="26"/>
    <s v="0 6392"/>
    <s v="Legrand"/>
    <m/>
    <n v="0"/>
    <m/>
    <m/>
    <m/>
    <m/>
    <m/>
    <m/>
    <n v="0"/>
    <m/>
    <m/>
    <m/>
    <m/>
    <n v="0"/>
    <n v="0"/>
    <n v="0"/>
    <n v="0"/>
    <n v="0"/>
    <n v="0"/>
    <n v="0"/>
  </r>
  <r>
    <x v="5"/>
    <x v="91"/>
    <m/>
    <s v="App ElectriqueDISJONCTEUR MONOPHASE"/>
    <m/>
    <n v="27"/>
    <m/>
    <m/>
    <m/>
    <n v="0"/>
    <m/>
    <m/>
    <m/>
    <m/>
    <m/>
    <m/>
    <n v="0"/>
    <m/>
    <m/>
    <m/>
    <m/>
    <n v="0"/>
    <n v="0"/>
    <n v="0"/>
    <n v="0"/>
    <n v="0"/>
    <n v="0"/>
    <n v="0"/>
  </r>
  <r>
    <x v="5"/>
    <x v="92"/>
    <m/>
    <s v="App ElectriqueDISJONCTEUR MODULAIRE TETRA "/>
    <m/>
    <n v="0"/>
    <m/>
    <m/>
    <m/>
    <n v="0"/>
    <m/>
    <m/>
    <m/>
    <m/>
    <m/>
    <m/>
    <n v="0"/>
    <m/>
    <m/>
    <m/>
    <m/>
    <n v="0"/>
    <n v="0"/>
    <n v="0"/>
    <n v="0"/>
    <n v="0"/>
    <n v="0"/>
    <n v="0"/>
  </r>
  <r>
    <x v="5"/>
    <x v="93"/>
    <s v="Disj. modulaire  IC60N tri. C Schneider"/>
    <s v="App ElectriqueDisj. modulaire  IC60N tri. C SchneiderDisj. modulaire  IC60N tri. C Schneider"/>
    <s v="32A"/>
    <n v="1"/>
    <s v="SCHA9F77432"/>
    <s v="Schneider"/>
    <m/>
    <n v="0"/>
    <m/>
    <m/>
    <m/>
    <m/>
    <m/>
    <m/>
    <n v="0"/>
    <m/>
    <m/>
    <m/>
    <m/>
    <n v="0"/>
    <n v="0"/>
    <n v="0"/>
    <n v="0"/>
    <n v="0"/>
    <n v="0"/>
    <n v="0"/>
  </r>
  <r>
    <x v="5"/>
    <x v="94"/>
    <m/>
    <s v="App Electrique"/>
    <m/>
    <n v="2"/>
    <m/>
    <m/>
    <m/>
    <n v="0"/>
    <m/>
    <m/>
    <m/>
    <m/>
    <m/>
    <m/>
    <n v="0"/>
    <m/>
    <m/>
    <m/>
    <m/>
    <n v="0"/>
    <n v="0"/>
    <n v="0"/>
    <n v="0"/>
    <n v="0"/>
    <n v="0"/>
    <n v="0"/>
  </r>
  <r>
    <x v="5"/>
    <x v="95"/>
    <s v="Disj. modulaire  IC60N tri. D Schneider"/>
    <s v="App ElectriqueDisj. modulaire  IC60N tri. D SchneiderDisj. modulaire  IC60N tri. D Schneider"/>
    <s v="40A"/>
    <n v="3"/>
    <s v="SCHA9F75440"/>
    <s v="Schneider"/>
    <m/>
    <n v="0"/>
    <m/>
    <m/>
    <m/>
    <m/>
    <m/>
    <m/>
    <n v="0"/>
    <m/>
    <m/>
    <m/>
    <m/>
    <n v="0"/>
    <n v="0"/>
    <n v="0"/>
    <n v="0"/>
    <n v="0"/>
    <n v="0"/>
    <n v="0"/>
  </r>
  <r>
    <x v="5"/>
    <x v="96"/>
    <m/>
    <s v="App ElectriqueDISJONCTEUR MODULAIRE TRIPHASE COURBE D"/>
    <m/>
    <n v="0"/>
    <m/>
    <m/>
    <m/>
    <n v="0"/>
    <m/>
    <m/>
    <m/>
    <m/>
    <m/>
    <m/>
    <n v="0"/>
    <m/>
    <m/>
    <m/>
    <m/>
    <n v="0"/>
    <n v="0"/>
    <n v="0"/>
    <n v="0"/>
    <n v="0"/>
    <n v="0"/>
    <n v="0"/>
  </r>
  <r>
    <x v="5"/>
    <x v="96"/>
    <s v="Disj. modulaire  IC60N tri. D Schneider"/>
    <s v="App ElectriqueDISJONCTEUR MODULAIRE TRIPHASE COURBE DDisj. modulaire  IC60N tri. D Schneider"/>
    <s v="10A"/>
    <n v="1"/>
    <s v="SCHA9F75310"/>
    <s v="Schneider"/>
    <m/>
    <n v="0"/>
    <m/>
    <m/>
    <m/>
    <m/>
    <m/>
    <m/>
    <n v="0"/>
    <m/>
    <m/>
    <m/>
    <m/>
    <n v="0"/>
    <n v="0"/>
    <n v="0"/>
    <n v="0"/>
    <n v="0"/>
    <n v="0"/>
    <n v="0"/>
  </r>
  <r>
    <x v="5"/>
    <x v="96"/>
    <s v="Disj. modulaire  IC60N tri. D Schneider"/>
    <s v="App ElectriqueDISJONCTEUR MODULAIRE TRIPHASE COURBE DDisj. modulaire  IC60N tri. D Schneider"/>
    <s v=" 2 A"/>
    <n v="2"/>
    <s v="SCH9F74302"/>
    <s v="Schneider"/>
    <m/>
    <n v="0"/>
    <m/>
    <m/>
    <m/>
    <m/>
    <m/>
    <m/>
    <n v="0"/>
    <m/>
    <m/>
    <m/>
    <m/>
    <n v="0"/>
    <n v="0"/>
    <n v="0"/>
    <n v="0"/>
    <n v="0"/>
    <n v="0"/>
    <n v="0"/>
  </r>
  <r>
    <x v="5"/>
    <x v="96"/>
    <s v="Disj. modulaire  IC60N tri. D Schneider"/>
    <s v="App ElectriqueDISJONCTEUR MODULAIRE TRIPHASE COURBE DDisj. modulaire  IC60N tri. D Schneider"/>
    <s v="20A"/>
    <n v="3"/>
    <s v="SCHA9F77320"/>
    <s v="Schneider"/>
    <m/>
    <n v="0"/>
    <m/>
    <m/>
    <m/>
    <m/>
    <m/>
    <m/>
    <n v="0"/>
    <m/>
    <m/>
    <m/>
    <m/>
    <n v="0"/>
    <n v="0"/>
    <n v="0"/>
    <n v="0"/>
    <n v="0"/>
    <n v="0"/>
    <n v="0"/>
  </r>
  <r>
    <x v="5"/>
    <x v="96"/>
    <s v="Disj. modulaire  IC60N tri. D Schneider"/>
    <s v="App ElectriqueDISJONCTEUR MODULAIRE TRIPHASE COURBE DDisj. modulaire  IC60N tri. D Schneider"/>
    <s v="32A"/>
    <n v="4"/>
    <s v="SCHA9F77332"/>
    <s v="Schneider"/>
    <m/>
    <n v="0"/>
    <m/>
    <m/>
    <m/>
    <m/>
    <m/>
    <m/>
    <n v="0"/>
    <m/>
    <m/>
    <m/>
    <m/>
    <n v="0"/>
    <n v="0"/>
    <n v="0"/>
    <n v="0"/>
    <n v="0"/>
    <n v="0"/>
    <n v="0"/>
  </r>
  <r>
    <x v="5"/>
    <x v="96"/>
    <s v="Disj. modulaire  IC60N tri. D Schneider"/>
    <s v="App ElectriqueDISJONCTEUR MODULAIRE TRIPHASE COURBE DDisj. modulaire  IC60N tri. D Schneider"/>
    <s v="50A"/>
    <n v="5"/>
    <s v="SCHA9F75350"/>
    <s v="Schneider"/>
    <m/>
    <n v="0"/>
    <m/>
    <m/>
    <m/>
    <m/>
    <m/>
    <m/>
    <n v="0"/>
    <m/>
    <m/>
    <m/>
    <m/>
    <n v="0"/>
    <n v="0"/>
    <n v="0"/>
    <n v="0"/>
    <n v="0"/>
    <n v="0"/>
    <n v="0"/>
  </r>
  <r>
    <x v="5"/>
    <x v="96"/>
    <s v="Disj. modulaire  IC60N tri. D Schneider"/>
    <s v="App ElectriqueDISJONCTEUR MODULAIRE TRIPHASE COURBE DDisj. modulaire  IC60N tri. D Schneider"/>
    <s v="63A"/>
    <n v="6"/>
    <s v="SCHA9F75363"/>
    <s v="Schneider"/>
    <m/>
    <n v="0"/>
    <m/>
    <m/>
    <m/>
    <m/>
    <m/>
    <m/>
    <n v="0"/>
    <m/>
    <m/>
    <m/>
    <m/>
    <n v="0"/>
    <n v="0"/>
    <n v="0"/>
    <n v="0"/>
    <n v="0"/>
    <n v="0"/>
    <n v="0"/>
  </r>
  <r>
    <x v="5"/>
    <x v="96"/>
    <s v="Disj. modulaire  IC60N tri. D Schneider"/>
    <s v="App ElectriqueDISJONCTEUR MODULAIRE TRIPHASE COURBE DDisj. modulaire  IC60N tri. D Schneider"/>
    <s v="80A"/>
    <n v="7"/>
    <s v="SCHA9N18387"/>
    <s v="Schneider"/>
    <m/>
    <n v="0"/>
    <m/>
    <m/>
    <m/>
    <m/>
    <m/>
    <m/>
    <n v="0"/>
    <m/>
    <m/>
    <m/>
    <m/>
    <n v="0"/>
    <n v="0"/>
    <n v="0"/>
    <n v="0"/>
    <n v="0"/>
    <n v="0"/>
    <n v="0"/>
  </r>
  <r>
    <x v="5"/>
    <x v="96"/>
    <m/>
    <s v="App ElectriqueDISJONCTEUR MODULAIRE TRIPHASE COURBE D"/>
    <m/>
    <n v="8"/>
    <m/>
    <m/>
    <m/>
    <n v="0"/>
    <m/>
    <m/>
    <m/>
    <m/>
    <m/>
    <m/>
    <n v="0"/>
    <m/>
    <m/>
    <m/>
    <m/>
    <n v="0"/>
    <n v="0"/>
    <n v="0"/>
    <n v="0"/>
    <n v="0"/>
    <n v="0"/>
    <n v="0"/>
  </r>
  <r>
    <x v="5"/>
    <x v="96"/>
    <s v="Disjoncteur Modulaire 3P Courbe D_4,5KA/6KA _6A"/>
    <s v="App ElectriqueDISJONCTEUR MODULAIRE TRIPHASE COURBE DDisjoncteur Modulaire 3P Courbe D_4,5KA/6KA _6A"/>
    <s v="Disjoncteur Modulaire 3P Courbe D_4,5KA/6KA _6A"/>
    <n v="9"/>
    <s v="SCHA9P32306"/>
    <s v="Schneider"/>
    <m/>
    <n v="0"/>
    <m/>
    <m/>
    <m/>
    <m/>
    <m/>
    <m/>
    <n v="0"/>
    <m/>
    <m/>
    <m/>
    <m/>
    <n v="0"/>
    <n v="0"/>
    <n v="0"/>
    <n v="0"/>
    <n v="0"/>
    <n v="0"/>
    <n v="0"/>
  </r>
  <r>
    <x v="5"/>
    <x v="96"/>
    <s v="Disjoncteur Modulaire 3P Courbe D_4,5KA/6KA _10A"/>
    <s v="App ElectriqueDISJONCTEUR MODULAIRE TRIPHASE COURBE DDisjoncteur Modulaire 3P Courbe D_4,5KA/6KA _10A"/>
    <s v="Disjoncteur Modulaire 3P Courbe D_4,5KA/6KA _10A"/>
    <n v="10"/>
    <s v="SCHA9P32310"/>
    <s v="Schneider"/>
    <m/>
    <n v="0"/>
    <m/>
    <m/>
    <m/>
    <m/>
    <m/>
    <m/>
    <n v="0"/>
    <m/>
    <m/>
    <m/>
    <m/>
    <n v="0"/>
    <n v="0"/>
    <n v="0"/>
    <n v="0"/>
    <n v="0"/>
    <n v="0"/>
    <n v="0"/>
  </r>
  <r>
    <x v="5"/>
    <x v="96"/>
    <s v="Disjoncteur Modulaire 3P Courbe D_4,5KA/6KA _16A"/>
    <s v="App ElectriqueDISJONCTEUR MODULAIRE TRIPHASE COURBE DDisjoncteur Modulaire 3P Courbe D_4,5KA/6KA _16A"/>
    <s v="Disjoncteur Modulaire 3P Courbe D_4,5KA/6KA _16A"/>
    <n v="11"/>
    <s v="SCHA9P32316"/>
    <s v="Schneider"/>
    <m/>
    <n v="0"/>
    <m/>
    <m/>
    <m/>
    <m/>
    <m/>
    <m/>
    <n v="0"/>
    <m/>
    <m/>
    <m/>
    <m/>
    <n v="0"/>
    <n v="0"/>
    <n v="0"/>
    <n v="0"/>
    <n v="0"/>
    <n v="0"/>
    <n v="0"/>
  </r>
  <r>
    <x v="5"/>
    <x v="96"/>
    <s v="Disjoncteur Modulaire 3P Courbe D_4,5KA/6KA _20A"/>
    <s v="App ElectriqueDISJONCTEUR MODULAIRE TRIPHASE COURBE DDisjoncteur Modulaire 3P Courbe D_4,5KA/6KA _20A"/>
    <s v="Disjoncteur Modulaire 3P Courbe D_4,5KA/6KA _20A"/>
    <n v="12"/>
    <s v="SCHA9P32320"/>
    <s v="Schneider"/>
    <m/>
    <n v="0"/>
    <m/>
    <m/>
    <m/>
    <m/>
    <m/>
    <m/>
    <n v="0"/>
    <m/>
    <m/>
    <m/>
    <m/>
    <n v="0"/>
    <n v="0"/>
    <n v="0"/>
    <n v="0"/>
    <n v="0"/>
    <n v="0"/>
    <n v="0"/>
  </r>
  <r>
    <x v="5"/>
    <x v="96"/>
    <s v="Disjoncteur Modulaire 3P Courbe D_4,5KA/6KA _25A"/>
    <s v="App ElectriqueDISJONCTEUR MODULAIRE TRIPHASE COURBE DDisjoncteur Modulaire 3P Courbe D_4,5KA/6KA _25A"/>
    <s v="Disjoncteur Modulaire 3P Courbe D_4,5KA/6KA _25A"/>
    <n v="13"/>
    <s v="SCHA9P32325"/>
    <s v="Schneider"/>
    <m/>
    <n v="0"/>
    <m/>
    <m/>
    <m/>
    <m/>
    <m/>
    <m/>
    <n v="0"/>
    <m/>
    <m/>
    <m/>
    <m/>
    <n v="0"/>
    <n v="0"/>
    <n v="0"/>
    <n v="0"/>
    <n v="0"/>
    <n v="0"/>
    <n v="0"/>
  </r>
  <r>
    <x v="5"/>
    <x v="96"/>
    <s v="Disjoncteur Modulaire 3P Courbe D_4,5KA/6KA _32A"/>
    <s v="App ElectriqueDISJONCTEUR MODULAIRE TRIPHASE COURBE DDisjoncteur Modulaire 3P Courbe D_4,5KA/6KA _32A"/>
    <s v="Disjoncteur Modulaire 3P Courbe D_4,5KA/6KA _32A"/>
    <n v="14"/>
    <s v="SCHA9P32332"/>
    <s v="Schneider"/>
    <m/>
    <n v="0"/>
    <m/>
    <m/>
    <m/>
    <m/>
    <m/>
    <m/>
    <n v="0"/>
    <m/>
    <m/>
    <m/>
    <m/>
    <n v="0"/>
    <n v="0"/>
    <n v="0"/>
    <n v="0"/>
    <n v="0"/>
    <n v="0"/>
    <n v="0"/>
  </r>
  <r>
    <x v="5"/>
    <x v="96"/>
    <s v="Disjoncteur Modulaire 3P Courbe D_4,5KA/6KA _40A"/>
    <s v="App ElectriqueDISJONCTEUR MODULAIRE TRIPHASE COURBE DDisjoncteur Modulaire 3P Courbe D_4,5KA/6KA _40A"/>
    <s v="Disjoncteur Modulaire 3P Courbe D_4,5KA/6KA _40A"/>
    <n v="15"/>
    <s v="SCHA9P32340"/>
    <s v="Schneider"/>
    <m/>
    <n v="0"/>
    <m/>
    <m/>
    <m/>
    <m/>
    <m/>
    <m/>
    <n v="0"/>
    <m/>
    <m/>
    <m/>
    <m/>
    <n v="0"/>
    <n v="0"/>
    <n v="0"/>
    <n v="0"/>
    <n v="0"/>
    <n v="0"/>
    <n v="0"/>
  </r>
  <r>
    <x v="5"/>
    <x v="96"/>
    <m/>
    <s v="App ElectriqueDISJONCTEUR MODULAIRE TRIPHASE COURBE D"/>
    <m/>
    <n v="16"/>
    <m/>
    <m/>
    <m/>
    <n v="0"/>
    <m/>
    <m/>
    <m/>
    <m/>
    <m/>
    <m/>
    <n v="0"/>
    <m/>
    <m/>
    <m/>
    <m/>
    <n v="0"/>
    <n v="0"/>
    <n v="0"/>
    <n v="0"/>
    <n v="0"/>
    <n v="0"/>
    <n v="0"/>
  </r>
  <r>
    <x v="5"/>
    <x v="96"/>
    <s v="Disjoncteur Modulaire 3P Courbe D_6KA/10KA _6A"/>
    <s v="App ElectriqueDISJONCTEUR MODULAIRE TRIPHASE COURBE DDisjoncteur Modulaire 3P Courbe D_6KA/10KA _6A"/>
    <s v="Disjoncteur Modulaire 3P Courbe D_6KA/10KA _6A"/>
    <n v="17"/>
    <s v="SCHA9P34306"/>
    <s v="Schneider"/>
    <m/>
    <n v="0"/>
    <m/>
    <m/>
    <m/>
    <m/>
    <m/>
    <m/>
    <n v="0"/>
    <m/>
    <m/>
    <m/>
    <m/>
    <n v="0"/>
    <n v="0"/>
    <n v="0"/>
    <n v="0"/>
    <n v="0"/>
    <n v="0"/>
    <n v="0"/>
  </r>
  <r>
    <x v="5"/>
    <x v="96"/>
    <s v="Disjoncteur Modulaire 3P Courbe D_6KA/10KA _10A"/>
    <s v="App ElectriqueDISJONCTEUR MODULAIRE TRIPHASE COURBE DDisjoncteur Modulaire 3P Courbe D_6KA/10KA _10A"/>
    <s v="Disjoncteur Modulaire 3P Courbe D_6KA/10KA _10A"/>
    <n v="18"/>
    <s v="SCHA9P34310"/>
    <s v="Schneider"/>
    <m/>
    <n v="0"/>
    <m/>
    <m/>
    <m/>
    <m/>
    <m/>
    <m/>
    <n v="0"/>
    <m/>
    <m/>
    <m/>
    <m/>
    <n v="0"/>
    <n v="0"/>
    <n v="0"/>
    <n v="0"/>
    <n v="0"/>
    <n v="0"/>
    <n v="0"/>
  </r>
  <r>
    <x v="5"/>
    <x v="96"/>
    <s v="Disjoncteur Modulaire 3P Courbe D_6KA/10KA _16A"/>
    <s v="App ElectriqueDISJONCTEUR MODULAIRE TRIPHASE COURBE DDisjoncteur Modulaire 3P Courbe D_6KA/10KA _16A"/>
    <s v="Disjoncteur Modulaire 3P Courbe D_6KA/10KA _16A"/>
    <n v="19"/>
    <s v="SCHA9P34316"/>
    <s v="Schneider"/>
    <m/>
    <n v="0"/>
    <m/>
    <m/>
    <m/>
    <m/>
    <m/>
    <m/>
    <n v="0"/>
    <m/>
    <m/>
    <m/>
    <m/>
    <n v="0"/>
    <n v="0"/>
    <n v="0"/>
    <n v="0"/>
    <n v="0"/>
    <n v="0"/>
    <n v="0"/>
  </r>
  <r>
    <x v="5"/>
    <x v="96"/>
    <s v="Disjoncteur Modulaire 3P Courbe D_6KA/10KA _20A"/>
    <s v="App ElectriqueDISJONCTEUR MODULAIRE TRIPHASE COURBE DDisjoncteur Modulaire 3P Courbe D_6KA/10KA _20A"/>
    <s v="Disjoncteur Modulaire 3P Courbe D_6KA/10KA _20A"/>
    <n v="20"/>
    <s v="SCHA9P34320"/>
    <s v="Schneider"/>
    <m/>
    <n v="0"/>
    <m/>
    <m/>
    <m/>
    <m/>
    <m/>
    <m/>
    <n v="0"/>
    <m/>
    <m/>
    <m/>
    <m/>
    <n v="0"/>
    <n v="0"/>
    <n v="0"/>
    <n v="0"/>
    <n v="0"/>
    <n v="0"/>
    <n v="0"/>
  </r>
  <r>
    <x v="5"/>
    <x v="96"/>
    <s v="Disjoncteur Modulaire 3P Courbe D_6KA/10KA _25A"/>
    <s v="App ElectriqueDISJONCTEUR MODULAIRE TRIPHASE COURBE DDisjoncteur Modulaire 3P Courbe D_6KA/10KA _25A"/>
    <s v="Disjoncteur Modulaire 3P Courbe D_6KA/10KA _25A"/>
    <n v="21"/>
    <s v="SCHA9P34325"/>
    <s v="Schneider"/>
    <m/>
    <n v="0"/>
    <m/>
    <m/>
    <m/>
    <m/>
    <m/>
    <m/>
    <n v="0"/>
    <m/>
    <m/>
    <m/>
    <m/>
    <n v="0"/>
    <n v="0"/>
    <n v="0"/>
    <n v="0"/>
    <n v="0"/>
    <n v="0"/>
    <n v="0"/>
  </r>
  <r>
    <x v="5"/>
    <x v="96"/>
    <s v="Disjoncteur Modulaire 3P Courbe D_6KA/10KA _32A"/>
    <s v="App ElectriqueDISJONCTEUR MODULAIRE TRIPHASE COURBE DDisjoncteur Modulaire 3P Courbe D_6KA/10KA _32A"/>
    <s v="Disjoncteur Modulaire 3P Courbe D_6KA/10KA _32A"/>
    <n v="22"/>
    <s v="SCHA9P34332"/>
    <s v="Schneider"/>
    <m/>
    <n v="0"/>
    <m/>
    <m/>
    <m/>
    <m/>
    <m/>
    <m/>
    <n v="0"/>
    <m/>
    <m/>
    <m/>
    <m/>
    <n v="0"/>
    <n v="0"/>
    <n v="0"/>
    <n v="0"/>
    <n v="0"/>
    <n v="0"/>
    <n v="0"/>
  </r>
  <r>
    <x v="5"/>
    <x v="96"/>
    <s v="Disjoncteur Modulaire 3P Courbe D_6KA/10KA _40A"/>
    <s v="App ElectriqueDISJONCTEUR MODULAIRE TRIPHASE COURBE DDisjoncteur Modulaire 3P Courbe D_6KA/10KA _40A"/>
    <s v="Disjoncteur Modulaire 3P Courbe D_6KA/10KA _40A"/>
    <n v="23"/>
    <s v="SCHA9P34332"/>
    <s v="Schneider"/>
    <m/>
    <n v="0"/>
    <m/>
    <m/>
    <m/>
    <m/>
    <m/>
    <m/>
    <n v="0"/>
    <m/>
    <m/>
    <m/>
    <m/>
    <n v="0"/>
    <n v="0"/>
    <n v="0"/>
    <n v="0"/>
    <n v="0"/>
    <n v="0"/>
    <n v="0"/>
  </r>
  <r>
    <x v="5"/>
    <x v="96"/>
    <m/>
    <s v="App ElectriqueDISJONCTEUR MODULAIRE TRIPHASE COURBE D"/>
    <m/>
    <n v="24"/>
    <m/>
    <m/>
    <m/>
    <n v="0"/>
    <m/>
    <m/>
    <m/>
    <m/>
    <m/>
    <m/>
    <n v="0"/>
    <m/>
    <m/>
    <m/>
    <m/>
    <n v="0"/>
    <n v="0"/>
    <n v="0"/>
    <n v="0"/>
    <n v="0"/>
    <n v="0"/>
    <n v="0"/>
  </r>
  <r>
    <x v="5"/>
    <x v="96"/>
    <s v="Disj. modulaire  tri. D legrand"/>
    <s v="App ElectriqueDISJONCTEUR MODULAIRE TRIPHASE COURBE DDisj. modulaire  tri. D legrand"/>
    <s v="Disjoncteur Legrand 2 Amp TYPE D 6 KA Triple Pole MCB  400 V"/>
    <n v="25"/>
    <s v="06646"/>
    <s v="Legrand"/>
    <m/>
    <n v="0"/>
    <m/>
    <m/>
    <m/>
    <m/>
    <m/>
    <m/>
    <n v="0"/>
    <m/>
    <m/>
    <m/>
    <m/>
    <n v="0"/>
    <n v="0"/>
    <n v="0"/>
    <n v="0"/>
    <n v="0"/>
    <n v="0"/>
    <n v="0"/>
  </r>
  <r>
    <x v="5"/>
    <x v="96"/>
    <s v="Disj. modulaire  tri. D legrand"/>
    <s v="App ElectriqueDISJONCTEUR MODULAIRE TRIPHASE COURBE DDisj. modulaire  tri. D legrand"/>
    <s v="Disjoncteur Legrand 6 Amp TYPE D 6 KA Triple Pole MCB  400 V"/>
    <n v="26"/>
    <s v="06649"/>
    <s v="Legrand"/>
    <m/>
    <n v="0"/>
    <m/>
    <m/>
    <m/>
    <m/>
    <m/>
    <m/>
    <n v="0"/>
    <m/>
    <m/>
    <m/>
    <m/>
    <n v="0"/>
    <n v="0"/>
    <n v="0"/>
    <n v="0"/>
    <n v="0"/>
    <n v="0"/>
    <n v="0"/>
  </r>
  <r>
    <x v="5"/>
    <x v="96"/>
    <s v="Disj. modulaire  tri. D legrand"/>
    <s v="App ElectriqueDISJONCTEUR MODULAIRE TRIPHASE COURBE DDisj. modulaire  tri. D legrand"/>
    <s v="Disjoncteur magnéto-thermique dx 6000 - lexic - 3p - 400 v~ - 16 A - 15 KA - Courbe d"/>
    <n v="27"/>
    <s v="06653"/>
    <s v="Legrand"/>
    <m/>
    <n v="0"/>
    <m/>
    <m/>
    <m/>
    <m/>
    <m/>
    <m/>
    <n v="0"/>
    <m/>
    <m/>
    <m/>
    <m/>
    <n v="0"/>
    <n v="0"/>
    <n v="0"/>
    <n v="0"/>
    <n v="0"/>
    <n v="0"/>
    <n v="0"/>
  </r>
  <r>
    <x v="5"/>
    <x v="96"/>
    <s v="Disj. modulaire  tri. D legrand"/>
    <s v="App ElectriqueDISJONCTEUR MODULAIRE TRIPHASE COURBE DDisj. modulaire  tri. D legrand"/>
    <s v="Disjoncteur magnéto-thermique dx 6000 - lexic - 3p - 400 v~ - 32 A - 15 ka - Courbe d"/>
    <n v="28"/>
    <s v="06656"/>
    <s v="Legrand"/>
    <m/>
    <n v="0"/>
    <m/>
    <m/>
    <m/>
    <m/>
    <m/>
    <m/>
    <n v="0"/>
    <m/>
    <m/>
    <m/>
    <m/>
    <n v="0"/>
    <n v="0"/>
    <n v="0"/>
    <n v="0"/>
    <n v="0"/>
    <n v="0"/>
    <n v="0"/>
  </r>
  <r>
    <x v="5"/>
    <x v="96"/>
    <s v="Disj. modulaire  tri. D legrand"/>
    <s v="App ElectriqueDISJONCTEUR MODULAIRE TRIPHASE COURBE DDisj. modulaire  tri. D legrand"/>
    <s v="Disjoncteur 3 Poles Triphasé D63 LEGRAND 63A"/>
    <n v="29"/>
    <s v="06659"/>
    <s v="Legrand"/>
    <m/>
    <n v="0"/>
    <m/>
    <m/>
    <m/>
    <m/>
    <m/>
    <m/>
    <n v="0"/>
    <m/>
    <m/>
    <m/>
    <m/>
    <n v="0"/>
    <n v="0"/>
    <n v="0"/>
    <n v="0"/>
    <n v="0"/>
    <n v="0"/>
    <n v="0"/>
  </r>
  <r>
    <x v="5"/>
    <x v="96"/>
    <s v="Disj. modulaire  tri. D legrand"/>
    <s v="App ElectriqueDISJONCTEUR MODULAIRE TRIPHASE COURBE DDisj. modulaire  tri. D legrand"/>
    <s v="Disjoncteur triphasé 125A Courbe D"/>
    <n v="30"/>
    <s v="06662"/>
    <s v="Legrand"/>
    <m/>
    <n v="0"/>
    <m/>
    <m/>
    <m/>
    <m/>
    <m/>
    <m/>
    <n v="0"/>
    <m/>
    <m/>
    <m/>
    <m/>
    <n v="0"/>
    <n v="0"/>
    <n v="0"/>
    <n v="0"/>
    <n v="0"/>
    <n v="0"/>
    <n v="0"/>
  </r>
  <r>
    <x v="5"/>
    <x v="97"/>
    <m/>
    <s v="App ElectriqueDISJONCTEUR MODULAIRE TRIPHASE COURBE C"/>
    <m/>
    <n v="0"/>
    <m/>
    <m/>
    <m/>
    <n v="0"/>
    <m/>
    <m/>
    <m/>
    <m/>
    <m/>
    <m/>
    <n v="0"/>
    <m/>
    <m/>
    <m/>
    <m/>
    <n v="0"/>
    <n v="0"/>
    <n v="0"/>
    <n v="0"/>
    <n v="0"/>
    <n v="0"/>
    <n v="0"/>
  </r>
  <r>
    <x v="5"/>
    <x v="97"/>
    <s v="Disjoncteur Modulaire 3P Courbe C_4,5KA/6KA _6A"/>
    <s v="App ElectriqueDISJONCTEUR MODULAIRE TRIPHASE COURBE CDisjoncteur Modulaire 3P Courbe C_4,5KA/6KA _6A"/>
    <s v="Disjoncteur Modulaire 3P Courbe C_4,5KA/6KA _6A"/>
    <n v="1"/>
    <s v="SCHA9P22306"/>
    <m/>
    <m/>
    <n v="0"/>
    <m/>
    <m/>
    <m/>
    <m/>
    <m/>
    <m/>
    <n v="0"/>
    <m/>
    <m/>
    <m/>
    <m/>
    <n v="0"/>
    <n v="0"/>
    <n v="0"/>
    <n v="0"/>
    <n v="0"/>
    <n v="0"/>
    <n v="0"/>
  </r>
  <r>
    <x v="5"/>
    <x v="97"/>
    <s v="Disjoncteur Modulaire 3P Courbe C_4,5KA/6KA _10A"/>
    <s v="App ElectriqueDISJONCTEUR MODULAIRE TRIPHASE COURBE CDisjoncteur Modulaire 3P Courbe C_4,5KA/6KA _10A"/>
    <s v="Disjoncteur Modulaire 3P Courbe C_4,5KA/6KA _10A"/>
    <n v="2"/>
    <s v="SCHA9P22310"/>
    <m/>
    <m/>
    <n v="0"/>
    <m/>
    <m/>
    <m/>
    <m/>
    <m/>
    <m/>
    <n v="0"/>
    <m/>
    <m/>
    <m/>
    <m/>
    <n v="0"/>
    <n v="0"/>
    <n v="0"/>
    <n v="0"/>
    <n v="0"/>
    <n v="0"/>
    <n v="0"/>
  </r>
  <r>
    <x v="5"/>
    <x v="97"/>
    <s v="Disjoncteur Modulaire 3P Courbe C_4,5KA/6KA _16A"/>
    <s v="App ElectriqueDISJONCTEUR MODULAIRE TRIPHASE COURBE CDisjoncteur Modulaire 3P Courbe C_4,5KA/6KA _16A"/>
    <s v="Disjoncteur Modulaire 3P Courbe C_4,5KA/6KA _16A"/>
    <n v="3"/>
    <s v="SCHA9P22316"/>
    <m/>
    <m/>
    <n v="0"/>
    <m/>
    <m/>
    <m/>
    <m/>
    <m/>
    <m/>
    <n v="0"/>
    <m/>
    <m/>
    <m/>
    <m/>
    <n v="0"/>
    <n v="0"/>
    <n v="0"/>
    <n v="0"/>
    <n v="0"/>
    <n v="0"/>
    <n v="0"/>
  </r>
  <r>
    <x v="5"/>
    <x v="97"/>
    <s v="Disjoncteur Modulaire 3P Courbe C_4,5KA/6KA _20A"/>
    <s v="App ElectriqueDISJONCTEUR MODULAIRE TRIPHASE COURBE CDisjoncteur Modulaire 3P Courbe C_4,5KA/6KA _20A"/>
    <s v="Disjoncteur Modulaire 3P Courbe C_4,5KA/6KA _20A"/>
    <n v="4"/>
    <s v="SCHA9P22320"/>
    <m/>
    <m/>
    <n v="0"/>
    <m/>
    <m/>
    <m/>
    <m/>
    <m/>
    <m/>
    <n v="0"/>
    <m/>
    <m/>
    <m/>
    <m/>
    <n v="0"/>
    <n v="0"/>
    <n v="0"/>
    <n v="0"/>
    <n v="0"/>
    <n v="0"/>
    <n v="0"/>
  </r>
  <r>
    <x v="5"/>
    <x v="97"/>
    <s v="Disjoncteur Modulaire 3P Courbe C_4,5KA/6KA _25A"/>
    <s v="App ElectriqueDISJONCTEUR MODULAIRE TRIPHASE COURBE CDisjoncteur Modulaire 3P Courbe C_4,5KA/6KA _25A"/>
    <s v="Disjoncteur Modulaire 3P Courbe C_4,5KA/6KA _25A"/>
    <n v="5"/>
    <s v="SCHA9P22325"/>
    <m/>
    <m/>
    <n v="0"/>
    <m/>
    <m/>
    <m/>
    <m/>
    <m/>
    <m/>
    <n v="0"/>
    <m/>
    <m/>
    <m/>
    <m/>
    <n v="0"/>
    <n v="0"/>
    <n v="0"/>
    <n v="0"/>
    <n v="0"/>
    <n v="0"/>
    <n v="0"/>
  </r>
  <r>
    <x v="5"/>
    <x v="97"/>
    <s v="Disjoncteur Modulaire 3P Courbe C_4,5KA/6KA _32A"/>
    <s v="App ElectriqueDISJONCTEUR MODULAIRE TRIPHASE COURBE CDisjoncteur Modulaire 3P Courbe C_4,5KA/6KA _32A"/>
    <s v="Disjoncteur Modulaire 3P Courbe C_4,5KA/6KA _32A"/>
    <n v="6"/>
    <s v="SCHA9P22332"/>
    <m/>
    <m/>
    <n v="0"/>
    <m/>
    <m/>
    <m/>
    <m/>
    <m/>
    <m/>
    <n v="0"/>
    <m/>
    <m/>
    <m/>
    <m/>
    <n v="0"/>
    <n v="0"/>
    <n v="0"/>
    <n v="0"/>
    <n v="0"/>
    <n v="0"/>
    <n v="0"/>
  </r>
  <r>
    <x v="5"/>
    <x v="97"/>
    <s v="Disjoncteur Modulaire 3P Courbe C_4,5KA/6KA _40A"/>
    <s v="App ElectriqueDISJONCTEUR MODULAIRE TRIPHASE COURBE CDisjoncteur Modulaire 3P Courbe C_4,5KA/6KA _40A"/>
    <s v="Disjoncteur Modulaire 3P Courbe C_4,5KA/6KA _40A"/>
    <n v="7"/>
    <s v="SCHA9P22340"/>
    <m/>
    <m/>
    <n v="0"/>
    <m/>
    <m/>
    <m/>
    <m/>
    <m/>
    <m/>
    <n v="0"/>
    <m/>
    <m/>
    <m/>
    <m/>
    <n v="0"/>
    <n v="0"/>
    <n v="0"/>
    <n v="0"/>
    <n v="0"/>
    <n v="0"/>
    <n v="0"/>
  </r>
  <r>
    <x v="5"/>
    <x v="97"/>
    <m/>
    <s v="App ElectriqueDISJONCTEUR MODULAIRE TRIPHASE COURBE C"/>
    <m/>
    <n v="8"/>
    <m/>
    <m/>
    <m/>
    <n v="0"/>
    <m/>
    <m/>
    <m/>
    <m/>
    <m/>
    <m/>
    <n v="0"/>
    <m/>
    <m/>
    <m/>
    <m/>
    <n v="0"/>
    <n v="0"/>
    <n v="0"/>
    <n v="0"/>
    <n v="0"/>
    <n v="0"/>
    <n v="0"/>
  </r>
  <r>
    <x v="5"/>
    <x v="97"/>
    <s v="Disjoncteur Modulaire 3P Courbe C_6KA/10KA _6A"/>
    <s v="App ElectriqueDISJONCTEUR MODULAIRE TRIPHASE COURBE CDisjoncteur Modulaire 3P Courbe C_6KA/10KA _6A"/>
    <s v="Disjoncteur Modulaire 3P Courbe C_6KA/10KA _6A"/>
    <n v="9"/>
    <s v="SCHA9P24306"/>
    <m/>
    <m/>
    <n v="0"/>
    <m/>
    <m/>
    <m/>
    <m/>
    <m/>
    <m/>
    <n v="0"/>
    <m/>
    <m/>
    <m/>
    <m/>
    <n v="0"/>
    <n v="0"/>
    <n v="0"/>
    <n v="0"/>
    <n v="0"/>
    <n v="0"/>
    <n v="0"/>
  </r>
  <r>
    <x v="5"/>
    <x v="97"/>
    <s v="Disjoncteur Modulaire 3P Courbe C_6KA/10KA _10A"/>
    <s v="App ElectriqueDISJONCTEUR MODULAIRE TRIPHASE COURBE CDisjoncteur Modulaire 3P Courbe C_6KA/10KA _10A"/>
    <s v="Disjoncteur Modulaire 3P Courbe C_6KA/10KA _10A"/>
    <n v="10"/>
    <s v="SCHA9P24310"/>
    <m/>
    <m/>
    <n v="0"/>
    <m/>
    <m/>
    <m/>
    <m/>
    <m/>
    <m/>
    <n v="0"/>
    <m/>
    <m/>
    <m/>
    <m/>
    <n v="0"/>
    <n v="0"/>
    <n v="0"/>
    <n v="0"/>
    <n v="0"/>
    <n v="0"/>
    <n v="0"/>
  </r>
  <r>
    <x v="5"/>
    <x v="97"/>
    <s v="Disjoncteur Modulaire 3P Courbe C_6KA/10KA _16A"/>
    <s v="App ElectriqueDISJONCTEUR MODULAIRE TRIPHASE COURBE CDisjoncteur Modulaire 3P Courbe C_6KA/10KA _16A"/>
    <s v="Disjoncteur Modulaire 3P Courbe C_6KA/10KA _16A"/>
    <n v="11"/>
    <s v="SCHA9P24316"/>
    <m/>
    <m/>
    <n v="0"/>
    <m/>
    <m/>
    <m/>
    <m/>
    <m/>
    <m/>
    <n v="0"/>
    <m/>
    <m/>
    <m/>
    <m/>
    <n v="0"/>
    <n v="0"/>
    <n v="0"/>
    <n v="0"/>
    <n v="0"/>
    <n v="0"/>
    <n v="0"/>
  </r>
  <r>
    <x v="5"/>
    <x v="97"/>
    <s v="Disjoncteur Modulaire 3P Courbe C_6KA/10KA _20A"/>
    <s v="App ElectriqueDISJONCTEUR MODULAIRE TRIPHASE COURBE CDisjoncteur Modulaire 3P Courbe C_6KA/10KA _20A"/>
    <s v="Disjoncteur Modulaire 3P Courbe C_6KA/10KA _20A"/>
    <n v="12"/>
    <s v="SCHA9P24320"/>
    <m/>
    <m/>
    <n v="0"/>
    <m/>
    <m/>
    <m/>
    <m/>
    <m/>
    <m/>
    <n v="0"/>
    <m/>
    <m/>
    <m/>
    <m/>
    <n v="0"/>
    <n v="0"/>
    <n v="0"/>
    <n v="0"/>
    <n v="0"/>
    <n v="0"/>
    <n v="0"/>
  </r>
  <r>
    <x v="5"/>
    <x v="97"/>
    <s v="Disjoncteur Modulaire 3P Courbe C_6KA/10KA _25A"/>
    <s v="App ElectriqueDISJONCTEUR MODULAIRE TRIPHASE COURBE CDisjoncteur Modulaire 3P Courbe C_6KA/10KA _25A"/>
    <s v="Disjoncteur Modulaire 3P Courbe C_6KA/10KA _25A"/>
    <n v="13"/>
    <s v="SCHA9P24325"/>
    <m/>
    <m/>
    <n v="0"/>
    <m/>
    <m/>
    <m/>
    <m/>
    <m/>
    <m/>
    <n v="0"/>
    <m/>
    <m/>
    <m/>
    <m/>
    <n v="0"/>
    <n v="0"/>
    <n v="0"/>
    <n v="0"/>
    <n v="0"/>
    <n v="0"/>
    <n v="0"/>
  </r>
  <r>
    <x v="5"/>
    <x v="97"/>
    <s v="Disjoncteur Modulaire 3P Courbe C_6KA/10KA _32A"/>
    <s v="App ElectriqueDISJONCTEUR MODULAIRE TRIPHASE COURBE CDisjoncteur Modulaire 3P Courbe C_6KA/10KA _32A"/>
    <s v="Disjoncteur Modulaire 3P Courbe C_6KA/10KA _32A"/>
    <n v="14"/>
    <s v="SCHA9P24332"/>
    <m/>
    <m/>
    <n v="0"/>
    <m/>
    <m/>
    <m/>
    <m/>
    <m/>
    <m/>
    <n v="0"/>
    <m/>
    <m/>
    <m/>
    <m/>
    <n v="0"/>
    <n v="0"/>
    <n v="0"/>
    <n v="0"/>
    <n v="0"/>
    <n v="0"/>
    <n v="0"/>
  </r>
  <r>
    <x v="5"/>
    <x v="97"/>
    <s v="Disjoncteur Modulaire 3P Courbe C_6KA/10KA _40A"/>
    <s v="App ElectriqueDISJONCTEUR MODULAIRE TRIPHASE COURBE CDisjoncteur Modulaire 3P Courbe C_6KA/10KA _40A"/>
    <s v="Disjoncteur Modulaire 3P Courbe C_6KA/10KA _40A"/>
    <n v="15"/>
    <s v="SCHA9P24340"/>
    <m/>
    <m/>
    <n v="0"/>
    <m/>
    <m/>
    <m/>
    <m/>
    <m/>
    <m/>
    <n v="0"/>
    <m/>
    <m/>
    <m/>
    <m/>
    <n v="0"/>
    <n v="0"/>
    <n v="0"/>
    <n v="0"/>
    <n v="0"/>
    <n v="0"/>
    <n v="0"/>
  </r>
  <r>
    <x v="5"/>
    <x v="97"/>
    <s v="Disj. modulaire  tri. D legrand"/>
    <s v="App ElectriqueDISJONCTEUR MODULAIRE TRIPHASE COURBE CDisj. modulaire  tri. D legrand"/>
    <m/>
    <n v="16"/>
    <m/>
    <m/>
    <m/>
    <n v="0"/>
    <m/>
    <m/>
    <m/>
    <m/>
    <m/>
    <m/>
    <n v="0"/>
    <m/>
    <m/>
    <m/>
    <m/>
    <n v="0"/>
    <n v="0"/>
    <n v="0"/>
    <n v="0"/>
    <n v="0"/>
    <n v="0"/>
    <n v="0"/>
  </r>
  <r>
    <x v="5"/>
    <x v="97"/>
    <s v="Disj. modulaire  tri. D legrand"/>
    <s v="App ElectriqueDISJONCTEUR MODULAIRE TRIPHASE COURBE CDisj. modulaire  tri. D legrand"/>
    <s v="Disjoncteur 3 Poles Triphasé D63 LEGRAND 63A"/>
    <n v="17"/>
    <s v="06659"/>
    <m/>
    <m/>
    <n v="0"/>
    <m/>
    <m/>
    <m/>
    <m/>
    <m/>
    <m/>
    <n v="0"/>
    <m/>
    <m/>
    <m/>
    <m/>
    <n v="0"/>
    <n v="0"/>
    <n v="0"/>
    <n v="0"/>
    <n v="0"/>
    <n v="0"/>
    <n v="0"/>
  </r>
  <r>
    <x v="5"/>
    <x v="97"/>
    <s v="Disj. modulaire  tri. D legrand"/>
    <s v="App ElectriqueDISJONCTEUR MODULAIRE TRIPHASE COURBE CDisj. modulaire  tri. D legrand"/>
    <s v="Disjoncteur triphasé 125A Courbe D"/>
    <n v="18"/>
    <s v="06662"/>
    <m/>
    <m/>
    <n v="0"/>
    <m/>
    <m/>
    <m/>
    <m/>
    <m/>
    <m/>
    <n v="0"/>
    <m/>
    <m/>
    <m/>
    <m/>
    <n v="0"/>
    <n v="0"/>
    <n v="0"/>
    <n v="0"/>
    <n v="0"/>
    <n v="0"/>
    <n v="0"/>
  </r>
  <r>
    <x v="5"/>
    <x v="97"/>
    <m/>
    <s v="App ElectriqueDISJONCTEUR MODULAIRE TRIPHASE COURBE C"/>
    <m/>
    <n v="19"/>
    <m/>
    <m/>
    <m/>
    <n v="0"/>
    <m/>
    <m/>
    <m/>
    <m/>
    <m/>
    <m/>
    <n v="0"/>
    <m/>
    <m/>
    <m/>
    <m/>
    <n v="0"/>
    <n v="0"/>
    <n v="0"/>
    <n v="0"/>
    <n v="0"/>
    <n v="0"/>
    <n v="0"/>
  </r>
  <r>
    <x v="5"/>
    <x v="98"/>
    <m/>
    <s v="App ElectriqueDISJONCTEUR MODULAIRE BIPOLAIRE "/>
    <m/>
    <n v="0"/>
    <m/>
    <m/>
    <m/>
    <n v="0"/>
    <m/>
    <m/>
    <m/>
    <m/>
    <m/>
    <m/>
    <n v="0"/>
    <m/>
    <m/>
    <m/>
    <m/>
    <n v="0"/>
    <n v="0"/>
    <n v="0"/>
    <n v="0"/>
    <n v="0"/>
    <n v="0"/>
    <n v="0"/>
  </r>
  <r>
    <x v="5"/>
    <x v="99"/>
    <s v="Disj. Modulaire IC60N  bipolaires schneider"/>
    <s v="App ElectriqueDisj. Modulaire IC60N  bipolaires schneiderDisj. Modulaire IC60N  bipolaires schneider"/>
    <s v="Acti9  IC60N disjoncteur 2P 2A Courbe C"/>
    <n v="1"/>
    <s v="SCHA9F75202"/>
    <s v="Schneider"/>
    <s v="SCHA9F75202"/>
    <n v="0"/>
    <m/>
    <m/>
    <m/>
    <m/>
    <m/>
    <m/>
    <n v="0"/>
    <m/>
    <m/>
    <m/>
    <m/>
    <n v="0"/>
    <n v="0"/>
    <n v="0"/>
    <n v="0"/>
    <n v="0"/>
    <n v="0"/>
    <n v="0"/>
  </r>
  <r>
    <x v="5"/>
    <x v="99"/>
    <s v="Disj. Modulaire IC60N  bipolaires schneider"/>
    <s v="App ElectriqueDisj. Modulaire IC60N  bipolaires schneiderDisj. Modulaire IC60N  bipolaires schneider"/>
    <s v="Acti9  IC60N disjoncteur 2P 6A Courbe C"/>
    <n v="2"/>
    <s v="SCHA9F77206"/>
    <s v="Schneider"/>
    <s v="SCHA9F77206"/>
    <n v="0"/>
    <m/>
    <m/>
    <m/>
    <m/>
    <m/>
    <m/>
    <n v="0"/>
    <m/>
    <m/>
    <m/>
    <m/>
    <n v="0"/>
    <n v="0"/>
    <n v="0"/>
    <n v="0"/>
    <n v="0"/>
    <n v="0"/>
    <n v="0"/>
  </r>
  <r>
    <x v="5"/>
    <x v="100"/>
    <s v="Disj. modulaire  bipolaires C legrand"/>
    <s v="App ElectriqueDisj. modulaire  bipolaires C legrandDisj. modulaire  bipolaires C legrand"/>
    <s v="Disjoncteur DX 6000 10Ka 6A Courbe C"/>
    <n v="3"/>
    <s v="06464"/>
    <s v="Legrand"/>
    <s v="006464"/>
    <n v="0"/>
    <m/>
    <m/>
    <m/>
    <m/>
    <m/>
    <m/>
    <n v="0"/>
    <m/>
    <m/>
    <m/>
    <m/>
    <n v="0"/>
    <n v="0"/>
    <n v="0"/>
    <n v="0"/>
    <n v="0"/>
    <n v="0"/>
    <n v="0"/>
  </r>
  <r>
    <x v="5"/>
    <x v="101"/>
    <m/>
    <s v="App ElectriqueDISJONCTEUR ACTI9 NG125N"/>
    <m/>
    <n v="0"/>
    <m/>
    <m/>
    <m/>
    <n v="0"/>
    <m/>
    <m/>
    <m/>
    <m/>
    <m/>
    <m/>
    <n v="0"/>
    <m/>
    <m/>
    <m/>
    <m/>
    <n v="0"/>
    <n v="0"/>
    <n v="0"/>
    <n v="0"/>
    <n v="0"/>
    <n v="0"/>
    <n v="0"/>
  </r>
  <r>
    <x v="5"/>
    <x v="101"/>
    <s v="Disjoncteur Acti9 NG125N-3P Courbe C 25KA /400V_10A"/>
    <s v="App ElectriqueDISJONCTEUR ACTI9 NG125NDisjoncteur Acti9 NG125N-3P Courbe C 25KA /400V_10A"/>
    <s v="Disjoncteur Acti9 NG125N-3P Courbe C 25KA /400V_10A"/>
    <n v="1"/>
    <s v="SCH18632"/>
    <s v="Schneider"/>
    <m/>
    <n v="0"/>
    <m/>
    <m/>
    <m/>
    <m/>
    <m/>
    <m/>
    <n v="0"/>
    <m/>
    <m/>
    <m/>
    <m/>
    <n v="0"/>
    <n v="0"/>
    <n v="0"/>
    <n v="0"/>
    <n v="0"/>
    <n v="0"/>
    <n v="0"/>
  </r>
  <r>
    <x v="5"/>
    <x v="101"/>
    <s v="Disjoncteur Acti9 NG125N-3P Courbe C 25KA /400V_16A"/>
    <s v="App ElectriqueDISJONCTEUR ACTI9 NG125NDisjoncteur Acti9 NG125N-3P Courbe C 25KA /400V_16A"/>
    <s v="Disjoncteur Acti9 NG125N-3P Courbe C 25KA /400V_16A"/>
    <n v="2"/>
    <s v="SCH18633"/>
    <s v="Schneider"/>
    <m/>
    <n v="0"/>
    <m/>
    <m/>
    <m/>
    <m/>
    <m/>
    <m/>
    <n v="0"/>
    <m/>
    <m/>
    <m/>
    <m/>
    <n v="0"/>
    <n v="0"/>
    <n v="0"/>
    <n v="0"/>
    <n v="0"/>
    <n v="0"/>
    <n v="0"/>
  </r>
  <r>
    <x v="5"/>
    <x v="101"/>
    <s v="Disjoncteur Acti9 NG125N-3P Courbe C 25KA /400V_20A"/>
    <s v="App ElectriqueDISJONCTEUR ACTI9 NG125NDisjoncteur Acti9 NG125N-3P Courbe C 25KA /400V_20A"/>
    <s v="Disjoncteur Acti9 NG125N-3P Courbe C 25KA /400V_20A"/>
    <n v="3"/>
    <s v="SCH18634"/>
    <s v="Schneider"/>
    <m/>
    <n v="0"/>
    <m/>
    <m/>
    <m/>
    <m/>
    <m/>
    <m/>
    <n v="0"/>
    <m/>
    <m/>
    <m/>
    <m/>
    <n v="0"/>
    <n v="0"/>
    <n v="0"/>
    <n v="0"/>
    <n v="0"/>
    <n v="0"/>
    <n v="0"/>
  </r>
  <r>
    <x v="5"/>
    <x v="101"/>
    <s v="Disjoncteur Acti9 NG125N-3P Courbe C 25KA /400V_25A"/>
    <s v="App ElectriqueDISJONCTEUR ACTI9 NG125NDisjoncteur Acti9 NG125N-3P Courbe C 25KA /400V_25A"/>
    <s v="Disjoncteur Acti9 NG125N-3P Courbe C 25KA /400V_25A"/>
    <n v="4"/>
    <s v="SCH18635"/>
    <s v="Schneider"/>
    <m/>
    <n v="0"/>
    <m/>
    <m/>
    <m/>
    <m/>
    <m/>
    <m/>
    <n v="0"/>
    <m/>
    <m/>
    <m/>
    <m/>
    <n v="0"/>
    <n v="0"/>
    <n v="0"/>
    <n v="0"/>
    <n v="0"/>
    <n v="0"/>
    <n v="0"/>
  </r>
  <r>
    <x v="5"/>
    <x v="101"/>
    <s v="Disjoncteur Acti9 NG125N-3P Courbe C 25KA /400V_32A"/>
    <s v="App ElectriqueDISJONCTEUR ACTI9 NG125NDisjoncteur Acti9 NG125N-3P Courbe C 25KA /400V_32A"/>
    <s v="Disjoncteur Acti9 NG125N-3P Courbe C 25KA /400V_32A"/>
    <n v="5"/>
    <s v="SCH18636"/>
    <s v="Schneider"/>
    <m/>
    <n v="0"/>
    <m/>
    <m/>
    <m/>
    <m/>
    <m/>
    <m/>
    <n v="0"/>
    <m/>
    <m/>
    <m/>
    <m/>
    <n v="0"/>
    <n v="0"/>
    <n v="0"/>
    <n v="0"/>
    <n v="0"/>
    <n v="0"/>
    <n v="0"/>
  </r>
  <r>
    <x v="5"/>
    <x v="101"/>
    <s v="Disjoncteur Acti9 NG125N-3P Courbe C 25KA /400V_40A"/>
    <s v="App ElectriqueDISJONCTEUR ACTI9 NG125NDisjoncteur Acti9 NG125N-3P Courbe C 25KA /400V_40A"/>
    <s v="Disjoncteur Acti9 NG125N-3P Courbe C 25KA /400V_40A"/>
    <n v="6"/>
    <s v="SCH18637"/>
    <s v="Schneider"/>
    <m/>
    <n v="0"/>
    <m/>
    <m/>
    <m/>
    <m/>
    <m/>
    <m/>
    <n v="0"/>
    <m/>
    <m/>
    <m/>
    <m/>
    <n v="0"/>
    <n v="0"/>
    <n v="0"/>
    <n v="0"/>
    <n v="0"/>
    <n v="0"/>
    <n v="0"/>
  </r>
  <r>
    <x v="5"/>
    <x v="101"/>
    <s v="Disjoncteur Acti9 NG125N-3P Courbe C 25KA /400V_50A"/>
    <s v="App ElectriqueDISJONCTEUR ACTI9 NG125NDisjoncteur Acti9 NG125N-3P Courbe C 25KA /400V_50A"/>
    <s v="Disjoncteur Acti9 NG125N-3P Courbe C 25KA /400V_50A"/>
    <n v="7"/>
    <s v="SCH18638"/>
    <s v="Schneider"/>
    <m/>
    <n v="0"/>
    <m/>
    <m/>
    <m/>
    <m/>
    <m/>
    <m/>
    <n v="0"/>
    <m/>
    <m/>
    <m/>
    <m/>
    <n v="0"/>
    <n v="0"/>
    <n v="0"/>
    <n v="0"/>
    <n v="0"/>
    <n v="0"/>
    <n v="0"/>
  </r>
  <r>
    <x v="5"/>
    <x v="101"/>
    <s v="Disjoncteur Acti9 NG125N-3P Courbe C 25KA /400V_63A"/>
    <s v="App ElectriqueDISJONCTEUR ACTI9 NG125NDisjoncteur Acti9 NG125N-3P Courbe C 25KA /400V_63A"/>
    <s v="Disjoncteur Acti9 NG125N-3P Courbe C 25KA /400V_63A"/>
    <n v="8"/>
    <s v="SCH18639"/>
    <s v="Schneider"/>
    <m/>
    <n v="0"/>
    <m/>
    <m/>
    <m/>
    <m/>
    <m/>
    <m/>
    <n v="0"/>
    <m/>
    <m/>
    <m/>
    <m/>
    <n v="0"/>
    <n v="0"/>
    <n v="0"/>
    <n v="0"/>
    <n v="0"/>
    <n v="0"/>
    <n v="0"/>
  </r>
  <r>
    <x v="5"/>
    <x v="101"/>
    <s v="Disjoncteur Acti9 NG125N-3P Courbe C 25KA /400V_80A"/>
    <s v="App ElectriqueDISJONCTEUR ACTI9 NG125NDisjoncteur Acti9 NG125N-3P Courbe C 25KA /400V_80A"/>
    <s v="Disjoncteur Acti9 NG125N-3P Courbe C 25KA /400V_80A"/>
    <n v="9"/>
    <s v="SCH18641"/>
    <s v="Schneider"/>
    <m/>
    <n v="0"/>
    <m/>
    <m/>
    <m/>
    <m/>
    <m/>
    <m/>
    <n v="0"/>
    <m/>
    <m/>
    <m/>
    <m/>
    <n v="0"/>
    <n v="0"/>
    <n v="0"/>
    <n v="0"/>
    <n v="0"/>
    <n v="0"/>
    <n v="0"/>
  </r>
  <r>
    <x v="5"/>
    <x v="101"/>
    <s v="Disjoncteur Acti9 NG125N-3P Courbe C 25KA /400V_100A"/>
    <s v="App ElectriqueDISJONCTEUR ACTI9 NG125NDisjoncteur Acti9 NG125N-3P Courbe C 25KA /400V_100A"/>
    <s v="Disjoncteur Acti9 NG125N-3P Courbe C 25KA /400V_100A"/>
    <n v="10"/>
    <s v="SCH18643"/>
    <s v="Schneider"/>
    <m/>
    <n v="0"/>
    <m/>
    <m/>
    <m/>
    <m/>
    <m/>
    <m/>
    <n v="0"/>
    <m/>
    <m/>
    <m/>
    <m/>
    <n v="0"/>
    <n v="0"/>
    <n v="0"/>
    <n v="0"/>
    <n v="0"/>
    <n v="0"/>
    <n v="0"/>
  </r>
  <r>
    <x v="5"/>
    <x v="101"/>
    <s v="Disjoncteur Acti9 NG125N-3P Courbe C 25KA /400V_125A"/>
    <s v="App ElectriqueDISJONCTEUR ACTI9 NG125NDisjoncteur Acti9 NG125N-3P Courbe C 25KA /400V_125A"/>
    <s v="Disjoncteur Acti9 NG125N-3P Courbe C 25KA /400V_125A"/>
    <n v="11"/>
    <s v="SCH18645"/>
    <s v="Schneider"/>
    <m/>
    <n v="0"/>
    <m/>
    <m/>
    <m/>
    <m/>
    <m/>
    <m/>
    <n v="0"/>
    <m/>
    <m/>
    <m/>
    <m/>
    <n v="0"/>
    <n v="0"/>
    <n v="0"/>
    <n v="0"/>
    <n v="0"/>
    <n v="0"/>
    <n v="0"/>
  </r>
  <r>
    <x v="5"/>
    <x v="101"/>
    <m/>
    <s v="App ElectriqueDISJONCTEUR ACTI9 NG125N"/>
    <m/>
    <n v="12"/>
    <m/>
    <m/>
    <m/>
    <n v="0"/>
    <m/>
    <m/>
    <m/>
    <m/>
    <m/>
    <m/>
    <n v="0"/>
    <m/>
    <m/>
    <m/>
    <m/>
    <n v="0"/>
    <n v="0"/>
    <n v="0"/>
    <n v="0"/>
    <n v="0"/>
    <n v="0"/>
    <n v="0"/>
  </r>
  <r>
    <x v="5"/>
    <x v="101"/>
    <s v="Disjoncteur Acti9 NG125N-3P Courbe D 25KA /400V_80A"/>
    <s v="App ElectriqueDISJONCTEUR ACTI9 NG125NDisjoncteur Acti9 NG125N-3P Courbe D 25KA /400V_80A"/>
    <s v="Disjoncteur Acti9 NG125N-3P Courbe D 25KA /400V_80A"/>
    <n v="13"/>
    <s v="SCH18669"/>
    <s v="Schneider"/>
    <m/>
    <n v="0"/>
    <m/>
    <m/>
    <m/>
    <m/>
    <m/>
    <m/>
    <n v="0"/>
    <m/>
    <m/>
    <m/>
    <m/>
    <n v="0"/>
    <n v="0"/>
    <n v="0"/>
    <n v="0"/>
    <n v="0"/>
    <n v="0"/>
    <n v="0"/>
  </r>
  <r>
    <x v="5"/>
    <x v="101"/>
    <s v="Disjoncteur Acti9 NG125N-3P Courbe D 25KA /400V_100A"/>
    <s v="App ElectriqueDISJONCTEUR ACTI9 NG125NDisjoncteur Acti9 NG125N-3P Courbe D 25KA /400V_100A"/>
    <s v="Disjoncteur Acti9 NG125N-3P Courbe D 25KA /400V_100A"/>
    <n v="14"/>
    <s v="SCH18670"/>
    <s v="Schneider"/>
    <m/>
    <n v="0"/>
    <m/>
    <m/>
    <m/>
    <m/>
    <m/>
    <m/>
    <n v="0"/>
    <m/>
    <m/>
    <m/>
    <m/>
    <n v="0"/>
    <n v="0"/>
    <n v="0"/>
    <n v="0"/>
    <n v="0"/>
    <n v="0"/>
    <n v="0"/>
  </r>
  <r>
    <x v="5"/>
    <x v="101"/>
    <s v="Disjoncteur Acti9 NG125N-3P Courbe D 25KA /400V_125A"/>
    <s v="App ElectriqueDISJONCTEUR ACTI9 NG125NDisjoncteur Acti9 NG125N-3P Courbe D 25KA /400V_125A"/>
    <s v="Disjoncteur Acti9 NG125N-3P Courbe D 25KA /400V_125A"/>
    <n v="15"/>
    <s v="SCH18671"/>
    <s v="Schneider"/>
    <m/>
    <n v="0"/>
    <m/>
    <m/>
    <m/>
    <m/>
    <m/>
    <m/>
    <n v="0"/>
    <m/>
    <m/>
    <m/>
    <m/>
    <n v="0"/>
    <n v="0"/>
    <n v="0"/>
    <n v="0"/>
    <n v="0"/>
    <n v="0"/>
    <n v="0"/>
  </r>
  <r>
    <x v="5"/>
    <x v="102"/>
    <m/>
    <s v="App ElectriqueDISJONCTEUR COMPACT"/>
    <m/>
    <n v="0"/>
    <m/>
    <m/>
    <m/>
    <n v="0"/>
    <m/>
    <m/>
    <m/>
    <m/>
    <m/>
    <m/>
    <n v="0"/>
    <m/>
    <m/>
    <m/>
    <m/>
    <n v="0"/>
    <n v="0"/>
    <n v="0"/>
    <n v="0"/>
    <n v="0"/>
    <n v="0"/>
    <n v="0"/>
  </r>
  <r>
    <x v="5"/>
    <x v="102"/>
    <s v="Disjoncteur Compact NSX 100F + déclencheur micrologic2,2 100A"/>
    <s v="App ElectriqueDISJONCTEUR COMPACTDisjoncteur Compact NSX 100F + déclencheur micrologic2,2 100A"/>
    <s v="Disjoncteur Compact NSX 100F + déclencheur micrologic2,2 100A"/>
    <n v="1"/>
    <s v="SCHLV429770"/>
    <s v="Schneider"/>
    <m/>
    <n v="0"/>
    <m/>
    <m/>
    <m/>
    <m/>
    <m/>
    <m/>
    <n v="0"/>
    <m/>
    <m/>
    <m/>
    <m/>
    <n v="0"/>
    <n v="0"/>
    <n v="0"/>
    <n v="0"/>
    <n v="0"/>
    <n v="0"/>
    <n v="0"/>
  </r>
  <r>
    <x v="5"/>
    <x v="102"/>
    <s v="Disjoncteur Compact NSX 160F + déclencheur micrologic 2,2 160A"/>
    <s v="App ElectriqueDISJONCTEUR COMPACTDisjoncteur Compact NSX 160F + déclencheur micrologic 2,2 160A"/>
    <s v="Disjoncteur Compact NSX 160F + déclencheur micrologic 2,2 160A"/>
    <n v="2"/>
    <s v="SCHLV430770"/>
    <s v="Schneider"/>
    <m/>
    <n v="0"/>
    <m/>
    <m/>
    <m/>
    <m/>
    <m/>
    <m/>
    <n v="0"/>
    <m/>
    <m/>
    <m/>
    <m/>
    <n v="0"/>
    <n v="0"/>
    <n v="0"/>
    <n v="0"/>
    <n v="0"/>
    <n v="0"/>
    <n v="0"/>
  </r>
  <r>
    <x v="5"/>
    <x v="102"/>
    <m/>
    <s v="App ElectriqueDISJONCTEUR COMPACT"/>
    <m/>
    <n v="3"/>
    <m/>
    <m/>
    <m/>
    <n v="0"/>
    <m/>
    <m/>
    <m/>
    <m/>
    <m/>
    <m/>
    <n v="0"/>
    <m/>
    <m/>
    <m/>
    <m/>
    <n v="0"/>
    <n v="0"/>
    <n v="0"/>
    <n v="0"/>
    <n v="0"/>
    <n v="0"/>
    <n v="0"/>
  </r>
  <r>
    <x v="5"/>
    <x v="102"/>
    <s v="Disjoncteur Compact NSX250F + déclencheur magnéto-termique 250A"/>
    <s v="App ElectriqueDISJONCTEUR COMPACTDisjoncteur Compact NSX250F + déclencheur magnéto-termique 250A"/>
    <s v="Disjoncteur Compact NSX250F + déclencheur magnéto-termique 250A"/>
    <n v="4"/>
    <s v="SCHLV431630"/>
    <s v="Schneider"/>
    <m/>
    <n v="0"/>
    <m/>
    <m/>
    <m/>
    <m/>
    <m/>
    <m/>
    <n v="0"/>
    <m/>
    <m/>
    <m/>
    <m/>
    <n v="0"/>
    <n v="0"/>
    <n v="0"/>
    <n v="0"/>
    <n v="0"/>
    <n v="0"/>
    <n v="0"/>
  </r>
  <r>
    <x v="5"/>
    <x v="102"/>
    <s v="Disjoncteur Compact NSX400F + déclencheur micrologic2,3- 400A"/>
    <s v="App ElectriqueDISJONCTEUR COMPACTDisjoncteur Compact NSX400F + déclencheur micrologic2,3- 400A"/>
    <s v="Disjoncteur Compact NSX400F + déclencheur micrologic2,3- 400A"/>
    <n v="5"/>
    <s v="SCHLV432676"/>
    <s v="Schneider"/>
    <m/>
    <n v="0"/>
    <m/>
    <m/>
    <m/>
    <m/>
    <m/>
    <m/>
    <n v="0"/>
    <m/>
    <m/>
    <m/>
    <m/>
    <n v="0"/>
    <n v="0"/>
    <n v="0"/>
    <n v="0"/>
    <n v="0"/>
    <n v="0"/>
    <n v="0"/>
  </r>
  <r>
    <x v="5"/>
    <x v="102"/>
    <m/>
    <s v="App ElectriqueDISJONCTEUR COMPACT"/>
    <m/>
    <n v="6"/>
    <m/>
    <m/>
    <m/>
    <n v="0"/>
    <m/>
    <m/>
    <m/>
    <m/>
    <m/>
    <m/>
    <n v="0"/>
    <m/>
    <m/>
    <m/>
    <m/>
    <n v="0"/>
    <n v="0"/>
    <n v="0"/>
    <n v="0"/>
    <n v="0"/>
    <n v="0"/>
    <n v="0"/>
  </r>
  <r>
    <x v="5"/>
    <x v="103"/>
    <m/>
    <s v="App ElectriqueRELAIS DE COMMANDE "/>
    <m/>
    <n v="0"/>
    <m/>
    <m/>
    <m/>
    <n v="0"/>
    <m/>
    <m/>
    <m/>
    <m/>
    <m/>
    <m/>
    <n v="0"/>
    <m/>
    <m/>
    <m/>
    <m/>
    <n v="0"/>
    <n v="0"/>
    <n v="0"/>
    <n v="0"/>
    <n v="0"/>
    <n v="0"/>
    <n v="0"/>
  </r>
  <r>
    <x v="5"/>
    <x v="103"/>
    <s v="Relais "/>
    <s v="App ElectriqueRELAIS DE COMMANDE Relais "/>
    <s v="4RT 24 V="/>
    <n v="1"/>
    <s v="RXN41G11BD"/>
    <m/>
    <m/>
    <n v="0"/>
    <m/>
    <m/>
    <m/>
    <m/>
    <m/>
    <m/>
    <n v="0"/>
    <m/>
    <m/>
    <m/>
    <m/>
    <n v="0"/>
    <n v="0"/>
    <n v="0"/>
    <n v="0"/>
    <n v="0"/>
    <n v="0"/>
    <n v="0"/>
  </r>
  <r>
    <x v="5"/>
    <x v="103"/>
    <s v="Relais "/>
    <s v="App ElectriqueRELAIS DE COMMANDE Relais "/>
    <s v="4RT 24V AC"/>
    <n v="2"/>
    <s v="RXN41G11B7"/>
    <m/>
    <m/>
    <n v="0"/>
    <m/>
    <m/>
    <m/>
    <m/>
    <m/>
    <m/>
    <n v="0"/>
    <m/>
    <m/>
    <m/>
    <m/>
    <n v="0"/>
    <n v="0"/>
    <n v="0"/>
    <n v="0"/>
    <n v="0"/>
    <n v="0"/>
    <n v="0"/>
  </r>
  <r>
    <x v="5"/>
    <x v="103"/>
    <s v="Relais "/>
    <s v="App ElectriqueRELAIS DE COMMANDE Relais "/>
    <s v="4RT 110 V AC"/>
    <n v="3"/>
    <m/>
    <m/>
    <m/>
    <n v="0"/>
    <m/>
    <m/>
    <m/>
    <m/>
    <m/>
    <m/>
    <n v="0"/>
    <m/>
    <m/>
    <m/>
    <m/>
    <n v="0"/>
    <n v="0"/>
    <n v="0"/>
    <n v="0"/>
    <n v="0"/>
    <n v="0"/>
    <n v="0"/>
  </r>
  <r>
    <x v="5"/>
    <x v="103"/>
    <s v="Relais "/>
    <s v="App ElectriqueRELAIS DE COMMANDE Relais "/>
    <s v="4RT 220 V AC"/>
    <n v="4"/>
    <s v="RXN41G11P7"/>
    <m/>
    <m/>
    <n v="0"/>
    <m/>
    <m/>
    <m/>
    <m/>
    <m/>
    <m/>
    <n v="0"/>
    <m/>
    <m/>
    <m/>
    <m/>
    <n v="0"/>
    <n v="0"/>
    <n v="0"/>
    <n v="0"/>
    <n v="0"/>
    <n v="0"/>
    <n v="0"/>
  </r>
  <r>
    <x v="5"/>
    <x v="104"/>
    <m/>
    <s v="App ElectriqueREPARTITEUR DE PUISSANCE"/>
    <m/>
    <n v="0"/>
    <m/>
    <m/>
    <m/>
    <n v="0"/>
    <m/>
    <m/>
    <m/>
    <m/>
    <m/>
    <m/>
    <n v="0"/>
    <m/>
    <m/>
    <m/>
    <m/>
    <n v="0"/>
    <n v="0"/>
    <n v="0"/>
    <n v="0"/>
    <n v="0"/>
    <n v="0"/>
    <n v="0"/>
  </r>
  <r>
    <x v="5"/>
    <x v="104"/>
    <s v="Repartiteur modulaire TETRA legrand"/>
    <s v="App ElectriqueREPARTITEUR DE PUISSANCERepartiteur modulaire TETRA legrand"/>
    <s v="Répartiteur de puissance pour cosse 200A"/>
    <n v="1"/>
    <n v="37435"/>
    <m/>
    <m/>
    <n v="0"/>
    <m/>
    <m/>
    <m/>
    <m/>
    <m/>
    <m/>
    <n v="0"/>
    <m/>
    <m/>
    <m/>
    <m/>
    <n v="0"/>
    <n v="0"/>
    <n v="0"/>
    <n v="0"/>
    <n v="0"/>
    <n v="0"/>
    <n v="0"/>
  </r>
  <r>
    <x v="5"/>
    <x v="104"/>
    <s v="Repartiteur modulaire TETRA legrand 400A"/>
    <s v="App ElectriqueREPARTITEUR DE PUISSANCERepartiteur modulaire TETRA legrand 400A"/>
    <s v="Repartiteur modulaire TETRA legrand 400A"/>
    <n v="2"/>
    <n v="37308"/>
    <m/>
    <m/>
    <n v="0"/>
    <m/>
    <m/>
    <m/>
    <m/>
    <m/>
    <m/>
    <n v="0"/>
    <m/>
    <m/>
    <m/>
    <m/>
    <n v="0"/>
    <n v="0"/>
    <n v="0"/>
    <n v="0"/>
    <n v="0"/>
    <n v="0"/>
    <n v="0"/>
  </r>
  <r>
    <x v="5"/>
    <x v="105"/>
    <m/>
    <s v="App ElectriqueKIT HORS-GEL"/>
    <m/>
    <n v="0"/>
    <m/>
    <m/>
    <m/>
    <n v="0"/>
    <m/>
    <m/>
    <m/>
    <m/>
    <m/>
    <m/>
    <n v="0"/>
    <m/>
    <m/>
    <m/>
    <m/>
    <n v="0"/>
    <n v="0"/>
    <n v="0"/>
    <n v="0"/>
    <n v="0"/>
    <n v="0"/>
    <n v="0"/>
  </r>
  <r>
    <x v="5"/>
    <x v="105"/>
    <s v="Kit HorsGel Compresseur 250W"/>
    <s v="App ElectriqueKIT HORS-GELKit HorsGel Compresseur 250W"/>
    <s v="Kit HorsGel pour compresseur 250 W"/>
    <n v="1"/>
    <s v="KHG0250W.00"/>
    <s v="Airflux"/>
    <m/>
    <n v="0"/>
    <m/>
    <m/>
    <m/>
    <m/>
    <m/>
    <m/>
    <n v="0"/>
    <m/>
    <m/>
    <m/>
    <m/>
    <n v="0"/>
    <n v="0"/>
    <n v="0"/>
    <n v="0"/>
    <n v="0"/>
    <n v="0"/>
    <n v="0"/>
  </r>
  <r>
    <x v="5"/>
    <x v="105"/>
    <s v="Kit HorsGel Compresseur 250W"/>
    <s v="App ElectriqueKIT HORS-GELKit HorsGel Compresseur 250W"/>
    <s v="Kit HorsGel pour compresseur500 W"/>
    <n v="2"/>
    <s v="KHG0500W.00"/>
    <s v="Airflux"/>
    <m/>
    <n v="0"/>
    <m/>
    <m/>
    <m/>
    <m/>
    <m/>
    <m/>
    <n v="0"/>
    <m/>
    <m/>
    <m/>
    <m/>
    <n v="0"/>
    <n v="0"/>
    <n v="0"/>
    <n v="0"/>
    <n v="0"/>
    <n v="0"/>
    <n v="0"/>
  </r>
  <r>
    <x v="5"/>
    <x v="105"/>
    <s v="Kit HorsGel Bekomat"/>
    <s v="App ElectriqueKIT HORS-GELKit HorsGel Bekomat"/>
    <s v="Kit Hors Gel pour beko13"/>
    <n v="3"/>
    <s v="CUB-230V"/>
    <s v="Beko"/>
    <m/>
    <n v="0"/>
    <m/>
    <m/>
    <m/>
    <m/>
    <m/>
    <m/>
    <n v="0"/>
    <m/>
    <m/>
    <m/>
    <m/>
    <n v="0"/>
    <n v="0"/>
    <n v="0"/>
    <n v="0"/>
    <n v="0"/>
    <n v="0"/>
    <n v="0"/>
  </r>
  <r>
    <x v="5"/>
    <x v="105"/>
    <s v="Thermostats/kit HORSGEL"/>
    <s v="App ElectriqueKIT HORS-GELThermostats/kit HORSGEL"/>
    <s v="Ruban chauffant"/>
    <n v="4"/>
    <s v="FSA2X"/>
    <m/>
    <s v="ELTTRACECO020"/>
    <n v="0"/>
    <m/>
    <m/>
    <m/>
    <m/>
    <m/>
    <m/>
    <n v="0"/>
    <m/>
    <m/>
    <m/>
    <m/>
    <n v="0"/>
    <n v="0"/>
    <n v="0"/>
    <n v="0"/>
    <n v="0"/>
    <n v="0"/>
    <n v="0"/>
  </r>
  <r>
    <x v="5"/>
    <x v="105"/>
    <s v="Thermostats/kit HORSGEL"/>
    <s v="App ElectriqueKIT HORS-GELThermostats/kit HORSGEL"/>
    <s v="KIT ALIMENTATION + 1 DEPART"/>
    <n v="5"/>
    <s v="RAYCE02"/>
    <m/>
    <s v="ELTBE8"/>
    <n v="0"/>
    <m/>
    <m/>
    <m/>
    <m/>
    <m/>
    <m/>
    <n v="0"/>
    <m/>
    <m/>
    <m/>
    <m/>
    <n v="0"/>
    <n v="0"/>
    <n v="0"/>
    <n v="0"/>
    <n v="0"/>
    <n v="0"/>
    <n v="0"/>
  </r>
  <r>
    <x v="5"/>
    <x v="105"/>
    <s v="Thermostats/kit HORSGEL"/>
    <s v="App ElectriqueKIT HORS-GELThermostats/kit HORSGEL"/>
    <s v="KIT ALIMENTATION + 2 DEPART"/>
    <n v="6"/>
    <s v="RAYCE03"/>
    <m/>
    <s v="ELTHB104"/>
    <n v="0"/>
    <m/>
    <m/>
    <m/>
    <m/>
    <m/>
    <m/>
    <n v="0"/>
    <m/>
    <m/>
    <m/>
    <m/>
    <n v="0"/>
    <n v="0"/>
    <n v="0"/>
    <n v="0"/>
    <n v="0"/>
    <n v="0"/>
    <n v="0"/>
  </r>
  <r>
    <x v="5"/>
    <x v="105"/>
    <s v="Thermostats/kit HORSGEL"/>
    <s v="App ElectriqueKIT HORS-GELThermostats/kit HORSGEL"/>
    <s v="DERIVATION EN T"/>
    <n v="7"/>
    <s v="RAYPT02"/>
    <m/>
    <s v="ELTDHB103"/>
    <n v="0"/>
    <m/>
    <m/>
    <m/>
    <m/>
    <m/>
    <m/>
    <n v="0"/>
    <m/>
    <m/>
    <m/>
    <m/>
    <n v="0"/>
    <n v="0"/>
    <n v="0"/>
    <n v="0"/>
    <n v="0"/>
    <n v="0"/>
    <n v="0"/>
  </r>
  <r>
    <x v="5"/>
    <x v="106"/>
    <m/>
    <s v="App ElectriqueTHERMOSTATS"/>
    <m/>
    <n v="0"/>
    <m/>
    <m/>
    <m/>
    <n v="0"/>
    <m/>
    <m/>
    <m/>
    <m/>
    <m/>
    <m/>
    <n v="0"/>
    <m/>
    <m/>
    <m/>
    <m/>
    <n v="0"/>
    <n v="0"/>
    <n v="0"/>
    <n v="0"/>
    <n v="0"/>
    <n v="0"/>
    <n v="0"/>
  </r>
  <r>
    <x v="5"/>
    <x v="106"/>
    <s v="Thermostats/kit HORSGEL"/>
    <s v="App ElectriqueTHERMOSTATSThermostats/kit HORSGEL"/>
    <s v="THErmostats HEATHERME CONTAINER"/>
    <n v="1"/>
    <n v="467028"/>
    <m/>
    <m/>
    <n v="0"/>
    <m/>
    <m/>
    <m/>
    <m/>
    <m/>
    <m/>
    <n v="0"/>
    <m/>
    <m/>
    <m/>
    <m/>
    <n v="0"/>
    <n v="0"/>
    <n v="0"/>
    <n v="0"/>
    <n v="0"/>
    <n v="0"/>
    <n v="0"/>
  </r>
  <r>
    <x v="5"/>
    <x v="106"/>
    <s v="Thermostats/kit HORSGEL"/>
    <s v="App ElectriqueTHERMOSTATSThermostats/kit HORSGEL"/>
    <s v="thermostat d'ambiance Legrand mecanique"/>
    <n v="2"/>
    <n v="49898"/>
    <m/>
    <m/>
    <n v="0"/>
    <m/>
    <m/>
    <m/>
    <m/>
    <m/>
    <m/>
    <n v="0"/>
    <m/>
    <m/>
    <m/>
    <m/>
    <n v="0"/>
    <n v="0"/>
    <n v="0"/>
    <n v="0"/>
    <n v="0"/>
    <n v="0"/>
    <n v="0"/>
  </r>
  <r>
    <x v="5"/>
    <x v="106"/>
    <m/>
    <s v="App ElectriqueTHERMOSTATS"/>
    <m/>
    <n v="3"/>
    <m/>
    <m/>
    <m/>
    <n v="0"/>
    <m/>
    <m/>
    <m/>
    <m/>
    <m/>
    <m/>
    <n v="0"/>
    <m/>
    <m/>
    <m/>
    <m/>
    <n v="0"/>
    <n v="0"/>
    <n v="0"/>
    <n v="0"/>
    <n v="0"/>
    <n v="0"/>
    <n v="0"/>
  </r>
  <r>
    <x v="5"/>
    <x v="107"/>
    <m/>
    <s v="App ElectriqueINTERSECTIONNEUR TETRA"/>
    <m/>
    <n v="0"/>
    <m/>
    <m/>
    <m/>
    <n v="0"/>
    <m/>
    <m/>
    <m/>
    <m/>
    <m/>
    <m/>
    <n v="0"/>
    <m/>
    <m/>
    <m/>
    <m/>
    <n v="0"/>
    <n v="0"/>
    <n v="0"/>
    <n v="0"/>
    <n v="0"/>
    <n v="0"/>
    <n v="0"/>
  </r>
  <r>
    <x v="5"/>
    <x v="107"/>
    <s v="Vistop à Plastron TETRA"/>
    <s v="App ElectriqueINTERSECTIONNEUR TETRAVistop à Plastron TETRA"/>
    <s v="Vistop 63A-4P"/>
    <n v="1"/>
    <n v="22518"/>
    <m/>
    <m/>
    <n v="0"/>
    <m/>
    <m/>
    <m/>
    <m/>
    <m/>
    <m/>
    <n v="0"/>
    <m/>
    <m/>
    <m/>
    <m/>
    <n v="0"/>
    <n v="0"/>
    <n v="0"/>
    <n v="0"/>
    <n v="0"/>
    <n v="0"/>
    <n v="0"/>
  </r>
  <r>
    <x v="5"/>
    <x v="107"/>
    <s v="Vistop à Plastron TETRA"/>
    <s v="App ElectriqueINTERSECTIONNEUR TETRAVistop à Plastron TETRA"/>
    <s v="Vistop 100A-4P commande latéral"/>
    <n v="2"/>
    <n v="22527"/>
    <m/>
    <m/>
    <n v="0"/>
    <m/>
    <m/>
    <m/>
    <m/>
    <m/>
    <m/>
    <n v="0"/>
    <m/>
    <m/>
    <m/>
    <m/>
    <n v="0"/>
    <n v="0"/>
    <n v="0"/>
    <n v="0"/>
    <n v="0"/>
    <n v="0"/>
    <n v="0"/>
  </r>
  <r>
    <x v="5"/>
    <x v="107"/>
    <m/>
    <s v="App ElectriqueINTERSECTIONNEUR TETRA"/>
    <m/>
    <n v="3"/>
    <m/>
    <m/>
    <m/>
    <n v="0"/>
    <m/>
    <m/>
    <m/>
    <m/>
    <m/>
    <m/>
    <n v="0"/>
    <m/>
    <m/>
    <m/>
    <m/>
    <n v="0"/>
    <n v="0"/>
    <n v="0"/>
    <n v="0"/>
    <n v="0"/>
    <n v="0"/>
    <n v="0"/>
  </r>
  <r>
    <x v="6"/>
    <x v="108"/>
    <m/>
    <s v="CablageBOITE DE DERIVATION"/>
    <m/>
    <n v="0"/>
    <m/>
    <m/>
    <m/>
    <n v="0"/>
    <m/>
    <m/>
    <m/>
    <m/>
    <m/>
    <m/>
    <n v="0"/>
    <m/>
    <m/>
    <m/>
    <m/>
    <n v="0"/>
    <n v="0"/>
    <n v="0"/>
    <n v="0"/>
    <n v="0"/>
    <n v="0"/>
    <n v="0"/>
  </r>
  <r>
    <x v="6"/>
    <x v="108"/>
    <s v="Boites de deriv. plexo"/>
    <s v="CablageBOITE DE DERIVATIONBoites de deriv. plexo"/>
    <s v="carrée 4 trous Ø 60"/>
    <n v="1"/>
    <n v="92005"/>
    <m/>
    <m/>
    <n v="0"/>
    <m/>
    <m/>
    <m/>
    <m/>
    <m/>
    <m/>
    <n v="0"/>
    <m/>
    <m/>
    <m/>
    <m/>
    <n v="0"/>
    <n v="0"/>
    <n v="0"/>
    <n v="0"/>
    <n v="0"/>
    <n v="0"/>
    <n v="0"/>
  </r>
  <r>
    <x v="6"/>
    <x v="108"/>
    <s v="Boites de deriv. plexo"/>
    <s v="CablageBOITE DE DERIVATIONBoites de deriv. plexo"/>
    <s v="carrée 7 trous 105x105x55"/>
    <n v="2"/>
    <n v="92222"/>
    <m/>
    <m/>
    <n v="0"/>
    <m/>
    <m/>
    <m/>
    <m/>
    <m/>
    <m/>
    <n v="0"/>
    <m/>
    <m/>
    <m/>
    <m/>
    <n v="0"/>
    <n v="0"/>
    <n v="0"/>
    <n v="0"/>
    <n v="0"/>
    <n v="0"/>
    <n v="0"/>
  </r>
  <r>
    <x v="6"/>
    <x v="109"/>
    <m/>
    <s v="CablageCABLE ET ATTACHE CUIVRE NU"/>
    <m/>
    <n v="0"/>
    <m/>
    <m/>
    <m/>
    <n v="0"/>
    <m/>
    <m/>
    <m/>
    <m/>
    <m/>
    <m/>
    <n v="0"/>
    <m/>
    <m/>
    <m/>
    <m/>
    <n v="0"/>
    <n v="0"/>
    <n v="0"/>
    <n v="0"/>
    <n v="0"/>
    <n v="0"/>
    <n v="0"/>
  </r>
  <r>
    <x v="6"/>
    <x v="109"/>
    <s v="Cables "/>
    <s v="CablageCABLE ET ATTACHE CUIVRE NUCables "/>
    <s v="1X6"/>
    <n v="1"/>
    <s v="CUNU5,5"/>
    <m/>
    <m/>
    <n v="0"/>
    <m/>
    <m/>
    <m/>
    <m/>
    <m/>
    <m/>
    <n v="0"/>
    <m/>
    <m/>
    <m/>
    <m/>
    <n v="0"/>
    <n v="0"/>
    <n v="0"/>
    <n v="0"/>
    <n v="0"/>
    <n v="0"/>
    <n v="0"/>
  </r>
  <r>
    <x v="6"/>
    <x v="109"/>
    <s v="Cables "/>
    <s v="CablageCABLE ET ATTACHE CUIVRE NUCables "/>
    <s v="1X10"/>
    <n v="2"/>
    <m/>
    <m/>
    <m/>
    <n v="0"/>
    <m/>
    <m/>
    <m/>
    <m/>
    <m/>
    <m/>
    <n v="0"/>
    <m/>
    <m/>
    <m/>
    <m/>
    <n v="0"/>
    <n v="0"/>
    <n v="0"/>
    <n v="0"/>
    <n v="0"/>
    <n v="0"/>
    <n v="0"/>
  </r>
  <r>
    <x v="6"/>
    <x v="109"/>
    <s v="Cables "/>
    <s v="CablageCABLE ET ATTACHE CUIVRE NUCables "/>
    <s v="1X16"/>
    <n v="3"/>
    <m/>
    <m/>
    <m/>
    <n v="0"/>
    <m/>
    <m/>
    <m/>
    <m/>
    <m/>
    <m/>
    <n v="0"/>
    <m/>
    <m/>
    <m/>
    <m/>
    <n v="0"/>
    <n v="0"/>
    <n v="0"/>
    <n v="0"/>
    <n v="0"/>
    <n v="0"/>
    <n v="0"/>
  </r>
  <r>
    <x v="6"/>
    <x v="109"/>
    <s v="Cables "/>
    <s v="CablageCABLE ET ATTACHE CUIVRE NUCables "/>
    <s v="1X25"/>
    <n v="4"/>
    <s v="CUNU25"/>
    <m/>
    <m/>
    <n v="0"/>
    <m/>
    <m/>
    <m/>
    <m/>
    <m/>
    <m/>
    <n v="0"/>
    <m/>
    <m/>
    <m/>
    <m/>
    <n v="0"/>
    <n v="0"/>
    <n v="0"/>
    <n v="0"/>
    <n v="0"/>
    <n v="0"/>
    <n v="0"/>
  </r>
  <r>
    <x v="6"/>
    <x v="109"/>
    <s v="Cables "/>
    <s v="CablageCABLE ET ATTACHE CUIVRE NUCables "/>
    <s v="1X35"/>
    <n v="5"/>
    <s v="CUNU35"/>
    <m/>
    <m/>
    <n v="0"/>
    <m/>
    <m/>
    <m/>
    <m/>
    <m/>
    <m/>
    <n v="0"/>
    <m/>
    <m/>
    <m/>
    <m/>
    <n v="0"/>
    <n v="0"/>
    <n v="0"/>
    <n v="0"/>
    <n v="0"/>
    <n v="0"/>
    <n v="0"/>
  </r>
  <r>
    <x v="6"/>
    <x v="109"/>
    <s v="Cables "/>
    <s v="CablageCABLE ET ATTACHE CUIVRE NUCables "/>
    <s v="1X50"/>
    <n v="6"/>
    <s v="CUNU50"/>
    <m/>
    <m/>
    <n v="0"/>
    <m/>
    <m/>
    <m/>
    <m/>
    <m/>
    <m/>
    <n v="0"/>
    <m/>
    <m/>
    <m/>
    <m/>
    <n v="0"/>
    <n v="0"/>
    <n v="0"/>
    <n v="0"/>
    <n v="0"/>
    <n v="0"/>
    <n v="0"/>
  </r>
  <r>
    <x v="6"/>
    <x v="109"/>
    <s v="Cables "/>
    <s v="CablageCABLE ET ATTACHE CUIVRE NUCables "/>
    <s v="1X70"/>
    <n v="7"/>
    <s v="CUNU70"/>
    <m/>
    <m/>
    <n v="0"/>
    <m/>
    <m/>
    <m/>
    <m/>
    <m/>
    <m/>
    <n v="0"/>
    <m/>
    <m/>
    <m/>
    <m/>
    <n v="0"/>
    <n v="0"/>
    <n v="0"/>
    <n v="0"/>
    <n v="0"/>
    <n v="0"/>
    <n v="0"/>
  </r>
  <r>
    <x v="6"/>
    <x v="109"/>
    <s v="Cables "/>
    <s v="CablageCABLE ET ATTACHE CUIVRE NUCables "/>
    <s v="1X95"/>
    <n v="8"/>
    <s v="CUNU95"/>
    <m/>
    <m/>
    <n v="0"/>
    <m/>
    <m/>
    <m/>
    <m/>
    <m/>
    <m/>
    <n v="0"/>
    <m/>
    <m/>
    <m/>
    <m/>
    <n v="0"/>
    <n v="0"/>
    <n v="0"/>
    <n v="0"/>
    <n v="0"/>
    <n v="0"/>
    <n v="0"/>
  </r>
  <r>
    <x v="6"/>
    <x v="109"/>
    <s v="Cables "/>
    <s v="CablageCABLE ET ATTACHE CUIVRE NUCables "/>
    <s v="1X120"/>
    <n v="9"/>
    <s v="CUNU120"/>
    <m/>
    <m/>
    <n v="0"/>
    <m/>
    <m/>
    <m/>
    <m/>
    <m/>
    <m/>
    <n v="0"/>
    <m/>
    <m/>
    <m/>
    <m/>
    <n v="0"/>
    <n v="0"/>
    <n v="0"/>
    <n v="0"/>
    <n v="0"/>
    <n v="0"/>
    <n v="0"/>
  </r>
  <r>
    <x v="6"/>
    <x v="109"/>
    <s v="Attache"/>
    <s v="CablageCABLE ET ATTACHE CUIVRE NUAttache"/>
    <s v="GRIFFE POU CUNU/CHEMIN DE CABE"/>
    <n v="10"/>
    <s v="GRIFF4-30CUNU"/>
    <m/>
    <m/>
    <n v="0"/>
    <m/>
    <m/>
    <m/>
    <m/>
    <m/>
    <m/>
    <n v="0"/>
    <m/>
    <m/>
    <m/>
    <m/>
    <n v="0"/>
    <n v="0"/>
    <n v="0"/>
    <n v="0"/>
    <n v="0"/>
    <n v="0"/>
    <n v="0"/>
  </r>
  <r>
    <x v="6"/>
    <x v="110"/>
    <m/>
    <s v="CablageCABLES RIGIDES CUIVRE"/>
    <m/>
    <n v="0"/>
    <m/>
    <m/>
    <m/>
    <n v="0"/>
    <m/>
    <m/>
    <m/>
    <m/>
    <m/>
    <m/>
    <n v="0"/>
    <m/>
    <m/>
    <m/>
    <m/>
    <n v="0"/>
    <n v="0"/>
    <n v="0"/>
    <n v="0"/>
    <n v="0"/>
    <n v="0"/>
    <n v="0"/>
  </r>
  <r>
    <x v="6"/>
    <x v="110"/>
    <s v="RO2V1X"/>
    <s v="CablageCABLES RIGIDES CUIVRERO2V1X"/>
    <s v="1X35"/>
    <n v="1"/>
    <s v="RO2V1X35"/>
    <m/>
    <m/>
    <n v="0"/>
    <m/>
    <m/>
    <m/>
    <m/>
    <m/>
    <m/>
    <n v="0"/>
    <m/>
    <m/>
    <m/>
    <m/>
    <n v="0"/>
    <n v="0"/>
    <n v="0"/>
    <n v="0"/>
    <n v="0"/>
    <n v="0"/>
    <n v="0"/>
  </r>
  <r>
    <x v="6"/>
    <x v="110"/>
    <s v="RO2V1X"/>
    <s v="CablageCABLES RIGIDES CUIVRERO2V1X"/>
    <s v="1X50"/>
    <n v="2"/>
    <s v="RO2V1X50"/>
    <m/>
    <m/>
    <n v="0"/>
    <m/>
    <m/>
    <m/>
    <m/>
    <m/>
    <m/>
    <n v="0"/>
    <m/>
    <m/>
    <m/>
    <m/>
    <n v="0"/>
    <n v="0"/>
    <n v="0"/>
    <n v="0"/>
    <n v="0"/>
    <n v="0"/>
    <n v="0"/>
  </r>
  <r>
    <x v="6"/>
    <x v="110"/>
    <s v="RO2V1X"/>
    <s v="CablageCABLES RIGIDES CUIVRERO2V1X"/>
    <s v="1X70"/>
    <n v="3"/>
    <s v="RO2V1X70"/>
    <m/>
    <m/>
    <n v="0"/>
    <m/>
    <m/>
    <m/>
    <m/>
    <m/>
    <m/>
    <n v="0"/>
    <m/>
    <m/>
    <m/>
    <m/>
    <n v="0"/>
    <n v="0"/>
    <n v="0"/>
    <n v="0"/>
    <n v="0"/>
    <n v="0"/>
    <n v="0"/>
  </r>
  <r>
    <x v="6"/>
    <x v="110"/>
    <s v="RO2V1X"/>
    <s v="CablageCABLES RIGIDES CUIVRERO2V1X"/>
    <s v="1X95"/>
    <n v="4"/>
    <s v="RO2V1X95"/>
    <m/>
    <m/>
    <n v="0"/>
    <m/>
    <m/>
    <m/>
    <m/>
    <m/>
    <m/>
    <n v="0"/>
    <m/>
    <m/>
    <m/>
    <m/>
    <n v="0"/>
    <n v="0"/>
    <n v="0"/>
    <n v="0"/>
    <n v="0"/>
    <n v="0"/>
    <n v="0"/>
  </r>
  <r>
    <x v="6"/>
    <x v="110"/>
    <s v="RO2V1X"/>
    <s v="CablageCABLES RIGIDES CUIVRERO2V1X"/>
    <s v="1X120"/>
    <n v="5"/>
    <s v="RO2V1X120"/>
    <m/>
    <m/>
    <n v="0"/>
    <m/>
    <m/>
    <m/>
    <m/>
    <m/>
    <m/>
    <n v="0"/>
    <m/>
    <m/>
    <m/>
    <m/>
    <n v="0"/>
    <n v="0"/>
    <n v="0"/>
    <n v="0"/>
    <n v="0"/>
    <n v="0"/>
    <n v="0"/>
  </r>
  <r>
    <x v="6"/>
    <x v="110"/>
    <s v="RO2V1X"/>
    <s v="CablageCABLES RIGIDES CUIVRERO2V1X"/>
    <s v="1X150"/>
    <n v="6"/>
    <s v="RO2V1x150"/>
    <m/>
    <m/>
    <n v="0"/>
    <m/>
    <m/>
    <m/>
    <m/>
    <m/>
    <m/>
    <n v="0"/>
    <m/>
    <m/>
    <m/>
    <m/>
    <n v="0"/>
    <n v="0"/>
    <n v="0"/>
    <n v="0"/>
    <n v="0"/>
    <n v="0"/>
    <n v="0"/>
  </r>
  <r>
    <x v="6"/>
    <x v="110"/>
    <s v="RO2V1X"/>
    <s v="CablageCABLES RIGIDES CUIVRERO2V1X"/>
    <s v="1X185"/>
    <n v="7"/>
    <s v="RO2V1x185"/>
    <m/>
    <m/>
    <n v="0"/>
    <m/>
    <m/>
    <m/>
    <m/>
    <m/>
    <m/>
    <n v="0"/>
    <m/>
    <m/>
    <m/>
    <m/>
    <n v="0"/>
    <n v="0"/>
    <n v="0"/>
    <n v="0"/>
    <n v="0"/>
    <n v="0"/>
    <n v="0"/>
  </r>
  <r>
    <x v="6"/>
    <x v="110"/>
    <s v="RO2V2G"/>
    <s v="CablageCABLES RIGIDES CUIVRERO2V2G"/>
    <s v="2G1,5"/>
    <n v="8"/>
    <s v="RO2V2G1,5"/>
    <m/>
    <m/>
    <n v="0"/>
    <m/>
    <m/>
    <m/>
    <m/>
    <m/>
    <m/>
    <n v="0"/>
    <m/>
    <m/>
    <m/>
    <m/>
    <n v="0"/>
    <n v="0"/>
    <n v="0"/>
    <n v="0"/>
    <n v="0"/>
    <n v="0"/>
    <n v="0"/>
  </r>
  <r>
    <x v="6"/>
    <x v="110"/>
    <s v="RO2V3G"/>
    <s v="CablageCABLES RIGIDES CUIVRERO2V3G"/>
    <s v="3G1,5"/>
    <n v="9"/>
    <s v="RO2V3G1.5"/>
    <m/>
    <m/>
    <n v="0"/>
    <m/>
    <m/>
    <m/>
    <m/>
    <m/>
    <m/>
    <n v="0"/>
    <m/>
    <m/>
    <m/>
    <m/>
    <n v="0"/>
    <n v="0"/>
    <n v="0"/>
    <n v="0"/>
    <n v="0"/>
    <n v="0"/>
    <n v="0"/>
  </r>
  <r>
    <x v="6"/>
    <x v="110"/>
    <s v="RO2V3G"/>
    <s v="CablageCABLES RIGIDES CUIVRERO2V3G"/>
    <s v="3G2,5"/>
    <n v="10"/>
    <s v="RO2V3G2.5"/>
    <m/>
    <m/>
    <n v="0"/>
    <m/>
    <m/>
    <m/>
    <m/>
    <m/>
    <m/>
    <n v="0"/>
    <m/>
    <m/>
    <m/>
    <m/>
    <n v="0"/>
    <n v="0"/>
    <n v="0"/>
    <n v="0"/>
    <n v="0"/>
    <n v="0"/>
    <n v="0"/>
  </r>
  <r>
    <x v="6"/>
    <x v="110"/>
    <s v="RO2V3G"/>
    <s v="CablageCABLES RIGIDES CUIVRERO2V3G"/>
    <s v="3G6"/>
    <n v="11"/>
    <s v="RO2V3G6"/>
    <m/>
    <m/>
    <n v="0"/>
    <m/>
    <m/>
    <m/>
    <m/>
    <m/>
    <m/>
    <n v="0"/>
    <m/>
    <m/>
    <m/>
    <m/>
    <n v="0"/>
    <n v="0"/>
    <n v="0"/>
    <n v="0"/>
    <n v="0"/>
    <n v="0"/>
    <n v="0"/>
  </r>
  <r>
    <x v="6"/>
    <x v="110"/>
    <s v="RO2V4G"/>
    <s v="CablageCABLES RIGIDES CUIVRERO2V4G"/>
    <s v="4G1,5"/>
    <n v="12"/>
    <s v="RO2V4g1.5"/>
    <m/>
    <m/>
    <n v="0"/>
    <m/>
    <m/>
    <m/>
    <m/>
    <m/>
    <m/>
    <n v="0"/>
    <m/>
    <m/>
    <m/>
    <m/>
    <n v="0"/>
    <n v="0"/>
    <n v="0"/>
    <n v="0"/>
    <n v="0"/>
    <n v="0"/>
    <n v="0"/>
  </r>
  <r>
    <x v="6"/>
    <x v="110"/>
    <s v="RO2V4G"/>
    <s v="CablageCABLES RIGIDES CUIVRERO2V4G"/>
    <s v="4G2,5"/>
    <n v="13"/>
    <s v="RO2V4G2.5"/>
    <m/>
    <m/>
    <n v="0"/>
    <m/>
    <m/>
    <m/>
    <m/>
    <m/>
    <m/>
    <n v="0"/>
    <m/>
    <m/>
    <m/>
    <m/>
    <n v="0"/>
    <n v="0"/>
    <n v="0"/>
    <n v="0"/>
    <n v="0"/>
    <n v="0"/>
    <n v="0"/>
  </r>
  <r>
    <x v="6"/>
    <x v="110"/>
    <s v="RO2V4G"/>
    <s v="CablageCABLES RIGIDES CUIVRERO2V4G"/>
    <s v="4G4"/>
    <n v="14"/>
    <s v="RO2V4G4"/>
    <m/>
    <m/>
    <n v="0"/>
    <m/>
    <m/>
    <m/>
    <m/>
    <m/>
    <m/>
    <n v="0"/>
    <m/>
    <m/>
    <m/>
    <m/>
    <n v="0"/>
    <n v="0"/>
    <n v="0"/>
    <n v="0"/>
    <n v="0"/>
    <n v="0"/>
    <n v="0"/>
  </r>
  <r>
    <x v="6"/>
    <x v="110"/>
    <s v="RO2V4G"/>
    <s v="CablageCABLES RIGIDES CUIVRERO2V4G"/>
    <s v="4G6"/>
    <n v="15"/>
    <s v="RO2V4G6"/>
    <m/>
    <m/>
    <n v="0"/>
    <m/>
    <m/>
    <m/>
    <m/>
    <m/>
    <m/>
    <n v="0"/>
    <m/>
    <m/>
    <m/>
    <m/>
    <n v="0"/>
    <n v="0"/>
    <n v="0"/>
    <n v="0"/>
    <n v="0"/>
    <n v="0"/>
    <n v="0"/>
  </r>
  <r>
    <x v="6"/>
    <x v="110"/>
    <s v="RO2V4G"/>
    <s v="CablageCABLES RIGIDES CUIVRERO2V4G"/>
    <s v="4G10"/>
    <n v="16"/>
    <s v="RO2V4G10"/>
    <m/>
    <m/>
    <n v="0"/>
    <m/>
    <m/>
    <m/>
    <m/>
    <m/>
    <m/>
    <n v="0"/>
    <m/>
    <m/>
    <m/>
    <m/>
    <n v="0"/>
    <n v="0"/>
    <n v="0"/>
    <n v="0"/>
    <n v="0"/>
    <n v="0"/>
    <n v="0"/>
  </r>
  <r>
    <x v="6"/>
    <x v="110"/>
    <s v="RO2V5G"/>
    <s v="CablageCABLES RIGIDES CUIVRERO2V5G"/>
    <s v="5G10"/>
    <n v="17"/>
    <s v="RO2V5G10"/>
    <m/>
    <m/>
    <n v="0"/>
    <m/>
    <m/>
    <m/>
    <m/>
    <m/>
    <m/>
    <n v="0"/>
    <m/>
    <m/>
    <m/>
    <m/>
    <n v="0"/>
    <n v="0"/>
    <n v="0"/>
    <n v="0"/>
    <n v="0"/>
    <n v="0"/>
    <n v="0"/>
  </r>
  <r>
    <x v="6"/>
    <x v="110"/>
    <s v="RO2V4G"/>
    <s v="CablageCABLES RIGIDES CUIVRERO2V4G"/>
    <s v="4G16"/>
    <n v="18"/>
    <s v="RO2V4G16"/>
    <m/>
    <m/>
    <n v="0"/>
    <m/>
    <m/>
    <m/>
    <m/>
    <m/>
    <m/>
    <n v="0"/>
    <m/>
    <m/>
    <m/>
    <m/>
    <n v="0"/>
    <n v="0"/>
    <n v="0"/>
    <n v="0"/>
    <n v="0"/>
    <n v="0"/>
    <n v="0"/>
  </r>
  <r>
    <x v="6"/>
    <x v="110"/>
    <s v="RO2V4G"/>
    <s v="CablageCABLES RIGIDES CUIVRERO2V4G"/>
    <s v="4G25"/>
    <n v="19"/>
    <s v="RO2V4G25"/>
    <m/>
    <m/>
    <n v="0"/>
    <m/>
    <m/>
    <m/>
    <m/>
    <m/>
    <m/>
    <n v="0"/>
    <m/>
    <m/>
    <m/>
    <m/>
    <n v="0"/>
    <n v="0"/>
    <n v="0"/>
    <n v="0"/>
    <n v="0"/>
    <n v="0"/>
    <n v="0"/>
  </r>
  <r>
    <x v="6"/>
    <x v="110"/>
    <s v="RO2V5G"/>
    <s v="CablageCABLES RIGIDES CUIVRERO2V5G"/>
    <s v="5G25"/>
    <n v="20"/>
    <s v="RO2V5G25"/>
    <m/>
    <m/>
    <n v="0"/>
    <m/>
    <m/>
    <m/>
    <m/>
    <m/>
    <m/>
    <n v="0"/>
    <m/>
    <m/>
    <m/>
    <m/>
    <n v="0"/>
    <n v="0"/>
    <n v="0"/>
    <n v="0"/>
    <n v="0"/>
    <n v="0"/>
    <n v="0"/>
  </r>
  <r>
    <x v="6"/>
    <x v="110"/>
    <s v="RO2V4G"/>
    <s v="CablageCABLES RIGIDES CUIVRERO2V4G"/>
    <s v="4G35"/>
    <n v="21"/>
    <s v="RO2V4G35"/>
    <m/>
    <m/>
    <n v="0"/>
    <m/>
    <m/>
    <m/>
    <m/>
    <m/>
    <m/>
    <n v="0"/>
    <m/>
    <m/>
    <m/>
    <m/>
    <n v="0"/>
    <n v="0"/>
    <n v="0"/>
    <n v="0"/>
    <n v="0"/>
    <n v="0"/>
    <n v="0"/>
  </r>
  <r>
    <x v="6"/>
    <x v="110"/>
    <s v="RO2V4G"/>
    <s v="CablageCABLES RIGIDES CUIVRERO2V4G"/>
    <s v="4G50"/>
    <n v="22"/>
    <s v="RO2V4G50"/>
    <m/>
    <m/>
    <n v="0"/>
    <m/>
    <m/>
    <m/>
    <m/>
    <m/>
    <m/>
    <n v="0"/>
    <m/>
    <m/>
    <m/>
    <m/>
    <n v="0"/>
    <n v="0"/>
    <n v="0"/>
    <n v="0"/>
    <n v="0"/>
    <n v="0"/>
    <n v="0"/>
  </r>
  <r>
    <x v="6"/>
    <x v="110"/>
    <s v="RO2V4G"/>
    <s v="CablageCABLES RIGIDES CUIVRERO2V4G"/>
    <s v="4G70"/>
    <n v="23"/>
    <s v="RO2V4G70"/>
    <m/>
    <m/>
    <n v="0"/>
    <m/>
    <m/>
    <m/>
    <m/>
    <m/>
    <m/>
    <n v="0"/>
    <m/>
    <m/>
    <m/>
    <m/>
    <n v="0"/>
    <n v="0"/>
    <n v="0"/>
    <n v="0"/>
    <n v="0"/>
    <n v="0"/>
    <n v="0"/>
  </r>
  <r>
    <x v="6"/>
    <x v="111"/>
    <m/>
    <s v="CablageCABLES SOUPLES CUIVRE"/>
    <m/>
    <n v="0"/>
    <m/>
    <m/>
    <m/>
    <n v="0"/>
    <m/>
    <m/>
    <m/>
    <m/>
    <m/>
    <m/>
    <n v="0"/>
    <m/>
    <m/>
    <m/>
    <m/>
    <n v="0"/>
    <n v="0"/>
    <n v="0"/>
    <n v="0"/>
    <n v="0"/>
    <n v="0"/>
    <n v="0"/>
  </r>
  <r>
    <x v="6"/>
    <x v="111"/>
    <s v="7G"/>
    <s v="CablageCABLES SOUPLES CUIVRE7G"/>
    <s v="7 G 0,75  ( souple gris  )"/>
    <n v="1"/>
    <s v="NO5VVF7G0,75"/>
    <m/>
    <m/>
    <n v="0"/>
    <m/>
    <m/>
    <m/>
    <m/>
    <m/>
    <m/>
    <n v="0"/>
    <m/>
    <m/>
    <m/>
    <m/>
    <n v="0"/>
    <n v="0"/>
    <n v="0"/>
    <n v="0"/>
    <n v="0"/>
    <n v="0"/>
    <n v="0"/>
  </r>
  <r>
    <x v="6"/>
    <x v="111"/>
    <s v="5G"/>
    <s v="CablageCABLES SOUPLES CUIVRE5G"/>
    <s v="5 G 1       ( souple gris  )"/>
    <n v="2"/>
    <s v="LYCY5G1"/>
    <m/>
    <m/>
    <n v="0"/>
    <m/>
    <m/>
    <m/>
    <m/>
    <m/>
    <m/>
    <n v="0"/>
    <m/>
    <m/>
    <m/>
    <m/>
    <n v="0"/>
    <n v="0"/>
    <n v="0"/>
    <n v="0"/>
    <n v="0"/>
    <n v="0"/>
    <n v="0"/>
  </r>
  <r>
    <x v="6"/>
    <x v="111"/>
    <s v="2X"/>
    <s v="CablageCABLES SOUPLES CUIVRE2X"/>
    <s v="2X0,75  ( souple gris ) - défaut purgeur"/>
    <n v="3"/>
    <s v="LYCY2X0,75"/>
    <m/>
    <m/>
    <n v="0"/>
    <m/>
    <m/>
    <m/>
    <m/>
    <m/>
    <m/>
    <n v="0"/>
    <m/>
    <m/>
    <m/>
    <m/>
    <n v="0"/>
    <n v="0"/>
    <n v="0"/>
    <n v="0"/>
    <n v="0"/>
    <n v="0"/>
    <n v="0"/>
  </r>
  <r>
    <x v="6"/>
    <x v="111"/>
    <s v="3X"/>
    <s v="CablageCABLES SOUPLES CUIVRE3X"/>
    <s v="3X0,75  ( souple gris ) - alimentation purgeur"/>
    <n v="4"/>
    <s v="LYCY3X0,75"/>
    <m/>
    <m/>
    <n v="0"/>
    <m/>
    <m/>
    <m/>
    <m/>
    <m/>
    <m/>
    <n v="0"/>
    <m/>
    <m/>
    <m/>
    <m/>
    <n v="0"/>
    <n v="0"/>
    <n v="0"/>
    <n v="0"/>
    <n v="0"/>
    <n v="0"/>
    <n v="0"/>
  </r>
  <r>
    <x v="6"/>
    <x v="111"/>
    <s v="2X"/>
    <s v="CablageCABLES SOUPLES CUIVRE2X"/>
    <s v="2X1  ( souple gris )"/>
    <n v="5"/>
    <s v="LYCY2X1"/>
    <m/>
    <m/>
    <n v="0"/>
    <m/>
    <m/>
    <m/>
    <m/>
    <m/>
    <m/>
    <n v="0"/>
    <m/>
    <m/>
    <m/>
    <m/>
    <n v="0"/>
    <n v="0"/>
    <n v="0"/>
    <n v="0"/>
    <n v="0"/>
    <n v="0"/>
    <n v="0"/>
  </r>
  <r>
    <x v="6"/>
    <x v="111"/>
    <s v="2X"/>
    <s v="CablageCABLES SOUPLES CUIVRE2X"/>
    <s v="2 X 0,5  ( souple gris  ) - défaut purgeur"/>
    <n v="6"/>
    <s v="LYFLEX2X0,5"/>
    <m/>
    <m/>
    <n v="0"/>
    <m/>
    <m/>
    <m/>
    <m/>
    <m/>
    <m/>
    <n v="0"/>
    <m/>
    <m/>
    <m/>
    <m/>
    <n v="0"/>
    <n v="0"/>
    <n v="0"/>
    <n v="0"/>
    <n v="0"/>
    <n v="0"/>
    <n v="0"/>
  </r>
  <r>
    <x v="6"/>
    <x v="111"/>
    <s v="3G"/>
    <s v="CablageCABLES SOUPLES CUIVRE3G"/>
    <s v="3 G 0,75  ( souple gris  ) - alimentation purgeur"/>
    <n v="7"/>
    <s v="LYFLEXNB3G0,75"/>
    <m/>
    <m/>
    <n v="0"/>
    <m/>
    <m/>
    <m/>
    <m/>
    <m/>
    <m/>
    <n v="0"/>
    <m/>
    <m/>
    <m/>
    <s v="(purgeur)"/>
    <n v="0"/>
    <n v="0"/>
    <n v="0"/>
    <n v="0"/>
    <n v="0"/>
    <n v="0"/>
    <n v="0"/>
  </r>
  <r>
    <x v="6"/>
    <x v="111"/>
    <s v="4G"/>
    <s v="CablageCABLES SOUPLES CUIVRE4G"/>
    <s v="4 G 0,75  ( souple gris  )"/>
    <n v="8"/>
    <s v="HO5VVF4G0,75"/>
    <m/>
    <m/>
    <n v="0"/>
    <m/>
    <m/>
    <m/>
    <m/>
    <m/>
    <m/>
    <n v="0"/>
    <m/>
    <m/>
    <m/>
    <m/>
    <n v="0"/>
    <n v="0"/>
    <n v="0"/>
    <n v="0"/>
    <n v="0"/>
    <n v="0"/>
    <n v="0"/>
  </r>
  <r>
    <x v="6"/>
    <x v="111"/>
    <s v="5G"/>
    <s v="CablageCABLES SOUPLES CUIVRE5G"/>
    <s v="5 G 0,75  ( souple gris  ) - ailmentation + défaut purgeur"/>
    <n v="9"/>
    <s v="LYCY5G0,75"/>
    <m/>
    <m/>
    <n v="0"/>
    <m/>
    <m/>
    <m/>
    <m/>
    <m/>
    <m/>
    <n v="0"/>
    <m/>
    <m/>
    <m/>
    <m/>
    <n v="0"/>
    <n v="0"/>
    <n v="0"/>
    <n v="0"/>
    <n v="0"/>
    <n v="0"/>
    <n v="0"/>
  </r>
  <r>
    <x v="6"/>
    <x v="111"/>
    <s v="3G"/>
    <s v="CablageCABLES SOUPLES CUIVRE3G"/>
    <s v="3 G 1       ( souple gris  )"/>
    <n v="10"/>
    <s v="LYFLEXNB3G1"/>
    <m/>
    <m/>
    <n v="0"/>
    <m/>
    <m/>
    <m/>
    <m/>
    <m/>
    <m/>
    <n v="0"/>
    <m/>
    <m/>
    <m/>
    <m/>
    <n v="0"/>
    <n v="0"/>
    <n v="0"/>
    <n v="0"/>
    <n v="0"/>
    <n v="0"/>
    <n v="0"/>
  </r>
  <r>
    <x v="6"/>
    <x v="111"/>
    <s v="4G"/>
    <s v="CablageCABLES SOUPLES CUIVRE4G"/>
    <s v="4 G 1       ( souple gris  )"/>
    <n v="11"/>
    <s v="LYCY4G1"/>
    <m/>
    <m/>
    <n v="0"/>
    <m/>
    <m/>
    <m/>
    <m/>
    <m/>
    <m/>
    <n v="0"/>
    <m/>
    <m/>
    <m/>
    <m/>
    <n v="0"/>
    <n v="0"/>
    <n v="0"/>
    <n v="0"/>
    <n v="0"/>
    <n v="0"/>
    <n v="0"/>
  </r>
  <r>
    <x v="6"/>
    <x v="111"/>
    <s v="12G"/>
    <s v="CablageCABLES SOUPLES CUIVRE12G"/>
    <s v="12G0,75  (souple Gris)"/>
    <n v="12"/>
    <s v="HO5VV12G0,75GRTGL"/>
    <m/>
    <m/>
    <n v="0"/>
    <m/>
    <m/>
    <m/>
    <m/>
    <m/>
    <m/>
    <n v="0"/>
    <m/>
    <m/>
    <m/>
    <m/>
    <n v="0"/>
    <n v="0"/>
    <n v="0"/>
    <n v="0"/>
    <n v="0"/>
    <n v="0"/>
    <n v="0"/>
  </r>
  <r>
    <x v="6"/>
    <x v="111"/>
    <s v="7G"/>
    <s v="CablageCABLES SOUPLES CUIVRE7G"/>
    <s v="7 G 0,75  ( souple gris  )"/>
    <n v="13"/>
    <s v="HO5VV5F7G0,75"/>
    <m/>
    <m/>
    <n v="0"/>
    <m/>
    <m/>
    <m/>
    <m/>
    <m/>
    <m/>
    <n v="0"/>
    <m/>
    <m/>
    <m/>
    <m/>
    <n v="0"/>
    <n v="0"/>
    <n v="0"/>
    <n v="0"/>
    <n v="0"/>
    <n v="0"/>
    <n v="0"/>
  </r>
  <r>
    <x v="6"/>
    <x v="111"/>
    <s v="2G"/>
    <s v="CablageCABLES SOUPLES CUIVRE2G"/>
    <s v="2 G 0,75   (souple Gris"/>
    <n v="14"/>
    <s v="HO5VVF2X0,75"/>
    <m/>
    <m/>
    <n v="0"/>
    <m/>
    <m/>
    <m/>
    <m/>
    <m/>
    <m/>
    <n v="0"/>
    <m/>
    <m/>
    <m/>
    <m/>
    <n v="0"/>
    <n v="0"/>
    <n v="0"/>
    <n v="0"/>
    <n v="0"/>
    <n v="0"/>
    <n v="0"/>
  </r>
  <r>
    <x v="6"/>
    <x v="111"/>
    <s v="3G"/>
    <s v="CablageCABLES SOUPLES CUIVRE3G"/>
    <s v="3 G 0,75  ( souple gris  )"/>
    <n v="15"/>
    <s v="HO5VVF3G0,75"/>
    <m/>
    <m/>
    <n v="0"/>
    <m/>
    <m/>
    <m/>
    <m/>
    <m/>
    <m/>
    <n v="0"/>
    <m/>
    <m/>
    <m/>
    <m/>
    <n v="0"/>
    <n v="0"/>
    <n v="0"/>
    <n v="0"/>
    <n v="0"/>
    <n v="0"/>
    <n v="0"/>
  </r>
  <r>
    <x v="6"/>
    <x v="111"/>
    <s v="3G"/>
    <s v="CablageCABLES SOUPLES CUIVRE3G"/>
    <s v="3 G 0,75  ( souple gris  )"/>
    <n v="16"/>
    <s v="HO5VVF3G1"/>
    <m/>
    <m/>
    <n v="0"/>
    <m/>
    <m/>
    <m/>
    <m/>
    <m/>
    <m/>
    <n v="0"/>
    <m/>
    <m/>
    <m/>
    <m/>
    <n v="0"/>
    <n v="0"/>
    <n v="0"/>
    <n v="0"/>
    <n v="0"/>
    <n v="0"/>
    <n v="0"/>
  </r>
  <r>
    <x v="6"/>
    <x v="111"/>
    <s v="4G"/>
    <s v="CablageCABLES SOUPLES CUIVRE4G"/>
    <s v="3 G 0,75  ( souple gris  )"/>
    <n v="17"/>
    <s v="HO5VVF3G1.5"/>
    <m/>
    <m/>
    <n v="0"/>
    <m/>
    <m/>
    <m/>
    <m/>
    <m/>
    <m/>
    <n v="0"/>
    <m/>
    <m/>
    <m/>
    <m/>
    <n v="0"/>
    <n v="0"/>
    <n v="0"/>
    <n v="0"/>
    <n v="0"/>
    <n v="0"/>
    <n v="0"/>
  </r>
  <r>
    <x v="6"/>
    <x v="111"/>
    <s v="4G"/>
    <s v="CablageCABLES SOUPLES CUIVRE4G"/>
    <s v="3 G 0,75  ( souple gris  )"/>
    <n v="18"/>
    <s v="HO5VVF4G0,75"/>
    <m/>
    <m/>
    <n v="0"/>
    <m/>
    <m/>
    <m/>
    <m/>
    <m/>
    <m/>
    <n v="0"/>
    <m/>
    <m/>
    <m/>
    <m/>
    <n v="0"/>
    <n v="0"/>
    <n v="0"/>
    <n v="0"/>
    <n v="0"/>
    <n v="0"/>
    <n v="0"/>
  </r>
  <r>
    <x v="6"/>
    <x v="111"/>
    <s v="4G"/>
    <s v="CablageCABLES SOUPLES CUIVRE4G"/>
    <s v="4 G 1  ( souple gris  )"/>
    <n v="19"/>
    <s v="HO5VVF4G1"/>
    <m/>
    <m/>
    <n v="0"/>
    <m/>
    <m/>
    <m/>
    <m/>
    <m/>
    <m/>
    <n v="0"/>
    <m/>
    <m/>
    <m/>
    <m/>
    <n v="0"/>
    <n v="0"/>
    <n v="0"/>
    <n v="0"/>
    <n v="0"/>
    <n v="0"/>
    <n v="0"/>
  </r>
  <r>
    <x v="6"/>
    <x v="111"/>
    <s v="4G"/>
    <s v="CablageCABLES SOUPLES CUIVRE4G"/>
    <s v="4 G 1.5  ( souple gris  )"/>
    <n v="20"/>
    <s v="HO5VVF4X1,5"/>
    <m/>
    <m/>
    <n v="0"/>
    <m/>
    <m/>
    <m/>
    <m/>
    <m/>
    <m/>
    <n v="0"/>
    <m/>
    <m/>
    <m/>
    <m/>
    <n v="0"/>
    <n v="0"/>
    <n v="0"/>
    <n v="0"/>
    <n v="0"/>
    <n v="0"/>
    <n v="0"/>
  </r>
  <r>
    <x v="6"/>
    <x v="111"/>
    <s v="5G"/>
    <s v="CablageCABLES SOUPLES CUIVRE5G"/>
    <s v="5 G 0,75  ( souple gris  )"/>
    <n v="21"/>
    <s v="HO5VVF5G0,75"/>
    <m/>
    <m/>
    <n v="0"/>
    <m/>
    <m/>
    <m/>
    <m/>
    <m/>
    <m/>
    <n v="0"/>
    <m/>
    <m/>
    <m/>
    <m/>
    <n v="0"/>
    <n v="0"/>
    <n v="0"/>
    <n v="0"/>
    <n v="0"/>
    <n v="0"/>
    <n v="0"/>
  </r>
  <r>
    <x v="6"/>
    <x v="111"/>
    <s v="5G"/>
    <s v="CablageCABLES SOUPLES CUIVRE5G"/>
    <s v="5 G 1       ( souple gris  )"/>
    <n v="22"/>
    <s v="HO5VVF5G1"/>
    <m/>
    <m/>
    <n v="0"/>
    <m/>
    <m/>
    <m/>
    <m/>
    <m/>
    <m/>
    <n v="0"/>
    <m/>
    <m/>
    <m/>
    <m/>
    <n v="0"/>
    <n v="0"/>
    <n v="0"/>
    <n v="0"/>
    <n v="0"/>
    <n v="0"/>
    <n v="0"/>
  </r>
  <r>
    <x v="6"/>
    <x v="111"/>
    <s v="5G"/>
    <s v="CablageCABLES SOUPLES CUIVRE5G"/>
    <s v="5 G 0,75  ( souple gris  )"/>
    <n v="23"/>
    <s v="HO5VVF5G0,75"/>
    <m/>
    <m/>
    <n v="0"/>
    <m/>
    <m/>
    <m/>
    <m/>
    <m/>
    <m/>
    <n v="0"/>
    <m/>
    <m/>
    <m/>
    <m/>
    <n v="0"/>
    <n v="0"/>
    <n v="0"/>
    <n v="0"/>
    <n v="0"/>
    <n v="0"/>
    <n v="0"/>
  </r>
  <r>
    <x v="6"/>
    <x v="111"/>
    <m/>
    <s v="CablageCABLES SOUPLES CUIVRE"/>
    <m/>
    <n v="24"/>
    <m/>
    <m/>
    <m/>
    <n v="0"/>
    <m/>
    <m/>
    <m/>
    <m/>
    <m/>
    <m/>
    <n v="0"/>
    <m/>
    <m/>
    <m/>
    <m/>
    <n v="0"/>
    <n v="0"/>
    <n v="0"/>
    <n v="0"/>
    <n v="0"/>
    <n v="0"/>
    <n v="0"/>
  </r>
  <r>
    <x v="6"/>
    <x v="111"/>
    <s v="unifilaire"/>
    <s v="CablageCABLES SOUPLES CUIVREunifilaire"/>
    <s v="1x0,5²     ( unifilaire de cablage  )"/>
    <n v="25"/>
    <s v="HO5VK0,50"/>
    <m/>
    <m/>
    <n v="0"/>
    <m/>
    <m/>
    <m/>
    <m/>
    <m/>
    <m/>
    <n v="0"/>
    <m/>
    <m/>
    <m/>
    <s v="Cable raccordement carte de regule (x multiple de 100m)"/>
    <n v="0"/>
    <n v="0"/>
    <n v="0"/>
    <n v="0"/>
    <n v="0"/>
    <n v="0"/>
    <n v="0"/>
  </r>
  <r>
    <x v="6"/>
    <x v="111"/>
    <s v="unifilaire"/>
    <s v="CablageCABLES SOUPLES CUIVREunifilaire"/>
    <s v="1x0,75²     ( unifilaire de cablage Noir )"/>
    <n v="26"/>
    <s v="HO5VK0,75"/>
    <m/>
    <m/>
    <n v="0"/>
    <m/>
    <m/>
    <m/>
    <m/>
    <m/>
    <m/>
    <n v="0"/>
    <m/>
    <m/>
    <m/>
    <m/>
    <n v="0"/>
    <n v="0"/>
    <n v="0"/>
    <n v="0"/>
    <n v="0"/>
    <n v="0"/>
    <n v="0"/>
  </r>
  <r>
    <x v="6"/>
    <x v="111"/>
    <s v="unifilaire"/>
    <s v="CablageCABLES SOUPLES CUIVREunifilaire"/>
    <s v="1x0,75²     ( unifilaire de cablage Bleu )"/>
    <n v="27"/>
    <s v="HO5VK0,75 B"/>
    <m/>
    <m/>
    <n v="0"/>
    <m/>
    <m/>
    <m/>
    <m/>
    <m/>
    <m/>
    <n v="0"/>
    <m/>
    <m/>
    <m/>
    <m/>
    <n v="0"/>
    <n v="0"/>
    <n v="0"/>
    <n v="0"/>
    <n v="0"/>
    <n v="0"/>
    <n v="0"/>
  </r>
  <r>
    <x v="6"/>
    <x v="111"/>
    <s v="unifilaire"/>
    <s v="CablageCABLES SOUPLES CUIVREunifilaire"/>
    <s v="1x0,75²     ( unifilaire de cablage Orange )"/>
    <n v="28"/>
    <s v="HO5VK0,75 OR"/>
    <m/>
    <m/>
    <n v="0"/>
    <m/>
    <m/>
    <m/>
    <m/>
    <m/>
    <m/>
    <n v="0"/>
    <m/>
    <m/>
    <m/>
    <m/>
    <n v="0"/>
    <n v="0"/>
    <n v="0"/>
    <n v="0"/>
    <n v="0"/>
    <n v="0"/>
    <n v="0"/>
  </r>
  <r>
    <x v="6"/>
    <x v="111"/>
    <s v="unifilaire"/>
    <s v="CablageCABLES SOUPLES CUIVREunifilaire"/>
    <s v="1x0,75²     ( unifilaire de cablage Rouge )"/>
    <n v="29"/>
    <s v="HO5VK0,75-RO"/>
    <m/>
    <m/>
    <n v="0"/>
    <m/>
    <m/>
    <m/>
    <m/>
    <m/>
    <m/>
    <n v="0"/>
    <m/>
    <m/>
    <m/>
    <m/>
    <n v="0"/>
    <n v="0"/>
    <n v="0"/>
    <n v="0"/>
    <n v="0"/>
    <n v="0"/>
    <n v="0"/>
  </r>
  <r>
    <x v="6"/>
    <x v="111"/>
    <s v="unifilaire"/>
    <s v="CablageCABLES SOUPLES CUIVREunifilaire"/>
    <s v="1x1²     ( unifilaire de cablage Noir)"/>
    <n v="30"/>
    <s v="H05VK1-N"/>
    <m/>
    <m/>
    <n v="0"/>
    <m/>
    <m/>
    <m/>
    <m/>
    <m/>
    <m/>
    <n v="0"/>
    <m/>
    <m/>
    <m/>
    <s v="Bretelle de racoordement)"/>
    <n v="0"/>
    <n v="0"/>
    <n v="0"/>
    <n v="0"/>
    <n v="0"/>
    <n v="0"/>
    <n v="0"/>
  </r>
  <r>
    <x v="6"/>
    <x v="111"/>
    <s v="unifilaire"/>
    <s v="CablageCABLES SOUPLES CUIVREunifilaire"/>
    <s v="1x1²     ( unifilaire de cablage Rouge )"/>
    <n v="31"/>
    <s v="H05VK1-RO"/>
    <m/>
    <m/>
    <n v="0"/>
    <m/>
    <m/>
    <m/>
    <m/>
    <m/>
    <m/>
    <n v="0"/>
    <m/>
    <m/>
    <m/>
    <m/>
    <n v="0"/>
    <n v="0"/>
    <n v="0"/>
    <n v="0"/>
    <n v="0"/>
    <n v="0"/>
    <n v="0"/>
  </r>
  <r>
    <x v="6"/>
    <x v="111"/>
    <s v="unifilaire"/>
    <s v="CablageCABLES SOUPLES CUIVREunifilaire"/>
    <s v="1x1,5²  ( unifilaire de cablage  )"/>
    <n v="32"/>
    <s v="HO7VK1,5"/>
    <m/>
    <m/>
    <n v="0"/>
    <m/>
    <m/>
    <m/>
    <m/>
    <m/>
    <m/>
    <n v="0"/>
    <m/>
    <m/>
    <m/>
    <m/>
    <n v="0"/>
    <n v="0"/>
    <n v="0"/>
    <n v="0"/>
    <n v="0"/>
    <n v="0"/>
    <n v="0"/>
  </r>
  <r>
    <x v="6"/>
    <x v="111"/>
    <s v="unifilaire"/>
    <s v="CablageCABLES SOUPLES CUIVREunifilaire"/>
    <s v="1x1,5²  ( unifilaire de cablage Rouge )"/>
    <n v="33"/>
    <s v="HO7VK1,5-R"/>
    <m/>
    <m/>
    <n v="0"/>
    <m/>
    <m/>
    <m/>
    <m/>
    <m/>
    <m/>
    <n v="0"/>
    <m/>
    <m/>
    <m/>
    <s v="Bretelle de racoordement)"/>
    <n v="0"/>
    <n v="0"/>
    <n v="0"/>
    <n v="0"/>
    <n v="0"/>
    <n v="0"/>
    <n v="0"/>
  </r>
  <r>
    <x v="6"/>
    <x v="111"/>
    <s v="unifilaire"/>
    <s v="CablageCABLES SOUPLES CUIVREunifilaire"/>
    <s v="1x2,5²  ( unifilaire de cablage  )"/>
    <n v="34"/>
    <s v="HO7VK2,5-N"/>
    <m/>
    <m/>
    <n v="0"/>
    <m/>
    <m/>
    <m/>
    <m/>
    <m/>
    <m/>
    <n v="0"/>
    <m/>
    <m/>
    <m/>
    <s v="Bretelle de racoordement)"/>
    <n v="0"/>
    <n v="0"/>
    <n v="0"/>
    <n v="0"/>
    <n v="0"/>
    <n v="0"/>
    <n v="0"/>
  </r>
  <r>
    <x v="6"/>
    <x v="111"/>
    <s v="unifilaire"/>
    <s v="CablageCABLES SOUPLES CUIVREunifilaire"/>
    <s v="1x2,5²  ( unifilaire de cablage  Vert/Jaune)"/>
    <n v="35"/>
    <s v="HO7VK2,5VERT/JAUN"/>
    <m/>
    <m/>
    <n v="0"/>
    <m/>
    <m/>
    <m/>
    <m/>
    <m/>
    <m/>
    <n v="0"/>
    <m/>
    <m/>
    <m/>
    <m/>
    <n v="0"/>
    <n v="0"/>
    <n v="0"/>
    <n v="0"/>
    <n v="0"/>
    <n v="0"/>
    <n v="0"/>
  </r>
  <r>
    <x v="6"/>
    <x v="111"/>
    <s v="unifilaire"/>
    <s v="CablageCABLES SOUPLES CUIVREunifilaire"/>
    <s v="1x4²     ( unifilaire de cablageNoir)"/>
    <n v="36"/>
    <s v="HO7VK4-N"/>
    <m/>
    <m/>
    <n v="0"/>
    <m/>
    <m/>
    <m/>
    <m/>
    <m/>
    <m/>
    <n v="0"/>
    <m/>
    <m/>
    <m/>
    <m/>
    <n v="0"/>
    <n v="0"/>
    <n v="0"/>
    <n v="0"/>
    <n v="0"/>
    <n v="0"/>
    <n v="0"/>
  </r>
  <r>
    <x v="6"/>
    <x v="111"/>
    <s v="unifilaire"/>
    <s v="CablageCABLES SOUPLES CUIVREunifilaire"/>
    <s v="1x4²     ( unifilaire de cablageBleu)"/>
    <n v="37"/>
    <s v="HO7VK4B"/>
    <m/>
    <m/>
    <n v="0"/>
    <m/>
    <m/>
    <m/>
    <m/>
    <m/>
    <m/>
    <n v="0"/>
    <m/>
    <m/>
    <m/>
    <s v="Bretelle de racoordement)"/>
    <n v="0"/>
    <n v="0"/>
    <n v="0"/>
    <n v="0"/>
    <n v="0"/>
    <n v="0"/>
    <n v="0"/>
  </r>
  <r>
    <x v="6"/>
    <x v="111"/>
    <s v="unifilaire"/>
    <s v="CablageCABLES SOUPLES CUIVREunifilaire"/>
    <s v="1x6²     ( unifilaire de cablage  )"/>
    <n v="38"/>
    <s v="HO7VK6-N"/>
    <m/>
    <m/>
    <n v="0"/>
    <m/>
    <m/>
    <m/>
    <m/>
    <m/>
    <m/>
    <n v="0"/>
    <m/>
    <m/>
    <m/>
    <s v="Bretelle de racoordement)"/>
    <n v="0"/>
    <n v="0"/>
    <n v="0"/>
    <n v="0"/>
    <n v="0"/>
    <n v="0"/>
    <n v="0"/>
  </r>
  <r>
    <x v="6"/>
    <x v="111"/>
    <s v="unifilaire"/>
    <s v="CablageCABLES SOUPLES CUIVREunifilaire"/>
    <s v="1x10²   ( unifilaire de cablage  )"/>
    <n v="39"/>
    <s v="HO7VK10"/>
    <m/>
    <m/>
    <n v="0"/>
    <m/>
    <m/>
    <m/>
    <m/>
    <m/>
    <m/>
    <n v="0"/>
    <m/>
    <m/>
    <m/>
    <s v="Bretelle de racoordement)"/>
    <n v="0"/>
    <n v="0"/>
    <n v="0"/>
    <n v="0"/>
    <n v="0"/>
    <n v="0"/>
    <n v="0"/>
  </r>
  <r>
    <x v="6"/>
    <x v="111"/>
    <s v="unifilaire"/>
    <s v="CablageCABLES SOUPLES CUIVREunifilaire"/>
    <s v="1x16²   ( unifilaire de cablage  )"/>
    <n v="40"/>
    <s v="HO7VK16"/>
    <m/>
    <m/>
    <n v="0"/>
    <m/>
    <m/>
    <m/>
    <m/>
    <m/>
    <m/>
    <n v="0"/>
    <m/>
    <m/>
    <m/>
    <s v="Bretelle de racoordement)"/>
    <n v="0"/>
    <n v="0"/>
    <n v="0"/>
    <n v="0"/>
    <n v="0"/>
    <n v="0"/>
    <n v="0"/>
  </r>
  <r>
    <x v="6"/>
    <x v="111"/>
    <s v="unifilaire"/>
    <s v="CablageCABLES SOUPLES CUIVREunifilaire"/>
    <s v="1x25²   ( unifilaire de cablage  )"/>
    <n v="41"/>
    <s v="HO7VK25-N"/>
    <m/>
    <m/>
    <n v="0"/>
    <m/>
    <m/>
    <m/>
    <m/>
    <m/>
    <m/>
    <n v="0"/>
    <m/>
    <m/>
    <m/>
    <s v="Bretelle de racoordement)"/>
    <n v="0"/>
    <n v="0"/>
    <n v="0"/>
    <n v="0"/>
    <n v="0"/>
    <n v="0"/>
    <n v="0"/>
  </r>
  <r>
    <x v="6"/>
    <x v="111"/>
    <s v="unifilaire"/>
    <s v="CablageCABLES SOUPLES CUIVREunifilaire"/>
    <s v="1x25²   ( unifilaire de cablage Rouge )"/>
    <n v="42"/>
    <s v="HO7VK25-R"/>
    <m/>
    <m/>
    <n v="0"/>
    <m/>
    <m/>
    <m/>
    <m/>
    <m/>
    <m/>
    <n v="0"/>
    <m/>
    <m/>
    <m/>
    <m/>
    <n v="0"/>
    <n v="0"/>
    <n v="0"/>
    <n v="0"/>
    <n v="0"/>
    <n v="0"/>
    <n v="0"/>
  </r>
  <r>
    <x v="6"/>
    <x v="111"/>
    <s v="unifilaire"/>
    <s v="CablageCABLES SOUPLES CUIVREunifilaire"/>
    <s v="1x35²   ( unifilaire de cablage  )"/>
    <n v="43"/>
    <s v="HO7VK35"/>
    <m/>
    <m/>
    <n v="0"/>
    <m/>
    <m/>
    <m/>
    <m/>
    <m/>
    <m/>
    <n v="0"/>
    <m/>
    <m/>
    <m/>
    <s v="Bretelle de racoordement)"/>
    <n v="0"/>
    <n v="0"/>
    <n v="0"/>
    <n v="0"/>
    <n v="0"/>
    <n v="0"/>
    <n v="0"/>
  </r>
  <r>
    <x v="6"/>
    <x v="111"/>
    <s v="unifilaire"/>
    <s v="CablageCABLES SOUPLES CUIVREunifilaire"/>
    <s v="1x50²   ( unifilaire de cablage  )"/>
    <n v="44"/>
    <s v="HO7VK50-N"/>
    <m/>
    <m/>
    <n v="0"/>
    <m/>
    <m/>
    <m/>
    <m/>
    <m/>
    <m/>
    <n v="0"/>
    <m/>
    <m/>
    <m/>
    <s v="Bretelle de racoordement)"/>
    <n v="0"/>
    <n v="0"/>
    <n v="0"/>
    <n v="0"/>
    <n v="0"/>
    <n v="0"/>
    <n v="0"/>
  </r>
  <r>
    <x v="6"/>
    <x v="111"/>
    <s v="unifilaire"/>
    <s v="CablageCABLES SOUPLES CUIVREunifilaire"/>
    <s v="1x70²   ( unifilaire de cablage  Vert/JAUNE)"/>
    <n v="45"/>
    <s v="HO7VK70VERT/JAUN"/>
    <m/>
    <m/>
    <n v="0"/>
    <m/>
    <m/>
    <m/>
    <m/>
    <m/>
    <m/>
    <n v="0"/>
    <m/>
    <m/>
    <m/>
    <s v="Bretelle de racoordement)"/>
    <n v="0"/>
    <n v="0"/>
    <n v="0"/>
    <n v="0"/>
    <n v="0"/>
    <n v="0"/>
    <n v="0"/>
  </r>
  <r>
    <x v="6"/>
    <x v="111"/>
    <s v="2x"/>
    <s v="CablageCABLES SOUPLES CUIVRE2x"/>
    <s v="2x1     ( souple noir  )"/>
    <n v="46"/>
    <s v="HO7RNF2X1"/>
    <m/>
    <m/>
    <n v="0"/>
    <m/>
    <m/>
    <m/>
    <m/>
    <m/>
    <m/>
    <n v="0"/>
    <m/>
    <m/>
    <m/>
    <m/>
    <n v="0"/>
    <n v="0"/>
    <n v="0"/>
    <n v="0"/>
    <n v="0"/>
    <n v="0"/>
    <n v="0"/>
  </r>
  <r>
    <x v="6"/>
    <x v="111"/>
    <s v="3G"/>
    <s v="CablageCABLES SOUPLES CUIVRE3G"/>
    <s v="3G1     ( souple noir  )"/>
    <n v="47"/>
    <s v="HO7RNF3G1"/>
    <m/>
    <m/>
    <n v="0"/>
    <m/>
    <m/>
    <m/>
    <m/>
    <m/>
    <m/>
    <n v="0"/>
    <m/>
    <m/>
    <m/>
    <m/>
    <n v="0"/>
    <n v="0"/>
    <n v="0"/>
    <n v="0"/>
    <n v="0"/>
    <n v="0"/>
    <n v="0"/>
  </r>
  <r>
    <x v="6"/>
    <x v="111"/>
    <s v="4G"/>
    <s v="CablageCABLES SOUPLES CUIVRE4G"/>
    <s v="4G1     ( souple noir  )"/>
    <n v="48"/>
    <s v="HO7RNF4G1"/>
    <m/>
    <m/>
    <n v="0"/>
    <m/>
    <m/>
    <m/>
    <m/>
    <m/>
    <m/>
    <n v="0"/>
    <m/>
    <m/>
    <m/>
    <m/>
    <n v="0"/>
    <n v="0"/>
    <n v="0"/>
    <n v="0"/>
    <n v="0"/>
    <n v="0"/>
    <n v="0"/>
  </r>
  <r>
    <x v="6"/>
    <x v="111"/>
    <s v="3G"/>
    <s v="CablageCABLES SOUPLES CUIVRE3G"/>
    <s v="3G1,5  ( souple noir  )"/>
    <n v="49"/>
    <s v="HO7RNF3G1,5"/>
    <m/>
    <m/>
    <n v="0"/>
    <m/>
    <m/>
    <m/>
    <m/>
    <m/>
    <m/>
    <n v="0"/>
    <m/>
    <m/>
    <m/>
    <m/>
    <n v="0"/>
    <n v="0"/>
    <n v="0"/>
    <n v="0"/>
    <n v="0"/>
    <n v="0"/>
    <n v="0"/>
  </r>
  <r>
    <x v="6"/>
    <x v="111"/>
    <s v="4G"/>
    <s v="CablageCABLES SOUPLES CUIVRE4G"/>
    <s v="4G1,5  ( souple noir  )"/>
    <n v="50"/>
    <s v="HO7RNF4G1,5"/>
    <m/>
    <m/>
    <n v="0"/>
    <m/>
    <m/>
    <m/>
    <m/>
    <m/>
    <m/>
    <n v="0"/>
    <m/>
    <m/>
    <m/>
    <m/>
    <n v="0"/>
    <n v="0"/>
    <n v="0"/>
    <n v="0"/>
    <n v="0"/>
    <n v="0"/>
    <n v="0"/>
  </r>
  <r>
    <x v="6"/>
    <x v="111"/>
    <s v="3G"/>
    <s v="CablageCABLES SOUPLES CUIVRE3G"/>
    <s v="3G2,5  ( souple noir  )"/>
    <n v="51"/>
    <s v="HO7RNF3G2,5"/>
    <m/>
    <m/>
    <n v="0"/>
    <m/>
    <m/>
    <m/>
    <m/>
    <m/>
    <m/>
    <n v="0"/>
    <m/>
    <m/>
    <m/>
    <m/>
    <n v="0"/>
    <n v="0"/>
    <n v="0"/>
    <n v="0"/>
    <n v="0"/>
    <n v="0"/>
    <n v="0"/>
  </r>
  <r>
    <x v="6"/>
    <x v="111"/>
    <s v="4G"/>
    <s v="CablageCABLES SOUPLES CUIVRE4G"/>
    <s v="4G2,5  ( souple noir  )"/>
    <n v="52"/>
    <s v="HO7RNF4G2,5"/>
    <m/>
    <m/>
    <n v="0"/>
    <m/>
    <m/>
    <m/>
    <m/>
    <m/>
    <m/>
    <n v="0"/>
    <m/>
    <m/>
    <m/>
    <m/>
    <n v="0"/>
    <n v="0"/>
    <n v="0"/>
    <n v="0"/>
    <n v="0"/>
    <n v="0"/>
    <n v="0"/>
  </r>
  <r>
    <x v="6"/>
    <x v="111"/>
    <s v="3G"/>
    <s v="CablageCABLES SOUPLES CUIVRE3G"/>
    <s v="3G4     ( souple noir  )"/>
    <n v="53"/>
    <s v="HO7RNF3G4"/>
    <m/>
    <m/>
    <n v="0"/>
    <m/>
    <m/>
    <m/>
    <m/>
    <m/>
    <m/>
    <n v="0"/>
    <m/>
    <m/>
    <m/>
    <m/>
    <n v="0"/>
    <n v="0"/>
    <n v="0"/>
    <n v="0"/>
    <n v="0"/>
    <n v="0"/>
    <n v="0"/>
  </r>
  <r>
    <x v="6"/>
    <x v="111"/>
    <s v="4G"/>
    <s v="CablageCABLES SOUPLES CUIVRE4G"/>
    <s v="4G4     ( souple noir  )"/>
    <n v="54"/>
    <s v="HO7RNF4G4"/>
    <m/>
    <m/>
    <n v="0"/>
    <m/>
    <m/>
    <m/>
    <m/>
    <m/>
    <m/>
    <n v="0"/>
    <m/>
    <m/>
    <m/>
    <m/>
    <n v="0"/>
    <n v="0"/>
    <n v="0"/>
    <n v="0"/>
    <n v="0"/>
    <n v="0"/>
    <n v="0"/>
  </r>
  <r>
    <x v="6"/>
    <x v="111"/>
    <s v="5G"/>
    <s v="CablageCABLES SOUPLES CUIVRE5G"/>
    <s v="5G4     ( souple noir  )"/>
    <n v="55"/>
    <s v="HO7RNF5G4"/>
    <m/>
    <m/>
    <n v="0"/>
    <m/>
    <m/>
    <m/>
    <m/>
    <m/>
    <m/>
    <n v="0"/>
    <m/>
    <m/>
    <m/>
    <m/>
    <n v="0"/>
    <n v="0"/>
    <n v="0"/>
    <n v="0"/>
    <n v="0"/>
    <n v="0"/>
    <n v="0"/>
  </r>
  <r>
    <x v="6"/>
    <x v="111"/>
    <s v="3G"/>
    <s v="CablageCABLES SOUPLES CUIVRE3G"/>
    <s v="3G6     ( souple noir  )"/>
    <n v="56"/>
    <s v="HO7RNF3G6"/>
    <m/>
    <m/>
    <n v="0"/>
    <m/>
    <m/>
    <m/>
    <m/>
    <m/>
    <m/>
    <n v="0"/>
    <m/>
    <m/>
    <m/>
    <m/>
    <n v="0"/>
    <n v="0"/>
    <n v="0"/>
    <n v="0"/>
    <n v="0"/>
    <n v="0"/>
    <n v="0"/>
  </r>
  <r>
    <x v="6"/>
    <x v="111"/>
    <s v="4G"/>
    <s v="CablageCABLES SOUPLES CUIVRE4G"/>
    <s v="4G6     ( souple noir  )"/>
    <n v="57"/>
    <s v="HO7RNF4G6"/>
    <m/>
    <m/>
    <n v="0"/>
    <m/>
    <m/>
    <m/>
    <m/>
    <m/>
    <m/>
    <n v="0"/>
    <m/>
    <m/>
    <m/>
    <m/>
    <n v="0"/>
    <n v="0"/>
    <n v="0"/>
    <n v="0"/>
    <n v="0"/>
    <n v="0"/>
    <n v="0"/>
  </r>
  <r>
    <x v="6"/>
    <x v="111"/>
    <s v="5G"/>
    <s v="CablageCABLES SOUPLES CUIVRE5G"/>
    <s v="5G6     ( souple noir  )"/>
    <n v="58"/>
    <s v="HO7RNF5G6"/>
    <m/>
    <m/>
    <n v="0"/>
    <m/>
    <m/>
    <m/>
    <m/>
    <m/>
    <m/>
    <n v="0"/>
    <m/>
    <m/>
    <m/>
    <m/>
    <n v="0"/>
    <n v="0"/>
    <n v="0"/>
    <n v="0"/>
    <n v="0"/>
    <n v="0"/>
    <n v="0"/>
  </r>
  <r>
    <x v="6"/>
    <x v="111"/>
    <s v="4G"/>
    <s v="CablageCABLES SOUPLES CUIVRE4G"/>
    <s v="4G10   ( souple noir  )"/>
    <n v="59"/>
    <s v="HO7RNF4G10"/>
    <m/>
    <m/>
    <n v="0"/>
    <m/>
    <m/>
    <m/>
    <m/>
    <m/>
    <m/>
    <n v="0"/>
    <m/>
    <m/>
    <m/>
    <m/>
    <n v="0"/>
    <n v="0"/>
    <n v="0"/>
    <n v="0"/>
    <n v="0"/>
    <n v="0"/>
    <n v="0"/>
  </r>
  <r>
    <x v="6"/>
    <x v="111"/>
    <s v="5G"/>
    <s v="CablageCABLES SOUPLES CUIVRE5G"/>
    <s v="5G10   ( souple noir  )"/>
    <n v="60"/>
    <s v="HO7RNF5G10"/>
    <m/>
    <m/>
    <n v="0"/>
    <m/>
    <m/>
    <m/>
    <m/>
    <m/>
    <m/>
    <n v="0"/>
    <m/>
    <m/>
    <m/>
    <m/>
    <n v="0"/>
    <n v="0"/>
    <n v="0"/>
    <n v="0"/>
    <n v="0"/>
    <n v="0"/>
    <n v="0"/>
  </r>
  <r>
    <x v="6"/>
    <x v="111"/>
    <s v="4G"/>
    <s v="CablageCABLES SOUPLES CUIVRE4G"/>
    <s v="4G16   ( souple noir  )"/>
    <n v="61"/>
    <s v="HO7RNF4G16"/>
    <m/>
    <m/>
    <n v="0"/>
    <m/>
    <m/>
    <m/>
    <m/>
    <m/>
    <m/>
    <n v="0"/>
    <m/>
    <m/>
    <m/>
    <m/>
    <n v="0"/>
    <n v="0"/>
    <n v="0"/>
    <n v="0"/>
    <n v="0"/>
    <n v="0"/>
    <n v="0"/>
  </r>
  <r>
    <x v="6"/>
    <x v="111"/>
    <s v="5G"/>
    <s v="CablageCABLES SOUPLES CUIVRE5G"/>
    <s v="5G16   ( souple noir  )"/>
    <n v="62"/>
    <s v="HO7RNF5G16"/>
    <m/>
    <m/>
    <n v="0"/>
    <m/>
    <m/>
    <m/>
    <m/>
    <m/>
    <m/>
    <n v="0"/>
    <m/>
    <m/>
    <m/>
    <m/>
    <n v="0"/>
    <n v="0"/>
    <n v="0"/>
    <n v="0"/>
    <n v="0"/>
    <n v="0"/>
    <n v="0"/>
  </r>
  <r>
    <x v="6"/>
    <x v="111"/>
    <s v="4G"/>
    <s v="CablageCABLES SOUPLES CUIVRE4G"/>
    <s v="4G25   ( souple noir  )"/>
    <n v="63"/>
    <s v="H07RNF4G25"/>
    <m/>
    <m/>
    <n v="0"/>
    <m/>
    <m/>
    <m/>
    <m/>
    <m/>
    <m/>
    <n v="0"/>
    <m/>
    <m/>
    <m/>
    <m/>
    <n v="0"/>
    <n v="0"/>
    <n v="0"/>
    <n v="0"/>
    <n v="0"/>
    <n v="0"/>
    <n v="0"/>
  </r>
  <r>
    <x v="6"/>
    <x v="111"/>
    <s v="4G"/>
    <s v="CablageCABLES SOUPLES CUIVRE4G"/>
    <s v="4G35   ( souple noir  )"/>
    <n v="64"/>
    <s v="H07RNF4G35"/>
    <m/>
    <m/>
    <n v="0"/>
    <m/>
    <m/>
    <m/>
    <m/>
    <m/>
    <m/>
    <n v="0"/>
    <m/>
    <m/>
    <m/>
    <m/>
    <n v="0"/>
    <n v="0"/>
    <n v="0"/>
    <n v="0"/>
    <n v="0"/>
    <n v="0"/>
    <n v="0"/>
  </r>
  <r>
    <x v="6"/>
    <x v="111"/>
    <s v="4G"/>
    <s v="CablageCABLES SOUPLES CUIVRE4G"/>
    <s v="4G50  ( souple noir  )"/>
    <n v="65"/>
    <s v="HO7RNF4G50"/>
    <m/>
    <m/>
    <n v="0"/>
    <m/>
    <m/>
    <m/>
    <m/>
    <m/>
    <m/>
    <n v="0"/>
    <m/>
    <m/>
    <m/>
    <m/>
    <n v="0"/>
    <n v="0"/>
    <n v="0"/>
    <n v="0"/>
    <n v="0"/>
    <n v="0"/>
    <n v="0"/>
  </r>
  <r>
    <x v="6"/>
    <x v="111"/>
    <s v="4G"/>
    <s v="CablageCABLES SOUPLES CUIVRE4G"/>
    <s v="4G70  ( souple noir  )"/>
    <n v="66"/>
    <s v="HO7RNF4G70"/>
    <m/>
    <m/>
    <n v="0"/>
    <m/>
    <m/>
    <m/>
    <m/>
    <m/>
    <m/>
    <n v="0"/>
    <m/>
    <m/>
    <m/>
    <m/>
    <n v="0"/>
    <n v="0"/>
    <n v="0"/>
    <n v="0"/>
    <n v="0"/>
    <n v="0"/>
    <n v="0"/>
  </r>
  <r>
    <x v="6"/>
    <x v="111"/>
    <s v="4G"/>
    <s v="CablageCABLES SOUPLES CUIVRE4G"/>
    <s v="4G95  ( souple noir  )"/>
    <n v="67"/>
    <s v="HO7RNF4G95"/>
    <m/>
    <m/>
    <n v="0"/>
    <m/>
    <m/>
    <m/>
    <m/>
    <m/>
    <m/>
    <n v="0"/>
    <m/>
    <m/>
    <m/>
    <m/>
    <n v="0"/>
    <n v="0"/>
    <n v="0"/>
    <n v="0"/>
    <n v="0"/>
    <n v="0"/>
    <n v="0"/>
  </r>
  <r>
    <x v="6"/>
    <x v="111"/>
    <s v="5G"/>
    <s v="CablageCABLES SOUPLES CUIVRE5G"/>
    <s v="5G1    ( souple noir  )"/>
    <n v="68"/>
    <s v="HO7RNF5G1"/>
    <m/>
    <m/>
    <n v="0"/>
    <m/>
    <m/>
    <m/>
    <m/>
    <m/>
    <m/>
    <n v="0"/>
    <m/>
    <m/>
    <m/>
    <m/>
    <n v="0"/>
    <n v="0"/>
    <n v="0"/>
    <n v="0"/>
    <n v="0"/>
    <n v="0"/>
    <n v="0"/>
  </r>
  <r>
    <x v="6"/>
    <x v="111"/>
    <s v="5G"/>
    <s v="CablageCABLES SOUPLES CUIVRE5G"/>
    <s v="5G1,5   ( souple noir  )"/>
    <n v="69"/>
    <s v="HO7RNF5G1,5"/>
    <m/>
    <m/>
    <n v="0"/>
    <m/>
    <m/>
    <m/>
    <m/>
    <m/>
    <m/>
    <n v="0"/>
    <m/>
    <m/>
    <m/>
    <m/>
    <n v="0"/>
    <n v="0"/>
    <n v="0"/>
    <n v="0"/>
    <n v="0"/>
    <n v="0"/>
    <n v="0"/>
  </r>
  <r>
    <x v="6"/>
    <x v="111"/>
    <s v="5G"/>
    <s v="CablageCABLES SOUPLES CUIVRE5G"/>
    <s v="5G2.5   ( souple noir  )"/>
    <n v="70"/>
    <s v="HO7RNF5G2.5"/>
    <m/>
    <m/>
    <n v="0"/>
    <m/>
    <m/>
    <m/>
    <m/>
    <m/>
    <m/>
    <n v="0"/>
    <m/>
    <m/>
    <m/>
    <m/>
    <n v="0"/>
    <n v="0"/>
    <n v="0"/>
    <n v="0"/>
    <n v="0"/>
    <n v="0"/>
    <n v="0"/>
  </r>
  <r>
    <x v="6"/>
    <x v="111"/>
    <s v="5G"/>
    <s v="CablageCABLES SOUPLES CUIVRE5G"/>
    <s v="5G70   ( souple noir  )"/>
    <n v="71"/>
    <s v="HO7RNF5G70"/>
    <m/>
    <m/>
    <n v="0"/>
    <m/>
    <m/>
    <m/>
    <m/>
    <m/>
    <m/>
    <n v="0"/>
    <m/>
    <m/>
    <m/>
    <m/>
    <n v="0"/>
    <n v="0"/>
    <n v="0"/>
    <n v="0"/>
    <n v="0"/>
    <n v="0"/>
    <n v="0"/>
  </r>
  <r>
    <x v="6"/>
    <x v="111"/>
    <s v="7G"/>
    <s v="CablageCABLES SOUPLES CUIVRE7G"/>
    <s v="7G2,5 (souple noir)"/>
    <n v="72"/>
    <s v="HO7RNF7G2,5"/>
    <m/>
    <m/>
    <n v="0"/>
    <m/>
    <m/>
    <m/>
    <m/>
    <m/>
    <m/>
    <n v="0"/>
    <m/>
    <m/>
    <m/>
    <m/>
    <n v="0"/>
    <n v="0"/>
    <n v="0"/>
    <n v="0"/>
    <n v="0"/>
    <n v="0"/>
    <n v="0"/>
  </r>
  <r>
    <x v="6"/>
    <x v="112"/>
    <m/>
    <s v="CablageCABLES SOUPLE BLINDE"/>
    <m/>
    <n v="0"/>
    <m/>
    <m/>
    <m/>
    <n v="0"/>
    <m/>
    <m/>
    <m/>
    <m/>
    <m/>
    <m/>
    <n v="0"/>
    <m/>
    <m/>
    <m/>
    <m/>
    <n v="0"/>
    <n v="0"/>
    <n v="0"/>
    <n v="0"/>
    <n v="0"/>
    <n v="0"/>
    <n v="0"/>
  </r>
  <r>
    <x v="6"/>
    <x v="112"/>
    <s v="2X"/>
    <s v="CablageCABLES SOUPLE BLINDE2X"/>
    <s v="2x0,5       ( souple gris blindé  )"/>
    <n v="1"/>
    <s v="LYCY2X0.5"/>
    <m/>
    <m/>
    <n v="0"/>
    <m/>
    <m/>
    <m/>
    <m/>
    <m/>
    <m/>
    <n v="0"/>
    <m/>
    <m/>
    <m/>
    <m/>
    <n v="0"/>
    <n v="0"/>
    <n v="0"/>
    <n v="0"/>
    <n v="0"/>
    <n v="0"/>
    <n v="0"/>
  </r>
  <r>
    <x v="6"/>
    <x v="112"/>
    <s v="2X"/>
    <s v="CablageCABLES SOUPLE BLINDE2X"/>
    <s v="2x1       ( souple gris blindé  )"/>
    <n v="2"/>
    <s v="LYCY2X1"/>
    <m/>
    <m/>
    <n v="0"/>
    <m/>
    <m/>
    <m/>
    <m/>
    <m/>
    <m/>
    <n v="0"/>
    <m/>
    <m/>
    <m/>
    <m/>
    <n v="0"/>
    <n v="0"/>
    <n v="0"/>
    <n v="0"/>
    <n v="0"/>
    <n v="0"/>
    <n v="0"/>
  </r>
  <r>
    <x v="6"/>
    <x v="112"/>
    <s v="2X"/>
    <s v="CablageCABLES SOUPLE BLINDE2X"/>
    <s v="2x0,75  ( souple gris blindé  )"/>
    <n v="3"/>
    <s v="LYCY2X0,75"/>
    <m/>
    <m/>
    <n v="0"/>
    <m/>
    <m/>
    <m/>
    <m/>
    <m/>
    <m/>
    <n v="0"/>
    <m/>
    <m/>
    <m/>
    <m/>
    <n v="0"/>
    <n v="0"/>
    <n v="0"/>
    <n v="0"/>
    <n v="0"/>
    <n v="0"/>
    <n v="0"/>
  </r>
  <r>
    <x v="6"/>
    <x v="112"/>
    <s v="2X"/>
    <s v="CablageCABLES SOUPLE BLINDE2X"/>
    <s v="2x1       ( souple gris blindé  )"/>
    <n v="4"/>
    <s v="LYCY2X1"/>
    <m/>
    <m/>
    <n v="0"/>
    <m/>
    <m/>
    <m/>
    <m/>
    <m/>
    <m/>
    <n v="0"/>
    <m/>
    <m/>
    <m/>
    <m/>
    <n v="0"/>
    <n v="0"/>
    <n v="0"/>
    <n v="0"/>
    <n v="0"/>
    <n v="0"/>
    <n v="0"/>
  </r>
  <r>
    <x v="6"/>
    <x v="112"/>
    <s v="2X"/>
    <s v="CablageCABLES SOUPLE BLINDE2X"/>
    <s v="2x1,5       ( souple gris blindé  )"/>
    <n v="5"/>
    <s v="LYCY2X1.5"/>
    <m/>
    <m/>
    <n v="0"/>
    <m/>
    <m/>
    <m/>
    <m/>
    <m/>
    <m/>
    <n v="0"/>
    <m/>
    <m/>
    <m/>
    <m/>
    <n v="0"/>
    <n v="0"/>
    <n v="0"/>
    <n v="0"/>
    <n v="0"/>
    <n v="0"/>
    <n v="0"/>
  </r>
  <r>
    <x v="6"/>
    <x v="112"/>
    <s v="3X"/>
    <s v="CablageCABLES SOUPLE BLINDE3X"/>
    <s v="3x0,75  ( souple gris blindé  )"/>
    <n v="6"/>
    <s v="LYCY3X0,75"/>
    <m/>
    <m/>
    <n v="0"/>
    <m/>
    <m/>
    <m/>
    <m/>
    <m/>
    <m/>
    <n v="0"/>
    <m/>
    <m/>
    <m/>
    <m/>
    <n v="0"/>
    <n v="0"/>
    <n v="0"/>
    <n v="0"/>
    <n v="0"/>
    <n v="0"/>
    <n v="0"/>
  </r>
  <r>
    <x v="6"/>
    <x v="112"/>
    <s v="4X"/>
    <s v="CablageCABLES SOUPLE BLINDE4X"/>
    <s v="4x0,75  ( souple gris blindé  )"/>
    <n v="7"/>
    <s v="LYCY4X0,75"/>
    <m/>
    <m/>
    <n v="0"/>
    <m/>
    <m/>
    <m/>
    <m/>
    <m/>
    <m/>
    <n v="0"/>
    <m/>
    <m/>
    <m/>
    <s v="Hygromtère / debit mètre"/>
    <n v="0"/>
    <n v="0"/>
    <n v="0"/>
    <n v="0"/>
    <n v="0"/>
    <n v="0"/>
    <n v="0"/>
  </r>
  <r>
    <x v="6"/>
    <x v="112"/>
    <s v="4X"/>
    <s v="CablageCABLES SOUPLE BLINDE4X"/>
    <s v="4G1 ( souple gris blindé  )"/>
    <n v="8"/>
    <s v="LYCY4G1"/>
    <m/>
    <m/>
    <n v="0"/>
    <m/>
    <m/>
    <m/>
    <m/>
    <m/>
    <m/>
    <n v="0"/>
    <m/>
    <m/>
    <m/>
    <m/>
    <n v="0"/>
    <n v="0"/>
    <n v="0"/>
    <n v="0"/>
    <n v="0"/>
    <n v="0"/>
    <n v="0"/>
  </r>
  <r>
    <x v="6"/>
    <x v="112"/>
    <s v="4X"/>
    <s v="CablageCABLES SOUPLE BLINDE4X"/>
    <s v="4x0,5  ( souple gris blindé  )"/>
    <n v="9"/>
    <s v="LYCY4X0,5"/>
    <m/>
    <m/>
    <n v="0"/>
    <m/>
    <m/>
    <m/>
    <m/>
    <m/>
    <m/>
    <n v="0"/>
    <m/>
    <m/>
    <m/>
    <m/>
    <n v="0"/>
    <n v="0"/>
    <n v="0"/>
    <n v="0"/>
    <n v="0"/>
    <n v="0"/>
    <n v="0"/>
  </r>
  <r>
    <x v="6"/>
    <x v="112"/>
    <s v="4X"/>
    <s v="CablageCABLES SOUPLE BLINDE4X"/>
    <s v="4x0,75  ( souple gris blindé  )"/>
    <n v="10"/>
    <s v="LYCY4X0,75"/>
    <m/>
    <m/>
    <n v="0"/>
    <m/>
    <m/>
    <m/>
    <m/>
    <m/>
    <m/>
    <n v="0"/>
    <m/>
    <m/>
    <m/>
    <m/>
    <n v="0"/>
    <n v="0"/>
    <n v="0"/>
    <n v="0"/>
    <n v="0"/>
    <n v="0"/>
    <n v="0"/>
  </r>
  <r>
    <x v="6"/>
    <x v="112"/>
    <s v="5X"/>
    <s v="CablageCABLES SOUPLE BLINDE5X"/>
    <s v="5G0,75       ( souple gris blindé  )"/>
    <n v="11"/>
    <s v="LYCY5G0.75"/>
    <m/>
    <m/>
    <n v="0"/>
    <m/>
    <m/>
    <m/>
    <m/>
    <m/>
    <m/>
    <n v="0"/>
    <m/>
    <m/>
    <m/>
    <m/>
    <n v="0"/>
    <n v="0"/>
    <n v="0"/>
    <n v="0"/>
    <n v="0"/>
    <n v="0"/>
    <n v="0"/>
  </r>
  <r>
    <x v="6"/>
    <x v="112"/>
    <s v="5X"/>
    <s v="CablageCABLES SOUPLE BLINDE5X"/>
    <s v="5G1       ( souple gris blindé  )"/>
    <n v="12"/>
    <s v="LYCY5G1"/>
    <m/>
    <m/>
    <n v="0"/>
    <m/>
    <m/>
    <m/>
    <m/>
    <m/>
    <m/>
    <n v="0"/>
    <m/>
    <m/>
    <m/>
    <m/>
    <n v="0"/>
    <n v="0"/>
    <n v="0"/>
    <n v="0"/>
    <n v="0"/>
    <n v="0"/>
    <n v="0"/>
  </r>
  <r>
    <x v="6"/>
    <x v="112"/>
    <s v="7X"/>
    <s v="CablageCABLES SOUPLE BLINDE7X"/>
    <s v="7x0,75       ( souple gris blindé  )"/>
    <n v="13"/>
    <s v="LYCY7X0,75"/>
    <m/>
    <m/>
    <n v="0"/>
    <m/>
    <m/>
    <m/>
    <m/>
    <m/>
    <m/>
    <n v="0"/>
    <m/>
    <m/>
    <m/>
    <m/>
    <n v="0"/>
    <n v="0"/>
    <n v="0"/>
    <n v="0"/>
    <n v="0"/>
    <n v="0"/>
    <n v="0"/>
  </r>
  <r>
    <x v="6"/>
    <x v="112"/>
    <s v="7X"/>
    <s v="CablageCABLES SOUPLE BLINDE7X"/>
    <s v="7x1       ( souple gris blindé  )"/>
    <n v="14"/>
    <s v="LYCY7X1"/>
    <m/>
    <m/>
    <n v="0"/>
    <m/>
    <m/>
    <m/>
    <m/>
    <m/>
    <m/>
    <n v="0"/>
    <m/>
    <m/>
    <m/>
    <m/>
    <n v="0"/>
    <n v="0"/>
    <n v="0"/>
    <n v="0"/>
    <n v="0"/>
    <n v="0"/>
    <n v="0"/>
  </r>
  <r>
    <x v="6"/>
    <x v="112"/>
    <s v="7X"/>
    <s v="CablageCABLES SOUPLE BLINDE7X"/>
    <s v="7x1,5       ( souple gris blindé  )"/>
    <n v="15"/>
    <s v="LYCY7X1,5"/>
    <m/>
    <m/>
    <n v="0"/>
    <m/>
    <m/>
    <m/>
    <m/>
    <m/>
    <m/>
    <n v="0"/>
    <m/>
    <m/>
    <m/>
    <m/>
    <n v="0"/>
    <n v="0"/>
    <n v="0"/>
    <n v="0"/>
    <n v="0"/>
    <n v="0"/>
    <n v="0"/>
  </r>
  <r>
    <x v="6"/>
    <x v="112"/>
    <s v="12X"/>
    <s v="CablageCABLES SOUPLE BLINDE12X"/>
    <s v="12X1"/>
    <n v="16"/>
    <s v="LYCY12X1"/>
    <m/>
    <m/>
    <n v="0"/>
    <m/>
    <m/>
    <m/>
    <m/>
    <m/>
    <m/>
    <n v="0"/>
    <m/>
    <m/>
    <m/>
    <m/>
    <n v="0"/>
    <n v="0"/>
    <n v="0"/>
    <n v="0"/>
    <n v="0"/>
    <n v="0"/>
    <n v="0"/>
  </r>
  <r>
    <x v="6"/>
    <x v="113"/>
    <m/>
    <s v="CablageCHEMIN DE CABLES"/>
    <m/>
    <n v="0"/>
    <m/>
    <m/>
    <m/>
    <n v="0"/>
    <m/>
    <m/>
    <m/>
    <m/>
    <m/>
    <m/>
    <n v="0"/>
    <m/>
    <m/>
    <m/>
    <m/>
    <n v="0"/>
    <n v="0"/>
    <n v="0"/>
    <n v="0"/>
    <n v="0"/>
    <n v="0"/>
    <n v="0"/>
  </r>
  <r>
    <x v="6"/>
    <x v="113"/>
    <s v="Cablofil (unité m / multiple de 3)"/>
    <s v="CablageCHEMIN DE CABLESCablofil (unité m / multiple de 3)"/>
    <n v="50"/>
    <n v="1"/>
    <s v="CF5450"/>
    <m/>
    <m/>
    <n v="0"/>
    <m/>
    <m/>
    <m/>
    <m/>
    <m/>
    <m/>
    <n v="0"/>
    <n v="3"/>
    <n v="0"/>
    <m/>
    <m/>
    <n v="0"/>
    <n v="0"/>
    <n v="0"/>
    <n v="0"/>
    <n v="0"/>
    <n v="0"/>
    <n v="0"/>
  </r>
  <r>
    <x v="6"/>
    <x v="113"/>
    <s v="Cablofil (unité m / multiple de 3)"/>
    <s v="CablageCHEMIN DE CABLESCablofil (unité m / multiple de 3)"/>
    <n v="100"/>
    <n v="2"/>
    <s v="CF54/100"/>
    <m/>
    <m/>
    <n v="0"/>
    <m/>
    <m/>
    <m/>
    <m/>
    <m/>
    <m/>
    <n v="0"/>
    <n v="3"/>
    <n v="0"/>
    <m/>
    <m/>
    <n v="0"/>
    <n v="0"/>
    <n v="0"/>
    <n v="0"/>
    <n v="0"/>
    <n v="0"/>
    <n v="0"/>
  </r>
  <r>
    <x v="6"/>
    <x v="113"/>
    <s v="Cablofil (unité m / multiple de 3)"/>
    <s v="CablageCHEMIN DE CABLESCablofil (unité m / multiple de 3)"/>
    <n v="150"/>
    <n v="3"/>
    <s v="CF54/150"/>
    <m/>
    <m/>
    <n v="0"/>
    <m/>
    <m/>
    <m/>
    <m/>
    <m/>
    <m/>
    <n v="0"/>
    <n v="3"/>
    <n v="0"/>
    <m/>
    <m/>
    <n v="0"/>
    <n v="0"/>
    <n v="0"/>
    <n v="0"/>
    <n v="0"/>
    <n v="0"/>
    <n v="0"/>
  </r>
  <r>
    <x v="6"/>
    <x v="113"/>
    <s v="Cablofil (unité m / multiple de 3)"/>
    <s v="CablageCHEMIN DE CABLESCablofil (unité m / multiple de 3)"/>
    <n v="200"/>
    <n v="4"/>
    <s v="CF54/200"/>
    <m/>
    <m/>
    <n v="0"/>
    <m/>
    <m/>
    <m/>
    <m/>
    <m/>
    <m/>
    <n v="0"/>
    <n v="3"/>
    <n v="0"/>
    <m/>
    <m/>
    <n v="0"/>
    <n v="0"/>
    <n v="0"/>
    <n v="0"/>
    <n v="0"/>
    <n v="0"/>
    <n v="0"/>
  </r>
  <r>
    <x v="6"/>
    <x v="113"/>
    <s v="Attaches ( cavaliers)"/>
    <s v="CablageCHEMIN DE CABLESAttaches ( cavaliers)"/>
    <s v="petits"/>
    <n v="5"/>
    <s v="CE25"/>
    <m/>
    <m/>
    <n v="0"/>
    <m/>
    <m/>
    <m/>
    <m/>
    <m/>
    <m/>
    <n v="0"/>
    <m/>
    <m/>
    <m/>
    <m/>
    <n v="0"/>
    <n v="0"/>
    <n v="0"/>
    <n v="0"/>
    <n v="0"/>
    <n v="0"/>
    <n v="0"/>
  </r>
  <r>
    <x v="6"/>
    <x v="113"/>
    <s v="Attaches ( cavaliers)"/>
    <s v="CablageCHEMIN DE CABLESAttaches ( cavaliers)"/>
    <s v="grands"/>
    <n v="6"/>
    <s v="CE30"/>
    <m/>
    <m/>
    <n v="0"/>
    <m/>
    <m/>
    <m/>
    <m/>
    <m/>
    <m/>
    <n v="0"/>
    <m/>
    <m/>
    <m/>
    <m/>
    <n v="0"/>
    <n v="0"/>
    <n v="0"/>
    <n v="0"/>
    <n v="0"/>
    <n v="0"/>
    <n v="0"/>
  </r>
  <r>
    <x v="6"/>
    <x v="113"/>
    <s v="Vis pour cavaliers"/>
    <s v="CablageCHEMIN DE CABLESVis pour cavaliers"/>
    <s v="TRCC M6x20"/>
    <n v="7"/>
    <s v="TRCCM6X20"/>
    <m/>
    <m/>
    <n v="0"/>
    <m/>
    <m/>
    <m/>
    <m/>
    <m/>
    <m/>
    <n v="0"/>
    <m/>
    <m/>
    <m/>
    <m/>
    <n v="0"/>
    <n v="0"/>
    <n v="0"/>
    <n v="0"/>
    <n v="0"/>
    <n v="0"/>
    <n v="0"/>
  </r>
  <r>
    <x v="6"/>
    <x v="113"/>
    <s v="Attaches ( cavaliers)"/>
    <s v="CablageCHEMIN DE CABLESAttaches ( cavaliers)"/>
    <s v="Eclisse EDRN ( 2 x6m)"/>
    <n v="8"/>
    <n v="558241"/>
    <m/>
    <m/>
    <n v="0"/>
    <m/>
    <m/>
    <m/>
    <m/>
    <m/>
    <m/>
    <n v="0"/>
    <m/>
    <m/>
    <m/>
    <m/>
    <n v="0"/>
    <n v="0"/>
    <n v="0"/>
    <n v="0"/>
    <n v="0"/>
    <n v="0"/>
    <n v="0"/>
  </r>
  <r>
    <x v="6"/>
    <x v="113"/>
    <s v="Attaches pour cablofil  ( 1x m)"/>
    <s v="CablageCHEMIN DE CABLESAttaches pour cablofil  ( 1x m)"/>
    <s v="equerres CF54/50"/>
    <n v="9"/>
    <n v="3000"/>
    <m/>
    <m/>
    <n v="0"/>
    <m/>
    <m/>
    <m/>
    <m/>
    <m/>
    <m/>
    <n v="0"/>
    <m/>
    <m/>
    <m/>
    <m/>
    <n v="0"/>
    <n v="0"/>
    <n v="0"/>
    <n v="0"/>
    <n v="0"/>
    <n v="0"/>
    <n v="0"/>
  </r>
  <r>
    <x v="6"/>
    <x v="113"/>
    <s v="Attaches pour cablofil  ( 1x m)"/>
    <s v="CablageCHEMIN DE CABLESAttaches pour cablofil  ( 1x m)"/>
    <s v="Consol droite fixation CF54/100"/>
    <n v="10"/>
    <s v="CONSCF100"/>
    <m/>
    <m/>
    <n v="0"/>
    <m/>
    <m/>
    <m/>
    <m/>
    <m/>
    <m/>
    <n v="0"/>
    <m/>
    <m/>
    <m/>
    <m/>
    <n v="0"/>
    <n v="0"/>
    <n v="0"/>
    <n v="0"/>
    <n v="0"/>
    <n v="0"/>
    <n v="0"/>
  </r>
  <r>
    <x v="6"/>
    <x v="113"/>
    <s v="Attaches pour cablofil  ( 1x m)"/>
    <s v="CablageCHEMIN DE CABLESAttaches pour cablofil  ( 1x m)"/>
    <s v="Consol droite fixation CF54/200"/>
    <n v="11"/>
    <s v="CONSCF200"/>
    <m/>
    <m/>
    <n v="0"/>
    <m/>
    <m/>
    <m/>
    <m/>
    <m/>
    <m/>
    <n v="0"/>
    <m/>
    <m/>
    <m/>
    <m/>
    <n v="0"/>
    <n v="0"/>
    <n v="0"/>
    <n v="0"/>
    <n v="0"/>
    <n v="0"/>
    <n v="0"/>
  </r>
  <r>
    <x v="6"/>
    <x v="114"/>
    <m/>
    <s v="CablageCOFFRETS ELECTRIQUE VIDE &amp; ACCESSOIRES"/>
    <m/>
    <n v="0"/>
    <m/>
    <m/>
    <m/>
    <n v="0"/>
    <m/>
    <m/>
    <m/>
    <m/>
    <m/>
    <m/>
    <n v="0"/>
    <m/>
    <m/>
    <m/>
    <m/>
    <n v="0"/>
    <n v="0"/>
    <n v="0"/>
    <n v="0"/>
    <n v="0"/>
    <n v="0"/>
    <n v="0"/>
  </r>
  <r>
    <x v="6"/>
    <x v="114"/>
    <s v="Coffrets L*H*P"/>
    <s v="CablageCOFFRETS ELECTRIQUE VIDE &amp; ACCESSOIRESCoffrets L*H*P"/>
    <s v=" 200-300-160 a"/>
    <n v="1"/>
    <n v="35500"/>
    <m/>
    <m/>
    <n v="0"/>
    <m/>
    <m/>
    <m/>
    <m/>
    <m/>
    <m/>
    <n v="0"/>
    <m/>
    <m/>
    <m/>
    <s v="Armoire à plastron"/>
    <n v="0"/>
    <n v="0"/>
    <n v="0"/>
    <n v="0"/>
    <n v="0"/>
    <n v="0"/>
    <n v="0"/>
  </r>
  <r>
    <x v="6"/>
    <x v="114"/>
    <s v="Coffrets L*H*P"/>
    <s v="CablageCOFFRETS ELECTRIQUE VIDE &amp; ACCESSOIRESCoffrets L*H*P"/>
    <s v="300-400-200 b"/>
    <n v="2"/>
    <n v="35502"/>
    <m/>
    <m/>
    <n v="0"/>
    <m/>
    <m/>
    <m/>
    <m/>
    <m/>
    <m/>
    <n v="0"/>
    <m/>
    <m/>
    <m/>
    <s v="Armoire à plastron"/>
    <n v="0"/>
    <n v="0"/>
    <n v="0"/>
    <n v="0"/>
    <n v="0"/>
    <n v="0"/>
    <n v="0"/>
  </r>
  <r>
    <x v="6"/>
    <x v="114"/>
    <s v="Coffrets L*H*P"/>
    <s v="CablageCOFFRETS ELECTRIQUE VIDE &amp; ACCESSOIRESCoffrets L*H*P"/>
    <s v="400-500-200 c"/>
    <n v="3"/>
    <n v="35503"/>
    <m/>
    <m/>
    <n v="0"/>
    <m/>
    <m/>
    <m/>
    <m/>
    <m/>
    <m/>
    <n v="0"/>
    <m/>
    <m/>
    <m/>
    <s v="Armoire à plastron"/>
    <n v="0"/>
    <n v="0"/>
    <n v="0"/>
    <n v="0"/>
    <n v="0"/>
    <n v="0"/>
    <n v="0"/>
  </r>
  <r>
    <x v="6"/>
    <x v="114"/>
    <s v="Coffrets L*H*P"/>
    <s v="CablageCOFFRETS ELECTRIQUE VIDE &amp; ACCESSOIRESCoffrets L*H*P"/>
    <s v="400-600-200 d"/>
    <n v="4"/>
    <n v="35504"/>
    <m/>
    <m/>
    <n v="0"/>
    <m/>
    <m/>
    <m/>
    <m/>
    <m/>
    <m/>
    <n v="0"/>
    <m/>
    <m/>
    <m/>
    <s v="Armoire à plastron"/>
    <n v="0"/>
    <n v="0"/>
    <n v="0"/>
    <n v="0"/>
    <n v="0"/>
    <n v="0"/>
    <n v="0"/>
  </r>
  <r>
    <x v="6"/>
    <x v="114"/>
    <s v="Coffrets L*H*P"/>
    <s v="CablageCOFFRETS ELECTRIQUE VIDE &amp; ACCESSOIRESCoffrets L*H*P"/>
    <s v="400-500-250 e"/>
    <n v="5"/>
    <n v="35507"/>
    <m/>
    <m/>
    <n v="0"/>
    <m/>
    <m/>
    <m/>
    <m/>
    <m/>
    <m/>
    <n v="0"/>
    <m/>
    <m/>
    <m/>
    <s v="Armoire à plastron"/>
    <n v="0"/>
    <n v="0"/>
    <n v="0"/>
    <n v="0"/>
    <n v="0"/>
    <n v="0"/>
    <n v="0"/>
  </r>
  <r>
    <x v="6"/>
    <x v="114"/>
    <s v="Coffrets L*H*P"/>
    <s v="CablageCOFFRETS ELECTRIQUE VIDE &amp; ACCESSOIRESCoffrets L*H*P"/>
    <s v="400-600-250 d"/>
    <n v="6"/>
    <n v="35508"/>
    <m/>
    <m/>
    <n v="0"/>
    <m/>
    <m/>
    <m/>
    <m/>
    <m/>
    <m/>
    <n v="0"/>
    <m/>
    <m/>
    <m/>
    <s v="Armoire à plastron"/>
    <n v="0"/>
    <n v="0"/>
    <n v="0"/>
    <n v="0"/>
    <n v="0"/>
    <n v="0"/>
    <n v="0"/>
  </r>
  <r>
    <x v="6"/>
    <x v="114"/>
    <s v="Coffrets L*H*P"/>
    <s v="CablageCOFFRETS ELECTRIQUE VIDE &amp; ACCESSOIRESCoffrets L*H*P"/>
    <s v="500-700-250 g"/>
    <n v="7"/>
    <n v="35512"/>
    <m/>
    <m/>
    <n v="0"/>
    <m/>
    <m/>
    <m/>
    <m/>
    <m/>
    <m/>
    <n v="0"/>
    <m/>
    <m/>
    <m/>
    <s v="armoire metallique Atlantic"/>
    <n v="0"/>
    <n v="0"/>
    <n v="0"/>
    <n v="0"/>
    <n v="0"/>
    <n v="0"/>
    <n v="0"/>
  </r>
  <r>
    <x v="6"/>
    <x v="114"/>
    <s v="Coffrets L*H*P"/>
    <s v="CablageCOFFRETS ELECTRIQUE VIDE &amp; ACCESSOIRESCoffrets L*H*P"/>
    <s v="400-400-200"/>
    <n v="8"/>
    <n v="35531"/>
    <m/>
    <m/>
    <n v="0"/>
    <m/>
    <m/>
    <m/>
    <m/>
    <m/>
    <m/>
    <n v="0"/>
    <m/>
    <m/>
    <m/>
    <s v="armoire metallique Atlantic"/>
    <n v="0"/>
    <n v="0"/>
    <n v="0"/>
    <n v="0"/>
    <n v="0"/>
    <n v="0"/>
    <n v="0"/>
  </r>
  <r>
    <x v="6"/>
    <x v="114"/>
    <s v="Platines L*H"/>
    <s v="CablageCOFFRETS ELECTRIQUE VIDE &amp; ACCESSOIRESPlatines L*H"/>
    <s v="Plaque perforée Lina pour coffrets Atlantic/Marina 300*400b"/>
    <n v="9"/>
    <n v="36012"/>
    <m/>
    <m/>
    <n v="0"/>
    <m/>
    <m/>
    <m/>
    <m/>
    <m/>
    <m/>
    <n v="0"/>
    <m/>
    <m/>
    <m/>
    <s v="armoire metallique Atlantic"/>
    <n v="0"/>
    <n v="0"/>
    <n v="0"/>
    <n v="0"/>
    <n v="0"/>
    <n v="0"/>
    <n v="0"/>
  </r>
  <r>
    <x v="6"/>
    <x v="114"/>
    <s v="Platines L*H"/>
    <s v="CablageCOFFRETS ELECTRIQUE VIDE &amp; ACCESSOIRESPlatines L*H"/>
    <s v="Plaque perforée Lina pour coffrets Atlantic/Marina 400*500c"/>
    <n v="10"/>
    <n v="36015"/>
    <m/>
    <m/>
    <n v="0"/>
    <m/>
    <m/>
    <m/>
    <m/>
    <m/>
    <m/>
    <n v="0"/>
    <m/>
    <m/>
    <m/>
    <s v="armoire metallique Atlantic"/>
    <n v="0"/>
    <n v="0"/>
    <n v="0"/>
    <n v="0"/>
    <n v="0"/>
    <n v="0"/>
    <n v="0"/>
  </r>
  <r>
    <x v="6"/>
    <x v="114"/>
    <s v="Platines L*H"/>
    <s v="CablageCOFFRETS ELECTRIQUE VIDE &amp; ACCESSOIRESPlatines L*H"/>
    <s v="Plaque perforée Lina pour coffrets Atlantic/Marina 400*600d"/>
    <n v="11"/>
    <n v="36016"/>
    <m/>
    <m/>
    <n v="0"/>
    <m/>
    <m/>
    <m/>
    <m/>
    <m/>
    <m/>
    <n v="0"/>
    <m/>
    <m/>
    <m/>
    <s v="armoire metallique Atlantic"/>
    <n v="0"/>
    <n v="0"/>
    <n v="0"/>
    <n v="0"/>
    <n v="0"/>
    <n v="0"/>
    <n v="0"/>
  </r>
  <r>
    <x v="6"/>
    <x v="114"/>
    <s v="Platines L*H"/>
    <s v="CablageCOFFRETS ELECTRIQUE VIDE &amp; ACCESSOIRESPlatines L*H"/>
    <s v="Plaque perforée Lina pour coffrets Atlantic/Marina 500*500f"/>
    <n v="12"/>
    <n v="36093"/>
    <m/>
    <m/>
    <n v="0"/>
    <m/>
    <m/>
    <m/>
    <m/>
    <m/>
    <m/>
    <n v="0"/>
    <m/>
    <m/>
    <m/>
    <s v="armoire metallique Atlantic"/>
    <n v="0"/>
    <n v="0"/>
    <n v="0"/>
    <n v="0"/>
    <n v="0"/>
    <n v="0"/>
    <n v="0"/>
  </r>
  <r>
    <x v="6"/>
    <x v="114"/>
    <s v="Platines L*H"/>
    <s v="CablageCOFFRETS ELECTRIQUE VIDE &amp; ACCESSOIRESPlatines L*H"/>
    <s v="Plaque perforée Lina pour coffrets Atlantic/Marina 500*700g"/>
    <n v="13"/>
    <n v="36018"/>
    <m/>
    <m/>
    <n v="0"/>
    <m/>
    <m/>
    <m/>
    <m/>
    <m/>
    <m/>
    <n v="0"/>
    <m/>
    <m/>
    <m/>
    <s v="armoire metallique Atlantic"/>
    <n v="0"/>
    <n v="0"/>
    <n v="0"/>
    <n v="0"/>
    <n v="0"/>
    <n v="0"/>
    <n v="0"/>
  </r>
  <r>
    <x v="6"/>
    <x v="114"/>
    <s v="Plastrons"/>
    <s v="CablageCOFFRETS ELECTRIQUE VIDE &amp; ACCESSOIRESPlastrons"/>
    <s v="Châssis avec plastron 300*400b   3 rangées de 10 modules"/>
    <n v="14"/>
    <s v="support"/>
    <m/>
    <m/>
    <n v="0"/>
    <m/>
    <m/>
    <m/>
    <m/>
    <m/>
    <m/>
    <n v="0"/>
    <m/>
    <m/>
    <m/>
    <m/>
    <n v="0"/>
    <n v="0"/>
    <n v="0"/>
    <n v="0"/>
    <n v="0"/>
    <n v="0"/>
    <n v="0"/>
  </r>
  <r>
    <x v="6"/>
    <x v="114"/>
    <s v="Plastrons"/>
    <s v="CablageCOFFRETS ELECTRIQUE VIDE &amp; ACCESSOIRESPlastrons"/>
    <s v="Châssis avec plastron 400*500c   3 rangées de 16 mudules"/>
    <n v="15"/>
    <n v="36102"/>
    <m/>
    <m/>
    <n v="0"/>
    <m/>
    <m/>
    <m/>
    <m/>
    <m/>
    <m/>
    <n v="0"/>
    <m/>
    <m/>
    <m/>
    <m/>
    <n v="0"/>
    <n v="0"/>
    <n v="0"/>
    <n v="0"/>
    <n v="0"/>
    <n v="0"/>
    <n v="0"/>
  </r>
  <r>
    <x v="6"/>
    <x v="114"/>
    <s v="Fixation murale"/>
    <s v="CablageCOFFRETS ELECTRIQUE VIDE &amp; ACCESSOIRESFixation murale"/>
    <s v="pattes de fixation murale pour coffret Atlantic-300Kg-Zamak RAL70"/>
    <n v="16"/>
    <n v="36401"/>
    <m/>
    <m/>
    <n v="0"/>
    <m/>
    <m/>
    <m/>
    <m/>
    <m/>
    <m/>
    <n v="0"/>
    <m/>
    <m/>
    <m/>
    <m/>
    <n v="0"/>
    <n v="0"/>
    <n v="0"/>
    <n v="0"/>
    <n v="0"/>
    <n v="0"/>
    <n v="0"/>
  </r>
  <r>
    <x v="6"/>
    <x v="114"/>
    <s v="Rail  oméga"/>
    <s v="CablageCOFFRETS ELECTRIQUE VIDE &amp; ACCESSOIRESRail  oméga"/>
    <s v="Raill Longeur 400 "/>
    <n v="17"/>
    <n v="36781"/>
    <m/>
    <m/>
    <n v="0"/>
    <m/>
    <m/>
    <m/>
    <m/>
    <m/>
    <m/>
    <n v="0"/>
    <m/>
    <m/>
    <m/>
    <m/>
    <n v="0"/>
    <n v="0"/>
    <n v="0"/>
    <n v="0"/>
    <n v="0"/>
    <n v="0"/>
    <n v="0"/>
  </r>
  <r>
    <x v="6"/>
    <x v="114"/>
    <s v="Rail  oméga"/>
    <s v="CablageCOFFRETS ELECTRIQUE VIDE &amp; ACCESSOIRESRail  oméga"/>
    <s v="Raill Longeur 600 "/>
    <n v="18"/>
    <n v="36783"/>
    <m/>
    <m/>
    <n v="0"/>
    <m/>
    <m/>
    <m/>
    <m/>
    <m/>
    <m/>
    <n v="0"/>
    <m/>
    <m/>
    <m/>
    <m/>
    <n v="0"/>
    <n v="0"/>
    <n v="0"/>
    <n v="0"/>
    <n v="0"/>
    <n v="0"/>
    <n v="0"/>
  </r>
  <r>
    <x v="6"/>
    <x v="114"/>
    <s v="Rail  oméga"/>
    <s v="CablageCOFFRETS ELECTRIQUE VIDE &amp; ACCESSOIRESRail  oméga"/>
    <s v="Raill Longeur 300 "/>
    <n v="19"/>
    <n v="36780"/>
    <m/>
    <m/>
    <n v="0"/>
    <m/>
    <m/>
    <m/>
    <m/>
    <m/>
    <m/>
    <n v="0"/>
    <m/>
    <m/>
    <m/>
    <m/>
    <n v="0"/>
    <n v="0"/>
    <n v="0"/>
    <n v="0"/>
    <n v="0"/>
    <n v="0"/>
    <n v="0"/>
  </r>
  <r>
    <x v="6"/>
    <x v="114"/>
    <s v="Rail  oméga"/>
    <s v="CablageCOFFRETS ELECTRIQUE VIDE &amp; ACCESSOIRESRail  oméga"/>
    <s v="Rail omega perforé 35 mm X 7,5mm X 2 mm lg 2m"/>
    <n v="20"/>
    <s v="BIZ200240"/>
    <m/>
    <m/>
    <n v="0"/>
    <m/>
    <m/>
    <m/>
    <m/>
    <m/>
    <m/>
    <n v="0"/>
    <m/>
    <m/>
    <m/>
    <m/>
    <n v="0"/>
    <n v="0"/>
    <n v="0"/>
    <n v="0"/>
    <n v="0"/>
    <n v="0"/>
    <n v="0"/>
  </r>
  <r>
    <x v="6"/>
    <x v="114"/>
    <m/>
    <s v="CablageCOFFRETS ELECTRIQUE VIDE &amp; ACCESSOIRES"/>
    <m/>
    <n v="21"/>
    <m/>
    <m/>
    <m/>
    <n v="0"/>
    <m/>
    <m/>
    <m/>
    <m/>
    <m/>
    <m/>
    <n v="0"/>
    <m/>
    <m/>
    <m/>
    <m/>
    <n v="0"/>
    <n v="0"/>
    <n v="0"/>
    <n v="0"/>
    <n v="0"/>
    <n v="0"/>
    <n v="0"/>
  </r>
  <r>
    <x v="6"/>
    <x v="114"/>
    <s v="Vis griffe pour platine "/>
    <s v="CablageCOFFRETS ELECTRIQUE VIDE &amp; ACCESSOIRESVis griffe pour platine "/>
    <s v=" ECROU CLIPS M5"/>
    <n v="22"/>
    <s v="AF1EA5"/>
    <m/>
    <m/>
    <n v="0"/>
    <m/>
    <m/>
    <m/>
    <m/>
    <m/>
    <m/>
    <n v="0"/>
    <m/>
    <m/>
    <m/>
    <m/>
    <n v="0"/>
    <n v="0"/>
    <n v="0"/>
    <n v="0"/>
    <n v="0"/>
    <n v="0"/>
    <n v="0"/>
  </r>
  <r>
    <x v="6"/>
    <x v="114"/>
    <m/>
    <s v="CablageCOFFRETS ELECTRIQUE VIDE &amp; ACCESSOIRES"/>
    <m/>
    <n v="23"/>
    <m/>
    <m/>
    <m/>
    <n v="0"/>
    <m/>
    <m/>
    <m/>
    <m/>
    <m/>
    <m/>
    <n v="0"/>
    <m/>
    <m/>
    <m/>
    <m/>
    <n v="0"/>
    <n v="0"/>
    <n v="0"/>
    <n v="0"/>
    <n v="0"/>
    <n v="0"/>
    <n v="0"/>
  </r>
  <r>
    <x v="6"/>
    <x v="114"/>
    <s v="Peignes"/>
    <s v="CablageCOFFRETS ELECTRIQUE VIDE &amp; ACCESSOIRESPeignes"/>
    <s v="Peigne pour bloc de jonction viking 3 vis et ressort pour 10 blocs Pas de 5mm"/>
    <n v="24"/>
    <n v="37501"/>
    <m/>
    <m/>
    <n v="0"/>
    <m/>
    <m/>
    <m/>
    <m/>
    <m/>
    <m/>
    <n v="0"/>
    <m/>
    <m/>
    <m/>
    <m/>
    <n v="0"/>
    <n v="0"/>
    <n v="0"/>
    <n v="0"/>
    <n v="0"/>
    <n v="0"/>
    <n v="0"/>
  </r>
  <r>
    <x v="6"/>
    <x v="114"/>
    <s v="Barreau cuivre"/>
    <s v="CablageCOFFRETS ELECTRIQUE VIDE &amp; ACCESSOIRESBarreau cuivre"/>
    <s v="Barre cuivre plate rigide 15x4mm- 200A admissibles-Lg 990mm"/>
    <n v="25"/>
    <n v="37433"/>
    <m/>
    <m/>
    <n v="0"/>
    <m/>
    <m/>
    <m/>
    <m/>
    <m/>
    <m/>
    <n v="0"/>
    <m/>
    <m/>
    <m/>
    <m/>
    <n v="0"/>
    <n v="0"/>
    <n v="0"/>
    <n v="0"/>
    <n v="0"/>
    <n v="0"/>
    <n v="0"/>
  </r>
  <r>
    <x v="6"/>
    <x v="114"/>
    <s v="Barreau cuivre"/>
    <s v="CablageCOFFRETS ELECTRIQUE VIDE &amp; ACCESSOIRESBarreau cuivre"/>
    <s v="Barre cuivre plate rigide 25x4mm- 250-280A admissibles-Lg 990mm"/>
    <n v="26"/>
    <n v="37438"/>
    <m/>
    <m/>
    <n v="0"/>
    <m/>
    <m/>
    <m/>
    <m/>
    <m/>
    <m/>
    <n v="0"/>
    <m/>
    <m/>
    <m/>
    <m/>
    <n v="0"/>
    <n v="0"/>
    <n v="0"/>
    <n v="0"/>
    <n v="0"/>
    <n v="0"/>
    <n v="0"/>
  </r>
  <r>
    <x v="6"/>
    <x v="114"/>
    <s v="Barreau cuivre"/>
    <s v="CablageCOFFRETS ELECTRIQUE VIDE &amp; ACCESSOIRESBarreau cuivre"/>
    <s v="Barre cuivre plate rigide 25x5mm- 270-330A admissibles-Lg 1750mm"/>
    <n v="27"/>
    <n v="37418"/>
    <m/>
    <m/>
    <n v="0"/>
    <m/>
    <m/>
    <m/>
    <m/>
    <m/>
    <m/>
    <n v="0"/>
    <m/>
    <m/>
    <m/>
    <m/>
    <n v="0"/>
    <n v="0"/>
    <n v="0"/>
    <n v="0"/>
    <n v="0"/>
    <n v="0"/>
    <n v="0"/>
  </r>
  <r>
    <x v="6"/>
    <x v="115"/>
    <m/>
    <s v="CablageIRO &amp; ATTACHES"/>
    <m/>
    <n v="0"/>
    <m/>
    <m/>
    <m/>
    <n v="0"/>
    <m/>
    <m/>
    <m/>
    <m/>
    <m/>
    <m/>
    <n v="0"/>
    <m/>
    <m/>
    <m/>
    <m/>
    <n v="0"/>
    <n v="0"/>
    <n v="0"/>
    <n v="0"/>
    <n v="0"/>
    <n v="0"/>
    <n v="0"/>
  </r>
  <r>
    <x v="6"/>
    <x v="115"/>
    <s v="Attache Colliers Blanc tube IRO "/>
    <s v="CablageIRO &amp; ATTACHESAttache Colliers Blanc tube IRO "/>
    <s v="Attache pour Tube IRO Ø16"/>
    <n v="1"/>
    <m/>
    <m/>
    <m/>
    <n v="0"/>
    <m/>
    <m/>
    <m/>
    <m/>
    <m/>
    <m/>
    <n v="0"/>
    <m/>
    <m/>
    <m/>
    <m/>
    <n v="0"/>
    <n v="0"/>
    <n v="0"/>
    <n v="0"/>
    <n v="0"/>
    <n v="0"/>
    <n v="0"/>
  </r>
  <r>
    <x v="6"/>
    <x v="115"/>
    <s v="Attache Colliers Blanc tube IRO "/>
    <s v="CablageIRO &amp; ATTACHESAttache Colliers Blanc tube IRO "/>
    <s v="Attache pour Tube IRO Ø20"/>
    <n v="2"/>
    <n v="31904"/>
    <m/>
    <m/>
    <n v="0"/>
    <m/>
    <m/>
    <m/>
    <m/>
    <m/>
    <m/>
    <n v="0"/>
    <m/>
    <m/>
    <m/>
    <m/>
    <n v="0"/>
    <n v="0"/>
    <n v="0"/>
    <n v="0"/>
    <n v="0"/>
    <n v="0"/>
    <n v="0"/>
  </r>
  <r>
    <x v="6"/>
    <x v="115"/>
    <s v="Attache Colliers Blanc tube IRO "/>
    <s v="CablageIRO &amp; ATTACHESAttache Colliers Blanc tube IRO "/>
    <s v="Attache pour Tube IRO Ø25"/>
    <n v="3"/>
    <m/>
    <m/>
    <m/>
    <n v="0"/>
    <m/>
    <m/>
    <m/>
    <m/>
    <m/>
    <m/>
    <n v="0"/>
    <m/>
    <m/>
    <m/>
    <m/>
    <n v="0"/>
    <n v="0"/>
    <n v="0"/>
    <n v="0"/>
    <n v="0"/>
    <n v="0"/>
    <n v="0"/>
  </r>
  <r>
    <x v="6"/>
    <x v="115"/>
    <s v="Attaches  Erico"/>
    <s v="CablageIRO &amp; ATTACHESAttaches  Erico"/>
    <s v="Crapeau Caddy EBC"/>
    <n v="4"/>
    <n v="170380"/>
    <m/>
    <m/>
    <n v="0"/>
    <m/>
    <m/>
    <m/>
    <m/>
    <m/>
    <m/>
    <n v="0"/>
    <m/>
    <m/>
    <m/>
    <m/>
    <n v="0"/>
    <n v="0"/>
    <n v="0"/>
    <n v="0"/>
    <n v="0"/>
    <n v="0"/>
    <n v="0"/>
  </r>
  <r>
    <x v="6"/>
    <x v="115"/>
    <s v="Attaches  Erico"/>
    <s v="CablageIRO &amp; ATTACHESAttaches  Erico"/>
    <s v="Clips Ø25-32mm pour rail ep 8-12mm "/>
    <n v="5"/>
    <n v="187700"/>
    <m/>
    <m/>
    <n v="0"/>
    <m/>
    <m/>
    <m/>
    <m/>
    <m/>
    <m/>
    <n v="0"/>
    <m/>
    <m/>
    <m/>
    <m/>
    <n v="0"/>
    <n v="0"/>
    <n v="0"/>
    <n v="0"/>
    <n v="0"/>
    <n v="0"/>
    <n v="0"/>
  </r>
  <r>
    <x v="6"/>
    <x v="115"/>
    <s v="Attache Caddy"/>
    <s v="CablageIRO &amp; ATTACHESAttache Caddy"/>
    <s v="Clips pour suspendre avec support Iro"/>
    <n v="6"/>
    <n v="178530"/>
    <m/>
    <m/>
    <n v="0"/>
    <m/>
    <m/>
    <m/>
    <m/>
    <m/>
    <m/>
    <n v="0"/>
    <m/>
    <m/>
    <m/>
    <m/>
    <n v="0"/>
    <n v="0"/>
    <n v="0"/>
    <n v="0"/>
    <n v="0"/>
    <n v="0"/>
    <n v="0"/>
  </r>
  <r>
    <x v="6"/>
    <x v="115"/>
    <s v="Cheville Ø8 pour tube IRO"/>
    <s v="CablageIRO &amp; ATTACHESCheville Ø8 pour tube IRO"/>
    <s v="Embase noire protégée ultraviolets aà cheville standard perçage a 8 mm"/>
    <n v="7"/>
    <n v="31955"/>
    <m/>
    <m/>
    <n v="0"/>
    <m/>
    <m/>
    <m/>
    <m/>
    <m/>
    <m/>
    <n v="0"/>
    <m/>
    <m/>
    <m/>
    <m/>
    <n v="0"/>
    <n v="0"/>
    <n v="0"/>
    <n v="0"/>
    <n v="0"/>
    <n v="0"/>
    <n v="0"/>
  </r>
  <r>
    <x v="6"/>
    <x v="115"/>
    <s v="Embase Autocollante pour tube Iro Ø20"/>
    <s v="CablageIRO &amp; ATTACHESEmbase Autocollante pour tube Iro Ø20"/>
    <s v="Embase adhésive incolore Colring pour collliers largeur 4,6mm maxi"/>
    <n v="8"/>
    <n v="32065"/>
    <m/>
    <m/>
    <n v="0"/>
    <m/>
    <m/>
    <m/>
    <m/>
    <m/>
    <m/>
    <n v="0"/>
    <m/>
    <m/>
    <m/>
    <m/>
    <n v="0"/>
    <n v="0"/>
    <n v="0"/>
    <n v="0"/>
    <n v="0"/>
    <n v="0"/>
    <n v="0"/>
  </r>
  <r>
    <x v="6"/>
    <x v="115"/>
    <m/>
    <s v="CablageIRO &amp; ATTACHES"/>
    <m/>
    <n v="9"/>
    <m/>
    <m/>
    <m/>
    <n v="0"/>
    <m/>
    <m/>
    <m/>
    <m/>
    <m/>
    <m/>
    <n v="0"/>
    <m/>
    <m/>
    <m/>
    <m/>
    <n v="0"/>
    <n v="0"/>
    <n v="0"/>
    <n v="0"/>
    <n v="0"/>
    <n v="0"/>
    <n v="0"/>
  </r>
  <r>
    <x v="6"/>
    <x v="115"/>
    <s v="Tube IRO"/>
    <s v="CablageIRO &amp; ATTACHESTube IRO"/>
    <s v="Tube Pvc Gris Ø20"/>
    <n v="10"/>
    <s v="IRO20"/>
    <m/>
    <m/>
    <n v="0"/>
    <m/>
    <m/>
    <m/>
    <m/>
    <m/>
    <m/>
    <n v="0"/>
    <m/>
    <m/>
    <m/>
    <m/>
    <n v="0"/>
    <n v="0"/>
    <n v="0"/>
    <n v="0"/>
    <n v="0"/>
    <n v="0"/>
    <n v="0"/>
  </r>
  <r>
    <x v="6"/>
    <x v="115"/>
    <s v="Tube IRO"/>
    <s v="CablageIRO &amp; ATTACHESTube IRO"/>
    <s v="Tube Pvc Gris Ø25"/>
    <n v="11"/>
    <s v="IRO25"/>
    <m/>
    <m/>
    <n v="0"/>
    <m/>
    <m/>
    <m/>
    <m/>
    <m/>
    <m/>
    <n v="0"/>
    <m/>
    <m/>
    <m/>
    <m/>
    <n v="0"/>
    <n v="0"/>
    <n v="0"/>
    <n v="0"/>
    <n v="0"/>
    <n v="0"/>
    <n v="0"/>
  </r>
  <r>
    <x v="6"/>
    <x v="115"/>
    <s v="Tube IRO"/>
    <s v="CablageIRO &amp; ATTACHESTube IRO"/>
    <s v="Tube Pvc Gris Ø30"/>
    <n v="12"/>
    <s v="IRO30"/>
    <m/>
    <m/>
    <n v="0"/>
    <m/>
    <m/>
    <m/>
    <m/>
    <m/>
    <m/>
    <n v="0"/>
    <m/>
    <m/>
    <m/>
    <m/>
    <n v="0"/>
    <n v="0"/>
    <n v="0"/>
    <n v="0"/>
    <n v="0"/>
    <n v="0"/>
    <n v="0"/>
  </r>
  <r>
    <x v="6"/>
    <x v="115"/>
    <m/>
    <s v="CablageIRO &amp; ATTACHES"/>
    <m/>
    <n v="13"/>
    <m/>
    <m/>
    <m/>
    <n v="0"/>
    <m/>
    <m/>
    <m/>
    <m/>
    <m/>
    <m/>
    <n v="0"/>
    <m/>
    <m/>
    <m/>
    <m/>
    <n v="0"/>
    <n v="0"/>
    <n v="0"/>
    <n v="0"/>
    <n v="0"/>
    <n v="0"/>
    <n v="0"/>
  </r>
  <r>
    <x v="6"/>
    <x v="116"/>
    <m/>
    <s v="CablageCosses pour cable cuivre"/>
    <m/>
    <n v="0"/>
    <m/>
    <m/>
    <m/>
    <n v="0"/>
    <m/>
    <m/>
    <m/>
    <m/>
    <m/>
    <m/>
    <n v="0"/>
    <m/>
    <m/>
    <m/>
    <m/>
    <n v="0"/>
    <n v="0"/>
    <n v="0"/>
    <n v="0"/>
    <n v="0"/>
    <n v="0"/>
    <n v="0"/>
  </r>
  <r>
    <x v="6"/>
    <x v="116"/>
    <s v="65mm"/>
    <s v="CablageCosses pour cable cuivre65mm"/>
    <s v="XCT 6-6-Cosse tubulaire cuivre BT selon NF C20-130-Section: 6mm -Born: 6mm"/>
    <n v="1"/>
    <s v="XCT6-6"/>
    <m/>
    <m/>
    <n v="0"/>
    <m/>
    <m/>
    <m/>
    <m/>
    <m/>
    <m/>
    <n v="0"/>
    <m/>
    <m/>
    <m/>
    <m/>
    <n v="0"/>
    <n v="0"/>
    <n v="0"/>
    <n v="0"/>
    <n v="0"/>
    <n v="0"/>
    <n v="0"/>
  </r>
  <r>
    <x v="6"/>
    <x v="116"/>
    <s v="65mm"/>
    <s v="CablageCosses pour cable cuivre65mm"/>
    <s v="XCT 6-6-Cosse tubulaire cuivre BT selon NF C20-130-Section: 6mm -Born: 8mm"/>
    <n v="2"/>
    <s v="XCT6-8"/>
    <m/>
    <m/>
    <n v="0"/>
    <m/>
    <m/>
    <m/>
    <m/>
    <m/>
    <m/>
    <n v="0"/>
    <m/>
    <m/>
    <m/>
    <m/>
    <n v="0"/>
    <n v="0"/>
    <n v="0"/>
    <n v="0"/>
    <n v="0"/>
    <n v="0"/>
    <n v="0"/>
  </r>
  <r>
    <x v="6"/>
    <x v="116"/>
    <s v="15mm"/>
    <s v="CablageCosses pour cable cuivre15mm"/>
    <s v="XCT 10-6-Cosse tubulaire cuivre BT selon NF C20-130-Section: 10mm -Born: 6mm"/>
    <n v="3"/>
    <s v="XCT106"/>
    <m/>
    <m/>
    <n v="0"/>
    <m/>
    <m/>
    <m/>
    <m/>
    <m/>
    <m/>
    <n v="0"/>
    <m/>
    <m/>
    <m/>
    <m/>
    <n v="0"/>
    <n v="0"/>
    <n v="0"/>
    <n v="0"/>
    <n v="0"/>
    <n v="0"/>
    <n v="0"/>
  </r>
  <r>
    <x v="6"/>
    <x v="116"/>
    <s v="15mm"/>
    <s v="CablageCosses pour cable cuivre15mm"/>
    <s v="XCT 10-6-Cosse tubulaire cuivre BT selon NF C20-130-Section: 10mm -Born: 8mm"/>
    <n v="4"/>
    <s v="XCT108"/>
    <m/>
    <m/>
    <n v="0"/>
    <m/>
    <m/>
    <m/>
    <m/>
    <m/>
    <m/>
    <n v="0"/>
    <m/>
    <m/>
    <m/>
    <m/>
    <n v="0"/>
    <n v="0"/>
    <n v="0"/>
    <n v="0"/>
    <n v="0"/>
    <n v="0"/>
    <n v="0"/>
  </r>
  <r>
    <x v="6"/>
    <x v="116"/>
    <s v="15mm"/>
    <s v="CablageCosses pour cable cuivre15mm"/>
    <s v="XCT 16-6-Cosse tubulaire cuivre BT selon NF C20-130-Section: 16mm -Born: 6mm"/>
    <n v="5"/>
    <s v="XCT166"/>
    <m/>
    <m/>
    <n v="0"/>
    <m/>
    <m/>
    <m/>
    <m/>
    <m/>
    <m/>
    <n v="0"/>
    <m/>
    <m/>
    <m/>
    <m/>
    <n v="0"/>
    <n v="0"/>
    <n v="0"/>
    <n v="0"/>
    <n v="0"/>
    <n v="0"/>
    <n v="0"/>
  </r>
  <r>
    <x v="6"/>
    <x v="116"/>
    <s v="15mm"/>
    <s v="CablageCosses pour cable cuivre15mm"/>
    <s v="XCT 16-6-Cosse tubulaire cuivre BT selon NF C20-130-Section:16mm -Born: 8mm"/>
    <n v="6"/>
    <s v="XCT168"/>
    <m/>
    <m/>
    <n v="0"/>
    <m/>
    <m/>
    <m/>
    <m/>
    <m/>
    <m/>
    <n v="0"/>
    <m/>
    <m/>
    <m/>
    <m/>
    <n v="0"/>
    <n v="0"/>
    <n v="0"/>
    <n v="0"/>
    <n v="0"/>
    <n v="0"/>
    <n v="0"/>
  </r>
  <r>
    <x v="6"/>
    <x v="116"/>
    <s v="15mm"/>
    <s v="CablageCosses pour cable cuivre15mm"/>
    <s v="XCT 16-6-Cosse tubulaire cuivre BT selon NF C20-130-Section: 16mm -Born: 10mm"/>
    <n v="7"/>
    <s v="XCT1610"/>
    <m/>
    <m/>
    <n v="0"/>
    <m/>
    <m/>
    <m/>
    <m/>
    <m/>
    <m/>
    <n v="0"/>
    <m/>
    <m/>
    <m/>
    <m/>
    <n v="0"/>
    <n v="0"/>
    <n v="0"/>
    <n v="0"/>
    <n v="0"/>
    <n v="0"/>
    <n v="0"/>
  </r>
  <r>
    <x v="6"/>
    <x v="116"/>
    <s v="25mm"/>
    <s v="CablageCosses pour cable cuivre25mm"/>
    <s v="XCT 25-6-Cosse tubulaire cuivre BT selon NF C20-130-Section: 25mm -Born: 6mm"/>
    <n v="8"/>
    <s v="XCT25-6"/>
    <m/>
    <m/>
    <n v="0"/>
    <m/>
    <m/>
    <m/>
    <m/>
    <m/>
    <m/>
    <n v="0"/>
    <m/>
    <m/>
    <m/>
    <m/>
    <n v="0"/>
    <n v="0"/>
    <n v="0"/>
    <n v="0"/>
    <n v="0"/>
    <n v="0"/>
    <n v="0"/>
  </r>
  <r>
    <x v="6"/>
    <x v="116"/>
    <s v="25mm"/>
    <s v="CablageCosses pour cable cuivre25mm"/>
    <s v="XCT 25-8-Cosse tubulaire cuivre BT selon NF C20-130-Section: 25mm -Born: 8mm"/>
    <n v="9"/>
    <s v="XCT25-8"/>
    <m/>
    <m/>
    <n v="0"/>
    <m/>
    <m/>
    <m/>
    <m/>
    <m/>
    <m/>
    <n v="0"/>
    <m/>
    <m/>
    <m/>
    <m/>
    <n v="0"/>
    <n v="0"/>
    <n v="0"/>
    <n v="0"/>
    <n v="0"/>
    <n v="0"/>
    <n v="0"/>
  </r>
  <r>
    <x v="6"/>
    <x v="116"/>
    <s v="25mm"/>
    <s v="CablageCosses pour cable cuivre25mm"/>
    <s v="XCT 25-10-Cosse tubulaire cuivre BT selon NF C20-130-Section: 25mm -Born: 10mm"/>
    <n v="10"/>
    <s v="XCT25-10"/>
    <m/>
    <m/>
    <n v="0"/>
    <m/>
    <m/>
    <m/>
    <m/>
    <m/>
    <m/>
    <n v="0"/>
    <m/>
    <m/>
    <m/>
    <m/>
    <n v="0"/>
    <n v="0"/>
    <n v="0"/>
    <n v="0"/>
    <n v="0"/>
    <n v="0"/>
    <n v="0"/>
  </r>
  <r>
    <x v="6"/>
    <x v="116"/>
    <s v="35mm"/>
    <s v="CablageCosses pour cable cuivre35mm"/>
    <s v="XCT 35-8-Cosse tubulaire cuivre BT selon NF C20-130-Section: 35mm -Born: 8mm"/>
    <n v="11"/>
    <s v="XCT35-8"/>
    <m/>
    <m/>
    <n v="0"/>
    <m/>
    <m/>
    <m/>
    <m/>
    <m/>
    <m/>
    <n v="0"/>
    <m/>
    <m/>
    <m/>
    <m/>
    <n v="0"/>
    <n v="0"/>
    <n v="0"/>
    <n v="0"/>
    <n v="0"/>
    <n v="0"/>
    <n v="0"/>
  </r>
  <r>
    <x v="6"/>
    <x v="116"/>
    <s v="35mm"/>
    <s v="CablageCosses pour cable cuivre35mm"/>
    <s v="XCT 35-10-Cosse tubulaire cuivre BT selon NF C20-130-Section: 35mm -Born: 10mm"/>
    <n v="12"/>
    <s v="XCT35-10"/>
    <m/>
    <m/>
    <n v="0"/>
    <m/>
    <m/>
    <m/>
    <m/>
    <m/>
    <m/>
    <n v="0"/>
    <m/>
    <m/>
    <m/>
    <m/>
    <n v="0"/>
    <n v="0"/>
    <n v="0"/>
    <n v="0"/>
    <n v="0"/>
    <n v="0"/>
    <n v="0"/>
  </r>
  <r>
    <x v="6"/>
    <x v="116"/>
    <s v="55mm"/>
    <s v="CablageCosses pour cable cuivre55mm"/>
    <s v="XCT 50-8-Cosse tubulaire cuivre BT selon NF C20-130-Section: 50mm -Born: 8mm"/>
    <n v="13"/>
    <s v="XCT508"/>
    <m/>
    <m/>
    <n v="0"/>
    <m/>
    <m/>
    <m/>
    <m/>
    <m/>
    <m/>
    <n v="0"/>
    <m/>
    <m/>
    <m/>
    <m/>
    <n v="0"/>
    <n v="0"/>
    <n v="0"/>
    <n v="0"/>
    <n v="0"/>
    <n v="0"/>
    <n v="0"/>
  </r>
  <r>
    <x v="6"/>
    <x v="116"/>
    <s v="55mm"/>
    <s v="CablageCosses pour cable cuivre55mm"/>
    <s v="XCT 50-10-Cosse tubulaire cuivre BT selon NF C20-130-Section: 50mm -Born: 10mm"/>
    <n v="14"/>
    <s v="XCT5010"/>
    <m/>
    <m/>
    <n v="0"/>
    <m/>
    <m/>
    <m/>
    <m/>
    <m/>
    <m/>
    <n v="0"/>
    <m/>
    <m/>
    <m/>
    <m/>
    <n v="0"/>
    <n v="0"/>
    <n v="0"/>
    <n v="0"/>
    <n v="0"/>
    <n v="0"/>
    <n v="0"/>
  </r>
  <r>
    <x v="6"/>
    <x v="116"/>
    <s v="55mm"/>
    <s v="CablageCosses pour cable cuivre55mm"/>
    <s v="XCT 50-12-Cosse tubulaire cuivre BT selon NF C20-130-Section: 50mm -Born: 12mm"/>
    <n v="15"/>
    <s v="XCT5012"/>
    <m/>
    <m/>
    <n v="0"/>
    <m/>
    <m/>
    <m/>
    <m/>
    <m/>
    <m/>
    <n v="0"/>
    <m/>
    <m/>
    <m/>
    <m/>
    <n v="0"/>
    <n v="0"/>
    <n v="0"/>
    <n v="0"/>
    <n v="0"/>
    <n v="0"/>
    <n v="0"/>
  </r>
  <r>
    <x v="6"/>
    <x v="116"/>
    <s v="75mm"/>
    <s v="CablageCosses pour cable cuivre75mm"/>
    <s v="XCT 70-8-Cosse tubulaire cuivre BT selon NF C20-130-Section: 70mm -Born: 8mm"/>
    <n v="16"/>
    <s v="XCT70-8"/>
    <m/>
    <m/>
    <n v="0"/>
    <m/>
    <m/>
    <m/>
    <m/>
    <m/>
    <m/>
    <n v="0"/>
    <m/>
    <m/>
    <m/>
    <m/>
    <n v="0"/>
    <n v="0"/>
    <n v="0"/>
    <n v="0"/>
    <n v="0"/>
    <n v="0"/>
    <n v="0"/>
  </r>
  <r>
    <x v="6"/>
    <x v="116"/>
    <s v="75mm"/>
    <s v="CablageCosses pour cable cuivre75mm"/>
    <s v="XCT 70-10-Cosse tubulaire cuivre BT selon NF C20-130-Section: 70mm -Born: 10mm"/>
    <n v="17"/>
    <s v="XCT7010"/>
    <m/>
    <m/>
    <n v="0"/>
    <m/>
    <m/>
    <m/>
    <m/>
    <m/>
    <m/>
    <n v="0"/>
    <m/>
    <m/>
    <m/>
    <m/>
    <n v="0"/>
    <n v="0"/>
    <n v="0"/>
    <n v="0"/>
    <n v="0"/>
    <n v="0"/>
    <n v="0"/>
  </r>
  <r>
    <x v="6"/>
    <x v="116"/>
    <s v="75mm"/>
    <s v="CablageCosses pour cable cuivre75mm"/>
    <s v="XCT 70-12-Cosse tubulaire cuivre BT selon NF C20-130-Section: 70mm -Born: 12mm"/>
    <n v="18"/>
    <s v="XCT70-12"/>
    <m/>
    <m/>
    <n v="0"/>
    <m/>
    <m/>
    <m/>
    <m/>
    <m/>
    <m/>
    <n v="0"/>
    <m/>
    <m/>
    <m/>
    <m/>
    <n v="0"/>
    <n v="0"/>
    <n v="0"/>
    <n v="0"/>
    <n v="0"/>
    <n v="0"/>
    <n v="0"/>
  </r>
  <r>
    <x v="6"/>
    <x v="116"/>
    <s v="95mm"/>
    <s v="CablageCosses pour cable cuivre95mm"/>
    <s v="XCT 95-8-Cosse tubulaire cuivre BT selon NF C20-130-Section: 95mm -Born: 8mm"/>
    <n v="19"/>
    <s v="XCT95-8"/>
    <m/>
    <m/>
    <n v="0"/>
    <m/>
    <m/>
    <m/>
    <m/>
    <m/>
    <m/>
    <n v="0"/>
    <m/>
    <m/>
    <m/>
    <m/>
    <n v="0"/>
    <n v="0"/>
    <n v="0"/>
    <n v="0"/>
    <n v="0"/>
    <n v="0"/>
    <n v="0"/>
  </r>
  <r>
    <x v="6"/>
    <x v="116"/>
    <s v="95mm"/>
    <s v="CablageCosses pour cable cuivre95mm"/>
    <s v="XCT 95-10-Cosse tubulaire cuivre BT selon NF C20-130-Section: 95mm -Born: 10mm"/>
    <n v="20"/>
    <s v="XCT9510"/>
    <m/>
    <m/>
    <n v="0"/>
    <m/>
    <m/>
    <m/>
    <m/>
    <m/>
    <m/>
    <n v="0"/>
    <m/>
    <m/>
    <m/>
    <m/>
    <n v="0"/>
    <n v="0"/>
    <n v="0"/>
    <n v="0"/>
    <n v="0"/>
    <n v="0"/>
    <n v="0"/>
  </r>
  <r>
    <x v="6"/>
    <x v="116"/>
    <s v="95mm"/>
    <s v="CablageCosses pour cable cuivre95mm"/>
    <s v="XCT 95-12-Cosse tubulaire cuivre BT selon NF C20-130-Section: 95mm -Born: 12mm"/>
    <n v="21"/>
    <s v="XCT95-12"/>
    <m/>
    <m/>
    <n v="0"/>
    <m/>
    <m/>
    <m/>
    <m/>
    <m/>
    <m/>
    <n v="0"/>
    <m/>
    <m/>
    <m/>
    <m/>
    <n v="0"/>
    <n v="0"/>
    <n v="0"/>
    <n v="0"/>
    <n v="0"/>
    <n v="0"/>
    <n v="0"/>
  </r>
  <r>
    <x v="6"/>
    <x v="116"/>
    <s v="120mm"/>
    <s v="CablageCosses pour cable cuivre120mm"/>
    <s v="XCT 120-10-Cosse tubulaire cuivre BT selon NF C20-130-Section: 120mm -Born: 10mm"/>
    <n v="22"/>
    <s v="XCT120-10"/>
    <m/>
    <m/>
    <n v="0"/>
    <m/>
    <m/>
    <m/>
    <m/>
    <m/>
    <m/>
    <n v="0"/>
    <m/>
    <m/>
    <m/>
    <m/>
    <n v="0"/>
    <n v="0"/>
    <n v="0"/>
    <n v="0"/>
    <n v="0"/>
    <n v="0"/>
    <n v="0"/>
  </r>
  <r>
    <x v="6"/>
    <x v="116"/>
    <s v="120mm"/>
    <s v="CablageCosses pour cable cuivre120mm"/>
    <s v="XCT 120-12-Cosse tubulaire cuivre BT selon NF C20-130-Section: 120mm -Born: 12mm"/>
    <n v="23"/>
    <s v="XCT120-12"/>
    <m/>
    <m/>
    <n v="0"/>
    <m/>
    <m/>
    <m/>
    <m/>
    <m/>
    <m/>
    <n v="0"/>
    <m/>
    <m/>
    <m/>
    <m/>
    <n v="0"/>
    <n v="0"/>
    <n v="0"/>
    <n v="0"/>
    <n v="0"/>
    <n v="0"/>
    <n v="0"/>
  </r>
  <r>
    <x v="6"/>
    <x v="116"/>
    <s v="150mm"/>
    <s v="CablageCosses pour cable cuivre150mm"/>
    <s v="XCT 150-10-Cosse tubulaire cuivre BT selon NF C20-130-Section: 150mm -Born: 10mm"/>
    <n v="24"/>
    <s v="XCT150-10"/>
    <m/>
    <m/>
    <n v="0"/>
    <m/>
    <m/>
    <m/>
    <m/>
    <m/>
    <m/>
    <n v="0"/>
    <m/>
    <m/>
    <m/>
    <m/>
    <n v="0"/>
    <n v="0"/>
    <n v="0"/>
    <n v="0"/>
    <n v="0"/>
    <n v="0"/>
    <n v="0"/>
  </r>
  <r>
    <x v="6"/>
    <x v="116"/>
    <s v="150mm"/>
    <s v="CablageCosses pour cable cuivre150mm"/>
    <s v="XCT 150-12-Cosse tubulaire cuivre BT selon NF C20-130-Section: 150mm -Born: 12mm"/>
    <n v="25"/>
    <s v="XCT150"/>
    <m/>
    <m/>
    <n v="0"/>
    <m/>
    <m/>
    <m/>
    <m/>
    <m/>
    <m/>
    <n v="0"/>
    <m/>
    <m/>
    <m/>
    <m/>
    <n v="0"/>
    <n v="0"/>
    <n v="0"/>
    <n v="0"/>
    <n v="0"/>
    <n v="0"/>
    <n v="0"/>
  </r>
  <r>
    <x v="6"/>
    <x v="116"/>
    <s v="185mm"/>
    <s v="CablageCosses pour cable cuivre185mm"/>
    <s v="XCT 185-12-Cosse tubulaire cuivre BT selon NF C20-130-Section: 185mm -Born: 12mm"/>
    <n v="26"/>
    <s v="XCT18512"/>
    <m/>
    <m/>
    <n v="0"/>
    <m/>
    <m/>
    <m/>
    <m/>
    <m/>
    <m/>
    <n v="0"/>
    <m/>
    <m/>
    <m/>
    <m/>
    <n v="0"/>
    <n v="0"/>
    <n v="0"/>
    <n v="0"/>
    <n v="0"/>
    <n v="0"/>
    <n v="0"/>
  </r>
  <r>
    <x v="6"/>
    <x v="117"/>
    <m/>
    <s v="CablageBORNE WAGO &amp; DOMINOS"/>
    <m/>
    <n v="0"/>
    <m/>
    <m/>
    <m/>
    <n v="0"/>
    <m/>
    <m/>
    <m/>
    <m/>
    <m/>
    <m/>
    <n v="0"/>
    <m/>
    <m/>
    <m/>
    <m/>
    <n v="0"/>
    <n v="0"/>
    <n v="0"/>
    <n v="0"/>
    <n v="0"/>
    <n v="0"/>
    <n v="0"/>
  </r>
  <r>
    <x v="6"/>
    <x v="117"/>
    <s v="Dominos"/>
    <s v="CablageBORNE WAGO &amp; DOMINOSDominos"/>
    <s v="Barrette de connexion pour section maxi 2,5 mm2 "/>
    <n v="1"/>
    <n v="34211"/>
    <m/>
    <m/>
    <n v="0"/>
    <m/>
    <m/>
    <m/>
    <m/>
    <m/>
    <m/>
    <n v="0"/>
    <m/>
    <m/>
    <m/>
    <m/>
    <n v="0"/>
    <n v="0"/>
    <n v="0"/>
    <n v="0"/>
    <n v="0"/>
    <n v="0"/>
    <n v="0"/>
  </r>
  <r>
    <x v="6"/>
    <x v="117"/>
    <s v="Dominos"/>
    <s v="CablageBORNE WAGO &amp; DOMINOSDominos"/>
    <s v="Barrette de connexion pour section maxi 6 mm2 "/>
    <n v="2"/>
    <n v="34213"/>
    <m/>
    <m/>
    <n v="0"/>
    <m/>
    <m/>
    <m/>
    <m/>
    <m/>
    <m/>
    <n v="0"/>
    <m/>
    <m/>
    <m/>
    <m/>
    <n v="0"/>
    <n v="0"/>
    <n v="0"/>
    <n v="0"/>
    <n v="0"/>
    <n v="0"/>
    <n v="0"/>
  </r>
  <r>
    <x v="6"/>
    <x v="117"/>
    <s v="Dominos"/>
    <s v="CablageBORNE WAGO &amp; DOMINOSDominos"/>
    <s v="Barrette de connexion pour section maxi 10 mm2 "/>
    <n v="3"/>
    <n v="34215"/>
    <m/>
    <m/>
    <n v="0"/>
    <m/>
    <m/>
    <m/>
    <m/>
    <m/>
    <m/>
    <n v="0"/>
    <m/>
    <m/>
    <m/>
    <m/>
    <n v="0"/>
    <n v="0"/>
    <n v="0"/>
    <n v="0"/>
    <n v="0"/>
    <n v="0"/>
    <n v="0"/>
  </r>
  <r>
    <x v="6"/>
    <x v="117"/>
    <s v="Dominos"/>
    <s v="CablageBORNE WAGO &amp; DOMINOSDominos"/>
    <s v="Barrette de connexion pour section maxi 16 mm2 "/>
    <n v="4"/>
    <n v="34217"/>
    <m/>
    <m/>
    <n v="0"/>
    <m/>
    <m/>
    <m/>
    <m/>
    <m/>
    <m/>
    <n v="0"/>
    <m/>
    <m/>
    <m/>
    <m/>
    <n v="0"/>
    <n v="0"/>
    <n v="0"/>
    <n v="0"/>
    <n v="0"/>
    <n v="0"/>
    <n v="0"/>
  </r>
  <r>
    <x v="6"/>
    <x v="117"/>
    <s v="Bloc de jonction Wago"/>
    <s v="CablageBORNE WAGO &amp; DOMINOSBloc de jonction Wago"/>
    <s v="Bloc de jonction  Wago 221 -2 Pôles-Cage à ressort- 4mm2 -32A"/>
    <n v="5"/>
    <s v="WAG221 -412"/>
    <m/>
    <m/>
    <n v="0"/>
    <m/>
    <m/>
    <m/>
    <m/>
    <m/>
    <m/>
    <n v="0"/>
    <m/>
    <m/>
    <m/>
    <m/>
    <n v="0"/>
    <n v="0"/>
    <n v="0"/>
    <n v="0"/>
    <n v="0"/>
    <n v="0"/>
    <n v="0"/>
  </r>
  <r>
    <x v="6"/>
    <x v="117"/>
    <s v="Bloc de jonction Wago"/>
    <s v="CablageBORNE WAGO &amp; DOMINOSBloc de jonction Wago"/>
    <s v="Bloc de jonction  Wago 221 -3 Pôles-Cage à ressort- 4mm2 -32A"/>
    <n v="6"/>
    <s v="WAG221 -413"/>
    <m/>
    <m/>
    <n v="0"/>
    <m/>
    <m/>
    <m/>
    <m/>
    <m/>
    <m/>
    <n v="0"/>
    <m/>
    <m/>
    <m/>
    <m/>
    <n v="0"/>
    <n v="0"/>
    <n v="0"/>
    <n v="0"/>
    <n v="0"/>
    <n v="0"/>
    <n v="0"/>
  </r>
  <r>
    <x v="6"/>
    <x v="117"/>
    <s v="Bloc de jonction Wago"/>
    <s v="CablageBORNE WAGO &amp; DOMINOSBloc de jonction Wago"/>
    <s v="Bloc de jonction  Wago 221 -2 Pôles-Cage à ressort- 6mm2 -41A"/>
    <n v="7"/>
    <s v="WAG221 -612"/>
    <m/>
    <m/>
    <n v="0"/>
    <m/>
    <m/>
    <m/>
    <m/>
    <m/>
    <m/>
    <n v="0"/>
    <m/>
    <m/>
    <m/>
    <m/>
    <n v="0"/>
    <n v="0"/>
    <n v="0"/>
    <n v="0"/>
    <n v="0"/>
    <n v="0"/>
    <n v="0"/>
  </r>
  <r>
    <x v="6"/>
    <x v="117"/>
    <s v="Bloc de jonction Wago"/>
    <s v="CablageBORNE WAGO &amp; DOMINOSBloc de jonction Wago"/>
    <s v="Bloc de jonction  Wago 221 -3 Pôles-Cage à ressort- 6mm2 -32A"/>
    <n v="8"/>
    <s v="WAG221 -613"/>
    <m/>
    <m/>
    <n v="0"/>
    <m/>
    <m/>
    <m/>
    <m/>
    <m/>
    <m/>
    <n v="0"/>
    <m/>
    <m/>
    <m/>
    <m/>
    <n v="0"/>
    <n v="0"/>
    <n v="0"/>
    <n v="0"/>
    <n v="0"/>
    <n v="0"/>
    <n v="0"/>
  </r>
  <r>
    <x v="6"/>
    <x v="118"/>
    <m/>
    <s v="CablageECLAIRAGE &amp; INTERRUPTEUR"/>
    <m/>
    <n v="0"/>
    <m/>
    <m/>
    <m/>
    <n v="0"/>
    <m/>
    <m/>
    <m/>
    <m/>
    <m/>
    <m/>
    <n v="0"/>
    <m/>
    <m/>
    <m/>
    <m/>
    <n v="0"/>
    <n v="0"/>
    <n v="0"/>
    <n v="0"/>
    <n v="0"/>
    <n v="0"/>
    <n v="0"/>
  </r>
  <r>
    <x v="6"/>
    <x v="118"/>
    <s v="Eclairage"/>
    <s v="CablageECLAIRAGE &amp; INTERRUPTEUREclairage"/>
    <s v="rampe 1 neon"/>
    <n v="1"/>
    <n v="5219504"/>
    <m/>
    <m/>
    <n v="0"/>
    <m/>
    <m/>
    <m/>
    <m/>
    <m/>
    <m/>
    <n v="0"/>
    <m/>
    <m/>
    <m/>
    <m/>
    <n v="0"/>
    <n v="0"/>
    <n v="0"/>
    <n v="0"/>
    <n v="0"/>
    <n v="0"/>
    <n v="0"/>
  </r>
  <r>
    <x v="6"/>
    <x v="118"/>
    <s v="Eclairage"/>
    <s v="CablageECLAIRAGE &amp; INTERRUPTEUREclairage"/>
    <s v="rampe 2 neon"/>
    <n v="2"/>
    <m/>
    <m/>
    <m/>
    <n v="0"/>
    <m/>
    <m/>
    <m/>
    <m/>
    <m/>
    <m/>
    <n v="0"/>
    <m/>
    <m/>
    <m/>
    <m/>
    <n v="0"/>
    <n v="0"/>
    <n v="0"/>
    <n v="0"/>
    <n v="0"/>
    <n v="0"/>
    <n v="0"/>
  </r>
  <r>
    <x v="6"/>
    <x v="118"/>
    <s v="Interupteur en applique"/>
    <s v="CablageECLAIRAGE &amp; INTERRUPTEURInterupteur en applique"/>
    <s v="Interrupteur va et  vient Plexo 10A-230V"/>
    <n v="3"/>
    <n v="69711"/>
    <m/>
    <m/>
    <n v="0"/>
    <m/>
    <m/>
    <m/>
    <m/>
    <m/>
    <m/>
    <n v="0"/>
    <m/>
    <m/>
    <m/>
    <m/>
    <n v="0"/>
    <n v="0"/>
    <n v="0"/>
    <n v="0"/>
    <n v="0"/>
    <n v="0"/>
    <n v="0"/>
  </r>
  <r>
    <x v="6"/>
    <x v="119"/>
    <m/>
    <s v="CablageEmbouts de cablage"/>
    <m/>
    <n v="0"/>
    <m/>
    <m/>
    <m/>
    <n v="0"/>
    <m/>
    <m/>
    <m/>
    <m/>
    <m/>
    <m/>
    <n v="0"/>
    <m/>
    <m/>
    <m/>
    <m/>
    <n v="0"/>
    <n v="0"/>
    <n v="0"/>
    <n v="0"/>
    <n v="0"/>
    <n v="0"/>
    <n v="0"/>
  </r>
  <r>
    <x v="6"/>
    <x v="119"/>
    <m/>
    <s v="CablageEmbouts de cablage"/>
    <s v="0,5²"/>
    <n v="1"/>
    <m/>
    <m/>
    <m/>
    <n v="0"/>
    <m/>
    <m/>
    <m/>
    <m/>
    <m/>
    <m/>
    <n v="0"/>
    <m/>
    <m/>
    <m/>
    <s v="pour cable unifilaire souple"/>
    <n v="0"/>
    <n v="0"/>
    <n v="0"/>
    <n v="0"/>
    <n v="0"/>
    <n v="0"/>
    <n v="0"/>
  </r>
  <r>
    <x v="6"/>
    <x v="119"/>
    <m/>
    <s v="CablageEmbouts de cablage"/>
    <n v="0.75"/>
    <n v="2"/>
    <n v="37662"/>
    <m/>
    <m/>
    <n v="0"/>
    <m/>
    <m/>
    <m/>
    <m/>
    <m/>
    <m/>
    <n v="0"/>
    <m/>
    <m/>
    <m/>
    <s v="pour cable unifilaire souple"/>
    <n v="0"/>
    <n v="0"/>
    <n v="0"/>
    <n v="0"/>
    <n v="0"/>
    <n v="0"/>
    <n v="0"/>
  </r>
  <r>
    <x v="6"/>
    <x v="119"/>
    <m/>
    <s v="CablageEmbouts de cablage"/>
    <s v="1²"/>
    <n v="3"/>
    <n v="37663"/>
    <m/>
    <m/>
    <n v="0"/>
    <m/>
    <m/>
    <m/>
    <m/>
    <m/>
    <m/>
    <n v="0"/>
    <m/>
    <m/>
    <m/>
    <s v="pour cable unifilaire souple"/>
    <n v="0"/>
    <n v="0"/>
    <n v="0"/>
    <n v="0"/>
    <n v="0"/>
    <n v="0"/>
    <n v="0"/>
  </r>
  <r>
    <x v="6"/>
    <x v="119"/>
    <m/>
    <s v="CablageEmbouts de cablage"/>
    <s v="1,5²"/>
    <n v="4"/>
    <n v="37664"/>
    <m/>
    <m/>
    <n v="0"/>
    <m/>
    <m/>
    <m/>
    <m/>
    <m/>
    <m/>
    <n v="0"/>
    <m/>
    <m/>
    <m/>
    <s v="pour cable unifilaire souple"/>
    <n v="0"/>
    <n v="0"/>
    <n v="0"/>
    <n v="0"/>
    <n v="0"/>
    <n v="0"/>
    <n v="0"/>
  </r>
  <r>
    <x v="6"/>
    <x v="119"/>
    <m/>
    <s v="CablageEmbouts de cablage"/>
    <n v="2.5"/>
    <n v="5"/>
    <n v="37666"/>
    <m/>
    <m/>
    <n v="0"/>
    <m/>
    <m/>
    <m/>
    <m/>
    <m/>
    <m/>
    <n v="0"/>
    <m/>
    <m/>
    <m/>
    <s v="pour cable unifilaire souple"/>
    <n v="0"/>
    <n v="0"/>
    <n v="0"/>
    <n v="0"/>
    <n v="0"/>
    <n v="0"/>
    <n v="0"/>
  </r>
  <r>
    <x v="6"/>
    <x v="119"/>
    <m/>
    <s v="CablageEmbouts de cablage"/>
    <s v="4²"/>
    <n v="6"/>
    <n v="37667"/>
    <m/>
    <m/>
    <n v="0"/>
    <m/>
    <m/>
    <m/>
    <m/>
    <m/>
    <m/>
    <n v="0"/>
    <m/>
    <m/>
    <m/>
    <s v="pour cable unifilaire souple"/>
    <n v="0"/>
    <n v="0"/>
    <n v="0"/>
    <n v="0"/>
    <n v="0"/>
    <n v="0"/>
    <n v="0"/>
  </r>
  <r>
    <x v="6"/>
    <x v="119"/>
    <m/>
    <s v="CablageEmbouts de cablage"/>
    <s v="6²"/>
    <n v="7"/>
    <n v="37668"/>
    <m/>
    <m/>
    <n v="0"/>
    <m/>
    <m/>
    <m/>
    <m/>
    <m/>
    <m/>
    <n v="0"/>
    <m/>
    <m/>
    <m/>
    <s v="pour cable unifilaire souple"/>
    <n v="0"/>
    <n v="0"/>
    <n v="0"/>
    <n v="0"/>
    <n v="0"/>
    <n v="0"/>
    <n v="0"/>
  </r>
  <r>
    <x v="6"/>
    <x v="119"/>
    <m/>
    <s v="CablageEmbouts de cablage"/>
    <s v="10²"/>
    <n v="8"/>
    <n v="37669"/>
    <m/>
    <m/>
    <n v="0"/>
    <m/>
    <m/>
    <m/>
    <m/>
    <m/>
    <m/>
    <n v="0"/>
    <m/>
    <m/>
    <m/>
    <s v="pour cable unifilaire souple"/>
    <n v="0"/>
    <n v="0"/>
    <n v="0"/>
    <n v="0"/>
    <n v="0"/>
    <n v="0"/>
    <n v="0"/>
  </r>
  <r>
    <x v="6"/>
    <x v="119"/>
    <m/>
    <s v="CablageEmbouts de cablage"/>
    <s v="16²"/>
    <n v="9"/>
    <n v="37672"/>
    <m/>
    <m/>
    <n v="0"/>
    <m/>
    <m/>
    <m/>
    <m/>
    <m/>
    <m/>
    <n v="0"/>
    <m/>
    <m/>
    <m/>
    <m/>
    <n v="0"/>
    <n v="0"/>
    <n v="0"/>
    <n v="0"/>
    <n v="0"/>
    <n v="0"/>
    <n v="0"/>
  </r>
  <r>
    <x v="6"/>
    <x v="119"/>
    <m/>
    <s v="CablageEmbouts de cablage"/>
    <s v="25²"/>
    <n v="10"/>
    <m/>
    <m/>
    <m/>
    <n v="0"/>
    <m/>
    <m/>
    <m/>
    <m/>
    <m/>
    <m/>
    <n v="0"/>
    <m/>
    <m/>
    <m/>
    <m/>
    <n v="0"/>
    <n v="0"/>
    <n v="0"/>
    <n v="0"/>
    <n v="0"/>
    <n v="0"/>
    <n v="0"/>
  </r>
  <r>
    <x v="6"/>
    <x v="119"/>
    <m/>
    <s v="CablageEmbouts de cablage"/>
    <s v="35²"/>
    <n v="11"/>
    <m/>
    <m/>
    <m/>
    <n v="0"/>
    <m/>
    <m/>
    <m/>
    <m/>
    <m/>
    <m/>
    <n v="0"/>
    <m/>
    <m/>
    <m/>
    <m/>
    <n v="0"/>
    <n v="0"/>
    <n v="0"/>
    <n v="0"/>
    <n v="0"/>
    <n v="0"/>
    <n v="0"/>
  </r>
  <r>
    <x v="6"/>
    <x v="119"/>
    <m/>
    <s v="CablageEmbouts de cablage"/>
    <s v="50²"/>
    <n v="12"/>
    <m/>
    <m/>
    <m/>
    <n v="0"/>
    <m/>
    <m/>
    <m/>
    <m/>
    <m/>
    <m/>
    <n v="0"/>
    <m/>
    <m/>
    <m/>
    <m/>
    <n v="0"/>
    <n v="0"/>
    <n v="0"/>
    <n v="0"/>
    <n v="0"/>
    <n v="0"/>
    <n v="0"/>
  </r>
  <r>
    <x v="6"/>
    <x v="120"/>
    <m/>
    <s v="CablageGAINE SPIRALEE"/>
    <m/>
    <n v="0"/>
    <m/>
    <m/>
    <m/>
    <n v="0"/>
    <m/>
    <m/>
    <m/>
    <m/>
    <m/>
    <m/>
    <n v="0"/>
    <m/>
    <m/>
    <m/>
    <m/>
    <n v="0"/>
    <n v="0"/>
    <n v="0"/>
    <n v="0"/>
    <n v="0"/>
    <n v="0"/>
    <n v="0"/>
  </r>
  <r>
    <x v="6"/>
    <x v="120"/>
    <s v="05mm"/>
    <s v="CablageGAINE SPIRALEE05mm"/>
    <s v="Gaine spiraléeØ9mm-12mm"/>
    <n v="1"/>
    <s v="IBO00964"/>
    <m/>
    <m/>
    <n v="0"/>
    <m/>
    <m/>
    <m/>
    <m/>
    <m/>
    <m/>
    <n v="0"/>
    <m/>
    <m/>
    <m/>
    <m/>
    <n v="0"/>
    <n v="0"/>
    <n v="0"/>
    <n v="0"/>
    <n v="0"/>
    <n v="0"/>
    <n v="0"/>
  </r>
  <r>
    <x v="6"/>
    <x v="121"/>
    <m/>
    <s v="CablagePRESSE ETOUPE"/>
    <m/>
    <n v="0"/>
    <m/>
    <m/>
    <m/>
    <n v="0"/>
    <m/>
    <m/>
    <m/>
    <m/>
    <m/>
    <m/>
    <n v="0"/>
    <m/>
    <m/>
    <m/>
    <m/>
    <n v="0"/>
    <n v="0"/>
    <n v="0"/>
    <n v="0"/>
    <n v="0"/>
    <n v="0"/>
    <n v="0"/>
  </r>
  <r>
    <x v="6"/>
    <x v="121"/>
    <s v="PG9"/>
    <s v="CablagePRESSE ETOUPEPG9"/>
    <s v="11p  7 à 10  "/>
    <n v="1"/>
    <n v="98021"/>
    <m/>
    <m/>
    <n v="0"/>
    <m/>
    <m/>
    <m/>
    <m/>
    <m/>
    <m/>
    <n v="0"/>
    <m/>
    <m/>
    <m/>
    <s v="3g0,75"/>
    <n v="0"/>
    <n v="0"/>
    <n v="0"/>
    <n v="0"/>
    <n v="0"/>
    <n v="0"/>
    <n v="0"/>
  </r>
  <r>
    <x v="6"/>
    <x v="121"/>
    <s v="PG11"/>
    <s v="CablagePRESSE ETOUPEPG11"/>
    <n v="11"/>
    <n v="2"/>
    <n v="98022"/>
    <m/>
    <m/>
    <n v="0"/>
    <m/>
    <m/>
    <m/>
    <m/>
    <m/>
    <m/>
    <n v="0"/>
    <m/>
    <m/>
    <m/>
    <m/>
    <n v="0"/>
    <n v="0"/>
    <n v="0"/>
    <n v="0"/>
    <n v="0"/>
    <n v="0"/>
    <n v="0"/>
  </r>
  <r>
    <x v="6"/>
    <x v="121"/>
    <s v="PG13"/>
    <s v="CablagePRESSE ETOUPEPG13"/>
    <s v="13p  9 à 12  "/>
    <n v="3"/>
    <n v="98023"/>
    <m/>
    <m/>
    <n v="0"/>
    <m/>
    <m/>
    <m/>
    <m/>
    <m/>
    <m/>
    <n v="0"/>
    <m/>
    <m/>
    <m/>
    <s v="3G1,5-"/>
    <n v="0"/>
    <n v="0"/>
    <n v="0"/>
    <n v="0"/>
    <n v="0"/>
    <n v="0"/>
    <n v="0"/>
  </r>
  <r>
    <x v="6"/>
    <x v="121"/>
    <s v="PG16"/>
    <s v="CablagePRESSE ETOUPEPG16"/>
    <s v="16p  10 à 14 "/>
    <n v="4"/>
    <n v="98024"/>
    <m/>
    <m/>
    <n v="0"/>
    <m/>
    <m/>
    <m/>
    <m/>
    <m/>
    <m/>
    <n v="0"/>
    <m/>
    <m/>
    <m/>
    <s v="3G2,5-3G4-4G2,5-"/>
    <n v="0"/>
    <n v="0"/>
    <n v="0"/>
    <n v="0"/>
    <n v="0"/>
    <n v="0"/>
    <n v="0"/>
  </r>
  <r>
    <x v="6"/>
    <x v="121"/>
    <s v="PG21"/>
    <s v="CablagePRESSE ETOUPEPG21"/>
    <s v="29p  16 à 24  "/>
    <n v="5"/>
    <n v="98025"/>
    <m/>
    <m/>
    <n v="0"/>
    <m/>
    <m/>
    <m/>
    <m/>
    <m/>
    <m/>
    <n v="0"/>
    <m/>
    <m/>
    <m/>
    <s v="4G10-4G16-5G10-5G16-"/>
    <n v="0"/>
    <n v="0"/>
    <n v="0"/>
    <n v="0"/>
    <n v="0"/>
    <n v="0"/>
    <n v="0"/>
  </r>
  <r>
    <x v="6"/>
    <x v="121"/>
    <s v="PG29"/>
    <s v="CablagePRESSE ETOUPEPG29"/>
    <s v="PE 21 -26 PGN"/>
    <n v="6"/>
    <n v="98026"/>
    <m/>
    <m/>
    <n v="0"/>
    <m/>
    <m/>
    <m/>
    <m/>
    <m/>
    <m/>
    <n v="0"/>
    <m/>
    <m/>
    <m/>
    <s v="4G25-4G35-avec ecrou"/>
    <n v="0"/>
    <n v="0"/>
    <n v="0"/>
    <n v="0"/>
    <n v="0"/>
    <n v="0"/>
    <n v="0"/>
  </r>
  <r>
    <x v="6"/>
    <x v="121"/>
    <s v="PG36"/>
    <s v="CablagePRESSE ETOUPEPG36"/>
    <s v="42p  30 à 35  "/>
    <n v="7"/>
    <n v="98027"/>
    <m/>
    <m/>
    <n v="0"/>
    <m/>
    <m/>
    <m/>
    <m/>
    <m/>
    <m/>
    <n v="0"/>
    <m/>
    <m/>
    <m/>
    <s v="4G50-5G35-"/>
    <n v="0"/>
    <n v="0"/>
    <n v="0"/>
    <n v="0"/>
    <n v="0"/>
    <n v="0"/>
    <n v="0"/>
  </r>
  <r>
    <x v="6"/>
    <x v="121"/>
    <s v="PG42"/>
    <s v="CablagePRESSE ETOUPEPG42"/>
    <s v="48p  31 à 40  "/>
    <n v="8"/>
    <n v="98028"/>
    <m/>
    <m/>
    <n v="0"/>
    <m/>
    <m/>
    <m/>
    <m/>
    <m/>
    <m/>
    <n v="0"/>
    <m/>
    <m/>
    <m/>
    <s v="4G70-"/>
    <n v="0"/>
    <n v="0"/>
    <n v="0"/>
    <n v="0"/>
    <n v="0"/>
    <n v="0"/>
    <n v="0"/>
  </r>
  <r>
    <x v="6"/>
    <x v="122"/>
    <m/>
    <s v="CablagePRISES"/>
    <m/>
    <n v="0"/>
    <m/>
    <m/>
    <m/>
    <n v="0"/>
    <m/>
    <m/>
    <m/>
    <m/>
    <m/>
    <m/>
    <n v="0"/>
    <m/>
    <m/>
    <m/>
    <m/>
    <n v="0"/>
    <n v="0"/>
    <n v="0"/>
    <n v="0"/>
    <n v="0"/>
    <n v="0"/>
    <n v="0"/>
  </r>
  <r>
    <x v="6"/>
    <x v="122"/>
    <s v="2P+T"/>
    <s v="CablagePRISES2P+T"/>
    <s v="Prise Saillie étanche  avec éclips de protection 16A - IP 55"/>
    <n v="1"/>
    <n v="69731"/>
    <m/>
    <m/>
    <n v="0"/>
    <m/>
    <m/>
    <m/>
    <m/>
    <m/>
    <m/>
    <n v="0"/>
    <m/>
    <m/>
    <m/>
    <m/>
    <n v="0"/>
    <n v="0"/>
    <n v="0"/>
    <n v="0"/>
    <n v="0"/>
    <n v="0"/>
    <n v="0"/>
  </r>
  <r>
    <x v="6"/>
    <x v="122"/>
    <s v="2P+T"/>
    <s v="CablagePRISES2P+T"/>
    <s v=" Femelle pour cable 2P+T16A"/>
    <n v="2"/>
    <n v="50446"/>
    <m/>
    <m/>
    <n v="0"/>
    <m/>
    <m/>
    <m/>
    <m/>
    <m/>
    <m/>
    <n v="0"/>
    <m/>
    <m/>
    <m/>
    <m/>
    <n v="0"/>
    <n v="0"/>
    <n v="0"/>
    <n v="0"/>
    <n v="0"/>
    <n v="0"/>
    <n v="0"/>
  </r>
  <r>
    <x v="6"/>
    <x v="122"/>
    <s v="2P+T"/>
    <s v="CablagePRISES2P+T"/>
    <s v="Mâle pour cable 2P+T 16A"/>
    <n v="3"/>
    <n v="50445"/>
    <m/>
    <m/>
    <n v="0"/>
    <m/>
    <m/>
    <m/>
    <m/>
    <m/>
    <m/>
    <n v="0"/>
    <m/>
    <m/>
    <m/>
    <m/>
    <n v="0"/>
    <n v="0"/>
    <n v="0"/>
    <n v="0"/>
    <n v="0"/>
    <n v="0"/>
    <n v="0"/>
  </r>
  <r>
    <x v="6"/>
    <x v="122"/>
    <s v="2P+T"/>
    <s v="CablagePRISES2P+T"/>
    <s v="Mâle pour cable 2P+T 16A"/>
    <n v="4"/>
    <n v="50245"/>
    <m/>
    <m/>
    <n v="0"/>
    <m/>
    <m/>
    <m/>
    <m/>
    <m/>
    <m/>
    <n v="0"/>
    <m/>
    <m/>
    <m/>
    <s v="Idem 50445, a supprimer"/>
    <n v="0"/>
    <n v="0"/>
    <n v="0"/>
    <n v="0"/>
    <n v="0"/>
    <n v="0"/>
    <n v="0"/>
  </r>
  <r>
    <x v="6"/>
    <x v="122"/>
    <s v="3P + T"/>
    <s v="CablagePRISES3P + T"/>
    <s v="Prise à entraxes unifié fixe Hypra IP4 32A -380V-415V  3P+T-plastique"/>
    <n v="5"/>
    <s v="052919"/>
    <m/>
    <m/>
    <n v="0"/>
    <m/>
    <m/>
    <m/>
    <m/>
    <m/>
    <m/>
    <n v="0"/>
    <m/>
    <m/>
    <m/>
    <m/>
    <n v="0"/>
    <n v="0"/>
    <n v="0"/>
    <n v="0"/>
    <n v="0"/>
    <n v="0"/>
    <n v="0"/>
  </r>
  <r>
    <x v="6"/>
    <x v="122"/>
    <s v="3P + T"/>
    <s v="CablagePRISES3P + T"/>
    <s v="Fiche mobile droite Hypra IP 44 32A -380V_415V-3P+T-Plastique"/>
    <n v="6"/>
    <s v="052943"/>
    <m/>
    <m/>
    <n v="0"/>
    <m/>
    <m/>
    <m/>
    <m/>
    <m/>
    <m/>
    <n v="0"/>
    <m/>
    <m/>
    <m/>
    <m/>
    <n v="0"/>
    <n v="0"/>
    <n v="0"/>
    <n v="0"/>
    <n v="0"/>
    <n v="0"/>
    <n v="0"/>
  </r>
  <r>
    <x v="6"/>
    <x v="123"/>
    <m/>
    <s v="CablageCOLSONS &amp; COLRING"/>
    <m/>
    <n v="0"/>
    <m/>
    <m/>
    <m/>
    <n v="0"/>
    <m/>
    <m/>
    <m/>
    <m/>
    <m/>
    <m/>
    <n v="0"/>
    <m/>
    <m/>
    <m/>
    <m/>
    <n v="0"/>
    <n v="0"/>
    <n v="0"/>
    <n v="0"/>
    <n v="0"/>
    <n v="0"/>
    <n v="0"/>
  </r>
  <r>
    <x v="6"/>
    <x v="123"/>
    <s v="Collier"/>
    <s v="CablageCOLSONS &amp; COLRINGCollier"/>
    <s v="Collier Colson noir protégé ultraviolet- largeur 9mm-lg 123mm"/>
    <n v="1"/>
    <n v="31910"/>
    <m/>
    <m/>
    <n v="0"/>
    <m/>
    <m/>
    <m/>
    <m/>
    <m/>
    <m/>
    <n v="0"/>
    <m/>
    <m/>
    <m/>
    <m/>
    <n v="0"/>
    <n v="0"/>
    <n v="0"/>
    <n v="0"/>
    <n v="0"/>
    <n v="0"/>
    <n v="0"/>
  </r>
  <r>
    <x v="6"/>
    <x v="123"/>
    <s v="Collier"/>
    <s v="CablageCOLSONS &amp; COLRINGCollier"/>
    <s v="Collier Colson noir protégé ultraviolet- largeur 9mm-lg 185mm"/>
    <n v="2"/>
    <n v="31913"/>
    <m/>
    <m/>
    <n v="0"/>
    <m/>
    <m/>
    <m/>
    <m/>
    <m/>
    <m/>
    <n v="0"/>
    <m/>
    <m/>
    <m/>
    <m/>
    <n v="0"/>
    <n v="0"/>
    <n v="0"/>
    <n v="0"/>
    <n v="0"/>
    <n v="0"/>
    <n v="0"/>
  </r>
  <r>
    <x v="6"/>
    <x v="123"/>
    <s v="Collier"/>
    <s v="CablageCOLSONS &amp; COLRINGCollier"/>
    <s v="Collier Colson noir protégé ultraviolet- largeur 9mm-lg 262mm"/>
    <n v="3"/>
    <n v="31916"/>
    <m/>
    <m/>
    <n v="0"/>
    <m/>
    <m/>
    <m/>
    <m/>
    <m/>
    <m/>
    <n v="0"/>
    <m/>
    <m/>
    <m/>
    <m/>
    <n v="0"/>
    <n v="0"/>
    <n v="0"/>
    <n v="0"/>
    <n v="0"/>
    <n v="0"/>
    <n v="0"/>
  </r>
  <r>
    <x v="6"/>
    <x v="123"/>
    <s v="Collier"/>
    <s v="CablageCOLSONS &amp; COLRINGCollier"/>
    <s v="Collier Colson noir protégé ultraviolet- largeur 9mm-lg 357mm"/>
    <n v="4"/>
    <n v="31919"/>
    <m/>
    <m/>
    <n v="0"/>
    <m/>
    <m/>
    <m/>
    <m/>
    <m/>
    <m/>
    <n v="0"/>
    <m/>
    <m/>
    <m/>
    <m/>
    <n v="0"/>
    <n v="0"/>
    <n v="0"/>
    <n v="0"/>
    <n v="0"/>
    <n v="0"/>
    <n v="0"/>
  </r>
  <r>
    <x v="6"/>
    <x v="123"/>
    <s v="Support colson"/>
    <s v="CablageCOLSONS &amp; COLRINGSupport colson"/>
    <s v="Embase noire protégé ultraviolets a cheville standard  percage Ø8"/>
    <n v="5"/>
    <n v="31955"/>
    <m/>
    <m/>
    <n v="0"/>
    <m/>
    <m/>
    <m/>
    <m/>
    <m/>
    <m/>
    <n v="0"/>
    <m/>
    <m/>
    <m/>
    <m/>
    <n v="0"/>
    <n v="0"/>
    <n v="0"/>
    <n v="0"/>
    <n v="0"/>
    <n v="0"/>
    <n v="0"/>
  </r>
  <r>
    <x v="6"/>
    <x v="123"/>
    <s v="Support colson"/>
    <s v="CablageCOLSONS &amp; COLRINGSupport colson"/>
    <s v="Embase à visser protégé ultraviolet -fixable par cheville réf 031957 noir ou vis autoforeuse"/>
    <n v="6"/>
    <n v="31950"/>
    <m/>
    <m/>
    <n v="0"/>
    <m/>
    <m/>
    <m/>
    <m/>
    <m/>
    <m/>
    <n v="0"/>
    <m/>
    <m/>
    <m/>
    <m/>
    <n v="0"/>
    <n v="0"/>
    <n v="0"/>
    <n v="0"/>
    <n v="0"/>
    <n v="0"/>
    <n v="0"/>
  </r>
  <r>
    <x v="6"/>
    <x v="123"/>
    <s v="Collier"/>
    <s v="CablageCOLSONS &amp; COLRINGCollier"/>
    <s v="Petit"/>
    <n v="7"/>
    <m/>
    <m/>
    <m/>
    <n v="0"/>
    <m/>
    <m/>
    <m/>
    <m/>
    <m/>
    <m/>
    <n v="0"/>
    <m/>
    <m/>
    <m/>
    <m/>
    <n v="0"/>
    <n v="0"/>
    <n v="0"/>
    <n v="0"/>
    <n v="0"/>
    <n v="0"/>
    <n v="0"/>
  </r>
  <r>
    <x v="6"/>
    <x v="123"/>
    <s v="Collier"/>
    <s v="CablageCOLSONS &amp; COLRINGCollier"/>
    <s v="Collier Colring incolore- largeur 2,4mm-lg 180mm"/>
    <n v="8"/>
    <n v="32032"/>
    <m/>
    <m/>
    <n v="0"/>
    <m/>
    <m/>
    <m/>
    <m/>
    <m/>
    <m/>
    <n v="0"/>
    <m/>
    <m/>
    <m/>
    <m/>
    <n v="0"/>
    <n v="0"/>
    <n v="0"/>
    <n v="0"/>
    <n v="0"/>
    <n v="0"/>
    <n v="0"/>
  </r>
  <r>
    <x v="6"/>
    <x v="123"/>
    <s v="Collier"/>
    <s v="CablageCOLSONS &amp; COLRINGCollier"/>
    <s v="Collier Colring incolore- largeur 3,5mm-lg 180mm"/>
    <n v="9"/>
    <n v="32038"/>
    <m/>
    <m/>
    <n v="0"/>
    <m/>
    <m/>
    <m/>
    <m/>
    <m/>
    <m/>
    <n v="0"/>
    <m/>
    <m/>
    <m/>
    <m/>
    <n v="0"/>
    <n v="0"/>
    <n v="0"/>
    <n v="0"/>
    <n v="0"/>
    <n v="0"/>
    <n v="0"/>
  </r>
  <r>
    <x v="6"/>
    <x v="123"/>
    <s v="Collier"/>
    <s v="CablageCOLSONS &amp; COLRINGCollier"/>
    <s v="Collier Colring incolore- largeur 4mm-lg 550mm"/>
    <n v="10"/>
    <n v="34023"/>
    <m/>
    <m/>
    <n v="0"/>
    <m/>
    <m/>
    <m/>
    <m/>
    <m/>
    <m/>
    <n v="0"/>
    <m/>
    <m/>
    <m/>
    <m/>
    <n v="0"/>
    <n v="0"/>
    <n v="0"/>
    <n v="0"/>
    <n v="0"/>
    <n v="0"/>
    <n v="0"/>
  </r>
  <r>
    <x v="6"/>
    <x v="123"/>
    <s v="Support Colring"/>
    <s v="CablageCOLSONS &amp; COLRINGSupport Colring"/>
    <s v="Embase Adhésive incolore Colring-Largeur Maxi 4,6mm"/>
    <n v="11"/>
    <n v="32065"/>
    <m/>
    <m/>
    <n v="0"/>
    <m/>
    <m/>
    <m/>
    <m/>
    <m/>
    <m/>
    <n v="0"/>
    <m/>
    <m/>
    <m/>
    <m/>
    <n v="0"/>
    <n v="0"/>
    <n v="0"/>
    <n v="0"/>
    <n v="0"/>
    <n v="0"/>
    <n v="0"/>
  </r>
  <r>
    <x v="7"/>
    <x v="124"/>
    <m/>
    <s v="JointKLINGERIT"/>
    <m/>
    <n v="0"/>
    <m/>
    <m/>
    <m/>
    <n v="0"/>
    <m/>
    <m/>
    <m/>
    <m/>
    <m/>
    <m/>
    <n v="0"/>
    <m/>
    <m/>
    <m/>
    <m/>
    <n v="0"/>
    <n v="0"/>
    <n v="0"/>
    <n v="0"/>
    <n v="0"/>
    <n v="0"/>
    <n v="0"/>
  </r>
  <r>
    <x v="7"/>
    <x v="124"/>
    <s v="Bride"/>
    <s v="JointKLINGERITBride"/>
    <s v="Joint de bride DN32"/>
    <n v="1"/>
    <s v="JT32"/>
    <m/>
    <m/>
    <n v="0"/>
    <m/>
    <m/>
    <m/>
    <m/>
    <m/>
    <m/>
    <n v="0"/>
    <m/>
    <m/>
    <m/>
    <m/>
    <n v="0"/>
    <n v="0"/>
    <n v="0"/>
    <n v="0"/>
    <n v="0"/>
    <n v="0"/>
    <n v="0"/>
  </r>
  <r>
    <x v="7"/>
    <x v="124"/>
    <s v="Bride"/>
    <s v="JointKLINGERITBride"/>
    <s v="DN40"/>
    <n v="2"/>
    <s v="JT40"/>
    <m/>
    <m/>
    <n v="0"/>
    <m/>
    <m/>
    <m/>
    <m/>
    <m/>
    <m/>
    <n v="0"/>
    <m/>
    <m/>
    <m/>
    <m/>
    <n v="0"/>
    <n v="0"/>
    <n v="0"/>
    <n v="0"/>
    <n v="0"/>
    <n v="0"/>
    <n v="0"/>
  </r>
  <r>
    <x v="7"/>
    <x v="124"/>
    <s v="Bride"/>
    <s v="JointKLINGERITBride"/>
    <s v="2&quot; - DN50 - 60"/>
    <n v="3"/>
    <s v="JT50"/>
    <m/>
    <m/>
    <n v="0"/>
    <m/>
    <m/>
    <m/>
    <m/>
    <m/>
    <m/>
    <n v="0"/>
    <m/>
    <m/>
    <m/>
    <m/>
    <n v="0"/>
    <n v="0"/>
    <n v="0"/>
    <n v="0"/>
    <n v="0"/>
    <n v="0"/>
    <n v="0"/>
  </r>
  <r>
    <x v="7"/>
    <x v="124"/>
    <s v="Bride"/>
    <s v="JointKLINGERITBride"/>
    <s v="2&quot;1/2 -  DN65 - 76"/>
    <n v="4"/>
    <s v="JT65"/>
    <m/>
    <m/>
    <n v="0"/>
    <m/>
    <m/>
    <m/>
    <m/>
    <m/>
    <m/>
    <n v="0"/>
    <m/>
    <m/>
    <m/>
    <m/>
    <n v="0"/>
    <n v="0"/>
    <n v="0"/>
    <n v="0"/>
    <n v="0"/>
    <n v="0"/>
    <n v="0"/>
  </r>
  <r>
    <x v="7"/>
    <x v="124"/>
    <s v="Bride"/>
    <s v="JointKLINGERITBride"/>
    <s v="3&quot; - DN80 - 88,9"/>
    <n v="5"/>
    <s v="JT80"/>
    <m/>
    <m/>
    <n v="0"/>
    <m/>
    <m/>
    <m/>
    <m/>
    <m/>
    <m/>
    <n v="0"/>
    <m/>
    <m/>
    <m/>
    <m/>
    <n v="0"/>
    <n v="0"/>
    <n v="0"/>
    <n v="0"/>
    <n v="0"/>
    <n v="0"/>
    <n v="0"/>
  </r>
  <r>
    <x v="7"/>
    <x v="124"/>
    <s v="Bride"/>
    <s v="JointKLINGERITBride"/>
    <s v="4&quot; -  DN 100 - 114,3"/>
    <n v="6"/>
    <s v="JT100"/>
    <m/>
    <m/>
    <n v="0"/>
    <m/>
    <m/>
    <m/>
    <m/>
    <m/>
    <m/>
    <n v="0"/>
    <m/>
    <m/>
    <m/>
    <m/>
    <n v="0"/>
    <n v="0"/>
    <n v="0"/>
    <n v="0"/>
    <n v="0"/>
    <n v="0"/>
    <n v="0"/>
  </r>
  <r>
    <x v="7"/>
    <x v="124"/>
    <s v="Bride"/>
    <s v="JointKLINGERITBride"/>
    <s v="5&quot; - DN 125  - 139,7"/>
    <n v="7"/>
    <s v="JT125"/>
    <m/>
    <m/>
    <n v="0"/>
    <m/>
    <m/>
    <m/>
    <m/>
    <m/>
    <m/>
    <n v="0"/>
    <m/>
    <m/>
    <m/>
    <m/>
    <n v="0"/>
    <n v="0"/>
    <n v="0"/>
    <n v="0"/>
    <n v="0"/>
    <n v="0"/>
    <n v="0"/>
  </r>
  <r>
    <x v="7"/>
    <x v="124"/>
    <s v="Bride"/>
    <s v="JointKLINGERITBride"/>
    <s v="6&quot; - DN150 - 168,3"/>
    <n v="8"/>
    <s v="JT150"/>
    <m/>
    <m/>
    <n v="0"/>
    <m/>
    <m/>
    <m/>
    <m/>
    <m/>
    <m/>
    <n v="0"/>
    <m/>
    <m/>
    <m/>
    <m/>
    <n v="0"/>
    <n v="0"/>
    <n v="0"/>
    <n v="0"/>
    <n v="0"/>
    <n v="0"/>
    <n v="0"/>
  </r>
  <r>
    <x v="7"/>
    <x v="124"/>
    <s v="Bride"/>
    <s v="JointKLINGERITBride"/>
    <s v="8&quot; - DN150 -219,1"/>
    <n v="9"/>
    <s v="JT200"/>
    <m/>
    <m/>
    <n v="0"/>
    <m/>
    <m/>
    <m/>
    <m/>
    <m/>
    <m/>
    <n v="0"/>
    <m/>
    <m/>
    <m/>
    <m/>
    <n v="0"/>
    <n v="0"/>
    <n v="0"/>
    <n v="0"/>
    <n v="0"/>
    <n v="0"/>
    <n v="0"/>
  </r>
  <r>
    <x v="7"/>
    <x v="125"/>
    <m/>
    <s v="JointVITON"/>
    <m/>
    <n v="0"/>
    <m/>
    <m/>
    <m/>
    <n v="0"/>
    <m/>
    <m/>
    <m/>
    <m/>
    <m/>
    <m/>
    <n v="0"/>
    <m/>
    <m/>
    <m/>
    <m/>
    <n v="0"/>
    <n v="0"/>
    <n v="0"/>
    <n v="0"/>
    <n v="0"/>
    <n v="0"/>
    <n v="0"/>
  </r>
  <r>
    <x v="7"/>
    <x v="125"/>
    <s v="Inox sertis coreen"/>
    <s v="JointVITONInox sertis coreen"/>
    <s v="Joint thorique viton 16x2.5"/>
    <n v="1"/>
    <s v="JTVI 16X2,5"/>
    <m/>
    <m/>
    <n v="0"/>
    <m/>
    <m/>
    <m/>
    <m/>
    <m/>
    <m/>
    <n v="0"/>
    <m/>
    <m/>
    <m/>
    <m/>
    <n v="0"/>
    <n v="0"/>
    <n v="0"/>
    <n v="0"/>
    <n v="0"/>
    <n v="0"/>
    <n v="0"/>
  </r>
  <r>
    <x v="7"/>
    <x v="125"/>
    <s v="Inox sertis coreen"/>
    <s v="JointVITONInox sertis coreen"/>
    <s v="Joint thorique viton 22x3"/>
    <n v="2"/>
    <s v="JTVI 22X3"/>
    <m/>
    <m/>
    <n v="0"/>
    <m/>
    <m/>
    <m/>
    <m/>
    <m/>
    <m/>
    <n v="0"/>
    <m/>
    <m/>
    <m/>
    <m/>
    <n v="0"/>
    <n v="0"/>
    <n v="0"/>
    <n v="0"/>
    <n v="0"/>
    <n v="0"/>
    <n v="0"/>
  </r>
  <r>
    <x v="7"/>
    <x v="125"/>
    <s v="Inox sertis coreen"/>
    <s v="JointVITONInox sertis coreen"/>
    <s v="Joint thorique viton  28x3"/>
    <n v="3"/>
    <s v="JTVI 28X3"/>
    <m/>
    <m/>
    <n v="0"/>
    <m/>
    <m/>
    <m/>
    <m/>
    <m/>
    <m/>
    <n v="0"/>
    <m/>
    <m/>
    <m/>
    <m/>
    <n v="0"/>
    <n v="0"/>
    <n v="0"/>
    <n v="0"/>
    <n v="0"/>
    <n v="0"/>
    <n v="0"/>
  </r>
  <r>
    <x v="7"/>
    <x v="125"/>
    <s v="Inox sertis coreen"/>
    <s v="JointVITONInox sertis coreen"/>
    <s v="Joint thorique viton 28x3,5"/>
    <n v="4"/>
    <s v="JTVI 28X3,5"/>
    <m/>
    <m/>
    <n v="0"/>
    <m/>
    <m/>
    <m/>
    <m/>
    <m/>
    <m/>
    <n v="0"/>
    <m/>
    <m/>
    <m/>
    <m/>
    <n v="0"/>
    <n v="0"/>
    <n v="0"/>
    <n v="0"/>
    <n v="0"/>
    <n v="0"/>
    <n v="0"/>
  </r>
  <r>
    <x v="7"/>
    <x v="125"/>
    <s v="Inox sertis coreen"/>
    <s v="JointVITONInox sertis coreen"/>
    <s v="Joint thorique viton 35x4"/>
    <n v="5"/>
    <s v="JTVI 35X4"/>
    <m/>
    <m/>
    <n v="0"/>
    <m/>
    <m/>
    <m/>
    <m/>
    <m/>
    <m/>
    <n v="0"/>
    <m/>
    <m/>
    <m/>
    <m/>
    <n v="0"/>
    <n v="0"/>
    <n v="0"/>
    <n v="0"/>
    <n v="0"/>
    <n v="0"/>
    <n v="0"/>
  </r>
  <r>
    <x v="7"/>
    <x v="125"/>
    <s v="Inox sertis coreen"/>
    <s v="JointVITONInox sertis coreen"/>
    <s v="Joint thorique viton 43x5"/>
    <n v="6"/>
    <s v="JTVI 43X5"/>
    <m/>
    <m/>
    <n v="0"/>
    <m/>
    <m/>
    <m/>
    <m/>
    <m/>
    <m/>
    <n v="0"/>
    <m/>
    <m/>
    <m/>
    <m/>
    <n v="0"/>
    <n v="0"/>
    <n v="0"/>
    <n v="0"/>
    <n v="0"/>
    <n v="0"/>
    <n v="0"/>
  </r>
  <r>
    <x v="7"/>
    <x v="125"/>
    <s v="Inox sertis coreen"/>
    <s v="JointVITONInox sertis coreen"/>
    <s v="Joint thorique viton 48x6"/>
    <n v="7"/>
    <s v="JTVI 48X6"/>
    <m/>
    <m/>
    <n v="0"/>
    <m/>
    <m/>
    <m/>
    <m/>
    <m/>
    <m/>
    <n v="0"/>
    <m/>
    <m/>
    <m/>
    <m/>
    <n v="0"/>
    <n v="0"/>
    <n v="0"/>
    <n v="0"/>
    <n v="0"/>
    <n v="0"/>
    <n v="0"/>
  </r>
  <r>
    <x v="8"/>
    <x v="126"/>
    <m/>
    <s v="FlexiblesCOMPENSATEUR INOX"/>
    <m/>
    <n v="0"/>
    <m/>
    <m/>
    <m/>
    <n v="0"/>
    <m/>
    <m/>
    <m/>
    <m/>
    <m/>
    <m/>
    <n v="0"/>
    <m/>
    <m/>
    <m/>
    <m/>
    <n v="0"/>
    <n v="0"/>
    <n v="0"/>
    <n v="0"/>
    <n v="0"/>
    <n v="0"/>
    <n v="0"/>
  </r>
  <r>
    <x v="8"/>
    <x v="126"/>
    <s v="DN65"/>
    <s v="FlexiblesCOMPENSATEUR INOXDN65"/>
    <s v="DN65"/>
    <n v="1"/>
    <s v="K8.0786.00010"/>
    <s v="Kaeser"/>
    <m/>
    <n v="0"/>
    <m/>
    <m/>
    <m/>
    <m/>
    <m/>
    <m/>
    <n v="0"/>
    <m/>
    <m/>
    <m/>
    <m/>
    <n v="0"/>
    <n v="0"/>
    <n v="0"/>
    <n v="0"/>
    <n v="0"/>
    <n v="0"/>
    <n v="0"/>
  </r>
  <r>
    <x v="8"/>
    <x v="126"/>
    <s v="DN80"/>
    <s v="FlexiblesCOMPENSATEUR INOXDN80"/>
    <s v="DN80"/>
    <n v="2"/>
    <s v="K8.0787.00010"/>
    <s v="Kaeser"/>
    <m/>
    <n v="0"/>
    <m/>
    <m/>
    <m/>
    <m/>
    <m/>
    <m/>
    <n v="0"/>
    <m/>
    <m/>
    <m/>
    <m/>
    <n v="0"/>
    <n v="0"/>
    <n v="0"/>
    <n v="0"/>
    <n v="0"/>
    <n v="0"/>
    <n v="0"/>
  </r>
  <r>
    <x v="8"/>
    <x v="126"/>
    <s v="DN100"/>
    <s v="FlexiblesCOMPENSATEUR INOXDN100"/>
    <s v="DN100"/>
    <n v="3"/>
    <s v="K8.0794.00010"/>
    <s v="Kaeser"/>
    <m/>
    <n v="0"/>
    <m/>
    <m/>
    <m/>
    <m/>
    <m/>
    <m/>
    <n v="0"/>
    <m/>
    <m/>
    <m/>
    <m/>
    <n v="0"/>
    <n v="0"/>
    <n v="0"/>
    <n v="0"/>
    <n v="0"/>
    <n v="0"/>
    <n v="0"/>
  </r>
  <r>
    <x v="8"/>
    <x v="126"/>
    <s v="DN125"/>
    <s v="FlexiblesCOMPENSATEUR INOXDN125"/>
    <s v="DN125"/>
    <n v="4"/>
    <s v="K8.0787.00020"/>
    <s v="Kaeser"/>
    <m/>
    <n v="0"/>
    <m/>
    <m/>
    <m/>
    <m/>
    <m/>
    <m/>
    <n v="0"/>
    <m/>
    <m/>
    <m/>
    <m/>
    <n v="0"/>
    <n v="0"/>
    <n v="0"/>
    <n v="0"/>
    <n v="0"/>
    <n v="0"/>
    <n v="0"/>
  </r>
  <r>
    <x v="8"/>
    <x v="126"/>
    <s v="DN150"/>
    <s v="FlexiblesCOMPENSATEUR INOXDN150"/>
    <s v="DN150"/>
    <n v="5"/>
    <m/>
    <m/>
    <m/>
    <n v="0"/>
    <m/>
    <m/>
    <m/>
    <m/>
    <m/>
    <m/>
    <n v="0"/>
    <m/>
    <m/>
    <m/>
    <m/>
    <n v="0"/>
    <n v="0"/>
    <n v="0"/>
    <n v="0"/>
    <n v="0"/>
    <n v="0"/>
    <n v="0"/>
  </r>
  <r>
    <x v="8"/>
    <x v="126"/>
    <s v="DN200"/>
    <s v="FlexiblesCOMPENSATEUR INOXDN200"/>
    <s v="DN200"/>
    <n v="6"/>
    <n v="1506200"/>
    <s v="Sferaco"/>
    <n v="1506200"/>
    <n v="0"/>
    <m/>
    <m/>
    <m/>
    <m/>
    <m/>
    <m/>
    <n v="0"/>
    <m/>
    <m/>
    <m/>
    <m/>
    <n v="0"/>
    <n v="0"/>
    <n v="0"/>
    <n v="0"/>
    <n v="0"/>
    <n v="0"/>
    <n v="0"/>
  </r>
  <r>
    <x v="8"/>
    <x v="127"/>
    <m/>
    <s v="FlexiblesFlexible annelé pour vide"/>
    <m/>
    <n v="0"/>
    <m/>
    <m/>
    <m/>
    <n v="0"/>
    <m/>
    <m/>
    <m/>
    <m/>
    <m/>
    <m/>
    <n v="0"/>
    <m/>
    <m/>
    <m/>
    <m/>
    <n v="0"/>
    <n v="0"/>
    <n v="0"/>
    <n v="0"/>
    <n v="0"/>
    <n v="0"/>
    <n v="0"/>
  </r>
  <r>
    <x v="8"/>
    <x v="127"/>
    <m/>
    <s v="FlexiblesFlexible annelé pour vide"/>
    <n v="20"/>
    <n v="1"/>
    <s v="ARTASPIR 20"/>
    <m/>
    <m/>
    <n v="0"/>
    <m/>
    <m/>
    <m/>
    <m/>
    <m/>
    <m/>
    <n v="0"/>
    <m/>
    <m/>
    <m/>
    <m/>
    <n v="0"/>
    <n v="0"/>
    <n v="0"/>
    <n v="0"/>
    <n v="0"/>
    <n v="0"/>
    <n v="0"/>
  </r>
  <r>
    <x v="8"/>
    <x v="127"/>
    <m/>
    <s v="FlexiblesFlexible annelé pour vide"/>
    <n v="25"/>
    <n v="2"/>
    <s v="ARTASPIR 25"/>
    <m/>
    <m/>
    <n v="0"/>
    <m/>
    <m/>
    <m/>
    <m/>
    <m/>
    <m/>
    <n v="0"/>
    <m/>
    <m/>
    <m/>
    <m/>
    <n v="0"/>
    <n v="0"/>
    <n v="0"/>
    <n v="0"/>
    <n v="0"/>
    <n v="0"/>
    <n v="0"/>
  </r>
  <r>
    <x v="8"/>
    <x v="127"/>
    <m/>
    <s v="FlexiblesFlexible annelé pour vide"/>
    <n v="40"/>
    <n v="3"/>
    <s v="ARTASPIR 40"/>
    <m/>
    <m/>
    <n v="0"/>
    <m/>
    <m/>
    <m/>
    <m/>
    <m/>
    <m/>
    <n v="0"/>
    <m/>
    <m/>
    <m/>
    <m/>
    <n v="0"/>
    <n v="0"/>
    <n v="0"/>
    <n v="0"/>
    <n v="0"/>
    <n v="0"/>
    <n v="0"/>
  </r>
  <r>
    <x v="8"/>
    <x v="127"/>
    <m/>
    <s v="FlexiblesFlexible annelé pour vide"/>
    <n v="50"/>
    <n v="4"/>
    <s v="ARTASPIR 50"/>
    <m/>
    <m/>
    <n v="0"/>
    <m/>
    <m/>
    <m/>
    <m/>
    <m/>
    <m/>
    <n v="0"/>
    <m/>
    <m/>
    <m/>
    <m/>
    <n v="0"/>
    <n v="0"/>
    <n v="0"/>
    <n v="0"/>
    <n v="0"/>
    <n v="0"/>
    <n v="0"/>
  </r>
  <r>
    <x v="8"/>
    <x v="127"/>
    <m/>
    <s v="FlexiblesFlexible annelé pour vide"/>
    <n v="60"/>
    <n v="5"/>
    <s v="ARTASPIR 60"/>
    <m/>
    <m/>
    <n v="0"/>
    <m/>
    <m/>
    <m/>
    <m/>
    <m/>
    <m/>
    <n v="0"/>
    <m/>
    <m/>
    <m/>
    <m/>
    <n v="0"/>
    <n v="0"/>
    <n v="0"/>
    <n v="0"/>
    <n v="0"/>
    <n v="0"/>
    <n v="0"/>
  </r>
  <r>
    <x v="8"/>
    <x v="127"/>
    <m/>
    <s v="FlexiblesFlexible annelé pour vide"/>
    <n v="70"/>
    <n v="6"/>
    <s v="ARTASPIR 70"/>
    <m/>
    <m/>
    <n v="0"/>
    <m/>
    <m/>
    <m/>
    <m/>
    <m/>
    <m/>
    <n v="0"/>
    <m/>
    <m/>
    <m/>
    <m/>
    <n v="0"/>
    <n v="0"/>
    <n v="0"/>
    <n v="0"/>
    <n v="0"/>
    <n v="0"/>
    <n v="0"/>
  </r>
  <r>
    <x v="8"/>
    <x v="127"/>
    <m/>
    <s v="FlexiblesFlexible annelé pour vide"/>
    <n v="90"/>
    <n v="7"/>
    <s v="ARTASPIR 90"/>
    <m/>
    <m/>
    <n v="0"/>
    <m/>
    <m/>
    <m/>
    <m/>
    <m/>
    <m/>
    <n v="0"/>
    <m/>
    <m/>
    <m/>
    <m/>
    <n v="0"/>
    <n v="0"/>
    <n v="0"/>
    <n v="0"/>
    <n v="0"/>
    <n v="0"/>
    <n v="0"/>
  </r>
  <r>
    <x v="8"/>
    <x v="128"/>
    <m/>
    <s v="FlexiblesFLEXIBLE INOX MM"/>
    <m/>
    <n v="0"/>
    <m/>
    <m/>
    <m/>
    <n v="0"/>
    <m/>
    <m/>
    <m/>
    <m/>
    <m/>
    <m/>
    <n v="0"/>
    <m/>
    <m/>
    <m/>
    <m/>
    <n v="0"/>
    <n v="0"/>
    <n v="0"/>
    <n v="0"/>
    <n v="0"/>
    <n v="0"/>
    <n v="0"/>
  </r>
  <r>
    <x v="8"/>
    <x v="128"/>
    <s v="1/2&quot;"/>
    <s v="FlexiblesFLEXIBLE INOX MM1/2&quot;"/>
    <s v=" 1/2 LG 1000"/>
    <n v="1"/>
    <s v="FI12.1000"/>
    <m/>
    <m/>
    <n v="0"/>
    <m/>
    <m/>
    <m/>
    <m/>
    <m/>
    <m/>
    <n v="0"/>
    <m/>
    <m/>
    <m/>
    <m/>
    <n v="0"/>
    <n v="0"/>
    <n v="0"/>
    <n v="0"/>
    <n v="0"/>
    <n v="0"/>
    <n v="0"/>
  </r>
  <r>
    <x v="8"/>
    <x v="128"/>
    <s v="1/2&quot;"/>
    <s v="FlexiblesFLEXIBLE INOX MM1/2&quot;"/>
    <s v=" 1/2 LG 2000"/>
    <n v="2"/>
    <s v="FI12.2000"/>
    <m/>
    <m/>
    <n v="0"/>
    <m/>
    <m/>
    <m/>
    <m/>
    <m/>
    <m/>
    <n v="0"/>
    <m/>
    <m/>
    <m/>
    <m/>
    <n v="0"/>
    <n v="0"/>
    <n v="0"/>
    <n v="0"/>
    <n v="0"/>
    <n v="0"/>
    <n v="0"/>
  </r>
  <r>
    <x v="8"/>
    <x v="128"/>
    <s v="1/2&quot;"/>
    <s v="FlexiblesFLEXIBLE INOX MM1/2&quot;"/>
    <s v=" 1/2 LG 3000"/>
    <n v="3"/>
    <s v="FI12.3000"/>
    <m/>
    <m/>
    <n v="0"/>
    <m/>
    <m/>
    <m/>
    <m/>
    <m/>
    <m/>
    <n v="0"/>
    <m/>
    <m/>
    <m/>
    <m/>
    <n v="0"/>
    <n v="0"/>
    <n v="0"/>
    <n v="0"/>
    <n v="0"/>
    <n v="0"/>
    <n v="0"/>
  </r>
  <r>
    <x v="8"/>
    <x v="128"/>
    <s v="3/4&quot;"/>
    <s v="FlexiblesFLEXIBLE INOX MM3/4&quot;"/>
    <s v=" 3/4 LG 1000"/>
    <n v="4"/>
    <s v="FI34.1000"/>
    <m/>
    <m/>
    <n v="0"/>
    <m/>
    <m/>
    <m/>
    <m/>
    <m/>
    <m/>
    <n v="0"/>
    <m/>
    <m/>
    <m/>
    <m/>
    <n v="0"/>
    <n v="0"/>
    <n v="0"/>
    <n v="0"/>
    <n v="0"/>
    <n v="0"/>
    <n v="0"/>
  </r>
  <r>
    <x v="8"/>
    <x v="128"/>
    <s v="3/4&quot;"/>
    <s v="FlexiblesFLEXIBLE INOX MM3/4&quot;"/>
    <s v=" 3/4 LG 2000"/>
    <n v="5"/>
    <s v="FI34.2000"/>
    <m/>
    <m/>
    <n v="0"/>
    <m/>
    <m/>
    <m/>
    <m/>
    <m/>
    <m/>
    <n v="0"/>
    <m/>
    <m/>
    <m/>
    <m/>
    <n v="0"/>
    <n v="0"/>
    <n v="0"/>
    <n v="0"/>
    <n v="0"/>
    <n v="0"/>
    <n v="0"/>
  </r>
  <r>
    <x v="8"/>
    <x v="128"/>
    <s v="3/4&quot;"/>
    <s v="FlexiblesFLEXIBLE INOX MM3/4&quot;"/>
    <s v=" 3/4 LG 2800"/>
    <n v="6"/>
    <s v="FI34.2800"/>
    <m/>
    <m/>
    <n v="0"/>
    <m/>
    <m/>
    <m/>
    <m/>
    <m/>
    <m/>
    <n v="0"/>
    <m/>
    <m/>
    <m/>
    <m/>
    <n v="0"/>
    <n v="0"/>
    <n v="0"/>
    <n v="0"/>
    <n v="0"/>
    <n v="0"/>
    <n v="0"/>
  </r>
  <r>
    <x v="8"/>
    <x v="128"/>
    <s v="1&quot;"/>
    <s v="FlexiblesFLEXIBLE INOX MM1&quot;"/>
    <s v="1&quot; LG 1000"/>
    <n v="7"/>
    <s v="FI1.1000"/>
    <m/>
    <m/>
    <n v="0"/>
    <m/>
    <m/>
    <m/>
    <m/>
    <m/>
    <m/>
    <n v="0"/>
    <m/>
    <m/>
    <m/>
    <m/>
    <n v="0"/>
    <n v="0"/>
    <n v="0"/>
    <n v="0"/>
    <n v="0"/>
    <n v="0"/>
    <n v="0"/>
  </r>
  <r>
    <x v="8"/>
    <x v="128"/>
    <s v="1&quot;"/>
    <s v="FlexiblesFLEXIBLE INOX MM1&quot;"/>
    <s v="1&quot; LG 1250"/>
    <n v="8"/>
    <s v="FI1.1250"/>
    <m/>
    <m/>
    <n v="0"/>
    <m/>
    <m/>
    <m/>
    <m/>
    <m/>
    <m/>
    <n v="0"/>
    <m/>
    <m/>
    <m/>
    <m/>
    <n v="0"/>
    <n v="0"/>
    <n v="0"/>
    <n v="0"/>
    <n v="0"/>
    <n v="0"/>
    <n v="0"/>
  </r>
  <r>
    <x v="8"/>
    <x v="128"/>
    <s v="1&quot;1/4"/>
    <s v="FlexiblesFLEXIBLE INOX MM1&quot;1/4"/>
    <s v="1&quot;1/4 LG 500 "/>
    <n v="9"/>
    <s v="FI114.500"/>
    <m/>
    <m/>
    <n v="0"/>
    <m/>
    <m/>
    <m/>
    <m/>
    <m/>
    <m/>
    <n v="0"/>
    <m/>
    <m/>
    <m/>
    <m/>
    <n v="0"/>
    <n v="0"/>
    <n v="0"/>
    <n v="0"/>
    <n v="0"/>
    <n v="0"/>
    <n v="0"/>
  </r>
  <r>
    <x v="8"/>
    <x v="128"/>
    <s v="1&quot;1/4"/>
    <s v="FlexiblesFLEXIBLE INOX MM1&quot;1/4"/>
    <s v="1&quot;1/4 LG 1000"/>
    <n v="10"/>
    <s v="FI114.1000"/>
    <m/>
    <m/>
    <n v="0"/>
    <m/>
    <m/>
    <m/>
    <m/>
    <m/>
    <m/>
    <n v="0"/>
    <m/>
    <m/>
    <m/>
    <m/>
    <n v="0"/>
    <n v="0"/>
    <n v="0"/>
    <n v="0"/>
    <n v="0"/>
    <n v="0"/>
    <n v="0"/>
  </r>
  <r>
    <x v="8"/>
    <x v="128"/>
    <s v="1&quot;1/4"/>
    <s v="FlexiblesFLEXIBLE INOX MM1&quot;1/4"/>
    <s v="1&quot;1/4 LG 1200"/>
    <n v="11"/>
    <s v="FI114.1200"/>
    <m/>
    <m/>
    <n v="0"/>
    <m/>
    <m/>
    <m/>
    <m/>
    <m/>
    <m/>
    <n v="0"/>
    <m/>
    <m/>
    <m/>
    <m/>
    <n v="0"/>
    <n v="0"/>
    <n v="0"/>
    <n v="0"/>
    <n v="0"/>
    <n v="0"/>
    <n v="0"/>
  </r>
  <r>
    <x v="8"/>
    <x v="128"/>
    <s v="1&quot;1/4"/>
    <s v="FlexiblesFLEXIBLE INOX MM1&quot;1/4"/>
    <s v="1&quot;1/4 LG 2000"/>
    <n v="12"/>
    <s v="FI114.2000"/>
    <m/>
    <m/>
    <n v="0"/>
    <m/>
    <m/>
    <m/>
    <m/>
    <m/>
    <m/>
    <n v="0"/>
    <m/>
    <m/>
    <m/>
    <m/>
    <n v="0"/>
    <n v="0"/>
    <n v="0"/>
    <n v="0"/>
    <n v="0"/>
    <n v="0"/>
    <n v="0"/>
  </r>
  <r>
    <x v="8"/>
    <x v="128"/>
    <s v="1&quot;1/2"/>
    <s v="FlexiblesFLEXIBLE INOX MM1&quot;1/2"/>
    <s v="1&quot;1/2 LG 1000"/>
    <n v="13"/>
    <s v="FI112.1000"/>
    <m/>
    <m/>
    <n v="0"/>
    <m/>
    <m/>
    <m/>
    <m/>
    <m/>
    <m/>
    <n v="0"/>
    <m/>
    <m/>
    <m/>
    <m/>
    <n v="0"/>
    <n v="0"/>
    <n v="0"/>
    <n v="0"/>
    <n v="0"/>
    <n v="0"/>
    <n v="0"/>
  </r>
  <r>
    <x v="8"/>
    <x v="128"/>
    <s v="1&quot;1/2"/>
    <s v="FlexiblesFLEXIBLE INOX MM1&quot;1/2"/>
    <s v="1&quot;1/2 LG 2000"/>
    <n v="14"/>
    <s v="FI112.2000"/>
    <m/>
    <m/>
    <n v="0"/>
    <m/>
    <m/>
    <m/>
    <m/>
    <m/>
    <m/>
    <n v="0"/>
    <m/>
    <m/>
    <m/>
    <m/>
    <n v="0"/>
    <n v="0"/>
    <n v="0"/>
    <n v="0"/>
    <n v="0"/>
    <n v="0"/>
    <n v="0"/>
  </r>
  <r>
    <x v="8"/>
    <x v="128"/>
    <s v="2&quot;"/>
    <s v="FlexiblesFLEXIBLE INOX MM2&quot;"/>
    <s v="2&quot; LG 500"/>
    <n v="15"/>
    <s v="F2.0500"/>
    <m/>
    <m/>
    <n v="0"/>
    <m/>
    <m/>
    <m/>
    <m/>
    <m/>
    <m/>
    <n v="0"/>
    <m/>
    <m/>
    <m/>
    <m/>
    <n v="0"/>
    <n v="0"/>
    <n v="0"/>
    <n v="0"/>
    <n v="0"/>
    <n v="0"/>
    <n v="0"/>
  </r>
  <r>
    <x v="8"/>
    <x v="128"/>
    <s v="2&quot;"/>
    <s v="FlexiblesFLEXIBLE INOX MM2&quot;"/>
    <s v="2&quot; LG 1000"/>
    <n v="16"/>
    <s v="FI2.1000"/>
    <m/>
    <m/>
    <n v="0"/>
    <m/>
    <m/>
    <m/>
    <m/>
    <m/>
    <m/>
    <n v="0"/>
    <m/>
    <m/>
    <m/>
    <m/>
    <n v="0"/>
    <n v="0"/>
    <n v="0"/>
    <n v="0"/>
    <n v="0"/>
    <n v="0"/>
    <n v="0"/>
  </r>
  <r>
    <x v="8"/>
    <x v="128"/>
    <s v="2&quot;"/>
    <s v="FlexiblesFLEXIBLE INOX MM2&quot;"/>
    <s v="2&quot; LG 1500"/>
    <n v="17"/>
    <s v="FI2.1500"/>
    <m/>
    <m/>
    <n v="0"/>
    <m/>
    <m/>
    <m/>
    <m/>
    <m/>
    <m/>
    <n v="0"/>
    <m/>
    <m/>
    <m/>
    <m/>
    <n v="0"/>
    <n v="0"/>
    <n v="0"/>
    <n v="0"/>
    <n v="0"/>
    <n v="0"/>
    <n v="0"/>
  </r>
  <r>
    <x v="8"/>
    <x v="128"/>
    <s v="2&quot;"/>
    <s v="FlexiblesFLEXIBLE INOX MM2&quot;"/>
    <s v="2&quot; LG 2000"/>
    <n v="18"/>
    <s v="FI2.2000"/>
    <m/>
    <m/>
    <n v="0"/>
    <m/>
    <m/>
    <m/>
    <m/>
    <m/>
    <m/>
    <n v="0"/>
    <m/>
    <m/>
    <m/>
    <m/>
    <n v="0"/>
    <n v="0"/>
    <n v="0"/>
    <n v="0"/>
    <n v="0"/>
    <n v="0"/>
    <n v="0"/>
  </r>
  <r>
    <x v="8"/>
    <x v="128"/>
    <s v="2&quot;1/2"/>
    <s v="FlexiblesFLEXIBLE INOX MM2&quot;1/2"/>
    <s v="2&quot;1/2 LG 1000"/>
    <n v="19"/>
    <s v="FI212.1000"/>
    <m/>
    <m/>
    <n v="0"/>
    <m/>
    <m/>
    <m/>
    <m/>
    <m/>
    <m/>
    <n v="0"/>
    <m/>
    <m/>
    <m/>
    <m/>
    <n v="0"/>
    <n v="0"/>
    <n v="0"/>
    <n v="0"/>
    <n v="0"/>
    <n v="0"/>
    <n v="0"/>
  </r>
  <r>
    <x v="8"/>
    <x v="128"/>
    <s v="3&quot;"/>
    <s v="FlexiblesFLEXIBLE INOX MM3&quot;"/>
    <s v="3&quot; LG 1000"/>
    <n v="20"/>
    <s v="FI3.1000"/>
    <m/>
    <m/>
    <n v="0"/>
    <m/>
    <m/>
    <m/>
    <m/>
    <m/>
    <m/>
    <n v="0"/>
    <m/>
    <m/>
    <m/>
    <m/>
    <n v="0"/>
    <n v="0"/>
    <n v="0"/>
    <n v="0"/>
    <n v="0"/>
    <n v="0"/>
    <n v="0"/>
  </r>
  <r>
    <x v="8"/>
    <x v="129"/>
    <m/>
    <s v="FlexiblesFLEXIBLE CAOUTCHOUC MM"/>
    <m/>
    <n v="0"/>
    <m/>
    <m/>
    <m/>
    <n v="0"/>
    <m/>
    <m/>
    <m/>
    <m/>
    <m/>
    <m/>
    <n v="0"/>
    <m/>
    <m/>
    <m/>
    <m/>
    <n v="0"/>
    <n v="0"/>
    <n v="0"/>
    <n v="0"/>
    <n v="0"/>
    <n v="0"/>
    <n v="0"/>
  </r>
  <r>
    <x v="8"/>
    <x v="129"/>
    <s v="3/8&quot;"/>
    <s v="FlexiblesFLEXIBLE CAOUTCHOUC MM3/8&quot;"/>
    <s v="3/8 LG1000"/>
    <n v="1"/>
    <s v="FC38.1000"/>
    <m/>
    <m/>
    <n v="0"/>
    <m/>
    <m/>
    <m/>
    <m/>
    <m/>
    <m/>
    <n v="0"/>
    <m/>
    <m/>
    <m/>
    <m/>
    <n v="0"/>
    <n v="0"/>
    <n v="0"/>
    <n v="0"/>
    <n v="0"/>
    <n v="0"/>
    <n v="0"/>
  </r>
  <r>
    <x v="8"/>
    <x v="129"/>
    <s v="1/2&quot;"/>
    <s v="FlexiblesFLEXIBLE CAOUTCHOUC MM1/2&quot;"/>
    <s v=" 1/2 LG500"/>
    <n v="2"/>
    <s v="FC12.500"/>
    <m/>
    <m/>
    <n v="0"/>
    <m/>
    <m/>
    <m/>
    <m/>
    <m/>
    <m/>
    <n v="0"/>
    <m/>
    <m/>
    <m/>
    <m/>
    <n v="0"/>
    <n v="0"/>
    <n v="0"/>
    <n v="0"/>
    <n v="0"/>
    <n v="0"/>
    <n v="0"/>
  </r>
  <r>
    <x v="8"/>
    <x v="129"/>
    <s v="1/2&quot;"/>
    <s v="FlexiblesFLEXIBLE CAOUTCHOUC MM1/2&quot;"/>
    <s v=" 1/2 LG1000"/>
    <n v="3"/>
    <s v="FC12.1000"/>
    <m/>
    <m/>
    <n v="0"/>
    <m/>
    <m/>
    <m/>
    <m/>
    <m/>
    <m/>
    <n v="0"/>
    <m/>
    <m/>
    <m/>
    <m/>
    <n v="0"/>
    <n v="0"/>
    <n v="0"/>
    <n v="0"/>
    <n v="0"/>
    <n v="0"/>
    <n v="0"/>
  </r>
  <r>
    <x v="8"/>
    <x v="129"/>
    <s v="1/2&quot;"/>
    <s v="FlexiblesFLEXIBLE CAOUTCHOUC MM1/2&quot;"/>
    <s v=" 1/2 LG1500"/>
    <n v="4"/>
    <s v="FC12.1500"/>
    <m/>
    <m/>
    <n v="0"/>
    <m/>
    <m/>
    <m/>
    <m/>
    <m/>
    <m/>
    <n v="0"/>
    <m/>
    <m/>
    <m/>
    <m/>
    <n v="0"/>
    <n v="0"/>
    <n v="0"/>
    <n v="0"/>
    <n v="0"/>
    <n v="0"/>
    <n v="0"/>
  </r>
  <r>
    <x v="8"/>
    <x v="129"/>
    <s v="1/2&quot;"/>
    <s v="FlexiblesFLEXIBLE CAOUTCHOUC MM1/2&quot;"/>
    <s v=" 1/2 LG2000"/>
    <n v="5"/>
    <s v="FC12.2000"/>
    <m/>
    <m/>
    <n v="0"/>
    <m/>
    <m/>
    <m/>
    <m/>
    <m/>
    <m/>
    <n v="0"/>
    <m/>
    <m/>
    <m/>
    <m/>
    <n v="0"/>
    <n v="0"/>
    <n v="0"/>
    <n v="0"/>
    <n v="0"/>
    <n v="0"/>
    <n v="0"/>
  </r>
  <r>
    <x v="8"/>
    <x v="129"/>
    <s v="1/2&quot;"/>
    <s v="FlexiblesFLEXIBLE CAOUTCHOUC MM1/2&quot;"/>
    <s v=" 1/2 LG3000"/>
    <n v="6"/>
    <s v="FC12.3000"/>
    <m/>
    <m/>
    <n v="0"/>
    <m/>
    <m/>
    <m/>
    <m/>
    <m/>
    <m/>
    <n v="0"/>
    <m/>
    <m/>
    <m/>
    <m/>
    <n v="0"/>
    <n v="0"/>
    <n v="0"/>
    <n v="0"/>
    <n v="0"/>
    <n v="0"/>
    <n v="0"/>
  </r>
  <r>
    <x v="8"/>
    <x v="129"/>
    <s v="1/2&quot;"/>
    <s v="FlexiblesFLEXIBLE CAOUTCHOUC MM1/2&quot;"/>
    <s v=" 1/2 LG4000"/>
    <n v="7"/>
    <s v="FC12.4000"/>
    <m/>
    <m/>
    <n v="0"/>
    <m/>
    <m/>
    <m/>
    <m/>
    <m/>
    <m/>
    <n v="0"/>
    <m/>
    <m/>
    <m/>
    <m/>
    <n v="0"/>
    <n v="0"/>
    <n v="0"/>
    <n v="0"/>
    <n v="0"/>
    <n v="0"/>
    <n v="0"/>
  </r>
  <r>
    <x v="8"/>
    <x v="129"/>
    <s v="1/2&quot;"/>
    <s v="FlexiblesFLEXIBLE CAOUTCHOUC MM1/2&quot;"/>
    <s v=" 1/2 LG5000"/>
    <n v="8"/>
    <s v="FC12.5000"/>
    <m/>
    <m/>
    <n v="0"/>
    <m/>
    <m/>
    <m/>
    <m/>
    <m/>
    <m/>
    <n v="0"/>
    <m/>
    <m/>
    <m/>
    <m/>
    <n v="0"/>
    <n v="0"/>
    <n v="0"/>
    <n v="0"/>
    <n v="0"/>
    <n v="0"/>
    <n v="0"/>
  </r>
  <r>
    <x v="8"/>
    <x v="129"/>
    <s v="1/2&quot;"/>
    <s v="FlexiblesFLEXIBLE CAOUTCHOUC MM1/2&quot;"/>
    <s v=" 1/2 LG6000"/>
    <n v="9"/>
    <s v="FC12.6000"/>
    <m/>
    <m/>
    <n v="0"/>
    <m/>
    <m/>
    <m/>
    <m/>
    <m/>
    <m/>
    <n v="0"/>
    <m/>
    <m/>
    <m/>
    <m/>
    <n v="0"/>
    <n v="0"/>
    <n v="0"/>
    <n v="0"/>
    <n v="0"/>
    <n v="0"/>
    <n v="0"/>
  </r>
  <r>
    <x v="8"/>
    <x v="129"/>
    <s v="1/2&quot;"/>
    <s v="FlexiblesFLEXIBLE CAOUTCHOUC MM1/2&quot;"/>
    <s v=" 1/2 LG8000"/>
    <n v="10"/>
    <s v="FC12.8000"/>
    <m/>
    <m/>
    <n v="0"/>
    <m/>
    <m/>
    <m/>
    <m/>
    <m/>
    <m/>
    <n v="0"/>
    <m/>
    <m/>
    <m/>
    <m/>
    <n v="0"/>
    <n v="0"/>
    <n v="0"/>
    <n v="0"/>
    <n v="0"/>
    <n v="0"/>
    <n v="0"/>
  </r>
  <r>
    <x v="8"/>
    <x v="129"/>
    <s v="3/4&quot;"/>
    <s v="FlexiblesFLEXIBLE CAOUTCHOUC MM3/4&quot;"/>
    <s v=" 3/4 LG 500"/>
    <n v="11"/>
    <s v="FC34.500"/>
    <m/>
    <m/>
    <n v="0"/>
    <m/>
    <m/>
    <m/>
    <m/>
    <m/>
    <m/>
    <n v="0"/>
    <m/>
    <m/>
    <m/>
    <m/>
    <n v="0"/>
    <n v="0"/>
    <n v="0"/>
    <n v="0"/>
    <n v="0"/>
    <n v="0"/>
    <n v="0"/>
  </r>
  <r>
    <x v="8"/>
    <x v="129"/>
    <s v="3/4&quot;"/>
    <s v="FlexiblesFLEXIBLE CAOUTCHOUC MM3/4&quot;"/>
    <s v=" 3/4 LG 1000"/>
    <n v="12"/>
    <s v="FC34.1000"/>
    <m/>
    <m/>
    <n v="0"/>
    <m/>
    <m/>
    <m/>
    <m/>
    <m/>
    <m/>
    <n v="0"/>
    <m/>
    <m/>
    <m/>
    <m/>
    <n v="0"/>
    <n v="0"/>
    <n v="0"/>
    <n v="0"/>
    <n v="0"/>
    <n v="0"/>
    <n v="0"/>
  </r>
  <r>
    <x v="8"/>
    <x v="129"/>
    <s v="3/4&quot;"/>
    <s v="FlexiblesFLEXIBLE CAOUTCHOUC MM3/4&quot;"/>
    <s v=" 3/4 LG 1500"/>
    <n v="13"/>
    <s v="FC34.1500"/>
    <m/>
    <m/>
    <n v="0"/>
    <m/>
    <m/>
    <m/>
    <m/>
    <m/>
    <m/>
    <n v="0"/>
    <m/>
    <m/>
    <m/>
    <m/>
    <n v="0"/>
    <n v="0"/>
    <n v="0"/>
    <n v="0"/>
    <n v="0"/>
    <n v="0"/>
    <n v="0"/>
  </r>
  <r>
    <x v="8"/>
    <x v="129"/>
    <s v="3/4&quot;"/>
    <s v="FlexiblesFLEXIBLE CAOUTCHOUC MM3/4&quot;"/>
    <s v=" 3/4 LG 2000"/>
    <n v="14"/>
    <s v="FC34.2000"/>
    <m/>
    <m/>
    <n v="0"/>
    <m/>
    <m/>
    <m/>
    <m/>
    <m/>
    <m/>
    <n v="0"/>
    <m/>
    <m/>
    <m/>
    <m/>
    <n v="0"/>
    <n v="0"/>
    <n v="0"/>
    <n v="0"/>
    <n v="0"/>
    <n v="0"/>
    <n v="0"/>
  </r>
  <r>
    <x v="8"/>
    <x v="129"/>
    <s v="3/4&quot;"/>
    <s v="FlexiblesFLEXIBLE CAOUTCHOUC MM3/4&quot;"/>
    <s v=" 3/4 LG 2500"/>
    <n v="15"/>
    <s v="FC34.2500"/>
    <m/>
    <m/>
    <n v="0"/>
    <m/>
    <m/>
    <m/>
    <m/>
    <m/>
    <m/>
    <n v="0"/>
    <m/>
    <m/>
    <m/>
    <m/>
    <n v="0"/>
    <n v="0"/>
    <n v="0"/>
    <n v="0"/>
    <n v="0"/>
    <n v="0"/>
    <n v="0"/>
  </r>
  <r>
    <x v="8"/>
    <x v="129"/>
    <s v="3/4&quot;"/>
    <s v="FlexiblesFLEXIBLE CAOUTCHOUC MM3/4&quot;"/>
    <s v=" 3/4 LG 3000"/>
    <n v="16"/>
    <s v="FC34.3000"/>
    <m/>
    <m/>
    <n v="0"/>
    <m/>
    <m/>
    <m/>
    <m/>
    <m/>
    <m/>
    <n v="0"/>
    <m/>
    <m/>
    <m/>
    <m/>
    <n v="0"/>
    <n v="0"/>
    <n v="0"/>
    <n v="0"/>
    <n v="0"/>
    <n v="0"/>
    <n v="0"/>
  </r>
  <r>
    <x v="8"/>
    <x v="129"/>
    <s v="3/4&quot;"/>
    <s v="FlexiblesFLEXIBLE CAOUTCHOUC MM3/4&quot;"/>
    <s v=" 3/4 LG 4000"/>
    <n v="17"/>
    <s v="FC34.4000"/>
    <m/>
    <m/>
    <n v="0"/>
    <m/>
    <m/>
    <m/>
    <m/>
    <m/>
    <m/>
    <n v="0"/>
    <m/>
    <m/>
    <m/>
    <m/>
    <n v="0"/>
    <n v="0"/>
    <n v="0"/>
    <n v="0"/>
    <n v="0"/>
    <n v="0"/>
    <n v="0"/>
  </r>
  <r>
    <x v="8"/>
    <x v="129"/>
    <s v="3/4&quot;"/>
    <s v="FlexiblesFLEXIBLE CAOUTCHOUC MM3/4&quot;"/>
    <s v=" 3/4 LG 5000"/>
    <n v="18"/>
    <s v="FC34.5000"/>
    <m/>
    <m/>
    <n v="0"/>
    <m/>
    <m/>
    <m/>
    <m/>
    <m/>
    <m/>
    <n v="0"/>
    <m/>
    <m/>
    <m/>
    <m/>
    <n v="0"/>
    <n v="0"/>
    <n v="0"/>
    <n v="0"/>
    <n v="0"/>
    <n v="0"/>
    <n v="0"/>
  </r>
  <r>
    <x v="8"/>
    <x v="129"/>
    <s v="3/4&quot;"/>
    <s v="FlexiblesFLEXIBLE CAOUTCHOUC MM3/4&quot;"/>
    <s v=" 3/4 LG 6000"/>
    <n v="19"/>
    <s v="FC34.6000"/>
    <m/>
    <m/>
    <n v="0"/>
    <m/>
    <m/>
    <m/>
    <m/>
    <m/>
    <m/>
    <n v="0"/>
    <m/>
    <m/>
    <m/>
    <m/>
    <n v="0"/>
    <n v="0"/>
    <n v="0"/>
    <n v="0"/>
    <n v="0"/>
    <n v="0"/>
    <n v="0"/>
  </r>
  <r>
    <x v="8"/>
    <x v="129"/>
    <s v="1&quot;"/>
    <s v="FlexiblesFLEXIBLE CAOUTCHOUC MM1&quot;"/>
    <s v="1&quot; LG 500"/>
    <n v="20"/>
    <s v="FC1.500"/>
    <m/>
    <m/>
    <n v="0"/>
    <m/>
    <m/>
    <m/>
    <m/>
    <m/>
    <m/>
    <n v="0"/>
    <m/>
    <m/>
    <m/>
    <m/>
    <n v="0"/>
    <n v="0"/>
    <n v="0"/>
    <n v="0"/>
    <n v="0"/>
    <n v="0"/>
    <n v="0"/>
  </r>
  <r>
    <x v="8"/>
    <x v="129"/>
    <s v="1&quot;"/>
    <s v="FlexiblesFLEXIBLE CAOUTCHOUC MM1&quot;"/>
    <s v="1&quot; LG 1000"/>
    <n v="21"/>
    <s v="FC1.1000"/>
    <m/>
    <m/>
    <n v="0"/>
    <m/>
    <m/>
    <m/>
    <m/>
    <m/>
    <m/>
    <n v="0"/>
    <m/>
    <m/>
    <m/>
    <m/>
    <n v="0"/>
    <n v="0"/>
    <n v="0"/>
    <n v="0"/>
    <n v="0"/>
    <n v="0"/>
    <n v="0"/>
  </r>
  <r>
    <x v="8"/>
    <x v="129"/>
    <s v="1&quot;"/>
    <s v="FlexiblesFLEXIBLE CAOUTCHOUC MM1&quot;"/>
    <s v="1&quot; LG 1500"/>
    <n v="22"/>
    <s v="FC1.1500"/>
    <m/>
    <m/>
    <n v="0"/>
    <m/>
    <m/>
    <m/>
    <m/>
    <m/>
    <m/>
    <n v="0"/>
    <m/>
    <m/>
    <m/>
    <m/>
    <n v="0"/>
    <n v="0"/>
    <n v="0"/>
    <n v="0"/>
    <n v="0"/>
    <n v="0"/>
    <n v="0"/>
  </r>
  <r>
    <x v="8"/>
    <x v="129"/>
    <s v="1&quot;"/>
    <s v="FlexiblesFLEXIBLE CAOUTCHOUC MM1&quot;"/>
    <s v="1&quot; LG 2000"/>
    <n v="23"/>
    <s v="FC1.2000"/>
    <m/>
    <m/>
    <n v="0"/>
    <m/>
    <m/>
    <m/>
    <m/>
    <m/>
    <m/>
    <n v="0"/>
    <m/>
    <m/>
    <m/>
    <m/>
    <n v="0"/>
    <n v="0"/>
    <n v="0"/>
    <n v="0"/>
    <n v="0"/>
    <n v="0"/>
    <n v="0"/>
  </r>
  <r>
    <x v="8"/>
    <x v="129"/>
    <s v="1&quot;"/>
    <s v="FlexiblesFLEXIBLE CAOUTCHOUC MM1&quot;"/>
    <s v="1&quot; LG 2500"/>
    <n v="24"/>
    <s v="FC1.2500"/>
    <m/>
    <m/>
    <n v="0"/>
    <m/>
    <m/>
    <m/>
    <m/>
    <m/>
    <m/>
    <n v="0"/>
    <m/>
    <m/>
    <m/>
    <m/>
    <n v="0"/>
    <n v="0"/>
    <n v="0"/>
    <n v="0"/>
    <n v="0"/>
    <n v="0"/>
    <n v="0"/>
  </r>
  <r>
    <x v="8"/>
    <x v="129"/>
    <s v="1&quot;"/>
    <s v="FlexiblesFLEXIBLE CAOUTCHOUC MM1&quot;"/>
    <s v="1&quot; LG 3000"/>
    <n v="25"/>
    <s v="FC1.3000"/>
    <m/>
    <m/>
    <n v="0"/>
    <m/>
    <m/>
    <m/>
    <m/>
    <m/>
    <m/>
    <n v="0"/>
    <m/>
    <m/>
    <m/>
    <m/>
    <n v="0"/>
    <n v="0"/>
    <n v="0"/>
    <n v="0"/>
    <n v="0"/>
    <n v="0"/>
    <n v="0"/>
  </r>
  <r>
    <x v="8"/>
    <x v="129"/>
    <s v="1&quot;"/>
    <s v="FlexiblesFLEXIBLE CAOUTCHOUC MM1&quot;"/>
    <s v="1&quot; LG 3500"/>
    <n v="26"/>
    <s v="FC1.3500"/>
    <m/>
    <m/>
    <n v="0"/>
    <m/>
    <m/>
    <m/>
    <m/>
    <m/>
    <m/>
    <n v="0"/>
    <m/>
    <m/>
    <m/>
    <m/>
    <n v="0"/>
    <n v="0"/>
    <n v="0"/>
    <n v="0"/>
    <n v="0"/>
    <n v="0"/>
    <n v="0"/>
  </r>
  <r>
    <x v="8"/>
    <x v="129"/>
    <s v="1&quot;"/>
    <s v="FlexiblesFLEXIBLE CAOUTCHOUC MM1&quot;"/>
    <s v="1&quot; LG 4000"/>
    <n v="27"/>
    <s v="FC1.4000"/>
    <m/>
    <m/>
    <n v="0"/>
    <m/>
    <m/>
    <m/>
    <m/>
    <m/>
    <m/>
    <n v="0"/>
    <m/>
    <m/>
    <m/>
    <m/>
    <n v="0"/>
    <n v="0"/>
    <n v="0"/>
    <n v="0"/>
    <n v="0"/>
    <n v="0"/>
    <n v="0"/>
  </r>
  <r>
    <x v="8"/>
    <x v="129"/>
    <s v="1&quot;"/>
    <s v="FlexiblesFLEXIBLE CAOUTCHOUC MM1&quot;"/>
    <s v="1&quot; LG 5000"/>
    <n v="28"/>
    <s v="FC1.5000"/>
    <m/>
    <m/>
    <n v="0"/>
    <m/>
    <m/>
    <m/>
    <m/>
    <m/>
    <m/>
    <n v="0"/>
    <m/>
    <m/>
    <m/>
    <m/>
    <n v="0"/>
    <n v="0"/>
    <n v="0"/>
    <n v="0"/>
    <n v="0"/>
    <n v="0"/>
    <n v="0"/>
  </r>
  <r>
    <x v="8"/>
    <x v="129"/>
    <s v="1&quot;"/>
    <s v="FlexiblesFLEXIBLE CAOUTCHOUC MM1&quot;"/>
    <s v="1&quot; LG 6000"/>
    <n v="29"/>
    <s v="FC1.6000"/>
    <m/>
    <m/>
    <n v="0"/>
    <m/>
    <m/>
    <m/>
    <m/>
    <m/>
    <m/>
    <n v="0"/>
    <m/>
    <m/>
    <m/>
    <m/>
    <n v="0"/>
    <n v="0"/>
    <n v="0"/>
    <n v="0"/>
    <n v="0"/>
    <n v="0"/>
    <n v="0"/>
  </r>
  <r>
    <x v="8"/>
    <x v="129"/>
    <s v="1&quot;"/>
    <s v="FlexiblesFLEXIBLE CAOUTCHOUC MM1&quot;"/>
    <s v="1&quot; LG 8000"/>
    <n v="30"/>
    <s v="FC1.8000"/>
    <m/>
    <m/>
    <n v="0"/>
    <m/>
    <m/>
    <m/>
    <m/>
    <m/>
    <m/>
    <n v="0"/>
    <m/>
    <m/>
    <m/>
    <m/>
    <n v="0"/>
    <n v="0"/>
    <n v="0"/>
    <n v="0"/>
    <n v="0"/>
    <n v="0"/>
    <n v="0"/>
  </r>
  <r>
    <x v="8"/>
    <x v="129"/>
    <s v="1&quot;"/>
    <s v="FlexiblesFLEXIBLE CAOUTCHOUC MM1&quot;"/>
    <s v="1&quot; LG 1000"/>
    <n v="31"/>
    <s v="FC1.10000"/>
    <m/>
    <m/>
    <n v="0"/>
    <m/>
    <m/>
    <m/>
    <m/>
    <m/>
    <m/>
    <n v="0"/>
    <m/>
    <m/>
    <m/>
    <m/>
    <n v="0"/>
    <n v="0"/>
    <n v="0"/>
    <n v="0"/>
    <n v="0"/>
    <n v="0"/>
    <n v="0"/>
  </r>
  <r>
    <x v="8"/>
    <x v="129"/>
    <s v="1&quot;1/4"/>
    <s v="FlexiblesFLEXIBLE CAOUTCHOUC MM1&quot;1/4"/>
    <s v="1&quot;1/4 LG 1000"/>
    <n v="32"/>
    <s v="FC114.1000"/>
    <m/>
    <m/>
    <n v="0"/>
    <m/>
    <m/>
    <m/>
    <m/>
    <m/>
    <m/>
    <n v="0"/>
    <m/>
    <m/>
    <m/>
    <m/>
    <n v="0"/>
    <n v="0"/>
    <n v="0"/>
    <n v="0"/>
    <n v="0"/>
    <n v="0"/>
    <n v="0"/>
  </r>
  <r>
    <x v="8"/>
    <x v="129"/>
    <s v="1&quot;1/4"/>
    <s v="FlexiblesFLEXIBLE CAOUTCHOUC MM1&quot;1/4"/>
    <s v="1&quot;1/4 LG 1500"/>
    <n v="33"/>
    <s v="FC114.1500"/>
    <m/>
    <m/>
    <n v="0"/>
    <m/>
    <m/>
    <m/>
    <m/>
    <m/>
    <m/>
    <n v="0"/>
    <m/>
    <m/>
    <m/>
    <m/>
    <n v="0"/>
    <n v="0"/>
    <n v="0"/>
    <n v="0"/>
    <n v="0"/>
    <n v="0"/>
    <n v="0"/>
  </r>
  <r>
    <x v="8"/>
    <x v="129"/>
    <s v="1&quot;1/4"/>
    <s v="FlexiblesFLEXIBLE CAOUTCHOUC MM1&quot;1/4"/>
    <s v="1&quot;1/4 LG 2000"/>
    <n v="34"/>
    <s v="FC114.2000"/>
    <m/>
    <m/>
    <n v="0"/>
    <m/>
    <m/>
    <m/>
    <m/>
    <m/>
    <m/>
    <n v="0"/>
    <m/>
    <m/>
    <m/>
    <m/>
    <n v="0"/>
    <n v="0"/>
    <n v="0"/>
    <n v="0"/>
    <n v="0"/>
    <n v="0"/>
    <n v="0"/>
  </r>
  <r>
    <x v="8"/>
    <x v="129"/>
    <s v="1&quot;1/4"/>
    <s v="FlexiblesFLEXIBLE CAOUTCHOUC MM1&quot;1/4"/>
    <s v="1&quot;1/4 LG 2500"/>
    <n v="35"/>
    <s v="FC114.2500"/>
    <m/>
    <m/>
    <n v="0"/>
    <m/>
    <m/>
    <m/>
    <m/>
    <m/>
    <m/>
    <n v="0"/>
    <m/>
    <m/>
    <m/>
    <m/>
    <n v="0"/>
    <n v="0"/>
    <n v="0"/>
    <n v="0"/>
    <n v="0"/>
    <n v="0"/>
    <n v="0"/>
  </r>
  <r>
    <x v="8"/>
    <x v="129"/>
    <s v="1&quot;1/4"/>
    <s v="FlexiblesFLEXIBLE CAOUTCHOUC MM1&quot;1/4"/>
    <s v="1&quot;1/4 LG 3000"/>
    <n v="36"/>
    <s v="FC114.3000"/>
    <m/>
    <m/>
    <n v="0"/>
    <m/>
    <m/>
    <m/>
    <m/>
    <m/>
    <m/>
    <n v="0"/>
    <m/>
    <m/>
    <m/>
    <m/>
    <n v="0"/>
    <n v="0"/>
    <n v="0"/>
    <n v="0"/>
    <n v="0"/>
    <n v="0"/>
    <n v="0"/>
  </r>
  <r>
    <x v="8"/>
    <x v="129"/>
    <s v="1&quot;1/4"/>
    <s v="FlexiblesFLEXIBLE CAOUTCHOUC MM1&quot;1/4"/>
    <s v="1&quot;1/4 LG 4000"/>
    <n v="37"/>
    <s v="FC114.4000"/>
    <m/>
    <m/>
    <n v="0"/>
    <m/>
    <m/>
    <m/>
    <m/>
    <m/>
    <m/>
    <n v="0"/>
    <m/>
    <m/>
    <m/>
    <m/>
    <n v="0"/>
    <n v="0"/>
    <n v="0"/>
    <n v="0"/>
    <n v="0"/>
    <n v="0"/>
    <n v="0"/>
  </r>
  <r>
    <x v="8"/>
    <x v="129"/>
    <s v="1&quot;1/4"/>
    <s v="FlexiblesFLEXIBLE CAOUTCHOUC MM1&quot;1/4"/>
    <s v="1&quot;1/4 LG 5000"/>
    <n v="38"/>
    <s v="FC114.5000"/>
    <m/>
    <m/>
    <n v="0"/>
    <m/>
    <m/>
    <m/>
    <m/>
    <m/>
    <m/>
    <n v="0"/>
    <m/>
    <m/>
    <m/>
    <m/>
    <n v="0"/>
    <n v="0"/>
    <n v="0"/>
    <n v="0"/>
    <n v="0"/>
    <n v="0"/>
    <n v="0"/>
  </r>
  <r>
    <x v="8"/>
    <x v="129"/>
    <s v="1&quot;1/4"/>
    <s v="FlexiblesFLEXIBLE CAOUTCHOUC MM1&quot;1/4"/>
    <s v="1&quot;1/4 LG 9000"/>
    <n v="39"/>
    <s v="FC114.9000"/>
    <m/>
    <m/>
    <n v="0"/>
    <m/>
    <m/>
    <m/>
    <m/>
    <m/>
    <m/>
    <n v="0"/>
    <m/>
    <m/>
    <m/>
    <m/>
    <n v="0"/>
    <n v="0"/>
    <n v="0"/>
    <n v="0"/>
    <n v="0"/>
    <n v="0"/>
    <n v="0"/>
  </r>
  <r>
    <x v="8"/>
    <x v="129"/>
    <s v="1&quot;1/4"/>
    <s v="FlexiblesFLEXIBLE CAOUTCHOUC MM1&quot;1/4"/>
    <s v="1&quot;1/4 LG 10000"/>
    <n v="40"/>
    <s v="FC114.10000"/>
    <m/>
    <m/>
    <n v="0"/>
    <m/>
    <m/>
    <m/>
    <m/>
    <m/>
    <m/>
    <n v="0"/>
    <m/>
    <m/>
    <m/>
    <m/>
    <n v="0"/>
    <n v="0"/>
    <n v="0"/>
    <n v="0"/>
    <n v="0"/>
    <n v="0"/>
    <n v="0"/>
  </r>
  <r>
    <x v="8"/>
    <x v="129"/>
    <s v="1&quot;1/2"/>
    <s v="FlexiblesFLEXIBLE CAOUTCHOUC MM1&quot;1/2"/>
    <s v="1&quot;1/2 LG 500"/>
    <n v="41"/>
    <s v="FC112.500"/>
    <m/>
    <m/>
    <n v="0"/>
    <m/>
    <m/>
    <m/>
    <m/>
    <m/>
    <m/>
    <n v="0"/>
    <m/>
    <m/>
    <m/>
    <m/>
    <n v="0"/>
    <n v="0"/>
    <n v="0"/>
    <n v="0"/>
    <n v="0"/>
    <n v="0"/>
    <n v="0"/>
  </r>
  <r>
    <x v="8"/>
    <x v="129"/>
    <s v="1&quot;1/2"/>
    <s v="FlexiblesFLEXIBLE CAOUTCHOUC MM1&quot;1/2"/>
    <s v="1&quot;1/2 LG 1000"/>
    <n v="42"/>
    <s v="FC112.1000"/>
    <m/>
    <m/>
    <n v="0"/>
    <m/>
    <m/>
    <m/>
    <m/>
    <m/>
    <m/>
    <n v="0"/>
    <m/>
    <m/>
    <m/>
    <m/>
    <n v="0"/>
    <n v="0"/>
    <n v="0"/>
    <n v="0"/>
    <n v="0"/>
    <n v="0"/>
    <n v="0"/>
  </r>
  <r>
    <x v="8"/>
    <x v="129"/>
    <s v="1&quot;1/2"/>
    <s v="FlexiblesFLEXIBLE CAOUTCHOUC MM1&quot;1/2"/>
    <s v="1&quot;1/2 LG 1500"/>
    <n v="43"/>
    <s v="FC112.1500"/>
    <m/>
    <m/>
    <n v="0"/>
    <m/>
    <m/>
    <m/>
    <m/>
    <m/>
    <m/>
    <n v="0"/>
    <m/>
    <m/>
    <m/>
    <m/>
    <n v="0"/>
    <n v="0"/>
    <n v="0"/>
    <n v="0"/>
    <n v="0"/>
    <n v="0"/>
    <n v="0"/>
  </r>
  <r>
    <x v="8"/>
    <x v="129"/>
    <s v="1&quot;1/2"/>
    <s v="FlexiblesFLEXIBLE CAOUTCHOUC MM1&quot;1/2"/>
    <s v="1&quot;1/2 LG 2000"/>
    <n v="44"/>
    <s v="FC112.2000"/>
    <m/>
    <m/>
    <n v="0"/>
    <m/>
    <m/>
    <m/>
    <m/>
    <m/>
    <m/>
    <n v="0"/>
    <m/>
    <m/>
    <m/>
    <m/>
    <n v="0"/>
    <n v="0"/>
    <n v="0"/>
    <n v="0"/>
    <n v="0"/>
    <n v="0"/>
    <n v="0"/>
  </r>
  <r>
    <x v="8"/>
    <x v="129"/>
    <s v="1&quot;1/2"/>
    <s v="FlexiblesFLEXIBLE CAOUTCHOUC MM1&quot;1/2"/>
    <s v="1&quot;1/2 LG 2500"/>
    <n v="45"/>
    <s v="FC112.2500"/>
    <m/>
    <m/>
    <n v="0"/>
    <m/>
    <m/>
    <m/>
    <m/>
    <m/>
    <m/>
    <n v="0"/>
    <m/>
    <m/>
    <m/>
    <m/>
    <n v="0"/>
    <n v="0"/>
    <n v="0"/>
    <n v="0"/>
    <n v="0"/>
    <n v="0"/>
    <n v="0"/>
  </r>
  <r>
    <x v="8"/>
    <x v="129"/>
    <s v="1&quot;1/2"/>
    <s v="FlexiblesFLEXIBLE CAOUTCHOUC MM1&quot;1/2"/>
    <s v="1&quot;1/2 LG3000"/>
    <n v="46"/>
    <s v="FC112.3000"/>
    <m/>
    <m/>
    <n v="0"/>
    <m/>
    <m/>
    <m/>
    <m/>
    <m/>
    <m/>
    <n v="0"/>
    <m/>
    <m/>
    <m/>
    <m/>
    <n v="0"/>
    <n v="0"/>
    <n v="0"/>
    <n v="0"/>
    <n v="0"/>
    <n v="0"/>
    <n v="0"/>
  </r>
  <r>
    <x v="8"/>
    <x v="129"/>
    <s v="1&quot;1/2"/>
    <s v="FlexiblesFLEXIBLE CAOUTCHOUC MM1&quot;1/2"/>
    <s v="1&quot;1/2 LG5000"/>
    <n v="47"/>
    <s v="FC112.5000"/>
    <m/>
    <m/>
    <n v="0"/>
    <m/>
    <m/>
    <m/>
    <m/>
    <m/>
    <m/>
    <n v="0"/>
    <m/>
    <m/>
    <m/>
    <m/>
    <n v="0"/>
    <n v="0"/>
    <n v="0"/>
    <n v="0"/>
    <n v="0"/>
    <n v="0"/>
    <n v="0"/>
  </r>
  <r>
    <x v="8"/>
    <x v="129"/>
    <s v="2&quot;"/>
    <s v="FlexiblesFLEXIBLE CAOUTCHOUC MM2&quot;"/>
    <s v="2&quot; LG 500"/>
    <n v="48"/>
    <s v="FC2.500"/>
    <m/>
    <m/>
    <n v="0"/>
    <m/>
    <m/>
    <m/>
    <m/>
    <m/>
    <m/>
    <n v="0"/>
    <m/>
    <m/>
    <m/>
    <m/>
    <n v="0"/>
    <n v="0"/>
    <n v="0"/>
    <n v="0"/>
    <n v="0"/>
    <n v="0"/>
    <n v="0"/>
  </r>
  <r>
    <x v="8"/>
    <x v="129"/>
    <s v="2&quot;"/>
    <s v="FlexiblesFLEXIBLE CAOUTCHOUC MM2&quot;"/>
    <s v="2&quot; LG 1000"/>
    <n v="49"/>
    <s v="FC2.1000"/>
    <m/>
    <m/>
    <n v="0"/>
    <m/>
    <m/>
    <m/>
    <m/>
    <m/>
    <m/>
    <n v="0"/>
    <m/>
    <m/>
    <m/>
    <m/>
    <n v="0"/>
    <n v="0"/>
    <n v="0"/>
    <n v="0"/>
    <n v="0"/>
    <n v="0"/>
    <n v="0"/>
  </r>
  <r>
    <x v="8"/>
    <x v="129"/>
    <s v="2&quot;"/>
    <s v="FlexiblesFLEXIBLE CAOUTCHOUC MM2&quot;"/>
    <s v="2&quot; LG 1500"/>
    <n v="50"/>
    <s v="FC2.1500"/>
    <m/>
    <m/>
    <n v="0"/>
    <m/>
    <m/>
    <m/>
    <m/>
    <m/>
    <m/>
    <n v="0"/>
    <m/>
    <m/>
    <m/>
    <m/>
    <n v="0"/>
    <n v="0"/>
    <n v="0"/>
    <n v="0"/>
    <n v="0"/>
    <n v="0"/>
    <n v="0"/>
  </r>
  <r>
    <x v="8"/>
    <x v="129"/>
    <s v="2&quot;"/>
    <s v="FlexiblesFLEXIBLE CAOUTCHOUC MM2&quot;"/>
    <s v="2&quot; LG 2000"/>
    <n v="51"/>
    <s v="FC2.2000"/>
    <m/>
    <m/>
    <n v="0"/>
    <m/>
    <m/>
    <m/>
    <m/>
    <m/>
    <m/>
    <n v="0"/>
    <m/>
    <m/>
    <m/>
    <m/>
    <n v="0"/>
    <n v="0"/>
    <n v="0"/>
    <n v="0"/>
    <n v="0"/>
    <n v="0"/>
    <n v="0"/>
  </r>
  <r>
    <x v="8"/>
    <x v="129"/>
    <s v="2&quot;"/>
    <s v="FlexiblesFLEXIBLE CAOUTCHOUC MM2&quot;"/>
    <s v="2&quot; LG 2500"/>
    <n v="52"/>
    <s v="FC2.2500"/>
    <m/>
    <m/>
    <n v="0"/>
    <m/>
    <m/>
    <m/>
    <m/>
    <m/>
    <m/>
    <n v="0"/>
    <m/>
    <m/>
    <m/>
    <m/>
    <n v="0"/>
    <n v="0"/>
    <n v="0"/>
    <n v="0"/>
    <n v="0"/>
    <n v="0"/>
    <n v="0"/>
  </r>
  <r>
    <x v="8"/>
    <x v="129"/>
    <s v="2&quot;"/>
    <s v="FlexiblesFLEXIBLE CAOUTCHOUC MM2&quot;"/>
    <s v="2&quot; LG 3000"/>
    <n v="53"/>
    <s v="FC2.3000"/>
    <m/>
    <m/>
    <n v="0"/>
    <m/>
    <m/>
    <m/>
    <m/>
    <m/>
    <m/>
    <n v="0"/>
    <m/>
    <m/>
    <m/>
    <m/>
    <n v="0"/>
    <n v="0"/>
    <n v="0"/>
    <n v="0"/>
    <n v="0"/>
    <n v="0"/>
    <n v="0"/>
  </r>
  <r>
    <x v="8"/>
    <x v="129"/>
    <s v="2&quot;"/>
    <s v="FlexiblesFLEXIBLE CAOUTCHOUC MM2&quot;"/>
    <s v="2&quot; LG 4000"/>
    <n v="54"/>
    <s v="FC2.4000"/>
    <m/>
    <m/>
    <n v="0"/>
    <m/>
    <m/>
    <m/>
    <m/>
    <m/>
    <m/>
    <n v="0"/>
    <m/>
    <m/>
    <m/>
    <m/>
    <n v="0"/>
    <n v="0"/>
    <n v="0"/>
    <n v="0"/>
    <n v="0"/>
    <n v="0"/>
    <n v="0"/>
  </r>
  <r>
    <x v="8"/>
    <x v="129"/>
    <s v="2&quot;"/>
    <s v="FlexiblesFLEXIBLE CAOUTCHOUC MM2&quot;"/>
    <s v="2&quot; LG 10000"/>
    <n v="55"/>
    <s v="FC2.10000"/>
    <m/>
    <m/>
    <n v="0"/>
    <m/>
    <m/>
    <m/>
    <m/>
    <m/>
    <m/>
    <n v="0"/>
    <m/>
    <m/>
    <m/>
    <m/>
    <n v="0"/>
    <n v="0"/>
    <n v="0"/>
    <n v="0"/>
    <n v="0"/>
    <n v="0"/>
    <n v="0"/>
  </r>
  <r>
    <x v="8"/>
    <x v="129"/>
    <s v="2&quot;"/>
    <s v="FlexiblesFLEXIBLE CAOUTCHOUC MM2&quot;"/>
    <s v="2&quot; LG 15000"/>
    <n v="56"/>
    <s v="FC2.15000"/>
    <m/>
    <m/>
    <n v="0"/>
    <m/>
    <m/>
    <m/>
    <m/>
    <m/>
    <m/>
    <n v="0"/>
    <m/>
    <m/>
    <m/>
    <m/>
    <n v="0"/>
    <n v="0"/>
    <n v="0"/>
    <n v="0"/>
    <n v="0"/>
    <n v="0"/>
    <n v="0"/>
  </r>
  <r>
    <x v="8"/>
    <x v="129"/>
    <s v="2&quot;1/2"/>
    <s v="FlexiblesFLEXIBLE CAOUTCHOUC MM2&quot;1/2"/>
    <s v="2&quot;1/2 LG 1000"/>
    <n v="57"/>
    <s v="FC212.1000"/>
    <m/>
    <m/>
    <n v="0"/>
    <m/>
    <m/>
    <m/>
    <m/>
    <m/>
    <m/>
    <n v="0"/>
    <m/>
    <m/>
    <m/>
    <m/>
    <n v="0"/>
    <n v="0"/>
    <n v="0"/>
    <n v="0"/>
    <n v="0"/>
    <n v="0"/>
    <n v="0"/>
  </r>
  <r>
    <x v="8"/>
    <x v="129"/>
    <s v="2&quot;1/2"/>
    <s v="FlexiblesFLEXIBLE CAOUTCHOUC MM2&quot;1/2"/>
    <s v="2&quot;1/2 LG 1500"/>
    <n v="58"/>
    <s v="FC212.1500"/>
    <m/>
    <m/>
    <n v="0"/>
    <m/>
    <m/>
    <m/>
    <m/>
    <m/>
    <m/>
    <n v="0"/>
    <m/>
    <m/>
    <m/>
    <m/>
    <n v="0"/>
    <n v="0"/>
    <n v="0"/>
    <n v="0"/>
    <n v="0"/>
    <n v="0"/>
    <n v="0"/>
  </r>
  <r>
    <x v="8"/>
    <x v="129"/>
    <s v="2&quot;1/2"/>
    <s v="FlexiblesFLEXIBLE CAOUTCHOUC MM2&quot;1/2"/>
    <s v="2&quot;1/2 LG 5000"/>
    <n v="59"/>
    <s v="FC212.5000"/>
    <m/>
    <m/>
    <n v="0"/>
    <m/>
    <m/>
    <m/>
    <m/>
    <m/>
    <m/>
    <n v="0"/>
    <m/>
    <m/>
    <m/>
    <m/>
    <n v="0"/>
    <n v="0"/>
    <n v="0"/>
    <n v="0"/>
    <n v="0"/>
    <n v="0"/>
    <n v="0"/>
  </r>
  <r>
    <x v="8"/>
    <x v="130"/>
    <m/>
    <s v="FlexiblesMAXAIR"/>
    <m/>
    <n v="0"/>
    <m/>
    <m/>
    <m/>
    <n v="0"/>
    <m/>
    <m/>
    <m/>
    <m/>
    <m/>
    <m/>
    <n v="0"/>
    <m/>
    <m/>
    <m/>
    <m/>
    <n v="0"/>
    <n v="0"/>
    <n v="0"/>
    <n v="0"/>
    <n v="0"/>
    <n v="0"/>
    <n v="0"/>
  </r>
  <r>
    <x v="8"/>
    <x v="130"/>
    <m/>
    <s v="FlexiblesMaxair"/>
    <n v="8"/>
    <n v="1"/>
    <s v="MAXAIR09"/>
    <m/>
    <m/>
    <n v="0"/>
    <m/>
    <m/>
    <m/>
    <m/>
    <m/>
    <m/>
    <n v="0"/>
    <m/>
    <m/>
    <m/>
    <m/>
    <n v="0"/>
    <n v="0"/>
    <n v="0"/>
    <n v="0"/>
    <n v="0"/>
    <n v="0"/>
    <n v="0"/>
  </r>
  <r>
    <x v="8"/>
    <x v="130"/>
    <m/>
    <s v="FlexiblesMaxair"/>
    <n v="10"/>
    <n v="2"/>
    <s v="MAXAIR10"/>
    <m/>
    <m/>
    <n v="0"/>
    <m/>
    <m/>
    <m/>
    <m/>
    <m/>
    <m/>
    <n v="0"/>
    <m/>
    <m/>
    <m/>
    <m/>
    <n v="0"/>
    <n v="0"/>
    <n v="0"/>
    <n v="0"/>
    <n v="0"/>
    <n v="0"/>
    <n v="0"/>
  </r>
  <r>
    <x v="8"/>
    <x v="130"/>
    <m/>
    <s v="FlexiblesMaxair"/>
    <n v="13"/>
    <n v="3"/>
    <s v="MAXAIR13"/>
    <m/>
    <m/>
    <n v="0"/>
    <m/>
    <m/>
    <m/>
    <m/>
    <m/>
    <m/>
    <n v="0"/>
    <m/>
    <m/>
    <m/>
    <m/>
    <n v="0"/>
    <n v="0"/>
    <n v="0"/>
    <n v="0"/>
    <n v="0"/>
    <n v="0"/>
    <n v="0"/>
  </r>
  <r>
    <x v="8"/>
    <x v="130"/>
    <m/>
    <s v="FlexiblesMaxair"/>
    <s v="16x25"/>
    <n v="4"/>
    <s v="MAXAIR16"/>
    <m/>
    <m/>
    <n v="0"/>
    <m/>
    <m/>
    <m/>
    <m/>
    <m/>
    <m/>
    <n v="0"/>
    <m/>
    <m/>
    <m/>
    <m/>
    <n v="0"/>
    <n v="0"/>
    <n v="0"/>
    <n v="0"/>
    <n v="0"/>
    <n v="0"/>
    <n v="0"/>
  </r>
  <r>
    <x v="8"/>
    <x v="130"/>
    <m/>
    <s v="FlexiblesMaxair"/>
    <s v="19x30"/>
    <n v="5"/>
    <s v="MAXAIR19"/>
    <m/>
    <m/>
    <n v="0"/>
    <m/>
    <m/>
    <m/>
    <m/>
    <m/>
    <m/>
    <n v="0"/>
    <m/>
    <m/>
    <m/>
    <m/>
    <n v="0"/>
    <n v="0"/>
    <n v="0"/>
    <n v="0"/>
    <n v="0"/>
    <n v="0"/>
    <n v="0"/>
  </r>
  <r>
    <x v="8"/>
    <x v="130"/>
    <m/>
    <s v="FlexiblesMaxair"/>
    <n v="25"/>
    <n v="6"/>
    <s v="MAXAIR25"/>
    <m/>
    <m/>
    <n v="0"/>
    <m/>
    <m/>
    <m/>
    <m/>
    <m/>
    <m/>
    <n v="0"/>
    <m/>
    <m/>
    <m/>
    <m/>
    <n v="0"/>
    <n v="0"/>
    <n v="0"/>
    <n v="0"/>
    <n v="0"/>
    <n v="0"/>
    <n v="0"/>
  </r>
  <r>
    <x v="8"/>
    <x v="130"/>
    <m/>
    <s v="FlexiblesMaxair"/>
    <n v="32"/>
    <n v="7"/>
    <s v="MAXAIR32"/>
    <m/>
    <m/>
    <n v="0"/>
    <m/>
    <m/>
    <m/>
    <m/>
    <m/>
    <m/>
    <n v="0"/>
    <m/>
    <m/>
    <m/>
    <m/>
    <n v="0"/>
    <n v="0"/>
    <n v="0"/>
    <n v="0"/>
    <n v="0"/>
    <n v="0"/>
    <n v="0"/>
  </r>
  <r>
    <x v="8"/>
    <x v="131"/>
    <m/>
    <s v="FlexiblesPOLYETHYLENE"/>
    <m/>
    <n v="0"/>
    <m/>
    <m/>
    <m/>
    <n v="0"/>
    <m/>
    <m/>
    <m/>
    <m/>
    <m/>
    <m/>
    <n v="0"/>
    <m/>
    <m/>
    <m/>
    <m/>
    <n v="0"/>
    <n v="0"/>
    <n v="0"/>
    <n v="0"/>
    <n v="0"/>
    <n v="0"/>
    <n v="0"/>
  </r>
  <r>
    <x v="8"/>
    <x v="131"/>
    <m/>
    <s v="FlexiblesPolyethylene"/>
    <s v=" DN20  "/>
    <n v="1"/>
    <n v="216016"/>
    <m/>
    <m/>
    <n v="0"/>
    <m/>
    <m/>
    <m/>
    <m/>
    <m/>
    <m/>
    <n v="0"/>
    <m/>
    <m/>
    <m/>
    <m/>
    <n v="0"/>
    <n v="0"/>
    <n v="0"/>
    <n v="0"/>
    <n v="0"/>
    <n v="0"/>
    <n v="0"/>
  </r>
  <r>
    <x v="8"/>
    <x v="132"/>
    <m/>
    <s v="FlexiblesRILSAN"/>
    <m/>
    <n v="0"/>
    <m/>
    <m/>
    <m/>
    <n v="0"/>
    <m/>
    <m/>
    <m/>
    <m/>
    <m/>
    <m/>
    <n v="0"/>
    <m/>
    <m/>
    <m/>
    <m/>
    <n v="0"/>
    <n v="0"/>
    <n v="0"/>
    <n v="0"/>
    <n v="0"/>
    <n v="0"/>
    <n v="0"/>
  </r>
  <r>
    <x v="8"/>
    <x v="132"/>
    <s v="Blanc"/>
    <s v="FlexiblesRilsanBlanc"/>
    <s v=" 2-4"/>
    <n v="1"/>
    <s v="RILSAN-24"/>
    <m/>
    <m/>
    <n v="0"/>
    <m/>
    <m/>
    <m/>
    <m/>
    <m/>
    <m/>
    <n v="0"/>
    <m/>
    <m/>
    <m/>
    <m/>
    <n v="0"/>
    <n v="0"/>
    <n v="0"/>
    <n v="0"/>
    <n v="0"/>
    <n v="0"/>
    <n v="0"/>
  </r>
  <r>
    <x v="8"/>
    <x v="132"/>
    <s v="Blanc"/>
    <s v="FlexiblesRilsanBlanc"/>
    <s v=" 4-6"/>
    <n v="2"/>
    <s v="RILSAN-46"/>
    <m/>
    <m/>
    <n v="0"/>
    <m/>
    <m/>
    <m/>
    <m/>
    <m/>
    <m/>
    <n v="0"/>
    <m/>
    <m/>
    <m/>
    <m/>
    <n v="0"/>
    <n v="0"/>
    <n v="0"/>
    <n v="0"/>
    <n v="0"/>
    <n v="0"/>
    <n v="0"/>
  </r>
  <r>
    <x v="8"/>
    <x v="132"/>
    <s v="Blanc"/>
    <s v="FlexiblesRilsanBlanc"/>
    <s v=" 6-8"/>
    <n v="3"/>
    <s v="RILSAN-68"/>
    <m/>
    <m/>
    <n v="0"/>
    <m/>
    <m/>
    <m/>
    <m/>
    <m/>
    <m/>
    <n v="0"/>
    <m/>
    <m/>
    <m/>
    <m/>
    <n v="0"/>
    <n v="0"/>
    <n v="0"/>
    <n v="0"/>
    <n v="0"/>
    <n v="0"/>
    <n v="0"/>
  </r>
  <r>
    <x v="8"/>
    <x v="132"/>
    <s v="Blanc"/>
    <s v="FlexiblesRilsanBlanc"/>
    <s v=" 8-10"/>
    <n v="4"/>
    <s v="RILSAN-810"/>
    <m/>
    <m/>
    <n v="0"/>
    <m/>
    <m/>
    <m/>
    <m/>
    <m/>
    <m/>
    <n v="0"/>
    <m/>
    <m/>
    <m/>
    <m/>
    <n v="0"/>
    <n v="0"/>
    <n v="0"/>
    <n v="0"/>
    <n v="0"/>
    <n v="0"/>
    <n v="0"/>
  </r>
  <r>
    <x v="8"/>
    <x v="132"/>
    <s v="Blanc"/>
    <s v="FlexiblesRilsanBlanc"/>
    <s v=" 10-12"/>
    <n v="5"/>
    <s v="RILSAN-1012"/>
    <m/>
    <m/>
    <n v="0"/>
    <m/>
    <m/>
    <m/>
    <m/>
    <m/>
    <m/>
    <n v="0"/>
    <m/>
    <m/>
    <m/>
    <m/>
    <n v="0"/>
    <n v="0"/>
    <n v="0"/>
    <n v="0"/>
    <n v="0"/>
    <n v="0"/>
    <n v="0"/>
  </r>
  <r>
    <x v="8"/>
    <x v="132"/>
    <s v="Blanc"/>
    <s v="FlexiblesRilsanBlanc"/>
    <s v=" 12-14"/>
    <n v="6"/>
    <s v="RILSAN-1214"/>
    <m/>
    <m/>
    <n v="0"/>
    <m/>
    <m/>
    <m/>
    <m/>
    <m/>
    <m/>
    <n v="0"/>
    <m/>
    <m/>
    <m/>
    <m/>
    <n v="0"/>
    <n v="0"/>
    <n v="0"/>
    <n v="0"/>
    <n v="0"/>
    <n v="0"/>
    <n v="0"/>
  </r>
  <r>
    <x v="8"/>
    <x v="133"/>
    <m/>
    <s v="FlexiblesTRICOCLAIR"/>
    <m/>
    <n v="0"/>
    <m/>
    <m/>
    <m/>
    <n v="0"/>
    <m/>
    <m/>
    <m/>
    <m/>
    <m/>
    <m/>
    <n v="0"/>
    <m/>
    <m/>
    <m/>
    <m/>
    <n v="0"/>
    <n v="0"/>
    <n v="0"/>
    <n v="0"/>
    <n v="0"/>
    <n v="0"/>
    <n v="0"/>
  </r>
  <r>
    <x v="8"/>
    <x v="133"/>
    <m/>
    <s v="FlexiblesTricoclair"/>
    <n v="6"/>
    <n v="1"/>
    <s v="TRICO06"/>
    <m/>
    <m/>
    <n v="0"/>
    <m/>
    <m/>
    <m/>
    <m/>
    <m/>
    <m/>
    <n v="0"/>
    <m/>
    <m/>
    <m/>
    <m/>
    <n v="0"/>
    <n v="0"/>
    <n v="0"/>
    <n v="0"/>
    <n v="0"/>
    <n v="0"/>
    <n v="0"/>
  </r>
  <r>
    <x v="8"/>
    <x v="133"/>
    <m/>
    <s v="FlexiblesTricoclair"/>
    <n v="8"/>
    <n v="2"/>
    <s v="TRICO08"/>
    <m/>
    <m/>
    <n v="0"/>
    <m/>
    <m/>
    <m/>
    <m/>
    <m/>
    <m/>
    <n v="0"/>
    <m/>
    <m/>
    <m/>
    <m/>
    <n v="0"/>
    <n v="0"/>
    <n v="0"/>
    <n v="0"/>
    <n v="0"/>
    <n v="0"/>
    <n v="0"/>
  </r>
  <r>
    <x v="8"/>
    <x v="133"/>
    <m/>
    <s v="FlexiblesTricoclair"/>
    <n v="10"/>
    <n v="3"/>
    <s v="TRICO10"/>
    <m/>
    <m/>
    <n v="0"/>
    <m/>
    <m/>
    <m/>
    <m/>
    <m/>
    <m/>
    <n v="0"/>
    <m/>
    <m/>
    <m/>
    <m/>
    <n v="0"/>
    <n v="0"/>
    <n v="0"/>
    <n v="0"/>
    <n v="0"/>
    <n v="0"/>
    <n v="0"/>
  </r>
  <r>
    <x v="8"/>
    <x v="133"/>
    <m/>
    <s v="FlexiblesTricoclair"/>
    <n v="12"/>
    <n v="4"/>
    <s v="TRICO12"/>
    <m/>
    <m/>
    <n v="0"/>
    <m/>
    <m/>
    <m/>
    <m/>
    <m/>
    <m/>
    <n v="0"/>
    <m/>
    <m/>
    <m/>
    <m/>
    <n v="0"/>
    <n v="0"/>
    <n v="0"/>
    <n v="0"/>
    <n v="0"/>
    <n v="0"/>
    <n v="0"/>
  </r>
  <r>
    <x v="8"/>
    <x v="133"/>
    <m/>
    <s v="FlexiblesTricoclair"/>
    <s v="13 - 20"/>
    <n v="5"/>
    <s v="TRICO13"/>
    <m/>
    <m/>
    <n v="0"/>
    <m/>
    <m/>
    <m/>
    <m/>
    <m/>
    <m/>
    <n v="0"/>
    <m/>
    <m/>
    <m/>
    <m/>
    <n v="0"/>
    <n v="0"/>
    <n v="0"/>
    <n v="0"/>
    <n v="0"/>
    <n v="0"/>
    <n v="0"/>
  </r>
  <r>
    <x v="8"/>
    <x v="133"/>
    <m/>
    <s v="FlexiblesTricoclair"/>
    <n v="16"/>
    <n v="6"/>
    <s v="TRICO16"/>
    <m/>
    <m/>
    <n v="0"/>
    <m/>
    <m/>
    <m/>
    <m/>
    <m/>
    <m/>
    <n v="0"/>
    <m/>
    <m/>
    <m/>
    <m/>
    <n v="0"/>
    <n v="0"/>
    <n v="0"/>
    <n v="0"/>
    <n v="0"/>
    <n v="0"/>
    <n v="0"/>
  </r>
  <r>
    <x v="8"/>
    <x v="133"/>
    <m/>
    <s v="FlexiblesTricoclair"/>
    <n v="19"/>
    <n v="7"/>
    <s v="TRICO19"/>
    <m/>
    <m/>
    <n v="0"/>
    <m/>
    <m/>
    <m/>
    <m/>
    <m/>
    <m/>
    <n v="0"/>
    <m/>
    <m/>
    <m/>
    <m/>
    <n v="0"/>
    <n v="0"/>
    <n v="0"/>
    <n v="0"/>
    <n v="0"/>
    <n v="0"/>
    <n v="0"/>
  </r>
  <r>
    <x v="8"/>
    <x v="133"/>
    <m/>
    <s v="FlexiblesTricoclair"/>
    <n v="25"/>
    <n v="8"/>
    <s v="TRICO25"/>
    <m/>
    <m/>
    <n v="0"/>
    <m/>
    <m/>
    <m/>
    <m/>
    <m/>
    <m/>
    <n v="0"/>
    <m/>
    <m/>
    <m/>
    <m/>
    <n v="0"/>
    <n v="0"/>
    <n v="0"/>
    <n v="0"/>
    <n v="0"/>
    <n v="0"/>
    <n v="0"/>
  </r>
  <r>
    <x v="8"/>
    <x v="133"/>
    <m/>
    <s v="FlexiblesTricoclair"/>
    <n v="32"/>
    <n v="9"/>
    <s v="TRICO32"/>
    <m/>
    <m/>
    <n v="0"/>
    <m/>
    <m/>
    <m/>
    <m/>
    <m/>
    <m/>
    <n v="0"/>
    <m/>
    <m/>
    <m/>
    <m/>
    <n v="0"/>
    <n v="0"/>
    <n v="0"/>
    <n v="0"/>
    <n v="0"/>
    <n v="0"/>
    <n v="0"/>
  </r>
  <r>
    <x v="8"/>
    <x v="133"/>
    <m/>
    <s v="FlexiblesTricoclair"/>
    <m/>
    <n v="10"/>
    <m/>
    <m/>
    <m/>
    <n v="0"/>
    <m/>
    <m/>
    <m/>
    <m/>
    <m/>
    <m/>
    <n v="0"/>
    <m/>
    <m/>
    <m/>
    <m/>
    <n v="0"/>
    <n v="0"/>
    <n v="0"/>
    <n v="0"/>
    <n v="0"/>
    <n v="0"/>
    <n v="0"/>
  </r>
  <r>
    <x v="9"/>
    <x v="134"/>
    <m/>
    <s v="Inox Serti CoréenBOUCHON"/>
    <m/>
    <n v="0"/>
    <m/>
    <m/>
    <m/>
    <n v="0"/>
    <m/>
    <m/>
    <m/>
    <m/>
    <m/>
    <m/>
    <n v="0"/>
    <m/>
    <m/>
    <m/>
    <m/>
    <n v="0"/>
    <n v="0"/>
    <n v="0"/>
    <n v="0"/>
    <n v="0"/>
    <n v="0"/>
    <n v="0"/>
  </r>
  <r>
    <x v="9"/>
    <x v="134"/>
    <s v="Ø16"/>
    <s v="Inox Serti CoréenBouchonØ16"/>
    <n v="16"/>
    <n v="1"/>
    <s v="F50160"/>
    <m/>
    <m/>
    <n v="0"/>
    <m/>
    <m/>
    <m/>
    <m/>
    <m/>
    <m/>
    <n v="0"/>
    <m/>
    <m/>
    <m/>
    <m/>
    <n v="0"/>
    <n v="0"/>
    <n v="0"/>
    <n v="0"/>
    <n v="0"/>
    <n v="0"/>
    <n v="0"/>
  </r>
  <r>
    <x v="9"/>
    <x v="134"/>
    <s v="Ø22"/>
    <s v="Inox Serti CoréenBouchonØ22"/>
    <n v="22"/>
    <n v="2"/>
    <s v="F50220"/>
    <m/>
    <m/>
    <n v="0"/>
    <m/>
    <m/>
    <m/>
    <m/>
    <m/>
    <m/>
    <n v="0"/>
    <m/>
    <m/>
    <m/>
    <m/>
    <n v="0"/>
    <n v="0"/>
    <n v="0"/>
    <n v="0"/>
    <n v="0"/>
    <n v="0"/>
    <n v="0"/>
  </r>
  <r>
    <x v="9"/>
    <x v="134"/>
    <s v="Ø28"/>
    <s v="Inox Serti CoréenBouchonØ28"/>
    <n v="28"/>
    <n v="3"/>
    <s v="F50280"/>
    <m/>
    <m/>
    <n v="0"/>
    <m/>
    <m/>
    <m/>
    <m/>
    <m/>
    <m/>
    <n v="0"/>
    <m/>
    <m/>
    <m/>
    <m/>
    <n v="0"/>
    <n v="0"/>
    <n v="0"/>
    <n v="0"/>
    <n v="0"/>
    <n v="0"/>
    <n v="0"/>
  </r>
  <r>
    <x v="9"/>
    <x v="134"/>
    <s v="Ø34"/>
    <s v="Inox Serti CoréenBouchonØ34"/>
    <n v="34"/>
    <n v="4"/>
    <s v="F50340"/>
    <m/>
    <m/>
    <n v="0"/>
    <m/>
    <m/>
    <m/>
    <m/>
    <m/>
    <m/>
    <n v="0"/>
    <m/>
    <m/>
    <m/>
    <m/>
    <n v="0"/>
    <n v="0"/>
    <n v="0"/>
    <n v="0"/>
    <n v="0"/>
    <n v="0"/>
    <n v="0"/>
  </r>
  <r>
    <x v="9"/>
    <x v="134"/>
    <s v="Ø42"/>
    <s v="Inox Serti CoréenBouchonØ42"/>
    <n v="42"/>
    <n v="5"/>
    <s v="F50420"/>
    <m/>
    <m/>
    <n v="0"/>
    <m/>
    <m/>
    <m/>
    <m/>
    <m/>
    <m/>
    <n v="0"/>
    <m/>
    <m/>
    <m/>
    <m/>
    <n v="0"/>
    <n v="0"/>
    <n v="0"/>
    <n v="0"/>
    <n v="0"/>
    <n v="0"/>
    <n v="0"/>
  </r>
  <r>
    <x v="9"/>
    <x v="134"/>
    <s v="Ø48"/>
    <s v="Inox Serti CoréenBouchonØ48"/>
    <n v="48"/>
    <n v="6"/>
    <s v="F50480"/>
    <m/>
    <m/>
    <n v="0"/>
    <m/>
    <m/>
    <m/>
    <m/>
    <m/>
    <m/>
    <n v="0"/>
    <m/>
    <m/>
    <m/>
    <m/>
    <n v="0"/>
    <n v="0"/>
    <n v="0"/>
    <n v="0"/>
    <n v="0"/>
    <n v="0"/>
    <n v="0"/>
  </r>
  <r>
    <x v="9"/>
    <x v="134"/>
    <s v="Ø60"/>
    <s v="Inox Serti CoréenBouchonØ60"/>
    <n v="60"/>
    <n v="7"/>
    <s v="F50600"/>
    <m/>
    <m/>
    <n v="0"/>
    <m/>
    <m/>
    <m/>
    <m/>
    <m/>
    <m/>
    <n v="0"/>
    <m/>
    <m/>
    <m/>
    <m/>
    <n v="0"/>
    <n v="0"/>
    <n v="0"/>
    <n v="0"/>
    <n v="0"/>
    <n v="0"/>
    <n v="0"/>
  </r>
  <r>
    <x v="9"/>
    <x v="134"/>
    <s v="Ø80"/>
    <s v="Inox Serti CoréenBouchonØ80"/>
    <n v="80"/>
    <n v="8"/>
    <s v="F50800"/>
    <m/>
    <m/>
    <n v="0"/>
    <m/>
    <m/>
    <m/>
    <m/>
    <m/>
    <m/>
    <n v="0"/>
    <m/>
    <m/>
    <m/>
    <m/>
    <n v="0"/>
    <n v="0"/>
    <n v="0"/>
    <n v="0"/>
    <n v="0"/>
    <n v="0"/>
    <n v="0"/>
  </r>
  <r>
    <x v="9"/>
    <x v="135"/>
    <m/>
    <s v="Inox Serti CoréenCHICANE 45°"/>
    <m/>
    <n v="0"/>
    <m/>
    <m/>
    <m/>
    <n v="0"/>
    <m/>
    <m/>
    <m/>
    <m/>
    <m/>
    <m/>
    <n v="0"/>
    <m/>
    <m/>
    <m/>
    <m/>
    <n v="0"/>
    <n v="0"/>
    <n v="0"/>
    <n v="0"/>
    <n v="0"/>
    <n v="0"/>
    <n v="0"/>
  </r>
  <r>
    <x v="9"/>
    <x v="135"/>
    <s v="Ø16"/>
    <s v="Inox Serti CoréenChicane 45°Ø16"/>
    <n v="16"/>
    <n v="1"/>
    <s v="F25160"/>
    <m/>
    <m/>
    <n v="0"/>
    <m/>
    <m/>
    <m/>
    <m/>
    <m/>
    <m/>
    <n v="0"/>
    <m/>
    <m/>
    <m/>
    <m/>
    <n v="0"/>
    <n v="0"/>
    <n v="0"/>
    <n v="0"/>
    <n v="0"/>
    <n v="0"/>
    <n v="0"/>
  </r>
  <r>
    <x v="9"/>
    <x v="135"/>
    <s v="Ø22"/>
    <s v="Inox Serti CoréenChicane 45°Ø22"/>
    <n v="22"/>
    <n v="2"/>
    <s v="F25220"/>
    <m/>
    <m/>
    <n v="0"/>
    <m/>
    <m/>
    <m/>
    <m/>
    <m/>
    <m/>
    <n v="0"/>
    <m/>
    <m/>
    <m/>
    <m/>
    <n v="0"/>
    <n v="0"/>
    <n v="0"/>
    <n v="0"/>
    <n v="0"/>
    <n v="0"/>
    <n v="0"/>
  </r>
  <r>
    <x v="9"/>
    <x v="135"/>
    <s v="Ø28"/>
    <s v="Inox Serti CoréenChicane 45°Ø28"/>
    <n v="28"/>
    <n v="3"/>
    <s v="F25280"/>
    <m/>
    <m/>
    <n v="0"/>
    <m/>
    <m/>
    <m/>
    <m/>
    <m/>
    <m/>
    <n v="0"/>
    <m/>
    <m/>
    <m/>
    <m/>
    <n v="0"/>
    <n v="0"/>
    <n v="0"/>
    <n v="0"/>
    <n v="0"/>
    <n v="0"/>
    <n v="0"/>
  </r>
  <r>
    <x v="9"/>
    <x v="136"/>
    <m/>
    <s v="Inox Serti CoréenCOURBE 45°FF"/>
    <m/>
    <n v="0"/>
    <m/>
    <m/>
    <m/>
    <n v="0"/>
    <m/>
    <m/>
    <m/>
    <m/>
    <m/>
    <m/>
    <n v="0"/>
    <m/>
    <m/>
    <m/>
    <m/>
    <n v="0"/>
    <n v="0"/>
    <n v="0"/>
    <n v="0"/>
    <n v="0"/>
    <n v="0"/>
    <n v="0"/>
  </r>
  <r>
    <x v="9"/>
    <x v="137"/>
    <s v="Ø16"/>
    <s v="Inox Serti CoréenCourbe 45° FFØ16"/>
    <n v="16"/>
    <n v="1"/>
    <s v="F45160"/>
    <m/>
    <m/>
    <n v="0"/>
    <m/>
    <m/>
    <m/>
    <m/>
    <m/>
    <m/>
    <n v="0"/>
    <m/>
    <m/>
    <m/>
    <m/>
    <n v="0"/>
    <n v="0"/>
    <n v="0"/>
    <n v="0"/>
    <n v="0"/>
    <n v="0"/>
    <n v="0"/>
  </r>
  <r>
    <x v="9"/>
    <x v="137"/>
    <s v="Ø22"/>
    <s v="Inox Serti CoréenCourbe 45° FFØ22"/>
    <n v="22"/>
    <n v="2"/>
    <s v="F45220"/>
    <m/>
    <m/>
    <n v="0"/>
    <m/>
    <m/>
    <m/>
    <m/>
    <m/>
    <m/>
    <n v="0"/>
    <m/>
    <m/>
    <m/>
    <m/>
    <n v="0"/>
    <n v="0"/>
    <n v="0"/>
    <n v="0"/>
    <n v="0"/>
    <n v="0"/>
    <n v="0"/>
  </r>
  <r>
    <x v="9"/>
    <x v="137"/>
    <s v="Ø28"/>
    <s v="Inox Serti CoréenCourbe 45° FFØ28"/>
    <n v="28"/>
    <n v="3"/>
    <s v="F45228"/>
    <m/>
    <m/>
    <n v="0"/>
    <m/>
    <m/>
    <m/>
    <m/>
    <m/>
    <m/>
    <n v="0"/>
    <m/>
    <m/>
    <m/>
    <m/>
    <n v="0"/>
    <n v="0"/>
    <n v="0"/>
    <n v="0"/>
    <n v="0"/>
    <n v="0"/>
    <n v="0"/>
  </r>
  <r>
    <x v="9"/>
    <x v="137"/>
    <s v="Ø34"/>
    <s v="Inox Serti CoréenCourbe 45° FFØ34"/>
    <n v="34"/>
    <n v="4"/>
    <s v="F45340"/>
    <m/>
    <m/>
    <n v="0"/>
    <m/>
    <m/>
    <m/>
    <m/>
    <m/>
    <m/>
    <n v="0"/>
    <m/>
    <m/>
    <m/>
    <m/>
    <n v="0"/>
    <n v="0"/>
    <n v="0"/>
    <n v="0"/>
    <n v="0"/>
    <n v="0"/>
    <n v="0"/>
  </r>
  <r>
    <x v="9"/>
    <x v="137"/>
    <s v="Ø42"/>
    <s v="Inox Serti CoréenCourbe 45° FFØ42"/>
    <n v="42"/>
    <n v="5"/>
    <s v="F45420"/>
    <m/>
    <m/>
    <n v="0"/>
    <m/>
    <m/>
    <m/>
    <m/>
    <m/>
    <m/>
    <n v="0"/>
    <m/>
    <m/>
    <m/>
    <m/>
    <n v="0"/>
    <n v="0"/>
    <n v="0"/>
    <n v="0"/>
    <n v="0"/>
    <n v="0"/>
    <n v="0"/>
  </r>
  <r>
    <x v="9"/>
    <x v="137"/>
    <s v="Ø48"/>
    <s v="Inox Serti CoréenCourbe 45° FFØ48"/>
    <n v="48"/>
    <n v="6"/>
    <s v="F45480"/>
    <m/>
    <m/>
    <n v="0"/>
    <m/>
    <m/>
    <m/>
    <m/>
    <m/>
    <m/>
    <n v="0"/>
    <m/>
    <m/>
    <m/>
    <m/>
    <n v="0"/>
    <n v="0"/>
    <n v="0"/>
    <n v="0"/>
    <n v="0"/>
    <n v="0"/>
    <n v="0"/>
  </r>
  <r>
    <x v="9"/>
    <x v="137"/>
    <s v="Ø60"/>
    <s v="Inox Serti CoréenCourbe 45° FFØ60"/>
    <n v="60"/>
    <n v="7"/>
    <s v="F45600"/>
    <m/>
    <m/>
    <n v="0"/>
    <m/>
    <m/>
    <m/>
    <m/>
    <m/>
    <m/>
    <n v="0"/>
    <m/>
    <m/>
    <m/>
    <m/>
    <n v="0"/>
    <n v="0"/>
    <n v="0"/>
    <n v="0"/>
    <n v="0"/>
    <n v="0"/>
    <n v="0"/>
  </r>
  <r>
    <x v="9"/>
    <x v="137"/>
    <s v="Ø80"/>
    <s v="Inox Serti CoréenCourbe 45° FFØ80"/>
    <n v="80"/>
    <n v="8"/>
    <s v="F45800"/>
    <m/>
    <m/>
    <n v="0"/>
    <m/>
    <m/>
    <m/>
    <m/>
    <m/>
    <m/>
    <n v="0"/>
    <m/>
    <m/>
    <m/>
    <m/>
    <n v="0"/>
    <n v="0"/>
    <n v="0"/>
    <n v="0"/>
    <n v="0"/>
    <n v="0"/>
    <n v="0"/>
  </r>
  <r>
    <x v="9"/>
    <x v="138"/>
    <m/>
    <s v="Inox Serti CoréenCOURBE 90°FF"/>
    <m/>
    <n v="0"/>
    <m/>
    <m/>
    <m/>
    <n v="0"/>
    <m/>
    <m/>
    <m/>
    <m/>
    <m/>
    <m/>
    <n v="0"/>
    <m/>
    <m/>
    <m/>
    <m/>
    <n v="0"/>
    <n v="0"/>
    <n v="0"/>
    <n v="0"/>
    <n v="0"/>
    <n v="0"/>
    <n v="0"/>
  </r>
  <r>
    <x v="9"/>
    <x v="139"/>
    <s v="Ø16"/>
    <s v="Inox Serti CoréenCourbe 90° FFØ16"/>
    <n v="16"/>
    <n v="1"/>
    <s v="F90160"/>
    <m/>
    <m/>
    <n v="0"/>
    <m/>
    <m/>
    <m/>
    <m/>
    <m/>
    <m/>
    <n v="0"/>
    <m/>
    <m/>
    <m/>
    <m/>
    <n v="0"/>
    <n v="0"/>
    <n v="0"/>
    <n v="0"/>
    <n v="0"/>
    <n v="0"/>
    <n v="0"/>
  </r>
  <r>
    <x v="9"/>
    <x v="139"/>
    <s v="Ø22"/>
    <s v="Inox Serti CoréenCourbe 90° FFØ22"/>
    <n v="22"/>
    <n v="2"/>
    <s v="F90220"/>
    <m/>
    <m/>
    <n v="0"/>
    <m/>
    <m/>
    <m/>
    <m/>
    <m/>
    <m/>
    <n v="0"/>
    <m/>
    <m/>
    <m/>
    <m/>
    <n v="0"/>
    <n v="0"/>
    <n v="0"/>
    <n v="0"/>
    <n v="0"/>
    <n v="0"/>
    <n v="0"/>
  </r>
  <r>
    <x v="9"/>
    <x v="139"/>
    <s v="Ø28"/>
    <s v="Inox Serti CoréenCourbe 90° FFØ28"/>
    <n v="28"/>
    <n v="3"/>
    <s v="F90280"/>
    <m/>
    <m/>
    <n v="0"/>
    <m/>
    <m/>
    <m/>
    <m/>
    <m/>
    <m/>
    <n v="0"/>
    <m/>
    <m/>
    <m/>
    <m/>
    <n v="0"/>
    <n v="0"/>
    <n v="0"/>
    <n v="0"/>
    <n v="0"/>
    <n v="0"/>
    <n v="0"/>
  </r>
  <r>
    <x v="9"/>
    <x v="139"/>
    <s v="Ø34"/>
    <s v="Inox Serti CoréenCourbe 90° FFØ34"/>
    <n v="34"/>
    <n v="4"/>
    <s v="F90340"/>
    <m/>
    <m/>
    <n v="0"/>
    <m/>
    <m/>
    <m/>
    <m/>
    <m/>
    <m/>
    <n v="0"/>
    <m/>
    <m/>
    <m/>
    <m/>
    <n v="0"/>
    <n v="0"/>
    <n v="0"/>
    <n v="0"/>
    <n v="0"/>
    <n v="0"/>
    <n v="0"/>
  </r>
  <r>
    <x v="9"/>
    <x v="139"/>
    <s v="Ø42"/>
    <s v="Inox Serti CoréenCourbe 90° FFØ42"/>
    <n v="42"/>
    <n v="5"/>
    <s v="F90420"/>
    <m/>
    <m/>
    <n v="0"/>
    <m/>
    <m/>
    <m/>
    <m/>
    <m/>
    <m/>
    <n v="0"/>
    <m/>
    <m/>
    <m/>
    <m/>
    <n v="0"/>
    <n v="0"/>
    <n v="0"/>
    <n v="0"/>
    <n v="0"/>
    <n v="0"/>
    <n v="0"/>
  </r>
  <r>
    <x v="9"/>
    <x v="139"/>
    <s v="Ø48"/>
    <s v="Inox Serti CoréenCourbe 90° FFØ48"/>
    <n v="48"/>
    <n v="6"/>
    <s v="F90480"/>
    <m/>
    <m/>
    <n v="0"/>
    <m/>
    <m/>
    <m/>
    <m/>
    <m/>
    <m/>
    <n v="0"/>
    <m/>
    <m/>
    <m/>
    <m/>
    <n v="0"/>
    <n v="0"/>
    <n v="0"/>
    <n v="0"/>
    <n v="0"/>
    <n v="0"/>
    <n v="0"/>
  </r>
  <r>
    <x v="9"/>
    <x v="139"/>
    <s v="Ø60"/>
    <s v="Inox Serti CoréenCourbe 90° FFØ60"/>
    <n v="60"/>
    <n v="7"/>
    <s v="F90600"/>
    <m/>
    <m/>
    <n v="0"/>
    <m/>
    <m/>
    <m/>
    <m/>
    <m/>
    <m/>
    <n v="0"/>
    <m/>
    <m/>
    <m/>
    <m/>
    <n v="0"/>
    <n v="0"/>
    <n v="0"/>
    <n v="0"/>
    <n v="0"/>
    <n v="0"/>
    <n v="0"/>
  </r>
  <r>
    <x v="9"/>
    <x v="139"/>
    <s v="Ø80"/>
    <s v="Inox Serti CoréenCourbe 90° FFØ80"/>
    <n v="80"/>
    <n v="8"/>
    <s v="F90800"/>
    <m/>
    <m/>
    <n v="0"/>
    <m/>
    <m/>
    <m/>
    <m/>
    <m/>
    <m/>
    <n v="0"/>
    <m/>
    <m/>
    <m/>
    <m/>
    <n v="0"/>
    <n v="0"/>
    <n v="0"/>
    <n v="0"/>
    <n v="0"/>
    <n v="0"/>
    <n v="0"/>
  </r>
  <r>
    <x v="9"/>
    <x v="140"/>
    <m/>
    <s v="Inox Serti CoréenCOURBE 90°MF"/>
    <m/>
    <n v="0"/>
    <m/>
    <m/>
    <m/>
    <n v="0"/>
    <m/>
    <m/>
    <m/>
    <m/>
    <m/>
    <m/>
    <n v="0"/>
    <m/>
    <m/>
    <m/>
    <m/>
    <n v="0"/>
    <n v="0"/>
    <n v="0"/>
    <n v="0"/>
    <n v="0"/>
    <n v="0"/>
    <n v="0"/>
  </r>
  <r>
    <x v="9"/>
    <x v="141"/>
    <s v="Ø16"/>
    <s v="Inox Serti CoréenCourbe 90° MFØ16"/>
    <n v="16"/>
    <n v="1"/>
    <s v="F90160S"/>
    <m/>
    <m/>
    <n v="0"/>
    <m/>
    <m/>
    <m/>
    <m/>
    <m/>
    <m/>
    <n v="0"/>
    <m/>
    <m/>
    <m/>
    <m/>
    <n v="0"/>
    <n v="0"/>
    <n v="0"/>
    <n v="0"/>
    <n v="0"/>
    <n v="0"/>
    <n v="0"/>
  </r>
  <r>
    <x v="9"/>
    <x v="141"/>
    <s v="Ø22"/>
    <s v="Inox Serti CoréenCourbe 90° MFØ22"/>
    <n v="22"/>
    <n v="2"/>
    <s v="F90220S"/>
    <m/>
    <m/>
    <n v="0"/>
    <m/>
    <m/>
    <m/>
    <m/>
    <m/>
    <m/>
    <n v="0"/>
    <m/>
    <m/>
    <m/>
    <m/>
    <n v="0"/>
    <n v="0"/>
    <n v="0"/>
    <n v="0"/>
    <n v="0"/>
    <n v="0"/>
    <n v="0"/>
  </r>
  <r>
    <x v="9"/>
    <x v="141"/>
    <s v="Ø28"/>
    <s v="Inox Serti CoréenCourbe 90° MFØ28"/>
    <n v="28"/>
    <n v="3"/>
    <s v="F90280S"/>
    <m/>
    <m/>
    <n v="0"/>
    <m/>
    <m/>
    <m/>
    <m/>
    <m/>
    <m/>
    <n v="0"/>
    <m/>
    <m/>
    <m/>
    <m/>
    <n v="0"/>
    <n v="0"/>
    <n v="0"/>
    <n v="0"/>
    <n v="0"/>
    <n v="0"/>
    <n v="0"/>
  </r>
  <r>
    <x v="9"/>
    <x v="141"/>
    <s v="Ø34"/>
    <s v="Inox Serti CoréenCourbe 90° MFØ34"/>
    <n v="34"/>
    <n v="4"/>
    <s v="F90340S"/>
    <m/>
    <m/>
    <n v="0"/>
    <m/>
    <m/>
    <m/>
    <m/>
    <m/>
    <m/>
    <n v="0"/>
    <m/>
    <m/>
    <m/>
    <m/>
    <n v="0"/>
    <n v="0"/>
    <n v="0"/>
    <n v="0"/>
    <n v="0"/>
    <n v="0"/>
    <n v="0"/>
  </r>
  <r>
    <x v="9"/>
    <x v="141"/>
    <s v="Ø42"/>
    <s v="Inox Serti CoréenCourbe 90° MFØ42"/>
    <n v="42"/>
    <n v="5"/>
    <s v="F90420S"/>
    <m/>
    <m/>
    <n v="0"/>
    <m/>
    <m/>
    <m/>
    <m/>
    <m/>
    <m/>
    <n v="0"/>
    <m/>
    <m/>
    <m/>
    <m/>
    <n v="0"/>
    <n v="0"/>
    <n v="0"/>
    <n v="0"/>
    <n v="0"/>
    <n v="0"/>
    <n v="0"/>
  </r>
  <r>
    <x v="9"/>
    <x v="141"/>
    <s v="Ø48"/>
    <s v="Inox Serti CoréenCourbe 90° MFØ48"/>
    <n v="48"/>
    <n v="6"/>
    <s v="F90480S"/>
    <m/>
    <m/>
    <n v="0"/>
    <m/>
    <m/>
    <m/>
    <m/>
    <m/>
    <m/>
    <n v="0"/>
    <m/>
    <m/>
    <m/>
    <m/>
    <n v="0"/>
    <n v="0"/>
    <n v="0"/>
    <n v="0"/>
    <n v="0"/>
    <n v="0"/>
    <n v="0"/>
  </r>
  <r>
    <x v="9"/>
    <x v="141"/>
    <s v="Ø60"/>
    <s v="Inox Serti CoréenCourbe 90° MFØ60"/>
    <n v="60"/>
    <n v="7"/>
    <s v="F90600S"/>
    <m/>
    <m/>
    <n v="0"/>
    <m/>
    <m/>
    <m/>
    <m/>
    <m/>
    <m/>
    <n v="0"/>
    <m/>
    <m/>
    <m/>
    <m/>
    <n v="0"/>
    <n v="0"/>
    <n v="0"/>
    <n v="0"/>
    <n v="0"/>
    <n v="0"/>
    <n v="0"/>
  </r>
  <r>
    <x v="9"/>
    <x v="142"/>
    <m/>
    <s v="Inox Serti CoréenCOURBE MIXTE FF"/>
    <m/>
    <n v="0"/>
    <m/>
    <m/>
    <m/>
    <n v="0"/>
    <m/>
    <m/>
    <m/>
    <m/>
    <m/>
    <m/>
    <n v="0"/>
    <m/>
    <m/>
    <m/>
    <m/>
    <n v="0"/>
    <n v="0"/>
    <n v="0"/>
    <n v="0"/>
    <n v="0"/>
    <n v="0"/>
    <n v="0"/>
  </r>
  <r>
    <x v="9"/>
    <x v="142"/>
    <s v="Ø16 "/>
    <s v="Inox Serti CoréenCourbe mixte FFØ16 "/>
    <n v="16.5"/>
    <n v="1"/>
    <s v="F40160"/>
    <m/>
    <m/>
    <n v="0"/>
    <m/>
    <m/>
    <m/>
    <m/>
    <m/>
    <m/>
    <n v="0"/>
    <m/>
    <m/>
    <m/>
    <m/>
    <n v="0"/>
    <n v="0"/>
    <n v="0"/>
    <n v="0"/>
    <n v="0"/>
    <n v="0"/>
    <n v="0"/>
  </r>
  <r>
    <x v="9"/>
    <x v="142"/>
    <s v="Ø16"/>
    <s v="Inox Serti CoréenCourbe mixte FFØ16"/>
    <n v="16.5"/>
    <n v="2"/>
    <s v="F4016S"/>
    <m/>
    <m/>
    <n v="0"/>
    <m/>
    <m/>
    <m/>
    <m/>
    <m/>
    <m/>
    <n v="0"/>
    <m/>
    <m/>
    <m/>
    <m/>
    <n v="0"/>
    <n v="0"/>
    <n v="0"/>
    <n v="0"/>
    <n v="0"/>
    <n v="0"/>
    <n v="0"/>
  </r>
  <r>
    <x v="9"/>
    <x v="142"/>
    <s v="Ø22"/>
    <s v="Inox Serti CoréenCourbe mixte FFØ22"/>
    <n v="22.5"/>
    <n v="3"/>
    <s v="F40221"/>
    <m/>
    <m/>
    <n v="0"/>
    <m/>
    <m/>
    <m/>
    <m/>
    <m/>
    <m/>
    <n v="0"/>
    <m/>
    <m/>
    <m/>
    <m/>
    <n v="0"/>
    <n v="0"/>
    <n v="0"/>
    <n v="0"/>
    <n v="0"/>
    <n v="0"/>
    <n v="0"/>
  </r>
  <r>
    <x v="9"/>
    <x v="142"/>
    <s v="Ø22"/>
    <s v="Inox Serti CoréenCourbe mixte FFØ22"/>
    <n v="28.5"/>
    <n v="4"/>
    <s v="F4022S"/>
    <m/>
    <m/>
    <n v="0"/>
    <m/>
    <m/>
    <m/>
    <m/>
    <m/>
    <m/>
    <n v="0"/>
    <m/>
    <m/>
    <m/>
    <m/>
    <n v="0"/>
    <n v="0"/>
    <n v="0"/>
    <n v="0"/>
    <n v="0"/>
    <n v="0"/>
    <n v="0"/>
  </r>
  <r>
    <x v="9"/>
    <x v="142"/>
    <s v="Ø28"/>
    <s v="Inox Serti CoréenCourbe mixte FFØ28"/>
    <s v="28 1&quot;"/>
    <n v="5"/>
    <s v="F40280"/>
    <m/>
    <m/>
    <n v="0"/>
    <m/>
    <m/>
    <m/>
    <m/>
    <m/>
    <m/>
    <n v="0"/>
    <m/>
    <m/>
    <m/>
    <m/>
    <n v="0"/>
    <n v="0"/>
    <n v="0"/>
    <n v="0"/>
    <n v="0"/>
    <n v="0"/>
    <n v="0"/>
  </r>
  <r>
    <x v="9"/>
    <x v="142"/>
    <s v="Ø16"/>
    <s v="Inox Serti CoréenCourbe mixte FFØ16"/>
    <n v="16.5"/>
    <n v="6"/>
    <s v="F41160"/>
    <m/>
    <m/>
    <n v="0"/>
    <m/>
    <m/>
    <m/>
    <m/>
    <m/>
    <m/>
    <n v="0"/>
    <m/>
    <m/>
    <m/>
    <m/>
    <n v="0"/>
    <n v="0"/>
    <n v="0"/>
    <n v="0"/>
    <n v="0"/>
    <n v="0"/>
    <n v="0"/>
  </r>
  <r>
    <x v="9"/>
    <x v="142"/>
    <s v="Ø22"/>
    <s v="Inox Serti CoréenCourbe mixte FFØ22"/>
    <n v="22.75"/>
    <n v="7"/>
    <s v="F41220"/>
    <m/>
    <m/>
    <n v="0"/>
    <m/>
    <m/>
    <m/>
    <m/>
    <m/>
    <m/>
    <n v="0"/>
    <m/>
    <m/>
    <m/>
    <m/>
    <n v="0"/>
    <n v="0"/>
    <n v="0"/>
    <n v="0"/>
    <n v="0"/>
    <n v="0"/>
    <n v="0"/>
  </r>
  <r>
    <x v="9"/>
    <x v="142"/>
    <s v="Ø28"/>
    <s v="Inox Serti CoréenCourbe mixte FFØ28"/>
    <s v="28 1&quot;"/>
    <n v="8"/>
    <s v="F41280"/>
    <m/>
    <m/>
    <n v="0"/>
    <m/>
    <m/>
    <m/>
    <m/>
    <m/>
    <m/>
    <n v="0"/>
    <m/>
    <m/>
    <m/>
    <m/>
    <n v="0"/>
    <n v="0"/>
    <n v="0"/>
    <n v="0"/>
    <n v="0"/>
    <n v="0"/>
    <n v="0"/>
  </r>
  <r>
    <x v="9"/>
    <x v="142"/>
    <s v="Ø34"/>
    <s v="Inox Serti CoréenCourbe mixte FFØ34"/>
    <s v="34 1&quot;1/4"/>
    <n v="9"/>
    <s v="F41340"/>
    <m/>
    <m/>
    <n v="0"/>
    <m/>
    <m/>
    <m/>
    <m/>
    <m/>
    <m/>
    <n v="0"/>
    <m/>
    <m/>
    <m/>
    <m/>
    <n v="0"/>
    <n v="0"/>
    <n v="0"/>
    <n v="0"/>
    <n v="0"/>
    <n v="0"/>
    <n v="0"/>
  </r>
  <r>
    <x v="9"/>
    <x v="142"/>
    <s v="Ø42"/>
    <s v="Inox Serti CoréenCourbe mixte FFØ42"/>
    <s v="42 1&quot;1/2"/>
    <n v="10"/>
    <s v="F41420"/>
    <m/>
    <m/>
    <n v="0"/>
    <m/>
    <m/>
    <m/>
    <m/>
    <m/>
    <m/>
    <n v="0"/>
    <m/>
    <m/>
    <m/>
    <m/>
    <n v="0"/>
    <n v="0"/>
    <n v="0"/>
    <n v="0"/>
    <n v="0"/>
    <n v="0"/>
    <n v="0"/>
  </r>
  <r>
    <x v="9"/>
    <x v="142"/>
    <s v="Ø48"/>
    <s v="Inox Serti CoréenCourbe mixte FFØ48"/>
    <s v="48  2&quot;"/>
    <n v="11"/>
    <s v="F41480"/>
    <m/>
    <m/>
    <n v="0"/>
    <m/>
    <m/>
    <m/>
    <m/>
    <m/>
    <m/>
    <n v="0"/>
    <m/>
    <m/>
    <m/>
    <m/>
    <n v="0"/>
    <n v="0"/>
    <n v="0"/>
    <n v="0"/>
    <n v="0"/>
    <n v="0"/>
    <n v="0"/>
  </r>
  <r>
    <x v="9"/>
    <x v="142"/>
    <s v="Ø60"/>
    <s v="Inox Serti CoréenCourbe mixte FFØ60"/>
    <s v="60 2&quot;1/2"/>
    <n v="12"/>
    <s v="F41600"/>
    <m/>
    <m/>
    <n v="0"/>
    <m/>
    <m/>
    <m/>
    <m/>
    <m/>
    <m/>
    <n v="0"/>
    <m/>
    <m/>
    <m/>
    <m/>
    <n v="0"/>
    <n v="0"/>
    <n v="0"/>
    <n v="0"/>
    <n v="0"/>
    <n v="0"/>
    <n v="0"/>
  </r>
  <r>
    <x v="9"/>
    <x v="142"/>
    <s v="Ø60"/>
    <s v="Inox Serti CoréenCourbe mixte FFØ60"/>
    <s v="60 - 2&quot;"/>
    <n v="13"/>
    <s v="F41601"/>
    <m/>
    <m/>
    <n v="0"/>
    <m/>
    <m/>
    <m/>
    <m/>
    <m/>
    <m/>
    <n v="0"/>
    <m/>
    <m/>
    <m/>
    <m/>
    <n v="0"/>
    <n v="0"/>
    <n v="0"/>
    <n v="0"/>
    <n v="0"/>
    <n v="0"/>
    <n v="0"/>
  </r>
  <r>
    <x v="9"/>
    <x v="143"/>
    <m/>
    <s v="Inox Serti CoréenCOURBE MIXTE FM"/>
    <m/>
    <n v="0"/>
    <m/>
    <m/>
    <m/>
    <n v="0"/>
    <m/>
    <m/>
    <m/>
    <m/>
    <m/>
    <m/>
    <n v="0"/>
    <m/>
    <m/>
    <m/>
    <m/>
    <n v="0"/>
    <n v="0"/>
    <n v="0"/>
    <n v="0"/>
    <n v="0"/>
    <n v="0"/>
    <n v="0"/>
  </r>
  <r>
    <x v="9"/>
    <x v="143"/>
    <s v="Ø16"/>
    <s v="Inox Serti CoréenCourbe mixte FMØ16"/>
    <n v="16.5"/>
    <n v="1"/>
    <s v="F42160"/>
    <m/>
    <m/>
    <n v="0"/>
    <m/>
    <m/>
    <m/>
    <m/>
    <m/>
    <m/>
    <n v="0"/>
    <m/>
    <m/>
    <m/>
    <m/>
    <n v="0"/>
    <n v="0"/>
    <n v="0"/>
    <n v="0"/>
    <n v="0"/>
    <n v="0"/>
    <n v="0"/>
  </r>
  <r>
    <x v="9"/>
    <x v="143"/>
    <s v="Ø22"/>
    <s v="Inox Serti CoréenCourbe mixte FMØ22"/>
    <n v="22.75"/>
    <n v="2"/>
    <s v="F42220"/>
    <m/>
    <m/>
    <n v="0"/>
    <m/>
    <m/>
    <m/>
    <m/>
    <m/>
    <m/>
    <n v="0"/>
    <m/>
    <m/>
    <m/>
    <m/>
    <n v="0"/>
    <n v="0"/>
    <n v="0"/>
    <n v="0"/>
    <n v="0"/>
    <n v="0"/>
    <n v="0"/>
  </r>
  <r>
    <x v="9"/>
    <x v="143"/>
    <s v="Ø28"/>
    <s v="Inox Serti CoréenCourbe mixte FMØ28"/>
    <s v="28 1&quot;"/>
    <n v="3"/>
    <s v="F42280"/>
    <m/>
    <m/>
    <n v="0"/>
    <m/>
    <m/>
    <m/>
    <m/>
    <m/>
    <m/>
    <n v="0"/>
    <m/>
    <m/>
    <m/>
    <m/>
    <n v="0"/>
    <n v="0"/>
    <n v="0"/>
    <n v="0"/>
    <n v="0"/>
    <n v="0"/>
    <n v="0"/>
  </r>
  <r>
    <x v="9"/>
    <x v="143"/>
    <s v="Ø34"/>
    <s v="Inox Serti CoréenCourbe mixte FMØ34"/>
    <s v="34 1&quot;1/4"/>
    <n v="4"/>
    <s v="F42340"/>
    <m/>
    <m/>
    <n v="0"/>
    <m/>
    <m/>
    <m/>
    <m/>
    <m/>
    <m/>
    <n v="0"/>
    <m/>
    <m/>
    <m/>
    <m/>
    <n v="0"/>
    <n v="0"/>
    <n v="0"/>
    <n v="0"/>
    <n v="0"/>
    <n v="0"/>
    <n v="0"/>
  </r>
  <r>
    <x v="9"/>
    <x v="143"/>
    <s v="Ø42"/>
    <s v="Inox Serti CoréenCourbe mixte FMØ42"/>
    <s v="42 1&quot;1/2"/>
    <n v="5"/>
    <s v="F42420"/>
    <m/>
    <m/>
    <n v="0"/>
    <m/>
    <m/>
    <m/>
    <m/>
    <m/>
    <m/>
    <n v="0"/>
    <m/>
    <m/>
    <m/>
    <m/>
    <n v="0"/>
    <n v="0"/>
    <n v="0"/>
    <n v="0"/>
    <n v="0"/>
    <n v="0"/>
    <n v="0"/>
  </r>
  <r>
    <x v="9"/>
    <x v="143"/>
    <s v="Ø48"/>
    <s v="Inox Serti CoréenCourbe mixte FMØ48"/>
    <s v="48  2&quot;"/>
    <n v="6"/>
    <s v="F42480"/>
    <m/>
    <m/>
    <n v="0"/>
    <m/>
    <m/>
    <m/>
    <m/>
    <m/>
    <m/>
    <n v="0"/>
    <m/>
    <m/>
    <m/>
    <m/>
    <n v="0"/>
    <n v="0"/>
    <n v="0"/>
    <n v="0"/>
    <n v="0"/>
    <n v="0"/>
    <n v="0"/>
  </r>
  <r>
    <x v="9"/>
    <x v="143"/>
    <s v="Ø60"/>
    <s v="Inox Serti CoréenCourbe mixte FMØ60"/>
    <s v="60 2&quot;1/2"/>
    <n v="7"/>
    <s v="F42600"/>
    <m/>
    <m/>
    <n v="0"/>
    <m/>
    <m/>
    <m/>
    <m/>
    <m/>
    <m/>
    <n v="0"/>
    <m/>
    <m/>
    <m/>
    <m/>
    <n v="0"/>
    <n v="0"/>
    <n v="0"/>
    <n v="0"/>
    <n v="0"/>
    <n v="0"/>
    <n v="0"/>
  </r>
  <r>
    <x v="9"/>
    <x v="143"/>
    <s v="Ø60"/>
    <s v="Inox Serti CoréenCourbe mixte FMØ60"/>
    <s v="60-2&quot; "/>
    <n v="8"/>
    <s v="F42601"/>
    <m/>
    <m/>
    <n v="0"/>
    <m/>
    <m/>
    <m/>
    <m/>
    <m/>
    <m/>
    <n v="0"/>
    <m/>
    <m/>
    <m/>
    <m/>
    <n v="0"/>
    <n v="0"/>
    <n v="0"/>
    <n v="0"/>
    <n v="0"/>
    <n v="0"/>
    <n v="0"/>
  </r>
  <r>
    <x v="9"/>
    <x v="144"/>
    <m/>
    <s v="Inox Serti CoréenCOURBE 45° MF"/>
    <m/>
    <n v="0"/>
    <m/>
    <m/>
    <m/>
    <n v="0"/>
    <m/>
    <m/>
    <m/>
    <m/>
    <m/>
    <m/>
    <n v="0"/>
    <m/>
    <m/>
    <m/>
    <m/>
    <n v="0"/>
    <n v="0"/>
    <n v="0"/>
    <n v="0"/>
    <n v="0"/>
    <n v="0"/>
    <n v="0"/>
  </r>
  <r>
    <x v="9"/>
    <x v="144"/>
    <s v="Ø16"/>
    <s v="Inox Serti CoréenCourbe 45° MFØ16"/>
    <n v="16"/>
    <n v="1"/>
    <s v="F45160S"/>
    <m/>
    <m/>
    <n v="0"/>
    <m/>
    <m/>
    <m/>
    <m/>
    <m/>
    <m/>
    <n v="0"/>
    <m/>
    <m/>
    <m/>
    <m/>
    <n v="0"/>
    <n v="0"/>
    <n v="0"/>
    <n v="0"/>
    <n v="0"/>
    <n v="0"/>
    <n v="0"/>
  </r>
  <r>
    <x v="9"/>
    <x v="144"/>
    <s v="Ø22"/>
    <s v="Inox Serti CoréenCourbe 45° MFØ22"/>
    <n v="22"/>
    <n v="2"/>
    <s v="F45220S"/>
    <m/>
    <m/>
    <n v="0"/>
    <m/>
    <m/>
    <m/>
    <m/>
    <m/>
    <m/>
    <n v="0"/>
    <m/>
    <m/>
    <m/>
    <m/>
    <n v="0"/>
    <n v="0"/>
    <n v="0"/>
    <n v="0"/>
    <n v="0"/>
    <n v="0"/>
    <n v="0"/>
  </r>
  <r>
    <x v="9"/>
    <x v="144"/>
    <s v="Ø28"/>
    <s v="Inox Serti CoréenCourbe 45° MFØ28"/>
    <n v="28"/>
    <n v="3"/>
    <s v="F45280S"/>
    <m/>
    <m/>
    <n v="0"/>
    <m/>
    <m/>
    <m/>
    <m/>
    <m/>
    <m/>
    <n v="0"/>
    <m/>
    <m/>
    <m/>
    <m/>
    <n v="0"/>
    <n v="0"/>
    <n v="0"/>
    <n v="0"/>
    <n v="0"/>
    <n v="0"/>
    <n v="0"/>
  </r>
  <r>
    <x v="9"/>
    <x v="144"/>
    <s v="Ø34"/>
    <s v="Inox Serti CoréenCourbe 45° MFØ34"/>
    <n v="34"/>
    <n v="4"/>
    <s v="F45340S"/>
    <m/>
    <m/>
    <n v="0"/>
    <m/>
    <m/>
    <m/>
    <m/>
    <m/>
    <m/>
    <n v="0"/>
    <m/>
    <m/>
    <m/>
    <m/>
    <n v="0"/>
    <n v="0"/>
    <n v="0"/>
    <n v="0"/>
    <n v="0"/>
    <n v="0"/>
    <n v="0"/>
  </r>
  <r>
    <x v="9"/>
    <x v="144"/>
    <s v="Ø42"/>
    <s v="Inox Serti CoréenCourbe 45° MFØ42"/>
    <n v="42"/>
    <n v="5"/>
    <s v="F45420S"/>
    <m/>
    <m/>
    <n v="0"/>
    <m/>
    <m/>
    <m/>
    <m/>
    <m/>
    <m/>
    <n v="0"/>
    <m/>
    <m/>
    <m/>
    <m/>
    <n v="0"/>
    <n v="0"/>
    <n v="0"/>
    <n v="0"/>
    <n v="0"/>
    <n v="0"/>
    <n v="0"/>
  </r>
  <r>
    <x v="9"/>
    <x v="144"/>
    <s v="Ø48"/>
    <s v="Inox Serti CoréenCourbe 45° MFØ48"/>
    <n v="48"/>
    <n v="6"/>
    <s v="F45480S"/>
    <m/>
    <m/>
    <n v="0"/>
    <m/>
    <m/>
    <m/>
    <m/>
    <m/>
    <m/>
    <n v="0"/>
    <m/>
    <m/>
    <m/>
    <m/>
    <n v="0"/>
    <n v="0"/>
    <n v="0"/>
    <n v="0"/>
    <n v="0"/>
    <n v="0"/>
    <n v="0"/>
  </r>
  <r>
    <x v="9"/>
    <x v="144"/>
    <s v="Ø60"/>
    <s v="Inox Serti CoréenCourbe 45° MFØ60"/>
    <n v="60"/>
    <n v="7"/>
    <s v="F45600S"/>
    <m/>
    <m/>
    <n v="0"/>
    <m/>
    <m/>
    <m/>
    <m/>
    <m/>
    <m/>
    <n v="0"/>
    <m/>
    <m/>
    <m/>
    <m/>
    <n v="0"/>
    <n v="0"/>
    <n v="0"/>
    <n v="0"/>
    <n v="0"/>
    <n v="0"/>
    <n v="0"/>
  </r>
  <r>
    <x v="9"/>
    <x v="145"/>
    <m/>
    <s v="Inox Serti CoréenEmbout fileté M 3 pieces"/>
    <m/>
    <n v="0"/>
    <m/>
    <m/>
    <m/>
    <n v="0"/>
    <m/>
    <m/>
    <m/>
    <m/>
    <m/>
    <m/>
    <n v="0"/>
    <m/>
    <m/>
    <m/>
    <m/>
    <n v="0"/>
    <n v="0"/>
    <n v="0"/>
    <n v="0"/>
    <n v="0"/>
    <n v="0"/>
    <n v="0"/>
  </r>
  <r>
    <x v="9"/>
    <x v="145"/>
    <s v="Ø16"/>
    <s v="Inox Serti CoréenEmbout fileté M 3 piecesØ16"/>
    <n v="16.5"/>
    <n v="1"/>
    <s v="F33160"/>
    <m/>
    <m/>
    <n v="0"/>
    <m/>
    <m/>
    <m/>
    <m/>
    <m/>
    <m/>
    <n v="0"/>
    <m/>
    <m/>
    <m/>
    <m/>
    <n v="0"/>
    <n v="0"/>
    <n v="0"/>
    <n v="0"/>
    <n v="0"/>
    <n v="0"/>
    <n v="0"/>
  </r>
  <r>
    <x v="9"/>
    <x v="145"/>
    <s v="Ø22"/>
    <s v="Inox Serti CoréenEmbout fileté M 3 piecesØ22"/>
    <n v="22.75"/>
    <n v="2"/>
    <s v="F33220"/>
    <m/>
    <m/>
    <n v="0"/>
    <m/>
    <m/>
    <m/>
    <m/>
    <m/>
    <m/>
    <n v="0"/>
    <m/>
    <m/>
    <m/>
    <m/>
    <n v="0"/>
    <n v="0"/>
    <n v="0"/>
    <n v="0"/>
    <n v="0"/>
    <n v="0"/>
    <n v="0"/>
  </r>
  <r>
    <x v="9"/>
    <x v="145"/>
    <s v="Ø28"/>
    <s v="Inox Serti CoréenEmbout fileté M 3 piecesØ28"/>
    <s v="28 1&quot;"/>
    <n v="3"/>
    <s v="F33280"/>
    <m/>
    <m/>
    <n v="0"/>
    <m/>
    <m/>
    <m/>
    <m/>
    <m/>
    <m/>
    <n v="0"/>
    <m/>
    <m/>
    <m/>
    <m/>
    <n v="0"/>
    <n v="0"/>
    <n v="0"/>
    <n v="0"/>
    <n v="0"/>
    <n v="0"/>
    <n v="0"/>
  </r>
  <r>
    <x v="9"/>
    <x v="145"/>
    <s v="Ø34"/>
    <s v="Inox Serti CoréenEmbout fileté M 3 piecesØ34"/>
    <s v="34 1&quot;1/4"/>
    <n v="4"/>
    <s v="F33340"/>
    <m/>
    <m/>
    <n v="0"/>
    <m/>
    <m/>
    <m/>
    <m/>
    <m/>
    <m/>
    <n v="0"/>
    <m/>
    <m/>
    <m/>
    <m/>
    <n v="0"/>
    <n v="0"/>
    <n v="0"/>
    <n v="0"/>
    <n v="0"/>
    <n v="0"/>
    <n v="0"/>
  </r>
  <r>
    <x v="9"/>
    <x v="145"/>
    <s v="Ø42"/>
    <s v="Inox Serti CoréenEmbout fileté M 3 piecesØ42"/>
    <s v="42 1&quot;1/2"/>
    <n v="5"/>
    <s v="F33420"/>
    <m/>
    <m/>
    <n v="0"/>
    <m/>
    <m/>
    <m/>
    <m/>
    <m/>
    <m/>
    <n v="0"/>
    <m/>
    <m/>
    <m/>
    <m/>
    <n v="0"/>
    <n v="0"/>
    <n v="0"/>
    <n v="0"/>
    <n v="0"/>
    <n v="0"/>
    <n v="0"/>
  </r>
  <r>
    <x v="9"/>
    <x v="145"/>
    <s v="Ø48"/>
    <s v="Inox Serti CoréenEmbout fileté M 3 piecesØ48"/>
    <s v="48  2&quot;"/>
    <n v="6"/>
    <s v="F33480"/>
    <m/>
    <m/>
    <n v="0"/>
    <m/>
    <m/>
    <m/>
    <m/>
    <m/>
    <m/>
    <n v="0"/>
    <m/>
    <m/>
    <m/>
    <m/>
    <n v="0"/>
    <n v="0"/>
    <n v="0"/>
    <n v="0"/>
    <n v="0"/>
    <n v="0"/>
    <n v="0"/>
  </r>
  <r>
    <x v="9"/>
    <x v="145"/>
    <s v="Ø60"/>
    <s v="Inox Serti CoréenEmbout fileté M 3 piecesØ60"/>
    <s v="60 2&quot;1/2"/>
    <n v="7"/>
    <s v="F33600"/>
    <m/>
    <m/>
    <n v="0"/>
    <m/>
    <m/>
    <m/>
    <m/>
    <m/>
    <m/>
    <n v="0"/>
    <m/>
    <m/>
    <m/>
    <m/>
    <n v="0"/>
    <n v="0"/>
    <n v="0"/>
    <n v="0"/>
    <n v="0"/>
    <n v="0"/>
    <n v="0"/>
  </r>
  <r>
    <x v="9"/>
    <x v="146"/>
    <m/>
    <s v="Inox Serti CoréenMANCHON COURT"/>
    <m/>
    <n v="0"/>
    <m/>
    <m/>
    <m/>
    <n v="0"/>
    <m/>
    <m/>
    <m/>
    <m/>
    <m/>
    <m/>
    <n v="0"/>
    <m/>
    <m/>
    <m/>
    <m/>
    <n v="0"/>
    <n v="0"/>
    <n v="0"/>
    <n v="0"/>
    <n v="0"/>
    <n v="0"/>
    <n v="0"/>
  </r>
  <r>
    <x v="9"/>
    <x v="146"/>
    <s v="Ø16"/>
    <s v="Inox Serti CoréenManchon courtØ16"/>
    <n v="16"/>
    <n v="1"/>
    <s v="F20160"/>
    <m/>
    <m/>
    <n v="0"/>
    <m/>
    <m/>
    <m/>
    <m/>
    <m/>
    <m/>
    <n v="0"/>
    <m/>
    <m/>
    <m/>
    <m/>
    <n v="0"/>
    <n v="0"/>
    <n v="0"/>
    <n v="0"/>
    <n v="0"/>
    <n v="0"/>
    <n v="0"/>
  </r>
  <r>
    <x v="9"/>
    <x v="146"/>
    <s v="Ø22"/>
    <s v="Inox Serti CoréenManchon courtØ22"/>
    <n v="22"/>
    <n v="2"/>
    <s v="F20220"/>
    <m/>
    <m/>
    <n v="0"/>
    <m/>
    <m/>
    <m/>
    <m/>
    <m/>
    <m/>
    <n v="0"/>
    <m/>
    <m/>
    <m/>
    <m/>
    <n v="0"/>
    <n v="0"/>
    <n v="0"/>
    <n v="0"/>
    <n v="0"/>
    <n v="0"/>
    <n v="0"/>
  </r>
  <r>
    <x v="9"/>
    <x v="146"/>
    <s v="Ø28"/>
    <s v="Inox Serti CoréenManchon courtØ28"/>
    <n v="28"/>
    <n v="3"/>
    <s v="F20280"/>
    <m/>
    <m/>
    <n v="0"/>
    <m/>
    <m/>
    <m/>
    <m/>
    <m/>
    <m/>
    <n v="0"/>
    <m/>
    <m/>
    <m/>
    <m/>
    <n v="0"/>
    <n v="0"/>
    <n v="0"/>
    <n v="0"/>
    <n v="0"/>
    <n v="0"/>
    <n v="0"/>
  </r>
  <r>
    <x v="9"/>
    <x v="146"/>
    <s v="Ø34"/>
    <s v="Inox Serti CoréenManchon courtØ34"/>
    <n v="34"/>
    <n v="4"/>
    <s v="F20340"/>
    <m/>
    <m/>
    <n v="0"/>
    <m/>
    <m/>
    <m/>
    <m/>
    <m/>
    <m/>
    <n v="0"/>
    <m/>
    <m/>
    <m/>
    <m/>
    <n v="0"/>
    <n v="0"/>
    <n v="0"/>
    <n v="0"/>
    <n v="0"/>
    <n v="0"/>
    <n v="0"/>
  </r>
  <r>
    <x v="9"/>
    <x v="146"/>
    <s v="Ø42"/>
    <s v="Inox Serti CoréenManchon courtØ42"/>
    <n v="42"/>
    <n v="5"/>
    <s v="F20420"/>
    <m/>
    <m/>
    <n v="0"/>
    <m/>
    <m/>
    <m/>
    <m/>
    <m/>
    <m/>
    <n v="0"/>
    <m/>
    <m/>
    <m/>
    <m/>
    <n v="0"/>
    <n v="0"/>
    <n v="0"/>
    <n v="0"/>
    <n v="0"/>
    <n v="0"/>
    <n v="0"/>
  </r>
  <r>
    <x v="9"/>
    <x v="146"/>
    <s v="Ø48"/>
    <s v="Inox Serti CoréenManchon courtØ48"/>
    <n v="48"/>
    <n v="6"/>
    <s v="F20480"/>
    <m/>
    <m/>
    <n v="0"/>
    <m/>
    <m/>
    <m/>
    <m/>
    <m/>
    <m/>
    <n v="0"/>
    <m/>
    <m/>
    <m/>
    <m/>
    <n v="0"/>
    <n v="0"/>
    <n v="0"/>
    <n v="0"/>
    <n v="0"/>
    <n v="0"/>
    <n v="0"/>
  </r>
  <r>
    <x v="9"/>
    <x v="146"/>
    <s v="Ø60"/>
    <s v="Inox Serti CoréenManchon courtØ60"/>
    <n v="60"/>
    <n v="7"/>
    <s v="F20600"/>
    <m/>
    <m/>
    <n v="0"/>
    <m/>
    <m/>
    <m/>
    <m/>
    <m/>
    <m/>
    <n v="0"/>
    <m/>
    <m/>
    <m/>
    <m/>
    <n v="0"/>
    <n v="0"/>
    <n v="0"/>
    <n v="0"/>
    <n v="0"/>
    <n v="0"/>
    <n v="0"/>
  </r>
  <r>
    <x v="9"/>
    <x v="146"/>
    <s v="Ø80"/>
    <s v="Inox Serti CoréenManchon courtØ80"/>
    <n v="80"/>
    <n v="8"/>
    <s v="F20800"/>
    <m/>
    <m/>
    <n v="0"/>
    <m/>
    <m/>
    <m/>
    <m/>
    <m/>
    <m/>
    <n v="0"/>
    <m/>
    <m/>
    <m/>
    <m/>
    <n v="0"/>
    <n v="0"/>
    <n v="0"/>
    <n v="0"/>
    <n v="0"/>
    <n v="0"/>
    <n v="0"/>
  </r>
  <r>
    <x v="9"/>
    <x v="147"/>
    <m/>
    <s v="Inox Serti CoréenMANCHON LONG "/>
    <m/>
    <n v="0"/>
    <m/>
    <m/>
    <m/>
    <n v="0"/>
    <m/>
    <m/>
    <m/>
    <m/>
    <m/>
    <m/>
    <n v="0"/>
    <m/>
    <m/>
    <m/>
    <m/>
    <n v="0"/>
    <n v="0"/>
    <n v="0"/>
    <n v="0"/>
    <n v="0"/>
    <n v="0"/>
    <n v="0"/>
  </r>
  <r>
    <x v="9"/>
    <x v="147"/>
    <s v="Ø80"/>
    <s v="Inox Serti CoréenManchon long Ø80"/>
    <s v="BRIDE DN80"/>
    <n v="1"/>
    <s v="EQF800"/>
    <m/>
    <m/>
    <n v="0"/>
    <m/>
    <m/>
    <m/>
    <m/>
    <m/>
    <m/>
    <n v="0"/>
    <m/>
    <m/>
    <m/>
    <m/>
    <n v="0"/>
    <n v="0"/>
    <n v="0"/>
    <n v="0"/>
    <n v="0"/>
    <n v="0"/>
    <n v="0"/>
  </r>
  <r>
    <x v="9"/>
    <x v="147"/>
    <s v="Ø16"/>
    <s v="Inox Serti CoréenManchon long Ø16"/>
    <n v="16"/>
    <n v="2"/>
    <s v="F21160"/>
    <m/>
    <m/>
    <n v="0"/>
    <m/>
    <m/>
    <m/>
    <m/>
    <m/>
    <m/>
    <n v="0"/>
    <m/>
    <m/>
    <m/>
    <m/>
    <n v="0"/>
    <n v="0"/>
    <n v="0"/>
    <n v="0"/>
    <n v="0"/>
    <n v="0"/>
    <n v="0"/>
  </r>
  <r>
    <x v="9"/>
    <x v="147"/>
    <s v="Ø22"/>
    <s v="Inox Serti CoréenManchon long Ø22"/>
    <n v="22"/>
    <n v="3"/>
    <s v="F21220"/>
    <m/>
    <m/>
    <n v="0"/>
    <m/>
    <m/>
    <m/>
    <m/>
    <m/>
    <m/>
    <n v="0"/>
    <m/>
    <m/>
    <m/>
    <m/>
    <n v="0"/>
    <n v="0"/>
    <n v="0"/>
    <n v="0"/>
    <n v="0"/>
    <n v="0"/>
    <n v="0"/>
  </r>
  <r>
    <x v="9"/>
    <x v="147"/>
    <s v="Ø28"/>
    <s v="Inox Serti CoréenManchon long Ø28"/>
    <n v="28"/>
    <n v="4"/>
    <s v="F21280"/>
    <m/>
    <m/>
    <n v="0"/>
    <m/>
    <m/>
    <m/>
    <m/>
    <m/>
    <m/>
    <n v="0"/>
    <m/>
    <m/>
    <m/>
    <m/>
    <n v="0"/>
    <n v="0"/>
    <n v="0"/>
    <n v="0"/>
    <n v="0"/>
    <n v="0"/>
    <n v="0"/>
  </r>
  <r>
    <x v="9"/>
    <x v="147"/>
    <s v="Ø34"/>
    <s v="Inox Serti CoréenManchon long Ø34"/>
    <n v="34"/>
    <n v="5"/>
    <s v="F21340"/>
    <m/>
    <m/>
    <n v="0"/>
    <m/>
    <m/>
    <m/>
    <m/>
    <m/>
    <m/>
    <n v="0"/>
    <m/>
    <m/>
    <m/>
    <m/>
    <n v="0"/>
    <n v="0"/>
    <n v="0"/>
    <n v="0"/>
    <n v="0"/>
    <n v="0"/>
    <n v="0"/>
  </r>
  <r>
    <x v="9"/>
    <x v="147"/>
    <s v="Ø42"/>
    <s v="Inox Serti CoréenManchon long Ø42"/>
    <n v="42"/>
    <n v="6"/>
    <s v="F21420"/>
    <m/>
    <m/>
    <n v="0"/>
    <m/>
    <m/>
    <m/>
    <m/>
    <m/>
    <m/>
    <n v="0"/>
    <m/>
    <m/>
    <m/>
    <m/>
    <n v="0"/>
    <n v="0"/>
    <n v="0"/>
    <n v="0"/>
    <n v="0"/>
    <n v="0"/>
    <n v="0"/>
  </r>
  <r>
    <x v="9"/>
    <x v="147"/>
    <s v="Ø48"/>
    <s v="Inox Serti CoréenManchon long Ø48"/>
    <n v="48"/>
    <n v="7"/>
    <s v="F21480"/>
    <m/>
    <m/>
    <n v="0"/>
    <m/>
    <m/>
    <m/>
    <m/>
    <m/>
    <m/>
    <n v="0"/>
    <m/>
    <m/>
    <m/>
    <m/>
    <n v="0"/>
    <n v="0"/>
    <n v="0"/>
    <n v="0"/>
    <n v="0"/>
    <n v="0"/>
    <n v="0"/>
  </r>
  <r>
    <x v="9"/>
    <x v="147"/>
    <s v="Ø60"/>
    <s v="Inox Serti CoréenManchon long Ø60"/>
    <n v="60"/>
    <n v="8"/>
    <s v="F21600"/>
    <m/>
    <m/>
    <n v="0"/>
    <m/>
    <m/>
    <m/>
    <m/>
    <m/>
    <m/>
    <n v="0"/>
    <m/>
    <m/>
    <m/>
    <m/>
    <n v="0"/>
    <n v="0"/>
    <n v="0"/>
    <n v="0"/>
    <n v="0"/>
    <n v="0"/>
    <n v="0"/>
  </r>
  <r>
    <x v="9"/>
    <x v="148"/>
    <m/>
    <s v="Inox Serti CoréenManchon réduit FF"/>
    <m/>
    <n v="0"/>
    <m/>
    <m/>
    <m/>
    <n v="0"/>
    <m/>
    <m/>
    <m/>
    <m/>
    <m/>
    <m/>
    <n v="0"/>
    <m/>
    <m/>
    <m/>
    <m/>
    <n v="0"/>
    <n v="0"/>
    <n v="0"/>
    <n v="0"/>
    <n v="0"/>
    <n v="0"/>
    <n v="0"/>
  </r>
  <r>
    <x v="9"/>
    <x v="148"/>
    <s v="Ø22"/>
    <s v="Inox Serti CoréenManchon réduit FFØ22"/>
    <s v="22 16"/>
    <n v="1"/>
    <s v="F25221"/>
    <m/>
    <m/>
    <n v="0"/>
    <m/>
    <m/>
    <m/>
    <m/>
    <m/>
    <m/>
    <n v="0"/>
    <m/>
    <m/>
    <m/>
    <m/>
    <n v="0"/>
    <n v="0"/>
    <n v="0"/>
    <n v="0"/>
    <n v="0"/>
    <n v="0"/>
    <n v="0"/>
  </r>
  <r>
    <x v="9"/>
    <x v="148"/>
    <s v="Ø28"/>
    <s v="Inox Serti CoréenManchon réduit FFØ28"/>
    <s v="28 16"/>
    <n v="2"/>
    <s v="F25281"/>
    <m/>
    <m/>
    <n v="0"/>
    <m/>
    <m/>
    <m/>
    <m/>
    <m/>
    <m/>
    <n v="0"/>
    <m/>
    <m/>
    <m/>
    <m/>
    <n v="0"/>
    <n v="0"/>
    <n v="0"/>
    <n v="0"/>
    <n v="0"/>
    <n v="0"/>
    <n v="0"/>
  </r>
  <r>
    <x v="9"/>
    <x v="148"/>
    <s v="Ø28"/>
    <s v="Inox Serti CoréenManchon réduit FFØ28"/>
    <s v="28 22"/>
    <n v="3"/>
    <s v="F25282"/>
    <m/>
    <m/>
    <n v="0"/>
    <m/>
    <m/>
    <m/>
    <m/>
    <m/>
    <m/>
    <n v="0"/>
    <m/>
    <m/>
    <m/>
    <m/>
    <n v="0"/>
    <n v="0"/>
    <n v="0"/>
    <n v="0"/>
    <n v="0"/>
    <n v="0"/>
    <n v="0"/>
  </r>
  <r>
    <x v="9"/>
    <x v="148"/>
    <s v="Ø34"/>
    <s v="Inox Serti CoréenManchon réduit FFØ34"/>
    <s v="34 16"/>
    <n v="4"/>
    <s v="F25341"/>
    <m/>
    <m/>
    <n v="0"/>
    <m/>
    <m/>
    <m/>
    <m/>
    <m/>
    <m/>
    <n v="0"/>
    <m/>
    <m/>
    <m/>
    <m/>
    <n v="0"/>
    <n v="0"/>
    <n v="0"/>
    <n v="0"/>
    <n v="0"/>
    <n v="0"/>
    <n v="0"/>
  </r>
  <r>
    <x v="9"/>
    <x v="148"/>
    <s v="Ø34"/>
    <s v="Inox Serti CoréenManchon réduit FFØ34"/>
    <s v="34 22 "/>
    <n v="5"/>
    <s v="F25342"/>
    <m/>
    <m/>
    <n v="0"/>
    <m/>
    <m/>
    <m/>
    <m/>
    <m/>
    <m/>
    <n v="0"/>
    <m/>
    <m/>
    <m/>
    <m/>
    <n v="0"/>
    <n v="0"/>
    <n v="0"/>
    <n v="0"/>
    <n v="0"/>
    <n v="0"/>
    <n v="0"/>
  </r>
  <r>
    <x v="9"/>
    <x v="148"/>
    <s v="Ø34"/>
    <s v="Inox Serti CoréenManchon réduit FFØ34"/>
    <s v="34 28"/>
    <n v="6"/>
    <s v="F25348"/>
    <m/>
    <m/>
    <n v="0"/>
    <m/>
    <m/>
    <m/>
    <m/>
    <m/>
    <m/>
    <n v="0"/>
    <m/>
    <m/>
    <m/>
    <m/>
    <n v="0"/>
    <n v="0"/>
    <n v="0"/>
    <n v="0"/>
    <n v="0"/>
    <n v="0"/>
    <n v="0"/>
  </r>
  <r>
    <x v="9"/>
    <x v="148"/>
    <s v="Ø42"/>
    <s v="Inox Serti CoréenManchon réduit FFØ42"/>
    <s v="42 16"/>
    <n v="7"/>
    <s v="F25421"/>
    <m/>
    <m/>
    <n v="0"/>
    <m/>
    <m/>
    <m/>
    <m/>
    <m/>
    <m/>
    <n v="0"/>
    <m/>
    <m/>
    <m/>
    <m/>
    <n v="0"/>
    <n v="0"/>
    <n v="0"/>
    <n v="0"/>
    <n v="0"/>
    <n v="0"/>
    <n v="0"/>
  </r>
  <r>
    <x v="9"/>
    <x v="148"/>
    <s v="Ø42"/>
    <s v="Inox Serti CoréenManchon réduit FFØ42"/>
    <s v="42 22"/>
    <n v="8"/>
    <s v="F25422"/>
    <m/>
    <m/>
    <n v="0"/>
    <m/>
    <m/>
    <m/>
    <m/>
    <m/>
    <m/>
    <n v="0"/>
    <m/>
    <m/>
    <m/>
    <m/>
    <n v="0"/>
    <n v="0"/>
    <n v="0"/>
    <n v="0"/>
    <n v="0"/>
    <n v="0"/>
    <n v="0"/>
  </r>
  <r>
    <x v="9"/>
    <x v="148"/>
    <s v="Ø42"/>
    <s v="Inox Serti CoréenManchon réduit FFØ42"/>
    <s v="42 34 "/>
    <n v="9"/>
    <s v="F25423"/>
    <m/>
    <m/>
    <n v="0"/>
    <m/>
    <m/>
    <m/>
    <m/>
    <m/>
    <m/>
    <n v="0"/>
    <m/>
    <m/>
    <m/>
    <m/>
    <n v="0"/>
    <n v="0"/>
    <n v="0"/>
    <n v="0"/>
    <n v="0"/>
    <n v="0"/>
    <n v="0"/>
  </r>
  <r>
    <x v="9"/>
    <x v="148"/>
    <s v="Ø42"/>
    <s v="Inox Serti CoréenManchon réduit FFØ42"/>
    <s v="42 28"/>
    <n v="10"/>
    <s v="F25428"/>
    <m/>
    <m/>
    <n v="0"/>
    <m/>
    <m/>
    <m/>
    <m/>
    <m/>
    <m/>
    <n v="0"/>
    <m/>
    <m/>
    <m/>
    <m/>
    <n v="0"/>
    <n v="0"/>
    <n v="0"/>
    <n v="0"/>
    <n v="0"/>
    <n v="0"/>
    <n v="0"/>
  </r>
  <r>
    <x v="9"/>
    <x v="148"/>
    <s v="Ø48"/>
    <s v="Inox Serti CoréenManchon réduit FFØ48"/>
    <s v="48 16"/>
    <n v="11"/>
    <s v="F25481"/>
    <m/>
    <m/>
    <n v="0"/>
    <m/>
    <m/>
    <m/>
    <m/>
    <m/>
    <m/>
    <n v="0"/>
    <m/>
    <m/>
    <m/>
    <m/>
    <n v="0"/>
    <n v="0"/>
    <n v="0"/>
    <n v="0"/>
    <n v="0"/>
    <n v="0"/>
    <n v="0"/>
  </r>
  <r>
    <x v="9"/>
    <x v="148"/>
    <s v="Ø48"/>
    <s v="Inox Serti CoréenManchon réduit FFØ48"/>
    <s v="48 22 "/>
    <n v="12"/>
    <s v="F25482"/>
    <m/>
    <m/>
    <n v="0"/>
    <m/>
    <m/>
    <m/>
    <m/>
    <m/>
    <m/>
    <n v="0"/>
    <m/>
    <m/>
    <m/>
    <m/>
    <n v="0"/>
    <n v="0"/>
    <n v="0"/>
    <n v="0"/>
    <n v="0"/>
    <n v="0"/>
    <n v="0"/>
  </r>
  <r>
    <x v="9"/>
    <x v="148"/>
    <s v="Ø48"/>
    <s v="Inox Serti CoréenManchon réduit FFØ48"/>
    <s v="48 34"/>
    <n v="13"/>
    <s v="F25483"/>
    <m/>
    <m/>
    <n v="0"/>
    <m/>
    <m/>
    <m/>
    <m/>
    <m/>
    <m/>
    <n v="0"/>
    <m/>
    <m/>
    <m/>
    <m/>
    <n v="0"/>
    <n v="0"/>
    <n v="0"/>
    <n v="0"/>
    <n v="0"/>
    <n v="0"/>
    <n v="0"/>
  </r>
  <r>
    <x v="9"/>
    <x v="148"/>
    <s v="Ø48"/>
    <s v="Inox Serti CoréenManchon réduit FFØ48"/>
    <s v="48 42"/>
    <n v="14"/>
    <s v="F25484"/>
    <m/>
    <m/>
    <n v="0"/>
    <m/>
    <m/>
    <m/>
    <m/>
    <m/>
    <m/>
    <n v="0"/>
    <m/>
    <m/>
    <m/>
    <m/>
    <n v="0"/>
    <n v="0"/>
    <n v="0"/>
    <n v="0"/>
    <n v="0"/>
    <n v="0"/>
    <n v="0"/>
  </r>
  <r>
    <x v="9"/>
    <x v="148"/>
    <s v="Ø48"/>
    <s v="Inox Serti CoréenManchon réduit FFØ48"/>
    <s v="48 28"/>
    <n v="15"/>
    <s v="F25488"/>
    <m/>
    <m/>
    <n v="0"/>
    <m/>
    <m/>
    <m/>
    <m/>
    <m/>
    <m/>
    <n v="0"/>
    <m/>
    <m/>
    <m/>
    <m/>
    <n v="0"/>
    <n v="0"/>
    <n v="0"/>
    <n v="0"/>
    <n v="0"/>
    <n v="0"/>
    <n v="0"/>
  </r>
  <r>
    <x v="9"/>
    <x v="148"/>
    <s v="Ø62"/>
    <s v="Inox Serti CoréenManchon réduit FFØ62"/>
    <s v="60 22"/>
    <n v="16"/>
    <s v="F25622"/>
    <m/>
    <m/>
    <n v="0"/>
    <m/>
    <m/>
    <m/>
    <m/>
    <m/>
    <m/>
    <n v="0"/>
    <m/>
    <m/>
    <m/>
    <m/>
    <n v="0"/>
    <n v="0"/>
    <n v="0"/>
    <n v="0"/>
    <n v="0"/>
    <n v="0"/>
    <n v="0"/>
  </r>
  <r>
    <x v="9"/>
    <x v="148"/>
    <s v="Ø62"/>
    <s v="Inox Serti CoréenManchon réduit FFØ62"/>
    <s v="60 28"/>
    <n v="17"/>
    <s v="F25628"/>
    <m/>
    <m/>
    <n v="0"/>
    <m/>
    <m/>
    <m/>
    <m/>
    <m/>
    <m/>
    <n v="0"/>
    <m/>
    <m/>
    <m/>
    <m/>
    <n v="0"/>
    <n v="0"/>
    <n v="0"/>
    <n v="0"/>
    <n v="0"/>
    <n v="0"/>
    <n v="0"/>
  </r>
  <r>
    <x v="9"/>
    <x v="148"/>
    <s v="Ø63"/>
    <s v="Inox Serti CoréenManchon réduit FFØ63"/>
    <s v="60 34"/>
    <n v="18"/>
    <s v="F25634"/>
    <m/>
    <m/>
    <n v="0"/>
    <m/>
    <m/>
    <m/>
    <m/>
    <m/>
    <m/>
    <n v="0"/>
    <m/>
    <m/>
    <m/>
    <m/>
    <n v="0"/>
    <n v="0"/>
    <n v="0"/>
    <n v="0"/>
    <n v="0"/>
    <n v="0"/>
    <n v="0"/>
  </r>
  <r>
    <x v="9"/>
    <x v="148"/>
    <s v="Ø64"/>
    <s v="Inox Serti CoréenManchon réduit FFØ64"/>
    <s v="60 42"/>
    <n v="19"/>
    <s v="F25642"/>
    <m/>
    <m/>
    <n v="0"/>
    <m/>
    <m/>
    <m/>
    <m/>
    <m/>
    <m/>
    <n v="0"/>
    <m/>
    <m/>
    <m/>
    <m/>
    <n v="0"/>
    <n v="0"/>
    <n v="0"/>
    <n v="0"/>
    <n v="0"/>
    <n v="0"/>
    <n v="0"/>
  </r>
  <r>
    <x v="9"/>
    <x v="148"/>
    <s v="Ø64"/>
    <s v="Inox Serti CoréenManchon réduit FFØ64"/>
    <s v="60 48"/>
    <n v="20"/>
    <s v="F25648"/>
    <m/>
    <m/>
    <n v="0"/>
    <m/>
    <m/>
    <m/>
    <m/>
    <m/>
    <m/>
    <n v="0"/>
    <m/>
    <m/>
    <m/>
    <m/>
    <n v="0"/>
    <n v="0"/>
    <n v="0"/>
    <n v="0"/>
    <n v="0"/>
    <n v="0"/>
    <n v="0"/>
  </r>
  <r>
    <x v="9"/>
    <x v="148"/>
    <s v="Ø84"/>
    <s v="Inox Serti CoréenManchon réduit FFØ84"/>
    <s v="80 42"/>
    <n v="21"/>
    <s v="F25842"/>
    <m/>
    <m/>
    <n v="0"/>
    <m/>
    <m/>
    <m/>
    <m/>
    <m/>
    <m/>
    <n v="0"/>
    <m/>
    <m/>
    <m/>
    <m/>
    <n v="0"/>
    <n v="0"/>
    <n v="0"/>
    <n v="0"/>
    <n v="0"/>
    <n v="0"/>
    <n v="0"/>
  </r>
  <r>
    <x v="9"/>
    <x v="148"/>
    <s v="Ø84"/>
    <s v="Inox Serti CoréenManchon réduit FFØ84"/>
    <s v="80 48"/>
    <n v="22"/>
    <s v="F25848"/>
    <m/>
    <m/>
    <n v="0"/>
    <m/>
    <m/>
    <m/>
    <m/>
    <m/>
    <m/>
    <n v="0"/>
    <m/>
    <m/>
    <m/>
    <m/>
    <n v="0"/>
    <n v="0"/>
    <n v="0"/>
    <n v="0"/>
    <n v="0"/>
    <n v="0"/>
    <n v="0"/>
  </r>
  <r>
    <x v="9"/>
    <x v="148"/>
    <s v="Ø86"/>
    <s v="Inox Serti CoréenManchon réduit FFØ86"/>
    <s v="80 60"/>
    <n v="23"/>
    <s v="F25860"/>
    <m/>
    <m/>
    <n v="0"/>
    <m/>
    <m/>
    <m/>
    <m/>
    <m/>
    <m/>
    <n v="0"/>
    <m/>
    <m/>
    <m/>
    <m/>
    <n v="0"/>
    <n v="0"/>
    <n v="0"/>
    <n v="0"/>
    <n v="0"/>
    <n v="0"/>
    <n v="0"/>
  </r>
  <r>
    <x v="9"/>
    <x v="149"/>
    <m/>
    <s v="Inox Serti CoréenManchons à sertir F mixtes F"/>
    <m/>
    <n v="0"/>
    <m/>
    <m/>
    <m/>
    <n v="0"/>
    <m/>
    <m/>
    <m/>
    <m/>
    <m/>
    <m/>
    <n v="0"/>
    <m/>
    <m/>
    <m/>
    <m/>
    <n v="0"/>
    <n v="0"/>
    <n v="0"/>
    <n v="0"/>
    <n v="0"/>
    <n v="0"/>
    <n v="0"/>
  </r>
  <r>
    <x v="9"/>
    <x v="149"/>
    <s v="Ø16"/>
    <s v="Inox Serti CoréenManchons à sertir F mixtes FØ16"/>
    <n v="16.5"/>
    <n v="1"/>
    <s v="F22160"/>
    <m/>
    <m/>
    <n v="0"/>
    <m/>
    <m/>
    <m/>
    <m/>
    <m/>
    <m/>
    <n v="0"/>
    <m/>
    <m/>
    <m/>
    <m/>
    <n v="0"/>
    <n v="0"/>
    <n v="0"/>
    <n v="0"/>
    <n v="0"/>
    <n v="0"/>
    <n v="0"/>
  </r>
  <r>
    <x v="9"/>
    <x v="149"/>
    <s v="Ø22"/>
    <s v="Inox Serti CoréenManchons à sertir F mixtes FØ22"/>
    <n v="22.5"/>
    <n v="2"/>
    <s v="F22221"/>
    <m/>
    <m/>
    <n v="0"/>
    <m/>
    <m/>
    <m/>
    <m/>
    <m/>
    <m/>
    <n v="0"/>
    <m/>
    <m/>
    <m/>
    <m/>
    <n v="0"/>
    <n v="0"/>
    <n v="0"/>
    <n v="0"/>
    <n v="0"/>
    <n v="0"/>
    <n v="0"/>
  </r>
  <r>
    <x v="9"/>
    <x v="149"/>
    <s v="Ø22"/>
    <s v="Inox Serti CoréenManchons à sertir F mixtes FØ22"/>
    <n v="22.75"/>
    <n v="3"/>
    <s v="F22223"/>
    <m/>
    <m/>
    <n v="0"/>
    <m/>
    <m/>
    <m/>
    <m/>
    <m/>
    <m/>
    <n v="0"/>
    <m/>
    <m/>
    <m/>
    <m/>
    <n v="0"/>
    <n v="0"/>
    <n v="0"/>
    <n v="0"/>
    <n v="0"/>
    <n v="0"/>
    <n v="0"/>
  </r>
  <r>
    <x v="9"/>
    <x v="149"/>
    <s v="Ø28"/>
    <s v="Inox Serti CoréenManchons à sertir F mixtes FØ28"/>
    <n v="28.5"/>
    <n v="4"/>
    <s v="F22280"/>
    <m/>
    <m/>
    <n v="0"/>
    <m/>
    <m/>
    <m/>
    <m/>
    <m/>
    <m/>
    <n v="0"/>
    <m/>
    <m/>
    <m/>
    <m/>
    <n v="0"/>
    <n v="0"/>
    <n v="0"/>
    <n v="0"/>
    <n v="0"/>
    <n v="0"/>
    <n v="0"/>
  </r>
  <r>
    <x v="9"/>
    <x v="149"/>
    <s v="Ø28"/>
    <s v="Inox Serti CoréenManchons à sertir F mixtes FØ28"/>
    <s v="28 1&quot;"/>
    <n v="5"/>
    <s v="F22281"/>
    <m/>
    <m/>
    <n v="0"/>
    <m/>
    <m/>
    <m/>
    <m/>
    <m/>
    <m/>
    <n v="0"/>
    <m/>
    <m/>
    <m/>
    <m/>
    <n v="0"/>
    <n v="0"/>
    <n v="0"/>
    <n v="0"/>
    <n v="0"/>
    <n v="0"/>
    <n v="0"/>
  </r>
  <r>
    <x v="9"/>
    <x v="149"/>
    <s v="Ø28"/>
    <s v="Inox Serti CoréenManchons à sertir F mixtes FØ28"/>
    <n v="28.75"/>
    <n v="6"/>
    <s v="F22283"/>
    <m/>
    <m/>
    <n v="0"/>
    <m/>
    <m/>
    <m/>
    <m/>
    <m/>
    <m/>
    <n v="0"/>
    <m/>
    <m/>
    <m/>
    <m/>
    <n v="0"/>
    <n v="0"/>
    <n v="0"/>
    <n v="0"/>
    <n v="0"/>
    <n v="0"/>
    <n v="0"/>
  </r>
  <r>
    <x v="9"/>
    <x v="149"/>
    <s v="Ø34"/>
    <s v="Inox Serti CoréenManchons à sertir F mixtes FØ34"/>
    <s v="34 1&quot;1/4"/>
    <n v="7"/>
    <s v="F23340"/>
    <m/>
    <m/>
    <n v="0"/>
    <m/>
    <m/>
    <m/>
    <m/>
    <m/>
    <m/>
    <n v="0"/>
    <m/>
    <m/>
    <m/>
    <m/>
    <n v="0"/>
    <n v="0"/>
    <n v="0"/>
    <n v="0"/>
    <n v="0"/>
    <n v="0"/>
    <n v="0"/>
  </r>
  <r>
    <x v="9"/>
    <x v="149"/>
    <s v="Ø42"/>
    <s v="Inox Serti CoréenManchons à sertir F mixtes FØ42"/>
    <s v="42 1&quot;1/2"/>
    <n v="8"/>
    <s v="F23420"/>
    <m/>
    <m/>
    <n v="0"/>
    <m/>
    <m/>
    <m/>
    <m/>
    <m/>
    <m/>
    <n v="0"/>
    <m/>
    <m/>
    <m/>
    <m/>
    <n v="0"/>
    <n v="0"/>
    <n v="0"/>
    <n v="0"/>
    <n v="0"/>
    <n v="0"/>
    <n v="0"/>
  </r>
  <r>
    <x v="9"/>
    <x v="149"/>
    <s v="Ø48"/>
    <s v="Inox Serti CoréenManchons à sertir F mixtes FØ48"/>
    <s v="48  2&quot;"/>
    <n v="9"/>
    <s v="F23480"/>
    <m/>
    <m/>
    <n v="0"/>
    <m/>
    <m/>
    <m/>
    <m/>
    <m/>
    <m/>
    <n v="0"/>
    <m/>
    <m/>
    <m/>
    <m/>
    <n v="0"/>
    <n v="0"/>
    <n v="0"/>
    <n v="0"/>
    <n v="0"/>
    <n v="0"/>
    <n v="0"/>
  </r>
  <r>
    <x v="9"/>
    <x v="149"/>
    <s v="Ø60"/>
    <s v="Inox Serti CoréenManchons à sertir F mixtes FØ60"/>
    <s v="60 2&quot;1/2"/>
    <n v="10"/>
    <s v="F23600"/>
    <m/>
    <m/>
    <n v="0"/>
    <m/>
    <m/>
    <m/>
    <m/>
    <m/>
    <m/>
    <n v="0"/>
    <m/>
    <m/>
    <m/>
    <m/>
    <n v="0"/>
    <n v="0"/>
    <n v="0"/>
    <n v="0"/>
    <n v="0"/>
    <n v="0"/>
    <n v="0"/>
  </r>
  <r>
    <x v="9"/>
    <x v="149"/>
    <s v="Ø60"/>
    <s v="Inox Serti CoréenManchons à sertir F mixtes FØ60"/>
    <s v="60 -2&quot;"/>
    <n v="11"/>
    <s v="F23601"/>
    <m/>
    <m/>
    <n v="0"/>
    <m/>
    <m/>
    <m/>
    <m/>
    <m/>
    <m/>
    <n v="0"/>
    <m/>
    <m/>
    <m/>
    <m/>
    <n v="0"/>
    <n v="0"/>
    <n v="0"/>
    <n v="0"/>
    <n v="0"/>
    <n v="0"/>
    <n v="0"/>
  </r>
  <r>
    <x v="9"/>
    <x v="150"/>
    <m/>
    <s v="Inox Serti CoréenManchons à sertir F mixtes M "/>
    <m/>
    <n v="0"/>
    <m/>
    <m/>
    <m/>
    <n v="0"/>
    <m/>
    <m/>
    <m/>
    <m/>
    <m/>
    <m/>
    <n v="0"/>
    <m/>
    <m/>
    <m/>
    <m/>
    <n v="0"/>
    <n v="0"/>
    <n v="0"/>
    <n v="0"/>
    <n v="0"/>
    <n v="0"/>
    <n v="0"/>
  </r>
  <r>
    <x v="9"/>
    <x v="150"/>
    <s v="Ø16"/>
    <s v="Inox Serti CoréenManchons à sertir F mixtes M Ø16"/>
    <n v="16.5"/>
    <n v="1"/>
    <s v="F24160"/>
    <m/>
    <m/>
    <n v="0"/>
    <m/>
    <m/>
    <m/>
    <m/>
    <m/>
    <m/>
    <n v="0"/>
    <m/>
    <m/>
    <m/>
    <m/>
    <n v="0"/>
    <n v="0"/>
    <n v="0"/>
    <n v="0"/>
    <n v="0"/>
    <n v="0"/>
    <n v="0"/>
  </r>
  <r>
    <x v="9"/>
    <x v="150"/>
    <s v="Ø22"/>
    <s v="Inox Serti CoréenManchons à sertir F mixtes M Ø22"/>
    <n v="22.75"/>
    <n v="2"/>
    <s v="F24220"/>
    <m/>
    <m/>
    <n v="0"/>
    <m/>
    <m/>
    <m/>
    <m/>
    <m/>
    <m/>
    <n v="0"/>
    <m/>
    <m/>
    <m/>
    <m/>
    <n v="0"/>
    <n v="0"/>
    <n v="0"/>
    <n v="0"/>
    <n v="0"/>
    <n v="0"/>
    <n v="0"/>
  </r>
  <r>
    <x v="9"/>
    <x v="150"/>
    <s v="Ø28"/>
    <s v="Inox Serti CoréenManchons à sertir F mixtes M Ø28"/>
    <s v="28 1&quot;"/>
    <n v="3"/>
    <s v="F24280"/>
    <m/>
    <m/>
    <n v="0"/>
    <m/>
    <m/>
    <m/>
    <m/>
    <m/>
    <m/>
    <n v="0"/>
    <m/>
    <m/>
    <m/>
    <m/>
    <n v="0"/>
    <n v="0"/>
    <n v="0"/>
    <n v="0"/>
    <n v="0"/>
    <n v="0"/>
    <n v="0"/>
  </r>
  <r>
    <x v="9"/>
    <x v="150"/>
    <s v="Ø34"/>
    <s v="Inox Serti CoréenManchons à sertir F mixtes M Ø34"/>
    <s v="34 1&quot;1/4"/>
    <n v="4"/>
    <s v="F24340"/>
    <m/>
    <m/>
    <n v="0"/>
    <m/>
    <m/>
    <m/>
    <m/>
    <m/>
    <m/>
    <n v="0"/>
    <m/>
    <m/>
    <m/>
    <m/>
    <n v="0"/>
    <n v="0"/>
    <n v="0"/>
    <n v="0"/>
    <n v="0"/>
    <n v="0"/>
    <n v="0"/>
  </r>
  <r>
    <x v="9"/>
    <x v="150"/>
    <s v="Ø42"/>
    <s v="Inox Serti CoréenManchons à sertir F mixtes M Ø42"/>
    <s v="42 1&quot;1/2"/>
    <n v="5"/>
    <s v="F24420"/>
    <m/>
    <m/>
    <n v="0"/>
    <m/>
    <m/>
    <m/>
    <m/>
    <m/>
    <m/>
    <n v="0"/>
    <m/>
    <m/>
    <m/>
    <m/>
    <n v="0"/>
    <n v="0"/>
    <n v="0"/>
    <n v="0"/>
    <n v="0"/>
    <n v="0"/>
    <n v="0"/>
  </r>
  <r>
    <x v="9"/>
    <x v="150"/>
    <s v="Ø48"/>
    <s v="Inox Serti CoréenManchons à sertir F mixtes M Ø48"/>
    <s v="48  2&quot;"/>
    <n v="6"/>
    <s v="F24480"/>
    <m/>
    <m/>
    <n v="0"/>
    <m/>
    <m/>
    <m/>
    <m/>
    <m/>
    <m/>
    <n v="0"/>
    <m/>
    <m/>
    <m/>
    <m/>
    <n v="0"/>
    <n v="0"/>
    <n v="0"/>
    <n v="0"/>
    <n v="0"/>
    <n v="0"/>
    <n v="0"/>
  </r>
  <r>
    <x v="9"/>
    <x v="150"/>
    <s v="Ø60"/>
    <s v="Inox Serti CoréenManchons à sertir F mixtes M Ø60"/>
    <s v="60 2&quot;1/2"/>
    <n v="7"/>
    <s v="F24600"/>
    <m/>
    <m/>
    <n v="0"/>
    <m/>
    <m/>
    <m/>
    <m/>
    <m/>
    <m/>
    <n v="0"/>
    <m/>
    <m/>
    <m/>
    <m/>
    <n v="0"/>
    <n v="0"/>
    <n v="0"/>
    <n v="0"/>
    <n v="0"/>
    <n v="0"/>
    <n v="0"/>
  </r>
  <r>
    <x v="9"/>
    <x v="150"/>
    <s v="Ø60"/>
    <s v="Inox Serti CoréenManchons à sertir F mixtes M Ø60"/>
    <s v="60-2&quot;"/>
    <n v="8"/>
    <s v="F24601"/>
    <m/>
    <m/>
    <n v="0"/>
    <m/>
    <m/>
    <m/>
    <m/>
    <m/>
    <m/>
    <n v="0"/>
    <m/>
    <m/>
    <m/>
    <m/>
    <n v="0"/>
    <n v="0"/>
    <n v="0"/>
    <n v="0"/>
    <n v="0"/>
    <n v="0"/>
    <n v="0"/>
  </r>
  <r>
    <x v="9"/>
    <x v="151"/>
    <m/>
    <s v="Inox Serti CoréenTé "/>
    <m/>
    <n v="0"/>
    <m/>
    <m/>
    <m/>
    <n v="0"/>
    <m/>
    <m/>
    <m/>
    <m/>
    <m/>
    <m/>
    <n v="0"/>
    <m/>
    <m/>
    <m/>
    <m/>
    <n v="0"/>
    <n v="0"/>
    <n v="0"/>
    <n v="0"/>
    <n v="0"/>
    <n v="0"/>
    <n v="0"/>
  </r>
  <r>
    <x v="9"/>
    <x v="151"/>
    <s v="Ø16"/>
    <s v="Inox Serti CoréenTé Ø16"/>
    <n v="16"/>
    <n v="1"/>
    <s v="F15160"/>
    <m/>
    <m/>
    <n v="0"/>
    <m/>
    <m/>
    <m/>
    <m/>
    <m/>
    <m/>
    <n v="0"/>
    <m/>
    <m/>
    <m/>
    <m/>
    <n v="0"/>
    <n v="0"/>
    <n v="0"/>
    <n v="0"/>
    <n v="0"/>
    <n v="0"/>
    <n v="0"/>
  </r>
  <r>
    <x v="9"/>
    <x v="151"/>
    <s v="Ø22"/>
    <s v="Inox Serti CoréenTé Ø22"/>
    <n v="22"/>
    <n v="2"/>
    <s v="F15220"/>
    <m/>
    <m/>
    <n v="0"/>
    <m/>
    <m/>
    <m/>
    <m/>
    <m/>
    <m/>
    <n v="0"/>
    <m/>
    <m/>
    <m/>
    <m/>
    <n v="0"/>
    <n v="0"/>
    <n v="0"/>
    <n v="0"/>
    <n v="0"/>
    <n v="0"/>
    <n v="0"/>
  </r>
  <r>
    <x v="9"/>
    <x v="151"/>
    <s v="Ø28"/>
    <s v="Inox Serti CoréenTé Ø28"/>
    <n v="28"/>
    <n v="3"/>
    <s v="F15280"/>
    <m/>
    <m/>
    <n v="0"/>
    <m/>
    <m/>
    <m/>
    <m/>
    <m/>
    <m/>
    <n v="0"/>
    <m/>
    <m/>
    <m/>
    <m/>
    <n v="0"/>
    <n v="0"/>
    <n v="0"/>
    <n v="0"/>
    <n v="0"/>
    <n v="0"/>
    <n v="0"/>
  </r>
  <r>
    <x v="9"/>
    <x v="151"/>
    <s v="Ø34"/>
    <s v="Inox Serti CoréenTé Ø34"/>
    <n v="34"/>
    <n v="4"/>
    <s v="F15340"/>
    <m/>
    <m/>
    <n v="0"/>
    <m/>
    <m/>
    <m/>
    <m/>
    <m/>
    <m/>
    <n v="0"/>
    <m/>
    <m/>
    <m/>
    <m/>
    <n v="0"/>
    <n v="0"/>
    <n v="0"/>
    <n v="0"/>
    <n v="0"/>
    <n v="0"/>
    <n v="0"/>
  </r>
  <r>
    <x v="9"/>
    <x v="151"/>
    <s v="Ø42"/>
    <s v="Inox Serti CoréenTé Ø42"/>
    <n v="42"/>
    <n v="5"/>
    <s v="F15420"/>
    <m/>
    <m/>
    <n v="0"/>
    <m/>
    <m/>
    <m/>
    <m/>
    <m/>
    <m/>
    <n v="0"/>
    <m/>
    <m/>
    <m/>
    <m/>
    <n v="0"/>
    <n v="0"/>
    <n v="0"/>
    <n v="0"/>
    <n v="0"/>
    <n v="0"/>
    <n v="0"/>
  </r>
  <r>
    <x v="9"/>
    <x v="151"/>
    <s v="Ø48"/>
    <s v="Inox Serti CoréenTé Ø48"/>
    <n v="48"/>
    <n v="6"/>
    <s v="F15480"/>
    <m/>
    <m/>
    <n v="0"/>
    <m/>
    <m/>
    <m/>
    <m/>
    <m/>
    <m/>
    <n v="0"/>
    <m/>
    <m/>
    <m/>
    <m/>
    <n v="0"/>
    <n v="0"/>
    <n v="0"/>
    <n v="0"/>
    <n v="0"/>
    <n v="0"/>
    <n v="0"/>
  </r>
  <r>
    <x v="9"/>
    <x v="151"/>
    <s v="Ø60"/>
    <s v="Inox Serti CoréenTé Ø60"/>
    <n v="60"/>
    <n v="7"/>
    <s v="F15600"/>
    <m/>
    <m/>
    <n v="0"/>
    <m/>
    <m/>
    <m/>
    <m/>
    <m/>
    <m/>
    <n v="0"/>
    <m/>
    <m/>
    <m/>
    <m/>
    <n v="0"/>
    <n v="0"/>
    <n v="0"/>
    <n v="0"/>
    <n v="0"/>
    <n v="0"/>
    <n v="0"/>
  </r>
  <r>
    <x v="9"/>
    <x v="151"/>
    <s v="Ø80"/>
    <s v="Inox Serti CoréenTé Ø80"/>
    <n v="80"/>
    <n v="8"/>
    <s v="F15800"/>
    <m/>
    <m/>
    <n v="0"/>
    <m/>
    <m/>
    <m/>
    <m/>
    <m/>
    <m/>
    <n v="0"/>
    <m/>
    <m/>
    <m/>
    <m/>
    <n v="0"/>
    <n v="0"/>
    <n v="0"/>
    <n v="0"/>
    <n v="0"/>
    <n v="0"/>
    <n v="0"/>
  </r>
  <r>
    <x v="9"/>
    <x v="152"/>
    <m/>
    <s v="Inox Serti CoréenTé mixte F"/>
    <m/>
    <n v="0"/>
    <m/>
    <m/>
    <m/>
    <n v="0"/>
    <m/>
    <m/>
    <m/>
    <m/>
    <m/>
    <m/>
    <n v="0"/>
    <m/>
    <m/>
    <m/>
    <m/>
    <n v="0"/>
    <n v="0"/>
    <n v="0"/>
    <n v="0"/>
    <n v="0"/>
    <n v="0"/>
    <n v="0"/>
  </r>
  <r>
    <x v="9"/>
    <x v="152"/>
    <s v="Ø16"/>
    <s v="Inox Serti CoréenTé mixte FØ16"/>
    <s v="1/2 16"/>
    <n v="1"/>
    <s v="F13160"/>
    <m/>
    <m/>
    <n v="0"/>
    <m/>
    <m/>
    <m/>
    <m/>
    <m/>
    <m/>
    <n v="0"/>
    <m/>
    <m/>
    <m/>
    <m/>
    <n v="0"/>
    <n v="0"/>
    <n v="0"/>
    <n v="0"/>
    <n v="0"/>
    <n v="0"/>
    <n v="0"/>
  </r>
  <r>
    <x v="9"/>
    <x v="152"/>
    <s v="Ø22"/>
    <s v="Inox Serti CoréenTé mixte FØ22"/>
    <s v="1/2 22"/>
    <n v="2"/>
    <s v="F13221"/>
    <m/>
    <m/>
    <n v="0"/>
    <m/>
    <m/>
    <m/>
    <m/>
    <m/>
    <m/>
    <n v="0"/>
    <m/>
    <m/>
    <m/>
    <m/>
    <n v="0"/>
    <n v="0"/>
    <n v="0"/>
    <n v="0"/>
    <n v="0"/>
    <n v="0"/>
    <n v="0"/>
  </r>
  <r>
    <x v="9"/>
    <x v="152"/>
    <s v="Ø22"/>
    <s v="Inox Serti CoréenTé mixte FØ22"/>
    <s v="3/4 22"/>
    <n v="3"/>
    <s v="F13223"/>
    <m/>
    <m/>
    <n v="0"/>
    <m/>
    <m/>
    <m/>
    <m/>
    <m/>
    <m/>
    <n v="0"/>
    <m/>
    <m/>
    <m/>
    <m/>
    <n v="0"/>
    <n v="0"/>
    <n v="0"/>
    <n v="0"/>
    <n v="0"/>
    <n v="0"/>
    <n v="0"/>
  </r>
  <r>
    <x v="9"/>
    <x v="152"/>
    <s v="Ø28"/>
    <s v="Inox Serti CoréenTé mixte FØ28"/>
    <s v="3/4 28"/>
    <n v="4"/>
    <s v="F13283"/>
    <m/>
    <m/>
    <n v="0"/>
    <m/>
    <m/>
    <m/>
    <m/>
    <m/>
    <m/>
    <n v="0"/>
    <m/>
    <m/>
    <m/>
    <m/>
    <n v="0"/>
    <n v="0"/>
    <n v="0"/>
    <n v="0"/>
    <n v="0"/>
    <n v="0"/>
    <n v="0"/>
  </r>
  <r>
    <x v="9"/>
    <x v="152"/>
    <s v="Ø28"/>
    <s v="Inox Serti CoréenTé mixte FØ28"/>
    <s v="1/2 28"/>
    <n v="5"/>
    <s v="F13281"/>
    <m/>
    <m/>
    <n v="0"/>
    <m/>
    <m/>
    <m/>
    <m/>
    <m/>
    <m/>
    <n v="0"/>
    <m/>
    <m/>
    <m/>
    <m/>
    <n v="0"/>
    <n v="0"/>
    <n v="0"/>
    <n v="0"/>
    <n v="0"/>
    <n v="0"/>
    <n v="0"/>
  </r>
  <r>
    <x v="9"/>
    <x v="152"/>
    <s v="Ø34"/>
    <s v="Inox Serti CoréenTé mixte FØ34"/>
    <s v="1&quot; 28"/>
    <n v="6"/>
    <s v="F13280"/>
    <m/>
    <m/>
    <n v="0"/>
    <m/>
    <m/>
    <m/>
    <m/>
    <m/>
    <m/>
    <n v="0"/>
    <m/>
    <m/>
    <m/>
    <m/>
    <n v="0"/>
    <n v="0"/>
    <n v="0"/>
    <n v="0"/>
    <n v="0"/>
    <n v="0"/>
    <n v="0"/>
  </r>
  <r>
    <x v="9"/>
    <x v="152"/>
    <s v="Ø34"/>
    <s v="Inox Serti CoréenTé mixte FØ34"/>
    <s v="1/2 34"/>
    <n v="7"/>
    <s v="F13341"/>
    <m/>
    <m/>
    <n v="0"/>
    <m/>
    <m/>
    <m/>
    <m/>
    <m/>
    <m/>
    <n v="0"/>
    <m/>
    <m/>
    <m/>
    <m/>
    <n v="0"/>
    <n v="0"/>
    <n v="0"/>
    <n v="0"/>
    <n v="0"/>
    <n v="0"/>
    <n v="0"/>
  </r>
  <r>
    <x v="9"/>
    <x v="152"/>
    <s v="Ø34"/>
    <s v="Inox Serti CoréenTé mixte FØ34"/>
    <s v="3/4 34"/>
    <n v="8"/>
    <s v="F13343"/>
    <m/>
    <m/>
    <n v="0"/>
    <m/>
    <m/>
    <m/>
    <m/>
    <m/>
    <m/>
    <n v="0"/>
    <m/>
    <m/>
    <m/>
    <m/>
    <n v="0"/>
    <n v="0"/>
    <n v="0"/>
    <n v="0"/>
    <n v="0"/>
    <n v="0"/>
    <n v="0"/>
  </r>
  <r>
    <x v="9"/>
    <x v="152"/>
    <s v="Ø42"/>
    <s v="Inox Serti CoréenTé mixte FØ42"/>
    <s v="1&quot; 34"/>
    <n v="9"/>
    <s v="F13340"/>
    <m/>
    <m/>
    <n v="0"/>
    <m/>
    <m/>
    <m/>
    <m/>
    <m/>
    <m/>
    <n v="0"/>
    <m/>
    <m/>
    <m/>
    <m/>
    <n v="0"/>
    <n v="0"/>
    <n v="0"/>
    <n v="0"/>
    <n v="0"/>
    <n v="0"/>
    <n v="0"/>
  </r>
  <r>
    <x v="9"/>
    <x v="152"/>
    <s v="Ø42"/>
    <s v="Inox Serti CoréenTé mixte FØ42"/>
    <s v="1/2 42"/>
    <n v="10"/>
    <s v="F13421"/>
    <m/>
    <m/>
    <n v="0"/>
    <m/>
    <m/>
    <m/>
    <m/>
    <m/>
    <m/>
    <n v="0"/>
    <m/>
    <m/>
    <m/>
    <m/>
    <n v="0"/>
    <n v="0"/>
    <n v="0"/>
    <n v="0"/>
    <n v="0"/>
    <n v="0"/>
    <n v="0"/>
  </r>
  <r>
    <x v="9"/>
    <x v="152"/>
    <s v="Ø42"/>
    <s v="Inox Serti CoréenTé mixte FØ42"/>
    <s v="3/4 42"/>
    <n v="11"/>
    <s v="F13423"/>
    <m/>
    <m/>
    <n v="0"/>
    <m/>
    <m/>
    <m/>
    <m/>
    <m/>
    <m/>
    <n v="0"/>
    <m/>
    <m/>
    <m/>
    <m/>
    <n v="0"/>
    <n v="0"/>
    <n v="0"/>
    <n v="0"/>
    <n v="0"/>
    <n v="0"/>
    <n v="0"/>
  </r>
  <r>
    <x v="9"/>
    <x v="152"/>
    <s v="Ø42"/>
    <s v="Inox Serti CoréenTé mixte FØ42"/>
    <s v="1&quot; 42"/>
    <n v="12"/>
    <s v="F13420"/>
    <m/>
    <m/>
    <n v="0"/>
    <m/>
    <m/>
    <m/>
    <m/>
    <m/>
    <m/>
    <n v="0"/>
    <m/>
    <m/>
    <m/>
    <m/>
    <n v="0"/>
    <n v="0"/>
    <n v="0"/>
    <n v="0"/>
    <n v="0"/>
    <n v="0"/>
    <n v="0"/>
  </r>
  <r>
    <x v="9"/>
    <x v="152"/>
    <s v="Ø48"/>
    <s v="Inox Serti CoréenTé mixte FØ48"/>
    <s v="1/2 48"/>
    <n v="13"/>
    <s v="F13481"/>
    <m/>
    <m/>
    <n v="0"/>
    <m/>
    <m/>
    <m/>
    <m/>
    <m/>
    <m/>
    <n v="0"/>
    <m/>
    <m/>
    <m/>
    <m/>
    <n v="0"/>
    <n v="0"/>
    <n v="0"/>
    <n v="0"/>
    <n v="0"/>
    <n v="0"/>
    <n v="0"/>
  </r>
  <r>
    <x v="9"/>
    <x v="152"/>
    <s v="Ø48"/>
    <s v="Inox Serti CoréenTé mixte FØ48"/>
    <s v="3/4 48"/>
    <n v="14"/>
    <s v="F13483"/>
    <m/>
    <m/>
    <n v="0"/>
    <m/>
    <m/>
    <m/>
    <m/>
    <m/>
    <m/>
    <n v="0"/>
    <m/>
    <m/>
    <m/>
    <m/>
    <n v="0"/>
    <n v="0"/>
    <n v="0"/>
    <n v="0"/>
    <n v="0"/>
    <n v="0"/>
    <n v="0"/>
  </r>
  <r>
    <x v="9"/>
    <x v="152"/>
    <s v="Ø48"/>
    <s v="Inox Serti CoréenTé mixte FØ48"/>
    <s v="1&quot; 48"/>
    <n v="15"/>
    <s v="F13480"/>
    <m/>
    <m/>
    <n v="0"/>
    <m/>
    <m/>
    <m/>
    <m/>
    <m/>
    <m/>
    <n v="0"/>
    <m/>
    <m/>
    <m/>
    <m/>
    <n v="0"/>
    <n v="0"/>
    <n v="0"/>
    <n v="0"/>
    <n v="0"/>
    <n v="0"/>
    <n v="0"/>
  </r>
  <r>
    <x v="9"/>
    <x v="152"/>
    <s v="Ø60"/>
    <s v="Inox Serti CoréenTé mixte FØ60"/>
    <s v="1/2 60"/>
    <n v="16"/>
    <s v="F13601"/>
    <m/>
    <m/>
    <n v="0"/>
    <m/>
    <m/>
    <m/>
    <m/>
    <m/>
    <m/>
    <n v="0"/>
    <m/>
    <m/>
    <m/>
    <m/>
    <n v="0"/>
    <n v="0"/>
    <n v="0"/>
    <n v="0"/>
    <n v="0"/>
    <n v="0"/>
    <n v="0"/>
  </r>
  <r>
    <x v="9"/>
    <x v="152"/>
    <s v="Ø60"/>
    <s v="Inox Serti CoréenTé mixte FØ60"/>
    <s v="3/4 60"/>
    <n v="17"/>
    <s v="F13603"/>
    <m/>
    <m/>
    <n v="0"/>
    <m/>
    <m/>
    <m/>
    <m/>
    <m/>
    <m/>
    <n v="0"/>
    <m/>
    <m/>
    <m/>
    <m/>
    <n v="0"/>
    <n v="0"/>
    <n v="0"/>
    <n v="0"/>
    <n v="0"/>
    <n v="0"/>
    <n v="0"/>
  </r>
  <r>
    <x v="9"/>
    <x v="152"/>
    <s v="Ø60"/>
    <s v="Inox Serti CoréenTé mixte FØ60"/>
    <s v="1&quot; 60"/>
    <n v="18"/>
    <s v="F13600"/>
    <m/>
    <m/>
    <n v="0"/>
    <m/>
    <m/>
    <m/>
    <m/>
    <m/>
    <m/>
    <n v="0"/>
    <m/>
    <m/>
    <m/>
    <m/>
    <n v="0"/>
    <n v="0"/>
    <n v="0"/>
    <n v="0"/>
    <n v="0"/>
    <n v="0"/>
    <n v="0"/>
  </r>
  <r>
    <x v="9"/>
    <x v="152"/>
    <s v="Ø80"/>
    <s v="Inox Serti CoréenTé mixte FØ80"/>
    <s v="1/2&quot; 80"/>
    <n v="19"/>
    <s v="F13801"/>
    <m/>
    <m/>
    <n v="0"/>
    <m/>
    <m/>
    <m/>
    <m/>
    <m/>
    <m/>
    <n v="0"/>
    <m/>
    <m/>
    <m/>
    <m/>
    <n v="0"/>
    <n v="0"/>
    <n v="0"/>
    <n v="0"/>
    <n v="0"/>
    <n v="0"/>
    <n v="0"/>
  </r>
  <r>
    <x v="9"/>
    <x v="152"/>
    <s v="Ø80"/>
    <s v="Inox Serti CoréenTé mixte FØ80"/>
    <s v="3/4 80"/>
    <n v="20"/>
    <s v="F13803"/>
    <m/>
    <m/>
    <n v="0"/>
    <m/>
    <m/>
    <m/>
    <m/>
    <m/>
    <m/>
    <n v="0"/>
    <m/>
    <m/>
    <m/>
    <m/>
    <n v="0"/>
    <n v="0"/>
    <n v="0"/>
    <n v="0"/>
    <n v="0"/>
    <n v="0"/>
    <n v="0"/>
  </r>
  <r>
    <x v="9"/>
    <x v="152"/>
    <s v="Ø80"/>
    <s v="Inox Serti CoréenTé mixte FØ80"/>
    <s v="1&quot; 80"/>
    <n v="21"/>
    <s v="F13800"/>
    <m/>
    <m/>
    <n v="0"/>
    <m/>
    <m/>
    <m/>
    <m/>
    <m/>
    <m/>
    <n v="0"/>
    <m/>
    <m/>
    <m/>
    <m/>
    <n v="0"/>
    <n v="0"/>
    <n v="0"/>
    <n v="0"/>
    <n v="0"/>
    <n v="0"/>
    <n v="0"/>
  </r>
  <r>
    <x v="9"/>
    <x v="153"/>
    <m/>
    <s v="Inox Serti CoréenTé réduit"/>
    <m/>
    <n v="0"/>
    <m/>
    <m/>
    <m/>
    <n v="0"/>
    <m/>
    <m/>
    <m/>
    <m/>
    <m/>
    <m/>
    <n v="0"/>
    <m/>
    <m/>
    <m/>
    <m/>
    <n v="0"/>
    <n v="0"/>
    <n v="0"/>
    <n v="0"/>
    <n v="0"/>
    <n v="0"/>
    <n v="0"/>
  </r>
  <r>
    <x v="9"/>
    <x v="153"/>
    <s v="Ø22"/>
    <s v="Inox Serti CoréenTé réduitØ22"/>
    <s v="Té réduit 22- 16 -22"/>
    <n v="1"/>
    <s v="F14221"/>
    <m/>
    <m/>
    <n v="0"/>
    <m/>
    <m/>
    <m/>
    <m/>
    <m/>
    <m/>
    <n v="0"/>
    <m/>
    <m/>
    <m/>
    <m/>
    <n v="0"/>
    <n v="0"/>
    <n v="0"/>
    <n v="0"/>
    <n v="0"/>
    <n v="0"/>
    <n v="0"/>
  </r>
  <r>
    <x v="9"/>
    <x v="153"/>
    <s v="Ø28"/>
    <s v="Inox Serti CoréenTé réduitØ28"/>
    <s v="Té réduit 28- 16 -28"/>
    <n v="2"/>
    <s v="F14281"/>
    <m/>
    <m/>
    <n v="0"/>
    <m/>
    <m/>
    <m/>
    <m/>
    <m/>
    <m/>
    <n v="0"/>
    <m/>
    <m/>
    <m/>
    <m/>
    <n v="0"/>
    <n v="0"/>
    <n v="0"/>
    <n v="0"/>
    <n v="0"/>
    <n v="0"/>
    <n v="0"/>
  </r>
  <r>
    <x v="9"/>
    <x v="153"/>
    <s v="Ø28"/>
    <s v="Inox Serti CoréenTé réduitØ28"/>
    <s v="Té réduit 28- 22 -28"/>
    <n v="3"/>
    <s v="F14282"/>
    <m/>
    <m/>
    <n v="0"/>
    <m/>
    <m/>
    <m/>
    <m/>
    <m/>
    <m/>
    <n v="0"/>
    <m/>
    <m/>
    <m/>
    <m/>
    <n v="0"/>
    <n v="0"/>
    <n v="0"/>
    <n v="0"/>
    <n v="0"/>
    <n v="0"/>
    <n v="0"/>
  </r>
  <r>
    <x v="9"/>
    <x v="153"/>
    <s v="Ø34"/>
    <s v="Inox Serti CoréenTé réduitØ34"/>
    <s v="Té réduit 34- 16 -34"/>
    <n v="4"/>
    <s v="F14341"/>
    <m/>
    <m/>
    <n v="0"/>
    <m/>
    <m/>
    <m/>
    <m/>
    <m/>
    <m/>
    <n v="0"/>
    <m/>
    <m/>
    <m/>
    <m/>
    <n v="0"/>
    <n v="0"/>
    <n v="0"/>
    <n v="0"/>
    <n v="0"/>
    <n v="0"/>
    <n v="0"/>
  </r>
  <r>
    <x v="9"/>
    <x v="153"/>
    <s v="Ø34"/>
    <s v="Inox Serti CoréenTé réduitØ34"/>
    <s v="Té réduit 34- 22 -34"/>
    <n v="5"/>
    <s v="F14342"/>
    <m/>
    <m/>
    <n v="0"/>
    <m/>
    <m/>
    <m/>
    <m/>
    <m/>
    <m/>
    <n v="0"/>
    <m/>
    <m/>
    <m/>
    <m/>
    <n v="0"/>
    <n v="0"/>
    <n v="0"/>
    <n v="0"/>
    <n v="0"/>
    <n v="0"/>
    <n v="0"/>
  </r>
  <r>
    <x v="9"/>
    <x v="153"/>
    <s v="Ø34"/>
    <s v="Inox Serti CoréenTé réduitØ34"/>
    <s v="Té réduit 34- 28 -34"/>
    <n v="6"/>
    <s v="F14348"/>
    <m/>
    <m/>
    <n v="0"/>
    <m/>
    <m/>
    <m/>
    <m/>
    <m/>
    <m/>
    <n v="0"/>
    <m/>
    <m/>
    <m/>
    <m/>
    <n v="0"/>
    <n v="0"/>
    <n v="0"/>
    <n v="0"/>
    <n v="0"/>
    <n v="0"/>
    <n v="0"/>
  </r>
  <r>
    <x v="9"/>
    <x v="153"/>
    <s v="Ø42"/>
    <s v="Inox Serti CoréenTé réduitØ42"/>
    <s v="Té réduit 42- 16 -42"/>
    <n v="7"/>
    <s v="F14421"/>
    <m/>
    <m/>
    <n v="0"/>
    <m/>
    <m/>
    <m/>
    <m/>
    <m/>
    <m/>
    <n v="0"/>
    <m/>
    <m/>
    <m/>
    <m/>
    <n v="0"/>
    <n v="0"/>
    <n v="0"/>
    <n v="0"/>
    <n v="0"/>
    <n v="0"/>
    <n v="0"/>
  </r>
  <r>
    <x v="9"/>
    <x v="153"/>
    <s v="Ø42"/>
    <s v="Inox Serti CoréenTé réduitØ42"/>
    <s v="Té réduit 42- 22 -42"/>
    <n v="8"/>
    <s v="F14422"/>
    <m/>
    <m/>
    <n v="0"/>
    <m/>
    <m/>
    <m/>
    <m/>
    <m/>
    <m/>
    <n v="0"/>
    <m/>
    <m/>
    <m/>
    <m/>
    <n v="0"/>
    <n v="0"/>
    <n v="0"/>
    <n v="0"/>
    <n v="0"/>
    <n v="0"/>
    <n v="0"/>
  </r>
  <r>
    <x v="9"/>
    <x v="153"/>
    <s v="Ø42"/>
    <s v="Inox Serti CoréenTé réduitØ42"/>
    <s v="Té réduit 42- 34 -42"/>
    <n v="9"/>
    <s v="F14423"/>
    <m/>
    <m/>
    <n v="0"/>
    <m/>
    <m/>
    <m/>
    <m/>
    <m/>
    <m/>
    <n v="0"/>
    <m/>
    <m/>
    <m/>
    <m/>
    <n v="0"/>
    <n v="0"/>
    <n v="0"/>
    <n v="0"/>
    <n v="0"/>
    <n v="0"/>
    <n v="0"/>
  </r>
  <r>
    <x v="9"/>
    <x v="153"/>
    <s v="Ø42"/>
    <s v="Inox Serti CoréenTé réduitØ42"/>
    <s v="Té réduit 42- 28 -42"/>
    <n v="10"/>
    <s v="F14428"/>
    <m/>
    <m/>
    <n v="0"/>
    <m/>
    <m/>
    <m/>
    <m/>
    <m/>
    <m/>
    <n v="0"/>
    <m/>
    <m/>
    <m/>
    <m/>
    <n v="0"/>
    <n v="0"/>
    <n v="0"/>
    <n v="0"/>
    <n v="0"/>
    <n v="0"/>
    <n v="0"/>
  </r>
  <r>
    <x v="9"/>
    <x v="153"/>
    <s v="Ø48"/>
    <s v="Inox Serti CoréenTé réduitØ48"/>
    <s v="Té réduit 48- 16 -48"/>
    <n v="11"/>
    <s v="F14481"/>
    <m/>
    <m/>
    <n v="0"/>
    <m/>
    <m/>
    <m/>
    <m/>
    <m/>
    <m/>
    <n v="0"/>
    <m/>
    <m/>
    <m/>
    <m/>
    <n v="0"/>
    <n v="0"/>
    <n v="0"/>
    <n v="0"/>
    <n v="0"/>
    <n v="0"/>
    <n v="0"/>
  </r>
  <r>
    <x v="9"/>
    <x v="153"/>
    <s v="Ø48"/>
    <s v="Inox Serti CoréenTé réduitØ48"/>
    <s v="Té réduit 48- 22 -48 "/>
    <n v="12"/>
    <s v="F14482"/>
    <m/>
    <m/>
    <n v="0"/>
    <m/>
    <m/>
    <m/>
    <m/>
    <m/>
    <m/>
    <n v="0"/>
    <m/>
    <m/>
    <m/>
    <m/>
    <n v="0"/>
    <n v="0"/>
    <n v="0"/>
    <n v="0"/>
    <n v="0"/>
    <n v="0"/>
    <n v="0"/>
  </r>
  <r>
    <x v="9"/>
    <x v="153"/>
    <s v="Ø48"/>
    <s v="Inox Serti CoréenTé réduitØ48"/>
    <s v="Té réduit 48- 34 -48"/>
    <n v="13"/>
    <s v="F14483"/>
    <m/>
    <m/>
    <n v="0"/>
    <m/>
    <m/>
    <m/>
    <m/>
    <m/>
    <m/>
    <n v="0"/>
    <m/>
    <m/>
    <m/>
    <m/>
    <n v="0"/>
    <n v="0"/>
    <n v="0"/>
    <n v="0"/>
    <n v="0"/>
    <n v="0"/>
    <n v="0"/>
  </r>
  <r>
    <x v="9"/>
    <x v="153"/>
    <s v="Ø48"/>
    <s v="Inox Serti CoréenTé réduitØ48"/>
    <s v="Té réduit 48- 42 -48"/>
    <n v="14"/>
    <s v="F14484"/>
    <m/>
    <m/>
    <n v="0"/>
    <m/>
    <m/>
    <m/>
    <m/>
    <m/>
    <m/>
    <n v="0"/>
    <m/>
    <m/>
    <m/>
    <m/>
    <n v="0"/>
    <n v="0"/>
    <n v="0"/>
    <n v="0"/>
    <n v="0"/>
    <n v="0"/>
    <n v="0"/>
  </r>
  <r>
    <x v="9"/>
    <x v="153"/>
    <s v="Ø48"/>
    <s v="Inox Serti CoréenTé réduitØ48"/>
    <s v="Té réduit 48- 28 -48"/>
    <n v="15"/>
    <s v="F14488"/>
    <m/>
    <m/>
    <n v="0"/>
    <m/>
    <m/>
    <m/>
    <m/>
    <m/>
    <m/>
    <n v="0"/>
    <m/>
    <m/>
    <m/>
    <m/>
    <n v="0"/>
    <n v="0"/>
    <n v="0"/>
    <n v="0"/>
    <n v="0"/>
    <n v="0"/>
    <n v="0"/>
  </r>
  <r>
    <x v="9"/>
    <x v="153"/>
    <s v="Ø60"/>
    <s v="Inox Serti CoréenTé réduitØ60"/>
    <s v="Té réduit 60- 16 -60"/>
    <n v="16"/>
    <s v="F14601"/>
    <m/>
    <m/>
    <n v="0"/>
    <m/>
    <m/>
    <m/>
    <m/>
    <m/>
    <m/>
    <n v="0"/>
    <m/>
    <m/>
    <m/>
    <m/>
    <n v="0"/>
    <n v="0"/>
    <n v="0"/>
    <n v="0"/>
    <n v="0"/>
    <n v="0"/>
    <n v="0"/>
  </r>
  <r>
    <x v="9"/>
    <x v="153"/>
    <s v="Ø60"/>
    <s v="Inox Serti CoréenTé réduitØ60"/>
    <s v="Té réduit 60- 34 -60"/>
    <n v="17"/>
    <s v="F14603"/>
    <m/>
    <m/>
    <n v="0"/>
    <m/>
    <m/>
    <m/>
    <m/>
    <m/>
    <m/>
    <n v="0"/>
    <m/>
    <m/>
    <m/>
    <m/>
    <n v="0"/>
    <n v="0"/>
    <n v="0"/>
    <n v="0"/>
    <n v="0"/>
    <n v="0"/>
    <n v="0"/>
  </r>
  <r>
    <x v="9"/>
    <x v="153"/>
    <s v="Ø60"/>
    <s v="Inox Serti CoréenTé réduitØ60"/>
    <s v="Té réduit 60- 22 -60"/>
    <n v="18"/>
    <s v="F14622"/>
    <m/>
    <m/>
    <n v="0"/>
    <m/>
    <m/>
    <m/>
    <m/>
    <m/>
    <m/>
    <n v="0"/>
    <m/>
    <m/>
    <m/>
    <m/>
    <n v="0"/>
    <n v="0"/>
    <n v="0"/>
    <n v="0"/>
    <n v="0"/>
    <n v="0"/>
    <n v="0"/>
  </r>
  <r>
    <x v="9"/>
    <x v="153"/>
    <s v="Ø60"/>
    <s v="Inox Serti CoréenTé réduitØ60"/>
    <s v="Té réduit 60- 28 -60"/>
    <n v="19"/>
    <s v="F14628"/>
    <m/>
    <m/>
    <n v="0"/>
    <m/>
    <m/>
    <m/>
    <m/>
    <m/>
    <m/>
    <n v="0"/>
    <m/>
    <m/>
    <m/>
    <m/>
    <n v="0"/>
    <n v="0"/>
    <n v="0"/>
    <n v="0"/>
    <n v="0"/>
    <n v="0"/>
    <n v="0"/>
  </r>
  <r>
    <x v="9"/>
    <x v="153"/>
    <s v="Ø60"/>
    <s v="Inox Serti CoréenTé réduitØ60"/>
    <s v="Té réduit 60- 42 -60"/>
    <n v="20"/>
    <s v="F14642"/>
    <m/>
    <m/>
    <n v="0"/>
    <m/>
    <m/>
    <m/>
    <m/>
    <m/>
    <m/>
    <n v="0"/>
    <m/>
    <m/>
    <m/>
    <m/>
    <n v="0"/>
    <n v="0"/>
    <n v="0"/>
    <n v="0"/>
    <n v="0"/>
    <n v="0"/>
    <n v="0"/>
  </r>
  <r>
    <x v="9"/>
    <x v="153"/>
    <s v="Ø60"/>
    <s v="Inox Serti CoréenTé réduitØ60"/>
    <s v="Té réduit 60- 48 -60"/>
    <n v="21"/>
    <s v="F14648"/>
    <m/>
    <m/>
    <n v="0"/>
    <m/>
    <m/>
    <m/>
    <m/>
    <m/>
    <m/>
    <n v="0"/>
    <m/>
    <m/>
    <m/>
    <m/>
    <n v="0"/>
    <n v="0"/>
    <n v="0"/>
    <n v="0"/>
    <n v="0"/>
    <n v="0"/>
    <n v="0"/>
  </r>
  <r>
    <x v="9"/>
    <x v="153"/>
    <s v="Ø80"/>
    <s v="Inox Serti CoréenTé réduitØ80"/>
    <s v="Té réduit 80- 42 -80"/>
    <n v="22"/>
    <s v="F14842"/>
    <m/>
    <m/>
    <n v="0"/>
    <m/>
    <m/>
    <m/>
    <m/>
    <m/>
    <m/>
    <n v="0"/>
    <m/>
    <m/>
    <m/>
    <m/>
    <n v="0"/>
    <n v="0"/>
    <n v="0"/>
    <n v="0"/>
    <n v="0"/>
    <n v="0"/>
    <n v="0"/>
  </r>
  <r>
    <x v="9"/>
    <x v="153"/>
    <s v="Ø80"/>
    <s v="Inox Serti CoréenTé réduitØ80"/>
    <s v="Té réduit 80- 48 -80"/>
    <n v="23"/>
    <s v="F14848"/>
    <m/>
    <m/>
    <n v="0"/>
    <m/>
    <m/>
    <m/>
    <m/>
    <m/>
    <m/>
    <n v="0"/>
    <m/>
    <m/>
    <m/>
    <m/>
    <n v="0"/>
    <n v="0"/>
    <n v="0"/>
    <n v="0"/>
    <n v="0"/>
    <n v="0"/>
    <n v="0"/>
  </r>
  <r>
    <x v="9"/>
    <x v="153"/>
    <s v="Ø80"/>
    <s v="Inox Serti CoréenTé réduitØ80"/>
    <s v="Té réduit 80- 60 -80"/>
    <n v="24"/>
    <s v="F14860"/>
    <m/>
    <m/>
    <n v="0"/>
    <m/>
    <m/>
    <m/>
    <m/>
    <m/>
    <m/>
    <n v="0"/>
    <m/>
    <m/>
    <m/>
    <m/>
    <n v="0"/>
    <n v="0"/>
    <n v="0"/>
    <n v="0"/>
    <n v="0"/>
    <n v="0"/>
    <n v="0"/>
  </r>
  <r>
    <x v="9"/>
    <x v="154"/>
    <m/>
    <s v="Inox Serti CoréenTube 304 L"/>
    <m/>
    <n v="0"/>
    <m/>
    <m/>
    <m/>
    <n v="0"/>
    <m/>
    <m/>
    <m/>
    <m/>
    <m/>
    <m/>
    <n v="0"/>
    <m/>
    <m/>
    <m/>
    <m/>
    <n v="0"/>
    <n v="0"/>
    <n v="0"/>
    <n v="0"/>
    <n v="0"/>
    <n v="0"/>
    <n v="0"/>
  </r>
  <r>
    <x v="9"/>
    <x v="154"/>
    <s v="Ø16"/>
    <s v="Inox Serti CoréenTube 304 LØ16"/>
    <s v="16 (1/2&quot;)"/>
    <n v="1"/>
    <s v="TXS16"/>
    <m/>
    <m/>
    <n v="0"/>
    <m/>
    <m/>
    <m/>
    <m/>
    <m/>
    <m/>
    <n v="0"/>
    <m/>
    <m/>
    <m/>
    <m/>
    <n v="0"/>
    <n v="0"/>
    <n v="0"/>
    <n v="0"/>
    <n v="0"/>
    <n v="0"/>
    <n v="0"/>
  </r>
  <r>
    <x v="9"/>
    <x v="154"/>
    <s v="Ø22"/>
    <s v="Inox Serti CoréenTube 304 LØ22"/>
    <s v="22 (3/4&quot;)"/>
    <n v="2"/>
    <s v="TXS22"/>
    <m/>
    <m/>
    <n v="0"/>
    <m/>
    <m/>
    <m/>
    <m/>
    <m/>
    <m/>
    <n v="0"/>
    <m/>
    <m/>
    <m/>
    <m/>
    <n v="0"/>
    <n v="0"/>
    <n v="0"/>
    <n v="0"/>
    <n v="0"/>
    <n v="0"/>
    <n v="0"/>
  </r>
  <r>
    <x v="9"/>
    <x v="154"/>
    <s v="Ø28"/>
    <s v="Inox Serti CoréenTube 304 LØ28"/>
    <s v="28 (1&quot;)"/>
    <n v="3"/>
    <s v="TXS28"/>
    <m/>
    <m/>
    <n v="0"/>
    <m/>
    <m/>
    <m/>
    <m/>
    <m/>
    <m/>
    <n v="0"/>
    <m/>
    <m/>
    <m/>
    <m/>
    <n v="0"/>
    <n v="0"/>
    <n v="0"/>
    <n v="0"/>
    <n v="0"/>
    <n v="0"/>
    <n v="0"/>
  </r>
  <r>
    <x v="9"/>
    <x v="154"/>
    <s v="Ø34"/>
    <s v="Inox Serti CoréenTube 304 LØ34"/>
    <s v="34 (1&quot;1/4)"/>
    <n v="4"/>
    <s v="TXS34"/>
    <m/>
    <m/>
    <n v="0"/>
    <m/>
    <m/>
    <m/>
    <m/>
    <m/>
    <m/>
    <n v="0"/>
    <m/>
    <m/>
    <m/>
    <m/>
    <n v="0"/>
    <n v="0"/>
    <n v="0"/>
    <n v="0"/>
    <n v="0"/>
    <n v="0"/>
    <n v="0"/>
  </r>
  <r>
    <x v="9"/>
    <x v="154"/>
    <s v="Ø42"/>
    <s v="Inox Serti CoréenTube 304 LØ42"/>
    <s v="42 (1&quot;1/2)"/>
    <n v="5"/>
    <s v="TXS42"/>
    <m/>
    <m/>
    <n v="0"/>
    <m/>
    <m/>
    <m/>
    <m/>
    <m/>
    <m/>
    <n v="0"/>
    <m/>
    <m/>
    <m/>
    <m/>
    <n v="0"/>
    <n v="0"/>
    <n v="0"/>
    <n v="0"/>
    <n v="0"/>
    <n v="0"/>
    <n v="0"/>
  </r>
  <r>
    <x v="9"/>
    <x v="154"/>
    <s v="Ø48"/>
    <s v="Inox Serti CoréenTube 304 LØ48"/>
    <s v="48 (2&quot;)"/>
    <n v="6"/>
    <s v="TXS48"/>
    <m/>
    <m/>
    <n v="0"/>
    <m/>
    <m/>
    <m/>
    <m/>
    <m/>
    <m/>
    <n v="0"/>
    <m/>
    <m/>
    <m/>
    <m/>
    <n v="0"/>
    <n v="0"/>
    <n v="0"/>
    <n v="0"/>
    <n v="0"/>
    <n v="0"/>
    <n v="0"/>
  </r>
  <r>
    <x v="9"/>
    <x v="154"/>
    <s v="Ø60"/>
    <s v="Inox Serti CoréenTube 304 LØ60"/>
    <s v="60 ( 2&quot;1/2)"/>
    <n v="7"/>
    <s v="TXS60"/>
    <m/>
    <m/>
    <n v="0"/>
    <m/>
    <m/>
    <m/>
    <m/>
    <m/>
    <m/>
    <n v="0"/>
    <m/>
    <m/>
    <m/>
    <m/>
    <n v="0"/>
    <n v="0"/>
    <n v="0"/>
    <n v="0"/>
    <n v="0"/>
    <n v="0"/>
    <n v="0"/>
  </r>
  <r>
    <x v="9"/>
    <x v="154"/>
    <s v="Ø80"/>
    <s v="Inox Serti CoréenTube 304 LØ80"/>
    <s v="88,9 ( 3&quot;)"/>
    <n v="8"/>
    <s v="TXS80"/>
    <m/>
    <m/>
    <n v="0"/>
    <m/>
    <m/>
    <m/>
    <m/>
    <m/>
    <m/>
    <n v="0"/>
    <m/>
    <m/>
    <m/>
    <m/>
    <n v="0"/>
    <n v="0"/>
    <n v="0"/>
    <n v="0"/>
    <n v="0"/>
    <n v="0"/>
    <n v="0"/>
  </r>
  <r>
    <x v="10"/>
    <x v="155"/>
    <m/>
    <s v="CuveEquipements de cuve"/>
    <m/>
    <n v="0"/>
    <m/>
    <m/>
    <m/>
    <n v="0"/>
    <m/>
    <m/>
    <m/>
    <m/>
    <m/>
    <m/>
    <n v="0"/>
    <m/>
    <m/>
    <m/>
    <m/>
    <n v="0"/>
    <n v="0"/>
    <n v="0"/>
    <n v="0"/>
    <n v="0"/>
    <n v="0"/>
    <n v="0"/>
  </r>
  <r>
    <x v="10"/>
    <x v="155"/>
    <s v="Airflux"/>
    <s v="CuveEquipements de cuveAirflux"/>
    <s v="100l à 300 l - 11 bars"/>
    <n v="1"/>
    <s v="EQT1"/>
    <s v="Airflux"/>
    <m/>
    <n v="0"/>
    <m/>
    <m/>
    <m/>
    <m/>
    <m/>
    <m/>
    <n v="0"/>
    <m/>
    <m/>
    <m/>
    <m/>
    <n v="0"/>
    <n v="0"/>
    <n v="0"/>
    <n v="0"/>
    <n v="0"/>
    <n v="0"/>
    <n v="0"/>
  </r>
  <r>
    <x v="10"/>
    <x v="155"/>
    <s v="Airflux"/>
    <s v="CuveEquipements de cuveAirflux"/>
    <s v="500L - 11 bars"/>
    <n v="2"/>
    <s v="EQT2"/>
    <s v="Airflux"/>
    <m/>
    <n v="0"/>
    <m/>
    <m/>
    <m/>
    <m/>
    <m/>
    <m/>
    <n v="0"/>
    <m/>
    <m/>
    <m/>
    <m/>
    <n v="0"/>
    <n v="0"/>
    <n v="0"/>
    <n v="0"/>
    <n v="0"/>
    <n v="0"/>
    <n v="0"/>
  </r>
  <r>
    <x v="10"/>
    <x v="155"/>
    <s v="Airflux"/>
    <s v="CuveEquipements de cuveAirflux"/>
    <s v="500L - 16 bars"/>
    <n v="3"/>
    <s v="EQT2-16B"/>
    <s v="Airflux"/>
    <m/>
    <n v="0"/>
    <m/>
    <m/>
    <m/>
    <m/>
    <m/>
    <m/>
    <n v="0"/>
    <m/>
    <m/>
    <m/>
    <m/>
    <n v="0"/>
    <n v="0"/>
    <n v="0"/>
    <n v="0"/>
    <n v="0"/>
    <n v="0"/>
    <n v="0"/>
  </r>
  <r>
    <x v="10"/>
    <x v="155"/>
    <s v="Airflux"/>
    <s v="CuveEquipements de cuveAirflux"/>
    <s v="900L - 11 bars"/>
    <n v="4"/>
    <s v="EQT3"/>
    <s v="Airflux"/>
    <m/>
    <n v="0"/>
    <m/>
    <m/>
    <m/>
    <m/>
    <m/>
    <m/>
    <n v="0"/>
    <m/>
    <m/>
    <m/>
    <m/>
    <n v="0"/>
    <n v="0"/>
    <n v="0"/>
    <n v="0"/>
    <n v="0"/>
    <n v="0"/>
    <n v="0"/>
  </r>
  <r>
    <x v="10"/>
    <x v="155"/>
    <s v="Airflux"/>
    <s v="CuveEquipements de cuveAirflux"/>
    <s v="1 000L à 2 000L - 11 bars"/>
    <n v="5"/>
    <s v="EQT4"/>
    <s v="Airflux"/>
    <m/>
    <n v="0"/>
    <m/>
    <m/>
    <m/>
    <m/>
    <m/>
    <m/>
    <n v="0"/>
    <m/>
    <m/>
    <m/>
    <m/>
    <n v="0"/>
    <n v="0"/>
    <n v="0"/>
    <n v="0"/>
    <n v="0"/>
    <n v="0"/>
    <n v="0"/>
  </r>
  <r>
    <x v="10"/>
    <x v="155"/>
    <s v="Airflux"/>
    <s v="CuveEquipements de cuveAirflux"/>
    <s v="3 000L - 11 bars"/>
    <n v="6"/>
    <s v="EQT5"/>
    <s v="Airflux"/>
    <m/>
    <n v="0"/>
    <m/>
    <m/>
    <m/>
    <m/>
    <m/>
    <m/>
    <n v="0"/>
    <m/>
    <m/>
    <m/>
    <m/>
    <n v="0"/>
    <n v="0"/>
    <n v="0"/>
    <n v="0"/>
    <n v="0"/>
    <n v="0"/>
    <n v="0"/>
  </r>
  <r>
    <x v="10"/>
    <x v="155"/>
    <s v="Airflux"/>
    <s v="CuveEquipements de cuveAirflux"/>
    <s v="5 000L - 11 bars"/>
    <n v="7"/>
    <s v="EQT6"/>
    <s v="Airflux"/>
    <m/>
    <n v="0"/>
    <m/>
    <m/>
    <m/>
    <m/>
    <m/>
    <m/>
    <n v="0"/>
    <m/>
    <m/>
    <m/>
    <m/>
    <n v="0"/>
    <n v="0"/>
    <n v="0"/>
    <n v="0"/>
    <n v="0"/>
    <n v="0"/>
    <n v="0"/>
  </r>
  <r>
    <x v="10"/>
    <x v="155"/>
    <s v="Autres"/>
    <s v="CuveEquipements de cuveAutres"/>
    <s v="500L - 11 bars"/>
    <n v="8"/>
    <s v="EQTSI0500"/>
    <s v="SIAP"/>
    <m/>
    <n v="0"/>
    <m/>
    <m/>
    <m/>
    <m/>
    <m/>
    <m/>
    <n v="0"/>
    <m/>
    <m/>
    <m/>
    <m/>
    <n v="0"/>
    <n v="0"/>
    <n v="0"/>
    <n v="0"/>
    <n v="0"/>
    <n v="0"/>
    <n v="0"/>
  </r>
  <r>
    <x v="10"/>
    <x v="155"/>
    <s v="Autres"/>
    <s v="CuveEquipements de cuveAutres"/>
    <s v="800L - 11 bars"/>
    <n v="9"/>
    <s v="EQTSI0800"/>
    <s v="SIAP"/>
    <m/>
    <n v="0"/>
    <m/>
    <m/>
    <m/>
    <m/>
    <m/>
    <m/>
    <n v="0"/>
    <m/>
    <m/>
    <m/>
    <m/>
    <n v="0"/>
    <n v="0"/>
    <n v="0"/>
    <n v="0"/>
    <n v="0"/>
    <n v="0"/>
    <n v="0"/>
  </r>
  <r>
    <x v="10"/>
    <x v="155"/>
    <s v="Autres"/>
    <s v="CuveEquipements de cuveAutres"/>
    <s v="900L - 11 bars"/>
    <n v="10"/>
    <s v="EQTSI0900"/>
    <s v="SIAP"/>
    <m/>
    <n v="0"/>
    <m/>
    <m/>
    <m/>
    <m/>
    <m/>
    <m/>
    <n v="0"/>
    <m/>
    <m/>
    <m/>
    <m/>
    <n v="0"/>
    <n v="0"/>
    <n v="0"/>
    <n v="0"/>
    <n v="0"/>
    <n v="0"/>
    <n v="0"/>
  </r>
  <r>
    <x v="10"/>
    <x v="155"/>
    <s v="Autres"/>
    <s v="CuveEquipements de cuveAutres"/>
    <s v="900L - 11 bars"/>
    <n v="11"/>
    <s v="EQTMT0900"/>
    <s v="Mattei"/>
    <m/>
    <n v="0"/>
    <m/>
    <m/>
    <m/>
    <m/>
    <m/>
    <m/>
    <n v="0"/>
    <m/>
    <m/>
    <m/>
    <m/>
    <n v="0"/>
    <n v="0"/>
    <n v="0"/>
    <n v="0"/>
    <n v="0"/>
    <n v="0"/>
    <n v="0"/>
  </r>
  <r>
    <x v="10"/>
    <x v="155"/>
    <s v="Autres"/>
    <s v="CuveEquipements de cuveAutres"/>
    <s v="1 000L - 11 bars"/>
    <n v="12"/>
    <s v="EQTSI1000"/>
    <s v="SIAP"/>
    <m/>
    <n v="0"/>
    <m/>
    <m/>
    <m/>
    <m/>
    <m/>
    <m/>
    <n v="0"/>
    <m/>
    <m/>
    <m/>
    <m/>
    <n v="0"/>
    <n v="0"/>
    <n v="0"/>
    <n v="0"/>
    <n v="0"/>
    <n v="0"/>
    <n v="0"/>
  </r>
  <r>
    <x v="10"/>
    <x v="155"/>
    <s v="Autres"/>
    <s v="CuveEquipements de cuveAutres"/>
    <s v="2 000L - 11 bars"/>
    <n v="13"/>
    <s v="EQTSI2000"/>
    <s v="SIAP"/>
    <m/>
    <n v="0"/>
    <m/>
    <m/>
    <m/>
    <m/>
    <m/>
    <m/>
    <n v="0"/>
    <m/>
    <m/>
    <m/>
    <m/>
    <n v="0"/>
    <n v="0"/>
    <n v="0"/>
    <n v="0"/>
    <n v="0"/>
    <n v="0"/>
    <n v="0"/>
  </r>
  <r>
    <x v="10"/>
    <x v="155"/>
    <s v="Autres"/>
    <s v="CuveEquipements de cuveAutres"/>
    <s v="10 000L - 11 bars"/>
    <n v="14"/>
    <s v="EQTRO10000"/>
    <s v="RONOT"/>
    <m/>
    <n v="0"/>
    <m/>
    <m/>
    <m/>
    <m/>
    <m/>
    <m/>
    <n v="0"/>
    <m/>
    <m/>
    <m/>
    <m/>
    <n v="0"/>
    <n v="0"/>
    <n v="0"/>
    <n v="0"/>
    <n v="0"/>
    <n v="0"/>
    <n v="0"/>
  </r>
  <r>
    <x v="10"/>
    <x v="155"/>
    <s v="Kaeser"/>
    <s v="CuveEquipements de cuveKaeser"/>
    <s v="90L - 11 bars"/>
    <n v="15"/>
    <s v="EQTKS0090"/>
    <s v="Kaeser"/>
    <m/>
    <n v="0"/>
    <m/>
    <m/>
    <m/>
    <m/>
    <m/>
    <m/>
    <n v="0"/>
    <m/>
    <m/>
    <m/>
    <m/>
    <n v="0"/>
    <n v="0"/>
    <n v="0"/>
    <n v="0"/>
    <n v="0"/>
    <n v="0"/>
    <n v="0"/>
  </r>
  <r>
    <x v="10"/>
    <x v="155"/>
    <s v="Kaeser"/>
    <s v="CuveEquipements de cuveKaeser"/>
    <s v="150L - 11 bars"/>
    <n v="16"/>
    <s v="EQTS0150"/>
    <s v="Kaeser"/>
    <m/>
    <n v="0"/>
    <m/>
    <m/>
    <m/>
    <m/>
    <m/>
    <m/>
    <n v="0"/>
    <m/>
    <m/>
    <m/>
    <m/>
    <n v="0"/>
    <n v="0"/>
    <n v="0"/>
    <n v="0"/>
    <n v="0"/>
    <n v="0"/>
    <n v="0"/>
  </r>
  <r>
    <x v="10"/>
    <x v="155"/>
    <s v="Kaeser"/>
    <s v="CuveEquipements de cuveKaeser"/>
    <s v="150L - 16 bars"/>
    <n v="17"/>
    <s v="EQTKS0150.16B"/>
    <s v="Kaeser"/>
    <m/>
    <n v="0"/>
    <m/>
    <m/>
    <m/>
    <m/>
    <m/>
    <m/>
    <n v="0"/>
    <m/>
    <m/>
    <m/>
    <m/>
    <n v="0"/>
    <n v="0"/>
    <n v="0"/>
    <n v="0"/>
    <n v="0"/>
    <n v="0"/>
    <n v="0"/>
  </r>
  <r>
    <x v="10"/>
    <x v="155"/>
    <s v="Kaeser"/>
    <s v="CuveEquipements de cuveKaeser"/>
    <s v="250L - 11 bars"/>
    <n v="18"/>
    <s v="EQTKS0250"/>
    <s v="Kaeser"/>
    <m/>
    <n v="0"/>
    <m/>
    <m/>
    <m/>
    <m/>
    <m/>
    <m/>
    <n v="0"/>
    <m/>
    <m/>
    <m/>
    <m/>
    <n v="0"/>
    <n v="0"/>
    <n v="0"/>
    <n v="0"/>
    <n v="0"/>
    <n v="0"/>
    <n v="0"/>
  </r>
  <r>
    <x v="10"/>
    <x v="155"/>
    <s v="Kaeser"/>
    <s v="CuveEquipements de cuveKaeser"/>
    <s v="350L - 11 bars"/>
    <n v="19"/>
    <s v="EQTKS0350"/>
    <s v="Kaeser"/>
    <m/>
    <n v="0"/>
    <m/>
    <m/>
    <m/>
    <m/>
    <m/>
    <m/>
    <n v="0"/>
    <m/>
    <m/>
    <m/>
    <m/>
    <n v="0"/>
    <n v="0"/>
    <n v="0"/>
    <n v="0"/>
    <n v="0"/>
    <n v="0"/>
    <n v="0"/>
  </r>
  <r>
    <x v="10"/>
    <x v="155"/>
    <s v="Kaeser"/>
    <s v="CuveEquipements de cuveKaeser"/>
    <s v="350L - 16 bars"/>
    <n v="20"/>
    <s v="EQTKS0350.16B"/>
    <s v="Kaeser"/>
    <m/>
    <n v="0"/>
    <m/>
    <m/>
    <m/>
    <m/>
    <m/>
    <m/>
    <n v="0"/>
    <m/>
    <m/>
    <m/>
    <m/>
    <n v="0"/>
    <n v="0"/>
    <n v="0"/>
    <n v="0"/>
    <n v="0"/>
    <n v="0"/>
    <n v="0"/>
  </r>
  <r>
    <x v="10"/>
    <x v="155"/>
    <s v="Kaeser"/>
    <s v="CuveEquipements de cuveKaeser"/>
    <s v="500L - 11 bars"/>
    <n v="21"/>
    <s v="EQTKS0500"/>
    <s v="Kaeser"/>
    <m/>
    <n v="0"/>
    <m/>
    <m/>
    <m/>
    <m/>
    <m/>
    <m/>
    <n v="0"/>
    <m/>
    <m/>
    <m/>
    <m/>
    <n v="0"/>
    <n v="0"/>
    <n v="0"/>
    <n v="0"/>
    <n v="0"/>
    <n v="0"/>
    <n v="0"/>
  </r>
  <r>
    <x v="10"/>
    <x v="155"/>
    <s v="Kaeser"/>
    <s v="CuveEquipements de cuveKaeser"/>
    <s v="500L - 16 bars"/>
    <n v="22"/>
    <s v="EQTKS0500.16B"/>
    <s v="Kaeser"/>
    <m/>
    <n v="0"/>
    <m/>
    <m/>
    <m/>
    <m/>
    <m/>
    <m/>
    <n v="0"/>
    <m/>
    <m/>
    <m/>
    <m/>
    <n v="0"/>
    <n v="0"/>
    <n v="0"/>
    <n v="0"/>
    <n v="0"/>
    <n v="0"/>
    <n v="0"/>
  </r>
  <r>
    <x v="10"/>
    <x v="155"/>
    <s v="Kaeser"/>
    <s v="CuveEquipements de cuveKaeser"/>
    <s v="500L - 45 bars"/>
    <n v="23"/>
    <s v="EQTKS0500.45B"/>
    <s v="Kaeser"/>
    <m/>
    <n v="0"/>
    <m/>
    <m/>
    <m/>
    <m/>
    <m/>
    <m/>
    <n v="0"/>
    <m/>
    <m/>
    <m/>
    <m/>
    <n v="0"/>
    <n v="0"/>
    <n v="0"/>
    <n v="0"/>
    <n v="0"/>
    <n v="0"/>
    <n v="0"/>
  </r>
  <r>
    <x v="10"/>
    <x v="155"/>
    <s v="Kaeser"/>
    <s v="CuveEquipements de cuveKaeser"/>
    <s v="900L - 11 bars"/>
    <n v="24"/>
    <s v="EQTKS0900"/>
    <s v="Kaeser"/>
    <m/>
    <n v="0"/>
    <m/>
    <m/>
    <m/>
    <m/>
    <m/>
    <m/>
    <n v="0"/>
    <m/>
    <m/>
    <m/>
    <m/>
    <n v="0"/>
    <n v="0"/>
    <n v="0"/>
    <n v="0"/>
    <n v="0"/>
    <n v="0"/>
    <n v="0"/>
  </r>
  <r>
    <x v="10"/>
    <x v="155"/>
    <s v="Kaeser"/>
    <s v="CuveEquipements de cuveKaeser"/>
    <s v="1 000L - 11 bars"/>
    <n v="25"/>
    <s v="EQTKS1000"/>
    <s v="Kaeser"/>
    <m/>
    <n v="0"/>
    <m/>
    <m/>
    <m/>
    <m/>
    <m/>
    <m/>
    <n v="0"/>
    <m/>
    <m/>
    <m/>
    <m/>
    <n v="0"/>
    <n v="0"/>
    <n v="0"/>
    <n v="0"/>
    <n v="0"/>
    <n v="0"/>
    <n v="0"/>
  </r>
  <r>
    <x v="10"/>
    <x v="155"/>
    <s v="Kaeser"/>
    <s v="CuveEquipements de cuveKaeser"/>
    <s v="1 000L - 16 bars"/>
    <n v="26"/>
    <s v="EQTKS1000.16B"/>
    <s v="Kaeser"/>
    <m/>
    <n v="0"/>
    <m/>
    <m/>
    <m/>
    <m/>
    <m/>
    <m/>
    <n v="0"/>
    <m/>
    <m/>
    <m/>
    <m/>
    <n v="0"/>
    <n v="0"/>
    <n v="0"/>
    <n v="0"/>
    <n v="0"/>
    <n v="0"/>
    <n v="0"/>
  </r>
  <r>
    <x v="10"/>
    <x v="155"/>
    <s v="Kaeser"/>
    <s v="CuveEquipements de cuveKaeser"/>
    <s v="1 000L - 45 bars"/>
    <n v="27"/>
    <s v="EQTKS1000.45B"/>
    <s v="Kaeser"/>
    <m/>
    <n v="0"/>
    <m/>
    <m/>
    <m/>
    <m/>
    <m/>
    <m/>
    <n v="0"/>
    <m/>
    <m/>
    <m/>
    <m/>
    <n v="0"/>
    <n v="0"/>
    <n v="0"/>
    <n v="0"/>
    <n v="0"/>
    <n v="0"/>
    <n v="0"/>
  </r>
  <r>
    <x v="10"/>
    <x v="155"/>
    <s v="Kaeser"/>
    <s v="CuveEquipements de cuveKaeser"/>
    <s v="2 000L - 11 bars"/>
    <n v="28"/>
    <s v="EQTKS2000"/>
    <s v="Kaeser"/>
    <m/>
    <n v="0"/>
    <m/>
    <m/>
    <m/>
    <m/>
    <m/>
    <m/>
    <n v="0"/>
    <m/>
    <m/>
    <m/>
    <m/>
    <n v="0"/>
    <n v="0"/>
    <n v="0"/>
    <n v="0"/>
    <n v="0"/>
    <n v="0"/>
    <n v="0"/>
  </r>
  <r>
    <x v="10"/>
    <x v="155"/>
    <s v="Kaeser"/>
    <s v="CuveEquipements de cuveKaeser"/>
    <s v="2 000L - 16 bars"/>
    <n v="29"/>
    <s v="EQTKS2000-16B"/>
    <s v="Kaeser"/>
    <m/>
    <n v="0"/>
    <m/>
    <m/>
    <m/>
    <m/>
    <m/>
    <m/>
    <n v="0"/>
    <m/>
    <m/>
    <m/>
    <m/>
    <n v="0"/>
    <n v="0"/>
    <n v="0"/>
    <n v="0"/>
    <n v="0"/>
    <n v="0"/>
    <n v="0"/>
  </r>
  <r>
    <x v="10"/>
    <x v="155"/>
    <s v="Kaeser"/>
    <s v="CuveEquipements de cuveKaeser"/>
    <s v="2 000L - 50 bars"/>
    <n v="30"/>
    <s v="EQTKS2000-50B"/>
    <s v="Kaeser"/>
    <m/>
    <n v="0"/>
    <m/>
    <m/>
    <m/>
    <m/>
    <m/>
    <m/>
    <n v="0"/>
    <m/>
    <m/>
    <m/>
    <m/>
    <n v="0"/>
    <n v="0"/>
    <n v="0"/>
    <n v="0"/>
    <n v="0"/>
    <n v="0"/>
    <n v="0"/>
  </r>
  <r>
    <x v="10"/>
    <x v="155"/>
    <s v="Kaeser"/>
    <s v="CuveEquipements de cuveKaeser"/>
    <s v="3 000L - 11 bars"/>
    <n v="31"/>
    <s v="EQTKS3000"/>
    <s v="Kaeser"/>
    <m/>
    <n v="0"/>
    <m/>
    <m/>
    <m/>
    <m/>
    <m/>
    <m/>
    <n v="0"/>
    <m/>
    <m/>
    <m/>
    <m/>
    <n v="0"/>
    <n v="0"/>
    <n v="0"/>
    <n v="0"/>
    <n v="0"/>
    <n v="0"/>
    <n v="0"/>
  </r>
  <r>
    <x v="10"/>
    <x v="155"/>
    <s v="Kaeser"/>
    <s v="CuveEquipements de cuveKaeser"/>
    <s v="3 000L - 16 bars"/>
    <n v="32"/>
    <s v="EQTKS3000.16B"/>
    <s v="Kaeser"/>
    <m/>
    <n v="0"/>
    <m/>
    <m/>
    <m/>
    <m/>
    <m/>
    <m/>
    <n v="0"/>
    <m/>
    <m/>
    <m/>
    <m/>
    <n v="0"/>
    <n v="0"/>
    <n v="0"/>
    <n v="0"/>
    <n v="0"/>
    <n v="0"/>
    <n v="0"/>
  </r>
  <r>
    <x v="10"/>
    <x v="155"/>
    <s v="Kaeser"/>
    <s v="CuveEquipements de cuveKaeser"/>
    <s v="5 000L - 11 bars"/>
    <n v="33"/>
    <s v="EQTKS5000"/>
    <s v="Kaeser"/>
    <m/>
    <n v="0"/>
    <m/>
    <m/>
    <m/>
    <m/>
    <m/>
    <m/>
    <n v="0"/>
    <m/>
    <m/>
    <m/>
    <m/>
    <n v="0"/>
    <n v="0"/>
    <n v="0"/>
    <n v="0"/>
    <n v="0"/>
    <n v="0"/>
    <n v="0"/>
  </r>
  <r>
    <x v="10"/>
    <x v="155"/>
    <s v="Kaeser"/>
    <s v="CuveEquipements de cuveKaeser"/>
    <s v="5 000L Horizontal - 11 bars"/>
    <n v="34"/>
    <s v="EQTKS5000-H"/>
    <s v="Kaeser"/>
    <m/>
    <n v="0"/>
    <m/>
    <m/>
    <m/>
    <m/>
    <m/>
    <m/>
    <n v="0"/>
    <m/>
    <m/>
    <m/>
    <m/>
    <n v="0"/>
    <n v="0"/>
    <n v="0"/>
    <n v="0"/>
    <n v="0"/>
    <n v="0"/>
    <n v="0"/>
  </r>
  <r>
    <x v="10"/>
    <x v="155"/>
    <s v="Kaeser"/>
    <s v="CuveEquipements de cuveKaeser"/>
    <s v="8 000L - 11 bars"/>
    <n v="35"/>
    <s v="EQTKS8000"/>
    <s v="Kaeser"/>
    <m/>
    <n v="0"/>
    <m/>
    <m/>
    <m/>
    <m/>
    <m/>
    <m/>
    <n v="0"/>
    <m/>
    <m/>
    <m/>
    <m/>
    <n v="0"/>
    <n v="0"/>
    <n v="0"/>
    <n v="0"/>
    <n v="0"/>
    <n v="0"/>
    <n v="0"/>
  </r>
  <r>
    <x v="10"/>
    <x v="155"/>
    <s v="Kaeser"/>
    <s v="CuveEquipements de cuveKaeser"/>
    <s v="8 000L - 16 bars"/>
    <n v="36"/>
    <s v="EQTKS8000-16B"/>
    <s v="Kaeser"/>
    <m/>
    <n v="0"/>
    <m/>
    <m/>
    <m/>
    <m/>
    <m/>
    <m/>
    <n v="0"/>
    <m/>
    <m/>
    <m/>
    <m/>
    <n v="0"/>
    <n v="0"/>
    <n v="0"/>
    <n v="0"/>
    <n v="0"/>
    <n v="0"/>
    <n v="0"/>
  </r>
  <r>
    <x v="10"/>
    <x v="155"/>
    <s v="Kaeser"/>
    <s v="CuveEquipements de cuveKaeser"/>
    <s v="8 000L Horizontal - 11 bars"/>
    <n v="37"/>
    <s v="EQTKS8000-H"/>
    <s v="Kaeser"/>
    <m/>
    <n v="0"/>
    <m/>
    <m/>
    <m/>
    <m/>
    <m/>
    <m/>
    <n v="0"/>
    <m/>
    <m/>
    <m/>
    <m/>
    <n v="0"/>
    <n v="0"/>
    <n v="0"/>
    <n v="0"/>
    <n v="0"/>
    <n v="0"/>
    <n v="0"/>
  </r>
  <r>
    <x v="10"/>
    <x v="155"/>
    <s v="Kaeser"/>
    <s v="CuveEquipements de cuveKaeser"/>
    <s v="10 000L - 11 bars"/>
    <n v="38"/>
    <s v="EQTKS10000"/>
    <s v="Kaeser"/>
    <m/>
    <n v="0"/>
    <m/>
    <m/>
    <m/>
    <m/>
    <m/>
    <m/>
    <n v="0"/>
    <m/>
    <m/>
    <m/>
    <m/>
    <n v="0"/>
    <n v="0"/>
    <n v="0"/>
    <n v="0"/>
    <n v="0"/>
    <n v="0"/>
    <n v="0"/>
  </r>
  <r>
    <x v="10"/>
    <x v="155"/>
    <s v="Pauchard"/>
    <s v="CuveEquipements de cuvePauchard"/>
    <s v="50L - 11 bars"/>
    <n v="39"/>
    <s v="EQTPAU0050"/>
    <s v="Pauchard"/>
    <m/>
    <n v="0"/>
    <m/>
    <m/>
    <m/>
    <m/>
    <m/>
    <m/>
    <n v="0"/>
    <m/>
    <m/>
    <m/>
    <m/>
    <n v="0"/>
    <n v="0"/>
    <n v="0"/>
    <n v="0"/>
    <n v="0"/>
    <n v="0"/>
    <n v="0"/>
  </r>
  <r>
    <x v="10"/>
    <x v="155"/>
    <s v="Pauchard"/>
    <s v="CuveEquipements de cuvePauchard"/>
    <s v="100L - 11 bars"/>
    <n v="40"/>
    <s v="EQTPAU0100"/>
    <s v="Pauchard"/>
    <m/>
    <n v="0"/>
    <m/>
    <m/>
    <m/>
    <m/>
    <m/>
    <m/>
    <n v="0"/>
    <m/>
    <m/>
    <m/>
    <m/>
    <n v="0"/>
    <n v="0"/>
    <n v="0"/>
    <n v="0"/>
    <n v="0"/>
    <n v="0"/>
    <n v="0"/>
  </r>
  <r>
    <x v="10"/>
    <x v="155"/>
    <s v="Pauchard"/>
    <s v="CuveEquipements de cuvePauchard"/>
    <s v="200L - 11 bars"/>
    <n v="41"/>
    <s v="EQTPAU0200"/>
    <s v="Pauchard"/>
    <m/>
    <n v="0"/>
    <m/>
    <m/>
    <m/>
    <m/>
    <m/>
    <m/>
    <n v="0"/>
    <m/>
    <m/>
    <m/>
    <m/>
    <n v="0"/>
    <n v="0"/>
    <n v="0"/>
    <n v="0"/>
    <n v="0"/>
    <n v="0"/>
    <n v="0"/>
  </r>
  <r>
    <x v="10"/>
    <x v="155"/>
    <s v="Pauchard"/>
    <s v="CuveEquipements de cuvePauchard"/>
    <s v="300L - 11 bars"/>
    <n v="42"/>
    <s v="EQTPAU0300"/>
    <s v="Pauchard"/>
    <m/>
    <n v="0"/>
    <m/>
    <m/>
    <m/>
    <m/>
    <m/>
    <m/>
    <n v="0"/>
    <m/>
    <m/>
    <m/>
    <m/>
    <n v="0"/>
    <n v="0"/>
    <n v="0"/>
    <n v="0"/>
    <n v="0"/>
    <n v="0"/>
    <n v="0"/>
  </r>
  <r>
    <x v="10"/>
    <x v="155"/>
    <s v="Pauchard"/>
    <s v="CuveEquipements de cuvePauchard"/>
    <s v="500L - 11 bars"/>
    <n v="43"/>
    <s v="EQTPAU0500"/>
    <s v="Pauchard"/>
    <m/>
    <n v="0"/>
    <m/>
    <m/>
    <m/>
    <m/>
    <m/>
    <m/>
    <n v="0"/>
    <m/>
    <m/>
    <m/>
    <m/>
    <n v="0"/>
    <n v="0"/>
    <n v="0"/>
    <n v="0"/>
    <n v="0"/>
    <n v="0"/>
    <n v="0"/>
  </r>
  <r>
    <x v="10"/>
    <x v="155"/>
    <s v="Pauchard"/>
    <s v="CuveEquipements de cuvePauchard"/>
    <s v="500L - 16 bars"/>
    <n v="44"/>
    <s v="EQTPAU0500.16G"/>
    <s v="Pauchard"/>
    <m/>
    <n v="0"/>
    <m/>
    <m/>
    <m/>
    <m/>
    <m/>
    <m/>
    <n v="0"/>
    <m/>
    <m/>
    <m/>
    <m/>
    <n v="0"/>
    <n v="0"/>
    <n v="0"/>
    <n v="0"/>
    <n v="0"/>
    <n v="0"/>
    <n v="0"/>
  </r>
  <r>
    <x v="10"/>
    <x v="155"/>
    <s v="Pauchard"/>
    <s v="CuveEquipements de cuvePauchard"/>
    <s v="750L - 11 bars"/>
    <n v="45"/>
    <s v="EQTPAU0750"/>
    <s v="Pauchard"/>
    <m/>
    <n v="0"/>
    <m/>
    <m/>
    <m/>
    <m/>
    <m/>
    <m/>
    <n v="0"/>
    <m/>
    <m/>
    <m/>
    <m/>
    <n v="0"/>
    <n v="0"/>
    <n v="0"/>
    <n v="0"/>
    <n v="0"/>
    <n v="0"/>
    <n v="0"/>
  </r>
  <r>
    <x v="10"/>
    <x v="155"/>
    <s v="Pauchard"/>
    <s v="CuveEquipements de cuvePauchard"/>
    <s v="900L - 11 bars"/>
    <n v="46"/>
    <s v="EQTPAU0900"/>
    <s v="Pauchard"/>
    <m/>
    <n v="0"/>
    <m/>
    <m/>
    <m/>
    <m/>
    <m/>
    <m/>
    <n v="0"/>
    <m/>
    <m/>
    <m/>
    <m/>
    <n v="0"/>
    <n v="0"/>
    <n v="0"/>
    <n v="0"/>
    <n v="0"/>
    <n v="0"/>
    <n v="0"/>
  </r>
  <r>
    <x v="10"/>
    <x v="155"/>
    <s v="Pauchard"/>
    <s v="CuveEquipements de cuvePauchard"/>
    <s v="1 000L - 11 bars"/>
    <n v="47"/>
    <s v="EQTPAU1000"/>
    <s v="Pauchard"/>
    <m/>
    <n v="0"/>
    <m/>
    <m/>
    <m/>
    <m/>
    <m/>
    <m/>
    <n v="0"/>
    <m/>
    <m/>
    <m/>
    <m/>
    <n v="0"/>
    <n v="0"/>
    <n v="0"/>
    <n v="0"/>
    <n v="0"/>
    <n v="0"/>
    <n v="0"/>
  </r>
  <r>
    <x v="10"/>
    <x v="155"/>
    <s v="Pauchard"/>
    <s v="CuveEquipements de cuvePauchard"/>
    <s v="1 500L - 11 bars"/>
    <n v="48"/>
    <s v="EQTPAU1500"/>
    <s v="Pauchard"/>
    <m/>
    <n v="0"/>
    <m/>
    <m/>
    <m/>
    <m/>
    <m/>
    <m/>
    <n v="0"/>
    <m/>
    <m/>
    <m/>
    <m/>
    <n v="0"/>
    <n v="0"/>
    <n v="0"/>
    <n v="0"/>
    <n v="0"/>
    <n v="0"/>
    <n v="0"/>
  </r>
  <r>
    <x v="10"/>
    <x v="155"/>
    <s v="Pauchard"/>
    <s v="CuveEquipements de cuvePauchard"/>
    <s v="1 500L - 16 bars"/>
    <n v="49"/>
    <s v="EQTPAU1500.16G"/>
    <s v="Pauchard"/>
    <m/>
    <n v="0"/>
    <m/>
    <m/>
    <m/>
    <m/>
    <m/>
    <m/>
    <n v="0"/>
    <m/>
    <m/>
    <m/>
    <m/>
    <n v="0"/>
    <n v="0"/>
    <n v="0"/>
    <n v="0"/>
    <n v="0"/>
    <n v="0"/>
    <n v="0"/>
  </r>
  <r>
    <x v="10"/>
    <x v="155"/>
    <s v="Pauchard"/>
    <s v="CuveEquipements de cuvePauchard"/>
    <s v="2 000L - 11 bars"/>
    <n v="50"/>
    <s v="EQTPAU2000"/>
    <s v="Pauchard"/>
    <m/>
    <n v="0"/>
    <m/>
    <m/>
    <m/>
    <m/>
    <m/>
    <m/>
    <n v="0"/>
    <m/>
    <m/>
    <m/>
    <m/>
    <n v="0"/>
    <n v="0"/>
    <n v="0"/>
    <n v="0"/>
    <n v="0"/>
    <n v="0"/>
    <n v="0"/>
  </r>
  <r>
    <x v="10"/>
    <x v="155"/>
    <s v="Pauchard"/>
    <s v="CuveEquipements de cuvePauchard"/>
    <s v="3 000L - 11 bars"/>
    <n v="51"/>
    <s v="EQTPAU3000"/>
    <s v="Pauchard"/>
    <m/>
    <n v="0"/>
    <m/>
    <m/>
    <m/>
    <m/>
    <m/>
    <m/>
    <n v="0"/>
    <m/>
    <m/>
    <m/>
    <m/>
    <n v="0"/>
    <n v="0"/>
    <n v="0"/>
    <n v="0"/>
    <n v="0"/>
    <n v="0"/>
    <n v="0"/>
  </r>
  <r>
    <x v="10"/>
    <x v="155"/>
    <s v="Pauchard"/>
    <s v="CuveEquipements de cuvePauchard"/>
    <s v="4 000L - 11 bars"/>
    <n v="52"/>
    <s v="EQTPAU4000"/>
    <s v="Pauchard"/>
    <m/>
    <n v="0"/>
    <m/>
    <m/>
    <m/>
    <m/>
    <m/>
    <m/>
    <n v="0"/>
    <m/>
    <m/>
    <m/>
    <m/>
    <n v="0"/>
    <n v="0"/>
    <n v="0"/>
    <n v="0"/>
    <n v="0"/>
    <n v="0"/>
    <n v="0"/>
  </r>
  <r>
    <x v="10"/>
    <x v="155"/>
    <s v="Pauchard"/>
    <s v="CuveEquipements de cuvePauchard"/>
    <s v="5 000L - 11 bars"/>
    <n v="53"/>
    <s v="EQTPAU5000"/>
    <s v="Pauchard"/>
    <m/>
    <n v="0"/>
    <m/>
    <m/>
    <m/>
    <m/>
    <m/>
    <m/>
    <n v="0"/>
    <m/>
    <m/>
    <m/>
    <m/>
    <n v="0"/>
    <n v="0"/>
    <n v="0"/>
    <n v="0"/>
    <n v="0"/>
    <n v="0"/>
    <n v="0"/>
  </r>
  <r>
    <x v="10"/>
    <x v="155"/>
    <s v="Pauchard"/>
    <s v="CuveEquipements de cuvePauchard"/>
    <s v="Kit standard 2&quot; - 5 000L - 11 bars"/>
    <n v="54"/>
    <s v="EQTPAU5000-2&quot;"/>
    <s v="Pauchard"/>
    <m/>
    <n v="0"/>
    <m/>
    <m/>
    <m/>
    <m/>
    <m/>
    <m/>
    <n v="0"/>
    <m/>
    <m/>
    <m/>
    <m/>
    <n v="0"/>
    <n v="0"/>
    <n v="0"/>
    <n v="0"/>
    <n v="0"/>
    <n v="0"/>
    <n v="0"/>
  </r>
  <r>
    <x v="10"/>
    <x v="155"/>
    <s v="Pauchard"/>
    <s v="CuveEquipements de cuvePauchard"/>
    <s v="Kit standard 2&quot; - 5 000L et plus - 11 bars"/>
    <n v="55"/>
    <s v="EQTPAU8000-2&quot;"/>
    <s v="Pauchard"/>
    <m/>
    <n v="0"/>
    <m/>
    <m/>
    <m/>
    <m/>
    <m/>
    <m/>
    <n v="0"/>
    <m/>
    <m/>
    <m/>
    <m/>
    <n v="0"/>
    <n v="0"/>
    <n v="0"/>
    <n v="0"/>
    <n v="0"/>
    <n v="0"/>
    <n v="0"/>
  </r>
  <r>
    <x v="10"/>
    <x v="155"/>
    <s v="Pauchard"/>
    <s v="CuveEquipements de cuvePauchard"/>
    <s v="7 000L - 11 bars"/>
    <n v="56"/>
    <s v="EQTPAU7000"/>
    <s v="Pauchard"/>
    <m/>
    <n v="0"/>
    <m/>
    <m/>
    <m/>
    <m/>
    <m/>
    <m/>
    <n v="0"/>
    <m/>
    <m/>
    <m/>
    <m/>
    <n v="0"/>
    <n v="0"/>
    <n v="0"/>
    <n v="0"/>
    <n v="0"/>
    <n v="0"/>
    <n v="0"/>
  </r>
  <r>
    <x v="10"/>
    <x v="155"/>
    <s v="Pauchard"/>
    <s v="CuveEquipements de cuvePauchard"/>
    <s v="8 000L - 11 bars"/>
    <n v="57"/>
    <s v="EQTPAU8000"/>
    <s v="Pauchard"/>
    <m/>
    <n v="0"/>
    <m/>
    <m/>
    <m/>
    <m/>
    <m/>
    <m/>
    <n v="0"/>
    <m/>
    <m/>
    <m/>
    <m/>
    <n v="0"/>
    <n v="0"/>
    <n v="0"/>
    <n v="0"/>
    <n v="0"/>
    <n v="0"/>
    <n v="0"/>
  </r>
  <r>
    <x v="10"/>
    <x v="155"/>
    <s v="Pauchard"/>
    <s v="CuveEquipements de cuvePauchard"/>
    <s v="10 000L - 11 bars"/>
    <n v="58"/>
    <s v="EQTPAU10000"/>
    <s v="Pauchard"/>
    <m/>
    <n v="0"/>
    <m/>
    <m/>
    <m/>
    <m/>
    <m/>
    <m/>
    <n v="0"/>
    <m/>
    <m/>
    <m/>
    <m/>
    <n v="0"/>
    <n v="0"/>
    <n v="0"/>
    <n v="0"/>
    <n v="0"/>
    <n v="0"/>
    <n v="0"/>
  </r>
  <r>
    <x v="10"/>
    <x v="155"/>
    <s v="Pauchard"/>
    <s v="CuveEquipements de cuvePauchard"/>
    <s v="10 000L INOX - 11 bars"/>
    <n v="59"/>
    <s v="EQTPAU10000I"/>
    <s v="Pauchard"/>
    <m/>
    <n v="0"/>
    <m/>
    <m/>
    <m/>
    <m/>
    <m/>
    <m/>
    <n v="0"/>
    <m/>
    <m/>
    <m/>
    <m/>
    <n v="0"/>
    <n v="0"/>
    <n v="0"/>
    <n v="0"/>
    <n v="0"/>
    <n v="0"/>
    <n v="0"/>
  </r>
  <r>
    <x v="10"/>
    <x v="155"/>
    <s v="Pauchard"/>
    <s v="CuveEquipements de cuvePauchard"/>
    <s v="20 000L - 11 bars"/>
    <n v="60"/>
    <s v="EQTPAU20000"/>
    <s v="Pauchard"/>
    <m/>
    <n v="0"/>
    <m/>
    <m/>
    <m/>
    <m/>
    <m/>
    <m/>
    <n v="0"/>
    <m/>
    <m/>
    <m/>
    <m/>
    <n v="0"/>
    <n v="0"/>
    <n v="0"/>
    <n v="0"/>
    <n v="0"/>
    <n v="0"/>
    <n v="0"/>
  </r>
  <r>
    <x v="10"/>
    <x v="156"/>
    <m/>
    <s v="CuveReservoir Vertical - Air comprimé"/>
    <m/>
    <n v="0"/>
    <m/>
    <m/>
    <m/>
    <n v="0"/>
    <m/>
    <m/>
    <m/>
    <m/>
    <m/>
    <m/>
    <n v="0"/>
    <m/>
    <m/>
    <m/>
    <m/>
    <n v="0"/>
    <n v="0"/>
    <n v="0"/>
    <n v="0"/>
    <n v="0"/>
    <n v="0"/>
    <n v="0"/>
  </r>
  <r>
    <x v="10"/>
    <x v="156"/>
    <s v="Compair"/>
    <s v="CuveReservoir Vertical - Air compriméCompair"/>
    <s v="200L - 10 bars - Peint et équipé"/>
    <n v="1"/>
    <s v="RV0200-PS10-01"/>
    <s v="Compair"/>
    <m/>
    <n v="0"/>
    <m/>
    <m/>
    <m/>
    <m/>
    <m/>
    <m/>
    <n v="0"/>
    <m/>
    <m/>
    <m/>
    <m/>
    <n v="0"/>
    <n v="0"/>
    <n v="0"/>
    <n v="0"/>
    <n v="0"/>
    <n v="0"/>
    <n v="0"/>
  </r>
  <r>
    <x v="10"/>
    <x v="156"/>
    <s v="Compair"/>
    <s v="CuveReservoir Vertical - Air compriméCompair"/>
    <s v="200L - 10 bars - Galva et équipé"/>
    <n v="2"/>
    <s v="RV0200-PS10-G"/>
    <s v="Compair"/>
    <m/>
    <n v="0"/>
    <m/>
    <m/>
    <m/>
    <m/>
    <m/>
    <m/>
    <n v="0"/>
    <m/>
    <m/>
    <m/>
    <m/>
    <n v="0"/>
    <n v="0"/>
    <n v="0"/>
    <n v="0"/>
    <n v="0"/>
    <n v="0"/>
    <n v="0"/>
  </r>
  <r>
    <x v="10"/>
    <x v="156"/>
    <s v="Compair"/>
    <s v="CuveReservoir Vertical - Air compriméCompair"/>
    <s v="250L - 10,7 bars - Galva"/>
    <n v="3"/>
    <s v="RV0250-PS10-G"/>
    <s v="Compair"/>
    <m/>
    <n v="0"/>
    <m/>
    <m/>
    <m/>
    <m/>
    <m/>
    <m/>
    <n v="0"/>
    <m/>
    <m/>
    <m/>
    <m/>
    <n v="0"/>
    <n v="0"/>
    <n v="0"/>
    <n v="0"/>
    <n v="0"/>
    <n v="0"/>
    <n v="0"/>
  </r>
  <r>
    <x v="10"/>
    <x v="156"/>
    <s v="Compair"/>
    <s v="CuveReservoir Vertical - Air compriméCompair"/>
    <s v="270L - 11 bars - Galva"/>
    <n v="4"/>
    <s v="RV0270-PS11-G"/>
    <s v="Compair"/>
    <m/>
    <n v="0"/>
    <m/>
    <m/>
    <m/>
    <m/>
    <m/>
    <m/>
    <n v="0"/>
    <m/>
    <m/>
    <m/>
    <m/>
    <n v="0"/>
    <n v="0"/>
    <n v="0"/>
    <n v="0"/>
    <n v="0"/>
    <n v="0"/>
    <n v="0"/>
  </r>
  <r>
    <x v="10"/>
    <x v="156"/>
    <s v="Compair"/>
    <s v="CuveReservoir Vertical - Air compriméCompair"/>
    <s v="500L - 10 bars - Peint et équipé"/>
    <n v="5"/>
    <s v="RV0500-PS10-01"/>
    <s v="Compair"/>
    <m/>
    <n v="0"/>
    <m/>
    <m/>
    <m/>
    <m/>
    <m/>
    <m/>
    <n v="0"/>
    <m/>
    <m/>
    <m/>
    <m/>
    <n v="0"/>
    <n v="0"/>
    <n v="0"/>
    <n v="0"/>
    <n v="0"/>
    <n v="0"/>
    <n v="0"/>
  </r>
  <r>
    <x v="10"/>
    <x v="156"/>
    <s v="Compair"/>
    <s v="CuveReservoir Vertical - Air compriméCompair"/>
    <s v="500L - 10,7 bars - Galva"/>
    <n v="6"/>
    <s v="RV0500-PS10-G"/>
    <s v="Compair"/>
    <m/>
    <n v="0"/>
    <m/>
    <m/>
    <m/>
    <m/>
    <m/>
    <m/>
    <n v="0"/>
    <m/>
    <m/>
    <m/>
    <m/>
    <n v="0"/>
    <n v="0"/>
    <n v="0"/>
    <n v="0"/>
    <n v="0"/>
    <n v="0"/>
    <n v="0"/>
  </r>
  <r>
    <x v="10"/>
    <x v="156"/>
    <s v="Compair"/>
    <s v="CuveReservoir Vertical - Air compriméCompair"/>
    <s v="500L - 10 bars - Galva"/>
    <n v="7"/>
    <s v="RVCO0500.10G"/>
    <s v="Compair"/>
    <m/>
    <n v="0"/>
    <m/>
    <m/>
    <m/>
    <m/>
    <m/>
    <m/>
    <n v="0"/>
    <m/>
    <m/>
    <m/>
    <m/>
    <n v="0"/>
    <n v="0"/>
    <n v="0"/>
    <n v="0"/>
    <n v="0"/>
    <n v="0"/>
    <n v="0"/>
  </r>
  <r>
    <x v="10"/>
    <x v="156"/>
    <s v="Compair"/>
    <s v="CuveReservoir Vertical - Air compriméCompair"/>
    <s v="500L - 16 bars - Peint"/>
    <n v="8"/>
    <s v="RV0500-PS16-01"/>
    <s v="Compair"/>
    <m/>
    <n v="0"/>
    <m/>
    <m/>
    <m/>
    <m/>
    <m/>
    <m/>
    <n v="0"/>
    <m/>
    <m/>
    <m/>
    <m/>
    <n v="0"/>
    <n v="0"/>
    <n v="0"/>
    <n v="0"/>
    <n v="0"/>
    <n v="0"/>
    <n v="0"/>
  </r>
  <r>
    <x v="10"/>
    <x v="156"/>
    <s v="Compair"/>
    <s v="CuveReservoir Vertical - Air compriméCompair"/>
    <s v="800L - 10 bars - Peint"/>
    <n v="9"/>
    <s v="RV0800-PS10"/>
    <s v="Compair"/>
    <m/>
    <n v="0"/>
    <m/>
    <m/>
    <m/>
    <m/>
    <m/>
    <m/>
    <n v="0"/>
    <m/>
    <m/>
    <m/>
    <m/>
    <n v="0"/>
    <n v="0"/>
    <n v="0"/>
    <n v="0"/>
    <n v="0"/>
    <n v="0"/>
    <n v="0"/>
  </r>
  <r>
    <x v="10"/>
    <x v="156"/>
    <s v="Compair"/>
    <s v="CuveReservoir Vertical - Air compriméCompair"/>
    <s v="900L - 10 bars - Peint"/>
    <n v="10"/>
    <s v="RV0900-PS10-01"/>
    <s v="Compair"/>
    <m/>
    <n v="0"/>
    <m/>
    <m/>
    <m/>
    <m/>
    <m/>
    <m/>
    <n v="0"/>
    <m/>
    <m/>
    <m/>
    <m/>
    <n v="0"/>
    <n v="0"/>
    <n v="0"/>
    <n v="0"/>
    <n v="0"/>
    <n v="0"/>
    <n v="0"/>
  </r>
  <r>
    <x v="10"/>
    <x v="156"/>
    <s v="Compair"/>
    <s v="CuveReservoir Vertical - Air compriméCompair"/>
    <s v="900L - 10 bars - Galva"/>
    <n v="11"/>
    <s v="RVCO0900.10G"/>
    <s v="Compair"/>
    <m/>
    <n v="0"/>
    <m/>
    <m/>
    <m/>
    <m/>
    <m/>
    <m/>
    <n v="0"/>
    <m/>
    <m/>
    <m/>
    <m/>
    <n v="0"/>
    <n v="0"/>
    <n v="0"/>
    <n v="0"/>
    <n v="0"/>
    <n v="0"/>
    <n v="0"/>
  </r>
  <r>
    <x v="10"/>
    <x v="156"/>
    <s v="Compair"/>
    <s v="CuveReservoir Vertical - Air compriméCompair"/>
    <s v="900L - 10,7 bars - Galva"/>
    <n v="12"/>
    <s v="RV0901-PS10-G"/>
    <s v="Compair"/>
    <m/>
    <n v="0"/>
    <m/>
    <m/>
    <m/>
    <m/>
    <m/>
    <m/>
    <n v="0"/>
    <m/>
    <m/>
    <m/>
    <m/>
    <n v="0"/>
    <n v="0"/>
    <n v="0"/>
    <n v="0"/>
    <n v="0"/>
    <n v="0"/>
    <n v="0"/>
  </r>
  <r>
    <x v="10"/>
    <x v="156"/>
    <s v="Compair"/>
    <s v="CuveReservoir Vertical - Air compriméCompair"/>
    <s v="1000L - 11 bars - Galva"/>
    <n v="13"/>
    <s v="RV0901-PS11-G"/>
    <s v="Compair"/>
    <m/>
    <n v="0"/>
    <m/>
    <m/>
    <m/>
    <m/>
    <m/>
    <m/>
    <n v="0"/>
    <m/>
    <m/>
    <m/>
    <m/>
    <n v="0"/>
    <n v="0"/>
    <n v="0"/>
    <n v="0"/>
    <n v="0"/>
    <n v="0"/>
    <n v="0"/>
  </r>
  <r>
    <x v="10"/>
    <x v="156"/>
    <s v="Compair"/>
    <s v="CuveReservoir Vertical - Air compriméCompair"/>
    <s v="1000L - 12 bars - Peint"/>
    <n v="14"/>
    <s v="RV1000-PS12"/>
    <s v="Compair"/>
    <m/>
    <n v="0"/>
    <m/>
    <m/>
    <m/>
    <m/>
    <m/>
    <m/>
    <n v="0"/>
    <m/>
    <m/>
    <m/>
    <m/>
    <n v="0"/>
    <n v="0"/>
    <n v="0"/>
    <n v="0"/>
    <n v="0"/>
    <n v="0"/>
    <n v="0"/>
  </r>
  <r>
    <x v="10"/>
    <x v="156"/>
    <s v="Compair"/>
    <s v="CuveReservoir Vertical - Air compriméCompair"/>
    <s v="1000L - 14 bars - Peint"/>
    <n v="15"/>
    <s v="RV1000PS14"/>
    <s v="Compair"/>
    <m/>
    <n v="0"/>
    <m/>
    <m/>
    <m/>
    <m/>
    <m/>
    <m/>
    <n v="0"/>
    <m/>
    <m/>
    <m/>
    <m/>
    <n v="0"/>
    <n v="0"/>
    <n v="0"/>
    <n v="0"/>
    <n v="0"/>
    <n v="0"/>
    <n v="0"/>
  </r>
  <r>
    <x v="10"/>
    <x v="156"/>
    <s v="Compair"/>
    <s v="CuveReservoir Vertical - Air compriméCompair"/>
    <s v="2000L - 10 bars - Galva"/>
    <n v="16"/>
    <s v="RV2000-PS10"/>
    <s v="Compair"/>
    <m/>
    <n v="0"/>
    <m/>
    <m/>
    <m/>
    <m/>
    <m/>
    <m/>
    <n v="0"/>
    <m/>
    <m/>
    <m/>
    <m/>
    <n v="0"/>
    <n v="0"/>
    <n v="0"/>
    <n v="0"/>
    <n v="0"/>
    <n v="0"/>
    <n v="0"/>
  </r>
  <r>
    <x v="10"/>
    <x v="156"/>
    <s v="Kaeser"/>
    <s v="CuveReservoir Vertical - Air compriméKaeser"/>
    <s v="90L - 11 bars - Galva"/>
    <n v="17"/>
    <s v="RVKS0090.11G"/>
    <s v="Kaeser"/>
    <m/>
    <n v="0"/>
    <m/>
    <m/>
    <m/>
    <m/>
    <m/>
    <m/>
    <n v="0"/>
    <m/>
    <m/>
    <m/>
    <m/>
    <n v="0"/>
    <n v="0"/>
    <n v="0"/>
    <n v="0"/>
    <n v="0"/>
    <n v="0"/>
    <n v="0"/>
  </r>
  <r>
    <x v="10"/>
    <x v="156"/>
    <s v="Kaeser"/>
    <s v="CuveReservoir Vertical - Air compriméKaeser"/>
    <s v="90L - 45 bars - Galva"/>
    <n v="18"/>
    <s v="RVKS0090.45G"/>
    <s v="Kaeser"/>
    <m/>
    <n v="0"/>
    <m/>
    <m/>
    <m/>
    <m/>
    <m/>
    <m/>
    <n v="0"/>
    <m/>
    <m/>
    <m/>
    <m/>
    <n v="0"/>
    <n v="0"/>
    <n v="0"/>
    <n v="0"/>
    <n v="0"/>
    <n v="0"/>
    <n v="0"/>
  </r>
  <r>
    <x v="10"/>
    <x v="156"/>
    <s v="Kaeser"/>
    <s v="CuveReservoir Vertical - Air compriméKaeser"/>
    <s v="150L - 11 bars - Galva"/>
    <n v="19"/>
    <s v="RVKS0150.11G"/>
    <s v="Kaeser"/>
    <m/>
    <n v="0"/>
    <m/>
    <m/>
    <m/>
    <m/>
    <m/>
    <m/>
    <n v="0"/>
    <m/>
    <m/>
    <m/>
    <m/>
    <n v="0"/>
    <n v="0"/>
    <n v="0"/>
    <n v="0"/>
    <n v="0"/>
    <n v="0"/>
    <n v="0"/>
  </r>
  <r>
    <x v="10"/>
    <x v="156"/>
    <s v="Kaeser"/>
    <s v="CuveReservoir Vertical - Air compriméKaeser"/>
    <s v="150L - 16 bars - Galva"/>
    <n v="20"/>
    <s v="RVKS0150.16G"/>
    <s v="Kaeser"/>
    <m/>
    <n v="0"/>
    <m/>
    <m/>
    <m/>
    <m/>
    <m/>
    <m/>
    <n v="0"/>
    <m/>
    <m/>
    <m/>
    <m/>
    <n v="0"/>
    <n v="0"/>
    <n v="0"/>
    <n v="0"/>
    <n v="0"/>
    <n v="0"/>
    <n v="0"/>
  </r>
  <r>
    <x v="10"/>
    <x v="156"/>
    <s v="Kaeser"/>
    <s v="CuveReservoir Vertical - Air compriméKaeser"/>
    <s v="250L - 11 bars - Galva"/>
    <n v="21"/>
    <s v="RVKS0250.11G"/>
    <s v="Kaeser"/>
    <m/>
    <n v="0"/>
    <m/>
    <m/>
    <m/>
    <m/>
    <m/>
    <m/>
    <n v="0"/>
    <m/>
    <m/>
    <m/>
    <m/>
    <n v="0"/>
    <n v="0"/>
    <n v="0"/>
    <n v="0"/>
    <n v="0"/>
    <n v="0"/>
    <n v="0"/>
  </r>
  <r>
    <x v="10"/>
    <x v="156"/>
    <s v="Kaeser"/>
    <s v="CuveReservoir Vertical - Air compriméKaeser"/>
    <s v="250L - 16 bars - Galva"/>
    <n v="22"/>
    <s v="RVKS0250.16G"/>
    <s v="Kaeser"/>
    <m/>
    <n v="0"/>
    <m/>
    <m/>
    <m/>
    <m/>
    <m/>
    <m/>
    <n v="0"/>
    <m/>
    <m/>
    <m/>
    <m/>
    <n v="0"/>
    <n v="0"/>
    <n v="0"/>
    <n v="0"/>
    <n v="0"/>
    <n v="0"/>
    <n v="0"/>
  </r>
  <r>
    <x v="10"/>
    <x v="156"/>
    <s v="Kaeser"/>
    <s v="CuveReservoir Vertical - Air compriméKaeser"/>
    <s v="250L - 45 bars - Galva"/>
    <n v="23"/>
    <s v="RVKS0250.45G"/>
    <s v="Kaeser"/>
    <m/>
    <n v="0"/>
    <m/>
    <m/>
    <m/>
    <m/>
    <m/>
    <m/>
    <n v="0"/>
    <m/>
    <m/>
    <m/>
    <m/>
    <n v="0"/>
    <n v="0"/>
    <n v="0"/>
    <n v="0"/>
    <n v="0"/>
    <n v="0"/>
    <n v="0"/>
  </r>
  <r>
    <x v="10"/>
    <x v="156"/>
    <s v="Kaeser"/>
    <s v="CuveReservoir Vertical - Air compriméKaeser"/>
    <s v="350L - 11 bars - Galva"/>
    <n v="24"/>
    <s v="RVKS0350.11G"/>
    <s v="Kaeser"/>
    <m/>
    <n v="0"/>
    <m/>
    <m/>
    <m/>
    <m/>
    <m/>
    <m/>
    <n v="0"/>
    <m/>
    <m/>
    <m/>
    <m/>
    <n v="0"/>
    <n v="0"/>
    <n v="0"/>
    <n v="0"/>
    <n v="0"/>
    <n v="0"/>
    <n v="0"/>
  </r>
  <r>
    <x v="10"/>
    <x v="156"/>
    <s v="Kaeser"/>
    <s v="CuveReservoir Vertical - Air compriméKaeser"/>
    <s v="350L - 16 bars - Galva"/>
    <n v="25"/>
    <s v="RVKS0350.16G"/>
    <s v="Kaeser"/>
    <m/>
    <n v="0"/>
    <m/>
    <m/>
    <m/>
    <m/>
    <m/>
    <m/>
    <n v="0"/>
    <m/>
    <m/>
    <m/>
    <m/>
    <n v="0"/>
    <n v="0"/>
    <n v="0"/>
    <n v="0"/>
    <n v="0"/>
    <n v="0"/>
    <n v="0"/>
  </r>
  <r>
    <x v="10"/>
    <x v="156"/>
    <s v="Kaeser"/>
    <s v="CuveReservoir Vertical - Air compriméKaeser"/>
    <s v="500L - 11 bars - Galva"/>
    <n v="26"/>
    <s v="RVKS0500.11G"/>
    <s v="Kaeser"/>
    <m/>
    <n v="0"/>
    <m/>
    <m/>
    <m/>
    <m/>
    <m/>
    <m/>
    <n v="0"/>
    <m/>
    <m/>
    <m/>
    <m/>
    <n v="0"/>
    <n v="0"/>
    <n v="0"/>
    <n v="0"/>
    <n v="0"/>
    <n v="0"/>
    <n v="0"/>
  </r>
  <r>
    <x v="10"/>
    <x v="156"/>
    <s v="Kaeser"/>
    <s v="CuveReservoir Vertical - Air compriméKaeser"/>
    <s v="500L - 16 bars - Galva"/>
    <n v="27"/>
    <s v="RVKS0500.16G"/>
    <s v="Kaeser"/>
    <m/>
    <n v="0"/>
    <m/>
    <m/>
    <m/>
    <m/>
    <m/>
    <m/>
    <n v="0"/>
    <m/>
    <m/>
    <m/>
    <m/>
    <n v="0"/>
    <n v="0"/>
    <n v="0"/>
    <n v="0"/>
    <n v="0"/>
    <n v="0"/>
    <n v="0"/>
  </r>
  <r>
    <x v="10"/>
    <x v="156"/>
    <s v="Kaeser"/>
    <s v="CuveReservoir Vertical - Air compriméKaeser"/>
    <s v="500L - 45 bars - Galva"/>
    <n v="28"/>
    <s v="RVKS0500.45G"/>
    <s v="Kaeser"/>
    <m/>
    <n v="0"/>
    <m/>
    <m/>
    <m/>
    <m/>
    <m/>
    <m/>
    <n v="0"/>
    <m/>
    <m/>
    <m/>
    <m/>
    <n v="0"/>
    <n v="0"/>
    <n v="0"/>
    <n v="0"/>
    <n v="0"/>
    <n v="0"/>
    <n v="0"/>
  </r>
  <r>
    <x v="10"/>
    <x v="156"/>
    <s v="Kaeser"/>
    <s v="CuveReservoir Vertical - Air compriméKaeser"/>
    <s v="900L - 11 bars - Galva"/>
    <n v="29"/>
    <s v="RVKS0900.11G"/>
    <s v="Kaeser"/>
    <m/>
    <n v="0"/>
    <m/>
    <m/>
    <m/>
    <m/>
    <m/>
    <m/>
    <n v="0"/>
    <m/>
    <m/>
    <m/>
    <m/>
    <n v="0"/>
    <n v="0"/>
    <n v="0"/>
    <n v="0"/>
    <n v="0"/>
    <n v="0"/>
    <n v="0"/>
  </r>
  <r>
    <x v="10"/>
    <x v="156"/>
    <s v="Kaeser"/>
    <s v="CuveReservoir Vertical - Air compriméKaeser"/>
    <s v="1000L - 11 bars - Galva"/>
    <n v="30"/>
    <s v="RVKS1000.11G"/>
    <s v="Kaeser"/>
    <m/>
    <n v="0"/>
    <m/>
    <m/>
    <m/>
    <m/>
    <m/>
    <m/>
    <n v="0"/>
    <m/>
    <m/>
    <m/>
    <m/>
    <n v="0"/>
    <n v="0"/>
    <n v="0"/>
    <n v="0"/>
    <n v="0"/>
    <n v="0"/>
    <n v="0"/>
  </r>
  <r>
    <x v="10"/>
    <x v="156"/>
    <s v="Kaeser"/>
    <s v="CuveReservoir Vertical - Air compriméKaeser"/>
    <s v="1000L - 16 bars - Galva"/>
    <n v="31"/>
    <s v="RVKS1000.16G"/>
    <s v="Kaeser"/>
    <m/>
    <n v="0"/>
    <m/>
    <m/>
    <m/>
    <m/>
    <m/>
    <m/>
    <n v="0"/>
    <m/>
    <m/>
    <m/>
    <m/>
    <n v="0"/>
    <n v="0"/>
    <n v="0"/>
    <n v="0"/>
    <n v="0"/>
    <n v="0"/>
    <n v="0"/>
  </r>
  <r>
    <x v="10"/>
    <x v="156"/>
    <s v="Kaeser"/>
    <s v="CuveReservoir Vertical - Air compriméKaeser"/>
    <s v="1000L - 45 bars - Galva"/>
    <n v="32"/>
    <s v="RVKS1000.45G"/>
    <s v="Kaeser"/>
    <m/>
    <n v="0"/>
    <m/>
    <m/>
    <m/>
    <m/>
    <m/>
    <m/>
    <n v="0"/>
    <m/>
    <m/>
    <m/>
    <m/>
    <n v="0"/>
    <n v="0"/>
    <n v="0"/>
    <n v="0"/>
    <n v="0"/>
    <n v="0"/>
    <n v="0"/>
  </r>
  <r>
    <x v="10"/>
    <x v="156"/>
    <s v="Kaeser"/>
    <s v="CuveReservoir Vertical - Air compriméKaeser"/>
    <s v="2000L - 50 bars - Galva"/>
    <n v="33"/>
    <s v="RVKS2000-50G"/>
    <s v="Kaeser"/>
    <m/>
    <n v="0"/>
    <m/>
    <m/>
    <m/>
    <m/>
    <m/>
    <m/>
    <n v="0"/>
    <m/>
    <m/>
    <m/>
    <m/>
    <n v="0"/>
    <n v="0"/>
    <n v="0"/>
    <n v="0"/>
    <n v="0"/>
    <n v="0"/>
    <n v="0"/>
  </r>
  <r>
    <x v="10"/>
    <x v="156"/>
    <s v="Kaeser"/>
    <s v="CuveReservoir Vertical - Air compriméKaeser"/>
    <s v="2000L - 11 bars - Galva"/>
    <n v="34"/>
    <s v="RVKS2000.11G"/>
    <s v="Kaeser"/>
    <m/>
    <n v="0"/>
    <m/>
    <m/>
    <m/>
    <m/>
    <m/>
    <m/>
    <n v="0"/>
    <m/>
    <m/>
    <m/>
    <m/>
    <n v="0"/>
    <n v="0"/>
    <n v="0"/>
    <n v="0"/>
    <n v="0"/>
    <n v="0"/>
    <n v="0"/>
  </r>
  <r>
    <x v="10"/>
    <x v="156"/>
    <s v="Kaeser"/>
    <s v="CuveReservoir Vertical - Air compriméKaeser"/>
    <s v="2000L - 16 bars - Galva"/>
    <n v="35"/>
    <s v="RVKS2000.16G"/>
    <s v="Kaeser"/>
    <m/>
    <n v="0"/>
    <m/>
    <m/>
    <m/>
    <m/>
    <m/>
    <m/>
    <n v="0"/>
    <m/>
    <m/>
    <m/>
    <m/>
    <n v="0"/>
    <n v="0"/>
    <n v="0"/>
    <n v="0"/>
    <n v="0"/>
    <n v="0"/>
    <n v="0"/>
  </r>
  <r>
    <x v="10"/>
    <x v="156"/>
    <s v="Kaeser"/>
    <s v="CuveReservoir Vertical - Air compriméKaeser"/>
    <s v="3000L - 11 bars - Galva"/>
    <n v="36"/>
    <s v="RVKS3000.11G"/>
    <s v="Kaeser"/>
    <m/>
    <n v="0"/>
    <m/>
    <m/>
    <m/>
    <m/>
    <m/>
    <m/>
    <n v="0"/>
    <m/>
    <m/>
    <m/>
    <m/>
    <n v="0"/>
    <n v="0"/>
    <n v="0"/>
    <n v="0"/>
    <n v="0"/>
    <n v="0"/>
    <n v="0"/>
  </r>
  <r>
    <x v="10"/>
    <x v="156"/>
    <s v="Kaeser"/>
    <s v="CuveReservoir Vertical - Air compriméKaeser"/>
    <s v="3000L - 16 bars - Galva"/>
    <n v="37"/>
    <s v="RVKS3000.16G"/>
    <s v="Kaeser"/>
    <m/>
    <n v="0"/>
    <m/>
    <m/>
    <m/>
    <m/>
    <m/>
    <m/>
    <n v="0"/>
    <m/>
    <m/>
    <m/>
    <m/>
    <n v="0"/>
    <n v="0"/>
    <n v="0"/>
    <n v="0"/>
    <n v="0"/>
    <n v="0"/>
    <n v="0"/>
  </r>
  <r>
    <x v="10"/>
    <x v="156"/>
    <s v="Kaeser"/>
    <s v="CuveReservoir Vertical - Air compriméKaeser"/>
    <s v="5000L - 11 bars - Galva"/>
    <n v="38"/>
    <s v="RVKS5000.11G"/>
    <s v="Kaeser"/>
    <m/>
    <n v="0"/>
    <m/>
    <m/>
    <m/>
    <m/>
    <m/>
    <m/>
    <n v="0"/>
    <m/>
    <m/>
    <m/>
    <m/>
    <n v="0"/>
    <n v="0"/>
    <n v="0"/>
    <n v="0"/>
    <n v="0"/>
    <n v="0"/>
    <n v="0"/>
  </r>
  <r>
    <x v="10"/>
    <x v="156"/>
    <s v="Kaeser"/>
    <s v="CuveReservoir Vertical - Air compriméKaeser"/>
    <s v="5000L - 16 bars - Galva"/>
    <n v="39"/>
    <s v="RVKS5000.16G"/>
    <s v="Kaeser"/>
    <m/>
    <n v="0"/>
    <m/>
    <m/>
    <m/>
    <m/>
    <m/>
    <m/>
    <n v="0"/>
    <m/>
    <m/>
    <m/>
    <m/>
    <n v="0"/>
    <n v="0"/>
    <n v="0"/>
    <n v="0"/>
    <n v="0"/>
    <n v="0"/>
    <n v="0"/>
  </r>
  <r>
    <x v="10"/>
    <x v="156"/>
    <s v="Kaeser"/>
    <s v="CuveReservoir Vertical - Air compriméKaeser"/>
    <s v="8000L - 11 bars - Galva"/>
    <n v="40"/>
    <s v="RVKS8000.11G"/>
    <s v="Kaeser"/>
    <m/>
    <n v="0"/>
    <m/>
    <m/>
    <m/>
    <m/>
    <m/>
    <m/>
    <n v="0"/>
    <m/>
    <m/>
    <m/>
    <m/>
    <n v="0"/>
    <n v="0"/>
    <n v="0"/>
    <n v="0"/>
    <n v="0"/>
    <n v="0"/>
    <n v="0"/>
  </r>
  <r>
    <x v="10"/>
    <x v="156"/>
    <s v="Kaeser"/>
    <s v="CuveReservoir Vertical - Air compriméKaeser"/>
    <s v="8000L - 16 bars - Galva"/>
    <n v="41"/>
    <s v="RVKS8000.16G"/>
    <s v="Kaeser"/>
    <m/>
    <n v="0"/>
    <m/>
    <m/>
    <m/>
    <m/>
    <m/>
    <m/>
    <n v="0"/>
    <m/>
    <m/>
    <m/>
    <m/>
    <n v="0"/>
    <n v="0"/>
    <n v="0"/>
    <n v="0"/>
    <n v="0"/>
    <n v="0"/>
    <n v="0"/>
  </r>
  <r>
    <x v="10"/>
    <x v="156"/>
    <s v="Kaeser"/>
    <s v="CuveReservoir Vertical - Air compriméKaeser"/>
    <s v="10 000L - 11 bars - Galva"/>
    <n v="42"/>
    <s v="RVKS10000.11G"/>
    <s v="Kaeser"/>
    <m/>
    <n v="0"/>
    <m/>
    <m/>
    <m/>
    <m/>
    <m/>
    <m/>
    <n v="0"/>
    <m/>
    <m/>
    <m/>
    <m/>
    <n v="0"/>
    <n v="0"/>
    <n v="0"/>
    <n v="0"/>
    <n v="0"/>
    <n v="0"/>
    <n v="0"/>
  </r>
  <r>
    <x v="10"/>
    <x v="156"/>
    <s v="Kaeser"/>
    <s v="CuveReservoir Vertical - Air compriméKaeser"/>
    <s v="10 000L - 16 bars - Galva"/>
    <n v="43"/>
    <s v="RVKS10000.16G"/>
    <s v="Kaeser"/>
    <m/>
    <n v="0"/>
    <m/>
    <m/>
    <m/>
    <m/>
    <m/>
    <m/>
    <n v="0"/>
    <m/>
    <m/>
    <m/>
    <m/>
    <n v="0"/>
    <n v="0"/>
    <n v="0"/>
    <n v="0"/>
    <n v="0"/>
    <n v="0"/>
    <n v="0"/>
  </r>
  <r>
    <x v="10"/>
    <x v="156"/>
    <s v="Pauchard"/>
    <s v="CuveReservoir Vertical - Air compriméPauchard"/>
    <s v="50L - 10 bars - Galva"/>
    <n v="44"/>
    <s v="RVPA0050.10G"/>
    <s v="Pauchard"/>
    <m/>
    <n v="0"/>
    <m/>
    <m/>
    <m/>
    <m/>
    <m/>
    <m/>
    <n v="0"/>
    <m/>
    <m/>
    <m/>
    <m/>
    <n v="0"/>
    <n v="0"/>
    <n v="0"/>
    <n v="0"/>
    <n v="0"/>
    <n v="0"/>
    <n v="0"/>
  </r>
  <r>
    <x v="10"/>
    <x v="156"/>
    <s v="Pauchard"/>
    <s v="CuveReservoir Vertical - Air compriméPauchard"/>
    <s v="100L - 10 bars - Galva"/>
    <n v="45"/>
    <s v="RVPA0100.10G"/>
    <s v="Pauchard"/>
    <m/>
    <n v="0"/>
    <m/>
    <m/>
    <m/>
    <m/>
    <m/>
    <m/>
    <n v="0"/>
    <m/>
    <m/>
    <m/>
    <m/>
    <n v="0"/>
    <n v="0"/>
    <n v="0"/>
    <n v="0"/>
    <n v="0"/>
    <n v="0"/>
    <n v="0"/>
  </r>
  <r>
    <x v="10"/>
    <x v="156"/>
    <s v="Pauchard"/>
    <s v="CuveReservoir Vertical - Air compriméPauchard"/>
    <s v="200L - 10 bars - Galva"/>
    <n v="46"/>
    <s v="RVPA0200.10G"/>
    <s v="Pauchard"/>
    <m/>
    <n v="0"/>
    <m/>
    <m/>
    <m/>
    <m/>
    <m/>
    <m/>
    <n v="0"/>
    <m/>
    <m/>
    <m/>
    <m/>
    <n v="0"/>
    <n v="0"/>
    <n v="0"/>
    <n v="0"/>
    <n v="0"/>
    <n v="0"/>
    <n v="0"/>
  </r>
  <r>
    <x v="10"/>
    <x v="156"/>
    <s v="Pauchard"/>
    <s v="CuveReservoir Vertical - Air compriméPauchard"/>
    <s v="300L - 10 bars - Galva"/>
    <n v="47"/>
    <s v="RVPA0300.10G"/>
    <s v="Pauchard"/>
    <m/>
    <n v="0"/>
    <m/>
    <m/>
    <m/>
    <m/>
    <m/>
    <m/>
    <n v="0"/>
    <m/>
    <m/>
    <m/>
    <m/>
    <n v="0"/>
    <n v="0"/>
    <n v="0"/>
    <n v="0"/>
    <n v="0"/>
    <n v="0"/>
    <n v="0"/>
  </r>
  <r>
    <x v="10"/>
    <x v="156"/>
    <s v="Pauchard"/>
    <s v="CuveReservoir Vertical - Air compriméPauchard"/>
    <s v="300L - 16 bars - Galva"/>
    <n v="48"/>
    <s v="RVPA0300.16G"/>
    <s v="Pauchard"/>
    <m/>
    <n v="0"/>
    <m/>
    <m/>
    <m/>
    <m/>
    <m/>
    <m/>
    <n v="0"/>
    <m/>
    <m/>
    <m/>
    <m/>
    <n v="0"/>
    <n v="0"/>
    <n v="0"/>
    <n v="0"/>
    <n v="0"/>
    <n v="0"/>
    <n v="0"/>
  </r>
  <r>
    <x v="10"/>
    <x v="156"/>
    <s v="Pauchard"/>
    <s v="CuveReservoir Vertical - Air compriméPauchard"/>
    <s v="500L - 11 bars - Galva"/>
    <n v="49"/>
    <s v="RVPA0500.11G"/>
    <s v="Pauchard"/>
    <m/>
    <n v="0"/>
    <m/>
    <m/>
    <m/>
    <m/>
    <m/>
    <m/>
    <n v="0"/>
    <m/>
    <m/>
    <m/>
    <m/>
    <n v="0"/>
    <n v="0"/>
    <n v="0"/>
    <n v="0"/>
    <n v="0"/>
    <n v="0"/>
    <n v="0"/>
  </r>
  <r>
    <x v="10"/>
    <x v="156"/>
    <s v="Pauchard"/>
    <s v="CuveReservoir Vertical - Air compriméPauchard"/>
    <s v="500L - 16 bars - Galva"/>
    <n v="50"/>
    <s v="RVPA0500.16G"/>
    <s v="Pauchard"/>
    <m/>
    <n v="0"/>
    <m/>
    <m/>
    <m/>
    <m/>
    <m/>
    <m/>
    <n v="0"/>
    <m/>
    <m/>
    <m/>
    <m/>
    <n v="0"/>
    <n v="0"/>
    <n v="0"/>
    <n v="0"/>
    <n v="0"/>
    <n v="0"/>
    <n v="0"/>
  </r>
  <r>
    <x v="10"/>
    <x v="156"/>
    <s v="Pauchard"/>
    <s v="CuveReservoir Vertical - Air compriméPauchard"/>
    <s v="750L - 11 bars - Galva"/>
    <n v="51"/>
    <s v="RVPA0750.11G"/>
    <s v="Pauchard"/>
    <m/>
    <n v="0"/>
    <m/>
    <m/>
    <m/>
    <m/>
    <m/>
    <m/>
    <n v="0"/>
    <m/>
    <m/>
    <m/>
    <m/>
    <n v="0"/>
    <n v="0"/>
    <n v="0"/>
    <n v="0"/>
    <n v="0"/>
    <n v="0"/>
    <n v="0"/>
  </r>
  <r>
    <x v="10"/>
    <x v="156"/>
    <s v="Pauchard"/>
    <s v="CuveReservoir Vertical - Air compriméPauchard"/>
    <s v="900L - 11 bars - Galva"/>
    <n v="52"/>
    <s v="RVPA0900-11G"/>
    <s v="Pauchard"/>
    <m/>
    <n v="0"/>
    <m/>
    <m/>
    <m/>
    <m/>
    <m/>
    <m/>
    <n v="0"/>
    <m/>
    <m/>
    <m/>
    <m/>
    <n v="0"/>
    <n v="0"/>
    <n v="0"/>
    <n v="0"/>
    <n v="0"/>
    <n v="0"/>
    <n v="0"/>
  </r>
  <r>
    <x v="10"/>
    <x v="156"/>
    <s v="Pauchard"/>
    <s v="CuveReservoir Vertical - Air compriméPauchard"/>
    <s v="900L - 10 bars - Galva"/>
    <n v="53"/>
    <s v="RVPA0900.10G"/>
    <s v="Pauchard"/>
    <m/>
    <n v="0"/>
    <m/>
    <m/>
    <m/>
    <m/>
    <m/>
    <m/>
    <n v="0"/>
    <m/>
    <m/>
    <m/>
    <m/>
    <n v="0"/>
    <n v="0"/>
    <n v="0"/>
    <n v="0"/>
    <n v="0"/>
    <n v="0"/>
    <n v="0"/>
  </r>
  <r>
    <x v="10"/>
    <x v="156"/>
    <s v="Pauchard"/>
    <s v="CuveReservoir Vertical - Air compriméPauchard"/>
    <s v="1000L - 11 bars - Galva"/>
    <n v="54"/>
    <s v="RVPA1000.11G"/>
    <s v="Pauchard"/>
    <m/>
    <n v="0"/>
    <m/>
    <m/>
    <m/>
    <m/>
    <m/>
    <m/>
    <n v="0"/>
    <m/>
    <m/>
    <m/>
    <m/>
    <n v="0"/>
    <n v="0"/>
    <n v="0"/>
    <n v="0"/>
    <n v="0"/>
    <n v="0"/>
    <n v="0"/>
  </r>
  <r>
    <x v="10"/>
    <x v="156"/>
    <s v="Pauchard"/>
    <s v="CuveReservoir Vertical - Air compriméPauchard"/>
    <s v="1000L - 16 bars - Galva"/>
    <n v="55"/>
    <s v="RVPA1000.16G"/>
    <s v="Pauchard"/>
    <m/>
    <n v="0"/>
    <m/>
    <m/>
    <m/>
    <m/>
    <m/>
    <m/>
    <n v="0"/>
    <m/>
    <m/>
    <m/>
    <m/>
    <n v="0"/>
    <n v="0"/>
    <n v="0"/>
    <n v="0"/>
    <n v="0"/>
    <n v="0"/>
    <n v="0"/>
  </r>
  <r>
    <x v="10"/>
    <x v="156"/>
    <s v="Pauchard"/>
    <s v="CuveReservoir Vertical - Air compriméPauchard"/>
    <s v="1000 L - 10 bars - Galva"/>
    <n v="56"/>
    <s v="RVPA1000.10G"/>
    <s v="Pauchard"/>
    <m/>
    <n v="0"/>
    <m/>
    <m/>
    <m/>
    <m/>
    <m/>
    <m/>
    <n v="0"/>
    <m/>
    <m/>
    <m/>
    <m/>
    <n v="0"/>
    <n v="0"/>
    <n v="0"/>
    <n v="0"/>
    <n v="0"/>
    <n v="0"/>
    <n v="0"/>
  </r>
  <r>
    <x v="10"/>
    <x v="156"/>
    <s v="Pauchard"/>
    <s v="CuveReservoir Vertical - Air compriméPauchard"/>
    <s v="1500 L - 10 bars - Galva"/>
    <n v="57"/>
    <s v="RVPA1500.10G"/>
    <s v="Pauchard"/>
    <m/>
    <n v="0"/>
    <m/>
    <m/>
    <m/>
    <m/>
    <m/>
    <m/>
    <n v="0"/>
    <m/>
    <m/>
    <m/>
    <m/>
    <n v="0"/>
    <n v="0"/>
    <n v="0"/>
    <n v="0"/>
    <n v="0"/>
    <n v="0"/>
    <n v="0"/>
  </r>
  <r>
    <x v="10"/>
    <x v="156"/>
    <s v="Pauchard"/>
    <s v="CuveReservoir Vertical - Air compriméPauchard"/>
    <s v="1500L - 16 bars - Galva"/>
    <n v="58"/>
    <s v="RVPA1500.16G"/>
    <s v="Pauchard"/>
    <m/>
    <n v="0"/>
    <m/>
    <m/>
    <m/>
    <m/>
    <m/>
    <m/>
    <n v="0"/>
    <m/>
    <m/>
    <m/>
    <m/>
    <n v="0"/>
    <n v="0"/>
    <n v="0"/>
    <n v="0"/>
    <n v="0"/>
    <n v="0"/>
    <n v="0"/>
  </r>
  <r>
    <x v="10"/>
    <x v="156"/>
    <s v="Pauchard"/>
    <s v="CuveReservoir Vertical - Air compriméPauchard"/>
    <s v="2000L - 10 bars - Galva - DN80"/>
    <n v="59"/>
    <s v="RVPA2000.10G-DN80"/>
    <s v="Pauchard"/>
    <m/>
    <n v="0"/>
    <m/>
    <m/>
    <m/>
    <m/>
    <m/>
    <m/>
    <n v="0"/>
    <m/>
    <m/>
    <m/>
    <m/>
    <n v="0"/>
    <n v="0"/>
    <n v="0"/>
    <n v="0"/>
    <n v="0"/>
    <n v="0"/>
    <n v="0"/>
  </r>
  <r>
    <x v="10"/>
    <x v="156"/>
    <s v="Pauchard"/>
    <s v="CuveReservoir Vertical - Air compriméPauchard"/>
    <s v="2000L - 11 bars - Galva"/>
    <n v="60"/>
    <s v="RVPA2000.11G"/>
    <s v="Pauchard"/>
    <m/>
    <n v="0"/>
    <m/>
    <m/>
    <m/>
    <m/>
    <m/>
    <m/>
    <n v="0"/>
    <m/>
    <m/>
    <m/>
    <m/>
    <n v="0"/>
    <n v="0"/>
    <n v="0"/>
    <n v="0"/>
    <n v="0"/>
    <n v="0"/>
    <n v="0"/>
  </r>
  <r>
    <x v="10"/>
    <x v="156"/>
    <s v="Pauchard"/>
    <s v="CuveReservoir Vertical - Air compriméPauchard"/>
    <s v="3000L - 11 bars - Galva"/>
    <n v="61"/>
    <s v="RVPA3000.11G"/>
    <s v="Pauchard"/>
    <m/>
    <n v="0"/>
    <m/>
    <m/>
    <m/>
    <m/>
    <m/>
    <m/>
    <n v="0"/>
    <m/>
    <m/>
    <m/>
    <m/>
    <n v="0"/>
    <n v="0"/>
    <n v="0"/>
    <n v="0"/>
    <n v="0"/>
    <n v="0"/>
    <n v="0"/>
  </r>
  <r>
    <x v="10"/>
    <x v="156"/>
    <s v="Pauchard"/>
    <s v="CuveReservoir Vertical - Air compriméPauchard"/>
    <s v="4000L - 11 bars - Galva"/>
    <n v="62"/>
    <s v="RVPA4000.11G"/>
    <s v="Pauchard"/>
    <m/>
    <n v="0"/>
    <m/>
    <m/>
    <m/>
    <m/>
    <m/>
    <m/>
    <n v="0"/>
    <m/>
    <m/>
    <m/>
    <m/>
    <n v="0"/>
    <n v="0"/>
    <n v="0"/>
    <n v="0"/>
    <n v="0"/>
    <n v="0"/>
    <n v="0"/>
  </r>
  <r>
    <x v="10"/>
    <x v="156"/>
    <s v="Pauchard"/>
    <s v="CuveReservoir Vertical - Air compriméPauchard"/>
    <s v="5000L - 10 bars - Galva"/>
    <n v="63"/>
    <s v="RVPA5000.10G"/>
    <s v="Pauchard"/>
    <m/>
    <n v="0"/>
    <m/>
    <m/>
    <m/>
    <m/>
    <m/>
    <m/>
    <n v="0"/>
    <m/>
    <m/>
    <m/>
    <m/>
    <n v="0"/>
    <n v="0"/>
    <n v="0"/>
    <n v="0"/>
    <n v="0"/>
    <n v="0"/>
    <n v="0"/>
  </r>
  <r>
    <x v="10"/>
    <x v="156"/>
    <s v="Pauchard"/>
    <s v="CuveReservoir Vertical - Air compriméPauchard"/>
    <s v="5000L - 10 bars - Galva - DN150"/>
    <n v="64"/>
    <s v="RVPA5000.10G-DN150"/>
    <s v="Pauchard"/>
    <m/>
    <n v="0"/>
    <m/>
    <m/>
    <m/>
    <m/>
    <m/>
    <m/>
    <n v="0"/>
    <m/>
    <m/>
    <m/>
    <m/>
    <n v="0"/>
    <n v="0"/>
    <n v="0"/>
    <n v="0"/>
    <n v="0"/>
    <n v="0"/>
    <n v="0"/>
  </r>
  <r>
    <x v="10"/>
    <x v="156"/>
    <s v="Pauchard"/>
    <s v="CuveReservoir Vertical - Air compriméPauchard"/>
    <s v="5000L - 11 bars - Galva - DN150"/>
    <n v="65"/>
    <s v="RVPA5000.11G-DN150"/>
    <s v="Pauchard"/>
    <m/>
    <n v="0"/>
    <m/>
    <m/>
    <m/>
    <m/>
    <m/>
    <m/>
    <n v="0"/>
    <m/>
    <m/>
    <m/>
    <m/>
    <n v="0"/>
    <n v="0"/>
    <n v="0"/>
    <n v="0"/>
    <n v="0"/>
    <n v="0"/>
    <n v="0"/>
  </r>
  <r>
    <x v="10"/>
    <x v="156"/>
    <s v="Pauchard"/>
    <s v="CuveReservoir Vertical - Air compriméPauchard"/>
    <s v="5000L - 11 bars - Galva - DN200"/>
    <n v="66"/>
    <s v="RVPA5000.11G-DN200"/>
    <s v="Pauchard"/>
    <m/>
    <n v="0"/>
    <m/>
    <m/>
    <m/>
    <m/>
    <m/>
    <m/>
    <n v="0"/>
    <m/>
    <m/>
    <m/>
    <m/>
    <n v="0"/>
    <n v="0"/>
    <n v="0"/>
    <n v="0"/>
    <n v="0"/>
    <n v="0"/>
    <n v="0"/>
  </r>
  <r>
    <x v="10"/>
    <x v="156"/>
    <s v="Pauchard"/>
    <s v="CuveReservoir Vertical - Air compriméPauchard"/>
    <s v="8000L - 10 bars - Galva - DN150"/>
    <n v="67"/>
    <s v="RVPA8000.10-DN150"/>
    <s v="Pauchard"/>
    <m/>
    <n v="0"/>
    <m/>
    <m/>
    <m/>
    <m/>
    <m/>
    <m/>
    <n v="0"/>
    <m/>
    <m/>
    <m/>
    <m/>
    <n v="0"/>
    <n v="0"/>
    <n v="0"/>
    <n v="0"/>
    <n v="0"/>
    <n v="0"/>
    <n v="0"/>
  </r>
  <r>
    <x v="10"/>
    <x v="156"/>
    <s v="Pauchard"/>
    <s v="CuveReservoir Vertical - Air compriméPauchard"/>
    <s v="8000L - 10 bars - Galva - DN200"/>
    <n v="68"/>
    <s v="RVPA8000.10-DN200"/>
    <s v="Pauchard"/>
    <m/>
    <n v="0"/>
    <m/>
    <m/>
    <m/>
    <m/>
    <m/>
    <m/>
    <n v="0"/>
    <m/>
    <m/>
    <m/>
    <m/>
    <n v="0"/>
    <n v="0"/>
    <n v="0"/>
    <n v="0"/>
    <n v="0"/>
    <n v="0"/>
    <n v="0"/>
  </r>
  <r>
    <x v="10"/>
    <x v="156"/>
    <s v="Pauchard"/>
    <s v="CuveReservoir Vertical - Air compriméPauchard"/>
    <s v="8000L - 10 bars - Galva"/>
    <n v="69"/>
    <s v="RVPA8000.10G"/>
    <s v="Pauchard"/>
    <m/>
    <n v="0"/>
    <m/>
    <m/>
    <m/>
    <m/>
    <m/>
    <m/>
    <n v="0"/>
    <m/>
    <m/>
    <m/>
    <m/>
    <n v="0"/>
    <n v="0"/>
    <n v="0"/>
    <n v="0"/>
    <n v="0"/>
    <n v="0"/>
    <n v="0"/>
  </r>
  <r>
    <x v="10"/>
    <x v="156"/>
    <s v="Pauchard"/>
    <s v="CuveReservoir Vertical - Air compriméPauchard"/>
    <s v="8000L - 10 bars - Galva - DN100"/>
    <n v="70"/>
    <s v="RVPA8000.10G-DN100"/>
    <s v="Pauchard"/>
    <m/>
    <n v="0"/>
    <m/>
    <m/>
    <m/>
    <m/>
    <m/>
    <m/>
    <n v="0"/>
    <m/>
    <m/>
    <m/>
    <m/>
    <n v="0"/>
    <n v="0"/>
    <n v="0"/>
    <n v="0"/>
    <n v="0"/>
    <n v="0"/>
    <n v="0"/>
  </r>
  <r>
    <x v="10"/>
    <x v="156"/>
    <s v="Pauchard"/>
    <s v="CuveReservoir Vertical - Air compriméPauchard"/>
    <s v="10 000L - 13 bars - Galva"/>
    <n v="71"/>
    <s v="RVPA10000.13G"/>
    <s v="Pauchard"/>
    <m/>
    <n v="0"/>
    <m/>
    <m/>
    <m/>
    <m/>
    <m/>
    <m/>
    <n v="0"/>
    <m/>
    <m/>
    <m/>
    <m/>
    <n v="0"/>
    <n v="0"/>
    <n v="0"/>
    <n v="0"/>
    <n v="0"/>
    <n v="0"/>
    <n v="0"/>
  </r>
  <r>
    <x v="10"/>
    <x v="156"/>
    <s v="Autres"/>
    <s v="CuveReservoir Vertical - Air compriméAutres"/>
    <s v="15L - 11 bars - Peint et équipé"/>
    <n v="72"/>
    <s v="RVSE0015.11P"/>
    <s v="Sectoriel"/>
    <m/>
    <n v="0"/>
    <m/>
    <m/>
    <m/>
    <m/>
    <m/>
    <m/>
    <n v="0"/>
    <m/>
    <m/>
    <m/>
    <m/>
    <n v="0"/>
    <n v="0"/>
    <n v="0"/>
    <n v="0"/>
    <n v="0"/>
    <n v="0"/>
    <n v="0"/>
  </r>
  <r>
    <x v="10"/>
    <x v="156"/>
    <s v="Autres"/>
    <s v="CuveReservoir Vertical - Air compriméAutres"/>
    <s v="50L - 11 bars - Peint et équipé"/>
    <n v="73"/>
    <s v="RVSE0050.11P"/>
    <s v="Sectoriel"/>
    <m/>
    <n v="0"/>
    <m/>
    <m/>
    <m/>
    <m/>
    <m/>
    <m/>
    <n v="0"/>
    <m/>
    <m/>
    <m/>
    <m/>
    <n v="0"/>
    <n v="0"/>
    <n v="0"/>
    <n v="0"/>
    <n v="0"/>
    <n v="0"/>
    <n v="0"/>
  </r>
  <r>
    <x v="10"/>
    <x v="156"/>
    <s v="Autres"/>
    <s v="CuveReservoir Vertical - Air compriméAutres"/>
    <s v="50L - 11 bars - Peint et équipé"/>
    <n v="74"/>
    <s v="RVGU0050.11P"/>
    <s v="Guernet"/>
    <m/>
    <n v="0"/>
    <m/>
    <m/>
    <m/>
    <m/>
    <m/>
    <m/>
    <n v="0"/>
    <m/>
    <m/>
    <m/>
    <m/>
    <n v="0"/>
    <n v="0"/>
    <n v="0"/>
    <n v="0"/>
    <n v="0"/>
    <n v="0"/>
    <n v="0"/>
  </r>
  <r>
    <x v="10"/>
    <x v="156"/>
    <s v="Autres"/>
    <s v="CuveReservoir Vertical - Air compriméAutres"/>
    <s v="100L - 11 bars - Galva - Equipé"/>
    <n v="75"/>
    <s v="RVSE0100.11G"/>
    <s v="Sectoriel"/>
    <m/>
    <n v="0"/>
    <m/>
    <m/>
    <m/>
    <m/>
    <m/>
    <m/>
    <n v="0"/>
    <m/>
    <m/>
    <m/>
    <m/>
    <n v="0"/>
    <n v="0"/>
    <n v="0"/>
    <n v="0"/>
    <n v="0"/>
    <n v="0"/>
    <n v="0"/>
  </r>
  <r>
    <x v="10"/>
    <x v="156"/>
    <s v="Autres"/>
    <s v="CuveReservoir Vertical - Air compriméAutres"/>
    <s v="100L - 11 bars - Peint et Equipé"/>
    <n v="76"/>
    <s v="RVSE0100.11P"/>
    <s v="Sectoriel"/>
    <m/>
    <n v="0"/>
    <m/>
    <m/>
    <m/>
    <m/>
    <m/>
    <m/>
    <n v="0"/>
    <m/>
    <m/>
    <m/>
    <m/>
    <n v="0"/>
    <n v="0"/>
    <n v="0"/>
    <n v="0"/>
    <n v="0"/>
    <n v="0"/>
    <n v="0"/>
  </r>
  <r>
    <x v="10"/>
    <x v="156"/>
    <s v="Autres"/>
    <s v="CuveReservoir Vertical - Air compriméAutres"/>
    <s v="120L - 11 bars - Galva - Equipé"/>
    <n v="77"/>
    <s v="RVMA0120.11G"/>
    <s v="Mauguiere"/>
    <m/>
    <n v="0"/>
    <m/>
    <m/>
    <m/>
    <m/>
    <m/>
    <m/>
    <n v="0"/>
    <m/>
    <m/>
    <m/>
    <m/>
    <n v="0"/>
    <n v="0"/>
    <n v="0"/>
    <n v="0"/>
    <n v="0"/>
    <n v="0"/>
    <n v="0"/>
  </r>
  <r>
    <x v="10"/>
    <x v="156"/>
    <s v="Autres"/>
    <s v="CuveReservoir Vertical - Air compriméAutres"/>
    <s v="200L - 11 bars - Galva - Equipé"/>
    <n v="78"/>
    <s v="RVSE0200.11G"/>
    <s v="Sectoriel"/>
    <m/>
    <n v="0"/>
    <m/>
    <m/>
    <m/>
    <m/>
    <m/>
    <m/>
    <n v="0"/>
    <m/>
    <m/>
    <m/>
    <m/>
    <n v="0"/>
    <n v="0"/>
    <n v="0"/>
    <n v="0"/>
    <n v="0"/>
    <n v="0"/>
    <n v="0"/>
  </r>
  <r>
    <x v="10"/>
    <x v="156"/>
    <s v="Autres"/>
    <s v="CuveReservoir Vertical - Air compriméAutres"/>
    <s v="250L - 11 bars - Galva"/>
    <n v="79"/>
    <s v="RVMA0250.11G"/>
    <s v="Mauguiere"/>
    <m/>
    <n v="0"/>
    <m/>
    <m/>
    <m/>
    <m/>
    <m/>
    <m/>
    <n v="0"/>
    <m/>
    <m/>
    <m/>
    <m/>
    <n v="0"/>
    <n v="0"/>
    <n v="0"/>
    <n v="0"/>
    <n v="0"/>
    <n v="0"/>
    <n v="0"/>
  </r>
  <r>
    <x v="10"/>
    <x v="156"/>
    <s v="Autres"/>
    <s v="CuveReservoir Vertical - Air compriméAutres"/>
    <s v="250L - 10 bars - Galva"/>
    <n v="80"/>
    <s v="RVSI0250.10G"/>
    <s v="SIAP"/>
    <m/>
    <n v="0"/>
    <m/>
    <m/>
    <m/>
    <m/>
    <m/>
    <m/>
    <n v="0"/>
    <m/>
    <m/>
    <m/>
    <m/>
    <n v="0"/>
    <n v="0"/>
    <n v="0"/>
    <n v="0"/>
    <n v="0"/>
    <n v="0"/>
    <n v="0"/>
  </r>
  <r>
    <x v="10"/>
    <x v="156"/>
    <s v="Autres"/>
    <s v="CuveReservoir Vertical - Air compriméAutres"/>
    <s v="270L - 11 bars - Peint et Equipé"/>
    <n v="81"/>
    <s v="RVSI0270.11P"/>
    <s v="SIAP"/>
    <m/>
    <n v="0"/>
    <m/>
    <m/>
    <m/>
    <m/>
    <m/>
    <m/>
    <n v="0"/>
    <m/>
    <m/>
    <m/>
    <m/>
    <n v="0"/>
    <n v="0"/>
    <n v="0"/>
    <n v="0"/>
    <n v="0"/>
    <n v="0"/>
    <n v="0"/>
  </r>
  <r>
    <x v="10"/>
    <x v="156"/>
    <s v="Autres"/>
    <s v="CuveReservoir Vertical - Air compriméAutres"/>
    <s v="270L - 11 bars - Galva"/>
    <n v="82"/>
    <s v="RVNU0270.11G"/>
    <s v="Nuair"/>
    <m/>
    <n v="0"/>
    <m/>
    <m/>
    <m/>
    <m/>
    <m/>
    <m/>
    <n v="0"/>
    <m/>
    <m/>
    <m/>
    <m/>
    <n v="0"/>
    <n v="0"/>
    <n v="0"/>
    <n v="0"/>
    <n v="0"/>
    <n v="0"/>
    <n v="0"/>
  </r>
  <r>
    <x v="10"/>
    <x v="156"/>
    <s v="Autres"/>
    <s v="CuveReservoir Vertical - Air compriméAutres"/>
    <s v="270L - 11 bars - Peint"/>
    <n v="83"/>
    <s v="RVMA0270.11P"/>
    <s v="Mauguiere"/>
    <m/>
    <n v="0"/>
    <m/>
    <m/>
    <m/>
    <m/>
    <m/>
    <m/>
    <n v="0"/>
    <m/>
    <m/>
    <m/>
    <m/>
    <n v="0"/>
    <n v="0"/>
    <n v="0"/>
    <n v="0"/>
    <n v="0"/>
    <n v="0"/>
    <n v="0"/>
  </r>
  <r>
    <x v="10"/>
    <x v="156"/>
    <s v="Autres"/>
    <s v="CuveReservoir Vertical - Air compriméAutres"/>
    <s v="270L - 11 bars - Galva - Equipé"/>
    <n v="84"/>
    <s v="RVSE0270.11G"/>
    <s v="Sectoriel"/>
    <m/>
    <n v="0"/>
    <m/>
    <m/>
    <m/>
    <m/>
    <m/>
    <m/>
    <n v="0"/>
    <m/>
    <m/>
    <m/>
    <m/>
    <n v="0"/>
    <n v="0"/>
    <n v="0"/>
    <n v="0"/>
    <n v="0"/>
    <n v="0"/>
    <n v="0"/>
  </r>
  <r>
    <x v="10"/>
    <x v="156"/>
    <s v="Autres"/>
    <s v="CuveReservoir Vertical - Air compriméAutres"/>
    <s v="270L - 11 bars - Peint et Equipé"/>
    <n v="85"/>
    <s v="RVSE0270.11P"/>
    <s v="Sectoriel"/>
    <m/>
    <n v="0"/>
    <m/>
    <m/>
    <m/>
    <m/>
    <m/>
    <m/>
    <n v="0"/>
    <m/>
    <m/>
    <m/>
    <m/>
    <n v="0"/>
    <n v="0"/>
    <n v="0"/>
    <n v="0"/>
    <n v="0"/>
    <n v="0"/>
    <n v="0"/>
  </r>
  <r>
    <x v="10"/>
    <x v="156"/>
    <s v="Autres"/>
    <s v="CuveReservoir Vertical - Air compriméAutres"/>
    <s v="500L - 11 bars - Galva - Equipé"/>
    <n v="86"/>
    <s v="RVSE0500.11G"/>
    <s v="Sectoriel"/>
    <m/>
    <n v="0"/>
    <m/>
    <m/>
    <m/>
    <m/>
    <m/>
    <m/>
    <n v="0"/>
    <m/>
    <m/>
    <m/>
    <m/>
    <n v="0"/>
    <n v="0"/>
    <n v="0"/>
    <n v="0"/>
    <n v="0"/>
    <n v="0"/>
    <n v="0"/>
  </r>
  <r>
    <x v="10"/>
    <x v="156"/>
    <s v="Autres"/>
    <s v="CuveReservoir Vertical - Air compriméAutres"/>
    <s v="500L - 11 bars - Peint"/>
    <n v="87"/>
    <s v="RV500P11"/>
    <s v="Nuair"/>
    <m/>
    <n v="0"/>
    <m/>
    <m/>
    <m/>
    <m/>
    <m/>
    <m/>
    <n v="0"/>
    <m/>
    <m/>
    <m/>
    <m/>
    <n v="0"/>
    <n v="0"/>
    <n v="0"/>
    <n v="0"/>
    <n v="0"/>
    <n v="0"/>
    <n v="0"/>
  </r>
  <r>
    <x v="10"/>
    <x v="156"/>
    <s v="Autres"/>
    <s v="CuveReservoir Vertical - Air compriméAutres"/>
    <s v="500L - 11 bars - Peint"/>
    <n v="88"/>
    <s v="RVCS0500.11G"/>
    <s v="CSC Baglioni"/>
    <m/>
    <n v="0"/>
    <m/>
    <m/>
    <m/>
    <m/>
    <m/>
    <m/>
    <n v="0"/>
    <m/>
    <m/>
    <m/>
    <m/>
    <n v="0"/>
    <n v="0"/>
    <n v="0"/>
    <n v="0"/>
    <n v="0"/>
    <n v="0"/>
    <n v="0"/>
  </r>
  <r>
    <x v="10"/>
    <x v="156"/>
    <s v="Autres"/>
    <s v="CuveReservoir Vertical - Air compriméAutres"/>
    <s v="500L - 10 bars - Galva"/>
    <n v="89"/>
    <s v="RVMA0500.10G"/>
    <s v="Mauguiere"/>
    <m/>
    <n v="0"/>
    <m/>
    <m/>
    <m/>
    <m/>
    <m/>
    <m/>
    <n v="0"/>
    <m/>
    <m/>
    <m/>
    <m/>
    <n v="0"/>
    <n v="0"/>
    <n v="0"/>
    <n v="0"/>
    <n v="0"/>
    <n v="0"/>
    <n v="0"/>
  </r>
  <r>
    <x v="10"/>
    <x v="156"/>
    <s v="Autres"/>
    <s v="CuveReservoir Vertical - Air compriméAutres"/>
    <s v="500L - 10 bars - Peint"/>
    <n v="90"/>
    <s v="RVMA0500.10P"/>
    <s v="Mauguiere"/>
    <m/>
    <n v="0"/>
    <m/>
    <m/>
    <m/>
    <m/>
    <m/>
    <m/>
    <n v="0"/>
    <m/>
    <m/>
    <m/>
    <m/>
    <n v="0"/>
    <n v="0"/>
    <n v="0"/>
    <n v="0"/>
    <n v="0"/>
    <n v="0"/>
    <n v="0"/>
  </r>
  <r>
    <x v="10"/>
    <x v="156"/>
    <s v="Autres"/>
    <s v="CuveReservoir Vertical - Air compriméAutres"/>
    <s v="500L - 11 bars - Galva"/>
    <n v="91"/>
    <s v="RVMA0500.11G"/>
    <s v="Mauguiere"/>
    <m/>
    <n v="0"/>
    <m/>
    <m/>
    <m/>
    <m/>
    <m/>
    <m/>
    <n v="0"/>
    <m/>
    <m/>
    <m/>
    <m/>
    <n v="0"/>
    <n v="0"/>
    <n v="0"/>
    <n v="0"/>
    <n v="0"/>
    <n v="0"/>
    <n v="0"/>
  </r>
  <r>
    <x v="10"/>
    <x v="156"/>
    <s v="Autres"/>
    <s v="CuveReservoir Vertical - Air compriméAutres"/>
    <s v="500L - 11 bars - Peint"/>
    <n v="92"/>
    <s v="RVMA0500.11P"/>
    <s v="Mauguiere"/>
    <m/>
    <n v="0"/>
    <m/>
    <m/>
    <m/>
    <m/>
    <m/>
    <m/>
    <n v="0"/>
    <m/>
    <m/>
    <m/>
    <m/>
    <n v="0"/>
    <n v="0"/>
    <n v="0"/>
    <n v="0"/>
    <n v="0"/>
    <n v="0"/>
    <n v="0"/>
  </r>
  <r>
    <x v="10"/>
    <x v="156"/>
    <s v="Autres"/>
    <s v="CuveReservoir Vertical - Air compriméAutres"/>
    <s v="500L - 11 bars - Galva"/>
    <n v="93"/>
    <s v="RVMAT0500.11G"/>
    <s v="Mattei"/>
    <m/>
    <n v="0"/>
    <m/>
    <m/>
    <m/>
    <m/>
    <m/>
    <m/>
    <n v="0"/>
    <m/>
    <m/>
    <m/>
    <m/>
    <n v="0"/>
    <n v="0"/>
    <n v="0"/>
    <n v="0"/>
    <n v="0"/>
    <n v="0"/>
    <n v="0"/>
  </r>
  <r>
    <x v="10"/>
    <x v="156"/>
    <s v="Autres"/>
    <s v="CuveReservoir Vertical - Air compriméAutres"/>
    <s v="500L - 11 bars - Peint"/>
    <n v="94"/>
    <s v="RVMAT0500.11P"/>
    <s v="Mattei"/>
    <m/>
    <n v="0"/>
    <m/>
    <m/>
    <m/>
    <m/>
    <m/>
    <m/>
    <n v="0"/>
    <m/>
    <m/>
    <m/>
    <m/>
    <n v="0"/>
    <n v="0"/>
    <n v="0"/>
    <n v="0"/>
    <n v="0"/>
    <n v="0"/>
    <n v="0"/>
  </r>
  <r>
    <x v="10"/>
    <x v="156"/>
    <s v="Autres"/>
    <s v="CuveReservoir Vertical - Air compriméAutres"/>
    <s v="710L - 11 bars - Galva - Equipé"/>
    <n v="95"/>
    <s v="RVSE710.11G"/>
    <s v="Sectoriel"/>
    <m/>
    <n v="0"/>
    <m/>
    <m/>
    <m/>
    <m/>
    <m/>
    <m/>
    <n v="0"/>
    <m/>
    <m/>
    <m/>
    <m/>
    <n v="0"/>
    <n v="0"/>
    <n v="0"/>
    <n v="0"/>
    <n v="0"/>
    <n v="0"/>
    <n v="0"/>
  </r>
  <r>
    <x v="10"/>
    <x v="156"/>
    <s v="Autres"/>
    <s v="CuveReservoir Vertical - Air compriméAutres"/>
    <s v="900L - 11 bars - Galva - Equipé"/>
    <n v="96"/>
    <s v="RVSE0900.11G"/>
    <s v="Sectoriel"/>
    <m/>
    <n v="0"/>
    <m/>
    <m/>
    <m/>
    <m/>
    <m/>
    <m/>
    <n v="0"/>
    <m/>
    <m/>
    <m/>
    <m/>
    <n v="0"/>
    <n v="0"/>
    <n v="0"/>
    <n v="0"/>
    <n v="0"/>
    <n v="0"/>
    <n v="0"/>
  </r>
  <r>
    <x v="10"/>
    <x v="156"/>
    <s v="Autres"/>
    <s v="CuveReservoir Vertical - Air compriméAutres"/>
    <s v="900L - 11 bars - Galva"/>
    <n v="97"/>
    <s v="RVMAT0900.11G"/>
    <s v="Mattei"/>
    <m/>
    <n v="0"/>
    <m/>
    <m/>
    <m/>
    <m/>
    <m/>
    <m/>
    <n v="0"/>
    <m/>
    <m/>
    <m/>
    <m/>
    <n v="0"/>
    <n v="0"/>
    <n v="0"/>
    <n v="0"/>
    <n v="0"/>
    <n v="0"/>
    <n v="0"/>
  </r>
  <r>
    <x v="10"/>
    <x v="156"/>
    <s v="Autres"/>
    <s v="CuveReservoir Vertical - Air compriméAutres"/>
    <s v="900L - 11 bars - Galva"/>
    <n v="98"/>
    <s v="RVNU0900.11G"/>
    <s v="Nuair"/>
    <m/>
    <n v="0"/>
    <m/>
    <m/>
    <m/>
    <m/>
    <m/>
    <m/>
    <n v="0"/>
    <m/>
    <m/>
    <m/>
    <m/>
    <n v="0"/>
    <n v="0"/>
    <n v="0"/>
    <n v="0"/>
    <n v="0"/>
    <n v="0"/>
    <n v="0"/>
  </r>
  <r>
    <x v="10"/>
    <x v="156"/>
    <s v="Autres"/>
    <s v="CuveReservoir Vertical - Air compriméAutres"/>
    <s v="900L - 10 bars - Galva"/>
    <n v="99"/>
    <s v="RVSI0900.10G"/>
    <s v="SIAP"/>
    <m/>
    <n v="0"/>
    <m/>
    <m/>
    <m/>
    <m/>
    <m/>
    <m/>
    <n v="0"/>
    <m/>
    <m/>
    <m/>
    <m/>
    <n v="0"/>
    <n v="0"/>
    <n v="0"/>
    <n v="0"/>
    <n v="0"/>
    <n v="0"/>
    <n v="0"/>
  </r>
  <r>
    <x v="10"/>
    <x v="156"/>
    <s v="Autres"/>
    <s v="CuveReservoir Vertical - Air compriméAutres"/>
    <s v="900L - 11 bars - Galva - Equipé"/>
    <n v="100"/>
    <s v="RVMA0900.11G"/>
    <s v="Mauguiere"/>
    <m/>
    <n v="0"/>
    <m/>
    <m/>
    <m/>
    <m/>
    <m/>
    <m/>
    <n v="0"/>
    <m/>
    <m/>
    <m/>
    <m/>
    <n v="0"/>
    <n v="0"/>
    <n v="0"/>
    <n v="0"/>
    <n v="0"/>
    <n v="0"/>
    <n v="0"/>
  </r>
  <r>
    <x v="10"/>
    <x v="156"/>
    <s v="Autres"/>
    <s v="CuveReservoir Vertical - Air compriméAutres"/>
    <s v="1000L - 10,7 bars - Galva - Equipé"/>
    <n v="101"/>
    <s v="RVMA1000.10.7G"/>
    <s v="Mauguiere"/>
    <m/>
    <n v="0"/>
    <m/>
    <m/>
    <m/>
    <m/>
    <m/>
    <m/>
    <n v="0"/>
    <m/>
    <m/>
    <m/>
    <m/>
    <n v="0"/>
    <n v="0"/>
    <n v="0"/>
    <n v="0"/>
    <n v="0"/>
    <n v="0"/>
    <n v="0"/>
  </r>
  <r>
    <x v="10"/>
    <x v="156"/>
    <s v="Autres"/>
    <s v="CuveReservoir Vertical - Air compriméAutres"/>
    <s v="1000L - 12 bars - Galva"/>
    <n v="102"/>
    <s v="RVIN1000.12G"/>
    <s v="Ingersoll"/>
    <m/>
    <n v="0"/>
    <m/>
    <m/>
    <m/>
    <m/>
    <m/>
    <m/>
    <n v="0"/>
    <m/>
    <m/>
    <m/>
    <m/>
    <n v="0"/>
    <n v="0"/>
    <n v="0"/>
    <n v="0"/>
    <n v="0"/>
    <n v="0"/>
    <n v="0"/>
  </r>
  <r>
    <x v="10"/>
    <x v="156"/>
    <s v="Autres"/>
    <s v="CuveReservoir Vertical - Air compriméAutres"/>
    <s v="1000L - 10,67 bars - Galva - Equipé"/>
    <n v="103"/>
    <s v="RVSE1000.10,67G"/>
    <s v="Sectoriel"/>
    <m/>
    <n v="0"/>
    <m/>
    <m/>
    <m/>
    <m/>
    <m/>
    <m/>
    <n v="0"/>
    <m/>
    <m/>
    <m/>
    <m/>
    <n v="0"/>
    <n v="0"/>
    <n v="0"/>
    <n v="0"/>
    <n v="0"/>
    <n v="0"/>
    <n v="0"/>
  </r>
  <r>
    <x v="10"/>
    <x v="156"/>
    <s v="Autres"/>
    <s v="CuveReservoir Vertical - Air compriméAutres"/>
    <s v="1500L - 15 bars - Galva - Equipé"/>
    <n v="104"/>
    <s v="RVSE1500.15G"/>
    <s v="Sectoriel"/>
    <m/>
    <n v="0"/>
    <m/>
    <m/>
    <m/>
    <m/>
    <m/>
    <m/>
    <n v="0"/>
    <m/>
    <m/>
    <m/>
    <m/>
    <n v="0"/>
    <n v="0"/>
    <n v="0"/>
    <n v="0"/>
    <n v="0"/>
    <n v="0"/>
    <n v="0"/>
  </r>
  <r>
    <x v="10"/>
    <x v="156"/>
    <s v="Autres"/>
    <s v="CuveReservoir Vertical - Air compriméAutres"/>
    <s v="2000L - 10,7 bars - Galva - Equipé"/>
    <n v="105"/>
    <s v="RVSE2000.10G"/>
    <s v="Sectoriel"/>
    <m/>
    <n v="0"/>
    <m/>
    <m/>
    <m/>
    <m/>
    <m/>
    <m/>
    <n v="0"/>
    <m/>
    <m/>
    <m/>
    <m/>
    <n v="0"/>
    <n v="0"/>
    <n v="0"/>
    <n v="0"/>
    <n v="0"/>
    <n v="0"/>
    <n v="0"/>
  </r>
  <r>
    <x v="10"/>
    <x v="156"/>
    <s v="Autres"/>
    <s v="CuveReservoir Vertical - Air compriméAutres"/>
    <s v="10 000L - 16 bars - Galva"/>
    <n v="106"/>
    <s v="RVRO10000.16G"/>
    <s v="RONOT"/>
    <m/>
    <n v="0"/>
    <m/>
    <m/>
    <m/>
    <m/>
    <m/>
    <m/>
    <n v="0"/>
    <m/>
    <m/>
    <m/>
    <m/>
    <n v="0"/>
    <n v="0"/>
    <n v="0"/>
    <n v="0"/>
    <n v="0"/>
    <n v="0"/>
    <n v="0"/>
  </r>
  <r>
    <x v="10"/>
    <x v="157"/>
    <m/>
    <s v="CuveReservoir Vertical - Autres applications"/>
    <m/>
    <n v="0"/>
    <m/>
    <m/>
    <m/>
    <n v="0"/>
    <m/>
    <m/>
    <m/>
    <m/>
    <m/>
    <m/>
    <n v="0"/>
    <m/>
    <m/>
    <m/>
    <m/>
    <n v="0"/>
    <n v="0"/>
    <n v="0"/>
    <n v="0"/>
    <n v="0"/>
    <n v="0"/>
    <n v="0"/>
  </r>
  <r>
    <x v="10"/>
    <x v="157"/>
    <m/>
    <s v="CuveReservoir Vertical - Autres applications"/>
    <s v="300L - 10 bars - Réservoir domestique"/>
    <n v="1"/>
    <s v="RVCH0300.10D"/>
    <s v="Charlatte"/>
    <m/>
    <n v="0"/>
    <m/>
    <m/>
    <m/>
    <m/>
    <m/>
    <m/>
    <n v="0"/>
    <m/>
    <m/>
    <m/>
    <m/>
    <n v="0"/>
    <n v="0"/>
    <n v="0"/>
    <n v="0"/>
    <n v="0"/>
    <n v="0"/>
    <n v="0"/>
  </r>
  <r>
    <x v="10"/>
    <x v="157"/>
    <m/>
    <s v="CuveReservoir Vertical - Autres applications"/>
    <s v="500L - Vessie gonflable 10 bars"/>
    <n v="2"/>
    <s v="RVSA0500.10B"/>
    <s v="Sanisitt-Comutherm"/>
    <m/>
    <n v="0"/>
    <m/>
    <m/>
    <m/>
    <m/>
    <m/>
    <m/>
    <n v="0"/>
    <m/>
    <m/>
    <m/>
    <m/>
    <n v="0"/>
    <n v="0"/>
    <n v="0"/>
    <n v="0"/>
    <n v="0"/>
    <n v="0"/>
    <n v="0"/>
  </r>
  <r>
    <x v="10"/>
    <x v="157"/>
    <m/>
    <s v="CuveReservoir Vertical - Autres applications"/>
    <s v="500L - POUR LE VIDE"/>
    <n v="3"/>
    <s v="RVBU0500.VIDE"/>
    <s v="Busch"/>
    <m/>
    <n v="0"/>
    <m/>
    <m/>
    <m/>
    <m/>
    <m/>
    <m/>
    <n v="0"/>
    <m/>
    <m/>
    <m/>
    <m/>
    <n v="0"/>
    <n v="0"/>
    <n v="0"/>
    <n v="0"/>
    <n v="0"/>
    <n v="0"/>
    <n v="0"/>
  </r>
  <r>
    <x v="10"/>
    <x v="157"/>
    <m/>
    <s v="CuveReservoir Vertical - Autres applications"/>
    <s v="500L - 10 bars - Hydrophore eau froide"/>
    <n v="4"/>
    <s v="RVMAS0500.10G"/>
    <s v="Massal"/>
    <m/>
    <n v="0"/>
    <m/>
    <m/>
    <m/>
    <m/>
    <m/>
    <m/>
    <n v="0"/>
    <m/>
    <m/>
    <m/>
    <m/>
    <n v="0"/>
    <n v="0"/>
    <n v="0"/>
    <n v="0"/>
    <n v="0"/>
    <n v="0"/>
    <n v="0"/>
  </r>
  <r>
    <x v="10"/>
    <x v="157"/>
    <m/>
    <s v="CuveReservoir Vertical - Autres applications"/>
    <s v="1000L pour eau sanitaire"/>
    <n v="5"/>
    <s v="RVES1000.E"/>
    <s v="Charot"/>
    <m/>
    <n v="0"/>
    <m/>
    <m/>
    <m/>
    <m/>
    <m/>
    <m/>
    <n v="0"/>
    <m/>
    <m/>
    <m/>
    <m/>
    <n v="0"/>
    <n v="0"/>
    <n v="0"/>
    <n v="0"/>
    <n v="0"/>
    <n v="0"/>
    <n v="0"/>
  </r>
  <r>
    <x v="10"/>
    <x v="157"/>
    <m/>
    <s v="CuveReservoir Vertical - Autres applications"/>
    <s v="1000L pour eau chaude sanitaire"/>
    <n v="6"/>
    <s v="RVECS1000"/>
    <s v="Charot"/>
    <m/>
    <n v="0"/>
    <m/>
    <m/>
    <m/>
    <m/>
    <m/>
    <m/>
    <n v="0"/>
    <m/>
    <m/>
    <m/>
    <m/>
    <n v="0"/>
    <n v="0"/>
    <n v="0"/>
    <n v="0"/>
    <n v="0"/>
    <n v="0"/>
    <n v="0"/>
  </r>
  <r>
    <x v="10"/>
    <x v="157"/>
    <m/>
    <s v="CuveReservoir Vertical - Autres applications"/>
    <s v="1500L pour eau chaude sanitaire"/>
    <n v="7"/>
    <s v="RVECS1500"/>
    <s v="Lacaze"/>
    <m/>
    <n v="0"/>
    <m/>
    <m/>
    <m/>
    <m/>
    <m/>
    <m/>
    <n v="0"/>
    <m/>
    <m/>
    <m/>
    <m/>
    <n v="0"/>
    <n v="0"/>
    <n v="0"/>
    <n v="0"/>
    <n v="0"/>
    <n v="0"/>
    <n v="0"/>
  </r>
  <r>
    <x v="10"/>
    <x v="157"/>
    <m/>
    <s v="CuveReservoir Vertical - Autres applications"/>
    <s v="1500L pour eau sanitaire"/>
    <n v="8"/>
    <s v="RVES1500"/>
    <s v="Charot"/>
    <m/>
    <n v="0"/>
    <m/>
    <m/>
    <m/>
    <m/>
    <m/>
    <m/>
    <n v="0"/>
    <m/>
    <m/>
    <m/>
    <m/>
    <n v="0"/>
    <n v="0"/>
    <n v="0"/>
    <n v="0"/>
    <n v="0"/>
    <n v="0"/>
    <n v="0"/>
  </r>
  <r>
    <x v="10"/>
    <x v="157"/>
    <m/>
    <s v="CuveReservoir Vertical - Autres applications"/>
    <s v="2000L pour eau sanitaire"/>
    <n v="9"/>
    <s v="RVES2000"/>
    <s v="Charot"/>
    <m/>
    <n v="0"/>
    <m/>
    <m/>
    <m/>
    <m/>
    <m/>
    <m/>
    <n v="0"/>
    <m/>
    <m/>
    <m/>
    <m/>
    <n v="0"/>
    <n v="0"/>
    <n v="0"/>
    <n v="0"/>
    <n v="0"/>
    <n v="0"/>
    <n v="0"/>
  </r>
  <r>
    <x v="10"/>
    <x v="157"/>
    <m/>
    <s v="CuveReservoir Vertical - Autres applications"/>
    <s v="2000L pour eau sanitaire"/>
    <n v="10"/>
    <s v="RVES2000.E"/>
    <s v="Charot"/>
    <m/>
    <n v="0"/>
    <m/>
    <m/>
    <m/>
    <m/>
    <m/>
    <m/>
    <n v="0"/>
    <m/>
    <m/>
    <m/>
    <m/>
    <n v="0"/>
    <n v="0"/>
    <n v="0"/>
    <n v="0"/>
    <n v="0"/>
    <n v="0"/>
    <n v="0"/>
  </r>
  <r>
    <x v="10"/>
    <x v="157"/>
    <m/>
    <s v="CuveReservoir Vertical - Autres applications"/>
    <s v="6 000L pour eau chaude"/>
    <n v="11"/>
    <s v="RVEC6000"/>
    <s v="Charot"/>
    <m/>
    <n v="0"/>
    <m/>
    <m/>
    <m/>
    <m/>
    <m/>
    <m/>
    <n v="0"/>
    <m/>
    <m/>
    <m/>
    <m/>
    <n v="0"/>
    <n v="0"/>
    <n v="0"/>
    <n v="0"/>
    <n v="0"/>
    <n v="0"/>
    <n v="0"/>
  </r>
  <r>
    <x v="10"/>
    <x v="157"/>
    <m/>
    <s v="CuveReservoir Vertical - Autres applications"/>
    <s v="8000L pour eau sanitaire"/>
    <n v="12"/>
    <s v="RVES8000"/>
    <s v="Charot"/>
    <m/>
    <n v="0"/>
    <m/>
    <m/>
    <m/>
    <m/>
    <m/>
    <m/>
    <n v="0"/>
    <m/>
    <m/>
    <m/>
    <m/>
    <n v="0"/>
    <n v="0"/>
    <n v="0"/>
    <n v="0"/>
    <n v="0"/>
    <n v="0"/>
    <n v="0"/>
  </r>
  <r>
    <x v="10"/>
    <x v="157"/>
    <m/>
    <s v="CuveReservoir Vertical - Autres applications"/>
    <s v="10 000L - 4 bars - INOX pour eau chaude"/>
    <n v="13"/>
    <s v="RVEC10000.04I"/>
    <s v="Sofinther"/>
    <m/>
    <n v="0"/>
    <m/>
    <m/>
    <m/>
    <m/>
    <m/>
    <m/>
    <n v="0"/>
    <m/>
    <m/>
    <m/>
    <m/>
    <n v="0"/>
    <n v="0"/>
    <n v="0"/>
    <n v="0"/>
    <n v="0"/>
    <n v="0"/>
    <n v="0"/>
  </r>
  <r>
    <x v="10"/>
    <x v="157"/>
    <s v="Pauchard"/>
    <s v="CuveReservoir Vertical - Autres applicationsPauchard"/>
    <s v="500L - 11 bars - Galva + intérieur epoxy"/>
    <n v="14"/>
    <s v="RVPA0500E.11G"/>
    <s v="Pauchard"/>
    <m/>
    <n v="0"/>
    <m/>
    <m/>
    <m/>
    <m/>
    <m/>
    <m/>
    <n v="0"/>
    <m/>
    <m/>
    <m/>
    <m/>
    <n v="0"/>
    <n v="0"/>
    <n v="0"/>
    <n v="0"/>
    <n v="0"/>
    <n v="0"/>
    <n v="0"/>
  </r>
  <r>
    <x v="10"/>
    <x v="157"/>
    <s v="Pauchard"/>
    <s v="CuveReservoir Vertical - Autres applicationsPauchard"/>
    <s v="5000L - 10 bars - Inox - DN150"/>
    <n v="15"/>
    <s v="RVPA5000.10I"/>
    <s v="Pauchard"/>
    <m/>
    <n v="0"/>
    <m/>
    <m/>
    <m/>
    <m/>
    <m/>
    <m/>
    <n v="0"/>
    <m/>
    <m/>
    <m/>
    <m/>
    <n v="0"/>
    <n v="0"/>
    <n v="0"/>
    <n v="0"/>
    <n v="0"/>
    <n v="0"/>
    <n v="0"/>
  </r>
  <r>
    <x v="10"/>
    <x v="157"/>
    <s v="Pauchard"/>
    <s v="CuveReservoir Vertical - Autres applicationsPauchard"/>
    <s v="10 000L - 13 bars - Inox"/>
    <n v="16"/>
    <s v="RVPA10000.13I"/>
    <s v="Pauchard"/>
    <m/>
    <n v="0"/>
    <m/>
    <m/>
    <m/>
    <m/>
    <m/>
    <m/>
    <n v="0"/>
    <m/>
    <m/>
    <m/>
    <m/>
    <n v="0"/>
    <n v="0"/>
    <n v="0"/>
    <n v="0"/>
    <n v="0"/>
    <n v="0"/>
    <n v="0"/>
  </r>
  <r>
    <x v="10"/>
    <x v="157"/>
    <s v="Pauchard"/>
    <s v="CuveReservoir Vertical - Autres applicationsPauchard"/>
    <s v="10 000L - 15 bars - Inox"/>
    <n v="17"/>
    <s v="RVPA10000.15I"/>
    <s v="Pauchard"/>
    <m/>
    <n v="0"/>
    <m/>
    <m/>
    <m/>
    <m/>
    <m/>
    <m/>
    <n v="0"/>
    <m/>
    <m/>
    <m/>
    <m/>
    <n v="0"/>
    <n v="0"/>
    <n v="0"/>
    <n v="0"/>
    <n v="0"/>
    <n v="0"/>
    <n v="0"/>
  </r>
  <r>
    <x v="10"/>
    <x v="158"/>
    <m/>
    <s v="CuveReservoir Horizontal - Air comprimé"/>
    <m/>
    <n v="0"/>
    <m/>
    <m/>
    <m/>
    <n v="0"/>
    <m/>
    <m/>
    <m/>
    <m/>
    <m/>
    <m/>
    <n v="0"/>
    <m/>
    <m/>
    <m/>
    <m/>
    <n v="0"/>
    <n v="0"/>
    <n v="0"/>
    <n v="0"/>
    <n v="0"/>
    <n v="0"/>
    <n v="0"/>
  </r>
  <r>
    <x v="10"/>
    <x v="158"/>
    <s v="Kaeser"/>
    <s v="CuveReservoir Horizontal - Air compriméKaeser"/>
    <s v="150L - 16 bars - Galva"/>
    <n v="1"/>
    <s v="RHKS0150.16G"/>
    <s v="Kaeser"/>
    <m/>
    <n v="0"/>
    <m/>
    <m/>
    <m/>
    <m/>
    <m/>
    <m/>
    <n v="0"/>
    <m/>
    <m/>
    <m/>
    <m/>
    <n v="0"/>
    <n v="0"/>
    <n v="0"/>
    <n v="0"/>
    <n v="0"/>
    <n v="0"/>
    <n v="0"/>
  </r>
  <r>
    <x v="10"/>
    <x v="158"/>
    <s v="Kaeser"/>
    <s v="CuveReservoir Horizontal - Air compriméKaeser"/>
    <s v="5000L - 11 bars - Galva"/>
    <n v="2"/>
    <s v="RHKS5000.11G"/>
    <s v="Kaeser"/>
    <m/>
    <n v="0"/>
    <m/>
    <m/>
    <m/>
    <m/>
    <m/>
    <m/>
    <n v="0"/>
    <m/>
    <m/>
    <m/>
    <m/>
    <n v="0"/>
    <n v="0"/>
    <n v="0"/>
    <n v="0"/>
    <n v="0"/>
    <n v="0"/>
    <n v="0"/>
  </r>
  <r>
    <x v="10"/>
    <x v="158"/>
    <s v="Kaeser"/>
    <s v="CuveReservoir Horizontal - Air compriméKaeser"/>
    <s v="8000L - 11 bars - Galva"/>
    <n v="3"/>
    <s v="RHKS8000.11G"/>
    <s v="Kaeser"/>
    <m/>
    <n v="0"/>
    <m/>
    <m/>
    <m/>
    <m/>
    <m/>
    <m/>
    <n v="0"/>
    <m/>
    <m/>
    <m/>
    <m/>
    <n v="0"/>
    <n v="0"/>
    <n v="0"/>
    <n v="0"/>
    <n v="0"/>
    <n v="0"/>
    <n v="0"/>
  </r>
  <r>
    <x v="10"/>
    <x v="158"/>
    <s v="Pauchard"/>
    <s v="CuveReservoir Horizontal - Air compriméPauchard"/>
    <s v="100L - 10 bars - Galva"/>
    <n v="4"/>
    <s v="RHPA0100.10G"/>
    <s v="Pauchard"/>
    <m/>
    <n v="0"/>
    <m/>
    <m/>
    <m/>
    <m/>
    <m/>
    <m/>
    <n v="0"/>
    <m/>
    <m/>
    <m/>
    <m/>
    <n v="0"/>
    <n v="0"/>
    <n v="0"/>
    <n v="0"/>
    <n v="0"/>
    <n v="0"/>
    <n v="0"/>
  </r>
  <r>
    <x v="10"/>
    <x v="158"/>
    <s v="Pauchard"/>
    <s v="CuveReservoir Horizontal - Air compriméPauchard"/>
    <s v="200L - 11 bars - Galva"/>
    <n v="5"/>
    <s v="RHPA0200.11G"/>
    <s v="Pauchard"/>
    <m/>
    <n v="0"/>
    <m/>
    <m/>
    <m/>
    <m/>
    <m/>
    <m/>
    <n v="0"/>
    <m/>
    <m/>
    <m/>
    <m/>
    <n v="0"/>
    <n v="0"/>
    <n v="0"/>
    <n v="0"/>
    <n v="0"/>
    <n v="0"/>
    <n v="0"/>
  </r>
  <r>
    <x v="10"/>
    <x v="158"/>
    <s v="Pauchard"/>
    <s v="CuveReservoir Horizontal - Air compriméPauchard"/>
    <s v="300L - 10 bars - Galva"/>
    <n v="6"/>
    <s v="RHPA0300.10G"/>
    <s v="Pauchard"/>
    <m/>
    <n v="0"/>
    <m/>
    <m/>
    <m/>
    <m/>
    <m/>
    <m/>
    <n v="0"/>
    <m/>
    <m/>
    <m/>
    <m/>
    <n v="0"/>
    <n v="0"/>
    <n v="0"/>
    <n v="0"/>
    <n v="0"/>
    <n v="0"/>
    <n v="0"/>
  </r>
  <r>
    <x v="10"/>
    <x v="158"/>
    <s v="Pauchard"/>
    <s v="CuveReservoir Horizontal - Air compriméPauchard"/>
    <s v="500L - 10 bars - Galva"/>
    <n v="7"/>
    <s v="RHPA0500.10G"/>
    <s v="Pauchard"/>
    <m/>
    <n v="0"/>
    <m/>
    <m/>
    <m/>
    <m/>
    <m/>
    <m/>
    <n v="0"/>
    <m/>
    <m/>
    <m/>
    <m/>
    <n v="0"/>
    <n v="0"/>
    <n v="0"/>
    <n v="0"/>
    <n v="0"/>
    <n v="0"/>
    <n v="0"/>
  </r>
  <r>
    <x v="10"/>
    <x v="158"/>
    <s v="Pauchard"/>
    <s v="CuveReservoir Horizontal - Air compriméPauchard"/>
    <s v="1000L - 10 bars - Galva"/>
    <n v="8"/>
    <s v="RHPA1000.10G"/>
    <s v="Pauchard"/>
    <m/>
    <n v="0"/>
    <m/>
    <m/>
    <m/>
    <m/>
    <m/>
    <m/>
    <n v="0"/>
    <m/>
    <m/>
    <m/>
    <m/>
    <n v="0"/>
    <n v="0"/>
    <n v="0"/>
    <n v="0"/>
    <n v="0"/>
    <n v="0"/>
    <n v="0"/>
  </r>
  <r>
    <x v="10"/>
    <x v="158"/>
    <s v="Pauchard"/>
    <s v="CuveReservoir Horizontal - Air compriméPauchard"/>
    <s v="1500L - 10 bars - Galva"/>
    <n v="9"/>
    <s v="RHPA1500.10G"/>
    <s v="Pauchard"/>
    <m/>
    <n v="0"/>
    <m/>
    <m/>
    <m/>
    <m/>
    <m/>
    <m/>
    <n v="0"/>
    <m/>
    <m/>
    <m/>
    <m/>
    <n v="0"/>
    <n v="0"/>
    <n v="0"/>
    <n v="0"/>
    <n v="0"/>
    <n v="0"/>
    <n v="0"/>
  </r>
  <r>
    <x v="10"/>
    <x v="158"/>
    <s v="Pauchard"/>
    <s v="CuveReservoir Horizontal - Air compriméPauchard"/>
    <s v="2000L - 10 bars - Galva"/>
    <n v="10"/>
    <s v="RHPA2000.10G"/>
    <s v="Pauchard"/>
    <m/>
    <n v="0"/>
    <m/>
    <m/>
    <m/>
    <m/>
    <m/>
    <m/>
    <n v="0"/>
    <m/>
    <m/>
    <m/>
    <m/>
    <n v="0"/>
    <n v="0"/>
    <n v="0"/>
    <n v="0"/>
    <n v="0"/>
    <n v="0"/>
    <n v="0"/>
  </r>
  <r>
    <x v="10"/>
    <x v="158"/>
    <s v="Pauchard"/>
    <s v="CuveReservoir Horizontal - Air compriméPauchard"/>
    <s v="3000L - 11 bars - Galva"/>
    <n v="11"/>
    <s v="RHPA3000.11G"/>
    <s v="Pauchard"/>
    <m/>
    <n v="0"/>
    <m/>
    <m/>
    <m/>
    <m/>
    <m/>
    <m/>
    <n v="0"/>
    <m/>
    <m/>
    <m/>
    <m/>
    <n v="0"/>
    <n v="0"/>
    <n v="0"/>
    <n v="0"/>
    <n v="0"/>
    <n v="0"/>
    <n v="0"/>
  </r>
  <r>
    <x v="10"/>
    <x v="158"/>
    <s v="Pauchard"/>
    <s v="CuveReservoir Horizontal - Air compriméPauchard"/>
    <s v="5000L - 10 bars - Galva"/>
    <n v="12"/>
    <s v="RHPA5000.10G"/>
    <s v="Pauchard"/>
    <m/>
    <n v="0"/>
    <m/>
    <m/>
    <m/>
    <m/>
    <m/>
    <m/>
    <n v="0"/>
    <m/>
    <m/>
    <m/>
    <m/>
    <n v="0"/>
    <n v="0"/>
    <n v="0"/>
    <n v="0"/>
    <n v="0"/>
    <n v="0"/>
    <n v="0"/>
  </r>
  <r>
    <x v="10"/>
    <x v="158"/>
    <s v="Pauchard"/>
    <s v="CuveReservoir Horizontal - Air compriméPauchard"/>
    <s v="5000L - 11 bars - Galva"/>
    <n v="13"/>
    <s v="RHPA5000.11G"/>
    <s v="Pauchard"/>
    <m/>
    <n v="0"/>
    <m/>
    <m/>
    <m/>
    <m/>
    <m/>
    <m/>
    <n v="0"/>
    <m/>
    <m/>
    <m/>
    <m/>
    <n v="0"/>
    <n v="0"/>
    <n v="0"/>
    <n v="0"/>
    <n v="0"/>
    <n v="0"/>
    <n v="0"/>
  </r>
  <r>
    <x v="10"/>
    <x v="158"/>
    <s v="Autres"/>
    <s v="CuveReservoir Horizontal - Air compriméAutres"/>
    <s v="10L - 11 bars - Peint"/>
    <n v="14"/>
    <s v="RHSI0010.11HP"/>
    <s v="SIAP"/>
    <m/>
    <n v="0"/>
    <m/>
    <m/>
    <m/>
    <m/>
    <m/>
    <m/>
    <n v="0"/>
    <m/>
    <m/>
    <m/>
    <m/>
    <n v="0"/>
    <n v="0"/>
    <n v="0"/>
    <n v="0"/>
    <n v="0"/>
    <n v="0"/>
    <n v="0"/>
  </r>
  <r>
    <x v="10"/>
    <x v="158"/>
    <s v="Autres"/>
    <s v="CuveReservoir Horizontal - Air compriméAutres"/>
    <s v="15L - 11 bars - Peint - Equipé"/>
    <n v="15"/>
    <s v="RHSE0015.11P"/>
    <s v="Sectoriel"/>
    <m/>
    <n v="0"/>
    <m/>
    <m/>
    <m/>
    <m/>
    <m/>
    <m/>
    <n v="0"/>
    <m/>
    <m/>
    <m/>
    <m/>
    <n v="0"/>
    <n v="0"/>
    <n v="0"/>
    <n v="0"/>
    <n v="0"/>
    <n v="0"/>
    <n v="0"/>
  </r>
  <r>
    <x v="10"/>
    <x v="158"/>
    <s v="Autres"/>
    <s v="CuveReservoir Horizontal - Air compriméAutres"/>
    <s v="24L - 11 bars - Peint"/>
    <n v="16"/>
    <s v="RHSI0024.11P"/>
    <s v="SIAP"/>
    <m/>
    <n v="0"/>
    <m/>
    <m/>
    <m/>
    <m/>
    <m/>
    <m/>
    <n v="0"/>
    <m/>
    <m/>
    <m/>
    <m/>
    <n v="0"/>
    <n v="0"/>
    <n v="0"/>
    <n v="0"/>
    <n v="0"/>
    <n v="0"/>
    <n v="0"/>
  </r>
  <r>
    <x v="10"/>
    <x v="158"/>
    <s v="Autres"/>
    <s v="CuveReservoir Horizontal - Air compriméAutres"/>
    <s v="50L - 11 bars - Peint"/>
    <n v="17"/>
    <s v="RHNU0050.11P"/>
    <s v="Nuair"/>
    <m/>
    <n v="0"/>
    <m/>
    <m/>
    <m/>
    <m/>
    <m/>
    <m/>
    <n v="0"/>
    <m/>
    <m/>
    <m/>
    <m/>
    <n v="0"/>
    <n v="0"/>
    <n v="0"/>
    <n v="0"/>
    <n v="0"/>
    <n v="0"/>
    <n v="0"/>
  </r>
  <r>
    <x v="10"/>
    <x v="158"/>
    <s v="Autres"/>
    <s v="CuveReservoir Horizontal - Air compriméAutres"/>
    <s v="50L - 11 bars - Peint - Equipé"/>
    <n v="18"/>
    <s v="RHSE0050.11P"/>
    <s v="Sectoriel"/>
    <m/>
    <n v="0"/>
    <m/>
    <m/>
    <m/>
    <m/>
    <m/>
    <m/>
    <n v="0"/>
    <m/>
    <m/>
    <m/>
    <m/>
    <n v="0"/>
    <n v="0"/>
    <n v="0"/>
    <n v="0"/>
    <n v="0"/>
    <n v="0"/>
    <n v="0"/>
  </r>
  <r>
    <x v="10"/>
    <x v="158"/>
    <s v="Autres"/>
    <s v="CuveReservoir Horizontal - Air compriméAutres"/>
    <s v="50L - 11 bars - Peint"/>
    <n v="19"/>
    <s v="RHSI0050.11B"/>
    <s v="SIAP"/>
    <m/>
    <n v="0"/>
    <m/>
    <m/>
    <m/>
    <m/>
    <m/>
    <m/>
    <n v="0"/>
    <m/>
    <m/>
    <m/>
    <m/>
    <n v="0"/>
    <n v="0"/>
    <n v="0"/>
    <n v="0"/>
    <n v="0"/>
    <n v="0"/>
    <n v="0"/>
  </r>
  <r>
    <x v="10"/>
    <x v="158"/>
    <s v="Autres"/>
    <s v="CuveReservoir Horizontal - Air compriméAutres"/>
    <s v="50L - 11 bars - Galva"/>
    <n v="20"/>
    <s v="RHSI0050.11G"/>
    <s v="SIAP"/>
    <m/>
    <n v="0"/>
    <m/>
    <m/>
    <m/>
    <m/>
    <m/>
    <m/>
    <n v="0"/>
    <m/>
    <m/>
    <m/>
    <m/>
    <n v="0"/>
    <n v="0"/>
    <n v="0"/>
    <n v="0"/>
    <n v="0"/>
    <n v="0"/>
    <n v="0"/>
  </r>
  <r>
    <x v="10"/>
    <x v="158"/>
    <s v="Autres"/>
    <s v="CuveReservoir Horizontal - Air compriméAutres"/>
    <s v="90L - 10 bars - Peint"/>
    <n v="21"/>
    <s v="RHMAT0090.10P"/>
    <s v="Mattei"/>
    <m/>
    <n v="0"/>
    <m/>
    <m/>
    <m/>
    <m/>
    <m/>
    <m/>
    <n v="0"/>
    <m/>
    <m/>
    <m/>
    <m/>
    <n v="0"/>
    <n v="0"/>
    <n v="0"/>
    <n v="0"/>
    <n v="0"/>
    <n v="0"/>
    <n v="0"/>
  </r>
  <r>
    <x v="10"/>
    <x v="158"/>
    <s v="Autres"/>
    <s v="CuveReservoir Horizontal - Air compriméAutres"/>
    <s v="100L - 11 bars - Galva - Equipé"/>
    <n v="22"/>
    <s v="RHSE0100.11G"/>
    <s v="Sectoriel"/>
    <m/>
    <n v="0"/>
    <m/>
    <m/>
    <m/>
    <m/>
    <m/>
    <m/>
    <n v="0"/>
    <m/>
    <m/>
    <m/>
    <m/>
    <n v="0"/>
    <n v="0"/>
    <n v="0"/>
    <n v="0"/>
    <n v="0"/>
    <n v="0"/>
    <n v="0"/>
  </r>
  <r>
    <x v="10"/>
    <x v="158"/>
    <s v="Autres"/>
    <s v="CuveReservoir Horizontal - Air compriméAutres"/>
    <s v="100L - 11 bars - Peint - Equipé"/>
    <n v="23"/>
    <s v="RHSE0100.11GP"/>
    <s v="Sectoriel"/>
    <m/>
    <n v="0"/>
    <m/>
    <m/>
    <m/>
    <m/>
    <m/>
    <m/>
    <n v="0"/>
    <m/>
    <m/>
    <m/>
    <m/>
    <n v="0"/>
    <n v="0"/>
    <n v="0"/>
    <n v="0"/>
    <n v="0"/>
    <n v="0"/>
    <n v="0"/>
  </r>
  <r>
    <x v="10"/>
    <x v="158"/>
    <s v="Autres"/>
    <s v="CuveReservoir Horizontal - Air compriméAutres"/>
    <s v="100L - 11 bars - Peint - Equipé"/>
    <n v="24"/>
    <s v="RHSI0100.11P"/>
    <s v="SIAP"/>
    <m/>
    <n v="0"/>
    <m/>
    <m/>
    <m/>
    <m/>
    <m/>
    <m/>
    <n v="0"/>
    <m/>
    <m/>
    <m/>
    <m/>
    <n v="0"/>
    <n v="0"/>
    <n v="0"/>
    <n v="0"/>
    <n v="0"/>
    <n v="0"/>
    <n v="0"/>
  </r>
  <r>
    <x v="10"/>
    <x v="158"/>
    <s v="Autres"/>
    <s v="CuveReservoir Horizontal - Air compriméAutres"/>
    <s v="200L - 10 bars - Galva"/>
    <n v="25"/>
    <s v="RHSI0200.10G"/>
    <s v="SIAP"/>
    <m/>
    <n v="0"/>
    <m/>
    <m/>
    <m/>
    <m/>
    <m/>
    <m/>
    <n v="0"/>
    <m/>
    <m/>
    <m/>
    <m/>
    <n v="0"/>
    <n v="0"/>
    <n v="0"/>
    <n v="0"/>
    <n v="0"/>
    <n v="0"/>
    <n v="0"/>
  </r>
  <r>
    <x v="10"/>
    <x v="158"/>
    <s v="Autres"/>
    <s v="CuveReservoir Horizontal - Air compriméAutres"/>
    <s v="200L - 11 bars - Galva - Equipé"/>
    <n v="26"/>
    <s v="RHSE0200.11G"/>
    <s v="Sectoriel"/>
    <m/>
    <n v="0"/>
    <m/>
    <m/>
    <m/>
    <m/>
    <m/>
    <m/>
    <n v="0"/>
    <m/>
    <m/>
    <m/>
    <m/>
    <n v="0"/>
    <n v="0"/>
    <n v="0"/>
    <n v="0"/>
    <n v="0"/>
    <n v="0"/>
    <n v="0"/>
  </r>
  <r>
    <x v="10"/>
    <x v="158"/>
    <s v="Autres"/>
    <s v="CuveReservoir Horizontal - Air compriméAutres"/>
    <s v="250L - 11 bars - Peint"/>
    <n v="27"/>
    <s v="RHMA0250.11G"/>
    <s v="Mauguiere"/>
    <m/>
    <n v="0"/>
    <m/>
    <m/>
    <m/>
    <m/>
    <m/>
    <m/>
    <n v="0"/>
    <m/>
    <m/>
    <m/>
    <m/>
    <n v="0"/>
    <n v="0"/>
    <n v="0"/>
    <n v="0"/>
    <n v="0"/>
    <n v="0"/>
    <n v="0"/>
  </r>
  <r>
    <x v="10"/>
    <x v="158"/>
    <s v="Autres"/>
    <s v="CuveReservoir Horizontal - Air compriméAutres"/>
    <s v="250L - 10 bars - Galva + platine"/>
    <n v="28"/>
    <s v="RHRE0250.10GPL"/>
    <s v="Renner"/>
    <m/>
    <n v="0"/>
    <m/>
    <m/>
    <m/>
    <m/>
    <m/>
    <m/>
    <n v="0"/>
    <m/>
    <m/>
    <m/>
    <m/>
    <n v="0"/>
    <n v="0"/>
    <n v="0"/>
    <n v="0"/>
    <n v="0"/>
    <n v="0"/>
    <n v="0"/>
  </r>
  <r>
    <x v="10"/>
    <x v="158"/>
    <s v="Autres"/>
    <s v="CuveReservoir Horizontal - Air compriméAutres"/>
    <s v="270L - 10 bars - Galva + platine"/>
    <n v="29"/>
    <s v="RHRE0270.10GPL"/>
    <s v="Renner"/>
    <m/>
    <n v="0"/>
    <m/>
    <m/>
    <m/>
    <m/>
    <m/>
    <m/>
    <n v="0"/>
    <m/>
    <m/>
    <m/>
    <m/>
    <n v="0"/>
    <n v="0"/>
    <n v="0"/>
    <n v="0"/>
    <n v="0"/>
    <n v="0"/>
    <n v="0"/>
  </r>
  <r>
    <x v="10"/>
    <x v="158"/>
    <s v="Autres"/>
    <s v="CuveReservoir Horizontal - Air compriméAutres"/>
    <s v="270L - 11 bars - Galva - Equipé"/>
    <n v="30"/>
    <s v="RHSE0270.11G"/>
    <s v="Sectoriel"/>
    <m/>
    <n v="0"/>
    <m/>
    <m/>
    <m/>
    <m/>
    <m/>
    <m/>
    <n v="0"/>
    <m/>
    <m/>
    <m/>
    <m/>
    <n v="0"/>
    <n v="0"/>
    <n v="0"/>
    <n v="0"/>
    <n v="0"/>
    <n v="0"/>
    <n v="0"/>
  </r>
  <r>
    <x v="10"/>
    <x v="158"/>
    <s v="Autres"/>
    <s v="CuveReservoir Horizontal - Air compriméAutres"/>
    <s v="300L - 10 bars - Peint"/>
    <n v="31"/>
    <s v="RHMA0300.10P"/>
    <s v="Mauguiere"/>
    <m/>
    <n v="0"/>
    <m/>
    <m/>
    <m/>
    <m/>
    <m/>
    <m/>
    <n v="0"/>
    <m/>
    <m/>
    <m/>
    <m/>
    <n v="0"/>
    <n v="0"/>
    <n v="0"/>
    <n v="0"/>
    <n v="0"/>
    <n v="0"/>
    <n v="0"/>
  </r>
  <r>
    <x v="10"/>
    <x v="158"/>
    <s v="Autres"/>
    <s v="CuveReservoir Horizontal - Air compriméAutres"/>
    <s v="500L - 11 bars - Peint"/>
    <n v="32"/>
    <s v="RHSI0500.11P"/>
    <s v="SIAP"/>
    <m/>
    <n v="0"/>
    <m/>
    <m/>
    <m/>
    <m/>
    <m/>
    <m/>
    <n v="0"/>
    <m/>
    <m/>
    <m/>
    <m/>
    <n v="0"/>
    <n v="0"/>
    <n v="0"/>
    <n v="0"/>
    <n v="0"/>
    <n v="0"/>
    <n v="0"/>
  </r>
  <r>
    <x v="10"/>
    <x v="158"/>
    <s v="Autres"/>
    <s v="CuveReservoir Horizontal - Air compriméAutres"/>
    <s v="500L - 10 bars - Peint alimentaire"/>
    <n v="33"/>
    <s v="RHSI0500P.10G"/>
    <s v="SIAP"/>
    <m/>
    <n v="0"/>
    <m/>
    <m/>
    <m/>
    <m/>
    <m/>
    <m/>
    <n v="0"/>
    <m/>
    <m/>
    <m/>
    <m/>
    <n v="0"/>
    <n v="0"/>
    <n v="0"/>
    <n v="0"/>
    <n v="0"/>
    <n v="0"/>
    <n v="0"/>
  </r>
  <r>
    <x v="10"/>
    <x v="158"/>
    <s v="Autres"/>
    <s v="CuveReservoir Horizontal - Air compriméAutres"/>
    <s v="900L - 10 bars - Peint alimentaire"/>
    <n v="34"/>
    <s v="RHSI0900P.10G"/>
    <s v="SIAP"/>
    <m/>
    <n v="0"/>
    <m/>
    <m/>
    <m/>
    <m/>
    <m/>
    <m/>
    <n v="0"/>
    <m/>
    <m/>
    <m/>
    <m/>
    <n v="0"/>
    <n v="0"/>
    <n v="0"/>
    <n v="0"/>
    <n v="0"/>
    <n v="0"/>
    <n v="0"/>
  </r>
  <r>
    <x v="10"/>
    <x v="158"/>
    <s v="Autres"/>
    <s v="CuveReservoir Horizontal - Air compriméAutres"/>
    <s v="5000L - 5 bars - Galva - Equipé"/>
    <n v="35"/>
    <s v="RHFL5000.08G"/>
    <s v="Flytec"/>
    <m/>
    <n v="0"/>
    <m/>
    <m/>
    <m/>
    <m/>
    <m/>
    <m/>
    <n v="0"/>
    <m/>
    <m/>
    <m/>
    <m/>
    <n v="0"/>
    <n v="0"/>
    <n v="0"/>
    <n v="0"/>
    <n v="0"/>
    <n v="0"/>
    <n v="0"/>
  </r>
  <r>
    <x v="11"/>
    <x v="159"/>
    <m/>
    <s v="FixationBoulons"/>
    <m/>
    <n v="0"/>
    <m/>
    <m/>
    <m/>
    <n v="0"/>
    <m/>
    <m/>
    <m/>
    <m/>
    <m/>
    <m/>
    <n v="0"/>
    <m/>
    <m/>
    <m/>
    <m/>
    <n v="0"/>
    <n v="0"/>
    <n v="0"/>
    <n v="0"/>
    <n v="0"/>
    <n v="0"/>
    <n v="0"/>
  </r>
  <r>
    <x v="11"/>
    <x v="159"/>
    <m/>
    <s v="FixationBoulons"/>
    <s v="vis + ecrou 16x70"/>
    <n v="1"/>
    <s v="M16x70"/>
    <m/>
    <s v="DBR25+DDA09"/>
    <n v="0"/>
    <m/>
    <m/>
    <m/>
    <m/>
    <m/>
    <m/>
    <n v="0"/>
    <m/>
    <m/>
    <m/>
    <s v="pour assemblage bride DN80/DN100"/>
    <n v="0"/>
    <n v="0"/>
    <n v="0"/>
    <n v="0"/>
    <n v="0"/>
    <n v="0"/>
    <n v="0"/>
  </r>
  <r>
    <x v="11"/>
    <x v="159"/>
    <m/>
    <s v="FixationBoulons"/>
    <s v="vis + ecrou 16x100"/>
    <n v="2"/>
    <s v="M16x100"/>
    <m/>
    <s v="DBR51+DDA10"/>
    <n v="0"/>
    <m/>
    <m/>
    <m/>
    <m/>
    <m/>
    <m/>
    <n v="0"/>
    <m/>
    <m/>
    <m/>
    <m/>
    <n v="0"/>
    <n v="0"/>
    <n v="0"/>
    <n v="0"/>
    <n v="0"/>
    <n v="0"/>
    <n v="0"/>
  </r>
  <r>
    <x v="11"/>
    <x v="159"/>
    <m/>
    <s v="FixationBoulons"/>
    <s v="vis + ecrou 16x120"/>
    <n v="3"/>
    <s v="M16x120"/>
    <m/>
    <s v="DBR514+DDA11"/>
    <n v="0"/>
    <m/>
    <m/>
    <m/>
    <m/>
    <m/>
    <m/>
    <n v="0"/>
    <m/>
    <m/>
    <m/>
    <m/>
    <n v="0"/>
    <n v="0"/>
    <n v="0"/>
    <n v="0"/>
    <n v="0"/>
    <n v="0"/>
    <n v="0"/>
  </r>
  <r>
    <x v="11"/>
    <x v="159"/>
    <m/>
    <s v="FixationBoulons"/>
    <s v="vis + ecrou 20X80"/>
    <n v="4"/>
    <s v="M20X80"/>
    <m/>
    <s v="DBR29+DDA11"/>
    <n v="0"/>
    <m/>
    <m/>
    <m/>
    <m/>
    <m/>
    <m/>
    <n v="0"/>
    <m/>
    <m/>
    <m/>
    <s v="pour assemblage bride DN150"/>
    <n v="0"/>
    <n v="0"/>
    <n v="0"/>
    <n v="0"/>
    <n v="0"/>
    <n v="0"/>
    <n v="0"/>
  </r>
  <r>
    <x v="11"/>
    <x v="159"/>
    <m/>
    <s v="FixationBoulons"/>
    <s v="vis + ecrou 20X130"/>
    <n v="5"/>
    <s v="M20x130"/>
    <m/>
    <s v="DBR304+DDA11"/>
    <n v="0"/>
    <m/>
    <m/>
    <m/>
    <m/>
    <m/>
    <m/>
    <n v="0"/>
    <m/>
    <m/>
    <m/>
    <s v="pour assemblage bride DN200"/>
    <n v="0"/>
    <n v="0"/>
    <n v="0"/>
    <n v="0"/>
    <n v="0"/>
    <n v="0"/>
    <n v="0"/>
  </r>
  <r>
    <x v="11"/>
    <x v="160"/>
    <m/>
    <s v="FixationCapuchon de securité "/>
    <m/>
    <n v="0"/>
    <m/>
    <m/>
    <m/>
    <n v="0"/>
    <m/>
    <m/>
    <m/>
    <m/>
    <m/>
    <m/>
    <n v="0"/>
    <m/>
    <m/>
    <m/>
    <m/>
    <n v="0"/>
    <n v="0"/>
    <n v="0"/>
    <n v="0"/>
    <n v="0"/>
    <n v="0"/>
    <n v="0"/>
  </r>
  <r>
    <x v="11"/>
    <x v="160"/>
    <m/>
    <s v="FixationCapuchon de securité "/>
    <s v="pour rail 27/18"/>
    <n v="1"/>
    <n v="33707"/>
    <m/>
    <m/>
    <n v="0"/>
    <m/>
    <m/>
    <m/>
    <m/>
    <m/>
    <m/>
    <n v="0"/>
    <m/>
    <m/>
    <m/>
    <m/>
    <n v="0"/>
    <n v="0"/>
    <n v="0"/>
    <n v="0"/>
    <n v="0"/>
    <n v="0"/>
    <n v="0"/>
  </r>
  <r>
    <x v="11"/>
    <x v="160"/>
    <m/>
    <s v="FixationCapuchon de securité "/>
    <s v="pour rail 38/24"/>
    <n v="2"/>
    <s v="10000-M"/>
    <m/>
    <m/>
    <n v="0"/>
    <m/>
    <m/>
    <m/>
    <m/>
    <m/>
    <m/>
    <n v="0"/>
    <m/>
    <m/>
    <m/>
    <m/>
    <n v="0"/>
    <n v="0"/>
    <n v="0"/>
    <n v="0"/>
    <n v="0"/>
    <n v="0"/>
    <n v="0"/>
  </r>
  <r>
    <x v="11"/>
    <x v="160"/>
    <m/>
    <s v="FixationCapuchon de securité "/>
    <s v="pour rail 38/40"/>
    <n v="3"/>
    <n v="32921"/>
    <m/>
    <s v="BAM05"/>
    <n v="0"/>
    <m/>
    <m/>
    <m/>
    <m/>
    <m/>
    <m/>
    <n v="0"/>
    <m/>
    <m/>
    <m/>
    <m/>
    <n v="0"/>
    <n v="0"/>
    <n v="0"/>
    <n v="0"/>
    <n v="0"/>
    <n v="0"/>
    <n v="0"/>
  </r>
  <r>
    <x v="11"/>
    <x v="161"/>
    <m/>
    <s v="FixationChainette"/>
    <m/>
    <n v="0"/>
    <m/>
    <m/>
    <m/>
    <n v="0"/>
    <m/>
    <m/>
    <m/>
    <m/>
    <m/>
    <m/>
    <n v="0"/>
    <m/>
    <m/>
    <m/>
    <m/>
    <n v="0"/>
    <n v="0"/>
    <n v="0"/>
    <n v="0"/>
    <n v="0"/>
    <n v="0"/>
    <n v="0"/>
  </r>
  <r>
    <x v="11"/>
    <x v="161"/>
    <m/>
    <s v="FixationChainette"/>
    <s v="Ø 3 au mètre (sceau de 50m)"/>
    <n v="1"/>
    <s v="CHAAC.D3"/>
    <m/>
    <s v="BDG02"/>
    <n v="0"/>
    <m/>
    <m/>
    <m/>
    <m/>
    <m/>
    <m/>
    <n v="0"/>
    <m/>
    <m/>
    <m/>
    <m/>
    <n v="0"/>
    <n v="0"/>
    <n v="0"/>
    <n v="0"/>
    <n v="0"/>
    <n v="0"/>
    <n v="0"/>
  </r>
  <r>
    <x v="11"/>
    <x v="162"/>
    <m/>
    <s v="FixationChevilles"/>
    <m/>
    <n v="0"/>
    <m/>
    <m/>
    <m/>
    <n v="0"/>
    <m/>
    <m/>
    <m/>
    <m/>
    <m/>
    <m/>
    <n v="0"/>
    <m/>
    <m/>
    <m/>
    <m/>
    <n v="0"/>
    <n v="0"/>
    <n v="0"/>
    <n v="0"/>
    <n v="0"/>
    <n v="0"/>
    <n v="0"/>
  </r>
  <r>
    <x v="11"/>
    <x v="162"/>
    <m/>
    <s v="FixationChevilles"/>
    <s v="8 pour tirefond 6x40"/>
    <n v="1"/>
    <n v="13978"/>
    <m/>
    <s v="EEE02"/>
    <n v="0"/>
    <m/>
    <m/>
    <m/>
    <m/>
    <m/>
    <m/>
    <n v="0"/>
    <m/>
    <m/>
    <m/>
    <m/>
    <n v="0"/>
    <n v="0"/>
    <n v="0"/>
    <n v="0"/>
    <n v="0"/>
    <n v="0"/>
    <n v="0"/>
  </r>
  <r>
    <x v="11"/>
    <x v="162"/>
    <m/>
    <s v="FixationChevilles"/>
    <s v="10 pour patte à vis et tirefond de 8"/>
    <n v="2"/>
    <n v="30252"/>
    <m/>
    <s v="EEB06"/>
    <n v="0"/>
    <m/>
    <m/>
    <m/>
    <m/>
    <m/>
    <m/>
    <n v="0"/>
    <m/>
    <m/>
    <m/>
    <m/>
    <n v="0"/>
    <n v="0"/>
    <n v="0"/>
    <n v="0"/>
    <n v="0"/>
    <n v="0"/>
    <n v="0"/>
  </r>
  <r>
    <x v="11"/>
    <x v="162"/>
    <m/>
    <s v="FixationChevilles"/>
    <s v="12 pour tirefond de 10"/>
    <n v="3"/>
    <n v="29645"/>
    <m/>
    <s v="EEB08"/>
    <n v="0"/>
    <m/>
    <m/>
    <m/>
    <m/>
    <m/>
    <m/>
    <n v="0"/>
    <m/>
    <m/>
    <m/>
    <m/>
    <n v="0"/>
    <n v="0"/>
    <n v="0"/>
    <n v="0"/>
    <n v="0"/>
    <n v="0"/>
    <n v="0"/>
  </r>
  <r>
    <x v="11"/>
    <x v="162"/>
    <s v="Cheville mécanique"/>
    <s v="FixationChevillesCheville mécanique"/>
    <s v="8X30"/>
    <n v="4"/>
    <n v="22934"/>
    <m/>
    <s v="EAI02"/>
    <n v="0"/>
    <m/>
    <m/>
    <m/>
    <m/>
    <m/>
    <m/>
    <n v="0"/>
    <m/>
    <m/>
    <m/>
    <m/>
    <n v="0"/>
    <n v="0"/>
    <n v="0"/>
    <n v="0"/>
    <n v="0"/>
    <n v="0"/>
    <n v="0"/>
  </r>
  <r>
    <x v="11"/>
    <x v="163"/>
    <m/>
    <s v="FixationColliers pour flexibles"/>
    <m/>
    <n v="0"/>
    <m/>
    <m/>
    <m/>
    <n v="0"/>
    <m/>
    <m/>
    <m/>
    <m/>
    <m/>
    <m/>
    <n v="0"/>
    <m/>
    <m/>
    <m/>
    <m/>
    <n v="0"/>
    <n v="0"/>
    <n v="0"/>
    <n v="0"/>
    <n v="0"/>
    <n v="0"/>
    <n v="0"/>
  </r>
  <r>
    <x v="11"/>
    <x v="163"/>
    <s v="Griffes"/>
    <s v="FixationColliers pour flexiblesGriffes"/>
    <s v="pour maxair 8"/>
    <n v="1"/>
    <s v="CSS15"/>
    <m/>
    <m/>
    <n v="0"/>
    <m/>
    <m/>
    <m/>
    <m/>
    <m/>
    <m/>
    <n v="0"/>
    <m/>
    <m/>
    <m/>
    <m/>
    <n v="0"/>
    <n v="0"/>
    <n v="0"/>
    <n v="0"/>
    <n v="0"/>
    <n v="0"/>
    <n v="0"/>
  </r>
  <r>
    <x v="11"/>
    <x v="163"/>
    <s v="Griffes"/>
    <s v="FixationColliers pour flexiblesGriffes"/>
    <s v="pour maxair 10"/>
    <n v="2"/>
    <s v="CSS17"/>
    <m/>
    <m/>
    <n v="0"/>
    <m/>
    <m/>
    <m/>
    <m/>
    <m/>
    <m/>
    <n v="0"/>
    <m/>
    <m/>
    <m/>
    <m/>
    <n v="0"/>
    <n v="0"/>
    <n v="0"/>
    <n v="0"/>
    <n v="0"/>
    <n v="0"/>
    <n v="0"/>
  </r>
  <r>
    <x v="11"/>
    <x v="163"/>
    <s v="Griffes"/>
    <s v="FixationColliers pour flexiblesGriffes"/>
    <s v="pour maxair 13"/>
    <n v="3"/>
    <s v="CSS20"/>
    <m/>
    <m/>
    <n v="0"/>
    <m/>
    <m/>
    <m/>
    <m/>
    <m/>
    <m/>
    <n v="0"/>
    <m/>
    <m/>
    <m/>
    <m/>
    <n v="0"/>
    <n v="0"/>
    <n v="0"/>
    <n v="0"/>
    <n v="0"/>
    <n v="0"/>
    <n v="0"/>
  </r>
  <r>
    <x v="11"/>
    <x v="163"/>
    <s v="Griffes"/>
    <s v="FixationColliers pour flexiblesGriffes"/>
    <s v="pour maxair 19"/>
    <n v="4"/>
    <s v="CSS29"/>
    <m/>
    <m/>
    <n v="0"/>
    <m/>
    <m/>
    <m/>
    <m/>
    <m/>
    <m/>
    <n v="0"/>
    <m/>
    <m/>
    <m/>
    <m/>
    <n v="0"/>
    <n v="0"/>
    <n v="0"/>
    <n v="0"/>
    <n v="0"/>
    <n v="0"/>
    <n v="0"/>
  </r>
  <r>
    <x v="11"/>
    <x v="163"/>
    <s v="Griffes"/>
    <s v="FixationColliers pour flexiblesGriffes"/>
    <s v="pour maxair 25"/>
    <n v="5"/>
    <s v="CSS36"/>
    <m/>
    <m/>
    <n v="0"/>
    <m/>
    <m/>
    <m/>
    <m/>
    <m/>
    <m/>
    <n v="0"/>
    <m/>
    <m/>
    <m/>
    <m/>
    <n v="0"/>
    <n v="0"/>
    <n v="0"/>
    <n v="0"/>
    <n v="0"/>
    <n v="0"/>
    <n v="0"/>
  </r>
  <r>
    <x v="11"/>
    <x v="163"/>
    <s v="Griffes"/>
    <s v="FixationColliers pour flexiblesGriffes"/>
    <s v="pour maxair 16"/>
    <n v="6"/>
    <s v="CSS23"/>
    <m/>
    <m/>
    <n v="0"/>
    <m/>
    <m/>
    <m/>
    <m/>
    <m/>
    <m/>
    <n v="0"/>
    <m/>
    <m/>
    <m/>
    <m/>
    <n v="0"/>
    <n v="0"/>
    <n v="0"/>
    <n v="0"/>
    <n v="0"/>
    <n v="0"/>
    <n v="0"/>
  </r>
  <r>
    <x v="11"/>
    <x v="163"/>
    <s v="Griffes"/>
    <s v="FixationColliers pour flexiblesGriffes"/>
    <s v="pour maxair 32"/>
    <n v="7"/>
    <s v="CSS38"/>
    <m/>
    <m/>
    <n v="0"/>
    <m/>
    <m/>
    <m/>
    <m/>
    <m/>
    <m/>
    <n v="0"/>
    <m/>
    <m/>
    <m/>
    <m/>
    <n v="0"/>
    <n v="0"/>
    <n v="0"/>
    <n v="0"/>
    <n v="0"/>
    <n v="0"/>
    <n v="0"/>
  </r>
  <r>
    <x v="11"/>
    <x v="163"/>
    <s v="Oreilles"/>
    <s v="FixationColliers pour flexiblesOreilles"/>
    <s v=" 7-9"/>
    <n v="8"/>
    <s v="CO0709"/>
    <m/>
    <m/>
    <n v="0"/>
    <m/>
    <m/>
    <m/>
    <m/>
    <m/>
    <m/>
    <n v="0"/>
    <m/>
    <m/>
    <m/>
    <m/>
    <n v="0"/>
    <n v="0"/>
    <n v="0"/>
    <n v="0"/>
    <n v="0"/>
    <n v="0"/>
    <n v="0"/>
  </r>
  <r>
    <x v="11"/>
    <x v="163"/>
    <s v="Oreilles"/>
    <s v="FixationColliers pour flexiblesOreilles"/>
    <s v=" 9-11"/>
    <n v="9"/>
    <s v="CO0911"/>
    <m/>
    <m/>
    <n v="0"/>
    <m/>
    <m/>
    <m/>
    <m/>
    <m/>
    <m/>
    <n v="0"/>
    <m/>
    <m/>
    <m/>
    <m/>
    <n v="0"/>
    <n v="0"/>
    <n v="0"/>
    <n v="0"/>
    <n v="0"/>
    <n v="0"/>
    <n v="0"/>
  </r>
  <r>
    <x v="11"/>
    <x v="163"/>
    <s v="Oreilles"/>
    <s v="FixationColliers pour flexiblesOreilles"/>
    <s v=" 11-13"/>
    <n v="10"/>
    <s v="CO1113"/>
    <m/>
    <m/>
    <n v="0"/>
    <m/>
    <m/>
    <m/>
    <m/>
    <m/>
    <m/>
    <n v="0"/>
    <m/>
    <m/>
    <m/>
    <m/>
    <n v="0"/>
    <n v="0"/>
    <n v="0"/>
    <n v="0"/>
    <n v="0"/>
    <n v="0"/>
    <n v="0"/>
  </r>
  <r>
    <x v="11"/>
    <x v="163"/>
    <s v="Oreilles"/>
    <s v="FixationColliers pour flexiblesOreilles"/>
    <s v="13-15            ( trico 08)"/>
    <n v="11"/>
    <s v="CO1315"/>
    <m/>
    <m/>
    <n v="0"/>
    <m/>
    <m/>
    <m/>
    <m/>
    <m/>
    <m/>
    <n v="0"/>
    <m/>
    <m/>
    <m/>
    <m/>
    <n v="0"/>
    <n v="0"/>
    <n v="0"/>
    <n v="0"/>
    <n v="0"/>
    <n v="0"/>
    <n v="0"/>
  </r>
  <r>
    <x v="11"/>
    <x v="163"/>
    <s v="Oreilles"/>
    <s v="FixationColliers pour flexiblesOreilles"/>
    <s v="15-18            ( trico 10)"/>
    <n v="12"/>
    <s v="CO1518"/>
    <m/>
    <m/>
    <n v="0"/>
    <m/>
    <m/>
    <m/>
    <m/>
    <m/>
    <m/>
    <n v="0"/>
    <m/>
    <m/>
    <m/>
    <m/>
    <n v="0"/>
    <n v="0"/>
    <n v="0"/>
    <n v="0"/>
    <n v="0"/>
    <n v="0"/>
    <n v="0"/>
  </r>
  <r>
    <x v="11"/>
    <x v="163"/>
    <s v="Oreilles"/>
    <s v="FixationColliers pour flexiblesOreilles"/>
    <s v="17-20"/>
    <n v="13"/>
    <s v="CO1720"/>
    <m/>
    <m/>
    <n v="0"/>
    <m/>
    <m/>
    <m/>
    <m/>
    <m/>
    <m/>
    <n v="0"/>
    <m/>
    <m/>
    <m/>
    <m/>
    <n v="0"/>
    <n v="0"/>
    <n v="0"/>
    <n v="0"/>
    <n v="0"/>
    <n v="0"/>
    <n v="0"/>
  </r>
  <r>
    <x v="11"/>
    <x v="163"/>
    <s v="Oreilles"/>
    <s v="FixationColliers pour flexiblesOreilles"/>
    <s v="18-21           ( trico 13)"/>
    <n v="14"/>
    <s v="CO1821"/>
    <m/>
    <m/>
    <n v="0"/>
    <m/>
    <m/>
    <m/>
    <m/>
    <m/>
    <m/>
    <n v="0"/>
    <m/>
    <m/>
    <m/>
    <m/>
    <n v="0"/>
    <n v="0"/>
    <n v="0"/>
    <n v="0"/>
    <n v="0"/>
    <n v="0"/>
    <n v="0"/>
  </r>
  <r>
    <x v="11"/>
    <x v="163"/>
    <s v="Oreilles"/>
    <s v="FixationColliers pour flexiblesOreilles"/>
    <s v="20-23"/>
    <n v="15"/>
    <s v="CO2023"/>
    <m/>
    <m/>
    <n v="0"/>
    <m/>
    <m/>
    <m/>
    <m/>
    <m/>
    <m/>
    <n v="0"/>
    <m/>
    <m/>
    <m/>
    <m/>
    <n v="0"/>
    <n v="0"/>
    <n v="0"/>
    <n v="0"/>
    <n v="0"/>
    <n v="0"/>
    <n v="0"/>
  </r>
  <r>
    <x v="11"/>
    <x v="163"/>
    <s v="Oreilles"/>
    <s v="FixationColliers pour flexiblesOreilles"/>
    <s v="23-27           ( trico 19)"/>
    <n v="16"/>
    <s v="CO2327"/>
    <m/>
    <m/>
    <n v="0"/>
    <m/>
    <m/>
    <m/>
    <m/>
    <m/>
    <m/>
    <n v="0"/>
    <m/>
    <m/>
    <m/>
    <m/>
    <n v="0"/>
    <n v="0"/>
    <n v="0"/>
    <n v="0"/>
    <n v="0"/>
    <n v="0"/>
    <n v="0"/>
  </r>
  <r>
    <x v="11"/>
    <x v="163"/>
    <s v="Oreilles"/>
    <s v="FixationColliers pour flexiblesOreilles"/>
    <s v="25-28"/>
    <n v="17"/>
    <s v="CO2528"/>
    <m/>
    <m/>
    <n v="0"/>
    <m/>
    <m/>
    <m/>
    <m/>
    <m/>
    <m/>
    <n v="0"/>
    <m/>
    <m/>
    <m/>
    <m/>
    <n v="0"/>
    <n v="0"/>
    <n v="0"/>
    <n v="0"/>
    <n v="0"/>
    <n v="0"/>
    <n v="0"/>
  </r>
  <r>
    <x v="11"/>
    <x v="163"/>
    <s v="Oreilles"/>
    <s v="FixationColliers pour flexiblesOreilles"/>
    <s v="27-31"/>
    <n v="18"/>
    <s v="CO2731"/>
    <m/>
    <m/>
    <n v="0"/>
    <m/>
    <m/>
    <m/>
    <m/>
    <m/>
    <m/>
    <n v="0"/>
    <m/>
    <m/>
    <m/>
    <m/>
    <n v="0"/>
    <n v="0"/>
    <n v="0"/>
    <n v="0"/>
    <n v="0"/>
    <n v="0"/>
    <n v="0"/>
  </r>
  <r>
    <x v="11"/>
    <x v="163"/>
    <s v="Oreilles"/>
    <s v="FixationColliers pour flexiblesOreilles"/>
    <s v="30-34           ( trico 25)"/>
    <n v="19"/>
    <s v="CO3034"/>
    <m/>
    <m/>
    <n v="0"/>
    <m/>
    <m/>
    <m/>
    <m/>
    <m/>
    <m/>
    <n v="0"/>
    <m/>
    <m/>
    <m/>
    <m/>
    <n v="0"/>
    <n v="0"/>
    <n v="0"/>
    <n v="0"/>
    <n v="0"/>
    <n v="0"/>
    <n v="0"/>
  </r>
  <r>
    <x v="11"/>
    <x v="163"/>
    <s v="Serflex"/>
    <s v="FixationColliers pour flexiblesSerflex"/>
    <s v="10 16"/>
    <n v="20"/>
    <s v="CV1016"/>
    <m/>
    <s v="?"/>
    <n v="0"/>
    <m/>
    <m/>
    <m/>
    <m/>
    <m/>
    <m/>
    <n v="0"/>
    <m/>
    <m/>
    <m/>
    <m/>
    <n v="0"/>
    <n v="0"/>
    <n v="0"/>
    <n v="0"/>
    <n v="0"/>
    <n v="0"/>
    <n v="0"/>
  </r>
  <r>
    <x v="11"/>
    <x v="163"/>
    <s v="Serflex"/>
    <s v="FixationColliers pour flexiblesSerflex"/>
    <s v="11 17"/>
    <n v="21"/>
    <s v="CV1117"/>
    <m/>
    <s v="?"/>
    <n v="0"/>
    <m/>
    <m/>
    <m/>
    <m/>
    <m/>
    <m/>
    <n v="0"/>
    <m/>
    <m/>
    <m/>
    <s v="Pas créé dans Divalto"/>
    <n v="0"/>
    <n v="0"/>
    <n v="0"/>
    <n v="0"/>
    <n v="0"/>
    <n v="0"/>
    <n v="0"/>
  </r>
  <r>
    <x v="11"/>
    <x v="163"/>
    <s v="Serflex"/>
    <s v="FixationColliers pour flexiblesSerflex"/>
    <s v="13 20"/>
    <n v="22"/>
    <s v="CV1320"/>
    <m/>
    <s v="?"/>
    <n v="0"/>
    <m/>
    <m/>
    <m/>
    <m/>
    <m/>
    <m/>
    <n v="0"/>
    <m/>
    <m/>
    <m/>
    <m/>
    <n v="0"/>
    <n v="0"/>
    <n v="0"/>
    <n v="0"/>
    <n v="0"/>
    <n v="0"/>
    <n v="0"/>
  </r>
  <r>
    <x v="11"/>
    <x v="163"/>
    <s v="Serflex"/>
    <s v="FixationColliers pour flexiblesSerflex"/>
    <s v="14 24"/>
    <n v="23"/>
    <s v="CV1424"/>
    <m/>
    <s v="?"/>
    <n v="0"/>
    <m/>
    <m/>
    <m/>
    <m/>
    <m/>
    <m/>
    <n v="0"/>
    <m/>
    <m/>
    <m/>
    <m/>
    <n v="0"/>
    <n v="0"/>
    <n v="0"/>
    <n v="0"/>
    <n v="0"/>
    <n v="0"/>
    <n v="0"/>
  </r>
  <r>
    <x v="11"/>
    <x v="163"/>
    <s v="Serflex"/>
    <s v="FixationColliers pour flexiblesSerflex"/>
    <s v="18 28"/>
    <n v="24"/>
    <s v="CV1828"/>
    <m/>
    <s v="?"/>
    <n v="0"/>
    <m/>
    <m/>
    <m/>
    <m/>
    <m/>
    <m/>
    <n v="0"/>
    <m/>
    <m/>
    <m/>
    <m/>
    <n v="0"/>
    <n v="0"/>
    <n v="0"/>
    <n v="0"/>
    <n v="0"/>
    <n v="0"/>
    <n v="0"/>
  </r>
  <r>
    <x v="11"/>
    <x v="163"/>
    <s v="Serflex"/>
    <s v="FixationColliers pour flexiblesSerflex"/>
    <s v="24 36"/>
    <n v="25"/>
    <s v="CV2436"/>
    <m/>
    <s v="?"/>
    <n v="0"/>
    <m/>
    <m/>
    <m/>
    <m/>
    <m/>
    <m/>
    <n v="0"/>
    <m/>
    <m/>
    <m/>
    <m/>
    <n v="0"/>
    <n v="0"/>
    <n v="0"/>
    <n v="0"/>
    <n v="0"/>
    <n v="0"/>
    <n v="0"/>
  </r>
  <r>
    <x v="11"/>
    <x v="163"/>
    <s v="Serflex"/>
    <s v="FixationColliers pour flexiblesSerflex"/>
    <s v="40 43"/>
    <n v="26"/>
    <s v="CV4043"/>
    <m/>
    <s v="?"/>
    <n v="0"/>
    <m/>
    <m/>
    <m/>
    <m/>
    <m/>
    <m/>
    <n v="0"/>
    <m/>
    <m/>
    <m/>
    <m/>
    <n v="0"/>
    <n v="0"/>
    <n v="0"/>
    <n v="0"/>
    <n v="0"/>
    <n v="0"/>
    <n v="0"/>
  </r>
  <r>
    <x v="11"/>
    <x v="163"/>
    <s v="Serflex"/>
    <s v="FixationColliers pour flexiblesSerflex"/>
    <s v="32 52"/>
    <n v="27"/>
    <s v="CV3252"/>
    <m/>
    <s v="?"/>
    <n v="0"/>
    <m/>
    <m/>
    <m/>
    <m/>
    <m/>
    <m/>
    <n v="0"/>
    <m/>
    <m/>
    <m/>
    <m/>
    <n v="0"/>
    <n v="0"/>
    <n v="0"/>
    <n v="0"/>
    <n v="0"/>
    <n v="0"/>
    <n v="0"/>
  </r>
  <r>
    <x v="11"/>
    <x v="163"/>
    <s v="Tourillon"/>
    <s v="FixationColliers pour flexiblesTourillon"/>
    <s v="44-47"/>
    <n v="28"/>
    <s v="CV44-47"/>
    <m/>
    <m/>
    <n v="0"/>
    <m/>
    <m/>
    <m/>
    <m/>
    <m/>
    <m/>
    <n v="0"/>
    <m/>
    <m/>
    <m/>
    <m/>
    <n v="0"/>
    <n v="0"/>
    <n v="0"/>
    <n v="0"/>
    <n v="0"/>
    <n v="0"/>
    <n v="0"/>
  </r>
  <r>
    <x v="11"/>
    <x v="163"/>
    <s v="Tourillon"/>
    <s v="FixationColliers pour flexiblesTourillon"/>
    <s v="40-43"/>
    <n v="29"/>
    <s v="ZTOE43"/>
    <m/>
    <m/>
    <n v="0"/>
    <m/>
    <m/>
    <m/>
    <m/>
    <m/>
    <m/>
    <n v="0"/>
    <m/>
    <m/>
    <m/>
    <m/>
    <n v="0"/>
    <n v="0"/>
    <n v="0"/>
    <n v="0"/>
    <n v="0"/>
    <n v="0"/>
    <n v="0"/>
  </r>
  <r>
    <x v="11"/>
    <x v="163"/>
    <s v="Tourillon"/>
    <s v="FixationColliers pour flexiblesTourillon"/>
    <s v="36-39"/>
    <n v="30"/>
    <s v="CV36-39"/>
    <m/>
    <m/>
    <n v="0"/>
    <m/>
    <m/>
    <m/>
    <m/>
    <m/>
    <m/>
    <n v="0"/>
    <m/>
    <m/>
    <m/>
    <m/>
    <n v="0"/>
    <n v="0"/>
    <n v="0"/>
    <n v="0"/>
    <n v="0"/>
    <n v="0"/>
    <n v="0"/>
  </r>
  <r>
    <x v="11"/>
    <x v="163"/>
    <s v="Tourillon"/>
    <s v="FixationColliers pour flexiblesTourillon"/>
    <s v="32-35"/>
    <n v="31"/>
    <s v="CV32-35"/>
    <m/>
    <m/>
    <n v="0"/>
    <m/>
    <m/>
    <m/>
    <m/>
    <m/>
    <m/>
    <n v="0"/>
    <m/>
    <m/>
    <m/>
    <m/>
    <n v="0"/>
    <n v="0"/>
    <n v="0"/>
    <n v="0"/>
    <n v="0"/>
    <n v="0"/>
    <n v="0"/>
  </r>
  <r>
    <x v="11"/>
    <x v="163"/>
    <s v="Tourillon"/>
    <s v="FixationColliers pour flexiblesTourillon"/>
    <s v="60-63"/>
    <n v="32"/>
    <s v="CV60-63"/>
    <m/>
    <m/>
    <n v="0"/>
    <m/>
    <m/>
    <m/>
    <m/>
    <m/>
    <m/>
    <n v="0"/>
    <m/>
    <m/>
    <m/>
    <m/>
    <n v="0"/>
    <n v="0"/>
    <n v="0"/>
    <n v="0"/>
    <n v="0"/>
    <n v="0"/>
    <n v="0"/>
  </r>
  <r>
    <x v="11"/>
    <x v="163"/>
    <s v="Tourillon"/>
    <s v="FixationColliers pour flexiblesTourillon"/>
    <s v="64-67"/>
    <n v="33"/>
    <s v="CV64-67"/>
    <m/>
    <m/>
    <n v="0"/>
    <m/>
    <m/>
    <m/>
    <m/>
    <m/>
    <m/>
    <n v="0"/>
    <m/>
    <m/>
    <m/>
    <m/>
    <n v="0"/>
    <n v="0"/>
    <n v="0"/>
    <n v="0"/>
    <n v="0"/>
    <n v="0"/>
    <n v="0"/>
  </r>
  <r>
    <x v="11"/>
    <x v="164"/>
    <m/>
    <s v="FixationConsoles"/>
    <m/>
    <n v="0"/>
    <m/>
    <m/>
    <m/>
    <n v="0"/>
    <m/>
    <m/>
    <m/>
    <m/>
    <m/>
    <m/>
    <n v="0"/>
    <m/>
    <m/>
    <m/>
    <m/>
    <n v="0"/>
    <n v="0"/>
    <n v="0"/>
    <n v="0"/>
    <n v="0"/>
    <n v="0"/>
    <n v="0"/>
  </r>
  <r>
    <x v="11"/>
    <x v="164"/>
    <m/>
    <s v="FixationConsoles"/>
    <s v="LG 200 - 27x18"/>
    <n v="1"/>
    <s v="CONS200"/>
    <m/>
    <m/>
    <n v="0"/>
    <m/>
    <m/>
    <m/>
    <m/>
    <m/>
    <m/>
    <n v="0"/>
    <m/>
    <m/>
    <m/>
    <m/>
    <n v="0"/>
    <n v="0"/>
    <n v="0"/>
    <n v="0"/>
    <n v="0"/>
    <n v="0"/>
    <n v="0"/>
  </r>
  <r>
    <x v="11"/>
    <x v="164"/>
    <m/>
    <s v="FixationConsoles"/>
    <s v="LG 240 - 38x40"/>
    <n v="2"/>
    <n v="40142"/>
    <m/>
    <m/>
    <n v="0"/>
    <m/>
    <m/>
    <m/>
    <m/>
    <m/>
    <m/>
    <n v="0"/>
    <m/>
    <m/>
    <m/>
    <m/>
    <n v="0"/>
    <n v="0"/>
    <n v="0"/>
    <n v="0"/>
    <n v="0"/>
    <n v="0"/>
    <n v="0"/>
  </r>
  <r>
    <x v="11"/>
    <x v="164"/>
    <m/>
    <s v="FixationConsoles"/>
    <s v="LG 560 - 38x40"/>
    <n v="3"/>
    <n v="41092"/>
    <m/>
    <s v="BAD14"/>
    <n v="0"/>
    <m/>
    <m/>
    <m/>
    <m/>
    <m/>
    <m/>
    <n v="0"/>
    <m/>
    <m/>
    <m/>
    <m/>
    <n v="0"/>
    <n v="0"/>
    <n v="0"/>
    <n v="0"/>
    <n v="0"/>
    <n v="0"/>
    <n v="0"/>
  </r>
  <r>
    <x v="11"/>
    <x v="164"/>
    <m/>
    <s v="FixationConsoles"/>
    <s v="LG400 - 28x30"/>
    <n v="4"/>
    <n v="13150"/>
    <m/>
    <s v="BAD13"/>
    <n v="0"/>
    <m/>
    <m/>
    <m/>
    <m/>
    <m/>
    <m/>
    <n v="0"/>
    <m/>
    <m/>
    <m/>
    <s v="à modifier en 38x40"/>
    <n v="0"/>
    <n v="0"/>
    <n v="0"/>
    <n v="0"/>
    <n v="0"/>
    <n v="0"/>
    <n v="0"/>
  </r>
  <r>
    <x v="11"/>
    <x v="164"/>
    <m/>
    <s v="FixationConsoles"/>
    <s v="LG800 - 38x40"/>
    <n v="5"/>
    <s v="CONS800"/>
    <m/>
    <s v="BAD19"/>
    <n v="0"/>
    <m/>
    <m/>
    <m/>
    <m/>
    <m/>
    <m/>
    <n v="0"/>
    <m/>
    <m/>
    <m/>
    <m/>
    <n v="0"/>
    <n v="0"/>
    <n v="0"/>
    <n v="0"/>
    <n v="0"/>
    <n v="0"/>
    <n v="0"/>
  </r>
  <r>
    <x v="11"/>
    <x v="165"/>
    <m/>
    <s v="FixationCRAPAUD  ou Crampon"/>
    <m/>
    <n v="0"/>
    <m/>
    <m/>
    <m/>
    <n v="0"/>
    <m/>
    <m/>
    <m/>
    <m/>
    <m/>
    <m/>
    <n v="0"/>
    <m/>
    <m/>
    <m/>
    <m/>
    <n v="0"/>
    <n v="0"/>
    <n v="0"/>
    <n v="0"/>
    <n v="0"/>
    <n v="0"/>
    <n v="0"/>
  </r>
  <r>
    <x v="11"/>
    <x v="165"/>
    <m/>
    <s v="FixationCRAPAUD  ou Crampon"/>
    <s v="Ø 8"/>
    <n v="1"/>
    <n v="130248"/>
    <m/>
    <s v="BED05"/>
    <n v="0"/>
    <m/>
    <m/>
    <m/>
    <m/>
    <m/>
    <m/>
    <n v="0"/>
    <m/>
    <m/>
    <m/>
    <m/>
    <n v="0"/>
    <n v="0"/>
    <n v="0"/>
    <n v="0"/>
    <n v="0"/>
    <n v="0"/>
    <n v="0"/>
  </r>
  <r>
    <x v="11"/>
    <x v="165"/>
    <m/>
    <s v="FixationCRAPAUD  ou Crampon"/>
    <s v="Ø10"/>
    <n v="2"/>
    <n v="39098"/>
    <m/>
    <s v="BED06"/>
    <n v="0"/>
    <m/>
    <m/>
    <m/>
    <m/>
    <m/>
    <m/>
    <n v="0"/>
    <m/>
    <m/>
    <m/>
    <m/>
    <n v="0"/>
    <n v="0"/>
    <n v="0"/>
    <n v="0"/>
    <n v="0"/>
    <n v="0"/>
    <n v="0"/>
  </r>
  <r>
    <x v="11"/>
    <x v="165"/>
    <m/>
    <s v="FixationCRAPAUD  ou Crampon"/>
    <s v="Ø 12"/>
    <n v="3"/>
    <n v="39101"/>
    <m/>
    <s v="BED07"/>
    <n v="0"/>
    <m/>
    <m/>
    <m/>
    <m/>
    <m/>
    <m/>
    <n v="0"/>
    <m/>
    <m/>
    <m/>
    <m/>
    <n v="0"/>
    <n v="0"/>
    <n v="0"/>
    <n v="0"/>
    <n v="0"/>
    <n v="0"/>
    <n v="0"/>
  </r>
  <r>
    <x v="11"/>
    <x v="166"/>
    <m/>
    <s v="FixationEcrous"/>
    <m/>
    <n v="0"/>
    <m/>
    <m/>
    <m/>
    <n v="0"/>
    <m/>
    <m/>
    <m/>
    <m/>
    <m/>
    <m/>
    <n v="0"/>
    <m/>
    <m/>
    <m/>
    <m/>
    <n v="0"/>
    <n v="0"/>
    <n v="0"/>
    <n v="0"/>
    <n v="0"/>
    <n v="0"/>
    <n v="0"/>
  </r>
  <r>
    <x v="11"/>
    <x v="166"/>
    <m/>
    <s v="FixationEcrous"/>
    <s v="M8"/>
    <n v="1"/>
    <n v="20192"/>
    <s v="Mupro"/>
    <n v="105498"/>
    <n v="0"/>
    <m/>
    <m/>
    <m/>
    <m/>
    <m/>
    <m/>
    <n v="0"/>
    <m/>
    <m/>
    <m/>
    <m/>
    <n v="0"/>
    <n v="0"/>
    <n v="0"/>
    <n v="0"/>
    <n v="0"/>
    <n v="0"/>
    <n v="0"/>
  </r>
  <r>
    <x v="11"/>
    <x v="166"/>
    <m/>
    <s v="FixationEcrous"/>
    <s v="M10"/>
    <n v="2"/>
    <n v="20184"/>
    <m/>
    <s v="DDA06"/>
    <n v="0"/>
    <m/>
    <m/>
    <m/>
    <m/>
    <m/>
    <m/>
    <n v="0"/>
    <m/>
    <m/>
    <m/>
    <m/>
    <n v="0"/>
    <n v="0"/>
    <n v="0"/>
    <n v="0"/>
    <n v="0"/>
    <n v="0"/>
    <n v="0"/>
  </r>
  <r>
    <x v="11"/>
    <x v="166"/>
    <m/>
    <s v="FixationEcrous"/>
    <s v="Ecrou réduit M10-M6"/>
    <n v="3"/>
    <n v="113462"/>
    <m/>
    <m/>
    <n v="0"/>
    <m/>
    <m/>
    <m/>
    <m/>
    <m/>
    <m/>
    <n v="0"/>
    <m/>
    <m/>
    <m/>
    <m/>
    <n v="0"/>
    <n v="0"/>
    <n v="0"/>
    <n v="0"/>
    <n v="0"/>
    <n v="0"/>
    <n v="0"/>
  </r>
  <r>
    <x v="11"/>
    <x v="166"/>
    <s v="Ecrou rail"/>
    <s v="FixationEcrousEcrou rail"/>
    <s v="Ecrou rectangulaire M8 pour rail 38/24"/>
    <n v="4"/>
    <n v="28800"/>
    <s v="Mupro"/>
    <n v="118040"/>
    <n v="0"/>
    <m/>
    <m/>
    <m/>
    <m/>
    <m/>
    <m/>
    <n v="0"/>
    <m/>
    <m/>
    <m/>
    <m/>
    <n v="0"/>
    <n v="0"/>
    <n v="0"/>
    <n v="0"/>
    <n v="0"/>
    <n v="0"/>
    <n v="0"/>
  </r>
  <r>
    <x v="11"/>
    <x v="166"/>
    <s v="Ecrou rail"/>
    <s v="FixationEcrousEcrou rail"/>
    <s v="Double écrou MPC 27/18 =&gt; 28/30 M8x40 EZ"/>
    <n v="5"/>
    <n v="115166"/>
    <s v="Mupro"/>
    <n v="115166"/>
    <n v="0"/>
    <m/>
    <m/>
    <m/>
    <m/>
    <m/>
    <m/>
    <n v="0"/>
    <m/>
    <m/>
    <m/>
    <m/>
    <n v="0"/>
    <n v="0"/>
    <n v="0"/>
    <n v="0"/>
    <n v="0"/>
    <n v="0"/>
    <n v="0"/>
  </r>
  <r>
    <x v="11"/>
    <x v="166"/>
    <s v="Ecrou rail"/>
    <s v="FixationEcrousEcrou rail"/>
    <s v="Double écrou MPC 27/18 =&gt; 28/30 M10x35 EZ"/>
    <n v="6"/>
    <n v="115104"/>
    <s v="Mupro"/>
    <n v="115104"/>
    <n v="0"/>
    <m/>
    <m/>
    <m/>
    <m/>
    <m/>
    <m/>
    <n v="0"/>
    <m/>
    <m/>
    <m/>
    <m/>
    <n v="0"/>
    <n v="0"/>
    <n v="0"/>
    <n v="0"/>
    <n v="0"/>
    <n v="0"/>
    <n v="0"/>
  </r>
  <r>
    <x v="11"/>
    <x v="166"/>
    <s v="Ecrou rail"/>
    <s v="FixationEcrousEcrou rail"/>
    <s v="Double écrou MPC 38/24 jusqu'à 40/120 M8x40 EZ"/>
    <n v="7"/>
    <n v="30953"/>
    <s v="Mupro"/>
    <n v="115080"/>
    <n v="0"/>
    <m/>
    <m/>
    <m/>
    <m/>
    <m/>
    <m/>
    <n v="0"/>
    <m/>
    <m/>
    <m/>
    <m/>
    <n v="0"/>
    <n v="0"/>
    <n v="0"/>
    <n v="0"/>
    <n v="0"/>
    <n v="0"/>
    <n v="0"/>
  </r>
  <r>
    <x v="11"/>
    <x v="166"/>
    <s v="Ecrou rail"/>
    <s v="FixationEcrousEcrou rail"/>
    <s v="M10"/>
    <n v="8"/>
    <s v="EC-RAILM10X35"/>
    <m/>
    <s v="BAG22"/>
    <n v="0"/>
    <m/>
    <m/>
    <m/>
    <m/>
    <m/>
    <m/>
    <n v="0"/>
    <m/>
    <m/>
    <m/>
    <m/>
    <n v="0"/>
    <n v="0"/>
    <n v="0"/>
    <n v="0"/>
    <n v="0"/>
    <n v="0"/>
    <n v="0"/>
  </r>
  <r>
    <x v="11"/>
    <x v="167"/>
    <m/>
    <s v="FixationEtriers longs"/>
    <m/>
    <n v="0"/>
    <m/>
    <m/>
    <m/>
    <n v="0"/>
    <m/>
    <m/>
    <m/>
    <m/>
    <m/>
    <m/>
    <n v="0"/>
    <m/>
    <m/>
    <m/>
    <m/>
    <n v="0"/>
    <n v="0"/>
    <n v="0"/>
    <n v="0"/>
    <n v="0"/>
    <n v="0"/>
    <n v="0"/>
  </r>
  <r>
    <x v="11"/>
    <x v="167"/>
    <m/>
    <s v="FixationEtriers longs"/>
    <s v="DN25 - D34"/>
    <n v="1"/>
    <s v="ETR1"/>
    <m/>
    <m/>
    <n v="0"/>
    <m/>
    <m/>
    <m/>
    <m/>
    <m/>
    <m/>
    <n v="0"/>
    <m/>
    <m/>
    <m/>
    <m/>
    <n v="0"/>
    <n v="0"/>
    <n v="0"/>
    <n v="0"/>
    <n v="0"/>
    <n v="0"/>
    <n v="0"/>
  </r>
  <r>
    <x v="11"/>
    <x v="167"/>
    <m/>
    <s v="FixationEtriers longs"/>
    <s v="DN32 - D42"/>
    <n v="2"/>
    <s v="ETR114"/>
    <m/>
    <m/>
    <n v="0"/>
    <m/>
    <m/>
    <m/>
    <m/>
    <m/>
    <m/>
    <n v="0"/>
    <m/>
    <m/>
    <m/>
    <m/>
    <n v="0"/>
    <n v="0"/>
    <n v="0"/>
    <n v="0"/>
    <n v="0"/>
    <n v="0"/>
    <n v="0"/>
  </r>
  <r>
    <x v="11"/>
    <x v="167"/>
    <m/>
    <s v="FixationEtriers longs"/>
    <s v="DN40 - D49"/>
    <n v="3"/>
    <s v="ETR112"/>
    <m/>
    <m/>
    <n v="0"/>
    <m/>
    <m/>
    <m/>
    <m/>
    <m/>
    <m/>
    <n v="0"/>
    <m/>
    <m/>
    <m/>
    <m/>
    <n v="0"/>
    <n v="0"/>
    <n v="0"/>
    <n v="0"/>
    <n v="0"/>
    <n v="0"/>
    <n v="0"/>
  </r>
  <r>
    <x v="11"/>
    <x v="167"/>
    <m/>
    <s v="FixationEtriers longs"/>
    <s v="DN50 - D60"/>
    <n v="4"/>
    <s v="ETR2"/>
    <m/>
    <m/>
    <n v="0"/>
    <m/>
    <m/>
    <m/>
    <m/>
    <m/>
    <m/>
    <n v="0"/>
    <m/>
    <m/>
    <m/>
    <m/>
    <n v="0"/>
    <n v="0"/>
    <n v="0"/>
    <n v="0"/>
    <n v="0"/>
    <n v="0"/>
    <n v="0"/>
  </r>
  <r>
    <x v="11"/>
    <x v="167"/>
    <m/>
    <s v="FixationEtriers longs"/>
    <s v="Dn65-2&quot;1/2"/>
    <n v="5"/>
    <s v="ETR212"/>
    <m/>
    <s v="AJA83"/>
    <n v="0"/>
    <m/>
    <m/>
    <m/>
    <m/>
    <m/>
    <m/>
    <n v="0"/>
    <m/>
    <m/>
    <m/>
    <m/>
    <n v="0"/>
    <n v="0"/>
    <n v="0"/>
    <n v="0"/>
    <n v="0"/>
    <n v="0"/>
    <n v="0"/>
  </r>
  <r>
    <x v="11"/>
    <x v="167"/>
    <m/>
    <s v="FixationEtriers longs"/>
    <s v="DN80 -3&quot;"/>
    <n v="6"/>
    <s v="ETR3"/>
    <m/>
    <s v="AJA84"/>
    <n v="0"/>
    <m/>
    <m/>
    <m/>
    <m/>
    <m/>
    <m/>
    <n v="0"/>
    <m/>
    <m/>
    <m/>
    <m/>
    <n v="0"/>
    <n v="0"/>
    <n v="0"/>
    <n v="0"/>
    <n v="0"/>
    <n v="0"/>
    <n v="0"/>
  </r>
  <r>
    <x v="11"/>
    <x v="167"/>
    <m/>
    <s v="FixationEtriers longs"/>
    <s v="DN100 -4&quot;"/>
    <n v="7"/>
    <s v="ETR4"/>
    <m/>
    <s v="AJA85"/>
    <n v="0"/>
    <m/>
    <m/>
    <m/>
    <m/>
    <m/>
    <m/>
    <n v="0"/>
    <m/>
    <m/>
    <m/>
    <m/>
    <n v="0"/>
    <n v="0"/>
    <n v="0"/>
    <n v="0"/>
    <n v="0"/>
    <n v="0"/>
    <n v="0"/>
  </r>
  <r>
    <x v="11"/>
    <x v="167"/>
    <m/>
    <s v="FixationEtriers longs"/>
    <s v="DN125 -5&quot;"/>
    <n v="8"/>
    <s v="ETR5"/>
    <m/>
    <s v="AJA86"/>
    <n v="0"/>
    <m/>
    <m/>
    <m/>
    <m/>
    <m/>
    <m/>
    <n v="0"/>
    <m/>
    <m/>
    <m/>
    <m/>
    <n v="0"/>
    <n v="0"/>
    <n v="0"/>
    <n v="0"/>
    <n v="0"/>
    <n v="0"/>
    <n v="0"/>
  </r>
  <r>
    <x v="11"/>
    <x v="167"/>
    <m/>
    <s v="FixationEtriers longs"/>
    <s v="DN150 -6&quot;"/>
    <n v="9"/>
    <s v="ETR6"/>
    <m/>
    <s v="AJA87"/>
    <n v="0"/>
    <m/>
    <m/>
    <m/>
    <m/>
    <m/>
    <m/>
    <n v="0"/>
    <m/>
    <m/>
    <m/>
    <m/>
    <n v="0"/>
    <n v="0"/>
    <n v="0"/>
    <n v="0"/>
    <n v="0"/>
    <n v="0"/>
    <n v="0"/>
  </r>
  <r>
    <x v="11"/>
    <x v="168"/>
    <m/>
    <s v="FixationPattes à vis"/>
    <m/>
    <n v="0"/>
    <m/>
    <m/>
    <m/>
    <n v="0"/>
    <m/>
    <m/>
    <m/>
    <m/>
    <m/>
    <m/>
    <n v="0"/>
    <m/>
    <m/>
    <m/>
    <m/>
    <n v="0"/>
    <n v="0"/>
    <n v="0"/>
    <n v="0"/>
    <n v="0"/>
    <n v="0"/>
    <n v="0"/>
  </r>
  <r>
    <x v="11"/>
    <x v="168"/>
    <m/>
    <s v="FixationPattes à vis"/>
    <s v="pate à vis autoforeuse M8x15"/>
    <n v="1"/>
    <s v="0207000815"/>
    <m/>
    <s v="DAI04"/>
    <n v="0"/>
    <m/>
    <m/>
    <m/>
    <m/>
    <m/>
    <m/>
    <n v="0"/>
    <m/>
    <m/>
    <m/>
    <m/>
    <n v="0"/>
    <n v="0"/>
    <n v="0"/>
    <n v="0"/>
    <n v="0"/>
    <n v="0"/>
    <n v="0"/>
  </r>
  <r>
    <x v="11"/>
    <x v="168"/>
    <m/>
    <s v="FixationPattes à vis"/>
    <s v=" 8/50"/>
    <n v="2"/>
    <n v="14834"/>
    <m/>
    <s v="DBA01"/>
    <n v="0"/>
    <m/>
    <m/>
    <m/>
    <m/>
    <m/>
    <m/>
    <n v="0"/>
    <m/>
    <m/>
    <m/>
    <m/>
    <n v="0"/>
    <n v="0"/>
    <n v="0"/>
    <n v="0"/>
    <n v="0"/>
    <n v="0"/>
    <n v="0"/>
  </r>
  <r>
    <x v="11"/>
    <x v="168"/>
    <m/>
    <s v="FixationPattes à vis"/>
    <s v=" 8/70"/>
    <n v="3"/>
    <n v="14842"/>
    <m/>
    <s v="DBA03"/>
    <n v="0"/>
    <m/>
    <m/>
    <m/>
    <m/>
    <m/>
    <m/>
    <n v="0"/>
    <m/>
    <m/>
    <m/>
    <m/>
    <n v="0"/>
    <n v="0"/>
    <n v="0"/>
    <n v="0"/>
    <n v="0"/>
    <n v="0"/>
    <n v="0"/>
  </r>
  <r>
    <x v="11"/>
    <x v="168"/>
    <m/>
    <s v="FixationPattes à vis"/>
    <s v=" 8/100"/>
    <n v="4"/>
    <n v="14869"/>
    <m/>
    <s v="DBA04"/>
    <n v="0"/>
    <m/>
    <m/>
    <m/>
    <m/>
    <m/>
    <m/>
    <n v="0"/>
    <m/>
    <m/>
    <m/>
    <m/>
    <n v="0"/>
    <n v="0"/>
    <n v="0"/>
    <n v="0"/>
    <n v="0"/>
    <n v="0"/>
    <n v="0"/>
  </r>
  <r>
    <x v="11"/>
    <x v="169"/>
    <m/>
    <s v="FixationPI Erico"/>
    <m/>
    <n v="0"/>
    <m/>
    <m/>
    <m/>
    <n v="0"/>
    <m/>
    <m/>
    <m/>
    <m/>
    <m/>
    <m/>
    <n v="0"/>
    <m/>
    <m/>
    <m/>
    <m/>
    <n v="0"/>
    <n v="0"/>
    <n v="0"/>
    <n v="0"/>
    <n v="0"/>
    <n v="0"/>
    <n v="0"/>
  </r>
  <r>
    <x v="11"/>
    <x v="169"/>
    <m/>
    <s v="FixationPI Erico"/>
    <s v="EBC"/>
    <n v="1"/>
    <n v="170380"/>
    <m/>
    <m/>
    <n v="0"/>
    <m/>
    <m/>
    <m/>
    <m/>
    <m/>
    <m/>
    <n v="0"/>
    <m/>
    <m/>
    <m/>
    <m/>
    <n v="0"/>
    <n v="0"/>
    <n v="0"/>
    <n v="0"/>
    <n v="0"/>
    <n v="0"/>
    <n v="0"/>
  </r>
  <r>
    <x v="11"/>
    <x v="170"/>
    <m/>
    <s v="FixationPitons"/>
    <m/>
    <n v="0"/>
    <m/>
    <m/>
    <m/>
    <n v="0"/>
    <m/>
    <m/>
    <m/>
    <m/>
    <m/>
    <m/>
    <n v="0"/>
    <m/>
    <m/>
    <m/>
    <m/>
    <n v="0"/>
    <n v="0"/>
    <n v="0"/>
    <n v="0"/>
    <n v="0"/>
    <n v="0"/>
    <n v="0"/>
  </r>
  <r>
    <x v="11"/>
    <x v="170"/>
    <m/>
    <s v="FixationPitons"/>
    <s v="M6"/>
    <n v="1"/>
    <s v="PITON_6X40"/>
    <m/>
    <s v="DCI05"/>
    <n v="0"/>
    <m/>
    <m/>
    <m/>
    <m/>
    <m/>
    <m/>
    <n v="0"/>
    <m/>
    <m/>
    <m/>
    <m/>
    <n v="0"/>
    <n v="0"/>
    <n v="0"/>
    <n v="0"/>
    <n v="0"/>
    <n v="0"/>
    <n v="0"/>
  </r>
  <r>
    <x v="11"/>
    <x v="171"/>
    <m/>
    <s v="FixationTige filetée"/>
    <m/>
    <n v="0"/>
    <m/>
    <m/>
    <m/>
    <n v="0"/>
    <m/>
    <m/>
    <m/>
    <m/>
    <m/>
    <m/>
    <n v="0"/>
    <m/>
    <m/>
    <m/>
    <m/>
    <n v="0"/>
    <n v="0"/>
    <n v="0"/>
    <n v="0"/>
    <n v="0"/>
    <n v="0"/>
    <n v="0"/>
  </r>
  <r>
    <x v="11"/>
    <x v="171"/>
    <m/>
    <s v="FixationTige filetée"/>
    <s v="M5"/>
    <n v="1"/>
    <s v="TF051"/>
    <m/>
    <m/>
    <n v="0"/>
    <m/>
    <m/>
    <m/>
    <m/>
    <m/>
    <m/>
    <n v="0"/>
    <m/>
    <m/>
    <m/>
    <m/>
    <n v="0"/>
    <n v="0"/>
    <n v="0"/>
    <n v="0"/>
    <n v="0"/>
    <n v="0"/>
    <n v="0"/>
  </r>
  <r>
    <x v="11"/>
    <x v="171"/>
    <m/>
    <s v="FixationTige filetée"/>
    <s v="M6"/>
    <n v="2"/>
    <s v="TF061"/>
    <m/>
    <m/>
    <n v="0"/>
    <m/>
    <m/>
    <m/>
    <m/>
    <m/>
    <m/>
    <n v="0"/>
    <m/>
    <m/>
    <m/>
    <m/>
    <n v="0"/>
    <n v="0"/>
    <n v="0"/>
    <n v="0"/>
    <n v="0"/>
    <n v="0"/>
    <n v="0"/>
  </r>
  <r>
    <x v="11"/>
    <x v="171"/>
    <m/>
    <s v="FixationTige filetée"/>
    <s v="M8"/>
    <n v="3"/>
    <s v="TF081"/>
    <m/>
    <s v="DBC03"/>
    <n v="0"/>
    <m/>
    <m/>
    <m/>
    <m/>
    <m/>
    <m/>
    <n v="0"/>
    <m/>
    <m/>
    <m/>
    <m/>
    <n v="0"/>
    <n v="0"/>
    <n v="0"/>
    <n v="0"/>
    <n v="0"/>
    <n v="0"/>
    <n v="0"/>
  </r>
  <r>
    <x v="11"/>
    <x v="171"/>
    <m/>
    <s v="FixationTige filetée"/>
    <s v="M10"/>
    <n v="4"/>
    <s v="TF101"/>
    <m/>
    <s v="DBC04"/>
    <n v="0"/>
    <m/>
    <m/>
    <m/>
    <m/>
    <m/>
    <m/>
    <n v="0"/>
    <m/>
    <m/>
    <m/>
    <m/>
    <n v="0"/>
    <n v="0"/>
    <n v="0"/>
    <n v="0"/>
    <n v="0"/>
    <n v="0"/>
    <n v="0"/>
  </r>
  <r>
    <x v="11"/>
    <x v="171"/>
    <m/>
    <s v="FixationTige filetée"/>
    <s v="M12"/>
    <n v="5"/>
    <s v="TF121"/>
    <m/>
    <s v="DBC05"/>
    <n v="0"/>
    <m/>
    <m/>
    <m/>
    <m/>
    <m/>
    <m/>
    <n v="0"/>
    <m/>
    <m/>
    <m/>
    <m/>
    <n v="0"/>
    <n v="0"/>
    <n v="0"/>
    <n v="0"/>
    <n v="0"/>
    <n v="0"/>
    <n v="0"/>
  </r>
  <r>
    <x v="11"/>
    <x v="172"/>
    <m/>
    <s v="FixationTirefonds"/>
    <m/>
    <n v="0"/>
    <m/>
    <m/>
    <m/>
    <n v="0"/>
    <m/>
    <m/>
    <m/>
    <m/>
    <m/>
    <m/>
    <n v="0"/>
    <m/>
    <m/>
    <m/>
    <m/>
    <n v="0"/>
    <n v="0"/>
    <n v="0"/>
    <n v="0"/>
    <n v="0"/>
    <n v="0"/>
    <n v="0"/>
  </r>
  <r>
    <x v="11"/>
    <x v="172"/>
    <m/>
    <s v="FixationTirefonds"/>
    <s v="Fixation chemin de cable 6x40"/>
    <n v="1"/>
    <n v="14532"/>
    <m/>
    <m/>
    <n v="0"/>
    <m/>
    <m/>
    <m/>
    <m/>
    <m/>
    <m/>
    <n v="0"/>
    <m/>
    <m/>
    <m/>
    <m/>
    <n v="0"/>
    <n v="0"/>
    <n v="0"/>
    <n v="0"/>
    <n v="0"/>
    <n v="0"/>
    <n v="0"/>
  </r>
  <r>
    <x v="11"/>
    <x v="172"/>
    <m/>
    <s v="FixationTirefonds"/>
    <s v="Fixation armoire electrique 8X50"/>
    <n v="2"/>
    <n v="35262"/>
    <m/>
    <s v="DBN19"/>
    <n v="0"/>
    <m/>
    <m/>
    <m/>
    <m/>
    <m/>
    <m/>
    <n v="0"/>
    <m/>
    <m/>
    <m/>
    <m/>
    <n v="0"/>
    <n v="0"/>
    <n v="0"/>
    <n v="0"/>
    <n v="0"/>
    <n v="0"/>
    <n v="0"/>
  </r>
  <r>
    <x v="11"/>
    <x v="172"/>
    <m/>
    <s v="FixationTirefonds"/>
    <s v="Fixation console 10X60"/>
    <n v="3"/>
    <n v="35351"/>
    <m/>
    <s v="DBN22"/>
    <n v="0"/>
    <m/>
    <m/>
    <m/>
    <m/>
    <m/>
    <m/>
    <n v="0"/>
    <m/>
    <m/>
    <m/>
    <m/>
    <n v="0"/>
    <n v="0"/>
    <n v="0"/>
    <n v="0"/>
    <n v="0"/>
    <n v="0"/>
    <n v="0"/>
  </r>
  <r>
    <x v="11"/>
    <x v="173"/>
    <m/>
    <s v="FixationTransair"/>
    <m/>
    <n v="0"/>
    <m/>
    <m/>
    <m/>
    <n v="0"/>
    <m/>
    <m/>
    <m/>
    <m/>
    <m/>
    <m/>
    <n v="0"/>
    <m/>
    <m/>
    <m/>
    <m/>
    <n v="0"/>
    <n v="0"/>
    <n v="0"/>
    <n v="0"/>
    <n v="0"/>
    <n v="0"/>
    <n v="0"/>
  </r>
  <r>
    <x v="11"/>
    <x v="173"/>
    <s v="Colliers"/>
    <s v="FixationTransairColliers"/>
    <s v="Ø 16,5"/>
    <n v="1"/>
    <n v="66971700"/>
    <s v="Parker"/>
    <s v="6697 17 00"/>
    <n v="0"/>
    <m/>
    <m/>
    <m/>
    <m/>
    <m/>
    <m/>
    <n v="0"/>
    <m/>
    <m/>
    <m/>
    <m/>
    <n v="0"/>
    <n v="0"/>
    <n v="0"/>
    <n v="0"/>
    <n v="0"/>
    <n v="0"/>
    <n v="0"/>
  </r>
  <r>
    <x v="11"/>
    <x v="173"/>
    <s v="Colliers"/>
    <s v="FixationTransairColliers"/>
    <s v="Ø 25"/>
    <n v="2"/>
    <n v="66972500"/>
    <s v="Parker"/>
    <s v="6697 25 00"/>
    <n v="0"/>
    <m/>
    <m/>
    <m/>
    <m/>
    <m/>
    <m/>
    <n v="0"/>
    <m/>
    <m/>
    <m/>
    <m/>
    <n v="0"/>
    <n v="0"/>
    <n v="0"/>
    <n v="0"/>
    <n v="0"/>
    <n v="0"/>
    <n v="0"/>
  </r>
  <r>
    <x v="11"/>
    <x v="173"/>
    <s v="Colliers"/>
    <s v="FixationTransairColliers"/>
    <s v="Ø 40"/>
    <n v="3"/>
    <n v="66974000"/>
    <s v="Parker"/>
    <s v="6697 40 00"/>
    <n v="0"/>
    <m/>
    <m/>
    <m/>
    <m/>
    <m/>
    <m/>
    <n v="0"/>
    <m/>
    <m/>
    <m/>
    <m/>
    <n v="0"/>
    <n v="0"/>
    <n v="0"/>
    <n v="0"/>
    <n v="0"/>
    <n v="0"/>
    <n v="0"/>
  </r>
  <r>
    <x v="11"/>
    <x v="173"/>
    <s v="Colliers"/>
    <s v="FixationTransairColliers"/>
    <s v="Ø 50"/>
    <n v="4"/>
    <n v="66975000"/>
    <s v="Parker"/>
    <s v="6697 50 00"/>
    <n v="0"/>
    <m/>
    <m/>
    <m/>
    <m/>
    <m/>
    <m/>
    <n v="0"/>
    <m/>
    <m/>
    <m/>
    <m/>
    <n v="0"/>
    <n v="0"/>
    <n v="0"/>
    <n v="0"/>
    <n v="0"/>
    <n v="0"/>
    <n v="0"/>
  </r>
  <r>
    <x v="11"/>
    <x v="173"/>
    <s v="Colliers"/>
    <s v="FixationTransairColliers"/>
    <s v="Ø 63"/>
    <n v="5"/>
    <n v="66976300"/>
    <s v="Parker"/>
    <s v="6697 63 00"/>
    <n v="0"/>
    <m/>
    <m/>
    <m/>
    <m/>
    <m/>
    <m/>
    <n v="0"/>
    <m/>
    <m/>
    <m/>
    <m/>
    <n v="0"/>
    <n v="0"/>
    <n v="0"/>
    <n v="0"/>
    <n v="0"/>
    <n v="0"/>
    <n v="0"/>
  </r>
  <r>
    <x v="11"/>
    <x v="173"/>
    <s v="Colliers"/>
    <s v="FixationTransairColliers"/>
    <s v="ISO Ø 76"/>
    <n v="6"/>
    <s v="ER01L100"/>
    <s v="Parker"/>
    <s v="ER01 L1 00"/>
    <n v="0"/>
    <m/>
    <m/>
    <m/>
    <m/>
    <m/>
    <m/>
    <n v="0"/>
    <m/>
    <m/>
    <m/>
    <m/>
    <n v="0"/>
    <n v="0"/>
    <n v="0"/>
    <n v="0"/>
    <n v="0"/>
    <n v="0"/>
    <n v="0"/>
  </r>
  <r>
    <x v="11"/>
    <x v="173"/>
    <s v="Colliers"/>
    <s v="FixationTransairColliers"/>
    <s v="ISO Ø 100"/>
    <n v="7"/>
    <s v="ER01L300"/>
    <s v="Parker"/>
    <s v="ER01 L3 00"/>
    <n v="0"/>
    <m/>
    <m/>
    <m/>
    <m/>
    <m/>
    <m/>
    <n v="0"/>
    <m/>
    <m/>
    <m/>
    <m/>
    <n v="0"/>
    <n v="0"/>
    <n v="0"/>
    <n v="0"/>
    <n v="0"/>
    <n v="0"/>
    <n v="0"/>
  </r>
  <r>
    <x v="11"/>
    <x v="173"/>
    <s v="Colliers"/>
    <s v="FixationTransairColliers"/>
    <s v="ISO Ø 168"/>
    <n v="8"/>
    <s v="ER01L800"/>
    <s v="Parker"/>
    <s v="ER01 L8 00"/>
    <n v="0"/>
    <m/>
    <m/>
    <m/>
    <m/>
    <m/>
    <m/>
    <n v="0"/>
    <m/>
    <m/>
    <m/>
    <m/>
    <n v="0"/>
    <n v="0"/>
    <n v="0"/>
    <n v="0"/>
    <n v="0"/>
    <n v="0"/>
    <n v="0"/>
  </r>
  <r>
    <x v="11"/>
    <x v="173"/>
    <m/>
    <s v="FixationTransair"/>
    <s v="CALE D’ADAPTATION Ø 16,5/25/40 &gt; Ø 63"/>
    <n v="9"/>
    <n v="66970003"/>
    <s v="Parker"/>
    <s v="6697 00 03"/>
    <n v="0"/>
    <m/>
    <m/>
    <m/>
    <m/>
    <m/>
    <m/>
    <n v="0"/>
    <m/>
    <m/>
    <m/>
    <m/>
    <n v="0"/>
    <n v="0"/>
    <n v="0"/>
    <n v="0"/>
    <n v="0"/>
    <n v="0"/>
    <n v="0"/>
  </r>
  <r>
    <x v="11"/>
    <x v="173"/>
    <m/>
    <s v="FixationTransair"/>
    <s v="ADAPTATEUR POUR CLIP M8  M10"/>
    <n v="10"/>
    <n v="66970002"/>
    <s v="Parker"/>
    <s v="6697 00 02"/>
    <n v="0"/>
    <m/>
    <m/>
    <m/>
    <m/>
    <m/>
    <m/>
    <n v="0"/>
    <m/>
    <m/>
    <m/>
    <m/>
    <n v="0"/>
    <n v="0"/>
    <n v="0"/>
    <n v="0"/>
    <n v="0"/>
    <n v="0"/>
    <n v="0"/>
  </r>
  <r>
    <x v="11"/>
    <x v="174"/>
    <m/>
    <s v="FixationTube Coréen"/>
    <m/>
    <n v="0"/>
    <m/>
    <m/>
    <m/>
    <n v="0"/>
    <m/>
    <m/>
    <m/>
    <m/>
    <m/>
    <m/>
    <n v="0"/>
    <m/>
    <m/>
    <m/>
    <m/>
    <n v="0"/>
    <n v="0"/>
    <n v="0"/>
    <n v="0"/>
    <n v="0"/>
    <n v="0"/>
    <n v="0"/>
  </r>
  <r>
    <x v="11"/>
    <x v="174"/>
    <s v="Colliers"/>
    <s v="FixationTube CoréenColliers"/>
    <s v="tube Ø16 - 3/8"/>
    <n v="1"/>
    <s v="CV3/8"/>
    <m/>
    <s v="AFB01"/>
    <n v="0"/>
    <m/>
    <m/>
    <m/>
    <m/>
    <m/>
    <m/>
    <n v="0"/>
    <m/>
    <m/>
    <m/>
    <m/>
    <n v="0"/>
    <n v="0"/>
    <n v="0"/>
    <n v="0"/>
    <n v="0"/>
    <n v="0"/>
    <n v="0"/>
  </r>
  <r>
    <x v="11"/>
    <x v="174"/>
    <s v="Colliers"/>
    <s v="FixationTube CoréenColliers"/>
    <s v="tube Ø22- 1/2"/>
    <n v="2"/>
    <s v="CV1/2"/>
    <m/>
    <s v="AFB02"/>
    <n v="0"/>
    <m/>
    <m/>
    <m/>
    <m/>
    <m/>
    <m/>
    <n v="0"/>
    <m/>
    <m/>
    <m/>
    <m/>
    <n v="0"/>
    <n v="0"/>
    <n v="0"/>
    <n v="0"/>
    <n v="0"/>
    <n v="0"/>
    <n v="0"/>
  </r>
  <r>
    <x v="11"/>
    <x v="174"/>
    <s v="Colliers"/>
    <s v="FixationTube CoréenColliers"/>
    <s v="tube Ø28 - 3/4"/>
    <n v="3"/>
    <s v="CV3/4"/>
    <m/>
    <s v="AFB03"/>
    <n v="0"/>
    <m/>
    <m/>
    <m/>
    <m/>
    <m/>
    <m/>
    <n v="0"/>
    <m/>
    <m/>
    <m/>
    <m/>
    <n v="0"/>
    <n v="0"/>
    <n v="0"/>
    <n v="0"/>
    <n v="0"/>
    <n v="0"/>
    <n v="0"/>
  </r>
  <r>
    <x v="11"/>
    <x v="174"/>
    <s v="Colliers"/>
    <s v="FixationTube CoréenColliers"/>
    <s v="tube Ø34 - 1&quot;"/>
    <n v="4"/>
    <s v="CV1"/>
    <m/>
    <s v="AFB04"/>
    <n v="0"/>
    <m/>
    <m/>
    <m/>
    <m/>
    <m/>
    <m/>
    <n v="0"/>
    <m/>
    <m/>
    <m/>
    <m/>
    <n v="0"/>
    <n v="0"/>
    <n v="0"/>
    <n v="0"/>
    <n v="0"/>
    <n v="0"/>
    <n v="0"/>
  </r>
  <r>
    <x v="11"/>
    <x v="174"/>
    <s v="Colliers"/>
    <s v="FixationTube CoréenColliers"/>
    <s v="tube Ø42 -1&quot;1/4"/>
    <n v="5"/>
    <s v="CV114"/>
    <m/>
    <s v="AFB05"/>
    <n v="0"/>
    <m/>
    <m/>
    <m/>
    <m/>
    <m/>
    <m/>
    <n v="0"/>
    <m/>
    <m/>
    <m/>
    <m/>
    <n v="0"/>
    <n v="0"/>
    <n v="0"/>
    <n v="0"/>
    <n v="0"/>
    <n v="0"/>
    <n v="0"/>
  </r>
  <r>
    <x v="11"/>
    <x v="174"/>
    <s v="Colliers"/>
    <s v="FixationTube CoréenColliers"/>
    <s v="tube Ø48 - 1&quot;1/2"/>
    <n v="6"/>
    <s v="CV112"/>
    <m/>
    <s v="AFB06"/>
    <n v="0"/>
    <m/>
    <m/>
    <m/>
    <m/>
    <m/>
    <m/>
    <n v="0"/>
    <m/>
    <m/>
    <m/>
    <m/>
    <n v="0"/>
    <n v="0"/>
    <n v="0"/>
    <n v="0"/>
    <n v="0"/>
    <n v="0"/>
    <n v="0"/>
  </r>
  <r>
    <x v="11"/>
    <x v="174"/>
    <s v="Colliers"/>
    <s v="FixationTube CoréenColliers"/>
    <s v="tube Ø60 -2&quot;"/>
    <n v="7"/>
    <s v="CV2"/>
    <m/>
    <s v="AFB07"/>
    <n v="0"/>
    <m/>
    <m/>
    <m/>
    <m/>
    <m/>
    <m/>
    <n v="0"/>
    <m/>
    <m/>
    <m/>
    <m/>
    <n v="0"/>
    <n v="0"/>
    <n v="0"/>
    <n v="0"/>
    <n v="0"/>
    <n v="0"/>
    <n v="0"/>
  </r>
  <r>
    <x v="11"/>
    <x v="174"/>
    <s v="Colliers"/>
    <s v="FixationTube CoréenColliers"/>
    <s v="tube Ø76 - 2&quot;1/2"/>
    <n v="8"/>
    <s v="CV212"/>
    <m/>
    <s v="AFB08"/>
    <n v="0"/>
    <m/>
    <m/>
    <m/>
    <m/>
    <m/>
    <m/>
    <n v="0"/>
    <m/>
    <m/>
    <m/>
    <m/>
    <n v="0"/>
    <n v="0"/>
    <n v="0"/>
    <n v="0"/>
    <n v="0"/>
    <n v="0"/>
    <n v="0"/>
  </r>
  <r>
    <x v="11"/>
    <x v="174"/>
    <s v="Colliers"/>
    <s v="FixationTube CoréenColliers"/>
    <s v="tube Ø89 -3&quot;"/>
    <n v="9"/>
    <s v="CV3"/>
    <m/>
    <s v="AFB09"/>
    <n v="0"/>
    <m/>
    <m/>
    <m/>
    <m/>
    <m/>
    <m/>
    <n v="0"/>
    <m/>
    <m/>
    <m/>
    <m/>
    <n v="0"/>
    <n v="0"/>
    <n v="0"/>
    <n v="0"/>
    <n v="0"/>
    <n v="0"/>
    <n v="0"/>
  </r>
  <r>
    <x v="11"/>
    <x v="174"/>
    <s v="Colliers"/>
    <s v="FixationTube CoréenColliers"/>
    <s v="tube Ø114 - 4 &quot;"/>
    <n v="10"/>
    <s v="CV4"/>
    <m/>
    <s v="AFB10"/>
    <n v="0"/>
    <m/>
    <m/>
    <m/>
    <m/>
    <m/>
    <m/>
    <n v="0"/>
    <m/>
    <m/>
    <m/>
    <m/>
    <n v="0"/>
    <n v="0"/>
    <n v="0"/>
    <n v="0"/>
    <n v="0"/>
    <n v="0"/>
    <n v="0"/>
  </r>
  <r>
    <x v="11"/>
    <x v="175"/>
    <m/>
    <s v="FixationTube Italien"/>
    <m/>
    <n v="0"/>
    <m/>
    <m/>
    <m/>
    <n v="0"/>
    <m/>
    <m/>
    <m/>
    <m/>
    <m/>
    <m/>
    <n v="0"/>
    <m/>
    <m/>
    <m/>
    <m/>
    <n v="0"/>
    <n v="0"/>
    <n v="0"/>
    <n v="0"/>
    <n v="0"/>
    <n v="0"/>
    <n v="0"/>
  </r>
  <r>
    <x v="11"/>
    <x v="175"/>
    <s v="Colliers"/>
    <s v="FixationTube ItalienColliers"/>
    <s v="Tube D15 - M8"/>
    <n v="1"/>
    <s v="CVI15"/>
    <s v="RacMet"/>
    <n v="156015304"/>
    <n v="0"/>
    <m/>
    <m/>
    <m/>
    <m/>
    <m/>
    <m/>
    <n v="0"/>
    <n v="50"/>
    <n v="0"/>
    <m/>
    <m/>
    <n v="0"/>
    <n v="0"/>
    <n v="0"/>
    <n v="0"/>
    <n v="0"/>
    <n v="0"/>
    <n v="0"/>
  </r>
  <r>
    <x v="11"/>
    <x v="175"/>
    <s v="Colliers"/>
    <s v="FixationTube ItalienColliers"/>
    <s v="Tube D18 - M8"/>
    <n v="2"/>
    <s v="CVI18"/>
    <s v="RacMet"/>
    <n v="156308304"/>
    <n v="0"/>
    <m/>
    <m/>
    <m/>
    <m/>
    <m/>
    <m/>
    <n v="0"/>
    <n v="50"/>
    <n v="0"/>
    <m/>
    <m/>
    <n v="0"/>
    <n v="0"/>
    <n v="0"/>
    <n v="0"/>
    <n v="0"/>
    <n v="0"/>
    <n v="0"/>
  </r>
  <r>
    <x v="11"/>
    <x v="175"/>
    <s v="Colliers"/>
    <s v="FixationTube ItalienColliers"/>
    <s v="Tube D22 - M8"/>
    <n v="3"/>
    <s v="CVI22"/>
    <s v="RacMet"/>
    <n v="156102304"/>
    <n v="0"/>
    <m/>
    <m/>
    <m/>
    <m/>
    <m/>
    <m/>
    <n v="0"/>
    <n v="50"/>
    <n v="0"/>
    <m/>
    <m/>
    <n v="0"/>
    <n v="0"/>
    <n v="0"/>
    <n v="0"/>
    <n v="0"/>
    <n v="0"/>
    <n v="0"/>
  </r>
  <r>
    <x v="11"/>
    <x v="175"/>
    <s v="Colliers"/>
    <s v="FixationTube ItalienColliers"/>
    <s v="Tube D28 - M8"/>
    <n v="4"/>
    <s v="CVI28"/>
    <s v="RacMet"/>
    <n v="156304304"/>
    <n v="0"/>
    <m/>
    <m/>
    <m/>
    <m/>
    <m/>
    <m/>
    <n v="0"/>
    <n v="50"/>
    <n v="0"/>
    <m/>
    <m/>
    <n v="0"/>
    <n v="0"/>
    <n v="0"/>
    <n v="0"/>
    <n v="0"/>
    <n v="0"/>
    <n v="0"/>
  </r>
  <r>
    <x v="11"/>
    <x v="175"/>
    <s v="Colliers"/>
    <s v="FixationTube ItalienColliers"/>
    <s v="Tube D35 - M8"/>
    <n v="5"/>
    <s v="CVI35"/>
    <s v="RacMet"/>
    <n v="156100304"/>
    <n v="0"/>
    <m/>
    <m/>
    <m/>
    <m/>
    <m/>
    <m/>
    <n v="0"/>
    <n v="50"/>
    <n v="0"/>
    <m/>
    <m/>
    <n v="0"/>
    <n v="0"/>
    <n v="0"/>
    <n v="0"/>
    <n v="0"/>
    <n v="0"/>
    <n v="0"/>
  </r>
  <r>
    <x v="11"/>
    <x v="175"/>
    <s v="Colliers"/>
    <s v="FixationTube ItalienColliers"/>
    <s v="Tube D42 - M8"/>
    <n v="6"/>
    <s v="CVI42"/>
    <s v="RacMet"/>
    <n v="156114304"/>
    <n v="0"/>
    <m/>
    <m/>
    <m/>
    <m/>
    <m/>
    <m/>
    <n v="0"/>
    <n v="50"/>
    <n v="0"/>
    <m/>
    <m/>
    <n v="0"/>
    <n v="0"/>
    <n v="0"/>
    <n v="0"/>
    <n v="0"/>
    <n v="0"/>
    <n v="0"/>
  </r>
  <r>
    <x v="11"/>
    <x v="175"/>
    <s v="Colliers"/>
    <s v="FixationTube ItalienColliers"/>
    <s v="Tube D54 - M8"/>
    <n v="7"/>
    <s v="CVI54"/>
    <s v="RacMet"/>
    <n v="156054304"/>
    <n v="0"/>
    <m/>
    <m/>
    <m/>
    <m/>
    <m/>
    <m/>
    <n v="0"/>
    <n v="50"/>
    <n v="0"/>
    <m/>
    <m/>
    <n v="0"/>
    <n v="0"/>
    <n v="0"/>
    <n v="0"/>
    <n v="0"/>
    <n v="0"/>
    <n v="0"/>
  </r>
  <r>
    <x v="11"/>
    <x v="175"/>
    <s v="Colliers"/>
    <s v="FixationTube ItalienColliers"/>
    <s v="Tube D76 - M10"/>
    <n v="8"/>
    <s v="CVI76"/>
    <s v="RacMet"/>
    <n v="156212304"/>
    <n v="0"/>
    <m/>
    <m/>
    <m/>
    <m/>
    <m/>
    <m/>
    <n v="0"/>
    <n v="20"/>
    <n v="0"/>
    <m/>
    <m/>
    <n v="0"/>
    <n v="0"/>
    <n v="0"/>
    <n v="0"/>
    <n v="0"/>
    <n v="0"/>
    <n v="0"/>
  </r>
  <r>
    <x v="11"/>
    <x v="175"/>
    <s v="Colliers"/>
    <s v="FixationTube ItalienColliers"/>
    <s v="Tube D88 - M10"/>
    <n v="9"/>
    <s v="CVI88"/>
    <s v="RacMet"/>
    <n v="156300304"/>
    <n v="0"/>
    <m/>
    <m/>
    <m/>
    <m/>
    <m/>
    <m/>
    <n v="0"/>
    <n v="20"/>
    <n v="0"/>
    <m/>
    <m/>
    <n v="0"/>
    <n v="0"/>
    <n v="0"/>
    <n v="0"/>
    <n v="0"/>
    <n v="0"/>
    <n v="0"/>
  </r>
  <r>
    <x v="11"/>
    <x v="175"/>
    <s v="Colliers"/>
    <s v="FixationTube ItalienColliers"/>
    <s v="Tube D108 - M10"/>
    <n v="10"/>
    <s v="CVI108"/>
    <s v="RacMet"/>
    <n v="156108304"/>
    <n v="0"/>
    <m/>
    <m/>
    <m/>
    <m/>
    <m/>
    <m/>
    <n v="0"/>
    <n v="20"/>
    <n v="0"/>
    <m/>
    <m/>
    <n v="0"/>
    <n v="0"/>
    <n v="0"/>
    <n v="0"/>
    <n v="0"/>
    <n v="0"/>
    <n v="0"/>
  </r>
  <r>
    <x v="11"/>
    <x v="175"/>
    <s v="Colliers ISO"/>
    <s v="FixationTube ItalienColliers ISO"/>
    <s v="Collier ISO Tube D15 - M8"/>
    <n v="11"/>
    <s v="CV15-ISO"/>
    <s v="RacMet"/>
    <s v="156150304G"/>
    <n v="0"/>
    <m/>
    <m/>
    <m/>
    <m/>
    <m/>
    <m/>
    <n v="0"/>
    <n v="50"/>
    <n v="0"/>
    <m/>
    <m/>
    <n v="0"/>
    <n v="0"/>
    <n v="0"/>
    <n v="0"/>
    <n v="0"/>
    <n v="0"/>
    <n v="0"/>
  </r>
  <r>
    <x v="11"/>
    <x v="175"/>
    <s v="Colliers ISO"/>
    <s v="FixationTube ItalienColliers ISO"/>
    <s v="Collier ISO Tube D18 - M8"/>
    <n v="12"/>
    <s v="CV18-ISO"/>
    <s v="RacMet"/>
    <s v="156308304G"/>
    <n v="0"/>
    <m/>
    <m/>
    <m/>
    <m/>
    <m/>
    <m/>
    <n v="0"/>
    <n v="50"/>
    <n v="0"/>
    <m/>
    <m/>
    <n v="0"/>
    <n v="0"/>
    <n v="0"/>
    <n v="0"/>
    <n v="0"/>
    <n v="0"/>
    <n v="0"/>
  </r>
  <r>
    <x v="11"/>
    <x v="175"/>
    <s v="Colliers ISO"/>
    <s v="FixationTube ItalienColliers ISO"/>
    <s v="Collier ISO Tube D22 - M8"/>
    <n v="13"/>
    <s v="CV22-ISO"/>
    <s v="RacMet"/>
    <s v="156102304G"/>
    <n v="0"/>
    <m/>
    <m/>
    <m/>
    <m/>
    <m/>
    <m/>
    <n v="0"/>
    <n v="50"/>
    <n v="0"/>
    <m/>
    <m/>
    <n v="0"/>
    <n v="0"/>
    <n v="0"/>
    <n v="0"/>
    <n v="0"/>
    <n v="0"/>
    <n v="0"/>
  </r>
  <r>
    <x v="11"/>
    <x v="175"/>
    <s v="Colliers ISO"/>
    <s v="FixationTube ItalienColliers ISO"/>
    <s v="Collier ISO Tube D28 - M8"/>
    <n v="14"/>
    <s v="CV28-ISO"/>
    <s v="RacMet"/>
    <s v="156304304G"/>
    <n v="0"/>
    <m/>
    <m/>
    <m/>
    <m/>
    <m/>
    <m/>
    <n v="0"/>
    <n v="50"/>
    <n v="0"/>
    <m/>
    <m/>
    <n v="0"/>
    <n v="0"/>
    <n v="0"/>
    <n v="0"/>
    <n v="0"/>
    <n v="0"/>
    <n v="0"/>
  </r>
  <r>
    <x v="11"/>
    <x v="175"/>
    <s v="Colliers ISO"/>
    <s v="FixationTube ItalienColliers ISO"/>
    <s v="Collier ISO Tube D35 - M8"/>
    <n v="15"/>
    <s v="CV35-ISO"/>
    <s v="RacMet"/>
    <s v="156100304G"/>
    <n v="0"/>
    <m/>
    <m/>
    <m/>
    <m/>
    <m/>
    <m/>
    <n v="0"/>
    <n v="50"/>
    <n v="0"/>
    <m/>
    <m/>
    <n v="0"/>
    <n v="0"/>
    <n v="0"/>
    <n v="0"/>
    <n v="0"/>
    <n v="0"/>
    <n v="0"/>
  </r>
  <r>
    <x v="11"/>
    <x v="175"/>
    <s v="Colliers ISO"/>
    <s v="FixationTube ItalienColliers ISO"/>
    <s v="Collier ISO Tube D42 - M8"/>
    <n v="16"/>
    <s v="CV42-ISO"/>
    <s v="RacMet"/>
    <s v="156114304G"/>
    <n v="0"/>
    <m/>
    <m/>
    <m/>
    <m/>
    <m/>
    <m/>
    <n v="0"/>
    <n v="50"/>
    <n v="0"/>
    <m/>
    <m/>
    <n v="0"/>
    <n v="0"/>
    <n v="0"/>
    <n v="0"/>
    <n v="0"/>
    <n v="0"/>
    <n v="0"/>
  </r>
  <r>
    <x v="11"/>
    <x v="175"/>
    <s v="Colliers ISO"/>
    <s v="FixationTube ItalienColliers ISO"/>
    <s v="Collier ISO Tube D54 - M8"/>
    <n v="17"/>
    <s v="CV54-ISO"/>
    <s v="RacMet"/>
    <s v="156112304G"/>
    <n v="0"/>
    <m/>
    <m/>
    <m/>
    <m/>
    <m/>
    <m/>
    <n v="0"/>
    <n v="50"/>
    <n v="0"/>
    <m/>
    <m/>
    <n v="0"/>
    <n v="0"/>
    <n v="0"/>
    <n v="0"/>
    <n v="0"/>
    <n v="0"/>
    <n v="0"/>
  </r>
  <r>
    <x v="11"/>
    <x v="175"/>
    <s v="Colliers ISO"/>
    <s v="FixationTube ItalienColliers ISO"/>
    <s v="Collier ISO Tube D76 - M10"/>
    <n v="18"/>
    <s v="CV76-ISO"/>
    <s v="RacMet"/>
    <s v="156212304G"/>
    <n v="0"/>
    <m/>
    <m/>
    <m/>
    <m/>
    <m/>
    <m/>
    <n v="0"/>
    <n v="50"/>
    <n v="0"/>
    <m/>
    <m/>
    <n v="0"/>
    <n v="0"/>
    <n v="0"/>
    <n v="0"/>
    <n v="0"/>
    <n v="0"/>
    <n v="0"/>
  </r>
  <r>
    <x v="11"/>
    <x v="175"/>
    <s v="Colliers ISO"/>
    <s v="FixationTube ItalienColliers ISO"/>
    <s v="Collier ISO Tube D88 - M10"/>
    <n v="19"/>
    <s v="CV88-ISO"/>
    <s v="RacMet"/>
    <s v="156300304G"/>
    <n v="0"/>
    <m/>
    <m/>
    <m/>
    <m/>
    <m/>
    <m/>
    <n v="0"/>
    <n v="10"/>
    <n v="0"/>
    <m/>
    <m/>
    <n v="0"/>
    <n v="0"/>
    <n v="0"/>
    <n v="0"/>
    <n v="0"/>
    <n v="0"/>
    <n v="0"/>
  </r>
  <r>
    <x v="11"/>
    <x v="175"/>
    <s v="Colliers ISO"/>
    <s v="FixationTube ItalienColliers ISO"/>
    <s v="Collier ISO Tube D108 mm M8/M10"/>
    <n v="20"/>
    <s v="CV108-ISO"/>
    <s v="RacMet"/>
    <s v="1546108304G"/>
    <n v="0"/>
    <m/>
    <m/>
    <m/>
    <m/>
    <m/>
    <m/>
    <n v="0"/>
    <n v="10"/>
    <n v="0"/>
    <m/>
    <s v="Doublon CVI108-ISO"/>
    <n v="0"/>
    <n v="0"/>
    <n v="0"/>
    <n v="0"/>
    <n v="0"/>
    <n v="0"/>
    <n v="0"/>
  </r>
  <r>
    <x v="11"/>
    <x v="176"/>
    <m/>
    <s v="FixationRails mupro"/>
    <m/>
    <n v="0"/>
    <m/>
    <m/>
    <m/>
    <n v="0"/>
    <m/>
    <m/>
    <m/>
    <m/>
    <m/>
    <m/>
    <n v="0"/>
    <m/>
    <m/>
    <m/>
    <m/>
    <n v="0"/>
    <n v="0"/>
    <n v="0"/>
    <n v="0"/>
    <n v="0"/>
    <n v="0"/>
    <n v="0"/>
  </r>
  <r>
    <x v="11"/>
    <x v="176"/>
    <m/>
    <s v="FixationRails mupro"/>
    <s v="Feragrip (eclisse) pour rail 38X40"/>
    <n v="1"/>
    <n v="32948"/>
    <s v="Mupro"/>
    <m/>
    <n v="0"/>
    <m/>
    <m/>
    <m/>
    <m/>
    <m/>
    <m/>
    <n v="0"/>
    <m/>
    <m/>
    <m/>
    <m/>
    <n v="0"/>
    <n v="0"/>
    <n v="0"/>
    <n v="0"/>
    <n v="0"/>
    <n v="0"/>
    <n v="0"/>
  </r>
  <r>
    <x v="11"/>
    <x v="176"/>
    <m/>
    <s v="FixationRails mupro"/>
    <s v="Feragrip (eclisse) pour rail 27/18"/>
    <n v="2"/>
    <n v="34991"/>
    <s v="Mupro"/>
    <m/>
    <n v="0"/>
    <m/>
    <m/>
    <m/>
    <m/>
    <m/>
    <m/>
    <n v="0"/>
    <m/>
    <m/>
    <m/>
    <m/>
    <n v="0"/>
    <n v="0"/>
    <n v="0"/>
    <n v="0"/>
    <n v="0"/>
    <n v="0"/>
    <n v="0"/>
  </r>
  <r>
    <x v="11"/>
    <x v="176"/>
    <m/>
    <s v="FixationRails mupro"/>
    <s v="Fixation rapide M8 pour rail 38/24; 38/40; 39/52;"/>
    <n v="3"/>
    <n v="10142"/>
    <s v="Mupro"/>
    <m/>
    <n v="0"/>
    <m/>
    <m/>
    <m/>
    <m/>
    <m/>
    <m/>
    <n v="0"/>
    <m/>
    <m/>
    <m/>
    <m/>
    <n v="0"/>
    <n v="0"/>
    <n v="0"/>
    <n v="0"/>
    <n v="0"/>
    <n v="0"/>
    <n v="0"/>
  </r>
  <r>
    <x v="11"/>
    <x v="176"/>
    <m/>
    <s v="FixationRails mupro"/>
    <s v="Jambe de force 45° pour rail  38/40"/>
    <n v="4"/>
    <n v="129790"/>
    <s v="Mupro"/>
    <n v="129790"/>
    <n v="0"/>
    <m/>
    <m/>
    <m/>
    <m/>
    <m/>
    <m/>
    <n v="0"/>
    <m/>
    <m/>
    <m/>
    <m/>
    <n v="0"/>
    <n v="0"/>
    <n v="0"/>
    <n v="0"/>
    <n v="0"/>
    <n v="0"/>
    <n v="0"/>
  </r>
  <r>
    <x v="11"/>
    <x v="176"/>
    <s v="Prolongateur"/>
    <s v="FixationRails muproProlongateur"/>
    <s v="M8x30"/>
    <n v="5"/>
    <n v="14664"/>
    <m/>
    <m/>
    <n v="0"/>
    <m/>
    <m/>
    <m/>
    <m/>
    <m/>
    <m/>
    <n v="0"/>
    <m/>
    <m/>
    <m/>
    <m/>
    <n v="0"/>
    <n v="0"/>
    <n v="0"/>
    <n v="0"/>
    <n v="0"/>
    <n v="0"/>
    <n v="0"/>
  </r>
  <r>
    <x v="11"/>
    <x v="176"/>
    <s v="Prolongateur"/>
    <s v="FixationRails muproProlongateur"/>
    <s v="M8/40"/>
    <n v="6"/>
    <n v="14672"/>
    <m/>
    <s v="DCE03"/>
    <n v="0"/>
    <m/>
    <m/>
    <m/>
    <m/>
    <m/>
    <m/>
    <n v="0"/>
    <m/>
    <m/>
    <m/>
    <m/>
    <n v="0"/>
    <n v="0"/>
    <n v="0"/>
    <n v="0"/>
    <n v="0"/>
    <n v="0"/>
    <n v="0"/>
  </r>
  <r>
    <x v="11"/>
    <x v="176"/>
    <s v="Prolongateur"/>
    <s v="FixationRails muproProlongateur"/>
    <s v="M10X40"/>
    <n v="7"/>
    <n v="113190"/>
    <m/>
    <s v="DCE04"/>
    <n v="0"/>
    <m/>
    <m/>
    <m/>
    <m/>
    <m/>
    <m/>
    <n v="0"/>
    <m/>
    <m/>
    <m/>
    <m/>
    <n v="0"/>
    <n v="0"/>
    <n v="0"/>
    <n v="0"/>
    <n v="0"/>
    <n v="0"/>
    <n v="0"/>
  </r>
  <r>
    <x v="11"/>
    <x v="176"/>
    <m/>
    <s v="FixationRails mupro"/>
    <s v="Platine soudure longitudinale pour rail 38/40 et 40/60"/>
    <n v="8"/>
    <n v="20214"/>
    <s v="Mupro"/>
    <s v="BAE02"/>
    <n v="0"/>
    <m/>
    <m/>
    <m/>
    <m/>
    <m/>
    <m/>
    <n v="0"/>
    <m/>
    <m/>
    <m/>
    <m/>
    <n v="0"/>
    <n v="0"/>
    <n v="0"/>
    <n v="0"/>
    <n v="0"/>
    <n v="0"/>
    <n v="0"/>
  </r>
  <r>
    <x v="11"/>
    <x v="176"/>
    <m/>
    <s v="FixationRails mupro"/>
    <s v="Eclisse rail 38x40 (prolonagateur)"/>
    <n v="9"/>
    <s v="BAJ04"/>
    <s v="Mupro"/>
    <s v="BAJ04"/>
    <n v="0"/>
    <m/>
    <m/>
    <m/>
    <m/>
    <m/>
    <m/>
    <n v="0"/>
    <m/>
    <m/>
    <m/>
    <m/>
    <n v="0"/>
    <n v="0"/>
    <n v="0"/>
    <n v="0"/>
    <n v="0"/>
    <n v="0"/>
    <n v="0"/>
  </r>
  <r>
    <x v="11"/>
    <x v="176"/>
    <m/>
    <s v="FixationRails mupro"/>
    <s v="Equerre à 90° premontée rail 38/24 à 40/80"/>
    <n v="10"/>
    <s v="EQ90-RAIL3824"/>
    <s v="Mupro"/>
    <s v="BAL03"/>
    <n v="0"/>
    <m/>
    <m/>
    <m/>
    <m/>
    <m/>
    <m/>
    <n v="0"/>
    <m/>
    <m/>
    <m/>
    <m/>
    <n v="0"/>
    <n v="0"/>
    <n v="0"/>
    <n v="0"/>
    <n v="0"/>
    <n v="0"/>
    <n v="0"/>
  </r>
  <r>
    <x v="11"/>
    <x v="176"/>
    <s v="Rails"/>
    <s v="FixationRails muproRails"/>
    <s v="27/18   lg    2m"/>
    <n v="11"/>
    <n v="14117"/>
    <s v="Mupro"/>
    <n v="129911"/>
    <n v="0"/>
    <m/>
    <m/>
    <m/>
    <m/>
    <m/>
    <m/>
    <n v="0"/>
    <m/>
    <m/>
    <m/>
    <m/>
    <n v="0"/>
    <n v="0"/>
    <n v="0"/>
    <n v="0"/>
    <n v="0"/>
    <n v="0"/>
    <n v="0"/>
  </r>
  <r>
    <x v="11"/>
    <x v="176"/>
    <s v="Rails"/>
    <s v="FixationRails muproRails"/>
    <s v="38X40 lg    2m"/>
    <n v="12"/>
    <n v="12037"/>
    <s v="Mupro"/>
    <s v="BAA12"/>
    <n v="0"/>
    <m/>
    <m/>
    <m/>
    <m/>
    <m/>
    <m/>
    <n v="0"/>
    <m/>
    <m/>
    <m/>
    <m/>
    <n v="0"/>
    <n v="0"/>
    <n v="0"/>
    <n v="0"/>
    <n v="0"/>
    <n v="0"/>
    <n v="0"/>
  </r>
  <r>
    <x v="11"/>
    <x v="176"/>
    <s v="Rails"/>
    <s v="FixationRails muproRails"/>
    <s v="38X40  lg    3m"/>
    <n v="13"/>
    <s v="RAIL3840x3"/>
    <s v="Mupro"/>
    <s v="BAA13"/>
    <n v="0"/>
    <m/>
    <m/>
    <m/>
    <m/>
    <m/>
    <m/>
    <n v="0"/>
    <m/>
    <m/>
    <m/>
    <m/>
    <n v="0"/>
    <n v="0"/>
    <n v="0"/>
    <n v="0"/>
    <n v="0"/>
    <n v="0"/>
    <n v="0"/>
  </r>
  <r>
    <x v="11"/>
    <x v="176"/>
    <s v="Rails"/>
    <s v="FixationRails muproRails"/>
    <s v=" 40X60 lg   4 m"/>
    <n v="14"/>
    <s v="RAIL4060X4"/>
    <s v="Mupro"/>
    <m/>
    <n v="0"/>
    <m/>
    <m/>
    <m/>
    <m/>
    <m/>
    <m/>
    <n v="0"/>
    <m/>
    <m/>
    <m/>
    <m/>
    <n v="0"/>
    <n v="0"/>
    <n v="0"/>
    <n v="0"/>
    <n v="0"/>
    <n v="0"/>
    <n v="0"/>
  </r>
  <r>
    <x v="11"/>
    <x v="176"/>
    <s v="Rails"/>
    <s v="FixationRails muproRails"/>
    <s v="38/24 lg   2 m"/>
    <n v="15"/>
    <n v="38830"/>
    <s v="Mupro"/>
    <m/>
    <n v="0"/>
    <m/>
    <m/>
    <m/>
    <m/>
    <m/>
    <m/>
    <n v="0"/>
    <m/>
    <m/>
    <m/>
    <m/>
    <n v="0"/>
    <n v="0"/>
    <n v="0"/>
    <n v="0"/>
    <n v="0"/>
    <n v="0"/>
    <n v="0"/>
  </r>
  <r>
    <x v="11"/>
    <x v="177"/>
    <m/>
    <s v="FixationRivklés  - insert"/>
    <m/>
    <n v="0"/>
    <m/>
    <m/>
    <m/>
    <n v="0"/>
    <m/>
    <m/>
    <m/>
    <m/>
    <m/>
    <m/>
    <n v="0"/>
    <m/>
    <m/>
    <m/>
    <m/>
    <n v="0"/>
    <n v="0"/>
    <n v="0"/>
    <n v="0"/>
    <n v="0"/>
    <n v="0"/>
    <n v="0"/>
  </r>
  <r>
    <x v="11"/>
    <x v="177"/>
    <m/>
    <s v="FixationRivklés  - insert"/>
    <s v="M6"/>
    <n v="1"/>
    <s v="RM6"/>
    <m/>
    <s v="DDB52"/>
    <n v="0"/>
    <m/>
    <m/>
    <m/>
    <m/>
    <m/>
    <m/>
    <n v="0"/>
    <m/>
    <m/>
    <m/>
    <m/>
    <n v="0"/>
    <n v="0"/>
    <n v="0"/>
    <n v="0"/>
    <n v="0"/>
    <n v="0"/>
    <n v="0"/>
  </r>
  <r>
    <x v="11"/>
    <x v="177"/>
    <m/>
    <s v="FixationRivklés  - insert"/>
    <s v="M8"/>
    <n v="2"/>
    <s v="RM8"/>
    <m/>
    <s v="DDB521"/>
    <n v="0"/>
    <m/>
    <m/>
    <m/>
    <m/>
    <m/>
    <m/>
    <n v="0"/>
    <m/>
    <m/>
    <m/>
    <m/>
    <n v="0"/>
    <n v="0"/>
    <n v="0"/>
    <n v="0"/>
    <n v="0"/>
    <n v="0"/>
    <n v="0"/>
  </r>
  <r>
    <x v="11"/>
    <x v="177"/>
    <m/>
    <s v="FixationRivklés  - insert"/>
    <s v="M10"/>
    <n v="3"/>
    <s v="RM10"/>
    <m/>
    <s v="DDB522"/>
    <n v="0"/>
    <m/>
    <m/>
    <m/>
    <m/>
    <m/>
    <m/>
    <n v="0"/>
    <m/>
    <m/>
    <m/>
    <m/>
    <n v="0"/>
    <n v="0"/>
    <n v="0"/>
    <n v="0"/>
    <n v="0"/>
    <n v="0"/>
    <n v="0"/>
  </r>
  <r>
    <x v="11"/>
    <x v="178"/>
    <m/>
    <s v="FixationRondelles"/>
    <m/>
    <n v="0"/>
    <m/>
    <m/>
    <m/>
    <n v="0"/>
    <m/>
    <m/>
    <m/>
    <m/>
    <m/>
    <m/>
    <n v="0"/>
    <m/>
    <m/>
    <m/>
    <m/>
    <n v="0"/>
    <n v="0"/>
    <n v="0"/>
    <n v="0"/>
    <n v="0"/>
    <n v="0"/>
    <n v="0"/>
  </r>
  <r>
    <x v="11"/>
    <x v="178"/>
    <s v="Mince"/>
    <s v="FixationRondellesMince"/>
    <s v="M6"/>
    <n v="1"/>
    <n v="14877"/>
    <m/>
    <s v="DDC02"/>
    <n v="0"/>
    <m/>
    <m/>
    <m/>
    <m/>
    <m/>
    <m/>
    <n v="0"/>
    <m/>
    <m/>
    <m/>
    <m/>
    <n v="0"/>
    <n v="0"/>
    <n v="0"/>
    <n v="0"/>
    <n v="0"/>
    <n v="0"/>
    <n v="0"/>
  </r>
  <r>
    <x v="11"/>
    <x v="178"/>
    <s v="Mince"/>
    <s v="FixationRondellesMince"/>
    <s v="M8"/>
    <n v="2"/>
    <n v="14885"/>
    <m/>
    <s v="DDC04"/>
    <n v="0"/>
    <m/>
    <m/>
    <m/>
    <m/>
    <m/>
    <m/>
    <n v="0"/>
    <m/>
    <m/>
    <m/>
    <m/>
    <n v="0"/>
    <n v="0"/>
    <n v="0"/>
    <n v="0"/>
    <n v="0"/>
    <n v="0"/>
    <n v="0"/>
  </r>
  <r>
    <x v="11"/>
    <x v="178"/>
    <s v="Mince"/>
    <s v="FixationRondellesMince"/>
    <s v="M10"/>
    <n v="3"/>
    <n v="26263"/>
    <m/>
    <s v="DDC05"/>
    <n v="0"/>
    <m/>
    <m/>
    <m/>
    <m/>
    <m/>
    <m/>
    <n v="0"/>
    <m/>
    <m/>
    <m/>
    <m/>
    <n v="0"/>
    <n v="0"/>
    <n v="0"/>
    <n v="0"/>
    <n v="0"/>
    <n v="0"/>
    <n v="0"/>
  </r>
  <r>
    <x v="11"/>
    <x v="178"/>
    <s v="Large"/>
    <s v="FixationRondellesLarge"/>
    <s v=" 8X30"/>
    <n v="4"/>
    <n v="28878"/>
    <m/>
    <s v="DDD10"/>
    <n v="0"/>
    <m/>
    <m/>
    <m/>
    <m/>
    <m/>
    <m/>
    <n v="0"/>
    <m/>
    <m/>
    <m/>
    <m/>
    <n v="0"/>
    <n v="0"/>
    <n v="0"/>
    <n v="0"/>
    <n v="0"/>
    <n v="0"/>
    <n v="0"/>
  </r>
  <r>
    <x v="11"/>
    <x v="178"/>
    <s v="Large"/>
    <s v="FixationRondellesLarge"/>
    <s v="10X36"/>
    <n v="5"/>
    <n v="28886"/>
    <m/>
    <s v="DDD12"/>
    <n v="0"/>
    <m/>
    <m/>
    <m/>
    <m/>
    <m/>
    <m/>
    <n v="0"/>
    <m/>
    <m/>
    <m/>
    <m/>
    <n v="0"/>
    <n v="0"/>
    <n v="0"/>
    <n v="0"/>
    <n v="0"/>
    <n v="0"/>
    <n v="0"/>
  </r>
  <r>
    <x v="11"/>
    <x v="179"/>
    <m/>
    <s v="FixationVis"/>
    <m/>
    <n v="0"/>
    <m/>
    <m/>
    <m/>
    <n v="0"/>
    <m/>
    <m/>
    <m/>
    <m/>
    <m/>
    <m/>
    <n v="0"/>
    <m/>
    <m/>
    <m/>
    <m/>
    <n v="0"/>
    <n v="0"/>
    <n v="0"/>
    <n v="0"/>
    <n v="0"/>
    <n v="0"/>
    <n v="0"/>
  </r>
  <r>
    <x v="11"/>
    <x v="179"/>
    <m/>
    <s v="FixationVis"/>
    <s v="20x50"/>
    <n v="1"/>
    <s v="M20x50"/>
    <m/>
    <m/>
    <n v="0"/>
    <m/>
    <m/>
    <m/>
    <m/>
    <m/>
    <m/>
    <n v="0"/>
    <m/>
    <m/>
    <m/>
    <s v="pour vanne OT DN150/DN200"/>
    <n v="0"/>
    <n v="0"/>
    <n v="0"/>
    <n v="0"/>
    <n v="0"/>
    <n v="0"/>
    <n v="0"/>
  </r>
  <r>
    <x v="11"/>
    <x v="179"/>
    <s v="Hexagonales"/>
    <s v="FixationVisHexagonales"/>
    <s v="6x20"/>
    <n v="2"/>
    <s v="THM6x20"/>
    <m/>
    <m/>
    <n v="0"/>
    <m/>
    <m/>
    <m/>
    <m/>
    <m/>
    <m/>
    <n v="0"/>
    <m/>
    <m/>
    <m/>
    <m/>
    <n v="0"/>
    <n v="0"/>
    <n v="0"/>
    <n v="0"/>
    <n v="0"/>
    <n v="0"/>
    <n v="0"/>
  </r>
  <r>
    <x v="11"/>
    <x v="179"/>
    <s v="Hexagonales"/>
    <s v="FixationVisHexagonales"/>
    <s v="6x30"/>
    <n v="3"/>
    <s v="THM6x30"/>
    <m/>
    <m/>
    <n v="0"/>
    <m/>
    <m/>
    <m/>
    <m/>
    <m/>
    <m/>
    <n v="0"/>
    <m/>
    <m/>
    <m/>
    <m/>
    <n v="0"/>
    <n v="0"/>
    <n v="0"/>
    <n v="0"/>
    <n v="0"/>
    <n v="0"/>
    <n v="0"/>
  </r>
  <r>
    <x v="11"/>
    <x v="179"/>
    <s v="Hexagonales"/>
    <s v="FixationVisHexagonales"/>
    <s v="8x20"/>
    <n v="4"/>
    <s v="CHC8x20"/>
    <m/>
    <m/>
    <n v="0"/>
    <m/>
    <m/>
    <m/>
    <m/>
    <m/>
    <m/>
    <n v="0"/>
    <m/>
    <m/>
    <m/>
    <m/>
    <n v="0"/>
    <n v="0"/>
    <n v="0"/>
    <n v="0"/>
    <n v="0"/>
    <n v="0"/>
    <n v="0"/>
  </r>
  <r>
    <x v="11"/>
    <x v="179"/>
    <s v="Hexagonales"/>
    <s v="FixationVisHexagonales"/>
    <s v="10X50 (Crapaud Ø10)"/>
    <n v="5"/>
    <s v="THM10x50"/>
    <m/>
    <s v="DBR09"/>
    <n v="0"/>
    <m/>
    <m/>
    <m/>
    <m/>
    <m/>
    <m/>
    <n v="0"/>
    <m/>
    <m/>
    <m/>
    <m/>
    <n v="0"/>
    <n v="0"/>
    <n v="0"/>
    <n v="0"/>
    <n v="0"/>
    <n v="0"/>
    <n v="0"/>
  </r>
  <r>
    <x v="11"/>
    <x v="179"/>
    <s v="Hexagonales"/>
    <s v="FixationVisHexagonales"/>
    <s v="16x40 ( vanne oreille taraudé DN65 - DN100)"/>
    <n v="6"/>
    <s v="M16x40"/>
    <m/>
    <m/>
    <n v="0"/>
    <m/>
    <m/>
    <m/>
    <m/>
    <m/>
    <m/>
    <n v="0"/>
    <m/>
    <m/>
    <m/>
    <s v="pour vannes OT DN 80"/>
    <n v="0"/>
    <n v="0"/>
    <n v="0"/>
    <n v="0"/>
    <n v="0"/>
    <n v="0"/>
    <n v="0"/>
  </r>
  <r>
    <x v="11"/>
    <x v="179"/>
    <s v="Hexagonales"/>
    <s v="FixationVisHexagonales"/>
    <s v="16X45 ( vanne oreille taraudé DN65 - DN125)"/>
    <n v="7"/>
    <s v="THM16x45"/>
    <m/>
    <m/>
    <n v="0"/>
    <m/>
    <m/>
    <m/>
    <m/>
    <m/>
    <m/>
    <n v="0"/>
    <m/>
    <m/>
    <m/>
    <s v="pour vannes OT DN 100"/>
    <n v="0"/>
    <n v="0"/>
    <n v="0"/>
    <n v="0"/>
    <n v="0"/>
    <n v="0"/>
    <n v="0"/>
  </r>
  <r>
    <x v="12"/>
    <x v="180"/>
    <m/>
    <s v="Laiton - BronzeBobines 530 LAITON"/>
    <m/>
    <n v="0"/>
    <m/>
    <m/>
    <m/>
    <n v="0"/>
    <m/>
    <m/>
    <m/>
    <m/>
    <m/>
    <m/>
    <n v="0"/>
    <m/>
    <m/>
    <m/>
    <m/>
    <n v="0"/>
    <n v="0"/>
    <n v="0"/>
    <n v="0"/>
    <n v="0"/>
    <n v="0"/>
    <n v="0"/>
  </r>
  <r>
    <x v="12"/>
    <x v="180"/>
    <m/>
    <s v="Laiton - BronzeBobines 530 LAITON"/>
    <s v="3/4 &quot; LG 1000"/>
    <n v="1"/>
    <s v="TCL34"/>
    <m/>
    <m/>
    <n v="0"/>
    <m/>
    <m/>
    <m/>
    <m/>
    <m/>
    <m/>
    <n v="0"/>
    <m/>
    <m/>
    <m/>
    <m/>
    <n v="0"/>
    <n v="0"/>
    <n v="0"/>
    <n v="0"/>
    <n v="0"/>
    <n v="0"/>
    <n v="0"/>
  </r>
  <r>
    <x v="12"/>
    <x v="180"/>
    <m/>
    <s v="Laiton - BronzeBobines 530 LAITON"/>
    <s v="1/2&quot; LG 1000"/>
    <n v="2"/>
    <s v="TCL12"/>
    <m/>
    <m/>
    <n v="0"/>
    <m/>
    <m/>
    <m/>
    <m/>
    <m/>
    <m/>
    <n v="0"/>
    <m/>
    <m/>
    <m/>
    <m/>
    <n v="0"/>
    <n v="0"/>
    <n v="0"/>
    <n v="0"/>
    <n v="0"/>
    <n v="0"/>
    <n v="0"/>
  </r>
  <r>
    <x v="12"/>
    <x v="180"/>
    <m/>
    <s v="Laiton - BronzeBobines 530 LAITON"/>
    <s v="  ecrou laiton3/4&quot;"/>
    <n v="3"/>
    <s v="ECL34"/>
    <m/>
    <m/>
    <n v="0"/>
    <m/>
    <m/>
    <m/>
    <m/>
    <m/>
    <m/>
    <n v="0"/>
    <m/>
    <m/>
    <m/>
    <m/>
    <n v="0"/>
    <n v="0"/>
    <n v="0"/>
    <n v="0"/>
    <n v="0"/>
    <n v="0"/>
    <n v="0"/>
  </r>
  <r>
    <x v="12"/>
    <x v="180"/>
    <m/>
    <s v="Laiton - BronzeBobines 530 LAITON"/>
    <s v="  ecrou laiton 1/2&quot;"/>
    <n v="4"/>
    <s v="ECL12"/>
    <m/>
    <m/>
    <n v="0"/>
    <m/>
    <m/>
    <m/>
    <m/>
    <m/>
    <m/>
    <n v="0"/>
    <m/>
    <m/>
    <m/>
    <m/>
    <n v="0"/>
    <n v="0"/>
    <n v="0"/>
    <n v="0"/>
    <n v="0"/>
    <n v="0"/>
    <n v="0"/>
  </r>
  <r>
    <x v="12"/>
    <x v="181"/>
    <m/>
    <s v="Laiton - BronzeBouchons F 300 LAITON"/>
    <m/>
    <n v="0"/>
    <m/>
    <m/>
    <m/>
    <n v="0"/>
    <m/>
    <m/>
    <m/>
    <m/>
    <m/>
    <m/>
    <n v="0"/>
    <m/>
    <m/>
    <m/>
    <m/>
    <n v="0"/>
    <n v="0"/>
    <n v="0"/>
    <n v="0"/>
    <n v="0"/>
    <n v="0"/>
    <n v="0"/>
  </r>
  <r>
    <x v="12"/>
    <x v="181"/>
    <m/>
    <s v="Laiton - BronzeBouchons F 300 LAITON"/>
    <s v="1&quot;1/2"/>
    <n v="1"/>
    <s v="300L112"/>
    <m/>
    <m/>
    <n v="0"/>
    <m/>
    <m/>
    <m/>
    <m/>
    <m/>
    <m/>
    <n v="0"/>
    <m/>
    <m/>
    <m/>
    <m/>
    <n v="0"/>
    <n v="0"/>
    <n v="0"/>
    <n v="0"/>
    <n v="0"/>
    <n v="0"/>
    <n v="0"/>
  </r>
  <r>
    <x v="12"/>
    <x v="181"/>
    <m/>
    <s v="Laiton - BronzeBouchons F 300 LAITON"/>
    <s v="1&quot;1/4"/>
    <n v="2"/>
    <s v="300L114"/>
    <m/>
    <m/>
    <n v="0"/>
    <m/>
    <m/>
    <m/>
    <m/>
    <m/>
    <m/>
    <n v="0"/>
    <m/>
    <m/>
    <m/>
    <m/>
    <n v="0"/>
    <n v="0"/>
    <n v="0"/>
    <n v="0"/>
    <n v="0"/>
    <n v="0"/>
    <n v="0"/>
  </r>
  <r>
    <x v="12"/>
    <x v="181"/>
    <m/>
    <s v="Laiton - BronzeBouchons F 300 LAITON"/>
    <s v="1&quot;"/>
    <n v="3"/>
    <s v="300L1"/>
    <m/>
    <m/>
    <n v="0"/>
    <m/>
    <m/>
    <m/>
    <m/>
    <m/>
    <m/>
    <n v="0"/>
    <m/>
    <m/>
    <m/>
    <m/>
    <n v="0"/>
    <n v="0"/>
    <n v="0"/>
    <n v="0"/>
    <n v="0"/>
    <n v="0"/>
    <n v="0"/>
  </r>
  <r>
    <x v="12"/>
    <x v="182"/>
    <m/>
    <s v="Laiton - BronzeBouchons M 290 LAITON"/>
    <m/>
    <n v="0"/>
    <m/>
    <m/>
    <m/>
    <n v="0"/>
    <m/>
    <m/>
    <m/>
    <m/>
    <m/>
    <m/>
    <n v="0"/>
    <m/>
    <m/>
    <m/>
    <m/>
    <n v="0"/>
    <n v="0"/>
    <n v="0"/>
    <n v="0"/>
    <n v="0"/>
    <n v="0"/>
    <n v="0"/>
  </r>
  <r>
    <x v="12"/>
    <x v="182"/>
    <m/>
    <s v="Laiton - BronzeBouchons M 290 LAITON"/>
    <s v="2&quot;"/>
    <n v="1"/>
    <s v="290L2"/>
    <m/>
    <m/>
    <n v="0"/>
    <m/>
    <m/>
    <m/>
    <m/>
    <m/>
    <m/>
    <n v="0"/>
    <m/>
    <m/>
    <m/>
    <m/>
    <n v="0"/>
    <n v="0"/>
    <n v="0"/>
    <n v="0"/>
    <n v="0"/>
    <n v="0"/>
    <n v="0"/>
  </r>
  <r>
    <x v="12"/>
    <x v="182"/>
    <m/>
    <s v="Laiton - BronzeBouchons M 290 LAITON"/>
    <s v="1&quot;"/>
    <n v="2"/>
    <s v="290L1"/>
    <m/>
    <m/>
    <n v="0"/>
    <m/>
    <m/>
    <m/>
    <m/>
    <m/>
    <m/>
    <n v="0"/>
    <m/>
    <m/>
    <m/>
    <m/>
    <n v="0"/>
    <n v="0"/>
    <n v="0"/>
    <n v="0"/>
    <n v="0"/>
    <n v="0"/>
    <n v="0"/>
  </r>
  <r>
    <x v="12"/>
    <x v="182"/>
    <m/>
    <s v="Laiton - BronzeBouchons M 290 LAITON"/>
    <s v=" 3/4"/>
    <n v="3"/>
    <s v="290L34"/>
    <m/>
    <m/>
    <n v="0"/>
    <m/>
    <m/>
    <m/>
    <m/>
    <m/>
    <m/>
    <n v="0"/>
    <m/>
    <m/>
    <m/>
    <m/>
    <n v="0"/>
    <n v="0"/>
    <n v="0"/>
    <n v="0"/>
    <n v="0"/>
    <n v="0"/>
    <n v="0"/>
  </r>
  <r>
    <x v="12"/>
    <x v="182"/>
    <m/>
    <s v="Laiton - BronzeBouchons M 290 LAITON"/>
    <s v=" 1/2"/>
    <n v="4"/>
    <s v="290L12"/>
    <m/>
    <m/>
    <n v="0"/>
    <m/>
    <m/>
    <m/>
    <m/>
    <m/>
    <m/>
    <n v="0"/>
    <m/>
    <m/>
    <m/>
    <m/>
    <n v="0"/>
    <n v="0"/>
    <n v="0"/>
    <n v="0"/>
    <n v="0"/>
    <n v="0"/>
    <n v="0"/>
  </r>
  <r>
    <x v="12"/>
    <x v="182"/>
    <m/>
    <s v="Laiton - BronzeBouchons M 290 LAITON"/>
    <s v=" 3/8"/>
    <n v="5"/>
    <s v="290L38"/>
    <m/>
    <m/>
    <n v="0"/>
    <m/>
    <m/>
    <m/>
    <m/>
    <m/>
    <m/>
    <n v="0"/>
    <m/>
    <m/>
    <m/>
    <m/>
    <n v="0"/>
    <n v="0"/>
    <n v="0"/>
    <n v="0"/>
    <n v="0"/>
    <n v="0"/>
    <n v="0"/>
  </r>
  <r>
    <x v="12"/>
    <x v="182"/>
    <m/>
    <s v="Laiton - BronzeBouchons M 290 LAITON"/>
    <s v=" 1/4"/>
    <n v="6"/>
    <s v="290L14"/>
    <m/>
    <m/>
    <n v="0"/>
    <m/>
    <m/>
    <m/>
    <m/>
    <m/>
    <m/>
    <n v="0"/>
    <m/>
    <m/>
    <m/>
    <m/>
    <n v="0"/>
    <n v="0"/>
    <n v="0"/>
    <n v="0"/>
    <n v="0"/>
    <n v="0"/>
    <n v="0"/>
  </r>
  <r>
    <x v="12"/>
    <x v="182"/>
    <m/>
    <s v="Laiton - BronzeBouchons M 290 LAITON"/>
    <s v=" 1/8"/>
    <n v="7"/>
    <s v="290L18"/>
    <m/>
    <m/>
    <n v="0"/>
    <m/>
    <m/>
    <m/>
    <m/>
    <m/>
    <m/>
    <n v="0"/>
    <m/>
    <m/>
    <m/>
    <m/>
    <n v="0"/>
    <n v="0"/>
    <n v="0"/>
    <n v="0"/>
    <n v="0"/>
    <n v="0"/>
    <n v="0"/>
  </r>
  <r>
    <x v="12"/>
    <x v="183"/>
    <m/>
    <s v="Laiton - BronzeCollecteur Laiton MF"/>
    <m/>
    <n v="0"/>
    <m/>
    <m/>
    <m/>
    <n v="0"/>
    <m/>
    <m/>
    <m/>
    <m/>
    <m/>
    <m/>
    <n v="0"/>
    <m/>
    <m/>
    <m/>
    <m/>
    <n v="0"/>
    <n v="0"/>
    <n v="0"/>
    <n v="0"/>
    <n v="0"/>
    <n v="0"/>
    <n v="0"/>
  </r>
  <r>
    <x v="12"/>
    <x v="183"/>
    <m/>
    <s v="Laiton - BronzeCollecteur Laiton MF"/>
    <s v="Collecteur laiton MF1&quot; - 2 départs 1/2&quot; male"/>
    <n v="1"/>
    <s v="CL1-2X1/2"/>
    <m/>
    <m/>
    <n v="0"/>
    <m/>
    <m/>
    <m/>
    <m/>
    <m/>
    <m/>
    <n v="0"/>
    <m/>
    <m/>
    <m/>
    <m/>
    <n v="0"/>
    <n v="0"/>
    <n v="0"/>
    <n v="0"/>
    <n v="0"/>
    <n v="0"/>
    <n v="0"/>
  </r>
  <r>
    <x v="12"/>
    <x v="183"/>
    <m/>
    <s v="Laiton - BronzeCollecteur Laiton MF"/>
    <s v="Collecteur laiton MF1&quot; - 3 départs 1/2&quot; male"/>
    <n v="2"/>
    <s v="CL1-3X1/2"/>
    <m/>
    <m/>
    <n v="0"/>
    <m/>
    <m/>
    <m/>
    <m/>
    <m/>
    <m/>
    <n v="0"/>
    <m/>
    <m/>
    <m/>
    <m/>
    <n v="0"/>
    <n v="0"/>
    <n v="0"/>
    <n v="0"/>
    <n v="0"/>
    <n v="0"/>
    <n v="0"/>
  </r>
  <r>
    <x v="12"/>
    <x v="183"/>
    <m/>
    <s v="Laiton - BronzeCollecteur Laiton MF"/>
    <s v="Collecteur laiton MF1&quot; - 4 départs 1/2&quot; male"/>
    <n v="3"/>
    <s v="CL1-4X1/2"/>
    <m/>
    <m/>
    <n v="0"/>
    <m/>
    <m/>
    <m/>
    <m/>
    <m/>
    <m/>
    <n v="0"/>
    <m/>
    <m/>
    <m/>
    <m/>
    <n v="0"/>
    <n v="0"/>
    <n v="0"/>
    <n v="0"/>
    <n v="0"/>
    <n v="0"/>
    <n v="0"/>
  </r>
  <r>
    <x v="12"/>
    <x v="183"/>
    <m/>
    <s v="Laiton - BronzeCollecteur Laiton MF"/>
    <s v="Collecteur laiton MF1&quot; - 5 départs 1/2&quot; male"/>
    <n v="4"/>
    <s v="CL1-5X1/2"/>
    <m/>
    <m/>
    <n v="0"/>
    <m/>
    <m/>
    <m/>
    <m/>
    <m/>
    <m/>
    <n v="0"/>
    <m/>
    <m/>
    <m/>
    <m/>
    <n v="0"/>
    <n v="0"/>
    <n v="0"/>
    <n v="0"/>
    <n v="0"/>
    <n v="0"/>
    <n v="0"/>
  </r>
  <r>
    <x v="12"/>
    <x v="184"/>
    <m/>
    <s v="Laiton - BronzeCoude ff 90 LAITON"/>
    <m/>
    <n v="0"/>
    <m/>
    <m/>
    <m/>
    <n v="0"/>
    <m/>
    <m/>
    <m/>
    <m/>
    <m/>
    <m/>
    <n v="0"/>
    <m/>
    <m/>
    <m/>
    <m/>
    <n v="0"/>
    <n v="0"/>
    <n v="0"/>
    <n v="0"/>
    <n v="0"/>
    <n v="0"/>
    <n v="0"/>
  </r>
  <r>
    <x v="12"/>
    <x v="184"/>
    <m/>
    <s v="Laiton - BronzeCoude ff 90 LAITON"/>
    <s v="2&quot;"/>
    <n v="1"/>
    <s v="90L2"/>
    <m/>
    <m/>
    <n v="0"/>
    <m/>
    <m/>
    <m/>
    <m/>
    <m/>
    <m/>
    <n v="0"/>
    <m/>
    <m/>
    <m/>
    <m/>
    <n v="0"/>
    <n v="0"/>
    <n v="0"/>
    <n v="0"/>
    <n v="0"/>
    <n v="0"/>
    <n v="0"/>
  </r>
  <r>
    <x v="12"/>
    <x v="184"/>
    <m/>
    <s v="Laiton - BronzeCoude ff 90 LAITON"/>
    <s v="1&quot;1/2"/>
    <n v="2"/>
    <s v="90L112"/>
    <m/>
    <m/>
    <n v="0"/>
    <m/>
    <m/>
    <m/>
    <m/>
    <m/>
    <m/>
    <n v="0"/>
    <m/>
    <m/>
    <m/>
    <m/>
    <n v="0"/>
    <n v="0"/>
    <n v="0"/>
    <n v="0"/>
    <n v="0"/>
    <n v="0"/>
    <n v="0"/>
  </r>
  <r>
    <x v="12"/>
    <x v="184"/>
    <m/>
    <s v="Laiton - BronzeCoude ff 90 LAITON"/>
    <s v="1&quot;1/4"/>
    <n v="3"/>
    <s v="90L114"/>
    <m/>
    <m/>
    <n v="0"/>
    <m/>
    <m/>
    <m/>
    <m/>
    <m/>
    <m/>
    <n v="0"/>
    <m/>
    <m/>
    <m/>
    <m/>
    <n v="0"/>
    <n v="0"/>
    <n v="0"/>
    <n v="0"/>
    <n v="0"/>
    <n v="0"/>
    <n v="0"/>
  </r>
  <r>
    <x v="12"/>
    <x v="184"/>
    <m/>
    <s v="Laiton - BronzeCoude ff 90 LAITON"/>
    <s v="1&quot;"/>
    <n v="4"/>
    <s v="90L1"/>
    <m/>
    <m/>
    <n v="0"/>
    <m/>
    <m/>
    <m/>
    <m/>
    <m/>
    <m/>
    <n v="0"/>
    <m/>
    <m/>
    <m/>
    <m/>
    <n v="0"/>
    <n v="0"/>
    <n v="0"/>
    <n v="0"/>
    <n v="0"/>
    <n v="0"/>
    <n v="0"/>
  </r>
  <r>
    <x v="12"/>
    <x v="184"/>
    <m/>
    <s v="Laiton - BronzeCoude ff 90 LAITON"/>
    <s v=" 3/4"/>
    <n v="5"/>
    <s v="90L34"/>
    <m/>
    <m/>
    <n v="0"/>
    <m/>
    <m/>
    <m/>
    <m/>
    <m/>
    <m/>
    <n v="0"/>
    <m/>
    <m/>
    <m/>
    <m/>
    <n v="0"/>
    <n v="0"/>
    <n v="0"/>
    <n v="0"/>
    <n v="0"/>
    <n v="0"/>
    <n v="0"/>
  </r>
  <r>
    <x v="12"/>
    <x v="184"/>
    <m/>
    <s v="Laiton - BronzeCoude ff 90 LAITON"/>
    <s v=" 1/2"/>
    <n v="6"/>
    <s v="90L12"/>
    <m/>
    <m/>
    <n v="0"/>
    <m/>
    <m/>
    <m/>
    <m/>
    <m/>
    <m/>
    <n v="0"/>
    <m/>
    <m/>
    <m/>
    <m/>
    <n v="0"/>
    <n v="0"/>
    <n v="0"/>
    <n v="0"/>
    <n v="0"/>
    <n v="0"/>
    <n v="0"/>
  </r>
  <r>
    <x v="12"/>
    <x v="184"/>
    <m/>
    <s v="Laiton - BronzeCoude ff 90 LAITON"/>
    <s v=" 3/8"/>
    <n v="7"/>
    <s v="90L38"/>
    <m/>
    <m/>
    <n v="0"/>
    <m/>
    <m/>
    <m/>
    <m/>
    <m/>
    <m/>
    <n v="0"/>
    <m/>
    <m/>
    <m/>
    <m/>
    <n v="0"/>
    <n v="0"/>
    <n v="0"/>
    <n v="0"/>
    <n v="0"/>
    <n v="0"/>
    <n v="0"/>
  </r>
  <r>
    <x v="12"/>
    <x v="184"/>
    <m/>
    <s v="Laiton - BronzeCoude ff 90 LAITON"/>
    <s v=" 1/4"/>
    <n v="8"/>
    <s v="90L14"/>
    <m/>
    <m/>
    <n v="0"/>
    <m/>
    <m/>
    <m/>
    <m/>
    <m/>
    <m/>
    <n v="0"/>
    <m/>
    <m/>
    <m/>
    <m/>
    <n v="0"/>
    <n v="0"/>
    <n v="0"/>
    <n v="0"/>
    <n v="0"/>
    <n v="0"/>
    <n v="0"/>
  </r>
  <r>
    <x v="12"/>
    <x v="184"/>
    <m/>
    <s v="Laiton - BronzeCoude ff 90 LAITON"/>
    <s v=" 1/8"/>
    <n v="9"/>
    <s v="90L18"/>
    <m/>
    <m/>
    <n v="0"/>
    <m/>
    <m/>
    <m/>
    <m/>
    <m/>
    <m/>
    <n v="0"/>
    <m/>
    <m/>
    <m/>
    <m/>
    <n v="0"/>
    <n v="0"/>
    <n v="0"/>
    <n v="0"/>
    <n v="0"/>
    <n v="0"/>
    <n v="0"/>
  </r>
  <r>
    <x v="12"/>
    <x v="185"/>
    <m/>
    <s v="Laiton - BronzeCoudes mf 92 LAITON"/>
    <m/>
    <n v="0"/>
    <m/>
    <m/>
    <m/>
    <n v="0"/>
    <m/>
    <m/>
    <m/>
    <m/>
    <m/>
    <m/>
    <n v="0"/>
    <m/>
    <m/>
    <m/>
    <m/>
    <n v="0"/>
    <n v="0"/>
    <n v="0"/>
    <n v="0"/>
    <n v="0"/>
    <n v="0"/>
    <n v="0"/>
  </r>
  <r>
    <x v="12"/>
    <x v="185"/>
    <m/>
    <s v="Laiton - BronzeCoudes mf 92 LAITON"/>
    <s v="2&quot;"/>
    <n v="1"/>
    <s v="92L2"/>
    <m/>
    <m/>
    <n v="0"/>
    <m/>
    <m/>
    <m/>
    <m/>
    <m/>
    <m/>
    <n v="0"/>
    <m/>
    <m/>
    <m/>
    <m/>
    <n v="0"/>
    <n v="0"/>
    <n v="0"/>
    <n v="0"/>
    <n v="0"/>
    <n v="0"/>
    <n v="0"/>
  </r>
  <r>
    <x v="12"/>
    <x v="185"/>
    <m/>
    <s v="Laiton - BronzeCoudes mf 92 LAITON"/>
    <s v="1&quot;1/2"/>
    <n v="2"/>
    <s v="92L112"/>
    <m/>
    <m/>
    <n v="0"/>
    <m/>
    <m/>
    <m/>
    <m/>
    <m/>
    <m/>
    <n v="0"/>
    <m/>
    <m/>
    <m/>
    <m/>
    <n v="0"/>
    <n v="0"/>
    <n v="0"/>
    <n v="0"/>
    <n v="0"/>
    <n v="0"/>
    <n v="0"/>
  </r>
  <r>
    <x v="12"/>
    <x v="185"/>
    <m/>
    <s v="Laiton - BronzeCoudes mf 92 LAITON"/>
    <s v="1&quot;1/4"/>
    <n v="3"/>
    <s v="92L114"/>
    <m/>
    <m/>
    <n v="0"/>
    <m/>
    <m/>
    <m/>
    <m/>
    <m/>
    <m/>
    <n v="0"/>
    <m/>
    <m/>
    <m/>
    <m/>
    <n v="0"/>
    <n v="0"/>
    <n v="0"/>
    <n v="0"/>
    <n v="0"/>
    <n v="0"/>
    <n v="0"/>
  </r>
  <r>
    <x v="12"/>
    <x v="185"/>
    <m/>
    <s v="Laiton - BronzeCoudes mf 92 LAITON"/>
    <s v="1&quot;"/>
    <n v="4"/>
    <s v="92L1"/>
    <m/>
    <m/>
    <n v="0"/>
    <m/>
    <m/>
    <m/>
    <m/>
    <m/>
    <m/>
    <n v="0"/>
    <m/>
    <m/>
    <m/>
    <m/>
    <n v="0"/>
    <n v="0"/>
    <n v="0"/>
    <n v="0"/>
    <n v="0"/>
    <n v="0"/>
    <n v="0"/>
  </r>
  <r>
    <x v="12"/>
    <x v="185"/>
    <m/>
    <s v="Laiton - BronzeCoudes mf 92 LAITON"/>
    <s v=" 3/4"/>
    <n v="5"/>
    <s v="92L34"/>
    <m/>
    <m/>
    <n v="0"/>
    <m/>
    <m/>
    <m/>
    <m/>
    <m/>
    <m/>
    <n v="0"/>
    <m/>
    <m/>
    <m/>
    <m/>
    <n v="0"/>
    <n v="0"/>
    <n v="0"/>
    <n v="0"/>
    <n v="0"/>
    <n v="0"/>
    <n v="0"/>
  </r>
  <r>
    <x v="12"/>
    <x v="185"/>
    <m/>
    <s v="Laiton - BronzeCoudes mf 92 LAITON"/>
    <s v=" 1/2"/>
    <n v="6"/>
    <s v="92L12"/>
    <m/>
    <m/>
    <n v="0"/>
    <m/>
    <m/>
    <m/>
    <m/>
    <m/>
    <m/>
    <n v="0"/>
    <m/>
    <m/>
    <m/>
    <m/>
    <n v="0"/>
    <n v="0"/>
    <n v="0"/>
    <n v="0"/>
    <n v="0"/>
    <n v="0"/>
    <n v="0"/>
  </r>
  <r>
    <x v="12"/>
    <x v="185"/>
    <m/>
    <s v="Laiton - BronzeCoudes mf 92 LAITON"/>
    <s v=" 3/8"/>
    <n v="7"/>
    <s v="92L38"/>
    <m/>
    <m/>
    <n v="0"/>
    <m/>
    <m/>
    <m/>
    <m/>
    <m/>
    <m/>
    <n v="0"/>
    <m/>
    <m/>
    <m/>
    <m/>
    <n v="0"/>
    <n v="0"/>
    <n v="0"/>
    <n v="0"/>
    <n v="0"/>
    <n v="0"/>
    <n v="0"/>
  </r>
  <r>
    <x v="12"/>
    <x v="185"/>
    <m/>
    <s v="Laiton - BronzeCoudes mf 92 LAITON"/>
    <s v=" 1/4"/>
    <n v="8"/>
    <s v="92L14"/>
    <m/>
    <m/>
    <n v="0"/>
    <m/>
    <m/>
    <m/>
    <m/>
    <m/>
    <m/>
    <n v="0"/>
    <m/>
    <m/>
    <m/>
    <m/>
    <n v="0"/>
    <n v="0"/>
    <n v="0"/>
    <n v="0"/>
    <n v="0"/>
    <n v="0"/>
    <n v="0"/>
  </r>
  <r>
    <x v="12"/>
    <x v="185"/>
    <m/>
    <s v="Laiton - BronzeCoudes mf 92 LAITON"/>
    <s v=" 1/8"/>
    <n v="9"/>
    <s v="92L18"/>
    <m/>
    <m/>
    <n v="0"/>
    <m/>
    <m/>
    <m/>
    <m/>
    <m/>
    <m/>
    <n v="0"/>
    <m/>
    <m/>
    <m/>
    <m/>
    <n v="0"/>
    <n v="0"/>
    <n v="0"/>
    <n v="0"/>
    <n v="0"/>
    <n v="0"/>
    <n v="0"/>
  </r>
  <r>
    <x v="12"/>
    <x v="186"/>
    <m/>
    <s v="Laiton - BronzeMamelons  280 LAITON"/>
    <m/>
    <n v="0"/>
    <m/>
    <m/>
    <m/>
    <n v="0"/>
    <m/>
    <m/>
    <m/>
    <m/>
    <m/>
    <m/>
    <n v="0"/>
    <m/>
    <m/>
    <m/>
    <m/>
    <n v="0"/>
    <n v="0"/>
    <n v="0"/>
    <n v="0"/>
    <n v="0"/>
    <n v="0"/>
    <n v="0"/>
  </r>
  <r>
    <x v="12"/>
    <x v="186"/>
    <m/>
    <s v="Laiton - BronzeMamelons  280 LAITON"/>
    <s v="2&quot;"/>
    <n v="1"/>
    <s v="280L2"/>
    <m/>
    <m/>
    <n v="0"/>
    <m/>
    <m/>
    <m/>
    <m/>
    <m/>
    <m/>
    <n v="0"/>
    <m/>
    <m/>
    <m/>
    <m/>
    <n v="0"/>
    <n v="0"/>
    <n v="0"/>
    <n v="0"/>
    <n v="0"/>
    <n v="0"/>
    <n v="0"/>
  </r>
  <r>
    <x v="12"/>
    <x v="186"/>
    <m/>
    <s v="Laiton - BronzeMamelons  280 LAITON"/>
    <s v="1&quot;1/2"/>
    <n v="2"/>
    <s v="280L112"/>
    <m/>
    <m/>
    <n v="0"/>
    <m/>
    <m/>
    <m/>
    <m/>
    <m/>
    <m/>
    <n v="0"/>
    <m/>
    <m/>
    <m/>
    <m/>
    <n v="0"/>
    <n v="0"/>
    <n v="0"/>
    <n v="0"/>
    <n v="0"/>
    <n v="0"/>
    <n v="0"/>
  </r>
  <r>
    <x v="12"/>
    <x v="186"/>
    <m/>
    <s v="Laiton - BronzeMamelons  280 LAITON"/>
    <s v="1&quot;1/4"/>
    <n v="3"/>
    <s v="280L114"/>
    <m/>
    <m/>
    <n v="0"/>
    <m/>
    <m/>
    <m/>
    <m/>
    <m/>
    <m/>
    <n v="0"/>
    <m/>
    <m/>
    <m/>
    <m/>
    <n v="0"/>
    <n v="0"/>
    <n v="0"/>
    <n v="0"/>
    <n v="0"/>
    <n v="0"/>
    <n v="0"/>
  </r>
  <r>
    <x v="12"/>
    <x v="186"/>
    <m/>
    <s v="Laiton - BronzeMamelons  280 LAITON"/>
    <s v="1&quot;"/>
    <n v="4"/>
    <s v="280L1"/>
    <m/>
    <m/>
    <n v="0"/>
    <m/>
    <m/>
    <m/>
    <m/>
    <m/>
    <m/>
    <n v="0"/>
    <m/>
    <m/>
    <m/>
    <m/>
    <n v="0"/>
    <n v="0"/>
    <n v="0"/>
    <n v="0"/>
    <n v="0"/>
    <n v="0"/>
    <n v="0"/>
  </r>
  <r>
    <x v="12"/>
    <x v="186"/>
    <m/>
    <s v="Laiton - BronzeMamelons  280 LAITON"/>
    <s v=" 3/4"/>
    <n v="5"/>
    <s v="280L34"/>
    <m/>
    <m/>
    <n v="0"/>
    <m/>
    <m/>
    <m/>
    <m/>
    <m/>
    <m/>
    <n v="0"/>
    <m/>
    <m/>
    <m/>
    <m/>
    <n v="0"/>
    <n v="0"/>
    <n v="0"/>
    <n v="0"/>
    <n v="0"/>
    <n v="0"/>
    <n v="0"/>
  </r>
  <r>
    <x v="12"/>
    <x v="186"/>
    <m/>
    <s v="Laiton - BronzeMamelons  280 LAITON"/>
    <s v=" 1/2"/>
    <n v="6"/>
    <s v="280L12"/>
    <m/>
    <m/>
    <n v="0"/>
    <m/>
    <m/>
    <m/>
    <m/>
    <m/>
    <m/>
    <n v="0"/>
    <m/>
    <m/>
    <m/>
    <m/>
    <n v="0"/>
    <n v="0"/>
    <n v="0"/>
    <n v="0"/>
    <n v="0"/>
    <n v="0"/>
    <n v="0"/>
  </r>
  <r>
    <x v="12"/>
    <x v="186"/>
    <m/>
    <s v="Laiton - BronzeMamelons  280 LAITON"/>
    <s v=" 3/8"/>
    <n v="7"/>
    <s v="280L38"/>
    <m/>
    <m/>
    <n v="0"/>
    <m/>
    <m/>
    <m/>
    <m/>
    <m/>
    <m/>
    <n v="0"/>
    <m/>
    <m/>
    <m/>
    <m/>
    <n v="0"/>
    <n v="0"/>
    <n v="0"/>
    <n v="0"/>
    <n v="0"/>
    <n v="0"/>
    <n v="0"/>
  </r>
  <r>
    <x v="12"/>
    <x v="186"/>
    <m/>
    <s v="Laiton - BronzeMamelons  280 LAITON"/>
    <s v=" 1/4"/>
    <n v="8"/>
    <s v="280L14"/>
    <m/>
    <m/>
    <n v="0"/>
    <m/>
    <m/>
    <m/>
    <m/>
    <m/>
    <m/>
    <n v="0"/>
    <m/>
    <m/>
    <m/>
    <m/>
    <n v="0"/>
    <n v="0"/>
    <n v="0"/>
    <n v="0"/>
    <n v="0"/>
    <n v="0"/>
    <n v="0"/>
  </r>
  <r>
    <x v="12"/>
    <x v="186"/>
    <m/>
    <s v="Laiton - BronzeMamelons  280 LAITON"/>
    <s v=" 1/8"/>
    <n v="9"/>
    <s v="280L18"/>
    <m/>
    <m/>
    <n v="0"/>
    <m/>
    <m/>
    <m/>
    <m/>
    <m/>
    <m/>
    <n v="0"/>
    <m/>
    <m/>
    <m/>
    <m/>
    <n v="0"/>
    <n v="0"/>
    <n v="0"/>
    <n v="0"/>
    <n v="0"/>
    <n v="0"/>
    <n v="0"/>
  </r>
  <r>
    <x v="12"/>
    <x v="187"/>
    <m/>
    <s v="Laiton - BronzeMamelons réduits 245 LAITON"/>
    <m/>
    <n v="0"/>
    <m/>
    <m/>
    <m/>
    <n v="0"/>
    <m/>
    <m/>
    <m/>
    <m/>
    <m/>
    <m/>
    <n v="0"/>
    <m/>
    <m/>
    <m/>
    <m/>
    <n v="0"/>
    <n v="0"/>
    <n v="0"/>
    <n v="0"/>
    <n v="0"/>
    <n v="0"/>
    <n v="0"/>
  </r>
  <r>
    <x v="12"/>
    <x v="187"/>
    <m/>
    <s v="Laiton - BronzeMamelons réduits 245 LAITON"/>
    <s v="2&quot;-1&quot;1/2"/>
    <n v="1"/>
    <s v="245L2112"/>
    <m/>
    <m/>
    <n v="0"/>
    <m/>
    <m/>
    <m/>
    <m/>
    <m/>
    <m/>
    <n v="0"/>
    <m/>
    <m/>
    <m/>
    <m/>
    <n v="0"/>
    <n v="0"/>
    <n v="0"/>
    <n v="0"/>
    <n v="0"/>
    <n v="0"/>
    <n v="0"/>
  </r>
  <r>
    <x v="12"/>
    <x v="187"/>
    <m/>
    <s v="Laiton - BronzeMamelons réduits 245 LAITON"/>
    <s v="2&quot;-1&quot;1/4"/>
    <n v="2"/>
    <s v="245L2114"/>
    <m/>
    <m/>
    <n v="0"/>
    <m/>
    <m/>
    <m/>
    <m/>
    <m/>
    <m/>
    <n v="0"/>
    <m/>
    <m/>
    <m/>
    <m/>
    <n v="0"/>
    <n v="0"/>
    <n v="0"/>
    <n v="0"/>
    <n v="0"/>
    <n v="0"/>
    <n v="0"/>
  </r>
  <r>
    <x v="12"/>
    <x v="187"/>
    <m/>
    <s v="Laiton - BronzeMamelons réduits 245 LAITON"/>
    <s v="2&quot;-1&quot;"/>
    <n v="3"/>
    <s v="245L21"/>
    <m/>
    <m/>
    <n v="0"/>
    <m/>
    <m/>
    <m/>
    <m/>
    <m/>
    <m/>
    <n v="0"/>
    <m/>
    <m/>
    <m/>
    <m/>
    <n v="0"/>
    <n v="0"/>
    <n v="0"/>
    <n v="0"/>
    <n v="0"/>
    <n v="0"/>
    <n v="0"/>
  </r>
  <r>
    <x v="12"/>
    <x v="187"/>
    <m/>
    <s v="Laiton - BronzeMamelons réduits 245 LAITON"/>
    <s v="1&quot;1/2-1&quot;1/4"/>
    <n v="4"/>
    <s v="245L112114"/>
    <m/>
    <m/>
    <n v="0"/>
    <m/>
    <m/>
    <m/>
    <m/>
    <m/>
    <m/>
    <n v="0"/>
    <m/>
    <m/>
    <m/>
    <m/>
    <n v="0"/>
    <n v="0"/>
    <n v="0"/>
    <n v="0"/>
    <n v="0"/>
    <n v="0"/>
    <n v="0"/>
  </r>
  <r>
    <x v="12"/>
    <x v="187"/>
    <m/>
    <s v="Laiton - BronzeMamelons réduits 245 LAITON"/>
    <s v="1&quot;1/2-1&quot;"/>
    <n v="5"/>
    <s v="245L1121"/>
    <m/>
    <m/>
    <n v="0"/>
    <m/>
    <m/>
    <m/>
    <m/>
    <m/>
    <m/>
    <n v="0"/>
    <m/>
    <m/>
    <m/>
    <m/>
    <n v="0"/>
    <n v="0"/>
    <n v="0"/>
    <n v="0"/>
    <n v="0"/>
    <n v="0"/>
    <n v="0"/>
  </r>
  <r>
    <x v="12"/>
    <x v="187"/>
    <m/>
    <s v="Laiton - BronzeMamelons réduits 245 LAITON"/>
    <s v="1&quot;1/4-1&quot;"/>
    <n v="6"/>
    <s v="245L1141"/>
    <m/>
    <m/>
    <n v="0"/>
    <m/>
    <m/>
    <m/>
    <m/>
    <m/>
    <m/>
    <n v="0"/>
    <m/>
    <m/>
    <m/>
    <m/>
    <n v="0"/>
    <n v="0"/>
    <n v="0"/>
    <n v="0"/>
    <n v="0"/>
    <n v="0"/>
    <n v="0"/>
  </r>
  <r>
    <x v="12"/>
    <x v="187"/>
    <m/>
    <s v="Laiton - BronzeMamelons réduits 245 LAITON"/>
    <s v="1&quot;1/4-3/4"/>
    <n v="7"/>
    <s v="245L11434"/>
    <m/>
    <m/>
    <n v="0"/>
    <m/>
    <m/>
    <m/>
    <m/>
    <m/>
    <m/>
    <n v="0"/>
    <m/>
    <m/>
    <m/>
    <m/>
    <n v="0"/>
    <n v="0"/>
    <n v="0"/>
    <n v="0"/>
    <n v="0"/>
    <n v="0"/>
    <n v="0"/>
  </r>
  <r>
    <x v="12"/>
    <x v="187"/>
    <m/>
    <s v="Laiton - BronzeMamelons réduits 245 LAITON"/>
    <s v="1&quot;-3/4"/>
    <n v="8"/>
    <s v="245L134"/>
    <m/>
    <m/>
    <n v="0"/>
    <m/>
    <m/>
    <m/>
    <m/>
    <m/>
    <m/>
    <n v="0"/>
    <m/>
    <m/>
    <m/>
    <m/>
    <n v="0"/>
    <n v="0"/>
    <n v="0"/>
    <n v="0"/>
    <n v="0"/>
    <n v="0"/>
    <n v="0"/>
  </r>
  <r>
    <x v="12"/>
    <x v="187"/>
    <m/>
    <s v="Laiton - BronzeMamelons réduits 245 LAITON"/>
    <s v="1&quot;-1/2"/>
    <n v="9"/>
    <s v="245L112"/>
    <m/>
    <m/>
    <n v="0"/>
    <m/>
    <m/>
    <m/>
    <m/>
    <m/>
    <m/>
    <n v="0"/>
    <m/>
    <m/>
    <m/>
    <m/>
    <n v="0"/>
    <n v="0"/>
    <n v="0"/>
    <n v="0"/>
    <n v="0"/>
    <n v="0"/>
    <n v="0"/>
  </r>
  <r>
    <x v="12"/>
    <x v="187"/>
    <m/>
    <s v="Laiton - BronzeMamelons réduits 245 LAITON"/>
    <s v="3/4-1/2"/>
    <n v="10"/>
    <s v="245L3412"/>
    <m/>
    <m/>
    <n v="0"/>
    <m/>
    <m/>
    <m/>
    <m/>
    <m/>
    <m/>
    <n v="0"/>
    <m/>
    <m/>
    <m/>
    <m/>
    <n v="0"/>
    <n v="0"/>
    <n v="0"/>
    <n v="0"/>
    <n v="0"/>
    <n v="0"/>
    <n v="0"/>
  </r>
  <r>
    <x v="12"/>
    <x v="187"/>
    <m/>
    <s v="Laiton - BronzeMamelons réduits 245 LAITON"/>
    <s v="3/4-3/8"/>
    <n v="11"/>
    <s v="245L3438"/>
    <m/>
    <m/>
    <n v="0"/>
    <m/>
    <m/>
    <m/>
    <m/>
    <m/>
    <m/>
    <n v="0"/>
    <m/>
    <m/>
    <m/>
    <m/>
    <n v="0"/>
    <n v="0"/>
    <n v="0"/>
    <n v="0"/>
    <n v="0"/>
    <n v="0"/>
    <n v="0"/>
  </r>
  <r>
    <x v="12"/>
    <x v="187"/>
    <m/>
    <s v="Laiton - BronzeMamelons réduits 245 LAITON"/>
    <s v="1/2-3/8"/>
    <n v="12"/>
    <s v="245L1238"/>
    <m/>
    <m/>
    <n v="0"/>
    <m/>
    <m/>
    <m/>
    <m/>
    <m/>
    <m/>
    <n v="0"/>
    <m/>
    <m/>
    <m/>
    <m/>
    <n v="0"/>
    <n v="0"/>
    <n v="0"/>
    <n v="0"/>
    <n v="0"/>
    <n v="0"/>
    <n v="0"/>
  </r>
  <r>
    <x v="12"/>
    <x v="187"/>
    <m/>
    <s v="Laiton - BronzeMamelons réduits 245 LAITON"/>
    <s v=" 1/2 1/4"/>
    <n v="13"/>
    <s v="245L1214"/>
    <m/>
    <m/>
    <n v="0"/>
    <m/>
    <m/>
    <m/>
    <m/>
    <m/>
    <m/>
    <n v="0"/>
    <m/>
    <m/>
    <m/>
    <m/>
    <n v="0"/>
    <n v="0"/>
    <n v="0"/>
    <n v="0"/>
    <n v="0"/>
    <n v="0"/>
    <n v="0"/>
  </r>
  <r>
    <x v="12"/>
    <x v="187"/>
    <m/>
    <s v="Laiton - BronzeMamelons réduits 245 LAITON"/>
    <s v="3/8 1/4"/>
    <n v="14"/>
    <s v="245L3814"/>
    <m/>
    <m/>
    <n v="0"/>
    <m/>
    <m/>
    <m/>
    <m/>
    <m/>
    <m/>
    <n v="0"/>
    <m/>
    <m/>
    <m/>
    <m/>
    <n v="0"/>
    <n v="0"/>
    <n v="0"/>
    <n v="0"/>
    <n v="0"/>
    <n v="0"/>
    <n v="0"/>
  </r>
  <r>
    <x v="12"/>
    <x v="187"/>
    <m/>
    <s v="Laiton - BronzeMamelons réduits 245 LAITON"/>
    <s v="1/4-1/8"/>
    <n v="15"/>
    <s v="245L1418"/>
    <m/>
    <m/>
    <n v="0"/>
    <m/>
    <m/>
    <m/>
    <m/>
    <m/>
    <m/>
    <n v="0"/>
    <m/>
    <m/>
    <m/>
    <m/>
    <n v="0"/>
    <n v="0"/>
    <n v="0"/>
    <n v="0"/>
    <n v="0"/>
    <n v="0"/>
    <n v="0"/>
  </r>
  <r>
    <x v="12"/>
    <x v="188"/>
    <m/>
    <s v="Laiton - BronzeManchons réduits FF 240 Laiton"/>
    <m/>
    <n v="0"/>
    <m/>
    <m/>
    <m/>
    <n v="0"/>
    <m/>
    <m/>
    <m/>
    <m/>
    <m/>
    <m/>
    <n v="0"/>
    <m/>
    <m/>
    <m/>
    <m/>
    <n v="0"/>
    <n v="0"/>
    <n v="0"/>
    <n v="0"/>
    <n v="0"/>
    <n v="0"/>
    <n v="0"/>
  </r>
  <r>
    <x v="12"/>
    <x v="188"/>
    <m/>
    <s v="Laiton - BronzeManchons réduits FF 240 Laiton"/>
    <s v="1&quot;-3/4"/>
    <n v="1"/>
    <s v="240L134"/>
    <m/>
    <m/>
    <n v="0"/>
    <m/>
    <m/>
    <m/>
    <m/>
    <m/>
    <m/>
    <n v="0"/>
    <m/>
    <m/>
    <m/>
    <m/>
    <n v="0"/>
    <n v="0"/>
    <n v="0"/>
    <n v="0"/>
    <n v="0"/>
    <n v="0"/>
    <n v="0"/>
  </r>
  <r>
    <x v="12"/>
    <x v="188"/>
    <m/>
    <s v="Laiton - BronzeManchons réduits FF 240 Laiton"/>
    <s v="3/4-1/2"/>
    <n v="2"/>
    <s v="240L3412"/>
    <m/>
    <m/>
    <n v="0"/>
    <m/>
    <m/>
    <m/>
    <m/>
    <m/>
    <m/>
    <n v="0"/>
    <m/>
    <m/>
    <m/>
    <m/>
    <n v="0"/>
    <n v="0"/>
    <n v="0"/>
    <n v="0"/>
    <n v="0"/>
    <n v="0"/>
    <n v="0"/>
  </r>
  <r>
    <x v="12"/>
    <x v="188"/>
    <m/>
    <s v="Laiton - BronzeManchons réduits FF 240 Laiton"/>
    <s v="1/2-3/8"/>
    <n v="3"/>
    <s v="240L1238"/>
    <m/>
    <m/>
    <n v="0"/>
    <m/>
    <m/>
    <m/>
    <m/>
    <m/>
    <m/>
    <n v="0"/>
    <m/>
    <m/>
    <m/>
    <m/>
    <n v="0"/>
    <n v="0"/>
    <n v="0"/>
    <n v="0"/>
    <n v="0"/>
    <n v="0"/>
    <n v="0"/>
  </r>
  <r>
    <x v="12"/>
    <x v="188"/>
    <m/>
    <s v="Laiton - BronzeManchons réduits FF 240 Laiton"/>
    <s v="1/2-1/4"/>
    <n v="4"/>
    <s v="240L1214"/>
    <m/>
    <m/>
    <n v="0"/>
    <m/>
    <m/>
    <m/>
    <m/>
    <m/>
    <m/>
    <n v="0"/>
    <m/>
    <m/>
    <m/>
    <m/>
    <n v="0"/>
    <n v="0"/>
    <n v="0"/>
    <n v="0"/>
    <n v="0"/>
    <n v="0"/>
    <n v="0"/>
  </r>
  <r>
    <x v="12"/>
    <x v="189"/>
    <m/>
    <s v="Laiton - BronzeManchons réduits FM 246 LAITON"/>
    <m/>
    <n v="0"/>
    <m/>
    <m/>
    <m/>
    <n v="0"/>
    <m/>
    <m/>
    <m/>
    <m/>
    <m/>
    <m/>
    <n v="0"/>
    <m/>
    <m/>
    <m/>
    <m/>
    <n v="0"/>
    <n v="0"/>
    <n v="0"/>
    <n v="0"/>
    <n v="0"/>
    <n v="0"/>
    <n v="0"/>
  </r>
  <r>
    <x v="12"/>
    <x v="189"/>
    <m/>
    <s v="Laiton - BronzeManchons réduits FM 246 LAITON"/>
    <s v="2&quot;-1&quot;1/2"/>
    <n v="1"/>
    <s v="246L2112"/>
    <m/>
    <m/>
    <n v="0"/>
    <m/>
    <m/>
    <m/>
    <m/>
    <m/>
    <m/>
    <n v="0"/>
    <m/>
    <m/>
    <m/>
    <m/>
    <n v="0"/>
    <n v="0"/>
    <n v="0"/>
    <n v="0"/>
    <n v="0"/>
    <n v="0"/>
    <n v="0"/>
  </r>
  <r>
    <x v="12"/>
    <x v="189"/>
    <m/>
    <s v="Laiton - BronzeManchons réduits FM 246 LAITON"/>
    <s v="2&quot;-1&quot;1/4"/>
    <n v="2"/>
    <s v="246L2114"/>
    <m/>
    <m/>
    <n v="0"/>
    <m/>
    <m/>
    <m/>
    <m/>
    <m/>
    <m/>
    <n v="0"/>
    <m/>
    <m/>
    <m/>
    <m/>
    <n v="0"/>
    <n v="0"/>
    <n v="0"/>
    <n v="0"/>
    <n v="0"/>
    <n v="0"/>
    <n v="0"/>
  </r>
  <r>
    <x v="12"/>
    <x v="189"/>
    <m/>
    <s v="Laiton - BronzeManchons réduits FM 246 LAITON"/>
    <s v="1&quot;1/2-1&quot;1/4"/>
    <n v="3"/>
    <s v="246L112114"/>
    <m/>
    <m/>
    <n v="0"/>
    <m/>
    <m/>
    <m/>
    <m/>
    <m/>
    <m/>
    <n v="0"/>
    <m/>
    <m/>
    <m/>
    <m/>
    <n v="0"/>
    <n v="0"/>
    <n v="0"/>
    <n v="0"/>
    <n v="0"/>
    <n v="0"/>
    <n v="0"/>
  </r>
  <r>
    <x v="12"/>
    <x v="189"/>
    <m/>
    <s v="Laiton - BronzeManchons réduits FM 246 LAITON"/>
    <s v="1&quot;1/2-1&quot;"/>
    <n v="4"/>
    <s v="246L1121"/>
    <m/>
    <m/>
    <n v="0"/>
    <m/>
    <m/>
    <m/>
    <m/>
    <m/>
    <m/>
    <n v="0"/>
    <m/>
    <m/>
    <m/>
    <m/>
    <n v="0"/>
    <n v="0"/>
    <n v="0"/>
    <n v="0"/>
    <n v="0"/>
    <n v="0"/>
    <n v="0"/>
  </r>
  <r>
    <x v="12"/>
    <x v="189"/>
    <m/>
    <s v="Laiton - BronzeManchons réduits FM 246 LAITON"/>
    <s v="1&quot;1/4-1&quot;"/>
    <n v="5"/>
    <s v="246L1141"/>
    <m/>
    <m/>
    <n v="0"/>
    <m/>
    <m/>
    <m/>
    <m/>
    <m/>
    <m/>
    <n v="0"/>
    <m/>
    <m/>
    <m/>
    <m/>
    <n v="0"/>
    <n v="0"/>
    <n v="0"/>
    <n v="0"/>
    <n v="0"/>
    <n v="0"/>
    <n v="0"/>
  </r>
  <r>
    <x v="12"/>
    <x v="189"/>
    <m/>
    <s v="Laiton - BronzeManchons réduits FM 246 LAITON"/>
    <s v="1&quot;1/4-3/4"/>
    <n v="6"/>
    <s v="246L11434"/>
    <m/>
    <m/>
    <n v="0"/>
    <m/>
    <m/>
    <m/>
    <m/>
    <m/>
    <m/>
    <n v="0"/>
    <m/>
    <m/>
    <m/>
    <m/>
    <n v="0"/>
    <n v="0"/>
    <n v="0"/>
    <n v="0"/>
    <n v="0"/>
    <n v="0"/>
    <n v="0"/>
  </r>
  <r>
    <x v="12"/>
    <x v="189"/>
    <m/>
    <s v="Laiton - BronzeManchons réduits FM 246 LAITON"/>
    <s v="1&quot;-3/4"/>
    <n v="7"/>
    <s v="246L134"/>
    <m/>
    <m/>
    <n v="0"/>
    <m/>
    <m/>
    <m/>
    <m/>
    <m/>
    <m/>
    <n v="0"/>
    <m/>
    <m/>
    <m/>
    <m/>
    <n v="0"/>
    <n v="0"/>
    <n v="0"/>
    <n v="0"/>
    <n v="0"/>
    <n v="0"/>
    <n v="0"/>
  </r>
  <r>
    <x v="12"/>
    <x v="189"/>
    <m/>
    <s v="Laiton - BronzeManchons réduits FM 246 LAITON"/>
    <s v="1&quot;-1/2"/>
    <n v="8"/>
    <s v="246L112"/>
    <m/>
    <m/>
    <n v="0"/>
    <m/>
    <m/>
    <m/>
    <m/>
    <m/>
    <m/>
    <n v="0"/>
    <m/>
    <m/>
    <m/>
    <m/>
    <n v="0"/>
    <n v="0"/>
    <n v="0"/>
    <n v="0"/>
    <n v="0"/>
    <n v="0"/>
    <n v="0"/>
  </r>
  <r>
    <x v="12"/>
    <x v="189"/>
    <m/>
    <s v="Laiton - BronzeManchons réduits FM 246 LAITON"/>
    <s v="3/4-1/2"/>
    <n v="9"/>
    <s v="246L3412"/>
    <m/>
    <m/>
    <n v="0"/>
    <m/>
    <m/>
    <m/>
    <m/>
    <m/>
    <m/>
    <n v="0"/>
    <m/>
    <m/>
    <m/>
    <m/>
    <n v="0"/>
    <n v="0"/>
    <n v="0"/>
    <n v="0"/>
    <n v="0"/>
    <n v="0"/>
    <n v="0"/>
  </r>
  <r>
    <x v="12"/>
    <x v="189"/>
    <m/>
    <s v="Laiton - BronzeManchons réduits FM 246 LAITON"/>
    <s v="3/4-3/8"/>
    <n v="10"/>
    <s v="246L3438"/>
    <m/>
    <m/>
    <n v="0"/>
    <m/>
    <m/>
    <m/>
    <m/>
    <m/>
    <m/>
    <n v="0"/>
    <m/>
    <m/>
    <m/>
    <m/>
    <n v="0"/>
    <n v="0"/>
    <n v="0"/>
    <n v="0"/>
    <n v="0"/>
    <n v="0"/>
    <n v="0"/>
  </r>
  <r>
    <x v="12"/>
    <x v="189"/>
    <m/>
    <s v="Laiton - BronzeManchons réduits FM 246 LAITON"/>
    <s v="1/2-3/8"/>
    <n v="11"/>
    <s v="246L1238"/>
    <m/>
    <m/>
    <n v="0"/>
    <m/>
    <m/>
    <m/>
    <m/>
    <m/>
    <m/>
    <n v="0"/>
    <m/>
    <m/>
    <m/>
    <m/>
    <n v="0"/>
    <n v="0"/>
    <n v="0"/>
    <n v="0"/>
    <n v="0"/>
    <n v="0"/>
    <n v="0"/>
  </r>
  <r>
    <x v="12"/>
    <x v="189"/>
    <m/>
    <s v="Laiton - BronzeManchons réduits FM 246 LAITON"/>
    <s v=" 1/2 1/4"/>
    <n v="12"/>
    <s v="246L1214"/>
    <m/>
    <m/>
    <n v="0"/>
    <m/>
    <m/>
    <m/>
    <m/>
    <m/>
    <m/>
    <n v="0"/>
    <m/>
    <m/>
    <m/>
    <m/>
    <n v="0"/>
    <n v="0"/>
    <n v="0"/>
    <n v="0"/>
    <n v="0"/>
    <n v="0"/>
    <n v="0"/>
  </r>
  <r>
    <x v="12"/>
    <x v="189"/>
    <m/>
    <s v="Laiton - BronzeManchons réduits FM 246 LAITON"/>
    <s v="3/8 1/4"/>
    <n v="13"/>
    <s v="246L3814"/>
    <m/>
    <m/>
    <n v="0"/>
    <m/>
    <m/>
    <m/>
    <m/>
    <m/>
    <m/>
    <n v="0"/>
    <m/>
    <m/>
    <m/>
    <m/>
    <n v="0"/>
    <n v="0"/>
    <n v="0"/>
    <n v="0"/>
    <n v="0"/>
    <n v="0"/>
    <n v="0"/>
  </r>
  <r>
    <x v="12"/>
    <x v="190"/>
    <m/>
    <s v="Laiton - BronzeRéductions  MF 241 LAITON"/>
    <m/>
    <n v="0"/>
    <m/>
    <m/>
    <m/>
    <n v="0"/>
    <m/>
    <m/>
    <m/>
    <m/>
    <m/>
    <m/>
    <n v="0"/>
    <m/>
    <m/>
    <m/>
    <m/>
    <n v="0"/>
    <n v="0"/>
    <n v="0"/>
    <n v="0"/>
    <n v="0"/>
    <n v="0"/>
    <n v="0"/>
  </r>
  <r>
    <x v="12"/>
    <x v="190"/>
    <m/>
    <s v="Laiton - BronzeRéductions  MF 241 LAITON"/>
    <s v="2&quot; 1&quot;1/2"/>
    <n v="1"/>
    <s v="241L2112"/>
    <m/>
    <m/>
    <n v="0"/>
    <m/>
    <m/>
    <m/>
    <m/>
    <m/>
    <m/>
    <n v="0"/>
    <m/>
    <m/>
    <m/>
    <m/>
    <n v="0"/>
    <n v="0"/>
    <n v="0"/>
    <n v="0"/>
    <n v="0"/>
    <n v="0"/>
    <n v="0"/>
  </r>
  <r>
    <x v="12"/>
    <x v="190"/>
    <m/>
    <s v="Laiton - BronzeRéductions  MF 241 LAITON"/>
    <s v="2&quot; 1&quot;1/4"/>
    <n v="2"/>
    <s v="241L2114"/>
    <m/>
    <m/>
    <n v="0"/>
    <m/>
    <m/>
    <m/>
    <m/>
    <m/>
    <m/>
    <n v="0"/>
    <m/>
    <m/>
    <m/>
    <m/>
    <n v="0"/>
    <n v="0"/>
    <n v="0"/>
    <n v="0"/>
    <n v="0"/>
    <n v="0"/>
    <n v="0"/>
  </r>
  <r>
    <x v="12"/>
    <x v="190"/>
    <m/>
    <s v="Laiton - BronzeRéductions  MF 241 LAITON"/>
    <s v="2&quot; 1&quot;"/>
    <n v="3"/>
    <s v="241L21"/>
    <m/>
    <m/>
    <n v="0"/>
    <m/>
    <m/>
    <m/>
    <m/>
    <m/>
    <m/>
    <n v="0"/>
    <m/>
    <m/>
    <m/>
    <m/>
    <n v="0"/>
    <n v="0"/>
    <n v="0"/>
    <n v="0"/>
    <n v="0"/>
    <n v="0"/>
    <n v="0"/>
  </r>
  <r>
    <x v="12"/>
    <x v="190"/>
    <m/>
    <s v="Laiton - BronzeRéductions  MF 241 LAITON"/>
    <s v="1&quot;1/2 1&quot;1/4"/>
    <n v="4"/>
    <s v="241L112114"/>
    <m/>
    <m/>
    <n v="0"/>
    <m/>
    <m/>
    <m/>
    <m/>
    <m/>
    <m/>
    <n v="0"/>
    <m/>
    <m/>
    <m/>
    <m/>
    <n v="0"/>
    <n v="0"/>
    <n v="0"/>
    <n v="0"/>
    <n v="0"/>
    <n v="0"/>
    <n v="0"/>
  </r>
  <r>
    <x v="12"/>
    <x v="190"/>
    <m/>
    <s v="Laiton - BronzeRéductions  MF 241 LAITON"/>
    <s v="1&quot;1/2 1&quot;"/>
    <n v="5"/>
    <s v="241L1121"/>
    <m/>
    <m/>
    <n v="0"/>
    <m/>
    <m/>
    <m/>
    <m/>
    <m/>
    <m/>
    <n v="0"/>
    <m/>
    <m/>
    <m/>
    <m/>
    <n v="0"/>
    <n v="0"/>
    <n v="0"/>
    <n v="0"/>
    <n v="0"/>
    <n v="0"/>
    <n v="0"/>
  </r>
  <r>
    <x v="12"/>
    <x v="190"/>
    <m/>
    <s v="Laiton - BronzeRéductions  MF 241 LAITON"/>
    <s v="1&quot;1/2 3/4"/>
    <n v="6"/>
    <s v="241L11234"/>
    <m/>
    <m/>
    <n v="0"/>
    <m/>
    <m/>
    <m/>
    <m/>
    <m/>
    <m/>
    <n v="0"/>
    <m/>
    <m/>
    <m/>
    <m/>
    <n v="0"/>
    <n v="0"/>
    <n v="0"/>
    <n v="0"/>
    <n v="0"/>
    <n v="0"/>
    <n v="0"/>
  </r>
  <r>
    <x v="12"/>
    <x v="190"/>
    <m/>
    <s v="Laiton - BronzeRéductions  MF 241 LAITON"/>
    <s v="1&quot;1/4 1&quot;"/>
    <n v="7"/>
    <s v="241L1141"/>
    <m/>
    <m/>
    <n v="0"/>
    <m/>
    <m/>
    <m/>
    <m/>
    <m/>
    <m/>
    <n v="0"/>
    <m/>
    <m/>
    <m/>
    <m/>
    <n v="0"/>
    <n v="0"/>
    <n v="0"/>
    <n v="0"/>
    <n v="0"/>
    <n v="0"/>
    <n v="0"/>
  </r>
  <r>
    <x v="12"/>
    <x v="190"/>
    <m/>
    <s v="Laiton - BronzeRéductions  MF 241 LAITON"/>
    <s v="1&quot;1/4 3/4"/>
    <n v="8"/>
    <s v="241L11434"/>
    <m/>
    <m/>
    <n v="0"/>
    <m/>
    <m/>
    <m/>
    <m/>
    <m/>
    <m/>
    <n v="0"/>
    <m/>
    <m/>
    <m/>
    <m/>
    <n v="0"/>
    <n v="0"/>
    <n v="0"/>
    <n v="0"/>
    <n v="0"/>
    <n v="0"/>
    <n v="0"/>
  </r>
  <r>
    <x v="12"/>
    <x v="190"/>
    <m/>
    <s v="Laiton - BronzeRéductions  MF 241 LAITON"/>
    <s v="1&quot; 3/4"/>
    <n v="9"/>
    <s v="241L134"/>
    <m/>
    <m/>
    <n v="0"/>
    <m/>
    <m/>
    <m/>
    <m/>
    <m/>
    <m/>
    <n v="0"/>
    <m/>
    <m/>
    <m/>
    <m/>
    <n v="0"/>
    <n v="0"/>
    <n v="0"/>
    <n v="0"/>
    <n v="0"/>
    <n v="0"/>
    <n v="0"/>
  </r>
  <r>
    <x v="12"/>
    <x v="190"/>
    <m/>
    <s v="Laiton - BronzeRéductions  MF 241 LAITON"/>
    <s v="1&quot; 1/2"/>
    <n v="10"/>
    <s v="241L112"/>
    <m/>
    <m/>
    <n v="0"/>
    <m/>
    <m/>
    <m/>
    <m/>
    <m/>
    <m/>
    <n v="0"/>
    <m/>
    <m/>
    <m/>
    <m/>
    <n v="0"/>
    <n v="0"/>
    <n v="0"/>
    <n v="0"/>
    <n v="0"/>
    <n v="0"/>
    <n v="0"/>
  </r>
  <r>
    <x v="12"/>
    <x v="190"/>
    <m/>
    <s v="Laiton - BronzeRéductions  MF 241 LAITON"/>
    <s v="1&quot; 3/8"/>
    <n v="11"/>
    <s v="241L138"/>
    <m/>
    <m/>
    <n v="0"/>
    <m/>
    <m/>
    <m/>
    <m/>
    <m/>
    <m/>
    <n v="0"/>
    <m/>
    <m/>
    <m/>
    <m/>
    <n v="0"/>
    <n v="0"/>
    <n v="0"/>
    <n v="0"/>
    <n v="0"/>
    <n v="0"/>
    <n v="0"/>
  </r>
  <r>
    <x v="12"/>
    <x v="190"/>
    <m/>
    <s v="Laiton - BronzeRéductions  MF 241 LAITON"/>
    <s v=" 3/4 1/2"/>
    <n v="12"/>
    <s v="241L3412"/>
    <m/>
    <m/>
    <n v="0"/>
    <m/>
    <m/>
    <m/>
    <m/>
    <m/>
    <m/>
    <n v="0"/>
    <m/>
    <m/>
    <m/>
    <m/>
    <n v="0"/>
    <n v="0"/>
    <n v="0"/>
    <n v="0"/>
    <n v="0"/>
    <n v="0"/>
    <n v="0"/>
  </r>
  <r>
    <x v="12"/>
    <x v="190"/>
    <m/>
    <s v="Laiton - BronzeRéductions  MF 241 LAITON"/>
    <s v=" 3/4 3/8"/>
    <n v="13"/>
    <s v="241L3438"/>
    <m/>
    <m/>
    <n v="0"/>
    <m/>
    <m/>
    <m/>
    <m/>
    <m/>
    <m/>
    <n v="0"/>
    <m/>
    <m/>
    <m/>
    <m/>
    <n v="0"/>
    <n v="0"/>
    <n v="0"/>
    <n v="0"/>
    <n v="0"/>
    <n v="0"/>
    <n v="0"/>
  </r>
  <r>
    <x v="12"/>
    <x v="190"/>
    <m/>
    <s v="Laiton - BronzeRéductions  MF 241 LAITON"/>
    <s v=" 3/4 1/4"/>
    <n v="14"/>
    <s v="241L3414"/>
    <m/>
    <m/>
    <n v="0"/>
    <m/>
    <m/>
    <m/>
    <m/>
    <m/>
    <m/>
    <n v="0"/>
    <m/>
    <m/>
    <m/>
    <m/>
    <n v="0"/>
    <n v="0"/>
    <n v="0"/>
    <n v="0"/>
    <n v="0"/>
    <n v="0"/>
    <n v="0"/>
  </r>
  <r>
    <x v="12"/>
    <x v="190"/>
    <m/>
    <s v="Laiton - BronzeRéductions  MF 241 LAITON"/>
    <s v=" 1/2 3/8"/>
    <n v="15"/>
    <s v="241L1238"/>
    <m/>
    <m/>
    <n v="0"/>
    <m/>
    <m/>
    <m/>
    <m/>
    <m/>
    <m/>
    <n v="0"/>
    <m/>
    <m/>
    <m/>
    <m/>
    <n v="0"/>
    <n v="0"/>
    <n v="0"/>
    <n v="0"/>
    <n v="0"/>
    <n v="0"/>
    <n v="0"/>
  </r>
  <r>
    <x v="12"/>
    <x v="190"/>
    <m/>
    <s v="Laiton - BronzeRéductions  MF 241 LAITON"/>
    <s v=" 1/2 1/4"/>
    <n v="16"/>
    <s v="241L1214"/>
    <m/>
    <m/>
    <n v="0"/>
    <m/>
    <m/>
    <m/>
    <m/>
    <m/>
    <m/>
    <n v="0"/>
    <m/>
    <m/>
    <m/>
    <m/>
    <n v="0"/>
    <n v="0"/>
    <n v="0"/>
    <n v="0"/>
    <n v="0"/>
    <n v="0"/>
    <n v="0"/>
  </r>
  <r>
    <x v="12"/>
    <x v="190"/>
    <m/>
    <s v="Laiton - BronzeRéductions  MF 241 LAITON"/>
    <s v=" 1/2 1/8"/>
    <n v="17"/>
    <s v="241L1218"/>
    <m/>
    <m/>
    <n v="0"/>
    <m/>
    <m/>
    <m/>
    <m/>
    <m/>
    <m/>
    <n v="0"/>
    <m/>
    <m/>
    <m/>
    <m/>
    <n v="0"/>
    <n v="0"/>
    <n v="0"/>
    <n v="0"/>
    <n v="0"/>
    <n v="0"/>
    <n v="0"/>
  </r>
  <r>
    <x v="12"/>
    <x v="190"/>
    <m/>
    <s v="Laiton - BronzeRéductions  MF 241 LAITON"/>
    <s v="3/8 1/4"/>
    <n v="18"/>
    <s v="241L3814"/>
    <m/>
    <m/>
    <n v="0"/>
    <m/>
    <m/>
    <m/>
    <m/>
    <m/>
    <m/>
    <n v="0"/>
    <m/>
    <m/>
    <m/>
    <m/>
    <n v="0"/>
    <n v="0"/>
    <n v="0"/>
    <n v="0"/>
    <n v="0"/>
    <n v="0"/>
    <n v="0"/>
  </r>
  <r>
    <x v="12"/>
    <x v="190"/>
    <m/>
    <s v="Laiton - BronzeRéductions  MF 241 LAITON"/>
    <s v="3/8 1/8"/>
    <n v="19"/>
    <s v="241L3818"/>
    <m/>
    <m/>
    <n v="0"/>
    <m/>
    <m/>
    <m/>
    <m/>
    <m/>
    <m/>
    <n v="0"/>
    <m/>
    <m/>
    <m/>
    <m/>
    <n v="0"/>
    <n v="0"/>
    <n v="0"/>
    <n v="0"/>
    <n v="0"/>
    <n v="0"/>
    <n v="0"/>
  </r>
  <r>
    <x v="12"/>
    <x v="191"/>
    <m/>
    <s v="Laiton - BronzeTé 130 Laiton "/>
    <m/>
    <n v="0"/>
    <m/>
    <m/>
    <m/>
    <n v="0"/>
    <m/>
    <m/>
    <m/>
    <m/>
    <m/>
    <m/>
    <n v="0"/>
    <m/>
    <m/>
    <m/>
    <m/>
    <n v="0"/>
    <n v="0"/>
    <n v="0"/>
    <n v="0"/>
    <n v="0"/>
    <n v="0"/>
    <n v="0"/>
  </r>
  <r>
    <x v="12"/>
    <x v="191"/>
    <m/>
    <s v="Laiton - BronzeTé 130 Laiton "/>
    <s v="2&quot;"/>
    <n v="1"/>
    <s v="130L2"/>
    <m/>
    <m/>
    <n v="0"/>
    <m/>
    <m/>
    <m/>
    <m/>
    <m/>
    <m/>
    <n v="0"/>
    <m/>
    <m/>
    <m/>
    <m/>
    <n v="0"/>
    <n v="0"/>
    <n v="0"/>
    <n v="0"/>
    <n v="0"/>
    <n v="0"/>
    <n v="0"/>
  </r>
  <r>
    <x v="12"/>
    <x v="191"/>
    <m/>
    <s v="Laiton - BronzeTé 130 Laiton "/>
    <s v="1&quot;1/2"/>
    <n v="2"/>
    <s v="130L112"/>
    <m/>
    <m/>
    <n v="0"/>
    <m/>
    <m/>
    <m/>
    <m/>
    <m/>
    <m/>
    <n v="0"/>
    <m/>
    <m/>
    <m/>
    <m/>
    <n v="0"/>
    <n v="0"/>
    <n v="0"/>
    <n v="0"/>
    <n v="0"/>
    <n v="0"/>
    <n v="0"/>
  </r>
  <r>
    <x v="12"/>
    <x v="191"/>
    <m/>
    <s v="Laiton - BronzeTé 130 Laiton "/>
    <s v="1&quot;1/4"/>
    <n v="3"/>
    <s v="130L114"/>
    <m/>
    <m/>
    <n v="0"/>
    <m/>
    <m/>
    <m/>
    <m/>
    <m/>
    <m/>
    <n v="0"/>
    <m/>
    <m/>
    <m/>
    <m/>
    <n v="0"/>
    <n v="0"/>
    <n v="0"/>
    <n v="0"/>
    <n v="0"/>
    <n v="0"/>
    <n v="0"/>
  </r>
  <r>
    <x v="12"/>
    <x v="191"/>
    <m/>
    <s v="Laiton - BronzeTé 130 Laiton "/>
    <s v="1&quot;"/>
    <n v="4"/>
    <s v="130L1"/>
    <m/>
    <m/>
    <n v="0"/>
    <m/>
    <m/>
    <m/>
    <m/>
    <m/>
    <m/>
    <n v="0"/>
    <m/>
    <m/>
    <m/>
    <m/>
    <n v="0"/>
    <n v="0"/>
    <n v="0"/>
    <n v="0"/>
    <n v="0"/>
    <n v="0"/>
    <n v="0"/>
  </r>
  <r>
    <x v="12"/>
    <x v="191"/>
    <m/>
    <s v="Laiton - BronzeTé 130 Laiton "/>
    <s v=" 3/4"/>
    <n v="5"/>
    <s v="130L34"/>
    <m/>
    <m/>
    <n v="0"/>
    <m/>
    <m/>
    <m/>
    <m/>
    <m/>
    <m/>
    <n v="0"/>
    <m/>
    <m/>
    <m/>
    <m/>
    <n v="0"/>
    <n v="0"/>
    <n v="0"/>
    <n v="0"/>
    <n v="0"/>
    <n v="0"/>
    <n v="0"/>
  </r>
  <r>
    <x v="12"/>
    <x v="191"/>
    <m/>
    <s v="Laiton - BronzeTé 130 Laiton "/>
    <s v=" 1/2"/>
    <n v="6"/>
    <s v="130L12"/>
    <m/>
    <m/>
    <n v="0"/>
    <m/>
    <m/>
    <m/>
    <m/>
    <m/>
    <m/>
    <n v="0"/>
    <m/>
    <m/>
    <m/>
    <m/>
    <n v="0"/>
    <n v="0"/>
    <n v="0"/>
    <n v="0"/>
    <n v="0"/>
    <n v="0"/>
    <n v="0"/>
  </r>
  <r>
    <x v="12"/>
    <x v="191"/>
    <m/>
    <s v="Laiton - BronzeTé 130 Laiton "/>
    <s v=" 3/8"/>
    <n v="7"/>
    <s v="130L38"/>
    <m/>
    <m/>
    <n v="0"/>
    <m/>
    <m/>
    <m/>
    <m/>
    <m/>
    <m/>
    <n v="0"/>
    <m/>
    <m/>
    <m/>
    <m/>
    <n v="0"/>
    <n v="0"/>
    <n v="0"/>
    <n v="0"/>
    <n v="0"/>
    <n v="0"/>
    <n v="0"/>
  </r>
  <r>
    <x v="12"/>
    <x v="192"/>
    <m/>
    <s v="Laiton - BronzeUnions ff 340 bronze"/>
    <m/>
    <n v="0"/>
    <m/>
    <m/>
    <m/>
    <n v="0"/>
    <m/>
    <m/>
    <m/>
    <m/>
    <m/>
    <m/>
    <n v="0"/>
    <m/>
    <m/>
    <m/>
    <m/>
    <n v="0"/>
    <n v="0"/>
    <n v="0"/>
    <n v="0"/>
    <n v="0"/>
    <n v="0"/>
    <n v="0"/>
  </r>
  <r>
    <x v="12"/>
    <x v="192"/>
    <m/>
    <s v="Laiton - BronzeUnions ff 340 bronze"/>
    <s v="2&quot;"/>
    <n v="1"/>
    <s v="340B2"/>
    <m/>
    <m/>
    <n v="0"/>
    <m/>
    <m/>
    <m/>
    <m/>
    <m/>
    <m/>
    <n v="0"/>
    <m/>
    <m/>
    <m/>
    <m/>
    <n v="0"/>
    <n v="0"/>
    <n v="0"/>
    <n v="0"/>
    <n v="0"/>
    <n v="0"/>
    <n v="0"/>
  </r>
  <r>
    <x v="12"/>
    <x v="192"/>
    <m/>
    <s v="Laiton - BronzeUnions ff 340 bronze"/>
    <s v="1&quot;1/2"/>
    <n v="2"/>
    <s v="340B112"/>
    <m/>
    <m/>
    <n v="0"/>
    <m/>
    <m/>
    <m/>
    <m/>
    <m/>
    <m/>
    <n v="0"/>
    <m/>
    <m/>
    <m/>
    <m/>
    <n v="0"/>
    <n v="0"/>
    <n v="0"/>
    <n v="0"/>
    <n v="0"/>
    <n v="0"/>
    <n v="0"/>
  </r>
  <r>
    <x v="12"/>
    <x v="192"/>
    <m/>
    <s v="Laiton - BronzeUnions ff 340 bronze"/>
    <s v="1&quot;1/4"/>
    <n v="3"/>
    <s v="340B114"/>
    <m/>
    <m/>
    <n v="0"/>
    <m/>
    <m/>
    <m/>
    <m/>
    <m/>
    <m/>
    <n v="0"/>
    <m/>
    <m/>
    <m/>
    <m/>
    <n v="0"/>
    <n v="0"/>
    <n v="0"/>
    <n v="0"/>
    <n v="0"/>
    <n v="0"/>
    <n v="0"/>
  </r>
  <r>
    <x v="12"/>
    <x v="192"/>
    <m/>
    <s v="Laiton - BronzeUnions ff 340 bronze"/>
    <s v="1&quot;"/>
    <n v="4"/>
    <s v="340B1"/>
    <m/>
    <m/>
    <n v="0"/>
    <m/>
    <m/>
    <m/>
    <m/>
    <m/>
    <m/>
    <n v="0"/>
    <m/>
    <m/>
    <m/>
    <m/>
    <n v="0"/>
    <n v="0"/>
    <n v="0"/>
    <n v="0"/>
    <n v="0"/>
    <n v="0"/>
    <n v="0"/>
  </r>
  <r>
    <x v="12"/>
    <x v="192"/>
    <m/>
    <s v="Laiton - BronzeUnions ff 340 bronze"/>
    <s v=" 3/4"/>
    <n v="5"/>
    <s v="340B34"/>
    <m/>
    <m/>
    <n v="0"/>
    <m/>
    <m/>
    <m/>
    <m/>
    <m/>
    <m/>
    <n v="0"/>
    <m/>
    <m/>
    <m/>
    <m/>
    <n v="0"/>
    <n v="0"/>
    <n v="0"/>
    <n v="0"/>
    <n v="0"/>
    <n v="0"/>
    <n v="0"/>
  </r>
  <r>
    <x v="12"/>
    <x v="192"/>
    <m/>
    <s v="Laiton - BronzeUnions ff 340 bronze"/>
    <s v=" 1/2"/>
    <n v="6"/>
    <s v="340B12"/>
    <m/>
    <m/>
    <n v="0"/>
    <m/>
    <m/>
    <m/>
    <m/>
    <m/>
    <m/>
    <n v="0"/>
    <m/>
    <m/>
    <m/>
    <m/>
    <n v="0"/>
    <n v="0"/>
    <n v="0"/>
    <n v="0"/>
    <n v="0"/>
    <n v="0"/>
    <n v="0"/>
  </r>
  <r>
    <x v="12"/>
    <x v="192"/>
    <m/>
    <s v="Laiton - BronzeUnions ff 340 bronze"/>
    <s v=" 3/8"/>
    <n v="7"/>
    <s v="340B38"/>
    <m/>
    <m/>
    <n v="0"/>
    <m/>
    <m/>
    <m/>
    <m/>
    <m/>
    <m/>
    <n v="0"/>
    <m/>
    <m/>
    <m/>
    <m/>
    <n v="0"/>
    <n v="0"/>
    <n v="0"/>
    <n v="0"/>
    <n v="0"/>
    <n v="0"/>
    <n v="0"/>
  </r>
  <r>
    <x v="12"/>
    <x v="193"/>
    <m/>
    <s v="Laiton - BronzeUnions mf 341 Bronze"/>
    <m/>
    <n v="0"/>
    <m/>
    <m/>
    <m/>
    <n v="0"/>
    <m/>
    <m/>
    <m/>
    <m/>
    <m/>
    <m/>
    <n v="0"/>
    <m/>
    <m/>
    <m/>
    <m/>
    <n v="0"/>
    <n v="0"/>
    <n v="0"/>
    <n v="0"/>
    <n v="0"/>
    <n v="0"/>
    <n v="0"/>
  </r>
  <r>
    <x v="12"/>
    <x v="193"/>
    <m/>
    <s v="Laiton - BronzeUnions mf 341 Bronze"/>
    <s v="2&quot;"/>
    <n v="1"/>
    <s v="341B2"/>
    <m/>
    <m/>
    <n v="0"/>
    <m/>
    <m/>
    <m/>
    <m/>
    <m/>
    <m/>
    <n v="0"/>
    <m/>
    <m/>
    <m/>
    <m/>
    <n v="0"/>
    <n v="0"/>
    <n v="0"/>
    <n v="0"/>
    <n v="0"/>
    <n v="0"/>
    <n v="0"/>
  </r>
  <r>
    <x v="12"/>
    <x v="193"/>
    <m/>
    <s v="Laiton - BronzeUnions mf 341 Bronze"/>
    <s v="1&quot;1/2"/>
    <n v="2"/>
    <s v="341B112"/>
    <m/>
    <m/>
    <n v="0"/>
    <m/>
    <m/>
    <m/>
    <m/>
    <m/>
    <m/>
    <n v="0"/>
    <m/>
    <m/>
    <m/>
    <m/>
    <n v="0"/>
    <n v="0"/>
    <n v="0"/>
    <n v="0"/>
    <n v="0"/>
    <n v="0"/>
    <n v="0"/>
  </r>
  <r>
    <x v="12"/>
    <x v="193"/>
    <m/>
    <s v="Laiton - BronzeUnions mf 341 Bronze"/>
    <s v="1&quot;1/4"/>
    <n v="3"/>
    <s v="341B114"/>
    <m/>
    <m/>
    <n v="0"/>
    <m/>
    <m/>
    <m/>
    <m/>
    <m/>
    <m/>
    <n v="0"/>
    <m/>
    <m/>
    <m/>
    <m/>
    <n v="0"/>
    <n v="0"/>
    <n v="0"/>
    <n v="0"/>
    <n v="0"/>
    <n v="0"/>
    <n v="0"/>
  </r>
  <r>
    <x v="12"/>
    <x v="193"/>
    <m/>
    <s v="Laiton - BronzeUnions mf 341 Bronze"/>
    <s v="1&quot;"/>
    <n v="4"/>
    <s v="341B1"/>
    <m/>
    <m/>
    <n v="0"/>
    <m/>
    <m/>
    <m/>
    <m/>
    <m/>
    <m/>
    <n v="0"/>
    <m/>
    <m/>
    <m/>
    <m/>
    <n v="0"/>
    <n v="0"/>
    <n v="0"/>
    <n v="0"/>
    <n v="0"/>
    <n v="0"/>
    <n v="0"/>
  </r>
  <r>
    <x v="12"/>
    <x v="193"/>
    <m/>
    <s v="Laiton - BronzeUnions mf 341 Bronze"/>
    <s v=" 3/4"/>
    <n v="5"/>
    <s v="341B34"/>
    <m/>
    <m/>
    <n v="0"/>
    <m/>
    <m/>
    <m/>
    <m/>
    <m/>
    <m/>
    <n v="0"/>
    <m/>
    <m/>
    <m/>
    <m/>
    <n v="0"/>
    <n v="0"/>
    <n v="0"/>
    <n v="0"/>
    <n v="0"/>
    <n v="0"/>
    <n v="0"/>
  </r>
  <r>
    <x v="12"/>
    <x v="193"/>
    <m/>
    <s v="Laiton - BronzeUnions mf 341 Bronze"/>
    <s v=" 1/2"/>
    <n v="6"/>
    <s v="341B12"/>
    <m/>
    <m/>
    <n v="0"/>
    <m/>
    <m/>
    <m/>
    <m/>
    <m/>
    <m/>
    <n v="0"/>
    <m/>
    <m/>
    <m/>
    <m/>
    <n v="0"/>
    <n v="0"/>
    <n v="0"/>
    <n v="0"/>
    <n v="0"/>
    <n v="0"/>
    <n v="0"/>
  </r>
  <r>
    <x v="12"/>
    <x v="193"/>
    <m/>
    <s v="Laiton - BronzeUnions mf 341 Bronze"/>
    <s v=" 3/8"/>
    <n v="7"/>
    <s v="341B38"/>
    <m/>
    <m/>
    <n v="0"/>
    <m/>
    <m/>
    <m/>
    <m/>
    <m/>
    <m/>
    <n v="0"/>
    <m/>
    <m/>
    <m/>
    <m/>
    <n v="0"/>
    <n v="0"/>
    <n v="0"/>
    <n v="0"/>
    <n v="0"/>
    <n v="0"/>
    <n v="0"/>
  </r>
  <r>
    <x v="12"/>
    <x v="194"/>
    <m/>
    <s v="Laiton - BronzeUnions mf 341 Laiton"/>
    <s v="2&quot;"/>
    <n v="8"/>
    <s v="341L2"/>
    <m/>
    <m/>
    <n v="0"/>
    <m/>
    <m/>
    <m/>
    <m/>
    <m/>
    <m/>
    <n v="0"/>
    <m/>
    <m/>
    <m/>
    <m/>
    <n v="0"/>
    <n v="0"/>
    <n v="0"/>
    <n v="0"/>
    <n v="0"/>
    <n v="0"/>
    <n v="0"/>
  </r>
  <r>
    <x v="12"/>
    <x v="194"/>
    <m/>
    <s v="Laiton - BronzeUnions mf 341 Laiton"/>
    <s v="1&quot;1/2"/>
    <n v="9"/>
    <s v="341L112"/>
    <m/>
    <m/>
    <n v="0"/>
    <m/>
    <m/>
    <m/>
    <m/>
    <m/>
    <m/>
    <n v="0"/>
    <m/>
    <m/>
    <m/>
    <m/>
    <n v="0"/>
    <n v="0"/>
    <n v="0"/>
    <n v="0"/>
    <n v="0"/>
    <n v="0"/>
    <n v="0"/>
  </r>
  <r>
    <x v="12"/>
    <x v="194"/>
    <m/>
    <s v="Laiton - BronzeUnions mf 341 Laiton"/>
    <s v="1&quot;1/4"/>
    <n v="10"/>
    <s v="341L114"/>
    <m/>
    <m/>
    <n v="0"/>
    <m/>
    <m/>
    <m/>
    <m/>
    <m/>
    <m/>
    <n v="0"/>
    <m/>
    <m/>
    <m/>
    <m/>
    <n v="0"/>
    <n v="0"/>
    <n v="0"/>
    <n v="0"/>
    <n v="0"/>
    <n v="0"/>
    <n v="0"/>
  </r>
  <r>
    <x v="12"/>
    <x v="194"/>
    <m/>
    <s v="Laiton - BronzeUnions mf 341 Laiton"/>
    <s v="1&quot;"/>
    <n v="11"/>
    <s v="341L1"/>
    <m/>
    <m/>
    <n v="0"/>
    <m/>
    <m/>
    <m/>
    <m/>
    <m/>
    <m/>
    <n v="0"/>
    <m/>
    <m/>
    <m/>
    <m/>
    <n v="0"/>
    <n v="0"/>
    <n v="0"/>
    <n v="0"/>
    <n v="0"/>
    <n v="0"/>
    <n v="0"/>
  </r>
  <r>
    <x v="12"/>
    <x v="194"/>
    <m/>
    <s v="Laiton - BronzeUnions mf 341 Laiton"/>
    <s v=" 3/4"/>
    <n v="12"/>
    <s v="341L34"/>
    <m/>
    <m/>
    <n v="0"/>
    <m/>
    <m/>
    <m/>
    <m/>
    <m/>
    <m/>
    <n v="0"/>
    <m/>
    <m/>
    <m/>
    <m/>
    <n v="0"/>
    <n v="0"/>
    <n v="0"/>
    <n v="0"/>
    <n v="0"/>
    <n v="0"/>
    <n v="0"/>
  </r>
  <r>
    <x v="12"/>
    <x v="195"/>
    <m/>
    <s v="Laiton - BronzeUnions mf coudés 98 LAITON"/>
    <m/>
    <n v="0"/>
    <m/>
    <m/>
    <m/>
    <n v="0"/>
    <m/>
    <m/>
    <m/>
    <m/>
    <m/>
    <m/>
    <n v="0"/>
    <m/>
    <m/>
    <m/>
    <m/>
    <n v="0"/>
    <n v="0"/>
    <n v="0"/>
    <n v="0"/>
    <n v="0"/>
    <n v="0"/>
    <n v="0"/>
  </r>
  <r>
    <x v="12"/>
    <x v="195"/>
    <m/>
    <s v="Laiton - BronzeUnions mf coudés 98 LAITON"/>
    <s v=" 3/4"/>
    <n v="1"/>
    <s v="98L34"/>
    <m/>
    <m/>
    <n v="0"/>
    <m/>
    <m/>
    <m/>
    <m/>
    <m/>
    <m/>
    <n v="0"/>
    <m/>
    <m/>
    <m/>
    <m/>
    <n v="0"/>
    <n v="0"/>
    <n v="0"/>
    <n v="0"/>
    <n v="0"/>
    <n v="0"/>
    <n v="0"/>
  </r>
  <r>
    <x v="13"/>
    <x v="196"/>
    <m/>
    <s v="TransairAccessoires"/>
    <m/>
    <n v="0"/>
    <m/>
    <m/>
    <m/>
    <n v="0"/>
    <m/>
    <m/>
    <m/>
    <m/>
    <m/>
    <m/>
    <n v="0"/>
    <m/>
    <m/>
    <m/>
    <m/>
    <n v="0"/>
    <n v="0"/>
    <n v="0"/>
    <n v="0"/>
    <n v="0"/>
    <n v="0"/>
    <n v="0"/>
  </r>
  <r>
    <x v="13"/>
    <x v="196"/>
    <m/>
    <s v="TransairAccessoires"/>
    <s v="ENSEMBLE ANTI-COUP DE FOUET"/>
    <n v="1"/>
    <n v="66989903"/>
    <s v="Parker"/>
    <s v="6698 99 03"/>
    <n v="0"/>
    <m/>
    <m/>
    <m/>
    <m/>
    <m/>
    <m/>
    <n v="0"/>
    <m/>
    <m/>
    <m/>
    <m/>
    <n v="0"/>
    <n v="0"/>
    <n v="0"/>
    <n v="0"/>
    <n v="0"/>
    <n v="0"/>
    <n v="0"/>
  </r>
  <r>
    <x v="13"/>
    <x v="196"/>
    <s v="Outils"/>
    <s v="TransairAccessoiresOutils"/>
    <s v="Outil de percage 1'' pour tube diam 76-100 mm"/>
    <n v="2"/>
    <s v="EW090030"/>
    <s v="Parker"/>
    <s v="EW090030"/>
    <n v="0"/>
    <m/>
    <m/>
    <m/>
    <m/>
    <m/>
    <m/>
    <n v="0"/>
    <m/>
    <m/>
    <m/>
    <m/>
    <n v="0"/>
    <n v="0"/>
    <n v="0"/>
    <n v="0"/>
    <n v="0"/>
    <n v="0"/>
    <n v="0"/>
  </r>
  <r>
    <x v="13"/>
    <x v="196"/>
    <s v="Outils"/>
    <s v="TransairAccessoiresOutils"/>
    <s v="Outil de percage 1''1/2-2'' pour tube diam 76-100-168 mm"/>
    <n v="3"/>
    <s v="EW090051"/>
    <s v="Parker"/>
    <s v="EW090051"/>
    <n v="0"/>
    <m/>
    <m/>
    <m/>
    <m/>
    <m/>
    <m/>
    <n v="0"/>
    <m/>
    <m/>
    <m/>
    <m/>
    <n v="0"/>
    <n v="0"/>
    <n v="0"/>
    <n v="0"/>
    <n v="0"/>
    <n v="0"/>
    <n v="0"/>
  </r>
  <r>
    <x v="13"/>
    <x v="197"/>
    <m/>
    <s v="TransairBouchons"/>
    <m/>
    <n v="0"/>
    <m/>
    <m/>
    <m/>
    <n v="0"/>
    <m/>
    <m/>
    <m/>
    <m/>
    <m/>
    <m/>
    <n v="0"/>
    <m/>
    <m/>
    <m/>
    <m/>
    <n v="0"/>
    <n v="0"/>
    <n v="0"/>
    <n v="0"/>
    <n v="0"/>
    <n v="0"/>
    <n v="0"/>
  </r>
  <r>
    <x v="13"/>
    <x v="197"/>
    <m/>
    <s v="TransairBouchons"/>
    <s v="Ø 16,5"/>
    <n v="1"/>
    <s v="TR66251700"/>
    <s v="Parker"/>
    <s v="6625 17 00"/>
    <n v="0"/>
    <m/>
    <m/>
    <m/>
    <m/>
    <m/>
    <m/>
    <n v="0"/>
    <m/>
    <m/>
    <m/>
    <m/>
    <n v="0"/>
    <n v="0"/>
    <n v="0"/>
    <n v="0"/>
    <n v="0"/>
    <n v="0"/>
    <n v="0"/>
  </r>
  <r>
    <x v="13"/>
    <x v="197"/>
    <m/>
    <s v="TransairBouchons"/>
    <s v="Ø 25"/>
    <n v="2"/>
    <n v="66252500"/>
    <s v="Parker"/>
    <s v="6625 25 00"/>
    <n v="0"/>
    <m/>
    <m/>
    <m/>
    <m/>
    <m/>
    <m/>
    <n v="0"/>
    <m/>
    <m/>
    <m/>
    <m/>
    <n v="0"/>
    <n v="0"/>
    <n v="0"/>
    <n v="0"/>
    <n v="0"/>
    <n v="0"/>
    <n v="0"/>
  </r>
  <r>
    <x v="13"/>
    <x v="197"/>
    <m/>
    <s v="TransairBouchons"/>
    <s v="Ø 40"/>
    <n v="3"/>
    <n v="66254000"/>
    <s v="Parker"/>
    <s v="6625 40 00"/>
    <n v="0"/>
    <m/>
    <m/>
    <m/>
    <m/>
    <m/>
    <m/>
    <n v="0"/>
    <m/>
    <m/>
    <m/>
    <m/>
    <n v="0"/>
    <n v="0"/>
    <n v="0"/>
    <n v="0"/>
    <n v="0"/>
    <n v="0"/>
    <n v="0"/>
  </r>
  <r>
    <x v="13"/>
    <x v="197"/>
    <m/>
    <s v="TransairBouchons"/>
    <s v="Ø 50"/>
    <n v="4"/>
    <n v="66255000"/>
    <s v="Parker"/>
    <s v="6625 50 00"/>
    <n v="0"/>
    <m/>
    <m/>
    <m/>
    <m/>
    <m/>
    <m/>
    <n v="0"/>
    <m/>
    <m/>
    <m/>
    <m/>
    <n v="0"/>
    <n v="0"/>
    <n v="0"/>
    <n v="0"/>
    <n v="0"/>
    <n v="0"/>
    <n v="0"/>
  </r>
  <r>
    <x v="13"/>
    <x v="197"/>
    <m/>
    <s v="TransairBouchons"/>
    <s v="Ø 63"/>
    <n v="5"/>
    <n v="66256300"/>
    <s v="Parker"/>
    <s v="6625 63 00"/>
    <n v="0"/>
    <m/>
    <m/>
    <m/>
    <m/>
    <m/>
    <m/>
    <n v="0"/>
    <m/>
    <m/>
    <m/>
    <m/>
    <n v="0"/>
    <n v="0"/>
    <n v="0"/>
    <n v="0"/>
    <n v="0"/>
    <n v="0"/>
    <n v="0"/>
  </r>
  <r>
    <x v="13"/>
    <x v="197"/>
    <m/>
    <s v="TransairBouchons"/>
    <s v="Ø 76"/>
    <n v="6"/>
    <s v="RX25L100"/>
    <s v="Parker"/>
    <s v="RX25 L1 00"/>
    <n v="0"/>
    <m/>
    <m/>
    <m/>
    <m/>
    <m/>
    <m/>
    <n v="0"/>
    <m/>
    <m/>
    <m/>
    <m/>
    <n v="0"/>
    <n v="0"/>
    <n v="0"/>
    <n v="0"/>
    <n v="0"/>
    <n v="0"/>
    <n v="0"/>
  </r>
  <r>
    <x v="13"/>
    <x v="198"/>
    <m/>
    <s v="TransairBrides"/>
    <m/>
    <n v="0"/>
    <m/>
    <m/>
    <m/>
    <n v="0"/>
    <m/>
    <m/>
    <m/>
    <m/>
    <m/>
    <m/>
    <n v="0"/>
    <m/>
    <m/>
    <m/>
    <m/>
    <n v="0"/>
    <n v="0"/>
    <n v="0"/>
    <n v="0"/>
    <n v="0"/>
    <n v="0"/>
    <n v="0"/>
  </r>
  <r>
    <x v="13"/>
    <x v="198"/>
    <m/>
    <s v="TransairBrides"/>
    <s v="BRIDE CIRCULAIRE INOX Ø 76 DN 80"/>
    <n v="1"/>
    <s v="RX30L10001"/>
    <s v="Parker"/>
    <s v="RX30 L1 00 01"/>
    <n v="0"/>
    <m/>
    <m/>
    <m/>
    <m/>
    <m/>
    <m/>
    <n v="0"/>
    <m/>
    <m/>
    <m/>
    <m/>
    <n v="0"/>
    <n v="0"/>
    <n v="0"/>
    <n v="0"/>
    <n v="0"/>
    <n v="0"/>
    <n v="0"/>
  </r>
  <r>
    <x v="13"/>
    <x v="198"/>
    <m/>
    <s v="TransairBrides"/>
    <s v="BRIDE CIRCULAIRE D168 DN150 ALUMINIUM (NORME ANSI ET EN 1092)"/>
    <n v="2"/>
    <s v="RA31L800"/>
    <s v="Parker"/>
    <s v="RA31 L8 00"/>
    <n v="0"/>
    <m/>
    <m/>
    <m/>
    <m/>
    <m/>
    <m/>
    <n v="0"/>
    <m/>
    <m/>
    <m/>
    <m/>
    <n v="0"/>
    <n v="0"/>
    <n v="0"/>
    <n v="0"/>
    <n v="0"/>
    <n v="0"/>
    <n v="0"/>
  </r>
  <r>
    <x v="13"/>
    <x v="199"/>
    <m/>
    <s v="TransairCoudes 45°FF"/>
    <m/>
    <n v="0"/>
    <m/>
    <m/>
    <m/>
    <n v="0"/>
    <m/>
    <m/>
    <m/>
    <m/>
    <m/>
    <m/>
    <n v="0"/>
    <m/>
    <m/>
    <m/>
    <m/>
    <n v="0"/>
    <n v="0"/>
    <n v="0"/>
    <n v="0"/>
    <n v="0"/>
    <n v="0"/>
    <n v="0"/>
  </r>
  <r>
    <x v="13"/>
    <x v="199"/>
    <s v="45° FF"/>
    <s v="TransairCoudes 45°FF45° FF"/>
    <s v="Ø 25"/>
    <n v="1"/>
    <n v="66122500"/>
    <s v="Parker"/>
    <s v="6612 25 00"/>
    <n v="0"/>
    <m/>
    <m/>
    <m/>
    <m/>
    <m/>
    <m/>
    <n v="0"/>
    <m/>
    <m/>
    <m/>
    <m/>
    <n v="0"/>
    <n v="0"/>
    <n v="0"/>
    <n v="0"/>
    <n v="0"/>
    <n v="0"/>
    <n v="0"/>
  </r>
  <r>
    <x v="13"/>
    <x v="199"/>
    <s v="45° FF"/>
    <s v="TransairCoudes 45°FF45° FF"/>
    <s v="Ø 40"/>
    <n v="2"/>
    <n v="66124000"/>
    <s v="Parker"/>
    <s v="6612 40 00"/>
    <n v="0"/>
    <m/>
    <m/>
    <m/>
    <m/>
    <m/>
    <m/>
    <n v="0"/>
    <m/>
    <m/>
    <m/>
    <m/>
    <n v="0"/>
    <n v="0"/>
    <n v="0"/>
    <n v="0"/>
    <n v="0"/>
    <n v="0"/>
    <n v="0"/>
  </r>
  <r>
    <x v="13"/>
    <x v="199"/>
    <s v="45° FF"/>
    <s v="TransairCoudes 45°FF45° FF"/>
    <s v="Ø 63"/>
    <n v="3"/>
    <n v="66126300"/>
    <s v="Parker"/>
    <s v="6612 63 00"/>
    <n v="0"/>
    <m/>
    <m/>
    <m/>
    <m/>
    <m/>
    <m/>
    <n v="0"/>
    <m/>
    <m/>
    <m/>
    <m/>
    <n v="0"/>
    <n v="0"/>
    <n v="0"/>
    <n v="0"/>
    <n v="0"/>
    <n v="0"/>
    <n v="0"/>
  </r>
  <r>
    <x v="13"/>
    <x v="199"/>
    <s v="45° FF"/>
    <s v="TransairCoudes 45°FF45° FF"/>
    <s v="Ø 76"/>
    <n v="4"/>
    <s v="RX12L100"/>
    <s v="Parker"/>
    <s v="RX12 L1 00"/>
    <n v="0"/>
    <m/>
    <m/>
    <m/>
    <m/>
    <m/>
    <m/>
    <n v="0"/>
    <m/>
    <m/>
    <m/>
    <m/>
    <n v="0"/>
    <n v="0"/>
    <n v="0"/>
    <n v="0"/>
    <n v="0"/>
    <n v="0"/>
    <n v="0"/>
  </r>
  <r>
    <x v="13"/>
    <x v="200"/>
    <m/>
    <s v="TransairCoudes 90°FF"/>
    <m/>
    <n v="0"/>
    <m/>
    <m/>
    <m/>
    <n v="0"/>
    <m/>
    <m/>
    <m/>
    <m/>
    <m/>
    <m/>
    <n v="0"/>
    <m/>
    <m/>
    <m/>
    <m/>
    <n v="0"/>
    <n v="0"/>
    <n v="0"/>
    <n v="0"/>
    <n v="0"/>
    <n v="0"/>
    <n v="0"/>
  </r>
  <r>
    <x v="13"/>
    <x v="200"/>
    <s v="90° FF"/>
    <s v="TransairCoudes 90°FF90° FF"/>
    <s v="Ø 16,5"/>
    <n v="1"/>
    <n v="66021700"/>
    <s v="Parker"/>
    <s v="6602 17 00"/>
    <n v="0"/>
    <m/>
    <m/>
    <m/>
    <m/>
    <m/>
    <m/>
    <n v="0"/>
    <m/>
    <m/>
    <m/>
    <m/>
    <n v="0"/>
    <n v="0"/>
    <n v="0"/>
    <n v="0"/>
    <n v="0"/>
    <n v="0"/>
    <n v="0"/>
  </r>
  <r>
    <x v="13"/>
    <x v="200"/>
    <s v="90° FF"/>
    <s v="TransairCoudes 90°FF90° FF"/>
    <s v="Ø 25"/>
    <n v="2"/>
    <n v="66022500"/>
    <s v="Parker"/>
    <s v="6602 25 00"/>
    <n v="0"/>
    <m/>
    <m/>
    <m/>
    <m/>
    <m/>
    <m/>
    <n v="0"/>
    <m/>
    <m/>
    <m/>
    <m/>
    <n v="0"/>
    <n v="0"/>
    <n v="0"/>
    <n v="0"/>
    <n v="0"/>
    <n v="0"/>
    <n v="0"/>
  </r>
  <r>
    <x v="13"/>
    <x v="200"/>
    <s v="90° FF"/>
    <s v="TransairCoudes 90°FF90° FF"/>
    <s v="Ø 40"/>
    <n v="3"/>
    <n v="66024000"/>
    <s v="Parker"/>
    <s v="6602 40 00"/>
    <n v="0"/>
    <m/>
    <m/>
    <m/>
    <m/>
    <m/>
    <m/>
    <n v="0"/>
    <m/>
    <m/>
    <m/>
    <m/>
    <n v="0"/>
    <n v="0"/>
    <n v="0"/>
    <n v="0"/>
    <n v="0"/>
    <n v="0"/>
    <n v="0"/>
  </r>
  <r>
    <x v="13"/>
    <x v="200"/>
    <s v="90° FF"/>
    <s v="TransairCoudes 90°FF90° FF"/>
    <s v="Ø 50"/>
    <n v="4"/>
    <n v="66025000"/>
    <s v="Parker"/>
    <s v="6602 50 00"/>
    <n v="0"/>
    <m/>
    <m/>
    <m/>
    <m/>
    <m/>
    <m/>
    <n v="0"/>
    <m/>
    <m/>
    <m/>
    <m/>
    <n v="0"/>
    <n v="0"/>
    <n v="0"/>
    <n v="0"/>
    <n v="0"/>
    <n v="0"/>
    <n v="0"/>
  </r>
  <r>
    <x v="13"/>
    <x v="200"/>
    <s v="90° FF"/>
    <s v="TransairCoudes 90°FF90° FF"/>
    <s v="Ø 63"/>
    <n v="5"/>
    <n v="66026300"/>
    <s v="Parker"/>
    <s v="6602 63 00"/>
    <n v="0"/>
    <m/>
    <m/>
    <m/>
    <m/>
    <m/>
    <m/>
    <n v="0"/>
    <m/>
    <m/>
    <m/>
    <m/>
    <n v="0"/>
    <n v="0"/>
    <n v="0"/>
    <n v="0"/>
    <n v="0"/>
    <n v="0"/>
    <n v="0"/>
  </r>
  <r>
    <x v="13"/>
    <x v="200"/>
    <s v="90° FF"/>
    <s v="TransairCoudes 90°FF90° FF"/>
    <s v="Ø 76"/>
    <n v="6"/>
    <s v="RX02L100"/>
    <s v="Parker"/>
    <s v="RX02 L1 00"/>
    <n v="0"/>
    <m/>
    <m/>
    <m/>
    <m/>
    <m/>
    <m/>
    <n v="0"/>
    <m/>
    <m/>
    <m/>
    <m/>
    <n v="0"/>
    <n v="0"/>
    <n v="0"/>
    <n v="0"/>
    <n v="0"/>
    <n v="0"/>
    <n v="0"/>
  </r>
  <r>
    <x v="13"/>
    <x v="200"/>
    <s v="90° FF"/>
    <s v="TransairCoudes 90°FF90° FF"/>
    <s v="Ø 100"/>
    <n v="7"/>
    <s v="RX02L300"/>
    <s v="Parker"/>
    <s v="RX02 L3 00"/>
    <n v="0"/>
    <m/>
    <m/>
    <m/>
    <m/>
    <m/>
    <m/>
    <n v="0"/>
    <m/>
    <m/>
    <m/>
    <m/>
    <n v="0"/>
    <n v="0"/>
    <n v="0"/>
    <n v="0"/>
    <n v="0"/>
    <n v="0"/>
    <n v="0"/>
  </r>
  <r>
    <x v="13"/>
    <x v="200"/>
    <s v="90° FF"/>
    <s v="TransairCoudes 90°FF90° FF"/>
    <s v="Ø 168"/>
    <n v="8"/>
    <s v="RA02L800"/>
    <s v="Parker"/>
    <s v="RA02 L8 00"/>
    <n v="0"/>
    <m/>
    <m/>
    <m/>
    <m/>
    <m/>
    <m/>
    <n v="0"/>
    <m/>
    <m/>
    <m/>
    <m/>
    <n v="0"/>
    <n v="0"/>
    <n v="0"/>
    <n v="0"/>
    <n v="0"/>
    <n v="0"/>
    <n v="0"/>
  </r>
  <r>
    <x v="13"/>
    <x v="201"/>
    <m/>
    <s v="TransairCoudes 45° Mixte M"/>
    <m/>
    <n v="0"/>
    <m/>
    <m/>
    <m/>
    <n v="0"/>
    <m/>
    <m/>
    <m/>
    <m/>
    <m/>
    <m/>
    <n v="0"/>
    <m/>
    <m/>
    <m/>
    <m/>
    <n v="0"/>
    <n v="0"/>
    <n v="0"/>
    <n v="0"/>
    <n v="0"/>
    <n v="0"/>
    <n v="0"/>
  </r>
  <r>
    <x v="13"/>
    <x v="201"/>
    <s v="45° mixte M "/>
    <s v="TransairCoudes 45° Mixte M45° mixte M "/>
    <s v="Ø 25 FILETE MALE 3/4&quot; BSP CONIQUE"/>
    <n v="1"/>
    <n v="66192527"/>
    <s v="Parker"/>
    <s v="6619 25 27"/>
    <n v="0"/>
    <m/>
    <m/>
    <m/>
    <m/>
    <m/>
    <m/>
    <n v="0"/>
    <m/>
    <m/>
    <m/>
    <m/>
    <n v="0"/>
    <n v="0"/>
    <n v="0"/>
    <n v="0"/>
    <n v="0"/>
    <n v="0"/>
    <n v="0"/>
  </r>
  <r>
    <x v="13"/>
    <x v="202"/>
    <m/>
    <s v="TransairCoudes 90° Mixte M"/>
    <m/>
    <n v="0"/>
    <m/>
    <m/>
    <m/>
    <n v="0"/>
    <m/>
    <m/>
    <m/>
    <m/>
    <m/>
    <m/>
    <n v="0"/>
    <m/>
    <m/>
    <m/>
    <m/>
    <n v="0"/>
    <n v="0"/>
    <n v="0"/>
    <n v="0"/>
    <n v="0"/>
    <n v="0"/>
    <n v="0"/>
  </r>
  <r>
    <x v="13"/>
    <x v="202"/>
    <s v="90° mixte M"/>
    <s v="TransairCoudes 90° Mixte M90° mixte M"/>
    <s v="Ø 16,5 FILETE MALE 1/2&quot; BSP CONIQUE"/>
    <n v="1"/>
    <n v="66091721"/>
    <s v="Parker"/>
    <s v="6609 17 21"/>
    <n v="0"/>
    <m/>
    <m/>
    <m/>
    <m/>
    <m/>
    <m/>
    <n v="0"/>
    <m/>
    <m/>
    <m/>
    <m/>
    <n v="0"/>
    <n v="0"/>
    <n v="0"/>
    <n v="0"/>
    <n v="0"/>
    <n v="0"/>
    <n v="0"/>
  </r>
  <r>
    <x v="13"/>
    <x v="202"/>
    <s v="90° mixte M"/>
    <s v="TransairCoudes 90° Mixte M90° mixte M"/>
    <s v="Ø 25 FILETE MALE 1/2&quot; BSP CONIQUE"/>
    <n v="2"/>
    <n v="66092521"/>
    <s v="Parker"/>
    <s v="6609 25 21"/>
    <n v="0"/>
    <m/>
    <m/>
    <m/>
    <m/>
    <m/>
    <m/>
    <n v="0"/>
    <m/>
    <m/>
    <m/>
    <m/>
    <n v="0"/>
    <n v="0"/>
    <n v="0"/>
    <n v="0"/>
    <n v="0"/>
    <n v="0"/>
    <n v="0"/>
  </r>
  <r>
    <x v="13"/>
    <x v="202"/>
    <s v="90° mixte M"/>
    <s v="TransairCoudes 90° Mixte M90° mixte M"/>
    <s v="Ø 25 FILETE MALE 3/4&quot; BSP CONIQUE"/>
    <n v="3"/>
    <n v="66092527"/>
    <s v="Parker"/>
    <s v="6609 25 27"/>
    <n v="0"/>
    <m/>
    <m/>
    <m/>
    <m/>
    <m/>
    <m/>
    <n v="0"/>
    <m/>
    <m/>
    <m/>
    <m/>
    <n v="0"/>
    <n v="0"/>
    <n v="0"/>
    <n v="0"/>
    <n v="0"/>
    <n v="0"/>
    <n v="0"/>
  </r>
  <r>
    <x v="13"/>
    <x v="202"/>
    <s v="90° mixte M"/>
    <s v="TransairCoudes 90° Mixte M90° mixte M"/>
    <s v="Ø 25 FILETE MALE 1&quot; BSP CONIQUE"/>
    <n v="4"/>
    <n v="66092534"/>
    <s v="Parker"/>
    <s v="6609 25 34"/>
    <n v="0"/>
    <m/>
    <m/>
    <m/>
    <m/>
    <m/>
    <m/>
    <n v="0"/>
    <m/>
    <m/>
    <m/>
    <m/>
    <n v="0"/>
    <n v="0"/>
    <n v="0"/>
    <n v="0"/>
    <n v="0"/>
    <n v="0"/>
    <n v="0"/>
  </r>
  <r>
    <x v="13"/>
    <x v="202"/>
    <s v="90° mixte M"/>
    <s v="TransairCoudes 90° Mixte M90° mixte M"/>
    <s v="Ø 40 FILETE MALE 1&quot; BSP CONIQUE"/>
    <n v="5"/>
    <n v="66094034"/>
    <s v="Parker"/>
    <s v="6609 40 34"/>
    <n v="0"/>
    <m/>
    <m/>
    <m/>
    <m/>
    <m/>
    <m/>
    <n v="0"/>
    <m/>
    <m/>
    <m/>
    <m/>
    <n v="0"/>
    <n v="0"/>
    <n v="0"/>
    <n v="0"/>
    <n v="0"/>
    <n v="0"/>
    <n v="0"/>
  </r>
  <r>
    <x v="13"/>
    <x v="202"/>
    <s v="90° mixte M"/>
    <s v="TransairCoudes 90° Mixte M90° mixte M"/>
    <s v="Ø 40 FILETE MALE 1&quot;1/4 BSP CONIQUE"/>
    <n v="6"/>
    <n v="66094042"/>
    <s v="Parker"/>
    <s v="6609 40 42"/>
    <n v="0"/>
    <m/>
    <m/>
    <m/>
    <m/>
    <m/>
    <m/>
    <n v="0"/>
    <m/>
    <m/>
    <m/>
    <m/>
    <n v="0"/>
    <n v="0"/>
    <n v="0"/>
    <n v="0"/>
    <n v="0"/>
    <n v="0"/>
    <n v="0"/>
  </r>
  <r>
    <x v="13"/>
    <x v="202"/>
    <s v="90° mixte M"/>
    <s v="TransairCoudes 90° Mixte M90° mixte M"/>
    <s v="Ø 40 FILETE MALE 1&quot;1/2 BSP CONIQUE"/>
    <n v="7"/>
    <n v="66094049"/>
    <s v="Parker"/>
    <s v="6609 40 49"/>
    <n v="0"/>
    <m/>
    <m/>
    <m/>
    <m/>
    <m/>
    <m/>
    <n v="0"/>
    <m/>
    <m/>
    <m/>
    <m/>
    <n v="0"/>
    <n v="0"/>
    <n v="0"/>
    <n v="0"/>
    <n v="0"/>
    <n v="0"/>
    <n v="0"/>
  </r>
  <r>
    <x v="13"/>
    <x v="202"/>
    <s v="90° mixte M"/>
    <s v="TransairCoudes 90° Mixte M90° mixte M"/>
    <s v="Ø 50 FILETE MALE 2&quot; BSP CONIQUE"/>
    <n v="8"/>
    <n v="66095048"/>
    <s v="Parker"/>
    <s v="6609 50 48"/>
    <n v="0"/>
    <m/>
    <m/>
    <m/>
    <m/>
    <m/>
    <m/>
    <n v="0"/>
    <m/>
    <m/>
    <m/>
    <m/>
    <n v="0"/>
    <n v="0"/>
    <n v="0"/>
    <n v="0"/>
    <n v="0"/>
    <n v="0"/>
    <n v="0"/>
  </r>
  <r>
    <x v="13"/>
    <x v="202"/>
    <s v="90° mixte M"/>
    <s v="TransairCoudes 90° Mixte M90° mixte M"/>
    <s v="Ø 63 FILETE MALE 2&quot; BSP CONIQUE"/>
    <n v="9"/>
    <n v="66096348"/>
    <s v="Parker"/>
    <s v="6609 63 48"/>
    <n v="0"/>
    <m/>
    <m/>
    <m/>
    <m/>
    <m/>
    <m/>
    <n v="0"/>
    <m/>
    <m/>
    <m/>
    <m/>
    <n v="0"/>
    <n v="0"/>
    <n v="0"/>
    <n v="0"/>
    <n v="0"/>
    <n v="0"/>
    <n v="0"/>
  </r>
  <r>
    <x v="13"/>
    <x v="202"/>
    <s v="90° mixte M"/>
    <s v="TransairCoudes 90° Mixte M90° mixte M"/>
    <s v="Ø 63 FILETE MALE 2&quot;1/2 BSP CONIQUE"/>
    <n v="10"/>
    <s v="TR66096347"/>
    <s v="Parker"/>
    <s v="6609 63 47"/>
    <n v="0"/>
    <m/>
    <m/>
    <m/>
    <m/>
    <m/>
    <m/>
    <n v="0"/>
    <m/>
    <m/>
    <m/>
    <m/>
    <n v="0"/>
    <n v="0"/>
    <n v="0"/>
    <n v="0"/>
    <n v="0"/>
    <n v="0"/>
    <n v="0"/>
  </r>
  <r>
    <x v="13"/>
    <x v="203"/>
    <m/>
    <s v="TransairEtanchéité"/>
    <m/>
    <n v="0"/>
    <m/>
    <m/>
    <m/>
    <n v="0"/>
    <m/>
    <m/>
    <m/>
    <m/>
    <m/>
    <m/>
    <n v="0"/>
    <m/>
    <m/>
    <m/>
    <m/>
    <n v="0"/>
    <n v="0"/>
    <n v="0"/>
    <n v="0"/>
    <n v="0"/>
    <n v="0"/>
    <n v="0"/>
  </r>
  <r>
    <x v="13"/>
    <x v="203"/>
    <s v="Joints"/>
    <s v="TransairEtanchéitéJoints"/>
    <s v="JOINT POUR BRIDE CIRCULAIRE Ø 76 DN 80"/>
    <n v="1"/>
    <s v="EW05L100"/>
    <s v="Parker"/>
    <s v="EW05 L1 00"/>
    <n v="0"/>
    <m/>
    <m/>
    <m/>
    <m/>
    <m/>
    <m/>
    <n v="0"/>
    <m/>
    <m/>
    <m/>
    <m/>
    <n v="0"/>
    <n v="0"/>
    <n v="0"/>
    <n v="0"/>
    <n v="0"/>
    <n v="0"/>
    <n v="0"/>
  </r>
  <r>
    <x v="13"/>
    <x v="204"/>
    <m/>
    <s v="TransairManchons FF"/>
    <m/>
    <n v="0"/>
    <m/>
    <m/>
    <m/>
    <n v="0"/>
    <m/>
    <m/>
    <m/>
    <m/>
    <m/>
    <m/>
    <n v="0"/>
    <m/>
    <m/>
    <m/>
    <m/>
    <n v="0"/>
    <n v="0"/>
    <n v="0"/>
    <n v="0"/>
    <n v="0"/>
    <n v="0"/>
    <n v="0"/>
  </r>
  <r>
    <x v="13"/>
    <x v="204"/>
    <s v="FF"/>
    <s v="TransairManchons FFFF"/>
    <s v="Ø 16,5"/>
    <n v="1"/>
    <n v="66061700"/>
    <s v="Parker"/>
    <s v="6606 17 00"/>
    <n v="0"/>
    <m/>
    <m/>
    <m/>
    <m/>
    <m/>
    <m/>
    <n v="0"/>
    <m/>
    <m/>
    <m/>
    <m/>
    <n v="0"/>
    <n v="0"/>
    <n v="0"/>
    <n v="0"/>
    <n v="0"/>
    <n v="0"/>
    <n v="0"/>
  </r>
  <r>
    <x v="13"/>
    <x v="204"/>
    <s v="FF"/>
    <s v="TransairManchons FFFF"/>
    <s v="Ø 25"/>
    <n v="2"/>
    <n v="66062500"/>
    <s v="Parker"/>
    <s v="6606 25 00"/>
    <n v="0"/>
    <m/>
    <m/>
    <m/>
    <m/>
    <m/>
    <m/>
    <n v="0"/>
    <m/>
    <m/>
    <m/>
    <m/>
    <n v="0"/>
    <n v="0"/>
    <n v="0"/>
    <n v="0"/>
    <n v="0"/>
    <n v="0"/>
    <n v="0"/>
  </r>
  <r>
    <x v="13"/>
    <x v="204"/>
    <s v="FF"/>
    <s v="TransairManchons FFFF"/>
    <s v="MANCHON AVEC PURGE Ø 25"/>
    <n v="3"/>
    <n v="66762500"/>
    <s v="Parker"/>
    <s v="6676 25 00"/>
    <n v="0"/>
    <m/>
    <m/>
    <m/>
    <m/>
    <m/>
    <m/>
    <n v="0"/>
    <m/>
    <m/>
    <m/>
    <m/>
    <n v="0"/>
    <n v="0"/>
    <n v="0"/>
    <n v="0"/>
    <n v="0"/>
    <n v="0"/>
    <n v="0"/>
  </r>
  <r>
    <x v="13"/>
    <x v="204"/>
    <s v="FF"/>
    <s v="TransairManchons FFFF"/>
    <s v="Ø 40"/>
    <n v="4"/>
    <n v="66064000"/>
    <s v="Parker"/>
    <s v="6606 40 00"/>
    <n v="0"/>
    <m/>
    <m/>
    <m/>
    <m/>
    <m/>
    <m/>
    <n v="0"/>
    <m/>
    <m/>
    <m/>
    <m/>
    <n v="0"/>
    <n v="0"/>
    <n v="0"/>
    <n v="0"/>
    <n v="0"/>
    <n v="0"/>
    <n v="0"/>
  </r>
  <r>
    <x v="13"/>
    <x v="204"/>
    <s v="FF"/>
    <s v="TransairManchons FFFF"/>
    <s v="MANCHON AVEC PURGE Ø 40"/>
    <n v="5"/>
    <n v="66764000"/>
    <s v="Parker"/>
    <s v="6676 40 00"/>
    <n v="0"/>
    <m/>
    <m/>
    <m/>
    <m/>
    <m/>
    <m/>
    <n v="0"/>
    <m/>
    <m/>
    <m/>
    <m/>
    <n v="0"/>
    <n v="0"/>
    <n v="0"/>
    <n v="0"/>
    <n v="0"/>
    <n v="0"/>
    <n v="0"/>
  </r>
  <r>
    <x v="13"/>
    <x v="204"/>
    <s v="FF"/>
    <s v="TransairManchons FFFF"/>
    <s v="Ø 50"/>
    <n v="6"/>
    <n v="66765000"/>
    <s v="Parker"/>
    <s v="6676 50 00"/>
    <n v="0"/>
    <m/>
    <m/>
    <m/>
    <m/>
    <m/>
    <m/>
    <n v="0"/>
    <m/>
    <m/>
    <m/>
    <m/>
    <n v="0"/>
    <n v="0"/>
    <n v="0"/>
    <n v="0"/>
    <n v="0"/>
    <n v="0"/>
    <n v="0"/>
  </r>
  <r>
    <x v="13"/>
    <x v="204"/>
    <s v="FF"/>
    <s v="TransairManchons FFFF"/>
    <s v="Ø 63"/>
    <n v="7"/>
    <n v="66066300"/>
    <s v="Parker"/>
    <s v="6606 63 00"/>
    <n v="0"/>
    <m/>
    <m/>
    <m/>
    <m/>
    <m/>
    <m/>
    <n v="0"/>
    <m/>
    <m/>
    <m/>
    <m/>
    <n v="0"/>
    <n v="0"/>
    <n v="0"/>
    <n v="0"/>
    <n v="0"/>
    <n v="0"/>
    <n v="0"/>
  </r>
  <r>
    <x v="13"/>
    <x v="204"/>
    <s v="FF"/>
    <s v="TransairManchons FFFF"/>
    <s v="MANCHON AVEC PURGE Ø 63"/>
    <n v="8"/>
    <n v="66766300"/>
    <s v="Parker"/>
    <s v="6676 63 00"/>
    <n v="0"/>
    <m/>
    <m/>
    <m/>
    <m/>
    <m/>
    <m/>
    <n v="0"/>
    <m/>
    <m/>
    <m/>
    <m/>
    <n v="0"/>
    <n v="0"/>
    <n v="0"/>
    <n v="0"/>
    <n v="0"/>
    <n v="0"/>
    <n v="0"/>
  </r>
  <r>
    <x v="13"/>
    <x v="204"/>
    <s v="FF"/>
    <s v="TransairManchons FFFF"/>
    <s v="Ø 76"/>
    <n v="9"/>
    <s v="RR01L100"/>
    <s v="Parker"/>
    <s v="RR01 L1 00"/>
    <n v="0"/>
    <m/>
    <m/>
    <m/>
    <m/>
    <m/>
    <m/>
    <n v="0"/>
    <m/>
    <m/>
    <m/>
    <m/>
    <n v="0"/>
    <n v="0"/>
    <n v="0"/>
    <n v="0"/>
    <n v="0"/>
    <n v="0"/>
    <n v="0"/>
  </r>
  <r>
    <x v="13"/>
    <x v="204"/>
    <s v="FF"/>
    <s v="TransairManchons FFFF"/>
    <s v="Ø 100"/>
    <n v="10"/>
    <s v="RR01L300"/>
    <s v="Parker"/>
    <s v="RR01 L3 00"/>
    <n v="0"/>
    <m/>
    <m/>
    <m/>
    <m/>
    <m/>
    <m/>
    <n v="0"/>
    <m/>
    <m/>
    <m/>
    <m/>
    <n v="0"/>
    <n v="0"/>
    <n v="0"/>
    <n v="0"/>
    <n v="0"/>
    <n v="0"/>
    <n v="0"/>
  </r>
  <r>
    <x v="13"/>
    <x v="204"/>
    <s v="FF"/>
    <s v="TransairManchons FFFF"/>
    <s v="Ø 168"/>
    <n v="11"/>
    <s v="RR01L800"/>
    <s v="Parker"/>
    <s v="RR01 L8 00"/>
    <n v="0"/>
    <m/>
    <m/>
    <m/>
    <m/>
    <m/>
    <m/>
    <n v="0"/>
    <m/>
    <m/>
    <m/>
    <m/>
    <n v="0"/>
    <n v="0"/>
    <n v="0"/>
    <n v="0"/>
    <n v="0"/>
    <n v="0"/>
    <n v="0"/>
  </r>
  <r>
    <x v="13"/>
    <x v="205"/>
    <m/>
    <s v="TransairManchons Mixte M"/>
    <m/>
    <n v="0"/>
    <m/>
    <m/>
    <m/>
    <n v="0"/>
    <m/>
    <m/>
    <m/>
    <m/>
    <m/>
    <m/>
    <n v="0"/>
    <m/>
    <m/>
    <m/>
    <m/>
    <n v="0"/>
    <n v="0"/>
    <n v="0"/>
    <n v="0"/>
    <n v="0"/>
    <n v="0"/>
    <n v="0"/>
  </r>
  <r>
    <x v="13"/>
    <x v="205"/>
    <s v="Mixte M"/>
    <s v="TransairManchons Mixte MMixte M"/>
    <s v="Ø 16,5 R1/4"/>
    <n v="1"/>
    <n v="66051713"/>
    <s v="Parker"/>
    <s v="6605 17 13"/>
    <n v="0"/>
    <m/>
    <m/>
    <m/>
    <m/>
    <m/>
    <m/>
    <n v="0"/>
    <m/>
    <m/>
    <m/>
    <m/>
    <n v="0"/>
    <n v="0"/>
    <n v="0"/>
    <n v="0"/>
    <n v="0"/>
    <n v="0"/>
    <n v="0"/>
  </r>
  <r>
    <x v="13"/>
    <x v="205"/>
    <s v="Mixte M"/>
    <s v="TransairManchons Mixte MMixte M"/>
    <s v="Ø 16,5 R1/2"/>
    <n v="2"/>
    <n v="66051721"/>
    <s v="Parker"/>
    <s v="6605 17 21"/>
    <n v="0"/>
    <m/>
    <m/>
    <m/>
    <m/>
    <m/>
    <m/>
    <n v="0"/>
    <m/>
    <m/>
    <m/>
    <m/>
    <n v="0"/>
    <n v="0"/>
    <n v="0"/>
    <n v="0"/>
    <n v="0"/>
    <n v="0"/>
    <n v="0"/>
  </r>
  <r>
    <x v="13"/>
    <x v="205"/>
    <s v="Mixte M"/>
    <s v="TransairManchons Mixte MMixte M"/>
    <s v="Ø 25 R1/2"/>
    <n v="3"/>
    <n v="66052521"/>
    <s v="Parker"/>
    <s v="6605 25 21"/>
    <n v="0"/>
    <m/>
    <m/>
    <m/>
    <m/>
    <m/>
    <m/>
    <n v="0"/>
    <m/>
    <m/>
    <m/>
    <m/>
    <n v="0"/>
    <n v="0"/>
    <n v="0"/>
    <n v="0"/>
    <n v="0"/>
    <n v="0"/>
    <n v="0"/>
  </r>
  <r>
    <x v="13"/>
    <x v="205"/>
    <s v="Mixte M"/>
    <s v="TransairManchons Mixte MMixte M"/>
    <s v="Ø 25 R3/4"/>
    <n v="4"/>
    <n v="66052527"/>
    <s v="Parker"/>
    <s v="6605 25 27"/>
    <n v="0"/>
    <m/>
    <m/>
    <m/>
    <m/>
    <m/>
    <m/>
    <n v="0"/>
    <m/>
    <m/>
    <m/>
    <m/>
    <n v="0"/>
    <n v="0"/>
    <n v="0"/>
    <n v="0"/>
    <n v="0"/>
    <n v="0"/>
    <n v="0"/>
  </r>
  <r>
    <x v="13"/>
    <x v="205"/>
    <s v="Mixte M"/>
    <s v="TransairManchons Mixte MMixte M"/>
    <s v="Ø 25 R1”"/>
    <n v="5"/>
    <n v="66052534"/>
    <s v="Parker"/>
    <s v="6605 25 34"/>
    <n v="0"/>
    <m/>
    <m/>
    <m/>
    <m/>
    <m/>
    <m/>
    <n v="0"/>
    <m/>
    <m/>
    <m/>
    <m/>
    <n v="0"/>
    <n v="0"/>
    <n v="0"/>
    <n v="0"/>
    <n v="0"/>
    <n v="0"/>
    <n v="0"/>
  </r>
  <r>
    <x v="13"/>
    <x v="205"/>
    <s v="Mixte M"/>
    <s v="TransairManchons Mixte MMixte M"/>
    <s v="Ø 40 R1”"/>
    <n v="6"/>
    <n v="66054034"/>
    <s v="Parker"/>
    <s v="6605 40 34"/>
    <n v="0"/>
    <m/>
    <m/>
    <m/>
    <m/>
    <m/>
    <m/>
    <n v="0"/>
    <m/>
    <m/>
    <m/>
    <m/>
    <n v="0"/>
    <n v="0"/>
    <n v="0"/>
    <n v="0"/>
    <n v="0"/>
    <n v="0"/>
    <n v="0"/>
  </r>
  <r>
    <x v="13"/>
    <x v="205"/>
    <s v="Mixte M"/>
    <s v="TransairManchons Mixte MMixte M"/>
    <s v="Ø 40 R1”1/4"/>
    <n v="7"/>
    <n v="66054042"/>
    <s v="Parker"/>
    <s v="6605 40 42"/>
    <n v="0"/>
    <m/>
    <m/>
    <m/>
    <m/>
    <m/>
    <m/>
    <n v="0"/>
    <m/>
    <m/>
    <m/>
    <m/>
    <n v="0"/>
    <n v="0"/>
    <n v="0"/>
    <n v="0"/>
    <n v="0"/>
    <n v="0"/>
    <n v="0"/>
  </r>
  <r>
    <x v="13"/>
    <x v="205"/>
    <s v="Mixte M"/>
    <s v="TransairManchons Mixte MMixte M"/>
    <s v="Ø 40 FILETE MALE 1&quot;1/4 BSP CONIQUE AVEC FIXATION"/>
    <n v="8"/>
    <n v="66154042"/>
    <s v="Parker"/>
    <s v="6615 40 42"/>
    <n v="0"/>
    <m/>
    <m/>
    <m/>
    <m/>
    <m/>
    <m/>
    <n v="0"/>
    <m/>
    <m/>
    <m/>
    <m/>
    <n v="0"/>
    <n v="0"/>
    <n v="0"/>
    <n v="0"/>
    <n v="0"/>
    <n v="0"/>
    <n v="0"/>
  </r>
  <r>
    <x v="13"/>
    <x v="205"/>
    <s v="Mixte M"/>
    <s v="TransairManchons Mixte MMixte M"/>
    <s v="Ø 40 R1”1/2"/>
    <n v="9"/>
    <n v="66054049"/>
    <s v="Parker"/>
    <s v="6605 40 49"/>
    <n v="0"/>
    <m/>
    <m/>
    <m/>
    <m/>
    <m/>
    <m/>
    <n v="0"/>
    <m/>
    <m/>
    <m/>
    <m/>
    <n v="0"/>
    <n v="0"/>
    <n v="0"/>
    <n v="0"/>
    <n v="0"/>
    <n v="0"/>
    <n v="0"/>
  </r>
  <r>
    <x v="13"/>
    <x v="205"/>
    <s v="Mixte M"/>
    <s v="TransairManchons Mixte MMixte M"/>
    <s v="Ø 40 FILETE MALE 1&quot;1/2 BSP CONIQUE AVEC FIXATION"/>
    <n v="10"/>
    <n v="66154049"/>
    <s v="Parker"/>
    <s v="6615 40 49"/>
    <n v="0"/>
    <m/>
    <m/>
    <m/>
    <m/>
    <m/>
    <m/>
    <n v="0"/>
    <m/>
    <m/>
    <m/>
    <m/>
    <n v="0"/>
    <n v="0"/>
    <n v="0"/>
    <n v="0"/>
    <n v="0"/>
    <n v="0"/>
    <n v="0"/>
  </r>
  <r>
    <x v="13"/>
    <x v="205"/>
    <s v="Mixte M"/>
    <s v="TransairManchons Mixte MMixte M"/>
    <s v="Ø 50 R1”1/2"/>
    <n v="11"/>
    <n v="66055049"/>
    <s v="Parker"/>
    <s v="6605 50 49"/>
    <n v="0"/>
    <m/>
    <m/>
    <m/>
    <m/>
    <m/>
    <m/>
    <n v="0"/>
    <m/>
    <m/>
    <m/>
    <m/>
    <n v="0"/>
    <n v="0"/>
    <n v="0"/>
    <n v="0"/>
    <n v="0"/>
    <n v="0"/>
    <n v="0"/>
  </r>
  <r>
    <x v="13"/>
    <x v="205"/>
    <s v="Mixte M"/>
    <s v="TransairManchons Mixte MMixte M"/>
    <s v="Ø 50 R2”"/>
    <n v="12"/>
    <n v="66055048"/>
    <s v="Parker"/>
    <s v="6605 50 48"/>
    <n v="0"/>
    <m/>
    <m/>
    <m/>
    <m/>
    <m/>
    <m/>
    <n v="0"/>
    <m/>
    <m/>
    <m/>
    <m/>
    <n v="0"/>
    <n v="0"/>
    <n v="0"/>
    <n v="0"/>
    <n v="0"/>
    <n v="0"/>
    <n v="0"/>
  </r>
  <r>
    <x v="13"/>
    <x v="205"/>
    <s v="Mixte M"/>
    <s v="TransairManchons Mixte MMixte M"/>
    <s v="Ø 63 R2”"/>
    <n v="13"/>
    <n v="66056348"/>
    <s v="Parker"/>
    <s v="6605 63 48"/>
    <n v="0"/>
    <m/>
    <m/>
    <m/>
    <m/>
    <m/>
    <m/>
    <n v="0"/>
    <m/>
    <m/>
    <m/>
    <m/>
    <n v="0"/>
    <n v="0"/>
    <n v="0"/>
    <n v="0"/>
    <n v="0"/>
    <n v="0"/>
    <n v="0"/>
  </r>
  <r>
    <x v="13"/>
    <x v="205"/>
    <s v="Mixte M"/>
    <s v="TransairManchons Mixte MMixte M"/>
    <s v="Ø 63 R2”1/2"/>
    <n v="14"/>
    <n v="66056347"/>
    <s v="Parker"/>
    <s v="6605 63 47"/>
    <n v="0"/>
    <m/>
    <m/>
    <m/>
    <m/>
    <m/>
    <m/>
    <n v="0"/>
    <m/>
    <m/>
    <m/>
    <m/>
    <n v="0"/>
    <n v="0"/>
    <n v="0"/>
    <n v="0"/>
    <n v="0"/>
    <n v="0"/>
    <n v="0"/>
  </r>
  <r>
    <x v="13"/>
    <x v="205"/>
    <s v="Mixte M"/>
    <s v="TransairManchons Mixte MMixte M"/>
    <s v="Ø 76 R2&quot;1/2"/>
    <n v="15"/>
    <s v="RR05L120"/>
    <s v="Parker"/>
    <s v="RR05 L1 20"/>
    <n v="0"/>
    <m/>
    <m/>
    <m/>
    <m/>
    <m/>
    <m/>
    <n v="0"/>
    <m/>
    <m/>
    <m/>
    <m/>
    <n v="0"/>
    <n v="0"/>
    <n v="0"/>
    <n v="0"/>
    <n v="0"/>
    <n v="0"/>
    <n v="0"/>
  </r>
  <r>
    <x v="13"/>
    <x v="206"/>
    <m/>
    <s v="TransairManchons Réduit FM"/>
    <m/>
    <n v="0"/>
    <m/>
    <m/>
    <m/>
    <n v="0"/>
    <m/>
    <m/>
    <m/>
    <m/>
    <m/>
    <m/>
    <n v="0"/>
    <m/>
    <m/>
    <m/>
    <m/>
    <n v="0"/>
    <n v="0"/>
    <n v="0"/>
    <n v="0"/>
    <n v="0"/>
    <n v="0"/>
    <n v="0"/>
  </r>
  <r>
    <x v="13"/>
    <x v="206"/>
    <s v="Réduit FM"/>
    <s v="TransairManchons Réduit FMRéduit FM"/>
    <s v="Ø 25 &gt; Ø 16,5"/>
    <n v="1"/>
    <n v="66661725"/>
    <s v="Parker"/>
    <s v="6666 17 25"/>
    <n v="0"/>
    <m/>
    <m/>
    <m/>
    <m/>
    <m/>
    <m/>
    <n v="0"/>
    <m/>
    <m/>
    <m/>
    <m/>
    <n v="0"/>
    <n v="0"/>
    <n v="0"/>
    <n v="0"/>
    <n v="0"/>
    <n v="0"/>
    <n v="0"/>
  </r>
  <r>
    <x v="13"/>
    <x v="206"/>
    <s v="Réduit FM"/>
    <s v="TransairManchons Réduit FMRéduit FM"/>
    <s v="Ø 40 &gt; Ø 25"/>
    <n v="2"/>
    <n v="66662540"/>
    <s v="Parker"/>
    <s v="6666 25 40"/>
    <n v="0"/>
    <m/>
    <m/>
    <m/>
    <m/>
    <m/>
    <m/>
    <n v="0"/>
    <m/>
    <m/>
    <m/>
    <m/>
    <n v="0"/>
    <n v="0"/>
    <n v="0"/>
    <n v="0"/>
    <n v="0"/>
    <n v="0"/>
    <n v="0"/>
  </r>
  <r>
    <x v="13"/>
    <x v="206"/>
    <s v="Réduit FM"/>
    <s v="TransairManchons Réduit FMRéduit FM"/>
    <s v="Ø 50 &gt; Ø 25"/>
    <n v="3"/>
    <n v="66662550"/>
    <s v="Parker"/>
    <s v="6666 25 50"/>
    <n v="0"/>
    <m/>
    <m/>
    <m/>
    <m/>
    <m/>
    <m/>
    <n v="0"/>
    <m/>
    <m/>
    <m/>
    <m/>
    <n v="0"/>
    <n v="0"/>
    <n v="0"/>
    <n v="0"/>
    <n v="0"/>
    <n v="0"/>
    <n v="0"/>
  </r>
  <r>
    <x v="13"/>
    <x v="206"/>
    <s v="Réduit FM"/>
    <s v="TransairManchons Réduit FMRéduit FM"/>
    <s v="Ø 50 &gt; Ø 40"/>
    <n v="4"/>
    <n v="66664050"/>
    <s v="Parker"/>
    <s v="6666 40 50"/>
    <n v="0"/>
    <m/>
    <m/>
    <m/>
    <m/>
    <m/>
    <m/>
    <n v="0"/>
    <m/>
    <m/>
    <m/>
    <m/>
    <n v="0"/>
    <n v="0"/>
    <n v="0"/>
    <n v="0"/>
    <n v="0"/>
    <n v="0"/>
    <n v="0"/>
  </r>
  <r>
    <x v="13"/>
    <x v="206"/>
    <s v="Réduit FM"/>
    <s v="TransairManchons Réduit FMRéduit FM"/>
    <s v="Ø 63 &gt; Ø 40"/>
    <n v="5"/>
    <n v="66664063"/>
    <s v="Parker"/>
    <s v="6666 40 63"/>
    <n v="0"/>
    <m/>
    <m/>
    <m/>
    <m/>
    <m/>
    <m/>
    <n v="0"/>
    <m/>
    <m/>
    <m/>
    <m/>
    <n v="0"/>
    <n v="0"/>
    <n v="0"/>
    <n v="0"/>
    <n v="0"/>
    <n v="0"/>
    <n v="0"/>
  </r>
  <r>
    <x v="13"/>
    <x v="206"/>
    <s v="Réduit FM"/>
    <s v="TransairManchons Réduit FMRéduit FM"/>
    <s v="Ø 76 &gt; Ø 50"/>
    <n v="6"/>
    <s v="RX64L150"/>
    <s v="Parker"/>
    <s v="RX64L150"/>
    <n v="0"/>
    <m/>
    <m/>
    <m/>
    <m/>
    <m/>
    <m/>
    <n v="0"/>
    <m/>
    <m/>
    <m/>
    <m/>
    <n v="0"/>
    <n v="0"/>
    <n v="0"/>
    <n v="0"/>
    <n v="0"/>
    <n v="0"/>
    <n v="0"/>
  </r>
  <r>
    <x v="13"/>
    <x v="206"/>
    <s v="Réduit FM"/>
    <s v="TransairManchons Réduit FMRéduit FM"/>
    <s v="Ø 76 &gt; Ø 63"/>
    <n v="7"/>
    <s v="RX64L163"/>
    <s v="Parker"/>
    <s v="RX64 L1 63"/>
    <n v="0"/>
    <m/>
    <m/>
    <m/>
    <m/>
    <m/>
    <m/>
    <n v="0"/>
    <m/>
    <m/>
    <m/>
    <m/>
    <n v="0"/>
    <n v="0"/>
    <n v="0"/>
    <n v="0"/>
    <n v="0"/>
    <n v="0"/>
    <n v="0"/>
  </r>
  <r>
    <x v="13"/>
    <x v="206"/>
    <s v="Réduit FM"/>
    <s v="TransairManchons Réduit FMRéduit FM"/>
    <s v="Ø 100 &gt; Ø 63"/>
    <n v="8"/>
    <s v="RX64L363"/>
    <s v="Parker"/>
    <s v="RX64 L3 63"/>
    <n v="0"/>
    <m/>
    <m/>
    <m/>
    <m/>
    <m/>
    <m/>
    <n v="0"/>
    <m/>
    <m/>
    <m/>
    <m/>
    <n v="0"/>
    <n v="0"/>
    <n v="0"/>
    <n v="0"/>
    <n v="0"/>
    <n v="0"/>
    <n v="0"/>
  </r>
  <r>
    <x v="13"/>
    <x v="206"/>
    <s v="Réduit FM"/>
    <s v="TransairManchons Réduit FMRéduit FM"/>
    <s v="Ø 100 &gt; Ø 76"/>
    <n v="9"/>
    <s v="RX66L3L1"/>
    <s v="Parker"/>
    <s v="RX66 L3 L1"/>
    <n v="0"/>
    <m/>
    <m/>
    <m/>
    <m/>
    <m/>
    <m/>
    <n v="0"/>
    <m/>
    <m/>
    <m/>
    <m/>
    <n v="0"/>
    <n v="0"/>
    <n v="0"/>
    <n v="0"/>
    <n v="0"/>
    <n v="0"/>
    <n v="0"/>
  </r>
  <r>
    <x v="13"/>
    <x v="206"/>
    <s v="Réduit FM"/>
    <s v="TransairManchons Réduit FMRéduit FM"/>
    <s v="Ø 168 &gt; Ø 100"/>
    <n v="10"/>
    <s v="RA66L8L3"/>
    <s v="Parker"/>
    <s v="RA66 L8 L3"/>
    <n v="0"/>
    <m/>
    <m/>
    <m/>
    <m/>
    <m/>
    <m/>
    <n v="0"/>
    <m/>
    <m/>
    <m/>
    <m/>
    <n v="0"/>
    <n v="0"/>
    <n v="0"/>
    <n v="0"/>
    <n v="0"/>
    <n v="0"/>
    <n v="0"/>
  </r>
  <r>
    <x v="13"/>
    <x v="207"/>
    <m/>
    <s v="TransairNourrices"/>
    <m/>
    <n v="0"/>
    <m/>
    <m/>
    <m/>
    <n v="0"/>
    <m/>
    <m/>
    <m/>
    <m/>
    <m/>
    <m/>
    <n v="0"/>
    <m/>
    <m/>
    <m/>
    <m/>
    <n v="0"/>
    <n v="0"/>
    <n v="0"/>
    <n v="0"/>
    <n v="0"/>
    <n v="0"/>
    <n v="0"/>
  </r>
  <r>
    <x v="13"/>
    <x v="207"/>
    <m/>
    <s v="TransairNourrices"/>
    <s v="NOURRICE Ø 25 AVEC 4 SORTIES Ø 12"/>
    <n v="1"/>
    <n v="6651251204"/>
    <s v="Parker"/>
    <s v="6651 25 12 04"/>
    <n v="0"/>
    <m/>
    <m/>
    <m/>
    <m/>
    <m/>
    <m/>
    <n v="0"/>
    <m/>
    <m/>
    <m/>
    <m/>
    <n v="0"/>
    <n v="0"/>
    <n v="0"/>
    <n v="0"/>
    <n v="0"/>
    <n v="0"/>
    <n v="0"/>
  </r>
  <r>
    <x v="13"/>
    <x v="207"/>
    <m/>
    <s v="TransairNourrices"/>
    <s v="NOURRICE Ø 25 AVEC 6 SORTIES 1/2&quot; BSP CYL"/>
    <n v="2"/>
    <n v="6652252106"/>
    <s v="Parker"/>
    <s v="6652 25 21 06"/>
    <n v="0"/>
    <m/>
    <m/>
    <m/>
    <m/>
    <m/>
    <m/>
    <n v="0"/>
    <m/>
    <m/>
    <m/>
    <m/>
    <n v="0"/>
    <n v="0"/>
    <n v="0"/>
    <n v="0"/>
    <n v="0"/>
    <n v="0"/>
    <n v="0"/>
  </r>
  <r>
    <x v="13"/>
    <x v="208"/>
    <m/>
    <s v="TransairPiquage"/>
    <m/>
    <n v="0"/>
    <m/>
    <m/>
    <m/>
    <n v="0"/>
    <m/>
    <m/>
    <m/>
    <m/>
    <m/>
    <m/>
    <n v="0"/>
    <m/>
    <m/>
    <m/>
    <m/>
    <n v="0"/>
    <n v="0"/>
    <n v="0"/>
    <n v="0"/>
    <n v="0"/>
    <n v="0"/>
    <n v="0"/>
  </r>
  <r>
    <x v="13"/>
    <x v="208"/>
    <s v="A emboiter"/>
    <s v="TransairPiquageA emboiter"/>
    <s v="Ø 25 &gt; Ø 16,5"/>
    <n v="1"/>
    <n v="66622517"/>
    <s v="Parker"/>
    <s v="6662 25 17"/>
    <n v="0"/>
    <m/>
    <m/>
    <m/>
    <m/>
    <m/>
    <m/>
    <n v="0"/>
    <m/>
    <m/>
    <m/>
    <m/>
    <n v="0"/>
    <n v="0"/>
    <n v="0"/>
    <n v="0"/>
    <n v="0"/>
    <n v="0"/>
    <n v="0"/>
  </r>
  <r>
    <x v="13"/>
    <x v="208"/>
    <s v="A emboiter"/>
    <s v="TransairPiquageA emboiter"/>
    <s v="BRIDE SIMPLE POSE RAPIDE Ø 25 &gt; Ø 16,5"/>
    <n v="2"/>
    <s v="RA692517"/>
    <s v="Parker"/>
    <s v="RA69 25 17"/>
    <n v="0"/>
    <m/>
    <m/>
    <m/>
    <m/>
    <m/>
    <m/>
    <n v="0"/>
    <m/>
    <m/>
    <m/>
    <m/>
    <n v="0"/>
    <n v="0"/>
    <n v="0"/>
    <n v="0"/>
    <n v="0"/>
    <n v="0"/>
    <n v="0"/>
  </r>
  <r>
    <x v="13"/>
    <x v="208"/>
    <s v="A emboiter"/>
    <s v="TransairPiquageA emboiter"/>
    <s v="Ø 25 &gt; Ø 25"/>
    <n v="3"/>
    <n v="66622500"/>
    <s v="Parker"/>
    <s v="6662 25 00"/>
    <n v="0"/>
    <m/>
    <m/>
    <m/>
    <m/>
    <m/>
    <m/>
    <n v="0"/>
    <m/>
    <m/>
    <m/>
    <m/>
    <n v="0"/>
    <n v="0"/>
    <n v="0"/>
    <n v="0"/>
    <n v="0"/>
    <n v="0"/>
    <n v="0"/>
  </r>
  <r>
    <x v="13"/>
    <x v="208"/>
    <s v="A emboiter"/>
    <s v="TransairPiquageA emboiter"/>
    <s v="Ø 40 &gt; Ø 16,5"/>
    <n v="4"/>
    <n v="66624017"/>
    <s v="Parker"/>
    <s v="6662 40 17"/>
    <n v="0"/>
    <m/>
    <m/>
    <m/>
    <m/>
    <m/>
    <m/>
    <n v="0"/>
    <m/>
    <m/>
    <m/>
    <m/>
    <n v="0"/>
    <n v="0"/>
    <n v="0"/>
    <n v="0"/>
    <n v="0"/>
    <n v="0"/>
    <n v="0"/>
  </r>
  <r>
    <x v="13"/>
    <x v="208"/>
    <s v="A emboiter"/>
    <s v="TransairPiquageA emboiter"/>
    <s v="Ø 40 &gt; Ø 25"/>
    <n v="5"/>
    <n v="66624025"/>
    <s v="Parker"/>
    <s v="6662 40 25"/>
    <n v="0"/>
    <m/>
    <m/>
    <m/>
    <m/>
    <m/>
    <m/>
    <n v="0"/>
    <m/>
    <m/>
    <m/>
    <m/>
    <n v="0"/>
    <n v="0"/>
    <n v="0"/>
    <n v="0"/>
    <n v="0"/>
    <n v="0"/>
    <n v="0"/>
  </r>
  <r>
    <x v="13"/>
    <x v="208"/>
    <s v="A emboiter"/>
    <s v="TransairPiquageA emboiter"/>
    <s v="BRIDE SIMPLE POSE RAPIDE Ø 40 &gt; Ø 25"/>
    <n v="6"/>
    <s v="RA694025"/>
    <s v="Parker"/>
    <s v="RA69 40 25"/>
    <n v="0"/>
    <m/>
    <m/>
    <m/>
    <m/>
    <m/>
    <m/>
    <n v="0"/>
    <m/>
    <m/>
    <m/>
    <m/>
    <n v="0"/>
    <n v="0"/>
    <n v="0"/>
    <n v="0"/>
    <n v="0"/>
    <n v="0"/>
    <n v="0"/>
  </r>
  <r>
    <x v="13"/>
    <x v="208"/>
    <s v="A emboiter"/>
    <s v="TransairPiquageA emboiter"/>
    <s v="Ø 50 &gt; Ø 25"/>
    <n v="7"/>
    <n v="66625025"/>
    <s v="Parker"/>
    <s v="6662 50 25"/>
    <n v="0"/>
    <m/>
    <m/>
    <m/>
    <m/>
    <m/>
    <m/>
    <n v="0"/>
    <m/>
    <m/>
    <m/>
    <m/>
    <n v="0"/>
    <n v="0"/>
    <n v="0"/>
    <n v="0"/>
    <n v="0"/>
    <n v="0"/>
    <n v="0"/>
  </r>
  <r>
    <x v="13"/>
    <x v="208"/>
    <s v="A emboiter"/>
    <s v="TransairPiquageA emboiter"/>
    <s v="Ø 63 &gt; Ø 25"/>
    <n v="8"/>
    <n v="66626325"/>
    <s v="Parker"/>
    <s v="6662 63 25"/>
    <n v="0"/>
    <m/>
    <m/>
    <m/>
    <m/>
    <m/>
    <m/>
    <n v="0"/>
    <m/>
    <m/>
    <m/>
    <m/>
    <n v="0"/>
    <n v="0"/>
    <n v="0"/>
    <n v="0"/>
    <n v="0"/>
    <n v="0"/>
    <n v="0"/>
  </r>
  <r>
    <x v="13"/>
    <x v="208"/>
    <s v="A visser"/>
    <s v="TransairPiquageA visser"/>
    <s v="Ø 25 G1/2"/>
    <n v="9"/>
    <n v="66612521"/>
    <s v="Parker"/>
    <s v="6661 25 21"/>
    <n v="0"/>
    <m/>
    <m/>
    <m/>
    <m/>
    <m/>
    <m/>
    <n v="0"/>
    <m/>
    <m/>
    <m/>
    <m/>
    <n v="0"/>
    <n v="0"/>
    <n v="0"/>
    <n v="0"/>
    <n v="0"/>
    <n v="0"/>
    <n v="0"/>
  </r>
  <r>
    <x v="13"/>
    <x v="208"/>
    <s v="A visser"/>
    <s v="TransairPiquageA visser"/>
    <s v="Ø 25 G1/2 POSE RAPIDE"/>
    <n v="10"/>
    <s v="RA652504"/>
    <s v="Parker"/>
    <s v="RA65 25 04"/>
    <n v="0"/>
    <m/>
    <m/>
    <m/>
    <m/>
    <m/>
    <m/>
    <n v="0"/>
    <m/>
    <m/>
    <m/>
    <m/>
    <n v="0"/>
    <n v="0"/>
    <n v="0"/>
    <n v="0"/>
    <n v="0"/>
    <n v="0"/>
    <n v="0"/>
  </r>
  <r>
    <x v="13"/>
    <x v="208"/>
    <s v="A visser"/>
    <s v="TransairPiquageA visser"/>
    <s v="Ø 25 AVEC ROBINET 1/2&quot; BSP CYL."/>
    <n v="11"/>
    <n v="66692521"/>
    <s v="Parker"/>
    <s v="6669 25 21"/>
    <n v="0"/>
    <m/>
    <m/>
    <m/>
    <m/>
    <m/>
    <m/>
    <n v="0"/>
    <m/>
    <m/>
    <m/>
    <m/>
    <n v="0"/>
    <n v="0"/>
    <n v="0"/>
    <n v="0"/>
    <n v="0"/>
    <n v="0"/>
    <n v="0"/>
  </r>
  <r>
    <x v="13"/>
    <x v="208"/>
    <s v="A visser"/>
    <s v="TransairPiquageA visser"/>
    <s v="Ø 40 G1/2"/>
    <n v="12"/>
    <n v="66614021"/>
    <s v="Parker"/>
    <s v="6661 40 21"/>
    <n v="0"/>
    <m/>
    <m/>
    <m/>
    <m/>
    <m/>
    <m/>
    <n v="0"/>
    <m/>
    <m/>
    <m/>
    <m/>
    <n v="0"/>
    <n v="0"/>
    <n v="0"/>
    <n v="0"/>
    <n v="0"/>
    <n v="0"/>
    <n v="0"/>
  </r>
  <r>
    <x v="13"/>
    <x v="208"/>
    <s v="A visser"/>
    <s v="TransairPiquageA visser"/>
    <s v="Ø 40 G1/2 POSE RAPIDE"/>
    <n v="13"/>
    <s v="RA654004"/>
    <s v="Parker"/>
    <s v="RA65 40 04"/>
    <n v="0"/>
    <m/>
    <m/>
    <m/>
    <m/>
    <m/>
    <m/>
    <n v="0"/>
    <m/>
    <m/>
    <m/>
    <m/>
    <n v="0"/>
    <n v="0"/>
    <n v="0"/>
    <n v="0"/>
    <n v="0"/>
    <n v="0"/>
    <n v="0"/>
  </r>
  <r>
    <x v="13"/>
    <x v="208"/>
    <s v="A visser"/>
    <s v="TransairPiquageA visser"/>
    <s v="Ø 40 AVEC ROBINET 1/2&quot; BSP CYL."/>
    <n v="14"/>
    <n v="66694021"/>
    <s v="Parker"/>
    <s v="6669 40 21"/>
    <n v="0"/>
    <m/>
    <m/>
    <m/>
    <m/>
    <m/>
    <m/>
    <n v="0"/>
    <m/>
    <m/>
    <m/>
    <m/>
    <n v="0"/>
    <n v="0"/>
    <n v="0"/>
    <n v="0"/>
    <n v="0"/>
    <n v="0"/>
    <n v="0"/>
  </r>
  <r>
    <x v="13"/>
    <x v="208"/>
    <s v="A visser"/>
    <s v="TransairPiquageA visser"/>
    <s v="Ø 40 G3/4"/>
    <n v="15"/>
    <n v="66614027"/>
    <s v="Parker"/>
    <s v="6661 40 27"/>
    <n v="0"/>
    <m/>
    <m/>
    <m/>
    <m/>
    <m/>
    <m/>
    <n v="0"/>
    <m/>
    <m/>
    <m/>
    <m/>
    <n v="0"/>
    <n v="0"/>
    <n v="0"/>
    <n v="0"/>
    <n v="0"/>
    <n v="0"/>
    <n v="0"/>
  </r>
  <r>
    <x v="13"/>
    <x v="208"/>
    <s v="A visser"/>
    <s v="TransairPiquageA visser"/>
    <s v="Ø 40 AVEC ROBINET 3/4&quot; BSP CYL."/>
    <n v="16"/>
    <n v="66694027"/>
    <s v="Parker"/>
    <s v="6669 40 27"/>
    <n v="0"/>
    <m/>
    <m/>
    <m/>
    <m/>
    <m/>
    <m/>
    <n v="0"/>
    <m/>
    <m/>
    <m/>
    <m/>
    <n v="0"/>
    <n v="0"/>
    <n v="0"/>
    <n v="0"/>
    <n v="0"/>
    <n v="0"/>
    <n v="0"/>
  </r>
  <r>
    <x v="13"/>
    <x v="208"/>
    <s v="A visser"/>
    <s v="TransairPiquageA visser"/>
    <s v="Ø 50 G1/2"/>
    <n v="17"/>
    <n v="66695021"/>
    <s v="Parker"/>
    <s v="6669 50 21"/>
    <n v="0"/>
    <m/>
    <m/>
    <m/>
    <m/>
    <m/>
    <m/>
    <n v="0"/>
    <m/>
    <m/>
    <m/>
    <m/>
    <n v="0"/>
    <n v="0"/>
    <n v="0"/>
    <n v="0"/>
    <n v="0"/>
    <n v="0"/>
    <n v="0"/>
  </r>
  <r>
    <x v="13"/>
    <x v="208"/>
    <s v="A visser"/>
    <s v="TransairPiquageA visser"/>
    <s v="Ø 63 G1/2"/>
    <n v="18"/>
    <n v="66616321"/>
    <s v="Parker"/>
    <s v="6661 63 21"/>
    <n v="0"/>
    <m/>
    <m/>
    <m/>
    <m/>
    <m/>
    <m/>
    <n v="0"/>
    <m/>
    <m/>
    <m/>
    <m/>
    <n v="0"/>
    <n v="0"/>
    <n v="0"/>
    <n v="0"/>
    <n v="0"/>
    <n v="0"/>
    <n v="0"/>
  </r>
  <r>
    <x v="13"/>
    <x v="208"/>
    <s v="A visser"/>
    <s v="TransairPiquageA visser"/>
    <s v="Ø 63 AVEC ROBINET 1/2&quot; BSP CYL."/>
    <n v="19"/>
    <n v="66696321"/>
    <s v="Parker"/>
    <s v="6669 63 21"/>
    <n v="0"/>
    <m/>
    <m/>
    <m/>
    <m/>
    <m/>
    <m/>
    <n v="0"/>
    <m/>
    <m/>
    <m/>
    <m/>
    <n v="0"/>
    <n v="0"/>
    <n v="0"/>
    <n v="0"/>
    <n v="0"/>
    <n v="0"/>
    <n v="0"/>
  </r>
  <r>
    <x v="13"/>
    <x v="208"/>
    <s v="A visser"/>
    <s v="TransairPiquageA visser"/>
    <s v="Ø 63 G 3/4"/>
    <n v="20"/>
    <n v="66616327"/>
    <s v="Parker"/>
    <s v="6661 63 27"/>
    <n v="0"/>
    <m/>
    <m/>
    <m/>
    <m/>
    <m/>
    <m/>
    <n v="0"/>
    <m/>
    <m/>
    <m/>
    <m/>
    <n v="0"/>
    <n v="0"/>
    <n v="0"/>
    <n v="0"/>
    <n v="0"/>
    <n v="0"/>
    <n v="0"/>
  </r>
  <r>
    <x v="13"/>
    <x v="208"/>
    <s v="A visser"/>
    <s v="TransairPiquageA visser"/>
    <s v="Ø 63 AVEC ROBINET 3/4&quot; BSP CYL."/>
    <n v="21"/>
    <n v="66696327"/>
    <s v="Parker"/>
    <s v="6669 63 27"/>
    <n v="0"/>
    <m/>
    <m/>
    <m/>
    <m/>
    <m/>
    <m/>
    <n v="0"/>
    <m/>
    <m/>
    <m/>
    <m/>
    <n v="0"/>
    <n v="0"/>
    <n v="0"/>
    <n v="0"/>
    <n v="0"/>
    <n v="0"/>
    <n v="0"/>
  </r>
  <r>
    <x v="13"/>
    <x v="208"/>
    <s v="A visser"/>
    <s v="TransairPiquageA visser"/>
    <s v="Ø 76 G1’’"/>
    <n v="22"/>
    <s v="RR61L108"/>
    <s v="Parker"/>
    <s v="RR61 L1 08"/>
    <n v="0"/>
    <m/>
    <m/>
    <m/>
    <m/>
    <m/>
    <m/>
    <n v="0"/>
    <m/>
    <m/>
    <m/>
    <m/>
    <n v="0"/>
    <n v="0"/>
    <n v="0"/>
    <n v="0"/>
    <n v="0"/>
    <n v="0"/>
    <n v="0"/>
  </r>
  <r>
    <x v="13"/>
    <x v="208"/>
    <s v="A visser"/>
    <s v="TransairPiquageA visser"/>
    <s v="Ø 76 G2’’"/>
    <n v="23"/>
    <s v="RR61L116"/>
    <s v="Parker"/>
    <s v="RR61L116"/>
    <n v="0"/>
    <m/>
    <m/>
    <m/>
    <m/>
    <m/>
    <m/>
    <n v="0"/>
    <m/>
    <m/>
    <m/>
    <m/>
    <n v="0"/>
    <n v="0"/>
    <n v="0"/>
    <n v="0"/>
    <n v="0"/>
    <n v="0"/>
    <n v="0"/>
  </r>
  <r>
    <x v="13"/>
    <x v="208"/>
    <s v="A visser"/>
    <s v="TransairPiquageA visser"/>
    <s v="Ø 100 G1’’"/>
    <n v="24"/>
    <s v="RR61L308"/>
    <s v="Parker"/>
    <s v="RR61 L3 08"/>
    <n v="0"/>
    <m/>
    <m/>
    <m/>
    <m/>
    <m/>
    <m/>
    <n v="0"/>
    <m/>
    <m/>
    <m/>
    <m/>
    <n v="0"/>
    <n v="0"/>
    <n v="0"/>
    <n v="0"/>
    <n v="0"/>
    <n v="0"/>
    <n v="0"/>
  </r>
  <r>
    <x v="13"/>
    <x v="208"/>
    <s v="A visser"/>
    <s v="TransairPiquageA visser"/>
    <s v="Ø 100 G2’’"/>
    <n v="25"/>
    <s v="RR61L316"/>
    <s v="Parker"/>
    <s v="RR61L316"/>
    <n v="0"/>
    <m/>
    <m/>
    <m/>
    <m/>
    <m/>
    <m/>
    <n v="0"/>
    <m/>
    <m/>
    <m/>
    <m/>
    <n v="0"/>
    <n v="0"/>
    <n v="0"/>
    <n v="0"/>
    <n v="0"/>
    <n v="0"/>
    <n v="0"/>
  </r>
  <r>
    <x v="13"/>
    <x v="208"/>
    <s v="Avec coupleur"/>
    <s v="TransairPiquageAvec coupleur"/>
    <s v="MINI-BRIDE Ø 25 COUPLEUR ISO B 8 MM"/>
    <n v="26"/>
    <s v="666025U2"/>
    <s v="Parker"/>
    <s v="6660 25 U2"/>
    <n v="0"/>
    <m/>
    <m/>
    <m/>
    <m/>
    <m/>
    <m/>
    <n v="0"/>
    <m/>
    <m/>
    <m/>
    <m/>
    <n v="0"/>
    <n v="0"/>
    <n v="0"/>
    <n v="0"/>
    <n v="0"/>
    <n v="0"/>
    <n v="0"/>
  </r>
  <r>
    <x v="13"/>
    <x v="208"/>
    <s v="Avec coupleur"/>
    <s v="TransairPiquageAvec coupleur"/>
    <s v="MINI-BRIDE Ø 40 COUPLEUR ISO B 5,5 MM"/>
    <n v="27"/>
    <s v="666040U1"/>
    <s v="Parker"/>
    <s v="6660 40 U1"/>
    <n v="0"/>
    <m/>
    <m/>
    <m/>
    <m/>
    <m/>
    <m/>
    <n v="0"/>
    <m/>
    <m/>
    <m/>
    <m/>
    <n v="0"/>
    <n v="0"/>
    <n v="0"/>
    <n v="0"/>
    <n v="0"/>
    <n v="0"/>
    <n v="0"/>
  </r>
  <r>
    <x v="13"/>
    <x v="209"/>
    <m/>
    <s v="TransairPrises murales"/>
    <m/>
    <n v="0"/>
    <m/>
    <m/>
    <m/>
    <n v="0"/>
    <m/>
    <m/>
    <m/>
    <m/>
    <m/>
    <m/>
    <n v="0"/>
    <m/>
    <m/>
    <m/>
    <m/>
    <n v="0"/>
    <n v="0"/>
    <n v="0"/>
    <n v="0"/>
    <n v="0"/>
    <n v="0"/>
    <n v="0"/>
  </r>
  <r>
    <x v="13"/>
    <x v="209"/>
    <m/>
    <s v="TransairPrises murales"/>
    <s v="2 SORTIES G1/2  BSPP"/>
    <n v="1"/>
    <n v="66862121"/>
    <s v="Parker"/>
    <s v="6686 21 21"/>
    <n v="0"/>
    <m/>
    <m/>
    <m/>
    <m/>
    <m/>
    <m/>
    <n v="0"/>
    <m/>
    <m/>
    <m/>
    <m/>
    <n v="0"/>
    <n v="0"/>
    <n v="0"/>
    <n v="0"/>
    <n v="0"/>
    <n v="0"/>
    <n v="0"/>
  </r>
  <r>
    <x v="13"/>
    <x v="209"/>
    <m/>
    <s v="TransairPrises murales"/>
    <s v="2 SORTIES 45° FEMELLE 1/2'' BSP CYL"/>
    <n v="2"/>
    <n v="66902121"/>
    <s v="Parker"/>
    <s v="6690 21 21"/>
    <n v="0"/>
    <m/>
    <m/>
    <m/>
    <m/>
    <m/>
    <m/>
    <n v="0"/>
    <m/>
    <m/>
    <m/>
    <m/>
    <n v="0"/>
    <n v="0"/>
    <n v="0"/>
    <n v="0"/>
    <n v="0"/>
    <n v="0"/>
    <n v="0"/>
  </r>
  <r>
    <x v="13"/>
    <x v="209"/>
    <m/>
    <s v="TransairPrises murales"/>
    <s v="Ø 16,5 1 SORTIE 45° FEMELLE 1/2'' BSP CYL"/>
    <n v="3"/>
    <n v="66391721"/>
    <s v="Parker"/>
    <s v="6639 17 21"/>
    <n v="0"/>
    <m/>
    <m/>
    <m/>
    <m/>
    <m/>
    <m/>
    <n v="0"/>
    <m/>
    <m/>
    <m/>
    <m/>
    <n v="0"/>
    <n v="0"/>
    <n v="0"/>
    <n v="0"/>
    <n v="0"/>
    <n v="0"/>
    <n v="0"/>
  </r>
  <r>
    <x v="13"/>
    <x v="209"/>
    <m/>
    <s v="TransairPrises murales"/>
    <s v="Ø 16,5 2 SORTIES 45° FEMELLE 1/2'' BSP CYL"/>
    <n v="4"/>
    <n v="66821721"/>
    <s v="Parker"/>
    <s v="6682 17 21"/>
    <n v="0"/>
    <m/>
    <m/>
    <m/>
    <m/>
    <m/>
    <m/>
    <n v="0"/>
    <m/>
    <m/>
    <m/>
    <m/>
    <n v="0"/>
    <n v="0"/>
    <n v="0"/>
    <n v="0"/>
    <n v="0"/>
    <n v="0"/>
    <n v="0"/>
  </r>
  <r>
    <x v="13"/>
    <x v="209"/>
    <m/>
    <s v="TransairPrises murales"/>
    <s v="Ø 16,5 ROBINET 1 SORTIE 45° 1/2'' BSP CYL"/>
    <n v="5"/>
    <n v="66781721"/>
    <s v="Parker"/>
    <s v="6678 17 21"/>
    <n v="0"/>
    <m/>
    <m/>
    <m/>
    <m/>
    <m/>
    <m/>
    <n v="0"/>
    <m/>
    <m/>
    <m/>
    <m/>
    <n v="0"/>
    <n v="0"/>
    <n v="0"/>
    <n v="0"/>
    <n v="0"/>
    <n v="0"/>
    <n v="0"/>
  </r>
  <r>
    <x v="13"/>
    <x v="209"/>
    <m/>
    <s v="TransairPrises murales"/>
    <s v="Ø 16,5 ROBINET 2 SORTIES 45° 1/2'' BSP CYL"/>
    <n v="6"/>
    <n v="66931721"/>
    <s v="Parker"/>
    <s v="6693 17 21"/>
    <n v="0"/>
    <m/>
    <m/>
    <m/>
    <m/>
    <m/>
    <m/>
    <n v="0"/>
    <m/>
    <m/>
    <m/>
    <m/>
    <n v="0"/>
    <n v="0"/>
    <n v="0"/>
    <n v="0"/>
    <n v="0"/>
    <n v="0"/>
    <n v="0"/>
  </r>
  <r>
    <x v="13"/>
    <x v="209"/>
    <m/>
    <s v="TransairPrises murales"/>
    <s v="Ø 16,5 COUPLEUR ISO B 5,5"/>
    <n v="7"/>
    <s v="667117U1"/>
    <s v="Parker"/>
    <s v="6671 17 U1"/>
    <n v="0"/>
    <m/>
    <m/>
    <m/>
    <m/>
    <m/>
    <m/>
    <n v="0"/>
    <m/>
    <m/>
    <m/>
    <m/>
    <n v="0"/>
    <n v="0"/>
    <n v="0"/>
    <n v="0"/>
    <n v="0"/>
    <n v="0"/>
    <n v="0"/>
  </r>
  <r>
    <x v="13"/>
    <x v="209"/>
    <m/>
    <s v="TransairPrises murales"/>
    <s v="Ø 16,5 AVEC 2 COUPLEURS ISO B6"/>
    <n v="8"/>
    <s v="669217U1"/>
    <s v="Parker"/>
    <s v="6692 17 U1"/>
    <n v="0"/>
    <m/>
    <m/>
    <m/>
    <m/>
    <m/>
    <m/>
    <n v="0"/>
    <m/>
    <m/>
    <m/>
    <m/>
    <n v="0"/>
    <n v="0"/>
    <n v="0"/>
    <n v="0"/>
    <n v="0"/>
    <n v="0"/>
    <n v="0"/>
  </r>
  <r>
    <x v="13"/>
    <x v="209"/>
    <m/>
    <s v="TransairPrises murales"/>
    <s v="Ø 25 1 SORTIE 45° FEMELLE 1/2'' BSP CYL"/>
    <n v="9"/>
    <n v="66392521"/>
    <s v="Parker"/>
    <s v="6639 25 21"/>
    <n v="0"/>
    <m/>
    <m/>
    <m/>
    <m/>
    <m/>
    <m/>
    <n v="0"/>
    <m/>
    <m/>
    <m/>
    <m/>
    <n v="0"/>
    <n v="0"/>
    <n v="0"/>
    <n v="0"/>
    <n v="0"/>
    <n v="0"/>
    <n v="0"/>
  </r>
  <r>
    <x v="13"/>
    <x v="209"/>
    <m/>
    <s v="TransairPrises murales"/>
    <s v="Ø 25 2 SORTIES F BSPP"/>
    <n v="10"/>
    <n v="66812521"/>
    <s v="Parker"/>
    <s v="6681 25 21"/>
    <n v="0"/>
    <m/>
    <m/>
    <m/>
    <m/>
    <m/>
    <m/>
    <n v="0"/>
    <m/>
    <m/>
    <m/>
    <m/>
    <n v="0"/>
    <n v="0"/>
    <n v="0"/>
    <n v="0"/>
    <n v="0"/>
    <n v="0"/>
    <n v="0"/>
  </r>
  <r>
    <x v="13"/>
    <x v="209"/>
    <m/>
    <s v="TransairPrises murales"/>
    <s v="Ø 25 AVEC 1 COUPLEUR ISO B6"/>
    <n v="11"/>
    <s v="667725U1"/>
    <s v="Parker"/>
    <s v="6677 25 U1"/>
    <n v="0"/>
    <m/>
    <m/>
    <m/>
    <m/>
    <m/>
    <m/>
    <n v="0"/>
    <m/>
    <m/>
    <m/>
    <m/>
    <n v="0"/>
    <n v="0"/>
    <n v="0"/>
    <n v="0"/>
    <n v="0"/>
    <n v="0"/>
    <n v="0"/>
  </r>
  <r>
    <x v="13"/>
    <x v="209"/>
    <m/>
    <s v="TransairPrises murales"/>
    <s v="Ø 25 AVEC 1 COUPLEUR ISO B8"/>
    <n v="12"/>
    <s v="667725U2"/>
    <s v="Parker"/>
    <s v="6677 25 U2"/>
    <n v="0"/>
    <m/>
    <m/>
    <m/>
    <m/>
    <m/>
    <m/>
    <n v="0"/>
    <m/>
    <m/>
    <m/>
    <m/>
    <n v="0"/>
    <n v="0"/>
    <n v="0"/>
    <n v="0"/>
    <n v="0"/>
    <n v="0"/>
    <n v="0"/>
  </r>
  <r>
    <x v="13"/>
    <x v="209"/>
    <m/>
    <s v="TransairPrises murales"/>
    <s v="Ø 25 COUPLEUR ISO B 5,5"/>
    <n v="13"/>
    <s v="667125U1"/>
    <s v="Parker"/>
    <s v="6671 25 U1"/>
    <n v="0"/>
    <m/>
    <m/>
    <m/>
    <m/>
    <m/>
    <m/>
    <n v="0"/>
    <m/>
    <m/>
    <m/>
    <m/>
    <n v="0"/>
    <n v="0"/>
    <n v="0"/>
    <n v="0"/>
    <n v="0"/>
    <n v="0"/>
    <n v="0"/>
  </r>
  <r>
    <x v="13"/>
    <x v="209"/>
    <m/>
    <s v="TransairPrises murales"/>
    <s v="Ø 25 COUPLEUR ISO B8"/>
    <n v="14"/>
    <s v="667125U2"/>
    <s v="Parker"/>
    <s v="6671 25 U2"/>
    <n v="0"/>
    <m/>
    <m/>
    <m/>
    <m/>
    <m/>
    <m/>
    <n v="0"/>
    <m/>
    <m/>
    <m/>
    <m/>
    <n v="0"/>
    <n v="0"/>
    <n v="0"/>
    <n v="0"/>
    <n v="0"/>
    <n v="0"/>
    <n v="0"/>
  </r>
  <r>
    <x v="13"/>
    <x v="209"/>
    <m/>
    <s v="TransairPrises murales"/>
    <s v="Ø 25 2 SORTIES 45° FEMELLE 1/2'' BSP CYL"/>
    <n v="15"/>
    <n v="66822521"/>
    <s v="Parker"/>
    <s v="6682 25 21"/>
    <n v="0"/>
    <m/>
    <m/>
    <m/>
    <m/>
    <m/>
    <m/>
    <n v="0"/>
    <m/>
    <m/>
    <m/>
    <m/>
    <n v="0"/>
    <n v="0"/>
    <n v="0"/>
    <n v="0"/>
    <n v="0"/>
    <n v="0"/>
    <n v="0"/>
  </r>
  <r>
    <x v="13"/>
    <x v="209"/>
    <m/>
    <s v="TransairPrises murales"/>
    <s v="Ø 25 AVEC 2 COUPLEURS ARO"/>
    <n v="16"/>
    <s v="669225A1"/>
    <s v="Parker"/>
    <s v="6692 25 A1"/>
    <n v="0"/>
    <m/>
    <m/>
    <m/>
    <m/>
    <m/>
    <m/>
    <n v="0"/>
    <m/>
    <m/>
    <m/>
    <m/>
    <n v="0"/>
    <n v="0"/>
    <n v="0"/>
    <n v="0"/>
    <n v="0"/>
    <n v="0"/>
    <n v="0"/>
  </r>
  <r>
    <x v="13"/>
    <x v="209"/>
    <m/>
    <s v="TransairPrises murales"/>
    <s v="Ø 25 AVEC 2 COUPLEURS ISO B6"/>
    <n v="17"/>
    <s v="669225U1"/>
    <s v="Parker"/>
    <s v="6692 25 U1"/>
    <n v="0"/>
    <m/>
    <m/>
    <m/>
    <m/>
    <m/>
    <m/>
    <n v="0"/>
    <m/>
    <m/>
    <m/>
    <m/>
    <n v="0"/>
    <n v="0"/>
    <n v="0"/>
    <n v="0"/>
    <n v="0"/>
    <n v="0"/>
    <n v="0"/>
  </r>
  <r>
    <x v="13"/>
    <x v="209"/>
    <m/>
    <s v="TransairPrises murales"/>
    <s v="Ø 25 3 SORTIES FEMELLE 1/2'' BSP CYL"/>
    <n v="18"/>
    <n v="66952521"/>
    <s v="Parker"/>
    <s v="6695 25 21"/>
    <n v="0"/>
    <m/>
    <m/>
    <m/>
    <m/>
    <m/>
    <m/>
    <n v="0"/>
    <m/>
    <m/>
    <m/>
    <m/>
    <n v="0"/>
    <n v="0"/>
    <n v="0"/>
    <n v="0"/>
    <n v="0"/>
    <n v="0"/>
    <n v="0"/>
  </r>
  <r>
    <x v="13"/>
    <x v="209"/>
    <m/>
    <s v="TransairPrises murales"/>
    <s v="Ø 25 ROBINET 1 SORTIE 45° 1/2'' BSP CYL"/>
    <n v="19"/>
    <n v="66782521"/>
    <s v="Parker"/>
    <s v="6678 25 21"/>
    <n v="0"/>
    <m/>
    <m/>
    <m/>
    <m/>
    <m/>
    <m/>
    <n v="0"/>
    <m/>
    <m/>
    <m/>
    <m/>
    <n v="0"/>
    <n v="0"/>
    <n v="0"/>
    <n v="0"/>
    <n v="0"/>
    <n v="0"/>
    <n v="0"/>
  </r>
  <r>
    <x v="13"/>
    <x v="209"/>
    <m/>
    <s v="TransairPrises murales"/>
    <s v="Ø 25 ROBINET 2 SORTIES 45° 1/2'' BSP CYL"/>
    <n v="20"/>
    <n v="66932521"/>
    <s v="Parker"/>
    <s v="6693 25 21"/>
    <n v="0"/>
    <m/>
    <m/>
    <m/>
    <m/>
    <m/>
    <m/>
    <n v="0"/>
    <m/>
    <m/>
    <m/>
    <m/>
    <n v="0"/>
    <n v="0"/>
    <n v="0"/>
    <n v="0"/>
    <n v="0"/>
    <n v="0"/>
    <n v="0"/>
  </r>
  <r>
    <x v="13"/>
    <x v="210"/>
    <m/>
    <s v="TransairTé Egal"/>
    <m/>
    <n v="0"/>
    <m/>
    <m/>
    <m/>
    <n v="0"/>
    <m/>
    <m/>
    <m/>
    <m/>
    <m/>
    <m/>
    <n v="0"/>
    <m/>
    <m/>
    <m/>
    <m/>
    <n v="0"/>
    <n v="0"/>
    <n v="0"/>
    <n v="0"/>
    <n v="0"/>
    <n v="0"/>
    <n v="0"/>
  </r>
  <r>
    <x v="13"/>
    <x v="210"/>
    <s v="Egal"/>
    <s v="TransairTé EgalEgal"/>
    <s v="Ø 16,5"/>
    <n v="1"/>
    <n v="66041700"/>
    <s v="Parker"/>
    <s v="6604 17 00"/>
    <n v="0"/>
    <m/>
    <m/>
    <m/>
    <m/>
    <m/>
    <m/>
    <n v="0"/>
    <m/>
    <m/>
    <m/>
    <m/>
    <n v="0"/>
    <n v="0"/>
    <n v="0"/>
    <n v="0"/>
    <n v="0"/>
    <n v="0"/>
    <n v="0"/>
  </r>
  <r>
    <x v="13"/>
    <x v="210"/>
    <s v="Egal"/>
    <s v="TransairTé EgalEgal"/>
    <s v="Ø 25"/>
    <n v="2"/>
    <n v="66042500"/>
    <s v="Parker"/>
    <s v="6604 25 00"/>
    <n v="0"/>
    <m/>
    <m/>
    <m/>
    <m/>
    <m/>
    <m/>
    <n v="0"/>
    <m/>
    <m/>
    <m/>
    <m/>
    <n v="0"/>
    <n v="0"/>
    <n v="0"/>
    <n v="0"/>
    <n v="0"/>
    <n v="0"/>
    <n v="0"/>
  </r>
  <r>
    <x v="13"/>
    <x v="210"/>
    <s v="Egal"/>
    <s v="TransairTé EgalEgal"/>
    <s v="Ø 40"/>
    <n v="3"/>
    <n v="66044000"/>
    <s v="Parker"/>
    <s v="6604 40 00"/>
    <n v="0"/>
    <m/>
    <m/>
    <m/>
    <m/>
    <m/>
    <m/>
    <n v="0"/>
    <m/>
    <m/>
    <m/>
    <m/>
    <n v="0"/>
    <n v="0"/>
    <n v="0"/>
    <n v="0"/>
    <n v="0"/>
    <n v="0"/>
    <n v="0"/>
  </r>
  <r>
    <x v="13"/>
    <x v="210"/>
    <s v="Egal"/>
    <s v="TransairTé EgalEgal"/>
    <s v="Ø 50"/>
    <n v="4"/>
    <n v="66045000"/>
    <s v="Parker"/>
    <s v="6604 50 00"/>
    <n v="0"/>
    <m/>
    <m/>
    <m/>
    <m/>
    <m/>
    <m/>
    <n v="0"/>
    <m/>
    <m/>
    <m/>
    <m/>
    <n v="0"/>
    <n v="0"/>
    <n v="0"/>
    <n v="0"/>
    <n v="0"/>
    <n v="0"/>
    <n v="0"/>
  </r>
  <r>
    <x v="13"/>
    <x v="210"/>
    <s v="Egal"/>
    <s v="TransairTé EgalEgal"/>
    <s v="Ø 63"/>
    <n v="5"/>
    <n v="66046300"/>
    <s v="Parker"/>
    <s v="6604 63 00"/>
    <n v="0"/>
    <m/>
    <m/>
    <m/>
    <m/>
    <m/>
    <m/>
    <n v="0"/>
    <m/>
    <m/>
    <m/>
    <m/>
    <n v="0"/>
    <n v="0"/>
    <n v="0"/>
    <n v="0"/>
    <n v="0"/>
    <n v="0"/>
    <n v="0"/>
  </r>
  <r>
    <x v="13"/>
    <x v="210"/>
    <s v="Egal"/>
    <s v="TransairTé EgalEgal"/>
    <s v="Ø 76"/>
    <n v="6"/>
    <s v="RX04L100"/>
    <s v="Parker"/>
    <s v="RX04 L1 00"/>
    <n v="0"/>
    <m/>
    <m/>
    <m/>
    <m/>
    <m/>
    <m/>
    <n v="0"/>
    <m/>
    <m/>
    <m/>
    <m/>
    <n v="0"/>
    <n v="0"/>
    <n v="0"/>
    <n v="0"/>
    <n v="0"/>
    <n v="0"/>
    <n v="0"/>
  </r>
  <r>
    <x v="13"/>
    <x v="210"/>
    <s v="Egal"/>
    <s v="TransairTé EgalEgal"/>
    <s v="Ø 100"/>
    <n v="7"/>
    <s v="RX04L300"/>
    <s v="Parker"/>
    <s v="RX04 L3 00"/>
    <n v="0"/>
    <m/>
    <m/>
    <m/>
    <m/>
    <m/>
    <m/>
    <n v="0"/>
    <m/>
    <m/>
    <m/>
    <m/>
    <n v="0"/>
    <n v="0"/>
    <n v="0"/>
    <n v="0"/>
    <n v="0"/>
    <n v="0"/>
    <n v="0"/>
  </r>
  <r>
    <x v="13"/>
    <x v="210"/>
    <s v="Egal"/>
    <s v="TransairTé EgalEgal"/>
    <s v="Ø 168"/>
    <n v="8"/>
    <s v="RA04L800"/>
    <s v="Parker"/>
    <s v="RA04 L8 00"/>
    <n v="0"/>
    <m/>
    <m/>
    <m/>
    <m/>
    <m/>
    <m/>
    <n v="0"/>
    <m/>
    <m/>
    <m/>
    <m/>
    <n v="0"/>
    <n v="0"/>
    <n v="0"/>
    <n v="0"/>
    <n v="0"/>
    <n v="0"/>
    <n v="0"/>
  </r>
  <r>
    <x v="13"/>
    <x v="153"/>
    <m/>
    <s v="TransairTé Réduit"/>
    <m/>
    <n v="0"/>
    <m/>
    <m/>
    <m/>
    <n v="0"/>
    <m/>
    <m/>
    <m/>
    <m/>
    <m/>
    <m/>
    <n v="0"/>
    <m/>
    <m/>
    <m/>
    <m/>
    <n v="0"/>
    <n v="0"/>
    <n v="0"/>
    <n v="0"/>
    <n v="0"/>
    <n v="0"/>
    <n v="0"/>
  </r>
  <r>
    <x v="13"/>
    <x v="153"/>
    <s v="Réduit"/>
    <s v="TransairTé RéduitRéduit"/>
    <s v="Ø 63 &gt; Ø 40"/>
    <n v="1"/>
    <n v="66046340"/>
    <s v="Parker"/>
    <s v="6604 63 40"/>
    <n v="0"/>
    <m/>
    <m/>
    <m/>
    <m/>
    <m/>
    <m/>
    <n v="0"/>
    <m/>
    <m/>
    <m/>
    <m/>
    <n v="0"/>
    <n v="0"/>
    <n v="0"/>
    <n v="0"/>
    <n v="0"/>
    <n v="0"/>
    <n v="0"/>
  </r>
  <r>
    <x v="13"/>
    <x v="153"/>
    <s v="Réduit"/>
    <s v="TransairTé RéduitRéduit"/>
    <s v="TE GROSSISSEUR Ø 63 &gt; Ø 76"/>
    <n v="2"/>
    <s v="RA0463L1"/>
    <s v="Parker"/>
    <s v="RA0463L1"/>
    <n v="0"/>
    <m/>
    <m/>
    <m/>
    <m/>
    <m/>
    <m/>
    <n v="0"/>
    <m/>
    <m/>
    <m/>
    <m/>
    <n v="0"/>
    <n v="0"/>
    <n v="0"/>
    <n v="0"/>
    <n v="0"/>
    <n v="0"/>
    <n v="0"/>
  </r>
  <r>
    <x v="13"/>
    <x v="153"/>
    <s v="Réduit"/>
    <s v="TransairTé RéduitRéduit"/>
    <s v="Ø 76 &gt; Ø 40"/>
    <n v="3"/>
    <s v="RX24L140"/>
    <s v="Parker"/>
    <s v="RX24 L1 40"/>
    <n v="0"/>
    <m/>
    <m/>
    <m/>
    <m/>
    <m/>
    <m/>
    <n v="0"/>
    <m/>
    <m/>
    <m/>
    <m/>
    <n v="0"/>
    <n v="0"/>
    <n v="0"/>
    <n v="0"/>
    <n v="0"/>
    <n v="0"/>
    <n v="0"/>
  </r>
  <r>
    <x v="13"/>
    <x v="153"/>
    <s v="Réduit"/>
    <s v="TransairTé RéduitRéduit"/>
    <s v="Ø 76 &gt; Ø 50"/>
    <n v="4"/>
    <s v="RX24L150"/>
    <s v="Parker"/>
    <s v="RX24 L1 50"/>
    <n v="0"/>
    <m/>
    <m/>
    <m/>
    <m/>
    <m/>
    <m/>
    <n v="0"/>
    <m/>
    <m/>
    <m/>
    <m/>
    <n v="0"/>
    <n v="0"/>
    <n v="0"/>
    <n v="0"/>
    <n v="0"/>
    <n v="0"/>
    <n v="0"/>
  </r>
  <r>
    <x v="13"/>
    <x v="153"/>
    <s v="Réduit"/>
    <s v="TransairTé RéduitRéduit"/>
    <s v="Ø 76 &gt; Ø 63"/>
    <n v="5"/>
    <s v="RX24L163"/>
    <s v="Parker"/>
    <s v="RX24 L1 63"/>
    <n v="0"/>
    <m/>
    <m/>
    <m/>
    <m/>
    <m/>
    <m/>
    <n v="0"/>
    <m/>
    <m/>
    <m/>
    <m/>
    <n v="0"/>
    <n v="0"/>
    <n v="0"/>
    <n v="0"/>
    <n v="0"/>
    <n v="0"/>
    <n v="0"/>
  </r>
  <r>
    <x v="13"/>
    <x v="153"/>
    <s v="Réduit"/>
    <s v="TransairTé RéduitRéduit"/>
    <s v="Ø 100 &gt; Ø 76"/>
    <n v="6"/>
    <s v="RX04L3L1"/>
    <s v="Parker"/>
    <s v="RX04 L3 L1"/>
    <n v="0"/>
    <m/>
    <m/>
    <m/>
    <m/>
    <m/>
    <m/>
    <n v="0"/>
    <m/>
    <m/>
    <m/>
    <m/>
    <n v="0"/>
    <n v="0"/>
    <n v="0"/>
    <n v="0"/>
    <n v="0"/>
    <n v="0"/>
    <n v="0"/>
  </r>
  <r>
    <x v="13"/>
    <x v="153"/>
    <s v="Réduit"/>
    <s v="TransairTé RéduitRéduit"/>
    <s v="Ø 168 &gt; Ø 76"/>
    <n v="7"/>
    <s v="RA04L8L1"/>
    <s v="Parker"/>
    <s v="RA04 L8 L1"/>
    <n v="0"/>
    <m/>
    <m/>
    <m/>
    <m/>
    <m/>
    <m/>
    <n v="0"/>
    <m/>
    <m/>
    <m/>
    <m/>
    <n v="0"/>
    <n v="0"/>
    <n v="0"/>
    <n v="0"/>
    <n v="0"/>
    <n v="0"/>
    <n v="0"/>
  </r>
  <r>
    <x v="13"/>
    <x v="153"/>
    <s v="Mixte F"/>
    <s v="TransairTé RéduitMixte F"/>
    <s v="Ø 76 G1/2"/>
    <n v="8"/>
    <s v="RX23L104"/>
    <s v="Parker"/>
    <s v="RX23 L1 04"/>
    <n v="0"/>
    <m/>
    <m/>
    <m/>
    <m/>
    <m/>
    <m/>
    <n v="0"/>
    <m/>
    <m/>
    <m/>
    <m/>
    <n v="0"/>
    <n v="0"/>
    <n v="0"/>
    <n v="0"/>
    <n v="0"/>
    <n v="0"/>
    <n v="0"/>
  </r>
  <r>
    <x v="13"/>
    <x v="211"/>
    <m/>
    <s v="TransairTube"/>
    <m/>
    <n v="0"/>
    <m/>
    <m/>
    <m/>
    <n v="0"/>
    <m/>
    <m/>
    <m/>
    <m/>
    <m/>
    <m/>
    <n v="0"/>
    <m/>
    <m/>
    <m/>
    <m/>
    <n v="0"/>
    <n v="0"/>
    <n v="0"/>
    <n v="0"/>
    <n v="0"/>
    <n v="0"/>
    <n v="0"/>
  </r>
  <r>
    <x v="13"/>
    <x v="211"/>
    <s v="Bleu (Air comprimé)"/>
    <s v="TransairTubeBleu (Air comprimé)"/>
    <s v="Ø 16,5 LONG : 3M "/>
    <n v="1"/>
    <s v="1003A170400"/>
    <s v="Parker"/>
    <s v="1003A17 04 00"/>
    <n v="0"/>
    <m/>
    <m/>
    <m/>
    <m/>
    <m/>
    <m/>
    <n v="0"/>
    <m/>
    <m/>
    <m/>
    <m/>
    <n v="0"/>
    <n v="0"/>
    <n v="0"/>
    <n v="0"/>
    <n v="0"/>
    <n v="0"/>
    <n v="0"/>
  </r>
  <r>
    <x v="13"/>
    <x v="211"/>
    <s v="Bleu (Air comprimé)"/>
    <s v="TransairTubeBleu (Air comprimé)"/>
    <s v="Ø16,5 LONG : 4,5M "/>
    <n v="2"/>
    <s v="1004A1704"/>
    <s v="Parker"/>
    <s v="1004A17 04"/>
    <n v="0"/>
    <m/>
    <m/>
    <m/>
    <m/>
    <m/>
    <m/>
    <n v="0"/>
    <m/>
    <m/>
    <m/>
    <m/>
    <n v="0"/>
    <n v="0"/>
    <n v="0"/>
    <n v="0"/>
    <n v="0"/>
    <n v="0"/>
    <n v="0"/>
  </r>
  <r>
    <x v="13"/>
    <x v="211"/>
    <s v="Bleu (Air comprimé)"/>
    <s v="TransairTubeBleu (Air comprimé)"/>
    <s v="Ø 25 LONG : 3M"/>
    <n v="3"/>
    <s v="1003A250400"/>
    <s v="Parker"/>
    <s v="1003A25 04 00"/>
    <n v="0"/>
    <m/>
    <m/>
    <m/>
    <m/>
    <m/>
    <m/>
    <n v="0"/>
    <m/>
    <m/>
    <m/>
    <m/>
    <n v="0"/>
    <n v="0"/>
    <n v="0"/>
    <n v="0"/>
    <n v="0"/>
    <n v="0"/>
    <n v="0"/>
  </r>
  <r>
    <x v="13"/>
    <x v="211"/>
    <s v="Bleu (Air comprimé)"/>
    <s v="TransairTubeBleu (Air comprimé)"/>
    <s v="Ø 25 LONG : 6M"/>
    <n v="4"/>
    <s v="1006A250400"/>
    <s v="Parker"/>
    <s v="1006A25 04 00"/>
    <n v="0"/>
    <m/>
    <m/>
    <m/>
    <m/>
    <m/>
    <m/>
    <n v="0"/>
    <m/>
    <m/>
    <m/>
    <m/>
    <n v="0"/>
    <n v="0"/>
    <n v="0"/>
    <n v="0"/>
    <n v="0"/>
    <n v="0"/>
    <n v="0"/>
  </r>
  <r>
    <x v="13"/>
    <x v="211"/>
    <s v="Bleu (Air comprimé)"/>
    <s v="TransairTubeBleu (Air comprimé)"/>
    <s v="Ø 40 LONG : 3M"/>
    <n v="5"/>
    <s v="1003A400400"/>
    <s v="Parker"/>
    <s v="1003A40 04 00"/>
    <n v="0"/>
    <m/>
    <m/>
    <m/>
    <m/>
    <m/>
    <m/>
    <n v="0"/>
    <m/>
    <m/>
    <m/>
    <m/>
    <n v="0"/>
    <n v="0"/>
    <n v="0"/>
    <n v="0"/>
    <n v="0"/>
    <n v="0"/>
    <n v="0"/>
  </r>
  <r>
    <x v="13"/>
    <x v="211"/>
    <s v="Bleu (Air comprimé)"/>
    <s v="TransairTubeBleu (Air comprimé)"/>
    <s v="Ø 40 LONG : 6M"/>
    <n v="6"/>
    <s v="1006A400400"/>
    <s v="Parker"/>
    <s v="1006A40 04 00"/>
    <n v="0"/>
    <m/>
    <m/>
    <m/>
    <m/>
    <m/>
    <m/>
    <n v="0"/>
    <m/>
    <m/>
    <m/>
    <m/>
    <n v="0"/>
    <n v="0"/>
    <n v="0"/>
    <n v="0"/>
    <n v="0"/>
    <n v="0"/>
    <n v="0"/>
  </r>
  <r>
    <x v="13"/>
    <x v="211"/>
    <s v="Bleu (Air comprimé)"/>
    <s v="TransairTubeBleu (Air comprimé)"/>
    <s v="Ø 50 LONG : 6M"/>
    <n v="7"/>
    <s v="1006A500400"/>
    <s v="Parker"/>
    <s v="1006A50 04 00"/>
    <n v="0"/>
    <m/>
    <m/>
    <m/>
    <m/>
    <m/>
    <m/>
    <n v="0"/>
    <m/>
    <m/>
    <m/>
    <m/>
    <n v="0"/>
    <n v="0"/>
    <n v="0"/>
    <n v="0"/>
    <n v="0"/>
    <n v="0"/>
    <n v="0"/>
  </r>
  <r>
    <x v="13"/>
    <x v="211"/>
    <s v="Bleu (Air comprimé)"/>
    <s v="TransairTubeBleu (Air comprimé)"/>
    <s v="Ø 63 LONG : 3M"/>
    <n v="8"/>
    <s v="1003A6304"/>
    <s v="Parker"/>
    <s v="1003A63 04"/>
    <n v="0"/>
    <m/>
    <m/>
    <m/>
    <m/>
    <m/>
    <m/>
    <n v="0"/>
    <m/>
    <m/>
    <m/>
    <m/>
    <n v="0"/>
    <n v="0"/>
    <n v="0"/>
    <n v="0"/>
    <n v="0"/>
    <n v="0"/>
    <n v="0"/>
  </r>
  <r>
    <x v="13"/>
    <x v="211"/>
    <s v="Bleu (Air comprimé)"/>
    <s v="TransairTubeBleu (Air comprimé)"/>
    <s v="Ø 63 LONG : 6M"/>
    <n v="9"/>
    <s v="1006A6304"/>
    <s v="Parker"/>
    <s v="1006A63 04"/>
    <n v="0"/>
    <m/>
    <m/>
    <m/>
    <m/>
    <m/>
    <m/>
    <n v="0"/>
    <m/>
    <m/>
    <m/>
    <m/>
    <n v="0"/>
    <n v="0"/>
    <n v="0"/>
    <n v="0"/>
    <n v="0"/>
    <n v="0"/>
    <n v="0"/>
  </r>
  <r>
    <x v="13"/>
    <x v="211"/>
    <s v="Bleu (Air comprimé)"/>
    <s v="TransairTubeBleu (Air comprimé)"/>
    <s v="Ø 76 LONG : 6M"/>
    <n v="10"/>
    <s v="TA06L104"/>
    <s v="Parker"/>
    <s v="TA06 L1 04"/>
    <n v="0"/>
    <m/>
    <m/>
    <m/>
    <m/>
    <m/>
    <m/>
    <n v="0"/>
    <m/>
    <m/>
    <m/>
    <m/>
    <n v="0"/>
    <n v="0"/>
    <n v="0"/>
    <n v="0"/>
    <n v="0"/>
    <n v="0"/>
    <n v="0"/>
  </r>
  <r>
    <x v="13"/>
    <x v="211"/>
    <s v="Bleu (Air comprimé)"/>
    <s v="TransairTubeBleu (Air comprimé)"/>
    <s v="Ø 100 LONG : 3M"/>
    <n v="11"/>
    <s v="TA03L304"/>
    <s v="Parker"/>
    <s v="TA03 L3 04"/>
    <n v="0"/>
    <m/>
    <m/>
    <m/>
    <m/>
    <m/>
    <m/>
    <n v="0"/>
    <m/>
    <m/>
    <m/>
    <m/>
    <n v="0"/>
    <n v="0"/>
    <n v="0"/>
    <n v="0"/>
    <n v="0"/>
    <n v="0"/>
    <n v="0"/>
  </r>
  <r>
    <x v="13"/>
    <x v="211"/>
    <s v="Bleu (Air comprimé)"/>
    <s v="TransairTubeBleu (Air comprimé)"/>
    <s v="Ø 100 LONG : 6M"/>
    <n v="12"/>
    <s v="TA06L304"/>
    <s v="Parker"/>
    <s v="TA06 L3 04"/>
    <n v="0"/>
    <m/>
    <m/>
    <m/>
    <m/>
    <m/>
    <m/>
    <n v="0"/>
    <m/>
    <m/>
    <m/>
    <m/>
    <n v="0"/>
    <n v="0"/>
    <n v="0"/>
    <n v="0"/>
    <n v="0"/>
    <n v="0"/>
    <n v="0"/>
  </r>
  <r>
    <x v="13"/>
    <x v="211"/>
    <s v="Bleu (Air comprimé)"/>
    <s v="TransairTubeBleu (Air comprimé)"/>
    <s v="Ø 168 LONG : 6M"/>
    <n v="13"/>
    <s v="TA06L804"/>
    <s v="Parker"/>
    <s v="TA06 L8 04"/>
    <n v="0"/>
    <m/>
    <m/>
    <m/>
    <m/>
    <m/>
    <m/>
    <n v="0"/>
    <m/>
    <m/>
    <m/>
    <m/>
    <n v="0"/>
    <n v="0"/>
    <n v="0"/>
    <n v="0"/>
    <n v="0"/>
    <n v="0"/>
    <n v="0"/>
  </r>
  <r>
    <x v="13"/>
    <x v="211"/>
    <s v="Gris (Vide)"/>
    <s v="TransairTubeGris (Vide)"/>
    <s v="Ø 25 LONG : 3M"/>
    <n v="14"/>
    <s v="1003A250600"/>
    <s v="Parker"/>
    <s v="1003A25 06 00"/>
    <n v="0"/>
    <m/>
    <m/>
    <m/>
    <m/>
    <m/>
    <m/>
    <n v="0"/>
    <m/>
    <m/>
    <m/>
    <m/>
    <n v="0"/>
    <n v="0"/>
    <n v="0"/>
    <n v="0"/>
    <n v="0"/>
    <n v="0"/>
    <n v="0"/>
  </r>
  <r>
    <x v="13"/>
    <x v="211"/>
    <s v="Gris (Vide)"/>
    <s v="TransairTubeGris (Vide)"/>
    <s v="Ø 25 LONG : 6M"/>
    <n v="15"/>
    <s v="1006A250600"/>
    <s v="Parker"/>
    <s v="1006A25 06 00"/>
    <n v="0"/>
    <m/>
    <m/>
    <m/>
    <m/>
    <m/>
    <m/>
    <n v="0"/>
    <m/>
    <m/>
    <m/>
    <m/>
    <n v="0"/>
    <n v="0"/>
    <n v="0"/>
    <n v="0"/>
    <n v="0"/>
    <n v="0"/>
    <n v="0"/>
  </r>
  <r>
    <x v="13"/>
    <x v="211"/>
    <s v="Gris (Vide)"/>
    <s v="TransairTubeGris (Vide)"/>
    <s v="Ø 40 LONG : 6M"/>
    <n v="16"/>
    <s v="1006A400600"/>
    <s v="Parker"/>
    <s v="1006A40 06 00"/>
    <n v="0"/>
    <m/>
    <m/>
    <m/>
    <m/>
    <m/>
    <m/>
    <n v="0"/>
    <m/>
    <m/>
    <m/>
    <m/>
    <n v="0"/>
    <n v="0"/>
    <n v="0"/>
    <n v="0"/>
    <n v="0"/>
    <n v="0"/>
    <n v="0"/>
  </r>
  <r>
    <x v="13"/>
    <x v="211"/>
    <s v="Gris (Vide)"/>
    <s v="TransairTubeGris (Vide)"/>
    <s v="Ø 50 LONG : 6M"/>
    <n v="17"/>
    <s v="1006A50 06"/>
    <s v="Parker"/>
    <s v="1006A50 06"/>
    <n v="0"/>
    <m/>
    <m/>
    <m/>
    <m/>
    <m/>
    <m/>
    <n v="0"/>
    <m/>
    <m/>
    <m/>
    <m/>
    <n v="0"/>
    <n v="0"/>
    <n v="0"/>
    <n v="0"/>
    <n v="0"/>
    <n v="0"/>
    <n v="0"/>
  </r>
  <r>
    <x v="13"/>
    <x v="211"/>
    <s v="Gris (Vide)"/>
    <s v="TransairTubeGris (Vide)"/>
    <s v="Ø 63 LONG : 6M"/>
    <n v="18"/>
    <s v="1006A6306"/>
    <s v="Parker"/>
    <s v="1006A63 06"/>
    <n v="0"/>
    <m/>
    <m/>
    <m/>
    <m/>
    <m/>
    <m/>
    <n v="0"/>
    <m/>
    <m/>
    <m/>
    <m/>
    <n v="0"/>
    <n v="0"/>
    <n v="0"/>
    <n v="0"/>
    <n v="0"/>
    <n v="0"/>
    <n v="0"/>
  </r>
  <r>
    <x v="13"/>
    <x v="211"/>
    <s v="Vert (Gazs neutres)"/>
    <s v="TransairTubeVert (Gazs neutres)"/>
    <s v="Ø16,5 LONG : 4,5M "/>
    <n v="19"/>
    <s v="1004A1702"/>
    <s v="Parker"/>
    <s v="1004A17 02"/>
    <n v="0"/>
    <m/>
    <m/>
    <m/>
    <m/>
    <m/>
    <m/>
    <n v="0"/>
    <m/>
    <m/>
    <m/>
    <m/>
    <n v="0"/>
    <n v="0"/>
    <n v="0"/>
    <n v="0"/>
    <n v="0"/>
    <n v="0"/>
    <n v="0"/>
  </r>
  <r>
    <x v="13"/>
    <x v="211"/>
    <s v="Vert (Gazs neutres)"/>
    <s v="TransairTubeVert (Gazs neutres)"/>
    <s v="Ø 25 LONG : 6M"/>
    <n v="20"/>
    <s v="1006A250200"/>
    <s v="Parker"/>
    <s v="1006A25 02 00"/>
    <n v="0"/>
    <m/>
    <m/>
    <m/>
    <m/>
    <m/>
    <m/>
    <n v="0"/>
    <m/>
    <m/>
    <m/>
    <m/>
    <n v="0"/>
    <n v="0"/>
    <n v="0"/>
    <n v="0"/>
    <n v="0"/>
    <n v="0"/>
    <n v="0"/>
  </r>
  <r>
    <x v="13"/>
    <x v="211"/>
    <s v="Vert (Gazs neutres)"/>
    <s v="TransairTubeVert (Gazs neutres)"/>
    <s v="Ø 50 LONG : 6M"/>
    <n v="21"/>
    <s v="1006A5002"/>
    <s v="Parker"/>
    <s v="1006A50 02"/>
    <n v="0"/>
    <m/>
    <m/>
    <m/>
    <m/>
    <m/>
    <m/>
    <n v="0"/>
    <m/>
    <m/>
    <m/>
    <m/>
    <n v="0"/>
    <n v="0"/>
    <n v="0"/>
    <n v="0"/>
    <n v="0"/>
    <n v="0"/>
    <n v="0"/>
  </r>
  <r>
    <x v="13"/>
    <x v="212"/>
    <m/>
    <s v="TransairTuyaux flexibles"/>
    <m/>
    <n v="0"/>
    <m/>
    <m/>
    <m/>
    <n v="0"/>
    <m/>
    <m/>
    <m/>
    <m/>
    <m/>
    <m/>
    <n v="0"/>
    <m/>
    <m/>
    <m/>
    <m/>
    <n v="0"/>
    <n v="0"/>
    <n v="0"/>
    <n v="0"/>
    <n v="0"/>
    <n v="0"/>
    <n v="0"/>
  </r>
  <r>
    <x v="13"/>
    <x v="212"/>
    <m/>
    <s v="TransairTuyaux flexibles"/>
    <s v="Ø 25 LONG : 0,570M"/>
    <n v="1"/>
    <s v="1001E250001"/>
    <s v="Parker"/>
    <s v="1001E25 00 01"/>
    <n v="0"/>
    <m/>
    <m/>
    <m/>
    <m/>
    <m/>
    <m/>
    <n v="0"/>
    <m/>
    <m/>
    <m/>
    <m/>
    <n v="0"/>
    <n v="0"/>
    <n v="0"/>
    <n v="0"/>
    <n v="0"/>
    <n v="0"/>
    <n v="0"/>
  </r>
  <r>
    <x v="13"/>
    <x v="212"/>
    <m/>
    <s v="TransairTuyaux flexibles"/>
    <s v="Ø 25 LONG : 1,500M"/>
    <n v="2"/>
    <s v="1001E250003"/>
    <s v="Parker"/>
    <s v="1001E25 00 03"/>
    <n v="0"/>
    <m/>
    <m/>
    <m/>
    <m/>
    <m/>
    <m/>
    <n v="0"/>
    <m/>
    <m/>
    <m/>
    <m/>
    <n v="0"/>
    <n v="0"/>
    <n v="0"/>
    <n v="0"/>
    <n v="0"/>
    <n v="0"/>
    <n v="0"/>
  </r>
  <r>
    <x v="13"/>
    <x v="212"/>
    <m/>
    <s v="TransairTuyaux flexibles"/>
    <s v="Ø 25 LONG : 2,000M"/>
    <n v="3"/>
    <s v="1001E250004"/>
    <s v="Parker"/>
    <s v="1001E25 00 04"/>
    <n v="0"/>
    <m/>
    <m/>
    <m/>
    <m/>
    <m/>
    <m/>
    <n v="0"/>
    <m/>
    <m/>
    <m/>
    <m/>
    <n v="0"/>
    <n v="0"/>
    <n v="0"/>
    <n v="0"/>
    <n v="0"/>
    <n v="0"/>
    <n v="0"/>
  </r>
  <r>
    <x v="13"/>
    <x v="212"/>
    <m/>
    <s v="TransairTuyaux flexibles"/>
    <s v="Ø 40 LONG : 1,150M"/>
    <n v="4"/>
    <s v="1001E400002"/>
    <s v="Parker"/>
    <s v="1001E40 00 02"/>
    <n v="0"/>
    <m/>
    <m/>
    <m/>
    <m/>
    <m/>
    <m/>
    <n v="0"/>
    <m/>
    <m/>
    <m/>
    <m/>
    <n v="0"/>
    <n v="0"/>
    <n v="0"/>
    <n v="0"/>
    <n v="0"/>
    <n v="0"/>
    <n v="0"/>
  </r>
  <r>
    <x v="13"/>
    <x v="212"/>
    <m/>
    <s v="TransairTuyaux flexibles"/>
    <s v="Ø 40 LONG : 2,000M"/>
    <n v="5"/>
    <s v="1001E400004"/>
    <s v="Parker"/>
    <s v="1001E40 00 04"/>
    <n v="0"/>
    <m/>
    <m/>
    <m/>
    <m/>
    <m/>
    <m/>
    <n v="0"/>
    <m/>
    <m/>
    <m/>
    <m/>
    <n v="0"/>
    <n v="0"/>
    <n v="0"/>
    <n v="0"/>
    <n v="0"/>
    <n v="0"/>
    <n v="0"/>
  </r>
  <r>
    <x v="13"/>
    <x v="212"/>
    <m/>
    <s v="TransairTuyaux flexibles"/>
    <s v="Ø 40 LONG : 3,000M"/>
    <n v="6"/>
    <s v="1001E400005"/>
    <s v="Parker"/>
    <s v="1001E40 00 05"/>
    <n v="0"/>
    <m/>
    <m/>
    <m/>
    <m/>
    <m/>
    <m/>
    <n v="0"/>
    <m/>
    <m/>
    <m/>
    <m/>
    <n v="0"/>
    <n v="0"/>
    <n v="0"/>
    <n v="0"/>
    <n v="0"/>
    <n v="0"/>
    <n v="0"/>
  </r>
  <r>
    <x v="13"/>
    <x v="212"/>
    <m/>
    <s v="TransairTuyaux flexibles"/>
    <s v="Ø 50 LONG : 2,000M"/>
    <n v="7"/>
    <s v="1001E500004"/>
    <s v="Parker"/>
    <s v="1001E50 00 04"/>
    <n v="0"/>
    <m/>
    <m/>
    <m/>
    <m/>
    <m/>
    <m/>
    <n v="0"/>
    <m/>
    <m/>
    <m/>
    <m/>
    <n v="0"/>
    <n v="0"/>
    <n v="0"/>
    <n v="0"/>
    <n v="0"/>
    <n v="0"/>
    <n v="0"/>
  </r>
  <r>
    <x v="13"/>
    <x v="212"/>
    <m/>
    <s v="TransairTuyaux flexibles"/>
    <s v="Ø 50 LONG : 1,000M"/>
    <n v="8"/>
    <s v="1001E500009"/>
    <s v="Parker"/>
    <s v="1001E50 00 09"/>
    <n v="0"/>
    <m/>
    <m/>
    <m/>
    <m/>
    <m/>
    <m/>
    <n v="0"/>
    <m/>
    <m/>
    <m/>
    <m/>
    <n v="0"/>
    <n v="0"/>
    <n v="0"/>
    <n v="0"/>
    <n v="0"/>
    <n v="0"/>
    <n v="0"/>
  </r>
  <r>
    <x v="13"/>
    <x v="212"/>
    <m/>
    <s v="TransairTuyaux flexibles"/>
    <s v="Ø 63 LONG : 1,400M"/>
    <n v="9"/>
    <s v="1001E630008"/>
    <s v="Parker"/>
    <s v="1001E63 00 08"/>
    <n v="0"/>
    <m/>
    <m/>
    <m/>
    <m/>
    <m/>
    <m/>
    <n v="0"/>
    <m/>
    <m/>
    <m/>
    <m/>
    <n v="0"/>
    <n v="0"/>
    <n v="0"/>
    <n v="0"/>
    <n v="0"/>
    <n v="0"/>
    <n v="0"/>
  </r>
  <r>
    <x v="13"/>
    <x v="212"/>
    <m/>
    <s v="TransairTuyaux flexibles"/>
    <s v="Ø 63 LONG : 3,000M"/>
    <n v="10"/>
    <s v="1001E630005"/>
    <s v="Parker"/>
    <s v="1001E63 00 05"/>
    <n v="0"/>
    <m/>
    <m/>
    <m/>
    <m/>
    <m/>
    <m/>
    <n v="0"/>
    <m/>
    <m/>
    <m/>
    <m/>
    <n v="0"/>
    <n v="0"/>
    <n v="0"/>
    <n v="0"/>
    <n v="0"/>
    <n v="0"/>
    <n v="0"/>
  </r>
  <r>
    <x v="13"/>
    <x v="213"/>
    <m/>
    <s v="TransairVannes"/>
    <m/>
    <n v="0"/>
    <m/>
    <m/>
    <m/>
    <n v="0"/>
    <m/>
    <m/>
    <m/>
    <m/>
    <m/>
    <m/>
    <n v="0"/>
    <m/>
    <m/>
    <m/>
    <m/>
    <n v="0"/>
    <n v="0"/>
    <n v="0"/>
    <n v="0"/>
    <n v="0"/>
    <n v="0"/>
    <n v="0"/>
  </r>
  <r>
    <x v="13"/>
    <x v="213"/>
    <s v="Boisseau sph. FF"/>
    <s v="TransairVannesBoisseau sph. FF"/>
    <s v="G1/2"/>
    <n v="1"/>
    <s v="VR030004"/>
    <s v="Parker"/>
    <s v="VR03 00 04"/>
    <n v="0"/>
    <m/>
    <m/>
    <m/>
    <m/>
    <m/>
    <m/>
    <n v="0"/>
    <m/>
    <m/>
    <m/>
    <m/>
    <n v="0"/>
    <n v="0"/>
    <n v="0"/>
    <n v="0"/>
    <n v="0"/>
    <n v="0"/>
    <n v="0"/>
  </r>
  <r>
    <x v="13"/>
    <x v="213"/>
    <s v="Boisseau sph. FF"/>
    <s v="TransairVannesBoisseau sph. FF"/>
    <s v="G3/4"/>
    <n v="2"/>
    <s v="VR030006"/>
    <s v="Parker"/>
    <s v="VR03 00 06"/>
    <n v="0"/>
    <m/>
    <m/>
    <m/>
    <m/>
    <m/>
    <m/>
    <n v="0"/>
    <m/>
    <m/>
    <m/>
    <m/>
    <n v="0"/>
    <n v="0"/>
    <n v="0"/>
    <n v="0"/>
    <n v="0"/>
    <n v="0"/>
    <n v="0"/>
  </r>
  <r>
    <x v="13"/>
    <x v="213"/>
    <s v="Boisseau sph. FF"/>
    <s v="TransairVannesBoisseau sph. FF"/>
    <s v="G1’’"/>
    <n v="3"/>
    <s v="VR030008"/>
    <s v="Parker"/>
    <s v="VR03 00 08"/>
    <n v="0"/>
    <m/>
    <m/>
    <m/>
    <m/>
    <m/>
    <m/>
    <n v="0"/>
    <m/>
    <m/>
    <m/>
    <m/>
    <n v="0"/>
    <n v="0"/>
    <n v="0"/>
    <n v="0"/>
    <n v="0"/>
    <n v="0"/>
    <n v="0"/>
  </r>
  <r>
    <x v="13"/>
    <x v="213"/>
    <s v="Boisseau sph. FF"/>
    <s v="TransairVannesBoisseau sph. FF"/>
    <s v="G1’’1/4"/>
    <n v="4"/>
    <s v="VR030010"/>
    <s v="Parker"/>
    <s v="VR03 00 10"/>
    <n v="0"/>
    <m/>
    <m/>
    <m/>
    <m/>
    <m/>
    <m/>
    <n v="0"/>
    <m/>
    <m/>
    <m/>
    <m/>
    <n v="0"/>
    <n v="0"/>
    <n v="0"/>
    <n v="0"/>
    <n v="0"/>
    <n v="0"/>
    <n v="0"/>
  </r>
  <r>
    <x v="13"/>
    <x v="213"/>
    <s v="Boisseau sph. FF"/>
    <s v="TransairVannesBoisseau sph. FF"/>
    <s v="G1’’1/2"/>
    <n v="5"/>
    <s v="VR030012"/>
    <s v="Parker"/>
    <s v="VR03 00 12"/>
    <n v="0"/>
    <m/>
    <m/>
    <m/>
    <m/>
    <m/>
    <m/>
    <n v="0"/>
    <m/>
    <m/>
    <m/>
    <m/>
    <n v="0"/>
    <n v="0"/>
    <n v="0"/>
    <n v="0"/>
    <n v="0"/>
    <n v="0"/>
    <n v="0"/>
  </r>
  <r>
    <x v="13"/>
    <x v="213"/>
    <s v="Boisseau sph. FF"/>
    <s v="TransairVannesBoisseau sph. FF"/>
    <s v="G2’’"/>
    <n v="6"/>
    <s v="VR030016"/>
    <s v="Parker"/>
    <s v="VR03 00 16"/>
    <n v="0"/>
    <m/>
    <m/>
    <m/>
    <m/>
    <m/>
    <m/>
    <n v="0"/>
    <m/>
    <m/>
    <m/>
    <m/>
    <n v="0"/>
    <n v="0"/>
    <n v="0"/>
    <n v="0"/>
    <n v="0"/>
    <n v="0"/>
    <n v="0"/>
  </r>
  <r>
    <x v="13"/>
    <x v="213"/>
    <s v="Boisseau sph. FF"/>
    <s v="TransairVannesBoisseau sph. FF"/>
    <s v="G2’’1/2"/>
    <n v="7"/>
    <s v="VR030020"/>
    <s v="Parker"/>
    <s v="VR03 00 20"/>
    <n v="0"/>
    <m/>
    <m/>
    <m/>
    <m/>
    <m/>
    <m/>
    <n v="0"/>
    <m/>
    <m/>
    <m/>
    <m/>
    <n v="0"/>
    <n v="0"/>
    <n v="0"/>
    <n v="0"/>
    <n v="0"/>
    <n v="0"/>
    <n v="0"/>
  </r>
  <r>
    <x v="13"/>
    <x v="213"/>
    <s v="Boisseau sph. MF"/>
    <s v="TransairVannesBoisseau sph. MF"/>
    <s v="G1/2&quot;"/>
    <n v="8"/>
    <s v="VR040004"/>
    <s v="Parker"/>
    <s v="VR04 00 04"/>
    <n v="0"/>
    <m/>
    <m/>
    <m/>
    <m/>
    <m/>
    <m/>
    <n v="0"/>
    <m/>
    <m/>
    <m/>
    <m/>
    <n v="0"/>
    <n v="0"/>
    <n v="0"/>
    <n v="0"/>
    <n v="0"/>
    <n v="0"/>
    <n v="0"/>
  </r>
  <r>
    <x v="13"/>
    <x v="213"/>
    <s v="Boisseau sph. MF"/>
    <s v="TransairVannesBoisseau sph. MF"/>
    <s v="G3/4&quot;"/>
    <n v="9"/>
    <s v="VR040006"/>
    <s v="Parker"/>
    <s v="VR04 00 06"/>
    <n v="0"/>
    <m/>
    <m/>
    <m/>
    <m/>
    <m/>
    <m/>
    <n v="0"/>
    <m/>
    <m/>
    <m/>
    <m/>
    <n v="0"/>
    <n v="0"/>
    <n v="0"/>
    <n v="0"/>
    <n v="0"/>
    <n v="0"/>
    <n v="0"/>
  </r>
  <r>
    <x v="13"/>
    <x v="213"/>
    <s v="Boisseau sph. MF"/>
    <s v="TransairVannesBoisseau sph. MF"/>
    <s v="G1&quot;"/>
    <n v="10"/>
    <s v="VR040008"/>
    <s v="Parker"/>
    <s v="VR04 00 08"/>
    <n v="0"/>
    <m/>
    <m/>
    <m/>
    <m/>
    <m/>
    <m/>
    <n v="0"/>
    <m/>
    <m/>
    <m/>
    <m/>
    <n v="0"/>
    <n v="0"/>
    <n v="0"/>
    <n v="0"/>
    <n v="0"/>
    <n v="0"/>
    <n v="0"/>
  </r>
  <r>
    <x v="13"/>
    <x v="213"/>
    <s v="Boisseau sph. MF"/>
    <s v="TransairVannesBoisseau sph. MF"/>
    <s v="G1&quot;1/4"/>
    <n v="11"/>
    <s v="VR040010"/>
    <s v="Parker"/>
    <s v="VR04 00 10"/>
    <n v="0"/>
    <m/>
    <m/>
    <m/>
    <m/>
    <m/>
    <m/>
    <n v="0"/>
    <m/>
    <m/>
    <m/>
    <m/>
    <n v="0"/>
    <n v="0"/>
    <n v="0"/>
    <n v="0"/>
    <n v="0"/>
    <n v="0"/>
    <n v="0"/>
  </r>
  <r>
    <x v="13"/>
    <x v="213"/>
    <s v="Boisseau sph. MF"/>
    <s v="TransairVannesBoisseau sph. MF"/>
    <s v="G1&quot;1/2"/>
    <n v="12"/>
    <s v="VR040012"/>
    <s v="Parker"/>
    <s v="VR04 00 12"/>
    <n v="0"/>
    <m/>
    <m/>
    <m/>
    <m/>
    <m/>
    <m/>
    <n v="0"/>
    <m/>
    <m/>
    <m/>
    <m/>
    <n v="0"/>
    <n v="0"/>
    <n v="0"/>
    <n v="0"/>
    <n v="0"/>
    <n v="0"/>
    <n v="0"/>
  </r>
  <r>
    <x v="13"/>
    <x v="213"/>
    <s v="Boisseau sph. MF"/>
    <s v="TransairVannesBoisseau sph. MF"/>
    <s v="G2&quot;"/>
    <n v="13"/>
    <s v="VR040016"/>
    <s v="Parker"/>
    <s v="VR04 00 16"/>
    <n v="0"/>
    <m/>
    <m/>
    <m/>
    <m/>
    <m/>
    <m/>
    <n v="0"/>
    <m/>
    <m/>
    <m/>
    <m/>
    <n v="0"/>
    <n v="0"/>
    <n v="0"/>
    <n v="0"/>
    <n v="0"/>
    <n v="0"/>
    <n v="0"/>
  </r>
  <r>
    <x v="13"/>
    <x v="213"/>
    <s v="Mini vanne"/>
    <s v="TransairVannesMini vanne"/>
    <s v="MINI-VANNE MF 1/2&quot;"/>
    <n v="14"/>
    <s v="49811021TR"/>
    <s v="Parker"/>
    <s v="4981 10 21TR"/>
    <n v="0"/>
    <m/>
    <m/>
    <m/>
    <m/>
    <m/>
    <m/>
    <n v="0"/>
    <m/>
    <m/>
    <m/>
    <m/>
    <n v="0"/>
    <n v="0"/>
    <n v="0"/>
    <n v="0"/>
    <n v="0"/>
    <n v="0"/>
    <n v="0"/>
  </r>
  <r>
    <x v="13"/>
    <x v="213"/>
    <s v="Papillon joint NBR"/>
    <s v="TransairVannesPapillon joint NBR"/>
    <s v="DN80"/>
    <n v="15"/>
    <s v="VR02L100"/>
    <s v="Parker"/>
    <s v="VR02 L1 00"/>
    <n v="0"/>
    <m/>
    <m/>
    <m/>
    <m/>
    <m/>
    <m/>
    <n v="0"/>
    <m/>
    <m/>
    <m/>
    <m/>
    <n v="0"/>
    <n v="0"/>
    <n v="0"/>
    <n v="0"/>
    <n v="0"/>
    <n v="0"/>
    <n v="0"/>
  </r>
  <r>
    <x v="13"/>
    <x v="213"/>
    <s v="Papillon joint NBR"/>
    <s v="TransairVannesPapillon joint NBR"/>
    <s v="DN100"/>
    <n v="16"/>
    <s v="VR02L300"/>
    <s v="Parker"/>
    <s v="VR02 L3 00"/>
    <n v="0"/>
    <m/>
    <m/>
    <m/>
    <m/>
    <m/>
    <m/>
    <n v="0"/>
    <m/>
    <m/>
    <m/>
    <m/>
    <n v="0"/>
    <n v="0"/>
    <n v="0"/>
    <n v="0"/>
    <n v="0"/>
    <n v="0"/>
    <n v="0"/>
  </r>
  <r>
    <x v="13"/>
    <x v="213"/>
    <s v="Papillon joint NBR"/>
    <s v="TransairVannesPapillon joint NBR"/>
    <s v="DN150"/>
    <n v="17"/>
    <s v="VR02L800"/>
    <s v="Parker"/>
    <s v="VR02 L8 00"/>
    <n v="0"/>
    <m/>
    <m/>
    <m/>
    <m/>
    <m/>
    <m/>
    <n v="0"/>
    <m/>
    <m/>
    <m/>
    <m/>
    <n v="0"/>
    <n v="0"/>
    <n v="0"/>
    <n v="0"/>
    <n v="0"/>
    <n v="0"/>
    <n v="0"/>
  </r>
  <r>
    <x v="13"/>
    <x v="213"/>
    <s v="Pilotée"/>
    <s v="TransairVannesPilotée"/>
    <s v="VANNE PILOTEE Ø 40"/>
    <n v="18"/>
    <n v="42300040"/>
    <s v="Parker"/>
    <s v="4230 00 40"/>
    <n v="0"/>
    <m/>
    <m/>
    <m/>
    <m/>
    <m/>
    <m/>
    <n v="0"/>
    <m/>
    <m/>
    <m/>
    <m/>
    <n v="0"/>
    <n v="0"/>
    <n v="0"/>
    <n v="0"/>
    <n v="0"/>
    <n v="0"/>
    <n v="0"/>
  </r>
  <r>
    <x v="13"/>
    <x v="213"/>
    <s v="Pilotée"/>
    <s v="TransairVannesPilotée"/>
    <s v="ENSEMBLE DE PILOTAGE"/>
    <n v="19"/>
    <n v="42990301"/>
    <s v="Parker"/>
    <s v="4299 03 01"/>
    <n v="0"/>
    <m/>
    <m/>
    <m/>
    <m/>
    <m/>
    <m/>
    <n v="0"/>
    <m/>
    <m/>
    <m/>
    <m/>
    <n v="0"/>
    <n v="0"/>
    <n v="0"/>
    <n v="0"/>
    <n v="0"/>
    <n v="0"/>
    <n v="0"/>
  </r>
  <r>
    <x v="14"/>
    <x v="134"/>
    <s v="Bouchon"/>
    <s v="Inox Serti ItalienBouchonBouchon"/>
    <m/>
    <n v="0"/>
    <m/>
    <m/>
    <m/>
    <n v="0"/>
    <m/>
    <m/>
    <m/>
    <m/>
    <m/>
    <m/>
    <n v="0"/>
    <m/>
    <m/>
    <m/>
    <m/>
    <n v="0"/>
    <n v="0"/>
    <n v="0"/>
    <n v="0"/>
    <n v="0"/>
    <n v="0"/>
    <n v="0"/>
  </r>
  <r>
    <x v="14"/>
    <x v="134"/>
    <s v="Bouchon"/>
    <s v="Inox Serti ItalienBouchonBouchon"/>
    <s v="15 mm"/>
    <n v="1"/>
    <s v="R50150"/>
    <s v="RacMet"/>
    <n v="183015003"/>
    <n v="0"/>
    <m/>
    <m/>
    <m/>
    <m/>
    <m/>
    <m/>
    <n v="0"/>
    <n v="20"/>
    <n v="0"/>
    <m/>
    <m/>
    <n v="0"/>
    <n v="0"/>
    <n v="0"/>
    <n v="0"/>
    <n v="0"/>
    <n v="0"/>
    <n v="0"/>
  </r>
  <r>
    <x v="14"/>
    <x v="134"/>
    <s v="Bouchon"/>
    <s v="Inox Serti ItalienBouchonBouchon"/>
    <s v="18 mm"/>
    <n v="2"/>
    <s v="R50180"/>
    <s v="RacMet"/>
    <n v="183018003"/>
    <n v="0"/>
    <m/>
    <m/>
    <m/>
    <m/>
    <m/>
    <m/>
    <n v="0"/>
    <n v="20"/>
    <n v="0"/>
    <m/>
    <m/>
    <n v="0"/>
    <n v="0"/>
    <n v="0"/>
    <n v="0"/>
    <n v="0"/>
    <n v="0"/>
    <n v="0"/>
  </r>
  <r>
    <x v="14"/>
    <x v="134"/>
    <s v="Bouchon"/>
    <s v="Inox Serti ItalienBouchonBouchon"/>
    <s v="22 mm"/>
    <n v="3"/>
    <s v="R50220"/>
    <s v="RacMet"/>
    <n v="183022003"/>
    <n v="0"/>
    <m/>
    <m/>
    <m/>
    <m/>
    <m/>
    <m/>
    <n v="0"/>
    <n v="10"/>
    <n v="0"/>
    <m/>
    <m/>
    <n v="0"/>
    <n v="0"/>
    <n v="0"/>
    <n v="0"/>
    <n v="0"/>
    <n v="0"/>
    <n v="0"/>
  </r>
  <r>
    <x v="14"/>
    <x v="134"/>
    <s v="Bouchon"/>
    <s v="Inox Serti ItalienBouchonBouchon"/>
    <s v="28 mm"/>
    <n v="4"/>
    <s v="R50280"/>
    <s v="RacMet"/>
    <n v="183054003"/>
    <n v="0"/>
    <m/>
    <m/>
    <m/>
    <m/>
    <m/>
    <m/>
    <n v="0"/>
    <n v="10"/>
    <n v="0"/>
    <m/>
    <m/>
    <n v="0"/>
    <n v="0"/>
    <n v="0"/>
    <n v="0"/>
    <n v="0"/>
    <n v="0"/>
    <n v="0"/>
  </r>
  <r>
    <x v="14"/>
    <x v="134"/>
    <s v="Bouchon"/>
    <s v="Inox Serti ItalienBouchonBouchon"/>
    <s v="35 mm"/>
    <n v="5"/>
    <s v="R50350"/>
    <s v="RacMet"/>
    <n v="183035003"/>
    <n v="0"/>
    <m/>
    <m/>
    <m/>
    <m/>
    <m/>
    <m/>
    <n v="0"/>
    <n v="5"/>
    <n v="0"/>
    <m/>
    <m/>
    <n v="0"/>
    <n v="0"/>
    <n v="0"/>
    <n v="0"/>
    <n v="0"/>
    <n v="0"/>
    <n v="0"/>
  </r>
  <r>
    <x v="14"/>
    <x v="134"/>
    <s v="Bouchon"/>
    <s v="Inox Serti ItalienBouchonBouchon"/>
    <s v="42 mm"/>
    <n v="6"/>
    <s v="R50420"/>
    <s v="RacMet"/>
    <n v="183042003"/>
    <n v="0"/>
    <m/>
    <m/>
    <m/>
    <m/>
    <m/>
    <m/>
    <n v="0"/>
    <n v="4"/>
    <n v="0"/>
    <m/>
    <m/>
    <n v="0"/>
    <n v="0"/>
    <n v="0"/>
    <n v="0"/>
    <n v="0"/>
    <n v="0"/>
    <n v="0"/>
  </r>
  <r>
    <x v="14"/>
    <x v="134"/>
    <s v="Bouchon"/>
    <s v="Inox Serti ItalienBouchonBouchon"/>
    <s v="54 mm"/>
    <n v="7"/>
    <s v="R50540"/>
    <s v="RacMet"/>
    <n v="183054003"/>
    <n v="0"/>
    <m/>
    <m/>
    <m/>
    <m/>
    <m/>
    <m/>
    <n v="0"/>
    <n v="4"/>
    <n v="0"/>
    <m/>
    <m/>
    <n v="0"/>
    <n v="0"/>
    <n v="0"/>
    <n v="0"/>
    <n v="0"/>
    <n v="0"/>
    <n v="0"/>
  </r>
  <r>
    <x v="14"/>
    <x v="134"/>
    <s v="Bouchon"/>
    <s v="Inox Serti ItalienBouchonBouchon"/>
    <s v="76,1 mm"/>
    <n v="8"/>
    <s v="R50076"/>
    <s v="RacMet"/>
    <n v="183076003"/>
    <n v="0"/>
    <m/>
    <m/>
    <m/>
    <m/>
    <m/>
    <m/>
    <n v="0"/>
    <n v="2"/>
    <n v="0"/>
    <m/>
    <m/>
    <n v="0"/>
    <n v="0"/>
    <n v="0"/>
    <n v="0"/>
    <n v="0"/>
    <n v="0"/>
    <n v="0"/>
  </r>
  <r>
    <x v="14"/>
    <x v="134"/>
    <s v="Bouchon"/>
    <s v="Inox Serti ItalienBouchonBouchon"/>
    <s v="88,9 mm"/>
    <n v="9"/>
    <s v="R50080"/>
    <s v="RacMet"/>
    <n v="183088003"/>
    <n v="0"/>
    <m/>
    <m/>
    <m/>
    <m/>
    <m/>
    <m/>
    <n v="0"/>
    <n v="2"/>
    <n v="0"/>
    <m/>
    <m/>
    <n v="0"/>
    <n v="0"/>
    <n v="0"/>
    <n v="0"/>
    <n v="0"/>
    <n v="0"/>
    <n v="0"/>
  </r>
  <r>
    <x v="14"/>
    <x v="134"/>
    <s v="Bouchon"/>
    <s v="Inox Serti ItalienBouchonBouchon"/>
    <s v="108 mm"/>
    <n v="10"/>
    <s v="R50108"/>
    <s v="RacMet"/>
    <n v="183108003"/>
    <n v="0"/>
    <m/>
    <m/>
    <m/>
    <m/>
    <m/>
    <m/>
    <n v="0"/>
    <n v="2"/>
    <n v="0"/>
    <m/>
    <m/>
    <n v="0"/>
    <n v="0"/>
    <n v="0"/>
    <n v="0"/>
    <n v="0"/>
    <n v="0"/>
    <n v="0"/>
  </r>
  <r>
    <x v="14"/>
    <x v="214"/>
    <s v="Bride"/>
    <s v="Inox Serti ItalienBrideBride"/>
    <m/>
    <n v="0"/>
    <m/>
    <m/>
    <m/>
    <n v="0"/>
    <m/>
    <m/>
    <m/>
    <m/>
    <m/>
    <m/>
    <n v="0"/>
    <m/>
    <m/>
    <m/>
    <m/>
    <n v="0"/>
    <n v="0"/>
    <n v="0"/>
    <n v="0"/>
    <n v="0"/>
    <n v="0"/>
    <n v="0"/>
  </r>
  <r>
    <x v="14"/>
    <x v="214"/>
    <s v="Bride fixe à sertir inox 316L PN16"/>
    <s v="Inox Serti ItalienBrideBride fixe à sertir inox 316L PN16"/>
    <s v="Bride fixe à sertir inox 316L diam 15 mm PN16 DN15"/>
    <n v="1"/>
    <s v="REQF015-PN16"/>
    <s v="RacMet"/>
    <n v="193015000"/>
    <n v="0"/>
    <m/>
    <m/>
    <m/>
    <m/>
    <m/>
    <m/>
    <n v="0"/>
    <n v="2"/>
    <n v="0"/>
    <m/>
    <m/>
    <n v="0"/>
    <n v="0"/>
    <n v="0"/>
    <n v="0"/>
    <n v="0"/>
    <n v="0"/>
    <n v="0"/>
  </r>
  <r>
    <x v="14"/>
    <x v="214"/>
    <s v="Bride fixe à sertir inox 316L PN16"/>
    <s v="Inox Serti ItalienBrideBride fixe à sertir inox 316L PN16"/>
    <s v="Bride fixe à sertir inox 316L diam 18 mm PN16 DN15"/>
    <n v="2"/>
    <s v="REQF018-PN16"/>
    <s v="RacMet"/>
    <n v="193018000"/>
    <n v="0"/>
    <m/>
    <m/>
    <m/>
    <m/>
    <m/>
    <m/>
    <n v="0"/>
    <n v="2"/>
    <n v="0"/>
    <m/>
    <m/>
    <n v="0"/>
    <n v="0"/>
    <n v="0"/>
    <n v="0"/>
    <n v="0"/>
    <n v="0"/>
    <n v="0"/>
  </r>
  <r>
    <x v="14"/>
    <x v="214"/>
    <s v="Bride fixe à sertir inox 316L PN16"/>
    <s v="Inox Serti ItalienBrideBride fixe à sertir inox 316L PN16"/>
    <s v="Bride fixe à sertir inox 316L diam 22 mm PN16 DN20"/>
    <n v="3"/>
    <s v="REQF022-PN16"/>
    <s v="RacMet"/>
    <n v="193022000"/>
    <n v="0"/>
    <m/>
    <m/>
    <m/>
    <m/>
    <m/>
    <m/>
    <n v="0"/>
    <n v="2"/>
    <n v="0"/>
    <m/>
    <m/>
    <n v="0"/>
    <n v="0"/>
    <n v="0"/>
    <n v="0"/>
    <n v="0"/>
    <n v="0"/>
    <n v="0"/>
  </r>
  <r>
    <x v="14"/>
    <x v="214"/>
    <s v="Bride fixe à sertir inox 316L PN16"/>
    <s v="Inox Serti ItalienBrideBride fixe à sertir inox 316L PN16"/>
    <s v="Bride fixe à sertir inox 316L diam 28 mm PN16 DN25"/>
    <n v="4"/>
    <s v="REQF028-PN16"/>
    <s v="RacMet"/>
    <n v="193028000"/>
    <n v="0"/>
    <m/>
    <m/>
    <m/>
    <m/>
    <m/>
    <m/>
    <n v="0"/>
    <n v="2"/>
    <n v="0"/>
    <m/>
    <m/>
    <n v="0"/>
    <n v="0"/>
    <n v="0"/>
    <n v="0"/>
    <n v="0"/>
    <n v="0"/>
    <n v="0"/>
  </r>
  <r>
    <x v="14"/>
    <x v="214"/>
    <s v="Bride fixe à sertir inox 316L PN16"/>
    <s v="Inox Serti ItalienBrideBride fixe à sertir inox 316L PN16"/>
    <s v="Bride fixe à sertir inox 316L diam 35 mm PN16 DN32"/>
    <n v="5"/>
    <s v="REQF035-PN16"/>
    <s v="RacMet"/>
    <n v="193035000"/>
    <n v="0"/>
    <m/>
    <m/>
    <m/>
    <m/>
    <m/>
    <m/>
    <n v="0"/>
    <n v="2"/>
    <n v="0"/>
    <m/>
    <m/>
    <n v="0"/>
    <n v="0"/>
    <n v="0"/>
    <n v="0"/>
    <n v="0"/>
    <n v="0"/>
    <n v="0"/>
  </r>
  <r>
    <x v="14"/>
    <x v="214"/>
    <s v="Bride fixe à sertir inox 316L PN16"/>
    <s v="Inox Serti ItalienBrideBride fixe à sertir inox 316L PN16"/>
    <s v="Bride fixe à sertir inox 316L diam 42 mm PN16 DN40"/>
    <n v="6"/>
    <s v="REQF042-PN16"/>
    <s v="RacMet"/>
    <n v="193042000"/>
    <n v="0"/>
    <m/>
    <m/>
    <m/>
    <m/>
    <m/>
    <m/>
    <n v="0"/>
    <n v="2"/>
    <n v="0"/>
    <m/>
    <m/>
    <n v="0"/>
    <n v="0"/>
    <n v="0"/>
    <n v="0"/>
    <n v="0"/>
    <n v="0"/>
    <n v="0"/>
  </r>
  <r>
    <x v="14"/>
    <x v="214"/>
    <s v="Bride fixe à sertir inox 316L PN16"/>
    <s v="Inox Serti ItalienBrideBride fixe à sertir inox 316L PN16"/>
    <s v="Bride fixe à sertir inox 316L diam 54 mm PN16 DN50"/>
    <n v="7"/>
    <s v="REQF054-PN16"/>
    <s v="RacMet"/>
    <n v="193054000"/>
    <n v="0"/>
    <m/>
    <m/>
    <m/>
    <m/>
    <m/>
    <m/>
    <n v="0"/>
    <n v="2"/>
    <n v="0"/>
    <m/>
    <m/>
    <n v="0"/>
    <n v="0"/>
    <n v="0"/>
    <n v="0"/>
    <n v="0"/>
    <n v="0"/>
    <n v="0"/>
  </r>
  <r>
    <x v="14"/>
    <x v="214"/>
    <s v="Bride fixe à sertir inox 316L PN16"/>
    <s v="Inox Serti ItalienBrideBride fixe à sertir inox 316L PN16"/>
    <s v="Bride fixe à sertir inox 316L diam 76,1 mm PN16 DN65"/>
    <n v="8"/>
    <s v="REQF076-PN16"/>
    <s v="RacMet"/>
    <n v="193076000"/>
    <n v="0"/>
    <m/>
    <m/>
    <m/>
    <m/>
    <m/>
    <m/>
    <n v="0"/>
    <n v="2"/>
    <n v="0"/>
    <m/>
    <m/>
    <n v="0"/>
    <n v="0"/>
    <n v="0"/>
    <n v="0"/>
    <n v="0"/>
    <n v="0"/>
    <n v="0"/>
  </r>
  <r>
    <x v="14"/>
    <x v="214"/>
    <s v="Bride fixe à sertir inox 316L PN16"/>
    <s v="Inox Serti ItalienBrideBride fixe à sertir inox 316L PN16"/>
    <s v="Bride fixe à sertir inox 316L diam 88,9 mm PN16 DN80"/>
    <n v="9"/>
    <s v="REQF088-PN16"/>
    <s v="RacMet"/>
    <n v="193088000"/>
    <n v="0"/>
    <m/>
    <m/>
    <m/>
    <m/>
    <m/>
    <m/>
    <n v="0"/>
    <n v="2"/>
    <n v="0"/>
    <m/>
    <m/>
    <n v="0"/>
    <n v="0"/>
    <n v="0"/>
    <n v="0"/>
    <n v="0"/>
    <n v="0"/>
    <n v="0"/>
  </r>
  <r>
    <x v="14"/>
    <x v="214"/>
    <s v="Bride fixe à sertir inox 316L PN16"/>
    <s v="Inox Serti ItalienBrideBride fixe à sertir inox 316L PN16"/>
    <s v="Bride fixe à sertir inox 316L diam 108 mm PN16 DN100"/>
    <n v="10"/>
    <s v="REQF108-PN16"/>
    <s v="RacMet"/>
    <n v="193108000"/>
    <n v="0"/>
    <m/>
    <m/>
    <m/>
    <m/>
    <m/>
    <m/>
    <n v="0"/>
    <n v="2"/>
    <n v="0"/>
    <m/>
    <m/>
    <n v="0"/>
    <n v="0"/>
    <n v="0"/>
    <n v="0"/>
    <n v="0"/>
    <n v="0"/>
    <n v="0"/>
  </r>
  <r>
    <x v="14"/>
    <x v="214"/>
    <s v="Bride tournante à sertir emboutie PN10"/>
    <s v="Inox Serti ItalienBrideBride tournante à sertir emboutie PN10"/>
    <s v="54 DN50"/>
    <n v="14"/>
    <s v="REQF054"/>
    <s v="RacMet"/>
    <n v="193054001"/>
    <n v="0"/>
    <m/>
    <m/>
    <m/>
    <m/>
    <m/>
    <m/>
    <n v="0"/>
    <n v="2"/>
    <n v="0"/>
    <m/>
    <m/>
    <n v="0"/>
    <n v="0"/>
    <n v="0"/>
    <n v="0"/>
    <n v="0"/>
    <n v="0"/>
    <n v="0"/>
  </r>
  <r>
    <x v="14"/>
    <x v="214"/>
    <s v="Bride tournante à sertir emboutie PN10"/>
    <s v="Inox Serti ItalienBrideBride tournante à sertir emboutie PN10"/>
    <s v="76,1 DN65"/>
    <n v="15"/>
    <s v="REQF076"/>
    <s v="RacMet"/>
    <n v="193076001"/>
    <n v="0"/>
    <m/>
    <m/>
    <m/>
    <m/>
    <m/>
    <m/>
    <n v="0"/>
    <n v="2"/>
    <n v="0"/>
    <m/>
    <m/>
    <n v="0"/>
    <n v="0"/>
    <n v="0"/>
    <n v="0"/>
    <n v="0"/>
    <n v="0"/>
    <n v="0"/>
  </r>
  <r>
    <x v="14"/>
    <x v="214"/>
    <s v="Bride tournante à sertir emboutie PN10"/>
    <s v="Inox Serti ItalienBrideBride tournante à sertir emboutie PN10"/>
    <s v="88,9 DN80"/>
    <n v="16"/>
    <s v="REQF080"/>
    <s v="RacMet"/>
    <n v="193088001"/>
    <n v="0"/>
    <m/>
    <m/>
    <m/>
    <m/>
    <m/>
    <m/>
    <n v="0"/>
    <n v="2"/>
    <n v="0"/>
    <m/>
    <m/>
    <n v="0"/>
    <n v="0"/>
    <n v="0"/>
    <n v="0"/>
    <n v="0"/>
    <n v="0"/>
    <n v="0"/>
  </r>
  <r>
    <x v="14"/>
    <x v="214"/>
    <s v="Bride tournante à sertir emboutie PN10"/>
    <s v="Inox Serti ItalienBrideBride tournante à sertir emboutie PN10"/>
    <s v="108 DN100"/>
    <n v="17"/>
    <s v="REQF108"/>
    <s v="RacMet"/>
    <n v="193108001"/>
    <n v="0"/>
    <m/>
    <m/>
    <m/>
    <m/>
    <m/>
    <m/>
    <n v="0"/>
    <n v="2"/>
    <n v="0"/>
    <m/>
    <m/>
    <n v="0"/>
    <n v="0"/>
    <n v="0"/>
    <n v="0"/>
    <n v="0"/>
    <n v="0"/>
    <n v="0"/>
  </r>
  <r>
    <x v="14"/>
    <x v="214"/>
    <s v="Bride tournante à sertir emboutie PN10"/>
    <s v="Inox Serti ItalienBrideBride tournante à sertir emboutie PN10"/>
    <s v="88,9 fixe PN16"/>
    <n v="18"/>
    <s v="REQF080FIXE"/>
    <s v="RacMet"/>
    <n v="193088000"/>
    <n v="0"/>
    <m/>
    <m/>
    <m/>
    <m/>
    <m/>
    <m/>
    <n v="0"/>
    <n v="2"/>
    <n v="0"/>
    <m/>
    <m/>
    <n v="0"/>
    <n v="0"/>
    <n v="0"/>
    <n v="0"/>
    <n v="0"/>
    <n v="0"/>
    <n v="0"/>
  </r>
  <r>
    <x v="14"/>
    <x v="214"/>
    <s v="bride tournante emboutie PN11"/>
    <s v="Inox Serti ItalienBridebride tournante emboutie PN11"/>
    <s v="BRIDE DN80"/>
    <n v="12"/>
    <s v="EQF800"/>
    <s v="RacMet"/>
    <m/>
    <n v="0"/>
    <m/>
    <m/>
    <m/>
    <m/>
    <m/>
    <m/>
    <n v="0"/>
    <m/>
    <m/>
    <m/>
    <m/>
    <n v="0"/>
    <n v="0"/>
    <n v="0"/>
    <n v="0"/>
    <n v="0"/>
    <n v="0"/>
    <n v="0"/>
  </r>
  <r>
    <x v="14"/>
    <x v="214"/>
    <m/>
    <s v="Inox Serti ItalienBride"/>
    <m/>
    <n v="11"/>
    <m/>
    <m/>
    <m/>
    <n v="0"/>
    <m/>
    <m/>
    <m/>
    <m/>
    <m/>
    <m/>
    <n v="0"/>
    <m/>
    <m/>
    <m/>
    <m/>
    <n v="0"/>
    <n v="0"/>
    <n v="0"/>
    <n v="0"/>
    <n v="0"/>
    <n v="0"/>
    <n v="0"/>
  </r>
  <r>
    <x v="14"/>
    <x v="214"/>
    <m/>
    <s v="Inox Serti ItalienBride"/>
    <m/>
    <n v="13"/>
    <m/>
    <m/>
    <m/>
    <n v="0"/>
    <m/>
    <m/>
    <m/>
    <m/>
    <m/>
    <m/>
    <n v="0"/>
    <m/>
    <m/>
    <m/>
    <m/>
    <n v="0"/>
    <n v="0"/>
    <n v="0"/>
    <n v="0"/>
    <n v="0"/>
    <n v="0"/>
    <n v="0"/>
  </r>
  <r>
    <x v="14"/>
    <x v="215"/>
    <s v="Col de cygne"/>
    <s v="Inox Serti ItalienCol de cygneCol de cygne"/>
    <s v="15 mm"/>
    <n v="1"/>
    <s v="180R150"/>
    <s v="RacMet"/>
    <n v="178015316"/>
    <n v="0"/>
    <m/>
    <m/>
    <m/>
    <m/>
    <m/>
    <m/>
    <n v="0"/>
    <m/>
    <m/>
    <m/>
    <m/>
    <n v="0"/>
    <n v="0"/>
    <n v="0"/>
    <n v="0"/>
    <n v="0"/>
    <n v="0"/>
    <n v="0"/>
  </r>
  <r>
    <x v="14"/>
    <x v="215"/>
    <s v="Col de cygne"/>
    <s v="Inox Serti ItalienCol de cygneCol de cygne"/>
    <s v="18 mm"/>
    <n v="2"/>
    <s v="180R180"/>
    <s v="RacMet"/>
    <n v="178018316"/>
    <n v="0"/>
    <m/>
    <m/>
    <m/>
    <m/>
    <m/>
    <m/>
    <n v="0"/>
    <m/>
    <m/>
    <m/>
    <m/>
    <n v="0"/>
    <n v="0"/>
    <n v="0"/>
    <n v="0"/>
    <n v="0"/>
    <n v="0"/>
    <n v="0"/>
  </r>
  <r>
    <x v="14"/>
    <x v="215"/>
    <s v="Col de cygne"/>
    <s v="Inox Serti ItalienCol de cygneCol de cygne"/>
    <s v="22 mm"/>
    <n v="3"/>
    <s v="180R220"/>
    <s v="RacMet"/>
    <n v="178022316"/>
    <n v="0"/>
    <m/>
    <m/>
    <m/>
    <m/>
    <m/>
    <m/>
    <n v="0"/>
    <m/>
    <m/>
    <m/>
    <m/>
    <n v="0"/>
    <n v="0"/>
    <n v="0"/>
    <n v="0"/>
    <n v="0"/>
    <n v="0"/>
    <n v="0"/>
  </r>
  <r>
    <x v="14"/>
    <x v="215"/>
    <s v="Col de cygne"/>
    <s v="Inox Serti ItalienCol de cygneCol de cygne"/>
    <s v="28 mm"/>
    <n v="4"/>
    <s v="180R280"/>
    <s v="RacMet"/>
    <n v="178028316"/>
    <n v="0"/>
    <m/>
    <m/>
    <m/>
    <m/>
    <m/>
    <m/>
    <n v="0"/>
    <m/>
    <m/>
    <m/>
    <m/>
    <n v="0"/>
    <n v="0"/>
    <n v="0"/>
    <n v="0"/>
    <n v="0"/>
    <n v="0"/>
    <n v="0"/>
  </r>
  <r>
    <x v="14"/>
    <x v="215"/>
    <m/>
    <s v="Inox Serti ItalienCol de cygne"/>
    <m/>
    <n v="0"/>
    <m/>
    <m/>
    <m/>
    <n v="0"/>
    <m/>
    <m/>
    <m/>
    <m/>
    <m/>
    <m/>
    <n v="0"/>
    <m/>
    <m/>
    <m/>
    <m/>
    <n v="0"/>
    <n v="0"/>
    <n v="0"/>
    <n v="0"/>
    <n v="0"/>
    <n v="0"/>
    <n v="0"/>
  </r>
  <r>
    <x v="14"/>
    <x v="216"/>
    <s v="Coude 30° FF inox serti 316L"/>
    <s v="Inox Serti ItalienCoude 30° FF inox serti 316LCoude 30° FF inox serti 316L"/>
    <m/>
    <n v="0"/>
    <m/>
    <m/>
    <m/>
    <n v="0"/>
    <m/>
    <m/>
    <m/>
    <m/>
    <m/>
    <m/>
    <n v="0"/>
    <m/>
    <m/>
    <m/>
    <m/>
    <n v="0"/>
    <n v="0"/>
    <n v="0"/>
    <n v="0"/>
    <n v="0"/>
    <n v="0"/>
    <n v="0"/>
  </r>
  <r>
    <x v="14"/>
    <x v="216"/>
    <s v="Coude 30° FF inox serti 316L"/>
    <s v="Inox Serti ItalienCoude 30° FF inox serti 316LCoude 30° FF inox serti 316L"/>
    <s v="15 mm"/>
    <n v="1"/>
    <s v="R30150"/>
    <s v="RacMet"/>
    <n v="181015300"/>
    <n v="0"/>
    <m/>
    <m/>
    <m/>
    <m/>
    <m/>
    <m/>
    <n v="0"/>
    <n v="20"/>
    <n v="0"/>
    <m/>
    <m/>
    <n v="0"/>
    <n v="0"/>
    <n v="0"/>
    <n v="0"/>
    <n v="0"/>
    <n v="0"/>
    <n v="0"/>
  </r>
  <r>
    <x v="14"/>
    <x v="216"/>
    <s v="Coude 30° FF inox serti 316L"/>
    <s v="Inox Serti ItalienCoude 30° FF inox serti 316LCoude 30° FF inox serti 316L"/>
    <s v="18 mm"/>
    <n v="2"/>
    <s v="R30180"/>
    <s v="RacMet"/>
    <n v="181018300"/>
    <n v="0"/>
    <m/>
    <m/>
    <m/>
    <m/>
    <m/>
    <m/>
    <n v="0"/>
    <n v="20"/>
    <n v="0"/>
    <m/>
    <m/>
    <n v="0"/>
    <n v="0"/>
    <n v="0"/>
    <n v="0"/>
    <n v="0"/>
    <n v="0"/>
    <n v="0"/>
  </r>
  <r>
    <x v="14"/>
    <x v="216"/>
    <s v="Coude 30° FF inox serti 316L"/>
    <s v="Inox Serti ItalienCoude 30° FF inox serti 316LCoude 30° FF inox serti 316L"/>
    <s v="22 mm"/>
    <n v="3"/>
    <s v="R30220"/>
    <s v="RacMet"/>
    <n v="181022300"/>
    <n v="0"/>
    <m/>
    <m/>
    <m/>
    <m/>
    <m/>
    <m/>
    <n v="0"/>
    <n v="20"/>
    <n v="0"/>
    <m/>
    <m/>
    <n v="0"/>
    <n v="0"/>
    <n v="0"/>
    <n v="0"/>
    <n v="0"/>
    <n v="0"/>
    <n v="0"/>
  </r>
  <r>
    <x v="14"/>
    <x v="216"/>
    <s v="Coude 30° FF inox serti 316L"/>
    <s v="Inox Serti ItalienCoude 30° FF inox serti 316LCoude 30° FF inox serti 316L"/>
    <s v="28 mm"/>
    <n v="4"/>
    <s v="R30280"/>
    <s v="RacMet"/>
    <n v="181028300"/>
    <n v="0"/>
    <m/>
    <m/>
    <m/>
    <m/>
    <m/>
    <m/>
    <n v="0"/>
    <n v="10"/>
    <n v="0"/>
    <m/>
    <m/>
    <n v="0"/>
    <n v="0"/>
    <n v="0"/>
    <n v="0"/>
    <n v="0"/>
    <n v="0"/>
    <n v="0"/>
  </r>
  <r>
    <x v="14"/>
    <x v="216"/>
    <s v="Coude 30° FF inox serti 316L"/>
    <s v="Inox Serti ItalienCoude 30° FF inox serti 316LCoude 30° FF inox serti 316L"/>
    <s v="35 mm"/>
    <n v="5"/>
    <s v="R30350"/>
    <s v="RacMet"/>
    <n v="181035300"/>
    <n v="0"/>
    <m/>
    <m/>
    <m/>
    <m/>
    <m/>
    <m/>
    <n v="0"/>
    <n v="10"/>
    <n v="0"/>
    <m/>
    <m/>
    <n v="0"/>
    <n v="0"/>
    <n v="0"/>
    <n v="0"/>
    <n v="0"/>
    <n v="0"/>
    <n v="0"/>
  </r>
  <r>
    <x v="14"/>
    <x v="216"/>
    <s v="Coude 30° FF inox serti 316L"/>
    <s v="Inox Serti ItalienCoude 30° FF inox serti 316LCoude 30° FF inox serti 316L"/>
    <s v="42 mm"/>
    <n v="6"/>
    <s v="R30420"/>
    <s v="RacMet"/>
    <n v="181042300"/>
    <n v="0"/>
    <m/>
    <m/>
    <m/>
    <m/>
    <m/>
    <m/>
    <n v="0"/>
    <n v="4"/>
    <n v="0"/>
    <m/>
    <m/>
    <n v="0"/>
    <n v="0"/>
    <n v="0"/>
    <n v="0"/>
    <n v="0"/>
    <n v="0"/>
    <n v="0"/>
  </r>
  <r>
    <x v="14"/>
    <x v="216"/>
    <s v="Coude 30° FF inox serti 316L"/>
    <s v="Inox Serti ItalienCoude 30° FF inox serti 316LCoude 30° FF inox serti 316L"/>
    <s v="54 mm"/>
    <n v="7"/>
    <s v="R30540"/>
    <s v="RacMet"/>
    <n v="181054300"/>
    <n v="0"/>
    <m/>
    <m/>
    <m/>
    <m/>
    <m/>
    <m/>
    <n v="0"/>
    <n v="2"/>
    <n v="0"/>
    <m/>
    <m/>
    <n v="0"/>
    <n v="0"/>
    <n v="0"/>
    <n v="0"/>
    <n v="0"/>
    <n v="0"/>
    <n v="0"/>
  </r>
  <r>
    <x v="14"/>
    <x v="216"/>
    <s v="Coude 30° FF inox serti 316L"/>
    <s v="Inox Serti ItalienCoude 30° FF inox serti 316LCoude 30° FF inox serti 316L"/>
    <s v="76,1 mm"/>
    <n v="8"/>
    <s v="R30760"/>
    <s v="RacMet"/>
    <n v="181076300"/>
    <n v="0"/>
    <m/>
    <m/>
    <m/>
    <m/>
    <m/>
    <m/>
    <n v="0"/>
    <n v="2"/>
    <n v="0"/>
    <m/>
    <m/>
    <n v="0"/>
    <n v="0"/>
    <n v="0"/>
    <n v="0"/>
    <n v="0"/>
    <n v="0"/>
    <n v="0"/>
  </r>
  <r>
    <x v="14"/>
    <x v="216"/>
    <s v="Coude 30° FF inox serti 316L"/>
    <s v="Inox Serti ItalienCoude 30° FF inox serti 316LCoude 30° FF inox serti 316L"/>
    <s v="88,9 mm"/>
    <n v="9"/>
    <s v="R30800"/>
    <s v="RacMet"/>
    <n v="181088300"/>
    <n v="0"/>
    <m/>
    <m/>
    <m/>
    <m/>
    <m/>
    <m/>
    <n v="0"/>
    <n v="2"/>
    <n v="0"/>
    <m/>
    <m/>
    <n v="0"/>
    <n v="0"/>
    <n v="0"/>
    <n v="0"/>
    <n v="0"/>
    <n v="0"/>
    <n v="0"/>
  </r>
  <r>
    <x v="14"/>
    <x v="216"/>
    <s v="Coude 30° FF inox serti 316L"/>
    <s v="Inox Serti ItalienCoude 30° FF inox serti 316LCoude 30° FF inox serti 316L"/>
    <s v="108 mm"/>
    <n v="10"/>
    <s v="R30108"/>
    <s v="RacMet"/>
    <n v="181108300"/>
    <n v="0"/>
    <m/>
    <m/>
    <m/>
    <m/>
    <m/>
    <m/>
    <n v="0"/>
    <n v="2"/>
    <n v="0"/>
    <m/>
    <m/>
    <n v="0"/>
    <n v="0"/>
    <n v="0"/>
    <n v="0"/>
    <n v="0"/>
    <n v="0"/>
    <n v="0"/>
  </r>
  <r>
    <x v="14"/>
    <x v="217"/>
    <s v="Coude 30° MF inox serti 316L"/>
    <s v="Inox Serti ItalienCoude 30° MF inox serti 316LCoude 30° MF inox serti 316L"/>
    <m/>
    <n v="0"/>
    <m/>
    <m/>
    <m/>
    <n v="0"/>
    <m/>
    <m/>
    <m/>
    <m/>
    <m/>
    <m/>
    <n v="0"/>
    <m/>
    <m/>
    <m/>
    <m/>
    <n v="0"/>
    <n v="0"/>
    <n v="0"/>
    <n v="0"/>
    <n v="0"/>
    <n v="0"/>
    <n v="0"/>
  </r>
  <r>
    <x v="14"/>
    <x v="217"/>
    <s v="Coude 30° MF inox serti 316L"/>
    <s v="Inox Serti ItalienCoude 30° MF inox serti 316LCoude 30° MF inox serti 316L"/>
    <s v="15 mm"/>
    <n v="1"/>
    <s v="R30150S"/>
    <s v="RacMet"/>
    <n v="181015301"/>
    <n v="0"/>
    <m/>
    <m/>
    <m/>
    <m/>
    <m/>
    <m/>
    <n v="0"/>
    <n v="20"/>
    <n v="0"/>
    <m/>
    <m/>
    <n v="0"/>
    <n v="0"/>
    <n v="0"/>
    <n v="0"/>
    <n v="0"/>
    <n v="0"/>
    <n v="0"/>
  </r>
  <r>
    <x v="14"/>
    <x v="217"/>
    <s v="Coude 30° MF inox serti 316L"/>
    <s v="Inox Serti ItalienCoude 30° MF inox serti 316LCoude 30° MF inox serti 316L"/>
    <s v="22 mm"/>
    <n v="2"/>
    <s v="R30220S"/>
    <s v="RacMet"/>
    <n v="181022301"/>
    <n v="0"/>
    <m/>
    <m/>
    <m/>
    <m/>
    <m/>
    <m/>
    <n v="0"/>
    <n v="20"/>
    <n v="0"/>
    <m/>
    <m/>
    <n v="0"/>
    <n v="0"/>
    <n v="0"/>
    <n v="0"/>
    <n v="0"/>
    <n v="0"/>
    <n v="0"/>
  </r>
  <r>
    <x v="14"/>
    <x v="217"/>
    <s v="Coude 30° MF inox serti 316L"/>
    <s v="Inox Serti ItalienCoude 30° MF inox serti 316LCoude 30° MF inox serti 316L"/>
    <s v="28 mm"/>
    <n v="3"/>
    <s v="R30280S"/>
    <s v="RacMet"/>
    <n v="181028301"/>
    <n v="0"/>
    <m/>
    <m/>
    <m/>
    <m/>
    <m/>
    <m/>
    <n v="0"/>
    <n v="10"/>
    <n v="0"/>
    <m/>
    <m/>
    <n v="0"/>
    <n v="0"/>
    <n v="0"/>
    <n v="0"/>
    <n v="0"/>
    <n v="0"/>
    <n v="0"/>
  </r>
  <r>
    <x v="14"/>
    <x v="217"/>
    <s v="Coude 30° MF inox serti 316L"/>
    <s v="Inox Serti ItalienCoude 30° MF inox serti 316LCoude 30° MF inox serti 316L"/>
    <s v="35 mm"/>
    <n v="4"/>
    <s v="R30350S"/>
    <s v="RacMet"/>
    <n v="181035301"/>
    <n v="0"/>
    <m/>
    <m/>
    <m/>
    <m/>
    <m/>
    <m/>
    <n v="0"/>
    <n v="10"/>
    <n v="0"/>
    <m/>
    <m/>
    <n v="0"/>
    <n v="0"/>
    <n v="0"/>
    <n v="0"/>
    <n v="0"/>
    <n v="0"/>
    <n v="0"/>
  </r>
  <r>
    <x v="14"/>
    <x v="217"/>
    <s v="Coude 30° MF inox serti 316L"/>
    <s v="Inox Serti ItalienCoude 30° MF inox serti 316LCoude 30° MF inox serti 316L"/>
    <s v="42 mm"/>
    <n v="5"/>
    <s v="R30420S"/>
    <s v="RacMet"/>
    <n v="181042301"/>
    <n v="0"/>
    <m/>
    <m/>
    <m/>
    <m/>
    <m/>
    <m/>
    <n v="0"/>
    <n v="4"/>
    <n v="0"/>
    <m/>
    <m/>
    <n v="0"/>
    <n v="0"/>
    <n v="0"/>
    <n v="0"/>
    <n v="0"/>
    <n v="0"/>
    <n v="0"/>
  </r>
  <r>
    <x v="14"/>
    <x v="217"/>
    <s v="Coude 30° MF inox serti 316L"/>
    <s v="Inox Serti ItalienCoude 30° MF inox serti 316LCoude 30° MF inox serti 316L"/>
    <s v="54 mm"/>
    <n v="6"/>
    <s v="R30540S"/>
    <s v="RacMet"/>
    <n v="181054301"/>
    <n v="0"/>
    <m/>
    <m/>
    <m/>
    <m/>
    <m/>
    <m/>
    <n v="0"/>
    <n v="2"/>
    <n v="0"/>
    <m/>
    <m/>
    <n v="0"/>
    <n v="0"/>
    <n v="0"/>
    <n v="0"/>
    <n v="0"/>
    <n v="0"/>
    <n v="0"/>
  </r>
  <r>
    <x v="14"/>
    <x v="217"/>
    <s v="Coude 30° MF inox serti 316L"/>
    <s v="Inox Serti ItalienCoude 30° MF inox serti 316LCoude 30° MF inox serti 316L"/>
    <s v="76,1 mm"/>
    <n v="7"/>
    <s v="R30760S"/>
    <s v="RacMet"/>
    <n v="181076301"/>
    <n v="0"/>
    <m/>
    <m/>
    <m/>
    <m/>
    <m/>
    <m/>
    <n v="0"/>
    <n v="2"/>
    <n v="0"/>
    <m/>
    <m/>
    <n v="0"/>
    <n v="0"/>
    <n v="0"/>
    <n v="0"/>
    <n v="0"/>
    <n v="0"/>
    <n v="0"/>
  </r>
  <r>
    <x v="14"/>
    <x v="217"/>
    <s v="Coude 30° MF inox serti 316L"/>
    <s v="Inox Serti ItalienCoude 30° MF inox serti 316LCoude 30° MF inox serti 316L"/>
    <s v="88,9 mm"/>
    <n v="8"/>
    <s v="R30800S"/>
    <s v="RacMet"/>
    <n v="181088301"/>
    <n v="0"/>
    <m/>
    <m/>
    <m/>
    <m/>
    <m/>
    <m/>
    <n v="0"/>
    <n v="2"/>
    <n v="0"/>
    <m/>
    <m/>
    <n v="0"/>
    <n v="0"/>
    <n v="0"/>
    <n v="0"/>
    <n v="0"/>
    <n v="0"/>
    <n v="0"/>
  </r>
  <r>
    <x v="14"/>
    <x v="217"/>
    <s v="Coude 30° MF inox serti 316L"/>
    <s v="Inox Serti ItalienCoude 30° MF inox serti 316LCoude 30° MF inox serti 316L"/>
    <s v="108 mm"/>
    <n v="9"/>
    <s v="R30108S"/>
    <s v="RacMet"/>
    <n v="181108301"/>
    <n v="0"/>
    <m/>
    <m/>
    <m/>
    <m/>
    <m/>
    <m/>
    <n v="0"/>
    <n v="2"/>
    <n v="0"/>
    <m/>
    <m/>
    <n v="0"/>
    <n v="0"/>
    <n v="0"/>
    <n v="0"/>
    <n v="0"/>
    <n v="0"/>
    <n v="0"/>
  </r>
  <r>
    <x v="14"/>
    <x v="218"/>
    <s v="Coude 60° FF inox serti 316L"/>
    <s v="Inox Serti ItalienCoude 60° FF inox serti 316LCoude 60° FF inox serti 316L"/>
    <m/>
    <n v="0"/>
    <m/>
    <m/>
    <m/>
    <n v="0"/>
    <m/>
    <m/>
    <m/>
    <m/>
    <m/>
    <m/>
    <n v="0"/>
    <m/>
    <m/>
    <m/>
    <m/>
    <n v="0"/>
    <n v="0"/>
    <n v="0"/>
    <n v="0"/>
    <n v="0"/>
    <n v="0"/>
    <n v="0"/>
  </r>
  <r>
    <x v="14"/>
    <x v="218"/>
    <s v="Coude 60° FF inox serti 316L"/>
    <s v="Inox Serti ItalienCoude 60° FF inox serti 316LCoude 60° FF inox serti 316L"/>
    <s v="15 mm"/>
    <n v="1"/>
    <s v="R60150"/>
    <s v="RacMet"/>
    <n v="181015600"/>
    <n v="0"/>
    <m/>
    <m/>
    <m/>
    <m/>
    <m/>
    <m/>
    <n v="0"/>
    <n v="20"/>
    <n v="0"/>
    <m/>
    <m/>
    <n v="0"/>
    <n v="0"/>
    <n v="0"/>
    <n v="0"/>
    <n v="0"/>
    <n v="0"/>
    <n v="0"/>
  </r>
  <r>
    <x v="14"/>
    <x v="218"/>
    <s v="Coude 60° FF inox serti 316L"/>
    <s v="Inox Serti ItalienCoude 60° FF inox serti 316LCoude 60° FF inox serti 316L"/>
    <s v="18 mm"/>
    <n v="2"/>
    <s v="R60180"/>
    <s v="RacMet"/>
    <n v="181018600"/>
    <n v="0"/>
    <m/>
    <m/>
    <m/>
    <m/>
    <m/>
    <m/>
    <n v="0"/>
    <n v="20"/>
    <n v="0"/>
    <m/>
    <m/>
    <n v="0"/>
    <n v="0"/>
    <n v="0"/>
    <n v="0"/>
    <n v="0"/>
    <n v="0"/>
    <n v="0"/>
  </r>
  <r>
    <x v="14"/>
    <x v="218"/>
    <s v="Coude 60° FF inox serti 316L"/>
    <s v="Inox Serti ItalienCoude 60° FF inox serti 316LCoude 60° FF inox serti 316L"/>
    <s v="22 mm"/>
    <n v="3"/>
    <s v="R60220"/>
    <s v="RacMet"/>
    <n v="181022600"/>
    <n v="0"/>
    <m/>
    <m/>
    <m/>
    <m/>
    <m/>
    <m/>
    <n v="0"/>
    <n v="20"/>
    <n v="0"/>
    <m/>
    <m/>
    <n v="0"/>
    <n v="0"/>
    <n v="0"/>
    <n v="0"/>
    <n v="0"/>
    <n v="0"/>
    <n v="0"/>
  </r>
  <r>
    <x v="14"/>
    <x v="218"/>
    <s v="Coude 60° FF inox serti 316L"/>
    <s v="Inox Serti ItalienCoude 60° FF inox serti 316LCoude 60° FF inox serti 316L"/>
    <s v="28 mm"/>
    <n v="4"/>
    <s v="R60280"/>
    <s v="RacMet"/>
    <n v="181028600"/>
    <n v="0"/>
    <m/>
    <m/>
    <m/>
    <m/>
    <m/>
    <m/>
    <n v="0"/>
    <n v="10"/>
    <n v="0"/>
    <m/>
    <m/>
    <n v="0"/>
    <n v="0"/>
    <n v="0"/>
    <n v="0"/>
    <n v="0"/>
    <n v="0"/>
    <n v="0"/>
  </r>
  <r>
    <x v="14"/>
    <x v="218"/>
    <s v="Coude 60° FF inox serti 316L"/>
    <s v="Inox Serti ItalienCoude 60° FF inox serti 316LCoude 60° FF inox serti 316L"/>
    <s v="35 mm"/>
    <n v="5"/>
    <s v="R60350"/>
    <s v="RacMet"/>
    <n v="181035600"/>
    <n v="0"/>
    <m/>
    <m/>
    <m/>
    <m/>
    <m/>
    <m/>
    <n v="0"/>
    <n v="10"/>
    <n v="0"/>
    <m/>
    <m/>
    <n v="0"/>
    <n v="0"/>
    <n v="0"/>
    <n v="0"/>
    <n v="0"/>
    <n v="0"/>
    <n v="0"/>
  </r>
  <r>
    <x v="14"/>
    <x v="218"/>
    <s v="Coude 60° FF inox serti 316L"/>
    <s v="Inox Serti ItalienCoude 60° FF inox serti 316LCoude 60° FF inox serti 316L"/>
    <s v="42 mm"/>
    <n v="6"/>
    <s v="R60420"/>
    <s v="RacMet"/>
    <n v="181042600"/>
    <n v="0"/>
    <m/>
    <m/>
    <m/>
    <m/>
    <m/>
    <m/>
    <n v="0"/>
    <n v="4"/>
    <n v="0"/>
    <m/>
    <m/>
    <n v="0"/>
    <n v="0"/>
    <n v="0"/>
    <n v="0"/>
    <n v="0"/>
    <n v="0"/>
    <n v="0"/>
  </r>
  <r>
    <x v="14"/>
    <x v="218"/>
    <s v="Coude 60° FF inox serti 316L"/>
    <s v="Inox Serti ItalienCoude 60° FF inox serti 316LCoude 60° FF inox serti 316L"/>
    <s v="54 mm"/>
    <n v="7"/>
    <s v="R60540"/>
    <s v="RacMet"/>
    <n v="181054600"/>
    <n v="0"/>
    <m/>
    <m/>
    <m/>
    <m/>
    <m/>
    <m/>
    <n v="0"/>
    <n v="2"/>
    <n v="0"/>
    <m/>
    <m/>
    <n v="0"/>
    <n v="0"/>
    <n v="0"/>
    <n v="0"/>
    <n v="0"/>
    <n v="0"/>
    <n v="0"/>
  </r>
  <r>
    <x v="14"/>
    <x v="218"/>
    <s v="Coude 60° FF inox serti 316L"/>
    <s v="Inox Serti ItalienCoude 60° FF inox serti 316LCoude 60° FF inox serti 316L"/>
    <s v="76,1 mm"/>
    <n v="8"/>
    <s v="R60760"/>
    <s v="RacMet"/>
    <n v="181076600"/>
    <n v="0"/>
    <m/>
    <m/>
    <m/>
    <m/>
    <m/>
    <m/>
    <n v="0"/>
    <n v="2"/>
    <n v="0"/>
    <m/>
    <m/>
    <n v="0"/>
    <n v="0"/>
    <n v="0"/>
    <n v="0"/>
    <n v="0"/>
    <n v="0"/>
    <n v="0"/>
  </r>
  <r>
    <x v="14"/>
    <x v="218"/>
    <s v="Coude 60° FF inox serti 316L"/>
    <s v="Inox Serti ItalienCoude 60° FF inox serti 316LCoude 60° FF inox serti 316L"/>
    <s v="88,9 mm"/>
    <n v="9"/>
    <s v="R60800"/>
    <s v="RacMet"/>
    <n v="181088600"/>
    <n v="0"/>
    <m/>
    <m/>
    <m/>
    <m/>
    <m/>
    <m/>
    <n v="0"/>
    <n v="2"/>
    <n v="0"/>
    <m/>
    <m/>
    <n v="0"/>
    <n v="0"/>
    <n v="0"/>
    <n v="0"/>
    <n v="0"/>
    <n v="0"/>
    <n v="0"/>
  </r>
  <r>
    <x v="14"/>
    <x v="218"/>
    <s v="Coude 60° FF inox serti 316L"/>
    <s v="Inox Serti ItalienCoude 60° FF inox serti 316LCoude 60° FF inox serti 316L"/>
    <s v="108 mm"/>
    <n v="10"/>
    <s v="R60108"/>
    <s v="RacMet"/>
    <n v="181108600"/>
    <n v="0"/>
    <m/>
    <m/>
    <m/>
    <m/>
    <m/>
    <m/>
    <n v="0"/>
    <n v="2"/>
    <n v="0"/>
    <m/>
    <m/>
    <n v="0"/>
    <n v="0"/>
    <n v="0"/>
    <n v="0"/>
    <n v="0"/>
    <n v="0"/>
    <n v="0"/>
  </r>
  <r>
    <x v="14"/>
    <x v="219"/>
    <s v="Coude 60° MF inox serti 316L"/>
    <s v="Inox Serti ItalienCoude 60° MF inox serti 316LCoude 60° MF inox serti 316L"/>
    <m/>
    <n v="0"/>
    <m/>
    <m/>
    <m/>
    <n v="0"/>
    <m/>
    <m/>
    <m/>
    <m/>
    <m/>
    <m/>
    <n v="0"/>
    <m/>
    <m/>
    <m/>
    <m/>
    <n v="0"/>
    <n v="0"/>
    <n v="0"/>
    <n v="0"/>
    <n v="0"/>
    <n v="0"/>
    <n v="0"/>
  </r>
  <r>
    <x v="14"/>
    <x v="219"/>
    <s v="Coude 60° MF inox serti 316L"/>
    <s v="Inox Serti ItalienCoude 60° MF inox serti 316LCoude 60° MF inox serti 316L"/>
    <s v="15 mm"/>
    <n v="1"/>
    <s v="R60150S"/>
    <s v="RacMet"/>
    <n v="181015601"/>
    <n v="0"/>
    <m/>
    <m/>
    <m/>
    <m/>
    <m/>
    <m/>
    <n v="0"/>
    <n v="20"/>
    <n v="0"/>
    <m/>
    <m/>
    <n v="0"/>
    <n v="0"/>
    <n v="0"/>
    <n v="0"/>
    <n v="0"/>
    <n v="0"/>
    <n v="0"/>
  </r>
  <r>
    <x v="14"/>
    <x v="219"/>
    <s v="Coude 60° MF inox serti 316L"/>
    <s v="Inox Serti ItalienCoude 60° MF inox serti 316LCoude 60° MF inox serti 316L"/>
    <s v="18 mm"/>
    <n v="2"/>
    <s v="R60180S"/>
    <s v="RacMet"/>
    <n v="181018601"/>
    <n v="0"/>
    <m/>
    <m/>
    <m/>
    <m/>
    <m/>
    <m/>
    <n v="0"/>
    <n v="20"/>
    <n v="0"/>
    <m/>
    <m/>
    <n v="0"/>
    <n v="0"/>
    <n v="0"/>
    <n v="0"/>
    <n v="0"/>
    <n v="0"/>
    <n v="0"/>
  </r>
  <r>
    <x v="14"/>
    <x v="219"/>
    <s v="Coude 60° MF inox serti 316L"/>
    <s v="Inox Serti ItalienCoude 60° MF inox serti 316LCoude 60° MF inox serti 316L"/>
    <s v="22 mm"/>
    <n v="3"/>
    <s v="R60220S"/>
    <s v="RacMet"/>
    <n v="181022601"/>
    <n v="0"/>
    <m/>
    <m/>
    <m/>
    <m/>
    <m/>
    <m/>
    <n v="0"/>
    <n v="20"/>
    <n v="0"/>
    <m/>
    <m/>
    <n v="0"/>
    <n v="0"/>
    <n v="0"/>
    <n v="0"/>
    <n v="0"/>
    <n v="0"/>
    <n v="0"/>
  </r>
  <r>
    <x v="14"/>
    <x v="219"/>
    <s v="Coude 60° MF inox serti 316L"/>
    <s v="Inox Serti ItalienCoude 60° MF inox serti 316LCoude 60° MF inox serti 316L"/>
    <s v="28 mm"/>
    <n v="4"/>
    <s v="R60280S"/>
    <s v="RacMet"/>
    <n v="181028601"/>
    <n v="0"/>
    <m/>
    <m/>
    <m/>
    <m/>
    <m/>
    <m/>
    <n v="0"/>
    <n v="10"/>
    <n v="0"/>
    <m/>
    <m/>
    <n v="0"/>
    <n v="0"/>
    <n v="0"/>
    <n v="0"/>
    <n v="0"/>
    <n v="0"/>
    <n v="0"/>
  </r>
  <r>
    <x v="14"/>
    <x v="219"/>
    <s v="Coude 60° MF inox serti 316L"/>
    <s v="Inox Serti ItalienCoude 60° MF inox serti 316LCoude 60° MF inox serti 316L"/>
    <s v="35 mm"/>
    <n v="5"/>
    <s v="R60350S"/>
    <s v="RacMet"/>
    <n v="181035601"/>
    <n v="0"/>
    <m/>
    <m/>
    <m/>
    <m/>
    <m/>
    <m/>
    <n v="0"/>
    <n v="10"/>
    <n v="0"/>
    <m/>
    <m/>
    <n v="0"/>
    <n v="0"/>
    <n v="0"/>
    <n v="0"/>
    <n v="0"/>
    <n v="0"/>
    <n v="0"/>
  </r>
  <r>
    <x v="14"/>
    <x v="219"/>
    <s v="Coude 60° MF inox serti 316L"/>
    <s v="Inox Serti ItalienCoude 60° MF inox serti 316LCoude 60° MF inox serti 316L"/>
    <s v="42 mm"/>
    <n v="6"/>
    <s v="R60420S"/>
    <s v="RacMet"/>
    <n v="181042601"/>
    <n v="0"/>
    <m/>
    <m/>
    <m/>
    <m/>
    <m/>
    <m/>
    <n v="0"/>
    <n v="4"/>
    <n v="0"/>
    <m/>
    <m/>
    <n v="0"/>
    <n v="0"/>
    <n v="0"/>
    <n v="0"/>
    <n v="0"/>
    <n v="0"/>
    <n v="0"/>
  </r>
  <r>
    <x v="14"/>
    <x v="219"/>
    <s v="Coude 60° MF inox serti 316L"/>
    <s v="Inox Serti ItalienCoude 60° MF inox serti 316LCoude 60° MF inox serti 316L"/>
    <s v="54 mm"/>
    <n v="7"/>
    <s v="R60540S"/>
    <s v="RacMet"/>
    <n v="181054601"/>
    <n v="0"/>
    <m/>
    <m/>
    <m/>
    <m/>
    <m/>
    <m/>
    <n v="0"/>
    <n v="2"/>
    <n v="0"/>
    <m/>
    <m/>
    <n v="0"/>
    <n v="0"/>
    <n v="0"/>
    <n v="0"/>
    <n v="0"/>
    <n v="0"/>
    <n v="0"/>
  </r>
  <r>
    <x v="14"/>
    <x v="219"/>
    <s v="Coude 60° MF inox serti 316L"/>
    <s v="Inox Serti ItalienCoude 60° MF inox serti 316LCoude 60° MF inox serti 316L"/>
    <s v="76,1 mm"/>
    <n v="8"/>
    <s v="R60760S"/>
    <s v="RacMet"/>
    <n v="181076601"/>
    <n v="0"/>
    <m/>
    <m/>
    <m/>
    <m/>
    <m/>
    <m/>
    <n v="0"/>
    <n v="2"/>
    <n v="0"/>
    <m/>
    <m/>
    <n v="0"/>
    <n v="0"/>
    <n v="0"/>
    <n v="0"/>
    <n v="0"/>
    <n v="0"/>
    <n v="0"/>
  </r>
  <r>
    <x v="14"/>
    <x v="219"/>
    <s v="Coude 60° MF inox serti 316L"/>
    <s v="Inox Serti ItalienCoude 60° MF inox serti 316LCoude 60° MF inox serti 316L"/>
    <s v="88,9 mm"/>
    <n v="9"/>
    <s v="R60800S"/>
    <s v="RacMet"/>
    <n v="181088601"/>
    <n v="0"/>
    <m/>
    <m/>
    <m/>
    <m/>
    <m/>
    <m/>
    <n v="0"/>
    <n v="2"/>
    <n v="0"/>
    <m/>
    <m/>
    <n v="0"/>
    <n v="0"/>
    <n v="0"/>
    <n v="0"/>
    <n v="0"/>
    <n v="0"/>
    <n v="0"/>
  </r>
  <r>
    <x v="14"/>
    <x v="219"/>
    <s v="Coude 60° MF inox serti 316L"/>
    <s v="Inox Serti ItalienCoude 60° MF inox serti 316LCoude 60° MF inox serti 316L"/>
    <s v="108 mm"/>
    <n v="10"/>
    <s v="R60108S"/>
    <s v="RacMet"/>
    <n v="181108601"/>
    <n v="0"/>
    <m/>
    <m/>
    <m/>
    <m/>
    <m/>
    <m/>
    <n v="0"/>
    <n v="2"/>
    <n v="0"/>
    <m/>
    <m/>
    <n v="0"/>
    <n v="0"/>
    <n v="0"/>
    <n v="0"/>
    <n v="0"/>
    <n v="0"/>
    <n v="0"/>
  </r>
  <r>
    <x v="14"/>
    <x v="137"/>
    <s v="Courbe 45° FF"/>
    <s v="Inox Serti ItalienCourbe 45° FFCourbe 45° FF"/>
    <m/>
    <n v="0"/>
    <m/>
    <m/>
    <m/>
    <n v="0"/>
    <m/>
    <m/>
    <m/>
    <m/>
    <m/>
    <m/>
    <n v="0"/>
    <m/>
    <m/>
    <m/>
    <m/>
    <n v="0"/>
    <n v="0"/>
    <n v="0"/>
    <n v="0"/>
    <n v="0"/>
    <n v="0"/>
    <n v="0"/>
  </r>
  <r>
    <x v="14"/>
    <x v="137"/>
    <s v="Courbe 45° FF"/>
    <s v="Inox Serti ItalienCourbe 45° FFCourbe 45° FF"/>
    <s v="15 mm"/>
    <n v="1"/>
    <s v="R45150"/>
    <s v="RacMet"/>
    <n v="181015450"/>
    <n v="0"/>
    <m/>
    <m/>
    <m/>
    <m/>
    <m/>
    <m/>
    <n v="0"/>
    <n v="20"/>
    <n v="0"/>
    <m/>
    <m/>
    <n v="0"/>
    <n v="0"/>
    <n v="0"/>
    <n v="0"/>
    <n v="0"/>
    <n v="0"/>
    <n v="0"/>
  </r>
  <r>
    <x v="14"/>
    <x v="137"/>
    <s v="Courbe 45° FF"/>
    <s v="Inox Serti ItalienCourbe 45° FFCourbe 45° FF"/>
    <s v="18 mm"/>
    <n v="2"/>
    <s v="R45180"/>
    <s v="RacMet"/>
    <n v="181018450"/>
    <n v="0"/>
    <m/>
    <m/>
    <m/>
    <m/>
    <m/>
    <m/>
    <n v="0"/>
    <n v="20"/>
    <n v="0"/>
    <m/>
    <m/>
    <n v="0"/>
    <n v="0"/>
    <n v="0"/>
    <n v="0"/>
    <n v="0"/>
    <n v="0"/>
    <n v="0"/>
  </r>
  <r>
    <x v="14"/>
    <x v="137"/>
    <s v="Courbe 45° FF"/>
    <s v="Inox Serti ItalienCourbe 45° FFCourbe 45° FF"/>
    <s v="22 mm"/>
    <n v="3"/>
    <s v="R45220"/>
    <s v="RacMet"/>
    <n v="181022450"/>
    <n v="0"/>
    <m/>
    <m/>
    <m/>
    <m/>
    <m/>
    <m/>
    <n v="0"/>
    <n v="20"/>
    <n v="0"/>
    <m/>
    <m/>
    <n v="0"/>
    <n v="0"/>
    <n v="0"/>
    <n v="0"/>
    <n v="0"/>
    <n v="0"/>
    <n v="0"/>
  </r>
  <r>
    <x v="14"/>
    <x v="137"/>
    <s v="Courbe 45° FF"/>
    <s v="Inox Serti ItalienCourbe 45° FFCourbe 45° FF"/>
    <s v="28 mm"/>
    <n v="4"/>
    <s v="R45280"/>
    <s v="RacMet"/>
    <n v="181028450"/>
    <n v="0"/>
    <m/>
    <m/>
    <m/>
    <m/>
    <m/>
    <m/>
    <n v="0"/>
    <n v="10"/>
    <n v="0"/>
    <m/>
    <m/>
    <n v="0"/>
    <n v="0"/>
    <n v="0"/>
    <n v="0"/>
    <n v="0"/>
    <n v="0"/>
    <n v="0"/>
  </r>
  <r>
    <x v="14"/>
    <x v="137"/>
    <s v="Courbe 45° FF"/>
    <s v="Inox Serti ItalienCourbe 45° FFCourbe 45° FF"/>
    <s v="35 mm"/>
    <n v="5"/>
    <s v="R45350"/>
    <s v="RacMet"/>
    <n v="181103450"/>
    <n v="0"/>
    <m/>
    <m/>
    <m/>
    <m/>
    <m/>
    <m/>
    <n v="0"/>
    <n v="10"/>
    <n v="0"/>
    <m/>
    <m/>
    <n v="0"/>
    <n v="0"/>
    <n v="0"/>
    <n v="0"/>
    <n v="0"/>
    <n v="0"/>
    <n v="0"/>
  </r>
  <r>
    <x v="14"/>
    <x v="137"/>
    <s v="Courbe 45° FF"/>
    <s v="Inox Serti ItalienCourbe 45° FFCourbe 45° FF"/>
    <s v="42 mm"/>
    <n v="6"/>
    <s v="R45420"/>
    <s v="RacMet"/>
    <n v="181042450"/>
    <n v="0"/>
    <m/>
    <m/>
    <m/>
    <m/>
    <m/>
    <m/>
    <n v="0"/>
    <n v="4"/>
    <n v="0"/>
    <m/>
    <m/>
    <n v="0"/>
    <n v="0"/>
    <n v="0"/>
    <n v="0"/>
    <n v="0"/>
    <n v="0"/>
    <n v="0"/>
  </r>
  <r>
    <x v="14"/>
    <x v="137"/>
    <s v="Courbe 45° FF"/>
    <s v="Inox Serti ItalienCourbe 45° FFCourbe 45° FF"/>
    <s v="54 mm"/>
    <n v="7"/>
    <s v="R45540"/>
    <s v="RacMet"/>
    <n v="181054450"/>
    <n v="0"/>
    <m/>
    <m/>
    <m/>
    <m/>
    <m/>
    <m/>
    <n v="0"/>
    <n v="2"/>
    <n v="0"/>
    <m/>
    <m/>
    <n v="0"/>
    <n v="0"/>
    <n v="0"/>
    <n v="0"/>
    <n v="0"/>
    <n v="0"/>
    <n v="0"/>
  </r>
  <r>
    <x v="14"/>
    <x v="137"/>
    <s v="Courbe 45° FF"/>
    <s v="Inox Serti ItalienCourbe 45° FFCourbe 45° FF"/>
    <s v="76,1 mm"/>
    <n v="8"/>
    <s v="R45760"/>
    <s v="RacMet"/>
    <n v="181076450"/>
    <n v="0"/>
    <m/>
    <m/>
    <m/>
    <m/>
    <m/>
    <m/>
    <n v="0"/>
    <n v="2"/>
    <n v="0"/>
    <m/>
    <m/>
    <n v="0"/>
    <n v="0"/>
    <n v="0"/>
    <n v="0"/>
    <n v="0"/>
    <n v="0"/>
    <n v="0"/>
  </r>
  <r>
    <x v="14"/>
    <x v="137"/>
    <s v="Courbe 45° FF"/>
    <s v="Inox Serti ItalienCourbe 45° FFCourbe 45° FF"/>
    <s v="88,9 mm"/>
    <n v="9"/>
    <s v="R45800"/>
    <s v="RacMet"/>
    <n v="181088450"/>
    <n v="0"/>
    <m/>
    <m/>
    <m/>
    <m/>
    <m/>
    <m/>
    <n v="0"/>
    <n v="2"/>
    <n v="0"/>
    <m/>
    <m/>
    <n v="0"/>
    <n v="0"/>
    <n v="0"/>
    <n v="0"/>
    <n v="0"/>
    <n v="0"/>
    <n v="0"/>
  </r>
  <r>
    <x v="14"/>
    <x v="137"/>
    <s v="Courbe 45° FF"/>
    <s v="Inox Serti ItalienCourbe 45° FFCourbe 45° FF"/>
    <s v="108 mm"/>
    <n v="10"/>
    <s v="R45108"/>
    <s v="RacMet"/>
    <n v="18108450"/>
    <n v="0"/>
    <m/>
    <m/>
    <m/>
    <m/>
    <m/>
    <m/>
    <n v="0"/>
    <n v="2"/>
    <n v="0"/>
    <m/>
    <m/>
    <n v="0"/>
    <n v="0"/>
    <n v="0"/>
    <n v="0"/>
    <n v="0"/>
    <n v="0"/>
    <n v="0"/>
  </r>
  <r>
    <x v="14"/>
    <x v="139"/>
    <s v="Courbe 90° FF"/>
    <s v="Inox Serti ItalienCourbe 90° FFCourbe 90° FF"/>
    <m/>
    <n v="0"/>
    <m/>
    <m/>
    <m/>
    <n v="0"/>
    <m/>
    <m/>
    <m/>
    <m/>
    <m/>
    <m/>
    <n v="0"/>
    <m/>
    <m/>
    <m/>
    <m/>
    <n v="0"/>
    <n v="0"/>
    <n v="0"/>
    <n v="0"/>
    <n v="0"/>
    <n v="0"/>
    <n v="0"/>
  </r>
  <r>
    <x v="14"/>
    <x v="139"/>
    <s v="Courbe 90° FF"/>
    <s v="Inox Serti ItalienCourbe 90° FFCourbe 90° FF"/>
    <s v="15 mm"/>
    <n v="1"/>
    <s v="R90150"/>
    <s v="RacMet"/>
    <n v="181015900"/>
    <n v="0"/>
    <m/>
    <m/>
    <m/>
    <m/>
    <m/>
    <m/>
    <n v="0"/>
    <n v="20"/>
    <n v="0"/>
    <m/>
    <m/>
    <n v="0"/>
    <n v="0"/>
    <n v="0"/>
    <n v="0"/>
    <n v="0"/>
    <n v="0"/>
    <n v="0"/>
  </r>
  <r>
    <x v="14"/>
    <x v="139"/>
    <s v="Courbe 90° FF"/>
    <s v="Inox Serti ItalienCourbe 90° FFCourbe 90° FF"/>
    <s v="18 mm"/>
    <n v="2"/>
    <s v="R90180 "/>
    <s v="RacMet"/>
    <n v="181018900"/>
    <n v="0"/>
    <m/>
    <m/>
    <m/>
    <m/>
    <m/>
    <m/>
    <n v="0"/>
    <n v="20"/>
    <n v="0"/>
    <m/>
    <m/>
    <n v="0"/>
    <n v="0"/>
    <n v="0"/>
    <n v="0"/>
    <n v="0"/>
    <n v="0"/>
    <n v="0"/>
  </r>
  <r>
    <x v="14"/>
    <x v="139"/>
    <s v="Courbe 90° FF"/>
    <s v="Inox Serti ItalienCourbe 90° FFCourbe 90° FF"/>
    <s v="22 mm"/>
    <n v="3"/>
    <s v="R90220"/>
    <s v="RacMet"/>
    <n v="181022900"/>
    <n v="0"/>
    <m/>
    <m/>
    <m/>
    <m/>
    <m/>
    <m/>
    <n v="0"/>
    <n v="10"/>
    <n v="0"/>
    <m/>
    <m/>
    <n v="0"/>
    <n v="0"/>
    <n v="0"/>
    <n v="0"/>
    <n v="0"/>
    <n v="0"/>
    <n v="0"/>
  </r>
  <r>
    <x v="14"/>
    <x v="139"/>
    <s v="Courbe 90° FF"/>
    <s v="Inox Serti ItalienCourbe 90° FFCourbe 90° FF"/>
    <s v="28 mm"/>
    <n v="4"/>
    <s v="R90280"/>
    <s v="RacMet"/>
    <n v="181028900"/>
    <n v="0"/>
    <m/>
    <m/>
    <m/>
    <m/>
    <m/>
    <m/>
    <n v="0"/>
    <n v="10"/>
    <n v="0"/>
    <m/>
    <m/>
    <n v="0"/>
    <n v="0"/>
    <n v="0"/>
    <n v="0"/>
    <n v="0"/>
    <n v="0"/>
    <n v="0"/>
  </r>
  <r>
    <x v="14"/>
    <x v="139"/>
    <s v="Courbe 90° FF"/>
    <s v="Inox Serti ItalienCourbe 90° FFCourbe 90° FF"/>
    <s v="35 mm"/>
    <n v="5"/>
    <s v="R90350"/>
    <s v="RacMet"/>
    <n v="181035901"/>
    <n v="0"/>
    <m/>
    <m/>
    <m/>
    <m/>
    <m/>
    <m/>
    <n v="0"/>
    <n v="5"/>
    <n v="0"/>
    <m/>
    <m/>
    <n v="0"/>
    <n v="0"/>
    <n v="0"/>
    <n v="0"/>
    <n v="0"/>
    <n v="0"/>
    <n v="0"/>
  </r>
  <r>
    <x v="14"/>
    <x v="139"/>
    <s v="Courbe 90° FF"/>
    <s v="Inox Serti ItalienCourbe 90° FFCourbe 90° FF"/>
    <s v="42 mm"/>
    <n v="6"/>
    <s v="R90420"/>
    <s v="RacMet"/>
    <n v="181042900"/>
    <n v="0"/>
    <m/>
    <m/>
    <m/>
    <m/>
    <m/>
    <m/>
    <n v="0"/>
    <n v="2"/>
    <n v="0"/>
    <m/>
    <m/>
    <n v="0"/>
    <n v="0"/>
    <n v="0"/>
    <n v="0"/>
    <n v="0"/>
    <n v="0"/>
    <n v="0"/>
  </r>
  <r>
    <x v="14"/>
    <x v="139"/>
    <s v="Courbe 90° FF"/>
    <s v="Inox Serti ItalienCourbe 90° FFCourbe 90° FF"/>
    <s v="54 mm"/>
    <n v="7"/>
    <s v="R90540"/>
    <s v="RacMet"/>
    <n v="181054900"/>
    <n v="0"/>
    <m/>
    <m/>
    <m/>
    <m/>
    <m/>
    <m/>
    <n v="0"/>
    <n v="2"/>
    <n v="0"/>
    <m/>
    <m/>
    <n v="0"/>
    <n v="0"/>
    <n v="0"/>
    <n v="0"/>
    <n v="0"/>
    <n v="0"/>
    <n v="0"/>
  </r>
  <r>
    <x v="14"/>
    <x v="139"/>
    <s v="Courbe 90° FF"/>
    <s v="Inox Serti ItalienCourbe 90° FFCourbe 90° FF"/>
    <s v="76,1 mm"/>
    <n v="8"/>
    <s v="R90760"/>
    <s v="RacMet"/>
    <n v="181107900"/>
    <n v="0"/>
    <m/>
    <m/>
    <m/>
    <m/>
    <m/>
    <m/>
    <n v="0"/>
    <n v="2"/>
    <n v="0"/>
    <m/>
    <m/>
    <n v="0"/>
    <n v="0"/>
    <n v="0"/>
    <n v="0"/>
    <n v="0"/>
    <n v="0"/>
    <n v="0"/>
  </r>
  <r>
    <x v="14"/>
    <x v="139"/>
    <s v="Courbe 90° FF"/>
    <s v="Inox Serti ItalienCourbe 90° FFCourbe 90° FF"/>
    <s v="88,9 mm"/>
    <n v="9"/>
    <s v="R90800"/>
    <s v="RacMet"/>
    <n v="181088900"/>
    <n v="0"/>
    <m/>
    <m/>
    <m/>
    <m/>
    <m/>
    <m/>
    <n v="0"/>
    <n v="2"/>
    <n v="0"/>
    <m/>
    <m/>
    <n v="0"/>
    <n v="0"/>
    <n v="0"/>
    <n v="0"/>
    <n v="0"/>
    <n v="0"/>
    <n v="0"/>
  </r>
  <r>
    <x v="14"/>
    <x v="139"/>
    <s v="Courbe 90° FF"/>
    <s v="Inox Serti ItalienCourbe 90° FFCourbe 90° FF"/>
    <s v="108 mm"/>
    <n v="10"/>
    <s v="R90108"/>
    <s v="RacMet"/>
    <n v="181108900"/>
    <n v="0"/>
    <m/>
    <m/>
    <m/>
    <m/>
    <m/>
    <m/>
    <n v="0"/>
    <n v="2"/>
    <n v="0"/>
    <m/>
    <m/>
    <n v="0"/>
    <n v="0"/>
    <n v="0"/>
    <n v="0"/>
    <n v="0"/>
    <n v="0"/>
    <n v="0"/>
  </r>
  <r>
    <x v="14"/>
    <x v="141"/>
    <s v="Courbe 90° MF"/>
    <s v="Inox Serti ItalienCourbe 90° MFCourbe 90° MF"/>
    <m/>
    <n v="0"/>
    <m/>
    <m/>
    <m/>
    <n v="0"/>
    <m/>
    <m/>
    <m/>
    <m/>
    <m/>
    <m/>
    <n v="0"/>
    <m/>
    <m/>
    <m/>
    <m/>
    <n v="0"/>
    <n v="0"/>
    <n v="0"/>
    <n v="0"/>
    <n v="0"/>
    <n v="0"/>
    <n v="0"/>
  </r>
  <r>
    <x v="14"/>
    <x v="141"/>
    <s v="Courbe 90° MF"/>
    <s v="Inox Serti ItalienCourbe 90° MFCourbe 90° MF"/>
    <s v="15 mm"/>
    <n v="1"/>
    <s v="R90150S"/>
    <s v="RacMet"/>
    <n v="181015901"/>
    <n v="0"/>
    <m/>
    <m/>
    <m/>
    <m/>
    <m/>
    <m/>
    <n v="0"/>
    <n v="20"/>
    <n v="0"/>
    <m/>
    <m/>
    <n v="0"/>
    <n v="0"/>
    <n v="0"/>
    <n v="0"/>
    <n v="0"/>
    <n v="0"/>
    <n v="0"/>
  </r>
  <r>
    <x v="14"/>
    <x v="141"/>
    <s v="Courbe 90° MF"/>
    <s v="Inox Serti ItalienCourbe 90° MFCourbe 90° MF"/>
    <s v="18 mm"/>
    <n v="2"/>
    <s v="R90180S"/>
    <s v="RacMet"/>
    <n v="181018901"/>
    <n v="0"/>
    <m/>
    <m/>
    <m/>
    <m/>
    <m/>
    <m/>
    <n v="0"/>
    <n v="20"/>
    <n v="0"/>
    <m/>
    <m/>
    <n v="0"/>
    <n v="0"/>
    <n v="0"/>
    <n v="0"/>
    <n v="0"/>
    <n v="0"/>
    <n v="0"/>
  </r>
  <r>
    <x v="14"/>
    <x v="141"/>
    <s v="Courbe 90° MF"/>
    <s v="Inox Serti ItalienCourbe 90° MFCourbe 90° MF"/>
    <s v="22 mm"/>
    <n v="3"/>
    <s v="R90220S"/>
    <s v="RacMet"/>
    <n v="181022901"/>
    <n v="0"/>
    <m/>
    <m/>
    <m/>
    <m/>
    <m/>
    <m/>
    <n v="0"/>
    <n v="10"/>
    <n v="0"/>
    <m/>
    <m/>
    <n v="0"/>
    <n v="0"/>
    <n v="0"/>
    <n v="0"/>
    <n v="0"/>
    <n v="0"/>
    <n v="0"/>
  </r>
  <r>
    <x v="14"/>
    <x v="141"/>
    <s v="Courbe 90° MF"/>
    <s v="Inox Serti ItalienCourbe 90° MFCourbe 90° MF"/>
    <s v="28 mm"/>
    <n v="4"/>
    <s v="R90280S"/>
    <s v="RacMet"/>
    <n v="181028901"/>
    <n v="0"/>
    <m/>
    <m/>
    <m/>
    <m/>
    <m/>
    <m/>
    <n v="0"/>
    <n v="10"/>
    <n v="0"/>
    <m/>
    <m/>
    <n v="0"/>
    <n v="0"/>
    <n v="0"/>
    <n v="0"/>
    <n v="0"/>
    <n v="0"/>
    <n v="0"/>
  </r>
  <r>
    <x v="14"/>
    <x v="141"/>
    <s v="Courbe 90° MF"/>
    <s v="Inox Serti ItalienCourbe 90° MFCourbe 90° MF"/>
    <s v="35 mm"/>
    <n v="5"/>
    <s v="R90350S"/>
    <s v="RacMet"/>
    <n v="181035901"/>
    <n v="0"/>
    <m/>
    <m/>
    <m/>
    <m/>
    <m/>
    <m/>
    <n v="0"/>
    <n v="5"/>
    <n v="0"/>
    <m/>
    <m/>
    <n v="0"/>
    <n v="0"/>
    <n v="0"/>
    <n v="0"/>
    <n v="0"/>
    <n v="0"/>
    <n v="0"/>
  </r>
  <r>
    <x v="14"/>
    <x v="141"/>
    <s v="Courbe 90° MF"/>
    <s v="Inox Serti ItalienCourbe 90° MFCourbe 90° MF"/>
    <s v="42 mm"/>
    <n v="6"/>
    <s v="R90420S"/>
    <s v="RacMet"/>
    <n v="181042901"/>
    <n v="0"/>
    <m/>
    <m/>
    <m/>
    <m/>
    <m/>
    <m/>
    <n v="0"/>
    <n v="2"/>
    <n v="0"/>
    <m/>
    <m/>
    <n v="0"/>
    <n v="0"/>
    <n v="0"/>
    <n v="0"/>
    <n v="0"/>
    <n v="0"/>
    <n v="0"/>
  </r>
  <r>
    <x v="14"/>
    <x v="141"/>
    <s v="Courbe 90° MF"/>
    <s v="Inox Serti ItalienCourbe 90° MFCourbe 90° MF"/>
    <s v="54 mm"/>
    <n v="7"/>
    <s v="R90540S"/>
    <s v="RacMet"/>
    <n v="181054901"/>
    <n v="0"/>
    <m/>
    <m/>
    <m/>
    <m/>
    <m/>
    <m/>
    <n v="0"/>
    <n v="2"/>
    <n v="0"/>
    <m/>
    <m/>
    <n v="0"/>
    <n v="0"/>
    <n v="0"/>
    <n v="0"/>
    <n v="0"/>
    <n v="0"/>
    <n v="0"/>
  </r>
  <r>
    <x v="14"/>
    <x v="141"/>
    <s v="Courbe 90° MF"/>
    <s v="Inox Serti ItalienCourbe 90° MFCourbe 90° MF"/>
    <s v="76,1 mm"/>
    <n v="8"/>
    <s v="R90760S"/>
    <s v="RacMet"/>
    <n v="181076901"/>
    <n v="0"/>
    <m/>
    <m/>
    <m/>
    <m/>
    <m/>
    <m/>
    <n v="0"/>
    <n v="2"/>
    <n v="0"/>
    <m/>
    <m/>
    <n v="0"/>
    <n v="0"/>
    <n v="0"/>
    <n v="0"/>
    <n v="0"/>
    <n v="0"/>
    <n v="0"/>
  </r>
  <r>
    <x v="14"/>
    <x v="141"/>
    <s v="Courbe 90° MF"/>
    <s v="Inox Serti ItalienCourbe 90° MFCourbe 90° MF"/>
    <s v="88,9 mm"/>
    <n v="9"/>
    <s v="R90800S"/>
    <s v="RacMet"/>
    <n v="1811088901"/>
    <n v="0"/>
    <m/>
    <m/>
    <m/>
    <m/>
    <m/>
    <m/>
    <n v="0"/>
    <n v="2"/>
    <n v="0"/>
    <m/>
    <m/>
    <n v="0"/>
    <n v="0"/>
    <n v="0"/>
    <n v="0"/>
    <n v="0"/>
    <n v="0"/>
    <n v="0"/>
  </r>
  <r>
    <x v="14"/>
    <x v="141"/>
    <s v="Courbe 90° MF"/>
    <s v="Inox Serti ItalienCourbe 90° MFCourbe 90° MF"/>
    <s v="108 mm"/>
    <n v="10"/>
    <s v="R90108S"/>
    <s v="RacMet"/>
    <n v="1811108901"/>
    <n v="0"/>
    <m/>
    <m/>
    <m/>
    <m/>
    <m/>
    <m/>
    <n v="0"/>
    <n v="2"/>
    <n v="0"/>
    <m/>
    <m/>
    <n v="0"/>
    <n v="0"/>
    <n v="0"/>
    <n v="0"/>
    <n v="0"/>
    <n v="0"/>
    <n v="0"/>
  </r>
  <r>
    <x v="14"/>
    <x v="143"/>
    <s v="Courbe mixte FM"/>
    <s v="Inox Serti ItalienCourbe mixte FMCourbe mixte FM"/>
    <m/>
    <n v="0"/>
    <m/>
    <m/>
    <m/>
    <n v="0"/>
    <m/>
    <m/>
    <m/>
    <m/>
    <m/>
    <m/>
    <n v="0"/>
    <m/>
    <m/>
    <m/>
    <m/>
    <n v="0"/>
    <n v="0"/>
    <n v="0"/>
    <n v="0"/>
    <n v="0"/>
    <n v="0"/>
    <n v="0"/>
  </r>
  <r>
    <x v="14"/>
    <x v="143"/>
    <s v="Courbe mixte FM"/>
    <s v="Inox Serti ItalienCourbe mixte FMCourbe mixte FM"/>
    <s v="15 mm x 1/2''"/>
    <n v="1"/>
    <s v="R421512"/>
    <s v="RacMet"/>
    <n v="186102015"/>
    <n v="0"/>
    <m/>
    <m/>
    <m/>
    <m/>
    <m/>
    <m/>
    <n v="0"/>
    <n v="20"/>
    <n v="0"/>
    <m/>
    <m/>
    <n v="0"/>
    <n v="0"/>
    <n v="0"/>
    <n v="0"/>
    <n v="0"/>
    <n v="0"/>
    <n v="0"/>
  </r>
  <r>
    <x v="14"/>
    <x v="143"/>
    <s v="Courbe mixte FM"/>
    <s v="Inox Serti ItalienCourbe mixte FMCourbe mixte FM"/>
    <s v="18 mm x 1/2''"/>
    <n v="2"/>
    <s v="R421812"/>
    <s v="RacMet"/>
    <n v="186102018"/>
    <n v="0"/>
    <m/>
    <m/>
    <m/>
    <m/>
    <m/>
    <m/>
    <n v="0"/>
    <n v="20"/>
    <n v="0"/>
    <m/>
    <m/>
    <n v="0"/>
    <n v="0"/>
    <n v="0"/>
    <n v="0"/>
    <n v="0"/>
    <n v="0"/>
    <n v="0"/>
  </r>
  <r>
    <x v="14"/>
    <x v="143"/>
    <s v="Courbe mixte FM"/>
    <s v="Inox Serti ItalienCourbe mixte FMCourbe mixte FM"/>
    <s v="22 mm x 3/4''"/>
    <n v="3"/>
    <s v="R422234"/>
    <s v="RacMet"/>
    <n v="186304022"/>
    <n v="0"/>
    <m/>
    <m/>
    <m/>
    <m/>
    <m/>
    <m/>
    <n v="0"/>
    <n v="10"/>
    <n v="0"/>
    <m/>
    <m/>
    <n v="0"/>
    <n v="0"/>
    <n v="0"/>
    <n v="0"/>
    <n v="0"/>
    <n v="0"/>
    <n v="0"/>
  </r>
  <r>
    <x v="14"/>
    <x v="143"/>
    <s v="Courbe mixte FM"/>
    <s v="Inox Serti ItalienCourbe mixte FMCourbe mixte FM"/>
    <s v="28 mm x 1''"/>
    <n v="4"/>
    <s v="R42281"/>
    <s v="RacMet"/>
    <n v="186100028"/>
    <n v="0"/>
    <m/>
    <m/>
    <m/>
    <m/>
    <m/>
    <m/>
    <n v="0"/>
    <n v="10"/>
    <n v="0"/>
    <m/>
    <m/>
    <n v="0"/>
    <n v="0"/>
    <n v="0"/>
    <n v="0"/>
    <n v="0"/>
    <n v="0"/>
    <n v="0"/>
  </r>
  <r>
    <x v="14"/>
    <x v="143"/>
    <s v="Courbe mixte FM"/>
    <s v="Inox Serti ItalienCourbe mixte FMCourbe mixte FM"/>
    <s v="35 mm x 1''"/>
    <n v="5"/>
    <s v="R42351"/>
    <s v="RacMet"/>
    <n v="186100035"/>
    <n v="0"/>
    <m/>
    <m/>
    <m/>
    <m/>
    <m/>
    <m/>
    <n v="0"/>
    <n v="5"/>
    <n v="0"/>
    <m/>
    <m/>
    <n v="0"/>
    <n v="0"/>
    <n v="0"/>
    <n v="0"/>
    <n v="0"/>
    <n v="0"/>
    <n v="0"/>
  </r>
  <r>
    <x v="14"/>
    <x v="143"/>
    <s v="Courbe mixte FM"/>
    <s v="Inox Serti ItalienCourbe mixte FMCourbe mixte FM"/>
    <s v="35 mm x 1&quot;1/4"/>
    <n v="6"/>
    <s v="R4235114"/>
    <s v="RacMet"/>
    <n v="186114035"/>
    <n v="0"/>
    <m/>
    <m/>
    <m/>
    <m/>
    <m/>
    <m/>
    <n v="0"/>
    <n v="5"/>
    <n v="0"/>
    <m/>
    <m/>
    <n v="0"/>
    <n v="0"/>
    <n v="0"/>
    <n v="0"/>
    <n v="0"/>
    <n v="0"/>
    <n v="0"/>
  </r>
  <r>
    <x v="14"/>
    <x v="143"/>
    <s v="Courbe mixte FM"/>
    <s v="Inox Serti ItalienCourbe mixte FMCourbe mixte FM"/>
    <s v="42 mm x 1''1/4"/>
    <n v="7"/>
    <s v="R4242114"/>
    <s v="RacMet"/>
    <n v="186114042"/>
    <n v="0"/>
    <m/>
    <m/>
    <m/>
    <m/>
    <m/>
    <m/>
    <n v="0"/>
    <n v="2"/>
    <n v="0"/>
    <m/>
    <m/>
    <n v="0"/>
    <n v="0"/>
    <n v="0"/>
    <n v="0"/>
    <n v="0"/>
    <n v="0"/>
    <n v="0"/>
  </r>
  <r>
    <x v="14"/>
    <x v="143"/>
    <s v="Courbe mixte FM"/>
    <s v="Inox Serti ItalienCourbe mixte FMCourbe mixte FM"/>
    <s v="42 mm x 1''1/2"/>
    <n v="8"/>
    <s v="R4242112"/>
    <s v="RacMet"/>
    <n v="186112042"/>
    <n v="0"/>
    <m/>
    <m/>
    <m/>
    <m/>
    <m/>
    <m/>
    <n v="0"/>
    <n v="2"/>
    <n v="0"/>
    <m/>
    <m/>
    <n v="0"/>
    <n v="0"/>
    <n v="0"/>
    <n v="0"/>
    <n v="0"/>
    <n v="0"/>
    <n v="0"/>
  </r>
  <r>
    <x v="14"/>
    <x v="143"/>
    <s v="Courbe mixte FM"/>
    <s v="Inox Serti ItalienCourbe mixte FMCourbe mixte FM"/>
    <s v="54 mm x 2''"/>
    <n v="9"/>
    <s v="R42542"/>
    <s v="RacMet"/>
    <n v="186200054"/>
    <n v="0"/>
    <m/>
    <m/>
    <m/>
    <m/>
    <m/>
    <m/>
    <n v="0"/>
    <n v="2"/>
    <n v="0"/>
    <m/>
    <m/>
    <n v="0"/>
    <n v="0"/>
    <n v="0"/>
    <n v="0"/>
    <n v="0"/>
    <n v="0"/>
    <n v="0"/>
  </r>
  <r>
    <x v="14"/>
    <x v="220"/>
    <s v="Courbe45° MF"/>
    <s v="Inox Serti ItalienCourbe45° MFCourbe45° MF"/>
    <m/>
    <n v="0"/>
    <m/>
    <m/>
    <m/>
    <n v="0"/>
    <m/>
    <m/>
    <m/>
    <m/>
    <m/>
    <m/>
    <n v="0"/>
    <m/>
    <m/>
    <m/>
    <m/>
    <n v="0"/>
    <n v="0"/>
    <n v="0"/>
    <n v="0"/>
    <n v="0"/>
    <n v="0"/>
    <n v="0"/>
  </r>
  <r>
    <x v="14"/>
    <x v="220"/>
    <s v="Courbe45° MF"/>
    <s v="Inox Serti ItalienCourbe45° MFCourbe45° MF"/>
    <s v="15 mm"/>
    <n v="1"/>
    <s v="R45150S"/>
    <s v="RacMet"/>
    <n v="181015451"/>
    <n v="0"/>
    <m/>
    <m/>
    <m/>
    <m/>
    <m/>
    <m/>
    <n v="0"/>
    <n v="20"/>
    <n v="0"/>
    <m/>
    <m/>
    <n v="0"/>
    <n v="0"/>
    <n v="0"/>
    <n v="0"/>
    <n v="0"/>
    <n v="0"/>
    <n v="0"/>
  </r>
  <r>
    <x v="14"/>
    <x v="220"/>
    <s v="Courbe45° MF"/>
    <s v="Inox Serti ItalienCourbe45° MFCourbe45° MF"/>
    <s v="18 mm"/>
    <n v="2"/>
    <s v="R45180S"/>
    <s v="RacMet"/>
    <n v="181018451"/>
    <n v="0"/>
    <m/>
    <m/>
    <m/>
    <m/>
    <m/>
    <m/>
    <n v="0"/>
    <n v="20"/>
    <n v="0"/>
    <m/>
    <m/>
    <n v="0"/>
    <n v="0"/>
    <n v="0"/>
    <n v="0"/>
    <n v="0"/>
    <n v="0"/>
    <n v="0"/>
  </r>
  <r>
    <x v="14"/>
    <x v="220"/>
    <s v="Courbe45° MF"/>
    <s v="Inox Serti ItalienCourbe45° MFCourbe45° MF"/>
    <s v="22 mm"/>
    <n v="3"/>
    <s v="R45220S"/>
    <s v="RacMet"/>
    <n v="181022451"/>
    <n v="0"/>
    <m/>
    <m/>
    <m/>
    <m/>
    <m/>
    <m/>
    <n v="0"/>
    <n v="20"/>
    <n v="0"/>
    <m/>
    <m/>
    <n v="0"/>
    <n v="0"/>
    <n v="0"/>
    <n v="0"/>
    <n v="0"/>
    <n v="0"/>
    <n v="0"/>
  </r>
  <r>
    <x v="14"/>
    <x v="220"/>
    <s v="Courbe45° MF"/>
    <s v="Inox Serti ItalienCourbe45° MFCourbe45° MF"/>
    <s v="28 mm"/>
    <n v="4"/>
    <s v="R45280S"/>
    <s v="RacMet"/>
    <n v="181028451"/>
    <n v="0"/>
    <m/>
    <m/>
    <m/>
    <m/>
    <m/>
    <m/>
    <n v="0"/>
    <n v="10"/>
    <n v="0"/>
    <m/>
    <m/>
    <n v="0"/>
    <n v="0"/>
    <n v="0"/>
    <n v="0"/>
    <n v="0"/>
    <n v="0"/>
    <n v="0"/>
  </r>
  <r>
    <x v="14"/>
    <x v="220"/>
    <s v="Courbe45° MF"/>
    <s v="Inox Serti ItalienCourbe45° MFCourbe45° MF"/>
    <s v="35 mm"/>
    <n v="5"/>
    <s v="R45350S"/>
    <s v="RacMet"/>
    <n v="181035451"/>
    <n v="0"/>
    <m/>
    <m/>
    <m/>
    <m/>
    <m/>
    <m/>
    <n v="0"/>
    <n v="10"/>
    <n v="0"/>
    <m/>
    <m/>
    <n v="0"/>
    <n v="0"/>
    <n v="0"/>
    <n v="0"/>
    <n v="0"/>
    <n v="0"/>
    <n v="0"/>
  </r>
  <r>
    <x v="14"/>
    <x v="220"/>
    <s v="Courbe45° MF"/>
    <s v="Inox Serti ItalienCourbe45° MFCourbe45° MF"/>
    <s v="42 mm"/>
    <n v="6"/>
    <s v="R45420S"/>
    <s v="RacMet"/>
    <n v="181042451"/>
    <n v="0"/>
    <m/>
    <m/>
    <m/>
    <m/>
    <m/>
    <m/>
    <n v="0"/>
    <n v="4"/>
    <n v="0"/>
    <m/>
    <m/>
    <n v="0"/>
    <n v="0"/>
    <n v="0"/>
    <n v="0"/>
    <n v="0"/>
    <n v="0"/>
    <n v="0"/>
  </r>
  <r>
    <x v="14"/>
    <x v="220"/>
    <s v="Courbe45° MF"/>
    <s v="Inox Serti ItalienCourbe45° MFCourbe45° MF"/>
    <s v="54 mm"/>
    <n v="7"/>
    <s v="R45540S"/>
    <s v="RacMet"/>
    <n v="181054451"/>
    <n v="0"/>
    <m/>
    <m/>
    <m/>
    <m/>
    <m/>
    <m/>
    <n v="0"/>
    <n v="2"/>
    <n v="0"/>
    <m/>
    <m/>
    <n v="0"/>
    <n v="0"/>
    <n v="0"/>
    <n v="0"/>
    <n v="0"/>
    <n v="0"/>
    <n v="0"/>
  </r>
  <r>
    <x v="14"/>
    <x v="220"/>
    <s v="Courbe45° MF"/>
    <s v="Inox Serti ItalienCourbe45° MFCourbe45° MF"/>
    <s v="76,1 mm"/>
    <n v="8"/>
    <s v="R45760S"/>
    <s v="RacMet"/>
    <n v="181076451"/>
    <n v="0"/>
    <m/>
    <m/>
    <m/>
    <m/>
    <m/>
    <m/>
    <n v="0"/>
    <n v="2"/>
    <n v="0"/>
    <m/>
    <m/>
    <n v="0"/>
    <n v="0"/>
    <n v="0"/>
    <n v="0"/>
    <n v="0"/>
    <n v="0"/>
    <n v="0"/>
  </r>
  <r>
    <x v="14"/>
    <x v="220"/>
    <s v="Courbe45° MF"/>
    <s v="Inox Serti ItalienCourbe45° MFCourbe45° MF"/>
    <s v="88,9 mm"/>
    <n v="9"/>
    <s v="R45800S"/>
    <s v="RacMet"/>
    <n v="181088451"/>
    <n v="0"/>
    <m/>
    <m/>
    <m/>
    <m/>
    <m/>
    <m/>
    <n v="0"/>
    <n v="2"/>
    <n v="0"/>
    <m/>
    <m/>
    <n v="0"/>
    <n v="0"/>
    <n v="0"/>
    <n v="0"/>
    <n v="0"/>
    <n v="0"/>
    <n v="0"/>
  </r>
  <r>
    <x v="14"/>
    <x v="220"/>
    <s v="Courbe45° MF"/>
    <s v="Inox Serti ItalienCourbe45° MFCourbe45° MF"/>
    <s v="108 mm"/>
    <n v="10"/>
    <s v="R45108S"/>
    <s v="RacMet"/>
    <n v="181108451"/>
    <n v="0"/>
    <m/>
    <m/>
    <m/>
    <m/>
    <m/>
    <m/>
    <n v="0"/>
    <n v="2"/>
    <n v="0"/>
    <m/>
    <m/>
    <n v="0"/>
    <n v="0"/>
    <n v="0"/>
    <n v="0"/>
    <n v="0"/>
    <n v="0"/>
    <n v="0"/>
  </r>
  <r>
    <x v="14"/>
    <x v="145"/>
    <s v="Embout fileté M 3 pieces"/>
    <s v="Inox Serti ItalienEmbout fileté M 3 piecesEmbout fileté M 3 pieces"/>
    <m/>
    <n v="0"/>
    <m/>
    <m/>
    <m/>
    <n v="0"/>
    <m/>
    <m/>
    <m/>
    <m/>
    <m/>
    <m/>
    <n v="0"/>
    <m/>
    <m/>
    <m/>
    <m/>
    <n v="0"/>
    <n v="0"/>
    <n v="0"/>
    <n v="0"/>
    <n v="0"/>
    <n v="0"/>
    <n v="0"/>
  </r>
  <r>
    <x v="14"/>
    <x v="145"/>
    <s v="Embout fileté M 3 pieces"/>
    <s v="Inox Serti ItalienEmbout fileté M 3 piecesEmbout fileté M 3 pieces"/>
    <s v="15 mm x 1/2''"/>
    <n v="1"/>
    <s v="R331512"/>
    <s v="RacMet"/>
    <n v="1840150021"/>
    <n v="0"/>
    <m/>
    <m/>
    <m/>
    <m/>
    <m/>
    <m/>
    <n v="0"/>
    <n v="2"/>
    <n v="0"/>
    <m/>
    <m/>
    <n v="0"/>
    <n v="0"/>
    <n v="0"/>
    <n v="0"/>
    <n v="0"/>
    <n v="0"/>
    <n v="0"/>
  </r>
  <r>
    <x v="14"/>
    <x v="145"/>
    <s v="Embout fileté M 3 pieces"/>
    <s v="Inox Serti ItalienEmbout fileté M 3 piecesEmbout fileté M 3 pieces"/>
    <s v="15 mm x 3/4''"/>
    <n v="2"/>
    <s v="R331534"/>
    <s v="RacMet"/>
    <n v="1840150121"/>
    <n v="0"/>
    <m/>
    <m/>
    <m/>
    <m/>
    <m/>
    <m/>
    <n v="0"/>
    <n v="2"/>
    <n v="0"/>
    <m/>
    <m/>
    <n v="0"/>
    <n v="0"/>
    <n v="0"/>
    <n v="0"/>
    <n v="0"/>
    <n v="0"/>
    <n v="0"/>
  </r>
  <r>
    <x v="14"/>
    <x v="145"/>
    <s v="Embout fileté M 3 pieces"/>
    <s v="Inox Serti ItalienEmbout fileté M 3 piecesEmbout fileté M 3 pieces"/>
    <s v="18 mm x 1/2''"/>
    <n v="3"/>
    <s v="R331812"/>
    <s v="RacMet"/>
    <n v="1840180021"/>
    <n v="0"/>
    <m/>
    <m/>
    <m/>
    <m/>
    <m/>
    <m/>
    <n v="0"/>
    <n v="2"/>
    <n v="0"/>
    <m/>
    <m/>
    <n v="0"/>
    <n v="0"/>
    <n v="0"/>
    <n v="0"/>
    <n v="0"/>
    <n v="0"/>
    <n v="0"/>
  </r>
  <r>
    <x v="14"/>
    <x v="145"/>
    <s v="Embout fileté M 3 pieces"/>
    <s v="Inox Serti ItalienEmbout fileté M 3 piecesEmbout fileté M 3 pieces"/>
    <s v="18 mm x 3/4''"/>
    <n v="4"/>
    <s v="R331834"/>
    <s v="RacMet"/>
    <n v="1840180121"/>
    <n v="0"/>
    <m/>
    <m/>
    <m/>
    <m/>
    <m/>
    <m/>
    <n v="0"/>
    <n v="2"/>
    <n v="0"/>
    <m/>
    <m/>
    <n v="0"/>
    <n v="0"/>
    <n v="0"/>
    <n v="0"/>
    <n v="0"/>
    <n v="0"/>
    <n v="0"/>
  </r>
  <r>
    <x v="14"/>
    <x v="145"/>
    <s v="Embout fileté M 3 pieces"/>
    <s v="Inox Serti ItalienEmbout fileté M 3 piecesEmbout fileté M 3 pieces"/>
    <s v="22 mm x 1/2''"/>
    <n v="5"/>
    <s v="R332212"/>
    <s v="RacMet"/>
    <n v="1840220121"/>
    <n v="0"/>
    <m/>
    <m/>
    <m/>
    <m/>
    <m/>
    <m/>
    <n v="0"/>
    <n v="2"/>
    <n v="0"/>
    <m/>
    <m/>
    <n v="0"/>
    <n v="0"/>
    <n v="0"/>
    <n v="0"/>
    <n v="0"/>
    <n v="0"/>
    <n v="0"/>
  </r>
  <r>
    <x v="14"/>
    <x v="145"/>
    <s v="Embout fileté M 3 pieces"/>
    <s v="Inox Serti ItalienEmbout fileté M 3 piecesEmbout fileté M 3 pieces"/>
    <s v="22 mm x 3/4''"/>
    <n v="6"/>
    <s v="R332234"/>
    <s v="RacMet"/>
    <n v="1840220021"/>
    <n v="0"/>
    <m/>
    <m/>
    <m/>
    <m/>
    <m/>
    <m/>
    <n v="0"/>
    <n v="2"/>
    <n v="0"/>
    <m/>
    <m/>
    <n v="0"/>
    <n v="0"/>
    <n v="0"/>
    <n v="0"/>
    <n v="0"/>
    <n v="0"/>
    <n v="0"/>
  </r>
  <r>
    <x v="14"/>
    <x v="145"/>
    <s v="Embout fileté M 3 pieces"/>
    <s v="Inox Serti ItalienEmbout fileté M 3 piecesEmbout fileté M 3 pieces"/>
    <s v="22 mm x 1''"/>
    <n v="7"/>
    <s v="R33221"/>
    <s v="RacMet"/>
    <n v="1840220221"/>
    <n v="0"/>
    <m/>
    <m/>
    <m/>
    <m/>
    <m/>
    <m/>
    <n v="0"/>
    <n v="2"/>
    <n v="0"/>
    <m/>
    <m/>
    <n v="0"/>
    <n v="0"/>
    <n v="0"/>
    <n v="0"/>
    <n v="0"/>
    <n v="0"/>
    <n v="0"/>
  </r>
  <r>
    <x v="14"/>
    <x v="145"/>
    <s v="Embout fileté M 3 pieces"/>
    <s v="Inox Serti ItalienEmbout fileté M 3 piecesEmbout fileté M 3 pieces"/>
    <s v="28 mm x 1&quot;"/>
    <n v="8"/>
    <s v="R33281"/>
    <s v="RacMet"/>
    <n v="1840280221"/>
    <n v="0"/>
    <m/>
    <m/>
    <m/>
    <m/>
    <m/>
    <m/>
    <n v="0"/>
    <n v="2"/>
    <n v="0"/>
    <m/>
    <m/>
    <n v="0"/>
    <n v="0"/>
    <n v="0"/>
    <n v="0"/>
    <n v="0"/>
    <n v="0"/>
    <n v="0"/>
  </r>
  <r>
    <x v="14"/>
    <x v="145"/>
    <s v="Embout fileté M 3 pieces"/>
    <s v="Inox Serti ItalienEmbout fileté M 3 piecesEmbout fileté M 3 pieces"/>
    <s v="35 mm x 1&quot;1/4"/>
    <n v="9"/>
    <s v="R3335114"/>
    <s v="RacMet"/>
    <n v="1840350021"/>
    <n v="0"/>
    <m/>
    <m/>
    <m/>
    <m/>
    <m/>
    <m/>
    <n v="0"/>
    <n v="2"/>
    <n v="0"/>
    <m/>
    <m/>
    <n v="0"/>
    <n v="0"/>
    <n v="0"/>
    <n v="0"/>
    <n v="0"/>
    <n v="0"/>
    <n v="0"/>
  </r>
  <r>
    <x v="14"/>
    <x v="145"/>
    <s v="Embout fileté M 3 pieces"/>
    <s v="Inox Serti ItalienEmbout fileté M 3 piecesEmbout fileté M 3 pieces"/>
    <s v="42 mm x 1''1/2"/>
    <n v="10"/>
    <s v="R3342112"/>
    <s v="RacMet"/>
    <n v="1840420021"/>
    <n v="0"/>
    <m/>
    <m/>
    <m/>
    <m/>
    <m/>
    <m/>
    <n v="0"/>
    <n v="2"/>
    <n v="0"/>
    <m/>
    <m/>
    <n v="0"/>
    <n v="0"/>
    <n v="0"/>
    <n v="0"/>
    <n v="0"/>
    <n v="0"/>
    <n v="0"/>
  </r>
  <r>
    <x v="14"/>
    <x v="145"/>
    <s v="Embout fileté M 3 pieces"/>
    <s v="Inox Serti ItalienEmbout fileté M 3 piecesEmbout fileté M 3 pieces"/>
    <s v="54mm x  2&quot;"/>
    <n v="11"/>
    <s v="R33542"/>
    <s v="RacMet"/>
    <n v="1840540021"/>
    <n v="0"/>
    <m/>
    <m/>
    <m/>
    <m/>
    <m/>
    <m/>
    <n v="0"/>
    <n v="2"/>
    <n v="0"/>
    <m/>
    <m/>
    <n v="0"/>
    <n v="0"/>
    <n v="0"/>
    <n v="0"/>
    <n v="0"/>
    <n v="0"/>
    <n v="0"/>
  </r>
  <r>
    <x v="14"/>
    <x v="221"/>
    <s v="Joint huile FKM"/>
    <s v="Inox Serti ItalienJoint huile FKMJoint huile FKM"/>
    <m/>
    <n v="0"/>
    <m/>
    <m/>
    <m/>
    <n v="0"/>
    <m/>
    <m/>
    <m/>
    <m/>
    <m/>
    <m/>
    <n v="0"/>
    <m/>
    <m/>
    <m/>
    <m/>
    <n v="0"/>
    <n v="0"/>
    <n v="0"/>
    <n v="0"/>
    <n v="0"/>
    <n v="0"/>
    <n v="0"/>
  </r>
  <r>
    <x v="14"/>
    <x v="221"/>
    <s v="Joint huile FKM"/>
    <s v="Inox Serti ItalienJoint huile FKMJoint huile FKM"/>
    <s v="35 mm"/>
    <n v="1"/>
    <s v="JT35FKM-RIM"/>
    <s v="Racmet"/>
    <m/>
    <n v="0"/>
    <m/>
    <m/>
    <m/>
    <m/>
    <m/>
    <m/>
    <n v="0"/>
    <n v="20"/>
    <n v="0"/>
    <m/>
    <m/>
    <n v="0"/>
    <n v="0"/>
    <n v="0"/>
    <n v="0"/>
    <n v="0"/>
    <n v="0"/>
    <n v="0"/>
  </r>
  <r>
    <x v="14"/>
    <x v="221"/>
    <s v="Joint huile FKM"/>
    <s v="Inox Serti ItalienJoint huile FKMJoint huile FKM"/>
    <s v="42 mm"/>
    <n v="2"/>
    <s v="JT42FKM-RIM"/>
    <s v="Racmet"/>
    <m/>
    <n v="0"/>
    <m/>
    <m/>
    <m/>
    <m/>
    <m/>
    <m/>
    <n v="0"/>
    <n v="20"/>
    <n v="0"/>
    <m/>
    <m/>
    <n v="0"/>
    <n v="0"/>
    <n v="0"/>
    <n v="0"/>
    <n v="0"/>
    <n v="0"/>
    <n v="0"/>
  </r>
  <r>
    <x v="14"/>
    <x v="146"/>
    <s v="Manchon court"/>
    <s v="Inox Serti ItalienManchon courtManchon court"/>
    <m/>
    <n v="0"/>
    <m/>
    <m/>
    <m/>
    <n v="0"/>
    <m/>
    <m/>
    <m/>
    <m/>
    <m/>
    <m/>
    <n v="0"/>
    <m/>
    <m/>
    <m/>
    <m/>
    <n v="0"/>
    <n v="0"/>
    <n v="0"/>
    <n v="0"/>
    <n v="0"/>
    <n v="0"/>
    <n v="0"/>
  </r>
  <r>
    <x v="14"/>
    <x v="146"/>
    <s v="Manchon court"/>
    <s v="Inox Serti ItalienManchon courtManchon court"/>
    <s v="15 mm"/>
    <n v="1"/>
    <s v="R20150"/>
    <s v="RacMet"/>
    <n v="183015000"/>
    <n v="0"/>
    <m/>
    <m/>
    <m/>
    <m/>
    <m/>
    <m/>
    <n v="0"/>
    <n v="20"/>
    <n v="0"/>
    <m/>
    <m/>
    <n v="0"/>
    <n v="0"/>
    <n v="0"/>
    <n v="0"/>
    <n v="0"/>
    <n v="0"/>
    <n v="0"/>
  </r>
  <r>
    <x v="14"/>
    <x v="146"/>
    <s v="Manchon court"/>
    <s v="Inox Serti ItalienManchon courtManchon court"/>
    <s v="18 mm"/>
    <n v="2"/>
    <s v="R20180"/>
    <s v="RacMet"/>
    <n v="183018000"/>
    <n v="0"/>
    <m/>
    <m/>
    <m/>
    <m/>
    <m/>
    <m/>
    <n v="0"/>
    <n v="20"/>
    <n v="0"/>
    <m/>
    <m/>
    <n v="0"/>
    <n v="0"/>
    <n v="0"/>
    <n v="0"/>
    <n v="0"/>
    <n v="0"/>
    <n v="0"/>
  </r>
  <r>
    <x v="14"/>
    <x v="146"/>
    <s v="Manchon court"/>
    <s v="Inox Serti ItalienManchon courtManchon court"/>
    <s v="22 mm"/>
    <n v="3"/>
    <s v="R20220"/>
    <s v="RacMet"/>
    <n v="183020000"/>
    <n v="0"/>
    <m/>
    <m/>
    <m/>
    <m/>
    <m/>
    <m/>
    <n v="0"/>
    <n v="20"/>
    <n v="0"/>
    <m/>
    <m/>
    <n v="0"/>
    <n v="0"/>
    <n v="0"/>
    <n v="0"/>
    <n v="0"/>
    <n v="0"/>
    <n v="0"/>
  </r>
  <r>
    <x v="14"/>
    <x v="146"/>
    <s v="Manchon court"/>
    <s v="Inox Serti ItalienManchon courtManchon court"/>
    <s v="28 mm"/>
    <n v="4"/>
    <s v="R20280"/>
    <s v="RacMet"/>
    <n v="183028000"/>
    <n v="0"/>
    <m/>
    <m/>
    <m/>
    <m/>
    <m/>
    <m/>
    <n v="0"/>
    <n v="10"/>
    <n v="0"/>
    <m/>
    <m/>
    <n v="0"/>
    <n v="0"/>
    <n v="0"/>
    <n v="0"/>
    <n v="0"/>
    <n v="0"/>
    <n v="0"/>
  </r>
  <r>
    <x v="14"/>
    <x v="146"/>
    <s v="Manchon court"/>
    <s v="Inox Serti ItalienManchon courtManchon court"/>
    <s v="35 mm"/>
    <n v="5"/>
    <s v="R20350"/>
    <s v="RacMet"/>
    <n v="183035000"/>
    <n v="0"/>
    <m/>
    <m/>
    <m/>
    <m/>
    <m/>
    <m/>
    <n v="0"/>
    <n v="10"/>
    <n v="0"/>
    <m/>
    <m/>
    <n v="0"/>
    <n v="0"/>
    <n v="0"/>
    <n v="0"/>
    <n v="0"/>
    <n v="0"/>
    <n v="0"/>
  </r>
  <r>
    <x v="14"/>
    <x v="146"/>
    <s v="Manchon court"/>
    <s v="Inox Serti ItalienManchon courtManchon court"/>
    <s v="42 mm"/>
    <n v="6"/>
    <s v="R20420"/>
    <s v="RacMet"/>
    <n v="183042000"/>
    <n v="0"/>
    <m/>
    <m/>
    <m/>
    <m/>
    <m/>
    <m/>
    <n v="0"/>
    <n v="4"/>
    <n v="0"/>
    <m/>
    <m/>
    <n v="0"/>
    <n v="0"/>
    <n v="0"/>
    <n v="0"/>
    <n v="0"/>
    <n v="0"/>
    <n v="0"/>
  </r>
  <r>
    <x v="14"/>
    <x v="146"/>
    <s v="Manchon court"/>
    <s v="Inox Serti ItalienManchon courtManchon court"/>
    <s v="54 mm"/>
    <n v="7"/>
    <s v="R20540"/>
    <s v="RacMet"/>
    <n v="183054000"/>
    <n v="0"/>
    <m/>
    <m/>
    <m/>
    <m/>
    <m/>
    <m/>
    <n v="0"/>
    <n v="2"/>
    <n v="0"/>
    <m/>
    <m/>
    <n v="0"/>
    <n v="0"/>
    <n v="0"/>
    <n v="0"/>
    <n v="0"/>
    <n v="0"/>
    <n v="0"/>
  </r>
  <r>
    <x v="14"/>
    <x v="146"/>
    <s v="Manchon court"/>
    <s v="Inox Serti ItalienManchon courtManchon court"/>
    <s v="76,1 mm"/>
    <n v="8"/>
    <s v="R20760"/>
    <s v="RacMet"/>
    <n v="183076000"/>
    <n v="0"/>
    <m/>
    <m/>
    <m/>
    <m/>
    <m/>
    <m/>
    <n v="0"/>
    <n v="4"/>
    <n v="0"/>
    <m/>
    <m/>
    <n v="0"/>
    <n v="0"/>
    <n v="0"/>
    <n v="0"/>
    <n v="0"/>
    <n v="0"/>
    <n v="0"/>
  </r>
  <r>
    <x v="14"/>
    <x v="146"/>
    <s v="Manchon court"/>
    <s v="Inox Serti ItalienManchon courtManchon court"/>
    <s v="88,9 mm"/>
    <n v="9"/>
    <s v="R20800"/>
    <s v="RacMet"/>
    <n v="183088000"/>
    <n v="0"/>
    <m/>
    <m/>
    <m/>
    <m/>
    <m/>
    <m/>
    <n v="0"/>
    <n v="4"/>
    <n v="0"/>
    <m/>
    <m/>
    <n v="0"/>
    <n v="0"/>
    <n v="0"/>
    <n v="0"/>
    <n v="0"/>
    <n v="0"/>
    <n v="0"/>
  </r>
  <r>
    <x v="14"/>
    <x v="146"/>
    <s v="Manchon court"/>
    <s v="Inox Serti ItalienManchon courtManchon court"/>
    <s v="108 mm"/>
    <n v="10"/>
    <s v="R20108"/>
    <s v="RacMet"/>
    <n v="183108000"/>
    <n v="0"/>
    <m/>
    <m/>
    <m/>
    <m/>
    <m/>
    <m/>
    <n v="0"/>
    <n v="2"/>
    <n v="0"/>
    <m/>
    <m/>
    <n v="0"/>
    <n v="0"/>
    <n v="0"/>
    <n v="0"/>
    <n v="0"/>
    <n v="0"/>
    <n v="0"/>
  </r>
  <r>
    <x v="14"/>
    <x v="147"/>
    <s v="Manchon long "/>
    <s v="Inox Serti ItalienManchon long Manchon long "/>
    <m/>
    <n v="0"/>
    <m/>
    <m/>
    <m/>
    <n v="0"/>
    <m/>
    <m/>
    <m/>
    <m/>
    <m/>
    <m/>
    <n v="0"/>
    <m/>
    <m/>
    <m/>
    <m/>
    <n v="0"/>
    <n v="0"/>
    <n v="0"/>
    <n v="0"/>
    <n v="0"/>
    <n v="0"/>
    <n v="0"/>
  </r>
  <r>
    <x v="14"/>
    <x v="147"/>
    <s v="Manchon long "/>
    <s v="Inox Serti ItalienManchon long Manchon long "/>
    <s v="15 mm"/>
    <n v="1"/>
    <s v="R21150"/>
    <s v="RacMet"/>
    <n v="183015001"/>
    <n v="0"/>
    <m/>
    <m/>
    <m/>
    <m/>
    <m/>
    <m/>
    <n v="0"/>
    <n v="20"/>
    <n v="0"/>
    <m/>
    <m/>
    <n v="0"/>
    <n v="0"/>
    <n v="0"/>
    <n v="0"/>
    <n v="0"/>
    <n v="0"/>
    <n v="0"/>
  </r>
  <r>
    <x v="14"/>
    <x v="147"/>
    <s v="Manchon long "/>
    <s v="Inox Serti ItalienManchon long Manchon long "/>
    <s v="18 mm"/>
    <n v="2"/>
    <s v="R21180"/>
    <s v="RacMet"/>
    <n v="183018001"/>
    <n v="0"/>
    <m/>
    <m/>
    <m/>
    <m/>
    <m/>
    <m/>
    <n v="0"/>
    <n v="20"/>
    <n v="0"/>
    <m/>
    <m/>
    <n v="0"/>
    <n v="0"/>
    <n v="0"/>
    <n v="0"/>
    <n v="0"/>
    <n v="0"/>
    <n v="0"/>
  </r>
  <r>
    <x v="14"/>
    <x v="147"/>
    <s v="Manchon long "/>
    <s v="Inox Serti ItalienManchon long Manchon long "/>
    <s v="22 mm"/>
    <n v="3"/>
    <s v="R21220"/>
    <s v="RacMet"/>
    <n v="183022001"/>
    <n v="0"/>
    <m/>
    <m/>
    <m/>
    <m/>
    <m/>
    <m/>
    <n v="0"/>
    <n v="20"/>
    <n v="0"/>
    <m/>
    <m/>
    <n v="0"/>
    <n v="0"/>
    <n v="0"/>
    <n v="0"/>
    <n v="0"/>
    <n v="0"/>
    <n v="0"/>
  </r>
  <r>
    <x v="14"/>
    <x v="147"/>
    <s v="Manchon long "/>
    <s v="Inox Serti ItalienManchon long Manchon long "/>
    <s v="28 mm"/>
    <n v="4"/>
    <s v="R21280"/>
    <s v="RacMet"/>
    <n v="183028001"/>
    <n v="0"/>
    <m/>
    <m/>
    <m/>
    <m/>
    <m/>
    <m/>
    <n v="0"/>
    <n v="10"/>
    <n v="0"/>
    <m/>
    <m/>
    <n v="0"/>
    <n v="0"/>
    <n v="0"/>
    <n v="0"/>
    <n v="0"/>
    <n v="0"/>
    <n v="0"/>
  </r>
  <r>
    <x v="14"/>
    <x v="147"/>
    <s v="Manchon long "/>
    <s v="Inox Serti ItalienManchon long Manchon long "/>
    <s v="35 mm"/>
    <n v="5"/>
    <s v="R21350"/>
    <s v="RacMet"/>
    <n v="183035001"/>
    <n v="0"/>
    <m/>
    <m/>
    <m/>
    <m/>
    <m/>
    <m/>
    <n v="0"/>
    <n v="10"/>
    <n v="0"/>
    <m/>
    <m/>
    <n v="0"/>
    <n v="0"/>
    <n v="0"/>
    <n v="0"/>
    <n v="0"/>
    <n v="0"/>
    <n v="0"/>
  </r>
  <r>
    <x v="14"/>
    <x v="147"/>
    <s v="Manchon long "/>
    <s v="Inox Serti ItalienManchon long Manchon long "/>
    <s v="42 mm"/>
    <n v="6"/>
    <s v="R21420"/>
    <s v="RacMet"/>
    <n v="183042001"/>
    <n v="0"/>
    <m/>
    <m/>
    <m/>
    <m/>
    <m/>
    <m/>
    <n v="0"/>
    <n v="4"/>
    <n v="0"/>
    <m/>
    <m/>
    <n v="0"/>
    <n v="0"/>
    <n v="0"/>
    <n v="0"/>
    <n v="0"/>
    <n v="0"/>
    <n v="0"/>
  </r>
  <r>
    <x v="14"/>
    <x v="147"/>
    <s v="Manchon long "/>
    <s v="Inox Serti ItalienManchon long Manchon long "/>
    <s v="54 mm"/>
    <n v="7"/>
    <s v="R21540"/>
    <s v="RacMet"/>
    <n v="183054001"/>
    <n v="0"/>
    <m/>
    <m/>
    <m/>
    <m/>
    <m/>
    <m/>
    <n v="0"/>
    <n v="2"/>
    <n v="0"/>
    <m/>
    <m/>
    <n v="0"/>
    <n v="0"/>
    <n v="0"/>
    <n v="0"/>
    <n v="0"/>
    <n v="0"/>
    <n v="0"/>
  </r>
  <r>
    <x v="14"/>
    <x v="147"/>
    <s v="Manchon long "/>
    <s v="Inox Serti ItalienManchon long Manchon long "/>
    <s v="76,1 mm"/>
    <n v="8"/>
    <s v="R21760"/>
    <s v="RacMet"/>
    <n v="183076001"/>
    <n v="0"/>
    <m/>
    <m/>
    <m/>
    <m/>
    <m/>
    <m/>
    <n v="0"/>
    <n v="2"/>
    <n v="0"/>
    <m/>
    <m/>
    <n v="0"/>
    <n v="0"/>
    <n v="0"/>
    <n v="0"/>
    <n v="0"/>
    <n v="0"/>
    <n v="0"/>
  </r>
  <r>
    <x v="14"/>
    <x v="147"/>
    <s v="Manchon long "/>
    <s v="Inox Serti ItalienManchon long Manchon long "/>
    <s v="88,9 mm"/>
    <n v="9"/>
    <s v="R21800"/>
    <s v="RacMet"/>
    <n v="183088001"/>
    <n v="0"/>
    <m/>
    <m/>
    <m/>
    <m/>
    <m/>
    <m/>
    <n v="0"/>
    <n v="2"/>
    <n v="0"/>
    <m/>
    <m/>
    <n v="0"/>
    <n v="0"/>
    <n v="0"/>
    <n v="0"/>
    <n v="0"/>
    <n v="0"/>
    <n v="0"/>
  </r>
  <r>
    <x v="14"/>
    <x v="147"/>
    <s v="Manchon long "/>
    <s v="Inox Serti ItalienManchon long Manchon long "/>
    <s v="108 mm"/>
    <n v="10"/>
    <s v="R21108"/>
    <s v="RacMet"/>
    <n v="183108001"/>
    <n v="0"/>
    <m/>
    <m/>
    <m/>
    <m/>
    <m/>
    <m/>
    <n v="0"/>
    <n v="2"/>
    <n v="0"/>
    <m/>
    <m/>
    <n v="0"/>
    <n v="0"/>
    <n v="0"/>
    <n v="0"/>
    <n v="0"/>
    <n v="0"/>
    <n v="0"/>
  </r>
  <r>
    <x v="14"/>
    <x v="222"/>
    <s v="Manchon Mixte"/>
    <s v="Inox Serti ItalienManchon MixteManchon Mixte"/>
    <m/>
    <n v="0"/>
    <m/>
    <m/>
    <m/>
    <n v="0"/>
    <m/>
    <m/>
    <m/>
    <m/>
    <m/>
    <m/>
    <n v="0"/>
    <m/>
    <m/>
    <m/>
    <m/>
    <n v="0"/>
    <n v="0"/>
    <n v="0"/>
    <n v="0"/>
    <n v="0"/>
    <n v="0"/>
    <n v="0"/>
  </r>
  <r>
    <x v="14"/>
    <x v="222"/>
    <s v="Manchons à sertir F mixtes F"/>
    <s v="Inox Serti ItalienManchon MixteManchons à sertir F mixtes F"/>
    <s v="15 mm x 1/2&quot;"/>
    <n v="1"/>
    <s v="R221512"/>
    <s v="RacMet"/>
    <n v="190102015"/>
    <n v="0"/>
    <m/>
    <m/>
    <m/>
    <m/>
    <m/>
    <m/>
    <n v="0"/>
    <n v="20"/>
    <n v="0"/>
    <m/>
    <m/>
    <n v="0"/>
    <n v="0"/>
    <n v="0"/>
    <n v="0"/>
    <n v="0"/>
    <n v="0"/>
    <n v="0"/>
  </r>
  <r>
    <x v="14"/>
    <x v="222"/>
    <s v="Manchons à sertir F mixtes F"/>
    <s v="Inox Serti ItalienManchon MixteManchons à sertir F mixtes F"/>
    <s v="15 mm x 3/4''"/>
    <n v="2"/>
    <s v="R221534"/>
    <s v="RacMet"/>
    <n v="190304015"/>
    <n v="0"/>
    <m/>
    <m/>
    <m/>
    <m/>
    <m/>
    <m/>
    <n v="0"/>
    <n v="20"/>
    <n v="0"/>
    <m/>
    <m/>
    <n v="0"/>
    <n v="0"/>
    <n v="0"/>
    <n v="0"/>
    <n v="0"/>
    <n v="0"/>
    <n v="0"/>
  </r>
  <r>
    <x v="14"/>
    <x v="222"/>
    <s v="Manchons à sertir F mixtes F"/>
    <s v="Inox Serti ItalienManchon MixteManchons à sertir F mixtes F"/>
    <s v="18 mm x 1/2&quot;"/>
    <n v="3"/>
    <s v="R221812"/>
    <s v="RacMet"/>
    <n v="190102018"/>
    <n v="0"/>
    <m/>
    <m/>
    <m/>
    <m/>
    <m/>
    <m/>
    <n v="0"/>
    <n v="20"/>
    <n v="0"/>
    <m/>
    <m/>
    <n v="0"/>
    <n v="0"/>
    <n v="0"/>
    <n v="0"/>
    <n v="0"/>
    <n v="0"/>
    <n v="0"/>
  </r>
  <r>
    <x v="14"/>
    <x v="222"/>
    <s v="Manchons à sertir F mixtes F"/>
    <s v="Inox Serti ItalienManchon MixteManchons à sertir F mixtes F"/>
    <s v="18 mm x 3/4&quot;"/>
    <n v="4"/>
    <s v="R221834"/>
    <s v="RacMet"/>
    <n v="190304018"/>
    <n v="0"/>
    <m/>
    <m/>
    <m/>
    <m/>
    <m/>
    <m/>
    <n v="0"/>
    <n v="10"/>
    <n v="0"/>
    <m/>
    <m/>
    <n v="0"/>
    <n v="0"/>
    <n v="0"/>
    <n v="0"/>
    <n v="0"/>
    <n v="0"/>
    <n v="0"/>
  </r>
  <r>
    <x v="14"/>
    <x v="222"/>
    <s v="Manchons à sertir F mixtes F"/>
    <s v="Inox Serti ItalienManchon MixteManchons à sertir F mixtes F"/>
    <s v="22 mm x 1/2&quot;"/>
    <n v="5"/>
    <s v="R222212"/>
    <s v="RacMet"/>
    <n v="190102022"/>
    <n v="0"/>
    <m/>
    <m/>
    <m/>
    <m/>
    <m/>
    <m/>
    <n v="0"/>
    <n v="20"/>
    <n v="0"/>
    <m/>
    <m/>
    <n v="0"/>
    <n v="0"/>
    <n v="0"/>
    <n v="0"/>
    <n v="0"/>
    <n v="0"/>
    <n v="0"/>
  </r>
  <r>
    <x v="14"/>
    <x v="222"/>
    <s v="Manchons à sertir F mixtes F"/>
    <s v="Inox Serti ItalienManchon MixteManchons à sertir F mixtes F"/>
    <s v="22 mm x 3/4&quot;"/>
    <n v="6"/>
    <s v="R222234"/>
    <s v="RacMet"/>
    <n v="190304022"/>
    <n v="0"/>
    <m/>
    <m/>
    <m/>
    <m/>
    <m/>
    <m/>
    <n v="0"/>
    <n v="10"/>
    <n v="0"/>
    <m/>
    <m/>
    <n v="0"/>
    <n v="0"/>
    <n v="0"/>
    <n v="0"/>
    <n v="0"/>
    <n v="0"/>
    <n v="0"/>
  </r>
  <r>
    <x v="14"/>
    <x v="222"/>
    <s v="Manchons à sertir F mixtes F"/>
    <s v="Inox Serti ItalienManchon MixteManchons à sertir F mixtes F"/>
    <s v="22 mm x 1''"/>
    <n v="7"/>
    <s v="R22221"/>
    <s v="RacMet"/>
    <n v="190100022"/>
    <n v="0"/>
    <m/>
    <m/>
    <m/>
    <m/>
    <m/>
    <m/>
    <n v="0"/>
    <n v="10"/>
    <n v="0"/>
    <m/>
    <m/>
    <n v="0"/>
    <n v="0"/>
    <n v="0"/>
    <n v="0"/>
    <n v="0"/>
    <n v="0"/>
    <n v="0"/>
  </r>
  <r>
    <x v="14"/>
    <x v="222"/>
    <s v="Manchons à sertir F mixtes F"/>
    <s v="Inox Serti ItalienManchon MixteManchons à sertir F mixtes F"/>
    <s v="28 mm x 1/2&quot;"/>
    <n v="8"/>
    <s v="R222812"/>
    <s v="RacMet"/>
    <n v="190102028"/>
    <n v="0"/>
    <m/>
    <m/>
    <m/>
    <m/>
    <m/>
    <m/>
    <n v="0"/>
    <n v="10"/>
    <n v="0"/>
    <m/>
    <m/>
    <n v="0"/>
    <n v="0"/>
    <n v="0"/>
    <n v="0"/>
    <n v="0"/>
    <n v="0"/>
    <n v="0"/>
  </r>
  <r>
    <x v="14"/>
    <x v="222"/>
    <s v="Manchons à sertir F mixtes F"/>
    <s v="Inox Serti ItalienManchon MixteManchons à sertir F mixtes F"/>
    <s v="28 mm x 3/4&quot;"/>
    <n v="9"/>
    <s v="R222834"/>
    <s v="RacMet"/>
    <n v="190304028"/>
    <n v="0"/>
    <m/>
    <m/>
    <m/>
    <m/>
    <m/>
    <m/>
    <n v="0"/>
    <n v="10"/>
    <n v="0"/>
    <m/>
    <m/>
    <n v="0"/>
    <n v="0"/>
    <n v="0"/>
    <n v="0"/>
    <n v="0"/>
    <n v="0"/>
    <n v="0"/>
  </r>
  <r>
    <x v="14"/>
    <x v="222"/>
    <s v="Manchons à sertir F mixtes F"/>
    <s v="Inox Serti ItalienManchon MixteManchons à sertir F mixtes F"/>
    <s v="28 mm x 1&quot;"/>
    <n v="10"/>
    <s v="R22281"/>
    <s v="RacMet"/>
    <n v="190100028"/>
    <n v="0"/>
    <m/>
    <m/>
    <m/>
    <m/>
    <m/>
    <m/>
    <n v="0"/>
    <n v="10"/>
    <n v="0"/>
    <m/>
    <m/>
    <n v="0"/>
    <n v="0"/>
    <n v="0"/>
    <n v="0"/>
    <n v="0"/>
    <n v="0"/>
    <n v="0"/>
  </r>
  <r>
    <x v="14"/>
    <x v="222"/>
    <s v="Manchons à sertir F mixtes F"/>
    <s v="Inox Serti ItalienManchon MixteManchons à sertir F mixtes F"/>
    <s v="28 mm x 1''1/4"/>
    <n v="11"/>
    <s v="R2228114"/>
    <s v="RacMet"/>
    <n v="190114028"/>
    <n v="0"/>
    <m/>
    <m/>
    <m/>
    <m/>
    <m/>
    <m/>
    <n v="0"/>
    <n v="10"/>
    <n v="0"/>
    <m/>
    <m/>
    <n v="0"/>
    <n v="0"/>
    <n v="0"/>
    <n v="0"/>
    <n v="0"/>
    <n v="0"/>
    <n v="0"/>
  </r>
  <r>
    <x v="14"/>
    <x v="222"/>
    <s v="Manchons à sertir F mixtes F"/>
    <s v="Inox Serti ItalienManchon MixteManchons à sertir F mixtes F"/>
    <s v="35 mm x 1''"/>
    <n v="12"/>
    <s v="R22351"/>
    <s v="RacMet"/>
    <n v="190100035"/>
    <n v="0"/>
    <m/>
    <m/>
    <m/>
    <m/>
    <m/>
    <m/>
    <n v="0"/>
    <n v="5"/>
    <n v="0"/>
    <m/>
    <m/>
    <n v="0"/>
    <n v="0"/>
    <n v="0"/>
    <n v="0"/>
    <n v="0"/>
    <n v="0"/>
    <n v="0"/>
  </r>
  <r>
    <x v="14"/>
    <x v="222"/>
    <s v="Manchons à sertir F mixtes F"/>
    <s v="Inox Serti ItalienManchon MixteManchons à sertir F mixtes F"/>
    <s v="35 mm x 1&quot;1/4"/>
    <n v="13"/>
    <s v="R2235114"/>
    <s v="RacMet"/>
    <n v="190114035"/>
    <n v="0"/>
    <m/>
    <m/>
    <m/>
    <m/>
    <m/>
    <m/>
    <n v="0"/>
    <n v="5"/>
    <n v="0"/>
    <m/>
    <m/>
    <n v="0"/>
    <n v="0"/>
    <n v="0"/>
    <n v="0"/>
    <n v="0"/>
    <n v="0"/>
    <n v="0"/>
  </r>
  <r>
    <x v="14"/>
    <x v="222"/>
    <s v="Manchons à sertir F mixtes F"/>
    <s v="Inox Serti ItalienManchon MixteManchons à sertir F mixtes F"/>
    <s v="35 mm x 1''1/2"/>
    <n v="14"/>
    <s v="R2235112"/>
    <s v="RacMet"/>
    <n v="190112035"/>
    <n v="0"/>
    <m/>
    <m/>
    <m/>
    <m/>
    <m/>
    <m/>
    <n v="0"/>
    <n v="4"/>
    <n v="0"/>
    <m/>
    <m/>
    <n v="0"/>
    <n v="0"/>
    <n v="0"/>
    <n v="0"/>
    <n v="0"/>
    <n v="0"/>
    <n v="0"/>
  </r>
  <r>
    <x v="14"/>
    <x v="222"/>
    <s v="Manchons à sertir F mixtes F"/>
    <s v="Inox Serti ItalienManchon MixteManchons à sertir F mixtes F"/>
    <s v="42 mm x 1&quot;1/4 "/>
    <n v="15"/>
    <s v="R2242114"/>
    <s v="RacMet"/>
    <n v="190114042"/>
    <n v="0"/>
    <m/>
    <m/>
    <m/>
    <m/>
    <m/>
    <m/>
    <n v="0"/>
    <n v="4"/>
    <n v="0"/>
    <m/>
    <m/>
    <n v="0"/>
    <n v="0"/>
    <n v="0"/>
    <n v="0"/>
    <n v="0"/>
    <n v="0"/>
    <n v="0"/>
  </r>
  <r>
    <x v="14"/>
    <x v="222"/>
    <s v="Manchons à sertir F mixtes F"/>
    <s v="Inox Serti ItalienManchon MixteManchons à sertir F mixtes F"/>
    <s v="42 mm x 1''1/2"/>
    <n v="16"/>
    <s v="R2242112"/>
    <s v="RacMet"/>
    <n v="190112042"/>
    <n v="0"/>
    <m/>
    <m/>
    <m/>
    <m/>
    <m/>
    <m/>
    <n v="0"/>
    <n v="4"/>
    <n v="0"/>
    <m/>
    <m/>
    <n v="0"/>
    <n v="0"/>
    <n v="0"/>
    <n v="0"/>
    <n v="0"/>
    <n v="0"/>
    <n v="0"/>
  </r>
  <r>
    <x v="14"/>
    <x v="222"/>
    <s v="Manchons à sertir F mixtes F"/>
    <s v="Inox Serti ItalienManchon MixteManchons à sertir F mixtes F"/>
    <s v="54 mm x 1&quot;1/2"/>
    <n v="17"/>
    <s v="R2254112"/>
    <s v="RacMet"/>
    <n v="190112054"/>
    <n v="0"/>
    <m/>
    <m/>
    <m/>
    <m/>
    <m/>
    <m/>
    <n v="0"/>
    <n v="4"/>
    <n v="0"/>
    <m/>
    <m/>
    <n v="0"/>
    <n v="0"/>
    <n v="0"/>
    <n v="0"/>
    <n v="0"/>
    <n v="0"/>
    <n v="0"/>
  </r>
  <r>
    <x v="14"/>
    <x v="222"/>
    <s v="Manchons à sertir F mixtes F"/>
    <s v="Inox Serti ItalienManchon MixteManchons à sertir F mixtes F"/>
    <s v="54 mm x 2&quot;"/>
    <n v="18"/>
    <s v="R22542"/>
    <s v="RacMet"/>
    <n v="190200054"/>
    <n v="0"/>
    <m/>
    <m/>
    <m/>
    <m/>
    <m/>
    <m/>
    <n v="0"/>
    <n v="4"/>
    <n v="0"/>
    <m/>
    <m/>
    <n v="0"/>
    <n v="0"/>
    <n v="0"/>
    <n v="0"/>
    <n v="0"/>
    <n v="0"/>
    <n v="0"/>
  </r>
  <r>
    <x v="14"/>
    <x v="222"/>
    <s v="Manchons à sertir F mixtes M "/>
    <s v="Inox Serti ItalienManchon MixteManchons à sertir F mixtes M "/>
    <s v="15 mm x 3/8''"/>
    <n v="1"/>
    <s v="R241538"/>
    <s v="RacMet"/>
    <n v="187308015"/>
    <n v="0"/>
    <m/>
    <m/>
    <m/>
    <m/>
    <m/>
    <m/>
    <n v="0"/>
    <n v="20"/>
    <n v="0"/>
    <m/>
    <m/>
    <n v="0"/>
    <n v="0"/>
    <n v="0"/>
    <n v="0"/>
    <n v="0"/>
    <n v="0"/>
    <n v="0"/>
  </r>
  <r>
    <x v="14"/>
    <x v="222"/>
    <s v="Manchons à sertir F mixtes M "/>
    <s v="Inox Serti ItalienManchon MixteManchons à sertir F mixtes M "/>
    <s v="15 mm x 1/2''"/>
    <n v="2"/>
    <s v="R241512"/>
    <s v="RacMet"/>
    <n v="187102015"/>
    <n v="0"/>
    <m/>
    <m/>
    <m/>
    <m/>
    <m/>
    <m/>
    <n v="0"/>
    <n v="20"/>
    <n v="0"/>
    <m/>
    <m/>
    <n v="0"/>
    <n v="0"/>
    <n v="0"/>
    <n v="0"/>
    <n v="0"/>
    <n v="0"/>
    <n v="0"/>
  </r>
  <r>
    <x v="14"/>
    <x v="222"/>
    <s v="Manchons à sertir F mixtes M "/>
    <s v="Inox Serti ItalienManchon MixteManchons à sertir F mixtes M "/>
    <s v="15 mm x 3/4''"/>
    <n v="3"/>
    <s v="R241534"/>
    <s v="RacMet"/>
    <n v="187304015"/>
    <n v="0"/>
    <m/>
    <m/>
    <m/>
    <m/>
    <m/>
    <m/>
    <n v="0"/>
    <n v="20"/>
    <n v="0"/>
    <m/>
    <m/>
    <n v="0"/>
    <n v="0"/>
    <n v="0"/>
    <n v="0"/>
    <n v="0"/>
    <n v="0"/>
    <n v="0"/>
  </r>
  <r>
    <x v="14"/>
    <x v="222"/>
    <s v="Manchons à sertir F mixtes M "/>
    <s v="Inox Serti ItalienManchon MixteManchons à sertir F mixtes M "/>
    <s v="18 mm x 1/2''"/>
    <n v="4"/>
    <s v="R241812"/>
    <s v="RacMet"/>
    <n v="187102018"/>
    <n v="0"/>
    <m/>
    <m/>
    <m/>
    <m/>
    <m/>
    <m/>
    <n v="0"/>
    <n v="20"/>
    <n v="0"/>
    <m/>
    <m/>
    <n v="0"/>
    <n v="0"/>
    <n v="0"/>
    <n v="0"/>
    <n v="0"/>
    <n v="0"/>
    <n v="0"/>
  </r>
  <r>
    <x v="14"/>
    <x v="222"/>
    <s v="Manchons à sertir F mixtes M "/>
    <s v="Inox Serti ItalienManchon MixteManchons à sertir F mixtes M "/>
    <s v="18 mm x 3/4&quot;"/>
    <n v="5"/>
    <s v="R241834"/>
    <s v="RacMet"/>
    <n v="187304018"/>
    <n v="0"/>
    <m/>
    <m/>
    <m/>
    <m/>
    <m/>
    <m/>
    <n v="0"/>
    <n v="20"/>
    <n v="0"/>
    <m/>
    <m/>
    <n v="0"/>
    <n v="0"/>
    <n v="0"/>
    <n v="0"/>
    <n v="0"/>
    <n v="0"/>
    <n v="0"/>
  </r>
  <r>
    <x v="14"/>
    <x v="222"/>
    <s v="Manchons à sertir F mixtes M "/>
    <s v="Inox Serti ItalienManchon MixteManchons à sertir F mixtes M "/>
    <s v="22 mm x 1/2''"/>
    <n v="6"/>
    <s v="R242212"/>
    <s v="RacMet"/>
    <n v="187102022"/>
    <n v="0"/>
    <m/>
    <m/>
    <m/>
    <m/>
    <m/>
    <m/>
    <n v="0"/>
    <n v="10"/>
    <n v="0"/>
    <m/>
    <m/>
    <n v="0"/>
    <n v="0"/>
    <n v="0"/>
    <n v="0"/>
    <n v="0"/>
    <n v="0"/>
    <n v="0"/>
  </r>
  <r>
    <x v="14"/>
    <x v="222"/>
    <s v="Manchons à sertir F mixtes M "/>
    <s v="Inox Serti ItalienManchon MixteManchons à sertir F mixtes M "/>
    <s v="22 mm x 3/4&quot;"/>
    <n v="7"/>
    <s v="R242234"/>
    <s v="RacMet"/>
    <n v="187304022"/>
    <n v="0"/>
    <m/>
    <m/>
    <m/>
    <m/>
    <m/>
    <m/>
    <n v="0"/>
    <n v="10"/>
    <n v="0"/>
    <m/>
    <m/>
    <n v="0"/>
    <n v="0"/>
    <n v="0"/>
    <n v="0"/>
    <n v="0"/>
    <n v="0"/>
    <n v="0"/>
  </r>
  <r>
    <x v="14"/>
    <x v="222"/>
    <s v="Manchons à sertir F mixtes M "/>
    <s v="Inox Serti ItalienManchon MixteManchons à sertir F mixtes M "/>
    <s v="22 mm x 1''"/>
    <n v="8"/>
    <s v="R24221"/>
    <s v="RacMet"/>
    <n v="187100022"/>
    <n v="0"/>
    <m/>
    <m/>
    <m/>
    <m/>
    <m/>
    <m/>
    <n v="0"/>
    <n v="10"/>
    <n v="0"/>
    <m/>
    <m/>
    <n v="0"/>
    <n v="0"/>
    <n v="0"/>
    <n v="0"/>
    <n v="0"/>
    <n v="0"/>
    <n v="0"/>
  </r>
  <r>
    <x v="14"/>
    <x v="222"/>
    <s v="Manchons à sertir F mixtes M "/>
    <s v="Inox Serti ItalienManchon MixteManchons à sertir F mixtes M "/>
    <s v="28 mm x 1/2''"/>
    <n v="9"/>
    <s v="R242812"/>
    <s v="RacMet"/>
    <n v="187102028"/>
    <n v="0"/>
    <m/>
    <m/>
    <m/>
    <m/>
    <m/>
    <m/>
    <n v="0"/>
    <n v="10"/>
    <n v="0"/>
    <m/>
    <m/>
    <n v="0"/>
    <n v="0"/>
    <n v="0"/>
    <n v="0"/>
    <n v="0"/>
    <n v="0"/>
    <n v="0"/>
  </r>
  <r>
    <x v="14"/>
    <x v="222"/>
    <s v="Manchons à sertir F mixtes M "/>
    <s v="Inox Serti ItalienManchon MixteManchons à sertir F mixtes M "/>
    <s v="28 mm x 3/4&quot;"/>
    <n v="10"/>
    <s v="R242834"/>
    <s v="RacMet"/>
    <n v="187304028"/>
    <n v="0"/>
    <m/>
    <m/>
    <m/>
    <m/>
    <m/>
    <m/>
    <n v="0"/>
    <n v="10"/>
    <n v="0"/>
    <m/>
    <m/>
    <n v="0"/>
    <n v="0"/>
    <n v="0"/>
    <n v="0"/>
    <n v="0"/>
    <n v="0"/>
    <n v="0"/>
  </r>
  <r>
    <x v="14"/>
    <x v="222"/>
    <s v="Manchons à sertir F mixtes M "/>
    <s v="Inox Serti ItalienManchon MixteManchons à sertir F mixtes M "/>
    <s v="28 mm x 1&quot;"/>
    <n v="11"/>
    <s v="R24281"/>
    <s v="RacMet"/>
    <n v="187100028"/>
    <n v="0"/>
    <m/>
    <m/>
    <m/>
    <m/>
    <m/>
    <m/>
    <n v="0"/>
    <n v="10"/>
    <n v="0"/>
    <m/>
    <m/>
    <n v="0"/>
    <n v="0"/>
    <n v="0"/>
    <n v="0"/>
    <n v="0"/>
    <n v="0"/>
    <n v="0"/>
  </r>
  <r>
    <x v="14"/>
    <x v="222"/>
    <s v="Manchons à sertir F mixtes M "/>
    <s v="Inox Serti ItalienManchon MixteManchons à sertir F mixtes M "/>
    <s v="28 mm x 1''1/4"/>
    <n v="12"/>
    <s v="R2428114"/>
    <s v="RacMet"/>
    <n v="187114028"/>
    <n v="0"/>
    <m/>
    <m/>
    <m/>
    <m/>
    <m/>
    <m/>
    <n v="0"/>
    <n v="10"/>
    <n v="0"/>
    <m/>
    <m/>
    <n v="0"/>
    <n v="0"/>
    <n v="0"/>
    <n v="0"/>
    <n v="0"/>
    <n v="0"/>
    <n v="0"/>
  </r>
  <r>
    <x v="14"/>
    <x v="222"/>
    <s v="Manchons à sertir F mixtes M "/>
    <s v="Inox Serti ItalienManchon MixteManchons à sertir F mixtes M "/>
    <s v="35 mm x 1''"/>
    <n v="13"/>
    <s v="R24351"/>
    <s v="RacMet"/>
    <n v="187100035"/>
    <n v="0"/>
    <m/>
    <m/>
    <m/>
    <m/>
    <m/>
    <m/>
    <n v="0"/>
    <n v="5"/>
    <n v="0"/>
    <m/>
    <m/>
    <n v="0"/>
    <n v="0"/>
    <n v="0"/>
    <n v="0"/>
    <n v="0"/>
    <n v="0"/>
    <n v="0"/>
  </r>
  <r>
    <x v="14"/>
    <x v="222"/>
    <s v="Manchons à sertir F mixtes M "/>
    <s v="Inox Serti ItalienManchon MixteManchons à sertir F mixtes M "/>
    <s v="35 mm x 1''1/4"/>
    <n v="14"/>
    <s v="R2435114"/>
    <s v="RacMet"/>
    <n v="187114035"/>
    <n v="0"/>
    <m/>
    <m/>
    <m/>
    <m/>
    <m/>
    <m/>
    <n v="0"/>
    <n v="5"/>
    <n v="0"/>
    <m/>
    <m/>
    <n v="0"/>
    <n v="0"/>
    <n v="0"/>
    <n v="0"/>
    <n v="0"/>
    <n v="0"/>
    <n v="0"/>
  </r>
  <r>
    <x v="14"/>
    <x v="222"/>
    <s v="Manchons à sertir F mixtes M "/>
    <s v="Inox Serti ItalienManchon MixteManchons à sertir F mixtes M "/>
    <s v="35 mm x 1''1/2"/>
    <n v="15"/>
    <s v="R2435112"/>
    <s v="RacMet"/>
    <n v="187112035"/>
    <n v="0"/>
    <m/>
    <m/>
    <m/>
    <m/>
    <m/>
    <m/>
    <n v="0"/>
    <n v="4"/>
    <n v="0"/>
    <m/>
    <m/>
    <n v="0"/>
    <n v="0"/>
    <n v="0"/>
    <n v="0"/>
    <n v="0"/>
    <n v="0"/>
    <n v="0"/>
  </r>
  <r>
    <x v="14"/>
    <x v="222"/>
    <s v="Manchons à sertir F mixtes M "/>
    <s v="Inox Serti ItalienManchon MixteManchons à sertir F mixtes M "/>
    <s v="42 mm x 1''1/4"/>
    <n v="16"/>
    <s v="R2442114"/>
    <s v="RacMet"/>
    <n v="187114042"/>
    <n v="0"/>
    <m/>
    <m/>
    <m/>
    <m/>
    <m/>
    <m/>
    <n v="0"/>
    <n v="4"/>
    <n v="0"/>
    <m/>
    <m/>
    <n v="0"/>
    <n v="0"/>
    <n v="0"/>
    <n v="0"/>
    <n v="0"/>
    <n v="0"/>
    <n v="0"/>
  </r>
  <r>
    <x v="14"/>
    <x v="222"/>
    <s v="Manchons à sertir F mixtes M "/>
    <s v="Inox Serti ItalienManchon MixteManchons à sertir F mixtes M "/>
    <s v="42 mm x 1''1/2"/>
    <n v="17"/>
    <s v="R2442112"/>
    <s v="RacMet"/>
    <n v="187112042"/>
    <n v="0"/>
    <m/>
    <m/>
    <m/>
    <m/>
    <m/>
    <m/>
    <n v="0"/>
    <n v="4"/>
    <n v="0"/>
    <m/>
    <m/>
    <n v="0"/>
    <n v="0"/>
    <n v="0"/>
    <n v="0"/>
    <n v="0"/>
    <n v="0"/>
    <n v="0"/>
  </r>
  <r>
    <x v="14"/>
    <x v="222"/>
    <s v="Manchons à sertir F mixtes M "/>
    <s v="Inox Serti ItalienManchon MixteManchons à sertir F mixtes M "/>
    <s v="54 mm x 1&quot;1/2"/>
    <n v="18"/>
    <s v="R2454112"/>
    <s v="RacMet"/>
    <n v="187112054"/>
    <n v="0"/>
    <m/>
    <m/>
    <m/>
    <m/>
    <m/>
    <m/>
    <n v="0"/>
    <n v="4"/>
    <n v="0"/>
    <m/>
    <m/>
    <n v="0"/>
    <n v="0"/>
    <n v="0"/>
    <n v="0"/>
    <n v="0"/>
    <n v="0"/>
    <n v="0"/>
  </r>
  <r>
    <x v="14"/>
    <x v="222"/>
    <s v="Manchons à sertir F mixtes M "/>
    <s v="Inox Serti ItalienManchon MixteManchons à sertir F mixtes M "/>
    <s v="54 mm x 2&quot;"/>
    <n v="19"/>
    <s v="R24542"/>
    <s v="RacMet"/>
    <n v="187200054"/>
    <n v="0"/>
    <m/>
    <m/>
    <m/>
    <m/>
    <m/>
    <m/>
    <n v="0"/>
    <n v="4"/>
    <n v="0"/>
    <m/>
    <m/>
    <n v="0"/>
    <n v="0"/>
    <n v="0"/>
    <n v="0"/>
    <n v="0"/>
    <n v="0"/>
    <n v="0"/>
  </r>
  <r>
    <x v="14"/>
    <x v="222"/>
    <s v="Manchons à sertir F mixtes M "/>
    <s v="Inox Serti ItalienManchon MixteManchons à sertir F mixtes M "/>
    <s v="76,1 mm x 2&quot;1/2"/>
    <n v="20"/>
    <s v="R2476212"/>
    <s v="RacMet"/>
    <n v="187212076"/>
    <n v="0"/>
    <m/>
    <m/>
    <m/>
    <m/>
    <m/>
    <m/>
    <n v="0"/>
    <n v="2"/>
    <n v="0"/>
    <m/>
    <m/>
    <n v="0"/>
    <n v="0"/>
    <n v="0"/>
    <n v="0"/>
    <n v="0"/>
    <n v="0"/>
    <n v="0"/>
  </r>
  <r>
    <x v="14"/>
    <x v="222"/>
    <s v="Manchons à sertir F mixtes M "/>
    <s v="Inox Serti ItalienManchon MixteManchons à sertir F mixtes M "/>
    <s v="88,9 mm x 3&quot;"/>
    <n v="21"/>
    <s v="R24883"/>
    <s v="RacMet"/>
    <n v="187300088"/>
    <n v="0"/>
    <m/>
    <m/>
    <m/>
    <m/>
    <m/>
    <m/>
    <n v="0"/>
    <n v="2"/>
    <n v="0"/>
    <m/>
    <m/>
    <n v="0"/>
    <n v="0"/>
    <n v="0"/>
    <n v="0"/>
    <n v="0"/>
    <n v="0"/>
    <n v="0"/>
  </r>
  <r>
    <x v="14"/>
    <x v="222"/>
    <s v="Manchons à sertir F mixtes M "/>
    <s v="Inox Serti ItalienManchon MixteManchons à sertir F mixtes M "/>
    <s v="108 mm x 4&quot;"/>
    <n v="22"/>
    <s v="R241084"/>
    <s v="RacMet"/>
    <n v="187400108"/>
    <n v="0"/>
    <m/>
    <m/>
    <m/>
    <m/>
    <m/>
    <m/>
    <n v="0"/>
    <n v="2"/>
    <n v="0"/>
    <m/>
    <m/>
    <n v="0"/>
    <n v="0"/>
    <n v="0"/>
    <n v="0"/>
    <n v="0"/>
    <n v="0"/>
    <n v="0"/>
  </r>
  <r>
    <x v="14"/>
    <x v="222"/>
    <s v="Manchons à sertir M mixtes F"/>
    <s v="Inox Serti ItalienManchon MixteManchons à sertir M mixtes F"/>
    <s v="Manchon male 35 mm x 1&quot;1/4"/>
    <n v="20"/>
    <s v="R2235114S"/>
    <s v="RacMet"/>
    <n v="269114035"/>
    <n v="0"/>
    <m/>
    <m/>
    <m/>
    <m/>
    <m/>
    <m/>
    <n v="0"/>
    <m/>
    <m/>
    <m/>
    <m/>
    <n v="0"/>
    <n v="0"/>
    <n v="0"/>
    <n v="0"/>
    <n v="0"/>
    <n v="0"/>
    <n v="0"/>
  </r>
  <r>
    <x v="14"/>
    <x v="222"/>
    <m/>
    <s v="Inox Serti ItalienManchon Mixte"/>
    <m/>
    <n v="19"/>
    <m/>
    <m/>
    <m/>
    <n v="0"/>
    <m/>
    <m/>
    <m/>
    <m/>
    <m/>
    <m/>
    <n v="0"/>
    <m/>
    <m/>
    <m/>
    <m/>
    <n v="0"/>
    <n v="0"/>
    <n v="0"/>
    <n v="0"/>
    <n v="0"/>
    <n v="0"/>
    <n v="0"/>
  </r>
  <r>
    <x v="14"/>
    <x v="223"/>
    <s v="Manchon réduit MF"/>
    <s v="Inox Serti ItalienManchon réduit MFManchon réduit MF"/>
    <m/>
    <n v="0"/>
    <m/>
    <m/>
    <m/>
    <n v="0"/>
    <m/>
    <m/>
    <m/>
    <m/>
    <m/>
    <m/>
    <n v="0"/>
    <m/>
    <m/>
    <m/>
    <m/>
    <n v="0"/>
    <n v="0"/>
    <n v="0"/>
    <n v="0"/>
    <n v="0"/>
    <n v="0"/>
    <n v="0"/>
  </r>
  <r>
    <x v="14"/>
    <x v="223"/>
    <s v="Manchon réduit MF"/>
    <s v="Inox Serti ItalienManchon réduit MFManchon réduit MF"/>
    <s v="18 x 15 mm"/>
    <n v="1"/>
    <s v="R251815"/>
    <s v="RacMet"/>
    <n v="191018015"/>
    <n v="0"/>
    <m/>
    <m/>
    <m/>
    <m/>
    <m/>
    <m/>
    <n v="0"/>
    <n v="20"/>
    <n v="0"/>
    <m/>
    <m/>
    <n v="0"/>
    <n v="0"/>
    <n v="0"/>
    <n v="0"/>
    <n v="0"/>
    <n v="0"/>
    <n v="0"/>
  </r>
  <r>
    <x v="14"/>
    <x v="223"/>
    <s v="Manchon réduit MF"/>
    <s v="Inox Serti ItalienManchon réduit MFManchon réduit MF"/>
    <s v="22 x 15 mm"/>
    <n v="2"/>
    <s v="R252215"/>
    <s v="RacMet"/>
    <n v="191022015"/>
    <n v="0"/>
    <m/>
    <m/>
    <m/>
    <m/>
    <m/>
    <m/>
    <n v="0"/>
    <n v="20"/>
    <n v="0"/>
    <m/>
    <m/>
    <n v="0"/>
    <n v="0"/>
    <n v="0"/>
    <n v="0"/>
    <n v="0"/>
    <n v="0"/>
    <n v="0"/>
  </r>
  <r>
    <x v="14"/>
    <x v="223"/>
    <s v="Manchon réduit MF"/>
    <s v="Inox Serti ItalienManchon réduit MFManchon réduit MF"/>
    <s v="22 x 18 mm"/>
    <n v="3"/>
    <s v="R252218"/>
    <s v="RacMet"/>
    <n v="191022018"/>
    <n v="0"/>
    <m/>
    <m/>
    <m/>
    <m/>
    <m/>
    <m/>
    <n v="0"/>
    <n v="20"/>
    <n v="0"/>
    <m/>
    <m/>
    <n v="0"/>
    <n v="0"/>
    <n v="0"/>
    <n v="0"/>
    <n v="0"/>
    <n v="0"/>
    <n v="0"/>
  </r>
  <r>
    <x v="14"/>
    <x v="223"/>
    <s v="Manchon réduit MF"/>
    <s v="Inox Serti ItalienManchon réduit MFManchon réduit MF"/>
    <s v="28 x 15 mm"/>
    <n v="4"/>
    <s v="R252815"/>
    <s v="RacMet"/>
    <n v="191028015"/>
    <n v="0"/>
    <m/>
    <m/>
    <m/>
    <m/>
    <m/>
    <m/>
    <n v="0"/>
    <n v="20"/>
    <n v="0"/>
    <m/>
    <m/>
    <n v="0"/>
    <n v="0"/>
    <n v="0"/>
    <n v="0"/>
    <n v="0"/>
    <n v="0"/>
    <n v="0"/>
  </r>
  <r>
    <x v="14"/>
    <x v="223"/>
    <s v="Manchon réduit MF"/>
    <s v="Inox Serti ItalienManchon réduit MFManchon réduit MF"/>
    <s v="28 x 18 mm"/>
    <n v="5"/>
    <s v="R252818"/>
    <s v="RacMet"/>
    <n v="191028018"/>
    <n v="0"/>
    <m/>
    <m/>
    <m/>
    <m/>
    <m/>
    <m/>
    <n v="0"/>
    <n v="20"/>
    <n v="0"/>
    <m/>
    <m/>
    <n v="0"/>
    <n v="0"/>
    <n v="0"/>
    <n v="0"/>
    <n v="0"/>
    <n v="0"/>
    <n v="0"/>
  </r>
  <r>
    <x v="14"/>
    <x v="223"/>
    <s v="Manchon réduit MF"/>
    <s v="Inox Serti ItalienManchon réduit MFManchon réduit MF"/>
    <s v="28 x 22 mm"/>
    <n v="6"/>
    <s v="R252822"/>
    <s v="RacMet"/>
    <n v="191028022"/>
    <n v="0"/>
    <m/>
    <m/>
    <m/>
    <m/>
    <m/>
    <m/>
    <n v="0"/>
    <n v="20"/>
    <n v="0"/>
    <m/>
    <m/>
    <n v="0"/>
    <n v="0"/>
    <n v="0"/>
    <n v="0"/>
    <n v="0"/>
    <n v="0"/>
    <n v="0"/>
  </r>
  <r>
    <x v="14"/>
    <x v="223"/>
    <s v="Manchon réduit MF"/>
    <s v="Inox Serti ItalienManchon réduit MFManchon réduit MF"/>
    <s v="35 x 15 mm"/>
    <n v="7"/>
    <s v="R253515"/>
    <s v="RacMet"/>
    <n v="191035015"/>
    <n v="0"/>
    <m/>
    <m/>
    <m/>
    <m/>
    <m/>
    <m/>
    <n v="0"/>
    <n v="10"/>
    <n v="0"/>
    <m/>
    <m/>
    <n v="0"/>
    <n v="0"/>
    <n v="0"/>
    <n v="0"/>
    <n v="0"/>
    <n v="0"/>
    <n v="0"/>
  </r>
  <r>
    <x v="14"/>
    <x v="223"/>
    <s v="Manchon réduit MF"/>
    <s v="Inox Serti ItalienManchon réduit MFManchon réduit MF"/>
    <s v="35 x 18 mm"/>
    <n v="8"/>
    <s v="R253518"/>
    <s v="RacMet"/>
    <n v="191035018"/>
    <n v="0"/>
    <m/>
    <m/>
    <m/>
    <m/>
    <m/>
    <m/>
    <n v="0"/>
    <n v="10"/>
    <n v="0"/>
    <m/>
    <m/>
    <n v="0"/>
    <n v="0"/>
    <n v="0"/>
    <n v="0"/>
    <n v="0"/>
    <n v="0"/>
    <n v="0"/>
  </r>
  <r>
    <x v="14"/>
    <x v="223"/>
    <s v="Manchon réduit MF"/>
    <s v="Inox Serti ItalienManchon réduit MFManchon réduit MF"/>
    <s v="35 x 22 mm"/>
    <n v="9"/>
    <s v="R253522"/>
    <s v="RacMet"/>
    <n v="191035022"/>
    <n v="0"/>
    <m/>
    <m/>
    <m/>
    <m/>
    <m/>
    <m/>
    <n v="0"/>
    <n v="10"/>
    <n v="0"/>
    <m/>
    <m/>
    <n v="0"/>
    <n v="0"/>
    <n v="0"/>
    <n v="0"/>
    <n v="0"/>
    <n v="0"/>
    <n v="0"/>
  </r>
  <r>
    <x v="14"/>
    <x v="223"/>
    <s v="Manchon réduit MF"/>
    <s v="Inox Serti ItalienManchon réduit MFManchon réduit MF"/>
    <s v="35 x 28 mm"/>
    <n v="10"/>
    <s v="R253528"/>
    <s v="RacMet"/>
    <n v="191035028"/>
    <n v="0"/>
    <m/>
    <m/>
    <m/>
    <m/>
    <m/>
    <m/>
    <n v="0"/>
    <n v="10"/>
    <n v="0"/>
    <m/>
    <m/>
    <n v="0"/>
    <n v="0"/>
    <n v="0"/>
    <n v="0"/>
    <n v="0"/>
    <n v="0"/>
    <n v="0"/>
  </r>
  <r>
    <x v="14"/>
    <x v="223"/>
    <s v="Manchon réduit MF"/>
    <s v="Inox Serti ItalienManchon réduit MFManchon réduit MF"/>
    <s v="42 x 15 mm"/>
    <n v="11"/>
    <s v="R254215"/>
    <s v="RacMet"/>
    <n v="191042015"/>
    <n v="0"/>
    <m/>
    <m/>
    <m/>
    <m/>
    <m/>
    <m/>
    <n v="0"/>
    <n v="4"/>
    <n v="0"/>
    <m/>
    <m/>
    <n v="0"/>
    <n v="0"/>
    <n v="0"/>
    <n v="0"/>
    <n v="0"/>
    <n v="0"/>
    <n v="0"/>
  </r>
  <r>
    <x v="14"/>
    <x v="223"/>
    <s v="Manchon réduit MF"/>
    <s v="Inox Serti ItalienManchon réduit MFManchon réduit MF"/>
    <s v="42 x 18 mm"/>
    <n v="12"/>
    <s v="R254218"/>
    <s v="RacMet"/>
    <n v="191042018"/>
    <n v="0"/>
    <m/>
    <m/>
    <m/>
    <m/>
    <m/>
    <m/>
    <n v="0"/>
    <n v="4"/>
    <n v="0"/>
    <m/>
    <m/>
    <n v="0"/>
    <n v="0"/>
    <n v="0"/>
    <n v="0"/>
    <n v="0"/>
    <n v="0"/>
    <n v="0"/>
  </r>
  <r>
    <x v="14"/>
    <x v="223"/>
    <s v="Manchon réduit MF"/>
    <s v="Inox Serti ItalienManchon réduit MFManchon réduit MF"/>
    <s v="42 x 22 mm"/>
    <n v="13"/>
    <s v="R254222"/>
    <s v="RacMet"/>
    <n v="191042022"/>
    <n v="0"/>
    <m/>
    <m/>
    <m/>
    <m/>
    <m/>
    <m/>
    <n v="0"/>
    <n v="4"/>
    <n v="0"/>
    <m/>
    <m/>
    <n v="0"/>
    <n v="0"/>
    <n v="0"/>
    <n v="0"/>
    <n v="0"/>
    <n v="0"/>
    <n v="0"/>
  </r>
  <r>
    <x v="14"/>
    <x v="223"/>
    <s v="Manchon réduit MF"/>
    <s v="Inox Serti ItalienManchon réduit MFManchon réduit MF"/>
    <s v="42 x 28 mm"/>
    <n v="14"/>
    <s v="R254228"/>
    <s v="RacMet"/>
    <n v="191042028"/>
    <n v="0"/>
    <m/>
    <m/>
    <m/>
    <m/>
    <m/>
    <m/>
    <n v="0"/>
    <n v="4"/>
    <n v="0"/>
    <m/>
    <m/>
    <n v="0"/>
    <n v="0"/>
    <n v="0"/>
    <n v="0"/>
    <n v="0"/>
    <n v="0"/>
    <n v="0"/>
  </r>
  <r>
    <x v="14"/>
    <x v="223"/>
    <s v="Manchon réduit MF"/>
    <s v="Inox Serti ItalienManchon réduit MFManchon réduit MF"/>
    <s v="42 x 35 mm"/>
    <n v="15"/>
    <s v="R254235"/>
    <s v="RacMet"/>
    <n v="191042035"/>
    <n v="0"/>
    <m/>
    <m/>
    <m/>
    <m/>
    <m/>
    <m/>
    <n v="0"/>
    <n v="4"/>
    <n v="0"/>
    <m/>
    <m/>
    <n v="0"/>
    <n v="0"/>
    <n v="0"/>
    <n v="0"/>
    <n v="0"/>
    <n v="0"/>
    <n v="0"/>
  </r>
  <r>
    <x v="14"/>
    <x v="223"/>
    <s v="Manchon réduit MF"/>
    <s v="Inox Serti ItalienManchon réduit MFManchon réduit MF"/>
    <s v="54 x 15 mm"/>
    <n v="16"/>
    <s v="R255415"/>
    <s v="RacMet"/>
    <n v="191054015"/>
    <n v="0"/>
    <m/>
    <m/>
    <m/>
    <m/>
    <m/>
    <m/>
    <n v="0"/>
    <n v="4"/>
    <n v="0"/>
    <m/>
    <m/>
    <n v="0"/>
    <n v="0"/>
    <n v="0"/>
    <n v="0"/>
    <n v="0"/>
    <n v="0"/>
    <n v="0"/>
  </r>
  <r>
    <x v="14"/>
    <x v="223"/>
    <s v="Manchon réduit MF"/>
    <s v="Inox Serti ItalienManchon réduit MFManchon réduit MF"/>
    <s v="51 x 18 mm"/>
    <n v="17"/>
    <s v="R255418"/>
    <s v="RacMet"/>
    <n v="191054018"/>
    <n v="0"/>
    <m/>
    <m/>
    <m/>
    <m/>
    <m/>
    <m/>
    <n v="0"/>
    <n v="4"/>
    <n v="0"/>
    <m/>
    <m/>
    <n v="0"/>
    <n v="0"/>
    <n v="0"/>
    <n v="0"/>
    <n v="0"/>
    <n v="0"/>
    <n v="0"/>
  </r>
  <r>
    <x v="14"/>
    <x v="223"/>
    <s v="Manchon réduit MF"/>
    <s v="Inox Serti ItalienManchon réduit MFManchon réduit MF"/>
    <s v="54 x 22 mm"/>
    <n v="18"/>
    <s v="R255422"/>
    <s v="RacMet"/>
    <n v="191054022"/>
    <n v="0"/>
    <m/>
    <m/>
    <m/>
    <m/>
    <m/>
    <m/>
    <n v="0"/>
    <n v="4"/>
    <n v="0"/>
    <m/>
    <m/>
    <n v="0"/>
    <n v="0"/>
    <n v="0"/>
    <n v="0"/>
    <n v="0"/>
    <n v="0"/>
    <n v="0"/>
  </r>
  <r>
    <x v="14"/>
    <x v="223"/>
    <s v="Manchon réduit MF"/>
    <s v="Inox Serti ItalienManchon réduit MFManchon réduit MF"/>
    <s v="54 x 28 mm"/>
    <n v="19"/>
    <s v="R255428"/>
    <s v="RacMet"/>
    <n v="191054028"/>
    <n v="0"/>
    <m/>
    <m/>
    <m/>
    <m/>
    <m/>
    <m/>
    <n v="0"/>
    <n v="4"/>
    <n v="0"/>
    <m/>
    <m/>
    <n v="0"/>
    <n v="0"/>
    <n v="0"/>
    <n v="0"/>
    <n v="0"/>
    <n v="0"/>
    <n v="0"/>
  </r>
  <r>
    <x v="14"/>
    <x v="223"/>
    <s v="Manchon réduit MF"/>
    <s v="Inox Serti ItalienManchon réduit MFManchon réduit MF"/>
    <s v="54 x 35 mm"/>
    <n v="20"/>
    <s v="R255435"/>
    <s v="RacMet"/>
    <n v="191054035"/>
    <n v="0"/>
    <m/>
    <m/>
    <m/>
    <m/>
    <m/>
    <m/>
    <n v="0"/>
    <n v="4"/>
    <n v="0"/>
    <m/>
    <m/>
    <n v="0"/>
    <n v="0"/>
    <n v="0"/>
    <n v="0"/>
    <n v="0"/>
    <n v="0"/>
    <n v="0"/>
  </r>
  <r>
    <x v="14"/>
    <x v="223"/>
    <s v="Manchon réduit MF"/>
    <s v="Inox Serti ItalienManchon réduit MFManchon réduit MF"/>
    <s v="54 x 42 mm"/>
    <n v="21"/>
    <s v="R255442"/>
    <s v="RacMet"/>
    <n v="191054042"/>
    <n v="0"/>
    <m/>
    <m/>
    <m/>
    <m/>
    <m/>
    <m/>
    <n v="0"/>
    <n v="4"/>
    <n v="0"/>
    <m/>
    <m/>
    <n v="0"/>
    <n v="0"/>
    <n v="0"/>
    <n v="0"/>
    <n v="0"/>
    <n v="0"/>
    <n v="0"/>
  </r>
  <r>
    <x v="14"/>
    <x v="223"/>
    <s v="Manchon réduit MF"/>
    <s v="Inox Serti ItalienManchon réduit MFManchon réduit MF"/>
    <s v="76,1 x 42 mm"/>
    <n v="22"/>
    <s v="R257642"/>
    <s v="RacMet"/>
    <n v="191076043"/>
    <n v="0"/>
    <m/>
    <m/>
    <m/>
    <m/>
    <m/>
    <m/>
    <n v="0"/>
    <n v="4"/>
    <n v="0"/>
    <m/>
    <m/>
    <n v="0"/>
    <n v="0"/>
    <n v="0"/>
    <n v="0"/>
    <n v="0"/>
    <n v="0"/>
    <n v="0"/>
  </r>
  <r>
    <x v="14"/>
    <x v="223"/>
    <s v="Manchon réduit MF"/>
    <s v="Inox Serti ItalienManchon réduit MFManchon réduit MF"/>
    <s v="76,1 x 54 mm"/>
    <n v="23"/>
    <s v="R257654"/>
    <s v="RacMet"/>
    <n v="191076054"/>
    <n v="0"/>
    <m/>
    <m/>
    <m/>
    <m/>
    <m/>
    <m/>
    <n v="0"/>
    <n v="4"/>
    <n v="0"/>
    <m/>
    <m/>
    <n v="0"/>
    <n v="0"/>
    <n v="0"/>
    <n v="0"/>
    <n v="0"/>
    <n v="0"/>
    <n v="0"/>
  </r>
  <r>
    <x v="14"/>
    <x v="223"/>
    <s v="Manchon réduit MF"/>
    <s v="Inox Serti ItalienManchon réduit MFManchon réduit MF"/>
    <s v="88,9 x 54 mm"/>
    <n v="24"/>
    <s v="R258854"/>
    <s v="RacMet"/>
    <n v="191088054"/>
    <n v="0"/>
    <m/>
    <m/>
    <m/>
    <m/>
    <m/>
    <m/>
    <n v="0"/>
    <n v="4"/>
    <n v="0"/>
    <m/>
    <m/>
    <n v="0"/>
    <n v="0"/>
    <n v="0"/>
    <n v="0"/>
    <n v="0"/>
    <n v="0"/>
    <n v="0"/>
  </r>
  <r>
    <x v="14"/>
    <x v="223"/>
    <s v="Manchon réduit MF"/>
    <s v="Inox Serti ItalienManchon réduit MFManchon réduit MF"/>
    <s v="88,9 x 76,1 mm"/>
    <n v="25"/>
    <s v="R258876"/>
    <s v="RacMet"/>
    <n v="191088076"/>
    <n v="0"/>
    <m/>
    <m/>
    <m/>
    <m/>
    <m/>
    <m/>
    <n v="0"/>
    <n v="4"/>
    <n v="0"/>
    <m/>
    <m/>
    <n v="0"/>
    <n v="0"/>
    <n v="0"/>
    <n v="0"/>
    <n v="0"/>
    <n v="0"/>
    <n v="0"/>
  </r>
  <r>
    <x v="14"/>
    <x v="223"/>
    <s v="Manchon réduit MF"/>
    <s v="Inox Serti ItalienManchon réduit MFManchon réduit MF"/>
    <s v="108 x 54 mm"/>
    <n v="26"/>
    <s v="R2510854"/>
    <s v="RacMet"/>
    <n v="191108054"/>
    <n v="0"/>
    <m/>
    <m/>
    <m/>
    <m/>
    <m/>
    <m/>
    <n v="0"/>
    <n v="2"/>
    <n v="0"/>
    <m/>
    <m/>
    <n v="0"/>
    <n v="0"/>
    <n v="0"/>
    <n v="0"/>
    <n v="0"/>
    <n v="0"/>
    <n v="0"/>
  </r>
  <r>
    <x v="14"/>
    <x v="223"/>
    <s v="Manchon réduit MF"/>
    <s v="Inox Serti ItalienManchon réduit MFManchon réduit MF"/>
    <s v="108 x 76,1 mm"/>
    <n v="27"/>
    <s v="R2510876"/>
    <s v="RacMet"/>
    <n v="191108076"/>
    <n v="0"/>
    <m/>
    <m/>
    <m/>
    <m/>
    <m/>
    <m/>
    <n v="0"/>
    <n v="2"/>
    <n v="0"/>
    <m/>
    <m/>
    <n v="0"/>
    <n v="0"/>
    <n v="0"/>
    <n v="0"/>
    <n v="0"/>
    <n v="0"/>
    <n v="0"/>
  </r>
  <r>
    <x v="14"/>
    <x v="223"/>
    <s v="Manchon réduit MF"/>
    <s v="Inox Serti ItalienManchon réduit MFManchon réduit MF"/>
    <s v="108 x 88,9 mm"/>
    <n v="28"/>
    <s v="R2510888"/>
    <s v="RacMet"/>
    <n v="191108088"/>
    <n v="0"/>
    <m/>
    <m/>
    <m/>
    <m/>
    <m/>
    <m/>
    <n v="0"/>
    <n v="2"/>
    <n v="0"/>
    <m/>
    <m/>
    <n v="0"/>
    <n v="0"/>
    <n v="0"/>
    <n v="0"/>
    <n v="0"/>
    <n v="0"/>
    <n v="0"/>
  </r>
  <r>
    <x v="14"/>
    <x v="151"/>
    <s v="Té "/>
    <s v="Inox Serti ItalienTé Té "/>
    <m/>
    <n v="0"/>
    <m/>
    <m/>
    <m/>
    <n v="0"/>
    <m/>
    <m/>
    <m/>
    <m/>
    <m/>
    <m/>
    <n v="0"/>
    <m/>
    <m/>
    <m/>
    <m/>
    <n v="0"/>
    <n v="0"/>
    <n v="0"/>
    <n v="0"/>
    <n v="0"/>
    <n v="0"/>
    <n v="0"/>
  </r>
  <r>
    <x v="14"/>
    <x v="151"/>
    <s v="Té "/>
    <s v="Inox Serti ItalienTé Té "/>
    <s v="15 mm"/>
    <n v="1"/>
    <s v="R15150"/>
    <s v="RacMet"/>
    <n v="182015000"/>
    <n v="0"/>
    <m/>
    <m/>
    <m/>
    <m/>
    <m/>
    <m/>
    <n v="0"/>
    <n v="20"/>
    <n v="0"/>
    <m/>
    <m/>
    <n v="0"/>
    <n v="0"/>
    <n v="0"/>
    <n v="0"/>
    <n v="0"/>
    <n v="0"/>
    <n v="0"/>
  </r>
  <r>
    <x v="14"/>
    <x v="151"/>
    <s v="Té "/>
    <s v="Inox Serti ItalienTé Té "/>
    <s v="18 mm"/>
    <n v="2"/>
    <s v="R15180"/>
    <s v="RacMet"/>
    <n v="182018000"/>
    <n v="0"/>
    <m/>
    <m/>
    <m/>
    <m/>
    <m/>
    <m/>
    <n v="0"/>
    <n v="20"/>
    <n v="0"/>
    <m/>
    <m/>
    <n v="0"/>
    <n v="0"/>
    <n v="0"/>
    <n v="0"/>
    <n v="0"/>
    <n v="0"/>
    <n v="0"/>
  </r>
  <r>
    <x v="14"/>
    <x v="151"/>
    <s v="Té "/>
    <s v="Inox Serti ItalienTé Té "/>
    <s v="22 mm"/>
    <n v="3"/>
    <s v="R15220"/>
    <s v="RacMet"/>
    <n v="182022000"/>
    <n v="0"/>
    <m/>
    <m/>
    <m/>
    <m/>
    <m/>
    <m/>
    <n v="0"/>
    <n v="10"/>
    <n v="0"/>
    <m/>
    <m/>
    <n v="0"/>
    <n v="0"/>
    <n v="0"/>
    <n v="0"/>
    <n v="0"/>
    <n v="0"/>
    <n v="0"/>
  </r>
  <r>
    <x v="14"/>
    <x v="151"/>
    <s v="Té "/>
    <s v="Inox Serti ItalienTé Té "/>
    <s v="28 mm"/>
    <n v="4"/>
    <s v="R15280"/>
    <s v="RacMet"/>
    <n v="182028000"/>
    <n v="0"/>
    <m/>
    <m/>
    <m/>
    <m/>
    <m/>
    <m/>
    <n v="0"/>
    <n v="10"/>
    <n v="0"/>
    <m/>
    <m/>
    <n v="0"/>
    <n v="0"/>
    <n v="0"/>
    <n v="0"/>
    <n v="0"/>
    <n v="0"/>
    <n v="0"/>
  </r>
  <r>
    <x v="14"/>
    <x v="151"/>
    <s v="Té "/>
    <s v="Inox Serti ItalienTé Té "/>
    <s v="35 mm"/>
    <n v="5"/>
    <s v="R15350"/>
    <s v="RacMet"/>
    <n v="182035000"/>
    <n v="0"/>
    <m/>
    <m/>
    <m/>
    <m/>
    <m/>
    <m/>
    <n v="0"/>
    <n v="4"/>
    <n v="0"/>
    <m/>
    <m/>
    <n v="0"/>
    <n v="0"/>
    <n v="0"/>
    <n v="0"/>
    <n v="0"/>
    <n v="0"/>
    <n v="0"/>
  </r>
  <r>
    <x v="14"/>
    <x v="151"/>
    <s v="Té "/>
    <s v="Inox Serti ItalienTé Té "/>
    <s v="42 mm"/>
    <n v="6"/>
    <s v="R15420"/>
    <s v="RacMet"/>
    <n v="182042000"/>
    <n v="0"/>
    <m/>
    <m/>
    <m/>
    <m/>
    <m/>
    <m/>
    <n v="0"/>
    <n v="4"/>
    <n v="0"/>
    <m/>
    <m/>
    <n v="0"/>
    <n v="0"/>
    <n v="0"/>
    <n v="0"/>
    <n v="0"/>
    <n v="0"/>
    <n v="0"/>
  </r>
  <r>
    <x v="14"/>
    <x v="151"/>
    <s v="Té "/>
    <s v="Inox Serti ItalienTé Té "/>
    <s v="54 mm"/>
    <n v="7"/>
    <s v="R15540"/>
    <s v="RacMet"/>
    <n v="182054000"/>
    <n v="0"/>
    <m/>
    <m/>
    <m/>
    <m/>
    <m/>
    <m/>
    <n v="0"/>
    <n v="2"/>
    <n v="0"/>
    <m/>
    <m/>
    <n v="0"/>
    <n v="0"/>
    <n v="0"/>
    <n v="0"/>
    <n v="0"/>
    <n v="0"/>
    <n v="0"/>
  </r>
  <r>
    <x v="14"/>
    <x v="151"/>
    <s v="Té "/>
    <s v="Inox Serti ItalienTé Té "/>
    <s v="76,1 mm"/>
    <n v="8"/>
    <s v="R15760"/>
    <s v="RacMet"/>
    <n v="182076000"/>
    <n v="0"/>
    <m/>
    <m/>
    <m/>
    <m/>
    <m/>
    <m/>
    <n v="0"/>
    <n v="2"/>
    <n v="0"/>
    <m/>
    <m/>
    <n v="0"/>
    <n v="0"/>
    <n v="0"/>
    <n v="0"/>
    <n v="0"/>
    <n v="0"/>
    <n v="0"/>
  </r>
  <r>
    <x v="14"/>
    <x v="151"/>
    <s v="Té "/>
    <s v="Inox Serti ItalienTé Té "/>
    <s v="88,9 mm"/>
    <n v="9"/>
    <s v="R15800"/>
    <s v="RacMet"/>
    <n v="182088000"/>
    <n v="0"/>
    <m/>
    <m/>
    <m/>
    <m/>
    <m/>
    <m/>
    <n v="0"/>
    <n v="2"/>
    <n v="0"/>
    <m/>
    <m/>
    <n v="0"/>
    <n v="0"/>
    <n v="0"/>
    <n v="0"/>
    <n v="0"/>
    <n v="0"/>
    <n v="0"/>
  </r>
  <r>
    <x v="14"/>
    <x v="151"/>
    <s v="Té "/>
    <s v="Inox Serti ItalienTé Té "/>
    <s v="108 mm"/>
    <n v="10"/>
    <s v="R15108"/>
    <s v="RacMet"/>
    <n v="182108000"/>
    <n v="0"/>
    <m/>
    <m/>
    <m/>
    <m/>
    <m/>
    <m/>
    <n v="0"/>
    <n v="2"/>
    <n v="0"/>
    <m/>
    <m/>
    <n v="0"/>
    <n v="0"/>
    <n v="0"/>
    <n v="0"/>
    <n v="0"/>
    <n v="0"/>
    <n v="0"/>
  </r>
  <r>
    <x v="14"/>
    <x v="152"/>
    <s v="Té mixte F"/>
    <s v="Inox Serti ItalienTé mixte FTé mixte F"/>
    <m/>
    <n v="0"/>
    <m/>
    <m/>
    <m/>
    <n v="0"/>
    <m/>
    <m/>
    <m/>
    <m/>
    <m/>
    <m/>
    <n v="0"/>
    <m/>
    <m/>
    <m/>
    <m/>
    <n v="0"/>
    <n v="0"/>
    <n v="0"/>
    <n v="0"/>
    <n v="0"/>
    <n v="0"/>
    <n v="0"/>
  </r>
  <r>
    <x v="14"/>
    <x v="152"/>
    <s v="Té mixte F"/>
    <s v="Inox Serti ItalienTé mixte FTé mixte F"/>
    <s v="15 mm x 1/2''"/>
    <n v="1"/>
    <s v="R131512"/>
    <s v="RacMet"/>
    <n v="189102015"/>
    <n v="0"/>
    <m/>
    <m/>
    <m/>
    <m/>
    <m/>
    <m/>
    <n v="0"/>
    <n v="20"/>
    <n v="0"/>
    <m/>
    <m/>
    <n v="0"/>
    <n v="0"/>
    <n v="0"/>
    <n v="0"/>
    <n v="0"/>
    <n v="0"/>
    <n v="0"/>
  </r>
  <r>
    <x v="14"/>
    <x v="152"/>
    <s v="Té mixte F"/>
    <s v="Inox Serti ItalienTé mixte FTé mixte F"/>
    <s v="18 mm x 1/2''"/>
    <n v="2"/>
    <s v="R131812"/>
    <s v="RacMet"/>
    <n v="189102018"/>
    <n v="0"/>
    <m/>
    <m/>
    <m/>
    <m/>
    <m/>
    <m/>
    <n v="0"/>
    <n v="20"/>
    <n v="0"/>
    <m/>
    <m/>
    <n v="0"/>
    <n v="0"/>
    <n v="0"/>
    <n v="0"/>
    <n v="0"/>
    <n v="0"/>
    <n v="0"/>
  </r>
  <r>
    <x v="14"/>
    <x v="152"/>
    <s v="Té mixte F"/>
    <s v="Inox Serti ItalienTé mixte FTé mixte F"/>
    <s v="18 mm x 3/4''"/>
    <n v="3"/>
    <s v="R131834"/>
    <s v="RacMet"/>
    <n v="189304018"/>
    <n v="0"/>
    <m/>
    <m/>
    <m/>
    <m/>
    <m/>
    <m/>
    <n v="0"/>
    <n v="20"/>
    <n v="0"/>
    <m/>
    <m/>
    <n v="0"/>
    <n v="0"/>
    <n v="0"/>
    <n v="0"/>
    <n v="0"/>
    <n v="0"/>
    <n v="0"/>
  </r>
  <r>
    <x v="14"/>
    <x v="152"/>
    <s v="Té mixte F"/>
    <s v="Inox Serti ItalienTé mixte FTé mixte F"/>
    <s v="28 mm x 1/2''"/>
    <n v="4"/>
    <s v="R132212"/>
    <s v="RacMet"/>
    <n v="189102022"/>
    <n v="0"/>
    <m/>
    <m/>
    <m/>
    <m/>
    <m/>
    <m/>
    <n v="0"/>
    <n v="10"/>
    <n v="0"/>
    <m/>
    <m/>
    <n v="0"/>
    <n v="0"/>
    <n v="0"/>
    <n v="0"/>
    <n v="0"/>
    <n v="0"/>
    <n v="0"/>
  </r>
  <r>
    <x v="14"/>
    <x v="152"/>
    <s v="Té mixte F"/>
    <s v="Inox Serti ItalienTé mixte FTé mixte F"/>
    <s v="22 mm x 3/4''"/>
    <n v="5"/>
    <s v="R132234"/>
    <s v="RacMet"/>
    <n v="189304022"/>
    <n v="0"/>
    <m/>
    <m/>
    <m/>
    <m/>
    <m/>
    <m/>
    <n v="0"/>
    <n v="10"/>
    <n v="0"/>
    <m/>
    <m/>
    <n v="0"/>
    <n v="0"/>
    <n v="0"/>
    <n v="0"/>
    <n v="0"/>
    <n v="0"/>
    <n v="0"/>
  </r>
  <r>
    <x v="14"/>
    <x v="152"/>
    <s v="Té mixte F"/>
    <s v="Inox Serti ItalienTé mixte FTé mixte F"/>
    <s v="28 mm x 1/2&quot;"/>
    <n v="6"/>
    <s v="R132812"/>
    <s v="RacMet"/>
    <n v="189102028"/>
    <n v="0"/>
    <m/>
    <m/>
    <m/>
    <m/>
    <m/>
    <m/>
    <n v="0"/>
    <n v="10"/>
    <n v="0"/>
    <m/>
    <m/>
    <n v="0"/>
    <n v="0"/>
    <n v="0"/>
    <n v="0"/>
    <n v="0"/>
    <n v="0"/>
    <n v="0"/>
  </r>
  <r>
    <x v="14"/>
    <x v="152"/>
    <s v="Té mixte F"/>
    <s v="Inox Serti ItalienTé mixte FTé mixte F"/>
    <s v="28 mm x 3/4&quot;"/>
    <n v="7"/>
    <s v="R132834"/>
    <s v="RacMet"/>
    <n v="189304028"/>
    <n v="0"/>
    <m/>
    <m/>
    <m/>
    <m/>
    <m/>
    <m/>
    <n v="0"/>
    <n v="10"/>
    <n v="0"/>
    <m/>
    <m/>
    <n v="0"/>
    <n v="0"/>
    <n v="0"/>
    <n v="0"/>
    <n v="0"/>
    <n v="0"/>
    <n v="0"/>
  </r>
  <r>
    <x v="14"/>
    <x v="152"/>
    <s v="Té mixte F"/>
    <s v="Inox Serti ItalienTé mixte FTé mixte F"/>
    <s v="28 mm x 1&quot;"/>
    <n v="8"/>
    <s v="R13281"/>
    <s v="RacMet"/>
    <n v="189100028"/>
    <n v="0"/>
    <m/>
    <m/>
    <m/>
    <m/>
    <m/>
    <m/>
    <n v="0"/>
    <n v="5"/>
    <n v="0"/>
    <m/>
    <m/>
    <n v="0"/>
    <n v="0"/>
    <n v="0"/>
    <n v="0"/>
    <n v="0"/>
    <n v="0"/>
    <n v="0"/>
  </r>
  <r>
    <x v="14"/>
    <x v="152"/>
    <s v="Té mixte F"/>
    <s v="Inox Serti ItalienTé mixte FTé mixte F"/>
    <s v="35 mm x 1/2''"/>
    <n v="9"/>
    <s v="R133512"/>
    <s v="RacMet"/>
    <n v="189102035"/>
    <n v="0"/>
    <m/>
    <m/>
    <m/>
    <m/>
    <m/>
    <m/>
    <n v="0"/>
    <n v="5"/>
    <n v="0"/>
    <m/>
    <m/>
    <n v="0"/>
    <n v="0"/>
    <n v="0"/>
    <n v="0"/>
    <n v="0"/>
    <n v="0"/>
    <n v="0"/>
  </r>
  <r>
    <x v="14"/>
    <x v="152"/>
    <s v="Té mixte F"/>
    <s v="Inox Serti ItalienTé mixte FTé mixte F"/>
    <s v="35 mm x 3/4''"/>
    <n v="10"/>
    <s v="R133534"/>
    <s v="RacMet"/>
    <n v="189304035"/>
    <n v="0"/>
    <m/>
    <m/>
    <m/>
    <m/>
    <m/>
    <m/>
    <n v="0"/>
    <n v="5"/>
    <n v="0"/>
    <m/>
    <m/>
    <n v="0"/>
    <n v="0"/>
    <n v="0"/>
    <n v="0"/>
    <n v="0"/>
    <n v="0"/>
    <n v="0"/>
  </r>
  <r>
    <x v="14"/>
    <x v="152"/>
    <s v="Té mixte F"/>
    <s v="Inox Serti ItalienTé mixte FTé mixte F"/>
    <s v="35 mm x 1''"/>
    <n v="11"/>
    <s v="R13351"/>
    <s v="RacMet"/>
    <n v="189100035"/>
    <n v="0"/>
    <m/>
    <m/>
    <m/>
    <m/>
    <m/>
    <m/>
    <n v="0"/>
    <n v="5"/>
    <n v="0"/>
    <m/>
    <m/>
    <n v="0"/>
    <n v="0"/>
    <n v="0"/>
    <n v="0"/>
    <n v="0"/>
    <n v="0"/>
    <n v="0"/>
  </r>
  <r>
    <x v="14"/>
    <x v="152"/>
    <s v="Té mixte F"/>
    <s v="Inox Serti ItalienTé mixte FTé mixte F"/>
    <s v="42 mm x 1/2&quot;"/>
    <n v="12"/>
    <s v="R134212"/>
    <s v="RacMet"/>
    <n v="189102042"/>
    <n v="0"/>
    <m/>
    <m/>
    <m/>
    <m/>
    <m/>
    <m/>
    <n v="0"/>
    <n v="4"/>
    <n v="0"/>
    <m/>
    <m/>
    <n v="0"/>
    <n v="0"/>
    <n v="0"/>
    <n v="0"/>
    <n v="0"/>
    <n v="0"/>
    <n v="0"/>
  </r>
  <r>
    <x v="14"/>
    <x v="152"/>
    <s v="Té mixte F"/>
    <s v="Inox Serti ItalienTé mixte FTé mixte F"/>
    <s v="42 mm x 3/4''"/>
    <n v="13"/>
    <s v="R134234"/>
    <s v="RacMet"/>
    <n v="189304042"/>
    <n v="0"/>
    <m/>
    <m/>
    <m/>
    <m/>
    <m/>
    <m/>
    <n v="0"/>
    <n v="4"/>
    <n v="0"/>
    <m/>
    <m/>
    <n v="0"/>
    <n v="0"/>
    <n v="0"/>
    <n v="0"/>
    <n v="0"/>
    <n v="0"/>
    <n v="0"/>
  </r>
  <r>
    <x v="14"/>
    <x v="152"/>
    <s v="Té mixte F"/>
    <s v="Inox Serti ItalienTé mixte FTé mixte F"/>
    <s v="42 mm x 1''"/>
    <n v="14"/>
    <s v="R13421"/>
    <s v="RacMet"/>
    <n v="189100042"/>
    <n v="0"/>
    <m/>
    <m/>
    <m/>
    <m/>
    <m/>
    <m/>
    <n v="0"/>
    <n v="4"/>
    <n v="0"/>
    <m/>
    <m/>
    <n v="0"/>
    <n v="0"/>
    <n v="0"/>
    <n v="0"/>
    <n v="0"/>
    <n v="0"/>
    <n v="0"/>
  </r>
  <r>
    <x v="14"/>
    <x v="152"/>
    <s v="Té mixte F"/>
    <s v="Inox Serti ItalienTé mixte FTé mixte F"/>
    <s v="54 mm x 1/2&quot;"/>
    <n v="15"/>
    <s v="R135412"/>
    <s v="RacMet"/>
    <n v="189102054"/>
    <n v="0"/>
    <m/>
    <m/>
    <m/>
    <m/>
    <m/>
    <m/>
    <n v="0"/>
    <n v="2"/>
    <n v="0"/>
    <m/>
    <m/>
    <n v="0"/>
    <n v="0"/>
    <n v="0"/>
    <n v="0"/>
    <n v="0"/>
    <n v="0"/>
    <n v="0"/>
  </r>
  <r>
    <x v="14"/>
    <x v="152"/>
    <s v="Té mixte F"/>
    <s v="Inox Serti ItalienTé mixte FTé mixte F"/>
    <s v="54 mm x 3/4&quot;"/>
    <n v="16"/>
    <s v="R135434"/>
    <s v="RacMet"/>
    <n v="189304054"/>
    <n v="0"/>
    <m/>
    <m/>
    <m/>
    <m/>
    <m/>
    <m/>
    <n v="0"/>
    <n v="2"/>
    <n v="0"/>
    <m/>
    <m/>
    <n v="0"/>
    <n v="0"/>
    <n v="0"/>
    <n v="0"/>
    <n v="0"/>
    <n v="0"/>
    <n v="0"/>
  </r>
  <r>
    <x v="14"/>
    <x v="152"/>
    <s v="Té mixte F"/>
    <s v="Inox Serti ItalienTé mixte FTé mixte F"/>
    <s v="54 mm x 2&quot;"/>
    <n v="17"/>
    <s v="R13542"/>
    <s v="RacMet"/>
    <n v="189200054"/>
    <n v="0"/>
    <m/>
    <m/>
    <m/>
    <m/>
    <m/>
    <m/>
    <n v="0"/>
    <n v="2"/>
    <n v="0"/>
    <m/>
    <m/>
    <n v="0"/>
    <n v="0"/>
    <n v="0"/>
    <n v="0"/>
    <n v="0"/>
    <n v="0"/>
    <n v="0"/>
  </r>
  <r>
    <x v="14"/>
    <x v="152"/>
    <s v="Té mixte F"/>
    <s v="Inox Serti ItalienTé mixte FTé mixte F"/>
    <s v="76 mm x 3/4&quot;"/>
    <n v="18"/>
    <s v="R137634"/>
    <s v="RacMet"/>
    <n v="189304076"/>
    <n v="0"/>
    <m/>
    <m/>
    <m/>
    <m/>
    <m/>
    <m/>
    <n v="0"/>
    <n v="2"/>
    <n v="0"/>
    <m/>
    <m/>
    <n v="0"/>
    <n v="0"/>
    <n v="0"/>
    <n v="0"/>
    <n v="0"/>
    <n v="0"/>
    <n v="0"/>
  </r>
  <r>
    <x v="14"/>
    <x v="152"/>
    <s v="Té mixte F"/>
    <s v="Inox Serti ItalienTé mixte FTé mixte F"/>
    <s v="76 mm x 1&quot;"/>
    <n v="19"/>
    <s v="R13761"/>
    <s v="RacMet"/>
    <n v="189100076"/>
    <n v="0"/>
    <m/>
    <m/>
    <m/>
    <m/>
    <m/>
    <m/>
    <n v="0"/>
    <n v="2"/>
    <n v="0"/>
    <m/>
    <m/>
    <n v="0"/>
    <n v="0"/>
    <n v="0"/>
    <n v="0"/>
    <n v="0"/>
    <n v="0"/>
    <n v="0"/>
  </r>
  <r>
    <x v="14"/>
    <x v="152"/>
    <s v="Té mixte F"/>
    <s v="Inox Serti ItalienTé mixte FTé mixte F"/>
    <s v="76 mm x 2&quot;"/>
    <n v="20"/>
    <s v="R13762"/>
    <s v="RacMet"/>
    <n v="189200076"/>
    <n v="0"/>
    <m/>
    <m/>
    <m/>
    <m/>
    <m/>
    <m/>
    <n v="0"/>
    <n v="2"/>
    <n v="0"/>
    <m/>
    <m/>
    <n v="0"/>
    <n v="0"/>
    <n v="0"/>
    <n v="0"/>
    <n v="0"/>
    <n v="0"/>
    <n v="0"/>
  </r>
  <r>
    <x v="14"/>
    <x v="152"/>
    <s v="Té mixte F"/>
    <s v="Inox Serti ItalienTé mixte FTé mixte F"/>
    <s v="88,9 mm x 3/4&quot;"/>
    <n v="21"/>
    <s v="R138834"/>
    <s v="RacMet"/>
    <n v="189304088"/>
    <n v="0"/>
    <m/>
    <m/>
    <m/>
    <m/>
    <m/>
    <m/>
    <n v="0"/>
    <n v="2"/>
    <n v="0"/>
    <m/>
    <m/>
    <n v="0"/>
    <n v="0"/>
    <n v="0"/>
    <n v="0"/>
    <n v="0"/>
    <n v="0"/>
    <n v="0"/>
  </r>
  <r>
    <x v="14"/>
    <x v="152"/>
    <s v="Té mixte F"/>
    <s v="Inox Serti ItalienTé mixte FTé mixte F"/>
    <s v="88,9 mm x 2&quot;"/>
    <n v="22"/>
    <s v="R13882"/>
    <s v="RacMet"/>
    <n v="189200088"/>
    <n v="0"/>
    <m/>
    <m/>
    <m/>
    <m/>
    <m/>
    <m/>
    <n v="0"/>
    <n v="2"/>
    <n v="0"/>
    <m/>
    <m/>
    <n v="0"/>
    <n v="0"/>
    <n v="0"/>
    <n v="0"/>
    <n v="0"/>
    <n v="0"/>
    <n v="0"/>
  </r>
  <r>
    <x v="14"/>
    <x v="152"/>
    <s v="Té mixte F"/>
    <s v="Inox Serti ItalienTé mixte FTé mixte F"/>
    <s v="108 mm x 3/4&quot;"/>
    <n v="23"/>
    <s v="R1310834"/>
    <s v="RacMet"/>
    <n v="189304108"/>
    <n v="0"/>
    <m/>
    <m/>
    <m/>
    <m/>
    <m/>
    <m/>
    <n v="0"/>
    <n v="2"/>
    <n v="0"/>
    <m/>
    <m/>
    <n v="0"/>
    <n v="0"/>
    <n v="0"/>
    <n v="0"/>
    <n v="0"/>
    <n v="0"/>
    <n v="0"/>
  </r>
  <r>
    <x v="14"/>
    <x v="152"/>
    <s v="Té mixte F"/>
    <s v="Inox Serti ItalienTé mixte FTé mixte F"/>
    <s v="108 mm x 2&quot;"/>
    <n v="24"/>
    <s v="R131082"/>
    <s v="RacMet"/>
    <n v="189200108"/>
    <n v="0"/>
    <m/>
    <m/>
    <m/>
    <m/>
    <m/>
    <m/>
    <n v="0"/>
    <n v="2"/>
    <n v="0"/>
    <m/>
    <m/>
    <n v="0"/>
    <n v="0"/>
    <n v="0"/>
    <n v="0"/>
    <n v="0"/>
    <n v="0"/>
    <n v="0"/>
  </r>
  <r>
    <x v="14"/>
    <x v="153"/>
    <s v="Té réduit"/>
    <s v="Inox Serti ItalienTé réduitTé réduit"/>
    <m/>
    <n v="0"/>
    <m/>
    <m/>
    <m/>
    <n v="0"/>
    <m/>
    <m/>
    <m/>
    <m/>
    <m/>
    <m/>
    <n v="0"/>
    <m/>
    <m/>
    <m/>
    <m/>
    <n v="0"/>
    <n v="0"/>
    <n v="0"/>
    <n v="0"/>
    <n v="0"/>
    <n v="0"/>
    <n v="0"/>
  </r>
  <r>
    <x v="14"/>
    <x v="153"/>
    <s v="Té réduit"/>
    <s v="Inox Serti ItalienTé réduitTé réduit"/>
    <s v="18 x 15 mm"/>
    <n v="1"/>
    <s v="R141815"/>
    <s v="RacMet"/>
    <n v="192018015"/>
    <n v="0"/>
    <m/>
    <m/>
    <m/>
    <m/>
    <m/>
    <m/>
    <n v="0"/>
    <n v="20"/>
    <n v="0"/>
    <m/>
    <m/>
    <n v="0"/>
    <n v="0"/>
    <n v="0"/>
    <n v="0"/>
    <n v="0"/>
    <n v="0"/>
    <n v="0"/>
  </r>
  <r>
    <x v="14"/>
    <x v="153"/>
    <s v="Té réduit"/>
    <s v="Inox Serti ItalienTé réduitTé réduit"/>
    <s v="22 x 15 mm"/>
    <n v="2"/>
    <s v="R142215"/>
    <s v="RacMet"/>
    <n v="192022015"/>
    <n v="0"/>
    <m/>
    <m/>
    <m/>
    <m/>
    <m/>
    <m/>
    <n v="0"/>
    <n v="10"/>
    <n v="0"/>
    <m/>
    <m/>
    <n v="0"/>
    <n v="0"/>
    <n v="0"/>
    <n v="0"/>
    <n v="0"/>
    <n v="0"/>
    <n v="0"/>
  </r>
  <r>
    <x v="14"/>
    <x v="153"/>
    <s v="Té réduit"/>
    <s v="Inox Serti ItalienTé réduitTé réduit"/>
    <s v="22 x 18 mm"/>
    <n v="3"/>
    <s v="R142218"/>
    <s v="RacMet"/>
    <n v="192022018"/>
    <n v="0"/>
    <m/>
    <m/>
    <m/>
    <m/>
    <m/>
    <m/>
    <n v="0"/>
    <n v="10"/>
    <n v="0"/>
    <m/>
    <m/>
    <n v="0"/>
    <n v="0"/>
    <n v="0"/>
    <n v="0"/>
    <n v="0"/>
    <n v="0"/>
    <n v="0"/>
  </r>
  <r>
    <x v="14"/>
    <x v="153"/>
    <s v="Té réduit"/>
    <s v="Inox Serti ItalienTé réduitTé réduit"/>
    <s v="28 x 15 mm"/>
    <n v="4"/>
    <s v="R142815"/>
    <s v="RacMet"/>
    <n v="192028015"/>
    <n v="0"/>
    <m/>
    <m/>
    <m/>
    <m/>
    <m/>
    <m/>
    <n v="0"/>
    <n v="10"/>
    <n v="0"/>
    <m/>
    <m/>
    <n v="0"/>
    <n v="0"/>
    <n v="0"/>
    <n v="0"/>
    <n v="0"/>
    <n v="0"/>
    <n v="0"/>
  </r>
  <r>
    <x v="14"/>
    <x v="153"/>
    <s v="Té réduit"/>
    <s v="Inox Serti ItalienTé réduitTé réduit"/>
    <s v="28 x 18 mm"/>
    <n v="5"/>
    <s v="R142818"/>
    <s v="RacMet"/>
    <n v="192028018"/>
    <n v="0"/>
    <m/>
    <m/>
    <m/>
    <m/>
    <m/>
    <m/>
    <n v="0"/>
    <n v="10"/>
    <n v="0"/>
    <m/>
    <m/>
    <n v="0"/>
    <n v="0"/>
    <n v="0"/>
    <n v="0"/>
    <n v="0"/>
    <n v="0"/>
    <n v="0"/>
  </r>
  <r>
    <x v="14"/>
    <x v="153"/>
    <s v="Té réduit"/>
    <s v="Inox Serti ItalienTé réduitTé réduit"/>
    <s v="28 x 22 mm"/>
    <n v="6"/>
    <s v="R142822"/>
    <s v="RacMet"/>
    <n v="192028022"/>
    <n v="0"/>
    <m/>
    <m/>
    <m/>
    <m/>
    <m/>
    <m/>
    <n v="0"/>
    <n v="10"/>
    <n v="0"/>
    <m/>
    <m/>
    <n v="0"/>
    <n v="0"/>
    <n v="0"/>
    <n v="0"/>
    <n v="0"/>
    <n v="0"/>
    <n v="0"/>
  </r>
  <r>
    <x v="14"/>
    <x v="153"/>
    <s v="Té réduit"/>
    <s v="Inox Serti ItalienTé réduitTé réduit"/>
    <s v="35 x 15 mm"/>
    <n v="7"/>
    <s v="R143515"/>
    <s v="RacMet"/>
    <n v="192035015"/>
    <n v="0"/>
    <m/>
    <m/>
    <m/>
    <m/>
    <m/>
    <m/>
    <n v="0"/>
    <n v="5"/>
    <n v="0"/>
    <m/>
    <m/>
    <n v="0"/>
    <n v="0"/>
    <n v="0"/>
    <n v="0"/>
    <n v="0"/>
    <n v="0"/>
    <n v="0"/>
  </r>
  <r>
    <x v="14"/>
    <x v="153"/>
    <s v="Té réduit"/>
    <s v="Inox Serti ItalienTé réduitTé réduit"/>
    <s v="35 x 18 mm"/>
    <n v="8"/>
    <s v="R143518"/>
    <s v="RacMet"/>
    <n v="192035018"/>
    <n v="0"/>
    <m/>
    <m/>
    <m/>
    <m/>
    <m/>
    <m/>
    <n v="0"/>
    <n v="5"/>
    <n v="0"/>
    <m/>
    <m/>
    <n v="0"/>
    <n v="0"/>
    <n v="0"/>
    <n v="0"/>
    <n v="0"/>
    <n v="0"/>
    <n v="0"/>
  </r>
  <r>
    <x v="14"/>
    <x v="153"/>
    <s v="Té réduit"/>
    <s v="Inox Serti ItalienTé réduitTé réduit"/>
    <s v="35 x 22 mm"/>
    <n v="9"/>
    <s v="R143522"/>
    <s v="RacMet"/>
    <n v="192035022"/>
    <n v="0"/>
    <m/>
    <m/>
    <m/>
    <m/>
    <m/>
    <m/>
    <n v="0"/>
    <n v="5"/>
    <n v="0"/>
    <m/>
    <m/>
    <n v="0"/>
    <n v="0"/>
    <n v="0"/>
    <n v="0"/>
    <n v="0"/>
    <n v="0"/>
    <n v="0"/>
  </r>
  <r>
    <x v="14"/>
    <x v="153"/>
    <s v="Té réduit"/>
    <s v="Inox Serti ItalienTé réduitTé réduit"/>
    <s v="35 x 28 mm"/>
    <n v="10"/>
    <s v="R143528"/>
    <s v="RacMet"/>
    <n v="192035028"/>
    <n v="0"/>
    <m/>
    <m/>
    <m/>
    <m/>
    <m/>
    <m/>
    <n v="0"/>
    <n v="5"/>
    <n v="0"/>
    <m/>
    <m/>
    <n v="0"/>
    <n v="0"/>
    <n v="0"/>
    <n v="0"/>
    <n v="0"/>
    <n v="0"/>
    <n v="0"/>
  </r>
  <r>
    <x v="14"/>
    <x v="153"/>
    <s v="Té réduit"/>
    <s v="Inox Serti ItalienTé réduitTé réduit"/>
    <s v="42 x 18 mm"/>
    <n v="11"/>
    <s v="R144218"/>
    <s v="RacMet"/>
    <n v="192042018"/>
    <n v="0"/>
    <m/>
    <m/>
    <m/>
    <m/>
    <m/>
    <m/>
    <n v="0"/>
    <n v="4"/>
    <n v="0"/>
    <m/>
    <m/>
    <n v="0"/>
    <n v="0"/>
    <n v="0"/>
    <n v="0"/>
    <n v="0"/>
    <n v="0"/>
    <n v="0"/>
  </r>
  <r>
    <x v="14"/>
    <x v="153"/>
    <s v="Té réduit"/>
    <s v="Inox Serti ItalienTé réduitTé réduit"/>
    <s v="42 x 22 mm"/>
    <n v="12"/>
    <s v="R144222"/>
    <s v="RacMet"/>
    <n v="192042022"/>
    <n v="0"/>
    <m/>
    <m/>
    <m/>
    <m/>
    <m/>
    <m/>
    <n v="0"/>
    <n v="4"/>
    <n v="0"/>
    <m/>
    <m/>
    <n v="0"/>
    <n v="0"/>
    <n v="0"/>
    <n v="0"/>
    <n v="0"/>
    <n v="0"/>
    <n v="0"/>
  </r>
  <r>
    <x v="14"/>
    <x v="153"/>
    <s v="Té réduit"/>
    <s v="Inox Serti ItalienTé réduitTé réduit"/>
    <s v="42 x 28 mm"/>
    <n v="13"/>
    <s v="R144228"/>
    <s v="RacMet"/>
    <n v="192042028"/>
    <n v="0"/>
    <m/>
    <m/>
    <m/>
    <m/>
    <m/>
    <m/>
    <n v="0"/>
    <n v="4"/>
    <n v="0"/>
    <m/>
    <m/>
    <n v="0"/>
    <n v="0"/>
    <n v="0"/>
    <n v="0"/>
    <n v="0"/>
    <n v="0"/>
    <n v="0"/>
  </r>
  <r>
    <x v="14"/>
    <x v="153"/>
    <s v="Té réduit"/>
    <s v="Inox Serti ItalienTé réduitTé réduit"/>
    <s v="42 x 35 mm"/>
    <n v="14"/>
    <s v="R144235"/>
    <s v="RacMet"/>
    <n v="192042035"/>
    <n v="0"/>
    <m/>
    <m/>
    <m/>
    <m/>
    <m/>
    <m/>
    <n v="0"/>
    <n v="4"/>
    <n v="0"/>
    <m/>
    <m/>
    <n v="0"/>
    <n v="0"/>
    <n v="0"/>
    <n v="0"/>
    <n v="0"/>
    <n v="0"/>
    <n v="0"/>
  </r>
  <r>
    <x v="14"/>
    <x v="153"/>
    <s v="Té réduit"/>
    <s v="Inox Serti ItalienTé réduitTé réduit"/>
    <s v="54 x 18 mm"/>
    <n v="15"/>
    <s v="R145418"/>
    <s v="RacMet"/>
    <n v="192054018"/>
    <n v="0"/>
    <m/>
    <m/>
    <m/>
    <m/>
    <m/>
    <m/>
    <n v="0"/>
    <n v="2"/>
    <n v="0"/>
    <m/>
    <m/>
    <n v="0"/>
    <n v="0"/>
    <n v="0"/>
    <n v="0"/>
    <n v="0"/>
    <n v="0"/>
    <n v="0"/>
  </r>
  <r>
    <x v="14"/>
    <x v="153"/>
    <s v="Té réduit"/>
    <s v="Inox Serti ItalienTé réduitTé réduit"/>
    <s v="54 x 22 mm"/>
    <n v="16"/>
    <s v="R145422"/>
    <s v="RacMet"/>
    <n v="192054022"/>
    <n v="0"/>
    <m/>
    <m/>
    <m/>
    <m/>
    <m/>
    <m/>
    <n v="0"/>
    <n v="2"/>
    <n v="0"/>
    <m/>
    <m/>
    <n v="0"/>
    <n v="0"/>
    <n v="0"/>
    <n v="0"/>
    <n v="0"/>
    <n v="0"/>
    <n v="0"/>
  </r>
  <r>
    <x v="14"/>
    <x v="153"/>
    <s v="Té réduit"/>
    <s v="Inox Serti ItalienTé réduitTé réduit"/>
    <s v="54 x 28 mm"/>
    <n v="17"/>
    <s v="R145428"/>
    <s v="RacMet"/>
    <n v="192054028"/>
    <n v="0"/>
    <m/>
    <m/>
    <m/>
    <m/>
    <m/>
    <m/>
    <n v="0"/>
    <n v="2"/>
    <n v="0"/>
    <m/>
    <m/>
    <n v="0"/>
    <n v="0"/>
    <n v="0"/>
    <n v="0"/>
    <n v="0"/>
    <n v="0"/>
    <n v="0"/>
  </r>
  <r>
    <x v="14"/>
    <x v="153"/>
    <s v="Té réduit"/>
    <s v="Inox Serti ItalienTé réduitTé réduit"/>
    <s v="54 x 35 mm"/>
    <n v="18"/>
    <s v="R145435"/>
    <s v="RacMet"/>
    <n v="192054035"/>
    <n v="0"/>
    <m/>
    <m/>
    <m/>
    <m/>
    <m/>
    <m/>
    <n v="0"/>
    <n v="2"/>
    <n v="0"/>
    <m/>
    <m/>
    <n v="0"/>
    <n v="0"/>
    <n v="0"/>
    <n v="0"/>
    <n v="0"/>
    <n v="0"/>
    <n v="0"/>
  </r>
  <r>
    <x v="14"/>
    <x v="153"/>
    <s v="Té réduit"/>
    <s v="Inox Serti ItalienTé réduitTé réduit"/>
    <s v="54 x 42 mm"/>
    <n v="19"/>
    <s v="R145442"/>
    <s v="RacMet"/>
    <n v="192054042"/>
    <n v="0"/>
    <m/>
    <m/>
    <m/>
    <m/>
    <m/>
    <m/>
    <n v="0"/>
    <n v="2"/>
    <n v="0"/>
    <m/>
    <m/>
    <n v="0"/>
    <n v="0"/>
    <n v="0"/>
    <n v="0"/>
    <n v="0"/>
    <n v="0"/>
    <n v="0"/>
  </r>
  <r>
    <x v="14"/>
    <x v="153"/>
    <s v="Té réduit"/>
    <s v="Inox Serti ItalienTé réduitTé réduit"/>
    <s v="76,1-22-76,1"/>
    <n v="20"/>
    <s v="R147622"/>
    <s v="RacMet"/>
    <n v="192076022"/>
    <n v="0"/>
    <m/>
    <m/>
    <m/>
    <m/>
    <m/>
    <m/>
    <n v="0"/>
    <n v="2"/>
    <n v="0"/>
    <m/>
    <m/>
    <n v="0"/>
    <n v="0"/>
    <n v="0"/>
    <n v="0"/>
    <n v="0"/>
    <n v="0"/>
    <n v="0"/>
  </r>
  <r>
    <x v="14"/>
    <x v="153"/>
    <s v="Té réduit"/>
    <s v="Inox Serti ItalienTé réduitTé réduit"/>
    <s v="76,1-28-76,1"/>
    <n v="21"/>
    <s v="R147628"/>
    <s v="RacMet"/>
    <n v="192076028"/>
    <n v="0"/>
    <m/>
    <m/>
    <m/>
    <m/>
    <m/>
    <m/>
    <n v="0"/>
    <n v="2"/>
    <n v="0"/>
    <m/>
    <m/>
    <n v="0"/>
    <n v="0"/>
    <n v="0"/>
    <n v="0"/>
    <n v="0"/>
    <n v="0"/>
    <n v="0"/>
  </r>
  <r>
    <x v="14"/>
    <x v="153"/>
    <s v="Té réduit"/>
    <s v="Inox Serti ItalienTé réduitTé réduit"/>
    <s v="76,1-35-76,1"/>
    <n v="22"/>
    <s v="R147635"/>
    <s v="RacMet"/>
    <n v="192076035"/>
    <n v="0"/>
    <m/>
    <m/>
    <m/>
    <m/>
    <m/>
    <m/>
    <n v="0"/>
    <n v="2"/>
    <n v="0"/>
    <m/>
    <m/>
    <n v="0"/>
    <n v="0"/>
    <n v="0"/>
    <n v="0"/>
    <n v="0"/>
    <n v="0"/>
    <n v="0"/>
  </r>
  <r>
    <x v="14"/>
    <x v="153"/>
    <s v="Té réduit"/>
    <s v="Inox Serti ItalienTé réduitTé réduit"/>
    <s v="76,1-42-76,1"/>
    <n v="23"/>
    <s v="R147642"/>
    <s v="RacMet"/>
    <n v="192076042"/>
    <n v="0"/>
    <m/>
    <m/>
    <m/>
    <m/>
    <m/>
    <m/>
    <n v="0"/>
    <n v="2"/>
    <n v="0"/>
    <m/>
    <m/>
    <n v="0"/>
    <n v="0"/>
    <n v="0"/>
    <n v="0"/>
    <n v="0"/>
    <n v="0"/>
    <n v="0"/>
  </r>
  <r>
    <x v="14"/>
    <x v="153"/>
    <s v="Té réduit"/>
    <s v="Inox Serti ItalienTé réduitTé réduit"/>
    <s v="76,1-54-76,1"/>
    <n v="24"/>
    <s v="R147654"/>
    <s v="RacMet"/>
    <n v="192076054"/>
    <n v="0"/>
    <m/>
    <m/>
    <m/>
    <m/>
    <m/>
    <m/>
    <n v="0"/>
    <n v="2"/>
    <n v="0"/>
    <m/>
    <m/>
    <n v="0"/>
    <n v="0"/>
    <n v="0"/>
    <n v="0"/>
    <n v="0"/>
    <n v="0"/>
    <n v="0"/>
  </r>
  <r>
    <x v="14"/>
    <x v="153"/>
    <s v="Té réduit"/>
    <s v="Inox Serti ItalienTé réduitTé réduit"/>
    <s v="88,9-22-88,9"/>
    <n v="25"/>
    <s v="R148822"/>
    <s v="RacMet"/>
    <n v="192088022"/>
    <n v="0"/>
    <m/>
    <m/>
    <m/>
    <m/>
    <m/>
    <m/>
    <n v="0"/>
    <n v="2"/>
    <n v="0"/>
    <m/>
    <m/>
    <n v="0"/>
    <n v="0"/>
    <n v="0"/>
    <n v="0"/>
    <n v="0"/>
    <n v="0"/>
    <n v="0"/>
  </r>
  <r>
    <x v="14"/>
    <x v="153"/>
    <s v="Té réduit"/>
    <s v="Inox Serti ItalienTé réduitTé réduit"/>
    <s v="88,9-28-88,9"/>
    <n v="26"/>
    <s v="R148828"/>
    <s v="RacMet"/>
    <n v="192088028"/>
    <n v="0"/>
    <m/>
    <m/>
    <m/>
    <m/>
    <m/>
    <m/>
    <n v="0"/>
    <n v="2"/>
    <n v="0"/>
    <m/>
    <m/>
    <n v="0"/>
    <n v="0"/>
    <n v="0"/>
    <n v="0"/>
    <n v="0"/>
    <n v="0"/>
    <n v="0"/>
  </r>
  <r>
    <x v="14"/>
    <x v="153"/>
    <s v="Té réduit"/>
    <s v="Inox Serti ItalienTé réduitTé réduit"/>
    <s v="Ø88,9 Ø35"/>
    <n v="27"/>
    <s v="R148835"/>
    <s v="RacMet"/>
    <n v="192088035"/>
    <n v="0"/>
    <m/>
    <m/>
    <m/>
    <m/>
    <m/>
    <m/>
    <n v="0"/>
    <n v="2"/>
    <n v="0"/>
    <m/>
    <m/>
    <n v="0"/>
    <n v="0"/>
    <n v="0"/>
    <n v="0"/>
    <n v="0"/>
    <n v="0"/>
    <n v="0"/>
  </r>
  <r>
    <x v="14"/>
    <x v="153"/>
    <s v="Té réduit"/>
    <s v="Inox Serti ItalienTé réduitTé réduit"/>
    <s v="Ø88,9 Ø42"/>
    <n v="28"/>
    <s v="R148842"/>
    <s v="RacMet"/>
    <n v="192088042"/>
    <n v="0"/>
    <m/>
    <m/>
    <m/>
    <m/>
    <m/>
    <m/>
    <n v="0"/>
    <n v="2"/>
    <n v="0"/>
    <m/>
    <m/>
    <n v="0"/>
    <n v="0"/>
    <n v="0"/>
    <n v="0"/>
    <n v="0"/>
    <n v="0"/>
    <n v="0"/>
  </r>
  <r>
    <x v="14"/>
    <x v="153"/>
    <s v="Té réduit"/>
    <s v="Inox Serti ItalienTé réduitTé réduit"/>
    <s v="Ø88,9 Ø54"/>
    <n v="29"/>
    <s v="R148854"/>
    <s v="RacMet"/>
    <n v="192088054"/>
    <n v="0"/>
    <m/>
    <m/>
    <m/>
    <m/>
    <m/>
    <m/>
    <n v="0"/>
    <n v="2"/>
    <n v="0"/>
    <m/>
    <m/>
    <n v="0"/>
    <n v="0"/>
    <n v="0"/>
    <n v="0"/>
    <n v="0"/>
    <n v="0"/>
    <n v="0"/>
  </r>
  <r>
    <x v="14"/>
    <x v="153"/>
    <s v="Té réduit"/>
    <s v="Inox Serti ItalienTé réduitTé réduit"/>
    <s v="88,9-76,1-88,9"/>
    <n v="30"/>
    <s v="R148876"/>
    <s v="RacMet"/>
    <n v="192088076"/>
    <n v="0"/>
    <m/>
    <m/>
    <m/>
    <m/>
    <m/>
    <m/>
    <n v="0"/>
    <n v="2"/>
    <n v="0"/>
    <m/>
    <m/>
    <n v="0"/>
    <n v="0"/>
    <n v="0"/>
    <n v="0"/>
    <n v="0"/>
    <n v="0"/>
    <n v="0"/>
  </r>
  <r>
    <x v="14"/>
    <x v="153"/>
    <s v="Té réduit"/>
    <s v="Inox Serti ItalienTé réduitTé réduit"/>
    <s v="108-22-108"/>
    <n v="31"/>
    <s v="R1410822"/>
    <s v="RacMet"/>
    <n v="192108022"/>
    <n v="0"/>
    <m/>
    <m/>
    <m/>
    <m/>
    <m/>
    <m/>
    <n v="0"/>
    <n v="2"/>
    <n v="0"/>
    <m/>
    <m/>
    <n v="0"/>
    <n v="0"/>
    <n v="0"/>
    <n v="0"/>
    <n v="0"/>
    <n v="0"/>
    <n v="0"/>
  </r>
  <r>
    <x v="14"/>
    <x v="153"/>
    <s v="Té réduit"/>
    <s v="Inox Serti ItalienTé réduitTé réduit"/>
    <s v="108-28-108"/>
    <n v="32"/>
    <s v="R1410828"/>
    <s v="RacMet"/>
    <n v="192108028"/>
    <n v="0"/>
    <m/>
    <m/>
    <m/>
    <m/>
    <m/>
    <m/>
    <n v="0"/>
    <n v="2"/>
    <n v="0"/>
    <m/>
    <m/>
    <n v="0"/>
    <n v="0"/>
    <n v="0"/>
    <n v="0"/>
    <n v="0"/>
    <n v="0"/>
    <n v="0"/>
  </r>
  <r>
    <x v="14"/>
    <x v="153"/>
    <s v="Té réduit"/>
    <s v="Inox Serti ItalienTé réduitTé réduit"/>
    <s v="108 x 35 mm"/>
    <n v="33"/>
    <s v="R1410835"/>
    <s v="RacMet"/>
    <n v="192108035"/>
    <n v="0"/>
    <m/>
    <m/>
    <m/>
    <m/>
    <m/>
    <m/>
    <n v="0"/>
    <n v="2"/>
    <n v="0"/>
    <m/>
    <m/>
    <n v="0"/>
    <n v="0"/>
    <n v="0"/>
    <n v="0"/>
    <n v="0"/>
    <n v="0"/>
    <n v="0"/>
  </r>
  <r>
    <x v="14"/>
    <x v="153"/>
    <s v="Té réduit"/>
    <s v="Inox Serti ItalienTé réduitTé réduit"/>
    <s v="108-42-108"/>
    <n v="34"/>
    <s v="R1410842"/>
    <s v="RacMet"/>
    <n v="192108042"/>
    <n v="0"/>
    <m/>
    <m/>
    <m/>
    <m/>
    <m/>
    <m/>
    <n v="0"/>
    <n v="2"/>
    <n v="0"/>
    <m/>
    <m/>
    <n v="0"/>
    <n v="0"/>
    <n v="0"/>
    <n v="0"/>
    <n v="0"/>
    <n v="0"/>
    <n v="0"/>
  </r>
  <r>
    <x v="14"/>
    <x v="153"/>
    <s v="Té réduit"/>
    <s v="Inox Serti ItalienTé réduitTé réduit"/>
    <s v="Ø108 54"/>
    <n v="35"/>
    <s v="R1410854"/>
    <s v="RacMet"/>
    <n v="192108054"/>
    <n v="0"/>
    <m/>
    <m/>
    <m/>
    <m/>
    <m/>
    <m/>
    <n v="0"/>
    <n v="2"/>
    <n v="0"/>
    <m/>
    <m/>
    <n v="0"/>
    <n v="0"/>
    <n v="0"/>
    <n v="0"/>
    <n v="0"/>
    <n v="0"/>
    <n v="0"/>
  </r>
  <r>
    <x v="14"/>
    <x v="153"/>
    <s v="Té réduit"/>
    <s v="Inox Serti ItalienTé réduitTé réduit"/>
    <s v="108-76-108"/>
    <n v="36"/>
    <s v="R1410876"/>
    <s v="RacMet"/>
    <n v="192108076"/>
    <n v="0"/>
    <m/>
    <m/>
    <m/>
    <m/>
    <m/>
    <m/>
    <n v="0"/>
    <n v="2"/>
    <n v="0"/>
    <m/>
    <m/>
    <n v="0"/>
    <n v="0"/>
    <n v="0"/>
    <n v="0"/>
    <n v="0"/>
    <n v="0"/>
    <n v="0"/>
  </r>
  <r>
    <x v="14"/>
    <x v="153"/>
    <s v="Té réduit"/>
    <s v="Inox Serti ItalienTé réduitTé réduit"/>
    <s v="108-88,9-108"/>
    <n v="37"/>
    <s v="R1410888"/>
    <s v="RacMet"/>
    <n v="192108088"/>
    <n v="0"/>
    <m/>
    <m/>
    <m/>
    <m/>
    <m/>
    <m/>
    <n v="0"/>
    <n v="2"/>
    <n v="0"/>
    <m/>
    <m/>
    <n v="0"/>
    <n v="0"/>
    <n v="0"/>
    <n v="0"/>
    <n v="0"/>
    <n v="0"/>
    <n v="0"/>
  </r>
  <r>
    <x v="14"/>
    <x v="211"/>
    <s v="Tube"/>
    <s v="Inox Serti ItalienTubeTube"/>
    <m/>
    <n v="0"/>
    <m/>
    <m/>
    <m/>
    <n v="0"/>
    <m/>
    <m/>
    <m/>
    <m/>
    <m/>
    <m/>
    <n v="0"/>
    <m/>
    <m/>
    <m/>
    <m/>
    <n v="0"/>
    <n v="0"/>
    <n v="0"/>
    <n v="0"/>
    <n v="0"/>
    <n v="0"/>
    <n v="0"/>
  </r>
  <r>
    <x v="14"/>
    <x v="154"/>
    <s v="Tube 304 L"/>
    <s v="Inox Serti ItalienTube 304 LTube 304 L"/>
    <s v="15 (1/2&quot;)"/>
    <n v="1"/>
    <s v="RXS15"/>
    <s v="RacMet"/>
    <n v="114015200"/>
    <n v="0"/>
    <m/>
    <m/>
    <m/>
    <m/>
    <m/>
    <m/>
    <n v="0"/>
    <n v="6"/>
    <n v="0"/>
    <m/>
    <m/>
    <n v="0"/>
    <n v="0"/>
    <n v="0"/>
    <n v="0"/>
    <n v="0"/>
    <n v="0"/>
    <n v="0"/>
  </r>
  <r>
    <x v="14"/>
    <x v="154"/>
    <s v="Tube 304 L"/>
    <s v="Inox Serti ItalienTube 304 LTube 304 L"/>
    <s v="18 ( 1/2 &quot;- 3/4&quot;)"/>
    <n v="2"/>
    <s v="RXS18"/>
    <s v="RacMet"/>
    <n v="114018200"/>
    <n v="0"/>
    <m/>
    <m/>
    <m/>
    <m/>
    <m/>
    <m/>
    <n v="0"/>
    <n v="6"/>
    <n v="0"/>
    <m/>
    <m/>
    <n v="0"/>
    <n v="0"/>
    <n v="0"/>
    <n v="0"/>
    <n v="0"/>
    <n v="0"/>
    <n v="0"/>
  </r>
  <r>
    <x v="14"/>
    <x v="154"/>
    <s v="Tube 304 L"/>
    <s v="Inox Serti ItalienTube 304 LTube 304 L"/>
    <s v="22 (3/4&quot;)"/>
    <n v="3"/>
    <s v="RXS22"/>
    <s v="RacMet"/>
    <n v="114022200"/>
    <n v="0"/>
    <m/>
    <m/>
    <m/>
    <m/>
    <m/>
    <m/>
    <n v="0"/>
    <n v="6"/>
    <n v="0"/>
    <m/>
    <m/>
    <n v="0"/>
    <n v="0"/>
    <n v="0"/>
    <n v="0"/>
    <n v="0"/>
    <n v="0"/>
    <n v="0"/>
  </r>
  <r>
    <x v="14"/>
    <x v="154"/>
    <s v="Tube 304 L"/>
    <s v="Inox Serti ItalienTube 304 LTube 304 L"/>
    <s v="28 (1&quot;)"/>
    <n v="4"/>
    <s v="RXS28"/>
    <s v="RacMet"/>
    <n v="114028200"/>
    <n v="0"/>
    <m/>
    <m/>
    <m/>
    <m/>
    <m/>
    <m/>
    <n v="0"/>
    <n v="6"/>
    <n v="0"/>
    <m/>
    <m/>
    <n v="0"/>
    <n v="0"/>
    <n v="0"/>
    <n v="0"/>
    <n v="0"/>
    <n v="0"/>
    <n v="0"/>
  </r>
  <r>
    <x v="14"/>
    <x v="154"/>
    <s v="Tube 304 L"/>
    <s v="Inox Serti ItalienTube 304 LTube 304 L"/>
    <s v="35 (1&quot;1/4)"/>
    <n v="5"/>
    <s v="RXS35"/>
    <s v="RacMet"/>
    <n v="114035200"/>
    <n v="0"/>
    <m/>
    <m/>
    <m/>
    <m/>
    <m/>
    <m/>
    <n v="0"/>
    <n v="6"/>
    <n v="0"/>
    <m/>
    <m/>
    <n v="0"/>
    <n v="0"/>
    <n v="0"/>
    <n v="0"/>
    <n v="0"/>
    <n v="0"/>
    <n v="0"/>
  </r>
  <r>
    <x v="14"/>
    <x v="154"/>
    <s v="Tube 304 L"/>
    <s v="Inox Serti ItalienTube 304 LTube 304 L"/>
    <s v="42 (1&quot;1/2)"/>
    <n v="6"/>
    <s v="RXS42"/>
    <s v="RacMet"/>
    <n v="114042200"/>
    <n v="0"/>
    <m/>
    <m/>
    <m/>
    <m/>
    <m/>
    <m/>
    <n v="0"/>
    <n v="6"/>
    <n v="0"/>
    <m/>
    <m/>
    <n v="0"/>
    <n v="0"/>
    <n v="0"/>
    <n v="0"/>
    <n v="0"/>
    <n v="0"/>
    <n v="0"/>
  </r>
  <r>
    <x v="14"/>
    <x v="154"/>
    <s v="Tube 304 L"/>
    <s v="Inox Serti ItalienTube 304 LTube 304 L"/>
    <s v="54 ( 2&quot;)"/>
    <n v="7"/>
    <s v="RXS54"/>
    <s v="RacMet"/>
    <n v="114054200"/>
    <n v="0"/>
    <m/>
    <m/>
    <m/>
    <m/>
    <m/>
    <m/>
    <n v="0"/>
    <n v="6"/>
    <n v="0"/>
    <m/>
    <m/>
    <n v="0"/>
    <n v="0"/>
    <n v="0"/>
    <n v="0"/>
    <n v="0"/>
    <n v="0"/>
    <n v="0"/>
  </r>
  <r>
    <x v="14"/>
    <x v="154"/>
    <s v="Tube 304 L"/>
    <s v="Inox Serti ItalienTube 304 LTube 304 L"/>
    <s v="76,1 (2&quot;1/2)"/>
    <n v="8"/>
    <s v="RXS76"/>
    <s v="RacMet"/>
    <n v="114076200"/>
    <n v="0"/>
    <m/>
    <m/>
    <m/>
    <m/>
    <m/>
    <m/>
    <n v="0"/>
    <n v="6"/>
    <n v="0"/>
    <m/>
    <m/>
    <n v="0"/>
    <n v="0"/>
    <n v="0"/>
    <n v="0"/>
    <n v="0"/>
    <n v="0"/>
    <n v="0"/>
  </r>
  <r>
    <x v="14"/>
    <x v="154"/>
    <s v="Tube 304 L"/>
    <s v="Inox Serti ItalienTube 304 LTube 304 L"/>
    <s v="88,9 (3&quot;)"/>
    <n v="9"/>
    <s v="RXS88"/>
    <s v="RacMet"/>
    <n v="114088200"/>
    <n v="0"/>
    <m/>
    <m/>
    <m/>
    <m/>
    <m/>
    <m/>
    <n v="0"/>
    <n v="6"/>
    <n v="0"/>
    <m/>
    <m/>
    <n v="0"/>
    <n v="0"/>
    <n v="0"/>
    <n v="0"/>
    <n v="0"/>
    <n v="0"/>
    <n v="0"/>
  </r>
  <r>
    <x v="14"/>
    <x v="154"/>
    <s v="Tube 304 L"/>
    <s v="Inox Serti ItalienTube 304 LTube 304 L"/>
    <s v="108 (4&quot;)"/>
    <n v="10"/>
    <s v="RXS108"/>
    <s v="RacMet"/>
    <n v="114108200"/>
    <n v="0"/>
    <m/>
    <m/>
    <m/>
    <m/>
    <m/>
    <m/>
    <n v="0"/>
    <n v="6"/>
    <n v="0"/>
    <m/>
    <m/>
    <n v="0"/>
    <n v="0"/>
    <n v="0"/>
    <n v="0"/>
    <n v="0"/>
    <n v="0"/>
    <n v="0"/>
  </r>
  <r>
    <x v="14"/>
    <x v="224"/>
    <s v="Tube 316 L"/>
    <s v="Inox Serti ItalienTube 316 LTube 316 L"/>
    <s v="15 (1/2&quot;)"/>
    <n v="11"/>
    <s v="RXS15-316"/>
    <s v="RacMet"/>
    <n v="116015200"/>
    <n v="0"/>
    <m/>
    <m/>
    <m/>
    <m/>
    <m/>
    <m/>
    <n v="0"/>
    <n v="3"/>
    <n v="0"/>
    <m/>
    <m/>
    <n v="0"/>
    <n v="0"/>
    <n v="0"/>
    <n v="0"/>
    <n v="0"/>
    <n v="0"/>
    <n v="0"/>
  </r>
  <r>
    <x v="14"/>
    <x v="224"/>
    <s v="Tube 316 L"/>
    <s v="Inox Serti ItalienTube 316 LTube 316 L"/>
    <s v="18 ( 1/2 &quot;- 3/4&quot;)"/>
    <n v="12"/>
    <s v="RXS18-316"/>
    <s v="RacMet"/>
    <n v="116018200"/>
    <n v="0"/>
    <m/>
    <m/>
    <m/>
    <m/>
    <m/>
    <m/>
    <n v="0"/>
    <n v="3"/>
    <n v="0"/>
    <m/>
    <m/>
    <n v="0"/>
    <n v="0"/>
    <n v="0"/>
    <n v="0"/>
    <n v="0"/>
    <n v="0"/>
    <n v="0"/>
  </r>
  <r>
    <x v="14"/>
    <x v="224"/>
    <s v="Tube 316 L"/>
    <s v="Inox Serti ItalienTube 316 LTube 316 L"/>
    <s v="22 (3/4&quot;)"/>
    <n v="13"/>
    <s v="RXS22-316"/>
    <s v="RacMet"/>
    <n v="116022200"/>
    <n v="0"/>
    <m/>
    <m/>
    <m/>
    <m/>
    <m/>
    <m/>
    <n v="0"/>
    <n v="3"/>
    <n v="0"/>
    <m/>
    <m/>
    <n v="0"/>
    <n v="0"/>
    <n v="0"/>
    <n v="0"/>
    <n v="0"/>
    <n v="0"/>
    <n v="0"/>
  </r>
  <r>
    <x v="14"/>
    <x v="224"/>
    <s v="Tube 316 L"/>
    <s v="Inox Serti ItalienTube 316 LTube 316 L"/>
    <s v="28 (1&quot;)"/>
    <n v="14"/>
    <s v="RXS28-316"/>
    <s v="RacMet"/>
    <n v="116028200"/>
    <n v="0"/>
    <m/>
    <m/>
    <m/>
    <m/>
    <m/>
    <m/>
    <n v="0"/>
    <n v="3"/>
    <n v="0"/>
    <m/>
    <m/>
    <n v="0"/>
    <n v="0"/>
    <n v="0"/>
    <n v="0"/>
    <n v="0"/>
    <n v="0"/>
    <n v="0"/>
  </r>
  <r>
    <x v="14"/>
    <x v="224"/>
    <s v="Tube 316 L"/>
    <s v="Inox Serti ItalienTube 316 LTube 316 L"/>
    <s v="35 (1&quot;1/4)"/>
    <n v="15"/>
    <s v="RXS35-316"/>
    <s v="RacMet"/>
    <n v="116035200"/>
    <n v="0"/>
    <m/>
    <m/>
    <m/>
    <m/>
    <m/>
    <m/>
    <n v="0"/>
    <n v="3"/>
    <n v="0"/>
    <m/>
    <m/>
    <n v="0"/>
    <n v="0"/>
    <n v="0"/>
    <n v="0"/>
    <n v="0"/>
    <n v="0"/>
    <n v="0"/>
  </r>
  <r>
    <x v="14"/>
    <x v="224"/>
    <s v="Tube 316 L"/>
    <s v="Inox Serti ItalienTube 316 LTube 316 L"/>
    <s v="42 (1&quot;1/2)"/>
    <n v="16"/>
    <s v="RXS42-316"/>
    <s v="RacMet"/>
    <n v="116042200"/>
    <n v="0"/>
    <m/>
    <m/>
    <m/>
    <m/>
    <m/>
    <m/>
    <n v="0"/>
    <n v="3"/>
    <n v="0"/>
    <m/>
    <m/>
    <n v="0"/>
    <n v="0"/>
    <n v="0"/>
    <n v="0"/>
    <n v="0"/>
    <n v="0"/>
    <n v="0"/>
  </r>
  <r>
    <x v="14"/>
    <x v="224"/>
    <s v="Tube 316 L"/>
    <s v="Inox Serti ItalienTube 316 LTube 316 L"/>
    <s v="54 ( 2&quot;)"/>
    <n v="17"/>
    <s v="RXS54-316"/>
    <s v="RacMet"/>
    <n v="116054200"/>
    <n v="0"/>
    <m/>
    <m/>
    <m/>
    <m/>
    <m/>
    <m/>
    <n v="0"/>
    <n v="3"/>
    <n v="0"/>
    <m/>
    <m/>
    <n v="0"/>
    <n v="0"/>
    <n v="0"/>
    <n v="0"/>
    <n v="0"/>
    <n v="0"/>
    <n v="0"/>
  </r>
  <r>
    <x v="14"/>
    <x v="224"/>
    <s v="Tube 316 L"/>
    <s v="Inox Serti ItalienTube 316 LTube 316 L"/>
    <s v="76,1 (2&quot;1/2)"/>
    <n v="18"/>
    <s v="RXS076-316"/>
    <s v="RacMet"/>
    <n v="116076200"/>
    <n v="0"/>
    <m/>
    <m/>
    <m/>
    <m/>
    <m/>
    <m/>
    <n v="0"/>
    <n v="3"/>
    <n v="0"/>
    <m/>
    <m/>
    <n v="0"/>
    <n v="0"/>
    <n v="0"/>
    <n v="0"/>
    <n v="0"/>
    <n v="0"/>
    <n v="0"/>
  </r>
  <r>
    <x v="14"/>
    <x v="224"/>
    <s v="Tube 316 L"/>
    <s v="Inox Serti ItalienTube 316 LTube 316 L"/>
    <s v="88,9 (3&quot;)"/>
    <n v="19"/>
    <s v="RXS080-316"/>
    <s v="RacMet"/>
    <n v="116088200"/>
    <n v="0"/>
    <m/>
    <m/>
    <m/>
    <m/>
    <m/>
    <m/>
    <n v="0"/>
    <n v="3"/>
    <n v="0"/>
    <m/>
    <m/>
    <n v="0"/>
    <n v="0"/>
    <n v="0"/>
    <n v="0"/>
    <n v="0"/>
    <n v="0"/>
    <n v="0"/>
  </r>
  <r>
    <x v="14"/>
    <x v="224"/>
    <s v="Tube 316 L"/>
    <s v="Inox Serti ItalienTube 316 LTube 316 L"/>
    <s v="108 (4&quot;)"/>
    <n v="20"/>
    <s v="RXS108-316"/>
    <s v="RacMet"/>
    <n v="116108200"/>
    <n v="0"/>
    <m/>
    <m/>
    <m/>
    <m/>
    <m/>
    <m/>
    <n v="0"/>
    <n v="3"/>
    <n v="0"/>
    <m/>
    <m/>
    <n v="0"/>
    <n v="0"/>
    <n v="0"/>
    <n v="0"/>
    <n v="0"/>
    <n v="0"/>
    <n v="0"/>
  </r>
  <r>
    <x v="15"/>
    <x v="225"/>
    <s v="Bouts filetés"/>
    <s v="Raccord Acier à souderBouts filetésBouts filetés"/>
    <m/>
    <n v="0"/>
    <m/>
    <m/>
    <m/>
    <n v="0"/>
    <m/>
    <m/>
    <m/>
    <m/>
    <m/>
    <m/>
    <n v="0"/>
    <m/>
    <m/>
    <m/>
    <m/>
    <n v="0"/>
    <n v="0"/>
    <n v="0"/>
    <n v="0"/>
    <n v="0"/>
    <n v="0"/>
    <n v="0"/>
  </r>
  <r>
    <x v="15"/>
    <x v="225"/>
    <s v="Bouts filetés"/>
    <s v="Raccord Acier à souderBouts filetésBouts filetés"/>
    <s v="1&quot; "/>
    <n v="1"/>
    <s v="530AN1"/>
    <m/>
    <m/>
    <n v="0"/>
    <m/>
    <m/>
    <m/>
    <m/>
    <m/>
    <m/>
    <n v="0"/>
    <m/>
    <m/>
    <m/>
    <m/>
    <n v="0"/>
    <n v="0"/>
    <n v="0"/>
    <n v="0"/>
    <n v="0"/>
    <n v="0"/>
    <n v="0"/>
  </r>
  <r>
    <x v="15"/>
    <x v="225"/>
    <s v="Bouts filetés"/>
    <s v="Raccord Acier à souderBouts filetésBouts filetés"/>
    <s v="1&quot;1/4"/>
    <n v="2"/>
    <s v="530AN114"/>
    <m/>
    <m/>
    <n v="0"/>
    <m/>
    <m/>
    <m/>
    <m/>
    <m/>
    <m/>
    <n v="0"/>
    <m/>
    <m/>
    <m/>
    <m/>
    <n v="0"/>
    <n v="0"/>
    <n v="0"/>
    <n v="0"/>
    <n v="0"/>
    <n v="0"/>
    <n v="0"/>
  </r>
  <r>
    <x v="15"/>
    <x v="225"/>
    <s v="Bouts filetés"/>
    <s v="Raccord Acier à souderBouts filetésBouts filetés"/>
    <s v="1&quot;1/2"/>
    <n v="3"/>
    <s v="530AN112"/>
    <m/>
    <m/>
    <n v="0"/>
    <m/>
    <m/>
    <m/>
    <m/>
    <m/>
    <m/>
    <n v="0"/>
    <m/>
    <m/>
    <m/>
    <m/>
    <n v="0"/>
    <n v="0"/>
    <n v="0"/>
    <n v="0"/>
    <n v="0"/>
    <n v="0"/>
    <n v="0"/>
  </r>
  <r>
    <x v="15"/>
    <x v="225"/>
    <s v="Bouts filetés"/>
    <s v="Raccord Acier à souderBouts filetésBouts filetés"/>
    <s v="2&quot;"/>
    <n v="3"/>
    <s v="530AN2"/>
    <m/>
    <m/>
    <n v="0"/>
    <m/>
    <m/>
    <m/>
    <m/>
    <m/>
    <m/>
    <n v="0"/>
    <m/>
    <m/>
    <m/>
    <m/>
    <n v="0"/>
    <n v="0"/>
    <n v="0"/>
    <n v="0"/>
    <n v="0"/>
    <n v="0"/>
    <n v="0"/>
  </r>
  <r>
    <x v="15"/>
    <x v="225"/>
    <s v="Bouts filetés"/>
    <s v="Raccord Acier à souderBouts filetésBouts filetés"/>
    <s v="2&quot;1/2"/>
    <n v="4"/>
    <s v="530A212"/>
    <m/>
    <m/>
    <n v="0"/>
    <m/>
    <m/>
    <m/>
    <m/>
    <m/>
    <m/>
    <n v="0"/>
    <m/>
    <m/>
    <m/>
    <m/>
    <n v="0"/>
    <n v="0"/>
    <n v="0"/>
    <n v="0"/>
    <n v="0"/>
    <n v="0"/>
    <n v="0"/>
  </r>
  <r>
    <x v="15"/>
    <x v="225"/>
    <s v="Bouts filetés"/>
    <s v="Raccord Acier à souderBouts filetésBouts filetés"/>
    <s v="3&quot;"/>
    <n v="4"/>
    <s v="530AN3"/>
    <m/>
    <m/>
    <n v="0"/>
    <m/>
    <m/>
    <m/>
    <m/>
    <m/>
    <m/>
    <n v="0"/>
    <m/>
    <m/>
    <m/>
    <m/>
    <n v="0"/>
    <n v="0"/>
    <n v="0"/>
    <n v="0"/>
    <n v="0"/>
    <n v="0"/>
    <n v="0"/>
  </r>
  <r>
    <x v="15"/>
    <x v="225"/>
    <s v="Bouts filetés"/>
    <s v="Raccord Acier à souderBouts filetésBouts filetés"/>
    <s v="4&quot;"/>
    <n v="6"/>
    <s v="530AN4"/>
    <m/>
    <m/>
    <n v="0"/>
    <m/>
    <m/>
    <m/>
    <m/>
    <m/>
    <m/>
    <n v="0"/>
    <m/>
    <m/>
    <m/>
    <m/>
    <n v="0"/>
    <n v="0"/>
    <n v="0"/>
    <n v="0"/>
    <n v="0"/>
    <n v="0"/>
    <n v="0"/>
  </r>
  <r>
    <x v="15"/>
    <x v="226"/>
    <s v="Brides à collerette à souder "/>
    <s v="Raccord Acier à souderBrides à collerette à souder Brides à collerette à souder "/>
    <m/>
    <n v="0"/>
    <m/>
    <m/>
    <m/>
    <n v="0"/>
    <m/>
    <m/>
    <m/>
    <m/>
    <m/>
    <m/>
    <n v="0"/>
    <m/>
    <m/>
    <m/>
    <m/>
    <n v="0"/>
    <n v="0"/>
    <n v="0"/>
    <n v="0"/>
    <n v="0"/>
    <n v="0"/>
    <n v="0"/>
  </r>
  <r>
    <x v="15"/>
    <x v="226"/>
    <s v="Brides à collerette à souder "/>
    <s v="Raccord Acier à souderBrides à collerette à souder Brides à collerette à souder "/>
    <s v="3/4&quot; - DN20"/>
    <n v="1"/>
    <s v="BCS20"/>
    <m/>
    <m/>
    <n v="0"/>
    <m/>
    <m/>
    <m/>
    <m/>
    <m/>
    <m/>
    <n v="0"/>
    <m/>
    <m/>
    <m/>
    <m/>
    <n v="0"/>
    <n v="0"/>
    <n v="0"/>
    <n v="0"/>
    <n v="0"/>
    <n v="0"/>
    <n v="0"/>
  </r>
  <r>
    <x v="15"/>
    <x v="226"/>
    <s v="Brides à collerette à souder "/>
    <s v="Raccord Acier à souderBrides à collerette à souder Brides à collerette à souder "/>
    <s v="2&quot;- DN50- 60,3"/>
    <n v="2"/>
    <s v="BCS50"/>
    <m/>
    <m/>
    <n v="0"/>
    <m/>
    <m/>
    <m/>
    <m/>
    <m/>
    <m/>
    <n v="0"/>
    <m/>
    <m/>
    <m/>
    <m/>
    <n v="0"/>
    <n v="0"/>
    <n v="0"/>
    <n v="0"/>
    <n v="0"/>
    <n v="0"/>
    <n v="0"/>
  </r>
  <r>
    <x v="15"/>
    <x v="226"/>
    <s v="Brides à collerette à souder "/>
    <s v="Raccord Acier à souderBrides à collerette à souder Brides à collerette à souder "/>
    <s v="2&quot;1/2-DN65-76,1"/>
    <n v="3"/>
    <s v="BCS65"/>
    <m/>
    <m/>
    <n v="0"/>
    <m/>
    <m/>
    <m/>
    <m/>
    <m/>
    <m/>
    <n v="0"/>
    <m/>
    <m/>
    <m/>
    <m/>
    <n v="0"/>
    <n v="0"/>
    <n v="0"/>
    <n v="0"/>
    <n v="0"/>
    <n v="0"/>
    <n v="0"/>
  </r>
  <r>
    <x v="15"/>
    <x v="226"/>
    <s v="Brides à collerette à souder "/>
    <s v="Raccord Acier à souderBrides à collerette à souder Brides à collerette à souder "/>
    <s v="3&quot;-DN80-88,9"/>
    <n v="4"/>
    <s v="BCS80"/>
    <m/>
    <m/>
    <n v="0"/>
    <m/>
    <m/>
    <m/>
    <m/>
    <m/>
    <m/>
    <n v="0"/>
    <m/>
    <m/>
    <m/>
    <m/>
    <n v="0"/>
    <n v="0"/>
    <n v="0"/>
    <n v="0"/>
    <n v="0"/>
    <n v="0"/>
    <n v="0"/>
  </r>
  <r>
    <x v="15"/>
    <x v="226"/>
    <s v="Brides à collerette à souder "/>
    <s v="Raccord Acier à souderBrides à collerette à souder Brides à collerette à souder "/>
    <s v="4&quot;-DN100-114,3"/>
    <n v="5"/>
    <s v="BCS100"/>
    <m/>
    <m/>
    <n v="0"/>
    <m/>
    <m/>
    <m/>
    <m/>
    <m/>
    <m/>
    <n v="0"/>
    <m/>
    <m/>
    <m/>
    <m/>
    <n v="0"/>
    <n v="0"/>
    <n v="0"/>
    <n v="0"/>
    <n v="0"/>
    <n v="0"/>
    <n v="0"/>
  </r>
  <r>
    <x v="15"/>
    <x v="226"/>
    <s v="Brides à collerette à souder "/>
    <s v="Raccord Acier à souderBrides à collerette à souder Brides à collerette à souder "/>
    <s v="5&quot;-DN125-139,7"/>
    <n v="6"/>
    <s v="BCS125"/>
    <m/>
    <m/>
    <n v="0"/>
    <m/>
    <m/>
    <m/>
    <m/>
    <m/>
    <m/>
    <n v="0"/>
    <m/>
    <m/>
    <m/>
    <m/>
    <n v="0"/>
    <n v="0"/>
    <n v="0"/>
    <n v="0"/>
    <n v="0"/>
    <n v="0"/>
    <n v="0"/>
  </r>
  <r>
    <x v="15"/>
    <x v="226"/>
    <s v="Brides à collerette à souder "/>
    <s v="Raccord Acier à souderBrides à collerette à souder Brides à collerette à souder "/>
    <s v="6&quot;-DN150-168,3"/>
    <n v="7"/>
    <s v="BCS150"/>
    <m/>
    <m/>
    <n v="0"/>
    <m/>
    <m/>
    <m/>
    <m/>
    <m/>
    <m/>
    <n v="0"/>
    <m/>
    <m/>
    <m/>
    <m/>
    <n v="0"/>
    <n v="0"/>
    <n v="0"/>
    <n v="0"/>
    <n v="0"/>
    <n v="0"/>
    <n v="0"/>
  </r>
  <r>
    <x v="15"/>
    <x v="227"/>
    <s v="Brides à collerette taraudées"/>
    <s v="Raccord Acier à souderBrides à collerette taraudéesBrides à collerette taraudées"/>
    <m/>
    <n v="0"/>
    <m/>
    <m/>
    <m/>
    <n v="0"/>
    <m/>
    <m/>
    <m/>
    <m/>
    <m/>
    <m/>
    <n v="0"/>
    <m/>
    <m/>
    <m/>
    <m/>
    <n v="0"/>
    <n v="0"/>
    <n v="0"/>
    <n v="0"/>
    <n v="0"/>
    <n v="0"/>
    <n v="0"/>
  </r>
  <r>
    <x v="15"/>
    <x v="227"/>
    <s v="Brides à collerette taraudées"/>
    <s v="Raccord Acier à souderBrides à collerette taraudéesBrides à collerette taraudées"/>
    <s v="3/4&quot; - DN20"/>
    <n v="1"/>
    <s v="BCV34"/>
    <m/>
    <m/>
    <n v="0"/>
    <m/>
    <m/>
    <m/>
    <m/>
    <m/>
    <m/>
    <n v="0"/>
    <m/>
    <m/>
    <m/>
    <m/>
    <n v="0"/>
    <n v="0"/>
    <n v="0"/>
    <n v="0"/>
    <n v="0"/>
    <n v="0"/>
    <n v="0"/>
  </r>
  <r>
    <x v="15"/>
    <x v="227"/>
    <s v="Brides à collerette taraudées"/>
    <s v="Raccord Acier à souderBrides à collerette taraudéesBrides à collerette taraudées"/>
    <s v="1&quot; - DN25"/>
    <n v="2"/>
    <s v="BCV1"/>
    <m/>
    <m/>
    <n v="0"/>
    <m/>
    <m/>
    <m/>
    <m/>
    <m/>
    <m/>
    <n v="0"/>
    <m/>
    <m/>
    <m/>
    <m/>
    <n v="0"/>
    <n v="0"/>
    <n v="0"/>
    <n v="0"/>
    <n v="0"/>
    <n v="0"/>
    <n v="0"/>
  </r>
  <r>
    <x v="15"/>
    <x v="227"/>
    <s v="Brides à collerette taraudées"/>
    <s v="Raccord Acier à souderBrides à collerette taraudéesBrides à collerette taraudées"/>
    <s v=" 1&quot;1/4-DN32"/>
    <n v="3"/>
    <s v="BCV114"/>
    <m/>
    <m/>
    <n v="0"/>
    <m/>
    <m/>
    <m/>
    <m/>
    <m/>
    <m/>
    <n v="0"/>
    <m/>
    <m/>
    <m/>
    <m/>
    <n v="0"/>
    <n v="0"/>
    <n v="0"/>
    <n v="0"/>
    <n v="0"/>
    <n v="0"/>
    <n v="0"/>
  </r>
  <r>
    <x v="15"/>
    <x v="227"/>
    <s v="Brides à collerette taraudées"/>
    <s v="Raccord Acier à souderBrides à collerette taraudéesBrides à collerette taraudées"/>
    <s v=" 1&quot;1/2-DN40-48,3"/>
    <n v="4"/>
    <s v="BCV112"/>
    <m/>
    <m/>
    <n v="0"/>
    <m/>
    <m/>
    <m/>
    <m/>
    <m/>
    <m/>
    <n v="0"/>
    <m/>
    <m/>
    <m/>
    <m/>
    <n v="0"/>
    <n v="0"/>
    <n v="0"/>
    <n v="0"/>
    <n v="0"/>
    <n v="0"/>
    <n v="0"/>
  </r>
  <r>
    <x v="15"/>
    <x v="227"/>
    <s v="Brides à collerette taraudées"/>
    <s v="Raccord Acier à souderBrides à collerette taraudéesBrides à collerette taraudées"/>
    <s v="2&quot;- DN50- 60,3"/>
    <n v="5"/>
    <s v="BCV2"/>
    <m/>
    <m/>
    <n v="0"/>
    <m/>
    <m/>
    <m/>
    <m/>
    <m/>
    <m/>
    <n v="0"/>
    <m/>
    <m/>
    <m/>
    <m/>
    <n v="0"/>
    <n v="0"/>
    <n v="0"/>
    <n v="0"/>
    <n v="0"/>
    <n v="0"/>
    <n v="0"/>
  </r>
  <r>
    <x v="15"/>
    <x v="227"/>
    <s v="Brides à collerette taraudées"/>
    <s v="Raccord Acier à souderBrides à collerette taraudéesBrides à collerette taraudées"/>
    <s v="2&quot;1/2-DN65-76,1"/>
    <n v="6"/>
    <s v="BCV212"/>
    <m/>
    <m/>
    <n v="0"/>
    <m/>
    <m/>
    <m/>
    <m/>
    <m/>
    <m/>
    <n v="0"/>
    <m/>
    <m/>
    <m/>
    <m/>
    <n v="0"/>
    <n v="0"/>
    <n v="0"/>
    <n v="0"/>
    <n v="0"/>
    <n v="0"/>
    <n v="0"/>
  </r>
  <r>
    <x v="15"/>
    <x v="227"/>
    <s v="Brides à collerette taraudées"/>
    <s v="Raccord Acier à souderBrides à collerette taraudéesBrides à collerette taraudées"/>
    <s v="3&quot;-DN80-88,9"/>
    <n v="7"/>
    <s v="BCV3"/>
    <m/>
    <m/>
    <n v="0"/>
    <m/>
    <m/>
    <m/>
    <m/>
    <m/>
    <m/>
    <n v="0"/>
    <m/>
    <m/>
    <m/>
    <m/>
    <n v="0"/>
    <n v="0"/>
    <n v="0"/>
    <n v="0"/>
    <n v="0"/>
    <n v="0"/>
    <n v="0"/>
  </r>
  <r>
    <x v="15"/>
    <x v="227"/>
    <s v="Brides à collerette taraudées"/>
    <s v="Raccord Acier à souderBrides à collerette taraudéesBrides à collerette taraudées"/>
    <s v="4&quot;-DN100-114,3"/>
    <n v="8"/>
    <s v="BCV4"/>
    <m/>
    <m/>
    <n v="0"/>
    <m/>
    <m/>
    <m/>
    <m/>
    <m/>
    <m/>
    <n v="0"/>
    <m/>
    <m/>
    <m/>
    <m/>
    <n v="0"/>
    <n v="0"/>
    <n v="0"/>
    <n v="0"/>
    <n v="0"/>
    <n v="0"/>
    <n v="0"/>
  </r>
  <r>
    <x v="15"/>
    <x v="228"/>
    <s v="Brides plates à souder"/>
    <s v="Raccord Acier à souderBrides plates à souderBrides plates à souder"/>
    <m/>
    <n v="0"/>
    <m/>
    <m/>
    <m/>
    <n v="0"/>
    <m/>
    <m/>
    <m/>
    <m/>
    <m/>
    <m/>
    <n v="0"/>
    <m/>
    <m/>
    <m/>
    <m/>
    <n v="0"/>
    <n v="0"/>
    <n v="0"/>
    <n v="0"/>
    <n v="0"/>
    <n v="0"/>
    <n v="0"/>
  </r>
  <r>
    <x v="15"/>
    <x v="228"/>
    <s v="Brides plates à souder"/>
    <s v="Raccord Acier à souderBrides plates à souderBrides plates à souder"/>
    <s v="2&quot;- DN50- 60,3"/>
    <n v="1"/>
    <s v="BPS50"/>
    <m/>
    <m/>
    <n v="0"/>
    <m/>
    <m/>
    <m/>
    <m/>
    <m/>
    <m/>
    <n v="0"/>
    <m/>
    <m/>
    <m/>
    <m/>
    <n v="0"/>
    <n v="0"/>
    <n v="0"/>
    <n v="0"/>
    <n v="0"/>
    <n v="0"/>
    <n v="0"/>
  </r>
  <r>
    <x v="15"/>
    <x v="228"/>
    <s v="Brides plates à souder"/>
    <s v="Raccord Acier à souderBrides plates à souderBrides plates à souder"/>
    <s v="2&quot;1/2-DN65-76,1"/>
    <n v="2"/>
    <s v="BPS65"/>
    <m/>
    <m/>
    <n v="0"/>
    <m/>
    <m/>
    <m/>
    <m/>
    <m/>
    <m/>
    <n v="0"/>
    <m/>
    <m/>
    <m/>
    <m/>
    <n v="0"/>
    <n v="0"/>
    <n v="0"/>
    <n v="0"/>
    <n v="0"/>
    <n v="0"/>
    <n v="0"/>
  </r>
  <r>
    <x v="15"/>
    <x v="228"/>
    <s v="Brides plates à souder"/>
    <s v="Raccord Acier à souderBrides plates à souderBrides plates à souder"/>
    <s v="3&quot;-DN80-88,9"/>
    <n v="3"/>
    <s v="BPS80"/>
    <m/>
    <m/>
    <n v="0"/>
    <m/>
    <m/>
    <m/>
    <m/>
    <m/>
    <m/>
    <n v="0"/>
    <m/>
    <m/>
    <m/>
    <m/>
    <n v="0"/>
    <n v="0"/>
    <n v="0"/>
    <n v="0"/>
    <n v="0"/>
    <n v="0"/>
    <n v="0"/>
  </r>
  <r>
    <x v="15"/>
    <x v="228"/>
    <s v="Brides plates à souder"/>
    <s v="Raccord Acier à souderBrides plates à souderBrides plates à souder"/>
    <s v="4&quot;-DN100-114,3"/>
    <n v="4"/>
    <s v="BPS100"/>
    <m/>
    <m/>
    <n v="0"/>
    <m/>
    <m/>
    <m/>
    <m/>
    <m/>
    <m/>
    <n v="0"/>
    <m/>
    <m/>
    <m/>
    <m/>
    <n v="0"/>
    <n v="0"/>
    <n v="0"/>
    <n v="0"/>
    <n v="0"/>
    <n v="0"/>
    <n v="0"/>
  </r>
  <r>
    <x v="15"/>
    <x v="228"/>
    <s v="Brides plates à souder"/>
    <s v="Raccord Acier à souderBrides plates à souderBrides plates à souder"/>
    <s v="5&quot;-DN125-139,7"/>
    <n v="5"/>
    <s v="BPS125"/>
    <m/>
    <m/>
    <n v="0"/>
    <m/>
    <m/>
    <m/>
    <m/>
    <m/>
    <m/>
    <n v="0"/>
    <m/>
    <m/>
    <m/>
    <m/>
    <n v="0"/>
    <n v="0"/>
    <n v="0"/>
    <n v="0"/>
    <n v="0"/>
    <n v="0"/>
    <n v="0"/>
  </r>
  <r>
    <x v="15"/>
    <x v="228"/>
    <s v="Brides plates à souder"/>
    <s v="Raccord Acier à souderBrides plates à souderBrides plates à souder"/>
    <s v="6&quot;-DN150-168,3"/>
    <n v="6"/>
    <s v="BPS150"/>
    <m/>
    <m/>
    <n v="0"/>
    <m/>
    <m/>
    <m/>
    <m/>
    <m/>
    <m/>
    <n v="0"/>
    <m/>
    <m/>
    <m/>
    <m/>
    <n v="0"/>
    <n v="0"/>
    <n v="0"/>
    <n v="0"/>
    <n v="0"/>
    <n v="0"/>
    <n v="0"/>
  </r>
  <r>
    <x v="15"/>
    <x v="228"/>
    <s v="Brides plates à souder"/>
    <s v="Raccord Acier à souderBrides plates à souderBrides plates à souder"/>
    <s v="8&quot;-DN200-219,1"/>
    <n v="7"/>
    <s v="BPS200"/>
    <m/>
    <m/>
    <n v="0"/>
    <m/>
    <m/>
    <m/>
    <m/>
    <m/>
    <m/>
    <n v="0"/>
    <m/>
    <m/>
    <m/>
    <m/>
    <n v="0"/>
    <n v="0"/>
    <n v="0"/>
    <n v="0"/>
    <n v="0"/>
    <n v="0"/>
    <n v="0"/>
  </r>
  <r>
    <x v="15"/>
    <x v="228"/>
    <s v="Brides plates à souder"/>
    <s v="Raccord Acier à souderBrides plates à souderBrides plates à souder"/>
    <s v="8&quot;-DN250"/>
    <n v="8"/>
    <s v="BPS250"/>
    <m/>
    <m/>
    <n v="0"/>
    <m/>
    <m/>
    <m/>
    <m/>
    <m/>
    <m/>
    <n v="0"/>
    <m/>
    <m/>
    <m/>
    <m/>
    <n v="0"/>
    <n v="0"/>
    <n v="0"/>
    <n v="0"/>
    <n v="0"/>
    <n v="0"/>
    <n v="0"/>
  </r>
  <r>
    <x v="15"/>
    <x v="229"/>
    <s v="Coudes à souder 3D galva"/>
    <s v="Raccord Acier à souderCoudes à souder 3D galvaCoudes à souder 3D galva"/>
    <m/>
    <n v="0"/>
    <m/>
    <m/>
    <m/>
    <n v="0"/>
    <m/>
    <m/>
    <m/>
    <m/>
    <m/>
    <m/>
    <n v="0"/>
    <m/>
    <m/>
    <m/>
    <m/>
    <n v="0"/>
    <n v="0"/>
    <n v="0"/>
    <n v="0"/>
    <n v="0"/>
    <n v="0"/>
    <n v="0"/>
  </r>
  <r>
    <x v="15"/>
    <x v="229"/>
    <s v="Coudes à souder 3D galva"/>
    <s v="Raccord Acier à souderCoudes à souder 3D galvaCoudes à souder 3D galva"/>
    <s v="1&quot;1/4"/>
    <n v="1"/>
    <s v="CAS3DG114"/>
    <m/>
    <m/>
    <n v="0"/>
    <m/>
    <m/>
    <m/>
    <m/>
    <m/>
    <m/>
    <n v="0"/>
    <m/>
    <m/>
    <m/>
    <m/>
    <n v="0"/>
    <n v="0"/>
    <n v="0"/>
    <n v="0"/>
    <n v="0"/>
    <n v="0"/>
    <n v="0"/>
  </r>
  <r>
    <x v="15"/>
    <x v="229"/>
    <s v="Coudes à souder 3D galva"/>
    <s v="Raccord Acier à souderCoudes à souder 3D galvaCoudes à souder 3D galva"/>
    <s v="2&quot;"/>
    <n v="2"/>
    <s v="CAS3DG2"/>
    <m/>
    <m/>
    <n v="0"/>
    <m/>
    <m/>
    <m/>
    <m/>
    <m/>
    <m/>
    <n v="0"/>
    <m/>
    <m/>
    <m/>
    <m/>
    <n v="0"/>
    <n v="0"/>
    <n v="0"/>
    <n v="0"/>
    <n v="0"/>
    <n v="0"/>
    <n v="0"/>
  </r>
  <r>
    <x v="15"/>
    <x v="229"/>
    <s v="Coudes à souder 3D galva"/>
    <s v="Raccord Acier à souderCoudes à souder 3D galvaCoudes à souder 3D galva"/>
    <s v="2&quot;1/2"/>
    <n v="3"/>
    <s v="CAS3DG212"/>
    <m/>
    <m/>
    <n v="0"/>
    <m/>
    <m/>
    <m/>
    <m/>
    <m/>
    <m/>
    <n v="0"/>
    <m/>
    <m/>
    <m/>
    <m/>
    <n v="0"/>
    <n v="0"/>
    <n v="0"/>
    <n v="0"/>
    <n v="0"/>
    <n v="0"/>
    <n v="0"/>
  </r>
  <r>
    <x v="15"/>
    <x v="229"/>
    <s v="Coudes à souder 3D galva"/>
    <s v="Raccord Acier à souderCoudes à souder 3D galvaCoudes à souder 3D galva"/>
    <s v="3&quot;"/>
    <n v="4"/>
    <s v="CAS3DG3"/>
    <m/>
    <m/>
    <n v="0"/>
    <m/>
    <m/>
    <m/>
    <m/>
    <m/>
    <m/>
    <n v="0"/>
    <m/>
    <m/>
    <m/>
    <m/>
    <n v="0"/>
    <n v="0"/>
    <n v="0"/>
    <n v="0"/>
    <n v="0"/>
    <n v="0"/>
    <n v="0"/>
  </r>
  <r>
    <x v="15"/>
    <x v="229"/>
    <s v="Coudes à souder 3D galva"/>
    <s v="Raccord Acier à souderCoudes à souder 3D galvaCoudes à souder 3D galva"/>
    <s v="4&quot;"/>
    <n v="5"/>
    <s v="CAS3DG4"/>
    <m/>
    <m/>
    <n v="0"/>
    <m/>
    <m/>
    <m/>
    <m/>
    <m/>
    <m/>
    <n v="0"/>
    <m/>
    <m/>
    <m/>
    <m/>
    <n v="0"/>
    <n v="0"/>
    <n v="0"/>
    <n v="0"/>
    <n v="0"/>
    <n v="0"/>
    <n v="0"/>
  </r>
  <r>
    <x v="15"/>
    <x v="230"/>
    <s v="Coudes à souder 3D noir"/>
    <s v="Raccord Acier à souderCoudes à souder 3D noirCoudes à souder 3D noir"/>
    <m/>
    <n v="0"/>
    <m/>
    <m/>
    <m/>
    <n v="0"/>
    <m/>
    <m/>
    <m/>
    <m/>
    <m/>
    <m/>
    <n v="0"/>
    <m/>
    <m/>
    <m/>
    <m/>
    <n v="0"/>
    <n v="0"/>
    <n v="0"/>
    <n v="0"/>
    <n v="0"/>
    <n v="0"/>
    <n v="0"/>
  </r>
  <r>
    <x v="15"/>
    <x v="230"/>
    <s v="Coudes à souder 3D noir"/>
    <s v="Raccord Acier à souderCoudes à souder 3D noirCoudes à souder 3D noir"/>
    <s v="1&quot;1/2"/>
    <n v="1"/>
    <s v="CAS3DN112"/>
    <m/>
    <m/>
    <n v="0"/>
    <m/>
    <m/>
    <m/>
    <m/>
    <m/>
    <m/>
    <n v="0"/>
    <m/>
    <m/>
    <m/>
    <m/>
    <n v="0"/>
    <n v="0"/>
    <n v="0"/>
    <n v="0"/>
    <n v="0"/>
    <n v="0"/>
    <n v="0"/>
  </r>
  <r>
    <x v="15"/>
    <x v="230"/>
    <s v="Coudes à souder 3D noir"/>
    <s v="Raccord Acier à souderCoudes à souder 3D noirCoudes à souder 3D noir"/>
    <s v="2&quot;"/>
    <n v="2"/>
    <s v="CAS3DN2"/>
    <m/>
    <m/>
    <n v="0"/>
    <m/>
    <m/>
    <m/>
    <m/>
    <m/>
    <m/>
    <n v="0"/>
    <m/>
    <m/>
    <m/>
    <m/>
    <n v="0"/>
    <n v="0"/>
    <n v="0"/>
    <n v="0"/>
    <n v="0"/>
    <n v="0"/>
    <n v="0"/>
  </r>
  <r>
    <x v="15"/>
    <x v="230"/>
    <s v="Coudes à souder 3D noir"/>
    <s v="Raccord Acier à souderCoudes à souder 3D noirCoudes à souder 3D noir"/>
    <s v="2&quot;1/2"/>
    <n v="3"/>
    <s v="CAS3DN212"/>
    <m/>
    <m/>
    <n v="0"/>
    <m/>
    <m/>
    <m/>
    <m/>
    <m/>
    <m/>
    <n v="0"/>
    <m/>
    <m/>
    <m/>
    <m/>
    <n v="0"/>
    <n v="0"/>
    <n v="0"/>
    <n v="0"/>
    <n v="0"/>
    <n v="0"/>
    <n v="0"/>
  </r>
  <r>
    <x v="15"/>
    <x v="230"/>
    <s v="Coudes à souder 3D noir"/>
    <s v="Raccord Acier à souderCoudes à souder 3D noirCoudes à souder 3D noir"/>
    <s v="3&quot;"/>
    <n v="4"/>
    <s v="CAS3DN3"/>
    <m/>
    <m/>
    <n v="0"/>
    <m/>
    <m/>
    <m/>
    <m/>
    <m/>
    <m/>
    <n v="0"/>
    <m/>
    <m/>
    <m/>
    <m/>
    <n v="0"/>
    <n v="0"/>
    <n v="0"/>
    <n v="0"/>
    <n v="0"/>
    <n v="0"/>
    <n v="0"/>
  </r>
  <r>
    <x v="15"/>
    <x v="230"/>
    <s v="Coudes à souder 3D noir"/>
    <s v="Raccord Acier à souderCoudes à souder 3D noirCoudes à souder 3D noir"/>
    <s v="4&quot;"/>
    <n v="5"/>
    <s v="CAS3DN4"/>
    <m/>
    <m/>
    <n v="0"/>
    <m/>
    <m/>
    <m/>
    <m/>
    <m/>
    <m/>
    <n v="0"/>
    <m/>
    <m/>
    <m/>
    <m/>
    <n v="0"/>
    <n v="0"/>
    <n v="0"/>
    <n v="0"/>
    <n v="0"/>
    <n v="0"/>
    <n v="0"/>
  </r>
  <r>
    <x v="15"/>
    <x v="230"/>
    <s v="Coudes à souder 3D noir"/>
    <s v="Raccord Acier à souderCoudes à souder 3D noirCoudes à souder 3D noir"/>
    <s v="5&quot;"/>
    <n v="6"/>
    <s v="CAS3DN5"/>
    <m/>
    <m/>
    <n v="0"/>
    <m/>
    <m/>
    <m/>
    <m/>
    <m/>
    <m/>
    <n v="0"/>
    <m/>
    <m/>
    <m/>
    <m/>
    <n v="0"/>
    <n v="0"/>
    <n v="0"/>
    <n v="0"/>
    <n v="0"/>
    <n v="0"/>
    <n v="0"/>
  </r>
  <r>
    <x v="15"/>
    <x v="231"/>
    <s v="Courbes à souder 5D noir"/>
    <s v="Raccord Acier à souderCourbes à souder 5D noirCourbes à souder 5D noir"/>
    <m/>
    <n v="0"/>
    <m/>
    <m/>
    <m/>
    <n v="0"/>
    <m/>
    <m/>
    <m/>
    <m/>
    <m/>
    <m/>
    <n v="0"/>
    <m/>
    <m/>
    <m/>
    <m/>
    <n v="0"/>
    <n v="0"/>
    <n v="0"/>
    <n v="0"/>
    <n v="0"/>
    <n v="0"/>
    <n v="0"/>
  </r>
  <r>
    <x v="15"/>
    <x v="231"/>
    <s v="Courbes à souder 5D noir"/>
    <s v="Raccord Acier à souderCourbes à souder 5D noirCourbes à souder 5D noir"/>
    <s v="2&quot;1/2"/>
    <n v="1"/>
    <s v="CAS5DN212"/>
    <m/>
    <m/>
    <n v="0"/>
    <m/>
    <m/>
    <m/>
    <m/>
    <m/>
    <m/>
    <n v="0"/>
    <m/>
    <m/>
    <m/>
    <m/>
    <n v="0"/>
    <n v="0"/>
    <n v="0"/>
    <n v="0"/>
    <n v="0"/>
    <n v="0"/>
    <n v="0"/>
  </r>
  <r>
    <x v="15"/>
    <x v="231"/>
    <s v="Courbes à souder 5D noir"/>
    <s v="Raccord Acier à souderCourbes à souder 5D noirCourbes à souder 5D noir"/>
    <s v="3&quot;"/>
    <n v="2"/>
    <s v="CAS5DN3"/>
    <m/>
    <m/>
    <n v="0"/>
    <m/>
    <m/>
    <m/>
    <m/>
    <m/>
    <m/>
    <n v="0"/>
    <m/>
    <m/>
    <m/>
    <m/>
    <n v="0"/>
    <n v="0"/>
    <n v="0"/>
    <n v="0"/>
    <n v="0"/>
    <n v="0"/>
    <n v="0"/>
  </r>
  <r>
    <x v="15"/>
    <x v="232"/>
    <s v="Fonds à souder"/>
    <s v="Raccord Acier à souderFonds à souderFonds à souder"/>
    <m/>
    <n v="0"/>
    <m/>
    <m/>
    <m/>
    <n v="0"/>
    <m/>
    <m/>
    <m/>
    <m/>
    <m/>
    <m/>
    <n v="0"/>
    <m/>
    <m/>
    <m/>
    <m/>
    <n v="0"/>
    <n v="0"/>
    <n v="0"/>
    <n v="0"/>
    <n v="0"/>
    <n v="0"/>
    <n v="0"/>
  </r>
  <r>
    <x v="15"/>
    <x v="232"/>
    <s v="Fonds à souder"/>
    <s v="Raccord Acier à souderFonds à souderFonds à souder"/>
    <s v="3&quot;"/>
    <n v="1"/>
    <s v="FASN3"/>
    <m/>
    <m/>
    <n v="0"/>
    <m/>
    <m/>
    <m/>
    <m/>
    <m/>
    <m/>
    <n v="0"/>
    <m/>
    <m/>
    <m/>
    <m/>
    <n v="0"/>
    <n v="0"/>
    <n v="0"/>
    <n v="0"/>
    <n v="0"/>
    <n v="0"/>
    <n v="0"/>
  </r>
  <r>
    <x v="15"/>
    <x v="232"/>
    <s v="Fonds à souder"/>
    <s v="Raccord Acier à souderFonds à souderFonds à souder"/>
    <s v="5&quot;"/>
    <n v="2"/>
    <s v="FASN5"/>
    <m/>
    <m/>
    <n v="0"/>
    <m/>
    <m/>
    <m/>
    <m/>
    <m/>
    <m/>
    <n v="0"/>
    <m/>
    <m/>
    <m/>
    <m/>
    <n v="0"/>
    <n v="0"/>
    <n v="0"/>
    <n v="0"/>
    <n v="0"/>
    <n v="0"/>
    <n v="0"/>
  </r>
  <r>
    <x v="15"/>
    <x v="232"/>
    <s v="Fonds à souder"/>
    <s v="Raccord Acier à souderFonds à souderFonds à souder"/>
    <s v="6&quot;"/>
    <n v="3"/>
    <s v="FASN6"/>
    <m/>
    <m/>
    <n v="0"/>
    <m/>
    <m/>
    <m/>
    <m/>
    <m/>
    <m/>
    <n v="0"/>
    <m/>
    <m/>
    <m/>
    <m/>
    <n v="0"/>
    <n v="0"/>
    <n v="0"/>
    <n v="0"/>
    <n v="0"/>
    <n v="0"/>
    <n v="0"/>
  </r>
  <r>
    <x v="15"/>
    <x v="233"/>
    <s v="Plateaux ( bride pleine)"/>
    <s v="Raccord Acier à souderPlateaux ( bride pleine)Plateaux ( bride pleine)"/>
    <m/>
    <n v="0"/>
    <m/>
    <m/>
    <m/>
    <n v="0"/>
    <m/>
    <m/>
    <m/>
    <m/>
    <m/>
    <m/>
    <n v="0"/>
    <m/>
    <m/>
    <m/>
    <m/>
    <n v="0"/>
    <n v="0"/>
    <n v="0"/>
    <n v="0"/>
    <n v="0"/>
    <n v="0"/>
    <n v="0"/>
  </r>
  <r>
    <x v="15"/>
    <x v="233"/>
    <s v="Plateaux ( bride pleine)"/>
    <s v="Raccord Acier à souderPlateaux ( bride pleine)Plateaux ( bride pleine)"/>
    <s v="1&quot;1/2"/>
    <n v="1"/>
    <s v="BP40"/>
    <m/>
    <m/>
    <n v="0"/>
    <m/>
    <m/>
    <m/>
    <m/>
    <m/>
    <m/>
    <n v="0"/>
    <m/>
    <m/>
    <m/>
    <m/>
    <n v="0"/>
    <n v="0"/>
    <n v="0"/>
    <n v="0"/>
    <n v="0"/>
    <n v="0"/>
    <n v="0"/>
  </r>
  <r>
    <x v="15"/>
    <x v="233"/>
    <s v="Plateaux ( bride pleine)"/>
    <s v="Raccord Acier à souderPlateaux ( bride pleine)Plateaux ( bride pleine)"/>
    <s v="2&quot;"/>
    <n v="2"/>
    <s v="BP50"/>
    <m/>
    <m/>
    <n v="0"/>
    <m/>
    <m/>
    <m/>
    <m/>
    <m/>
    <m/>
    <n v="0"/>
    <m/>
    <m/>
    <m/>
    <m/>
    <n v="0"/>
    <n v="0"/>
    <n v="0"/>
    <n v="0"/>
    <n v="0"/>
    <n v="0"/>
    <n v="0"/>
  </r>
  <r>
    <x v="15"/>
    <x v="233"/>
    <s v="Plateaux ( bride pleine)"/>
    <s v="Raccord Acier à souderPlateaux ( bride pleine)Plateaux ( bride pleine)"/>
    <s v="2&quot;1/2"/>
    <n v="3"/>
    <s v="BP65"/>
    <m/>
    <m/>
    <n v="0"/>
    <m/>
    <m/>
    <m/>
    <m/>
    <m/>
    <m/>
    <n v="0"/>
    <m/>
    <m/>
    <m/>
    <m/>
    <n v="0"/>
    <n v="0"/>
    <n v="0"/>
    <n v="0"/>
    <n v="0"/>
    <n v="0"/>
    <n v="0"/>
  </r>
  <r>
    <x v="15"/>
    <x v="233"/>
    <s v="Plateaux ( bride pleine)"/>
    <s v="Raccord Acier à souderPlateaux ( bride pleine)Plateaux ( bride pleine)"/>
    <s v="3&quot;"/>
    <n v="4"/>
    <s v="BP80"/>
    <m/>
    <m/>
    <n v="0"/>
    <m/>
    <m/>
    <m/>
    <m/>
    <m/>
    <m/>
    <n v="0"/>
    <m/>
    <m/>
    <m/>
    <m/>
    <n v="0"/>
    <n v="0"/>
    <n v="0"/>
    <n v="0"/>
    <n v="0"/>
    <n v="0"/>
    <n v="0"/>
  </r>
  <r>
    <x v="15"/>
    <x v="233"/>
    <s v="Plateaux ( bride pleine)"/>
    <s v="Raccord Acier à souderPlateaux ( bride pleine)Plateaux ( bride pleine)"/>
    <s v="4&quot;"/>
    <n v="5"/>
    <s v="BP100"/>
    <m/>
    <m/>
    <n v="0"/>
    <m/>
    <m/>
    <m/>
    <m/>
    <m/>
    <m/>
    <n v="0"/>
    <m/>
    <m/>
    <m/>
    <m/>
    <n v="0"/>
    <n v="0"/>
    <n v="0"/>
    <n v="0"/>
    <n v="0"/>
    <n v="0"/>
    <n v="0"/>
  </r>
  <r>
    <x v="15"/>
    <x v="233"/>
    <s v="Plateaux ( bride pleine)"/>
    <s v="Raccord Acier à souderPlateaux ( bride pleine)Plateaux ( bride pleine)"/>
    <s v="5&quot;"/>
    <n v="6"/>
    <s v="BP125"/>
    <m/>
    <m/>
    <n v="0"/>
    <m/>
    <m/>
    <m/>
    <m/>
    <m/>
    <m/>
    <n v="0"/>
    <m/>
    <m/>
    <m/>
    <m/>
    <n v="0"/>
    <n v="0"/>
    <n v="0"/>
    <n v="0"/>
    <n v="0"/>
    <n v="0"/>
    <n v="0"/>
  </r>
  <r>
    <x v="15"/>
    <x v="233"/>
    <s v="Plateaux ( bride pleine)"/>
    <s v="Raccord Acier à souderPlateaux ( bride pleine)Plateaux ( bride pleine)"/>
    <s v="6&quot;"/>
    <n v="7"/>
    <s v="BP150"/>
    <m/>
    <m/>
    <n v="0"/>
    <m/>
    <m/>
    <m/>
    <m/>
    <m/>
    <m/>
    <n v="0"/>
    <m/>
    <m/>
    <m/>
    <m/>
    <n v="0"/>
    <n v="0"/>
    <n v="0"/>
    <n v="0"/>
    <n v="0"/>
    <n v="0"/>
    <n v="0"/>
  </r>
  <r>
    <x v="15"/>
    <x v="233"/>
    <s v="Plateaux ( bride pleine)"/>
    <s v="Raccord Acier à souderPlateaux ( bride pleine)Plateaux ( bride pleine)"/>
    <s v="8&quot;"/>
    <n v="8"/>
    <s v="BP200"/>
    <m/>
    <m/>
    <n v="0"/>
    <m/>
    <m/>
    <m/>
    <m/>
    <m/>
    <m/>
    <n v="0"/>
    <m/>
    <m/>
    <m/>
    <m/>
    <n v="0"/>
    <n v="0"/>
    <n v="0"/>
    <n v="0"/>
    <n v="0"/>
    <n v="0"/>
    <n v="0"/>
  </r>
  <r>
    <x v="15"/>
    <x v="233"/>
    <s v="Plateaux ( bride pleine)"/>
    <s v="Raccord Acier à souderPlateaux ( bride pleine)Plateaux ( bride pleine)"/>
    <s v="10&quot;"/>
    <n v="9"/>
    <s v="BP250"/>
    <m/>
    <m/>
    <n v="0"/>
    <m/>
    <m/>
    <m/>
    <m/>
    <m/>
    <m/>
    <n v="0"/>
    <m/>
    <m/>
    <m/>
    <m/>
    <n v="0"/>
    <n v="0"/>
    <n v="0"/>
    <n v="0"/>
    <n v="0"/>
    <n v="0"/>
    <n v="0"/>
  </r>
  <r>
    <x v="15"/>
    <x v="233"/>
    <s v="Plateaux ( bride pleine)"/>
    <s v="Raccord Acier à souderPlateaux ( bride pleine)Plateaux ( bride pleine)"/>
    <s v="12&quot;"/>
    <n v="10"/>
    <s v="BP300"/>
    <m/>
    <m/>
    <n v="0"/>
    <m/>
    <m/>
    <m/>
    <m/>
    <m/>
    <m/>
    <n v="0"/>
    <m/>
    <m/>
    <m/>
    <m/>
    <n v="0"/>
    <n v="0"/>
    <n v="0"/>
    <n v="0"/>
    <n v="0"/>
    <n v="0"/>
    <n v="0"/>
  </r>
  <r>
    <x v="15"/>
    <x v="234"/>
    <s v="Réductions concentriques"/>
    <s v="Raccord Acier à souderRéductions concentriquesRéductions concentriques"/>
    <m/>
    <n v="0"/>
    <m/>
    <m/>
    <m/>
    <n v="0"/>
    <m/>
    <m/>
    <m/>
    <m/>
    <m/>
    <m/>
    <n v="0"/>
    <m/>
    <m/>
    <m/>
    <m/>
    <n v="0"/>
    <n v="0"/>
    <n v="0"/>
    <n v="0"/>
    <n v="0"/>
    <n v="0"/>
    <n v="0"/>
  </r>
  <r>
    <x v="15"/>
    <x v="234"/>
    <s v="Réductions concentriques"/>
    <s v="Raccord Acier à souderRéductions concentriquesRéductions concentriques"/>
    <s v="1&quot; 3/4&quot;"/>
    <n v="1"/>
    <s v="RAS134"/>
    <m/>
    <m/>
    <n v="0"/>
    <m/>
    <m/>
    <m/>
    <m/>
    <m/>
    <m/>
    <n v="0"/>
    <m/>
    <m/>
    <m/>
    <m/>
    <n v="0"/>
    <n v="0"/>
    <n v="0"/>
    <n v="0"/>
    <n v="0"/>
    <n v="0"/>
    <n v="0"/>
  </r>
  <r>
    <x v="15"/>
    <x v="234"/>
    <s v="Réductions concentriques"/>
    <s v="Raccord Acier à souderRéductions concentriquesRéductions concentriques"/>
    <s v="1&quot;1/4 1&quot;"/>
    <n v="2"/>
    <s v="RAS1"/>
    <m/>
    <m/>
    <n v="0"/>
    <m/>
    <m/>
    <m/>
    <m/>
    <m/>
    <m/>
    <n v="0"/>
    <m/>
    <m/>
    <m/>
    <m/>
    <n v="0"/>
    <n v="0"/>
    <n v="0"/>
    <n v="0"/>
    <n v="0"/>
    <n v="0"/>
    <n v="0"/>
  </r>
  <r>
    <x v="15"/>
    <x v="234"/>
    <s v="Réductions concentriques"/>
    <s v="Raccord Acier à souderRéductions concentriquesRéductions concentriques"/>
    <s v="1&quot;1/2 1&quot;"/>
    <n v="3"/>
    <s v="RAS1121"/>
    <m/>
    <m/>
    <n v="0"/>
    <m/>
    <m/>
    <m/>
    <m/>
    <m/>
    <m/>
    <n v="0"/>
    <m/>
    <m/>
    <m/>
    <m/>
    <n v="0"/>
    <n v="0"/>
    <n v="0"/>
    <n v="0"/>
    <n v="0"/>
    <n v="0"/>
    <n v="0"/>
  </r>
  <r>
    <x v="15"/>
    <x v="234"/>
    <s v="Réductions concentriques"/>
    <s v="Raccord Acier à souderRéductions concentriquesRéductions concentriques"/>
    <s v="2&quot; 1&quot;"/>
    <n v="4"/>
    <s v="RAS21"/>
    <m/>
    <m/>
    <n v="0"/>
    <m/>
    <m/>
    <m/>
    <m/>
    <m/>
    <m/>
    <n v="0"/>
    <m/>
    <m/>
    <m/>
    <m/>
    <n v="0"/>
    <n v="0"/>
    <n v="0"/>
    <n v="0"/>
    <n v="0"/>
    <n v="0"/>
    <n v="0"/>
  </r>
  <r>
    <x v="15"/>
    <x v="234"/>
    <s v="Réductions concentriques"/>
    <s v="Raccord Acier à souderRéductions concentriquesRéductions concentriques"/>
    <s v="2&quot; 1&quot;1/4"/>
    <n v="5"/>
    <s v="RAS2114"/>
    <m/>
    <m/>
    <n v="0"/>
    <m/>
    <m/>
    <m/>
    <m/>
    <m/>
    <m/>
    <n v="0"/>
    <m/>
    <m/>
    <m/>
    <m/>
    <n v="0"/>
    <n v="0"/>
    <n v="0"/>
    <n v="0"/>
    <n v="0"/>
    <n v="0"/>
    <n v="0"/>
  </r>
  <r>
    <x v="15"/>
    <x v="234"/>
    <s v="Réductions concentriques"/>
    <s v="Raccord Acier à souderRéductions concentriquesRéductions concentriques"/>
    <s v="3&quot;1&quot;1/2"/>
    <n v="6"/>
    <s v="RAS3112"/>
    <m/>
    <m/>
    <n v="0"/>
    <m/>
    <m/>
    <m/>
    <m/>
    <m/>
    <m/>
    <n v="0"/>
    <m/>
    <m/>
    <m/>
    <m/>
    <n v="0"/>
    <n v="0"/>
    <n v="0"/>
    <n v="0"/>
    <n v="0"/>
    <n v="0"/>
    <n v="0"/>
  </r>
  <r>
    <x v="15"/>
    <x v="234"/>
    <s v="Réductions concentriques"/>
    <s v="Raccord Acier à souderRéductions concentriquesRéductions concentriques"/>
    <s v="3&quot;2&quot;"/>
    <n v="7"/>
    <s v="RAS32"/>
    <m/>
    <m/>
    <n v="0"/>
    <m/>
    <m/>
    <m/>
    <m/>
    <m/>
    <m/>
    <n v="0"/>
    <m/>
    <m/>
    <m/>
    <m/>
    <n v="0"/>
    <n v="0"/>
    <n v="0"/>
    <n v="0"/>
    <n v="0"/>
    <n v="0"/>
    <n v="0"/>
  </r>
  <r>
    <x v="15"/>
    <x v="234"/>
    <s v="Réductions concentriques"/>
    <s v="Raccord Acier à souderRéductions concentriquesRéductions concentriques"/>
    <s v="3&quot;2&quot;1/2"/>
    <n v="8"/>
    <s v="RAS3212"/>
    <m/>
    <m/>
    <n v="0"/>
    <m/>
    <m/>
    <m/>
    <m/>
    <m/>
    <m/>
    <n v="0"/>
    <m/>
    <m/>
    <m/>
    <m/>
    <n v="0"/>
    <n v="0"/>
    <n v="0"/>
    <n v="0"/>
    <n v="0"/>
    <n v="0"/>
    <n v="0"/>
  </r>
  <r>
    <x v="15"/>
    <x v="234"/>
    <s v="Réductions concentriques"/>
    <s v="Raccord Acier à souderRéductions concentriquesRéductions concentriques"/>
    <s v="4&quot;2&quot;1/2"/>
    <n v="9"/>
    <s v="RAS4212"/>
    <m/>
    <m/>
    <n v="0"/>
    <m/>
    <m/>
    <m/>
    <m/>
    <m/>
    <m/>
    <n v="0"/>
    <m/>
    <m/>
    <m/>
    <m/>
    <n v="0"/>
    <n v="0"/>
    <n v="0"/>
    <n v="0"/>
    <n v="0"/>
    <n v="0"/>
    <n v="0"/>
  </r>
  <r>
    <x v="15"/>
    <x v="234"/>
    <s v="Réductions concentriques"/>
    <s v="Raccord Acier à souderRéductions concentriquesRéductions concentriques"/>
    <s v="4&quot; 3&quot;"/>
    <n v="10"/>
    <s v="RAS43"/>
    <m/>
    <m/>
    <n v="0"/>
    <m/>
    <m/>
    <m/>
    <m/>
    <m/>
    <m/>
    <n v="0"/>
    <m/>
    <m/>
    <m/>
    <m/>
    <n v="0"/>
    <n v="0"/>
    <n v="0"/>
    <n v="0"/>
    <n v="0"/>
    <n v="0"/>
    <n v="0"/>
  </r>
  <r>
    <x v="15"/>
    <x v="234"/>
    <s v="Réductions concentriques"/>
    <s v="Raccord Acier à souderRéductions concentriquesRéductions concentriques"/>
    <s v="5&quot; 3&quot;"/>
    <n v="11"/>
    <s v="RAS53"/>
    <m/>
    <m/>
    <n v="0"/>
    <m/>
    <m/>
    <m/>
    <m/>
    <m/>
    <m/>
    <n v="0"/>
    <m/>
    <m/>
    <m/>
    <m/>
    <n v="0"/>
    <n v="0"/>
    <n v="0"/>
    <n v="0"/>
    <n v="0"/>
    <n v="0"/>
    <n v="0"/>
  </r>
  <r>
    <x v="15"/>
    <x v="234"/>
    <s v="Réductions concentriques"/>
    <s v="Raccord Acier à souderRéductions concentriquesRéductions concentriques"/>
    <s v="5&quot; 4&quot;"/>
    <n v="12"/>
    <s v="RAS54"/>
    <m/>
    <m/>
    <n v="0"/>
    <m/>
    <m/>
    <m/>
    <m/>
    <m/>
    <m/>
    <n v="0"/>
    <m/>
    <m/>
    <m/>
    <m/>
    <n v="0"/>
    <n v="0"/>
    <n v="0"/>
    <n v="0"/>
    <n v="0"/>
    <n v="0"/>
    <n v="0"/>
  </r>
  <r>
    <x v="15"/>
    <x v="234"/>
    <s v="Réductions concentriques"/>
    <s v="Raccord Acier à souderRéductions concentriquesRéductions concentriques"/>
    <s v="6&quot; 2&quot;1/2"/>
    <n v="13"/>
    <s v="RAS6212"/>
    <m/>
    <m/>
    <n v="0"/>
    <m/>
    <m/>
    <m/>
    <m/>
    <m/>
    <m/>
    <n v="0"/>
    <m/>
    <m/>
    <m/>
    <m/>
    <n v="0"/>
    <n v="0"/>
    <n v="0"/>
    <n v="0"/>
    <n v="0"/>
    <n v="0"/>
    <n v="0"/>
  </r>
  <r>
    <x v="15"/>
    <x v="234"/>
    <s v="Réductions concentriques"/>
    <s v="Raccord Acier à souderRéductions concentriquesRéductions concentriques"/>
    <s v="6&quot; 3&quot;"/>
    <n v="14"/>
    <s v="RAS63"/>
    <m/>
    <m/>
    <n v="0"/>
    <m/>
    <m/>
    <m/>
    <m/>
    <m/>
    <m/>
    <n v="0"/>
    <m/>
    <m/>
    <m/>
    <m/>
    <n v="0"/>
    <n v="0"/>
    <n v="0"/>
    <n v="0"/>
    <n v="0"/>
    <n v="0"/>
    <n v="0"/>
  </r>
  <r>
    <x v="15"/>
    <x v="234"/>
    <s v="Réductions concentriques"/>
    <s v="Raccord Acier à souderRéductions concentriquesRéductions concentriques"/>
    <s v="6&quot; 4&quot;"/>
    <n v="15"/>
    <s v="RAS64"/>
    <m/>
    <m/>
    <n v="0"/>
    <m/>
    <m/>
    <m/>
    <m/>
    <m/>
    <m/>
    <n v="0"/>
    <m/>
    <m/>
    <m/>
    <m/>
    <n v="0"/>
    <n v="0"/>
    <n v="0"/>
    <n v="0"/>
    <n v="0"/>
    <n v="0"/>
    <n v="0"/>
  </r>
  <r>
    <x v="15"/>
    <x v="234"/>
    <s v="Réductions concentriques"/>
    <s v="Raccord Acier à souderRéductions concentriquesRéductions concentriques"/>
    <s v="6&quot; 5&quot;"/>
    <n v="16"/>
    <s v="RAS65"/>
    <m/>
    <m/>
    <n v="0"/>
    <m/>
    <m/>
    <m/>
    <m/>
    <m/>
    <m/>
    <n v="0"/>
    <m/>
    <m/>
    <m/>
    <m/>
    <n v="0"/>
    <n v="0"/>
    <n v="0"/>
    <n v="0"/>
    <n v="0"/>
    <n v="0"/>
    <n v="0"/>
  </r>
  <r>
    <x v="15"/>
    <x v="234"/>
    <s v="Réductions concentriques"/>
    <s v="Raccord Acier à souderRéductions concentriquesRéductions concentriques"/>
    <s v="8&quot;-6&quot;"/>
    <n v="17"/>
    <s v="RAS68"/>
    <m/>
    <m/>
    <n v="0"/>
    <m/>
    <m/>
    <m/>
    <m/>
    <m/>
    <m/>
    <n v="0"/>
    <m/>
    <m/>
    <m/>
    <m/>
    <n v="0"/>
    <n v="0"/>
    <n v="0"/>
    <n v="0"/>
    <n v="0"/>
    <n v="0"/>
    <n v="0"/>
  </r>
  <r>
    <x v="15"/>
    <x v="235"/>
    <s v="Tube T10 "/>
    <s v="Raccord Acier à souderTube T10 Tube T10 "/>
    <m/>
    <n v="0"/>
    <m/>
    <m/>
    <m/>
    <n v="0"/>
    <m/>
    <m/>
    <m/>
    <m/>
    <m/>
    <m/>
    <n v="0"/>
    <m/>
    <m/>
    <m/>
    <m/>
    <n v="0"/>
    <n v="0"/>
    <n v="0"/>
    <n v="0"/>
    <n v="0"/>
    <n v="0"/>
    <n v="0"/>
  </r>
  <r>
    <x v="15"/>
    <x v="235"/>
    <s v="Tube T10 "/>
    <s v="Raccord Acier à souderTube T10 Tube T10 "/>
    <s v="2&quot;1/2"/>
    <n v="1"/>
    <s v="T10NL212"/>
    <m/>
    <m/>
    <n v="0"/>
    <m/>
    <m/>
    <m/>
    <m/>
    <m/>
    <m/>
    <n v="0"/>
    <m/>
    <m/>
    <m/>
    <m/>
    <n v="0"/>
    <n v="0"/>
    <n v="0"/>
    <n v="0"/>
    <n v="0"/>
    <n v="0"/>
    <n v="0"/>
  </r>
  <r>
    <x v="15"/>
    <x v="235"/>
    <s v="Tube T10 "/>
    <s v="Raccord Acier à souderTube T10 Tube T10 "/>
    <s v="3&quot;"/>
    <n v="2"/>
    <s v="T10NL3"/>
    <m/>
    <m/>
    <n v="0"/>
    <m/>
    <m/>
    <m/>
    <m/>
    <m/>
    <m/>
    <n v="0"/>
    <m/>
    <m/>
    <m/>
    <m/>
    <n v="0"/>
    <n v="0"/>
    <n v="0"/>
    <n v="0"/>
    <n v="0"/>
    <n v="0"/>
    <n v="0"/>
  </r>
  <r>
    <x v="15"/>
    <x v="235"/>
    <s v="Tube T10 "/>
    <s v="Raccord Acier à souderTube T10 Tube T10 "/>
    <s v="4&quot;"/>
    <n v="3"/>
    <s v="T10NL4"/>
    <m/>
    <m/>
    <n v="0"/>
    <m/>
    <m/>
    <m/>
    <m/>
    <m/>
    <m/>
    <n v="0"/>
    <m/>
    <m/>
    <m/>
    <m/>
    <n v="0"/>
    <n v="0"/>
    <n v="0"/>
    <n v="0"/>
    <n v="0"/>
    <n v="0"/>
    <n v="0"/>
  </r>
  <r>
    <x v="15"/>
    <x v="235"/>
    <s v="Tube T10 "/>
    <s v="Raccord Acier à souderTube T10 Tube T10 "/>
    <s v="5&quot;"/>
    <n v="4"/>
    <s v="T10NL5"/>
    <m/>
    <m/>
    <n v="0"/>
    <m/>
    <m/>
    <m/>
    <m/>
    <m/>
    <m/>
    <n v="0"/>
    <m/>
    <m/>
    <m/>
    <m/>
    <n v="0"/>
    <n v="0"/>
    <n v="0"/>
    <n v="0"/>
    <n v="0"/>
    <n v="0"/>
    <n v="0"/>
  </r>
  <r>
    <x v="16"/>
    <x v="236"/>
    <s v="Adaptateur raccord tournant Male"/>
    <s v="RaccordsAdaptateur raccord tournant MaleAdaptateur raccord tournant Male"/>
    <m/>
    <n v="0"/>
    <m/>
    <m/>
    <m/>
    <n v="0"/>
    <m/>
    <m/>
    <m/>
    <m/>
    <m/>
    <m/>
    <n v="0"/>
    <m/>
    <m/>
    <m/>
    <m/>
    <n v="0"/>
    <n v="0"/>
    <n v="0"/>
    <n v="0"/>
    <n v="0"/>
    <n v="0"/>
    <n v="0"/>
  </r>
  <r>
    <x v="16"/>
    <x v="236"/>
    <s v="Adaptateur raccord tournant Male"/>
    <s v="RaccordsAdaptateur raccord tournant MaleAdaptateur raccord tournant Male"/>
    <s v="3/8&quot;"/>
    <n v="1"/>
    <s v="G110-06-06"/>
    <m/>
    <m/>
    <n v="0"/>
    <m/>
    <m/>
    <m/>
    <m/>
    <m/>
    <m/>
    <n v="0"/>
    <m/>
    <m/>
    <m/>
    <m/>
    <n v="0"/>
    <n v="0"/>
    <n v="0"/>
    <n v="0"/>
    <n v="0"/>
    <n v="0"/>
    <n v="0"/>
  </r>
  <r>
    <x v="16"/>
    <x v="236"/>
    <s v="Adaptateur raccord tournant Male"/>
    <s v="RaccordsAdaptateur raccord tournant MaleAdaptateur raccord tournant Male"/>
    <s v="1/2&quot;"/>
    <n v="2"/>
    <s v="G110-06-08"/>
    <m/>
    <m/>
    <n v="0"/>
    <m/>
    <m/>
    <m/>
    <m/>
    <m/>
    <m/>
    <n v="0"/>
    <m/>
    <m/>
    <m/>
    <m/>
    <n v="0"/>
    <n v="0"/>
    <n v="0"/>
    <n v="0"/>
    <n v="0"/>
    <n v="0"/>
    <n v="0"/>
  </r>
  <r>
    <x v="16"/>
    <x v="237"/>
    <s v="Bicones"/>
    <s v="RaccordsBiconesBicones"/>
    <m/>
    <n v="0"/>
    <m/>
    <m/>
    <m/>
    <n v="0"/>
    <m/>
    <m/>
    <m/>
    <m/>
    <m/>
    <m/>
    <n v="0"/>
    <m/>
    <m/>
    <m/>
    <m/>
    <n v="0"/>
    <n v="0"/>
    <n v="0"/>
    <n v="0"/>
    <n v="0"/>
    <n v="0"/>
    <n v="0"/>
  </r>
  <r>
    <x v="16"/>
    <x v="237"/>
    <s v="Bicones coudés"/>
    <s v="RaccordsBiconesBicones coudés"/>
    <s v=" 1/8-6"/>
    <n v="1"/>
    <s v="ROCM18D06"/>
    <m/>
    <m/>
    <n v="0"/>
    <m/>
    <m/>
    <m/>
    <m/>
    <m/>
    <m/>
    <n v="0"/>
    <m/>
    <m/>
    <m/>
    <m/>
    <n v="0"/>
    <n v="0"/>
    <n v="0"/>
    <n v="0"/>
    <n v="0"/>
    <n v="0"/>
    <n v="0"/>
  </r>
  <r>
    <x v="16"/>
    <x v="237"/>
    <s v="Bicones coudés"/>
    <s v="RaccordsBiconesBicones coudés"/>
    <s v=" 1/8-8"/>
    <n v="2"/>
    <s v="ROCM18D08"/>
    <m/>
    <m/>
    <n v="0"/>
    <m/>
    <m/>
    <m/>
    <m/>
    <m/>
    <m/>
    <n v="0"/>
    <m/>
    <m/>
    <m/>
    <m/>
    <n v="0"/>
    <n v="0"/>
    <n v="0"/>
    <n v="0"/>
    <n v="0"/>
    <n v="0"/>
    <n v="0"/>
  </r>
  <r>
    <x v="16"/>
    <x v="237"/>
    <s v="Bicones coudés"/>
    <s v="RaccordsBiconesBicones coudés"/>
    <s v=" 1/4-6"/>
    <n v="3"/>
    <s v="ROCM14D06"/>
    <m/>
    <m/>
    <n v="0"/>
    <m/>
    <m/>
    <m/>
    <m/>
    <m/>
    <m/>
    <n v="0"/>
    <m/>
    <m/>
    <m/>
    <m/>
    <n v="0"/>
    <n v="0"/>
    <n v="0"/>
    <n v="0"/>
    <n v="0"/>
    <n v="0"/>
    <n v="0"/>
  </r>
  <r>
    <x v="16"/>
    <x v="237"/>
    <s v="Bicones coudés"/>
    <s v="RaccordsBiconesBicones coudés"/>
    <s v=" 1/4-8"/>
    <n v="4"/>
    <s v="ROCM14D08"/>
    <m/>
    <m/>
    <n v="0"/>
    <m/>
    <m/>
    <m/>
    <m/>
    <m/>
    <m/>
    <n v="0"/>
    <m/>
    <m/>
    <m/>
    <m/>
    <n v="0"/>
    <n v="0"/>
    <n v="0"/>
    <n v="0"/>
    <n v="0"/>
    <n v="0"/>
    <n v="0"/>
  </r>
  <r>
    <x v="16"/>
    <x v="237"/>
    <s v="Bicones coudés"/>
    <s v="RaccordsBiconesBicones coudés"/>
    <s v=" 1/4-10"/>
    <n v="5"/>
    <s v="ROCM14D10"/>
    <m/>
    <m/>
    <n v="0"/>
    <m/>
    <m/>
    <m/>
    <m/>
    <m/>
    <m/>
    <n v="0"/>
    <m/>
    <m/>
    <m/>
    <m/>
    <n v="0"/>
    <n v="0"/>
    <n v="0"/>
    <n v="0"/>
    <n v="0"/>
    <n v="0"/>
    <n v="0"/>
  </r>
  <r>
    <x v="16"/>
    <x v="237"/>
    <s v="Bicones coudés"/>
    <s v="RaccordsBiconesBicones coudés"/>
    <s v="1/4 12"/>
    <n v="6"/>
    <s v="ROCM14D12"/>
    <m/>
    <m/>
    <n v="0"/>
    <m/>
    <m/>
    <m/>
    <m/>
    <m/>
    <m/>
    <n v="0"/>
    <m/>
    <m/>
    <m/>
    <m/>
    <n v="0"/>
    <n v="0"/>
    <n v="0"/>
    <n v="0"/>
    <n v="0"/>
    <n v="0"/>
    <n v="0"/>
  </r>
  <r>
    <x v="16"/>
    <x v="237"/>
    <s v="Bicones coudés"/>
    <s v="RaccordsBiconesBicones coudés"/>
    <s v=" 3/8-8"/>
    <n v="7"/>
    <s v="ROCM38D08"/>
    <m/>
    <m/>
    <n v="0"/>
    <m/>
    <m/>
    <m/>
    <m/>
    <m/>
    <m/>
    <n v="0"/>
    <m/>
    <m/>
    <m/>
    <m/>
    <n v="0"/>
    <n v="0"/>
    <n v="0"/>
    <n v="0"/>
    <n v="0"/>
    <n v="0"/>
    <n v="0"/>
  </r>
  <r>
    <x v="16"/>
    <x v="237"/>
    <s v="Bicones coudés"/>
    <s v="RaccordsBiconesBicones coudés"/>
    <s v=" 3/8-10"/>
    <n v="8"/>
    <s v="ROCM38D10"/>
    <m/>
    <m/>
    <n v="0"/>
    <m/>
    <m/>
    <m/>
    <m/>
    <m/>
    <m/>
    <n v="0"/>
    <m/>
    <m/>
    <m/>
    <m/>
    <n v="0"/>
    <n v="0"/>
    <n v="0"/>
    <n v="0"/>
    <n v="0"/>
    <n v="0"/>
    <n v="0"/>
  </r>
  <r>
    <x v="16"/>
    <x v="237"/>
    <s v="Bicones coudés"/>
    <s v="RaccordsBiconesBicones coudés"/>
    <s v=" 3/8-12"/>
    <n v="9"/>
    <s v="ROCM38D12"/>
    <m/>
    <m/>
    <n v="0"/>
    <m/>
    <m/>
    <m/>
    <m/>
    <m/>
    <m/>
    <n v="0"/>
    <m/>
    <m/>
    <m/>
    <m/>
    <n v="0"/>
    <n v="0"/>
    <n v="0"/>
    <n v="0"/>
    <n v="0"/>
    <n v="0"/>
    <n v="0"/>
  </r>
  <r>
    <x v="16"/>
    <x v="237"/>
    <s v="Bicones coudés"/>
    <s v="RaccordsBiconesBicones coudés"/>
    <s v=" 1/2-12"/>
    <n v="10"/>
    <s v="ROCM12D12"/>
    <m/>
    <m/>
    <n v="0"/>
    <m/>
    <m/>
    <m/>
    <m/>
    <m/>
    <m/>
    <n v="0"/>
    <m/>
    <m/>
    <m/>
    <m/>
    <n v="0"/>
    <n v="0"/>
    <n v="0"/>
    <n v="0"/>
    <n v="0"/>
    <n v="0"/>
    <n v="0"/>
  </r>
  <r>
    <x v="16"/>
    <x v="237"/>
    <s v="Bicones doubles"/>
    <s v="RaccordsBiconesBicones doubles"/>
    <n v="4"/>
    <n v="12"/>
    <s v="ROUD04"/>
    <m/>
    <m/>
    <n v="0"/>
    <m/>
    <m/>
    <m/>
    <m/>
    <m/>
    <m/>
    <n v="0"/>
    <m/>
    <m/>
    <m/>
    <m/>
    <n v="0"/>
    <n v="0"/>
    <n v="0"/>
    <n v="0"/>
    <n v="0"/>
    <n v="0"/>
    <n v="0"/>
  </r>
  <r>
    <x v="16"/>
    <x v="237"/>
    <s v="Bicones doubles"/>
    <s v="RaccordsBiconesBicones doubles"/>
    <n v="6"/>
    <n v="13"/>
    <s v="ROUD06"/>
    <m/>
    <m/>
    <n v="0"/>
    <m/>
    <m/>
    <m/>
    <m/>
    <m/>
    <m/>
    <n v="0"/>
    <m/>
    <m/>
    <m/>
    <m/>
    <n v="0"/>
    <n v="0"/>
    <n v="0"/>
    <n v="0"/>
    <n v="0"/>
    <n v="0"/>
    <n v="0"/>
  </r>
  <r>
    <x v="16"/>
    <x v="237"/>
    <s v="Bicones doubles"/>
    <s v="RaccordsBiconesBicones doubles"/>
    <n v="8"/>
    <n v="14"/>
    <s v="ROUD08"/>
    <m/>
    <m/>
    <n v="0"/>
    <m/>
    <m/>
    <m/>
    <m/>
    <m/>
    <m/>
    <n v="0"/>
    <m/>
    <m/>
    <m/>
    <m/>
    <n v="0"/>
    <n v="0"/>
    <n v="0"/>
    <n v="0"/>
    <n v="0"/>
    <n v="0"/>
    <n v="0"/>
  </r>
  <r>
    <x v="16"/>
    <x v="237"/>
    <s v="Bicones doubles"/>
    <s v="RaccordsBiconesBicones doubles"/>
    <n v="10"/>
    <n v="15"/>
    <s v="ROUD10"/>
    <m/>
    <m/>
    <n v="0"/>
    <m/>
    <m/>
    <m/>
    <m/>
    <m/>
    <m/>
    <n v="0"/>
    <m/>
    <m/>
    <m/>
    <m/>
    <n v="0"/>
    <n v="0"/>
    <n v="0"/>
    <n v="0"/>
    <n v="0"/>
    <n v="0"/>
    <n v="0"/>
  </r>
  <r>
    <x v="16"/>
    <x v="237"/>
    <s v="Bicones doubles"/>
    <s v="RaccordsBiconesBicones doubles"/>
    <n v="12"/>
    <n v="16"/>
    <s v="ROUD12"/>
    <m/>
    <m/>
    <n v="0"/>
    <m/>
    <m/>
    <m/>
    <m/>
    <m/>
    <m/>
    <n v="0"/>
    <m/>
    <m/>
    <m/>
    <m/>
    <n v="0"/>
    <n v="0"/>
    <n v="0"/>
    <n v="0"/>
    <n v="0"/>
    <n v="0"/>
    <n v="0"/>
  </r>
  <r>
    <x v="16"/>
    <x v="237"/>
    <s v="Bicones droits"/>
    <s v="RaccordsBiconesBicones droits"/>
    <s v=" 1/8-6"/>
    <n v="18"/>
    <s v="RODM18D08"/>
    <m/>
    <m/>
    <n v="0"/>
    <m/>
    <m/>
    <m/>
    <m/>
    <m/>
    <m/>
    <n v="0"/>
    <m/>
    <m/>
    <m/>
    <m/>
    <n v="0"/>
    <n v="0"/>
    <n v="0"/>
    <n v="0"/>
    <n v="0"/>
    <n v="0"/>
    <n v="0"/>
  </r>
  <r>
    <x v="16"/>
    <x v="237"/>
    <s v="Bicones droits"/>
    <s v="RaccordsBiconesBicones droits"/>
    <s v=" 1/4-6"/>
    <n v="19"/>
    <s v="RODM14D06"/>
    <m/>
    <m/>
    <n v="0"/>
    <m/>
    <m/>
    <m/>
    <m/>
    <m/>
    <m/>
    <n v="0"/>
    <m/>
    <m/>
    <m/>
    <m/>
    <n v="0"/>
    <n v="0"/>
    <n v="0"/>
    <n v="0"/>
    <n v="0"/>
    <n v="0"/>
    <n v="0"/>
  </r>
  <r>
    <x v="16"/>
    <x v="237"/>
    <s v="Bicones droits"/>
    <s v="RaccordsBiconesBicones droits"/>
    <s v=" 1/4-8"/>
    <n v="20"/>
    <s v="RODM14D08"/>
    <m/>
    <m/>
    <n v="0"/>
    <m/>
    <m/>
    <m/>
    <m/>
    <m/>
    <m/>
    <n v="0"/>
    <m/>
    <m/>
    <m/>
    <m/>
    <n v="0"/>
    <n v="0"/>
    <n v="0"/>
    <n v="0"/>
    <n v="0"/>
    <n v="0"/>
    <n v="0"/>
  </r>
  <r>
    <x v="16"/>
    <x v="237"/>
    <s v="Bicones droits"/>
    <s v="RaccordsBiconesBicones droits"/>
    <s v=" 1/4-10"/>
    <n v="21"/>
    <s v="RODM14D10"/>
    <m/>
    <m/>
    <n v="0"/>
    <m/>
    <m/>
    <m/>
    <m/>
    <m/>
    <m/>
    <n v="0"/>
    <m/>
    <m/>
    <m/>
    <m/>
    <n v="0"/>
    <n v="0"/>
    <n v="0"/>
    <n v="0"/>
    <n v="0"/>
    <n v="0"/>
    <n v="0"/>
  </r>
  <r>
    <x v="16"/>
    <x v="237"/>
    <s v="Bicones droits"/>
    <s v="RaccordsBiconesBicones droits"/>
    <s v=" 3/8-8"/>
    <n v="22"/>
    <s v="RODM38D08"/>
    <m/>
    <m/>
    <n v="0"/>
    <m/>
    <m/>
    <m/>
    <m/>
    <m/>
    <m/>
    <n v="0"/>
    <m/>
    <m/>
    <m/>
    <m/>
    <n v="0"/>
    <n v="0"/>
    <n v="0"/>
    <n v="0"/>
    <n v="0"/>
    <n v="0"/>
    <n v="0"/>
  </r>
  <r>
    <x v="16"/>
    <x v="237"/>
    <s v="Bicones droits"/>
    <s v="RaccordsBiconesBicones droits"/>
    <s v=" 3/8-10"/>
    <n v="23"/>
    <s v="RODM38D10"/>
    <m/>
    <m/>
    <n v="0"/>
    <m/>
    <m/>
    <m/>
    <m/>
    <m/>
    <m/>
    <n v="0"/>
    <m/>
    <m/>
    <m/>
    <m/>
    <n v="0"/>
    <n v="0"/>
    <n v="0"/>
    <n v="0"/>
    <n v="0"/>
    <n v="0"/>
    <n v="0"/>
  </r>
  <r>
    <x v="16"/>
    <x v="237"/>
    <s v="Bicones droits"/>
    <s v="RaccordsBiconesBicones droits"/>
    <s v=" 3/8-12"/>
    <n v="24"/>
    <s v="RODM38D12"/>
    <m/>
    <m/>
    <n v="0"/>
    <m/>
    <m/>
    <m/>
    <m/>
    <m/>
    <m/>
    <n v="0"/>
    <m/>
    <m/>
    <m/>
    <m/>
    <n v="0"/>
    <n v="0"/>
    <n v="0"/>
    <n v="0"/>
    <n v="0"/>
    <n v="0"/>
    <n v="0"/>
  </r>
  <r>
    <x v="16"/>
    <x v="237"/>
    <s v="Bicones droits"/>
    <s v="RaccordsBiconesBicones droits"/>
    <s v=" 1/2-10"/>
    <n v="25"/>
    <s v="RODM12D10"/>
    <m/>
    <m/>
    <n v="0"/>
    <m/>
    <m/>
    <m/>
    <m/>
    <m/>
    <m/>
    <n v="0"/>
    <m/>
    <m/>
    <m/>
    <m/>
    <n v="0"/>
    <n v="0"/>
    <n v="0"/>
    <n v="0"/>
    <n v="0"/>
    <n v="0"/>
    <n v="0"/>
  </r>
  <r>
    <x v="16"/>
    <x v="237"/>
    <s v="Bicones droits"/>
    <s v="RaccordsBiconesBicones droits"/>
    <s v=" 1/2-12"/>
    <n v="26"/>
    <s v="RODM12D12"/>
    <m/>
    <m/>
    <n v="0"/>
    <m/>
    <m/>
    <m/>
    <m/>
    <m/>
    <m/>
    <n v="0"/>
    <m/>
    <m/>
    <m/>
    <m/>
    <n v="0"/>
    <n v="0"/>
    <n v="0"/>
    <n v="0"/>
    <n v="0"/>
    <n v="0"/>
    <n v="0"/>
  </r>
  <r>
    <x v="16"/>
    <x v="238"/>
    <s v="Cannelés filetés Flexible Hydraulique"/>
    <s v="RaccordsCannelés filetésCannelés filetés Flexible Hydraulique"/>
    <m/>
    <n v="0"/>
    <m/>
    <m/>
    <m/>
    <n v="0"/>
    <m/>
    <m/>
    <m/>
    <m/>
    <m/>
    <m/>
    <n v="0"/>
    <m/>
    <m/>
    <m/>
    <m/>
    <n v="0"/>
    <n v="0"/>
    <n v="0"/>
    <n v="0"/>
    <n v="0"/>
    <n v="0"/>
    <n v="0"/>
  </r>
  <r>
    <x v="16"/>
    <x v="238"/>
    <s v="Flexible Hydraulique"/>
    <s v="RaccordsCannelés filetésFlexible Hydraulique"/>
    <s v=" 1/4-8"/>
    <n v="1"/>
    <s v="900-0223"/>
    <s v="ETN"/>
    <m/>
    <n v="0"/>
    <m/>
    <m/>
    <m/>
    <m/>
    <m/>
    <m/>
    <n v="0"/>
    <m/>
    <m/>
    <m/>
    <m/>
    <n v="0"/>
    <n v="0"/>
    <n v="0"/>
    <n v="0"/>
    <n v="0"/>
    <n v="0"/>
    <n v="0"/>
  </r>
  <r>
    <x v="16"/>
    <x v="238"/>
    <s v="Flexible Hydraulique"/>
    <s v="RaccordsCannelés filetésFlexible Hydraulique"/>
    <s v=" 1/4-10"/>
    <n v="2"/>
    <s v="900-0224"/>
    <s v="ETN"/>
    <m/>
    <n v="0"/>
    <m/>
    <m/>
    <m/>
    <m/>
    <m/>
    <m/>
    <n v="0"/>
    <m/>
    <m/>
    <m/>
    <m/>
    <n v="0"/>
    <n v="0"/>
    <n v="0"/>
    <n v="0"/>
    <n v="0"/>
    <n v="0"/>
    <n v="0"/>
  </r>
  <r>
    <x v="16"/>
    <x v="238"/>
    <s v="Flexible Hydraulique"/>
    <s v="RaccordsCannelés filetésFlexible Hydraulique"/>
    <s v=" 1/4-13"/>
    <n v="3"/>
    <s v="900-0225"/>
    <s v="ETN"/>
    <m/>
    <n v="0"/>
    <m/>
    <m/>
    <m/>
    <m/>
    <m/>
    <m/>
    <n v="0"/>
    <m/>
    <m/>
    <m/>
    <m/>
    <n v="0"/>
    <n v="0"/>
    <n v="0"/>
    <n v="0"/>
    <n v="0"/>
    <n v="0"/>
    <n v="0"/>
  </r>
  <r>
    <x v="16"/>
    <x v="238"/>
    <s v="Flexible Hydraulique"/>
    <s v="RaccordsCannelés filetésFlexible Hydraulique"/>
    <s v=" 3/8-8"/>
    <n v="4"/>
    <s v="900-0233"/>
    <s v="ETN"/>
    <m/>
    <n v="0"/>
    <m/>
    <m/>
    <m/>
    <m/>
    <m/>
    <m/>
    <n v="0"/>
    <m/>
    <m/>
    <m/>
    <m/>
    <n v="0"/>
    <n v="0"/>
    <n v="0"/>
    <n v="0"/>
    <n v="0"/>
    <n v="0"/>
    <n v="0"/>
  </r>
  <r>
    <x v="16"/>
    <x v="238"/>
    <s v="Flexible Hydraulique"/>
    <s v="RaccordsCannelés filetésFlexible Hydraulique"/>
    <s v=" 3/8-10"/>
    <n v="5"/>
    <s v="900-0234"/>
    <s v="ETN"/>
    <m/>
    <n v="0"/>
    <m/>
    <m/>
    <m/>
    <m/>
    <m/>
    <m/>
    <n v="0"/>
    <m/>
    <m/>
    <m/>
    <m/>
    <n v="0"/>
    <n v="0"/>
    <n v="0"/>
    <n v="0"/>
    <n v="0"/>
    <n v="0"/>
    <n v="0"/>
  </r>
  <r>
    <x v="16"/>
    <x v="238"/>
    <s v="Flexible Hydraulique"/>
    <s v="RaccordsCannelés filetésFlexible Hydraulique"/>
    <s v=" 3/8-13"/>
    <n v="6"/>
    <s v="900-0235"/>
    <s v="ETN"/>
    <m/>
    <n v="0"/>
    <m/>
    <m/>
    <m/>
    <m/>
    <m/>
    <m/>
    <n v="0"/>
    <m/>
    <m/>
    <m/>
    <m/>
    <n v="0"/>
    <n v="0"/>
    <n v="0"/>
    <n v="0"/>
    <n v="0"/>
    <n v="0"/>
    <n v="0"/>
  </r>
  <r>
    <x v="16"/>
    <x v="238"/>
    <s v="Flexible Hydraulique"/>
    <s v="RaccordsCannelés filetésFlexible Hydraulique"/>
    <s v=" 1/2-10"/>
    <n v="7"/>
    <s v="900-0244"/>
    <s v="ETN"/>
    <m/>
    <n v="0"/>
    <m/>
    <m/>
    <m/>
    <m/>
    <m/>
    <m/>
    <n v="0"/>
    <m/>
    <m/>
    <m/>
    <m/>
    <n v="0"/>
    <n v="0"/>
    <n v="0"/>
    <n v="0"/>
    <n v="0"/>
    <n v="0"/>
    <n v="0"/>
  </r>
  <r>
    <x v="16"/>
    <x v="238"/>
    <s v="Flexible Hydraulique"/>
    <s v="RaccordsCannelés filetésFlexible Hydraulique"/>
    <s v=" 1/2-13"/>
    <n v="8"/>
    <s v="900-0245"/>
    <s v="ETN"/>
    <m/>
    <n v="0"/>
    <m/>
    <m/>
    <m/>
    <m/>
    <m/>
    <m/>
    <n v="0"/>
    <m/>
    <m/>
    <m/>
    <m/>
    <n v="0"/>
    <n v="0"/>
    <n v="0"/>
    <n v="0"/>
    <n v="0"/>
    <n v="0"/>
    <n v="0"/>
  </r>
  <r>
    <x v="16"/>
    <x v="238"/>
    <s v="Flexible Hydraulique"/>
    <s v="RaccordsCannelés filetésFlexible Hydraulique"/>
    <s v=" 1/2-16"/>
    <n v="9"/>
    <s v="900-0246"/>
    <s v="ETN"/>
    <m/>
    <n v="0"/>
    <m/>
    <m/>
    <m/>
    <m/>
    <m/>
    <m/>
    <n v="0"/>
    <m/>
    <m/>
    <m/>
    <m/>
    <n v="0"/>
    <n v="0"/>
    <n v="0"/>
    <n v="0"/>
    <n v="0"/>
    <n v="0"/>
    <n v="0"/>
  </r>
  <r>
    <x v="16"/>
    <x v="238"/>
    <s v="Flexible Hydraulique"/>
    <s v="RaccordsCannelés filetésFlexible Hydraulique"/>
    <s v=" 1/2-19"/>
    <n v="10"/>
    <s v="900-0247"/>
    <s v="ETN"/>
    <m/>
    <n v="0"/>
    <m/>
    <m/>
    <m/>
    <m/>
    <m/>
    <m/>
    <n v="0"/>
    <m/>
    <m/>
    <m/>
    <m/>
    <n v="0"/>
    <n v="0"/>
    <n v="0"/>
    <n v="0"/>
    <n v="0"/>
    <n v="0"/>
    <n v="0"/>
  </r>
  <r>
    <x v="16"/>
    <x v="238"/>
    <s v="Flexible Hydraulique"/>
    <s v="RaccordsCannelés filetésFlexible Hydraulique"/>
    <s v="3/4 19"/>
    <n v="11"/>
    <s v="900-0257"/>
    <s v="ETN"/>
    <m/>
    <n v="0"/>
    <m/>
    <m/>
    <m/>
    <m/>
    <m/>
    <m/>
    <n v="0"/>
    <m/>
    <m/>
    <m/>
    <m/>
    <n v="0"/>
    <n v="0"/>
    <n v="0"/>
    <n v="0"/>
    <n v="0"/>
    <n v="0"/>
    <n v="0"/>
  </r>
  <r>
    <x v="16"/>
    <x v="238"/>
    <s v="Flexible Hydraulique"/>
    <s v="RaccordsCannelés filetésFlexible Hydraulique"/>
    <s v=" 3/4-25"/>
    <n v="12"/>
    <s v="900-0258B"/>
    <s v="ETN"/>
    <m/>
    <n v="0"/>
    <m/>
    <m/>
    <m/>
    <m/>
    <m/>
    <m/>
    <n v="0"/>
    <m/>
    <m/>
    <m/>
    <m/>
    <n v="0"/>
    <n v="0"/>
    <n v="0"/>
    <n v="0"/>
    <n v="0"/>
    <n v="0"/>
    <n v="0"/>
  </r>
  <r>
    <x v="16"/>
    <x v="238"/>
    <s v="Flexible Hydraulique"/>
    <s v="RaccordsCannelés filetésFlexible Hydraulique"/>
    <s v="1&quot;-25"/>
    <n v="13"/>
    <s v="900-0258"/>
    <s v="ETN"/>
    <m/>
    <n v="0"/>
    <m/>
    <m/>
    <m/>
    <m/>
    <m/>
    <m/>
    <n v="0"/>
    <m/>
    <m/>
    <m/>
    <m/>
    <n v="0"/>
    <n v="0"/>
    <n v="0"/>
    <n v="0"/>
    <n v="0"/>
    <n v="0"/>
    <n v="0"/>
  </r>
  <r>
    <x v="16"/>
    <x v="238"/>
    <s v="Cannelés filetés Flexible Tricoclair"/>
    <s v="RaccordsCannelés filetésCannelés filetés Flexible Tricoclair"/>
    <m/>
    <n v="0"/>
    <m/>
    <m/>
    <m/>
    <n v="0"/>
    <m/>
    <m/>
    <m/>
    <m/>
    <m/>
    <m/>
    <n v="0"/>
    <m/>
    <m/>
    <m/>
    <m/>
    <n v="0"/>
    <n v="0"/>
    <n v="0"/>
    <n v="0"/>
    <n v="0"/>
    <n v="0"/>
    <n v="0"/>
  </r>
  <r>
    <x v="16"/>
    <x v="238"/>
    <s v="Pour flexible Tricoclair"/>
    <s v="RaccordsCannelés filetésPour flexible Tricoclair"/>
    <s v="1/8&quot;M - Flexible Dint 9"/>
    <n v="1"/>
    <n v="304088"/>
    <s v="Senga"/>
    <n v="304088"/>
    <n v="0"/>
    <m/>
    <m/>
    <m/>
    <m/>
    <m/>
    <m/>
    <n v="0"/>
    <m/>
    <m/>
    <m/>
    <m/>
    <n v="0"/>
    <n v="0"/>
    <n v="0"/>
    <n v="0"/>
    <n v="0"/>
    <n v="0"/>
    <n v="0"/>
  </r>
  <r>
    <x v="16"/>
    <x v="238"/>
    <s v="Pour flexible Tricoclair"/>
    <s v="RaccordsCannelés filetésPour flexible Tricoclair"/>
    <s v="1/4&quot;M - Flexible Dint 7"/>
    <n v="2"/>
    <n v="304046"/>
    <s v="Senga"/>
    <n v="304046"/>
    <n v="0"/>
    <m/>
    <m/>
    <m/>
    <m/>
    <m/>
    <m/>
    <n v="0"/>
    <m/>
    <m/>
    <m/>
    <m/>
    <n v="0"/>
    <n v="0"/>
    <n v="0"/>
    <n v="0"/>
    <n v="0"/>
    <n v="0"/>
    <n v="0"/>
  </r>
  <r>
    <x v="16"/>
    <x v="238"/>
    <s v="Pour flexible Tricoclair"/>
    <s v="RaccordsCannelés filetésPour flexible Tricoclair"/>
    <s v="1/4&quot;M Long - Flexible Dint 9"/>
    <n v="3"/>
    <n v="304049"/>
    <s v="Senga"/>
    <n v="304049"/>
    <n v="0"/>
    <m/>
    <m/>
    <m/>
    <m/>
    <m/>
    <m/>
    <n v="0"/>
    <m/>
    <m/>
    <m/>
    <m/>
    <n v="0"/>
    <n v="0"/>
    <n v="0"/>
    <n v="0"/>
    <n v="0"/>
    <n v="0"/>
    <n v="0"/>
  </r>
  <r>
    <x v="16"/>
    <x v="238"/>
    <s v="Pour flexible Tricoclair"/>
    <s v="RaccordsCannelés filetésPour flexible Tricoclair"/>
    <s v="1/4&quot;M - Flexible Dint 11,5"/>
    <n v="4"/>
    <n v="304043"/>
    <s v="Senga"/>
    <n v="304043"/>
    <n v="0"/>
    <m/>
    <m/>
    <m/>
    <m/>
    <m/>
    <m/>
    <n v="0"/>
    <m/>
    <m/>
    <m/>
    <m/>
    <n v="0"/>
    <n v="0"/>
    <n v="0"/>
    <n v="0"/>
    <n v="0"/>
    <n v="0"/>
    <n v="0"/>
  </r>
  <r>
    <x v="16"/>
    <x v="238"/>
    <s v="Pour flexible Tricoclair"/>
    <s v="RaccordsCannelés filetésPour flexible Tricoclair"/>
    <s v="1/4&quot;M - Flexible Dint 12"/>
    <n v="5"/>
    <n v="304042"/>
    <s v="Senga"/>
    <n v="304042"/>
    <n v="0"/>
    <m/>
    <m/>
    <m/>
    <m/>
    <m/>
    <m/>
    <n v="0"/>
    <m/>
    <m/>
    <m/>
    <m/>
    <n v="0"/>
    <n v="0"/>
    <n v="0"/>
    <n v="0"/>
    <n v="0"/>
    <n v="0"/>
    <n v="0"/>
  </r>
  <r>
    <x v="16"/>
    <x v="238"/>
    <s v="Pour flexible Tricoclair"/>
    <s v="RaccordsCannelés filetésPour flexible Tricoclair"/>
    <s v="3/8&quot;M - Flexible Dint 9"/>
    <n v="6"/>
    <n v="304039"/>
    <s v="Senga"/>
    <n v="304039"/>
    <n v="0"/>
    <m/>
    <m/>
    <m/>
    <m/>
    <m/>
    <m/>
    <n v="0"/>
    <m/>
    <m/>
    <m/>
    <m/>
    <n v="0"/>
    <n v="0"/>
    <n v="0"/>
    <n v="0"/>
    <n v="0"/>
    <n v="0"/>
    <n v="0"/>
  </r>
  <r>
    <x v="16"/>
    <x v="238"/>
    <s v="Pour flexible Tricoclair"/>
    <s v="RaccordsCannelés filetésPour flexible Tricoclair"/>
    <s v="3/8&quot;M - Flexible Dint 10"/>
    <n v="7"/>
    <n v="304031"/>
    <s v="Senga"/>
    <n v="304031"/>
    <n v="0"/>
    <m/>
    <m/>
    <m/>
    <m/>
    <m/>
    <m/>
    <n v="0"/>
    <m/>
    <m/>
    <m/>
    <m/>
    <n v="0"/>
    <n v="0"/>
    <n v="0"/>
    <n v="0"/>
    <n v="0"/>
    <n v="0"/>
    <n v="0"/>
  </r>
  <r>
    <x v="16"/>
    <x v="238"/>
    <s v="Pour flexible Tricoclair"/>
    <s v="RaccordsCannelés filetésPour flexible Tricoclair"/>
    <s v="3/8&quot;M - Flexible Dint 12"/>
    <n v="8"/>
    <n v="304033"/>
    <s v="Senga"/>
    <n v="304033"/>
    <n v="0"/>
    <m/>
    <m/>
    <m/>
    <m/>
    <m/>
    <m/>
    <n v="0"/>
    <m/>
    <m/>
    <m/>
    <m/>
    <n v="0"/>
    <n v="0"/>
    <n v="0"/>
    <n v="0"/>
    <n v="0"/>
    <n v="0"/>
    <n v="0"/>
  </r>
  <r>
    <x v="16"/>
    <x v="238"/>
    <s v="Pour flexible Tricoclair"/>
    <s v="RaccordsCannelés filetésPour flexible Tricoclair"/>
    <s v="3/8&quot;M - Flexible Dint 13,5"/>
    <n v="9"/>
    <n v="304034"/>
    <s v="Senga"/>
    <n v="304034"/>
    <n v="0"/>
    <m/>
    <m/>
    <m/>
    <m/>
    <m/>
    <m/>
    <n v="0"/>
    <m/>
    <m/>
    <m/>
    <m/>
    <n v="0"/>
    <n v="0"/>
    <n v="0"/>
    <n v="0"/>
    <n v="0"/>
    <n v="0"/>
    <n v="0"/>
  </r>
  <r>
    <x v="16"/>
    <x v="238"/>
    <s v="Pour flexible Tricoclair"/>
    <s v="RaccordsCannelés filetésPour flexible Tricoclair"/>
    <s v="3/8&quot;M - Flexible Dint 14"/>
    <n v="10"/>
    <n v="304032"/>
    <s v="Senga"/>
    <n v="304032"/>
    <n v="0"/>
    <m/>
    <m/>
    <m/>
    <m/>
    <m/>
    <m/>
    <n v="0"/>
    <m/>
    <m/>
    <m/>
    <m/>
    <n v="0"/>
    <n v="0"/>
    <n v="0"/>
    <n v="0"/>
    <n v="0"/>
    <n v="0"/>
    <n v="0"/>
  </r>
  <r>
    <x v="16"/>
    <x v="238"/>
    <s v="Pour flexible Tricoclair"/>
    <s v="RaccordsCannelés filetésPour flexible Tricoclair"/>
    <s v="3/8&quot;M - Flexible Dint 17"/>
    <n v="11"/>
    <n v="304035"/>
    <s v="Senga"/>
    <n v="304035"/>
    <n v="0"/>
    <m/>
    <m/>
    <m/>
    <m/>
    <m/>
    <m/>
    <n v="0"/>
    <m/>
    <m/>
    <m/>
    <m/>
    <n v="0"/>
    <n v="0"/>
    <n v="0"/>
    <n v="0"/>
    <n v="0"/>
    <n v="0"/>
    <n v="0"/>
  </r>
  <r>
    <x v="16"/>
    <x v="238"/>
    <s v="Pour flexible Tricoclair"/>
    <s v="RaccordsCannelés filetésPour flexible Tricoclair"/>
    <s v="3/8&quot;M - Flexible Dint 20"/>
    <n v="12"/>
    <n v="304030"/>
    <s v="Senga"/>
    <n v="304030"/>
    <n v="0"/>
    <m/>
    <m/>
    <m/>
    <m/>
    <m/>
    <m/>
    <n v="0"/>
    <m/>
    <m/>
    <m/>
    <m/>
    <n v="0"/>
    <n v="0"/>
    <n v="0"/>
    <n v="0"/>
    <n v="0"/>
    <n v="0"/>
    <n v="0"/>
  </r>
  <r>
    <x v="16"/>
    <x v="238"/>
    <s v="Pour flexible Tricoclair"/>
    <s v="RaccordsCannelés filetésPour flexible Tricoclair"/>
    <s v="1/2&quot;M - Flexible Dint 9"/>
    <n v="13"/>
    <n v="304028"/>
    <s v="Senga"/>
    <n v="304028"/>
    <n v="0"/>
    <m/>
    <m/>
    <m/>
    <m/>
    <m/>
    <m/>
    <n v="0"/>
    <m/>
    <m/>
    <m/>
    <m/>
    <n v="0"/>
    <n v="0"/>
    <n v="0"/>
    <n v="0"/>
    <n v="0"/>
    <n v="0"/>
    <n v="0"/>
  </r>
  <r>
    <x v="16"/>
    <x v="238"/>
    <s v="Pour flexible Tricoclair"/>
    <s v="RaccordsCannelés filetésPour flexible Tricoclair"/>
    <s v="1/2&quot;M - Flexible Dint 10"/>
    <n v="14"/>
    <n v="304020"/>
    <s v="Senga"/>
    <n v="304020"/>
    <n v="0"/>
    <m/>
    <m/>
    <m/>
    <m/>
    <m/>
    <m/>
    <n v="0"/>
    <m/>
    <m/>
    <m/>
    <m/>
    <n v="0"/>
    <n v="0"/>
    <n v="0"/>
    <n v="0"/>
    <n v="0"/>
    <n v="0"/>
    <n v="0"/>
  </r>
  <r>
    <x v="16"/>
    <x v="238"/>
    <s v="Pour flexible Tricoclair"/>
    <s v="RaccordsCannelés filetésPour flexible Tricoclair"/>
    <s v="1/2&quot;M - Flexible Dint 13,5"/>
    <n v="15"/>
    <n v="304023"/>
    <s v="Senga"/>
    <n v="304023"/>
    <n v="0"/>
    <m/>
    <m/>
    <m/>
    <m/>
    <m/>
    <m/>
    <n v="0"/>
    <m/>
    <m/>
    <m/>
    <m/>
    <n v="0"/>
    <n v="0"/>
    <n v="0"/>
    <n v="0"/>
    <n v="0"/>
    <n v="0"/>
    <n v="0"/>
  </r>
  <r>
    <x v="16"/>
    <x v="238"/>
    <s v="Pour flexible Tricoclair"/>
    <s v="RaccordsCannelés filetésPour flexible Tricoclair"/>
    <s v="1/2&quot;M - Flexible Dint 14"/>
    <n v="16"/>
    <n v="304022"/>
    <s v="Senga"/>
    <n v="304022"/>
    <n v="0"/>
    <m/>
    <m/>
    <m/>
    <m/>
    <m/>
    <m/>
    <n v="0"/>
    <m/>
    <m/>
    <m/>
    <m/>
    <n v="0"/>
    <n v="0"/>
    <n v="0"/>
    <n v="0"/>
    <n v="0"/>
    <n v="0"/>
    <n v="0"/>
  </r>
  <r>
    <x v="16"/>
    <x v="238"/>
    <s v="Pour flexible Tricoclair"/>
    <s v="RaccordsCannelés filetésPour flexible Tricoclair"/>
    <s v="1/2&quot;M - Flexible Dint 17"/>
    <n v="17"/>
    <n v="304025"/>
    <s v="Senga"/>
    <n v="304025"/>
    <n v="0"/>
    <m/>
    <m/>
    <m/>
    <m/>
    <m/>
    <m/>
    <n v="0"/>
    <m/>
    <m/>
    <m/>
    <m/>
    <n v="0"/>
    <n v="0"/>
    <n v="0"/>
    <n v="0"/>
    <n v="0"/>
    <n v="0"/>
    <n v="0"/>
  </r>
  <r>
    <x v="16"/>
    <x v="238"/>
    <s v="Pour flexible Tricoclair"/>
    <s v="RaccordsCannelés filetésPour flexible Tricoclair"/>
    <s v="1/2&quot;M - Flexible Dint 20"/>
    <n v="18"/>
    <n v="304027"/>
    <s v="Senga"/>
    <n v="304027"/>
    <n v="0"/>
    <m/>
    <m/>
    <m/>
    <m/>
    <m/>
    <m/>
    <n v="0"/>
    <m/>
    <m/>
    <m/>
    <m/>
    <n v="0"/>
    <n v="0"/>
    <n v="0"/>
    <n v="0"/>
    <n v="0"/>
    <n v="0"/>
    <n v="0"/>
  </r>
  <r>
    <x v="16"/>
    <x v="238"/>
    <s v="Pour flexible Tricoclair"/>
    <s v="RaccordsCannelés filetésPour flexible Tricoclair"/>
    <s v="3/4&quot;M - Flexible Dint 16"/>
    <n v="19"/>
    <n v="304015"/>
    <s v="Senga"/>
    <n v="304015"/>
    <n v="0"/>
    <m/>
    <m/>
    <m/>
    <m/>
    <m/>
    <m/>
    <n v="0"/>
    <m/>
    <m/>
    <m/>
    <m/>
    <n v="0"/>
    <n v="0"/>
    <n v="0"/>
    <n v="0"/>
    <n v="0"/>
    <n v="0"/>
    <n v="0"/>
  </r>
  <r>
    <x v="16"/>
    <x v="238"/>
    <s v="Pour flexible Tricoclair"/>
    <s v="RaccordsCannelés filetésPour flexible Tricoclair"/>
    <s v="3/4&quot;M - Flexible Dint 18"/>
    <n v="20"/>
    <n v="304018"/>
    <s v="Senga"/>
    <n v="304018"/>
    <n v="0"/>
    <m/>
    <m/>
    <m/>
    <m/>
    <m/>
    <m/>
    <n v="0"/>
    <m/>
    <m/>
    <m/>
    <m/>
    <n v="0"/>
    <n v="0"/>
    <n v="0"/>
    <n v="0"/>
    <n v="0"/>
    <n v="0"/>
    <n v="0"/>
  </r>
  <r>
    <x v="16"/>
    <x v="238"/>
    <s v="Pour flexible Tricoclair"/>
    <s v="RaccordsCannelés filetésPour flexible Tricoclair"/>
    <s v="3/4&quot;M - Flexible Dint 21"/>
    <n v="21"/>
    <n v="304012"/>
    <s v="Senga"/>
    <n v="304012"/>
    <n v="0"/>
    <m/>
    <m/>
    <m/>
    <m/>
    <m/>
    <m/>
    <n v="0"/>
    <m/>
    <m/>
    <m/>
    <m/>
    <n v="0"/>
    <n v="0"/>
    <n v="0"/>
    <n v="0"/>
    <n v="0"/>
    <n v="0"/>
    <n v="0"/>
  </r>
  <r>
    <x v="16"/>
    <x v="238"/>
    <s v="Pour flexible Tricoclair"/>
    <s v="RaccordsCannelés filetésPour flexible Tricoclair"/>
    <s v="3/4&quot;M - Flexible Dint 25"/>
    <n v="22"/>
    <n v="304013"/>
    <s v="Senga"/>
    <n v="304013"/>
    <n v="0"/>
    <m/>
    <m/>
    <m/>
    <m/>
    <m/>
    <m/>
    <n v="0"/>
    <m/>
    <m/>
    <m/>
    <m/>
    <n v="0"/>
    <n v="0"/>
    <n v="0"/>
    <n v="0"/>
    <n v="0"/>
    <n v="0"/>
    <n v="0"/>
  </r>
  <r>
    <x v="16"/>
    <x v="238"/>
    <s v="Pour flexible Tricoclair"/>
    <s v="RaccordsCannelés filetésPour flexible Tricoclair"/>
    <s v="3/4&quot;M - Flexible Dint 27"/>
    <n v="23"/>
    <n v="304019"/>
    <s v="Senga"/>
    <n v="304019"/>
    <n v="0"/>
    <m/>
    <m/>
    <m/>
    <m/>
    <m/>
    <m/>
    <n v="0"/>
    <m/>
    <m/>
    <m/>
    <m/>
    <n v="0"/>
    <n v="0"/>
    <n v="0"/>
    <n v="0"/>
    <n v="0"/>
    <n v="0"/>
    <n v="0"/>
  </r>
  <r>
    <x v="16"/>
    <x v="238"/>
    <s v="Pour flexible Tricoclair"/>
    <s v="RaccordsCannelés filetésPour flexible Tricoclair"/>
    <s v="1&quot;M - Flexible Dint 25"/>
    <n v="24"/>
    <n v="304005"/>
    <s v="Senga"/>
    <n v="304005"/>
    <n v="0"/>
    <m/>
    <m/>
    <m/>
    <m/>
    <m/>
    <m/>
    <n v="0"/>
    <m/>
    <m/>
    <m/>
    <m/>
    <n v="0"/>
    <n v="0"/>
    <n v="0"/>
    <n v="0"/>
    <n v="0"/>
    <n v="0"/>
    <n v="0"/>
  </r>
  <r>
    <x v="16"/>
    <x v="238"/>
    <s v="Pour flexible Tricoclair"/>
    <s v="RaccordsCannelés filetésPour flexible Tricoclair"/>
    <s v="1&quot;M - Flexible Dint 27"/>
    <n v="25"/>
    <n v="304009"/>
    <s v="Senga"/>
    <n v="304009"/>
    <n v="0"/>
    <m/>
    <m/>
    <m/>
    <m/>
    <m/>
    <m/>
    <n v="0"/>
    <m/>
    <m/>
    <m/>
    <m/>
    <n v="0"/>
    <n v="0"/>
    <n v="0"/>
    <n v="0"/>
    <n v="0"/>
    <n v="0"/>
    <n v="0"/>
  </r>
  <r>
    <x v="16"/>
    <x v="239"/>
    <s v="Colliers à griffe (Maxair)"/>
    <s v="RaccordsColliers à griffe (Maxair)Colliers à griffe (Maxair)"/>
    <m/>
    <n v="0"/>
    <m/>
    <m/>
    <m/>
    <n v="0"/>
    <m/>
    <m/>
    <m/>
    <m/>
    <m/>
    <m/>
    <n v="0"/>
    <m/>
    <m/>
    <m/>
    <m/>
    <n v="0"/>
    <n v="0"/>
    <n v="0"/>
    <n v="0"/>
    <n v="0"/>
    <n v="0"/>
    <n v="0"/>
  </r>
  <r>
    <x v="16"/>
    <x v="239"/>
    <s v="Colliers à griffe (Maxair)"/>
    <s v="RaccordsColliers à griffe (Maxair)Colliers à griffe (Maxair)"/>
    <s v="pour maxair 8"/>
    <n v="1"/>
    <s v="CSS15"/>
    <m/>
    <m/>
    <n v="0"/>
    <m/>
    <m/>
    <m/>
    <m/>
    <m/>
    <m/>
    <n v="0"/>
    <m/>
    <m/>
    <m/>
    <m/>
    <n v="0"/>
    <n v="0"/>
    <n v="0"/>
    <n v="0"/>
    <n v="0"/>
    <n v="0"/>
    <n v="0"/>
  </r>
  <r>
    <x v="16"/>
    <x v="239"/>
    <s v="Colliers à griffe (Maxair)"/>
    <s v="RaccordsColliers à griffe (Maxair)Colliers à griffe (Maxair)"/>
    <s v="pour maxair 10"/>
    <n v="2"/>
    <s v="CSS17"/>
    <m/>
    <m/>
    <n v="0"/>
    <m/>
    <m/>
    <m/>
    <m/>
    <m/>
    <m/>
    <n v="0"/>
    <m/>
    <m/>
    <m/>
    <m/>
    <n v="0"/>
    <n v="0"/>
    <n v="0"/>
    <n v="0"/>
    <n v="0"/>
    <n v="0"/>
    <n v="0"/>
  </r>
  <r>
    <x v="16"/>
    <x v="239"/>
    <s v="Colliers à griffe (Maxair)"/>
    <s v="RaccordsColliers à griffe (Maxair)Colliers à griffe (Maxair)"/>
    <s v="pour maxair 13"/>
    <n v="3"/>
    <s v="CSS20"/>
    <m/>
    <m/>
    <n v="0"/>
    <m/>
    <m/>
    <m/>
    <m/>
    <m/>
    <m/>
    <n v="0"/>
    <m/>
    <m/>
    <m/>
    <m/>
    <n v="0"/>
    <n v="0"/>
    <n v="0"/>
    <n v="0"/>
    <n v="0"/>
    <n v="0"/>
    <n v="0"/>
  </r>
  <r>
    <x v="16"/>
    <x v="239"/>
    <s v="Colliers à griffe (Maxair)"/>
    <s v="RaccordsColliers à griffe (Maxair)Colliers à griffe (Maxair)"/>
    <s v="pour maxair 19"/>
    <n v="4"/>
    <s v="CSS29"/>
    <m/>
    <m/>
    <n v="0"/>
    <m/>
    <m/>
    <m/>
    <m/>
    <m/>
    <m/>
    <n v="0"/>
    <m/>
    <m/>
    <m/>
    <m/>
    <n v="0"/>
    <n v="0"/>
    <n v="0"/>
    <n v="0"/>
    <n v="0"/>
    <n v="0"/>
    <n v="0"/>
  </r>
  <r>
    <x v="16"/>
    <x v="239"/>
    <s v="Colliers à griffe (Maxair)"/>
    <s v="RaccordsColliers à griffe (Maxair)Colliers à griffe (Maxair)"/>
    <s v="pour maxair 25"/>
    <n v="5"/>
    <s v="CSS36"/>
    <m/>
    <m/>
    <n v="0"/>
    <m/>
    <m/>
    <m/>
    <m/>
    <m/>
    <m/>
    <n v="0"/>
    <m/>
    <m/>
    <m/>
    <m/>
    <n v="0"/>
    <n v="0"/>
    <n v="0"/>
    <n v="0"/>
    <n v="0"/>
    <n v="0"/>
    <n v="0"/>
  </r>
  <r>
    <x v="16"/>
    <x v="239"/>
    <s v="Colliers à griffe (Maxair)"/>
    <s v="RaccordsColliers à griffe (Maxair)Colliers à griffe (Maxair)"/>
    <s v="pour maxair 16"/>
    <n v="6"/>
    <s v="CSS26"/>
    <m/>
    <m/>
    <n v="0"/>
    <m/>
    <m/>
    <m/>
    <m/>
    <m/>
    <m/>
    <n v="0"/>
    <m/>
    <m/>
    <m/>
    <m/>
    <n v="0"/>
    <n v="0"/>
    <n v="0"/>
    <n v="0"/>
    <n v="0"/>
    <n v="0"/>
    <n v="0"/>
  </r>
  <r>
    <x v="16"/>
    <x v="239"/>
    <s v="Colliers à griffe (Maxair)"/>
    <s v="RaccordsColliers à griffe (Maxair)Colliers à griffe (Maxair)"/>
    <s v="pour maxair 32"/>
    <n v="7"/>
    <s v="CSS39"/>
    <m/>
    <m/>
    <n v="0"/>
    <m/>
    <m/>
    <m/>
    <m/>
    <m/>
    <m/>
    <n v="0"/>
    <m/>
    <m/>
    <m/>
    <m/>
    <n v="0"/>
    <n v="0"/>
    <n v="0"/>
    <n v="0"/>
    <n v="0"/>
    <n v="0"/>
    <n v="0"/>
  </r>
  <r>
    <x v="16"/>
    <x v="240"/>
    <s v="Coupleur Rapide"/>
    <s v="RaccordsCoupleur RapideCoupleur Rapide"/>
    <m/>
    <n v="0"/>
    <m/>
    <m/>
    <m/>
    <n v="0"/>
    <m/>
    <m/>
    <m/>
    <m/>
    <m/>
    <m/>
    <n v="0"/>
    <m/>
    <m/>
    <m/>
    <m/>
    <n v="0"/>
    <n v="0"/>
    <n v="0"/>
    <n v="0"/>
    <n v="0"/>
    <n v="0"/>
    <n v="0"/>
  </r>
  <r>
    <x v="16"/>
    <x v="240"/>
    <s v="Coupleur Rapide"/>
    <s v="RaccordsCoupleur RapideCoupleur Rapide"/>
    <s v="Séries 291 Anti coup de fouet 640L/min - ISO C - Coupleur (F) Queue Cannelée 8mm"/>
    <n v="1"/>
    <s v="10.291.1003"/>
    <s v="CEJN"/>
    <n v="102911003"/>
    <n v="0"/>
    <m/>
    <m/>
    <m/>
    <m/>
    <m/>
    <m/>
    <n v="0"/>
    <m/>
    <m/>
    <m/>
    <m/>
    <n v="0"/>
    <n v="0"/>
    <n v="0"/>
    <n v="0"/>
    <n v="0"/>
    <n v="0"/>
    <n v="0"/>
  </r>
  <r>
    <x v="16"/>
    <x v="240"/>
    <s v="Coupleur Rapide"/>
    <s v="RaccordsCoupleur RapideCoupleur Rapide"/>
    <s v="Séries 291 Anti coup de fouet 640L/min - ISO C - Coupleur (F) Queue Cannelée 10mm"/>
    <n v="2"/>
    <s v="10.291.1004"/>
    <s v="CEJN"/>
    <n v="102911004"/>
    <n v="0"/>
    <m/>
    <m/>
    <m/>
    <m/>
    <m/>
    <m/>
    <n v="0"/>
    <m/>
    <m/>
    <m/>
    <m/>
    <n v="0"/>
    <n v="0"/>
    <n v="0"/>
    <n v="0"/>
    <n v="0"/>
    <n v="0"/>
    <n v="0"/>
  </r>
  <r>
    <x v="16"/>
    <x v="240"/>
    <s v="Coupleur Rapide"/>
    <s v="RaccordsCoupleur RapideCoupleur Rapide"/>
    <s v="Séries 291 Anti coup de fouet 640L/min - ISO C - Coupleur (F) Fileté 3/8&quot;"/>
    <n v="3"/>
    <s v="10.291.1154"/>
    <s v="CEJN"/>
    <n v="102911154"/>
    <n v="0"/>
    <m/>
    <m/>
    <m/>
    <m/>
    <m/>
    <m/>
    <n v="0"/>
    <m/>
    <m/>
    <m/>
    <m/>
    <n v="0"/>
    <n v="0"/>
    <n v="0"/>
    <n v="0"/>
    <n v="0"/>
    <n v="0"/>
    <n v="0"/>
  </r>
  <r>
    <x v="16"/>
    <x v="240"/>
    <s v="Coupleur Rapide"/>
    <s v="RaccordsCoupleur RapideCoupleur Rapide"/>
    <s v="Séries 291 Anti coup de fouet 640L/min - ISO C - Coupleur (F) Taraudé 1/4&quot;"/>
    <n v="4"/>
    <s v="10.291.1202"/>
    <s v="CEJN"/>
    <n v="102911202"/>
    <n v="0"/>
    <m/>
    <m/>
    <m/>
    <m/>
    <m/>
    <m/>
    <n v="0"/>
    <m/>
    <m/>
    <m/>
    <m/>
    <n v="0"/>
    <n v="0"/>
    <n v="0"/>
    <n v="0"/>
    <n v="0"/>
    <n v="0"/>
    <n v="0"/>
  </r>
  <r>
    <x v="16"/>
    <x v="240"/>
    <s v="Coupleur Rapide"/>
    <s v="RaccordsCoupleur RapideCoupleur Rapide"/>
    <s v="Séries 291 Anti coup de fouet 640L/min - ISO C - Coupleur (F) Taraudé 3/8&quot;"/>
    <n v="5"/>
    <s v="10.291.1204"/>
    <s v="CEJN"/>
    <n v="102911204"/>
    <n v="0"/>
    <m/>
    <m/>
    <m/>
    <m/>
    <m/>
    <m/>
    <n v="0"/>
    <m/>
    <m/>
    <m/>
    <m/>
    <n v="0"/>
    <n v="0"/>
    <n v="0"/>
    <n v="0"/>
    <n v="0"/>
    <n v="0"/>
    <n v="0"/>
  </r>
  <r>
    <x v="16"/>
    <x v="240"/>
    <s v="Coupleur Rapide"/>
    <s v="RaccordsCoupleur RapideCoupleur Rapide"/>
    <s v="Séries 291 Anti coup de fouet 640L/min - ISO C - Embout (M) Queue Cannelée 8mm"/>
    <n v="6"/>
    <s v="10.291.5003"/>
    <s v="CEJN"/>
    <n v="102915003"/>
    <n v="0"/>
    <m/>
    <m/>
    <m/>
    <m/>
    <m/>
    <m/>
    <n v="0"/>
    <m/>
    <m/>
    <m/>
    <m/>
    <n v="0"/>
    <n v="0"/>
    <n v="0"/>
    <n v="0"/>
    <n v="0"/>
    <n v="0"/>
    <n v="0"/>
  </r>
  <r>
    <x v="16"/>
    <x v="240"/>
    <s v="Coupleur Rapide"/>
    <s v="RaccordsCoupleur RapideCoupleur Rapide"/>
    <m/>
    <n v="7"/>
    <m/>
    <m/>
    <m/>
    <n v="0"/>
    <m/>
    <m/>
    <m/>
    <m/>
    <m/>
    <m/>
    <n v="0"/>
    <m/>
    <m/>
    <m/>
    <m/>
    <n v="0"/>
    <n v="0"/>
    <n v="0"/>
    <n v="0"/>
    <n v="0"/>
    <n v="0"/>
    <n v="0"/>
  </r>
  <r>
    <x v="16"/>
    <x v="240"/>
    <s v="Coupleur Rapide"/>
    <s v="RaccordsCoupleur RapideCoupleur Rapide"/>
    <s v="Serie 310 950L/min - ISO B - Coupleur (F) queue cannelée 6mm"/>
    <n v="8"/>
    <n v="3101002"/>
    <s v="CEJN"/>
    <n v="103101002"/>
    <n v="0"/>
    <m/>
    <m/>
    <m/>
    <m/>
    <m/>
    <m/>
    <n v="0"/>
    <m/>
    <m/>
    <m/>
    <s v="Doublon 10.310.1002"/>
    <n v="0"/>
    <n v="0"/>
    <n v="0"/>
    <n v="0"/>
    <n v="0"/>
    <n v="0"/>
    <n v="0"/>
  </r>
  <r>
    <x v="16"/>
    <x v="240"/>
    <s v="Coupleur Rapide"/>
    <s v="RaccordsCoupleur RapideCoupleur Rapide"/>
    <s v="Serie 310 950L/min - ISO B - Coupleur (F) queue cannelée 8mm"/>
    <n v="9"/>
    <n v="3101003"/>
    <s v="CEJN"/>
    <n v="103101003"/>
    <n v="0"/>
    <m/>
    <m/>
    <m/>
    <m/>
    <m/>
    <m/>
    <n v="0"/>
    <m/>
    <m/>
    <m/>
    <s v="Doublon 10.310.1003"/>
    <n v="0"/>
    <n v="0"/>
    <n v="0"/>
    <n v="0"/>
    <n v="0"/>
    <n v="0"/>
    <n v="0"/>
  </r>
  <r>
    <x v="16"/>
    <x v="240"/>
    <s v="Coupleur Rapide"/>
    <s v="RaccordsCoupleur RapideCoupleur Rapide"/>
    <s v="Serie 310 950L/min - ISO B - Coupleur (F) queue cannelée 10mm"/>
    <n v="10"/>
    <n v="3101004"/>
    <s v="CEJN"/>
    <n v="103101004"/>
    <n v="0"/>
    <m/>
    <m/>
    <m/>
    <m/>
    <m/>
    <m/>
    <n v="0"/>
    <m/>
    <m/>
    <m/>
    <s v="Doublon 10.310.1004"/>
    <n v="0"/>
    <n v="0"/>
    <n v="0"/>
    <n v="0"/>
    <n v="0"/>
    <n v="0"/>
    <n v="0"/>
  </r>
  <r>
    <x v="16"/>
    <x v="240"/>
    <s v="Coupleur Rapide"/>
    <s v="RaccordsCoupleur RapideCoupleur Rapide"/>
    <s v="Serie 310 950L/min - ISO B - Coupleur (F) queue cannelée 13mm"/>
    <n v="11"/>
    <n v="3101005"/>
    <s v="CEJN"/>
    <n v="103101005"/>
    <n v="0"/>
    <m/>
    <m/>
    <m/>
    <m/>
    <m/>
    <m/>
    <n v="0"/>
    <m/>
    <m/>
    <m/>
    <s v="Doublon 10.310.1005"/>
    <n v="0"/>
    <n v="0"/>
    <n v="0"/>
    <n v="0"/>
    <n v="0"/>
    <n v="0"/>
    <n v="0"/>
  </r>
  <r>
    <x v="16"/>
    <x v="240"/>
    <s v="Coupleur Rapide"/>
    <s v="RaccordsCoupleur RapideCoupleur Rapide"/>
    <s v="Serie 310 950L/min - ISO B - Coupleur (F) Fileté 1/4&quot;"/>
    <n v="12"/>
    <n v="3101152"/>
    <s v="CEJN"/>
    <n v="103101152"/>
    <n v="0"/>
    <m/>
    <m/>
    <m/>
    <m/>
    <m/>
    <m/>
    <n v="0"/>
    <m/>
    <m/>
    <m/>
    <s v="Doublon 10.310.1152"/>
    <n v="0"/>
    <n v="0"/>
    <n v="0"/>
    <n v="0"/>
    <n v="0"/>
    <n v="0"/>
    <n v="0"/>
  </r>
  <r>
    <x v="16"/>
    <x v="240"/>
    <s v="Coupleur Rapide"/>
    <s v="RaccordsCoupleur RapideCoupleur Rapide"/>
    <s v="Serie 310 950L/min - ISO B - Coupleur (F) Fileté 3/8&quot;"/>
    <n v="13"/>
    <n v="3101154"/>
    <s v="CEJN"/>
    <n v="103101154"/>
    <n v="0"/>
    <m/>
    <m/>
    <m/>
    <m/>
    <m/>
    <m/>
    <n v="0"/>
    <m/>
    <m/>
    <m/>
    <s v="Doublon 10.310.1154"/>
    <n v="0"/>
    <n v="0"/>
    <n v="0"/>
    <n v="0"/>
    <n v="0"/>
    <n v="0"/>
    <n v="0"/>
  </r>
  <r>
    <x v="16"/>
    <x v="240"/>
    <s v="Coupleur Rapide"/>
    <s v="RaccordsCoupleur RapideCoupleur Rapide"/>
    <s v="Serie 310 950L/min - ISO B - Coupleur (F) Fileté 1/2&quot;"/>
    <n v="14"/>
    <s v="10.310.1155"/>
    <s v="CEJN"/>
    <n v="103101155"/>
    <n v="0"/>
    <m/>
    <m/>
    <m/>
    <m/>
    <m/>
    <m/>
    <n v="0"/>
    <m/>
    <m/>
    <m/>
    <m/>
    <n v="0"/>
    <n v="0"/>
    <n v="0"/>
    <n v="0"/>
    <n v="0"/>
    <n v="0"/>
    <n v="0"/>
  </r>
  <r>
    <x v="16"/>
    <x v="240"/>
    <s v="Coupleur Rapide"/>
    <s v="RaccordsCoupleur RapideCoupleur Rapide"/>
    <s v="Serie 310 950L/min - ISO B - Coupleur (F) Taraudé 1/4&quot;"/>
    <n v="15"/>
    <n v="3101202"/>
    <s v="CEJN"/>
    <n v="103101202"/>
    <n v="0"/>
    <m/>
    <m/>
    <m/>
    <m/>
    <m/>
    <m/>
    <n v="0"/>
    <m/>
    <m/>
    <m/>
    <s v="Doublon 10.310.1202"/>
    <n v="0"/>
    <n v="0"/>
    <n v="0"/>
    <n v="0"/>
    <n v="0"/>
    <n v="0"/>
    <n v="0"/>
  </r>
  <r>
    <x v="16"/>
    <x v="240"/>
    <s v="Coupleur Rapide"/>
    <s v="RaccordsCoupleur RapideCoupleur Rapide"/>
    <s v="Serie 310 950L/min - ISO B - Coupleur (F) Taraudé 3/8&quot;"/>
    <n v="16"/>
    <n v="3101204"/>
    <s v="CEJN"/>
    <n v="103101204"/>
    <n v="0"/>
    <m/>
    <m/>
    <m/>
    <m/>
    <m/>
    <m/>
    <n v="0"/>
    <m/>
    <m/>
    <m/>
    <s v="Doublon 10.310.1204"/>
    <n v="0"/>
    <n v="0"/>
    <n v="0"/>
    <n v="0"/>
    <n v="0"/>
    <n v="0"/>
    <n v="0"/>
  </r>
  <r>
    <x v="16"/>
    <x v="240"/>
    <s v="Coupleur Rapide"/>
    <s v="RaccordsCoupleur RapideCoupleur Rapide"/>
    <s v="Serie 310 950L/min - ISO B - Coupleur (F) Taraudé 1/2&quot;"/>
    <n v="17"/>
    <n v="3101205"/>
    <s v="CEJN"/>
    <n v="103101205"/>
    <n v="0"/>
    <m/>
    <m/>
    <m/>
    <m/>
    <m/>
    <m/>
    <n v="0"/>
    <m/>
    <m/>
    <m/>
    <s v="Doublon 10.310.1205"/>
    <n v="0"/>
    <n v="0"/>
    <n v="0"/>
    <n v="0"/>
    <n v="0"/>
    <n v="0"/>
    <n v="0"/>
  </r>
  <r>
    <x v="16"/>
    <x v="240"/>
    <s v="Coupleur Rapide"/>
    <s v="RaccordsCoupleur RapideCoupleur Rapide"/>
    <s v="Serie 310 Anti coup de fouet 950L/min - ISO B - Coupleur (F) queue cannelée 8mm"/>
    <n v="18"/>
    <s v="10.310.2003"/>
    <s v="CEJN"/>
    <n v="103102003"/>
    <n v="0"/>
    <m/>
    <m/>
    <m/>
    <m/>
    <m/>
    <m/>
    <n v="0"/>
    <m/>
    <m/>
    <m/>
    <m/>
    <n v="0"/>
    <n v="0"/>
    <n v="0"/>
    <n v="0"/>
    <n v="0"/>
    <n v="0"/>
    <n v="0"/>
  </r>
  <r>
    <x v="16"/>
    <x v="240"/>
    <s v="Coupleur Rapide"/>
    <s v="RaccordsCoupleur RapideCoupleur Rapide"/>
    <s v="Serie 310 Anti coup de fouet 950L/min - ISO B - Coupleur (F) queue cannelée 13mm"/>
    <n v="19"/>
    <n v="3102005"/>
    <s v="CEJN"/>
    <n v="103102005"/>
    <n v="0"/>
    <m/>
    <m/>
    <m/>
    <m/>
    <m/>
    <m/>
    <n v="0"/>
    <m/>
    <m/>
    <m/>
    <m/>
    <n v="0"/>
    <n v="0"/>
    <n v="0"/>
    <n v="0"/>
    <n v="0"/>
    <n v="0"/>
    <n v="0"/>
  </r>
  <r>
    <x v="16"/>
    <x v="240"/>
    <s v="Coupleur Rapide"/>
    <s v="RaccordsCoupleur RapideCoupleur Rapide"/>
    <s v="Serie 310 Anti coup de fouet 950L/min - ISO B - Coupleur (F) Fileté 3/8&quot;"/>
    <n v="20"/>
    <n v="3103154"/>
    <s v="CEJN"/>
    <n v="103102154"/>
    <n v="0"/>
    <m/>
    <m/>
    <m/>
    <m/>
    <m/>
    <m/>
    <n v="0"/>
    <m/>
    <m/>
    <m/>
    <m/>
    <n v="0"/>
    <n v="0"/>
    <n v="0"/>
    <n v="0"/>
    <n v="0"/>
    <n v="0"/>
    <n v="0"/>
  </r>
  <r>
    <x v="16"/>
    <x v="240"/>
    <s v="Coupleur Rapide"/>
    <s v="RaccordsCoupleur RapideCoupleur Rapide"/>
    <s v="Serie 310 Anti coup de fouet 950L/min - ISO B - Coupleur (F) Fileté 1/2&quot;"/>
    <n v="21"/>
    <n v="3102155"/>
    <s v="CEJN"/>
    <n v="103102155"/>
    <n v="0"/>
    <m/>
    <m/>
    <m/>
    <m/>
    <m/>
    <m/>
    <n v="0"/>
    <m/>
    <m/>
    <m/>
    <m/>
    <n v="0"/>
    <n v="0"/>
    <n v="0"/>
    <n v="0"/>
    <n v="0"/>
    <n v="0"/>
    <n v="0"/>
  </r>
  <r>
    <x v="16"/>
    <x v="240"/>
    <s v="Coupleur Rapide"/>
    <s v="RaccordsCoupleur RapideCoupleur Rapide"/>
    <s v="Serie 310 Anti coup de fouet 950L/min - ISO B - Coupleur (F) Taraudé 1/4&quot;"/>
    <n v="22"/>
    <n v="3102202"/>
    <s v="CEJN"/>
    <n v="103102202"/>
    <n v="0"/>
    <m/>
    <m/>
    <m/>
    <m/>
    <m/>
    <m/>
    <n v="0"/>
    <m/>
    <m/>
    <m/>
    <m/>
    <n v="0"/>
    <n v="0"/>
    <n v="0"/>
    <n v="0"/>
    <n v="0"/>
    <n v="0"/>
    <n v="0"/>
  </r>
  <r>
    <x v="16"/>
    <x v="240"/>
    <s v="Coupleur Rapide"/>
    <s v="RaccordsCoupleur RapideCoupleur Rapide"/>
    <s v="Serie 310 Anti coup de fouet 950L/min - ISO B - Coupleur (F) Taraudé 3/8&quot;"/>
    <n v="23"/>
    <n v="3102204"/>
    <s v="CEJN"/>
    <n v="103102204"/>
    <n v="0"/>
    <m/>
    <m/>
    <m/>
    <m/>
    <m/>
    <m/>
    <n v="0"/>
    <m/>
    <m/>
    <m/>
    <m/>
    <n v="0"/>
    <n v="0"/>
    <n v="0"/>
    <n v="0"/>
    <n v="0"/>
    <n v="0"/>
    <n v="0"/>
  </r>
  <r>
    <x v="16"/>
    <x v="240"/>
    <s v="Coupleur Rapide"/>
    <s v="RaccordsCoupleur RapideCoupleur Rapide"/>
    <s v="Serie 310 Anti coup de fouet 950L/min - ISO B - Coupleur (F) Taraudé 1/2&quot;"/>
    <n v="24"/>
    <n v="3102205"/>
    <s v="CEJN"/>
    <n v="103102205"/>
    <n v="0"/>
    <m/>
    <m/>
    <m/>
    <m/>
    <m/>
    <m/>
    <n v="0"/>
    <m/>
    <m/>
    <m/>
    <m/>
    <n v="0"/>
    <n v="0"/>
    <n v="0"/>
    <n v="0"/>
    <n v="0"/>
    <n v="0"/>
    <n v="0"/>
  </r>
  <r>
    <x v="16"/>
    <x v="240"/>
    <s v="Coupleur Rapide"/>
    <s v="RaccordsCoupleur RapideCoupleur Rapide"/>
    <s v="Serie 310 Anti coup de fouet 950L/min - ISO B - Embout (M) queue cannelée 6mm"/>
    <n v="25"/>
    <n v="3105002"/>
    <s v="CEJN"/>
    <n v="103105002"/>
    <n v="0"/>
    <m/>
    <m/>
    <m/>
    <m/>
    <m/>
    <m/>
    <n v="0"/>
    <m/>
    <m/>
    <m/>
    <s v="Doublon 10.310.5002"/>
    <n v="0"/>
    <n v="0"/>
    <n v="0"/>
    <n v="0"/>
    <n v="0"/>
    <n v="0"/>
    <n v="0"/>
  </r>
  <r>
    <x v="16"/>
    <x v="240"/>
    <s v="Coupleur Rapide"/>
    <s v="RaccordsCoupleur RapideCoupleur Rapide"/>
    <s v="Serie 310 Anti coup de fouet 950L/min - ISO B - Embout (M) queue cannelée 8mm"/>
    <n v="26"/>
    <n v="3105003"/>
    <s v="CEJN"/>
    <n v="103105003"/>
    <n v="0"/>
    <m/>
    <m/>
    <m/>
    <m/>
    <m/>
    <m/>
    <n v="0"/>
    <m/>
    <m/>
    <m/>
    <s v="Doublon 10.310.5003"/>
    <n v="0"/>
    <n v="0"/>
    <n v="0"/>
    <n v="0"/>
    <n v="0"/>
    <n v="0"/>
    <n v="0"/>
  </r>
  <r>
    <x v="16"/>
    <x v="240"/>
    <s v="Coupleur Rapide"/>
    <s v="RaccordsCoupleur RapideCoupleur Rapide"/>
    <s v="Serie 310 Anti coup de fouet 950L/min - ISO B - Embout (M) queue cannelée 10mm"/>
    <n v="27"/>
    <n v="3105004"/>
    <s v="CEJN"/>
    <n v="103105004"/>
    <n v="0"/>
    <m/>
    <m/>
    <m/>
    <m/>
    <m/>
    <m/>
    <n v="0"/>
    <m/>
    <m/>
    <m/>
    <s v="Doublon 10.310.5004"/>
    <n v="0"/>
    <n v="0"/>
    <n v="0"/>
    <n v="0"/>
    <n v="0"/>
    <n v="0"/>
    <n v="0"/>
  </r>
  <r>
    <x v="16"/>
    <x v="240"/>
    <s v="Coupleur Rapide"/>
    <s v="RaccordsCoupleur RapideCoupleur Rapide"/>
    <s v="Serie 310 Anti coup de fouet 950L/min - ISO B - Embout (M) queue cannelée 13mm"/>
    <n v="28"/>
    <n v="3105005"/>
    <s v="CEJN"/>
    <n v="103105005"/>
    <n v="0"/>
    <m/>
    <m/>
    <m/>
    <m/>
    <m/>
    <m/>
    <n v="0"/>
    <m/>
    <m/>
    <m/>
    <m/>
    <n v="0"/>
    <n v="0"/>
    <n v="0"/>
    <n v="0"/>
    <n v="0"/>
    <n v="0"/>
    <n v="0"/>
  </r>
  <r>
    <x v="16"/>
    <x v="240"/>
    <s v="Coupleur Rapide"/>
    <s v="RaccordsCoupleur RapideCoupleur Rapide"/>
    <s v="Serie 310 Anti coup de fouet 950L/min - ISO B - Embout (M) Fileté 1/8&quot;"/>
    <n v="29"/>
    <n v="3105151"/>
    <s v="CEJN"/>
    <n v="103105151"/>
    <n v="0"/>
    <m/>
    <m/>
    <m/>
    <m/>
    <m/>
    <m/>
    <n v="0"/>
    <m/>
    <m/>
    <m/>
    <m/>
    <n v="0"/>
    <n v="0"/>
    <n v="0"/>
    <n v="0"/>
    <n v="0"/>
    <n v="0"/>
    <n v="0"/>
  </r>
  <r>
    <x v="16"/>
    <x v="240"/>
    <s v="Coupleur Rapide"/>
    <s v="RaccordsCoupleur RapideCoupleur Rapide"/>
    <s v="Serie 310 Anti coup de fouet 950L/min - ISO B - Embout (M) Fileté 1/4&quot;"/>
    <n v="30"/>
    <n v="3105152"/>
    <s v="CEJN"/>
    <n v="103105152"/>
    <n v="0"/>
    <m/>
    <m/>
    <m/>
    <m/>
    <m/>
    <m/>
    <n v="0"/>
    <m/>
    <m/>
    <m/>
    <s v="Doublon 10.310.5152"/>
    <n v="0"/>
    <n v="0"/>
    <n v="0"/>
    <n v="0"/>
    <n v="0"/>
    <n v="0"/>
    <n v="0"/>
  </r>
  <r>
    <x v="16"/>
    <x v="240"/>
    <s v="Coupleur Rapide"/>
    <s v="RaccordsCoupleur RapideCoupleur Rapide"/>
    <s v="Serie 310 Anti coup de fouet 950L/min - ISO B - Embout (M) Fileté 3/8&quot;"/>
    <n v="31"/>
    <n v="3105154"/>
    <s v="CEJN"/>
    <n v="103105154"/>
    <n v="0"/>
    <m/>
    <m/>
    <m/>
    <m/>
    <m/>
    <m/>
    <n v="0"/>
    <m/>
    <m/>
    <m/>
    <s v="Doublon 10.310.5154"/>
    <n v="0"/>
    <n v="0"/>
    <n v="0"/>
    <n v="0"/>
    <n v="0"/>
    <n v="0"/>
    <n v="0"/>
  </r>
  <r>
    <x v="16"/>
    <x v="240"/>
    <s v="Coupleur Rapide"/>
    <s v="RaccordsCoupleur RapideCoupleur Rapide"/>
    <s v="Serie 310 Anti coup de fouet 950L/min - ISO B - Embout (M) Fileté 1/4&quot;"/>
    <n v="32"/>
    <n v="3105252"/>
    <s v="CEJN"/>
    <n v="103105252"/>
    <n v="0"/>
    <m/>
    <m/>
    <m/>
    <m/>
    <m/>
    <m/>
    <n v="0"/>
    <m/>
    <m/>
    <m/>
    <m/>
    <n v="0"/>
    <n v="0"/>
    <n v="0"/>
    <n v="0"/>
    <n v="0"/>
    <n v="0"/>
    <n v="0"/>
  </r>
  <r>
    <x v="16"/>
    <x v="240"/>
    <s v="Coupleur Rapide"/>
    <s v="RaccordsCoupleur RapideCoupleur Rapide"/>
    <s v="Serie 310 Anti coup de fouet 950L/min - ISO B - Embout (M) Taraudé 1/8&quot;"/>
    <n v="33"/>
    <n v="3105201"/>
    <s v="CEJN"/>
    <n v="103105201"/>
    <n v="0"/>
    <m/>
    <m/>
    <m/>
    <m/>
    <m/>
    <m/>
    <n v="0"/>
    <m/>
    <m/>
    <m/>
    <m/>
    <n v="0"/>
    <n v="0"/>
    <n v="0"/>
    <n v="0"/>
    <n v="0"/>
    <n v="0"/>
    <n v="0"/>
  </r>
  <r>
    <x v="16"/>
    <x v="240"/>
    <s v="Coupleur Rapide"/>
    <s v="RaccordsCoupleur RapideCoupleur Rapide"/>
    <s v="Serie 310 Anti coup de fouet 950L/min - ISO B - Embout (M) Taraudé 1/4&quot;"/>
    <n v="34"/>
    <n v="3105202"/>
    <s v="CEJN"/>
    <n v="103105202"/>
    <n v="0"/>
    <m/>
    <m/>
    <m/>
    <m/>
    <m/>
    <m/>
    <n v="0"/>
    <m/>
    <m/>
    <m/>
    <s v="Doublon 10.310.5202"/>
    <n v="0"/>
    <n v="0"/>
    <n v="0"/>
    <n v="0"/>
    <n v="0"/>
    <n v="0"/>
    <n v="0"/>
  </r>
  <r>
    <x v="16"/>
    <x v="240"/>
    <s v="Coupleur Rapide"/>
    <s v="RaccordsCoupleur RapideCoupleur Rapide"/>
    <s v="Serie 310 Anti coup de fouet 950L/min - ISO B - Embout (M) Taraudé 3/8&quot;"/>
    <n v="35"/>
    <n v="3105204"/>
    <s v="CEJN"/>
    <n v="103105204"/>
    <n v="0"/>
    <m/>
    <m/>
    <m/>
    <m/>
    <m/>
    <m/>
    <n v="0"/>
    <m/>
    <m/>
    <m/>
    <s v="Doublon 10.310.5204"/>
    <n v="0"/>
    <n v="0"/>
    <n v="0"/>
    <n v="0"/>
    <n v="0"/>
    <n v="0"/>
    <n v="0"/>
  </r>
  <r>
    <x v="16"/>
    <x v="240"/>
    <s v="Coupleur Rapide"/>
    <s v="RaccordsCoupleur RapideCoupleur Rapide"/>
    <m/>
    <n v="36"/>
    <m/>
    <m/>
    <m/>
    <n v="0"/>
    <m/>
    <m/>
    <m/>
    <m/>
    <m/>
    <m/>
    <n v="0"/>
    <m/>
    <m/>
    <m/>
    <m/>
    <n v="0"/>
    <n v="0"/>
    <n v="0"/>
    <n v="0"/>
    <n v="0"/>
    <n v="0"/>
    <n v="0"/>
  </r>
  <r>
    <x v="16"/>
    <x v="240"/>
    <s v="Coupleur Rapide"/>
    <s v="RaccordsCoupleur RapideCoupleur Rapide"/>
    <s v="Serie 320 Anti coup de fouet 2250L/min - Eurostandard 7,4mm - Coupleur (F) Fileté 1/4&quot;"/>
    <n v="37"/>
    <s v="10.320.2152"/>
    <s v="CEJN"/>
    <n v="103202152"/>
    <n v="0"/>
    <m/>
    <m/>
    <m/>
    <m/>
    <m/>
    <m/>
    <n v="0"/>
    <m/>
    <m/>
    <m/>
    <m/>
    <n v="0"/>
    <n v="0"/>
    <n v="0"/>
    <n v="0"/>
    <n v="0"/>
    <n v="0"/>
    <n v="0"/>
  </r>
  <r>
    <x v="16"/>
    <x v="240"/>
    <s v="Coupleur Rapide"/>
    <s v="RaccordsCoupleur RapideCoupleur Rapide"/>
    <s v="Serie 320 Anti coup de fouet 2250L/min - Eurostandard 7,4mm - Embout (M) queue cannelée 8mm"/>
    <n v="38"/>
    <s v="10.320.5003"/>
    <s v="CEJN"/>
    <n v="103205003"/>
    <n v="0"/>
    <m/>
    <m/>
    <m/>
    <m/>
    <m/>
    <m/>
    <n v="0"/>
    <m/>
    <m/>
    <m/>
    <m/>
    <n v="0"/>
    <n v="0"/>
    <n v="0"/>
    <n v="0"/>
    <n v="0"/>
    <n v="0"/>
    <n v="0"/>
  </r>
  <r>
    <x v="16"/>
    <x v="240"/>
    <s v="Coupleur Rapide"/>
    <s v="RaccordsCoupleur RapideCoupleur Rapide"/>
    <s v="Serie 320 Anti coup de fouet 2250L/min - Eurostandard 7,4mm - Embout (M) Fileté 1/4&quot;"/>
    <n v="39"/>
    <s v="10.320.5152"/>
    <s v="CEJN"/>
    <n v="103205152"/>
    <n v="0"/>
    <m/>
    <m/>
    <m/>
    <m/>
    <m/>
    <m/>
    <n v="0"/>
    <m/>
    <m/>
    <m/>
    <m/>
    <n v="0"/>
    <n v="0"/>
    <n v="0"/>
    <n v="0"/>
    <n v="0"/>
    <n v="0"/>
    <n v="0"/>
  </r>
  <r>
    <x v="16"/>
    <x v="240"/>
    <s v="Coupleur Rapide"/>
    <s v="RaccordsCoupleur RapideCoupleur Rapide"/>
    <s v="Serie 320 Anti coup de fouet 2250L/min - Eurostandard 7,4mm - Embout (M) Taraudé 1/4&quot;"/>
    <n v="40"/>
    <s v="10.320.5202"/>
    <s v="CEJN"/>
    <n v="103205202"/>
    <n v="0"/>
    <m/>
    <m/>
    <m/>
    <m/>
    <m/>
    <m/>
    <n v="0"/>
    <m/>
    <m/>
    <m/>
    <m/>
    <n v="0"/>
    <n v="0"/>
    <n v="0"/>
    <n v="0"/>
    <n v="0"/>
    <n v="0"/>
    <n v="0"/>
  </r>
  <r>
    <x v="16"/>
    <x v="240"/>
    <s v="Coupleur Rapide"/>
    <s v="RaccordsCoupleur RapideCoupleur Rapide"/>
    <m/>
    <n v="41"/>
    <m/>
    <m/>
    <m/>
    <n v="0"/>
    <m/>
    <m/>
    <m/>
    <m/>
    <m/>
    <m/>
    <n v="0"/>
    <m/>
    <m/>
    <m/>
    <m/>
    <n v="0"/>
    <n v="0"/>
    <n v="0"/>
    <n v="0"/>
    <n v="0"/>
    <n v="0"/>
    <n v="0"/>
  </r>
  <r>
    <x v="16"/>
    <x v="240"/>
    <s v="Coupleur Rapide"/>
    <s v="RaccordsCoupleur RapideCoupleur Rapide"/>
    <s v="Série 341 Air Respirable 1950L/min - Coupleur (F) Queue cannelée 10mm"/>
    <n v="42"/>
    <s v="10.341.1004"/>
    <s v="CEJN"/>
    <n v="103411004"/>
    <n v="0"/>
    <m/>
    <m/>
    <m/>
    <m/>
    <m/>
    <m/>
    <n v="0"/>
    <m/>
    <m/>
    <m/>
    <m/>
    <n v="0"/>
    <n v="0"/>
    <n v="0"/>
    <n v="0"/>
    <n v="0"/>
    <n v="0"/>
    <n v="0"/>
  </r>
  <r>
    <x v="16"/>
    <x v="240"/>
    <s v="Coupleur Rapide"/>
    <s v="RaccordsCoupleur RapideCoupleur Rapide"/>
    <s v="Série 341 Air Respirable 1950L/min - Embout (M) Queue cannelée 14mm"/>
    <n v="43"/>
    <s v="10.341.5004"/>
    <s v="CEJN"/>
    <n v="103415004"/>
    <n v="0"/>
    <m/>
    <m/>
    <m/>
    <m/>
    <m/>
    <m/>
    <n v="0"/>
    <m/>
    <m/>
    <m/>
    <m/>
    <n v="0"/>
    <n v="0"/>
    <n v="0"/>
    <n v="0"/>
    <n v="0"/>
    <n v="0"/>
    <n v="0"/>
  </r>
  <r>
    <x v="16"/>
    <x v="240"/>
    <s v="Coupleur Rapide"/>
    <s v="RaccordsCoupleur RapideCoupleur Rapide"/>
    <m/>
    <n v="44"/>
    <m/>
    <m/>
    <m/>
    <n v="0"/>
    <m/>
    <m/>
    <m/>
    <m/>
    <m/>
    <m/>
    <n v="0"/>
    <m/>
    <m/>
    <m/>
    <m/>
    <n v="0"/>
    <n v="0"/>
    <n v="0"/>
    <n v="0"/>
    <n v="0"/>
    <n v="0"/>
    <n v="0"/>
  </r>
  <r>
    <x v="16"/>
    <x v="240"/>
    <s v="Coupleur Rapide"/>
    <s v="RaccordsCoupleur RapideCoupleur Rapide"/>
    <s v="Série 342 Anticoup de fouet 1950L/min - Saftylock 7,4mm - Coupleur (F) Queue Cannelée 10mm"/>
    <n v="45"/>
    <s v="10.342.1004"/>
    <s v="CEJN"/>
    <n v="103421004"/>
    <n v="0"/>
    <m/>
    <m/>
    <m/>
    <m/>
    <m/>
    <m/>
    <n v="0"/>
    <m/>
    <m/>
    <m/>
    <m/>
    <n v="0"/>
    <n v="0"/>
    <n v="0"/>
    <n v="0"/>
    <n v="0"/>
    <n v="0"/>
    <n v="0"/>
  </r>
  <r>
    <x v="16"/>
    <x v="240"/>
    <s v="Coupleur Rapide"/>
    <s v="RaccordsCoupleur RapideCoupleur Rapide"/>
    <s v="Série 342 Anticoup de fouet 1950L/min - Saftylock 7,4mm - Coupleur (F) Fileté 3/8&quot;"/>
    <n v="46"/>
    <s v="10.342.1154"/>
    <s v="CEJN"/>
    <n v="103421154"/>
    <n v="0"/>
    <m/>
    <m/>
    <m/>
    <m/>
    <m/>
    <m/>
    <n v="0"/>
    <m/>
    <m/>
    <m/>
    <m/>
    <n v="0"/>
    <n v="0"/>
    <n v="0"/>
    <n v="0"/>
    <n v="0"/>
    <n v="0"/>
    <n v="0"/>
  </r>
  <r>
    <x v="16"/>
    <x v="240"/>
    <s v="Coupleur Rapide"/>
    <s v="RaccordsCoupleur RapideCoupleur Rapide"/>
    <s v="Série 342 Anticoup de fouet 1950L/min - Saftylock 7,4mm - Embout (M) Queue Cannelée 10mm"/>
    <n v="47"/>
    <s v="10.342.5004"/>
    <s v="CEJN"/>
    <n v="103425004"/>
    <n v="0"/>
    <m/>
    <m/>
    <m/>
    <m/>
    <m/>
    <m/>
    <n v="0"/>
    <m/>
    <m/>
    <m/>
    <m/>
    <n v="0"/>
    <n v="0"/>
    <n v="0"/>
    <n v="0"/>
    <n v="0"/>
    <n v="0"/>
    <n v="0"/>
  </r>
  <r>
    <x v="16"/>
    <x v="240"/>
    <s v="Coupleur Rapide"/>
    <s v="RaccordsCoupleur RapideCoupleur Rapide"/>
    <s v="Série 342 Anticoup de fouet 1950L/min - Saftylock 7,4mm - Embout (M) Fileté 1/4&quot;"/>
    <n v="48"/>
    <s v="10.342.5152"/>
    <s v="CEJN"/>
    <n v="103425152"/>
    <n v="0"/>
    <m/>
    <m/>
    <m/>
    <m/>
    <m/>
    <m/>
    <n v="0"/>
    <m/>
    <m/>
    <m/>
    <m/>
    <n v="0"/>
    <n v="0"/>
    <n v="0"/>
    <n v="0"/>
    <n v="0"/>
    <n v="0"/>
    <n v="0"/>
  </r>
  <r>
    <x v="16"/>
    <x v="240"/>
    <s v="Coupleur Rapide"/>
    <s v="RaccordsCoupleur RapideCoupleur Rapide"/>
    <m/>
    <n v="49"/>
    <m/>
    <m/>
    <m/>
    <n v="0"/>
    <m/>
    <m/>
    <m/>
    <m/>
    <m/>
    <m/>
    <n v="0"/>
    <m/>
    <m/>
    <m/>
    <m/>
    <n v="0"/>
    <n v="0"/>
    <n v="0"/>
    <n v="0"/>
    <n v="0"/>
    <n v="0"/>
    <n v="0"/>
  </r>
  <r>
    <x v="16"/>
    <x v="240"/>
    <s v="Coupleur Rapide"/>
    <s v="RaccordsCoupleur RapideCoupleur Rapide"/>
    <s v="Série 410 3900L/min - Eurostandard 10m - Embout (M) Queue cannelée 10mm"/>
    <n v="50"/>
    <s v="10.410.5004"/>
    <s v="CEJN"/>
    <n v="104105004"/>
    <n v="0"/>
    <m/>
    <m/>
    <m/>
    <m/>
    <m/>
    <m/>
    <n v="0"/>
    <m/>
    <m/>
    <m/>
    <m/>
    <n v="0"/>
    <n v="0"/>
    <n v="0"/>
    <n v="0"/>
    <n v="0"/>
    <n v="0"/>
    <n v="0"/>
  </r>
  <r>
    <x v="16"/>
    <x v="240"/>
    <s v="Coupleur Rapide"/>
    <s v="RaccordsCoupleur RapideCoupleur Rapide"/>
    <s v="Série 410 3900L/min - Eurostandard 10m - Embout (M) Fileté 1/4&quot;"/>
    <n v="51"/>
    <s v="10.410.5152"/>
    <s v="CEJN"/>
    <n v="104105152"/>
    <n v="0"/>
    <m/>
    <m/>
    <m/>
    <m/>
    <m/>
    <m/>
    <n v="0"/>
    <m/>
    <m/>
    <m/>
    <m/>
    <n v="0"/>
    <n v="0"/>
    <n v="0"/>
    <n v="0"/>
    <n v="0"/>
    <n v="0"/>
    <n v="0"/>
  </r>
  <r>
    <x v="16"/>
    <x v="240"/>
    <s v="Coupleur Rapide"/>
    <s v="RaccordsCoupleur RapideCoupleur Rapide"/>
    <m/>
    <n v="52"/>
    <m/>
    <m/>
    <m/>
    <n v="0"/>
    <m/>
    <m/>
    <m/>
    <m/>
    <m/>
    <m/>
    <n v="0"/>
    <m/>
    <m/>
    <m/>
    <m/>
    <n v="0"/>
    <n v="0"/>
    <n v="0"/>
    <n v="0"/>
    <n v="0"/>
    <n v="0"/>
    <n v="0"/>
  </r>
  <r>
    <x v="16"/>
    <x v="240"/>
    <s v="Coupleur Rapide"/>
    <s v="RaccordsCoupleur RapideCoupleur Rapide"/>
    <s v="Série 430 2350L/min - ISO B - Coupleur (F) Fileté 1/2&quot;"/>
    <n v="53"/>
    <s v="10.430.1155"/>
    <s v="CEJN"/>
    <n v="104301155"/>
    <n v="0"/>
    <m/>
    <m/>
    <m/>
    <m/>
    <m/>
    <m/>
    <n v="0"/>
    <m/>
    <m/>
    <m/>
    <m/>
    <n v="0"/>
    <n v="0"/>
    <n v="0"/>
    <n v="0"/>
    <n v="0"/>
    <n v="0"/>
    <n v="0"/>
  </r>
  <r>
    <x v="16"/>
    <x v="240"/>
    <s v="Coupleur Rapide"/>
    <s v="RaccordsCoupleur RapideCoupleur Rapide"/>
    <s v="Série 430 2350L/min - ISO B - Embout (L) Queue Cannelée 8mm"/>
    <n v="54"/>
    <s v="10.430.5003"/>
    <s v="CEJN"/>
    <n v="104305003"/>
    <n v="0"/>
    <m/>
    <m/>
    <m/>
    <m/>
    <m/>
    <m/>
    <n v="0"/>
    <m/>
    <m/>
    <m/>
    <m/>
    <n v="0"/>
    <n v="0"/>
    <n v="0"/>
    <n v="0"/>
    <n v="0"/>
    <n v="0"/>
    <n v="0"/>
  </r>
  <r>
    <x v="16"/>
    <x v="240"/>
    <s v="Coupleur Rapide"/>
    <s v="RaccordsCoupleur RapideCoupleur Rapide"/>
    <s v="Série 430 2350L/min - ISO B - Embout (L) Queue Cannelée 10mm"/>
    <n v="55"/>
    <s v="10.430.5004"/>
    <s v="CEJN"/>
    <n v="104305004"/>
    <n v="0"/>
    <m/>
    <m/>
    <m/>
    <m/>
    <m/>
    <m/>
    <n v="0"/>
    <m/>
    <m/>
    <m/>
    <m/>
    <n v="0"/>
    <n v="0"/>
    <n v="0"/>
    <n v="0"/>
    <n v="0"/>
    <n v="0"/>
    <n v="0"/>
  </r>
  <r>
    <x v="16"/>
    <x v="240"/>
    <s v="Coupleur Rapide"/>
    <s v="RaccordsCoupleur RapideCoupleur Rapide"/>
    <m/>
    <n v="56"/>
    <m/>
    <m/>
    <m/>
    <n v="0"/>
    <m/>
    <m/>
    <m/>
    <m/>
    <m/>
    <m/>
    <n v="0"/>
    <m/>
    <m/>
    <m/>
    <m/>
    <n v="0"/>
    <n v="0"/>
    <n v="0"/>
    <n v="0"/>
    <n v="0"/>
    <n v="0"/>
    <n v="0"/>
  </r>
  <r>
    <x v="16"/>
    <x v="240"/>
    <s v="Coupleur Rapide"/>
    <s v="RaccordsCoupleur RapideCoupleur Rapide"/>
    <s v="Série 550 3750 l/min - ISO B 11mm - Coupleur (F) queue cannelée 19mm"/>
    <n v="57"/>
    <n v="5501007"/>
    <s v="CEJN"/>
    <n v="105501007"/>
    <n v="0"/>
    <m/>
    <m/>
    <m/>
    <m/>
    <m/>
    <m/>
    <n v="0"/>
    <m/>
    <m/>
    <m/>
    <m/>
    <n v="0"/>
    <n v="0"/>
    <n v="0"/>
    <n v="0"/>
    <n v="0"/>
    <n v="0"/>
    <n v="0"/>
  </r>
  <r>
    <x v="16"/>
    <x v="240"/>
    <s v="Coupleur Rapide"/>
    <s v="RaccordsCoupleur RapideCoupleur Rapide"/>
    <s v="Série 550 3750 l/min - ISO B 11mm - Coupleur (F) Fileté 1/2&quot;"/>
    <n v="58"/>
    <n v="5501155"/>
    <s v="CEJN"/>
    <n v="105501155"/>
    <n v="0"/>
    <m/>
    <m/>
    <m/>
    <m/>
    <m/>
    <m/>
    <n v="0"/>
    <m/>
    <m/>
    <m/>
    <s v="Doublon 10.550.1155"/>
    <n v="0"/>
    <n v="0"/>
    <n v="0"/>
    <n v="0"/>
    <n v="0"/>
    <n v="0"/>
    <n v="0"/>
  </r>
  <r>
    <x v="16"/>
    <x v="240"/>
    <s v="Coupleur Rapide"/>
    <s v="RaccordsCoupleur RapideCoupleur Rapide"/>
    <s v="Série 550 3750 l/min - ISO B 11mm - Coupleur (F) Fileté 3/4&quot;"/>
    <n v="59"/>
    <s v="10.550.1157"/>
    <s v="CEJN"/>
    <n v="105501157"/>
    <n v="0"/>
    <m/>
    <m/>
    <m/>
    <m/>
    <m/>
    <m/>
    <n v="0"/>
    <m/>
    <m/>
    <m/>
    <s v="Doublon 10.550.1157"/>
    <n v="0"/>
    <n v="0"/>
    <n v="0"/>
    <n v="0"/>
    <n v="0"/>
    <n v="0"/>
    <n v="0"/>
  </r>
  <r>
    <x v="16"/>
    <x v="240"/>
    <s v="Coupleur Rapide"/>
    <s v="RaccordsCoupleur RapideCoupleur Rapide"/>
    <s v="Série 550 3750 l/min - ISO B 11mm - Embout (M) queue cannelée 13mm"/>
    <n v="60"/>
    <s v="10.550.5005"/>
    <s v="CEJN"/>
    <n v="105505005"/>
    <n v="0"/>
    <m/>
    <m/>
    <m/>
    <m/>
    <m/>
    <m/>
    <n v="0"/>
    <m/>
    <m/>
    <m/>
    <m/>
    <n v="0"/>
    <n v="0"/>
    <n v="0"/>
    <n v="0"/>
    <n v="0"/>
    <n v="0"/>
    <n v="0"/>
  </r>
  <r>
    <x v="16"/>
    <x v="240"/>
    <s v="Coupleur Rapide"/>
    <s v="RaccordsCoupleur RapideCoupleur Rapide"/>
    <s v="Série 550 3750 l/min - ISO B 11mm - Embout (M) queue cannelée 19mm"/>
    <n v="61"/>
    <s v="10.550.5007"/>
    <s v="CEJN"/>
    <n v="105505007"/>
    <n v="0"/>
    <m/>
    <m/>
    <m/>
    <m/>
    <m/>
    <m/>
    <n v="0"/>
    <m/>
    <m/>
    <m/>
    <m/>
    <n v="0"/>
    <n v="0"/>
    <n v="0"/>
    <n v="0"/>
    <n v="0"/>
    <n v="0"/>
    <n v="0"/>
  </r>
  <r>
    <x v="16"/>
    <x v="240"/>
    <s v="Coupleur Rapide"/>
    <s v="RaccordsCoupleur RapideCoupleur Rapide"/>
    <s v="Série 550 3750 l/min - ISO B 11mm - Embout (M) Fileté 3/8&quot;"/>
    <n v="62"/>
    <s v="10.550.5154"/>
    <s v="CEJN"/>
    <n v="105505154"/>
    <n v="0"/>
    <m/>
    <m/>
    <m/>
    <m/>
    <m/>
    <m/>
    <n v="0"/>
    <m/>
    <m/>
    <m/>
    <m/>
    <n v="0"/>
    <n v="0"/>
    <n v="0"/>
    <n v="0"/>
    <n v="0"/>
    <n v="0"/>
    <n v="0"/>
  </r>
  <r>
    <x v="16"/>
    <x v="240"/>
    <s v="Coupleur Rapide"/>
    <s v="RaccordsCoupleur RapideCoupleur Rapide"/>
    <s v="Série 550 3750 l/min - ISO B 11mm - Embout (M) Fileté 1/2&quot;"/>
    <n v="63"/>
    <s v="10.550.5155"/>
    <s v="CEJN"/>
    <n v="105505155"/>
    <n v="0"/>
    <m/>
    <m/>
    <m/>
    <m/>
    <m/>
    <m/>
    <n v="0"/>
    <m/>
    <m/>
    <m/>
    <m/>
    <n v="0"/>
    <n v="0"/>
    <n v="0"/>
    <n v="0"/>
    <n v="0"/>
    <n v="0"/>
    <n v="0"/>
  </r>
  <r>
    <x v="16"/>
    <x v="240"/>
    <s v="Coupleur Rapide"/>
    <s v="RaccordsCoupleur RapideCoupleur Rapide"/>
    <s v="Série 550 3750 l/min - ISO B 11mm - Embout (M) Fileté 3/4&quot;"/>
    <n v="64"/>
    <n v="5505157"/>
    <s v="CEJN"/>
    <n v="105505157"/>
    <n v="0"/>
    <m/>
    <m/>
    <m/>
    <m/>
    <m/>
    <m/>
    <n v="0"/>
    <m/>
    <m/>
    <m/>
    <m/>
    <n v="0"/>
    <n v="0"/>
    <n v="0"/>
    <n v="0"/>
    <n v="0"/>
    <n v="0"/>
    <n v="0"/>
  </r>
  <r>
    <x v="16"/>
    <x v="241"/>
    <s v="PVC purges"/>
    <s v="RaccordsPVC purgesPVC purges"/>
    <m/>
    <n v="0"/>
    <m/>
    <m/>
    <m/>
    <n v="0"/>
    <m/>
    <m/>
    <m/>
    <m/>
    <m/>
    <m/>
    <n v="0"/>
    <m/>
    <m/>
    <m/>
    <m/>
    <n v="0"/>
    <n v="0"/>
    <n v="0"/>
    <n v="0"/>
    <n v="0"/>
    <n v="0"/>
    <n v="0"/>
  </r>
  <r>
    <x v="16"/>
    <x v="241"/>
    <s v="PVC purges"/>
    <s v="RaccordsPVC purgesPVC purges"/>
    <s v="manchon 32"/>
    <n v="1"/>
    <s v="M2F"/>
    <m/>
    <m/>
    <n v="0"/>
    <m/>
    <m/>
    <m/>
    <m/>
    <m/>
    <m/>
    <n v="0"/>
    <m/>
    <m/>
    <m/>
    <m/>
    <n v="0"/>
    <n v="0"/>
    <n v="0"/>
    <n v="0"/>
    <n v="0"/>
    <n v="0"/>
    <n v="0"/>
  </r>
  <r>
    <x v="16"/>
    <x v="241"/>
    <s v="PVC purges"/>
    <s v="RaccordsPVC purgesPVC purges"/>
    <s v="coude 32"/>
    <n v="2"/>
    <s v="CF88"/>
    <m/>
    <m/>
    <n v="0"/>
    <m/>
    <m/>
    <m/>
    <m/>
    <m/>
    <m/>
    <n v="0"/>
    <m/>
    <m/>
    <m/>
    <m/>
    <n v="0"/>
    <n v="0"/>
    <n v="0"/>
    <n v="0"/>
    <n v="0"/>
    <n v="0"/>
    <n v="0"/>
  </r>
  <r>
    <x v="16"/>
    <x v="241"/>
    <s v="PVC purges"/>
    <s v="RaccordsPVC purgesPVC purges"/>
    <s v="té 32"/>
    <n v="3"/>
    <s v="BF144"/>
    <m/>
    <m/>
    <n v="0"/>
    <m/>
    <m/>
    <m/>
    <m/>
    <m/>
    <m/>
    <n v="0"/>
    <m/>
    <m/>
    <m/>
    <m/>
    <n v="0"/>
    <n v="0"/>
    <n v="0"/>
    <n v="0"/>
    <n v="0"/>
    <n v="0"/>
    <n v="0"/>
  </r>
  <r>
    <x v="16"/>
    <x v="241"/>
    <s v="PVC purges"/>
    <s v="RaccordsPVC purgesPVC purges"/>
    <s v="tampon 32"/>
    <n v="4"/>
    <s v="FF"/>
    <m/>
    <m/>
    <n v="0"/>
    <m/>
    <m/>
    <m/>
    <m/>
    <m/>
    <m/>
    <n v="0"/>
    <m/>
    <m/>
    <m/>
    <m/>
    <n v="0"/>
    <n v="0"/>
    <n v="0"/>
    <n v="0"/>
    <n v="0"/>
    <n v="0"/>
    <n v="0"/>
  </r>
  <r>
    <x v="16"/>
    <x v="241"/>
    <s v="PVC purges"/>
    <s v="RaccordsPVC purgesPVC purges"/>
    <s v="tube 32"/>
    <n v="5"/>
    <s v="T32"/>
    <m/>
    <m/>
    <n v="0"/>
    <m/>
    <m/>
    <m/>
    <m/>
    <m/>
    <m/>
    <n v="0"/>
    <m/>
    <m/>
    <m/>
    <m/>
    <n v="0"/>
    <n v="0"/>
    <n v="0"/>
    <n v="0"/>
    <n v="0"/>
    <n v="0"/>
    <n v="0"/>
  </r>
  <r>
    <x v="16"/>
    <x v="241"/>
    <s v="PVC purges"/>
    <s v="RaccordsPVC purgesPVC purges"/>
    <s v="coudes 45°"/>
    <n v="6"/>
    <s v="CF44"/>
    <m/>
    <m/>
    <n v="0"/>
    <m/>
    <m/>
    <m/>
    <m/>
    <m/>
    <m/>
    <n v="0"/>
    <m/>
    <m/>
    <m/>
    <m/>
    <n v="0"/>
    <n v="0"/>
    <n v="0"/>
    <n v="0"/>
    <n v="0"/>
    <n v="0"/>
    <n v="0"/>
  </r>
  <r>
    <x v="16"/>
    <x v="241"/>
    <s v="PVC purges"/>
    <s v="RaccordsPVC purgesPVC purges"/>
    <s v="manchon 40"/>
    <n v="7"/>
    <m/>
    <m/>
    <m/>
    <n v="0"/>
    <m/>
    <m/>
    <m/>
    <m/>
    <m/>
    <m/>
    <n v="0"/>
    <m/>
    <m/>
    <m/>
    <m/>
    <n v="0"/>
    <n v="0"/>
    <n v="0"/>
    <n v="0"/>
    <n v="0"/>
    <n v="0"/>
    <n v="0"/>
  </r>
  <r>
    <x v="16"/>
    <x v="241"/>
    <s v="PVC purges"/>
    <s v="RaccordsPVC purgesPVC purges"/>
    <s v="coude 40"/>
    <n v="8"/>
    <s v="C8F4"/>
    <m/>
    <m/>
    <n v="0"/>
    <m/>
    <m/>
    <m/>
    <m/>
    <m/>
    <m/>
    <n v="0"/>
    <m/>
    <m/>
    <m/>
    <m/>
    <n v="0"/>
    <n v="0"/>
    <n v="0"/>
    <n v="0"/>
    <n v="0"/>
    <n v="0"/>
    <n v="0"/>
  </r>
  <r>
    <x v="16"/>
    <x v="241"/>
    <s v="PVC purges"/>
    <s v="RaccordsPVC purgesPVC purges"/>
    <s v="té 40"/>
    <n v="9"/>
    <s v="TFFF40PVC"/>
    <m/>
    <m/>
    <n v="0"/>
    <m/>
    <m/>
    <m/>
    <m/>
    <m/>
    <m/>
    <n v="0"/>
    <m/>
    <m/>
    <m/>
    <m/>
    <n v="0"/>
    <n v="0"/>
    <n v="0"/>
    <n v="0"/>
    <n v="0"/>
    <n v="0"/>
    <n v="0"/>
  </r>
  <r>
    <x v="16"/>
    <x v="241"/>
    <s v="PVC purges"/>
    <s v="RaccordsPVC purgesPVC purges"/>
    <s v="tampon 40"/>
    <n v="10"/>
    <m/>
    <m/>
    <m/>
    <n v="0"/>
    <m/>
    <m/>
    <m/>
    <m/>
    <m/>
    <m/>
    <n v="0"/>
    <m/>
    <m/>
    <m/>
    <m/>
    <n v="0"/>
    <n v="0"/>
    <n v="0"/>
    <n v="0"/>
    <n v="0"/>
    <n v="0"/>
    <n v="0"/>
  </r>
  <r>
    <x v="16"/>
    <x v="241"/>
    <s v="PVC purges"/>
    <s v="RaccordsPVC purgesPVC purges"/>
    <s v="tube 40"/>
    <n v="11"/>
    <s v="T40"/>
    <m/>
    <m/>
    <n v="0"/>
    <m/>
    <m/>
    <m/>
    <m/>
    <m/>
    <m/>
    <n v="0"/>
    <m/>
    <m/>
    <m/>
    <m/>
    <n v="0"/>
    <n v="0"/>
    <n v="0"/>
    <n v="0"/>
    <n v="0"/>
    <n v="0"/>
    <n v="0"/>
  </r>
  <r>
    <x v="16"/>
    <x v="241"/>
    <s v="PVC purges"/>
    <s v="RaccordsPVC purgesPVC purges"/>
    <s v="colliers"/>
    <n v="12"/>
    <n v="9528"/>
    <m/>
    <m/>
    <n v="0"/>
    <m/>
    <m/>
    <m/>
    <m/>
    <m/>
    <m/>
    <n v="0"/>
    <m/>
    <m/>
    <m/>
    <m/>
    <n v="0"/>
    <n v="0"/>
    <n v="0"/>
    <n v="0"/>
    <n v="0"/>
    <n v="0"/>
    <n v="0"/>
  </r>
  <r>
    <x v="16"/>
    <x v="241"/>
    <s v="PVC purges"/>
    <s v="RaccordsPVC purgesPVC purges"/>
    <s v="coudes 45°"/>
    <n v="13"/>
    <m/>
    <m/>
    <m/>
    <n v="0"/>
    <m/>
    <m/>
    <m/>
    <m/>
    <m/>
    <m/>
    <n v="0"/>
    <m/>
    <m/>
    <m/>
    <m/>
    <n v="0"/>
    <n v="0"/>
    <n v="0"/>
    <n v="0"/>
    <n v="0"/>
    <n v="0"/>
    <n v="0"/>
  </r>
  <r>
    <x v="16"/>
    <x v="241"/>
    <s v="PVC purges"/>
    <s v="RaccordsPVC purgesPVC purges"/>
    <s v="COUDE A 90) pvc Ø40 ff jk"/>
    <n v="14"/>
    <s v="cff90-40jk"/>
    <m/>
    <m/>
    <n v="0"/>
    <m/>
    <m/>
    <m/>
    <m/>
    <m/>
    <m/>
    <n v="0"/>
    <m/>
    <m/>
    <m/>
    <m/>
    <n v="0"/>
    <n v="0"/>
    <n v="0"/>
    <n v="0"/>
    <n v="0"/>
    <n v="0"/>
    <n v="0"/>
  </r>
  <r>
    <x v="16"/>
    <x v="242"/>
    <s v="Raccords pompier canelés"/>
    <s v="RaccordsRaccords pompier canelésRaccords pompier canelés"/>
    <m/>
    <n v="0"/>
    <m/>
    <m/>
    <m/>
    <n v="0"/>
    <m/>
    <m/>
    <m/>
    <m/>
    <m/>
    <m/>
    <n v="0"/>
    <m/>
    <m/>
    <m/>
    <m/>
    <n v="0"/>
    <n v="0"/>
    <n v="0"/>
    <n v="0"/>
    <n v="0"/>
    <n v="0"/>
    <n v="0"/>
  </r>
  <r>
    <x v="16"/>
    <x v="242"/>
    <s v="Raccords pompier canelés"/>
    <s v="RaccordsRaccords pompier canelésRaccords pompier canelés"/>
    <n v="8"/>
    <n v="1"/>
    <s v="EXPD8"/>
    <m/>
    <m/>
    <n v="0"/>
    <m/>
    <m/>
    <m/>
    <m/>
    <m/>
    <m/>
    <n v="0"/>
    <m/>
    <m/>
    <m/>
    <m/>
    <n v="0"/>
    <n v="0"/>
    <n v="0"/>
    <n v="0"/>
    <n v="0"/>
    <n v="0"/>
    <n v="0"/>
  </r>
  <r>
    <x v="16"/>
    <x v="242"/>
    <s v="Raccords pompier canelés"/>
    <s v="RaccordsRaccords pompier canelésRaccords pompier canelés"/>
    <n v="9"/>
    <n v="2"/>
    <s v="EXPD9"/>
    <m/>
    <m/>
    <n v="0"/>
    <m/>
    <m/>
    <m/>
    <m/>
    <m/>
    <m/>
    <n v="0"/>
    <m/>
    <m/>
    <m/>
    <m/>
    <n v="0"/>
    <n v="0"/>
    <n v="0"/>
    <n v="0"/>
    <n v="0"/>
    <n v="0"/>
    <n v="0"/>
  </r>
  <r>
    <x v="16"/>
    <x v="243"/>
    <s v="Raccords pompier F"/>
    <s v="RaccordsRaccords pompier FRaccords pompier F"/>
    <m/>
    <n v="0"/>
    <m/>
    <m/>
    <m/>
    <n v="0"/>
    <m/>
    <m/>
    <m/>
    <m/>
    <m/>
    <m/>
    <n v="0"/>
    <m/>
    <m/>
    <m/>
    <m/>
    <n v="0"/>
    <n v="0"/>
    <n v="0"/>
    <n v="0"/>
    <n v="0"/>
    <n v="0"/>
    <n v="0"/>
  </r>
  <r>
    <x v="16"/>
    <x v="243"/>
    <s v="Raccords pompier F"/>
    <s v="RaccordsRaccords pompier FRaccords pompier F"/>
    <s v="3/8&quot;"/>
    <n v="1"/>
    <s v="EXPF38"/>
    <m/>
    <m/>
    <n v="0"/>
    <m/>
    <m/>
    <m/>
    <m/>
    <m/>
    <m/>
    <n v="0"/>
    <m/>
    <m/>
    <m/>
    <m/>
    <n v="0"/>
    <n v="0"/>
    <n v="0"/>
    <n v="0"/>
    <n v="0"/>
    <n v="0"/>
    <n v="0"/>
  </r>
  <r>
    <x v="16"/>
    <x v="243"/>
    <s v="Raccords pompier F"/>
    <s v="RaccordsRaccords pompier FRaccords pompier F"/>
    <s v="1/2&quot;"/>
    <n v="2"/>
    <s v="EXPF12"/>
    <m/>
    <m/>
    <n v="0"/>
    <m/>
    <m/>
    <m/>
    <m/>
    <m/>
    <m/>
    <n v="0"/>
    <m/>
    <m/>
    <m/>
    <m/>
    <n v="0"/>
    <n v="0"/>
    <n v="0"/>
    <n v="0"/>
    <n v="0"/>
    <n v="0"/>
    <n v="0"/>
  </r>
  <r>
    <x v="16"/>
    <x v="243"/>
    <s v="Raccords pompier F"/>
    <s v="RaccordsRaccords pompier FRaccords pompier F"/>
    <s v="3/4&quot;"/>
    <n v="3"/>
    <s v="EXPF34"/>
    <m/>
    <m/>
    <n v="0"/>
    <m/>
    <m/>
    <m/>
    <m/>
    <m/>
    <m/>
    <n v="0"/>
    <m/>
    <m/>
    <m/>
    <m/>
    <n v="0"/>
    <n v="0"/>
    <n v="0"/>
    <n v="0"/>
    <n v="0"/>
    <n v="0"/>
    <n v="0"/>
  </r>
  <r>
    <x v="16"/>
    <x v="243"/>
    <s v="Raccords pompier F"/>
    <s v="RaccordsRaccords pompier FRaccords pompier F"/>
    <s v=" 1&quot;"/>
    <n v="4"/>
    <s v="EXPF1"/>
    <m/>
    <m/>
    <n v="0"/>
    <m/>
    <m/>
    <m/>
    <m/>
    <m/>
    <m/>
    <n v="0"/>
    <m/>
    <m/>
    <m/>
    <m/>
    <n v="0"/>
    <n v="0"/>
    <n v="0"/>
    <n v="0"/>
    <n v="0"/>
    <n v="0"/>
    <n v="0"/>
  </r>
  <r>
    <x v="16"/>
    <x v="243"/>
    <s v="Raccords pompier F"/>
    <s v="RaccordsRaccords pompier FRaccords pompier F"/>
    <s v="1&quot;1/4"/>
    <n v="5"/>
    <s v="EXPF114"/>
    <m/>
    <m/>
    <n v="0"/>
    <m/>
    <m/>
    <m/>
    <m/>
    <m/>
    <m/>
    <n v="0"/>
    <m/>
    <m/>
    <m/>
    <m/>
    <n v="0"/>
    <n v="0"/>
    <n v="0"/>
    <n v="0"/>
    <n v="0"/>
    <n v="0"/>
    <n v="0"/>
  </r>
  <r>
    <x v="16"/>
    <x v="243"/>
    <s v="Raccords pompier F"/>
    <s v="RaccordsRaccords pompier FRaccords pompier F"/>
    <s v="1&quot;1/2"/>
    <n v="6"/>
    <s v="EXPF112"/>
    <m/>
    <m/>
    <n v="0"/>
    <m/>
    <m/>
    <m/>
    <m/>
    <m/>
    <m/>
    <n v="0"/>
    <m/>
    <m/>
    <m/>
    <m/>
    <n v="0"/>
    <n v="0"/>
    <n v="0"/>
    <n v="0"/>
    <n v="0"/>
    <n v="0"/>
    <n v="0"/>
  </r>
  <r>
    <x v="16"/>
    <x v="243"/>
    <s v="Raccords pompier F"/>
    <s v="RaccordsRaccords pompier FRaccords pompier F"/>
    <s v="2&quot;"/>
    <n v="7"/>
    <s v="EXPF2"/>
    <m/>
    <m/>
    <n v="0"/>
    <m/>
    <m/>
    <m/>
    <m/>
    <m/>
    <m/>
    <n v="0"/>
    <m/>
    <m/>
    <m/>
    <m/>
    <n v="0"/>
    <n v="0"/>
    <n v="0"/>
    <n v="0"/>
    <n v="0"/>
    <n v="0"/>
    <n v="0"/>
  </r>
  <r>
    <x v="16"/>
    <x v="244"/>
    <s v="Raccords pompier M"/>
    <s v="RaccordsRaccords pompier MRaccords pompier M"/>
    <m/>
    <n v="0"/>
    <m/>
    <m/>
    <m/>
    <n v="0"/>
    <m/>
    <m/>
    <m/>
    <m/>
    <m/>
    <m/>
    <n v="0"/>
    <m/>
    <m/>
    <m/>
    <m/>
    <n v="0"/>
    <n v="0"/>
    <n v="0"/>
    <n v="0"/>
    <n v="0"/>
    <n v="0"/>
    <n v="0"/>
  </r>
  <r>
    <x v="16"/>
    <x v="244"/>
    <s v="Raccords pompier M"/>
    <s v="RaccordsRaccords pompier MRaccords pompier M"/>
    <s v="3/8&quot;"/>
    <n v="1"/>
    <s v="EXPM38"/>
    <m/>
    <m/>
    <n v="0"/>
    <m/>
    <m/>
    <m/>
    <m/>
    <m/>
    <m/>
    <n v="0"/>
    <m/>
    <m/>
    <m/>
    <m/>
    <n v="0"/>
    <n v="0"/>
    <n v="0"/>
    <n v="0"/>
    <n v="0"/>
    <n v="0"/>
    <n v="0"/>
  </r>
  <r>
    <x v="16"/>
    <x v="244"/>
    <s v="Raccords pompier M"/>
    <s v="RaccordsRaccords pompier MRaccords pompier M"/>
    <s v="1/2&quot;"/>
    <n v="2"/>
    <s v="EXPM12"/>
    <m/>
    <m/>
    <n v="0"/>
    <m/>
    <m/>
    <m/>
    <m/>
    <m/>
    <m/>
    <n v="0"/>
    <m/>
    <m/>
    <m/>
    <m/>
    <n v="0"/>
    <n v="0"/>
    <n v="0"/>
    <n v="0"/>
    <n v="0"/>
    <n v="0"/>
    <n v="0"/>
  </r>
  <r>
    <x v="16"/>
    <x v="244"/>
    <s v="Raccords pompier M"/>
    <s v="RaccordsRaccords pompier MRaccords pompier M"/>
    <s v="3/4&quot;"/>
    <n v="3"/>
    <s v="EXPM34"/>
    <m/>
    <m/>
    <n v="0"/>
    <m/>
    <m/>
    <m/>
    <m/>
    <m/>
    <m/>
    <n v="0"/>
    <m/>
    <m/>
    <m/>
    <m/>
    <n v="0"/>
    <n v="0"/>
    <n v="0"/>
    <n v="0"/>
    <n v="0"/>
    <n v="0"/>
    <n v="0"/>
  </r>
  <r>
    <x v="16"/>
    <x v="244"/>
    <s v="Raccords pompier M"/>
    <s v="RaccordsRaccords pompier MRaccords pompier M"/>
    <s v=" 1&quot;"/>
    <n v="4"/>
    <s v="EXPM1"/>
    <m/>
    <m/>
    <n v="0"/>
    <m/>
    <m/>
    <m/>
    <m/>
    <m/>
    <m/>
    <n v="0"/>
    <m/>
    <m/>
    <m/>
    <m/>
    <n v="0"/>
    <n v="0"/>
    <n v="0"/>
    <n v="0"/>
    <n v="0"/>
    <n v="0"/>
    <n v="0"/>
  </r>
  <r>
    <x v="16"/>
    <x v="244"/>
    <s v="Raccords pompier M"/>
    <s v="RaccordsRaccords pompier MRaccords pompier M"/>
    <s v="1&quot;1/4"/>
    <n v="5"/>
    <s v="EXPM114"/>
    <m/>
    <m/>
    <n v="0"/>
    <m/>
    <m/>
    <m/>
    <m/>
    <m/>
    <m/>
    <n v="0"/>
    <m/>
    <m/>
    <m/>
    <m/>
    <n v="0"/>
    <n v="0"/>
    <n v="0"/>
    <n v="0"/>
    <n v="0"/>
    <n v="0"/>
    <n v="0"/>
  </r>
  <r>
    <x v="16"/>
    <x v="244"/>
    <s v="Raccords pompier M"/>
    <s v="RaccordsRaccords pompier MRaccords pompier M"/>
    <s v="1&quot;1/2"/>
    <n v="6"/>
    <s v="EXPM112"/>
    <m/>
    <m/>
    <n v="0"/>
    <m/>
    <m/>
    <m/>
    <m/>
    <m/>
    <m/>
    <n v="0"/>
    <m/>
    <m/>
    <m/>
    <m/>
    <n v="0"/>
    <n v="0"/>
    <n v="0"/>
    <n v="0"/>
    <n v="0"/>
    <n v="0"/>
    <n v="0"/>
  </r>
  <r>
    <x v="16"/>
    <x v="244"/>
    <s v="Raccords pompier M"/>
    <s v="RaccordsRaccords pompier MRaccords pompier M"/>
    <s v="2&quot;"/>
    <n v="7"/>
    <s v="EXPM2"/>
    <m/>
    <m/>
    <n v="0"/>
    <m/>
    <m/>
    <m/>
    <m/>
    <m/>
    <m/>
    <n v="0"/>
    <m/>
    <m/>
    <m/>
    <m/>
    <n v="0"/>
    <n v="0"/>
    <n v="0"/>
    <n v="0"/>
    <n v="0"/>
    <n v="0"/>
    <n v="0"/>
  </r>
  <r>
    <x v="16"/>
    <x v="245"/>
    <s v="RI  coudés"/>
    <s v="RaccordsRI  coudésRI  coudés"/>
    <m/>
    <n v="0"/>
    <m/>
    <m/>
    <m/>
    <n v="0"/>
    <m/>
    <m/>
    <m/>
    <m/>
    <m/>
    <m/>
    <n v="0"/>
    <m/>
    <m/>
    <m/>
    <m/>
    <n v="0"/>
    <n v="0"/>
    <n v="0"/>
    <n v="0"/>
    <n v="0"/>
    <n v="0"/>
    <n v="0"/>
  </r>
  <r>
    <x v="16"/>
    <x v="245"/>
    <s v="RI  coudés"/>
    <s v="RaccordsRI  coudésRI  coudés"/>
    <s v=" 1/8-4"/>
    <n v="1"/>
    <s v="RICM18D04"/>
    <m/>
    <m/>
    <n v="0"/>
    <m/>
    <m/>
    <m/>
    <m/>
    <m/>
    <m/>
    <n v="0"/>
    <m/>
    <m/>
    <m/>
    <m/>
    <n v="0"/>
    <n v="0"/>
    <n v="0"/>
    <n v="0"/>
    <n v="0"/>
    <n v="0"/>
    <n v="0"/>
  </r>
  <r>
    <x v="16"/>
    <x v="245"/>
    <s v="RI  coudés"/>
    <s v="RaccordsRI  coudésRI  coudés"/>
    <s v=" 1/8-6"/>
    <n v="2"/>
    <s v="RICM18D06"/>
    <m/>
    <m/>
    <n v="0"/>
    <m/>
    <m/>
    <m/>
    <m/>
    <m/>
    <m/>
    <n v="0"/>
    <m/>
    <m/>
    <m/>
    <m/>
    <n v="0"/>
    <n v="0"/>
    <n v="0"/>
    <n v="0"/>
    <n v="0"/>
    <n v="0"/>
    <n v="0"/>
  </r>
  <r>
    <x v="16"/>
    <x v="245"/>
    <s v="RI  coudés"/>
    <s v="RaccordsRI  coudésRI  coudés"/>
    <s v=" 1/8-8"/>
    <n v="3"/>
    <s v="RICM18D08"/>
    <m/>
    <m/>
    <n v="0"/>
    <m/>
    <m/>
    <m/>
    <m/>
    <m/>
    <m/>
    <n v="0"/>
    <m/>
    <m/>
    <m/>
    <m/>
    <n v="0"/>
    <n v="0"/>
    <n v="0"/>
    <n v="0"/>
    <n v="0"/>
    <n v="0"/>
    <n v="0"/>
  </r>
  <r>
    <x v="16"/>
    <x v="245"/>
    <s v="RI  coudés"/>
    <s v="RaccordsRI  coudésRI  coudés"/>
    <s v=" 1/4-6"/>
    <n v="4"/>
    <s v="RICM14D06"/>
    <m/>
    <m/>
    <n v="0"/>
    <m/>
    <m/>
    <m/>
    <m/>
    <m/>
    <m/>
    <n v="0"/>
    <m/>
    <m/>
    <m/>
    <m/>
    <n v="0"/>
    <n v="0"/>
    <n v="0"/>
    <n v="0"/>
    <n v="0"/>
    <n v="0"/>
    <n v="0"/>
  </r>
  <r>
    <x v="16"/>
    <x v="245"/>
    <s v="RI  coudés"/>
    <s v="RaccordsRI  coudésRI  coudés"/>
    <s v=" 1/4-8"/>
    <n v="5"/>
    <s v="RICM14D08"/>
    <m/>
    <m/>
    <n v="0"/>
    <m/>
    <m/>
    <m/>
    <m/>
    <m/>
    <m/>
    <n v="0"/>
    <m/>
    <m/>
    <m/>
    <m/>
    <n v="0"/>
    <n v="0"/>
    <n v="0"/>
    <n v="0"/>
    <n v="0"/>
    <n v="0"/>
    <n v="0"/>
  </r>
  <r>
    <x v="16"/>
    <x v="245"/>
    <s v="RI  coudés"/>
    <s v="RaccordsRI  coudésRI  coudés"/>
    <s v=" 1/4-10"/>
    <n v="6"/>
    <s v="RICM14D10"/>
    <m/>
    <m/>
    <n v="0"/>
    <m/>
    <m/>
    <m/>
    <m/>
    <m/>
    <m/>
    <n v="0"/>
    <m/>
    <m/>
    <m/>
    <m/>
    <n v="0"/>
    <n v="0"/>
    <n v="0"/>
    <n v="0"/>
    <n v="0"/>
    <n v="0"/>
    <n v="0"/>
  </r>
  <r>
    <x v="16"/>
    <x v="245"/>
    <s v="RI  coudés"/>
    <s v="RaccordsRI  coudésRI  coudés"/>
    <s v=" 3/8-8"/>
    <n v="7"/>
    <s v="RICM38D08"/>
    <m/>
    <m/>
    <n v="0"/>
    <m/>
    <m/>
    <m/>
    <m/>
    <m/>
    <m/>
    <n v="0"/>
    <m/>
    <m/>
    <m/>
    <m/>
    <n v="0"/>
    <n v="0"/>
    <n v="0"/>
    <n v="0"/>
    <n v="0"/>
    <n v="0"/>
    <n v="0"/>
  </r>
  <r>
    <x v="16"/>
    <x v="245"/>
    <s v="RI  coudés"/>
    <s v="RaccordsRI  coudésRI  coudés"/>
    <s v=" 3/8-10"/>
    <n v="8"/>
    <s v="RICM38D10"/>
    <m/>
    <m/>
    <n v="0"/>
    <m/>
    <m/>
    <m/>
    <m/>
    <m/>
    <m/>
    <n v="0"/>
    <m/>
    <m/>
    <m/>
    <m/>
    <n v="0"/>
    <n v="0"/>
    <n v="0"/>
    <n v="0"/>
    <n v="0"/>
    <n v="0"/>
    <n v="0"/>
  </r>
  <r>
    <x v="16"/>
    <x v="245"/>
    <s v="RI  coudés"/>
    <s v="RaccordsRI  coudésRI  coudés"/>
    <s v=" 3/8-12"/>
    <n v="9"/>
    <s v="RICM38D12"/>
    <m/>
    <m/>
    <n v="0"/>
    <m/>
    <m/>
    <m/>
    <m/>
    <m/>
    <m/>
    <n v="0"/>
    <m/>
    <m/>
    <m/>
    <m/>
    <n v="0"/>
    <n v="0"/>
    <n v="0"/>
    <n v="0"/>
    <n v="0"/>
    <n v="0"/>
    <n v="0"/>
  </r>
  <r>
    <x v="16"/>
    <x v="245"/>
    <s v="RI  coudés"/>
    <s v="RaccordsRI  coudésRI  coudés"/>
    <s v=" 1/2-12"/>
    <n v="10"/>
    <s v="RICM12D12"/>
    <m/>
    <m/>
    <n v="0"/>
    <m/>
    <m/>
    <m/>
    <m/>
    <m/>
    <m/>
    <n v="0"/>
    <m/>
    <m/>
    <m/>
    <m/>
    <n v="0"/>
    <n v="0"/>
    <n v="0"/>
    <n v="0"/>
    <n v="0"/>
    <n v="0"/>
    <n v="0"/>
  </r>
  <r>
    <x v="16"/>
    <x v="246"/>
    <s v="RI  droits"/>
    <s v="RaccordsRI  droitsRI  droits"/>
    <m/>
    <n v="0"/>
    <m/>
    <m/>
    <m/>
    <n v="0"/>
    <m/>
    <m/>
    <m/>
    <m/>
    <m/>
    <m/>
    <n v="0"/>
    <m/>
    <m/>
    <m/>
    <m/>
    <n v="0"/>
    <n v="0"/>
    <n v="0"/>
    <n v="0"/>
    <n v="0"/>
    <n v="0"/>
    <n v="0"/>
  </r>
  <r>
    <x v="16"/>
    <x v="246"/>
    <s v="RI  droits"/>
    <s v="RaccordsRI  droitsRI  droits"/>
    <s v=" 1/8-4"/>
    <n v="1"/>
    <s v="RIDM18D04"/>
    <m/>
    <m/>
    <n v="0"/>
    <m/>
    <m/>
    <m/>
    <m/>
    <m/>
    <m/>
    <n v="0"/>
    <m/>
    <m/>
    <m/>
    <m/>
    <n v="0"/>
    <n v="0"/>
    <n v="0"/>
    <n v="0"/>
    <n v="0"/>
    <n v="0"/>
    <n v="0"/>
  </r>
  <r>
    <x v="16"/>
    <x v="246"/>
    <s v="RI  droits"/>
    <s v="RaccordsRI  droitsRI  droits"/>
    <s v=" 1/8-6"/>
    <n v="2"/>
    <s v="RIDM18D06"/>
    <m/>
    <m/>
    <n v="0"/>
    <m/>
    <m/>
    <m/>
    <m/>
    <m/>
    <m/>
    <n v="0"/>
    <m/>
    <m/>
    <m/>
    <m/>
    <n v="0"/>
    <n v="0"/>
    <n v="0"/>
    <n v="0"/>
    <n v="0"/>
    <n v="0"/>
    <n v="0"/>
  </r>
  <r>
    <x v="16"/>
    <x v="246"/>
    <s v="RI  droits"/>
    <s v="RaccordsRI  droitsRI  droits"/>
    <s v=" 1/8-8"/>
    <n v="3"/>
    <s v="RIDM18D08"/>
    <m/>
    <m/>
    <n v="0"/>
    <m/>
    <m/>
    <m/>
    <m/>
    <m/>
    <m/>
    <n v="0"/>
    <m/>
    <m/>
    <m/>
    <m/>
    <n v="0"/>
    <n v="0"/>
    <n v="0"/>
    <n v="0"/>
    <n v="0"/>
    <n v="0"/>
    <n v="0"/>
  </r>
  <r>
    <x v="16"/>
    <x v="246"/>
    <s v="RI  droits"/>
    <s v="RaccordsRI  droitsRI  droits"/>
    <s v="1/4 4"/>
    <n v="4"/>
    <s v="RIDM14D04"/>
    <m/>
    <m/>
    <n v="0"/>
    <m/>
    <m/>
    <m/>
    <m/>
    <m/>
    <m/>
    <n v="0"/>
    <m/>
    <m/>
    <m/>
    <m/>
    <n v="0"/>
    <n v="0"/>
    <n v="0"/>
    <n v="0"/>
    <n v="0"/>
    <n v="0"/>
    <n v="0"/>
  </r>
  <r>
    <x v="16"/>
    <x v="246"/>
    <s v="RI  droits"/>
    <s v="RaccordsRI  droitsRI  droits"/>
    <s v=" 1/4-6"/>
    <n v="5"/>
    <s v="RIDM14D06"/>
    <m/>
    <m/>
    <n v="0"/>
    <m/>
    <m/>
    <m/>
    <m/>
    <m/>
    <m/>
    <n v="0"/>
    <m/>
    <m/>
    <m/>
    <m/>
    <n v="0"/>
    <n v="0"/>
    <n v="0"/>
    <n v="0"/>
    <n v="0"/>
    <n v="0"/>
    <n v="0"/>
  </r>
  <r>
    <x v="16"/>
    <x v="246"/>
    <s v="RI  droits"/>
    <s v="RaccordsRI  droitsRI  droits"/>
    <s v=" 1/4-8"/>
    <n v="6"/>
    <s v="RIDM14D08"/>
    <m/>
    <m/>
    <n v="0"/>
    <m/>
    <m/>
    <m/>
    <m/>
    <m/>
    <m/>
    <n v="0"/>
    <m/>
    <m/>
    <m/>
    <m/>
    <n v="0"/>
    <n v="0"/>
    <n v="0"/>
    <n v="0"/>
    <n v="0"/>
    <n v="0"/>
    <n v="0"/>
  </r>
  <r>
    <x v="16"/>
    <x v="246"/>
    <s v="RI  droits"/>
    <s v="RaccordsRI  droitsRI  droits"/>
    <s v=" 1/4-10"/>
    <n v="7"/>
    <s v="RIDM14D10"/>
    <m/>
    <m/>
    <n v="0"/>
    <m/>
    <m/>
    <m/>
    <m/>
    <m/>
    <m/>
    <n v="0"/>
    <m/>
    <m/>
    <m/>
    <m/>
    <n v="0"/>
    <n v="0"/>
    <n v="0"/>
    <n v="0"/>
    <n v="0"/>
    <n v="0"/>
    <n v="0"/>
  </r>
  <r>
    <x v="16"/>
    <x v="246"/>
    <s v="RI  droits"/>
    <s v="RaccordsRI  droitsRI  droits"/>
    <s v=" 1/4-12"/>
    <n v="8"/>
    <s v="RIDM14D12"/>
    <m/>
    <m/>
    <n v="0"/>
    <m/>
    <m/>
    <m/>
    <m/>
    <m/>
    <m/>
    <n v="0"/>
    <m/>
    <m/>
    <m/>
    <m/>
    <n v="0"/>
    <n v="0"/>
    <n v="0"/>
    <n v="0"/>
    <n v="0"/>
    <n v="0"/>
    <n v="0"/>
  </r>
  <r>
    <x v="16"/>
    <x v="246"/>
    <s v="RI  droits"/>
    <s v="RaccordsRI  droitsRI  droits"/>
    <s v=" 3/8-8"/>
    <n v="9"/>
    <s v="RIDM38D08"/>
    <m/>
    <m/>
    <n v="0"/>
    <m/>
    <m/>
    <m/>
    <m/>
    <m/>
    <m/>
    <n v="0"/>
    <m/>
    <m/>
    <m/>
    <m/>
    <n v="0"/>
    <n v="0"/>
    <n v="0"/>
    <n v="0"/>
    <n v="0"/>
    <n v="0"/>
    <n v="0"/>
  </r>
  <r>
    <x v="16"/>
    <x v="246"/>
    <s v="RI  droits"/>
    <s v="RaccordsRI  droitsRI  droits"/>
    <s v=" 3/8-10"/>
    <n v="10"/>
    <s v="RIDM38D10"/>
    <m/>
    <m/>
    <n v="0"/>
    <m/>
    <m/>
    <m/>
    <m/>
    <m/>
    <m/>
    <n v="0"/>
    <m/>
    <m/>
    <m/>
    <m/>
    <n v="0"/>
    <n v="0"/>
    <n v="0"/>
    <n v="0"/>
    <n v="0"/>
    <n v="0"/>
    <n v="0"/>
  </r>
  <r>
    <x v="16"/>
    <x v="246"/>
    <s v="RI  droits"/>
    <s v="RaccordsRI  droitsRI  droits"/>
    <s v=" 3/8-12"/>
    <n v="11"/>
    <s v="RIDM38D12"/>
    <m/>
    <m/>
    <n v="0"/>
    <m/>
    <m/>
    <m/>
    <m/>
    <m/>
    <m/>
    <n v="0"/>
    <m/>
    <m/>
    <m/>
    <m/>
    <n v="0"/>
    <n v="0"/>
    <n v="0"/>
    <n v="0"/>
    <n v="0"/>
    <n v="0"/>
    <n v="0"/>
  </r>
  <r>
    <x v="16"/>
    <x v="246"/>
    <s v="RI  droits"/>
    <s v="RaccordsRI  droitsRI  droits"/>
    <s v="3/8 14"/>
    <n v="12"/>
    <s v="RIDM38D14"/>
    <m/>
    <m/>
    <n v="0"/>
    <m/>
    <m/>
    <m/>
    <m/>
    <m/>
    <m/>
    <n v="0"/>
    <m/>
    <m/>
    <m/>
    <m/>
    <n v="0"/>
    <n v="0"/>
    <n v="0"/>
    <n v="0"/>
    <n v="0"/>
    <n v="0"/>
    <n v="0"/>
  </r>
  <r>
    <x v="16"/>
    <x v="246"/>
    <s v="RI  droits"/>
    <s v="RaccordsRI  droitsRI  droits"/>
    <s v=" 1/2-10"/>
    <n v="13"/>
    <s v="RIDM12D10"/>
    <m/>
    <m/>
    <n v="0"/>
    <m/>
    <m/>
    <m/>
    <m/>
    <m/>
    <m/>
    <n v="0"/>
    <m/>
    <m/>
    <m/>
    <m/>
    <n v="0"/>
    <n v="0"/>
    <n v="0"/>
    <n v="0"/>
    <n v="0"/>
    <n v="0"/>
    <n v="0"/>
  </r>
  <r>
    <x v="16"/>
    <x v="246"/>
    <s v="RI  droits"/>
    <s v="RaccordsRI  droitsRI  droits"/>
    <s v=" 1/2-12"/>
    <n v="14"/>
    <s v="RIDM12D12"/>
    <m/>
    <m/>
    <n v="0"/>
    <m/>
    <m/>
    <m/>
    <m/>
    <m/>
    <m/>
    <n v="0"/>
    <m/>
    <m/>
    <m/>
    <m/>
    <n v="0"/>
    <n v="0"/>
    <n v="0"/>
    <n v="0"/>
    <n v="0"/>
    <n v="0"/>
    <n v="0"/>
  </r>
  <r>
    <x v="16"/>
    <x v="246"/>
    <s v="RI  droits"/>
    <s v="RaccordsRI  droitsRI  droits"/>
    <s v="1/2 14"/>
    <n v="15"/>
    <s v="RIDM12D14"/>
    <m/>
    <m/>
    <n v="0"/>
    <m/>
    <m/>
    <m/>
    <m/>
    <m/>
    <m/>
    <n v="0"/>
    <m/>
    <m/>
    <m/>
    <m/>
    <n v="0"/>
    <n v="0"/>
    <n v="0"/>
    <n v="0"/>
    <n v="0"/>
    <n v="0"/>
    <n v="0"/>
  </r>
  <r>
    <x v="16"/>
    <x v="247"/>
    <s v="RI  gaz femelle droit"/>
    <s v="RaccordsRI  gaz femelle droitRI  gaz femelle droit"/>
    <m/>
    <n v="0"/>
    <m/>
    <m/>
    <m/>
    <n v="0"/>
    <m/>
    <m/>
    <m/>
    <m/>
    <m/>
    <m/>
    <n v="0"/>
    <m/>
    <m/>
    <m/>
    <m/>
    <n v="0"/>
    <n v="0"/>
    <n v="0"/>
    <n v="0"/>
    <n v="0"/>
    <n v="0"/>
    <n v="0"/>
  </r>
  <r>
    <x v="16"/>
    <x v="247"/>
    <s v="RI  gaz femelle droit"/>
    <s v="RaccordsRI  gaz femelle droitRI  gaz femelle droit"/>
    <s v="1/8 6  -  31140610"/>
    <n v="1"/>
    <s v="RIDF18D06"/>
    <m/>
    <m/>
    <n v="0"/>
    <m/>
    <m/>
    <m/>
    <m/>
    <m/>
    <m/>
    <n v="0"/>
    <m/>
    <m/>
    <m/>
    <m/>
    <n v="0"/>
    <n v="0"/>
    <n v="0"/>
    <n v="0"/>
    <n v="0"/>
    <n v="0"/>
    <n v="0"/>
  </r>
  <r>
    <x v="16"/>
    <x v="247"/>
    <s v="RI  gaz femelle droit"/>
    <s v="RaccordsRI  gaz femelle droitRI  gaz femelle droit"/>
    <s v="1/4 6  -  31140613"/>
    <n v="2"/>
    <s v="RIDF14D06"/>
    <m/>
    <m/>
    <n v="0"/>
    <m/>
    <m/>
    <m/>
    <m/>
    <m/>
    <m/>
    <n v="0"/>
    <m/>
    <m/>
    <m/>
    <m/>
    <n v="0"/>
    <n v="0"/>
    <n v="0"/>
    <n v="0"/>
    <n v="0"/>
    <n v="0"/>
    <n v="0"/>
  </r>
  <r>
    <x v="16"/>
    <x v="247"/>
    <s v="RI  gaz femelle droit"/>
    <s v="RaccordsRI  gaz femelle droitRI  gaz femelle droit"/>
    <s v="1/8 8  -  31140810"/>
    <n v="3"/>
    <s v="RIDF18D08"/>
    <m/>
    <m/>
    <n v="0"/>
    <m/>
    <m/>
    <m/>
    <m/>
    <m/>
    <m/>
    <n v="0"/>
    <m/>
    <m/>
    <m/>
    <m/>
    <n v="0"/>
    <n v="0"/>
    <n v="0"/>
    <n v="0"/>
    <n v="0"/>
    <n v="0"/>
    <n v="0"/>
  </r>
  <r>
    <x v="16"/>
    <x v="247"/>
    <s v="RI  gaz femelle droit"/>
    <s v="RaccordsRI  gaz femelle droitRI  gaz femelle droit"/>
    <s v="1/4 8  -  31140813"/>
    <n v="4"/>
    <s v="RIDF14D08"/>
    <m/>
    <m/>
    <n v="0"/>
    <m/>
    <m/>
    <m/>
    <m/>
    <m/>
    <m/>
    <n v="0"/>
    <m/>
    <m/>
    <m/>
    <m/>
    <n v="0"/>
    <n v="0"/>
    <n v="0"/>
    <n v="0"/>
    <n v="0"/>
    <n v="0"/>
    <n v="0"/>
  </r>
  <r>
    <x v="16"/>
    <x v="247"/>
    <s v="RI  gaz femelle droit"/>
    <s v="RaccordsRI  gaz femelle droitRI  gaz femelle droit"/>
    <s v="3/8 8  -  31140817"/>
    <n v="5"/>
    <s v="RIDF38D08"/>
    <m/>
    <m/>
    <n v="0"/>
    <m/>
    <m/>
    <m/>
    <m/>
    <m/>
    <m/>
    <n v="0"/>
    <m/>
    <m/>
    <m/>
    <m/>
    <n v="0"/>
    <n v="0"/>
    <n v="0"/>
    <n v="0"/>
    <n v="0"/>
    <n v="0"/>
    <n v="0"/>
  </r>
  <r>
    <x v="16"/>
    <x v="247"/>
    <s v="RI  gaz femelle droit"/>
    <s v="RaccordsRI  gaz femelle droitRI  gaz femelle droit"/>
    <s v=" 1/4-10  -  31141013"/>
    <n v="6"/>
    <s v="RIDF14D10"/>
    <m/>
    <m/>
    <n v="0"/>
    <m/>
    <m/>
    <m/>
    <m/>
    <m/>
    <m/>
    <n v="0"/>
    <m/>
    <m/>
    <m/>
    <m/>
    <n v="0"/>
    <n v="0"/>
    <n v="0"/>
    <n v="0"/>
    <n v="0"/>
    <n v="0"/>
    <n v="0"/>
  </r>
  <r>
    <x v="16"/>
    <x v="247"/>
    <s v="RI  gaz femelle droit"/>
    <s v="RaccordsRI  gaz femelle droitRI  gaz femelle droit"/>
    <s v=" 3/8-10  -  31141017"/>
    <n v="7"/>
    <s v="RIDF38D10"/>
    <m/>
    <m/>
    <n v="0"/>
    <m/>
    <m/>
    <m/>
    <m/>
    <m/>
    <m/>
    <n v="0"/>
    <m/>
    <m/>
    <m/>
    <m/>
    <n v="0"/>
    <n v="0"/>
    <n v="0"/>
    <n v="0"/>
    <n v="0"/>
    <n v="0"/>
    <n v="0"/>
  </r>
  <r>
    <x v="16"/>
    <x v="247"/>
    <s v="RI  gaz femelle droit"/>
    <s v="RaccordsRI  gaz femelle droitRI  gaz femelle droit"/>
    <s v=" 3/8-12  -  31141217"/>
    <n v="8"/>
    <s v="RIDF38D12"/>
    <m/>
    <m/>
    <n v="0"/>
    <m/>
    <m/>
    <m/>
    <m/>
    <m/>
    <m/>
    <n v="0"/>
    <m/>
    <m/>
    <m/>
    <m/>
    <n v="0"/>
    <n v="0"/>
    <n v="0"/>
    <n v="0"/>
    <n v="0"/>
    <n v="0"/>
    <n v="0"/>
  </r>
  <r>
    <x v="16"/>
    <x v="247"/>
    <s v="RI  gaz femelle droit"/>
    <s v="RaccordsRI  gaz femelle droitRI  gaz femelle droit"/>
    <s v=" 1/2-12  -  31141221"/>
    <n v="9"/>
    <s v="RIDF12D12"/>
    <m/>
    <m/>
    <n v="0"/>
    <m/>
    <m/>
    <m/>
    <m/>
    <m/>
    <m/>
    <n v="0"/>
    <m/>
    <m/>
    <m/>
    <m/>
    <n v="0"/>
    <n v="0"/>
    <n v="0"/>
    <n v="0"/>
    <n v="0"/>
    <n v="0"/>
    <n v="0"/>
  </r>
  <r>
    <x v="16"/>
    <x v="248"/>
    <s v="RI  réduction"/>
    <s v="RaccordsRI  réductionRI  réduction"/>
    <m/>
    <n v="0"/>
    <m/>
    <m/>
    <m/>
    <n v="0"/>
    <m/>
    <m/>
    <m/>
    <m/>
    <m/>
    <m/>
    <n v="0"/>
    <m/>
    <m/>
    <m/>
    <m/>
    <n v="0"/>
    <n v="0"/>
    <n v="0"/>
    <n v="0"/>
    <n v="0"/>
    <n v="0"/>
    <n v="0"/>
  </r>
  <r>
    <x v="16"/>
    <x v="248"/>
    <s v="RI  réduction"/>
    <s v="RaccordsRI  réductionRI  réduction"/>
    <s v=" 6-4"/>
    <n v="1"/>
    <n v="31660406"/>
    <m/>
    <m/>
    <n v="0"/>
    <m/>
    <m/>
    <m/>
    <m/>
    <m/>
    <m/>
    <n v="0"/>
    <m/>
    <m/>
    <m/>
    <m/>
    <n v="0"/>
    <n v="0"/>
    <n v="0"/>
    <n v="0"/>
    <n v="0"/>
    <n v="0"/>
    <n v="0"/>
  </r>
  <r>
    <x v="16"/>
    <x v="248"/>
    <s v="RI  réduction"/>
    <s v="RaccordsRI  réductionRI  réduction"/>
    <s v=" 8-6"/>
    <n v="2"/>
    <n v="31660608"/>
    <m/>
    <m/>
    <n v="0"/>
    <m/>
    <m/>
    <m/>
    <m/>
    <m/>
    <m/>
    <n v="0"/>
    <m/>
    <m/>
    <m/>
    <m/>
    <n v="0"/>
    <n v="0"/>
    <n v="0"/>
    <n v="0"/>
    <n v="0"/>
    <n v="0"/>
    <n v="0"/>
  </r>
  <r>
    <x v="16"/>
    <x v="248"/>
    <s v="RI  réduction"/>
    <s v="RaccordsRI  réductionRI  réduction"/>
    <s v=" 10-8"/>
    <n v="3"/>
    <n v="31660810"/>
    <m/>
    <m/>
    <n v="0"/>
    <m/>
    <m/>
    <m/>
    <m/>
    <m/>
    <m/>
    <n v="0"/>
    <m/>
    <m/>
    <m/>
    <m/>
    <n v="0"/>
    <n v="0"/>
    <n v="0"/>
    <n v="0"/>
    <n v="0"/>
    <n v="0"/>
    <n v="0"/>
  </r>
  <r>
    <x v="16"/>
    <x v="248"/>
    <s v="RI  réduction"/>
    <s v="RaccordsRI  réductionRI  réduction"/>
    <s v=" 12-8"/>
    <n v="4"/>
    <n v="31660812"/>
    <m/>
    <m/>
    <n v="0"/>
    <m/>
    <m/>
    <m/>
    <m/>
    <m/>
    <m/>
    <n v="0"/>
    <m/>
    <m/>
    <m/>
    <m/>
    <n v="0"/>
    <n v="0"/>
    <n v="0"/>
    <n v="0"/>
    <n v="0"/>
    <n v="0"/>
    <n v="0"/>
  </r>
  <r>
    <x v="16"/>
    <x v="248"/>
    <s v="RI  réduction"/>
    <s v="RaccordsRI  réductionRI  réduction"/>
    <s v=" 12-10"/>
    <n v="5"/>
    <n v="31661012"/>
    <m/>
    <m/>
    <n v="0"/>
    <m/>
    <m/>
    <m/>
    <m/>
    <m/>
    <m/>
    <n v="0"/>
    <m/>
    <m/>
    <m/>
    <m/>
    <n v="0"/>
    <n v="0"/>
    <n v="0"/>
    <n v="0"/>
    <n v="0"/>
    <n v="0"/>
    <n v="0"/>
  </r>
  <r>
    <x v="16"/>
    <x v="249"/>
    <s v="RI  té au centre"/>
    <s v="RaccordsRI  té au centreRI  té au centre"/>
    <m/>
    <n v="0"/>
    <m/>
    <m/>
    <m/>
    <n v="0"/>
    <m/>
    <m/>
    <m/>
    <m/>
    <m/>
    <m/>
    <n v="0"/>
    <m/>
    <m/>
    <m/>
    <m/>
    <n v="0"/>
    <n v="0"/>
    <n v="0"/>
    <n v="0"/>
    <n v="0"/>
    <n v="0"/>
    <n v="0"/>
  </r>
  <r>
    <x v="16"/>
    <x v="249"/>
    <s v="RI  té au centre"/>
    <s v="RaccordsRI  té au centreRI  té au centre"/>
    <s v="1/8 4"/>
    <n v="1"/>
    <s v="RIT18D04"/>
    <m/>
    <m/>
    <n v="0"/>
    <m/>
    <m/>
    <m/>
    <m/>
    <m/>
    <m/>
    <n v="0"/>
    <m/>
    <m/>
    <m/>
    <m/>
    <n v="0"/>
    <n v="0"/>
    <n v="0"/>
    <n v="0"/>
    <n v="0"/>
    <n v="0"/>
    <n v="0"/>
  </r>
  <r>
    <x v="16"/>
    <x v="249"/>
    <s v="RI  té au centre"/>
    <s v="RaccordsRI  té au centreRI  té au centre"/>
    <s v=" 1/8-6"/>
    <n v="2"/>
    <s v="RIT18D06"/>
    <m/>
    <m/>
    <n v="0"/>
    <m/>
    <m/>
    <m/>
    <m/>
    <m/>
    <m/>
    <n v="0"/>
    <m/>
    <m/>
    <m/>
    <m/>
    <n v="0"/>
    <n v="0"/>
    <n v="0"/>
    <n v="0"/>
    <n v="0"/>
    <n v="0"/>
    <n v="0"/>
  </r>
  <r>
    <x v="16"/>
    <x v="249"/>
    <s v="RI  té au centre"/>
    <s v="RaccordsRI  té au centreRI  té au centre"/>
    <s v=" 1/8-8"/>
    <n v="3"/>
    <s v="RIT18D08"/>
    <m/>
    <m/>
    <n v="0"/>
    <m/>
    <m/>
    <m/>
    <m/>
    <m/>
    <m/>
    <n v="0"/>
    <m/>
    <m/>
    <m/>
    <m/>
    <n v="0"/>
    <n v="0"/>
    <n v="0"/>
    <n v="0"/>
    <n v="0"/>
    <n v="0"/>
    <n v="0"/>
  </r>
  <r>
    <x v="16"/>
    <x v="249"/>
    <s v="RI  té au centre"/>
    <s v="RaccordsRI  té au centreRI  té au centre"/>
    <s v=" 1/4-6"/>
    <n v="4"/>
    <s v="RIT14D06"/>
    <m/>
    <m/>
    <n v="0"/>
    <m/>
    <m/>
    <m/>
    <m/>
    <m/>
    <m/>
    <n v="0"/>
    <m/>
    <m/>
    <m/>
    <m/>
    <n v="0"/>
    <n v="0"/>
    <n v="0"/>
    <n v="0"/>
    <n v="0"/>
    <n v="0"/>
    <n v="0"/>
  </r>
  <r>
    <x v="16"/>
    <x v="249"/>
    <s v="RI  té au centre"/>
    <s v="RaccordsRI  té au centreRI  té au centre"/>
    <s v=" 1/4-8"/>
    <n v="5"/>
    <s v="RIT14D08"/>
    <m/>
    <m/>
    <n v="0"/>
    <m/>
    <m/>
    <m/>
    <m/>
    <m/>
    <m/>
    <n v="0"/>
    <m/>
    <m/>
    <m/>
    <m/>
    <n v="0"/>
    <n v="0"/>
    <n v="0"/>
    <n v="0"/>
    <n v="0"/>
    <n v="0"/>
    <n v="0"/>
  </r>
  <r>
    <x v="16"/>
    <x v="249"/>
    <s v="RI  té au centre"/>
    <s v="RaccordsRI  té au centreRI  té au centre"/>
    <s v="1/4 10"/>
    <n v="6"/>
    <s v="RIT14D10"/>
    <m/>
    <m/>
    <n v="0"/>
    <m/>
    <m/>
    <m/>
    <m/>
    <m/>
    <m/>
    <n v="0"/>
    <m/>
    <m/>
    <m/>
    <m/>
    <n v="0"/>
    <n v="0"/>
    <n v="0"/>
    <n v="0"/>
    <n v="0"/>
    <n v="0"/>
    <n v="0"/>
  </r>
  <r>
    <x v="16"/>
    <x v="249"/>
    <s v="RI  té au centre"/>
    <s v="RaccordsRI  té au centreRI  té au centre"/>
    <s v=" 3/8-8"/>
    <n v="7"/>
    <s v="RIT38D08"/>
    <m/>
    <m/>
    <n v="0"/>
    <m/>
    <m/>
    <m/>
    <m/>
    <m/>
    <m/>
    <n v="0"/>
    <m/>
    <m/>
    <m/>
    <m/>
    <n v="0"/>
    <n v="0"/>
    <n v="0"/>
    <n v="0"/>
    <n v="0"/>
    <n v="0"/>
    <n v="0"/>
  </r>
  <r>
    <x v="16"/>
    <x v="249"/>
    <s v="RI  té au centre"/>
    <s v="RaccordsRI  té au centreRI  té au centre"/>
    <s v=" 3/8-10"/>
    <n v="8"/>
    <s v="RIT38D10"/>
    <m/>
    <m/>
    <n v="0"/>
    <m/>
    <m/>
    <m/>
    <m/>
    <m/>
    <m/>
    <n v="0"/>
    <m/>
    <m/>
    <m/>
    <m/>
    <n v="0"/>
    <n v="0"/>
    <n v="0"/>
    <n v="0"/>
    <n v="0"/>
    <n v="0"/>
    <n v="0"/>
  </r>
  <r>
    <x v="16"/>
    <x v="249"/>
    <s v="RI  té au centre"/>
    <s v="RaccordsRI  té au centreRI  té au centre"/>
    <s v=" 3/8-12"/>
    <n v="9"/>
    <s v="RIT38D12"/>
    <m/>
    <m/>
    <n v="0"/>
    <m/>
    <m/>
    <m/>
    <m/>
    <m/>
    <m/>
    <n v="0"/>
    <m/>
    <m/>
    <m/>
    <m/>
    <n v="0"/>
    <n v="0"/>
    <n v="0"/>
    <n v="0"/>
    <n v="0"/>
    <n v="0"/>
    <n v="0"/>
  </r>
  <r>
    <x v="16"/>
    <x v="250"/>
    <s v="RI  té egal"/>
    <s v="RaccordsRI  té egalRI  té egal"/>
    <m/>
    <n v="0"/>
    <m/>
    <m/>
    <m/>
    <n v="0"/>
    <m/>
    <m/>
    <m/>
    <m/>
    <m/>
    <m/>
    <n v="0"/>
    <m/>
    <m/>
    <m/>
    <m/>
    <n v="0"/>
    <n v="0"/>
    <n v="0"/>
    <n v="0"/>
    <n v="0"/>
    <n v="0"/>
    <n v="0"/>
  </r>
  <r>
    <x v="16"/>
    <x v="250"/>
    <s v="RI  té egal"/>
    <s v="RaccordsRI  té egalRI  té egal"/>
    <n v="4"/>
    <n v="1"/>
    <s v="RITD04"/>
    <m/>
    <m/>
    <n v="0"/>
    <m/>
    <m/>
    <m/>
    <m/>
    <m/>
    <m/>
    <n v="0"/>
    <m/>
    <m/>
    <m/>
    <m/>
    <n v="0"/>
    <n v="0"/>
    <n v="0"/>
    <n v="0"/>
    <n v="0"/>
    <n v="0"/>
    <n v="0"/>
  </r>
  <r>
    <x v="16"/>
    <x v="250"/>
    <s v="RI  té egal"/>
    <s v="RaccordsRI  té egalRI  té egal"/>
    <n v="6"/>
    <n v="2"/>
    <s v="RITD06"/>
    <m/>
    <m/>
    <n v="0"/>
    <m/>
    <m/>
    <m/>
    <m/>
    <m/>
    <m/>
    <n v="0"/>
    <m/>
    <m/>
    <m/>
    <m/>
    <n v="0"/>
    <n v="0"/>
    <n v="0"/>
    <n v="0"/>
    <n v="0"/>
    <n v="0"/>
    <n v="0"/>
  </r>
  <r>
    <x v="16"/>
    <x v="250"/>
    <s v="RI  té egal"/>
    <s v="RaccordsRI  té egalRI  té egal"/>
    <n v="8"/>
    <n v="3"/>
    <s v="RITD08"/>
    <m/>
    <m/>
    <n v="0"/>
    <m/>
    <m/>
    <m/>
    <m/>
    <m/>
    <m/>
    <n v="0"/>
    <m/>
    <m/>
    <m/>
    <m/>
    <n v="0"/>
    <n v="0"/>
    <n v="0"/>
    <n v="0"/>
    <n v="0"/>
    <n v="0"/>
    <n v="0"/>
  </r>
  <r>
    <x v="16"/>
    <x v="250"/>
    <s v="RI  té egal"/>
    <s v="RaccordsRI  té egalRI  té egal"/>
    <n v="10"/>
    <n v="4"/>
    <s v="RITD10"/>
    <m/>
    <m/>
    <n v="0"/>
    <m/>
    <m/>
    <m/>
    <m/>
    <m/>
    <m/>
    <n v="0"/>
    <m/>
    <m/>
    <m/>
    <m/>
    <n v="0"/>
    <n v="0"/>
    <n v="0"/>
    <n v="0"/>
    <n v="0"/>
    <n v="0"/>
    <n v="0"/>
  </r>
  <r>
    <x v="16"/>
    <x v="250"/>
    <s v="RI  té egal"/>
    <s v="RaccordsRI  té egalRI  té egal"/>
    <n v="12"/>
    <n v="5"/>
    <s v="RITD12"/>
    <m/>
    <m/>
    <n v="0"/>
    <m/>
    <m/>
    <m/>
    <m/>
    <m/>
    <m/>
    <n v="0"/>
    <m/>
    <m/>
    <m/>
    <m/>
    <n v="0"/>
    <n v="0"/>
    <n v="0"/>
    <n v="0"/>
    <n v="0"/>
    <n v="0"/>
    <n v="0"/>
  </r>
  <r>
    <x v="16"/>
    <x v="251"/>
    <s v="RI double"/>
    <s v="RaccordsRI doubleRI double"/>
    <m/>
    <n v="0"/>
    <m/>
    <m/>
    <m/>
    <n v="0"/>
    <m/>
    <m/>
    <m/>
    <m/>
    <m/>
    <m/>
    <n v="0"/>
    <m/>
    <m/>
    <m/>
    <m/>
    <n v="0"/>
    <n v="0"/>
    <n v="0"/>
    <n v="0"/>
    <n v="0"/>
    <n v="0"/>
    <n v="0"/>
  </r>
  <r>
    <x v="16"/>
    <x v="251"/>
    <s v="RI double"/>
    <s v="RaccordsRI doubleRI double"/>
    <n v="4"/>
    <n v="1"/>
    <s v="RIUD04"/>
    <m/>
    <m/>
    <n v="0"/>
    <m/>
    <m/>
    <m/>
    <m/>
    <m/>
    <m/>
    <n v="0"/>
    <m/>
    <m/>
    <m/>
    <m/>
    <n v="0"/>
    <n v="0"/>
    <n v="0"/>
    <n v="0"/>
    <n v="0"/>
    <n v="0"/>
    <n v="0"/>
  </r>
  <r>
    <x v="16"/>
    <x v="251"/>
    <s v="RI double"/>
    <s v="RaccordsRI doubleRI double"/>
    <n v="6"/>
    <n v="2"/>
    <s v="RIUD06"/>
    <m/>
    <m/>
    <n v="0"/>
    <m/>
    <m/>
    <m/>
    <m/>
    <m/>
    <m/>
    <n v="0"/>
    <m/>
    <m/>
    <m/>
    <m/>
    <n v="0"/>
    <n v="0"/>
    <n v="0"/>
    <n v="0"/>
    <n v="0"/>
    <n v="0"/>
    <n v="0"/>
  </r>
  <r>
    <x v="16"/>
    <x v="251"/>
    <s v="RI double"/>
    <s v="RaccordsRI doubleRI double"/>
    <n v="8"/>
    <n v="3"/>
    <s v="RIUD08"/>
    <m/>
    <m/>
    <n v="0"/>
    <m/>
    <m/>
    <m/>
    <m/>
    <m/>
    <m/>
    <n v="0"/>
    <m/>
    <m/>
    <m/>
    <m/>
    <n v="0"/>
    <n v="0"/>
    <n v="0"/>
    <n v="0"/>
    <n v="0"/>
    <n v="0"/>
    <n v="0"/>
  </r>
  <r>
    <x v="16"/>
    <x v="251"/>
    <s v="RI double"/>
    <s v="RaccordsRI doubleRI double"/>
    <n v="10"/>
    <n v="4"/>
    <s v="RIUD10"/>
    <m/>
    <m/>
    <n v="0"/>
    <m/>
    <m/>
    <m/>
    <m/>
    <m/>
    <m/>
    <n v="0"/>
    <m/>
    <m/>
    <m/>
    <m/>
    <n v="0"/>
    <n v="0"/>
    <n v="0"/>
    <n v="0"/>
    <n v="0"/>
    <n v="0"/>
    <n v="0"/>
  </r>
  <r>
    <x v="16"/>
    <x v="251"/>
    <s v="RI double"/>
    <s v="RaccordsRI doubleRI double"/>
    <n v="12"/>
    <n v="5"/>
    <s v="RIUD12"/>
    <m/>
    <m/>
    <n v="0"/>
    <m/>
    <m/>
    <m/>
    <m/>
    <m/>
    <m/>
    <n v="0"/>
    <m/>
    <m/>
    <m/>
    <m/>
    <n v="0"/>
    <n v="0"/>
    <n v="0"/>
    <n v="0"/>
    <n v="0"/>
    <n v="0"/>
    <n v="0"/>
  </r>
  <r>
    <x v="16"/>
    <x v="251"/>
    <s v="RI double"/>
    <s v="RaccordsRI doubleRI double"/>
    <s v="Passe cloin D06"/>
    <n v="6"/>
    <s v="RITC06"/>
    <m/>
    <m/>
    <n v="0"/>
    <m/>
    <m/>
    <m/>
    <m/>
    <m/>
    <m/>
    <n v="0"/>
    <m/>
    <m/>
    <m/>
    <m/>
    <n v="0"/>
    <n v="0"/>
    <n v="0"/>
    <n v="0"/>
    <n v="0"/>
    <n v="0"/>
    <n v="0"/>
  </r>
  <r>
    <x v="17"/>
    <x v="252"/>
    <s v="Vanne 3V a secteur fonte"/>
    <s v="VannesVanne 3VVanne 3V a secteur fonte"/>
    <m/>
    <n v="0"/>
    <m/>
    <m/>
    <m/>
    <n v="0"/>
    <m/>
    <m/>
    <m/>
    <m/>
    <m/>
    <m/>
    <n v="0"/>
    <m/>
    <m/>
    <m/>
    <m/>
    <n v="0"/>
    <n v="0"/>
    <n v="0"/>
    <n v="0"/>
    <n v="0"/>
    <n v="0"/>
    <n v="0"/>
  </r>
  <r>
    <x v="17"/>
    <x v="252"/>
    <s v="Vanne 3V a secteur fonte"/>
    <s v="VannesVanne 3VVanne 3V a secteur fonte"/>
    <s v="3/4&quot; FFF"/>
    <n v="1"/>
    <s v="V3V34"/>
    <s v="Thermador"/>
    <s v="V3V20"/>
    <n v="0"/>
    <m/>
    <m/>
    <m/>
    <m/>
    <m/>
    <m/>
    <n v="0"/>
    <m/>
    <m/>
    <m/>
    <m/>
    <n v="0"/>
    <n v="0"/>
    <n v="0"/>
    <n v="0"/>
    <n v="0"/>
    <n v="0"/>
    <n v="0"/>
  </r>
  <r>
    <x v="17"/>
    <x v="252"/>
    <s v="Vanne 3V a secteur fonte"/>
    <s v="VannesVanne 3VVanne 3V a secteur fonte"/>
    <s v="1&quot; FFF"/>
    <n v="2"/>
    <s v="V3V1"/>
    <s v="Thermador"/>
    <s v="V3V26"/>
    <n v="0"/>
    <m/>
    <m/>
    <m/>
    <m/>
    <m/>
    <m/>
    <n v="0"/>
    <m/>
    <m/>
    <m/>
    <m/>
    <n v="0"/>
    <n v="0"/>
    <n v="0"/>
    <n v="0"/>
    <n v="0"/>
    <n v="0"/>
    <n v="0"/>
  </r>
  <r>
    <x v="17"/>
    <x v="252"/>
    <s v="Vanne 3V a secteur fonte"/>
    <s v="VannesVanne 3VVanne 3V a secteur fonte"/>
    <s v="1&quot;1/4 FFF"/>
    <n v="3"/>
    <s v="V3V114"/>
    <s v="Thermador"/>
    <s v="V3V33"/>
    <n v="0"/>
    <m/>
    <m/>
    <m/>
    <m/>
    <m/>
    <m/>
    <n v="0"/>
    <m/>
    <m/>
    <m/>
    <m/>
    <n v="0"/>
    <n v="0"/>
    <n v="0"/>
    <n v="0"/>
    <n v="0"/>
    <n v="0"/>
    <n v="0"/>
  </r>
  <r>
    <x v="17"/>
    <x v="252"/>
    <s v="Vanne 3V a secteur fonte"/>
    <s v="VannesVanne 3VVanne 3V a secteur fonte"/>
    <s v="1&quot;1/2 FFF"/>
    <n v="4"/>
    <s v="V3V112"/>
    <s v="Thermador"/>
    <s v="V3V40"/>
    <n v="0"/>
    <m/>
    <m/>
    <m/>
    <m/>
    <m/>
    <m/>
    <n v="0"/>
    <m/>
    <m/>
    <m/>
    <m/>
    <n v="0"/>
    <n v="0"/>
    <n v="0"/>
    <n v="0"/>
    <n v="0"/>
    <n v="0"/>
    <n v="0"/>
  </r>
  <r>
    <x v="17"/>
    <x v="252"/>
    <s v="Vanne 3V a secteur fonte"/>
    <s v="VannesVanne 3VVanne 3V a secteur fonte"/>
    <s v="2&quot; FFF"/>
    <n v="5"/>
    <s v="V3V2"/>
    <s v="Thermador"/>
    <s v="V3V50"/>
    <n v="0"/>
    <m/>
    <m/>
    <m/>
    <m/>
    <m/>
    <m/>
    <n v="0"/>
    <m/>
    <m/>
    <m/>
    <m/>
    <n v="0"/>
    <n v="0"/>
    <n v="0"/>
    <n v="0"/>
    <n v="0"/>
    <n v="0"/>
    <n v="0"/>
  </r>
  <r>
    <x v="17"/>
    <x v="253"/>
    <s v="Inox Cadenassable FF - Poignée Longue"/>
    <s v="VannesVanne Boisseau SphériqueInox Cadenassable FF - Poignée Longue"/>
    <m/>
    <n v="0"/>
    <m/>
    <m/>
    <m/>
    <n v="0"/>
    <m/>
    <m/>
    <m/>
    <m/>
    <m/>
    <m/>
    <n v="0"/>
    <m/>
    <m/>
    <m/>
    <m/>
    <n v="0"/>
    <n v="0"/>
    <n v="0"/>
    <n v="0"/>
    <n v="0"/>
    <n v="0"/>
    <n v="0"/>
  </r>
  <r>
    <x v="17"/>
    <x v="253"/>
    <s v="Inox Cadenassable FF - Poignée Longue"/>
    <s v="VannesVanne Boisseau SphériqueInox Cadenassable FF - Poignée Longue"/>
    <s v="1/2&quot;"/>
    <n v="1"/>
    <s v="VBP12FF.CAD.I"/>
    <s v="Sferaco"/>
    <n v="715104"/>
    <n v="0"/>
    <m/>
    <m/>
    <m/>
    <m/>
    <m/>
    <m/>
    <n v="0"/>
    <m/>
    <m/>
    <m/>
    <m/>
    <n v="0"/>
    <n v="0"/>
    <n v="0"/>
    <n v="0"/>
    <n v="0"/>
    <n v="0"/>
    <n v="0"/>
  </r>
  <r>
    <x v="17"/>
    <x v="253"/>
    <s v="Inox Cadenassable FF - Poignée Longue"/>
    <s v="VannesVanne Boisseau SphériqueInox Cadenassable FF - Poignée Longue"/>
    <s v="3/4&quot;"/>
    <n v="2"/>
    <s v="VBP34FF.CAD.I"/>
    <s v="Sferaco"/>
    <n v="715105"/>
    <n v="0"/>
    <m/>
    <m/>
    <m/>
    <m/>
    <m/>
    <m/>
    <n v="0"/>
    <m/>
    <m/>
    <m/>
    <s v="Doublon ?"/>
    <n v="0"/>
    <n v="0"/>
    <n v="0"/>
    <n v="0"/>
    <n v="0"/>
    <n v="0"/>
    <n v="0"/>
  </r>
  <r>
    <x v="17"/>
    <x v="253"/>
    <s v="Inox Cadenassable FF - Poignée Longue"/>
    <s v="VannesVanne Boisseau SphériqueInox Cadenassable FF - Poignée Longue"/>
    <s v="3/4&quot;"/>
    <n v="2"/>
    <s v="VBP34FF.CAD.INOX"/>
    <s v="Apro Ouest"/>
    <n v="1610040"/>
    <n v="0"/>
    <m/>
    <m/>
    <m/>
    <m/>
    <m/>
    <m/>
    <n v="0"/>
    <m/>
    <m/>
    <m/>
    <s v="Doublon ?"/>
    <n v="0"/>
    <n v="0"/>
    <n v="0"/>
    <n v="0"/>
    <n v="0"/>
    <n v="0"/>
    <n v="0"/>
  </r>
  <r>
    <x v="17"/>
    <x v="253"/>
    <s v="Inox Cadenassable FF - Poignée Longue"/>
    <s v="VannesVanne Boisseau SphériqueInox Cadenassable FF - Poignée Longue"/>
    <s v="1&quot;"/>
    <n v="4"/>
    <s v="VBP1FF.CAD.I"/>
    <s v="Sferaco"/>
    <n v="715106"/>
    <n v="0"/>
    <m/>
    <m/>
    <m/>
    <m/>
    <m/>
    <m/>
    <n v="0"/>
    <m/>
    <m/>
    <m/>
    <m/>
    <n v="0"/>
    <n v="0"/>
    <n v="0"/>
    <n v="0"/>
    <n v="0"/>
    <n v="0"/>
    <n v="0"/>
  </r>
  <r>
    <x v="17"/>
    <x v="253"/>
    <s v="Inox Cadenassable FF - Poignée Longue"/>
    <s v="VannesVanne Boisseau SphériqueInox Cadenassable FF - Poignée Longue"/>
    <s v="1&quot;1/4"/>
    <n v="5"/>
    <s v="VBP114FF.CAD.I"/>
    <s v="Sferaco"/>
    <n v="715107"/>
    <n v="0"/>
    <m/>
    <m/>
    <m/>
    <m/>
    <m/>
    <m/>
    <n v="0"/>
    <m/>
    <m/>
    <m/>
    <m/>
    <n v="0"/>
    <n v="0"/>
    <n v="0"/>
    <n v="0"/>
    <n v="0"/>
    <n v="0"/>
    <n v="0"/>
  </r>
  <r>
    <x v="17"/>
    <x v="253"/>
    <s v="Inox Cadenassable FF - Poignée Longue"/>
    <s v="VannesVanne Boisseau SphériqueInox Cadenassable FF - Poignée Longue"/>
    <s v="1&quot;1/2"/>
    <n v="6"/>
    <s v="VBP112FF.CAD.I"/>
    <s v="Sferaco"/>
    <n v="715108"/>
    <n v="0"/>
    <m/>
    <m/>
    <m/>
    <m/>
    <m/>
    <m/>
    <n v="0"/>
    <m/>
    <m/>
    <m/>
    <s v="Doublon VBP112FF.CAD.INOX"/>
    <n v="0"/>
    <n v="0"/>
    <n v="0"/>
    <n v="0"/>
    <n v="0"/>
    <n v="0"/>
    <n v="0"/>
  </r>
  <r>
    <x v="17"/>
    <x v="253"/>
    <s v="Inox Cadenassable FF - Poignée Longue"/>
    <s v="VannesVanne Boisseau SphériqueInox Cadenassable FF - Poignée Longue"/>
    <s v="1&quot;1/2"/>
    <n v="6"/>
    <s v="VBP112FF.CAD.INOX"/>
    <s v="Apro Ouest"/>
    <n v="1610070"/>
    <n v="0"/>
    <m/>
    <m/>
    <m/>
    <m/>
    <m/>
    <m/>
    <n v="0"/>
    <m/>
    <m/>
    <m/>
    <s v="Doublon  VBP112FF.CAD.I"/>
    <n v="0"/>
    <n v="0"/>
    <n v="0"/>
    <n v="0"/>
    <n v="0"/>
    <n v="0"/>
    <n v="0"/>
  </r>
  <r>
    <x v="17"/>
    <x v="253"/>
    <s v="Inox Cadenassable FF - Poignée Longue"/>
    <s v="VannesVanne Boisseau SphériqueInox Cadenassable FF - Poignée Longue"/>
    <s v="2&quot;"/>
    <n v="7"/>
    <s v="VBP2FF.CAD.I"/>
    <s v="Sferaco"/>
    <n v="715109"/>
    <n v="0"/>
    <m/>
    <m/>
    <m/>
    <m/>
    <m/>
    <m/>
    <n v="0"/>
    <m/>
    <m/>
    <m/>
    <m/>
    <n v="0"/>
    <n v="0"/>
    <n v="0"/>
    <n v="0"/>
    <n v="0"/>
    <n v="0"/>
    <n v="0"/>
  </r>
  <r>
    <x v="17"/>
    <x v="253"/>
    <s v="Inox Cadenassable FF - Poignée Longue"/>
    <s v="VannesVanne Boisseau SphériqueInox Cadenassable FF - Poignée Longue"/>
    <s v="2&quot;1/2"/>
    <n v="8"/>
    <s v="VBP212FF.CAD.I"/>
    <s v="Sferaco"/>
    <n v="715110"/>
    <n v="0"/>
    <m/>
    <m/>
    <m/>
    <m/>
    <m/>
    <m/>
    <n v="0"/>
    <m/>
    <m/>
    <m/>
    <m/>
    <n v="0"/>
    <n v="0"/>
    <n v="0"/>
    <n v="0"/>
    <n v="0"/>
    <n v="0"/>
    <n v="0"/>
  </r>
  <r>
    <x v="17"/>
    <x v="253"/>
    <s v="Inox Cadenassable FF - Poignée Longue"/>
    <s v="VannesVanne Boisseau SphériqueInox Cadenassable FF - Poignée Longue"/>
    <s v="3&quot;"/>
    <n v="9"/>
    <s v="VBP3FF.CAD.I"/>
    <s v="Sferaco"/>
    <n v="715111"/>
    <n v="0"/>
    <m/>
    <m/>
    <m/>
    <m/>
    <m/>
    <m/>
    <n v="0"/>
    <m/>
    <m/>
    <m/>
    <m/>
    <n v="0"/>
    <n v="0"/>
    <n v="0"/>
    <n v="0"/>
    <n v="0"/>
    <n v="0"/>
    <n v="0"/>
  </r>
  <r>
    <x v="17"/>
    <x v="253"/>
    <s v="Inox Cadenassable MF - Poignée Longue"/>
    <s v="VannesVanne Boisseau SphériqueInox Cadenassable MF - Poignée Longue"/>
    <m/>
    <n v="0"/>
    <m/>
    <m/>
    <m/>
    <n v="0"/>
    <m/>
    <m/>
    <m/>
    <m/>
    <m/>
    <m/>
    <n v="0"/>
    <m/>
    <m/>
    <m/>
    <m/>
    <n v="0"/>
    <n v="0"/>
    <n v="0"/>
    <n v="0"/>
    <n v="0"/>
    <n v="0"/>
    <n v="0"/>
  </r>
  <r>
    <x v="17"/>
    <x v="253"/>
    <s v="Inox Cadenassable MF - Poignée Longue"/>
    <s v="VannesVanne Boisseau SphériqueInox Cadenassable MF - Poignée Longue"/>
    <s v="1/2&quot;"/>
    <n v="1"/>
    <s v="VBP12MF.CAD.I"/>
    <s v="Sferaco"/>
    <n v="789004"/>
    <n v="0"/>
    <m/>
    <m/>
    <m/>
    <m/>
    <m/>
    <m/>
    <n v="0"/>
    <m/>
    <m/>
    <m/>
    <m/>
    <n v="0"/>
    <n v="0"/>
    <n v="0"/>
    <n v="0"/>
    <n v="0"/>
    <n v="0"/>
    <n v="0"/>
  </r>
  <r>
    <x v="17"/>
    <x v="253"/>
    <s v="Inox Cadenassable MF - Poignée Longue"/>
    <s v="VannesVanne Boisseau SphériqueInox Cadenassable MF - Poignée Longue"/>
    <s v="3/4&quot;"/>
    <n v="2"/>
    <s v="VBP34MF.CAD.I"/>
    <s v="Sferaco"/>
    <n v="789005"/>
    <n v="0"/>
    <m/>
    <m/>
    <m/>
    <m/>
    <m/>
    <m/>
    <n v="0"/>
    <m/>
    <m/>
    <m/>
    <m/>
    <n v="0"/>
    <n v="0"/>
    <n v="0"/>
    <n v="0"/>
    <n v="0"/>
    <n v="0"/>
    <n v="0"/>
  </r>
  <r>
    <x v="17"/>
    <x v="253"/>
    <s v="Inox Cadenassable MF - Poignée Longue"/>
    <s v="VannesVanne Boisseau SphériqueInox Cadenassable MF - Poignée Longue"/>
    <s v="1&quot;"/>
    <n v="3"/>
    <s v="VBP1MF.CAD.I"/>
    <s v="Sferaco"/>
    <n v="789006"/>
    <n v="0"/>
    <m/>
    <m/>
    <m/>
    <m/>
    <m/>
    <m/>
    <n v="0"/>
    <m/>
    <m/>
    <m/>
    <m/>
    <n v="0"/>
    <n v="0"/>
    <n v="0"/>
    <n v="0"/>
    <n v="0"/>
    <n v="0"/>
    <n v="0"/>
  </r>
  <r>
    <x v="17"/>
    <x v="253"/>
    <s v="Inox Cadenassable MF - Poignée Longue"/>
    <s v="VannesVanne Boisseau SphériqueInox Cadenassable MF - Poignée Longue"/>
    <s v="1&quot;1/4"/>
    <n v="4"/>
    <s v="VBP114MF.CAD.I"/>
    <s v="Sferaco"/>
    <n v="789007"/>
    <n v="0"/>
    <m/>
    <m/>
    <m/>
    <m/>
    <m/>
    <m/>
    <n v="0"/>
    <m/>
    <m/>
    <m/>
    <m/>
    <n v="0"/>
    <n v="0"/>
    <n v="0"/>
    <n v="0"/>
    <n v="0"/>
    <n v="0"/>
    <n v="0"/>
  </r>
  <r>
    <x v="17"/>
    <x v="253"/>
    <s v="Inox Cadenassable MF - Poignée Longue"/>
    <s v="VannesVanne Boisseau SphériqueInox Cadenassable MF - Poignée Longue"/>
    <s v="1&quot;1/2"/>
    <n v="5"/>
    <s v="VBP112MF.CAD.I"/>
    <s v="Sferaco"/>
    <n v="789008"/>
    <n v="0"/>
    <m/>
    <m/>
    <m/>
    <m/>
    <m/>
    <m/>
    <n v="0"/>
    <m/>
    <m/>
    <m/>
    <m/>
    <n v="0"/>
    <n v="0"/>
    <n v="0"/>
    <n v="0"/>
    <n v="0"/>
    <n v="0"/>
    <n v="0"/>
  </r>
  <r>
    <x v="17"/>
    <x v="253"/>
    <s v="Inox Cadenassable MF - Poignée Longue"/>
    <s v="VannesVanne Boisseau SphériqueInox Cadenassable MF - Poignée Longue"/>
    <s v="2&quot;"/>
    <n v="6"/>
    <s v="VBP2MF.CAD.I"/>
    <s v="Sferaco"/>
    <n v="789009"/>
    <n v="0"/>
    <m/>
    <m/>
    <m/>
    <m/>
    <m/>
    <m/>
    <n v="0"/>
    <m/>
    <m/>
    <m/>
    <m/>
    <n v="0"/>
    <n v="0"/>
    <n v="0"/>
    <n v="0"/>
    <n v="0"/>
    <n v="0"/>
    <n v="0"/>
  </r>
  <r>
    <x v="17"/>
    <x v="253"/>
    <s v="Laiton Cadenassable FF - Poinge longue"/>
    <s v="VannesVanne Boisseau SphériqueLaiton Cadenassable FF - Poinge longue"/>
    <s v="2&quot;"/>
    <s v="a"/>
    <s v="VBP2FF.CAD"/>
    <s v="Sferaco"/>
    <n v="556009"/>
    <n v="0"/>
    <m/>
    <m/>
    <m/>
    <m/>
    <m/>
    <m/>
    <n v="0"/>
    <m/>
    <m/>
    <m/>
    <m/>
    <n v="0"/>
    <n v="0"/>
    <n v="0"/>
    <n v="0"/>
    <n v="0"/>
    <n v="0"/>
    <n v="0"/>
  </r>
  <r>
    <x v="17"/>
    <x v="253"/>
    <s v="Laiton FF - Poignée papillon"/>
    <s v="VannesVanne Boisseau SphériqueLaiton FF - Poignée papillon"/>
    <m/>
    <n v="0"/>
    <m/>
    <m/>
    <m/>
    <n v="0"/>
    <m/>
    <m/>
    <m/>
    <m/>
    <m/>
    <m/>
    <n v="0"/>
    <m/>
    <m/>
    <m/>
    <m/>
    <n v="0"/>
    <n v="0"/>
    <n v="0"/>
    <n v="0"/>
    <n v="0"/>
    <n v="0"/>
    <n v="0"/>
  </r>
  <r>
    <x v="17"/>
    <x v="253"/>
    <s v="Laiton FF - Poignée papillon"/>
    <s v="VannesVanne Boisseau SphériqueLaiton FF - Poignée papillon"/>
    <s v="1/2&quot;"/>
    <n v="1"/>
    <s v="VBSP12FF"/>
    <s v="Sferaco"/>
    <n v="523004"/>
    <n v="0"/>
    <m/>
    <m/>
    <m/>
    <m/>
    <m/>
    <m/>
    <n v="0"/>
    <m/>
    <m/>
    <m/>
    <m/>
    <n v="0"/>
    <n v="0"/>
    <n v="0"/>
    <n v="0"/>
    <n v="0"/>
    <n v="0"/>
    <n v="0"/>
  </r>
  <r>
    <x v="17"/>
    <x v="253"/>
    <s v="Laiton FF - Poignée papillon"/>
    <s v="VannesVanne Boisseau SphériqueLaiton FF - Poignée papillon"/>
    <s v="1/2&quot;"/>
    <n v="1"/>
    <s v="012363"/>
    <s v="Sofinther"/>
    <s v="012363"/>
    <n v="0"/>
    <m/>
    <m/>
    <m/>
    <m/>
    <m/>
    <m/>
    <n v="0"/>
    <m/>
    <m/>
    <m/>
    <m/>
    <n v="0"/>
    <n v="0"/>
    <n v="0"/>
    <n v="0"/>
    <n v="0"/>
    <n v="0"/>
    <n v="0"/>
  </r>
  <r>
    <x v="17"/>
    <x v="253"/>
    <s v="Laiton FF - Poignée papillon"/>
    <s v="VannesVanne Boisseau SphériqueLaiton FF - Poignée papillon"/>
    <s v="3/8&quot;"/>
    <n v="2"/>
    <s v="VBSP38FF"/>
    <s v="Catry"/>
    <s v="K01000"/>
    <n v="0"/>
    <m/>
    <m/>
    <m/>
    <m/>
    <m/>
    <m/>
    <n v="0"/>
    <m/>
    <m/>
    <m/>
    <m/>
    <n v="0"/>
    <n v="0"/>
    <n v="0"/>
    <n v="0"/>
    <n v="0"/>
    <n v="0"/>
    <n v="0"/>
  </r>
  <r>
    <x v="17"/>
    <x v="253"/>
    <s v="Laiton FF - Poignée papillon - Filet long"/>
    <s v="VannesVanne Boisseau SphériqueLaiton FF - Poignée papillon - Filet long"/>
    <m/>
    <n v="0"/>
    <m/>
    <m/>
    <m/>
    <n v="0"/>
    <m/>
    <m/>
    <m/>
    <m/>
    <m/>
    <m/>
    <n v="0"/>
    <m/>
    <m/>
    <m/>
    <m/>
    <n v="0"/>
    <n v="0"/>
    <n v="0"/>
    <n v="0"/>
    <n v="0"/>
    <n v="0"/>
    <n v="0"/>
  </r>
  <r>
    <x v="17"/>
    <x v="253"/>
    <s v="Laiton FF - Poignée papillon - Filet long"/>
    <s v="VannesVanne Boisseau SphériqueLaiton FF - Poignée papillon - Filet long"/>
    <s v="1&quot;"/>
    <n v="1"/>
    <s v="VBSP1FF"/>
    <s v="Sferaco"/>
    <n v="523006"/>
    <n v="0"/>
    <m/>
    <m/>
    <m/>
    <m/>
    <m/>
    <m/>
    <n v="0"/>
    <m/>
    <m/>
    <m/>
    <m/>
    <n v="0"/>
    <n v="0"/>
    <n v="0"/>
    <n v="0"/>
    <n v="0"/>
    <n v="0"/>
    <n v="0"/>
  </r>
  <r>
    <x v="17"/>
    <x v="253"/>
    <s v="Laiton FF - Poignée papillon - Filet long"/>
    <s v="VannesVanne Boisseau SphériqueLaiton FF - Poignée papillon - Filet long"/>
    <s v="3/4&quot;"/>
    <n v="2"/>
    <s v="VBSP34FF"/>
    <s v="Sferaco"/>
    <n v="523005"/>
    <n v="0"/>
    <m/>
    <m/>
    <m/>
    <m/>
    <m/>
    <m/>
    <n v="0"/>
    <m/>
    <m/>
    <m/>
    <m/>
    <n v="0"/>
    <n v="0"/>
    <n v="0"/>
    <n v="0"/>
    <n v="0"/>
    <n v="0"/>
    <n v="0"/>
  </r>
  <r>
    <x v="17"/>
    <x v="253"/>
    <s v="Laiton FF - Poignée Longue"/>
    <s v="VannesVanne Boisseau SphériqueLaiton FF - Poignée Longue"/>
    <m/>
    <n v="0"/>
    <m/>
    <m/>
    <m/>
    <n v="0"/>
    <m/>
    <m/>
    <m/>
    <m/>
    <m/>
    <m/>
    <n v="0"/>
    <m/>
    <m/>
    <m/>
    <m/>
    <n v="0"/>
    <n v="0"/>
    <n v="0"/>
    <n v="0"/>
    <n v="0"/>
    <n v="0"/>
    <n v="0"/>
  </r>
  <r>
    <x v="17"/>
    <x v="253"/>
    <s v="Laiton FF - Poignée Longue"/>
    <s v="VannesVanne Boisseau SphériqueLaiton FF - Poignée Longue"/>
    <s v="1/8&quot;"/>
    <n v="1"/>
    <s v="VBP18FF"/>
    <s v="Sferaco"/>
    <n v="576001"/>
    <n v="0"/>
    <m/>
    <m/>
    <m/>
    <m/>
    <m/>
    <m/>
    <n v="0"/>
    <m/>
    <m/>
    <m/>
    <m/>
    <n v="0"/>
    <n v="0"/>
    <n v="0"/>
    <n v="0"/>
    <n v="0"/>
    <n v="0"/>
    <n v="0"/>
  </r>
  <r>
    <x v="17"/>
    <x v="253"/>
    <s v="Laiton FF - Poignée Longue"/>
    <s v="VannesVanne Boisseau SphériqueLaiton FF - Poignée Longue"/>
    <s v="1/4&quot;"/>
    <n v="2"/>
    <s v="VBP14FF"/>
    <s v="Sferaco"/>
    <n v="580002"/>
    <n v="0"/>
    <m/>
    <m/>
    <m/>
    <m/>
    <m/>
    <m/>
    <n v="0"/>
    <m/>
    <m/>
    <m/>
    <m/>
    <n v="0"/>
    <n v="0"/>
    <n v="0"/>
    <n v="0"/>
    <n v="0"/>
    <n v="0"/>
    <n v="0"/>
  </r>
  <r>
    <x v="17"/>
    <x v="253"/>
    <s v="Laiton FF - Poignée Longue"/>
    <s v="VannesVanne Boisseau SphériqueLaiton FF - Poignée Longue"/>
    <s v="3/8&quot;"/>
    <n v="3"/>
    <s v="VBP38FF"/>
    <s v="Sferaco"/>
    <n v="580003"/>
    <n v="0"/>
    <m/>
    <m/>
    <m/>
    <m/>
    <m/>
    <m/>
    <n v="0"/>
    <m/>
    <m/>
    <m/>
    <m/>
    <n v="0"/>
    <n v="0"/>
    <n v="0"/>
    <n v="0"/>
    <n v="0"/>
    <n v="0"/>
    <n v="0"/>
  </r>
  <r>
    <x v="17"/>
    <x v="253"/>
    <s v="Laiton FF - Poignée Longue"/>
    <s v="VannesVanne Boisseau SphériqueLaiton FF - Poignée Longue"/>
    <s v="1/2&quot;"/>
    <n v="4"/>
    <s v="VBP12FF"/>
    <s v="Sferaco"/>
    <n v="580005"/>
    <n v="0"/>
    <m/>
    <m/>
    <m/>
    <m/>
    <m/>
    <m/>
    <n v="0"/>
    <m/>
    <m/>
    <m/>
    <s v="Doublon 012335"/>
    <n v="0"/>
    <n v="0"/>
    <n v="0"/>
    <n v="0"/>
    <n v="0"/>
    <n v="0"/>
    <n v="0"/>
  </r>
  <r>
    <x v="17"/>
    <x v="253"/>
    <s v="Laiton FF - Poignée Longue"/>
    <s v="VannesVanne Boisseau SphériqueLaiton FF - Poignée Longue"/>
    <s v="3/4&quot;"/>
    <n v="5"/>
    <s v="VBP34FF"/>
    <s v="Sferaco"/>
    <n v="580004"/>
    <n v="0"/>
    <m/>
    <m/>
    <m/>
    <m/>
    <m/>
    <m/>
    <n v="0"/>
    <m/>
    <m/>
    <m/>
    <s v="Doublon 012336"/>
    <n v="0"/>
    <n v="0"/>
    <n v="0"/>
    <n v="0"/>
    <n v="0"/>
    <n v="0"/>
    <n v="0"/>
  </r>
  <r>
    <x v="17"/>
    <x v="253"/>
    <s v="Laiton FF - Poignée Longue"/>
    <s v="VannesVanne Boisseau SphériqueLaiton FF - Poignée Longue"/>
    <s v="1&quot;"/>
    <n v="6"/>
    <s v="VBP1FF"/>
    <s v="Sferaco"/>
    <n v="580006"/>
    <n v="0"/>
    <m/>
    <m/>
    <m/>
    <m/>
    <m/>
    <m/>
    <n v="0"/>
    <m/>
    <m/>
    <m/>
    <s v="Doublon 012337"/>
    <n v="0"/>
    <n v="0"/>
    <n v="0"/>
    <n v="0"/>
    <n v="0"/>
    <n v="0"/>
    <n v="0"/>
  </r>
  <r>
    <x v="17"/>
    <x v="253"/>
    <s v="Laiton FF - Poignée Longue"/>
    <s v="VannesVanne Boisseau SphériqueLaiton FF - Poignée Longue"/>
    <s v="1&quot;1/4"/>
    <n v="7"/>
    <s v="VBP114FF"/>
    <s v="Sferaco"/>
    <n v="580007"/>
    <n v="0"/>
    <m/>
    <m/>
    <m/>
    <m/>
    <m/>
    <m/>
    <n v="0"/>
    <m/>
    <m/>
    <m/>
    <s v="Doublon 012338"/>
    <n v="0"/>
    <n v="0"/>
    <n v="0"/>
    <n v="0"/>
    <n v="0"/>
    <n v="0"/>
    <n v="0"/>
  </r>
  <r>
    <x v="17"/>
    <x v="253"/>
    <s v="Laiton FF - Poignée Longue"/>
    <s v="VannesVanne Boisseau SphériqueLaiton FF - Poignée Longue"/>
    <s v="1&quot;1/2"/>
    <n v="8"/>
    <s v="VBP112FF"/>
    <s v="Sferaco"/>
    <n v="580008"/>
    <n v="0"/>
    <m/>
    <m/>
    <m/>
    <m/>
    <m/>
    <m/>
    <n v="0"/>
    <m/>
    <m/>
    <m/>
    <s v="Doublon 012339"/>
    <n v="0"/>
    <n v="0"/>
    <n v="0"/>
    <n v="0"/>
    <n v="0"/>
    <n v="0"/>
    <n v="0"/>
  </r>
  <r>
    <x v="17"/>
    <x v="253"/>
    <s v="Laiton FF - Poignée Longue"/>
    <s v="VannesVanne Boisseau SphériqueLaiton FF - Poignée Longue"/>
    <s v="2&quot;"/>
    <n v="9"/>
    <s v="VBP2FF"/>
    <s v="Sferaco"/>
    <n v="580009"/>
    <n v="0"/>
    <m/>
    <m/>
    <m/>
    <m/>
    <m/>
    <m/>
    <n v="0"/>
    <m/>
    <m/>
    <m/>
    <m/>
    <n v="0"/>
    <n v="0"/>
    <n v="0"/>
    <n v="0"/>
    <n v="0"/>
    <n v="0"/>
    <n v="0"/>
  </r>
  <r>
    <x v="17"/>
    <x v="253"/>
    <s v="Laiton FF - Poignée Longue"/>
    <s v="VannesVanne Boisseau SphériqueLaiton FF - Poignée Longue"/>
    <s v="2&quot;1/2"/>
    <n v="10"/>
    <s v="VBP212FF"/>
    <s v="Sferaco"/>
    <n v="580010"/>
    <n v="0"/>
    <m/>
    <m/>
    <m/>
    <m/>
    <m/>
    <m/>
    <n v="0"/>
    <m/>
    <m/>
    <m/>
    <m/>
    <n v="0"/>
    <n v="0"/>
    <n v="0"/>
    <n v="0"/>
    <n v="0"/>
    <n v="0"/>
    <n v="0"/>
  </r>
  <r>
    <x v="17"/>
    <x v="253"/>
    <s v="Laiton FF - Poignée Longue"/>
    <s v="VannesVanne Boisseau SphériqueLaiton FF - Poignée Longue"/>
    <s v="3&quot;"/>
    <n v="11"/>
    <s v="VBP3FF"/>
    <s v="Sferaco"/>
    <n v="580011"/>
    <n v="0"/>
    <m/>
    <m/>
    <m/>
    <m/>
    <m/>
    <m/>
    <n v="0"/>
    <m/>
    <m/>
    <m/>
    <m/>
    <n v="0"/>
    <n v="0"/>
    <n v="0"/>
    <n v="0"/>
    <n v="0"/>
    <n v="0"/>
    <n v="0"/>
  </r>
  <r>
    <x v="17"/>
    <x v="253"/>
    <s v="Laiton MF - Poignée papillon"/>
    <s v="VannesVanne Boisseau SphériqueLaiton MF - Poignée papillon"/>
    <m/>
    <n v="0"/>
    <m/>
    <m/>
    <m/>
    <n v="0"/>
    <m/>
    <m/>
    <m/>
    <m/>
    <m/>
    <m/>
    <n v="0"/>
    <m/>
    <m/>
    <m/>
    <m/>
    <n v="0"/>
    <n v="0"/>
    <n v="0"/>
    <n v="0"/>
    <n v="0"/>
    <n v="0"/>
    <n v="0"/>
  </r>
  <r>
    <x v="17"/>
    <x v="253"/>
    <s v="Laiton MF - Poignée papillon"/>
    <s v="VannesVanne Boisseau SphériqueLaiton MF - Poignée papillon"/>
    <s v="1/2&quot;"/>
    <n v="1"/>
    <s v="VBSP12MF"/>
    <s v="Sferaco"/>
    <n v="587004"/>
    <n v="0"/>
    <m/>
    <m/>
    <m/>
    <m/>
    <m/>
    <m/>
    <n v="0"/>
    <m/>
    <m/>
    <m/>
    <m/>
    <n v="0"/>
    <n v="0"/>
    <n v="0"/>
    <n v="0"/>
    <n v="0"/>
    <n v="0"/>
    <n v="0"/>
  </r>
  <r>
    <x v="17"/>
    <x v="253"/>
    <s v="Laiton MF - Poignée papillon"/>
    <s v="VannesVanne Boisseau SphériqueLaiton MF - Poignée papillon"/>
    <s v="3/4&quot;"/>
    <n v="2"/>
    <s v="VBSP34MF"/>
    <s v="Sferaco"/>
    <n v="587005"/>
    <n v="0"/>
    <m/>
    <m/>
    <m/>
    <m/>
    <m/>
    <m/>
    <n v="0"/>
    <m/>
    <m/>
    <m/>
    <m/>
    <n v="0"/>
    <n v="0"/>
    <n v="0"/>
    <n v="0"/>
    <n v="0"/>
    <n v="0"/>
    <n v="0"/>
  </r>
  <r>
    <x v="17"/>
    <x v="253"/>
    <s v="Laiton MF - Poignée papillon"/>
    <s v="VannesVanne Boisseau SphériqueLaiton MF - Poignée papillon"/>
    <s v="3/8&quot;"/>
    <n v="3"/>
    <s v="VBSP38MF"/>
    <s v="Sferaco"/>
    <n v="587003"/>
    <n v="0"/>
    <m/>
    <m/>
    <m/>
    <m/>
    <m/>
    <m/>
    <n v="0"/>
    <m/>
    <m/>
    <m/>
    <m/>
    <n v="0"/>
    <n v="0"/>
    <n v="0"/>
    <n v="0"/>
    <n v="0"/>
    <n v="0"/>
    <n v="0"/>
  </r>
  <r>
    <x v="17"/>
    <x v="253"/>
    <s v="Laiton MF - Poignée Longue"/>
    <s v="VannesVanne Boisseau SphériqueLaiton MF - Poignée Longue"/>
    <m/>
    <n v="0"/>
    <m/>
    <m/>
    <m/>
    <n v="0"/>
    <m/>
    <m/>
    <m/>
    <m/>
    <m/>
    <m/>
    <n v="0"/>
    <m/>
    <m/>
    <m/>
    <m/>
    <n v="0"/>
    <n v="0"/>
    <n v="0"/>
    <n v="0"/>
    <n v="0"/>
    <n v="0"/>
    <n v="0"/>
  </r>
  <r>
    <x v="17"/>
    <x v="253"/>
    <s v="Laiton MF - Poignée Longue"/>
    <s v="VannesVanne Boisseau SphériqueLaiton MF - Poignée Longue"/>
    <s v="1/4&quot;"/>
    <n v="1"/>
    <s v="VBP14MF"/>
    <s v="Sferaco"/>
    <n v="581002"/>
    <n v="0"/>
    <m/>
    <m/>
    <m/>
    <m/>
    <m/>
    <m/>
    <n v="0"/>
    <m/>
    <m/>
    <m/>
    <m/>
    <n v="0"/>
    <n v="0"/>
    <n v="0"/>
    <n v="0"/>
    <n v="0"/>
    <n v="0"/>
    <n v="0"/>
  </r>
  <r>
    <x v="17"/>
    <x v="253"/>
    <s v="Laiton MF - Poignée Longue"/>
    <s v="VannesVanne Boisseau SphériqueLaiton MF - Poignée Longue"/>
    <s v="3/8&quot;"/>
    <n v="2"/>
    <s v="VBP38MF"/>
    <s v="Sferaco"/>
    <n v="581003"/>
    <n v="0"/>
    <m/>
    <m/>
    <m/>
    <m/>
    <m/>
    <m/>
    <n v="0"/>
    <m/>
    <m/>
    <m/>
    <m/>
    <n v="0"/>
    <n v="0"/>
    <n v="0"/>
    <n v="0"/>
    <n v="0"/>
    <n v="0"/>
    <n v="0"/>
  </r>
  <r>
    <x v="17"/>
    <x v="253"/>
    <s v="Laiton MF - Poignée Longue"/>
    <s v="VannesVanne Boisseau SphériqueLaiton MF - Poignée Longue"/>
    <s v="1/2&quot;"/>
    <n v="3"/>
    <s v="VBP12MF"/>
    <s v="Sferaco"/>
    <n v="581004"/>
    <n v="0"/>
    <m/>
    <m/>
    <m/>
    <m/>
    <m/>
    <m/>
    <n v="0"/>
    <m/>
    <m/>
    <m/>
    <s v="Doublon 012343"/>
    <n v="0"/>
    <n v="0"/>
    <n v="0"/>
    <n v="0"/>
    <n v="0"/>
    <n v="0"/>
    <n v="0"/>
  </r>
  <r>
    <x v="17"/>
    <x v="253"/>
    <s v="Laiton MF - Poignée Longue"/>
    <s v="VannesVanne Boisseau SphériqueLaiton MF - Poignée Longue"/>
    <s v="3/4&quot;"/>
    <n v="4"/>
    <s v="VBP34MF"/>
    <s v="Sferaco"/>
    <n v="581005"/>
    <n v="0"/>
    <m/>
    <m/>
    <m/>
    <m/>
    <m/>
    <m/>
    <n v="0"/>
    <m/>
    <m/>
    <m/>
    <m/>
    <n v="0"/>
    <n v="0"/>
    <n v="0"/>
    <n v="0"/>
    <n v="0"/>
    <n v="0"/>
    <n v="0"/>
  </r>
  <r>
    <x v="17"/>
    <x v="253"/>
    <s v="Laiton MF - Poignée Longue"/>
    <s v="VannesVanne Boisseau SphériqueLaiton MF - Poignée Longue"/>
    <s v="1&quot;"/>
    <n v="5"/>
    <s v="VBP1MF"/>
    <s v="Sferaco"/>
    <n v="581006"/>
    <n v="0"/>
    <m/>
    <m/>
    <m/>
    <m/>
    <m/>
    <m/>
    <n v="0"/>
    <m/>
    <m/>
    <m/>
    <m/>
    <n v="0"/>
    <n v="0"/>
    <n v="0"/>
    <n v="0"/>
    <n v="0"/>
    <n v="0"/>
    <n v="0"/>
  </r>
  <r>
    <x v="17"/>
    <x v="253"/>
    <s v="Laiton MF - Poignée Longue"/>
    <s v="VannesVanne Boisseau SphériqueLaiton MF - Poignée Longue"/>
    <s v="1&quot;1/4"/>
    <n v="6"/>
    <s v="VBP114MF"/>
    <s v="Sferaco"/>
    <n v="581007"/>
    <n v="0"/>
    <m/>
    <m/>
    <m/>
    <m/>
    <m/>
    <m/>
    <n v="0"/>
    <m/>
    <m/>
    <m/>
    <m/>
    <n v="0"/>
    <n v="0"/>
    <n v="0"/>
    <n v="0"/>
    <n v="0"/>
    <n v="0"/>
    <n v="0"/>
  </r>
  <r>
    <x v="17"/>
    <x v="253"/>
    <s v="Laiton MF - Poignée Longue"/>
    <s v="VannesVanne Boisseau SphériqueLaiton MF - Poignée Longue"/>
    <s v="1&quot;1/2"/>
    <n v="7"/>
    <s v="VBP112MF"/>
    <s v="Sferaco"/>
    <n v="581008"/>
    <n v="0"/>
    <m/>
    <m/>
    <m/>
    <m/>
    <m/>
    <m/>
    <n v="0"/>
    <m/>
    <m/>
    <m/>
    <m/>
    <n v="0"/>
    <n v="0"/>
    <n v="0"/>
    <n v="0"/>
    <n v="0"/>
    <n v="0"/>
    <n v="0"/>
  </r>
  <r>
    <x v="17"/>
    <x v="253"/>
    <s v="Laiton MF - Poignée Longue"/>
    <s v="VannesVanne Boisseau SphériqueLaiton MF - Poignée Longue"/>
    <s v="2&quot;"/>
    <n v="8"/>
    <s v="VBP2MF"/>
    <s v="Sferaco"/>
    <n v="581009"/>
    <n v="0"/>
    <m/>
    <m/>
    <m/>
    <m/>
    <m/>
    <m/>
    <n v="0"/>
    <m/>
    <m/>
    <m/>
    <m/>
    <n v="0"/>
    <n v="0"/>
    <n v="0"/>
    <n v="0"/>
    <n v="0"/>
    <n v="0"/>
    <n v="0"/>
  </r>
  <r>
    <x v="17"/>
    <x v="253"/>
    <s v="Laiton MF - Poignée Longue"/>
    <s v="VannesVanne Boisseau SphériqueLaiton MF - Poignée Longue"/>
    <s v="2&quot;1/2"/>
    <n v="9"/>
    <s v="VBP212MF"/>
    <s v="Sferaco"/>
    <m/>
    <n v="0"/>
    <m/>
    <m/>
    <m/>
    <m/>
    <m/>
    <m/>
    <n v="0"/>
    <m/>
    <m/>
    <m/>
    <m/>
    <n v="0"/>
    <n v="0"/>
    <n v="0"/>
    <n v="0"/>
    <n v="0"/>
    <n v="0"/>
    <n v="0"/>
  </r>
  <r>
    <x v="17"/>
    <x v="253"/>
    <s v="Laiton MM"/>
    <s v="VannesVanne Boisseau SphériqueLaiton MM"/>
    <m/>
    <n v="0"/>
    <m/>
    <m/>
    <m/>
    <n v="0"/>
    <m/>
    <m/>
    <m/>
    <m/>
    <m/>
    <m/>
    <n v="0"/>
    <m/>
    <m/>
    <m/>
    <m/>
    <n v="0"/>
    <n v="0"/>
    <n v="0"/>
    <n v="0"/>
    <n v="0"/>
    <n v="0"/>
    <n v="0"/>
  </r>
  <r>
    <x v="17"/>
    <x v="253"/>
    <s v="Laiton MM"/>
    <s v="VannesVanne Boisseau SphériqueLaiton MM"/>
    <s v="3/8&quot;"/>
    <n v="1"/>
    <s v="VBP38MM"/>
    <s v="Sferaco"/>
    <n v="582003"/>
    <n v="0"/>
    <m/>
    <m/>
    <m/>
    <m/>
    <m/>
    <m/>
    <n v="0"/>
    <m/>
    <m/>
    <m/>
    <m/>
    <n v="0"/>
    <n v="0"/>
    <n v="0"/>
    <n v="0"/>
    <n v="0"/>
    <n v="0"/>
    <n v="0"/>
  </r>
  <r>
    <x v="17"/>
    <x v="253"/>
    <s v="Laiton MM"/>
    <s v="VannesVanne Boisseau SphériqueLaiton MM"/>
    <s v="1/2&quot;"/>
    <n v="2"/>
    <s v="VBP12MM"/>
    <s v="Sferaco"/>
    <n v="582004"/>
    <n v="0"/>
    <m/>
    <m/>
    <m/>
    <m/>
    <m/>
    <m/>
    <n v="0"/>
    <m/>
    <m/>
    <m/>
    <m/>
    <n v="0"/>
    <n v="0"/>
    <n v="0"/>
    <n v="0"/>
    <n v="0"/>
    <n v="0"/>
    <n v="0"/>
  </r>
  <r>
    <x v="17"/>
    <x v="253"/>
    <s v="Laiton MM"/>
    <s v="VannesVanne Boisseau SphériqueLaiton MM"/>
    <s v="3/4&quot;"/>
    <n v="3"/>
    <s v="VBP34MM"/>
    <s v="Sferaco"/>
    <n v="582005"/>
    <n v="0"/>
    <m/>
    <m/>
    <m/>
    <m/>
    <m/>
    <m/>
    <n v="0"/>
    <m/>
    <m/>
    <m/>
    <m/>
    <n v="0"/>
    <n v="0"/>
    <n v="0"/>
    <n v="0"/>
    <n v="0"/>
    <n v="0"/>
    <n v="0"/>
  </r>
  <r>
    <x v="17"/>
    <x v="253"/>
    <s v="Laiton MM"/>
    <s v="VannesVanne Boisseau SphériqueLaiton MM"/>
    <s v="1&quot;"/>
    <n v="4"/>
    <s v="VBP1MM"/>
    <s v="Sferaco"/>
    <n v="538006"/>
    <n v="0"/>
    <m/>
    <m/>
    <m/>
    <m/>
    <m/>
    <m/>
    <n v="0"/>
    <m/>
    <m/>
    <m/>
    <m/>
    <n v="0"/>
    <n v="0"/>
    <n v="0"/>
    <n v="0"/>
    <n v="0"/>
    <n v="0"/>
    <n v="0"/>
  </r>
  <r>
    <x v="17"/>
    <x v="253"/>
    <s v="Laiton MM"/>
    <s v="VannesVanne Boisseau SphériqueLaiton MM"/>
    <s v="1&quot;1/4"/>
    <n v="5"/>
    <s v="VBP114MM"/>
    <s v="Sferaco"/>
    <n v="566007"/>
    <n v="0"/>
    <m/>
    <m/>
    <m/>
    <m/>
    <m/>
    <m/>
    <n v="0"/>
    <m/>
    <m/>
    <m/>
    <m/>
    <n v="0"/>
    <n v="0"/>
    <n v="0"/>
    <n v="0"/>
    <n v="0"/>
    <n v="0"/>
    <n v="0"/>
  </r>
  <r>
    <x v="17"/>
    <x v="253"/>
    <s v="Laiton MM"/>
    <s v="VannesVanne Boisseau SphériqueLaiton MM"/>
    <s v="1&quot;1/2"/>
    <n v="6"/>
    <s v="VBP112MM"/>
    <s v="Sferaco"/>
    <n v="655008"/>
    <n v="0"/>
    <m/>
    <m/>
    <m/>
    <m/>
    <m/>
    <m/>
    <n v="0"/>
    <m/>
    <m/>
    <m/>
    <m/>
    <n v="0"/>
    <n v="0"/>
    <n v="0"/>
    <n v="0"/>
    <n v="0"/>
    <n v="0"/>
    <n v="0"/>
  </r>
  <r>
    <x v="17"/>
    <x v="253"/>
    <s v="Laiton MM"/>
    <s v="VannesVanne Boisseau SphériqueLaiton MM"/>
    <s v="2&quot;"/>
    <n v="7"/>
    <s v="VBP2MM"/>
    <s v="Sferaco"/>
    <n v="582009"/>
    <n v="0"/>
    <m/>
    <m/>
    <m/>
    <m/>
    <m/>
    <m/>
    <n v="0"/>
    <m/>
    <m/>
    <m/>
    <m/>
    <n v="0"/>
    <n v="0"/>
    <n v="0"/>
    <n v="0"/>
    <n v="0"/>
    <n v="0"/>
    <n v="0"/>
  </r>
  <r>
    <x v="17"/>
    <x v="254"/>
    <s v="Vanne d'ajuttage ( pour manometre)"/>
    <s v="VannesVanne d'ajuttage ( pour manometre)Vanne d'ajuttage ( pour manometre)"/>
    <m/>
    <n v="0"/>
    <m/>
    <m/>
    <m/>
    <n v="0"/>
    <m/>
    <m/>
    <m/>
    <m/>
    <m/>
    <m/>
    <n v="0"/>
    <m/>
    <m/>
    <m/>
    <m/>
    <n v="0"/>
    <n v="0"/>
    <n v="0"/>
    <n v="0"/>
    <n v="0"/>
    <n v="0"/>
    <n v="0"/>
  </r>
  <r>
    <x v="17"/>
    <x v="254"/>
    <s v="Vanne d'ajuttage ( pour manometre)"/>
    <s v="VannesVanne d'ajuttage ( pour manometre)Vanne d'ajuttage ( pour manometre)"/>
    <s v="1/2&quot;"/>
    <n v="1"/>
    <n v="71512"/>
    <s v="Sferaco"/>
    <n v="1307004"/>
    <n v="0"/>
    <m/>
    <m/>
    <m/>
    <m/>
    <m/>
    <m/>
    <n v="0"/>
    <m/>
    <m/>
    <m/>
    <m/>
    <n v="0"/>
    <n v="0"/>
    <n v="0"/>
    <n v="0"/>
    <n v="0"/>
    <n v="0"/>
    <n v="0"/>
  </r>
  <r>
    <x v="17"/>
    <x v="255"/>
    <s v="Bride"/>
    <s v="VannesVanne d'équillibrageBride"/>
    <s v="DN80"/>
    <n v="11"/>
    <s v="VEQ80"/>
    <s v="Thermador"/>
    <n v="130082"/>
    <n v="0"/>
    <m/>
    <m/>
    <m/>
    <m/>
    <m/>
    <m/>
    <n v="0"/>
    <m/>
    <m/>
    <m/>
    <m/>
    <n v="0"/>
    <n v="0"/>
    <n v="0"/>
    <n v="0"/>
    <n v="0"/>
    <n v="0"/>
    <n v="0"/>
  </r>
  <r>
    <x v="17"/>
    <x v="255"/>
    <s v="Bride"/>
    <s v="VannesVanne d'équillibrageBride"/>
    <s v="DN100 - Thermador"/>
    <n v="12"/>
    <s v="VEQ100"/>
    <s v="Thermador"/>
    <n v="130102"/>
    <n v="0"/>
    <m/>
    <m/>
    <m/>
    <m/>
    <m/>
    <m/>
    <n v="0"/>
    <m/>
    <m/>
    <m/>
    <m/>
    <n v="0"/>
    <n v="0"/>
    <n v="0"/>
    <n v="0"/>
    <n v="0"/>
    <n v="0"/>
    <n v="0"/>
  </r>
  <r>
    <x v="17"/>
    <x v="255"/>
    <s v="Bride"/>
    <s v="VannesVanne d'équillibrageBride"/>
    <s v="DN100 - TA"/>
    <n v="13"/>
    <s v="009847"/>
    <s v="Sofinther"/>
    <s v="009847"/>
    <n v="0"/>
    <m/>
    <m/>
    <m/>
    <m/>
    <m/>
    <m/>
    <n v="0"/>
    <m/>
    <m/>
    <m/>
    <m/>
    <n v="0"/>
    <n v="0"/>
    <n v="0"/>
    <n v="0"/>
    <n v="0"/>
    <n v="0"/>
    <n v="0"/>
  </r>
  <r>
    <x v="17"/>
    <x v="255"/>
    <s v="Femelle - Femelle"/>
    <s v="VannesVanne d'équillibrageFemelle - Femelle"/>
    <s v="1/2&quot; FF - 3m3/h"/>
    <n v="1"/>
    <s v="VEQ1/2FF"/>
    <s v="Catry"/>
    <s v="K13876"/>
    <n v="0"/>
    <m/>
    <m/>
    <m/>
    <m/>
    <m/>
    <m/>
    <n v="0"/>
    <m/>
    <m/>
    <m/>
    <s v="Doublon VEQ12FF"/>
    <n v="0"/>
    <n v="0"/>
    <n v="0"/>
    <n v="0"/>
    <n v="0"/>
    <n v="0"/>
    <n v="0"/>
  </r>
  <r>
    <x v="17"/>
    <x v="255"/>
    <s v="Femelle - Femelle"/>
    <s v="VannesVanne d'équillibrageFemelle - Femelle"/>
    <s v="1/2&quot; FF"/>
    <n v="2"/>
    <s v="VEQ12FF"/>
    <s v="Catry"/>
    <s v="C17679"/>
    <n v="0"/>
    <m/>
    <m/>
    <m/>
    <m/>
    <m/>
    <m/>
    <n v="0"/>
    <m/>
    <m/>
    <m/>
    <s v="Doublon VEQ1/2FF"/>
    <n v="0"/>
    <n v="0"/>
    <n v="0"/>
    <n v="0"/>
    <n v="0"/>
    <n v="0"/>
    <n v="0"/>
  </r>
  <r>
    <x v="17"/>
    <x v="255"/>
    <s v="Femelle - Femelle"/>
    <s v="VannesVanne d'équillibrageFemelle - Femelle"/>
    <s v="3/4&quot; FF - 6,6m3/h"/>
    <n v="3"/>
    <s v="VEQ34FF"/>
    <s v="Catry"/>
    <s v="K13877"/>
    <n v="0"/>
    <m/>
    <m/>
    <m/>
    <m/>
    <m/>
    <m/>
    <n v="0"/>
    <m/>
    <m/>
    <m/>
    <m/>
    <n v="0"/>
    <n v="0"/>
    <n v="0"/>
    <n v="0"/>
    <n v="0"/>
    <n v="0"/>
    <n v="0"/>
  </r>
  <r>
    <x v="17"/>
    <x v="255"/>
    <s v="Femelle - Femelle"/>
    <s v="VannesVanne d'équillibrageFemelle - Femelle"/>
    <s v="1&quot; FF - 9,5m3/h"/>
    <n v="4"/>
    <s v="VEQ1FF"/>
    <s v="Catry"/>
    <s v="K13878"/>
    <n v="0"/>
    <m/>
    <m/>
    <m/>
    <m/>
    <m/>
    <m/>
    <n v="0"/>
    <m/>
    <m/>
    <m/>
    <m/>
    <n v="0"/>
    <n v="0"/>
    <n v="0"/>
    <n v="0"/>
    <n v="0"/>
    <n v="0"/>
    <n v="0"/>
  </r>
  <r>
    <x v="17"/>
    <x v="255"/>
    <s v="Femelle - Femelle"/>
    <s v="VannesVanne d'équillibrageFemelle - Femelle"/>
    <s v="1&quot;1/4 FF - 26m3/h"/>
    <n v="5"/>
    <s v="VEQ114FF"/>
    <s v="Catry"/>
    <s v="C17682"/>
    <n v="0"/>
    <m/>
    <m/>
    <m/>
    <m/>
    <m/>
    <m/>
    <n v="0"/>
    <m/>
    <m/>
    <m/>
    <m/>
    <n v="0"/>
    <n v="0"/>
    <n v="0"/>
    <n v="0"/>
    <n v="0"/>
    <n v="0"/>
    <n v="0"/>
  </r>
  <r>
    <x v="17"/>
    <x v="255"/>
    <s v="Femelle - Femelle"/>
    <s v="VannesVanne d'équillibrageFemelle - Femelle"/>
    <s v="1&quot;1/2 FF - 26m3/h"/>
    <n v="6"/>
    <s v="VEQ112FF"/>
    <s v="Catry"/>
    <s v="K13880"/>
    <n v="0"/>
    <m/>
    <m/>
    <m/>
    <m/>
    <m/>
    <m/>
    <n v="0"/>
    <m/>
    <m/>
    <m/>
    <m/>
    <n v="0"/>
    <n v="0"/>
    <n v="0"/>
    <n v="0"/>
    <n v="0"/>
    <n v="0"/>
    <n v="0"/>
  </r>
  <r>
    <x v="17"/>
    <x v="255"/>
    <s v="Femelle - Femelle"/>
    <s v="VannesVanne d'équillibrageFemelle - Femelle"/>
    <s v="2&quot;FF - 40m3/h"/>
    <n v="7"/>
    <s v="VEQ2FF"/>
    <s v="Catry"/>
    <s v="C17684"/>
    <n v="0"/>
    <m/>
    <m/>
    <m/>
    <m/>
    <m/>
    <m/>
    <n v="0"/>
    <m/>
    <m/>
    <m/>
    <m/>
    <n v="0"/>
    <n v="0"/>
    <n v="0"/>
    <n v="0"/>
    <n v="0"/>
    <n v="0"/>
    <n v="0"/>
  </r>
  <r>
    <x v="17"/>
    <x v="255"/>
    <s v="Male - Male"/>
    <s v="VannesVanne d'équillibrageMale - Male"/>
    <s v="3/4&quot; MM"/>
    <n v="9"/>
    <s v="072696"/>
    <s v="Sofinther"/>
    <n v="72696"/>
    <n v="0"/>
    <m/>
    <m/>
    <m/>
    <m/>
    <m/>
    <m/>
    <n v="0"/>
    <m/>
    <m/>
    <m/>
    <m/>
    <n v="0"/>
    <n v="0"/>
    <n v="0"/>
    <n v="0"/>
    <n v="0"/>
    <n v="0"/>
    <n v="0"/>
  </r>
  <r>
    <x v="17"/>
    <x v="255"/>
    <s v="Vanne d'équillibrage"/>
    <s v="VannesVanne d'équillibrageVanne d'équillibrage"/>
    <m/>
    <n v="0"/>
    <m/>
    <m/>
    <m/>
    <n v="0"/>
    <m/>
    <m/>
    <m/>
    <m/>
    <m/>
    <m/>
    <n v="0"/>
    <m/>
    <m/>
    <m/>
    <m/>
    <n v="0"/>
    <n v="0"/>
    <n v="0"/>
    <n v="0"/>
    <n v="0"/>
    <n v="0"/>
    <n v="0"/>
  </r>
  <r>
    <x v="17"/>
    <x v="255"/>
    <m/>
    <s v="VannesVanne d'équillibrage"/>
    <m/>
    <n v="8"/>
    <m/>
    <m/>
    <m/>
    <n v="0"/>
    <m/>
    <m/>
    <m/>
    <m/>
    <m/>
    <m/>
    <n v="0"/>
    <m/>
    <m/>
    <m/>
    <m/>
    <n v="0"/>
    <n v="0"/>
    <n v="0"/>
    <n v="0"/>
    <n v="0"/>
    <n v="0"/>
    <n v="0"/>
  </r>
  <r>
    <x v="17"/>
    <x v="255"/>
    <m/>
    <s v="VannesVanne d'équillibrage"/>
    <m/>
    <n v="10"/>
    <m/>
    <m/>
    <m/>
    <n v="0"/>
    <m/>
    <m/>
    <m/>
    <m/>
    <m/>
    <m/>
    <n v="0"/>
    <m/>
    <m/>
    <m/>
    <m/>
    <n v="0"/>
    <n v="0"/>
    <n v="0"/>
    <n v="0"/>
    <n v="0"/>
    <n v="0"/>
    <n v="0"/>
  </r>
  <r>
    <x v="17"/>
    <x v="77"/>
    <s v="Vanne motorise"/>
    <s v="VannesVanne motoriseVanne motorise"/>
    <m/>
    <n v="0"/>
    <m/>
    <m/>
    <m/>
    <n v="0"/>
    <m/>
    <m/>
    <m/>
    <m/>
    <m/>
    <m/>
    <n v="0"/>
    <m/>
    <m/>
    <m/>
    <m/>
    <n v="0"/>
    <n v="0"/>
    <n v="0"/>
    <n v="0"/>
    <n v="0"/>
    <n v="0"/>
    <n v="0"/>
  </r>
  <r>
    <x v="17"/>
    <x v="77"/>
    <s v="Vanne motorise"/>
    <s v="VannesVanne motoriseVanne motorise"/>
    <s v="Vanne Inox FF 1&quot; - 230Vac"/>
    <n v="1"/>
    <s v="VAEI220-1"/>
    <s v="Sectoriel"/>
    <s v="272404024110"/>
    <n v="0"/>
    <m/>
    <m/>
    <m/>
    <m/>
    <m/>
    <m/>
    <n v="0"/>
    <m/>
    <m/>
    <m/>
    <m/>
    <n v="0"/>
    <n v="0"/>
    <n v="0"/>
    <n v="0"/>
    <n v="0"/>
    <n v="0"/>
    <n v="0"/>
  </r>
  <r>
    <x v="17"/>
    <x v="77"/>
    <s v="Vanne motorise"/>
    <s v="VannesVanne motoriseVanne motorise"/>
    <s v="Vanne Inox FF 1&quot;1/4-230Vac"/>
    <n v="2"/>
    <s v="VAEI220-114"/>
    <s v="Sectoriel"/>
    <s v="272405024110"/>
    <n v="0"/>
    <m/>
    <m/>
    <m/>
    <m/>
    <m/>
    <m/>
    <n v="0"/>
    <m/>
    <m/>
    <m/>
    <m/>
    <n v="0"/>
    <n v="0"/>
    <n v="0"/>
    <n v="0"/>
    <n v="0"/>
    <n v="0"/>
    <n v="0"/>
  </r>
  <r>
    <x v="17"/>
    <x v="77"/>
    <s v="Vanne motorise"/>
    <s v="VannesVanne motoriseVanne motorise"/>
    <s v="Vanne Laiton FF 1&quot; - 230Vac"/>
    <n v="3"/>
    <s v="VAE220-1"/>
    <s v="Sectoriel"/>
    <s v="270004024110"/>
    <n v="0"/>
    <m/>
    <m/>
    <m/>
    <m/>
    <m/>
    <m/>
    <n v="0"/>
    <m/>
    <m/>
    <m/>
    <m/>
    <n v="0"/>
    <n v="0"/>
    <n v="0"/>
    <n v="0"/>
    <n v="0"/>
    <n v="0"/>
    <n v="0"/>
  </r>
  <r>
    <x v="17"/>
    <x v="77"/>
    <s v="Vanne motorise"/>
    <s v="VannesVanne motoriseVanne motorise"/>
    <s v="Vanne Laiton FF 1&quot;1/4-230Vac"/>
    <n v="4"/>
    <s v="VAE220-114"/>
    <s v="Sectoriel"/>
    <s v="270005024310"/>
    <n v="0"/>
    <m/>
    <m/>
    <m/>
    <m/>
    <m/>
    <m/>
    <n v="0"/>
    <m/>
    <m/>
    <m/>
    <m/>
    <n v="0"/>
    <n v="0"/>
    <n v="0"/>
    <n v="0"/>
    <n v="0"/>
    <n v="0"/>
    <n v="0"/>
  </r>
  <r>
    <x v="17"/>
    <x v="256"/>
    <s v="Vanne Papillon"/>
    <s v="VannesVanne PapillonVanne Papillon"/>
    <m/>
    <n v="0"/>
    <m/>
    <m/>
    <m/>
    <n v="0"/>
    <m/>
    <m/>
    <m/>
    <m/>
    <m/>
    <m/>
    <n v="0"/>
    <m/>
    <m/>
    <m/>
    <m/>
    <n v="0"/>
    <n v="0"/>
    <n v="0"/>
    <n v="0"/>
    <n v="0"/>
    <n v="0"/>
    <n v="0"/>
  </r>
  <r>
    <x v="17"/>
    <x v="256"/>
    <s v="Oreille Taraudée - Fonte - NBR &quot;Air&quot;"/>
    <s v="VannesVanne PapillonOreille Taraudée - Fonte - NBR &quot;Air&quot;"/>
    <s v="Ø  50x60        DN 50"/>
    <n v="1"/>
    <s v="VP50OT"/>
    <s v="Sferaco"/>
    <n v="1162050"/>
    <n v="0"/>
    <m/>
    <m/>
    <m/>
    <m/>
    <m/>
    <m/>
    <n v="0"/>
    <m/>
    <m/>
    <m/>
    <s v="Doublon VPOT1162"/>
    <n v="0"/>
    <n v="0"/>
    <n v="0"/>
    <n v="0"/>
    <n v="0"/>
    <n v="0"/>
    <n v="0"/>
  </r>
  <r>
    <x v="17"/>
    <x v="256"/>
    <s v="Oreille Taraudée - Fonte - NBR &quot;Air&quot;"/>
    <s v="VannesVanne PapillonOreille Taraudée - Fonte - NBR &quot;Air&quot;"/>
    <s v="Ø 65x76       DN 65"/>
    <n v="2"/>
    <s v="VP65OT"/>
    <s v="Sferaco"/>
    <n v="1162065"/>
    <n v="0"/>
    <m/>
    <m/>
    <m/>
    <m/>
    <m/>
    <m/>
    <n v="0"/>
    <m/>
    <m/>
    <m/>
    <m/>
    <n v="0"/>
    <n v="0"/>
    <n v="0"/>
    <n v="0"/>
    <n v="0"/>
    <n v="0"/>
    <n v="0"/>
  </r>
  <r>
    <x v="17"/>
    <x v="256"/>
    <s v="Oreille Taraudée - Fonte - NBR &quot;Air&quot;"/>
    <s v="VannesVanne PapillonOreille Taraudée - Fonte - NBR &quot;Air&quot;"/>
    <s v="Ø  80x90        DN 80"/>
    <n v="3"/>
    <s v="VP80OT"/>
    <s v="Sferaco"/>
    <n v="1162080"/>
    <n v="0"/>
    <m/>
    <m/>
    <m/>
    <m/>
    <m/>
    <m/>
    <n v="0"/>
    <m/>
    <m/>
    <m/>
    <m/>
    <n v="0"/>
    <n v="0"/>
    <n v="0"/>
    <n v="0"/>
    <n v="0"/>
    <n v="0"/>
    <n v="0"/>
  </r>
  <r>
    <x v="17"/>
    <x v="256"/>
    <s v="Oreille Taraudée - Fonte - NBR &quot;Air&quot;"/>
    <s v="VannesVanne PapillonOreille Taraudée - Fonte - NBR &quot;Air&quot;"/>
    <s v="Ø  114,3        DN 100"/>
    <n v="4"/>
    <s v="VP100OT"/>
    <s v="Sferaco"/>
    <n v="1162100"/>
    <n v="0"/>
    <m/>
    <m/>
    <m/>
    <m/>
    <m/>
    <m/>
    <n v="0"/>
    <m/>
    <m/>
    <m/>
    <m/>
    <n v="0"/>
    <n v="0"/>
    <n v="0"/>
    <n v="0"/>
    <n v="0"/>
    <n v="0"/>
    <n v="0"/>
  </r>
  <r>
    <x v="17"/>
    <x v="256"/>
    <s v="Oreille Taraudée - Fonte - NBR &quot;Air&quot;"/>
    <s v="VannesVanne PapillonOreille Taraudée - Fonte - NBR &quot;Air&quot;"/>
    <s v="Ø  139,7        DN 125"/>
    <n v="5"/>
    <s v="VP125OT"/>
    <s v="Sferaco"/>
    <n v="1162125"/>
    <n v="0"/>
    <m/>
    <m/>
    <m/>
    <m/>
    <m/>
    <m/>
    <n v="0"/>
    <m/>
    <m/>
    <m/>
    <m/>
    <n v="0"/>
    <n v="0"/>
    <n v="0"/>
    <n v="0"/>
    <n v="0"/>
    <n v="0"/>
    <n v="0"/>
  </r>
  <r>
    <x v="17"/>
    <x v="256"/>
    <s v="Oreille Taraudée - Fonte - NBR &quot;Air&quot;"/>
    <s v="VannesVanne PapillonOreille Taraudée - Fonte - NBR &quot;Air&quot;"/>
    <s v="Ø  168,3        DN 150"/>
    <n v="6"/>
    <s v="VP150OT"/>
    <s v="Sferaco"/>
    <n v="1162150"/>
    <n v="0"/>
    <m/>
    <m/>
    <m/>
    <m/>
    <m/>
    <m/>
    <n v="0"/>
    <m/>
    <m/>
    <m/>
    <m/>
    <n v="0"/>
    <n v="0"/>
    <n v="0"/>
    <n v="0"/>
    <n v="0"/>
    <n v="0"/>
    <n v="0"/>
  </r>
  <r>
    <x v="17"/>
    <x v="256"/>
    <s v="Oreille Taraudée - Fonte - NBR &quot;Air&quot;"/>
    <s v="VannesVanne PapillonOreille Taraudée - Fonte - NBR &quot;Air&quot;"/>
    <s v="Ø  219            DN 200"/>
    <n v="7"/>
    <s v="VP200OT"/>
    <s v="Sferaco"/>
    <n v="1162200"/>
    <n v="0"/>
    <m/>
    <m/>
    <m/>
    <m/>
    <m/>
    <m/>
    <n v="0"/>
    <m/>
    <m/>
    <m/>
    <m/>
    <n v="0"/>
    <n v="0"/>
    <n v="0"/>
    <n v="0"/>
    <n v="0"/>
    <n v="0"/>
    <n v="0"/>
  </r>
  <r>
    <x v="17"/>
    <x v="256"/>
    <s v="Oreille Taraudée - Fonte - NBR &quot;Air&quot;"/>
    <s v="VannesVanne PapillonOreille Taraudée - Fonte - NBR &quot;Air&quot;"/>
    <s v="Ø  273            DN 250"/>
    <n v="8"/>
    <s v="VP200OTPN16"/>
    <s v="Sferaco"/>
    <n v="1162201"/>
    <n v="0"/>
    <m/>
    <m/>
    <m/>
    <m/>
    <m/>
    <m/>
    <n v="0"/>
    <m/>
    <m/>
    <m/>
    <m/>
    <n v="0"/>
    <n v="0"/>
    <n v="0"/>
    <n v="0"/>
    <n v="0"/>
    <n v="0"/>
    <n v="0"/>
  </r>
  <r>
    <x v="17"/>
    <x v="256"/>
    <m/>
    <s v="VannesVanne Papillon"/>
    <m/>
    <n v="9"/>
    <m/>
    <m/>
    <m/>
    <n v="0"/>
    <m/>
    <m/>
    <m/>
    <m/>
    <m/>
    <m/>
    <n v="0"/>
    <m/>
    <m/>
    <m/>
    <m/>
    <n v="0"/>
    <n v="0"/>
    <n v="0"/>
    <n v="0"/>
    <n v="0"/>
    <n v="0"/>
    <n v="0"/>
  </r>
  <r>
    <x v="17"/>
    <x v="256"/>
    <s v="Oreille de centrage - NBR &quot;Air&quot;"/>
    <s v="VannesVanne PapillonOreille de centrage - NBR &quot;Air&quot;"/>
    <s v="DN65"/>
    <n v="10"/>
    <s v="VP65OC"/>
    <s v="Sferaco"/>
    <n v="1152065"/>
    <n v="0"/>
    <m/>
    <m/>
    <m/>
    <m/>
    <m/>
    <m/>
    <n v="0"/>
    <m/>
    <m/>
    <m/>
    <m/>
    <n v="0"/>
    <n v="0"/>
    <n v="0"/>
    <n v="0"/>
    <n v="0"/>
    <n v="0"/>
    <n v="0"/>
  </r>
  <r>
    <x v="17"/>
    <x v="256"/>
    <s v="Oreille de centrage - NBR &quot;Air&quot;"/>
    <s v="VannesVanne PapillonOreille de centrage - NBR &quot;Air&quot;"/>
    <s v="DN80"/>
    <n v="11"/>
    <s v="VP80OC"/>
    <s v="Sferaco"/>
    <n v="1152080"/>
    <n v="0"/>
    <m/>
    <m/>
    <m/>
    <m/>
    <m/>
    <m/>
    <n v="0"/>
    <m/>
    <m/>
    <m/>
    <m/>
    <n v="0"/>
    <n v="0"/>
    <n v="0"/>
    <n v="0"/>
    <n v="0"/>
    <n v="0"/>
    <n v="0"/>
  </r>
  <r>
    <x v="17"/>
    <x v="256"/>
    <s v="Oreille de centrage - NBR &quot;Air&quot;"/>
    <s v="VannesVanne PapillonOreille de centrage - NBR &quot;Air&quot;"/>
    <s v="DN100"/>
    <n v="12"/>
    <s v="VP100OC"/>
    <m/>
    <s v="VP DN100 610BL"/>
    <n v="0"/>
    <m/>
    <m/>
    <m/>
    <m/>
    <m/>
    <m/>
    <n v="0"/>
    <m/>
    <m/>
    <m/>
    <m/>
    <n v="0"/>
    <n v="0"/>
    <n v="0"/>
    <n v="0"/>
    <n v="0"/>
    <n v="0"/>
    <n v="0"/>
  </r>
  <r>
    <x v="17"/>
    <x v="256"/>
    <s v="Oreille de centrage - NBR &quot;Air&quot;"/>
    <s v="VannesVanne PapillonOreille de centrage - NBR &quot;Air&quot;"/>
    <s v="DN125"/>
    <n v="13"/>
    <s v="VP125OC"/>
    <m/>
    <s v="VP DN125 610BL"/>
    <n v="0"/>
    <m/>
    <m/>
    <m/>
    <m/>
    <m/>
    <m/>
    <n v="0"/>
    <m/>
    <m/>
    <m/>
    <m/>
    <n v="0"/>
    <n v="0"/>
    <n v="0"/>
    <n v="0"/>
    <n v="0"/>
    <n v="0"/>
    <n v="0"/>
  </r>
  <r>
    <x v="17"/>
    <x v="256"/>
    <s v="Oreille de centrage - NBR &quot;Air&quot;"/>
    <s v="VannesVanne PapillonOreille de centrage - NBR &quot;Air&quot;"/>
    <s v="DN150"/>
    <n v="14"/>
    <s v="VP150OC"/>
    <m/>
    <s v="VP DN150 610BL"/>
    <n v="0"/>
    <m/>
    <m/>
    <m/>
    <m/>
    <m/>
    <m/>
    <n v="0"/>
    <m/>
    <m/>
    <m/>
    <m/>
    <n v="0"/>
    <n v="0"/>
    <n v="0"/>
    <n v="0"/>
    <n v="0"/>
    <n v="0"/>
    <n v="0"/>
  </r>
  <r>
    <x v="17"/>
    <x v="256"/>
    <m/>
    <s v="VannesVanne Papillon"/>
    <m/>
    <n v="15"/>
    <m/>
    <m/>
    <m/>
    <n v="0"/>
    <m/>
    <m/>
    <m/>
    <m/>
    <m/>
    <m/>
    <n v="0"/>
    <m/>
    <m/>
    <m/>
    <m/>
    <n v="0"/>
    <n v="0"/>
    <n v="0"/>
    <n v="0"/>
    <n v="0"/>
    <n v="0"/>
    <n v="0"/>
  </r>
  <r>
    <x v="17"/>
    <x v="256"/>
    <s v="Oreille Taraudée - Inox - NBR &quot;Air&quot;"/>
    <s v="VannesVanne PapillonOreille Taraudée - Inox - NBR &quot;Air&quot;"/>
    <s v="DN80"/>
    <n v="16"/>
    <s v="VPI080OT"/>
    <s v="Gerondeau"/>
    <s v="0006LD"/>
    <n v="0"/>
    <m/>
    <m/>
    <m/>
    <m/>
    <m/>
    <m/>
    <n v="0"/>
    <m/>
    <m/>
    <m/>
    <m/>
    <n v="0"/>
    <n v="0"/>
    <n v="0"/>
    <n v="0"/>
    <n v="0"/>
    <n v="0"/>
    <n v="0"/>
  </r>
  <r>
    <x v="17"/>
    <x v="256"/>
    <s v="Oreille Taraudée - Inox - NBR &quot;Air&quot;?"/>
    <s v="VannesVanne PapillonOreille Taraudée - Inox - NBR &quot;Air&quot;?"/>
    <s v="DN125"/>
    <n v="17"/>
    <s v="VPI125OT"/>
    <s v="Gerondeau"/>
    <s v="0006LF"/>
    <n v="0"/>
    <m/>
    <m/>
    <m/>
    <m/>
    <m/>
    <m/>
    <n v="0"/>
    <m/>
    <m/>
    <m/>
    <m/>
    <n v="0"/>
    <n v="0"/>
    <n v="0"/>
    <n v="0"/>
    <n v="0"/>
    <n v="0"/>
    <n v="0"/>
  </r>
  <r>
    <x v="17"/>
    <x v="256"/>
    <m/>
    <s v="VannesVanne Papillon"/>
    <m/>
    <n v="18"/>
    <m/>
    <m/>
    <m/>
    <n v="0"/>
    <m/>
    <m/>
    <m/>
    <m/>
    <m/>
    <m/>
    <n v="0"/>
    <m/>
    <m/>
    <m/>
    <m/>
    <n v="0"/>
    <n v="0"/>
    <n v="0"/>
    <n v="0"/>
    <n v="0"/>
    <n v="0"/>
    <n v="0"/>
  </r>
  <r>
    <x v="17"/>
    <x v="256"/>
    <s v="Oreille Taraudée - Inox - EPDM &quot;Eau&quot;"/>
    <s v="VannesVanne PapillonOreille Taraudée - Inox - EPDM &quot;Eau&quot;"/>
    <s v="DN65"/>
    <n v="19"/>
    <s v="VPI065OTEPDM"/>
    <s v="Sferaco"/>
    <n v="1160065"/>
    <n v="0"/>
    <m/>
    <m/>
    <m/>
    <m/>
    <m/>
    <m/>
    <n v="0"/>
    <m/>
    <m/>
    <m/>
    <m/>
    <n v="0"/>
    <n v="0"/>
    <n v="0"/>
    <n v="0"/>
    <n v="0"/>
    <n v="0"/>
    <n v="0"/>
  </r>
  <r>
    <x v="17"/>
    <x v="256"/>
    <s v="Oreille Taraudée - Inox - EPDM &quot;Eau&quot;"/>
    <s v="VannesVanne PapillonOreille Taraudée - Inox - EPDM &quot;Eau&quot;"/>
    <s v="DN65"/>
    <n v="20"/>
    <s v="VPI65OT-EPDM"/>
    <s v="Sferaco"/>
    <n v="1160065"/>
    <n v="0"/>
    <m/>
    <m/>
    <m/>
    <m/>
    <m/>
    <m/>
    <n v="0"/>
    <m/>
    <m/>
    <m/>
    <m/>
    <n v="0"/>
    <n v="0"/>
    <n v="0"/>
    <n v="0"/>
    <n v="0"/>
    <n v="0"/>
    <n v="0"/>
  </r>
  <r>
    <x v="17"/>
    <x v="256"/>
    <s v="Oreille Taraudée - Inox - EPDM &quot;Eau&quot;"/>
    <s v="VannesVanne PapillonOreille Taraudée - Inox - EPDM &quot;Eau&quot;"/>
    <s v="Ø  80x90        DN 80"/>
    <n v="20"/>
    <s v="VP80OTEPDM"/>
    <s v="Sferaco"/>
    <n v="1160080"/>
    <n v="0"/>
    <m/>
    <m/>
    <m/>
    <m/>
    <m/>
    <m/>
    <n v="0"/>
    <m/>
    <m/>
    <m/>
    <m/>
    <n v="0"/>
    <n v="0"/>
    <n v="0"/>
    <n v="0"/>
    <n v="0"/>
    <n v="0"/>
    <n v="0"/>
  </r>
  <r>
    <x v="17"/>
    <x v="256"/>
    <s v="Oreille Taraudée - Inox - EPDM &quot;Eau&quot;"/>
    <s v="VannesVanne PapillonOreille Taraudée - Inox - EPDM &quot;Eau&quot;"/>
    <s v="Ø  114,3        DN 100"/>
    <n v="21"/>
    <s v="VPI100OT-EPDM"/>
    <s v="Sferaco"/>
    <n v="1160100"/>
    <n v="0"/>
    <m/>
    <m/>
    <m/>
    <m/>
    <m/>
    <m/>
    <n v="0"/>
    <m/>
    <m/>
    <m/>
    <m/>
    <n v="0"/>
    <n v="0"/>
    <n v="0"/>
    <n v="0"/>
    <n v="0"/>
    <n v="0"/>
    <n v="0"/>
  </r>
  <r>
    <x v="17"/>
    <x v="256"/>
    <m/>
    <s v="VannesVanne Papillon"/>
    <m/>
    <n v="22"/>
    <m/>
    <m/>
    <m/>
    <n v="0"/>
    <m/>
    <m/>
    <m/>
    <m/>
    <m/>
    <m/>
    <n v="0"/>
    <m/>
    <m/>
    <m/>
    <m/>
    <n v="0"/>
    <n v="0"/>
    <n v="0"/>
    <n v="0"/>
    <n v="0"/>
    <n v="0"/>
    <n v="0"/>
  </r>
  <r>
    <x v="17"/>
    <x v="256"/>
    <s v="Oreille de centrage - EPDM &quot;Eau&quot;"/>
    <s v="VannesVanne PapillonOreille de centrage - EPDM &quot;Eau&quot;"/>
    <s v="DN65"/>
    <n v="23"/>
    <s v="VP65OC-EPDM"/>
    <s v="Sferaco"/>
    <n v="1125065"/>
    <n v="0"/>
    <m/>
    <m/>
    <m/>
    <m/>
    <m/>
    <m/>
    <n v="0"/>
    <m/>
    <m/>
    <m/>
    <m/>
    <n v="0"/>
    <n v="0"/>
    <n v="0"/>
    <n v="0"/>
    <n v="0"/>
    <n v="0"/>
    <n v="0"/>
  </r>
  <r>
    <x v="17"/>
    <x v="256"/>
    <s v="Oreille de centrage - Fonte - EPDM &quot;Eau&quot;"/>
    <s v="VannesVanne PapillonOreille de centrage - Fonte - EPDM &quot;Eau&quot;"/>
    <s v="Ø  50x60        DN 50"/>
    <n v="24"/>
    <s v="VP50OC-EPDM"/>
    <s v="Apro Ouest"/>
    <n v="335080"/>
    <n v="0"/>
    <m/>
    <m/>
    <m/>
    <m/>
    <m/>
    <m/>
    <n v="0"/>
    <m/>
    <m/>
    <m/>
    <m/>
    <n v="0"/>
    <n v="0"/>
    <n v="0"/>
    <n v="0"/>
    <n v="0"/>
    <n v="0"/>
    <n v="0"/>
  </r>
  <r>
    <x v="17"/>
    <x v="256"/>
    <m/>
    <s v="VannesVanne Papillon"/>
    <m/>
    <n v="25"/>
    <m/>
    <m/>
    <m/>
    <n v="0"/>
    <m/>
    <m/>
    <m/>
    <m/>
    <m/>
    <m/>
    <n v="0"/>
    <m/>
    <m/>
    <m/>
    <m/>
    <n v="0"/>
    <n v="0"/>
    <n v="0"/>
    <n v="0"/>
    <n v="0"/>
    <n v="0"/>
    <n v="0"/>
  </r>
  <r>
    <x v="17"/>
    <x v="256"/>
    <s v="Oreille de centrage - NBR &quot;Air&quot;"/>
    <s v="VannesVanne PapillonOreille de centrage - NBR &quot;Air&quot;"/>
    <s v="DN80 - Avec actionneur pneumatique simple effet"/>
    <n v="26"/>
    <s v="VP80OC-APSE"/>
    <s v="Lamoot Dari"/>
    <s v="SL3NAN080+AP35S"/>
    <n v="0"/>
    <m/>
    <m/>
    <m/>
    <m/>
    <m/>
    <m/>
    <n v="0"/>
    <m/>
    <m/>
    <m/>
    <m/>
    <n v="0"/>
    <n v="0"/>
    <n v="0"/>
    <n v="0"/>
    <n v="0"/>
    <n v="0"/>
    <n v="0"/>
  </r>
  <r>
    <x v="17"/>
    <x v="256"/>
    <s v="Oreille Taraudée - Fonte - EPDM &quot;Eau&quot;"/>
    <s v="VannesVanne PapillonOreille Taraudée - Fonte - EPDM &quot;Eau&quot;"/>
    <s v="DN50"/>
    <n v="27"/>
    <s v="VP50OT-EPDM"/>
    <s v="Sferaco"/>
    <n v="1125050"/>
    <n v="0"/>
    <m/>
    <m/>
    <m/>
    <m/>
    <m/>
    <m/>
    <n v="0"/>
    <m/>
    <m/>
    <m/>
    <m/>
    <n v="0"/>
    <n v="0"/>
    <n v="0"/>
    <n v="0"/>
    <n v="0"/>
    <n v="0"/>
    <n v="0"/>
  </r>
  <r>
    <x v="17"/>
    <x v="256"/>
    <s v="Oreille Taraudée - Inox/Fonte ? - EPDM &quot;Eau&quot;"/>
    <s v="VannesVanne PapillonOreille Taraudée - Inox/Fonte ? - EPDM &quot;Eau&quot;"/>
    <s v="Ø 65x76       DN 65"/>
    <n v="28"/>
    <s v="VP65OT-EPDM"/>
    <s v="Apro Ouest"/>
    <n v="3305210"/>
    <n v="0"/>
    <m/>
    <m/>
    <m/>
    <m/>
    <m/>
    <m/>
    <n v="0"/>
    <m/>
    <m/>
    <m/>
    <m/>
    <n v="0"/>
    <n v="0"/>
    <n v="0"/>
    <n v="0"/>
    <n v="0"/>
    <n v="0"/>
    <n v="0"/>
  </r>
  <r>
    <x v="17"/>
    <x v="256"/>
    <s v="Oreille Taraudée - Metal / Metal - Haute T°"/>
    <s v="VannesVanne PapillonOreille Taraudée - Metal / Metal - Haute T°"/>
    <s v="Ø  80x90        DN 80"/>
    <n v="29"/>
    <s v="VP80OT-MET/MET"/>
    <m/>
    <n v="1113080"/>
    <n v="0"/>
    <m/>
    <m/>
    <m/>
    <m/>
    <m/>
    <m/>
    <n v="0"/>
    <m/>
    <m/>
    <m/>
    <m/>
    <n v="0"/>
    <n v="0"/>
    <n v="0"/>
    <n v="0"/>
    <n v="0"/>
    <n v="0"/>
    <n v="0"/>
  </r>
  <r>
    <x v="18"/>
    <x v="257"/>
    <m/>
    <s v="Main d'ŒuvreFrais"/>
    <m/>
    <n v="0"/>
    <m/>
    <m/>
    <m/>
    <n v="0"/>
    <m/>
    <m/>
    <m/>
    <m/>
    <m/>
    <m/>
    <n v="0"/>
    <m/>
    <m/>
    <m/>
    <m/>
    <n v="0"/>
    <n v="0"/>
    <n v="0"/>
    <n v="0"/>
    <n v="0"/>
    <n v="0"/>
    <n v="0"/>
  </r>
  <r>
    <x v="18"/>
    <x v="257"/>
    <m/>
    <s v="Frais Hotel"/>
    <s v="FH"/>
    <n v="1"/>
    <s v="FH"/>
    <m/>
    <m/>
    <n v="0"/>
    <m/>
    <m/>
    <m/>
    <m/>
    <m/>
    <m/>
    <n v="0"/>
    <m/>
    <m/>
    <m/>
    <m/>
    <n v="0"/>
    <n v="0"/>
    <n v="0"/>
    <n v="0"/>
    <n v="0"/>
    <n v="0"/>
    <n v="0"/>
  </r>
  <r>
    <x v="18"/>
    <x v="257"/>
    <m/>
    <s v="Frais Repas"/>
    <s v="FR"/>
    <n v="2"/>
    <s v="FR"/>
    <m/>
    <m/>
    <n v="0"/>
    <m/>
    <m/>
    <m/>
    <m/>
    <m/>
    <m/>
    <n v="0"/>
    <m/>
    <m/>
    <m/>
    <m/>
    <n v="0"/>
    <n v="0"/>
    <n v="0"/>
    <n v="0"/>
    <n v="0"/>
    <n v="0"/>
    <n v="0"/>
  </r>
  <r>
    <x v="18"/>
    <x v="258"/>
    <m/>
    <s v="Main d'ŒuvreHeures"/>
    <m/>
    <n v="0"/>
    <m/>
    <m/>
    <m/>
    <n v="0"/>
    <m/>
    <m/>
    <m/>
    <m/>
    <m/>
    <m/>
    <n v="0"/>
    <m/>
    <m/>
    <m/>
    <m/>
    <n v="0"/>
    <n v="0"/>
    <n v="0"/>
    <n v="0"/>
    <n v="0"/>
    <n v="0"/>
    <n v="0"/>
  </r>
  <r>
    <x v="18"/>
    <x v="258"/>
    <m/>
    <s v="Heure Etude Devis"/>
    <s v="HDBE"/>
    <n v="4"/>
    <s v="HDBE"/>
    <m/>
    <m/>
    <n v="0"/>
    <m/>
    <m/>
    <m/>
    <m/>
    <m/>
    <m/>
    <n v="0"/>
    <m/>
    <m/>
    <m/>
    <m/>
    <n v="0"/>
    <n v="0"/>
    <n v="0"/>
    <n v="0"/>
    <n v="0"/>
    <n v="0"/>
    <n v="0"/>
  </r>
  <r>
    <x v="18"/>
    <x v="258"/>
    <m/>
    <s v="Heure Technicien 100"/>
    <s v="HN "/>
    <n v="2"/>
    <s v="HN "/>
    <m/>
    <m/>
    <n v="0"/>
    <m/>
    <m/>
    <m/>
    <m/>
    <m/>
    <m/>
    <n v="0"/>
    <m/>
    <m/>
    <m/>
    <m/>
    <n v="0"/>
    <n v="0"/>
    <n v="0"/>
    <n v="0"/>
    <n v="0"/>
    <n v="0"/>
    <n v="0"/>
  </r>
  <r>
    <x v="18"/>
    <x v="258"/>
    <m/>
    <s v="Heure Etude BE"/>
    <s v="HNBE"/>
    <n v="3"/>
    <s v="HNBE"/>
    <m/>
    <m/>
    <n v="0"/>
    <m/>
    <m/>
    <m/>
    <m/>
    <m/>
    <m/>
    <n v="0"/>
    <m/>
    <m/>
    <m/>
    <m/>
    <n v="0"/>
    <n v="0"/>
    <n v="0"/>
    <n v="0"/>
    <n v="0"/>
    <n v="0"/>
    <n v="0"/>
  </r>
  <r>
    <x v="18"/>
    <x v="258"/>
    <m/>
    <s v="Heure Tuyauteur 100"/>
    <s v="HNT"/>
    <n v="1"/>
    <s v="HNT"/>
    <m/>
    <m/>
    <n v="0"/>
    <m/>
    <m/>
    <m/>
    <m/>
    <m/>
    <m/>
    <n v="0"/>
    <m/>
    <m/>
    <m/>
    <m/>
    <n v="0"/>
    <n v="0"/>
    <n v="0"/>
    <n v="0"/>
    <n v="0"/>
    <n v="0"/>
    <n v="0"/>
  </r>
  <r>
    <x v="18"/>
    <x v="258"/>
    <m/>
    <s v="Heure Sup 125"/>
    <s v="HS125"/>
    <n v="5"/>
    <s v="HS125"/>
    <m/>
    <m/>
    <n v="0"/>
    <m/>
    <m/>
    <m/>
    <m/>
    <m/>
    <m/>
    <n v="0"/>
    <m/>
    <m/>
    <m/>
    <m/>
    <n v="0"/>
    <n v="0"/>
    <n v="0"/>
    <n v="0"/>
    <n v="0"/>
    <n v="0"/>
    <n v="0"/>
  </r>
  <r>
    <x v="18"/>
    <x v="258"/>
    <m/>
    <s v="Heure Sup 150"/>
    <s v="HS150"/>
    <n v="6"/>
    <s v="HS150"/>
    <m/>
    <m/>
    <n v="0"/>
    <m/>
    <m/>
    <m/>
    <m/>
    <m/>
    <m/>
    <n v="0"/>
    <m/>
    <m/>
    <m/>
    <m/>
    <n v="0"/>
    <n v="0"/>
    <n v="0"/>
    <n v="0"/>
    <n v="0"/>
    <n v="0"/>
    <n v="0"/>
  </r>
  <r>
    <x v="18"/>
    <x v="258"/>
    <m/>
    <s v="Heure Sup 200"/>
    <s v="HS200"/>
    <n v="7"/>
    <s v="HS200"/>
    <m/>
    <m/>
    <n v="0"/>
    <m/>
    <m/>
    <m/>
    <m/>
    <m/>
    <m/>
    <n v="0"/>
    <m/>
    <m/>
    <m/>
    <m/>
    <n v="0"/>
    <n v="0"/>
    <n v="0"/>
    <n v="0"/>
    <n v="0"/>
    <n v="0"/>
    <n v="0"/>
  </r>
  <r>
    <x v="18"/>
    <x v="259"/>
    <m/>
    <s v="Main d'ŒuvreKilomètres"/>
    <m/>
    <n v="0"/>
    <m/>
    <m/>
    <m/>
    <n v="0"/>
    <m/>
    <m/>
    <m/>
    <m/>
    <m/>
    <m/>
    <n v="0"/>
    <m/>
    <m/>
    <m/>
    <m/>
    <n v="0"/>
    <n v="0"/>
    <n v="0"/>
    <n v="0"/>
    <n v="0"/>
    <n v="0"/>
    <n v="0"/>
  </r>
  <r>
    <x v="18"/>
    <x v="259"/>
    <m/>
    <s v="V. atelier"/>
    <s v="KMVA"/>
    <n v="1"/>
    <s v="KMVA"/>
    <m/>
    <m/>
    <n v="0"/>
    <m/>
    <m/>
    <m/>
    <m/>
    <m/>
    <m/>
    <n v="0"/>
    <m/>
    <m/>
    <m/>
    <m/>
    <n v="0"/>
    <n v="0"/>
    <n v="0"/>
    <n v="0"/>
    <n v="0"/>
    <n v="0"/>
    <n v="0"/>
  </r>
  <r>
    <x v="18"/>
    <x v="259"/>
    <m/>
    <s v="V leger"/>
    <s v="KMVL"/>
    <n v="2"/>
    <s v="KMVL"/>
    <m/>
    <m/>
    <n v="0"/>
    <m/>
    <m/>
    <m/>
    <m/>
    <m/>
    <m/>
    <n v="0"/>
    <m/>
    <m/>
    <m/>
    <m/>
    <n v="0"/>
    <n v="0"/>
    <n v="0"/>
    <n v="0"/>
    <n v="0"/>
    <n v="0"/>
    <n v="0"/>
  </r>
  <r>
    <x v="19"/>
    <x v="260"/>
    <m/>
    <s v="AccessoiresBac de rétention"/>
    <m/>
    <n v="0"/>
    <m/>
    <m/>
    <m/>
    <n v="0"/>
    <m/>
    <m/>
    <m/>
    <m/>
    <m/>
    <m/>
    <n v="0"/>
    <m/>
    <m/>
    <m/>
    <m/>
    <n v="0"/>
    <n v="0"/>
    <n v="0"/>
    <n v="0"/>
    <n v="0"/>
    <n v="0"/>
    <n v="0"/>
  </r>
  <r>
    <x v="19"/>
    <x v="260"/>
    <s v="Bac de rétention"/>
    <s v="AccessoiresBac de rétentionBac de rétention"/>
    <s v="Bac de récupération 1000L"/>
    <n v="1"/>
    <s v="IBC 1000 LITRES"/>
    <m/>
    <m/>
    <n v="0"/>
    <m/>
    <m/>
    <m/>
    <m/>
    <m/>
    <m/>
    <n v="0"/>
    <m/>
    <m/>
    <m/>
    <m/>
    <n v="0"/>
    <n v="0"/>
    <n v="0"/>
    <n v="0"/>
    <n v="0"/>
    <n v="0"/>
    <n v="0"/>
  </r>
  <r>
    <x v="19"/>
    <x v="260"/>
    <s v="Bac de rétention"/>
    <s v="AccessoiresBac de rétentionBac de rétention"/>
    <s v="Bac de rétention 1000L - 1320x1220x760"/>
    <n v="2"/>
    <s v="MCT1000-C"/>
    <m/>
    <m/>
    <n v="0"/>
    <m/>
    <m/>
    <m/>
    <m/>
    <m/>
    <m/>
    <n v="0"/>
    <m/>
    <m/>
    <m/>
    <m/>
    <n v="0"/>
    <n v="0"/>
    <n v="0"/>
    <n v="0"/>
    <n v="0"/>
    <n v="0"/>
    <n v="0"/>
  </r>
  <r>
    <x v="19"/>
    <x v="260"/>
    <s v="Bac de rétention"/>
    <s v="AccessoiresBac de rétentionBac de rétention"/>
    <s v="Bac de rétention 1000L - 2660x1220x435"/>
    <n v="3"/>
    <s v="MCT1000SP-C"/>
    <m/>
    <m/>
    <n v="0"/>
    <m/>
    <m/>
    <m/>
    <m/>
    <m/>
    <m/>
    <n v="0"/>
    <m/>
    <m/>
    <m/>
    <m/>
    <n v="0"/>
    <n v="0"/>
    <n v="0"/>
    <n v="0"/>
    <n v="0"/>
    <n v="0"/>
    <n v="0"/>
  </r>
  <r>
    <x v="19"/>
    <x v="260"/>
    <s v="Bac de rétention"/>
    <s v="AccessoiresBac de rétentionBac de rétention"/>
    <s v="Bac de rétention 220L - 665x1220x400"/>
    <n v="4"/>
    <s v="MINIMCT-C"/>
    <m/>
    <m/>
    <n v="0"/>
    <m/>
    <m/>
    <m/>
    <m/>
    <m/>
    <m/>
    <n v="0"/>
    <m/>
    <m/>
    <m/>
    <m/>
    <n v="0"/>
    <n v="0"/>
    <n v="0"/>
    <n v="0"/>
    <n v="0"/>
    <n v="0"/>
    <n v="0"/>
  </r>
  <r>
    <x v="19"/>
    <x v="260"/>
    <s v="Bac de rétention"/>
    <s v="AccessoiresBac de rétentionBac de rétention"/>
    <s v="Bac de rétention 220L - 870x870x420"/>
    <n v="5"/>
    <s v="MINIMCT870-C"/>
    <m/>
    <m/>
    <n v="0"/>
    <m/>
    <m/>
    <m/>
    <m/>
    <m/>
    <m/>
    <n v="0"/>
    <m/>
    <m/>
    <m/>
    <m/>
    <n v="0"/>
    <n v="0"/>
    <n v="0"/>
    <n v="0"/>
    <n v="0"/>
    <n v="0"/>
    <n v="0"/>
  </r>
  <r>
    <x v="19"/>
    <x v="260"/>
    <s v="Bac de rétention"/>
    <s v="AccessoiresBac de rétentionBac de rétention"/>
    <s v="Bac de rétention 225L - 925x755x555"/>
    <n v="6"/>
    <s v="BRLP225"/>
    <m/>
    <m/>
    <n v="0"/>
    <m/>
    <m/>
    <m/>
    <m/>
    <m/>
    <m/>
    <n v="0"/>
    <m/>
    <m/>
    <m/>
    <m/>
    <n v="0"/>
    <n v="0"/>
    <n v="0"/>
    <n v="0"/>
    <n v="0"/>
    <n v="0"/>
    <n v="0"/>
  </r>
  <r>
    <x v="19"/>
    <x v="260"/>
    <s v="Bac de rétention"/>
    <s v="AccessoiresBac de rétentionBac de rétention"/>
    <s v="Bac de rétention 440L - 1320x1220x400"/>
    <n v="7"/>
    <s v="MCT-C"/>
    <m/>
    <m/>
    <n v="0"/>
    <m/>
    <m/>
    <m/>
    <m/>
    <m/>
    <m/>
    <n v="0"/>
    <m/>
    <m/>
    <m/>
    <m/>
    <n v="0"/>
    <n v="0"/>
    <n v="0"/>
    <n v="0"/>
    <n v="0"/>
    <n v="0"/>
    <n v="0"/>
  </r>
  <r>
    <x v="19"/>
    <x v="260"/>
    <s v="Bac de rétention"/>
    <s v="AccessoiresBac de rétentionBac de rétention"/>
    <s v="Bac de rétention 90L - 1200x640x160"/>
    <n v="8"/>
    <s v="BR90L"/>
    <s v="MANUTAN"/>
    <s v="A148307"/>
    <n v="0"/>
    <m/>
    <m/>
    <m/>
    <m/>
    <m/>
    <m/>
    <n v="0"/>
    <m/>
    <m/>
    <m/>
    <m/>
    <n v="0"/>
    <n v="0"/>
    <n v="0"/>
    <n v="0"/>
    <n v="0"/>
    <n v="0"/>
    <n v="0"/>
  </r>
  <r>
    <x v="19"/>
    <x v="260"/>
    <s v="Bac de rétention"/>
    <s v="AccessoiresBac de rétentionBac de rétention"/>
    <s v="Bac de rétention - Owamat 6 - 840x1250x350"/>
    <n v="9"/>
    <s v="BR06"/>
    <m/>
    <m/>
    <n v="0"/>
    <m/>
    <m/>
    <m/>
    <m/>
    <m/>
    <m/>
    <n v="0"/>
    <m/>
    <m/>
    <m/>
    <m/>
    <n v="0"/>
    <n v="0"/>
    <n v="0"/>
    <n v="0"/>
    <n v="0"/>
    <n v="0"/>
    <n v="0"/>
  </r>
  <r>
    <x v="19"/>
    <x v="260"/>
    <s v="Bac de rétention"/>
    <s v="AccessoiresBac de rétentionBac de rétention"/>
    <s v="Bac de rétention - Owamat 8 - 1320x1220x760"/>
    <n v="10"/>
    <s v="BR08"/>
    <m/>
    <m/>
    <n v="0"/>
    <m/>
    <m/>
    <m/>
    <m/>
    <m/>
    <m/>
    <n v="0"/>
    <m/>
    <m/>
    <m/>
    <m/>
    <n v="0"/>
    <n v="0"/>
    <n v="0"/>
    <n v="0"/>
    <n v="0"/>
    <n v="0"/>
    <n v="0"/>
  </r>
  <r>
    <x v="19"/>
    <x v="260"/>
    <s v="Bac de rétention"/>
    <s v="AccessoiresBac de rétentionBac de rétention"/>
    <s v="Bac de rétention - 1740x1450x600 - Plastique"/>
    <n v="11"/>
    <s v="BR08P"/>
    <m/>
    <m/>
    <n v="0"/>
    <m/>
    <m/>
    <m/>
    <m/>
    <m/>
    <m/>
    <n v="0"/>
    <m/>
    <m/>
    <m/>
    <m/>
    <n v="0"/>
    <n v="0"/>
    <n v="0"/>
    <n v="0"/>
    <n v="0"/>
    <n v="0"/>
    <n v="0"/>
  </r>
  <r>
    <x v="19"/>
    <x v="260"/>
    <s v="Bac de rétention"/>
    <s v="AccessoiresBac de rétentionBac de rétention"/>
    <s v="Bac de rétention 120L - 1245x1245x115"/>
    <n v="12"/>
    <s v="BR120"/>
    <m/>
    <m/>
    <n v="0"/>
    <m/>
    <m/>
    <m/>
    <m/>
    <m/>
    <m/>
    <n v="0"/>
    <m/>
    <m/>
    <m/>
    <m/>
    <n v="0"/>
    <n v="0"/>
    <n v="0"/>
    <n v="0"/>
    <n v="0"/>
    <n v="0"/>
    <n v="0"/>
  </r>
  <r>
    <x v="19"/>
    <x v="260"/>
    <s v="Bac de rétention"/>
    <s v="AccessoiresBac de rétentionBac de rétention"/>
    <s v="Bac de rétention"/>
    <n v="13"/>
    <s v="BR14S"/>
    <m/>
    <m/>
    <n v="0"/>
    <m/>
    <m/>
    <m/>
    <m/>
    <m/>
    <m/>
    <n v="0"/>
    <m/>
    <m/>
    <m/>
    <m/>
    <n v="0"/>
    <n v="0"/>
    <n v="0"/>
    <n v="0"/>
    <n v="0"/>
    <n v="0"/>
    <n v="0"/>
  </r>
  <r>
    <x v="19"/>
    <x v="260"/>
    <s v="Bac de rétention"/>
    <s v="AccessoiresBac de rétentionBac de rétention"/>
    <s v="Bac de récupération"/>
    <n v="14"/>
    <s v="MINIMCT842B-C"/>
    <m/>
    <m/>
    <n v="0"/>
    <m/>
    <m/>
    <m/>
    <m/>
    <m/>
    <m/>
    <n v="0"/>
    <m/>
    <m/>
    <m/>
    <m/>
    <n v="0"/>
    <n v="0"/>
    <n v="0"/>
    <n v="0"/>
    <n v="0"/>
    <n v="0"/>
    <n v="0"/>
  </r>
  <r>
    <x v="19"/>
    <x v="261"/>
    <m/>
    <s v="AccessoiresBeko"/>
    <m/>
    <n v="0"/>
    <m/>
    <m/>
    <m/>
    <n v="0"/>
    <m/>
    <m/>
    <m/>
    <m/>
    <m/>
    <m/>
    <n v="0"/>
    <m/>
    <m/>
    <m/>
    <m/>
    <n v="0"/>
    <n v="0"/>
    <n v="0"/>
    <n v="0"/>
    <n v="0"/>
    <n v="0"/>
    <n v="0"/>
  </r>
  <r>
    <x v="19"/>
    <x v="261"/>
    <s v="Accessoires beko"/>
    <s v="AccessoiresBekoAccessoires beko"/>
    <s v="coque d’isolation beko 12"/>
    <n v="12"/>
    <s v="XZKA1202"/>
    <m/>
    <m/>
    <n v="0"/>
    <m/>
    <m/>
    <m/>
    <m/>
    <m/>
    <m/>
    <n v="0"/>
    <m/>
    <m/>
    <m/>
    <m/>
    <n v="0"/>
    <n v="0"/>
    <n v="0"/>
    <n v="0"/>
    <n v="0"/>
    <n v="0"/>
    <n v="0"/>
  </r>
  <r>
    <x v="19"/>
    <x v="261"/>
    <s v="Accessoires beko"/>
    <s v="AccessoiresBekoAccessoires beko"/>
    <s v="coque d’isolation beko 13"/>
    <n v="13"/>
    <s v="XZKA13001"/>
    <m/>
    <m/>
    <n v="0"/>
    <m/>
    <m/>
    <m/>
    <m/>
    <m/>
    <m/>
    <n v="0"/>
    <m/>
    <m/>
    <m/>
    <m/>
    <n v="0"/>
    <n v="0"/>
    <n v="0"/>
    <n v="0"/>
    <n v="0"/>
    <n v="0"/>
    <n v="0"/>
  </r>
  <r>
    <x v="19"/>
    <x v="261"/>
    <s v="Accessoires beko"/>
    <s v="AccessoiresBekoAccessoires beko"/>
    <s v="Distributeur de condensat "/>
    <n v="14"/>
    <n v="4003998"/>
    <m/>
    <m/>
    <n v="0"/>
    <m/>
    <m/>
    <m/>
    <m/>
    <m/>
    <m/>
    <n v="0"/>
    <m/>
    <m/>
    <m/>
    <m/>
    <n v="0"/>
    <n v="0"/>
    <n v="0"/>
    <n v="0"/>
    <n v="0"/>
    <n v="0"/>
    <n v="0"/>
  </r>
  <r>
    <x v="19"/>
    <x v="261"/>
    <s v="Beko"/>
    <s v="AccessoiresBekoBeko"/>
    <s v="Bekomat 31 (Sans Alarme) Entrée 1/2&quot; Sortie 1/4&quot;"/>
    <n v="1"/>
    <s v="Beko31"/>
    <m/>
    <m/>
    <n v="0"/>
    <m/>
    <m/>
    <m/>
    <m/>
    <m/>
    <m/>
    <n v="0"/>
    <m/>
    <m/>
    <m/>
    <m/>
    <n v="0"/>
    <n v="0"/>
    <n v="0"/>
    <n v="0"/>
    <n v="0"/>
    <n v="0"/>
    <n v="0"/>
  </r>
  <r>
    <x v="19"/>
    <x v="261"/>
    <s v="Beko"/>
    <s v="AccessoiresBekoBeko"/>
    <s v="Bekomat 12 (Avec Alarme) Entrée 1/2&quot; Sortie 3/8&quot;"/>
    <n v="2"/>
    <s v="BEKO12"/>
    <m/>
    <m/>
    <n v="0"/>
    <m/>
    <m/>
    <m/>
    <m/>
    <m/>
    <m/>
    <n v="0"/>
    <m/>
    <m/>
    <m/>
    <m/>
    <n v="0"/>
    <n v="0"/>
    <n v="0"/>
    <n v="0"/>
    <n v="0"/>
    <n v="0"/>
    <n v="0"/>
  </r>
  <r>
    <x v="19"/>
    <x v="261"/>
    <s v="Beko"/>
    <s v="AccessoiresBekoBeko"/>
    <s v="Bekomat 13 (Avec Alarme) (Cuve &lt;5000L) Sortie 1/2&quot;M"/>
    <n v="3"/>
    <s v="BEKO13"/>
    <m/>
    <m/>
    <n v="0"/>
    <m/>
    <m/>
    <m/>
    <m/>
    <m/>
    <m/>
    <n v="0"/>
    <m/>
    <m/>
    <m/>
    <m/>
    <n v="0"/>
    <n v="0"/>
    <n v="0"/>
    <n v="0"/>
    <n v="0"/>
    <n v="0"/>
    <n v="0"/>
  </r>
  <r>
    <x v="19"/>
    <x v="261"/>
    <s v="Beko"/>
    <s v="AccessoiresBekoBeko"/>
    <s v="Bekomat 32 (Sans Alarme) Entrée 1/2&quot; Sortie 1/4&quot;"/>
    <n v="4"/>
    <s v="BEKO32"/>
    <m/>
    <m/>
    <n v="0"/>
    <m/>
    <m/>
    <m/>
    <m/>
    <m/>
    <m/>
    <n v="0"/>
    <m/>
    <m/>
    <m/>
    <m/>
    <n v="0"/>
    <n v="0"/>
    <n v="0"/>
    <n v="0"/>
    <n v="0"/>
    <n v="0"/>
    <n v="0"/>
  </r>
  <r>
    <x v="19"/>
    <x v="261"/>
    <s v="Beko"/>
    <s v="AccessoiresBekoBeko"/>
    <s v="14 (Cuve &gt;5000L) Sortie 3/4&quot;M"/>
    <n v="5"/>
    <s v="BEKO14"/>
    <m/>
    <m/>
    <n v="0"/>
    <m/>
    <m/>
    <m/>
    <m/>
    <m/>
    <m/>
    <n v="0"/>
    <m/>
    <m/>
    <m/>
    <m/>
    <n v="0"/>
    <n v="0"/>
    <n v="0"/>
    <n v="0"/>
    <n v="0"/>
    <n v="0"/>
    <n v="0"/>
  </r>
  <r>
    <x v="19"/>
    <x v="261"/>
    <s v="Equipement Beko"/>
    <s v="AccessoiresBekoEquipement Beko"/>
    <s v="Kit de montage pour Bekomat 14 (Cuve &gt;5000L) Sortie 3/4&quot;M pour rilsan D14?"/>
    <n v="7"/>
    <s v="BEKO14-KIT"/>
    <m/>
    <m/>
    <n v="0"/>
    <m/>
    <m/>
    <m/>
    <m/>
    <m/>
    <m/>
    <n v="0"/>
    <m/>
    <m/>
    <m/>
    <m/>
    <n v="0"/>
    <n v="0"/>
    <n v="0"/>
    <n v="0"/>
    <n v="0"/>
    <n v="0"/>
    <n v="0"/>
  </r>
  <r>
    <x v="19"/>
    <x v="261"/>
    <s v="Equipement Beko"/>
    <s v="AccessoiresBekoEquipement Beko"/>
    <s v="Kit de montage pour Bekomat 13 (Cuve &lt;5000L) Sortie 1/2&quot;M pour Rilsan D12"/>
    <n v="8"/>
    <s v="BEKO13-KIT"/>
    <m/>
    <m/>
    <n v="0"/>
    <m/>
    <m/>
    <m/>
    <m/>
    <m/>
    <m/>
    <n v="0"/>
    <m/>
    <m/>
    <m/>
    <m/>
    <n v="0"/>
    <n v="0"/>
    <n v="0"/>
    <n v="0"/>
    <n v="0"/>
    <n v="0"/>
    <n v="0"/>
  </r>
  <r>
    <x v="19"/>
    <x v="261"/>
    <s v="Equipement Beko"/>
    <s v="AccessoiresBekoEquipement Beko"/>
    <s v="Kit de montage pour Bekomat 12 (Filtre) Sortie 3/8&quot; pour rilsan D8"/>
    <n v="9"/>
    <s v="BEKO21-KIT"/>
    <m/>
    <m/>
    <n v="0"/>
    <m/>
    <m/>
    <m/>
    <m/>
    <m/>
    <m/>
    <n v="0"/>
    <m/>
    <m/>
    <m/>
    <m/>
    <n v="0"/>
    <n v="0"/>
    <n v="0"/>
    <n v="0"/>
    <n v="0"/>
    <n v="0"/>
    <n v="0"/>
  </r>
  <r>
    <x v="19"/>
    <x v="262"/>
    <m/>
    <s v="AccessoiresEnsemble Souflette"/>
    <m/>
    <n v="0"/>
    <m/>
    <m/>
    <m/>
    <n v="0"/>
    <m/>
    <m/>
    <m/>
    <m/>
    <m/>
    <m/>
    <n v="0"/>
    <m/>
    <m/>
    <m/>
    <m/>
    <n v="0"/>
    <n v="0"/>
    <n v="0"/>
    <n v="0"/>
    <n v="0"/>
    <n v="0"/>
    <n v="0"/>
  </r>
  <r>
    <x v="19"/>
    <x v="263"/>
    <m/>
    <s v="AccessoiresEmbase"/>
    <s v=" 1/2"/>
    <n v="1"/>
    <s v="Y64A-4GA-N2N"/>
    <m/>
    <m/>
    <n v="0"/>
    <m/>
    <m/>
    <m/>
    <m/>
    <m/>
    <m/>
    <n v="0"/>
    <m/>
    <m/>
    <m/>
    <m/>
    <n v="0"/>
    <n v="0"/>
    <n v="0"/>
    <n v="0"/>
    <n v="0"/>
    <n v="0"/>
    <n v="0"/>
  </r>
  <r>
    <x v="19"/>
    <x v="262"/>
    <m/>
    <s v="AccessoiresEnsemble Souflette"/>
    <s v="Souflette (femelle 1/4&quot;)"/>
    <n v="2"/>
    <s v="11-2080100"/>
    <m/>
    <m/>
    <n v="0"/>
    <m/>
    <m/>
    <m/>
    <m/>
    <m/>
    <m/>
    <n v="0"/>
    <m/>
    <m/>
    <m/>
    <m/>
    <n v="0"/>
    <n v="0"/>
    <n v="0"/>
    <n v="0"/>
    <n v="0"/>
    <n v="0"/>
    <n v="0"/>
  </r>
  <r>
    <x v="19"/>
    <x v="262"/>
    <m/>
    <s v="AccessoiresEnsemble Souflette"/>
    <s v="Spirale  2m (male male 1/4&quot;)"/>
    <n v="3"/>
    <s v="50,058,2901"/>
    <m/>
    <m/>
    <n v="0"/>
    <m/>
    <m/>
    <m/>
    <m/>
    <m/>
    <m/>
    <n v="0"/>
    <m/>
    <m/>
    <m/>
    <m/>
    <n v="0"/>
    <n v="0"/>
    <n v="0"/>
    <n v="0"/>
    <n v="0"/>
    <n v="0"/>
    <n v="0"/>
  </r>
  <r>
    <x v="19"/>
    <x v="262"/>
    <m/>
    <s v="AccessoiresEnsemble Souflette"/>
    <s v="Spirale  4m  (male male 1/4&quot;)"/>
    <n v="4"/>
    <s v="50,058,4901"/>
    <m/>
    <m/>
    <n v="0"/>
    <m/>
    <m/>
    <m/>
    <m/>
    <m/>
    <m/>
    <n v="0"/>
    <m/>
    <m/>
    <m/>
    <m/>
    <n v="0"/>
    <n v="0"/>
    <n v="0"/>
    <n v="0"/>
    <n v="0"/>
    <n v="0"/>
    <n v="0"/>
  </r>
  <r>
    <x v="19"/>
    <x v="262"/>
    <m/>
    <s v="AccessoiresEnsemble Souflette"/>
    <s v="Spirale  6m  (male male 1/4&quot;)"/>
    <n v="5"/>
    <s v="50,058,6901"/>
    <m/>
    <m/>
    <n v="0"/>
    <m/>
    <m/>
    <m/>
    <m/>
    <m/>
    <m/>
    <n v="0"/>
    <m/>
    <m/>
    <m/>
    <m/>
    <n v="0"/>
    <n v="0"/>
    <n v="0"/>
    <n v="0"/>
    <n v="0"/>
    <n v="0"/>
    <n v="0"/>
  </r>
  <r>
    <x v="19"/>
    <x v="262"/>
    <m/>
    <s v="AccessoiresEnsemble Souflette"/>
    <s v="Spirale  8m  (male male 1/4&quot;)"/>
    <n v="6"/>
    <s v="50,058,8901"/>
    <m/>
    <m/>
    <n v="0"/>
    <m/>
    <m/>
    <m/>
    <m/>
    <m/>
    <m/>
    <n v="0"/>
    <m/>
    <m/>
    <m/>
    <m/>
    <n v="0"/>
    <n v="0"/>
    <n v="0"/>
    <n v="0"/>
    <n v="0"/>
    <n v="0"/>
    <n v="0"/>
  </r>
  <r>
    <x v="19"/>
    <x v="264"/>
    <m/>
    <s v="AccessoiresEquerres de fixation"/>
    <s v=" 1/2"/>
    <n v="7"/>
    <s v="74504-50"/>
    <m/>
    <m/>
    <n v="0"/>
    <m/>
    <m/>
    <m/>
    <m/>
    <m/>
    <m/>
    <n v="0"/>
    <m/>
    <m/>
    <m/>
    <m/>
    <n v="0"/>
    <n v="0"/>
    <n v="0"/>
    <n v="0"/>
    <n v="0"/>
    <n v="0"/>
    <n v="0"/>
  </r>
  <r>
    <x v="19"/>
    <x v="265"/>
    <m/>
    <s v="AccessoiresFiltres"/>
    <m/>
    <n v="0"/>
    <m/>
    <m/>
    <m/>
    <n v="0"/>
    <m/>
    <m/>
    <m/>
    <m/>
    <m/>
    <m/>
    <n v="0"/>
    <m/>
    <m/>
    <m/>
    <m/>
    <n v="0"/>
    <n v="0"/>
    <n v="0"/>
    <n v="0"/>
    <n v="0"/>
    <n v="0"/>
    <n v="0"/>
  </r>
  <r>
    <x v="19"/>
    <x v="266"/>
    <m/>
    <s v="AccessoiresFiltre-regulateur ( tecnicair)"/>
    <s v=" 3/8"/>
    <n v="1"/>
    <s v="B64G3GKAD3RMN"/>
    <m/>
    <m/>
    <n v="0"/>
    <m/>
    <m/>
    <m/>
    <m/>
    <m/>
    <m/>
    <n v="0"/>
    <m/>
    <m/>
    <m/>
    <m/>
    <n v="0"/>
    <n v="0"/>
    <n v="0"/>
    <n v="0"/>
    <n v="0"/>
    <n v="0"/>
    <n v="0"/>
  </r>
  <r>
    <x v="19"/>
    <x v="266"/>
    <m/>
    <s v="AccessoiresFiltre-regulateur ( tecnicair)"/>
    <s v=" 1/2"/>
    <n v="2"/>
    <s v="B64GNNKAD3RMN"/>
    <m/>
    <m/>
    <n v="0"/>
    <m/>
    <m/>
    <m/>
    <m/>
    <m/>
    <m/>
    <n v="0"/>
    <m/>
    <m/>
    <m/>
    <m/>
    <n v="0"/>
    <n v="0"/>
    <n v="0"/>
    <n v="0"/>
    <n v="0"/>
    <n v="0"/>
    <n v="0"/>
  </r>
  <r>
    <x v="19"/>
    <x v="267"/>
    <m/>
    <s v="AccessoiresFiltre-regulateur-lubrificateur"/>
    <s v=" 1/4"/>
    <n v="3"/>
    <s v="FRL64-201"/>
    <m/>
    <m/>
    <n v="0"/>
    <m/>
    <m/>
    <m/>
    <m/>
    <m/>
    <m/>
    <n v="0"/>
    <m/>
    <m/>
    <m/>
    <m/>
    <n v="0"/>
    <n v="0"/>
    <n v="0"/>
    <n v="0"/>
    <n v="0"/>
    <n v="0"/>
    <n v="0"/>
  </r>
  <r>
    <x v="19"/>
    <x v="265"/>
    <m/>
    <s v="AccessoiresFiltres"/>
    <s v=" 1/4 P"/>
    <n v="4"/>
    <s v="AF0035P"/>
    <m/>
    <m/>
    <n v="0"/>
    <m/>
    <m/>
    <m/>
    <m/>
    <m/>
    <m/>
    <n v="0"/>
    <m/>
    <m/>
    <m/>
    <m/>
    <n v="0"/>
    <n v="0"/>
    <n v="0"/>
    <n v="0"/>
    <n v="0"/>
    <n v="0"/>
    <n v="0"/>
  </r>
  <r>
    <x v="19"/>
    <x v="265"/>
    <m/>
    <s v="AccessoiresFiltres"/>
    <s v=" 1/4C"/>
    <n v="5"/>
    <s v="AF0035C"/>
    <m/>
    <m/>
    <n v="0"/>
    <m/>
    <m/>
    <m/>
    <m/>
    <m/>
    <m/>
    <n v="0"/>
    <m/>
    <m/>
    <m/>
    <m/>
    <n v="0"/>
    <n v="0"/>
    <n v="0"/>
    <n v="0"/>
    <n v="0"/>
    <n v="0"/>
    <n v="0"/>
  </r>
  <r>
    <x v="19"/>
    <x v="265"/>
    <m/>
    <s v="AccessoiresFiltres"/>
    <s v=" 1/4A"/>
    <n v="6"/>
    <s v="AF0035A"/>
    <m/>
    <m/>
    <n v="0"/>
    <m/>
    <m/>
    <m/>
    <m/>
    <m/>
    <m/>
    <n v="0"/>
    <m/>
    <m/>
    <m/>
    <m/>
    <n v="0"/>
    <n v="0"/>
    <n v="0"/>
    <n v="0"/>
    <n v="0"/>
    <n v="0"/>
    <n v="0"/>
  </r>
  <r>
    <x v="19"/>
    <x v="265"/>
    <m/>
    <s v="AccessoiresFiltres"/>
    <s v="3/8 P"/>
    <n v="7"/>
    <s v="AF0052P"/>
    <m/>
    <m/>
    <n v="0"/>
    <m/>
    <m/>
    <m/>
    <m/>
    <m/>
    <m/>
    <n v="0"/>
    <m/>
    <m/>
    <m/>
    <m/>
    <n v="0"/>
    <n v="0"/>
    <n v="0"/>
    <n v="0"/>
    <n v="0"/>
    <n v="0"/>
    <n v="0"/>
  </r>
  <r>
    <x v="19"/>
    <x v="265"/>
    <m/>
    <s v="AccessoiresFiltres"/>
    <s v="3/8 C"/>
    <n v="8"/>
    <s v="AF0052C"/>
    <m/>
    <m/>
    <n v="0"/>
    <m/>
    <m/>
    <m/>
    <m/>
    <m/>
    <m/>
    <n v="0"/>
    <m/>
    <m/>
    <m/>
    <m/>
    <n v="0"/>
    <n v="0"/>
    <n v="0"/>
    <n v="0"/>
    <n v="0"/>
    <n v="0"/>
    <n v="0"/>
  </r>
  <r>
    <x v="19"/>
    <x v="265"/>
    <m/>
    <s v="AccessoiresFiltres"/>
    <s v="3/8 A"/>
    <n v="9"/>
    <s v="AF0052A"/>
    <m/>
    <m/>
    <n v="0"/>
    <m/>
    <m/>
    <m/>
    <m/>
    <m/>
    <m/>
    <n v="0"/>
    <m/>
    <m/>
    <m/>
    <m/>
    <n v="0"/>
    <n v="0"/>
    <n v="0"/>
    <n v="0"/>
    <n v="0"/>
    <n v="0"/>
    <n v="0"/>
  </r>
  <r>
    <x v="19"/>
    <x v="265"/>
    <m/>
    <s v="AccessoiresFiltres"/>
    <s v="1/2P"/>
    <n v="10"/>
    <s v="AF0108P"/>
    <m/>
    <m/>
    <n v="0"/>
    <m/>
    <m/>
    <m/>
    <m/>
    <m/>
    <m/>
    <n v="0"/>
    <m/>
    <m/>
    <m/>
    <m/>
    <n v="0"/>
    <n v="0"/>
    <n v="0"/>
    <n v="0"/>
    <n v="0"/>
    <n v="0"/>
    <n v="0"/>
  </r>
  <r>
    <x v="19"/>
    <x v="265"/>
    <m/>
    <s v="AccessoiresFiltres"/>
    <s v="1/2C"/>
    <n v="11"/>
    <s v="AF0108C"/>
    <m/>
    <m/>
    <n v="0"/>
    <m/>
    <m/>
    <m/>
    <m/>
    <m/>
    <m/>
    <n v="0"/>
    <m/>
    <m/>
    <m/>
    <m/>
    <n v="0"/>
    <n v="0"/>
    <n v="0"/>
    <n v="0"/>
    <n v="0"/>
    <n v="0"/>
    <n v="0"/>
  </r>
  <r>
    <x v="19"/>
    <x v="265"/>
    <m/>
    <s v="AccessoiresFiltres"/>
    <s v="1/2A"/>
    <n v="12"/>
    <s v="AF0108A"/>
    <m/>
    <m/>
    <n v="0"/>
    <m/>
    <m/>
    <m/>
    <m/>
    <m/>
    <m/>
    <n v="0"/>
    <m/>
    <m/>
    <m/>
    <m/>
    <n v="0"/>
    <n v="0"/>
    <n v="0"/>
    <n v="0"/>
    <n v="0"/>
    <n v="0"/>
    <n v="0"/>
  </r>
  <r>
    <x v="19"/>
    <x v="265"/>
    <m/>
    <s v="AccessoiresFiltres"/>
    <s v="3/4P"/>
    <n v="13"/>
    <s v="AF0216P"/>
    <m/>
    <m/>
    <n v="0"/>
    <m/>
    <m/>
    <m/>
    <m/>
    <m/>
    <m/>
    <n v="0"/>
    <m/>
    <m/>
    <m/>
    <m/>
    <n v="0"/>
    <n v="0"/>
    <n v="0"/>
    <n v="0"/>
    <n v="0"/>
    <n v="0"/>
    <n v="0"/>
  </r>
  <r>
    <x v="19"/>
    <x v="265"/>
    <m/>
    <s v="AccessoiresFiltres"/>
    <s v="3/4C"/>
    <n v="14"/>
    <s v="AF0216C"/>
    <m/>
    <m/>
    <n v="0"/>
    <m/>
    <m/>
    <m/>
    <m/>
    <m/>
    <m/>
    <n v="0"/>
    <m/>
    <m/>
    <m/>
    <m/>
    <n v="0"/>
    <n v="0"/>
    <n v="0"/>
    <n v="0"/>
    <n v="0"/>
    <n v="0"/>
    <n v="0"/>
  </r>
  <r>
    <x v="19"/>
    <x v="265"/>
    <m/>
    <s v="AccessoiresFiltres"/>
    <s v="3/4A"/>
    <n v="15"/>
    <s v="AF0216A"/>
    <m/>
    <m/>
    <n v="0"/>
    <m/>
    <m/>
    <m/>
    <m/>
    <m/>
    <m/>
    <n v="0"/>
    <m/>
    <m/>
    <m/>
    <m/>
    <n v="0"/>
    <n v="0"/>
    <n v="0"/>
    <n v="0"/>
    <n v="0"/>
    <n v="0"/>
    <n v="0"/>
  </r>
  <r>
    <x v="19"/>
    <x v="268"/>
    <m/>
    <s v="AccessoiresFiltres cyclones"/>
    <s v="pour filtre 1/4"/>
    <n v="16"/>
    <s v="KFM02"/>
    <m/>
    <m/>
    <n v="0"/>
    <m/>
    <m/>
    <m/>
    <m/>
    <m/>
    <m/>
    <n v="0"/>
    <m/>
    <m/>
    <m/>
    <m/>
    <n v="0"/>
    <n v="0"/>
    <n v="0"/>
    <n v="0"/>
    <n v="0"/>
    <n v="0"/>
    <n v="0"/>
  </r>
  <r>
    <x v="19"/>
    <x v="269"/>
    <m/>
    <s v="AccessoiresLubrificateur"/>
    <s v=" 3/8"/>
    <n v="17"/>
    <s v="L72M-3GP-ETN"/>
    <m/>
    <m/>
    <n v="0"/>
    <m/>
    <m/>
    <m/>
    <m/>
    <m/>
    <m/>
    <n v="0"/>
    <m/>
    <m/>
    <m/>
    <m/>
    <n v="0"/>
    <n v="0"/>
    <n v="0"/>
    <n v="0"/>
    <n v="0"/>
    <n v="0"/>
    <n v="0"/>
  </r>
  <r>
    <x v="19"/>
    <x v="269"/>
    <m/>
    <s v="AccessoiresLubrificateur"/>
    <s v=" 1/2"/>
    <n v="18"/>
    <s v="L64M-4GP-ED"/>
    <m/>
    <m/>
    <n v="0"/>
    <m/>
    <m/>
    <m/>
    <m/>
    <m/>
    <m/>
    <n v="0"/>
    <m/>
    <m/>
    <m/>
    <m/>
    <n v="0"/>
    <n v="0"/>
    <n v="0"/>
    <n v="0"/>
    <n v="0"/>
    <n v="0"/>
    <n v="0"/>
  </r>
  <r>
    <x v="19"/>
    <x v="269"/>
    <m/>
    <s v="AccessoiresLubrificateur"/>
    <s v=" 3/4"/>
    <n v="19"/>
    <s v="L64M-6GP-ED"/>
    <m/>
    <m/>
    <n v="0"/>
    <m/>
    <m/>
    <m/>
    <m/>
    <m/>
    <m/>
    <n v="0"/>
    <m/>
    <m/>
    <m/>
    <m/>
    <n v="0"/>
    <n v="0"/>
    <n v="0"/>
    <n v="0"/>
    <n v="0"/>
    <n v="0"/>
    <n v="0"/>
  </r>
  <r>
    <x v="19"/>
    <x v="270"/>
    <m/>
    <s v="AccessoiresPilotes pour regulateur"/>
    <s v="asservi 0,16 à 7 b"/>
    <n v="20"/>
    <n v="11204004"/>
    <m/>
    <m/>
    <n v="0"/>
    <m/>
    <m/>
    <m/>
    <m/>
    <m/>
    <m/>
    <n v="0"/>
    <m/>
    <m/>
    <m/>
    <m/>
    <n v="0"/>
    <n v="0"/>
    <n v="0"/>
    <n v="0"/>
    <n v="0"/>
    <n v="0"/>
    <n v="0"/>
  </r>
  <r>
    <x v="19"/>
    <x v="270"/>
    <m/>
    <s v="AccessoiresPilotes pour regulateur"/>
    <s v="asservi 4 à 16 b"/>
    <n v="21"/>
    <n v="11204006"/>
    <m/>
    <m/>
    <n v="0"/>
    <m/>
    <m/>
    <m/>
    <m/>
    <m/>
    <m/>
    <n v="0"/>
    <m/>
    <m/>
    <m/>
    <m/>
    <n v="0"/>
    <n v="0"/>
    <n v="0"/>
    <n v="0"/>
    <n v="0"/>
    <n v="0"/>
    <n v="0"/>
  </r>
  <r>
    <x v="19"/>
    <x v="271"/>
    <m/>
    <s v="AccessoiresPressostats"/>
    <m/>
    <n v="0"/>
    <m/>
    <m/>
    <m/>
    <n v="0"/>
    <m/>
    <m/>
    <m/>
    <m/>
    <m/>
    <m/>
    <n v="0"/>
    <m/>
    <m/>
    <m/>
    <m/>
    <n v="0"/>
    <n v="0"/>
    <n v="0"/>
    <n v="0"/>
    <n v="0"/>
    <n v="0"/>
    <n v="0"/>
  </r>
  <r>
    <x v="19"/>
    <x v="271"/>
    <m/>
    <s v="AccessoiresPressostats"/>
    <s v="7 -7,5 b"/>
    <n v="1"/>
    <s v="K7.0220.0"/>
    <m/>
    <m/>
    <n v="0"/>
    <m/>
    <m/>
    <m/>
    <m/>
    <m/>
    <m/>
    <n v="0"/>
    <m/>
    <m/>
    <m/>
    <m/>
    <n v="0"/>
    <n v="0"/>
    <n v="0"/>
    <n v="0"/>
    <n v="0"/>
    <n v="0"/>
    <n v="0"/>
  </r>
  <r>
    <x v="19"/>
    <x v="271"/>
    <m/>
    <s v="AccessoiresPressostats"/>
    <s v="9,2 - 10 b"/>
    <n v="2"/>
    <s v="K7.0221.0"/>
    <m/>
    <m/>
    <n v="0"/>
    <m/>
    <m/>
    <m/>
    <m/>
    <m/>
    <m/>
    <n v="0"/>
    <m/>
    <m/>
    <m/>
    <m/>
    <n v="0"/>
    <n v="0"/>
    <n v="0"/>
    <n v="0"/>
    <n v="0"/>
    <n v="0"/>
    <n v="0"/>
  </r>
  <r>
    <x v="19"/>
    <x v="272"/>
    <m/>
    <s v="AccessoiresPurgeurs"/>
    <m/>
    <n v="0"/>
    <m/>
    <m/>
    <m/>
    <n v="0"/>
    <m/>
    <m/>
    <m/>
    <m/>
    <m/>
    <m/>
    <n v="0"/>
    <m/>
    <m/>
    <m/>
    <m/>
    <n v="0"/>
    <n v="0"/>
    <n v="0"/>
    <n v="0"/>
    <n v="0"/>
    <n v="0"/>
    <n v="0"/>
  </r>
  <r>
    <x v="19"/>
    <x v="273"/>
    <m/>
    <s v="AccessoiresPurgeur de ligne"/>
    <s v=" 1/2"/>
    <n v="1"/>
    <n v="17816999"/>
    <m/>
    <m/>
    <n v="0"/>
    <m/>
    <m/>
    <m/>
    <m/>
    <m/>
    <m/>
    <n v="0"/>
    <m/>
    <m/>
    <m/>
    <m/>
    <n v="0"/>
    <n v="0"/>
    <n v="0"/>
    <n v="0"/>
    <n v="0"/>
    <n v="0"/>
    <n v="0"/>
  </r>
  <r>
    <x v="19"/>
    <x v="274"/>
    <m/>
    <s v="AccessoiresPurgeur sequencé"/>
    <s v="EV 220v"/>
    <n v="2"/>
    <s v="311D-220V"/>
    <m/>
    <m/>
    <n v="0"/>
    <m/>
    <m/>
    <m/>
    <m/>
    <m/>
    <m/>
    <n v="0"/>
    <m/>
    <m/>
    <m/>
    <m/>
    <n v="0"/>
    <n v="0"/>
    <n v="0"/>
    <n v="0"/>
    <n v="0"/>
    <n v="0"/>
    <n v="0"/>
  </r>
  <r>
    <x v="19"/>
    <x v="274"/>
    <m/>
    <s v="AccessoiresPurgeur sequencé"/>
    <s v="EV 380v"/>
    <n v="3"/>
    <s v="311D-380V"/>
    <m/>
    <m/>
    <n v="0"/>
    <m/>
    <m/>
    <m/>
    <m/>
    <m/>
    <m/>
    <n v="0"/>
    <m/>
    <m/>
    <m/>
    <m/>
    <n v="0"/>
    <n v="0"/>
    <n v="0"/>
    <n v="0"/>
    <n v="0"/>
    <n v="0"/>
    <n v="0"/>
  </r>
  <r>
    <x v="19"/>
    <x v="274"/>
    <m/>
    <s v="AccessoiresPurgeur sequencé"/>
    <s v="Timer"/>
    <n v="4"/>
    <n v="980695"/>
    <m/>
    <m/>
    <n v="0"/>
    <m/>
    <m/>
    <m/>
    <m/>
    <m/>
    <m/>
    <n v="0"/>
    <m/>
    <m/>
    <m/>
    <m/>
    <n v="0"/>
    <n v="0"/>
    <n v="0"/>
    <n v="0"/>
    <n v="0"/>
    <n v="0"/>
    <n v="0"/>
  </r>
  <r>
    <x v="19"/>
    <x v="274"/>
    <m/>
    <s v="AccessoiresPurgeur sequencé"/>
    <s v="Pneumovalve"/>
    <n v="5"/>
    <s v="AFT0"/>
    <m/>
    <m/>
    <n v="0"/>
    <m/>
    <m/>
    <m/>
    <m/>
    <m/>
    <m/>
    <n v="0"/>
    <m/>
    <m/>
    <m/>
    <m/>
    <n v="0"/>
    <n v="0"/>
    <n v="0"/>
    <n v="0"/>
    <n v="0"/>
    <n v="0"/>
    <n v="0"/>
  </r>
  <r>
    <x v="19"/>
    <x v="275"/>
    <m/>
    <s v="AccessoiresRégulateurs"/>
    <m/>
    <n v="0"/>
    <m/>
    <m/>
    <m/>
    <n v="0"/>
    <m/>
    <m/>
    <m/>
    <m/>
    <m/>
    <m/>
    <n v="0"/>
    <m/>
    <m/>
    <m/>
    <m/>
    <n v="0"/>
    <n v="0"/>
    <n v="0"/>
    <n v="0"/>
    <n v="0"/>
    <n v="0"/>
    <n v="0"/>
  </r>
  <r>
    <x v="19"/>
    <x v="276"/>
    <m/>
    <s v="AccessoiresRegulateur ( technicair)"/>
    <s v="support mural"/>
    <n v="1"/>
    <s v="74316-50"/>
    <m/>
    <m/>
    <n v="0"/>
    <m/>
    <m/>
    <m/>
    <m/>
    <m/>
    <m/>
    <n v="0"/>
    <m/>
    <m/>
    <m/>
    <m/>
    <n v="0"/>
    <n v="0"/>
    <n v="0"/>
    <n v="0"/>
    <n v="0"/>
    <n v="0"/>
    <n v="0"/>
  </r>
  <r>
    <x v="19"/>
    <x v="276"/>
    <m/>
    <s v="AccessoiresRegulateur ( technicair)"/>
    <n v="0.25"/>
    <n v="2"/>
    <s v="R72G-2GK-RMN"/>
    <m/>
    <m/>
    <n v="0"/>
    <m/>
    <m/>
    <m/>
    <m/>
    <m/>
    <m/>
    <n v="0"/>
    <m/>
    <m/>
    <m/>
    <m/>
    <n v="0"/>
    <n v="0"/>
    <n v="0"/>
    <n v="0"/>
    <n v="0"/>
    <n v="0"/>
    <n v="0"/>
  </r>
  <r>
    <x v="19"/>
    <x v="276"/>
    <m/>
    <s v="AccessoiresRegulateur ( technicair)"/>
    <s v=" 3/8"/>
    <n v="3"/>
    <s v="R72G-3GK-RMN"/>
    <m/>
    <m/>
    <n v="0"/>
    <m/>
    <m/>
    <m/>
    <m/>
    <m/>
    <m/>
    <n v="0"/>
    <m/>
    <m/>
    <m/>
    <m/>
    <n v="0"/>
    <n v="0"/>
    <n v="0"/>
    <n v="0"/>
    <n v="0"/>
    <n v="0"/>
    <n v="0"/>
  </r>
  <r>
    <x v="19"/>
    <x v="276"/>
    <m/>
    <s v="AccessoiresRegulateur ( technicair)"/>
    <s v=" 1/2"/>
    <n v="4"/>
    <s v="R64G-NNK-RMN"/>
    <m/>
    <m/>
    <n v="0"/>
    <m/>
    <m/>
    <m/>
    <m/>
    <m/>
    <m/>
    <n v="0"/>
    <m/>
    <m/>
    <m/>
    <m/>
    <n v="0"/>
    <n v="0"/>
    <n v="0"/>
    <n v="0"/>
    <n v="0"/>
    <n v="0"/>
    <n v="0"/>
  </r>
  <r>
    <x v="19"/>
    <x v="277"/>
    <m/>
    <s v="AccessoiresRegulateur gros debit"/>
    <s v=" 3/4 "/>
    <n v="5"/>
    <s v="11808-960"/>
    <m/>
    <m/>
    <n v="0"/>
    <m/>
    <m/>
    <m/>
    <m/>
    <m/>
    <m/>
    <n v="0"/>
    <m/>
    <m/>
    <m/>
    <m/>
    <n v="0"/>
    <n v="0"/>
    <n v="0"/>
    <n v="0"/>
    <n v="0"/>
    <n v="0"/>
    <n v="0"/>
  </r>
  <r>
    <x v="19"/>
    <x v="277"/>
    <m/>
    <s v="AccessoiresRegulateur gros debit"/>
    <s v="1&quot;"/>
    <n v="6"/>
    <s v="11808-980"/>
    <m/>
    <m/>
    <n v="0"/>
    <m/>
    <m/>
    <m/>
    <m/>
    <m/>
    <m/>
    <n v="0"/>
    <m/>
    <m/>
    <m/>
    <m/>
    <n v="0"/>
    <n v="0"/>
    <n v="0"/>
    <n v="0"/>
    <n v="0"/>
    <n v="0"/>
    <n v="0"/>
  </r>
  <r>
    <x v="19"/>
    <x v="277"/>
    <m/>
    <s v="AccessoiresRegulateur gros debit"/>
    <s v="1&quot;1/2"/>
    <n v="7"/>
    <s v="R18 812 RNXD"/>
    <m/>
    <m/>
    <n v="0"/>
    <m/>
    <m/>
    <m/>
    <m/>
    <m/>
    <m/>
    <n v="0"/>
    <m/>
    <m/>
    <m/>
    <m/>
    <n v="0"/>
    <n v="0"/>
    <n v="0"/>
    <n v="0"/>
    <n v="0"/>
    <n v="0"/>
    <n v="0"/>
  </r>
  <r>
    <x v="19"/>
    <x v="277"/>
    <m/>
    <s v="AccessoiresRegulateur gros debit"/>
    <s v="2&quot;"/>
    <n v="8"/>
    <s v="R18 816 RNXD"/>
    <m/>
    <m/>
    <n v="0"/>
    <m/>
    <m/>
    <m/>
    <m/>
    <m/>
    <m/>
    <n v="0"/>
    <m/>
    <m/>
    <m/>
    <m/>
    <n v="0"/>
    <n v="0"/>
    <n v="0"/>
    <n v="0"/>
    <n v="0"/>
    <n v="0"/>
    <n v="0"/>
  </r>
  <r>
    <x v="19"/>
    <x v="278"/>
    <m/>
    <s v="AccessoiresSécheur"/>
    <m/>
    <n v="0"/>
    <m/>
    <m/>
    <m/>
    <n v="0"/>
    <m/>
    <m/>
    <m/>
    <m/>
    <m/>
    <m/>
    <n v="0"/>
    <m/>
    <m/>
    <m/>
    <m/>
    <n v="0"/>
    <n v="0"/>
    <n v="0"/>
    <n v="0"/>
    <n v="0"/>
    <n v="0"/>
    <n v="0"/>
  </r>
  <r>
    <x v="19"/>
    <x v="279"/>
    <m/>
    <s v="Accessoiressecheur"/>
    <s v="compair"/>
    <n v="1"/>
    <s v="F4H"/>
    <m/>
    <m/>
    <n v="0"/>
    <m/>
    <m/>
    <m/>
    <m/>
    <m/>
    <m/>
    <n v="0"/>
    <m/>
    <m/>
    <m/>
    <m/>
    <n v="0"/>
    <n v="0"/>
    <n v="0"/>
    <n v="0"/>
    <n v="0"/>
    <n v="0"/>
    <n v="0"/>
  </r>
  <r>
    <x v="19"/>
    <x v="279"/>
    <m/>
    <s v="Accessoiressecheur"/>
    <s v="M 10"/>
    <n v="2"/>
    <s v="BECA2"/>
    <m/>
    <m/>
    <n v="0"/>
    <m/>
    <m/>
    <m/>
    <m/>
    <m/>
    <m/>
    <n v="0"/>
    <m/>
    <m/>
    <m/>
    <m/>
    <n v="0"/>
    <n v="0"/>
    <n v="0"/>
    <n v="0"/>
    <n v="0"/>
    <n v="0"/>
    <n v="0"/>
  </r>
  <r>
    <x v="19"/>
    <x v="74"/>
    <m/>
    <s v="AccessoiresSoupape"/>
    <m/>
    <n v="0"/>
    <m/>
    <m/>
    <m/>
    <n v="0"/>
    <m/>
    <m/>
    <m/>
    <m/>
    <m/>
    <m/>
    <n v="0"/>
    <m/>
    <m/>
    <m/>
    <m/>
    <n v="0"/>
    <n v="0"/>
    <n v="0"/>
    <n v="0"/>
    <n v="0"/>
    <n v="0"/>
    <n v="0"/>
  </r>
  <r>
    <x v="19"/>
    <x v="74"/>
    <m/>
    <s v="AccessoiresSoupape"/>
    <s v=" 1/2"/>
    <n v="1"/>
    <s v="SSL12.10"/>
    <m/>
    <m/>
    <n v="0"/>
    <m/>
    <m/>
    <m/>
    <m/>
    <m/>
    <m/>
    <n v="0"/>
    <m/>
    <m/>
    <m/>
    <m/>
    <n v="0"/>
    <n v="0"/>
    <n v="0"/>
    <n v="0"/>
    <n v="0"/>
    <n v="0"/>
    <n v="0"/>
  </r>
  <r>
    <x v="19"/>
    <x v="74"/>
    <m/>
    <s v="AccessoiresSoupape"/>
    <s v=" 3/4"/>
    <n v="2"/>
    <s v="SSL34.10"/>
    <m/>
    <m/>
    <n v="0"/>
    <m/>
    <m/>
    <m/>
    <m/>
    <m/>
    <m/>
    <n v="0"/>
    <m/>
    <m/>
    <m/>
    <m/>
    <n v="0"/>
    <n v="0"/>
    <n v="0"/>
    <n v="0"/>
    <n v="0"/>
    <n v="0"/>
    <n v="0"/>
  </r>
  <r>
    <x v="19"/>
    <x v="74"/>
    <m/>
    <s v="AccessoiresSoupape"/>
    <s v=" 1&quot;"/>
    <n v="3"/>
    <s v="SSL1.10"/>
    <m/>
    <m/>
    <n v="0"/>
    <m/>
    <m/>
    <m/>
    <m/>
    <m/>
    <m/>
    <n v="0"/>
    <m/>
    <m/>
    <m/>
    <m/>
    <n v="0"/>
    <n v="0"/>
    <n v="0"/>
    <n v="0"/>
    <n v="0"/>
    <n v="0"/>
    <n v="0"/>
  </r>
  <r>
    <x v="19"/>
    <x v="74"/>
    <m/>
    <s v="AccessoiresSoupape"/>
    <s v="1&quot;1/4"/>
    <n v="4"/>
    <s v="SSL114.10"/>
    <m/>
    <m/>
    <n v="0"/>
    <m/>
    <m/>
    <m/>
    <m/>
    <m/>
    <m/>
    <n v="0"/>
    <m/>
    <m/>
    <m/>
    <m/>
    <n v="0"/>
    <n v="0"/>
    <n v="0"/>
    <n v="0"/>
    <n v="0"/>
    <n v="0"/>
    <n v="0"/>
  </r>
  <r>
    <x v="19"/>
    <x v="74"/>
    <m/>
    <s v="AccessoiresSoupape"/>
    <s v="1&quot;1/2"/>
    <n v="5"/>
    <s v="SSL112.10"/>
    <m/>
    <m/>
    <n v="0"/>
    <m/>
    <m/>
    <m/>
    <m/>
    <m/>
    <m/>
    <n v="0"/>
    <m/>
    <m/>
    <m/>
    <m/>
    <n v="0"/>
    <n v="0"/>
    <n v="0"/>
    <n v="0"/>
    <n v="0"/>
    <n v="0"/>
    <n v="0"/>
  </r>
  <r>
    <x v="19"/>
    <x v="74"/>
    <m/>
    <s v="AccessoiresSoupape"/>
    <s v="2&quot;"/>
    <n v="6"/>
    <s v="SSL2.10"/>
    <m/>
    <m/>
    <n v="0"/>
    <m/>
    <m/>
    <m/>
    <m/>
    <m/>
    <m/>
    <n v="0"/>
    <m/>
    <m/>
    <m/>
    <m/>
    <n v="0"/>
    <n v="0"/>
    <n v="0"/>
    <n v="0"/>
    <n v="0"/>
    <n v="0"/>
    <n v="0"/>
  </r>
  <r>
    <x v="19"/>
    <x v="280"/>
    <m/>
    <s v="AccessoiresVacuometre"/>
    <m/>
    <n v="0"/>
    <m/>
    <m/>
    <m/>
    <n v="0"/>
    <m/>
    <m/>
    <m/>
    <m/>
    <m/>
    <m/>
    <n v="0"/>
    <m/>
    <m/>
    <m/>
    <m/>
    <n v="0"/>
    <n v="0"/>
    <n v="0"/>
    <n v="0"/>
    <n v="0"/>
    <n v="0"/>
    <n v="0"/>
  </r>
  <r>
    <x v="19"/>
    <x v="280"/>
    <m/>
    <s v="AccessoiresVacuometre"/>
    <s v="Ø 100-1/2 latéral"/>
    <n v="1"/>
    <s v="VACUO100"/>
    <m/>
    <m/>
    <n v="0"/>
    <m/>
    <m/>
    <m/>
    <m/>
    <m/>
    <m/>
    <n v="0"/>
    <m/>
    <m/>
    <m/>
    <m/>
    <n v="0"/>
    <n v="0"/>
    <n v="0"/>
    <n v="0"/>
    <n v="0"/>
    <n v="0"/>
    <n v="0"/>
  </r>
  <r>
    <x v="19"/>
    <x v="280"/>
    <m/>
    <s v="AccessoiresVacuometre"/>
    <s v="Ø 63-1/4 latéral"/>
    <n v="2"/>
    <s v="VACUOV63"/>
    <m/>
    <m/>
    <n v="0"/>
    <m/>
    <m/>
    <m/>
    <m/>
    <m/>
    <m/>
    <n v="0"/>
    <m/>
    <m/>
    <m/>
    <m/>
    <n v="0"/>
    <n v="0"/>
    <n v="0"/>
    <n v="0"/>
    <n v="0"/>
    <n v="0"/>
    <n v="0"/>
  </r>
  <r>
    <x v="19"/>
    <x v="280"/>
    <m/>
    <s v="AccessoiresVacuometre"/>
    <s v="Ø 63-1/4 arriere"/>
    <n v="3"/>
    <s v="VACUOA63"/>
    <m/>
    <m/>
    <n v="0"/>
    <m/>
    <m/>
    <m/>
    <m/>
    <m/>
    <m/>
    <n v="0"/>
    <m/>
    <m/>
    <m/>
    <m/>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15280B-067E-41F6-961C-035E1CF1AB23}" name="Tableau croisé dynamique1" cacheId="3" applyNumberFormats="0" applyBorderFormats="0" applyFontFormats="0" applyPatternFormats="0" applyAlignmentFormats="0" applyWidthHeightFormats="1" dataCaption="Valeurs" updatedVersion="7" minRefreshableVersion="3" useAutoFormatting="1" rowGrandTotals="0" colGrandTotals="0" itemPrintTitles="1" createdVersion="7" indent="0" compact="0" compactData="0" multipleFieldFilters="0">
  <location ref="A3:H6" firstHeaderRow="0" firstDataRow="1" firstDataCol="2"/>
  <pivotFields count="28">
    <pivotField axis="axisRow" compact="0" outline="0" showAll="0" defaultSubtotal="0">
      <items count="34">
        <item h="1" m="1" x="23"/>
        <item h="1" x="19"/>
        <item h="1" m="1" x="32"/>
        <item h="1" x="5"/>
        <item h="1" x="6"/>
        <item h="1" x="10"/>
        <item h="1" m="1" x="24"/>
        <item h="1" m="1" x="27"/>
        <item h="1" x="11"/>
        <item h="1" x="8"/>
        <item h="1" m="1" x="21"/>
        <item h="1" x="9"/>
        <item h="1" x="14"/>
        <item h="1" x="1"/>
        <item h="1" x="12"/>
        <item x="18"/>
        <item h="1" m="1" x="29"/>
        <item h="1" x="15"/>
        <item h="1" x="16"/>
        <item h="1" x="3"/>
        <item h="1" m="1" x="26"/>
        <item h="1" m="1" x="30"/>
        <item h="1" x="13"/>
        <item h="1" x="17"/>
        <item h="1" m="1" x="28"/>
        <item h="1" x="2"/>
        <item h="1" m="1" x="20"/>
        <item h="1" x="7"/>
        <item h="1" x="0"/>
        <item h="1" x="4"/>
        <item h="1" m="1" x="33"/>
        <item h="1" m="1" x="31"/>
        <item h="1" m="1" x="25"/>
        <item h="1" m="1" x="22"/>
      </items>
    </pivotField>
    <pivotField axis="axisRow" compact="0" outline="0" showAll="0" defaultSubtotal="0">
      <items count="799">
        <item m="1" x="404"/>
        <item x="0"/>
        <item m="1" x="448"/>
        <item x="236"/>
        <item m="1" x="423"/>
        <item m="1" x="315"/>
        <item m="1" x="293"/>
        <item m="1" x="555"/>
        <item m="1" x="551"/>
        <item m="1" x="508"/>
        <item m="1" x="426"/>
        <item m="1" x="737"/>
        <item m="1" x="639"/>
        <item m="1" x="660"/>
        <item m="1" x="441"/>
        <item m="1" x="736"/>
        <item m="1" x="417"/>
        <item m="1" x="664"/>
        <item m="1" x="303"/>
        <item m="1" x="503"/>
        <item x="89"/>
        <item x="261"/>
        <item m="1" x="676"/>
        <item m="1" x="780"/>
        <item m="1" x="361"/>
        <item m="1" x="537"/>
        <item x="1"/>
        <item x="180"/>
        <item m="1" x="601"/>
        <item m="1" x="595"/>
        <item m="1" x="479"/>
        <item m="1" x="312"/>
        <item m="1" x="739"/>
        <item x="134"/>
        <item x="42"/>
        <item x="197"/>
        <item m="1" x="352"/>
        <item x="2"/>
        <item x="181"/>
        <item m="1" x="453"/>
        <item x="3"/>
        <item x="182"/>
        <item m="1" x="538"/>
        <item m="1" x="499"/>
        <item x="159"/>
        <item m="1" x="338"/>
        <item x="225"/>
        <item x="31"/>
        <item x="33"/>
        <item m="1" x="527"/>
        <item m="1" x="378"/>
        <item m="1" x="729"/>
        <item m="1" x="718"/>
        <item m="1" x="683"/>
        <item x="198"/>
        <item x="226"/>
        <item x="227"/>
        <item m="1" x="451"/>
        <item x="34"/>
        <item m="1" x="782"/>
        <item m="1" x="511"/>
        <item x="228"/>
        <item m="1" x="732"/>
        <item m="1" x="590"/>
        <item m="1" x="685"/>
        <item m="1" x="798"/>
        <item m="1" x="385"/>
        <item m="1" x="422"/>
        <item x="110"/>
        <item m="1" x="393"/>
        <item m="1" x="512"/>
        <item m="1" x="663"/>
        <item m="1" x="530"/>
        <item x="238"/>
        <item m="1" x="651"/>
        <item m="1" x="519"/>
        <item m="1" x="690"/>
        <item x="160"/>
        <item m="1" x="643"/>
        <item m="1" x="371"/>
        <item m="1" x="753"/>
        <item m="1" x="612"/>
        <item m="1" x="593"/>
        <item m="1" x="721"/>
        <item m="1" x="471"/>
        <item m="1" x="735"/>
        <item m="1" x="731"/>
        <item m="1" x="372"/>
        <item m="1" x="754"/>
        <item m="1" x="472"/>
        <item m="1" x="787"/>
        <item m="1" x="702"/>
        <item x="161"/>
        <item m="1" x="299"/>
        <item m="1" x="490"/>
        <item x="162"/>
        <item m="1" x="723"/>
        <item m="1" x="716"/>
        <item m="1" x="502"/>
        <item m="1" x="648"/>
        <item x="135"/>
        <item m="1" x="305"/>
        <item m="1" x="419"/>
        <item m="1" x="766"/>
        <item m="1" x="638"/>
        <item m="1" x="475"/>
        <item m="1" x="796"/>
        <item m="1" x="498"/>
        <item x="183"/>
        <item m="1" x="531"/>
        <item x="36"/>
        <item m="1" x="363"/>
        <item m="1" x="439"/>
        <item m="1" x="505"/>
        <item m="1" x="492"/>
        <item m="1" x="476"/>
        <item m="1" x="521"/>
        <item m="1" x="523"/>
        <item m="1" x="321"/>
        <item m="1" x="347"/>
        <item m="1" x="357"/>
        <item m="1" x="655"/>
        <item m="1" x="318"/>
        <item m="1" x="452"/>
        <item m="1" x="467"/>
        <item m="1" x="387"/>
        <item m="1" x="691"/>
        <item m="1" x="414"/>
        <item m="1" x="750"/>
        <item m="1" x="714"/>
        <item x="126"/>
        <item m="1" x="483"/>
        <item m="1" x="710"/>
        <item m="1" x="564"/>
        <item m="1" x="556"/>
        <item m="1" x="558"/>
        <item m="1" x="565"/>
        <item m="1" x="570"/>
        <item m="1" x="428"/>
        <item m="1" x="300"/>
        <item x="90"/>
        <item m="1" x="661"/>
        <item m="1" x="656"/>
        <item x="116"/>
        <item x="216"/>
        <item x="217"/>
        <item x="218"/>
        <item x="219"/>
        <item x="4"/>
        <item x="184"/>
        <item x="44"/>
        <item x="37"/>
        <item m="1" x="649"/>
        <item m="1" x="730"/>
        <item m="1" x="349"/>
        <item m="1" x="552"/>
        <item m="1" x="489"/>
        <item x="229"/>
        <item x="230"/>
        <item x="45"/>
        <item x="5"/>
        <item x="185"/>
        <item m="1" x="346"/>
        <item m="1" x="641"/>
        <item x="6"/>
        <item x="137"/>
        <item x="139"/>
        <item x="141"/>
        <item x="7"/>
        <item x="8"/>
        <item x="142"/>
        <item x="143"/>
        <item x="9"/>
        <item x="220"/>
        <item m="1" x="658"/>
        <item m="1" x="775"/>
        <item m="1" x="635"/>
        <item x="231"/>
        <item x="10"/>
        <item x="11"/>
        <item m="1" x="666"/>
        <item x="165"/>
        <item x="12"/>
        <item m="1" x="411"/>
        <item m="1" x="752"/>
        <item m="1" x="429"/>
        <item m="1" x="536"/>
        <item m="1" x="388"/>
        <item m="1" x="450"/>
        <item m="1" x="340"/>
        <item m="1" x="532"/>
        <item m="1" x="501"/>
        <item m="1" x="522"/>
        <item m="1" x="504"/>
        <item m="1" x="449"/>
        <item m="1" x="646"/>
        <item m="1" x="757"/>
        <item x="100"/>
        <item m="1" x="415"/>
        <item x="95"/>
        <item m="1" x="783"/>
        <item m="1" x="777"/>
        <item m="1" x="794"/>
        <item m="1" x="457"/>
        <item x="99"/>
        <item m="1" x="390"/>
        <item m="1" x="373"/>
        <item x="13"/>
        <item m="1" x="587"/>
        <item m="1" x="733"/>
        <item m="1" x="485"/>
        <item m="1" x="668"/>
        <item m="1" x="344"/>
        <item x="166"/>
        <item m="1" x="542"/>
        <item m="1" x="433"/>
        <item m="1" x="607"/>
        <item x="263"/>
        <item m="1" x="458"/>
        <item m="1" x="444"/>
        <item x="145"/>
        <item m="1" x="379"/>
        <item x="119"/>
        <item m="1" x="430"/>
        <item m="1" x="316"/>
        <item m="1" x="341"/>
        <item x="262"/>
        <item m="1" x="392"/>
        <item x="264"/>
        <item m="1" x="435"/>
        <item m="1" x="755"/>
        <item m="1" x="566"/>
        <item m="1" x="621"/>
        <item m="1" x="623"/>
        <item m="1" x="297"/>
        <item m="1" x="626"/>
        <item m="1" x="776"/>
        <item m="1" x="302"/>
        <item m="1" x="715"/>
        <item m="1" x="460"/>
        <item m="1" x="717"/>
        <item m="1" x="313"/>
        <item m="1" x="720"/>
        <item x="167"/>
        <item m="1" x="304"/>
        <item m="1" x="657"/>
        <item x="57"/>
        <item x="266"/>
        <item x="267"/>
        <item x="265"/>
        <item x="268"/>
        <item m="1" x="494"/>
        <item m="1" x="533"/>
        <item m="1" x="597"/>
        <item m="1" x="546"/>
        <item x="127"/>
        <item m="1" x="374"/>
        <item m="1" x="708"/>
        <item x="232"/>
        <item x="38"/>
        <item m="1" x="764"/>
        <item m="1" x="287"/>
        <item m="1" x="466"/>
        <item m="1" x="359"/>
        <item m="1" x="793"/>
        <item m="1" x="725"/>
        <item x="59"/>
        <item m="1" x="605"/>
        <item m="1" x="686"/>
        <item m="1" x="667"/>
        <item m="1" x="495"/>
        <item m="1" x="362"/>
        <item x="82"/>
        <item m="1" x="391"/>
        <item m="1" x="618"/>
        <item m="1" x="528"/>
        <item m="1" x="594"/>
        <item m="1" x="292"/>
        <item m="1" x="610"/>
        <item m="1" x="520"/>
        <item m="1" x="680"/>
        <item m="1" x="398"/>
        <item m="1" x="384"/>
        <item m="1" x="288"/>
        <item m="1" x="289"/>
        <item x="259"/>
        <item m="1" x="386"/>
        <item m="1" x="567"/>
        <item m="1" x="549"/>
        <item m="1" x="509"/>
        <item m="1" x="510"/>
        <item x="269"/>
        <item m="1" x="704"/>
        <item x="14"/>
        <item x="186"/>
        <item m="1" x="636"/>
        <item x="15"/>
        <item x="187"/>
        <item x="47"/>
        <item x="146"/>
        <item m="1" x="518"/>
        <item m="1" x="562"/>
        <item m="1" x="792"/>
        <item m="1" x="578"/>
        <item m="1" x="582"/>
        <item m="1" x="630"/>
        <item m="1" x="647"/>
        <item m="1" x="697"/>
        <item m="1" x="711"/>
        <item m="1" x="748"/>
        <item m="1" x="712"/>
        <item m="1" x="751"/>
        <item m="1" x="765"/>
        <item m="1" x="296"/>
        <item m="1" x="353"/>
        <item m="1" x="420"/>
        <item m="1" x="480"/>
        <item x="147"/>
        <item x="148"/>
        <item x="223"/>
        <item m="1" x="645"/>
        <item m="1" x="631"/>
        <item x="16"/>
        <item m="1" x="679"/>
        <item x="48"/>
        <item m="1" x="756"/>
        <item x="149"/>
        <item x="150"/>
        <item m="1" x="282"/>
        <item m="1" x="671"/>
        <item m="1" x="482"/>
        <item m="1" x="615"/>
        <item x="17"/>
        <item m="1" x="377"/>
        <item x="188"/>
        <item x="18"/>
        <item x="189"/>
        <item m="1" x="470"/>
        <item m="1" x="662"/>
        <item m="1" x="412"/>
        <item m="1" x="781"/>
        <item x="130"/>
        <item m="1" x="789"/>
        <item m="1" x="682"/>
        <item m="1" x="365"/>
        <item m="1" x="474"/>
        <item m="1" x="653"/>
        <item m="1" x="563"/>
        <item x="207"/>
        <item m="1" x="550"/>
        <item x="168"/>
        <item m="1" x="383"/>
        <item m="1" x="698"/>
        <item x="169"/>
        <item x="270"/>
        <item x="170"/>
        <item m="1" x="416"/>
        <item x="233"/>
        <item m="1" x="389"/>
        <item m="1" x="767"/>
        <item x="131"/>
        <item x="121"/>
        <item x="64"/>
        <item x="271"/>
        <item m="1" x="455"/>
        <item m="1" x="301"/>
        <item m="1" x="688"/>
        <item m="1" x="469"/>
        <item x="209"/>
        <item m="1" x="421"/>
        <item m="1" x="773"/>
        <item m="1" x="693"/>
        <item x="273"/>
        <item m="1" x="285"/>
        <item x="274"/>
        <item x="241"/>
        <item x="66"/>
        <item x="68"/>
        <item x="69"/>
        <item x="71"/>
        <item x="72"/>
        <item m="1" x="437"/>
        <item m="1" x="438"/>
        <item m="1" x="596"/>
        <item x="242"/>
        <item x="243"/>
        <item x="244"/>
        <item m="1" x="465"/>
        <item m="1" x="634"/>
        <item x="176"/>
        <item x="39"/>
        <item x="49"/>
        <item x="19"/>
        <item x="190"/>
        <item x="234"/>
        <item m="1" x="376"/>
        <item m="1" x="628"/>
        <item m="1" x="368"/>
        <item m="1" x="325"/>
        <item m="1" x="579"/>
        <item m="1" x="588"/>
        <item x="276"/>
        <item x="277"/>
        <item m="1" x="760"/>
        <item m="1" x="654"/>
        <item m="1" x="632"/>
        <item m="1" x="402"/>
        <item m="1" x="360"/>
        <item m="1" x="481"/>
        <item x="245"/>
        <item x="246"/>
        <item x="247"/>
        <item x="248"/>
        <item x="249"/>
        <item x="250"/>
        <item x="251"/>
        <item x="132"/>
        <item x="177"/>
        <item m="1" x="526"/>
        <item m="1" x="286"/>
        <item m="1" x="294"/>
        <item m="1" x="339"/>
        <item m="1" x="407"/>
        <item m="1" x="619"/>
        <item m="1" x="705"/>
        <item m="1" x="491"/>
        <item x="279"/>
        <item m="1" x="355"/>
        <item m="1" x="370"/>
        <item m="1" x="298"/>
        <item m="1" x="406"/>
        <item m="1" x="326"/>
        <item m="1" x="617"/>
        <item m="1" x="432"/>
        <item m="1" x="431"/>
        <item x="74"/>
        <item m="1" x="673"/>
        <item m="1" x="740"/>
        <item m="1" x="524"/>
        <item x="151"/>
        <item x="50"/>
        <item x="20"/>
        <item x="191"/>
        <item x="21"/>
        <item x="22"/>
        <item x="210"/>
        <item m="1" x="425"/>
        <item x="40"/>
        <item x="152"/>
        <item m="1" x="603"/>
        <item x="153"/>
        <item x="23"/>
        <item m="1" x="410"/>
        <item m="1" x="351"/>
        <item x="87"/>
        <item m="1" x="568"/>
        <item m="1" x="763"/>
        <item m="1" x="625"/>
        <item x="75"/>
        <item m="1" x="375"/>
        <item m="1" x="323"/>
        <item x="171"/>
        <item m="1" x="394"/>
        <item x="172"/>
        <item m="1" x="572"/>
        <item m="1" x="529"/>
        <item x="133"/>
        <item x="211"/>
        <item m="1" x="577"/>
        <item m="1" x="454"/>
        <item x="154"/>
        <item x="224"/>
        <item m="1" x="327"/>
        <item m="1" x="713"/>
        <item m="1" x="291"/>
        <item x="24"/>
        <item m="1" x="473"/>
        <item x="41"/>
        <item x="235"/>
        <item m="1" x="678"/>
        <item x="212"/>
        <item m="1" x="447"/>
        <item x="25"/>
        <item m="1" x="768"/>
        <item m="1" x="600"/>
        <item m="1" x="525"/>
        <item m="1" x="456"/>
        <item m="1" x="699"/>
        <item m="1" x="440"/>
        <item x="51"/>
        <item x="26"/>
        <item x="192"/>
        <item x="27"/>
        <item x="52"/>
        <item x="28"/>
        <item x="193"/>
        <item x="194"/>
        <item x="29"/>
        <item x="195"/>
        <item m="1" x="669"/>
        <item x="280"/>
        <item m="1" x="364"/>
        <item x="76"/>
        <item m="1" x="354"/>
        <item m="1" x="591"/>
        <item m="1" x="366"/>
        <item m="1" x="592"/>
        <item x="254"/>
        <item m="1" x="561"/>
        <item m="1" x="493"/>
        <item x="77"/>
        <item m="1" x="310"/>
        <item m="1" x="548"/>
        <item m="1" x="629"/>
        <item m="1" x="745"/>
        <item m="1" x="427"/>
        <item m="1" x="488"/>
        <item m="1" x="728"/>
        <item m="1" x="484"/>
        <item x="79"/>
        <item m="1" x="604"/>
        <item m="1" x="784"/>
        <item m="1" x="709"/>
        <item m="1" x="333"/>
        <item m="1" x="424"/>
        <item m="1" x="559"/>
        <item m="1" x="348"/>
        <item m="1" x="703"/>
        <item m="1" x="734"/>
        <item m="1" x="382"/>
        <item m="1" x="574"/>
        <item m="1" x="724"/>
        <item m="1" x="778"/>
        <item m="1" x="627"/>
        <item x="257"/>
        <item x="258"/>
        <item x="61"/>
        <item x="43"/>
        <item x="62"/>
        <item m="1" x="545"/>
        <item m="1" x="637"/>
        <item m="1" x="762"/>
        <item x="32"/>
        <item x="221"/>
        <item m="1" x="719"/>
        <item m="1" x="367"/>
        <item m="1" x="284"/>
        <item m="1" x="535"/>
        <item x="94"/>
        <item m="1" x="345"/>
        <item m="1" x="320"/>
        <item m="1" x="283"/>
        <item m="1" x="620"/>
        <item m="1" x="613"/>
        <item m="1" x="436"/>
        <item m="1" x="478"/>
        <item m="1" x="514"/>
        <item m="1" x="759"/>
        <item x="179"/>
        <item m="1" x="547"/>
        <item m="1" x="560"/>
        <item x="83"/>
        <item x="85"/>
        <item m="1" x="434"/>
        <item m="1" x="640"/>
        <item m="1" x="308"/>
        <item m="1" x="399"/>
        <item m="1" x="486"/>
        <item x="214"/>
        <item m="1" x="589"/>
        <item m="1" x="369"/>
        <item m="1" x="543"/>
        <item m="1" x="517"/>
        <item m="1" x="544"/>
        <item m="1" x="670"/>
        <item m="1" x="650"/>
        <item x="53"/>
        <item x="54"/>
        <item x="55"/>
        <item x="56"/>
        <item m="1" x="446"/>
        <item m="1" x="585"/>
        <item m="1" x="342"/>
        <item m="1" x="381"/>
        <item x="60"/>
        <item m="1" x="659"/>
        <item m="1" x="608"/>
        <item x="63"/>
        <item x="65"/>
        <item x="67"/>
        <item x="70"/>
        <item x="73"/>
        <item x="80"/>
        <item x="81"/>
        <item x="84"/>
        <item x="86"/>
        <item m="1" x="330"/>
        <item m="1" x="674"/>
        <item x="252"/>
        <item x="253"/>
        <item x="255"/>
        <item x="256"/>
        <item m="1" x="500"/>
        <item x="215"/>
        <item x="260"/>
        <item m="1" x="774"/>
        <item m="1" x="642"/>
        <item m="1" x="744"/>
        <item m="1" x="692"/>
        <item m="1" x="322"/>
        <item m="1" x="573"/>
        <item m="1" x="786"/>
        <item m="1" x="442"/>
        <item m="1" x="468"/>
        <item m="1" x="314"/>
        <item m="1" x="295"/>
        <item x="122"/>
        <item m="1" x="403"/>
        <item m="1" x="791"/>
        <item m="1" x="758"/>
        <item m="1" x="611"/>
        <item m="1" x="405"/>
        <item m="1" x="290"/>
        <item m="1" x="397"/>
        <item m="1" x="463"/>
        <item m="1" x="665"/>
        <item m="1" x="614"/>
        <item m="1" x="689"/>
        <item m="1" x="797"/>
        <item m="1" x="380"/>
        <item m="1" x="624"/>
        <item m="1" x="790"/>
        <item m="1" x="606"/>
        <item m="1" x="557"/>
        <item m="1" x="343"/>
        <item m="1" x="554"/>
        <item m="1" x="771"/>
        <item m="1" x="602"/>
        <item m="1" x="795"/>
        <item x="35"/>
        <item m="1" x="586"/>
        <item x="46"/>
        <item x="58"/>
        <item x="88"/>
        <item x="91"/>
        <item m="1" x="401"/>
        <item m="1" x="413"/>
        <item m="1" x="443"/>
        <item m="1" x="487"/>
        <item m="1" x="445"/>
        <item m="1" x="400"/>
        <item m="1" x="464"/>
        <item m="1" x="418"/>
        <item m="1" x="459"/>
        <item m="1" x="513"/>
        <item m="1" x="534"/>
        <item m="1" x="571"/>
        <item m="1" x="644"/>
        <item m="1" x="706"/>
        <item m="1" x="746"/>
        <item m="1" x="306"/>
        <item m="1" x="779"/>
        <item m="1" x="334"/>
        <item m="1" x="309"/>
        <item m="1" x="311"/>
        <item x="92"/>
        <item x="93"/>
        <item x="96"/>
        <item m="1" x="409"/>
        <item m="1" x="462"/>
        <item m="1" x="576"/>
        <item m="1" x="516"/>
        <item m="1" x="599"/>
        <item m="1" x="581"/>
        <item m="1" x="584"/>
        <item m="1" x="770"/>
        <item m="1" x="329"/>
        <item m="1" x="540"/>
        <item m="1" x="332"/>
        <item m="1" x="507"/>
        <item m="1" x="396"/>
        <item m="1" x="337"/>
        <item x="97"/>
        <item m="1" x="408"/>
        <item m="1" x="461"/>
        <item m="1" x="575"/>
        <item m="1" x="515"/>
        <item m="1" x="598"/>
        <item m="1" x="580"/>
        <item m="1" x="583"/>
        <item m="1" x="769"/>
        <item m="1" x="328"/>
        <item m="1" x="539"/>
        <item m="1" x="331"/>
        <item m="1" x="506"/>
        <item m="1" x="395"/>
        <item m="1" x="336"/>
        <item x="98"/>
        <item x="101"/>
        <item m="1" x="672"/>
        <item m="1" x="553"/>
        <item m="1" x="675"/>
        <item m="1" x="477"/>
        <item m="1" x="281"/>
        <item m="1" x="684"/>
        <item m="1" x="687"/>
        <item m="1" x="358"/>
        <item m="1" x="694"/>
        <item m="1" x="726"/>
        <item m="1" x="496"/>
        <item m="1" x="695"/>
        <item m="1" x="727"/>
        <item m="1" x="497"/>
        <item x="102"/>
        <item m="1" x="747"/>
        <item m="1" x="749"/>
        <item m="1" x="622"/>
        <item m="1" x="609"/>
        <item x="103"/>
        <item m="1" x="677"/>
        <item x="104"/>
        <item m="1" x="616"/>
        <item x="105"/>
        <item m="1" x="722"/>
        <item m="1" x="700"/>
        <item x="106"/>
        <item x="107"/>
        <item x="108"/>
        <item x="109"/>
        <item x="111"/>
        <item x="112"/>
        <item x="113"/>
        <item x="114"/>
        <item m="1" x="785"/>
        <item x="115"/>
        <item m="1" x="569"/>
        <item m="1" x="701"/>
        <item m="1" x="707"/>
        <item m="1" x="317"/>
        <item m="1" x="696"/>
        <item x="117"/>
        <item m="1" x="324"/>
        <item x="118"/>
        <item x="120"/>
        <item m="1" x="743"/>
        <item m="1" x="772"/>
        <item m="1" x="742"/>
        <item x="123"/>
        <item m="1" x="681"/>
        <item x="124"/>
        <item x="125"/>
        <item m="1" x="788"/>
        <item m="1" x="738"/>
        <item m="1" x="652"/>
        <item m="1" x="541"/>
        <item x="136"/>
        <item x="138"/>
        <item x="140"/>
        <item x="144"/>
        <item m="1" x="319"/>
        <item m="1" x="335"/>
        <item m="1" x="761"/>
        <item m="1" x="350"/>
        <item m="1" x="633"/>
        <item m="1" x="741"/>
        <item m="1" x="356"/>
        <item x="155"/>
        <item x="156"/>
        <item x="157"/>
        <item x="158"/>
        <item x="163"/>
        <item x="164"/>
        <item x="173"/>
        <item x="174"/>
        <item x="175"/>
        <item x="178"/>
        <item x="196"/>
        <item x="199"/>
        <item x="200"/>
        <item x="201"/>
        <item x="202"/>
        <item x="203"/>
        <item x="204"/>
        <item x="205"/>
        <item x="206"/>
        <item x="208"/>
        <item m="1" x="307"/>
        <item x="213"/>
        <item x="222"/>
        <item x="237"/>
        <item x="239"/>
        <item x="240"/>
        <item x="30"/>
        <item x="78"/>
        <item x="272"/>
        <item x="275"/>
        <item x="278"/>
        <item x="128"/>
        <item x="129"/>
      </items>
    </pivotField>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numFmtId="168"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68" outline="0" subtotalTop="0" showAll="0" defaultSubtotal="0"/>
  </pivotFields>
  <rowFields count="2">
    <field x="0"/>
    <field x="1"/>
  </rowFields>
  <rowItems count="3">
    <i>
      <x v="15"/>
      <x v="285"/>
    </i>
    <i r="1">
      <x v="534"/>
    </i>
    <i r="1">
      <x v="535"/>
    </i>
  </rowItems>
  <colFields count="1">
    <field x="-2"/>
  </colFields>
  <colItems count="6">
    <i>
      <x/>
    </i>
    <i i="1">
      <x v="1"/>
    </i>
    <i i="2">
      <x v="2"/>
    </i>
    <i i="3">
      <x v="3"/>
    </i>
    <i i="4">
      <x v="4"/>
    </i>
    <i i="5">
      <x v="5"/>
    </i>
  </colItems>
  <dataFields count="6">
    <dataField name="Somme de Poste 1" fld="10" baseField="0" baseItem="0"/>
    <dataField name="Somme de Poste 2" fld="11" baseField="12" baseItem="0"/>
    <dataField name="Somme de Poste 3" fld="12" baseField="0" baseItem="0"/>
    <dataField name="Somme de Poste 4" fld="13" baseField="12" baseItem="0"/>
    <dataField name="Somme de Poste 5" fld="14" baseField="12" baseItem="0"/>
    <dataField name="Somme de Poste 6" fld="15"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C3B9B0-1EBF-4076-A687-3CA28C719DFB}" name="Tableau croisé dynamique3" cacheId="3" applyNumberFormats="0" applyBorderFormats="0" applyFontFormats="0" applyPatternFormats="0" applyAlignmentFormats="0" applyWidthHeightFormats="1" dataCaption="Valeurs" updatedVersion="7" minRefreshableVersion="3" useAutoFormatting="1" itemPrintTitles="1" createdVersion="7" indent="0" outline="1" outlineData="1" multipleFieldFilters="0">
  <location ref="A3:G8" firstHeaderRow="0" firstDataRow="1" firstDataCol="1"/>
  <pivotFields count="28">
    <pivotField axis="axisRow" showAll="0">
      <items count="35">
        <item h="1" m="1" x="23"/>
        <item h="1" x="19"/>
        <item h="1" m="1" x="32"/>
        <item h="1" x="5"/>
        <item h="1" x="6"/>
        <item h="1" x="10"/>
        <item h="1" m="1" x="24"/>
        <item h="1" m="1" x="27"/>
        <item h="1" x="11"/>
        <item h="1" x="8"/>
        <item h="1" m="1" x="21"/>
        <item h="1" x="9"/>
        <item h="1" x="14"/>
        <item h="1" x="1"/>
        <item h="1" x="12"/>
        <item x="18"/>
        <item h="1" m="1" x="29"/>
        <item h="1" x="15"/>
        <item h="1" x="16"/>
        <item h="1" x="3"/>
        <item h="1" m="1" x="26"/>
        <item h="1" m="1" x="30"/>
        <item h="1" x="13"/>
        <item h="1" x="17"/>
        <item h="1" m="1" x="28"/>
        <item h="1" x="2"/>
        <item h="1" m="1" x="20"/>
        <item h="1" x="7"/>
        <item h="1" x="0"/>
        <item h="1" x="4"/>
        <item h="1" m="1" x="33"/>
        <item h="1" m="1" x="31"/>
        <item h="1" m="1" x="25"/>
        <item h="1" m="1" x="22"/>
        <item t="default"/>
      </items>
    </pivotField>
    <pivotField axis="axisRow" showAll="0">
      <items count="800">
        <item m="1" x="404"/>
        <item x="0"/>
        <item m="1" x="448"/>
        <item x="236"/>
        <item m="1" x="423"/>
        <item m="1" x="315"/>
        <item m="1" x="293"/>
        <item m="1" x="555"/>
        <item m="1" x="551"/>
        <item m="1" x="508"/>
        <item m="1" x="426"/>
        <item m="1" x="737"/>
        <item m="1" x="639"/>
        <item m="1" x="660"/>
        <item m="1" x="441"/>
        <item m="1" x="736"/>
        <item m="1" x="417"/>
        <item m="1" x="664"/>
        <item m="1" x="303"/>
        <item m="1" x="503"/>
        <item x="89"/>
        <item x="261"/>
        <item m="1" x="676"/>
        <item m="1" x="780"/>
        <item m="1" x="361"/>
        <item m="1" x="537"/>
        <item x="1"/>
        <item x="180"/>
        <item m="1" x="601"/>
        <item m="1" x="595"/>
        <item m="1" x="479"/>
        <item m="1" x="312"/>
        <item m="1" x="739"/>
        <item x="134"/>
        <item x="42"/>
        <item x="197"/>
        <item m="1" x="352"/>
        <item x="2"/>
        <item x="181"/>
        <item m="1" x="453"/>
        <item x="3"/>
        <item x="182"/>
        <item m="1" x="538"/>
        <item m="1" x="499"/>
        <item x="159"/>
        <item m="1" x="338"/>
        <item x="225"/>
        <item x="31"/>
        <item x="33"/>
        <item m="1" x="527"/>
        <item m="1" x="378"/>
        <item m="1" x="729"/>
        <item m="1" x="718"/>
        <item m="1" x="683"/>
        <item x="198"/>
        <item x="226"/>
        <item x="227"/>
        <item m="1" x="451"/>
        <item x="34"/>
        <item m="1" x="782"/>
        <item m="1" x="511"/>
        <item x="228"/>
        <item m="1" x="732"/>
        <item m="1" x="590"/>
        <item m="1" x="685"/>
        <item m="1" x="798"/>
        <item m="1" x="385"/>
        <item m="1" x="422"/>
        <item x="110"/>
        <item m="1" x="393"/>
        <item m="1" x="512"/>
        <item m="1" x="663"/>
        <item m="1" x="530"/>
        <item x="238"/>
        <item m="1" x="651"/>
        <item m="1" x="519"/>
        <item m="1" x="690"/>
        <item x="160"/>
        <item m="1" x="643"/>
        <item m="1" x="371"/>
        <item m="1" x="753"/>
        <item m="1" x="612"/>
        <item m="1" x="593"/>
        <item m="1" x="721"/>
        <item m="1" x="471"/>
        <item m="1" x="735"/>
        <item m="1" x="731"/>
        <item m="1" x="372"/>
        <item m="1" x="754"/>
        <item m="1" x="472"/>
        <item m="1" x="787"/>
        <item m="1" x="702"/>
        <item x="161"/>
        <item m="1" x="299"/>
        <item m="1" x="490"/>
        <item x="162"/>
        <item m="1" x="723"/>
        <item m="1" x="716"/>
        <item m="1" x="502"/>
        <item m="1" x="648"/>
        <item x="135"/>
        <item m="1" x="305"/>
        <item m="1" x="419"/>
        <item m="1" x="766"/>
        <item m="1" x="638"/>
        <item m="1" x="475"/>
        <item m="1" x="796"/>
        <item m="1" x="498"/>
        <item x="183"/>
        <item m="1" x="531"/>
        <item x="36"/>
        <item m="1" x="363"/>
        <item m="1" x="439"/>
        <item m="1" x="505"/>
        <item m="1" x="492"/>
        <item m="1" x="476"/>
        <item m="1" x="521"/>
        <item m="1" x="523"/>
        <item m="1" x="321"/>
        <item m="1" x="347"/>
        <item m="1" x="357"/>
        <item m="1" x="655"/>
        <item m="1" x="318"/>
        <item m="1" x="452"/>
        <item m="1" x="467"/>
        <item m="1" x="387"/>
        <item m="1" x="691"/>
        <item m="1" x="414"/>
        <item m="1" x="750"/>
        <item m="1" x="714"/>
        <item x="126"/>
        <item m="1" x="483"/>
        <item m="1" x="710"/>
        <item m="1" x="564"/>
        <item m="1" x="556"/>
        <item m="1" x="558"/>
        <item m="1" x="565"/>
        <item m="1" x="570"/>
        <item m="1" x="428"/>
        <item m="1" x="300"/>
        <item x="90"/>
        <item m="1" x="661"/>
        <item m="1" x="656"/>
        <item x="116"/>
        <item x="216"/>
        <item x="217"/>
        <item x="218"/>
        <item x="219"/>
        <item x="4"/>
        <item x="184"/>
        <item x="44"/>
        <item x="37"/>
        <item m="1" x="649"/>
        <item m="1" x="730"/>
        <item m="1" x="349"/>
        <item m="1" x="552"/>
        <item m="1" x="489"/>
        <item x="229"/>
        <item x="230"/>
        <item x="45"/>
        <item x="5"/>
        <item x="185"/>
        <item m="1" x="346"/>
        <item m="1" x="641"/>
        <item x="6"/>
        <item x="137"/>
        <item x="139"/>
        <item x="141"/>
        <item x="7"/>
        <item x="8"/>
        <item x="142"/>
        <item x="143"/>
        <item x="9"/>
        <item x="220"/>
        <item m="1" x="658"/>
        <item m="1" x="775"/>
        <item m="1" x="635"/>
        <item x="231"/>
        <item x="10"/>
        <item x="11"/>
        <item m="1" x="666"/>
        <item x="165"/>
        <item x="12"/>
        <item m="1" x="411"/>
        <item m="1" x="752"/>
        <item m="1" x="429"/>
        <item m="1" x="536"/>
        <item m="1" x="388"/>
        <item m="1" x="450"/>
        <item m="1" x="340"/>
        <item m="1" x="532"/>
        <item m="1" x="501"/>
        <item m="1" x="522"/>
        <item m="1" x="504"/>
        <item m="1" x="449"/>
        <item m="1" x="646"/>
        <item m="1" x="757"/>
        <item x="100"/>
        <item m="1" x="415"/>
        <item x="95"/>
        <item m="1" x="783"/>
        <item m="1" x="777"/>
        <item m="1" x="794"/>
        <item m="1" x="457"/>
        <item x="99"/>
        <item m="1" x="390"/>
        <item m="1" x="373"/>
        <item x="13"/>
        <item m="1" x="587"/>
        <item m="1" x="733"/>
        <item m="1" x="485"/>
        <item m="1" x="668"/>
        <item m="1" x="344"/>
        <item x="166"/>
        <item m="1" x="542"/>
        <item m="1" x="433"/>
        <item m="1" x="607"/>
        <item x="263"/>
        <item m="1" x="458"/>
        <item m="1" x="444"/>
        <item x="145"/>
        <item m="1" x="379"/>
        <item x="119"/>
        <item m="1" x="430"/>
        <item m="1" x="316"/>
        <item m="1" x="341"/>
        <item x="262"/>
        <item m="1" x="392"/>
        <item x="264"/>
        <item m="1" x="435"/>
        <item m="1" x="755"/>
        <item m="1" x="566"/>
        <item m="1" x="621"/>
        <item m="1" x="623"/>
        <item m="1" x="297"/>
        <item m="1" x="626"/>
        <item m="1" x="776"/>
        <item m="1" x="302"/>
        <item m="1" x="715"/>
        <item m="1" x="460"/>
        <item m="1" x="717"/>
        <item m="1" x="313"/>
        <item m="1" x="720"/>
        <item x="167"/>
        <item m="1" x="304"/>
        <item m="1" x="657"/>
        <item x="57"/>
        <item x="266"/>
        <item x="267"/>
        <item x="265"/>
        <item x="268"/>
        <item m="1" x="494"/>
        <item m="1" x="533"/>
        <item m="1" x="597"/>
        <item m="1" x="546"/>
        <item x="127"/>
        <item m="1" x="374"/>
        <item m="1" x="708"/>
        <item x="232"/>
        <item x="38"/>
        <item m="1" x="764"/>
        <item x="257"/>
        <item m="1" x="287"/>
        <item m="1" x="466"/>
        <item m="1" x="359"/>
        <item m="1" x="793"/>
        <item m="1" x="725"/>
        <item x="59"/>
        <item m="1" x="605"/>
        <item x="258"/>
        <item m="1" x="686"/>
        <item m="1" x="667"/>
        <item m="1" x="495"/>
        <item m="1" x="362"/>
        <item x="82"/>
        <item m="1" x="391"/>
        <item m="1" x="618"/>
        <item m="1" x="528"/>
        <item m="1" x="594"/>
        <item m="1" x="292"/>
        <item m="1" x="610"/>
        <item m="1" x="520"/>
        <item m="1" x="680"/>
        <item m="1" x="398"/>
        <item m="1" x="384"/>
        <item m="1" x="288"/>
        <item m="1" x="289"/>
        <item x="259"/>
        <item m="1" x="386"/>
        <item m="1" x="567"/>
        <item m="1" x="549"/>
        <item m="1" x="509"/>
        <item m="1" x="510"/>
        <item x="269"/>
        <item m="1" x="704"/>
        <item x="14"/>
        <item x="186"/>
        <item m="1" x="636"/>
        <item x="15"/>
        <item x="187"/>
        <item x="47"/>
        <item x="146"/>
        <item m="1" x="518"/>
        <item m="1" x="562"/>
        <item m="1" x="792"/>
        <item m="1" x="578"/>
        <item m="1" x="582"/>
        <item m="1" x="630"/>
        <item m="1" x="647"/>
        <item m="1" x="697"/>
        <item m="1" x="711"/>
        <item m="1" x="748"/>
        <item m="1" x="712"/>
        <item m="1" x="751"/>
        <item m="1" x="765"/>
        <item m="1" x="296"/>
        <item m="1" x="353"/>
        <item m="1" x="420"/>
        <item m="1" x="480"/>
        <item x="147"/>
        <item x="148"/>
        <item x="223"/>
        <item m="1" x="645"/>
        <item m="1" x="631"/>
        <item x="16"/>
        <item m="1" x="679"/>
        <item x="48"/>
        <item m="1" x="756"/>
        <item x="149"/>
        <item x="150"/>
        <item m="1" x="282"/>
        <item m="1" x="671"/>
        <item m="1" x="482"/>
        <item m="1" x="615"/>
        <item x="17"/>
        <item m="1" x="377"/>
        <item x="188"/>
        <item x="18"/>
        <item x="189"/>
        <item m="1" x="470"/>
        <item m="1" x="662"/>
        <item m="1" x="412"/>
        <item m="1" x="781"/>
        <item x="130"/>
        <item m="1" x="789"/>
        <item m="1" x="682"/>
        <item m="1" x="365"/>
        <item m="1" x="474"/>
        <item m="1" x="653"/>
        <item m="1" x="563"/>
        <item x="207"/>
        <item m="1" x="550"/>
        <item x="168"/>
        <item m="1" x="383"/>
        <item m="1" x="698"/>
        <item x="169"/>
        <item x="270"/>
        <item x="170"/>
        <item m="1" x="416"/>
        <item x="233"/>
        <item m="1" x="389"/>
        <item m="1" x="767"/>
        <item x="131"/>
        <item x="121"/>
        <item x="64"/>
        <item x="271"/>
        <item m="1" x="455"/>
        <item m="1" x="301"/>
        <item m="1" x="688"/>
        <item m="1" x="469"/>
        <item x="209"/>
        <item m="1" x="421"/>
        <item m="1" x="773"/>
        <item m="1" x="693"/>
        <item x="273"/>
        <item m="1" x="285"/>
        <item x="274"/>
        <item x="241"/>
        <item x="66"/>
        <item x="68"/>
        <item x="69"/>
        <item x="71"/>
        <item x="72"/>
        <item m="1" x="437"/>
        <item m="1" x="438"/>
        <item m="1" x="596"/>
        <item x="242"/>
        <item x="243"/>
        <item x="244"/>
        <item m="1" x="465"/>
        <item m="1" x="634"/>
        <item x="176"/>
        <item x="39"/>
        <item x="49"/>
        <item x="19"/>
        <item x="190"/>
        <item x="234"/>
        <item m="1" x="376"/>
        <item m="1" x="628"/>
        <item m="1" x="368"/>
        <item m="1" x="325"/>
        <item m="1" x="579"/>
        <item m="1" x="588"/>
        <item x="276"/>
        <item x="277"/>
        <item m="1" x="760"/>
        <item m="1" x="654"/>
        <item m="1" x="632"/>
        <item m="1" x="402"/>
        <item m="1" x="360"/>
        <item m="1" x="481"/>
        <item x="245"/>
        <item x="246"/>
        <item x="247"/>
        <item x="248"/>
        <item x="249"/>
        <item x="250"/>
        <item x="251"/>
        <item x="132"/>
        <item x="177"/>
        <item m="1" x="526"/>
        <item m="1" x="286"/>
        <item m="1" x="294"/>
        <item m="1" x="339"/>
        <item m="1" x="407"/>
        <item m="1" x="619"/>
        <item m="1" x="705"/>
        <item m="1" x="491"/>
        <item x="279"/>
        <item m="1" x="355"/>
        <item m="1" x="370"/>
        <item m="1" x="298"/>
        <item m="1" x="406"/>
        <item m="1" x="326"/>
        <item m="1" x="617"/>
        <item m="1" x="432"/>
        <item m="1" x="431"/>
        <item x="74"/>
        <item m="1" x="673"/>
        <item m="1" x="740"/>
        <item m="1" x="524"/>
        <item x="151"/>
        <item x="50"/>
        <item x="20"/>
        <item x="191"/>
        <item x="21"/>
        <item x="22"/>
        <item x="210"/>
        <item m="1" x="425"/>
        <item x="40"/>
        <item x="152"/>
        <item m="1" x="603"/>
        <item x="153"/>
        <item x="23"/>
        <item m="1" x="410"/>
        <item m="1" x="351"/>
        <item x="87"/>
        <item m="1" x="568"/>
        <item m="1" x="763"/>
        <item m="1" x="625"/>
        <item x="75"/>
        <item m="1" x="375"/>
        <item m="1" x="323"/>
        <item x="171"/>
        <item m="1" x="394"/>
        <item x="172"/>
        <item m="1" x="572"/>
        <item m="1" x="529"/>
        <item x="133"/>
        <item x="211"/>
        <item m="1" x="577"/>
        <item m="1" x="454"/>
        <item x="154"/>
        <item x="224"/>
        <item m="1" x="327"/>
        <item m="1" x="713"/>
        <item m="1" x="291"/>
        <item x="24"/>
        <item m="1" x="473"/>
        <item x="41"/>
        <item x="235"/>
        <item m="1" x="678"/>
        <item x="212"/>
        <item m="1" x="447"/>
        <item x="25"/>
        <item m="1" x="768"/>
        <item m="1" x="600"/>
        <item m="1" x="525"/>
        <item m="1" x="456"/>
        <item m="1" x="699"/>
        <item m="1" x="440"/>
        <item x="51"/>
        <item x="26"/>
        <item x="192"/>
        <item x="27"/>
        <item x="52"/>
        <item x="28"/>
        <item x="193"/>
        <item x="194"/>
        <item x="29"/>
        <item x="195"/>
        <item m="1" x="669"/>
        <item x="280"/>
        <item m="1" x="364"/>
        <item x="76"/>
        <item m="1" x="354"/>
        <item m="1" x="591"/>
        <item m="1" x="366"/>
        <item m="1" x="592"/>
        <item x="254"/>
        <item m="1" x="561"/>
        <item m="1" x="493"/>
        <item x="77"/>
        <item m="1" x="310"/>
        <item m="1" x="548"/>
        <item m="1" x="629"/>
        <item m="1" x="745"/>
        <item m="1" x="427"/>
        <item m="1" x="488"/>
        <item m="1" x="728"/>
        <item m="1" x="484"/>
        <item x="79"/>
        <item m="1" x="604"/>
        <item m="1" x="784"/>
        <item m="1" x="709"/>
        <item m="1" x="333"/>
        <item m="1" x="424"/>
        <item m="1" x="559"/>
        <item m="1" x="348"/>
        <item m="1" x="703"/>
        <item m="1" x="734"/>
        <item m="1" x="382"/>
        <item m="1" x="574"/>
        <item m="1" x="724"/>
        <item m="1" x="778"/>
        <item m="1" x="627"/>
        <item x="61"/>
        <item x="43"/>
        <item x="62"/>
        <item m="1" x="545"/>
        <item m="1" x="637"/>
        <item m="1" x="762"/>
        <item x="32"/>
        <item x="221"/>
        <item m="1" x="719"/>
        <item m="1" x="367"/>
        <item m="1" x="284"/>
        <item m="1" x="535"/>
        <item x="94"/>
        <item m="1" x="345"/>
        <item m="1" x="320"/>
        <item m="1" x="283"/>
        <item m="1" x="620"/>
        <item m="1" x="613"/>
        <item m="1" x="436"/>
        <item m="1" x="478"/>
        <item m="1" x="514"/>
        <item m="1" x="759"/>
        <item x="179"/>
        <item m="1" x="547"/>
        <item m="1" x="560"/>
        <item x="83"/>
        <item x="85"/>
        <item m="1" x="434"/>
        <item m="1" x="640"/>
        <item m="1" x="308"/>
        <item m="1" x="399"/>
        <item m="1" x="486"/>
        <item x="214"/>
        <item m="1" x="589"/>
        <item m="1" x="369"/>
        <item m="1" x="543"/>
        <item m="1" x="517"/>
        <item m="1" x="544"/>
        <item m="1" x="670"/>
        <item m="1" x="650"/>
        <item x="53"/>
        <item x="54"/>
        <item x="55"/>
        <item x="56"/>
        <item m="1" x="446"/>
        <item m="1" x="585"/>
        <item m="1" x="342"/>
        <item m="1" x="381"/>
        <item x="60"/>
        <item m="1" x="659"/>
        <item m="1" x="608"/>
        <item x="63"/>
        <item x="65"/>
        <item x="67"/>
        <item x="70"/>
        <item x="73"/>
        <item x="80"/>
        <item x="81"/>
        <item x="84"/>
        <item x="86"/>
        <item m="1" x="330"/>
        <item m="1" x="674"/>
        <item x="252"/>
        <item x="253"/>
        <item x="255"/>
        <item x="256"/>
        <item m="1" x="500"/>
        <item x="215"/>
        <item x="260"/>
        <item m="1" x="774"/>
        <item m="1" x="642"/>
        <item m="1" x="744"/>
        <item m="1" x="692"/>
        <item m="1" x="322"/>
        <item m="1" x="573"/>
        <item m="1" x="786"/>
        <item m="1" x="442"/>
        <item m="1" x="468"/>
        <item m="1" x="314"/>
        <item m="1" x="295"/>
        <item x="122"/>
        <item m="1" x="403"/>
        <item m="1" x="791"/>
        <item m="1" x="758"/>
        <item m="1" x="611"/>
        <item m="1" x="405"/>
        <item m="1" x="290"/>
        <item m="1" x="397"/>
        <item m="1" x="463"/>
        <item m="1" x="665"/>
        <item m="1" x="614"/>
        <item m="1" x="689"/>
        <item m="1" x="797"/>
        <item m="1" x="380"/>
        <item m="1" x="624"/>
        <item m="1" x="790"/>
        <item m="1" x="606"/>
        <item m="1" x="557"/>
        <item m="1" x="343"/>
        <item m="1" x="554"/>
        <item m="1" x="771"/>
        <item m="1" x="602"/>
        <item m="1" x="795"/>
        <item x="35"/>
        <item m="1" x="586"/>
        <item x="46"/>
        <item x="58"/>
        <item x="88"/>
        <item x="91"/>
        <item m="1" x="401"/>
        <item m="1" x="413"/>
        <item m="1" x="443"/>
        <item m="1" x="487"/>
        <item m="1" x="445"/>
        <item m="1" x="400"/>
        <item m="1" x="464"/>
        <item m="1" x="418"/>
        <item m="1" x="459"/>
        <item m="1" x="513"/>
        <item m="1" x="534"/>
        <item m="1" x="571"/>
        <item m="1" x="644"/>
        <item m="1" x="706"/>
        <item m="1" x="746"/>
        <item m="1" x="306"/>
        <item m="1" x="779"/>
        <item m="1" x="334"/>
        <item m="1" x="309"/>
        <item m="1" x="311"/>
        <item x="92"/>
        <item x="93"/>
        <item x="96"/>
        <item m="1" x="409"/>
        <item m="1" x="462"/>
        <item m="1" x="576"/>
        <item m="1" x="516"/>
        <item m="1" x="599"/>
        <item m="1" x="581"/>
        <item m="1" x="584"/>
        <item m="1" x="770"/>
        <item m="1" x="329"/>
        <item m="1" x="540"/>
        <item m="1" x="332"/>
        <item m="1" x="507"/>
        <item m="1" x="396"/>
        <item m="1" x="337"/>
        <item x="97"/>
        <item m="1" x="408"/>
        <item m="1" x="461"/>
        <item m="1" x="575"/>
        <item m="1" x="515"/>
        <item m="1" x="598"/>
        <item m="1" x="580"/>
        <item m="1" x="583"/>
        <item m="1" x="769"/>
        <item m="1" x="328"/>
        <item m="1" x="539"/>
        <item m="1" x="331"/>
        <item m="1" x="506"/>
        <item m="1" x="395"/>
        <item m="1" x="336"/>
        <item x="98"/>
        <item x="101"/>
        <item m="1" x="672"/>
        <item m="1" x="553"/>
        <item m="1" x="675"/>
        <item m="1" x="477"/>
        <item m="1" x="281"/>
        <item m="1" x="684"/>
        <item m="1" x="687"/>
        <item m="1" x="358"/>
        <item m="1" x="694"/>
        <item m="1" x="726"/>
        <item m="1" x="496"/>
        <item m="1" x="695"/>
        <item m="1" x="727"/>
        <item m="1" x="497"/>
        <item x="102"/>
        <item m="1" x="747"/>
        <item m="1" x="749"/>
        <item m="1" x="622"/>
        <item m="1" x="609"/>
        <item x="103"/>
        <item m="1" x="677"/>
        <item x="104"/>
        <item m="1" x="616"/>
        <item x="105"/>
        <item m="1" x="722"/>
        <item m="1" x="700"/>
        <item x="106"/>
        <item x="107"/>
        <item x="108"/>
        <item x="109"/>
        <item x="111"/>
        <item x="112"/>
        <item x="113"/>
        <item x="114"/>
        <item m="1" x="785"/>
        <item x="115"/>
        <item m="1" x="569"/>
        <item m="1" x="701"/>
        <item m="1" x="707"/>
        <item m="1" x="317"/>
        <item m="1" x="696"/>
        <item x="117"/>
        <item m="1" x="324"/>
        <item x="118"/>
        <item x="120"/>
        <item m="1" x="743"/>
        <item m="1" x="772"/>
        <item m="1" x="742"/>
        <item x="123"/>
        <item m="1" x="681"/>
        <item x="124"/>
        <item x="125"/>
        <item m="1" x="788"/>
        <item m="1" x="738"/>
        <item m="1" x="652"/>
        <item m="1" x="541"/>
        <item x="136"/>
        <item x="138"/>
        <item x="140"/>
        <item x="144"/>
        <item m="1" x="319"/>
        <item m="1" x="335"/>
        <item m="1" x="761"/>
        <item m="1" x="350"/>
        <item m="1" x="633"/>
        <item m="1" x="741"/>
        <item m="1" x="356"/>
        <item x="155"/>
        <item x="156"/>
        <item x="157"/>
        <item x="158"/>
        <item x="163"/>
        <item x="164"/>
        <item x="173"/>
        <item x="174"/>
        <item x="175"/>
        <item x="178"/>
        <item x="196"/>
        <item x="199"/>
        <item x="200"/>
        <item x="201"/>
        <item x="202"/>
        <item x="203"/>
        <item x="204"/>
        <item x="205"/>
        <item x="206"/>
        <item x="208"/>
        <item m="1" x="307"/>
        <item x="213"/>
        <item x="222"/>
        <item x="237"/>
        <item x="239"/>
        <item x="240"/>
        <item x="30"/>
        <item x="78"/>
        <item x="272"/>
        <item x="275"/>
        <item x="278"/>
        <item x="128"/>
        <item x="129"/>
        <item t="default"/>
      </items>
    </pivotField>
    <pivotField showAll="0"/>
    <pivotField showAll="0"/>
    <pivotField showAll="0"/>
    <pivotField showAll="0"/>
    <pivotField showAll="0"/>
    <pivotField showAll="0"/>
    <pivotField showAll="0"/>
    <pivotField numFmtId="168"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numFmtId="168" showAll="0"/>
  </pivotFields>
  <rowFields count="2">
    <field x="0"/>
    <field x="1"/>
  </rowFields>
  <rowItems count="5">
    <i>
      <x v="15"/>
    </i>
    <i r="1">
      <x v="261"/>
    </i>
    <i r="1">
      <x v="269"/>
    </i>
    <i r="1">
      <x v="287"/>
    </i>
    <i t="grand">
      <x/>
    </i>
  </rowItems>
  <colFields count="1">
    <field x="-2"/>
  </colFields>
  <colItems count="6">
    <i>
      <x/>
    </i>
    <i i="1">
      <x v="1"/>
    </i>
    <i i="2">
      <x v="2"/>
    </i>
    <i i="3">
      <x v="3"/>
    </i>
    <i i="4">
      <x v="4"/>
    </i>
    <i i="5">
      <x v="5"/>
    </i>
  </colItems>
  <dataFields count="6">
    <dataField name="Somme de Prix Poste 1" fld="21" baseField="0" baseItem="0"/>
    <dataField name="Somme de Prix Poste 2" fld="22" baseField="0" baseItem="0"/>
    <dataField name="Somme de Prix Poste 3" fld="23" baseField="0" baseItem="0"/>
    <dataField name="Somme de Prix Poste 4" fld="24" baseField="0" baseItem="0"/>
    <dataField name="Somme de Prix Poste 5" fld="25" baseField="0" baseItem="0"/>
    <dataField name="Somme de Prix Poste 6"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2F55F3-FDE5-4AE9-9D86-42581011FC2A}" name="Devis" displayName="Devis" ref="A2:AB3667" totalsRowShown="0" headerRowDxfId="62" dataDxfId="61" headerRowCellStyle="Monétaire" dataCellStyle="Monétaire">
  <autoFilter ref="A2:AB3667" xr:uid="{222F55F3-FDE5-4AE9-9D86-42581011FC2A}"/>
  <tableColumns count="28">
    <tableColumn id="1" xr3:uid="{4F227718-10ED-48D5-9A49-081419995676}" name="Gamme" dataDxfId="60"/>
    <tableColumn id="2" xr3:uid="{578FB4EB-E48D-4F7D-86E0-9A20E4F54E88}" name="Famille" dataDxfId="59"/>
    <tableColumn id="3" xr3:uid="{1F6E4F95-8320-4407-9A38-322B6B7C14AE}" name="Sous-Famille" dataDxfId="58"/>
    <tableColumn id="4" xr3:uid="{CB3736C4-7C5D-43CE-B7E5-28A0879F935F}" name="Concat. Gam Fam Sous-Fam" dataDxfId="57">
      <calculatedColumnFormula>A3&amp;B3&amp;C3</calculatedColumnFormula>
    </tableColumn>
    <tableColumn id="5" xr3:uid="{3690BFFA-13A3-469D-86F7-CF901401C100}" name="Désignation" dataDxfId="56"/>
    <tableColumn id="6" xr3:uid="{FC161E1F-0A34-42B4-98B1-FC1B66FA8F53}" name="Ordre de classement inter-sous-famille" dataDxfId="55"/>
    <tableColumn id="7" xr3:uid="{7F32D271-8288-4CE7-8BC3-58AA467413A4}" name="Ref Air Flux" dataDxfId="54"/>
    <tableColumn id="8" xr3:uid="{C8A23681-17BF-4D6D-89F0-05F7716230D1}" name="Fournisseur_x000a_Fabricant" dataDxfId="53"/>
    <tableColumn id="9" xr3:uid="{66B2E3D5-68AE-479C-B660-269D061FCC9C}" name="Ref Fournisseur" dataDxfId="52"/>
    <tableColumn id="10" xr3:uid="{CE7665D2-55C8-4DC0-A3E3-EF717E621A72}" name="Prix de Revient" dataDxfId="0" dataCellStyle="Monétaire">
      <calculatedColumnFormula>IFERROR(VLOOKUP(Devis[[#This Row],[Ref Air Flux]],#REF!,3,FALSE),0)</calculatedColumnFormula>
    </tableColumn>
    <tableColumn id="11" xr3:uid="{4A83BBC2-9DA2-4446-A03E-60595E55E9CD}" name="Poste 1" dataDxfId="51"/>
    <tableColumn id="12" xr3:uid="{31B758DE-5DC5-474B-AF5E-99650DA6E885}" name="Poste 2" dataDxfId="50"/>
    <tableColumn id="13" xr3:uid="{1359AA63-A507-4248-9A75-21598FFD3882}" name="Poste 3" dataDxfId="49"/>
    <tableColumn id="14" xr3:uid="{2B39F672-15B3-456D-8BDA-464F645E1D6B}" name="Poste 4" dataDxfId="48"/>
    <tableColumn id="15" xr3:uid="{FB3300CF-4436-4906-8BFF-60C7B3D941A8}" name="Poste 5" dataDxfId="47"/>
    <tableColumn id="16" xr3:uid="{548E15DD-3872-4CB2-B6F8-1D1C84D385E7}" name="Poste 6" dataDxfId="46"/>
    <tableColumn id="17" xr3:uid="{ED9D980D-5047-4EF4-8A48-06E7B72BB9C5}" name="Quantité Totale" dataDxfId="45">
      <calculatedColumnFormula>SUM(Devis[[#This Row],[Poste 1]:[Poste 6]])</calculatedColumnFormula>
    </tableColumn>
    <tableColumn id="18" xr3:uid="{38B43BB2-2949-4095-8CC8-2748DCA844A7}" name="Conditionnement" dataDxfId="44"/>
    <tableColumn id="19" xr3:uid="{03C69B34-5703-44BE-B9F1-2158199192E9}" name="Quantité Totale Conditionnée" dataDxfId="43">
      <calculatedColumnFormula>_xlfn.CEILING.MATH(Devis[[#This Row],[Quantité Totale]],Devis[[#This Row],[Conditionnement]])</calculatedColumnFormula>
    </tableColumn>
    <tableColumn id="20" xr3:uid="{C0CAE676-6467-4E69-AB23-1E5194E0CB2A}" name="tps de soudure en h / pièce" dataDxfId="42"/>
    <tableColumn id="21" xr3:uid="{46A6B3BB-98CF-4098-902F-6E701B08E976}" name="Commentaire" dataDxfId="41"/>
    <tableColumn id="22" xr3:uid="{8CC1FBF3-84C8-40C2-885B-2A2C8600FC91}" name="Prix Poste 1" dataDxfId="40" dataCellStyle="Monétaire">
      <calculatedColumnFormula>Devis[[#This Row],[Prix de Revient]]*Devis[[#This Row],[Poste 1]]</calculatedColumnFormula>
    </tableColumn>
    <tableColumn id="23" xr3:uid="{009496D9-7E77-410C-AAD6-6C099D3AA926}" name="Prix Poste 2" dataDxfId="39" dataCellStyle="Monétaire">
      <calculatedColumnFormula>Devis[[#This Row],[Prix de Revient]]*Devis[[#This Row],[Poste 2]]</calculatedColumnFormula>
    </tableColumn>
    <tableColumn id="24" xr3:uid="{06DA6F64-2EE4-4E54-96FD-014E290E508B}" name="Prix Poste 3" dataDxfId="38" dataCellStyle="Monétaire">
      <calculatedColumnFormula>Devis[[#This Row],[Prix de Revient]]*Devis[[#This Row],[Poste 3]]</calculatedColumnFormula>
    </tableColumn>
    <tableColumn id="25" xr3:uid="{3363C46E-1FF7-480C-B773-4F524C1FA782}" name="Prix Poste 4" dataDxfId="37" dataCellStyle="Monétaire">
      <calculatedColumnFormula>Devis[[#This Row],[Poste 4]]*Devis[[#This Row],[Prix de Revient]]</calculatedColumnFormula>
    </tableColumn>
    <tableColumn id="26" xr3:uid="{D08181F4-BA60-4CDD-B672-415EAE50A88A}" name="Prix Poste 5" dataDxfId="36" dataCellStyle="Monétaire">
      <calculatedColumnFormula>Devis[[#This Row],[Poste 5]]*Devis[[#This Row],[Prix de Revient]]</calculatedColumnFormula>
    </tableColumn>
    <tableColumn id="27" xr3:uid="{A5281E3B-00DD-42A6-80CB-BA41C1BFFAEF}" name="Prix Poste 6" dataDxfId="35" dataCellStyle="Monétaire">
      <calculatedColumnFormula>Devis[[#This Row],[Prix de Revient]]*Devis[[#This Row],[Poste 6]]</calculatedColumnFormula>
    </tableColumn>
    <tableColumn id="28" xr3:uid="{F8A28AA4-9BB8-4E77-8388-720901C6270F}" name="Prix Total" dataDxfId="34" dataCellStyle="Monétaire">
      <calculatedColumnFormula>Devis[[#This Row],[Quantité Totale]]*Devis[[#This Row],[Prix de Revient]]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AF2053-D7B6-4F47-8EFC-91FDF8DA1F3E}" name="Tableau2" displayName="Tableau2" ref="A2:AB566" totalsRowShown="0" headerRowDxfId="33" dataDxfId="31" headerRowBorderDxfId="32" headerRowCellStyle="Monétaire">
  <autoFilter ref="A2:AB566" xr:uid="{69AF2053-D7B6-4F47-8EFC-91FDF8DA1F3E}"/>
  <tableColumns count="28">
    <tableColumn id="1" xr3:uid="{CEA5A6B1-3D76-4561-AE34-0FC9B081D535}" name="Gamme" dataDxfId="30"/>
    <tableColumn id="2" xr3:uid="{B9E93BD0-2106-4389-9E46-9EE8E8D7C899}" name="Famille" dataDxfId="29"/>
    <tableColumn id="3" xr3:uid="{2611C41F-1655-4113-91DD-6ACBB251DDDB}" name="Sous-Famille" dataDxfId="28"/>
    <tableColumn id="4" xr3:uid="{F097FB5E-9F88-496D-993B-203FBCB57526}" name="Concat. Gam Fam Sous-Fam" dataDxfId="27"/>
    <tableColumn id="5" xr3:uid="{F760A78A-DF4E-4022-9BBA-228976E0237A}" name="Désignation" dataDxfId="26"/>
    <tableColumn id="6" xr3:uid="{560AB538-9D67-4BE1-A64E-8C76F01B0990}" name="Ordre de classement inter-sous-famille" dataDxfId="25"/>
    <tableColumn id="7" xr3:uid="{B98F5A4A-FB44-4ED0-A24D-352917B6F482}" name="Ref Air Flux" dataDxfId="24"/>
    <tableColumn id="8" xr3:uid="{591FF313-BBEB-4132-A75D-75D381E4361A}" name="Fournisseur" dataDxfId="23"/>
    <tableColumn id="9" xr3:uid="{83E2B471-853D-4C65-B19F-0C23DDC3945C}" name="Ref Fournisseur" dataDxfId="22"/>
    <tableColumn id="10" xr3:uid="{EE3B28C5-2C14-4404-BF85-5724DF38E368}" name="Prix de Revient" dataDxfId="21"/>
    <tableColumn id="11" xr3:uid="{8C07CE82-A1D8-4871-BBE9-3857A6198D00}" name="Poste 1" dataDxfId="20"/>
    <tableColumn id="12" xr3:uid="{FA8D7F84-C939-48AB-A417-F54C0B8088E6}" name="Poste 2" dataDxfId="19"/>
    <tableColumn id="13" xr3:uid="{76B4035B-0A55-4FF7-948C-EFB4AF522C52}" name="Poste 3" dataDxfId="18"/>
    <tableColumn id="14" xr3:uid="{F5580D65-4535-4A7E-969A-272EC8472670}" name="Poste 4" dataDxfId="17"/>
    <tableColumn id="15" xr3:uid="{7E00B728-DE49-42F5-9192-E9D9EFC0B189}" name="Poste 5" dataDxfId="16"/>
    <tableColumn id="16" xr3:uid="{1BDF656F-4F64-4C06-9C71-4D18838C5939}" name="Poste 6" dataDxfId="15"/>
    <tableColumn id="17" xr3:uid="{6D8C2753-D9AF-4490-920C-5E84E45B59DA}" name="Quantité Totale" dataDxfId="14"/>
    <tableColumn id="18" xr3:uid="{C731E044-34EF-451D-B0C2-1DAC60EB3430}" name="Conditionnement" dataDxfId="13"/>
    <tableColumn id="19" xr3:uid="{01B51570-795B-44A9-89C2-2CF0769229D3}" name="Quantité Totale Conditionnée" dataDxfId="12"/>
    <tableColumn id="20" xr3:uid="{474F4C36-5B83-465A-8C85-251959ABAF47}" name="tps de soudure en h / pièce" dataDxfId="11"/>
    <tableColumn id="21" xr3:uid="{0651F2B7-4844-40D2-8F1C-609323A91E23}" name="Commentaire" dataDxfId="10"/>
    <tableColumn id="22" xr3:uid="{EFD01337-7BAA-4631-B923-79BF8BD7B63E}" name="Prix Poste 1" dataDxfId="9"/>
    <tableColumn id="23" xr3:uid="{671EF1FC-70F5-4A25-A948-CD174D4E1B8F}" name="Prix Poste 2" dataDxfId="8"/>
    <tableColumn id="24" xr3:uid="{AB1258C5-4A0F-498C-8060-4C9E3F2D583B}" name="Prix Poste 3" dataDxfId="7"/>
    <tableColumn id="25" xr3:uid="{2E50B507-7A58-4E80-88F8-308FA79FD9B1}" name="Prix Poste 4" dataDxfId="6"/>
    <tableColumn id="26" xr3:uid="{2EA84749-DDFE-4EE3-8B4F-91A5A247075B}" name="Prix Poste 5" dataDxfId="5"/>
    <tableColumn id="27" xr3:uid="{0F89BF0B-F3DF-44E2-B568-35A599242A10}" name="Prix Poste 6" dataDxfId="4"/>
    <tableColumn id="28" xr3:uid="{CC751C3B-3DD9-44D0-AB5B-A2743E17730A}" name="Prix Total" dataDxfId="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AEA7E9-DB72-4365-BF87-6D025C6575B7}" name="AjoutListe" displayName="AjoutListe" ref="A1:D6" totalsRowShown="0" headerRowDxfId="2">
  <autoFilter ref="A1:D6" xr:uid="{53CC41E3-D046-4B72-B9FC-329F112367E4}"/>
  <tableColumns count="4">
    <tableColumn id="1" xr3:uid="{2B2AFD87-EB6F-46E5-92AA-9A8B63D6B36C}" name="Poste" dataCellStyle="Normal 2"/>
    <tableColumn id="2" xr3:uid="{956038FD-4207-4A64-8A74-1B443AFFC7AE}" name="Référence" dataDxfId="1" dataCellStyle="Normal 2"/>
    <tableColumn id="3" xr3:uid="{2C002FE3-DFEA-479B-B0B0-7087C4F34E9C}" name="Quantité" dataCellStyle="Normal 2"/>
    <tableColumn id="4" xr3:uid="{13664407-C974-4688-BB4D-AC836D9EEA75}" name="Résulta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 dT="2021-08-04T09:20:52.95" personId="{CA32516E-5E5E-4238-9225-76878616B020}" id="{A4FFDEDF-2040-4EDA-BDEA-4B0632CBB5EC}">
    <text>Attention, vérifier les prix à 0%</text>
  </threadedComment>
</ThreadedComments>
</file>

<file path=xl/threadedComments/threadedComment2.xml><?xml version="1.0" encoding="utf-8"?>
<ThreadedComments xmlns="http://schemas.microsoft.com/office/spreadsheetml/2018/threadedcomments" xmlns:x="http://schemas.openxmlformats.org/spreadsheetml/2006/main">
  <threadedComment ref="B2189" dT="2022-02-03T16:35:11.08" personId="{1B758E6D-4F0B-4C59-978F-B1CCAC5757AE}" id="{18611E35-1993-47C5-8E43-B3326B60C82A}">
    <text>5J &gt;36€</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www.muepro.fr/shop/category/12827/Double-%C3%A9crou-MPC-27-18-jusqu-%C3%A0-28-30-%C3%A9lectrozingu%C3%A9.html" TargetMode="External"/><Relationship Id="rId1" Type="http://schemas.openxmlformats.org/officeDocument/2006/relationships/hyperlink" Target="http://www.muepro.fr/shop/category/12827/Double-%C3%A9crou-MPC-27-18-jusqu-%C3%A0-28-30-%C3%A9lectrozingu%C3%A9.html" TargetMode="External"/><Relationship Id="rId6" Type="http://schemas.openxmlformats.org/officeDocument/2006/relationships/ctrlProp" Target="../ctrlProps/ctrlProp1.xml"/><Relationship Id="rId5" Type="http://schemas.openxmlformats.org/officeDocument/2006/relationships/vmlDrawing" Target="../drawings/vmlDrawing2.vml"/><Relationship Id="rId10" Type="http://schemas.microsoft.com/office/2017/10/relationships/threadedComment" Target="../threadedComments/threadedComment2.xml"/><Relationship Id="rId4" Type="http://schemas.openxmlformats.org/officeDocument/2006/relationships/drawing" Target="../drawings/drawing1.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B6BD0-D5DD-4664-A539-35D9B38D4DCA}">
  <sheetPr codeName="Feuil1"/>
  <dimension ref="B1:J11"/>
  <sheetViews>
    <sheetView workbookViewId="0">
      <selection activeCell="H4" sqref="H4"/>
    </sheetView>
  </sheetViews>
  <sheetFormatPr baseColWidth="10" defaultRowHeight="12.75" x14ac:dyDescent="0.2"/>
  <cols>
    <col min="2" max="2" width="13.5703125" bestFit="1" customWidth="1"/>
    <col min="3" max="3" width="25.140625" customWidth="1"/>
    <col min="4" max="4" width="9" bestFit="1" customWidth="1"/>
    <col min="5" max="5" width="12.5703125" bestFit="1" customWidth="1"/>
    <col min="6" max="6" width="13.28515625" customWidth="1"/>
    <col min="7" max="7" width="11.85546875" customWidth="1"/>
    <col min="9" max="9" width="12.28515625" bestFit="1" customWidth="1"/>
    <col min="10" max="10" width="21.42578125" bestFit="1" customWidth="1"/>
  </cols>
  <sheetData>
    <row r="1" spans="2:10" ht="13.5" thickBot="1" x14ac:dyDescent="0.25"/>
    <row r="2" spans="2:10" ht="13.5" thickBot="1" x14ac:dyDescent="0.25">
      <c r="B2" s="19" t="s">
        <v>3288</v>
      </c>
      <c r="C2" s="14" t="s">
        <v>3407</v>
      </c>
      <c r="D2" s="14" t="s">
        <v>3289</v>
      </c>
      <c r="E2" s="14" t="s">
        <v>3290</v>
      </c>
      <c r="F2" s="14" t="s">
        <v>3291</v>
      </c>
      <c r="G2" s="14" t="s">
        <v>3391</v>
      </c>
      <c r="H2" s="14" t="s">
        <v>3392</v>
      </c>
      <c r="I2" s="14" t="s">
        <v>3394</v>
      </c>
      <c r="J2" s="15" t="s">
        <v>3393</v>
      </c>
    </row>
    <row r="3" spans="2:10" x14ac:dyDescent="0.2">
      <c r="B3" s="10" t="str">
        <f>Général!$K$2</f>
        <v>Poste 1</v>
      </c>
      <c r="C3" s="11">
        <f>Général!K1</f>
        <v>0</v>
      </c>
      <c r="D3" s="11">
        <f>COUNT(Devis[Poste 1])</f>
        <v>0</v>
      </c>
      <c r="E3" s="11">
        <f>SUM(Devis[Poste 1])</f>
        <v>0</v>
      </c>
      <c r="F3" s="12">
        <f>SUM(Devis[Prix Poste 1])</f>
        <v>0</v>
      </c>
      <c r="G3" s="11">
        <f>GETPIVOTDATA("Somme de "&amp;B3,'TCD Heure'!$A$3,"Gamme","Main d'Œuvre","Famille","Heures")</f>
        <v>0</v>
      </c>
      <c r="H3" s="25">
        <f>GETPIVOTDATA("Somme de Prix "&amp;B3,'TCD MO'!$A$3)</f>
        <v>0</v>
      </c>
      <c r="I3" s="29" t="e">
        <f t="shared" ref="I3:I9" si="0">H3/F3</f>
        <v>#DIV/0!</v>
      </c>
      <c r="J3" s="13" t="e">
        <f t="shared" ref="J3:J9" si="1">F3/$F$9</f>
        <v>#DIV/0!</v>
      </c>
    </row>
    <row r="4" spans="2:10" x14ac:dyDescent="0.2">
      <c r="B4" s="9" t="str">
        <f>Général!$L$2</f>
        <v>Poste 2</v>
      </c>
      <c r="C4" s="7">
        <f>Général!L1</f>
        <v>0</v>
      </c>
      <c r="D4" s="7">
        <f>COUNT(Devis[Poste 2])</f>
        <v>0</v>
      </c>
      <c r="E4" s="7">
        <f>SUM(Devis[Poste 2])</f>
        <v>0</v>
      </c>
      <c r="F4" s="12">
        <f>SUM(Devis[Prix Poste 2])</f>
        <v>0</v>
      </c>
      <c r="G4" s="7">
        <f>GETPIVOTDATA("Somme de "&amp;B4,'TCD Heure'!$A$3,"Gamme","Main d'Œuvre","Famille","Heures")</f>
        <v>0</v>
      </c>
      <c r="H4" s="26">
        <f>GETPIVOTDATA("Somme de Prix "&amp;B4,'TCD MO'!$A$3)</f>
        <v>0</v>
      </c>
      <c r="I4" s="30" t="e">
        <f t="shared" si="0"/>
        <v>#DIV/0!</v>
      </c>
      <c r="J4" s="8" t="e">
        <f t="shared" si="1"/>
        <v>#DIV/0!</v>
      </c>
    </row>
    <row r="5" spans="2:10" x14ac:dyDescent="0.2">
      <c r="B5" s="9" t="str">
        <f>Général!$M$2</f>
        <v>Poste 3</v>
      </c>
      <c r="C5" s="7">
        <f>Général!M1</f>
        <v>0</v>
      </c>
      <c r="D5" s="7">
        <f>COUNT(Devis[Poste 3])</f>
        <v>0</v>
      </c>
      <c r="E5" s="7">
        <f>SUM(Devis[Poste 3])</f>
        <v>0</v>
      </c>
      <c r="F5" s="12">
        <f>SUM(Devis[Prix Poste 3])</f>
        <v>0</v>
      </c>
      <c r="G5" s="7">
        <f>GETPIVOTDATA("Somme de "&amp;B5,'TCD Heure'!$A$3,"Gamme","Main d'Œuvre","Famille","Heures")</f>
        <v>0</v>
      </c>
      <c r="H5" s="26">
        <f>GETPIVOTDATA("Somme de Prix "&amp;B5,'TCD MO'!$A$3)</f>
        <v>0</v>
      </c>
      <c r="I5" s="30" t="e">
        <f t="shared" si="0"/>
        <v>#DIV/0!</v>
      </c>
      <c r="J5" s="8" t="e">
        <f t="shared" si="1"/>
        <v>#DIV/0!</v>
      </c>
    </row>
    <row r="6" spans="2:10" x14ac:dyDescent="0.2">
      <c r="B6" s="9" t="str">
        <f>Général!$N$2</f>
        <v>Poste 4</v>
      </c>
      <c r="C6" s="7">
        <f>Général!N1</f>
        <v>0</v>
      </c>
      <c r="D6" s="7">
        <f>COUNT(Devis[Poste 4])</f>
        <v>0</v>
      </c>
      <c r="E6" s="7">
        <f>SUM(Devis[Poste 4])</f>
        <v>0</v>
      </c>
      <c r="F6" s="12">
        <f>SUM(Devis[Prix Poste 4])</f>
        <v>0</v>
      </c>
      <c r="G6" s="7">
        <f>GETPIVOTDATA("Somme de "&amp;B6,'TCD Heure'!$A$3,"Gamme","Main d'Œuvre","Famille","Heures")</f>
        <v>0</v>
      </c>
      <c r="H6" s="26">
        <f>GETPIVOTDATA("Somme de Prix "&amp;B6,'TCD MO'!$A$3)</f>
        <v>0</v>
      </c>
      <c r="I6" s="30" t="e">
        <f t="shared" si="0"/>
        <v>#DIV/0!</v>
      </c>
      <c r="J6" s="8" t="e">
        <f t="shared" si="1"/>
        <v>#DIV/0!</v>
      </c>
    </row>
    <row r="7" spans="2:10" x14ac:dyDescent="0.2">
      <c r="B7" s="9" t="str">
        <f>Général!$O$2</f>
        <v>Poste 5</v>
      </c>
      <c r="C7" s="7">
        <f>Général!O1</f>
        <v>0</v>
      </c>
      <c r="D7" s="7">
        <f>COUNT(Devis[Poste 5])</f>
        <v>0</v>
      </c>
      <c r="E7" s="7">
        <f>SUM(Devis[Poste 5])</f>
        <v>0</v>
      </c>
      <c r="F7" s="12">
        <f>SUM(Devis[Prix Poste 5])</f>
        <v>0</v>
      </c>
      <c r="G7" s="7">
        <f>GETPIVOTDATA("Somme de "&amp;B7,'TCD Heure'!$A$3,"Gamme","Main d'Œuvre","Famille","Heures")</f>
        <v>0</v>
      </c>
      <c r="H7" s="26">
        <f>GETPIVOTDATA("Somme de Prix "&amp;B7,'TCD MO'!$A$3)</f>
        <v>0</v>
      </c>
      <c r="I7" s="30" t="e">
        <f t="shared" si="0"/>
        <v>#DIV/0!</v>
      </c>
      <c r="J7" s="8" t="e">
        <f t="shared" si="1"/>
        <v>#DIV/0!</v>
      </c>
    </row>
    <row r="8" spans="2:10" ht="13.5" thickBot="1" x14ac:dyDescent="0.25">
      <c r="B8" s="16" t="str">
        <f>Général!$P$2</f>
        <v>Poste 6</v>
      </c>
      <c r="C8" s="17">
        <f>Général!P1</f>
        <v>0</v>
      </c>
      <c r="D8" s="17">
        <f>COUNT(Devis[Poste 6])</f>
        <v>0</v>
      </c>
      <c r="E8" s="17">
        <f>SUM(Devis[Poste 6])</f>
        <v>0</v>
      </c>
      <c r="F8" s="12">
        <f>SUM(Devis[Prix Poste 6])</f>
        <v>0</v>
      </c>
      <c r="G8" s="17">
        <f>GETPIVOTDATA("Somme de "&amp;B8,'TCD Heure'!$A$3,"Gamme","Main d'Œuvre","Famille","Heures")</f>
        <v>0</v>
      </c>
      <c r="H8" s="27">
        <f>GETPIVOTDATA("Somme de Prix "&amp;B8,'TCD MO'!$A$3)</f>
        <v>0</v>
      </c>
      <c r="I8" s="31" t="e">
        <f t="shared" si="0"/>
        <v>#DIV/0!</v>
      </c>
      <c r="J8" s="18" t="e">
        <f t="shared" si="1"/>
        <v>#DIV/0!</v>
      </c>
    </row>
    <row r="9" spans="2:10" ht="13.5" thickBot="1" x14ac:dyDescent="0.25">
      <c r="B9" s="19" t="str">
        <f>Général!$Q$2</f>
        <v>Quantité Totale</v>
      </c>
      <c r="C9" s="14"/>
      <c r="D9" s="14">
        <f>COUNTIF(Devis[Quantité Totale],"&lt;&gt;0")</f>
        <v>0</v>
      </c>
      <c r="E9" s="14">
        <f>SUM(Devis[Quantité Totale])</f>
        <v>0</v>
      </c>
      <c r="F9" s="20">
        <f>SUM(F3:F8)</f>
        <v>0</v>
      </c>
      <c r="G9" s="14">
        <f>SUM(G3:G8)</f>
        <v>0</v>
      </c>
      <c r="H9" s="28">
        <f>SUM(H3:H8)</f>
        <v>0</v>
      </c>
      <c r="I9" s="32" t="e">
        <f t="shared" si="0"/>
        <v>#DIV/0!</v>
      </c>
      <c r="J9" s="21" t="e">
        <f t="shared" si="1"/>
        <v>#DIV/0!</v>
      </c>
    </row>
    <row r="11" spans="2:10" x14ac:dyDescent="0.2">
      <c r="E11" s="1" t="s">
        <v>3422</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7CC44-143B-4FA8-BA12-4ED9A4A05541}">
  <sheetPr codeName="Feuil4"/>
  <dimension ref="A3:H6"/>
  <sheetViews>
    <sheetView workbookViewId="0">
      <selection activeCell="D3" sqref="D3"/>
    </sheetView>
  </sheetViews>
  <sheetFormatPr baseColWidth="10" defaultRowHeight="12.75" x14ac:dyDescent="0.2"/>
  <cols>
    <col min="1" max="1" width="52.5703125" bestFit="1" customWidth="1"/>
    <col min="2" max="2" width="10.140625" bestFit="1" customWidth="1"/>
    <col min="3" max="8" width="18.140625" bestFit="1" customWidth="1"/>
    <col min="9" max="10" width="23.5703125" bestFit="1" customWidth="1"/>
    <col min="11" max="11" width="23.42578125" bestFit="1" customWidth="1"/>
    <col min="12" max="12" width="23.5703125" bestFit="1" customWidth="1"/>
  </cols>
  <sheetData>
    <row r="3" spans="1:8" x14ac:dyDescent="0.2">
      <c r="A3" s="22" t="s">
        <v>1</v>
      </c>
      <c r="B3" s="22" t="s">
        <v>2</v>
      </c>
      <c r="C3" t="s">
        <v>3400</v>
      </c>
      <c r="D3" t="s">
        <v>3402</v>
      </c>
      <c r="E3" t="s">
        <v>3401</v>
      </c>
      <c r="F3" t="s">
        <v>3403</v>
      </c>
      <c r="G3" t="s">
        <v>3404</v>
      </c>
      <c r="H3" t="s">
        <v>3405</v>
      </c>
    </row>
    <row r="4" spans="1:8" x14ac:dyDescent="0.2">
      <c r="A4" t="s">
        <v>2524</v>
      </c>
      <c r="B4" t="s">
        <v>2525</v>
      </c>
      <c r="C4" s="24"/>
      <c r="D4" s="24"/>
      <c r="E4" s="24"/>
      <c r="F4" s="24"/>
      <c r="G4" s="24"/>
      <c r="H4" s="24"/>
    </row>
    <row r="5" spans="1:8" x14ac:dyDescent="0.2">
      <c r="B5" t="s">
        <v>3406</v>
      </c>
      <c r="C5" s="24"/>
      <c r="D5" s="24"/>
      <c r="E5" s="24"/>
      <c r="F5" s="24"/>
      <c r="G5" s="24"/>
      <c r="H5" s="24"/>
    </row>
    <row r="6" spans="1:8" x14ac:dyDescent="0.2">
      <c r="B6" t="s">
        <v>3391</v>
      </c>
      <c r="C6" s="24"/>
      <c r="D6" s="24"/>
      <c r="E6" s="24"/>
      <c r="F6" s="24"/>
      <c r="G6" s="24"/>
      <c r="H6" s="2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C61D3-B893-4CB2-90E3-E1CC6331B5CC}">
  <sheetPr codeName="Feuil6"/>
  <dimension ref="A3:G8"/>
  <sheetViews>
    <sheetView workbookViewId="0">
      <selection activeCell="B6" sqref="B6:H6"/>
    </sheetView>
  </sheetViews>
  <sheetFormatPr baseColWidth="10" defaultRowHeight="12.75" x14ac:dyDescent="0.2"/>
  <cols>
    <col min="1" max="1" width="21.140625" bestFit="1" customWidth="1"/>
    <col min="2" max="7" width="22.5703125" bestFit="1" customWidth="1"/>
  </cols>
  <sheetData>
    <row r="3" spans="1:7" x14ac:dyDescent="0.2">
      <c r="A3" s="22" t="s">
        <v>3395</v>
      </c>
      <c r="B3" t="s">
        <v>3416</v>
      </c>
      <c r="C3" t="s">
        <v>3417</v>
      </c>
      <c r="D3" t="s">
        <v>3418</v>
      </c>
      <c r="E3" t="s">
        <v>3419</v>
      </c>
      <c r="F3" t="s">
        <v>3420</v>
      </c>
      <c r="G3" t="s">
        <v>3421</v>
      </c>
    </row>
    <row r="4" spans="1:7" x14ac:dyDescent="0.2">
      <c r="A4" s="4" t="s">
        <v>2524</v>
      </c>
      <c r="B4" s="24">
        <v>0</v>
      </c>
      <c r="C4" s="24">
        <v>0</v>
      </c>
      <c r="D4" s="24">
        <v>0</v>
      </c>
      <c r="E4" s="24">
        <v>0</v>
      </c>
      <c r="F4" s="24">
        <v>0</v>
      </c>
      <c r="G4" s="24">
        <v>0</v>
      </c>
    </row>
    <row r="5" spans="1:7" x14ac:dyDescent="0.2">
      <c r="A5" s="23" t="s">
        <v>3406</v>
      </c>
      <c r="B5" s="24">
        <v>0</v>
      </c>
      <c r="C5" s="24">
        <v>0</v>
      </c>
      <c r="D5" s="24">
        <v>0</v>
      </c>
      <c r="E5" s="24">
        <v>0</v>
      </c>
      <c r="F5" s="24">
        <v>0</v>
      </c>
      <c r="G5" s="24">
        <v>0</v>
      </c>
    </row>
    <row r="6" spans="1:7" x14ac:dyDescent="0.2">
      <c r="A6" s="23" t="s">
        <v>3391</v>
      </c>
      <c r="B6" s="24">
        <v>0</v>
      </c>
      <c r="C6" s="24">
        <v>0</v>
      </c>
      <c r="D6" s="24">
        <v>0</v>
      </c>
      <c r="E6" s="24">
        <v>0</v>
      </c>
      <c r="F6" s="24">
        <v>0</v>
      </c>
      <c r="G6" s="24">
        <v>0</v>
      </c>
    </row>
    <row r="7" spans="1:7" x14ac:dyDescent="0.2">
      <c r="A7" s="23" t="s">
        <v>2525</v>
      </c>
      <c r="B7" s="24">
        <v>0</v>
      </c>
      <c r="C7" s="24">
        <v>0</v>
      </c>
      <c r="D7" s="24">
        <v>0</v>
      </c>
      <c r="E7" s="24">
        <v>0</v>
      </c>
      <c r="F7" s="24">
        <v>0</v>
      </c>
      <c r="G7" s="24">
        <v>0</v>
      </c>
    </row>
    <row r="8" spans="1:7" x14ac:dyDescent="0.2">
      <c r="A8" s="4" t="s">
        <v>3396</v>
      </c>
      <c r="B8" s="24">
        <v>0</v>
      </c>
      <c r="C8" s="24">
        <v>0</v>
      </c>
      <c r="D8" s="24">
        <v>0</v>
      </c>
      <c r="E8" s="24">
        <v>0</v>
      </c>
      <c r="F8" s="24">
        <v>0</v>
      </c>
      <c r="G8" s="2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outlinePr summaryBelow="0"/>
    <pageSetUpPr fitToPage="1"/>
  </sheetPr>
  <dimension ref="A1:AB3667"/>
  <sheetViews>
    <sheetView tabSelected="1" topLeftCell="E1" zoomScale="85" zoomScaleNormal="85" workbookViewId="0">
      <selection activeCell="J10" sqref="J10"/>
    </sheetView>
  </sheetViews>
  <sheetFormatPr baseColWidth="10" defaultColWidth="11.42578125" defaultRowHeight="12.75" outlineLevelRow="1" outlineLevelCol="1" x14ac:dyDescent="0.2"/>
  <cols>
    <col min="1" max="1" width="16.28515625" customWidth="1"/>
    <col min="2" max="2" width="24.140625" customWidth="1"/>
    <col min="3" max="3" width="30.7109375" customWidth="1"/>
    <col min="4" max="4" width="30" hidden="1" customWidth="1"/>
    <col min="5" max="5" width="83.42578125" style="38" customWidth="1"/>
    <col min="6" max="6" width="3.85546875" style="38" customWidth="1"/>
    <col min="7" max="7" width="24.5703125" customWidth="1"/>
    <col min="8" max="8" width="14.28515625" style="37" customWidth="1"/>
    <col min="9" max="9" width="31.140625" customWidth="1"/>
    <col min="10" max="10" width="20" style="3" customWidth="1"/>
    <col min="11" max="16" width="10.85546875" style="39" customWidth="1" outlineLevel="1"/>
    <col min="17" max="17" width="12.42578125" style="39" customWidth="1"/>
    <col min="18" max="18" width="6.7109375" style="34" customWidth="1"/>
    <col min="19" max="19" width="13.7109375" style="34" customWidth="1"/>
    <col min="20" max="20" width="15.5703125" customWidth="1"/>
    <col min="21" max="21" width="30" customWidth="1"/>
    <col min="22" max="28" width="10.42578125" style="40" customWidth="1"/>
  </cols>
  <sheetData>
    <row r="1" spans="1:28" ht="43.5" customHeight="1" x14ac:dyDescent="0.25">
      <c r="I1" s="36" t="s">
        <v>3409</v>
      </c>
      <c r="J1" s="1"/>
      <c r="K1" s="129"/>
      <c r="L1" s="129"/>
      <c r="M1" s="129"/>
      <c r="N1" s="34"/>
      <c r="O1" s="34"/>
      <c r="T1" s="64">
        <f>SUMPRODUCT(Général!$Q$3:$Q$3667,Général!$T$3:$T$3667)</f>
        <v>0</v>
      </c>
    </row>
    <row r="2" spans="1:28" s="2" customFormat="1" ht="57.75" customHeight="1" x14ac:dyDescent="0.2">
      <c r="A2" s="35" t="s">
        <v>1</v>
      </c>
      <c r="B2" s="59" t="s">
        <v>2</v>
      </c>
      <c r="C2" s="59" t="s">
        <v>3555</v>
      </c>
      <c r="D2" s="59" t="s">
        <v>4084</v>
      </c>
      <c r="E2" s="59" t="s">
        <v>3</v>
      </c>
      <c r="F2" s="59" t="s">
        <v>4082</v>
      </c>
      <c r="G2" s="60" t="s">
        <v>4</v>
      </c>
      <c r="H2" s="63" t="s">
        <v>5940</v>
      </c>
      <c r="I2" s="61" t="s">
        <v>6</v>
      </c>
      <c r="J2" s="62" t="s">
        <v>7</v>
      </c>
      <c r="K2" s="63" t="s">
        <v>3397</v>
      </c>
      <c r="L2" s="63" t="s">
        <v>3398</v>
      </c>
      <c r="M2" s="63" t="s">
        <v>3399</v>
      </c>
      <c r="N2" s="63" t="s">
        <v>8</v>
      </c>
      <c r="O2" s="63" t="s">
        <v>9</v>
      </c>
      <c r="P2" s="63" t="s">
        <v>3287</v>
      </c>
      <c r="Q2" s="63" t="s">
        <v>10</v>
      </c>
      <c r="R2" s="63" t="s">
        <v>11</v>
      </c>
      <c r="S2" s="63" t="s">
        <v>12</v>
      </c>
      <c r="T2" s="59" t="s">
        <v>13</v>
      </c>
      <c r="U2" s="59" t="s">
        <v>14</v>
      </c>
      <c r="V2" s="49" t="s">
        <v>3410</v>
      </c>
      <c r="W2" s="49" t="s">
        <v>3411</v>
      </c>
      <c r="X2" s="49" t="s">
        <v>3412</v>
      </c>
      <c r="Y2" s="49" t="s">
        <v>3413</v>
      </c>
      <c r="Z2" s="49" t="s">
        <v>3414</v>
      </c>
      <c r="AA2" s="49" t="s">
        <v>3415</v>
      </c>
      <c r="AB2" s="49" t="s">
        <v>3408</v>
      </c>
    </row>
    <row r="3" spans="1:28" ht="15" customHeight="1" x14ac:dyDescent="0.25">
      <c r="A3" s="65" t="s">
        <v>31</v>
      </c>
      <c r="B3" s="66" t="s">
        <v>4080</v>
      </c>
      <c r="C3" s="65"/>
      <c r="D3" s="67" t="str">
        <f>Général!$A3480&amp;Général!$B3480&amp;Général!$C3480</f>
        <v>TransairTé EgalEgal</v>
      </c>
      <c r="E3" s="67"/>
      <c r="F3" s="67">
        <v>0</v>
      </c>
      <c r="G3" s="68"/>
      <c r="H3" s="68"/>
      <c r="I3" s="69"/>
      <c r="J3" s="70">
        <f>IFERROR(VLOOKUP(Devis[[#This Row],[Ref Air Flux]],#REF!,3,FALSE),0)</f>
        <v>0</v>
      </c>
      <c r="K3" s="68"/>
      <c r="L3" s="68"/>
      <c r="M3" s="68"/>
      <c r="N3" s="68"/>
      <c r="O3" s="68"/>
      <c r="P3" s="68"/>
      <c r="Q3" s="68">
        <f>SUM(Devis[[#This Row],[Poste 1]:[Poste 6]])</f>
        <v>0</v>
      </c>
      <c r="R3" s="71"/>
      <c r="S3" s="68">
        <f>_xlfn.CEILING.MATH(Devis[[#This Row],[Quantité Totale]],Devis[[#This Row],[Conditionnement]])</f>
        <v>0</v>
      </c>
      <c r="T3" s="72"/>
      <c r="U3" s="73"/>
      <c r="V3" s="74">
        <f>Devis[[#This Row],[Prix de Revient]]*Devis[[#This Row],[Poste 1]]</f>
        <v>0</v>
      </c>
      <c r="W3" s="74">
        <f>Devis[[#This Row],[Prix de Revient]]*Devis[[#This Row],[Poste 2]]</f>
        <v>0</v>
      </c>
      <c r="X3" s="74">
        <f>Devis[[#This Row],[Prix de Revient]]*Devis[[#This Row],[Poste 3]]</f>
        <v>0</v>
      </c>
      <c r="Y3" s="74">
        <f>Devis[[#This Row],[Poste 4]]*Devis[[#This Row],[Prix de Revient]]</f>
        <v>0</v>
      </c>
      <c r="Z3" s="74">
        <f>Devis[[#This Row],[Poste 5]]*Devis[[#This Row],[Prix de Revient]]</f>
        <v>0</v>
      </c>
      <c r="AA3" s="74">
        <f>Devis[[#This Row],[Prix de Revient]]*Devis[[#This Row],[Poste 6]]</f>
        <v>0</v>
      </c>
      <c r="AB3" s="74">
        <f>Devis[[#This Row],[Quantité Totale]]*Devis[[#This Row],[Prix de Revient]]</f>
        <v>0</v>
      </c>
    </row>
    <row r="4" spans="1:28" ht="14.25" outlineLevel="1" x14ac:dyDescent="0.2">
      <c r="A4" s="75" t="s">
        <v>31</v>
      </c>
      <c r="B4" s="67" t="s">
        <v>4080</v>
      </c>
      <c r="C4" s="67" t="s">
        <v>4080</v>
      </c>
      <c r="D4" s="67" t="str">
        <f>Général!$A3481&amp;Général!$B3481&amp;Général!$C3481</f>
        <v>TransairTé EgalEgal</v>
      </c>
      <c r="E4" s="76" t="s">
        <v>5774</v>
      </c>
      <c r="F4" s="76">
        <v>1</v>
      </c>
      <c r="G4" s="71" t="s">
        <v>5541</v>
      </c>
      <c r="H4" s="71"/>
      <c r="I4" s="71"/>
      <c r="J4" s="70">
        <f>IFERROR(VLOOKUP(Devis[[#This Row],[Ref Air Flux]],#REF!,3,FALSE),0)</f>
        <v>0</v>
      </c>
      <c r="K4" s="68"/>
      <c r="L4" s="68"/>
      <c r="M4" s="68"/>
      <c r="N4" s="68"/>
      <c r="O4" s="68"/>
      <c r="P4" s="68"/>
      <c r="Q4" s="68">
        <f>SUM(Devis[[#This Row],[Poste 1]:[Poste 6]])</f>
        <v>0</v>
      </c>
      <c r="R4" s="71"/>
      <c r="S4" s="68">
        <f>_xlfn.CEILING.MATH(Devis[[#This Row],[Quantité Totale]],Devis[[#This Row],[Conditionnement]])</f>
        <v>0</v>
      </c>
      <c r="T4" s="72"/>
      <c r="U4" s="73"/>
      <c r="V4" s="74">
        <f>Devis[[#This Row],[Prix de Revient]]*Devis[[#This Row],[Poste 1]]</f>
        <v>0</v>
      </c>
      <c r="W4" s="74">
        <f>Devis[[#This Row],[Prix de Revient]]*Devis[[#This Row],[Poste 2]]</f>
        <v>0</v>
      </c>
      <c r="X4" s="74">
        <f>Devis[[#This Row],[Prix de Revient]]*Devis[[#This Row],[Poste 3]]</f>
        <v>0</v>
      </c>
      <c r="Y4" s="74">
        <f>Devis[[#This Row],[Poste 4]]*Devis[[#This Row],[Prix de Revient]]</f>
        <v>0</v>
      </c>
      <c r="Z4" s="74">
        <f>Devis[[#This Row],[Poste 5]]*Devis[[#This Row],[Prix de Revient]]</f>
        <v>0</v>
      </c>
      <c r="AA4" s="74">
        <f>Devis[[#This Row],[Prix de Revient]]*Devis[[#This Row],[Poste 6]]</f>
        <v>0</v>
      </c>
      <c r="AB4" s="74">
        <f>Devis[[#This Row],[Quantité Totale]]*Devis[[#This Row],[Prix de Revient]]</f>
        <v>0</v>
      </c>
    </row>
    <row r="5" spans="1:28" ht="14.25" outlineLevel="1" x14ac:dyDescent="0.2">
      <c r="A5" s="75" t="s">
        <v>31</v>
      </c>
      <c r="B5" s="67" t="s">
        <v>4080</v>
      </c>
      <c r="C5" s="67" t="s">
        <v>4080</v>
      </c>
      <c r="D5" s="67" t="str">
        <f>Général!$A3482&amp;Général!$B3482&amp;Général!$C3482</f>
        <v>TransairTé EgalEgal</v>
      </c>
      <c r="E5" s="76" t="s">
        <v>5775</v>
      </c>
      <c r="F5" s="76">
        <v>2</v>
      </c>
      <c r="G5" s="71" t="s">
        <v>5542</v>
      </c>
      <c r="H5" s="71"/>
      <c r="I5" s="71"/>
      <c r="J5" s="70">
        <f>IFERROR(VLOOKUP(Devis[[#This Row],[Ref Air Flux]],#REF!,3,FALSE),0)</f>
        <v>0</v>
      </c>
      <c r="K5" s="68"/>
      <c r="L5" s="68"/>
      <c r="M5" s="68"/>
      <c r="N5" s="68"/>
      <c r="O5" s="68"/>
      <c r="P5" s="68"/>
      <c r="Q5" s="68">
        <f>SUM(Devis[[#This Row],[Poste 1]:[Poste 6]])</f>
        <v>0</v>
      </c>
      <c r="R5" s="71"/>
      <c r="S5" s="68">
        <f>_xlfn.CEILING.MATH(Devis[[#This Row],[Quantité Totale]],Devis[[#This Row],[Conditionnement]])</f>
        <v>0</v>
      </c>
      <c r="T5" s="72"/>
      <c r="U5" s="73"/>
      <c r="V5" s="74">
        <f>Devis[[#This Row],[Prix de Revient]]*Devis[[#This Row],[Poste 1]]</f>
        <v>0</v>
      </c>
      <c r="W5" s="74">
        <f>Devis[[#This Row],[Prix de Revient]]*Devis[[#This Row],[Poste 2]]</f>
        <v>0</v>
      </c>
      <c r="X5" s="74">
        <f>Devis[[#This Row],[Prix de Revient]]*Devis[[#This Row],[Poste 3]]</f>
        <v>0</v>
      </c>
      <c r="Y5" s="74">
        <f>Devis[[#This Row],[Poste 4]]*Devis[[#This Row],[Prix de Revient]]</f>
        <v>0</v>
      </c>
      <c r="Z5" s="74">
        <f>Devis[[#This Row],[Poste 5]]*Devis[[#This Row],[Prix de Revient]]</f>
        <v>0</v>
      </c>
      <c r="AA5" s="74">
        <f>Devis[[#This Row],[Prix de Revient]]*Devis[[#This Row],[Poste 6]]</f>
        <v>0</v>
      </c>
      <c r="AB5" s="74">
        <f>Devis[[#This Row],[Quantité Totale]]*Devis[[#This Row],[Prix de Revient]]</f>
        <v>0</v>
      </c>
    </row>
    <row r="6" spans="1:28" ht="14.25" outlineLevel="1" x14ac:dyDescent="0.2">
      <c r="A6" s="75" t="s">
        <v>31</v>
      </c>
      <c r="B6" s="67" t="s">
        <v>4080</v>
      </c>
      <c r="C6" s="67" t="s">
        <v>4080</v>
      </c>
      <c r="D6" s="67" t="str">
        <f>Général!$A3483&amp;Général!$B3483&amp;Général!$C3483</f>
        <v>TransairTé Réduit</v>
      </c>
      <c r="E6" s="76" t="s">
        <v>5776</v>
      </c>
      <c r="F6" s="76">
        <v>3</v>
      </c>
      <c r="G6" s="71" t="s">
        <v>5543</v>
      </c>
      <c r="H6" s="71"/>
      <c r="I6" s="71"/>
      <c r="J6" s="70">
        <f>IFERROR(VLOOKUP(Devis[[#This Row],[Ref Air Flux]],#REF!,3,FALSE),0)</f>
        <v>0</v>
      </c>
      <c r="K6" s="68"/>
      <c r="L6" s="68"/>
      <c r="M6" s="68"/>
      <c r="N6" s="68"/>
      <c r="O6" s="68"/>
      <c r="P6" s="68"/>
      <c r="Q6" s="68">
        <f>SUM(Devis[[#This Row],[Poste 1]:[Poste 6]])</f>
        <v>0</v>
      </c>
      <c r="R6" s="71"/>
      <c r="S6" s="68">
        <f>_xlfn.CEILING.MATH(Devis[[#This Row],[Quantité Totale]],Devis[[#This Row],[Conditionnement]])</f>
        <v>0</v>
      </c>
      <c r="T6" s="72"/>
      <c r="U6" s="73"/>
      <c r="V6" s="74">
        <f>Devis[[#This Row],[Prix de Revient]]*Devis[[#This Row],[Poste 1]]</f>
        <v>0</v>
      </c>
      <c r="W6" s="74">
        <f>Devis[[#This Row],[Prix de Revient]]*Devis[[#This Row],[Poste 2]]</f>
        <v>0</v>
      </c>
      <c r="X6" s="74">
        <f>Devis[[#This Row],[Prix de Revient]]*Devis[[#This Row],[Poste 3]]</f>
        <v>0</v>
      </c>
      <c r="Y6" s="74">
        <f>Devis[[#This Row],[Poste 4]]*Devis[[#This Row],[Prix de Revient]]</f>
        <v>0</v>
      </c>
      <c r="Z6" s="74">
        <f>Devis[[#This Row],[Poste 5]]*Devis[[#This Row],[Prix de Revient]]</f>
        <v>0</v>
      </c>
      <c r="AA6" s="74">
        <f>Devis[[#This Row],[Prix de Revient]]*Devis[[#This Row],[Poste 6]]</f>
        <v>0</v>
      </c>
      <c r="AB6" s="74">
        <f>Devis[[#This Row],[Quantité Totale]]*Devis[[#This Row],[Prix de Revient]]</f>
        <v>0</v>
      </c>
    </row>
    <row r="7" spans="1:28" ht="14.25" outlineLevel="1" x14ac:dyDescent="0.2">
      <c r="A7" s="75" t="s">
        <v>31</v>
      </c>
      <c r="B7" s="67" t="s">
        <v>4080</v>
      </c>
      <c r="C7" s="67" t="s">
        <v>4080</v>
      </c>
      <c r="D7" s="67" t="str">
        <f>Général!$A3484&amp;Général!$B3484&amp;Général!$C3484</f>
        <v>TransairTé RéduitRéduit</v>
      </c>
      <c r="E7" s="76" t="s">
        <v>5777</v>
      </c>
      <c r="F7" s="76">
        <v>4</v>
      </c>
      <c r="G7" s="71" t="s">
        <v>5544</v>
      </c>
      <c r="H7" s="71"/>
      <c r="I7" s="71"/>
      <c r="J7" s="70">
        <f>IFERROR(VLOOKUP(Devis[[#This Row],[Ref Air Flux]],#REF!,3,FALSE),0)</f>
        <v>0</v>
      </c>
      <c r="K7" s="68"/>
      <c r="L7" s="68"/>
      <c r="M7" s="68"/>
      <c r="N7" s="68"/>
      <c r="O7" s="68"/>
      <c r="P7" s="68"/>
      <c r="Q7" s="68">
        <f>SUM(Devis[[#This Row],[Poste 1]:[Poste 6]])</f>
        <v>0</v>
      </c>
      <c r="R7" s="71"/>
      <c r="S7" s="68">
        <f>_xlfn.CEILING.MATH(Devis[[#This Row],[Quantité Totale]],Devis[[#This Row],[Conditionnement]])</f>
        <v>0</v>
      </c>
      <c r="T7" s="72"/>
      <c r="U7" s="73"/>
      <c r="V7" s="74">
        <f>Devis[[#This Row],[Prix de Revient]]*Devis[[#This Row],[Poste 1]]</f>
        <v>0</v>
      </c>
      <c r="W7" s="74">
        <f>Devis[[#This Row],[Prix de Revient]]*Devis[[#This Row],[Poste 2]]</f>
        <v>0</v>
      </c>
      <c r="X7" s="74">
        <f>Devis[[#This Row],[Prix de Revient]]*Devis[[#This Row],[Poste 3]]</f>
        <v>0</v>
      </c>
      <c r="Y7" s="74">
        <f>Devis[[#This Row],[Poste 4]]*Devis[[#This Row],[Prix de Revient]]</f>
        <v>0</v>
      </c>
      <c r="Z7" s="74">
        <f>Devis[[#This Row],[Poste 5]]*Devis[[#This Row],[Prix de Revient]]</f>
        <v>0</v>
      </c>
      <c r="AA7" s="74">
        <f>Devis[[#This Row],[Prix de Revient]]*Devis[[#This Row],[Poste 6]]</f>
        <v>0</v>
      </c>
      <c r="AB7" s="74">
        <f>Devis[[#This Row],[Quantité Totale]]*Devis[[#This Row],[Prix de Revient]]</f>
        <v>0</v>
      </c>
    </row>
    <row r="8" spans="1:28" ht="14.25" outlineLevel="1" x14ac:dyDescent="0.2">
      <c r="A8" s="75" t="s">
        <v>31</v>
      </c>
      <c r="B8" s="67" t="s">
        <v>4080</v>
      </c>
      <c r="C8" s="67" t="s">
        <v>4080</v>
      </c>
      <c r="D8" s="67" t="str">
        <f>Général!$A3485&amp;Général!$B3485&amp;Général!$C3485</f>
        <v>TransairTé RéduitRéduit</v>
      </c>
      <c r="E8" s="76" t="s">
        <v>5778</v>
      </c>
      <c r="F8" s="76">
        <v>5</v>
      </c>
      <c r="G8" s="71" t="s">
        <v>5545</v>
      </c>
      <c r="H8" s="71"/>
      <c r="I8" s="71"/>
      <c r="J8" s="70">
        <f>IFERROR(VLOOKUP(Devis[[#This Row],[Ref Air Flux]],#REF!,3,FALSE),0)</f>
        <v>0</v>
      </c>
      <c r="K8" s="68"/>
      <c r="L8" s="68"/>
      <c r="M8" s="68"/>
      <c r="N8" s="68"/>
      <c r="O8" s="68"/>
      <c r="P8" s="68"/>
      <c r="Q8" s="68">
        <f>SUM(Devis[[#This Row],[Poste 1]:[Poste 6]])</f>
        <v>0</v>
      </c>
      <c r="R8" s="71"/>
      <c r="S8" s="68">
        <f>_xlfn.CEILING.MATH(Devis[[#This Row],[Quantité Totale]],Devis[[#This Row],[Conditionnement]])</f>
        <v>0</v>
      </c>
      <c r="T8" s="72"/>
      <c r="U8" s="73"/>
      <c r="V8" s="74">
        <f>Devis[[#This Row],[Prix de Revient]]*Devis[[#This Row],[Poste 1]]</f>
        <v>0</v>
      </c>
      <c r="W8" s="74">
        <f>Devis[[#This Row],[Prix de Revient]]*Devis[[#This Row],[Poste 2]]</f>
        <v>0</v>
      </c>
      <c r="X8" s="74">
        <f>Devis[[#This Row],[Prix de Revient]]*Devis[[#This Row],[Poste 3]]</f>
        <v>0</v>
      </c>
      <c r="Y8" s="74">
        <f>Devis[[#This Row],[Poste 4]]*Devis[[#This Row],[Prix de Revient]]</f>
        <v>0</v>
      </c>
      <c r="Z8" s="74">
        <f>Devis[[#This Row],[Poste 5]]*Devis[[#This Row],[Prix de Revient]]</f>
        <v>0</v>
      </c>
      <c r="AA8" s="74">
        <f>Devis[[#This Row],[Prix de Revient]]*Devis[[#This Row],[Poste 6]]</f>
        <v>0</v>
      </c>
      <c r="AB8" s="74">
        <f>Devis[[#This Row],[Quantité Totale]]*Devis[[#This Row],[Prix de Revient]]</f>
        <v>0</v>
      </c>
    </row>
    <row r="9" spans="1:28" ht="14.25" outlineLevel="1" x14ac:dyDescent="0.2">
      <c r="A9" s="75" t="s">
        <v>31</v>
      </c>
      <c r="B9" s="67" t="s">
        <v>4080</v>
      </c>
      <c r="C9" s="67" t="s">
        <v>4080</v>
      </c>
      <c r="D9" s="67" t="str">
        <f>Général!$A3486&amp;Général!$B3486&amp;Général!$C3486</f>
        <v>TransairTé RéduitRéduit</v>
      </c>
      <c r="E9" s="76" t="s">
        <v>5779</v>
      </c>
      <c r="F9" s="76">
        <v>6</v>
      </c>
      <c r="G9" s="71" t="s">
        <v>5546</v>
      </c>
      <c r="H9" s="71"/>
      <c r="I9" s="71"/>
      <c r="J9" s="70">
        <f>IFERROR(VLOOKUP(Devis[[#This Row],[Ref Air Flux]],#REF!,3,FALSE),0)</f>
        <v>0</v>
      </c>
      <c r="K9" s="68"/>
      <c r="L9" s="68"/>
      <c r="M9" s="68"/>
      <c r="N9" s="68"/>
      <c r="O9" s="68"/>
      <c r="P9" s="68"/>
      <c r="Q9" s="68">
        <f>SUM(Devis[[#This Row],[Poste 1]:[Poste 6]])</f>
        <v>0</v>
      </c>
      <c r="R9" s="71"/>
      <c r="S9" s="68">
        <f>_xlfn.CEILING.MATH(Devis[[#This Row],[Quantité Totale]],Devis[[#This Row],[Conditionnement]])</f>
        <v>0</v>
      </c>
      <c r="T9" s="72"/>
      <c r="U9" s="73"/>
      <c r="V9" s="74">
        <f>Devis[[#This Row],[Prix de Revient]]*Devis[[#This Row],[Poste 1]]</f>
        <v>0</v>
      </c>
      <c r="W9" s="74">
        <f>Devis[[#This Row],[Prix de Revient]]*Devis[[#This Row],[Poste 2]]</f>
        <v>0</v>
      </c>
      <c r="X9" s="74">
        <f>Devis[[#This Row],[Prix de Revient]]*Devis[[#This Row],[Poste 3]]</f>
        <v>0</v>
      </c>
      <c r="Y9" s="74">
        <f>Devis[[#This Row],[Poste 4]]*Devis[[#This Row],[Prix de Revient]]</f>
        <v>0</v>
      </c>
      <c r="Z9" s="74">
        <f>Devis[[#This Row],[Poste 5]]*Devis[[#This Row],[Prix de Revient]]</f>
        <v>0</v>
      </c>
      <c r="AA9" s="74">
        <f>Devis[[#This Row],[Prix de Revient]]*Devis[[#This Row],[Poste 6]]</f>
        <v>0</v>
      </c>
      <c r="AB9" s="74">
        <f>Devis[[#This Row],[Quantité Totale]]*Devis[[#This Row],[Prix de Revient]]</f>
        <v>0</v>
      </c>
    </row>
    <row r="10" spans="1:28" ht="15" customHeight="1" outlineLevel="1" x14ac:dyDescent="0.2">
      <c r="A10" s="75" t="s">
        <v>31</v>
      </c>
      <c r="B10" s="67" t="s">
        <v>4080</v>
      </c>
      <c r="C10" s="67" t="s">
        <v>4080</v>
      </c>
      <c r="D10" s="67" t="str">
        <f>Général!$A3487&amp;Général!$B3487&amp;Général!$C3487</f>
        <v>TransairTé RéduitRéduit</v>
      </c>
      <c r="E10" s="76" t="s">
        <v>5780</v>
      </c>
      <c r="F10" s="76">
        <v>7</v>
      </c>
      <c r="G10" s="71" t="s">
        <v>5547</v>
      </c>
      <c r="H10" s="71"/>
      <c r="I10" s="71"/>
      <c r="J10" s="70">
        <f>IFERROR(VLOOKUP(Devis[[#This Row],[Ref Air Flux]],#REF!,3,FALSE),0)</f>
        <v>0</v>
      </c>
      <c r="K10" s="68"/>
      <c r="L10" s="68"/>
      <c r="M10" s="68"/>
      <c r="N10" s="68"/>
      <c r="O10" s="68"/>
      <c r="P10" s="68"/>
      <c r="Q10" s="68">
        <f>SUM(Devis[[#This Row],[Poste 1]:[Poste 6]])</f>
        <v>0</v>
      </c>
      <c r="R10" s="71"/>
      <c r="S10" s="68">
        <f>_xlfn.CEILING.MATH(Devis[[#This Row],[Quantité Totale]],Devis[[#This Row],[Conditionnement]])</f>
        <v>0</v>
      </c>
      <c r="T10" s="72"/>
      <c r="U10" s="73"/>
      <c r="V10" s="74">
        <f>Devis[[#This Row],[Prix de Revient]]*Devis[[#This Row],[Poste 1]]</f>
        <v>0</v>
      </c>
      <c r="W10" s="74">
        <f>Devis[[#This Row],[Prix de Revient]]*Devis[[#This Row],[Poste 2]]</f>
        <v>0</v>
      </c>
      <c r="X10" s="74">
        <f>Devis[[#This Row],[Prix de Revient]]*Devis[[#This Row],[Poste 3]]</f>
        <v>0</v>
      </c>
      <c r="Y10" s="74">
        <f>Devis[[#This Row],[Poste 4]]*Devis[[#This Row],[Prix de Revient]]</f>
        <v>0</v>
      </c>
      <c r="Z10" s="74">
        <f>Devis[[#This Row],[Poste 5]]*Devis[[#This Row],[Prix de Revient]]</f>
        <v>0</v>
      </c>
      <c r="AA10" s="74">
        <f>Devis[[#This Row],[Prix de Revient]]*Devis[[#This Row],[Poste 6]]</f>
        <v>0</v>
      </c>
      <c r="AB10" s="74">
        <f>Devis[[#This Row],[Quantité Totale]]*Devis[[#This Row],[Prix de Revient]]</f>
        <v>0</v>
      </c>
    </row>
    <row r="11" spans="1:28" ht="14.25" outlineLevel="1" x14ac:dyDescent="0.2">
      <c r="A11" s="75" t="s">
        <v>31</v>
      </c>
      <c r="B11" s="67" t="s">
        <v>4080</v>
      </c>
      <c r="C11" s="67" t="s">
        <v>4080</v>
      </c>
      <c r="D11" s="67" t="str">
        <f>Général!$A3488&amp;Général!$B3488&amp;Général!$C3488</f>
        <v>TransairTé RéduitRéduit</v>
      </c>
      <c r="E11" s="76" t="s">
        <v>5781</v>
      </c>
      <c r="F11" s="76">
        <v>8</v>
      </c>
      <c r="G11" s="71" t="s">
        <v>5514</v>
      </c>
      <c r="H11" s="71" t="s">
        <v>5782</v>
      </c>
      <c r="I11" s="71" t="s">
        <v>5783</v>
      </c>
      <c r="J11" s="70">
        <f>IFERROR(VLOOKUP(Devis[[#This Row],[Ref Air Flux]],#REF!,3,FALSE),0)</f>
        <v>0</v>
      </c>
      <c r="K11" s="68"/>
      <c r="L11" s="68"/>
      <c r="M11" s="68"/>
      <c r="N11" s="68"/>
      <c r="O11" s="68"/>
      <c r="P11" s="68"/>
      <c r="Q11" s="68">
        <f>SUM(Devis[[#This Row],[Poste 1]:[Poste 6]])</f>
        <v>0</v>
      </c>
      <c r="R11" s="71"/>
      <c r="S11" s="68">
        <f>_xlfn.CEILING.MATH(Devis[[#This Row],[Quantité Totale]],Devis[[#This Row],[Conditionnement]])</f>
        <v>0</v>
      </c>
      <c r="T11" s="72"/>
      <c r="U11" s="73"/>
      <c r="V11" s="74">
        <f>Devis[[#This Row],[Prix de Revient]]*Devis[[#This Row],[Poste 1]]</f>
        <v>0</v>
      </c>
      <c r="W11" s="74">
        <f>Devis[[#This Row],[Prix de Revient]]*Devis[[#This Row],[Poste 2]]</f>
        <v>0</v>
      </c>
      <c r="X11" s="74">
        <f>Devis[[#This Row],[Prix de Revient]]*Devis[[#This Row],[Poste 3]]</f>
        <v>0</v>
      </c>
      <c r="Y11" s="74">
        <f>Devis[[#This Row],[Poste 4]]*Devis[[#This Row],[Prix de Revient]]</f>
        <v>0</v>
      </c>
      <c r="Z11" s="74">
        <f>Devis[[#This Row],[Poste 5]]*Devis[[#This Row],[Prix de Revient]]</f>
        <v>0</v>
      </c>
      <c r="AA11" s="74">
        <f>Devis[[#This Row],[Prix de Revient]]*Devis[[#This Row],[Poste 6]]</f>
        <v>0</v>
      </c>
      <c r="AB11" s="74">
        <f>Devis[[#This Row],[Quantité Totale]]*Devis[[#This Row],[Prix de Revient]]</f>
        <v>0</v>
      </c>
    </row>
    <row r="12" spans="1:28" ht="14.25" outlineLevel="1" x14ac:dyDescent="0.2">
      <c r="A12" s="75" t="s">
        <v>31</v>
      </c>
      <c r="B12" s="67" t="s">
        <v>4080</v>
      </c>
      <c r="C12" s="67" t="s">
        <v>4080</v>
      </c>
      <c r="D12" s="67" t="str">
        <f>Général!$A3489&amp;Général!$B3489&amp;Général!$C3489</f>
        <v>TransairTé RéduitRéduit</v>
      </c>
      <c r="E12" s="76" t="s">
        <v>5784</v>
      </c>
      <c r="F12" s="76">
        <v>9</v>
      </c>
      <c r="G12" s="71" t="s">
        <v>5548</v>
      </c>
      <c r="H12" s="71"/>
      <c r="I12" s="71"/>
      <c r="J12" s="70">
        <f>IFERROR(VLOOKUP(Devis[[#This Row],[Ref Air Flux]],#REF!,3,FALSE),0)</f>
        <v>0</v>
      </c>
      <c r="K12" s="68"/>
      <c r="L12" s="68"/>
      <c r="M12" s="68"/>
      <c r="N12" s="68"/>
      <c r="O12" s="68"/>
      <c r="P12" s="68"/>
      <c r="Q12" s="68">
        <f>SUM(Devis[[#This Row],[Poste 1]:[Poste 6]])</f>
        <v>0</v>
      </c>
      <c r="R12" s="71"/>
      <c r="S12" s="68">
        <f>_xlfn.CEILING.MATH(Devis[[#This Row],[Quantité Totale]],Devis[[#This Row],[Conditionnement]])</f>
        <v>0</v>
      </c>
      <c r="T12" s="72"/>
      <c r="U12" s="73"/>
      <c r="V12" s="74">
        <f>Devis[[#This Row],[Prix de Revient]]*Devis[[#This Row],[Poste 1]]</f>
        <v>0</v>
      </c>
      <c r="W12" s="74">
        <f>Devis[[#This Row],[Prix de Revient]]*Devis[[#This Row],[Poste 2]]</f>
        <v>0</v>
      </c>
      <c r="X12" s="74">
        <f>Devis[[#This Row],[Prix de Revient]]*Devis[[#This Row],[Poste 3]]</f>
        <v>0</v>
      </c>
      <c r="Y12" s="74">
        <f>Devis[[#This Row],[Poste 4]]*Devis[[#This Row],[Prix de Revient]]</f>
        <v>0</v>
      </c>
      <c r="Z12" s="74">
        <f>Devis[[#This Row],[Poste 5]]*Devis[[#This Row],[Prix de Revient]]</f>
        <v>0</v>
      </c>
      <c r="AA12" s="74">
        <f>Devis[[#This Row],[Prix de Revient]]*Devis[[#This Row],[Poste 6]]</f>
        <v>0</v>
      </c>
      <c r="AB12" s="74">
        <f>Devis[[#This Row],[Quantité Totale]]*Devis[[#This Row],[Prix de Revient]]</f>
        <v>0</v>
      </c>
    </row>
    <row r="13" spans="1:28" ht="14.25" customHeight="1" outlineLevel="1" x14ac:dyDescent="0.2">
      <c r="A13" s="75" t="s">
        <v>31</v>
      </c>
      <c r="B13" s="67" t="s">
        <v>4080</v>
      </c>
      <c r="C13" s="67" t="s">
        <v>4080</v>
      </c>
      <c r="D13" s="67" t="str">
        <f>Général!$A3490&amp;Général!$B3490&amp;Général!$C3490</f>
        <v>TransairTé RéduitRéduit</v>
      </c>
      <c r="E13" s="76" t="s">
        <v>5785</v>
      </c>
      <c r="F13" s="76">
        <v>10</v>
      </c>
      <c r="G13" s="71" t="s">
        <v>5549</v>
      </c>
      <c r="H13" s="71"/>
      <c r="I13" s="71"/>
      <c r="J13" s="70">
        <f>IFERROR(VLOOKUP(Devis[[#This Row],[Ref Air Flux]],#REF!,3,FALSE),0)</f>
        <v>0</v>
      </c>
      <c r="K13" s="68"/>
      <c r="L13" s="68"/>
      <c r="M13" s="68"/>
      <c r="N13" s="68"/>
      <c r="O13" s="68"/>
      <c r="P13" s="68"/>
      <c r="Q13" s="68">
        <f>SUM(Devis[[#This Row],[Poste 1]:[Poste 6]])</f>
        <v>0</v>
      </c>
      <c r="R13" s="71"/>
      <c r="S13" s="68">
        <f>_xlfn.CEILING.MATH(Devis[[#This Row],[Quantité Totale]],Devis[[#This Row],[Conditionnement]])</f>
        <v>0</v>
      </c>
      <c r="T13" s="72"/>
      <c r="U13" s="73"/>
      <c r="V13" s="74">
        <f>Devis[[#This Row],[Prix de Revient]]*Devis[[#This Row],[Poste 1]]</f>
        <v>0</v>
      </c>
      <c r="W13" s="74">
        <f>Devis[[#This Row],[Prix de Revient]]*Devis[[#This Row],[Poste 2]]</f>
        <v>0</v>
      </c>
      <c r="X13" s="74">
        <f>Devis[[#This Row],[Prix de Revient]]*Devis[[#This Row],[Poste 3]]</f>
        <v>0</v>
      </c>
      <c r="Y13" s="74">
        <f>Devis[[#This Row],[Poste 4]]*Devis[[#This Row],[Prix de Revient]]</f>
        <v>0</v>
      </c>
      <c r="Z13" s="74">
        <f>Devis[[#This Row],[Poste 5]]*Devis[[#This Row],[Prix de Revient]]</f>
        <v>0</v>
      </c>
      <c r="AA13" s="74">
        <f>Devis[[#This Row],[Prix de Revient]]*Devis[[#This Row],[Poste 6]]</f>
        <v>0</v>
      </c>
      <c r="AB13" s="74">
        <f>Devis[[#This Row],[Quantité Totale]]*Devis[[#This Row],[Prix de Revient]]</f>
        <v>0</v>
      </c>
    </row>
    <row r="14" spans="1:28" ht="14.25" outlineLevel="1" x14ac:dyDescent="0.2">
      <c r="A14" s="75" t="s">
        <v>31</v>
      </c>
      <c r="B14" s="67" t="s">
        <v>4080</v>
      </c>
      <c r="C14" s="67" t="s">
        <v>4080</v>
      </c>
      <c r="D14" s="67" t="str">
        <f>Général!$A3491&amp;Général!$B3491&amp;Général!$C3491</f>
        <v>TransairTé RéduitMixte F</v>
      </c>
      <c r="E14" s="76" t="s">
        <v>5786</v>
      </c>
      <c r="F14" s="76">
        <v>11</v>
      </c>
      <c r="G14" s="71" t="s">
        <v>5550</v>
      </c>
      <c r="H14" s="71"/>
      <c r="I14" s="71"/>
      <c r="J14" s="70">
        <f>IFERROR(VLOOKUP(Devis[[#This Row],[Ref Air Flux]],#REF!,3,FALSE),0)</f>
        <v>0</v>
      </c>
      <c r="K14" s="68"/>
      <c r="L14" s="68"/>
      <c r="M14" s="68"/>
      <c r="N14" s="68"/>
      <c r="O14" s="68"/>
      <c r="P14" s="68"/>
      <c r="Q14" s="68">
        <f>SUM(Devis[[#This Row],[Poste 1]:[Poste 6]])</f>
        <v>0</v>
      </c>
      <c r="R14" s="71"/>
      <c r="S14" s="68">
        <f>_xlfn.CEILING.MATH(Devis[[#This Row],[Quantité Totale]],Devis[[#This Row],[Conditionnement]])</f>
        <v>0</v>
      </c>
      <c r="T14" s="72"/>
      <c r="U14" s="73"/>
      <c r="V14" s="74">
        <f>Devis[[#This Row],[Prix de Revient]]*Devis[[#This Row],[Poste 1]]</f>
        <v>0</v>
      </c>
      <c r="W14" s="74">
        <f>Devis[[#This Row],[Prix de Revient]]*Devis[[#This Row],[Poste 2]]</f>
        <v>0</v>
      </c>
      <c r="X14" s="74">
        <f>Devis[[#This Row],[Prix de Revient]]*Devis[[#This Row],[Poste 3]]</f>
        <v>0</v>
      </c>
      <c r="Y14" s="74">
        <f>Devis[[#This Row],[Poste 4]]*Devis[[#This Row],[Prix de Revient]]</f>
        <v>0</v>
      </c>
      <c r="Z14" s="74">
        <f>Devis[[#This Row],[Poste 5]]*Devis[[#This Row],[Prix de Revient]]</f>
        <v>0</v>
      </c>
      <c r="AA14" s="74">
        <f>Devis[[#This Row],[Prix de Revient]]*Devis[[#This Row],[Poste 6]]</f>
        <v>0</v>
      </c>
      <c r="AB14" s="74">
        <f>Devis[[#This Row],[Quantité Totale]]*Devis[[#This Row],[Prix de Revient]]</f>
        <v>0</v>
      </c>
    </row>
    <row r="15" spans="1:28" ht="14.25" outlineLevel="1" x14ac:dyDescent="0.2">
      <c r="A15" s="75" t="s">
        <v>31</v>
      </c>
      <c r="B15" s="67" t="s">
        <v>4080</v>
      </c>
      <c r="C15" s="67" t="s">
        <v>4080</v>
      </c>
      <c r="D15" s="67" t="str">
        <f>Général!$A3492&amp;Général!$B3492&amp;Général!$C3492</f>
        <v>TransairTube</v>
      </c>
      <c r="E15" s="76" t="s">
        <v>5787</v>
      </c>
      <c r="F15" s="76">
        <v>12</v>
      </c>
      <c r="G15" s="71" t="s">
        <v>5551</v>
      </c>
      <c r="H15" s="71"/>
      <c r="I15" s="71"/>
      <c r="J15" s="70">
        <f>IFERROR(VLOOKUP(Devis[[#This Row],[Ref Air Flux]],#REF!,3,FALSE),0)</f>
        <v>0</v>
      </c>
      <c r="K15" s="68"/>
      <c r="L15" s="68"/>
      <c r="M15" s="68"/>
      <c r="N15" s="68"/>
      <c r="O15" s="68"/>
      <c r="P15" s="68"/>
      <c r="Q15" s="68">
        <f>SUM(Devis[[#This Row],[Poste 1]:[Poste 6]])</f>
        <v>0</v>
      </c>
      <c r="R15" s="71"/>
      <c r="S15" s="68">
        <f>_xlfn.CEILING.MATH(Devis[[#This Row],[Quantité Totale]],Devis[[#This Row],[Conditionnement]])</f>
        <v>0</v>
      </c>
      <c r="T15" s="72"/>
      <c r="U15" s="73"/>
      <c r="V15" s="74">
        <f>Devis[[#This Row],[Prix de Revient]]*Devis[[#This Row],[Poste 1]]</f>
        <v>0</v>
      </c>
      <c r="W15" s="74">
        <f>Devis[[#This Row],[Prix de Revient]]*Devis[[#This Row],[Poste 2]]</f>
        <v>0</v>
      </c>
      <c r="X15" s="74">
        <f>Devis[[#This Row],[Prix de Revient]]*Devis[[#This Row],[Poste 3]]</f>
        <v>0</v>
      </c>
      <c r="Y15" s="74">
        <f>Devis[[#This Row],[Poste 4]]*Devis[[#This Row],[Prix de Revient]]</f>
        <v>0</v>
      </c>
      <c r="Z15" s="74">
        <f>Devis[[#This Row],[Poste 5]]*Devis[[#This Row],[Prix de Revient]]</f>
        <v>0</v>
      </c>
      <c r="AA15" s="74">
        <f>Devis[[#This Row],[Prix de Revient]]*Devis[[#This Row],[Poste 6]]</f>
        <v>0</v>
      </c>
      <c r="AB15" s="74">
        <f>Devis[[#This Row],[Quantité Totale]]*Devis[[#This Row],[Prix de Revient]]</f>
        <v>0</v>
      </c>
    </row>
    <row r="16" spans="1:28" ht="14.25" outlineLevel="1" x14ac:dyDescent="0.2">
      <c r="A16" s="75" t="s">
        <v>31</v>
      </c>
      <c r="B16" s="67" t="s">
        <v>4080</v>
      </c>
      <c r="C16" s="67" t="s">
        <v>4080</v>
      </c>
      <c r="D16" s="67" t="str">
        <f>Général!$A3493&amp;Général!$B3493&amp;Général!$C3493</f>
        <v>TransairTubeBleu (Air comprimé)</v>
      </c>
      <c r="E16" s="76" t="s">
        <v>4080</v>
      </c>
      <c r="F16" s="76">
        <v>13</v>
      </c>
      <c r="G16" s="71" t="s">
        <v>5552</v>
      </c>
      <c r="H16" s="71"/>
      <c r="I16" s="71"/>
      <c r="J16" s="70">
        <f>IFERROR(VLOOKUP(Devis[[#This Row],[Ref Air Flux]],#REF!,3,FALSE),0)</f>
        <v>0</v>
      </c>
      <c r="K16" s="68"/>
      <c r="L16" s="68"/>
      <c r="M16" s="68"/>
      <c r="N16" s="68"/>
      <c r="O16" s="68"/>
      <c r="P16" s="68"/>
      <c r="Q16" s="68">
        <f>SUM(Devis[[#This Row],[Poste 1]:[Poste 6]])</f>
        <v>0</v>
      </c>
      <c r="R16" s="71"/>
      <c r="S16" s="68">
        <f>_xlfn.CEILING.MATH(Devis[[#This Row],[Quantité Totale]],Devis[[#This Row],[Conditionnement]])</f>
        <v>0</v>
      </c>
      <c r="T16" s="72"/>
      <c r="U16" s="73"/>
      <c r="V16" s="74">
        <f>Devis[[#This Row],[Prix de Revient]]*Devis[[#This Row],[Poste 1]]</f>
        <v>0</v>
      </c>
      <c r="W16" s="74">
        <f>Devis[[#This Row],[Prix de Revient]]*Devis[[#This Row],[Poste 2]]</f>
        <v>0</v>
      </c>
      <c r="X16" s="74">
        <f>Devis[[#This Row],[Prix de Revient]]*Devis[[#This Row],[Poste 3]]</f>
        <v>0</v>
      </c>
      <c r="Y16" s="74">
        <f>Devis[[#This Row],[Poste 4]]*Devis[[#This Row],[Prix de Revient]]</f>
        <v>0</v>
      </c>
      <c r="Z16" s="74">
        <f>Devis[[#This Row],[Poste 5]]*Devis[[#This Row],[Prix de Revient]]</f>
        <v>0</v>
      </c>
      <c r="AA16" s="74">
        <f>Devis[[#This Row],[Prix de Revient]]*Devis[[#This Row],[Poste 6]]</f>
        <v>0</v>
      </c>
      <c r="AB16" s="74">
        <f>Devis[[#This Row],[Quantité Totale]]*Devis[[#This Row],[Prix de Revient]]</f>
        <v>0</v>
      </c>
    </row>
    <row r="17" spans="1:28" ht="14.25" customHeight="1" outlineLevel="1" x14ac:dyDescent="0.2">
      <c r="A17" s="75" t="s">
        <v>31</v>
      </c>
      <c r="B17" s="67" t="s">
        <v>4080</v>
      </c>
      <c r="C17" s="67" t="s">
        <v>4080</v>
      </c>
      <c r="D17" s="67" t="str">
        <f>Général!$A3494&amp;Général!$B3494&amp;Général!$C3494</f>
        <v>TransairTubeBleu (Air comprimé)</v>
      </c>
      <c r="E17" s="76" t="s">
        <v>5788</v>
      </c>
      <c r="F17" s="76">
        <v>14</v>
      </c>
      <c r="G17" s="71" t="s">
        <v>5553</v>
      </c>
      <c r="H17" s="71"/>
      <c r="I17" s="71"/>
      <c r="J17" s="70">
        <f>IFERROR(VLOOKUP(Devis[[#This Row],[Ref Air Flux]],#REF!,3,FALSE),0)</f>
        <v>0</v>
      </c>
      <c r="K17" s="68"/>
      <c r="L17" s="68"/>
      <c r="M17" s="68"/>
      <c r="N17" s="68"/>
      <c r="O17" s="68"/>
      <c r="P17" s="68"/>
      <c r="Q17" s="68">
        <f>SUM(Devis[[#This Row],[Poste 1]:[Poste 6]])</f>
        <v>0</v>
      </c>
      <c r="R17" s="71"/>
      <c r="S17" s="68">
        <f>_xlfn.CEILING.MATH(Devis[[#This Row],[Quantité Totale]],Devis[[#This Row],[Conditionnement]])</f>
        <v>0</v>
      </c>
      <c r="T17" s="72"/>
      <c r="U17" s="73"/>
      <c r="V17" s="74">
        <f>Devis[[#This Row],[Prix de Revient]]*Devis[[#This Row],[Poste 1]]</f>
        <v>0</v>
      </c>
      <c r="W17" s="74">
        <f>Devis[[#This Row],[Prix de Revient]]*Devis[[#This Row],[Poste 2]]</f>
        <v>0</v>
      </c>
      <c r="X17" s="74">
        <f>Devis[[#This Row],[Prix de Revient]]*Devis[[#This Row],[Poste 3]]</f>
        <v>0</v>
      </c>
      <c r="Y17" s="74">
        <f>Devis[[#This Row],[Poste 4]]*Devis[[#This Row],[Prix de Revient]]</f>
        <v>0</v>
      </c>
      <c r="Z17" s="74">
        <f>Devis[[#This Row],[Poste 5]]*Devis[[#This Row],[Prix de Revient]]</f>
        <v>0</v>
      </c>
      <c r="AA17" s="74">
        <f>Devis[[#This Row],[Prix de Revient]]*Devis[[#This Row],[Poste 6]]</f>
        <v>0</v>
      </c>
      <c r="AB17" s="74">
        <f>Devis[[#This Row],[Quantité Totale]]*Devis[[#This Row],[Prix de Revient]]</f>
        <v>0</v>
      </c>
    </row>
    <row r="18" spans="1:28" ht="14.25" customHeight="1" x14ac:dyDescent="0.25">
      <c r="A18" s="77" t="s">
        <v>31</v>
      </c>
      <c r="B18" s="78" t="s">
        <v>6363</v>
      </c>
      <c r="C18" s="67"/>
      <c r="D18" s="67" t="str">
        <f>Général!$A3495&amp;Général!$B3495&amp;Général!$C3495</f>
        <v>TransairTubeBleu (Air comprimé)</v>
      </c>
      <c r="E18" s="67"/>
      <c r="F18" s="67">
        <v>0</v>
      </c>
      <c r="G18" s="68"/>
      <c r="H18" s="68"/>
      <c r="I18" s="69"/>
      <c r="J18" s="70">
        <f>IFERROR(VLOOKUP(Devis[[#This Row],[Ref Air Flux]],#REF!,3,FALSE),0)</f>
        <v>0</v>
      </c>
      <c r="K18" s="68"/>
      <c r="L18" s="68"/>
      <c r="M18" s="68"/>
      <c r="N18" s="68"/>
      <c r="O18" s="68"/>
      <c r="P18" s="68"/>
      <c r="Q18" s="68">
        <f>SUM(Devis[[#This Row],[Poste 1]:[Poste 6]])</f>
        <v>0</v>
      </c>
      <c r="R18" s="71"/>
      <c r="S18" s="68">
        <f>_xlfn.CEILING.MATH(Devis[[#This Row],[Quantité Totale]],Devis[[#This Row],[Conditionnement]])</f>
        <v>0</v>
      </c>
      <c r="T18" s="72"/>
      <c r="U18" s="73"/>
      <c r="V18" s="74">
        <f>Devis[[#This Row],[Prix de Revient]]*Devis[[#This Row],[Poste 1]]</f>
        <v>0</v>
      </c>
      <c r="W18" s="74">
        <f>Devis[[#This Row],[Prix de Revient]]*Devis[[#This Row],[Poste 2]]</f>
        <v>0</v>
      </c>
      <c r="X18" s="74">
        <f>Devis[[#This Row],[Prix de Revient]]*Devis[[#This Row],[Poste 3]]</f>
        <v>0</v>
      </c>
      <c r="Y18" s="74">
        <f>Devis[[#This Row],[Poste 4]]*Devis[[#This Row],[Prix de Revient]]</f>
        <v>0</v>
      </c>
      <c r="Z18" s="74">
        <f>Devis[[#This Row],[Poste 5]]*Devis[[#This Row],[Prix de Revient]]</f>
        <v>0</v>
      </c>
      <c r="AA18" s="74">
        <f>Devis[[#This Row],[Prix de Revient]]*Devis[[#This Row],[Poste 6]]</f>
        <v>0</v>
      </c>
      <c r="AB18" s="74">
        <f>Devis[[#This Row],[Quantité Totale]]*Devis[[#This Row],[Prix de Revient]]</f>
        <v>0</v>
      </c>
    </row>
    <row r="19" spans="1:28" ht="14.25" outlineLevel="1" x14ac:dyDescent="0.2">
      <c r="A19" s="75" t="s">
        <v>31</v>
      </c>
      <c r="B19" s="67" t="s">
        <v>6363</v>
      </c>
      <c r="C19" s="67" t="s">
        <v>32</v>
      </c>
      <c r="D19" s="67" t="str">
        <f>Général!$A3499&amp;Général!$B3499&amp;Général!$C3499</f>
        <v>TransairTubeBleu (Air comprimé)</v>
      </c>
      <c r="E19" s="76" t="s">
        <v>5793</v>
      </c>
      <c r="F19" s="76">
        <v>1</v>
      </c>
      <c r="G19" s="71" t="s">
        <v>5556</v>
      </c>
      <c r="H19" s="71"/>
      <c r="I19" s="71"/>
      <c r="J19" s="70">
        <f>IFERROR(VLOOKUP(Devis[[#This Row],[Ref Air Flux]],#REF!,3,FALSE),0)</f>
        <v>0</v>
      </c>
      <c r="K19" s="68"/>
      <c r="L19" s="68"/>
      <c r="M19" s="68"/>
      <c r="N19" s="68"/>
      <c r="O19" s="68"/>
      <c r="P19" s="68"/>
      <c r="Q19" s="68">
        <f>SUM(Devis[[#This Row],[Poste 1]:[Poste 6]])</f>
        <v>0</v>
      </c>
      <c r="R19" s="71"/>
      <c r="S19" s="68">
        <f>_xlfn.CEILING.MATH(Devis[[#This Row],[Quantité Totale]],Devis[[#This Row],[Conditionnement]])</f>
        <v>0</v>
      </c>
      <c r="T19" s="72"/>
      <c r="U19" s="73"/>
      <c r="V19" s="74">
        <f>Devis[[#This Row],[Prix de Revient]]*Devis[[#This Row],[Poste 1]]</f>
        <v>0</v>
      </c>
      <c r="W19" s="74">
        <f>Devis[[#This Row],[Prix de Revient]]*Devis[[#This Row],[Poste 2]]</f>
        <v>0</v>
      </c>
      <c r="X19" s="74">
        <f>Devis[[#This Row],[Prix de Revient]]*Devis[[#This Row],[Poste 3]]</f>
        <v>0</v>
      </c>
      <c r="Y19" s="74">
        <f>Devis[[#This Row],[Poste 4]]*Devis[[#This Row],[Prix de Revient]]</f>
        <v>0</v>
      </c>
      <c r="Z19" s="74">
        <f>Devis[[#This Row],[Poste 5]]*Devis[[#This Row],[Prix de Revient]]</f>
        <v>0</v>
      </c>
      <c r="AA19" s="74">
        <f>Devis[[#This Row],[Prix de Revient]]*Devis[[#This Row],[Poste 6]]</f>
        <v>0</v>
      </c>
      <c r="AB19" s="74">
        <f>Devis[[#This Row],[Quantité Totale]]*Devis[[#This Row],[Prix de Revient]]</f>
        <v>0</v>
      </c>
    </row>
    <row r="20" spans="1:28" ht="14.25" customHeight="1" outlineLevel="1" x14ac:dyDescent="0.2">
      <c r="A20" s="75" t="s">
        <v>31</v>
      </c>
      <c r="B20" s="67" t="s">
        <v>6363</v>
      </c>
      <c r="C20" s="67" t="s">
        <v>32</v>
      </c>
      <c r="D20" s="67" t="str">
        <f>Général!$A3500&amp;Général!$B3500&amp;Général!$C3500</f>
        <v>TransairTubeBleu (Air comprimé)</v>
      </c>
      <c r="E20" s="76" t="s">
        <v>5517</v>
      </c>
      <c r="F20" s="76">
        <v>2</v>
      </c>
      <c r="G20" s="71" t="s">
        <v>5507</v>
      </c>
      <c r="H20" s="71"/>
      <c r="I20" s="71"/>
      <c r="J20" s="70">
        <f>IFERROR(VLOOKUP(Devis[[#This Row],[Ref Air Flux]],#REF!,3,FALSE),0)</f>
        <v>0</v>
      </c>
      <c r="K20" s="68"/>
      <c r="L20" s="68"/>
      <c r="M20" s="68"/>
      <c r="N20" s="68"/>
      <c r="O20" s="68"/>
      <c r="P20" s="68"/>
      <c r="Q20" s="68">
        <f>SUM(Devis[[#This Row],[Poste 1]:[Poste 6]])</f>
        <v>0</v>
      </c>
      <c r="R20" s="71"/>
      <c r="S20" s="68">
        <f>_xlfn.CEILING.MATH(Devis[[#This Row],[Quantité Totale]],Devis[[#This Row],[Conditionnement]])</f>
        <v>0</v>
      </c>
      <c r="T20" s="72"/>
      <c r="U20" s="73"/>
      <c r="V20" s="74">
        <f>Devis[[#This Row],[Prix de Revient]]*Devis[[#This Row],[Poste 1]]</f>
        <v>0</v>
      </c>
      <c r="W20" s="74">
        <f>Devis[[#This Row],[Prix de Revient]]*Devis[[#This Row],[Poste 2]]</f>
        <v>0</v>
      </c>
      <c r="X20" s="74">
        <f>Devis[[#This Row],[Prix de Revient]]*Devis[[#This Row],[Poste 3]]</f>
        <v>0</v>
      </c>
      <c r="Y20" s="74">
        <f>Devis[[#This Row],[Poste 4]]*Devis[[#This Row],[Prix de Revient]]</f>
        <v>0</v>
      </c>
      <c r="Z20" s="74">
        <f>Devis[[#This Row],[Poste 5]]*Devis[[#This Row],[Prix de Revient]]</f>
        <v>0</v>
      </c>
      <c r="AA20" s="74">
        <f>Devis[[#This Row],[Prix de Revient]]*Devis[[#This Row],[Poste 6]]</f>
        <v>0</v>
      </c>
      <c r="AB20" s="74">
        <f>Devis[[#This Row],[Quantité Totale]]*Devis[[#This Row],[Prix de Revient]]</f>
        <v>0</v>
      </c>
    </row>
    <row r="21" spans="1:28" ht="14.25" outlineLevel="1" x14ac:dyDescent="0.2">
      <c r="A21" s="75" t="s">
        <v>31</v>
      </c>
      <c r="B21" s="67" t="s">
        <v>6363</v>
      </c>
      <c r="C21" s="67" t="s">
        <v>32</v>
      </c>
      <c r="D21" s="67" t="str">
        <f>Général!$A3501&amp;Général!$B3501&amp;Général!$C3501</f>
        <v>TransairTubeBleu (Air comprimé)</v>
      </c>
      <c r="E21" s="167" t="s">
        <v>6469</v>
      </c>
      <c r="F21" s="76">
        <v>3</v>
      </c>
      <c r="G21" s="71" t="s">
        <v>5508</v>
      </c>
      <c r="H21" s="71"/>
      <c r="I21" s="71"/>
      <c r="J21" s="70">
        <f>IFERROR(VLOOKUP(Devis[[#This Row],[Ref Air Flux]],#REF!,3,FALSE),0)</f>
        <v>0</v>
      </c>
      <c r="K21" s="68"/>
      <c r="L21" s="68"/>
      <c r="M21" s="68"/>
      <c r="N21" s="68"/>
      <c r="O21" s="68"/>
      <c r="P21" s="68"/>
      <c r="Q21" s="68">
        <f>SUM(Devis[[#This Row],[Poste 1]:[Poste 6]])</f>
        <v>0</v>
      </c>
      <c r="R21" s="71"/>
      <c r="S21" s="68">
        <f>_xlfn.CEILING.MATH(Devis[[#This Row],[Quantité Totale]],Devis[[#This Row],[Conditionnement]])</f>
        <v>0</v>
      </c>
      <c r="T21" s="72"/>
      <c r="U21" s="73"/>
      <c r="V21" s="74">
        <f>Devis[[#This Row],[Prix de Revient]]*Devis[[#This Row],[Poste 1]]</f>
        <v>0</v>
      </c>
      <c r="W21" s="74">
        <f>Devis[[#This Row],[Prix de Revient]]*Devis[[#This Row],[Poste 2]]</f>
        <v>0</v>
      </c>
      <c r="X21" s="74">
        <f>Devis[[#This Row],[Prix de Revient]]*Devis[[#This Row],[Poste 3]]</f>
        <v>0</v>
      </c>
      <c r="Y21" s="74">
        <f>Devis[[#This Row],[Poste 4]]*Devis[[#This Row],[Prix de Revient]]</f>
        <v>0</v>
      </c>
      <c r="Z21" s="74">
        <f>Devis[[#This Row],[Poste 5]]*Devis[[#This Row],[Prix de Revient]]</f>
        <v>0</v>
      </c>
      <c r="AA21" s="74">
        <f>Devis[[#This Row],[Prix de Revient]]*Devis[[#This Row],[Poste 6]]</f>
        <v>0</v>
      </c>
      <c r="AB21" s="74">
        <f>Devis[[#This Row],[Quantité Totale]]*Devis[[#This Row],[Prix de Revient]]</f>
        <v>0</v>
      </c>
    </row>
    <row r="22" spans="1:28" ht="14.25" outlineLevel="1" x14ac:dyDescent="0.2">
      <c r="A22" s="75" t="s">
        <v>31</v>
      </c>
      <c r="B22" s="67" t="s">
        <v>6363</v>
      </c>
      <c r="C22" s="67" t="s">
        <v>32</v>
      </c>
      <c r="D22" s="67" t="str">
        <f>Général!$A3502&amp;Général!$B3502&amp;Général!$C3502</f>
        <v>TransairTubeBleu (Air comprimé)</v>
      </c>
      <c r="E22" s="76" t="s">
        <v>5794</v>
      </c>
      <c r="F22" s="76">
        <v>4</v>
      </c>
      <c r="G22" s="71" t="s">
        <v>5513</v>
      </c>
      <c r="H22" s="71"/>
      <c r="I22" s="71"/>
      <c r="J22" s="70">
        <f>IFERROR(VLOOKUP(Devis[[#This Row],[Ref Air Flux]],#REF!,3,FALSE),0)</f>
        <v>0</v>
      </c>
      <c r="K22" s="68"/>
      <c r="L22" s="68"/>
      <c r="M22" s="68"/>
      <c r="N22" s="68"/>
      <c r="O22" s="68"/>
      <c r="P22" s="68"/>
      <c r="Q22" s="68">
        <f>SUM(Devis[[#This Row],[Poste 1]:[Poste 6]])</f>
        <v>0</v>
      </c>
      <c r="R22" s="71"/>
      <c r="S22" s="68">
        <f>_xlfn.CEILING.MATH(Devis[[#This Row],[Quantité Totale]],Devis[[#This Row],[Conditionnement]])</f>
        <v>0</v>
      </c>
      <c r="T22" s="72"/>
      <c r="U22" s="73"/>
      <c r="V22" s="74">
        <f>Devis[[#This Row],[Prix de Revient]]*Devis[[#This Row],[Poste 1]]</f>
        <v>0</v>
      </c>
      <c r="W22" s="74">
        <f>Devis[[#This Row],[Prix de Revient]]*Devis[[#This Row],[Poste 2]]</f>
        <v>0</v>
      </c>
      <c r="X22" s="74">
        <f>Devis[[#This Row],[Prix de Revient]]*Devis[[#This Row],[Poste 3]]</f>
        <v>0</v>
      </c>
      <c r="Y22" s="74">
        <f>Devis[[#This Row],[Poste 4]]*Devis[[#This Row],[Prix de Revient]]</f>
        <v>0</v>
      </c>
      <c r="Z22" s="74">
        <f>Devis[[#This Row],[Poste 5]]*Devis[[#This Row],[Prix de Revient]]</f>
        <v>0</v>
      </c>
      <c r="AA22" s="74">
        <f>Devis[[#This Row],[Prix de Revient]]*Devis[[#This Row],[Poste 6]]</f>
        <v>0</v>
      </c>
      <c r="AB22" s="74">
        <f>Devis[[#This Row],[Quantité Totale]]*Devis[[#This Row],[Prix de Revient]]</f>
        <v>0</v>
      </c>
    </row>
    <row r="23" spans="1:28" ht="14.25" outlineLevel="1" x14ac:dyDescent="0.2">
      <c r="A23" s="75" t="s">
        <v>31</v>
      </c>
      <c r="B23" s="67" t="s">
        <v>6363</v>
      </c>
      <c r="C23" s="67" t="s">
        <v>32</v>
      </c>
      <c r="D23" s="67" t="str">
        <f>Général!$A3503&amp;Général!$B3503&amp;Général!$C3503</f>
        <v>TransairTubeBleu (Air comprimé)</v>
      </c>
      <c r="E23" s="76" t="s">
        <v>5795</v>
      </c>
      <c r="F23" s="76">
        <v>5</v>
      </c>
      <c r="G23" s="71" t="s">
        <v>5510</v>
      </c>
      <c r="H23" s="71"/>
      <c r="I23" s="71"/>
      <c r="J23" s="70">
        <f>IFERROR(VLOOKUP(Devis[[#This Row],[Ref Air Flux]],#REF!,3,FALSE),0)</f>
        <v>0</v>
      </c>
      <c r="K23" s="68"/>
      <c r="L23" s="68"/>
      <c r="M23" s="68"/>
      <c r="N23" s="68"/>
      <c r="O23" s="68"/>
      <c r="P23" s="68"/>
      <c r="Q23" s="68">
        <f>SUM(Devis[[#This Row],[Poste 1]:[Poste 6]])</f>
        <v>0</v>
      </c>
      <c r="R23" s="71"/>
      <c r="S23" s="68">
        <f>_xlfn.CEILING.MATH(Devis[[#This Row],[Quantité Totale]],Devis[[#This Row],[Conditionnement]])</f>
        <v>0</v>
      </c>
      <c r="T23" s="72"/>
      <c r="U23" s="73"/>
      <c r="V23" s="74">
        <f>Devis[[#This Row],[Prix de Revient]]*Devis[[#This Row],[Poste 1]]</f>
        <v>0</v>
      </c>
      <c r="W23" s="74">
        <f>Devis[[#This Row],[Prix de Revient]]*Devis[[#This Row],[Poste 2]]</f>
        <v>0</v>
      </c>
      <c r="X23" s="74">
        <f>Devis[[#This Row],[Prix de Revient]]*Devis[[#This Row],[Poste 3]]</f>
        <v>0</v>
      </c>
      <c r="Y23" s="74">
        <f>Devis[[#This Row],[Poste 4]]*Devis[[#This Row],[Prix de Revient]]</f>
        <v>0</v>
      </c>
      <c r="Z23" s="74">
        <f>Devis[[#This Row],[Poste 5]]*Devis[[#This Row],[Prix de Revient]]</f>
        <v>0</v>
      </c>
      <c r="AA23" s="74">
        <f>Devis[[#This Row],[Prix de Revient]]*Devis[[#This Row],[Poste 6]]</f>
        <v>0</v>
      </c>
      <c r="AB23" s="74">
        <f>Devis[[#This Row],[Quantité Totale]]*Devis[[#This Row],[Prix de Revient]]</f>
        <v>0</v>
      </c>
    </row>
    <row r="24" spans="1:28" ht="14.25" outlineLevel="1" x14ac:dyDescent="0.2">
      <c r="A24" s="75" t="s">
        <v>31</v>
      </c>
      <c r="B24" s="67" t="s">
        <v>6363</v>
      </c>
      <c r="C24" s="67" t="s">
        <v>5796</v>
      </c>
      <c r="D24" s="67" t="str">
        <f>Général!$A3504&amp;Général!$B3504&amp;Général!$C3504</f>
        <v>TransairTubeBleu (Air comprimé)</v>
      </c>
      <c r="E24" s="76" t="s">
        <v>5797</v>
      </c>
      <c r="F24" s="76">
        <v>7</v>
      </c>
      <c r="G24" s="71" t="s">
        <v>5511</v>
      </c>
      <c r="H24" s="79"/>
      <c r="I24" s="79"/>
      <c r="J24" s="70">
        <f>IFERROR(VLOOKUP(Devis[[#This Row],[Ref Air Flux]],#REF!,3,FALSE),0)</f>
        <v>0</v>
      </c>
      <c r="K24" s="68"/>
      <c r="L24" s="68"/>
      <c r="M24" s="68"/>
      <c r="N24" s="68"/>
      <c r="O24" s="68"/>
      <c r="P24" s="68"/>
      <c r="Q24" s="68">
        <f>SUM(Devis[[#This Row],[Poste 1]:[Poste 6]])</f>
        <v>0</v>
      </c>
      <c r="R24" s="71"/>
      <c r="S24" s="68">
        <f>_xlfn.CEILING.MATH(Devis[[#This Row],[Quantité Totale]],Devis[[#This Row],[Conditionnement]])</f>
        <v>0</v>
      </c>
      <c r="T24" s="72"/>
      <c r="U24" s="73"/>
      <c r="V24" s="74">
        <f>Devis[[#This Row],[Prix de Revient]]*Devis[[#This Row],[Poste 1]]</f>
        <v>0</v>
      </c>
      <c r="W24" s="74">
        <f>Devis[[#This Row],[Prix de Revient]]*Devis[[#This Row],[Poste 2]]</f>
        <v>0</v>
      </c>
      <c r="X24" s="74">
        <f>Devis[[#This Row],[Prix de Revient]]*Devis[[#This Row],[Poste 3]]</f>
        <v>0</v>
      </c>
      <c r="Y24" s="74">
        <f>Devis[[#This Row],[Poste 4]]*Devis[[#This Row],[Prix de Revient]]</f>
        <v>0</v>
      </c>
      <c r="Z24" s="74">
        <f>Devis[[#This Row],[Poste 5]]*Devis[[#This Row],[Prix de Revient]]</f>
        <v>0</v>
      </c>
      <c r="AA24" s="74">
        <f>Devis[[#This Row],[Prix de Revient]]*Devis[[#This Row],[Poste 6]]</f>
        <v>0</v>
      </c>
      <c r="AB24" s="74">
        <f>Devis[[#This Row],[Quantité Totale]]*Devis[[#This Row],[Prix de Revient]]</f>
        <v>0</v>
      </c>
    </row>
    <row r="25" spans="1:28" ht="14.25" outlineLevel="1" x14ac:dyDescent="0.2">
      <c r="A25" s="75" t="s">
        <v>31</v>
      </c>
      <c r="B25" s="67" t="s">
        <v>6363</v>
      </c>
      <c r="C25" s="67" t="s">
        <v>5796</v>
      </c>
      <c r="D25" s="67" t="str">
        <f>Général!$A3505&amp;Général!$B3505&amp;Général!$C3505</f>
        <v>TransairTubeBleu (Air comprimé)</v>
      </c>
      <c r="E25" s="76" t="s">
        <v>5515</v>
      </c>
      <c r="F25" s="76">
        <v>8</v>
      </c>
      <c r="G25" s="71" t="s">
        <v>5509</v>
      </c>
      <c r="H25" s="79"/>
      <c r="I25" s="79"/>
      <c r="J25" s="70">
        <f>IFERROR(VLOOKUP(Devis[[#This Row],[Ref Air Flux]],#REF!,3,FALSE),0)</f>
        <v>0</v>
      </c>
      <c r="K25" s="68"/>
      <c r="L25" s="68"/>
      <c r="M25" s="68"/>
      <c r="N25" s="68"/>
      <c r="O25" s="68"/>
      <c r="P25" s="68"/>
      <c r="Q25" s="68">
        <f>SUM(Devis[[#This Row],[Poste 1]:[Poste 6]])</f>
        <v>0</v>
      </c>
      <c r="R25" s="71"/>
      <c r="S25" s="68">
        <f>_xlfn.CEILING.MATH(Devis[[#This Row],[Quantité Totale]],Devis[[#This Row],[Conditionnement]])</f>
        <v>0</v>
      </c>
      <c r="T25" s="72"/>
      <c r="U25" s="73"/>
      <c r="V25" s="74">
        <f>Devis[[#This Row],[Prix de Revient]]*Devis[[#This Row],[Poste 1]]</f>
        <v>0</v>
      </c>
      <c r="W25" s="74">
        <f>Devis[[#This Row],[Prix de Revient]]*Devis[[#This Row],[Poste 2]]</f>
        <v>0</v>
      </c>
      <c r="X25" s="74">
        <f>Devis[[#This Row],[Prix de Revient]]*Devis[[#This Row],[Poste 3]]</f>
        <v>0</v>
      </c>
      <c r="Y25" s="74">
        <f>Devis[[#This Row],[Poste 4]]*Devis[[#This Row],[Prix de Revient]]</f>
        <v>0</v>
      </c>
      <c r="Z25" s="74">
        <f>Devis[[#This Row],[Poste 5]]*Devis[[#This Row],[Prix de Revient]]</f>
        <v>0</v>
      </c>
      <c r="AA25" s="74">
        <f>Devis[[#This Row],[Prix de Revient]]*Devis[[#This Row],[Poste 6]]</f>
        <v>0</v>
      </c>
      <c r="AB25" s="74">
        <f>Devis[[#This Row],[Quantité Totale]]*Devis[[#This Row],[Prix de Revient]]</f>
        <v>0</v>
      </c>
    </row>
    <row r="26" spans="1:28" ht="14.25" outlineLevel="1" x14ac:dyDescent="0.2">
      <c r="A26" s="75" t="s">
        <v>31</v>
      </c>
      <c r="B26" s="67" t="s">
        <v>6363</v>
      </c>
      <c r="C26" s="67" t="s">
        <v>5796</v>
      </c>
      <c r="D26" s="67" t="str">
        <f>Général!$A3506&amp;Général!$B3506&amp;Général!$C3506</f>
        <v>TransairTubeGris (Vide)</v>
      </c>
      <c r="E26" s="76" t="s">
        <v>5516</v>
      </c>
      <c r="F26" s="76">
        <v>9</v>
      </c>
      <c r="G26" s="71" t="s">
        <v>5512</v>
      </c>
      <c r="H26" s="79"/>
      <c r="I26" s="79"/>
      <c r="J26" s="70">
        <f>IFERROR(VLOOKUP(Devis[[#This Row],[Ref Air Flux]],#REF!,3,FALSE),0)</f>
        <v>0</v>
      </c>
      <c r="K26" s="68"/>
      <c r="L26" s="68"/>
      <c r="M26" s="68"/>
      <c r="N26" s="68"/>
      <c r="O26" s="68"/>
      <c r="P26" s="68"/>
      <c r="Q26" s="68">
        <f>SUM(Devis[[#This Row],[Poste 1]:[Poste 6]])</f>
        <v>0</v>
      </c>
      <c r="R26" s="71"/>
      <c r="S26" s="68">
        <f>_xlfn.CEILING.MATH(Devis[[#This Row],[Quantité Totale]],Devis[[#This Row],[Conditionnement]])</f>
        <v>0</v>
      </c>
      <c r="T26" s="72"/>
      <c r="U26" s="73"/>
      <c r="V26" s="74">
        <f>Devis[[#This Row],[Prix de Revient]]*Devis[[#This Row],[Poste 1]]</f>
        <v>0</v>
      </c>
      <c r="W26" s="74">
        <f>Devis[[#This Row],[Prix de Revient]]*Devis[[#This Row],[Poste 2]]</f>
        <v>0</v>
      </c>
      <c r="X26" s="74">
        <f>Devis[[#This Row],[Prix de Revient]]*Devis[[#This Row],[Poste 3]]</f>
        <v>0</v>
      </c>
      <c r="Y26" s="74">
        <f>Devis[[#This Row],[Poste 4]]*Devis[[#This Row],[Prix de Revient]]</f>
        <v>0</v>
      </c>
      <c r="Z26" s="74">
        <f>Devis[[#This Row],[Poste 5]]*Devis[[#This Row],[Prix de Revient]]</f>
        <v>0</v>
      </c>
      <c r="AA26" s="74">
        <f>Devis[[#This Row],[Prix de Revient]]*Devis[[#This Row],[Poste 6]]</f>
        <v>0</v>
      </c>
      <c r="AB26" s="74">
        <f>Devis[[#This Row],[Quantité Totale]]*Devis[[#This Row],[Prix de Revient]]</f>
        <v>0</v>
      </c>
    </row>
    <row r="27" spans="1:28" ht="14.25" outlineLevel="1" x14ac:dyDescent="0.2">
      <c r="A27" s="75" t="s">
        <v>31</v>
      </c>
      <c r="B27" s="67" t="s">
        <v>6363</v>
      </c>
      <c r="C27" s="67" t="s">
        <v>5789</v>
      </c>
      <c r="D27" s="67" t="str">
        <f>Général!$A3496&amp;Général!$B3496&amp;Général!$C3496</f>
        <v>TransairTubeBleu (Air comprimé)</v>
      </c>
      <c r="E27" s="76" t="s">
        <v>5790</v>
      </c>
      <c r="F27" s="76">
        <v>12</v>
      </c>
      <c r="G27" s="71" t="s">
        <v>5554</v>
      </c>
      <c r="H27" s="71"/>
      <c r="I27" s="71"/>
      <c r="J27" s="70">
        <f>IFERROR(VLOOKUP(Devis[[#This Row],[Ref Air Flux]],#REF!,3,FALSE),0)</f>
        <v>0</v>
      </c>
      <c r="K27" s="68"/>
      <c r="L27" s="68"/>
      <c r="M27" s="68"/>
      <c r="N27" s="68"/>
      <c r="O27" s="68"/>
      <c r="P27" s="68"/>
      <c r="Q27" s="68">
        <f>SUM(Devis[[#This Row],[Poste 1]:[Poste 6]])</f>
        <v>0</v>
      </c>
      <c r="R27" s="71"/>
      <c r="S27" s="68">
        <f>_xlfn.CEILING.MATH(Devis[[#This Row],[Quantité Totale]],Devis[[#This Row],[Conditionnement]])</f>
        <v>0</v>
      </c>
      <c r="T27" s="72"/>
      <c r="U27" s="73"/>
      <c r="V27" s="74">
        <f>Devis[[#This Row],[Prix de Revient]]*Devis[[#This Row],[Poste 1]]</f>
        <v>0</v>
      </c>
      <c r="W27" s="74">
        <f>Devis[[#This Row],[Prix de Revient]]*Devis[[#This Row],[Poste 2]]</f>
        <v>0</v>
      </c>
      <c r="X27" s="74">
        <f>Devis[[#This Row],[Prix de Revient]]*Devis[[#This Row],[Poste 3]]</f>
        <v>0</v>
      </c>
      <c r="Y27" s="74">
        <f>Devis[[#This Row],[Poste 4]]*Devis[[#This Row],[Prix de Revient]]</f>
        <v>0</v>
      </c>
      <c r="Z27" s="74">
        <f>Devis[[#This Row],[Poste 5]]*Devis[[#This Row],[Prix de Revient]]</f>
        <v>0</v>
      </c>
      <c r="AA27" s="74">
        <f>Devis[[#This Row],[Prix de Revient]]*Devis[[#This Row],[Poste 6]]</f>
        <v>0</v>
      </c>
      <c r="AB27" s="74">
        <f>Devis[[#This Row],[Quantité Totale]]*Devis[[#This Row],[Prix de Revient]]</f>
        <v>0</v>
      </c>
    </row>
    <row r="28" spans="1:28" ht="14.25" outlineLevel="1" x14ac:dyDescent="0.2">
      <c r="A28" s="75" t="s">
        <v>31</v>
      </c>
      <c r="B28" s="67" t="s">
        <v>6363</v>
      </c>
      <c r="C28" s="67" t="s">
        <v>5789</v>
      </c>
      <c r="D28" s="67" t="str">
        <f>Général!$A3497&amp;Général!$B3497&amp;Général!$C3497</f>
        <v>TransairTubeBleu (Air comprimé)</v>
      </c>
      <c r="E28" s="76" t="s">
        <v>5791</v>
      </c>
      <c r="F28" s="76">
        <v>13</v>
      </c>
      <c r="G28" s="71" t="s">
        <v>5555</v>
      </c>
      <c r="H28" s="71"/>
      <c r="I28" s="71"/>
      <c r="J28" s="70">
        <f>IFERROR(VLOOKUP(Devis[[#This Row],[Ref Air Flux]],#REF!,3,FALSE),0)</f>
        <v>0</v>
      </c>
      <c r="K28" s="68"/>
      <c r="L28" s="68"/>
      <c r="M28" s="68"/>
      <c r="N28" s="68"/>
      <c r="O28" s="68"/>
      <c r="P28" s="68"/>
      <c r="Q28" s="68">
        <f>SUM(Devis[[#This Row],[Poste 1]:[Poste 6]])</f>
        <v>0</v>
      </c>
      <c r="R28" s="71"/>
      <c r="S28" s="68">
        <f>_xlfn.CEILING.MATH(Devis[[#This Row],[Quantité Totale]],Devis[[#This Row],[Conditionnement]])</f>
        <v>0</v>
      </c>
      <c r="T28" s="72"/>
      <c r="U28" s="73"/>
      <c r="V28" s="74">
        <f>Devis[[#This Row],[Prix de Revient]]*Devis[[#This Row],[Poste 1]]</f>
        <v>0</v>
      </c>
      <c r="W28" s="74">
        <f>Devis[[#This Row],[Prix de Revient]]*Devis[[#This Row],[Poste 2]]</f>
        <v>0</v>
      </c>
      <c r="X28" s="74">
        <f>Devis[[#This Row],[Prix de Revient]]*Devis[[#This Row],[Poste 3]]</f>
        <v>0</v>
      </c>
      <c r="Y28" s="74">
        <f>Devis[[#This Row],[Poste 4]]*Devis[[#This Row],[Prix de Revient]]</f>
        <v>0</v>
      </c>
      <c r="Z28" s="74">
        <f>Devis[[#This Row],[Poste 5]]*Devis[[#This Row],[Prix de Revient]]</f>
        <v>0</v>
      </c>
      <c r="AA28" s="74">
        <f>Devis[[#This Row],[Prix de Revient]]*Devis[[#This Row],[Poste 6]]</f>
        <v>0</v>
      </c>
      <c r="AB28" s="74">
        <f>Devis[[#This Row],[Quantité Totale]]*Devis[[#This Row],[Prix de Revient]]</f>
        <v>0</v>
      </c>
    </row>
    <row r="29" spans="1:28" ht="14.25" outlineLevel="1" x14ac:dyDescent="0.2">
      <c r="A29" s="75" t="s">
        <v>31</v>
      </c>
      <c r="B29" s="67" t="s">
        <v>6363</v>
      </c>
      <c r="C29" s="67" t="s">
        <v>5789</v>
      </c>
      <c r="D29" s="67" t="str">
        <f>Général!$A3494&amp;Général!$B3494&amp;Général!$C3494</f>
        <v>TransairTubeBleu (Air comprimé)</v>
      </c>
      <c r="E29" s="76" t="s">
        <v>5792</v>
      </c>
      <c r="F29" s="76">
        <v>14</v>
      </c>
      <c r="G29" s="71">
        <v>4003998</v>
      </c>
      <c r="H29" s="71"/>
      <c r="I29" s="71"/>
      <c r="J29" s="70">
        <f>IFERROR(VLOOKUP(Devis[[#This Row],[Ref Air Flux]],#REF!,3,FALSE),0)</f>
        <v>0</v>
      </c>
      <c r="K29" s="68"/>
      <c r="L29" s="68"/>
      <c r="M29" s="68"/>
      <c r="N29" s="68"/>
      <c r="O29" s="68"/>
      <c r="P29" s="68"/>
      <c r="Q29" s="68">
        <f>SUM(Devis[[#This Row],[Poste 1]:[Poste 6]])</f>
        <v>0</v>
      </c>
      <c r="R29" s="71"/>
      <c r="S29" s="68">
        <f>_xlfn.CEILING.MATH(Devis[[#This Row],[Quantité Totale]],Devis[[#This Row],[Conditionnement]])</f>
        <v>0</v>
      </c>
      <c r="T29" s="72"/>
      <c r="U29" s="73"/>
      <c r="V29" s="74">
        <f>Devis[[#This Row],[Prix de Revient]]*Devis[[#This Row],[Poste 1]]</f>
        <v>0</v>
      </c>
      <c r="W29" s="74">
        <f>Devis[[#This Row],[Prix de Revient]]*Devis[[#This Row],[Poste 2]]</f>
        <v>0</v>
      </c>
      <c r="X29" s="74">
        <f>Devis[[#This Row],[Prix de Revient]]*Devis[[#This Row],[Poste 3]]</f>
        <v>0</v>
      </c>
      <c r="Y29" s="74">
        <f>Devis[[#This Row],[Poste 4]]*Devis[[#This Row],[Prix de Revient]]</f>
        <v>0</v>
      </c>
      <c r="Z29" s="74">
        <f>Devis[[#This Row],[Poste 5]]*Devis[[#This Row],[Prix de Revient]]</f>
        <v>0</v>
      </c>
      <c r="AA29" s="74">
        <f>Devis[[#This Row],[Prix de Revient]]*Devis[[#This Row],[Poste 6]]</f>
        <v>0</v>
      </c>
      <c r="AB29" s="74">
        <f>Devis[[#This Row],[Quantité Totale]]*Devis[[#This Row],[Prix de Revient]]</f>
        <v>0</v>
      </c>
    </row>
    <row r="30" spans="1:28" ht="14.25" outlineLevel="1" x14ac:dyDescent="0.2">
      <c r="A30" s="75" t="s">
        <v>31</v>
      </c>
      <c r="B30" s="67" t="s">
        <v>6363</v>
      </c>
      <c r="C30" s="67"/>
      <c r="D30" s="163" t="str">
        <f>A30&amp;B30&amp;C30</f>
        <v>AccessoiresBeko - Purgeurs</v>
      </c>
      <c r="E30" s="76"/>
      <c r="F30" s="76">
        <v>15</v>
      </c>
      <c r="G30" s="71"/>
      <c r="H30" s="71"/>
      <c r="I30" s="71"/>
      <c r="J30" s="70">
        <f>IFERROR(VLOOKUP(Devis[[#This Row],[Ref Air Flux]],#REF!,3,FALSE),0)</f>
        <v>0</v>
      </c>
      <c r="K30" s="68"/>
      <c r="L30" s="68"/>
      <c r="M30" s="68"/>
      <c r="N30" s="68"/>
      <c r="O30" s="68"/>
      <c r="P30" s="68"/>
      <c r="Q30" s="68">
        <f>SUM(Devis[[#This Row],[Poste 1]:[Poste 6]])</f>
        <v>0</v>
      </c>
      <c r="R30" s="71"/>
      <c r="S30" s="68">
        <f>_xlfn.CEILING.MATH(Devis[[#This Row],[Quantité Totale]],Devis[[#This Row],[Conditionnement]])</f>
        <v>0</v>
      </c>
      <c r="T30" s="72"/>
      <c r="U30" s="73"/>
      <c r="V30" s="74">
        <f>Devis[[#This Row],[Prix de Revient]]*Devis[[#This Row],[Poste 1]]</f>
        <v>0</v>
      </c>
      <c r="W30" s="74">
        <f>Devis[[#This Row],[Prix de Revient]]*Devis[[#This Row],[Poste 2]]</f>
        <v>0</v>
      </c>
      <c r="X30" s="74">
        <f>Devis[[#This Row],[Prix de Revient]]*Devis[[#This Row],[Poste 3]]</f>
        <v>0</v>
      </c>
      <c r="Y30" s="74">
        <f>Devis[[#This Row],[Poste 4]]*Devis[[#This Row],[Prix de Revient]]</f>
        <v>0</v>
      </c>
      <c r="Z30" s="74">
        <f>Devis[[#This Row],[Poste 5]]*Devis[[#This Row],[Prix de Revient]]</f>
        <v>0</v>
      </c>
      <c r="AA30" s="74">
        <f>Devis[[#This Row],[Prix de Revient]]*Devis[[#This Row],[Poste 6]]</f>
        <v>0</v>
      </c>
      <c r="AB30" s="74">
        <f>Devis[[#This Row],[Quantité Totale]]*Devis[[#This Row],[Prix de Revient]]</f>
        <v>0</v>
      </c>
    </row>
    <row r="31" spans="1:28" ht="14.25" outlineLevel="1" x14ac:dyDescent="0.2">
      <c r="A31" s="75" t="s">
        <v>31</v>
      </c>
      <c r="B31" s="67" t="s">
        <v>6363</v>
      </c>
      <c r="C31" s="67" t="s">
        <v>6390</v>
      </c>
      <c r="D31" s="163" t="str">
        <f>A31&amp;B31&amp;C31</f>
        <v>AccessoiresBeko - PurgeursPurgeur Partenair</v>
      </c>
      <c r="E31" s="76" t="s">
        <v>6368</v>
      </c>
      <c r="F31" s="76">
        <v>16</v>
      </c>
      <c r="G31" s="71" t="s">
        <v>6366</v>
      </c>
      <c r="H31" s="71" t="s">
        <v>6365</v>
      </c>
      <c r="I31" s="71" t="s">
        <v>6366</v>
      </c>
      <c r="J31" s="70">
        <f>IFERROR(VLOOKUP(Devis[[#This Row],[Ref Air Flux]],#REF!,3,FALSE),0)</f>
        <v>0</v>
      </c>
      <c r="K31" s="68"/>
      <c r="L31" s="68"/>
      <c r="M31" s="68"/>
      <c r="N31" s="68"/>
      <c r="O31" s="68"/>
      <c r="P31" s="68"/>
      <c r="Q31" s="68">
        <f>SUM(Devis[[#This Row],[Poste 1]:[Poste 6]])</f>
        <v>0</v>
      </c>
      <c r="R31" s="71"/>
      <c r="S31" s="68">
        <f>_xlfn.CEILING.MATH(Devis[[#This Row],[Quantité Totale]],Devis[[#This Row],[Conditionnement]])</f>
        <v>0</v>
      </c>
      <c r="T31" s="72"/>
      <c r="U31" s="73"/>
      <c r="V31" s="74">
        <f>Devis[[#This Row],[Prix de Revient]]*Devis[[#This Row],[Poste 1]]</f>
        <v>0</v>
      </c>
      <c r="W31" s="74">
        <f>Devis[[#This Row],[Prix de Revient]]*Devis[[#This Row],[Poste 2]]</f>
        <v>0</v>
      </c>
      <c r="X31" s="74">
        <f>Devis[[#This Row],[Prix de Revient]]*Devis[[#This Row],[Poste 3]]</f>
        <v>0</v>
      </c>
      <c r="Y31" s="74">
        <f>Devis[[#This Row],[Poste 4]]*Devis[[#This Row],[Prix de Revient]]</f>
        <v>0</v>
      </c>
      <c r="Z31" s="74">
        <f>Devis[[#This Row],[Poste 5]]*Devis[[#This Row],[Prix de Revient]]</f>
        <v>0</v>
      </c>
      <c r="AA31" s="74">
        <f>Devis[[#This Row],[Prix de Revient]]*Devis[[#This Row],[Poste 6]]</f>
        <v>0</v>
      </c>
      <c r="AB31" s="74">
        <f>Devis[[#This Row],[Quantité Totale]]*Devis[[#This Row],[Prix de Revient]]</f>
        <v>0</v>
      </c>
    </row>
    <row r="32" spans="1:28" ht="14.25" outlineLevel="1" x14ac:dyDescent="0.2">
      <c r="A32" s="75" t="s">
        <v>31</v>
      </c>
      <c r="B32" s="67" t="s">
        <v>6363</v>
      </c>
      <c r="C32" s="67" t="s">
        <v>6390</v>
      </c>
      <c r="D32" s="163" t="str">
        <f>A32&amp;B32&amp;C32</f>
        <v>AccessoiresBeko - PurgeursPurgeur Partenair</v>
      </c>
      <c r="E32" s="76" t="s">
        <v>6367</v>
      </c>
      <c r="F32" s="76">
        <v>17</v>
      </c>
      <c r="G32" s="71" t="s">
        <v>6364</v>
      </c>
      <c r="H32" s="71" t="s">
        <v>6365</v>
      </c>
      <c r="I32" s="71" t="s">
        <v>6364</v>
      </c>
      <c r="J32" s="70">
        <f>IFERROR(VLOOKUP(Devis[[#This Row],[Ref Air Flux]],#REF!,3,FALSE),0)</f>
        <v>0</v>
      </c>
      <c r="K32" s="68"/>
      <c r="L32" s="68"/>
      <c r="M32" s="68"/>
      <c r="N32" s="68"/>
      <c r="O32" s="68"/>
      <c r="P32" s="68"/>
      <c r="Q32" s="68">
        <f>SUM(Devis[[#This Row],[Poste 1]:[Poste 6]])</f>
        <v>0</v>
      </c>
      <c r="R32" s="71"/>
      <c r="S32" s="68">
        <f>_xlfn.CEILING.MATH(Devis[[#This Row],[Quantité Totale]],Devis[[#This Row],[Conditionnement]])</f>
        <v>0</v>
      </c>
      <c r="T32" s="72"/>
      <c r="U32" s="73"/>
      <c r="V32" s="74">
        <f>Devis[[#This Row],[Prix de Revient]]*Devis[[#This Row],[Poste 1]]</f>
        <v>0</v>
      </c>
      <c r="W32" s="74">
        <f>Devis[[#This Row],[Prix de Revient]]*Devis[[#This Row],[Poste 2]]</f>
        <v>0</v>
      </c>
      <c r="X32" s="74">
        <f>Devis[[#This Row],[Prix de Revient]]*Devis[[#This Row],[Poste 3]]</f>
        <v>0</v>
      </c>
      <c r="Y32" s="74">
        <f>Devis[[#This Row],[Poste 4]]*Devis[[#This Row],[Prix de Revient]]</f>
        <v>0</v>
      </c>
      <c r="Z32" s="74">
        <f>Devis[[#This Row],[Poste 5]]*Devis[[#This Row],[Prix de Revient]]</f>
        <v>0</v>
      </c>
      <c r="AA32" s="74">
        <f>Devis[[#This Row],[Prix de Revient]]*Devis[[#This Row],[Poste 6]]</f>
        <v>0</v>
      </c>
      <c r="AB32" s="74">
        <f>Devis[[#This Row],[Quantité Totale]]*Devis[[#This Row],[Prix de Revient]]</f>
        <v>0</v>
      </c>
    </row>
    <row r="33" spans="1:28" ht="14.25" outlineLevel="1" x14ac:dyDescent="0.2">
      <c r="A33" s="75" t="s">
        <v>31</v>
      </c>
      <c r="B33" s="67" t="s">
        <v>6363</v>
      </c>
      <c r="C33" s="67" t="s">
        <v>6391</v>
      </c>
      <c r="D33" s="67" t="str">
        <f>Général!$A3498&amp;Général!$B3498&amp;Général!$C3498</f>
        <v>TransairTubeBleu (Air comprimé)</v>
      </c>
      <c r="E33" s="76" t="s">
        <v>6392</v>
      </c>
      <c r="F33" s="76">
        <v>18</v>
      </c>
      <c r="G33" s="71" t="s">
        <v>6371</v>
      </c>
      <c r="H33" s="71" t="s">
        <v>6369</v>
      </c>
      <c r="I33" s="71" t="s">
        <v>6370</v>
      </c>
      <c r="J33" s="70">
        <f>IFERROR(VLOOKUP(Devis[[#This Row],[Ref Air Flux]],#REF!,3,FALSE),0)</f>
        <v>0</v>
      </c>
      <c r="K33" s="68"/>
      <c r="L33" s="68"/>
      <c r="M33" s="68"/>
      <c r="N33" s="68"/>
      <c r="O33" s="68"/>
      <c r="P33" s="68"/>
      <c r="Q33" s="68">
        <f>SUM(Devis[[#This Row],[Poste 1]:[Poste 6]])</f>
        <v>0</v>
      </c>
      <c r="R33" s="71"/>
      <c r="S33" s="68">
        <f>_xlfn.CEILING.MATH(Devis[[#This Row],[Quantité Totale]],Devis[[#This Row],[Conditionnement]])</f>
        <v>0</v>
      </c>
      <c r="T33" s="72"/>
      <c r="U33" s="73"/>
      <c r="V33" s="74">
        <f>Devis[[#This Row],[Prix de Revient]]*Devis[[#This Row],[Poste 1]]</f>
        <v>0</v>
      </c>
      <c r="W33" s="74">
        <f>Devis[[#This Row],[Prix de Revient]]*Devis[[#This Row],[Poste 2]]</f>
        <v>0</v>
      </c>
      <c r="X33" s="74">
        <f>Devis[[#This Row],[Prix de Revient]]*Devis[[#This Row],[Poste 3]]</f>
        <v>0</v>
      </c>
      <c r="Y33" s="74">
        <f>Devis[[#This Row],[Poste 4]]*Devis[[#This Row],[Prix de Revient]]</f>
        <v>0</v>
      </c>
      <c r="Z33" s="74">
        <f>Devis[[#This Row],[Poste 5]]*Devis[[#This Row],[Prix de Revient]]</f>
        <v>0</v>
      </c>
      <c r="AA33" s="74">
        <f>Devis[[#This Row],[Prix de Revient]]*Devis[[#This Row],[Poste 6]]</f>
        <v>0</v>
      </c>
      <c r="AB33" s="74">
        <f>Devis[[#This Row],[Quantité Totale]]*Devis[[#This Row],[Prix de Revient]]</f>
        <v>0</v>
      </c>
    </row>
    <row r="34" spans="1:28" ht="14.25" customHeight="1" x14ac:dyDescent="0.25">
      <c r="A34" s="77" t="s">
        <v>31</v>
      </c>
      <c r="B34" s="66" t="s">
        <v>42</v>
      </c>
      <c r="C34" s="67"/>
      <c r="D34" s="67" t="str">
        <f>Général!$A3507&amp;Général!$B3507&amp;Général!$C3507</f>
        <v>TransairTubeGris (Vide)</v>
      </c>
      <c r="E34" s="67"/>
      <c r="F34" s="67">
        <v>0</v>
      </c>
      <c r="G34" s="68"/>
      <c r="H34" s="68"/>
      <c r="I34" s="69"/>
      <c r="J34" s="70">
        <f>IFERROR(VLOOKUP(Devis[[#This Row],[Ref Air Flux]],#REF!,3,FALSE),0)</f>
        <v>0</v>
      </c>
      <c r="K34" s="68"/>
      <c r="L34" s="68"/>
      <c r="M34" s="68"/>
      <c r="N34" s="68"/>
      <c r="O34" s="68"/>
      <c r="P34" s="68"/>
      <c r="Q34" s="68">
        <f>SUM(Devis[[#This Row],[Poste 1]:[Poste 6]])</f>
        <v>0</v>
      </c>
      <c r="R34" s="71"/>
      <c r="S34" s="68">
        <f>_xlfn.CEILING.MATH(Devis[[#This Row],[Quantité Totale]],Devis[[#This Row],[Conditionnement]])</f>
        <v>0</v>
      </c>
      <c r="T34" s="72"/>
      <c r="U34" s="73"/>
      <c r="V34" s="74">
        <f>Devis[[#This Row],[Prix de Revient]]*Devis[[#This Row],[Poste 1]]</f>
        <v>0</v>
      </c>
      <c r="W34" s="74">
        <f>Devis[[#This Row],[Prix de Revient]]*Devis[[#This Row],[Poste 2]]</f>
        <v>0</v>
      </c>
      <c r="X34" s="74">
        <f>Devis[[#This Row],[Prix de Revient]]*Devis[[#This Row],[Poste 3]]</f>
        <v>0</v>
      </c>
      <c r="Y34" s="74">
        <f>Devis[[#This Row],[Poste 4]]*Devis[[#This Row],[Prix de Revient]]</f>
        <v>0</v>
      </c>
      <c r="Z34" s="74">
        <f>Devis[[#This Row],[Poste 5]]*Devis[[#This Row],[Prix de Revient]]</f>
        <v>0</v>
      </c>
      <c r="AA34" s="74">
        <f>Devis[[#This Row],[Prix de Revient]]*Devis[[#This Row],[Poste 6]]</f>
        <v>0</v>
      </c>
      <c r="AB34" s="74">
        <f>Devis[[#This Row],[Quantité Totale]]*Devis[[#This Row],[Prix de Revient]]</f>
        <v>0</v>
      </c>
    </row>
    <row r="35" spans="1:28" ht="14.25" customHeight="1" outlineLevel="1" x14ac:dyDescent="0.2">
      <c r="A35" s="75" t="s">
        <v>31</v>
      </c>
      <c r="B35" s="67" t="s">
        <v>42</v>
      </c>
      <c r="C35" s="67" t="s">
        <v>41</v>
      </c>
      <c r="D35" s="67" t="str">
        <f>Général!$A3508&amp;Général!$B3508&amp;Général!$C3508</f>
        <v>TransairTubeGris (Vide)</v>
      </c>
      <c r="E35" s="76" t="s">
        <v>17</v>
      </c>
      <c r="F35" s="67">
        <v>1</v>
      </c>
      <c r="G35" s="71" t="s">
        <v>5557</v>
      </c>
      <c r="H35" s="68"/>
      <c r="I35" s="69"/>
      <c r="J35" s="70">
        <f>IFERROR(VLOOKUP(Devis[[#This Row],[Ref Air Flux]],#REF!,3,FALSE),0)</f>
        <v>0</v>
      </c>
      <c r="K35" s="68"/>
      <c r="L35" s="68"/>
      <c r="M35" s="68"/>
      <c r="N35" s="68"/>
      <c r="O35" s="68"/>
      <c r="P35" s="68"/>
      <c r="Q35" s="68">
        <f>SUM(Devis[[#This Row],[Poste 1]:[Poste 6]])</f>
        <v>0</v>
      </c>
      <c r="R35" s="71"/>
      <c r="S35" s="68">
        <f>_xlfn.CEILING.MATH(Devis[[#This Row],[Quantité Totale]],Devis[[#This Row],[Conditionnement]])</f>
        <v>0</v>
      </c>
      <c r="T35" s="72"/>
      <c r="U35" s="73"/>
      <c r="V35" s="74">
        <f>Devis[[#This Row],[Prix de Revient]]*Devis[[#This Row],[Poste 1]]</f>
        <v>0</v>
      </c>
      <c r="W35" s="74">
        <f>Devis[[#This Row],[Prix de Revient]]*Devis[[#This Row],[Poste 2]]</f>
        <v>0</v>
      </c>
      <c r="X35" s="74">
        <f>Devis[[#This Row],[Prix de Revient]]*Devis[[#This Row],[Poste 3]]</f>
        <v>0</v>
      </c>
      <c r="Y35" s="74">
        <f>Devis[[#This Row],[Poste 4]]*Devis[[#This Row],[Prix de Revient]]</f>
        <v>0</v>
      </c>
      <c r="Z35" s="74">
        <f>Devis[[#This Row],[Poste 5]]*Devis[[#This Row],[Prix de Revient]]</f>
        <v>0</v>
      </c>
      <c r="AA35" s="74">
        <f>Devis[[#This Row],[Prix de Revient]]*Devis[[#This Row],[Poste 6]]</f>
        <v>0</v>
      </c>
      <c r="AB35" s="74">
        <f>Devis[[#This Row],[Quantité Totale]]*Devis[[#This Row],[Prix de Revient]]</f>
        <v>0</v>
      </c>
    </row>
    <row r="36" spans="1:28" ht="14.25" customHeight="1" outlineLevel="1" x14ac:dyDescent="0.2">
      <c r="A36" s="75" t="s">
        <v>31</v>
      </c>
      <c r="B36" s="67" t="s">
        <v>42</v>
      </c>
      <c r="C36" s="67" t="s">
        <v>42</v>
      </c>
      <c r="D36" s="67" t="str">
        <f>Général!$A3509&amp;Général!$B3509&amp;Général!$C3509</f>
        <v>TransairTubeGris (Vide)</v>
      </c>
      <c r="E36" s="73" t="s">
        <v>5800</v>
      </c>
      <c r="F36" s="67">
        <v>2</v>
      </c>
      <c r="G36" s="71" t="s">
        <v>5558</v>
      </c>
      <c r="H36" s="68"/>
      <c r="I36" s="69"/>
      <c r="J36" s="70">
        <f>IFERROR(VLOOKUP(Devis[[#This Row],[Ref Air Flux]],#REF!,3,FALSE),0)</f>
        <v>0</v>
      </c>
      <c r="K36" s="68"/>
      <c r="L36" s="68"/>
      <c r="M36" s="68"/>
      <c r="N36" s="68"/>
      <c r="O36" s="68"/>
      <c r="P36" s="68"/>
      <c r="Q36" s="68">
        <f>SUM(Devis[[#This Row],[Poste 1]:[Poste 6]])</f>
        <v>0</v>
      </c>
      <c r="R36" s="71"/>
      <c r="S36" s="68">
        <f>_xlfn.CEILING.MATH(Devis[[#This Row],[Quantité Totale]],Devis[[#This Row],[Conditionnement]])</f>
        <v>0</v>
      </c>
      <c r="T36" s="72"/>
      <c r="U36" s="73"/>
      <c r="V36" s="74">
        <f>Devis[[#This Row],[Prix de Revient]]*Devis[[#This Row],[Poste 1]]</f>
        <v>0</v>
      </c>
      <c r="W36" s="74">
        <f>Devis[[#This Row],[Prix de Revient]]*Devis[[#This Row],[Poste 2]]</f>
        <v>0</v>
      </c>
      <c r="X36" s="74">
        <f>Devis[[#This Row],[Prix de Revient]]*Devis[[#This Row],[Poste 3]]</f>
        <v>0</v>
      </c>
      <c r="Y36" s="74">
        <f>Devis[[#This Row],[Poste 4]]*Devis[[#This Row],[Prix de Revient]]</f>
        <v>0</v>
      </c>
      <c r="Z36" s="74">
        <f>Devis[[#This Row],[Poste 5]]*Devis[[#This Row],[Prix de Revient]]</f>
        <v>0</v>
      </c>
      <c r="AA36" s="74">
        <f>Devis[[#This Row],[Prix de Revient]]*Devis[[#This Row],[Poste 6]]</f>
        <v>0</v>
      </c>
      <c r="AB36" s="74">
        <f>Devis[[#This Row],[Quantité Totale]]*Devis[[#This Row],[Prix de Revient]]</f>
        <v>0</v>
      </c>
    </row>
    <row r="37" spans="1:28" ht="14.25" outlineLevel="1" x14ac:dyDescent="0.2">
      <c r="A37" s="75" t="s">
        <v>31</v>
      </c>
      <c r="B37" s="67" t="s">
        <v>42</v>
      </c>
      <c r="C37" s="67" t="s">
        <v>42</v>
      </c>
      <c r="D37" s="67" t="str">
        <f>Général!$A3510&amp;Général!$B3510&amp;Général!$C3510</f>
        <v>TransairTubeGris (Vide)</v>
      </c>
      <c r="E37" s="73" t="s">
        <v>5801</v>
      </c>
      <c r="F37" s="67">
        <v>3</v>
      </c>
      <c r="G37" s="71" t="s">
        <v>5559</v>
      </c>
      <c r="H37" s="68"/>
      <c r="I37" s="69"/>
      <c r="J37" s="70">
        <f>IFERROR(VLOOKUP(Devis[[#This Row],[Ref Air Flux]],#REF!,3,FALSE),0)</f>
        <v>0</v>
      </c>
      <c r="K37" s="68"/>
      <c r="L37" s="68"/>
      <c r="M37" s="68"/>
      <c r="N37" s="68"/>
      <c r="O37" s="68"/>
      <c r="P37" s="68"/>
      <c r="Q37" s="68">
        <f>SUM(Devis[[#This Row],[Poste 1]:[Poste 6]])</f>
        <v>0</v>
      </c>
      <c r="R37" s="71"/>
      <c r="S37" s="68">
        <f>_xlfn.CEILING.MATH(Devis[[#This Row],[Quantité Totale]],Devis[[#This Row],[Conditionnement]])</f>
        <v>0</v>
      </c>
      <c r="T37" s="72"/>
      <c r="U37" s="73"/>
      <c r="V37" s="74">
        <f>Devis[[#This Row],[Prix de Revient]]*Devis[[#This Row],[Poste 1]]</f>
        <v>0</v>
      </c>
      <c r="W37" s="74">
        <f>Devis[[#This Row],[Prix de Revient]]*Devis[[#This Row],[Poste 2]]</f>
        <v>0</v>
      </c>
      <c r="X37" s="74">
        <f>Devis[[#This Row],[Prix de Revient]]*Devis[[#This Row],[Poste 3]]</f>
        <v>0</v>
      </c>
      <c r="Y37" s="74">
        <f>Devis[[#This Row],[Poste 4]]*Devis[[#This Row],[Prix de Revient]]</f>
        <v>0</v>
      </c>
      <c r="Z37" s="74">
        <f>Devis[[#This Row],[Poste 5]]*Devis[[#This Row],[Prix de Revient]]</f>
        <v>0</v>
      </c>
      <c r="AA37" s="74">
        <f>Devis[[#This Row],[Prix de Revient]]*Devis[[#This Row],[Poste 6]]</f>
        <v>0</v>
      </c>
      <c r="AB37" s="74">
        <f>Devis[[#This Row],[Quantité Totale]]*Devis[[#This Row],[Prix de Revient]]</f>
        <v>0</v>
      </c>
    </row>
    <row r="38" spans="1:28" ht="14.25" outlineLevel="1" x14ac:dyDescent="0.2">
      <c r="A38" s="75" t="s">
        <v>31</v>
      </c>
      <c r="B38" s="67" t="s">
        <v>42</v>
      </c>
      <c r="C38" s="67" t="s">
        <v>42</v>
      </c>
      <c r="D38" s="67" t="str">
        <f>Général!$A3511&amp;Général!$B3511&amp;Général!$C3511</f>
        <v>TransairTubeVert (Gazs neutres)</v>
      </c>
      <c r="E38" s="73" t="s">
        <v>5802</v>
      </c>
      <c r="F38" s="67">
        <v>4</v>
      </c>
      <c r="G38" s="71" t="s">
        <v>5560</v>
      </c>
      <c r="H38" s="68"/>
      <c r="I38" s="69"/>
      <c r="J38" s="70">
        <f>IFERROR(VLOOKUP(Devis[[#This Row],[Ref Air Flux]],#REF!,3,FALSE),0)</f>
        <v>0</v>
      </c>
      <c r="K38" s="68"/>
      <c r="L38" s="68"/>
      <c r="M38" s="68"/>
      <c r="N38" s="68"/>
      <c r="O38" s="68"/>
      <c r="P38" s="68"/>
      <c r="Q38" s="68">
        <f>SUM(Devis[[#This Row],[Poste 1]:[Poste 6]])</f>
        <v>0</v>
      </c>
      <c r="R38" s="71"/>
      <c r="S38" s="68">
        <f>_xlfn.CEILING.MATH(Devis[[#This Row],[Quantité Totale]],Devis[[#This Row],[Conditionnement]])</f>
        <v>0</v>
      </c>
      <c r="T38" s="72"/>
      <c r="U38" s="73"/>
      <c r="V38" s="74">
        <f>Devis[[#This Row],[Prix de Revient]]*Devis[[#This Row],[Poste 1]]</f>
        <v>0</v>
      </c>
      <c r="W38" s="74">
        <f>Devis[[#This Row],[Prix de Revient]]*Devis[[#This Row],[Poste 2]]</f>
        <v>0</v>
      </c>
      <c r="X38" s="74">
        <f>Devis[[#This Row],[Prix de Revient]]*Devis[[#This Row],[Poste 3]]</f>
        <v>0</v>
      </c>
      <c r="Y38" s="74">
        <f>Devis[[#This Row],[Poste 4]]*Devis[[#This Row],[Prix de Revient]]</f>
        <v>0</v>
      </c>
      <c r="Z38" s="74">
        <f>Devis[[#This Row],[Poste 5]]*Devis[[#This Row],[Prix de Revient]]</f>
        <v>0</v>
      </c>
      <c r="AA38" s="74">
        <f>Devis[[#This Row],[Prix de Revient]]*Devis[[#This Row],[Poste 6]]</f>
        <v>0</v>
      </c>
      <c r="AB38" s="74">
        <f>Devis[[#This Row],[Quantité Totale]]*Devis[[#This Row],[Prix de Revient]]</f>
        <v>0</v>
      </c>
    </row>
    <row r="39" spans="1:28" ht="14.25" outlineLevel="1" x14ac:dyDescent="0.2">
      <c r="A39" s="75" t="s">
        <v>31</v>
      </c>
      <c r="B39" s="67" t="s">
        <v>42</v>
      </c>
      <c r="C39" s="67" t="s">
        <v>42</v>
      </c>
      <c r="D39" s="67" t="str">
        <f>Général!$A3512&amp;Général!$B3512&amp;Général!$C3512</f>
        <v>TransairTubeVert (Gazs neutres)</v>
      </c>
      <c r="E39" s="73" t="s">
        <v>5803</v>
      </c>
      <c r="F39" s="67">
        <v>5</v>
      </c>
      <c r="G39" s="71" t="s">
        <v>5561</v>
      </c>
      <c r="H39" s="68"/>
      <c r="I39" s="69"/>
      <c r="J39" s="70">
        <f>IFERROR(VLOOKUP(Devis[[#This Row],[Ref Air Flux]],#REF!,3,FALSE),0)</f>
        <v>0</v>
      </c>
      <c r="K39" s="68"/>
      <c r="L39" s="68"/>
      <c r="M39" s="68"/>
      <c r="N39" s="68"/>
      <c r="O39" s="68"/>
      <c r="P39" s="68"/>
      <c r="Q39" s="68">
        <f>SUM(Devis[[#This Row],[Poste 1]:[Poste 6]])</f>
        <v>0</v>
      </c>
      <c r="R39" s="71"/>
      <c r="S39" s="68">
        <f>_xlfn.CEILING.MATH(Devis[[#This Row],[Quantité Totale]],Devis[[#This Row],[Conditionnement]])</f>
        <v>0</v>
      </c>
      <c r="T39" s="72"/>
      <c r="U39" s="73"/>
      <c r="V39" s="74">
        <f>Devis[[#This Row],[Prix de Revient]]*Devis[[#This Row],[Poste 1]]</f>
        <v>0</v>
      </c>
      <c r="W39" s="74">
        <f>Devis[[#This Row],[Prix de Revient]]*Devis[[#This Row],[Poste 2]]</f>
        <v>0</v>
      </c>
      <c r="X39" s="74">
        <f>Devis[[#This Row],[Prix de Revient]]*Devis[[#This Row],[Poste 3]]</f>
        <v>0</v>
      </c>
      <c r="Y39" s="74">
        <f>Devis[[#This Row],[Poste 4]]*Devis[[#This Row],[Prix de Revient]]</f>
        <v>0</v>
      </c>
      <c r="Z39" s="74">
        <f>Devis[[#This Row],[Poste 5]]*Devis[[#This Row],[Prix de Revient]]</f>
        <v>0</v>
      </c>
      <c r="AA39" s="74">
        <f>Devis[[#This Row],[Prix de Revient]]*Devis[[#This Row],[Poste 6]]</f>
        <v>0</v>
      </c>
      <c r="AB39" s="74">
        <f>Devis[[#This Row],[Quantité Totale]]*Devis[[#This Row],[Prix de Revient]]</f>
        <v>0</v>
      </c>
    </row>
    <row r="40" spans="1:28" ht="14.25" outlineLevel="1" x14ac:dyDescent="0.2">
      <c r="A40" s="75" t="s">
        <v>31</v>
      </c>
      <c r="B40" s="67" t="s">
        <v>42</v>
      </c>
      <c r="C40" s="67" t="s">
        <v>42</v>
      </c>
      <c r="D40" s="67" t="str">
        <f>Général!$A3513&amp;Général!$B3513&amp;Général!$C3513</f>
        <v>TransairTubeVert (Gazs neutres)</v>
      </c>
      <c r="E40" s="73" t="s">
        <v>5804</v>
      </c>
      <c r="F40" s="67">
        <v>6</v>
      </c>
      <c r="G40" s="71" t="s">
        <v>5562</v>
      </c>
      <c r="H40" s="68"/>
      <c r="I40" s="69"/>
      <c r="J40" s="70">
        <f>IFERROR(VLOOKUP(Devis[[#This Row],[Ref Air Flux]],#REF!,3,FALSE),0)</f>
        <v>0</v>
      </c>
      <c r="K40" s="68"/>
      <c r="L40" s="68"/>
      <c r="M40" s="68"/>
      <c r="N40" s="68"/>
      <c r="O40" s="68"/>
      <c r="P40" s="68"/>
      <c r="Q40" s="68">
        <f>SUM(Devis[[#This Row],[Poste 1]:[Poste 6]])</f>
        <v>0</v>
      </c>
      <c r="R40" s="71"/>
      <c r="S40" s="68">
        <f>_xlfn.CEILING.MATH(Devis[[#This Row],[Quantité Totale]],Devis[[#This Row],[Conditionnement]])</f>
        <v>0</v>
      </c>
      <c r="T40" s="72"/>
      <c r="U40" s="73"/>
      <c r="V40" s="74">
        <f>Devis[[#This Row],[Prix de Revient]]*Devis[[#This Row],[Poste 1]]</f>
        <v>0</v>
      </c>
      <c r="W40" s="74">
        <f>Devis[[#This Row],[Prix de Revient]]*Devis[[#This Row],[Poste 2]]</f>
        <v>0</v>
      </c>
      <c r="X40" s="74">
        <f>Devis[[#This Row],[Prix de Revient]]*Devis[[#This Row],[Poste 3]]</f>
        <v>0</v>
      </c>
      <c r="Y40" s="74">
        <f>Devis[[#This Row],[Poste 4]]*Devis[[#This Row],[Prix de Revient]]</f>
        <v>0</v>
      </c>
      <c r="Z40" s="74">
        <f>Devis[[#This Row],[Poste 5]]*Devis[[#This Row],[Prix de Revient]]</f>
        <v>0</v>
      </c>
      <c r="AA40" s="74">
        <f>Devis[[#This Row],[Prix de Revient]]*Devis[[#This Row],[Poste 6]]</f>
        <v>0</v>
      </c>
      <c r="AB40" s="74">
        <f>Devis[[#This Row],[Quantité Totale]]*Devis[[#This Row],[Prix de Revient]]</f>
        <v>0</v>
      </c>
    </row>
    <row r="41" spans="1:28" ht="14.25" outlineLevel="1" x14ac:dyDescent="0.2">
      <c r="A41" s="75" t="s">
        <v>31</v>
      </c>
      <c r="B41" s="67" t="s">
        <v>42</v>
      </c>
      <c r="C41" s="67" t="s">
        <v>43</v>
      </c>
      <c r="D41" s="67" t="str">
        <f>Général!$A3514&amp;Général!$B3514&amp;Général!$C3514</f>
        <v>TransairTuyaux flexibles</v>
      </c>
      <c r="E41" s="80" t="s">
        <v>17</v>
      </c>
      <c r="F41" s="67">
        <v>7</v>
      </c>
      <c r="G41" s="71" t="s">
        <v>5563</v>
      </c>
      <c r="H41" s="68"/>
      <c r="I41" s="69"/>
      <c r="J41" s="70">
        <f>IFERROR(VLOOKUP(Devis[[#This Row],[Ref Air Flux]],#REF!,3,FALSE),0)</f>
        <v>0</v>
      </c>
      <c r="K41" s="68"/>
      <c r="L41" s="68"/>
      <c r="M41" s="68"/>
      <c r="N41" s="68"/>
      <c r="O41" s="68"/>
      <c r="P41" s="68"/>
      <c r="Q41" s="68">
        <f>SUM(Devis[[#This Row],[Poste 1]:[Poste 6]])</f>
        <v>0</v>
      </c>
      <c r="R41" s="71"/>
      <c r="S41" s="68">
        <f>_xlfn.CEILING.MATH(Devis[[#This Row],[Quantité Totale]],Devis[[#This Row],[Conditionnement]])</f>
        <v>0</v>
      </c>
      <c r="T41" s="72"/>
      <c r="U41" s="73"/>
      <c r="V41" s="74">
        <f>Devis[[#This Row],[Prix de Revient]]*Devis[[#This Row],[Poste 1]]</f>
        <v>0</v>
      </c>
      <c r="W41" s="74">
        <f>Devis[[#This Row],[Prix de Revient]]*Devis[[#This Row],[Poste 2]]</f>
        <v>0</v>
      </c>
      <c r="X41" s="74">
        <f>Devis[[#This Row],[Prix de Revient]]*Devis[[#This Row],[Poste 3]]</f>
        <v>0</v>
      </c>
      <c r="Y41" s="74">
        <f>Devis[[#This Row],[Poste 4]]*Devis[[#This Row],[Prix de Revient]]</f>
        <v>0</v>
      </c>
      <c r="Z41" s="74">
        <f>Devis[[#This Row],[Poste 5]]*Devis[[#This Row],[Prix de Revient]]</f>
        <v>0</v>
      </c>
      <c r="AA41" s="74">
        <f>Devis[[#This Row],[Prix de Revient]]*Devis[[#This Row],[Poste 6]]</f>
        <v>0</v>
      </c>
      <c r="AB41" s="74">
        <f>Devis[[#This Row],[Quantité Totale]]*Devis[[#This Row],[Prix de Revient]]</f>
        <v>0</v>
      </c>
    </row>
    <row r="42" spans="1:28" ht="14.25" customHeight="1" x14ac:dyDescent="0.25">
      <c r="A42" s="77" t="s">
        <v>31</v>
      </c>
      <c r="B42" s="66" t="s">
        <v>47</v>
      </c>
      <c r="C42" s="67"/>
      <c r="D42" s="67" t="str">
        <f>Général!$A3515&amp;Général!$B3515&amp;Général!$C3515</f>
        <v>TransairTuyaux flexibles</v>
      </c>
      <c r="E42" s="67"/>
      <c r="F42" s="67">
        <v>0</v>
      </c>
      <c r="G42" s="68"/>
      <c r="H42" s="68"/>
      <c r="I42" s="69"/>
      <c r="J42" s="70">
        <f>IFERROR(VLOOKUP(Devis[[#This Row],[Ref Air Flux]],#REF!,3,FALSE),0)</f>
        <v>0</v>
      </c>
      <c r="K42" s="68"/>
      <c r="L42" s="68"/>
      <c r="M42" s="68"/>
      <c r="N42" s="68"/>
      <c r="O42" s="68"/>
      <c r="P42" s="68"/>
      <c r="Q42" s="68">
        <f>SUM(Devis[[#This Row],[Poste 1]:[Poste 6]])</f>
        <v>0</v>
      </c>
      <c r="R42" s="71"/>
      <c r="S42" s="68">
        <f>_xlfn.CEILING.MATH(Devis[[#This Row],[Quantité Totale]],Devis[[#This Row],[Conditionnement]])</f>
        <v>0</v>
      </c>
      <c r="T42" s="72"/>
      <c r="U42" s="73"/>
      <c r="V42" s="74">
        <f>Devis[[#This Row],[Prix de Revient]]*Devis[[#This Row],[Poste 1]]</f>
        <v>0</v>
      </c>
      <c r="W42" s="74">
        <f>Devis[[#This Row],[Prix de Revient]]*Devis[[#This Row],[Poste 2]]</f>
        <v>0</v>
      </c>
      <c r="X42" s="74">
        <f>Devis[[#This Row],[Prix de Revient]]*Devis[[#This Row],[Poste 3]]</f>
        <v>0</v>
      </c>
      <c r="Y42" s="74">
        <f>Devis[[#This Row],[Poste 4]]*Devis[[#This Row],[Prix de Revient]]</f>
        <v>0</v>
      </c>
      <c r="Z42" s="74">
        <f>Devis[[#This Row],[Poste 5]]*Devis[[#This Row],[Prix de Revient]]</f>
        <v>0</v>
      </c>
      <c r="AA42" s="74">
        <f>Devis[[#This Row],[Prix de Revient]]*Devis[[#This Row],[Poste 6]]</f>
        <v>0</v>
      </c>
      <c r="AB42" s="74">
        <f>Devis[[#This Row],[Quantité Totale]]*Devis[[#This Row],[Prix de Revient]]</f>
        <v>0</v>
      </c>
    </row>
    <row r="43" spans="1:28" ht="14.25" customHeight="1" outlineLevel="1" x14ac:dyDescent="0.2">
      <c r="A43" s="75" t="s">
        <v>31</v>
      </c>
      <c r="B43" s="67" t="s">
        <v>47</v>
      </c>
      <c r="C43" s="67" t="s">
        <v>44</v>
      </c>
      <c r="D43" s="67" t="str">
        <f>Général!$A3516&amp;Général!$B3516&amp;Général!$C3516</f>
        <v>TransairTuyaux flexibles</v>
      </c>
      <c r="E43" s="76" t="s">
        <v>16</v>
      </c>
      <c r="F43" s="67">
        <v>1</v>
      </c>
      <c r="G43" s="71" t="s">
        <v>5564</v>
      </c>
      <c r="H43" s="68"/>
      <c r="I43" s="69"/>
      <c r="J43" s="70">
        <f>IFERROR(VLOOKUP(Devis[[#This Row],[Ref Air Flux]],#REF!,3,FALSE),0)</f>
        <v>0</v>
      </c>
      <c r="K43" s="68"/>
      <c r="L43" s="68"/>
      <c r="M43" s="68"/>
      <c r="N43" s="68"/>
      <c r="O43" s="68"/>
      <c r="P43" s="68"/>
      <c r="Q43" s="68">
        <f>SUM(Devis[[#This Row],[Poste 1]:[Poste 6]])</f>
        <v>0</v>
      </c>
      <c r="R43" s="71"/>
      <c r="S43" s="68">
        <f>_xlfn.CEILING.MATH(Devis[[#This Row],[Quantité Totale]],Devis[[#This Row],[Conditionnement]])</f>
        <v>0</v>
      </c>
      <c r="T43" s="72"/>
      <c r="U43" s="73"/>
      <c r="V43" s="74">
        <f>Devis[[#This Row],[Prix de Revient]]*Devis[[#This Row],[Poste 1]]</f>
        <v>0</v>
      </c>
      <c r="W43" s="74">
        <f>Devis[[#This Row],[Prix de Revient]]*Devis[[#This Row],[Poste 2]]</f>
        <v>0</v>
      </c>
      <c r="X43" s="74">
        <f>Devis[[#This Row],[Prix de Revient]]*Devis[[#This Row],[Poste 3]]</f>
        <v>0</v>
      </c>
      <c r="Y43" s="74">
        <f>Devis[[#This Row],[Poste 4]]*Devis[[#This Row],[Prix de Revient]]</f>
        <v>0</v>
      </c>
      <c r="Z43" s="74">
        <f>Devis[[#This Row],[Poste 5]]*Devis[[#This Row],[Prix de Revient]]</f>
        <v>0</v>
      </c>
      <c r="AA43" s="74">
        <f>Devis[[#This Row],[Prix de Revient]]*Devis[[#This Row],[Poste 6]]</f>
        <v>0</v>
      </c>
      <c r="AB43" s="74">
        <f>Devis[[#This Row],[Quantité Totale]]*Devis[[#This Row],[Prix de Revient]]</f>
        <v>0</v>
      </c>
    </row>
    <row r="44" spans="1:28" ht="14.25" outlineLevel="1" x14ac:dyDescent="0.2">
      <c r="A44" s="75" t="s">
        <v>31</v>
      </c>
      <c r="B44" s="67" t="s">
        <v>47</v>
      </c>
      <c r="C44" s="67" t="s">
        <v>44</v>
      </c>
      <c r="D44" s="67" t="str">
        <f>Général!$A3517&amp;Général!$B3517&amp;Général!$C3517</f>
        <v>TransairTuyaux flexibles</v>
      </c>
      <c r="E44" s="76" t="s">
        <v>17</v>
      </c>
      <c r="F44" s="67">
        <v>2</v>
      </c>
      <c r="G44" s="71" t="s">
        <v>5565</v>
      </c>
      <c r="H44" s="68"/>
      <c r="I44" s="69"/>
      <c r="J44" s="70">
        <f>IFERROR(VLOOKUP(Devis[[#This Row],[Ref Air Flux]],#REF!,3,FALSE),0)</f>
        <v>0</v>
      </c>
      <c r="K44" s="68"/>
      <c r="L44" s="68"/>
      <c r="M44" s="68"/>
      <c r="N44" s="68"/>
      <c r="O44" s="68"/>
      <c r="P44" s="68"/>
      <c r="Q44" s="68">
        <f>SUM(Devis[[#This Row],[Poste 1]:[Poste 6]])</f>
        <v>0</v>
      </c>
      <c r="R44" s="71"/>
      <c r="S44" s="68">
        <f>_xlfn.CEILING.MATH(Devis[[#This Row],[Quantité Totale]],Devis[[#This Row],[Conditionnement]])</f>
        <v>0</v>
      </c>
      <c r="T44" s="72"/>
      <c r="U44" s="73"/>
      <c r="V44" s="74">
        <f>Devis[[#This Row],[Prix de Revient]]*Devis[[#This Row],[Poste 1]]</f>
        <v>0</v>
      </c>
      <c r="W44" s="74">
        <f>Devis[[#This Row],[Prix de Revient]]*Devis[[#This Row],[Poste 2]]</f>
        <v>0</v>
      </c>
      <c r="X44" s="74">
        <f>Devis[[#This Row],[Prix de Revient]]*Devis[[#This Row],[Poste 3]]</f>
        <v>0</v>
      </c>
      <c r="Y44" s="74">
        <f>Devis[[#This Row],[Poste 4]]*Devis[[#This Row],[Prix de Revient]]</f>
        <v>0</v>
      </c>
      <c r="Z44" s="74">
        <f>Devis[[#This Row],[Poste 5]]*Devis[[#This Row],[Prix de Revient]]</f>
        <v>0</v>
      </c>
      <c r="AA44" s="74">
        <f>Devis[[#This Row],[Prix de Revient]]*Devis[[#This Row],[Poste 6]]</f>
        <v>0</v>
      </c>
      <c r="AB44" s="74">
        <f>Devis[[#This Row],[Quantité Totale]]*Devis[[#This Row],[Prix de Revient]]</f>
        <v>0</v>
      </c>
    </row>
    <row r="45" spans="1:28" ht="14.25" customHeight="1" outlineLevel="1" x14ac:dyDescent="0.2">
      <c r="A45" s="75" t="s">
        <v>31</v>
      </c>
      <c r="B45" s="67" t="s">
        <v>47</v>
      </c>
      <c r="C45" s="67" t="s">
        <v>45</v>
      </c>
      <c r="D45" s="67" t="str">
        <f>Général!$A3518&amp;Général!$B3518&amp;Général!$C3518</f>
        <v>TransairTuyaux flexibles</v>
      </c>
      <c r="E45" s="80" t="s">
        <v>46</v>
      </c>
      <c r="F45" s="67">
        <v>3</v>
      </c>
      <c r="G45" s="71" t="s">
        <v>5566</v>
      </c>
      <c r="H45" s="68"/>
      <c r="I45" s="69"/>
      <c r="J45" s="70">
        <f>IFERROR(VLOOKUP(Devis[[#This Row],[Ref Air Flux]],#REF!,3,FALSE),0)</f>
        <v>0</v>
      </c>
      <c r="K45" s="68"/>
      <c r="L45" s="68"/>
      <c r="M45" s="68"/>
      <c r="N45" s="68"/>
      <c r="O45" s="68"/>
      <c r="P45" s="68"/>
      <c r="Q45" s="68">
        <f>SUM(Devis[[#This Row],[Poste 1]:[Poste 6]])</f>
        <v>0</v>
      </c>
      <c r="R45" s="71"/>
      <c r="S45" s="68">
        <f>_xlfn.CEILING.MATH(Devis[[#This Row],[Quantité Totale]],Devis[[#This Row],[Conditionnement]])</f>
        <v>0</v>
      </c>
      <c r="T45" s="72"/>
      <c r="U45" s="73"/>
      <c r="V45" s="74">
        <f>Devis[[#This Row],[Prix de Revient]]*Devis[[#This Row],[Poste 1]]</f>
        <v>0</v>
      </c>
      <c r="W45" s="74">
        <f>Devis[[#This Row],[Prix de Revient]]*Devis[[#This Row],[Poste 2]]</f>
        <v>0</v>
      </c>
      <c r="X45" s="74">
        <f>Devis[[#This Row],[Prix de Revient]]*Devis[[#This Row],[Poste 3]]</f>
        <v>0</v>
      </c>
      <c r="Y45" s="74">
        <f>Devis[[#This Row],[Poste 4]]*Devis[[#This Row],[Prix de Revient]]</f>
        <v>0</v>
      </c>
      <c r="Z45" s="74">
        <f>Devis[[#This Row],[Poste 5]]*Devis[[#This Row],[Prix de Revient]]</f>
        <v>0</v>
      </c>
      <c r="AA45" s="74">
        <f>Devis[[#This Row],[Prix de Revient]]*Devis[[#This Row],[Poste 6]]</f>
        <v>0</v>
      </c>
      <c r="AB45" s="74">
        <f>Devis[[#This Row],[Quantité Totale]]*Devis[[#This Row],[Prix de Revient]]</f>
        <v>0</v>
      </c>
    </row>
    <row r="46" spans="1:28" ht="14.25" outlineLevel="1" x14ac:dyDescent="0.2">
      <c r="A46" s="75" t="s">
        <v>31</v>
      </c>
      <c r="B46" s="67" t="s">
        <v>47</v>
      </c>
      <c r="C46" s="67" t="s">
        <v>47</v>
      </c>
      <c r="D46" s="67" t="str">
        <f>Général!$A3519&amp;Général!$B3519&amp;Général!$C3519</f>
        <v>TransairTuyaux flexibles</v>
      </c>
      <c r="E46" s="76" t="s">
        <v>5805</v>
      </c>
      <c r="F46" s="67">
        <v>4</v>
      </c>
      <c r="G46" s="71" t="s">
        <v>5567</v>
      </c>
      <c r="H46" s="68"/>
      <c r="I46" s="69"/>
      <c r="J46" s="70">
        <f>IFERROR(VLOOKUP(Devis[[#This Row],[Ref Air Flux]],#REF!,3,FALSE),0)</f>
        <v>0</v>
      </c>
      <c r="K46" s="68"/>
      <c r="L46" s="68"/>
      <c r="M46" s="68"/>
      <c r="N46" s="68"/>
      <c r="O46" s="68"/>
      <c r="P46" s="68"/>
      <c r="Q46" s="68">
        <f>SUM(Devis[[#This Row],[Poste 1]:[Poste 6]])</f>
        <v>0</v>
      </c>
      <c r="R46" s="71"/>
      <c r="S46" s="68">
        <f>_xlfn.CEILING.MATH(Devis[[#This Row],[Quantité Totale]],Devis[[#This Row],[Conditionnement]])</f>
        <v>0</v>
      </c>
      <c r="T46" s="72"/>
      <c r="U46" s="73"/>
      <c r="V46" s="74">
        <f>Devis[[#This Row],[Prix de Revient]]*Devis[[#This Row],[Poste 1]]</f>
        <v>0</v>
      </c>
      <c r="W46" s="74">
        <f>Devis[[#This Row],[Prix de Revient]]*Devis[[#This Row],[Poste 2]]</f>
        <v>0</v>
      </c>
      <c r="X46" s="74">
        <f>Devis[[#This Row],[Prix de Revient]]*Devis[[#This Row],[Poste 3]]</f>
        <v>0</v>
      </c>
      <c r="Y46" s="74">
        <f>Devis[[#This Row],[Poste 4]]*Devis[[#This Row],[Prix de Revient]]</f>
        <v>0</v>
      </c>
      <c r="Z46" s="74">
        <f>Devis[[#This Row],[Poste 5]]*Devis[[#This Row],[Prix de Revient]]</f>
        <v>0</v>
      </c>
      <c r="AA46" s="74">
        <f>Devis[[#This Row],[Prix de Revient]]*Devis[[#This Row],[Poste 6]]</f>
        <v>0</v>
      </c>
      <c r="AB46" s="74">
        <f>Devis[[#This Row],[Quantité Totale]]*Devis[[#This Row],[Prix de Revient]]</f>
        <v>0</v>
      </c>
    </row>
    <row r="47" spans="1:28" ht="14.25" customHeight="1" outlineLevel="1" x14ac:dyDescent="0.2">
      <c r="A47" s="75" t="s">
        <v>31</v>
      </c>
      <c r="B47" s="67" t="s">
        <v>47</v>
      </c>
      <c r="C47" s="67" t="s">
        <v>47</v>
      </c>
      <c r="D47" s="67" t="str">
        <f>Général!$A3520&amp;Général!$B3520&amp;Général!$C3520</f>
        <v>TransairTuyaux flexibles</v>
      </c>
      <c r="E47" s="76" t="s">
        <v>5806</v>
      </c>
      <c r="F47" s="67">
        <v>5</v>
      </c>
      <c r="G47" s="71" t="s">
        <v>5568</v>
      </c>
      <c r="H47" s="68"/>
      <c r="I47" s="69"/>
      <c r="J47" s="70">
        <f>IFERROR(VLOOKUP(Devis[[#This Row],[Ref Air Flux]],#REF!,3,FALSE),0)</f>
        <v>0</v>
      </c>
      <c r="K47" s="68"/>
      <c r="L47" s="68"/>
      <c r="M47" s="68"/>
      <c r="N47" s="68"/>
      <c r="O47" s="68"/>
      <c r="P47" s="68"/>
      <c r="Q47" s="68">
        <f>SUM(Devis[[#This Row],[Poste 1]:[Poste 6]])</f>
        <v>0</v>
      </c>
      <c r="R47" s="71"/>
      <c r="S47" s="68">
        <f>_xlfn.CEILING.MATH(Devis[[#This Row],[Quantité Totale]],Devis[[#This Row],[Conditionnement]])</f>
        <v>0</v>
      </c>
      <c r="T47" s="72"/>
      <c r="U47" s="73"/>
      <c r="V47" s="74">
        <f>Devis[[#This Row],[Prix de Revient]]*Devis[[#This Row],[Poste 1]]</f>
        <v>0</v>
      </c>
      <c r="W47" s="74">
        <f>Devis[[#This Row],[Prix de Revient]]*Devis[[#This Row],[Poste 2]]</f>
        <v>0</v>
      </c>
      <c r="X47" s="74">
        <f>Devis[[#This Row],[Prix de Revient]]*Devis[[#This Row],[Poste 3]]</f>
        <v>0</v>
      </c>
      <c r="Y47" s="74">
        <f>Devis[[#This Row],[Poste 4]]*Devis[[#This Row],[Prix de Revient]]</f>
        <v>0</v>
      </c>
      <c r="Z47" s="74">
        <f>Devis[[#This Row],[Poste 5]]*Devis[[#This Row],[Prix de Revient]]</f>
        <v>0</v>
      </c>
      <c r="AA47" s="74">
        <f>Devis[[#This Row],[Prix de Revient]]*Devis[[#This Row],[Poste 6]]</f>
        <v>0</v>
      </c>
      <c r="AB47" s="74">
        <f>Devis[[#This Row],[Quantité Totale]]*Devis[[#This Row],[Prix de Revient]]</f>
        <v>0</v>
      </c>
    </row>
    <row r="48" spans="1:28" ht="14.25" outlineLevel="1" x14ac:dyDescent="0.2">
      <c r="A48" s="75" t="s">
        <v>31</v>
      </c>
      <c r="B48" s="67" t="s">
        <v>47</v>
      </c>
      <c r="C48" s="67" t="s">
        <v>47</v>
      </c>
      <c r="D48" s="67" t="str">
        <f>Général!$A3522&amp;Général!$B3522&amp;Général!$C3522</f>
        <v>TransairTuyaux flexibles</v>
      </c>
      <c r="E48" s="76" t="s">
        <v>5807</v>
      </c>
      <c r="F48" s="67">
        <v>6</v>
      </c>
      <c r="G48" s="71" t="s">
        <v>5569</v>
      </c>
      <c r="H48" s="68"/>
      <c r="I48" s="69"/>
      <c r="J48" s="70">
        <f>IFERROR(VLOOKUP(Devis[[#This Row],[Ref Air Flux]],#REF!,3,FALSE),0)</f>
        <v>0</v>
      </c>
      <c r="K48" s="68"/>
      <c r="L48" s="68"/>
      <c r="M48" s="68"/>
      <c r="N48" s="68"/>
      <c r="O48" s="68"/>
      <c r="P48" s="68"/>
      <c r="Q48" s="68">
        <f>SUM(Devis[[#This Row],[Poste 1]:[Poste 6]])</f>
        <v>0</v>
      </c>
      <c r="R48" s="71"/>
      <c r="S48" s="68">
        <f>_xlfn.CEILING.MATH(Devis[[#This Row],[Quantité Totale]],Devis[[#This Row],[Conditionnement]])</f>
        <v>0</v>
      </c>
      <c r="T48" s="72"/>
      <c r="U48" s="73"/>
      <c r="V48" s="74">
        <f>Devis[[#This Row],[Prix de Revient]]*Devis[[#This Row],[Poste 1]]</f>
        <v>0</v>
      </c>
      <c r="W48" s="74">
        <f>Devis[[#This Row],[Prix de Revient]]*Devis[[#This Row],[Poste 2]]</f>
        <v>0</v>
      </c>
      <c r="X48" s="74">
        <f>Devis[[#This Row],[Prix de Revient]]*Devis[[#This Row],[Poste 3]]</f>
        <v>0</v>
      </c>
      <c r="Y48" s="74">
        <f>Devis[[#This Row],[Poste 4]]*Devis[[#This Row],[Prix de Revient]]</f>
        <v>0</v>
      </c>
      <c r="Z48" s="74">
        <f>Devis[[#This Row],[Poste 5]]*Devis[[#This Row],[Prix de Revient]]</f>
        <v>0</v>
      </c>
      <c r="AA48" s="74">
        <f>Devis[[#This Row],[Prix de Revient]]*Devis[[#This Row],[Poste 6]]</f>
        <v>0</v>
      </c>
      <c r="AB48" s="74">
        <f>Devis[[#This Row],[Quantité Totale]]*Devis[[#This Row],[Prix de Revient]]</f>
        <v>0</v>
      </c>
    </row>
    <row r="49" spans="1:28" ht="14.25" outlineLevel="1" x14ac:dyDescent="0.2">
      <c r="A49" s="75" t="s">
        <v>31</v>
      </c>
      <c r="B49" s="67" t="s">
        <v>47</v>
      </c>
      <c r="C49" s="67" t="s">
        <v>47</v>
      </c>
      <c r="D49" s="67" t="str">
        <f>Général!$A3523&amp;Général!$B3523&amp;Général!$C3523</f>
        <v>TransairTuyaux flexibles</v>
      </c>
      <c r="E49" s="76" t="s">
        <v>5808</v>
      </c>
      <c r="F49" s="67">
        <v>7</v>
      </c>
      <c r="G49" s="71" t="s">
        <v>5570</v>
      </c>
      <c r="H49" s="68"/>
      <c r="I49" s="69"/>
      <c r="J49" s="70">
        <f>IFERROR(VLOOKUP(Devis[[#This Row],[Ref Air Flux]],#REF!,3,FALSE),0)</f>
        <v>0</v>
      </c>
      <c r="K49" s="68"/>
      <c r="L49" s="68"/>
      <c r="M49" s="68"/>
      <c r="N49" s="68"/>
      <c r="O49" s="68"/>
      <c r="P49" s="68"/>
      <c r="Q49" s="68">
        <f>SUM(Devis[[#This Row],[Poste 1]:[Poste 6]])</f>
        <v>0</v>
      </c>
      <c r="R49" s="71"/>
      <c r="S49" s="68">
        <f>_xlfn.CEILING.MATH(Devis[[#This Row],[Quantité Totale]],Devis[[#This Row],[Conditionnement]])</f>
        <v>0</v>
      </c>
      <c r="T49" s="72"/>
      <c r="U49" s="73"/>
      <c r="V49" s="74">
        <f>Devis[[#This Row],[Prix de Revient]]*Devis[[#This Row],[Poste 1]]</f>
        <v>0</v>
      </c>
      <c r="W49" s="74">
        <f>Devis[[#This Row],[Prix de Revient]]*Devis[[#This Row],[Poste 2]]</f>
        <v>0</v>
      </c>
      <c r="X49" s="74">
        <f>Devis[[#This Row],[Prix de Revient]]*Devis[[#This Row],[Poste 3]]</f>
        <v>0</v>
      </c>
      <c r="Y49" s="74">
        <f>Devis[[#This Row],[Poste 4]]*Devis[[#This Row],[Prix de Revient]]</f>
        <v>0</v>
      </c>
      <c r="Z49" s="74">
        <f>Devis[[#This Row],[Poste 5]]*Devis[[#This Row],[Prix de Revient]]</f>
        <v>0</v>
      </c>
      <c r="AA49" s="74">
        <f>Devis[[#This Row],[Prix de Revient]]*Devis[[#This Row],[Poste 6]]</f>
        <v>0</v>
      </c>
      <c r="AB49" s="74">
        <f>Devis[[#This Row],[Quantité Totale]]*Devis[[#This Row],[Prix de Revient]]</f>
        <v>0</v>
      </c>
    </row>
    <row r="50" spans="1:28" ht="14.25" outlineLevel="1" x14ac:dyDescent="0.2">
      <c r="A50" s="75" t="s">
        <v>31</v>
      </c>
      <c r="B50" s="67" t="s">
        <v>47</v>
      </c>
      <c r="C50" s="67" t="s">
        <v>47</v>
      </c>
      <c r="D50" s="67" t="str">
        <f>Général!$A3524&amp;Général!$B3524&amp;Général!$C3524</f>
        <v>TransairTuyaux flexibles</v>
      </c>
      <c r="E50" s="76" t="s">
        <v>5809</v>
      </c>
      <c r="F50" s="67">
        <v>8</v>
      </c>
      <c r="G50" s="71" t="s">
        <v>5571</v>
      </c>
      <c r="H50" s="68"/>
      <c r="I50" s="69"/>
      <c r="J50" s="70">
        <f>IFERROR(VLOOKUP(Devis[[#This Row],[Ref Air Flux]],#REF!,3,FALSE),0)</f>
        <v>0</v>
      </c>
      <c r="K50" s="68"/>
      <c r="L50" s="68"/>
      <c r="M50" s="68"/>
      <c r="N50" s="68"/>
      <c r="O50" s="68"/>
      <c r="P50" s="68"/>
      <c r="Q50" s="68">
        <f>SUM(Devis[[#This Row],[Poste 1]:[Poste 6]])</f>
        <v>0</v>
      </c>
      <c r="R50" s="71"/>
      <c r="S50" s="68">
        <f>_xlfn.CEILING.MATH(Devis[[#This Row],[Quantité Totale]],Devis[[#This Row],[Conditionnement]])</f>
        <v>0</v>
      </c>
      <c r="T50" s="72"/>
      <c r="U50" s="73"/>
      <c r="V50" s="74">
        <f>Devis[[#This Row],[Prix de Revient]]*Devis[[#This Row],[Poste 1]]</f>
        <v>0</v>
      </c>
      <c r="W50" s="74">
        <f>Devis[[#This Row],[Prix de Revient]]*Devis[[#This Row],[Poste 2]]</f>
        <v>0</v>
      </c>
      <c r="X50" s="74">
        <f>Devis[[#This Row],[Prix de Revient]]*Devis[[#This Row],[Poste 3]]</f>
        <v>0</v>
      </c>
      <c r="Y50" s="74">
        <f>Devis[[#This Row],[Poste 4]]*Devis[[#This Row],[Prix de Revient]]</f>
        <v>0</v>
      </c>
      <c r="Z50" s="74">
        <f>Devis[[#This Row],[Poste 5]]*Devis[[#This Row],[Prix de Revient]]</f>
        <v>0</v>
      </c>
      <c r="AA50" s="74">
        <f>Devis[[#This Row],[Prix de Revient]]*Devis[[#This Row],[Poste 6]]</f>
        <v>0</v>
      </c>
      <c r="AB50" s="74">
        <f>Devis[[#This Row],[Quantité Totale]]*Devis[[#This Row],[Prix de Revient]]</f>
        <v>0</v>
      </c>
    </row>
    <row r="51" spans="1:28" ht="14.25" customHeight="1" outlineLevel="1" x14ac:dyDescent="0.2">
      <c r="A51" s="75" t="s">
        <v>31</v>
      </c>
      <c r="B51" s="67" t="s">
        <v>47</v>
      </c>
      <c r="C51" s="67" t="s">
        <v>47</v>
      </c>
      <c r="D51" s="67" t="str">
        <f>Général!$A3525&amp;Général!$B3525&amp;Général!$C3525</f>
        <v>TransairVannes</v>
      </c>
      <c r="E51" s="76" t="s">
        <v>5810</v>
      </c>
      <c r="F51" s="67">
        <v>9</v>
      </c>
      <c r="G51" s="71" t="s">
        <v>5572</v>
      </c>
      <c r="H51" s="68"/>
      <c r="I51" s="69"/>
      <c r="J51" s="70">
        <f>IFERROR(VLOOKUP(Devis[[#This Row],[Ref Air Flux]],#REF!,3,FALSE),0)</f>
        <v>0</v>
      </c>
      <c r="K51" s="68"/>
      <c r="L51" s="68"/>
      <c r="M51" s="68"/>
      <c r="N51" s="68"/>
      <c r="O51" s="68"/>
      <c r="P51" s="68"/>
      <c r="Q51" s="68">
        <f>SUM(Devis[[#This Row],[Poste 1]:[Poste 6]])</f>
        <v>0</v>
      </c>
      <c r="R51" s="71"/>
      <c r="S51" s="68">
        <f>_xlfn.CEILING.MATH(Devis[[#This Row],[Quantité Totale]],Devis[[#This Row],[Conditionnement]])</f>
        <v>0</v>
      </c>
      <c r="T51" s="72"/>
      <c r="U51" s="73"/>
      <c r="V51" s="74">
        <f>Devis[[#This Row],[Prix de Revient]]*Devis[[#This Row],[Poste 1]]</f>
        <v>0</v>
      </c>
      <c r="W51" s="74">
        <f>Devis[[#This Row],[Prix de Revient]]*Devis[[#This Row],[Poste 2]]</f>
        <v>0</v>
      </c>
      <c r="X51" s="74">
        <f>Devis[[#This Row],[Prix de Revient]]*Devis[[#This Row],[Poste 3]]</f>
        <v>0</v>
      </c>
      <c r="Y51" s="74">
        <f>Devis[[#This Row],[Poste 4]]*Devis[[#This Row],[Prix de Revient]]</f>
        <v>0</v>
      </c>
      <c r="Z51" s="74">
        <f>Devis[[#This Row],[Poste 5]]*Devis[[#This Row],[Prix de Revient]]</f>
        <v>0</v>
      </c>
      <c r="AA51" s="74">
        <f>Devis[[#This Row],[Prix de Revient]]*Devis[[#This Row],[Poste 6]]</f>
        <v>0</v>
      </c>
      <c r="AB51" s="74">
        <f>Devis[[#This Row],[Quantité Totale]]*Devis[[#This Row],[Prix de Revient]]</f>
        <v>0</v>
      </c>
    </row>
    <row r="52" spans="1:28" ht="14.25" outlineLevel="1" x14ac:dyDescent="0.2">
      <c r="A52" s="75" t="s">
        <v>31</v>
      </c>
      <c r="B52" s="67" t="s">
        <v>47</v>
      </c>
      <c r="C52" s="67" t="s">
        <v>47</v>
      </c>
      <c r="D52" s="67" t="str">
        <f>Général!$A3526&amp;Général!$B3526&amp;Général!$C3526</f>
        <v>TransairVannesBoisseau sph. FF</v>
      </c>
      <c r="E52" s="76" t="s">
        <v>5811</v>
      </c>
      <c r="F52" s="67">
        <v>10</v>
      </c>
      <c r="G52" s="71" t="s">
        <v>5573</v>
      </c>
      <c r="H52" s="68"/>
      <c r="I52" s="69"/>
      <c r="J52" s="70">
        <f>IFERROR(VLOOKUP(Devis[[#This Row],[Ref Air Flux]],#REF!,3,FALSE),0)</f>
        <v>0</v>
      </c>
      <c r="K52" s="68"/>
      <c r="L52" s="68"/>
      <c r="M52" s="68"/>
      <c r="N52" s="68"/>
      <c r="O52" s="68"/>
      <c r="P52" s="68"/>
      <c r="Q52" s="68">
        <f>SUM(Devis[[#This Row],[Poste 1]:[Poste 6]])</f>
        <v>0</v>
      </c>
      <c r="R52" s="71"/>
      <c r="S52" s="68">
        <f>_xlfn.CEILING.MATH(Devis[[#This Row],[Quantité Totale]],Devis[[#This Row],[Conditionnement]])</f>
        <v>0</v>
      </c>
      <c r="T52" s="72"/>
      <c r="U52" s="73"/>
      <c r="V52" s="74">
        <f>Devis[[#This Row],[Prix de Revient]]*Devis[[#This Row],[Poste 1]]</f>
        <v>0</v>
      </c>
      <c r="W52" s="74">
        <f>Devis[[#This Row],[Prix de Revient]]*Devis[[#This Row],[Poste 2]]</f>
        <v>0</v>
      </c>
      <c r="X52" s="74">
        <f>Devis[[#This Row],[Prix de Revient]]*Devis[[#This Row],[Poste 3]]</f>
        <v>0</v>
      </c>
      <c r="Y52" s="74">
        <f>Devis[[#This Row],[Poste 4]]*Devis[[#This Row],[Prix de Revient]]</f>
        <v>0</v>
      </c>
      <c r="Z52" s="74">
        <f>Devis[[#This Row],[Poste 5]]*Devis[[#This Row],[Prix de Revient]]</f>
        <v>0</v>
      </c>
      <c r="AA52" s="74">
        <f>Devis[[#This Row],[Prix de Revient]]*Devis[[#This Row],[Poste 6]]</f>
        <v>0</v>
      </c>
      <c r="AB52" s="74">
        <f>Devis[[#This Row],[Quantité Totale]]*Devis[[#This Row],[Prix de Revient]]</f>
        <v>0</v>
      </c>
    </row>
    <row r="53" spans="1:28" ht="14.25" outlineLevel="1" x14ac:dyDescent="0.2">
      <c r="A53" s="75" t="s">
        <v>31</v>
      </c>
      <c r="B53" s="67" t="s">
        <v>47</v>
      </c>
      <c r="C53" s="67" t="s">
        <v>47</v>
      </c>
      <c r="D53" s="67" t="str">
        <f>Général!$A3527&amp;Général!$B3527&amp;Général!$C3527</f>
        <v>TransairVannesBoisseau sph. FF</v>
      </c>
      <c r="E53" s="76" t="s">
        <v>5812</v>
      </c>
      <c r="F53" s="67">
        <v>11</v>
      </c>
      <c r="G53" s="71" t="s">
        <v>5574</v>
      </c>
      <c r="H53" s="68"/>
      <c r="I53" s="69"/>
      <c r="J53" s="70">
        <f>IFERROR(VLOOKUP(Devis[[#This Row],[Ref Air Flux]],#REF!,3,FALSE),0)</f>
        <v>0</v>
      </c>
      <c r="K53" s="68"/>
      <c r="L53" s="68"/>
      <c r="M53" s="68"/>
      <c r="N53" s="68"/>
      <c r="O53" s="68"/>
      <c r="P53" s="68"/>
      <c r="Q53" s="68">
        <f>SUM(Devis[[#This Row],[Poste 1]:[Poste 6]])</f>
        <v>0</v>
      </c>
      <c r="R53" s="71"/>
      <c r="S53" s="68">
        <f>_xlfn.CEILING.MATH(Devis[[#This Row],[Quantité Totale]],Devis[[#This Row],[Conditionnement]])</f>
        <v>0</v>
      </c>
      <c r="T53" s="72"/>
      <c r="U53" s="73"/>
      <c r="V53" s="74">
        <f>Devis[[#This Row],[Prix de Revient]]*Devis[[#This Row],[Poste 1]]</f>
        <v>0</v>
      </c>
      <c r="W53" s="74">
        <f>Devis[[#This Row],[Prix de Revient]]*Devis[[#This Row],[Poste 2]]</f>
        <v>0</v>
      </c>
      <c r="X53" s="74">
        <f>Devis[[#This Row],[Prix de Revient]]*Devis[[#This Row],[Poste 3]]</f>
        <v>0</v>
      </c>
      <c r="Y53" s="74">
        <f>Devis[[#This Row],[Poste 4]]*Devis[[#This Row],[Prix de Revient]]</f>
        <v>0</v>
      </c>
      <c r="Z53" s="74">
        <f>Devis[[#This Row],[Poste 5]]*Devis[[#This Row],[Prix de Revient]]</f>
        <v>0</v>
      </c>
      <c r="AA53" s="74">
        <f>Devis[[#This Row],[Prix de Revient]]*Devis[[#This Row],[Poste 6]]</f>
        <v>0</v>
      </c>
      <c r="AB53" s="74">
        <f>Devis[[#This Row],[Quantité Totale]]*Devis[[#This Row],[Prix de Revient]]</f>
        <v>0</v>
      </c>
    </row>
    <row r="54" spans="1:28" ht="14.25" outlineLevel="1" x14ac:dyDescent="0.2">
      <c r="A54" s="75" t="s">
        <v>31</v>
      </c>
      <c r="B54" s="67" t="s">
        <v>47</v>
      </c>
      <c r="C54" s="67" t="s">
        <v>47</v>
      </c>
      <c r="D54" s="67" t="e">
        <f>Général!#REF!&amp;Général!#REF!&amp;Général!#REF!</f>
        <v>#REF!</v>
      </c>
      <c r="E54" s="76" t="s">
        <v>5813</v>
      </c>
      <c r="F54" s="67">
        <v>12</v>
      </c>
      <c r="G54" s="71" t="s">
        <v>5575</v>
      </c>
      <c r="H54" s="68"/>
      <c r="I54" s="69"/>
      <c r="J54" s="70">
        <f>IFERROR(VLOOKUP(Devis[[#This Row],[Ref Air Flux]],#REF!,3,FALSE),0)</f>
        <v>0</v>
      </c>
      <c r="K54" s="68"/>
      <c r="L54" s="68"/>
      <c r="M54" s="68"/>
      <c r="N54" s="68"/>
      <c r="O54" s="68"/>
      <c r="P54" s="68"/>
      <c r="Q54" s="68">
        <f>SUM(Devis[[#This Row],[Poste 1]:[Poste 6]])</f>
        <v>0</v>
      </c>
      <c r="R54" s="71"/>
      <c r="S54" s="68">
        <f>_xlfn.CEILING.MATH(Devis[[#This Row],[Quantité Totale]],Devis[[#This Row],[Conditionnement]])</f>
        <v>0</v>
      </c>
      <c r="T54" s="72"/>
      <c r="U54" s="73"/>
      <c r="V54" s="74">
        <f>Devis[[#This Row],[Prix de Revient]]*Devis[[#This Row],[Poste 1]]</f>
        <v>0</v>
      </c>
      <c r="W54" s="74">
        <f>Devis[[#This Row],[Prix de Revient]]*Devis[[#This Row],[Poste 2]]</f>
        <v>0</v>
      </c>
      <c r="X54" s="74">
        <f>Devis[[#This Row],[Prix de Revient]]*Devis[[#This Row],[Poste 3]]</f>
        <v>0</v>
      </c>
      <c r="Y54" s="74">
        <f>Devis[[#This Row],[Poste 4]]*Devis[[#This Row],[Prix de Revient]]</f>
        <v>0</v>
      </c>
      <c r="Z54" s="74">
        <f>Devis[[#This Row],[Poste 5]]*Devis[[#This Row],[Prix de Revient]]</f>
        <v>0</v>
      </c>
      <c r="AA54" s="74">
        <f>Devis[[#This Row],[Prix de Revient]]*Devis[[#This Row],[Poste 6]]</f>
        <v>0</v>
      </c>
      <c r="AB54" s="74">
        <f>Devis[[#This Row],[Quantité Totale]]*Devis[[#This Row],[Prix de Revient]]</f>
        <v>0</v>
      </c>
    </row>
    <row r="55" spans="1:28" ht="14.25" outlineLevel="1" x14ac:dyDescent="0.2">
      <c r="A55" s="75" t="s">
        <v>31</v>
      </c>
      <c r="B55" s="67" t="s">
        <v>47</v>
      </c>
      <c r="C55" s="67" t="s">
        <v>47</v>
      </c>
      <c r="D55" s="67" t="str">
        <f>Général!$A3528&amp;Général!$B3528&amp;Général!$C3528</f>
        <v>TransairVannesBoisseau sph. FF</v>
      </c>
      <c r="E55" s="76" t="s">
        <v>5814</v>
      </c>
      <c r="F55" s="67">
        <v>13</v>
      </c>
      <c r="G55" s="71" t="s">
        <v>5576</v>
      </c>
      <c r="H55" s="68"/>
      <c r="I55" s="69"/>
      <c r="J55" s="70">
        <f>IFERROR(VLOOKUP(Devis[[#This Row],[Ref Air Flux]],#REF!,3,FALSE),0)</f>
        <v>0</v>
      </c>
      <c r="K55" s="68"/>
      <c r="L55" s="68"/>
      <c r="M55" s="68"/>
      <c r="N55" s="68"/>
      <c r="O55" s="68"/>
      <c r="P55" s="68"/>
      <c r="Q55" s="68">
        <f>SUM(Devis[[#This Row],[Poste 1]:[Poste 6]])</f>
        <v>0</v>
      </c>
      <c r="R55" s="71"/>
      <c r="S55" s="68">
        <f>_xlfn.CEILING.MATH(Devis[[#This Row],[Quantité Totale]],Devis[[#This Row],[Conditionnement]])</f>
        <v>0</v>
      </c>
      <c r="T55" s="72"/>
      <c r="U55" s="73"/>
      <c r="V55" s="74">
        <f>Devis[[#This Row],[Prix de Revient]]*Devis[[#This Row],[Poste 1]]</f>
        <v>0</v>
      </c>
      <c r="W55" s="74">
        <f>Devis[[#This Row],[Prix de Revient]]*Devis[[#This Row],[Poste 2]]</f>
        <v>0</v>
      </c>
      <c r="X55" s="74">
        <f>Devis[[#This Row],[Prix de Revient]]*Devis[[#This Row],[Poste 3]]</f>
        <v>0</v>
      </c>
      <c r="Y55" s="74">
        <f>Devis[[#This Row],[Poste 4]]*Devis[[#This Row],[Prix de Revient]]</f>
        <v>0</v>
      </c>
      <c r="Z55" s="74">
        <f>Devis[[#This Row],[Poste 5]]*Devis[[#This Row],[Prix de Revient]]</f>
        <v>0</v>
      </c>
      <c r="AA55" s="74">
        <f>Devis[[#This Row],[Prix de Revient]]*Devis[[#This Row],[Poste 6]]</f>
        <v>0</v>
      </c>
      <c r="AB55" s="74">
        <f>Devis[[#This Row],[Quantité Totale]]*Devis[[#This Row],[Prix de Revient]]</f>
        <v>0</v>
      </c>
    </row>
    <row r="56" spans="1:28" ht="14.25" outlineLevel="1" x14ac:dyDescent="0.2">
      <c r="A56" s="75" t="s">
        <v>31</v>
      </c>
      <c r="B56" s="67" t="s">
        <v>47</v>
      </c>
      <c r="C56" s="67" t="s">
        <v>47</v>
      </c>
      <c r="D56" s="67" t="str">
        <f>Général!$A3529&amp;Général!$B3529&amp;Général!$C3529</f>
        <v>TransairVannesBoisseau sph. FF</v>
      </c>
      <c r="E56" s="80" t="s">
        <v>5815</v>
      </c>
      <c r="F56" s="67">
        <v>14</v>
      </c>
      <c r="G56" s="71" t="s">
        <v>5577</v>
      </c>
      <c r="H56" s="68"/>
      <c r="I56" s="69"/>
      <c r="J56" s="70">
        <f>IFERROR(VLOOKUP(Devis[[#This Row],[Ref Air Flux]],#REF!,3,FALSE),0)</f>
        <v>0</v>
      </c>
      <c r="K56" s="68"/>
      <c r="L56" s="68"/>
      <c r="M56" s="68"/>
      <c r="N56" s="68"/>
      <c r="O56" s="68"/>
      <c r="P56" s="68"/>
      <c r="Q56" s="68">
        <f>SUM(Devis[[#This Row],[Poste 1]:[Poste 6]])</f>
        <v>0</v>
      </c>
      <c r="R56" s="71"/>
      <c r="S56" s="68">
        <f>_xlfn.CEILING.MATH(Devis[[#This Row],[Quantité Totale]],Devis[[#This Row],[Conditionnement]])</f>
        <v>0</v>
      </c>
      <c r="T56" s="72"/>
      <c r="U56" s="73"/>
      <c r="V56" s="74">
        <f>Devis[[#This Row],[Prix de Revient]]*Devis[[#This Row],[Poste 1]]</f>
        <v>0</v>
      </c>
      <c r="W56" s="74">
        <f>Devis[[#This Row],[Prix de Revient]]*Devis[[#This Row],[Poste 2]]</f>
        <v>0</v>
      </c>
      <c r="X56" s="74">
        <f>Devis[[#This Row],[Prix de Revient]]*Devis[[#This Row],[Poste 3]]</f>
        <v>0</v>
      </c>
      <c r="Y56" s="74">
        <f>Devis[[#This Row],[Poste 4]]*Devis[[#This Row],[Prix de Revient]]</f>
        <v>0</v>
      </c>
      <c r="Z56" s="74">
        <f>Devis[[#This Row],[Poste 5]]*Devis[[#This Row],[Prix de Revient]]</f>
        <v>0</v>
      </c>
      <c r="AA56" s="74">
        <f>Devis[[#This Row],[Prix de Revient]]*Devis[[#This Row],[Poste 6]]</f>
        <v>0</v>
      </c>
      <c r="AB56" s="74">
        <f>Devis[[#This Row],[Quantité Totale]]*Devis[[#This Row],[Prix de Revient]]</f>
        <v>0</v>
      </c>
    </row>
    <row r="57" spans="1:28" ht="14.25" customHeight="1" outlineLevel="1" x14ac:dyDescent="0.2">
      <c r="A57" s="75" t="s">
        <v>31</v>
      </c>
      <c r="B57" s="67" t="s">
        <v>47</v>
      </c>
      <c r="C57" s="67" t="s">
        <v>47</v>
      </c>
      <c r="D57" s="67" t="str">
        <f>Général!$A3530&amp;Général!$B3530&amp;Général!$C3530</f>
        <v>TransairVannesBoisseau sph. FF</v>
      </c>
      <c r="E57" s="76" t="s">
        <v>5816</v>
      </c>
      <c r="F57" s="67">
        <v>15</v>
      </c>
      <c r="G57" s="71" t="s">
        <v>5578</v>
      </c>
      <c r="H57" s="68"/>
      <c r="I57" s="69"/>
      <c r="J57" s="70">
        <f>IFERROR(VLOOKUP(Devis[[#This Row],[Ref Air Flux]],#REF!,3,FALSE),0)</f>
        <v>0</v>
      </c>
      <c r="K57" s="68"/>
      <c r="L57" s="68"/>
      <c r="M57" s="68"/>
      <c r="N57" s="68"/>
      <c r="O57" s="68"/>
      <c r="P57" s="68"/>
      <c r="Q57" s="68">
        <f>SUM(Devis[[#This Row],[Poste 1]:[Poste 6]])</f>
        <v>0</v>
      </c>
      <c r="R57" s="71"/>
      <c r="S57" s="68">
        <f>_xlfn.CEILING.MATH(Devis[[#This Row],[Quantité Totale]],Devis[[#This Row],[Conditionnement]])</f>
        <v>0</v>
      </c>
      <c r="T57" s="72"/>
      <c r="U57" s="73"/>
      <c r="V57" s="74">
        <f>Devis[[#This Row],[Prix de Revient]]*Devis[[#This Row],[Poste 1]]</f>
        <v>0</v>
      </c>
      <c r="W57" s="74">
        <f>Devis[[#This Row],[Prix de Revient]]*Devis[[#This Row],[Poste 2]]</f>
        <v>0</v>
      </c>
      <c r="X57" s="74">
        <f>Devis[[#This Row],[Prix de Revient]]*Devis[[#This Row],[Poste 3]]</f>
        <v>0</v>
      </c>
      <c r="Y57" s="74">
        <f>Devis[[#This Row],[Poste 4]]*Devis[[#This Row],[Prix de Revient]]</f>
        <v>0</v>
      </c>
      <c r="Z57" s="74">
        <f>Devis[[#This Row],[Poste 5]]*Devis[[#This Row],[Prix de Revient]]</f>
        <v>0</v>
      </c>
      <c r="AA57" s="74">
        <f>Devis[[#This Row],[Prix de Revient]]*Devis[[#This Row],[Poste 6]]</f>
        <v>0</v>
      </c>
      <c r="AB57" s="74">
        <f>Devis[[#This Row],[Quantité Totale]]*Devis[[#This Row],[Prix de Revient]]</f>
        <v>0</v>
      </c>
    </row>
    <row r="58" spans="1:28" ht="14.25" customHeight="1" outlineLevel="1" x14ac:dyDescent="0.2">
      <c r="A58" s="75" t="s">
        <v>31</v>
      </c>
      <c r="B58" s="67" t="s">
        <v>47</v>
      </c>
      <c r="C58" s="67" t="s">
        <v>48</v>
      </c>
      <c r="D58" s="67" t="str">
        <f>Général!$A3531&amp;Général!$B3531&amp;Général!$C3531</f>
        <v>TransairVannesBoisseau sph. FF</v>
      </c>
      <c r="E58" s="76" t="s">
        <v>5817</v>
      </c>
      <c r="F58" s="67">
        <v>16</v>
      </c>
      <c r="G58" s="71" t="s">
        <v>5579</v>
      </c>
      <c r="H58" s="68"/>
      <c r="I58" s="69"/>
      <c r="J58" s="70">
        <f>IFERROR(VLOOKUP(Devis[[#This Row],[Ref Air Flux]],#REF!,3,FALSE),0)</f>
        <v>0</v>
      </c>
      <c r="K58" s="68"/>
      <c r="L58" s="68"/>
      <c r="M58" s="68"/>
      <c r="N58" s="68"/>
      <c r="O58" s="68"/>
      <c r="P58" s="68"/>
      <c r="Q58" s="68">
        <f>SUM(Devis[[#This Row],[Poste 1]:[Poste 6]])</f>
        <v>0</v>
      </c>
      <c r="R58" s="71"/>
      <c r="S58" s="68">
        <f>_xlfn.CEILING.MATH(Devis[[#This Row],[Quantité Totale]],Devis[[#This Row],[Conditionnement]])</f>
        <v>0</v>
      </c>
      <c r="T58" s="72"/>
      <c r="U58" s="73"/>
      <c r="V58" s="74">
        <f>Devis[[#This Row],[Prix de Revient]]*Devis[[#This Row],[Poste 1]]</f>
        <v>0</v>
      </c>
      <c r="W58" s="74">
        <f>Devis[[#This Row],[Prix de Revient]]*Devis[[#This Row],[Poste 2]]</f>
        <v>0</v>
      </c>
      <c r="X58" s="74">
        <f>Devis[[#This Row],[Prix de Revient]]*Devis[[#This Row],[Poste 3]]</f>
        <v>0</v>
      </c>
      <c r="Y58" s="74">
        <f>Devis[[#This Row],[Poste 4]]*Devis[[#This Row],[Prix de Revient]]</f>
        <v>0</v>
      </c>
      <c r="Z58" s="74">
        <f>Devis[[#This Row],[Poste 5]]*Devis[[#This Row],[Prix de Revient]]</f>
        <v>0</v>
      </c>
      <c r="AA58" s="74">
        <f>Devis[[#This Row],[Prix de Revient]]*Devis[[#This Row],[Poste 6]]</f>
        <v>0</v>
      </c>
      <c r="AB58" s="74">
        <f>Devis[[#This Row],[Quantité Totale]]*Devis[[#This Row],[Prix de Revient]]</f>
        <v>0</v>
      </c>
    </row>
    <row r="59" spans="1:28" ht="14.25" outlineLevel="1" x14ac:dyDescent="0.2">
      <c r="A59" s="75" t="s">
        <v>31</v>
      </c>
      <c r="B59" s="67" t="s">
        <v>47</v>
      </c>
      <c r="C59" s="67" t="s">
        <v>52</v>
      </c>
      <c r="D59" s="67" t="str">
        <f>Général!$A3537&amp;Général!$B3537&amp;Général!$C3537</f>
        <v>TransairVannesBoisseau sph. MF</v>
      </c>
      <c r="E59" s="76" t="s">
        <v>16</v>
      </c>
      <c r="F59" s="67">
        <v>17</v>
      </c>
      <c r="G59" s="71" t="s">
        <v>5580</v>
      </c>
      <c r="H59" s="68"/>
      <c r="I59" s="69"/>
      <c r="J59" s="70">
        <f>IFERROR(VLOOKUP(Devis[[#This Row],[Ref Air Flux]],#REF!,3,FALSE),0)</f>
        <v>0</v>
      </c>
      <c r="K59" s="68"/>
      <c r="L59" s="68"/>
      <c r="M59" s="68"/>
      <c r="N59" s="68"/>
      <c r="O59" s="68"/>
      <c r="P59" s="68"/>
      <c r="Q59" s="68">
        <f>SUM(Devis[[#This Row],[Poste 1]:[Poste 6]])</f>
        <v>0</v>
      </c>
      <c r="R59" s="71"/>
      <c r="S59" s="68">
        <f>_xlfn.CEILING.MATH(Devis[[#This Row],[Quantité Totale]],Devis[[#This Row],[Conditionnement]])</f>
        <v>0</v>
      </c>
      <c r="T59" s="72"/>
      <c r="U59" s="73"/>
      <c r="V59" s="74">
        <f>Devis[[#This Row],[Prix de Revient]]*Devis[[#This Row],[Poste 1]]</f>
        <v>0</v>
      </c>
      <c r="W59" s="74">
        <f>Devis[[#This Row],[Prix de Revient]]*Devis[[#This Row],[Poste 2]]</f>
        <v>0</v>
      </c>
      <c r="X59" s="74">
        <f>Devis[[#This Row],[Prix de Revient]]*Devis[[#This Row],[Poste 3]]</f>
        <v>0</v>
      </c>
      <c r="Y59" s="74">
        <f>Devis[[#This Row],[Poste 4]]*Devis[[#This Row],[Prix de Revient]]</f>
        <v>0</v>
      </c>
      <c r="Z59" s="74">
        <f>Devis[[#This Row],[Poste 5]]*Devis[[#This Row],[Prix de Revient]]</f>
        <v>0</v>
      </c>
      <c r="AA59" s="74">
        <f>Devis[[#This Row],[Prix de Revient]]*Devis[[#This Row],[Poste 6]]</f>
        <v>0</v>
      </c>
      <c r="AB59" s="74">
        <f>Devis[[#This Row],[Quantité Totale]]*Devis[[#This Row],[Prix de Revient]]</f>
        <v>0</v>
      </c>
    </row>
    <row r="60" spans="1:28" ht="14.25" outlineLevel="1" x14ac:dyDescent="0.2">
      <c r="A60" s="75" t="s">
        <v>31</v>
      </c>
      <c r="B60" s="67" t="s">
        <v>47</v>
      </c>
      <c r="C60" s="67" t="s">
        <v>52</v>
      </c>
      <c r="D60" s="67" t="str">
        <f>Général!$A3538&amp;Général!$B3538&amp;Général!$C3538</f>
        <v>TransairVannesBoisseau sph. MF</v>
      </c>
      <c r="E60" s="76" t="s">
        <v>17</v>
      </c>
      <c r="F60" s="67">
        <v>18</v>
      </c>
      <c r="G60" s="71" t="s">
        <v>5581</v>
      </c>
      <c r="H60" s="68"/>
      <c r="I60" s="69"/>
      <c r="J60" s="70">
        <f>IFERROR(VLOOKUP(Devis[[#This Row],[Ref Air Flux]],#REF!,3,FALSE),0)</f>
        <v>0</v>
      </c>
      <c r="K60" s="68"/>
      <c r="L60" s="68"/>
      <c r="M60" s="68"/>
      <c r="N60" s="68"/>
      <c r="O60" s="68"/>
      <c r="P60" s="68"/>
      <c r="Q60" s="68">
        <f>SUM(Devis[[#This Row],[Poste 1]:[Poste 6]])</f>
        <v>0</v>
      </c>
      <c r="R60" s="71"/>
      <c r="S60" s="68">
        <f>_xlfn.CEILING.MATH(Devis[[#This Row],[Quantité Totale]],Devis[[#This Row],[Conditionnement]])</f>
        <v>0</v>
      </c>
      <c r="T60" s="72"/>
      <c r="U60" s="73"/>
      <c r="V60" s="74">
        <f>Devis[[#This Row],[Prix de Revient]]*Devis[[#This Row],[Poste 1]]</f>
        <v>0</v>
      </c>
      <c r="W60" s="74">
        <f>Devis[[#This Row],[Prix de Revient]]*Devis[[#This Row],[Poste 2]]</f>
        <v>0</v>
      </c>
      <c r="X60" s="74">
        <f>Devis[[#This Row],[Prix de Revient]]*Devis[[#This Row],[Poste 3]]</f>
        <v>0</v>
      </c>
      <c r="Y60" s="74">
        <f>Devis[[#This Row],[Poste 4]]*Devis[[#This Row],[Prix de Revient]]</f>
        <v>0</v>
      </c>
      <c r="Z60" s="74">
        <f>Devis[[#This Row],[Poste 5]]*Devis[[#This Row],[Prix de Revient]]</f>
        <v>0</v>
      </c>
      <c r="AA60" s="74">
        <f>Devis[[#This Row],[Prix de Revient]]*Devis[[#This Row],[Poste 6]]</f>
        <v>0</v>
      </c>
      <c r="AB60" s="74">
        <f>Devis[[#This Row],[Quantité Totale]]*Devis[[#This Row],[Prix de Revient]]</f>
        <v>0</v>
      </c>
    </row>
    <row r="61" spans="1:28" ht="14.25" outlineLevel="1" x14ac:dyDescent="0.2">
      <c r="A61" s="75" t="s">
        <v>31</v>
      </c>
      <c r="B61" s="67" t="s">
        <v>47</v>
      </c>
      <c r="C61" s="67" t="s">
        <v>52</v>
      </c>
      <c r="D61" s="67" t="str">
        <f>Général!$A3539&amp;Général!$B3539&amp;Général!$C3539</f>
        <v>TransairVannesMini vanne</v>
      </c>
      <c r="E61" s="76" t="s">
        <v>18</v>
      </c>
      <c r="F61" s="67">
        <v>19</v>
      </c>
      <c r="G61" s="71" t="s">
        <v>5582</v>
      </c>
      <c r="H61" s="68"/>
      <c r="I61" s="69"/>
      <c r="J61" s="70">
        <f>IFERROR(VLOOKUP(Devis[[#This Row],[Ref Air Flux]],#REF!,3,FALSE),0)</f>
        <v>0</v>
      </c>
      <c r="K61" s="68"/>
      <c r="L61" s="68"/>
      <c r="M61" s="68"/>
      <c r="N61" s="68"/>
      <c r="O61" s="68"/>
      <c r="P61" s="68"/>
      <c r="Q61" s="68">
        <f>SUM(Devis[[#This Row],[Poste 1]:[Poste 6]])</f>
        <v>0</v>
      </c>
      <c r="R61" s="71"/>
      <c r="S61" s="68">
        <f>_xlfn.CEILING.MATH(Devis[[#This Row],[Quantité Totale]],Devis[[#This Row],[Conditionnement]])</f>
        <v>0</v>
      </c>
      <c r="T61" s="72"/>
      <c r="U61" s="73"/>
      <c r="V61" s="74">
        <f>Devis[[#This Row],[Prix de Revient]]*Devis[[#This Row],[Poste 1]]</f>
        <v>0</v>
      </c>
      <c r="W61" s="74">
        <f>Devis[[#This Row],[Prix de Revient]]*Devis[[#This Row],[Poste 2]]</f>
        <v>0</v>
      </c>
      <c r="X61" s="74">
        <f>Devis[[#This Row],[Prix de Revient]]*Devis[[#This Row],[Poste 3]]</f>
        <v>0</v>
      </c>
      <c r="Y61" s="74">
        <f>Devis[[#This Row],[Poste 4]]*Devis[[#This Row],[Prix de Revient]]</f>
        <v>0</v>
      </c>
      <c r="Z61" s="74">
        <f>Devis[[#This Row],[Poste 5]]*Devis[[#This Row],[Prix de Revient]]</f>
        <v>0</v>
      </c>
      <c r="AA61" s="74">
        <f>Devis[[#This Row],[Prix de Revient]]*Devis[[#This Row],[Poste 6]]</f>
        <v>0</v>
      </c>
      <c r="AB61" s="74">
        <f>Devis[[#This Row],[Quantité Totale]]*Devis[[#This Row],[Prix de Revient]]</f>
        <v>0</v>
      </c>
    </row>
    <row r="62" spans="1:28" ht="14.25" outlineLevel="1" x14ac:dyDescent="0.2">
      <c r="A62" s="75" t="s">
        <v>31</v>
      </c>
      <c r="B62" s="67" t="s">
        <v>47</v>
      </c>
      <c r="C62" s="67" t="s">
        <v>53</v>
      </c>
      <c r="D62" s="67" t="str">
        <f>Général!$A3540&amp;Général!$B3540&amp;Général!$C3540</f>
        <v>TransairVannesPapillon joint NBR</v>
      </c>
      <c r="E62" s="76" t="s">
        <v>5848</v>
      </c>
      <c r="F62" s="67">
        <v>20</v>
      </c>
      <c r="G62" s="71">
        <v>11204004</v>
      </c>
      <c r="H62" s="68"/>
      <c r="I62" s="69"/>
      <c r="J62" s="70">
        <f>IFERROR(VLOOKUP(Devis[[#This Row],[Ref Air Flux]],#REF!,3,FALSE),0)</f>
        <v>0</v>
      </c>
      <c r="K62" s="68"/>
      <c r="L62" s="68"/>
      <c r="M62" s="68"/>
      <c r="N62" s="68"/>
      <c r="O62" s="68"/>
      <c r="P62" s="68"/>
      <c r="Q62" s="68">
        <f>SUM(Devis[[#This Row],[Poste 1]:[Poste 6]])</f>
        <v>0</v>
      </c>
      <c r="R62" s="71"/>
      <c r="S62" s="68">
        <f>_xlfn.CEILING.MATH(Devis[[#This Row],[Quantité Totale]],Devis[[#This Row],[Conditionnement]])</f>
        <v>0</v>
      </c>
      <c r="T62" s="72"/>
      <c r="U62" s="73"/>
      <c r="V62" s="74">
        <f>Devis[[#This Row],[Prix de Revient]]*Devis[[#This Row],[Poste 1]]</f>
        <v>0</v>
      </c>
      <c r="W62" s="74">
        <f>Devis[[#This Row],[Prix de Revient]]*Devis[[#This Row],[Poste 2]]</f>
        <v>0</v>
      </c>
      <c r="X62" s="74">
        <f>Devis[[#This Row],[Prix de Revient]]*Devis[[#This Row],[Poste 3]]</f>
        <v>0</v>
      </c>
      <c r="Y62" s="74">
        <f>Devis[[#This Row],[Poste 4]]*Devis[[#This Row],[Prix de Revient]]</f>
        <v>0</v>
      </c>
      <c r="Z62" s="74">
        <f>Devis[[#This Row],[Poste 5]]*Devis[[#This Row],[Prix de Revient]]</f>
        <v>0</v>
      </c>
      <c r="AA62" s="74">
        <f>Devis[[#This Row],[Prix de Revient]]*Devis[[#This Row],[Poste 6]]</f>
        <v>0</v>
      </c>
      <c r="AB62" s="74">
        <f>Devis[[#This Row],[Quantité Totale]]*Devis[[#This Row],[Prix de Revient]]</f>
        <v>0</v>
      </c>
    </row>
    <row r="63" spans="1:28" ht="14.25" outlineLevel="1" x14ac:dyDescent="0.2">
      <c r="A63" s="75" t="s">
        <v>31</v>
      </c>
      <c r="B63" s="67" t="s">
        <v>47</v>
      </c>
      <c r="C63" s="67" t="s">
        <v>53</v>
      </c>
      <c r="D63" s="67" t="str">
        <f>Général!$A3541&amp;Général!$B3541&amp;Général!$C3541</f>
        <v>TransairVannesPapillon joint NBR</v>
      </c>
      <c r="E63" s="76" t="s">
        <v>5849</v>
      </c>
      <c r="F63" s="67">
        <v>21</v>
      </c>
      <c r="G63" s="71">
        <v>11204006</v>
      </c>
      <c r="H63" s="68"/>
      <c r="I63" s="69"/>
      <c r="J63" s="70">
        <f>IFERROR(VLOOKUP(Devis[[#This Row],[Ref Air Flux]],#REF!,3,FALSE),0)</f>
        <v>0</v>
      </c>
      <c r="K63" s="68"/>
      <c r="L63" s="68"/>
      <c r="M63" s="68"/>
      <c r="N63" s="68"/>
      <c r="O63" s="68"/>
      <c r="P63" s="68"/>
      <c r="Q63" s="68">
        <f>SUM(Devis[[#This Row],[Poste 1]:[Poste 6]])</f>
        <v>0</v>
      </c>
      <c r="R63" s="71"/>
      <c r="S63" s="68">
        <f>_xlfn.CEILING.MATH(Devis[[#This Row],[Quantité Totale]],Devis[[#This Row],[Conditionnement]])</f>
        <v>0</v>
      </c>
      <c r="T63" s="72"/>
      <c r="U63" s="73"/>
      <c r="V63" s="74">
        <f>Devis[[#This Row],[Prix de Revient]]*Devis[[#This Row],[Poste 1]]</f>
        <v>0</v>
      </c>
      <c r="W63" s="74">
        <f>Devis[[#This Row],[Prix de Revient]]*Devis[[#This Row],[Poste 2]]</f>
        <v>0</v>
      </c>
      <c r="X63" s="74">
        <f>Devis[[#This Row],[Prix de Revient]]*Devis[[#This Row],[Poste 3]]</f>
        <v>0</v>
      </c>
      <c r="Y63" s="74">
        <f>Devis[[#This Row],[Poste 4]]*Devis[[#This Row],[Prix de Revient]]</f>
        <v>0</v>
      </c>
      <c r="Z63" s="74">
        <f>Devis[[#This Row],[Poste 5]]*Devis[[#This Row],[Prix de Revient]]</f>
        <v>0</v>
      </c>
      <c r="AA63" s="74">
        <f>Devis[[#This Row],[Prix de Revient]]*Devis[[#This Row],[Poste 6]]</f>
        <v>0</v>
      </c>
      <c r="AB63" s="74">
        <f>Devis[[#This Row],[Quantité Totale]]*Devis[[#This Row],[Prix de Revient]]</f>
        <v>0</v>
      </c>
    </row>
    <row r="64" spans="1:28" ht="14.25" customHeight="1" x14ac:dyDescent="0.25">
      <c r="A64" s="77" t="s">
        <v>31</v>
      </c>
      <c r="B64" s="66" t="s">
        <v>54</v>
      </c>
      <c r="C64" s="67"/>
      <c r="D64" s="67" t="str">
        <f>Général!$A3542&amp;Général!$B3542&amp;Général!$C3542</f>
        <v>TransairVannesPapillon joint NBR</v>
      </c>
      <c r="E64" s="67"/>
      <c r="F64" s="67">
        <v>0</v>
      </c>
      <c r="G64" s="68"/>
      <c r="H64" s="68"/>
      <c r="I64" s="69"/>
      <c r="J64" s="70">
        <f>IFERROR(VLOOKUP(Devis[[#This Row],[Ref Air Flux]],#REF!,3,FALSE),0)</f>
        <v>0</v>
      </c>
      <c r="K64" s="68"/>
      <c r="L64" s="68"/>
      <c r="M64" s="68"/>
      <c r="N64" s="68"/>
      <c r="O64" s="68"/>
      <c r="P64" s="68"/>
      <c r="Q64" s="68">
        <f>SUM(Devis[[#This Row],[Poste 1]:[Poste 6]])</f>
        <v>0</v>
      </c>
      <c r="R64" s="71"/>
      <c r="S64" s="68">
        <f>_xlfn.CEILING.MATH(Devis[[#This Row],[Quantité Totale]],Devis[[#This Row],[Conditionnement]])</f>
        <v>0</v>
      </c>
      <c r="T64" s="72"/>
      <c r="U64" s="73"/>
      <c r="V64" s="74">
        <f>Devis[[#This Row],[Prix de Revient]]*Devis[[#This Row],[Poste 1]]</f>
        <v>0</v>
      </c>
      <c r="W64" s="74">
        <f>Devis[[#This Row],[Prix de Revient]]*Devis[[#This Row],[Poste 2]]</f>
        <v>0</v>
      </c>
      <c r="X64" s="74">
        <f>Devis[[#This Row],[Prix de Revient]]*Devis[[#This Row],[Poste 3]]</f>
        <v>0</v>
      </c>
      <c r="Y64" s="74">
        <f>Devis[[#This Row],[Poste 4]]*Devis[[#This Row],[Prix de Revient]]</f>
        <v>0</v>
      </c>
      <c r="Z64" s="74">
        <f>Devis[[#This Row],[Poste 5]]*Devis[[#This Row],[Prix de Revient]]</f>
        <v>0</v>
      </c>
      <c r="AA64" s="74">
        <f>Devis[[#This Row],[Prix de Revient]]*Devis[[#This Row],[Poste 6]]</f>
        <v>0</v>
      </c>
      <c r="AB64" s="74">
        <f>Devis[[#This Row],[Quantité Totale]]*Devis[[#This Row],[Prix de Revient]]</f>
        <v>0</v>
      </c>
    </row>
    <row r="65" spans="1:28" ht="14.25" outlineLevel="1" x14ac:dyDescent="0.2">
      <c r="A65" s="75" t="s">
        <v>31</v>
      </c>
      <c r="B65" s="67" t="s">
        <v>54</v>
      </c>
      <c r="C65" s="67"/>
      <c r="D65" s="67" t="str">
        <f>Général!$A3543&amp;Général!$B3543&amp;Général!$C3543</f>
        <v>TransairVannesPilotée</v>
      </c>
      <c r="E65" s="76" t="s">
        <v>5850</v>
      </c>
      <c r="F65" s="67">
        <v>1</v>
      </c>
      <c r="G65" s="71" t="s">
        <v>5606</v>
      </c>
      <c r="H65" s="68"/>
      <c r="I65" s="69"/>
      <c r="J65" s="70">
        <f>IFERROR(VLOOKUP(Devis[[#This Row],[Ref Air Flux]],#REF!,3,FALSE),0)</f>
        <v>0</v>
      </c>
      <c r="K65" s="68"/>
      <c r="L65" s="68"/>
      <c r="M65" s="68"/>
      <c r="N65" s="68"/>
      <c r="O65" s="68"/>
      <c r="P65" s="68"/>
      <c r="Q65" s="68">
        <f>SUM(Devis[[#This Row],[Poste 1]:[Poste 6]])</f>
        <v>0</v>
      </c>
      <c r="R65" s="71"/>
      <c r="S65" s="68">
        <f>_xlfn.CEILING.MATH(Devis[[#This Row],[Quantité Totale]],Devis[[#This Row],[Conditionnement]])</f>
        <v>0</v>
      </c>
      <c r="T65" s="72"/>
      <c r="U65" s="73"/>
      <c r="V65" s="74">
        <f>Devis[[#This Row],[Prix de Revient]]*Devis[[#This Row],[Poste 1]]</f>
        <v>0</v>
      </c>
      <c r="W65" s="74">
        <f>Devis[[#This Row],[Prix de Revient]]*Devis[[#This Row],[Poste 2]]</f>
        <v>0</v>
      </c>
      <c r="X65" s="74">
        <f>Devis[[#This Row],[Prix de Revient]]*Devis[[#This Row],[Poste 3]]</f>
        <v>0</v>
      </c>
      <c r="Y65" s="74">
        <f>Devis[[#This Row],[Poste 4]]*Devis[[#This Row],[Prix de Revient]]</f>
        <v>0</v>
      </c>
      <c r="Z65" s="74">
        <f>Devis[[#This Row],[Poste 5]]*Devis[[#This Row],[Prix de Revient]]</f>
        <v>0</v>
      </c>
      <c r="AA65" s="74">
        <f>Devis[[#This Row],[Prix de Revient]]*Devis[[#This Row],[Poste 6]]</f>
        <v>0</v>
      </c>
      <c r="AB65" s="74">
        <f>Devis[[#This Row],[Quantité Totale]]*Devis[[#This Row],[Prix de Revient]]</f>
        <v>0</v>
      </c>
    </row>
    <row r="66" spans="1:28" ht="14.25" outlineLevel="1" x14ac:dyDescent="0.2">
      <c r="A66" s="75" t="s">
        <v>31</v>
      </c>
      <c r="B66" s="67" t="s">
        <v>54</v>
      </c>
      <c r="C66" s="67"/>
      <c r="D66" s="67" t="str">
        <f>Général!$A3544&amp;Général!$B3544&amp;Général!$C3544</f>
        <v>TransairVannesPilotée</v>
      </c>
      <c r="E66" s="76" t="s">
        <v>5851</v>
      </c>
      <c r="F66" s="67">
        <v>2</v>
      </c>
      <c r="G66" s="71" t="s">
        <v>5607</v>
      </c>
      <c r="H66" s="68"/>
      <c r="I66" s="69"/>
      <c r="J66" s="70">
        <f>IFERROR(VLOOKUP(Devis[[#This Row],[Ref Air Flux]],#REF!,3,FALSE),0)</f>
        <v>0</v>
      </c>
      <c r="K66" s="68"/>
      <c r="L66" s="68"/>
      <c r="M66" s="68"/>
      <c r="N66" s="68"/>
      <c r="O66" s="68"/>
      <c r="P66" s="68"/>
      <c r="Q66" s="68">
        <f>SUM(Devis[[#This Row],[Poste 1]:[Poste 6]])</f>
        <v>0</v>
      </c>
      <c r="R66" s="71"/>
      <c r="S66" s="68">
        <f>_xlfn.CEILING.MATH(Devis[[#This Row],[Quantité Totale]],Devis[[#This Row],[Conditionnement]])</f>
        <v>0</v>
      </c>
      <c r="T66" s="72"/>
      <c r="U66" s="73"/>
      <c r="V66" s="74">
        <f>Devis[[#This Row],[Prix de Revient]]*Devis[[#This Row],[Poste 1]]</f>
        <v>0</v>
      </c>
      <c r="W66" s="74">
        <f>Devis[[#This Row],[Prix de Revient]]*Devis[[#This Row],[Poste 2]]</f>
        <v>0</v>
      </c>
      <c r="X66" s="74">
        <f>Devis[[#This Row],[Prix de Revient]]*Devis[[#This Row],[Poste 3]]</f>
        <v>0</v>
      </c>
      <c r="Y66" s="74">
        <f>Devis[[#This Row],[Poste 4]]*Devis[[#This Row],[Prix de Revient]]</f>
        <v>0</v>
      </c>
      <c r="Z66" s="74">
        <f>Devis[[#This Row],[Poste 5]]*Devis[[#This Row],[Prix de Revient]]</f>
        <v>0</v>
      </c>
      <c r="AA66" s="74">
        <f>Devis[[#This Row],[Prix de Revient]]*Devis[[#This Row],[Poste 6]]</f>
        <v>0</v>
      </c>
      <c r="AB66" s="74">
        <f>Devis[[#This Row],[Quantité Totale]]*Devis[[#This Row],[Prix de Revient]]</f>
        <v>0</v>
      </c>
    </row>
    <row r="67" spans="1:28" ht="14.25" customHeight="1" x14ac:dyDescent="0.25">
      <c r="A67" s="77" t="s">
        <v>31</v>
      </c>
      <c r="B67" s="66" t="s">
        <v>5936</v>
      </c>
      <c r="C67" s="67"/>
      <c r="D67" s="67" t="str">
        <f>Général!$A3545&amp;Général!$B3545&amp;Général!$C3545</f>
        <v>VannesVanne 3VVanne 3V a secteur fonte</v>
      </c>
      <c r="E67" s="67"/>
      <c r="F67" s="67">
        <v>0</v>
      </c>
      <c r="G67" s="68"/>
      <c r="H67" s="68"/>
      <c r="I67" s="69"/>
      <c r="J67" s="70">
        <f>IFERROR(VLOOKUP(Devis[[#This Row],[Ref Air Flux]],#REF!,3,FALSE),0)</f>
        <v>0</v>
      </c>
      <c r="K67" s="68"/>
      <c r="L67" s="68"/>
      <c r="M67" s="68"/>
      <c r="N67" s="68"/>
      <c r="O67" s="68"/>
      <c r="P67" s="68"/>
      <c r="Q67" s="68">
        <f>SUM(Devis[[#This Row],[Poste 1]:[Poste 6]])</f>
        <v>0</v>
      </c>
      <c r="R67" s="71"/>
      <c r="S67" s="68">
        <f>_xlfn.CEILING.MATH(Devis[[#This Row],[Quantité Totale]],Devis[[#This Row],[Conditionnement]])</f>
        <v>0</v>
      </c>
      <c r="T67" s="72"/>
      <c r="U67" s="73"/>
      <c r="V67" s="74">
        <f>Devis[[#This Row],[Prix de Revient]]*Devis[[#This Row],[Poste 1]]</f>
        <v>0</v>
      </c>
      <c r="W67" s="74">
        <f>Devis[[#This Row],[Prix de Revient]]*Devis[[#This Row],[Poste 2]]</f>
        <v>0</v>
      </c>
      <c r="X67" s="74">
        <f>Devis[[#This Row],[Prix de Revient]]*Devis[[#This Row],[Poste 3]]</f>
        <v>0</v>
      </c>
      <c r="Y67" s="74">
        <f>Devis[[#This Row],[Poste 4]]*Devis[[#This Row],[Prix de Revient]]</f>
        <v>0</v>
      </c>
      <c r="Z67" s="74">
        <f>Devis[[#This Row],[Poste 5]]*Devis[[#This Row],[Prix de Revient]]</f>
        <v>0</v>
      </c>
      <c r="AA67" s="74">
        <f>Devis[[#This Row],[Prix de Revient]]*Devis[[#This Row],[Poste 6]]</f>
        <v>0</v>
      </c>
      <c r="AB67" s="74">
        <f>Devis[[#This Row],[Quantité Totale]]*Devis[[#This Row],[Prix de Revient]]</f>
        <v>0</v>
      </c>
    </row>
    <row r="68" spans="1:28" ht="14.25" outlineLevel="1" x14ac:dyDescent="0.2">
      <c r="A68" s="75" t="s">
        <v>31</v>
      </c>
      <c r="B68" s="67" t="s">
        <v>5936</v>
      </c>
      <c r="C68" s="67" t="s">
        <v>55</v>
      </c>
      <c r="D68" s="67" t="str">
        <f>Général!$A3546&amp;Général!$B3546&amp;Général!$C3546</f>
        <v>VannesVanne 3VVanne 3V a secteur fonte</v>
      </c>
      <c r="E68" s="76" t="s">
        <v>17</v>
      </c>
      <c r="F68" s="67">
        <v>1</v>
      </c>
      <c r="G68" s="71">
        <v>17816999</v>
      </c>
      <c r="H68" s="68"/>
      <c r="I68" s="69"/>
      <c r="J68" s="70">
        <f>IFERROR(VLOOKUP(Devis[[#This Row],[Ref Air Flux]],#REF!,3,FALSE),0)</f>
        <v>0</v>
      </c>
      <c r="K68" s="68"/>
      <c r="L68" s="68"/>
      <c r="M68" s="68"/>
      <c r="N68" s="68"/>
      <c r="O68" s="68"/>
      <c r="P68" s="68"/>
      <c r="Q68" s="68">
        <f>SUM(Devis[[#This Row],[Poste 1]:[Poste 6]])</f>
        <v>0</v>
      </c>
      <c r="R68" s="71"/>
      <c r="S68" s="68">
        <f>_xlfn.CEILING.MATH(Devis[[#This Row],[Quantité Totale]],Devis[[#This Row],[Conditionnement]])</f>
        <v>0</v>
      </c>
      <c r="T68" s="72"/>
      <c r="U68" s="73"/>
      <c r="V68" s="74">
        <f>Devis[[#This Row],[Prix de Revient]]*Devis[[#This Row],[Poste 1]]</f>
        <v>0</v>
      </c>
      <c r="W68" s="74">
        <f>Devis[[#This Row],[Prix de Revient]]*Devis[[#This Row],[Poste 2]]</f>
        <v>0</v>
      </c>
      <c r="X68" s="74">
        <f>Devis[[#This Row],[Prix de Revient]]*Devis[[#This Row],[Poste 3]]</f>
        <v>0</v>
      </c>
      <c r="Y68" s="74">
        <f>Devis[[#This Row],[Poste 4]]*Devis[[#This Row],[Prix de Revient]]</f>
        <v>0</v>
      </c>
      <c r="Z68" s="74">
        <f>Devis[[#This Row],[Poste 5]]*Devis[[#This Row],[Prix de Revient]]</f>
        <v>0</v>
      </c>
      <c r="AA68" s="74">
        <f>Devis[[#This Row],[Prix de Revient]]*Devis[[#This Row],[Poste 6]]</f>
        <v>0</v>
      </c>
      <c r="AB68" s="74">
        <f>Devis[[#This Row],[Quantité Totale]]*Devis[[#This Row],[Prix de Revient]]</f>
        <v>0</v>
      </c>
    </row>
    <row r="69" spans="1:28" ht="14.25" outlineLevel="1" x14ac:dyDescent="0.2">
      <c r="A69" s="75" t="s">
        <v>31</v>
      </c>
      <c r="B69" s="67" t="s">
        <v>5936</v>
      </c>
      <c r="C69" s="67" t="s">
        <v>56</v>
      </c>
      <c r="D69" s="67" t="str">
        <f>Général!$A3547&amp;Général!$B3547&amp;Général!$C3547</f>
        <v>VannesVanne 3VVanne 3V a secteur fonte</v>
      </c>
      <c r="E69" s="76" t="s">
        <v>5852</v>
      </c>
      <c r="F69" s="67">
        <v>2</v>
      </c>
      <c r="G69" s="71" t="s">
        <v>57</v>
      </c>
      <c r="H69" s="68"/>
      <c r="I69" s="69"/>
      <c r="J69" s="70">
        <f>IFERROR(VLOOKUP(Devis[[#This Row],[Ref Air Flux]],#REF!,3,FALSE),0)</f>
        <v>0</v>
      </c>
      <c r="K69" s="68"/>
      <c r="L69" s="68"/>
      <c r="M69" s="68"/>
      <c r="N69" s="68"/>
      <c r="O69" s="68"/>
      <c r="P69" s="68"/>
      <c r="Q69" s="68">
        <f>SUM(Devis[[#This Row],[Poste 1]:[Poste 6]])</f>
        <v>0</v>
      </c>
      <c r="R69" s="71"/>
      <c r="S69" s="68">
        <f>_xlfn.CEILING.MATH(Devis[[#This Row],[Quantité Totale]],Devis[[#This Row],[Conditionnement]])</f>
        <v>0</v>
      </c>
      <c r="T69" s="72"/>
      <c r="U69" s="73"/>
      <c r="V69" s="74">
        <f>Devis[[#This Row],[Prix de Revient]]*Devis[[#This Row],[Poste 1]]</f>
        <v>0</v>
      </c>
      <c r="W69" s="74">
        <f>Devis[[#This Row],[Prix de Revient]]*Devis[[#This Row],[Poste 2]]</f>
        <v>0</v>
      </c>
      <c r="X69" s="74">
        <f>Devis[[#This Row],[Prix de Revient]]*Devis[[#This Row],[Poste 3]]</f>
        <v>0</v>
      </c>
      <c r="Y69" s="74">
        <f>Devis[[#This Row],[Poste 4]]*Devis[[#This Row],[Prix de Revient]]</f>
        <v>0</v>
      </c>
      <c r="Z69" s="74">
        <f>Devis[[#This Row],[Poste 5]]*Devis[[#This Row],[Prix de Revient]]</f>
        <v>0</v>
      </c>
      <c r="AA69" s="74">
        <f>Devis[[#This Row],[Prix de Revient]]*Devis[[#This Row],[Poste 6]]</f>
        <v>0</v>
      </c>
      <c r="AB69" s="74">
        <f>Devis[[#This Row],[Quantité Totale]]*Devis[[#This Row],[Prix de Revient]]</f>
        <v>0</v>
      </c>
    </row>
    <row r="70" spans="1:28" ht="15" customHeight="1" outlineLevel="1" x14ac:dyDescent="0.2">
      <c r="A70" s="75" t="s">
        <v>31</v>
      </c>
      <c r="B70" s="67" t="s">
        <v>5936</v>
      </c>
      <c r="C70" s="67" t="s">
        <v>56</v>
      </c>
      <c r="D70" s="67" t="str">
        <f>Général!$A3548&amp;Général!$B3548&amp;Général!$C3548</f>
        <v>VannesVanne 3VVanne 3V a secteur fonte</v>
      </c>
      <c r="E70" s="76" t="s">
        <v>5853</v>
      </c>
      <c r="F70" s="67">
        <v>3</v>
      </c>
      <c r="G70" s="71" t="s">
        <v>5608</v>
      </c>
      <c r="H70" s="68"/>
      <c r="I70" s="69"/>
      <c r="J70" s="70">
        <f>IFERROR(VLOOKUP(Devis[[#This Row],[Ref Air Flux]],#REF!,3,FALSE),0)</f>
        <v>0</v>
      </c>
      <c r="K70" s="68"/>
      <c r="L70" s="68"/>
      <c r="M70" s="68"/>
      <c r="N70" s="68"/>
      <c r="O70" s="68"/>
      <c r="P70" s="68"/>
      <c r="Q70" s="68">
        <f>SUM(Devis[[#This Row],[Poste 1]:[Poste 6]])</f>
        <v>0</v>
      </c>
      <c r="R70" s="71"/>
      <c r="S70" s="68">
        <f>_xlfn.CEILING.MATH(Devis[[#This Row],[Quantité Totale]],Devis[[#This Row],[Conditionnement]])</f>
        <v>0</v>
      </c>
      <c r="T70" s="72"/>
      <c r="U70" s="73"/>
      <c r="V70" s="74">
        <f>Devis[[#This Row],[Prix de Revient]]*Devis[[#This Row],[Poste 1]]</f>
        <v>0</v>
      </c>
      <c r="W70" s="74">
        <f>Devis[[#This Row],[Prix de Revient]]*Devis[[#This Row],[Poste 2]]</f>
        <v>0</v>
      </c>
      <c r="X70" s="74">
        <f>Devis[[#This Row],[Prix de Revient]]*Devis[[#This Row],[Poste 3]]</f>
        <v>0</v>
      </c>
      <c r="Y70" s="74">
        <f>Devis[[#This Row],[Poste 4]]*Devis[[#This Row],[Prix de Revient]]</f>
        <v>0</v>
      </c>
      <c r="Z70" s="74">
        <f>Devis[[#This Row],[Poste 5]]*Devis[[#This Row],[Prix de Revient]]</f>
        <v>0</v>
      </c>
      <c r="AA70" s="74">
        <f>Devis[[#This Row],[Prix de Revient]]*Devis[[#This Row],[Poste 6]]</f>
        <v>0</v>
      </c>
      <c r="AB70" s="74">
        <f>Devis[[#This Row],[Quantité Totale]]*Devis[[#This Row],[Prix de Revient]]</f>
        <v>0</v>
      </c>
    </row>
    <row r="71" spans="1:28" ht="14.25" customHeight="1" outlineLevel="1" x14ac:dyDescent="0.2">
      <c r="A71" s="75" t="s">
        <v>31</v>
      </c>
      <c r="B71" s="67" t="s">
        <v>5936</v>
      </c>
      <c r="C71" s="67" t="s">
        <v>56</v>
      </c>
      <c r="D71" s="67" t="str">
        <f>Général!$A3549&amp;Général!$B3549&amp;Général!$C3549</f>
        <v>VannesVanne 3VVanne 3V a secteur fonte</v>
      </c>
      <c r="E71" s="76" t="s">
        <v>5854</v>
      </c>
      <c r="F71" s="67">
        <v>4</v>
      </c>
      <c r="G71" s="71">
        <v>980695</v>
      </c>
      <c r="H71" s="68"/>
      <c r="I71" s="69"/>
      <c r="J71" s="70">
        <f>IFERROR(VLOOKUP(Devis[[#This Row],[Ref Air Flux]],#REF!,3,FALSE),0)</f>
        <v>0</v>
      </c>
      <c r="K71" s="68"/>
      <c r="L71" s="68"/>
      <c r="M71" s="68"/>
      <c r="N71" s="68"/>
      <c r="O71" s="68"/>
      <c r="P71" s="68"/>
      <c r="Q71" s="68">
        <f>SUM(Devis[[#This Row],[Poste 1]:[Poste 6]])</f>
        <v>0</v>
      </c>
      <c r="R71" s="71"/>
      <c r="S71" s="68">
        <f>_xlfn.CEILING.MATH(Devis[[#This Row],[Quantité Totale]],Devis[[#This Row],[Conditionnement]])</f>
        <v>0</v>
      </c>
      <c r="T71" s="72"/>
      <c r="U71" s="73"/>
      <c r="V71" s="74">
        <f>Devis[[#This Row],[Prix de Revient]]*Devis[[#This Row],[Poste 1]]</f>
        <v>0</v>
      </c>
      <c r="W71" s="74">
        <f>Devis[[#This Row],[Prix de Revient]]*Devis[[#This Row],[Poste 2]]</f>
        <v>0</v>
      </c>
      <c r="X71" s="74">
        <f>Devis[[#This Row],[Prix de Revient]]*Devis[[#This Row],[Poste 3]]</f>
        <v>0</v>
      </c>
      <c r="Y71" s="74">
        <f>Devis[[#This Row],[Poste 4]]*Devis[[#This Row],[Prix de Revient]]</f>
        <v>0</v>
      </c>
      <c r="Z71" s="74">
        <f>Devis[[#This Row],[Poste 5]]*Devis[[#This Row],[Prix de Revient]]</f>
        <v>0</v>
      </c>
      <c r="AA71" s="74">
        <f>Devis[[#This Row],[Prix de Revient]]*Devis[[#This Row],[Poste 6]]</f>
        <v>0</v>
      </c>
      <c r="AB71" s="74">
        <f>Devis[[#This Row],[Quantité Totale]]*Devis[[#This Row],[Prix de Revient]]</f>
        <v>0</v>
      </c>
    </row>
    <row r="72" spans="1:28" ht="14.25" customHeight="1" outlineLevel="1" x14ac:dyDescent="0.2">
      <c r="A72" s="75" t="s">
        <v>31</v>
      </c>
      <c r="B72" s="67" t="s">
        <v>5936</v>
      </c>
      <c r="C72" s="67" t="s">
        <v>56</v>
      </c>
      <c r="D72" s="67" t="str">
        <f>Général!$A3550&amp;Général!$B3550&amp;Général!$C3550</f>
        <v>VannesVanne 3VVanne 3V a secteur fonte</v>
      </c>
      <c r="E72" s="76" t="s">
        <v>5855</v>
      </c>
      <c r="F72" s="67">
        <v>5</v>
      </c>
      <c r="G72" s="71" t="s">
        <v>5609</v>
      </c>
      <c r="H72" s="68"/>
      <c r="I72" s="69"/>
      <c r="J72" s="70">
        <f>IFERROR(VLOOKUP(Devis[[#This Row],[Ref Air Flux]],#REF!,3,FALSE),0)</f>
        <v>0</v>
      </c>
      <c r="K72" s="68"/>
      <c r="L72" s="68"/>
      <c r="M72" s="68"/>
      <c r="N72" s="68"/>
      <c r="O72" s="68"/>
      <c r="P72" s="68"/>
      <c r="Q72" s="68">
        <f>SUM(Devis[[#This Row],[Poste 1]:[Poste 6]])</f>
        <v>0</v>
      </c>
      <c r="R72" s="71"/>
      <c r="S72" s="68">
        <f>_xlfn.CEILING.MATH(Devis[[#This Row],[Quantité Totale]],Devis[[#This Row],[Conditionnement]])</f>
        <v>0</v>
      </c>
      <c r="T72" s="72"/>
      <c r="U72" s="73"/>
      <c r="V72" s="74">
        <f>Devis[[#This Row],[Prix de Revient]]*Devis[[#This Row],[Poste 1]]</f>
        <v>0</v>
      </c>
      <c r="W72" s="74">
        <f>Devis[[#This Row],[Prix de Revient]]*Devis[[#This Row],[Poste 2]]</f>
        <v>0</v>
      </c>
      <c r="X72" s="74">
        <f>Devis[[#This Row],[Prix de Revient]]*Devis[[#This Row],[Poste 3]]</f>
        <v>0</v>
      </c>
      <c r="Y72" s="74">
        <f>Devis[[#This Row],[Poste 4]]*Devis[[#This Row],[Prix de Revient]]</f>
        <v>0</v>
      </c>
      <c r="Z72" s="74">
        <f>Devis[[#This Row],[Poste 5]]*Devis[[#This Row],[Prix de Revient]]</f>
        <v>0</v>
      </c>
      <c r="AA72" s="74">
        <f>Devis[[#This Row],[Prix de Revient]]*Devis[[#This Row],[Poste 6]]</f>
        <v>0</v>
      </c>
      <c r="AB72" s="74">
        <f>Devis[[#This Row],[Quantité Totale]]*Devis[[#This Row],[Prix de Revient]]</f>
        <v>0</v>
      </c>
    </row>
    <row r="73" spans="1:28" ht="14.25" customHeight="1" x14ac:dyDescent="0.25">
      <c r="A73" s="77" t="s">
        <v>31</v>
      </c>
      <c r="B73" s="66" t="s">
        <v>5937</v>
      </c>
      <c r="C73" s="67"/>
      <c r="D73" s="67" t="str">
        <f>Général!$A3551&amp;Général!$B3551&amp;Général!$C3551</f>
        <v>VannesVanne Boisseau SphériqueInox Cadenassable FF - Poignée Longue</v>
      </c>
      <c r="E73" s="67"/>
      <c r="F73" s="67">
        <v>0</v>
      </c>
      <c r="G73" s="68"/>
      <c r="H73" s="68"/>
      <c r="I73" s="69"/>
      <c r="J73" s="70">
        <f>IFERROR(VLOOKUP(Devis[[#This Row],[Ref Air Flux]],#REF!,3,FALSE),0)</f>
        <v>0</v>
      </c>
      <c r="K73" s="68"/>
      <c r="L73" s="68"/>
      <c r="M73" s="68"/>
      <c r="N73" s="68"/>
      <c r="O73" s="68"/>
      <c r="P73" s="68"/>
      <c r="Q73" s="68">
        <f>SUM(Devis[[#This Row],[Poste 1]:[Poste 6]])</f>
        <v>0</v>
      </c>
      <c r="R73" s="71"/>
      <c r="S73" s="68">
        <f>_xlfn.CEILING.MATH(Devis[[#This Row],[Quantité Totale]],Devis[[#This Row],[Conditionnement]])</f>
        <v>0</v>
      </c>
      <c r="T73" s="72"/>
      <c r="U73" s="73"/>
      <c r="V73" s="74">
        <f>Devis[[#This Row],[Prix de Revient]]*Devis[[#This Row],[Poste 1]]</f>
        <v>0</v>
      </c>
      <c r="W73" s="74">
        <f>Devis[[#This Row],[Prix de Revient]]*Devis[[#This Row],[Poste 2]]</f>
        <v>0</v>
      </c>
      <c r="X73" s="74">
        <f>Devis[[#This Row],[Prix de Revient]]*Devis[[#This Row],[Poste 3]]</f>
        <v>0</v>
      </c>
      <c r="Y73" s="74">
        <f>Devis[[#This Row],[Poste 4]]*Devis[[#This Row],[Prix de Revient]]</f>
        <v>0</v>
      </c>
      <c r="Z73" s="74">
        <f>Devis[[#This Row],[Poste 5]]*Devis[[#This Row],[Prix de Revient]]</f>
        <v>0</v>
      </c>
      <c r="AA73" s="74">
        <f>Devis[[#This Row],[Prix de Revient]]*Devis[[#This Row],[Poste 6]]</f>
        <v>0</v>
      </c>
      <c r="AB73" s="74">
        <f>Devis[[#This Row],[Quantité Totale]]*Devis[[#This Row],[Prix de Revient]]</f>
        <v>0</v>
      </c>
    </row>
    <row r="74" spans="1:28" ht="14.25" customHeight="1" outlineLevel="1" x14ac:dyDescent="0.2">
      <c r="A74" s="75" t="s">
        <v>31</v>
      </c>
      <c r="B74" s="67" t="s">
        <v>5937</v>
      </c>
      <c r="C74" s="67" t="s">
        <v>58</v>
      </c>
      <c r="D74" s="67" t="str">
        <f>Général!$A3552&amp;Général!$B3552&amp;Général!$C3552</f>
        <v>VannesVanne Boisseau SphériqueInox Cadenassable FF - Poignée Longue</v>
      </c>
      <c r="E74" s="76" t="s">
        <v>5856</v>
      </c>
      <c r="F74" s="67">
        <v>1</v>
      </c>
      <c r="G74" s="71" t="s">
        <v>5610</v>
      </c>
      <c r="H74" s="68"/>
      <c r="I74" s="69"/>
      <c r="J74" s="70">
        <f>IFERROR(VLOOKUP(Devis[[#This Row],[Ref Air Flux]],#REF!,3,FALSE),0)</f>
        <v>0</v>
      </c>
      <c r="K74" s="68"/>
      <c r="L74" s="68"/>
      <c r="M74" s="68"/>
      <c r="N74" s="68"/>
      <c r="O74" s="68"/>
      <c r="P74" s="68"/>
      <c r="Q74" s="68">
        <f>SUM(Devis[[#This Row],[Poste 1]:[Poste 6]])</f>
        <v>0</v>
      </c>
      <c r="R74" s="71"/>
      <c r="S74" s="68">
        <f>_xlfn.CEILING.MATH(Devis[[#This Row],[Quantité Totale]],Devis[[#This Row],[Conditionnement]])</f>
        <v>0</v>
      </c>
      <c r="T74" s="72"/>
      <c r="U74" s="73"/>
      <c r="V74" s="74">
        <f>Devis[[#This Row],[Prix de Revient]]*Devis[[#This Row],[Poste 1]]</f>
        <v>0</v>
      </c>
      <c r="W74" s="74">
        <f>Devis[[#This Row],[Prix de Revient]]*Devis[[#This Row],[Poste 2]]</f>
        <v>0</v>
      </c>
      <c r="X74" s="74">
        <f>Devis[[#This Row],[Prix de Revient]]*Devis[[#This Row],[Poste 3]]</f>
        <v>0</v>
      </c>
      <c r="Y74" s="74">
        <f>Devis[[#This Row],[Poste 4]]*Devis[[#This Row],[Prix de Revient]]</f>
        <v>0</v>
      </c>
      <c r="Z74" s="74">
        <f>Devis[[#This Row],[Poste 5]]*Devis[[#This Row],[Prix de Revient]]</f>
        <v>0</v>
      </c>
      <c r="AA74" s="74">
        <f>Devis[[#This Row],[Prix de Revient]]*Devis[[#This Row],[Poste 6]]</f>
        <v>0</v>
      </c>
      <c r="AB74" s="74">
        <f>Devis[[#This Row],[Quantité Totale]]*Devis[[#This Row],[Prix de Revient]]</f>
        <v>0</v>
      </c>
    </row>
    <row r="75" spans="1:28" ht="14.25" customHeight="1" outlineLevel="1" x14ac:dyDescent="0.2">
      <c r="A75" s="75" t="s">
        <v>31</v>
      </c>
      <c r="B75" s="67" t="s">
        <v>5937</v>
      </c>
      <c r="C75" s="67" t="s">
        <v>58</v>
      </c>
      <c r="D75" s="67" t="str">
        <f>Général!$A3553&amp;Général!$B3553&amp;Général!$C3553</f>
        <v>VannesVanne Boisseau SphériqueInox Cadenassable FF - Poignée Longue</v>
      </c>
      <c r="E75" s="76">
        <v>0.25</v>
      </c>
      <c r="F75" s="67">
        <v>2</v>
      </c>
      <c r="G75" s="71" t="s">
        <v>5611</v>
      </c>
      <c r="H75" s="68"/>
      <c r="I75" s="69"/>
      <c r="J75" s="70">
        <f>IFERROR(VLOOKUP(Devis[[#This Row],[Ref Air Flux]],#REF!,3,FALSE),0)</f>
        <v>0</v>
      </c>
      <c r="K75" s="68"/>
      <c r="L75" s="68"/>
      <c r="M75" s="68"/>
      <c r="N75" s="68"/>
      <c r="O75" s="68"/>
      <c r="P75" s="68"/>
      <c r="Q75" s="68">
        <f>SUM(Devis[[#This Row],[Poste 1]:[Poste 6]])</f>
        <v>0</v>
      </c>
      <c r="R75" s="71"/>
      <c r="S75" s="68">
        <f>_xlfn.CEILING.MATH(Devis[[#This Row],[Quantité Totale]],Devis[[#This Row],[Conditionnement]])</f>
        <v>0</v>
      </c>
      <c r="T75" s="72"/>
      <c r="U75" s="73"/>
      <c r="V75" s="74">
        <f>Devis[[#This Row],[Prix de Revient]]*Devis[[#This Row],[Poste 1]]</f>
        <v>0</v>
      </c>
      <c r="W75" s="74">
        <f>Devis[[#This Row],[Prix de Revient]]*Devis[[#This Row],[Poste 2]]</f>
        <v>0</v>
      </c>
      <c r="X75" s="74">
        <f>Devis[[#This Row],[Prix de Revient]]*Devis[[#This Row],[Poste 3]]</f>
        <v>0</v>
      </c>
      <c r="Y75" s="74">
        <f>Devis[[#This Row],[Poste 4]]*Devis[[#This Row],[Prix de Revient]]</f>
        <v>0</v>
      </c>
      <c r="Z75" s="74">
        <f>Devis[[#This Row],[Poste 5]]*Devis[[#This Row],[Prix de Revient]]</f>
        <v>0</v>
      </c>
      <c r="AA75" s="74">
        <f>Devis[[#This Row],[Prix de Revient]]*Devis[[#This Row],[Poste 6]]</f>
        <v>0</v>
      </c>
      <c r="AB75" s="74">
        <f>Devis[[#This Row],[Quantité Totale]]*Devis[[#This Row],[Prix de Revient]]</f>
        <v>0</v>
      </c>
    </row>
    <row r="76" spans="1:28" ht="14.25" customHeight="1" outlineLevel="1" x14ac:dyDescent="0.2">
      <c r="A76" s="75" t="s">
        <v>31</v>
      </c>
      <c r="B76" s="67" t="s">
        <v>5937</v>
      </c>
      <c r="C76" s="67" t="s">
        <v>58</v>
      </c>
      <c r="D76" s="67" t="str">
        <f>Général!$A3554&amp;Général!$B3554&amp;Général!$C3554</f>
        <v>VannesVanne Boisseau SphériqueInox Cadenassable FF - Poignée Longue</v>
      </c>
      <c r="E76" s="76" t="s">
        <v>16</v>
      </c>
      <c r="F76" s="67">
        <v>3</v>
      </c>
      <c r="G76" s="71" t="s">
        <v>5612</v>
      </c>
      <c r="H76" s="68"/>
      <c r="I76" s="69"/>
      <c r="J76" s="70">
        <f>IFERROR(VLOOKUP(Devis[[#This Row],[Ref Air Flux]],#REF!,3,FALSE),0)</f>
        <v>0</v>
      </c>
      <c r="K76" s="68"/>
      <c r="L76" s="68"/>
      <c r="M76" s="68"/>
      <c r="N76" s="68"/>
      <c r="O76" s="68"/>
      <c r="P76" s="68"/>
      <c r="Q76" s="68">
        <f>SUM(Devis[[#This Row],[Poste 1]:[Poste 6]])</f>
        <v>0</v>
      </c>
      <c r="R76" s="71"/>
      <c r="S76" s="68">
        <f>_xlfn.CEILING.MATH(Devis[[#This Row],[Quantité Totale]],Devis[[#This Row],[Conditionnement]])</f>
        <v>0</v>
      </c>
      <c r="T76" s="72"/>
      <c r="U76" s="73"/>
      <c r="V76" s="74">
        <f>Devis[[#This Row],[Prix de Revient]]*Devis[[#This Row],[Poste 1]]</f>
        <v>0</v>
      </c>
      <c r="W76" s="74">
        <f>Devis[[#This Row],[Prix de Revient]]*Devis[[#This Row],[Poste 2]]</f>
        <v>0</v>
      </c>
      <c r="X76" s="74">
        <f>Devis[[#This Row],[Prix de Revient]]*Devis[[#This Row],[Poste 3]]</f>
        <v>0</v>
      </c>
      <c r="Y76" s="74">
        <f>Devis[[#This Row],[Poste 4]]*Devis[[#This Row],[Prix de Revient]]</f>
        <v>0</v>
      </c>
      <c r="Z76" s="74">
        <f>Devis[[#This Row],[Poste 5]]*Devis[[#This Row],[Prix de Revient]]</f>
        <v>0</v>
      </c>
      <c r="AA76" s="74">
        <f>Devis[[#This Row],[Prix de Revient]]*Devis[[#This Row],[Poste 6]]</f>
        <v>0</v>
      </c>
      <c r="AB76" s="74">
        <f>Devis[[#This Row],[Quantité Totale]]*Devis[[#This Row],[Prix de Revient]]</f>
        <v>0</v>
      </c>
    </row>
    <row r="77" spans="1:28" ht="14.25" customHeight="1" outlineLevel="1" x14ac:dyDescent="0.2">
      <c r="A77" s="75" t="s">
        <v>31</v>
      </c>
      <c r="B77" s="67" t="s">
        <v>5937</v>
      </c>
      <c r="C77" s="67" t="s">
        <v>58</v>
      </c>
      <c r="D77" s="67" t="str">
        <f>Général!$A3555&amp;Général!$B3555&amp;Général!$C3555</f>
        <v>VannesVanne Boisseau SphériqueInox Cadenassable FF - Poignée Longue</v>
      </c>
      <c r="E77" s="76" t="s">
        <v>17</v>
      </c>
      <c r="F77" s="67">
        <v>4</v>
      </c>
      <c r="G77" s="71" t="s">
        <v>5613</v>
      </c>
      <c r="H77" s="68"/>
      <c r="I77" s="69"/>
      <c r="J77" s="70">
        <f>IFERROR(VLOOKUP(Devis[[#This Row],[Ref Air Flux]],#REF!,3,FALSE),0)</f>
        <v>0</v>
      </c>
      <c r="K77" s="68"/>
      <c r="L77" s="68"/>
      <c r="M77" s="68"/>
      <c r="N77" s="68"/>
      <c r="O77" s="68"/>
      <c r="P77" s="68"/>
      <c r="Q77" s="68">
        <f>SUM(Devis[[#This Row],[Poste 1]:[Poste 6]])</f>
        <v>0</v>
      </c>
      <c r="R77" s="71"/>
      <c r="S77" s="68">
        <f>_xlfn.CEILING.MATH(Devis[[#This Row],[Quantité Totale]],Devis[[#This Row],[Conditionnement]])</f>
        <v>0</v>
      </c>
      <c r="T77" s="72"/>
      <c r="U77" s="73"/>
      <c r="V77" s="74">
        <f>Devis[[#This Row],[Prix de Revient]]*Devis[[#This Row],[Poste 1]]</f>
        <v>0</v>
      </c>
      <c r="W77" s="74">
        <f>Devis[[#This Row],[Prix de Revient]]*Devis[[#This Row],[Poste 2]]</f>
        <v>0</v>
      </c>
      <c r="X77" s="74">
        <f>Devis[[#This Row],[Prix de Revient]]*Devis[[#This Row],[Poste 3]]</f>
        <v>0</v>
      </c>
      <c r="Y77" s="74">
        <f>Devis[[#This Row],[Poste 4]]*Devis[[#This Row],[Prix de Revient]]</f>
        <v>0</v>
      </c>
      <c r="Z77" s="74">
        <f>Devis[[#This Row],[Poste 5]]*Devis[[#This Row],[Prix de Revient]]</f>
        <v>0</v>
      </c>
      <c r="AA77" s="74">
        <f>Devis[[#This Row],[Prix de Revient]]*Devis[[#This Row],[Poste 6]]</f>
        <v>0</v>
      </c>
      <c r="AB77" s="74">
        <f>Devis[[#This Row],[Quantité Totale]]*Devis[[#This Row],[Prix de Revient]]</f>
        <v>0</v>
      </c>
    </row>
    <row r="78" spans="1:28" ht="14.25" customHeight="1" outlineLevel="1" x14ac:dyDescent="0.2">
      <c r="A78" s="75" t="s">
        <v>31</v>
      </c>
      <c r="B78" s="67" t="s">
        <v>5937</v>
      </c>
      <c r="C78" s="67" t="s">
        <v>59</v>
      </c>
      <c r="D78" s="67" t="str">
        <f>Général!$A3556&amp;Général!$B3556&amp;Général!$C3556</f>
        <v>VannesVanne Boisseau SphériqueInox Cadenassable FF - Poignée Longue</v>
      </c>
      <c r="E78" s="76" t="s">
        <v>5857</v>
      </c>
      <c r="F78" s="67">
        <v>5</v>
      </c>
      <c r="G78" s="71" t="s">
        <v>5614</v>
      </c>
      <c r="H78" s="68"/>
      <c r="I78" s="69"/>
      <c r="J78" s="70">
        <f>IFERROR(VLOOKUP(Devis[[#This Row],[Ref Air Flux]],#REF!,3,FALSE),0)</f>
        <v>0</v>
      </c>
      <c r="K78" s="68"/>
      <c r="L78" s="68"/>
      <c r="M78" s="68"/>
      <c r="N78" s="68"/>
      <c r="O78" s="68"/>
      <c r="P78" s="68"/>
      <c r="Q78" s="68">
        <f>SUM(Devis[[#This Row],[Poste 1]:[Poste 6]])</f>
        <v>0</v>
      </c>
      <c r="R78" s="71"/>
      <c r="S78" s="68">
        <f>_xlfn.CEILING.MATH(Devis[[#This Row],[Quantité Totale]],Devis[[#This Row],[Conditionnement]])</f>
        <v>0</v>
      </c>
      <c r="T78" s="72"/>
      <c r="U78" s="73"/>
      <c r="V78" s="74">
        <f>Devis[[#This Row],[Prix de Revient]]*Devis[[#This Row],[Poste 1]]</f>
        <v>0</v>
      </c>
      <c r="W78" s="74">
        <f>Devis[[#This Row],[Prix de Revient]]*Devis[[#This Row],[Poste 2]]</f>
        <v>0</v>
      </c>
      <c r="X78" s="74">
        <f>Devis[[#This Row],[Prix de Revient]]*Devis[[#This Row],[Poste 3]]</f>
        <v>0</v>
      </c>
      <c r="Y78" s="74">
        <f>Devis[[#This Row],[Poste 4]]*Devis[[#This Row],[Prix de Revient]]</f>
        <v>0</v>
      </c>
      <c r="Z78" s="74">
        <f>Devis[[#This Row],[Poste 5]]*Devis[[#This Row],[Prix de Revient]]</f>
        <v>0</v>
      </c>
      <c r="AA78" s="74">
        <f>Devis[[#This Row],[Prix de Revient]]*Devis[[#This Row],[Poste 6]]</f>
        <v>0</v>
      </c>
      <c r="AB78" s="74">
        <f>Devis[[#This Row],[Quantité Totale]]*Devis[[#This Row],[Prix de Revient]]</f>
        <v>0</v>
      </c>
    </row>
    <row r="79" spans="1:28" ht="14.25" customHeight="1" outlineLevel="1" x14ac:dyDescent="0.2">
      <c r="A79" s="75" t="s">
        <v>31</v>
      </c>
      <c r="B79" s="67" t="s">
        <v>5937</v>
      </c>
      <c r="C79" s="67" t="s">
        <v>59</v>
      </c>
      <c r="D79" s="67" t="str">
        <f>Général!$A3557&amp;Général!$B3557&amp;Général!$C3557</f>
        <v>VannesVanne Boisseau SphériqueInox Cadenassable FF - Poignée Longue</v>
      </c>
      <c r="E79" s="76" t="s">
        <v>19</v>
      </c>
      <c r="F79" s="67">
        <v>6</v>
      </c>
      <c r="G79" s="71" t="s">
        <v>5615</v>
      </c>
      <c r="H79" s="68"/>
      <c r="I79" s="69"/>
      <c r="J79" s="70">
        <f>IFERROR(VLOOKUP(Devis[[#This Row],[Ref Air Flux]],#REF!,3,FALSE),0)</f>
        <v>0</v>
      </c>
      <c r="K79" s="68"/>
      <c r="L79" s="68"/>
      <c r="M79" s="68"/>
      <c r="N79" s="68"/>
      <c r="O79" s="68"/>
      <c r="P79" s="68"/>
      <c r="Q79" s="68">
        <f>SUM(Devis[[#This Row],[Poste 1]:[Poste 6]])</f>
        <v>0</v>
      </c>
      <c r="R79" s="71"/>
      <c r="S79" s="68">
        <f>_xlfn.CEILING.MATH(Devis[[#This Row],[Quantité Totale]],Devis[[#This Row],[Conditionnement]])</f>
        <v>0</v>
      </c>
      <c r="T79" s="72"/>
      <c r="U79" s="73"/>
      <c r="V79" s="74">
        <f>Devis[[#This Row],[Prix de Revient]]*Devis[[#This Row],[Poste 1]]</f>
        <v>0</v>
      </c>
      <c r="W79" s="74">
        <f>Devis[[#This Row],[Prix de Revient]]*Devis[[#This Row],[Poste 2]]</f>
        <v>0</v>
      </c>
      <c r="X79" s="74">
        <f>Devis[[#This Row],[Prix de Revient]]*Devis[[#This Row],[Poste 3]]</f>
        <v>0</v>
      </c>
      <c r="Y79" s="74">
        <f>Devis[[#This Row],[Poste 4]]*Devis[[#This Row],[Prix de Revient]]</f>
        <v>0</v>
      </c>
      <c r="Z79" s="74">
        <f>Devis[[#This Row],[Poste 5]]*Devis[[#This Row],[Prix de Revient]]</f>
        <v>0</v>
      </c>
      <c r="AA79" s="74">
        <f>Devis[[#This Row],[Prix de Revient]]*Devis[[#This Row],[Poste 6]]</f>
        <v>0</v>
      </c>
      <c r="AB79" s="74">
        <f>Devis[[#This Row],[Quantité Totale]]*Devis[[#This Row],[Prix de Revient]]</f>
        <v>0</v>
      </c>
    </row>
    <row r="80" spans="1:28" ht="14.25" customHeight="1" outlineLevel="1" x14ac:dyDescent="0.2">
      <c r="A80" s="75" t="s">
        <v>31</v>
      </c>
      <c r="B80" s="67" t="s">
        <v>5937</v>
      </c>
      <c r="C80" s="67" t="s">
        <v>59</v>
      </c>
      <c r="D80" s="67" t="str">
        <f>Général!$A3558&amp;Général!$B3558&amp;Général!$C3558</f>
        <v>VannesVanne Boisseau SphériqueInox Cadenassable FF - Poignée Longue</v>
      </c>
      <c r="E80" s="76" t="s">
        <v>21</v>
      </c>
      <c r="F80" s="67">
        <v>7</v>
      </c>
      <c r="G80" s="71" t="s">
        <v>5616</v>
      </c>
      <c r="H80" s="68"/>
      <c r="I80" s="69"/>
      <c r="J80" s="70">
        <f>IFERROR(VLOOKUP(Devis[[#This Row],[Ref Air Flux]],#REF!,3,FALSE),0)</f>
        <v>0</v>
      </c>
      <c r="K80" s="68"/>
      <c r="L80" s="68"/>
      <c r="M80" s="68"/>
      <c r="N80" s="68"/>
      <c r="O80" s="68"/>
      <c r="P80" s="68"/>
      <c r="Q80" s="68">
        <f>SUM(Devis[[#This Row],[Poste 1]:[Poste 6]])</f>
        <v>0</v>
      </c>
      <c r="R80" s="71"/>
      <c r="S80" s="68">
        <f>_xlfn.CEILING.MATH(Devis[[#This Row],[Quantité Totale]],Devis[[#This Row],[Conditionnement]])</f>
        <v>0</v>
      </c>
      <c r="T80" s="72"/>
      <c r="U80" s="73"/>
      <c r="V80" s="74">
        <f>Devis[[#This Row],[Prix de Revient]]*Devis[[#This Row],[Poste 1]]</f>
        <v>0</v>
      </c>
      <c r="W80" s="74">
        <f>Devis[[#This Row],[Prix de Revient]]*Devis[[#This Row],[Poste 2]]</f>
        <v>0</v>
      </c>
      <c r="X80" s="74">
        <f>Devis[[#This Row],[Prix de Revient]]*Devis[[#This Row],[Poste 3]]</f>
        <v>0</v>
      </c>
      <c r="Y80" s="74">
        <f>Devis[[#This Row],[Poste 4]]*Devis[[#This Row],[Prix de Revient]]</f>
        <v>0</v>
      </c>
      <c r="Z80" s="74">
        <f>Devis[[#This Row],[Poste 5]]*Devis[[#This Row],[Prix de Revient]]</f>
        <v>0</v>
      </c>
      <c r="AA80" s="74">
        <f>Devis[[#This Row],[Prix de Revient]]*Devis[[#This Row],[Poste 6]]</f>
        <v>0</v>
      </c>
      <c r="AB80" s="74">
        <f>Devis[[#This Row],[Quantité Totale]]*Devis[[#This Row],[Prix de Revient]]</f>
        <v>0</v>
      </c>
    </row>
    <row r="81" spans="1:28" ht="14.25" customHeight="1" outlineLevel="1" x14ac:dyDescent="0.2">
      <c r="A81" s="75" t="s">
        <v>31</v>
      </c>
      <c r="B81" s="67" t="s">
        <v>5937</v>
      </c>
      <c r="C81" s="67" t="s">
        <v>59</v>
      </c>
      <c r="D81" s="67" t="str">
        <f>Général!$A3559&amp;Général!$B3559&amp;Général!$C3559</f>
        <v>VannesVanne Boisseau SphériqueInox Cadenassable FF - Poignée Longue</v>
      </c>
      <c r="E81" s="76" t="s">
        <v>0</v>
      </c>
      <c r="F81" s="67">
        <v>8</v>
      </c>
      <c r="G81" s="71" t="s">
        <v>5617</v>
      </c>
      <c r="H81" s="68"/>
      <c r="I81" s="69"/>
      <c r="J81" s="70">
        <f>IFERROR(VLOOKUP(Devis[[#This Row],[Ref Air Flux]],#REF!,3,FALSE),0)</f>
        <v>0</v>
      </c>
      <c r="K81" s="68"/>
      <c r="L81" s="68"/>
      <c r="M81" s="68"/>
      <c r="N81" s="68"/>
      <c r="O81" s="68"/>
      <c r="P81" s="68"/>
      <c r="Q81" s="68">
        <f>SUM(Devis[[#This Row],[Poste 1]:[Poste 6]])</f>
        <v>0</v>
      </c>
      <c r="R81" s="71"/>
      <c r="S81" s="68">
        <f>_xlfn.CEILING.MATH(Devis[[#This Row],[Quantité Totale]],Devis[[#This Row],[Conditionnement]])</f>
        <v>0</v>
      </c>
      <c r="T81" s="72"/>
      <c r="U81" s="73"/>
      <c r="V81" s="74">
        <f>Devis[[#This Row],[Prix de Revient]]*Devis[[#This Row],[Poste 1]]</f>
        <v>0</v>
      </c>
      <c r="W81" s="74">
        <f>Devis[[#This Row],[Prix de Revient]]*Devis[[#This Row],[Poste 2]]</f>
        <v>0</v>
      </c>
      <c r="X81" s="74">
        <f>Devis[[#This Row],[Prix de Revient]]*Devis[[#This Row],[Poste 3]]</f>
        <v>0</v>
      </c>
      <c r="Y81" s="74">
        <f>Devis[[#This Row],[Poste 4]]*Devis[[#This Row],[Prix de Revient]]</f>
        <v>0</v>
      </c>
      <c r="Z81" s="74">
        <f>Devis[[#This Row],[Poste 5]]*Devis[[#This Row],[Prix de Revient]]</f>
        <v>0</v>
      </c>
      <c r="AA81" s="74">
        <f>Devis[[#This Row],[Prix de Revient]]*Devis[[#This Row],[Poste 6]]</f>
        <v>0</v>
      </c>
      <c r="AB81" s="74">
        <f>Devis[[#This Row],[Quantité Totale]]*Devis[[#This Row],[Prix de Revient]]</f>
        <v>0</v>
      </c>
    </row>
    <row r="82" spans="1:28" ht="14.25" customHeight="1" x14ac:dyDescent="0.25">
      <c r="A82" s="77" t="s">
        <v>31</v>
      </c>
      <c r="B82" s="66" t="s">
        <v>5938</v>
      </c>
      <c r="C82" s="67"/>
      <c r="D82" s="67" t="str">
        <f>Général!$A3560&amp;Général!$B3560&amp;Général!$C3560</f>
        <v>VannesVanne Boisseau SphériqueInox Cadenassable FF - Poignée Longue</v>
      </c>
      <c r="E82" s="67"/>
      <c r="F82" s="67">
        <v>0</v>
      </c>
      <c r="G82" s="68"/>
      <c r="H82" s="68"/>
      <c r="I82" s="69"/>
      <c r="J82" s="70">
        <f>IFERROR(VLOOKUP(Devis[[#This Row],[Ref Air Flux]],#REF!,3,FALSE),0)</f>
        <v>0</v>
      </c>
      <c r="K82" s="68"/>
      <c r="L82" s="68"/>
      <c r="M82" s="68"/>
      <c r="N82" s="68"/>
      <c r="O82" s="68"/>
      <c r="P82" s="68"/>
      <c r="Q82" s="68">
        <f>SUM(Devis[[#This Row],[Poste 1]:[Poste 6]])</f>
        <v>0</v>
      </c>
      <c r="R82" s="71"/>
      <c r="S82" s="68">
        <f>_xlfn.CEILING.MATH(Devis[[#This Row],[Quantité Totale]],Devis[[#This Row],[Conditionnement]])</f>
        <v>0</v>
      </c>
      <c r="T82" s="72"/>
      <c r="U82" s="73"/>
      <c r="V82" s="74">
        <f>Devis[[#This Row],[Prix de Revient]]*Devis[[#This Row],[Poste 1]]</f>
        <v>0</v>
      </c>
      <c r="W82" s="74">
        <f>Devis[[#This Row],[Prix de Revient]]*Devis[[#This Row],[Poste 2]]</f>
        <v>0</v>
      </c>
      <c r="X82" s="74">
        <f>Devis[[#This Row],[Prix de Revient]]*Devis[[#This Row],[Poste 3]]</f>
        <v>0</v>
      </c>
      <c r="Y82" s="74">
        <f>Devis[[#This Row],[Poste 4]]*Devis[[#This Row],[Prix de Revient]]</f>
        <v>0</v>
      </c>
      <c r="Z82" s="74">
        <f>Devis[[#This Row],[Poste 5]]*Devis[[#This Row],[Prix de Revient]]</f>
        <v>0</v>
      </c>
      <c r="AA82" s="74">
        <f>Devis[[#This Row],[Prix de Revient]]*Devis[[#This Row],[Poste 6]]</f>
        <v>0</v>
      </c>
      <c r="AB82" s="74">
        <f>Devis[[#This Row],[Quantité Totale]]*Devis[[#This Row],[Prix de Revient]]</f>
        <v>0</v>
      </c>
    </row>
    <row r="83" spans="1:28" ht="14.25" customHeight="1" outlineLevel="1" x14ac:dyDescent="0.2">
      <c r="A83" s="75" t="s">
        <v>31</v>
      </c>
      <c r="B83" s="67" t="s">
        <v>5938</v>
      </c>
      <c r="C83" s="67"/>
      <c r="D83" s="67" t="str">
        <f>Général!$A3561&amp;Général!$B3561&amp;Général!$C3561</f>
        <v>VannesVanne Boisseau SphériqueInox Cadenassable FF - Poignée Longue</v>
      </c>
      <c r="E83" s="76" t="s">
        <v>5858</v>
      </c>
      <c r="F83" s="67">
        <v>1</v>
      </c>
      <c r="G83" s="71" t="s">
        <v>5618</v>
      </c>
      <c r="H83" s="68"/>
      <c r="I83" s="69"/>
      <c r="J83" s="70">
        <f>IFERROR(VLOOKUP(Devis[[#This Row],[Ref Air Flux]],#REF!,3,FALSE),0)</f>
        <v>0</v>
      </c>
      <c r="K83" s="68"/>
      <c r="L83" s="68"/>
      <c r="M83" s="68"/>
      <c r="N83" s="68"/>
      <c r="O83" s="68"/>
      <c r="P83" s="68"/>
      <c r="Q83" s="68">
        <f>SUM(Devis[[#This Row],[Poste 1]:[Poste 6]])</f>
        <v>0</v>
      </c>
      <c r="R83" s="71"/>
      <c r="S83" s="68">
        <f>_xlfn.CEILING.MATH(Devis[[#This Row],[Quantité Totale]],Devis[[#This Row],[Conditionnement]])</f>
        <v>0</v>
      </c>
      <c r="T83" s="72"/>
      <c r="U83" s="73"/>
      <c r="V83" s="74">
        <f>Devis[[#This Row],[Prix de Revient]]*Devis[[#This Row],[Poste 1]]</f>
        <v>0</v>
      </c>
      <c r="W83" s="74">
        <f>Devis[[#This Row],[Prix de Revient]]*Devis[[#This Row],[Poste 2]]</f>
        <v>0</v>
      </c>
      <c r="X83" s="74">
        <f>Devis[[#This Row],[Prix de Revient]]*Devis[[#This Row],[Poste 3]]</f>
        <v>0</v>
      </c>
      <c r="Y83" s="74">
        <f>Devis[[#This Row],[Poste 4]]*Devis[[#This Row],[Prix de Revient]]</f>
        <v>0</v>
      </c>
      <c r="Z83" s="74">
        <f>Devis[[#This Row],[Poste 5]]*Devis[[#This Row],[Prix de Revient]]</f>
        <v>0</v>
      </c>
      <c r="AA83" s="74">
        <f>Devis[[#This Row],[Prix de Revient]]*Devis[[#This Row],[Poste 6]]</f>
        <v>0</v>
      </c>
      <c r="AB83" s="74">
        <f>Devis[[#This Row],[Quantité Totale]]*Devis[[#This Row],[Prix de Revient]]</f>
        <v>0</v>
      </c>
    </row>
    <row r="84" spans="1:28" ht="14.25" outlineLevel="1" x14ac:dyDescent="0.2">
      <c r="A84" s="75" t="s">
        <v>31</v>
      </c>
      <c r="B84" s="67" t="s">
        <v>5938</v>
      </c>
      <c r="C84" s="67"/>
      <c r="D84" s="67" t="str">
        <f>Général!$A3562&amp;Général!$B3562&amp;Général!$C3562</f>
        <v>VannesVanne Boisseau SphériqueInox Cadenassable MF - Poignée Longue</v>
      </c>
      <c r="E84" s="76" t="s">
        <v>5859</v>
      </c>
      <c r="F84" s="67">
        <v>2</v>
      </c>
      <c r="G84" s="71" t="s">
        <v>60</v>
      </c>
      <c r="H84" s="68"/>
      <c r="I84" s="69"/>
      <c r="J84" s="70">
        <f>IFERROR(VLOOKUP(Devis[[#This Row],[Ref Air Flux]],#REF!,3,FALSE),0)</f>
        <v>0</v>
      </c>
      <c r="K84" s="68"/>
      <c r="L84" s="68"/>
      <c r="M84" s="68"/>
      <c r="N84" s="68"/>
      <c r="O84" s="68"/>
      <c r="P84" s="68"/>
      <c r="Q84" s="68">
        <f>SUM(Devis[[#This Row],[Poste 1]:[Poste 6]])</f>
        <v>0</v>
      </c>
      <c r="R84" s="71"/>
      <c r="S84" s="68">
        <f>_xlfn.CEILING.MATH(Devis[[#This Row],[Quantité Totale]],Devis[[#This Row],[Conditionnement]])</f>
        <v>0</v>
      </c>
      <c r="T84" s="72"/>
      <c r="U84" s="73"/>
      <c r="V84" s="74">
        <f>Devis[[#This Row],[Prix de Revient]]*Devis[[#This Row],[Poste 1]]</f>
        <v>0</v>
      </c>
      <c r="W84" s="74">
        <f>Devis[[#This Row],[Prix de Revient]]*Devis[[#This Row],[Poste 2]]</f>
        <v>0</v>
      </c>
      <c r="X84" s="74">
        <f>Devis[[#This Row],[Prix de Revient]]*Devis[[#This Row],[Poste 3]]</f>
        <v>0</v>
      </c>
      <c r="Y84" s="74">
        <f>Devis[[#This Row],[Poste 4]]*Devis[[#This Row],[Prix de Revient]]</f>
        <v>0</v>
      </c>
      <c r="Z84" s="74">
        <f>Devis[[#This Row],[Poste 5]]*Devis[[#This Row],[Prix de Revient]]</f>
        <v>0</v>
      </c>
      <c r="AA84" s="74">
        <f>Devis[[#This Row],[Prix de Revient]]*Devis[[#This Row],[Poste 6]]</f>
        <v>0</v>
      </c>
      <c r="AB84" s="74">
        <f>Devis[[#This Row],[Quantité Totale]]*Devis[[#This Row],[Prix de Revient]]</f>
        <v>0</v>
      </c>
    </row>
    <row r="85" spans="1:28" ht="14.25" customHeight="1" x14ac:dyDescent="0.25">
      <c r="A85" s="77" t="s">
        <v>31</v>
      </c>
      <c r="B85" s="66" t="s">
        <v>6372</v>
      </c>
      <c r="C85" s="67"/>
      <c r="D85" s="163" t="str">
        <f t="shared" ref="D85:D94" si="0">A85&amp;B85&amp;C85</f>
        <v>AccessoiresSépura</v>
      </c>
      <c r="E85" s="76"/>
      <c r="F85" s="67">
        <v>0</v>
      </c>
      <c r="G85" s="71"/>
      <c r="H85" s="68"/>
      <c r="I85" s="68"/>
      <c r="J85" s="70">
        <f>IFERROR(VLOOKUP(Devis[[#This Row],[Ref Air Flux]],#REF!,3,FALSE),0)</f>
        <v>0</v>
      </c>
      <c r="K85" s="68"/>
      <c r="L85" s="68"/>
      <c r="M85" s="68"/>
      <c r="N85" s="68"/>
      <c r="O85" s="68"/>
      <c r="P85" s="68"/>
      <c r="Q85" s="68">
        <f>SUM(Devis[[#This Row],[Poste 1]:[Poste 6]])</f>
        <v>0</v>
      </c>
      <c r="R85" s="71"/>
      <c r="S85" s="68">
        <f>_xlfn.CEILING.MATH(Devis[[#This Row],[Quantité Totale]],Devis[[#This Row],[Conditionnement]])</f>
        <v>0</v>
      </c>
      <c r="T85" s="72"/>
      <c r="U85" s="73"/>
      <c r="V85" s="74">
        <f>Devis[[#This Row],[Prix de Revient]]*Devis[[#This Row],[Poste 1]]</f>
        <v>0</v>
      </c>
      <c r="W85" s="74">
        <f>Devis[[#This Row],[Prix de Revient]]*Devis[[#This Row],[Poste 2]]</f>
        <v>0</v>
      </c>
      <c r="X85" s="74">
        <f>Devis[[#This Row],[Prix de Revient]]*Devis[[#This Row],[Poste 3]]</f>
        <v>0</v>
      </c>
      <c r="Y85" s="74">
        <f>Devis[[#This Row],[Poste 4]]*Devis[[#This Row],[Prix de Revient]]</f>
        <v>0</v>
      </c>
      <c r="Z85" s="74">
        <f>Devis[[#This Row],[Poste 5]]*Devis[[#This Row],[Prix de Revient]]</f>
        <v>0</v>
      </c>
      <c r="AA85" s="74">
        <f>Devis[[#This Row],[Prix de Revient]]*Devis[[#This Row],[Poste 6]]</f>
        <v>0</v>
      </c>
      <c r="AB85" s="74">
        <f>Devis[[#This Row],[Quantité Totale]]*Devis[[#This Row],[Prix de Revient]]</f>
        <v>0</v>
      </c>
    </row>
    <row r="86" spans="1:28" ht="14.25" outlineLevel="1" x14ac:dyDescent="0.2">
      <c r="A86" s="75" t="s">
        <v>31</v>
      </c>
      <c r="B86" s="67" t="s">
        <v>6389</v>
      </c>
      <c r="C86" s="67" t="s">
        <v>6372</v>
      </c>
      <c r="D86" s="163" t="str">
        <f t="shared" si="0"/>
        <v>AccessoiresSéparateur de condensatSépura</v>
      </c>
      <c r="E86" s="76" t="s">
        <v>6388</v>
      </c>
      <c r="F86" s="67">
        <v>1</v>
      </c>
      <c r="G86" s="71" t="s">
        <v>6373</v>
      </c>
      <c r="H86" s="68" t="s">
        <v>6372</v>
      </c>
      <c r="I86" s="71" t="s">
        <v>6373</v>
      </c>
      <c r="J86" s="70">
        <f>IFERROR(VLOOKUP(Devis[[#This Row],[Ref Air Flux]],#REF!,3,FALSE),0)</f>
        <v>0</v>
      </c>
      <c r="K86" s="68"/>
      <c r="L86" s="68"/>
      <c r="M86" s="68"/>
      <c r="N86" s="68"/>
      <c r="O86" s="68"/>
      <c r="P86" s="68"/>
      <c r="Q86" s="68">
        <f>SUM(Devis[[#This Row],[Poste 1]:[Poste 6]])</f>
        <v>0</v>
      </c>
      <c r="R86" s="71"/>
      <c r="S86" s="68">
        <f>_xlfn.CEILING.MATH(Devis[[#This Row],[Quantité Totale]],Devis[[#This Row],[Conditionnement]])</f>
        <v>0</v>
      </c>
      <c r="T86" s="72"/>
      <c r="U86" s="73"/>
      <c r="V86" s="74">
        <f>Devis[[#This Row],[Prix de Revient]]*Devis[[#This Row],[Poste 1]]</f>
        <v>0</v>
      </c>
      <c r="W86" s="74">
        <f>Devis[[#This Row],[Prix de Revient]]*Devis[[#This Row],[Poste 2]]</f>
        <v>0</v>
      </c>
      <c r="X86" s="74">
        <f>Devis[[#This Row],[Prix de Revient]]*Devis[[#This Row],[Poste 3]]</f>
        <v>0</v>
      </c>
      <c r="Y86" s="74">
        <f>Devis[[#This Row],[Poste 4]]*Devis[[#This Row],[Prix de Revient]]</f>
        <v>0</v>
      </c>
      <c r="Z86" s="74">
        <f>Devis[[#This Row],[Poste 5]]*Devis[[#This Row],[Prix de Revient]]</f>
        <v>0</v>
      </c>
      <c r="AA86" s="74">
        <f>Devis[[#This Row],[Prix de Revient]]*Devis[[#This Row],[Poste 6]]</f>
        <v>0</v>
      </c>
      <c r="AB86" s="74">
        <f>Devis[[#This Row],[Quantité Totale]]*Devis[[#This Row],[Prix de Revient]]</f>
        <v>0</v>
      </c>
    </row>
    <row r="87" spans="1:28" ht="14.25" outlineLevel="1" x14ac:dyDescent="0.2">
      <c r="A87" s="75" t="s">
        <v>31</v>
      </c>
      <c r="B87" s="67" t="s">
        <v>6389</v>
      </c>
      <c r="C87" s="67" t="s">
        <v>6372</v>
      </c>
      <c r="D87" s="163" t="str">
        <f t="shared" si="0"/>
        <v>AccessoiresSéparateur de condensatSépura</v>
      </c>
      <c r="E87" s="76" t="s">
        <v>6385</v>
      </c>
      <c r="F87" s="67">
        <v>2</v>
      </c>
      <c r="G87" s="71" t="s">
        <v>6308</v>
      </c>
      <c r="H87" s="68" t="s">
        <v>6372</v>
      </c>
      <c r="I87" s="71" t="s">
        <v>6308</v>
      </c>
      <c r="J87" s="70">
        <f>IFERROR(VLOOKUP(Devis[[#This Row],[Ref Air Flux]],#REF!,3,FALSE),0)</f>
        <v>0</v>
      </c>
      <c r="K87" s="68"/>
      <c r="L87" s="68"/>
      <c r="M87" s="68"/>
      <c r="N87" s="68"/>
      <c r="O87" s="68"/>
      <c r="P87" s="68"/>
      <c r="Q87" s="68">
        <f>SUM(Devis[[#This Row],[Poste 1]:[Poste 6]])</f>
        <v>0</v>
      </c>
      <c r="R87" s="71"/>
      <c r="S87" s="68">
        <f>_xlfn.CEILING.MATH(Devis[[#This Row],[Quantité Totale]],Devis[[#This Row],[Conditionnement]])</f>
        <v>0</v>
      </c>
      <c r="T87" s="72"/>
      <c r="U87" s="73"/>
      <c r="V87" s="74">
        <f>Devis[[#This Row],[Prix de Revient]]*Devis[[#This Row],[Poste 1]]</f>
        <v>0</v>
      </c>
      <c r="W87" s="74">
        <f>Devis[[#This Row],[Prix de Revient]]*Devis[[#This Row],[Poste 2]]</f>
        <v>0</v>
      </c>
      <c r="X87" s="74">
        <f>Devis[[#This Row],[Prix de Revient]]*Devis[[#This Row],[Poste 3]]</f>
        <v>0</v>
      </c>
      <c r="Y87" s="74">
        <f>Devis[[#This Row],[Poste 4]]*Devis[[#This Row],[Prix de Revient]]</f>
        <v>0</v>
      </c>
      <c r="Z87" s="74">
        <f>Devis[[#This Row],[Poste 5]]*Devis[[#This Row],[Prix de Revient]]</f>
        <v>0</v>
      </c>
      <c r="AA87" s="74">
        <f>Devis[[#This Row],[Prix de Revient]]*Devis[[#This Row],[Poste 6]]</f>
        <v>0</v>
      </c>
      <c r="AB87" s="74">
        <f>Devis[[#This Row],[Quantité Totale]]*Devis[[#This Row],[Prix de Revient]]</f>
        <v>0</v>
      </c>
    </row>
    <row r="88" spans="1:28" ht="14.25" outlineLevel="1" x14ac:dyDescent="0.2">
      <c r="A88" s="75" t="s">
        <v>31</v>
      </c>
      <c r="B88" s="67" t="s">
        <v>6389</v>
      </c>
      <c r="C88" s="67" t="s">
        <v>6372</v>
      </c>
      <c r="D88" s="163" t="str">
        <f t="shared" si="0"/>
        <v>AccessoiresSéparateur de condensatSépura</v>
      </c>
      <c r="E88" s="76" t="s">
        <v>6380</v>
      </c>
      <c r="F88" s="67">
        <v>3</v>
      </c>
      <c r="G88" s="71" t="s">
        <v>6374</v>
      </c>
      <c r="H88" s="68" t="s">
        <v>6372</v>
      </c>
      <c r="I88" s="71" t="s">
        <v>6374</v>
      </c>
      <c r="J88" s="70">
        <f>IFERROR(VLOOKUP(Devis[[#This Row],[Ref Air Flux]],#REF!,3,FALSE),0)</f>
        <v>0</v>
      </c>
      <c r="K88" s="68"/>
      <c r="L88" s="68"/>
      <c r="M88" s="68"/>
      <c r="N88" s="68"/>
      <c r="O88" s="68"/>
      <c r="P88" s="68"/>
      <c r="Q88" s="68">
        <f>SUM(Devis[[#This Row],[Poste 1]:[Poste 6]])</f>
        <v>0</v>
      </c>
      <c r="R88" s="71"/>
      <c r="S88" s="68">
        <f>_xlfn.CEILING.MATH(Devis[[#This Row],[Quantité Totale]],Devis[[#This Row],[Conditionnement]])</f>
        <v>0</v>
      </c>
      <c r="T88" s="72"/>
      <c r="U88" s="73"/>
      <c r="V88" s="74">
        <f>Devis[[#This Row],[Prix de Revient]]*Devis[[#This Row],[Poste 1]]</f>
        <v>0</v>
      </c>
      <c r="W88" s="74">
        <f>Devis[[#This Row],[Prix de Revient]]*Devis[[#This Row],[Poste 2]]</f>
        <v>0</v>
      </c>
      <c r="X88" s="74">
        <f>Devis[[#This Row],[Prix de Revient]]*Devis[[#This Row],[Poste 3]]</f>
        <v>0</v>
      </c>
      <c r="Y88" s="74">
        <f>Devis[[#This Row],[Poste 4]]*Devis[[#This Row],[Prix de Revient]]</f>
        <v>0</v>
      </c>
      <c r="Z88" s="74">
        <f>Devis[[#This Row],[Poste 5]]*Devis[[#This Row],[Prix de Revient]]</f>
        <v>0</v>
      </c>
      <c r="AA88" s="74">
        <f>Devis[[#This Row],[Prix de Revient]]*Devis[[#This Row],[Poste 6]]</f>
        <v>0</v>
      </c>
      <c r="AB88" s="74">
        <f>Devis[[#This Row],[Quantité Totale]]*Devis[[#This Row],[Prix de Revient]]</f>
        <v>0</v>
      </c>
    </row>
    <row r="89" spans="1:28" ht="14.25" outlineLevel="1" x14ac:dyDescent="0.2">
      <c r="A89" s="75" t="s">
        <v>31</v>
      </c>
      <c r="B89" s="67" t="s">
        <v>6389</v>
      </c>
      <c r="C89" s="67" t="s">
        <v>6372</v>
      </c>
      <c r="D89" s="163" t="str">
        <f t="shared" si="0"/>
        <v>AccessoiresSéparateur de condensatSépura</v>
      </c>
      <c r="E89" s="76" t="s">
        <v>6381</v>
      </c>
      <c r="F89" s="67">
        <v>4</v>
      </c>
      <c r="G89" s="71" t="s">
        <v>6375</v>
      </c>
      <c r="H89" s="68" t="s">
        <v>6372</v>
      </c>
      <c r="I89" s="71" t="s">
        <v>6375</v>
      </c>
      <c r="J89" s="70">
        <f>IFERROR(VLOOKUP(Devis[[#This Row],[Ref Air Flux]],#REF!,3,FALSE),0)</f>
        <v>0</v>
      </c>
      <c r="K89" s="68"/>
      <c r="L89" s="68"/>
      <c r="M89" s="68"/>
      <c r="N89" s="68"/>
      <c r="O89" s="68"/>
      <c r="P89" s="68"/>
      <c r="Q89" s="68">
        <f>SUM(Devis[[#This Row],[Poste 1]:[Poste 6]])</f>
        <v>0</v>
      </c>
      <c r="R89" s="71"/>
      <c r="S89" s="68">
        <f>_xlfn.CEILING.MATH(Devis[[#This Row],[Quantité Totale]],Devis[[#This Row],[Conditionnement]])</f>
        <v>0</v>
      </c>
      <c r="T89" s="72"/>
      <c r="U89" s="73"/>
      <c r="V89" s="74">
        <f>Devis[[#This Row],[Prix de Revient]]*Devis[[#This Row],[Poste 1]]</f>
        <v>0</v>
      </c>
      <c r="W89" s="74">
        <f>Devis[[#This Row],[Prix de Revient]]*Devis[[#This Row],[Poste 2]]</f>
        <v>0</v>
      </c>
      <c r="X89" s="74">
        <f>Devis[[#This Row],[Prix de Revient]]*Devis[[#This Row],[Poste 3]]</f>
        <v>0</v>
      </c>
      <c r="Y89" s="74">
        <f>Devis[[#This Row],[Poste 4]]*Devis[[#This Row],[Prix de Revient]]</f>
        <v>0</v>
      </c>
      <c r="Z89" s="74">
        <f>Devis[[#This Row],[Poste 5]]*Devis[[#This Row],[Prix de Revient]]</f>
        <v>0</v>
      </c>
      <c r="AA89" s="74">
        <f>Devis[[#This Row],[Prix de Revient]]*Devis[[#This Row],[Poste 6]]</f>
        <v>0</v>
      </c>
      <c r="AB89" s="74">
        <f>Devis[[#This Row],[Quantité Totale]]*Devis[[#This Row],[Prix de Revient]]</f>
        <v>0</v>
      </c>
    </row>
    <row r="90" spans="1:28" ht="14.25" outlineLevel="1" x14ac:dyDescent="0.2">
      <c r="A90" s="75" t="s">
        <v>31</v>
      </c>
      <c r="B90" s="67" t="s">
        <v>6389</v>
      </c>
      <c r="C90" s="67" t="s">
        <v>6372</v>
      </c>
      <c r="D90" s="163" t="str">
        <f t="shared" si="0"/>
        <v>AccessoiresSéparateur de condensatSépura</v>
      </c>
      <c r="E90" s="76" t="s">
        <v>6382</v>
      </c>
      <c r="F90" s="67">
        <v>5</v>
      </c>
      <c r="G90" s="71" t="s">
        <v>6360</v>
      </c>
      <c r="H90" s="68" t="s">
        <v>6372</v>
      </c>
      <c r="I90" s="71" t="s">
        <v>6360</v>
      </c>
      <c r="J90" s="70">
        <f>IFERROR(VLOOKUP(Devis[[#This Row],[Ref Air Flux]],#REF!,3,FALSE),0)</f>
        <v>0</v>
      </c>
      <c r="K90" s="68"/>
      <c r="L90" s="68"/>
      <c r="M90" s="68"/>
      <c r="N90" s="68"/>
      <c r="O90" s="68"/>
      <c r="P90" s="68"/>
      <c r="Q90" s="68">
        <f>SUM(Devis[[#This Row],[Poste 1]:[Poste 6]])</f>
        <v>0</v>
      </c>
      <c r="R90" s="71"/>
      <c r="S90" s="68">
        <f>_xlfn.CEILING.MATH(Devis[[#This Row],[Quantité Totale]],Devis[[#This Row],[Conditionnement]])</f>
        <v>0</v>
      </c>
      <c r="T90" s="72"/>
      <c r="U90" s="73"/>
      <c r="V90" s="74">
        <f>Devis[[#This Row],[Prix de Revient]]*Devis[[#This Row],[Poste 1]]</f>
        <v>0</v>
      </c>
      <c r="W90" s="74">
        <f>Devis[[#This Row],[Prix de Revient]]*Devis[[#This Row],[Poste 2]]</f>
        <v>0</v>
      </c>
      <c r="X90" s="74">
        <f>Devis[[#This Row],[Prix de Revient]]*Devis[[#This Row],[Poste 3]]</f>
        <v>0</v>
      </c>
      <c r="Y90" s="74">
        <f>Devis[[#This Row],[Poste 4]]*Devis[[#This Row],[Prix de Revient]]</f>
        <v>0</v>
      </c>
      <c r="Z90" s="74">
        <f>Devis[[#This Row],[Poste 5]]*Devis[[#This Row],[Prix de Revient]]</f>
        <v>0</v>
      </c>
      <c r="AA90" s="74">
        <f>Devis[[#This Row],[Prix de Revient]]*Devis[[#This Row],[Poste 6]]</f>
        <v>0</v>
      </c>
      <c r="AB90" s="74">
        <f>Devis[[#This Row],[Quantité Totale]]*Devis[[#This Row],[Prix de Revient]]</f>
        <v>0</v>
      </c>
    </row>
    <row r="91" spans="1:28" ht="14.25" customHeight="1" outlineLevel="1" x14ac:dyDescent="0.2">
      <c r="A91" s="75" t="s">
        <v>31</v>
      </c>
      <c r="B91" s="67" t="s">
        <v>6389</v>
      </c>
      <c r="C91" s="67" t="s">
        <v>6372</v>
      </c>
      <c r="D91" s="163" t="str">
        <f t="shared" si="0"/>
        <v>AccessoiresSéparateur de condensatSépura</v>
      </c>
      <c r="E91" s="76" t="s">
        <v>6383</v>
      </c>
      <c r="F91" s="67">
        <v>6</v>
      </c>
      <c r="G91" s="71" t="s">
        <v>6376</v>
      </c>
      <c r="H91" s="68" t="s">
        <v>6372</v>
      </c>
      <c r="I91" s="71" t="s">
        <v>6376</v>
      </c>
      <c r="J91" s="70">
        <f>IFERROR(VLOOKUP(Devis[[#This Row],[Ref Air Flux]],#REF!,3,FALSE),0)</f>
        <v>0</v>
      </c>
      <c r="K91" s="68"/>
      <c r="L91" s="68"/>
      <c r="M91" s="68"/>
      <c r="N91" s="68"/>
      <c r="O91" s="68"/>
      <c r="P91" s="68"/>
      <c r="Q91" s="68">
        <f>SUM(Devis[[#This Row],[Poste 1]:[Poste 6]])</f>
        <v>0</v>
      </c>
      <c r="R91" s="71"/>
      <c r="S91" s="68">
        <f>_xlfn.CEILING.MATH(Devis[[#This Row],[Quantité Totale]],Devis[[#This Row],[Conditionnement]])</f>
        <v>0</v>
      </c>
      <c r="T91" s="72"/>
      <c r="U91" s="73"/>
      <c r="V91" s="74">
        <f>Devis[[#This Row],[Prix de Revient]]*Devis[[#This Row],[Poste 1]]</f>
        <v>0</v>
      </c>
      <c r="W91" s="74">
        <f>Devis[[#This Row],[Prix de Revient]]*Devis[[#This Row],[Poste 2]]</f>
        <v>0</v>
      </c>
      <c r="X91" s="74">
        <f>Devis[[#This Row],[Prix de Revient]]*Devis[[#This Row],[Poste 3]]</f>
        <v>0</v>
      </c>
      <c r="Y91" s="74">
        <f>Devis[[#This Row],[Poste 4]]*Devis[[#This Row],[Prix de Revient]]</f>
        <v>0</v>
      </c>
      <c r="Z91" s="74">
        <f>Devis[[#This Row],[Poste 5]]*Devis[[#This Row],[Prix de Revient]]</f>
        <v>0</v>
      </c>
      <c r="AA91" s="74">
        <f>Devis[[#This Row],[Prix de Revient]]*Devis[[#This Row],[Poste 6]]</f>
        <v>0</v>
      </c>
      <c r="AB91" s="74">
        <f>Devis[[#This Row],[Quantité Totale]]*Devis[[#This Row],[Prix de Revient]]</f>
        <v>0</v>
      </c>
    </row>
    <row r="92" spans="1:28" ht="15" customHeight="1" outlineLevel="1" x14ac:dyDescent="0.2">
      <c r="A92" s="75" t="s">
        <v>31</v>
      </c>
      <c r="B92" s="67" t="s">
        <v>6389</v>
      </c>
      <c r="C92" s="67" t="s">
        <v>6372</v>
      </c>
      <c r="D92" s="163" t="str">
        <f t="shared" si="0"/>
        <v>AccessoiresSéparateur de condensatSépura</v>
      </c>
      <c r="E92" s="76" t="s">
        <v>6384</v>
      </c>
      <c r="F92" s="67">
        <v>7</v>
      </c>
      <c r="G92" s="71" t="s">
        <v>6377</v>
      </c>
      <c r="H92" s="68" t="s">
        <v>6372</v>
      </c>
      <c r="I92" s="71" t="s">
        <v>6377</v>
      </c>
      <c r="J92" s="70">
        <f>IFERROR(VLOOKUP(Devis[[#This Row],[Ref Air Flux]],#REF!,3,FALSE),0)</f>
        <v>0</v>
      </c>
      <c r="K92" s="68"/>
      <c r="L92" s="68"/>
      <c r="M92" s="68"/>
      <c r="N92" s="68"/>
      <c r="O92" s="68"/>
      <c r="P92" s="68"/>
      <c r="Q92" s="68">
        <f>SUM(Devis[[#This Row],[Poste 1]:[Poste 6]])</f>
        <v>0</v>
      </c>
      <c r="R92" s="71"/>
      <c r="S92" s="68">
        <f>_xlfn.CEILING.MATH(Devis[[#This Row],[Quantité Totale]],Devis[[#This Row],[Conditionnement]])</f>
        <v>0</v>
      </c>
      <c r="T92" s="72"/>
      <c r="U92" s="73"/>
      <c r="V92" s="74">
        <f>Devis[[#This Row],[Prix de Revient]]*Devis[[#This Row],[Poste 1]]</f>
        <v>0</v>
      </c>
      <c r="W92" s="74">
        <f>Devis[[#This Row],[Prix de Revient]]*Devis[[#This Row],[Poste 2]]</f>
        <v>0</v>
      </c>
      <c r="X92" s="74">
        <f>Devis[[#This Row],[Prix de Revient]]*Devis[[#This Row],[Poste 3]]</f>
        <v>0</v>
      </c>
      <c r="Y92" s="74">
        <f>Devis[[#This Row],[Poste 4]]*Devis[[#This Row],[Prix de Revient]]</f>
        <v>0</v>
      </c>
      <c r="Z92" s="74">
        <f>Devis[[#This Row],[Poste 5]]*Devis[[#This Row],[Prix de Revient]]</f>
        <v>0</v>
      </c>
      <c r="AA92" s="74">
        <f>Devis[[#This Row],[Prix de Revient]]*Devis[[#This Row],[Poste 6]]</f>
        <v>0</v>
      </c>
      <c r="AB92" s="74">
        <f>Devis[[#This Row],[Quantité Totale]]*Devis[[#This Row],[Prix de Revient]]</f>
        <v>0</v>
      </c>
    </row>
    <row r="93" spans="1:28" ht="14.25" outlineLevel="1" x14ac:dyDescent="0.2">
      <c r="A93" s="75" t="s">
        <v>31</v>
      </c>
      <c r="B93" s="67" t="s">
        <v>6389</v>
      </c>
      <c r="C93" s="67" t="s">
        <v>6372</v>
      </c>
      <c r="D93" s="163" t="str">
        <f t="shared" si="0"/>
        <v>AccessoiresSéparateur de condensatSépura</v>
      </c>
      <c r="E93" s="76" t="s">
        <v>6386</v>
      </c>
      <c r="F93" s="67">
        <v>8</v>
      </c>
      <c r="G93" s="71" t="s">
        <v>6378</v>
      </c>
      <c r="H93" s="68" t="s">
        <v>6372</v>
      </c>
      <c r="I93" s="71" t="s">
        <v>6378</v>
      </c>
      <c r="J93" s="70">
        <f>IFERROR(VLOOKUP(Devis[[#This Row],[Ref Air Flux]],#REF!,3,FALSE),0)</f>
        <v>0</v>
      </c>
      <c r="K93" s="68"/>
      <c r="L93" s="68"/>
      <c r="M93" s="68"/>
      <c r="N93" s="68"/>
      <c r="O93" s="68"/>
      <c r="P93" s="68"/>
      <c r="Q93" s="68">
        <f>SUM(Devis[[#This Row],[Poste 1]:[Poste 6]])</f>
        <v>0</v>
      </c>
      <c r="R93" s="71"/>
      <c r="S93" s="68">
        <f>_xlfn.CEILING.MATH(Devis[[#This Row],[Quantité Totale]],Devis[[#This Row],[Conditionnement]])</f>
        <v>0</v>
      </c>
      <c r="T93" s="72"/>
      <c r="U93" s="73"/>
      <c r="V93" s="74">
        <f>Devis[[#This Row],[Prix de Revient]]*Devis[[#This Row],[Poste 1]]</f>
        <v>0</v>
      </c>
      <c r="W93" s="74">
        <f>Devis[[#This Row],[Prix de Revient]]*Devis[[#This Row],[Poste 2]]</f>
        <v>0</v>
      </c>
      <c r="X93" s="74">
        <f>Devis[[#This Row],[Prix de Revient]]*Devis[[#This Row],[Poste 3]]</f>
        <v>0</v>
      </c>
      <c r="Y93" s="74">
        <f>Devis[[#This Row],[Poste 4]]*Devis[[#This Row],[Prix de Revient]]</f>
        <v>0</v>
      </c>
      <c r="Z93" s="74">
        <f>Devis[[#This Row],[Poste 5]]*Devis[[#This Row],[Prix de Revient]]</f>
        <v>0</v>
      </c>
      <c r="AA93" s="74">
        <f>Devis[[#This Row],[Prix de Revient]]*Devis[[#This Row],[Poste 6]]</f>
        <v>0</v>
      </c>
      <c r="AB93" s="74">
        <f>Devis[[#This Row],[Quantité Totale]]*Devis[[#This Row],[Prix de Revient]]</f>
        <v>0</v>
      </c>
    </row>
    <row r="94" spans="1:28" ht="14.25" customHeight="1" outlineLevel="1" x14ac:dyDescent="0.2">
      <c r="A94" s="75" t="s">
        <v>31</v>
      </c>
      <c r="B94" s="67" t="s">
        <v>6389</v>
      </c>
      <c r="C94" s="67" t="s">
        <v>6372</v>
      </c>
      <c r="D94" s="163" t="str">
        <f t="shared" si="0"/>
        <v>AccessoiresSéparateur de condensatSépura</v>
      </c>
      <c r="E94" s="76" t="s">
        <v>6387</v>
      </c>
      <c r="F94" s="67">
        <v>9</v>
      </c>
      <c r="G94" s="71" t="s">
        <v>6379</v>
      </c>
      <c r="H94" s="68" t="s">
        <v>6372</v>
      </c>
      <c r="I94" s="71" t="s">
        <v>6379</v>
      </c>
      <c r="J94" s="70">
        <f>IFERROR(VLOOKUP(Devis[[#This Row],[Ref Air Flux]],#REF!,3,FALSE),0)</f>
        <v>0</v>
      </c>
      <c r="K94" s="68"/>
      <c r="L94" s="68"/>
      <c r="M94" s="68"/>
      <c r="N94" s="68"/>
      <c r="O94" s="68"/>
      <c r="P94" s="68"/>
      <c r="Q94" s="68">
        <f>SUM(Devis[[#This Row],[Poste 1]:[Poste 6]])</f>
        <v>0</v>
      </c>
      <c r="R94" s="71"/>
      <c r="S94" s="68">
        <f>_xlfn.CEILING.MATH(Devis[[#This Row],[Quantité Totale]],Devis[[#This Row],[Conditionnement]])</f>
        <v>0</v>
      </c>
      <c r="T94" s="72"/>
      <c r="U94" s="73"/>
      <c r="V94" s="74">
        <f>Devis[[#This Row],[Prix de Revient]]*Devis[[#This Row],[Poste 1]]</f>
        <v>0</v>
      </c>
      <c r="W94" s="74">
        <f>Devis[[#This Row],[Prix de Revient]]*Devis[[#This Row],[Poste 2]]</f>
        <v>0</v>
      </c>
      <c r="X94" s="74">
        <f>Devis[[#This Row],[Prix de Revient]]*Devis[[#This Row],[Poste 3]]</f>
        <v>0</v>
      </c>
      <c r="Y94" s="74">
        <f>Devis[[#This Row],[Poste 4]]*Devis[[#This Row],[Prix de Revient]]</f>
        <v>0</v>
      </c>
      <c r="Z94" s="74">
        <f>Devis[[#This Row],[Poste 5]]*Devis[[#This Row],[Prix de Revient]]</f>
        <v>0</v>
      </c>
      <c r="AA94" s="74">
        <f>Devis[[#This Row],[Prix de Revient]]*Devis[[#This Row],[Poste 6]]</f>
        <v>0</v>
      </c>
      <c r="AB94" s="74">
        <f>Devis[[#This Row],[Quantité Totale]]*Devis[[#This Row],[Prix de Revient]]</f>
        <v>0</v>
      </c>
    </row>
    <row r="95" spans="1:28" ht="14.25" customHeight="1" x14ac:dyDescent="0.25">
      <c r="A95" s="77" t="s">
        <v>31</v>
      </c>
      <c r="B95" s="66" t="s">
        <v>61</v>
      </c>
      <c r="C95" s="67"/>
      <c r="D95" s="67" t="str">
        <f>Général!$A3563&amp;Général!$B3563&amp;Général!$C3563</f>
        <v>VannesVanne Boisseau SphériqueInox Cadenassable MF - Poignée Longue</v>
      </c>
      <c r="E95" s="67"/>
      <c r="F95" s="67">
        <v>0</v>
      </c>
      <c r="G95" s="68"/>
      <c r="H95" s="68"/>
      <c r="I95" s="69"/>
      <c r="J95" s="70">
        <f>IFERROR(VLOOKUP(Devis[[#This Row],[Ref Air Flux]],#REF!,3,FALSE),0)</f>
        <v>0</v>
      </c>
      <c r="K95" s="68"/>
      <c r="L95" s="68"/>
      <c r="M95" s="68"/>
      <c r="N95" s="68"/>
      <c r="O95" s="68"/>
      <c r="P95" s="68"/>
      <c r="Q95" s="68">
        <f>SUM(Devis[[#This Row],[Poste 1]:[Poste 6]])</f>
        <v>0</v>
      </c>
      <c r="R95" s="71"/>
      <c r="S95" s="68">
        <f>_xlfn.CEILING.MATH(Devis[[#This Row],[Quantité Totale]],Devis[[#This Row],[Conditionnement]])</f>
        <v>0</v>
      </c>
      <c r="T95" s="72"/>
      <c r="U95" s="73"/>
      <c r="V95" s="74">
        <f>Devis[[#This Row],[Prix de Revient]]*Devis[[#This Row],[Poste 1]]</f>
        <v>0</v>
      </c>
      <c r="W95" s="74">
        <f>Devis[[#This Row],[Prix de Revient]]*Devis[[#This Row],[Poste 2]]</f>
        <v>0</v>
      </c>
      <c r="X95" s="74">
        <f>Devis[[#This Row],[Prix de Revient]]*Devis[[#This Row],[Poste 3]]</f>
        <v>0</v>
      </c>
      <c r="Y95" s="74">
        <f>Devis[[#This Row],[Poste 4]]*Devis[[#This Row],[Prix de Revient]]</f>
        <v>0</v>
      </c>
      <c r="Z95" s="74">
        <f>Devis[[#This Row],[Poste 5]]*Devis[[#This Row],[Prix de Revient]]</f>
        <v>0</v>
      </c>
      <c r="AA95" s="74">
        <f>Devis[[#This Row],[Prix de Revient]]*Devis[[#This Row],[Poste 6]]</f>
        <v>0</v>
      </c>
      <c r="AB95" s="74">
        <f>Devis[[#This Row],[Quantité Totale]]*Devis[[#This Row],[Prix de Revient]]</f>
        <v>0</v>
      </c>
    </row>
    <row r="96" spans="1:28" ht="14.25" outlineLevel="1" x14ac:dyDescent="0.2">
      <c r="A96" s="75" t="s">
        <v>31</v>
      </c>
      <c r="B96" s="67" t="s">
        <v>61</v>
      </c>
      <c r="C96" s="67"/>
      <c r="D96" s="67" t="str">
        <f>Général!$A3564&amp;Général!$B3564&amp;Général!$C3564</f>
        <v>VannesVanne Boisseau SphériqueInox Cadenassable MF - Poignée Longue</v>
      </c>
      <c r="E96" s="76" t="s">
        <v>17</v>
      </c>
      <c r="F96" s="67">
        <v>1</v>
      </c>
      <c r="G96" s="71" t="s">
        <v>5619</v>
      </c>
      <c r="H96" s="68"/>
      <c r="I96" s="69"/>
      <c r="J96" s="70">
        <f>IFERROR(VLOOKUP(Devis[[#This Row],[Ref Air Flux]],#REF!,3,FALSE),0)</f>
        <v>0</v>
      </c>
      <c r="K96" s="68"/>
      <c r="L96" s="68"/>
      <c r="M96" s="68"/>
      <c r="N96" s="68"/>
      <c r="O96" s="68"/>
      <c r="P96" s="68"/>
      <c r="Q96" s="68">
        <f>SUM(Devis[[#This Row],[Poste 1]:[Poste 6]])</f>
        <v>0</v>
      </c>
      <c r="R96" s="71"/>
      <c r="S96" s="68">
        <f>_xlfn.CEILING.MATH(Devis[[#This Row],[Quantité Totale]],Devis[[#This Row],[Conditionnement]])</f>
        <v>0</v>
      </c>
      <c r="T96" s="72"/>
      <c r="U96" s="73"/>
      <c r="V96" s="74">
        <f>Devis[[#This Row],[Prix de Revient]]*Devis[[#This Row],[Poste 1]]</f>
        <v>0</v>
      </c>
      <c r="W96" s="74">
        <f>Devis[[#This Row],[Prix de Revient]]*Devis[[#This Row],[Poste 2]]</f>
        <v>0</v>
      </c>
      <c r="X96" s="74">
        <f>Devis[[#This Row],[Prix de Revient]]*Devis[[#This Row],[Poste 3]]</f>
        <v>0</v>
      </c>
      <c r="Y96" s="74">
        <f>Devis[[#This Row],[Poste 4]]*Devis[[#This Row],[Prix de Revient]]</f>
        <v>0</v>
      </c>
      <c r="Z96" s="74">
        <f>Devis[[#This Row],[Poste 5]]*Devis[[#This Row],[Prix de Revient]]</f>
        <v>0</v>
      </c>
      <c r="AA96" s="74">
        <f>Devis[[#This Row],[Prix de Revient]]*Devis[[#This Row],[Poste 6]]</f>
        <v>0</v>
      </c>
      <c r="AB96" s="74">
        <f>Devis[[#This Row],[Quantité Totale]]*Devis[[#This Row],[Prix de Revient]]</f>
        <v>0</v>
      </c>
    </row>
    <row r="97" spans="1:28" ht="14.25" outlineLevel="1" x14ac:dyDescent="0.2">
      <c r="A97" s="75" t="s">
        <v>31</v>
      </c>
      <c r="B97" s="67" t="s">
        <v>61</v>
      </c>
      <c r="C97" s="67"/>
      <c r="D97" s="67" t="str">
        <f>Général!$A3565&amp;Général!$B3565&amp;Général!$C3565</f>
        <v>VannesVanne Boisseau SphériqueInox Cadenassable MF - Poignée Longue</v>
      </c>
      <c r="E97" s="76" t="s">
        <v>18</v>
      </c>
      <c r="F97" s="67">
        <v>2</v>
      </c>
      <c r="G97" s="71" t="s">
        <v>5620</v>
      </c>
      <c r="H97" s="68"/>
      <c r="I97" s="69"/>
      <c r="J97" s="70">
        <f>IFERROR(VLOOKUP(Devis[[#This Row],[Ref Air Flux]],#REF!,3,FALSE),0)</f>
        <v>0</v>
      </c>
      <c r="K97" s="68"/>
      <c r="L97" s="68"/>
      <c r="M97" s="68"/>
      <c r="N97" s="68"/>
      <c r="O97" s="68"/>
      <c r="P97" s="68"/>
      <c r="Q97" s="68">
        <f>SUM(Devis[[#This Row],[Poste 1]:[Poste 6]])</f>
        <v>0</v>
      </c>
      <c r="R97" s="71"/>
      <c r="S97" s="68">
        <f>_xlfn.CEILING.MATH(Devis[[#This Row],[Quantité Totale]],Devis[[#This Row],[Conditionnement]])</f>
        <v>0</v>
      </c>
      <c r="T97" s="72"/>
      <c r="U97" s="73"/>
      <c r="V97" s="74">
        <f>Devis[[#This Row],[Prix de Revient]]*Devis[[#This Row],[Poste 1]]</f>
        <v>0</v>
      </c>
      <c r="W97" s="74">
        <f>Devis[[#This Row],[Prix de Revient]]*Devis[[#This Row],[Poste 2]]</f>
        <v>0</v>
      </c>
      <c r="X97" s="74">
        <f>Devis[[#This Row],[Prix de Revient]]*Devis[[#This Row],[Poste 3]]</f>
        <v>0</v>
      </c>
      <c r="Y97" s="74">
        <f>Devis[[#This Row],[Poste 4]]*Devis[[#This Row],[Prix de Revient]]</f>
        <v>0</v>
      </c>
      <c r="Z97" s="74">
        <f>Devis[[#This Row],[Poste 5]]*Devis[[#This Row],[Prix de Revient]]</f>
        <v>0</v>
      </c>
      <c r="AA97" s="74">
        <f>Devis[[#This Row],[Prix de Revient]]*Devis[[#This Row],[Poste 6]]</f>
        <v>0</v>
      </c>
      <c r="AB97" s="74">
        <f>Devis[[#This Row],[Quantité Totale]]*Devis[[#This Row],[Prix de Revient]]</f>
        <v>0</v>
      </c>
    </row>
    <row r="98" spans="1:28" ht="14.25" outlineLevel="1" x14ac:dyDescent="0.2">
      <c r="A98" s="75" t="s">
        <v>31</v>
      </c>
      <c r="B98" s="67" t="s">
        <v>61</v>
      </c>
      <c r="C98" s="67"/>
      <c r="D98" s="67" t="str">
        <f>Général!$A3566&amp;Général!$B3566&amp;Général!$C3566</f>
        <v>VannesVanne Boisseau SphériqueInox Cadenassable MF - Poignée Longue</v>
      </c>
      <c r="E98" s="76" t="s">
        <v>26</v>
      </c>
      <c r="F98" s="67">
        <v>3</v>
      </c>
      <c r="G98" s="71" t="s">
        <v>5621</v>
      </c>
      <c r="H98" s="68"/>
      <c r="I98" s="69"/>
      <c r="J98" s="70">
        <f>IFERROR(VLOOKUP(Devis[[#This Row],[Ref Air Flux]],#REF!,3,FALSE),0)</f>
        <v>0</v>
      </c>
      <c r="K98" s="68"/>
      <c r="L98" s="68"/>
      <c r="M98" s="68"/>
      <c r="N98" s="68"/>
      <c r="O98" s="68"/>
      <c r="P98" s="68"/>
      <c r="Q98" s="68">
        <f>SUM(Devis[[#This Row],[Poste 1]:[Poste 6]])</f>
        <v>0</v>
      </c>
      <c r="R98" s="71"/>
      <c r="S98" s="68">
        <f>_xlfn.CEILING.MATH(Devis[[#This Row],[Quantité Totale]],Devis[[#This Row],[Conditionnement]])</f>
        <v>0</v>
      </c>
      <c r="T98" s="72"/>
      <c r="U98" s="73"/>
      <c r="V98" s="74">
        <f>Devis[[#This Row],[Prix de Revient]]*Devis[[#This Row],[Poste 1]]</f>
        <v>0</v>
      </c>
      <c r="W98" s="74">
        <f>Devis[[#This Row],[Prix de Revient]]*Devis[[#This Row],[Poste 2]]</f>
        <v>0</v>
      </c>
      <c r="X98" s="74">
        <f>Devis[[#This Row],[Prix de Revient]]*Devis[[#This Row],[Poste 3]]</f>
        <v>0</v>
      </c>
      <c r="Y98" s="74">
        <f>Devis[[#This Row],[Poste 4]]*Devis[[#This Row],[Prix de Revient]]</f>
        <v>0</v>
      </c>
      <c r="Z98" s="74">
        <f>Devis[[#This Row],[Poste 5]]*Devis[[#This Row],[Prix de Revient]]</f>
        <v>0</v>
      </c>
      <c r="AA98" s="74">
        <f>Devis[[#This Row],[Prix de Revient]]*Devis[[#This Row],[Poste 6]]</f>
        <v>0</v>
      </c>
      <c r="AB98" s="74">
        <f>Devis[[#This Row],[Quantité Totale]]*Devis[[#This Row],[Prix de Revient]]</f>
        <v>0</v>
      </c>
    </row>
    <row r="99" spans="1:28" ht="14.25" outlineLevel="1" x14ac:dyDescent="0.2">
      <c r="A99" s="75" t="s">
        <v>31</v>
      </c>
      <c r="B99" s="67" t="s">
        <v>61</v>
      </c>
      <c r="C99" s="67"/>
      <c r="D99" s="67" t="str">
        <f>Général!$A3567&amp;Général!$B3567&amp;Général!$C3567</f>
        <v>VannesVanne Boisseau SphériqueInox Cadenassable MF - Poignée Longue</v>
      </c>
      <c r="E99" s="76" t="s">
        <v>20</v>
      </c>
      <c r="F99" s="67">
        <v>4</v>
      </c>
      <c r="G99" s="71" t="s">
        <v>5622</v>
      </c>
      <c r="H99" s="68"/>
      <c r="I99" s="69"/>
      <c r="J99" s="70">
        <f>IFERROR(VLOOKUP(Devis[[#This Row],[Ref Air Flux]],#REF!,3,FALSE),0)</f>
        <v>0</v>
      </c>
      <c r="K99" s="68"/>
      <c r="L99" s="68"/>
      <c r="M99" s="68"/>
      <c r="N99" s="68"/>
      <c r="O99" s="68"/>
      <c r="P99" s="68"/>
      <c r="Q99" s="68">
        <f>SUM(Devis[[#This Row],[Poste 1]:[Poste 6]])</f>
        <v>0</v>
      </c>
      <c r="R99" s="71"/>
      <c r="S99" s="68">
        <f>_xlfn.CEILING.MATH(Devis[[#This Row],[Quantité Totale]],Devis[[#This Row],[Conditionnement]])</f>
        <v>0</v>
      </c>
      <c r="T99" s="72"/>
      <c r="U99" s="73"/>
      <c r="V99" s="74">
        <f>Devis[[#This Row],[Prix de Revient]]*Devis[[#This Row],[Poste 1]]</f>
        <v>0</v>
      </c>
      <c r="W99" s="74">
        <f>Devis[[#This Row],[Prix de Revient]]*Devis[[#This Row],[Poste 2]]</f>
        <v>0</v>
      </c>
      <c r="X99" s="74">
        <f>Devis[[#This Row],[Prix de Revient]]*Devis[[#This Row],[Poste 3]]</f>
        <v>0</v>
      </c>
      <c r="Y99" s="74">
        <f>Devis[[#This Row],[Poste 4]]*Devis[[#This Row],[Prix de Revient]]</f>
        <v>0</v>
      </c>
      <c r="Z99" s="74">
        <f>Devis[[#This Row],[Poste 5]]*Devis[[#This Row],[Prix de Revient]]</f>
        <v>0</v>
      </c>
      <c r="AA99" s="74">
        <f>Devis[[#This Row],[Prix de Revient]]*Devis[[#This Row],[Poste 6]]</f>
        <v>0</v>
      </c>
      <c r="AB99" s="74">
        <f>Devis[[#This Row],[Quantité Totale]]*Devis[[#This Row],[Prix de Revient]]</f>
        <v>0</v>
      </c>
    </row>
    <row r="100" spans="1:28" ht="14.25" outlineLevel="1" x14ac:dyDescent="0.2">
      <c r="A100" s="75" t="s">
        <v>31</v>
      </c>
      <c r="B100" s="67" t="s">
        <v>61</v>
      </c>
      <c r="C100" s="67"/>
      <c r="D100" s="67" t="str">
        <f>Général!$A3568&amp;Général!$B3568&amp;Général!$C3568</f>
        <v>VannesVanne Boisseau SphériqueInox Cadenassable MF - Poignée Longue</v>
      </c>
      <c r="E100" s="76" t="s">
        <v>21</v>
      </c>
      <c r="F100" s="67">
        <v>5</v>
      </c>
      <c r="G100" s="71" t="s">
        <v>5623</v>
      </c>
      <c r="H100" s="68"/>
      <c r="I100" s="69"/>
      <c r="J100" s="70">
        <f>IFERROR(VLOOKUP(Devis[[#This Row],[Ref Air Flux]],#REF!,3,FALSE),0)</f>
        <v>0</v>
      </c>
      <c r="K100" s="68"/>
      <c r="L100" s="68"/>
      <c r="M100" s="68"/>
      <c r="N100" s="68"/>
      <c r="O100" s="68"/>
      <c r="P100" s="68"/>
      <c r="Q100" s="68">
        <f>SUM(Devis[[#This Row],[Poste 1]:[Poste 6]])</f>
        <v>0</v>
      </c>
      <c r="R100" s="71"/>
      <c r="S100" s="68">
        <f>_xlfn.CEILING.MATH(Devis[[#This Row],[Quantité Totale]],Devis[[#This Row],[Conditionnement]])</f>
        <v>0</v>
      </c>
      <c r="T100" s="72"/>
      <c r="U100" s="73"/>
      <c r="V100" s="74">
        <f>Devis[[#This Row],[Prix de Revient]]*Devis[[#This Row],[Poste 1]]</f>
        <v>0</v>
      </c>
      <c r="W100" s="74">
        <f>Devis[[#This Row],[Prix de Revient]]*Devis[[#This Row],[Poste 2]]</f>
        <v>0</v>
      </c>
      <c r="X100" s="74">
        <f>Devis[[#This Row],[Prix de Revient]]*Devis[[#This Row],[Poste 3]]</f>
        <v>0</v>
      </c>
      <c r="Y100" s="74">
        <f>Devis[[#This Row],[Poste 4]]*Devis[[#This Row],[Prix de Revient]]</f>
        <v>0</v>
      </c>
      <c r="Z100" s="74">
        <f>Devis[[#This Row],[Poste 5]]*Devis[[#This Row],[Prix de Revient]]</f>
        <v>0</v>
      </c>
      <c r="AA100" s="74">
        <f>Devis[[#This Row],[Prix de Revient]]*Devis[[#This Row],[Poste 6]]</f>
        <v>0</v>
      </c>
      <c r="AB100" s="74">
        <f>Devis[[#This Row],[Quantité Totale]]*Devis[[#This Row],[Prix de Revient]]</f>
        <v>0</v>
      </c>
    </row>
    <row r="101" spans="1:28" ht="14.25" outlineLevel="1" x14ac:dyDescent="0.2">
      <c r="A101" s="75" t="s">
        <v>31</v>
      </c>
      <c r="B101" s="67" t="s">
        <v>61</v>
      </c>
      <c r="C101" s="67"/>
      <c r="D101" s="67" t="str">
        <f>Général!$A3569&amp;Général!$B3569&amp;Général!$C3569</f>
        <v>VannesVanne Boisseau SphériqueLaiton Cadenassable FF - Poinge longue</v>
      </c>
      <c r="E101" s="76" t="s">
        <v>0</v>
      </c>
      <c r="F101" s="67">
        <v>6</v>
      </c>
      <c r="G101" s="71" t="s">
        <v>5624</v>
      </c>
      <c r="H101" s="68"/>
      <c r="I101" s="69"/>
      <c r="J101" s="70">
        <f>IFERROR(VLOOKUP(Devis[[#This Row],[Ref Air Flux]],#REF!,3,FALSE),0)</f>
        <v>0</v>
      </c>
      <c r="K101" s="68"/>
      <c r="L101" s="68"/>
      <c r="M101" s="68"/>
      <c r="N101" s="68"/>
      <c r="O101" s="68"/>
      <c r="P101" s="68"/>
      <c r="Q101" s="68">
        <f>SUM(Devis[[#This Row],[Poste 1]:[Poste 6]])</f>
        <v>0</v>
      </c>
      <c r="R101" s="71"/>
      <c r="S101" s="68">
        <f>_xlfn.CEILING.MATH(Devis[[#This Row],[Quantité Totale]],Devis[[#This Row],[Conditionnement]])</f>
        <v>0</v>
      </c>
      <c r="T101" s="72"/>
      <c r="U101" s="73"/>
      <c r="V101" s="74">
        <f>Devis[[#This Row],[Prix de Revient]]*Devis[[#This Row],[Poste 1]]</f>
        <v>0</v>
      </c>
      <c r="W101" s="74">
        <f>Devis[[#This Row],[Prix de Revient]]*Devis[[#This Row],[Poste 2]]</f>
        <v>0</v>
      </c>
      <c r="X101" s="74">
        <f>Devis[[#This Row],[Prix de Revient]]*Devis[[#This Row],[Poste 3]]</f>
        <v>0</v>
      </c>
      <c r="Y101" s="74">
        <f>Devis[[#This Row],[Poste 4]]*Devis[[#This Row],[Prix de Revient]]</f>
        <v>0</v>
      </c>
      <c r="Z101" s="74">
        <f>Devis[[#This Row],[Poste 5]]*Devis[[#This Row],[Prix de Revient]]</f>
        <v>0</v>
      </c>
      <c r="AA101" s="74">
        <f>Devis[[#This Row],[Prix de Revient]]*Devis[[#This Row],[Poste 6]]</f>
        <v>0</v>
      </c>
      <c r="AB101" s="74">
        <f>Devis[[#This Row],[Quantité Totale]]*Devis[[#This Row],[Prix de Revient]]</f>
        <v>0</v>
      </c>
    </row>
    <row r="102" spans="1:28" ht="14.25" customHeight="1" x14ac:dyDescent="0.25">
      <c r="A102" s="77" t="s">
        <v>31</v>
      </c>
      <c r="B102" s="66" t="s">
        <v>62</v>
      </c>
      <c r="C102" s="67"/>
      <c r="D102" s="67" t="str">
        <f>Général!$A3570&amp;Général!$B3570&amp;Général!$C3570</f>
        <v>VannesVanne Boisseau SphériqueLaiton FF - Poignée papillon</v>
      </c>
      <c r="E102" s="67"/>
      <c r="F102" s="67">
        <v>0</v>
      </c>
      <c r="G102" s="68"/>
      <c r="H102" s="68"/>
      <c r="I102" s="69"/>
      <c r="J102" s="70">
        <f>IFERROR(VLOOKUP(Devis[[#This Row],[Ref Air Flux]],#REF!,3,FALSE),0)</f>
        <v>0</v>
      </c>
      <c r="K102" s="68"/>
      <c r="L102" s="68"/>
      <c r="M102" s="68"/>
      <c r="N102" s="68"/>
      <c r="O102" s="68"/>
      <c r="P102" s="68"/>
      <c r="Q102" s="68">
        <f>SUM(Devis[[#This Row],[Poste 1]:[Poste 6]])</f>
        <v>0</v>
      </c>
      <c r="R102" s="71"/>
      <c r="S102" s="68">
        <f>_xlfn.CEILING.MATH(Devis[[#This Row],[Quantité Totale]],Devis[[#This Row],[Conditionnement]])</f>
        <v>0</v>
      </c>
      <c r="T102" s="72"/>
      <c r="U102" s="73"/>
      <c r="V102" s="74">
        <f>Devis[[#This Row],[Prix de Revient]]*Devis[[#This Row],[Poste 1]]</f>
        <v>0</v>
      </c>
      <c r="W102" s="74">
        <f>Devis[[#This Row],[Prix de Revient]]*Devis[[#This Row],[Poste 2]]</f>
        <v>0</v>
      </c>
      <c r="X102" s="74">
        <f>Devis[[#This Row],[Prix de Revient]]*Devis[[#This Row],[Poste 3]]</f>
        <v>0</v>
      </c>
      <c r="Y102" s="74">
        <f>Devis[[#This Row],[Poste 4]]*Devis[[#This Row],[Prix de Revient]]</f>
        <v>0</v>
      </c>
      <c r="Z102" s="74">
        <f>Devis[[#This Row],[Poste 5]]*Devis[[#This Row],[Prix de Revient]]</f>
        <v>0</v>
      </c>
      <c r="AA102" s="74">
        <f>Devis[[#This Row],[Prix de Revient]]*Devis[[#This Row],[Poste 6]]</f>
        <v>0</v>
      </c>
      <c r="AB102" s="74">
        <f>Devis[[#This Row],[Quantité Totale]]*Devis[[#This Row],[Prix de Revient]]</f>
        <v>0</v>
      </c>
    </row>
    <row r="103" spans="1:28" ht="14.25" outlineLevel="1" x14ac:dyDescent="0.2">
      <c r="A103" s="75" t="s">
        <v>31</v>
      </c>
      <c r="B103" s="67" t="s">
        <v>62</v>
      </c>
      <c r="C103" s="67"/>
      <c r="D103" s="67" t="str">
        <f>Général!$A3571&amp;Général!$B3571&amp;Général!$C3571</f>
        <v>VannesVanne Boisseau SphériqueLaiton FF - Poignée papillon</v>
      </c>
      <c r="E103" s="76" t="s">
        <v>5860</v>
      </c>
      <c r="F103" s="67">
        <v>1</v>
      </c>
      <c r="G103" s="71" t="s">
        <v>5625</v>
      </c>
      <c r="H103" s="68"/>
      <c r="I103" s="69"/>
      <c r="J103" s="70">
        <f>IFERROR(VLOOKUP(Devis[[#This Row],[Ref Air Flux]],#REF!,3,FALSE),0)</f>
        <v>0</v>
      </c>
      <c r="K103" s="68"/>
      <c r="L103" s="68"/>
      <c r="M103" s="68"/>
      <c r="N103" s="68"/>
      <c r="O103" s="68"/>
      <c r="P103" s="68"/>
      <c r="Q103" s="68">
        <f>SUM(Devis[[#This Row],[Poste 1]:[Poste 6]])</f>
        <v>0</v>
      </c>
      <c r="R103" s="71"/>
      <c r="S103" s="68">
        <f>_xlfn.CEILING.MATH(Devis[[#This Row],[Quantité Totale]],Devis[[#This Row],[Conditionnement]])</f>
        <v>0</v>
      </c>
      <c r="T103" s="72"/>
      <c r="U103" s="73"/>
      <c r="V103" s="74">
        <f>Devis[[#This Row],[Prix de Revient]]*Devis[[#This Row],[Poste 1]]</f>
        <v>0</v>
      </c>
      <c r="W103" s="74">
        <f>Devis[[#This Row],[Prix de Revient]]*Devis[[#This Row],[Poste 2]]</f>
        <v>0</v>
      </c>
      <c r="X103" s="74">
        <f>Devis[[#This Row],[Prix de Revient]]*Devis[[#This Row],[Poste 3]]</f>
        <v>0</v>
      </c>
      <c r="Y103" s="74">
        <f>Devis[[#This Row],[Poste 4]]*Devis[[#This Row],[Prix de Revient]]</f>
        <v>0</v>
      </c>
      <c r="Z103" s="74">
        <f>Devis[[#This Row],[Poste 5]]*Devis[[#This Row],[Prix de Revient]]</f>
        <v>0</v>
      </c>
      <c r="AA103" s="74">
        <f>Devis[[#This Row],[Prix de Revient]]*Devis[[#This Row],[Poste 6]]</f>
        <v>0</v>
      </c>
      <c r="AB103" s="74">
        <f>Devis[[#This Row],[Quantité Totale]]*Devis[[#This Row],[Prix de Revient]]</f>
        <v>0</v>
      </c>
    </row>
    <row r="104" spans="1:28" ht="15" customHeight="1" outlineLevel="1" x14ac:dyDescent="0.2">
      <c r="A104" s="75" t="s">
        <v>31</v>
      </c>
      <c r="B104" s="67" t="s">
        <v>62</v>
      </c>
      <c r="C104" s="67"/>
      <c r="D104" s="67" t="str">
        <f>Général!$A3572&amp;Général!$B3572&amp;Général!$C3572</f>
        <v>VannesVanne Boisseau SphériqueLaiton FF - Poignée papillon</v>
      </c>
      <c r="E104" s="76" t="s">
        <v>5861</v>
      </c>
      <c r="F104" s="67">
        <v>2</v>
      </c>
      <c r="G104" s="71" t="s">
        <v>5626</v>
      </c>
      <c r="H104" s="68"/>
      <c r="I104" s="69"/>
      <c r="J104" s="70">
        <f>IFERROR(VLOOKUP(Devis[[#This Row],[Ref Air Flux]],#REF!,3,FALSE),0)</f>
        <v>0</v>
      </c>
      <c r="K104" s="68"/>
      <c r="L104" s="68"/>
      <c r="M104" s="68"/>
      <c r="N104" s="68"/>
      <c r="O104" s="68"/>
      <c r="P104" s="68"/>
      <c r="Q104" s="68">
        <f>SUM(Devis[[#This Row],[Poste 1]:[Poste 6]])</f>
        <v>0</v>
      </c>
      <c r="R104" s="71"/>
      <c r="S104" s="68">
        <f>_xlfn.CEILING.MATH(Devis[[#This Row],[Quantité Totale]],Devis[[#This Row],[Conditionnement]])</f>
        <v>0</v>
      </c>
      <c r="T104" s="72"/>
      <c r="U104" s="73"/>
      <c r="V104" s="74">
        <f>Devis[[#This Row],[Prix de Revient]]*Devis[[#This Row],[Poste 1]]</f>
        <v>0</v>
      </c>
      <c r="W104" s="74">
        <f>Devis[[#This Row],[Prix de Revient]]*Devis[[#This Row],[Poste 2]]</f>
        <v>0</v>
      </c>
      <c r="X104" s="74">
        <f>Devis[[#This Row],[Prix de Revient]]*Devis[[#This Row],[Poste 3]]</f>
        <v>0</v>
      </c>
      <c r="Y104" s="74">
        <f>Devis[[#This Row],[Poste 4]]*Devis[[#This Row],[Prix de Revient]]</f>
        <v>0</v>
      </c>
      <c r="Z104" s="74">
        <f>Devis[[#This Row],[Poste 5]]*Devis[[#This Row],[Prix de Revient]]</f>
        <v>0</v>
      </c>
      <c r="AA104" s="74">
        <f>Devis[[#This Row],[Prix de Revient]]*Devis[[#This Row],[Poste 6]]</f>
        <v>0</v>
      </c>
      <c r="AB104" s="74">
        <f>Devis[[#This Row],[Quantité Totale]]*Devis[[#This Row],[Prix de Revient]]</f>
        <v>0</v>
      </c>
    </row>
    <row r="105" spans="1:28" ht="14.25" outlineLevel="1" x14ac:dyDescent="0.2">
      <c r="A105" s="75" t="s">
        <v>31</v>
      </c>
      <c r="B105" s="67" t="s">
        <v>62</v>
      </c>
      <c r="C105" s="67"/>
      <c r="D105" s="67" t="str">
        <f>Général!$A3573&amp;Général!$B3573&amp;Général!$C3573</f>
        <v>VannesVanne Boisseau SphériqueLaiton FF - Poignée papillon</v>
      </c>
      <c r="E105" s="76" t="s">
        <v>5862</v>
      </c>
      <c r="F105" s="67">
        <v>3</v>
      </c>
      <c r="G105" s="71" t="s">
        <v>5627</v>
      </c>
      <c r="H105" s="68"/>
      <c r="I105" s="69"/>
      <c r="J105" s="70">
        <f>IFERROR(VLOOKUP(Devis[[#This Row],[Ref Air Flux]],#REF!,3,FALSE),0)</f>
        <v>0</v>
      </c>
      <c r="K105" s="68"/>
      <c r="L105" s="68"/>
      <c r="M105" s="68"/>
      <c r="N105" s="68"/>
      <c r="O105" s="68"/>
      <c r="P105" s="68"/>
      <c r="Q105" s="68">
        <f>SUM(Devis[[#This Row],[Poste 1]:[Poste 6]])</f>
        <v>0</v>
      </c>
      <c r="R105" s="71"/>
      <c r="S105" s="68">
        <f>_xlfn.CEILING.MATH(Devis[[#This Row],[Quantité Totale]],Devis[[#This Row],[Conditionnement]])</f>
        <v>0</v>
      </c>
      <c r="T105" s="72"/>
      <c r="U105" s="73"/>
      <c r="V105" s="74">
        <f>Devis[[#This Row],[Prix de Revient]]*Devis[[#This Row],[Poste 1]]</f>
        <v>0</v>
      </c>
      <c r="W105" s="74">
        <f>Devis[[#This Row],[Prix de Revient]]*Devis[[#This Row],[Poste 2]]</f>
        <v>0</v>
      </c>
      <c r="X105" s="74">
        <f>Devis[[#This Row],[Prix de Revient]]*Devis[[#This Row],[Poste 3]]</f>
        <v>0</v>
      </c>
      <c r="Y105" s="74">
        <f>Devis[[#This Row],[Poste 4]]*Devis[[#This Row],[Prix de Revient]]</f>
        <v>0</v>
      </c>
      <c r="Z105" s="74">
        <f>Devis[[#This Row],[Poste 5]]*Devis[[#This Row],[Prix de Revient]]</f>
        <v>0</v>
      </c>
      <c r="AA105" s="74">
        <f>Devis[[#This Row],[Prix de Revient]]*Devis[[#This Row],[Poste 6]]</f>
        <v>0</v>
      </c>
      <c r="AB105" s="74">
        <f>Devis[[#This Row],[Quantité Totale]]*Devis[[#This Row],[Prix de Revient]]</f>
        <v>0</v>
      </c>
    </row>
    <row r="106" spans="1:28" ht="14.25" customHeight="1" x14ac:dyDescent="0.25">
      <c r="A106" s="65" t="s">
        <v>68</v>
      </c>
      <c r="B106" s="65" t="s">
        <v>4224</v>
      </c>
      <c r="C106" s="76"/>
      <c r="D106" s="81" t="str">
        <f t="shared" ref="D106:D137" si="1">A106&amp;B106&amp;C106</f>
        <v>App ElectriqueBARRE DE CUIVRE</v>
      </c>
      <c r="E106" s="76"/>
      <c r="F106" s="81">
        <v>0</v>
      </c>
      <c r="G106" s="82"/>
      <c r="H106" s="71"/>
      <c r="I106" s="71"/>
      <c r="J106" s="70">
        <f>IFERROR(VLOOKUP(Devis[[#This Row],[Ref Air Flux]],#REF!,3,FALSE),0)</f>
        <v>0</v>
      </c>
      <c r="K106" s="68"/>
      <c r="L106" s="68"/>
      <c r="M106" s="68"/>
      <c r="N106" s="68"/>
      <c r="O106" s="68"/>
      <c r="P106" s="68"/>
      <c r="Q106" s="68">
        <f>SUM(Devis[[#This Row],[Poste 1]:[Poste 6]])</f>
        <v>0</v>
      </c>
      <c r="R106" s="71"/>
      <c r="S106" s="68">
        <f>_xlfn.CEILING.MATH(Devis[[#This Row],[Quantité Totale]],Devis[[#This Row],[Conditionnement]])</f>
        <v>0</v>
      </c>
      <c r="T106" s="72"/>
      <c r="U106" s="73"/>
      <c r="V106" s="74">
        <f>Devis[[#This Row],[Prix de Revient]]*Devis[[#This Row],[Poste 1]]</f>
        <v>0</v>
      </c>
      <c r="W106" s="74">
        <f>Devis[[#This Row],[Prix de Revient]]*Devis[[#This Row],[Poste 2]]</f>
        <v>0</v>
      </c>
      <c r="X106" s="74">
        <f>Devis[[#This Row],[Prix de Revient]]*Devis[[#This Row],[Poste 3]]</f>
        <v>0</v>
      </c>
      <c r="Y106" s="74">
        <f>Devis[[#This Row],[Poste 4]]*Devis[[#This Row],[Prix de Revient]]</f>
        <v>0</v>
      </c>
      <c r="Z106" s="74">
        <f>Devis[[#This Row],[Poste 5]]*Devis[[#This Row],[Prix de Revient]]</f>
        <v>0</v>
      </c>
      <c r="AA106" s="74">
        <f>Devis[[#This Row],[Prix de Revient]]*Devis[[#This Row],[Poste 6]]</f>
        <v>0</v>
      </c>
      <c r="AB106" s="74">
        <f>Devis[[#This Row],[Quantité Totale]]*Devis[[#This Row],[Prix de Revient]]</f>
        <v>0</v>
      </c>
    </row>
    <row r="107" spans="1:28" ht="15.75" customHeight="1" outlineLevel="1" x14ac:dyDescent="0.2">
      <c r="A107" s="75" t="s">
        <v>68</v>
      </c>
      <c r="B107" s="76" t="s">
        <v>5944</v>
      </c>
      <c r="C107" s="76"/>
      <c r="D107" s="81" t="str">
        <f t="shared" si="1"/>
        <v>App ElectriqueBarre de cuivre</v>
      </c>
      <c r="E107" s="76" t="s">
        <v>4225</v>
      </c>
      <c r="F107" s="81">
        <v>1</v>
      </c>
      <c r="G107" s="82">
        <v>37433</v>
      </c>
      <c r="H107" s="71"/>
      <c r="I107" s="71"/>
      <c r="J107" s="70">
        <f>IFERROR(VLOOKUP(Devis[[#This Row],[Ref Air Flux]],#REF!,3,FALSE),0)</f>
        <v>0</v>
      </c>
      <c r="K107" s="68"/>
      <c r="L107" s="68"/>
      <c r="M107" s="68"/>
      <c r="N107" s="68"/>
      <c r="O107" s="68"/>
      <c r="P107" s="68"/>
      <c r="Q107" s="68">
        <f>SUM(Devis[[#This Row],[Poste 1]:[Poste 6]])</f>
        <v>0</v>
      </c>
      <c r="R107" s="71"/>
      <c r="S107" s="68">
        <f>_xlfn.CEILING.MATH(Devis[[#This Row],[Quantité Totale]],Devis[[#This Row],[Conditionnement]])</f>
        <v>0</v>
      </c>
      <c r="T107" s="72"/>
      <c r="U107" s="73"/>
      <c r="V107" s="74">
        <f>Devis[[#This Row],[Prix de Revient]]*Devis[[#This Row],[Poste 1]]</f>
        <v>0</v>
      </c>
      <c r="W107" s="74">
        <f>Devis[[#This Row],[Prix de Revient]]*Devis[[#This Row],[Poste 2]]</f>
        <v>0</v>
      </c>
      <c r="X107" s="74">
        <f>Devis[[#This Row],[Prix de Revient]]*Devis[[#This Row],[Poste 3]]</f>
        <v>0</v>
      </c>
      <c r="Y107" s="74">
        <f>Devis[[#This Row],[Poste 4]]*Devis[[#This Row],[Prix de Revient]]</f>
        <v>0</v>
      </c>
      <c r="Z107" s="74">
        <f>Devis[[#This Row],[Poste 5]]*Devis[[#This Row],[Prix de Revient]]</f>
        <v>0</v>
      </c>
      <c r="AA107" s="74">
        <f>Devis[[#This Row],[Prix de Revient]]*Devis[[#This Row],[Poste 6]]</f>
        <v>0</v>
      </c>
      <c r="AB107" s="74">
        <f>Devis[[#This Row],[Quantité Totale]]*Devis[[#This Row],[Prix de Revient]]</f>
        <v>0</v>
      </c>
    </row>
    <row r="108" spans="1:28" ht="14.25" outlineLevel="1" x14ac:dyDescent="0.2">
      <c r="A108" s="75" t="s">
        <v>68</v>
      </c>
      <c r="B108" s="76" t="s">
        <v>5944</v>
      </c>
      <c r="C108" s="76"/>
      <c r="D108" s="81" t="str">
        <f t="shared" si="1"/>
        <v>App ElectriqueBarre de cuivre</v>
      </c>
      <c r="E108" s="76" t="s">
        <v>4226</v>
      </c>
      <c r="F108" s="81">
        <v>2</v>
      </c>
      <c r="G108" s="82">
        <v>37438</v>
      </c>
      <c r="H108" s="79"/>
      <c r="I108" s="71"/>
      <c r="J108" s="70">
        <f>IFERROR(VLOOKUP(Devis[[#This Row],[Ref Air Flux]],#REF!,3,FALSE),0)</f>
        <v>0</v>
      </c>
      <c r="K108" s="68"/>
      <c r="L108" s="68"/>
      <c r="M108" s="68"/>
      <c r="N108" s="68"/>
      <c r="O108" s="68"/>
      <c r="P108" s="68"/>
      <c r="Q108" s="68">
        <f>SUM(Devis[[#This Row],[Poste 1]:[Poste 6]])</f>
        <v>0</v>
      </c>
      <c r="R108" s="71"/>
      <c r="S108" s="68">
        <f>_xlfn.CEILING.MATH(Devis[[#This Row],[Quantité Totale]],Devis[[#This Row],[Conditionnement]])</f>
        <v>0</v>
      </c>
      <c r="T108" s="72"/>
      <c r="U108" s="73"/>
      <c r="V108" s="74">
        <f>Devis[[#This Row],[Prix de Revient]]*Devis[[#This Row],[Poste 1]]</f>
        <v>0</v>
      </c>
      <c r="W108" s="74">
        <f>Devis[[#This Row],[Prix de Revient]]*Devis[[#This Row],[Poste 2]]</f>
        <v>0</v>
      </c>
      <c r="X108" s="74">
        <f>Devis[[#This Row],[Prix de Revient]]*Devis[[#This Row],[Poste 3]]</f>
        <v>0</v>
      </c>
      <c r="Y108" s="74">
        <f>Devis[[#This Row],[Poste 4]]*Devis[[#This Row],[Prix de Revient]]</f>
        <v>0</v>
      </c>
      <c r="Z108" s="74">
        <f>Devis[[#This Row],[Poste 5]]*Devis[[#This Row],[Prix de Revient]]</f>
        <v>0</v>
      </c>
      <c r="AA108" s="74">
        <f>Devis[[#This Row],[Prix de Revient]]*Devis[[#This Row],[Poste 6]]</f>
        <v>0</v>
      </c>
      <c r="AB108" s="74">
        <f>Devis[[#This Row],[Quantité Totale]]*Devis[[#This Row],[Prix de Revient]]</f>
        <v>0</v>
      </c>
    </row>
    <row r="109" spans="1:28" ht="14.25" outlineLevel="1" x14ac:dyDescent="0.2">
      <c r="A109" s="75" t="s">
        <v>68</v>
      </c>
      <c r="B109" s="76" t="s">
        <v>5944</v>
      </c>
      <c r="C109" s="76"/>
      <c r="D109" s="81" t="str">
        <f t="shared" si="1"/>
        <v>App ElectriqueBarre de cuivre</v>
      </c>
      <c r="E109" s="76" t="s">
        <v>4227</v>
      </c>
      <c r="F109" s="81">
        <v>3</v>
      </c>
      <c r="G109" s="82">
        <v>37418</v>
      </c>
      <c r="H109" s="79"/>
      <c r="I109" s="71"/>
      <c r="J109" s="70">
        <f>IFERROR(VLOOKUP(Devis[[#This Row],[Ref Air Flux]],#REF!,3,FALSE),0)</f>
        <v>0</v>
      </c>
      <c r="K109" s="68"/>
      <c r="L109" s="68"/>
      <c r="M109" s="68"/>
      <c r="N109" s="68"/>
      <c r="O109" s="68"/>
      <c r="P109" s="68"/>
      <c r="Q109" s="68">
        <f>SUM(Devis[[#This Row],[Poste 1]:[Poste 6]])</f>
        <v>0</v>
      </c>
      <c r="R109" s="71"/>
      <c r="S109" s="68">
        <f>_xlfn.CEILING.MATH(Devis[[#This Row],[Quantité Totale]],Devis[[#This Row],[Conditionnement]])</f>
        <v>0</v>
      </c>
      <c r="T109" s="72"/>
      <c r="U109" s="73"/>
      <c r="V109" s="74">
        <f>Devis[[#This Row],[Prix de Revient]]*Devis[[#This Row],[Poste 1]]</f>
        <v>0</v>
      </c>
      <c r="W109" s="74">
        <f>Devis[[#This Row],[Prix de Revient]]*Devis[[#This Row],[Poste 2]]</f>
        <v>0</v>
      </c>
      <c r="X109" s="74">
        <f>Devis[[#This Row],[Prix de Revient]]*Devis[[#This Row],[Poste 3]]</f>
        <v>0</v>
      </c>
      <c r="Y109" s="74">
        <f>Devis[[#This Row],[Poste 4]]*Devis[[#This Row],[Prix de Revient]]</f>
        <v>0</v>
      </c>
      <c r="Z109" s="74">
        <f>Devis[[#This Row],[Poste 5]]*Devis[[#This Row],[Prix de Revient]]</f>
        <v>0</v>
      </c>
      <c r="AA109" s="74">
        <f>Devis[[#This Row],[Prix de Revient]]*Devis[[#This Row],[Poste 6]]</f>
        <v>0</v>
      </c>
      <c r="AB109" s="74">
        <f>Devis[[#This Row],[Quantité Totale]]*Devis[[#This Row],[Prix de Revient]]</f>
        <v>0</v>
      </c>
    </row>
    <row r="110" spans="1:28" ht="14.25" customHeight="1" x14ac:dyDescent="0.25">
      <c r="A110" s="65" t="s">
        <v>68</v>
      </c>
      <c r="B110" s="65" t="s">
        <v>69</v>
      </c>
      <c r="C110" s="76"/>
      <c r="D110" s="81" t="str">
        <f t="shared" si="1"/>
        <v>App ElectriqueCorps + contact</v>
      </c>
      <c r="E110" s="76"/>
      <c r="F110" s="81">
        <v>0</v>
      </c>
      <c r="G110" s="82"/>
      <c r="H110" s="79"/>
      <c r="I110" s="71"/>
      <c r="J110" s="70">
        <f>IFERROR(VLOOKUP(Devis[[#This Row],[Ref Air Flux]],#REF!,3,FALSE),0)</f>
        <v>0</v>
      </c>
      <c r="K110" s="68"/>
      <c r="L110" s="68"/>
      <c r="M110" s="68"/>
      <c r="N110" s="68"/>
      <c r="O110" s="68"/>
      <c r="P110" s="68"/>
      <c r="Q110" s="68">
        <f>SUM(Devis[[#This Row],[Poste 1]:[Poste 6]])</f>
        <v>0</v>
      </c>
      <c r="R110" s="71"/>
      <c r="S110" s="68">
        <f>_xlfn.CEILING.MATH(Devis[[#This Row],[Quantité Totale]],Devis[[#This Row],[Conditionnement]])</f>
        <v>0</v>
      </c>
      <c r="T110" s="72"/>
      <c r="U110" s="73"/>
      <c r="V110" s="74">
        <f>Devis[[#This Row],[Prix de Revient]]*Devis[[#This Row],[Poste 1]]</f>
        <v>0</v>
      </c>
      <c r="W110" s="74">
        <f>Devis[[#This Row],[Prix de Revient]]*Devis[[#This Row],[Poste 2]]</f>
        <v>0</v>
      </c>
      <c r="X110" s="74">
        <f>Devis[[#This Row],[Prix de Revient]]*Devis[[#This Row],[Poste 3]]</f>
        <v>0</v>
      </c>
      <c r="Y110" s="74">
        <f>Devis[[#This Row],[Poste 4]]*Devis[[#This Row],[Prix de Revient]]</f>
        <v>0</v>
      </c>
      <c r="Z110" s="74">
        <f>Devis[[#This Row],[Poste 5]]*Devis[[#This Row],[Prix de Revient]]</f>
        <v>0</v>
      </c>
      <c r="AA110" s="74">
        <f>Devis[[#This Row],[Prix de Revient]]*Devis[[#This Row],[Poste 6]]</f>
        <v>0</v>
      </c>
      <c r="AB110" s="74">
        <f>Devis[[#This Row],[Quantité Totale]]*Devis[[#This Row],[Prix de Revient]]</f>
        <v>0</v>
      </c>
    </row>
    <row r="111" spans="1:28" ht="14.25" outlineLevel="1" x14ac:dyDescent="0.2">
      <c r="A111" s="75" t="s">
        <v>68</v>
      </c>
      <c r="B111" s="76" t="s">
        <v>69</v>
      </c>
      <c r="C111" s="76"/>
      <c r="D111" s="81" t="str">
        <f t="shared" si="1"/>
        <v>App ElectriqueCorps + contact</v>
      </c>
      <c r="E111" s="76" t="s">
        <v>71</v>
      </c>
      <c r="F111" s="81">
        <v>1</v>
      </c>
      <c r="G111" s="82" t="s">
        <v>70</v>
      </c>
      <c r="H111" s="79"/>
      <c r="I111" s="71"/>
      <c r="J111" s="70">
        <f>IFERROR(VLOOKUP(Devis[[#This Row],[Ref Air Flux]],#REF!,3,FALSE),0)</f>
        <v>0</v>
      </c>
      <c r="K111" s="68"/>
      <c r="L111" s="68"/>
      <c r="M111" s="68"/>
      <c r="N111" s="68"/>
      <c r="O111" s="68"/>
      <c r="P111" s="68"/>
      <c r="Q111" s="68">
        <f>SUM(Devis[[#This Row],[Poste 1]:[Poste 6]])</f>
        <v>0</v>
      </c>
      <c r="R111" s="71"/>
      <c r="S111" s="68">
        <f>_xlfn.CEILING.MATH(Devis[[#This Row],[Quantité Totale]],Devis[[#This Row],[Conditionnement]])</f>
        <v>0</v>
      </c>
      <c r="T111" s="72"/>
      <c r="U111" s="73"/>
      <c r="V111" s="74">
        <f>Devis[[#This Row],[Prix de Revient]]*Devis[[#This Row],[Poste 1]]</f>
        <v>0</v>
      </c>
      <c r="W111" s="74">
        <f>Devis[[#This Row],[Prix de Revient]]*Devis[[#This Row],[Poste 2]]</f>
        <v>0</v>
      </c>
      <c r="X111" s="74">
        <f>Devis[[#This Row],[Prix de Revient]]*Devis[[#This Row],[Poste 3]]</f>
        <v>0</v>
      </c>
      <c r="Y111" s="74">
        <f>Devis[[#This Row],[Poste 4]]*Devis[[#This Row],[Prix de Revient]]</f>
        <v>0</v>
      </c>
      <c r="Z111" s="74">
        <f>Devis[[#This Row],[Poste 5]]*Devis[[#This Row],[Prix de Revient]]</f>
        <v>0</v>
      </c>
      <c r="AA111" s="74">
        <f>Devis[[#This Row],[Prix de Revient]]*Devis[[#This Row],[Poste 6]]</f>
        <v>0</v>
      </c>
      <c r="AB111" s="74">
        <f>Devis[[#This Row],[Quantité Totale]]*Devis[[#This Row],[Prix de Revient]]</f>
        <v>0</v>
      </c>
    </row>
    <row r="112" spans="1:28" ht="14.25" outlineLevel="1" x14ac:dyDescent="0.2">
      <c r="A112" s="75" t="s">
        <v>68</v>
      </c>
      <c r="B112" s="76" t="s">
        <v>69</v>
      </c>
      <c r="C112" s="76"/>
      <c r="D112" s="81" t="str">
        <f t="shared" si="1"/>
        <v>App ElectriqueCorps + contact</v>
      </c>
      <c r="E112" s="76" t="s">
        <v>72</v>
      </c>
      <c r="F112" s="81">
        <v>2</v>
      </c>
      <c r="G112" s="82" t="s">
        <v>73</v>
      </c>
      <c r="H112" s="79"/>
      <c r="I112" s="71"/>
      <c r="J112" s="70">
        <f>IFERROR(VLOOKUP(Devis[[#This Row],[Ref Air Flux]],#REF!,3,FALSE),0)</f>
        <v>0</v>
      </c>
      <c r="K112" s="68"/>
      <c r="L112" s="68"/>
      <c r="M112" s="68"/>
      <c r="N112" s="68"/>
      <c r="O112" s="68"/>
      <c r="P112" s="68"/>
      <c r="Q112" s="68">
        <f>SUM(Devis[[#This Row],[Poste 1]:[Poste 6]])</f>
        <v>0</v>
      </c>
      <c r="R112" s="71"/>
      <c r="S112" s="68">
        <f>_xlfn.CEILING.MATH(Devis[[#This Row],[Quantité Totale]],Devis[[#This Row],[Conditionnement]])</f>
        <v>0</v>
      </c>
      <c r="T112" s="72"/>
      <c r="U112" s="73"/>
      <c r="V112" s="74">
        <f>Devis[[#This Row],[Prix de Revient]]*Devis[[#This Row],[Poste 1]]</f>
        <v>0</v>
      </c>
      <c r="W112" s="74">
        <f>Devis[[#This Row],[Prix de Revient]]*Devis[[#This Row],[Poste 2]]</f>
        <v>0</v>
      </c>
      <c r="X112" s="74">
        <f>Devis[[#This Row],[Prix de Revient]]*Devis[[#This Row],[Poste 3]]</f>
        <v>0</v>
      </c>
      <c r="Y112" s="74">
        <f>Devis[[#This Row],[Poste 4]]*Devis[[#This Row],[Prix de Revient]]</f>
        <v>0</v>
      </c>
      <c r="Z112" s="74">
        <f>Devis[[#This Row],[Poste 5]]*Devis[[#This Row],[Prix de Revient]]</f>
        <v>0</v>
      </c>
      <c r="AA112" s="74">
        <f>Devis[[#This Row],[Prix de Revient]]*Devis[[#This Row],[Poste 6]]</f>
        <v>0</v>
      </c>
      <c r="AB112" s="74">
        <f>Devis[[#This Row],[Quantité Totale]]*Devis[[#This Row],[Prix de Revient]]</f>
        <v>0</v>
      </c>
    </row>
    <row r="113" spans="1:28" ht="14.25" customHeight="1" x14ac:dyDescent="0.25">
      <c r="A113" s="65" t="s">
        <v>68</v>
      </c>
      <c r="B113" s="65" t="s">
        <v>4352</v>
      </c>
      <c r="C113" s="76"/>
      <c r="D113" s="81" t="str">
        <f t="shared" si="1"/>
        <v>App ElectriqueDISJONCTEUR ACTI9 NG125N</v>
      </c>
      <c r="E113" s="76"/>
      <c r="F113" s="81">
        <v>0</v>
      </c>
      <c r="G113" s="82"/>
      <c r="H113" s="76"/>
      <c r="I113" s="71"/>
      <c r="J113" s="70">
        <f>IFERROR(VLOOKUP(Devis[[#This Row],[Ref Air Flux]],#REF!,3,FALSE),0)</f>
        <v>0</v>
      </c>
      <c r="K113" s="68"/>
      <c r="L113" s="68"/>
      <c r="M113" s="68"/>
      <c r="N113" s="68"/>
      <c r="O113" s="68"/>
      <c r="P113" s="68"/>
      <c r="Q113" s="68">
        <f>SUM(Devis[[#This Row],[Poste 1]:[Poste 6]])</f>
        <v>0</v>
      </c>
      <c r="R113" s="71"/>
      <c r="S113" s="68">
        <f>_xlfn.CEILING.MATH(Devis[[#This Row],[Quantité Totale]],Devis[[#This Row],[Conditionnement]])</f>
        <v>0</v>
      </c>
      <c r="T113" s="72"/>
      <c r="U113" s="73"/>
      <c r="V113" s="74">
        <f>Devis[[#This Row],[Prix de Revient]]*Devis[[#This Row],[Poste 1]]</f>
        <v>0</v>
      </c>
      <c r="W113" s="74">
        <f>Devis[[#This Row],[Prix de Revient]]*Devis[[#This Row],[Poste 2]]</f>
        <v>0</v>
      </c>
      <c r="X113" s="74">
        <f>Devis[[#This Row],[Prix de Revient]]*Devis[[#This Row],[Poste 3]]</f>
        <v>0</v>
      </c>
      <c r="Y113" s="74">
        <f>Devis[[#This Row],[Poste 4]]*Devis[[#This Row],[Prix de Revient]]</f>
        <v>0</v>
      </c>
      <c r="Z113" s="74">
        <f>Devis[[#This Row],[Poste 5]]*Devis[[#This Row],[Prix de Revient]]</f>
        <v>0</v>
      </c>
      <c r="AA113" s="74">
        <f>Devis[[#This Row],[Prix de Revient]]*Devis[[#This Row],[Poste 6]]</f>
        <v>0</v>
      </c>
      <c r="AB113" s="74">
        <f>Devis[[#This Row],[Quantité Totale]]*Devis[[#This Row],[Prix de Revient]]</f>
        <v>0</v>
      </c>
    </row>
    <row r="114" spans="1:28" ht="14.25" outlineLevel="1" x14ac:dyDescent="0.2">
      <c r="A114" s="75" t="s">
        <v>68</v>
      </c>
      <c r="B114" s="84" t="s">
        <v>4352</v>
      </c>
      <c r="C114" s="84" t="s">
        <v>4353</v>
      </c>
      <c r="D114" s="81" t="str">
        <f t="shared" si="1"/>
        <v>App ElectriqueDISJONCTEUR ACTI9 NG125NDisjoncteur Acti9 NG125N-3P Courbe C 25KA /400V_10A</v>
      </c>
      <c r="E114" s="84" t="s">
        <v>4353</v>
      </c>
      <c r="F114" s="81">
        <v>1</v>
      </c>
      <c r="G114" s="85" t="s">
        <v>4354</v>
      </c>
      <c r="H114" s="76" t="s">
        <v>3524</v>
      </c>
      <c r="I114" s="71"/>
      <c r="J114" s="70">
        <f>IFERROR(VLOOKUP(Devis[[#This Row],[Ref Air Flux]],#REF!,3,FALSE),0)</f>
        <v>0</v>
      </c>
      <c r="K114" s="68"/>
      <c r="L114" s="68"/>
      <c r="M114" s="68"/>
      <c r="N114" s="68"/>
      <c r="O114" s="68"/>
      <c r="P114" s="68"/>
      <c r="Q114" s="68">
        <f>SUM(Devis[[#This Row],[Poste 1]:[Poste 6]])</f>
        <v>0</v>
      </c>
      <c r="R114" s="71"/>
      <c r="S114" s="68">
        <f>_xlfn.CEILING.MATH(Devis[[#This Row],[Quantité Totale]],Devis[[#This Row],[Conditionnement]])</f>
        <v>0</v>
      </c>
      <c r="T114" s="72"/>
      <c r="U114" s="73"/>
      <c r="V114" s="74">
        <f>Devis[[#This Row],[Prix de Revient]]*Devis[[#This Row],[Poste 1]]</f>
        <v>0</v>
      </c>
      <c r="W114" s="74">
        <f>Devis[[#This Row],[Prix de Revient]]*Devis[[#This Row],[Poste 2]]</f>
        <v>0</v>
      </c>
      <c r="X114" s="74">
        <f>Devis[[#This Row],[Prix de Revient]]*Devis[[#This Row],[Poste 3]]</f>
        <v>0</v>
      </c>
      <c r="Y114" s="74">
        <f>Devis[[#This Row],[Poste 4]]*Devis[[#This Row],[Prix de Revient]]</f>
        <v>0</v>
      </c>
      <c r="Z114" s="74">
        <f>Devis[[#This Row],[Poste 5]]*Devis[[#This Row],[Prix de Revient]]</f>
        <v>0</v>
      </c>
      <c r="AA114" s="74">
        <f>Devis[[#This Row],[Prix de Revient]]*Devis[[#This Row],[Poste 6]]</f>
        <v>0</v>
      </c>
      <c r="AB114" s="74">
        <f>Devis[[#This Row],[Quantité Totale]]*Devis[[#This Row],[Prix de Revient]]</f>
        <v>0</v>
      </c>
    </row>
    <row r="115" spans="1:28" ht="14.25" outlineLevel="1" x14ac:dyDescent="0.2">
      <c r="A115" s="75" t="s">
        <v>68</v>
      </c>
      <c r="B115" s="84" t="s">
        <v>4352</v>
      </c>
      <c r="C115" s="84" t="s">
        <v>4355</v>
      </c>
      <c r="D115" s="81" t="str">
        <f t="shared" si="1"/>
        <v>App ElectriqueDISJONCTEUR ACTI9 NG125NDisjoncteur Acti9 NG125N-3P Courbe C 25KA /400V_16A</v>
      </c>
      <c r="E115" s="84" t="s">
        <v>4355</v>
      </c>
      <c r="F115" s="81">
        <v>2</v>
      </c>
      <c r="G115" s="85" t="s">
        <v>4356</v>
      </c>
      <c r="H115" s="76" t="s">
        <v>3524</v>
      </c>
      <c r="I115" s="71"/>
      <c r="J115" s="70">
        <f>IFERROR(VLOOKUP(Devis[[#This Row],[Ref Air Flux]],#REF!,3,FALSE),0)</f>
        <v>0</v>
      </c>
      <c r="K115" s="68"/>
      <c r="L115" s="68"/>
      <c r="M115" s="68"/>
      <c r="N115" s="68"/>
      <c r="O115" s="68"/>
      <c r="P115" s="68"/>
      <c r="Q115" s="68">
        <f>SUM(Devis[[#This Row],[Poste 1]:[Poste 6]])</f>
        <v>0</v>
      </c>
      <c r="R115" s="71"/>
      <c r="S115" s="68">
        <f>_xlfn.CEILING.MATH(Devis[[#This Row],[Quantité Totale]],Devis[[#This Row],[Conditionnement]])</f>
        <v>0</v>
      </c>
      <c r="T115" s="72"/>
      <c r="U115" s="73"/>
      <c r="V115" s="74">
        <f>Devis[[#This Row],[Prix de Revient]]*Devis[[#This Row],[Poste 1]]</f>
        <v>0</v>
      </c>
      <c r="W115" s="74">
        <f>Devis[[#This Row],[Prix de Revient]]*Devis[[#This Row],[Poste 2]]</f>
        <v>0</v>
      </c>
      <c r="X115" s="74">
        <f>Devis[[#This Row],[Prix de Revient]]*Devis[[#This Row],[Poste 3]]</f>
        <v>0</v>
      </c>
      <c r="Y115" s="74">
        <f>Devis[[#This Row],[Poste 4]]*Devis[[#This Row],[Prix de Revient]]</f>
        <v>0</v>
      </c>
      <c r="Z115" s="74">
        <f>Devis[[#This Row],[Poste 5]]*Devis[[#This Row],[Prix de Revient]]</f>
        <v>0</v>
      </c>
      <c r="AA115" s="74">
        <f>Devis[[#This Row],[Prix de Revient]]*Devis[[#This Row],[Poste 6]]</f>
        <v>0</v>
      </c>
      <c r="AB115" s="74">
        <f>Devis[[#This Row],[Quantité Totale]]*Devis[[#This Row],[Prix de Revient]]</f>
        <v>0</v>
      </c>
    </row>
    <row r="116" spans="1:28" ht="15" customHeight="1" outlineLevel="1" x14ac:dyDescent="0.2">
      <c r="A116" s="75" t="s">
        <v>68</v>
      </c>
      <c r="B116" s="84" t="s">
        <v>4352</v>
      </c>
      <c r="C116" s="84" t="s">
        <v>4357</v>
      </c>
      <c r="D116" s="81" t="str">
        <f t="shared" si="1"/>
        <v>App ElectriqueDISJONCTEUR ACTI9 NG125NDisjoncteur Acti9 NG125N-3P Courbe C 25KA /400V_20A</v>
      </c>
      <c r="E116" s="84" t="s">
        <v>4357</v>
      </c>
      <c r="F116" s="81">
        <v>3</v>
      </c>
      <c r="G116" s="85" t="s">
        <v>4358</v>
      </c>
      <c r="H116" s="76" t="s">
        <v>3524</v>
      </c>
      <c r="I116" s="71"/>
      <c r="J116" s="70">
        <f>IFERROR(VLOOKUP(Devis[[#This Row],[Ref Air Flux]],#REF!,3,FALSE),0)</f>
        <v>0</v>
      </c>
      <c r="K116" s="68"/>
      <c r="L116" s="68"/>
      <c r="M116" s="68"/>
      <c r="N116" s="68"/>
      <c r="O116" s="68"/>
      <c r="P116" s="68"/>
      <c r="Q116" s="68">
        <f>SUM(Devis[[#This Row],[Poste 1]:[Poste 6]])</f>
        <v>0</v>
      </c>
      <c r="R116" s="71"/>
      <c r="S116" s="68">
        <f>_xlfn.CEILING.MATH(Devis[[#This Row],[Quantité Totale]],Devis[[#This Row],[Conditionnement]])</f>
        <v>0</v>
      </c>
      <c r="T116" s="72"/>
      <c r="U116" s="73"/>
      <c r="V116" s="74">
        <f>Devis[[#This Row],[Prix de Revient]]*Devis[[#This Row],[Poste 1]]</f>
        <v>0</v>
      </c>
      <c r="W116" s="74">
        <f>Devis[[#This Row],[Prix de Revient]]*Devis[[#This Row],[Poste 2]]</f>
        <v>0</v>
      </c>
      <c r="X116" s="74">
        <f>Devis[[#This Row],[Prix de Revient]]*Devis[[#This Row],[Poste 3]]</f>
        <v>0</v>
      </c>
      <c r="Y116" s="74">
        <f>Devis[[#This Row],[Poste 4]]*Devis[[#This Row],[Prix de Revient]]</f>
        <v>0</v>
      </c>
      <c r="Z116" s="74">
        <f>Devis[[#This Row],[Poste 5]]*Devis[[#This Row],[Prix de Revient]]</f>
        <v>0</v>
      </c>
      <c r="AA116" s="74">
        <f>Devis[[#This Row],[Prix de Revient]]*Devis[[#This Row],[Poste 6]]</f>
        <v>0</v>
      </c>
      <c r="AB116" s="74">
        <f>Devis[[#This Row],[Quantité Totale]]*Devis[[#This Row],[Prix de Revient]]</f>
        <v>0</v>
      </c>
    </row>
    <row r="117" spans="1:28" ht="14.25" outlineLevel="1" x14ac:dyDescent="0.2">
      <c r="A117" s="75" t="s">
        <v>68</v>
      </c>
      <c r="B117" s="84" t="s">
        <v>4352</v>
      </c>
      <c r="C117" s="84" t="s">
        <v>4359</v>
      </c>
      <c r="D117" s="81" t="str">
        <f t="shared" si="1"/>
        <v>App ElectriqueDISJONCTEUR ACTI9 NG125NDisjoncteur Acti9 NG125N-3P Courbe C 25KA /400V_25A</v>
      </c>
      <c r="E117" s="84" t="s">
        <v>4359</v>
      </c>
      <c r="F117" s="81">
        <v>4</v>
      </c>
      <c r="G117" s="85" t="s">
        <v>4360</v>
      </c>
      <c r="H117" s="76" t="s">
        <v>3524</v>
      </c>
      <c r="I117" s="71"/>
      <c r="J117" s="70">
        <f>IFERROR(VLOOKUP(Devis[[#This Row],[Ref Air Flux]],#REF!,3,FALSE),0)</f>
        <v>0</v>
      </c>
      <c r="K117" s="68"/>
      <c r="L117" s="68"/>
      <c r="M117" s="68"/>
      <c r="N117" s="68"/>
      <c r="O117" s="68"/>
      <c r="P117" s="68"/>
      <c r="Q117" s="68">
        <f>SUM(Devis[[#This Row],[Poste 1]:[Poste 6]])</f>
        <v>0</v>
      </c>
      <c r="R117" s="71"/>
      <c r="S117" s="68">
        <f>_xlfn.CEILING.MATH(Devis[[#This Row],[Quantité Totale]],Devis[[#This Row],[Conditionnement]])</f>
        <v>0</v>
      </c>
      <c r="T117" s="72"/>
      <c r="U117" s="73"/>
      <c r="V117" s="74">
        <f>Devis[[#This Row],[Prix de Revient]]*Devis[[#This Row],[Poste 1]]</f>
        <v>0</v>
      </c>
      <c r="W117" s="74">
        <f>Devis[[#This Row],[Prix de Revient]]*Devis[[#This Row],[Poste 2]]</f>
        <v>0</v>
      </c>
      <c r="X117" s="74">
        <f>Devis[[#This Row],[Prix de Revient]]*Devis[[#This Row],[Poste 3]]</f>
        <v>0</v>
      </c>
      <c r="Y117" s="74">
        <f>Devis[[#This Row],[Poste 4]]*Devis[[#This Row],[Prix de Revient]]</f>
        <v>0</v>
      </c>
      <c r="Z117" s="74">
        <f>Devis[[#This Row],[Poste 5]]*Devis[[#This Row],[Prix de Revient]]</f>
        <v>0</v>
      </c>
      <c r="AA117" s="74">
        <f>Devis[[#This Row],[Prix de Revient]]*Devis[[#This Row],[Poste 6]]</f>
        <v>0</v>
      </c>
      <c r="AB117" s="74">
        <f>Devis[[#This Row],[Quantité Totale]]*Devis[[#This Row],[Prix de Revient]]</f>
        <v>0</v>
      </c>
    </row>
    <row r="118" spans="1:28" ht="14.25" customHeight="1" outlineLevel="1" x14ac:dyDescent="0.2">
      <c r="A118" s="75" t="s">
        <v>68</v>
      </c>
      <c r="B118" s="84" t="s">
        <v>4352</v>
      </c>
      <c r="C118" s="84" t="s">
        <v>4361</v>
      </c>
      <c r="D118" s="81" t="str">
        <f t="shared" si="1"/>
        <v>App ElectriqueDISJONCTEUR ACTI9 NG125NDisjoncteur Acti9 NG125N-3P Courbe C 25KA /400V_32A</v>
      </c>
      <c r="E118" s="84" t="s">
        <v>4361</v>
      </c>
      <c r="F118" s="81">
        <v>5</v>
      </c>
      <c r="G118" s="85" t="s">
        <v>4362</v>
      </c>
      <c r="H118" s="76" t="s">
        <v>3524</v>
      </c>
      <c r="I118" s="71"/>
      <c r="J118" s="70">
        <f>IFERROR(VLOOKUP(Devis[[#This Row],[Ref Air Flux]],#REF!,3,FALSE),0)</f>
        <v>0</v>
      </c>
      <c r="K118" s="68"/>
      <c r="L118" s="68"/>
      <c r="M118" s="68"/>
      <c r="N118" s="68"/>
      <c r="O118" s="68"/>
      <c r="P118" s="68"/>
      <c r="Q118" s="68">
        <f>SUM(Devis[[#This Row],[Poste 1]:[Poste 6]])</f>
        <v>0</v>
      </c>
      <c r="R118" s="71"/>
      <c r="S118" s="68">
        <f>_xlfn.CEILING.MATH(Devis[[#This Row],[Quantité Totale]],Devis[[#This Row],[Conditionnement]])</f>
        <v>0</v>
      </c>
      <c r="T118" s="72"/>
      <c r="U118" s="73"/>
      <c r="V118" s="74">
        <f>Devis[[#This Row],[Prix de Revient]]*Devis[[#This Row],[Poste 1]]</f>
        <v>0</v>
      </c>
      <c r="W118" s="74">
        <f>Devis[[#This Row],[Prix de Revient]]*Devis[[#This Row],[Poste 2]]</f>
        <v>0</v>
      </c>
      <c r="X118" s="74">
        <f>Devis[[#This Row],[Prix de Revient]]*Devis[[#This Row],[Poste 3]]</f>
        <v>0</v>
      </c>
      <c r="Y118" s="74">
        <f>Devis[[#This Row],[Poste 4]]*Devis[[#This Row],[Prix de Revient]]</f>
        <v>0</v>
      </c>
      <c r="Z118" s="74">
        <f>Devis[[#This Row],[Poste 5]]*Devis[[#This Row],[Prix de Revient]]</f>
        <v>0</v>
      </c>
      <c r="AA118" s="74">
        <f>Devis[[#This Row],[Prix de Revient]]*Devis[[#This Row],[Poste 6]]</f>
        <v>0</v>
      </c>
      <c r="AB118" s="74">
        <f>Devis[[#This Row],[Quantité Totale]]*Devis[[#This Row],[Prix de Revient]]</f>
        <v>0</v>
      </c>
    </row>
    <row r="119" spans="1:28" ht="14.25" outlineLevel="1" x14ac:dyDescent="0.2">
      <c r="A119" s="75" t="s">
        <v>68</v>
      </c>
      <c r="B119" s="84" t="s">
        <v>4352</v>
      </c>
      <c r="C119" s="84" t="s">
        <v>4363</v>
      </c>
      <c r="D119" s="81" t="str">
        <f t="shared" si="1"/>
        <v>App ElectriqueDISJONCTEUR ACTI9 NG125NDisjoncteur Acti9 NG125N-3P Courbe C 25KA /400V_40A</v>
      </c>
      <c r="E119" s="84" t="s">
        <v>4363</v>
      </c>
      <c r="F119" s="81">
        <v>6</v>
      </c>
      <c r="G119" s="85" t="s">
        <v>4364</v>
      </c>
      <c r="H119" s="76" t="s">
        <v>3524</v>
      </c>
      <c r="I119" s="71"/>
      <c r="J119" s="70">
        <f>IFERROR(VLOOKUP(Devis[[#This Row],[Ref Air Flux]],#REF!,3,FALSE),0)</f>
        <v>0</v>
      </c>
      <c r="K119" s="68"/>
      <c r="L119" s="68"/>
      <c r="M119" s="68"/>
      <c r="N119" s="68"/>
      <c r="O119" s="68"/>
      <c r="P119" s="68"/>
      <c r="Q119" s="68">
        <f>SUM(Devis[[#This Row],[Poste 1]:[Poste 6]])</f>
        <v>0</v>
      </c>
      <c r="R119" s="71"/>
      <c r="S119" s="68">
        <f>_xlfn.CEILING.MATH(Devis[[#This Row],[Quantité Totale]],Devis[[#This Row],[Conditionnement]])</f>
        <v>0</v>
      </c>
      <c r="T119" s="72"/>
      <c r="U119" s="73"/>
      <c r="V119" s="74">
        <f>Devis[[#This Row],[Prix de Revient]]*Devis[[#This Row],[Poste 1]]</f>
        <v>0</v>
      </c>
      <c r="W119" s="74">
        <f>Devis[[#This Row],[Prix de Revient]]*Devis[[#This Row],[Poste 2]]</f>
        <v>0</v>
      </c>
      <c r="X119" s="74">
        <f>Devis[[#This Row],[Prix de Revient]]*Devis[[#This Row],[Poste 3]]</f>
        <v>0</v>
      </c>
      <c r="Y119" s="74">
        <f>Devis[[#This Row],[Poste 4]]*Devis[[#This Row],[Prix de Revient]]</f>
        <v>0</v>
      </c>
      <c r="Z119" s="74">
        <f>Devis[[#This Row],[Poste 5]]*Devis[[#This Row],[Prix de Revient]]</f>
        <v>0</v>
      </c>
      <c r="AA119" s="74">
        <f>Devis[[#This Row],[Prix de Revient]]*Devis[[#This Row],[Poste 6]]</f>
        <v>0</v>
      </c>
      <c r="AB119" s="74">
        <f>Devis[[#This Row],[Quantité Totale]]*Devis[[#This Row],[Prix de Revient]]</f>
        <v>0</v>
      </c>
    </row>
    <row r="120" spans="1:28" ht="14.25" outlineLevel="1" x14ac:dyDescent="0.2">
      <c r="A120" s="75" t="s">
        <v>68</v>
      </c>
      <c r="B120" s="84" t="s">
        <v>4352</v>
      </c>
      <c r="C120" s="84" t="s">
        <v>4365</v>
      </c>
      <c r="D120" s="81" t="str">
        <f t="shared" si="1"/>
        <v>App ElectriqueDISJONCTEUR ACTI9 NG125NDisjoncteur Acti9 NG125N-3P Courbe C 25KA /400V_50A</v>
      </c>
      <c r="E120" s="84" t="s">
        <v>4365</v>
      </c>
      <c r="F120" s="81">
        <v>7</v>
      </c>
      <c r="G120" s="85" t="s">
        <v>4366</v>
      </c>
      <c r="H120" s="76" t="s">
        <v>3524</v>
      </c>
      <c r="I120" s="71"/>
      <c r="J120" s="70">
        <f>IFERROR(VLOOKUP(Devis[[#This Row],[Ref Air Flux]],#REF!,3,FALSE),0)</f>
        <v>0</v>
      </c>
      <c r="K120" s="68"/>
      <c r="L120" s="68"/>
      <c r="M120" s="68"/>
      <c r="N120" s="68"/>
      <c r="O120" s="68"/>
      <c r="P120" s="68"/>
      <c r="Q120" s="68">
        <f>SUM(Devis[[#This Row],[Poste 1]:[Poste 6]])</f>
        <v>0</v>
      </c>
      <c r="R120" s="71"/>
      <c r="S120" s="68">
        <f>_xlfn.CEILING.MATH(Devis[[#This Row],[Quantité Totale]],Devis[[#This Row],[Conditionnement]])</f>
        <v>0</v>
      </c>
      <c r="T120" s="72"/>
      <c r="U120" s="73"/>
      <c r="V120" s="74">
        <f>Devis[[#This Row],[Prix de Revient]]*Devis[[#This Row],[Poste 1]]</f>
        <v>0</v>
      </c>
      <c r="W120" s="74">
        <f>Devis[[#This Row],[Prix de Revient]]*Devis[[#This Row],[Poste 2]]</f>
        <v>0</v>
      </c>
      <c r="X120" s="74">
        <f>Devis[[#This Row],[Prix de Revient]]*Devis[[#This Row],[Poste 3]]</f>
        <v>0</v>
      </c>
      <c r="Y120" s="74">
        <f>Devis[[#This Row],[Poste 4]]*Devis[[#This Row],[Prix de Revient]]</f>
        <v>0</v>
      </c>
      <c r="Z120" s="74">
        <f>Devis[[#This Row],[Poste 5]]*Devis[[#This Row],[Prix de Revient]]</f>
        <v>0</v>
      </c>
      <c r="AA120" s="74">
        <f>Devis[[#This Row],[Prix de Revient]]*Devis[[#This Row],[Poste 6]]</f>
        <v>0</v>
      </c>
      <c r="AB120" s="74">
        <f>Devis[[#This Row],[Quantité Totale]]*Devis[[#This Row],[Prix de Revient]]</f>
        <v>0</v>
      </c>
    </row>
    <row r="121" spans="1:28" ht="14.25" outlineLevel="1" x14ac:dyDescent="0.2">
      <c r="A121" s="75" t="s">
        <v>68</v>
      </c>
      <c r="B121" s="84" t="s">
        <v>4352</v>
      </c>
      <c r="C121" s="84" t="s">
        <v>4367</v>
      </c>
      <c r="D121" s="81" t="str">
        <f t="shared" si="1"/>
        <v>App ElectriqueDISJONCTEUR ACTI9 NG125NDisjoncteur Acti9 NG125N-3P Courbe C 25KA /400V_63A</v>
      </c>
      <c r="E121" s="84" t="s">
        <v>4367</v>
      </c>
      <c r="F121" s="81">
        <v>8</v>
      </c>
      <c r="G121" s="85" t="s">
        <v>4368</v>
      </c>
      <c r="H121" s="76" t="s">
        <v>3524</v>
      </c>
      <c r="I121" s="71"/>
      <c r="J121" s="70">
        <f>IFERROR(VLOOKUP(Devis[[#This Row],[Ref Air Flux]],#REF!,3,FALSE),0)</f>
        <v>0</v>
      </c>
      <c r="K121" s="68"/>
      <c r="L121" s="68"/>
      <c r="M121" s="68"/>
      <c r="N121" s="68"/>
      <c r="O121" s="68"/>
      <c r="P121" s="68"/>
      <c r="Q121" s="68">
        <f>SUM(Devis[[#This Row],[Poste 1]:[Poste 6]])</f>
        <v>0</v>
      </c>
      <c r="R121" s="71"/>
      <c r="S121" s="68">
        <f>_xlfn.CEILING.MATH(Devis[[#This Row],[Quantité Totale]],Devis[[#This Row],[Conditionnement]])</f>
        <v>0</v>
      </c>
      <c r="T121" s="72"/>
      <c r="U121" s="73"/>
      <c r="V121" s="74">
        <f>Devis[[#This Row],[Prix de Revient]]*Devis[[#This Row],[Poste 1]]</f>
        <v>0</v>
      </c>
      <c r="W121" s="74">
        <f>Devis[[#This Row],[Prix de Revient]]*Devis[[#This Row],[Poste 2]]</f>
        <v>0</v>
      </c>
      <c r="X121" s="74">
        <f>Devis[[#This Row],[Prix de Revient]]*Devis[[#This Row],[Poste 3]]</f>
        <v>0</v>
      </c>
      <c r="Y121" s="74">
        <f>Devis[[#This Row],[Poste 4]]*Devis[[#This Row],[Prix de Revient]]</f>
        <v>0</v>
      </c>
      <c r="Z121" s="74">
        <f>Devis[[#This Row],[Poste 5]]*Devis[[#This Row],[Prix de Revient]]</f>
        <v>0</v>
      </c>
      <c r="AA121" s="74">
        <f>Devis[[#This Row],[Prix de Revient]]*Devis[[#This Row],[Poste 6]]</f>
        <v>0</v>
      </c>
      <c r="AB121" s="74">
        <f>Devis[[#This Row],[Quantité Totale]]*Devis[[#This Row],[Prix de Revient]]</f>
        <v>0</v>
      </c>
    </row>
    <row r="122" spans="1:28" ht="14.25" outlineLevel="1" x14ac:dyDescent="0.2">
      <c r="A122" s="75" t="s">
        <v>68</v>
      </c>
      <c r="B122" s="84" t="s">
        <v>4352</v>
      </c>
      <c r="C122" s="84" t="s">
        <v>4369</v>
      </c>
      <c r="D122" s="81" t="str">
        <f t="shared" si="1"/>
        <v>App ElectriqueDISJONCTEUR ACTI9 NG125NDisjoncteur Acti9 NG125N-3P Courbe C 25KA /400V_80A</v>
      </c>
      <c r="E122" s="84" t="s">
        <v>4369</v>
      </c>
      <c r="F122" s="81">
        <v>9</v>
      </c>
      <c r="G122" s="85" t="s">
        <v>4370</v>
      </c>
      <c r="H122" s="76" t="s">
        <v>3524</v>
      </c>
      <c r="I122" s="71"/>
      <c r="J122" s="70">
        <f>IFERROR(VLOOKUP(Devis[[#This Row],[Ref Air Flux]],#REF!,3,FALSE),0)</f>
        <v>0</v>
      </c>
      <c r="K122" s="68"/>
      <c r="L122" s="68"/>
      <c r="M122" s="68"/>
      <c r="N122" s="68"/>
      <c r="O122" s="68"/>
      <c r="P122" s="68"/>
      <c r="Q122" s="68">
        <f>SUM(Devis[[#This Row],[Poste 1]:[Poste 6]])</f>
        <v>0</v>
      </c>
      <c r="R122" s="71"/>
      <c r="S122" s="68">
        <f>_xlfn.CEILING.MATH(Devis[[#This Row],[Quantité Totale]],Devis[[#This Row],[Conditionnement]])</f>
        <v>0</v>
      </c>
      <c r="T122" s="72"/>
      <c r="U122" s="73"/>
      <c r="V122" s="74">
        <f>Devis[[#This Row],[Prix de Revient]]*Devis[[#This Row],[Poste 1]]</f>
        <v>0</v>
      </c>
      <c r="W122" s="74">
        <f>Devis[[#This Row],[Prix de Revient]]*Devis[[#This Row],[Poste 2]]</f>
        <v>0</v>
      </c>
      <c r="X122" s="74">
        <f>Devis[[#This Row],[Prix de Revient]]*Devis[[#This Row],[Poste 3]]</f>
        <v>0</v>
      </c>
      <c r="Y122" s="74">
        <f>Devis[[#This Row],[Poste 4]]*Devis[[#This Row],[Prix de Revient]]</f>
        <v>0</v>
      </c>
      <c r="Z122" s="74">
        <f>Devis[[#This Row],[Poste 5]]*Devis[[#This Row],[Prix de Revient]]</f>
        <v>0</v>
      </c>
      <c r="AA122" s="74">
        <f>Devis[[#This Row],[Prix de Revient]]*Devis[[#This Row],[Poste 6]]</f>
        <v>0</v>
      </c>
      <c r="AB122" s="74">
        <f>Devis[[#This Row],[Quantité Totale]]*Devis[[#This Row],[Prix de Revient]]</f>
        <v>0</v>
      </c>
    </row>
    <row r="123" spans="1:28" ht="14.25" outlineLevel="1" x14ac:dyDescent="0.2">
      <c r="A123" s="75" t="s">
        <v>68</v>
      </c>
      <c r="B123" s="84" t="s">
        <v>4352</v>
      </c>
      <c r="C123" s="84" t="s">
        <v>4371</v>
      </c>
      <c r="D123" s="81" t="str">
        <f t="shared" si="1"/>
        <v>App ElectriqueDISJONCTEUR ACTI9 NG125NDisjoncteur Acti9 NG125N-3P Courbe C 25KA /400V_100A</v>
      </c>
      <c r="E123" s="84" t="s">
        <v>4371</v>
      </c>
      <c r="F123" s="81">
        <v>10</v>
      </c>
      <c r="G123" s="85" t="s">
        <v>4372</v>
      </c>
      <c r="H123" s="76" t="s">
        <v>3524</v>
      </c>
      <c r="I123" s="71"/>
      <c r="J123" s="70">
        <f>IFERROR(VLOOKUP(Devis[[#This Row],[Ref Air Flux]],#REF!,3,FALSE),0)</f>
        <v>0</v>
      </c>
      <c r="K123" s="68"/>
      <c r="L123" s="68"/>
      <c r="M123" s="68"/>
      <c r="N123" s="68"/>
      <c r="O123" s="68"/>
      <c r="P123" s="68"/>
      <c r="Q123" s="68">
        <f>SUM(Devis[[#This Row],[Poste 1]:[Poste 6]])</f>
        <v>0</v>
      </c>
      <c r="R123" s="71"/>
      <c r="S123" s="68">
        <f>_xlfn.CEILING.MATH(Devis[[#This Row],[Quantité Totale]],Devis[[#This Row],[Conditionnement]])</f>
        <v>0</v>
      </c>
      <c r="T123" s="72"/>
      <c r="U123" s="73"/>
      <c r="V123" s="74">
        <f>Devis[[#This Row],[Prix de Revient]]*Devis[[#This Row],[Poste 1]]</f>
        <v>0</v>
      </c>
      <c r="W123" s="74">
        <f>Devis[[#This Row],[Prix de Revient]]*Devis[[#This Row],[Poste 2]]</f>
        <v>0</v>
      </c>
      <c r="X123" s="74">
        <f>Devis[[#This Row],[Prix de Revient]]*Devis[[#This Row],[Poste 3]]</f>
        <v>0</v>
      </c>
      <c r="Y123" s="74">
        <f>Devis[[#This Row],[Poste 4]]*Devis[[#This Row],[Prix de Revient]]</f>
        <v>0</v>
      </c>
      <c r="Z123" s="74">
        <f>Devis[[#This Row],[Poste 5]]*Devis[[#This Row],[Prix de Revient]]</f>
        <v>0</v>
      </c>
      <c r="AA123" s="74">
        <f>Devis[[#This Row],[Prix de Revient]]*Devis[[#This Row],[Poste 6]]</f>
        <v>0</v>
      </c>
      <c r="AB123" s="74">
        <f>Devis[[#This Row],[Quantité Totale]]*Devis[[#This Row],[Prix de Revient]]</f>
        <v>0</v>
      </c>
    </row>
    <row r="124" spans="1:28" ht="14.25" outlineLevel="1" x14ac:dyDescent="0.2">
      <c r="A124" s="75" t="s">
        <v>68</v>
      </c>
      <c r="B124" s="84" t="s">
        <v>4352</v>
      </c>
      <c r="C124" s="84" t="s">
        <v>4373</v>
      </c>
      <c r="D124" s="81" t="str">
        <f t="shared" si="1"/>
        <v>App ElectriqueDISJONCTEUR ACTI9 NG125NDisjoncteur Acti9 NG125N-3P Courbe C 25KA /400V_125A</v>
      </c>
      <c r="E124" s="84" t="s">
        <v>4373</v>
      </c>
      <c r="F124" s="81">
        <v>11</v>
      </c>
      <c r="G124" s="85" t="s">
        <v>4374</v>
      </c>
      <c r="H124" s="76" t="s">
        <v>3524</v>
      </c>
      <c r="I124" s="71"/>
      <c r="J124" s="70">
        <f>IFERROR(VLOOKUP(Devis[[#This Row],[Ref Air Flux]],#REF!,3,FALSE),0)</f>
        <v>0</v>
      </c>
      <c r="K124" s="68"/>
      <c r="L124" s="68"/>
      <c r="M124" s="68"/>
      <c r="N124" s="68"/>
      <c r="O124" s="68"/>
      <c r="P124" s="68"/>
      <c r="Q124" s="68">
        <f>SUM(Devis[[#This Row],[Poste 1]:[Poste 6]])</f>
        <v>0</v>
      </c>
      <c r="R124" s="71"/>
      <c r="S124" s="68">
        <f>_xlfn.CEILING.MATH(Devis[[#This Row],[Quantité Totale]],Devis[[#This Row],[Conditionnement]])</f>
        <v>0</v>
      </c>
      <c r="T124" s="72"/>
      <c r="U124" s="73"/>
      <c r="V124" s="74">
        <f>Devis[[#This Row],[Prix de Revient]]*Devis[[#This Row],[Poste 1]]</f>
        <v>0</v>
      </c>
      <c r="W124" s="74">
        <f>Devis[[#This Row],[Prix de Revient]]*Devis[[#This Row],[Poste 2]]</f>
        <v>0</v>
      </c>
      <c r="X124" s="74">
        <f>Devis[[#This Row],[Prix de Revient]]*Devis[[#This Row],[Poste 3]]</f>
        <v>0</v>
      </c>
      <c r="Y124" s="74">
        <f>Devis[[#This Row],[Poste 4]]*Devis[[#This Row],[Prix de Revient]]</f>
        <v>0</v>
      </c>
      <c r="Z124" s="74">
        <f>Devis[[#This Row],[Poste 5]]*Devis[[#This Row],[Prix de Revient]]</f>
        <v>0</v>
      </c>
      <c r="AA124" s="74">
        <f>Devis[[#This Row],[Prix de Revient]]*Devis[[#This Row],[Poste 6]]</f>
        <v>0</v>
      </c>
      <c r="AB124" s="74">
        <f>Devis[[#This Row],[Quantité Totale]]*Devis[[#This Row],[Prix de Revient]]</f>
        <v>0</v>
      </c>
    </row>
    <row r="125" spans="1:28" ht="14.25" outlineLevel="1" x14ac:dyDescent="0.2">
      <c r="A125" s="75" t="s">
        <v>68</v>
      </c>
      <c r="B125" s="84" t="s">
        <v>4352</v>
      </c>
      <c r="C125" s="84"/>
      <c r="D125" s="81" t="str">
        <f t="shared" si="1"/>
        <v>App ElectriqueDISJONCTEUR ACTI9 NG125N</v>
      </c>
      <c r="E125" s="84"/>
      <c r="F125" s="81">
        <v>12</v>
      </c>
      <c r="G125" s="85"/>
      <c r="H125" s="76"/>
      <c r="I125" s="71"/>
      <c r="J125" s="70">
        <f>IFERROR(VLOOKUP(Devis[[#This Row],[Ref Air Flux]],#REF!,3,FALSE),0)</f>
        <v>0</v>
      </c>
      <c r="K125" s="68"/>
      <c r="L125" s="68"/>
      <c r="M125" s="68"/>
      <c r="N125" s="68"/>
      <c r="O125" s="68"/>
      <c r="P125" s="68"/>
      <c r="Q125" s="68">
        <f>SUM(Devis[[#This Row],[Poste 1]:[Poste 6]])</f>
        <v>0</v>
      </c>
      <c r="R125" s="71"/>
      <c r="S125" s="68">
        <f>_xlfn.CEILING.MATH(Devis[[#This Row],[Quantité Totale]],Devis[[#This Row],[Conditionnement]])</f>
        <v>0</v>
      </c>
      <c r="T125" s="72"/>
      <c r="U125" s="73"/>
      <c r="V125" s="74">
        <f>Devis[[#This Row],[Prix de Revient]]*Devis[[#This Row],[Poste 1]]</f>
        <v>0</v>
      </c>
      <c r="W125" s="74">
        <f>Devis[[#This Row],[Prix de Revient]]*Devis[[#This Row],[Poste 2]]</f>
        <v>0</v>
      </c>
      <c r="X125" s="74">
        <f>Devis[[#This Row],[Prix de Revient]]*Devis[[#This Row],[Poste 3]]</f>
        <v>0</v>
      </c>
      <c r="Y125" s="74">
        <f>Devis[[#This Row],[Poste 4]]*Devis[[#This Row],[Prix de Revient]]</f>
        <v>0</v>
      </c>
      <c r="Z125" s="74">
        <f>Devis[[#This Row],[Poste 5]]*Devis[[#This Row],[Prix de Revient]]</f>
        <v>0</v>
      </c>
      <c r="AA125" s="74">
        <f>Devis[[#This Row],[Prix de Revient]]*Devis[[#This Row],[Poste 6]]</f>
        <v>0</v>
      </c>
      <c r="AB125" s="74">
        <f>Devis[[#This Row],[Quantité Totale]]*Devis[[#This Row],[Prix de Revient]]</f>
        <v>0</v>
      </c>
    </row>
    <row r="126" spans="1:28" ht="14.25" outlineLevel="1" x14ac:dyDescent="0.2">
      <c r="A126" s="75" t="s">
        <v>68</v>
      </c>
      <c r="B126" s="84" t="s">
        <v>4352</v>
      </c>
      <c r="C126" s="84" t="s">
        <v>4375</v>
      </c>
      <c r="D126" s="81" t="str">
        <f t="shared" si="1"/>
        <v>App ElectriqueDISJONCTEUR ACTI9 NG125NDisjoncteur Acti9 NG125N-3P Courbe D 25KA /400V_80A</v>
      </c>
      <c r="E126" s="84" t="s">
        <v>4375</v>
      </c>
      <c r="F126" s="81">
        <v>13</v>
      </c>
      <c r="G126" s="85" t="s">
        <v>4376</v>
      </c>
      <c r="H126" s="76" t="s">
        <v>3524</v>
      </c>
      <c r="I126" s="71"/>
      <c r="J126" s="70">
        <f>IFERROR(VLOOKUP(Devis[[#This Row],[Ref Air Flux]],#REF!,3,FALSE),0)</f>
        <v>0</v>
      </c>
      <c r="K126" s="68"/>
      <c r="L126" s="68"/>
      <c r="M126" s="68"/>
      <c r="N126" s="68"/>
      <c r="O126" s="68"/>
      <c r="P126" s="68"/>
      <c r="Q126" s="68">
        <f>SUM(Devis[[#This Row],[Poste 1]:[Poste 6]])</f>
        <v>0</v>
      </c>
      <c r="R126" s="71"/>
      <c r="S126" s="68">
        <f>_xlfn.CEILING.MATH(Devis[[#This Row],[Quantité Totale]],Devis[[#This Row],[Conditionnement]])</f>
        <v>0</v>
      </c>
      <c r="T126" s="72"/>
      <c r="U126" s="73"/>
      <c r="V126" s="74">
        <f>Devis[[#This Row],[Prix de Revient]]*Devis[[#This Row],[Poste 1]]</f>
        <v>0</v>
      </c>
      <c r="W126" s="74">
        <f>Devis[[#This Row],[Prix de Revient]]*Devis[[#This Row],[Poste 2]]</f>
        <v>0</v>
      </c>
      <c r="X126" s="74">
        <f>Devis[[#This Row],[Prix de Revient]]*Devis[[#This Row],[Poste 3]]</f>
        <v>0</v>
      </c>
      <c r="Y126" s="74">
        <f>Devis[[#This Row],[Poste 4]]*Devis[[#This Row],[Prix de Revient]]</f>
        <v>0</v>
      </c>
      <c r="Z126" s="74">
        <f>Devis[[#This Row],[Poste 5]]*Devis[[#This Row],[Prix de Revient]]</f>
        <v>0</v>
      </c>
      <c r="AA126" s="74">
        <f>Devis[[#This Row],[Prix de Revient]]*Devis[[#This Row],[Poste 6]]</f>
        <v>0</v>
      </c>
      <c r="AB126" s="74">
        <f>Devis[[#This Row],[Quantité Totale]]*Devis[[#This Row],[Prix de Revient]]</f>
        <v>0</v>
      </c>
    </row>
    <row r="127" spans="1:28" ht="14.25" outlineLevel="1" x14ac:dyDescent="0.2">
      <c r="A127" s="75" t="s">
        <v>68</v>
      </c>
      <c r="B127" s="84" t="s">
        <v>4352</v>
      </c>
      <c r="C127" s="84" t="s">
        <v>4377</v>
      </c>
      <c r="D127" s="81" t="str">
        <f t="shared" si="1"/>
        <v>App ElectriqueDISJONCTEUR ACTI9 NG125NDisjoncteur Acti9 NG125N-3P Courbe D 25KA /400V_100A</v>
      </c>
      <c r="E127" s="84" t="s">
        <v>4377</v>
      </c>
      <c r="F127" s="81">
        <v>14</v>
      </c>
      <c r="G127" s="85" t="s">
        <v>4378</v>
      </c>
      <c r="H127" s="76" t="s">
        <v>3524</v>
      </c>
      <c r="I127" s="71"/>
      <c r="J127" s="70">
        <f>IFERROR(VLOOKUP(Devis[[#This Row],[Ref Air Flux]],#REF!,3,FALSE),0)</f>
        <v>0</v>
      </c>
      <c r="K127" s="68"/>
      <c r="L127" s="68"/>
      <c r="M127" s="68"/>
      <c r="N127" s="68"/>
      <c r="O127" s="68"/>
      <c r="P127" s="68"/>
      <c r="Q127" s="68">
        <f>SUM(Devis[[#This Row],[Poste 1]:[Poste 6]])</f>
        <v>0</v>
      </c>
      <c r="R127" s="71"/>
      <c r="S127" s="68">
        <f>_xlfn.CEILING.MATH(Devis[[#This Row],[Quantité Totale]],Devis[[#This Row],[Conditionnement]])</f>
        <v>0</v>
      </c>
      <c r="T127" s="72"/>
      <c r="U127" s="73"/>
      <c r="V127" s="74">
        <f>Devis[[#This Row],[Prix de Revient]]*Devis[[#This Row],[Poste 1]]</f>
        <v>0</v>
      </c>
      <c r="W127" s="74">
        <f>Devis[[#This Row],[Prix de Revient]]*Devis[[#This Row],[Poste 2]]</f>
        <v>0</v>
      </c>
      <c r="X127" s="74">
        <f>Devis[[#This Row],[Prix de Revient]]*Devis[[#This Row],[Poste 3]]</f>
        <v>0</v>
      </c>
      <c r="Y127" s="74">
        <f>Devis[[#This Row],[Poste 4]]*Devis[[#This Row],[Prix de Revient]]</f>
        <v>0</v>
      </c>
      <c r="Z127" s="74">
        <f>Devis[[#This Row],[Poste 5]]*Devis[[#This Row],[Prix de Revient]]</f>
        <v>0</v>
      </c>
      <c r="AA127" s="74">
        <f>Devis[[#This Row],[Prix de Revient]]*Devis[[#This Row],[Poste 6]]</f>
        <v>0</v>
      </c>
      <c r="AB127" s="74">
        <f>Devis[[#This Row],[Quantité Totale]]*Devis[[#This Row],[Prix de Revient]]</f>
        <v>0</v>
      </c>
    </row>
    <row r="128" spans="1:28" ht="15" customHeight="1" outlineLevel="1" x14ac:dyDescent="0.2">
      <c r="A128" s="75" t="s">
        <v>68</v>
      </c>
      <c r="B128" s="84" t="s">
        <v>4352</v>
      </c>
      <c r="C128" s="84" t="s">
        <v>4379</v>
      </c>
      <c r="D128" s="81" t="str">
        <f t="shared" si="1"/>
        <v>App ElectriqueDISJONCTEUR ACTI9 NG125NDisjoncteur Acti9 NG125N-3P Courbe D 25KA /400V_125A</v>
      </c>
      <c r="E128" s="84" t="s">
        <v>4379</v>
      </c>
      <c r="F128" s="81">
        <v>15</v>
      </c>
      <c r="G128" s="85" t="s">
        <v>4380</v>
      </c>
      <c r="H128" s="76" t="s">
        <v>3524</v>
      </c>
      <c r="I128" s="71"/>
      <c r="J128" s="70">
        <f>IFERROR(VLOOKUP(Devis[[#This Row],[Ref Air Flux]],#REF!,3,FALSE),0)</f>
        <v>0</v>
      </c>
      <c r="K128" s="68"/>
      <c r="L128" s="68"/>
      <c r="M128" s="68"/>
      <c r="N128" s="68"/>
      <c r="O128" s="68"/>
      <c r="P128" s="68"/>
      <c r="Q128" s="68">
        <f>SUM(Devis[[#This Row],[Poste 1]:[Poste 6]])</f>
        <v>0</v>
      </c>
      <c r="R128" s="71"/>
      <c r="S128" s="68">
        <f>_xlfn.CEILING.MATH(Devis[[#This Row],[Quantité Totale]],Devis[[#This Row],[Conditionnement]])</f>
        <v>0</v>
      </c>
      <c r="T128" s="72"/>
      <c r="U128" s="73"/>
      <c r="V128" s="74">
        <f>Devis[[#This Row],[Prix de Revient]]*Devis[[#This Row],[Poste 1]]</f>
        <v>0</v>
      </c>
      <c r="W128" s="74">
        <f>Devis[[#This Row],[Prix de Revient]]*Devis[[#This Row],[Poste 2]]</f>
        <v>0</v>
      </c>
      <c r="X128" s="74">
        <f>Devis[[#This Row],[Prix de Revient]]*Devis[[#This Row],[Poste 3]]</f>
        <v>0</v>
      </c>
      <c r="Y128" s="74">
        <f>Devis[[#This Row],[Poste 4]]*Devis[[#This Row],[Prix de Revient]]</f>
        <v>0</v>
      </c>
      <c r="Z128" s="74">
        <f>Devis[[#This Row],[Poste 5]]*Devis[[#This Row],[Prix de Revient]]</f>
        <v>0</v>
      </c>
      <c r="AA128" s="74">
        <f>Devis[[#This Row],[Prix de Revient]]*Devis[[#This Row],[Poste 6]]</f>
        <v>0</v>
      </c>
      <c r="AB128" s="74">
        <f>Devis[[#This Row],[Quantité Totale]]*Devis[[#This Row],[Prix de Revient]]</f>
        <v>0</v>
      </c>
    </row>
    <row r="129" spans="1:28" ht="14.25" customHeight="1" x14ac:dyDescent="0.25">
      <c r="A129" s="65" t="s">
        <v>68</v>
      </c>
      <c r="B129" s="65" t="s">
        <v>4381</v>
      </c>
      <c r="C129" s="76"/>
      <c r="D129" s="81" t="str">
        <f t="shared" si="1"/>
        <v>App ElectriqueDISJONCTEUR COMPACT</v>
      </c>
      <c r="E129" s="76"/>
      <c r="F129" s="81">
        <v>0</v>
      </c>
      <c r="G129" s="85"/>
      <c r="H129" s="76"/>
      <c r="I129" s="71"/>
      <c r="J129" s="70">
        <f>IFERROR(VLOOKUP(Devis[[#This Row],[Ref Air Flux]],#REF!,3,FALSE),0)</f>
        <v>0</v>
      </c>
      <c r="K129" s="68"/>
      <c r="L129" s="68"/>
      <c r="M129" s="68"/>
      <c r="N129" s="68"/>
      <c r="O129" s="68"/>
      <c r="P129" s="68"/>
      <c r="Q129" s="68">
        <f>SUM(Devis[[#This Row],[Poste 1]:[Poste 6]])</f>
        <v>0</v>
      </c>
      <c r="R129" s="71"/>
      <c r="S129" s="68">
        <f>_xlfn.CEILING.MATH(Devis[[#This Row],[Quantité Totale]],Devis[[#This Row],[Conditionnement]])</f>
        <v>0</v>
      </c>
      <c r="T129" s="72"/>
      <c r="U129" s="73"/>
      <c r="V129" s="74">
        <f>Devis[[#This Row],[Prix de Revient]]*Devis[[#This Row],[Poste 1]]</f>
        <v>0</v>
      </c>
      <c r="W129" s="74">
        <f>Devis[[#This Row],[Prix de Revient]]*Devis[[#This Row],[Poste 2]]</f>
        <v>0</v>
      </c>
      <c r="X129" s="74">
        <f>Devis[[#This Row],[Prix de Revient]]*Devis[[#This Row],[Poste 3]]</f>
        <v>0</v>
      </c>
      <c r="Y129" s="74">
        <f>Devis[[#This Row],[Poste 4]]*Devis[[#This Row],[Prix de Revient]]</f>
        <v>0</v>
      </c>
      <c r="Z129" s="74">
        <f>Devis[[#This Row],[Poste 5]]*Devis[[#This Row],[Prix de Revient]]</f>
        <v>0</v>
      </c>
      <c r="AA129" s="74">
        <f>Devis[[#This Row],[Prix de Revient]]*Devis[[#This Row],[Poste 6]]</f>
        <v>0</v>
      </c>
      <c r="AB129" s="74">
        <f>Devis[[#This Row],[Quantité Totale]]*Devis[[#This Row],[Prix de Revient]]</f>
        <v>0</v>
      </c>
    </row>
    <row r="130" spans="1:28" ht="14.25" customHeight="1" outlineLevel="1" x14ac:dyDescent="0.2">
      <c r="A130" s="75" t="s">
        <v>68</v>
      </c>
      <c r="B130" s="84" t="s">
        <v>4381</v>
      </c>
      <c r="C130" s="84" t="s">
        <v>4382</v>
      </c>
      <c r="D130" s="81" t="str">
        <f t="shared" si="1"/>
        <v>App ElectriqueDISJONCTEUR COMPACTDisjoncteur Compact NSX 100F + déclencheur micrologic2,2 100A</v>
      </c>
      <c r="E130" s="84" t="s">
        <v>4382</v>
      </c>
      <c r="F130" s="81">
        <v>1</v>
      </c>
      <c r="G130" s="85" t="s">
        <v>4383</v>
      </c>
      <c r="H130" s="76" t="s">
        <v>3524</v>
      </c>
      <c r="I130" s="71"/>
      <c r="J130" s="70">
        <f>IFERROR(VLOOKUP(Devis[[#This Row],[Ref Air Flux]],#REF!,3,FALSE),0)</f>
        <v>0</v>
      </c>
      <c r="K130" s="68"/>
      <c r="L130" s="68"/>
      <c r="M130" s="68"/>
      <c r="N130" s="68"/>
      <c r="O130" s="68"/>
      <c r="P130" s="68"/>
      <c r="Q130" s="68">
        <f>SUM(Devis[[#This Row],[Poste 1]:[Poste 6]])</f>
        <v>0</v>
      </c>
      <c r="R130" s="71"/>
      <c r="S130" s="68">
        <f>_xlfn.CEILING.MATH(Devis[[#This Row],[Quantité Totale]],Devis[[#This Row],[Conditionnement]])</f>
        <v>0</v>
      </c>
      <c r="T130" s="72"/>
      <c r="U130" s="73"/>
      <c r="V130" s="74">
        <f>Devis[[#This Row],[Prix de Revient]]*Devis[[#This Row],[Poste 1]]</f>
        <v>0</v>
      </c>
      <c r="W130" s="74">
        <f>Devis[[#This Row],[Prix de Revient]]*Devis[[#This Row],[Poste 2]]</f>
        <v>0</v>
      </c>
      <c r="X130" s="74">
        <f>Devis[[#This Row],[Prix de Revient]]*Devis[[#This Row],[Poste 3]]</f>
        <v>0</v>
      </c>
      <c r="Y130" s="74">
        <f>Devis[[#This Row],[Poste 4]]*Devis[[#This Row],[Prix de Revient]]</f>
        <v>0</v>
      </c>
      <c r="Z130" s="74">
        <f>Devis[[#This Row],[Poste 5]]*Devis[[#This Row],[Prix de Revient]]</f>
        <v>0</v>
      </c>
      <c r="AA130" s="74">
        <f>Devis[[#This Row],[Prix de Revient]]*Devis[[#This Row],[Poste 6]]</f>
        <v>0</v>
      </c>
      <c r="AB130" s="74">
        <f>Devis[[#This Row],[Quantité Totale]]*Devis[[#This Row],[Prix de Revient]]</f>
        <v>0</v>
      </c>
    </row>
    <row r="131" spans="1:28" ht="14.25" outlineLevel="1" x14ac:dyDescent="0.2">
      <c r="A131" s="75" t="s">
        <v>68</v>
      </c>
      <c r="B131" s="84" t="s">
        <v>4381</v>
      </c>
      <c r="C131" s="84" t="s">
        <v>4384</v>
      </c>
      <c r="D131" s="81" t="str">
        <f t="shared" si="1"/>
        <v>App ElectriqueDISJONCTEUR COMPACTDisjoncteur Compact NSX 160F + déclencheur micrologic 2,2 160A</v>
      </c>
      <c r="E131" s="84" t="s">
        <v>4384</v>
      </c>
      <c r="F131" s="81">
        <v>2</v>
      </c>
      <c r="G131" s="85" t="s">
        <v>4385</v>
      </c>
      <c r="H131" s="76" t="s">
        <v>3524</v>
      </c>
      <c r="I131" s="71"/>
      <c r="J131" s="70">
        <f>IFERROR(VLOOKUP(Devis[[#This Row],[Ref Air Flux]],#REF!,3,FALSE),0)</f>
        <v>0</v>
      </c>
      <c r="K131" s="68"/>
      <c r="L131" s="68"/>
      <c r="M131" s="68"/>
      <c r="N131" s="68"/>
      <c r="O131" s="68"/>
      <c r="P131" s="68"/>
      <c r="Q131" s="68">
        <f>SUM(Devis[[#This Row],[Poste 1]:[Poste 6]])</f>
        <v>0</v>
      </c>
      <c r="R131" s="71"/>
      <c r="S131" s="68">
        <f>_xlfn.CEILING.MATH(Devis[[#This Row],[Quantité Totale]],Devis[[#This Row],[Conditionnement]])</f>
        <v>0</v>
      </c>
      <c r="T131" s="72"/>
      <c r="U131" s="73"/>
      <c r="V131" s="74">
        <f>Devis[[#This Row],[Prix de Revient]]*Devis[[#This Row],[Poste 1]]</f>
        <v>0</v>
      </c>
      <c r="W131" s="74">
        <f>Devis[[#This Row],[Prix de Revient]]*Devis[[#This Row],[Poste 2]]</f>
        <v>0</v>
      </c>
      <c r="X131" s="74">
        <f>Devis[[#This Row],[Prix de Revient]]*Devis[[#This Row],[Poste 3]]</f>
        <v>0</v>
      </c>
      <c r="Y131" s="74">
        <f>Devis[[#This Row],[Poste 4]]*Devis[[#This Row],[Prix de Revient]]</f>
        <v>0</v>
      </c>
      <c r="Z131" s="74">
        <f>Devis[[#This Row],[Poste 5]]*Devis[[#This Row],[Prix de Revient]]</f>
        <v>0</v>
      </c>
      <c r="AA131" s="74">
        <f>Devis[[#This Row],[Prix de Revient]]*Devis[[#This Row],[Poste 6]]</f>
        <v>0</v>
      </c>
      <c r="AB131" s="74">
        <f>Devis[[#This Row],[Quantité Totale]]*Devis[[#This Row],[Prix de Revient]]</f>
        <v>0</v>
      </c>
    </row>
    <row r="132" spans="1:28" ht="14.25" customHeight="1" outlineLevel="1" x14ac:dyDescent="0.2">
      <c r="A132" s="75" t="s">
        <v>68</v>
      </c>
      <c r="B132" s="76" t="s">
        <v>4381</v>
      </c>
      <c r="C132" s="76"/>
      <c r="D132" s="81" t="str">
        <f t="shared" si="1"/>
        <v>App ElectriqueDISJONCTEUR COMPACT</v>
      </c>
      <c r="E132" s="76"/>
      <c r="F132" s="81">
        <v>3</v>
      </c>
      <c r="G132" s="82"/>
      <c r="H132" s="76"/>
      <c r="I132" s="71"/>
      <c r="J132" s="70">
        <f>IFERROR(VLOOKUP(Devis[[#This Row],[Ref Air Flux]],#REF!,3,FALSE),0)</f>
        <v>0</v>
      </c>
      <c r="K132" s="68"/>
      <c r="L132" s="68"/>
      <c r="M132" s="68"/>
      <c r="N132" s="68"/>
      <c r="O132" s="68"/>
      <c r="P132" s="68"/>
      <c r="Q132" s="68">
        <f>SUM(Devis[[#This Row],[Poste 1]:[Poste 6]])</f>
        <v>0</v>
      </c>
      <c r="R132" s="71"/>
      <c r="S132" s="68">
        <f>_xlfn.CEILING.MATH(Devis[[#This Row],[Quantité Totale]],Devis[[#This Row],[Conditionnement]])</f>
        <v>0</v>
      </c>
      <c r="T132" s="72"/>
      <c r="U132" s="73"/>
      <c r="V132" s="74">
        <f>Devis[[#This Row],[Prix de Revient]]*Devis[[#This Row],[Poste 1]]</f>
        <v>0</v>
      </c>
      <c r="W132" s="74">
        <f>Devis[[#This Row],[Prix de Revient]]*Devis[[#This Row],[Poste 2]]</f>
        <v>0</v>
      </c>
      <c r="X132" s="74">
        <f>Devis[[#This Row],[Prix de Revient]]*Devis[[#This Row],[Poste 3]]</f>
        <v>0</v>
      </c>
      <c r="Y132" s="74">
        <f>Devis[[#This Row],[Poste 4]]*Devis[[#This Row],[Prix de Revient]]</f>
        <v>0</v>
      </c>
      <c r="Z132" s="74">
        <f>Devis[[#This Row],[Poste 5]]*Devis[[#This Row],[Prix de Revient]]</f>
        <v>0</v>
      </c>
      <c r="AA132" s="74">
        <f>Devis[[#This Row],[Prix de Revient]]*Devis[[#This Row],[Poste 6]]</f>
        <v>0</v>
      </c>
      <c r="AB132" s="74">
        <f>Devis[[#This Row],[Quantité Totale]]*Devis[[#This Row],[Prix de Revient]]</f>
        <v>0</v>
      </c>
    </row>
    <row r="133" spans="1:28" ht="14.25" outlineLevel="1" x14ac:dyDescent="0.2">
      <c r="A133" s="75" t="s">
        <v>68</v>
      </c>
      <c r="B133" s="84" t="s">
        <v>4381</v>
      </c>
      <c r="C133" s="84" t="s">
        <v>4386</v>
      </c>
      <c r="D133" s="81" t="str">
        <f t="shared" si="1"/>
        <v>App ElectriqueDISJONCTEUR COMPACTDisjoncteur Compact NSX250F + déclencheur magnéto-termique 250A</v>
      </c>
      <c r="E133" s="84" t="s">
        <v>4386</v>
      </c>
      <c r="F133" s="81">
        <v>4</v>
      </c>
      <c r="G133" s="85" t="s">
        <v>4387</v>
      </c>
      <c r="H133" s="76" t="s">
        <v>3524</v>
      </c>
      <c r="I133" s="71"/>
      <c r="J133" s="70">
        <f>IFERROR(VLOOKUP(Devis[[#This Row],[Ref Air Flux]],#REF!,3,FALSE),0)</f>
        <v>0</v>
      </c>
      <c r="K133" s="68"/>
      <c r="L133" s="68"/>
      <c r="M133" s="68"/>
      <c r="N133" s="68"/>
      <c r="O133" s="68"/>
      <c r="P133" s="68"/>
      <c r="Q133" s="68">
        <f>SUM(Devis[[#This Row],[Poste 1]:[Poste 6]])</f>
        <v>0</v>
      </c>
      <c r="R133" s="71"/>
      <c r="S133" s="68">
        <f>_xlfn.CEILING.MATH(Devis[[#This Row],[Quantité Totale]],Devis[[#This Row],[Conditionnement]])</f>
        <v>0</v>
      </c>
      <c r="T133" s="72"/>
      <c r="U133" s="73"/>
      <c r="V133" s="74">
        <f>Devis[[#This Row],[Prix de Revient]]*Devis[[#This Row],[Poste 1]]</f>
        <v>0</v>
      </c>
      <c r="W133" s="74">
        <f>Devis[[#This Row],[Prix de Revient]]*Devis[[#This Row],[Poste 2]]</f>
        <v>0</v>
      </c>
      <c r="X133" s="74">
        <f>Devis[[#This Row],[Prix de Revient]]*Devis[[#This Row],[Poste 3]]</f>
        <v>0</v>
      </c>
      <c r="Y133" s="74">
        <f>Devis[[#This Row],[Poste 4]]*Devis[[#This Row],[Prix de Revient]]</f>
        <v>0</v>
      </c>
      <c r="Z133" s="74">
        <f>Devis[[#This Row],[Poste 5]]*Devis[[#This Row],[Prix de Revient]]</f>
        <v>0</v>
      </c>
      <c r="AA133" s="74">
        <f>Devis[[#This Row],[Prix de Revient]]*Devis[[#This Row],[Poste 6]]</f>
        <v>0</v>
      </c>
      <c r="AB133" s="74">
        <f>Devis[[#This Row],[Quantité Totale]]*Devis[[#This Row],[Prix de Revient]]</f>
        <v>0</v>
      </c>
    </row>
    <row r="134" spans="1:28" ht="14.25" customHeight="1" outlineLevel="1" x14ac:dyDescent="0.2">
      <c r="A134" s="75" t="s">
        <v>68</v>
      </c>
      <c r="B134" s="84" t="s">
        <v>4381</v>
      </c>
      <c r="C134" s="84" t="s">
        <v>4388</v>
      </c>
      <c r="D134" s="81" t="str">
        <f t="shared" si="1"/>
        <v>App ElectriqueDISJONCTEUR COMPACTDisjoncteur Compact NSX400F + déclencheur micrologic2,3- 400A</v>
      </c>
      <c r="E134" s="84" t="s">
        <v>4388</v>
      </c>
      <c r="F134" s="81">
        <v>5</v>
      </c>
      <c r="G134" s="85" t="s">
        <v>4389</v>
      </c>
      <c r="H134" s="76" t="s">
        <v>3524</v>
      </c>
      <c r="I134" s="86"/>
      <c r="J134" s="70">
        <f>IFERROR(VLOOKUP(Devis[[#This Row],[Ref Air Flux]],#REF!,3,FALSE),0)</f>
        <v>0</v>
      </c>
      <c r="K134" s="68"/>
      <c r="L134" s="68"/>
      <c r="M134" s="68"/>
      <c r="N134" s="68"/>
      <c r="O134" s="68"/>
      <c r="P134" s="68"/>
      <c r="Q134" s="68">
        <f>SUM(Devis[[#This Row],[Poste 1]:[Poste 6]])</f>
        <v>0</v>
      </c>
      <c r="R134" s="71"/>
      <c r="S134" s="68">
        <f>_xlfn.CEILING.MATH(Devis[[#This Row],[Quantité Totale]],Devis[[#This Row],[Conditionnement]])</f>
        <v>0</v>
      </c>
      <c r="T134" s="72"/>
      <c r="U134" s="73"/>
      <c r="V134" s="74">
        <f>Devis[[#This Row],[Prix de Revient]]*Devis[[#This Row],[Poste 1]]</f>
        <v>0</v>
      </c>
      <c r="W134" s="74">
        <f>Devis[[#This Row],[Prix de Revient]]*Devis[[#This Row],[Poste 2]]</f>
        <v>0</v>
      </c>
      <c r="X134" s="74">
        <f>Devis[[#This Row],[Prix de Revient]]*Devis[[#This Row],[Poste 3]]</f>
        <v>0</v>
      </c>
      <c r="Y134" s="74">
        <f>Devis[[#This Row],[Poste 4]]*Devis[[#This Row],[Prix de Revient]]</f>
        <v>0</v>
      </c>
      <c r="Z134" s="74">
        <f>Devis[[#This Row],[Poste 5]]*Devis[[#This Row],[Prix de Revient]]</f>
        <v>0</v>
      </c>
      <c r="AA134" s="74">
        <f>Devis[[#This Row],[Prix de Revient]]*Devis[[#This Row],[Poste 6]]</f>
        <v>0</v>
      </c>
      <c r="AB134" s="74">
        <f>Devis[[#This Row],[Quantité Totale]]*Devis[[#This Row],[Prix de Revient]]</f>
        <v>0</v>
      </c>
    </row>
    <row r="135" spans="1:28" ht="14.25" outlineLevel="1" x14ac:dyDescent="0.2">
      <c r="A135" s="75" t="s">
        <v>68</v>
      </c>
      <c r="B135" s="76" t="s">
        <v>4381</v>
      </c>
      <c r="C135" s="76"/>
      <c r="D135" s="81" t="str">
        <f t="shared" si="1"/>
        <v>App ElectriqueDISJONCTEUR COMPACT</v>
      </c>
      <c r="E135" s="76"/>
      <c r="F135" s="81">
        <v>6</v>
      </c>
      <c r="G135" s="87"/>
      <c r="H135" s="79"/>
      <c r="I135" s="86"/>
      <c r="J135" s="70">
        <f>IFERROR(VLOOKUP(Devis[[#This Row],[Ref Air Flux]],#REF!,3,FALSE),0)</f>
        <v>0</v>
      </c>
      <c r="K135" s="68"/>
      <c r="L135" s="68"/>
      <c r="M135" s="68"/>
      <c r="N135" s="68"/>
      <c r="O135" s="68"/>
      <c r="P135" s="68"/>
      <c r="Q135" s="68">
        <f>SUM(Devis[[#This Row],[Poste 1]:[Poste 6]])</f>
        <v>0</v>
      </c>
      <c r="R135" s="71"/>
      <c r="S135" s="68">
        <f>_xlfn.CEILING.MATH(Devis[[#This Row],[Quantité Totale]],Devis[[#This Row],[Conditionnement]])</f>
        <v>0</v>
      </c>
      <c r="T135" s="72"/>
      <c r="U135" s="74"/>
      <c r="V135" s="74">
        <f>Devis[[#This Row],[Prix de Revient]]*Devis[[#This Row],[Poste 1]]</f>
        <v>0</v>
      </c>
      <c r="W135" s="74">
        <f>Devis[[#This Row],[Prix de Revient]]*Devis[[#This Row],[Poste 2]]</f>
        <v>0</v>
      </c>
      <c r="X135" s="74">
        <f>Devis[[#This Row],[Prix de Revient]]*Devis[[#This Row],[Poste 3]]</f>
        <v>0</v>
      </c>
      <c r="Y135" s="74">
        <f>Devis[[#This Row],[Poste 4]]*Devis[[#This Row],[Prix de Revient]]</f>
        <v>0</v>
      </c>
      <c r="Z135" s="74">
        <f>Devis[[#This Row],[Poste 5]]*Devis[[#This Row],[Prix de Revient]]</f>
        <v>0</v>
      </c>
      <c r="AA135" s="74">
        <f>Devis[[#This Row],[Prix de Revient]]*Devis[[#This Row],[Poste 6]]</f>
        <v>0</v>
      </c>
      <c r="AB135" s="74">
        <f>Devis[[#This Row],[Quantité Totale]]*Devis[[#This Row],[Prix de Revient]]</f>
        <v>0</v>
      </c>
    </row>
    <row r="136" spans="1:28" ht="14.25" customHeight="1" x14ac:dyDescent="0.25">
      <c r="A136" s="65" t="s">
        <v>68</v>
      </c>
      <c r="B136" s="65" t="s">
        <v>4346</v>
      </c>
      <c r="C136" s="76"/>
      <c r="D136" s="81" t="str">
        <f t="shared" si="1"/>
        <v xml:space="preserve">App ElectriqueDISJONCTEUR MODULAIRE BIPOLAIRE </v>
      </c>
      <c r="E136" s="76"/>
      <c r="F136" s="81">
        <v>0</v>
      </c>
      <c r="G136" s="82"/>
      <c r="H136" s="71"/>
      <c r="I136" s="71"/>
      <c r="J136" s="70">
        <f>IFERROR(VLOOKUP(Devis[[#This Row],[Ref Air Flux]],#REF!,3,FALSE),0)</f>
        <v>0</v>
      </c>
      <c r="K136" s="68"/>
      <c r="L136" s="68"/>
      <c r="M136" s="68"/>
      <c r="N136" s="68"/>
      <c r="O136" s="68"/>
      <c r="P136" s="68"/>
      <c r="Q136" s="68">
        <f>SUM(Devis[[#This Row],[Poste 1]:[Poste 6]])</f>
        <v>0</v>
      </c>
      <c r="R136" s="71"/>
      <c r="S136" s="68">
        <f>_xlfn.CEILING.MATH(Devis[[#This Row],[Quantité Totale]],Devis[[#This Row],[Conditionnement]])</f>
        <v>0</v>
      </c>
      <c r="T136" s="72"/>
      <c r="U136" s="73"/>
      <c r="V136" s="74">
        <f>Devis[[#This Row],[Prix de Revient]]*Devis[[#This Row],[Poste 1]]</f>
        <v>0</v>
      </c>
      <c r="W136" s="74">
        <f>Devis[[#This Row],[Prix de Revient]]*Devis[[#This Row],[Poste 2]]</f>
        <v>0</v>
      </c>
      <c r="X136" s="74">
        <f>Devis[[#This Row],[Prix de Revient]]*Devis[[#This Row],[Poste 3]]</f>
        <v>0</v>
      </c>
      <c r="Y136" s="74">
        <f>Devis[[#This Row],[Poste 4]]*Devis[[#This Row],[Prix de Revient]]</f>
        <v>0</v>
      </c>
      <c r="Z136" s="74">
        <f>Devis[[#This Row],[Poste 5]]*Devis[[#This Row],[Prix de Revient]]</f>
        <v>0</v>
      </c>
      <c r="AA136" s="74">
        <f>Devis[[#This Row],[Prix de Revient]]*Devis[[#This Row],[Poste 6]]</f>
        <v>0</v>
      </c>
      <c r="AB136" s="74">
        <f>Devis[[#This Row],[Quantité Totale]]*Devis[[#This Row],[Prix de Revient]]</f>
        <v>0</v>
      </c>
    </row>
    <row r="137" spans="1:28" ht="14.25" customHeight="1" outlineLevel="1" x14ac:dyDescent="0.2">
      <c r="A137" s="75" t="s">
        <v>68</v>
      </c>
      <c r="B137" s="76" t="s">
        <v>4346</v>
      </c>
      <c r="C137" s="76" t="s">
        <v>98</v>
      </c>
      <c r="D137" s="81" t="str">
        <f t="shared" si="1"/>
        <v>App ElectriqueDISJONCTEUR MODULAIRE BIPOLAIRE Disj. Modulaire IC60N  bipolaires schneider</v>
      </c>
      <c r="E137" s="76" t="s">
        <v>4347</v>
      </c>
      <c r="F137" s="81">
        <v>1</v>
      </c>
      <c r="G137" s="82" t="s">
        <v>99</v>
      </c>
      <c r="H137" s="76" t="s">
        <v>3524</v>
      </c>
      <c r="I137" s="71" t="s">
        <v>99</v>
      </c>
      <c r="J137" s="70">
        <f>IFERROR(VLOOKUP(Devis[[#This Row],[Ref Air Flux]],#REF!,3,FALSE),0)</f>
        <v>0</v>
      </c>
      <c r="K137" s="68"/>
      <c r="L137" s="68"/>
      <c r="M137" s="68"/>
      <c r="N137" s="68"/>
      <c r="O137" s="68"/>
      <c r="P137" s="68"/>
      <c r="Q137" s="68">
        <f>SUM(Devis[[#This Row],[Poste 1]:[Poste 6]])</f>
        <v>0</v>
      </c>
      <c r="R137" s="71"/>
      <c r="S137" s="68">
        <f>_xlfn.CEILING.MATH(Devis[[#This Row],[Quantité Totale]],Devis[[#This Row],[Conditionnement]])</f>
        <v>0</v>
      </c>
      <c r="T137" s="72"/>
      <c r="U137" s="73"/>
      <c r="V137" s="74">
        <f>Devis[[#This Row],[Prix de Revient]]*Devis[[#This Row],[Poste 1]]</f>
        <v>0</v>
      </c>
      <c r="W137" s="74">
        <f>Devis[[#This Row],[Prix de Revient]]*Devis[[#This Row],[Poste 2]]</f>
        <v>0</v>
      </c>
      <c r="X137" s="74">
        <f>Devis[[#This Row],[Prix de Revient]]*Devis[[#This Row],[Poste 3]]</f>
        <v>0</v>
      </c>
      <c r="Y137" s="74">
        <f>Devis[[#This Row],[Poste 4]]*Devis[[#This Row],[Prix de Revient]]</f>
        <v>0</v>
      </c>
      <c r="Z137" s="74">
        <f>Devis[[#This Row],[Poste 5]]*Devis[[#This Row],[Prix de Revient]]</f>
        <v>0</v>
      </c>
      <c r="AA137" s="74">
        <f>Devis[[#This Row],[Prix de Revient]]*Devis[[#This Row],[Poste 6]]</f>
        <v>0</v>
      </c>
      <c r="AB137" s="74">
        <f>Devis[[#This Row],[Quantité Totale]]*Devis[[#This Row],[Prix de Revient]]</f>
        <v>0</v>
      </c>
    </row>
    <row r="138" spans="1:28" ht="14.25" outlineLevel="1" x14ac:dyDescent="0.2">
      <c r="A138" s="75" t="s">
        <v>68</v>
      </c>
      <c r="B138" s="76" t="s">
        <v>4346</v>
      </c>
      <c r="C138" s="76" t="s">
        <v>98</v>
      </c>
      <c r="D138" s="81" t="str">
        <f t="shared" ref="D138:D169" si="2">A138&amp;B138&amp;C138</f>
        <v>App ElectriqueDISJONCTEUR MODULAIRE BIPOLAIRE Disj. Modulaire IC60N  bipolaires schneider</v>
      </c>
      <c r="E138" s="76" t="s">
        <v>4348</v>
      </c>
      <c r="F138" s="81">
        <v>2</v>
      </c>
      <c r="G138" s="82" t="s">
        <v>100</v>
      </c>
      <c r="H138" s="76" t="s">
        <v>3524</v>
      </c>
      <c r="I138" s="71" t="s">
        <v>100</v>
      </c>
      <c r="J138" s="70">
        <f>IFERROR(VLOOKUP(Devis[[#This Row],[Ref Air Flux]],#REF!,3,FALSE),0)</f>
        <v>0</v>
      </c>
      <c r="K138" s="68"/>
      <c r="L138" s="68"/>
      <c r="M138" s="68"/>
      <c r="N138" s="68"/>
      <c r="O138" s="68"/>
      <c r="P138" s="68"/>
      <c r="Q138" s="68">
        <f>SUM(Devis[[#This Row],[Poste 1]:[Poste 6]])</f>
        <v>0</v>
      </c>
      <c r="R138" s="71"/>
      <c r="S138" s="68">
        <f>_xlfn.CEILING.MATH(Devis[[#This Row],[Quantité Totale]],Devis[[#This Row],[Conditionnement]])</f>
        <v>0</v>
      </c>
      <c r="T138" s="72"/>
      <c r="U138" s="73"/>
      <c r="V138" s="74">
        <f>Devis[[#This Row],[Prix de Revient]]*Devis[[#This Row],[Poste 1]]</f>
        <v>0</v>
      </c>
      <c r="W138" s="74">
        <f>Devis[[#This Row],[Prix de Revient]]*Devis[[#This Row],[Poste 2]]</f>
        <v>0</v>
      </c>
      <c r="X138" s="74">
        <f>Devis[[#This Row],[Prix de Revient]]*Devis[[#This Row],[Poste 3]]</f>
        <v>0</v>
      </c>
      <c r="Y138" s="74">
        <f>Devis[[#This Row],[Poste 4]]*Devis[[#This Row],[Prix de Revient]]</f>
        <v>0</v>
      </c>
      <c r="Z138" s="74">
        <f>Devis[[#This Row],[Poste 5]]*Devis[[#This Row],[Prix de Revient]]</f>
        <v>0</v>
      </c>
      <c r="AA138" s="74">
        <f>Devis[[#This Row],[Prix de Revient]]*Devis[[#This Row],[Poste 6]]</f>
        <v>0</v>
      </c>
      <c r="AB138" s="74">
        <f>Devis[[#This Row],[Quantité Totale]]*Devis[[#This Row],[Prix de Revient]]</f>
        <v>0</v>
      </c>
    </row>
    <row r="139" spans="1:28" ht="14.25" customHeight="1" outlineLevel="1" x14ac:dyDescent="0.2">
      <c r="A139" s="75" t="s">
        <v>68</v>
      </c>
      <c r="B139" s="76" t="s">
        <v>4346</v>
      </c>
      <c r="C139" s="76" t="s">
        <v>78</v>
      </c>
      <c r="D139" s="81" t="str">
        <f t="shared" si="2"/>
        <v>App ElectriqueDISJONCTEUR MODULAIRE BIPOLAIRE Disj. modulaire  bipolaires C legrand</v>
      </c>
      <c r="E139" s="76" t="s">
        <v>4349</v>
      </c>
      <c r="F139" s="81">
        <v>3</v>
      </c>
      <c r="G139" s="87" t="s">
        <v>4350</v>
      </c>
      <c r="H139" s="76" t="s">
        <v>4269</v>
      </c>
      <c r="I139" s="86" t="s">
        <v>4351</v>
      </c>
      <c r="J139" s="70">
        <f>IFERROR(VLOOKUP(Devis[[#This Row],[Ref Air Flux]],#REF!,3,FALSE),0)</f>
        <v>0</v>
      </c>
      <c r="K139" s="68"/>
      <c r="L139" s="68"/>
      <c r="M139" s="68"/>
      <c r="N139" s="68"/>
      <c r="O139" s="68"/>
      <c r="P139" s="68"/>
      <c r="Q139" s="68">
        <f>SUM(Devis[[#This Row],[Poste 1]:[Poste 6]])</f>
        <v>0</v>
      </c>
      <c r="R139" s="71"/>
      <c r="S139" s="68">
        <f>_xlfn.CEILING.MATH(Devis[[#This Row],[Quantité Totale]],Devis[[#This Row],[Conditionnement]])</f>
        <v>0</v>
      </c>
      <c r="T139" s="72"/>
      <c r="U139" s="73"/>
      <c r="V139" s="74">
        <f>Devis[[#This Row],[Prix de Revient]]*Devis[[#This Row],[Poste 1]]</f>
        <v>0</v>
      </c>
      <c r="W139" s="74">
        <f>Devis[[#This Row],[Prix de Revient]]*Devis[[#This Row],[Poste 2]]</f>
        <v>0</v>
      </c>
      <c r="X139" s="74">
        <f>Devis[[#This Row],[Prix de Revient]]*Devis[[#This Row],[Poste 3]]</f>
        <v>0</v>
      </c>
      <c r="Y139" s="74">
        <f>Devis[[#This Row],[Poste 4]]*Devis[[#This Row],[Prix de Revient]]</f>
        <v>0</v>
      </c>
      <c r="Z139" s="74">
        <f>Devis[[#This Row],[Poste 5]]*Devis[[#This Row],[Prix de Revient]]</f>
        <v>0</v>
      </c>
      <c r="AA139" s="74">
        <f>Devis[[#This Row],[Prix de Revient]]*Devis[[#This Row],[Poste 6]]</f>
        <v>0</v>
      </c>
      <c r="AB139" s="74">
        <f>Devis[[#This Row],[Quantité Totale]]*Devis[[#This Row],[Prix de Revient]]</f>
        <v>0</v>
      </c>
    </row>
    <row r="140" spans="1:28" ht="15" customHeight="1" x14ac:dyDescent="0.25">
      <c r="A140" s="65" t="s">
        <v>68</v>
      </c>
      <c r="B140" s="65" t="s">
        <v>4274</v>
      </c>
      <c r="C140" s="76"/>
      <c r="D140" s="81" t="str">
        <f t="shared" si="2"/>
        <v xml:space="preserve">App ElectriqueDISJONCTEUR MODULAIRE TETRA </v>
      </c>
      <c r="E140" s="76"/>
      <c r="F140" s="81">
        <v>0</v>
      </c>
      <c r="G140" s="82"/>
      <c r="H140" s="71"/>
      <c r="I140" s="71"/>
      <c r="J140" s="70">
        <f>IFERROR(VLOOKUP(Devis[[#This Row],[Ref Air Flux]],#REF!,3,FALSE),0)</f>
        <v>0</v>
      </c>
      <c r="K140" s="68"/>
      <c r="L140" s="68"/>
      <c r="M140" s="68"/>
      <c r="N140" s="68"/>
      <c r="O140" s="68"/>
      <c r="P140" s="68"/>
      <c r="Q140" s="68">
        <f>SUM(Devis[[#This Row],[Poste 1]:[Poste 6]])</f>
        <v>0</v>
      </c>
      <c r="R140" s="71"/>
      <c r="S140" s="68">
        <f>_xlfn.CEILING.MATH(Devis[[#This Row],[Quantité Totale]],Devis[[#This Row],[Conditionnement]])</f>
        <v>0</v>
      </c>
      <c r="T140" s="72"/>
      <c r="U140" s="73"/>
      <c r="V140" s="74">
        <f>Devis[[#This Row],[Prix de Revient]]*Devis[[#This Row],[Poste 1]]</f>
        <v>0</v>
      </c>
      <c r="W140" s="74">
        <f>Devis[[#This Row],[Prix de Revient]]*Devis[[#This Row],[Poste 2]]</f>
        <v>0</v>
      </c>
      <c r="X140" s="74">
        <f>Devis[[#This Row],[Prix de Revient]]*Devis[[#This Row],[Poste 3]]</f>
        <v>0</v>
      </c>
      <c r="Y140" s="74">
        <f>Devis[[#This Row],[Poste 4]]*Devis[[#This Row],[Prix de Revient]]</f>
        <v>0</v>
      </c>
      <c r="Z140" s="74">
        <f>Devis[[#This Row],[Poste 5]]*Devis[[#This Row],[Prix de Revient]]</f>
        <v>0</v>
      </c>
      <c r="AA140" s="74">
        <f>Devis[[#This Row],[Prix de Revient]]*Devis[[#This Row],[Poste 6]]</f>
        <v>0</v>
      </c>
      <c r="AB140" s="74">
        <f>Devis[[#This Row],[Quantité Totale]]*Devis[[#This Row],[Prix de Revient]]</f>
        <v>0</v>
      </c>
    </row>
    <row r="141" spans="1:28" ht="14.25" customHeight="1" outlineLevel="1" x14ac:dyDescent="0.2">
      <c r="A141" s="75" t="s">
        <v>68</v>
      </c>
      <c r="B141" s="76" t="s">
        <v>4274</v>
      </c>
      <c r="C141" s="76" t="s">
        <v>4275</v>
      </c>
      <c r="D141" s="81" t="str">
        <f t="shared" si="2"/>
        <v>App ElectriqueDISJONCTEUR MODULAIRE TETRA Disj. modulaire  IC60N tri. C Schneider</v>
      </c>
      <c r="E141" s="76" t="s">
        <v>76</v>
      </c>
      <c r="F141" s="81">
        <v>1</v>
      </c>
      <c r="G141" s="82" t="s">
        <v>95</v>
      </c>
      <c r="H141" s="76" t="s">
        <v>3524</v>
      </c>
      <c r="I141" s="71"/>
      <c r="J141" s="70">
        <f>IFERROR(VLOOKUP(Devis[[#This Row],[Ref Air Flux]],#REF!,3,FALSE),0)</f>
        <v>0</v>
      </c>
      <c r="K141" s="68"/>
      <c r="L141" s="68"/>
      <c r="M141" s="68"/>
      <c r="N141" s="68"/>
      <c r="O141" s="68"/>
      <c r="P141" s="68"/>
      <c r="Q141" s="68">
        <f>SUM(Devis[[#This Row],[Poste 1]:[Poste 6]])</f>
        <v>0</v>
      </c>
      <c r="R141" s="71"/>
      <c r="S141" s="68">
        <f>_xlfn.CEILING.MATH(Devis[[#This Row],[Quantité Totale]],Devis[[#This Row],[Conditionnement]])</f>
        <v>0</v>
      </c>
      <c r="T141" s="72"/>
      <c r="U141" s="73"/>
      <c r="V141" s="74">
        <f>Devis[[#This Row],[Prix de Revient]]*Devis[[#This Row],[Poste 1]]</f>
        <v>0</v>
      </c>
      <c r="W141" s="74">
        <f>Devis[[#This Row],[Prix de Revient]]*Devis[[#This Row],[Poste 2]]</f>
        <v>0</v>
      </c>
      <c r="X141" s="74">
        <f>Devis[[#This Row],[Prix de Revient]]*Devis[[#This Row],[Poste 3]]</f>
        <v>0</v>
      </c>
      <c r="Y141" s="74">
        <f>Devis[[#This Row],[Poste 4]]*Devis[[#This Row],[Prix de Revient]]</f>
        <v>0</v>
      </c>
      <c r="Z141" s="74">
        <f>Devis[[#This Row],[Poste 5]]*Devis[[#This Row],[Prix de Revient]]</f>
        <v>0</v>
      </c>
      <c r="AA141" s="74">
        <f>Devis[[#This Row],[Prix de Revient]]*Devis[[#This Row],[Poste 6]]</f>
        <v>0</v>
      </c>
      <c r="AB141" s="74">
        <f>Devis[[#This Row],[Quantité Totale]]*Devis[[#This Row],[Prix de Revient]]</f>
        <v>0</v>
      </c>
    </row>
    <row r="142" spans="1:28" ht="14.25" customHeight="1" outlineLevel="1" x14ac:dyDescent="0.2">
      <c r="A142" s="75" t="s">
        <v>68</v>
      </c>
      <c r="B142" s="76" t="s">
        <v>4274</v>
      </c>
      <c r="C142" s="76"/>
      <c r="D142" s="81" t="str">
        <f t="shared" si="2"/>
        <v xml:space="preserve">App ElectriqueDISJONCTEUR MODULAIRE TETRA </v>
      </c>
      <c r="E142" s="76"/>
      <c r="F142" s="81">
        <v>2</v>
      </c>
      <c r="G142" s="82"/>
      <c r="H142" s="76"/>
      <c r="I142" s="71"/>
      <c r="J142" s="70">
        <f>IFERROR(VLOOKUP(Devis[[#This Row],[Ref Air Flux]],#REF!,3,FALSE),0)</f>
        <v>0</v>
      </c>
      <c r="K142" s="68"/>
      <c r="L142" s="68"/>
      <c r="M142" s="68"/>
      <c r="N142" s="68"/>
      <c r="O142" s="68"/>
      <c r="P142" s="68"/>
      <c r="Q142" s="68">
        <f>SUM(Devis[[#This Row],[Poste 1]:[Poste 6]])</f>
        <v>0</v>
      </c>
      <c r="R142" s="71"/>
      <c r="S142" s="68">
        <f>_xlfn.CEILING.MATH(Devis[[#This Row],[Quantité Totale]],Devis[[#This Row],[Conditionnement]])</f>
        <v>0</v>
      </c>
      <c r="T142" s="72"/>
      <c r="U142" s="73"/>
      <c r="V142" s="74">
        <f>Devis[[#This Row],[Prix de Revient]]*Devis[[#This Row],[Poste 1]]</f>
        <v>0</v>
      </c>
      <c r="W142" s="74">
        <f>Devis[[#This Row],[Prix de Revient]]*Devis[[#This Row],[Poste 2]]</f>
        <v>0</v>
      </c>
      <c r="X142" s="74">
        <f>Devis[[#This Row],[Prix de Revient]]*Devis[[#This Row],[Poste 3]]</f>
        <v>0</v>
      </c>
      <c r="Y142" s="74">
        <f>Devis[[#This Row],[Poste 4]]*Devis[[#This Row],[Prix de Revient]]</f>
        <v>0</v>
      </c>
      <c r="Z142" s="74">
        <f>Devis[[#This Row],[Poste 5]]*Devis[[#This Row],[Prix de Revient]]</f>
        <v>0</v>
      </c>
      <c r="AA142" s="74">
        <f>Devis[[#This Row],[Prix de Revient]]*Devis[[#This Row],[Poste 6]]</f>
        <v>0</v>
      </c>
      <c r="AB142" s="74">
        <f>Devis[[#This Row],[Quantité Totale]]*Devis[[#This Row],[Prix de Revient]]</f>
        <v>0</v>
      </c>
    </row>
    <row r="143" spans="1:28" ht="14.25" customHeight="1" outlineLevel="1" x14ac:dyDescent="0.2">
      <c r="A143" s="75" t="s">
        <v>68</v>
      </c>
      <c r="B143" s="76" t="s">
        <v>4274</v>
      </c>
      <c r="C143" s="76" t="s">
        <v>82</v>
      </c>
      <c r="D143" s="81" t="str">
        <f t="shared" si="2"/>
        <v>App ElectriqueDISJONCTEUR MODULAIRE TETRA Disj. modulaire  IC60N tri. D Schneider</v>
      </c>
      <c r="E143" s="76" t="s">
        <v>77</v>
      </c>
      <c r="F143" s="81">
        <v>3</v>
      </c>
      <c r="G143" s="82" t="s">
        <v>96</v>
      </c>
      <c r="H143" s="76" t="s">
        <v>3524</v>
      </c>
      <c r="I143" s="71"/>
      <c r="J143" s="70">
        <f>IFERROR(VLOOKUP(Devis[[#This Row],[Ref Air Flux]],#REF!,3,FALSE),0)</f>
        <v>0</v>
      </c>
      <c r="K143" s="68"/>
      <c r="L143" s="68"/>
      <c r="M143" s="68"/>
      <c r="N143" s="68"/>
      <c r="O143" s="68"/>
      <c r="P143" s="68"/>
      <c r="Q143" s="68">
        <f>SUM(Devis[[#This Row],[Poste 1]:[Poste 6]])</f>
        <v>0</v>
      </c>
      <c r="R143" s="71"/>
      <c r="S143" s="68">
        <f>_xlfn.CEILING.MATH(Devis[[#This Row],[Quantité Totale]],Devis[[#This Row],[Conditionnement]])</f>
        <v>0</v>
      </c>
      <c r="T143" s="72"/>
      <c r="U143" s="74"/>
      <c r="V143" s="74">
        <f>Devis[[#This Row],[Prix de Revient]]*Devis[[#This Row],[Poste 1]]</f>
        <v>0</v>
      </c>
      <c r="W143" s="74">
        <f>Devis[[#This Row],[Prix de Revient]]*Devis[[#This Row],[Poste 2]]</f>
        <v>0</v>
      </c>
      <c r="X143" s="74">
        <f>Devis[[#This Row],[Prix de Revient]]*Devis[[#This Row],[Poste 3]]</f>
        <v>0</v>
      </c>
      <c r="Y143" s="74">
        <f>Devis[[#This Row],[Poste 4]]*Devis[[#This Row],[Prix de Revient]]</f>
        <v>0</v>
      </c>
      <c r="Z143" s="74">
        <f>Devis[[#This Row],[Poste 5]]*Devis[[#This Row],[Prix de Revient]]</f>
        <v>0</v>
      </c>
      <c r="AA143" s="74">
        <f>Devis[[#This Row],[Prix de Revient]]*Devis[[#This Row],[Poste 6]]</f>
        <v>0</v>
      </c>
      <c r="AB143" s="74">
        <f>Devis[[#This Row],[Quantité Totale]]*Devis[[#This Row],[Prix de Revient]]</f>
        <v>0</v>
      </c>
    </row>
    <row r="144" spans="1:28" ht="14.25" customHeight="1" x14ac:dyDescent="0.25">
      <c r="A144" s="65" t="s">
        <v>68</v>
      </c>
      <c r="B144" s="65" t="s">
        <v>4317</v>
      </c>
      <c r="C144" s="76"/>
      <c r="D144" s="81" t="str">
        <f t="shared" si="2"/>
        <v>App ElectriqueDISJONCTEUR MODULAIRE TRIPHASE COURBE C</v>
      </c>
      <c r="E144" s="76"/>
      <c r="F144" s="81">
        <v>0</v>
      </c>
      <c r="G144" s="82"/>
      <c r="H144" s="71"/>
      <c r="I144" s="71"/>
      <c r="J144" s="70">
        <f>IFERROR(VLOOKUP(Devis[[#This Row],[Ref Air Flux]],#REF!,3,FALSE),0)</f>
        <v>0</v>
      </c>
      <c r="K144" s="68"/>
      <c r="L144" s="68"/>
      <c r="M144" s="68"/>
      <c r="N144" s="68"/>
      <c r="O144" s="68"/>
      <c r="P144" s="68"/>
      <c r="Q144" s="68">
        <f>SUM(Devis[[#This Row],[Poste 1]:[Poste 6]])</f>
        <v>0</v>
      </c>
      <c r="R144" s="71"/>
      <c r="S144" s="68">
        <f>_xlfn.CEILING.MATH(Devis[[#This Row],[Quantité Totale]],Devis[[#This Row],[Conditionnement]])</f>
        <v>0</v>
      </c>
      <c r="T144" s="72"/>
      <c r="U144" s="73"/>
      <c r="V144" s="74">
        <f>Devis[[#This Row],[Prix de Revient]]*Devis[[#This Row],[Poste 1]]</f>
        <v>0</v>
      </c>
      <c r="W144" s="74">
        <f>Devis[[#This Row],[Prix de Revient]]*Devis[[#This Row],[Poste 2]]</f>
        <v>0</v>
      </c>
      <c r="X144" s="74">
        <f>Devis[[#This Row],[Prix de Revient]]*Devis[[#This Row],[Poste 3]]</f>
        <v>0</v>
      </c>
      <c r="Y144" s="74">
        <f>Devis[[#This Row],[Poste 4]]*Devis[[#This Row],[Prix de Revient]]</f>
        <v>0</v>
      </c>
      <c r="Z144" s="74">
        <f>Devis[[#This Row],[Poste 5]]*Devis[[#This Row],[Prix de Revient]]</f>
        <v>0</v>
      </c>
      <c r="AA144" s="74">
        <f>Devis[[#This Row],[Prix de Revient]]*Devis[[#This Row],[Poste 6]]</f>
        <v>0</v>
      </c>
      <c r="AB144" s="74">
        <f>Devis[[#This Row],[Quantité Totale]]*Devis[[#This Row],[Prix de Revient]]</f>
        <v>0</v>
      </c>
    </row>
    <row r="145" spans="1:28" ht="14.25" outlineLevel="1" x14ac:dyDescent="0.2">
      <c r="A145" s="75" t="s">
        <v>68</v>
      </c>
      <c r="B145" s="88" t="s">
        <v>4317</v>
      </c>
      <c r="C145" s="88" t="s">
        <v>4318</v>
      </c>
      <c r="D145" s="81" t="str">
        <f t="shared" si="2"/>
        <v>App ElectriqueDISJONCTEUR MODULAIRE TRIPHASE COURBE CDisjoncteur Modulaire 3P Courbe C_4,5KA/6KA _6A</v>
      </c>
      <c r="E145" s="76" t="s">
        <v>4318</v>
      </c>
      <c r="F145" s="81">
        <v>1</v>
      </c>
      <c r="G145" s="82" t="s">
        <v>4319</v>
      </c>
      <c r="H145" s="71"/>
      <c r="I145" s="71"/>
      <c r="J145" s="70">
        <f>IFERROR(VLOOKUP(Devis[[#This Row],[Ref Air Flux]],#REF!,3,FALSE),0)</f>
        <v>0</v>
      </c>
      <c r="K145" s="68"/>
      <c r="L145" s="68"/>
      <c r="M145" s="68"/>
      <c r="N145" s="68"/>
      <c r="O145" s="68"/>
      <c r="P145" s="68"/>
      <c r="Q145" s="68">
        <f>SUM(Devis[[#This Row],[Poste 1]:[Poste 6]])</f>
        <v>0</v>
      </c>
      <c r="R145" s="71"/>
      <c r="S145" s="68">
        <f>_xlfn.CEILING.MATH(Devis[[#This Row],[Quantité Totale]],Devis[[#This Row],[Conditionnement]])</f>
        <v>0</v>
      </c>
      <c r="T145" s="72"/>
      <c r="U145" s="73"/>
      <c r="V145" s="74">
        <f>Devis[[#This Row],[Prix de Revient]]*Devis[[#This Row],[Poste 1]]</f>
        <v>0</v>
      </c>
      <c r="W145" s="74">
        <f>Devis[[#This Row],[Prix de Revient]]*Devis[[#This Row],[Poste 2]]</f>
        <v>0</v>
      </c>
      <c r="X145" s="74">
        <f>Devis[[#This Row],[Prix de Revient]]*Devis[[#This Row],[Poste 3]]</f>
        <v>0</v>
      </c>
      <c r="Y145" s="74">
        <f>Devis[[#This Row],[Poste 4]]*Devis[[#This Row],[Prix de Revient]]</f>
        <v>0</v>
      </c>
      <c r="Z145" s="74">
        <f>Devis[[#This Row],[Poste 5]]*Devis[[#This Row],[Prix de Revient]]</f>
        <v>0</v>
      </c>
      <c r="AA145" s="74">
        <f>Devis[[#This Row],[Prix de Revient]]*Devis[[#This Row],[Poste 6]]</f>
        <v>0</v>
      </c>
      <c r="AB145" s="74">
        <f>Devis[[#This Row],[Quantité Totale]]*Devis[[#This Row],[Prix de Revient]]</f>
        <v>0</v>
      </c>
    </row>
    <row r="146" spans="1:28" ht="14.25" outlineLevel="1" x14ac:dyDescent="0.2">
      <c r="A146" s="75" t="s">
        <v>68</v>
      </c>
      <c r="B146" s="88" t="s">
        <v>4317</v>
      </c>
      <c r="C146" s="88" t="s">
        <v>4320</v>
      </c>
      <c r="D146" s="81" t="str">
        <f t="shared" si="2"/>
        <v>App ElectriqueDISJONCTEUR MODULAIRE TRIPHASE COURBE CDisjoncteur Modulaire 3P Courbe C_4,5KA/6KA _10A</v>
      </c>
      <c r="E146" s="76" t="s">
        <v>4320</v>
      </c>
      <c r="F146" s="81">
        <v>2</v>
      </c>
      <c r="G146" s="82" t="s">
        <v>4321</v>
      </c>
      <c r="H146" s="71"/>
      <c r="I146" s="71"/>
      <c r="J146" s="70">
        <f>IFERROR(VLOOKUP(Devis[[#This Row],[Ref Air Flux]],#REF!,3,FALSE),0)</f>
        <v>0</v>
      </c>
      <c r="K146" s="68"/>
      <c r="L146" s="68"/>
      <c r="M146" s="68"/>
      <c r="N146" s="68"/>
      <c r="O146" s="68"/>
      <c r="P146" s="68"/>
      <c r="Q146" s="68">
        <f>SUM(Devis[[#This Row],[Poste 1]:[Poste 6]])</f>
        <v>0</v>
      </c>
      <c r="R146" s="71"/>
      <c r="S146" s="68">
        <f>_xlfn.CEILING.MATH(Devis[[#This Row],[Quantité Totale]],Devis[[#This Row],[Conditionnement]])</f>
        <v>0</v>
      </c>
      <c r="T146" s="72"/>
      <c r="U146" s="73"/>
      <c r="V146" s="74">
        <f>Devis[[#This Row],[Prix de Revient]]*Devis[[#This Row],[Poste 1]]</f>
        <v>0</v>
      </c>
      <c r="W146" s="74">
        <f>Devis[[#This Row],[Prix de Revient]]*Devis[[#This Row],[Poste 2]]</f>
        <v>0</v>
      </c>
      <c r="X146" s="74">
        <f>Devis[[#This Row],[Prix de Revient]]*Devis[[#This Row],[Poste 3]]</f>
        <v>0</v>
      </c>
      <c r="Y146" s="74">
        <f>Devis[[#This Row],[Poste 4]]*Devis[[#This Row],[Prix de Revient]]</f>
        <v>0</v>
      </c>
      <c r="Z146" s="74">
        <f>Devis[[#This Row],[Poste 5]]*Devis[[#This Row],[Prix de Revient]]</f>
        <v>0</v>
      </c>
      <c r="AA146" s="74">
        <f>Devis[[#This Row],[Prix de Revient]]*Devis[[#This Row],[Poste 6]]</f>
        <v>0</v>
      </c>
      <c r="AB146" s="74">
        <f>Devis[[#This Row],[Quantité Totale]]*Devis[[#This Row],[Prix de Revient]]</f>
        <v>0</v>
      </c>
    </row>
    <row r="147" spans="1:28" ht="14.25" customHeight="1" outlineLevel="1" x14ac:dyDescent="0.2">
      <c r="A147" s="75" t="s">
        <v>68</v>
      </c>
      <c r="B147" s="88" t="s">
        <v>4317</v>
      </c>
      <c r="C147" s="88" t="s">
        <v>4322</v>
      </c>
      <c r="D147" s="81" t="str">
        <f t="shared" si="2"/>
        <v>App ElectriqueDISJONCTEUR MODULAIRE TRIPHASE COURBE CDisjoncteur Modulaire 3P Courbe C_4,5KA/6KA _16A</v>
      </c>
      <c r="E147" s="76" t="s">
        <v>4322</v>
      </c>
      <c r="F147" s="81">
        <v>3</v>
      </c>
      <c r="G147" s="82" t="s">
        <v>4323</v>
      </c>
      <c r="H147" s="71"/>
      <c r="I147" s="71"/>
      <c r="J147" s="70">
        <f>IFERROR(VLOOKUP(Devis[[#This Row],[Ref Air Flux]],#REF!,3,FALSE),0)</f>
        <v>0</v>
      </c>
      <c r="K147" s="68"/>
      <c r="L147" s="68"/>
      <c r="M147" s="68"/>
      <c r="N147" s="68"/>
      <c r="O147" s="68"/>
      <c r="P147" s="68"/>
      <c r="Q147" s="68">
        <f>SUM(Devis[[#This Row],[Poste 1]:[Poste 6]])</f>
        <v>0</v>
      </c>
      <c r="R147" s="71"/>
      <c r="S147" s="68">
        <f>_xlfn.CEILING.MATH(Devis[[#This Row],[Quantité Totale]],Devis[[#This Row],[Conditionnement]])</f>
        <v>0</v>
      </c>
      <c r="T147" s="72"/>
      <c r="U147" s="73"/>
      <c r="V147" s="74">
        <f>Devis[[#This Row],[Prix de Revient]]*Devis[[#This Row],[Poste 1]]</f>
        <v>0</v>
      </c>
      <c r="W147" s="74">
        <f>Devis[[#This Row],[Prix de Revient]]*Devis[[#This Row],[Poste 2]]</f>
        <v>0</v>
      </c>
      <c r="X147" s="74">
        <f>Devis[[#This Row],[Prix de Revient]]*Devis[[#This Row],[Poste 3]]</f>
        <v>0</v>
      </c>
      <c r="Y147" s="74">
        <f>Devis[[#This Row],[Poste 4]]*Devis[[#This Row],[Prix de Revient]]</f>
        <v>0</v>
      </c>
      <c r="Z147" s="74">
        <f>Devis[[#This Row],[Poste 5]]*Devis[[#This Row],[Prix de Revient]]</f>
        <v>0</v>
      </c>
      <c r="AA147" s="74">
        <f>Devis[[#This Row],[Prix de Revient]]*Devis[[#This Row],[Poste 6]]</f>
        <v>0</v>
      </c>
      <c r="AB147" s="74">
        <f>Devis[[#This Row],[Quantité Totale]]*Devis[[#This Row],[Prix de Revient]]</f>
        <v>0</v>
      </c>
    </row>
    <row r="148" spans="1:28" ht="14.25" outlineLevel="1" x14ac:dyDescent="0.2">
      <c r="A148" s="75" t="s">
        <v>68</v>
      </c>
      <c r="B148" s="88" t="s">
        <v>4317</v>
      </c>
      <c r="C148" s="88" t="s">
        <v>4324</v>
      </c>
      <c r="D148" s="81" t="str">
        <f t="shared" si="2"/>
        <v>App ElectriqueDISJONCTEUR MODULAIRE TRIPHASE COURBE CDisjoncteur Modulaire 3P Courbe C_4,5KA/6KA _20A</v>
      </c>
      <c r="E148" s="76" t="s">
        <v>4324</v>
      </c>
      <c r="F148" s="81">
        <v>4</v>
      </c>
      <c r="G148" s="82" t="s">
        <v>4325</v>
      </c>
      <c r="H148" s="71"/>
      <c r="I148" s="71"/>
      <c r="J148" s="70">
        <f>IFERROR(VLOOKUP(Devis[[#This Row],[Ref Air Flux]],#REF!,3,FALSE),0)</f>
        <v>0</v>
      </c>
      <c r="K148" s="68"/>
      <c r="L148" s="68"/>
      <c r="M148" s="68"/>
      <c r="N148" s="68"/>
      <c r="O148" s="68"/>
      <c r="P148" s="68"/>
      <c r="Q148" s="68">
        <f>SUM(Devis[[#This Row],[Poste 1]:[Poste 6]])</f>
        <v>0</v>
      </c>
      <c r="R148" s="71"/>
      <c r="S148" s="68">
        <f>_xlfn.CEILING.MATH(Devis[[#This Row],[Quantité Totale]],Devis[[#This Row],[Conditionnement]])</f>
        <v>0</v>
      </c>
      <c r="T148" s="72"/>
      <c r="U148" s="73"/>
      <c r="V148" s="74">
        <f>Devis[[#This Row],[Prix de Revient]]*Devis[[#This Row],[Poste 1]]</f>
        <v>0</v>
      </c>
      <c r="W148" s="74">
        <f>Devis[[#This Row],[Prix de Revient]]*Devis[[#This Row],[Poste 2]]</f>
        <v>0</v>
      </c>
      <c r="X148" s="74">
        <f>Devis[[#This Row],[Prix de Revient]]*Devis[[#This Row],[Poste 3]]</f>
        <v>0</v>
      </c>
      <c r="Y148" s="74">
        <f>Devis[[#This Row],[Poste 4]]*Devis[[#This Row],[Prix de Revient]]</f>
        <v>0</v>
      </c>
      <c r="Z148" s="74">
        <f>Devis[[#This Row],[Poste 5]]*Devis[[#This Row],[Prix de Revient]]</f>
        <v>0</v>
      </c>
      <c r="AA148" s="74">
        <f>Devis[[#This Row],[Prix de Revient]]*Devis[[#This Row],[Poste 6]]</f>
        <v>0</v>
      </c>
      <c r="AB148" s="74">
        <f>Devis[[#This Row],[Quantité Totale]]*Devis[[#This Row],[Prix de Revient]]</f>
        <v>0</v>
      </c>
    </row>
    <row r="149" spans="1:28" ht="14.25" outlineLevel="1" x14ac:dyDescent="0.2">
      <c r="A149" s="75" t="s">
        <v>68</v>
      </c>
      <c r="B149" s="88" t="s">
        <v>4317</v>
      </c>
      <c r="C149" s="88" t="s">
        <v>4326</v>
      </c>
      <c r="D149" s="81" t="str">
        <f t="shared" si="2"/>
        <v>App ElectriqueDISJONCTEUR MODULAIRE TRIPHASE COURBE CDisjoncteur Modulaire 3P Courbe C_4,5KA/6KA _25A</v>
      </c>
      <c r="E149" s="76" t="s">
        <v>4326</v>
      </c>
      <c r="F149" s="81">
        <v>5</v>
      </c>
      <c r="G149" s="82" t="s">
        <v>4327</v>
      </c>
      <c r="H149" s="71"/>
      <c r="I149" s="71"/>
      <c r="J149" s="70">
        <f>IFERROR(VLOOKUP(Devis[[#This Row],[Ref Air Flux]],#REF!,3,FALSE),0)</f>
        <v>0</v>
      </c>
      <c r="K149" s="68"/>
      <c r="L149" s="68"/>
      <c r="M149" s="68"/>
      <c r="N149" s="68"/>
      <c r="O149" s="68"/>
      <c r="P149" s="68"/>
      <c r="Q149" s="68">
        <f>SUM(Devis[[#This Row],[Poste 1]:[Poste 6]])</f>
        <v>0</v>
      </c>
      <c r="R149" s="71"/>
      <c r="S149" s="68">
        <f>_xlfn.CEILING.MATH(Devis[[#This Row],[Quantité Totale]],Devis[[#This Row],[Conditionnement]])</f>
        <v>0</v>
      </c>
      <c r="T149" s="72"/>
      <c r="U149" s="73"/>
      <c r="V149" s="74">
        <f>Devis[[#This Row],[Prix de Revient]]*Devis[[#This Row],[Poste 1]]</f>
        <v>0</v>
      </c>
      <c r="W149" s="74">
        <f>Devis[[#This Row],[Prix de Revient]]*Devis[[#This Row],[Poste 2]]</f>
        <v>0</v>
      </c>
      <c r="X149" s="74">
        <f>Devis[[#This Row],[Prix de Revient]]*Devis[[#This Row],[Poste 3]]</f>
        <v>0</v>
      </c>
      <c r="Y149" s="74">
        <f>Devis[[#This Row],[Poste 4]]*Devis[[#This Row],[Prix de Revient]]</f>
        <v>0</v>
      </c>
      <c r="Z149" s="74">
        <f>Devis[[#This Row],[Poste 5]]*Devis[[#This Row],[Prix de Revient]]</f>
        <v>0</v>
      </c>
      <c r="AA149" s="74">
        <f>Devis[[#This Row],[Prix de Revient]]*Devis[[#This Row],[Poste 6]]</f>
        <v>0</v>
      </c>
      <c r="AB149" s="74">
        <f>Devis[[#This Row],[Quantité Totale]]*Devis[[#This Row],[Prix de Revient]]</f>
        <v>0</v>
      </c>
    </row>
    <row r="150" spans="1:28" ht="15" customHeight="1" outlineLevel="1" x14ac:dyDescent="0.2">
      <c r="A150" s="75" t="s">
        <v>68</v>
      </c>
      <c r="B150" s="88" t="s">
        <v>4317</v>
      </c>
      <c r="C150" s="88" t="s">
        <v>4328</v>
      </c>
      <c r="D150" s="81" t="str">
        <f t="shared" si="2"/>
        <v>App ElectriqueDISJONCTEUR MODULAIRE TRIPHASE COURBE CDisjoncteur Modulaire 3P Courbe C_4,5KA/6KA _32A</v>
      </c>
      <c r="E150" s="76" t="s">
        <v>4328</v>
      </c>
      <c r="F150" s="81">
        <v>6</v>
      </c>
      <c r="G150" s="82" t="s">
        <v>4329</v>
      </c>
      <c r="H150" s="71"/>
      <c r="I150" s="71"/>
      <c r="J150" s="70">
        <f>IFERROR(VLOOKUP(Devis[[#This Row],[Ref Air Flux]],#REF!,3,FALSE),0)</f>
        <v>0</v>
      </c>
      <c r="K150" s="68"/>
      <c r="L150" s="68"/>
      <c r="M150" s="68"/>
      <c r="N150" s="68"/>
      <c r="O150" s="68"/>
      <c r="P150" s="68"/>
      <c r="Q150" s="68">
        <f>SUM(Devis[[#This Row],[Poste 1]:[Poste 6]])</f>
        <v>0</v>
      </c>
      <c r="R150" s="71"/>
      <c r="S150" s="68">
        <f>_xlfn.CEILING.MATH(Devis[[#This Row],[Quantité Totale]],Devis[[#This Row],[Conditionnement]])</f>
        <v>0</v>
      </c>
      <c r="T150" s="72"/>
      <c r="U150" s="73"/>
      <c r="V150" s="74">
        <f>Devis[[#This Row],[Prix de Revient]]*Devis[[#This Row],[Poste 1]]</f>
        <v>0</v>
      </c>
      <c r="W150" s="74">
        <f>Devis[[#This Row],[Prix de Revient]]*Devis[[#This Row],[Poste 2]]</f>
        <v>0</v>
      </c>
      <c r="X150" s="74">
        <f>Devis[[#This Row],[Prix de Revient]]*Devis[[#This Row],[Poste 3]]</f>
        <v>0</v>
      </c>
      <c r="Y150" s="74">
        <f>Devis[[#This Row],[Poste 4]]*Devis[[#This Row],[Prix de Revient]]</f>
        <v>0</v>
      </c>
      <c r="Z150" s="74">
        <f>Devis[[#This Row],[Poste 5]]*Devis[[#This Row],[Prix de Revient]]</f>
        <v>0</v>
      </c>
      <c r="AA150" s="74">
        <f>Devis[[#This Row],[Prix de Revient]]*Devis[[#This Row],[Poste 6]]</f>
        <v>0</v>
      </c>
      <c r="AB150" s="74">
        <f>Devis[[#This Row],[Quantité Totale]]*Devis[[#This Row],[Prix de Revient]]</f>
        <v>0</v>
      </c>
    </row>
    <row r="151" spans="1:28" ht="14.25" outlineLevel="1" x14ac:dyDescent="0.2">
      <c r="A151" s="75" t="s">
        <v>68</v>
      </c>
      <c r="B151" s="88" t="s">
        <v>4317</v>
      </c>
      <c r="C151" s="88" t="s">
        <v>4330</v>
      </c>
      <c r="D151" s="81" t="str">
        <f t="shared" si="2"/>
        <v>App ElectriqueDISJONCTEUR MODULAIRE TRIPHASE COURBE CDisjoncteur Modulaire 3P Courbe C_4,5KA/6KA _40A</v>
      </c>
      <c r="E151" s="76" t="s">
        <v>4330</v>
      </c>
      <c r="F151" s="81">
        <v>7</v>
      </c>
      <c r="G151" s="82" t="s">
        <v>4331</v>
      </c>
      <c r="H151" s="71"/>
      <c r="I151" s="71"/>
      <c r="J151" s="70">
        <f>IFERROR(VLOOKUP(Devis[[#This Row],[Ref Air Flux]],#REF!,3,FALSE),0)</f>
        <v>0</v>
      </c>
      <c r="K151" s="68"/>
      <c r="L151" s="68"/>
      <c r="M151" s="68"/>
      <c r="N151" s="68"/>
      <c r="O151" s="68"/>
      <c r="P151" s="68"/>
      <c r="Q151" s="68">
        <f>SUM(Devis[[#This Row],[Poste 1]:[Poste 6]])</f>
        <v>0</v>
      </c>
      <c r="R151" s="71"/>
      <c r="S151" s="68">
        <f>_xlfn.CEILING.MATH(Devis[[#This Row],[Quantité Totale]],Devis[[#This Row],[Conditionnement]])</f>
        <v>0</v>
      </c>
      <c r="T151" s="72"/>
      <c r="U151" s="73"/>
      <c r="V151" s="74">
        <f>Devis[[#This Row],[Prix de Revient]]*Devis[[#This Row],[Poste 1]]</f>
        <v>0</v>
      </c>
      <c r="W151" s="74">
        <f>Devis[[#This Row],[Prix de Revient]]*Devis[[#This Row],[Poste 2]]</f>
        <v>0</v>
      </c>
      <c r="X151" s="74">
        <f>Devis[[#This Row],[Prix de Revient]]*Devis[[#This Row],[Poste 3]]</f>
        <v>0</v>
      </c>
      <c r="Y151" s="74">
        <f>Devis[[#This Row],[Poste 4]]*Devis[[#This Row],[Prix de Revient]]</f>
        <v>0</v>
      </c>
      <c r="Z151" s="74">
        <f>Devis[[#This Row],[Poste 5]]*Devis[[#This Row],[Prix de Revient]]</f>
        <v>0</v>
      </c>
      <c r="AA151" s="74">
        <f>Devis[[#This Row],[Prix de Revient]]*Devis[[#This Row],[Poste 6]]</f>
        <v>0</v>
      </c>
      <c r="AB151" s="74">
        <f>Devis[[#This Row],[Quantité Totale]]*Devis[[#This Row],[Prix de Revient]]</f>
        <v>0</v>
      </c>
    </row>
    <row r="152" spans="1:28" ht="14.25" customHeight="1" outlineLevel="1" x14ac:dyDescent="0.2">
      <c r="A152" s="75" t="s">
        <v>68</v>
      </c>
      <c r="B152" s="88" t="s">
        <v>4317</v>
      </c>
      <c r="C152" s="88"/>
      <c r="D152" s="81" t="str">
        <f t="shared" si="2"/>
        <v>App ElectriqueDISJONCTEUR MODULAIRE TRIPHASE COURBE C</v>
      </c>
      <c r="E152" s="73"/>
      <c r="F152" s="81">
        <v>8</v>
      </c>
      <c r="G152" s="82"/>
      <c r="H152" s="71"/>
      <c r="I152" s="71"/>
      <c r="J152" s="70">
        <f>IFERROR(VLOOKUP(Devis[[#This Row],[Ref Air Flux]],#REF!,3,FALSE),0)</f>
        <v>0</v>
      </c>
      <c r="K152" s="68"/>
      <c r="L152" s="68"/>
      <c r="M152" s="68"/>
      <c r="N152" s="68"/>
      <c r="O152" s="68"/>
      <c r="P152" s="68"/>
      <c r="Q152" s="68">
        <f>SUM(Devis[[#This Row],[Poste 1]:[Poste 6]])</f>
        <v>0</v>
      </c>
      <c r="R152" s="71"/>
      <c r="S152" s="68">
        <f>_xlfn.CEILING.MATH(Devis[[#This Row],[Quantité Totale]],Devis[[#This Row],[Conditionnement]])</f>
        <v>0</v>
      </c>
      <c r="T152" s="72"/>
      <c r="U152" s="73"/>
      <c r="V152" s="74">
        <f>Devis[[#This Row],[Prix de Revient]]*Devis[[#This Row],[Poste 1]]</f>
        <v>0</v>
      </c>
      <c r="W152" s="74">
        <f>Devis[[#This Row],[Prix de Revient]]*Devis[[#This Row],[Poste 2]]</f>
        <v>0</v>
      </c>
      <c r="X152" s="74">
        <f>Devis[[#This Row],[Prix de Revient]]*Devis[[#This Row],[Poste 3]]</f>
        <v>0</v>
      </c>
      <c r="Y152" s="74">
        <f>Devis[[#This Row],[Poste 4]]*Devis[[#This Row],[Prix de Revient]]</f>
        <v>0</v>
      </c>
      <c r="Z152" s="74">
        <f>Devis[[#This Row],[Poste 5]]*Devis[[#This Row],[Prix de Revient]]</f>
        <v>0</v>
      </c>
      <c r="AA152" s="74">
        <f>Devis[[#This Row],[Prix de Revient]]*Devis[[#This Row],[Poste 6]]</f>
        <v>0</v>
      </c>
      <c r="AB152" s="74">
        <f>Devis[[#This Row],[Quantité Totale]]*Devis[[#This Row],[Prix de Revient]]</f>
        <v>0</v>
      </c>
    </row>
    <row r="153" spans="1:28" ht="14.25" outlineLevel="1" x14ac:dyDescent="0.2">
      <c r="A153" s="75" t="s">
        <v>68</v>
      </c>
      <c r="B153" s="88" t="s">
        <v>4317</v>
      </c>
      <c r="C153" s="88" t="s">
        <v>4332</v>
      </c>
      <c r="D153" s="81" t="str">
        <f t="shared" si="2"/>
        <v>App ElectriqueDISJONCTEUR MODULAIRE TRIPHASE COURBE CDisjoncteur Modulaire 3P Courbe C_6KA/10KA _6A</v>
      </c>
      <c r="E153" s="76" t="s">
        <v>4332</v>
      </c>
      <c r="F153" s="81">
        <v>9</v>
      </c>
      <c r="G153" s="82" t="s">
        <v>4333</v>
      </c>
      <c r="H153" s="71"/>
      <c r="I153" s="71"/>
      <c r="J153" s="70">
        <f>IFERROR(VLOOKUP(Devis[[#This Row],[Ref Air Flux]],#REF!,3,FALSE),0)</f>
        <v>0</v>
      </c>
      <c r="K153" s="68"/>
      <c r="L153" s="68"/>
      <c r="M153" s="68"/>
      <c r="N153" s="68"/>
      <c r="O153" s="68"/>
      <c r="P153" s="68"/>
      <c r="Q153" s="68">
        <f>SUM(Devis[[#This Row],[Poste 1]:[Poste 6]])</f>
        <v>0</v>
      </c>
      <c r="R153" s="71"/>
      <c r="S153" s="68">
        <f>_xlfn.CEILING.MATH(Devis[[#This Row],[Quantité Totale]],Devis[[#This Row],[Conditionnement]])</f>
        <v>0</v>
      </c>
      <c r="T153" s="72"/>
      <c r="U153" s="73"/>
      <c r="V153" s="74">
        <f>Devis[[#This Row],[Prix de Revient]]*Devis[[#This Row],[Poste 1]]</f>
        <v>0</v>
      </c>
      <c r="W153" s="74">
        <f>Devis[[#This Row],[Prix de Revient]]*Devis[[#This Row],[Poste 2]]</f>
        <v>0</v>
      </c>
      <c r="X153" s="74">
        <f>Devis[[#This Row],[Prix de Revient]]*Devis[[#This Row],[Poste 3]]</f>
        <v>0</v>
      </c>
      <c r="Y153" s="74">
        <f>Devis[[#This Row],[Poste 4]]*Devis[[#This Row],[Prix de Revient]]</f>
        <v>0</v>
      </c>
      <c r="Z153" s="74">
        <f>Devis[[#This Row],[Poste 5]]*Devis[[#This Row],[Prix de Revient]]</f>
        <v>0</v>
      </c>
      <c r="AA153" s="74">
        <f>Devis[[#This Row],[Prix de Revient]]*Devis[[#This Row],[Poste 6]]</f>
        <v>0</v>
      </c>
      <c r="AB153" s="74">
        <f>Devis[[#This Row],[Quantité Totale]]*Devis[[#This Row],[Prix de Revient]]</f>
        <v>0</v>
      </c>
    </row>
    <row r="154" spans="1:28" ht="14.25" customHeight="1" outlineLevel="1" x14ac:dyDescent="0.2">
      <c r="A154" s="75" t="s">
        <v>68</v>
      </c>
      <c r="B154" s="88" t="s">
        <v>4317</v>
      </c>
      <c r="C154" s="88" t="s">
        <v>4334</v>
      </c>
      <c r="D154" s="81" t="str">
        <f t="shared" si="2"/>
        <v>App ElectriqueDISJONCTEUR MODULAIRE TRIPHASE COURBE CDisjoncteur Modulaire 3P Courbe C_6KA/10KA _10A</v>
      </c>
      <c r="E154" s="76" t="s">
        <v>4334</v>
      </c>
      <c r="F154" s="81">
        <v>10</v>
      </c>
      <c r="G154" s="82" t="s">
        <v>4335</v>
      </c>
      <c r="H154" s="79"/>
      <c r="I154" s="71"/>
      <c r="J154" s="70">
        <f>IFERROR(VLOOKUP(Devis[[#This Row],[Ref Air Flux]],#REF!,3,FALSE),0)</f>
        <v>0</v>
      </c>
      <c r="K154" s="68"/>
      <c r="L154" s="68"/>
      <c r="M154" s="68"/>
      <c r="N154" s="68"/>
      <c r="O154" s="68"/>
      <c r="P154" s="68"/>
      <c r="Q154" s="68">
        <f>SUM(Devis[[#This Row],[Poste 1]:[Poste 6]])</f>
        <v>0</v>
      </c>
      <c r="R154" s="71"/>
      <c r="S154" s="68">
        <f>_xlfn.CEILING.MATH(Devis[[#This Row],[Quantité Totale]],Devis[[#This Row],[Conditionnement]])</f>
        <v>0</v>
      </c>
      <c r="T154" s="72"/>
      <c r="U154" s="73"/>
      <c r="V154" s="74">
        <f>Devis[[#This Row],[Prix de Revient]]*Devis[[#This Row],[Poste 1]]</f>
        <v>0</v>
      </c>
      <c r="W154" s="74">
        <f>Devis[[#This Row],[Prix de Revient]]*Devis[[#This Row],[Poste 2]]</f>
        <v>0</v>
      </c>
      <c r="X154" s="74">
        <f>Devis[[#This Row],[Prix de Revient]]*Devis[[#This Row],[Poste 3]]</f>
        <v>0</v>
      </c>
      <c r="Y154" s="74">
        <f>Devis[[#This Row],[Poste 4]]*Devis[[#This Row],[Prix de Revient]]</f>
        <v>0</v>
      </c>
      <c r="Z154" s="74">
        <f>Devis[[#This Row],[Poste 5]]*Devis[[#This Row],[Prix de Revient]]</f>
        <v>0</v>
      </c>
      <c r="AA154" s="74">
        <f>Devis[[#This Row],[Prix de Revient]]*Devis[[#This Row],[Poste 6]]</f>
        <v>0</v>
      </c>
      <c r="AB154" s="74">
        <f>Devis[[#This Row],[Quantité Totale]]*Devis[[#This Row],[Prix de Revient]]</f>
        <v>0</v>
      </c>
    </row>
    <row r="155" spans="1:28" ht="14.25" outlineLevel="1" x14ac:dyDescent="0.2">
      <c r="A155" s="75" t="s">
        <v>68</v>
      </c>
      <c r="B155" s="88" t="s">
        <v>4317</v>
      </c>
      <c r="C155" s="88" t="s">
        <v>4336</v>
      </c>
      <c r="D155" s="81" t="str">
        <f t="shared" si="2"/>
        <v>App ElectriqueDISJONCTEUR MODULAIRE TRIPHASE COURBE CDisjoncteur Modulaire 3P Courbe C_6KA/10KA _16A</v>
      </c>
      <c r="E155" s="76" t="s">
        <v>4336</v>
      </c>
      <c r="F155" s="81">
        <v>11</v>
      </c>
      <c r="G155" s="82" t="s">
        <v>4337</v>
      </c>
      <c r="H155" s="79"/>
      <c r="I155" s="71"/>
      <c r="J155" s="70">
        <f>IFERROR(VLOOKUP(Devis[[#This Row],[Ref Air Flux]],#REF!,3,FALSE),0)</f>
        <v>0</v>
      </c>
      <c r="K155" s="68"/>
      <c r="L155" s="68"/>
      <c r="M155" s="68"/>
      <c r="N155" s="68"/>
      <c r="O155" s="68"/>
      <c r="P155" s="68"/>
      <c r="Q155" s="68">
        <f>SUM(Devis[[#This Row],[Poste 1]:[Poste 6]])</f>
        <v>0</v>
      </c>
      <c r="R155" s="71"/>
      <c r="S155" s="68">
        <f>_xlfn.CEILING.MATH(Devis[[#This Row],[Quantité Totale]],Devis[[#This Row],[Conditionnement]])</f>
        <v>0</v>
      </c>
      <c r="T155" s="72"/>
      <c r="U155" s="73"/>
      <c r="V155" s="74">
        <f>Devis[[#This Row],[Prix de Revient]]*Devis[[#This Row],[Poste 1]]</f>
        <v>0</v>
      </c>
      <c r="W155" s="74">
        <f>Devis[[#This Row],[Prix de Revient]]*Devis[[#This Row],[Poste 2]]</f>
        <v>0</v>
      </c>
      <c r="X155" s="74">
        <f>Devis[[#This Row],[Prix de Revient]]*Devis[[#This Row],[Poste 3]]</f>
        <v>0</v>
      </c>
      <c r="Y155" s="74">
        <f>Devis[[#This Row],[Poste 4]]*Devis[[#This Row],[Prix de Revient]]</f>
        <v>0</v>
      </c>
      <c r="Z155" s="74">
        <f>Devis[[#This Row],[Poste 5]]*Devis[[#This Row],[Prix de Revient]]</f>
        <v>0</v>
      </c>
      <c r="AA155" s="74">
        <f>Devis[[#This Row],[Prix de Revient]]*Devis[[#This Row],[Poste 6]]</f>
        <v>0</v>
      </c>
      <c r="AB155" s="74">
        <f>Devis[[#This Row],[Quantité Totale]]*Devis[[#This Row],[Prix de Revient]]</f>
        <v>0</v>
      </c>
    </row>
    <row r="156" spans="1:28" ht="14.25" outlineLevel="1" x14ac:dyDescent="0.2">
      <c r="A156" s="75" t="s">
        <v>68</v>
      </c>
      <c r="B156" s="88" t="s">
        <v>4317</v>
      </c>
      <c r="C156" s="88" t="s">
        <v>4338</v>
      </c>
      <c r="D156" s="81" t="str">
        <f t="shared" si="2"/>
        <v>App ElectriqueDISJONCTEUR MODULAIRE TRIPHASE COURBE CDisjoncteur Modulaire 3P Courbe C_6KA/10KA _20A</v>
      </c>
      <c r="E156" s="76" t="s">
        <v>4338</v>
      </c>
      <c r="F156" s="81">
        <v>12</v>
      </c>
      <c r="G156" s="82" t="s">
        <v>4339</v>
      </c>
      <c r="H156" s="79"/>
      <c r="I156" s="71"/>
      <c r="J156" s="70">
        <f>IFERROR(VLOOKUP(Devis[[#This Row],[Ref Air Flux]],#REF!,3,FALSE),0)</f>
        <v>0</v>
      </c>
      <c r="K156" s="68"/>
      <c r="L156" s="68"/>
      <c r="M156" s="68"/>
      <c r="N156" s="68"/>
      <c r="O156" s="68"/>
      <c r="P156" s="68"/>
      <c r="Q156" s="68">
        <f>SUM(Devis[[#This Row],[Poste 1]:[Poste 6]])</f>
        <v>0</v>
      </c>
      <c r="R156" s="71"/>
      <c r="S156" s="68">
        <f>_xlfn.CEILING.MATH(Devis[[#This Row],[Quantité Totale]],Devis[[#This Row],[Conditionnement]])</f>
        <v>0</v>
      </c>
      <c r="T156" s="72"/>
      <c r="U156" s="73"/>
      <c r="V156" s="74">
        <f>Devis[[#This Row],[Prix de Revient]]*Devis[[#This Row],[Poste 1]]</f>
        <v>0</v>
      </c>
      <c r="W156" s="74">
        <f>Devis[[#This Row],[Prix de Revient]]*Devis[[#This Row],[Poste 2]]</f>
        <v>0</v>
      </c>
      <c r="X156" s="74">
        <f>Devis[[#This Row],[Prix de Revient]]*Devis[[#This Row],[Poste 3]]</f>
        <v>0</v>
      </c>
      <c r="Y156" s="74">
        <f>Devis[[#This Row],[Poste 4]]*Devis[[#This Row],[Prix de Revient]]</f>
        <v>0</v>
      </c>
      <c r="Z156" s="74">
        <f>Devis[[#This Row],[Poste 5]]*Devis[[#This Row],[Prix de Revient]]</f>
        <v>0</v>
      </c>
      <c r="AA156" s="74">
        <f>Devis[[#This Row],[Prix de Revient]]*Devis[[#This Row],[Poste 6]]</f>
        <v>0</v>
      </c>
      <c r="AB156" s="74">
        <f>Devis[[#This Row],[Quantité Totale]]*Devis[[#This Row],[Prix de Revient]]</f>
        <v>0</v>
      </c>
    </row>
    <row r="157" spans="1:28" ht="14.25" customHeight="1" outlineLevel="1" x14ac:dyDescent="0.2">
      <c r="A157" s="75" t="s">
        <v>68</v>
      </c>
      <c r="B157" s="88" t="s">
        <v>4317</v>
      </c>
      <c r="C157" s="88" t="s">
        <v>4340</v>
      </c>
      <c r="D157" s="81" t="str">
        <f t="shared" si="2"/>
        <v>App ElectriqueDISJONCTEUR MODULAIRE TRIPHASE COURBE CDisjoncteur Modulaire 3P Courbe C_6KA/10KA _25A</v>
      </c>
      <c r="E157" s="76" t="s">
        <v>4340</v>
      </c>
      <c r="F157" s="81">
        <v>13</v>
      </c>
      <c r="G157" s="82" t="s">
        <v>4341</v>
      </c>
      <c r="H157" s="79"/>
      <c r="I157" s="71"/>
      <c r="J157" s="70">
        <f>IFERROR(VLOOKUP(Devis[[#This Row],[Ref Air Flux]],#REF!,3,FALSE),0)</f>
        <v>0</v>
      </c>
      <c r="K157" s="68"/>
      <c r="L157" s="68"/>
      <c r="M157" s="68"/>
      <c r="N157" s="68"/>
      <c r="O157" s="68"/>
      <c r="P157" s="68"/>
      <c r="Q157" s="68">
        <f>SUM(Devis[[#This Row],[Poste 1]:[Poste 6]])</f>
        <v>0</v>
      </c>
      <c r="R157" s="71"/>
      <c r="S157" s="68">
        <f>_xlfn.CEILING.MATH(Devis[[#This Row],[Quantité Totale]],Devis[[#This Row],[Conditionnement]])</f>
        <v>0</v>
      </c>
      <c r="T157" s="72"/>
      <c r="U157" s="73"/>
      <c r="V157" s="74">
        <f>Devis[[#This Row],[Prix de Revient]]*Devis[[#This Row],[Poste 1]]</f>
        <v>0</v>
      </c>
      <c r="W157" s="74">
        <f>Devis[[#This Row],[Prix de Revient]]*Devis[[#This Row],[Poste 2]]</f>
        <v>0</v>
      </c>
      <c r="X157" s="74">
        <f>Devis[[#This Row],[Prix de Revient]]*Devis[[#This Row],[Poste 3]]</f>
        <v>0</v>
      </c>
      <c r="Y157" s="74">
        <f>Devis[[#This Row],[Poste 4]]*Devis[[#This Row],[Prix de Revient]]</f>
        <v>0</v>
      </c>
      <c r="Z157" s="74">
        <f>Devis[[#This Row],[Poste 5]]*Devis[[#This Row],[Prix de Revient]]</f>
        <v>0</v>
      </c>
      <c r="AA157" s="74">
        <f>Devis[[#This Row],[Prix de Revient]]*Devis[[#This Row],[Poste 6]]</f>
        <v>0</v>
      </c>
      <c r="AB157" s="74">
        <f>Devis[[#This Row],[Quantité Totale]]*Devis[[#This Row],[Prix de Revient]]</f>
        <v>0</v>
      </c>
    </row>
    <row r="158" spans="1:28" ht="14.25" outlineLevel="1" x14ac:dyDescent="0.2">
      <c r="A158" s="75" t="s">
        <v>68</v>
      </c>
      <c r="B158" s="88" t="s">
        <v>4317</v>
      </c>
      <c r="C158" s="88" t="s">
        <v>4342</v>
      </c>
      <c r="D158" s="81" t="str">
        <f t="shared" si="2"/>
        <v>App ElectriqueDISJONCTEUR MODULAIRE TRIPHASE COURBE CDisjoncteur Modulaire 3P Courbe C_6KA/10KA _32A</v>
      </c>
      <c r="E158" s="76" t="s">
        <v>4342</v>
      </c>
      <c r="F158" s="81">
        <v>14</v>
      </c>
      <c r="G158" s="82" t="s">
        <v>4343</v>
      </c>
      <c r="H158" s="79"/>
      <c r="I158" s="71"/>
      <c r="J158" s="70">
        <f>IFERROR(VLOOKUP(Devis[[#This Row],[Ref Air Flux]],#REF!,3,FALSE),0)</f>
        <v>0</v>
      </c>
      <c r="K158" s="68"/>
      <c r="L158" s="68"/>
      <c r="M158" s="68"/>
      <c r="N158" s="68"/>
      <c r="O158" s="68"/>
      <c r="P158" s="68"/>
      <c r="Q158" s="68">
        <f>SUM(Devis[[#This Row],[Poste 1]:[Poste 6]])</f>
        <v>0</v>
      </c>
      <c r="R158" s="71"/>
      <c r="S158" s="68">
        <f>_xlfn.CEILING.MATH(Devis[[#This Row],[Quantité Totale]],Devis[[#This Row],[Conditionnement]])</f>
        <v>0</v>
      </c>
      <c r="T158" s="72"/>
      <c r="U158" s="73"/>
      <c r="V158" s="74">
        <f>Devis[[#This Row],[Prix de Revient]]*Devis[[#This Row],[Poste 1]]</f>
        <v>0</v>
      </c>
      <c r="W158" s="74">
        <f>Devis[[#This Row],[Prix de Revient]]*Devis[[#This Row],[Poste 2]]</f>
        <v>0</v>
      </c>
      <c r="X158" s="74">
        <f>Devis[[#This Row],[Prix de Revient]]*Devis[[#This Row],[Poste 3]]</f>
        <v>0</v>
      </c>
      <c r="Y158" s="74">
        <f>Devis[[#This Row],[Poste 4]]*Devis[[#This Row],[Prix de Revient]]</f>
        <v>0</v>
      </c>
      <c r="Z158" s="74">
        <f>Devis[[#This Row],[Poste 5]]*Devis[[#This Row],[Prix de Revient]]</f>
        <v>0</v>
      </c>
      <c r="AA158" s="74">
        <f>Devis[[#This Row],[Prix de Revient]]*Devis[[#This Row],[Poste 6]]</f>
        <v>0</v>
      </c>
      <c r="AB158" s="74">
        <f>Devis[[#This Row],[Quantité Totale]]*Devis[[#This Row],[Prix de Revient]]</f>
        <v>0</v>
      </c>
    </row>
    <row r="159" spans="1:28" ht="14.25" outlineLevel="1" x14ac:dyDescent="0.2">
      <c r="A159" s="75" t="s">
        <v>68</v>
      </c>
      <c r="B159" s="88" t="s">
        <v>4317</v>
      </c>
      <c r="C159" s="88" t="s">
        <v>4344</v>
      </c>
      <c r="D159" s="81" t="str">
        <f t="shared" si="2"/>
        <v>App ElectriqueDISJONCTEUR MODULAIRE TRIPHASE COURBE CDisjoncteur Modulaire 3P Courbe C_6KA/10KA _40A</v>
      </c>
      <c r="E159" s="76" t="s">
        <v>4344</v>
      </c>
      <c r="F159" s="81">
        <v>15</v>
      </c>
      <c r="G159" s="82" t="s">
        <v>4345</v>
      </c>
      <c r="H159" s="79"/>
      <c r="I159" s="71"/>
      <c r="J159" s="70">
        <f>IFERROR(VLOOKUP(Devis[[#This Row],[Ref Air Flux]],#REF!,3,FALSE),0)</f>
        <v>0</v>
      </c>
      <c r="K159" s="68"/>
      <c r="L159" s="68"/>
      <c r="M159" s="68"/>
      <c r="N159" s="68"/>
      <c r="O159" s="68"/>
      <c r="P159" s="68"/>
      <c r="Q159" s="68">
        <f>SUM(Devis[[#This Row],[Poste 1]:[Poste 6]])</f>
        <v>0</v>
      </c>
      <c r="R159" s="71"/>
      <c r="S159" s="68">
        <f>_xlfn.CEILING.MATH(Devis[[#This Row],[Quantité Totale]],Devis[[#This Row],[Conditionnement]])</f>
        <v>0</v>
      </c>
      <c r="T159" s="72"/>
      <c r="U159" s="73"/>
      <c r="V159" s="74">
        <f>Devis[[#This Row],[Prix de Revient]]*Devis[[#This Row],[Poste 1]]</f>
        <v>0</v>
      </c>
      <c r="W159" s="74">
        <f>Devis[[#This Row],[Prix de Revient]]*Devis[[#This Row],[Poste 2]]</f>
        <v>0</v>
      </c>
      <c r="X159" s="74">
        <f>Devis[[#This Row],[Prix de Revient]]*Devis[[#This Row],[Poste 3]]</f>
        <v>0</v>
      </c>
      <c r="Y159" s="74">
        <f>Devis[[#This Row],[Poste 4]]*Devis[[#This Row],[Prix de Revient]]</f>
        <v>0</v>
      </c>
      <c r="Z159" s="74">
        <f>Devis[[#This Row],[Poste 5]]*Devis[[#This Row],[Prix de Revient]]</f>
        <v>0</v>
      </c>
      <c r="AA159" s="74">
        <f>Devis[[#This Row],[Prix de Revient]]*Devis[[#This Row],[Poste 6]]</f>
        <v>0</v>
      </c>
      <c r="AB159" s="74">
        <f>Devis[[#This Row],[Quantité Totale]]*Devis[[#This Row],[Prix de Revient]]</f>
        <v>0</v>
      </c>
    </row>
    <row r="160" spans="1:28" ht="14.25" outlineLevel="1" x14ac:dyDescent="0.2">
      <c r="A160" s="75" t="s">
        <v>68</v>
      </c>
      <c r="B160" s="88" t="s">
        <v>4317</v>
      </c>
      <c r="C160" s="76" t="s">
        <v>97</v>
      </c>
      <c r="D160" s="81" t="str">
        <f t="shared" si="2"/>
        <v>App ElectriqueDISJONCTEUR MODULAIRE TRIPHASE COURBE CDisj. modulaire  tri. D legrand</v>
      </c>
      <c r="E160" s="89"/>
      <c r="F160" s="81">
        <v>16</v>
      </c>
      <c r="G160" s="87"/>
      <c r="H160" s="79"/>
      <c r="I160" s="71"/>
      <c r="J160" s="70">
        <f>IFERROR(VLOOKUP(Devis[[#This Row],[Ref Air Flux]],#REF!,3,FALSE),0)</f>
        <v>0</v>
      </c>
      <c r="K160" s="68"/>
      <c r="L160" s="68"/>
      <c r="M160" s="68"/>
      <c r="N160" s="68"/>
      <c r="O160" s="68"/>
      <c r="P160" s="68"/>
      <c r="Q160" s="68">
        <f>SUM(Devis[[#This Row],[Poste 1]:[Poste 6]])</f>
        <v>0</v>
      </c>
      <c r="R160" s="71"/>
      <c r="S160" s="68">
        <f>_xlfn.CEILING.MATH(Devis[[#This Row],[Quantité Totale]],Devis[[#This Row],[Conditionnement]])</f>
        <v>0</v>
      </c>
      <c r="T160" s="72"/>
      <c r="U160" s="73"/>
      <c r="V160" s="74">
        <f>Devis[[#This Row],[Prix de Revient]]*Devis[[#This Row],[Poste 1]]</f>
        <v>0</v>
      </c>
      <c r="W160" s="74">
        <f>Devis[[#This Row],[Prix de Revient]]*Devis[[#This Row],[Poste 2]]</f>
        <v>0</v>
      </c>
      <c r="X160" s="74">
        <f>Devis[[#This Row],[Prix de Revient]]*Devis[[#This Row],[Poste 3]]</f>
        <v>0</v>
      </c>
      <c r="Y160" s="74">
        <f>Devis[[#This Row],[Poste 4]]*Devis[[#This Row],[Prix de Revient]]</f>
        <v>0</v>
      </c>
      <c r="Z160" s="74">
        <f>Devis[[#This Row],[Poste 5]]*Devis[[#This Row],[Prix de Revient]]</f>
        <v>0</v>
      </c>
      <c r="AA160" s="74">
        <f>Devis[[#This Row],[Prix de Revient]]*Devis[[#This Row],[Poste 6]]</f>
        <v>0</v>
      </c>
      <c r="AB160" s="74">
        <f>Devis[[#This Row],[Quantité Totale]]*Devis[[#This Row],[Prix de Revient]]</f>
        <v>0</v>
      </c>
    </row>
    <row r="161" spans="1:28" ht="14.25" outlineLevel="1" x14ac:dyDescent="0.2">
      <c r="A161" s="75" t="s">
        <v>68</v>
      </c>
      <c r="B161" s="88" t="s">
        <v>4317</v>
      </c>
      <c r="C161" s="76" t="s">
        <v>97</v>
      </c>
      <c r="D161" s="81" t="str">
        <f t="shared" si="2"/>
        <v>App ElectriqueDISJONCTEUR MODULAIRE TRIPHASE COURBE CDisj. modulaire  tri. D legrand</v>
      </c>
      <c r="E161" s="89" t="s">
        <v>4313</v>
      </c>
      <c r="F161" s="81">
        <v>17</v>
      </c>
      <c r="G161" s="87" t="s">
        <v>4314</v>
      </c>
      <c r="H161" s="79"/>
      <c r="I161" s="71"/>
      <c r="J161" s="70">
        <f>IFERROR(VLOOKUP(Devis[[#This Row],[Ref Air Flux]],#REF!,3,FALSE),0)</f>
        <v>0</v>
      </c>
      <c r="K161" s="68"/>
      <c r="L161" s="68"/>
      <c r="M161" s="68"/>
      <c r="N161" s="68"/>
      <c r="O161" s="68"/>
      <c r="P161" s="68"/>
      <c r="Q161" s="68">
        <f>SUM(Devis[[#This Row],[Poste 1]:[Poste 6]])</f>
        <v>0</v>
      </c>
      <c r="R161" s="71"/>
      <c r="S161" s="68">
        <f>_xlfn.CEILING.MATH(Devis[[#This Row],[Quantité Totale]],Devis[[#This Row],[Conditionnement]])</f>
        <v>0</v>
      </c>
      <c r="T161" s="72"/>
      <c r="U161" s="73"/>
      <c r="V161" s="74">
        <f>Devis[[#This Row],[Prix de Revient]]*Devis[[#This Row],[Poste 1]]</f>
        <v>0</v>
      </c>
      <c r="W161" s="74">
        <f>Devis[[#This Row],[Prix de Revient]]*Devis[[#This Row],[Poste 2]]</f>
        <v>0</v>
      </c>
      <c r="X161" s="74">
        <f>Devis[[#This Row],[Prix de Revient]]*Devis[[#This Row],[Poste 3]]</f>
        <v>0</v>
      </c>
      <c r="Y161" s="74">
        <f>Devis[[#This Row],[Poste 4]]*Devis[[#This Row],[Prix de Revient]]</f>
        <v>0</v>
      </c>
      <c r="Z161" s="74">
        <f>Devis[[#This Row],[Poste 5]]*Devis[[#This Row],[Prix de Revient]]</f>
        <v>0</v>
      </c>
      <c r="AA161" s="74">
        <f>Devis[[#This Row],[Prix de Revient]]*Devis[[#This Row],[Poste 6]]</f>
        <v>0</v>
      </c>
      <c r="AB161" s="74">
        <f>Devis[[#This Row],[Quantité Totale]]*Devis[[#This Row],[Prix de Revient]]</f>
        <v>0</v>
      </c>
    </row>
    <row r="162" spans="1:28" ht="14.25" outlineLevel="1" x14ac:dyDescent="0.2">
      <c r="A162" s="75" t="s">
        <v>68</v>
      </c>
      <c r="B162" s="88" t="s">
        <v>4317</v>
      </c>
      <c r="C162" s="76" t="s">
        <v>97</v>
      </c>
      <c r="D162" s="81" t="str">
        <f t="shared" si="2"/>
        <v>App ElectriqueDISJONCTEUR MODULAIRE TRIPHASE COURBE CDisj. modulaire  tri. D legrand</v>
      </c>
      <c r="E162" s="90" t="s">
        <v>4315</v>
      </c>
      <c r="F162" s="81">
        <v>18</v>
      </c>
      <c r="G162" s="87" t="s">
        <v>4316</v>
      </c>
      <c r="H162" s="79"/>
      <c r="I162" s="71"/>
      <c r="J162" s="70">
        <f>IFERROR(VLOOKUP(Devis[[#This Row],[Ref Air Flux]],#REF!,3,FALSE),0)</f>
        <v>0</v>
      </c>
      <c r="K162" s="68"/>
      <c r="L162" s="68"/>
      <c r="M162" s="68"/>
      <c r="N162" s="68"/>
      <c r="O162" s="68"/>
      <c r="P162" s="68"/>
      <c r="Q162" s="68">
        <f>SUM(Devis[[#This Row],[Poste 1]:[Poste 6]])</f>
        <v>0</v>
      </c>
      <c r="R162" s="71"/>
      <c r="S162" s="68">
        <f>_xlfn.CEILING.MATH(Devis[[#This Row],[Quantité Totale]],Devis[[#This Row],[Conditionnement]])</f>
        <v>0</v>
      </c>
      <c r="T162" s="72"/>
      <c r="U162" s="73"/>
      <c r="V162" s="74">
        <f>Devis[[#This Row],[Prix de Revient]]*Devis[[#This Row],[Poste 1]]</f>
        <v>0</v>
      </c>
      <c r="W162" s="74">
        <f>Devis[[#This Row],[Prix de Revient]]*Devis[[#This Row],[Poste 2]]</f>
        <v>0</v>
      </c>
      <c r="X162" s="74">
        <f>Devis[[#This Row],[Prix de Revient]]*Devis[[#This Row],[Poste 3]]</f>
        <v>0</v>
      </c>
      <c r="Y162" s="74">
        <f>Devis[[#This Row],[Poste 4]]*Devis[[#This Row],[Prix de Revient]]</f>
        <v>0</v>
      </c>
      <c r="Z162" s="74">
        <f>Devis[[#This Row],[Poste 5]]*Devis[[#This Row],[Prix de Revient]]</f>
        <v>0</v>
      </c>
      <c r="AA162" s="74">
        <f>Devis[[#This Row],[Prix de Revient]]*Devis[[#This Row],[Poste 6]]</f>
        <v>0</v>
      </c>
      <c r="AB162" s="74">
        <f>Devis[[#This Row],[Quantité Totale]]*Devis[[#This Row],[Prix de Revient]]</f>
        <v>0</v>
      </c>
    </row>
    <row r="163" spans="1:28" ht="15" customHeight="1" outlineLevel="1" x14ac:dyDescent="0.2">
      <c r="A163" s="75" t="s">
        <v>68</v>
      </c>
      <c r="B163" s="88" t="s">
        <v>4317</v>
      </c>
      <c r="C163" s="76"/>
      <c r="D163" s="81" t="str">
        <f t="shared" si="2"/>
        <v>App ElectriqueDISJONCTEUR MODULAIRE TRIPHASE COURBE C</v>
      </c>
      <c r="E163" s="76"/>
      <c r="F163" s="81">
        <v>19</v>
      </c>
      <c r="G163" s="82"/>
      <c r="H163" s="79"/>
      <c r="I163" s="71"/>
      <c r="J163" s="70">
        <f>IFERROR(VLOOKUP(Devis[[#This Row],[Ref Air Flux]],#REF!,3,FALSE),0)</f>
        <v>0</v>
      </c>
      <c r="K163" s="68"/>
      <c r="L163" s="68"/>
      <c r="M163" s="68"/>
      <c r="N163" s="68"/>
      <c r="O163" s="68"/>
      <c r="P163" s="68"/>
      <c r="Q163" s="68">
        <f>SUM(Devis[[#This Row],[Poste 1]:[Poste 6]])</f>
        <v>0</v>
      </c>
      <c r="R163" s="71"/>
      <c r="S163" s="68">
        <f>_xlfn.CEILING.MATH(Devis[[#This Row],[Quantité Totale]],Devis[[#This Row],[Conditionnement]])</f>
        <v>0</v>
      </c>
      <c r="T163" s="72"/>
      <c r="U163" s="73"/>
      <c r="V163" s="74">
        <f>Devis[[#This Row],[Prix de Revient]]*Devis[[#This Row],[Poste 1]]</f>
        <v>0</v>
      </c>
      <c r="W163" s="74">
        <f>Devis[[#This Row],[Prix de Revient]]*Devis[[#This Row],[Poste 2]]</f>
        <v>0</v>
      </c>
      <c r="X163" s="74">
        <f>Devis[[#This Row],[Prix de Revient]]*Devis[[#This Row],[Poste 3]]</f>
        <v>0</v>
      </c>
      <c r="Y163" s="74">
        <f>Devis[[#This Row],[Poste 4]]*Devis[[#This Row],[Prix de Revient]]</f>
        <v>0</v>
      </c>
      <c r="Z163" s="74">
        <f>Devis[[#This Row],[Poste 5]]*Devis[[#This Row],[Prix de Revient]]</f>
        <v>0</v>
      </c>
      <c r="AA163" s="74">
        <f>Devis[[#This Row],[Prix de Revient]]*Devis[[#This Row],[Poste 6]]</f>
        <v>0</v>
      </c>
      <c r="AB163" s="74">
        <f>Devis[[#This Row],[Quantité Totale]]*Devis[[#This Row],[Prix de Revient]]</f>
        <v>0</v>
      </c>
    </row>
    <row r="164" spans="1:28" ht="14.25" customHeight="1" x14ac:dyDescent="0.25">
      <c r="A164" s="65" t="s">
        <v>68</v>
      </c>
      <c r="B164" s="65" t="s">
        <v>4276</v>
      </c>
      <c r="C164" s="76"/>
      <c r="D164" s="81" t="str">
        <f t="shared" si="2"/>
        <v>App ElectriqueDISJONCTEUR MODULAIRE TRIPHASE COURBE D</v>
      </c>
      <c r="E164" s="76"/>
      <c r="F164" s="81">
        <v>0</v>
      </c>
      <c r="G164" s="82"/>
      <c r="H164" s="76"/>
      <c r="I164" s="71"/>
      <c r="J164" s="70">
        <f>IFERROR(VLOOKUP(Devis[[#This Row],[Ref Air Flux]],#REF!,3,FALSE),0)</f>
        <v>0</v>
      </c>
      <c r="K164" s="68"/>
      <c r="L164" s="68"/>
      <c r="M164" s="68"/>
      <c r="N164" s="68"/>
      <c r="O164" s="68"/>
      <c r="P164" s="68"/>
      <c r="Q164" s="68">
        <f>SUM(Devis[[#This Row],[Poste 1]:[Poste 6]])</f>
        <v>0</v>
      </c>
      <c r="R164" s="71"/>
      <c r="S164" s="68">
        <f>_xlfn.CEILING.MATH(Devis[[#This Row],[Quantité Totale]],Devis[[#This Row],[Conditionnement]])</f>
        <v>0</v>
      </c>
      <c r="T164" s="72"/>
      <c r="U164" s="73"/>
      <c r="V164" s="74">
        <f>Devis[[#This Row],[Prix de Revient]]*Devis[[#This Row],[Poste 1]]</f>
        <v>0</v>
      </c>
      <c r="W164" s="74">
        <f>Devis[[#This Row],[Prix de Revient]]*Devis[[#This Row],[Poste 2]]</f>
        <v>0</v>
      </c>
      <c r="X164" s="74">
        <f>Devis[[#This Row],[Prix de Revient]]*Devis[[#This Row],[Poste 3]]</f>
        <v>0</v>
      </c>
      <c r="Y164" s="74">
        <f>Devis[[#This Row],[Poste 4]]*Devis[[#This Row],[Prix de Revient]]</f>
        <v>0</v>
      </c>
      <c r="Z164" s="74">
        <f>Devis[[#This Row],[Poste 5]]*Devis[[#This Row],[Prix de Revient]]</f>
        <v>0</v>
      </c>
      <c r="AA164" s="74">
        <f>Devis[[#This Row],[Prix de Revient]]*Devis[[#This Row],[Poste 6]]</f>
        <v>0</v>
      </c>
      <c r="AB164" s="74">
        <f>Devis[[#This Row],[Quantité Totale]]*Devis[[#This Row],[Prix de Revient]]</f>
        <v>0</v>
      </c>
    </row>
    <row r="165" spans="1:28" ht="14.25" outlineLevel="1" x14ac:dyDescent="0.2">
      <c r="A165" s="75" t="s">
        <v>68</v>
      </c>
      <c r="B165" s="76" t="s">
        <v>4276</v>
      </c>
      <c r="C165" s="76" t="s">
        <v>82</v>
      </c>
      <c r="D165" s="81" t="str">
        <f t="shared" si="2"/>
        <v>App ElectriqueDISJONCTEUR MODULAIRE TRIPHASE COURBE DDisj. modulaire  IC60N tri. D Schneider</v>
      </c>
      <c r="E165" s="76" t="s">
        <v>74</v>
      </c>
      <c r="F165" s="81">
        <v>1</v>
      </c>
      <c r="G165" s="82" t="s">
        <v>83</v>
      </c>
      <c r="H165" s="76" t="s">
        <v>3524</v>
      </c>
      <c r="I165" s="71"/>
      <c r="J165" s="70">
        <f>IFERROR(VLOOKUP(Devis[[#This Row],[Ref Air Flux]],#REF!,3,FALSE),0)</f>
        <v>0</v>
      </c>
      <c r="K165" s="68"/>
      <c r="L165" s="68"/>
      <c r="M165" s="68"/>
      <c r="N165" s="68"/>
      <c r="O165" s="68"/>
      <c r="P165" s="68"/>
      <c r="Q165" s="68">
        <f>SUM(Devis[[#This Row],[Poste 1]:[Poste 6]])</f>
        <v>0</v>
      </c>
      <c r="R165" s="71"/>
      <c r="S165" s="68">
        <f>_xlfn.CEILING.MATH(Devis[[#This Row],[Quantité Totale]],Devis[[#This Row],[Conditionnement]])</f>
        <v>0</v>
      </c>
      <c r="T165" s="72"/>
      <c r="U165" s="74"/>
      <c r="V165" s="74">
        <f>Devis[[#This Row],[Prix de Revient]]*Devis[[#This Row],[Poste 1]]</f>
        <v>0</v>
      </c>
      <c r="W165" s="74">
        <f>Devis[[#This Row],[Prix de Revient]]*Devis[[#This Row],[Poste 2]]</f>
        <v>0</v>
      </c>
      <c r="X165" s="74">
        <f>Devis[[#This Row],[Prix de Revient]]*Devis[[#This Row],[Poste 3]]</f>
        <v>0</v>
      </c>
      <c r="Y165" s="74">
        <f>Devis[[#This Row],[Poste 4]]*Devis[[#This Row],[Prix de Revient]]</f>
        <v>0</v>
      </c>
      <c r="Z165" s="74">
        <f>Devis[[#This Row],[Poste 5]]*Devis[[#This Row],[Prix de Revient]]</f>
        <v>0</v>
      </c>
      <c r="AA165" s="74">
        <f>Devis[[#This Row],[Prix de Revient]]*Devis[[#This Row],[Poste 6]]</f>
        <v>0</v>
      </c>
      <c r="AB165" s="74">
        <f>Devis[[#This Row],[Quantité Totale]]*Devis[[#This Row],[Prix de Revient]]</f>
        <v>0</v>
      </c>
    </row>
    <row r="166" spans="1:28" ht="14.25" customHeight="1" outlineLevel="1" x14ac:dyDescent="0.2">
      <c r="A166" s="75" t="s">
        <v>68</v>
      </c>
      <c r="B166" s="76" t="s">
        <v>4276</v>
      </c>
      <c r="C166" s="76" t="s">
        <v>82</v>
      </c>
      <c r="D166" s="81" t="str">
        <f t="shared" si="2"/>
        <v>App ElectriqueDISJONCTEUR MODULAIRE TRIPHASE COURBE DDisj. modulaire  IC60N tri. D Schneider</v>
      </c>
      <c r="E166" s="90" t="s">
        <v>84</v>
      </c>
      <c r="F166" s="81">
        <v>2</v>
      </c>
      <c r="G166" s="82" t="s">
        <v>85</v>
      </c>
      <c r="H166" s="76" t="s">
        <v>3524</v>
      </c>
      <c r="I166" s="71"/>
      <c r="J166" s="70">
        <f>IFERROR(VLOOKUP(Devis[[#This Row],[Ref Air Flux]],#REF!,3,FALSE),0)</f>
        <v>0</v>
      </c>
      <c r="K166" s="68"/>
      <c r="L166" s="68"/>
      <c r="M166" s="68"/>
      <c r="N166" s="68"/>
      <c r="O166" s="68"/>
      <c r="P166" s="68"/>
      <c r="Q166" s="68">
        <f>SUM(Devis[[#This Row],[Poste 1]:[Poste 6]])</f>
        <v>0</v>
      </c>
      <c r="R166" s="71"/>
      <c r="S166" s="68">
        <f>_xlfn.CEILING.MATH(Devis[[#This Row],[Quantité Totale]],Devis[[#This Row],[Conditionnement]])</f>
        <v>0</v>
      </c>
      <c r="T166" s="72"/>
      <c r="U166" s="74"/>
      <c r="V166" s="74">
        <f>Devis[[#This Row],[Prix de Revient]]*Devis[[#This Row],[Poste 1]]</f>
        <v>0</v>
      </c>
      <c r="W166" s="74">
        <f>Devis[[#This Row],[Prix de Revient]]*Devis[[#This Row],[Poste 2]]</f>
        <v>0</v>
      </c>
      <c r="X166" s="74">
        <f>Devis[[#This Row],[Prix de Revient]]*Devis[[#This Row],[Poste 3]]</f>
        <v>0</v>
      </c>
      <c r="Y166" s="74">
        <f>Devis[[#This Row],[Poste 4]]*Devis[[#This Row],[Prix de Revient]]</f>
        <v>0</v>
      </c>
      <c r="Z166" s="74">
        <f>Devis[[#This Row],[Poste 5]]*Devis[[#This Row],[Prix de Revient]]</f>
        <v>0</v>
      </c>
      <c r="AA166" s="74">
        <f>Devis[[#This Row],[Prix de Revient]]*Devis[[#This Row],[Poste 6]]</f>
        <v>0</v>
      </c>
      <c r="AB166" s="74">
        <f>Devis[[#This Row],[Quantité Totale]]*Devis[[#This Row],[Prix de Revient]]</f>
        <v>0</v>
      </c>
    </row>
    <row r="167" spans="1:28" ht="14.25" outlineLevel="1" x14ac:dyDescent="0.2">
      <c r="A167" s="75" t="s">
        <v>68</v>
      </c>
      <c r="B167" s="76" t="s">
        <v>4276</v>
      </c>
      <c r="C167" s="76" t="s">
        <v>82</v>
      </c>
      <c r="D167" s="81" t="str">
        <f t="shared" si="2"/>
        <v>App ElectriqueDISJONCTEUR MODULAIRE TRIPHASE COURBE DDisj. modulaire  IC60N tri. D Schneider</v>
      </c>
      <c r="E167" s="76" t="s">
        <v>75</v>
      </c>
      <c r="F167" s="81">
        <v>3</v>
      </c>
      <c r="G167" s="82" t="s">
        <v>86</v>
      </c>
      <c r="H167" s="76" t="s">
        <v>3524</v>
      </c>
      <c r="I167" s="71"/>
      <c r="J167" s="70">
        <f>IFERROR(VLOOKUP(Devis[[#This Row],[Ref Air Flux]],#REF!,3,FALSE),0)</f>
        <v>0</v>
      </c>
      <c r="K167" s="68"/>
      <c r="L167" s="68"/>
      <c r="M167" s="68"/>
      <c r="N167" s="68"/>
      <c r="O167" s="68"/>
      <c r="P167" s="68"/>
      <c r="Q167" s="68">
        <f>SUM(Devis[[#This Row],[Poste 1]:[Poste 6]])</f>
        <v>0</v>
      </c>
      <c r="R167" s="71"/>
      <c r="S167" s="68">
        <f>_xlfn.CEILING.MATH(Devis[[#This Row],[Quantité Totale]],Devis[[#This Row],[Conditionnement]])</f>
        <v>0</v>
      </c>
      <c r="T167" s="72"/>
      <c r="U167" s="74"/>
      <c r="V167" s="74">
        <f>Devis[[#This Row],[Prix de Revient]]*Devis[[#This Row],[Poste 1]]</f>
        <v>0</v>
      </c>
      <c r="W167" s="74">
        <f>Devis[[#This Row],[Prix de Revient]]*Devis[[#This Row],[Poste 2]]</f>
        <v>0</v>
      </c>
      <c r="X167" s="74">
        <f>Devis[[#This Row],[Prix de Revient]]*Devis[[#This Row],[Poste 3]]</f>
        <v>0</v>
      </c>
      <c r="Y167" s="74">
        <f>Devis[[#This Row],[Poste 4]]*Devis[[#This Row],[Prix de Revient]]</f>
        <v>0</v>
      </c>
      <c r="Z167" s="74">
        <f>Devis[[#This Row],[Poste 5]]*Devis[[#This Row],[Prix de Revient]]</f>
        <v>0</v>
      </c>
      <c r="AA167" s="74">
        <f>Devis[[#This Row],[Prix de Revient]]*Devis[[#This Row],[Poste 6]]</f>
        <v>0</v>
      </c>
      <c r="AB167" s="74">
        <f>Devis[[#This Row],[Quantité Totale]]*Devis[[#This Row],[Prix de Revient]]</f>
        <v>0</v>
      </c>
    </row>
    <row r="168" spans="1:28" ht="14.25" outlineLevel="1" x14ac:dyDescent="0.2">
      <c r="A168" s="75" t="s">
        <v>68</v>
      </c>
      <c r="B168" s="76" t="s">
        <v>4276</v>
      </c>
      <c r="C168" s="76" t="s">
        <v>82</v>
      </c>
      <c r="D168" s="81" t="str">
        <f t="shared" si="2"/>
        <v>App ElectriqueDISJONCTEUR MODULAIRE TRIPHASE COURBE DDisj. modulaire  IC60N tri. D Schneider</v>
      </c>
      <c r="E168" s="76" t="s">
        <v>76</v>
      </c>
      <c r="F168" s="81">
        <v>4</v>
      </c>
      <c r="G168" s="82" t="s">
        <v>87</v>
      </c>
      <c r="H168" s="76" t="s">
        <v>3524</v>
      </c>
      <c r="I168" s="71"/>
      <c r="J168" s="70">
        <f>IFERROR(VLOOKUP(Devis[[#This Row],[Ref Air Flux]],#REF!,3,FALSE),0)</f>
        <v>0</v>
      </c>
      <c r="K168" s="68"/>
      <c r="L168" s="68"/>
      <c r="M168" s="68"/>
      <c r="N168" s="68"/>
      <c r="O168" s="68"/>
      <c r="P168" s="68"/>
      <c r="Q168" s="68">
        <f>SUM(Devis[[#This Row],[Poste 1]:[Poste 6]])</f>
        <v>0</v>
      </c>
      <c r="R168" s="71"/>
      <c r="S168" s="68">
        <f>_xlfn.CEILING.MATH(Devis[[#This Row],[Quantité Totale]],Devis[[#This Row],[Conditionnement]])</f>
        <v>0</v>
      </c>
      <c r="T168" s="72"/>
      <c r="U168" s="74"/>
      <c r="V168" s="74">
        <f>Devis[[#This Row],[Prix de Revient]]*Devis[[#This Row],[Poste 1]]</f>
        <v>0</v>
      </c>
      <c r="W168" s="74">
        <f>Devis[[#This Row],[Prix de Revient]]*Devis[[#This Row],[Poste 2]]</f>
        <v>0</v>
      </c>
      <c r="X168" s="74">
        <f>Devis[[#This Row],[Prix de Revient]]*Devis[[#This Row],[Poste 3]]</f>
        <v>0</v>
      </c>
      <c r="Y168" s="74">
        <f>Devis[[#This Row],[Poste 4]]*Devis[[#This Row],[Prix de Revient]]</f>
        <v>0</v>
      </c>
      <c r="Z168" s="74">
        <f>Devis[[#This Row],[Poste 5]]*Devis[[#This Row],[Prix de Revient]]</f>
        <v>0</v>
      </c>
      <c r="AA168" s="74">
        <f>Devis[[#This Row],[Prix de Revient]]*Devis[[#This Row],[Poste 6]]</f>
        <v>0</v>
      </c>
      <c r="AB168" s="74">
        <f>Devis[[#This Row],[Quantité Totale]]*Devis[[#This Row],[Prix de Revient]]</f>
        <v>0</v>
      </c>
    </row>
    <row r="169" spans="1:28" ht="14.25" outlineLevel="1" x14ac:dyDescent="0.2">
      <c r="A169" s="75" t="s">
        <v>68</v>
      </c>
      <c r="B169" s="76" t="s">
        <v>4276</v>
      </c>
      <c r="C169" s="76" t="s">
        <v>82</v>
      </c>
      <c r="D169" s="81" t="str">
        <f t="shared" si="2"/>
        <v>App ElectriqueDISJONCTEUR MODULAIRE TRIPHASE COURBE DDisj. modulaire  IC60N tri. D Schneider</v>
      </c>
      <c r="E169" s="76" t="s">
        <v>79</v>
      </c>
      <c r="F169" s="81">
        <v>5</v>
      </c>
      <c r="G169" s="82" t="s">
        <v>88</v>
      </c>
      <c r="H169" s="76" t="s">
        <v>3524</v>
      </c>
      <c r="I169" s="71"/>
      <c r="J169" s="70">
        <f>IFERROR(VLOOKUP(Devis[[#This Row],[Ref Air Flux]],#REF!,3,FALSE),0)</f>
        <v>0</v>
      </c>
      <c r="K169" s="68"/>
      <c r="L169" s="68"/>
      <c r="M169" s="68"/>
      <c r="N169" s="68"/>
      <c r="O169" s="68"/>
      <c r="P169" s="68"/>
      <c r="Q169" s="68">
        <f>SUM(Devis[[#This Row],[Poste 1]:[Poste 6]])</f>
        <v>0</v>
      </c>
      <c r="R169" s="71"/>
      <c r="S169" s="68">
        <f>_xlfn.CEILING.MATH(Devis[[#This Row],[Quantité Totale]],Devis[[#This Row],[Conditionnement]])</f>
        <v>0</v>
      </c>
      <c r="T169" s="72"/>
      <c r="U169" s="74"/>
      <c r="V169" s="74">
        <f>Devis[[#This Row],[Prix de Revient]]*Devis[[#This Row],[Poste 1]]</f>
        <v>0</v>
      </c>
      <c r="W169" s="74">
        <f>Devis[[#This Row],[Prix de Revient]]*Devis[[#This Row],[Poste 2]]</f>
        <v>0</v>
      </c>
      <c r="X169" s="74">
        <f>Devis[[#This Row],[Prix de Revient]]*Devis[[#This Row],[Poste 3]]</f>
        <v>0</v>
      </c>
      <c r="Y169" s="74">
        <f>Devis[[#This Row],[Poste 4]]*Devis[[#This Row],[Prix de Revient]]</f>
        <v>0</v>
      </c>
      <c r="Z169" s="74">
        <f>Devis[[#This Row],[Poste 5]]*Devis[[#This Row],[Prix de Revient]]</f>
        <v>0</v>
      </c>
      <c r="AA169" s="74">
        <f>Devis[[#This Row],[Prix de Revient]]*Devis[[#This Row],[Poste 6]]</f>
        <v>0</v>
      </c>
      <c r="AB169" s="74">
        <f>Devis[[#This Row],[Quantité Totale]]*Devis[[#This Row],[Prix de Revient]]</f>
        <v>0</v>
      </c>
    </row>
    <row r="170" spans="1:28" ht="14.25" outlineLevel="1" x14ac:dyDescent="0.2">
      <c r="A170" s="75" t="s">
        <v>68</v>
      </c>
      <c r="B170" s="76" t="s">
        <v>4276</v>
      </c>
      <c r="C170" s="76" t="s">
        <v>82</v>
      </c>
      <c r="D170" s="81" t="str">
        <f t="shared" ref="D170:D195" si="3">A170&amp;B170&amp;C170</f>
        <v>App ElectriqueDISJONCTEUR MODULAIRE TRIPHASE COURBE DDisj. modulaire  IC60N tri. D Schneider</v>
      </c>
      <c r="E170" s="76" t="s">
        <v>80</v>
      </c>
      <c r="F170" s="81">
        <v>6</v>
      </c>
      <c r="G170" s="82" t="s">
        <v>89</v>
      </c>
      <c r="H170" s="76" t="s">
        <v>3524</v>
      </c>
      <c r="I170" s="71"/>
      <c r="J170" s="70">
        <f>IFERROR(VLOOKUP(Devis[[#This Row],[Ref Air Flux]],#REF!,3,FALSE),0)</f>
        <v>0</v>
      </c>
      <c r="K170" s="68"/>
      <c r="L170" s="68"/>
      <c r="M170" s="68"/>
      <c r="N170" s="68"/>
      <c r="O170" s="68"/>
      <c r="P170" s="68"/>
      <c r="Q170" s="68">
        <f>SUM(Devis[[#This Row],[Poste 1]:[Poste 6]])</f>
        <v>0</v>
      </c>
      <c r="R170" s="71"/>
      <c r="S170" s="68">
        <f>_xlfn.CEILING.MATH(Devis[[#This Row],[Quantité Totale]],Devis[[#This Row],[Conditionnement]])</f>
        <v>0</v>
      </c>
      <c r="T170" s="72"/>
      <c r="U170" s="74"/>
      <c r="V170" s="74">
        <f>Devis[[#This Row],[Prix de Revient]]*Devis[[#This Row],[Poste 1]]</f>
        <v>0</v>
      </c>
      <c r="W170" s="74">
        <f>Devis[[#This Row],[Prix de Revient]]*Devis[[#This Row],[Poste 2]]</f>
        <v>0</v>
      </c>
      <c r="X170" s="74">
        <f>Devis[[#This Row],[Prix de Revient]]*Devis[[#This Row],[Poste 3]]</f>
        <v>0</v>
      </c>
      <c r="Y170" s="74">
        <f>Devis[[#This Row],[Poste 4]]*Devis[[#This Row],[Prix de Revient]]</f>
        <v>0</v>
      </c>
      <c r="Z170" s="74">
        <f>Devis[[#This Row],[Poste 5]]*Devis[[#This Row],[Prix de Revient]]</f>
        <v>0</v>
      </c>
      <c r="AA170" s="74">
        <f>Devis[[#This Row],[Prix de Revient]]*Devis[[#This Row],[Poste 6]]</f>
        <v>0</v>
      </c>
      <c r="AB170" s="74">
        <f>Devis[[#This Row],[Quantité Totale]]*Devis[[#This Row],[Prix de Revient]]</f>
        <v>0</v>
      </c>
    </row>
    <row r="171" spans="1:28" ht="14.25" outlineLevel="1" x14ac:dyDescent="0.2">
      <c r="A171" s="75" t="s">
        <v>68</v>
      </c>
      <c r="B171" s="76" t="s">
        <v>4276</v>
      </c>
      <c r="C171" s="76" t="s">
        <v>82</v>
      </c>
      <c r="D171" s="81" t="str">
        <f t="shared" si="3"/>
        <v>App ElectriqueDISJONCTEUR MODULAIRE TRIPHASE COURBE DDisj. modulaire  IC60N tri. D Schneider</v>
      </c>
      <c r="E171" s="76" t="s">
        <v>81</v>
      </c>
      <c r="F171" s="81">
        <v>7</v>
      </c>
      <c r="G171" s="82" t="s">
        <v>4277</v>
      </c>
      <c r="H171" s="76" t="s">
        <v>3524</v>
      </c>
      <c r="I171" s="71"/>
      <c r="J171" s="70">
        <f>IFERROR(VLOOKUP(Devis[[#This Row],[Ref Air Flux]],#REF!,3,FALSE),0)</f>
        <v>0</v>
      </c>
      <c r="K171" s="68"/>
      <c r="L171" s="68"/>
      <c r="M171" s="68"/>
      <c r="N171" s="68"/>
      <c r="O171" s="68"/>
      <c r="P171" s="68"/>
      <c r="Q171" s="68">
        <f>SUM(Devis[[#This Row],[Poste 1]:[Poste 6]])</f>
        <v>0</v>
      </c>
      <c r="R171" s="71"/>
      <c r="S171" s="68">
        <f>_xlfn.CEILING.MATH(Devis[[#This Row],[Quantité Totale]],Devis[[#This Row],[Conditionnement]])</f>
        <v>0</v>
      </c>
      <c r="T171" s="72"/>
      <c r="U171" s="74"/>
      <c r="V171" s="74">
        <f>Devis[[#This Row],[Prix de Revient]]*Devis[[#This Row],[Poste 1]]</f>
        <v>0</v>
      </c>
      <c r="W171" s="74">
        <f>Devis[[#This Row],[Prix de Revient]]*Devis[[#This Row],[Poste 2]]</f>
        <v>0</v>
      </c>
      <c r="X171" s="74">
        <f>Devis[[#This Row],[Prix de Revient]]*Devis[[#This Row],[Poste 3]]</f>
        <v>0</v>
      </c>
      <c r="Y171" s="74">
        <f>Devis[[#This Row],[Poste 4]]*Devis[[#This Row],[Prix de Revient]]</f>
        <v>0</v>
      </c>
      <c r="Z171" s="74">
        <f>Devis[[#This Row],[Poste 5]]*Devis[[#This Row],[Prix de Revient]]</f>
        <v>0</v>
      </c>
      <c r="AA171" s="74">
        <f>Devis[[#This Row],[Prix de Revient]]*Devis[[#This Row],[Poste 6]]</f>
        <v>0</v>
      </c>
      <c r="AB171" s="74">
        <f>Devis[[#This Row],[Quantité Totale]]*Devis[[#This Row],[Prix de Revient]]</f>
        <v>0</v>
      </c>
    </row>
    <row r="172" spans="1:28" ht="14.25" outlineLevel="1" x14ac:dyDescent="0.2">
      <c r="A172" s="75" t="s">
        <v>68</v>
      </c>
      <c r="B172" s="76" t="s">
        <v>4276</v>
      </c>
      <c r="C172" s="76"/>
      <c r="D172" s="81" t="str">
        <f t="shared" si="3"/>
        <v>App ElectriqueDISJONCTEUR MODULAIRE TRIPHASE COURBE D</v>
      </c>
      <c r="E172" s="76"/>
      <c r="F172" s="81">
        <v>8</v>
      </c>
      <c r="G172" s="82"/>
      <c r="H172" s="76"/>
      <c r="I172" s="71"/>
      <c r="J172" s="70">
        <f>IFERROR(VLOOKUP(Devis[[#This Row],[Ref Air Flux]],#REF!,3,FALSE),0)</f>
        <v>0</v>
      </c>
      <c r="K172" s="68"/>
      <c r="L172" s="68"/>
      <c r="M172" s="68"/>
      <c r="N172" s="68"/>
      <c r="O172" s="68"/>
      <c r="P172" s="68"/>
      <c r="Q172" s="68">
        <f>SUM(Devis[[#This Row],[Poste 1]:[Poste 6]])</f>
        <v>0</v>
      </c>
      <c r="R172" s="71"/>
      <c r="S172" s="68">
        <f>_xlfn.CEILING.MATH(Devis[[#This Row],[Quantité Totale]],Devis[[#This Row],[Conditionnement]])</f>
        <v>0</v>
      </c>
      <c r="T172" s="72"/>
      <c r="U172" s="73"/>
      <c r="V172" s="74">
        <f>Devis[[#This Row],[Prix de Revient]]*Devis[[#This Row],[Poste 1]]</f>
        <v>0</v>
      </c>
      <c r="W172" s="74">
        <f>Devis[[#This Row],[Prix de Revient]]*Devis[[#This Row],[Poste 2]]</f>
        <v>0</v>
      </c>
      <c r="X172" s="74">
        <f>Devis[[#This Row],[Prix de Revient]]*Devis[[#This Row],[Poste 3]]</f>
        <v>0</v>
      </c>
      <c r="Y172" s="74">
        <f>Devis[[#This Row],[Poste 4]]*Devis[[#This Row],[Prix de Revient]]</f>
        <v>0</v>
      </c>
      <c r="Z172" s="74">
        <f>Devis[[#This Row],[Poste 5]]*Devis[[#This Row],[Prix de Revient]]</f>
        <v>0</v>
      </c>
      <c r="AA172" s="74">
        <f>Devis[[#This Row],[Prix de Revient]]*Devis[[#This Row],[Poste 6]]</f>
        <v>0</v>
      </c>
      <c r="AB172" s="74">
        <f>Devis[[#This Row],[Quantité Totale]]*Devis[[#This Row],[Prix de Revient]]</f>
        <v>0</v>
      </c>
    </row>
    <row r="173" spans="1:28" ht="14.25" outlineLevel="1" x14ac:dyDescent="0.2">
      <c r="A173" s="75" t="s">
        <v>68</v>
      </c>
      <c r="B173" s="76" t="s">
        <v>4276</v>
      </c>
      <c r="C173" s="76" t="s">
        <v>4278</v>
      </c>
      <c r="D173" s="81" t="str">
        <f t="shared" si="3"/>
        <v>App ElectriqueDISJONCTEUR MODULAIRE TRIPHASE COURBE DDisjoncteur Modulaire 3P Courbe D_4,5KA/6KA _6A</v>
      </c>
      <c r="E173" s="76" t="s">
        <v>4278</v>
      </c>
      <c r="F173" s="81">
        <v>9</v>
      </c>
      <c r="G173" s="82" t="s">
        <v>4279</v>
      </c>
      <c r="H173" s="76" t="s">
        <v>3524</v>
      </c>
      <c r="I173" s="71"/>
      <c r="J173" s="70">
        <f>IFERROR(VLOOKUP(Devis[[#This Row],[Ref Air Flux]],#REF!,3,FALSE),0)</f>
        <v>0</v>
      </c>
      <c r="K173" s="68"/>
      <c r="L173" s="68"/>
      <c r="M173" s="68"/>
      <c r="N173" s="68"/>
      <c r="O173" s="68"/>
      <c r="P173" s="68"/>
      <c r="Q173" s="68">
        <f>SUM(Devis[[#This Row],[Poste 1]:[Poste 6]])</f>
        <v>0</v>
      </c>
      <c r="R173" s="71"/>
      <c r="S173" s="68">
        <f>_xlfn.CEILING.MATH(Devis[[#This Row],[Quantité Totale]],Devis[[#This Row],[Conditionnement]])</f>
        <v>0</v>
      </c>
      <c r="T173" s="72"/>
      <c r="U173" s="73"/>
      <c r="V173" s="74">
        <f>Devis[[#This Row],[Prix de Revient]]*Devis[[#This Row],[Poste 1]]</f>
        <v>0</v>
      </c>
      <c r="W173" s="74">
        <f>Devis[[#This Row],[Prix de Revient]]*Devis[[#This Row],[Poste 2]]</f>
        <v>0</v>
      </c>
      <c r="X173" s="74">
        <f>Devis[[#This Row],[Prix de Revient]]*Devis[[#This Row],[Poste 3]]</f>
        <v>0</v>
      </c>
      <c r="Y173" s="74">
        <f>Devis[[#This Row],[Poste 4]]*Devis[[#This Row],[Prix de Revient]]</f>
        <v>0</v>
      </c>
      <c r="Z173" s="74">
        <f>Devis[[#This Row],[Poste 5]]*Devis[[#This Row],[Prix de Revient]]</f>
        <v>0</v>
      </c>
      <c r="AA173" s="74">
        <f>Devis[[#This Row],[Prix de Revient]]*Devis[[#This Row],[Poste 6]]</f>
        <v>0</v>
      </c>
      <c r="AB173" s="74">
        <f>Devis[[#This Row],[Quantité Totale]]*Devis[[#This Row],[Prix de Revient]]</f>
        <v>0</v>
      </c>
    </row>
    <row r="174" spans="1:28" ht="14.25" outlineLevel="1" x14ac:dyDescent="0.2">
      <c r="A174" s="75" t="s">
        <v>68</v>
      </c>
      <c r="B174" s="76" t="s">
        <v>4276</v>
      </c>
      <c r="C174" s="76" t="s">
        <v>4280</v>
      </c>
      <c r="D174" s="81" t="str">
        <f t="shared" si="3"/>
        <v>App ElectriqueDISJONCTEUR MODULAIRE TRIPHASE COURBE DDisjoncteur Modulaire 3P Courbe D_4,5KA/6KA _10A</v>
      </c>
      <c r="E174" s="76" t="s">
        <v>4280</v>
      </c>
      <c r="F174" s="81">
        <v>10</v>
      </c>
      <c r="G174" s="82" t="s">
        <v>4281</v>
      </c>
      <c r="H174" s="76" t="s">
        <v>3524</v>
      </c>
      <c r="I174" s="71"/>
      <c r="J174" s="70">
        <f>IFERROR(VLOOKUP(Devis[[#This Row],[Ref Air Flux]],#REF!,3,FALSE),0)</f>
        <v>0</v>
      </c>
      <c r="K174" s="68"/>
      <c r="L174" s="68"/>
      <c r="M174" s="68"/>
      <c r="N174" s="68"/>
      <c r="O174" s="68"/>
      <c r="P174" s="68"/>
      <c r="Q174" s="68">
        <f>SUM(Devis[[#This Row],[Poste 1]:[Poste 6]])</f>
        <v>0</v>
      </c>
      <c r="R174" s="71"/>
      <c r="S174" s="68">
        <f>_xlfn.CEILING.MATH(Devis[[#This Row],[Quantité Totale]],Devis[[#This Row],[Conditionnement]])</f>
        <v>0</v>
      </c>
      <c r="T174" s="72"/>
      <c r="U174" s="73"/>
      <c r="V174" s="74">
        <f>Devis[[#This Row],[Prix de Revient]]*Devis[[#This Row],[Poste 1]]</f>
        <v>0</v>
      </c>
      <c r="W174" s="74">
        <f>Devis[[#This Row],[Prix de Revient]]*Devis[[#This Row],[Poste 2]]</f>
        <v>0</v>
      </c>
      <c r="X174" s="74">
        <f>Devis[[#This Row],[Prix de Revient]]*Devis[[#This Row],[Poste 3]]</f>
        <v>0</v>
      </c>
      <c r="Y174" s="74">
        <f>Devis[[#This Row],[Poste 4]]*Devis[[#This Row],[Prix de Revient]]</f>
        <v>0</v>
      </c>
      <c r="Z174" s="74">
        <f>Devis[[#This Row],[Poste 5]]*Devis[[#This Row],[Prix de Revient]]</f>
        <v>0</v>
      </c>
      <c r="AA174" s="74">
        <f>Devis[[#This Row],[Prix de Revient]]*Devis[[#This Row],[Poste 6]]</f>
        <v>0</v>
      </c>
      <c r="AB174" s="74">
        <f>Devis[[#This Row],[Quantité Totale]]*Devis[[#This Row],[Prix de Revient]]</f>
        <v>0</v>
      </c>
    </row>
    <row r="175" spans="1:28" ht="15" customHeight="1" outlineLevel="1" x14ac:dyDescent="0.2">
      <c r="A175" s="75" t="s">
        <v>68</v>
      </c>
      <c r="B175" s="76" t="s">
        <v>4276</v>
      </c>
      <c r="C175" s="76" t="s">
        <v>4282</v>
      </c>
      <c r="D175" s="81" t="str">
        <f t="shared" si="3"/>
        <v>App ElectriqueDISJONCTEUR MODULAIRE TRIPHASE COURBE DDisjoncteur Modulaire 3P Courbe D_4,5KA/6KA _16A</v>
      </c>
      <c r="E175" s="76" t="s">
        <v>4282</v>
      </c>
      <c r="F175" s="81">
        <v>11</v>
      </c>
      <c r="G175" s="82" t="s">
        <v>4283</v>
      </c>
      <c r="H175" s="76" t="s">
        <v>3524</v>
      </c>
      <c r="I175" s="71"/>
      <c r="J175" s="70">
        <f>IFERROR(VLOOKUP(Devis[[#This Row],[Ref Air Flux]],#REF!,3,FALSE),0)</f>
        <v>0</v>
      </c>
      <c r="K175" s="68"/>
      <c r="L175" s="68"/>
      <c r="M175" s="68"/>
      <c r="N175" s="68"/>
      <c r="O175" s="68"/>
      <c r="P175" s="68"/>
      <c r="Q175" s="68">
        <f>SUM(Devis[[#This Row],[Poste 1]:[Poste 6]])</f>
        <v>0</v>
      </c>
      <c r="R175" s="71"/>
      <c r="S175" s="68">
        <f>_xlfn.CEILING.MATH(Devis[[#This Row],[Quantité Totale]],Devis[[#This Row],[Conditionnement]])</f>
        <v>0</v>
      </c>
      <c r="T175" s="72"/>
      <c r="U175" s="73"/>
      <c r="V175" s="74">
        <f>Devis[[#This Row],[Prix de Revient]]*Devis[[#This Row],[Poste 1]]</f>
        <v>0</v>
      </c>
      <c r="W175" s="74">
        <f>Devis[[#This Row],[Prix de Revient]]*Devis[[#This Row],[Poste 2]]</f>
        <v>0</v>
      </c>
      <c r="X175" s="74">
        <f>Devis[[#This Row],[Prix de Revient]]*Devis[[#This Row],[Poste 3]]</f>
        <v>0</v>
      </c>
      <c r="Y175" s="74">
        <f>Devis[[#This Row],[Poste 4]]*Devis[[#This Row],[Prix de Revient]]</f>
        <v>0</v>
      </c>
      <c r="Z175" s="74">
        <f>Devis[[#This Row],[Poste 5]]*Devis[[#This Row],[Prix de Revient]]</f>
        <v>0</v>
      </c>
      <c r="AA175" s="74">
        <f>Devis[[#This Row],[Prix de Revient]]*Devis[[#This Row],[Poste 6]]</f>
        <v>0</v>
      </c>
      <c r="AB175" s="74">
        <f>Devis[[#This Row],[Quantité Totale]]*Devis[[#This Row],[Prix de Revient]]</f>
        <v>0</v>
      </c>
    </row>
    <row r="176" spans="1:28" ht="14.25" outlineLevel="1" x14ac:dyDescent="0.2">
      <c r="A176" s="75" t="s">
        <v>68</v>
      </c>
      <c r="B176" s="76" t="s">
        <v>4276</v>
      </c>
      <c r="C176" s="76" t="s">
        <v>4284</v>
      </c>
      <c r="D176" s="81" t="str">
        <f t="shared" si="3"/>
        <v>App ElectriqueDISJONCTEUR MODULAIRE TRIPHASE COURBE DDisjoncteur Modulaire 3P Courbe D_4,5KA/6KA _20A</v>
      </c>
      <c r="E176" s="76" t="s">
        <v>4284</v>
      </c>
      <c r="F176" s="81">
        <v>12</v>
      </c>
      <c r="G176" s="82" t="s">
        <v>4285</v>
      </c>
      <c r="H176" s="76" t="s">
        <v>3524</v>
      </c>
      <c r="I176" s="71"/>
      <c r="J176" s="70">
        <f>IFERROR(VLOOKUP(Devis[[#This Row],[Ref Air Flux]],#REF!,3,FALSE),0)</f>
        <v>0</v>
      </c>
      <c r="K176" s="68"/>
      <c r="L176" s="68"/>
      <c r="M176" s="68"/>
      <c r="N176" s="68"/>
      <c r="O176" s="68"/>
      <c r="P176" s="68"/>
      <c r="Q176" s="68">
        <f>SUM(Devis[[#This Row],[Poste 1]:[Poste 6]])</f>
        <v>0</v>
      </c>
      <c r="R176" s="71"/>
      <c r="S176" s="68">
        <f>_xlfn.CEILING.MATH(Devis[[#This Row],[Quantité Totale]],Devis[[#This Row],[Conditionnement]])</f>
        <v>0</v>
      </c>
      <c r="T176" s="72"/>
      <c r="U176" s="73"/>
      <c r="V176" s="74">
        <f>Devis[[#This Row],[Prix de Revient]]*Devis[[#This Row],[Poste 1]]</f>
        <v>0</v>
      </c>
      <c r="W176" s="74">
        <f>Devis[[#This Row],[Prix de Revient]]*Devis[[#This Row],[Poste 2]]</f>
        <v>0</v>
      </c>
      <c r="X176" s="74">
        <f>Devis[[#This Row],[Prix de Revient]]*Devis[[#This Row],[Poste 3]]</f>
        <v>0</v>
      </c>
      <c r="Y176" s="74">
        <f>Devis[[#This Row],[Poste 4]]*Devis[[#This Row],[Prix de Revient]]</f>
        <v>0</v>
      </c>
      <c r="Z176" s="74">
        <f>Devis[[#This Row],[Poste 5]]*Devis[[#This Row],[Prix de Revient]]</f>
        <v>0</v>
      </c>
      <c r="AA176" s="74">
        <f>Devis[[#This Row],[Prix de Revient]]*Devis[[#This Row],[Poste 6]]</f>
        <v>0</v>
      </c>
      <c r="AB176" s="74">
        <f>Devis[[#This Row],[Quantité Totale]]*Devis[[#This Row],[Prix de Revient]]</f>
        <v>0</v>
      </c>
    </row>
    <row r="177" spans="1:28" ht="14.25" customHeight="1" outlineLevel="1" x14ac:dyDescent="0.2">
      <c r="A177" s="75" t="s">
        <v>68</v>
      </c>
      <c r="B177" s="76" t="s">
        <v>4276</v>
      </c>
      <c r="C177" s="76" t="s">
        <v>4286</v>
      </c>
      <c r="D177" s="81" t="str">
        <f t="shared" si="3"/>
        <v>App ElectriqueDISJONCTEUR MODULAIRE TRIPHASE COURBE DDisjoncteur Modulaire 3P Courbe D_4,5KA/6KA _25A</v>
      </c>
      <c r="E177" s="76" t="s">
        <v>4286</v>
      </c>
      <c r="F177" s="81">
        <v>13</v>
      </c>
      <c r="G177" s="82" t="s">
        <v>4287</v>
      </c>
      <c r="H177" s="76" t="s">
        <v>3524</v>
      </c>
      <c r="I177" s="71"/>
      <c r="J177" s="70">
        <f>IFERROR(VLOOKUP(Devis[[#This Row],[Ref Air Flux]],#REF!,3,FALSE),0)</f>
        <v>0</v>
      </c>
      <c r="K177" s="68"/>
      <c r="L177" s="68"/>
      <c r="M177" s="68"/>
      <c r="N177" s="68"/>
      <c r="O177" s="68"/>
      <c r="P177" s="68"/>
      <c r="Q177" s="68">
        <f>SUM(Devis[[#This Row],[Poste 1]:[Poste 6]])</f>
        <v>0</v>
      </c>
      <c r="R177" s="71"/>
      <c r="S177" s="68">
        <f>_xlfn.CEILING.MATH(Devis[[#This Row],[Quantité Totale]],Devis[[#This Row],[Conditionnement]])</f>
        <v>0</v>
      </c>
      <c r="T177" s="72"/>
      <c r="U177" s="73"/>
      <c r="V177" s="74">
        <f>Devis[[#This Row],[Prix de Revient]]*Devis[[#This Row],[Poste 1]]</f>
        <v>0</v>
      </c>
      <c r="W177" s="74">
        <f>Devis[[#This Row],[Prix de Revient]]*Devis[[#This Row],[Poste 2]]</f>
        <v>0</v>
      </c>
      <c r="X177" s="74">
        <f>Devis[[#This Row],[Prix de Revient]]*Devis[[#This Row],[Poste 3]]</f>
        <v>0</v>
      </c>
      <c r="Y177" s="74">
        <f>Devis[[#This Row],[Poste 4]]*Devis[[#This Row],[Prix de Revient]]</f>
        <v>0</v>
      </c>
      <c r="Z177" s="74">
        <f>Devis[[#This Row],[Poste 5]]*Devis[[#This Row],[Prix de Revient]]</f>
        <v>0</v>
      </c>
      <c r="AA177" s="74">
        <f>Devis[[#This Row],[Prix de Revient]]*Devis[[#This Row],[Poste 6]]</f>
        <v>0</v>
      </c>
      <c r="AB177" s="74">
        <f>Devis[[#This Row],[Quantité Totale]]*Devis[[#This Row],[Prix de Revient]]</f>
        <v>0</v>
      </c>
    </row>
    <row r="178" spans="1:28" ht="14.25" outlineLevel="1" x14ac:dyDescent="0.2">
      <c r="A178" s="75" t="s">
        <v>68</v>
      </c>
      <c r="B178" s="76" t="s">
        <v>4276</v>
      </c>
      <c r="C178" s="76" t="s">
        <v>4288</v>
      </c>
      <c r="D178" s="81" t="str">
        <f t="shared" si="3"/>
        <v>App ElectriqueDISJONCTEUR MODULAIRE TRIPHASE COURBE DDisjoncteur Modulaire 3P Courbe D_4,5KA/6KA _32A</v>
      </c>
      <c r="E178" s="76" t="s">
        <v>4288</v>
      </c>
      <c r="F178" s="81">
        <v>14</v>
      </c>
      <c r="G178" s="82" t="s">
        <v>4289</v>
      </c>
      <c r="H178" s="76" t="s">
        <v>3524</v>
      </c>
      <c r="I178" s="71"/>
      <c r="J178" s="70">
        <f>IFERROR(VLOOKUP(Devis[[#This Row],[Ref Air Flux]],#REF!,3,FALSE),0)</f>
        <v>0</v>
      </c>
      <c r="K178" s="68"/>
      <c r="L178" s="68"/>
      <c r="M178" s="68"/>
      <c r="N178" s="68"/>
      <c r="O178" s="68"/>
      <c r="P178" s="68"/>
      <c r="Q178" s="68">
        <f>SUM(Devis[[#This Row],[Poste 1]:[Poste 6]])</f>
        <v>0</v>
      </c>
      <c r="R178" s="71"/>
      <c r="S178" s="68">
        <f>_xlfn.CEILING.MATH(Devis[[#This Row],[Quantité Totale]],Devis[[#This Row],[Conditionnement]])</f>
        <v>0</v>
      </c>
      <c r="T178" s="72"/>
      <c r="U178" s="73"/>
      <c r="V178" s="74">
        <f>Devis[[#This Row],[Prix de Revient]]*Devis[[#This Row],[Poste 1]]</f>
        <v>0</v>
      </c>
      <c r="W178" s="74">
        <f>Devis[[#This Row],[Prix de Revient]]*Devis[[#This Row],[Poste 2]]</f>
        <v>0</v>
      </c>
      <c r="X178" s="74">
        <f>Devis[[#This Row],[Prix de Revient]]*Devis[[#This Row],[Poste 3]]</f>
        <v>0</v>
      </c>
      <c r="Y178" s="74">
        <f>Devis[[#This Row],[Poste 4]]*Devis[[#This Row],[Prix de Revient]]</f>
        <v>0</v>
      </c>
      <c r="Z178" s="74">
        <f>Devis[[#This Row],[Poste 5]]*Devis[[#This Row],[Prix de Revient]]</f>
        <v>0</v>
      </c>
      <c r="AA178" s="74">
        <f>Devis[[#This Row],[Prix de Revient]]*Devis[[#This Row],[Poste 6]]</f>
        <v>0</v>
      </c>
      <c r="AB178" s="74">
        <f>Devis[[#This Row],[Quantité Totale]]*Devis[[#This Row],[Prix de Revient]]</f>
        <v>0</v>
      </c>
    </row>
    <row r="179" spans="1:28" ht="14.25" outlineLevel="1" x14ac:dyDescent="0.2">
      <c r="A179" s="75" t="s">
        <v>68</v>
      </c>
      <c r="B179" s="76" t="s">
        <v>4276</v>
      </c>
      <c r="C179" s="76" t="s">
        <v>4290</v>
      </c>
      <c r="D179" s="81" t="str">
        <f t="shared" si="3"/>
        <v>App ElectriqueDISJONCTEUR MODULAIRE TRIPHASE COURBE DDisjoncteur Modulaire 3P Courbe D_4,5KA/6KA _40A</v>
      </c>
      <c r="E179" s="76" t="s">
        <v>4290</v>
      </c>
      <c r="F179" s="81">
        <v>15</v>
      </c>
      <c r="G179" s="82" t="s">
        <v>4291</v>
      </c>
      <c r="H179" s="76" t="s">
        <v>3524</v>
      </c>
      <c r="I179" s="71"/>
      <c r="J179" s="70">
        <f>IFERROR(VLOOKUP(Devis[[#This Row],[Ref Air Flux]],#REF!,3,FALSE),0)</f>
        <v>0</v>
      </c>
      <c r="K179" s="68"/>
      <c r="L179" s="68"/>
      <c r="M179" s="68"/>
      <c r="N179" s="68"/>
      <c r="O179" s="68"/>
      <c r="P179" s="68"/>
      <c r="Q179" s="68">
        <f>SUM(Devis[[#This Row],[Poste 1]:[Poste 6]])</f>
        <v>0</v>
      </c>
      <c r="R179" s="71"/>
      <c r="S179" s="68">
        <f>_xlfn.CEILING.MATH(Devis[[#This Row],[Quantité Totale]],Devis[[#This Row],[Conditionnement]])</f>
        <v>0</v>
      </c>
      <c r="T179" s="72"/>
      <c r="U179" s="73"/>
      <c r="V179" s="74">
        <f>Devis[[#This Row],[Prix de Revient]]*Devis[[#This Row],[Poste 1]]</f>
        <v>0</v>
      </c>
      <c r="W179" s="74">
        <f>Devis[[#This Row],[Prix de Revient]]*Devis[[#This Row],[Poste 2]]</f>
        <v>0</v>
      </c>
      <c r="X179" s="74">
        <f>Devis[[#This Row],[Prix de Revient]]*Devis[[#This Row],[Poste 3]]</f>
        <v>0</v>
      </c>
      <c r="Y179" s="74">
        <f>Devis[[#This Row],[Poste 4]]*Devis[[#This Row],[Prix de Revient]]</f>
        <v>0</v>
      </c>
      <c r="Z179" s="74">
        <f>Devis[[#This Row],[Poste 5]]*Devis[[#This Row],[Prix de Revient]]</f>
        <v>0</v>
      </c>
      <c r="AA179" s="74">
        <f>Devis[[#This Row],[Prix de Revient]]*Devis[[#This Row],[Poste 6]]</f>
        <v>0</v>
      </c>
      <c r="AB179" s="74">
        <f>Devis[[#This Row],[Quantité Totale]]*Devis[[#This Row],[Prix de Revient]]</f>
        <v>0</v>
      </c>
    </row>
    <row r="180" spans="1:28" ht="14.25" outlineLevel="1" x14ac:dyDescent="0.2">
      <c r="A180" s="75" t="s">
        <v>68</v>
      </c>
      <c r="B180" s="76" t="s">
        <v>4276</v>
      </c>
      <c r="C180" s="76"/>
      <c r="D180" s="81" t="str">
        <f t="shared" si="3"/>
        <v>App ElectriqueDISJONCTEUR MODULAIRE TRIPHASE COURBE D</v>
      </c>
      <c r="E180" s="73"/>
      <c r="F180" s="81">
        <v>16</v>
      </c>
      <c r="G180" s="82"/>
      <c r="H180" s="76"/>
      <c r="I180" s="71"/>
      <c r="J180" s="70">
        <f>IFERROR(VLOOKUP(Devis[[#This Row],[Ref Air Flux]],#REF!,3,FALSE),0)</f>
        <v>0</v>
      </c>
      <c r="K180" s="68"/>
      <c r="L180" s="68"/>
      <c r="M180" s="68"/>
      <c r="N180" s="68"/>
      <c r="O180" s="68"/>
      <c r="P180" s="68"/>
      <c r="Q180" s="68">
        <f>SUM(Devis[[#This Row],[Poste 1]:[Poste 6]])</f>
        <v>0</v>
      </c>
      <c r="R180" s="71"/>
      <c r="S180" s="68">
        <f>_xlfn.CEILING.MATH(Devis[[#This Row],[Quantité Totale]],Devis[[#This Row],[Conditionnement]])</f>
        <v>0</v>
      </c>
      <c r="T180" s="72"/>
      <c r="U180" s="73"/>
      <c r="V180" s="74">
        <f>Devis[[#This Row],[Prix de Revient]]*Devis[[#This Row],[Poste 1]]</f>
        <v>0</v>
      </c>
      <c r="W180" s="74">
        <f>Devis[[#This Row],[Prix de Revient]]*Devis[[#This Row],[Poste 2]]</f>
        <v>0</v>
      </c>
      <c r="X180" s="74">
        <f>Devis[[#This Row],[Prix de Revient]]*Devis[[#This Row],[Poste 3]]</f>
        <v>0</v>
      </c>
      <c r="Y180" s="74">
        <f>Devis[[#This Row],[Poste 4]]*Devis[[#This Row],[Prix de Revient]]</f>
        <v>0</v>
      </c>
      <c r="Z180" s="74">
        <f>Devis[[#This Row],[Poste 5]]*Devis[[#This Row],[Prix de Revient]]</f>
        <v>0</v>
      </c>
      <c r="AA180" s="74">
        <f>Devis[[#This Row],[Prix de Revient]]*Devis[[#This Row],[Poste 6]]</f>
        <v>0</v>
      </c>
      <c r="AB180" s="74">
        <f>Devis[[#This Row],[Quantité Totale]]*Devis[[#This Row],[Prix de Revient]]</f>
        <v>0</v>
      </c>
    </row>
    <row r="181" spans="1:28" ht="14.25" outlineLevel="1" x14ac:dyDescent="0.2">
      <c r="A181" s="75" t="s">
        <v>68</v>
      </c>
      <c r="B181" s="76" t="s">
        <v>4276</v>
      </c>
      <c r="C181" s="76" t="s">
        <v>4292</v>
      </c>
      <c r="D181" s="81" t="str">
        <f t="shared" si="3"/>
        <v>App ElectriqueDISJONCTEUR MODULAIRE TRIPHASE COURBE DDisjoncteur Modulaire 3P Courbe D_6KA/10KA _6A</v>
      </c>
      <c r="E181" s="76" t="s">
        <v>4292</v>
      </c>
      <c r="F181" s="81">
        <v>17</v>
      </c>
      <c r="G181" s="82" t="s">
        <v>4293</v>
      </c>
      <c r="H181" s="76" t="s">
        <v>3524</v>
      </c>
      <c r="I181" s="71"/>
      <c r="J181" s="70">
        <f>IFERROR(VLOOKUP(Devis[[#This Row],[Ref Air Flux]],#REF!,3,FALSE),0)</f>
        <v>0</v>
      </c>
      <c r="K181" s="68"/>
      <c r="L181" s="68"/>
      <c r="M181" s="68"/>
      <c r="N181" s="68"/>
      <c r="O181" s="68"/>
      <c r="P181" s="68"/>
      <c r="Q181" s="68">
        <f>SUM(Devis[[#This Row],[Poste 1]:[Poste 6]])</f>
        <v>0</v>
      </c>
      <c r="R181" s="71"/>
      <c r="S181" s="68">
        <f>_xlfn.CEILING.MATH(Devis[[#This Row],[Quantité Totale]],Devis[[#This Row],[Conditionnement]])</f>
        <v>0</v>
      </c>
      <c r="T181" s="72"/>
      <c r="U181" s="73"/>
      <c r="V181" s="74">
        <f>Devis[[#This Row],[Prix de Revient]]*Devis[[#This Row],[Poste 1]]</f>
        <v>0</v>
      </c>
      <c r="W181" s="74">
        <f>Devis[[#This Row],[Prix de Revient]]*Devis[[#This Row],[Poste 2]]</f>
        <v>0</v>
      </c>
      <c r="X181" s="74">
        <f>Devis[[#This Row],[Prix de Revient]]*Devis[[#This Row],[Poste 3]]</f>
        <v>0</v>
      </c>
      <c r="Y181" s="74">
        <f>Devis[[#This Row],[Poste 4]]*Devis[[#This Row],[Prix de Revient]]</f>
        <v>0</v>
      </c>
      <c r="Z181" s="74">
        <f>Devis[[#This Row],[Poste 5]]*Devis[[#This Row],[Prix de Revient]]</f>
        <v>0</v>
      </c>
      <c r="AA181" s="74">
        <f>Devis[[#This Row],[Prix de Revient]]*Devis[[#This Row],[Poste 6]]</f>
        <v>0</v>
      </c>
      <c r="AB181" s="74">
        <f>Devis[[#This Row],[Quantité Totale]]*Devis[[#This Row],[Prix de Revient]]</f>
        <v>0</v>
      </c>
    </row>
    <row r="182" spans="1:28" ht="14.25" outlineLevel="1" x14ac:dyDescent="0.2">
      <c r="A182" s="75" t="s">
        <v>68</v>
      </c>
      <c r="B182" s="76" t="s">
        <v>4276</v>
      </c>
      <c r="C182" s="76" t="s">
        <v>4294</v>
      </c>
      <c r="D182" s="81" t="str">
        <f t="shared" si="3"/>
        <v>App ElectriqueDISJONCTEUR MODULAIRE TRIPHASE COURBE DDisjoncteur Modulaire 3P Courbe D_6KA/10KA _10A</v>
      </c>
      <c r="E182" s="76" t="s">
        <v>4294</v>
      </c>
      <c r="F182" s="81">
        <v>18</v>
      </c>
      <c r="G182" s="82" t="s">
        <v>4295</v>
      </c>
      <c r="H182" s="76" t="s">
        <v>3524</v>
      </c>
      <c r="I182" s="71"/>
      <c r="J182" s="70">
        <f>IFERROR(VLOOKUP(Devis[[#This Row],[Ref Air Flux]],#REF!,3,FALSE),0)</f>
        <v>0</v>
      </c>
      <c r="K182" s="68"/>
      <c r="L182" s="68"/>
      <c r="M182" s="68"/>
      <c r="N182" s="68"/>
      <c r="O182" s="68"/>
      <c r="P182" s="68"/>
      <c r="Q182" s="68">
        <f>SUM(Devis[[#This Row],[Poste 1]:[Poste 6]])</f>
        <v>0</v>
      </c>
      <c r="R182" s="71"/>
      <c r="S182" s="68">
        <f>_xlfn.CEILING.MATH(Devis[[#This Row],[Quantité Totale]],Devis[[#This Row],[Conditionnement]])</f>
        <v>0</v>
      </c>
      <c r="T182" s="72"/>
      <c r="U182" s="73"/>
      <c r="V182" s="74">
        <f>Devis[[#This Row],[Prix de Revient]]*Devis[[#This Row],[Poste 1]]</f>
        <v>0</v>
      </c>
      <c r="W182" s="74">
        <f>Devis[[#This Row],[Prix de Revient]]*Devis[[#This Row],[Poste 2]]</f>
        <v>0</v>
      </c>
      <c r="X182" s="74">
        <f>Devis[[#This Row],[Prix de Revient]]*Devis[[#This Row],[Poste 3]]</f>
        <v>0</v>
      </c>
      <c r="Y182" s="74">
        <f>Devis[[#This Row],[Poste 4]]*Devis[[#This Row],[Prix de Revient]]</f>
        <v>0</v>
      </c>
      <c r="Z182" s="74">
        <f>Devis[[#This Row],[Poste 5]]*Devis[[#This Row],[Prix de Revient]]</f>
        <v>0</v>
      </c>
      <c r="AA182" s="74">
        <f>Devis[[#This Row],[Prix de Revient]]*Devis[[#This Row],[Poste 6]]</f>
        <v>0</v>
      </c>
      <c r="AB182" s="74">
        <f>Devis[[#This Row],[Quantité Totale]]*Devis[[#This Row],[Prix de Revient]]</f>
        <v>0</v>
      </c>
    </row>
    <row r="183" spans="1:28" ht="14.25" outlineLevel="1" x14ac:dyDescent="0.2">
      <c r="A183" s="75" t="s">
        <v>68</v>
      </c>
      <c r="B183" s="76" t="s">
        <v>4276</v>
      </c>
      <c r="C183" s="76" t="s">
        <v>4296</v>
      </c>
      <c r="D183" s="81" t="str">
        <f t="shared" si="3"/>
        <v>App ElectriqueDISJONCTEUR MODULAIRE TRIPHASE COURBE DDisjoncteur Modulaire 3P Courbe D_6KA/10KA _16A</v>
      </c>
      <c r="E183" s="76" t="s">
        <v>4296</v>
      </c>
      <c r="F183" s="81">
        <v>19</v>
      </c>
      <c r="G183" s="82" t="s">
        <v>4297</v>
      </c>
      <c r="H183" s="76" t="s">
        <v>3524</v>
      </c>
      <c r="I183" s="71"/>
      <c r="J183" s="70">
        <f>IFERROR(VLOOKUP(Devis[[#This Row],[Ref Air Flux]],#REF!,3,FALSE),0)</f>
        <v>0</v>
      </c>
      <c r="K183" s="68"/>
      <c r="L183" s="68"/>
      <c r="M183" s="68"/>
      <c r="N183" s="68"/>
      <c r="O183" s="68"/>
      <c r="P183" s="68"/>
      <c r="Q183" s="68">
        <f>SUM(Devis[[#This Row],[Poste 1]:[Poste 6]])</f>
        <v>0</v>
      </c>
      <c r="R183" s="71"/>
      <c r="S183" s="68">
        <f>_xlfn.CEILING.MATH(Devis[[#This Row],[Quantité Totale]],Devis[[#This Row],[Conditionnement]])</f>
        <v>0</v>
      </c>
      <c r="T183" s="72"/>
      <c r="U183" s="73"/>
      <c r="V183" s="74">
        <f>Devis[[#This Row],[Prix de Revient]]*Devis[[#This Row],[Poste 1]]</f>
        <v>0</v>
      </c>
      <c r="W183" s="74">
        <f>Devis[[#This Row],[Prix de Revient]]*Devis[[#This Row],[Poste 2]]</f>
        <v>0</v>
      </c>
      <c r="X183" s="74">
        <f>Devis[[#This Row],[Prix de Revient]]*Devis[[#This Row],[Poste 3]]</f>
        <v>0</v>
      </c>
      <c r="Y183" s="74">
        <f>Devis[[#This Row],[Poste 4]]*Devis[[#This Row],[Prix de Revient]]</f>
        <v>0</v>
      </c>
      <c r="Z183" s="74">
        <f>Devis[[#This Row],[Poste 5]]*Devis[[#This Row],[Prix de Revient]]</f>
        <v>0</v>
      </c>
      <c r="AA183" s="74">
        <f>Devis[[#This Row],[Prix de Revient]]*Devis[[#This Row],[Poste 6]]</f>
        <v>0</v>
      </c>
      <c r="AB183" s="74">
        <f>Devis[[#This Row],[Quantité Totale]]*Devis[[#This Row],[Prix de Revient]]</f>
        <v>0</v>
      </c>
    </row>
    <row r="184" spans="1:28" ht="14.25" outlineLevel="1" x14ac:dyDescent="0.2">
      <c r="A184" s="75" t="s">
        <v>68</v>
      </c>
      <c r="B184" s="76" t="s">
        <v>4276</v>
      </c>
      <c r="C184" s="76" t="s">
        <v>4298</v>
      </c>
      <c r="D184" s="81" t="str">
        <f t="shared" si="3"/>
        <v>App ElectriqueDISJONCTEUR MODULAIRE TRIPHASE COURBE DDisjoncteur Modulaire 3P Courbe D_6KA/10KA _20A</v>
      </c>
      <c r="E184" s="76" t="s">
        <v>4298</v>
      </c>
      <c r="F184" s="81">
        <v>20</v>
      </c>
      <c r="G184" s="82" t="s">
        <v>4299</v>
      </c>
      <c r="H184" s="76" t="s">
        <v>3524</v>
      </c>
      <c r="I184" s="71"/>
      <c r="J184" s="70">
        <f>IFERROR(VLOOKUP(Devis[[#This Row],[Ref Air Flux]],#REF!,3,FALSE),0)</f>
        <v>0</v>
      </c>
      <c r="K184" s="68"/>
      <c r="L184" s="68"/>
      <c r="M184" s="68"/>
      <c r="N184" s="68"/>
      <c r="O184" s="68"/>
      <c r="P184" s="68"/>
      <c r="Q184" s="68">
        <f>SUM(Devis[[#This Row],[Poste 1]:[Poste 6]])</f>
        <v>0</v>
      </c>
      <c r="R184" s="71"/>
      <c r="S184" s="68">
        <f>_xlfn.CEILING.MATH(Devis[[#This Row],[Quantité Totale]],Devis[[#This Row],[Conditionnement]])</f>
        <v>0</v>
      </c>
      <c r="T184" s="72"/>
      <c r="U184" s="73"/>
      <c r="V184" s="74">
        <f>Devis[[#This Row],[Prix de Revient]]*Devis[[#This Row],[Poste 1]]</f>
        <v>0</v>
      </c>
      <c r="W184" s="74">
        <f>Devis[[#This Row],[Prix de Revient]]*Devis[[#This Row],[Poste 2]]</f>
        <v>0</v>
      </c>
      <c r="X184" s="74">
        <f>Devis[[#This Row],[Prix de Revient]]*Devis[[#This Row],[Poste 3]]</f>
        <v>0</v>
      </c>
      <c r="Y184" s="74">
        <f>Devis[[#This Row],[Poste 4]]*Devis[[#This Row],[Prix de Revient]]</f>
        <v>0</v>
      </c>
      <c r="Z184" s="74">
        <f>Devis[[#This Row],[Poste 5]]*Devis[[#This Row],[Prix de Revient]]</f>
        <v>0</v>
      </c>
      <c r="AA184" s="74">
        <f>Devis[[#This Row],[Prix de Revient]]*Devis[[#This Row],[Poste 6]]</f>
        <v>0</v>
      </c>
      <c r="AB184" s="74">
        <f>Devis[[#This Row],[Quantité Totale]]*Devis[[#This Row],[Prix de Revient]]</f>
        <v>0</v>
      </c>
    </row>
    <row r="185" spans="1:28" ht="14.25" customHeight="1" outlineLevel="1" x14ac:dyDescent="0.2">
      <c r="A185" s="75" t="s">
        <v>68</v>
      </c>
      <c r="B185" s="76" t="s">
        <v>4276</v>
      </c>
      <c r="C185" s="76" t="s">
        <v>4300</v>
      </c>
      <c r="D185" s="81" t="str">
        <f t="shared" si="3"/>
        <v>App ElectriqueDISJONCTEUR MODULAIRE TRIPHASE COURBE DDisjoncteur Modulaire 3P Courbe D_6KA/10KA _25A</v>
      </c>
      <c r="E185" s="76" t="s">
        <v>4300</v>
      </c>
      <c r="F185" s="81">
        <v>21</v>
      </c>
      <c r="G185" s="82" t="s">
        <v>4301</v>
      </c>
      <c r="H185" s="76" t="s">
        <v>3524</v>
      </c>
      <c r="I185" s="71"/>
      <c r="J185" s="70">
        <f>IFERROR(VLOOKUP(Devis[[#This Row],[Ref Air Flux]],#REF!,3,FALSE),0)</f>
        <v>0</v>
      </c>
      <c r="K185" s="68"/>
      <c r="L185" s="68"/>
      <c r="M185" s="68"/>
      <c r="N185" s="68"/>
      <c r="O185" s="68"/>
      <c r="P185" s="68"/>
      <c r="Q185" s="68">
        <f>SUM(Devis[[#This Row],[Poste 1]:[Poste 6]])</f>
        <v>0</v>
      </c>
      <c r="R185" s="71"/>
      <c r="S185" s="68">
        <f>_xlfn.CEILING.MATH(Devis[[#This Row],[Quantité Totale]],Devis[[#This Row],[Conditionnement]])</f>
        <v>0</v>
      </c>
      <c r="T185" s="72"/>
      <c r="U185" s="73"/>
      <c r="V185" s="74">
        <f>Devis[[#This Row],[Prix de Revient]]*Devis[[#This Row],[Poste 1]]</f>
        <v>0</v>
      </c>
      <c r="W185" s="74">
        <f>Devis[[#This Row],[Prix de Revient]]*Devis[[#This Row],[Poste 2]]</f>
        <v>0</v>
      </c>
      <c r="X185" s="74">
        <f>Devis[[#This Row],[Prix de Revient]]*Devis[[#This Row],[Poste 3]]</f>
        <v>0</v>
      </c>
      <c r="Y185" s="74">
        <f>Devis[[#This Row],[Poste 4]]*Devis[[#This Row],[Prix de Revient]]</f>
        <v>0</v>
      </c>
      <c r="Z185" s="74">
        <f>Devis[[#This Row],[Poste 5]]*Devis[[#This Row],[Prix de Revient]]</f>
        <v>0</v>
      </c>
      <c r="AA185" s="74">
        <f>Devis[[#This Row],[Prix de Revient]]*Devis[[#This Row],[Poste 6]]</f>
        <v>0</v>
      </c>
      <c r="AB185" s="74">
        <f>Devis[[#This Row],[Quantité Totale]]*Devis[[#This Row],[Prix de Revient]]</f>
        <v>0</v>
      </c>
    </row>
    <row r="186" spans="1:28" ht="15" customHeight="1" outlineLevel="1" x14ac:dyDescent="0.2">
      <c r="A186" s="75" t="s">
        <v>68</v>
      </c>
      <c r="B186" s="76" t="s">
        <v>4276</v>
      </c>
      <c r="C186" s="76" t="s">
        <v>4302</v>
      </c>
      <c r="D186" s="81" t="str">
        <f t="shared" si="3"/>
        <v>App ElectriqueDISJONCTEUR MODULAIRE TRIPHASE COURBE DDisjoncteur Modulaire 3P Courbe D_6KA/10KA _32A</v>
      </c>
      <c r="E186" s="76" t="s">
        <v>4302</v>
      </c>
      <c r="F186" s="81">
        <v>22</v>
      </c>
      <c r="G186" s="82" t="s">
        <v>4303</v>
      </c>
      <c r="H186" s="76" t="s">
        <v>3524</v>
      </c>
      <c r="I186" s="71"/>
      <c r="J186" s="70">
        <f>IFERROR(VLOOKUP(Devis[[#This Row],[Ref Air Flux]],#REF!,3,FALSE),0)</f>
        <v>0</v>
      </c>
      <c r="K186" s="68"/>
      <c r="L186" s="68"/>
      <c r="M186" s="68"/>
      <c r="N186" s="68"/>
      <c r="O186" s="68"/>
      <c r="P186" s="68"/>
      <c r="Q186" s="68">
        <f>SUM(Devis[[#This Row],[Poste 1]:[Poste 6]])</f>
        <v>0</v>
      </c>
      <c r="R186" s="71"/>
      <c r="S186" s="68">
        <f>_xlfn.CEILING.MATH(Devis[[#This Row],[Quantité Totale]],Devis[[#This Row],[Conditionnement]])</f>
        <v>0</v>
      </c>
      <c r="T186" s="72"/>
      <c r="U186" s="73"/>
      <c r="V186" s="74">
        <f>Devis[[#This Row],[Prix de Revient]]*Devis[[#This Row],[Poste 1]]</f>
        <v>0</v>
      </c>
      <c r="W186" s="74">
        <f>Devis[[#This Row],[Prix de Revient]]*Devis[[#This Row],[Poste 2]]</f>
        <v>0</v>
      </c>
      <c r="X186" s="74">
        <f>Devis[[#This Row],[Prix de Revient]]*Devis[[#This Row],[Poste 3]]</f>
        <v>0</v>
      </c>
      <c r="Y186" s="74">
        <f>Devis[[#This Row],[Poste 4]]*Devis[[#This Row],[Prix de Revient]]</f>
        <v>0</v>
      </c>
      <c r="Z186" s="74">
        <f>Devis[[#This Row],[Poste 5]]*Devis[[#This Row],[Prix de Revient]]</f>
        <v>0</v>
      </c>
      <c r="AA186" s="74">
        <f>Devis[[#This Row],[Prix de Revient]]*Devis[[#This Row],[Poste 6]]</f>
        <v>0</v>
      </c>
      <c r="AB186" s="74">
        <f>Devis[[#This Row],[Quantité Totale]]*Devis[[#This Row],[Prix de Revient]]</f>
        <v>0</v>
      </c>
    </row>
    <row r="187" spans="1:28" ht="14.25" customHeight="1" outlineLevel="1" x14ac:dyDescent="0.2">
      <c r="A187" s="75" t="s">
        <v>68</v>
      </c>
      <c r="B187" s="76" t="s">
        <v>4276</v>
      </c>
      <c r="C187" s="76" t="s">
        <v>4304</v>
      </c>
      <c r="D187" s="81" t="str">
        <f t="shared" si="3"/>
        <v>App ElectriqueDISJONCTEUR MODULAIRE TRIPHASE COURBE DDisjoncteur Modulaire 3P Courbe D_6KA/10KA _40A</v>
      </c>
      <c r="E187" s="76" t="s">
        <v>4304</v>
      </c>
      <c r="F187" s="81">
        <v>23</v>
      </c>
      <c r="G187" s="82" t="s">
        <v>4303</v>
      </c>
      <c r="H187" s="76" t="s">
        <v>3524</v>
      </c>
      <c r="I187" s="71"/>
      <c r="J187" s="70">
        <f>IFERROR(VLOOKUP(Devis[[#This Row],[Ref Air Flux]],#REF!,3,FALSE),0)</f>
        <v>0</v>
      </c>
      <c r="K187" s="68"/>
      <c r="L187" s="68"/>
      <c r="M187" s="68"/>
      <c r="N187" s="68"/>
      <c r="O187" s="68"/>
      <c r="P187" s="68"/>
      <c r="Q187" s="68">
        <f>SUM(Devis[[#This Row],[Poste 1]:[Poste 6]])</f>
        <v>0</v>
      </c>
      <c r="R187" s="71"/>
      <c r="S187" s="68">
        <f>_xlfn.CEILING.MATH(Devis[[#This Row],[Quantité Totale]],Devis[[#This Row],[Conditionnement]])</f>
        <v>0</v>
      </c>
      <c r="T187" s="72"/>
      <c r="U187" s="73"/>
      <c r="V187" s="74">
        <f>Devis[[#This Row],[Prix de Revient]]*Devis[[#This Row],[Poste 1]]</f>
        <v>0</v>
      </c>
      <c r="W187" s="74">
        <f>Devis[[#This Row],[Prix de Revient]]*Devis[[#This Row],[Poste 2]]</f>
        <v>0</v>
      </c>
      <c r="X187" s="74">
        <f>Devis[[#This Row],[Prix de Revient]]*Devis[[#This Row],[Poste 3]]</f>
        <v>0</v>
      </c>
      <c r="Y187" s="74">
        <f>Devis[[#This Row],[Poste 4]]*Devis[[#This Row],[Prix de Revient]]</f>
        <v>0</v>
      </c>
      <c r="Z187" s="74">
        <f>Devis[[#This Row],[Poste 5]]*Devis[[#This Row],[Prix de Revient]]</f>
        <v>0</v>
      </c>
      <c r="AA187" s="74">
        <f>Devis[[#This Row],[Prix de Revient]]*Devis[[#This Row],[Poste 6]]</f>
        <v>0</v>
      </c>
      <c r="AB187" s="74">
        <f>Devis[[#This Row],[Quantité Totale]]*Devis[[#This Row],[Prix de Revient]]</f>
        <v>0</v>
      </c>
    </row>
    <row r="188" spans="1:28" ht="14.25" customHeight="1" outlineLevel="1" x14ac:dyDescent="0.2">
      <c r="A188" s="75" t="s">
        <v>68</v>
      </c>
      <c r="B188" s="76" t="s">
        <v>4276</v>
      </c>
      <c r="C188" s="76"/>
      <c r="D188" s="81" t="str">
        <f t="shared" si="3"/>
        <v>App ElectriqueDISJONCTEUR MODULAIRE TRIPHASE COURBE D</v>
      </c>
      <c r="E188" s="76"/>
      <c r="F188" s="81">
        <v>24</v>
      </c>
      <c r="G188" s="82"/>
      <c r="H188" s="76"/>
      <c r="I188" s="71"/>
      <c r="J188" s="70">
        <f>IFERROR(VLOOKUP(Devis[[#This Row],[Ref Air Flux]],#REF!,3,FALSE),0)</f>
        <v>0</v>
      </c>
      <c r="K188" s="68"/>
      <c r="L188" s="68"/>
      <c r="M188" s="68"/>
      <c r="N188" s="68"/>
      <c r="O188" s="68"/>
      <c r="P188" s="68"/>
      <c r="Q188" s="68">
        <f>SUM(Devis[[#This Row],[Poste 1]:[Poste 6]])</f>
        <v>0</v>
      </c>
      <c r="R188" s="71"/>
      <c r="S188" s="68">
        <f>_xlfn.CEILING.MATH(Devis[[#This Row],[Quantité Totale]],Devis[[#This Row],[Conditionnement]])</f>
        <v>0</v>
      </c>
      <c r="T188" s="72"/>
      <c r="U188" s="73"/>
      <c r="V188" s="74">
        <f>Devis[[#This Row],[Prix de Revient]]*Devis[[#This Row],[Poste 1]]</f>
        <v>0</v>
      </c>
      <c r="W188" s="74">
        <f>Devis[[#This Row],[Prix de Revient]]*Devis[[#This Row],[Poste 2]]</f>
        <v>0</v>
      </c>
      <c r="X188" s="74">
        <f>Devis[[#This Row],[Prix de Revient]]*Devis[[#This Row],[Poste 3]]</f>
        <v>0</v>
      </c>
      <c r="Y188" s="74">
        <f>Devis[[#This Row],[Poste 4]]*Devis[[#This Row],[Prix de Revient]]</f>
        <v>0</v>
      </c>
      <c r="Z188" s="74">
        <f>Devis[[#This Row],[Poste 5]]*Devis[[#This Row],[Prix de Revient]]</f>
        <v>0</v>
      </c>
      <c r="AA188" s="74">
        <f>Devis[[#This Row],[Prix de Revient]]*Devis[[#This Row],[Poste 6]]</f>
        <v>0</v>
      </c>
      <c r="AB188" s="74">
        <f>Devis[[#This Row],[Quantité Totale]]*Devis[[#This Row],[Prix de Revient]]</f>
        <v>0</v>
      </c>
    </row>
    <row r="189" spans="1:28" ht="14.25" outlineLevel="1" x14ac:dyDescent="0.2">
      <c r="A189" s="75" t="s">
        <v>68</v>
      </c>
      <c r="B189" s="76" t="s">
        <v>4276</v>
      </c>
      <c r="C189" s="76" t="s">
        <v>97</v>
      </c>
      <c r="D189" s="81" t="str">
        <f t="shared" si="3"/>
        <v>App ElectriqueDISJONCTEUR MODULAIRE TRIPHASE COURBE DDisj. modulaire  tri. D legrand</v>
      </c>
      <c r="E189" s="90" t="s">
        <v>4305</v>
      </c>
      <c r="F189" s="81">
        <v>25</v>
      </c>
      <c r="G189" s="87" t="s">
        <v>4306</v>
      </c>
      <c r="H189" s="76" t="s">
        <v>4269</v>
      </c>
      <c r="I189" s="71"/>
      <c r="J189" s="70">
        <f>IFERROR(VLOOKUP(Devis[[#This Row],[Ref Air Flux]],#REF!,3,FALSE),0)</f>
        <v>0</v>
      </c>
      <c r="K189" s="68"/>
      <c r="L189" s="68"/>
      <c r="M189" s="68"/>
      <c r="N189" s="68"/>
      <c r="O189" s="68"/>
      <c r="P189" s="68"/>
      <c r="Q189" s="68">
        <f>SUM(Devis[[#This Row],[Poste 1]:[Poste 6]])</f>
        <v>0</v>
      </c>
      <c r="R189" s="71"/>
      <c r="S189" s="68">
        <f>_xlfn.CEILING.MATH(Devis[[#This Row],[Quantité Totale]],Devis[[#This Row],[Conditionnement]])</f>
        <v>0</v>
      </c>
      <c r="T189" s="72"/>
      <c r="U189" s="74"/>
      <c r="V189" s="74">
        <f>Devis[[#This Row],[Prix de Revient]]*Devis[[#This Row],[Poste 1]]</f>
        <v>0</v>
      </c>
      <c r="W189" s="74">
        <f>Devis[[#This Row],[Prix de Revient]]*Devis[[#This Row],[Poste 2]]</f>
        <v>0</v>
      </c>
      <c r="X189" s="74">
        <f>Devis[[#This Row],[Prix de Revient]]*Devis[[#This Row],[Poste 3]]</f>
        <v>0</v>
      </c>
      <c r="Y189" s="74">
        <f>Devis[[#This Row],[Poste 4]]*Devis[[#This Row],[Prix de Revient]]</f>
        <v>0</v>
      </c>
      <c r="Z189" s="74">
        <f>Devis[[#This Row],[Poste 5]]*Devis[[#This Row],[Prix de Revient]]</f>
        <v>0</v>
      </c>
      <c r="AA189" s="74">
        <f>Devis[[#This Row],[Prix de Revient]]*Devis[[#This Row],[Poste 6]]</f>
        <v>0</v>
      </c>
      <c r="AB189" s="74">
        <f>Devis[[#This Row],[Quantité Totale]]*Devis[[#This Row],[Prix de Revient]]</f>
        <v>0</v>
      </c>
    </row>
    <row r="190" spans="1:28" ht="14.25" outlineLevel="1" x14ac:dyDescent="0.2">
      <c r="A190" s="75" t="s">
        <v>68</v>
      </c>
      <c r="B190" s="76" t="s">
        <v>4276</v>
      </c>
      <c r="C190" s="76" t="s">
        <v>97</v>
      </c>
      <c r="D190" s="81" t="str">
        <f t="shared" si="3"/>
        <v>App ElectriqueDISJONCTEUR MODULAIRE TRIPHASE COURBE DDisj. modulaire  tri. D legrand</v>
      </c>
      <c r="E190" s="90" t="s">
        <v>4307</v>
      </c>
      <c r="F190" s="81">
        <v>26</v>
      </c>
      <c r="G190" s="87" t="s">
        <v>4308</v>
      </c>
      <c r="H190" s="76" t="s">
        <v>4269</v>
      </c>
      <c r="I190" s="71"/>
      <c r="J190" s="70">
        <f>IFERROR(VLOOKUP(Devis[[#This Row],[Ref Air Flux]],#REF!,3,FALSE),0)</f>
        <v>0</v>
      </c>
      <c r="K190" s="68"/>
      <c r="L190" s="68"/>
      <c r="M190" s="68"/>
      <c r="N190" s="68"/>
      <c r="O190" s="68"/>
      <c r="P190" s="68"/>
      <c r="Q190" s="68">
        <f>SUM(Devis[[#This Row],[Poste 1]:[Poste 6]])</f>
        <v>0</v>
      </c>
      <c r="R190" s="71"/>
      <c r="S190" s="68">
        <f>_xlfn.CEILING.MATH(Devis[[#This Row],[Quantité Totale]],Devis[[#This Row],[Conditionnement]])</f>
        <v>0</v>
      </c>
      <c r="T190" s="72"/>
      <c r="U190" s="74"/>
      <c r="V190" s="74">
        <f>Devis[[#This Row],[Prix de Revient]]*Devis[[#This Row],[Poste 1]]</f>
        <v>0</v>
      </c>
      <c r="W190" s="74">
        <f>Devis[[#This Row],[Prix de Revient]]*Devis[[#This Row],[Poste 2]]</f>
        <v>0</v>
      </c>
      <c r="X190" s="74">
        <f>Devis[[#This Row],[Prix de Revient]]*Devis[[#This Row],[Poste 3]]</f>
        <v>0</v>
      </c>
      <c r="Y190" s="74">
        <f>Devis[[#This Row],[Poste 4]]*Devis[[#This Row],[Prix de Revient]]</f>
        <v>0</v>
      </c>
      <c r="Z190" s="74">
        <f>Devis[[#This Row],[Poste 5]]*Devis[[#This Row],[Prix de Revient]]</f>
        <v>0</v>
      </c>
      <c r="AA190" s="74">
        <f>Devis[[#This Row],[Prix de Revient]]*Devis[[#This Row],[Poste 6]]</f>
        <v>0</v>
      </c>
      <c r="AB190" s="74">
        <f>Devis[[#This Row],[Quantité Totale]]*Devis[[#This Row],[Prix de Revient]]</f>
        <v>0</v>
      </c>
    </row>
    <row r="191" spans="1:28" ht="14.25" outlineLevel="1" x14ac:dyDescent="0.2">
      <c r="A191" s="75" t="s">
        <v>68</v>
      </c>
      <c r="B191" s="76" t="s">
        <v>4276</v>
      </c>
      <c r="C191" s="76" t="s">
        <v>97</v>
      </c>
      <c r="D191" s="81" t="str">
        <f t="shared" si="3"/>
        <v>App ElectriqueDISJONCTEUR MODULAIRE TRIPHASE COURBE DDisj. modulaire  tri. D legrand</v>
      </c>
      <c r="E191" s="90" t="s">
        <v>4309</v>
      </c>
      <c r="F191" s="81">
        <v>27</v>
      </c>
      <c r="G191" s="87" t="s">
        <v>4310</v>
      </c>
      <c r="H191" s="76" t="s">
        <v>4269</v>
      </c>
      <c r="I191" s="71"/>
      <c r="J191" s="70">
        <f>IFERROR(VLOOKUP(Devis[[#This Row],[Ref Air Flux]],#REF!,3,FALSE),0)</f>
        <v>0</v>
      </c>
      <c r="K191" s="68"/>
      <c r="L191" s="68"/>
      <c r="M191" s="68"/>
      <c r="N191" s="68"/>
      <c r="O191" s="68"/>
      <c r="P191" s="68"/>
      <c r="Q191" s="68">
        <f>SUM(Devis[[#This Row],[Poste 1]:[Poste 6]])</f>
        <v>0</v>
      </c>
      <c r="R191" s="71"/>
      <c r="S191" s="68">
        <f>_xlfn.CEILING.MATH(Devis[[#This Row],[Quantité Totale]],Devis[[#This Row],[Conditionnement]])</f>
        <v>0</v>
      </c>
      <c r="T191" s="72"/>
      <c r="U191" s="74"/>
      <c r="V191" s="74">
        <f>Devis[[#This Row],[Prix de Revient]]*Devis[[#This Row],[Poste 1]]</f>
        <v>0</v>
      </c>
      <c r="W191" s="74">
        <f>Devis[[#This Row],[Prix de Revient]]*Devis[[#This Row],[Poste 2]]</f>
        <v>0</v>
      </c>
      <c r="X191" s="74">
        <f>Devis[[#This Row],[Prix de Revient]]*Devis[[#This Row],[Poste 3]]</f>
        <v>0</v>
      </c>
      <c r="Y191" s="74">
        <f>Devis[[#This Row],[Poste 4]]*Devis[[#This Row],[Prix de Revient]]</f>
        <v>0</v>
      </c>
      <c r="Z191" s="74">
        <f>Devis[[#This Row],[Poste 5]]*Devis[[#This Row],[Prix de Revient]]</f>
        <v>0</v>
      </c>
      <c r="AA191" s="74">
        <f>Devis[[#This Row],[Prix de Revient]]*Devis[[#This Row],[Poste 6]]</f>
        <v>0</v>
      </c>
      <c r="AB191" s="74">
        <f>Devis[[#This Row],[Quantité Totale]]*Devis[[#This Row],[Prix de Revient]]</f>
        <v>0</v>
      </c>
    </row>
    <row r="192" spans="1:28" ht="14.25" outlineLevel="1" x14ac:dyDescent="0.2">
      <c r="A192" s="75" t="s">
        <v>68</v>
      </c>
      <c r="B192" s="76" t="s">
        <v>4276</v>
      </c>
      <c r="C192" s="76" t="s">
        <v>97</v>
      </c>
      <c r="D192" s="81" t="str">
        <f t="shared" si="3"/>
        <v>App ElectriqueDISJONCTEUR MODULAIRE TRIPHASE COURBE DDisj. modulaire  tri. D legrand</v>
      </c>
      <c r="E192" s="89" t="s">
        <v>4311</v>
      </c>
      <c r="F192" s="81">
        <v>28</v>
      </c>
      <c r="G192" s="87" t="s">
        <v>4312</v>
      </c>
      <c r="H192" s="76" t="s">
        <v>4269</v>
      </c>
      <c r="I192" s="71"/>
      <c r="J192" s="70">
        <f>IFERROR(VLOOKUP(Devis[[#This Row],[Ref Air Flux]],#REF!,3,FALSE),0)</f>
        <v>0</v>
      </c>
      <c r="K192" s="68"/>
      <c r="L192" s="68"/>
      <c r="M192" s="68"/>
      <c r="N192" s="68"/>
      <c r="O192" s="68"/>
      <c r="P192" s="68"/>
      <c r="Q192" s="68">
        <f>SUM(Devis[[#This Row],[Poste 1]:[Poste 6]])</f>
        <v>0</v>
      </c>
      <c r="R192" s="71"/>
      <c r="S192" s="68">
        <f>_xlfn.CEILING.MATH(Devis[[#This Row],[Quantité Totale]],Devis[[#This Row],[Conditionnement]])</f>
        <v>0</v>
      </c>
      <c r="T192" s="72"/>
      <c r="U192" s="74"/>
      <c r="V192" s="74">
        <f>Devis[[#This Row],[Prix de Revient]]*Devis[[#This Row],[Poste 1]]</f>
        <v>0</v>
      </c>
      <c r="W192" s="74">
        <f>Devis[[#This Row],[Prix de Revient]]*Devis[[#This Row],[Poste 2]]</f>
        <v>0</v>
      </c>
      <c r="X192" s="74">
        <f>Devis[[#This Row],[Prix de Revient]]*Devis[[#This Row],[Poste 3]]</f>
        <v>0</v>
      </c>
      <c r="Y192" s="74">
        <f>Devis[[#This Row],[Poste 4]]*Devis[[#This Row],[Prix de Revient]]</f>
        <v>0</v>
      </c>
      <c r="Z192" s="74">
        <f>Devis[[#This Row],[Poste 5]]*Devis[[#This Row],[Prix de Revient]]</f>
        <v>0</v>
      </c>
      <c r="AA192" s="74">
        <f>Devis[[#This Row],[Prix de Revient]]*Devis[[#This Row],[Poste 6]]</f>
        <v>0</v>
      </c>
      <c r="AB192" s="74">
        <f>Devis[[#This Row],[Quantité Totale]]*Devis[[#This Row],[Prix de Revient]]</f>
        <v>0</v>
      </c>
    </row>
    <row r="193" spans="1:28" ht="14.25" outlineLevel="1" x14ac:dyDescent="0.2">
      <c r="A193" s="75" t="s">
        <v>68</v>
      </c>
      <c r="B193" s="76" t="s">
        <v>4276</v>
      </c>
      <c r="C193" s="76" t="s">
        <v>97</v>
      </c>
      <c r="D193" s="81" t="str">
        <f t="shared" si="3"/>
        <v>App ElectriqueDISJONCTEUR MODULAIRE TRIPHASE COURBE DDisj. modulaire  tri. D legrand</v>
      </c>
      <c r="E193" s="89" t="s">
        <v>4313</v>
      </c>
      <c r="F193" s="81">
        <v>29</v>
      </c>
      <c r="G193" s="87" t="s">
        <v>4314</v>
      </c>
      <c r="H193" s="76" t="s">
        <v>4269</v>
      </c>
      <c r="I193" s="71"/>
      <c r="J193" s="70">
        <f>IFERROR(VLOOKUP(Devis[[#This Row],[Ref Air Flux]],#REF!,3,FALSE),0)</f>
        <v>0</v>
      </c>
      <c r="K193" s="68"/>
      <c r="L193" s="68"/>
      <c r="M193" s="68"/>
      <c r="N193" s="68"/>
      <c r="O193" s="68"/>
      <c r="P193" s="68"/>
      <c r="Q193" s="68">
        <f>SUM(Devis[[#This Row],[Poste 1]:[Poste 6]])</f>
        <v>0</v>
      </c>
      <c r="R193" s="71"/>
      <c r="S193" s="68">
        <f>_xlfn.CEILING.MATH(Devis[[#This Row],[Quantité Totale]],Devis[[#This Row],[Conditionnement]])</f>
        <v>0</v>
      </c>
      <c r="T193" s="72"/>
      <c r="U193" s="74"/>
      <c r="V193" s="74">
        <f>Devis[[#This Row],[Prix de Revient]]*Devis[[#This Row],[Poste 1]]</f>
        <v>0</v>
      </c>
      <c r="W193" s="74">
        <f>Devis[[#This Row],[Prix de Revient]]*Devis[[#This Row],[Poste 2]]</f>
        <v>0</v>
      </c>
      <c r="X193" s="74">
        <f>Devis[[#This Row],[Prix de Revient]]*Devis[[#This Row],[Poste 3]]</f>
        <v>0</v>
      </c>
      <c r="Y193" s="74">
        <f>Devis[[#This Row],[Poste 4]]*Devis[[#This Row],[Prix de Revient]]</f>
        <v>0</v>
      </c>
      <c r="Z193" s="74">
        <f>Devis[[#This Row],[Poste 5]]*Devis[[#This Row],[Prix de Revient]]</f>
        <v>0</v>
      </c>
      <c r="AA193" s="74">
        <f>Devis[[#This Row],[Prix de Revient]]*Devis[[#This Row],[Poste 6]]</f>
        <v>0</v>
      </c>
      <c r="AB193" s="74">
        <f>Devis[[#This Row],[Quantité Totale]]*Devis[[#This Row],[Prix de Revient]]</f>
        <v>0</v>
      </c>
    </row>
    <row r="194" spans="1:28" ht="14.25" customHeight="1" outlineLevel="1" x14ac:dyDescent="0.2">
      <c r="A194" s="75" t="s">
        <v>68</v>
      </c>
      <c r="B194" s="76" t="s">
        <v>4276</v>
      </c>
      <c r="C194" s="76" t="s">
        <v>97</v>
      </c>
      <c r="D194" s="81" t="str">
        <f t="shared" si="3"/>
        <v>App ElectriqueDISJONCTEUR MODULAIRE TRIPHASE COURBE DDisj. modulaire  tri. D legrand</v>
      </c>
      <c r="E194" s="90" t="s">
        <v>4315</v>
      </c>
      <c r="F194" s="81">
        <v>30</v>
      </c>
      <c r="G194" s="87" t="s">
        <v>4316</v>
      </c>
      <c r="H194" s="76" t="s">
        <v>4269</v>
      </c>
      <c r="I194" s="71"/>
      <c r="J194" s="70">
        <f>IFERROR(VLOOKUP(Devis[[#This Row],[Ref Air Flux]],#REF!,3,FALSE),0)</f>
        <v>0</v>
      </c>
      <c r="K194" s="68"/>
      <c r="L194" s="68"/>
      <c r="M194" s="68"/>
      <c r="N194" s="68"/>
      <c r="O194" s="68"/>
      <c r="P194" s="68"/>
      <c r="Q194" s="68">
        <f>SUM(Devis[[#This Row],[Poste 1]:[Poste 6]])</f>
        <v>0</v>
      </c>
      <c r="R194" s="71"/>
      <c r="S194" s="68">
        <f>_xlfn.CEILING.MATH(Devis[[#This Row],[Quantité Totale]],Devis[[#This Row],[Conditionnement]])</f>
        <v>0</v>
      </c>
      <c r="T194" s="72"/>
      <c r="U194" s="74"/>
      <c r="V194" s="74">
        <f>Devis[[#This Row],[Prix de Revient]]*Devis[[#This Row],[Poste 1]]</f>
        <v>0</v>
      </c>
      <c r="W194" s="74">
        <f>Devis[[#This Row],[Prix de Revient]]*Devis[[#This Row],[Poste 2]]</f>
        <v>0</v>
      </c>
      <c r="X194" s="74">
        <f>Devis[[#This Row],[Prix de Revient]]*Devis[[#This Row],[Poste 3]]</f>
        <v>0</v>
      </c>
      <c r="Y194" s="74">
        <f>Devis[[#This Row],[Poste 4]]*Devis[[#This Row],[Prix de Revient]]</f>
        <v>0</v>
      </c>
      <c r="Z194" s="74">
        <f>Devis[[#This Row],[Poste 5]]*Devis[[#This Row],[Prix de Revient]]</f>
        <v>0</v>
      </c>
      <c r="AA194" s="74">
        <f>Devis[[#This Row],[Prix de Revient]]*Devis[[#This Row],[Poste 6]]</f>
        <v>0</v>
      </c>
      <c r="AB194" s="74">
        <f>Devis[[#This Row],[Quantité Totale]]*Devis[[#This Row],[Prix de Revient]]</f>
        <v>0</v>
      </c>
    </row>
    <row r="195" spans="1:28" ht="15" customHeight="1" x14ac:dyDescent="0.25">
      <c r="A195" s="65" t="s">
        <v>68</v>
      </c>
      <c r="B195" s="65" t="s">
        <v>4228</v>
      </c>
      <c r="C195" s="76"/>
      <c r="D195" s="81" t="str">
        <f t="shared" si="3"/>
        <v>App ElectriqueDISJONCTEUR MONOPHASE</v>
      </c>
      <c r="E195" s="76"/>
      <c r="F195" s="81">
        <v>0</v>
      </c>
      <c r="G195" s="87"/>
      <c r="H195" s="79"/>
      <c r="I195" s="71"/>
      <c r="J195" s="70">
        <f>IFERROR(VLOOKUP(Devis[[#This Row],[Ref Air Flux]],#REF!,3,FALSE),0)</f>
        <v>0</v>
      </c>
      <c r="K195" s="68"/>
      <c r="L195" s="68"/>
      <c r="M195" s="68"/>
      <c r="N195" s="68"/>
      <c r="O195" s="68"/>
      <c r="P195" s="68"/>
      <c r="Q195" s="68">
        <f>SUM(Devis[[#This Row],[Poste 1]:[Poste 6]])</f>
        <v>0</v>
      </c>
      <c r="R195" s="71"/>
      <c r="S195" s="68">
        <f>_xlfn.CEILING.MATH(Devis[[#This Row],[Quantité Totale]],Devis[[#This Row],[Conditionnement]])</f>
        <v>0</v>
      </c>
      <c r="T195" s="72"/>
      <c r="U195" s="73"/>
      <c r="V195" s="74">
        <f>Devis[[#This Row],[Prix de Revient]]*Devis[[#This Row],[Poste 1]]</f>
        <v>0</v>
      </c>
      <c r="W195" s="74">
        <f>Devis[[#This Row],[Prix de Revient]]*Devis[[#This Row],[Poste 2]]</f>
        <v>0</v>
      </c>
      <c r="X195" s="74">
        <f>Devis[[#This Row],[Prix de Revient]]*Devis[[#This Row],[Poste 3]]</f>
        <v>0</v>
      </c>
      <c r="Y195" s="74">
        <f>Devis[[#This Row],[Poste 4]]*Devis[[#This Row],[Prix de Revient]]</f>
        <v>0</v>
      </c>
      <c r="Z195" s="74">
        <f>Devis[[#This Row],[Poste 5]]*Devis[[#This Row],[Prix de Revient]]</f>
        <v>0</v>
      </c>
      <c r="AA195" s="74">
        <f>Devis[[#This Row],[Prix de Revient]]*Devis[[#This Row],[Poste 6]]</f>
        <v>0</v>
      </c>
      <c r="AB195" s="74">
        <f>Devis[[#This Row],[Quantité Totale]]*Devis[[#This Row],[Prix de Revient]]</f>
        <v>0</v>
      </c>
    </row>
    <row r="196" spans="1:28" ht="14.25" outlineLevel="1" x14ac:dyDescent="0.2">
      <c r="A196" s="75" t="s">
        <v>68</v>
      </c>
      <c r="B196" s="76" t="s">
        <v>4228</v>
      </c>
      <c r="C196" s="88" t="s">
        <v>4229</v>
      </c>
      <c r="D196" s="81" t="e">
        <f>A196&amp;C196&amp;#REF!</f>
        <v>#REF!</v>
      </c>
      <c r="E196" s="76" t="s">
        <v>4229</v>
      </c>
      <c r="F196" s="81">
        <v>1</v>
      </c>
      <c r="G196" s="82" t="s">
        <v>4230</v>
      </c>
      <c r="H196" s="76" t="s">
        <v>3524</v>
      </c>
      <c r="I196" s="71"/>
      <c r="J196" s="70">
        <f>IFERROR(VLOOKUP(Devis[[#This Row],[Ref Air Flux]],#REF!,3,FALSE),0)</f>
        <v>0</v>
      </c>
      <c r="K196" s="68"/>
      <c r="L196" s="68"/>
      <c r="M196" s="68"/>
      <c r="N196" s="68"/>
      <c r="O196" s="68"/>
      <c r="P196" s="68"/>
      <c r="Q196" s="68">
        <f>SUM(Devis[[#This Row],[Poste 1]:[Poste 6]])</f>
        <v>0</v>
      </c>
      <c r="R196" s="71"/>
      <c r="S196" s="68">
        <f>_xlfn.CEILING.MATH(Devis[[#This Row],[Quantité Totale]],Devis[[#This Row],[Conditionnement]])</f>
        <v>0</v>
      </c>
      <c r="T196" s="72"/>
      <c r="U196" s="73"/>
      <c r="V196" s="74">
        <f>Devis[[#This Row],[Prix de Revient]]*Devis[[#This Row],[Poste 1]]</f>
        <v>0</v>
      </c>
      <c r="W196" s="74">
        <f>Devis[[#This Row],[Prix de Revient]]*Devis[[#This Row],[Poste 2]]</f>
        <v>0</v>
      </c>
      <c r="X196" s="74">
        <f>Devis[[#This Row],[Prix de Revient]]*Devis[[#This Row],[Poste 3]]</f>
        <v>0</v>
      </c>
      <c r="Y196" s="74">
        <f>Devis[[#This Row],[Poste 4]]*Devis[[#This Row],[Prix de Revient]]</f>
        <v>0</v>
      </c>
      <c r="Z196" s="74">
        <f>Devis[[#This Row],[Poste 5]]*Devis[[#This Row],[Prix de Revient]]</f>
        <v>0</v>
      </c>
      <c r="AA196" s="74">
        <f>Devis[[#This Row],[Prix de Revient]]*Devis[[#This Row],[Poste 6]]</f>
        <v>0</v>
      </c>
      <c r="AB196" s="74">
        <f>Devis[[#This Row],[Quantité Totale]]*Devis[[#This Row],[Prix de Revient]]</f>
        <v>0</v>
      </c>
    </row>
    <row r="197" spans="1:28" ht="14.25" outlineLevel="1" x14ac:dyDescent="0.2">
      <c r="A197" s="75" t="s">
        <v>68</v>
      </c>
      <c r="B197" s="76" t="s">
        <v>4228</v>
      </c>
      <c r="C197" s="88" t="s">
        <v>4231</v>
      </c>
      <c r="D197" s="81" t="e">
        <f>A197&amp;C197&amp;#REF!</f>
        <v>#REF!</v>
      </c>
      <c r="E197" s="76" t="s">
        <v>4231</v>
      </c>
      <c r="F197" s="81">
        <v>2</v>
      </c>
      <c r="G197" s="82" t="s">
        <v>4232</v>
      </c>
      <c r="H197" s="76" t="s">
        <v>3524</v>
      </c>
      <c r="I197" s="71"/>
      <c r="J197" s="70">
        <f>IFERROR(VLOOKUP(Devis[[#This Row],[Ref Air Flux]],#REF!,3,FALSE),0)</f>
        <v>0</v>
      </c>
      <c r="K197" s="68"/>
      <c r="L197" s="68"/>
      <c r="M197" s="68"/>
      <c r="N197" s="68"/>
      <c r="O197" s="68"/>
      <c r="P197" s="68"/>
      <c r="Q197" s="68">
        <f>SUM(Devis[[#This Row],[Poste 1]:[Poste 6]])</f>
        <v>0</v>
      </c>
      <c r="R197" s="71"/>
      <c r="S197" s="68">
        <f>_xlfn.CEILING.MATH(Devis[[#This Row],[Quantité Totale]],Devis[[#This Row],[Conditionnement]])</f>
        <v>0</v>
      </c>
      <c r="T197" s="72"/>
      <c r="U197" s="73"/>
      <c r="V197" s="74">
        <f>Devis[[#This Row],[Prix de Revient]]*Devis[[#This Row],[Poste 1]]</f>
        <v>0</v>
      </c>
      <c r="W197" s="74">
        <f>Devis[[#This Row],[Prix de Revient]]*Devis[[#This Row],[Poste 2]]</f>
        <v>0</v>
      </c>
      <c r="X197" s="74">
        <f>Devis[[#This Row],[Prix de Revient]]*Devis[[#This Row],[Poste 3]]</f>
        <v>0</v>
      </c>
      <c r="Y197" s="74">
        <f>Devis[[#This Row],[Poste 4]]*Devis[[#This Row],[Prix de Revient]]</f>
        <v>0</v>
      </c>
      <c r="Z197" s="74">
        <f>Devis[[#This Row],[Poste 5]]*Devis[[#This Row],[Prix de Revient]]</f>
        <v>0</v>
      </c>
      <c r="AA197" s="74">
        <f>Devis[[#This Row],[Prix de Revient]]*Devis[[#This Row],[Poste 6]]</f>
        <v>0</v>
      </c>
      <c r="AB197" s="74">
        <f>Devis[[#This Row],[Quantité Totale]]*Devis[[#This Row],[Prix de Revient]]</f>
        <v>0</v>
      </c>
    </row>
    <row r="198" spans="1:28" ht="14.25" outlineLevel="1" x14ac:dyDescent="0.2">
      <c r="A198" s="75" t="s">
        <v>68</v>
      </c>
      <c r="B198" s="76" t="s">
        <v>4228</v>
      </c>
      <c r="C198" s="88" t="s">
        <v>4233</v>
      </c>
      <c r="D198" s="81" t="e">
        <f>A198&amp;C198&amp;#REF!</f>
        <v>#REF!</v>
      </c>
      <c r="E198" s="76" t="s">
        <v>4233</v>
      </c>
      <c r="F198" s="81">
        <v>3</v>
      </c>
      <c r="G198" s="82" t="s">
        <v>4234</v>
      </c>
      <c r="H198" s="76" t="s">
        <v>3524</v>
      </c>
      <c r="I198" s="71"/>
      <c r="J198" s="70">
        <f>IFERROR(VLOOKUP(Devis[[#This Row],[Ref Air Flux]],#REF!,3,FALSE),0)</f>
        <v>0</v>
      </c>
      <c r="K198" s="68"/>
      <c r="L198" s="68"/>
      <c r="M198" s="68"/>
      <c r="N198" s="68"/>
      <c r="O198" s="68"/>
      <c r="P198" s="68"/>
      <c r="Q198" s="68">
        <f>SUM(Devis[[#This Row],[Poste 1]:[Poste 6]])</f>
        <v>0</v>
      </c>
      <c r="R198" s="71"/>
      <c r="S198" s="68">
        <f>_xlfn.CEILING.MATH(Devis[[#This Row],[Quantité Totale]],Devis[[#This Row],[Conditionnement]])</f>
        <v>0</v>
      </c>
      <c r="T198" s="72"/>
      <c r="U198" s="73"/>
      <c r="V198" s="74">
        <f>Devis[[#This Row],[Prix de Revient]]*Devis[[#This Row],[Poste 1]]</f>
        <v>0</v>
      </c>
      <c r="W198" s="74">
        <f>Devis[[#This Row],[Prix de Revient]]*Devis[[#This Row],[Poste 2]]</f>
        <v>0</v>
      </c>
      <c r="X198" s="74">
        <f>Devis[[#This Row],[Prix de Revient]]*Devis[[#This Row],[Poste 3]]</f>
        <v>0</v>
      </c>
      <c r="Y198" s="74">
        <f>Devis[[#This Row],[Poste 4]]*Devis[[#This Row],[Prix de Revient]]</f>
        <v>0</v>
      </c>
      <c r="Z198" s="74">
        <f>Devis[[#This Row],[Poste 5]]*Devis[[#This Row],[Prix de Revient]]</f>
        <v>0</v>
      </c>
      <c r="AA198" s="74">
        <f>Devis[[#This Row],[Prix de Revient]]*Devis[[#This Row],[Poste 6]]</f>
        <v>0</v>
      </c>
      <c r="AB198" s="74">
        <f>Devis[[#This Row],[Quantité Totale]]*Devis[[#This Row],[Prix de Revient]]</f>
        <v>0</v>
      </c>
    </row>
    <row r="199" spans="1:28" ht="14.25" outlineLevel="1" x14ac:dyDescent="0.2">
      <c r="A199" s="75" t="s">
        <v>68</v>
      </c>
      <c r="B199" s="76" t="s">
        <v>4228</v>
      </c>
      <c r="C199" s="88" t="s">
        <v>4235</v>
      </c>
      <c r="D199" s="81" t="e">
        <f>A199&amp;C199&amp;#REF!</f>
        <v>#REF!</v>
      </c>
      <c r="E199" s="76" t="s">
        <v>4235</v>
      </c>
      <c r="F199" s="81">
        <v>4</v>
      </c>
      <c r="G199" s="82" t="s">
        <v>4236</v>
      </c>
      <c r="H199" s="76" t="s">
        <v>3524</v>
      </c>
      <c r="I199" s="71"/>
      <c r="J199" s="70">
        <f>IFERROR(VLOOKUP(Devis[[#This Row],[Ref Air Flux]],#REF!,3,FALSE),0)</f>
        <v>0</v>
      </c>
      <c r="K199" s="68"/>
      <c r="L199" s="68"/>
      <c r="M199" s="68"/>
      <c r="N199" s="68"/>
      <c r="O199" s="68"/>
      <c r="P199" s="68"/>
      <c r="Q199" s="68">
        <f>SUM(Devis[[#This Row],[Poste 1]:[Poste 6]])</f>
        <v>0</v>
      </c>
      <c r="R199" s="71"/>
      <c r="S199" s="68">
        <f>_xlfn.CEILING.MATH(Devis[[#This Row],[Quantité Totale]],Devis[[#This Row],[Conditionnement]])</f>
        <v>0</v>
      </c>
      <c r="T199" s="72"/>
      <c r="U199" s="73"/>
      <c r="V199" s="74">
        <f>Devis[[#This Row],[Prix de Revient]]*Devis[[#This Row],[Poste 1]]</f>
        <v>0</v>
      </c>
      <c r="W199" s="74">
        <f>Devis[[#This Row],[Prix de Revient]]*Devis[[#This Row],[Poste 2]]</f>
        <v>0</v>
      </c>
      <c r="X199" s="74">
        <f>Devis[[#This Row],[Prix de Revient]]*Devis[[#This Row],[Poste 3]]</f>
        <v>0</v>
      </c>
      <c r="Y199" s="74">
        <f>Devis[[#This Row],[Poste 4]]*Devis[[#This Row],[Prix de Revient]]</f>
        <v>0</v>
      </c>
      <c r="Z199" s="74">
        <f>Devis[[#This Row],[Poste 5]]*Devis[[#This Row],[Prix de Revient]]</f>
        <v>0</v>
      </c>
      <c r="AA199" s="74">
        <f>Devis[[#This Row],[Prix de Revient]]*Devis[[#This Row],[Poste 6]]</f>
        <v>0</v>
      </c>
      <c r="AB199" s="74">
        <f>Devis[[#This Row],[Quantité Totale]]*Devis[[#This Row],[Prix de Revient]]</f>
        <v>0</v>
      </c>
    </row>
    <row r="200" spans="1:28" ht="14.25" outlineLevel="1" x14ac:dyDescent="0.2">
      <c r="A200" s="75" t="s">
        <v>68</v>
      </c>
      <c r="B200" s="76" t="s">
        <v>4228</v>
      </c>
      <c r="C200" s="88" t="s">
        <v>4237</v>
      </c>
      <c r="D200" s="81" t="e">
        <f>A200&amp;C200&amp;#REF!</f>
        <v>#REF!</v>
      </c>
      <c r="E200" s="76" t="s">
        <v>4237</v>
      </c>
      <c r="F200" s="81">
        <v>5</v>
      </c>
      <c r="G200" s="82" t="s">
        <v>4238</v>
      </c>
      <c r="H200" s="76" t="s">
        <v>3524</v>
      </c>
      <c r="I200" s="71"/>
      <c r="J200" s="70">
        <f>IFERROR(VLOOKUP(Devis[[#This Row],[Ref Air Flux]],#REF!,3,FALSE),0)</f>
        <v>0</v>
      </c>
      <c r="K200" s="68"/>
      <c r="L200" s="68"/>
      <c r="M200" s="68"/>
      <c r="N200" s="68"/>
      <c r="O200" s="68"/>
      <c r="P200" s="68"/>
      <c r="Q200" s="68">
        <f>SUM(Devis[[#This Row],[Poste 1]:[Poste 6]])</f>
        <v>0</v>
      </c>
      <c r="R200" s="71"/>
      <c r="S200" s="68">
        <f>_xlfn.CEILING.MATH(Devis[[#This Row],[Quantité Totale]],Devis[[#This Row],[Conditionnement]])</f>
        <v>0</v>
      </c>
      <c r="T200" s="72"/>
      <c r="U200" s="73"/>
      <c r="V200" s="74">
        <f>Devis[[#This Row],[Prix de Revient]]*Devis[[#This Row],[Poste 1]]</f>
        <v>0</v>
      </c>
      <c r="W200" s="74">
        <f>Devis[[#This Row],[Prix de Revient]]*Devis[[#This Row],[Poste 2]]</f>
        <v>0</v>
      </c>
      <c r="X200" s="74">
        <f>Devis[[#This Row],[Prix de Revient]]*Devis[[#This Row],[Poste 3]]</f>
        <v>0</v>
      </c>
      <c r="Y200" s="74">
        <f>Devis[[#This Row],[Poste 4]]*Devis[[#This Row],[Prix de Revient]]</f>
        <v>0</v>
      </c>
      <c r="Z200" s="74">
        <f>Devis[[#This Row],[Poste 5]]*Devis[[#This Row],[Prix de Revient]]</f>
        <v>0</v>
      </c>
      <c r="AA200" s="74">
        <f>Devis[[#This Row],[Prix de Revient]]*Devis[[#This Row],[Poste 6]]</f>
        <v>0</v>
      </c>
      <c r="AB200" s="74">
        <f>Devis[[#This Row],[Quantité Totale]]*Devis[[#This Row],[Prix de Revient]]</f>
        <v>0</v>
      </c>
    </row>
    <row r="201" spans="1:28" ht="15" customHeight="1" outlineLevel="1" x14ac:dyDescent="0.2">
      <c r="A201" s="75" t="s">
        <v>68</v>
      </c>
      <c r="B201" s="76" t="s">
        <v>4228</v>
      </c>
      <c r="C201" s="88" t="s">
        <v>4239</v>
      </c>
      <c r="D201" s="81" t="e">
        <f>A201&amp;C201&amp;#REF!</f>
        <v>#REF!</v>
      </c>
      <c r="E201" s="76" t="s">
        <v>4239</v>
      </c>
      <c r="F201" s="81">
        <v>6</v>
      </c>
      <c r="G201" s="82" t="s">
        <v>4240</v>
      </c>
      <c r="H201" s="76" t="s">
        <v>3524</v>
      </c>
      <c r="I201" s="71"/>
      <c r="J201" s="70">
        <f>IFERROR(VLOOKUP(Devis[[#This Row],[Ref Air Flux]],#REF!,3,FALSE),0)</f>
        <v>0</v>
      </c>
      <c r="K201" s="68"/>
      <c r="L201" s="68"/>
      <c r="M201" s="68"/>
      <c r="N201" s="68"/>
      <c r="O201" s="68"/>
      <c r="P201" s="68"/>
      <c r="Q201" s="68">
        <f>SUM(Devis[[#This Row],[Poste 1]:[Poste 6]])</f>
        <v>0</v>
      </c>
      <c r="R201" s="71"/>
      <c r="S201" s="68">
        <f>_xlfn.CEILING.MATH(Devis[[#This Row],[Quantité Totale]],Devis[[#This Row],[Conditionnement]])</f>
        <v>0</v>
      </c>
      <c r="T201" s="72"/>
      <c r="U201" s="73"/>
      <c r="V201" s="74">
        <f>Devis[[#This Row],[Prix de Revient]]*Devis[[#This Row],[Poste 1]]</f>
        <v>0</v>
      </c>
      <c r="W201" s="74">
        <f>Devis[[#This Row],[Prix de Revient]]*Devis[[#This Row],[Poste 2]]</f>
        <v>0</v>
      </c>
      <c r="X201" s="74">
        <f>Devis[[#This Row],[Prix de Revient]]*Devis[[#This Row],[Poste 3]]</f>
        <v>0</v>
      </c>
      <c r="Y201" s="74">
        <f>Devis[[#This Row],[Poste 4]]*Devis[[#This Row],[Prix de Revient]]</f>
        <v>0</v>
      </c>
      <c r="Z201" s="74">
        <f>Devis[[#This Row],[Poste 5]]*Devis[[#This Row],[Prix de Revient]]</f>
        <v>0</v>
      </c>
      <c r="AA201" s="74">
        <f>Devis[[#This Row],[Prix de Revient]]*Devis[[#This Row],[Poste 6]]</f>
        <v>0</v>
      </c>
      <c r="AB201" s="74">
        <f>Devis[[#This Row],[Quantité Totale]]*Devis[[#This Row],[Prix de Revient]]</f>
        <v>0</v>
      </c>
    </row>
    <row r="202" spans="1:28" ht="14.25" customHeight="1" outlineLevel="1" x14ac:dyDescent="0.2">
      <c r="A202" s="75" t="s">
        <v>68</v>
      </c>
      <c r="B202" s="76" t="s">
        <v>4228</v>
      </c>
      <c r="C202" s="88" t="s">
        <v>4241</v>
      </c>
      <c r="D202" s="81" t="e">
        <f>A202&amp;C202&amp;#REF!</f>
        <v>#REF!</v>
      </c>
      <c r="E202" s="76" t="s">
        <v>4241</v>
      </c>
      <c r="F202" s="81">
        <v>7</v>
      </c>
      <c r="G202" s="82" t="s">
        <v>4242</v>
      </c>
      <c r="H202" s="76" t="s">
        <v>3524</v>
      </c>
      <c r="I202" s="71"/>
      <c r="J202" s="70">
        <f>IFERROR(VLOOKUP(Devis[[#This Row],[Ref Air Flux]],#REF!,3,FALSE),0)</f>
        <v>0</v>
      </c>
      <c r="K202" s="68"/>
      <c r="L202" s="68"/>
      <c r="M202" s="68"/>
      <c r="N202" s="68"/>
      <c r="O202" s="68"/>
      <c r="P202" s="68"/>
      <c r="Q202" s="68">
        <f>SUM(Devis[[#This Row],[Poste 1]:[Poste 6]])</f>
        <v>0</v>
      </c>
      <c r="R202" s="71"/>
      <c r="S202" s="68">
        <f>_xlfn.CEILING.MATH(Devis[[#This Row],[Quantité Totale]],Devis[[#This Row],[Conditionnement]])</f>
        <v>0</v>
      </c>
      <c r="T202" s="72"/>
      <c r="U202" s="73"/>
      <c r="V202" s="74">
        <f>Devis[[#This Row],[Prix de Revient]]*Devis[[#This Row],[Poste 1]]</f>
        <v>0</v>
      </c>
      <c r="W202" s="74">
        <f>Devis[[#This Row],[Prix de Revient]]*Devis[[#This Row],[Poste 2]]</f>
        <v>0</v>
      </c>
      <c r="X202" s="74">
        <f>Devis[[#This Row],[Prix de Revient]]*Devis[[#This Row],[Poste 3]]</f>
        <v>0</v>
      </c>
      <c r="Y202" s="74">
        <f>Devis[[#This Row],[Poste 4]]*Devis[[#This Row],[Prix de Revient]]</f>
        <v>0</v>
      </c>
      <c r="Z202" s="74">
        <f>Devis[[#This Row],[Poste 5]]*Devis[[#This Row],[Prix de Revient]]</f>
        <v>0</v>
      </c>
      <c r="AA202" s="74">
        <f>Devis[[#This Row],[Prix de Revient]]*Devis[[#This Row],[Poste 6]]</f>
        <v>0</v>
      </c>
      <c r="AB202" s="74">
        <f>Devis[[#This Row],[Quantité Totale]]*Devis[[#This Row],[Prix de Revient]]</f>
        <v>0</v>
      </c>
    </row>
    <row r="203" spans="1:28" ht="14.25" outlineLevel="1" x14ac:dyDescent="0.2">
      <c r="A203" s="75" t="s">
        <v>68</v>
      </c>
      <c r="B203" s="76" t="s">
        <v>4228</v>
      </c>
      <c r="C203" s="88" t="s">
        <v>4243</v>
      </c>
      <c r="D203" s="81" t="e">
        <f>A203&amp;C203&amp;#REF!</f>
        <v>#REF!</v>
      </c>
      <c r="E203" s="76" t="s">
        <v>4243</v>
      </c>
      <c r="F203" s="81">
        <v>8</v>
      </c>
      <c r="G203" s="82" t="s">
        <v>4244</v>
      </c>
      <c r="H203" s="76" t="s">
        <v>3524</v>
      </c>
      <c r="I203" s="71"/>
      <c r="J203" s="70">
        <f>IFERROR(VLOOKUP(Devis[[#This Row],[Ref Air Flux]],#REF!,3,FALSE),0)</f>
        <v>0</v>
      </c>
      <c r="K203" s="68"/>
      <c r="L203" s="68"/>
      <c r="M203" s="68"/>
      <c r="N203" s="68"/>
      <c r="O203" s="68"/>
      <c r="P203" s="68"/>
      <c r="Q203" s="68">
        <f>SUM(Devis[[#This Row],[Poste 1]:[Poste 6]])</f>
        <v>0</v>
      </c>
      <c r="R203" s="71"/>
      <c r="S203" s="68">
        <f>_xlfn.CEILING.MATH(Devis[[#This Row],[Quantité Totale]],Devis[[#This Row],[Conditionnement]])</f>
        <v>0</v>
      </c>
      <c r="T203" s="72"/>
      <c r="U203" s="73"/>
      <c r="V203" s="74">
        <f>Devis[[#This Row],[Prix de Revient]]*Devis[[#This Row],[Poste 1]]</f>
        <v>0</v>
      </c>
      <c r="W203" s="74">
        <f>Devis[[#This Row],[Prix de Revient]]*Devis[[#This Row],[Poste 2]]</f>
        <v>0</v>
      </c>
      <c r="X203" s="74">
        <f>Devis[[#This Row],[Prix de Revient]]*Devis[[#This Row],[Poste 3]]</f>
        <v>0</v>
      </c>
      <c r="Y203" s="74">
        <f>Devis[[#This Row],[Poste 4]]*Devis[[#This Row],[Prix de Revient]]</f>
        <v>0</v>
      </c>
      <c r="Z203" s="74">
        <f>Devis[[#This Row],[Poste 5]]*Devis[[#This Row],[Prix de Revient]]</f>
        <v>0</v>
      </c>
      <c r="AA203" s="74">
        <f>Devis[[#This Row],[Prix de Revient]]*Devis[[#This Row],[Poste 6]]</f>
        <v>0</v>
      </c>
      <c r="AB203" s="74">
        <f>Devis[[#This Row],[Quantité Totale]]*Devis[[#This Row],[Prix de Revient]]</f>
        <v>0</v>
      </c>
    </row>
    <row r="204" spans="1:28" ht="14.25" customHeight="1" outlineLevel="1" x14ac:dyDescent="0.2">
      <c r="A204" s="75" t="s">
        <v>68</v>
      </c>
      <c r="B204" s="76" t="s">
        <v>4228</v>
      </c>
      <c r="C204" s="88" t="s">
        <v>4245</v>
      </c>
      <c r="D204" s="81" t="e">
        <f>A204&amp;C204&amp;#REF!</f>
        <v>#REF!</v>
      </c>
      <c r="E204" s="76" t="s">
        <v>4245</v>
      </c>
      <c r="F204" s="81">
        <v>9</v>
      </c>
      <c r="G204" s="82" t="s">
        <v>4246</v>
      </c>
      <c r="H204" s="76" t="s">
        <v>3524</v>
      </c>
      <c r="I204" s="71"/>
      <c r="J204" s="70">
        <f>IFERROR(VLOOKUP(Devis[[#This Row],[Ref Air Flux]],#REF!,3,FALSE),0)</f>
        <v>0</v>
      </c>
      <c r="K204" s="68"/>
      <c r="L204" s="68"/>
      <c r="M204" s="68"/>
      <c r="N204" s="68"/>
      <c r="O204" s="68"/>
      <c r="P204" s="68"/>
      <c r="Q204" s="68">
        <f>SUM(Devis[[#This Row],[Poste 1]:[Poste 6]])</f>
        <v>0</v>
      </c>
      <c r="R204" s="71"/>
      <c r="S204" s="68">
        <f>_xlfn.CEILING.MATH(Devis[[#This Row],[Quantité Totale]],Devis[[#This Row],[Conditionnement]])</f>
        <v>0</v>
      </c>
      <c r="T204" s="72"/>
      <c r="U204" s="73"/>
      <c r="V204" s="74">
        <f>Devis[[#This Row],[Prix de Revient]]*Devis[[#This Row],[Poste 1]]</f>
        <v>0</v>
      </c>
      <c r="W204" s="74">
        <f>Devis[[#This Row],[Prix de Revient]]*Devis[[#This Row],[Poste 2]]</f>
        <v>0</v>
      </c>
      <c r="X204" s="74">
        <f>Devis[[#This Row],[Prix de Revient]]*Devis[[#This Row],[Poste 3]]</f>
        <v>0</v>
      </c>
      <c r="Y204" s="74">
        <f>Devis[[#This Row],[Poste 4]]*Devis[[#This Row],[Prix de Revient]]</f>
        <v>0</v>
      </c>
      <c r="Z204" s="74">
        <f>Devis[[#This Row],[Poste 5]]*Devis[[#This Row],[Prix de Revient]]</f>
        <v>0</v>
      </c>
      <c r="AA204" s="74">
        <f>Devis[[#This Row],[Prix de Revient]]*Devis[[#This Row],[Poste 6]]</f>
        <v>0</v>
      </c>
      <c r="AB204" s="74">
        <f>Devis[[#This Row],[Quantité Totale]]*Devis[[#This Row],[Prix de Revient]]</f>
        <v>0</v>
      </c>
    </row>
    <row r="205" spans="1:28" ht="14.25" outlineLevel="1" x14ac:dyDescent="0.2">
      <c r="A205" s="75" t="s">
        <v>68</v>
      </c>
      <c r="B205" s="76" t="s">
        <v>4228</v>
      </c>
      <c r="C205" s="88" t="s">
        <v>4247</v>
      </c>
      <c r="D205" s="81" t="e">
        <f>A205&amp;C205&amp;#REF!</f>
        <v>#REF!</v>
      </c>
      <c r="E205" s="76" t="s">
        <v>4247</v>
      </c>
      <c r="F205" s="81">
        <v>10</v>
      </c>
      <c r="G205" s="82" t="s">
        <v>4248</v>
      </c>
      <c r="H205" s="76" t="s">
        <v>3524</v>
      </c>
      <c r="I205" s="71"/>
      <c r="J205" s="70">
        <f>IFERROR(VLOOKUP(Devis[[#This Row],[Ref Air Flux]],#REF!,3,FALSE),0)</f>
        <v>0</v>
      </c>
      <c r="K205" s="68"/>
      <c r="L205" s="68"/>
      <c r="M205" s="68"/>
      <c r="N205" s="68"/>
      <c r="O205" s="68"/>
      <c r="P205" s="68"/>
      <c r="Q205" s="68">
        <f>SUM(Devis[[#This Row],[Poste 1]:[Poste 6]])</f>
        <v>0</v>
      </c>
      <c r="R205" s="71"/>
      <c r="S205" s="68">
        <f>_xlfn.CEILING.MATH(Devis[[#This Row],[Quantité Totale]],Devis[[#This Row],[Conditionnement]])</f>
        <v>0</v>
      </c>
      <c r="T205" s="72"/>
      <c r="U205" s="73"/>
      <c r="V205" s="74">
        <f>Devis[[#This Row],[Prix de Revient]]*Devis[[#This Row],[Poste 1]]</f>
        <v>0</v>
      </c>
      <c r="W205" s="74">
        <f>Devis[[#This Row],[Prix de Revient]]*Devis[[#This Row],[Poste 2]]</f>
        <v>0</v>
      </c>
      <c r="X205" s="74">
        <f>Devis[[#This Row],[Prix de Revient]]*Devis[[#This Row],[Poste 3]]</f>
        <v>0</v>
      </c>
      <c r="Y205" s="74">
        <f>Devis[[#This Row],[Poste 4]]*Devis[[#This Row],[Prix de Revient]]</f>
        <v>0</v>
      </c>
      <c r="Z205" s="74">
        <f>Devis[[#This Row],[Poste 5]]*Devis[[#This Row],[Prix de Revient]]</f>
        <v>0</v>
      </c>
      <c r="AA205" s="74">
        <f>Devis[[#This Row],[Prix de Revient]]*Devis[[#This Row],[Poste 6]]</f>
        <v>0</v>
      </c>
      <c r="AB205" s="74">
        <f>Devis[[#This Row],[Quantité Totale]]*Devis[[#This Row],[Prix de Revient]]</f>
        <v>0</v>
      </c>
    </row>
    <row r="206" spans="1:28" ht="14.25" outlineLevel="1" x14ac:dyDescent="0.2">
      <c r="A206" s="75" t="s">
        <v>68</v>
      </c>
      <c r="B206" s="76" t="s">
        <v>4228</v>
      </c>
      <c r="C206" s="88"/>
      <c r="D206" s="81" t="e">
        <f>A206&amp;C206&amp;#REF!</f>
        <v>#REF!</v>
      </c>
      <c r="E206" s="76"/>
      <c r="F206" s="81">
        <v>11</v>
      </c>
      <c r="G206" s="82"/>
      <c r="H206" s="76"/>
      <c r="I206" s="71"/>
      <c r="J206" s="70">
        <f>IFERROR(VLOOKUP(Devis[[#This Row],[Ref Air Flux]],#REF!,3,FALSE),0)</f>
        <v>0</v>
      </c>
      <c r="K206" s="68"/>
      <c r="L206" s="68"/>
      <c r="M206" s="68"/>
      <c r="N206" s="68"/>
      <c r="O206" s="68"/>
      <c r="P206" s="68"/>
      <c r="Q206" s="68">
        <f>SUM(Devis[[#This Row],[Poste 1]:[Poste 6]])</f>
        <v>0</v>
      </c>
      <c r="R206" s="71"/>
      <c r="S206" s="68">
        <f>_xlfn.CEILING.MATH(Devis[[#This Row],[Quantité Totale]],Devis[[#This Row],[Conditionnement]])</f>
        <v>0</v>
      </c>
      <c r="T206" s="72"/>
      <c r="U206" s="73"/>
      <c r="V206" s="74">
        <f>Devis[[#This Row],[Prix de Revient]]*Devis[[#This Row],[Poste 1]]</f>
        <v>0</v>
      </c>
      <c r="W206" s="74">
        <f>Devis[[#This Row],[Prix de Revient]]*Devis[[#This Row],[Poste 2]]</f>
        <v>0</v>
      </c>
      <c r="X206" s="74">
        <f>Devis[[#This Row],[Prix de Revient]]*Devis[[#This Row],[Poste 3]]</f>
        <v>0</v>
      </c>
      <c r="Y206" s="74">
        <f>Devis[[#This Row],[Poste 4]]*Devis[[#This Row],[Prix de Revient]]</f>
        <v>0</v>
      </c>
      <c r="Z206" s="74">
        <f>Devis[[#This Row],[Poste 5]]*Devis[[#This Row],[Prix de Revient]]</f>
        <v>0</v>
      </c>
      <c r="AA206" s="74">
        <f>Devis[[#This Row],[Prix de Revient]]*Devis[[#This Row],[Poste 6]]</f>
        <v>0</v>
      </c>
      <c r="AB206" s="74">
        <f>Devis[[#This Row],[Quantité Totale]]*Devis[[#This Row],[Prix de Revient]]</f>
        <v>0</v>
      </c>
    </row>
    <row r="207" spans="1:28" ht="14.25" outlineLevel="1" x14ac:dyDescent="0.2">
      <c r="A207" s="75" t="s">
        <v>68</v>
      </c>
      <c r="B207" s="76" t="s">
        <v>4228</v>
      </c>
      <c r="C207" s="88" t="s">
        <v>4249</v>
      </c>
      <c r="D207" s="81" t="e">
        <f>A207&amp;C207&amp;#REF!</f>
        <v>#REF!</v>
      </c>
      <c r="E207" s="76" t="s">
        <v>4249</v>
      </c>
      <c r="F207" s="81">
        <v>12</v>
      </c>
      <c r="G207" s="82" t="s">
        <v>4250</v>
      </c>
      <c r="H207" s="76" t="s">
        <v>3524</v>
      </c>
      <c r="I207" s="71"/>
      <c r="J207" s="70">
        <f>IFERROR(VLOOKUP(Devis[[#This Row],[Ref Air Flux]],#REF!,3,FALSE),0)</f>
        <v>0</v>
      </c>
      <c r="K207" s="68"/>
      <c r="L207" s="68"/>
      <c r="M207" s="68"/>
      <c r="N207" s="68"/>
      <c r="O207" s="68"/>
      <c r="P207" s="68"/>
      <c r="Q207" s="68">
        <f>SUM(Devis[[#This Row],[Poste 1]:[Poste 6]])</f>
        <v>0</v>
      </c>
      <c r="R207" s="71"/>
      <c r="S207" s="68">
        <f>_xlfn.CEILING.MATH(Devis[[#This Row],[Quantité Totale]],Devis[[#This Row],[Conditionnement]])</f>
        <v>0</v>
      </c>
      <c r="T207" s="72"/>
      <c r="U207" s="73"/>
      <c r="V207" s="74">
        <f>Devis[[#This Row],[Prix de Revient]]*Devis[[#This Row],[Poste 1]]</f>
        <v>0</v>
      </c>
      <c r="W207" s="74">
        <f>Devis[[#This Row],[Prix de Revient]]*Devis[[#This Row],[Poste 2]]</f>
        <v>0</v>
      </c>
      <c r="X207" s="74">
        <f>Devis[[#This Row],[Prix de Revient]]*Devis[[#This Row],[Poste 3]]</f>
        <v>0</v>
      </c>
      <c r="Y207" s="74">
        <f>Devis[[#This Row],[Poste 4]]*Devis[[#This Row],[Prix de Revient]]</f>
        <v>0</v>
      </c>
      <c r="Z207" s="74">
        <f>Devis[[#This Row],[Poste 5]]*Devis[[#This Row],[Prix de Revient]]</f>
        <v>0</v>
      </c>
      <c r="AA207" s="74">
        <f>Devis[[#This Row],[Prix de Revient]]*Devis[[#This Row],[Poste 6]]</f>
        <v>0</v>
      </c>
      <c r="AB207" s="74">
        <f>Devis[[#This Row],[Quantité Totale]]*Devis[[#This Row],[Prix de Revient]]</f>
        <v>0</v>
      </c>
    </row>
    <row r="208" spans="1:28" ht="14.25" outlineLevel="1" x14ac:dyDescent="0.2">
      <c r="A208" s="75" t="s">
        <v>68</v>
      </c>
      <c r="B208" s="76" t="s">
        <v>4228</v>
      </c>
      <c r="C208" s="88" t="s">
        <v>4251</v>
      </c>
      <c r="D208" s="81" t="e">
        <f>A208&amp;C208&amp;#REF!</f>
        <v>#REF!</v>
      </c>
      <c r="E208" s="76" t="s">
        <v>4251</v>
      </c>
      <c r="F208" s="81">
        <v>13</v>
      </c>
      <c r="G208" s="82" t="s">
        <v>4252</v>
      </c>
      <c r="H208" s="76" t="s">
        <v>3524</v>
      </c>
      <c r="I208" s="71"/>
      <c r="J208" s="70">
        <f>IFERROR(VLOOKUP(Devis[[#This Row],[Ref Air Flux]],#REF!,3,FALSE),0)</f>
        <v>0</v>
      </c>
      <c r="K208" s="68"/>
      <c r="L208" s="68"/>
      <c r="M208" s="68"/>
      <c r="N208" s="68"/>
      <c r="O208" s="68"/>
      <c r="P208" s="68"/>
      <c r="Q208" s="68">
        <f>SUM(Devis[[#This Row],[Poste 1]:[Poste 6]])</f>
        <v>0</v>
      </c>
      <c r="R208" s="71"/>
      <c r="S208" s="68">
        <f>_xlfn.CEILING.MATH(Devis[[#This Row],[Quantité Totale]],Devis[[#This Row],[Conditionnement]])</f>
        <v>0</v>
      </c>
      <c r="T208" s="72"/>
      <c r="U208" s="73"/>
      <c r="V208" s="74">
        <f>Devis[[#This Row],[Prix de Revient]]*Devis[[#This Row],[Poste 1]]</f>
        <v>0</v>
      </c>
      <c r="W208" s="74">
        <f>Devis[[#This Row],[Prix de Revient]]*Devis[[#This Row],[Poste 2]]</f>
        <v>0</v>
      </c>
      <c r="X208" s="74">
        <f>Devis[[#This Row],[Prix de Revient]]*Devis[[#This Row],[Poste 3]]</f>
        <v>0</v>
      </c>
      <c r="Y208" s="74">
        <f>Devis[[#This Row],[Poste 4]]*Devis[[#This Row],[Prix de Revient]]</f>
        <v>0</v>
      </c>
      <c r="Z208" s="74">
        <f>Devis[[#This Row],[Poste 5]]*Devis[[#This Row],[Prix de Revient]]</f>
        <v>0</v>
      </c>
      <c r="AA208" s="74">
        <f>Devis[[#This Row],[Prix de Revient]]*Devis[[#This Row],[Poste 6]]</f>
        <v>0</v>
      </c>
      <c r="AB208" s="74">
        <f>Devis[[#This Row],[Quantité Totale]]*Devis[[#This Row],[Prix de Revient]]</f>
        <v>0</v>
      </c>
    </row>
    <row r="209" spans="1:28" ht="14.25" customHeight="1" outlineLevel="1" x14ac:dyDescent="0.2">
      <c r="A209" s="75" t="s">
        <v>68</v>
      </c>
      <c r="B209" s="76" t="s">
        <v>4228</v>
      </c>
      <c r="C209" s="88" t="s">
        <v>4253</v>
      </c>
      <c r="D209" s="81" t="e">
        <f>A209&amp;C209&amp;#REF!</f>
        <v>#REF!</v>
      </c>
      <c r="E209" s="76" t="s">
        <v>4253</v>
      </c>
      <c r="F209" s="81">
        <v>14</v>
      </c>
      <c r="G209" s="82" t="s">
        <v>4254</v>
      </c>
      <c r="H209" s="76" t="s">
        <v>3524</v>
      </c>
      <c r="I209" s="71"/>
      <c r="J209" s="70">
        <f>IFERROR(VLOOKUP(Devis[[#This Row],[Ref Air Flux]],#REF!,3,FALSE),0)</f>
        <v>0</v>
      </c>
      <c r="K209" s="68"/>
      <c r="L209" s="68"/>
      <c r="M209" s="68"/>
      <c r="N209" s="68"/>
      <c r="O209" s="68"/>
      <c r="P209" s="68"/>
      <c r="Q209" s="68">
        <f>SUM(Devis[[#This Row],[Poste 1]:[Poste 6]])</f>
        <v>0</v>
      </c>
      <c r="R209" s="71"/>
      <c r="S209" s="68">
        <f>_xlfn.CEILING.MATH(Devis[[#This Row],[Quantité Totale]],Devis[[#This Row],[Conditionnement]])</f>
        <v>0</v>
      </c>
      <c r="T209" s="72"/>
      <c r="U209" s="73"/>
      <c r="V209" s="74">
        <f>Devis[[#This Row],[Prix de Revient]]*Devis[[#This Row],[Poste 1]]</f>
        <v>0</v>
      </c>
      <c r="W209" s="74">
        <f>Devis[[#This Row],[Prix de Revient]]*Devis[[#This Row],[Poste 2]]</f>
        <v>0</v>
      </c>
      <c r="X209" s="74">
        <f>Devis[[#This Row],[Prix de Revient]]*Devis[[#This Row],[Poste 3]]</f>
        <v>0</v>
      </c>
      <c r="Y209" s="74">
        <f>Devis[[#This Row],[Poste 4]]*Devis[[#This Row],[Prix de Revient]]</f>
        <v>0</v>
      </c>
      <c r="Z209" s="74">
        <f>Devis[[#This Row],[Poste 5]]*Devis[[#This Row],[Prix de Revient]]</f>
        <v>0</v>
      </c>
      <c r="AA209" s="74">
        <f>Devis[[#This Row],[Prix de Revient]]*Devis[[#This Row],[Poste 6]]</f>
        <v>0</v>
      </c>
      <c r="AB209" s="74">
        <f>Devis[[#This Row],[Quantité Totale]]*Devis[[#This Row],[Prix de Revient]]</f>
        <v>0</v>
      </c>
    </row>
    <row r="210" spans="1:28" ht="14.25" customHeight="1" outlineLevel="1" x14ac:dyDescent="0.2">
      <c r="A210" s="75" t="s">
        <v>68</v>
      </c>
      <c r="B210" s="76" t="s">
        <v>4228</v>
      </c>
      <c r="C210" s="88" t="s">
        <v>4255</v>
      </c>
      <c r="D210" s="81" t="e">
        <f>A210&amp;C210&amp;#REF!</f>
        <v>#REF!</v>
      </c>
      <c r="E210" s="76" t="s">
        <v>4255</v>
      </c>
      <c r="F210" s="81">
        <v>15</v>
      </c>
      <c r="G210" s="82" t="s">
        <v>4256</v>
      </c>
      <c r="H210" s="76" t="s">
        <v>3524</v>
      </c>
      <c r="I210" s="71"/>
      <c r="J210" s="70">
        <f>IFERROR(VLOOKUP(Devis[[#This Row],[Ref Air Flux]],#REF!,3,FALSE),0)</f>
        <v>0</v>
      </c>
      <c r="K210" s="68"/>
      <c r="L210" s="68"/>
      <c r="M210" s="68"/>
      <c r="N210" s="68"/>
      <c r="O210" s="68"/>
      <c r="P210" s="68"/>
      <c r="Q210" s="68">
        <f>SUM(Devis[[#This Row],[Poste 1]:[Poste 6]])</f>
        <v>0</v>
      </c>
      <c r="R210" s="71"/>
      <c r="S210" s="68">
        <f>_xlfn.CEILING.MATH(Devis[[#This Row],[Quantité Totale]],Devis[[#This Row],[Conditionnement]])</f>
        <v>0</v>
      </c>
      <c r="T210" s="72"/>
      <c r="U210" s="73"/>
      <c r="V210" s="74">
        <f>Devis[[#This Row],[Prix de Revient]]*Devis[[#This Row],[Poste 1]]</f>
        <v>0</v>
      </c>
      <c r="W210" s="74">
        <f>Devis[[#This Row],[Prix de Revient]]*Devis[[#This Row],[Poste 2]]</f>
        <v>0</v>
      </c>
      <c r="X210" s="74">
        <f>Devis[[#This Row],[Prix de Revient]]*Devis[[#This Row],[Poste 3]]</f>
        <v>0</v>
      </c>
      <c r="Y210" s="74">
        <f>Devis[[#This Row],[Poste 4]]*Devis[[#This Row],[Prix de Revient]]</f>
        <v>0</v>
      </c>
      <c r="Z210" s="74">
        <f>Devis[[#This Row],[Poste 5]]*Devis[[#This Row],[Prix de Revient]]</f>
        <v>0</v>
      </c>
      <c r="AA210" s="74">
        <f>Devis[[#This Row],[Prix de Revient]]*Devis[[#This Row],[Poste 6]]</f>
        <v>0</v>
      </c>
      <c r="AB210" s="74">
        <f>Devis[[#This Row],[Quantité Totale]]*Devis[[#This Row],[Prix de Revient]]</f>
        <v>0</v>
      </c>
    </row>
    <row r="211" spans="1:28" ht="14.25" customHeight="1" outlineLevel="1" x14ac:dyDescent="0.2">
      <c r="A211" s="75" t="s">
        <v>68</v>
      </c>
      <c r="B211" s="76" t="s">
        <v>4228</v>
      </c>
      <c r="C211" s="88" t="s">
        <v>4257</v>
      </c>
      <c r="D211" s="81" t="e">
        <f>A211&amp;C211&amp;#REF!</f>
        <v>#REF!</v>
      </c>
      <c r="E211" s="76" t="s">
        <v>4257</v>
      </c>
      <c r="F211" s="81">
        <v>16</v>
      </c>
      <c r="G211" s="82" t="s">
        <v>4258</v>
      </c>
      <c r="H211" s="76" t="s">
        <v>3524</v>
      </c>
      <c r="I211" s="71"/>
      <c r="J211" s="70">
        <f>IFERROR(VLOOKUP(Devis[[#This Row],[Ref Air Flux]],#REF!,3,FALSE),0)</f>
        <v>0</v>
      </c>
      <c r="K211" s="68"/>
      <c r="L211" s="68"/>
      <c r="M211" s="68"/>
      <c r="N211" s="68"/>
      <c r="O211" s="68"/>
      <c r="P211" s="68"/>
      <c r="Q211" s="68">
        <f>SUM(Devis[[#This Row],[Poste 1]:[Poste 6]])</f>
        <v>0</v>
      </c>
      <c r="R211" s="71"/>
      <c r="S211" s="68">
        <f>_xlfn.CEILING.MATH(Devis[[#This Row],[Quantité Totale]],Devis[[#This Row],[Conditionnement]])</f>
        <v>0</v>
      </c>
      <c r="T211" s="72"/>
      <c r="U211" s="73"/>
      <c r="V211" s="74">
        <f>Devis[[#This Row],[Prix de Revient]]*Devis[[#This Row],[Poste 1]]</f>
        <v>0</v>
      </c>
      <c r="W211" s="74">
        <f>Devis[[#This Row],[Prix de Revient]]*Devis[[#This Row],[Poste 2]]</f>
        <v>0</v>
      </c>
      <c r="X211" s="74">
        <f>Devis[[#This Row],[Prix de Revient]]*Devis[[#This Row],[Poste 3]]</f>
        <v>0</v>
      </c>
      <c r="Y211" s="74">
        <f>Devis[[#This Row],[Poste 4]]*Devis[[#This Row],[Prix de Revient]]</f>
        <v>0</v>
      </c>
      <c r="Z211" s="74">
        <f>Devis[[#This Row],[Poste 5]]*Devis[[#This Row],[Prix de Revient]]</f>
        <v>0</v>
      </c>
      <c r="AA211" s="74">
        <f>Devis[[#This Row],[Prix de Revient]]*Devis[[#This Row],[Poste 6]]</f>
        <v>0</v>
      </c>
      <c r="AB211" s="74">
        <f>Devis[[#This Row],[Quantité Totale]]*Devis[[#This Row],[Prix de Revient]]</f>
        <v>0</v>
      </c>
    </row>
    <row r="212" spans="1:28" ht="14.25" customHeight="1" outlineLevel="1" x14ac:dyDescent="0.2">
      <c r="A212" s="75" t="s">
        <v>68</v>
      </c>
      <c r="B212" s="76" t="s">
        <v>4228</v>
      </c>
      <c r="C212" s="88" t="s">
        <v>4259</v>
      </c>
      <c r="D212" s="81" t="e">
        <f>A212&amp;C212&amp;#REF!</f>
        <v>#REF!</v>
      </c>
      <c r="E212" s="76" t="s">
        <v>4259</v>
      </c>
      <c r="F212" s="81">
        <v>17</v>
      </c>
      <c r="G212" s="82" t="s">
        <v>4260</v>
      </c>
      <c r="H212" s="76" t="s">
        <v>3524</v>
      </c>
      <c r="I212" s="71"/>
      <c r="J212" s="70">
        <f>IFERROR(VLOOKUP(Devis[[#This Row],[Ref Air Flux]],#REF!,3,FALSE),0)</f>
        <v>0</v>
      </c>
      <c r="K212" s="68"/>
      <c r="L212" s="68"/>
      <c r="M212" s="68"/>
      <c r="N212" s="68"/>
      <c r="O212" s="68"/>
      <c r="P212" s="68"/>
      <c r="Q212" s="68">
        <f>SUM(Devis[[#This Row],[Poste 1]:[Poste 6]])</f>
        <v>0</v>
      </c>
      <c r="R212" s="71"/>
      <c r="S212" s="68">
        <f>_xlfn.CEILING.MATH(Devis[[#This Row],[Quantité Totale]],Devis[[#This Row],[Conditionnement]])</f>
        <v>0</v>
      </c>
      <c r="T212" s="72"/>
      <c r="U212" s="73"/>
      <c r="V212" s="74">
        <f>Devis[[#This Row],[Prix de Revient]]*Devis[[#This Row],[Poste 1]]</f>
        <v>0</v>
      </c>
      <c r="W212" s="74">
        <f>Devis[[#This Row],[Prix de Revient]]*Devis[[#This Row],[Poste 2]]</f>
        <v>0</v>
      </c>
      <c r="X212" s="74">
        <f>Devis[[#This Row],[Prix de Revient]]*Devis[[#This Row],[Poste 3]]</f>
        <v>0</v>
      </c>
      <c r="Y212" s="74">
        <f>Devis[[#This Row],[Poste 4]]*Devis[[#This Row],[Prix de Revient]]</f>
        <v>0</v>
      </c>
      <c r="Z212" s="74">
        <f>Devis[[#This Row],[Poste 5]]*Devis[[#This Row],[Prix de Revient]]</f>
        <v>0</v>
      </c>
      <c r="AA212" s="74">
        <f>Devis[[#This Row],[Prix de Revient]]*Devis[[#This Row],[Poste 6]]</f>
        <v>0</v>
      </c>
      <c r="AB212" s="74">
        <f>Devis[[#This Row],[Quantité Totale]]*Devis[[#This Row],[Prix de Revient]]</f>
        <v>0</v>
      </c>
    </row>
    <row r="213" spans="1:28" ht="14.25" customHeight="1" outlineLevel="1" x14ac:dyDescent="0.2">
      <c r="A213" s="75" t="s">
        <v>68</v>
      </c>
      <c r="B213" s="76" t="s">
        <v>4228</v>
      </c>
      <c r="C213" s="88" t="s">
        <v>4261</v>
      </c>
      <c r="D213" s="81" t="e">
        <f>A213&amp;C213&amp;#REF!</f>
        <v>#REF!</v>
      </c>
      <c r="E213" s="76" t="s">
        <v>4261</v>
      </c>
      <c r="F213" s="81">
        <v>18</v>
      </c>
      <c r="G213" s="82" t="s">
        <v>4262</v>
      </c>
      <c r="H213" s="76" t="s">
        <v>3524</v>
      </c>
      <c r="I213" s="71"/>
      <c r="J213" s="70">
        <f>IFERROR(VLOOKUP(Devis[[#This Row],[Ref Air Flux]],#REF!,3,FALSE),0)</f>
        <v>0</v>
      </c>
      <c r="K213" s="68"/>
      <c r="L213" s="68"/>
      <c r="M213" s="68"/>
      <c r="N213" s="68"/>
      <c r="O213" s="68"/>
      <c r="P213" s="68"/>
      <c r="Q213" s="68">
        <f>SUM(Devis[[#This Row],[Poste 1]:[Poste 6]])</f>
        <v>0</v>
      </c>
      <c r="R213" s="71"/>
      <c r="S213" s="68">
        <f>_xlfn.CEILING.MATH(Devis[[#This Row],[Quantité Totale]],Devis[[#This Row],[Conditionnement]])</f>
        <v>0</v>
      </c>
      <c r="T213" s="72"/>
      <c r="U213" s="73"/>
      <c r="V213" s="74">
        <f>Devis[[#This Row],[Prix de Revient]]*Devis[[#This Row],[Poste 1]]</f>
        <v>0</v>
      </c>
      <c r="W213" s="74">
        <f>Devis[[#This Row],[Prix de Revient]]*Devis[[#This Row],[Poste 2]]</f>
        <v>0</v>
      </c>
      <c r="X213" s="74">
        <f>Devis[[#This Row],[Prix de Revient]]*Devis[[#This Row],[Poste 3]]</f>
        <v>0</v>
      </c>
      <c r="Y213" s="74">
        <f>Devis[[#This Row],[Poste 4]]*Devis[[#This Row],[Prix de Revient]]</f>
        <v>0</v>
      </c>
      <c r="Z213" s="74">
        <f>Devis[[#This Row],[Poste 5]]*Devis[[#This Row],[Prix de Revient]]</f>
        <v>0</v>
      </c>
      <c r="AA213" s="74">
        <f>Devis[[#This Row],[Prix de Revient]]*Devis[[#This Row],[Poste 6]]</f>
        <v>0</v>
      </c>
      <c r="AB213" s="74">
        <f>Devis[[#This Row],[Quantité Totale]]*Devis[[#This Row],[Prix de Revient]]</f>
        <v>0</v>
      </c>
    </row>
    <row r="214" spans="1:28" ht="14.25" customHeight="1" outlineLevel="1" x14ac:dyDescent="0.2">
      <c r="A214" s="75" t="s">
        <v>68</v>
      </c>
      <c r="B214" s="76" t="s">
        <v>4228</v>
      </c>
      <c r="C214" s="88" t="s">
        <v>4263</v>
      </c>
      <c r="D214" s="81" t="e">
        <f>A214&amp;C214&amp;#REF!</f>
        <v>#REF!</v>
      </c>
      <c r="E214" s="76" t="s">
        <v>4263</v>
      </c>
      <c r="F214" s="81">
        <v>19</v>
      </c>
      <c r="G214" s="82" t="s">
        <v>4264</v>
      </c>
      <c r="H214" s="76" t="s">
        <v>3524</v>
      </c>
      <c r="I214" s="71"/>
      <c r="J214" s="70">
        <f>IFERROR(VLOOKUP(Devis[[#This Row],[Ref Air Flux]],#REF!,3,FALSE),0)</f>
        <v>0</v>
      </c>
      <c r="K214" s="68"/>
      <c r="L214" s="68"/>
      <c r="M214" s="68"/>
      <c r="N214" s="68"/>
      <c r="O214" s="68"/>
      <c r="P214" s="68"/>
      <c r="Q214" s="68">
        <f>SUM(Devis[[#This Row],[Poste 1]:[Poste 6]])</f>
        <v>0</v>
      </c>
      <c r="R214" s="71"/>
      <c r="S214" s="68">
        <f>_xlfn.CEILING.MATH(Devis[[#This Row],[Quantité Totale]],Devis[[#This Row],[Conditionnement]])</f>
        <v>0</v>
      </c>
      <c r="T214" s="72"/>
      <c r="U214" s="73"/>
      <c r="V214" s="74">
        <f>Devis[[#This Row],[Prix de Revient]]*Devis[[#This Row],[Poste 1]]</f>
        <v>0</v>
      </c>
      <c r="W214" s="74">
        <f>Devis[[#This Row],[Prix de Revient]]*Devis[[#This Row],[Poste 2]]</f>
        <v>0</v>
      </c>
      <c r="X214" s="74">
        <f>Devis[[#This Row],[Prix de Revient]]*Devis[[#This Row],[Poste 3]]</f>
        <v>0</v>
      </c>
      <c r="Y214" s="74">
        <f>Devis[[#This Row],[Poste 4]]*Devis[[#This Row],[Prix de Revient]]</f>
        <v>0</v>
      </c>
      <c r="Z214" s="74">
        <f>Devis[[#This Row],[Poste 5]]*Devis[[#This Row],[Prix de Revient]]</f>
        <v>0</v>
      </c>
      <c r="AA214" s="74">
        <f>Devis[[#This Row],[Prix de Revient]]*Devis[[#This Row],[Poste 6]]</f>
        <v>0</v>
      </c>
      <c r="AB214" s="74">
        <f>Devis[[#This Row],[Quantité Totale]]*Devis[[#This Row],[Prix de Revient]]</f>
        <v>0</v>
      </c>
    </row>
    <row r="215" spans="1:28" ht="14.25" customHeight="1" outlineLevel="1" x14ac:dyDescent="0.2">
      <c r="A215" s="75" t="s">
        <v>68</v>
      </c>
      <c r="B215" s="76" t="s">
        <v>4228</v>
      </c>
      <c r="C215" s="88" t="s">
        <v>4265</v>
      </c>
      <c r="D215" s="81" t="e">
        <f>A215&amp;C215&amp;#REF!</f>
        <v>#REF!</v>
      </c>
      <c r="E215" s="76" t="s">
        <v>4265</v>
      </c>
      <c r="F215" s="81">
        <v>20</v>
      </c>
      <c r="G215" s="82" t="s">
        <v>4266</v>
      </c>
      <c r="H215" s="76" t="s">
        <v>3524</v>
      </c>
      <c r="I215" s="71"/>
      <c r="J215" s="70">
        <f>IFERROR(VLOOKUP(Devis[[#This Row],[Ref Air Flux]],#REF!,3,FALSE),0)</f>
        <v>0</v>
      </c>
      <c r="K215" s="68"/>
      <c r="L215" s="68"/>
      <c r="M215" s="68"/>
      <c r="N215" s="68"/>
      <c r="O215" s="68"/>
      <c r="P215" s="68"/>
      <c r="Q215" s="68">
        <f>SUM(Devis[[#This Row],[Poste 1]:[Poste 6]])</f>
        <v>0</v>
      </c>
      <c r="R215" s="71"/>
      <c r="S215" s="68">
        <f>_xlfn.CEILING.MATH(Devis[[#This Row],[Quantité Totale]],Devis[[#This Row],[Conditionnement]])</f>
        <v>0</v>
      </c>
      <c r="T215" s="72"/>
      <c r="U215" s="73"/>
      <c r="V215" s="74">
        <f>Devis[[#This Row],[Prix de Revient]]*Devis[[#This Row],[Poste 1]]</f>
        <v>0</v>
      </c>
      <c r="W215" s="74">
        <f>Devis[[#This Row],[Prix de Revient]]*Devis[[#This Row],[Poste 2]]</f>
        <v>0</v>
      </c>
      <c r="X215" s="74">
        <f>Devis[[#This Row],[Prix de Revient]]*Devis[[#This Row],[Poste 3]]</f>
        <v>0</v>
      </c>
      <c r="Y215" s="74">
        <f>Devis[[#This Row],[Poste 4]]*Devis[[#This Row],[Prix de Revient]]</f>
        <v>0</v>
      </c>
      <c r="Z215" s="74">
        <f>Devis[[#This Row],[Poste 5]]*Devis[[#This Row],[Prix de Revient]]</f>
        <v>0</v>
      </c>
      <c r="AA215" s="74">
        <f>Devis[[#This Row],[Prix de Revient]]*Devis[[#This Row],[Poste 6]]</f>
        <v>0</v>
      </c>
      <c r="AB215" s="74">
        <f>Devis[[#This Row],[Quantité Totale]]*Devis[[#This Row],[Prix de Revient]]</f>
        <v>0</v>
      </c>
    </row>
    <row r="216" spans="1:28" ht="14.25" customHeight="1" outlineLevel="1" x14ac:dyDescent="0.2">
      <c r="A216" s="75" t="s">
        <v>68</v>
      </c>
      <c r="B216" s="76" t="s">
        <v>4228</v>
      </c>
      <c r="C216" s="88" t="s">
        <v>4267</v>
      </c>
      <c r="D216" s="81" t="e">
        <f>A216&amp;C216&amp;#REF!</f>
        <v>#REF!</v>
      </c>
      <c r="E216" s="76" t="s">
        <v>4267</v>
      </c>
      <c r="F216" s="81">
        <v>21</v>
      </c>
      <c r="G216" s="82" t="s">
        <v>4268</v>
      </c>
      <c r="H216" s="76" t="s">
        <v>3524</v>
      </c>
      <c r="I216" s="71"/>
      <c r="J216" s="70">
        <f>IFERROR(VLOOKUP(Devis[[#This Row],[Ref Air Flux]],#REF!,3,FALSE),0)</f>
        <v>0</v>
      </c>
      <c r="K216" s="68"/>
      <c r="L216" s="68"/>
      <c r="M216" s="68"/>
      <c r="N216" s="68"/>
      <c r="O216" s="68"/>
      <c r="P216" s="68"/>
      <c r="Q216" s="68">
        <f>SUM(Devis[[#This Row],[Poste 1]:[Poste 6]])</f>
        <v>0</v>
      </c>
      <c r="R216" s="71"/>
      <c r="S216" s="68">
        <f>_xlfn.CEILING.MATH(Devis[[#This Row],[Quantité Totale]],Devis[[#This Row],[Conditionnement]])</f>
        <v>0</v>
      </c>
      <c r="T216" s="72"/>
      <c r="U216" s="73"/>
      <c r="V216" s="74">
        <f>Devis[[#This Row],[Prix de Revient]]*Devis[[#This Row],[Poste 1]]</f>
        <v>0</v>
      </c>
      <c r="W216" s="74">
        <f>Devis[[#This Row],[Prix de Revient]]*Devis[[#This Row],[Poste 2]]</f>
        <v>0</v>
      </c>
      <c r="X216" s="74">
        <f>Devis[[#This Row],[Prix de Revient]]*Devis[[#This Row],[Poste 3]]</f>
        <v>0</v>
      </c>
      <c r="Y216" s="74">
        <f>Devis[[#This Row],[Poste 4]]*Devis[[#This Row],[Prix de Revient]]</f>
        <v>0</v>
      </c>
      <c r="Z216" s="74">
        <f>Devis[[#This Row],[Poste 5]]*Devis[[#This Row],[Prix de Revient]]</f>
        <v>0</v>
      </c>
      <c r="AA216" s="74">
        <f>Devis[[#This Row],[Prix de Revient]]*Devis[[#This Row],[Poste 6]]</f>
        <v>0</v>
      </c>
      <c r="AB216" s="74">
        <f>Devis[[#This Row],[Quantité Totale]]*Devis[[#This Row],[Prix de Revient]]</f>
        <v>0</v>
      </c>
    </row>
    <row r="217" spans="1:28" ht="14.25" customHeight="1" outlineLevel="1" x14ac:dyDescent="0.2">
      <c r="A217" s="75" t="s">
        <v>68</v>
      </c>
      <c r="B217" s="76" t="s">
        <v>4228</v>
      </c>
      <c r="C217" s="76"/>
      <c r="D217" s="81" t="e">
        <f>A217&amp;C217&amp;#REF!</f>
        <v>#REF!</v>
      </c>
      <c r="E217" s="76"/>
      <c r="F217" s="81">
        <v>22</v>
      </c>
      <c r="G217" s="82"/>
      <c r="H217" s="76"/>
      <c r="I217" s="71"/>
      <c r="J217" s="70">
        <f>IFERROR(VLOOKUP(Devis[[#This Row],[Ref Air Flux]],#REF!,3,FALSE),0)</f>
        <v>0</v>
      </c>
      <c r="K217" s="68"/>
      <c r="L217" s="68"/>
      <c r="M217" s="68"/>
      <c r="N217" s="68"/>
      <c r="O217" s="68"/>
      <c r="P217" s="68"/>
      <c r="Q217" s="68">
        <f>SUM(Devis[[#This Row],[Poste 1]:[Poste 6]])</f>
        <v>0</v>
      </c>
      <c r="R217" s="71"/>
      <c r="S217" s="68">
        <f>_xlfn.CEILING.MATH(Devis[[#This Row],[Quantité Totale]],Devis[[#This Row],[Conditionnement]])</f>
        <v>0</v>
      </c>
      <c r="T217" s="72"/>
      <c r="U217" s="73"/>
      <c r="V217" s="74">
        <f>Devis[[#This Row],[Prix de Revient]]*Devis[[#This Row],[Poste 1]]</f>
        <v>0</v>
      </c>
      <c r="W217" s="74">
        <f>Devis[[#This Row],[Prix de Revient]]*Devis[[#This Row],[Poste 2]]</f>
        <v>0</v>
      </c>
      <c r="X217" s="74">
        <f>Devis[[#This Row],[Prix de Revient]]*Devis[[#This Row],[Poste 3]]</f>
        <v>0</v>
      </c>
      <c r="Y217" s="74">
        <f>Devis[[#This Row],[Poste 4]]*Devis[[#This Row],[Prix de Revient]]</f>
        <v>0</v>
      </c>
      <c r="Z217" s="74">
        <f>Devis[[#This Row],[Poste 5]]*Devis[[#This Row],[Prix de Revient]]</f>
        <v>0</v>
      </c>
      <c r="AA217" s="74">
        <f>Devis[[#This Row],[Prix de Revient]]*Devis[[#This Row],[Poste 6]]</f>
        <v>0</v>
      </c>
      <c r="AB217" s="74">
        <f>Devis[[#This Row],[Quantité Totale]]*Devis[[#This Row],[Prix de Revient]]</f>
        <v>0</v>
      </c>
    </row>
    <row r="218" spans="1:28" ht="14.25" customHeight="1" outlineLevel="1" x14ac:dyDescent="0.2">
      <c r="A218" s="75" t="s">
        <v>68</v>
      </c>
      <c r="B218" s="76" t="s">
        <v>4228</v>
      </c>
      <c r="C218" s="76" t="s">
        <v>90</v>
      </c>
      <c r="D218" s="81" t="e">
        <f>A218&amp;C218&amp;#REF!</f>
        <v>#REF!</v>
      </c>
      <c r="E218" s="76" t="s">
        <v>4270</v>
      </c>
      <c r="F218" s="81">
        <v>23</v>
      </c>
      <c r="G218" s="82" t="s">
        <v>91</v>
      </c>
      <c r="H218" s="76" t="s">
        <v>4269</v>
      </c>
      <c r="I218" s="71"/>
      <c r="J218" s="70">
        <f>IFERROR(VLOOKUP(Devis[[#This Row],[Ref Air Flux]],#REF!,3,FALSE),0)</f>
        <v>0</v>
      </c>
      <c r="K218" s="68"/>
      <c r="L218" s="68"/>
      <c r="M218" s="68"/>
      <c r="N218" s="68"/>
      <c r="O218" s="68"/>
      <c r="P218" s="68"/>
      <c r="Q218" s="68">
        <f>SUM(Devis[[#This Row],[Poste 1]:[Poste 6]])</f>
        <v>0</v>
      </c>
      <c r="R218" s="71"/>
      <c r="S218" s="68">
        <f>_xlfn.CEILING.MATH(Devis[[#This Row],[Quantité Totale]],Devis[[#This Row],[Conditionnement]])</f>
        <v>0</v>
      </c>
      <c r="T218" s="72"/>
      <c r="U218" s="73"/>
      <c r="V218" s="74">
        <f>Devis[[#This Row],[Prix de Revient]]*Devis[[#This Row],[Poste 1]]</f>
        <v>0</v>
      </c>
      <c r="W218" s="74">
        <f>Devis[[#This Row],[Prix de Revient]]*Devis[[#This Row],[Poste 2]]</f>
        <v>0</v>
      </c>
      <c r="X218" s="74">
        <f>Devis[[#This Row],[Prix de Revient]]*Devis[[#This Row],[Poste 3]]</f>
        <v>0</v>
      </c>
      <c r="Y218" s="74">
        <f>Devis[[#This Row],[Poste 4]]*Devis[[#This Row],[Prix de Revient]]</f>
        <v>0</v>
      </c>
      <c r="Z218" s="74">
        <f>Devis[[#This Row],[Poste 5]]*Devis[[#This Row],[Prix de Revient]]</f>
        <v>0</v>
      </c>
      <c r="AA218" s="74">
        <f>Devis[[#This Row],[Prix de Revient]]*Devis[[#This Row],[Poste 6]]</f>
        <v>0</v>
      </c>
      <c r="AB218" s="74">
        <f>Devis[[#This Row],[Quantité Totale]]*Devis[[#This Row],[Prix de Revient]]</f>
        <v>0</v>
      </c>
    </row>
    <row r="219" spans="1:28" ht="14.25" customHeight="1" outlineLevel="1" x14ac:dyDescent="0.2">
      <c r="A219" s="75" t="s">
        <v>68</v>
      </c>
      <c r="B219" s="76" t="s">
        <v>4228</v>
      </c>
      <c r="C219" s="76" t="s">
        <v>90</v>
      </c>
      <c r="D219" s="81" t="e">
        <f>A219&amp;C219&amp;#REF!</f>
        <v>#REF!</v>
      </c>
      <c r="E219" s="76" t="s">
        <v>4271</v>
      </c>
      <c r="F219" s="81">
        <v>24</v>
      </c>
      <c r="G219" s="82" t="s">
        <v>92</v>
      </c>
      <c r="H219" s="76" t="s">
        <v>4269</v>
      </c>
      <c r="I219" s="71"/>
      <c r="J219" s="70">
        <f>IFERROR(VLOOKUP(Devis[[#This Row],[Ref Air Flux]],#REF!,3,FALSE),0)</f>
        <v>0</v>
      </c>
      <c r="K219" s="68"/>
      <c r="L219" s="68"/>
      <c r="M219" s="68"/>
      <c r="N219" s="68"/>
      <c r="O219" s="68"/>
      <c r="P219" s="68"/>
      <c r="Q219" s="68">
        <f>SUM(Devis[[#This Row],[Poste 1]:[Poste 6]])</f>
        <v>0</v>
      </c>
      <c r="R219" s="71"/>
      <c r="S219" s="68">
        <f>_xlfn.CEILING.MATH(Devis[[#This Row],[Quantité Totale]],Devis[[#This Row],[Conditionnement]])</f>
        <v>0</v>
      </c>
      <c r="T219" s="72"/>
      <c r="U219" s="73"/>
      <c r="V219" s="74">
        <f>Devis[[#This Row],[Prix de Revient]]*Devis[[#This Row],[Poste 1]]</f>
        <v>0</v>
      </c>
      <c r="W219" s="74">
        <f>Devis[[#This Row],[Prix de Revient]]*Devis[[#This Row],[Poste 2]]</f>
        <v>0</v>
      </c>
      <c r="X219" s="74">
        <f>Devis[[#This Row],[Prix de Revient]]*Devis[[#This Row],[Poste 3]]</f>
        <v>0</v>
      </c>
      <c r="Y219" s="74">
        <f>Devis[[#This Row],[Poste 4]]*Devis[[#This Row],[Prix de Revient]]</f>
        <v>0</v>
      </c>
      <c r="Z219" s="74">
        <f>Devis[[#This Row],[Poste 5]]*Devis[[#This Row],[Prix de Revient]]</f>
        <v>0</v>
      </c>
      <c r="AA219" s="74">
        <f>Devis[[#This Row],[Prix de Revient]]*Devis[[#This Row],[Poste 6]]</f>
        <v>0</v>
      </c>
      <c r="AB219" s="74">
        <f>Devis[[#This Row],[Quantité Totale]]*Devis[[#This Row],[Prix de Revient]]</f>
        <v>0</v>
      </c>
    </row>
    <row r="220" spans="1:28" ht="14.25" customHeight="1" outlineLevel="1" x14ac:dyDescent="0.2">
      <c r="A220" s="75" t="s">
        <v>68</v>
      </c>
      <c r="B220" s="76" t="s">
        <v>4228</v>
      </c>
      <c r="C220" s="76" t="s">
        <v>90</v>
      </c>
      <c r="D220" s="81" t="e">
        <f>A220&amp;C220&amp;#REF!</f>
        <v>#REF!</v>
      </c>
      <c r="E220" s="76" t="s">
        <v>4272</v>
      </c>
      <c r="F220" s="81">
        <v>25</v>
      </c>
      <c r="G220" s="82" t="s">
        <v>94</v>
      </c>
      <c r="H220" s="76" t="s">
        <v>4269</v>
      </c>
      <c r="I220" s="71"/>
      <c r="J220" s="70">
        <f>IFERROR(VLOOKUP(Devis[[#This Row],[Ref Air Flux]],#REF!,3,FALSE),0)</f>
        <v>0</v>
      </c>
      <c r="K220" s="68"/>
      <c r="L220" s="68"/>
      <c r="M220" s="68"/>
      <c r="N220" s="68"/>
      <c r="O220" s="68"/>
      <c r="P220" s="68"/>
      <c r="Q220" s="68">
        <f>SUM(Devis[[#This Row],[Poste 1]:[Poste 6]])</f>
        <v>0</v>
      </c>
      <c r="R220" s="71"/>
      <c r="S220" s="68">
        <f>_xlfn.CEILING.MATH(Devis[[#This Row],[Quantité Totale]],Devis[[#This Row],[Conditionnement]])</f>
        <v>0</v>
      </c>
      <c r="T220" s="72"/>
      <c r="U220" s="73"/>
      <c r="V220" s="74">
        <f>Devis[[#This Row],[Prix de Revient]]*Devis[[#This Row],[Poste 1]]</f>
        <v>0</v>
      </c>
      <c r="W220" s="74">
        <f>Devis[[#This Row],[Prix de Revient]]*Devis[[#This Row],[Poste 2]]</f>
        <v>0</v>
      </c>
      <c r="X220" s="74">
        <f>Devis[[#This Row],[Prix de Revient]]*Devis[[#This Row],[Poste 3]]</f>
        <v>0</v>
      </c>
      <c r="Y220" s="74">
        <f>Devis[[#This Row],[Poste 4]]*Devis[[#This Row],[Prix de Revient]]</f>
        <v>0</v>
      </c>
      <c r="Z220" s="74">
        <f>Devis[[#This Row],[Poste 5]]*Devis[[#This Row],[Prix de Revient]]</f>
        <v>0</v>
      </c>
      <c r="AA220" s="74">
        <f>Devis[[#This Row],[Prix de Revient]]*Devis[[#This Row],[Poste 6]]</f>
        <v>0</v>
      </c>
      <c r="AB220" s="74">
        <f>Devis[[#This Row],[Quantité Totale]]*Devis[[#This Row],[Prix de Revient]]</f>
        <v>0</v>
      </c>
    </row>
    <row r="221" spans="1:28" ht="14.25" customHeight="1" outlineLevel="1" x14ac:dyDescent="0.2">
      <c r="A221" s="75" t="s">
        <v>68</v>
      </c>
      <c r="B221" s="76" t="s">
        <v>4228</v>
      </c>
      <c r="C221" s="76" t="s">
        <v>90</v>
      </c>
      <c r="D221" s="81" t="e">
        <f>A221&amp;C221&amp;#REF!</f>
        <v>#REF!</v>
      </c>
      <c r="E221" s="76" t="s">
        <v>4273</v>
      </c>
      <c r="F221" s="81">
        <v>26</v>
      </c>
      <c r="G221" s="82" t="s">
        <v>93</v>
      </c>
      <c r="H221" s="76" t="s">
        <v>4269</v>
      </c>
      <c r="I221" s="71"/>
      <c r="J221" s="70">
        <f>IFERROR(VLOOKUP(Devis[[#This Row],[Ref Air Flux]],#REF!,3,FALSE),0)</f>
        <v>0</v>
      </c>
      <c r="K221" s="68"/>
      <c r="L221" s="68"/>
      <c r="M221" s="68"/>
      <c r="N221" s="68"/>
      <c r="O221" s="68"/>
      <c r="P221" s="68"/>
      <c r="Q221" s="68">
        <f>SUM(Devis[[#This Row],[Poste 1]:[Poste 6]])</f>
        <v>0</v>
      </c>
      <c r="R221" s="71"/>
      <c r="S221" s="68">
        <f>_xlfn.CEILING.MATH(Devis[[#This Row],[Quantité Totale]],Devis[[#This Row],[Conditionnement]])</f>
        <v>0</v>
      </c>
      <c r="T221" s="72"/>
      <c r="U221" s="73"/>
      <c r="V221" s="74">
        <f>Devis[[#This Row],[Prix de Revient]]*Devis[[#This Row],[Poste 1]]</f>
        <v>0</v>
      </c>
      <c r="W221" s="74">
        <f>Devis[[#This Row],[Prix de Revient]]*Devis[[#This Row],[Poste 2]]</f>
        <v>0</v>
      </c>
      <c r="X221" s="74">
        <f>Devis[[#This Row],[Prix de Revient]]*Devis[[#This Row],[Poste 3]]</f>
        <v>0</v>
      </c>
      <c r="Y221" s="74">
        <f>Devis[[#This Row],[Poste 4]]*Devis[[#This Row],[Prix de Revient]]</f>
        <v>0</v>
      </c>
      <c r="Z221" s="74">
        <f>Devis[[#This Row],[Poste 5]]*Devis[[#This Row],[Prix de Revient]]</f>
        <v>0</v>
      </c>
      <c r="AA221" s="74">
        <f>Devis[[#This Row],[Prix de Revient]]*Devis[[#This Row],[Poste 6]]</f>
        <v>0</v>
      </c>
      <c r="AB221" s="74">
        <f>Devis[[#This Row],[Quantité Totale]]*Devis[[#This Row],[Prix de Revient]]</f>
        <v>0</v>
      </c>
    </row>
    <row r="222" spans="1:28" ht="14.25" customHeight="1" outlineLevel="1" x14ac:dyDescent="0.2">
      <c r="A222" s="75" t="s">
        <v>68</v>
      </c>
      <c r="B222" s="76" t="s">
        <v>4228</v>
      </c>
      <c r="C222" s="76"/>
      <c r="D222" s="81" t="str">
        <f t="shared" ref="D222:D224" si="4">A222&amp;B222&amp;C222</f>
        <v>App ElectriqueDISJONCTEUR MONOPHASE</v>
      </c>
      <c r="E222" s="76"/>
      <c r="F222" s="76">
        <v>27</v>
      </c>
      <c r="G222" s="71"/>
      <c r="H222" s="71"/>
      <c r="I222" s="71"/>
      <c r="J222" s="70">
        <f>IFERROR(VLOOKUP(Devis[[#This Row],[Ref Air Flux]],#REF!,3,FALSE),0)</f>
        <v>0</v>
      </c>
      <c r="K222" s="68"/>
      <c r="L222" s="68"/>
      <c r="M222" s="68"/>
      <c r="N222" s="68"/>
      <c r="O222" s="68"/>
      <c r="P222" s="68"/>
      <c r="Q222" s="68">
        <f>SUM(Devis[[#This Row],[Poste 1]:[Poste 6]])</f>
        <v>0</v>
      </c>
      <c r="R222" s="71"/>
      <c r="S222" s="68">
        <f>_xlfn.CEILING.MATH(Devis[[#This Row],[Quantité Totale]],Devis[[#This Row],[Conditionnement]])</f>
        <v>0</v>
      </c>
      <c r="T222" s="72"/>
      <c r="U222" s="73"/>
      <c r="V222" s="74">
        <f>Devis[[#This Row],[Prix de Revient]]*Devis[[#This Row],[Poste 1]]</f>
        <v>0</v>
      </c>
      <c r="W222" s="74">
        <f>Devis[[#This Row],[Prix de Revient]]*Devis[[#This Row],[Poste 2]]</f>
        <v>0</v>
      </c>
      <c r="X222" s="74">
        <f>Devis[[#This Row],[Prix de Revient]]*Devis[[#This Row],[Poste 3]]</f>
        <v>0</v>
      </c>
      <c r="Y222" s="74">
        <f>Devis[[#This Row],[Poste 4]]*Devis[[#This Row],[Prix de Revient]]</f>
        <v>0</v>
      </c>
      <c r="Z222" s="74">
        <f>Devis[[#This Row],[Poste 5]]*Devis[[#This Row],[Prix de Revient]]</f>
        <v>0</v>
      </c>
      <c r="AA222" s="74">
        <f>Devis[[#This Row],[Prix de Revient]]*Devis[[#This Row],[Poste 6]]</f>
        <v>0</v>
      </c>
      <c r="AB222" s="74">
        <f>Devis[[#This Row],[Quantité Totale]]*Devis[[#This Row],[Prix de Revient]]</f>
        <v>0</v>
      </c>
    </row>
    <row r="223" spans="1:28" ht="14.25" customHeight="1" outlineLevel="1" x14ac:dyDescent="0.2">
      <c r="A223" s="75" t="s">
        <v>68</v>
      </c>
      <c r="B223" s="76" t="s">
        <v>4228</v>
      </c>
      <c r="C223" s="76" t="s">
        <v>6417</v>
      </c>
      <c r="D223" s="81" t="str">
        <f t="shared" si="4"/>
        <v>App ElectriqueDISJONCTEUR MONOPHASEIntersectionneur  Différentiel PN</v>
      </c>
      <c r="E223" s="76" t="s">
        <v>6419</v>
      </c>
      <c r="F223" s="76">
        <v>28</v>
      </c>
      <c r="G223" s="71" t="s">
        <v>6424</v>
      </c>
      <c r="H223" s="76" t="s">
        <v>4269</v>
      </c>
      <c r="I223" s="71" t="s">
        <v>6424</v>
      </c>
      <c r="J223" s="70">
        <f>IFERROR(VLOOKUP(Devis[[#This Row],[Ref Air Flux]],#REF!,3,FALSE),0)</f>
        <v>0</v>
      </c>
      <c r="K223" s="68"/>
      <c r="L223" s="68"/>
      <c r="M223" s="68"/>
      <c r="N223" s="68"/>
      <c r="O223" s="68"/>
      <c r="P223" s="68"/>
      <c r="Q223" s="68">
        <f>SUM(Devis[[#This Row],[Poste 1]:[Poste 6]])</f>
        <v>0</v>
      </c>
      <c r="R223" s="71"/>
      <c r="S223" s="68">
        <f>_xlfn.CEILING.MATH(Devis[[#This Row],[Quantité Totale]],Devis[[#This Row],[Conditionnement]])</f>
        <v>0</v>
      </c>
      <c r="T223" s="72"/>
      <c r="U223" s="73"/>
      <c r="V223" s="74">
        <f>Devis[[#This Row],[Prix de Revient]]*Devis[[#This Row],[Poste 1]]</f>
        <v>0</v>
      </c>
      <c r="W223" s="74">
        <f>Devis[[#This Row],[Prix de Revient]]*Devis[[#This Row],[Poste 2]]</f>
        <v>0</v>
      </c>
      <c r="X223" s="74">
        <f>Devis[[#This Row],[Prix de Revient]]*Devis[[#This Row],[Poste 3]]</f>
        <v>0</v>
      </c>
      <c r="Y223" s="74">
        <f>Devis[[#This Row],[Poste 4]]*Devis[[#This Row],[Prix de Revient]]</f>
        <v>0</v>
      </c>
      <c r="Z223" s="74">
        <f>Devis[[#This Row],[Poste 5]]*Devis[[#This Row],[Prix de Revient]]</f>
        <v>0</v>
      </c>
      <c r="AA223" s="74">
        <f>Devis[[#This Row],[Prix de Revient]]*Devis[[#This Row],[Poste 6]]</f>
        <v>0</v>
      </c>
      <c r="AB223" s="74">
        <f>Devis[[#This Row],[Quantité Totale]]*Devis[[#This Row],[Prix de Revient]]</f>
        <v>0</v>
      </c>
    </row>
    <row r="224" spans="1:28" ht="14.25" customHeight="1" outlineLevel="1" x14ac:dyDescent="0.2">
      <c r="A224" s="75" t="s">
        <v>68</v>
      </c>
      <c r="B224" s="76" t="s">
        <v>4228</v>
      </c>
      <c r="C224" s="76"/>
      <c r="D224" s="81" t="str">
        <f t="shared" si="4"/>
        <v>App ElectriqueDISJONCTEUR MONOPHASE</v>
      </c>
      <c r="E224" s="76"/>
      <c r="F224" s="76">
        <v>29</v>
      </c>
      <c r="G224" s="71"/>
      <c r="H224" s="71"/>
      <c r="I224" s="71"/>
      <c r="J224" s="70">
        <f>IFERROR(VLOOKUP(Devis[[#This Row],[Ref Air Flux]],#REF!,3,FALSE),0)</f>
        <v>0</v>
      </c>
      <c r="K224" s="68"/>
      <c r="L224" s="68"/>
      <c r="M224" s="68"/>
      <c r="N224" s="68"/>
      <c r="O224" s="68"/>
      <c r="P224" s="68"/>
      <c r="Q224" s="68">
        <f>SUM(Devis[[#This Row],[Poste 1]:[Poste 6]])</f>
        <v>0</v>
      </c>
      <c r="R224" s="71"/>
      <c r="S224" s="68">
        <f>_xlfn.CEILING.MATH(Devis[[#This Row],[Quantité Totale]],Devis[[#This Row],[Conditionnement]])</f>
        <v>0</v>
      </c>
      <c r="T224" s="72"/>
      <c r="U224" s="73"/>
      <c r="V224" s="74">
        <f>Devis[[#This Row],[Prix de Revient]]*Devis[[#This Row],[Poste 1]]</f>
        <v>0</v>
      </c>
      <c r="W224" s="74">
        <f>Devis[[#This Row],[Prix de Revient]]*Devis[[#This Row],[Poste 2]]</f>
        <v>0</v>
      </c>
      <c r="X224" s="74">
        <f>Devis[[#This Row],[Prix de Revient]]*Devis[[#This Row],[Poste 3]]</f>
        <v>0</v>
      </c>
      <c r="Y224" s="74">
        <f>Devis[[#This Row],[Poste 4]]*Devis[[#This Row],[Prix de Revient]]</f>
        <v>0</v>
      </c>
      <c r="Z224" s="74">
        <f>Devis[[#This Row],[Poste 5]]*Devis[[#This Row],[Prix de Revient]]</f>
        <v>0</v>
      </c>
      <c r="AA224" s="74">
        <f>Devis[[#This Row],[Prix de Revient]]*Devis[[#This Row],[Poste 6]]</f>
        <v>0</v>
      </c>
      <c r="AB224" s="74">
        <f>Devis[[#This Row],[Quantité Totale]]*Devis[[#This Row],[Prix de Revient]]</f>
        <v>0</v>
      </c>
    </row>
    <row r="225" spans="1:28" ht="14.25" customHeight="1" outlineLevel="1" x14ac:dyDescent="0.2">
      <c r="A225" s="75" t="s">
        <v>68</v>
      </c>
      <c r="B225" s="76" t="s">
        <v>4228</v>
      </c>
      <c r="C225" s="76" t="s">
        <v>6418</v>
      </c>
      <c r="D225" s="81" t="str">
        <f>A225&amp;B225&amp;C225</f>
        <v>App ElectriqueDISJONCTEUR MONOPHASEAccessoires Legrand</v>
      </c>
      <c r="E225" s="76" t="s">
        <v>6420</v>
      </c>
      <c r="F225" s="76">
        <v>30</v>
      </c>
      <c r="G225" s="71" t="s">
        <v>6422</v>
      </c>
      <c r="H225" s="76" t="s">
        <v>4269</v>
      </c>
      <c r="I225" s="71" t="s">
        <v>6422</v>
      </c>
      <c r="J225" s="70">
        <f>IFERROR(VLOOKUP(Devis[[#This Row],[Ref Air Flux]],#REF!,3,FALSE),0)</f>
        <v>0</v>
      </c>
      <c r="K225" s="68"/>
      <c r="L225" s="68"/>
      <c r="M225" s="68"/>
      <c r="N225" s="68"/>
      <c r="O225" s="68"/>
      <c r="P225" s="68"/>
      <c r="Q225" s="68">
        <f>SUM(Devis[[#This Row],[Poste 1]:[Poste 6]])</f>
        <v>0</v>
      </c>
      <c r="R225" s="71"/>
      <c r="S225" s="68">
        <f>_xlfn.CEILING.MATH(Devis[[#This Row],[Quantité Totale]],Devis[[#This Row],[Conditionnement]])</f>
        <v>0</v>
      </c>
      <c r="T225" s="72"/>
      <c r="U225" s="73"/>
      <c r="V225" s="74">
        <f>Devis[[#This Row],[Prix de Revient]]*Devis[[#This Row],[Poste 1]]</f>
        <v>0</v>
      </c>
      <c r="W225" s="74">
        <f>Devis[[#This Row],[Prix de Revient]]*Devis[[#This Row],[Poste 2]]</f>
        <v>0</v>
      </c>
      <c r="X225" s="74">
        <f>Devis[[#This Row],[Prix de Revient]]*Devis[[#This Row],[Poste 3]]</f>
        <v>0</v>
      </c>
      <c r="Y225" s="74">
        <f>Devis[[#This Row],[Poste 4]]*Devis[[#This Row],[Prix de Revient]]</f>
        <v>0</v>
      </c>
      <c r="Z225" s="74">
        <f>Devis[[#This Row],[Poste 5]]*Devis[[#This Row],[Prix de Revient]]</f>
        <v>0</v>
      </c>
      <c r="AA225" s="74">
        <f>Devis[[#This Row],[Prix de Revient]]*Devis[[#This Row],[Poste 6]]</f>
        <v>0</v>
      </c>
      <c r="AB225" s="74">
        <f>Devis[[#This Row],[Quantité Totale]]*Devis[[#This Row],[Prix de Revient]]</f>
        <v>0</v>
      </c>
    </row>
    <row r="226" spans="1:28" ht="14.25" customHeight="1" outlineLevel="1" x14ac:dyDescent="0.2">
      <c r="A226" s="75" t="s">
        <v>68</v>
      </c>
      <c r="B226" s="76" t="s">
        <v>4228</v>
      </c>
      <c r="C226" s="76" t="s">
        <v>6418</v>
      </c>
      <c r="D226" s="81" t="str">
        <f t="shared" ref="D226:D289" si="5">A226&amp;B226&amp;C226</f>
        <v>App ElectriqueDISJONCTEUR MONOPHASEAccessoires Legrand</v>
      </c>
      <c r="E226" s="76" t="s">
        <v>6421</v>
      </c>
      <c r="F226" s="81">
        <v>31</v>
      </c>
      <c r="G226" s="82" t="s">
        <v>6423</v>
      </c>
      <c r="H226" s="76" t="s">
        <v>4269</v>
      </c>
      <c r="I226" s="82" t="s">
        <v>6423</v>
      </c>
      <c r="J226" s="70">
        <f>IFERROR(VLOOKUP(Devis[[#This Row],[Ref Air Flux]],#REF!,3,FALSE),0)</f>
        <v>0</v>
      </c>
      <c r="K226" s="68"/>
      <c r="L226" s="68"/>
      <c r="M226" s="68"/>
      <c r="N226" s="68"/>
      <c r="O226" s="68"/>
      <c r="P226" s="68"/>
      <c r="Q226" s="68">
        <f>SUM(Devis[[#This Row],[Poste 1]:[Poste 6]])</f>
        <v>0</v>
      </c>
      <c r="R226" s="71"/>
      <c r="S226" s="68">
        <f>_xlfn.CEILING.MATH(Devis[[#This Row],[Quantité Totale]],Devis[[#This Row],[Conditionnement]])</f>
        <v>0</v>
      </c>
      <c r="T226" s="72"/>
      <c r="U226" s="73"/>
      <c r="V226" s="74">
        <f>Devis[[#This Row],[Prix de Revient]]*Devis[[#This Row],[Poste 1]]</f>
        <v>0</v>
      </c>
      <c r="W226" s="74">
        <f>Devis[[#This Row],[Prix de Revient]]*Devis[[#This Row],[Poste 2]]</f>
        <v>0</v>
      </c>
      <c r="X226" s="74">
        <f>Devis[[#This Row],[Prix de Revient]]*Devis[[#This Row],[Poste 3]]</f>
        <v>0</v>
      </c>
      <c r="Y226" s="74">
        <f>Devis[[#This Row],[Poste 4]]*Devis[[#This Row],[Prix de Revient]]</f>
        <v>0</v>
      </c>
      <c r="Z226" s="74">
        <f>Devis[[#This Row],[Poste 5]]*Devis[[#This Row],[Prix de Revient]]</f>
        <v>0</v>
      </c>
      <c r="AA226" s="74">
        <f>Devis[[#This Row],[Prix de Revient]]*Devis[[#This Row],[Poste 6]]</f>
        <v>0</v>
      </c>
      <c r="AB226" s="74">
        <f>Devis[[#This Row],[Quantité Totale]]*Devis[[#This Row],[Prix de Revient]]</f>
        <v>0</v>
      </c>
    </row>
    <row r="227" spans="1:28" ht="14.25" customHeight="1" x14ac:dyDescent="0.25">
      <c r="A227" s="65" t="s">
        <v>68</v>
      </c>
      <c r="B227" s="65" t="s">
        <v>4408</v>
      </c>
      <c r="C227" s="76"/>
      <c r="D227" s="81" t="str">
        <f t="shared" si="5"/>
        <v>App ElectriqueINTERSECTIONNEUR TETRA</v>
      </c>
      <c r="E227" s="76"/>
      <c r="F227" s="81">
        <v>0</v>
      </c>
      <c r="G227" s="82"/>
      <c r="H227" s="79"/>
      <c r="I227" s="71"/>
      <c r="J227" s="70">
        <f>IFERROR(VLOOKUP(Devis[[#This Row],[Ref Air Flux]],#REF!,3,FALSE),0)</f>
        <v>0</v>
      </c>
      <c r="K227" s="68"/>
      <c r="L227" s="68"/>
      <c r="M227" s="68"/>
      <c r="N227" s="68"/>
      <c r="O227" s="68"/>
      <c r="P227" s="68"/>
      <c r="Q227" s="68">
        <f>SUM(Devis[[#This Row],[Poste 1]:[Poste 6]])</f>
        <v>0</v>
      </c>
      <c r="R227" s="71"/>
      <c r="S227" s="68">
        <f>_xlfn.CEILING.MATH(Devis[[#This Row],[Quantité Totale]],Devis[[#This Row],[Conditionnement]])</f>
        <v>0</v>
      </c>
      <c r="T227" s="72"/>
      <c r="U227" s="74"/>
      <c r="V227" s="74">
        <f>Devis[[#This Row],[Prix de Revient]]*Devis[[#This Row],[Poste 1]]</f>
        <v>0</v>
      </c>
      <c r="W227" s="74">
        <f>Devis[[#This Row],[Prix de Revient]]*Devis[[#This Row],[Poste 2]]</f>
        <v>0</v>
      </c>
      <c r="X227" s="74">
        <f>Devis[[#This Row],[Prix de Revient]]*Devis[[#This Row],[Poste 3]]</f>
        <v>0</v>
      </c>
      <c r="Y227" s="74">
        <f>Devis[[#This Row],[Poste 4]]*Devis[[#This Row],[Prix de Revient]]</f>
        <v>0</v>
      </c>
      <c r="Z227" s="74">
        <f>Devis[[#This Row],[Poste 5]]*Devis[[#This Row],[Prix de Revient]]</f>
        <v>0</v>
      </c>
      <c r="AA227" s="74">
        <f>Devis[[#This Row],[Prix de Revient]]*Devis[[#This Row],[Poste 6]]</f>
        <v>0</v>
      </c>
      <c r="AB227" s="74">
        <f>Devis[[#This Row],[Quantité Totale]]*Devis[[#This Row],[Prix de Revient]]</f>
        <v>0</v>
      </c>
    </row>
    <row r="228" spans="1:28" ht="14.25" outlineLevel="1" x14ac:dyDescent="0.2">
      <c r="A228" s="75" t="s">
        <v>68</v>
      </c>
      <c r="B228" s="76" t="s">
        <v>4408</v>
      </c>
      <c r="C228" s="76" t="s">
        <v>119</v>
      </c>
      <c r="D228" s="81" t="str">
        <f t="shared" si="5"/>
        <v>App ElectriqueINTERSECTIONNEUR TETRAVistop à Plastron TETRA</v>
      </c>
      <c r="E228" s="76" t="s">
        <v>4409</v>
      </c>
      <c r="F228" s="81">
        <v>1</v>
      </c>
      <c r="G228" s="82">
        <v>22518</v>
      </c>
      <c r="H228" s="79"/>
      <c r="I228" s="71"/>
      <c r="J228" s="70">
        <f>IFERROR(VLOOKUP(Devis[[#This Row],[Ref Air Flux]],#REF!,3,FALSE),0)</f>
        <v>0</v>
      </c>
      <c r="K228" s="68"/>
      <c r="L228" s="68"/>
      <c r="M228" s="68"/>
      <c r="N228" s="68"/>
      <c r="O228" s="68"/>
      <c r="P228" s="68"/>
      <c r="Q228" s="68">
        <f>SUM(Devis[[#This Row],[Poste 1]:[Poste 6]])</f>
        <v>0</v>
      </c>
      <c r="R228" s="71"/>
      <c r="S228" s="68">
        <f>_xlfn.CEILING.MATH(Devis[[#This Row],[Quantité Totale]],Devis[[#This Row],[Conditionnement]])</f>
        <v>0</v>
      </c>
      <c r="T228" s="72"/>
      <c r="U228" s="74"/>
      <c r="V228" s="74">
        <f>Devis[[#This Row],[Prix de Revient]]*Devis[[#This Row],[Poste 1]]</f>
        <v>0</v>
      </c>
      <c r="W228" s="74">
        <f>Devis[[#This Row],[Prix de Revient]]*Devis[[#This Row],[Poste 2]]</f>
        <v>0</v>
      </c>
      <c r="X228" s="74">
        <f>Devis[[#This Row],[Prix de Revient]]*Devis[[#This Row],[Poste 3]]</f>
        <v>0</v>
      </c>
      <c r="Y228" s="74">
        <f>Devis[[#This Row],[Poste 4]]*Devis[[#This Row],[Prix de Revient]]</f>
        <v>0</v>
      </c>
      <c r="Z228" s="74">
        <f>Devis[[#This Row],[Poste 5]]*Devis[[#This Row],[Prix de Revient]]</f>
        <v>0</v>
      </c>
      <c r="AA228" s="74">
        <f>Devis[[#This Row],[Prix de Revient]]*Devis[[#This Row],[Poste 6]]</f>
        <v>0</v>
      </c>
      <c r="AB228" s="74">
        <f>Devis[[#This Row],[Quantité Totale]]*Devis[[#This Row],[Prix de Revient]]</f>
        <v>0</v>
      </c>
    </row>
    <row r="229" spans="1:28" ht="14.25" outlineLevel="1" x14ac:dyDescent="0.2">
      <c r="A229" s="75" t="s">
        <v>68</v>
      </c>
      <c r="B229" s="76" t="s">
        <v>4408</v>
      </c>
      <c r="C229" s="76" t="s">
        <v>119</v>
      </c>
      <c r="D229" s="81" t="str">
        <f t="shared" si="5"/>
        <v>App ElectriqueINTERSECTIONNEUR TETRAVistop à Plastron TETRA</v>
      </c>
      <c r="E229" s="76" t="s">
        <v>4410</v>
      </c>
      <c r="F229" s="81">
        <v>2</v>
      </c>
      <c r="G229" s="82">
        <v>22527</v>
      </c>
      <c r="H229" s="79"/>
      <c r="I229" s="71"/>
      <c r="J229" s="70">
        <f>IFERROR(VLOOKUP(Devis[[#This Row],[Ref Air Flux]],#REF!,3,FALSE),0)</f>
        <v>0</v>
      </c>
      <c r="K229" s="68"/>
      <c r="L229" s="68"/>
      <c r="M229" s="68"/>
      <c r="N229" s="68"/>
      <c r="O229" s="68"/>
      <c r="P229" s="68"/>
      <c r="Q229" s="68">
        <f>SUM(Devis[[#This Row],[Poste 1]:[Poste 6]])</f>
        <v>0</v>
      </c>
      <c r="R229" s="71"/>
      <c r="S229" s="68">
        <f>_xlfn.CEILING.MATH(Devis[[#This Row],[Quantité Totale]],Devis[[#This Row],[Conditionnement]])</f>
        <v>0</v>
      </c>
      <c r="T229" s="72"/>
      <c r="U229" s="74"/>
      <c r="V229" s="74">
        <f>Devis[[#This Row],[Prix de Revient]]*Devis[[#This Row],[Poste 1]]</f>
        <v>0</v>
      </c>
      <c r="W229" s="74">
        <f>Devis[[#This Row],[Prix de Revient]]*Devis[[#This Row],[Poste 2]]</f>
        <v>0</v>
      </c>
      <c r="X229" s="74">
        <f>Devis[[#This Row],[Prix de Revient]]*Devis[[#This Row],[Poste 3]]</f>
        <v>0</v>
      </c>
      <c r="Y229" s="74">
        <f>Devis[[#This Row],[Poste 4]]*Devis[[#This Row],[Prix de Revient]]</f>
        <v>0</v>
      </c>
      <c r="Z229" s="74">
        <f>Devis[[#This Row],[Poste 5]]*Devis[[#This Row],[Prix de Revient]]</f>
        <v>0</v>
      </c>
      <c r="AA229" s="74">
        <f>Devis[[#This Row],[Prix de Revient]]*Devis[[#This Row],[Poste 6]]</f>
        <v>0</v>
      </c>
      <c r="AB229" s="74">
        <f>Devis[[#This Row],[Quantité Totale]]*Devis[[#This Row],[Prix de Revient]]</f>
        <v>0</v>
      </c>
    </row>
    <row r="230" spans="1:28" ht="14.25" customHeight="1" outlineLevel="1" x14ac:dyDescent="0.2">
      <c r="A230" s="75" t="s">
        <v>68</v>
      </c>
      <c r="B230" s="76" t="s">
        <v>4408</v>
      </c>
      <c r="C230" s="76"/>
      <c r="D230" s="81" t="str">
        <f t="shared" si="5"/>
        <v>App ElectriqueINTERSECTIONNEUR TETRA</v>
      </c>
      <c r="E230" s="76"/>
      <c r="F230" s="81">
        <v>3</v>
      </c>
      <c r="G230" s="82"/>
      <c r="H230" s="79"/>
      <c r="I230" s="71"/>
      <c r="J230" s="70">
        <f>IFERROR(VLOOKUP(Devis[[#This Row],[Ref Air Flux]],#REF!,3,FALSE),0)</f>
        <v>0</v>
      </c>
      <c r="K230" s="68"/>
      <c r="L230" s="68"/>
      <c r="M230" s="68"/>
      <c r="N230" s="68"/>
      <c r="O230" s="68"/>
      <c r="P230" s="68"/>
      <c r="Q230" s="68">
        <f>SUM(Devis[[#This Row],[Poste 1]:[Poste 6]])</f>
        <v>0</v>
      </c>
      <c r="R230" s="71"/>
      <c r="S230" s="68">
        <f>_xlfn.CEILING.MATH(Devis[[#This Row],[Quantité Totale]],Devis[[#This Row],[Conditionnement]])</f>
        <v>0</v>
      </c>
      <c r="T230" s="72"/>
      <c r="U230" s="73"/>
      <c r="V230" s="74">
        <f>Devis[[#This Row],[Prix de Revient]]*Devis[[#This Row],[Poste 1]]</f>
        <v>0</v>
      </c>
      <c r="W230" s="74">
        <f>Devis[[#This Row],[Prix de Revient]]*Devis[[#This Row],[Poste 2]]</f>
        <v>0</v>
      </c>
      <c r="X230" s="74">
        <f>Devis[[#This Row],[Prix de Revient]]*Devis[[#This Row],[Poste 3]]</f>
        <v>0</v>
      </c>
      <c r="Y230" s="74">
        <f>Devis[[#This Row],[Poste 4]]*Devis[[#This Row],[Prix de Revient]]</f>
        <v>0</v>
      </c>
      <c r="Z230" s="74">
        <f>Devis[[#This Row],[Poste 5]]*Devis[[#This Row],[Prix de Revient]]</f>
        <v>0</v>
      </c>
      <c r="AA230" s="74">
        <f>Devis[[#This Row],[Prix de Revient]]*Devis[[#This Row],[Poste 6]]</f>
        <v>0</v>
      </c>
      <c r="AB230" s="74">
        <f>Devis[[#This Row],[Quantité Totale]]*Devis[[#This Row],[Prix de Revient]]</f>
        <v>0</v>
      </c>
    </row>
    <row r="231" spans="1:28" ht="14.25" customHeight="1" x14ac:dyDescent="0.25">
      <c r="A231" s="65" t="s">
        <v>68</v>
      </c>
      <c r="B231" s="65" t="s">
        <v>4398</v>
      </c>
      <c r="C231" s="76"/>
      <c r="D231" s="81" t="str">
        <f t="shared" si="5"/>
        <v>App ElectriqueKIT HORS-GEL</v>
      </c>
      <c r="E231" s="76"/>
      <c r="F231" s="81">
        <v>0</v>
      </c>
      <c r="G231" s="82"/>
      <c r="H231" s="79"/>
      <c r="I231" s="71"/>
      <c r="J231" s="70">
        <f>IFERROR(VLOOKUP(Devis[[#This Row],[Ref Air Flux]],#REF!,3,FALSE),0)</f>
        <v>0</v>
      </c>
      <c r="K231" s="68"/>
      <c r="L231" s="68"/>
      <c r="M231" s="68"/>
      <c r="N231" s="68"/>
      <c r="O231" s="68"/>
      <c r="P231" s="68"/>
      <c r="Q231" s="68">
        <f>SUM(Devis[[#This Row],[Poste 1]:[Poste 6]])</f>
        <v>0</v>
      </c>
      <c r="R231" s="71"/>
      <c r="S231" s="68">
        <f>_xlfn.CEILING.MATH(Devis[[#This Row],[Quantité Totale]],Devis[[#This Row],[Conditionnement]])</f>
        <v>0</v>
      </c>
      <c r="T231" s="72"/>
      <c r="U231" s="74"/>
      <c r="V231" s="74">
        <f>Devis[[#This Row],[Prix de Revient]]*Devis[[#This Row],[Poste 1]]</f>
        <v>0</v>
      </c>
      <c r="W231" s="74">
        <f>Devis[[#This Row],[Prix de Revient]]*Devis[[#This Row],[Poste 2]]</f>
        <v>0</v>
      </c>
      <c r="X231" s="74">
        <f>Devis[[#This Row],[Prix de Revient]]*Devis[[#This Row],[Poste 3]]</f>
        <v>0</v>
      </c>
      <c r="Y231" s="74">
        <f>Devis[[#This Row],[Poste 4]]*Devis[[#This Row],[Prix de Revient]]</f>
        <v>0</v>
      </c>
      <c r="Z231" s="74">
        <f>Devis[[#This Row],[Poste 5]]*Devis[[#This Row],[Prix de Revient]]</f>
        <v>0</v>
      </c>
      <c r="AA231" s="74">
        <f>Devis[[#This Row],[Prix de Revient]]*Devis[[#This Row],[Poste 6]]</f>
        <v>0</v>
      </c>
      <c r="AB231" s="74">
        <f>Devis[[#This Row],[Quantité Totale]]*Devis[[#This Row],[Prix de Revient]]</f>
        <v>0</v>
      </c>
    </row>
    <row r="232" spans="1:28" ht="14.25" outlineLevel="1" x14ac:dyDescent="0.2">
      <c r="A232" s="75" t="s">
        <v>68</v>
      </c>
      <c r="B232" s="76" t="s">
        <v>4398</v>
      </c>
      <c r="C232" s="76" t="s">
        <v>4399</v>
      </c>
      <c r="D232" s="81" t="str">
        <f t="shared" si="5"/>
        <v>App ElectriqueKIT HORS-GELKit HorsGel Compresseur 250W</v>
      </c>
      <c r="E232" s="71" t="s">
        <v>4400</v>
      </c>
      <c r="F232" s="81">
        <v>1</v>
      </c>
      <c r="G232" s="82" t="s">
        <v>50</v>
      </c>
      <c r="H232" s="79" t="s">
        <v>3691</v>
      </c>
      <c r="I232" s="71"/>
      <c r="J232" s="70">
        <f>IFERROR(VLOOKUP(Devis[[#This Row],[Ref Air Flux]],#REF!,3,FALSE),0)</f>
        <v>0</v>
      </c>
      <c r="K232" s="68"/>
      <c r="L232" s="68"/>
      <c r="M232" s="68"/>
      <c r="N232" s="68"/>
      <c r="O232" s="68"/>
      <c r="P232" s="68"/>
      <c r="Q232" s="68">
        <f>SUM(Devis[[#This Row],[Poste 1]:[Poste 6]])</f>
        <v>0</v>
      </c>
      <c r="R232" s="71"/>
      <c r="S232" s="68">
        <f>_xlfn.CEILING.MATH(Devis[[#This Row],[Quantité Totale]],Devis[[#This Row],[Conditionnement]])</f>
        <v>0</v>
      </c>
      <c r="T232" s="72"/>
      <c r="U232" s="74"/>
      <c r="V232" s="74">
        <f>Devis[[#This Row],[Prix de Revient]]*Devis[[#This Row],[Poste 1]]</f>
        <v>0</v>
      </c>
      <c r="W232" s="74">
        <f>Devis[[#This Row],[Prix de Revient]]*Devis[[#This Row],[Poste 2]]</f>
        <v>0</v>
      </c>
      <c r="X232" s="74">
        <f>Devis[[#This Row],[Prix de Revient]]*Devis[[#This Row],[Poste 3]]</f>
        <v>0</v>
      </c>
      <c r="Y232" s="74">
        <f>Devis[[#This Row],[Poste 4]]*Devis[[#This Row],[Prix de Revient]]</f>
        <v>0</v>
      </c>
      <c r="Z232" s="74">
        <f>Devis[[#This Row],[Poste 5]]*Devis[[#This Row],[Prix de Revient]]</f>
        <v>0</v>
      </c>
      <c r="AA232" s="74">
        <f>Devis[[#This Row],[Prix de Revient]]*Devis[[#This Row],[Poste 6]]</f>
        <v>0</v>
      </c>
      <c r="AB232" s="74">
        <f>Devis[[#This Row],[Quantité Totale]]*Devis[[#This Row],[Prix de Revient]]</f>
        <v>0</v>
      </c>
    </row>
    <row r="233" spans="1:28" ht="14.25" outlineLevel="1" x14ac:dyDescent="0.2">
      <c r="A233" s="75" t="s">
        <v>68</v>
      </c>
      <c r="B233" s="76" t="s">
        <v>4398</v>
      </c>
      <c r="C233" s="76" t="s">
        <v>4399</v>
      </c>
      <c r="D233" s="81" t="str">
        <f t="shared" si="5"/>
        <v>App ElectriqueKIT HORS-GELKit HorsGel Compresseur 250W</v>
      </c>
      <c r="E233" s="71" t="s">
        <v>4401</v>
      </c>
      <c r="F233" s="81">
        <v>2</v>
      </c>
      <c r="G233" s="82" t="s">
        <v>51</v>
      </c>
      <c r="H233" s="79" t="s">
        <v>3691</v>
      </c>
      <c r="I233" s="71"/>
      <c r="J233" s="70">
        <f>IFERROR(VLOOKUP(Devis[[#This Row],[Ref Air Flux]],#REF!,3,FALSE),0)</f>
        <v>0</v>
      </c>
      <c r="K233" s="68"/>
      <c r="L233" s="68"/>
      <c r="M233" s="68"/>
      <c r="N233" s="68"/>
      <c r="O233" s="68"/>
      <c r="P233" s="68"/>
      <c r="Q233" s="68">
        <f>SUM(Devis[[#This Row],[Poste 1]:[Poste 6]])</f>
        <v>0</v>
      </c>
      <c r="R233" s="71"/>
      <c r="S233" s="68">
        <f>_xlfn.CEILING.MATH(Devis[[#This Row],[Quantité Totale]],Devis[[#This Row],[Conditionnement]])</f>
        <v>0</v>
      </c>
      <c r="T233" s="72"/>
      <c r="U233" s="74"/>
      <c r="V233" s="74">
        <f>Devis[[#This Row],[Prix de Revient]]*Devis[[#This Row],[Poste 1]]</f>
        <v>0</v>
      </c>
      <c r="W233" s="74">
        <f>Devis[[#This Row],[Prix de Revient]]*Devis[[#This Row],[Poste 2]]</f>
        <v>0</v>
      </c>
      <c r="X233" s="74">
        <f>Devis[[#This Row],[Prix de Revient]]*Devis[[#This Row],[Poste 3]]</f>
        <v>0</v>
      </c>
      <c r="Y233" s="74">
        <f>Devis[[#This Row],[Poste 4]]*Devis[[#This Row],[Prix de Revient]]</f>
        <v>0</v>
      </c>
      <c r="Z233" s="74">
        <f>Devis[[#This Row],[Poste 5]]*Devis[[#This Row],[Prix de Revient]]</f>
        <v>0</v>
      </c>
      <c r="AA233" s="74">
        <f>Devis[[#This Row],[Prix de Revient]]*Devis[[#This Row],[Poste 6]]</f>
        <v>0</v>
      </c>
      <c r="AB233" s="74">
        <f>Devis[[#This Row],[Quantité Totale]]*Devis[[#This Row],[Prix de Revient]]</f>
        <v>0</v>
      </c>
    </row>
    <row r="234" spans="1:28" ht="14.25" outlineLevel="1" x14ac:dyDescent="0.2">
      <c r="A234" s="75" t="s">
        <v>68</v>
      </c>
      <c r="B234" s="76" t="s">
        <v>4398</v>
      </c>
      <c r="C234" s="76" t="s">
        <v>4402</v>
      </c>
      <c r="D234" s="81" t="str">
        <f t="shared" si="5"/>
        <v>App ElectriqueKIT HORS-GELKit HorsGel Bekomat</v>
      </c>
      <c r="E234" s="71" t="s">
        <v>4403</v>
      </c>
      <c r="F234" s="81">
        <v>3</v>
      </c>
      <c r="G234" s="82" t="s">
        <v>4404</v>
      </c>
      <c r="H234" s="71" t="s">
        <v>32</v>
      </c>
      <c r="I234" s="71"/>
      <c r="J234" s="70">
        <f>IFERROR(VLOOKUP(Devis[[#This Row],[Ref Air Flux]],#REF!,3,FALSE),0)</f>
        <v>0</v>
      </c>
      <c r="K234" s="68"/>
      <c r="L234" s="68"/>
      <c r="M234" s="68"/>
      <c r="N234" s="68"/>
      <c r="O234" s="68"/>
      <c r="P234" s="68"/>
      <c r="Q234" s="68">
        <f>SUM(Devis[[#This Row],[Poste 1]:[Poste 6]])</f>
        <v>0</v>
      </c>
      <c r="R234" s="71"/>
      <c r="S234" s="68">
        <f>_xlfn.CEILING.MATH(Devis[[#This Row],[Quantité Totale]],Devis[[#This Row],[Conditionnement]])</f>
        <v>0</v>
      </c>
      <c r="T234" s="72"/>
      <c r="U234" s="74"/>
      <c r="V234" s="74">
        <f>Devis[[#This Row],[Prix de Revient]]*Devis[[#This Row],[Poste 1]]</f>
        <v>0</v>
      </c>
      <c r="W234" s="74">
        <f>Devis[[#This Row],[Prix de Revient]]*Devis[[#This Row],[Poste 2]]</f>
        <v>0</v>
      </c>
      <c r="X234" s="74">
        <f>Devis[[#This Row],[Prix de Revient]]*Devis[[#This Row],[Poste 3]]</f>
        <v>0</v>
      </c>
      <c r="Y234" s="74">
        <f>Devis[[#This Row],[Poste 4]]*Devis[[#This Row],[Prix de Revient]]</f>
        <v>0</v>
      </c>
      <c r="Z234" s="74">
        <f>Devis[[#This Row],[Poste 5]]*Devis[[#This Row],[Prix de Revient]]</f>
        <v>0</v>
      </c>
      <c r="AA234" s="74">
        <f>Devis[[#This Row],[Prix de Revient]]*Devis[[#This Row],[Poste 6]]</f>
        <v>0</v>
      </c>
      <c r="AB234" s="74">
        <f>Devis[[#This Row],[Quantité Totale]]*Devis[[#This Row],[Prix de Revient]]</f>
        <v>0</v>
      </c>
    </row>
    <row r="235" spans="1:28" ht="14.25" outlineLevel="1" x14ac:dyDescent="0.2">
      <c r="A235" s="75" t="s">
        <v>68</v>
      </c>
      <c r="B235" s="76" t="s">
        <v>4398</v>
      </c>
      <c r="C235" s="76" t="s">
        <v>106</v>
      </c>
      <c r="D235" s="81" t="str">
        <f t="shared" si="5"/>
        <v>App ElectriqueKIT HORS-GELThermostats/kit HORSGEL</v>
      </c>
      <c r="E235" s="71" t="s">
        <v>107</v>
      </c>
      <c r="F235" s="81">
        <v>4</v>
      </c>
      <c r="G235" s="82" t="s">
        <v>108</v>
      </c>
      <c r="H235" s="79"/>
      <c r="I235" s="71" t="s">
        <v>109</v>
      </c>
      <c r="J235" s="70">
        <f>IFERROR(VLOOKUP(Devis[[#This Row],[Ref Air Flux]],#REF!,3,FALSE),0)</f>
        <v>0</v>
      </c>
      <c r="K235" s="68"/>
      <c r="L235" s="68"/>
      <c r="M235" s="68"/>
      <c r="N235" s="68"/>
      <c r="O235" s="68"/>
      <c r="P235" s="68"/>
      <c r="Q235" s="68">
        <f>SUM(Devis[[#This Row],[Poste 1]:[Poste 6]])</f>
        <v>0</v>
      </c>
      <c r="R235" s="71"/>
      <c r="S235" s="68">
        <f>_xlfn.CEILING.MATH(Devis[[#This Row],[Quantité Totale]],Devis[[#This Row],[Conditionnement]])</f>
        <v>0</v>
      </c>
      <c r="T235" s="72"/>
      <c r="U235" s="74"/>
      <c r="V235" s="74">
        <f>Devis[[#This Row],[Prix de Revient]]*Devis[[#This Row],[Poste 1]]</f>
        <v>0</v>
      </c>
      <c r="W235" s="74">
        <f>Devis[[#This Row],[Prix de Revient]]*Devis[[#This Row],[Poste 2]]</f>
        <v>0</v>
      </c>
      <c r="X235" s="74">
        <f>Devis[[#This Row],[Prix de Revient]]*Devis[[#This Row],[Poste 3]]</f>
        <v>0</v>
      </c>
      <c r="Y235" s="74">
        <f>Devis[[#This Row],[Poste 4]]*Devis[[#This Row],[Prix de Revient]]</f>
        <v>0</v>
      </c>
      <c r="Z235" s="74">
        <f>Devis[[#This Row],[Poste 5]]*Devis[[#This Row],[Prix de Revient]]</f>
        <v>0</v>
      </c>
      <c r="AA235" s="74">
        <f>Devis[[#This Row],[Prix de Revient]]*Devis[[#This Row],[Poste 6]]</f>
        <v>0</v>
      </c>
      <c r="AB235" s="74">
        <f>Devis[[#This Row],[Quantité Totale]]*Devis[[#This Row],[Prix de Revient]]</f>
        <v>0</v>
      </c>
    </row>
    <row r="236" spans="1:28" ht="14.25" outlineLevel="1" x14ac:dyDescent="0.2">
      <c r="A236" s="75" t="s">
        <v>68</v>
      </c>
      <c r="B236" s="76" t="s">
        <v>4398</v>
      </c>
      <c r="C236" s="76" t="s">
        <v>106</v>
      </c>
      <c r="D236" s="81" t="str">
        <f t="shared" si="5"/>
        <v>App ElectriqueKIT HORS-GELThermostats/kit HORSGEL</v>
      </c>
      <c r="E236" s="71" t="s">
        <v>4405</v>
      </c>
      <c r="F236" s="81">
        <v>5</v>
      </c>
      <c r="G236" s="82" t="s">
        <v>110</v>
      </c>
      <c r="H236" s="79"/>
      <c r="I236" s="71" t="s">
        <v>111</v>
      </c>
      <c r="J236" s="70">
        <f>IFERROR(VLOOKUP(Devis[[#This Row],[Ref Air Flux]],#REF!,3,FALSE),0)</f>
        <v>0</v>
      </c>
      <c r="K236" s="68"/>
      <c r="L236" s="68"/>
      <c r="M236" s="68"/>
      <c r="N236" s="68"/>
      <c r="O236" s="68"/>
      <c r="P236" s="68"/>
      <c r="Q236" s="68">
        <f>SUM(Devis[[#This Row],[Poste 1]:[Poste 6]])</f>
        <v>0</v>
      </c>
      <c r="R236" s="71"/>
      <c r="S236" s="68">
        <f>_xlfn.CEILING.MATH(Devis[[#This Row],[Quantité Totale]],Devis[[#This Row],[Conditionnement]])</f>
        <v>0</v>
      </c>
      <c r="T236" s="72"/>
      <c r="U236" s="74"/>
      <c r="V236" s="74">
        <f>Devis[[#This Row],[Prix de Revient]]*Devis[[#This Row],[Poste 1]]</f>
        <v>0</v>
      </c>
      <c r="W236" s="74">
        <f>Devis[[#This Row],[Prix de Revient]]*Devis[[#This Row],[Poste 2]]</f>
        <v>0</v>
      </c>
      <c r="X236" s="74">
        <f>Devis[[#This Row],[Prix de Revient]]*Devis[[#This Row],[Poste 3]]</f>
        <v>0</v>
      </c>
      <c r="Y236" s="74">
        <f>Devis[[#This Row],[Poste 4]]*Devis[[#This Row],[Prix de Revient]]</f>
        <v>0</v>
      </c>
      <c r="Z236" s="74">
        <f>Devis[[#This Row],[Poste 5]]*Devis[[#This Row],[Prix de Revient]]</f>
        <v>0</v>
      </c>
      <c r="AA236" s="74">
        <f>Devis[[#This Row],[Prix de Revient]]*Devis[[#This Row],[Poste 6]]</f>
        <v>0</v>
      </c>
      <c r="AB236" s="74">
        <f>Devis[[#This Row],[Quantité Totale]]*Devis[[#This Row],[Prix de Revient]]</f>
        <v>0</v>
      </c>
    </row>
    <row r="237" spans="1:28" ht="14.25" outlineLevel="1" x14ac:dyDescent="0.2">
      <c r="A237" s="75" t="s">
        <v>68</v>
      </c>
      <c r="B237" s="76" t="s">
        <v>4398</v>
      </c>
      <c r="C237" s="76" t="s">
        <v>106</v>
      </c>
      <c r="D237" s="81" t="str">
        <f t="shared" si="5"/>
        <v>App ElectriqueKIT HORS-GELThermostats/kit HORSGEL</v>
      </c>
      <c r="E237" s="71" t="s">
        <v>112</v>
      </c>
      <c r="F237" s="81">
        <v>6</v>
      </c>
      <c r="G237" s="82" t="s">
        <v>113</v>
      </c>
      <c r="H237" s="79"/>
      <c r="I237" s="71" t="s">
        <v>114</v>
      </c>
      <c r="J237" s="70">
        <f>IFERROR(VLOOKUP(Devis[[#This Row],[Ref Air Flux]],#REF!,3,FALSE),0)</f>
        <v>0</v>
      </c>
      <c r="K237" s="68"/>
      <c r="L237" s="68"/>
      <c r="M237" s="68"/>
      <c r="N237" s="68"/>
      <c r="O237" s="68"/>
      <c r="P237" s="68"/>
      <c r="Q237" s="68">
        <f>SUM(Devis[[#This Row],[Poste 1]:[Poste 6]])</f>
        <v>0</v>
      </c>
      <c r="R237" s="71"/>
      <c r="S237" s="68">
        <f>_xlfn.CEILING.MATH(Devis[[#This Row],[Quantité Totale]],Devis[[#This Row],[Conditionnement]])</f>
        <v>0</v>
      </c>
      <c r="T237" s="72"/>
      <c r="U237" s="74"/>
      <c r="V237" s="74">
        <f>Devis[[#This Row],[Prix de Revient]]*Devis[[#This Row],[Poste 1]]</f>
        <v>0</v>
      </c>
      <c r="W237" s="74">
        <f>Devis[[#This Row],[Prix de Revient]]*Devis[[#This Row],[Poste 2]]</f>
        <v>0</v>
      </c>
      <c r="X237" s="74">
        <f>Devis[[#This Row],[Prix de Revient]]*Devis[[#This Row],[Poste 3]]</f>
        <v>0</v>
      </c>
      <c r="Y237" s="74">
        <f>Devis[[#This Row],[Poste 4]]*Devis[[#This Row],[Prix de Revient]]</f>
        <v>0</v>
      </c>
      <c r="Z237" s="74">
        <f>Devis[[#This Row],[Poste 5]]*Devis[[#This Row],[Prix de Revient]]</f>
        <v>0</v>
      </c>
      <c r="AA237" s="74">
        <f>Devis[[#This Row],[Prix de Revient]]*Devis[[#This Row],[Poste 6]]</f>
        <v>0</v>
      </c>
      <c r="AB237" s="74">
        <f>Devis[[#This Row],[Quantité Totale]]*Devis[[#This Row],[Prix de Revient]]</f>
        <v>0</v>
      </c>
    </row>
    <row r="238" spans="1:28" ht="14.25" customHeight="1" outlineLevel="1" x14ac:dyDescent="0.2">
      <c r="A238" s="75" t="s">
        <v>68</v>
      </c>
      <c r="B238" s="76" t="s">
        <v>4398</v>
      </c>
      <c r="C238" s="76" t="s">
        <v>106</v>
      </c>
      <c r="D238" s="81" t="str">
        <f t="shared" si="5"/>
        <v>App ElectriqueKIT HORS-GELThermostats/kit HORSGEL</v>
      </c>
      <c r="E238" s="71" t="s">
        <v>115</v>
      </c>
      <c r="F238" s="81">
        <v>7</v>
      </c>
      <c r="G238" s="82" t="s">
        <v>116</v>
      </c>
      <c r="H238" s="79"/>
      <c r="I238" s="71" t="s">
        <v>117</v>
      </c>
      <c r="J238" s="70">
        <f>IFERROR(VLOOKUP(Devis[[#This Row],[Ref Air Flux]],#REF!,3,FALSE),0)</f>
        <v>0</v>
      </c>
      <c r="K238" s="68"/>
      <c r="L238" s="68"/>
      <c r="M238" s="68"/>
      <c r="N238" s="68"/>
      <c r="O238" s="68"/>
      <c r="P238" s="68"/>
      <c r="Q238" s="68">
        <f>SUM(Devis[[#This Row],[Poste 1]:[Poste 6]])</f>
        <v>0</v>
      </c>
      <c r="R238" s="71"/>
      <c r="S238" s="68">
        <f>_xlfn.CEILING.MATH(Devis[[#This Row],[Quantité Totale]],Devis[[#This Row],[Conditionnement]])</f>
        <v>0</v>
      </c>
      <c r="T238" s="72"/>
      <c r="U238" s="74"/>
      <c r="V238" s="74">
        <f>Devis[[#This Row],[Prix de Revient]]*Devis[[#This Row],[Poste 1]]</f>
        <v>0</v>
      </c>
      <c r="W238" s="74">
        <f>Devis[[#This Row],[Prix de Revient]]*Devis[[#This Row],[Poste 2]]</f>
        <v>0</v>
      </c>
      <c r="X238" s="74">
        <f>Devis[[#This Row],[Prix de Revient]]*Devis[[#This Row],[Poste 3]]</f>
        <v>0</v>
      </c>
      <c r="Y238" s="74">
        <f>Devis[[#This Row],[Poste 4]]*Devis[[#This Row],[Prix de Revient]]</f>
        <v>0</v>
      </c>
      <c r="Z238" s="74">
        <f>Devis[[#This Row],[Poste 5]]*Devis[[#This Row],[Prix de Revient]]</f>
        <v>0</v>
      </c>
      <c r="AA238" s="74">
        <f>Devis[[#This Row],[Prix de Revient]]*Devis[[#This Row],[Poste 6]]</f>
        <v>0</v>
      </c>
      <c r="AB238" s="74">
        <f>Devis[[#This Row],[Quantité Totale]]*Devis[[#This Row],[Prix de Revient]]</f>
        <v>0</v>
      </c>
    </row>
    <row r="239" spans="1:28" ht="14.25" customHeight="1" x14ac:dyDescent="0.25">
      <c r="A239" s="65" t="s">
        <v>68</v>
      </c>
      <c r="B239" s="65" t="s">
        <v>4390</v>
      </c>
      <c r="C239" s="76"/>
      <c r="D239" s="81" t="str">
        <f t="shared" si="5"/>
        <v xml:space="preserve">App ElectriqueRELAIS DE COMMANDE </v>
      </c>
      <c r="E239" s="76"/>
      <c r="F239" s="81">
        <v>0</v>
      </c>
      <c r="G239" s="82"/>
      <c r="H239" s="79"/>
      <c r="I239" s="71"/>
      <c r="J239" s="70">
        <f>IFERROR(VLOOKUP(Devis[[#This Row],[Ref Air Flux]],#REF!,3,FALSE),0)</f>
        <v>0</v>
      </c>
      <c r="K239" s="68"/>
      <c r="L239" s="68"/>
      <c r="M239" s="68"/>
      <c r="N239" s="68"/>
      <c r="O239" s="68"/>
      <c r="P239" s="68"/>
      <c r="Q239" s="68">
        <f>SUM(Devis[[#This Row],[Poste 1]:[Poste 6]])</f>
        <v>0</v>
      </c>
      <c r="R239" s="71"/>
      <c r="S239" s="68">
        <f>_xlfn.CEILING.MATH(Devis[[#This Row],[Quantité Totale]],Devis[[#This Row],[Conditionnement]])</f>
        <v>0</v>
      </c>
      <c r="T239" s="72"/>
      <c r="U239" s="73"/>
      <c r="V239" s="74">
        <f>Devis[[#This Row],[Prix de Revient]]*Devis[[#This Row],[Poste 1]]</f>
        <v>0</v>
      </c>
      <c r="W239" s="74">
        <f>Devis[[#This Row],[Prix de Revient]]*Devis[[#This Row],[Poste 2]]</f>
        <v>0</v>
      </c>
      <c r="X239" s="74">
        <f>Devis[[#This Row],[Prix de Revient]]*Devis[[#This Row],[Poste 3]]</f>
        <v>0</v>
      </c>
      <c r="Y239" s="74">
        <f>Devis[[#This Row],[Poste 4]]*Devis[[#This Row],[Prix de Revient]]</f>
        <v>0</v>
      </c>
      <c r="Z239" s="74">
        <f>Devis[[#This Row],[Poste 5]]*Devis[[#This Row],[Prix de Revient]]</f>
        <v>0</v>
      </c>
      <c r="AA239" s="74">
        <f>Devis[[#This Row],[Prix de Revient]]*Devis[[#This Row],[Poste 6]]</f>
        <v>0</v>
      </c>
      <c r="AB239" s="74">
        <f>Devis[[#This Row],[Quantité Totale]]*Devis[[#This Row],[Prix de Revient]]</f>
        <v>0</v>
      </c>
    </row>
    <row r="240" spans="1:28" ht="14.25" outlineLevel="1" x14ac:dyDescent="0.2">
      <c r="A240" s="75" t="s">
        <v>68</v>
      </c>
      <c r="B240" s="76" t="s">
        <v>4390</v>
      </c>
      <c r="C240" s="76" t="s">
        <v>4391</v>
      </c>
      <c r="D240" s="81" t="str">
        <f t="shared" si="5"/>
        <v xml:space="preserve">App ElectriqueRELAIS DE COMMANDE Relais </v>
      </c>
      <c r="E240" s="76" t="s">
        <v>101</v>
      </c>
      <c r="F240" s="81">
        <v>1</v>
      </c>
      <c r="G240" s="82" t="s">
        <v>4392</v>
      </c>
      <c r="H240" s="79"/>
      <c r="I240" s="71"/>
      <c r="J240" s="70">
        <f>IFERROR(VLOOKUP(Devis[[#This Row],[Ref Air Flux]],#REF!,3,FALSE),0)</f>
        <v>0</v>
      </c>
      <c r="K240" s="68"/>
      <c r="L240" s="68"/>
      <c r="M240" s="68"/>
      <c r="N240" s="68"/>
      <c r="O240" s="68"/>
      <c r="P240" s="68"/>
      <c r="Q240" s="68">
        <f>SUM(Devis[[#This Row],[Poste 1]:[Poste 6]])</f>
        <v>0</v>
      </c>
      <c r="R240" s="71"/>
      <c r="S240" s="68">
        <f>_xlfn.CEILING.MATH(Devis[[#This Row],[Quantité Totale]],Devis[[#This Row],[Conditionnement]])</f>
        <v>0</v>
      </c>
      <c r="T240" s="72"/>
      <c r="U240" s="73"/>
      <c r="V240" s="74">
        <f>Devis[[#This Row],[Prix de Revient]]*Devis[[#This Row],[Poste 1]]</f>
        <v>0</v>
      </c>
      <c r="W240" s="74">
        <f>Devis[[#This Row],[Prix de Revient]]*Devis[[#This Row],[Poste 2]]</f>
        <v>0</v>
      </c>
      <c r="X240" s="74">
        <f>Devis[[#This Row],[Prix de Revient]]*Devis[[#This Row],[Poste 3]]</f>
        <v>0</v>
      </c>
      <c r="Y240" s="74">
        <f>Devis[[#This Row],[Poste 4]]*Devis[[#This Row],[Prix de Revient]]</f>
        <v>0</v>
      </c>
      <c r="Z240" s="74">
        <f>Devis[[#This Row],[Poste 5]]*Devis[[#This Row],[Prix de Revient]]</f>
        <v>0</v>
      </c>
      <c r="AA240" s="74">
        <f>Devis[[#This Row],[Prix de Revient]]*Devis[[#This Row],[Poste 6]]</f>
        <v>0</v>
      </c>
      <c r="AB240" s="74">
        <f>Devis[[#This Row],[Quantité Totale]]*Devis[[#This Row],[Prix de Revient]]</f>
        <v>0</v>
      </c>
    </row>
    <row r="241" spans="1:28" ht="14.25" outlineLevel="1" x14ac:dyDescent="0.2">
      <c r="A241" s="75" t="s">
        <v>68</v>
      </c>
      <c r="B241" s="76" t="s">
        <v>4390</v>
      </c>
      <c r="C241" s="76" t="s">
        <v>4391</v>
      </c>
      <c r="D241" s="81" t="str">
        <f t="shared" si="5"/>
        <v xml:space="preserve">App ElectriqueRELAIS DE COMMANDE Relais </v>
      </c>
      <c r="E241" s="76" t="s">
        <v>102</v>
      </c>
      <c r="F241" s="81">
        <v>2</v>
      </c>
      <c r="G241" s="82" t="s">
        <v>4393</v>
      </c>
      <c r="H241" s="79"/>
      <c r="I241" s="71"/>
      <c r="J241" s="70">
        <f>IFERROR(VLOOKUP(Devis[[#This Row],[Ref Air Flux]],#REF!,3,FALSE),0)</f>
        <v>0</v>
      </c>
      <c r="K241" s="68"/>
      <c r="L241" s="68"/>
      <c r="M241" s="68"/>
      <c r="N241" s="68"/>
      <c r="O241" s="68"/>
      <c r="P241" s="68"/>
      <c r="Q241" s="68">
        <f>SUM(Devis[[#This Row],[Poste 1]:[Poste 6]])</f>
        <v>0</v>
      </c>
      <c r="R241" s="71"/>
      <c r="S241" s="68">
        <f>_xlfn.CEILING.MATH(Devis[[#This Row],[Quantité Totale]],Devis[[#This Row],[Conditionnement]])</f>
        <v>0</v>
      </c>
      <c r="T241" s="72"/>
      <c r="U241" s="73"/>
      <c r="V241" s="74">
        <f>Devis[[#This Row],[Prix de Revient]]*Devis[[#This Row],[Poste 1]]</f>
        <v>0</v>
      </c>
      <c r="W241" s="74">
        <f>Devis[[#This Row],[Prix de Revient]]*Devis[[#This Row],[Poste 2]]</f>
        <v>0</v>
      </c>
      <c r="X241" s="74">
        <f>Devis[[#This Row],[Prix de Revient]]*Devis[[#This Row],[Poste 3]]</f>
        <v>0</v>
      </c>
      <c r="Y241" s="74">
        <f>Devis[[#This Row],[Poste 4]]*Devis[[#This Row],[Prix de Revient]]</f>
        <v>0</v>
      </c>
      <c r="Z241" s="74">
        <f>Devis[[#This Row],[Poste 5]]*Devis[[#This Row],[Prix de Revient]]</f>
        <v>0</v>
      </c>
      <c r="AA241" s="74">
        <f>Devis[[#This Row],[Prix de Revient]]*Devis[[#This Row],[Poste 6]]</f>
        <v>0</v>
      </c>
      <c r="AB241" s="74">
        <f>Devis[[#This Row],[Quantité Totale]]*Devis[[#This Row],[Prix de Revient]]</f>
        <v>0</v>
      </c>
    </row>
    <row r="242" spans="1:28" ht="14.25" customHeight="1" outlineLevel="1" x14ac:dyDescent="0.2">
      <c r="A242" s="75" t="s">
        <v>68</v>
      </c>
      <c r="B242" s="76" t="s">
        <v>4390</v>
      </c>
      <c r="C242" s="76" t="s">
        <v>4391</v>
      </c>
      <c r="D242" s="81" t="str">
        <f t="shared" si="5"/>
        <v xml:space="preserve">App ElectriqueRELAIS DE COMMANDE Relais </v>
      </c>
      <c r="E242" s="76" t="s">
        <v>103</v>
      </c>
      <c r="F242" s="81">
        <v>3</v>
      </c>
      <c r="G242" s="82"/>
      <c r="H242" s="79"/>
      <c r="I242" s="71"/>
      <c r="J242" s="70">
        <f>IFERROR(VLOOKUP(Devis[[#This Row],[Ref Air Flux]],#REF!,3,FALSE),0)</f>
        <v>0</v>
      </c>
      <c r="K242" s="68"/>
      <c r="L242" s="68"/>
      <c r="M242" s="68"/>
      <c r="N242" s="68"/>
      <c r="O242" s="68"/>
      <c r="P242" s="68"/>
      <c r="Q242" s="68">
        <f>SUM(Devis[[#This Row],[Poste 1]:[Poste 6]])</f>
        <v>0</v>
      </c>
      <c r="R242" s="71"/>
      <c r="S242" s="68">
        <f>_xlfn.CEILING.MATH(Devis[[#This Row],[Quantité Totale]],Devis[[#This Row],[Conditionnement]])</f>
        <v>0</v>
      </c>
      <c r="T242" s="72"/>
      <c r="U242" s="73"/>
      <c r="V242" s="74">
        <f>Devis[[#This Row],[Prix de Revient]]*Devis[[#This Row],[Poste 1]]</f>
        <v>0</v>
      </c>
      <c r="W242" s="74">
        <f>Devis[[#This Row],[Prix de Revient]]*Devis[[#This Row],[Poste 2]]</f>
        <v>0</v>
      </c>
      <c r="X242" s="74">
        <f>Devis[[#This Row],[Prix de Revient]]*Devis[[#This Row],[Poste 3]]</f>
        <v>0</v>
      </c>
      <c r="Y242" s="74">
        <f>Devis[[#This Row],[Poste 4]]*Devis[[#This Row],[Prix de Revient]]</f>
        <v>0</v>
      </c>
      <c r="Z242" s="74">
        <f>Devis[[#This Row],[Poste 5]]*Devis[[#This Row],[Prix de Revient]]</f>
        <v>0</v>
      </c>
      <c r="AA242" s="74">
        <f>Devis[[#This Row],[Prix de Revient]]*Devis[[#This Row],[Poste 6]]</f>
        <v>0</v>
      </c>
      <c r="AB242" s="74">
        <f>Devis[[#This Row],[Quantité Totale]]*Devis[[#This Row],[Prix de Revient]]</f>
        <v>0</v>
      </c>
    </row>
    <row r="243" spans="1:28" ht="14.25" customHeight="1" outlineLevel="1" x14ac:dyDescent="0.2">
      <c r="A243" s="75" t="s">
        <v>68</v>
      </c>
      <c r="B243" s="76" t="s">
        <v>4390</v>
      </c>
      <c r="C243" s="76" t="s">
        <v>4391</v>
      </c>
      <c r="D243" s="81" t="str">
        <f t="shared" si="5"/>
        <v xml:space="preserve">App ElectriqueRELAIS DE COMMANDE Relais </v>
      </c>
      <c r="E243" s="76" t="s">
        <v>104</v>
      </c>
      <c r="F243" s="81">
        <v>4</v>
      </c>
      <c r="G243" s="82" t="s">
        <v>4394</v>
      </c>
      <c r="H243" s="79"/>
      <c r="I243" s="71"/>
      <c r="J243" s="70">
        <f>IFERROR(VLOOKUP(Devis[[#This Row],[Ref Air Flux]],#REF!,3,FALSE),0)</f>
        <v>0</v>
      </c>
      <c r="K243" s="68"/>
      <c r="L243" s="68"/>
      <c r="M243" s="68"/>
      <c r="N243" s="68"/>
      <c r="O243" s="68"/>
      <c r="P243" s="68"/>
      <c r="Q243" s="68">
        <f>SUM(Devis[[#This Row],[Poste 1]:[Poste 6]])</f>
        <v>0</v>
      </c>
      <c r="R243" s="71"/>
      <c r="S243" s="68">
        <f>_xlfn.CEILING.MATH(Devis[[#This Row],[Quantité Totale]],Devis[[#This Row],[Conditionnement]])</f>
        <v>0</v>
      </c>
      <c r="T243" s="72"/>
      <c r="U243" s="73"/>
      <c r="V243" s="74">
        <f>Devis[[#This Row],[Prix de Revient]]*Devis[[#This Row],[Poste 1]]</f>
        <v>0</v>
      </c>
      <c r="W243" s="74">
        <f>Devis[[#This Row],[Prix de Revient]]*Devis[[#This Row],[Poste 2]]</f>
        <v>0</v>
      </c>
      <c r="X243" s="74">
        <f>Devis[[#This Row],[Prix de Revient]]*Devis[[#This Row],[Poste 3]]</f>
        <v>0</v>
      </c>
      <c r="Y243" s="74">
        <f>Devis[[#This Row],[Poste 4]]*Devis[[#This Row],[Prix de Revient]]</f>
        <v>0</v>
      </c>
      <c r="Z243" s="74">
        <f>Devis[[#This Row],[Poste 5]]*Devis[[#This Row],[Prix de Revient]]</f>
        <v>0</v>
      </c>
      <c r="AA243" s="74">
        <f>Devis[[#This Row],[Prix de Revient]]*Devis[[#This Row],[Poste 6]]</f>
        <v>0</v>
      </c>
      <c r="AB243" s="74">
        <f>Devis[[#This Row],[Quantité Totale]]*Devis[[#This Row],[Prix de Revient]]</f>
        <v>0</v>
      </c>
    </row>
    <row r="244" spans="1:28" ht="14.25" customHeight="1" x14ac:dyDescent="0.25">
      <c r="A244" s="65" t="s">
        <v>68</v>
      </c>
      <c r="B244" s="65" t="s">
        <v>4395</v>
      </c>
      <c r="C244" s="76"/>
      <c r="D244" s="81" t="str">
        <f t="shared" si="5"/>
        <v>App ElectriqueREPARTITEUR DE PUISSANCE</v>
      </c>
      <c r="E244" s="76"/>
      <c r="F244" s="81">
        <v>0</v>
      </c>
      <c r="G244" s="82"/>
      <c r="H244" s="71"/>
      <c r="I244" s="71"/>
      <c r="J244" s="70">
        <f>IFERROR(VLOOKUP(Devis[[#This Row],[Ref Air Flux]],#REF!,3,FALSE),0)</f>
        <v>0</v>
      </c>
      <c r="K244" s="68"/>
      <c r="L244" s="68"/>
      <c r="M244" s="68"/>
      <c r="N244" s="68"/>
      <c r="O244" s="68"/>
      <c r="P244" s="68"/>
      <c r="Q244" s="68">
        <f>SUM(Devis[[#This Row],[Poste 1]:[Poste 6]])</f>
        <v>0</v>
      </c>
      <c r="R244" s="71"/>
      <c r="S244" s="68">
        <f>_xlfn.CEILING.MATH(Devis[[#This Row],[Quantité Totale]],Devis[[#This Row],[Conditionnement]])</f>
        <v>0</v>
      </c>
      <c r="T244" s="72"/>
      <c r="U244" s="73"/>
      <c r="V244" s="74">
        <f>Devis[[#This Row],[Prix de Revient]]*Devis[[#This Row],[Poste 1]]</f>
        <v>0</v>
      </c>
      <c r="W244" s="74">
        <f>Devis[[#This Row],[Prix de Revient]]*Devis[[#This Row],[Poste 2]]</f>
        <v>0</v>
      </c>
      <c r="X244" s="74">
        <f>Devis[[#This Row],[Prix de Revient]]*Devis[[#This Row],[Poste 3]]</f>
        <v>0</v>
      </c>
      <c r="Y244" s="74">
        <f>Devis[[#This Row],[Poste 4]]*Devis[[#This Row],[Prix de Revient]]</f>
        <v>0</v>
      </c>
      <c r="Z244" s="74">
        <f>Devis[[#This Row],[Poste 5]]*Devis[[#This Row],[Prix de Revient]]</f>
        <v>0</v>
      </c>
      <c r="AA244" s="74">
        <f>Devis[[#This Row],[Prix de Revient]]*Devis[[#This Row],[Poste 6]]</f>
        <v>0</v>
      </c>
      <c r="AB244" s="74">
        <f>Devis[[#This Row],[Quantité Totale]]*Devis[[#This Row],[Prix de Revient]]</f>
        <v>0</v>
      </c>
    </row>
    <row r="245" spans="1:28" ht="14.25" outlineLevel="1" x14ac:dyDescent="0.2">
      <c r="A245" s="75" t="s">
        <v>68</v>
      </c>
      <c r="B245" s="76" t="s">
        <v>4395</v>
      </c>
      <c r="C245" s="76" t="s">
        <v>105</v>
      </c>
      <c r="D245" s="81" t="str">
        <f t="shared" si="5"/>
        <v>App ElectriqueREPARTITEUR DE PUISSANCERepartiteur modulaire TETRA legrand</v>
      </c>
      <c r="E245" s="71" t="s">
        <v>4396</v>
      </c>
      <c r="F245" s="81">
        <v>1</v>
      </c>
      <c r="G245" s="82">
        <v>37435</v>
      </c>
      <c r="H245" s="79"/>
      <c r="I245" s="71"/>
      <c r="J245" s="70">
        <f>IFERROR(VLOOKUP(Devis[[#This Row],[Ref Air Flux]],#REF!,3,FALSE),0)</f>
        <v>0</v>
      </c>
      <c r="K245" s="68"/>
      <c r="L245" s="68"/>
      <c r="M245" s="68"/>
      <c r="N245" s="68"/>
      <c r="O245" s="68"/>
      <c r="P245" s="68"/>
      <c r="Q245" s="68">
        <f>SUM(Devis[[#This Row],[Poste 1]:[Poste 6]])</f>
        <v>0</v>
      </c>
      <c r="R245" s="71"/>
      <c r="S245" s="68">
        <f>_xlfn.CEILING.MATH(Devis[[#This Row],[Quantité Totale]],Devis[[#This Row],[Conditionnement]])</f>
        <v>0</v>
      </c>
      <c r="T245" s="72"/>
      <c r="U245" s="73"/>
      <c r="V245" s="74">
        <f>Devis[[#This Row],[Prix de Revient]]*Devis[[#This Row],[Poste 1]]</f>
        <v>0</v>
      </c>
      <c r="W245" s="74">
        <f>Devis[[#This Row],[Prix de Revient]]*Devis[[#This Row],[Poste 2]]</f>
        <v>0</v>
      </c>
      <c r="X245" s="74">
        <f>Devis[[#This Row],[Prix de Revient]]*Devis[[#This Row],[Poste 3]]</f>
        <v>0</v>
      </c>
      <c r="Y245" s="74">
        <f>Devis[[#This Row],[Poste 4]]*Devis[[#This Row],[Prix de Revient]]</f>
        <v>0</v>
      </c>
      <c r="Z245" s="74">
        <f>Devis[[#This Row],[Poste 5]]*Devis[[#This Row],[Prix de Revient]]</f>
        <v>0</v>
      </c>
      <c r="AA245" s="74">
        <f>Devis[[#This Row],[Prix de Revient]]*Devis[[#This Row],[Poste 6]]</f>
        <v>0</v>
      </c>
      <c r="AB245" s="74">
        <f>Devis[[#This Row],[Quantité Totale]]*Devis[[#This Row],[Prix de Revient]]</f>
        <v>0</v>
      </c>
    </row>
    <row r="246" spans="1:28" ht="14.25" customHeight="1" outlineLevel="1" x14ac:dyDescent="0.2">
      <c r="A246" s="75" t="s">
        <v>68</v>
      </c>
      <c r="B246" s="76" t="s">
        <v>4395</v>
      </c>
      <c r="C246" s="76" t="s">
        <v>4397</v>
      </c>
      <c r="D246" s="81" t="str">
        <f t="shared" si="5"/>
        <v>App ElectriqueREPARTITEUR DE PUISSANCERepartiteur modulaire TETRA legrand 400A</v>
      </c>
      <c r="E246" s="71" t="s">
        <v>4397</v>
      </c>
      <c r="F246" s="81">
        <v>2</v>
      </c>
      <c r="G246" s="82">
        <v>37308</v>
      </c>
      <c r="H246" s="79"/>
      <c r="I246" s="71"/>
      <c r="J246" s="70">
        <f>IFERROR(VLOOKUP(Devis[[#This Row],[Ref Air Flux]],#REF!,3,FALSE),0)</f>
        <v>0</v>
      </c>
      <c r="K246" s="68"/>
      <c r="L246" s="68"/>
      <c r="M246" s="68"/>
      <c r="N246" s="68"/>
      <c r="O246" s="68"/>
      <c r="P246" s="68"/>
      <c r="Q246" s="68">
        <f>SUM(Devis[[#This Row],[Poste 1]:[Poste 6]])</f>
        <v>0</v>
      </c>
      <c r="R246" s="71"/>
      <c r="S246" s="68">
        <f>_xlfn.CEILING.MATH(Devis[[#This Row],[Quantité Totale]],Devis[[#This Row],[Conditionnement]])</f>
        <v>0</v>
      </c>
      <c r="T246" s="72"/>
      <c r="U246" s="73"/>
      <c r="V246" s="74">
        <f>Devis[[#This Row],[Prix de Revient]]*Devis[[#This Row],[Poste 1]]</f>
        <v>0</v>
      </c>
      <c r="W246" s="74">
        <f>Devis[[#This Row],[Prix de Revient]]*Devis[[#This Row],[Poste 2]]</f>
        <v>0</v>
      </c>
      <c r="X246" s="74">
        <f>Devis[[#This Row],[Prix de Revient]]*Devis[[#This Row],[Poste 3]]</f>
        <v>0</v>
      </c>
      <c r="Y246" s="74">
        <f>Devis[[#This Row],[Poste 4]]*Devis[[#This Row],[Prix de Revient]]</f>
        <v>0</v>
      </c>
      <c r="Z246" s="74">
        <f>Devis[[#This Row],[Poste 5]]*Devis[[#This Row],[Prix de Revient]]</f>
        <v>0</v>
      </c>
      <c r="AA246" s="74">
        <f>Devis[[#This Row],[Prix de Revient]]*Devis[[#This Row],[Poste 6]]</f>
        <v>0</v>
      </c>
      <c r="AB246" s="74">
        <f>Devis[[#This Row],[Quantité Totale]]*Devis[[#This Row],[Prix de Revient]]</f>
        <v>0</v>
      </c>
    </row>
    <row r="247" spans="1:28" ht="14.25" customHeight="1" x14ac:dyDescent="0.25">
      <c r="A247" s="65" t="s">
        <v>68</v>
      </c>
      <c r="B247" s="65" t="s">
        <v>4406</v>
      </c>
      <c r="C247" s="76"/>
      <c r="D247" s="81" t="str">
        <f t="shared" si="5"/>
        <v>App ElectriqueTHERMOSTATS</v>
      </c>
      <c r="E247" s="76"/>
      <c r="F247" s="81">
        <v>0</v>
      </c>
      <c r="G247" s="82"/>
      <c r="H247" s="79"/>
      <c r="I247" s="71"/>
      <c r="J247" s="70">
        <f>IFERROR(VLOOKUP(Devis[[#This Row],[Ref Air Flux]],#REF!,3,FALSE),0)</f>
        <v>0</v>
      </c>
      <c r="K247" s="68"/>
      <c r="L247" s="68"/>
      <c r="M247" s="68"/>
      <c r="N247" s="68"/>
      <c r="O247" s="68"/>
      <c r="P247" s="68"/>
      <c r="Q247" s="68">
        <f>SUM(Devis[[#This Row],[Poste 1]:[Poste 6]])</f>
        <v>0</v>
      </c>
      <c r="R247" s="71"/>
      <c r="S247" s="68">
        <f>_xlfn.CEILING.MATH(Devis[[#This Row],[Quantité Totale]],Devis[[#This Row],[Conditionnement]])</f>
        <v>0</v>
      </c>
      <c r="T247" s="72"/>
      <c r="U247" s="74"/>
      <c r="V247" s="74">
        <f>Devis[[#This Row],[Prix de Revient]]*Devis[[#This Row],[Poste 1]]</f>
        <v>0</v>
      </c>
      <c r="W247" s="74">
        <f>Devis[[#This Row],[Prix de Revient]]*Devis[[#This Row],[Poste 2]]</f>
        <v>0</v>
      </c>
      <c r="X247" s="74">
        <f>Devis[[#This Row],[Prix de Revient]]*Devis[[#This Row],[Poste 3]]</f>
        <v>0</v>
      </c>
      <c r="Y247" s="74">
        <f>Devis[[#This Row],[Poste 4]]*Devis[[#This Row],[Prix de Revient]]</f>
        <v>0</v>
      </c>
      <c r="Z247" s="74">
        <f>Devis[[#This Row],[Poste 5]]*Devis[[#This Row],[Prix de Revient]]</f>
        <v>0</v>
      </c>
      <c r="AA247" s="74">
        <f>Devis[[#This Row],[Prix de Revient]]*Devis[[#This Row],[Poste 6]]</f>
        <v>0</v>
      </c>
      <c r="AB247" s="74">
        <f>Devis[[#This Row],[Quantité Totale]]*Devis[[#This Row],[Prix de Revient]]</f>
        <v>0</v>
      </c>
    </row>
    <row r="248" spans="1:28" ht="14.25" outlineLevel="1" x14ac:dyDescent="0.2">
      <c r="A248" s="75" t="s">
        <v>68</v>
      </c>
      <c r="B248" s="76" t="s">
        <v>4406</v>
      </c>
      <c r="C248" s="76" t="s">
        <v>106</v>
      </c>
      <c r="D248" s="81" t="str">
        <f t="shared" si="5"/>
        <v>App ElectriqueTHERMOSTATSThermostats/kit HORSGEL</v>
      </c>
      <c r="E248" s="71" t="s">
        <v>118</v>
      </c>
      <c r="F248" s="81">
        <v>1</v>
      </c>
      <c r="G248" s="82">
        <v>467028</v>
      </c>
      <c r="H248" s="79"/>
      <c r="I248" s="71"/>
      <c r="J248" s="70">
        <f>IFERROR(VLOOKUP(Devis[[#This Row],[Ref Air Flux]],#REF!,3,FALSE),0)</f>
        <v>0</v>
      </c>
      <c r="K248" s="68"/>
      <c r="L248" s="68"/>
      <c r="M248" s="68"/>
      <c r="N248" s="68"/>
      <c r="O248" s="68"/>
      <c r="P248" s="68"/>
      <c r="Q248" s="68">
        <f>SUM(Devis[[#This Row],[Poste 1]:[Poste 6]])</f>
        <v>0</v>
      </c>
      <c r="R248" s="71"/>
      <c r="S248" s="68">
        <f>_xlfn.CEILING.MATH(Devis[[#This Row],[Quantité Totale]],Devis[[#This Row],[Conditionnement]])</f>
        <v>0</v>
      </c>
      <c r="T248" s="72"/>
      <c r="U248" s="74"/>
      <c r="V248" s="74">
        <f>Devis[[#This Row],[Prix de Revient]]*Devis[[#This Row],[Poste 1]]</f>
        <v>0</v>
      </c>
      <c r="W248" s="74">
        <f>Devis[[#This Row],[Prix de Revient]]*Devis[[#This Row],[Poste 2]]</f>
        <v>0</v>
      </c>
      <c r="X248" s="74">
        <f>Devis[[#This Row],[Prix de Revient]]*Devis[[#This Row],[Poste 3]]</f>
        <v>0</v>
      </c>
      <c r="Y248" s="74">
        <f>Devis[[#This Row],[Poste 4]]*Devis[[#This Row],[Prix de Revient]]</f>
        <v>0</v>
      </c>
      <c r="Z248" s="74">
        <f>Devis[[#This Row],[Poste 5]]*Devis[[#This Row],[Prix de Revient]]</f>
        <v>0</v>
      </c>
      <c r="AA248" s="74">
        <f>Devis[[#This Row],[Prix de Revient]]*Devis[[#This Row],[Poste 6]]</f>
        <v>0</v>
      </c>
      <c r="AB248" s="74">
        <f>Devis[[#This Row],[Quantité Totale]]*Devis[[#This Row],[Prix de Revient]]</f>
        <v>0</v>
      </c>
    </row>
    <row r="249" spans="1:28" ht="14.25" customHeight="1" outlineLevel="1" x14ac:dyDescent="0.2">
      <c r="A249" s="75" t="s">
        <v>68</v>
      </c>
      <c r="B249" s="76" t="s">
        <v>4406</v>
      </c>
      <c r="C249" s="76" t="s">
        <v>106</v>
      </c>
      <c r="D249" s="81" t="str">
        <f t="shared" si="5"/>
        <v>App ElectriqueTHERMOSTATSThermostats/kit HORSGEL</v>
      </c>
      <c r="E249" s="71" t="s">
        <v>4407</v>
      </c>
      <c r="F249" s="81">
        <v>2</v>
      </c>
      <c r="G249" s="82">
        <v>49898</v>
      </c>
      <c r="H249" s="71"/>
      <c r="I249" s="71"/>
      <c r="J249" s="70">
        <f>IFERROR(VLOOKUP(Devis[[#This Row],[Ref Air Flux]],#REF!,3,FALSE),0)</f>
        <v>0</v>
      </c>
      <c r="K249" s="68"/>
      <c r="L249" s="68"/>
      <c r="M249" s="68"/>
      <c r="N249" s="68"/>
      <c r="O249" s="68"/>
      <c r="P249" s="68"/>
      <c r="Q249" s="68">
        <f>SUM(Devis[[#This Row],[Poste 1]:[Poste 6]])</f>
        <v>0</v>
      </c>
      <c r="R249" s="71"/>
      <c r="S249" s="68">
        <f>_xlfn.CEILING.MATH(Devis[[#This Row],[Quantité Totale]],Devis[[#This Row],[Conditionnement]])</f>
        <v>0</v>
      </c>
      <c r="T249" s="72"/>
      <c r="U249" s="74"/>
      <c r="V249" s="74">
        <f>Devis[[#This Row],[Prix de Revient]]*Devis[[#This Row],[Poste 1]]</f>
        <v>0</v>
      </c>
      <c r="W249" s="74">
        <f>Devis[[#This Row],[Prix de Revient]]*Devis[[#This Row],[Poste 2]]</f>
        <v>0</v>
      </c>
      <c r="X249" s="74">
        <f>Devis[[#This Row],[Prix de Revient]]*Devis[[#This Row],[Poste 3]]</f>
        <v>0</v>
      </c>
      <c r="Y249" s="74">
        <f>Devis[[#This Row],[Poste 4]]*Devis[[#This Row],[Prix de Revient]]</f>
        <v>0</v>
      </c>
      <c r="Z249" s="74">
        <f>Devis[[#This Row],[Poste 5]]*Devis[[#This Row],[Prix de Revient]]</f>
        <v>0</v>
      </c>
      <c r="AA249" s="74">
        <f>Devis[[#This Row],[Prix de Revient]]*Devis[[#This Row],[Poste 6]]</f>
        <v>0</v>
      </c>
      <c r="AB249" s="74">
        <f>Devis[[#This Row],[Quantité Totale]]*Devis[[#This Row],[Prix de Revient]]</f>
        <v>0</v>
      </c>
    </row>
    <row r="250" spans="1:28" ht="14.25" outlineLevel="1" x14ac:dyDescent="0.2">
      <c r="A250" s="75" t="s">
        <v>68</v>
      </c>
      <c r="B250" s="76" t="s">
        <v>4406</v>
      </c>
      <c r="C250" s="76"/>
      <c r="D250" s="81" t="str">
        <f t="shared" si="5"/>
        <v>App ElectriqueTHERMOSTATS</v>
      </c>
      <c r="E250" s="76"/>
      <c r="F250" s="81">
        <v>3</v>
      </c>
      <c r="G250" s="82"/>
      <c r="H250" s="79"/>
      <c r="I250" s="71"/>
      <c r="J250" s="70">
        <f>IFERROR(VLOOKUP(Devis[[#This Row],[Ref Air Flux]],#REF!,3,FALSE),0)</f>
        <v>0</v>
      </c>
      <c r="K250" s="68"/>
      <c r="L250" s="68"/>
      <c r="M250" s="68"/>
      <c r="N250" s="68"/>
      <c r="O250" s="68"/>
      <c r="P250" s="68"/>
      <c r="Q250" s="68">
        <f>SUM(Devis[[#This Row],[Poste 1]:[Poste 6]])</f>
        <v>0</v>
      </c>
      <c r="R250" s="71"/>
      <c r="S250" s="68">
        <f>_xlfn.CEILING.MATH(Devis[[#This Row],[Quantité Totale]],Devis[[#This Row],[Conditionnement]])</f>
        <v>0</v>
      </c>
      <c r="T250" s="72"/>
      <c r="U250" s="73"/>
      <c r="V250" s="74">
        <f>Devis[[#This Row],[Prix de Revient]]*Devis[[#This Row],[Poste 1]]</f>
        <v>0</v>
      </c>
      <c r="W250" s="74">
        <f>Devis[[#This Row],[Prix de Revient]]*Devis[[#This Row],[Poste 2]]</f>
        <v>0</v>
      </c>
      <c r="X250" s="74">
        <f>Devis[[#This Row],[Prix de Revient]]*Devis[[#This Row],[Poste 3]]</f>
        <v>0</v>
      </c>
      <c r="Y250" s="74">
        <f>Devis[[#This Row],[Poste 4]]*Devis[[#This Row],[Prix de Revient]]</f>
        <v>0</v>
      </c>
      <c r="Z250" s="74">
        <f>Devis[[#This Row],[Poste 5]]*Devis[[#This Row],[Prix de Revient]]</f>
        <v>0</v>
      </c>
      <c r="AA250" s="74">
        <f>Devis[[#This Row],[Prix de Revient]]*Devis[[#This Row],[Poste 6]]</f>
        <v>0</v>
      </c>
      <c r="AB250" s="74">
        <f>Devis[[#This Row],[Quantité Totale]]*Devis[[#This Row],[Prix de Revient]]</f>
        <v>0</v>
      </c>
    </row>
    <row r="251" spans="1:28" ht="14.25" customHeight="1" x14ac:dyDescent="0.25">
      <c r="A251" s="65" t="s">
        <v>120</v>
      </c>
      <c r="B251" s="65" t="s">
        <v>4411</v>
      </c>
      <c r="C251" s="81"/>
      <c r="D251" s="81" t="str">
        <f t="shared" si="5"/>
        <v>CablageBOITE DE DERIVATION</v>
      </c>
      <c r="E251" s="81"/>
      <c r="F251" s="81">
        <v>0</v>
      </c>
      <c r="G251" s="83"/>
      <c r="H251" s="81"/>
      <c r="I251" s="91"/>
      <c r="J251" s="70">
        <f>IFERROR(VLOOKUP(Devis[[#This Row],[Ref Air Flux]],#REF!,3,FALSE),0)</f>
        <v>0</v>
      </c>
      <c r="K251" s="128"/>
      <c r="L251" s="128"/>
      <c r="M251" s="128"/>
      <c r="N251" s="128"/>
      <c r="O251" s="128"/>
      <c r="P251" s="128"/>
      <c r="Q251" s="68">
        <f>SUM(Devis[[#This Row],[Poste 1]:[Poste 6]])</f>
        <v>0</v>
      </c>
      <c r="R251" s="83"/>
      <c r="S251" s="68">
        <f>_xlfn.CEILING.MATH(Devis[[#This Row],[Quantité Totale]],Devis[[#This Row],[Conditionnement]])</f>
        <v>0</v>
      </c>
      <c r="T251" s="92"/>
      <c r="U251" s="81"/>
      <c r="V251" s="74">
        <f>Devis[[#This Row],[Prix de Revient]]*Devis[[#This Row],[Poste 1]]</f>
        <v>0</v>
      </c>
      <c r="W251" s="74">
        <f>Devis[[#This Row],[Prix de Revient]]*Devis[[#This Row],[Poste 2]]</f>
        <v>0</v>
      </c>
      <c r="X251" s="74">
        <f>Devis[[#This Row],[Prix de Revient]]*Devis[[#This Row],[Poste 3]]</f>
        <v>0</v>
      </c>
      <c r="Y251" s="74">
        <f>Devis[[#This Row],[Poste 4]]*Devis[[#This Row],[Prix de Revient]]</f>
        <v>0</v>
      </c>
      <c r="Z251" s="74">
        <f>Devis[[#This Row],[Poste 5]]*Devis[[#This Row],[Prix de Revient]]</f>
        <v>0</v>
      </c>
      <c r="AA251" s="74">
        <f>Devis[[#This Row],[Prix de Revient]]*Devis[[#This Row],[Poste 6]]</f>
        <v>0</v>
      </c>
      <c r="AB251" s="74">
        <f>Devis[[#This Row],[Quantité Totale]]*Devis[[#This Row],[Prix de Revient]]</f>
        <v>0</v>
      </c>
    </row>
    <row r="252" spans="1:28" ht="14.25" outlineLevel="1" x14ac:dyDescent="0.2">
      <c r="A252" s="75" t="s">
        <v>120</v>
      </c>
      <c r="B252" s="76" t="s">
        <v>4411</v>
      </c>
      <c r="C252" s="76" t="s">
        <v>133</v>
      </c>
      <c r="D252" s="81" t="str">
        <f t="shared" si="5"/>
        <v>CablageBOITE DE DERIVATIONBoites de deriv. plexo</v>
      </c>
      <c r="E252" s="76" t="s">
        <v>134</v>
      </c>
      <c r="F252" s="81">
        <v>1</v>
      </c>
      <c r="G252" s="71">
        <v>92005</v>
      </c>
      <c r="H252" s="79"/>
      <c r="I252" s="71"/>
      <c r="J252" s="70">
        <f>IFERROR(VLOOKUP(Devis[[#This Row],[Ref Air Flux]],#REF!,3,FALSE),0)</f>
        <v>0</v>
      </c>
      <c r="K252" s="68"/>
      <c r="L252" s="68"/>
      <c r="M252" s="68"/>
      <c r="N252" s="68"/>
      <c r="O252" s="68"/>
      <c r="P252" s="68"/>
      <c r="Q252" s="68">
        <f>SUM(Devis[[#This Row],[Poste 1]:[Poste 6]])</f>
        <v>0</v>
      </c>
      <c r="R252" s="71"/>
      <c r="S252" s="68">
        <f>_xlfn.CEILING.MATH(Devis[[#This Row],[Quantité Totale]],Devis[[#This Row],[Conditionnement]])</f>
        <v>0</v>
      </c>
      <c r="T252" s="72"/>
      <c r="U252" s="73"/>
      <c r="V252" s="74">
        <f>Devis[[#This Row],[Prix de Revient]]*Devis[[#This Row],[Poste 1]]</f>
        <v>0</v>
      </c>
      <c r="W252" s="74">
        <f>Devis[[#This Row],[Prix de Revient]]*Devis[[#This Row],[Poste 2]]</f>
        <v>0</v>
      </c>
      <c r="X252" s="74">
        <f>Devis[[#This Row],[Prix de Revient]]*Devis[[#This Row],[Poste 3]]</f>
        <v>0</v>
      </c>
      <c r="Y252" s="74">
        <f>Devis[[#This Row],[Poste 4]]*Devis[[#This Row],[Prix de Revient]]</f>
        <v>0</v>
      </c>
      <c r="Z252" s="74">
        <f>Devis[[#This Row],[Poste 5]]*Devis[[#This Row],[Prix de Revient]]</f>
        <v>0</v>
      </c>
      <c r="AA252" s="74">
        <f>Devis[[#This Row],[Prix de Revient]]*Devis[[#This Row],[Poste 6]]</f>
        <v>0</v>
      </c>
      <c r="AB252" s="74">
        <f>Devis[[#This Row],[Quantité Totale]]*Devis[[#This Row],[Prix de Revient]]</f>
        <v>0</v>
      </c>
    </row>
    <row r="253" spans="1:28" ht="14.25" outlineLevel="1" x14ac:dyDescent="0.2">
      <c r="A253" s="75" t="s">
        <v>120</v>
      </c>
      <c r="B253" s="76" t="s">
        <v>4411</v>
      </c>
      <c r="C253" s="76" t="s">
        <v>133</v>
      </c>
      <c r="D253" s="81" t="str">
        <f t="shared" si="5"/>
        <v>CablageBOITE DE DERIVATIONBoites de deriv. plexo</v>
      </c>
      <c r="E253" s="76" t="s">
        <v>135</v>
      </c>
      <c r="F253" s="81">
        <v>2</v>
      </c>
      <c r="G253" s="71">
        <v>92222</v>
      </c>
      <c r="H253" s="79"/>
      <c r="I253" s="71"/>
      <c r="J253" s="70">
        <f>IFERROR(VLOOKUP(Devis[[#This Row],[Ref Air Flux]],#REF!,3,FALSE),0)</f>
        <v>0</v>
      </c>
      <c r="K253" s="68"/>
      <c r="L253" s="68"/>
      <c r="M253" s="68"/>
      <c r="N253" s="68"/>
      <c r="O253" s="68"/>
      <c r="P253" s="68"/>
      <c r="Q253" s="68">
        <f>SUM(Devis[[#This Row],[Poste 1]:[Poste 6]])</f>
        <v>0</v>
      </c>
      <c r="R253" s="71"/>
      <c r="S253" s="68">
        <f>_xlfn.CEILING.MATH(Devis[[#This Row],[Quantité Totale]],Devis[[#This Row],[Conditionnement]])</f>
        <v>0</v>
      </c>
      <c r="T253" s="72"/>
      <c r="U253" s="73"/>
      <c r="V253" s="74">
        <f>Devis[[#This Row],[Prix de Revient]]*Devis[[#This Row],[Poste 1]]</f>
        <v>0</v>
      </c>
      <c r="W253" s="74">
        <f>Devis[[#This Row],[Prix de Revient]]*Devis[[#This Row],[Poste 2]]</f>
        <v>0</v>
      </c>
      <c r="X253" s="74">
        <f>Devis[[#This Row],[Prix de Revient]]*Devis[[#This Row],[Poste 3]]</f>
        <v>0</v>
      </c>
      <c r="Y253" s="74">
        <f>Devis[[#This Row],[Poste 4]]*Devis[[#This Row],[Prix de Revient]]</f>
        <v>0</v>
      </c>
      <c r="Z253" s="74">
        <f>Devis[[#This Row],[Poste 5]]*Devis[[#This Row],[Prix de Revient]]</f>
        <v>0</v>
      </c>
      <c r="AA253" s="74">
        <f>Devis[[#This Row],[Prix de Revient]]*Devis[[#This Row],[Poste 6]]</f>
        <v>0</v>
      </c>
      <c r="AB253" s="74">
        <f>Devis[[#This Row],[Quantité Totale]]*Devis[[#This Row],[Prix de Revient]]</f>
        <v>0</v>
      </c>
    </row>
    <row r="254" spans="1:28" ht="15" customHeight="1" x14ac:dyDescent="0.25">
      <c r="A254" s="65" t="s">
        <v>120</v>
      </c>
      <c r="B254" s="65" t="s">
        <v>4630</v>
      </c>
      <c r="C254" s="76"/>
      <c r="D254" s="81" t="str">
        <f t="shared" si="5"/>
        <v>CablageBORNE WAGO &amp; DOMINOS</v>
      </c>
      <c r="E254" s="76"/>
      <c r="F254" s="81">
        <v>0</v>
      </c>
      <c r="G254" s="71"/>
      <c r="H254" s="71"/>
      <c r="I254" s="71"/>
      <c r="J254" s="70">
        <f>IFERROR(VLOOKUP(Devis[[#This Row],[Ref Air Flux]],#REF!,3,FALSE),0)</f>
        <v>0</v>
      </c>
      <c r="K254" s="68"/>
      <c r="L254" s="68"/>
      <c r="M254" s="68"/>
      <c r="N254" s="68"/>
      <c r="O254" s="68"/>
      <c r="P254" s="68"/>
      <c r="Q254" s="68">
        <f>SUM(Devis[[#This Row],[Poste 1]:[Poste 6]])</f>
        <v>0</v>
      </c>
      <c r="R254" s="71"/>
      <c r="S254" s="68">
        <f>_xlfn.CEILING.MATH(Devis[[#This Row],[Quantité Totale]],Devis[[#This Row],[Conditionnement]])</f>
        <v>0</v>
      </c>
      <c r="T254" s="72"/>
      <c r="U254" s="73"/>
      <c r="V254" s="74">
        <f>Devis[[#This Row],[Prix de Revient]]*Devis[[#This Row],[Poste 1]]</f>
        <v>0</v>
      </c>
      <c r="W254" s="74">
        <f>Devis[[#This Row],[Prix de Revient]]*Devis[[#This Row],[Poste 2]]</f>
        <v>0</v>
      </c>
      <c r="X254" s="74">
        <f>Devis[[#This Row],[Prix de Revient]]*Devis[[#This Row],[Poste 3]]</f>
        <v>0</v>
      </c>
      <c r="Y254" s="74">
        <f>Devis[[#This Row],[Poste 4]]*Devis[[#This Row],[Prix de Revient]]</f>
        <v>0</v>
      </c>
      <c r="Z254" s="74">
        <f>Devis[[#This Row],[Poste 5]]*Devis[[#This Row],[Prix de Revient]]</f>
        <v>0</v>
      </c>
      <c r="AA254" s="74">
        <f>Devis[[#This Row],[Prix de Revient]]*Devis[[#This Row],[Poste 6]]</f>
        <v>0</v>
      </c>
      <c r="AB254" s="74">
        <f>Devis[[#This Row],[Quantité Totale]]*Devis[[#This Row],[Prix de Revient]]</f>
        <v>0</v>
      </c>
    </row>
    <row r="255" spans="1:28" ht="14.25" outlineLevel="1" x14ac:dyDescent="0.2">
      <c r="A255" s="75" t="s">
        <v>120</v>
      </c>
      <c r="B255" s="76" t="s">
        <v>4630</v>
      </c>
      <c r="C255" s="76" t="s">
        <v>284</v>
      </c>
      <c r="D255" s="81" t="str">
        <f t="shared" si="5"/>
        <v>CablageBORNE WAGO &amp; DOMINOSDominos</v>
      </c>
      <c r="E255" s="76" t="s">
        <v>4631</v>
      </c>
      <c r="F255" s="81">
        <v>1</v>
      </c>
      <c r="G255" s="71">
        <v>34211</v>
      </c>
      <c r="H255" s="79"/>
      <c r="I255" s="71"/>
      <c r="J255" s="70">
        <f>IFERROR(VLOOKUP(Devis[[#This Row],[Ref Air Flux]],#REF!,3,FALSE),0)</f>
        <v>0</v>
      </c>
      <c r="K255" s="68"/>
      <c r="L255" s="68"/>
      <c r="M255" s="68"/>
      <c r="N255" s="68"/>
      <c r="O255" s="68"/>
      <c r="P255" s="68"/>
      <c r="Q255" s="68">
        <f>SUM(Devis[[#This Row],[Poste 1]:[Poste 6]])</f>
        <v>0</v>
      </c>
      <c r="R255" s="71"/>
      <c r="S255" s="68">
        <f>_xlfn.CEILING.MATH(Devis[[#This Row],[Quantité Totale]],Devis[[#This Row],[Conditionnement]])</f>
        <v>0</v>
      </c>
      <c r="T255" s="72"/>
      <c r="U255" s="73"/>
      <c r="V255" s="74">
        <f>Devis[[#This Row],[Prix de Revient]]*Devis[[#This Row],[Poste 1]]</f>
        <v>0</v>
      </c>
      <c r="W255" s="74">
        <f>Devis[[#This Row],[Prix de Revient]]*Devis[[#This Row],[Poste 2]]</f>
        <v>0</v>
      </c>
      <c r="X255" s="74">
        <f>Devis[[#This Row],[Prix de Revient]]*Devis[[#This Row],[Poste 3]]</f>
        <v>0</v>
      </c>
      <c r="Y255" s="74">
        <f>Devis[[#This Row],[Poste 4]]*Devis[[#This Row],[Prix de Revient]]</f>
        <v>0</v>
      </c>
      <c r="Z255" s="74">
        <f>Devis[[#This Row],[Poste 5]]*Devis[[#This Row],[Prix de Revient]]</f>
        <v>0</v>
      </c>
      <c r="AA255" s="74">
        <f>Devis[[#This Row],[Prix de Revient]]*Devis[[#This Row],[Poste 6]]</f>
        <v>0</v>
      </c>
      <c r="AB255" s="74">
        <f>Devis[[#This Row],[Quantité Totale]]*Devis[[#This Row],[Prix de Revient]]</f>
        <v>0</v>
      </c>
    </row>
    <row r="256" spans="1:28" ht="14.25" outlineLevel="1" x14ac:dyDescent="0.2">
      <c r="A256" s="75" t="s">
        <v>120</v>
      </c>
      <c r="B256" s="76" t="s">
        <v>4630</v>
      </c>
      <c r="C256" s="76" t="s">
        <v>284</v>
      </c>
      <c r="D256" s="81" t="str">
        <f t="shared" si="5"/>
        <v>CablageBORNE WAGO &amp; DOMINOSDominos</v>
      </c>
      <c r="E256" s="76" t="s">
        <v>4632</v>
      </c>
      <c r="F256" s="81">
        <v>2</v>
      </c>
      <c r="G256" s="71">
        <v>34213</v>
      </c>
      <c r="H256" s="79"/>
      <c r="I256" s="71"/>
      <c r="J256" s="70">
        <f>IFERROR(VLOOKUP(Devis[[#This Row],[Ref Air Flux]],#REF!,3,FALSE),0)</f>
        <v>0</v>
      </c>
      <c r="K256" s="68"/>
      <c r="L256" s="68"/>
      <c r="M256" s="68"/>
      <c r="N256" s="68"/>
      <c r="O256" s="68"/>
      <c r="P256" s="68"/>
      <c r="Q256" s="68">
        <f>SUM(Devis[[#This Row],[Poste 1]:[Poste 6]])</f>
        <v>0</v>
      </c>
      <c r="R256" s="71"/>
      <c r="S256" s="68">
        <f>_xlfn.CEILING.MATH(Devis[[#This Row],[Quantité Totale]],Devis[[#This Row],[Conditionnement]])</f>
        <v>0</v>
      </c>
      <c r="T256" s="72"/>
      <c r="U256" s="73"/>
      <c r="V256" s="74">
        <f>Devis[[#This Row],[Prix de Revient]]*Devis[[#This Row],[Poste 1]]</f>
        <v>0</v>
      </c>
      <c r="W256" s="74">
        <f>Devis[[#This Row],[Prix de Revient]]*Devis[[#This Row],[Poste 2]]</f>
        <v>0</v>
      </c>
      <c r="X256" s="74">
        <f>Devis[[#This Row],[Prix de Revient]]*Devis[[#This Row],[Poste 3]]</f>
        <v>0</v>
      </c>
      <c r="Y256" s="74">
        <f>Devis[[#This Row],[Poste 4]]*Devis[[#This Row],[Prix de Revient]]</f>
        <v>0</v>
      </c>
      <c r="Z256" s="74">
        <f>Devis[[#This Row],[Poste 5]]*Devis[[#This Row],[Prix de Revient]]</f>
        <v>0</v>
      </c>
      <c r="AA256" s="74">
        <f>Devis[[#This Row],[Prix de Revient]]*Devis[[#This Row],[Poste 6]]</f>
        <v>0</v>
      </c>
      <c r="AB256" s="74">
        <f>Devis[[#This Row],[Quantité Totale]]*Devis[[#This Row],[Prix de Revient]]</f>
        <v>0</v>
      </c>
    </row>
    <row r="257" spans="1:28" ht="14.25" outlineLevel="1" x14ac:dyDescent="0.2">
      <c r="A257" s="75" t="s">
        <v>120</v>
      </c>
      <c r="B257" s="76" t="s">
        <v>4630</v>
      </c>
      <c r="C257" s="76" t="s">
        <v>284</v>
      </c>
      <c r="D257" s="81" t="str">
        <f t="shared" si="5"/>
        <v>CablageBORNE WAGO &amp; DOMINOSDominos</v>
      </c>
      <c r="E257" s="76" t="s">
        <v>4633</v>
      </c>
      <c r="F257" s="81">
        <v>3</v>
      </c>
      <c r="G257" s="71">
        <v>34215</v>
      </c>
      <c r="H257" s="79"/>
      <c r="I257" s="71"/>
      <c r="J257" s="70">
        <f>IFERROR(VLOOKUP(Devis[[#This Row],[Ref Air Flux]],#REF!,3,FALSE),0)</f>
        <v>0</v>
      </c>
      <c r="K257" s="68"/>
      <c r="L257" s="68"/>
      <c r="M257" s="68"/>
      <c r="N257" s="68"/>
      <c r="O257" s="68"/>
      <c r="P257" s="68"/>
      <c r="Q257" s="68">
        <f>SUM(Devis[[#This Row],[Poste 1]:[Poste 6]])</f>
        <v>0</v>
      </c>
      <c r="R257" s="71"/>
      <c r="S257" s="68">
        <f>_xlfn.CEILING.MATH(Devis[[#This Row],[Quantité Totale]],Devis[[#This Row],[Conditionnement]])</f>
        <v>0</v>
      </c>
      <c r="T257" s="72"/>
      <c r="U257" s="73"/>
      <c r="V257" s="74">
        <f>Devis[[#This Row],[Prix de Revient]]*Devis[[#This Row],[Poste 1]]</f>
        <v>0</v>
      </c>
      <c r="W257" s="74">
        <f>Devis[[#This Row],[Prix de Revient]]*Devis[[#This Row],[Poste 2]]</f>
        <v>0</v>
      </c>
      <c r="X257" s="74">
        <f>Devis[[#This Row],[Prix de Revient]]*Devis[[#This Row],[Poste 3]]</f>
        <v>0</v>
      </c>
      <c r="Y257" s="74">
        <f>Devis[[#This Row],[Poste 4]]*Devis[[#This Row],[Prix de Revient]]</f>
        <v>0</v>
      </c>
      <c r="Z257" s="74">
        <f>Devis[[#This Row],[Poste 5]]*Devis[[#This Row],[Prix de Revient]]</f>
        <v>0</v>
      </c>
      <c r="AA257" s="74">
        <f>Devis[[#This Row],[Prix de Revient]]*Devis[[#This Row],[Poste 6]]</f>
        <v>0</v>
      </c>
      <c r="AB257" s="74">
        <f>Devis[[#This Row],[Quantité Totale]]*Devis[[#This Row],[Prix de Revient]]</f>
        <v>0</v>
      </c>
    </row>
    <row r="258" spans="1:28" ht="14.25" outlineLevel="1" x14ac:dyDescent="0.2">
      <c r="A258" s="75" t="s">
        <v>120</v>
      </c>
      <c r="B258" s="76" t="s">
        <v>4630</v>
      </c>
      <c r="C258" s="76" t="s">
        <v>284</v>
      </c>
      <c r="D258" s="81" t="str">
        <f t="shared" si="5"/>
        <v>CablageBORNE WAGO &amp; DOMINOSDominos</v>
      </c>
      <c r="E258" s="76" t="s">
        <v>4634</v>
      </c>
      <c r="F258" s="81">
        <v>4</v>
      </c>
      <c r="G258" s="71">
        <v>34217</v>
      </c>
      <c r="H258" s="71"/>
      <c r="I258" s="71"/>
      <c r="J258" s="70">
        <f>IFERROR(VLOOKUP(Devis[[#This Row],[Ref Air Flux]],#REF!,3,FALSE),0)</f>
        <v>0</v>
      </c>
      <c r="K258" s="68"/>
      <c r="L258" s="68"/>
      <c r="M258" s="68"/>
      <c r="N258" s="68"/>
      <c r="O258" s="68"/>
      <c r="P258" s="68"/>
      <c r="Q258" s="68">
        <f>SUM(Devis[[#This Row],[Poste 1]:[Poste 6]])</f>
        <v>0</v>
      </c>
      <c r="R258" s="71"/>
      <c r="S258" s="68">
        <f>_xlfn.CEILING.MATH(Devis[[#This Row],[Quantité Totale]],Devis[[#This Row],[Conditionnement]])</f>
        <v>0</v>
      </c>
      <c r="T258" s="72"/>
      <c r="U258" s="73"/>
      <c r="V258" s="74">
        <f>Devis[[#This Row],[Prix de Revient]]*Devis[[#This Row],[Poste 1]]</f>
        <v>0</v>
      </c>
      <c r="W258" s="74">
        <f>Devis[[#This Row],[Prix de Revient]]*Devis[[#This Row],[Poste 2]]</f>
        <v>0</v>
      </c>
      <c r="X258" s="74">
        <f>Devis[[#This Row],[Prix de Revient]]*Devis[[#This Row],[Poste 3]]</f>
        <v>0</v>
      </c>
      <c r="Y258" s="74">
        <f>Devis[[#This Row],[Poste 4]]*Devis[[#This Row],[Prix de Revient]]</f>
        <v>0</v>
      </c>
      <c r="Z258" s="74">
        <f>Devis[[#This Row],[Poste 5]]*Devis[[#This Row],[Prix de Revient]]</f>
        <v>0</v>
      </c>
      <c r="AA258" s="74">
        <f>Devis[[#This Row],[Prix de Revient]]*Devis[[#This Row],[Poste 6]]</f>
        <v>0</v>
      </c>
      <c r="AB258" s="74">
        <f>Devis[[#This Row],[Quantité Totale]]*Devis[[#This Row],[Prix de Revient]]</f>
        <v>0</v>
      </c>
    </row>
    <row r="259" spans="1:28" ht="14.25" outlineLevel="1" x14ac:dyDescent="0.2">
      <c r="A259" s="75" t="s">
        <v>120</v>
      </c>
      <c r="B259" s="76" t="s">
        <v>4630</v>
      </c>
      <c r="C259" s="76" t="s">
        <v>4635</v>
      </c>
      <c r="D259" s="81" t="str">
        <f t="shared" si="5"/>
        <v>CablageBORNE WAGO &amp; DOMINOSBloc de jonction Wago</v>
      </c>
      <c r="E259" s="76" t="s">
        <v>4636</v>
      </c>
      <c r="F259" s="81">
        <v>5</v>
      </c>
      <c r="G259" s="71" t="s">
        <v>4637</v>
      </c>
      <c r="H259" s="71"/>
      <c r="I259" s="71"/>
      <c r="J259" s="70">
        <f>IFERROR(VLOOKUP(Devis[[#This Row],[Ref Air Flux]],#REF!,3,FALSE),0)</f>
        <v>0</v>
      </c>
      <c r="K259" s="68"/>
      <c r="L259" s="68"/>
      <c r="M259" s="68"/>
      <c r="N259" s="68"/>
      <c r="O259" s="68"/>
      <c r="P259" s="68"/>
      <c r="Q259" s="68">
        <f>SUM(Devis[[#This Row],[Poste 1]:[Poste 6]])</f>
        <v>0</v>
      </c>
      <c r="R259" s="71"/>
      <c r="S259" s="68">
        <f>_xlfn.CEILING.MATH(Devis[[#This Row],[Quantité Totale]],Devis[[#This Row],[Conditionnement]])</f>
        <v>0</v>
      </c>
      <c r="T259" s="72"/>
      <c r="U259" s="73"/>
      <c r="V259" s="74">
        <f>Devis[[#This Row],[Prix de Revient]]*Devis[[#This Row],[Poste 1]]</f>
        <v>0</v>
      </c>
      <c r="W259" s="74">
        <f>Devis[[#This Row],[Prix de Revient]]*Devis[[#This Row],[Poste 2]]</f>
        <v>0</v>
      </c>
      <c r="X259" s="74">
        <f>Devis[[#This Row],[Prix de Revient]]*Devis[[#This Row],[Poste 3]]</f>
        <v>0</v>
      </c>
      <c r="Y259" s="74">
        <f>Devis[[#This Row],[Poste 4]]*Devis[[#This Row],[Prix de Revient]]</f>
        <v>0</v>
      </c>
      <c r="Z259" s="74">
        <f>Devis[[#This Row],[Poste 5]]*Devis[[#This Row],[Prix de Revient]]</f>
        <v>0</v>
      </c>
      <c r="AA259" s="74">
        <f>Devis[[#This Row],[Prix de Revient]]*Devis[[#This Row],[Poste 6]]</f>
        <v>0</v>
      </c>
      <c r="AB259" s="74">
        <f>Devis[[#This Row],[Quantité Totale]]*Devis[[#This Row],[Prix de Revient]]</f>
        <v>0</v>
      </c>
    </row>
    <row r="260" spans="1:28" ht="14.25" outlineLevel="1" x14ac:dyDescent="0.2">
      <c r="A260" s="75" t="s">
        <v>120</v>
      </c>
      <c r="B260" s="76" t="s">
        <v>4630</v>
      </c>
      <c r="C260" s="76" t="s">
        <v>4635</v>
      </c>
      <c r="D260" s="81" t="str">
        <f t="shared" si="5"/>
        <v>CablageBORNE WAGO &amp; DOMINOSBloc de jonction Wago</v>
      </c>
      <c r="E260" s="76" t="s">
        <v>4638</v>
      </c>
      <c r="F260" s="81">
        <v>6</v>
      </c>
      <c r="G260" s="71" t="s">
        <v>4639</v>
      </c>
      <c r="H260" s="71"/>
      <c r="I260" s="71"/>
      <c r="J260" s="70">
        <f>IFERROR(VLOOKUP(Devis[[#This Row],[Ref Air Flux]],#REF!,3,FALSE),0)</f>
        <v>0</v>
      </c>
      <c r="K260" s="68"/>
      <c r="L260" s="68"/>
      <c r="M260" s="68"/>
      <c r="N260" s="68"/>
      <c r="O260" s="68"/>
      <c r="P260" s="68"/>
      <c r="Q260" s="68">
        <f>SUM(Devis[[#This Row],[Poste 1]:[Poste 6]])</f>
        <v>0</v>
      </c>
      <c r="R260" s="71"/>
      <c r="S260" s="68">
        <f>_xlfn.CEILING.MATH(Devis[[#This Row],[Quantité Totale]],Devis[[#This Row],[Conditionnement]])</f>
        <v>0</v>
      </c>
      <c r="T260" s="72"/>
      <c r="U260" s="73"/>
      <c r="V260" s="74">
        <f>Devis[[#This Row],[Prix de Revient]]*Devis[[#This Row],[Poste 1]]</f>
        <v>0</v>
      </c>
      <c r="W260" s="74">
        <f>Devis[[#This Row],[Prix de Revient]]*Devis[[#This Row],[Poste 2]]</f>
        <v>0</v>
      </c>
      <c r="X260" s="74">
        <f>Devis[[#This Row],[Prix de Revient]]*Devis[[#This Row],[Poste 3]]</f>
        <v>0</v>
      </c>
      <c r="Y260" s="74">
        <f>Devis[[#This Row],[Poste 4]]*Devis[[#This Row],[Prix de Revient]]</f>
        <v>0</v>
      </c>
      <c r="Z260" s="74">
        <f>Devis[[#This Row],[Poste 5]]*Devis[[#This Row],[Prix de Revient]]</f>
        <v>0</v>
      </c>
      <c r="AA260" s="74">
        <f>Devis[[#This Row],[Prix de Revient]]*Devis[[#This Row],[Poste 6]]</f>
        <v>0</v>
      </c>
      <c r="AB260" s="74">
        <f>Devis[[#This Row],[Quantité Totale]]*Devis[[#This Row],[Prix de Revient]]</f>
        <v>0</v>
      </c>
    </row>
    <row r="261" spans="1:28" ht="14.25" outlineLevel="1" x14ac:dyDescent="0.2">
      <c r="A261" s="75" t="s">
        <v>120</v>
      </c>
      <c r="B261" s="76" t="s">
        <v>4630</v>
      </c>
      <c r="C261" s="76" t="s">
        <v>4635</v>
      </c>
      <c r="D261" s="81" t="str">
        <f t="shared" si="5"/>
        <v>CablageBORNE WAGO &amp; DOMINOSBloc de jonction Wago</v>
      </c>
      <c r="E261" s="76" t="s">
        <v>4640</v>
      </c>
      <c r="F261" s="81">
        <v>7</v>
      </c>
      <c r="G261" s="71" t="s">
        <v>4641</v>
      </c>
      <c r="H261" s="71"/>
      <c r="I261" s="71"/>
      <c r="J261" s="70">
        <f>IFERROR(VLOOKUP(Devis[[#This Row],[Ref Air Flux]],#REF!,3,FALSE),0)</f>
        <v>0</v>
      </c>
      <c r="K261" s="68"/>
      <c r="L261" s="68"/>
      <c r="M261" s="68"/>
      <c r="N261" s="68"/>
      <c r="O261" s="68"/>
      <c r="P261" s="68"/>
      <c r="Q261" s="68">
        <f>SUM(Devis[[#This Row],[Poste 1]:[Poste 6]])</f>
        <v>0</v>
      </c>
      <c r="R261" s="71"/>
      <c r="S261" s="68">
        <f>_xlfn.CEILING.MATH(Devis[[#This Row],[Quantité Totale]],Devis[[#This Row],[Conditionnement]])</f>
        <v>0</v>
      </c>
      <c r="T261" s="72"/>
      <c r="U261" s="73"/>
      <c r="V261" s="74">
        <f>Devis[[#This Row],[Prix de Revient]]*Devis[[#This Row],[Poste 1]]</f>
        <v>0</v>
      </c>
      <c r="W261" s="74">
        <f>Devis[[#This Row],[Prix de Revient]]*Devis[[#This Row],[Poste 2]]</f>
        <v>0</v>
      </c>
      <c r="X261" s="74">
        <f>Devis[[#This Row],[Prix de Revient]]*Devis[[#This Row],[Poste 3]]</f>
        <v>0</v>
      </c>
      <c r="Y261" s="74">
        <f>Devis[[#This Row],[Poste 4]]*Devis[[#This Row],[Prix de Revient]]</f>
        <v>0</v>
      </c>
      <c r="Z261" s="74">
        <f>Devis[[#This Row],[Poste 5]]*Devis[[#This Row],[Prix de Revient]]</f>
        <v>0</v>
      </c>
      <c r="AA261" s="74">
        <f>Devis[[#This Row],[Prix de Revient]]*Devis[[#This Row],[Poste 6]]</f>
        <v>0</v>
      </c>
      <c r="AB261" s="74">
        <f>Devis[[#This Row],[Quantité Totale]]*Devis[[#This Row],[Prix de Revient]]</f>
        <v>0</v>
      </c>
    </row>
    <row r="262" spans="1:28" ht="14.25" outlineLevel="1" x14ac:dyDescent="0.2">
      <c r="A262" s="75" t="s">
        <v>120</v>
      </c>
      <c r="B262" s="76" t="s">
        <v>4630</v>
      </c>
      <c r="C262" s="76" t="s">
        <v>4635</v>
      </c>
      <c r="D262" s="81" t="str">
        <f t="shared" si="5"/>
        <v>CablageBORNE WAGO &amp; DOMINOSBloc de jonction Wago</v>
      </c>
      <c r="E262" s="76" t="s">
        <v>4642</v>
      </c>
      <c r="F262" s="81">
        <v>8</v>
      </c>
      <c r="G262" s="71" t="s">
        <v>4643</v>
      </c>
      <c r="H262" s="71"/>
      <c r="I262" s="71"/>
      <c r="J262" s="70">
        <f>IFERROR(VLOOKUP(Devis[[#This Row],[Ref Air Flux]],#REF!,3,FALSE),0)</f>
        <v>0</v>
      </c>
      <c r="K262" s="68"/>
      <c r="L262" s="68"/>
      <c r="M262" s="68"/>
      <c r="N262" s="68"/>
      <c r="O262" s="68"/>
      <c r="P262" s="68"/>
      <c r="Q262" s="68">
        <f>SUM(Devis[[#This Row],[Poste 1]:[Poste 6]])</f>
        <v>0</v>
      </c>
      <c r="R262" s="71"/>
      <c r="S262" s="68">
        <f>_xlfn.CEILING.MATH(Devis[[#This Row],[Quantité Totale]],Devis[[#This Row],[Conditionnement]])</f>
        <v>0</v>
      </c>
      <c r="T262" s="72"/>
      <c r="U262" s="73"/>
      <c r="V262" s="74">
        <f>Devis[[#This Row],[Prix de Revient]]*Devis[[#This Row],[Poste 1]]</f>
        <v>0</v>
      </c>
      <c r="W262" s="74">
        <f>Devis[[#This Row],[Prix de Revient]]*Devis[[#This Row],[Poste 2]]</f>
        <v>0</v>
      </c>
      <c r="X262" s="74">
        <f>Devis[[#This Row],[Prix de Revient]]*Devis[[#This Row],[Poste 3]]</f>
        <v>0</v>
      </c>
      <c r="Y262" s="74">
        <f>Devis[[#This Row],[Poste 4]]*Devis[[#This Row],[Prix de Revient]]</f>
        <v>0</v>
      </c>
      <c r="Z262" s="74">
        <f>Devis[[#This Row],[Poste 5]]*Devis[[#This Row],[Prix de Revient]]</f>
        <v>0</v>
      </c>
      <c r="AA262" s="74">
        <f>Devis[[#This Row],[Prix de Revient]]*Devis[[#This Row],[Poste 6]]</f>
        <v>0</v>
      </c>
      <c r="AB262" s="74">
        <f>Devis[[#This Row],[Quantité Totale]]*Devis[[#This Row],[Prix de Revient]]</f>
        <v>0</v>
      </c>
    </row>
    <row r="263" spans="1:28" ht="14.25" customHeight="1" x14ac:dyDescent="0.25">
      <c r="A263" s="65" t="s">
        <v>120</v>
      </c>
      <c r="B263" s="65" t="s">
        <v>4412</v>
      </c>
      <c r="C263" s="76"/>
      <c r="D263" s="81" t="str">
        <f t="shared" si="5"/>
        <v>CablageCABLE ET ATTACHE CUIVRE NU</v>
      </c>
      <c r="E263" s="76"/>
      <c r="F263" s="81">
        <v>0</v>
      </c>
      <c r="G263" s="71"/>
      <c r="H263" s="71"/>
      <c r="I263" s="71"/>
      <c r="J263" s="70">
        <f>IFERROR(VLOOKUP(Devis[[#This Row],[Ref Air Flux]],#REF!,3,FALSE),0)</f>
        <v>0</v>
      </c>
      <c r="K263" s="68"/>
      <c r="L263" s="68"/>
      <c r="M263" s="68"/>
      <c r="N263" s="68"/>
      <c r="O263" s="68"/>
      <c r="P263" s="68"/>
      <c r="Q263" s="68">
        <f>SUM(Devis[[#This Row],[Poste 1]:[Poste 6]])</f>
        <v>0</v>
      </c>
      <c r="R263" s="71"/>
      <c r="S263" s="68">
        <f>_xlfn.CEILING.MATH(Devis[[#This Row],[Quantité Totale]],Devis[[#This Row],[Conditionnement]])</f>
        <v>0</v>
      </c>
      <c r="T263" s="72"/>
      <c r="U263" s="73"/>
      <c r="V263" s="74">
        <f>Devis[[#This Row],[Prix de Revient]]*Devis[[#This Row],[Poste 1]]</f>
        <v>0</v>
      </c>
      <c r="W263" s="74">
        <f>Devis[[#This Row],[Prix de Revient]]*Devis[[#This Row],[Poste 2]]</f>
        <v>0</v>
      </c>
      <c r="X263" s="74">
        <f>Devis[[#This Row],[Prix de Revient]]*Devis[[#This Row],[Poste 3]]</f>
        <v>0</v>
      </c>
      <c r="Y263" s="74">
        <f>Devis[[#This Row],[Poste 4]]*Devis[[#This Row],[Prix de Revient]]</f>
        <v>0</v>
      </c>
      <c r="Z263" s="74">
        <f>Devis[[#This Row],[Poste 5]]*Devis[[#This Row],[Prix de Revient]]</f>
        <v>0</v>
      </c>
      <c r="AA263" s="74">
        <f>Devis[[#This Row],[Prix de Revient]]*Devis[[#This Row],[Poste 6]]</f>
        <v>0</v>
      </c>
      <c r="AB263" s="74">
        <f>Devis[[#This Row],[Quantité Totale]]*Devis[[#This Row],[Prix de Revient]]</f>
        <v>0</v>
      </c>
    </row>
    <row r="264" spans="1:28" ht="14.25" outlineLevel="1" x14ac:dyDescent="0.2">
      <c r="A264" s="75" t="s">
        <v>120</v>
      </c>
      <c r="B264" s="76" t="s">
        <v>4412</v>
      </c>
      <c r="C264" s="71" t="s">
        <v>4413</v>
      </c>
      <c r="D264" s="81" t="str">
        <f t="shared" si="5"/>
        <v xml:space="preserve">CablageCABLE ET ATTACHE CUIVRE NUCables </v>
      </c>
      <c r="E264" s="76" t="s">
        <v>4414</v>
      </c>
      <c r="F264" s="81">
        <v>1</v>
      </c>
      <c r="G264" s="71" t="s">
        <v>139</v>
      </c>
      <c r="H264" s="79"/>
      <c r="I264" s="71"/>
      <c r="J264" s="70">
        <f>IFERROR(VLOOKUP(Devis[[#This Row],[Ref Air Flux]],#REF!,3,FALSE),0)</f>
        <v>0</v>
      </c>
      <c r="K264" s="68"/>
      <c r="L264" s="68"/>
      <c r="M264" s="68"/>
      <c r="N264" s="68"/>
      <c r="O264" s="68"/>
      <c r="P264" s="68"/>
      <c r="Q264" s="68">
        <f>SUM(Devis[[#This Row],[Poste 1]:[Poste 6]])</f>
        <v>0</v>
      </c>
      <c r="R264" s="71"/>
      <c r="S264" s="68">
        <f>_xlfn.CEILING.MATH(Devis[[#This Row],[Quantité Totale]],Devis[[#This Row],[Conditionnement]])</f>
        <v>0</v>
      </c>
      <c r="T264" s="72"/>
      <c r="U264" s="73"/>
      <c r="V264" s="74">
        <f>Devis[[#This Row],[Prix de Revient]]*Devis[[#This Row],[Poste 1]]</f>
        <v>0</v>
      </c>
      <c r="W264" s="74">
        <f>Devis[[#This Row],[Prix de Revient]]*Devis[[#This Row],[Poste 2]]</f>
        <v>0</v>
      </c>
      <c r="X264" s="74">
        <f>Devis[[#This Row],[Prix de Revient]]*Devis[[#This Row],[Poste 3]]</f>
        <v>0</v>
      </c>
      <c r="Y264" s="74">
        <f>Devis[[#This Row],[Poste 4]]*Devis[[#This Row],[Prix de Revient]]</f>
        <v>0</v>
      </c>
      <c r="Z264" s="74">
        <f>Devis[[#This Row],[Poste 5]]*Devis[[#This Row],[Prix de Revient]]</f>
        <v>0</v>
      </c>
      <c r="AA264" s="74">
        <f>Devis[[#This Row],[Prix de Revient]]*Devis[[#This Row],[Poste 6]]</f>
        <v>0</v>
      </c>
      <c r="AB264" s="74">
        <f>Devis[[#This Row],[Quantité Totale]]*Devis[[#This Row],[Prix de Revient]]</f>
        <v>0</v>
      </c>
    </row>
    <row r="265" spans="1:28" ht="14.25" outlineLevel="1" x14ac:dyDescent="0.2">
      <c r="A265" s="75" t="s">
        <v>120</v>
      </c>
      <c r="B265" s="76" t="s">
        <v>4412</v>
      </c>
      <c r="C265" s="71" t="s">
        <v>4413</v>
      </c>
      <c r="D265" s="81" t="str">
        <f t="shared" si="5"/>
        <v xml:space="preserve">CablageCABLE ET ATTACHE CUIVRE NUCables </v>
      </c>
      <c r="E265" s="76" t="s">
        <v>4415</v>
      </c>
      <c r="F265" s="81">
        <v>2</v>
      </c>
      <c r="G265" s="71"/>
      <c r="H265" s="79"/>
      <c r="I265" s="71"/>
      <c r="J265" s="70">
        <f>IFERROR(VLOOKUP(Devis[[#This Row],[Ref Air Flux]],#REF!,3,FALSE),0)</f>
        <v>0</v>
      </c>
      <c r="K265" s="68"/>
      <c r="L265" s="68"/>
      <c r="M265" s="68"/>
      <c r="N265" s="68"/>
      <c r="O265" s="68"/>
      <c r="P265" s="68"/>
      <c r="Q265" s="68">
        <f>SUM(Devis[[#This Row],[Poste 1]:[Poste 6]])</f>
        <v>0</v>
      </c>
      <c r="R265" s="71"/>
      <c r="S265" s="68">
        <f>_xlfn.CEILING.MATH(Devis[[#This Row],[Quantité Totale]],Devis[[#This Row],[Conditionnement]])</f>
        <v>0</v>
      </c>
      <c r="T265" s="72"/>
      <c r="U265" s="73"/>
      <c r="V265" s="74">
        <f>Devis[[#This Row],[Prix de Revient]]*Devis[[#This Row],[Poste 1]]</f>
        <v>0</v>
      </c>
      <c r="W265" s="74">
        <f>Devis[[#This Row],[Prix de Revient]]*Devis[[#This Row],[Poste 2]]</f>
        <v>0</v>
      </c>
      <c r="X265" s="74">
        <f>Devis[[#This Row],[Prix de Revient]]*Devis[[#This Row],[Poste 3]]</f>
        <v>0</v>
      </c>
      <c r="Y265" s="74">
        <f>Devis[[#This Row],[Poste 4]]*Devis[[#This Row],[Prix de Revient]]</f>
        <v>0</v>
      </c>
      <c r="Z265" s="74">
        <f>Devis[[#This Row],[Poste 5]]*Devis[[#This Row],[Prix de Revient]]</f>
        <v>0</v>
      </c>
      <c r="AA265" s="74">
        <f>Devis[[#This Row],[Prix de Revient]]*Devis[[#This Row],[Poste 6]]</f>
        <v>0</v>
      </c>
      <c r="AB265" s="74">
        <f>Devis[[#This Row],[Quantité Totale]]*Devis[[#This Row],[Prix de Revient]]</f>
        <v>0</v>
      </c>
    </row>
    <row r="266" spans="1:28" ht="15" customHeight="1" outlineLevel="1" x14ac:dyDescent="0.2">
      <c r="A266" s="75" t="s">
        <v>120</v>
      </c>
      <c r="B266" s="76" t="s">
        <v>4412</v>
      </c>
      <c r="C266" s="71" t="s">
        <v>4413</v>
      </c>
      <c r="D266" s="81" t="str">
        <f t="shared" si="5"/>
        <v xml:space="preserve">CablageCABLE ET ATTACHE CUIVRE NUCables </v>
      </c>
      <c r="E266" s="76" t="s">
        <v>4416</v>
      </c>
      <c r="F266" s="81">
        <v>3</v>
      </c>
      <c r="G266" s="71"/>
      <c r="H266" s="79"/>
      <c r="I266" s="71"/>
      <c r="J266" s="70">
        <f>IFERROR(VLOOKUP(Devis[[#This Row],[Ref Air Flux]],#REF!,3,FALSE),0)</f>
        <v>0</v>
      </c>
      <c r="K266" s="68"/>
      <c r="L266" s="68"/>
      <c r="M266" s="68"/>
      <c r="N266" s="68"/>
      <c r="O266" s="68"/>
      <c r="P266" s="68"/>
      <c r="Q266" s="68">
        <f>SUM(Devis[[#This Row],[Poste 1]:[Poste 6]])</f>
        <v>0</v>
      </c>
      <c r="R266" s="71"/>
      <c r="S266" s="68">
        <f>_xlfn.CEILING.MATH(Devis[[#This Row],[Quantité Totale]],Devis[[#This Row],[Conditionnement]])</f>
        <v>0</v>
      </c>
      <c r="T266" s="72"/>
      <c r="U266" s="73"/>
      <c r="V266" s="74">
        <f>Devis[[#This Row],[Prix de Revient]]*Devis[[#This Row],[Poste 1]]</f>
        <v>0</v>
      </c>
      <c r="W266" s="74">
        <f>Devis[[#This Row],[Prix de Revient]]*Devis[[#This Row],[Poste 2]]</f>
        <v>0</v>
      </c>
      <c r="X266" s="74">
        <f>Devis[[#This Row],[Prix de Revient]]*Devis[[#This Row],[Poste 3]]</f>
        <v>0</v>
      </c>
      <c r="Y266" s="74">
        <f>Devis[[#This Row],[Poste 4]]*Devis[[#This Row],[Prix de Revient]]</f>
        <v>0</v>
      </c>
      <c r="Z266" s="74">
        <f>Devis[[#This Row],[Poste 5]]*Devis[[#This Row],[Prix de Revient]]</f>
        <v>0</v>
      </c>
      <c r="AA266" s="74">
        <f>Devis[[#This Row],[Prix de Revient]]*Devis[[#This Row],[Poste 6]]</f>
        <v>0</v>
      </c>
      <c r="AB266" s="74">
        <f>Devis[[#This Row],[Quantité Totale]]*Devis[[#This Row],[Prix de Revient]]</f>
        <v>0</v>
      </c>
    </row>
    <row r="267" spans="1:28" ht="14.25" outlineLevel="1" x14ac:dyDescent="0.2">
      <c r="A267" s="75" t="s">
        <v>120</v>
      </c>
      <c r="B267" s="76" t="s">
        <v>4412</v>
      </c>
      <c r="C267" s="71" t="s">
        <v>4413</v>
      </c>
      <c r="D267" s="81" t="str">
        <f t="shared" si="5"/>
        <v xml:space="preserve">CablageCABLE ET ATTACHE CUIVRE NUCables </v>
      </c>
      <c r="E267" s="76" t="s">
        <v>4417</v>
      </c>
      <c r="F267" s="81">
        <v>4</v>
      </c>
      <c r="G267" s="71" t="s">
        <v>140</v>
      </c>
      <c r="H267" s="79"/>
      <c r="I267" s="71"/>
      <c r="J267" s="70">
        <f>IFERROR(VLOOKUP(Devis[[#This Row],[Ref Air Flux]],#REF!,3,FALSE),0)</f>
        <v>0</v>
      </c>
      <c r="K267" s="68"/>
      <c r="L267" s="68"/>
      <c r="M267" s="68"/>
      <c r="N267" s="68"/>
      <c r="O267" s="68"/>
      <c r="P267" s="68"/>
      <c r="Q267" s="68">
        <f>SUM(Devis[[#This Row],[Poste 1]:[Poste 6]])</f>
        <v>0</v>
      </c>
      <c r="R267" s="71"/>
      <c r="S267" s="68">
        <f>_xlfn.CEILING.MATH(Devis[[#This Row],[Quantité Totale]],Devis[[#This Row],[Conditionnement]])</f>
        <v>0</v>
      </c>
      <c r="T267" s="72"/>
      <c r="U267" s="73"/>
      <c r="V267" s="74">
        <f>Devis[[#This Row],[Prix de Revient]]*Devis[[#This Row],[Poste 1]]</f>
        <v>0</v>
      </c>
      <c r="W267" s="74">
        <f>Devis[[#This Row],[Prix de Revient]]*Devis[[#This Row],[Poste 2]]</f>
        <v>0</v>
      </c>
      <c r="X267" s="74">
        <f>Devis[[#This Row],[Prix de Revient]]*Devis[[#This Row],[Poste 3]]</f>
        <v>0</v>
      </c>
      <c r="Y267" s="74">
        <f>Devis[[#This Row],[Poste 4]]*Devis[[#This Row],[Prix de Revient]]</f>
        <v>0</v>
      </c>
      <c r="Z267" s="74">
        <f>Devis[[#This Row],[Poste 5]]*Devis[[#This Row],[Prix de Revient]]</f>
        <v>0</v>
      </c>
      <c r="AA267" s="74">
        <f>Devis[[#This Row],[Prix de Revient]]*Devis[[#This Row],[Poste 6]]</f>
        <v>0</v>
      </c>
      <c r="AB267" s="74">
        <f>Devis[[#This Row],[Quantité Totale]]*Devis[[#This Row],[Prix de Revient]]</f>
        <v>0</v>
      </c>
    </row>
    <row r="268" spans="1:28" ht="14.25" outlineLevel="1" x14ac:dyDescent="0.2">
      <c r="A268" s="75" t="s">
        <v>120</v>
      </c>
      <c r="B268" s="76" t="s">
        <v>4412</v>
      </c>
      <c r="C268" s="71" t="s">
        <v>4413</v>
      </c>
      <c r="D268" s="81" t="str">
        <f t="shared" si="5"/>
        <v xml:space="preserve">CablageCABLE ET ATTACHE CUIVRE NUCables </v>
      </c>
      <c r="E268" s="76" t="s">
        <v>4418</v>
      </c>
      <c r="F268" s="81">
        <v>5</v>
      </c>
      <c r="G268" s="71" t="s">
        <v>141</v>
      </c>
      <c r="H268" s="79"/>
      <c r="I268" s="71"/>
      <c r="J268" s="70">
        <f>IFERROR(VLOOKUP(Devis[[#This Row],[Ref Air Flux]],#REF!,3,FALSE),0)</f>
        <v>0</v>
      </c>
      <c r="K268" s="68"/>
      <c r="L268" s="68"/>
      <c r="M268" s="68"/>
      <c r="N268" s="68"/>
      <c r="O268" s="68"/>
      <c r="P268" s="68"/>
      <c r="Q268" s="68">
        <f>SUM(Devis[[#This Row],[Poste 1]:[Poste 6]])</f>
        <v>0</v>
      </c>
      <c r="R268" s="71"/>
      <c r="S268" s="68">
        <f>_xlfn.CEILING.MATH(Devis[[#This Row],[Quantité Totale]],Devis[[#This Row],[Conditionnement]])</f>
        <v>0</v>
      </c>
      <c r="T268" s="72"/>
      <c r="U268" s="73"/>
      <c r="V268" s="74">
        <f>Devis[[#This Row],[Prix de Revient]]*Devis[[#This Row],[Poste 1]]</f>
        <v>0</v>
      </c>
      <c r="W268" s="74">
        <f>Devis[[#This Row],[Prix de Revient]]*Devis[[#This Row],[Poste 2]]</f>
        <v>0</v>
      </c>
      <c r="X268" s="74">
        <f>Devis[[#This Row],[Prix de Revient]]*Devis[[#This Row],[Poste 3]]</f>
        <v>0</v>
      </c>
      <c r="Y268" s="74">
        <f>Devis[[#This Row],[Poste 4]]*Devis[[#This Row],[Prix de Revient]]</f>
        <v>0</v>
      </c>
      <c r="Z268" s="74">
        <f>Devis[[#This Row],[Poste 5]]*Devis[[#This Row],[Prix de Revient]]</f>
        <v>0</v>
      </c>
      <c r="AA268" s="74">
        <f>Devis[[#This Row],[Prix de Revient]]*Devis[[#This Row],[Poste 6]]</f>
        <v>0</v>
      </c>
      <c r="AB268" s="74">
        <f>Devis[[#This Row],[Quantité Totale]]*Devis[[#This Row],[Prix de Revient]]</f>
        <v>0</v>
      </c>
    </row>
    <row r="269" spans="1:28" ht="14.25" outlineLevel="1" x14ac:dyDescent="0.2">
      <c r="A269" s="75" t="s">
        <v>120</v>
      </c>
      <c r="B269" s="76" t="s">
        <v>4412</v>
      </c>
      <c r="C269" s="71" t="s">
        <v>4413</v>
      </c>
      <c r="D269" s="81" t="str">
        <f t="shared" si="5"/>
        <v xml:space="preserve">CablageCABLE ET ATTACHE CUIVRE NUCables </v>
      </c>
      <c r="E269" s="76" t="s">
        <v>4419</v>
      </c>
      <c r="F269" s="81">
        <v>6</v>
      </c>
      <c r="G269" s="71" t="s">
        <v>142</v>
      </c>
      <c r="H269" s="79"/>
      <c r="I269" s="71"/>
      <c r="J269" s="70">
        <f>IFERROR(VLOOKUP(Devis[[#This Row],[Ref Air Flux]],#REF!,3,FALSE),0)</f>
        <v>0</v>
      </c>
      <c r="K269" s="68"/>
      <c r="L269" s="68"/>
      <c r="M269" s="68"/>
      <c r="N269" s="68"/>
      <c r="O269" s="68"/>
      <c r="P269" s="68"/>
      <c r="Q269" s="68">
        <f>SUM(Devis[[#This Row],[Poste 1]:[Poste 6]])</f>
        <v>0</v>
      </c>
      <c r="R269" s="71"/>
      <c r="S269" s="68">
        <f>_xlfn.CEILING.MATH(Devis[[#This Row],[Quantité Totale]],Devis[[#This Row],[Conditionnement]])</f>
        <v>0</v>
      </c>
      <c r="T269" s="72"/>
      <c r="U269" s="73"/>
      <c r="V269" s="74">
        <f>Devis[[#This Row],[Prix de Revient]]*Devis[[#This Row],[Poste 1]]</f>
        <v>0</v>
      </c>
      <c r="W269" s="74">
        <f>Devis[[#This Row],[Prix de Revient]]*Devis[[#This Row],[Poste 2]]</f>
        <v>0</v>
      </c>
      <c r="X269" s="74">
        <f>Devis[[#This Row],[Prix de Revient]]*Devis[[#This Row],[Poste 3]]</f>
        <v>0</v>
      </c>
      <c r="Y269" s="74">
        <f>Devis[[#This Row],[Poste 4]]*Devis[[#This Row],[Prix de Revient]]</f>
        <v>0</v>
      </c>
      <c r="Z269" s="74">
        <f>Devis[[#This Row],[Poste 5]]*Devis[[#This Row],[Prix de Revient]]</f>
        <v>0</v>
      </c>
      <c r="AA269" s="74">
        <f>Devis[[#This Row],[Prix de Revient]]*Devis[[#This Row],[Poste 6]]</f>
        <v>0</v>
      </c>
      <c r="AB269" s="74">
        <f>Devis[[#This Row],[Quantité Totale]]*Devis[[#This Row],[Prix de Revient]]</f>
        <v>0</v>
      </c>
    </row>
    <row r="270" spans="1:28" ht="14.25" customHeight="1" outlineLevel="1" x14ac:dyDescent="0.2">
      <c r="A270" s="75" t="s">
        <v>120</v>
      </c>
      <c r="B270" s="76" t="s">
        <v>4412</v>
      </c>
      <c r="C270" s="71" t="s">
        <v>4413</v>
      </c>
      <c r="D270" s="81" t="str">
        <f t="shared" si="5"/>
        <v xml:space="preserve">CablageCABLE ET ATTACHE CUIVRE NUCables </v>
      </c>
      <c r="E270" s="76" t="s">
        <v>4420</v>
      </c>
      <c r="F270" s="81">
        <v>7</v>
      </c>
      <c r="G270" s="71" t="s">
        <v>143</v>
      </c>
      <c r="H270" s="79"/>
      <c r="I270" s="71"/>
      <c r="J270" s="70">
        <f>IFERROR(VLOOKUP(Devis[[#This Row],[Ref Air Flux]],#REF!,3,FALSE),0)</f>
        <v>0</v>
      </c>
      <c r="K270" s="68"/>
      <c r="L270" s="68"/>
      <c r="M270" s="68"/>
      <c r="N270" s="68"/>
      <c r="O270" s="68"/>
      <c r="P270" s="68"/>
      <c r="Q270" s="68">
        <f>SUM(Devis[[#This Row],[Poste 1]:[Poste 6]])</f>
        <v>0</v>
      </c>
      <c r="R270" s="71"/>
      <c r="S270" s="68">
        <f>_xlfn.CEILING.MATH(Devis[[#This Row],[Quantité Totale]],Devis[[#This Row],[Conditionnement]])</f>
        <v>0</v>
      </c>
      <c r="T270" s="72"/>
      <c r="U270" s="73"/>
      <c r="V270" s="74">
        <f>Devis[[#This Row],[Prix de Revient]]*Devis[[#This Row],[Poste 1]]</f>
        <v>0</v>
      </c>
      <c r="W270" s="74">
        <f>Devis[[#This Row],[Prix de Revient]]*Devis[[#This Row],[Poste 2]]</f>
        <v>0</v>
      </c>
      <c r="X270" s="74">
        <f>Devis[[#This Row],[Prix de Revient]]*Devis[[#This Row],[Poste 3]]</f>
        <v>0</v>
      </c>
      <c r="Y270" s="74">
        <f>Devis[[#This Row],[Poste 4]]*Devis[[#This Row],[Prix de Revient]]</f>
        <v>0</v>
      </c>
      <c r="Z270" s="74">
        <f>Devis[[#This Row],[Poste 5]]*Devis[[#This Row],[Prix de Revient]]</f>
        <v>0</v>
      </c>
      <c r="AA270" s="74">
        <f>Devis[[#This Row],[Prix de Revient]]*Devis[[#This Row],[Poste 6]]</f>
        <v>0</v>
      </c>
      <c r="AB270" s="74">
        <f>Devis[[#This Row],[Quantité Totale]]*Devis[[#This Row],[Prix de Revient]]</f>
        <v>0</v>
      </c>
    </row>
    <row r="271" spans="1:28" ht="14.25" outlineLevel="1" x14ac:dyDescent="0.2">
      <c r="A271" s="75" t="s">
        <v>120</v>
      </c>
      <c r="B271" s="76" t="s">
        <v>4412</v>
      </c>
      <c r="C271" s="71" t="s">
        <v>4413</v>
      </c>
      <c r="D271" s="81" t="str">
        <f t="shared" si="5"/>
        <v xml:space="preserve">CablageCABLE ET ATTACHE CUIVRE NUCables </v>
      </c>
      <c r="E271" s="76" t="s">
        <v>4421</v>
      </c>
      <c r="F271" s="81">
        <v>8</v>
      </c>
      <c r="G271" s="71" t="s">
        <v>144</v>
      </c>
      <c r="H271" s="79"/>
      <c r="I271" s="71"/>
      <c r="J271" s="70">
        <f>IFERROR(VLOOKUP(Devis[[#This Row],[Ref Air Flux]],#REF!,3,FALSE),0)</f>
        <v>0</v>
      </c>
      <c r="K271" s="68"/>
      <c r="L271" s="68"/>
      <c r="M271" s="68"/>
      <c r="N271" s="68"/>
      <c r="O271" s="68"/>
      <c r="P271" s="68"/>
      <c r="Q271" s="68">
        <f>SUM(Devis[[#This Row],[Poste 1]:[Poste 6]])</f>
        <v>0</v>
      </c>
      <c r="R271" s="71"/>
      <c r="S271" s="68">
        <f>_xlfn.CEILING.MATH(Devis[[#This Row],[Quantité Totale]],Devis[[#This Row],[Conditionnement]])</f>
        <v>0</v>
      </c>
      <c r="T271" s="72"/>
      <c r="U271" s="73"/>
      <c r="V271" s="74">
        <f>Devis[[#This Row],[Prix de Revient]]*Devis[[#This Row],[Poste 1]]</f>
        <v>0</v>
      </c>
      <c r="W271" s="74">
        <f>Devis[[#This Row],[Prix de Revient]]*Devis[[#This Row],[Poste 2]]</f>
        <v>0</v>
      </c>
      <c r="X271" s="74">
        <f>Devis[[#This Row],[Prix de Revient]]*Devis[[#This Row],[Poste 3]]</f>
        <v>0</v>
      </c>
      <c r="Y271" s="74">
        <f>Devis[[#This Row],[Poste 4]]*Devis[[#This Row],[Prix de Revient]]</f>
        <v>0</v>
      </c>
      <c r="Z271" s="74">
        <f>Devis[[#This Row],[Poste 5]]*Devis[[#This Row],[Prix de Revient]]</f>
        <v>0</v>
      </c>
      <c r="AA271" s="74">
        <f>Devis[[#This Row],[Prix de Revient]]*Devis[[#This Row],[Poste 6]]</f>
        <v>0</v>
      </c>
      <c r="AB271" s="74">
        <f>Devis[[#This Row],[Quantité Totale]]*Devis[[#This Row],[Prix de Revient]]</f>
        <v>0</v>
      </c>
    </row>
    <row r="272" spans="1:28" ht="14.25" outlineLevel="1" x14ac:dyDescent="0.2">
      <c r="A272" s="75" t="s">
        <v>120</v>
      </c>
      <c r="B272" s="76" t="s">
        <v>4412</v>
      </c>
      <c r="C272" s="71" t="s">
        <v>4413</v>
      </c>
      <c r="D272" s="81" t="str">
        <f t="shared" si="5"/>
        <v xml:space="preserve">CablageCABLE ET ATTACHE CUIVRE NUCables </v>
      </c>
      <c r="E272" s="76" t="s">
        <v>151</v>
      </c>
      <c r="F272" s="81">
        <v>9</v>
      </c>
      <c r="G272" s="71" t="s">
        <v>145</v>
      </c>
      <c r="H272" s="79"/>
      <c r="I272" s="71"/>
      <c r="J272" s="70">
        <f>IFERROR(VLOOKUP(Devis[[#This Row],[Ref Air Flux]],#REF!,3,FALSE),0)</f>
        <v>0</v>
      </c>
      <c r="K272" s="68"/>
      <c r="L272" s="68"/>
      <c r="M272" s="68"/>
      <c r="N272" s="68"/>
      <c r="O272" s="68"/>
      <c r="P272" s="68"/>
      <c r="Q272" s="68">
        <f>SUM(Devis[[#This Row],[Poste 1]:[Poste 6]])</f>
        <v>0</v>
      </c>
      <c r="R272" s="71"/>
      <c r="S272" s="68">
        <f>_xlfn.CEILING.MATH(Devis[[#This Row],[Quantité Totale]],Devis[[#This Row],[Conditionnement]])</f>
        <v>0</v>
      </c>
      <c r="T272" s="72"/>
      <c r="U272" s="73"/>
      <c r="V272" s="74">
        <f>Devis[[#This Row],[Prix de Revient]]*Devis[[#This Row],[Poste 1]]</f>
        <v>0</v>
      </c>
      <c r="W272" s="74">
        <f>Devis[[#This Row],[Prix de Revient]]*Devis[[#This Row],[Poste 2]]</f>
        <v>0</v>
      </c>
      <c r="X272" s="74">
        <f>Devis[[#This Row],[Prix de Revient]]*Devis[[#This Row],[Poste 3]]</f>
        <v>0</v>
      </c>
      <c r="Y272" s="74">
        <f>Devis[[#This Row],[Poste 4]]*Devis[[#This Row],[Prix de Revient]]</f>
        <v>0</v>
      </c>
      <c r="Z272" s="74">
        <f>Devis[[#This Row],[Poste 5]]*Devis[[#This Row],[Prix de Revient]]</f>
        <v>0</v>
      </c>
      <c r="AA272" s="74">
        <f>Devis[[#This Row],[Prix de Revient]]*Devis[[#This Row],[Poste 6]]</f>
        <v>0</v>
      </c>
      <c r="AB272" s="74">
        <f>Devis[[#This Row],[Quantité Totale]]*Devis[[#This Row],[Prix de Revient]]</f>
        <v>0</v>
      </c>
    </row>
    <row r="273" spans="1:28" ht="14.25" outlineLevel="1" x14ac:dyDescent="0.2">
      <c r="A273" s="75" t="s">
        <v>120</v>
      </c>
      <c r="B273" s="76" t="s">
        <v>4412</v>
      </c>
      <c r="C273" s="71" t="s">
        <v>4422</v>
      </c>
      <c r="D273" s="81" t="str">
        <f t="shared" si="5"/>
        <v>CablageCABLE ET ATTACHE CUIVRE NUAttache</v>
      </c>
      <c r="E273" s="76" t="s">
        <v>146</v>
      </c>
      <c r="F273" s="81">
        <v>10</v>
      </c>
      <c r="G273" s="71" t="s">
        <v>147</v>
      </c>
      <c r="H273" s="79"/>
      <c r="I273" s="71"/>
      <c r="J273" s="70">
        <f>IFERROR(VLOOKUP(Devis[[#This Row],[Ref Air Flux]],#REF!,3,FALSE),0)</f>
        <v>0</v>
      </c>
      <c r="K273" s="68"/>
      <c r="L273" s="68"/>
      <c r="M273" s="68"/>
      <c r="N273" s="68"/>
      <c r="O273" s="68"/>
      <c r="P273" s="68"/>
      <c r="Q273" s="68">
        <f>SUM(Devis[[#This Row],[Poste 1]:[Poste 6]])</f>
        <v>0</v>
      </c>
      <c r="R273" s="71"/>
      <c r="S273" s="68">
        <f>_xlfn.CEILING.MATH(Devis[[#This Row],[Quantité Totale]],Devis[[#This Row],[Conditionnement]])</f>
        <v>0</v>
      </c>
      <c r="T273" s="72"/>
      <c r="U273" s="73"/>
      <c r="V273" s="74">
        <f>Devis[[#This Row],[Prix de Revient]]*Devis[[#This Row],[Poste 1]]</f>
        <v>0</v>
      </c>
      <c r="W273" s="74">
        <f>Devis[[#This Row],[Prix de Revient]]*Devis[[#This Row],[Poste 2]]</f>
        <v>0</v>
      </c>
      <c r="X273" s="74">
        <f>Devis[[#This Row],[Prix de Revient]]*Devis[[#This Row],[Poste 3]]</f>
        <v>0</v>
      </c>
      <c r="Y273" s="74">
        <f>Devis[[#This Row],[Poste 4]]*Devis[[#This Row],[Prix de Revient]]</f>
        <v>0</v>
      </c>
      <c r="Z273" s="74">
        <f>Devis[[#This Row],[Poste 5]]*Devis[[#This Row],[Prix de Revient]]</f>
        <v>0</v>
      </c>
      <c r="AA273" s="74">
        <f>Devis[[#This Row],[Prix de Revient]]*Devis[[#This Row],[Poste 6]]</f>
        <v>0</v>
      </c>
      <c r="AB273" s="74">
        <f>Devis[[#This Row],[Quantité Totale]]*Devis[[#This Row],[Prix de Revient]]</f>
        <v>0</v>
      </c>
    </row>
    <row r="274" spans="1:28" ht="14.25" customHeight="1" x14ac:dyDescent="0.25">
      <c r="A274" s="65" t="s">
        <v>120</v>
      </c>
      <c r="B274" s="65" t="s">
        <v>4423</v>
      </c>
      <c r="C274" s="76"/>
      <c r="D274" s="81" t="str">
        <f t="shared" si="5"/>
        <v>CablageCABLES RIGIDES CUIVRE</v>
      </c>
      <c r="E274" s="76"/>
      <c r="F274" s="81">
        <v>0</v>
      </c>
      <c r="G274" s="71"/>
      <c r="H274" s="71"/>
      <c r="I274" s="71"/>
      <c r="J274" s="70">
        <f>IFERROR(VLOOKUP(Devis[[#This Row],[Ref Air Flux]],#REF!,3,FALSE),0)</f>
        <v>0</v>
      </c>
      <c r="K274" s="68"/>
      <c r="L274" s="68"/>
      <c r="M274" s="68"/>
      <c r="N274" s="68"/>
      <c r="O274" s="68"/>
      <c r="P274" s="68"/>
      <c r="Q274" s="68">
        <f>SUM(Devis[[#This Row],[Poste 1]:[Poste 6]])</f>
        <v>0</v>
      </c>
      <c r="R274" s="71"/>
      <c r="S274" s="68">
        <f>_xlfn.CEILING.MATH(Devis[[#This Row],[Quantité Totale]],Devis[[#This Row],[Conditionnement]])</f>
        <v>0</v>
      </c>
      <c r="T274" s="72"/>
      <c r="U274" s="73"/>
      <c r="V274" s="74">
        <f>Devis[[#This Row],[Prix de Revient]]*Devis[[#This Row],[Poste 1]]</f>
        <v>0</v>
      </c>
      <c r="W274" s="74">
        <f>Devis[[#This Row],[Prix de Revient]]*Devis[[#This Row],[Poste 2]]</f>
        <v>0</v>
      </c>
      <c r="X274" s="74">
        <f>Devis[[#This Row],[Prix de Revient]]*Devis[[#This Row],[Poste 3]]</f>
        <v>0</v>
      </c>
      <c r="Y274" s="74">
        <f>Devis[[#This Row],[Poste 4]]*Devis[[#This Row],[Prix de Revient]]</f>
        <v>0</v>
      </c>
      <c r="Z274" s="74">
        <f>Devis[[#This Row],[Poste 5]]*Devis[[#This Row],[Prix de Revient]]</f>
        <v>0</v>
      </c>
      <c r="AA274" s="74">
        <f>Devis[[#This Row],[Prix de Revient]]*Devis[[#This Row],[Poste 6]]</f>
        <v>0</v>
      </c>
      <c r="AB274" s="74">
        <f>Devis[[#This Row],[Quantité Totale]]*Devis[[#This Row],[Prix de Revient]]</f>
        <v>0</v>
      </c>
    </row>
    <row r="275" spans="1:28" ht="14.25" customHeight="1" outlineLevel="1" x14ac:dyDescent="0.2">
      <c r="A275" s="75" t="s">
        <v>120</v>
      </c>
      <c r="B275" s="76" t="s">
        <v>4423</v>
      </c>
      <c r="C275" s="71" t="s">
        <v>4424</v>
      </c>
      <c r="D275" s="81" t="str">
        <f t="shared" si="5"/>
        <v>CablageCABLES RIGIDES CUIVRERO2V1X</v>
      </c>
      <c r="E275" s="76" t="s">
        <v>4418</v>
      </c>
      <c r="F275" s="81">
        <v>1</v>
      </c>
      <c r="G275" s="71" t="s">
        <v>4425</v>
      </c>
      <c r="H275" s="71"/>
      <c r="I275" s="71"/>
      <c r="J275" s="70">
        <f>IFERROR(VLOOKUP(Devis[[#This Row],[Ref Air Flux]],#REF!,3,FALSE),0)</f>
        <v>0</v>
      </c>
      <c r="K275" s="68"/>
      <c r="L275" s="68"/>
      <c r="M275" s="68"/>
      <c r="N275" s="68"/>
      <c r="O275" s="68"/>
      <c r="P275" s="68"/>
      <c r="Q275" s="68">
        <f>SUM(Devis[[#This Row],[Poste 1]:[Poste 6]])</f>
        <v>0</v>
      </c>
      <c r="R275" s="71"/>
      <c r="S275" s="68">
        <f>_xlfn.CEILING.MATH(Devis[[#This Row],[Quantité Totale]],Devis[[#This Row],[Conditionnement]])</f>
        <v>0</v>
      </c>
      <c r="T275" s="72"/>
      <c r="U275" s="73"/>
      <c r="V275" s="74">
        <f>Devis[[#This Row],[Prix de Revient]]*Devis[[#This Row],[Poste 1]]</f>
        <v>0</v>
      </c>
      <c r="W275" s="74">
        <f>Devis[[#This Row],[Prix de Revient]]*Devis[[#This Row],[Poste 2]]</f>
        <v>0</v>
      </c>
      <c r="X275" s="74">
        <f>Devis[[#This Row],[Prix de Revient]]*Devis[[#This Row],[Poste 3]]</f>
        <v>0</v>
      </c>
      <c r="Y275" s="74">
        <f>Devis[[#This Row],[Poste 4]]*Devis[[#This Row],[Prix de Revient]]</f>
        <v>0</v>
      </c>
      <c r="Z275" s="74">
        <f>Devis[[#This Row],[Poste 5]]*Devis[[#This Row],[Prix de Revient]]</f>
        <v>0</v>
      </c>
      <c r="AA275" s="74">
        <f>Devis[[#This Row],[Prix de Revient]]*Devis[[#This Row],[Poste 6]]</f>
        <v>0</v>
      </c>
      <c r="AB275" s="74">
        <f>Devis[[#This Row],[Quantité Totale]]*Devis[[#This Row],[Prix de Revient]]</f>
        <v>0</v>
      </c>
    </row>
    <row r="276" spans="1:28" ht="14.25" outlineLevel="1" x14ac:dyDescent="0.2">
      <c r="A276" s="75" t="s">
        <v>120</v>
      </c>
      <c r="B276" s="76" t="s">
        <v>4423</v>
      </c>
      <c r="C276" s="71" t="s">
        <v>4424</v>
      </c>
      <c r="D276" s="81" t="str">
        <f t="shared" si="5"/>
        <v>CablageCABLES RIGIDES CUIVRERO2V1X</v>
      </c>
      <c r="E276" s="76" t="s">
        <v>4419</v>
      </c>
      <c r="F276" s="81">
        <v>2</v>
      </c>
      <c r="G276" s="71" t="s">
        <v>148</v>
      </c>
      <c r="H276" s="79"/>
      <c r="I276" s="71"/>
      <c r="J276" s="70">
        <f>IFERROR(VLOOKUP(Devis[[#This Row],[Ref Air Flux]],#REF!,3,FALSE),0)</f>
        <v>0</v>
      </c>
      <c r="K276" s="68"/>
      <c r="L276" s="68"/>
      <c r="M276" s="68"/>
      <c r="N276" s="68"/>
      <c r="O276" s="68"/>
      <c r="P276" s="68"/>
      <c r="Q276" s="68">
        <f>SUM(Devis[[#This Row],[Poste 1]:[Poste 6]])</f>
        <v>0</v>
      </c>
      <c r="R276" s="71"/>
      <c r="S276" s="68">
        <f>_xlfn.CEILING.MATH(Devis[[#This Row],[Quantité Totale]],Devis[[#This Row],[Conditionnement]])</f>
        <v>0</v>
      </c>
      <c r="T276" s="72"/>
      <c r="U276" s="73"/>
      <c r="V276" s="74">
        <f>Devis[[#This Row],[Prix de Revient]]*Devis[[#This Row],[Poste 1]]</f>
        <v>0</v>
      </c>
      <c r="W276" s="74">
        <f>Devis[[#This Row],[Prix de Revient]]*Devis[[#This Row],[Poste 2]]</f>
        <v>0</v>
      </c>
      <c r="X276" s="74">
        <f>Devis[[#This Row],[Prix de Revient]]*Devis[[#This Row],[Poste 3]]</f>
        <v>0</v>
      </c>
      <c r="Y276" s="74">
        <f>Devis[[#This Row],[Poste 4]]*Devis[[#This Row],[Prix de Revient]]</f>
        <v>0</v>
      </c>
      <c r="Z276" s="74">
        <f>Devis[[#This Row],[Poste 5]]*Devis[[#This Row],[Prix de Revient]]</f>
        <v>0</v>
      </c>
      <c r="AA276" s="74">
        <f>Devis[[#This Row],[Prix de Revient]]*Devis[[#This Row],[Poste 6]]</f>
        <v>0</v>
      </c>
      <c r="AB276" s="74">
        <f>Devis[[#This Row],[Quantité Totale]]*Devis[[#This Row],[Prix de Revient]]</f>
        <v>0</v>
      </c>
    </row>
    <row r="277" spans="1:28" ht="14.25" outlineLevel="1" x14ac:dyDescent="0.2">
      <c r="A277" s="75" t="s">
        <v>120</v>
      </c>
      <c r="B277" s="76" t="s">
        <v>4423</v>
      </c>
      <c r="C277" s="71" t="s">
        <v>4424</v>
      </c>
      <c r="D277" s="81" t="str">
        <f t="shared" si="5"/>
        <v>CablageCABLES RIGIDES CUIVRERO2V1X</v>
      </c>
      <c r="E277" s="76" t="s">
        <v>4420</v>
      </c>
      <c r="F277" s="81">
        <v>3</v>
      </c>
      <c r="G277" s="71" t="s">
        <v>149</v>
      </c>
      <c r="H277" s="79"/>
      <c r="I277" s="71"/>
      <c r="J277" s="70">
        <f>IFERROR(VLOOKUP(Devis[[#This Row],[Ref Air Flux]],#REF!,3,FALSE),0)</f>
        <v>0</v>
      </c>
      <c r="K277" s="68"/>
      <c r="L277" s="68"/>
      <c r="M277" s="68"/>
      <c r="N277" s="68"/>
      <c r="O277" s="68"/>
      <c r="P277" s="68"/>
      <c r="Q277" s="68">
        <f>SUM(Devis[[#This Row],[Poste 1]:[Poste 6]])</f>
        <v>0</v>
      </c>
      <c r="R277" s="71"/>
      <c r="S277" s="68">
        <f>_xlfn.CEILING.MATH(Devis[[#This Row],[Quantité Totale]],Devis[[#This Row],[Conditionnement]])</f>
        <v>0</v>
      </c>
      <c r="T277" s="72"/>
      <c r="U277" s="73"/>
      <c r="V277" s="74">
        <f>Devis[[#This Row],[Prix de Revient]]*Devis[[#This Row],[Poste 1]]</f>
        <v>0</v>
      </c>
      <c r="W277" s="74">
        <f>Devis[[#This Row],[Prix de Revient]]*Devis[[#This Row],[Poste 2]]</f>
        <v>0</v>
      </c>
      <c r="X277" s="74">
        <f>Devis[[#This Row],[Prix de Revient]]*Devis[[#This Row],[Poste 3]]</f>
        <v>0</v>
      </c>
      <c r="Y277" s="74">
        <f>Devis[[#This Row],[Poste 4]]*Devis[[#This Row],[Prix de Revient]]</f>
        <v>0</v>
      </c>
      <c r="Z277" s="74">
        <f>Devis[[#This Row],[Poste 5]]*Devis[[#This Row],[Prix de Revient]]</f>
        <v>0</v>
      </c>
      <c r="AA277" s="74">
        <f>Devis[[#This Row],[Prix de Revient]]*Devis[[#This Row],[Poste 6]]</f>
        <v>0</v>
      </c>
      <c r="AB277" s="74">
        <f>Devis[[#This Row],[Quantité Totale]]*Devis[[#This Row],[Prix de Revient]]</f>
        <v>0</v>
      </c>
    </row>
    <row r="278" spans="1:28" ht="14.25" outlineLevel="1" x14ac:dyDescent="0.2">
      <c r="A278" s="75" t="s">
        <v>120</v>
      </c>
      <c r="B278" s="76" t="s">
        <v>4423</v>
      </c>
      <c r="C278" s="71" t="s">
        <v>4424</v>
      </c>
      <c r="D278" s="81" t="str">
        <f t="shared" si="5"/>
        <v>CablageCABLES RIGIDES CUIVRERO2V1X</v>
      </c>
      <c r="E278" s="76" t="s">
        <v>4421</v>
      </c>
      <c r="F278" s="81">
        <v>4</v>
      </c>
      <c r="G278" s="71" t="s">
        <v>150</v>
      </c>
      <c r="H278" s="79"/>
      <c r="I278" s="71"/>
      <c r="J278" s="70">
        <f>IFERROR(VLOOKUP(Devis[[#This Row],[Ref Air Flux]],#REF!,3,FALSE),0)</f>
        <v>0</v>
      </c>
      <c r="K278" s="68"/>
      <c r="L278" s="68"/>
      <c r="M278" s="68"/>
      <c r="N278" s="68"/>
      <c r="O278" s="68"/>
      <c r="P278" s="68"/>
      <c r="Q278" s="68">
        <f>SUM(Devis[[#This Row],[Poste 1]:[Poste 6]])</f>
        <v>0</v>
      </c>
      <c r="R278" s="71"/>
      <c r="S278" s="68">
        <f>_xlfn.CEILING.MATH(Devis[[#This Row],[Quantité Totale]],Devis[[#This Row],[Conditionnement]])</f>
        <v>0</v>
      </c>
      <c r="T278" s="72"/>
      <c r="U278" s="73"/>
      <c r="V278" s="74">
        <f>Devis[[#This Row],[Prix de Revient]]*Devis[[#This Row],[Poste 1]]</f>
        <v>0</v>
      </c>
      <c r="W278" s="74">
        <f>Devis[[#This Row],[Prix de Revient]]*Devis[[#This Row],[Poste 2]]</f>
        <v>0</v>
      </c>
      <c r="X278" s="74">
        <f>Devis[[#This Row],[Prix de Revient]]*Devis[[#This Row],[Poste 3]]</f>
        <v>0</v>
      </c>
      <c r="Y278" s="74">
        <f>Devis[[#This Row],[Poste 4]]*Devis[[#This Row],[Prix de Revient]]</f>
        <v>0</v>
      </c>
      <c r="Z278" s="74">
        <f>Devis[[#This Row],[Poste 5]]*Devis[[#This Row],[Prix de Revient]]</f>
        <v>0</v>
      </c>
      <c r="AA278" s="74">
        <f>Devis[[#This Row],[Prix de Revient]]*Devis[[#This Row],[Poste 6]]</f>
        <v>0</v>
      </c>
      <c r="AB278" s="74">
        <f>Devis[[#This Row],[Quantité Totale]]*Devis[[#This Row],[Prix de Revient]]</f>
        <v>0</v>
      </c>
    </row>
    <row r="279" spans="1:28" ht="14.25" outlineLevel="1" x14ac:dyDescent="0.2">
      <c r="A279" s="75" t="s">
        <v>120</v>
      </c>
      <c r="B279" s="76" t="s">
        <v>4423</v>
      </c>
      <c r="C279" s="71" t="s">
        <v>4424</v>
      </c>
      <c r="D279" s="81" t="str">
        <f t="shared" si="5"/>
        <v>CablageCABLES RIGIDES CUIVRERO2V1X</v>
      </c>
      <c r="E279" s="76" t="s">
        <v>151</v>
      </c>
      <c r="F279" s="81">
        <v>5</v>
      </c>
      <c r="G279" s="71" t="s">
        <v>152</v>
      </c>
      <c r="H279" s="79"/>
      <c r="I279" s="71"/>
      <c r="J279" s="70">
        <f>IFERROR(VLOOKUP(Devis[[#This Row],[Ref Air Flux]],#REF!,3,FALSE),0)</f>
        <v>0</v>
      </c>
      <c r="K279" s="68"/>
      <c r="L279" s="68"/>
      <c r="M279" s="68"/>
      <c r="N279" s="68"/>
      <c r="O279" s="68"/>
      <c r="P279" s="68"/>
      <c r="Q279" s="68">
        <f>SUM(Devis[[#This Row],[Poste 1]:[Poste 6]])</f>
        <v>0</v>
      </c>
      <c r="R279" s="71"/>
      <c r="S279" s="68">
        <f>_xlfn.CEILING.MATH(Devis[[#This Row],[Quantité Totale]],Devis[[#This Row],[Conditionnement]])</f>
        <v>0</v>
      </c>
      <c r="T279" s="72"/>
      <c r="U279" s="73"/>
      <c r="V279" s="74">
        <f>Devis[[#This Row],[Prix de Revient]]*Devis[[#This Row],[Poste 1]]</f>
        <v>0</v>
      </c>
      <c r="W279" s="74">
        <f>Devis[[#This Row],[Prix de Revient]]*Devis[[#This Row],[Poste 2]]</f>
        <v>0</v>
      </c>
      <c r="X279" s="74">
        <f>Devis[[#This Row],[Prix de Revient]]*Devis[[#This Row],[Poste 3]]</f>
        <v>0</v>
      </c>
      <c r="Y279" s="74">
        <f>Devis[[#This Row],[Poste 4]]*Devis[[#This Row],[Prix de Revient]]</f>
        <v>0</v>
      </c>
      <c r="Z279" s="74">
        <f>Devis[[#This Row],[Poste 5]]*Devis[[#This Row],[Prix de Revient]]</f>
        <v>0</v>
      </c>
      <c r="AA279" s="74">
        <f>Devis[[#This Row],[Prix de Revient]]*Devis[[#This Row],[Poste 6]]</f>
        <v>0</v>
      </c>
      <c r="AB279" s="74">
        <f>Devis[[#This Row],[Quantité Totale]]*Devis[[#This Row],[Prix de Revient]]</f>
        <v>0</v>
      </c>
    </row>
    <row r="280" spans="1:28" ht="14.25" outlineLevel="1" x14ac:dyDescent="0.2">
      <c r="A280" s="75" t="s">
        <v>120</v>
      </c>
      <c r="B280" s="76" t="s">
        <v>4423</v>
      </c>
      <c r="C280" s="71" t="s">
        <v>4424</v>
      </c>
      <c r="D280" s="81" t="str">
        <f t="shared" si="5"/>
        <v>CablageCABLES RIGIDES CUIVRERO2V1X</v>
      </c>
      <c r="E280" s="76" t="s">
        <v>4426</v>
      </c>
      <c r="F280" s="81">
        <v>6</v>
      </c>
      <c r="G280" s="71" t="s">
        <v>153</v>
      </c>
      <c r="H280" s="79"/>
      <c r="I280" s="71"/>
      <c r="J280" s="70">
        <f>IFERROR(VLOOKUP(Devis[[#This Row],[Ref Air Flux]],#REF!,3,FALSE),0)</f>
        <v>0</v>
      </c>
      <c r="K280" s="68"/>
      <c r="L280" s="68"/>
      <c r="M280" s="68"/>
      <c r="N280" s="68"/>
      <c r="O280" s="68"/>
      <c r="P280" s="68"/>
      <c r="Q280" s="68">
        <f>SUM(Devis[[#This Row],[Poste 1]:[Poste 6]])</f>
        <v>0</v>
      </c>
      <c r="R280" s="71"/>
      <c r="S280" s="68">
        <f>_xlfn.CEILING.MATH(Devis[[#This Row],[Quantité Totale]],Devis[[#This Row],[Conditionnement]])</f>
        <v>0</v>
      </c>
      <c r="T280" s="72"/>
      <c r="U280" s="73"/>
      <c r="V280" s="74">
        <f>Devis[[#This Row],[Prix de Revient]]*Devis[[#This Row],[Poste 1]]</f>
        <v>0</v>
      </c>
      <c r="W280" s="74">
        <f>Devis[[#This Row],[Prix de Revient]]*Devis[[#This Row],[Poste 2]]</f>
        <v>0</v>
      </c>
      <c r="X280" s="74">
        <f>Devis[[#This Row],[Prix de Revient]]*Devis[[#This Row],[Poste 3]]</f>
        <v>0</v>
      </c>
      <c r="Y280" s="74">
        <f>Devis[[#This Row],[Poste 4]]*Devis[[#This Row],[Prix de Revient]]</f>
        <v>0</v>
      </c>
      <c r="Z280" s="74">
        <f>Devis[[#This Row],[Poste 5]]*Devis[[#This Row],[Prix de Revient]]</f>
        <v>0</v>
      </c>
      <c r="AA280" s="74">
        <f>Devis[[#This Row],[Prix de Revient]]*Devis[[#This Row],[Poste 6]]</f>
        <v>0</v>
      </c>
      <c r="AB280" s="74">
        <f>Devis[[#This Row],[Quantité Totale]]*Devis[[#This Row],[Prix de Revient]]</f>
        <v>0</v>
      </c>
    </row>
    <row r="281" spans="1:28" ht="14.25" outlineLevel="1" x14ac:dyDescent="0.2">
      <c r="A281" s="75" t="s">
        <v>120</v>
      </c>
      <c r="B281" s="76" t="s">
        <v>4423</v>
      </c>
      <c r="C281" s="71" t="s">
        <v>4424</v>
      </c>
      <c r="D281" s="81" t="str">
        <f t="shared" si="5"/>
        <v>CablageCABLES RIGIDES CUIVRERO2V1X</v>
      </c>
      <c r="E281" s="76" t="s">
        <v>4427</v>
      </c>
      <c r="F281" s="81">
        <v>7</v>
      </c>
      <c r="G281" s="71" t="s">
        <v>154</v>
      </c>
      <c r="H281" s="79"/>
      <c r="I281" s="71"/>
      <c r="J281" s="70">
        <f>IFERROR(VLOOKUP(Devis[[#This Row],[Ref Air Flux]],#REF!,3,FALSE),0)</f>
        <v>0</v>
      </c>
      <c r="K281" s="68"/>
      <c r="L281" s="68"/>
      <c r="M281" s="68"/>
      <c r="N281" s="68"/>
      <c r="O281" s="68"/>
      <c r="P281" s="68"/>
      <c r="Q281" s="68">
        <f>SUM(Devis[[#This Row],[Poste 1]:[Poste 6]])</f>
        <v>0</v>
      </c>
      <c r="R281" s="71"/>
      <c r="S281" s="68">
        <f>_xlfn.CEILING.MATH(Devis[[#This Row],[Quantité Totale]],Devis[[#This Row],[Conditionnement]])</f>
        <v>0</v>
      </c>
      <c r="T281" s="72"/>
      <c r="U281" s="73"/>
      <c r="V281" s="74">
        <f>Devis[[#This Row],[Prix de Revient]]*Devis[[#This Row],[Poste 1]]</f>
        <v>0</v>
      </c>
      <c r="W281" s="74">
        <f>Devis[[#This Row],[Prix de Revient]]*Devis[[#This Row],[Poste 2]]</f>
        <v>0</v>
      </c>
      <c r="X281" s="74">
        <f>Devis[[#This Row],[Prix de Revient]]*Devis[[#This Row],[Poste 3]]</f>
        <v>0</v>
      </c>
      <c r="Y281" s="74">
        <f>Devis[[#This Row],[Poste 4]]*Devis[[#This Row],[Prix de Revient]]</f>
        <v>0</v>
      </c>
      <c r="Z281" s="74">
        <f>Devis[[#This Row],[Poste 5]]*Devis[[#This Row],[Prix de Revient]]</f>
        <v>0</v>
      </c>
      <c r="AA281" s="74">
        <f>Devis[[#This Row],[Prix de Revient]]*Devis[[#This Row],[Poste 6]]</f>
        <v>0</v>
      </c>
      <c r="AB281" s="74">
        <f>Devis[[#This Row],[Quantité Totale]]*Devis[[#This Row],[Prix de Revient]]</f>
        <v>0</v>
      </c>
    </row>
    <row r="282" spans="1:28" ht="14.25" outlineLevel="1" x14ac:dyDescent="0.2">
      <c r="A282" s="75" t="s">
        <v>120</v>
      </c>
      <c r="B282" s="76" t="s">
        <v>4423</v>
      </c>
      <c r="C282" s="71" t="s">
        <v>4428</v>
      </c>
      <c r="D282" s="81" t="str">
        <f t="shared" si="5"/>
        <v>CablageCABLES RIGIDES CUIVRERO2V2G</v>
      </c>
      <c r="E282" s="76" t="s">
        <v>4429</v>
      </c>
      <c r="F282" s="81">
        <v>8</v>
      </c>
      <c r="G282" s="71" t="s">
        <v>4430</v>
      </c>
      <c r="H282" s="71"/>
      <c r="I282" s="71"/>
      <c r="J282" s="70">
        <f>IFERROR(VLOOKUP(Devis[[#This Row],[Ref Air Flux]],#REF!,3,FALSE),0)</f>
        <v>0</v>
      </c>
      <c r="K282" s="68"/>
      <c r="L282" s="68"/>
      <c r="M282" s="68"/>
      <c r="N282" s="68"/>
      <c r="O282" s="68"/>
      <c r="P282" s="68"/>
      <c r="Q282" s="68">
        <f>SUM(Devis[[#This Row],[Poste 1]:[Poste 6]])</f>
        <v>0</v>
      </c>
      <c r="R282" s="71"/>
      <c r="S282" s="68">
        <f>_xlfn.CEILING.MATH(Devis[[#This Row],[Quantité Totale]],Devis[[#This Row],[Conditionnement]])</f>
        <v>0</v>
      </c>
      <c r="T282" s="72"/>
      <c r="U282" s="73"/>
      <c r="V282" s="74">
        <f>Devis[[#This Row],[Prix de Revient]]*Devis[[#This Row],[Poste 1]]</f>
        <v>0</v>
      </c>
      <c r="W282" s="74">
        <f>Devis[[#This Row],[Prix de Revient]]*Devis[[#This Row],[Poste 2]]</f>
        <v>0</v>
      </c>
      <c r="X282" s="74">
        <f>Devis[[#This Row],[Prix de Revient]]*Devis[[#This Row],[Poste 3]]</f>
        <v>0</v>
      </c>
      <c r="Y282" s="74">
        <f>Devis[[#This Row],[Poste 4]]*Devis[[#This Row],[Prix de Revient]]</f>
        <v>0</v>
      </c>
      <c r="Z282" s="74">
        <f>Devis[[#This Row],[Poste 5]]*Devis[[#This Row],[Prix de Revient]]</f>
        <v>0</v>
      </c>
      <c r="AA282" s="74">
        <f>Devis[[#This Row],[Prix de Revient]]*Devis[[#This Row],[Poste 6]]</f>
        <v>0</v>
      </c>
      <c r="AB282" s="74">
        <f>Devis[[#This Row],[Quantité Totale]]*Devis[[#This Row],[Prix de Revient]]</f>
        <v>0</v>
      </c>
    </row>
    <row r="283" spans="1:28" ht="14.25" outlineLevel="1" x14ac:dyDescent="0.2">
      <c r="A283" s="75" t="s">
        <v>120</v>
      </c>
      <c r="B283" s="76" t="s">
        <v>4423</v>
      </c>
      <c r="C283" s="71" t="s">
        <v>4431</v>
      </c>
      <c r="D283" s="81" t="str">
        <f t="shared" si="5"/>
        <v>CablageCABLES RIGIDES CUIVRERO2V3G</v>
      </c>
      <c r="E283" s="76" t="s">
        <v>4432</v>
      </c>
      <c r="F283" s="81">
        <v>9</v>
      </c>
      <c r="G283" s="71" t="s">
        <v>4433</v>
      </c>
      <c r="H283" s="71"/>
      <c r="I283" s="71"/>
      <c r="J283" s="70">
        <f>IFERROR(VLOOKUP(Devis[[#This Row],[Ref Air Flux]],#REF!,3,FALSE),0)</f>
        <v>0</v>
      </c>
      <c r="K283" s="68"/>
      <c r="L283" s="68"/>
      <c r="M283" s="68"/>
      <c r="N283" s="68"/>
      <c r="O283" s="68"/>
      <c r="P283" s="68"/>
      <c r="Q283" s="68">
        <f>SUM(Devis[[#This Row],[Poste 1]:[Poste 6]])</f>
        <v>0</v>
      </c>
      <c r="R283" s="71"/>
      <c r="S283" s="68">
        <f>_xlfn.CEILING.MATH(Devis[[#This Row],[Quantité Totale]],Devis[[#This Row],[Conditionnement]])</f>
        <v>0</v>
      </c>
      <c r="T283" s="72"/>
      <c r="U283" s="73"/>
      <c r="V283" s="74">
        <f>Devis[[#This Row],[Prix de Revient]]*Devis[[#This Row],[Poste 1]]</f>
        <v>0</v>
      </c>
      <c r="W283" s="74">
        <f>Devis[[#This Row],[Prix de Revient]]*Devis[[#This Row],[Poste 2]]</f>
        <v>0</v>
      </c>
      <c r="X283" s="74">
        <f>Devis[[#This Row],[Prix de Revient]]*Devis[[#This Row],[Poste 3]]</f>
        <v>0</v>
      </c>
      <c r="Y283" s="74">
        <f>Devis[[#This Row],[Poste 4]]*Devis[[#This Row],[Prix de Revient]]</f>
        <v>0</v>
      </c>
      <c r="Z283" s="74">
        <f>Devis[[#This Row],[Poste 5]]*Devis[[#This Row],[Prix de Revient]]</f>
        <v>0</v>
      </c>
      <c r="AA283" s="74">
        <f>Devis[[#This Row],[Prix de Revient]]*Devis[[#This Row],[Poste 6]]</f>
        <v>0</v>
      </c>
      <c r="AB283" s="74">
        <f>Devis[[#This Row],[Quantité Totale]]*Devis[[#This Row],[Prix de Revient]]</f>
        <v>0</v>
      </c>
    </row>
    <row r="284" spans="1:28" ht="14.25" outlineLevel="1" x14ac:dyDescent="0.2">
      <c r="A284" s="75" t="s">
        <v>120</v>
      </c>
      <c r="B284" s="76" t="s">
        <v>4423</v>
      </c>
      <c r="C284" s="71" t="s">
        <v>4431</v>
      </c>
      <c r="D284" s="81" t="str">
        <f t="shared" si="5"/>
        <v>CablageCABLES RIGIDES CUIVRERO2V3G</v>
      </c>
      <c r="E284" s="76" t="s">
        <v>155</v>
      </c>
      <c r="F284" s="81">
        <v>10</v>
      </c>
      <c r="G284" s="71" t="s">
        <v>156</v>
      </c>
      <c r="H284" s="71"/>
      <c r="I284" s="71"/>
      <c r="J284" s="70">
        <f>IFERROR(VLOOKUP(Devis[[#This Row],[Ref Air Flux]],#REF!,3,FALSE),0)</f>
        <v>0</v>
      </c>
      <c r="K284" s="68"/>
      <c r="L284" s="68"/>
      <c r="M284" s="68"/>
      <c r="N284" s="68"/>
      <c r="O284" s="68"/>
      <c r="P284" s="68"/>
      <c r="Q284" s="68">
        <f>SUM(Devis[[#This Row],[Poste 1]:[Poste 6]])</f>
        <v>0</v>
      </c>
      <c r="R284" s="71"/>
      <c r="S284" s="68">
        <f>_xlfn.CEILING.MATH(Devis[[#This Row],[Quantité Totale]],Devis[[#This Row],[Conditionnement]])</f>
        <v>0</v>
      </c>
      <c r="T284" s="72"/>
      <c r="U284" s="73"/>
      <c r="V284" s="74">
        <f>Devis[[#This Row],[Prix de Revient]]*Devis[[#This Row],[Poste 1]]</f>
        <v>0</v>
      </c>
      <c r="W284" s="74">
        <f>Devis[[#This Row],[Prix de Revient]]*Devis[[#This Row],[Poste 2]]</f>
        <v>0</v>
      </c>
      <c r="X284" s="74">
        <f>Devis[[#This Row],[Prix de Revient]]*Devis[[#This Row],[Poste 3]]</f>
        <v>0</v>
      </c>
      <c r="Y284" s="74">
        <f>Devis[[#This Row],[Poste 4]]*Devis[[#This Row],[Prix de Revient]]</f>
        <v>0</v>
      </c>
      <c r="Z284" s="74">
        <f>Devis[[#This Row],[Poste 5]]*Devis[[#This Row],[Prix de Revient]]</f>
        <v>0</v>
      </c>
      <c r="AA284" s="74">
        <f>Devis[[#This Row],[Prix de Revient]]*Devis[[#This Row],[Poste 6]]</f>
        <v>0</v>
      </c>
      <c r="AB284" s="74">
        <f>Devis[[#This Row],[Quantité Totale]]*Devis[[#This Row],[Prix de Revient]]</f>
        <v>0</v>
      </c>
    </row>
    <row r="285" spans="1:28" ht="14.25" outlineLevel="1" x14ac:dyDescent="0.2">
      <c r="A285" s="75" t="s">
        <v>120</v>
      </c>
      <c r="B285" s="76" t="s">
        <v>4423</v>
      </c>
      <c r="C285" s="71" t="s">
        <v>4431</v>
      </c>
      <c r="D285" s="81" t="str">
        <f t="shared" si="5"/>
        <v>CablageCABLES RIGIDES CUIVRERO2V3G</v>
      </c>
      <c r="E285" s="76" t="s">
        <v>4434</v>
      </c>
      <c r="F285" s="81">
        <v>11</v>
      </c>
      <c r="G285" s="71" t="s">
        <v>4435</v>
      </c>
      <c r="H285" s="71"/>
      <c r="I285" s="71"/>
      <c r="J285" s="70">
        <f>IFERROR(VLOOKUP(Devis[[#This Row],[Ref Air Flux]],#REF!,3,FALSE),0)</f>
        <v>0</v>
      </c>
      <c r="K285" s="68"/>
      <c r="L285" s="68"/>
      <c r="M285" s="68"/>
      <c r="N285" s="68"/>
      <c r="O285" s="68"/>
      <c r="P285" s="68"/>
      <c r="Q285" s="68">
        <f>SUM(Devis[[#This Row],[Poste 1]:[Poste 6]])</f>
        <v>0</v>
      </c>
      <c r="R285" s="71"/>
      <c r="S285" s="68">
        <f>_xlfn.CEILING.MATH(Devis[[#This Row],[Quantité Totale]],Devis[[#This Row],[Conditionnement]])</f>
        <v>0</v>
      </c>
      <c r="T285" s="72"/>
      <c r="U285" s="73"/>
      <c r="V285" s="74">
        <f>Devis[[#This Row],[Prix de Revient]]*Devis[[#This Row],[Poste 1]]</f>
        <v>0</v>
      </c>
      <c r="W285" s="74">
        <f>Devis[[#This Row],[Prix de Revient]]*Devis[[#This Row],[Poste 2]]</f>
        <v>0</v>
      </c>
      <c r="X285" s="74">
        <f>Devis[[#This Row],[Prix de Revient]]*Devis[[#This Row],[Poste 3]]</f>
        <v>0</v>
      </c>
      <c r="Y285" s="74">
        <f>Devis[[#This Row],[Poste 4]]*Devis[[#This Row],[Prix de Revient]]</f>
        <v>0</v>
      </c>
      <c r="Z285" s="74">
        <f>Devis[[#This Row],[Poste 5]]*Devis[[#This Row],[Prix de Revient]]</f>
        <v>0</v>
      </c>
      <c r="AA285" s="74">
        <f>Devis[[#This Row],[Prix de Revient]]*Devis[[#This Row],[Poste 6]]</f>
        <v>0</v>
      </c>
      <c r="AB285" s="74">
        <f>Devis[[#This Row],[Quantité Totale]]*Devis[[#This Row],[Prix de Revient]]</f>
        <v>0</v>
      </c>
    </row>
    <row r="286" spans="1:28" ht="14.25" customHeight="1" outlineLevel="1" x14ac:dyDescent="0.2">
      <c r="A286" s="75" t="s">
        <v>120</v>
      </c>
      <c r="B286" s="76" t="s">
        <v>4423</v>
      </c>
      <c r="C286" s="71" t="s">
        <v>4436</v>
      </c>
      <c r="D286" s="81" t="str">
        <f t="shared" si="5"/>
        <v>CablageCABLES RIGIDES CUIVRERO2V4G</v>
      </c>
      <c r="E286" s="76" t="s">
        <v>4437</v>
      </c>
      <c r="F286" s="81">
        <v>12</v>
      </c>
      <c r="G286" s="71" t="s">
        <v>4438</v>
      </c>
      <c r="H286" s="71"/>
      <c r="I286" s="71"/>
      <c r="J286" s="70">
        <f>IFERROR(VLOOKUP(Devis[[#This Row],[Ref Air Flux]],#REF!,3,FALSE),0)</f>
        <v>0</v>
      </c>
      <c r="K286" s="68"/>
      <c r="L286" s="68"/>
      <c r="M286" s="68"/>
      <c r="N286" s="68"/>
      <c r="O286" s="68"/>
      <c r="P286" s="68"/>
      <c r="Q286" s="68">
        <f>SUM(Devis[[#This Row],[Poste 1]:[Poste 6]])</f>
        <v>0</v>
      </c>
      <c r="R286" s="71"/>
      <c r="S286" s="68">
        <f>_xlfn.CEILING.MATH(Devis[[#This Row],[Quantité Totale]],Devis[[#This Row],[Conditionnement]])</f>
        <v>0</v>
      </c>
      <c r="T286" s="72"/>
      <c r="U286" s="73"/>
      <c r="V286" s="74">
        <f>Devis[[#This Row],[Prix de Revient]]*Devis[[#This Row],[Poste 1]]</f>
        <v>0</v>
      </c>
      <c r="W286" s="74">
        <f>Devis[[#This Row],[Prix de Revient]]*Devis[[#This Row],[Poste 2]]</f>
        <v>0</v>
      </c>
      <c r="X286" s="74">
        <f>Devis[[#This Row],[Prix de Revient]]*Devis[[#This Row],[Poste 3]]</f>
        <v>0</v>
      </c>
      <c r="Y286" s="74">
        <f>Devis[[#This Row],[Poste 4]]*Devis[[#This Row],[Prix de Revient]]</f>
        <v>0</v>
      </c>
      <c r="Z286" s="74">
        <f>Devis[[#This Row],[Poste 5]]*Devis[[#This Row],[Prix de Revient]]</f>
        <v>0</v>
      </c>
      <c r="AA286" s="74">
        <f>Devis[[#This Row],[Prix de Revient]]*Devis[[#This Row],[Poste 6]]</f>
        <v>0</v>
      </c>
      <c r="AB286" s="74">
        <f>Devis[[#This Row],[Quantité Totale]]*Devis[[#This Row],[Prix de Revient]]</f>
        <v>0</v>
      </c>
    </row>
    <row r="287" spans="1:28" ht="14.25" outlineLevel="1" x14ac:dyDescent="0.2">
      <c r="A287" s="75" t="s">
        <v>120</v>
      </c>
      <c r="B287" s="76" t="s">
        <v>4423</v>
      </c>
      <c r="C287" s="71" t="s">
        <v>4436</v>
      </c>
      <c r="D287" s="81" t="str">
        <f t="shared" si="5"/>
        <v>CablageCABLES RIGIDES CUIVRERO2V4G</v>
      </c>
      <c r="E287" s="76" t="s">
        <v>157</v>
      </c>
      <c r="F287" s="81">
        <v>13</v>
      </c>
      <c r="G287" s="71" t="s">
        <v>158</v>
      </c>
      <c r="H287" s="79"/>
      <c r="I287" s="71"/>
      <c r="J287" s="70">
        <f>IFERROR(VLOOKUP(Devis[[#This Row],[Ref Air Flux]],#REF!,3,FALSE),0)</f>
        <v>0</v>
      </c>
      <c r="K287" s="68"/>
      <c r="L287" s="68"/>
      <c r="M287" s="68"/>
      <c r="N287" s="68"/>
      <c r="O287" s="68"/>
      <c r="P287" s="68"/>
      <c r="Q287" s="68">
        <f>SUM(Devis[[#This Row],[Poste 1]:[Poste 6]])</f>
        <v>0</v>
      </c>
      <c r="R287" s="71"/>
      <c r="S287" s="68">
        <f>_xlfn.CEILING.MATH(Devis[[#This Row],[Quantité Totale]],Devis[[#This Row],[Conditionnement]])</f>
        <v>0</v>
      </c>
      <c r="T287" s="72"/>
      <c r="U287" s="73"/>
      <c r="V287" s="74">
        <f>Devis[[#This Row],[Prix de Revient]]*Devis[[#This Row],[Poste 1]]</f>
        <v>0</v>
      </c>
      <c r="W287" s="74">
        <f>Devis[[#This Row],[Prix de Revient]]*Devis[[#This Row],[Poste 2]]</f>
        <v>0</v>
      </c>
      <c r="X287" s="74">
        <f>Devis[[#This Row],[Prix de Revient]]*Devis[[#This Row],[Poste 3]]</f>
        <v>0</v>
      </c>
      <c r="Y287" s="74">
        <f>Devis[[#This Row],[Poste 4]]*Devis[[#This Row],[Prix de Revient]]</f>
        <v>0</v>
      </c>
      <c r="Z287" s="74">
        <f>Devis[[#This Row],[Poste 5]]*Devis[[#This Row],[Prix de Revient]]</f>
        <v>0</v>
      </c>
      <c r="AA287" s="74">
        <f>Devis[[#This Row],[Prix de Revient]]*Devis[[#This Row],[Poste 6]]</f>
        <v>0</v>
      </c>
      <c r="AB287" s="74">
        <f>Devis[[#This Row],[Quantité Totale]]*Devis[[#This Row],[Prix de Revient]]</f>
        <v>0</v>
      </c>
    </row>
    <row r="288" spans="1:28" ht="14.25" outlineLevel="1" x14ac:dyDescent="0.2">
      <c r="A288" s="75" t="s">
        <v>120</v>
      </c>
      <c r="B288" s="76" t="s">
        <v>4423</v>
      </c>
      <c r="C288" s="71" t="s">
        <v>4436</v>
      </c>
      <c r="D288" s="81" t="str">
        <f t="shared" si="5"/>
        <v>CablageCABLES RIGIDES CUIVRERO2V4G</v>
      </c>
      <c r="E288" s="76" t="s">
        <v>159</v>
      </c>
      <c r="F288" s="81">
        <v>14</v>
      </c>
      <c r="G288" s="71" t="s">
        <v>160</v>
      </c>
      <c r="H288" s="79"/>
      <c r="I288" s="71"/>
      <c r="J288" s="70">
        <f>IFERROR(VLOOKUP(Devis[[#This Row],[Ref Air Flux]],#REF!,3,FALSE),0)</f>
        <v>0</v>
      </c>
      <c r="K288" s="68"/>
      <c r="L288" s="68"/>
      <c r="M288" s="68"/>
      <c r="N288" s="68"/>
      <c r="O288" s="68"/>
      <c r="P288" s="68"/>
      <c r="Q288" s="68">
        <f>SUM(Devis[[#This Row],[Poste 1]:[Poste 6]])</f>
        <v>0</v>
      </c>
      <c r="R288" s="71"/>
      <c r="S288" s="68">
        <f>_xlfn.CEILING.MATH(Devis[[#This Row],[Quantité Totale]],Devis[[#This Row],[Conditionnement]])</f>
        <v>0</v>
      </c>
      <c r="T288" s="72"/>
      <c r="U288" s="73"/>
      <c r="V288" s="74">
        <f>Devis[[#This Row],[Prix de Revient]]*Devis[[#This Row],[Poste 1]]</f>
        <v>0</v>
      </c>
      <c r="W288" s="74">
        <f>Devis[[#This Row],[Prix de Revient]]*Devis[[#This Row],[Poste 2]]</f>
        <v>0</v>
      </c>
      <c r="X288" s="74">
        <f>Devis[[#This Row],[Prix de Revient]]*Devis[[#This Row],[Poste 3]]</f>
        <v>0</v>
      </c>
      <c r="Y288" s="74">
        <f>Devis[[#This Row],[Poste 4]]*Devis[[#This Row],[Prix de Revient]]</f>
        <v>0</v>
      </c>
      <c r="Z288" s="74">
        <f>Devis[[#This Row],[Poste 5]]*Devis[[#This Row],[Prix de Revient]]</f>
        <v>0</v>
      </c>
      <c r="AA288" s="74">
        <f>Devis[[#This Row],[Prix de Revient]]*Devis[[#This Row],[Poste 6]]</f>
        <v>0</v>
      </c>
      <c r="AB288" s="74">
        <f>Devis[[#This Row],[Quantité Totale]]*Devis[[#This Row],[Prix de Revient]]</f>
        <v>0</v>
      </c>
    </row>
    <row r="289" spans="1:28" ht="14.25" outlineLevel="1" x14ac:dyDescent="0.2">
      <c r="A289" s="75" t="s">
        <v>120</v>
      </c>
      <c r="B289" s="76" t="s">
        <v>4423</v>
      </c>
      <c r="C289" s="71" t="s">
        <v>4436</v>
      </c>
      <c r="D289" s="81" t="str">
        <f t="shared" si="5"/>
        <v>CablageCABLES RIGIDES CUIVRERO2V4G</v>
      </c>
      <c r="E289" s="76" t="s">
        <v>161</v>
      </c>
      <c r="F289" s="81">
        <v>15</v>
      </c>
      <c r="G289" s="71" t="s">
        <v>162</v>
      </c>
      <c r="H289" s="79"/>
      <c r="I289" s="71"/>
      <c r="J289" s="70">
        <f>IFERROR(VLOOKUP(Devis[[#This Row],[Ref Air Flux]],#REF!,3,FALSE),0)</f>
        <v>0</v>
      </c>
      <c r="K289" s="68"/>
      <c r="L289" s="68"/>
      <c r="M289" s="68"/>
      <c r="N289" s="68"/>
      <c r="O289" s="68"/>
      <c r="P289" s="68"/>
      <c r="Q289" s="68">
        <f>SUM(Devis[[#This Row],[Poste 1]:[Poste 6]])</f>
        <v>0</v>
      </c>
      <c r="R289" s="71"/>
      <c r="S289" s="68">
        <f>_xlfn.CEILING.MATH(Devis[[#This Row],[Quantité Totale]],Devis[[#This Row],[Conditionnement]])</f>
        <v>0</v>
      </c>
      <c r="T289" s="72"/>
      <c r="U289" s="73"/>
      <c r="V289" s="74">
        <f>Devis[[#This Row],[Prix de Revient]]*Devis[[#This Row],[Poste 1]]</f>
        <v>0</v>
      </c>
      <c r="W289" s="74">
        <f>Devis[[#This Row],[Prix de Revient]]*Devis[[#This Row],[Poste 2]]</f>
        <v>0</v>
      </c>
      <c r="X289" s="74">
        <f>Devis[[#This Row],[Prix de Revient]]*Devis[[#This Row],[Poste 3]]</f>
        <v>0</v>
      </c>
      <c r="Y289" s="74">
        <f>Devis[[#This Row],[Poste 4]]*Devis[[#This Row],[Prix de Revient]]</f>
        <v>0</v>
      </c>
      <c r="Z289" s="74">
        <f>Devis[[#This Row],[Poste 5]]*Devis[[#This Row],[Prix de Revient]]</f>
        <v>0</v>
      </c>
      <c r="AA289" s="74">
        <f>Devis[[#This Row],[Prix de Revient]]*Devis[[#This Row],[Poste 6]]</f>
        <v>0</v>
      </c>
      <c r="AB289" s="74">
        <f>Devis[[#This Row],[Quantité Totale]]*Devis[[#This Row],[Prix de Revient]]</f>
        <v>0</v>
      </c>
    </row>
    <row r="290" spans="1:28" ht="14.25" outlineLevel="1" x14ac:dyDescent="0.2">
      <c r="A290" s="75" t="s">
        <v>120</v>
      </c>
      <c r="B290" s="76" t="s">
        <v>4423</v>
      </c>
      <c r="C290" s="71" t="s">
        <v>4436</v>
      </c>
      <c r="D290" s="81" t="str">
        <f t="shared" ref="D290:D353" si="6">A290&amp;B290&amp;C290</f>
        <v>CablageCABLES RIGIDES CUIVRERO2V4G</v>
      </c>
      <c r="E290" s="76" t="s">
        <v>163</v>
      </c>
      <c r="F290" s="81">
        <v>16</v>
      </c>
      <c r="G290" s="71" t="s">
        <v>164</v>
      </c>
      <c r="H290" s="79"/>
      <c r="I290" s="71"/>
      <c r="J290" s="70">
        <f>IFERROR(VLOOKUP(Devis[[#This Row],[Ref Air Flux]],#REF!,3,FALSE),0)</f>
        <v>0</v>
      </c>
      <c r="K290" s="68"/>
      <c r="L290" s="68"/>
      <c r="M290" s="68"/>
      <c r="N290" s="68"/>
      <c r="O290" s="68"/>
      <c r="P290" s="68"/>
      <c r="Q290" s="68">
        <f>SUM(Devis[[#This Row],[Poste 1]:[Poste 6]])</f>
        <v>0</v>
      </c>
      <c r="R290" s="71"/>
      <c r="S290" s="68">
        <f>_xlfn.CEILING.MATH(Devis[[#This Row],[Quantité Totale]],Devis[[#This Row],[Conditionnement]])</f>
        <v>0</v>
      </c>
      <c r="T290" s="72"/>
      <c r="U290" s="73"/>
      <c r="V290" s="74">
        <f>Devis[[#This Row],[Prix de Revient]]*Devis[[#This Row],[Poste 1]]</f>
        <v>0</v>
      </c>
      <c r="W290" s="74">
        <f>Devis[[#This Row],[Prix de Revient]]*Devis[[#This Row],[Poste 2]]</f>
        <v>0</v>
      </c>
      <c r="X290" s="74">
        <f>Devis[[#This Row],[Prix de Revient]]*Devis[[#This Row],[Poste 3]]</f>
        <v>0</v>
      </c>
      <c r="Y290" s="74">
        <f>Devis[[#This Row],[Poste 4]]*Devis[[#This Row],[Prix de Revient]]</f>
        <v>0</v>
      </c>
      <c r="Z290" s="74">
        <f>Devis[[#This Row],[Poste 5]]*Devis[[#This Row],[Prix de Revient]]</f>
        <v>0</v>
      </c>
      <c r="AA290" s="74">
        <f>Devis[[#This Row],[Prix de Revient]]*Devis[[#This Row],[Poste 6]]</f>
        <v>0</v>
      </c>
      <c r="AB290" s="74">
        <f>Devis[[#This Row],[Quantité Totale]]*Devis[[#This Row],[Prix de Revient]]</f>
        <v>0</v>
      </c>
    </row>
    <row r="291" spans="1:28" ht="14.25" outlineLevel="1" x14ac:dyDescent="0.2">
      <c r="A291" s="75" t="s">
        <v>120</v>
      </c>
      <c r="B291" s="76" t="s">
        <v>4423</v>
      </c>
      <c r="C291" s="71" t="s">
        <v>4439</v>
      </c>
      <c r="D291" s="81" t="str">
        <f t="shared" si="6"/>
        <v>CablageCABLES RIGIDES CUIVRERO2V5G</v>
      </c>
      <c r="E291" s="76" t="s">
        <v>165</v>
      </c>
      <c r="F291" s="81">
        <v>17</v>
      </c>
      <c r="G291" s="71" t="s">
        <v>166</v>
      </c>
      <c r="H291" s="79"/>
      <c r="I291" s="71"/>
      <c r="J291" s="70">
        <f>IFERROR(VLOOKUP(Devis[[#This Row],[Ref Air Flux]],#REF!,3,FALSE),0)</f>
        <v>0</v>
      </c>
      <c r="K291" s="68"/>
      <c r="L291" s="68"/>
      <c r="M291" s="68"/>
      <c r="N291" s="68"/>
      <c r="O291" s="68"/>
      <c r="P291" s="68"/>
      <c r="Q291" s="68">
        <f>SUM(Devis[[#This Row],[Poste 1]:[Poste 6]])</f>
        <v>0</v>
      </c>
      <c r="R291" s="71"/>
      <c r="S291" s="68">
        <f>_xlfn.CEILING.MATH(Devis[[#This Row],[Quantité Totale]],Devis[[#This Row],[Conditionnement]])</f>
        <v>0</v>
      </c>
      <c r="T291" s="72"/>
      <c r="U291" s="73"/>
      <c r="V291" s="74">
        <f>Devis[[#This Row],[Prix de Revient]]*Devis[[#This Row],[Poste 1]]</f>
        <v>0</v>
      </c>
      <c r="W291" s="74">
        <f>Devis[[#This Row],[Prix de Revient]]*Devis[[#This Row],[Poste 2]]</f>
        <v>0</v>
      </c>
      <c r="X291" s="74">
        <f>Devis[[#This Row],[Prix de Revient]]*Devis[[#This Row],[Poste 3]]</f>
        <v>0</v>
      </c>
      <c r="Y291" s="74">
        <f>Devis[[#This Row],[Poste 4]]*Devis[[#This Row],[Prix de Revient]]</f>
        <v>0</v>
      </c>
      <c r="Z291" s="74">
        <f>Devis[[#This Row],[Poste 5]]*Devis[[#This Row],[Prix de Revient]]</f>
        <v>0</v>
      </c>
      <c r="AA291" s="74">
        <f>Devis[[#This Row],[Prix de Revient]]*Devis[[#This Row],[Poste 6]]</f>
        <v>0</v>
      </c>
      <c r="AB291" s="74">
        <f>Devis[[#This Row],[Quantité Totale]]*Devis[[#This Row],[Prix de Revient]]</f>
        <v>0</v>
      </c>
    </row>
    <row r="292" spans="1:28" ht="14.25" outlineLevel="1" x14ac:dyDescent="0.2">
      <c r="A292" s="75" t="s">
        <v>120</v>
      </c>
      <c r="B292" s="76" t="s">
        <v>4423</v>
      </c>
      <c r="C292" s="71" t="s">
        <v>4436</v>
      </c>
      <c r="D292" s="81" t="str">
        <f t="shared" si="6"/>
        <v>CablageCABLES RIGIDES CUIVRERO2V4G</v>
      </c>
      <c r="E292" s="76" t="s">
        <v>167</v>
      </c>
      <c r="F292" s="81">
        <v>18</v>
      </c>
      <c r="G292" s="71" t="s">
        <v>168</v>
      </c>
      <c r="H292" s="79"/>
      <c r="I292" s="71"/>
      <c r="J292" s="70">
        <f>IFERROR(VLOOKUP(Devis[[#This Row],[Ref Air Flux]],#REF!,3,FALSE),0)</f>
        <v>0</v>
      </c>
      <c r="K292" s="68"/>
      <c r="L292" s="68"/>
      <c r="M292" s="68"/>
      <c r="N292" s="68"/>
      <c r="O292" s="68"/>
      <c r="P292" s="68"/>
      <c r="Q292" s="68">
        <f>SUM(Devis[[#This Row],[Poste 1]:[Poste 6]])</f>
        <v>0</v>
      </c>
      <c r="R292" s="71"/>
      <c r="S292" s="68">
        <f>_xlfn.CEILING.MATH(Devis[[#This Row],[Quantité Totale]],Devis[[#This Row],[Conditionnement]])</f>
        <v>0</v>
      </c>
      <c r="T292" s="72"/>
      <c r="U292" s="73"/>
      <c r="V292" s="74">
        <f>Devis[[#This Row],[Prix de Revient]]*Devis[[#This Row],[Poste 1]]</f>
        <v>0</v>
      </c>
      <c r="W292" s="74">
        <f>Devis[[#This Row],[Prix de Revient]]*Devis[[#This Row],[Poste 2]]</f>
        <v>0</v>
      </c>
      <c r="X292" s="74">
        <f>Devis[[#This Row],[Prix de Revient]]*Devis[[#This Row],[Poste 3]]</f>
        <v>0</v>
      </c>
      <c r="Y292" s="74">
        <f>Devis[[#This Row],[Poste 4]]*Devis[[#This Row],[Prix de Revient]]</f>
        <v>0</v>
      </c>
      <c r="Z292" s="74">
        <f>Devis[[#This Row],[Poste 5]]*Devis[[#This Row],[Prix de Revient]]</f>
        <v>0</v>
      </c>
      <c r="AA292" s="74">
        <f>Devis[[#This Row],[Prix de Revient]]*Devis[[#This Row],[Poste 6]]</f>
        <v>0</v>
      </c>
      <c r="AB292" s="74">
        <f>Devis[[#This Row],[Quantité Totale]]*Devis[[#This Row],[Prix de Revient]]</f>
        <v>0</v>
      </c>
    </row>
    <row r="293" spans="1:28" ht="14.25" outlineLevel="1" x14ac:dyDescent="0.2">
      <c r="A293" s="75" t="s">
        <v>120</v>
      </c>
      <c r="B293" s="76" t="s">
        <v>4423</v>
      </c>
      <c r="C293" s="71" t="s">
        <v>4436</v>
      </c>
      <c r="D293" s="81" t="str">
        <f t="shared" si="6"/>
        <v>CablageCABLES RIGIDES CUIVRERO2V4G</v>
      </c>
      <c r="E293" s="76" t="s">
        <v>169</v>
      </c>
      <c r="F293" s="81">
        <v>19</v>
      </c>
      <c r="G293" s="71" t="s">
        <v>170</v>
      </c>
      <c r="H293" s="79"/>
      <c r="I293" s="71"/>
      <c r="J293" s="70">
        <f>IFERROR(VLOOKUP(Devis[[#This Row],[Ref Air Flux]],#REF!,3,FALSE),0)</f>
        <v>0</v>
      </c>
      <c r="K293" s="68"/>
      <c r="L293" s="68"/>
      <c r="M293" s="68"/>
      <c r="N293" s="68"/>
      <c r="O293" s="68"/>
      <c r="P293" s="68"/>
      <c r="Q293" s="68">
        <f>SUM(Devis[[#This Row],[Poste 1]:[Poste 6]])</f>
        <v>0</v>
      </c>
      <c r="R293" s="71"/>
      <c r="S293" s="68">
        <f>_xlfn.CEILING.MATH(Devis[[#This Row],[Quantité Totale]],Devis[[#This Row],[Conditionnement]])</f>
        <v>0</v>
      </c>
      <c r="T293" s="72"/>
      <c r="U293" s="73"/>
      <c r="V293" s="74">
        <f>Devis[[#This Row],[Prix de Revient]]*Devis[[#This Row],[Poste 1]]</f>
        <v>0</v>
      </c>
      <c r="W293" s="74">
        <f>Devis[[#This Row],[Prix de Revient]]*Devis[[#This Row],[Poste 2]]</f>
        <v>0</v>
      </c>
      <c r="X293" s="74">
        <f>Devis[[#This Row],[Prix de Revient]]*Devis[[#This Row],[Poste 3]]</f>
        <v>0</v>
      </c>
      <c r="Y293" s="74">
        <f>Devis[[#This Row],[Poste 4]]*Devis[[#This Row],[Prix de Revient]]</f>
        <v>0</v>
      </c>
      <c r="Z293" s="74">
        <f>Devis[[#This Row],[Poste 5]]*Devis[[#This Row],[Prix de Revient]]</f>
        <v>0</v>
      </c>
      <c r="AA293" s="74">
        <f>Devis[[#This Row],[Prix de Revient]]*Devis[[#This Row],[Poste 6]]</f>
        <v>0</v>
      </c>
      <c r="AB293" s="74">
        <f>Devis[[#This Row],[Quantité Totale]]*Devis[[#This Row],[Prix de Revient]]</f>
        <v>0</v>
      </c>
    </row>
    <row r="294" spans="1:28" ht="14.25" outlineLevel="1" x14ac:dyDescent="0.2">
      <c r="A294" s="75" t="s">
        <v>120</v>
      </c>
      <c r="B294" s="76" t="s">
        <v>4423</v>
      </c>
      <c r="C294" s="71" t="s">
        <v>4439</v>
      </c>
      <c r="D294" s="81" t="str">
        <f t="shared" si="6"/>
        <v>CablageCABLES RIGIDES CUIVRERO2V5G</v>
      </c>
      <c r="E294" s="76" t="s">
        <v>171</v>
      </c>
      <c r="F294" s="81">
        <v>20</v>
      </c>
      <c r="G294" s="71" t="s">
        <v>172</v>
      </c>
      <c r="H294" s="79"/>
      <c r="I294" s="71"/>
      <c r="J294" s="70">
        <f>IFERROR(VLOOKUP(Devis[[#This Row],[Ref Air Flux]],#REF!,3,FALSE),0)</f>
        <v>0</v>
      </c>
      <c r="K294" s="68"/>
      <c r="L294" s="68"/>
      <c r="M294" s="68"/>
      <c r="N294" s="68"/>
      <c r="O294" s="68"/>
      <c r="P294" s="68"/>
      <c r="Q294" s="68">
        <f>SUM(Devis[[#This Row],[Poste 1]:[Poste 6]])</f>
        <v>0</v>
      </c>
      <c r="R294" s="71"/>
      <c r="S294" s="68">
        <f>_xlfn.CEILING.MATH(Devis[[#This Row],[Quantité Totale]],Devis[[#This Row],[Conditionnement]])</f>
        <v>0</v>
      </c>
      <c r="T294" s="72"/>
      <c r="U294" s="73"/>
      <c r="V294" s="74">
        <f>Devis[[#This Row],[Prix de Revient]]*Devis[[#This Row],[Poste 1]]</f>
        <v>0</v>
      </c>
      <c r="W294" s="74">
        <f>Devis[[#This Row],[Prix de Revient]]*Devis[[#This Row],[Poste 2]]</f>
        <v>0</v>
      </c>
      <c r="X294" s="74">
        <f>Devis[[#This Row],[Prix de Revient]]*Devis[[#This Row],[Poste 3]]</f>
        <v>0</v>
      </c>
      <c r="Y294" s="74">
        <f>Devis[[#This Row],[Poste 4]]*Devis[[#This Row],[Prix de Revient]]</f>
        <v>0</v>
      </c>
      <c r="Z294" s="74">
        <f>Devis[[#This Row],[Poste 5]]*Devis[[#This Row],[Prix de Revient]]</f>
        <v>0</v>
      </c>
      <c r="AA294" s="74">
        <f>Devis[[#This Row],[Prix de Revient]]*Devis[[#This Row],[Poste 6]]</f>
        <v>0</v>
      </c>
      <c r="AB294" s="74">
        <f>Devis[[#This Row],[Quantité Totale]]*Devis[[#This Row],[Prix de Revient]]</f>
        <v>0</v>
      </c>
    </row>
    <row r="295" spans="1:28" ht="14.25" customHeight="1" outlineLevel="1" x14ac:dyDescent="0.2">
      <c r="A295" s="75" t="s">
        <v>120</v>
      </c>
      <c r="B295" s="76" t="s">
        <v>4423</v>
      </c>
      <c r="C295" s="71" t="s">
        <v>4436</v>
      </c>
      <c r="D295" s="81" t="str">
        <f t="shared" si="6"/>
        <v>CablageCABLES RIGIDES CUIVRERO2V4G</v>
      </c>
      <c r="E295" s="76" t="s">
        <v>173</v>
      </c>
      <c r="F295" s="81">
        <v>21</v>
      </c>
      <c r="G295" s="71" t="s">
        <v>174</v>
      </c>
      <c r="H295" s="79"/>
      <c r="I295" s="71"/>
      <c r="J295" s="70">
        <f>IFERROR(VLOOKUP(Devis[[#This Row],[Ref Air Flux]],#REF!,3,FALSE),0)</f>
        <v>0</v>
      </c>
      <c r="K295" s="68"/>
      <c r="L295" s="68"/>
      <c r="M295" s="68"/>
      <c r="N295" s="68"/>
      <c r="O295" s="68"/>
      <c r="P295" s="68"/>
      <c r="Q295" s="68">
        <f>SUM(Devis[[#This Row],[Poste 1]:[Poste 6]])</f>
        <v>0</v>
      </c>
      <c r="R295" s="71"/>
      <c r="S295" s="68">
        <f>_xlfn.CEILING.MATH(Devis[[#This Row],[Quantité Totale]],Devis[[#This Row],[Conditionnement]])</f>
        <v>0</v>
      </c>
      <c r="T295" s="72"/>
      <c r="U295" s="73"/>
      <c r="V295" s="74">
        <f>Devis[[#This Row],[Prix de Revient]]*Devis[[#This Row],[Poste 1]]</f>
        <v>0</v>
      </c>
      <c r="W295" s="74">
        <f>Devis[[#This Row],[Prix de Revient]]*Devis[[#This Row],[Poste 2]]</f>
        <v>0</v>
      </c>
      <c r="X295" s="74">
        <f>Devis[[#This Row],[Prix de Revient]]*Devis[[#This Row],[Poste 3]]</f>
        <v>0</v>
      </c>
      <c r="Y295" s="74">
        <f>Devis[[#This Row],[Poste 4]]*Devis[[#This Row],[Prix de Revient]]</f>
        <v>0</v>
      </c>
      <c r="Z295" s="74">
        <f>Devis[[#This Row],[Poste 5]]*Devis[[#This Row],[Prix de Revient]]</f>
        <v>0</v>
      </c>
      <c r="AA295" s="74">
        <f>Devis[[#This Row],[Prix de Revient]]*Devis[[#This Row],[Poste 6]]</f>
        <v>0</v>
      </c>
      <c r="AB295" s="74">
        <f>Devis[[#This Row],[Quantité Totale]]*Devis[[#This Row],[Prix de Revient]]</f>
        <v>0</v>
      </c>
    </row>
    <row r="296" spans="1:28" ht="14.25" outlineLevel="1" x14ac:dyDescent="0.2">
      <c r="A296" s="75" t="s">
        <v>120</v>
      </c>
      <c r="B296" s="76" t="s">
        <v>4423</v>
      </c>
      <c r="C296" s="71" t="s">
        <v>4436</v>
      </c>
      <c r="D296" s="81" t="str">
        <f t="shared" si="6"/>
        <v>CablageCABLES RIGIDES CUIVRERO2V4G</v>
      </c>
      <c r="E296" s="76" t="s">
        <v>175</v>
      </c>
      <c r="F296" s="81">
        <v>22</v>
      </c>
      <c r="G296" s="71" t="s">
        <v>176</v>
      </c>
      <c r="H296" s="79"/>
      <c r="I296" s="71"/>
      <c r="J296" s="70">
        <f>IFERROR(VLOOKUP(Devis[[#This Row],[Ref Air Flux]],#REF!,3,FALSE),0)</f>
        <v>0</v>
      </c>
      <c r="K296" s="68"/>
      <c r="L296" s="68"/>
      <c r="M296" s="68"/>
      <c r="N296" s="68"/>
      <c r="O296" s="68"/>
      <c r="P296" s="68"/>
      <c r="Q296" s="68">
        <f>SUM(Devis[[#This Row],[Poste 1]:[Poste 6]])</f>
        <v>0</v>
      </c>
      <c r="R296" s="71"/>
      <c r="S296" s="68">
        <f>_xlfn.CEILING.MATH(Devis[[#This Row],[Quantité Totale]],Devis[[#This Row],[Conditionnement]])</f>
        <v>0</v>
      </c>
      <c r="T296" s="72"/>
      <c r="U296" s="73"/>
      <c r="V296" s="74">
        <f>Devis[[#This Row],[Prix de Revient]]*Devis[[#This Row],[Poste 1]]</f>
        <v>0</v>
      </c>
      <c r="W296" s="74">
        <f>Devis[[#This Row],[Prix de Revient]]*Devis[[#This Row],[Poste 2]]</f>
        <v>0</v>
      </c>
      <c r="X296" s="74">
        <f>Devis[[#This Row],[Prix de Revient]]*Devis[[#This Row],[Poste 3]]</f>
        <v>0</v>
      </c>
      <c r="Y296" s="74">
        <f>Devis[[#This Row],[Poste 4]]*Devis[[#This Row],[Prix de Revient]]</f>
        <v>0</v>
      </c>
      <c r="Z296" s="74">
        <f>Devis[[#This Row],[Poste 5]]*Devis[[#This Row],[Prix de Revient]]</f>
        <v>0</v>
      </c>
      <c r="AA296" s="74">
        <f>Devis[[#This Row],[Prix de Revient]]*Devis[[#This Row],[Poste 6]]</f>
        <v>0</v>
      </c>
      <c r="AB296" s="74">
        <f>Devis[[#This Row],[Quantité Totale]]*Devis[[#This Row],[Prix de Revient]]</f>
        <v>0</v>
      </c>
    </row>
    <row r="297" spans="1:28" ht="14.25" outlineLevel="1" x14ac:dyDescent="0.2">
      <c r="A297" s="75" t="s">
        <v>120</v>
      </c>
      <c r="B297" s="76" t="s">
        <v>4423</v>
      </c>
      <c r="C297" s="71" t="s">
        <v>4436</v>
      </c>
      <c r="D297" s="81" t="str">
        <f t="shared" si="6"/>
        <v>CablageCABLES RIGIDES CUIVRERO2V4G</v>
      </c>
      <c r="E297" s="76" t="s">
        <v>177</v>
      </c>
      <c r="F297" s="81">
        <v>23</v>
      </c>
      <c r="G297" s="71" t="s">
        <v>178</v>
      </c>
      <c r="H297" s="79"/>
      <c r="I297" s="71"/>
      <c r="J297" s="70">
        <f>IFERROR(VLOOKUP(Devis[[#This Row],[Ref Air Flux]],#REF!,3,FALSE),0)</f>
        <v>0</v>
      </c>
      <c r="K297" s="68"/>
      <c r="L297" s="68"/>
      <c r="M297" s="68"/>
      <c r="N297" s="68"/>
      <c r="O297" s="68"/>
      <c r="P297" s="68"/>
      <c r="Q297" s="68">
        <f>SUM(Devis[[#This Row],[Poste 1]:[Poste 6]])</f>
        <v>0</v>
      </c>
      <c r="R297" s="71"/>
      <c r="S297" s="68">
        <f>_xlfn.CEILING.MATH(Devis[[#This Row],[Quantité Totale]],Devis[[#This Row],[Conditionnement]])</f>
        <v>0</v>
      </c>
      <c r="T297" s="72"/>
      <c r="U297" s="73"/>
      <c r="V297" s="74">
        <f>Devis[[#This Row],[Prix de Revient]]*Devis[[#This Row],[Poste 1]]</f>
        <v>0</v>
      </c>
      <c r="W297" s="74">
        <f>Devis[[#This Row],[Prix de Revient]]*Devis[[#This Row],[Poste 2]]</f>
        <v>0</v>
      </c>
      <c r="X297" s="74">
        <f>Devis[[#This Row],[Prix de Revient]]*Devis[[#This Row],[Poste 3]]</f>
        <v>0</v>
      </c>
      <c r="Y297" s="74">
        <f>Devis[[#This Row],[Poste 4]]*Devis[[#This Row],[Prix de Revient]]</f>
        <v>0</v>
      </c>
      <c r="Z297" s="74">
        <f>Devis[[#This Row],[Poste 5]]*Devis[[#This Row],[Prix de Revient]]</f>
        <v>0</v>
      </c>
      <c r="AA297" s="74">
        <f>Devis[[#This Row],[Prix de Revient]]*Devis[[#This Row],[Poste 6]]</f>
        <v>0</v>
      </c>
      <c r="AB297" s="74">
        <f>Devis[[#This Row],[Quantité Totale]]*Devis[[#This Row],[Prix de Revient]]</f>
        <v>0</v>
      </c>
    </row>
    <row r="298" spans="1:28" ht="14.25" customHeight="1" x14ac:dyDescent="0.25">
      <c r="A298" s="65" t="s">
        <v>120</v>
      </c>
      <c r="B298" s="65" t="s">
        <v>4521</v>
      </c>
      <c r="C298" s="76"/>
      <c r="D298" s="81" t="str">
        <f t="shared" si="6"/>
        <v>CablageCABLES SOUPLE BLINDE</v>
      </c>
      <c r="E298" s="76"/>
      <c r="F298" s="81">
        <v>0</v>
      </c>
      <c r="G298" s="71"/>
      <c r="H298" s="71"/>
      <c r="I298" s="71"/>
      <c r="J298" s="70">
        <f>IFERROR(VLOOKUP(Devis[[#This Row],[Ref Air Flux]],#REF!,3,FALSE),0)</f>
        <v>0</v>
      </c>
      <c r="K298" s="68"/>
      <c r="L298" s="68"/>
      <c r="M298" s="68"/>
      <c r="N298" s="68"/>
      <c r="O298" s="68"/>
      <c r="P298" s="68"/>
      <c r="Q298" s="68">
        <f>SUM(Devis[[#This Row],[Poste 1]:[Poste 6]])</f>
        <v>0</v>
      </c>
      <c r="R298" s="71"/>
      <c r="S298" s="68">
        <f>_xlfn.CEILING.MATH(Devis[[#This Row],[Quantité Totale]],Devis[[#This Row],[Conditionnement]])</f>
        <v>0</v>
      </c>
      <c r="T298" s="72"/>
      <c r="U298" s="73"/>
      <c r="V298" s="74">
        <f>Devis[[#This Row],[Prix de Revient]]*Devis[[#This Row],[Poste 1]]</f>
        <v>0</v>
      </c>
      <c r="W298" s="74">
        <f>Devis[[#This Row],[Prix de Revient]]*Devis[[#This Row],[Poste 2]]</f>
        <v>0</v>
      </c>
      <c r="X298" s="74">
        <f>Devis[[#This Row],[Prix de Revient]]*Devis[[#This Row],[Poste 3]]</f>
        <v>0</v>
      </c>
      <c r="Y298" s="74">
        <f>Devis[[#This Row],[Poste 4]]*Devis[[#This Row],[Prix de Revient]]</f>
        <v>0</v>
      </c>
      <c r="Z298" s="74">
        <f>Devis[[#This Row],[Poste 5]]*Devis[[#This Row],[Prix de Revient]]</f>
        <v>0</v>
      </c>
      <c r="AA298" s="74">
        <f>Devis[[#This Row],[Prix de Revient]]*Devis[[#This Row],[Poste 6]]</f>
        <v>0</v>
      </c>
      <c r="AB298" s="74">
        <f>Devis[[#This Row],[Quantité Totale]]*Devis[[#This Row],[Prix de Revient]]</f>
        <v>0</v>
      </c>
    </row>
    <row r="299" spans="1:28" ht="15" customHeight="1" outlineLevel="1" x14ac:dyDescent="0.2">
      <c r="A299" s="75" t="s">
        <v>120</v>
      </c>
      <c r="B299" s="76" t="s">
        <v>4521</v>
      </c>
      <c r="C299" s="71" t="s">
        <v>4444</v>
      </c>
      <c r="D299" s="81" t="str">
        <f t="shared" si="6"/>
        <v>CablageCABLES SOUPLE BLINDE2X</v>
      </c>
      <c r="E299" s="76" t="s">
        <v>4522</v>
      </c>
      <c r="F299" s="81">
        <v>1</v>
      </c>
      <c r="G299" s="71" t="s">
        <v>4523</v>
      </c>
      <c r="H299" s="79"/>
      <c r="I299" s="71"/>
      <c r="J299" s="70">
        <f>IFERROR(VLOOKUP(Devis[[#This Row],[Ref Air Flux]],#REF!,3,FALSE),0)</f>
        <v>0</v>
      </c>
      <c r="K299" s="68"/>
      <c r="L299" s="68"/>
      <c r="M299" s="68"/>
      <c r="N299" s="68"/>
      <c r="O299" s="68"/>
      <c r="P299" s="68"/>
      <c r="Q299" s="68">
        <f>SUM(Devis[[#This Row],[Poste 1]:[Poste 6]])</f>
        <v>0</v>
      </c>
      <c r="R299" s="71"/>
      <c r="S299" s="68">
        <f>_xlfn.CEILING.MATH(Devis[[#This Row],[Quantité Totale]],Devis[[#This Row],[Conditionnement]])</f>
        <v>0</v>
      </c>
      <c r="T299" s="72"/>
      <c r="U299" s="73"/>
      <c r="V299" s="74">
        <f>Devis[[#This Row],[Prix de Revient]]*Devis[[#This Row],[Poste 1]]</f>
        <v>0</v>
      </c>
      <c r="W299" s="74">
        <f>Devis[[#This Row],[Prix de Revient]]*Devis[[#This Row],[Poste 2]]</f>
        <v>0</v>
      </c>
      <c r="X299" s="74">
        <f>Devis[[#This Row],[Prix de Revient]]*Devis[[#This Row],[Poste 3]]</f>
        <v>0</v>
      </c>
      <c r="Y299" s="74">
        <f>Devis[[#This Row],[Poste 4]]*Devis[[#This Row],[Prix de Revient]]</f>
        <v>0</v>
      </c>
      <c r="Z299" s="74">
        <f>Devis[[#This Row],[Poste 5]]*Devis[[#This Row],[Prix de Revient]]</f>
        <v>0</v>
      </c>
      <c r="AA299" s="74">
        <f>Devis[[#This Row],[Prix de Revient]]*Devis[[#This Row],[Poste 6]]</f>
        <v>0</v>
      </c>
      <c r="AB299" s="74">
        <f>Devis[[#This Row],[Quantité Totale]]*Devis[[#This Row],[Prix de Revient]]</f>
        <v>0</v>
      </c>
    </row>
    <row r="300" spans="1:28" ht="14.25" outlineLevel="1" x14ac:dyDescent="0.2">
      <c r="A300" s="75" t="s">
        <v>120</v>
      </c>
      <c r="B300" s="76" t="s">
        <v>4521</v>
      </c>
      <c r="C300" s="71" t="s">
        <v>4444</v>
      </c>
      <c r="D300" s="81" t="str">
        <f t="shared" si="6"/>
        <v>CablageCABLES SOUPLE BLINDE2X</v>
      </c>
      <c r="E300" s="76" t="s">
        <v>250</v>
      </c>
      <c r="F300" s="81">
        <v>2</v>
      </c>
      <c r="G300" s="71" t="s">
        <v>185</v>
      </c>
      <c r="H300" s="79"/>
      <c r="I300" s="71"/>
      <c r="J300" s="70">
        <f>IFERROR(VLOOKUP(Devis[[#This Row],[Ref Air Flux]],#REF!,3,FALSE),0)</f>
        <v>0</v>
      </c>
      <c r="K300" s="68"/>
      <c r="L300" s="68"/>
      <c r="M300" s="68"/>
      <c r="N300" s="68"/>
      <c r="O300" s="68"/>
      <c r="P300" s="68"/>
      <c r="Q300" s="68">
        <f>SUM(Devis[[#This Row],[Poste 1]:[Poste 6]])</f>
        <v>0</v>
      </c>
      <c r="R300" s="71"/>
      <c r="S300" s="68">
        <f>_xlfn.CEILING.MATH(Devis[[#This Row],[Quantité Totale]],Devis[[#This Row],[Conditionnement]])</f>
        <v>0</v>
      </c>
      <c r="T300" s="72"/>
      <c r="U300" s="73"/>
      <c r="V300" s="74">
        <f>Devis[[#This Row],[Prix de Revient]]*Devis[[#This Row],[Poste 1]]</f>
        <v>0</v>
      </c>
      <c r="W300" s="74">
        <f>Devis[[#This Row],[Prix de Revient]]*Devis[[#This Row],[Poste 2]]</f>
        <v>0</v>
      </c>
      <c r="X300" s="74">
        <f>Devis[[#This Row],[Prix de Revient]]*Devis[[#This Row],[Poste 3]]</f>
        <v>0</v>
      </c>
      <c r="Y300" s="74">
        <f>Devis[[#This Row],[Poste 4]]*Devis[[#This Row],[Prix de Revient]]</f>
        <v>0</v>
      </c>
      <c r="Z300" s="74">
        <f>Devis[[#This Row],[Poste 5]]*Devis[[#This Row],[Prix de Revient]]</f>
        <v>0</v>
      </c>
      <c r="AA300" s="74">
        <f>Devis[[#This Row],[Prix de Revient]]*Devis[[#This Row],[Poste 6]]</f>
        <v>0</v>
      </c>
      <c r="AB300" s="74">
        <f>Devis[[#This Row],[Quantité Totale]]*Devis[[#This Row],[Prix de Revient]]</f>
        <v>0</v>
      </c>
    </row>
    <row r="301" spans="1:28" ht="14.25" outlineLevel="1" x14ac:dyDescent="0.2">
      <c r="A301" s="75" t="s">
        <v>120</v>
      </c>
      <c r="B301" s="76" t="s">
        <v>4521</v>
      </c>
      <c r="C301" s="71" t="s">
        <v>4444</v>
      </c>
      <c r="D301" s="81" t="str">
        <f t="shared" si="6"/>
        <v>CablageCABLES SOUPLE BLINDE2X</v>
      </c>
      <c r="E301" s="76" t="s">
        <v>248</v>
      </c>
      <c r="F301" s="81">
        <v>3</v>
      </c>
      <c r="G301" s="71" t="s">
        <v>182</v>
      </c>
      <c r="H301" s="71"/>
      <c r="I301" s="71"/>
      <c r="J301" s="70">
        <f>IFERROR(VLOOKUP(Devis[[#This Row],[Ref Air Flux]],#REF!,3,FALSE),0)</f>
        <v>0</v>
      </c>
      <c r="K301" s="68"/>
      <c r="L301" s="68"/>
      <c r="M301" s="68"/>
      <c r="N301" s="68"/>
      <c r="O301" s="68"/>
      <c r="P301" s="68"/>
      <c r="Q301" s="68">
        <f>SUM(Devis[[#This Row],[Poste 1]:[Poste 6]])</f>
        <v>0</v>
      </c>
      <c r="R301" s="71"/>
      <c r="S301" s="68">
        <f>_xlfn.CEILING.MATH(Devis[[#This Row],[Quantité Totale]],Devis[[#This Row],[Conditionnement]])</f>
        <v>0</v>
      </c>
      <c r="T301" s="72"/>
      <c r="U301" s="73"/>
      <c r="V301" s="74">
        <f>Devis[[#This Row],[Prix de Revient]]*Devis[[#This Row],[Poste 1]]</f>
        <v>0</v>
      </c>
      <c r="W301" s="74">
        <f>Devis[[#This Row],[Prix de Revient]]*Devis[[#This Row],[Poste 2]]</f>
        <v>0</v>
      </c>
      <c r="X301" s="74">
        <f>Devis[[#This Row],[Prix de Revient]]*Devis[[#This Row],[Poste 3]]</f>
        <v>0</v>
      </c>
      <c r="Y301" s="74">
        <f>Devis[[#This Row],[Poste 4]]*Devis[[#This Row],[Prix de Revient]]</f>
        <v>0</v>
      </c>
      <c r="Z301" s="74">
        <f>Devis[[#This Row],[Poste 5]]*Devis[[#This Row],[Prix de Revient]]</f>
        <v>0</v>
      </c>
      <c r="AA301" s="74">
        <f>Devis[[#This Row],[Prix de Revient]]*Devis[[#This Row],[Poste 6]]</f>
        <v>0</v>
      </c>
      <c r="AB301" s="74">
        <f>Devis[[#This Row],[Quantité Totale]]*Devis[[#This Row],[Prix de Revient]]</f>
        <v>0</v>
      </c>
    </row>
    <row r="302" spans="1:28" ht="14.25" outlineLevel="1" x14ac:dyDescent="0.2">
      <c r="A302" s="75" t="s">
        <v>120</v>
      </c>
      <c r="B302" s="76" t="s">
        <v>4521</v>
      </c>
      <c r="C302" s="71" t="s">
        <v>4444</v>
      </c>
      <c r="D302" s="81" t="str">
        <f t="shared" si="6"/>
        <v>CablageCABLES SOUPLE BLINDE2X</v>
      </c>
      <c r="E302" s="76" t="s">
        <v>250</v>
      </c>
      <c r="F302" s="81">
        <v>4</v>
      </c>
      <c r="G302" s="71" t="s">
        <v>185</v>
      </c>
      <c r="H302" s="71"/>
      <c r="I302" s="71"/>
      <c r="J302" s="70">
        <f>IFERROR(VLOOKUP(Devis[[#This Row],[Ref Air Flux]],#REF!,3,FALSE),0)</f>
        <v>0</v>
      </c>
      <c r="K302" s="68"/>
      <c r="L302" s="68"/>
      <c r="M302" s="68"/>
      <c r="N302" s="68"/>
      <c r="O302" s="68"/>
      <c r="P302" s="68"/>
      <c r="Q302" s="68">
        <f>SUM(Devis[[#This Row],[Poste 1]:[Poste 6]])</f>
        <v>0</v>
      </c>
      <c r="R302" s="71"/>
      <c r="S302" s="68">
        <f>_xlfn.CEILING.MATH(Devis[[#This Row],[Quantité Totale]],Devis[[#This Row],[Conditionnement]])</f>
        <v>0</v>
      </c>
      <c r="T302" s="72"/>
      <c r="U302" s="73"/>
      <c r="V302" s="74">
        <f>Devis[[#This Row],[Prix de Revient]]*Devis[[#This Row],[Poste 1]]</f>
        <v>0</v>
      </c>
      <c r="W302" s="74">
        <f>Devis[[#This Row],[Prix de Revient]]*Devis[[#This Row],[Poste 2]]</f>
        <v>0</v>
      </c>
      <c r="X302" s="74">
        <f>Devis[[#This Row],[Prix de Revient]]*Devis[[#This Row],[Poste 3]]</f>
        <v>0</v>
      </c>
      <c r="Y302" s="74">
        <f>Devis[[#This Row],[Poste 4]]*Devis[[#This Row],[Prix de Revient]]</f>
        <v>0</v>
      </c>
      <c r="Z302" s="74">
        <f>Devis[[#This Row],[Poste 5]]*Devis[[#This Row],[Prix de Revient]]</f>
        <v>0</v>
      </c>
      <c r="AA302" s="74">
        <f>Devis[[#This Row],[Prix de Revient]]*Devis[[#This Row],[Poste 6]]</f>
        <v>0</v>
      </c>
      <c r="AB302" s="74">
        <f>Devis[[#This Row],[Quantité Totale]]*Devis[[#This Row],[Prix de Revient]]</f>
        <v>0</v>
      </c>
    </row>
    <row r="303" spans="1:28" ht="14.25" outlineLevel="1" x14ac:dyDescent="0.2">
      <c r="A303" s="75" t="s">
        <v>120</v>
      </c>
      <c r="B303" s="76" t="s">
        <v>4521</v>
      </c>
      <c r="C303" s="71" t="s">
        <v>4444</v>
      </c>
      <c r="D303" s="81" t="str">
        <f t="shared" si="6"/>
        <v>CablageCABLES SOUPLE BLINDE2X</v>
      </c>
      <c r="E303" s="76" t="s">
        <v>4524</v>
      </c>
      <c r="F303" s="81">
        <v>5</v>
      </c>
      <c r="G303" s="71" t="s">
        <v>4525</v>
      </c>
      <c r="H303" s="71"/>
      <c r="I303" s="71"/>
      <c r="J303" s="70">
        <f>IFERROR(VLOOKUP(Devis[[#This Row],[Ref Air Flux]],#REF!,3,FALSE),0)</f>
        <v>0</v>
      </c>
      <c r="K303" s="68"/>
      <c r="L303" s="68"/>
      <c r="M303" s="68"/>
      <c r="N303" s="68"/>
      <c r="O303" s="68"/>
      <c r="P303" s="68"/>
      <c r="Q303" s="68">
        <f>SUM(Devis[[#This Row],[Poste 1]:[Poste 6]])</f>
        <v>0</v>
      </c>
      <c r="R303" s="71"/>
      <c r="S303" s="68">
        <f>_xlfn.CEILING.MATH(Devis[[#This Row],[Quantité Totale]],Devis[[#This Row],[Conditionnement]])</f>
        <v>0</v>
      </c>
      <c r="T303" s="72"/>
      <c r="U303" s="73"/>
      <c r="V303" s="74">
        <f>Devis[[#This Row],[Prix de Revient]]*Devis[[#This Row],[Poste 1]]</f>
        <v>0</v>
      </c>
      <c r="W303" s="74">
        <f>Devis[[#This Row],[Prix de Revient]]*Devis[[#This Row],[Poste 2]]</f>
        <v>0</v>
      </c>
      <c r="X303" s="74">
        <f>Devis[[#This Row],[Prix de Revient]]*Devis[[#This Row],[Poste 3]]</f>
        <v>0</v>
      </c>
      <c r="Y303" s="74">
        <f>Devis[[#This Row],[Poste 4]]*Devis[[#This Row],[Prix de Revient]]</f>
        <v>0</v>
      </c>
      <c r="Z303" s="74">
        <f>Devis[[#This Row],[Poste 5]]*Devis[[#This Row],[Prix de Revient]]</f>
        <v>0</v>
      </c>
      <c r="AA303" s="74">
        <f>Devis[[#This Row],[Prix de Revient]]*Devis[[#This Row],[Poste 6]]</f>
        <v>0</v>
      </c>
      <c r="AB303" s="74">
        <f>Devis[[#This Row],[Quantité Totale]]*Devis[[#This Row],[Prix de Revient]]</f>
        <v>0</v>
      </c>
    </row>
    <row r="304" spans="1:28" ht="14.25" outlineLevel="1" x14ac:dyDescent="0.2">
      <c r="A304" s="75" t="s">
        <v>120</v>
      </c>
      <c r="B304" s="76" t="s">
        <v>4521</v>
      </c>
      <c r="C304" s="71" t="s">
        <v>4446</v>
      </c>
      <c r="D304" s="81" t="str">
        <f t="shared" si="6"/>
        <v>CablageCABLES SOUPLE BLINDE3X</v>
      </c>
      <c r="E304" s="76" t="s">
        <v>249</v>
      </c>
      <c r="F304" s="81">
        <v>6</v>
      </c>
      <c r="G304" s="71" t="s">
        <v>183</v>
      </c>
      <c r="H304" s="71"/>
      <c r="I304" s="71"/>
      <c r="J304" s="70">
        <f>IFERROR(VLOOKUP(Devis[[#This Row],[Ref Air Flux]],#REF!,3,FALSE),0)</f>
        <v>0</v>
      </c>
      <c r="K304" s="68"/>
      <c r="L304" s="68"/>
      <c r="M304" s="68"/>
      <c r="N304" s="68"/>
      <c r="O304" s="68"/>
      <c r="P304" s="68"/>
      <c r="Q304" s="68">
        <f>SUM(Devis[[#This Row],[Poste 1]:[Poste 6]])</f>
        <v>0</v>
      </c>
      <c r="R304" s="71"/>
      <c r="S304" s="68">
        <f>_xlfn.CEILING.MATH(Devis[[#This Row],[Quantité Totale]],Devis[[#This Row],[Conditionnement]])</f>
        <v>0</v>
      </c>
      <c r="T304" s="72"/>
      <c r="U304" s="73"/>
      <c r="V304" s="74">
        <f>Devis[[#This Row],[Prix de Revient]]*Devis[[#This Row],[Poste 1]]</f>
        <v>0</v>
      </c>
      <c r="W304" s="74">
        <f>Devis[[#This Row],[Prix de Revient]]*Devis[[#This Row],[Poste 2]]</f>
        <v>0</v>
      </c>
      <c r="X304" s="74">
        <f>Devis[[#This Row],[Prix de Revient]]*Devis[[#This Row],[Poste 3]]</f>
        <v>0</v>
      </c>
      <c r="Y304" s="74">
        <f>Devis[[#This Row],[Poste 4]]*Devis[[#This Row],[Prix de Revient]]</f>
        <v>0</v>
      </c>
      <c r="Z304" s="74">
        <f>Devis[[#This Row],[Poste 5]]*Devis[[#This Row],[Prix de Revient]]</f>
        <v>0</v>
      </c>
      <c r="AA304" s="74">
        <f>Devis[[#This Row],[Prix de Revient]]*Devis[[#This Row],[Poste 6]]</f>
        <v>0</v>
      </c>
      <c r="AB304" s="74">
        <f>Devis[[#This Row],[Quantité Totale]]*Devis[[#This Row],[Prix de Revient]]</f>
        <v>0</v>
      </c>
    </row>
    <row r="305" spans="1:28" ht="14.25" outlineLevel="1" x14ac:dyDescent="0.2">
      <c r="A305" s="75" t="s">
        <v>120</v>
      </c>
      <c r="B305" s="76" t="s">
        <v>4521</v>
      </c>
      <c r="C305" s="71" t="s">
        <v>4526</v>
      </c>
      <c r="D305" s="81" t="str">
        <f t="shared" si="6"/>
        <v>CablageCABLES SOUPLE BLINDE4X</v>
      </c>
      <c r="E305" s="76" t="s">
        <v>251</v>
      </c>
      <c r="F305" s="81">
        <v>7</v>
      </c>
      <c r="G305" s="71" t="s">
        <v>252</v>
      </c>
      <c r="H305" s="79"/>
      <c r="I305" s="71"/>
      <c r="J305" s="70">
        <f>IFERROR(VLOOKUP(Devis[[#This Row],[Ref Air Flux]],#REF!,3,FALSE),0)</f>
        <v>0</v>
      </c>
      <c r="K305" s="68"/>
      <c r="L305" s="68"/>
      <c r="M305" s="68"/>
      <c r="N305" s="68"/>
      <c r="O305" s="68"/>
      <c r="P305" s="68"/>
      <c r="Q305" s="68">
        <f>SUM(Devis[[#This Row],[Poste 1]:[Poste 6]])</f>
        <v>0</v>
      </c>
      <c r="R305" s="71"/>
      <c r="S305" s="68">
        <f>_xlfn.CEILING.MATH(Devis[[#This Row],[Quantité Totale]],Devis[[#This Row],[Conditionnement]])</f>
        <v>0</v>
      </c>
      <c r="T305" s="72"/>
      <c r="U305" s="73" t="s">
        <v>253</v>
      </c>
      <c r="V305" s="74">
        <f>Devis[[#This Row],[Prix de Revient]]*Devis[[#This Row],[Poste 1]]</f>
        <v>0</v>
      </c>
      <c r="W305" s="74">
        <f>Devis[[#This Row],[Prix de Revient]]*Devis[[#This Row],[Poste 2]]</f>
        <v>0</v>
      </c>
      <c r="X305" s="74">
        <f>Devis[[#This Row],[Prix de Revient]]*Devis[[#This Row],[Poste 3]]</f>
        <v>0</v>
      </c>
      <c r="Y305" s="74">
        <f>Devis[[#This Row],[Poste 4]]*Devis[[#This Row],[Prix de Revient]]</f>
        <v>0</v>
      </c>
      <c r="Z305" s="74">
        <f>Devis[[#This Row],[Poste 5]]*Devis[[#This Row],[Prix de Revient]]</f>
        <v>0</v>
      </c>
      <c r="AA305" s="74">
        <f>Devis[[#This Row],[Prix de Revient]]*Devis[[#This Row],[Poste 6]]</f>
        <v>0</v>
      </c>
      <c r="AB305" s="74">
        <f>Devis[[#This Row],[Quantité Totale]]*Devis[[#This Row],[Prix de Revient]]</f>
        <v>0</v>
      </c>
    </row>
    <row r="306" spans="1:28" ht="14.25" outlineLevel="1" x14ac:dyDescent="0.2">
      <c r="A306" s="75" t="s">
        <v>120</v>
      </c>
      <c r="B306" s="76" t="s">
        <v>4521</v>
      </c>
      <c r="C306" s="71" t="s">
        <v>4526</v>
      </c>
      <c r="D306" s="81" t="str">
        <f t="shared" si="6"/>
        <v>CablageCABLES SOUPLE BLINDE4X</v>
      </c>
      <c r="E306" s="76" t="s">
        <v>4527</v>
      </c>
      <c r="F306" s="81">
        <v>8</v>
      </c>
      <c r="G306" s="71" t="s">
        <v>196</v>
      </c>
      <c r="H306" s="79"/>
      <c r="I306" s="71"/>
      <c r="J306" s="70">
        <f>IFERROR(VLOOKUP(Devis[[#This Row],[Ref Air Flux]],#REF!,3,FALSE),0)</f>
        <v>0</v>
      </c>
      <c r="K306" s="68"/>
      <c r="L306" s="68"/>
      <c r="M306" s="68"/>
      <c r="N306" s="68"/>
      <c r="O306" s="68"/>
      <c r="P306" s="68"/>
      <c r="Q306" s="68">
        <f>SUM(Devis[[#This Row],[Poste 1]:[Poste 6]])</f>
        <v>0</v>
      </c>
      <c r="R306" s="71"/>
      <c r="S306" s="68">
        <f>_xlfn.CEILING.MATH(Devis[[#This Row],[Quantité Totale]],Devis[[#This Row],[Conditionnement]])</f>
        <v>0</v>
      </c>
      <c r="T306" s="72"/>
      <c r="U306" s="73"/>
      <c r="V306" s="74">
        <f>Devis[[#This Row],[Prix de Revient]]*Devis[[#This Row],[Poste 1]]</f>
        <v>0</v>
      </c>
      <c r="W306" s="74">
        <f>Devis[[#This Row],[Prix de Revient]]*Devis[[#This Row],[Poste 2]]</f>
        <v>0</v>
      </c>
      <c r="X306" s="74">
        <f>Devis[[#This Row],[Prix de Revient]]*Devis[[#This Row],[Poste 3]]</f>
        <v>0</v>
      </c>
      <c r="Y306" s="74">
        <f>Devis[[#This Row],[Poste 4]]*Devis[[#This Row],[Prix de Revient]]</f>
        <v>0</v>
      </c>
      <c r="Z306" s="74">
        <f>Devis[[#This Row],[Poste 5]]*Devis[[#This Row],[Prix de Revient]]</f>
        <v>0</v>
      </c>
      <c r="AA306" s="74">
        <f>Devis[[#This Row],[Prix de Revient]]*Devis[[#This Row],[Poste 6]]</f>
        <v>0</v>
      </c>
      <c r="AB306" s="74">
        <f>Devis[[#This Row],[Quantité Totale]]*Devis[[#This Row],[Prix de Revient]]</f>
        <v>0</v>
      </c>
    </row>
    <row r="307" spans="1:28" ht="14.25" outlineLevel="1" x14ac:dyDescent="0.2">
      <c r="A307" s="75" t="s">
        <v>120</v>
      </c>
      <c r="B307" s="76" t="s">
        <v>4521</v>
      </c>
      <c r="C307" s="71" t="s">
        <v>4526</v>
      </c>
      <c r="D307" s="81" t="str">
        <f t="shared" si="6"/>
        <v>CablageCABLES SOUPLE BLINDE4X</v>
      </c>
      <c r="E307" s="76" t="s">
        <v>4528</v>
      </c>
      <c r="F307" s="81">
        <v>9</v>
      </c>
      <c r="G307" s="71" t="s">
        <v>4529</v>
      </c>
      <c r="H307" s="79"/>
      <c r="I307" s="71"/>
      <c r="J307" s="70">
        <f>IFERROR(VLOOKUP(Devis[[#This Row],[Ref Air Flux]],#REF!,3,FALSE),0)</f>
        <v>0</v>
      </c>
      <c r="K307" s="68"/>
      <c r="L307" s="68"/>
      <c r="M307" s="68"/>
      <c r="N307" s="68"/>
      <c r="O307" s="68"/>
      <c r="P307" s="68"/>
      <c r="Q307" s="68">
        <f>SUM(Devis[[#This Row],[Poste 1]:[Poste 6]])</f>
        <v>0</v>
      </c>
      <c r="R307" s="71"/>
      <c r="S307" s="68">
        <f>_xlfn.CEILING.MATH(Devis[[#This Row],[Quantité Totale]],Devis[[#This Row],[Conditionnement]])</f>
        <v>0</v>
      </c>
      <c r="T307" s="72"/>
      <c r="U307" s="73"/>
      <c r="V307" s="74">
        <f>Devis[[#This Row],[Prix de Revient]]*Devis[[#This Row],[Poste 1]]</f>
        <v>0</v>
      </c>
      <c r="W307" s="74">
        <f>Devis[[#This Row],[Prix de Revient]]*Devis[[#This Row],[Poste 2]]</f>
        <v>0</v>
      </c>
      <c r="X307" s="74">
        <f>Devis[[#This Row],[Prix de Revient]]*Devis[[#This Row],[Poste 3]]</f>
        <v>0</v>
      </c>
      <c r="Y307" s="74">
        <f>Devis[[#This Row],[Poste 4]]*Devis[[#This Row],[Prix de Revient]]</f>
        <v>0</v>
      </c>
      <c r="Z307" s="74">
        <f>Devis[[#This Row],[Poste 5]]*Devis[[#This Row],[Prix de Revient]]</f>
        <v>0</v>
      </c>
      <c r="AA307" s="74">
        <f>Devis[[#This Row],[Prix de Revient]]*Devis[[#This Row],[Poste 6]]</f>
        <v>0</v>
      </c>
      <c r="AB307" s="74">
        <f>Devis[[#This Row],[Quantité Totale]]*Devis[[#This Row],[Prix de Revient]]</f>
        <v>0</v>
      </c>
    </row>
    <row r="308" spans="1:28" ht="14.25" customHeight="1" outlineLevel="1" x14ac:dyDescent="0.2">
      <c r="A308" s="75" t="s">
        <v>120</v>
      </c>
      <c r="B308" s="76" t="s">
        <v>4521</v>
      </c>
      <c r="C308" s="71" t="s">
        <v>4526</v>
      </c>
      <c r="D308" s="81" t="str">
        <f t="shared" si="6"/>
        <v>CablageCABLES SOUPLE BLINDE4X</v>
      </c>
      <c r="E308" s="76" t="s">
        <v>251</v>
      </c>
      <c r="F308" s="81">
        <v>10</v>
      </c>
      <c r="G308" s="71" t="s">
        <v>252</v>
      </c>
      <c r="H308" s="79"/>
      <c r="I308" s="71"/>
      <c r="J308" s="70">
        <f>IFERROR(VLOOKUP(Devis[[#This Row],[Ref Air Flux]],#REF!,3,FALSE),0)</f>
        <v>0</v>
      </c>
      <c r="K308" s="68"/>
      <c r="L308" s="68"/>
      <c r="M308" s="68"/>
      <c r="N308" s="68"/>
      <c r="O308" s="68"/>
      <c r="P308" s="68"/>
      <c r="Q308" s="68">
        <f>SUM(Devis[[#This Row],[Poste 1]:[Poste 6]])</f>
        <v>0</v>
      </c>
      <c r="R308" s="71"/>
      <c r="S308" s="68">
        <f>_xlfn.CEILING.MATH(Devis[[#This Row],[Quantité Totale]],Devis[[#This Row],[Conditionnement]])</f>
        <v>0</v>
      </c>
      <c r="T308" s="72"/>
      <c r="U308" s="73"/>
      <c r="V308" s="74">
        <f>Devis[[#This Row],[Prix de Revient]]*Devis[[#This Row],[Poste 1]]</f>
        <v>0</v>
      </c>
      <c r="W308" s="74">
        <f>Devis[[#This Row],[Prix de Revient]]*Devis[[#This Row],[Poste 2]]</f>
        <v>0</v>
      </c>
      <c r="X308" s="74">
        <f>Devis[[#This Row],[Prix de Revient]]*Devis[[#This Row],[Poste 3]]</f>
        <v>0</v>
      </c>
      <c r="Y308" s="74">
        <f>Devis[[#This Row],[Poste 4]]*Devis[[#This Row],[Prix de Revient]]</f>
        <v>0</v>
      </c>
      <c r="Z308" s="74">
        <f>Devis[[#This Row],[Poste 5]]*Devis[[#This Row],[Prix de Revient]]</f>
        <v>0</v>
      </c>
      <c r="AA308" s="74">
        <f>Devis[[#This Row],[Prix de Revient]]*Devis[[#This Row],[Poste 6]]</f>
        <v>0</v>
      </c>
      <c r="AB308" s="74">
        <f>Devis[[#This Row],[Quantité Totale]]*Devis[[#This Row],[Prix de Revient]]</f>
        <v>0</v>
      </c>
    </row>
    <row r="309" spans="1:28" ht="14.25" outlineLevel="1" x14ac:dyDescent="0.2">
      <c r="A309" s="75" t="s">
        <v>120</v>
      </c>
      <c r="B309" s="76" t="s">
        <v>4521</v>
      </c>
      <c r="C309" s="71" t="s">
        <v>4530</v>
      </c>
      <c r="D309" s="81" t="str">
        <f t="shared" si="6"/>
        <v>CablageCABLES SOUPLE BLINDE5X</v>
      </c>
      <c r="E309" s="76" t="s">
        <v>4531</v>
      </c>
      <c r="F309" s="81">
        <v>11</v>
      </c>
      <c r="G309" s="71" t="s">
        <v>4532</v>
      </c>
      <c r="H309" s="71"/>
      <c r="I309" s="71"/>
      <c r="J309" s="70">
        <f>IFERROR(VLOOKUP(Devis[[#This Row],[Ref Air Flux]],#REF!,3,FALSE),0)</f>
        <v>0</v>
      </c>
      <c r="K309" s="68"/>
      <c r="L309" s="68"/>
      <c r="M309" s="68"/>
      <c r="N309" s="68"/>
      <c r="O309" s="68"/>
      <c r="P309" s="68"/>
      <c r="Q309" s="68">
        <f>SUM(Devis[[#This Row],[Poste 1]:[Poste 6]])</f>
        <v>0</v>
      </c>
      <c r="R309" s="71"/>
      <c r="S309" s="68">
        <f>_xlfn.CEILING.MATH(Devis[[#This Row],[Quantité Totale]],Devis[[#This Row],[Conditionnement]])</f>
        <v>0</v>
      </c>
      <c r="T309" s="72"/>
      <c r="U309" s="73"/>
      <c r="V309" s="74">
        <f>Devis[[#This Row],[Prix de Revient]]*Devis[[#This Row],[Poste 1]]</f>
        <v>0</v>
      </c>
      <c r="W309" s="74">
        <f>Devis[[#This Row],[Prix de Revient]]*Devis[[#This Row],[Poste 2]]</f>
        <v>0</v>
      </c>
      <c r="X309" s="74">
        <f>Devis[[#This Row],[Prix de Revient]]*Devis[[#This Row],[Poste 3]]</f>
        <v>0</v>
      </c>
      <c r="Y309" s="74">
        <f>Devis[[#This Row],[Poste 4]]*Devis[[#This Row],[Prix de Revient]]</f>
        <v>0</v>
      </c>
      <c r="Z309" s="74">
        <f>Devis[[#This Row],[Poste 5]]*Devis[[#This Row],[Prix de Revient]]</f>
        <v>0</v>
      </c>
      <c r="AA309" s="74">
        <f>Devis[[#This Row],[Prix de Revient]]*Devis[[#This Row],[Poste 6]]</f>
        <v>0</v>
      </c>
      <c r="AB309" s="74">
        <f>Devis[[#This Row],[Quantité Totale]]*Devis[[#This Row],[Prix de Revient]]</f>
        <v>0</v>
      </c>
    </row>
    <row r="310" spans="1:28" ht="14.25" customHeight="1" outlineLevel="1" x14ac:dyDescent="0.2">
      <c r="A310" s="75" t="s">
        <v>120</v>
      </c>
      <c r="B310" s="76" t="s">
        <v>4521</v>
      </c>
      <c r="C310" s="71" t="s">
        <v>4530</v>
      </c>
      <c r="D310" s="81" t="str">
        <f t="shared" si="6"/>
        <v>CablageCABLES SOUPLE BLINDE5X</v>
      </c>
      <c r="E310" s="76" t="s">
        <v>4533</v>
      </c>
      <c r="F310" s="81">
        <v>12</v>
      </c>
      <c r="G310" s="71" t="s">
        <v>181</v>
      </c>
      <c r="H310" s="79"/>
      <c r="I310" s="71"/>
      <c r="J310" s="70">
        <f>IFERROR(VLOOKUP(Devis[[#This Row],[Ref Air Flux]],#REF!,3,FALSE),0)</f>
        <v>0</v>
      </c>
      <c r="K310" s="68"/>
      <c r="L310" s="68"/>
      <c r="M310" s="68"/>
      <c r="N310" s="68"/>
      <c r="O310" s="68"/>
      <c r="P310" s="68"/>
      <c r="Q310" s="68">
        <f>SUM(Devis[[#This Row],[Poste 1]:[Poste 6]])</f>
        <v>0</v>
      </c>
      <c r="R310" s="71"/>
      <c r="S310" s="68">
        <f>_xlfn.CEILING.MATH(Devis[[#This Row],[Quantité Totale]],Devis[[#This Row],[Conditionnement]])</f>
        <v>0</v>
      </c>
      <c r="T310" s="72"/>
      <c r="U310" s="73"/>
      <c r="V310" s="74">
        <f>Devis[[#This Row],[Prix de Revient]]*Devis[[#This Row],[Poste 1]]</f>
        <v>0</v>
      </c>
      <c r="W310" s="74">
        <f>Devis[[#This Row],[Prix de Revient]]*Devis[[#This Row],[Poste 2]]</f>
        <v>0</v>
      </c>
      <c r="X310" s="74">
        <f>Devis[[#This Row],[Prix de Revient]]*Devis[[#This Row],[Poste 3]]</f>
        <v>0</v>
      </c>
      <c r="Y310" s="74">
        <f>Devis[[#This Row],[Poste 4]]*Devis[[#This Row],[Prix de Revient]]</f>
        <v>0</v>
      </c>
      <c r="Z310" s="74">
        <f>Devis[[#This Row],[Poste 5]]*Devis[[#This Row],[Prix de Revient]]</f>
        <v>0</v>
      </c>
      <c r="AA310" s="74">
        <f>Devis[[#This Row],[Prix de Revient]]*Devis[[#This Row],[Poste 6]]</f>
        <v>0</v>
      </c>
      <c r="AB310" s="74">
        <f>Devis[[#This Row],[Quantité Totale]]*Devis[[#This Row],[Prix de Revient]]</f>
        <v>0</v>
      </c>
    </row>
    <row r="311" spans="1:28" ht="14.25" outlineLevel="1" x14ac:dyDescent="0.2">
      <c r="A311" s="75" t="s">
        <v>120</v>
      </c>
      <c r="B311" s="76" t="s">
        <v>4521</v>
      </c>
      <c r="C311" s="71" t="s">
        <v>4534</v>
      </c>
      <c r="D311" s="81" t="str">
        <f t="shared" si="6"/>
        <v>CablageCABLES SOUPLE BLINDE7X</v>
      </c>
      <c r="E311" s="76" t="s">
        <v>4535</v>
      </c>
      <c r="F311" s="81">
        <v>13</v>
      </c>
      <c r="G311" s="71" t="s">
        <v>4536</v>
      </c>
      <c r="H311" s="71"/>
      <c r="I311" s="71"/>
      <c r="J311" s="70">
        <f>IFERROR(VLOOKUP(Devis[[#This Row],[Ref Air Flux]],#REF!,3,FALSE),0)</f>
        <v>0</v>
      </c>
      <c r="K311" s="68"/>
      <c r="L311" s="68"/>
      <c r="M311" s="68"/>
      <c r="N311" s="68"/>
      <c r="O311" s="68"/>
      <c r="P311" s="68"/>
      <c r="Q311" s="68">
        <f>SUM(Devis[[#This Row],[Poste 1]:[Poste 6]])</f>
        <v>0</v>
      </c>
      <c r="R311" s="71"/>
      <c r="S311" s="68">
        <f>_xlfn.CEILING.MATH(Devis[[#This Row],[Quantité Totale]],Devis[[#This Row],[Conditionnement]])</f>
        <v>0</v>
      </c>
      <c r="T311" s="72"/>
      <c r="U311" s="73"/>
      <c r="V311" s="74">
        <f>Devis[[#This Row],[Prix de Revient]]*Devis[[#This Row],[Poste 1]]</f>
        <v>0</v>
      </c>
      <c r="W311" s="74">
        <f>Devis[[#This Row],[Prix de Revient]]*Devis[[#This Row],[Poste 2]]</f>
        <v>0</v>
      </c>
      <c r="X311" s="74">
        <f>Devis[[#This Row],[Prix de Revient]]*Devis[[#This Row],[Poste 3]]</f>
        <v>0</v>
      </c>
      <c r="Y311" s="74">
        <f>Devis[[#This Row],[Poste 4]]*Devis[[#This Row],[Prix de Revient]]</f>
        <v>0</v>
      </c>
      <c r="Z311" s="74">
        <f>Devis[[#This Row],[Poste 5]]*Devis[[#This Row],[Prix de Revient]]</f>
        <v>0</v>
      </c>
      <c r="AA311" s="74">
        <f>Devis[[#This Row],[Prix de Revient]]*Devis[[#This Row],[Poste 6]]</f>
        <v>0</v>
      </c>
      <c r="AB311" s="74">
        <f>Devis[[#This Row],[Quantité Totale]]*Devis[[#This Row],[Prix de Revient]]</f>
        <v>0</v>
      </c>
    </row>
    <row r="312" spans="1:28" ht="14.25" outlineLevel="1" x14ac:dyDescent="0.2">
      <c r="A312" s="75" t="s">
        <v>120</v>
      </c>
      <c r="B312" s="76" t="s">
        <v>4521</v>
      </c>
      <c r="C312" s="71" t="s">
        <v>4534</v>
      </c>
      <c r="D312" s="81" t="str">
        <f t="shared" si="6"/>
        <v>CablageCABLES SOUPLE BLINDE7X</v>
      </c>
      <c r="E312" s="76" t="s">
        <v>4537</v>
      </c>
      <c r="F312" s="81">
        <v>14</v>
      </c>
      <c r="G312" s="71" t="s">
        <v>209</v>
      </c>
      <c r="H312" s="71"/>
      <c r="I312" s="71"/>
      <c r="J312" s="70">
        <f>IFERROR(VLOOKUP(Devis[[#This Row],[Ref Air Flux]],#REF!,3,FALSE),0)</f>
        <v>0</v>
      </c>
      <c r="K312" s="68"/>
      <c r="L312" s="68"/>
      <c r="M312" s="68"/>
      <c r="N312" s="68"/>
      <c r="O312" s="68"/>
      <c r="P312" s="68"/>
      <c r="Q312" s="68">
        <f>SUM(Devis[[#This Row],[Poste 1]:[Poste 6]])</f>
        <v>0</v>
      </c>
      <c r="R312" s="71"/>
      <c r="S312" s="68">
        <f>_xlfn.CEILING.MATH(Devis[[#This Row],[Quantité Totale]],Devis[[#This Row],[Conditionnement]])</f>
        <v>0</v>
      </c>
      <c r="T312" s="72"/>
      <c r="U312" s="73"/>
      <c r="V312" s="74">
        <f>Devis[[#This Row],[Prix de Revient]]*Devis[[#This Row],[Poste 1]]</f>
        <v>0</v>
      </c>
      <c r="W312" s="74">
        <f>Devis[[#This Row],[Prix de Revient]]*Devis[[#This Row],[Poste 2]]</f>
        <v>0</v>
      </c>
      <c r="X312" s="74">
        <f>Devis[[#This Row],[Prix de Revient]]*Devis[[#This Row],[Poste 3]]</f>
        <v>0</v>
      </c>
      <c r="Y312" s="74">
        <f>Devis[[#This Row],[Poste 4]]*Devis[[#This Row],[Prix de Revient]]</f>
        <v>0</v>
      </c>
      <c r="Z312" s="74">
        <f>Devis[[#This Row],[Poste 5]]*Devis[[#This Row],[Prix de Revient]]</f>
        <v>0</v>
      </c>
      <c r="AA312" s="74">
        <f>Devis[[#This Row],[Prix de Revient]]*Devis[[#This Row],[Poste 6]]</f>
        <v>0</v>
      </c>
      <c r="AB312" s="74">
        <f>Devis[[#This Row],[Quantité Totale]]*Devis[[#This Row],[Prix de Revient]]</f>
        <v>0</v>
      </c>
    </row>
    <row r="313" spans="1:28" ht="14.25" outlineLevel="1" x14ac:dyDescent="0.2">
      <c r="A313" s="75" t="s">
        <v>120</v>
      </c>
      <c r="B313" s="76" t="s">
        <v>4521</v>
      </c>
      <c r="C313" s="71" t="s">
        <v>4534</v>
      </c>
      <c r="D313" s="81" t="str">
        <f t="shared" si="6"/>
        <v>CablageCABLES SOUPLE BLINDE7X</v>
      </c>
      <c r="E313" s="76" t="s">
        <v>4538</v>
      </c>
      <c r="F313" s="81">
        <v>15</v>
      </c>
      <c r="G313" s="71" t="s">
        <v>4539</v>
      </c>
      <c r="H313" s="71"/>
      <c r="I313" s="71"/>
      <c r="J313" s="70">
        <f>IFERROR(VLOOKUP(Devis[[#This Row],[Ref Air Flux]],#REF!,3,FALSE),0)</f>
        <v>0</v>
      </c>
      <c r="K313" s="68"/>
      <c r="L313" s="68"/>
      <c r="M313" s="68"/>
      <c r="N313" s="68"/>
      <c r="O313" s="68"/>
      <c r="P313" s="68"/>
      <c r="Q313" s="68">
        <f>SUM(Devis[[#This Row],[Poste 1]:[Poste 6]])</f>
        <v>0</v>
      </c>
      <c r="R313" s="71"/>
      <c r="S313" s="68">
        <f>_xlfn.CEILING.MATH(Devis[[#This Row],[Quantité Totale]],Devis[[#This Row],[Conditionnement]])</f>
        <v>0</v>
      </c>
      <c r="T313" s="72"/>
      <c r="U313" s="73"/>
      <c r="V313" s="74">
        <f>Devis[[#This Row],[Prix de Revient]]*Devis[[#This Row],[Poste 1]]</f>
        <v>0</v>
      </c>
      <c r="W313" s="74">
        <f>Devis[[#This Row],[Prix de Revient]]*Devis[[#This Row],[Poste 2]]</f>
        <v>0</v>
      </c>
      <c r="X313" s="74">
        <f>Devis[[#This Row],[Prix de Revient]]*Devis[[#This Row],[Poste 3]]</f>
        <v>0</v>
      </c>
      <c r="Y313" s="74">
        <f>Devis[[#This Row],[Poste 4]]*Devis[[#This Row],[Prix de Revient]]</f>
        <v>0</v>
      </c>
      <c r="Z313" s="74">
        <f>Devis[[#This Row],[Poste 5]]*Devis[[#This Row],[Prix de Revient]]</f>
        <v>0</v>
      </c>
      <c r="AA313" s="74">
        <f>Devis[[#This Row],[Prix de Revient]]*Devis[[#This Row],[Poste 6]]</f>
        <v>0</v>
      </c>
      <c r="AB313" s="74">
        <f>Devis[[#This Row],[Quantité Totale]]*Devis[[#This Row],[Prix de Revient]]</f>
        <v>0</v>
      </c>
    </row>
    <row r="314" spans="1:28" ht="14.25" outlineLevel="1" x14ac:dyDescent="0.2">
      <c r="A314" s="75" t="s">
        <v>120</v>
      </c>
      <c r="B314" s="76" t="s">
        <v>4521</v>
      </c>
      <c r="C314" s="71" t="s">
        <v>4540</v>
      </c>
      <c r="D314" s="81" t="str">
        <f t="shared" si="6"/>
        <v>CablageCABLES SOUPLE BLINDE12X</v>
      </c>
      <c r="E314" s="76" t="s">
        <v>4541</v>
      </c>
      <c r="F314" s="81">
        <v>16</v>
      </c>
      <c r="G314" s="71" t="s">
        <v>210</v>
      </c>
      <c r="H314" s="71"/>
      <c r="I314" s="71"/>
      <c r="J314" s="70">
        <f>IFERROR(VLOOKUP(Devis[[#This Row],[Ref Air Flux]],#REF!,3,FALSE),0)</f>
        <v>0</v>
      </c>
      <c r="K314" s="68"/>
      <c r="L314" s="68"/>
      <c r="M314" s="68"/>
      <c r="N314" s="68"/>
      <c r="O314" s="68"/>
      <c r="P314" s="68"/>
      <c r="Q314" s="68">
        <f>SUM(Devis[[#This Row],[Poste 1]:[Poste 6]])</f>
        <v>0</v>
      </c>
      <c r="R314" s="71"/>
      <c r="S314" s="68">
        <f>_xlfn.CEILING.MATH(Devis[[#This Row],[Quantité Totale]],Devis[[#This Row],[Conditionnement]])</f>
        <v>0</v>
      </c>
      <c r="T314" s="72"/>
      <c r="U314" s="73"/>
      <c r="V314" s="74">
        <f>Devis[[#This Row],[Prix de Revient]]*Devis[[#This Row],[Poste 1]]</f>
        <v>0</v>
      </c>
      <c r="W314" s="74">
        <f>Devis[[#This Row],[Prix de Revient]]*Devis[[#This Row],[Poste 2]]</f>
        <v>0</v>
      </c>
      <c r="X314" s="74">
        <f>Devis[[#This Row],[Prix de Revient]]*Devis[[#This Row],[Poste 3]]</f>
        <v>0</v>
      </c>
      <c r="Y314" s="74">
        <f>Devis[[#This Row],[Poste 4]]*Devis[[#This Row],[Prix de Revient]]</f>
        <v>0</v>
      </c>
      <c r="Z314" s="74">
        <f>Devis[[#This Row],[Poste 5]]*Devis[[#This Row],[Prix de Revient]]</f>
        <v>0</v>
      </c>
      <c r="AA314" s="74">
        <f>Devis[[#This Row],[Prix de Revient]]*Devis[[#This Row],[Poste 6]]</f>
        <v>0</v>
      </c>
      <c r="AB314" s="74">
        <f>Devis[[#This Row],[Quantité Totale]]*Devis[[#This Row],[Prix de Revient]]</f>
        <v>0</v>
      </c>
    </row>
    <row r="315" spans="1:28" ht="14.25" customHeight="1" x14ac:dyDescent="0.25">
      <c r="A315" s="65" t="s">
        <v>120</v>
      </c>
      <c r="B315" s="65" t="s">
        <v>4440</v>
      </c>
      <c r="C315" s="76"/>
      <c r="D315" s="81" t="str">
        <f t="shared" si="6"/>
        <v>CablageCABLES SOUPLES CUIVRE</v>
      </c>
      <c r="E315" s="76"/>
      <c r="F315" s="81">
        <v>0</v>
      </c>
      <c r="G315" s="71"/>
      <c r="H315" s="71"/>
      <c r="I315" s="71"/>
      <c r="J315" s="70">
        <f>IFERROR(VLOOKUP(Devis[[#This Row],[Ref Air Flux]],#REF!,3,FALSE),0)</f>
        <v>0</v>
      </c>
      <c r="K315" s="68"/>
      <c r="L315" s="68"/>
      <c r="M315" s="68"/>
      <c r="N315" s="68"/>
      <c r="O315" s="68"/>
      <c r="P315" s="68"/>
      <c r="Q315" s="68">
        <f>SUM(Devis[[#This Row],[Poste 1]:[Poste 6]])</f>
        <v>0</v>
      </c>
      <c r="R315" s="71"/>
      <c r="S315" s="68">
        <f>_xlfn.CEILING.MATH(Devis[[#This Row],[Quantité Totale]],Devis[[#This Row],[Conditionnement]])</f>
        <v>0</v>
      </c>
      <c r="T315" s="72"/>
      <c r="U315" s="73"/>
      <c r="V315" s="74">
        <f>Devis[[#This Row],[Prix de Revient]]*Devis[[#This Row],[Poste 1]]</f>
        <v>0</v>
      </c>
      <c r="W315" s="74">
        <f>Devis[[#This Row],[Prix de Revient]]*Devis[[#This Row],[Poste 2]]</f>
        <v>0</v>
      </c>
      <c r="X315" s="74">
        <f>Devis[[#This Row],[Prix de Revient]]*Devis[[#This Row],[Poste 3]]</f>
        <v>0</v>
      </c>
      <c r="Y315" s="74">
        <f>Devis[[#This Row],[Poste 4]]*Devis[[#This Row],[Prix de Revient]]</f>
        <v>0</v>
      </c>
      <c r="Z315" s="74">
        <f>Devis[[#This Row],[Poste 5]]*Devis[[#This Row],[Prix de Revient]]</f>
        <v>0</v>
      </c>
      <c r="AA315" s="74">
        <f>Devis[[#This Row],[Prix de Revient]]*Devis[[#This Row],[Poste 6]]</f>
        <v>0</v>
      </c>
      <c r="AB315" s="74">
        <f>Devis[[#This Row],[Quantité Totale]]*Devis[[#This Row],[Prix de Revient]]</f>
        <v>0</v>
      </c>
    </row>
    <row r="316" spans="1:28" ht="14.25" outlineLevel="1" x14ac:dyDescent="0.2">
      <c r="A316" s="75" t="s">
        <v>120</v>
      </c>
      <c r="B316" s="76" t="s">
        <v>4440</v>
      </c>
      <c r="C316" s="71" t="s">
        <v>4441</v>
      </c>
      <c r="D316" s="81" t="str">
        <f t="shared" si="6"/>
        <v>CablageCABLES SOUPLES CUIVRE7G</v>
      </c>
      <c r="E316" s="76" t="s">
        <v>179</v>
      </c>
      <c r="F316" s="81">
        <v>1</v>
      </c>
      <c r="G316" s="71" t="s">
        <v>4442</v>
      </c>
      <c r="H316" s="79"/>
      <c r="I316" s="71"/>
      <c r="J316" s="70">
        <f>IFERROR(VLOOKUP(Devis[[#This Row],[Ref Air Flux]],#REF!,3,FALSE),0)</f>
        <v>0</v>
      </c>
      <c r="K316" s="68"/>
      <c r="L316" s="68"/>
      <c r="M316" s="68"/>
      <c r="N316" s="68"/>
      <c r="O316" s="68"/>
      <c r="P316" s="68"/>
      <c r="Q316" s="68">
        <f>SUM(Devis[[#This Row],[Poste 1]:[Poste 6]])</f>
        <v>0</v>
      </c>
      <c r="R316" s="71"/>
      <c r="S316" s="68">
        <f>_xlfn.CEILING.MATH(Devis[[#This Row],[Quantité Totale]],Devis[[#This Row],[Conditionnement]])</f>
        <v>0</v>
      </c>
      <c r="T316" s="72"/>
      <c r="U316" s="73"/>
      <c r="V316" s="74">
        <f>Devis[[#This Row],[Prix de Revient]]*Devis[[#This Row],[Poste 1]]</f>
        <v>0</v>
      </c>
      <c r="W316" s="74">
        <f>Devis[[#This Row],[Prix de Revient]]*Devis[[#This Row],[Poste 2]]</f>
        <v>0</v>
      </c>
      <c r="X316" s="74">
        <f>Devis[[#This Row],[Prix de Revient]]*Devis[[#This Row],[Poste 3]]</f>
        <v>0</v>
      </c>
      <c r="Y316" s="74">
        <f>Devis[[#This Row],[Poste 4]]*Devis[[#This Row],[Prix de Revient]]</f>
        <v>0</v>
      </c>
      <c r="Z316" s="74">
        <f>Devis[[#This Row],[Poste 5]]*Devis[[#This Row],[Prix de Revient]]</f>
        <v>0</v>
      </c>
      <c r="AA316" s="74">
        <f>Devis[[#This Row],[Prix de Revient]]*Devis[[#This Row],[Poste 6]]</f>
        <v>0</v>
      </c>
      <c r="AB316" s="74">
        <f>Devis[[#This Row],[Quantité Totale]]*Devis[[#This Row],[Prix de Revient]]</f>
        <v>0</v>
      </c>
    </row>
    <row r="317" spans="1:28" ht="14.25" outlineLevel="1" x14ac:dyDescent="0.2">
      <c r="A317" s="75" t="s">
        <v>120</v>
      </c>
      <c r="B317" s="76" t="s">
        <v>4440</v>
      </c>
      <c r="C317" s="71" t="s">
        <v>4443</v>
      </c>
      <c r="D317" s="81" t="str">
        <f t="shared" si="6"/>
        <v>CablageCABLES SOUPLES CUIVRE5G</v>
      </c>
      <c r="E317" s="76" t="s">
        <v>180</v>
      </c>
      <c r="F317" s="81">
        <v>2</v>
      </c>
      <c r="G317" s="71" t="s">
        <v>181</v>
      </c>
      <c r="H317" s="79"/>
      <c r="I317" s="71"/>
      <c r="J317" s="70">
        <f>IFERROR(VLOOKUP(Devis[[#This Row],[Ref Air Flux]],#REF!,3,FALSE),0)</f>
        <v>0</v>
      </c>
      <c r="K317" s="68"/>
      <c r="L317" s="68"/>
      <c r="M317" s="68"/>
      <c r="N317" s="68"/>
      <c r="O317" s="68"/>
      <c r="P317" s="68"/>
      <c r="Q317" s="68">
        <f>SUM(Devis[[#This Row],[Poste 1]:[Poste 6]])</f>
        <v>0</v>
      </c>
      <c r="R317" s="71"/>
      <c r="S317" s="68">
        <f>_xlfn.CEILING.MATH(Devis[[#This Row],[Quantité Totale]],Devis[[#This Row],[Conditionnement]])</f>
        <v>0</v>
      </c>
      <c r="T317" s="72"/>
      <c r="U317" s="73"/>
      <c r="V317" s="74">
        <f>Devis[[#This Row],[Prix de Revient]]*Devis[[#This Row],[Poste 1]]</f>
        <v>0</v>
      </c>
      <c r="W317" s="74">
        <f>Devis[[#This Row],[Prix de Revient]]*Devis[[#This Row],[Poste 2]]</f>
        <v>0</v>
      </c>
      <c r="X317" s="74">
        <f>Devis[[#This Row],[Prix de Revient]]*Devis[[#This Row],[Poste 3]]</f>
        <v>0</v>
      </c>
      <c r="Y317" s="74">
        <f>Devis[[#This Row],[Poste 4]]*Devis[[#This Row],[Prix de Revient]]</f>
        <v>0</v>
      </c>
      <c r="Z317" s="74">
        <f>Devis[[#This Row],[Poste 5]]*Devis[[#This Row],[Prix de Revient]]</f>
        <v>0</v>
      </c>
      <c r="AA317" s="74">
        <f>Devis[[#This Row],[Prix de Revient]]*Devis[[#This Row],[Poste 6]]</f>
        <v>0</v>
      </c>
      <c r="AB317" s="74">
        <f>Devis[[#This Row],[Quantité Totale]]*Devis[[#This Row],[Prix de Revient]]</f>
        <v>0</v>
      </c>
    </row>
    <row r="318" spans="1:28" ht="14.25" outlineLevel="1" x14ac:dyDescent="0.2">
      <c r="A318" s="75" t="s">
        <v>120</v>
      </c>
      <c r="B318" s="76" t="s">
        <v>4440</v>
      </c>
      <c r="C318" s="71" t="s">
        <v>4444</v>
      </c>
      <c r="D318" s="81" t="str">
        <f t="shared" si="6"/>
        <v>CablageCABLES SOUPLES CUIVRE2X</v>
      </c>
      <c r="E318" s="76" t="s">
        <v>4445</v>
      </c>
      <c r="F318" s="81">
        <v>3</v>
      </c>
      <c r="G318" s="71" t="s">
        <v>182</v>
      </c>
      <c r="H318" s="79"/>
      <c r="I318" s="71"/>
      <c r="J318" s="70">
        <f>IFERROR(VLOOKUP(Devis[[#This Row],[Ref Air Flux]],#REF!,3,FALSE),0)</f>
        <v>0</v>
      </c>
      <c r="K318" s="68"/>
      <c r="L318" s="68"/>
      <c r="M318" s="68"/>
      <c r="N318" s="68"/>
      <c r="O318" s="68"/>
      <c r="P318" s="68"/>
      <c r="Q318" s="68">
        <f>SUM(Devis[[#This Row],[Poste 1]:[Poste 6]])</f>
        <v>0</v>
      </c>
      <c r="R318" s="71"/>
      <c r="S318" s="68">
        <f>_xlfn.CEILING.MATH(Devis[[#This Row],[Quantité Totale]],Devis[[#This Row],[Conditionnement]])</f>
        <v>0</v>
      </c>
      <c r="T318" s="72"/>
      <c r="U318" s="73"/>
      <c r="V318" s="74">
        <f>Devis[[#This Row],[Prix de Revient]]*Devis[[#This Row],[Poste 1]]</f>
        <v>0</v>
      </c>
      <c r="W318" s="74">
        <f>Devis[[#This Row],[Prix de Revient]]*Devis[[#This Row],[Poste 2]]</f>
        <v>0</v>
      </c>
      <c r="X318" s="74">
        <f>Devis[[#This Row],[Prix de Revient]]*Devis[[#This Row],[Poste 3]]</f>
        <v>0</v>
      </c>
      <c r="Y318" s="74">
        <f>Devis[[#This Row],[Poste 4]]*Devis[[#This Row],[Prix de Revient]]</f>
        <v>0</v>
      </c>
      <c r="Z318" s="74">
        <f>Devis[[#This Row],[Poste 5]]*Devis[[#This Row],[Prix de Revient]]</f>
        <v>0</v>
      </c>
      <c r="AA318" s="74">
        <f>Devis[[#This Row],[Prix de Revient]]*Devis[[#This Row],[Poste 6]]</f>
        <v>0</v>
      </c>
      <c r="AB318" s="74">
        <f>Devis[[#This Row],[Quantité Totale]]*Devis[[#This Row],[Prix de Revient]]</f>
        <v>0</v>
      </c>
    </row>
    <row r="319" spans="1:28" ht="14.25" outlineLevel="1" x14ac:dyDescent="0.2">
      <c r="A319" s="75" t="s">
        <v>120</v>
      </c>
      <c r="B319" s="76" t="s">
        <v>4440</v>
      </c>
      <c r="C319" s="71" t="s">
        <v>4446</v>
      </c>
      <c r="D319" s="81" t="str">
        <f t="shared" si="6"/>
        <v>CablageCABLES SOUPLES CUIVRE3X</v>
      </c>
      <c r="E319" s="76" t="s">
        <v>4447</v>
      </c>
      <c r="F319" s="81">
        <v>4</v>
      </c>
      <c r="G319" s="71" t="s">
        <v>183</v>
      </c>
      <c r="H319" s="79"/>
      <c r="I319" s="71"/>
      <c r="J319" s="70">
        <f>IFERROR(VLOOKUP(Devis[[#This Row],[Ref Air Flux]],#REF!,3,FALSE),0)</f>
        <v>0</v>
      </c>
      <c r="K319" s="68"/>
      <c r="L319" s="68"/>
      <c r="M319" s="68"/>
      <c r="N319" s="68"/>
      <c r="O319" s="68"/>
      <c r="P319" s="68"/>
      <c r="Q319" s="68">
        <f>SUM(Devis[[#This Row],[Poste 1]:[Poste 6]])</f>
        <v>0</v>
      </c>
      <c r="R319" s="71"/>
      <c r="S319" s="68">
        <f>_xlfn.CEILING.MATH(Devis[[#This Row],[Quantité Totale]],Devis[[#This Row],[Conditionnement]])</f>
        <v>0</v>
      </c>
      <c r="T319" s="72"/>
      <c r="U319" s="73"/>
      <c r="V319" s="74">
        <f>Devis[[#This Row],[Prix de Revient]]*Devis[[#This Row],[Poste 1]]</f>
        <v>0</v>
      </c>
      <c r="W319" s="74">
        <f>Devis[[#This Row],[Prix de Revient]]*Devis[[#This Row],[Poste 2]]</f>
        <v>0</v>
      </c>
      <c r="X319" s="74">
        <f>Devis[[#This Row],[Prix de Revient]]*Devis[[#This Row],[Poste 3]]</f>
        <v>0</v>
      </c>
      <c r="Y319" s="74">
        <f>Devis[[#This Row],[Poste 4]]*Devis[[#This Row],[Prix de Revient]]</f>
        <v>0</v>
      </c>
      <c r="Z319" s="74">
        <f>Devis[[#This Row],[Poste 5]]*Devis[[#This Row],[Prix de Revient]]</f>
        <v>0</v>
      </c>
      <c r="AA319" s="74">
        <f>Devis[[#This Row],[Prix de Revient]]*Devis[[#This Row],[Poste 6]]</f>
        <v>0</v>
      </c>
      <c r="AB319" s="74">
        <f>Devis[[#This Row],[Quantité Totale]]*Devis[[#This Row],[Prix de Revient]]</f>
        <v>0</v>
      </c>
    </row>
    <row r="320" spans="1:28" ht="14.25" outlineLevel="1" x14ac:dyDescent="0.2">
      <c r="A320" s="75" t="s">
        <v>120</v>
      </c>
      <c r="B320" s="76" t="s">
        <v>4440</v>
      </c>
      <c r="C320" s="71" t="s">
        <v>4444</v>
      </c>
      <c r="D320" s="81" t="str">
        <f t="shared" si="6"/>
        <v>CablageCABLES SOUPLES CUIVRE2X</v>
      </c>
      <c r="E320" s="76" t="s">
        <v>184</v>
      </c>
      <c r="F320" s="81">
        <v>5</v>
      </c>
      <c r="G320" s="71" t="s">
        <v>185</v>
      </c>
      <c r="H320" s="79"/>
      <c r="I320" s="71"/>
      <c r="J320" s="70">
        <f>IFERROR(VLOOKUP(Devis[[#This Row],[Ref Air Flux]],#REF!,3,FALSE),0)</f>
        <v>0</v>
      </c>
      <c r="K320" s="68"/>
      <c r="L320" s="68"/>
      <c r="M320" s="68"/>
      <c r="N320" s="68"/>
      <c r="O320" s="68"/>
      <c r="P320" s="68"/>
      <c r="Q320" s="68">
        <f>SUM(Devis[[#This Row],[Poste 1]:[Poste 6]])</f>
        <v>0</v>
      </c>
      <c r="R320" s="71"/>
      <c r="S320" s="68">
        <f>_xlfn.CEILING.MATH(Devis[[#This Row],[Quantité Totale]],Devis[[#This Row],[Conditionnement]])</f>
        <v>0</v>
      </c>
      <c r="T320" s="72"/>
      <c r="U320" s="73"/>
      <c r="V320" s="74">
        <f>Devis[[#This Row],[Prix de Revient]]*Devis[[#This Row],[Poste 1]]</f>
        <v>0</v>
      </c>
      <c r="W320" s="74">
        <f>Devis[[#This Row],[Prix de Revient]]*Devis[[#This Row],[Poste 2]]</f>
        <v>0</v>
      </c>
      <c r="X320" s="74">
        <f>Devis[[#This Row],[Prix de Revient]]*Devis[[#This Row],[Poste 3]]</f>
        <v>0</v>
      </c>
      <c r="Y320" s="74">
        <f>Devis[[#This Row],[Poste 4]]*Devis[[#This Row],[Prix de Revient]]</f>
        <v>0</v>
      </c>
      <c r="Z320" s="74">
        <f>Devis[[#This Row],[Poste 5]]*Devis[[#This Row],[Prix de Revient]]</f>
        <v>0</v>
      </c>
      <c r="AA320" s="74">
        <f>Devis[[#This Row],[Prix de Revient]]*Devis[[#This Row],[Poste 6]]</f>
        <v>0</v>
      </c>
      <c r="AB320" s="74">
        <f>Devis[[#This Row],[Quantité Totale]]*Devis[[#This Row],[Prix de Revient]]</f>
        <v>0</v>
      </c>
    </row>
    <row r="321" spans="1:28" ht="14.25" outlineLevel="1" x14ac:dyDescent="0.2">
      <c r="A321" s="75" t="s">
        <v>120</v>
      </c>
      <c r="B321" s="76" t="s">
        <v>4440</v>
      </c>
      <c r="C321" s="71" t="s">
        <v>4444</v>
      </c>
      <c r="D321" s="81" t="str">
        <f t="shared" si="6"/>
        <v>CablageCABLES SOUPLES CUIVRE2X</v>
      </c>
      <c r="E321" s="76" t="s">
        <v>4448</v>
      </c>
      <c r="F321" s="81">
        <v>6</v>
      </c>
      <c r="G321" s="71" t="s">
        <v>186</v>
      </c>
      <c r="H321" s="73"/>
      <c r="I321" s="71"/>
      <c r="J321" s="70">
        <f>IFERROR(VLOOKUP(Devis[[#This Row],[Ref Air Flux]],#REF!,3,FALSE),0)</f>
        <v>0</v>
      </c>
      <c r="K321" s="68"/>
      <c r="L321" s="68"/>
      <c r="M321" s="68"/>
      <c r="N321" s="68"/>
      <c r="O321" s="68"/>
      <c r="P321" s="68"/>
      <c r="Q321" s="68">
        <f>SUM(Devis[[#This Row],[Poste 1]:[Poste 6]])</f>
        <v>0</v>
      </c>
      <c r="R321" s="71"/>
      <c r="S321" s="68">
        <f>_xlfn.CEILING.MATH(Devis[[#This Row],[Quantité Totale]],Devis[[#This Row],[Conditionnement]])</f>
        <v>0</v>
      </c>
      <c r="T321" s="72"/>
      <c r="U321" s="73"/>
      <c r="V321" s="74">
        <f>Devis[[#This Row],[Prix de Revient]]*Devis[[#This Row],[Poste 1]]</f>
        <v>0</v>
      </c>
      <c r="W321" s="74">
        <f>Devis[[#This Row],[Prix de Revient]]*Devis[[#This Row],[Poste 2]]</f>
        <v>0</v>
      </c>
      <c r="X321" s="74">
        <f>Devis[[#This Row],[Prix de Revient]]*Devis[[#This Row],[Poste 3]]</f>
        <v>0</v>
      </c>
      <c r="Y321" s="74">
        <f>Devis[[#This Row],[Poste 4]]*Devis[[#This Row],[Prix de Revient]]</f>
        <v>0</v>
      </c>
      <c r="Z321" s="74">
        <f>Devis[[#This Row],[Poste 5]]*Devis[[#This Row],[Prix de Revient]]</f>
        <v>0</v>
      </c>
      <c r="AA321" s="74">
        <f>Devis[[#This Row],[Prix de Revient]]*Devis[[#This Row],[Poste 6]]</f>
        <v>0</v>
      </c>
      <c r="AB321" s="74">
        <f>Devis[[#This Row],[Quantité Totale]]*Devis[[#This Row],[Prix de Revient]]</f>
        <v>0</v>
      </c>
    </row>
    <row r="322" spans="1:28" ht="14.25" outlineLevel="1" x14ac:dyDescent="0.2">
      <c r="A322" s="75" t="s">
        <v>120</v>
      </c>
      <c r="B322" s="76" t="s">
        <v>4440</v>
      </c>
      <c r="C322" s="71" t="s">
        <v>4449</v>
      </c>
      <c r="D322" s="81" t="str">
        <f t="shared" si="6"/>
        <v>CablageCABLES SOUPLES CUIVRE3G</v>
      </c>
      <c r="E322" s="76" t="s">
        <v>4450</v>
      </c>
      <c r="F322" s="81">
        <v>7</v>
      </c>
      <c r="G322" s="71" t="s">
        <v>188</v>
      </c>
      <c r="H322" s="79"/>
      <c r="I322" s="71"/>
      <c r="J322" s="70">
        <f>IFERROR(VLOOKUP(Devis[[#This Row],[Ref Air Flux]],#REF!,3,FALSE),0)</f>
        <v>0</v>
      </c>
      <c r="K322" s="68"/>
      <c r="L322" s="68"/>
      <c r="M322" s="68"/>
      <c r="N322" s="68"/>
      <c r="O322" s="68"/>
      <c r="P322" s="68"/>
      <c r="Q322" s="68">
        <f>SUM(Devis[[#This Row],[Poste 1]:[Poste 6]])</f>
        <v>0</v>
      </c>
      <c r="R322" s="71"/>
      <c r="S322" s="68">
        <f>_xlfn.CEILING.MATH(Devis[[#This Row],[Quantité Totale]],Devis[[#This Row],[Conditionnement]])</f>
        <v>0</v>
      </c>
      <c r="T322" s="72"/>
      <c r="U322" s="73" t="s">
        <v>189</v>
      </c>
      <c r="V322" s="74">
        <f>Devis[[#This Row],[Prix de Revient]]*Devis[[#This Row],[Poste 1]]</f>
        <v>0</v>
      </c>
      <c r="W322" s="74">
        <f>Devis[[#This Row],[Prix de Revient]]*Devis[[#This Row],[Poste 2]]</f>
        <v>0</v>
      </c>
      <c r="X322" s="74">
        <f>Devis[[#This Row],[Prix de Revient]]*Devis[[#This Row],[Poste 3]]</f>
        <v>0</v>
      </c>
      <c r="Y322" s="74">
        <f>Devis[[#This Row],[Poste 4]]*Devis[[#This Row],[Prix de Revient]]</f>
        <v>0</v>
      </c>
      <c r="Z322" s="74">
        <f>Devis[[#This Row],[Poste 5]]*Devis[[#This Row],[Prix de Revient]]</f>
        <v>0</v>
      </c>
      <c r="AA322" s="74">
        <f>Devis[[#This Row],[Prix de Revient]]*Devis[[#This Row],[Poste 6]]</f>
        <v>0</v>
      </c>
      <c r="AB322" s="74">
        <f>Devis[[#This Row],[Quantité Totale]]*Devis[[#This Row],[Prix de Revient]]</f>
        <v>0</v>
      </c>
    </row>
    <row r="323" spans="1:28" ht="14.25" outlineLevel="1" x14ac:dyDescent="0.2">
      <c r="A323" s="75" t="s">
        <v>120</v>
      </c>
      <c r="B323" s="76" t="s">
        <v>4440</v>
      </c>
      <c r="C323" s="71" t="s">
        <v>4451</v>
      </c>
      <c r="D323" s="81" t="str">
        <f t="shared" si="6"/>
        <v>CablageCABLES SOUPLES CUIVRE4G</v>
      </c>
      <c r="E323" s="76" t="s">
        <v>190</v>
      </c>
      <c r="F323" s="81">
        <v>8</v>
      </c>
      <c r="G323" s="71" t="s">
        <v>4452</v>
      </c>
      <c r="H323" s="79"/>
      <c r="I323" s="71"/>
      <c r="J323" s="70">
        <f>IFERROR(VLOOKUP(Devis[[#This Row],[Ref Air Flux]],#REF!,3,FALSE),0)</f>
        <v>0</v>
      </c>
      <c r="K323" s="68"/>
      <c r="L323" s="68"/>
      <c r="M323" s="68"/>
      <c r="N323" s="68"/>
      <c r="O323" s="68"/>
      <c r="P323" s="68"/>
      <c r="Q323" s="68">
        <f>SUM(Devis[[#This Row],[Poste 1]:[Poste 6]])</f>
        <v>0</v>
      </c>
      <c r="R323" s="71"/>
      <c r="S323" s="68">
        <f>_xlfn.CEILING.MATH(Devis[[#This Row],[Quantité Totale]],Devis[[#This Row],[Conditionnement]])</f>
        <v>0</v>
      </c>
      <c r="T323" s="72"/>
      <c r="U323" s="73"/>
      <c r="V323" s="74">
        <f>Devis[[#This Row],[Prix de Revient]]*Devis[[#This Row],[Poste 1]]</f>
        <v>0</v>
      </c>
      <c r="W323" s="74">
        <f>Devis[[#This Row],[Prix de Revient]]*Devis[[#This Row],[Poste 2]]</f>
        <v>0</v>
      </c>
      <c r="X323" s="74">
        <f>Devis[[#This Row],[Prix de Revient]]*Devis[[#This Row],[Poste 3]]</f>
        <v>0</v>
      </c>
      <c r="Y323" s="74">
        <f>Devis[[#This Row],[Poste 4]]*Devis[[#This Row],[Prix de Revient]]</f>
        <v>0</v>
      </c>
      <c r="Z323" s="74">
        <f>Devis[[#This Row],[Poste 5]]*Devis[[#This Row],[Prix de Revient]]</f>
        <v>0</v>
      </c>
      <c r="AA323" s="74">
        <f>Devis[[#This Row],[Prix de Revient]]*Devis[[#This Row],[Poste 6]]</f>
        <v>0</v>
      </c>
      <c r="AB323" s="74">
        <f>Devis[[#This Row],[Quantité Totale]]*Devis[[#This Row],[Prix de Revient]]</f>
        <v>0</v>
      </c>
    </row>
    <row r="324" spans="1:28" ht="14.25" outlineLevel="1" x14ac:dyDescent="0.2">
      <c r="A324" s="75" t="s">
        <v>120</v>
      </c>
      <c r="B324" s="76" t="s">
        <v>4440</v>
      </c>
      <c r="C324" s="71" t="s">
        <v>4443</v>
      </c>
      <c r="D324" s="81" t="str">
        <f t="shared" si="6"/>
        <v>CablageCABLES SOUPLES CUIVRE5G</v>
      </c>
      <c r="E324" s="76" t="s">
        <v>4453</v>
      </c>
      <c r="F324" s="81">
        <v>9</v>
      </c>
      <c r="G324" s="71" t="s">
        <v>192</v>
      </c>
      <c r="H324" s="79"/>
      <c r="I324" s="71"/>
      <c r="J324" s="70">
        <f>IFERROR(VLOOKUP(Devis[[#This Row],[Ref Air Flux]],#REF!,3,FALSE),0)</f>
        <v>0</v>
      </c>
      <c r="K324" s="68"/>
      <c r="L324" s="68"/>
      <c r="M324" s="68"/>
      <c r="N324" s="68"/>
      <c r="O324" s="68"/>
      <c r="P324" s="68"/>
      <c r="Q324" s="68">
        <f>SUM(Devis[[#This Row],[Poste 1]:[Poste 6]])</f>
        <v>0</v>
      </c>
      <c r="R324" s="71"/>
      <c r="S324" s="68">
        <f>_xlfn.CEILING.MATH(Devis[[#This Row],[Quantité Totale]],Devis[[#This Row],[Conditionnement]])</f>
        <v>0</v>
      </c>
      <c r="T324" s="72"/>
      <c r="U324" s="73"/>
      <c r="V324" s="74">
        <f>Devis[[#This Row],[Prix de Revient]]*Devis[[#This Row],[Poste 1]]</f>
        <v>0</v>
      </c>
      <c r="W324" s="74">
        <f>Devis[[#This Row],[Prix de Revient]]*Devis[[#This Row],[Poste 2]]</f>
        <v>0</v>
      </c>
      <c r="X324" s="74">
        <f>Devis[[#This Row],[Prix de Revient]]*Devis[[#This Row],[Poste 3]]</f>
        <v>0</v>
      </c>
      <c r="Y324" s="74">
        <f>Devis[[#This Row],[Poste 4]]*Devis[[#This Row],[Prix de Revient]]</f>
        <v>0</v>
      </c>
      <c r="Z324" s="74">
        <f>Devis[[#This Row],[Poste 5]]*Devis[[#This Row],[Prix de Revient]]</f>
        <v>0</v>
      </c>
      <c r="AA324" s="74">
        <f>Devis[[#This Row],[Prix de Revient]]*Devis[[#This Row],[Poste 6]]</f>
        <v>0</v>
      </c>
      <c r="AB324" s="74">
        <f>Devis[[#This Row],[Quantité Totale]]*Devis[[#This Row],[Prix de Revient]]</f>
        <v>0</v>
      </c>
    </row>
    <row r="325" spans="1:28" ht="14.25" outlineLevel="1" x14ac:dyDescent="0.2">
      <c r="A325" s="75" t="s">
        <v>120</v>
      </c>
      <c r="B325" s="76" t="s">
        <v>4440</v>
      </c>
      <c r="C325" s="71" t="s">
        <v>4449</v>
      </c>
      <c r="D325" s="81" t="str">
        <f t="shared" si="6"/>
        <v>CablageCABLES SOUPLES CUIVRE3G</v>
      </c>
      <c r="E325" s="76" t="s">
        <v>193</v>
      </c>
      <c r="F325" s="81">
        <v>10</v>
      </c>
      <c r="G325" s="71" t="s">
        <v>194</v>
      </c>
      <c r="H325" s="79"/>
      <c r="I325" s="71"/>
      <c r="J325" s="70">
        <f>IFERROR(VLOOKUP(Devis[[#This Row],[Ref Air Flux]],#REF!,3,FALSE),0)</f>
        <v>0</v>
      </c>
      <c r="K325" s="68"/>
      <c r="L325" s="68"/>
      <c r="M325" s="68"/>
      <c r="N325" s="68"/>
      <c r="O325" s="68"/>
      <c r="P325" s="68"/>
      <c r="Q325" s="68">
        <f>SUM(Devis[[#This Row],[Poste 1]:[Poste 6]])</f>
        <v>0</v>
      </c>
      <c r="R325" s="71"/>
      <c r="S325" s="68">
        <f>_xlfn.CEILING.MATH(Devis[[#This Row],[Quantité Totale]],Devis[[#This Row],[Conditionnement]])</f>
        <v>0</v>
      </c>
      <c r="T325" s="72"/>
      <c r="U325" s="73"/>
      <c r="V325" s="74">
        <f>Devis[[#This Row],[Prix de Revient]]*Devis[[#This Row],[Poste 1]]</f>
        <v>0</v>
      </c>
      <c r="W325" s="74">
        <f>Devis[[#This Row],[Prix de Revient]]*Devis[[#This Row],[Poste 2]]</f>
        <v>0</v>
      </c>
      <c r="X325" s="74">
        <f>Devis[[#This Row],[Prix de Revient]]*Devis[[#This Row],[Poste 3]]</f>
        <v>0</v>
      </c>
      <c r="Y325" s="74">
        <f>Devis[[#This Row],[Poste 4]]*Devis[[#This Row],[Prix de Revient]]</f>
        <v>0</v>
      </c>
      <c r="Z325" s="74">
        <f>Devis[[#This Row],[Poste 5]]*Devis[[#This Row],[Prix de Revient]]</f>
        <v>0</v>
      </c>
      <c r="AA325" s="74">
        <f>Devis[[#This Row],[Prix de Revient]]*Devis[[#This Row],[Poste 6]]</f>
        <v>0</v>
      </c>
      <c r="AB325" s="74">
        <f>Devis[[#This Row],[Quantité Totale]]*Devis[[#This Row],[Prix de Revient]]</f>
        <v>0</v>
      </c>
    </row>
    <row r="326" spans="1:28" ht="14.25" outlineLevel="1" x14ac:dyDescent="0.2">
      <c r="A326" s="75" t="s">
        <v>120</v>
      </c>
      <c r="B326" s="76" t="s">
        <v>4440</v>
      </c>
      <c r="C326" s="71" t="s">
        <v>4451</v>
      </c>
      <c r="D326" s="81" t="str">
        <f t="shared" si="6"/>
        <v>CablageCABLES SOUPLES CUIVRE4G</v>
      </c>
      <c r="E326" s="76" t="s">
        <v>195</v>
      </c>
      <c r="F326" s="81">
        <v>11</v>
      </c>
      <c r="G326" s="71" t="s">
        <v>196</v>
      </c>
      <c r="H326" s="79"/>
      <c r="I326" s="71"/>
      <c r="J326" s="70">
        <f>IFERROR(VLOOKUP(Devis[[#This Row],[Ref Air Flux]],#REF!,3,FALSE),0)</f>
        <v>0</v>
      </c>
      <c r="K326" s="68"/>
      <c r="L326" s="68"/>
      <c r="M326" s="68"/>
      <c r="N326" s="68"/>
      <c r="O326" s="68"/>
      <c r="P326" s="68"/>
      <c r="Q326" s="68">
        <f>SUM(Devis[[#This Row],[Poste 1]:[Poste 6]])</f>
        <v>0</v>
      </c>
      <c r="R326" s="71"/>
      <c r="S326" s="68">
        <f>_xlfn.CEILING.MATH(Devis[[#This Row],[Quantité Totale]],Devis[[#This Row],[Conditionnement]])</f>
        <v>0</v>
      </c>
      <c r="T326" s="72"/>
      <c r="U326" s="73"/>
      <c r="V326" s="74">
        <f>Devis[[#This Row],[Prix de Revient]]*Devis[[#This Row],[Poste 1]]</f>
        <v>0</v>
      </c>
      <c r="W326" s="74">
        <f>Devis[[#This Row],[Prix de Revient]]*Devis[[#This Row],[Poste 2]]</f>
        <v>0</v>
      </c>
      <c r="X326" s="74">
        <f>Devis[[#This Row],[Prix de Revient]]*Devis[[#This Row],[Poste 3]]</f>
        <v>0</v>
      </c>
      <c r="Y326" s="74">
        <f>Devis[[#This Row],[Poste 4]]*Devis[[#This Row],[Prix de Revient]]</f>
        <v>0</v>
      </c>
      <c r="Z326" s="74">
        <f>Devis[[#This Row],[Poste 5]]*Devis[[#This Row],[Prix de Revient]]</f>
        <v>0</v>
      </c>
      <c r="AA326" s="74">
        <f>Devis[[#This Row],[Prix de Revient]]*Devis[[#This Row],[Poste 6]]</f>
        <v>0</v>
      </c>
      <c r="AB326" s="74">
        <f>Devis[[#This Row],[Quantité Totale]]*Devis[[#This Row],[Prix de Revient]]</f>
        <v>0</v>
      </c>
    </row>
    <row r="327" spans="1:28" ht="14.25" outlineLevel="1" x14ac:dyDescent="0.2">
      <c r="A327" s="75" t="s">
        <v>120</v>
      </c>
      <c r="B327" s="76" t="s">
        <v>4440</v>
      </c>
      <c r="C327" s="71" t="s">
        <v>4454</v>
      </c>
      <c r="D327" s="81" t="str">
        <f t="shared" si="6"/>
        <v>CablageCABLES SOUPLES CUIVRE12G</v>
      </c>
      <c r="E327" s="76" t="s">
        <v>4455</v>
      </c>
      <c r="F327" s="81">
        <v>12</v>
      </c>
      <c r="G327" s="71" t="s">
        <v>4456</v>
      </c>
      <c r="H327" s="71"/>
      <c r="I327" s="71"/>
      <c r="J327" s="70">
        <f>IFERROR(VLOOKUP(Devis[[#This Row],[Ref Air Flux]],#REF!,3,FALSE),0)</f>
        <v>0</v>
      </c>
      <c r="K327" s="68"/>
      <c r="L327" s="68"/>
      <c r="M327" s="68"/>
      <c r="N327" s="68"/>
      <c r="O327" s="68"/>
      <c r="P327" s="68"/>
      <c r="Q327" s="68">
        <f>SUM(Devis[[#This Row],[Poste 1]:[Poste 6]])</f>
        <v>0</v>
      </c>
      <c r="R327" s="71"/>
      <c r="S327" s="68">
        <f>_xlfn.CEILING.MATH(Devis[[#This Row],[Quantité Totale]],Devis[[#This Row],[Conditionnement]])</f>
        <v>0</v>
      </c>
      <c r="T327" s="72"/>
      <c r="U327" s="73"/>
      <c r="V327" s="74">
        <f>Devis[[#This Row],[Prix de Revient]]*Devis[[#This Row],[Poste 1]]</f>
        <v>0</v>
      </c>
      <c r="W327" s="74">
        <f>Devis[[#This Row],[Prix de Revient]]*Devis[[#This Row],[Poste 2]]</f>
        <v>0</v>
      </c>
      <c r="X327" s="74">
        <f>Devis[[#This Row],[Prix de Revient]]*Devis[[#This Row],[Poste 3]]</f>
        <v>0</v>
      </c>
      <c r="Y327" s="74">
        <f>Devis[[#This Row],[Poste 4]]*Devis[[#This Row],[Prix de Revient]]</f>
        <v>0</v>
      </c>
      <c r="Z327" s="74">
        <f>Devis[[#This Row],[Poste 5]]*Devis[[#This Row],[Prix de Revient]]</f>
        <v>0</v>
      </c>
      <c r="AA327" s="74">
        <f>Devis[[#This Row],[Prix de Revient]]*Devis[[#This Row],[Poste 6]]</f>
        <v>0</v>
      </c>
      <c r="AB327" s="74">
        <f>Devis[[#This Row],[Quantité Totale]]*Devis[[#This Row],[Prix de Revient]]</f>
        <v>0</v>
      </c>
    </row>
    <row r="328" spans="1:28" ht="14.25" outlineLevel="1" x14ac:dyDescent="0.2">
      <c r="A328" s="75" t="s">
        <v>120</v>
      </c>
      <c r="B328" s="76" t="s">
        <v>4440</v>
      </c>
      <c r="C328" s="71" t="s">
        <v>4441</v>
      </c>
      <c r="D328" s="81" t="str">
        <f t="shared" si="6"/>
        <v>CablageCABLES SOUPLES CUIVRE7G</v>
      </c>
      <c r="E328" s="76" t="s">
        <v>179</v>
      </c>
      <c r="F328" s="81">
        <v>13</v>
      </c>
      <c r="G328" s="71" t="s">
        <v>4457</v>
      </c>
      <c r="H328" s="71"/>
      <c r="I328" s="71"/>
      <c r="J328" s="70">
        <f>IFERROR(VLOOKUP(Devis[[#This Row],[Ref Air Flux]],#REF!,3,FALSE),0)</f>
        <v>0</v>
      </c>
      <c r="K328" s="68"/>
      <c r="L328" s="68"/>
      <c r="M328" s="68"/>
      <c r="N328" s="68"/>
      <c r="O328" s="68"/>
      <c r="P328" s="68"/>
      <c r="Q328" s="68">
        <f>SUM(Devis[[#This Row],[Poste 1]:[Poste 6]])</f>
        <v>0</v>
      </c>
      <c r="R328" s="71"/>
      <c r="S328" s="68">
        <f>_xlfn.CEILING.MATH(Devis[[#This Row],[Quantité Totale]],Devis[[#This Row],[Conditionnement]])</f>
        <v>0</v>
      </c>
      <c r="T328" s="72"/>
      <c r="U328" s="73"/>
      <c r="V328" s="74">
        <f>Devis[[#This Row],[Prix de Revient]]*Devis[[#This Row],[Poste 1]]</f>
        <v>0</v>
      </c>
      <c r="W328" s="74">
        <f>Devis[[#This Row],[Prix de Revient]]*Devis[[#This Row],[Poste 2]]</f>
        <v>0</v>
      </c>
      <c r="X328" s="74">
        <f>Devis[[#This Row],[Prix de Revient]]*Devis[[#This Row],[Poste 3]]</f>
        <v>0</v>
      </c>
      <c r="Y328" s="74">
        <f>Devis[[#This Row],[Poste 4]]*Devis[[#This Row],[Prix de Revient]]</f>
        <v>0</v>
      </c>
      <c r="Z328" s="74">
        <f>Devis[[#This Row],[Poste 5]]*Devis[[#This Row],[Prix de Revient]]</f>
        <v>0</v>
      </c>
      <c r="AA328" s="74">
        <f>Devis[[#This Row],[Prix de Revient]]*Devis[[#This Row],[Poste 6]]</f>
        <v>0</v>
      </c>
      <c r="AB328" s="74">
        <f>Devis[[#This Row],[Quantité Totale]]*Devis[[#This Row],[Prix de Revient]]</f>
        <v>0</v>
      </c>
    </row>
    <row r="329" spans="1:28" ht="14.25" outlineLevel="1" x14ac:dyDescent="0.2">
      <c r="A329" s="75" t="s">
        <v>120</v>
      </c>
      <c r="B329" s="76" t="s">
        <v>4440</v>
      </c>
      <c r="C329" s="71" t="s">
        <v>4458</v>
      </c>
      <c r="D329" s="81" t="str">
        <f t="shared" si="6"/>
        <v>CablageCABLES SOUPLES CUIVRE2G</v>
      </c>
      <c r="E329" s="76" t="s">
        <v>4459</v>
      </c>
      <c r="F329" s="81">
        <v>14</v>
      </c>
      <c r="G329" s="71" t="s">
        <v>4460</v>
      </c>
      <c r="H329" s="71"/>
      <c r="I329" s="71"/>
      <c r="J329" s="70">
        <f>IFERROR(VLOOKUP(Devis[[#This Row],[Ref Air Flux]],#REF!,3,FALSE),0)</f>
        <v>0</v>
      </c>
      <c r="K329" s="68"/>
      <c r="L329" s="68"/>
      <c r="M329" s="68"/>
      <c r="N329" s="68"/>
      <c r="O329" s="68"/>
      <c r="P329" s="68"/>
      <c r="Q329" s="68">
        <f>SUM(Devis[[#This Row],[Poste 1]:[Poste 6]])</f>
        <v>0</v>
      </c>
      <c r="R329" s="71"/>
      <c r="S329" s="68">
        <f>_xlfn.CEILING.MATH(Devis[[#This Row],[Quantité Totale]],Devis[[#This Row],[Conditionnement]])</f>
        <v>0</v>
      </c>
      <c r="T329" s="72"/>
      <c r="U329" s="73"/>
      <c r="V329" s="74">
        <f>Devis[[#This Row],[Prix de Revient]]*Devis[[#This Row],[Poste 1]]</f>
        <v>0</v>
      </c>
      <c r="W329" s="74">
        <f>Devis[[#This Row],[Prix de Revient]]*Devis[[#This Row],[Poste 2]]</f>
        <v>0</v>
      </c>
      <c r="X329" s="74">
        <f>Devis[[#This Row],[Prix de Revient]]*Devis[[#This Row],[Poste 3]]</f>
        <v>0</v>
      </c>
      <c r="Y329" s="74">
        <f>Devis[[#This Row],[Poste 4]]*Devis[[#This Row],[Prix de Revient]]</f>
        <v>0</v>
      </c>
      <c r="Z329" s="74">
        <f>Devis[[#This Row],[Poste 5]]*Devis[[#This Row],[Prix de Revient]]</f>
        <v>0</v>
      </c>
      <c r="AA329" s="74">
        <f>Devis[[#This Row],[Prix de Revient]]*Devis[[#This Row],[Poste 6]]</f>
        <v>0</v>
      </c>
      <c r="AB329" s="74">
        <f>Devis[[#This Row],[Quantité Totale]]*Devis[[#This Row],[Prix de Revient]]</f>
        <v>0</v>
      </c>
    </row>
    <row r="330" spans="1:28" ht="14.25" outlineLevel="1" x14ac:dyDescent="0.2">
      <c r="A330" s="75" t="s">
        <v>120</v>
      </c>
      <c r="B330" s="76" t="s">
        <v>4440</v>
      </c>
      <c r="C330" s="71" t="s">
        <v>4449</v>
      </c>
      <c r="D330" s="81" t="str">
        <f t="shared" si="6"/>
        <v>CablageCABLES SOUPLES CUIVRE3G</v>
      </c>
      <c r="E330" s="76" t="s">
        <v>187</v>
      </c>
      <c r="F330" s="81">
        <v>15</v>
      </c>
      <c r="G330" s="71" t="s">
        <v>4461</v>
      </c>
      <c r="H330" s="71"/>
      <c r="I330" s="71"/>
      <c r="J330" s="70">
        <f>IFERROR(VLOOKUP(Devis[[#This Row],[Ref Air Flux]],#REF!,3,FALSE),0)</f>
        <v>0</v>
      </c>
      <c r="K330" s="68"/>
      <c r="L330" s="68"/>
      <c r="M330" s="68"/>
      <c r="N330" s="68"/>
      <c r="O330" s="68"/>
      <c r="P330" s="68"/>
      <c r="Q330" s="68">
        <f>SUM(Devis[[#This Row],[Poste 1]:[Poste 6]])</f>
        <v>0</v>
      </c>
      <c r="R330" s="71"/>
      <c r="S330" s="68">
        <f>_xlfn.CEILING.MATH(Devis[[#This Row],[Quantité Totale]],Devis[[#This Row],[Conditionnement]])</f>
        <v>0</v>
      </c>
      <c r="T330" s="72"/>
      <c r="U330" s="73"/>
      <c r="V330" s="74">
        <f>Devis[[#This Row],[Prix de Revient]]*Devis[[#This Row],[Poste 1]]</f>
        <v>0</v>
      </c>
      <c r="W330" s="74">
        <f>Devis[[#This Row],[Prix de Revient]]*Devis[[#This Row],[Poste 2]]</f>
        <v>0</v>
      </c>
      <c r="X330" s="74">
        <f>Devis[[#This Row],[Prix de Revient]]*Devis[[#This Row],[Poste 3]]</f>
        <v>0</v>
      </c>
      <c r="Y330" s="74">
        <f>Devis[[#This Row],[Poste 4]]*Devis[[#This Row],[Prix de Revient]]</f>
        <v>0</v>
      </c>
      <c r="Z330" s="74">
        <f>Devis[[#This Row],[Poste 5]]*Devis[[#This Row],[Prix de Revient]]</f>
        <v>0</v>
      </c>
      <c r="AA330" s="74">
        <f>Devis[[#This Row],[Prix de Revient]]*Devis[[#This Row],[Poste 6]]</f>
        <v>0</v>
      </c>
      <c r="AB330" s="74">
        <f>Devis[[#This Row],[Quantité Totale]]*Devis[[#This Row],[Prix de Revient]]</f>
        <v>0</v>
      </c>
    </row>
    <row r="331" spans="1:28" ht="14.25" outlineLevel="1" x14ac:dyDescent="0.2">
      <c r="A331" s="75" t="s">
        <v>120</v>
      </c>
      <c r="B331" s="76" t="s">
        <v>4440</v>
      </c>
      <c r="C331" s="71" t="s">
        <v>4449</v>
      </c>
      <c r="D331" s="81" t="str">
        <f t="shared" si="6"/>
        <v>CablageCABLES SOUPLES CUIVRE3G</v>
      </c>
      <c r="E331" s="76" t="s">
        <v>187</v>
      </c>
      <c r="F331" s="81">
        <v>16</v>
      </c>
      <c r="G331" s="71" t="s">
        <v>4462</v>
      </c>
      <c r="H331" s="71"/>
      <c r="I331" s="71"/>
      <c r="J331" s="70">
        <f>IFERROR(VLOOKUP(Devis[[#This Row],[Ref Air Flux]],#REF!,3,FALSE),0)</f>
        <v>0</v>
      </c>
      <c r="K331" s="68"/>
      <c r="L331" s="68"/>
      <c r="M331" s="68"/>
      <c r="N331" s="68"/>
      <c r="O331" s="68"/>
      <c r="P331" s="68"/>
      <c r="Q331" s="68">
        <f>SUM(Devis[[#This Row],[Poste 1]:[Poste 6]])</f>
        <v>0</v>
      </c>
      <c r="R331" s="71"/>
      <c r="S331" s="68">
        <f>_xlfn.CEILING.MATH(Devis[[#This Row],[Quantité Totale]],Devis[[#This Row],[Conditionnement]])</f>
        <v>0</v>
      </c>
      <c r="T331" s="72"/>
      <c r="U331" s="73"/>
      <c r="V331" s="74">
        <f>Devis[[#This Row],[Prix de Revient]]*Devis[[#This Row],[Poste 1]]</f>
        <v>0</v>
      </c>
      <c r="W331" s="74">
        <f>Devis[[#This Row],[Prix de Revient]]*Devis[[#This Row],[Poste 2]]</f>
        <v>0</v>
      </c>
      <c r="X331" s="74">
        <f>Devis[[#This Row],[Prix de Revient]]*Devis[[#This Row],[Poste 3]]</f>
        <v>0</v>
      </c>
      <c r="Y331" s="74">
        <f>Devis[[#This Row],[Poste 4]]*Devis[[#This Row],[Prix de Revient]]</f>
        <v>0</v>
      </c>
      <c r="Z331" s="74">
        <f>Devis[[#This Row],[Poste 5]]*Devis[[#This Row],[Prix de Revient]]</f>
        <v>0</v>
      </c>
      <c r="AA331" s="74">
        <f>Devis[[#This Row],[Prix de Revient]]*Devis[[#This Row],[Poste 6]]</f>
        <v>0</v>
      </c>
      <c r="AB331" s="74">
        <f>Devis[[#This Row],[Quantité Totale]]*Devis[[#This Row],[Prix de Revient]]</f>
        <v>0</v>
      </c>
    </row>
    <row r="332" spans="1:28" ht="14.25" outlineLevel="1" x14ac:dyDescent="0.2">
      <c r="A332" s="75" t="s">
        <v>120</v>
      </c>
      <c r="B332" s="76" t="s">
        <v>4440</v>
      </c>
      <c r="C332" s="71" t="s">
        <v>4451</v>
      </c>
      <c r="D332" s="81" t="str">
        <f t="shared" si="6"/>
        <v>CablageCABLES SOUPLES CUIVRE4G</v>
      </c>
      <c r="E332" s="76" t="s">
        <v>187</v>
      </c>
      <c r="F332" s="81">
        <v>17</v>
      </c>
      <c r="G332" s="71" t="s">
        <v>4463</v>
      </c>
      <c r="H332" s="71"/>
      <c r="I332" s="71"/>
      <c r="J332" s="70">
        <f>IFERROR(VLOOKUP(Devis[[#This Row],[Ref Air Flux]],#REF!,3,FALSE),0)</f>
        <v>0</v>
      </c>
      <c r="K332" s="68"/>
      <c r="L332" s="68"/>
      <c r="M332" s="68"/>
      <c r="N332" s="68"/>
      <c r="O332" s="68"/>
      <c r="P332" s="68"/>
      <c r="Q332" s="68">
        <f>SUM(Devis[[#This Row],[Poste 1]:[Poste 6]])</f>
        <v>0</v>
      </c>
      <c r="R332" s="71"/>
      <c r="S332" s="68">
        <f>_xlfn.CEILING.MATH(Devis[[#This Row],[Quantité Totale]],Devis[[#This Row],[Conditionnement]])</f>
        <v>0</v>
      </c>
      <c r="T332" s="72"/>
      <c r="U332" s="73"/>
      <c r="V332" s="74">
        <f>Devis[[#This Row],[Prix de Revient]]*Devis[[#This Row],[Poste 1]]</f>
        <v>0</v>
      </c>
      <c r="W332" s="74">
        <f>Devis[[#This Row],[Prix de Revient]]*Devis[[#This Row],[Poste 2]]</f>
        <v>0</v>
      </c>
      <c r="X332" s="74">
        <f>Devis[[#This Row],[Prix de Revient]]*Devis[[#This Row],[Poste 3]]</f>
        <v>0</v>
      </c>
      <c r="Y332" s="74">
        <f>Devis[[#This Row],[Poste 4]]*Devis[[#This Row],[Prix de Revient]]</f>
        <v>0</v>
      </c>
      <c r="Z332" s="74">
        <f>Devis[[#This Row],[Poste 5]]*Devis[[#This Row],[Prix de Revient]]</f>
        <v>0</v>
      </c>
      <c r="AA332" s="74">
        <f>Devis[[#This Row],[Prix de Revient]]*Devis[[#This Row],[Poste 6]]</f>
        <v>0</v>
      </c>
      <c r="AB332" s="74">
        <f>Devis[[#This Row],[Quantité Totale]]*Devis[[#This Row],[Prix de Revient]]</f>
        <v>0</v>
      </c>
    </row>
    <row r="333" spans="1:28" ht="14.25" outlineLevel="1" x14ac:dyDescent="0.2">
      <c r="A333" s="75" t="s">
        <v>120</v>
      </c>
      <c r="B333" s="76" t="s">
        <v>4440</v>
      </c>
      <c r="C333" s="71" t="s">
        <v>4451</v>
      </c>
      <c r="D333" s="81" t="str">
        <f t="shared" si="6"/>
        <v>CablageCABLES SOUPLES CUIVRE4G</v>
      </c>
      <c r="E333" s="76" t="s">
        <v>187</v>
      </c>
      <c r="F333" s="81">
        <v>18</v>
      </c>
      <c r="G333" s="71" t="s">
        <v>4452</v>
      </c>
      <c r="H333" s="71"/>
      <c r="I333" s="71"/>
      <c r="J333" s="70">
        <f>IFERROR(VLOOKUP(Devis[[#This Row],[Ref Air Flux]],#REF!,3,FALSE),0)</f>
        <v>0</v>
      </c>
      <c r="K333" s="68"/>
      <c r="L333" s="68"/>
      <c r="M333" s="68"/>
      <c r="N333" s="68"/>
      <c r="O333" s="68"/>
      <c r="P333" s="68"/>
      <c r="Q333" s="68">
        <f>SUM(Devis[[#This Row],[Poste 1]:[Poste 6]])</f>
        <v>0</v>
      </c>
      <c r="R333" s="71"/>
      <c r="S333" s="68">
        <f>_xlfn.CEILING.MATH(Devis[[#This Row],[Quantité Totale]],Devis[[#This Row],[Conditionnement]])</f>
        <v>0</v>
      </c>
      <c r="T333" s="72"/>
      <c r="U333" s="73"/>
      <c r="V333" s="74">
        <f>Devis[[#This Row],[Prix de Revient]]*Devis[[#This Row],[Poste 1]]</f>
        <v>0</v>
      </c>
      <c r="W333" s="74">
        <f>Devis[[#This Row],[Prix de Revient]]*Devis[[#This Row],[Poste 2]]</f>
        <v>0</v>
      </c>
      <c r="X333" s="74">
        <f>Devis[[#This Row],[Prix de Revient]]*Devis[[#This Row],[Poste 3]]</f>
        <v>0</v>
      </c>
      <c r="Y333" s="74">
        <f>Devis[[#This Row],[Poste 4]]*Devis[[#This Row],[Prix de Revient]]</f>
        <v>0</v>
      </c>
      <c r="Z333" s="74">
        <f>Devis[[#This Row],[Poste 5]]*Devis[[#This Row],[Prix de Revient]]</f>
        <v>0</v>
      </c>
      <c r="AA333" s="74">
        <f>Devis[[#This Row],[Prix de Revient]]*Devis[[#This Row],[Poste 6]]</f>
        <v>0</v>
      </c>
      <c r="AB333" s="74">
        <f>Devis[[#This Row],[Quantité Totale]]*Devis[[#This Row],[Prix de Revient]]</f>
        <v>0</v>
      </c>
    </row>
    <row r="334" spans="1:28" ht="14.25" outlineLevel="1" x14ac:dyDescent="0.2">
      <c r="A334" s="75" t="s">
        <v>120</v>
      </c>
      <c r="B334" s="76" t="s">
        <v>4440</v>
      </c>
      <c r="C334" s="71" t="s">
        <v>4451</v>
      </c>
      <c r="D334" s="81" t="str">
        <f t="shared" si="6"/>
        <v>CablageCABLES SOUPLES CUIVRE4G</v>
      </c>
      <c r="E334" s="76" t="s">
        <v>4464</v>
      </c>
      <c r="F334" s="81">
        <v>19</v>
      </c>
      <c r="G334" s="71" t="s">
        <v>4465</v>
      </c>
      <c r="H334" s="71"/>
      <c r="I334" s="71"/>
      <c r="J334" s="70">
        <f>IFERROR(VLOOKUP(Devis[[#This Row],[Ref Air Flux]],#REF!,3,FALSE),0)</f>
        <v>0</v>
      </c>
      <c r="K334" s="68"/>
      <c r="L334" s="68"/>
      <c r="M334" s="68"/>
      <c r="N334" s="68"/>
      <c r="O334" s="68"/>
      <c r="P334" s="68"/>
      <c r="Q334" s="68">
        <f>SUM(Devis[[#This Row],[Poste 1]:[Poste 6]])</f>
        <v>0</v>
      </c>
      <c r="R334" s="71"/>
      <c r="S334" s="68">
        <f>_xlfn.CEILING.MATH(Devis[[#This Row],[Quantité Totale]],Devis[[#This Row],[Conditionnement]])</f>
        <v>0</v>
      </c>
      <c r="T334" s="72"/>
      <c r="U334" s="73"/>
      <c r="V334" s="74">
        <f>Devis[[#This Row],[Prix de Revient]]*Devis[[#This Row],[Poste 1]]</f>
        <v>0</v>
      </c>
      <c r="W334" s="74">
        <f>Devis[[#This Row],[Prix de Revient]]*Devis[[#This Row],[Poste 2]]</f>
        <v>0</v>
      </c>
      <c r="X334" s="74">
        <f>Devis[[#This Row],[Prix de Revient]]*Devis[[#This Row],[Poste 3]]</f>
        <v>0</v>
      </c>
      <c r="Y334" s="74">
        <f>Devis[[#This Row],[Poste 4]]*Devis[[#This Row],[Prix de Revient]]</f>
        <v>0</v>
      </c>
      <c r="Z334" s="74">
        <f>Devis[[#This Row],[Poste 5]]*Devis[[#This Row],[Prix de Revient]]</f>
        <v>0</v>
      </c>
      <c r="AA334" s="74">
        <f>Devis[[#This Row],[Prix de Revient]]*Devis[[#This Row],[Poste 6]]</f>
        <v>0</v>
      </c>
      <c r="AB334" s="74">
        <f>Devis[[#This Row],[Quantité Totale]]*Devis[[#This Row],[Prix de Revient]]</f>
        <v>0</v>
      </c>
    </row>
    <row r="335" spans="1:28" ht="14.25" outlineLevel="1" x14ac:dyDescent="0.2">
      <c r="A335" s="75" t="s">
        <v>120</v>
      </c>
      <c r="B335" s="76" t="s">
        <v>4440</v>
      </c>
      <c r="C335" s="71" t="s">
        <v>4451</v>
      </c>
      <c r="D335" s="81" t="str">
        <f t="shared" si="6"/>
        <v>CablageCABLES SOUPLES CUIVRE4G</v>
      </c>
      <c r="E335" s="76" t="s">
        <v>4466</v>
      </c>
      <c r="F335" s="81">
        <v>20</v>
      </c>
      <c r="G335" s="71" t="s">
        <v>4467</v>
      </c>
      <c r="H335" s="71"/>
      <c r="I335" s="71"/>
      <c r="J335" s="70">
        <f>IFERROR(VLOOKUP(Devis[[#This Row],[Ref Air Flux]],#REF!,3,FALSE),0)</f>
        <v>0</v>
      </c>
      <c r="K335" s="68"/>
      <c r="L335" s="68"/>
      <c r="M335" s="68"/>
      <c r="N335" s="68"/>
      <c r="O335" s="68"/>
      <c r="P335" s="68"/>
      <c r="Q335" s="68">
        <f>SUM(Devis[[#This Row],[Poste 1]:[Poste 6]])</f>
        <v>0</v>
      </c>
      <c r="R335" s="71"/>
      <c r="S335" s="68">
        <f>_xlfn.CEILING.MATH(Devis[[#This Row],[Quantité Totale]],Devis[[#This Row],[Conditionnement]])</f>
        <v>0</v>
      </c>
      <c r="T335" s="72"/>
      <c r="U335" s="73"/>
      <c r="V335" s="74">
        <f>Devis[[#This Row],[Prix de Revient]]*Devis[[#This Row],[Poste 1]]</f>
        <v>0</v>
      </c>
      <c r="W335" s="74">
        <f>Devis[[#This Row],[Prix de Revient]]*Devis[[#This Row],[Poste 2]]</f>
        <v>0</v>
      </c>
      <c r="X335" s="74">
        <f>Devis[[#This Row],[Prix de Revient]]*Devis[[#This Row],[Poste 3]]</f>
        <v>0</v>
      </c>
      <c r="Y335" s="74">
        <f>Devis[[#This Row],[Poste 4]]*Devis[[#This Row],[Prix de Revient]]</f>
        <v>0</v>
      </c>
      <c r="Z335" s="74">
        <f>Devis[[#This Row],[Poste 5]]*Devis[[#This Row],[Prix de Revient]]</f>
        <v>0</v>
      </c>
      <c r="AA335" s="74">
        <f>Devis[[#This Row],[Prix de Revient]]*Devis[[#This Row],[Poste 6]]</f>
        <v>0</v>
      </c>
      <c r="AB335" s="74">
        <f>Devis[[#This Row],[Quantité Totale]]*Devis[[#This Row],[Prix de Revient]]</f>
        <v>0</v>
      </c>
    </row>
    <row r="336" spans="1:28" ht="15" customHeight="1" outlineLevel="1" x14ac:dyDescent="0.2">
      <c r="A336" s="75" t="s">
        <v>120</v>
      </c>
      <c r="B336" s="76" t="s">
        <v>4440</v>
      </c>
      <c r="C336" s="71" t="s">
        <v>4443</v>
      </c>
      <c r="D336" s="81" t="str">
        <f t="shared" si="6"/>
        <v>CablageCABLES SOUPLES CUIVRE5G</v>
      </c>
      <c r="E336" s="76" t="s">
        <v>191</v>
      </c>
      <c r="F336" s="81">
        <v>21</v>
      </c>
      <c r="G336" s="71" t="s">
        <v>4468</v>
      </c>
      <c r="H336" s="71"/>
      <c r="I336" s="71"/>
      <c r="J336" s="70">
        <f>IFERROR(VLOOKUP(Devis[[#This Row],[Ref Air Flux]],#REF!,3,FALSE),0)</f>
        <v>0</v>
      </c>
      <c r="K336" s="68"/>
      <c r="L336" s="68"/>
      <c r="M336" s="68"/>
      <c r="N336" s="68"/>
      <c r="O336" s="68"/>
      <c r="P336" s="68"/>
      <c r="Q336" s="68">
        <f>SUM(Devis[[#This Row],[Poste 1]:[Poste 6]])</f>
        <v>0</v>
      </c>
      <c r="R336" s="71"/>
      <c r="S336" s="68">
        <f>_xlfn.CEILING.MATH(Devis[[#This Row],[Quantité Totale]],Devis[[#This Row],[Conditionnement]])</f>
        <v>0</v>
      </c>
      <c r="T336" s="72"/>
      <c r="U336" s="73"/>
      <c r="V336" s="74">
        <f>Devis[[#This Row],[Prix de Revient]]*Devis[[#This Row],[Poste 1]]</f>
        <v>0</v>
      </c>
      <c r="W336" s="74">
        <f>Devis[[#This Row],[Prix de Revient]]*Devis[[#This Row],[Poste 2]]</f>
        <v>0</v>
      </c>
      <c r="X336" s="74">
        <f>Devis[[#This Row],[Prix de Revient]]*Devis[[#This Row],[Poste 3]]</f>
        <v>0</v>
      </c>
      <c r="Y336" s="74">
        <f>Devis[[#This Row],[Poste 4]]*Devis[[#This Row],[Prix de Revient]]</f>
        <v>0</v>
      </c>
      <c r="Z336" s="74">
        <f>Devis[[#This Row],[Poste 5]]*Devis[[#This Row],[Prix de Revient]]</f>
        <v>0</v>
      </c>
      <c r="AA336" s="74">
        <f>Devis[[#This Row],[Prix de Revient]]*Devis[[#This Row],[Poste 6]]</f>
        <v>0</v>
      </c>
      <c r="AB336" s="74">
        <f>Devis[[#This Row],[Quantité Totale]]*Devis[[#This Row],[Prix de Revient]]</f>
        <v>0</v>
      </c>
    </row>
    <row r="337" spans="1:28" ht="14.25" outlineLevel="1" x14ac:dyDescent="0.2">
      <c r="A337" s="75" t="s">
        <v>120</v>
      </c>
      <c r="B337" s="76" t="s">
        <v>4440</v>
      </c>
      <c r="C337" s="71" t="s">
        <v>4443</v>
      </c>
      <c r="D337" s="81" t="str">
        <f t="shared" si="6"/>
        <v>CablageCABLES SOUPLES CUIVRE5G</v>
      </c>
      <c r="E337" s="76" t="s">
        <v>180</v>
      </c>
      <c r="F337" s="81">
        <v>22</v>
      </c>
      <c r="G337" s="71" t="s">
        <v>4469</v>
      </c>
      <c r="H337" s="71"/>
      <c r="I337" s="71"/>
      <c r="J337" s="70">
        <f>IFERROR(VLOOKUP(Devis[[#This Row],[Ref Air Flux]],#REF!,3,FALSE),0)</f>
        <v>0</v>
      </c>
      <c r="K337" s="68"/>
      <c r="L337" s="68"/>
      <c r="M337" s="68"/>
      <c r="N337" s="68"/>
      <c r="O337" s="68"/>
      <c r="P337" s="68"/>
      <c r="Q337" s="68">
        <f>SUM(Devis[[#This Row],[Poste 1]:[Poste 6]])</f>
        <v>0</v>
      </c>
      <c r="R337" s="71"/>
      <c r="S337" s="68">
        <f>_xlfn.CEILING.MATH(Devis[[#This Row],[Quantité Totale]],Devis[[#This Row],[Conditionnement]])</f>
        <v>0</v>
      </c>
      <c r="T337" s="72"/>
      <c r="U337" s="73"/>
      <c r="V337" s="74">
        <f>Devis[[#This Row],[Prix de Revient]]*Devis[[#This Row],[Poste 1]]</f>
        <v>0</v>
      </c>
      <c r="W337" s="74">
        <f>Devis[[#This Row],[Prix de Revient]]*Devis[[#This Row],[Poste 2]]</f>
        <v>0</v>
      </c>
      <c r="X337" s="74">
        <f>Devis[[#This Row],[Prix de Revient]]*Devis[[#This Row],[Poste 3]]</f>
        <v>0</v>
      </c>
      <c r="Y337" s="74">
        <f>Devis[[#This Row],[Poste 4]]*Devis[[#This Row],[Prix de Revient]]</f>
        <v>0</v>
      </c>
      <c r="Z337" s="74">
        <f>Devis[[#This Row],[Poste 5]]*Devis[[#This Row],[Prix de Revient]]</f>
        <v>0</v>
      </c>
      <c r="AA337" s="74">
        <f>Devis[[#This Row],[Prix de Revient]]*Devis[[#This Row],[Poste 6]]</f>
        <v>0</v>
      </c>
      <c r="AB337" s="74">
        <f>Devis[[#This Row],[Quantité Totale]]*Devis[[#This Row],[Prix de Revient]]</f>
        <v>0</v>
      </c>
    </row>
    <row r="338" spans="1:28" ht="14.25" outlineLevel="1" x14ac:dyDescent="0.2">
      <c r="A338" s="75" t="s">
        <v>120</v>
      </c>
      <c r="B338" s="76" t="s">
        <v>4440</v>
      </c>
      <c r="C338" s="71" t="s">
        <v>4443</v>
      </c>
      <c r="D338" s="81" t="str">
        <f t="shared" si="6"/>
        <v>CablageCABLES SOUPLES CUIVRE5G</v>
      </c>
      <c r="E338" s="76" t="s">
        <v>191</v>
      </c>
      <c r="F338" s="81">
        <v>23</v>
      </c>
      <c r="G338" s="71" t="s">
        <v>4468</v>
      </c>
      <c r="H338" s="71"/>
      <c r="I338" s="71"/>
      <c r="J338" s="70">
        <f>IFERROR(VLOOKUP(Devis[[#This Row],[Ref Air Flux]],#REF!,3,FALSE),0)</f>
        <v>0</v>
      </c>
      <c r="K338" s="68"/>
      <c r="L338" s="68"/>
      <c r="M338" s="68"/>
      <c r="N338" s="68"/>
      <c r="O338" s="68"/>
      <c r="P338" s="68"/>
      <c r="Q338" s="68">
        <f>SUM(Devis[[#This Row],[Poste 1]:[Poste 6]])</f>
        <v>0</v>
      </c>
      <c r="R338" s="71"/>
      <c r="S338" s="68">
        <f>_xlfn.CEILING.MATH(Devis[[#This Row],[Quantité Totale]],Devis[[#This Row],[Conditionnement]])</f>
        <v>0</v>
      </c>
      <c r="T338" s="72"/>
      <c r="U338" s="73"/>
      <c r="V338" s="74">
        <f>Devis[[#This Row],[Prix de Revient]]*Devis[[#This Row],[Poste 1]]</f>
        <v>0</v>
      </c>
      <c r="W338" s="74">
        <f>Devis[[#This Row],[Prix de Revient]]*Devis[[#This Row],[Poste 2]]</f>
        <v>0</v>
      </c>
      <c r="X338" s="74">
        <f>Devis[[#This Row],[Prix de Revient]]*Devis[[#This Row],[Poste 3]]</f>
        <v>0</v>
      </c>
      <c r="Y338" s="74">
        <f>Devis[[#This Row],[Poste 4]]*Devis[[#This Row],[Prix de Revient]]</f>
        <v>0</v>
      </c>
      <c r="Z338" s="74">
        <f>Devis[[#This Row],[Poste 5]]*Devis[[#This Row],[Prix de Revient]]</f>
        <v>0</v>
      </c>
      <c r="AA338" s="74">
        <f>Devis[[#This Row],[Prix de Revient]]*Devis[[#This Row],[Poste 6]]</f>
        <v>0</v>
      </c>
      <c r="AB338" s="74">
        <f>Devis[[#This Row],[Quantité Totale]]*Devis[[#This Row],[Prix de Revient]]</f>
        <v>0</v>
      </c>
    </row>
    <row r="339" spans="1:28" ht="14.25" customHeight="1" outlineLevel="1" x14ac:dyDescent="0.2">
      <c r="A339" s="75" t="s">
        <v>120</v>
      </c>
      <c r="B339" s="76" t="s">
        <v>4440</v>
      </c>
      <c r="C339" s="76"/>
      <c r="D339" s="81" t="str">
        <f t="shared" si="6"/>
        <v>CablageCABLES SOUPLES CUIVRE</v>
      </c>
      <c r="E339" s="76"/>
      <c r="F339" s="81">
        <v>24</v>
      </c>
      <c r="G339" s="71"/>
      <c r="H339" s="71"/>
      <c r="I339" s="71"/>
      <c r="J339" s="70">
        <f>IFERROR(VLOOKUP(Devis[[#This Row],[Ref Air Flux]],#REF!,3,FALSE),0)</f>
        <v>0</v>
      </c>
      <c r="K339" s="68"/>
      <c r="L339" s="68"/>
      <c r="M339" s="68"/>
      <c r="N339" s="68"/>
      <c r="O339" s="68"/>
      <c r="P339" s="68"/>
      <c r="Q339" s="68">
        <f>SUM(Devis[[#This Row],[Poste 1]:[Poste 6]])</f>
        <v>0</v>
      </c>
      <c r="R339" s="71"/>
      <c r="S339" s="68">
        <f>_xlfn.CEILING.MATH(Devis[[#This Row],[Quantité Totale]],Devis[[#This Row],[Conditionnement]])</f>
        <v>0</v>
      </c>
      <c r="T339" s="72"/>
      <c r="U339" s="73"/>
      <c r="V339" s="74">
        <f>Devis[[#This Row],[Prix de Revient]]*Devis[[#This Row],[Poste 1]]</f>
        <v>0</v>
      </c>
      <c r="W339" s="74">
        <f>Devis[[#This Row],[Prix de Revient]]*Devis[[#This Row],[Poste 2]]</f>
        <v>0</v>
      </c>
      <c r="X339" s="74">
        <f>Devis[[#This Row],[Prix de Revient]]*Devis[[#This Row],[Poste 3]]</f>
        <v>0</v>
      </c>
      <c r="Y339" s="74">
        <f>Devis[[#This Row],[Poste 4]]*Devis[[#This Row],[Prix de Revient]]</f>
        <v>0</v>
      </c>
      <c r="Z339" s="74">
        <f>Devis[[#This Row],[Poste 5]]*Devis[[#This Row],[Prix de Revient]]</f>
        <v>0</v>
      </c>
      <c r="AA339" s="74">
        <f>Devis[[#This Row],[Prix de Revient]]*Devis[[#This Row],[Poste 6]]</f>
        <v>0</v>
      </c>
      <c r="AB339" s="74">
        <f>Devis[[#This Row],[Quantité Totale]]*Devis[[#This Row],[Prix de Revient]]</f>
        <v>0</v>
      </c>
    </row>
    <row r="340" spans="1:28" ht="14.25" outlineLevel="1" x14ac:dyDescent="0.2">
      <c r="A340" s="75" t="s">
        <v>120</v>
      </c>
      <c r="B340" s="76" t="s">
        <v>4440</v>
      </c>
      <c r="C340" s="71" t="s">
        <v>4470</v>
      </c>
      <c r="D340" s="81" t="str">
        <f t="shared" si="6"/>
        <v>CablageCABLES SOUPLES CUIVREunifilaire</v>
      </c>
      <c r="E340" s="76" t="s">
        <v>197</v>
      </c>
      <c r="F340" s="81">
        <v>25</v>
      </c>
      <c r="G340" s="71" t="s">
        <v>198</v>
      </c>
      <c r="H340" s="73"/>
      <c r="I340" s="93"/>
      <c r="J340" s="70">
        <f>IFERROR(VLOOKUP(Devis[[#This Row],[Ref Air Flux]],#REF!,3,FALSE),0)</f>
        <v>0</v>
      </c>
      <c r="K340" s="68"/>
      <c r="L340" s="68"/>
      <c r="M340" s="68"/>
      <c r="N340" s="68"/>
      <c r="O340" s="68"/>
      <c r="P340" s="68"/>
      <c r="Q340" s="68">
        <f>SUM(Devis[[#This Row],[Poste 1]:[Poste 6]])</f>
        <v>0</v>
      </c>
      <c r="R340" s="71"/>
      <c r="S340" s="68">
        <f>_xlfn.CEILING.MATH(Devis[[#This Row],[Quantité Totale]],Devis[[#This Row],[Conditionnement]])</f>
        <v>0</v>
      </c>
      <c r="T340" s="72"/>
      <c r="U340" s="73" t="s">
        <v>199</v>
      </c>
      <c r="V340" s="74">
        <f>Devis[[#This Row],[Prix de Revient]]*Devis[[#This Row],[Poste 1]]</f>
        <v>0</v>
      </c>
      <c r="W340" s="74">
        <f>Devis[[#This Row],[Prix de Revient]]*Devis[[#This Row],[Poste 2]]</f>
        <v>0</v>
      </c>
      <c r="X340" s="74">
        <f>Devis[[#This Row],[Prix de Revient]]*Devis[[#This Row],[Poste 3]]</f>
        <v>0</v>
      </c>
      <c r="Y340" s="74">
        <f>Devis[[#This Row],[Poste 4]]*Devis[[#This Row],[Prix de Revient]]</f>
        <v>0</v>
      </c>
      <c r="Z340" s="74">
        <f>Devis[[#This Row],[Poste 5]]*Devis[[#This Row],[Prix de Revient]]</f>
        <v>0</v>
      </c>
      <c r="AA340" s="74">
        <f>Devis[[#This Row],[Prix de Revient]]*Devis[[#This Row],[Poste 6]]</f>
        <v>0</v>
      </c>
      <c r="AB340" s="74">
        <f>Devis[[#This Row],[Quantité Totale]]*Devis[[#This Row],[Prix de Revient]]</f>
        <v>0</v>
      </c>
    </row>
    <row r="341" spans="1:28" ht="14.25" outlineLevel="1" x14ac:dyDescent="0.2">
      <c r="A341" s="75" t="s">
        <v>120</v>
      </c>
      <c r="B341" s="76" t="s">
        <v>4440</v>
      </c>
      <c r="C341" s="71" t="s">
        <v>4470</v>
      </c>
      <c r="D341" s="81" t="str">
        <f t="shared" si="6"/>
        <v>CablageCABLES SOUPLES CUIVREunifilaire</v>
      </c>
      <c r="E341" s="76" t="s">
        <v>4471</v>
      </c>
      <c r="F341" s="81">
        <v>26</v>
      </c>
      <c r="G341" s="71" t="s">
        <v>4472</v>
      </c>
      <c r="H341" s="71"/>
      <c r="I341" s="71"/>
      <c r="J341" s="70">
        <f>IFERROR(VLOOKUP(Devis[[#This Row],[Ref Air Flux]],#REF!,3,FALSE),0)</f>
        <v>0</v>
      </c>
      <c r="K341" s="68"/>
      <c r="L341" s="68"/>
      <c r="M341" s="68"/>
      <c r="N341" s="68"/>
      <c r="O341" s="68"/>
      <c r="P341" s="68"/>
      <c r="Q341" s="68">
        <f>SUM(Devis[[#This Row],[Poste 1]:[Poste 6]])</f>
        <v>0</v>
      </c>
      <c r="R341" s="71"/>
      <c r="S341" s="68">
        <f>_xlfn.CEILING.MATH(Devis[[#This Row],[Quantité Totale]],Devis[[#This Row],[Conditionnement]])</f>
        <v>0</v>
      </c>
      <c r="T341" s="72"/>
      <c r="U341" s="73"/>
      <c r="V341" s="74">
        <f>Devis[[#This Row],[Prix de Revient]]*Devis[[#This Row],[Poste 1]]</f>
        <v>0</v>
      </c>
      <c r="W341" s="74">
        <f>Devis[[#This Row],[Prix de Revient]]*Devis[[#This Row],[Poste 2]]</f>
        <v>0</v>
      </c>
      <c r="X341" s="74">
        <f>Devis[[#This Row],[Prix de Revient]]*Devis[[#This Row],[Poste 3]]</f>
        <v>0</v>
      </c>
      <c r="Y341" s="74">
        <f>Devis[[#This Row],[Poste 4]]*Devis[[#This Row],[Prix de Revient]]</f>
        <v>0</v>
      </c>
      <c r="Z341" s="74">
        <f>Devis[[#This Row],[Poste 5]]*Devis[[#This Row],[Prix de Revient]]</f>
        <v>0</v>
      </c>
      <c r="AA341" s="74">
        <f>Devis[[#This Row],[Prix de Revient]]*Devis[[#This Row],[Poste 6]]</f>
        <v>0</v>
      </c>
      <c r="AB341" s="74">
        <f>Devis[[#This Row],[Quantité Totale]]*Devis[[#This Row],[Prix de Revient]]</f>
        <v>0</v>
      </c>
    </row>
    <row r="342" spans="1:28" ht="14.25" outlineLevel="1" x14ac:dyDescent="0.2">
      <c r="A342" s="75" t="s">
        <v>120</v>
      </c>
      <c r="B342" s="76" t="s">
        <v>4440</v>
      </c>
      <c r="C342" s="71" t="s">
        <v>4470</v>
      </c>
      <c r="D342" s="81" t="str">
        <f t="shared" si="6"/>
        <v>CablageCABLES SOUPLES CUIVREunifilaire</v>
      </c>
      <c r="E342" s="76" t="s">
        <v>4473</v>
      </c>
      <c r="F342" s="81">
        <v>27</v>
      </c>
      <c r="G342" s="71" t="s">
        <v>4474</v>
      </c>
      <c r="H342" s="71"/>
      <c r="I342" s="71"/>
      <c r="J342" s="70">
        <f>IFERROR(VLOOKUP(Devis[[#This Row],[Ref Air Flux]],#REF!,3,FALSE),0)</f>
        <v>0</v>
      </c>
      <c r="K342" s="68"/>
      <c r="L342" s="68"/>
      <c r="M342" s="68"/>
      <c r="N342" s="68"/>
      <c r="O342" s="68"/>
      <c r="P342" s="68"/>
      <c r="Q342" s="68">
        <f>SUM(Devis[[#This Row],[Poste 1]:[Poste 6]])</f>
        <v>0</v>
      </c>
      <c r="R342" s="71"/>
      <c r="S342" s="68">
        <f>_xlfn.CEILING.MATH(Devis[[#This Row],[Quantité Totale]],Devis[[#This Row],[Conditionnement]])</f>
        <v>0</v>
      </c>
      <c r="T342" s="72"/>
      <c r="U342" s="73"/>
      <c r="V342" s="74">
        <f>Devis[[#This Row],[Prix de Revient]]*Devis[[#This Row],[Poste 1]]</f>
        <v>0</v>
      </c>
      <c r="W342" s="74">
        <f>Devis[[#This Row],[Prix de Revient]]*Devis[[#This Row],[Poste 2]]</f>
        <v>0</v>
      </c>
      <c r="X342" s="74">
        <f>Devis[[#This Row],[Prix de Revient]]*Devis[[#This Row],[Poste 3]]</f>
        <v>0</v>
      </c>
      <c r="Y342" s="74">
        <f>Devis[[#This Row],[Poste 4]]*Devis[[#This Row],[Prix de Revient]]</f>
        <v>0</v>
      </c>
      <c r="Z342" s="74">
        <f>Devis[[#This Row],[Poste 5]]*Devis[[#This Row],[Prix de Revient]]</f>
        <v>0</v>
      </c>
      <c r="AA342" s="74">
        <f>Devis[[#This Row],[Prix de Revient]]*Devis[[#This Row],[Poste 6]]</f>
        <v>0</v>
      </c>
      <c r="AB342" s="74">
        <f>Devis[[#This Row],[Quantité Totale]]*Devis[[#This Row],[Prix de Revient]]</f>
        <v>0</v>
      </c>
    </row>
    <row r="343" spans="1:28" ht="14.25" outlineLevel="1" x14ac:dyDescent="0.2">
      <c r="A343" s="75" t="s">
        <v>120</v>
      </c>
      <c r="B343" s="76" t="s">
        <v>4440</v>
      </c>
      <c r="C343" s="71" t="s">
        <v>4470</v>
      </c>
      <c r="D343" s="81" t="str">
        <f t="shared" si="6"/>
        <v>CablageCABLES SOUPLES CUIVREunifilaire</v>
      </c>
      <c r="E343" s="76" t="s">
        <v>4475</v>
      </c>
      <c r="F343" s="81">
        <v>28</v>
      </c>
      <c r="G343" s="71" t="s">
        <v>4476</v>
      </c>
      <c r="H343" s="71"/>
      <c r="I343" s="71"/>
      <c r="J343" s="70">
        <f>IFERROR(VLOOKUP(Devis[[#This Row],[Ref Air Flux]],#REF!,3,FALSE),0)</f>
        <v>0</v>
      </c>
      <c r="K343" s="68"/>
      <c r="L343" s="68"/>
      <c r="M343" s="68"/>
      <c r="N343" s="68"/>
      <c r="O343" s="68"/>
      <c r="P343" s="68"/>
      <c r="Q343" s="68">
        <f>SUM(Devis[[#This Row],[Poste 1]:[Poste 6]])</f>
        <v>0</v>
      </c>
      <c r="R343" s="71"/>
      <c r="S343" s="68">
        <f>_xlfn.CEILING.MATH(Devis[[#This Row],[Quantité Totale]],Devis[[#This Row],[Conditionnement]])</f>
        <v>0</v>
      </c>
      <c r="T343" s="72"/>
      <c r="U343" s="73"/>
      <c r="V343" s="74">
        <f>Devis[[#This Row],[Prix de Revient]]*Devis[[#This Row],[Poste 1]]</f>
        <v>0</v>
      </c>
      <c r="W343" s="74">
        <f>Devis[[#This Row],[Prix de Revient]]*Devis[[#This Row],[Poste 2]]</f>
        <v>0</v>
      </c>
      <c r="X343" s="74">
        <f>Devis[[#This Row],[Prix de Revient]]*Devis[[#This Row],[Poste 3]]</f>
        <v>0</v>
      </c>
      <c r="Y343" s="74">
        <f>Devis[[#This Row],[Poste 4]]*Devis[[#This Row],[Prix de Revient]]</f>
        <v>0</v>
      </c>
      <c r="Z343" s="74">
        <f>Devis[[#This Row],[Poste 5]]*Devis[[#This Row],[Prix de Revient]]</f>
        <v>0</v>
      </c>
      <c r="AA343" s="74">
        <f>Devis[[#This Row],[Prix de Revient]]*Devis[[#This Row],[Poste 6]]</f>
        <v>0</v>
      </c>
      <c r="AB343" s="74">
        <f>Devis[[#This Row],[Quantité Totale]]*Devis[[#This Row],[Prix de Revient]]</f>
        <v>0</v>
      </c>
    </row>
    <row r="344" spans="1:28" ht="14.25" outlineLevel="1" x14ac:dyDescent="0.2">
      <c r="A344" s="75" t="s">
        <v>120</v>
      </c>
      <c r="B344" s="76" t="s">
        <v>4440</v>
      </c>
      <c r="C344" s="71" t="s">
        <v>4470</v>
      </c>
      <c r="D344" s="81" t="str">
        <f t="shared" si="6"/>
        <v>CablageCABLES SOUPLES CUIVREunifilaire</v>
      </c>
      <c r="E344" s="76" t="s">
        <v>4477</v>
      </c>
      <c r="F344" s="81">
        <v>29</v>
      </c>
      <c r="G344" s="71" t="s">
        <v>4478</v>
      </c>
      <c r="H344" s="71"/>
      <c r="I344" s="71"/>
      <c r="J344" s="70">
        <f>IFERROR(VLOOKUP(Devis[[#This Row],[Ref Air Flux]],#REF!,3,FALSE),0)</f>
        <v>0</v>
      </c>
      <c r="K344" s="68"/>
      <c r="L344" s="68"/>
      <c r="M344" s="68"/>
      <c r="N344" s="68"/>
      <c r="O344" s="68"/>
      <c r="P344" s="68"/>
      <c r="Q344" s="68">
        <f>SUM(Devis[[#This Row],[Poste 1]:[Poste 6]])</f>
        <v>0</v>
      </c>
      <c r="R344" s="71"/>
      <c r="S344" s="68">
        <f>_xlfn.CEILING.MATH(Devis[[#This Row],[Quantité Totale]],Devis[[#This Row],[Conditionnement]])</f>
        <v>0</v>
      </c>
      <c r="T344" s="72"/>
      <c r="U344" s="73"/>
      <c r="V344" s="74">
        <f>Devis[[#This Row],[Prix de Revient]]*Devis[[#This Row],[Poste 1]]</f>
        <v>0</v>
      </c>
      <c r="W344" s="74">
        <f>Devis[[#This Row],[Prix de Revient]]*Devis[[#This Row],[Poste 2]]</f>
        <v>0</v>
      </c>
      <c r="X344" s="74">
        <f>Devis[[#This Row],[Prix de Revient]]*Devis[[#This Row],[Poste 3]]</f>
        <v>0</v>
      </c>
      <c r="Y344" s="74">
        <f>Devis[[#This Row],[Poste 4]]*Devis[[#This Row],[Prix de Revient]]</f>
        <v>0</v>
      </c>
      <c r="Z344" s="74">
        <f>Devis[[#This Row],[Poste 5]]*Devis[[#This Row],[Prix de Revient]]</f>
        <v>0</v>
      </c>
      <c r="AA344" s="74">
        <f>Devis[[#This Row],[Prix de Revient]]*Devis[[#This Row],[Poste 6]]</f>
        <v>0</v>
      </c>
      <c r="AB344" s="74">
        <f>Devis[[#This Row],[Quantité Totale]]*Devis[[#This Row],[Prix de Revient]]</f>
        <v>0</v>
      </c>
    </row>
    <row r="345" spans="1:28" ht="14.25" outlineLevel="1" x14ac:dyDescent="0.2">
      <c r="A345" s="75" t="s">
        <v>120</v>
      </c>
      <c r="B345" s="76" t="s">
        <v>4440</v>
      </c>
      <c r="C345" s="71" t="s">
        <v>4470</v>
      </c>
      <c r="D345" s="81" t="str">
        <f t="shared" si="6"/>
        <v>CablageCABLES SOUPLES CUIVREunifilaire</v>
      </c>
      <c r="E345" s="76" t="s">
        <v>4479</v>
      </c>
      <c r="F345" s="81">
        <v>30</v>
      </c>
      <c r="G345" s="71" t="s">
        <v>4480</v>
      </c>
      <c r="H345" s="79"/>
      <c r="I345" s="71"/>
      <c r="J345" s="70">
        <f>IFERROR(VLOOKUP(Devis[[#This Row],[Ref Air Flux]],#REF!,3,FALSE),0)</f>
        <v>0</v>
      </c>
      <c r="K345" s="68"/>
      <c r="L345" s="68"/>
      <c r="M345" s="68"/>
      <c r="N345" s="68"/>
      <c r="O345" s="68"/>
      <c r="P345" s="68"/>
      <c r="Q345" s="68">
        <f>SUM(Devis[[#This Row],[Poste 1]:[Poste 6]])</f>
        <v>0</v>
      </c>
      <c r="R345" s="71"/>
      <c r="S345" s="68">
        <f>_xlfn.CEILING.MATH(Devis[[#This Row],[Quantité Totale]],Devis[[#This Row],[Conditionnement]])</f>
        <v>0</v>
      </c>
      <c r="T345" s="72"/>
      <c r="U345" s="73" t="s">
        <v>200</v>
      </c>
      <c r="V345" s="74">
        <f>Devis[[#This Row],[Prix de Revient]]*Devis[[#This Row],[Poste 1]]</f>
        <v>0</v>
      </c>
      <c r="W345" s="74">
        <f>Devis[[#This Row],[Prix de Revient]]*Devis[[#This Row],[Poste 2]]</f>
        <v>0</v>
      </c>
      <c r="X345" s="74">
        <f>Devis[[#This Row],[Prix de Revient]]*Devis[[#This Row],[Poste 3]]</f>
        <v>0</v>
      </c>
      <c r="Y345" s="74">
        <f>Devis[[#This Row],[Poste 4]]*Devis[[#This Row],[Prix de Revient]]</f>
        <v>0</v>
      </c>
      <c r="Z345" s="74">
        <f>Devis[[#This Row],[Poste 5]]*Devis[[#This Row],[Prix de Revient]]</f>
        <v>0</v>
      </c>
      <c r="AA345" s="74">
        <f>Devis[[#This Row],[Prix de Revient]]*Devis[[#This Row],[Poste 6]]</f>
        <v>0</v>
      </c>
      <c r="AB345" s="74">
        <f>Devis[[#This Row],[Quantité Totale]]*Devis[[#This Row],[Prix de Revient]]</f>
        <v>0</v>
      </c>
    </row>
    <row r="346" spans="1:28" ht="14.25" outlineLevel="1" x14ac:dyDescent="0.2">
      <c r="A346" s="75" t="s">
        <v>120</v>
      </c>
      <c r="B346" s="76" t="s">
        <v>4440</v>
      </c>
      <c r="C346" s="71" t="s">
        <v>4470</v>
      </c>
      <c r="D346" s="81" t="str">
        <f t="shared" si="6"/>
        <v>CablageCABLES SOUPLES CUIVREunifilaire</v>
      </c>
      <c r="E346" s="76" t="s">
        <v>4481</v>
      </c>
      <c r="F346" s="81">
        <v>31</v>
      </c>
      <c r="G346" s="71" t="s">
        <v>4482</v>
      </c>
      <c r="H346" s="71"/>
      <c r="I346" s="71"/>
      <c r="J346" s="70">
        <f>IFERROR(VLOOKUP(Devis[[#This Row],[Ref Air Flux]],#REF!,3,FALSE),0)</f>
        <v>0</v>
      </c>
      <c r="K346" s="68"/>
      <c r="L346" s="68"/>
      <c r="M346" s="68"/>
      <c r="N346" s="68"/>
      <c r="O346" s="68"/>
      <c r="P346" s="68"/>
      <c r="Q346" s="68">
        <f>SUM(Devis[[#This Row],[Poste 1]:[Poste 6]])</f>
        <v>0</v>
      </c>
      <c r="R346" s="71"/>
      <c r="S346" s="68">
        <f>_xlfn.CEILING.MATH(Devis[[#This Row],[Quantité Totale]],Devis[[#This Row],[Conditionnement]])</f>
        <v>0</v>
      </c>
      <c r="T346" s="72"/>
      <c r="U346" s="73"/>
      <c r="V346" s="74">
        <f>Devis[[#This Row],[Prix de Revient]]*Devis[[#This Row],[Poste 1]]</f>
        <v>0</v>
      </c>
      <c r="W346" s="74">
        <f>Devis[[#This Row],[Prix de Revient]]*Devis[[#This Row],[Poste 2]]</f>
        <v>0</v>
      </c>
      <c r="X346" s="74">
        <f>Devis[[#This Row],[Prix de Revient]]*Devis[[#This Row],[Poste 3]]</f>
        <v>0</v>
      </c>
      <c r="Y346" s="74">
        <f>Devis[[#This Row],[Poste 4]]*Devis[[#This Row],[Prix de Revient]]</f>
        <v>0</v>
      </c>
      <c r="Z346" s="74">
        <f>Devis[[#This Row],[Poste 5]]*Devis[[#This Row],[Prix de Revient]]</f>
        <v>0</v>
      </c>
      <c r="AA346" s="74">
        <f>Devis[[#This Row],[Prix de Revient]]*Devis[[#This Row],[Poste 6]]</f>
        <v>0</v>
      </c>
      <c r="AB346" s="74">
        <f>Devis[[#This Row],[Quantité Totale]]*Devis[[#This Row],[Prix de Revient]]</f>
        <v>0</v>
      </c>
    </row>
    <row r="347" spans="1:28" ht="14.25" outlineLevel="1" x14ac:dyDescent="0.2">
      <c r="A347" s="75" t="s">
        <v>120</v>
      </c>
      <c r="B347" s="76" t="s">
        <v>4440</v>
      </c>
      <c r="C347" s="71" t="s">
        <v>4470</v>
      </c>
      <c r="D347" s="81" t="str">
        <f t="shared" si="6"/>
        <v>CablageCABLES SOUPLES CUIVREunifilaire</v>
      </c>
      <c r="E347" s="76" t="s">
        <v>201</v>
      </c>
      <c r="F347" s="81">
        <v>32</v>
      </c>
      <c r="G347" s="71" t="s">
        <v>4483</v>
      </c>
      <c r="H347" s="71"/>
      <c r="I347" s="71"/>
      <c r="J347" s="70">
        <f>IFERROR(VLOOKUP(Devis[[#This Row],[Ref Air Flux]],#REF!,3,FALSE),0)</f>
        <v>0</v>
      </c>
      <c r="K347" s="68"/>
      <c r="L347" s="68"/>
      <c r="M347" s="68"/>
      <c r="N347" s="68"/>
      <c r="O347" s="68"/>
      <c r="P347" s="68"/>
      <c r="Q347" s="68">
        <f>SUM(Devis[[#This Row],[Poste 1]:[Poste 6]])</f>
        <v>0</v>
      </c>
      <c r="R347" s="71"/>
      <c r="S347" s="68">
        <f>_xlfn.CEILING.MATH(Devis[[#This Row],[Quantité Totale]],Devis[[#This Row],[Conditionnement]])</f>
        <v>0</v>
      </c>
      <c r="T347" s="72"/>
      <c r="U347" s="73"/>
      <c r="V347" s="74">
        <f>Devis[[#This Row],[Prix de Revient]]*Devis[[#This Row],[Poste 1]]</f>
        <v>0</v>
      </c>
      <c r="W347" s="74">
        <f>Devis[[#This Row],[Prix de Revient]]*Devis[[#This Row],[Poste 2]]</f>
        <v>0</v>
      </c>
      <c r="X347" s="74">
        <f>Devis[[#This Row],[Prix de Revient]]*Devis[[#This Row],[Poste 3]]</f>
        <v>0</v>
      </c>
      <c r="Y347" s="74">
        <f>Devis[[#This Row],[Poste 4]]*Devis[[#This Row],[Prix de Revient]]</f>
        <v>0</v>
      </c>
      <c r="Z347" s="74">
        <f>Devis[[#This Row],[Poste 5]]*Devis[[#This Row],[Prix de Revient]]</f>
        <v>0</v>
      </c>
      <c r="AA347" s="74">
        <f>Devis[[#This Row],[Prix de Revient]]*Devis[[#This Row],[Poste 6]]</f>
        <v>0</v>
      </c>
      <c r="AB347" s="74">
        <f>Devis[[#This Row],[Quantité Totale]]*Devis[[#This Row],[Prix de Revient]]</f>
        <v>0</v>
      </c>
    </row>
    <row r="348" spans="1:28" ht="14.25" outlineLevel="1" x14ac:dyDescent="0.2">
      <c r="A348" s="75" t="s">
        <v>120</v>
      </c>
      <c r="B348" s="76" t="s">
        <v>4440</v>
      </c>
      <c r="C348" s="71" t="s">
        <v>4470</v>
      </c>
      <c r="D348" s="81" t="str">
        <f t="shared" si="6"/>
        <v>CablageCABLES SOUPLES CUIVREunifilaire</v>
      </c>
      <c r="E348" s="76" t="s">
        <v>4484</v>
      </c>
      <c r="F348" s="81">
        <v>33</v>
      </c>
      <c r="G348" s="71" t="s">
        <v>4485</v>
      </c>
      <c r="H348" s="79"/>
      <c r="I348" s="71"/>
      <c r="J348" s="70">
        <f>IFERROR(VLOOKUP(Devis[[#This Row],[Ref Air Flux]],#REF!,3,FALSE),0)</f>
        <v>0</v>
      </c>
      <c r="K348" s="68"/>
      <c r="L348" s="68"/>
      <c r="M348" s="68"/>
      <c r="N348" s="68"/>
      <c r="O348" s="68"/>
      <c r="P348" s="68"/>
      <c r="Q348" s="68">
        <f>SUM(Devis[[#This Row],[Poste 1]:[Poste 6]])</f>
        <v>0</v>
      </c>
      <c r="R348" s="71"/>
      <c r="S348" s="68">
        <f>_xlfn.CEILING.MATH(Devis[[#This Row],[Quantité Totale]],Devis[[#This Row],[Conditionnement]])</f>
        <v>0</v>
      </c>
      <c r="T348" s="72"/>
      <c r="U348" s="73" t="s">
        <v>200</v>
      </c>
      <c r="V348" s="74">
        <f>Devis[[#This Row],[Prix de Revient]]*Devis[[#This Row],[Poste 1]]</f>
        <v>0</v>
      </c>
      <c r="W348" s="74">
        <f>Devis[[#This Row],[Prix de Revient]]*Devis[[#This Row],[Poste 2]]</f>
        <v>0</v>
      </c>
      <c r="X348" s="74">
        <f>Devis[[#This Row],[Prix de Revient]]*Devis[[#This Row],[Poste 3]]</f>
        <v>0</v>
      </c>
      <c r="Y348" s="74">
        <f>Devis[[#This Row],[Poste 4]]*Devis[[#This Row],[Prix de Revient]]</f>
        <v>0</v>
      </c>
      <c r="Z348" s="74">
        <f>Devis[[#This Row],[Poste 5]]*Devis[[#This Row],[Prix de Revient]]</f>
        <v>0</v>
      </c>
      <c r="AA348" s="74">
        <f>Devis[[#This Row],[Prix de Revient]]*Devis[[#This Row],[Poste 6]]</f>
        <v>0</v>
      </c>
      <c r="AB348" s="74">
        <f>Devis[[#This Row],[Quantité Totale]]*Devis[[#This Row],[Prix de Revient]]</f>
        <v>0</v>
      </c>
    </row>
    <row r="349" spans="1:28" ht="14.25" outlineLevel="1" x14ac:dyDescent="0.2">
      <c r="A349" s="75" t="s">
        <v>120</v>
      </c>
      <c r="B349" s="76" t="s">
        <v>4440</v>
      </c>
      <c r="C349" s="71" t="s">
        <v>4470</v>
      </c>
      <c r="D349" s="81" t="str">
        <f t="shared" si="6"/>
        <v>CablageCABLES SOUPLES CUIVREunifilaire</v>
      </c>
      <c r="E349" s="76" t="s">
        <v>202</v>
      </c>
      <c r="F349" s="81">
        <v>34</v>
      </c>
      <c r="G349" s="71" t="s">
        <v>4486</v>
      </c>
      <c r="H349" s="79"/>
      <c r="I349" s="71"/>
      <c r="J349" s="70">
        <f>IFERROR(VLOOKUP(Devis[[#This Row],[Ref Air Flux]],#REF!,3,FALSE),0)</f>
        <v>0</v>
      </c>
      <c r="K349" s="68"/>
      <c r="L349" s="68"/>
      <c r="M349" s="68"/>
      <c r="N349" s="68"/>
      <c r="O349" s="68"/>
      <c r="P349" s="68"/>
      <c r="Q349" s="68">
        <f>SUM(Devis[[#This Row],[Poste 1]:[Poste 6]])</f>
        <v>0</v>
      </c>
      <c r="R349" s="71"/>
      <c r="S349" s="68">
        <f>_xlfn.CEILING.MATH(Devis[[#This Row],[Quantité Totale]],Devis[[#This Row],[Conditionnement]])</f>
        <v>0</v>
      </c>
      <c r="T349" s="72"/>
      <c r="U349" s="73" t="s">
        <v>200</v>
      </c>
      <c r="V349" s="74">
        <f>Devis[[#This Row],[Prix de Revient]]*Devis[[#This Row],[Poste 1]]</f>
        <v>0</v>
      </c>
      <c r="W349" s="74">
        <f>Devis[[#This Row],[Prix de Revient]]*Devis[[#This Row],[Poste 2]]</f>
        <v>0</v>
      </c>
      <c r="X349" s="74">
        <f>Devis[[#This Row],[Prix de Revient]]*Devis[[#This Row],[Poste 3]]</f>
        <v>0</v>
      </c>
      <c r="Y349" s="74">
        <f>Devis[[#This Row],[Poste 4]]*Devis[[#This Row],[Prix de Revient]]</f>
        <v>0</v>
      </c>
      <c r="Z349" s="74">
        <f>Devis[[#This Row],[Poste 5]]*Devis[[#This Row],[Prix de Revient]]</f>
        <v>0</v>
      </c>
      <c r="AA349" s="74">
        <f>Devis[[#This Row],[Prix de Revient]]*Devis[[#This Row],[Poste 6]]</f>
        <v>0</v>
      </c>
      <c r="AB349" s="74">
        <f>Devis[[#This Row],[Quantité Totale]]*Devis[[#This Row],[Prix de Revient]]</f>
        <v>0</v>
      </c>
    </row>
    <row r="350" spans="1:28" ht="14.25" outlineLevel="1" x14ac:dyDescent="0.2">
      <c r="A350" s="75" t="s">
        <v>120</v>
      </c>
      <c r="B350" s="76" t="s">
        <v>4440</v>
      </c>
      <c r="C350" s="71" t="s">
        <v>4470</v>
      </c>
      <c r="D350" s="81" t="str">
        <f t="shared" si="6"/>
        <v>CablageCABLES SOUPLES CUIVREunifilaire</v>
      </c>
      <c r="E350" s="76" t="s">
        <v>4487</v>
      </c>
      <c r="F350" s="81">
        <v>35</v>
      </c>
      <c r="G350" s="71" t="s">
        <v>4488</v>
      </c>
      <c r="H350" s="71"/>
      <c r="I350" s="71"/>
      <c r="J350" s="70">
        <f>IFERROR(VLOOKUP(Devis[[#This Row],[Ref Air Flux]],#REF!,3,FALSE),0)</f>
        <v>0</v>
      </c>
      <c r="K350" s="68"/>
      <c r="L350" s="68"/>
      <c r="M350" s="68"/>
      <c r="N350" s="68"/>
      <c r="O350" s="68"/>
      <c r="P350" s="68"/>
      <c r="Q350" s="68">
        <f>SUM(Devis[[#This Row],[Poste 1]:[Poste 6]])</f>
        <v>0</v>
      </c>
      <c r="R350" s="71"/>
      <c r="S350" s="68">
        <f>_xlfn.CEILING.MATH(Devis[[#This Row],[Quantité Totale]],Devis[[#This Row],[Conditionnement]])</f>
        <v>0</v>
      </c>
      <c r="T350" s="72"/>
      <c r="U350" s="73"/>
      <c r="V350" s="74">
        <f>Devis[[#This Row],[Prix de Revient]]*Devis[[#This Row],[Poste 1]]</f>
        <v>0</v>
      </c>
      <c r="W350" s="74">
        <f>Devis[[#This Row],[Prix de Revient]]*Devis[[#This Row],[Poste 2]]</f>
        <v>0</v>
      </c>
      <c r="X350" s="74">
        <f>Devis[[#This Row],[Prix de Revient]]*Devis[[#This Row],[Poste 3]]</f>
        <v>0</v>
      </c>
      <c r="Y350" s="74">
        <f>Devis[[#This Row],[Poste 4]]*Devis[[#This Row],[Prix de Revient]]</f>
        <v>0</v>
      </c>
      <c r="Z350" s="74">
        <f>Devis[[#This Row],[Poste 5]]*Devis[[#This Row],[Prix de Revient]]</f>
        <v>0</v>
      </c>
      <c r="AA350" s="74">
        <f>Devis[[#This Row],[Prix de Revient]]*Devis[[#This Row],[Poste 6]]</f>
        <v>0</v>
      </c>
      <c r="AB350" s="74">
        <f>Devis[[#This Row],[Quantité Totale]]*Devis[[#This Row],[Prix de Revient]]</f>
        <v>0</v>
      </c>
    </row>
    <row r="351" spans="1:28" ht="14.25" customHeight="1" outlineLevel="1" x14ac:dyDescent="0.2">
      <c r="A351" s="75" t="s">
        <v>120</v>
      </c>
      <c r="B351" s="76" t="s">
        <v>4440</v>
      </c>
      <c r="C351" s="71" t="s">
        <v>4470</v>
      </c>
      <c r="D351" s="81" t="str">
        <f t="shared" si="6"/>
        <v>CablageCABLES SOUPLES CUIVREunifilaire</v>
      </c>
      <c r="E351" s="76" t="s">
        <v>4489</v>
      </c>
      <c r="F351" s="81">
        <v>36</v>
      </c>
      <c r="G351" s="71" t="s">
        <v>4490</v>
      </c>
      <c r="H351" s="71"/>
      <c r="I351" s="71"/>
      <c r="J351" s="70">
        <f>IFERROR(VLOOKUP(Devis[[#This Row],[Ref Air Flux]],#REF!,3,FALSE),0)</f>
        <v>0</v>
      </c>
      <c r="K351" s="68"/>
      <c r="L351" s="68"/>
      <c r="M351" s="68"/>
      <c r="N351" s="68"/>
      <c r="O351" s="68"/>
      <c r="P351" s="68"/>
      <c r="Q351" s="68">
        <f>SUM(Devis[[#This Row],[Poste 1]:[Poste 6]])</f>
        <v>0</v>
      </c>
      <c r="R351" s="71"/>
      <c r="S351" s="68">
        <f>_xlfn.CEILING.MATH(Devis[[#This Row],[Quantité Totale]],Devis[[#This Row],[Conditionnement]])</f>
        <v>0</v>
      </c>
      <c r="T351" s="72"/>
      <c r="U351" s="73"/>
      <c r="V351" s="74">
        <f>Devis[[#This Row],[Prix de Revient]]*Devis[[#This Row],[Poste 1]]</f>
        <v>0</v>
      </c>
      <c r="W351" s="74">
        <f>Devis[[#This Row],[Prix de Revient]]*Devis[[#This Row],[Poste 2]]</f>
        <v>0</v>
      </c>
      <c r="X351" s="74">
        <f>Devis[[#This Row],[Prix de Revient]]*Devis[[#This Row],[Poste 3]]</f>
        <v>0</v>
      </c>
      <c r="Y351" s="74">
        <f>Devis[[#This Row],[Poste 4]]*Devis[[#This Row],[Prix de Revient]]</f>
        <v>0</v>
      </c>
      <c r="Z351" s="74">
        <f>Devis[[#This Row],[Poste 5]]*Devis[[#This Row],[Prix de Revient]]</f>
        <v>0</v>
      </c>
      <c r="AA351" s="74">
        <f>Devis[[#This Row],[Prix de Revient]]*Devis[[#This Row],[Poste 6]]</f>
        <v>0</v>
      </c>
      <c r="AB351" s="74">
        <f>Devis[[#This Row],[Quantité Totale]]*Devis[[#This Row],[Prix de Revient]]</f>
        <v>0</v>
      </c>
    </row>
    <row r="352" spans="1:28" ht="14.25" outlineLevel="1" x14ac:dyDescent="0.2">
      <c r="A352" s="75" t="s">
        <v>120</v>
      </c>
      <c r="B352" s="76" t="s">
        <v>4440</v>
      </c>
      <c r="C352" s="71" t="s">
        <v>4470</v>
      </c>
      <c r="D352" s="81" t="str">
        <f t="shared" si="6"/>
        <v>CablageCABLES SOUPLES CUIVREunifilaire</v>
      </c>
      <c r="E352" s="76" t="s">
        <v>4491</v>
      </c>
      <c r="F352" s="81">
        <v>37</v>
      </c>
      <c r="G352" s="71" t="s">
        <v>4492</v>
      </c>
      <c r="H352" s="79"/>
      <c r="I352" s="71"/>
      <c r="J352" s="70">
        <f>IFERROR(VLOOKUP(Devis[[#This Row],[Ref Air Flux]],#REF!,3,FALSE),0)</f>
        <v>0</v>
      </c>
      <c r="K352" s="68"/>
      <c r="L352" s="68"/>
      <c r="M352" s="68"/>
      <c r="N352" s="68"/>
      <c r="O352" s="68"/>
      <c r="P352" s="68"/>
      <c r="Q352" s="68">
        <f>SUM(Devis[[#This Row],[Poste 1]:[Poste 6]])</f>
        <v>0</v>
      </c>
      <c r="R352" s="71"/>
      <c r="S352" s="68">
        <f>_xlfn.CEILING.MATH(Devis[[#This Row],[Quantité Totale]],Devis[[#This Row],[Conditionnement]])</f>
        <v>0</v>
      </c>
      <c r="T352" s="72"/>
      <c r="U352" s="73" t="s">
        <v>200</v>
      </c>
      <c r="V352" s="74">
        <f>Devis[[#This Row],[Prix de Revient]]*Devis[[#This Row],[Poste 1]]</f>
        <v>0</v>
      </c>
      <c r="W352" s="74">
        <f>Devis[[#This Row],[Prix de Revient]]*Devis[[#This Row],[Poste 2]]</f>
        <v>0</v>
      </c>
      <c r="X352" s="74">
        <f>Devis[[#This Row],[Prix de Revient]]*Devis[[#This Row],[Poste 3]]</f>
        <v>0</v>
      </c>
      <c r="Y352" s="74">
        <f>Devis[[#This Row],[Poste 4]]*Devis[[#This Row],[Prix de Revient]]</f>
        <v>0</v>
      </c>
      <c r="Z352" s="74">
        <f>Devis[[#This Row],[Poste 5]]*Devis[[#This Row],[Prix de Revient]]</f>
        <v>0</v>
      </c>
      <c r="AA352" s="74">
        <f>Devis[[#This Row],[Prix de Revient]]*Devis[[#This Row],[Poste 6]]</f>
        <v>0</v>
      </c>
      <c r="AB352" s="74">
        <f>Devis[[#This Row],[Quantité Totale]]*Devis[[#This Row],[Prix de Revient]]</f>
        <v>0</v>
      </c>
    </row>
    <row r="353" spans="1:28" ht="14.25" outlineLevel="1" x14ac:dyDescent="0.2">
      <c r="A353" s="75" t="s">
        <v>120</v>
      </c>
      <c r="B353" s="76" t="s">
        <v>4440</v>
      </c>
      <c r="C353" s="71" t="s">
        <v>4470</v>
      </c>
      <c r="D353" s="81" t="str">
        <f t="shared" si="6"/>
        <v>CablageCABLES SOUPLES CUIVREunifilaire</v>
      </c>
      <c r="E353" s="76" t="s">
        <v>203</v>
      </c>
      <c r="F353" s="81">
        <v>38</v>
      </c>
      <c r="G353" s="71" t="s">
        <v>4493</v>
      </c>
      <c r="H353" s="79"/>
      <c r="I353" s="71"/>
      <c r="J353" s="70">
        <f>IFERROR(VLOOKUP(Devis[[#This Row],[Ref Air Flux]],#REF!,3,FALSE),0)</f>
        <v>0</v>
      </c>
      <c r="K353" s="68"/>
      <c r="L353" s="68"/>
      <c r="M353" s="68"/>
      <c r="N353" s="68"/>
      <c r="O353" s="68"/>
      <c r="P353" s="68"/>
      <c r="Q353" s="68">
        <f>SUM(Devis[[#This Row],[Poste 1]:[Poste 6]])</f>
        <v>0</v>
      </c>
      <c r="R353" s="71"/>
      <c r="S353" s="68">
        <f>_xlfn.CEILING.MATH(Devis[[#This Row],[Quantité Totale]],Devis[[#This Row],[Conditionnement]])</f>
        <v>0</v>
      </c>
      <c r="T353" s="72"/>
      <c r="U353" s="73" t="s">
        <v>200</v>
      </c>
      <c r="V353" s="74">
        <f>Devis[[#This Row],[Prix de Revient]]*Devis[[#This Row],[Poste 1]]</f>
        <v>0</v>
      </c>
      <c r="W353" s="74">
        <f>Devis[[#This Row],[Prix de Revient]]*Devis[[#This Row],[Poste 2]]</f>
        <v>0</v>
      </c>
      <c r="X353" s="74">
        <f>Devis[[#This Row],[Prix de Revient]]*Devis[[#This Row],[Poste 3]]</f>
        <v>0</v>
      </c>
      <c r="Y353" s="74">
        <f>Devis[[#This Row],[Poste 4]]*Devis[[#This Row],[Prix de Revient]]</f>
        <v>0</v>
      </c>
      <c r="Z353" s="74">
        <f>Devis[[#This Row],[Poste 5]]*Devis[[#This Row],[Prix de Revient]]</f>
        <v>0</v>
      </c>
      <c r="AA353" s="74">
        <f>Devis[[#This Row],[Prix de Revient]]*Devis[[#This Row],[Poste 6]]</f>
        <v>0</v>
      </c>
      <c r="AB353" s="74">
        <f>Devis[[#This Row],[Quantité Totale]]*Devis[[#This Row],[Prix de Revient]]</f>
        <v>0</v>
      </c>
    </row>
    <row r="354" spans="1:28" ht="14.25" outlineLevel="1" x14ac:dyDescent="0.2">
      <c r="A354" s="75" t="s">
        <v>120</v>
      </c>
      <c r="B354" s="76" t="s">
        <v>4440</v>
      </c>
      <c r="C354" s="71" t="s">
        <v>4470</v>
      </c>
      <c r="D354" s="81" t="str">
        <f t="shared" ref="D354:D417" si="7">A354&amp;B354&amp;C354</f>
        <v>CablageCABLES SOUPLES CUIVREunifilaire</v>
      </c>
      <c r="E354" s="76" t="s">
        <v>204</v>
      </c>
      <c r="F354" s="81">
        <v>39</v>
      </c>
      <c r="G354" s="71" t="s">
        <v>4494</v>
      </c>
      <c r="H354" s="79"/>
      <c r="I354" s="71"/>
      <c r="J354" s="70">
        <f>IFERROR(VLOOKUP(Devis[[#This Row],[Ref Air Flux]],#REF!,3,FALSE),0)</f>
        <v>0</v>
      </c>
      <c r="K354" s="68"/>
      <c r="L354" s="68"/>
      <c r="M354" s="68"/>
      <c r="N354" s="68"/>
      <c r="O354" s="68"/>
      <c r="P354" s="68"/>
      <c r="Q354" s="68">
        <f>SUM(Devis[[#This Row],[Poste 1]:[Poste 6]])</f>
        <v>0</v>
      </c>
      <c r="R354" s="71"/>
      <c r="S354" s="68">
        <f>_xlfn.CEILING.MATH(Devis[[#This Row],[Quantité Totale]],Devis[[#This Row],[Conditionnement]])</f>
        <v>0</v>
      </c>
      <c r="T354" s="72"/>
      <c r="U354" s="73" t="s">
        <v>200</v>
      </c>
      <c r="V354" s="74">
        <f>Devis[[#This Row],[Prix de Revient]]*Devis[[#This Row],[Poste 1]]</f>
        <v>0</v>
      </c>
      <c r="W354" s="74">
        <f>Devis[[#This Row],[Prix de Revient]]*Devis[[#This Row],[Poste 2]]</f>
        <v>0</v>
      </c>
      <c r="X354" s="74">
        <f>Devis[[#This Row],[Prix de Revient]]*Devis[[#This Row],[Poste 3]]</f>
        <v>0</v>
      </c>
      <c r="Y354" s="74">
        <f>Devis[[#This Row],[Poste 4]]*Devis[[#This Row],[Prix de Revient]]</f>
        <v>0</v>
      </c>
      <c r="Z354" s="74">
        <f>Devis[[#This Row],[Poste 5]]*Devis[[#This Row],[Prix de Revient]]</f>
        <v>0</v>
      </c>
      <c r="AA354" s="74">
        <f>Devis[[#This Row],[Prix de Revient]]*Devis[[#This Row],[Poste 6]]</f>
        <v>0</v>
      </c>
      <c r="AB354" s="74">
        <f>Devis[[#This Row],[Quantité Totale]]*Devis[[#This Row],[Prix de Revient]]</f>
        <v>0</v>
      </c>
    </row>
    <row r="355" spans="1:28" ht="14.25" outlineLevel="1" x14ac:dyDescent="0.2">
      <c r="A355" s="75" t="s">
        <v>120</v>
      </c>
      <c r="B355" s="76" t="s">
        <v>4440</v>
      </c>
      <c r="C355" s="71" t="s">
        <v>4470</v>
      </c>
      <c r="D355" s="81" t="str">
        <f t="shared" si="7"/>
        <v>CablageCABLES SOUPLES CUIVREunifilaire</v>
      </c>
      <c r="E355" s="76" t="s">
        <v>205</v>
      </c>
      <c r="F355" s="81">
        <v>40</v>
      </c>
      <c r="G355" s="71" t="s">
        <v>4495</v>
      </c>
      <c r="H355" s="79"/>
      <c r="I355" s="71"/>
      <c r="J355" s="70">
        <f>IFERROR(VLOOKUP(Devis[[#This Row],[Ref Air Flux]],#REF!,3,FALSE),0)</f>
        <v>0</v>
      </c>
      <c r="K355" s="68"/>
      <c r="L355" s="68"/>
      <c r="M355" s="68"/>
      <c r="N355" s="68"/>
      <c r="O355" s="68"/>
      <c r="P355" s="68"/>
      <c r="Q355" s="68">
        <f>SUM(Devis[[#This Row],[Poste 1]:[Poste 6]])</f>
        <v>0</v>
      </c>
      <c r="R355" s="71"/>
      <c r="S355" s="68">
        <f>_xlfn.CEILING.MATH(Devis[[#This Row],[Quantité Totale]],Devis[[#This Row],[Conditionnement]])</f>
        <v>0</v>
      </c>
      <c r="T355" s="72"/>
      <c r="U355" s="73" t="s">
        <v>200</v>
      </c>
      <c r="V355" s="74">
        <f>Devis[[#This Row],[Prix de Revient]]*Devis[[#This Row],[Poste 1]]</f>
        <v>0</v>
      </c>
      <c r="W355" s="74">
        <f>Devis[[#This Row],[Prix de Revient]]*Devis[[#This Row],[Poste 2]]</f>
        <v>0</v>
      </c>
      <c r="X355" s="74">
        <f>Devis[[#This Row],[Prix de Revient]]*Devis[[#This Row],[Poste 3]]</f>
        <v>0</v>
      </c>
      <c r="Y355" s="74">
        <f>Devis[[#This Row],[Poste 4]]*Devis[[#This Row],[Prix de Revient]]</f>
        <v>0</v>
      </c>
      <c r="Z355" s="74">
        <f>Devis[[#This Row],[Poste 5]]*Devis[[#This Row],[Prix de Revient]]</f>
        <v>0</v>
      </c>
      <c r="AA355" s="74">
        <f>Devis[[#This Row],[Prix de Revient]]*Devis[[#This Row],[Poste 6]]</f>
        <v>0</v>
      </c>
      <c r="AB355" s="74">
        <f>Devis[[#This Row],[Quantité Totale]]*Devis[[#This Row],[Prix de Revient]]</f>
        <v>0</v>
      </c>
    </row>
    <row r="356" spans="1:28" ht="14.25" outlineLevel="1" x14ac:dyDescent="0.2">
      <c r="A356" s="75" t="s">
        <v>120</v>
      </c>
      <c r="B356" s="76" t="s">
        <v>4440</v>
      </c>
      <c r="C356" s="71" t="s">
        <v>4470</v>
      </c>
      <c r="D356" s="81" t="str">
        <f t="shared" si="7"/>
        <v>CablageCABLES SOUPLES CUIVREunifilaire</v>
      </c>
      <c r="E356" s="76" t="s">
        <v>206</v>
      </c>
      <c r="F356" s="81">
        <v>41</v>
      </c>
      <c r="G356" s="71" t="s">
        <v>4496</v>
      </c>
      <c r="H356" s="79"/>
      <c r="I356" s="71"/>
      <c r="J356" s="70">
        <f>IFERROR(VLOOKUP(Devis[[#This Row],[Ref Air Flux]],#REF!,3,FALSE),0)</f>
        <v>0</v>
      </c>
      <c r="K356" s="68"/>
      <c r="L356" s="68"/>
      <c r="M356" s="68"/>
      <c r="N356" s="68"/>
      <c r="O356" s="68"/>
      <c r="P356" s="68"/>
      <c r="Q356" s="68">
        <f>SUM(Devis[[#This Row],[Poste 1]:[Poste 6]])</f>
        <v>0</v>
      </c>
      <c r="R356" s="71"/>
      <c r="S356" s="68">
        <f>_xlfn.CEILING.MATH(Devis[[#This Row],[Quantité Totale]],Devis[[#This Row],[Conditionnement]])</f>
        <v>0</v>
      </c>
      <c r="T356" s="72"/>
      <c r="U356" s="73" t="s">
        <v>200</v>
      </c>
      <c r="V356" s="74">
        <f>Devis[[#This Row],[Prix de Revient]]*Devis[[#This Row],[Poste 1]]</f>
        <v>0</v>
      </c>
      <c r="W356" s="74">
        <f>Devis[[#This Row],[Prix de Revient]]*Devis[[#This Row],[Poste 2]]</f>
        <v>0</v>
      </c>
      <c r="X356" s="74">
        <f>Devis[[#This Row],[Prix de Revient]]*Devis[[#This Row],[Poste 3]]</f>
        <v>0</v>
      </c>
      <c r="Y356" s="74">
        <f>Devis[[#This Row],[Poste 4]]*Devis[[#This Row],[Prix de Revient]]</f>
        <v>0</v>
      </c>
      <c r="Z356" s="74">
        <f>Devis[[#This Row],[Poste 5]]*Devis[[#This Row],[Prix de Revient]]</f>
        <v>0</v>
      </c>
      <c r="AA356" s="74">
        <f>Devis[[#This Row],[Prix de Revient]]*Devis[[#This Row],[Poste 6]]</f>
        <v>0</v>
      </c>
      <c r="AB356" s="74">
        <f>Devis[[#This Row],[Quantité Totale]]*Devis[[#This Row],[Prix de Revient]]</f>
        <v>0</v>
      </c>
    </row>
    <row r="357" spans="1:28" ht="14.25" outlineLevel="1" x14ac:dyDescent="0.2">
      <c r="A357" s="75" t="s">
        <v>120</v>
      </c>
      <c r="B357" s="76" t="s">
        <v>4440</v>
      </c>
      <c r="C357" s="71" t="s">
        <v>4470</v>
      </c>
      <c r="D357" s="81" t="str">
        <f t="shared" si="7"/>
        <v>CablageCABLES SOUPLES CUIVREunifilaire</v>
      </c>
      <c r="E357" s="76" t="s">
        <v>4497</v>
      </c>
      <c r="F357" s="81">
        <v>42</v>
      </c>
      <c r="G357" s="71" t="s">
        <v>4498</v>
      </c>
      <c r="H357" s="71"/>
      <c r="I357" s="71"/>
      <c r="J357" s="70">
        <f>IFERROR(VLOOKUP(Devis[[#This Row],[Ref Air Flux]],#REF!,3,FALSE),0)</f>
        <v>0</v>
      </c>
      <c r="K357" s="68"/>
      <c r="L357" s="68"/>
      <c r="M357" s="68"/>
      <c r="N357" s="68"/>
      <c r="O357" s="68"/>
      <c r="P357" s="68"/>
      <c r="Q357" s="68">
        <f>SUM(Devis[[#This Row],[Poste 1]:[Poste 6]])</f>
        <v>0</v>
      </c>
      <c r="R357" s="71"/>
      <c r="S357" s="68">
        <f>_xlfn.CEILING.MATH(Devis[[#This Row],[Quantité Totale]],Devis[[#This Row],[Conditionnement]])</f>
        <v>0</v>
      </c>
      <c r="T357" s="72"/>
      <c r="U357" s="73"/>
      <c r="V357" s="74">
        <f>Devis[[#This Row],[Prix de Revient]]*Devis[[#This Row],[Poste 1]]</f>
        <v>0</v>
      </c>
      <c r="W357" s="74">
        <f>Devis[[#This Row],[Prix de Revient]]*Devis[[#This Row],[Poste 2]]</f>
        <v>0</v>
      </c>
      <c r="X357" s="74">
        <f>Devis[[#This Row],[Prix de Revient]]*Devis[[#This Row],[Poste 3]]</f>
        <v>0</v>
      </c>
      <c r="Y357" s="74">
        <f>Devis[[#This Row],[Poste 4]]*Devis[[#This Row],[Prix de Revient]]</f>
        <v>0</v>
      </c>
      <c r="Z357" s="74">
        <f>Devis[[#This Row],[Poste 5]]*Devis[[#This Row],[Prix de Revient]]</f>
        <v>0</v>
      </c>
      <c r="AA357" s="74">
        <f>Devis[[#This Row],[Prix de Revient]]*Devis[[#This Row],[Poste 6]]</f>
        <v>0</v>
      </c>
      <c r="AB357" s="74">
        <f>Devis[[#This Row],[Quantité Totale]]*Devis[[#This Row],[Prix de Revient]]</f>
        <v>0</v>
      </c>
    </row>
    <row r="358" spans="1:28" ht="14.25" outlineLevel="1" x14ac:dyDescent="0.2">
      <c r="A358" s="75" t="s">
        <v>120</v>
      </c>
      <c r="B358" s="76" t="s">
        <v>4440</v>
      </c>
      <c r="C358" s="71" t="s">
        <v>4470</v>
      </c>
      <c r="D358" s="81" t="str">
        <f t="shared" si="7"/>
        <v>CablageCABLES SOUPLES CUIVREunifilaire</v>
      </c>
      <c r="E358" s="76" t="s">
        <v>207</v>
      </c>
      <c r="F358" s="81">
        <v>43</v>
      </c>
      <c r="G358" s="71" t="s">
        <v>4499</v>
      </c>
      <c r="H358" s="79"/>
      <c r="I358" s="71"/>
      <c r="J358" s="70">
        <f>IFERROR(VLOOKUP(Devis[[#This Row],[Ref Air Flux]],#REF!,3,FALSE),0)</f>
        <v>0</v>
      </c>
      <c r="K358" s="68"/>
      <c r="L358" s="68"/>
      <c r="M358" s="68"/>
      <c r="N358" s="68"/>
      <c r="O358" s="68"/>
      <c r="P358" s="68"/>
      <c r="Q358" s="68">
        <f>SUM(Devis[[#This Row],[Poste 1]:[Poste 6]])</f>
        <v>0</v>
      </c>
      <c r="R358" s="71"/>
      <c r="S358" s="68">
        <f>_xlfn.CEILING.MATH(Devis[[#This Row],[Quantité Totale]],Devis[[#This Row],[Conditionnement]])</f>
        <v>0</v>
      </c>
      <c r="T358" s="72"/>
      <c r="U358" s="73" t="s">
        <v>200</v>
      </c>
      <c r="V358" s="74">
        <f>Devis[[#This Row],[Prix de Revient]]*Devis[[#This Row],[Poste 1]]</f>
        <v>0</v>
      </c>
      <c r="W358" s="74">
        <f>Devis[[#This Row],[Prix de Revient]]*Devis[[#This Row],[Poste 2]]</f>
        <v>0</v>
      </c>
      <c r="X358" s="74">
        <f>Devis[[#This Row],[Prix de Revient]]*Devis[[#This Row],[Poste 3]]</f>
        <v>0</v>
      </c>
      <c r="Y358" s="74">
        <f>Devis[[#This Row],[Poste 4]]*Devis[[#This Row],[Prix de Revient]]</f>
        <v>0</v>
      </c>
      <c r="Z358" s="74">
        <f>Devis[[#This Row],[Poste 5]]*Devis[[#This Row],[Prix de Revient]]</f>
        <v>0</v>
      </c>
      <c r="AA358" s="74">
        <f>Devis[[#This Row],[Prix de Revient]]*Devis[[#This Row],[Poste 6]]</f>
        <v>0</v>
      </c>
      <c r="AB358" s="74">
        <f>Devis[[#This Row],[Quantité Totale]]*Devis[[#This Row],[Prix de Revient]]</f>
        <v>0</v>
      </c>
    </row>
    <row r="359" spans="1:28" ht="14.25" outlineLevel="1" x14ac:dyDescent="0.2">
      <c r="A359" s="75" t="s">
        <v>120</v>
      </c>
      <c r="B359" s="76" t="s">
        <v>4440</v>
      </c>
      <c r="C359" s="71" t="s">
        <v>4470</v>
      </c>
      <c r="D359" s="81" t="str">
        <f t="shared" si="7"/>
        <v>CablageCABLES SOUPLES CUIVREunifilaire</v>
      </c>
      <c r="E359" s="76" t="s">
        <v>208</v>
      </c>
      <c r="F359" s="81">
        <v>44</v>
      </c>
      <c r="G359" s="71" t="s">
        <v>4500</v>
      </c>
      <c r="H359" s="79"/>
      <c r="I359" s="71"/>
      <c r="J359" s="70">
        <f>IFERROR(VLOOKUP(Devis[[#This Row],[Ref Air Flux]],#REF!,3,FALSE),0)</f>
        <v>0</v>
      </c>
      <c r="K359" s="68"/>
      <c r="L359" s="68"/>
      <c r="M359" s="68"/>
      <c r="N359" s="68"/>
      <c r="O359" s="68"/>
      <c r="P359" s="68"/>
      <c r="Q359" s="68">
        <f>SUM(Devis[[#This Row],[Poste 1]:[Poste 6]])</f>
        <v>0</v>
      </c>
      <c r="R359" s="71"/>
      <c r="S359" s="68">
        <f>_xlfn.CEILING.MATH(Devis[[#This Row],[Quantité Totale]],Devis[[#This Row],[Conditionnement]])</f>
        <v>0</v>
      </c>
      <c r="T359" s="72"/>
      <c r="U359" s="73" t="s">
        <v>200</v>
      </c>
      <c r="V359" s="74">
        <f>Devis[[#This Row],[Prix de Revient]]*Devis[[#This Row],[Poste 1]]</f>
        <v>0</v>
      </c>
      <c r="W359" s="74">
        <f>Devis[[#This Row],[Prix de Revient]]*Devis[[#This Row],[Poste 2]]</f>
        <v>0</v>
      </c>
      <c r="X359" s="74">
        <f>Devis[[#This Row],[Prix de Revient]]*Devis[[#This Row],[Poste 3]]</f>
        <v>0</v>
      </c>
      <c r="Y359" s="74">
        <f>Devis[[#This Row],[Poste 4]]*Devis[[#This Row],[Prix de Revient]]</f>
        <v>0</v>
      </c>
      <c r="Z359" s="74">
        <f>Devis[[#This Row],[Poste 5]]*Devis[[#This Row],[Prix de Revient]]</f>
        <v>0</v>
      </c>
      <c r="AA359" s="74">
        <f>Devis[[#This Row],[Prix de Revient]]*Devis[[#This Row],[Poste 6]]</f>
        <v>0</v>
      </c>
      <c r="AB359" s="74">
        <f>Devis[[#This Row],[Quantité Totale]]*Devis[[#This Row],[Prix de Revient]]</f>
        <v>0</v>
      </c>
    </row>
    <row r="360" spans="1:28" ht="14.25" outlineLevel="1" x14ac:dyDescent="0.2">
      <c r="A360" s="75" t="s">
        <v>120</v>
      </c>
      <c r="B360" s="76" t="s">
        <v>4440</v>
      </c>
      <c r="C360" s="71" t="s">
        <v>4470</v>
      </c>
      <c r="D360" s="81" t="str">
        <f t="shared" si="7"/>
        <v>CablageCABLES SOUPLES CUIVREunifilaire</v>
      </c>
      <c r="E360" s="76" t="s">
        <v>4501</v>
      </c>
      <c r="F360" s="81">
        <v>45</v>
      </c>
      <c r="G360" s="71" t="s">
        <v>4502</v>
      </c>
      <c r="H360" s="79"/>
      <c r="I360" s="71"/>
      <c r="J360" s="70">
        <f>IFERROR(VLOOKUP(Devis[[#This Row],[Ref Air Flux]],#REF!,3,FALSE),0)</f>
        <v>0</v>
      </c>
      <c r="K360" s="68"/>
      <c r="L360" s="68"/>
      <c r="M360" s="68"/>
      <c r="N360" s="68"/>
      <c r="O360" s="68"/>
      <c r="P360" s="68"/>
      <c r="Q360" s="68">
        <f>SUM(Devis[[#This Row],[Poste 1]:[Poste 6]])</f>
        <v>0</v>
      </c>
      <c r="R360" s="71"/>
      <c r="S360" s="68">
        <f>_xlfn.CEILING.MATH(Devis[[#This Row],[Quantité Totale]],Devis[[#This Row],[Conditionnement]])</f>
        <v>0</v>
      </c>
      <c r="T360" s="72"/>
      <c r="U360" s="73" t="s">
        <v>200</v>
      </c>
      <c r="V360" s="74">
        <f>Devis[[#This Row],[Prix de Revient]]*Devis[[#This Row],[Poste 1]]</f>
        <v>0</v>
      </c>
      <c r="W360" s="74">
        <f>Devis[[#This Row],[Prix de Revient]]*Devis[[#This Row],[Poste 2]]</f>
        <v>0</v>
      </c>
      <c r="X360" s="74">
        <f>Devis[[#This Row],[Prix de Revient]]*Devis[[#This Row],[Poste 3]]</f>
        <v>0</v>
      </c>
      <c r="Y360" s="74">
        <f>Devis[[#This Row],[Poste 4]]*Devis[[#This Row],[Prix de Revient]]</f>
        <v>0</v>
      </c>
      <c r="Z360" s="74">
        <f>Devis[[#This Row],[Poste 5]]*Devis[[#This Row],[Prix de Revient]]</f>
        <v>0</v>
      </c>
      <c r="AA360" s="74">
        <f>Devis[[#This Row],[Prix de Revient]]*Devis[[#This Row],[Poste 6]]</f>
        <v>0</v>
      </c>
      <c r="AB360" s="74">
        <f>Devis[[#This Row],[Quantité Totale]]*Devis[[#This Row],[Prix de Revient]]</f>
        <v>0</v>
      </c>
    </row>
    <row r="361" spans="1:28" ht="14.25" outlineLevel="1" x14ac:dyDescent="0.2">
      <c r="A361" s="75" t="s">
        <v>120</v>
      </c>
      <c r="B361" s="76" t="s">
        <v>4440</v>
      </c>
      <c r="C361" s="71" t="s">
        <v>4503</v>
      </c>
      <c r="D361" s="81" t="str">
        <f t="shared" si="7"/>
        <v>CablageCABLES SOUPLES CUIVRE2x</v>
      </c>
      <c r="E361" s="76" t="s">
        <v>211</v>
      </c>
      <c r="F361" s="81">
        <v>46</v>
      </c>
      <c r="G361" s="71" t="s">
        <v>4504</v>
      </c>
      <c r="H361" s="79"/>
      <c r="I361" s="71"/>
      <c r="J361" s="70">
        <f>IFERROR(VLOOKUP(Devis[[#This Row],[Ref Air Flux]],#REF!,3,FALSE),0)</f>
        <v>0</v>
      </c>
      <c r="K361" s="68"/>
      <c r="L361" s="68"/>
      <c r="M361" s="68"/>
      <c r="N361" s="68"/>
      <c r="O361" s="68"/>
      <c r="P361" s="68"/>
      <c r="Q361" s="68">
        <f>SUM(Devis[[#This Row],[Poste 1]:[Poste 6]])</f>
        <v>0</v>
      </c>
      <c r="R361" s="71"/>
      <c r="S361" s="68">
        <f>_xlfn.CEILING.MATH(Devis[[#This Row],[Quantité Totale]],Devis[[#This Row],[Conditionnement]])</f>
        <v>0</v>
      </c>
      <c r="T361" s="72"/>
      <c r="U361" s="73"/>
      <c r="V361" s="74">
        <f>Devis[[#This Row],[Prix de Revient]]*Devis[[#This Row],[Poste 1]]</f>
        <v>0</v>
      </c>
      <c r="W361" s="74">
        <f>Devis[[#This Row],[Prix de Revient]]*Devis[[#This Row],[Poste 2]]</f>
        <v>0</v>
      </c>
      <c r="X361" s="74">
        <f>Devis[[#This Row],[Prix de Revient]]*Devis[[#This Row],[Poste 3]]</f>
        <v>0</v>
      </c>
      <c r="Y361" s="74">
        <f>Devis[[#This Row],[Poste 4]]*Devis[[#This Row],[Prix de Revient]]</f>
        <v>0</v>
      </c>
      <c r="Z361" s="74">
        <f>Devis[[#This Row],[Poste 5]]*Devis[[#This Row],[Prix de Revient]]</f>
        <v>0</v>
      </c>
      <c r="AA361" s="74">
        <f>Devis[[#This Row],[Prix de Revient]]*Devis[[#This Row],[Poste 6]]</f>
        <v>0</v>
      </c>
      <c r="AB361" s="74">
        <f>Devis[[#This Row],[Quantité Totale]]*Devis[[#This Row],[Prix de Revient]]</f>
        <v>0</v>
      </c>
    </row>
    <row r="362" spans="1:28" ht="14.25" outlineLevel="1" x14ac:dyDescent="0.2">
      <c r="A362" s="75" t="s">
        <v>120</v>
      </c>
      <c r="B362" s="76" t="s">
        <v>4440</v>
      </c>
      <c r="C362" s="71" t="s">
        <v>4449</v>
      </c>
      <c r="D362" s="81" t="str">
        <f t="shared" si="7"/>
        <v>CablageCABLES SOUPLES CUIVRE3G</v>
      </c>
      <c r="E362" s="76" t="s">
        <v>212</v>
      </c>
      <c r="F362" s="81">
        <v>47</v>
      </c>
      <c r="G362" s="71" t="s">
        <v>213</v>
      </c>
      <c r="H362" s="79"/>
      <c r="I362" s="71"/>
      <c r="J362" s="70">
        <f>IFERROR(VLOOKUP(Devis[[#This Row],[Ref Air Flux]],#REF!,3,FALSE),0)</f>
        <v>0</v>
      </c>
      <c r="K362" s="68"/>
      <c r="L362" s="68"/>
      <c r="M362" s="68"/>
      <c r="N362" s="68"/>
      <c r="O362" s="68"/>
      <c r="P362" s="68"/>
      <c r="Q362" s="68">
        <f>SUM(Devis[[#This Row],[Poste 1]:[Poste 6]])</f>
        <v>0</v>
      </c>
      <c r="R362" s="71"/>
      <c r="S362" s="68">
        <f>_xlfn.CEILING.MATH(Devis[[#This Row],[Quantité Totale]],Devis[[#This Row],[Conditionnement]])</f>
        <v>0</v>
      </c>
      <c r="T362" s="72"/>
      <c r="U362" s="73"/>
      <c r="V362" s="74">
        <f>Devis[[#This Row],[Prix de Revient]]*Devis[[#This Row],[Poste 1]]</f>
        <v>0</v>
      </c>
      <c r="W362" s="74">
        <f>Devis[[#This Row],[Prix de Revient]]*Devis[[#This Row],[Poste 2]]</f>
        <v>0</v>
      </c>
      <c r="X362" s="74">
        <f>Devis[[#This Row],[Prix de Revient]]*Devis[[#This Row],[Poste 3]]</f>
        <v>0</v>
      </c>
      <c r="Y362" s="74">
        <f>Devis[[#This Row],[Poste 4]]*Devis[[#This Row],[Prix de Revient]]</f>
        <v>0</v>
      </c>
      <c r="Z362" s="74">
        <f>Devis[[#This Row],[Poste 5]]*Devis[[#This Row],[Prix de Revient]]</f>
        <v>0</v>
      </c>
      <c r="AA362" s="74">
        <f>Devis[[#This Row],[Prix de Revient]]*Devis[[#This Row],[Poste 6]]</f>
        <v>0</v>
      </c>
      <c r="AB362" s="74">
        <f>Devis[[#This Row],[Quantité Totale]]*Devis[[#This Row],[Prix de Revient]]</f>
        <v>0</v>
      </c>
    </row>
    <row r="363" spans="1:28" ht="14.25" outlineLevel="1" x14ac:dyDescent="0.2">
      <c r="A363" s="75" t="s">
        <v>120</v>
      </c>
      <c r="B363" s="76" t="s">
        <v>4440</v>
      </c>
      <c r="C363" s="71" t="s">
        <v>4451</v>
      </c>
      <c r="D363" s="81" t="str">
        <f t="shared" si="7"/>
        <v>CablageCABLES SOUPLES CUIVRE4G</v>
      </c>
      <c r="E363" s="76" t="s">
        <v>214</v>
      </c>
      <c r="F363" s="81">
        <v>48</v>
      </c>
      <c r="G363" s="71" t="s">
        <v>215</v>
      </c>
      <c r="H363" s="79"/>
      <c r="I363" s="71"/>
      <c r="J363" s="70">
        <f>IFERROR(VLOOKUP(Devis[[#This Row],[Ref Air Flux]],#REF!,3,FALSE),0)</f>
        <v>0</v>
      </c>
      <c r="K363" s="68"/>
      <c r="L363" s="68"/>
      <c r="M363" s="68"/>
      <c r="N363" s="68"/>
      <c r="O363" s="68"/>
      <c r="P363" s="68"/>
      <c r="Q363" s="68">
        <f>SUM(Devis[[#This Row],[Poste 1]:[Poste 6]])</f>
        <v>0</v>
      </c>
      <c r="R363" s="71"/>
      <c r="S363" s="68">
        <f>_xlfn.CEILING.MATH(Devis[[#This Row],[Quantité Totale]],Devis[[#This Row],[Conditionnement]])</f>
        <v>0</v>
      </c>
      <c r="T363" s="72"/>
      <c r="U363" s="73"/>
      <c r="V363" s="74">
        <f>Devis[[#This Row],[Prix de Revient]]*Devis[[#This Row],[Poste 1]]</f>
        <v>0</v>
      </c>
      <c r="W363" s="74">
        <f>Devis[[#This Row],[Prix de Revient]]*Devis[[#This Row],[Poste 2]]</f>
        <v>0</v>
      </c>
      <c r="X363" s="74">
        <f>Devis[[#This Row],[Prix de Revient]]*Devis[[#This Row],[Poste 3]]</f>
        <v>0</v>
      </c>
      <c r="Y363" s="74">
        <f>Devis[[#This Row],[Poste 4]]*Devis[[#This Row],[Prix de Revient]]</f>
        <v>0</v>
      </c>
      <c r="Z363" s="74">
        <f>Devis[[#This Row],[Poste 5]]*Devis[[#This Row],[Prix de Revient]]</f>
        <v>0</v>
      </c>
      <c r="AA363" s="74">
        <f>Devis[[#This Row],[Prix de Revient]]*Devis[[#This Row],[Poste 6]]</f>
        <v>0</v>
      </c>
      <c r="AB363" s="74">
        <f>Devis[[#This Row],[Quantité Totale]]*Devis[[#This Row],[Prix de Revient]]</f>
        <v>0</v>
      </c>
    </row>
    <row r="364" spans="1:28" ht="14.25" outlineLevel="1" x14ac:dyDescent="0.2">
      <c r="A364" s="75" t="s">
        <v>120</v>
      </c>
      <c r="B364" s="76" t="s">
        <v>4440</v>
      </c>
      <c r="C364" s="71" t="s">
        <v>4449</v>
      </c>
      <c r="D364" s="81" t="str">
        <f t="shared" si="7"/>
        <v>CablageCABLES SOUPLES CUIVRE3G</v>
      </c>
      <c r="E364" s="76" t="s">
        <v>216</v>
      </c>
      <c r="F364" s="81">
        <v>49</v>
      </c>
      <c r="G364" s="71" t="s">
        <v>217</v>
      </c>
      <c r="H364" s="79"/>
      <c r="I364" s="71"/>
      <c r="J364" s="70">
        <f>IFERROR(VLOOKUP(Devis[[#This Row],[Ref Air Flux]],#REF!,3,FALSE),0)</f>
        <v>0</v>
      </c>
      <c r="K364" s="68"/>
      <c r="L364" s="68"/>
      <c r="M364" s="68"/>
      <c r="N364" s="68"/>
      <c r="O364" s="68"/>
      <c r="P364" s="68"/>
      <c r="Q364" s="68">
        <f>SUM(Devis[[#This Row],[Poste 1]:[Poste 6]])</f>
        <v>0</v>
      </c>
      <c r="R364" s="71"/>
      <c r="S364" s="68">
        <f>_xlfn.CEILING.MATH(Devis[[#This Row],[Quantité Totale]],Devis[[#This Row],[Conditionnement]])</f>
        <v>0</v>
      </c>
      <c r="T364" s="72"/>
      <c r="U364" s="73"/>
      <c r="V364" s="74">
        <f>Devis[[#This Row],[Prix de Revient]]*Devis[[#This Row],[Poste 1]]</f>
        <v>0</v>
      </c>
      <c r="W364" s="74">
        <f>Devis[[#This Row],[Prix de Revient]]*Devis[[#This Row],[Poste 2]]</f>
        <v>0</v>
      </c>
      <c r="X364" s="74">
        <f>Devis[[#This Row],[Prix de Revient]]*Devis[[#This Row],[Poste 3]]</f>
        <v>0</v>
      </c>
      <c r="Y364" s="74">
        <f>Devis[[#This Row],[Poste 4]]*Devis[[#This Row],[Prix de Revient]]</f>
        <v>0</v>
      </c>
      <c r="Z364" s="74">
        <f>Devis[[#This Row],[Poste 5]]*Devis[[#This Row],[Prix de Revient]]</f>
        <v>0</v>
      </c>
      <c r="AA364" s="74">
        <f>Devis[[#This Row],[Prix de Revient]]*Devis[[#This Row],[Poste 6]]</f>
        <v>0</v>
      </c>
      <c r="AB364" s="74">
        <f>Devis[[#This Row],[Quantité Totale]]*Devis[[#This Row],[Prix de Revient]]</f>
        <v>0</v>
      </c>
    </row>
    <row r="365" spans="1:28" ht="14.25" outlineLevel="1" x14ac:dyDescent="0.2">
      <c r="A365" s="75" t="s">
        <v>120</v>
      </c>
      <c r="B365" s="76" t="s">
        <v>4440</v>
      </c>
      <c r="C365" s="71" t="s">
        <v>4451</v>
      </c>
      <c r="D365" s="81" t="str">
        <f t="shared" si="7"/>
        <v>CablageCABLES SOUPLES CUIVRE4G</v>
      </c>
      <c r="E365" s="76" t="s">
        <v>218</v>
      </c>
      <c r="F365" s="81">
        <v>50</v>
      </c>
      <c r="G365" s="71" t="s">
        <v>219</v>
      </c>
      <c r="H365" s="79"/>
      <c r="I365" s="71"/>
      <c r="J365" s="70">
        <f>IFERROR(VLOOKUP(Devis[[#This Row],[Ref Air Flux]],#REF!,3,FALSE),0)</f>
        <v>0</v>
      </c>
      <c r="K365" s="68"/>
      <c r="L365" s="68"/>
      <c r="M365" s="68"/>
      <c r="N365" s="68"/>
      <c r="O365" s="68"/>
      <c r="P365" s="68"/>
      <c r="Q365" s="68">
        <f>SUM(Devis[[#This Row],[Poste 1]:[Poste 6]])</f>
        <v>0</v>
      </c>
      <c r="R365" s="71"/>
      <c r="S365" s="68">
        <f>_xlfn.CEILING.MATH(Devis[[#This Row],[Quantité Totale]],Devis[[#This Row],[Conditionnement]])</f>
        <v>0</v>
      </c>
      <c r="T365" s="72"/>
      <c r="U365" s="73"/>
      <c r="V365" s="74">
        <f>Devis[[#This Row],[Prix de Revient]]*Devis[[#This Row],[Poste 1]]</f>
        <v>0</v>
      </c>
      <c r="W365" s="74">
        <f>Devis[[#This Row],[Prix de Revient]]*Devis[[#This Row],[Poste 2]]</f>
        <v>0</v>
      </c>
      <c r="X365" s="74">
        <f>Devis[[#This Row],[Prix de Revient]]*Devis[[#This Row],[Poste 3]]</f>
        <v>0</v>
      </c>
      <c r="Y365" s="74">
        <f>Devis[[#This Row],[Poste 4]]*Devis[[#This Row],[Prix de Revient]]</f>
        <v>0</v>
      </c>
      <c r="Z365" s="74">
        <f>Devis[[#This Row],[Poste 5]]*Devis[[#This Row],[Prix de Revient]]</f>
        <v>0</v>
      </c>
      <c r="AA365" s="74">
        <f>Devis[[#This Row],[Prix de Revient]]*Devis[[#This Row],[Poste 6]]</f>
        <v>0</v>
      </c>
      <c r="AB365" s="74">
        <f>Devis[[#This Row],[Quantité Totale]]*Devis[[#This Row],[Prix de Revient]]</f>
        <v>0</v>
      </c>
    </row>
    <row r="366" spans="1:28" ht="14.25" outlineLevel="1" x14ac:dyDescent="0.2">
      <c r="A366" s="75" t="s">
        <v>120</v>
      </c>
      <c r="B366" s="76" t="s">
        <v>4440</v>
      </c>
      <c r="C366" s="71" t="s">
        <v>4449</v>
      </c>
      <c r="D366" s="81" t="str">
        <f t="shared" si="7"/>
        <v>CablageCABLES SOUPLES CUIVRE3G</v>
      </c>
      <c r="E366" s="76" t="s">
        <v>220</v>
      </c>
      <c r="F366" s="81">
        <v>51</v>
      </c>
      <c r="G366" s="71" t="s">
        <v>221</v>
      </c>
      <c r="H366" s="79"/>
      <c r="I366" s="71"/>
      <c r="J366" s="70">
        <f>IFERROR(VLOOKUP(Devis[[#This Row],[Ref Air Flux]],#REF!,3,FALSE),0)</f>
        <v>0</v>
      </c>
      <c r="K366" s="68"/>
      <c r="L366" s="68"/>
      <c r="M366" s="68"/>
      <c r="N366" s="68"/>
      <c r="O366" s="68"/>
      <c r="P366" s="68"/>
      <c r="Q366" s="68">
        <f>SUM(Devis[[#This Row],[Poste 1]:[Poste 6]])</f>
        <v>0</v>
      </c>
      <c r="R366" s="71"/>
      <c r="S366" s="68">
        <f>_xlfn.CEILING.MATH(Devis[[#This Row],[Quantité Totale]],Devis[[#This Row],[Conditionnement]])</f>
        <v>0</v>
      </c>
      <c r="T366" s="72"/>
      <c r="U366" s="73"/>
      <c r="V366" s="74">
        <f>Devis[[#This Row],[Prix de Revient]]*Devis[[#This Row],[Poste 1]]</f>
        <v>0</v>
      </c>
      <c r="W366" s="74">
        <f>Devis[[#This Row],[Prix de Revient]]*Devis[[#This Row],[Poste 2]]</f>
        <v>0</v>
      </c>
      <c r="X366" s="74">
        <f>Devis[[#This Row],[Prix de Revient]]*Devis[[#This Row],[Poste 3]]</f>
        <v>0</v>
      </c>
      <c r="Y366" s="74">
        <f>Devis[[#This Row],[Poste 4]]*Devis[[#This Row],[Prix de Revient]]</f>
        <v>0</v>
      </c>
      <c r="Z366" s="74">
        <f>Devis[[#This Row],[Poste 5]]*Devis[[#This Row],[Prix de Revient]]</f>
        <v>0</v>
      </c>
      <c r="AA366" s="74">
        <f>Devis[[#This Row],[Prix de Revient]]*Devis[[#This Row],[Poste 6]]</f>
        <v>0</v>
      </c>
      <c r="AB366" s="74">
        <f>Devis[[#This Row],[Quantité Totale]]*Devis[[#This Row],[Prix de Revient]]</f>
        <v>0</v>
      </c>
    </row>
    <row r="367" spans="1:28" ht="14.25" outlineLevel="1" x14ac:dyDescent="0.2">
      <c r="A367" s="75" t="s">
        <v>120</v>
      </c>
      <c r="B367" s="76" t="s">
        <v>4440</v>
      </c>
      <c r="C367" s="71" t="s">
        <v>4451</v>
      </c>
      <c r="D367" s="81" t="str">
        <f t="shared" si="7"/>
        <v>CablageCABLES SOUPLES CUIVRE4G</v>
      </c>
      <c r="E367" s="76" t="s">
        <v>222</v>
      </c>
      <c r="F367" s="81">
        <v>52</v>
      </c>
      <c r="G367" s="71" t="s">
        <v>223</v>
      </c>
      <c r="H367" s="79"/>
      <c r="I367" s="71"/>
      <c r="J367" s="70">
        <f>IFERROR(VLOOKUP(Devis[[#This Row],[Ref Air Flux]],#REF!,3,FALSE),0)</f>
        <v>0</v>
      </c>
      <c r="K367" s="68"/>
      <c r="L367" s="68"/>
      <c r="M367" s="68"/>
      <c r="N367" s="68"/>
      <c r="O367" s="68"/>
      <c r="P367" s="68"/>
      <c r="Q367" s="68">
        <f>SUM(Devis[[#This Row],[Poste 1]:[Poste 6]])</f>
        <v>0</v>
      </c>
      <c r="R367" s="71"/>
      <c r="S367" s="68">
        <f>_xlfn.CEILING.MATH(Devis[[#This Row],[Quantité Totale]],Devis[[#This Row],[Conditionnement]])</f>
        <v>0</v>
      </c>
      <c r="T367" s="72"/>
      <c r="U367" s="73"/>
      <c r="V367" s="74">
        <f>Devis[[#This Row],[Prix de Revient]]*Devis[[#This Row],[Poste 1]]</f>
        <v>0</v>
      </c>
      <c r="W367" s="74">
        <f>Devis[[#This Row],[Prix de Revient]]*Devis[[#This Row],[Poste 2]]</f>
        <v>0</v>
      </c>
      <c r="X367" s="74">
        <f>Devis[[#This Row],[Prix de Revient]]*Devis[[#This Row],[Poste 3]]</f>
        <v>0</v>
      </c>
      <c r="Y367" s="74">
        <f>Devis[[#This Row],[Poste 4]]*Devis[[#This Row],[Prix de Revient]]</f>
        <v>0</v>
      </c>
      <c r="Z367" s="74">
        <f>Devis[[#This Row],[Poste 5]]*Devis[[#This Row],[Prix de Revient]]</f>
        <v>0</v>
      </c>
      <c r="AA367" s="74">
        <f>Devis[[#This Row],[Prix de Revient]]*Devis[[#This Row],[Poste 6]]</f>
        <v>0</v>
      </c>
      <c r="AB367" s="74">
        <f>Devis[[#This Row],[Quantité Totale]]*Devis[[#This Row],[Prix de Revient]]</f>
        <v>0</v>
      </c>
    </row>
    <row r="368" spans="1:28" ht="15" customHeight="1" outlineLevel="1" x14ac:dyDescent="0.2">
      <c r="A368" s="75" t="s">
        <v>120</v>
      </c>
      <c r="B368" s="76" t="s">
        <v>4440</v>
      </c>
      <c r="C368" s="71" t="s">
        <v>4449</v>
      </c>
      <c r="D368" s="81" t="str">
        <f t="shared" si="7"/>
        <v>CablageCABLES SOUPLES CUIVRE3G</v>
      </c>
      <c r="E368" s="76" t="s">
        <v>224</v>
      </c>
      <c r="F368" s="81">
        <v>53</v>
      </c>
      <c r="G368" s="71" t="s">
        <v>225</v>
      </c>
      <c r="H368" s="79"/>
      <c r="I368" s="71"/>
      <c r="J368" s="70">
        <f>IFERROR(VLOOKUP(Devis[[#This Row],[Ref Air Flux]],#REF!,3,FALSE),0)</f>
        <v>0</v>
      </c>
      <c r="K368" s="68"/>
      <c r="L368" s="68"/>
      <c r="M368" s="68"/>
      <c r="N368" s="68"/>
      <c r="O368" s="68"/>
      <c r="P368" s="68"/>
      <c r="Q368" s="68">
        <f>SUM(Devis[[#This Row],[Poste 1]:[Poste 6]])</f>
        <v>0</v>
      </c>
      <c r="R368" s="71"/>
      <c r="S368" s="68">
        <f>_xlfn.CEILING.MATH(Devis[[#This Row],[Quantité Totale]],Devis[[#This Row],[Conditionnement]])</f>
        <v>0</v>
      </c>
      <c r="T368" s="72"/>
      <c r="U368" s="73"/>
      <c r="V368" s="74">
        <f>Devis[[#This Row],[Prix de Revient]]*Devis[[#This Row],[Poste 1]]</f>
        <v>0</v>
      </c>
      <c r="W368" s="74">
        <f>Devis[[#This Row],[Prix de Revient]]*Devis[[#This Row],[Poste 2]]</f>
        <v>0</v>
      </c>
      <c r="X368" s="74">
        <f>Devis[[#This Row],[Prix de Revient]]*Devis[[#This Row],[Poste 3]]</f>
        <v>0</v>
      </c>
      <c r="Y368" s="74">
        <f>Devis[[#This Row],[Poste 4]]*Devis[[#This Row],[Prix de Revient]]</f>
        <v>0</v>
      </c>
      <c r="Z368" s="74">
        <f>Devis[[#This Row],[Poste 5]]*Devis[[#This Row],[Prix de Revient]]</f>
        <v>0</v>
      </c>
      <c r="AA368" s="74">
        <f>Devis[[#This Row],[Prix de Revient]]*Devis[[#This Row],[Poste 6]]</f>
        <v>0</v>
      </c>
      <c r="AB368" s="74">
        <f>Devis[[#This Row],[Quantité Totale]]*Devis[[#This Row],[Prix de Revient]]</f>
        <v>0</v>
      </c>
    </row>
    <row r="369" spans="1:28" ht="14.25" outlineLevel="1" x14ac:dyDescent="0.2">
      <c r="A369" s="75" t="s">
        <v>120</v>
      </c>
      <c r="B369" s="76" t="s">
        <v>4440</v>
      </c>
      <c r="C369" s="71" t="s">
        <v>4451</v>
      </c>
      <c r="D369" s="81" t="str">
        <f t="shared" si="7"/>
        <v>CablageCABLES SOUPLES CUIVRE4G</v>
      </c>
      <c r="E369" s="76" t="s">
        <v>226</v>
      </c>
      <c r="F369" s="81">
        <v>54</v>
      </c>
      <c r="G369" s="71" t="s">
        <v>227</v>
      </c>
      <c r="H369" s="79"/>
      <c r="I369" s="71"/>
      <c r="J369" s="70">
        <f>IFERROR(VLOOKUP(Devis[[#This Row],[Ref Air Flux]],#REF!,3,FALSE),0)</f>
        <v>0</v>
      </c>
      <c r="K369" s="68"/>
      <c r="L369" s="68"/>
      <c r="M369" s="68"/>
      <c r="N369" s="68"/>
      <c r="O369" s="68"/>
      <c r="P369" s="68"/>
      <c r="Q369" s="68">
        <f>SUM(Devis[[#This Row],[Poste 1]:[Poste 6]])</f>
        <v>0</v>
      </c>
      <c r="R369" s="71"/>
      <c r="S369" s="68">
        <f>_xlfn.CEILING.MATH(Devis[[#This Row],[Quantité Totale]],Devis[[#This Row],[Conditionnement]])</f>
        <v>0</v>
      </c>
      <c r="T369" s="72"/>
      <c r="U369" s="73"/>
      <c r="V369" s="74">
        <f>Devis[[#This Row],[Prix de Revient]]*Devis[[#This Row],[Poste 1]]</f>
        <v>0</v>
      </c>
      <c r="W369" s="74">
        <f>Devis[[#This Row],[Prix de Revient]]*Devis[[#This Row],[Poste 2]]</f>
        <v>0</v>
      </c>
      <c r="X369" s="74">
        <f>Devis[[#This Row],[Prix de Revient]]*Devis[[#This Row],[Poste 3]]</f>
        <v>0</v>
      </c>
      <c r="Y369" s="74">
        <f>Devis[[#This Row],[Poste 4]]*Devis[[#This Row],[Prix de Revient]]</f>
        <v>0</v>
      </c>
      <c r="Z369" s="74">
        <f>Devis[[#This Row],[Poste 5]]*Devis[[#This Row],[Prix de Revient]]</f>
        <v>0</v>
      </c>
      <c r="AA369" s="74">
        <f>Devis[[#This Row],[Prix de Revient]]*Devis[[#This Row],[Poste 6]]</f>
        <v>0</v>
      </c>
      <c r="AB369" s="74">
        <f>Devis[[#This Row],[Quantité Totale]]*Devis[[#This Row],[Prix de Revient]]</f>
        <v>0</v>
      </c>
    </row>
    <row r="370" spans="1:28" ht="14.25" outlineLevel="1" x14ac:dyDescent="0.2">
      <c r="A370" s="75" t="s">
        <v>120</v>
      </c>
      <c r="B370" s="76" t="s">
        <v>4440</v>
      </c>
      <c r="C370" s="71" t="s">
        <v>4443</v>
      </c>
      <c r="D370" s="81" t="str">
        <f t="shared" si="7"/>
        <v>CablageCABLES SOUPLES CUIVRE5G</v>
      </c>
      <c r="E370" s="76" t="s">
        <v>228</v>
      </c>
      <c r="F370" s="81">
        <v>55</v>
      </c>
      <c r="G370" s="71" t="s">
        <v>229</v>
      </c>
      <c r="H370" s="79"/>
      <c r="I370" s="71"/>
      <c r="J370" s="70">
        <f>IFERROR(VLOOKUP(Devis[[#This Row],[Ref Air Flux]],#REF!,3,FALSE),0)</f>
        <v>0</v>
      </c>
      <c r="K370" s="68"/>
      <c r="L370" s="68"/>
      <c r="M370" s="68"/>
      <c r="N370" s="68"/>
      <c r="O370" s="68"/>
      <c r="P370" s="68"/>
      <c r="Q370" s="68">
        <f>SUM(Devis[[#This Row],[Poste 1]:[Poste 6]])</f>
        <v>0</v>
      </c>
      <c r="R370" s="71"/>
      <c r="S370" s="68">
        <f>_xlfn.CEILING.MATH(Devis[[#This Row],[Quantité Totale]],Devis[[#This Row],[Conditionnement]])</f>
        <v>0</v>
      </c>
      <c r="T370" s="72"/>
      <c r="U370" s="73"/>
      <c r="V370" s="74">
        <f>Devis[[#This Row],[Prix de Revient]]*Devis[[#This Row],[Poste 1]]</f>
        <v>0</v>
      </c>
      <c r="W370" s="74">
        <f>Devis[[#This Row],[Prix de Revient]]*Devis[[#This Row],[Poste 2]]</f>
        <v>0</v>
      </c>
      <c r="X370" s="74">
        <f>Devis[[#This Row],[Prix de Revient]]*Devis[[#This Row],[Poste 3]]</f>
        <v>0</v>
      </c>
      <c r="Y370" s="74">
        <f>Devis[[#This Row],[Poste 4]]*Devis[[#This Row],[Prix de Revient]]</f>
        <v>0</v>
      </c>
      <c r="Z370" s="74">
        <f>Devis[[#This Row],[Poste 5]]*Devis[[#This Row],[Prix de Revient]]</f>
        <v>0</v>
      </c>
      <c r="AA370" s="74">
        <f>Devis[[#This Row],[Prix de Revient]]*Devis[[#This Row],[Poste 6]]</f>
        <v>0</v>
      </c>
      <c r="AB370" s="74">
        <f>Devis[[#This Row],[Quantité Totale]]*Devis[[#This Row],[Prix de Revient]]</f>
        <v>0</v>
      </c>
    </row>
    <row r="371" spans="1:28" ht="14.25" outlineLevel="1" x14ac:dyDescent="0.2">
      <c r="A371" s="75" t="s">
        <v>120</v>
      </c>
      <c r="B371" s="76" t="s">
        <v>4440</v>
      </c>
      <c r="C371" s="71" t="s">
        <v>4449</v>
      </c>
      <c r="D371" s="81" t="str">
        <f t="shared" si="7"/>
        <v>CablageCABLES SOUPLES CUIVRE3G</v>
      </c>
      <c r="E371" s="76" t="s">
        <v>230</v>
      </c>
      <c r="F371" s="81">
        <v>56</v>
      </c>
      <c r="G371" s="71" t="s">
        <v>231</v>
      </c>
      <c r="H371" s="79"/>
      <c r="I371" s="71"/>
      <c r="J371" s="70">
        <f>IFERROR(VLOOKUP(Devis[[#This Row],[Ref Air Flux]],#REF!,3,FALSE),0)</f>
        <v>0</v>
      </c>
      <c r="K371" s="68"/>
      <c r="L371" s="68"/>
      <c r="M371" s="68"/>
      <c r="N371" s="68"/>
      <c r="O371" s="68"/>
      <c r="P371" s="68"/>
      <c r="Q371" s="68">
        <f>SUM(Devis[[#This Row],[Poste 1]:[Poste 6]])</f>
        <v>0</v>
      </c>
      <c r="R371" s="71"/>
      <c r="S371" s="68">
        <f>_xlfn.CEILING.MATH(Devis[[#This Row],[Quantité Totale]],Devis[[#This Row],[Conditionnement]])</f>
        <v>0</v>
      </c>
      <c r="T371" s="72"/>
      <c r="U371" s="73"/>
      <c r="V371" s="74">
        <f>Devis[[#This Row],[Prix de Revient]]*Devis[[#This Row],[Poste 1]]</f>
        <v>0</v>
      </c>
      <c r="W371" s="74">
        <f>Devis[[#This Row],[Prix de Revient]]*Devis[[#This Row],[Poste 2]]</f>
        <v>0</v>
      </c>
      <c r="X371" s="74">
        <f>Devis[[#This Row],[Prix de Revient]]*Devis[[#This Row],[Poste 3]]</f>
        <v>0</v>
      </c>
      <c r="Y371" s="74">
        <f>Devis[[#This Row],[Poste 4]]*Devis[[#This Row],[Prix de Revient]]</f>
        <v>0</v>
      </c>
      <c r="Z371" s="74">
        <f>Devis[[#This Row],[Poste 5]]*Devis[[#This Row],[Prix de Revient]]</f>
        <v>0</v>
      </c>
      <c r="AA371" s="74">
        <f>Devis[[#This Row],[Prix de Revient]]*Devis[[#This Row],[Poste 6]]</f>
        <v>0</v>
      </c>
      <c r="AB371" s="74">
        <f>Devis[[#This Row],[Quantité Totale]]*Devis[[#This Row],[Prix de Revient]]</f>
        <v>0</v>
      </c>
    </row>
    <row r="372" spans="1:28" ht="14.25" outlineLevel="1" x14ac:dyDescent="0.2">
      <c r="A372" s="75" t="s">
        <v>120</v>
      </c>
      <c r="B372" s="76" t="s">
        <v>4440</v>
      </c>
      <c r="C372" s="71" t="s">
        <v>4451</v>
      </c>
      <c r="D372" s="81" t="str">
        <f t="shared" si="7"/>
        <v>CablageCABLES SOUPLES CUIVRE4G</v>
      </c>
      <c r="E372" s="76" t="s">
        <v>232</v>
      </c>
      <c r="F372" s="81">
        <v>57</v>
      </c>
      <c r="G372" s="71" t="s">
        <v>233</v>
      </c>
      <c r="H372" s="79"/>
      <c r="I372" s="71"/>
      <c r="J372" s="70">
        <f>IFERROR(VLOOKUP(Devis[[#This Row],[Ref Air Flux]],#REF!,3,FALSE),0)</f>
        <v>0</v>
      </c>
      <c r="K372" s="68"/>
      <c r="L372" s="68"/>
      <c r="M372" s="68"/>
      <c r="N372" s="68"/>
      <c r="O372" s="68"/>
      <c r="P372" s="68"/>
      <c r="Q372" s="68">
        <f>SUM(Devis[[#This Row],[Poste 1]:[Poste 6]])</f>
        <v>0</v>
      </c>
      <c r="R372" s="71"/>
      <c r="S372" s="68">
        <f>_xlfn.CEILING.MATH(Devis[[#This Row],[Quantité Totale]],Devis[[#This Row],[Conditionnement]])</f>
        <v>0</v>
      </c>
      <c r="T372" s="72"/>
      <c r="U372" s="73"/>
      <c r="V372" s="74">
        <f>Devis[[#This Row],[Prix de Revient]]*Devis[[#This Row],[Poste 1]]</f>
        <v>0</v>
      </c>
      <c r="W372" s="74">
        <f>Devis[[#This Row],[Prix de Revient]]*Devis[[#This Row],[Poste 2]]</f>
        <v>0</v>
      </c>
      <c r="X372" s="74">
        <f>Devis[[#This Row],[Prix de Revient]]*Devis[[#This Row],[Poste 3]]</f>
        <v>0</v>
      </c>
      <c r="Y372" s="74">
        <f>Devis[[#This Row],[Poste 4]]*Devis[[#This Row],[Prix de Revient]]</f>
        <v>0</v>
      </c>
      <c r="Z372" s="74">
        <f>Devis[[#This Row],[Poste 5]]*Devis[[#This Row],[Prix de Revient]]</f>
        <v>0</v>
      </c>
      <c r="AA372" s="74">
        <f>Devis[[#This Row],[Prix de Revient]]*Devis[[#This Row],[Poste 6]]</f>
        <v>0</v>
      </c>
      <c r="AB372" s="74">
        <f>Devis[[#This Row],[Quantité Totale]]*Devis[[#This Row],[Prix de Revient]]</f>
        <v>0</v>
      </c>
    </row>
    <row r="373" spans="1:28" ht="14.25" outlineLevel="1" x14ac:dyDescent="0.2">
      <c r="A373" s="75" t="s">
        <v>120</v>
      </c>
      <c r="B373" s="76" t="s">
        <v>4440</v>
      </c>
      <c r="C373" s="71" t="s">
        <v>4443</v>
      </c>
      <c r="D373" s="81" t="str">
        <f t="shared" si="7"/>
        <v>CablageCABLES SOUPLES CUIVRE5G</v>
      </c>
      <c r="E373" s="76" t="s">
        <v>234</v>
      </c>
      <c r="F373" s="81">
        <v>58</v>
      </c>
      <c r="G373" s="71" t="s">
        <v>235</v>
      </c>
      <c r="H373" s="79"/>
      <c r="I373" s="71"/>
      <c r="J373" s="70">
        <f>IFERROR(VLOOKUP(Devis[[#This Row],[Ref Air Flux]],#REF!,3,FALSE),0)</f>
        <v>0</v>
      </c>
      <c r="K373" s="68"/>
      <c r="L373" s="68"/>
      <c r="M373" s="68"/>
      <c r="N373" s="68"/>
      <c r="O373" s="68"/>
      <c r="P373" s="68"/>
      <c r="Q373" s="68">
        <f>SUM(Devis[[#This Row],[Poste 1]:[Poste 6]])</f>
        <v>0</v>
      </c>
      <c r="R373" s="71"/>
      <c r="S373" s="68">
        <f>_xlfn.CEILING.MATH(Devis[[#This Row],[Quantité Totale]],Devis[[#This Row],[Conditionnement]])</f>
        <v>0</v>
      </c>
      <c r="T373" s="72"/>
      <c r="U373" s="73"/>
      <c r="V373" s="74">
        <f>Devis[[#This Row],[Prix de Revient]]*Devis[[#This Row],[Poste 1]]</f>
        <v>0</v>
      </c>
      <c r="W373" s="74">
        <f>Devis[[#This Row],[Prix de Revient]]*Devis[[#This Row],[Poste 2]]</f>
        <v>0</v>
      </c>
      <c r="X373" s="74">
        <f>Devis[[#This Row],[Prix de Revient]]*Devis[[#This Row],[Poste 3]]</f>
        <v>0</v>
      </c>
      <c r="Y373" s="74">
        <f>Devis[[#This Row],[Poste 4]]*Devis[[#This Row],[Prix de Revient]]</f>
        <v>0</v>
      </c>
      <c r="Z373" s="74">
        <f>Devis[[#This Row],[Poste 5]]*Devis[[#This Row],[Prix de Revient]]</f>
        <v>0</v>
      </c>
      <c r="AA373" s="74">
        <f>Devis[[#This Row],[Prix de Revient]]*Devis[[#This Row],[Poste 6]]</f>
        <v>0</v>
      </c>
      <c r="AB373" s="74">
        <f>Devis[[#This Row],[Quantité Totale]]*Devis[[#This Row],[Prix de Revient]]</f>
        <v>0</v>
      </c>
    </row>
    <row r="374" spans="1:28" ht="14.25" outlineLevel="1" x14ac:dyDescent="0.2">
      <c r="A374" s="75" t="s">
        <v>120</v>
      </c>
      <c r="B374" s="76" t="s">
        <v>4440</v>
      </c>
      <c r="C374" s="71" t="s">
        <v>4451</v>
      </c>
      <c r="D374" s="81" t="str">
        <f t="shared" si="7"/>
        <v>CablageCABLES SOUPLES CUIVRE4G</v>
      </c>
      <c r="E374" s="76" t="s">
        <v>236</v>
      </c>
      <c r="F374" s="81">
        <v>59</v>
      </c>
      <c r="G374" s="71" t="s">
        <v>237</v>
      </c>
      <c r="H374" s="79"/>
      <c r="I374" s="71"/>
      <c r="J374" s="70">
        <f>IFERROR(VLOOKUP(Devis[[#This Row],[Ref Air Flux]],#REF!,3,FALSE),0)</f>
        <v>0</v>
      </c>
      <c r="K374" s="68"/>
      <c r="L374" s="68"/>
      <c r="M374" s="68"/>
      <c r="N374" s="68"/>
      <c r="O374" s="68"/>
      <c r="P374" s="68"/>
      <c r="Q374" s="68">
        <f>SUM(Devis[[#This Row],[Poste 1]:[Poste 6]])</f>
        <v>0</v>
      </c>
      <c r="R374" s="71"/>
      <c r="S374" s="68">
        <f>_xlfn.CEILING.MATH(Devis[[#This Row],[Quantité Totale]],Devis[[#This Row],[Conditionnement]])</f>
        <v>0</v>
      </c>
      <c r="T374" s="72"/>
      <c r="U374" s="73"/>
      <c r="V374" s="74">
        <f>Devis[[#This Row],[Prix de Revient]]*Devis[[#This Row],[Poste 1]]</f>
        <v>0</v>
      </c>
      <c r="W374" s="74">
        <f>Devis[[#This Row],[Prix de Revient]]*Devis[[#This Row],[Poste 2]]</f>
        <v>0</v>
      </c>
      <c r="X374" s="74">
        <f>Devis[[#This Row],[Prix de Revient]]*Devis[[#This Row],[Poste 3]]</f>
        <v>0</v>
      </c>
      <c r="Y374" s="74">
        <f>Devis[[#This Row],[Poste 4]]*Devis[[#This Row],[Prix de Revient]]</f>
        <v>0</v>
      </c>
      <c r="Z374" s="74">
        <f>Devis[[#This Row],[Poste 5]]*Devis[[#This Row],[Prix de Revient]]</f>
        <v>0</v>
      </c>
      <c r="AA374" s="74">
        <f>Devis[[#This Row],[Prix de Revient]]*Devis[[#This Row],[Poste 6]]</f>
        <v>0</v>
      </c>
      <c r="AB374" s="74">
        <f>Devis[[#This Row],[Quantité Totale]]*Devis[[#This Row],[Prix de Revient]]</f>
        <v>0</v>
      </c>
    </row>
    <row r="375" spans="1:28" ht="14.25" outlineLevel="1" x14ac:dyDescent="0.2">
      <c r="A375" s="75" t="s">
        <v>120</v>
      </c>
      <c r="B375" s="76" t="s">
        <v>4440</v>
      </c>
      <c r="C375" s="71" t="s">
        <v>4443</v>
      </c>
      <c r="D375" s="81" t="str">
        <f t="shared" si="7"/>
        <v>CablageCABLES SOUPLES CUIVRE5G</v>
      </c>
      <c r="E375" s="76" t="s">
        <v>238</v>
      </c>
      <c r="F375" s="81">
        <v>60</v>
      </c>
      <c r="G375" s="71" t="s">
        <v>239</v>
      </c>
      <c r="H375" s="79"/>
      <c r="I375" s="71"/>
      <c r="J375" s="70">
        <f>IFERROR(VLOOKUP(Devis[[#This Row],[Ref Air Flux]],#REF!,3,FALSE),0)</f>
        <v>0</v>
      </c>
      <c r="K375" s="68"/>
      <c r="L375" s="68"/>
      <c r="M375" s="68"/>
      <c r="N375" s="68"/>
      <c r="O375" s="68"/>
      <c r="P375" s="68"/>
      <c r="Q375" s="68">
        <f>SUM(Devis[[#This Row],[Poste 1]:[Poste 6]])</f>
        <v>0</v>
      </c>
      <c r="R375" s="71"/>
      <c r="S375" s="68">
        <f>_xlfn.CEILING.MATH(Devis[[#This Row],[Quantité Totale]],Devis[[#This Row],[Conditionnement]])</f>
        <v>0</v>
      </c>
      <c r="T375" s="72"/>
      <c r="U375" s="73"/>
      <c r="V375" s="74">
        <f>Devis[[#This Row],[Prix de Revient]]*Devis[[#This Row],[Poste 1]]</f>
        <v>0</v>
      </c>
      <c r="W375" s="74">
        <f>Devis[[#This Row],[Prix de Revient]]*Devis[[#This Row],[Poste 2]]</f>
        <v>0</v>
      </c>
      <c r="X375" s="74">
        <f>Devis[[#This Row],[Prix de Revient]]*Devis[[#This Row],[Poste 3]]</f>
        <v>0</v>
      </c>
      <c r="Y375" s="74">
        <f>Devis[[#This Row],[Poste 4]]*Devis[[#This Row],[Prix de Revient]]</f>
        <v>0</v>
      </c>
      <c r="Z375" s="74">
        <f>Devis[[#This Row],[Poste 5]]*Devis[[#This Row],[Prix de Revient]]</f>
        <v>0</v>
      </c>
      <c r="AA375" s="74">
        <f>Devis[[#This Row],[Prix de Revient]]*Devis[[#This Row],[Poste 6]]</f>
        <v>0</v>
      </c>
      <c r="AB375" s="74">
        <f>Devis[[#This Row],[Quantité Totale]]*Devis[[#This Row],[Prix de Revient]]</f>
        <v>0</v>
      </c>
    </row>
    <row r="376" spans="1:28" ht="14.25" outlineLevel="1" x14ac:dyDescent="0.2">
      <c r="A376" s="75" t="s">
        <v>120</v>
      </c>
      <c r="B376" s="76" t="s">
        <v>4440</v>
      </c>
      <c r="C376" s="71" t="s">
        <v>4451</v>
      </c>
      <c r="D376" s="81" t="str">
        <f t="shared" si="7"/>
        <v>CablageCABLES SOUPLES CUIVRE4G</v>
      </c>
      <c r="E376" s="76" t="s">
        <v>240</v>
      </c>
      <c r="F376" s="81">
        <v>61</v>
      </c>
      <c r="G376" s="71" t="s">
        <v>241</v>
      </c>
      <c r="H376" s="79"/>
      <c r="I376" s="71"/>
      <c r="J376" s="70">
        <f>IFERROR(VLOOKUP(Devis[[#This Row],[Ref Air Flux]],#REF!,3,FALSE),0)</f>
        <v>0</v>
      </c>
      <c r="K376" s="68"/>
      <c r="L376" s="68"/>
      <c r="M376" s="68"/>
      <c r="N376" s="68"/>
      <c r="O376" s="68"/>
      <c r="P376" s="68"/>
      <c r="Q376" s="68">
        <f>SUM(Devis[[#This Row],[Poste 1]:[Poste 6]])</f>
        <v>0</v>
      </c>
      <c r="R376" s="71"/>
      <c r="S376" s="68">
        <f>_xlfn.CEILING.MATH(Devis[[#This Row],[Quantité Totale]],Devis[[#This Row],[Conditionnement]])</f>
        <v>0</v>
      </c>
      <c r="T376" s="72"/>
      <c r="U376" s="73"/>
      <c r="V376" s="74">
        <f>Devis[[#This Row],[Prix de Revient]]*Devis[[#This Row],[Poste 1]]</f>
        <v>0</v>
      </c>
      <c r="W376" s="74">
        <f>Devis[[#This Row],[Prix de Revient]]*Devis[[#This Row],[Poste 2]]</f>
        <v>0</v>
      </c>
      <c r="X376" s="74">
        <f>Devis[[#This Row],[Prix de Revient]]*Devis[[#This Row],[Poste 3]]</f>
        <v>0</v>
      </c>
      <c r="Y376" s="74">
        <f>Devis[[#This Row],[Poste 4]]*Devis[[#This Row],[Prix de Revient]]</f>
        <v>0</v>
      </c>
      <c r="Z376" s="74">
        <f>Devis[[#This Row],[Poste 5]]*Devis[[#This Row],[Prix de Revient]]</f>
        <v>0</v>
      </c>
      <c r="AA376" s="74">
        <f>Devis[[#This Row],[Prix de Revient]]*Devis[[#This Row],[Poste 6]]</f>
        <v>0</v>
      </c>
      <c r="AB376" s="74">
        <f>Devis[[#This Row],[Quantité Totale]]*Devis[[#This Row],[Prix de Revient]]</f>
        <v>0</v>
      </c>
    </row>
    <row r="377" spans="1:28" ht="14.25" outlineLevel="1" x14ac:dyDescent="0.2">
      <c r="A377" s="75" t="s">
        <v>120</v>
      </c>
      <c r="B377" s="76" t="s">
        <v>4440</v>
      </c>
      <c r="C377" s="71" t="s">
        <v>4443</v>
      </c>
      <c r="D377" s="81" t="str">
        <f t="shared" si="7"/>
        <v>CablageCABLES SOUPLES CUIVRE5G</v>
      </c>
      <c r="E377" s="76" t="s">
        <v>242</v>
      </c>
      <c r="F377" s="81">
        <v>62</v>
      </c>
      <c r="G377" s="71" t="s">
        <v>243</v>
      </c>
      <c r="H377" s="79"/>
      <c r="I377" s="71"/>
      <c r="J377" s="70">
        <f>IFERROR(VLOOKUP(Devis[[#This Row],[Ref Air Flux]],#REF!,3,FALSE),0)</f>
        <v>0</v>
      </c>
      <c r="K377" s="68"/>
      <c r="L377" s="68"/>
      <c r="M377" s="68"/>
      <c r="N377" s="68"/>
      <c r="O377" s="68"/>
      <c r="P377" s="68"/>
      <c r="Q377" s="68">
        <f>SUM(Devis[[#This Row],[Poste 1]:[Poste 6]])</f>
        <v>0</v>
      </c>
      <c r="R377" s="71"/>
      <c r="S377" s="68">
        <f>_xlfn.CEILING.MATH(Devis[[#This Row],[Quantité Totale]],Devis[[#This Row],[Conditionnement]])</f>
        <v>0</v>
      </c>
      <c r="T377" s="72"/>
      <c r="U377" s="73"/>
      <c r="V377" s="74">
        <f>Devis[[#This Row],[Prix de Revient]]*Devis[[#This Row],[Poste 1]]</f>
        <v>0</v>
      </c>
      <c r="W377" s="74">
        <f>Devis[[#This Row],[Prix de Revient]]*Devis[[#This Row],[Poste 2]]</f>
        <v>0</v>
      </c>
      <c r="X377" s="74">
        <f>Devis[[#This Row],[Prix de Revient]]*Devis[[#This Row],[Poste 3]]</f>
        <v>0</v>
      </c>
      <c r="Y377" s="74">
        <f>Devis[[#This Row],[Poste 4]]*Devis[[#This Row],[Prix de Revient]]</f>
        <v>0</v>
      </c>
      <c r="Z377" s="74">
        <f>Devis[[#This Row],[Poste 5]]*Devis[[#This Row],[Prix de Revient]]</f>
        <v>0</v>
      </c>
      <c r="AA377" s="74">
        <f>Devis[[#This Row],[Prix de Revient]]*Devis[[#This Row],[Poste 6]]</f>
        <v>0</v>
      </c>
      <c r="AB377" s="74">
        <f>Devis[[#This Row],[Quantité Totale]]*Devis[[#This Row],[Prix de Revient]]</f>
        <v>0</v>
      </c>
    </row>
    <row r="378" spans="1:28" ht="14.25" customHeight="1" outlineLevel="1" x14ac:dyDescent="0.2">
      <c r="A378" s="75" t="s">
        <v>120</v>
      </c>
      <c r="B378" s="76" t="s">
        <v>4440</v>
      </c>
      <c r="C378" s="71" t="s">
        <v>4451</v>
      </c>
      <c r="D378" s="81" t="str">
        <f t="shared" si="7"/>
        <v>CablageCABLES SOUPLES CUIVRE4G</v>
      </c>
      <c r="E378" s="76" t="s">
        <v>244</v>
      </c>
      <c r="F378" s="81">
        <v>63</v>
      </c>
      <c r="G378" s="71" t="s">
        <v>245</v>
      </c>
      <c r="H378" s="79"/>
      <c r="I378" s="71"/>
      <c r="J378" s="70">
        <f>IFERROR(VLOOKUP(Devis[[#This Row],[Ref Air Flux]],#REF!,3,FALSE),0)</f>
        <v>0</v>
      </c>
      <c r="K378" s="68"/>
      <c r="L378" s="68"/>
      <c r="M378" s="68"/>
      <c r="N378" s="68"/>
      <c r="O378" s="68"/>
      <c r="P378" s="68"/>
      <c r="Q378" s="68">
        <f>SUM(Devis[[#This Row],[Poste 1]:[Poste 6]])</f>
        <v>0</v>
      </c>
      <c r="R378" s="71"/>
      <c r="S378" s="68">
        <f>_xlfn.CEILING.MATH(Devis[[#This Row],[Quantité Totale]],Devis[[#This Row],[Conditionnement]])</f>
        <v>0</v>
      </c>
      <c r="T378" s="72"/>
      <c r="U378" s="73"/>
      <c r="V378" s="74">
        <f>Devis[[#This Row],[Prix de Revient]]*Devis[[#This Row],[Poste 1]]</f>
        <v>0</v>
      </c>
      <c r="W378" s="74">
        <f>Devis[[#This Row],[Prix de Revient]]*Devis[[#This Row],[Poste 2]]</f>
        <v>0</v>
      </c>
      <c r="X378" s="74">
        <f>Devis[[#This Row],[Prix de Revient]]*Devis[[#This Row],[Poste 3]]</f>
        <v>0</v>
      </c>
      <c r="Y378" s="74">
        <f>Devis[[#This Row],[Poste 4]]*Devis[[#This Row],[Prix de Revient]]</f>
        <v>0</v>
      </c>
      <c r="Z378" s="74">
        <f>Devis[[#This Row],[Poste 5]]*Devis[[#This Row],[Prix de Revient]]</f>
        <v>0</v>
      </c>
      <c r="AA378" s="74">
        <f>Devis[[#This Row],[Prix de Revient]]*Devis[[#This Row],[Poste 6]]</f>
        <v>0</v>
      </c>
      <c r="AB378" s="74">
        <f>Devis[[#This Row],[Quantité Totale]]*Devis[[#This Row],[Prix de Revient]]</f>
        <v>0</v>
      </c>
    </row>
    <row r="379" spans="1:28" ht="15" customHeight="1" outlineLevel="1" x14ac:dyDescent="0.2">
      <c r="A379" s="75" t="s">
        <v>120</v>
      </c>
      <c r="B379" s="76" t="s">
        <v>4440</v>
      </c>
      <c r="C379" s="71" t="s">
        <v>4451</v>
      </c>
      <c r="D379" s="81" t="str">
        <f t="shared" si="7"/>
        <v>CablageCABLES SOUPLES CUIVRE4G</v>
      </c>
      <c r="E379" s="76" t="s">
        <v>246</v>
      </c>
      <c r="F379" s="81">
        <v>64</v>
      </c>
      <c r="G379" s="71" t="s">
        <v>247</v>
      </c>
      <c r="H379" s="71"/>
      <c r="I379" s="71"/>
      <c r="J379" s="70">
        <f>IFERROR(VLOOKUP(Devis[[#This Row],[Ref Air Flux]],#REF!,3,FALSE),0)</f>
        <v>0</v>
      </c>
      <c r="K379" s="68"/>
      <c r="L379" s="68"/>
      <c r="M379" s="68"/>
      <c r="N379" s="68"/>
      <c r="O379" s="68"/>
      <c r="P379" s="68"/>
      <c r="Q379" s="68">
        <f>SUM(Devis[[#This Row],[Poste 1]:[Poste 6]])</f>
        <v>0</v>
      </c>
      <c r="R379" s="71"/>
      <c r="S379" s="68">
        <f>_xlfn.CEILING.MATH(Devis[[#This Row],[Quantité Totale]],Devis[[#This Row],[Conditionnement]])</f>
        <v>0</v>
      </c>
      <c r="T379" s="72"/>
      <c r="U379" s="73"/>
      <c r="V379" s="74">
        <f>Devis[[#This Row],[Prix de Revient]]*Devis[[#This Row],[Poste 1]]</f>
        <v>0</v>
      </c>
      <c r="W379" s="74">
        <f>Devis[[#This Row],[Prix de Revient]]*Devis[[#This Row],[Poste 2]]</f>
        <v>0</v>
      </c>
      <c r="X379" s="74">
        <f>Devis[[#This Row],[Prix de Revient]]*Devis[[#This Row],[Poste 3]]</f>
        <v>0</v>
      </c>
      <c r="Y379" s="74">
        <f>Devis[[#This Row],[Poste 4]]*Devis[[#This Row],[Prix de Revient]]</f>
        <v>0</v>
      </c>
      <c r="Z379" s="74">
        <f>Devis[[#This Row],[Poste 5]]*Devis[[#This Row],[Prix de Revient]]</f>
        <v>0</v>
      </c>
      <c r="AA379" s="74">
        <f>Devis[[#This Row],[Prix de Revient]]*Devis[[#This Row],[Poste 6]]</f>
        <v>0</v>
      </c>
      <c r="AB379" s="74">
        <f>Devis[[#This Row],[Quantité Totale]]*Devis[[#This Row],[Prix de Revient]]</f>
        <v>0</v>
      </c>
    </row>
    <row r="380" spans="1:28" ht="14.25" outlineLevel="1" x14ac:dyDescent="0.2">
      <c r="A380" s="75" t="s">
        <v>120</v>
      </c>
      <c r="B380" s="76" t="s">
        <v>4440</v>
      </c>
      <c r="C380" s="71" t="s">
        <v>4451</v>
      </c>
      <c r="D380" s="81" t="str">
        <f t="shared" si="7"/>
        <v>CablageCABLES SOUPLES CUIVRE4G</v>
      </c>
      <c r="E380" s="76" t="s">
        <v>4505</v>
      </c>
      <c r="F380" s="81">
        <v>65</v>
      </c>
      <c r="G380" s="71" t="s">
        <v>4506</v>
      </c>
      <c r="H380" s="71"/>
      <c r="I380" s="71"/>
      <c r="J380" s="70">
        <f>IFERROR(VLOOKUP(Devis[[#This Row],[Ref Air Flux]],#REF!,3,FALSE),0)</f>
        <v>0</v>
      </c>
      <c r="K380" s="68"/>
      <c r="L380" s="68"/>
      <c r="M380" s="68"/>
      <c r="N380" s="68"/>
      <c r="O380" s="68"/>
      <c r="P380" s="68"/>
      <c r="Q380" s="68">
        <f>SUM(Devis[[#This Row],[Poste 1]:[Poste 6]])</f>
        <v>0</v>
      </c>
      <c r="R380" s="71"/>
      <c r="S380" s="68">
        <f>_xlfn.CEILING.MATH(Devis[[#This Row],[Quantité Totale]],Devis[[#This Row],[Conditionnement]])</f>
        <v>0</v>
      </c>
      <c r="T380" s="72"/>
      <c r="U380" s="73"/>
      <c r="V380" s="74">
        <f>Devis[[#This Row],[Prix de Revient]]*Devis[[#This Row],[Poste 1]]</f>
        <v>0</v>
      </c>
      <c r="W380" s="74">
        <f>Devis[[#This Row],[Prix de Revient]]*Devis[[#This Row],[Poste 2]]</f>
        <v>0</v>
      </c>
      <c r="X380" s="74">
        <f>Devis[[#This Row],[Prix de Revient]]*Devis[[#This Row],[Poste 3]]</f>
        <v>0</v>
      </c>
      <c r="Y380" s="74">
        <f>Devis[[#This Row],[Poste 4]]*Devis[[#This Row],[Prix de Revient]]</f>
        <v>0</v>
      </c>
      <c r="Z380" s="74">
        <f>Devis[[#This Row],[Poste 5]]*Devis[[#This Row],[Prix de Revient]]</f>
        <v>0</v>
      </c>
      <c r="AA380" s="74">
        <f>Devis[[#This Row],[Prix de Revient]]*Devis[[#This Row],[Poste 6]]</f>
        <v>0</v>
      </c>
      <c r="AB380" s="74">
        <f>Devis[[#This Row],[Quantité Totale]]*Devis[[#This Row],[Prix de Revient]]</f>
        <v>0</v>
      </c>
    </row>
    <row r="381" spans="1:28" ht="14.25" outlineLevel="1" x14ac:dyDescent="0.2">
      <c r="A381" s="75" t="s">
        <v>120</v>
      </c>
      <c r="B381" s="76" t="s">
        <v>4440</v>
      </c>
      <c r="C381" s="71" t="s">
        <v>4451</v>
      </c>
      <c r="D381" s="81" t="str">
        <f t="shared" si="7"/>
        <v>CablageCABLES SOUPLES CUIVRE4G</v>
      </c>
      <c r="E381" s="76" t="s">
        <v>4507</v>
      </c>
      <c r="F381" s="81">
        <v>66</v>
      </c>
      <c r="G381" s="71" t="s">
        <v>4508</v>
      </c>
      <c r="H381" s="71"/>
      <c r="I381" s="71"/>
      <c r="J381" s="70">
        <f>IFERROR(VLOOKUP(Devis[[#This Row],[Ref Air Flux]],#REF!,3,FALSE),0)</f>
        <v>0</v>
      </c>
      <c r="K381" s="68"/>
      <c r="L381" s="68"/>
      <c r="M381" s="68"/>
      <c r="N381" s="68"/>
      <c r="O381" s="68"/>
      <c r="P381" s="68"/>
      <c r="Q381" s="68">
        <f>SUM(Devis[[#This Row],[Poste 1]:[Poste 6]])</f>
        <v>0</v>
      </c>
      <c r="R381" s="71"/>
      <c r="S381" s="68">
        <f>_xlfn.CEILING.MATH(Devis[[#This Row],[Quantité Totale]],Devis[[#This Row],[Conditionnement]])</f>
        <v>0</v>
      </c>
      <c r="T381" s="72"/>
      <c r="U381" s="73"/>
      <c r="V381" s="74">
        <f>Devis[[#This Row],[Prix de Revient]]*Devis[[#This Row],[Poste 1]]</f>
        <v>0</v>
      </c>
      <c r="W381" s="74">
        <f>Devis[[#This Row],[Prix de Revient]]*Devis[[#This Row],[Poste 2]]</f>
        <v>0</v>
      </c>
      <c r="X381" s="74">
        <f>Devis[[#This Row],[Prix de Revient]]*Devis[[#This Row],[Poste 3]]</f>
        <v>0</v>
      </c>
      <c r="Y381" s="74">
        <f>Devis[[#This Row],[Poste 4]]*Devis[[#This Row],[Prix de Revient]]</f>
        <v>0</v>
      </c>
      <c r="Z381" s="74">
        <f>Devis[[#This Row],[Poste 5]]*Devis[[#This Row],[Prix de Revient]]</f>
        <v>0</v>
      </c>
      <c r="AA381" s="74">
        <f>Devis[[#This Row],[Prix de Revient]]*Devis[[#This Row],[Poste 6]]</f>
        <v>0</v>
      </c>
      <c r="AB381" s="74">
        <f>Devis[[#This Row],[Quantité Totale]]*Devis[[#This Row],[Prix de Revient]]</f>
        <v>0</v>
      </c>
    </row>
    <row r="382" spans="1:28" ht="14.25" customHeight="1" outlineLevel="1" x14ac:dyDescent="0.2">
      <c r="A382" s="75" t="s">
        <v>120</v>
      </c>
      <c r="B382" s="76" t="s">
        <v>4440</v>
      </c>
      <c r="C382" s="71" t="s">
        <v>4451</v>
      </c>
      <c r="D382" s="81" t="str">
        <f t="shared" si="7"/>
        <v>CablageCABLES SOUPLES CUIVRE4G</v>
      </c>
      <c r="E382" s="76" t="s">
        <v>4509</v>
      </c>
      <c r="F382" s="81">
        <v>67</v>
      </c>
      <c r="G382" s="71" t="s">
        <v>4510</v>
      </c>
      <c r="H382" s="71"/>
      <c r="I382" s="71"/>
      <c r="J382" s="70">
        <f>IFERROR(VLOOKUP(Devis[[#This Row],[Ref Air Flux]],#REF!,3,FALSE),0)</f>
        <v>0</v>
      </c>
      <c r="K382" s="68"/>
      <c r="L382" s="68"/>
      <c r="M382" s="68"/>
      <c r="N382" s="68"/>
      <c r="O382" s="68"/>
      <c r="P382" s="68"/>
      <c r="Q382" s="68">
        <f>SUM(Devis[[#This Row],[Poste 1]:[Poste 6]])</f>
        <v>0</v>
      </c>
      <c r="R382" s="71"/>
      <c r="S382" s="68">
        <f>_xlfn.CEILING.MATH(Devis[[#This Row],[Quantité Totale]],Devis[[#This Row],[Conditionnement]])</f>
        <v>0</v>
      </c>
      <c r="T382" s="72"/>
      <c r="U382" s="73"/>
      <c r="V382" s="74">
        <f>Devis[[#This Row],[Prix de Revient]]*Devis[[#This Row],[Poste 1]]</f>
        <v>0</v>
      </c>
      <c r="W382" s="74">
        <f>Devis[[#This Row],[Prix de Revient]]*Devis[[#This Row],[Poste 2]]</f>
        <v>0</v>
      </c>
      <c r="X382" s="74">
        <f>Devis[[#This Row],[Prix de Revient]]*Devis[[#This Row],[Poste 3]]</f>
        <v>0</v>
      </c>
      <c r="Y382" s="74">
        <f>Devis[[#This Row],[Poste 4]]*Devis[[#This Row],[Prix de Revient]]</f>
        <v>0</v>
      </c>
      <c r="Z382" s="74">
        <f>Devis[[#This Row],[Poste 5]]*Devis[[#This Row],[Prix de Revient]]</f>
        <v>0</v>
      </c>
      <c r="AA382" s="74">
        <f>Devis[[#This Row],[Prix de Revient]]*Devis[[#This Row],[Poste 6]]</f>
        <v>0</v>
      </c>
      <c r="AB382" s="74">
        <f>Devis[[#This Row],[Quantité Totale]]*Devis[[#This Row],[Prix de Revient]]</f>
        <v>0</v>
      </c>
    </row>
    <row r="383" spans="1:28" ht="14.25" outlineLevel="1" x14ac:dyDescent="0.2">
      <c r="A383" s="75" t="s">
        <v>120</v>
      </c>
      <c r="B383" s="76" t="s">
        <v>4440</v>
      </c>
      <c r="C383" s="71" t="s">
        <v>4443</v>
      </c>
      <c r="D383" s="81" t="str">
        <f t="shared" si="7"/>
        <v>CablageCABLES SOUPLES CUIVRE5G</v>
      </c>
      <c r="E383" s="76" t="s">
        <v>4511</v>
      </c>
      <c r="F383" s="81">
        <v>68</v>
      </c>
      <c r="G383" s="71" t="s">
        <v>4512</v>
      </c>
      <c r="H383" s="71"/>
      <c r="I383" s="71"/>
      <c r="J383" s="70">
        <f>IFERROR(VLOOKUP(Devis[[#This Row],[Ref Air Flux]],#REF!,3,FALSE),0)</f>
        <v>0</v>
      </c>
      <c r="K383" s="68"/>
      <c r="L383" s="68"/>
      <c r="M383" s="68"/>
      <c r="N383" s="68"/>
      <c r="O383" s="68"/>
      <c r="P383" s="68"/>
      <c r="Q383" s="68">
        <f>SUM(Devis[[#This Row],[Poste 1]:[Poste 6]])</f>
        <v>0</v>
      </c>
      <c r="R383" s="71"/>
      <c r="S383" s="68">
        <f>_xlfn.CEILING.MATH(Devis[[#This Row],[Quantité Totale]],Devis[[#This Row],[Conditionnement]])</f>
        <v>0</v>
      </c>
      <c r="T383" s="72"/>
      <c r="U383" s="73"/>
      <c r="V383" s="74">
        <f>Devis[[#This Row],[Prix de Revient]]*Devis[[#This Row],[Poste 1]]</f>
        <v>0</v>
      </c>
      <c r="W383" s="74">
        <f>Devis[[#This Row],[Prix de Revient]]*Devis[[#This Row],[Poste 2]]</f>
        <v>0</v>
      </c>
      <c r="X383" s="74">
        <f>Devis[[#This Row],[Prix de Revient]]*Devis[[#This Row],[Poste 3]]</f>
        <v>0</v>
      </c>
      <c r="Y383" s="74">
        <f>Devis[[#This Row],[Poste 4]]*Devis[[#This Row],[Prix de Revient]]</f>
        <v>0</v>
      </c>
      <c r="Z383" s="74">
        <f>Devis[[#This Row],[Poste 5]]*Devis[[#This Row],[Prix de Revient]]</f>
        <v>0</v>
      </c>
      <c r="AA383" s="74">
        <f>Devis[[#This Row],[Prix de Revient]]*Devis[[#This Row],[Poste 6]]</f>
        <v>0</v>
      </c>
      <c r="AB383" s="74">
        <f>Devis[[#This Row],[Quantité Totale]]*Devis[[#This Row],[Prix de Revient]]</f>
        <v>0</v>
      </c>
    </row>
    <row r="384" spans="1:28" ht="14.25" outlineLevel="1" x14ac:dyDescent="0.2">
      <c r="A384" s="75" t="s">
        <v>120</v>
      </c>
      <c r="B384" s="76" t="s">
        <v>4440</v>
      </c>
      <c r="C384" s="71" t="s">
        <v>4443</v>
      </c>
      <c r="D384" s="81" t="str">
        <f t="shared" si="7"/>
        <v>CablageCABLES SOUPLES CUIVRE5G</v>
      </c>
      <c r="E384" s="76" t="s">
        <v>4513</v>
      </c>
      <c r="F384" s="81">
        <v>69</v>
      </c>
      <c r="G384" s="71" t="s">
        <v>4514</v>
      </c>
      <c r="H384" s="71"/>
      <c r="I384" s="71"/>
      <c r="J384" s="70">
        <f>IFERROR(VLOOKUP(Devis[[#This Row],[Ref Air Flux]],#REF!,3,FALSE),0)</f>
        <v>0</v>
      </c>
      <c r="K384" s="68"/>
      <c r="L384" s="68"/>
      <c r="M384" s="68"/>
      <c r="N384" s="68"/>
      <c r="O384" s="68"/>
      <c r="P384" s="68"/>
      <c r="Q384" s="68">
        <f>SUM(Devis[[#This Row],[Poste 1]:[Poste 6]])</f>
        <v>0</v>
      </c>
      <c r="R384" s="71"/>
      <c r="S384" s="68">
        <f>_xlfn.CEILING.MATH(Devis[[#This Row],[Quantité Totale]],Devis[[#This Row],[Conditionnement]])</f>
        <v>0</v>
      </c>
      <c r="T384" s="72"/>
      <c r="U384" s="73"/>
      <c r="V384" s="74">
        <f>Devis[[#This Row],[Prix de Revient]]*Devis[[#This Row],[Poste 1]]</f>
        <v>0</v>
      </c>
      <c r="W384" s="74">
        <f>Devis[[#This Row],[Prix de Revient]]*Devis[[#This Row],[Poste 2]]</f>
        <v>0</v>
      </c>
      <c r="X384" s="74">
        <f>Devis[[#This Row],[Prix de Revient]]*Devis[[#This Row],[Poste 3]]</f>
        <v>0</v>
      </c>
      <c r="Y384" s="74">
        <f>Devis[[#This Row],[Poste 4]]*Devis[[#This Row],[Prix de Revient]]</f>
        <v>0</v>
      </c>
      <c r="Z384" s="74">
        <f>Devis[[#This Row],[Poste 5]]*Devis[[#This Row],[Prix de Revient]]</f>
        <v>0</v>
      </c>
      <c r="AA384" s="74">
        <f>Devis[[#This Row],[Prix de Revient]]*Devis[[#This Row],[Poste 6]]</f>
        <v>0</v>
      </c>
      <c r="AB384" s="74">
        <f>Devis[[#This Row],[Quantité Totale]]*Devis[[#This Row],[Prix de Revient]]</f>
        <v>0</v>
      </c>
    </row>
    <row r="385" spans="1:28" ht="14.25" outlineLevel="1" x14ac:dyDescent="0.2">
      <c r="A385" s="75" t="s">
        <v>120</v>
      </c>
      <c r="B385" s="76" t="s">
        <v>4440</v>
      </c>
      <c r="C385" s="71" t="s">
        <v>4443</v>
      </c>
      <c r="D385" s="81" t="str">
        <f t="shared" si="7"/>
        <v>CablageCABLES SOUPLES CUIVRE5G</v>
      </c>
      <c r="E385" s="76" t="s">
        <v>4515</v>
      </c>
      <c r="F385" s="81">
        <v>70</v>
      </c>
      <c r="G385" s="71" t="s">
        <v>4516</v>
      </c>
      <c r="H385" s="71"/>
      <c r="I385" s="71"/>
      <c r="J385" s="70">
        <f>IFERROR(VLOOKUP(Devis[[#This Row],[Ref Air Flux]],#REF!,3,FALSE),0)</f>
        <v>0</v>
      </c>
      <c r="K385" s="68"/>
      <c r="L385" s="68"/>
      <c r="M385" s="68"/>
      <c r="N385" s="68"/>
      <c r="O385" s="68"/>
      <c r="P385" s="68"/>
      <c r="Q385" s="68">
        <f>SUM(Devis[[#This Row],[Poste 1]:[Poste 6]])</f>
        <v>0</v>
      </c>
      <c r="R385" s="71"/>
      <c r="S385" s="68">
        <f>_xlfn.CEILING.MATH(Devis[[#This Row],[Quantité Totale]],Devis[[#This Row],[Conditionnement]])</f>
        <v>0</v>
      </c>
      <c r="T385" s="72"/>
      <c r="U385" s="73"/>
      <c r="V385" s="74">
        <f>Devis[[#This Row],[Prix de Revient]]*Devis[[#This Row],[Poste 1]]</f>
        <v>0</v>
      </c>
      <c r="W385" s="74">
        <f>Devis[[#This Row],[Prix de Revient]]*Devis[[#This Row],[Poste 2]]</f>
        <v>0</v>
      </c>
      <c r="X385" s="74">
        <f>Devis[[#This Row],[Prix de Revient]]*Devis[[#This Row],[Poste 3]]</f>
        <v>0</v>
      </c>
      <c r="Y385" s="74">
        <f>Devis[[#This Row],[Poste 4]]*Devis[[#This Row],[Prix de Revient]]</f>
        <v>0</v>
      </c>
      <c r="Z385" s="74">
        <f>Devis[[#This Row],[Poste 5]]*Devis[[#This Row],[Prix de Revient]]</f>
        <v>0</v>
      </c>
      <c r="AA385" s="74">
        <f>Devis[[#This Row],[Prix de Revient]]*Devis[[#This Row],[Poste 6]]</f>
        <v>0</v>
      </c>
      <c r="AB385" s="74">
        <f>Devis[[#This Row],[Quantité Totale]]*Devis[[#This Row],[Prix de Revient]]</f>
        <v>0</v>
      </c>
    </row>
    <row r="386" spans="1:28" ht="14.25" outlineLevel="1" x14ac:dyDescent="0.2">
      <c r="A386" s="75" t="s">
        <v>120</v>
      </c>
      <c r="B386" s="76" t="s">
        <v>4440</v>
      </c>
      <c r="C386" s="71" t="s">
        <v>4443</v>
      </c>
      <c r="D386" s="81" t="str">
        <f t="shared" si="7"/>
        <v>CablageCABLES SOUPLES CUIVRE5G</v>
      </c>
      <c r="E386" s="76" t="s">
        <v>4517</v>
      </c>
      <c r="F386" s="81">
        <v>71</v>
      </c>
      <c r="G386" s="71" t="s">
        <v>4518</v>
      </c>
      <c r="H386" s="71"/>
      <c r="I386" s="71"/>
      <c r="J386" s="70">
        <f>IFERROR(VLOOKUP(Devis[[#This Row],[Ref Air Flux]],#REF!,3,FALSE),0)</f>
        <v>0</v>
      </c>
      <c r="K386" s="68"/>
      <c r="L386" s="68"/>
      <c r="M386" s="68"/>
      <c r="N386" s="68"/>
      <c r="O386" s="68"/>
      <c r="P386" s="68"/>
      <c r="Q386" s="68">
        <f>SUM(Devis[[#This Row],[Poste 1]:[Poste 6]])</f>
        <v>0</v>
      </c>
      <c r="R386" s="71"/>
      <c r="S386" s="68">
        <f>_xlfn.CEILING.MATH(Devis[[#This Row],[Quantité Totale]],Devis[[#This Row],[Conditionnement]])</f>
        <v>0</v>
      </c>
      <c r="T386" s="72"/>
      <c r="U386" s="73"/>
      <c r="V386" s="74">
        <f>Devis[[#This Row],[Prix de Revient]]*Devis[[#This Row],[Poste 1]]</f>
        <v>0</v>
      </c>
      <c r="W386" s="74">
        <f>Devis[[#This Row],[Prix de Revient]]*Devis[[#This Row],[Poste 2]]</f>
        <v>0</v>
      </c>
      <c r="X386" s="74">
        <f>Devis[[#This Row],[Prix de Revient]]*Devis[[#This Row],[Poste 3]]</f>
        <v>0</v>
      </c>
      <c r="Y386" s="74">
        <f>Devis[[#This Row],[Poste 4]]*Devis[[#This Row],[Prix de Revient]]</f>
        <v>0</v>
      </c>
      <c r="Z386" s="74">
        <f>Devis[[#This Row],[Poste 5]]*Devis[[#This Row],[Prix de Revient]]</f>
        <v>0</v>
      </c>
      <c r="AA386" s="74">
        <f>Devis[[#This Row],[Prix de Revient]]*Devis[[#This Row],[Poste 6]]</f>
        <v>0</v>
      </c>
      <c r="AB386" s="74">
        <f>Devis[[#This Row],[Quantité Totale]]*Devis[[#This Row],[Prix de Revient]]</f>
        <v>0</v>
      </c>
    </row>
    <row r="387" spans="1:28" ht="14.25" outlineLevel="1" x14ac:dyDescent="0.2">
      <c r="A387" s="75" t="s">
        <v>120</v>
      </c>
      <c r="B387" s="76" t="s">
        <v>4440</v>
      </c>
      <c r="C387" s="71" t="s">
        <v>4441</v>
      </c>
      <c r="D387" s="81" t="str">
        <f t="shared" si="7"/>
        <v>CablageCABLES SOUPLES CUIVRE7G</v>
      </c>
      <c r="E387" s="76" t="s">
        <v>4519</v>
      </c>
      <c r="F387" s="81">
        <v>72</v>
      </c>
      <c r="G387" s="71" t="s">
        <v>4520</v>
      </c>
      <c r="H387" s="71"/>
      <c r="I387" s="71"/>
      <c r="J387" s="70">
        <f>IFERROR(VLOOKUP(Devis[[#This Row],[Ref Air Flux]],#REF!,3,FALSE),0)</f>
        <v>0</v>
      </c>
      <c r="K387" s="68"/>
      <c r="L387" s="68"/>
      <c r="M387" s="68"/>
      <c r="N387" s="68"/>
      <c r="O387" s="68"/>
      <c r="P387" s="68"/>
      <c r="Q387" s="68">
        <f>SUM(Devis[[#This Row],[Poste 1]:[Poste 6]])</f>
        <v>0</v>
      </c>
      <c r="R387" s="71"/>
      <c r="S387" s="68">
        <f>_xlfn.CEILING.MATH(Devis[[#This Row],[Quantité Totale]],Devis[[#This Row],[Conditionnement]])</f>
        <v>0</v>
      </c>
      <c r="T387" s="72"/>
      <c r="U387" s="73"/>
      <c r="V387" s="74">
        <f>Devis[[#This Row],[Prix de Revient]]*Devis[[#This Row],[Poste 1]]</f>
        <v>0</v>
      </c>
      <c r="W387" s="74">
        <f>Devis[[#This Row],[Prix de Revient]]*Devis[[#This Row],[Poste 2]]</f>
        <v>0</v>
      </c>
      <c r="X387" s="74">
        <f>Devis[[#This Row],[Prix de Revient]]*Devis[[#This Row],[Poste 3]]</f>
        <v>0</v>
      </c>
      <c r="Y387" s="74">
        <f>Devis[[#This Row],[Poste 4]]*Devis[[#This Row],[Prix de Revient]]</f>
        <v>0</v>
      </c>
      <c r="Z387" s="74">
        <f>Devis[[#This Row],[Poste 5]]*Devis[[#This Row],[Prix de Revient]]</f>
        <v>0</v>
      </c>
      <c r="AA387" s="74">
        <f>Devis[[#This Row],[Prix de Revient]]*Devis[[#This Row],[Poste 6]]</f>
        <v>0</v>
      </c>
      <c r="AB387" s="74">
        <f>Devis[[#This Row],[Quantité Totale]]*Devis[[#This Row],[Prix de Revient]]</f>
        <v>0</v>
      </c>
    </row>
    <row r="388" spans="1:28" ht="14.25" customHeight="1" x14ac:dyDescent="0.25">
      <c r="A388" s="65" t="s">
        <v>120</v>
      </c>
      <c r="B388" s="65" t="s">
        <v>4542</v>
      </c>
      <c r="C388" s="76"/>
      <c r="D388" s="81" t="str">
        <f t="shared" si="7"/>
        <v>CablageCHEMIN DE CABLES</v>
      </c>
      <c r="E388" s="76"/>
      <c r="F388" s="81">
        <v>0</v>
      </c>
      <c r="G388" s="71"/>
      <c r="H388" s="71"/>
      <c r="I388" s="71"/>
      <c r="J388" s="70">
        <f>IFERROR(VLOOKUP(Devis[[#This Row],[Ref Air Flux]],#REF!,3,FALSE),0)</f>
        <v>0</v>
      </c>
      <c r="K388" s="68"/>
      <c r="L388" s="68"/>
      <c r="M388" s="68"/>
      <c r="N388" s="68"/>
      <c r="O388" s="68"/>
      <c r="P388" s="68"/>
      <c r="Q388" s="68">
        <f>SUM(Devis[[#This Row],[Poste 1]:[Poste 6]])</f>
        <v>0</v>
      </c>
      <c r="R388" s="71"/>
      <c r="S388" s="68">
        <f>_xlfn.CEILING.MATH(Devis[[#This Row],[Quantité Totale]],Devis[[#This Row],[Conditionnement]])</f>
        <v>0</v>
      </c>
      <c r="T388" s="72"/>
      <c r="U388" s="73"/>
      <c r="V388" s="74">
        <f>Devis[[#This Row],[Prix de Revient]]*Devis[[#This Row],[Poste 1]]</f>
        <v>0</v>
      </c>
      <c r="W388" s="74">
        <f>Devis[[#This Row],[Prix de Revient]]*Devis[[#This Row],[Poste 2]]</f>
        <v>0</v>
      </c>
      <c r="X388" s="74">
        <f>Devis[[#This Row],[Prix de Revient]]*Devis[[#This Row],[Poste 3]]</f>
        <v>0</v>
      </c>
      <c r="Y388" s="74">
        <f>Devis[[#This Row],[Poste 4]]*Devis[[#This Row],[Prix de Revient]]</f>
        <v>0</v>
      </c>
      <c r="Z388" s="74">
        <f>Devis[[#This Row],[Poste 5]]*Devis[[#This Row],[Prix de Revient]]</f>
        <v>0</v>
      </c>
      <c r="AA388" s="74">
        <f>Devis[[#This Row],[Prix de Revient]]*Devis[[#This Row],[Poste 6]]</f>
        <v>0</v>
      </c>
      <c r="AB388" s="74">
        <f>Devis[[#This Row],[Quantité Totale]]*Devis[[#This Row],[Prix de Revient]]</f>
        <v>0</v>
      </c>
    </row>
    <row r="389" spans="1:28" ht="14.25" outlineLevel="1" x14ac:dyDescent="0.2">
      <c r="A389" s="75" t="s">
        <v>120</v>
      </c>
      <c r="B389" s="76" t="s">
        <v>4542</v>
      </c>
      <c r="C389" s="76" t="s">
        <v>254</v>
      </c>
      <c r="D389" s="81" t="str">
        <f t="shared" si="7"/>
        <v>CablageCHEMIN DE CABLESCablofil (unité m / multiple de 3)</v>
      </c>
      <c r="E389" s="73">
        <v>50</v>
      </c>
      <c r="F389" s="81">
        <v>1</v>
      </c>
      <c r="G389" s="71" t="s">
        <v>255</v>
      </c>
      <c r="H389" s="79"/>
      <c r="I389" s="71"/>
      <c r="J389" s="70">
        <f>IFERROR(VLOOKUP(Devis[[#This Row],[Ref Air Flux]],#REF!,3,FALSE),0)</f>
        <v>0</v>
      </c>
      <c r="K389" s="68"/>
      <c r="L389" s="68"/>
      <c r="M389" s="68"/>
      <c r="N389" s="68"/>
      <c r="O389" s="68"/>
      <c r="P389" s="68"/>
      <c r="Q389" s="68">
        <f>SUM(Devis[[#This Row],[Poste 1]:[Poste 6]])</f>
        <v>0</v>
      </c>
      <c r="R389" s="71">
        <v>3</v>
      </c>
      <c r="S389" s="68">
        <f>_xlfn.CEILING.MATH(Devis[[#This Row],[Quantité Totale]],Devis[[#This Row],[Conditionnement]])</f>
        <v>0</v>
      </c>
      <c r="T389" s="72"/>
      <c r="U389" s="73"/>
      <c r="V389" s="74">
        <f>Devis[[#This Row],[Prix de Revient]]*Devis[[#This Row],[Poste 1]]</f>
        <v>0</v>
      </c>
      <c r="W389" s="74">
        <f>Devis[[#This Row],[Prix de Revient]]*Devis[[#This Row],[Poste 2]]</f>
        <v>0</v>
      </c>
      <c r="X389" s="74">
        <f>Devis[[#This Row],[Prix de Revient]]*Devis[[#This Row],[Poste 3]]</f>
        <v>0</v>
      </c>
      <c r="Y389" s="74">
        <f>Devis[[#This Row],[Poste 4]]*Devis[[#This Row],[Prix de Revient]]</f>
        <v>0</v>
      </c>
      <c r="Z389" s="74">
        <f>Devis[[#This Row],[Poste 5]]*Devis[[#This Row],[Prix de Revient]]</f>
        <v>0</v>
      </c>
      <c r="AA389" s="74">
        <f>Devis[[#This Row],[Prix de Revient]]*Devis[[#This Row],[Poste 6]]</f>
        <v>0</v>
      </c>
      <c r="AB389" s="74">
        <f>Devis[[#This Row],[Quantité Totale]]*Devis[[#This Row],[Prix de Revient]]</f>
        <v>0</v>
      </c>
    </row>
    <row r="390" spans="1:28" ht="15" customHeight="1" outlineLevel="1" x14ac:dyDescent="0.2">
      <c r="A390" s="75" t="s">
        <v>120</v>
      </c>
      <c r="B390" s="76" t="s">
        <v>4542</v>
      </c>
      <c r="C390" s="76" t="s">
        <v>254</v>
      </c>
      <c r="D390" s="81" t="str">
        <f t="shared" si="7"/>
        <v>CablageCHEMIN DE CABLESCablofil (unité m / multiple de 3)</v>
      </c>
      <c r="E390" s="73">
        <v>100</v>
      </c>
      <c r="F390" s="81">
        <v>2</v>
      </c>
      <c r="G390" s="71" t="s">
        <v>256</v>
      </c>
      <c r="H390" s="79"/>
      <c r="I390" s="71"/>
      <c r="J390" s="70">
        <f>IFERROR(VLOOKUP(Devis[[#This Row],[Ref Air Flux]],#REF!,3,FALSE),0)</f>
        <v>0</v>
      </c>
      <c r="K390" s="68"/>
      <c r="L390" s="68"/>
      <c r="M390" s="68"/>
      <c r="N390" s="68"/>
      <c r="O390" s="68"/>
      <c r="P390" s="68"/>
      <c r="Q390" s="68">
        <f>SUM(Devis[[#This Row],[Poste 1]:[Poste 6]])</f>
        <v>0</v>
      </c>
      <c r="R390" s="71">
        <v>3</v>
      </c>
      <c r="S390" s="68">
        <f>_xlfn.CEILING.MATH(Devis[[#This Row],[Quantité Totale]],Devis[[#This Row],[Conditionnement]])</f>
        <v>0</v>
      </c>
      <c r="T390" s="72"/>
      <c r="U390" s="73"/>
      <c r="V390" s="74">
        <f>Devis[[#This Row],[Prix de Revient]]*Devis[[#This Row],[Poste 1]]</f>
        <v>0</v>
      </c>
      <c r="W390" s="74">
        <f>Devis[[#This Row],[Prix de Revient]]*Devis[[#This Row],[Poste 2]]</f>
        <v>0</v>
      </c>
      <c r="X390" s="74">
        <f>Devis[[#This Row],[Prix de Revient]]*Devis[[#This Row],[Poste 3]]</f>
        <v>0</v>
      </c>
      <c r="Y390" s="74">
        <f>Devis[[#This Row],[Poste 4]]*Devis[[#This Row],[Prix de Revient]]</f>
        <v>0</v>
      </c>
      <c r="Z390" s="74">
        <f>Devis[[#This Row],[Poste 5]]*Devis[[#This Row],[Prix de Revient]]</f>
        <v>0</v>
      </c>
      <c r="AA390" s="74">
        <f>Devis[[#This Row],[Prix de Revient]]*Devis[[#This Row],[Poste 6]]</f>
        <v>0</v>
      </c>
      <c r="AB390" s="74">
        <f>Devis[[#This Row],[Quantité Totale]]*Devis[[#This Row],[Prix de Revient]]</f>
        <v>0</v>
      </c>
    </row>
    <row r="391" spans="1:28" ht="14.25" outlineLevel="1" x14ac:dyDescent="0.2">
      <c r="A391" s="75" t="s">
        <v>120</v>
      </c>
      <c r="B391" s="76" t="s">
        <v>4542</v>
      </c>
      <c r="C391" s="76" t="s">
        <v>254</v>
      </c>
      <c r="D391" s="81" t="str">
        <f t="shared" si="7"/>
        <v>CablageCHEMIN DE CABLESCablofil (unité m / multiple de 3)</v>
      </c>
      <c r="E391" s="73">
        <v>150</v>
      </c>
      <c r="F391" s="81">
        <v>3</v>
      </c>
      <c r="G391" s="71" t="s">
        <v>257</v>
      </c>
      <c r="H391" s="79"/>
      <c r="I391" s="71"/>
      <c r="J391" s="70">
        <f>IFERROR(VLOOKUP(Devis[[#This Row],[Ref Air Flux]],#REF!,3,FALSE),0)</f>
        <v>0</v>
      </c>
      <c r="K391" s="68"/>
      <c r="L391" s="68"/>
      <c r="M391" s="68"/>
      <c r="N391" s="68"/>
      <c r="O391" s="68"/>
      <c r="P391" s="68"/>
      <c r="Q391" s="68">
        <f>SUM(Devis[[#This Row],[Poste 1]:[Poste 6]])</f>
        <v>0</v>
      </c>
      <c r="R391" s="71">
        <v>3</v>
      </c>
      <c r="S391" s="68">
        <f>_xlfn.CEILING.MATH(Devis[[#This Row],[Quantité Totale]],Devis[[#This Row],[Conditionnement]])</f>
        <v>0</v>
      </c>
      <c r="T391" s="72"/>
      <c r="U391" s="73"/>
      <c r="V391" s="74">
        <f>Devis[[#This Row],[Prix de Revient]]*Devis[[#This Row],[Poste 1]]</f>
        <v>0</v>
      </c>
      <c r="W391" s="74">
        <f>Devis[[#This Row],[Prix de Revient]]*Devis[[#This Row],[Poste 2]]</f>
        <v>0</v>
      </c>
      <c r="X391" s="74">
        <f>Devis[[#This Row],[Prix de Revient]]*Devis[[#This Row],[Poste 3]]</f>
        <v>0</v>
      </c>
      <c r="Y391" s="74">
        <f>Devis[[#This Row],[Poste 4]]*Devis[[#This Row],[Prix de Revient]]</f>
        <v>0</v>
      </c>
      <c r="Z391" s="74">
        <f>Devis[[#This Row],[Poste 5]]*Devis[[#This Row],[Prix de Revient]]</f>
        <v>0</v>
      </c>
      <c r="AA391" s="74">
        <f>Devis[[#This Row],[Prix de Revient]]*Devis[[#This Row],[Poste 6]]</f>
        <v>0</v>
      </c>
      <c r="AB391" s="74">
        <f>Devis[[#This Row],[Quantité Totale]]*Devis[[#This Row],[Prix de Revient]]</f>
        <v>0</v>
      </c>
    </row>
    <row r="392" spans="1:28" ht="14.25" outlineLevel="1" x14ac:dyDescent="0.2">
      <c r="A392" s="75" t="s">
        <v>120</v>
      </c>
      <c r="B392" s="76" t="s">
        <v>4542</v>
      </c>
      <c r="C392" s="76" t="s">
        <v>254</v>
      </c>
      <c r="D392" s="81" t="str">
        <f t="shared" si="7"/>
        <v>CablageCHEMIN DE CABLESCablofil (unité m / multiple de 3)</v>
      </c>
      <c r="E392" s="73">
        <v>200</v>
      </c>
      <c r="F392" s="81">
        <v>4</v>
      </c>
      <c r="G392" s="71" t="s">
        <v>258</v>
      </c>
      <c r="H392" s="79"/>
      <c r="I392" s="71"/>
      <c r="J392" s="70">
        <f>IFERROR(VLOOKUP(Devis[[#This Row],[Ref Air Flux]],#REF!,3,FALSE),0)</f>
        <v>0</v>
      </c>
      <c r="K392" s="68"/>
      <c r="L392" s="68"/>
      <c r="M392" s="68"/>
      <c r="N392" s="68"/>
      <c r="O392" s="68"/>
      <c r="P392" s="68"/>
      <c r="Q392" s="68">
        <f>SUM(Devis[[#This Row],[Poste 1]:[Poste 6]])</f>
        <v>0</v>
      </c>
      <c r="R392" s="71">
        <v>3</v>
      </c>
      <c r="S392" s="68">
        <f>_xlfn.CEILING.MATH(Devis[[#This Row],[Quantité Totale]],Devis[[#This Row],[Conditionnement]])</f>
        <v>0</v>
      </c>
      <c r="T392" s="72"/>
      <c r="U392" s="73"/>
      <c r="V392" s="74">
        <f>Devis[[#This Row],[Prix de Revient]]*Devis[[#This Row],[Poste 1]]</f>
        <v>0</v>
      </c>
      <c r="W392" s="74">
        <f>Devis[[#This Row],[Prix de Revient]]*Devis[[#This Row],[Poste 2]]</f>
        <v>0</v>
      </c>
      <c r="X392" s="74">
        <f>Devis[[#This Row],[Prix de Revient]]*Devis[[#This Row],[Poste 3]]</f>
        <v>0</v>
      </c>
      <c r="Y392" s="74">
        <f>Devis[[#This Row],[Poste 4]]*Devis[[#This Row],[Prix de Revient]]</f>
        <v>0</v>
      </c>
      <c r="Z392" s="74">
        <f>Devis[[#This Row],[Poste 5]]*Devis[[#This Row],[Prix de Revient]]</f>
        <v>0</v>
      </c>
      <c r="AA392" s="74">
        <f>Devis[[#This Row],[Prix de Revient]]*Devis[[#This Row],[Poste 6]]</f>
        <v>0</v>
      </c>
      <c r="AB392" s="74">
        <f>Devis[[#This Row],[Quantité Totale]]*Devis[[#This Row],[Prix de Revient]]</f>
        <v>0</v>
      </c>
    </row>
    <row r="393" spans="1:28" ht="14.25" outlineLevel="1" x14ac:dyDescent="0.2">
      <c r="A393" s="75" t="s">
        <v>120</v>
      </c>
      <c r="B393" s="76" t="s">
        <v>4542</v>
      </c>
      <c r="C393" s="76" t="s">
        <v>4543</v>
      </c>
      <c r="D393" s="81" t="str">
        <f t="shared" si="7"/>
        <v>CablageCHEMIN DE CABLESAttaches ( cavaliers)</v>
      </c>
      <c r="E393" s="73" t="s">
        <v>121</v>
      </c>
      <c r="F393" s="81">
        <v>5</v>
      </c>
      <c r="G393" s="71" t="s">
        <v>122</v>
      </c>
      <c r="H393" s="71"/>
      <c r="I393" s="71"/>
      <c r="J393" s="70">
        <f>IFERROR(VLOOKUP(Devis[[#This Row],[Ref Air Flux]],#REF!,3,FALSE),0)</f>
        <v>0</v>
      </c>
      <c r="K393" s="68"/>
      <c r="L393" s="68"/>
      <c r="M393" s="68"/>
      <c r="N393" s="68"/>
      <c r="O393" s="68"/>
      <c r="P393" s="68"/>
      <c r="Q393" s="68">
        <f>SUM(Devis[[#This Row],[Poste 1]:[Poste 6]])</f>
        <v>0</v>
      </c>
      <c r="R393" s="71"/>
      <c r="S393" s="68">
        <f>_xlfn.CEILING.MATH(Devis[[#This Row],[Quantité Totale]],Devis[[#This Row],[Conditionnement]])</f>
        <v>0</v>
      </c>
      <c r="T393" s="72"/>
      <c r="U393" s="73"/>
      <c r="V393" s="74">
        <f>Devis[[#This Row],[Prix de Revient]]*Devis[[#This Row],[Poste 1]]</f>
        <v>0</v>
      </c>
      <c r="W393" s="74">
        <f>Devis[[#This Row],[Prix de Revient]]*Devis[[#This Row],[Poste 2]]</f>
        <v>0</v>
      </c>
      <c r="X393" s="74">
        <f>Devis[[#This Row],[Prix de Revient]]*Devis[[#This Row],[Poste 3]]</f>
        <v>0</v>
      </c>
      <c r="Y393" s="74">
        <f>Devis[[#This Row],[Poste 4]]*Devis[[#This Row],[Prix de Revient]]</f>
        <v>0</v>
      </c>
      <c r="Z393" s="74">
        <f>Devis[[#This Row],[Poste 5]]*Devis[[#This Row],[Prix de Revient]]</f>
        <v>0</v>
      </c>
      <c r="AA393" s="74">
        <f>Devis[[#This Row],[Prix de Revient]]*Devis[[#This Row],[Poste 6]]</f>
        <v>0</v>
      </c>
      <c r="AB393" s="74">
        <f>Devis[[#This Row],[Quantité Totale]]*Devis[[#This Row],[Prix de Revient]]</f>
        <v>0</v>
      </c>
    </row>
    <row r="394" spans="1:28" ht="14.25" outlineLevel="1" x14ac:dyDescent="0.2">
      <c r="A394" s="75" t="s">
        <v>120</v>
      </c>
      <c r="B394" s="76" t="s">
        <v>4542</v>
      </c>
      <c r="C394" s="76" t="s">
        <v>4543</v>
      </c>
      <c r="D394" s="81" t="str">
        <f t="shared" si="7"/>
        <v>CablageCHEMIN DE CABLESAttaches ( cavaliers)</v>
      </c>
      <c r="E394" s="73" t="s">
        <v>123</v>
      </c>
      <c r="F394" s="81">
        <v>6</v>
      </c>
      <c r="G394" s="71" t="s">
        <v>124</v>
      </c>
      <c r="H394" s="71"/>
      <c r="I394" s="71"/>
      <c r="J394" s="70">
        <f>IFERROR(VLOOKUP(Devis[[#This Row],[Ref Air Flux]],#REF!,3,FALSE),0)</f>
        <v>0</v>
      </c>
      <c r="K394" s="68"/>
      <c r="L394" s="68"/>
      <c r="M394" s="68"/>
      <c r="N394" s="68"/>
      <c r="O394" s="68"/>
      <c r="P394" s="68"/>
      <c r="Q394" s="68">
        <f>SUM(Devis[[#This Row],[Poste 1]:[Poste 6]])</f>
        <v>0</v>
      </c>
      <c r="R394" s="71"/>
      <c r="S394" s="68">
        <f>_xlfn.CEILING.MATH(Devis[[#This Row],[Quantité Totale]],Devis[[#This Row],[Conditionnement]])</f>
        <v>0</v>
      </c>
      <c r="T394" s="72"/>
      <c r="U394" s="73"/>
      <c r="V394" s="74">
        <f>Devis[[#This Row],[Prix de Revient]]*Devis[[#This Row],[Poste 1]]</f>
        <v>0</v>
      </c>
      <c r="W394" s="74">
        <f>Devis[[#This Row],[Prix de Revient]]*Devis[[#This Row],[Poste 2]]</f>
        <v>0</v>
      </c>
      <c r="X394" s="74">
        <f>Devis[[#This Row],[Prix de Revient]]*Devis[[#This Row],[Poste 3]]</f>
        <v>0</v>
      </c>
      <c r="Y394" s="74">
        <f>Devis[[#This Row],[Poste 4]]*Devis[[#This Row],[Prix de Revient]]</f>
        <v>0</v>
      </c>
      <c r="Z394" s="74">
        <f>Devis[[#This Row],[Poste 5]]*Devis[[#This Row],[Prix de Revient]]</f>
        <v>0</v>
      </c>
      <c r="AA394" s="74">
        <f>Devis[[#This Row],[Prix de Revient]]*Devis[[#This Row],[Poste 6]]</f>
        <v>0</v>
      </c>
      <c r="AB394" s="74">
        <f>Devis[[#This Row],[Quantité Totale]]*Devis[[#This Row],[Prix de Revient]]</f>
        <v>0</v>
      </c>
    </row>
    <row r="395" spans="1:28" ht="14.25" customHeight="1" outlineLevel="1" x14ac:dyDescent="0.2">
      <c r="A395" s="75" t="s">
        <v>120</v>
      </c>
      <c r="B395" s="76" t="s">
        <v>4542</v>
      </c>
      <c r="C395" s="76" t="s">
        <v>324</v>
      </c>
      <c r="D395" s="81" t="str">
        <f t="shared" si="7"/>
        <v>CablageCHEMIN DE CABLESVis pour cavaliers</v>
      </c>
      <c r="E395" s="76" t="s">
        <v>4544</v>
      </c>
      <c r="F395" s="81">
        <v>7</v>
      </c>
      <c r="G395" s="71" t="s">
        <v>325</v>
      </c>
      <c r="H395" s="71"/>
      <c r="I395" s="71"/>
      <c r="J395" s="70">
        <f>IFERROR(VLOOKUP(Devis[[#This Row],[Ref Air Flux]],#REF!,3,FALSE),0)</f>
        <v>0</v>
      </c>
      <c r="K395" s="68"/>
      <c r="L395" s="68"/>
      <c r="M395" s="68"/>
      <c r="N395" s="68"/>
      <c r="O395" s="68"/>
      <c r="P395" s="68"/>
      <c r="Q395" s="68">
        <f>SUM(Devis[[#This Row],[Poste 1]:[Poste 6]])</f>
        <v>0</v>
      </c>
      <c r="R395" s="71"/>
      <c r="S395" s="68">
        <f>_xlfn.CEILING.MATH(Devis[[#This Row],[Quantité Totale]],Devis[[#This Row],[Conditionnement]])</f>
        <v>0</v>
      </c>
      <c r="T395" s="72"/>
      <c r="U395" s="73"/>
      <c r="V395" s="74">
        <f>Devis[[#This Row],[Prix de Revient]]*Devis[[#This Row],[Poste 1]]</f>
        <v>0</v>
      </c>
      <c r="W395" s="74">
        <f>Devis[[#This Row],[Prix de Revient]]*Devis[[#This Row],[Poste 2]]</f>
        <v>0</v>
      </c>
      <c r="X395" s="74">
        <f>Devis[[#This Row],[Prix de Revient]]*Devis[[#This Row],[Poste 3]]</f>
        <v>0</v>
      </c>
      <c r="Y395" s="74">
        <f>Devis[[#This Row],[Poste 4]]*Devis[[#This Row],[Prix de Revient]]</f>
        <v>0</v>
      </c>
      <c r="Z395" s="74">
        <f>Devis[[#This Row],[Poste 5]]*Devis[[#This Row],[Prix de Revient]]</f>
        <v>0</v>
      </c>
      <c r="AA395" s="74">
        <f>Devis[[#This Row],[Prix de Revient]]*Devis[[#This Row],[Poste 6]]</f>
        <v>0</v>
      </c>
      <c r="AB395" s="74">
        <f>Devis[[#This Row],[Quantité Totale]]*Devis[[#This Row],[Prix de Revient]]</f>
        <v>0</v>
      </c>
    </row>
    <row r="396" spans="1:28" ht="14.25" outlineLevel="1" x14ac:dyDescent="0.2">
      <c r="A396" s="75" t="s">
        <v>120</v>
      </c>
      <c r="B396" s="76" t="s">
        <v>4542</v>
      </c>
      <c r="C396" s="76" t="s">
        <v>4543</v>
      </c>
      <c r="D396" s="81" t="str">
        <f t="shared" si="7"/>
        <v>CablageCHEMIN DE CABLESAttaches ( cavaliers)</v>
      </c>
      <c r="E396" s="73" t="s">
        <v>125</v>
      </c>
      <c r="F396" s="81">
        <v>8</v>
      </c>
      <c r="G396" s="71">
        <v>558241</v>
      </c>
      <c r="H396" s="71"/>
      <c r="I396" s="71"/>
      <c r="J396" s="70">
        <f>IFERROR(VLOOKUP(Devis[[#This Row],[Ref Air Flux]],#REF!,3,FALSE),0)</f>
        <v>0</v>
      </c>
      <c r="K396" s="68"/>
      <c r="L396" s="68"/>
      <c r="M396" s="68"/>
      <c r="N396" s="68"/>
      <c r="O396" s="68"/>
      <c r="P396" s="68"/>
      <c r="Q396" s="68">
        <f>SUM(Devis[[#This Row],[Poste 1]:[Poste 6]])</f>
        <v>0</v>
      </c>
      <c r="R396" s="71"/>
      <c r="S396" s="68">
        <f>_xlfn.CEILING.MATH(Devis[[#This Row],[Quantité Totale]],Devis[[#This Row],[Conditionnement]])</f>
        <v>0</v>
      </c>
      <c r="T396" s="72"/>
      <c r="U396" s="73"/>
      <c r="V396" s="74">
        <f>Devis[[#This Row],[Prix de Revient]]*Devis[[#This Row],[Poste 1]]</f>
        <v>0</v>
      </c>
      <c r="W396" s="74">
        <f>Devis[[#This Row],[Prix de Revient]]*Devis[[#This Row],[Poste 2]]</f>
        <v>0</v>
      </c>
      <c r="X396" s="74">
        <f>Devis[[#This Row],[Prix de Revient]]*Devis[[#This Row],[Poste 3]]</f>
        <v>0</v>
      </c>
      <c r="Y396" s="74">
        <f>Devis[[#This Row],[Poste 4]]*Devis[[#This Row],[Prix de Revient]]</f>
        <v>0</v>
      </c>
      <c r="Z396" s="74">
        <f>Devis[[#This Row],[Poste 5]]*Devis[[#This Row],[Prix de Revient]]</f>
        <v>0</v>
      </c>
      <c r="AA396" s="74">
        <f>Devis[[#This Row],[Prix de Revient]]*Devis[[#This Row],[Poste 6]]</f>
        <v>0</v>
      </c>
      <c r="AB396" s="74">
        <f>Devis[[#This Row],[Quantité Totale]]*Devis[[#This Row],[Prix de Revient]]</f>
        <v>0</v>
      </c>
    </row>
    <row r="397" spans="1:28" ht="14.25" customHeight="1" outlineLevel="1" x14ac:dyDescent="0.2">
      <c r="A397" s="75" t="s">
        <v>120</v>
      </c>
      <c r="B397" s="76" t="s">
        <v>4542</v>
      </c>
      <c r="C397" s="76" t="s">
        <v>6312</v>
      </c>
      <c r="D397" s="81" t="str">
        <f t="shared" si="7"/>
        <v>CablageCHEMIN DE CABLESAttache UFU</v>
      </c>
      <c r="E397" s="76" t="s">
        <v>6313</v>
      </c>
      <c r="F397" s="76">
        <v>9</v>
      </c>
      <c r="G397" s="71">
        <v>552037</v>
      </c>
      <c r="H397" s="71"/>
      <c r="I397" s="71"/>
      <c r="J397" s="70">
        <f>IFERROR(VLOOKUP(Devis[[#This Row],[Ref Air Flux]],#REF!,3,FALSE),0)</f>
        <v>0</v>
      </c>
      <c r="K397" s="68"/>
      <c r="L397" s="68"/>
      <c r="M397" s="68"/>
      <c r="N397" s="68"/>
      <c r="O397" s="68"/>
      <c r="P397" s="68"/>
      <c r="Q397" s="68">
        <f>SUM(Devis[[#This Row],[Poste 1]:[Poste 6]])</f>
        <v>0</v>
      </c>
      <c r="R397" s="71"/>
      <c r="S397" s="68">
        <f>_xlfn.CEILING.MATH(Devis[[#This Row],[Quantité Totale]],Devis[[#This Row],[Conditionnement]])</f>
        <v>0</v>
      </c>
      <c r="T397" s="72"/>
      <c r="U397" s="73"/>
      <c r="V397" s="74">
        <f>Devis[[#This Row],[Prix de Revient]]*Devis[[#This Row],[Poste 1]]</f>
        <v>0</v>
      </c>
      <c r="W397" s="74">
        <f>Devis[[#This Row],[Prix de Revient]]*Devis[[#This Row],[Poste 2]]</f>
        <v>0</v>
      </c>
      <c r="X397" s="74">
        <f>Devis[[#This Row],[Prix de Revient]]*Devis[[#This Row],[Poste 3]]</f>
        <v>0</v>
      </c>
      <c r="Y397" s="74">
        <f>Devis[[#This Row],[Poste 4]]*Devis[[#This Row],[Prix de Revient]]</f>
        <v>0</v>
      </c>
      <c r="Z397" s="74">
        <f>Devis[[#This Row],[Poste 5]]*Devis[[#This Row],[Prix de Revient]]</f>
        <v>0</v>
      </c>
      <c r="AA397" s="74">
        <f>Devis[[#This Row],[Prix de Revient]]*Devis[[#This Row],[Poste 6]]</f>
        <v>0</v>
      </c>
      <c r="AB397" s="74">
        <f>Devis[[#This Row],[Quantité Totale]]*Devis[[#This Row],[Prix de Revient]]</f>
        <v>0</v>
      </c>
    </row>
    <row r="398" spans="1:28" ht="14.25" outlineLevel="1" x14ac:dyDescent="0.2">
      <c r="A398" s="75" t="s">
        <v>120</v>
      </c>
      <c r="B398" s="76" t="s">
        <v>4542</v>
      </c>
      <c r="C398" s="76" t="s">
        <v>4545</v>
      </c>
      <c r="D398" s="81" t="str">
        <f t="shared" si="7"/>
        <v>CablageCHEMIN DE CABLESAttaches pour cablofil  ( 1x m)</v>
      </c>
      <c r="E398" s="76" t="s">
        <v>126</v>
      </c>
      <c r="F398" s="81">
        <v>10</v>
      </c>
      <c r="G398" s="71">
        <v>3000</v>
      </c>
      <c r="H398" s="71"/>
      <c r="I398" s="71"/>
      <c r="J398" s="70">
        <f>IFERROR(VLOOKUP(Devis[[#This Row],[Ref Air Flux]],#REF!,3,FALSE),0)</f>
        <v>0</v>
      </c>
      <c r="K398" s="68"/>
      <c r="L398" s="68"/>
      <c r="M398" s="68"/>
      <c r="N398" s="68"/>
      <c r="O398" s="68"/>
      <c r="P398" s="68"/>
      <c r="Q398" s="68">
        <f>SUM(Devis[[#This Row],[Poste 1]:[Poste 6]])</f>
        <v>0</v>
      </c>
      <c r="R398" s="71"/>
      <c r="S398" s="68">
        <f>_xlfn.CEILING.MATH(Devis[[#This Row],[Quantité Totale]],Devis[[#This Row],[Conditionnement]])</f>
        <v>0</v>
      </c>
      <c r="T398" s="72"/>
      <c r="U398" s="73"/>
      <c r="V398" s="74">
        <f>Devis[[#This Row],[Prix de Revient]]*Devis[[#This Row],[Poste 1]]</f>
        <v>0</v>
      </c>
      <c r="W398" s="74">
        <f>Devis[[#This Row],[Prix de Revient]]*Devis[[#This Row],[Poste 2]]</f>
        <v>0</v>
      </c>
      <c r="X398" s="74">
        <f>Devis[[#This Row],[Prix de Revient]]*Devis[[#This Row],[Poste 3]]</f>
        <v>0</v>
      </c>
      <c r="Y398" s="74">
        <f>Devis[[#This Row],[Poste 4]]*Devis[[#This Row],[Prix de Revient]]</f>
        <v>0</v>
      </c>
      <c r="Z398" s="74">
        <f>Devis[[#This Row],[Poste 5]]*Devis[[#This Row],[Prix de Revient]]</f>
        <v>0</v>
      </c>
      <c r="AA398" s="74">
        <f>Devis[[#This Row],[Prix de Revient]]*Devis[[#This Row],[Poste 6]]</f>
        <v>0</v>
      </c>
      <c r="AB398" s="74">
        <f>Devis[[#This Row],[Quantité Totale]]*Devis[[#This Row],[Prix de Revient]]</f>
        <v>0</v>
      </c>
    </row>
    <row r="399" spans="1:28" ht="14.25" outlineLevel="1" x14ac:dyDescent="0.2">
      <c r="A399" s="75" t="s">
        <v>120</v>
      </c>
      <c r="B399" s="76" t="s">
        <v>4542</v>
      </c>
      <c r="C399" s="76" t="s">
        <v>4545</v>
      </c>
      <c r="D399" s="81" t="str">
        <f t="shared" si="7"/>
        <v>CablageCHEMIN DE CABLESAttaches pour cablofil  ( 1x m)</v>
      </c>
      <c r="E399" s="76" t="s">
        <v>127</v>
      </c>
      <c r="F399" s="81">
        <v>11</v>
      </c>
      <c r="G399" s="71" t="s">
        <v>128</v>
      </c>
      <c r="H399" s="71"/>
      <c r="I399" s="71"/>
      <c r="J399" s="70">
        <f>IFERROR(VLOOKUP(Devis[[#This Row],[Ref Air Flux]],#REF!,3,FALSE),0)</f>
        <v>0</v>
      </c>
      <c r="K399" s="68"/>
      <c r="L399" s="68"/>
      <c r="M399" s="68"/>
      <c r="N399" s="68"/>
      <c r="O399" s="68"/>
      <c r="P399" s="68"/>
      <c r="Q399" s="68">
        <f>SUM(Devis[[#This Row],[Poste 1]:[Poste 6]])</f>
        <v>0</v>
      </c>
      <c r="R399" s="71"/>
      <c r="S399" s="68">
        <f>_xlfn.CEILING.MATH(Devis[[#This Row],[Quantité Totale]],Devis[[#This Row],[Conditionnement]])</f>
        <v>0</v>
      </c>
      <c r="T399" s="72"/>
      <c r="U399" s="73"/>
      <c r="V399" s="74">
        <f>Devis[[#This Row],[Prix de Revient]]*Devis[[#This Row],[Poste 1]]</f>
        <v>0</v>
      </c>
      <c r="W399" s="74">
        <f>Devis[[#This Row],[Prix de Revient]]*Devis[[#This Row],[Poste 2]]</f>
        <v>0</v>
      </c>
      <c r="X399" s="74">
        <f>Devis[[#This Row],[Prix de Revient]]*Devis[[#This Row],[Poste 3]]</f>
        <v>0</v>
      </c>
      <c r="Y399" s="74">
        <f>Devis[[#This Row],[Poste 4]]*Devis[[#This Row],[Prix de Revient]]</f>
        <v>0</v>
      </c>
      <c r="Z399" s="74">
        <f>Devis[[#This Row],[Poste 5]]*Devis[[#This Row],[Prix de Revient]]</f>
        <v>0</v>
      </c>
      <c r="AA399" s="74">
        <f>Devis[[#This Row],[Prix de Revient]]*Devis[[#This Row],[Poste 6]]</f>
        <v>0</v>
      </c>
      <c r="AB399" s="74">
        <f>Devis[[#This Row],[Quantité Totale]]*Devis[[#This Row],[Prix de Revient]]</f>
        <v>0</v>
      </c>
    </row>
    <row r="400" spans="1:28" ht="15" customHeight="1" outlineLevel="1" x14ac:dyDescent="0.2">
      <c r="A400" s="75" t="s">
        <v>120</v>
      </c>
      <c r="B400" s="76" t="s">
        <v>4542</v>
      </c>
      <c r="C400" s="76" t="s">
        <v>4545</v>
      </c>
      <c r="D400" s="81" t="str">
        <f t="shared" si="7"/>
        <v>CablageCHEMIN DE CABLESAttaches pour cablofil  ( 1x m)</v>
      </c>
      <c r="E400" s="76" t="s">
        <v>129</v>
      </c>
      <c r="F400" s="81">
        <v>12</v>
      </c>
      <c r="G400" s="71" t="s">
        <v>130</v>
      </c>
      <c r="H400" s="71"/>
      <c r="I400" s="71"/>
      <c r="J400" s="70">
        <f>IFERROR(VLOOKUP(Devis[[#This Row],[Ref Air Flux]],#REF!,3,FALSE),0)</f>
        <v>0</v>
      </c>
      <c r="K400" s="68"/>
      <c r="L400" s="68"/>
      <c r="M400" s="68"/>
      <c r="N400" s="68"/>
      <c r="O400" s="68"/>
      <c r="P400" s="68"/>
      <c r="Q400" s="68">
        <f>SUM(Devis[[#This Row],[Poste 1]:[Poste 6]])</f>
        <v>0</v>
      </c>
      <c r="R400" s="71"/>
      <c r="S400" s="68">
        <f>_xlfn.CEILING.MATH(Devis[[#This Row],[Quantité Totale]],Devis[[#This Row],[Conditionnement]])</f>
        <v>0</v>
      </c>
      <c r="T400" s="72"/>
      <c r="U400" s="73"/>
      <c r="V400" s="74">
        <f>Devis[[#This Row],[Prix de Revient]]*Devis[[#This Row],[Poste 1]]</f>
        <v>0</v>
      </c>
      <c r="W400" s="74">
        <f>Devis[[#This Row],[Prix de Revient]]*Devis[[#This Row],[Poste 2]]</f>
        <v>0</v>
      </c>
      <c r="X400" s="74">
        <f>Devis[[#This Row],[Prix de Revient]]*Devis[[#This Row],[Poste 3]]</f>
        <v>0</v>
      </c>
      <c r="Y400" s="74">
        <f>Devis[[#This Row],[Poste 4]]*Devis[[#This Row],[Prix de Revient]]</f>
        <v>0</v>
      </c>
      <c r="Z400" s="74">
        <f>Devis[[#This Row],[Poste 5]]*Devis[[#This Row],[Prix de Revient]]</f>
        <v>0</v>
      </c>
      <c r="AA400" s="74">
        <f>Devis[[#This Row],[Prix de Revient]]*Devis[[#This Row],[Poste 6]]</f>
        <v>0</v>
      </c>
      <c r="AB400" s="74">
        <f>Devis[[#This Row],[Quantité Totale]]*Devis[[#This Row],[Prix de Revient]]</f>
        <v>0</v>
      </c>
    </row>
    <row r="401" spans="1:28" ht="14.25" customHeight="1" x14ac:dyDescent="0.25">
      <c r="A401" s="65" t="s">
        <v>120</v>
      </c>
      <c r="B401" s="65" t="s">
        <v>4546</v>
      </c>
      <c r="C401" s="76"/>
      <c r="D401" s="81" t="str">
        <f t="shared" si="7"/>
        <v>CablageCOFFRETS ELECTRIQUE VIDE &amp; ACCESSOIRES</v>
      </c>
      <c r="E401" s="76"/>
      <c r="F401" s="81">
        <v>0</v>
      </c>
      <c r="G401" s="71"/>
      <c r="H401" s="71"/>
      <c r="I401" s="71"/>
      <c r="J401" s="70">
        <f>IFERROR(VLOOKUP(Devis[[#This Row],[Ref Air Flux]],#REF!,3,FALSE),0)</f>
        <v>0</v>
      </c>
      <c r="K401" s="68"/>
      <c r="L401" s="68"/>
      <c r="M401" s="68"/>
      <c r="N401" s="68"/>
      <c r="O401" s="68"/>
      <c r="P401" s="68"/>
      <c r="Q401" s="68">
        <f>SUM(Devis[[#This Row],[Poste 1]:[Poste 6]])</f>
        <v>0</v>
      </c>
      <c r="R401" s="71"/>
      <c r="S401" s="68">
        <f>_xlfn.CEILING.MATH(Devis[[#This Row],[Quantité Totale]],Devis[[#This Row],[Conditionnement]])</f>
        <v>0</v>
      </c>
      <c r="T401" s="72"/>
      <c r="U401" s="73"/>
      <c r="V401" s="74">
        <f>Devis[[#This Row],[Prix de Revient]]*Devis[[#This Row],[Poste 1]]</f>
        <v>0</v>
      </c>
      <c r="W401" s="74">
        <f>Devis[[#This Row],[Prix de Revient]]*Devis[[#This Row],[Poste 2]]</f>
        <v>0</v>
      </c>
      <c r="X401" s="74">
        <f>Devis[[#This Row],[Prix de Revient]]*Devis[[#This Row],[Poste 3]]</f>
        <v>0</v>
      </c>
      <c r="Y401" s="74">
        <f>Devis[[#This Row],[Poste 4]]*Devis[[#This Row],[Prix de Revient]]</f>
        <v>0</v>
      </c>
      <c r="Z401" s="74">
        <f>Devis[[#This Row],[Poste 5]]*Devis[[#This Row],[Prix de Revient]]</f>
        <v>0</v>
      </c>
      <c r="AA401" s="74">
        <f>Devis[[#This Row],[Prix de Revient]]*Devis[[#This Row],[Poste 6]]</f>
        <v>0</v>
      </c>
      <c r="AB401" s="74">
        <f>Devis[[#This Row],[Quantité Totale]]*Devis[[#This Row],[Prix de Revient]]</f>
        <v>0</v>
      </c>
    </row>
    <row r="402" spans="1:28" ht="14.25" outlineLevel="1" x14ac:dyDescent="0.2">
      <c r="A402" s="75" t="s">
        <v>120</v>
      </c>
      <c r="B402" s="76" t="s">
        <v>4546</v>
      </c>
      <c r="C402" s="76" t="s">
        <v>259</v>
      </c>
      <c r="D402" s="81" t="str">
        <f t="shared" si="7"/>
        <v>CablageCOFFRETS ELECTRIQUE VIDE &amp; ACCESSOIRESCoffrets L*H*P</v>
      </c>
      <c r="E402" s="76" t="s">
        <v>261</v>
      </c>
      <c r="F402" s="81">
        <v>1</v>
      </c>
      <c r="G402" s="71">
        <v>35500</v>
      </c>
      <c r="H402" s="79"/>
      <c r="I402" s="71"/>
      <c r="J402" s="70">
        <f>IFERROR(VLOOKUP(Devis[[#This Row],[Ref Air Flux]],#REF!,3,FALSE),0)</f>
        <v>0</v>
      </c>
      <c r="K402" s="68"/>
      <c r="L402" s="68"/>
      <c r="M402" s="68"/>
      <c r="N402" s="68"/>
      <c r="O402" s="68"/>
      <c r="P402" s="68"/>
      <c r="Q402" s="68">
        <f>SUM(Devis[[#This Row],[Poste 1]:[Poste 6]])</f>
        <v>0</v>
      </c>
      <c r="R402" s="71"/>
      <c r="S402" s="68">
        <f>_xlfn.CEILING.MATH(Devis[[#This Row],[Quantité Totale]],Devis[[#This Row],[Conditionnement]])</f>
        <v>0</v>
      </c>
      <c r="T402" s="72"/>
      <c r="U402" s="73" t="s">
        <v>260</v>
      </c>
      <c r="V402" s="74">
        <f>Devis[[#This Row],[Prix de Revient]]*Devis[[#This Row],[Poste 1]]</f>
        <v>0</v>
      </c>
      <c r="W402" s="74">
        <f>Devis[[#This Row],[Prix de Revient]]*Devis[[#This Row],[Poste 2]]</f>
        <v>0</v>
      </c>
      <c r="X402" s="74">
        <f>Devis[[#This Row],[Prix de Revient]]*Devis[[#This Row],[Poste 3]]</f>
        <v>0</v>
      </c>
      <c r="Y402" s="74">
        <f>Devis[[#This Row],[Poste 4]]*Devis[[#This Row],[Prix de Revient]]</f>
        <v>0</v>
      </c>
      <c r="Z402" s="74">
        <f>Devis[[#This Row],[Poste 5]]*Devis[[#This Row],[Prix de Revient]]</f>
        <v>0</v>
      </c>
      <c r="AA402" s="74">
        <f>Devis[[#This Row],[Prix de Revient]]*Devis[[#This Row],[Poste 6]]</f>
        <v>0</v>
      </c>
      <c r="AB402" s="74">
        <f>Devis[[#This Row],[Quantité Totale]]*Devis[[#This Row],[Prix de Revient]]</f>
        <v>0</v>
      </c>
    </row>
    <row r="403" spans="1:28" ht="14.25" outlineLevel="1" x14ac:dyDescent="0.2">
      <c r="A403" s="75" t="s">
        <v>120</v>
      </c>
      <c r="B403" s="76" t="s">
        <v>4546</v>
      </c>
      <c r="C403" s="76" t="s">
        <v>259</v>
      </c>
      <c r="D403" s="81" t="str">
        <f t="shared" si="7"/>
        <v>CablageCOFFRETS ELECTRIQUE VIDE &amp; ACCESSOIRESCoffrets L*H*P</v>
      </c>
      <c r="E403" s="76" t="s">
        <v>263</v>
      </c>
      <c r="F403" s="81">
        <v>2</v>
      </c>
      <c r="G403" s="71">
        <v>35502</v>
      </c>
      <c r="H403" s="79"/>
      <c r="I403" s="71"/>
      <c r="J403" s="70">
        <f>IFERROR(VLOOKUP(Devis[[#This Row],[Ref Air Flux]],#REF!,3,FALSE),0)</f>
        <v>0</v>
      </c>
      <c r="K403" s="68"/>
      <c r="L403" s="68"/>
      <c r="M403" s="68"/>
      <c r="N403" s="68"/>
      <c r="O403" s="68"/>
      <c r="P403" s="68"/>
      <c r="Q403" s="68">
        <f>SUM(Devis[[#This Row],[Poste 1]:[Poste 6]])</f>
        <v>0</v>
      </c>
      <c r="R403" s="71"/>
      <c r="S403" s="68">
        <f>_xlfn.CEILING.MATH(Devis[[#This Row],[Quantité Totale]],Devis[[#This Row],[Conditionnement]])</f>
        <v>0</v>
      </c>
      <c r="T403" s="72"/>
      <c r="U403" s="73" t="s">
        <v>260</v>
      </c>
      <c r="V403" s="74">
        <f>Devis[[#This Row],[Prix de Revient]]*Devis[[#This Row],[Poste 1]]</f>
        <v>0</v>
      </c>
      <c r="W403" s="74">
        <f>Devis[[#This Row],[Prix de Revient]]*Devis[[#This Row],[Poste 2]]</f>
        <v>0</v>
      </c>
      <c r="X403" s="74">
        <f>Devis[[#This Row],[Prix de Revient]]*Devis[[#This Row],[Poste 3]]</f>
        <v>0</v>
      </c>
      <c r="Y403" s="74">
        <f>Devis[[#This Row],[Poste 4]]*Devis[[#This Row],[Prix de Revient]]</f>
        <v>0</v>
      </c>
      <c r="Z403" s="74">
        <f>Devis[[#This Row],[Poste 5]]*Devis[[#This Row],[Prix de Revient]]</f>
        <v>0</v>
      </c>
      <c r="AA403" s="74">
        <f>Devis[[#This Row],[Prix de Revient]]*Devis[[#This Row],[Poste 6]]</f>
        <v>0</v>
      </c>
      <c r="AB403" s="74">
        <f>Devis[[#This Row],[Quantité Totale]]*Devis[[#This Row],[Prix de Revient]]</f>
        <v>0</v>
      </c>
    </row>
    <row r="404" spans="1:28" ht="14.25" outlineLevel="1" x14ac:dyDescent="0.2">
      <c r="A404" s="75" t="s">
        <v>120</v>
      </c>
      <c r="B404" s="76" t="s">
        <v>4546</v>
      </c>
      <c r="C404" s="76" t="s">
        <v>259</v>
      </c>
      <c r="D404" s="81" t="str">
        <f t="shared" si="7"/>
        <v>CablageCOFFRETS ELECTRIQUE VIDE &amp; ACCESSOIRESCoffrets L*H*P</v>
      </c>
      <c r="E404" s="76" t="s">
        <v>264</v>
      </c>
      <c r="F404" s="81">
        <v>3</v>
      </c>
      <c r="G404" s="71">
        <v>35503</v>
      </c>
      <c r="H404" s="79"/>
      <c r="I404" s="71"/>
      <c r="J404" s="70">
        <f>IFERROR(VLOOKUP(Devis[[#This Row],[Ref Air Flux]],#REF!,3,FALSE),0)</f>
        <v>0</v>
      </c>
      <c r="K404" s="68"/>
      <c r="L404" s="68"/>
      <c r="M404" s="68"/>
      <c r="N404" s="68"/>
      <c r="O404" s="68"/>
      <c r="P404" s="68"/>
      <c r="Q404" s="68">
        <f>SUM(Devis[[#This Row],[Poste 1]:[Poste 6]])</f>
        <v>0</v>
      </c>
      <c r="R404" s="71"/>
      <c r="S404" s="68">
        <f>_xlfn.CEILING.MATH(Devis[[#This Row],[Quantité Totale]],Devis[[#This Row],[Conditionnement]])</f>
        <v>0</v>
      </c>
      <c r="T404" s="72"/>
      <c r="U404" s="73" t="s">
        <v>260</v>
      </c>
      <c r="V404" s="74">
        <f>Devis[[#This Row],[Prix de Revient]]*Devis[[#This Row],[Poste 1]]</f>
        <v>0</v>
      </c>
      <c r="W404" s="74">
        <f>Devis[[#This Row],[Prix de Revient]]*Devis[[#This Row],[Poste 2]]</f>
        <v>0</v>
      </c>
      <c r="X404" s="74">
        <f>Devis[[#This Row],[Prix de Revient]]*Devis[[#This Row],[Poste 3]]</f>
        <v>0</v>
      </c>
      <c r="Y404" s="74">
        <f>Devis[[#This Row],[Poste 4]]*Devis[[#This Row],[Prix de Revient]]</f>
        <v>0</v>
      </c>
      <c r="Z404" s="74">
        <f>Devis[[#This Row],[Poste 5]]*Devis[[#This Row],[Prix de Revient]]</f>
        <v>0</v>
      </c>
      <c r="AA404" s="74">
        <f>Devis[[#This Row],[Prix de Revient]]*Devis[[#This Row],[Poste 6]]</f>
        <v>0</v>
      </c>
      <c r="AB404" s="74">
        <f>Devis[[#This Row],[Quantité Totale]]*Devis[[#This Row],[Prix de Revient]]</f>
        <v>0</v>
      </c>
    </row>
    <row r="405" spans="1:28" ht="14.25" customHeight="1" outlineLevel="1" x14ac:dyDescent="0.2">
      <c r="A405" s="75" t="s">
        <v>120</v>
      </c>
      <c r="B405" s="76" t="s">
        <v>4546</v>
      </c>
      <c r="C405" s="76" t="s">
        <v>259</v>
      </c>
      <c r="D405" s="81" t="str">
        <f t="shared" si="7"/>
        <v>CablageCOFFRETS ELECTRIQUE VIDE &amp; ACCESSOIRESCoffrets L*H*P</v>
      </c>
      <c r="E405" s="76" t="s">
        <v>265</v>
      </c>
      <c r="F405" s="81">
        <v>4</v>
      </c>
      <c r="G405" s="71">
        <v>35504</v>
      </c>
      <c r="H405" s="79"/>
      <c r="I405" s="71"/>
      <c r="J405" s="70">
        <f>IFERROR(VLOOKUP(Devis[[#This Row],[Ref Air Flux]],#REF!,3,FALSE),0)</f>
        <v>0</v>
      </c>
      <c r="K405" s="68"/>
      <c r="L405" s="68"/>
      <c r="M405" s="68"/>
      <c r="N405" s="68"/>
      <c r="O405" s="68"/>
      <c r="P405" s="68"/>
      <c r="Q405" s="68">
        <f>SUM(Devis[[#This Row],[Poste 1]:[Poste 6]])</f>
        <v>0</v>
      </c>
      <c r="R405" s="71"/>
      <c r="S405" s="68">
        <f>_xlfn.CEILING.MATH(Devis[[#This Row],[Quantité Totale]],Devis[[#This Row],[Conditionnement]])</f>
        <v>0</v>
      </c>
      <c r="T405" s="72"/>
      <c r="U405" s="73" t="s">
        <v>260</v>
      </c>
      <c r="V405" s="74">
        <f>Devis[[#This Row],[Prix de Revient]]*Devis[[#This Row],[Poste 1]]</f>
        <v>0</v>
      </c>
      <c r="W405" s="74">
        <f>Devis[[#This Row],[Prix de Revient]]*Devis[[#This Row],[Poste 2]]</f>
        <v>0</v>
      </c>
      <c r="X405" s="74">
        <f>Devis[[#This Row],[Prix de Revient]]*Devis[[#This Row],[Poste 3]]</f>
        <v>0</v>
      </c>
      <c r="Y405" s="74">
        <f>Devis[[#This Row],[Poste 4]]*Devis[[#This Row],[Prix de Revient]]</f>
        <v>0</v>
      </c>
      <c r="Z405" s="74">
        <f>Devis[[#This Row],[Poste 5]]*Devis[[#This Row],[Prix de Revient]]</f>
        <v>0</v>
      </c>
      <c r="AA405" s="74">
        <f>Devis[[#This Row],[Prix de Revient]]*Devis[[#This Row],[Poste 6]]</f>
        <v>0</v>
      </c>
      <c r="AB405" s="74">
        <f>Devis[[#This Row],[Quantité Totale]]*Devis[[#This Row],[Prix de Revient]]</f>
        <v>0</v>
      </c>
    </row>
    <row r="406" spans="1:28" ht="14.25" outlineLevel="1" x14ac:dyDescent="0.2">
      <c r="A406" s="75" t="s">
        <v>120</v>
      </c>
      <c r="B406" s="76" t="s">
        <v>4546</v>
      </c>
      <c r="C406" s="76" t="s">
        <v>259</v>
      </c>
      <c r="D406" s="81" t="str">
        <f t="shared" si="7"/>
        <v>CablageCOFFRETS ELECTRIQUE VIDE &amp; ACCESSOIRESCoffrets L*H*P</v>
      </c>
      <c r="E406" s="76" t="s">
        <v>266</v>
      </c>
      <c r="F406" s="81">
        <v>5</v>
      </c>
      <c r="G406" s="71">
        <v>35507</v>
      </c>
      <c r="H406" s="79"/>
      <c r="I406" s="71"/>
      <c r="J406" s="70">
        <f>IFERROR(VLOOKUP(Devis[[#This Row],[Ref Air Flux]],#REF!,3,FALSE),0)</f>
        <v>0</v>
      </c>
      <c r="K406" s="68"/>
      <c r="L406" s="68"/>
      <c r="M406" s="68"/>
      <c r="N406" s="68"/>
      <c r="O406" s="68"/>
      <c r="P406" s="68"/>
      <c r="Q406" s="68">
        <f>SUM(Devis[[#This Row],[Poste 1]:[Poste 6]])</f>
        <v>0</v>
      </c>
      <c r="R406" s="71"/>
      <c r="S406" s="68">
        <f>_xlfn.CEILING.MATH(Devis[[#This Row],[Quantité Totale]],Devis[[#This Row],[Conditionnement]])</f>
        <v>0</v>
      </c>
      <c r="T406" s="72"/>
      <c r="U406" s="73" t="s">
        <v>260</v>
      </c>
      <c r="V406" s="74">
        <f>Devis[[#This Row],[Prix de Revient]]*Devis[[#This Row],[Poste 1]]</f>
        <v>0</v>
      </c>
      <c r="W406" s="74">
        <f>Devis[[#This Row],[Prix de Revient]]*Devis[[#This Row],[Poste 2]]</f>
        <v>0</v>
      </c>
      <c r="X406" s="74">
        <f>Devis[[#This Row],[Prix de Revient]]*Devis[[#This Row],[Poste 3]]</f>
        <v>0</v>
      </c>
      <c r="Y406" s="74">
        <f>Devis[[#This Row],[Poste 4]]*Devis[[#This Row],[Prix de Revient]]</f>
        <v>0</v>
      </c>
      <c r="Z406" s="74">
        <f>Devis[[#This Row],[Poste 5]]*Devis[[#This Row],[Prix de Revient]]</f>
        <v>0</v>
      </c>
      <c r="AA406" s="74">
        <f>Devis[[#This Row],[Prix de Revient]]*Devis[[#This Row],[Poste 6]]</f>
        <v>0</v>
      </c>
      <c r="AB406" s="74">
        <f>Devis[[#This Row],[Quantité Totale]]*Devis[[#This Row],[Prix de Revient]]</f>
        <v>0</v>
      </c>
    </row>
    <row r="407" spans="1:28" ht="14.25" customHeight="1" outlineLevel="1" x14ac:dyDescent="0.2">
      <c r="A407" s="75" t="s">
        <v>120</v>
      </c>
      <c r="B407" s="76" t="s">
        <v>4546</v>
      </c>
      <c r="C407" s="76" t="s">
        <v>259</v>
      </c>
      <c r="D407" s="81" t="str">
        <f t="shared" si="7"/>
        <v>CablageCOFFRETS ELECTRIQUE VIDE &amp; ACCESSOIRESCoffrets L*H*P</v>
      </c>
      <c r="E407" s="76" t="s">
        <v>267</v>
      </c>
      <c r="F407" s="81">
        <v>6</v>
      </c>
      <c r="G407" s="71">
        <v>35508</v>
      </c>
      <c r="H407" s="79"/>
      <c r="I407" s="71"/>
      <c r="J407" s="70">
        <f>IFERROR(VLOOKUP(Devis[[#This Row],[Ref Air Flux]],#REF!,3,FALSE),0)</f>
        <v>0</v>
      </c>
      <c r="K407" s="68"/>
      <c r="L407" s="68"/>
      <c r="M407" s="68"/>
      <c r="N407" s="68"/>
      <c r="O407" s="68"/>
      <c r="P407" s="68"/>
      <c r="Q407" s="68">
        <f>SUM(Devis[[#This Row],[Poste 1]:[Poste 6]])</f>
        <v>0</v>
      </c>
      <c r="R407" s="71"/>
      <c r="S407" s="68">
        <f>_xlfn.CEILING.MATH(Devis[[#This Row],[Quantité Totale]],Devis[[#This Row],[Conditionnement]])</f>
        <v>0</v>
      </c>
      <c r="T407" s="72"/>
      <c r="U407" s="73" t="s">
        <v>260</v>
      </c>
      <c r="V407" s="74">
        <f>Devis[[#This Row],[Prix de Revient]]*Devis[[#This Row],[Poste 1]]</f>
        <v>0</v>
      </c>
      <c r="W407" s="74">
        <f>Devis[[#This Row],[Prix de Revient]]*Devis[[#This Row],[Poste 2]]</f>
        <v>0</v>
      </c>
      <c r="X407" s="74">
        <f>Devis[[#This Row],[Prix de Revient]]*Devis[[#This Row],[Poste 3]]</f>
        <v>0</v>
      </c>
      <c r="Y407" s="74">
        <f>Devis[[#This Row],[Poste 4]]*Devis[[#This Row],[Prix de Revient]]</f>
        <v>0</v>
      </c>
      <c r="Z407" s="74">
        <f>Devis[[#This Row],[Poste 5]]*Devis[[#This Row],[Prix de Revient]]</f>
        <v>0</v>
      </c>
      <c r="AA407" s="74">
        <f>Devis[[#This Row],[Prix de Revient]]*Devis[[#This Row],[Poste 6]]</f>
        <v>0</v>
      </c>
      <c r="AB407" s="74">
        <f>Devis[[#This Row],[Quantité Totale]]*Devis[[#This Row],[Prix de Revient]]</f>
        <v>0</v>
      </c>
    </row>
    <row r="408" spans="1:28" ht="14.25" outlineLevel="1" x14ac:dyDescent="0.2">
      <c r="A408" s="75" t="s">
        <v>120</v>
      </c>
      <c r="B408" s="76" t="s">
        <v>4546</v>
      </c>
      <c r="C408" s="76" t="s">
        <v>259</v>
      </c>
      <c r="D408" s="81" t="str">
        <f t="shared" si="7"/>
        <v>CablageCOFFRETS ELECTRIQUE VIDE &amp; ACCESSOIRESCoffrets L*H*P</v>
      </c>
      <c r="E408" s="76" t="s">
        <v>268</v>
      </c>
      <c r="F408" s="81">
        <v>7</v>
      </c>
      <c r="G408" s="71">
        <v>35512</v>
      </c>
      <c r="H408" s="79"/>
      <c r="I408" s="71"/>
      <c r="J408" s="70">
        <f>IFERROR(VLOOKUP(Devis[[#This Row],[Ref Air Flux]],#REF!,3,FALSE),0)</f>
        <v>0</v>
      </c>
      <c r="K408" s="68"/>
      <c r="L408" s="68"/>
      <c r="M408" s="68"/>
      <c r="N408" s="68"/>
      <c r="O408" s="68"/>
      <c r="P408" s="68"/>
      <c r="Q408" s="68">
        <f>SUM(Devis[[#This Row],[Poste 1]:[Poste 6]])</f>
        <v>0</v>
      </c>
      <c r="R408" s="71"/>
      <c r="S408" s="68">
        <f>_xlfn.CEILING.MATH(Devis[[#This Row],[Quantité Totale]],Devis[[#This Row],[Conditionnement]])</f>
        <v>0</v>
      </c>
      <c r="T408" s="72"/>
      <c r="U408" s="73" t="s">
        <v>262</v>
      </c>
      <c r="V408" s="74">
        <f>Devis[[#This Row],[Prix de Revient]]*Devis[[#This Row],[Poste 1]]</f>
        <v>0</v>
      </c>
      <c r="W408" s="74">
        <f>Devis[[#This Row],[Prix de Revient]]*Devis[[#This Row],[Poste 2]]</f>
        <v>0</v>
      </c>
      <c r="X408" s="74">
        <f>Devis[[#This Row],[Prix de Revient]]*Devis[[#This Row],[Poste 3]]</f>
        <v>0</v>
      </c>
      <c r="Y408" s="74">
        <f>Devis[[#This Row],[Poste 4]]*Devis[[#This Row],[Prix de Revient]]</f>
        <v>0</v>
      </c>
      <c r="Z408" s="74">
        <f>Devis[[#This Row],[Poste 5]]*Devis[[#This Row],[Prix de Revient]]</f>
        <v>0</v>
      </c>
      <c r="AA408" s="74">
        <f>Devis[[#This Row],[Prix de Revient]]*Devis[[#This Row],[Poste 6]]</f>
        <v>0</v>
      </c>
      <c r="AB408" s="74">
        <f>Devis[[#This Row],[Quantité Totale]]*Devis[[#This Row],[Prix de Revient]]</f>
        <v>0</v>
      </c>
    </row>
    <row r="409" spans="1:28" ht="14.25" outlineLevel="1" x14ac:dyDescent="0.2">
      <c r="A409" s="75" t="s">
        <v>120</v>
      </c>
      <c r="B409" s="76" t="s">
        <v>4546</v>
      </c>
      <c r="C409" s="76" t="s">
        <v>259</v>
      </c>
      <c r="D409" s="81" t="str">
        <f t="shared" si="7"/>
        <v>CablageCOFFRETS ELECTRIQUE VIDE &amp; ACCESSOIRESCoffrets L*H*P</v>
      </c>
      <c r="E409" s="76" t="s">
        <v>4547</v>
      </c>
      <c r="F409" s="81">
        <v>8</v>
      </c>
      <c r="G409" s="71">
        <v>35531</v>
      </c>
      <c r="H409" s="79"/>
      <c r="I409" s="71"/>
      <c r="J409" s="70">
        <f>IFERROR(VLOOKUP(Devis[[#This Row],[Ref Air Flux]],#REF!,3,FALSE),0)</f>
        <v>0</v>
      </c>
      <c r="K409" s="68"/>
      <c r="L409" s="68"/>
      <c r="M409" s="68"/>
      <c r="N409" s="68"/>
      <c r="O409" s="68"/>
      <c r="P409" s="68"/>
      <c r="Q409" s="68">
        <f>SUM(Devis[[#This Row],[Poste 1]:[Poste 6]])</f>
        <v>0</v>
      </c>
      <c r="R409" s="71"/>
      <c r="S409" s="68">
        <f>_xlfn.CEILING.MATH(Devis[[#This Row],[Quantité Totale]],Devis[[#This Row],[Conditionnement]])</f>
        <v>0</v>
      </c>
      <c r="T409" s="72"/>
      <c r="U409" s="73" t="s">
        <v>262</v>
      </c>
      <c r="V409" s="74">
        <f>Devis[[#This Row],[Prix de Revient]]*Devis[[#This Row],[Poste 1]]</f>
        <v>0</v>
      </c>
      <c r="W409" s="74">
        <f>Devis[[#This Row],[Prix de Revient]]*Devis[[#This Row],[Poste 2]]</f>
        <v>0</v>
      </c>
      <c r="X409" s="74">
        <f>Devis[[#This Row],[Prix de Revient]]*Devis[[#This Row],[Poste 3]]</f>
        <v>0</v>
      </c>
      <c r="Y409" s="74">
        <f>Devis[[#This Row],[Poste 4]]*Devis[[#This Row],[Prix de Revient]]</f>
        <v>0</v>
      </c>
      <c r="Z409" s="74">
        <f>Devis[[#This Row],[Poste 5]]*Devis[[#This Row],[Prix de Revient]]</f>
        <v>0</v>
      </c>
      <c r="AA409" s="74">
        <f>Devis[[#This Row],[Prix de Revient]]*Devis[[#This Row],[Poste 6]]</f>
        <v>0</v>
      </c>
      <c r="AB409" s="74">
        <f>Devis[[#This Row],[Quantité Totale]]*Devis[[#This Row],[Prix de Revient]]</f>
        <v>0</v>
      </c>
    </row>
    <row r="410" spans="1:28" ht="14.25" outlineLevel="1" x14ac:dyDescent="0.2">
      <c r="A410" s="75" t="s">
        <v>120</v>
      </c>
      <c r="B410" s="76" t="s">
        <v>4546</v>
      </c>
      <c r="C410" s="76" t="s">
        <v>4548</v>
      </c>
      <c r="D410" s="81" t="str">
        <f t="shared" si="7"/>
        <v>CablageCOFFRETS ELECTRIQUE VIDE &amp; ACCESSOIRESPlatines L*H</v>
      </c>
      <c r="E410" s="76" t="s">
        <v>4549</v>
      </c>
      <c r="F410" s="81">
        <v>9</v>
      </c>
      <c r="G410" s="71">
        <v>36012</v>
      </c>
      <c r="H410" s="79"/>
      <c r="I410" s="71"/>
      <c r="J410" s="70">
        <f>IFERROR(VLOOKUP(Devis[[#This Row],[Ref Air Flux]],#REF!,3,FALSE),0)</f>
        <v>0</v>
      </c>
      <c r="K410" s="68"/>
      <c r="L410" s="68"/>
      <c r="M410" s="68"/>
      <c r="N410" s="68"/>
      <c r="O410" s="68"/>
      <c r="P410" s="68"/>
      <c r="Q410" s="68">
        <f>SUM(Devis[[#This Row],[Poste 1]:[Poste 6]])</f>
        <v>0</v>
      </c>
      <c r="R410" s="71"/>
      <c r="S410" s="68">
        <f>_xlfn.CEILING.MATH(Devis[[#This Row],[Quantité Totale]],Devis[[#This Row],[Conditionnement]])</f>
        <v>0</v>
      </c>
      <c r="T410" s="72"/>
      <c r="U410" s="73" t="s">
        <v>262</v>
      </c>
      <c r="V410" s="74">
        <f>Devis[[#This Row],[Prix de Revient]]*Devis[[#This Row],[Poste 1]]</f>
        <v>0</v>
      </c>
      <c r="W410" s="74">
        <f>Devis[[#This Row],[Prix de Revient]]*Devis[[#This Row],[Poste 2]]</f>
        <v>0</v>
      </c>
      <c r="X410" s="74">
        <f>Devis[[#This Row],[Prix de Revient]]*Devis[[#This Row],[Poste 3]]</f>
        <v>0</v>
      </c>
      <c r="Y410" s="74">
        <f>Devis[[#This Row],[Poste 4]]*Devis[[#This Row],[Prix de Revient]]</f>
        <v>0</v>
      </c>
      <c r="Z410" s="74">
        <f>Devis[[#This Row],[Poste 5]]*Devis[[#This Row],[Prix de Revient]]</f>
        <v>0</v>
      </c>
      <c r="AA410" s="74">
        <f>Devis[[#This Row],[Prix de Revient]]*Devis[[#This Row],[Poste 6]]</f>
        <v>0</v>
      </c>
      <c r="AB410" s="74">
        <f>Devis[[#This Row],[Quantité Totale]]*Devis[[#This Row],[Prix de Revient]]</f>
        <v>0</v>
      </c>
    </row>
    <row r="411" spans="1:28" ht="14.25" customHeight="1" outlineLevel="1" x14ac:dyDescent="0.2">
      <c r="A411" s="75" t="s">
        <v>120</v>
      </c>
      <c r="B411" s="76" t="s">
        <v>4546</v>
      </c>
      <c r="C411" s="76" t="s">
        <v>4548</v>
      </c>
      <c r="D411" s="81" t="str">
        <f t="shared" si="7"/>
        <v>CablageCOFFRETS ELECTRIQUE VIDE &amp; ACCESSOIRESPlatines L*H</v>
      </c>
      <c r="E411" s="76" t="s">
        <v>4550</v>
      </c>
      <c r="F411" s="81">
        <v>10</v>
      </c>
      <c r="G411" s="71">
        <v>36015</v>
      </c>
      <c r="H411" s="79"/>
      <c r="I411" s="71"/>
      <c r="J411" s="70">
        <f>IFERROR(VLOOKUP(Devis[[#This Row],[Ref Air Flux]],#REF!,3,FALSE),0)</f>
        <v>0</v>
      </c>
      <c r="K411" s="68"/>
      <c r="L411" s="68"/>
      <c r="M411" s="68"/>
      <c r="N411" s="68"/>
      <c r="O411" s="68"/>
      <c r="P411" s="68"/>
      <c r="Q411" s="68">
        <f>SUM(Devis[[#This Row],[Poste 1]:[Poste 6]])</f>
        <v>0</v>
      </c>
      <c r="R411" s="71"/>
      <c r="S411" s="68">
        <f>_xlfn.CEILING.MATH(Devis[[#This Row],[Quantité Totale]],Devis[[#This Row],[Conditionnement]])</f>
        <v>0</v>
      </c>
      <c r="T411" s="72"/>
      <c r="U411" s="73" t="s">
        <v>262</v>
      </c>
      <c r="V411" s="74">
        <f>Devis[[#This Row],[Prix de Revient]]*Devis[[#This Row],[Poste 1]]</f>
        <v>0</v>
      </c>
      <c r="W411" s="74">
        <f>Devis[[#This Row],[Prix de Revient]]*Devis[[#This Row],[Poste 2]]</f>
        <v>0</v>
      </c>
      <c r="X411" s="74">
        <f>Devis[[#This Row],[Prix de Revient]]*Devis[[#This Row],[Poste 3]]</f>
        <v>0</v>
      </c>
      <c r="Y411" s="74">
        <f>Devis[[#This Row],[Poste 4]]*Devis[[#This Row],[Prix de Revient]]</f>
        <v>0</v>
      </c>
      <c r="Z411" s="74">
        <f>Devis[[#This Row],[Poste 5]]*Devis[[#This Row],[Prix de Revient]]</f>
        <v>0</v>
      </c>
      <c r="AA411" s="74">
        <f>Devis[[#This Row],[Prix de Revient]]*Devis[[#This Row],[Poste 6]]</f>
        <v>0</v>
      </c>
      <c r="AB411" s="74">
        <f>Devis[[#This Row],[Quantité Totale]]*Devis[[#This Row],[Prix de Revient]]</f>
        <v>0</v>
      </c>
    </row>
    <row r="412" spans="1:28" ht="14.25" outlineLevel="1" x14ac:dyDescent="0.2">
      <c r="A412" s="75" t="s">
        <v>120</v>
      </c>
      <c r="B412" s="76" t="s">
        <v>4546</v>
      </c>
      <c r="C412" s="76" t="s">
        <v>4548</v>
      </c>
      <c r="D412" s="81" t="str">
        <f t="shared" si="7"/>
        <v>CablageCOFFRETS ELECTRIQUE VIDE &amp; ACCESSOIRESPlatines L*H</v>
      </c>
      <c r="E412" s="76" t="s">
        <v>4551</v>
      </c>
      <c r="F412" s="81">
        <v>11</v>
      </c>
      <c r="G412" s="71">
        <v>36016</v>
      </c>
      <c r="H412" s="79"/>
      <c r="I412" s="71"/>
      <c r="J412" s="70">
        <f>IFERROR(VLOOKUP(Devis[[#This Row],[Ref Air Flux]],#REF!,3,FALSE),0)</f>
        <v>0</v>
      </c>
      <c r="K412" s="68"/>
      <c r="L412" s="68"/>
      <c r="M412" s="68"/>
      <c r="N412" s="68"/>
      <c r="O412" s="68"/>
      <c r="P412" s="68"/>
      <c r="Q412" s="68">
        <f>SUM(Devis[[#This Row],[Poste 1]:[Poste 6]])</f>
        <v>0</v>
      </c>
      <c r="R412" s="71"/>
      <c r="S412" s="68">
        <f>_xlfn.CEILING.MATH(Devis[[#This Row],[Quantité Totale]],Devis[[#This Row],[Conditionnement]])</f>
        <v>0</v>
      </c>
      <c r="T412" s="72"/>
      <c r="U412" s="73" t="s">
        <v>262</v>
      </c>
      <c r="V412" s="74">
        <f>Devis[[#This Row],[Prix de Revient]]*Devis[[#This Row],[Poste 1]]</f>
        <v>0</v>
      </c>
      <c r="W412" s="74">
        <f>Devis[[#This Row],[Prix de Revient]]*Devis[[#This Row],[Poste 2]]</f>
        <v>0</v>
      </c>
      <c r="X412" s="74">
        <f>Devis[[#This Row],[Prix de Revient]]*Devis[[#This Row],[Poste 3]]</f>
        <v>0</v>
      </c>
      <c r="Y412" s="74">
        <f>Devis[[#This Row],[Poste 4]]*Devis[[#This Row],[Prix de Revient]]</f>
        <v>0</v>
      </c>
      <c r="Z412" s="74">
        <f>Devis[[#This Row],[Poste 5]]*Devis[[#This Row],[Prix de Revient]]</f>
        <v>0</v>
      </c>
      <c r="AA412" s="74">
        <f>Devis[[#This Row],[Prix de Revient]]*Devis[[#This Row],[Poste 6]]</f>
        <v>0</v>
      </c>
      <c r="AB412" s="74">
        <f>Devis[[#This Row],[Quantité Totale]]*Devis[[#This Row],[Prix de Revient]]</f>
        <v>0</v>
      </c>
    </row>
    <row r="413" spans="1:28" ht="14.25" outlineLevel="1" x14ac:dyDescent="0.2">
      <c r="A413" s="75" t="s">
        <v>120</v>
      </c>
      <c r="B413" s="76" t="s">
        <v>4546</v>
      </c>
      <c r="C413" s="76" t="s">
        <v>4548</v>
      </c>
      <c r="D413" s="81" t="str">
        <f t="shared" si="7"/>
        <v>CablageCOFFRETS ELECTRIQUE VIDE &amp; ACCESSOIRESPlatines L*H</v>
      </c>
      <c r="E413" s="76" t="s">
        <v>4552</v>
      </c>
      <c r="F413" s="81">
        <v>12</v>
      </c>
      <c r="G413" s="71">
        <v>36093</v>
      </c>
      <c r="H413" s="79"/>
      <c r="I413" s="71"/>
      <c r="J413" s="70">
        <f>IFERROR(VLOOKUP(Devis[[#This Row],[Ref Air Flux]],#REF!,3,FALSE),0)</f>
        <v>0</v>
      </c>
      <c r="K413" s="68"/>
      <c r="L413" s="68"/>
      <c r="M413" s="68"/>
      <c r="N413" s="68"/>
      <c r="O413" s="68"/>
      <c r="P413" s="68"/>
      <c r="Q413" s="68">
        <f>SUM(Devis[[#This Row],[Poste 1]:[Poste 6]])</f>
        <v>0</v>
      </c>
      <c r="R413" s="71"/>
      <c r="S413" s="68">
        <f>_xlfn.CEILING.MATH(Devis[[#This Row],[Quantité Totale]],Devis[[#This Row],[Conditionnement]])</f>
        <v>0</v>
      </c>
      <c r="T413" s="72"/>
      <c r="U413" s="73" t="s">
        <v>262</v>
      </c>
      <c r="V413" s="74">
        <f>Devis[[#This Row],[Prix de Revient]]*Devis[[#This Row],[Poste 1]]</f>
        <v>0</v>
      </c>
      <c r="W413" s="74">
        <f>Devis[[#This Row],[Prix de Revient]]*Devis[[#This Row],[Poste 2]]</f>
        <v>0</v>
      </c>
      <c r="X413" s="74">
        <f>Devis[[#This Row],[Prix de Revient]]*Devis[[#This Row],[Poste 3]]</f>
        <v>0</v>
      </c>
      <c r="Y413" s="74">
        <f>Devis[[#This Row],[Poste 4]]*Devis[[#This Row],[Prix de Revient]]</f>
        <v>0</v>
      </c>
      <c r="Z413" s="74">
        <f>Devis[[#This Row],[Poste 5]]*Devis[[#This Row],[Prix de Revient]]</f>
        <v>0</v>
      </c>
      <c r="AA413" s="74">
        <f>Devis[[#This Row],[Prix de Revient]]*Devis[[#This Row],[Poste 6]]</f>
        <v>0</v>
      </c>
      <c r="AB413" s="74">
        <f>Devis[[#This Row],[Quantité Totale]]*Devis[[#This Row],[Prix de Revient]]</f>
        <v>0</v>
      </c>
    </row>
    <row r="414" spans="1:28" ht="14.25" outlineLevel="1" x14ac:dyDescent="0.2">
      <c r="A414" s="75" t="s">
        <v>120</v>
      </c>
      <c r="B414" s="76" t="s">
        <v>4546</v>
      </c>
      <c r="C414" s="76" t="s">
        <v>4548</v>
      </c>
      <c r="D414" s="81" t="str">
        <f t="shared" si="7"/>
        <v>CablageCOFFRETS ELECTRIQUE VIDE &amp; ACCESSOIRESPlatines L*H</v>
      </c>
      <c r="E414" s="76" t="s">
        <v>4553</v>
      </c>
      <c r="F414" s="81">
        <v>13</v>
      </c>
      <c r="G414" s="71">
        <v>36018</v>
      </c>
      <c r="H414" s="79"/>
      <c r="I414" s="71"/>
      <c r="J414" s="70">
        <f>IFERROR(VLOOKUP(Devis[[#This Row],[Ref Air Flux]],#REF!,3,FALSE),0)</f>
        <v>0</v>
      </c>
      <c r="K414" s="68"/>
      <c r="L414" s="68"/>
      <c r="M414" s="68"/>
      <c r="N414" s="68"/>
      <c r="O414" s="68"/>
      <c r="P414" s="68"/>
      <c r="Q414" s="68">
        <f>SUM(Devis[[#This Row],[Poste 1]:[Poste 6]])</f>
        <v>0</v>
      </c>
      <c r="R414" s="71"/>
      <c r="S414" s="68">
        <f>_xlfn.CEILING.MATH(Devis[[#This Row],[Quantité Totale]],Devis[[#This Row],[Conditionnement]])</f>
        <v>0</v>
      </c>
      <c r="T414" s="72"/>
      <c r="U414" s="73" t="s">
        <v>262</v>
      </c>
      <c r="V414" s="74">
        <f>Devis[[#This Row],[Prix de Revient]]*Devis[[#This Row],[Poste 1]]</f>
        <v>0</v>
      </c>
      <c r="W414" s="74">
        <f>Devis[[#This Row],[Prix de Revient]]*Devis[[#This Row],[Poste 2]]</f>
        <v>0</v>
      </c>
      <c r="X414" s="74">
        <f>Devis[[#This Row],[Prix de Revient]]*Devis[[#This Row],[Poste 3]]</f>
        <v>0</v>
      </c>
      <c r="Y414" s="74">
        <f>Devis[[#This Row],[Poste 4]]*Devis[[#This Row],[Prix de Revient]]</f>
        <v>0</v>
      </c>
      <c r="Z414" s="74">
        <f>Devis[[#This Row],[Poste 5]]*Devis[[#This Row],[Prix de Revient]]</f>
        <v>0</v>
      </c>
      <c r="AA414" s="74">
        <f>Devis[[#This Row],[Prix de Revient]]*Devis[[#This Row],[Poste 6]]</f>
        <v>0</v>
      </c>
      <c r="AB414" s="74">
        <f>Devis[[#This Row],[Quantité Totale]]*Devis[[#This Row],[Prix de Revient]]</f>
        <v>0</v>
      </c>
    </row>
    <row r="415" spans="1:28" ht="14.25" outlineLevel="1" x14ac:dyDescent="0.2">
      <c r="A415" s="75" t="s">
        <v>120</v>
      </c>
      <c r="B415" s="76" t="s">
        <v>4546</v>
      </c>
      <c r="C415" s="76" t="s">
        <v>300</v>
      </c>
      <c r="D415" s="81" t="str">
        <f t="shared" si="7"/>
        <v>CablageCOFFRETS ELECTRIQUE VIDE &amp; ACCESSOIRESPlastrons</v>
      </c>
      <c r="E415" s="76" t="s">
        <v>4554</v>
      </c>
      <c r="F415" s="81">
        <v>14</v>
      </c>
      <c r="G415" s="71" t="s">
        <v>4555</v>
      </c>
      <c r="H415" s="71"/>
      <c r="I415" s="71"/>
      <c r="J415" s="70">
        <f>IFERROR(VLOOKUP(Devis[[#This Row],[Ref Air Flux]],#REF!,3,FALSE),0)</f>
        <v>0</v>
      </c>
      <c r="K415" s="68"/>
      <c r="L415" s="68"/>
      <c r="M415" s="68"/>
      <c r="N415" s="68"/>
      <c r="O415" s="68"/>
      <c r="P415" s="68"/>
      <c r="Q415" s="68">
        <f>SUM(Devis[[#This Row],[Poste 1]:[Poste 6]])</f>
        <v>0</v>
      </c>
      <c r="R415" s="71"/>
      <c r="S415" s="68">
        <f>_xlfn.CEILING.MATH(Devis[[#This Row],[Quantité Totale]],Devis[[#This Row],[Conditionnement]])</f>
        <v>0</v>
      </c>
      <c r="T415" s="72"/>
      <c r="U415" s="73"/>
      <c r="V415" s="74">
        <f>Devis[[#This Row],[Prix de Revient]]*Devis[[#This Row],[Poste 1]]</f>
        <v>0</v>
      </c>
      <c r="W415" s="74">
        <f>Devis[[#This Row],[Prix de Revient]]*Devis[[#This Row],[Poste 2]]</f>
        <v>0</v>
      </c>
      <c r="X415" s="74">
        <f>Devis[[#This Row],[Prix de Revient]]*Devis[[#This Row],[Poste 3]]</f>
        <v>0</v>
      </c>
      <c r="Y415" s="74">
        <f>Devis[[#This Row],[Poste 4]]*Devis[[#This Row],[Prix de Revient]]</f>
        <v>0</v>
      </c>
      <c r="Z415" s="74">
        <f>Devis[[#This Row],[Poste 5]]*Devis[[#This Row],[Prix de Revient]]</f>
        <v>0</v>
      </c>
      <c r="AA415" s="74">
        <f>Devis[[#This Row],[Prix de Revient]]*Devis[[#This Row],[Poste 6]]</f>
        <v>0</v>
      </c>
      <c r="AB415" s="74">
        <f>Devis[[#This Row],[Quantité Totale]]*Devis[[#This Row],[Prix de Revient]]</f>
        <v>0</v>
      </c>
    </row>
    <row r="416" spans="1:28" ht="14.25" outlineLevel="1" x14ac:dyDescent="0.2">
      <c r="A416" s="75" t="s">
        <v>120</v>
      </c>
      <c r="B416" s="76" t="s">
        <v>4546</v>
      </c>
      <c r="C416" s="76" t="s">
        <v>300</v>
      </c>
      <c r="D416" s="81" t="str">
        <f t="shared" si="7"/>
        <v>CablageCOFFRETS ELECTRIQUE VIDE &amp; ACCESSOIRESPlastrons</v>
      </c>
      <c r="E416" s="76" t="s">
        <v>4556</v>
      </c>
      <c r="F416" s="81">
        <v>15</v>
      </c>
      <c r="G416" s="71">
        <v>36102</v>
      </c>
      <c r="H416" s="71"/>
      <c r="I416" s="71"/>
      <c r="J416" s="70">
        <f>IFERROR(VLOOKUP(Devis[[#This Row],[Ref Air Flux]],#REF!,3,FALSE),0)</f>
        <v>0</v>
      </c>
      <c r="K416" s="68"/>
      <c r="L416" s="68"/>
      <c r="M416" s="68"/>
      <c r="N416" s="68"/>
      <c r="O416" s="68"/>
      <c r="P416" s="68"/>
      <c r="Q416" s="68">
        <f>SUM(Devis[[#This Row],[Poste 1]:[Poste 6]])</f>
        <v>0</v>
      </c>
      <c r="R416" s="71"/>
      <c r="S416" s="68">
        <f>_xlfn.CEILING.MATH(Devis[[#This Row],[Quantité Totale]],Devis[[#This Row],[Conditionnement]])</f>
        <v>0</v>
      </c>
      <c r="T416" s="72"/>
      <c r="U416" s="73"/>
      <c r="V416" s="74">
        <f>Devis[[#This Row],[Prix de Revient]]*Devis[[#This Row],[Poste 1]]</f>
        <v>0</v>
      </c>
      <c r="W416" s="74">
        <f>Devis[[#This Row],[Prix de Revient]]*Devis[[#This Row],[Poste 2]]</f>
        <v>0</v>
      </c>
      <c r="X416" s="74">
        <f>Devis[[#This Row],[Prix de Revient]]*Devis[[#This Row],[Poste 3]]</f>
        <v>0</v>
      </c>
      <c r="Y416" s="74">
        <f>Devis[[#This Row],[Poste 4]]*Devis[[#This Row],[Prix de Revient]]</f>
        <v>0</v>
      </c>
      <c r="Z416" s="74">
        <f>Devis[[#This Row],[Poste 5]]*Devis[[#This Row],[Prix de Revient]]</f>
        <v>0</v>
      </c>
      <c r="AA416" s="74">
        <f>Devis[[#This Row],[Prix de Revient]]*Devis[[#This Row],[Poste 6]]</f>
        <v>0</v>
      </c>
      <c r="AB416" s="74">
        <f>Devis[[#This Row],[Quantité Totale]]*Devis[[#This Row],[Prix de Revient]]</f>
        <v>0</v>
      </c>
    </row>
    <row r="417" spans="1:28" ht="14.25" outlineLevel="1" x14ac:dyDescent="0.2">
      <c r="A417" s="75" t="s">
        <v>120</v>
      </c>
      <c r="B417" s="76" t="s">
        <v>4546</v>
      </c>
      <c r="C417" s="76" t="s">
        <v>297</v>
      </c>
      <c r="D417" s="81" t="str">
        <f t="shared" si="7"/>
        <v>CablageCOFFRETS ELECTRIQUE VIDE &amp; ACCESSOIRESFixation murale</v>
      </c>
      <c r="E417" s="76" t="s">
        <v>4557</v>
      </c>
      <c r="F417" s="81">
        <v>16</v>
      </c>
      <c r="G417" s="71">
        <v>36401</v>
      </c>
      <c r="H417" s="71"/>
      <c r="I417" s="71"/>
      <c r="J417" s="70">
        <f>IFERROR(VLOOKUP(Devis[[#This Row],[Ref Air Flux]],#REF!,3,FALSE),0)</f>
        <v>0</v>
      </c>
      <c r="K417" s="68"/>
      <c r="L417" s="68"/>
      <c r="M417" s="68"/>
      <c r="N417" s="68"/>
      <c r="O417" s="68"/>
      <c r="P417" s="68"/>
      <c r="Q417" s="68">
        <f>SUM(Devis[[#This Row],[Poste 1]:[Poste 6]])</f>
        <v>0</v>
      </c>
      <c r="R417" s="71"/>
      <c r="S417" s="68">
        <f>_xlfn.CEILING.MATH(Devis[[#This Row],[Quantité Totale]],Devis[[#This Row],[Conditionnement]])</f>
        <v>0</v>
      </c>
      <c r="T417" s="72"/>
      <c r="U417" s="73"/>
      <c r="V417" s="74">
        <f>Devis[[#This Row],[Prix de Revient]]*Devis[[#This Row],[Poste 1]]</f>
        <v>0</v>
      </c>
      <c r="W417" s="74">
        <f>Devis[[#This Row],[Prix de Revient]]*Devis[[#This Row],[Poste 2]]</f>
        <v>0</v>
      </c>
      <c r="X417" s="74">
        <f>Devis[[#This Row],[Prix de Revient]]*Devis[[#This Row],[Poste 3]]</f>
        <v>0</v>
      </c>
      <c r="Y417" s="74">
        <f>Devis[[#This Row],[Poste 4]]*Devis[[#This Row],[Prix de Revient]]</f>
        <v>0</v>
      </c>
      <c r="Z417" s="74">
        <f>Devis[[#This Row],[Poste 5]]*Devis[[#This Row],[Prix de Revient]]</f>
        <v>0</v>
      </c>
      <c r="AA417" s="74">
        <f>Devis[[#This Row],[Prix de Revient]]*Devis[[#This Row],[Poste 6]]</f>
        <v>0</v>
      </c>
      <c r="AB417" s="74">
        <f>Devis[[#This Row],[Quantité Totale]]*Devis[[#This Row],[Prix de Revient]]</f>
        <v>0</v>
      </c>
    </row>
    <row r="418" spans="1:28" ht="14.25" outlineLevel="1" x14ac:dyDescent="0.2">
      <c r="A418" s="75" t="s">
        <v>120</v>
      </c>
      <c r="B418" s="76" t="s">
        <v>4546</v>
      </c>
      <c r="C418" s="76" t="s">
        <v>315</v>
      </c>
      <c r="D418" s="81" t="str">
        <f t="shared" ref="D418:D482" si="8">A418&amp;B418&amp;C418</f>
        <v>CablageCOFFRETS ELECTRIQUE VIDE &amp; ACCESSOIRESRail  oméga</v>
      </c>
      <c r="E418" s="76" t="s">
        <v>4558</v>
      </c>
      <c r="F418" s="81">
        <v>17</v>
      </c>
      <c r="G418" s="71">
        <v>36781</v>
      </c>
      <c r="H418" s="71"/>
      <c r="I418" s="71"/>
      <c r="J418" s="70">
        <f>IFERROR(VLOOKUP(Devis[[#This Row],[Ref Air Flux]],#REF!,3,FALSE),0)</f>
        <v>0</v>
      </c>
      <c r="K418" s="68"/>
      <c r="L418" s="68"/>
      <c r="M418" s="68"/>
      <c r="N418" s="68"/>
      <c r="O418" s="68"/>
      <c r="P418" s="68"/>
      <c r="Q418" s="68">
        <f>SUM(Devis[[#This Row],[Poste 1]:[Poste 6]])</f>
        <v>0</v>
      </c>
      <c r="R418" s="71"/>
      <c r="S418" s="68">
        <f>_xlfn.CEILING.MATH(Devis[[#This Row],[Quantité Totale]],Devis[[#This Row],[Conditionnement]])</f>
        <v>0</v>
      </c>
      <c r="T418" s="72"/>
      <c r="U418" s="73"/>
      <c r="V418" s="74">
        <f>Devis[[#This Row],[Prix de Revient]]*Devis[[#This Row],[Poste 1]]</f>
        <v>0</v>
      </c>
      <c r="W418" s="74">
        <f>Devis[[#This Row],[Prix de Revient]]*Devis[[#This Row],[Poste 2]]</f>
        <v>0</v>
      </c>
      <c r="X418" s="74">
        <f>Devis[[#This Row],[Prix de Revient]]*Devis[[#This Row],[Poste 3]]</f>
        <v>0</v>
      </c>
      <c r="Y418" s="74">
        <f>Devis[[#This Row],[Poste 4]]*Devis[[#This Row],[Prix de Revient]]</f>
        <v>0</v>
      </c>
      <c r="Z418" s="74">
        <f>Devis[[#This Row],[Poste 5]]*Devis[[#This Row],[Prix de Revient]]</f>
        <v>0</v>
      </c>
      <c r="AA418" s="74">
        <f>Devis[[#This Row],[Prix de Revient]]*Devis[[#This Row],[Poste 6]]</f>
        <v>0</v>
      </c>
      <c r="AB418" s="74">
        <f>Devis[[#This Row],[Quantité Totale]]*Devis[[#This Row],[Prix de Revient]]</f>
        <v>0</v>
      </c>
    </row>
    <row r="419" spans="1:28" ht="14.25" outlineLevel="1" x14ac:dyDescent="0.2">
      <c r="A419" s="75" t="s">
        <v>120</v>
      </c>
      <c r="B419" s="76" t="s">
        <v>4546</v>
      </c>
      <c r="C419" s="76" t="s">
        <v>315</v>
      </c>
      <c r="D419" s="81" t="str">
        <f t="shared" si="8"/>
        <v>CablageCOFFRETS ELECTRIQUE VIDE &amp; ACCESSOIRESRail  oméga</v>
      </c>
      <c r="E419" s="76" t="s">
        <v>4559</v>
      </c>
      <c r="F419" s="81">
        <v>18</v>
      </c>
      <c r="G419" s="71">
        <v>36783</v>
      </c>
      <c r="H419" s="71"/>
      <c r="I419" s="71"/>
      <c r="J419" s="70">
        <f>IFERROR(VLOOKUP(Devis[[#This Row],[Ref Air Flux]],#REF!,3,FALSE),0)</f>
        <v>0</v>
      </c>
      <c r="K419" s="68"/>
      <c r="L419" s="68"/>
      <c r="M419" s="68"/>
      <c r="N419" s="68"/>
      <c r="O419" s="68"/>
      <c r="P419" s="68"/>
      <c r="Q419" s="68">
        <f>SUM(Devis[[#This Row],[Poste 1]:[Poste 6]])</f>
        <v>0</v>
      </c>
      <c r="R419" s="71"/>
      <c r="S419" s="68">
        <f>_xlfn.CEILING.MATH(Devis[[#This Row],[Quantité Totale]],Devis[[#This Row],[Conditionnement]])</f>
        <v>0</v>
      </c>
      <c r="T419" s="72"/>
      <c r="U419" s="73"/>
      <c r="V419" s="74">
        <f>Devis[[#This Row],[Prix de Revient]]*Devis[[#This Row],[Poste 1]]</f>
        <v>0</v>
      </c>
      <c r="W419" s="74">
        <f>Devis[[#This Row],[Prix de Revient]]*Devis[[#This Row],[Poste 2]]</f>
        <v>0</v>
      </c>
      <c r="X419" s="74">
        <f>Devis[[#This Row],[Prix de Revient]]*Devis[[#This Row],[Poste 3]]</f>
        <v>0</v>
      </c>
      <c r="Y419" s="74">
        <f>Devis[[#This Row],[Poste 4]]*Devis[[#This Row],[Prix de Revient]]</f>
        <v>0</v>
      </c>
      <c r="Z419" s="74">
        <f>Devis[[#This Row],[Poste 5]]*Devis[[#This Row],[Prix de Revient]]</f>
        <v>0</v>
      </c>
      <c r="AA419" s="74">
        <f>Devis[[#This Row],[Prix de Revient]]*Devis[[#This Row],[Poste 6]]</f>
        <v>0</v>
      </c>
      <c r="AB419" s="74">
        <f>Devis[[#This Row],[Quantité Totale]]*Devis[[#This Row],[Prix de Revient]]</f>
        <v>0</v>
      </c>
    </row>
    <row r="420" spans="1:28" ht="14.25" customHeight="1" outlineLevel="1" x14ac:dyDescent="0.2">
      <c r="A420" s="75" t="s">
        <v>120</v>
      </c>
      <c r="B420" s="76" t="s">
        <v>4546</v>
      </c>
      <c r="C420" s="76" t="s">
        <v>315</v>
      </c>
      <c r="D420" s="81" t="str">
        <f t="shared" si="8"/>
        <v>CablageCOFFRETS ELECTRIQUE VIDE &amp; ACCESSOIRESRail  oméga</v>
      </c>
      <c r="E420" s="76" t="s">
        <v>4560</v>
      </c>
      <c r="F420" s="81">
        <v>19</v>
      </c>
      <c r="G420" s="71">
        <v>36780</v>
      </c>
      <c r="H420" s="71"/>
      <c r="I420" s="71"/>
      <c r="J420" s="70">
        <f>IFERROR(VLOOKUP(Devis[[#This Row],[Ref Air Flux]],#REF!,3,FALSE),0)</f>
        <v>0</v>
      </c>
      <c r="K420" s="68"/>
      <c r="L420" s="68"/>
      <c r="M420" s="68"/>
      <c r="N420" s="68"/>
      <c r="O420" s="68"/>
      <c r="P420" s="68"/>
      <c r="Q420" s="68">
        <f>SUM(Devis[[#This Row],[Poste 1]:[Poste 6]])</f>
        <v>0</v>
      </c>
      <c r="R420" s="71"/>
      <c r="S420" s="68">
        <f>_xlfn.CEILING.MATH(Devis[[#This Row],[Quantité Totale]],Devis[[#This Row],[Conditionnement]])</f>
        <v>0</v>
      </c>
      <c r="T420" s="72"/>
      <c r="U420" s="73"/>
      <c r="V420" s="74">
        <f>Devis[[#This Row],[Prix de Revient]]*Devis[[#This Row],[Poste 1]]</f>
        <v>0</v>
      </c>
      <c r="W420" s="74">
        <f>Devis[[#This Row],[Prix de Revient]]*Devis[[#This Row],[Poste 2]]</f>
        <v>0</v>
      </c>
      <c r="X420" s="74">
        <f>Devis[[#This Row],[Prix de Revient]]*Devis[[#This Row],[Poste 3]]</f>
        <v>0</v>
      </c>
      <c r="Y420" s="74">
        <f>Devis[[#This Row],[Poste 4]]*Devis[[#This Row],[Prix de Revient]]</f>
        <v>0</v>
      </c>
      <c r="Z420" s="74">
        <f>Devis[[#This Row],[Poste 5]]*Devis[[#This Row],[Prix de Revient]]</f>
        <v>0</v>
      </c>
      <c r="AA420" s="74">
        <f>Devis[[#This Row],[Prix de Revient]]*Devis[[#This Row],[Poste 6]]</f>
        <v>0</v>
      </c>
      <c r="AB420" s="74">
        <f>Devis[[#This Row],[Quantité Totale]]*Devis[[#This Row],[Prix de Revient]]</f>
        <v>0</v>
      </c>
    </row>
    <row r="421" spans="1:28" ht="14.25" outlineLevel="1" x14ac:dyDescent="0.2">
      <c r="A421" s="75" t="s">
        <v>120</v>
      </c>
      <c r="B421" s="76" t="s">
        <v>4546</v>
      </c>
      <c r="C421" s="76" t="s">
        <v>315</v>
      </c>
      <c r="D421" s="81" t="str">
        <f t="shared" si="8"/>
        <v>CablageCOFFRETS ELECTRIQUE VIDE &amp; ACCESSOIRESRail  oméga</v>
      </c>
      <c r="E421" s="76" t="s">
        <v>4561</v>
      </c>
      <c r="F421" s="81">
        <v>20</v>
      </c>
      <c r="G421" s="71" t="s">
        <v>4562</v>
      </c>
      <c r="H421" s="71"/>
      <c r="I421" s="71"/>
      <c r="J421" s="70">
        <f>IFERROR(VLOOKUP(Devis[[#This Row],[Ref Air Flux]],#REF!,3,FALSE),0)</f>
        <v>0</v>
      </c>
      <c r="K421" s="68"/>
      <c r="L421" s="68"/>
      <c r="M421" s="68"/>
      <c r="N421" s="68"/>
      <c r="O421" s="68"/>
      <c r="P421" s="68"/>
      <c r="Q421" s="68">
        <f>SUM(Devis[[#This Row],[Poste 1]:[Poste 6]])</f>
        <v>0</v>
      </c>
      <c r="R421" s="71"/>
      <c r="S421" s="68">
        <f>_xlfn.CEILING.MATH(Devis[[#This Row],[Quantité Totale]],Devis[[#This Row],[Conditionnement]])</f>
        <v>0</v>
      </c>
      <c r="T421" s="72"/>
      <c r="U421" s="73"/>
      <c r="V421" s="74">
        <f>Devis[[#This Row],[Prix de Revient]]*Devis[[#This Row],[Poste 1]]</f>
        <v>0</v>
      </c>
      <c r="W421" s="74">
        <f>Devis[[#This Row],[Prix de Revient]]*Devis[[#This Row],[Poste 2]]</f>
        <v>0</v>
      </c>
      <c r="X421" s="74">
        <f>Devis[[#This Row],[Prix de Revient]]*Devis[[#This Row],[Poste 3]]</f>
        <v>0</v>
      </c>
      <c r="Y421" s="74">
        <f>Devis[[#This Row],[Poste 4]]*Devis[[#This Row],[Prix de Revient]]</f>
        <v>0</v>
      </c>
      <c r="Z421" s="74">
        <f>Devis[[#This Row],[Poste 5]]*Devis[[#This Row],[Prix de Revient]]</f>
        <v>0</v>
      </c>
      <c r="AA421" s="74">
        <f>Devis[[#This Row],[Prix de Revient]]*Devis[[#This Row],[Poste 6]]</f>
        <v>0</v>
      </c>
      <c r="AB421" s="74">
        <f>Devis[[#This Row],[Quantité Totale]]*Devis[[#This Row],[Prix de Revient]]</f>
        <v>0</v>
      </c>
    </row>
    <row r="422" spans="1:28" ht="14.25" outlineLevel="1" x14ac:dyDescent="0.2">
      <c r="A422" s="75" t="s">
        <v>120</v>
      </c>
      <c r="B422" s="76" t="s">
        <v>4546</v>
      </c>
      <c r="C422" s="76"/>
      <c r="D422" s="81" t="str">
        <f t="shared" si="8"/>
        <v>CablageCOFFRETS ELECTRIQUE VIDE &amp; ACCESSOIRES</v>
      </c>
      <c r="E422" s="76"/>
      <c r="F422" s="76">
        <v>21</v>
      </c>
      <c r="G422" s="71"/>
      <c r="H422" s="71"/>
      <c r="I422" s="71"/>
      <c r="J422" s="70">
        <f>IFERROR(VLOOKUP(Devis[[#This Row],[Ref Air Flux]],#REF!,3,FALSE),0)</f>
        <v>0</v>
      </c>
      <c r="K422" s="68"/>
      <c r="L422" s="68"/>
      <c r="M422" s="68"/>
      <c r="N422" s="68"/>
      <c r="O422" s="68"/>
      <c r="P422" s="68"/>
      <c r="Q422" s="68">
        <f>SUM(Devis[[#This Row],[Poste 1]:[Poste 6]])</f>
        <v>0</v>
      </c>
      <c r="R422" s="71"/>
      <c r="S422" s="68">
        <f>_xlfn.CEILING.MATH(Devis[[#This Row],[Quantité Totale]],Devis[[#This Row],[Conditionnement]])</f>
        <v>0</v>
      </c>
      <c r="T422" s="72"/>
      <c r="U422" s="73"/>
      <c r="V422" s="74">
        <f>Devis[[#This Row],[Prix de Revient]]*Devis[[#This Row],[Poste 1]]</f>
        <v>0</v>
      </c>
      <c r="W422" s="74">
        <f>Devis[[#This Row],[Prix de Revient]]*Devis[[#This Row],[Poste 2]]</f>
        <v>0</v>
      </c>
      <c r="X422" s="74">
        <f>Devis[[#This Row],[Prix de Revient]]*Devis[[#This Row],[Poste 3]]</f>
        <v>0</v>
      </c>
      <c r="Y422" s="74">
        <f>Devis[[#This Row],[Poste 4]]*Devis[[#This Row],[Prix de Revient]]</f>
        <v>0</v>
      </c>
      <c r="Z422" s="74">
        <f>Devis[[#This Row],[Poste 5]]*Devis[[#This Row],[Prix de Revient]]</f>
        <v>0</v>
      </c>
      <c r="AA422" s="74">
        <f>Devis[[#This Row],[Prix de Revient]]*Devis[[#This Row],[Poste 6]]</f>
        <v>0</v>
      </c>
      <c r="AB422" s="74">
        <f>Devis[[#This Row],[Quantité Totale]]*Devis[[#This Row],[Prix de Revient]]</f>
        <v>0</v>
      </c>
    </row>
    <row r="423" spans="1:28" ht="14.25" outlineLevel="1" x14ac:dyDescent="0.2">
      <c r="A423" s="75" t="s">
        <v>120</v>
      </c>
      <c r="B423" s="76" t="s">
        <v>4546</v>
      </c>
      <c r="C423" s="76" t="s">
        <v>6359</v>
      </c>
      <c r="D423" s="81" t="str">
        <f t="shared" si="8"/>
        <v>CablageCOFFRETS ELECTRIQUE VIDE &amp; ACCESSOIRESCoffrets 1 Rangée</v>
      </c>
      <c r="E423" s="76" t="s">
        <v>6358</v>
      </c>
      <c r="F423" s="76">
        <v>22</v>
      </c>
      <c r="G423" s="162" t="s">
        <v>6361</v>
      </c>
      <c r="H423" s="71" t="s">
        <v>4269</v>
      </c>
      <c r="I423" s="71"/>
      <c r="J423" s="70">
        <f>IFERROR(VLOOKUP(Devis[[#This Row],[Ref Air Flux]],#REF!,3,FALSE),0)</f>
        <v>0</v>
      </c>
      <c r="K423" s="68"/>
      <c r="L423" s="68"/>
      <c r="M423" s="68"/>
      <c r="N423" s="68"/>
      <c r="O423" s="68"/>
      <c r="P423" s="68"/>
      <c r="Q423" s="68">
        <f>SUM(Devis[[#This Row],[Poste 1]:[Poste 6]])</f>
        <v>0</v>
      </c>
      <c r="R423" s="71"/>
      <c r="S423" s="68">
        <f>_xlfn.CEILING.MATH(Devis[[#This Row],[Quantité Totale]],Devis[[#This Row],[Conditionnement]])</f>
        <v>0</v>
      </c>
      <c r="T423" s="72"/>
      <c r="U423" s="73"/>
      <c r="V423" s="74">
        <f>Devis[[#This Row],[Prix de Revient]]*Devis[[#This Row],[Poste 1]]</f>
        <v>0</v>
      </c>
      <c r="W423" s="74">
        <f>Devis[[#This Row],[Prix de Revient]]*Devis[[#This Row],[Poste 2]]</f>
        <v>0</v>
      </c>
      <c r="X423" s="74">
        <f>Devis[[#This Row],[Prix de Revient]]*Devis[[#This Row],[Poste 3]]</f>
        <v>0</v>
      </c>
      <c r="Y423" s="74">
        <f>Devis[[#This Row],[Poste 4]]*Devis[[#This Row],[Prix de Revient]]</f>
        <v>0</v>
      </c>
      <c r="Z423" s="74">
        <f>Devis[[#This Row],[Poste 5]]*Devis[[#This Row],[Prix de Revient]]</f>
        <v>0</v>
      </c>
      <c r="AA423" s="74">
        <f>Devis[[#This Row],[Prix de Revient]]*Devis[[#This Row],[Poste 6]]</f>
        <v>0</v>
      </c>
      <c r="AB423" s="74">
        <f>Devis[[#This Row],[Quantité Totale]]*Devis[[#This Row],[Prix de Revient]]</f>
        <v>0</v>
      </c>
    </row>
    <row r="424" spans="1:28" ht="14.25" outlineLevel="1" x14ac:dyDescent="0.2">
      <c r="A424" s="75" t="s">
        <v>120</v>
      </c>
      <c r="B424" s="76" t="s">
        <v>4546</v>
      </c>
      <c r="C424" s="76" t="s">
        <v>6359</v>
      </c>
      <c r="D424" s="81" t="str">
        <f t="shared" si="8"/>
        <v>CablageCOFFRETS ELECTRIQUE VIDE &amp; ACCESSOIRESCoffrets 1 Rangée</v>
      </c>
      <c r="E424" s="76" t="s">
        <v>6357</v>
      </c>
      <c r="F424" s="76">
        <v>23</v>
      </c>
      <c r="G424" s="71" t="s">
        <v>6356</v>
      </c>
      <c r="H424" s="71" t="s">
        <v>4269</v>
      </c>
      <c r="I424" s="71"/>
      <c r="J424" s="70">
        <f>IFERROR(VLOOKUP(Devis[[#This Row],[Ref Air Flux]],#REF!,3,FALSE),0)</f>
        <v>0</v>
      </c>
      <c r="K424" s="68"/>
      <c r="L424" s="68"/>
      <c r="M424" s="68"/>
      <c r="N424" s="68"/>
      <c r="O424" s="68"/>
      <c r="P424" s="68"/>
      <c r="Q424" s="68">
        <f>SUM(Devis[[#This Row],[Poste 1]:[Poste 6]])</f>
        <v>0</v>
      </c>
      <c r="R424" s="71"/>
      <c r="S424" s="68">
        <f>_xlfn.CEILING.MATH(Devis[[#This Row],[Quantité Totale]],Devis[[#This Row],[Conditionnement]])</f>
        <v>0</v>
      </c>
      <c r="T424" s="72"/>
      <c r="U424" s="73"/>
      <c r="V424" s="74">
        <f>Devis[[#This Row],[Prix de Revient]]*Devis[[#This Row],[Poste 1]]</f>
        <v>0</v>
      </c>
      <c r="W424" s="74">
        <f>Devis[[#This Row],[Prix de Revient]]*Devis[[#This Row],[Poste 2]]</f>
        <v>0</v>
      </c>
      <c r="X424" s="74">
        <f>Devis[[#This Row],[Prix de Revient]]*Devis[[#This Row],[Poste 3]]</f>
        <v>0</v>
      </c>
      <c r="Y424" s="74">
        <f>Devis[[#This Row],[Poste 4]]*Devis[[#This Row],[Prix de Revient]]</f>
        <v>0</v>
      </c>
      <c r="Z424" s="74">
        <f>Devis[[#This Row],[Poste 5]]*Devis[[#This Row],[Prix de Revient]]</f>
        <v>0</v>
      </c>
      <c r="AA424" s="74">
        <f>Devis[[#This Row],[Prix de Revient]]*Devis[[#This Row],[Poste 6]]</f>
        <v>0</v>
      </c>
      <c r="AB424" s="74">
        <f>Devis[[#This Row],[Quantité Totale]]*Devis[[#This Row],[Prix de Revient]]</f>
        <v>0</v>
      </c>
    </row>
    <row r="425" spans="1:28" ht="14.25" outlineLevel="1" x14ac:dyDescent="0.2">
      <c r="A425" s="75" t="s">
        <v>120</v>
      </c>
      <c r="B425" s="76" t="s">
        <v>4546</v>
      </c>
      <c r="C425" s="76"/>
      <c r="D425" s="81" t="str">
        <f t="shared" si="8"/>
        <v>CablageCOFFRETS ELECTRIQUE VIDE &amp; ACCESSOIRES</v>
      </c>
      <c r="E425" s="76"/>
      <c r="F425" s="81">
        <v>24</v>
      </c>
      <c r="G425" s="71"/>
      <c r="H425" s="71"/>
      <c r="I425" s="71"/>
      <c r="J425" s="70">
        <f>IFERROR(VLOOKUP(Devis[[#This Row],[Ref Air Flux]],#REF!,3,FALSE),0)</f>
        <v>0</v>
      </c>
      <c r="K425" s="68"/>
      <c r="L425" s="68"/>
      <c r="M425" s="68"/>
      <c r="N425" s="68"/>
      <c r="O425" s="68"/>
      <c r="P425" s="68"/>
      <c r="Q425" s="68">
        <f>SUM(Devis[[#This Row],[Poste 1]:[Poste 6]])</f>
        <v>0</v>
      </c>
      <c r="R425" s="71"/>
      <c r="S425" s="68">
        <f>_xlfn.CEILING.MATH(Devis[[#This Row],[Quantité Totale]],Devis[[#This Row],[Conditionnement]])</f>
        <v>0</v>
      </c>
      <c r="T425" s="72"/>
      <c r="U425" s="73"/>
      <c r="V425" s="74">
        <f>Devis[[#This Row],[Prix de Revient]]*Devis[[#This Row],[Poste 1]]</f>
        <v>0</v>
      </c>
      <c r="W425" s="74">
        <f>Devis[[#This Row],[Prix de Revient]]*Devis[[#This Row],[Poste 2]]</f>
        <v>0</v>
      </c>
      <c r="X425" s="74">
        <f>Devis[[#This Row],[Prix de Revient]]*Devis[[#This Row],[Poste 3]]</f>
        <v>0</v>
      </c>
      <c r="Y425" s="74">
        <f>Devis[[#This Row],[Poste 4]]*Devis[[#This Row],[Prix de Revient]]</f>
        <v>0</v>
      </c>
      <c r="Z425" s="74">
        <f>Devis[[#This Row],[Poste 5]]*Devis[[#This Row],[Prix de Revient]]</f>
        <v>0</v>
      </c>
      <c r="AA425" s="74">
        <f>Devis[[#This Row],[Prix de Revient]]*Devis[[#This Row],[Poste 6]]</f>
        <v>0</v>
      </c>
      <c r="AB425" s="74">
        <f>Devis[[#This Row],[Quantité Totale]]*Devis[[#This Row],[Prix de Revient]]</f>
        <v>0</v>
      </c>
    </row>
    <row r="426" spans="1:28" ht="14.25" outlineLevel="1" x14ac:dyDescent="0.2">
      <c r="A426" s="75" t="s">
        <v>120</v>
      </c>
      <c r="B426" s="76" t="s">
        <v>4546</v>
      </c>
      <c r="C426" s="76" t="s">
        <v>320</v>
      </c>
      <c r="D426" s="81" t="str">
        <f t="shared" si="8"/>
        <v xml:space="preserve">CablageCOFFRETS ELECTRIQUE VIDE &amp; ACCESSOIRESVis griffe pour platine </v>
      </c>
      <c r="E426" s="76" t="s">
        <v>4563</v>
      </c>
      <c r="F426" s="81">
        <v>25</v>
      </c>
      <c r="G426" s="71" t="s">
        <v>322</v>
      </c>
      <c r="H426" s="71"/>
      <c r="I426" s="71"/>
      <c r="J426" s="70">
        <f>IFERROR(VLOOKUP(Devis[[#This Row],[Ref Air Flux]],#REF!,3,FALSE),0)</f>
        <v>0</v>
      </c>
      <c r="K426" s="68"/>
      <c r="L426" s="68"/>
      <c r="M426" s="68"/>
      <c r="N426" s="68"/>
      <c r="O426" s="68"/>
      <c r="P426" s="68"/>
      <c r="Q426" s="68">
        <f>SUM(Devis[[#This Row],[Poste 1]:[Poste 6]])</f>
        <v>0</v>
      </c>
      <c r="R426" s="71"/>
      <c r="S426" s="68">
        <f>_xlfn.CEILING.MATH(Devis[[#This Row],[Quantité Totale]],Devis[[#This Row],[Conditionnement]])</f>
        <v>0</v>
      </c>
      <c r="T426" s="72"/>
      <c r="U426" s="73"/>
      <c r="V426" s="74">
        <f>Devis[[#This Row],[Prix de Revient]]*Devis[[#This Row],[Poste 1]]</f>
        <v>0</v>
      </c>
      <c r="W426" s="74">
        <f>Devis[[#This Row],[Prix de Revient]]*Devis[[#This Row],[Poste 2]]</f>
        <v>0</v>
      </c>
      <c r="X426" s="74">
        <f>Devis[[#This Row],[Prix de Revient]]*Devis[[#This Row],[Poste 3]]</f>
        <v>0</v>
      </c>
      <c r="Y426" s="74">
        <f>Devis[[#This Row],[Poste 4]]*Devis[[#This Row],[Prix de Revient]]</f>
        <v>0</v>
      </c>
      <c r="Z426" s="74">
        <f>Devis[[#This Row],[Poste 5]]*Devis[[#This Row],[Prix de Revient]]</f>
        <v>0</v>
      </c>
      <c r="AA426" s="74">
        <f>Devis[[#This Row],[Prix de Revient]]*Devis[[#This Row],[Poste 6]]</f>
        <v>0</v>
      </c>
      <c r="AB426" s="74">
        <f>Devis[[#This Row],[Quantité Totale]]*Devis[[#This Row],[Prix de Revient]]</f>
        <v>0</v>
      </c>
    </row>
    <row r="427" spans="1:28" ht="14.25" customHeight="1" outlineLevel="1" x14ac:dyDescent="0.2">
      <c r="A427" s="75" t="s">
        <v>120</v>
      </c>
      <c r="B427" s="76" t="s">
        <v>4546</v>
      </c>
      <c r="C427" s="76"/>
      <c r="D427" s="81" t="str">
        <f t="shared" si="8"/>
        <v>CablageCOFFRETS ELECTRIQUE VIDE &amp; ACCESSOIRES</v>
      </c>
      <c r="E427" s="76"/>
      <c r="F427" s="81">
        <v>26</v>
      </c>
      <c r="G427" s="71"/>
      <c r="H427" s="71"/>
      <c r="I427" s="71"/>
      <c r="J427" s="70">
        <f>IFERROR(VLOOKUP(Devis[[#This Row],[Ref Air Flux]],#REF!,3,FALSE),0)</f>
        <v>0</v>
      </c>
      <c r="K427" s="68"/>
      <c r="L427" s="68"/>
      <c r="M427" s="68"/>
      <c r="N427" s="68"/>
      <c r="O427" s="68"/>
      <c r="P427" s="68"/>
      <c r="Q427" s="68">
        <f>SUM(Devis[[#This Row],[Poste 1]:[Poste 6]])</f>
        <v>0</v>
      </c>
      <c r="R427" s="71"/>
      <c r="S427" s="68">
        <f>_xlfn.CEILING.MATH(Devis[[#This Row],[Quantité Totale]],Devis[[#This Row],[Conditionnement]])</f>
        <v>0</v>
      </c>
      <c r="T427" s="72"/>
      <c r="U427" s="73"/>
      <c r="V427" s="74">
        <f>Devis[[#This Row],[Prix de Revient]]*Devis[[#This Row],[Poste 1]]</f>
        <v>0</v>
      </c>
      <c r="W427" s="74">
        <f>Devis[[#This Row],[Prix de Revient]]*Devis[[#This Row],[Poste 2]]</f>
        <v>0</v>
      </c>
      <c r="X427" s="74">
        <f>Devis[[#This Row],[Prix de Revient]]*Devis[[#This Row],[Poste 3]]</f>
        <v>0</v>
      </c>
      <c r="Y427" s="74">
        <f>Devis[[#This Row],[Poste 4]]*Devis[[#This Row],[Prix de Revient]]</f>
        <v>0</v>
      </c>
      <c r="Z427" s="74">
        <f>Devis[[#This Row],[Poste 5]]*Devis[[#This Row],[Prix de Revient]]</f>
        <v>0</v>
      </c>
      <c r="AA427" s="74">
        <f>Devis[[#This Row],[Prix de Revient]]*Devis[[#This Row],[Poste 6]]</f>
        <v>0</v>
      </c>
      <c r="AB427" s="74">
        <f>Devis[[#This Row],[Quantité Totale]]*Devis[[#This Row],[Prix de Revient]]</f>
        <v>0</v>
      </c>
    </row>
    <row r="428" spans="1:28" ht="14.25" outlineLevel="1" x14ac:dyDescent="0.2">
      <c r="A428" s="75" t="s">
        <v>120</v>
      </c>
      <c r="B428" s="76" t="s">
        <v>4546</v>
      </c>
      <c r="C428" s="76" t="s">
        <v>299</v>
      </c>
      <c r="D428" s="81" t="str">
        <f t="shared" si="8"/>
        <v>CablageCOFFRETS ELECTRIQUE VIDE &amp; ACCESSOIRESPeignes</v>
      </c>
      <c r="E428" s="76" t="s">
        <v>4564</v>
      </c>
      <c r="F428" s="81">
        <v>27</v>
      </c>
      <c r="G428" s="71">
        <v>37501</v>
      </c>
      <c r="H428" s="71"/>
      <c r="I428" s="71"/>
      <c r="J428" s="70">
        <f>IFERROR(VLOOKUP(Devis[[#This Row],[Ref Air Flux]],#REF!,3,FALSE),0)</f>
        <v>0</v>
      </c>
      <c r="K428" s="68"/>
      <c r="L428" s="68"/>
      <c r="M428" s="68"/>
      <c r="N428" s="68"/>
      <c r="O428" s="68"/>
      <c r="P428" s="68"/>
      <c r="Q428" s="68">
        <f>SUM(Devis[[#This Row],[Poste 1]:[Poste 6]])</f>
        <v>0</v>
      </c>
      <c r="R428" s="71"/>
      <c r="S428" s="68">
        <f>_xlfn.CEILING.MATH(Devis[[#This Row],[Quantité Totale]],Devis[[#This Row],[Conditionnement]])</f>
        <v>0</v>
      </c>
      <c r="T428" s="72"/>
      <c r="U428" s="73"/>
      <c r="V428" s="74">
        <f>Devis[[#This Row],[Prix de Revient]]*Devis[[#This Row],[Poste 1]]</f>
        <v>0</v>
      </c>
      <c r="W428" s="74">
        <f>Devis[[#This Row],[Prix de Revient]]*Devis[[#This Row],[Poste 2]]</f>
        <v>0</v>
      </c>
      <c r="X428" s="74">
        <f>Devis[[#This Row],[Prix de Revient]]*Devis[[#This Row],[Poste 3]]</f>
        <v>0</v>
      </c>
      <c r="Y428" s="74">
        <f>Devis[[#This Row],[Poste 4]]*Devis[[#This Row],[Prix de Revient]]</f>
        <v>0</v>
      </c>
      <c r="Z428" s="74">
        <f>Devis[[#This Row],[Poste 5]]*Devis[[#This Row],[Prix de Revient]]</f>
        <v>0</v>
      </c>
      <c r="AA428" s="74">
        <f>Devis[[#This Row],[Prix de Revient]]*Devis[[#This Row],[Poste 6]]</f>
        <v>0</v>
      </c>
      <c r="AB428" s="74">
        <f>Devis[[#This Row],[Quantité Totale]]*Devis[[#This Row],[Prix de Revient]]</f>
        <v>0</v>
      </c>
    </row>
    <row r="429" spans="1:28" ht="14.25" outlineLevel="1" x14ac:dyDescent="0.2">
      <c r="A429" s="75" t="s">
        <v>120</v>
      </c>
      <c r="B429" s="76" t="s">
        <v>4546</v>
      </c>
      <c r="C429" s="76" t="s">
        <v>131</v>
      </c>
      <c r="D429" s="81" t="str">
        <f t="shared" si="8"/>
        <v>CablageCOFFRETS ELECTRIQUE VIDE &amp; ACCESSOIRESBarreau cuivre</v>
      </c>
      <c r="E429" s="76" t="s">
        <v>4566</v>
      </c>
      <c r="F429" s="81">
        <v>28</v>
      </c>
      <c r="G429" s="71">
        <v>37433</v>
      </c>
      <c r="H429" s="79"/>
      <c r="I429" s="71"/>
      <c r="J429" s="70">
        <f>IFERROR(VLOOKUP(Devis[[#This Row],[Ref Air Flux]],#REF!,3,FALSE),0)</f>
        <v>0</v>
      </c>
      <c r="K429" s="68"/>
      <c r="L429" s="68"/>
      <c r="M429" s="68"/>
      <c r="N429" s="68"/>
      <c r="O429" s="68"/>
      <c r="P429" s="68"/>
      <c r="Q429" s="68">
        <f>SUM(Devis[[#This Row],[Poste 1]:[Poste 6]])</f>
        <v>0</v>
      </c>
      <c r="R429" s="71"/>
      <c r="S429" s="68">
        <f>_xlfn.CEILING.MATH(Devis[[#This Row],[Quantité Totale]],Devis[[#This Row],[Conditionnement]])</f>
        <v>0</v>
      </c>
      <c r="T429" s="72"/>
      <c r="U429" s="73"/>
      <c r="V429" s="74">
        <f>Devis[[#This Row],[Prix de Revient]]*Devis[[#This Row],[Poste 1]]</f>
        <v>0</v>
      </c>
      <c r="W429" s="74">
        <f>Devis[[#This Row],[Prix de Revient]]*Devis[[#This Row],[Poste 2]]</f>
        <v>0</v>
      </c>
      <c r="X429" s="74">
        <f>Devis[[#This Row],[Prix de Revient]]*Devis[[#This Row],[Poste 3]]</f>
        <v>0</v>
      </c>
      <c r="Y429" s="74">
        <f>Devis[[#This Row],[Poste 4]]*Devis[[#This Row],[Prix de Revient]]</f>
        <v>0</v>
      </c>
      <c r="Z429" s="74">
        <f>Devis[[#This Row],[Poste 5]]*Devis[[#This Row],[Prix de Revient]]</f>
        <v>0</v>
      </c>
      <c r="AA429" s="74">
        <f>Devis[[#This Row],[Prix de Revient]]*Devis[[#This Row],[Poste 6]]</f>
        <v>0</v>
      </c>
      <c r="AB429" s="74">
        <f>Devis[[#This Row],[Quantité Totale]]*Devis[[#This Row],[Prix de Revient]]</f>
        <v>0</v>
      </c>
    </row>
    <row r="430" spans="1:28" ht="14.25" customHeight="1" outlineLevel="1" x14ac:dyDescent="0.2">
      <c r="A430" s="75" t="s">
        <v>120</v>
      </c>
      <c r="B430" s="76" t="s">
        <v>4546</v>
      </c>
      <c r="C430" s="76" t="s">
        <v>131</v>
      </c>
      <c r="D430" s="81" t="str">
        <f t="shared" si="8"/>
        <v>CablageCOFFRETS ELECTRIQUE VIDE &amp; ACCESSOIRESBarreau cuivre</v>
      </c>
      <c r="E430" s="76" t="s">
        <v>4567</v>
      </c>
      <c r="F430" s="81">
        <v>29</v>
      </c>
      <c r="G430" s="71">
        <v>37438</v>
      </c>
      <c r="H430" s="79"/>
      <c r="I430" s="71"/>
      <c r="J430" s="70">
        <f>IFERROR(VLOOKUP(Devis[[#This Row],[Ref Air Flux]],#REF!,3,FALSE),0)</f>
        <v>0</v>
      </c>
      <c r="K430" s="68"/>
      <c r="L430" s="68"/>
      <c r="M430" s="68"/>
      <c r="N430" s="68"/>
      <c r="O430" s="68"/>
      <c r="P430" s="68"/>
      <c r="Q430" s="68">
        <f>SUM(Devis[[#This Row],[Poste 1]:[Poste 6]])</f>
        <v>0</v>
      </c>
      <c r="R430" s="71"/>
      <c r="S430" s="68">
        <f>_xlfn.CEILING.MATH(Devis[[#This Row],[Quantité Totale]],Devis[[#This Row],[Conditionnement]])</f>
        <v>0</v>
      </c>
      <c r="T430" s="72"/>
      <c r="U430" s="73"/>
      <c r="V430" s="74">
        <f>Devis[[#This Row],[Prix de Revient]]*Devis[[#This Row],[Poste 1]]</f>
        <v>0</v>
      </c>
      <c r="W430" s="74">
        <f>Devis[[#This Row],[Prix de Revient]]*Devis[[#This Row],[Poste 2]]</f>
        <v>0</v>
      </c>
      <c r="X430" s="74">
        <f>Devis[[#This Row],[Prix de Revient]]*Devis[[#This Row],[Poste 3]]</f>
        <v>0</v>
      </c>
      <c r="Y430" s="74">
        <f>Devis[[#This Row],[Poste 4]]*Devis[[#This Row],[Prix de Revient]]</f>
        <v>0</v>
      </c>
      <c r="Z430" s="74">
        <f>Devis[[#This Row],[Poste 5]]*Devis[[#This Row],[Prix de Revient]]</f>
        <v>0</v>
      </c>
      <c r="AA430" s="74">
        <f>Devis[[#This Row],[Prix de Revient]]*Devis[[#This Row],[Poste 6]]</f>
        <v>0</v>
      </c>
      <c r="AB430" s="74">
        <f>Devis[[#This Row],[Quantité Totale]]*Devis[[#This Row],[Prix de Revient]]</f>
        <v>0</v>
      </c>
    </row>
    <row r="431" spans="1:28" ht="14.25" customHeight="1" outlineLevel="1" x14ac:dyDescent="0.2">
      <c r="A431" s="75" t="s">
        <v>120</v>
      </c>
      <c r="B431" s="76" t="s">
        <v>4546</v>
      </c>
      <c r="C431" s="76" t="s">
        <v>131</v>
      </c>
      <c r="D431" s="81" t="str">
        <f t="shared" si="8"/>
        <v>CablageCOFFRETS ELECTRIQUE VIDE &amp; ACCESSOIRESBarreau cuivre</v>
      </c>
      <c r="E431" s="76" t="s">
        <v>4569</v>
      </c>
      <c r="F431" s="81">
        <v>30</v>
      </c>
      <c r="G431" s="71">
        <v>37418</v>
      </c>
      <c r="H431" s="79"/>
      <c r="I431" s="71"/>
      <c r="J431" s="70">
        <f>IFERROR(VLOOKUP(Devis[[#This Row],[Ref Air Flux]],#REF!,3,FALSE),0)</f>
        <v>0</v>
      </c>
      <c r="K431" s="68"/>
      <c r="L431" s="68"/>
      <c r="M431" s="68"/>
      <c r="N431" s="68"/>
      <c r="O431" s="68"/>
      <c r="P431" s="68"/>
      <c r="Q431" s="68">
        <f>SUM(Devis[[#This Row],[Poste 1]:[Poste 6]])</f>
        <v>0</v>
      </c>
      <c r="R431" s="71"/>
      <c r="S431" s="68">
        <f>_xlfn.CEILING.MATH(Devis[[#This Row],[Quantité Totale]],Devis[[#This Row],[Conditionnement]])</f>
        <v>0</v>
      </c>
      <c r="T431" s="72"/>
      <c r="U431" s="73"/>
      <c r="V431" s="74">
        <f>Devis[[#This Row],[Prix de Revient]]*Devis[[#This Row],[Poste 1]]</f>
        <v>0</v>
      </c>
      <c r="W431" s="74">
        <f>Devis[[#This Row],[Prix de Revient]]*Devis[[#This Row],[Poste 2]]</f>
        <v>0</v>
      </c>
      <c r="X431" s="74">
        <f>Devis[[#This Row],[Prix de Revient]]*Devis[[#This Row],[Poste 3]]</f>
        <v>0</v>
      </c>
      <c r="Y431" s="74">
        <f>Devis[[#This Row],[Poste 4]]*Devis[[#This Row],[Prix de Revient]]</f>
        <v>0</v>
      </c>
      <c r="Z431" s="74">
        <f>Devis[[#This Row],[Poste 5]]*Devis[[#This Row],[Prix de Revient]]</f>
        <v>0</v>
      </c>
      <c r="AA431" s="74">
        <f>Devis[[#This Row],[Prix de Revient]]*Devis[[#This Row],[Poste 6]]</f>
        <v>0</v>
      </c>
      <c r="AB431" s="74">
        <f>Devis[[#This Row],[Quantité Totale]]*Devis[[#This Row],[Prix de Revient]]</f>
        <v>0</v>
      </c>
    </row>
    <row r="432" spans="1:28" ht="14.25" customHeight="1" x14ac:dyDescent="0.25">
      <c r="A432" s="65" t="s">
        <v>120</v>
      </c>
      <c r="B432" s="65" t="s">
        <v>4670</v>
      </c>
      <c r="C432" s="76"/>
      <c r="D432" s="81" t="str">
        <f t="shared" si="8"/>
        <v>CablageCOLSONS &amp; COLRING</v>
      </c>
      <c r="E432" s="76"/>
      <c r="F432" s="81">
        <v>0</v>
      </c>
      <c r="G432" s="71"/>
      <c r="H432" s="71"/>
      <c r="I432" s="71"/>
      <c r="J432" s="70">
        <f>IFERROR(VLOOKUP(Devis[[#This Row],[Ref Air Flux]],#REF!,3,FALSE),0)</f>
        <v>0</v>
      </c>
      <c r="K432" s="68"/>
      <c r="L432" s="68"/>
      <c r="M432" s="68"/>
      <c r="N432" s="68"/>
      <c r="O432" s="68"/>
      <c r="P432" s="68"/>
      <c r="Q432" s="68">
        <f>SUM(Devis[[#This Row],[Poste 1]:[Poste 6]])</f>
        <v>0</v>
      </c>
      <c r="R432" s="71"/>
      <c r="S432" s="68">
        <f>_xlfn.CEILING.MATH(Devis[[#This Row],[Quantité Totale]],Devis[[#This Row],[Conditionnement]])</f>
        <v>0</v>
      </c>
      <c r="T432" s="72"/>
      <c r="U432" s="73"/>
      <c r="V432" s="74">
        <f>Devis[[#This Row],[Prix de Revient]]*Devis[[#This Row],[Poste 1]]</f>
        <v>0</v>
      </c>
      <c r="W432" s="74">
        <f>Devis[[#This Row],[Prix de Revient]]*Devis[[#This Row],[Poste 2]]</f>
        <v>0</v>
      </c>
      <c r="X432" s="74">
        <f>Devis[[#This Row],[Prix de Revient]]*Devis[[#This Row],[Poste 3]]</f>
        <v>0</v>
      </c>
      <c r="Y432" s="74">
        <f>Devis[[#This Row],[Poste 4]]*Devis[[#This Row],[Prix de Revient]]</f>
        <v>0</v>
      </c>
      <c r="Z432" s="74">
        <f>Devis[[#This Row],[Poste 5]]*Devis[[#This Row],[Prix de Revient]]</f>
        <v>0</v>
      </c>
      <c r="AA432" s="74">
        <f>Devis[[#This Row],[Prix de Revient]]*Devis[[#This Row],[Poste 6]]</f>
        <v>0</v>
      </c>
      <c r="AB432" s="74">
        <f>Devis[[#This Row],[Quantité Totale]]*Devis[[#This Row],[Prix de Revient]]</f>
        <v>0</v>
      </c>
    </row>
    <row r="433" spans="1:28" ht="14.25" outlineLevel="1" x14ac:dyDescent="0.2">
      <c r="A433" s="75" t="s">
        <v>120</v>
      </c>
      <c r="B433" s="76" t="s">
        <v>4670</v>
      </c>
      <c r="C433" s="76" t="s">
        <v>4671</v>
      </c>
      <c r="D433" s="81" t="str">
        <f t="shared" si="8"/>
        <v>CablageCOLSONS &amp; COLRINGCollier</v>
      </c>
      <c r="E433" s="76" t="s">
        <v>4672</v>
      </c>
      <c r="F433" s="81">
        <v>1</v>
      </c>
      <c r="G433" s="71">
        <v>31910</v>
      </c>
      <c r="H433" s="71"/>
      <c r="I433" s="71"/>
      <c r="J433" s="70">
        <f>IFERROR(VLOOKUP(Devis[[#This Row],[Ref Air Flux]],#REF!,3,FALSE),0)</f>
        <v>0</v>
      </c>
      <c r="K433" s="68"/>
      <c r="L433" s="68"/>
      <c r="M433" s="68"/>
      <c r="N433" s="68"/>
      <c r="O433" s="68"/>
      <c r="P433" s="68"/>
      <c r="Q433" s="68">
        <f>SUM(Devis[[#This Row],[Poste 1]:[Poste 6]])</f>
        <v>0</v>
      </c>
      <c r="R433" s="71"/>
      <c r="S433" s="68">
        <f>_xlfn.CEILING.MATH(Devis[[#This Row],[Quantité Totale]],Devis[[#This Row],[Conditionnement]])</f>
        <v>0</v>
      </c>
      <c r="T433" s="72"/>
      <c r="U433" s="73"/>
      <c r="V433" s="74">
        <f>Devis[[#This Row],[Prix de Revient]]*Devis[[#This Row],[Poste 1]]</f>
        <v>0</v>
      </c>
      <c r="W433" s="74">
        <f>Devis[[#This Row],[Prix de Revient]]*Devis[[#This Row],[Poste 2]]</f>
        <v>0</v>
      </c>
      <c r="X433" s="74">
        <f>Devis[[#This Row],[Prix de Revient]]*Devis[[#This Row],[Poste 3]]</f>
        <v>0</v>
      </c>
      <c r="Y433" s="74">
        <f>Devis[[#This Row],[Poste 4]]*Devis[[#This Row],[Prix de Revient]]</f>
        <v>0</v>
      </c>
      <c r="Z433" s="74">
        <f>Devis[[#This Row],[Poste 5]]*Devis[[#This Row],[Prix de Revient]]</f>
        <v>0</v>
      </c>
      <c r="AA433" s="74">
        <f>Devis[[#This Row],[Prix de Revient]]*Devis[[#This Row],[Poste 6]]</f>
        <v>0</v>
      </c>
      <c r="AB433" s="74">
        <f>Devis[[#This Row],[Quantité Totale]]*Devis[[#This Row],[Prix de Revient]]</f>
        <v>0</v>
      </c>
    </row>
    <row r="434" spans="1:28" ht="15" customHeight="1" outlineLevel="1" x14ac:dyDescent="0.2">
      <c r="A434" s="75" t="s">
        <v>120</v>
      </c>
      <c r="B434" s="76" t="s">
        <v>4670</v>
      </c>
      <c r="C434" s="76" t="s">
        <v>4671</v>
      </c>
      <c r="D434" s="81" t="str">
        <f t="shared" si="8"/>
        <v>CablageCOLSONS &amp; COLRINGCollier</v>
      </c>
      <c r="E434" s="76" t="s">
        <v>4673</v>
      </c>
      <c r="F434" s="81">
        <v>2</v>
      </c>
      <c r="G434" s="71">
        <v>31913</v>
      </c>
      <c r="H434" s="71"/>
      <c r="I434" s="71"/>
      <c r="J434" s="70">
        <f>IFERROR(VLOOKUP(Devis[[#This Row],[Ref Air Flux]],#REF!,3,FALSE),0)</f>
        <v>0</v>
      </c>
      <c r="K434" s="68"/>
      <c r="L434" s="68"/>
      <c r="M434" s="68"/>
      <c r="N434" s="68"/>
      <c r="O434" s="68"/>
      <c r="P434" s="68"/>
      <c r="Q434" s="68">
        <f>SUM(Devis[[#This Row],[Poste 1]:[Poste 6]])</f>
        <v>0</v>
      </c>
      <c r="R434" s="71"/>
      <c r="S434" s="68">
        <f>_xlfn.CEILING.MATH(Devis[[#This Row],[Quantité Totale]],Devis[[#This Row],[Conditionnement]])</f>
        <v>0</v>
      </c>
      <c r="T434" s="72"/>
      <c r="U434" s="73"/>
      <c r="V434" s="74">
        <f>Devis[[#This Row],[Prix de Revient]]*Devis[[#This Row],[Poste 1]]</f>
        <v>0</v>
      </c>
      <c r="W434" s="74">
        <f>Devis[[#This Row],[Prix de Revient]]*Devis[[#This Row],[Poste 2]]</f>
        <v>0</v>
      </c>
      <c r="X434" s="74">
        <f>Devis[[#This Row],[Prix de Revient]]*Devis[[#This Row],[Poste 3]]</f>
        <v>0</v>
      </c>
      <c r="Y434" s="74">
        <f>Devis[[#This Row],[Poste 4]]*Devis[[#This Row],[Prix de Revient]]</f>
        <v>0</v>
      </c>
      <c r="Z434" s="74">
        <f>Devis[[#This Row],[Poste 5]]*Devis[[#This Row],[Prix de Revient]]</f>
        <v>0</v>
      </c>
      <c r="AA434" s="74">
        <f>Devis[[#This Row],[Prix de Revient]]*Devis[[#This Row],[Poste 6]]</f>
        <v>0</v>
      </c>
      <c r="AB434" s="74">
        <f>Devis[[#This Row],[Quantité Totale]]*Devis[[#This Row],[Prix de Revient]]</f>
        <v>0</v>
      </c>
    </row>
    <row r="435" spans="1:28" ht="14.25" outlineLevel="1" x14ac:dyDescent="0.2">
      <c r="A435" s="75" t="s">
        <v>120</v>
      </c>
      <c r="B435" s="76" t="s">
        <v>4670</v>
      </c>
      <c r="C435" s="76" t="s">
        <v>4671</v>
      </c>
      <c r="D435" s="81" t="str">
        <f t="shared" si="8"/>
        <v>CablageCOLSONS &amp; COLRINGCollier</v>
      </c>
      <c r="E435" s="76" t="s">
        <v>4674</v>
      </c>
      <c r="F435" s="81">
        <v>3</v>
      </c>
      <c r="G435" s="71">
        <v>31916</v>
      </c>
      <c r="H435" s="71"/>
      <c r="I435" s="71"/>
      <c r="J435" s="70">
        <f>IFERROR(VLOOKUP(Devis[[#This Row],[Ref Air Flux]],#REF!,3,FALSE),0)</f>
        <v>0</v>
      </c>
      <c r="K435" s="68"/>
      <c r="L435" s="68"/>
      <c r="M435" s="68"/>
      <c r="N435" s="68"/>
      <c r="O435" s="68"/>
      <c r="P435" s="68"/>
      <c r="Q435" s="68">
        <f>SUM(Devis[[#This Row],[Poste 1]:[Poste 6]])</f>
        <v>0</v>
      </c>
      <c r="R435" s="71"/>
      <c r="S435" s="68">
        <f>_xlfn.CEILING.MATH(Devis[[#This Row],[Quantité Totale]],Devis[[#This Row],[Conditionnement]])</f>
        <v>0</v>
      </c>
      <c r="T435" s="72"/>
      <c r="U435" s="73"/>
      <c r="V435" s="74">
        <f>Devis[[#This Row],[Prix de Revient]]*Devis[[#This Row],[Poste 1]]</f>
        <v>0</v>
      </c>
      <c r="W435" s="74">
        <f>Devis[[#This Row],[Prix de Revient]]*Devis[[#This Row],[Poste 2]]</f>
        <v>0</v>
      </c>
      <c r="X435" s="74">
        <f>Devis[[#This Row],[Prix de Revient]]*Devis[[#This Row],[Poste 3]]</f>
        <v>0</v>
      </c>
      <c r="Y435" s="74">
        <f>Devis[[#This Row],[Poste 4]]*Devis[[#This Row],[Prix de Revient]]</f>
        <v>0</v>
      </c>
      <c r="Z435" s="74">
        <f>Devis[[#This Row],[Poste 5]]*Devis[[#This Row],[Prix de Revient]]</f>
        <v>0</v>
      </c>
      <c r="AA435" s="74">
        <f>Devis[[#This Row],[Prix de Revient]]*Devis[[#This Row],[Poste 6]]</f>
        <v>0</v>
      </c>
      <c r="AB435" s="74">
        <f>Devis[[#This Row],[Quantité Totale]]*Devis[[#This Row],[Prix de Revient]]</f>
        <v>0</v>
      </c>
    </row>
    <row r="436" spans="1:28" ht="14.25" outlineLevel="1" x14ac:dyDescent="0.2">
      <c r="A436" s="75" t="s">
        <v>120</v>
      </c>
      <c r="B436" s="76" t="s">
        <v>4670</v>
      </c>
      <c r="C436" s="76" t="s">
        <v>4671</v>
      </c>
      <c r="D436" s="81" t="str">
        <f t="shared" si="8"/>
        <v>CablageCOLSONS &amp; COLRINGCollier</v>
      </c>
      <c r="E436" s="76" t="s">
        <v>4675</v>
      </c>
      <c r="F436" s="81">
        <v>4</v>
      </c>
      <c r="G436" s="71">
        <v>31919</v>
      </c>
      <c r="H436" s="71"/>
      <c r="I436" s="71"/>
      <c r="J436" s="70">
        <f>IFERROR(VLOOKUP(Devis[[#This Row],[Ref Air Flux]],#REF!,3,FALSE),0)</f>
        <v>0</v>
      </c>
      <c r="K436" s="68"/>
      <c r="L436" s="68"/>
      <c r="M436" s="68"/>
      <c r="N436" s="68"/>
      <c r="O436" s="68"/>
      <c r="P436" s="68"/>
      <c r="Q436" s="68">
        <f>SUM(Devis[[#This Row],[Poste 1]:[Poste 6]])</f>
        <v>0</v>
      </c>
      <c r="R436" s="71"/>
      <c r="S436" s="68">
        <f>_xlfn.CEILING.MATH(Devis[[#This Row],[Quantité Totale]],Devis[[#This Row],[Conditionnement]])</f>
        <v>0</v>
      </c>
      <c r="T436" s="72"/>
      <c r="U436" s="73"/>
      <c r="V436" s="74">
        <f>Devis[[#This Row],[Prix de Revient]]*Devis[[#This Row],[Poste 1]]</f>
        <v>0</v>
      </c>
      <c r="W436" s="74">
        <f>Devis[[#This Row],[Prix de Revient]]*Devis[[#This Row],[Poste 2]]</f>
        <v>0</v>
      </c>
      <c r="X436" s="74">
        <f>Devis[[#This Row],[Prix de Revient]]*Devis[[#This Row],[Poste 3]]</f>
        <v>0</v>
      </c>
      <c r="Y436" s="74">
        <f>Devis[[#This Row],[Poste 4]]*Devis[[#This Row],[Prix de Revient]]</f>
        <v>0</v>
      </c>
      <c r="Z436" s="74">
        <f>Devis[[#This Row],[Poste 5]]*Devis[[#This Row],[Prix de Revient]]</f>
        <v>0</v>
      </c>
      <c r="AA436" s="74">
        <f>Devis[[#This Row],[Prix de Revient]]*Devis[[#This Row],[Poste 6]]</f>
        <v>0</v>
      </c>
      <c r="AB436" s="74">
        <f>Devis[[#This Row],[Quantité Totale]]*Devis[[#This Row],[Prix de Revient]]</f>
        <v>0</v>
      </c>
    </row>
    <row r="437" spans="1:28" ht="14.25" outlineLevel="1" x14ac:dyDescent="0.2">
      <c r="A437" s="75" t="s">
        <v>120</v>
      </c>
      <c r="B437" s="76" t="s">
        <v>4670</v>
      </c>
      <c r="C437" s="76" t="s">
        <v>4676</v>
      </c>
      <c r="D437" s="81" t="str">
        <f t="shared" si="8"/>
        <v>CablageCOLSONS &amp; COLRINGSupport colson</v>
      </c>
      <c r="E437" s="76" t="s">
        <v>4677</v>
      </c>
      <c r="F437" s="81">
        <v>5</v>
      </c>
      <c r="G437" s="71">
        <v>31955</v>
      </c>
      <c r="H437" s="71"/>
      <c r="I437" s="71"/>
      <c r="J437" s="70">
        <f>IFERROR(VLOOKUP(Devis[[#This Row],[Ref Air Flux]],#REF!,3,FALSE),0)</f>
        <v>0</v>
      </c>
      <c r="K437" s="68"/>
      <c r="L437" s="68"/>
      <c r="M437" s="68"/>
      <c r="N437" s="68"/>
      <c r="O437" s="68"/>
      <c r="P437" s="68"/>
      <c r="Q437" s="68">
        <f>SUM(Devis[[#This Row],[Poste 1]:[Poste 6]])</f>
        <v>0</v>
      </c>
      <c r="R437" s="71"/>
      <c r="S437" s="68">
        <f>_xlfn.CEILING.MATH(Devis[[#This Row],[Quantité Totale]],Devis[[#This Row],[Conditionnement]])</f>
        <v>0</v>
      </c>
      <c r="T437" s="72"/>
      <c r="U437" s="73"/>
      <c r="V437" s="74">
        <f>Devis[[#This Row],[Prix de Revient]]*Devis[[#This Row],[Poste 1]]</f>
        <v>0</v>
      </c>
      <c r="W437" s="74">
        <f>Devis[[#This Row],[Prix de Revient]]*Devis[[#This Row],[Poste 2]]</f>
        <v>0</v>
      </c>
      <c r="X437" s="74">
        <f>Devis[[#This Row],[Prix de Revient]]*Devis[[#This Row],[Poste 3]]</f>
        <v>0</v>
      </c>
      <c r="Y437" s="74">
        <f>Devis[[#This Row],[Poste 4]]*Devis[[#This Row],[Prix de Revient]]</f>
        <v>0</v>
      </c>
      <c r="Z437" s="74">
        <f>Devis[[#This Row],[Poste 5]]*Devis[[#This Row],[Prix de Revient]]</f>
        <v>0</v>
      </c>
      <c r="AA437" s="74">
        <f>Devis[[#This Row],[Prix de Revient]]*Devis[[#This Row],[Poste 6]]</f>
        <v>0</v>
      </c>
      <c r="AB437" s="74">
        <f>Devis[[#This Row],[Quantité Totale]]*Devis[[#This Row],[Prix de Revient]]</f>
        <v>0</v>
      </c>
    </row>
    <row r="438" spans="1:28" ht="14.25" outlineLevel="1" x14ac:dyDescent="0.2">
      <c r="A438" s="75" t="s">
        <v>120</v>
      </c>
      <c r="B438" s="76" t="s">
        <v>4670</v>
      </c>
      <c r="C438" s="76" t="s">
        <v>4676</v>
      </c>
      <c r="D438" s="81" t="str">
        <f t="shared" si="8"/>
        <v>CablageCOLSONS &amp; COLRINGSupport colson</v>
      </c>
      <c r="E438" s="76" t="s">
        <v>4678</v>
      </c>
      <c r="F438" s="81">
        <v>6</v>
      </c>
      <c r="G438" s="71">
        <v>31950</v>
      </c>
      <c r="H438" s="71"/>
      <c r="I438" s="71"/>
      <c r="J438" s="70">
        <f>IFERROR(VLOOKUP(Devis[[#This Row],[Ref Air Flux]],#REF!,3,FALSE),0)</f>
        <v>0</v>
      </c>
      <c r="K438" s="68"/>
      <c r="L438" s="68"/>
      <c r="M438" s="68"/>
      <c r="N438" s="68"/>
      <c r="O438" s="68"/>
      <c r="P438" s="68"/>
      <c r="Q438" s="68">
        <f>SUM(Devis[[#This Row],[Poste 1]:[Poste 6]])</f>
        <v>0</v>
      </c>
      <c r="R438" s="71"/>
      <c r="S438" s="68">
        <f>_xlfn.CEILING.MATH(Devis[[#This Row],[Quantité Totale]],Devis[[#This Row],[Conditionnement]])</f>
        <v>0</v>
      </c>
      <c r="T438" s="72"/>
      <c r="U438" s="73"/>
      <c r="V438" s="74">
        <f>Devis[[#This Row],[Prix de Revient]]*Devis[[#This Row],[Poste 1]]</f>
        <v>0</v>
      </c>
      <c r="W438" s="74">
        <f>Devis[[#This Row],[Prix de Revient]]*Devis[[#This Row],[Poste 2]]</f>
        <v>0</v>
      </c>
      <c r="X438" s="74">
        <f>Devis[[#This Row],[Prix de Revient]]*Devis[[#This Row],[Poste 3]]</f>
        <v>0</v>
      </c>
      <c r="Y438" s="74">
        <f>Devis[[#This Row],[Poste 4]]*Devis[[#This Row],[Prix de Revient]]</f>
        <v>0</v>
      </c>
      <c r="Z438" s="74">
        <f>Devis[[#This Row],[Poste 5]]*Devis[[#This Row],[Prix de Revient]]</f>
        <v>0</v>
      </c>
      <c r="AA438" s="74">
        <f>Devis[[#This Row],[Prix de Revient]]*Devis[[#This Row],[Poste 6]]</f>
        <v>0</v>
      </c>
      <c r="AB438" s="74">
        <f>Devis[[#This Row],[Quantité Totale]]*Devis[[#This Row],[Prix de Revient]]</f>
        <v>0</v>
      </c>
    </row>
    <row r="439" spans="1:28" ht="14.25" outlineLevel="1" x14ac:dyDescent="0.2">
      <c r="A439" s="75" t="s">
        <v>120</v>
      </c>
      <c r="B439" s="76" t="s">
        <v>4670</v>
      </c>
      <c r="C439" s="76" t="s">
        <v>4671</v>
      </c>
      <c r="D439" s="81" t="str">
        <f t="shared" si="8"/>
        <v>CablageCOLSONS &amp; COLRINGCollier</v>
      </c>
      <c r="E439" s="76" t="s">
        <v>4679</v>
      </c>
      <c r="F439" s="81">
        <v>7</v>
      </c>
      <c r="G439" s="71"/>
      <c r="H439" s="71"/>
      <c r="I439" s="71"/>
      <c r="J439" s="70">
        <f>IFERROR(VLOOKUP(Devis[[#This Row],[Ref Air Flux]],#REF!,3,FALSE),0)</f>
        <v>0</v>
      </c>
      <c r="K439" s="68"/>
      <c r="L439" s="68"/>
      <c r="M439" s="68"/>
      <c r="N439" s="68"/>
      <c r="O439" s="68"/>
      <c r="P439" s="68"/>
      <c r="Q439" s="68">
        <f>SUM(Devis[[#This Row],[Poste 1]:[Poste 6]])</f>
        <v>0</v>
      </c>
      <c r="R439" s="71"/>
      <c r="S439" s="68">
        <f>_xlfn.CEILING.MATH(Devis[[#This Row],[Quantité Totale]],Devis[[#This Row],[Conditionnement]])</f>
        <v>0</v>
      </c>
      <c r="T439" s="72"/>
      <c r="U439" s="73"/>
      <c r="V439" s="74">
        <f>Devis[[#This Row],[Prix de Revient]]*Devis[[#This Row],[Poste 1]]</f>
        <v>0</v>
      </c>
      <c r="W439" s="74">
        <f>Devis[[#This Row],[Prix de Revient]]*Devis[[#This Row],[Poste 2]]</f>
        <v>0</v>
      </c>
      <c r="X439" s="74">
        <f>Devis[[#This Row],[Prix de Revient]]*Devis[[#This Row],[Poste 3]]</f>
        <v>0</v>
      </c>
      <c r="Y439" s="74">
        <f>Devis[[#This Row],[Poste 4]]*Devis[[#This Row],[Prix de Revient]]</f>
        <v>0</v>
      </c>
      <c r="Z439" s="74">
        <f>Devis[[#This Row],[Poste 5]]*Devis[[#This Row],[Prix de Revient]]</f>
        <v>0</v>
      </c>
      <c r="AA439" s="74">
        <f>Devis[[#This Row],[Prix de Revient]]*Devis[[#This Row],[Poste 6]]</f>
        <v>0</v>
      </c>
      <c r="AB439" s="74">
        <f>Devis[[#This Row],[Quantité Totale]]*Devis[[#This Row],[Prix de Revient]]</f>
        <v>0</v>
      </c>
    </row>
    <row r="440" spans="1:28" ht="14.25" outlineLevel="1" x14ac:dyDescent="0.2">
      <c r="A440" s="75" t="s">
        <v>120</v>
      </c>
      <c r="B440" s="76" t="s">
        <v>4670</v>
      </c>
      <c r="C440" s="76" t="s">
        <v>4671</v>
      </c>
      <c r="D440" s="81" t="str">
        <f t="shared" si="8"/>
        <v>CablageCOLSONS &amp; COLRINGCollier</v>
      </c>
      <c r="E440" s="76" t="s">
        <v>4680</v>
      </c>
      <c r="F440" s="81">
        <v>8</v>
      </c>
      <c r="G440" s="71">
        <v>32032</v>
      </c>
      <c r="H440" s="71"/>
      <c r="I440" s="71"/>
      <c r="J440" s="70">
        <f>IFERROR(VLOOKUP(Devis[[#This Row],[Ref Air Flux]],#REF!,3,FALSE),0)</f>
        <v>0</v>
      </c>
      <c r="K440" s="68"/>
      <c r="L440" s="68"/>
      <c r="M440" s="68"/>
      <c r="N440" s="68"/>
      <c r="O440" s="68"/>
      <c r="P440" s="68"/>
      <c r="Q440" s="68">
        <f>SUM(Devis[[#This Row],[Poste 1]:[Poste 6]])</f>
        <v>0</v>
      </c>
      <c r="R440" s="71"/>
      <c r="S440" s="68">
        <f>_xlfn.CEILING.MATH(Devis[[#This Row],[Quantité Totale]],Devis[[#This Row],[Conditionnement]])</f>
        <v>0</v>
      </c>
      <c r="T440" s="72"/>
      <c r="U440" s="73"/>
      <c r="V440" s="74">
        <f>Devis[[#This Row],[Prix de Revient]]*Devis[[#This Row],[Poste 1]]</f>
        <v>0</v>
      </c>
      <c r="W440" s="74">
        <f>Devis[[#This Row],[Prix de Revient]]*Devis[[#This Row],[Poste 2]]</f>
        <v>0</v>
      </c>
      <c r="X440" s="74">
        <f>Devis[[#This Row],[Prix de Revient]]*Devis[[#This Row],[Poste 3]]</f>
        <v>0</v>
      </c>
      <c r="Y440" s="74">
        <f>Devis[[#This Row],[Poste 4]]*Devis[[#This Row],[Prix de Revient]]</f>
        <v>0</v>
      </c>
      <c r="Z440" s="74">
        <f>Devis[[#This Row],[Poste 5]]*Devis[[#This Row],[Prix de Revient]]</f>
        <v>0</v>
      </c>
      <c r="AA440" s="74">
        <f>Devis[[#This Row],[Prix de Revient]]*Devis[[#This Row],[Poste 6]]</f>
        <v>0</v>
      </c>
      <c r="AB440" s="74">
        <f>Devis[[#This Row],[Quantité Totale]]*Devis[[#This Row],[Prix de Revient]]</f>
        <v>0</v>
      </c>
    </row>
    <row r="441" spans="1:28" ht="14.25" outlineLevel="1" x14ac:dyDescent="0.2">
      <c r="A441" s="75" t="s">
        <v>120</v>
      </c>
      <c r="B441" s="76" t="s">
        <v>4670</v>
      </c>
      <c r="C441" s="76" t="s">
        <v>4671</v>
      </c>
      <c r="D441" s="81" t="str">
        <f t="shared" si="8"/>
        <v>CablageCOLSONS &amp; COLRINGCollier</v>
      </c>
      <c r="E441" s="76" t="s">
        <v>4681</v>
      </c>
      <c r="F441" s="81">
        <v>9</v>
      </c>
      <c r="G441" s="71">
        <v>32038</v>
      </c>
      <c r="H441" s="71"/>
      <c r="I441" s="71"/>
      <c r="J441" s="70">
        <f>IFERROR(VLOOKUP(Devis[[#This Row],[Ref Air Flux]],#REF!,3,FALSE),0)</f>
        <v>0</v>
      </c>
      <c r="K441" s="68"/>
      <c r="L441" s="68"/>
      <c r="M441" s="68"/>
      <c r="N441" s="68"/>
      <c r="O441" s="68"/>
      <c r="P441" s="68"/>
      <c r="Q441" s="68">
        <f>SUM(Devis[[#This Row],[Poste 1]:[Poste 6]])</f>
        <v>0</v>
      </c>
      <c r="R441" s="71"/>
      <c r="S441" s="68">
        <f>_xlfn.CEILING.MATH(Devis[[#This Row],[Quantité Totale]],Devis[[#This Row],[Conditionnement]])</f>
        <v>0</v>
      </c>
      <c r="T441" s="72"/>
      <c r="U441" s="73" t="s">
        <v>6427</v>
      </c>
      <c r="V441" s="74">
        <f>Devis[[#This Row],[Prix de Revient]]*Devis[[#This Row],[Poste 1]]</f>
        <v>0</v>
      </c>
      <c r="W441" s="74">
        <f>Devis[[#This Row],[Prix de Revient]]*Devis[[#This Row],[Poste 2]]</f>
        <v>0</v>
      </c>
      <c r="X441" s="74">
        <f>Devis[[#This Row],[Prix de Revient]]*Devis[[#This Row],[Poste 3]]</f>
        <v>0</v>
      </c>
      <c r="Y441" s="74">
        <f>Devis[[#This Row],[Poste 4]]*Devis[[#This Row],[Prix de Revient]]</f>
        <v>0</v>
      </c>
      <c r="Z441" s="74">
        <f>Devis[[#This Row],[Poste 5]]*Devis[[#This Row],[Prix de Revient]]</f>
        <v>0</v>
      </c>
      <c r="AA441" s="74">
        <f>Devis[[#This Row],[Prix de Revient]]*Devis[[#This Row],[Poste 6]]</f>
        <v>0</v>
      </c>
      <c r="AB441" s="74">
        <f>Devis[[#This Row],[Quantité Totale]]*Devis[[#This Row],[Prix de Revient]]</f>
        <v>0</v>
      </c>
    </row>
    <row r="442" spans="1:28" ht="14.25" outlineLevel="1" x14ac:dyDescent="0.2">
      <c r="A442" s="75" t="s">
        <v>120</v>
      </c>
      <c r="B442" s="76" t="s">
        <v>4670</v>
      </c>
      <c r="C442" s="76" t="s">
        <v>4671</v>
      </c>
      <c r="D442" s="81" t="str">
        <f>A442&amp;B442&amp;C442</f>
        <v>CablageCOLSONS &amp; COLRINGCollier</v>
      </c>
      <c r="E442" s="76" t="s">
        <v>6425</v>
      </c>
      <c r="F442" s="76">
        <v>10</v>
      </c>
      <c r="G442" s="71" t="s">
        <v>6426</v>
      </c>
      <c r="H442" s="71" t="s">
        <v>3678</v>
      </c>
      <c r="I442" s="71" t="s">
        <v>6426</v>
      </c>
      <c r="J442" s="70">
        <f>IFERROR(VLOOKUP(Devis[[#This Row],[Ref Air Flux]],#REF!,3,FALSE),0)</f>
        <v>0</v>
      </c>
      <c r="K442" s="68"/>
      <c r="L442" s="68"/>
      <c r="M442" s="68"/>
      <c r="N442" s="68"/>
      <c r="O442" s="68"/>
      <c r="P442" s="68"/>
      <c r="Q442" s="68">
        <f>SUM(Devis[[#This Row],[Poste 1]:[Poste 6]])</f>
        <v>0</v>
      </c>
      <c r="R442" s="71"/>
      <c r="S442" s="68">
        <f>_xlfn.CEILING.MATH(Devis[[#This Row],[Quantité Totale]],Devis[[#This Row],[Conditionnement]])</f>
        <v>0</v>
      </c>
      <c r="T442" s="72"/>
      <c r="U442" s="73"/>
      <c r="V442" s="74">
        <f>Devis[[#This Row],[Prix de Revient]]*Devis[[#This Row],[Poste 1]]</f>
        <v>0</v>
      </c>
      <c r="W442" s="74">
        <f>Devis[[#This Row],[Prix de Revient]]*Devis[[#This Row],[Poste 2]]</f>
        <v>0</v>
      </c>
      <c r="X442" s="74">
        <f>Devis[[#This Row],[Prix de Revient]]*Devis[[#This Row],[Poste 3]]</f>
        <v>0</v>
      </c>
      <c r="Y442" s="74">
        <f>Devis[[#This Row],[Poste 4]]*Devis[[#This Row],[Prix de Revient]]</f>
        <v>0</v>
      </c>
      <c r="Z442" s="74">
        <f>Devis[[#This Row],[Poste 5]]*Devis[[#This Row],[Prix de Revient]]</f>
        <v>0</v>
      </c>
      <c r="AA442" s="74">
        <f>Devis[[#This Row],[Prix de Revient]]*Devis[[#This Row],[Poste 6]]</f>
        <v>0</v>
      </c>
      <c r="AB442" s="74">
        <f>Devis[[#This Row],[Quantité Totale]]*Devis[[#This Row],[Prix de Revient]]</f>
        <v>0</v>
      </c>
    </row>
    <row r="443" spans="1:28" ht="14.25" outlineLevel="1" x14ac:dyDescent="0.2">
      <c r="A443" s="75" t="s">
        <v>120</v>
      </c>
      <c r="B443" s="76" t="s">
        <v>4670</v>
      </c>
      <c r="C443" s="76" t="s">
        <v>4671</v>
      </c>
      <c r="D443" s="81" t="str">
        <f t="shared" si="8"/>
        <v>CablageCOLSONS &amp; COLRINGCollier</v>
      </c>
      <c r="E443" s="76" t="s">
        <v>4682</v>
      </c>
      <c r="F443" s="81">
        <v>11</v>
      </c>
      <c r="G443" s="71">
        <v>34023</v>
      </c>
      <c r="H443" s="71"/>
      <c r="I443" s="71"/>
      <c r="J443" s="70">
        <f>IFERROR(VLOOKUP(Devis[[#This Row],[Ref Air Flux]],#REF!,3,FALSE),0)</f>
        <v>0</v>
      </c>
      <c r="K443" s="68"/>
      <c r="L443" s="68"/>
      <c r="M443" s="68"/>
      <c r="N443" s="68"/>
      <c r="O443" s="68"/>
      <c r="P443" s="68"/>
      <c r="Q443" s="68">
        <f>SUM(Devis[[#This Row],[Poste 1]:[Poste 6]])</f>
        <v>0</v>
      </c>
      <c r="R443" s="71"/>
      <c r="S443" s="68">
        <f>_xlfn.CEILING.MATH(Devis[[#This Row],[Quantité Totale]],Devis[[#This Row],[Conditionnement]])</f>
        <v>0</v>
      </c>
      <c r="T443" s="72"/>
      <c r="U443" s="73"/>
      <c r="V443" s="74">
        <f>Devis[[#This Row],[Prix de Revient]]*Devis[[#This Row],[Poste 1]]</f>
        <v>0</v>
      </c>
      <c r="W443" s="74">
        <f>Devis[[#This Row],[Prix de Revient]]*Devis[[#This Row],[Poste 2]]</f>
        <v>0</v>
      </c>
      <c r="X443" s="74">
        <f>Devis[[#This Row],[Prix de Revient]]*Devis[[#This Row],[Poste 3]]</f>
        <v>0</v>
      </c>
      <c r="Y443" s="74">
        <f>Devis[[#This Row],[Poste 4]]*Devis[[#This Row],[Prix de Revient]]</f>
        <v>0</v>
      </c>
      <c r="Z443" s="74">
        <f>Devis[[#This Row],[Poste 5]]*Devis[[#This Row],[Prix de Revient]]</f>
        <v>0</v>
      </c>
      <c r="AA443" s="74">
        <f>Devis[[#This Row],[Prix de Revient]]*Devis[[#This Row],[Poste 6]]</f>
        <v>0</v>
      </c>
      <c r="AB443" s="74">
        <f>Devis[[#This Row],[Quantité Totale]]*Devis[[#This Row],[Prix de Revient]]</f>
        <v>0</v>
      </c>
    </row>
    <row r="444" spans="1:28" ht="14.25" outlineLevel="1" x14ac:dyDescent="0.2">
      <c r="A444" s="75" t="s">
        <v>120</v>
      </c>
      <c r="B444" s="76" t="s">
        <v>4670</v>
      </c>
      <c r="C444" s="76" t="s">
        <v>4683</v>
      </c>
      <c r="D444" s="81" t="str">
        <f t="shared" si="8"/>
        <v>CablageCOLSONS &amp; COLRINGSupport Colring</v>
      </c>
      <c r="E444" s="76" t="s">
        <v>4684</v>
      </c>
      <c r="F444" s="81">
        <v>12</v>
      </c>
      <c r="G444" s="71">
        <v>32065</v>
      </c>
      <c r="H444" s="71"/>
      <c r="I444" s="71"/>
      <c r="J444" s="70">
        <f>IFERROR(VLOOKUP(Devis[[#This Row],[Ref Air Flux]],#REF!,3,FALSE),0)</f>
        <v>0</v>
      </c>
      <c r="K444" s="68"/>
      <c r="L444" s="68"/>
      <c r="M444" s="68"/>
      <c r="N444" s="68"/>
      <c r="O444" s="68"/>
      <c r="P444" s="68"/>
      <c r="Q444" s="68">
        <f>SUM(Devis[[#This Row],[Poste 1]:[Poste 6]])</f>
        <v>0</v>
      </c>
      <c r="R444" s="71"/>
      <c r="S444" s="68">
        <f>_xlfn.CEILING.MATH(Devis[[#This Row],[Quantité Totale]],Devis[[#This Row],[Conditionnement]])</f>
        <v>0</v>
      </c>
      <c r="T444" s="72"/>
      <c r="U444" s="73"/>
      <c r="V444" s="74">
        <f>Devis[[#This Row],[Prix de Revient]]*Devis[[#This Row],[Poste 1]]</f>
        <v>0</v>
      </c>
      <c r="W444" s="74">
        <f>Devis[[#This Row],[Prix de Revient]]*Devis[[#This Row],[Poste 2]]</f>
        <v>0</v>
      </c>
      <c r="X444" s="74">
        <f>Devis[[#This Row],[Prix de Revient]]*Devis[[#This Row],[Poste 3]]</f>
        <v>0</v>
      </c>
      <c r="Y444" s="74">
        <f>Devis[[#This Row],[Poste 4]]*Devis[[#This Row],[Prix de Revient]]</f>
        <v>0</v>
      </c>
      <c r="Z444" s="74">
        <f>Devis[[#This Row],[Poste 5]]*Devis[[#This Row],[Prix de Revient]]</f>
        <v>0</v>
      </c>
      <c r="AA444" s="74">
        <f>Devis[[#This Row],[Prix de Revient]]*Devis[[#This Row],[Poste 6]]</f>
        <v>0</v>
      </c>
      <c r="AB444" s="74">
        <f>Devis[[#This Row],[Quantité Totale]]*Devis[[#This Row],[Prix de Revient]]</f>
        <v>0</v>
      </c>
    </row>
    <row r="445" spans="1:28" ht="14.25" customHeight="1" x14ac:dyDescent="0.25">
      <c r="A445" s="65" t="s">
        <v>120</v>
      </c>
      <c r="B445" s="65" t="s">
        <v>269</v>
      </c>
      <c r="C445" s="76"/>
      <c r="D445" s="81" t="str">
        <f t="shared" si="8"/>
        <v>CablageCosses pour cable cuivre</v>
      </c>
      <c r="E445" s="76"/>
      <c r="F445" s="81">
        <v>0</v>
      </c>
      <c r="G445" s="71"/>
      <c r="H445" s="71"/>
      <c r="I445" s="71"/>
      <c r="J445" s="70">
        <f>IFERROR(VLOOKUP(Devis[[#This Row],[Ref Air Flux]],#REF!,3,FALSE),0)</f>
        <v>0</v>
      </c>
      <c r="K445" s="68"/>
      <c r="L445" s="68"/>
      <c r="M445" s="68"/>
      <c r="N445" s="68"/>
      <c r="O445" s="68"/>
      <c r="P445" s="68"/>
      <c r="Q445" s="68">
        <f>SUM(Devis[[#This Row],[Poste 1]:[Poste 6]])</f>
        <v>0</v>
      </c>
      <c r="R445" s="71"/>
      <c r="S445" s="68">
        <f>_xlfn.CEILING.MATH(Devis[[#This Row],[Quantité Totale]],Devis[[#This Row],[Conditionnement]])</f>
        <v>0</v>
      </c>
      <c r="T445" s="72"/>
      <c r="U445" s="73"/>
      <c r="V445" s="74">
        <f>Devis[[#This Row],[Prix de Revient]]*Devis[[#This Row],[Poste 1]]</f>
        <v>0</v>
      </c>
      <c r="W445" s="74">
        <f>Devis[[#This Row],[Prix de Revient]]*Devis[[#This Row],[Poste 2]]</f>
        <v>0</v>
      </c>
      <c r="X445" s="74">
        <f>Devis[[#This Row],[Prix de Revient]]*Devis[[#This Row],[Poste 3]]</f>
        <v>0</v>
      </c>
      <c r="Y445" s="74">
        <f>Devis[[#This Row],[Poste 4]]*Devis[[#This Row],[Prix de Revient]]</f>
        <v>0</v>
      </c>
      <c r="Z445" s="74">
        <f>Devis[[#This Row],[Poste 5]]*Devis[[#This Row],[Prix de Revient]]</f>
        <v>0</v>
      </c>
      <c r="AA445" s="74">
        <f>Devis[[#This Row],[Prix de Revient]]*Devis[[#This Row],[Poste 6]]</f>
        <v>0</v>
      </c>
      <c r="AB445" s="74">
        <f>Devis[[#This Row],[Quantité Totale]]*Devis[[#This Row],[Prix de Revient]]</f>
        <v>0</v>
      </c>
    </row>
    <row r="446" spans="1:28" ht="15" customHeight="1" outlineLevel="1" x14ac:dyDescent="0.2">
      <c r="A446" s="75" t="s">
        <v>120</v>
      </c>
      <c r="B446" s="76" t="s">
        <v>269</v>
      </c>
      <c r="C446" s="76" t="s">
        <v>4586</v>
      </c>
      <c r="D446" s="81" t="str">
        <f t="shared" si="8"/>
        <v>CablageCosses pour cable cuivre65mm</v>
      </c>
      <c r="E446" s="93" t="s">
        <v>4587</v>
      </c>
      <c r="F446" s="81">
        <v>1</v>
      </c>
      <c r="G446" s="71" t="s">
        <v>270</v>
      </c>
      <c r="H446" s="71"/>
      <c r="I446" s="71"/>
      <c r="J446" s="70">
        <f>IFERROR(VLOOKUP(Devis[[#This Row],[Ref Air Flux]],#REF!,3,FALSE),0)</f>
        <v>0</v>
      </c>
      <c r="K446" s="68"/>
      <c r="L446" s="68"/>
      <c r="M446" s="68"/>
      <c r="N446" s="68"/>
      <c r="O446" s="68"/>
      <c r="P446" s="68"/>
      <c r="Q446" s="68">
        <f>SUM(Devis[[#This Row],[Poste 1]:[Poste 6]])</f>
        <v>0</v>
      </c>
      <c r="R446" s="71"/>
      <c r="S446" s="68">
        <f>_xlfn.CEILING.MATH(Devis[[#This Row],[Quantité Totale]],Devis[[#This Row],[Conditionnement]])</f>
        <v>0</v>
      </c>
      <c r="T446" s="72"/>
      <c r="U446" s="73"/>
      <c r="V446" s="74">
        <f>Devis[[#This Row],[Prix de Revient]]*Devis[[#This Row],[Poste 1]]</f>
        <v>0</v>
      </c>
      <c r="W446" s="74">
        <f>Devis[[#This Row],[Prix de Revient]]*Devis[[#This Row],[Poste 2]]</f>
        <v>0</v>
      </c>
      <c r="X446" s="74">
        <f>Devis[[#This Row],[Prix de Revient]]*Devis[[#This Row],[Poste 3]]</f>
        <v>0</v>
      </c>
      <c r="Y446" s="74">
        <f>Devis[[#This Row],[Poste 4]]*Devis[[#This Row],[Prix de Revient]]</f>
        <v>0</v>
      </c>
      <c r="Z446" s="74">
        <f>Devis[[#This Row],[Poste 5]]*Devis[[#This Row],[Prix de Revient]]</f>
        <v>0</v>
      </c>
      <c r="AA446" s="74">
        <f>Devis[[#This Row],[Prix de Revient]]*Devis[[#This Row],[Poste 6]]</f>
        <v>0</v>
      </c>
      <c r="AB446" s="74">
        <f>Devis[[#This Row],[Quantité Totale]]*Devis[[#This Row],[Prix de Revient]]</f>
        <v>0</v>
      </c>
    </row>
    <row r="447" spans="1:28" ht="14.25" outlineLevel="1" x14ac:dyDescent="0.2">
      <c r="A447" s="75" t="s">
        <v>120</v>
      </c>
      <c r="B447" s="76" t="s">
        <v>269</v>
      </c>
      <c r="C447" s="76" t="s">
        <v>4586</v>
      </c>
      <c r="D447" s="81" t="str">
        <f t="shared" si="8"/>
        <v>CablageCosses pour cable cuivre65mm</v>
      </c>
      <c r="E447" s="93" t="s">
        <v>4588</v>
      </c>
      <c r="F447" s="81">
        <v>2</v>
      </c>
      <c r="G447" s="71" t="s">
        <v>4589</v>
      </c>
      <c r="H447" s="79"/>
      <c r="I447" s="71"/>
      <c r="J447" s="70">
        <f>IFERROR(VLOOKUP(Devis[[#This Row],[Ref Air Flux]],#REF!,3,FALSE),0)</f>
        <v>0</v>
      </c>
      <c r="K447" s="68"/>
      <c r="L447" s="68"/>
      <c r="M447" s="68"/>
      <c r="N447" s="68"/>
      <c r="O447" s="68"/>
      <c r="P447" s="68"/>
      <c r="Q447" s="68">
        <f>SUM(Devis[[#This Row],[Poste 1]:[Poste 6]])</f>
        <v>0</v>
      </c>
      <c r="R447" s="71"/>
      <c r="S447" s="68">
        <f>_xlfn.CEILING.MATH(Devis[[#This Row],[Quantité Totale]],Devis[[#This Row],[Conditionnement]])</f>
        <v>0</v>
      </c>
      <c r="T447" s="72"/>
      <c r="U447" s="73"/>
      <c r="V447" s="74">
        <f>Devis[[#This Row],[Prix de Revient]]*Devis[[#This Row],[Poste 1]]</f>
        <v>0</v>
      </c>
      <c r="W447" s="74">
        <f>Devis[[#This Row],[Prix de Revient]]*Devis[[#This Row],[Poste 2]]</f>
        <v>0</v>
      </c>
      <c r="X447" s="74">
        <f>Devis[[#This Row],[Prix de Revient]]*Devis[[#This Row],[Poste 3]]</f>
        <v>0</v>
      </c>
      <c r="Y447" s="74">
        <f>Devis[[#This Row],[Poste 4]]*Devis[[#This Row],[Prix de Revient]]</f>
        <v>0</v>
      </c>
      <c r="Z447" s="74">
        <f>Devis[[#This Row],[Poste 5]]*Devis[[#This Row],[Prix de Revient]]</f>
        <v>0</v>
      </c>
      <c r="AA447" s="74">
        <f>Devis[[#This Row],[Prix de Revient]]*Devis[[#This Row],[Poste 6]]</f>
        <v>0</v>
      </c>
      <c r="AB447" s="74">
        <f>Devis[[#This Row],[Quantité Totale]]*Devis[[#This Row],[Prix de Revient]]</f>
        <v>0</v>
      </c>
    </row>
    <row r="448" spans="1:28" ht="14.25" outlineLevel="1" x14ac:dyDescent="0.2">
      <c r="A448" s="75" t="s">
        <v>120</v>
      </c>
      <c r="B448" s="76" t="s">
        <v>269</v>
      </c>
      <c r="C448" s="76" t="s">
        <v>4568</v>
      </c>
      <c r="D448" s="81" t="str">
        <f t="shared" si="8"/>
        <v>CablageCosses pour cable cuivre15mm</v>
      </c>
      <c r="E448" s="93" t="s">
        <v>4590</v>
      </c>
      <c r="F448" s="81">
        <v>3</v>
      </c>
      <c r="G448" s="71" t="s">
        <v>4591</v>
      </c>
      <c r="H448" s="79"/>
      <c r="I448" s="71"/>
      <c r="J448" s="70">
        <f>IFERROR(VLOOKUP(Devis[[#This Row],[Ref Air Flux]],#REF!,3,FALSE),0)</f>
        <v>0</v>
      </c>
      <c r="K448" s="68"/>
      <c r="L448" s="68"/>
      <c r="M448" s="68"/>
      <c r="N448" s="68"/>
      <c r="O448" s="68"/>
      <c r="P448" s="68"/>
      <c r="Q448" s="68">
        <f>SUM(Devis[[#This Row],[Poste 1]:[Poste 6]])</f>
        <v>0</v>
      </c>
      <c r="R448" s="71"/>
      <c r="S448" s="68">
        <f>_xlfn.CEILING.MATH(Devis[[#This Row],[Quantité Totale]],Devis[[#This Row],[Conditionnement]])</f>
        <v>0</v>
      </c>
      <c r="T448" s="72"/>
      <c r="U448" s="73"/>
      <c r="V448" s="74">
        <f>Devis[[#This Row],[Prix de Revient]]*Devis[[#This Row],[Poste 1]]</f>
        <v>0</v>
      </c>
      <c r="W448" s="74">
        <f>Devis[[#This Row],[Prix de Revient]]*Devis[[#This Row],[Poste 2]]</f>
        <v>0</v>
      </c>
      <c r="X448" s="74">
        <f>Devis[[#This Row],[Prix de Revient]]*Devis[[#This Row],[Poste 3]]</f>
        <v>0</v>
      </c>
      <c r="Y448" s="74">
        <f>Devis[[#This Row],[Poste 4]]*Devis[[#This Row],[Prix de Revient]]</f>
        <v>0</v>
      </c>
      <c r="Z448" s="74">
        <f>Devis[[#This Row],[Poste 5]]*Devis[[#This Row],[Prix de Revient]]</f>
        <v>0</v>
      </c>
      <c r="AA448" s="74">
        <f>Devis[[#This Row],[Prix de Revient]]*Devis[[#This Row],[Poste 6]]</f>
        <v>0</v>
      </c>
      <c r="AB448" s="74">
        <f>Devis[[#This Row],[Quantité Totale]]*Devis[[#This Row],[Prix de Revient]]</f>
        <v>0</v>
      </c>
    </row>
    <row r="449" spans="1:28" ht="14.25" outlineLevel="1" x14ac:dyDescent="0.2">
      <c r="A449" s="75" t="s">
        <v>120</v>
      </c>
      <c r="B449" s="76" t="s">
        <v>269</v>
      </c>
      <c r="C449" s="76" t="s">
        <v>4568</v>
      </c>
      <c r="D449" s="81" t="str">
        <f t="shared" si="8"/>
        <v>CablageCosses pour cable cuivre15mm</v>
      </c>
      <c r="E449" s="93" t="s">
        <v>4592</v>
      </c>
      <c r="F449" s="81">
        <v>4</v>
      </c>
      <c r="G449" s="71" t="s">
        <v>4593</v>
      </c>
      <c r="H449" s="79"/>
      <c r="I449" s="71"/>
      <c r="J449" s="70">
        <f>IFERROR(VLOOKUP(Devis[[#This Row],[Ref Air Flux]],#REF!,3,FALSE),0)</f>
        <v>0</v>
      </c>
      <c r="K449" s="68"/>
      <c r="L449" s="68"/>
      <c r="M449" s="68"/>
      <c r="N449" s="68"/>
      <c r="O449" s="68"/>
      <c r="P449" s="68"/>
      <c r="Q449" s="68">
        <f>SUM(Devis[[#This Row],[Poste 1]:[Poste 6]])</f>
        <v>0</v>
      </c>
      <c r="R449" s="71"/>
      <c r="S449" s="68">
        <f>_xlfn.CEILING.MATH(Devis[[#This Row],[Quantité Totale]],Devis[[#This Row],[Conditionnement]])</f>
        <v>0</v>
      </c>
      <c r="T449" s="72"/>
      <c r="U449" s="73"/>
      <c r="V449" s="74">
        <f>Devis[[#This Row],[Prix de Revient]]*Devis[[#This Row],[Poste 1]]</f>
        <v>0</v>
      </c>
      <c r="W449" s="74">
        <f>Devis[[#This Row],[Prix de Revient]]*Devis[[#This Row],[Poste 2]]</f>
        <v>0</v>
      </c>
      <c r="X449" s="74">
        <f>Devis[[#This Row],[Prix de Revient]]*Devis[[#This Row],[Poste 3]]</f>
        <v>0</v>
      </c>
      <c r="Y449" s="74">
        <f>Devis[[#This Row],[Poste 4]]*Devis[[#This Row],[Prix de Revient]]</f>
        <v>0</v>
      </c>
      <c r="Z449" s="74">
        <f>Devis[[#This Row],[Poste 5]]*Devis[[#This Row],[Prix de Revient]]</f>
        <v>0</v>
      </c>
      <c r="AA449" s="74">
        <f>Devis[[#This Row],[Prix de Revient]]*Devis[[#This Row],[Poste 6]]</f>
        <v>0</v>
      </c>
      <c r="AB449" s="74">
        <f>Devis[[#This Row],[Quantité Totale]]*Devis[[#This Row],[Prix de Revient]]</f>
        <v>0</v>
      </c>
    </row>
    <row r="450" spans="1:28" ht="14.25" outlineLevel="1" x14ac:dyDescent="0.2">
      <c r="A450" s="75" t="s">
        <v>120</v>
      </c>
      <c r="B450" s="76" t="s">
        <v>269</v>
      </c>
      <c r="C450" s="76" t="s">
        <v>4568</v>
      </c>
      <c r="D450" s="81" t="str">
        <f t="shared" si="8"/>
        <v>CablageCosses pour cable cuivre15mm</v>
      </c>
      <c r="E450" s="93" t="s">
        <v>4594</v>
      </c>
      <c r="F450" s="81">
        <v>5</v>
      </c>
      <c r="G450" s="71" t="s">
        <v>4595</v>
      </c>
      <c r="H450" s="79"/>
      <c r="I450" s="71"/>
      <c r="J450" s="70">
        <f>IFERROR(VLOOKUP(Devis[[#This Row],[Ref Air Flux]],#REF!,3,FALSE),0)</f>
        <v>0</v>
      </c>
      <c r="K450" s="68"/>
      <c r="L450" s="68"/>
      <c r="M450" s="68"/>
      <c r="N450" s="68"/>
      <c r="O450" s="68"/>
      <c r="P450" s="68"/>
      <c r="Q450" s="68">
        <f>SUM(Devis[[#This Row],[Poste 1]:[Poste 6]])</f>
        <v>0</v>
      </c>
      <c r="R450" s="71"/>
      <c r="S450" s="68">
        <f>_xlfn.CEILING.MATH(Devis[[#This Row],[Quantité Totale]],Devis[[#This Row],[Conditionnement]])</f>
        <v>0</v>
      </c>
      <c r="T450" s="72"/>
      <c r="U450" s="73"/>
      <c r="V450" s="74">
        <f>Devis[[#This Row],[Prix de Revient]]*Devis[[#This Row],[Poste 1]]</f>
        <v>0</v>
      </c>
      <c r="W450" s="74">
        <f>Devis[[#This Row],[Prix de Revient]]*Devis[[#This Row],[Poste 2]]</f>
        <v>0</v>
      </c>
      <c r="X450" s="74">
        <f>Devis[[#This Row],[Prix de Revient]]*Devis[[#This Row],[Poste 3]]</f>
        <v>0</v>
      </c>
      <c r="Y450" s="74">
        <f>Devis[[#This Row],[Poste 4]]*Devis[[#This Row],[Prix de Revient]]</f>
        <v>0</v>
      </c>
      <c r="Z450" s="74">
        <f>Devis[[#This Row],[Poste 5]]*Devis[[#This Row],[Prix de Revient]]</f>
        <v>0</v>
      </c>
      <c r="AA450" s="74">
        <f>Devis[[#This Row],[Prix de Revient]]*Devis[[#This Row],[Poste 6]]</f>
        <v>0</v>
      </c>
      <c r="AB450" s="74">
        <f>Devis[[#This Row],[Quantité Totale]]*Devis[[#This Row],[Prix de Revient]]</f>
        <v>0</v>
      </c>
    </row>
    <row r="451" spans="1:28" ht="14.25" outlineLevel="1" x14ac:dyDescent="0.2">
      <c r="A451" s="75" t="s">
        <v>120</v>
      </c>
      <c r="B451" s="76" t="s">
        <v>269</v>
      </c>
      <c r="C451" s="76" t="s">
        <v>4568</v>
      </c>
      <c r="D451" s="81" t="str">
        <f t="shared" si="8"/>
        <v>CablageCosses pour cable cuivre15mm</v>
      </c>
      <c r="E451" s="93" t="s">
        <v>4596</v>
      </c>
      <c r="F451" s="81">
        <v>6</v>
      </c>
      <c r="G451" s="71" t="s">
        <v>4597</v>
      </c>
      <c r="H451" s="79"/>
      <c r="I451" s="71"/>
      <c r="J451" s="70">
        <f>IFERROR(VLOOKUP(Devis[[#This Row],[Ref Air Flux]],#REF!,3,FALSE),0)</f>
        <v>0</v>
      </c>
      <c r="K451" s="68"/>
      <c r="L451" s="68"/>
      <c r="M451" s="68"/>
      <c r="N451" s="68"/>
      <c r="O451" s="68"/>
      <c r="P451" s="68"/>
      <c r="Q451" s="68">
        <f>SUM(Devis[[#This Row],[Poste 1]:[Poste 6]])</f>
        <v>0</v>
      </c>
      <c r="R451" s="71"/>
      <c r="S451" s="68">
        <f>_xlfn.CEILING.MATH(Devis[[#This Row],[Quantité Totale]],Devis[[#This Row],[Conditionnement]])</f>
        <v>0</v>
      </c>
      <c r="T451" s="72"/>
      <c r="U451" s="73"/>
      <c r="V451" s="74">
        <f>Devis[[#This Row],[Prix de Revient]]*Devis[[#This Row],[Poste 1]]</f>
        <v>0</v>
      </c>
      <c r="W451" s="74">
        <f>Devis[[#This Row],[Prix de Revient]]*Devis[[#This Row],[Poste 2]]</f>
        <v>0</v>
      </c>
      <c r="X451" s="74">
        <f>Devis[[#This Row],[Prix de Revient]]*Devis[[#This Row],[Poste 3]]</f>
        <v>0</v>
      </c>
      <c r="Y451" s="74">
        <f>Devis[[#This Row],[Poste 4]]*Devis[[#This Row],[Prix de Revient]]</f>
        <v>0</v>
      </c>
      <c r="Z451" s="74">
        <f>Devis[[#This Row],[Poste 5]]*Devis[[#This Row],[Prix de Revient]]</f>
        <v>0</v>
      </c>
      <c r="AA451" s="74">
        <f>Devis[[#This Row],[Prix de Revient]]*Devis[[#This Row],[Poste 6]]</f>
        <v>0</v>
      </c>
      <c r="AB451" s="74">
        <f>Devis[[#This Row],[Quantité Totale]]*Devis[[#This Row],[Prix de Revient]]</f>
        <v>0</v>
      </c>
    </row>
    <row r="452" spans="1:28" ht="14.25" outlineLevel="1" x14ac:dyDescent="0.2">
      <c r="A452" s="75" t="s">
        <v>120</v>
      </c>
      <c r="B452" s="76" t="s">
        <v>269</v>
      </c>
      <c r="C452" s="76" t="s">
        <v>4568</v>
      </c>
      <c r="D452" s="81" t="str">
        <f t="shared" si="8"/>
        <v>CablageCosses pour cable cuivre15mm</v>
      </c>
      <c r="E452" s="93" t="s">
        <v>4598</v>
      </c>
      <c r="F452" s="81">
        <v>7</v>
      </c>
      <c r="G452" s="71" t="s">
        <v>4599</v>
      </c>
      <c r="H452" s="71"/>
      <c r="I452" s="71"/>
      <c r="J452" s="70">
        <f>IFERROR(VLOOKUP(Devis[[#This Row],[Ref Air Flux]],#REF!,3,FALSE),0)</f>
        <v>0</v>
      </c>
      <c r="K452" s="68"/>
      <c r="L452" s="68"/>
      <c r="M452" s="68"/>
      <c r="N452" s="68"/>
      <c r="O452" s="68"/>
      <c r="P452" s="68"/>
      <c r="Q452" s="68">
        <f>SUM(Devis[[#This Row],[Poste 1]:[Poste 6]])</f>
        <v>0</v>
      </c>
      <c r="R452" s="71"/>
      <c r="S452" s="68">
        <f>_xlfn.CEILING.MATH(Devis[[#This Row],[Quantité Totale]],Devis[[#This Row],[Conditionnement]])</f>
        <v>0</v>
      </c>
      <c r="T452" s="72"/>
      <c r="U452" s="73"/>
      <c r="V452" s="74">
        <f>Devis[[#This Row],[Prix de Revient]]*Devis[[#This Row],[Poste 1]]</f>
        <v>0</v>
      </c>
      <c r="W452" s="74">
        <f>Devis[[#This Row],[Prix de Revient]]*Devis[[#This Row],[Poste 2]]</f>
        <v>0</v>
      </c>
      <c r="X452" s="74">
        <f>Devis[[#This Row],[Prix de Revient]]*Devis[[#This Row],[Poste 3]]</f>
        <v>0</v>
      </c>
      <c r="Y452" s="74">
        <f>Devis[[#This Row],[Poste 4]]*Devis[[#This Row],[Prix de Revient]]</f>
        <v>0</v>
      </c>
      <c r="Z452" s="74">
        <f>Devis[[#This Row],[Poste 5]]*Devis[[#This Row],[Prix de Revient]]</f>
        <v>0</v>
      </c>
      <c r="AA452" s="74">
        <f>Devis[[#This Row],[Prix de Revient]]*Devis[[#This Row],[Poste 6]]</f>
        <v>0</v>
      </c>
      <c r="AB452" s="74">
        <f>Devis[[#This Row],[Quantité Totale]]*Devis[[#This Row],[Prix de Revient]]</f>
        <v>0</v>
      </c>
    </row>
    <row r="453" spans="1:28" ht="14.25" outlineLevel="1" x14ac:dyDescent="0.2">
      <c r="A453" s="75" t="s">
        <v>120</v>
      </c>
      <c r="B453" s="76" t="s">
        <v>269</v>
      </c>
      <c r="C453" s="76" t="s">
        <v>4600</v>
      </c>
      <c r="D453" s="81" t="str">
        <f t="shared" si="8"/>
        <v>CablageCosses pour cable cuivre25mm</v>
      </c>
      <c r="E453" s="93" t="s">
        <v>4601</v>
      </c>
      <c r="F453" s="81">
        <v>8</v>
      </c>
      <c r="G453" s="71" t="s">
        <v>4602</v>
      </c>
      <c r="H453" s="71"/>
      <c r="I453" s="71"/>
      <c r="J453" s="70">
        <f>IFERROR(VLOOKUP(Devis[[#This Row],[Ref Air Flux]],#REF!,3,FALSE),0)</f>
        <v>0</v>
      </c>
      <c r="K453" s="68"/>
      <c r="L453" s="68"/>
      <c r="M453" s="68"/>
      <c r="N453" s="68"/>
      <c r="O453" s="68"/>
      <c r="P453" s="68"/>
      <c r="Q453" s="68">
        <f>SUM(Devis[[#This Row],[Poste 1]:[Poste 6]])</f>
        <v>0</v>
      </c>
      <c r="R453" s="71"/>
      <c r="S453" s="68">
        <f>_xlfn.CEILING.MATH(Devis[[#This Row],[Quantité Totale]],Devis[[#This Row],[Conditionnement]])</f>
        <v>0</v>
      </c>
      <c r="T453" s="72"/>
      <c r="U453" s="73"/>
      <c r="V453" s="74">
        <f>Devis[[#This Row],[Prix de Revient]]*Devis[[#This Row],[Poste 1]]</f>
        <v>0</v>
      </c>
      <c r="W453" s="74">
        <f>Devis[[#This Row],[Prix de Revient]]*Devis[[#This Row],[Poste 2]]</f>
        <v>0</v>
      </c>
      <c r="X453" s="74">
        <f>Devis[[#This Row],[Prix de Revient]]*Devis[[#This Row],[Poste 3]]</f>
        <v>0</v>
      </c>
      <c r="Y453" s="74">
        <f>Devis[[#This Row],[Poste 4]]*Devis[[#This Row],[Prix de Revient]]</f>
        <v>0</v>
      </c>
      <c r="Z453" s="74">
        <f>Devis[[#This Row],[Poste 5]]*Devis[[#This Row],[Prix de Revient]]</f>
        <v>0</v>
      </c>
      <c r="AA453" s="74">
        <f>Devis[[#This Row],[Prix de Revient]]*Devis[[#This Row],[Poste 6]]</f>
        <v>0</v>
      </c>
      <c r="AB453" s="74">
        <f>Devis[[#This Row],[Quantité Totale]]*Devis[[#This Row],[Prix de Revient]]</f>
        <v>0</v>
      </c>
    </row>
    <row r="454" spans="1:28" ht="14.25" outlineLevel="1" x14ac:dyDescent="0.2">
      <c r="A454" s="75" t="s">
        <v>120</v>
      </c>
      <c r="B454" s="76" t="s">
        <v>269</v>
      </c>
      <c r="C454" s="76" t="s">
        <v>4600</v>
      </c>
      <c r="D454" s="81" t="str">
        <f t="shared" si="8"/>
        <v>CablageCosses pour cable cuivre25mm</v>
      </c>
      <c r="E454" s="93" t="s">
        <v>4603</v>
      </c>
      <c r="F454" s="81">
        <v>9</v>
      </c>
      <c r="G454" s="71" t="s">
        <v>271</v>
      </c>
      <c r="H454" s="79"/>
      <c r="I454" s="71"/>
      <c r="J454" s="70">
        <f>IFERROR(VLOOKUP(Devis[[#This Row],[Ref Air Flux]],#REF!,3,FALSE),0)</f>
        <v>0</v>
      </c>
      <c r="K454" s="68"/>
      <c r="L454" s="68"/>
      <c r="M454" s="68"/>
      <c r="N454" s="68"/>
      <c r="O454" s="68"/>
      <c r="P454" s="68"/>
      <c r="Q454" s="68">
        <f>SUM(Devis[[#This Row],[Poste 1]:[Poste 6]])</f>
        <v>0</v>
      </c>
      <c r="R454" s="71"/>
      <c r="S454" s="68">
        <f>_xlfn.CEILING.MATH(Devis[[#This Row],[Quantité Totale]],Devis[[#This Row],[Conditionnement]])</f>
        <v>0</v>
      </c>
      <c r="T454" s="72"/>
      <c r="U454" s="73"/>
      <c r="V454" s="74">
        <f>Devis[[#This Row],[Prix de Revient]]*Devis[[#This Row],[Poste 1]]</f>
        <v>0</v>
      </c>
      <c r="W454" s="74">
        <f>Devis[[#This Row],[Prix de Revient]]*Devis[[#This Row],[Poste 2]]</f>
        <v>0</v>
      </c>
      <c r="X454" s="74">
        <f>Devis[[#This Row],[Prix de Revient]]*Devis[[#This Row],[Poste 3]]</f>
        <v>0</v>
      </c>
      <c r="Y454" s="74">
        <f>Devis[[#This Row],[Poste 4]]*Devis[[#This Row],[Prix de Revient]]</f>
        <v>0</v>
      </c>
      <c r="Z454" s="74">
        <f>Devis[[#This Row],[Poste 5]]*Devis[[#This Row],[Prix de Revient]]</f>
        <v>0</v>
      </c>
      <c r="AA454" s="74">
        <f>Devis[[#This Row],[Prix de Revient]]*Devis[[#This Row],[Poste 6]]</f>
        <v>0</v>
      </c>
      <c r="AB454" s="74">
        <f>Devis[[#This Row],[Quantité Totale]]*Devis[[#This Row],[Prix de Revient]]</f>
        <v>0</v>
      </c>
    </row>
    <row r="455" spans="1:28" ht="14.25" outlineLevel="1" x14ac:dyDescent="0.2">
      <c r="A455" s="75" t="s">
        <v>120</v>
      </c>
      <c r="B455" s="76" t="s">
        <v>269</v>
      </c>
      <c r="C455" s="76" t="s">
        <v>4600</v>
      </c>
      <c r="D455" s="81" t="str">
        <f t="shared" si="8"/>
        <v>CablageCosses pour cable cuivre25mm</v>
      </c>
      <c r="E455" s="93" t="s">
        <v>4604</v>
      </c>
      <c r="F455" s="81">
        <v>10</v>
      </c>
      <c r="G455" s="71" t="s">
        <v>272</v>
      </c>
      <c r="H455" s="79"/>
      <c r="I455" s="71"/>
      <c r="J455" s="70">
        <f>IFERROR(VLOOKUP(Devis[[#This Row],[Ref Air Flux]],#REF!,3,FALSE),0)</f>
        <v>0</v>
      </c>
      <c r="K455" s="68"/>
      <c r="L455" s="68"/>
      <c r="M455" s="68"/>
      <c r="N455" s="68"/>
      <c r="O455" s="68"/>
      <c r="P455" s="68"/>
      <c r="Q455" s="68">
        <f>SUM(Devis[[#This Row],[Poste 1]:[Poste 6]])</f>
        <v>0</v>
      </c>
      <c r="R455" s="71"/>
      <c r="S455" s="68">
        <f>_xlfn.CEILING.MATH(Devis[[#This Row],[Quantité Totale]],Devis[[#This Row],[Conditionnement]])</f>
        <v>0</v>
      </c>
      <c r="T455" s="72"/>
      <c r="U455" s="73"/>
      <c r="V455" s="74">
        <f>Devis[[#This Row],[Prix de Revient]]*Devis[[#This Row],[Poste 1]]</f>
        <v>0</v>
      </c>
      <c r="W455" s="74">
        <f>Devis[[#This Row],[Prix de Revient]]*Devis[[#This Row],[Poste 2]]</f>
        <v>0</v>
      </c>
      <c r="X455" s="74">
        <f>Devis[[#This Row],[Prix de Revient]]*Devis[[#This Row],[Poste 3]]</f>
        <v>0</v>
      </c>
      <c r="Y455" s="74">
        <f>Devis[[#This Row],[Poste 4]]*Devis[[#This Row],[Prix de Revient]]</f>
        <v>0</v>
      </c>
      <c r="Z455" s="74">
        <f>Devis[[#This Row],[Poste 5]]*Devis[[#This Row],[Prix de Revient]]</f>
        <v>0</v>
      </c>
      <c r="AA455" s="74">
        <f>Devis[[#This Row],[Prix de Revient]]*Devis[[#This Row],[Poste 6]]</f>
        <v>0</v>
      </c>
      <c r="AB455" s="74">
        <f>Devis[[#This Row],[Quantité Totale]]*Devis[[#This Row],[Prix de Revient]]</f>
        <v>0</v>
      </c>
    </row>
    <row r="456" spans="1:28" ht="14.25" outlineLevel="1" x14ac:dyDescent="0.2">
      <c r="A456" s="75" t="s">
        <v>120</v>
      </c>
      <c r="B456" s="76" t="s">
        <v>269</v>
      </c>
      <c r="C456" s="76" t="s">
        <v>4565</v>
      </c>
      <c r="D456" s="81" t="str">
        <f t="shared" si="8"/>
        <v>CablageCosses pour cable cuivre35mm</v>
      </c>
      <c r="E456" s="93" t="s">
        <v>4605</v>
      </c>
      <c r="F456" s="81">
        <v>11</v>
      </c>
      <c r="G456" s="71" t="s">
        <v>273</v>
      </c>
      <c r="H456" s="79"/>
      <c r="I456" s="71"/>
      <c r="J456" s="70">
        <f>IFERROR(VLOOKUP(Devis[[#This Row],[Ref Air Flux]],#REF!,3,FALSE),0)</f>
        <v>0</v>
      </c>
      <c r="K456" s="68"/>
      <c r="L456" s="68"/>
      <c r="M456" s="68"/>
      <c r="N456" s="68"/>
      <c r="O456" s="68"/>
      <c r="P456" s="68"/>
      <c r="Q456" s="68">
        <f>SUM(Devis[[#This Row],[Poste 1]:[Poste 6]])</f>
        <v>0</v>
      </c>
      <c r="R456" s="71"/>
      <c r="S456" s="68">
        <f>_xlfn.CEILING.MATH(Devis[[#This Row],[Quantité Totale]],Devis[[#This Row],[Conditionnement]])</f>
        <v>0</v>
      </c>
      <c r="T456" s="72"/>
      <c r="U456" s="73"/>
      <c r="V456" s="74">
        <f>Devis[[#This Row],[Prix de Revient]]*Devis[[#This Row],[Poste 1]]</f>
        <v>0</v>
      </c>
      <c r="W456" s="74">
        <f>Devis[[#This Row],[Prix de Revient]]*Devis[[#This Row],[Poste 2]]</f>
        <v>0</v>
      </c>
      <c r="X456" s="74">
        <f>Devis[[#This Row],[Prix de Revient]]*Devis[[#This Row],[Poste 3]]</f>
        <v>0</v>
      </c>
      <c r="Y456" s="74">
        <f>Devis[[#This Row],[Poste 4]]*Devis[[#This Row],[Prix de Revient]]</f>
        <v>0</v>
      </c>
      <c r="Z456" s="74">
        <f>Devis[[#This Row],[Poste 5]]*Devis[[#This Row],[Prix de Revient]]</f>
        <v>0</v>
      </c>
      <c r="AA456" s="74">
        <f>Devis[[#This Row],[Prix de Revient]]*Devis[[#This Row],[Poste 6]]</f>
        <v>0</v>
      </c>
      <c r="AB456" s="74">
        <f>Devis[[#This Row],[Quantité Totale]]*Devis[[#This Row],[Prix de Revient]]</f>
        <v>0</v>
      </c>
    </row>
    <row r="457" spans="1:28" ht="14.25" outlineLevel="1" x14ac:dyDescent="0.2">
      <c r="A457" s="75" t="s">
        <v>120</v>
      </c>
      <c r="B457" s="76" t="s">
        <v>269</v>
      </c>
      <c r="C457" s="76" t="s">
        <v>4565</v>
      </c>
      <c r="D457" s="81" t="str">
        <f t="shared" si="8"/>
        <v>CablageCosses pour cable cuivre35mm</v>
      </c>
      <c r="E457" s="93" t="s">
        <v>4606</v>
      </c>
      <c r="F457" s="81">
        <v>12</v>
      </c>
      <c r="G457" s="71" t="s">
        <v>274</v>
      </c>
      <c r="H457" s="79"/>
      <c r="I457" s="71"/>
      <c r="J457" s="70">
        <f>IFERROR(VLOOKUP(Devis[[#This Row],[Ref Air Flux]],#REF!,3,FALSE),0)</f>
        <v>0</v>
      </c>
      <c r="K457" s="68"/>
      <c r="L457" s="68"/>
      <c r="M457" s="68"/>
      <c r="N457" s="68"/>
      <c r="O457" s="68"/>
      <c r="P457" s="68"/>
      <c r="Q457" s="68">
        <f>SUM(Devis[[#This Row],[Poste 1]:[Poste 6]])</f>
        <v>0</v>
      </c>
      <c r="R457" s="71"/>
      <c r="S457" s="68">
        <f>_xlfn.CEILING.MATH(Devis[[#This Row],[Quantité Totale]],Devis[[#This Row],[Conditionnement]])</f>
        <v>0</v>
      </c>
      <c r="T457" s="72"/>
      <c r="U457" s="73"/>
      <c r="V457" s="74">
        <f>Devis[[#This Row],[Prix de Revient]]*Devis[[#This Row],[Poste 1]]</f>
        <v>0</v>
      </c>
      <c r="W457" s="74">
        <f>Devis[[#This Row],[Prix de Revient]]*Devis[[#This Row],[Poste 2]]</f>
        <v>0</v>
      </c>
      <c r="X457" s="74">
        <f>Devis[[#This Row],[Prix de Revient]]*Devis[[#This Row],[Poste 3]]</f>
        <v>0</v>
      </c>
      <c r="Y457" s="74">
        <f>Devis[[#This Row],[Poste 4]]*Devis[[#This Row],[Prix de Revient]]</f>
        <v>0</v>
      </c>
      <c r="Z457" s="74">
        <f>Devis[[#This Row],[Poste 5]]*Devis[[#This Row],[Prix de Revient]]</f>
        <v>0</v>
      </c>
      <c r="AA457" s="74">
        <f>Devis[[#This Row],[Prix de Revient]]*Devis[[#This Row],[Poste 6]]</f>
        <v>0</v>
      </c>
      <c r="AB457" s="74">
        <f>Devis[[#This Row],[Quantité Totale]]*Devis[[#This Row],[Prix de Revient]]</f>
        <v>0</v>
      </c>
    </row>
    <row r="458" spans="1:28" ht="15" customHeight="1" outlineLevel="1" x14ac:dyDescent="0.2">
      <c r="A458" s="75" t="s">
        <v>120</v>
      </c>
      <c r="B458" s="76" t="s">
        <v>269</v>
      </c>
      <c r="C458" s="76" t="s">
        <v>4607</v>
      </c>
      <c r="D458" s="81" t="str">
        <f t="shared" si="8"/>
        <v>CablageCosses pour cable cuivre55mm</v>
      </c>
      <c r="E458" s="93" t="s">
        <v>4608</v>
      </c>
      <c r="F458" s="81">
        <v>13</v>
      </c>
      <c r="G458" s="71" t="s">
        <v>4609</v>
      </c>
      <c r="H458" s="79"/>
      <c r="I458" s="71"/>
      <c r="J458" s="70">
        <f>IFERROR(VLOOKUP(Devis[[#This Row],[Ref Air Flux]],#REF!,3,FALSE),0)</f>
        <v>0</v>
      </c>
      <c r="K458" s="68"/>
      <c r="L458" s="68"/>
      <c r="M458" s="68"/>
      <c r="N458" s="68"/>
      <c r="O458" s="68"/>
      <c r="P458" s="68"/>
      <c r="Q458" s="68">
        <f>SUM(Devis[[#This Row],[Poste 1]:[Poste 6]])</f>
        <v>0</v>
      </c>
      <c r="R458" s="71"/>
      <c r="S458" s="68">
        <f>_xlfn.CEILING.MATH(Devis[[#This Row],[Quantité Totale]],Devis[[#This Row],[Conditionnement]])</f>
        <v>0</v>
      </c>
      <c r="T458" s="72"/>
      <c r="U458" s="73"/>
      <c r="V458" s="74">
        <f>Devis[[#This Row],[Prix de Revient]]*Devis[[#This Row],[Poste 1]]</f>
        <v>0</v>
      </c>
      <c r="W458" s="74">
        <f>Devis[[#This Row],[Prix de Revient]]*Devis[[#This Row],[Poste 2]]</f>
        <v>0</v>
      </c>
      <c r="X458" s="74">
        <f>Devis[[#This Row],[Prix de Revient]]*Devis[[#This Row],[Poste 3]]</f>
        <v>0</v>
      </c>
      <c r="Y458" s="74">
        <f>Devis[[#This Row],[Poste 4]]*Devis[[#This Row],[Prix de Revient]]</f>
        <v>0</v>
      </c>
      <c r="Z458" s="74">
        <f>Devis[[#This Row],[Poste 5]]*Devis[[#This Row],[Prix de Revient]]</f>
        <v>0</v>
      </c>
      <c r="AA458" s="74">
        <f>Devis[[#This Row],[Prix de Revient]]*Devis[[#This Row],[Poste 6]]</f>
        <v>0</v>
      </c>
      <c r="AB458" s="74">
        <f>Devis[[#This Row],[Quantité Totale]]*Devis[[#This Row],[Prix de Revient]]</f>
        <v>0</v>
      </c>
    </row>
    <row r="459" spans="1:28" ht="14.25" outlineLevel="1" x14ac:dyDescent="0.2">
      <c r="A459" s="75" t="s">
        <v>120</v>
      </c>
      <c r="B459" s="76" t="s">
        <v>269</v>
      </c>
      <c r="C459" s="76" t="s">
        <v>4607</v>
      </c>
      <c r="D459" s="81" t="str">
        <f t="shared" si="8"/>
        <v>CablageCosses pour cable cuivre55mm</v>
      </c>
      <c r="E459" s="93" t="s">
        <v>4610</v>
      </c>
      <c r="F459" s="81">
        <v>14</v>
      </c>
      <c r="G459" s="71" t="s">
        <v>4611</v>
      </c>
      <c r="H459" s="79"/>
      <c r="I459" s="71"/>
      <c r="J459" s="70">
        <f>IFERROR(VLOOKUP(Devis[[#This Row],[Ref Air Flux]],#REF!,3,FALSE),0)</f>
        <v>0</v>
      </c>
      <c r="K459" s="68"/>
      <c r="L459" s="68"/>
      <c r="M459" s="68"/>
      <c r="N459" s="68"/>
      <c r="O459" s="68"/>
      <c r="P459" s="68"/>
      <c r="Q459" s="68">
        <f>SUM(Devis[[#This Row],[Poste 1]:[Poste 6]])</f>
        <v>0</v>
      </c>
      <c r="R459" s="71"/>
      <c r="S459" s="68">
        <f>_xlfn.CEILING.MATH(Devis[[#This Row],[Quantité Totale]],Devis[[#This Row],[Conditionnement]])</f>
        <v>0</v>
      </c>
      <c r="T459" s="72"/>
      <c r="U459" s="73"/>
      <c r="V459" s="74">
        <f>Devis[[#This Row],[Prix de Revient]]*Devis[[#This Row],[Poste 1]]</f>
        <v>0</v>
      </c>
      <c r="W459" s="74">
        <f>Devis[[#This Row],[Prix de Revient]]*Devis[[#This Row],[Poste 2]]</f>
        <v>0</v>
      </c>
      <c r="X459" s="74">
        <f>Devis[[#This Row],[Prix de Revient]]*Devis[[#This Row],[Poste 3]]</f>
        <v>0</v>
      </c>
      <c r="Y459" s="74">
        <f>Devis[[#This Row],[Poste 4]]*Devis[[#This Row],[Prix de Revient]]</f>
        <v>0</v>
      </c>
      <c r="Z459" s="74">
        <f>Devis[[#This Row],[Poste 5]]*Devis[[#This Row],[Prix de Revient]]</f>
        <v>0</v>
      </c>
      <c r="AA459" s="74">
        <f>Devis[[#This Row],[Prix de Revient]]*Devis[[#This Row],[Poste 6]]</f>
        <v>0</v>
      </c>
      <c r="AB459" s="74">
        <f>Devis[[#This Row],[Quantité Totale]]*Devis[[#This Row],[Prix de Revient]]</f>
        <v>0</v>
      </c>
    </row>
    <row r="460" spans="1:28" ht="14.25" outlineLevel="1" x14ac:dyDescent="0.2">
      <c r="A460" s="75" t="s">
        <v>120</v>
      </c>
      <c r="B460" s="76" t="s">
        <v>269</v>
      </c>
      <c r="C460" s="76" t="s">
        <v>4607</v>
      </c>
      <c r="D460" s="81" t="str">
        <f t="shared" si="8"/>
        <v>CablageCosses pour cable cuivre55mm</v>
      </c>
      <c r="E460" s="93" t="s">
        <v>4612</v>
      </c>
      <c r="F460" s="81">
        <v>15</v>
      </c>
      <c r="G460" s="71" t="s">
        <v>4613</v>
      </c>
      <c r="H460" s="71"/>
      <c r="I460" s="71"/>
      <c r="J460" s="70">
        <f>IFERROR(VLOOKUP(Devis[[#This Row],[Ref Air Flux]],#REF!,3,FALSE),0)</f>
        <v>0</v>
      </c>
      <c r="K460" s="68"/>
      <c r="L460" s="68"/>
      <c r="M460" s="68"/>
      <c r="N460" s="68"/>
      <c r="O460" s="68"/>
      <c r="P460" s="68"/>
      <c r="Q460" s="68">
        <f>SUM(Devis[[#This Row],[Poste 1]:[Poste 6]])</f>
        <v>0</v>
      </c>
      <c r="R460" s="71"/>
      <c r="S460" s="68">
        <f>_xlfn.CEILING.MATH(Devis[[#This Row],[Quantité Totale]],Devis[[#This Row],[Conditionnement]])</f>
        <v>0</v>
      </c>
      <c r="T460" s="72"/>
      <c r="U460" s="73"/>
      <c r="V460" s="74">
        <f>Devis[[#This Row],[Prix de Revient]]*Devis[[#This Row],[Poste 1]]</f>
        <v>0</v>
      </c>
      <c r="W460" s="74">
        <f>Devis[[#This Row],[Prix de Revient]]*Devis[[#This Row],[Poste 2]]</f>
        <v>0</v>
      </c>
      <c r="X460" s="74">
        <f>Devis[[#This Row],[Prix de Revient]]*Devis[[#This Row],[Poste 3]]</f>
        <v>0</v>
      </c>
      <c r="Y460" s="74">
        <f>Devis[[#This Row],[Poste 4]]*Devis[[#This Row],[Prix de Revient]]</f>
        <v>0</v>
      </c>
      <c r="Z460" s="74">
        <f>Devis[[#This Row],[Poste 5]]*Devis[[#This Row],[Prix de Revient]]</f>
        <v>0</v>
      </c>
      <c r="AA460" s="74">
        <f>Devis[[#This Row],[Prix de Revient]]*Devis[[#This Row],[Poste 6]]</f>
        <v>0</v>
      </c>
      <c r="AB460" s="74">
        <f>Devis[[#This Row],[Quantité Totale]]*Devis[[#This Row],[Prix de Revient]]</f>
        <v>0</v>
      </c>
    </row>
    <row r="461" spans="1:28" ht="14.25" outlineLevel="1" x14ac:dyDescent="0.2">
      <c r="A461" s="75" t="s">
        <v>120</v>
      </c>
      <c r="B461" s="76" t="s">
        <v>269</v>
      </c>
      <c r="C461" s="76" t="s">
        <v>4614</v>
      </c>
      <c r="D461" s="81" t="str">
        <f t="shared" si="8"/>
        <v>CablageCosses pour cable cuivre75mm</v>
      </c>
      <c r="E461" s="93" t="s">
        <v>4615</v>
      </c>
      <c r="F461" s="81">
        <v>16</v>
      </c>
      <c r="G461" s="71" t="s">
        <v>275</v>
      </c>
      <c r="H461" s="79"/>
      <c r="I461" s="71"/>
      <c r="J461" s="70">
        <f>IFERROR(VLOOKUP(Devis[[#This Row],[Ref Air Flux]],#REF!,3,FALSE),0)</f>
        <v>0</v>
      </c>
      <c r="K461" s="68"/>
      <c r="L461" s="68"/>
      <c r="M461" s="68"/>
      <c r="N461" s="68"/>
      <c r="O461" s="68"/>
      <c r="P461" s="68"/>
      <c r="Q461" s="68">
        <f>SUM(Devis[[#This Row],[Poste 1]:[Poste 6]])</f>
        <v>0</v>
      </c>
      <c r="R461" s="71"/>
      <c r="S461" s="68">
        <f>_xlfn.CEILING.MATH(Devis[[#This Row],[Quantité Totale]],Devis[[#This Row],[Conditionnement]])</f>
        <v>0</v>
      </c>
      <c r="T461" s="72"/>
      <c r="U461" s="73"/>
      <c r="V461" s="74">
        <f>Devis[[#This Row],[Prix de Revient]]*Devis[[#This Row],[Poste 1]]</f>
        <v>0</v>
      </c>
      <c r="W461" s="74">
        <f>Devis[[#This Row],[Prix de Revient]]*Devis[[#This Row],[Poste 2]]</f>
        <v>0</v>
      </c>
      <c r="X461" s="74">
        <f>Devis[[#This Row],[Prix de Revient]]*Devis[[#This Row],[Poste 3]]</f>
        <v>0</v>
      </c>
      <c r="Y461" s="74">
        <f>Devis[[#This Row],[Poste 4]]*Devis[[#This Row],[Prix de Revient]]</f>
        <v>0</v>
      </c>
      <c r="Z461" s="74">
        <f>Devis[[#This Row],[Poste 5]]*Devis[[#This Row],[Prix de Revient]]</f>
        <v>0</v>
      </c>
      <c r="AA461" s="74">
        <f>Devis[[#This Row],[Prix de Revient]]*Devis[[#This Row],[Poste 6]]</f>
        <v>0</v>
      </c>
      <c r="AB461" s="74">
        <f>Devis[[#This Row],[Quantité Totale]]*Devis[[#This Row],[Prix de Revient]]</f>
        <v>0</v>
      </c>
    </row>
    <row r="462" spans="1:28" ht="14.25" outlineLevel="1" x14ac:dyDescent="0.2">
      <c r="A462" s="75" t="s">
        <v>120</v>
      </c>
      <c r="B462" s="76" t="s">
        <v>269</v>
      </c>
      <c r="C462" s="76" t="s">
        <v>4614</v>
      </c>
      <c r="D462" s="81" t="str">
        <f t="shared" si="8"/>
        <v>CablageCosses pour cable cuivre75mm</v>
      </c>
      <c r="E462" s="93" t="s">
        <v>276</v>
      </c>
      <c r="F462" s="81">
        <v>17</v>
      </c>
      <c r="G462" s="71" t="s">
        <v>277</v>
      </c>
      <c r="H462" s="73"/>
      <c r="I462" s="71"/>
      <c r="J462" s="70">
        <f>IFERROR(VLOOKUP(Devis[[#This Row],[Ref Air Flux]],#REF!,3,FALSE),0)</f>
        <v>0</v>
      </c>
      <c r="K462" s="68"/>
      <c r="L462" s="68"/>
      <c r="M462" s="68"/>
      <c r="N462" s="68"/>
      <c r="O462" s="68"/>
      <c r="P462" s="68"/>
      <c r="Q462" s="68">
        <f>SUM(Devis[[#This Row],[Poste 1]:[Poste 6]])</f>
        <v>0</v>
      </c>
      <c r="R462" s="71"/>
      <c r="S462" s="68">
        <f>_xlfn.CEILING.MATH(Devis[[#This Row],[Quantité Totale]],Devis[[#This Row],[Conditionnement]])</f>
        <v>0</v>
      </c>
      <c r="T462" s="72"/>
      <c r="U462" s="73"/>
      <c r="V462" s="74">
        <f>Devis[[#This Row],[Prix de Revient]]*Devis[[#This Row],[Poste 1]]</f>
        <v>0</v>
      </c>
      <c r="W462" s="74">
        <f>Devis[[#This Row],[Prix de Revient]]*Devis[[#This Row],[Poste 2]]</f>
        <v>0</v>
      </c>
      <c r="X462" s="74">
        <f>Devis[[#This Row],[Prix de Revient]]*Devis[[#This Row],[Poste 3]]</f>
        <v>0</v>
      </c>
      <c r="Y462" s="74">
        <f>Devis[[#This Row],[Poste 4]]*Devis[[#This Row],[Prix de Revient]]</f>
        <v>0</v>
      </c>
      <c r="Z462" s="74">
        <f>Devis[[#This Row],[Poste 5]]*Devis[[#This Row],[Prix de Revient]]</f>
        <v>0</v>
      </c>
      <c r="AA462" s="74">
        <f>Devis[[#This Row],[Prix de Revient]]*Devis[[#This Row],[Poste 6]]</f>
        <v>0</v>
      </c>
      <c r="AB462" s="74">
        <f>Devis[[#This Row],[Quantité Totale]]*Devis[[#This Row],[Prix de Revient]]</f>
        <v>0</v>
      </c>
    </row>
    <row r="463" spans="1:28" ht="14.25" outlineLevel="1" x14ac:dyDescent="0.2">
      <c r="A463" s="75" t="s">
        <v>120</v>
      </c>
      <c r="B463" s="76" t="s">
        <v>269</v>
      </c>
      <c r="C463" s="76" t="s">
        <v>4614</v>
      </c>
      <c r="D463" s="81" t="str">
        <f t="shared" si="8"/>
        <v>CablageCosses pour cable cuivre75mm</v>
      </c>
      <c r="E463" s="93" t="s">
        <v>4616</v>
      </c>
      <c r="F463" s="81">
        <v>18</v>
      </c>
      <c r="G463" s="71" t="s">
        <v>4617</v>
      </c>
      <c r="H463" s="71"/>
      <c r="I463" s="71"/>
      <c r="J463" s="70">
        <f>IFERROR(VLOOKUP(Devis[[#This Row],[Ref Air Flux]],#REF!,3,FALSE),0)</f>
        <v>0</v>
      </c>
      <c r="K463" s="68"/>
      <c r="L463" s="68"/>
      <c r="M463" s="68"/>
      <c r="N463" s="68"/>
      <c r="O463" s="68"/>
      <c r="P463" s="68"/>
      <c r="Q463" s="68">
        <f>SUM(Devis[[#This Row],[Poste 1]:[Poste 6]])</f>
        <v>0</v>
      </c>
      <c r="R463" s="71"/>
      <c r="S463" s="68">
        <f>_xlfn.CEILING.MATH(Devis[[#This Row],[Quantité Totale]],Devis[[#This Row],[Conditionnement]])</f>
        <v>0</v>
      </c>
      <c r="T463" s="72"/>
      <c r="U463" s="73"/>
      <c r="V463" s="74">
        <f>Devis[[#This Row],[Prix de Revient]]*Devis[[#This Row],[Poste 1]]</f>
        <v>0</v>
      </c>
      <c r="W463" s="74">
        <f>Devis[[#This Row],[Prix de Revient]]*Devis[[#This Row],[Poste 2]]</f>
        <v>0</v>
      </c>
      <c r="X463" s="74">
        <f>Devis[[#This Row],[Prix de Revient]]*Devis[[#This Row],[Poste 3]]</f>
        <v>0</v>
      </c>
      <c r="Y463" s="74">
        <f>Devis[[#This Row],[Poste 4]]*Devis[[#This Row],[Prix de Revient]]</f>
        <v>0</v>
      </c>
      <c r="Z463" s="74">
        <f>Devis[[#This Row],[Poste 5]]*Devis[[#This Row],[Prix de Revient]]</f>
        <v>0</v>
      </c>
      <c r="AA463" s="74">
        <f>Devis[[#This Row],[Prix de Revient]]*Devis[[#This Row],[Poste 6]]</f>
        <v>0</v>
      </c>
      <c r="AB463" s="74">
        <f>Devis[[#This Row],[Quantité Totale]]*Devis[[#This Row],[Prix de Revient]]</f>
        <v>0</v>
      </c>
    </row>
    <row r="464" spans="1:28" ht="14.25" outlineLevel="1" x14ac:dyDescent="0.2">
      <c r="A464" s="75" t="s">
        <v>120</v>
      </c>
      <c r="B464" s="76" t="s">
        <v>269</v>
      </c>
      <c r="C464" s="76" t="s">
        <v>4618</v>
      </c>
      <c r="D464" s="81" t="str">
        <f t="shared" si="8"/>
        <v>CablageCosses pour cable cuivre95mm</v>
      </c>
      <c r="E464" s="93" t="s">
        <v>4619</v>
      </c>
      <c r="F464" s="81">
        <v>19</v>
      </c>
      <c r="G464" s="71" t="s">
        <v>278</v>
      </c>
      <c r="H464" s="79"/>
      <c r="I464" s="71"/>
      <c r="J464" s="70">
        <f>IFERROR(VLOOKUP(Devis[[#This Row],[Ref Air Flux]],#REF!,3,FALSE),0)</f>
        <v>0</v>
      </c>
      <c r="K464" s="68"/>
      <c r="L464" s="68"/>
      <c r="M464" s="68"/>
      <c r="N464" s="68"/>
      <c r="O464" s="68"/>
      <c r="P464" s="68"/>
      <c r="Q464" s="68">
        <f>SUM(Devis[[#This Row],[Poste 1]:[Poste 6]])</f>
        <v>0</v>
      </c>
      <c r="R464" s="71"/>
      <c r="S464" s="68">
        <f>_xlfn.CEILING.MATH(Devis[[#This Row],[Quantité Totale]],Devis[[#This Row],[Conditionnement]])</f>
        <v>0</v>
      </c>
      <c r="T464" s="72"/>
      <c r="U464" s="73"/>
      <c r="V464" s="74">
        <f>Devis[[#This Row],[Prix de Revient]]*Devis[[#This Row],[Poste 1]]</f>
        <v>0</v>
      </c>
      <c r="W464" s="74">
        <f>Devis[[#This Row],[Prix de Revient]]*Devis[[#This Row],[Poste 2]]</f>
        <v>0</v>
      </c>
      <c r="X464" s="74">
        <f>Devis[[#This Row],[Prix de Revient]]*Devis[[#This Row],[Poste 3]]</f>
        <v>0</v>
      </c>
      <c r="Y464" s="74">
        <f>Devis[[#This Row],[Poste 4]]*Devis[[#This Row],[Prix de Revient]]</f>
        <v>0</v>
      </c>
      <c r="Z464" s="74">
        <f>Devis[[#This Row],[Poste 5]]*Devis[[#This Row],[Prix de Revient]]</f>
        <v>0</v>
      </c>
      <c r="AA464" s="74">
        <f>Devis[[#This Row],[Prix de Revient]]*Devis[[#This Row],[Poste 6]]</f>
        <v>0</v>
      </c>
      <c r="AB464" s="74">
        <f>Devis[[#This Row],[Quantité Totale]]*Devis[[#This Row],[Prix de Revient]]</f>
        <v>0</v>
      </c>
    </row>
    <row r="465" spans="1:28" ht="14.25" customHeight="1" outlineLevel="1" x14ac:dyDescent="0.2">
      <c r="A465" s="75" t="s">
        <v>120</v>
      </c>
      <c r="B465" s="76" t="s">
        <v>269</v>
      </c>
      <c r="C465" s="76" t="s">
        <v>4618</v>
      </c>
      <c r="D465" s="81" t="str">
        <f t="shared" si="8"/>
        <v>CablageCosses pour cable cuivre95mm</v>
      </c>
      <c r="E465" s="93" t="s">
        <v>279</v>
      </c>
      <c r="F465" s="81">
        <v>20</v>
      </c>
      <c r="G465" s="71" t="s">
        <v>280</v>
      </c>
      <c r="H465" s="73"/>
      <c r="I465" s="71"/>
      <c r="J465" s="70">
        <f>IFERROR(VLOOKUP(Devis[[#This Row],[Ref Air Flux]],#REF!,3,FALSE),0)</f>
        <v>0</v>
      </c>
      <c r="K465" s="68"/>
      <c r="L465" s="68"/>
      <c r="M465" s="68"/>
      <c r="N465" s="68"/>
      <c r="O465" s="68"/>
      <c r="P465" s="68"/>
      <c r="Q465" s="68">
        <f>SUM(Devis[[#This Row],[Poste 1]:[Poste 6]])</f>
        <v>0</v>
      </c>
      <c r="R465" s="71"/>
      <c r="S465" s="68">
        <f>_xlfn.CEILING.MATH(Devis[[#This Row],[Quantité Totale]],Devis[[#This Row],[Conditionnement]])</f>
        <v>0</v>
      </c>
      <c r="T465" s="72"/>
      <c r="U465" s="73"/>
      <c r="V465" s="74">
        <f>Devis[[#This Row],[Prix de Revient]]*Devis[[#This Row],[Poste 1]]</f>
        <v>0</v>
      </c>
      <c r="W465" s="74">
        <f>Devis[[#This Row],[Prix de Revient]]*Devis[[#This Row],[Poste 2]]</f>
        <v>0</v>
      </c>
      <c r="X465" s="74">
        <f>Devis[[#This Row],[Prix de Revient]]*Devis[[#This Row],[Poste 3]]</f>
        <v>0</v>
      </c>
      <c r="Y465" s="74">
        <f>Devis[[#This Row],[Poste 4]]*Devis[[#This Row],[Prix de Revient]]</f>
        <v>0</v>
      </c>
      <c r="Z465" s="74">
        <f>Devis[[#This Row],[Poste 5]]*Devis[[#This Row],[Prix de Revient]]</f>
        <v>0</v>
      </c>
      <c r="AA465" s="74">
        <f>Devis[[#This Row],[Prix de Revient]]*Devis[[#This Row],[Poste 6]]</f>
        <v>0</v>
      </c>
      <c r="AB465" s="74">
        <f>Devis[[#This Row],[Quantité Totale]]*Devis[[#This Row],[Prix de Revient]]</f>
        <v>0</v>
      </c>
    </row>
    <row r="466" spans="1:28" ht="14.25" outlineLevel="1" x14ac:dyDescent="0.2">
      <c r="A466" s="75" t="s">
        <v>120</v>
      </c>
      <c r="B466" s="76" t="s">
        <v>269</v>
      </c>
      <c r="C466" s="76" t="s">
        <v>4618</v>
      </c>
      <c r="D466" s="81" t="str">
        <f t="shared" si="8"/>
        <v>CablageCosses pour cable cuivre95mm</v>
      </c>
      <c r="E466" s="93" t="s">
        <v>4088</v>
      </c>
      <c r="F466" s="81">
        <v>21</v>
      </c>
      <c r="G466" s="71" t="s">
        <v>281</v>
      </c>
      <c r="H466" s="79"/>
      <c r="I466" s="71"/>
      <c r="J466" s="70">
        <f>IFERROR(VLOOKUP(Devis[[#This Row],[Ref Air Flux]],#REF!,3,FALSE),0)</f>
        <v>0</v>
      </c>
      <c r="K466" s="68"/>
      <c r="L466" s="68"/>
      <c r="M466" s="68"/>
      <c r="N466" s="68"/>
      <c r="O466" s="68"/>
      <c r="P466" s="68"/>
      <c r="Q466" s="68">
        <f>SUM(Devis[[#This Row],[Poste 1]:[Poste 6]])</f>
        <v>0</v>
      </c>
      <c r="R466" s="71"/>
      <c r="S466" s="68">
        <f>_xlfn.CEILING.MATH(Devis[[#This Row],[Quantité Totale]],Devis[[#This Row],[Conditionnement]])</f>
        <v>0</v>
      </c>
      <c r="T466" s="72"/>
      <c r="U466" s="73"/>
      <c r="V466" s="74">
        <f>Devis[[#This Row],[Prix de Revient]]*Devis[[#This Row],[Poste 1]]</f>
        <v>0</v>
      </c>
      <c r="W466" s="74">
        <f>Devis[[#This Row],[Prix de Revient]]*Devis[[#This Row],[Poste 2]]</f>
        <v>0</v>
      </c>
      <c r="X466" s="74">
        <f>Devis[[#This Row],[Prix de Revient]]*Devis[[#This Row],[Poste 3]]</f>
        <v>0</v>
      </c>
      <c r="Y466" s="74">
        <f>Devis[[#This Row],[Poste 4]]*Devis[[#This Row],[Prix de Revient]]</f>
        <v>0</v>
      </c>
      <c r="Z466" s="74">
        <f>Devis[[#This Row],[Poste 5]]*Devis[[#This Row],[Prix de Revient]]</f>
        <v>0</v>
      </c>
      <c r="AA466" s="74">
        <f>Devis[[#This Row],[Prix de Revient]]*Devis[[#This Row],[Poste 6]]</f>
        <v>0</v>
      </c>
      <c r="AB466" s="74">
        <f>Devis[[#This Row],[Quantité Totale]]*Devis[[#This Row],[Prix de Revient]]</f>
        <v>0</v>
      </c>
    </row>
    <row r="467" spans="1:28" ht="14.25" customHeight="1" outlineLevel="1" x14ac:dyDescent="0.2">
      <c r="A467" s="75" t="s">
        <v>120</v>
      </c>
      <c r="B467" s="76" t="s">
        <v>269</v>
      </c>
      <c r="C467" s="76" t="s">
        <v>4620</v>
      </c>
      <c r="D467" s="81" t="str">
        <f t="shared" si="8"/>
        <v>CablageCosses pour cable cuivre120mm</v>
      </c>
      <c r="E467" s="93" t="s">
        <v>4087</v>
      </c>
      <c r="F467" s="81">
        <v>22</v>
      </c>
      <c r="G467" s="71" t="s">
        <v>282</v>
      </c>
      <c r="H467" s="79"/>
      <c r="I467" s="71"/>
      <c r="J467" s="70">
        <f>IFERROR(VLOOKUP(Devis[[#This Row],[Ref Air Flux]],#REF!,3,FALSE),0)</f>
        <v>0</v>
      </c>
      <c r="K467" s="68"/>
      <c r="L467" s="68"/>
      <c r="M467" s="68"/>
      <c r="N467" s="68"/>
      <c r="O467" s="68"/>
      <c r="P467" s="68"/>
      <c r="Q467" s="68">
        <f>SUM(Devis[[#This Row],[Poste 1]:[Poste 6]])</f>
        <v>0</v>
      </c>
      <c r="R467" s="71"/>
      <c r="S467" s="68">
        <f>_xlfn.CEILING.MATH(Devis[[#This Row],[Quantité Totale]],Devis[[#This Row],[Conditionnement]])</f>
        <v>0</v>
      </c>
      <c r="T467" s="72"/>
      <c r="U467" s="73"/>
      <c r="V467" s="74">
        <f>Devis[[#This Row],[Prix de Revient]]*Devis[[#This Row],[Poste 1]]</f>
        <v>0</v>
      </c>
      <c r="W467" s="74">
        <f>Devis[[#This Row],[Prix de Revient]]*Devis[[#This Row],[Poste 2]]</f>
        <v>0</v>
      </c>
      <c r="X467" s="74">
        <f>Devis[[#This Row],[Prix de Revient]]*Devis[[#This Row],[Poste 3]]</f>
        <v>0</v>
      </c>
      <c r="Y467" s="74">
        <f>Devis[[#This Row],[Poste 4]]*Devis[[#This Row],[Prix de Revient]]</f>
        <v>0</v>
      </c>
      <c r="Z467" s="74">
        <f>Devis[[#This Row],[Poste 5]]*Devis[[#This Row],[Prix de Revient]]</f>
        <v>0</v>
      </c>
      <c r="AA467" s="74">
        <f>Devis[[#This Row],[Prix de Revient]]*Devis[[#This Row],[Poste 6]]</f>
        <v>0</v>
      </c>
      <c r="AB467" s="74">
        <f>Devis[[#This Row],[Quantité Totale]]*Devis[[#This Row],[Prix de Revient]]</f>
        <v>0</v>
      </c>
    </row>
    <row r="468" spans="1:28" ht="14.25" outlineLevel="1" x14ac:dyDescent="0.2">
      <c r="A468" s="75" t="s">
        <v>120</v>
      </c>
      <c r="B468" s="76" t="s">
        <v>269</v>
      </c>
      <c r="C468" s="76" t="s">
        <v>4620</v>
      </c>
      <c r="D468" s="81" t="str">
        <f t="shared" si="8"/>
        <v>CablageCosses pour cable cuivre120mm</v>
      </c>
      <c r="E468" s="93" t="s">
        <v>4621</v>
      </c>
      <c r="F468" s="81">
        <v>23</v>
      </c>
      <c r="G468" s="71" t="s">
        <v>283</v>
      </c>
      <c r="H468" s="79"/>
      <c r="I468" s="71"/>
      <c r="J468" s="70">
        <f>IFERROR(VLOOKUP(Devis[[#This Row],[Ref Air Flux]],#REF!,3,FALSE),0)</f>
        <v>0</v>
      </c>
      <c r="K468" s="68"/>
      <c r="L468" s="68"/>
      <c r="M468" s="68"/>
      <c r="N468" s="68"/>
      <c r="O468" s="68"/>
      <c r="P468" s="68"/>
      <c r="Q468" s="68">
        <f>SUM(Devis[[#This Row],[Poste 1]:[Poste 6]])</f>
        <v>0</v>
      </c>
      <c r="R468" s="71"/>
      <c r="S468" s="68">
        <f>_xlfn.CEILING.MATH(Devis[[#This Row],[Quantité Totale]],Devis[[#This Row],[Conditionnement]])</f>
        <v>0</v>
      </c>
      <c r="T468" s="72"/>
      <c r="U468" s="73"/>
      <c r="V468" s="74">
        <f>Devis[[#This Row],[Prix de Revient]]*Devis[[#This Row],[Poste 1]]</f>
        <v>0</v>
      </c>
      <c r="W468" s="74">
        <f>Devis[[#This Row],[Prix de Revient]]*Devis[[#This Row],[Poste 2]]</f>
        <v>0</v>
      </c>
      <c r="X468" s="74">
        <f>Devis[[#This Row],[Prix de Revient]]*Devis[[#This Row],[Poste 3]]</f>
        <v>0</v>
      </c>
      <c r="Y468" s="74">
        <f>Devis[[#This Row],[Poste 4]]*Devis[[#This Row],[Prix de Revient]]</f>
        <v>0</v>
      </c>
      <c r="Z468" s="74">
        <f>Devis[[#This Row],[Poste 5]]*Devis[[#This Row],[Prix de Revient]]</f>
        <v>0</v>
      </c>
      <c r="AA468" s="74">
        <f>Devis[[#This Row],[Prix de Revient]]*Devis[[#This Row],[Poste 6]]</f>
        <v>0</v>
      </c>
      <c r="AB468" s="74">
        <f>Devis[[#This Row],[Quantité Totale]]*Devis[[#This Row],[Prix de Revient]]</f>
        <v>0</v>
      </c>
    </row>
    <row r="469" spans="1:28" ht="15" customHeight="1" outlineLevel="1" x14ac:dyDescent="0.2">
      <c r="A469" s="75" t="s">
        <v>120</v>
      </c>
      <c r="B469" s="76" t="s">
        <v>269</v>
      </c>
      <c r="C469" s="76" t="s">
        <v>4622</v>
      </c>
      <c r="D469" s="81" t="str">
        <f t="shared" si="8"/>
        <v>CablageCosses pour cable cuivre150mm</v>
      </c>
      <c r="E469" s="93" t="s">
        <v>4623</v>
      </c>
      <c r="F469" s="81">
        <v>24</v>
      </c>
      <c r="G469" s="71" t="s">
        <v>4624</v>
      </c>
      <c r="H469" s="71"/>
      <c r="I469" s="71"/>
      <c r="J469" s="70">
        <f>IFERROR(VLOOKUP(Devis[[#This Row],[Ref Air Flux]],#REF!,3,FALSE),0)</f>
        <v>0</v>
      </c>
      <c r="K469" s="68"/>
      <c r="L469" s="68"/>
      <c r="M469" s="68"/>
      <c r="N469" s="68"/>
      <c r="O469" s="68"/>
      <c r="P469" s="68"/>
      <c r="Q469" s="68">
        <f>SUM(Devis[[#This Row],[Poste 1]:[Poste 6]])</f>
        <v>0</v>
      </c>
      <c r="R469" s="71"/>
      <c r="S469" s="68">
        <f>_xlfn.CEILING.MATH(Devis[[#This Row],[Quantité Totale]],Devis[[#This Row],[Conditionnement]])</f>
        <v>0</v>
      </c>
      <c r="T469" s="72"/>
      <c r="U469" s="73"/>
      <c r="V469" s="74">
        <f>Devis[[#This Row],[Prix de Revient]]*Devis[[#This Row],[Poste 1]]</f>
        <v>0</v>
      </c>
      <c r="W469" s="74">
        <f>Devis[[#This Row],[Prix de Revient]]*Devis[[#This Row],[Poste 2]]</f>
        <v>0</v>
      </c>
      <c r="X469" s="74">
        <f>Devis[[#This Row],[Prix de Revient]]*Devis[[#This Row],[Poste 3]]</f>
        <v>0</v>
      </c>
      <c r="Y469" s="74">
        <f>Devis[[#This Row],[Poste 4]]*Devis[[#This Row],[Prix de Revient]]</f>
        <v>0</v>
      </c>
      <c r="Z469" s="74">
        <f>Devis[[#This Row],[Poste 5]]*Devis[[#This Row],[Prix de Revient]]</f>
        <v>0</v>
      </c>
      <c r="AA469" s="74">
        <f>Devis[[#This Row],[Prix de Revient]]*Devis[[#This Row],[Poste 6]]</f>
        <v>0</v>
      </c>
      <c r="AB469" s="74">
        <f>Devis[[#This Row],[Quantité Totale]]*Devis[[#This Row],[Prix de Revient]]</f>
        <v>0</v>
      </c>
    </row>
    <row r="470" spans="1:28" ht="14.25" outlineLevel="1" x14ac:dyDescent="0.2">
      <c r="A470" s="75" t="s">
        <v>120</v>
      </c>
      <c r="B470" s="76" t="s">
        <v>269</v>
      </c>
      <c r="C470" s="76" t="s">
        <v>4622</v>
      </c>
      <c r="D470" s="81" t="str">
        <f t="shared" si="8"/>
        <v>CablageCosses pour cable cuivre150mm</v>
      </c>
      <c r="E470" s="93" t="s">
        <v>4625</v>
      </c>
      <c r="F470" s="81">
        <v>25</v>
      </c>
      <c r="G470" s="71" t="s">
        <v>4626</v>
      </c>
      <c r="H470" s="79"/>
      <c r="I470" s="71"/>
      <c r="J470" s="70">
        <f>IFERROR(VLOOKUP(Devis[[#This Row],[Ref Air Flux]],#REF!,3,FALSE),0)</f>
        <v>0</v>
      </c>
      <c r="K470" s="68"/>
      <c r="L470" s="68"/>
      <c r="M470" s="68"/>
      <c r="N470" s="68"/>
      <c r="O470" s="68"/>
      <c r="P470" s="68"/>
      <c r="Q470" s="68">
        <f>SUM(Devis[[#This Row],[Poste 1]:[Poste 6]])</f>
        <v>0</v>
      </c>
      <c r="R470" s="71"/>
      <c r="S470" s="68">
        <f>_xlfn.CEILING.MATH(Devis[[#This Row],[Quantité Totale]],Devis[[#This Row],[Conditionnement]])</f>
        <v>0</v>
      </c>
      <c r="T470" s="72"/>
      <c r="U470" s="73"/>
      <c r="V470" s="74">
        <f>Devis[[#This Row],[Prix de Revient]]*Devis[[#This Row],[Poste 1]]</f>
        <v>0</v>
      </c>
      <c r="W470" s="74">
        <f>Devis[[#This Row],[Prix de Revient]]*Devis[[#This Row],[Poste 2]]</f>
        <v>0</v>
      </c>
      <c r="X470" s="74">
        <f>Devis[[#This Row],[Prix de Revient]]*Devis[[#This Row],[Poste 3]]</f>
        <v>0</v>
      </c>
      <c r="Y470" s="74">
        <f>Devis[[#This Row],[Poste 4]]*Devis[[#This Row],[Prix de Revient]]</f>
        <v>0</v>
      </c>
      <c r="Z470" s="74">
        <f>Devis[[#This Row],[Poste 5]]*Devis[[#This Row],[Prix de Revient]]</f>
        <v>0</v>
      </c>
      <c r="AA470" s="74">
        <f>Devis[[#This Row],[Prix de Revient]]*Devis[[#This Row],[Poste 6]]</f>
        <v>0</v>
      </c>
      <c r="AB470" s="74">
        <f>Devis[[#This Row],[Quantité Totale]]*Devis[[#This Row],[Prix de Revient]]</f>
        <v>0</v>
      </c>
    </row>
    <row r="471" spans="1:28" ht="14.25" outlineLevel="1" x14ac:dyDescent="0.2">
      <c r="A471" s="75" t="s">
        <v>120</v>
      </c>
      <c r="B471" s="76" t="s">
        <v>269</v>
      </c>
      <c r="C471" s="76" t="s">
        <v>4627</v>
      </c>
      <c r="D471" s="81" t="str">
        <f t="shared" si="8"/>
        <v>CablageCosses pour cable cuivre185mm</v>
      </c>
      <c r="E471" s="93" t="s">
        <v>4628</v>
      </c>
      <c r="F471" s="81">
        <v>26</v>
      </c>
      <c r="G471" s="71" t="s">
        <v>4629</v>
      </c>
      <c r="H471" s="71"/>
      <c r="I471" s="71"/>
      <c r="J471" s="70">
        <f>IFERROR(VLOOKUP(Devis[[#This Row],[Ref Air Flux]],#REF!,3,FALSE),0)</f>
        <v>0</v>
      </c>
      <c r="K471" s="68"/>
      <c r="L471" s="68"/>
      <c r="M471" s="68"/>
      <c r="N471" s="68"/>
      <c r="O471" s="68"/>
      <c r="P471" s="68"/>
      <c r="Q471" s="68">
        <f>SUM(Devis[[#This Row],[Poste 1]:[Poste 6]])</f>
        <v>0</v>
      </c>
      <c r="R471" s="71"/>
      <c r="S471" s="68">
        <f>_xlfn.CEILING.MATH(Devis[[#This Row],[Quantité Totale]],Devis[[#This Row],[Conditionnement]])</f>
        <v>0</v>
      </c>
      <c r="T471" s="72"/>
      <c r="U471" s="73"/>
      <c r="V471" s="74">
        <f>Devis[[#This Row],[Prix de Revient]]*Devis[[#This Row],[Poste 1]]</f>
        <v>0</v>
      </c>
      <c r="W471" s="74">
        <f>Devis[[#This Row],[Prix de Revient]]*Devis[[#This Row],[Poste 2]]</f>
        <v>0</v>
      </c>
      <c r="X471" s="74">
        <f>Devis[[#This Row],[Prix de Revient]]*Devis[[#This Row],[Poste 3]]</f>
        <v>0</v>
      </c>
      <c r="Y471" s="74">
        <f>Devis[[#This Row],[Poste 4]]*Devis[[#This Row],[Prix de Revient]]</f>
        <v>0</v>
      </c>
      <c r="Z471" s="74">
        <f>Devis[[#This Row],[Poste 5]]*Devis[[#This Row],[Prix de Revient]]</f>
        <v>0</v>
      </c>
      <c r="AA471" s="74">
        <f>Devis[[#This Row],[Prix de Revient]]*Devis[[#This Row],[Poste 6]]</f>
        <v>0</v>
      </c>
      <c r="AB471" s="74">
        <f>Devis[[#This Row],[Quantité Totale]]*Devis[[#This Row],[Prix de Revient]]</f>
        <v>0</v>
      </c>
    </row>
    <row r="472" spans="1:28" ht="14.25" customHeight="1" x14ac:dyDescent="0.25">
      <c r="A472" s="65" t="s">
        <v>120</v>
      </c>
      <c r="B472" s="65" t="s">
        <v>4644</v>
      </c>
      <c r="C472" s="76"/>
      <c r="D472" s="81" t="str">
        <f t="shared" si="8"/>
        <v>CablageECLAIRAGE &amp; INTERRUPTEUR</v>
      </c>
      <c r="E472" s="76"/>
      <c r="F472" s="81">
        <v>0</v>
      </c>
      <c r="G472" s="71"/>
      <c r="H472" s="71"/>
      <c r="I472" s="71"/>
      <c r="J472" s="70">
        <f>IFERROR(VLOOKUP(Devis[[#This Row],[Ref Air Flux]],#REF!,3,FALSE),0)</f>
        <v>0</v>
      </c>
      <c r="K472" s="68"/>
      <c r="L472" s="68"/>
      <c r="M472" s="68"/>
      <c r="N472" s="68"/>
      <c r="O472" s="68"/>
      <c r="P472" s="68"/>
      <c r="Q472" s="68">
        <f>SUM(Devis[[#This Row],[Poste 1]:[Poste 6]])</f>
        <v>0</v>
      </c>
      <c r="R472" s="71"/>
      <c r="S472" s="68">
        <f>_xlfn.CEILING.MATH(Devis[[#This Row],[Quantité Totale]],Devis[[#This Row],[Conditionnement]])</f>
        <v>0</v>
      </c>
      <c r="T472" s="72"/>
      <c r="U472" s="73"/>
      <c r="V472" s="74">
        <f>Devis[[#This Row],[Prix de Revient]]*Devis[[#This Row],[Poste 1]]</f>
        <v>0</v>
      </c>
      <c r="W472" s="74">
        <f>Devis[[#This Row],[Prix de Revient]]*Devis[[#This Row],[Poste 2]]</f>
        <v>0</v>
      </c>
      <c r="X472" s="74">
        <f>Devis[[#This Row],[Prix de Revient]]*Devis[[#This Row],[Poste 3]]</f>
        <v>0</v>
      </c>
      <c r="Y472" s="74">
        <f>Devis[[#This Row],[Poste 4]]*Devis[[#This Row],[Prix de Revient]]</f>
        <v>0</v>
      </c>
      <c r="Z472" s="74">
        <f>Devis[[#This Row],[Poste 5]]*Devis[[#This Row],[Prix de Revient]]</f>
        <v>0</v>
      </c>
      <c r="AA472" s="74">
        <f>Devis[[#This Row],[Prix de Revient]]*Devis[[#This Row],[Poste 6]]</f>
        <v>0</v>
      </c>
      <c r="AB472" s="74">
        <f>Devis[[#This Row],[Quantité Totale]]*Devis[[#This Row],[Prix de Revient]]</f>
        <v>0</v>
      </c>
    </row>
    <row r="473" spans="1:28" ht="14.25" outlineLevel="1" x14ac:dyDescent="0.2">
      <c r="A473" s="75" t="s">
        <v>120</v>
      </c>
      <c r="B473" s="76" t="s">
        <v>4644</v>
      </c>
      <c r="C473" s="76" t="s">
        <v>285</v>
      </c>
      <c r="D473" s="81" t="str">
        <f t="shared" si="8"/>
        <v>CablageECLAIRAGE &amp; INTERRUPTEUREclairage</v>
      </c>
      <c r="E473" s="76" t="s">
        <v>286</v>
      </c>
      <c r="F473" s="81">
        <v>1</v>
      </c>
      <c r="G473" s="71">
        <v>5219504</v>
      </c>
      <c r="H473" s="79"/>
      <c r="I473" s="71"/>
      <c r="J473" s="70">
        <f>IFERROR(VLOOKUP(Devis[[#This Row],[Ref Air Flux]],#REF!,3,FALSE),0)</f>
        <v>0</v>
      </c>
      <c r="K473" s="68"/>
      <c r="L473" s="68"/>
      <c r="M473" s="68"/>
      <c r="N473" s="68"/>
      <c r="O473" s="68"/>
      <c r="P473" s="68"/>
      <c r="Q473" s="68">
        <f>SUM(Devis[[#This Row],[Poste 1]:[Poste 6]])</f>
        <v>0</v>
      </c>
      <c r="R473" s="71"/>
      <c r="S473" s="68">
        <f>_xlfn.CEILING.MATH(Devis[[#This Row],[Quantité Totale]],Devis[[#This Row],[Conditionnement]])</f>
        <v>0</v>
      </c>
      <c r="T473" s="72"/>
      <c r="U473" s="73"/>
      <c r="V473" s="74">
        <f>Devis[[#This Row],[Prix de Revient]]*Devis[[#This Row],[Poste 1]]</f>
        <v>0</v>
      </c>
      <c r="W473" s="74">
        <f>Devis[[#This Row],[Prix de Revient]]*Devis[[#This Row],[Poste 2]]</f>
        <v>0</v>
      </c>
      <c r="X473" s="74">
        <f>Devis[[#This Row],[Prix de Revient]]*Devis[[#This Row],[Poste 3]]</f>
        <v>0</v>
      </c>
      <c r="Y473" s="74">
        <f>Devis[[#This Row],[Poste 4]]*Devis[[#This Row],[Prix de Revient]]</f>
        <v>0</v>
      </c>
      <c r="Z473" s="74">
        <f>Devis[[#This Row],[Poste 5]]*Devis[[#This Row],[Prix de Revient]]</f>
        <v>0</v>
      </c>
      <c r="AA473" s="74">
        <f>Devis[[#This Row],[Prix de Revient]]*Devis[[#This Row],[Poste 6]]</f>
        <v>0</v>
      </c>
      <c r="AB473" s="74">
        <f>Devis[[#This Row],[Quantité Totale]]*Devis[[#This Row],[Prix de Revient]]</f>
        <v>0</v>
      </c>
    </row>
    <row r="474" spans="1:28" ht="14.25" outlineLevel="1" x14ac:dyDescent="0.2">
      <c r="A474" s="75" t="s">
        <v>120</v>
      </c>
      <c r="B474" s="76" t="s">
        <v>4644</v>
      </c>
      <c r="C474" s="76" t="s">
        <v>285</v>
      </c>
      <c r="D474" s="81" t="str">
        <f t="shared" si="8"/>
        <v>CablageECLAIRAGE &amp; INTERRUPTEUREclairage</v>
      </c>
      <c r="E474" s="76" t="s">
        <v>287</v>
      </c>
      <c r="F474" s="81">
        <v>2</v>
      </c>
      <c r="G474" s="71"/>
      <c r="H474" s="79"/>
      <c r="I474" s="71"/>
      <c r="J474" s="70">
        <f>IFERROR(VLOOKUP(Devis[[#This Row],[Ref Air Flux]],#REF!,3,FALSE),0)</f>
        <v>0</v>
      </c>
      <c r="K474" s="68"/>
      <c r="L474" s="68"/>
      <c r="M474" s="68"/>
      <c r="N474" s="68"/>
      <c r="O474" s="68"/>
      <c r="P474" s="68"/>
      <c r="Q474" s="68">
        <f>SUM(Devis[[#This Row],[Poste 1]:[Poste 6]])</f>
        <v>0</v>
      </c>
      <c r="R474" s="71"/>
      <c r="S474" s="68">
        <f>_xlfn.CEILING.MATH(Devis[[#This Row],[Quantité Totale]],Devis[[#This Row],[Conditionnement]])</f>
        <v>0</v>
      </c>
      <c r="T474" s="72"/>
      <c r="U474" s="73"/>
      <c r="V474" s="74">
        <f>Devis[[#This Row],[Prix de Revient]]*Devis[[#This Row],[Poste 1]]</f>
        <v>0</v>
      </c>
      <c r="W474" s="74">
        <f>Devis[[#This Row],[Prix de Revient]]*Devis[[#This Row],[Poste 2]]</f>
        <v>0</v>
      </c>
      <c r="X474" s="74">
        <f>Devis[[#This Row],[Prix de Revient]]*Devis[[#This Row],[Poste 3]]</f>
        <v>0</v>
      </c>
      <c r="Y474" s="74">
        <f>Devis[[#This Row],[Poste 4]]*Devis[[#This Row],[Prix de Revient]]</f>
        <v>0</v>
      </c>
      <c r="Z474" s="74">
        <f>Devis[[#This Row],[Poste 5]]*Devis[[#This Row],[Prix de Revient]]</f>
        <v>0</v>
      </c>
      <c r="AA474" s="74">
        <f>Devis[[#This Row],[Prix de Revient]]*Devis[[#This Row],[Poste 6]]</f>
        <v>0</v>
      </c>
      <c r="AB474" s="74">
        <f>Devis[[#This Row],[Quantité Totale]]*Devis[[#This Row],[Prix de Revient]]</f>
        <v>0</v>
      </c>
    </row>
    <row r="475" spans="1:28" ht="14.25" outlineLevel="1" x14ac:dyDescent="0.2">
      <c r="A475" s="75" t="s">
        <v>120</v>
      </c>
      <c r="B475" s="76" t="s">
        <v>4644</v>
      </c>
      <c r="C475" s="76" t="s">
        <v>298</v>
      </c>
      <c r="D475" s="81" t="str">
        <f t="shared" si="8"/>
        <v>CablageECLAIRAGE &amp; INTERRUPTEURInterupteur en applique</v>
      </c>
      <c r="E475" s="76" t="s">
        <v>4645</v>
      </c>
      <c r="F475" s="81">
        <v>3</v>
      </c>
      <c r="G475" s="71">
        <v>69711</v>
      </c>
      <c r="H475" s="71"/>
      <c r="I475" s="71"/>
      <c r="J475" s="70">
        <f>IFERROR(VLOOKUP(Devis[[#This Row],[Ref Air Flux]],#REF!,3,FALSE),0)</f>
        <v>0</v>
      </c>
      <c r="K475" s="68"/>
      <c r="L475" s="68"/>
      <c r="M475" s="68"/>
      <c r="N475" s="68"/>
      <c r="O475" s="68"/>
      <c r="P475" s="68"/>
      <c r="Q475" s="68">
        <f>SUM(Devis[[#This Row],[Poste 1]:[Poste 6]])</f>
        <v>0</v>
      </c>
      <c r="R475" s="71"/>
      <c r="S475" s="68">
        <f>_xlfn.CEILING.MATH(Devis[[#This Row],[Quantité Totale]],Devis[[#This Row],[Conditionnement]])</f>
        <v>0</v>
      </c>
      <c r="T475" s="72"/>
      <c r="U475" s="73"/>
      <c r="V475" s="74">
        <f>Devis[[#This Row],[Prix de Revient]]*Devis[[#This Row],[Poste 1]]</f>
        <v>0</v>
      </c>
      <c r="W475" s="74">
        <f>Devis[[#This Row],[Prix de Revient]]*Devis[[#This Row],[Poste 2]]</f>
        <v>0</v>
      </c>
      <c r="X475" s="74">
        <f>Devis[[#This Row],[Prix de Revient]]*Devis[[#This Row],[Poste 3]]</f>
        <v>0</v>
      </c>
      <c r="Y475" s="74">
        <f>Devis[[#This Row],[Poste 4]]*Devis[[#This Row],[Prix de Revient]]</f>
        <v>0</v>
      </c>
      <c r="Z475" s="74">
        <f>Devis[[#This Row],[Poste 5]]*Devis[[#This Row],[Prix de Revient]]</f>
        <v>0</v>
      </c>
      <c r="AA475" s="74">
        <f>Devis[[#This Row],[Prix de Revient]]*Devis[[#This Row],[Poste 6]]</f>
        <v>0</v>
      </c>
      <c r="AB475" s="74">
        <f>Devis[[#This Row],[Quantité Totale]]*Devis[[#This Row],[Prix de Revient]]</f>
        <v>0</v>
      </c>
    </row>
    <row r="476" spans="1:28" ht="14.25" customHeight="1" x14ac:dyDescent="0.25">
      <c r="A476" s="65" t="s">
        <v>120</v>
      </c>
      <c r="B476" s="65" t="s">
        <v>288</v>
      </c>
      <c r="C476" s="76"/>
      <c r="D476" s="81" t="str">
        <f t="shared" si="8"/>
        <v>CablageEmbouts de cablage</v>
      </c>
      <c r="E476" s="76"/>
      <c r="F476" s="81">
        <v>0</v>
      </c>
      <c r="G476" s="71"/>
      <c r="H476" s="71"/>
      <c r="I476" s="71"/>
      <c r="J476" s="70">
        <f>IFERROR(VLOOKUP(Devis[[#This Row],[Ref Air Flux]],#REF!,3,FALSE),0)</f>
        <v>0</v>
      </c>
      <c r="K476" s="68"/>
      <c r="L476" s="68"/>
      <c r="M476" s="68"/>
      <c r="N476" s="68"/>
      <c r="O476" s="68"/>
      <c r="P476" s="68"/>
      <c r="Q476" s="68">
        <f>SUM(Devis[[#This Row],[Poste 1]:[Poste 6]])</f>
        <v>0</v>
      </c>
      <c r="R476" s="71"/>
      <c r="S476" s="68">
        <f>_xlfn.CEILING.MATH(Devis[[#This Row],[Quantité Totale]],Devis[[#This Row],[Conditionnement]])</f>
        <v>0</v>
      </c>
      <c r="T476" s="72"/>
      <c r="U476" s="73"/>
      <c r="V476" s="74">
        <f>Devis[[#This Row],[Prix de Revient]]*Devis[[#This Row],[Poste 1]]</f>
        <v>0</v>
      </c>
      <c r="W476" s="74">
        <f>Devis[[#This Row],[Prix de Revient]]*Devis[[#This Row],[Poste 2]]</f>
        <v>0</v>
      </c>
      <c r="X476" s="74">
        <f>Devis[[#This Row],[Prix de Revient]]*Devis[[#This Row],[Poste 3]]</f>
        <v>0</v>
      </c>
      <c r="Y476" s="74">
        <f>Devis[[#This Row],[Poste 4]]*Devis[[#This Row],[Prix de Revient]]</f>
        <v>0</v>
      </c>
      <c r="Z476" s="74">
        <f>Devis[[#This Row],[Poste 5]]*Devis[[#This Row],[Prix de Revient]]</f>
        <v>0</v>
      </c>
      <c r="AA476" s="74">
        <f>Devis[[#This Row],[Prix de Revient]]*Devis[[#This Row],[Poste 6]]</f>
        <v>0</v>
      </c>
      <c r="AB476" s="74">
        <f>Devis[[#This Row],[Quantité Totale]]*Devis[[#This Row],[Prix de Revient]]</f>
        <v>0</v>
      </c>
    </row>
    <row r="477" spans="1:28" ht="14.25" outlineLevel="1" x14ac:dyDescent="0.2">
      <c r="A477" s="75" t="s">
        <v>120</v>
      </c>
      <c r="B477" s="76" t="s">
        <v>288</v>
      </c>
      <c r="C477" s="76"/>
      <c r="D477" s="81" t="str">
        <f t="shared" si="8"/>
        <v>CablageEmbouts de cablage</v>
      </c>
      <c r="E477" s="76" t="s">
        <v>289</v>
      </c>
      <c r="F477" s="81">
        <v>1</v>
      </c>
      <c r="G477" s="71"/>
      <c r="H477" s="79"/>
      <c r="I477" s="71"/>
      <c r="J477" s="70">
        <f>IFERROR(VLOOKUP(Devis[[#This Row],[Ref Air Flux]],#REF!,3,FALSE),0)</f>
        <v>0</v>
      </c>
      <c r="K477" s="68"/>
      <c r="L477" s="68"/>
      <c r="M477" s="68"/>
      <c r="N477" s="68"/>
      <c r="O477" s="68"/>
      <c r="P477" s="68"/>
      <c r="Q477" s="68">
        <f>SUM(Devis[[#This Row],[Poste 1]:[Poste 6]])</f>
        <v>0</v>
      </c>
      <c r="R477" s="71"/>
      <c r="S477" s="68">
        <f>_xlfn.CEILING.MATH(Devis[[#This Row],[Quantité Totale]],Devis[[#This Row],[Conditionnement]])</f>
        <v>0</v>
      </c>
      <c r="T477" s="72"/>
      <c r="U477" s="73" t="s">
        <v>290</v>
      </c>
      <c r="V477" s="74">
        <f>Devis[[#This Row],[Prix de Revient]]*Devis[[#This Row],[Poste 1]]</f>
        <v>0</v>
      </c>
      <c r="W477" s="74">
        <f>Devis[[#This Row],[Prix de Revient]]*Devis[[#This Row],[Poste 2]]</f>
        <v>0</v>
      </c>
      <c r="X477" s="74">
        <f>Devis[[#This Row],[Prix de Revient]]*Devis[[#This Row],[Poste 3]]</f>
        <v>0</v>
      </c>
      <c r="Y477" s="74">
        <f>Devis[[#This Row],[Poste 4]]*Devis[[#This Row],[Prix de Revient]]</f>
        <v>0</v>
      </c>
      <c r="Z477" s="74">
        <f>Devis[[#This Row],[Poste 5]]*Devis[[#This Row],[Prix de Revient]]</f>
        <v>0</v>
      </c>
      <c r="AA477" s="74">
        <f>Devis[[#This Row],[Prix de Revient]]*Devis[[#This Row],[Poste 6]]</f>
        <v>0</v>
      </c>
      <c r="AB477" s="74">
        <f>Devis[[#This Row],[Quantité Totale]]*Devis[[#This Row],[Prix de Revient]]</f>
        <v>0</v>
      </c>
    </row>
    <row r="478" spans="1:28" ht="15" customHeight="1" outlineLevel="1" x14ac:dyDescent="0.2">
      <c r="A478" s="75" t="s">
        <v>120</v>
      </c>
      <c r="B478" s="76" t="s">
        <v>288</v>
      </c>
      <c r="C478" s="76"/>
      <c r="D478" s="81" t="str">
        <f t="shared" si="8"/>
        <v>CablageEmbouts de cablage</v>
      </c>
      <c r="E478" s="76">
        <v>0.75</v>
      </c>
      <c r="F478" s="81">
        <v>2</v>
      </c>
      <c r="G478" s="71">
        <v>37662</v>
      </c>
      <c r="H478" s="79"/>
      <c r="I478" s="71"/>
      <c r="J478" s="70">
        <f>IFERROR(VLOOKUP(Devis[[#This Row],[Ref Air Flux]],#REF!,3,FALSE),0)</f>
        <v>0</v>
      </c>
      <c r="K478" s="68"/>
      <c r="L478" s="68"/>
      <c r="M478" s="68"/>
      <c r="N478" s="68"/>
      <c r="O478" s="68"/>
      <c r="P478" s="68"/>
      <c r="Q478" s="68">
        <f>SUM(Devis[[#This Row],[Poste 1]:[Poste 6]])</f>
        <v>0</v>
      </c>
      <c r="R478" s="71"/>
      <c r="S478" s="68">
        <f>_xlfn.CEILING.MATH(Devis[[#This Row],[Quantité Totale]],Devis[[#This Row],[Conditionnement]])</f>
        <v>0</v>
      </c>
      <c r="T478" s="72"/>
      <c r="U478" s="73" t="s">
        <v>290</v>
      </c>
      <c r="V478" s="74">
        <f>Devis[[#This Row],[Prix de Revient]]*Devis[[#This Row],[Poste 1]]</f>
        <v>0</v>
      </c>
      <c r="W478" s="74">
        <f>Devis[[#This Row],[Prix de Revient]]*Devis[[#This Row],[Poste 2]]</f>
        <v>0</v>
      </c>
      <c r="X478" s="74">
        <f>Devis[[#This Row],[Prix de Revient]]*Devis[[#This Row],[Poste 3]]</f>
        <v>0</v>
      </c>
      <c r="Y478" s="74">
        <f>Devis[[#This Row],[Poste 4]]*Devis[[#This Row],[Prix de Revient]]</f>
        <v>0</v>
      </c>
      <c r="Z478" s="74">
        <f>Devis[[#This Row],[Poste 5]]*Devis[[#This Row],[Prix de Revient]]</f>
        <v>0</v>
      </c>
      <c r="AA478" s="74">
        <f>Devis[[#This Row],[Prix de Revient]]*Devis[[#This Row],[Poste 6]]</f>
        <v>0</v>
      </c>
      <c r="AB478" s="74">
        <f>Devis[[#This Row],[Quantité Totale]]*Devis[[#This Row],[Prix de Revient]]</f>
        <v>0</v>
      </c>
    </row>
    <row r="479" spans="1:28" ht="14.25" outlineLevel="1" x14ac:dyDescent="0.2">
      <c r="A479" s="75" t="s">
        <v>120</v>
      </c>
      <c r="B479" s="76" t="s">
        <v>288</v>
      </c>
      <c r="C479" s="76"/>
      <c r="D479" s="81" t="str">
        <f t="shared" si="8"/>
        <v>CablageEmbouts de cablage</v>
      </c>
      <c r="E479" s="76" t="s">
        <v>291</v>
      </c>
      <c r="F479" s="81">
        <v>3</v>
      </c>
      <c r="G479" s="71">
        <v>37663</v>
      </c>
      <c r="H479" s="79"/>
      <c r="I479" s="71"/>
      <c r="J479" s="70">
        <f>IFERROR(VLOOKUP(Devis[[#This Row],[Ref Air Flux]],#REF!,3,FALSE),0)</f>
        <v>0</v>
      </c>
      <c r="K479" s="68"/>
      <c r="L479" s="68"/>
      <c r="M479" s="68"/>
      <c r="N479" s="68"/>
      <c r="O479" s="68"/>
      <c r="P479" s="68"/>
      <c r="Q479" s="68">
        <f>SUM(Devis[[#This Row],[Poste 1]:[Poste 6]])</f>
        <v>0</v>
      </c>
      <c r="R479" s="71"/>
      <c r="S479" s="68">
        <f>_xlfn.CEILING.MATH(Devis[[#This Row],[Quantité Totale]],Devis[[#This Row],[Conditionnement]])</f>
        <v>0</v>
      </c>
      <c r="T479" s="72"/>
      <c r="U479" s="73" t="s">
        <v>290</v>
      </c>
      <c r="V479" s="74">
        <f>Devis[[#This Row],[Prix de Revient]]*Devis[[#This Row],[Poste 1]]</f>
        <v>0</v>
      </c>
      <c r="W479" s="74">
        <f>Devis[[#This Row],[Prix de Revient]]*Devis[[#This Row],[Poste 2]]</f>
        <v>0</v>
      </c>
      <c r="X479" s="74">
        <f>Devis[[#This Row],[Prix de Revient]]*Devis[[#This Row],[Poste 3]]</f>
        <v>0</v>
      </c>
      <c r="Y479" s="74">
        <f>Devis[[#This Row],[Poste 4]]*Devis[[#This Row],[Prix de Revient]]</f>
        <v>0</v>
      </c>
      <c r="Z479" s="74">
        <f>Devis[[#This Row],[Poste 5]]*Devis[[#This Row],[Prix de Revient]]</f>
        <v>0</v>
      </c>
      <c r="AA479" s="74">
        <f>Devis[[#This Row],[Prix de Revient]]*Devis[[#This Row],[Poste 6]]</f>
        <v>0</v>
      </c>
      <c r="AB479" s="74">
        <f>Devis[[#This Row],[Quantité Totale]]*Devis[[#This Row],[Prix de Revient]]</f>
        <v>0</v>
      </c>
    </row>
    <row r="480" spans="1:28" ht="14.25" outlineLevel="1" x14ac:dyDescent="0.2">
      <c r="A480" s="75" t="s">
        <v>120</v>
      </c>
      <c r="B480" s="76" t="s">
        <v>288</v>
      </c>
      <c r="C480" s="76"/>
      <c r="D480" s="81" t="str">
        <f t="shared" si="8"/>
        <v>CablageEmbouts de cablage</v>
      </c>
      <c r="E480" s="76" t="s">
        <v>292</v>
      </c>
      <c r="F480" s="81">
        <v>4</v>
      </c>
      <c r="G480" s="71">
        <v>37664</v>
      </c>
      <c r="H480" s="79"/>
      <c r="I480" s="71"/>
      <c r="J480" s="70">
        <f>IFERROR(VLOOKUP(Devis[[#This Row],[Ref Air Flux]],#REF!,3,FALSE),0)</f>
        <v>0</v>
      </c>
      <c r="K480" s="68"/>
      <c r="L480" s="68"/>
      <c r="M480" s="68"/>
      <c r="N480" s="68"/>
      <c r="O480" s="68"/>
      <c r="P480" s="68"/>
      <c r="Q480" s="68">
        <f>SUM(Devis[[#This Row],[Poste 1]:[Poste 6]])</f>
        <v>0</v>
      </c>
      <c r="R480" s="71"/>
      <c r="S480" s="68">
        <f>_xlfn.CEILING.MATH(Devis[[#This Row],[Quantité Totale]],Devis[[#This Row],[Conditionnement]])</f>
        <v>0</v>
      </c>
      <c r="T480" s="72"/>
      <c r="U480" s="73" t="s">
        <v>290</v>
      </c>
      <c r="V480" s="74">
        <f>Devis[[#This Row],[Prix de Revient]]*Devis[[#This Row],[Poste 1]]</f>
        <v>0</v>
      </c>
      <c r="W480" s="74">
        <f>Devis[[#This Row],[Prix de Revient]]*Devis[[#This Row],[Poste 2]]</f>
        <v>0</v>
      </c>
      <c r="X480" s="74">
        <f>Devis[[#This Row],[Prix de Revient]]*Devis[[#This Row],[Poste 3]]</f>
        <v>0</v>
      </c>
      <c r="Y480" s="74">
        <f>Devis[[#This Row],[Poste 4]]*Devis[[#This Row],[Prix de Revient]]</f>
        <v>0</v>
      </c>
      <c r="Z480" s="74">
        <f>Devis[[#This Row],[Poste 5]]*Devis[[#This Row],[Prix de Revient]]</f>
        <v>0</v>
      </c>
      <c r="AA480" s="74">
        <f>Devis[[#This Row],[Prix de Revient]]*Devis[[#This Row],[Poste 6]]</f>
        <v>0</v>
      </c>
      <c r="AB480" s="74">
        <f>Devis[[#This Row],[Quantité Totale]]*Devis[[#This Row],[Prix de Revient]]</f>
        <v>0</v>
      </c>
    </row>
    <row r="481" spans="1:28" ht="14.25" customHeight="1" outlineLevel="1" x14ac:dyDescent="0.2">
      <c r="A481" s="75" t="s">
        <v>120</v>
      </c>
      <c r="B481" s="76" t="s">
        <v>288</v>
      </c>
      <c r="C481" s="76"/>
      <c r="D481" s="81" t="str">
        <f t="shared" si="8"/>
        <v>CablageEmbouts de cablage</v>
      </c>
      <c r="E481" s="76">
        <v>2.5</v>
      </c>
      <c r="F481" s="81">
        <v>5</v>
      </c>
      <c r="G481" s="71">
        <v>37666</v>
      </c>
      <c r="H481" s="79"/>
      <c r="I481" s="71"/>
      <c r="J481" s="70">
        <f>IFERROR(VLOOKUP(Devis[[#This Row],[Ref Air Flux]],#REF!,3,FALSE),0)</f>
        <v>0</v>
      </c>
      <c r="K481" s="68"/>
      <c r="L481" s="68"/>
      <c r="M481" s="68"/>
      <c r="N481" s="68"/>
      <c r="O481" s="68"/>
      <c r="P481" s="68"/>
      <c r="Q481" s="68">
        <f>SUM(Devis[[#This Row],[Poste 1]:[Poste 6]])</f>
        <v>0</v>
      </c>
      <c r="R481" s="71"/>
      <c r="S481" s="68">
        <f>_xlfn.CEILING.MATH(Devis[[#This Row],[Quantité Totale]],Devis[[#This Row],[Conditionnement]])</f>
        <v>0</v>
      </c>
      <c r="T481" s="72"/>
      <c r="U481" s="73" t="s">
        <v>290</v>
      </c>
      <c r="V481" s="74">
        <f>Devis[[#This Row],[Prix de Revient]]*Devis[[#This Row],[Poste 1]]</f>
        <v>0</v>
      </c>
      <c r="W481" s="74">
        <f>Devis[[#This Row],[Prix de Revient]]*Devis[[#This Row],[Poste 2]]</f>
        <v>0</v>
      </c>
      <c r="X481" s="74">
        <f>Devis[[#This Row],[Prix de Revient]]*Devis[[#This Row],[Poste 3]]</f>
        <v>0</v>
      </c>
      <c r="Y481" s="74">
        <f>Devis[[#This Row],[Poste 4]]*Devis[[#This Row],[Prix de Revient]]</f>
        <v>0</v>
      </c>
      <c r="Z481" s="74">
        <f>Devis[[#This Row],[Poste 5]]*Devis[[#This Row],[Prix de Revient]]</f>
        <v>0</v>
      </c>
      <c r="AA481" s="74">
        <f>Devis[[#This Row],[Prix de Revient]]*Devis[[#This Row],[Poste 6]]</f>
        <v>0</v>
      </c>
      <c r="AB481" s="74">
        <f>Devis[[#This Row],[Quantité Totale]]*Devis[[#This Row],[Prix de Revient]]</f>
        <v>0</v>
      </c>
    </row>
    <row r="482" spans="1:28" ht="14.25" outlineLevel="1" x14ac:dyDescent="0.2">
      <c r="A482" s="75" t="s">
        <v>120</v>
      </c>
      <c r="B482" s="76" t="s">
        <v>288</v>
      </c>
      <c r="C482" s="76"/>
      <c r="D482" s="81" t="str">
        <f t="shared" si="8"/>
        <v>CablageEmbouts de cablage</v>
      </c>
      <c r="E482" s="76" t="s">
        <v>136</v>
      </c>
      <c r="F482" s="81">
        <v>6</v>
      </c>
      <c r="G482" s="71">
        <v>37667</v>
      </c>
      <c r="H482" s="79"/>
      <c r="I482" s="71"/>
      <c r="J482" s="70">
        <f>IFERROR(VLOOKUP(Devis[[#This Row],[Ref Air Flux]],#REF!,3,FALSE),0)</f>
        <v>0</v>
      </c>
      <c r="K482" s="68"/>
      <c r="L482" s="68"/>
      <c r="M482" s="68"/>
      <c r="N482" s="68"/>
      <c r="O482" s="68"/>
      <c r="P482" s="68"/>
      <c r="Q482" s="68">
        <f>SUM(Devis[[#This Row],[Poste 1]:[Poste 6]])</f>
        <v>0</v>
      </c>
      <c r="R482" s="71"/>
      <c r="S482" s="68">
        <f>_xlfn.CEILING.MATH(Devis[[#This Row],[Quantité Totale]],Devis[[#This Row],[Conditionnement]])</f>
        <v>0</v>
      </c>
      <c r="T482" s="72"/>
      <c r="U482" s="73" t="s">
        <v>290</v>
      </c>
      <c r="V482" s="74">
        <f>Devis[[#This Row],[Prix de Revient]]*Devis[[#This Row],[Poste 1]]</f>
        <v>0</v>
      </c>
      <c r="W482" s="74">
        <f>Devis[[#This Row],[Prix de Revient]]*Devis[[#This Row],[Poste 2]]</f>
        <v>0</v>
      </c>
      <c r="X482" s="74">
        <f>Devis[[#This Row],[Prix de Revient]]*Devis[[#This Row],[Poste 3]]</f>
        <v>0</v>
      </c>
      <c r="Y482" s="74">
        <f>Devis[[#This Row],[Poste 4]]*Devis[[#This Row],[Prix de Revient]]</f>
        <v>0</v>
      </c>
      <c r="Z482" s="74">
        <f>Devis[[#This Row],[Poste 5]]*Devis[[#This Row],[Prix de Revient]]</f>
        <v>0</v>
      </c>
      <c r="AA482" s="74">
        <f>Devis[[#This Row],[Prix de Revient]]*Devis[[#This Row],[Poste 6]]</f>
        <v>0</v>
      </c>
      <c r="AB482" s="74">
        <f>Devis[[#This Row],[Quantité Totale]]*Devis[[#This Row],[Prix de Revient]]</f>
        <v>0</v>
      </c>
    </row>
    <row r="483" spans="1:28" ht="14.25" outlineLevel="1" x14ac:dyDescent="0.2">
      <c r="A483" s="75" t="s">
        <v>120</v>
      </c>
      <c r="B483" s="76" t="s">
        <v>288</v>
      </c>
      <c r="C483" s="76"/>
      <c r="D483" s="81" t="str">
        <f t="shared" ref="D483:D547" si="9">A483&amp;B483&amp;C483</f>
        <v>CablageEmbouts de cablage</v>
      </c>
      <c r="E483" s="76" t="s">
        <v>137</v>
      </c>
      <c r="F483" s="81">
        <v>7</v>
      </c>
      <c r="G483" s="71">
        <v>37668</v>
      </c>
      <c r="H483" s="79"/>
      <c r="I483" s="71"/>
      <c r="J483" s="70">
        <f>IFERROR(VLOOKUP(Devis[[#This Row],[Ref Air Flux]],#REF!,3,FALSE),0)</f>
        <v>0</v>
      </c>
      <c r="K483" s="68"/>
      <c r="L483" s="68"/>
      <c r="M483" s="68"/>
      <c r="N483" s="68"/>
      <c r="O483" s="68"/>
      <c r="P483" s="68"/>
      <c r="Q483" s="68">
        <f>SUM(Devis[[#This Row],[Poste 1]:[Poste 6]])</f>
        <v>0</v>
      </c>
      <c r="R483" s="71"/>
      <c r="S483" s="68">
        <f>_xlfn.CEILING.MATH(Devis[[#This Row],[Quantité Totale]],Devis[[#This Row],[Conditionnement]])</f>
        <v>0</v>
      </c>
      <c r="T483" s="72"/>
      <c r="U483" s="73" t="s">
        <v>290</v>
      </c>
      <c r="V483" s="74">
        <f>Devis[[#This Row],[Prix de Revient]]*Devis[[#This Row],[Poste 1]]</f>
        <v>0</v>
      </c>
      <c r="W483" s="74">
        <f>Devis[[#This Row],[Prix de Revient]]*Devis[[#This Row],[Poste 2]]</f>
        <v>0</v>
      </c>
      <c r="X483" s="74">
        <f>Devis[[#This Row],[Prix de Revient]]*Devis[[#This Row],[Poste 3]]</f>
        <v>0</v>
      </c>
      <c r="Y483" s="74">
        <f>Devis[[#This Row],[Poste 4]]*Devis[[#This Row],[Prix de Revient]]</f>
        <v>0</v>
      </c>
      <c r="Z483" s="74">
        <f>Devis[[#This Row],[Poste 5]]*Devis[[#This Row],[Prix de Revient]]</f>
        <v>0</v>
      </c>
      <c r="AA483" s="74">
        <f>Devis[[#This Row],[Prix de Revient]]*Devis[[#This Row],[Poste 6]]</f>
        <v>0</v>
      </c>
      <c r="AB483" s="74">
        <f>Devis[[#This Row],[Quantité Totale]]*Devis[[#This Row],[Prix de Revient]]</f>
        <v>0</v>
      </c>
    </row>
    <row r="484" spans="1:28" ht="14.25" customHeight="1" outlineLevel="1" x14ac:dyDescent="0.2">
      <c r="A484" s="75" t="s">
        <v>120</v>
      </c>
      <c r="B484" s="76" t="s">
        <v>288</v>
      </c>
      <c r="C484" s="76"/>
      <c r="D484" s="81" t="str">
        <f t="shared" si="9"/>
        <v>CablageEmbouts de cablage</v>
      </c>
      <c r="E484" s="76" t="s">
        <v>138</v>
      </c>
      <c r="F484" s="81">
        <v>8</v>
      </c>
      <c r="G484" s="71">
        <v>37669</v>
      </c>
      <c r="H484" s="79"/>
      <c r="I484" s="71"/>
      <c r="J484" s="70">
        <f>IFERROR(VLOOKUP(Devis[[#This Row],[Ref Air Flux]],#REF!,3,FALSE),0)</f>
        <v>0</v>
      </c>
      <c r="K484" s="68"/>
      <c r="L484" s="68"/>
      <c r="M484" s="68"/>
      <c r="N484" s="68"/>
      <c r="O484" s="68"/>
      <c r="P484" s="68"/>
      <c r="Q484" s="68">
        <f>SUM(Devis[[#This Row],[Poste 1]:[Poste 6]])</f>
        <v>0</v>
      </c>
      <c r="R484" s="71"/>
      <c r="S484" s="68">
        <f>_xlfn.CEILING.MATH(Devis[[#This Row],[Quantité Totale]],Devis[[#This Row],[Conditionnement]])</f>
        <v>0</v>
      </c>
      <c r="T484" s="72"/>
      <c r="U484" s="73" t="s">
        <v>290</v>
      </c>
      <c r="V484" s="74">
        <f>Devis[[#This Row],[Prix de Revient]]*Devis[[#This Row],[Poste 1]]</f>
        <v>0</v>
      </c>
      <c r="W484" s="74">
        <f>Devis[[#This Row],[Prix de Revient]]*Devis[[#This Row],[Poste 2]]</f>
        <v>0</v>
      </c>
      <c r="X484" s="74">
        <f>Devis[[#This Row],[Prix de Revient]]*Devis[[#This Row],[Poste 3]]</f>
        <v>0</v>
      </c>
      <c r="Y484" s="74">
        <f>Devis[[#This Row],[Poste 4]]*Devis[[#This Row],[Prix de Revient]]</f>
        <v>0</v>
      </c>
      <c r="Z484" s="74">
        <f>Devis[[#This Row],[Poste 5]]*Devis[[#This Row],[Prix de Revient]]</f>
        <v>0</v>
      </c>
      <c r="AA484" s="74">
        <f>Devis[[#This Row],[Prix de Revient]]*Devis[[#This Row],[Poste 6]]</f>
        <v>0</v>
      </c>
      <c r="AB484" s="74">
        <f>Devis[[#This Row],[Quantité Totale]]*Devis[[#This Row],[Prix de Revient]]</f>
        <v>0</v>
      </c>
    </row>
    <row r="485" spans="1:28" ht="14.25" outlineLevel="1" x14ac:dyDescent="0.2">
      <c r="A485" s="75" t="s">
        <v>120</v>
      </c>
      <c r="B485" s="76" t="s">
        <v>288</v>
      </c>
      <c r="C485" s="76"/>
      <c r="D485" s="81" t="str">
        <f t="shared" si="9"/>
        <v>CablageEmbouts de cablage</v>
      </c>
      <c r="E485" s="76" t="s">
        <v>293</v>
      </c>
      <c r="F485" s="81">
        <v>9</v>
      </c>
      <c r="G485" s="71">
        <v>37672</v>
      </c>
      <c r="H485" s="79"/>
      <c r="I485" s="71"/>
      <c r="J485" s="70">
        <f>IFERROR(VLOOKUP(Devis[[#This Row],[Ref Air Flux]],#REF!,3,FALSE),0)</f>
        <v>0</v>
      </c>
      <c r="K485" s="68"/>
      <c r="L485" s="68"/>
      <c r="M485" s="68"/>
      <c r="N485" s="68"/>
      <c r="O485" s="68"/>
      <c r="P485" s="68"/>
      <c r="Q485" s="68">
        <f>SUM(Devis[[#This Row],[Poste 1]:[Poste 6]])</f>
        <v>0</v>
      </c>
      <c r="R485" s="71"/>
      <c r="S485" s="68">
        <f>_xlfn.CEILING.MATH(Devis[[#This Row],[Quantité Totale]],Devis[[#This Row],[Conditionnement]])</f>
        <v>0</v>
      </c>
      <c r="T485" s="72"/>
      <c r="U485" s="73"/>
      <c r="V485" s="74">
        <f>Devis[[#This Row],[Prix de Revient]]*Devis[[#This Row],[Poste 1]]</f>
        <v>0</v>
      </c>
      <c r="W485" s="74">
        <f>Devis[[#This Row],[Prix de Revient]]*Devis[[#This Row],[Poste 2]]</f>
        <v>0</v>
      </c>
      <c r="X485" s="74">
        <f>Devis[[#This Row],[Prix de Revient]]*Devis[[#This Row],[Poste 3]]</f>
        <v>0</v>
      </c>
      <c r="Y485" s="74">
        <f>Devis[[#This Row],[Poste 4]]*Devis[[#This Row],[Prix de Revient]]</f>
        <v>0</v>
      </c>
      <c r="Z485" s="74">
        <f>Devis[[#This Row],[Poste 5]]*Devis[[#This Row],[Prix de Revient]]</f>
        <v>0</v>
      </c>
      <c r="AA485" s="74">
        <f>Devis[[#This Row],[Prix de Revient]]*Devis[[#This Row],[Poste 6]]</f>
        <v>0</v>
      </c>
      <c r="AB485" s="74">
        <f>Devis[[#This Row],[Quantité Totale]]*Devis[[#This Row],[Prix de Revient]]</f>
        <v>0</v>
      </c>
    </row>
    <row r="486" spans="1:28" ht="14.25" outlineLevel="1" x14ac:dyDescent="0.2">
      <c r="A486" s="75" t="s">
        <v>120</v>
      </c>
      <c r="B486" s="76" t="s">
        <v>288</v>
      </c>
      <c r="C486" s="76"/>
      <c r="D486" s="81" t="str">
        <f t="shared" si="9"/>
        <v>CablageEmbouts de cablage</v>
      </c>
      <c r="E486" s="76" t="s">
        <v>294</v>
      </c>
      <c r="F486" s="81">
        <v>10</v>
      </c>
      <c r="G486" s="71"/>
      <c r="H486" s="79"/>
      <c r="I486" s="71"/>
      <c r="J486" s="70">
        <f>IFERROR(VLOOKUP(Devis[[#This Row],[Ref Air Flux]],#REF!,3,FALSE),0)</f>
        <v>0</v>
      </c>
      <c r="K486" s="68"/>
      <c r="L486" s="68"/>
      <c r="M486" s="68"/>
      <c r="N486" s="68"/>
      <c r="O486" s="68"/>
      <c r="P486" s="68"/>
      <c r="Q486" s="68">
        <f>SUM(Devis[[#This Row],[Poste 1]:[Poste 6]])</f>
        <v>0</v>
      </c>
      <c r="R486" s="71"/>
      <c r="S486" s="68">
        <f>_xlfn.CEILING.MATH(Devis[[#This Row],[Quantité Totale]],Devis[[#This Row],[Conditionnement]])</f>
        <v>0</v>
      </c>
      <c r="T486" s="72"/>
      <c r="U486" s="73"/>
      <c r="V486" s="74">
        <f>Devis[[#This Row],[Prix de Revient]]*Devis[[#This Row],[Poste 1]]</f>
        <v>0</v>
      </c>
      <c r="W486" s="74">
        <f>Devis[[#This Row],[Prix de Revient]]*Devis[[#This Row],[Poste 2]]</f>
        <v>0</v>
      </c>
      <c r="X486" s="74">
        <f>Devis[[#This Row],[Prix de Revient]]*Devis[[#This Row],[Poste 3]]</f>
        <v>0</v>
      </c>
      <c r="Y486" s="74">
        <f>Devis[[#This Row],[Poste 4]]*Devis[[#This Row],[Prix de Revient]]</f>
        <v>0</v>
      </c>
      <c r="Z486" s="74">
        <f>Devis[[#This Row],[Poste 5]]*Devis[[#This Row],[Prix de Revient]]</f>
        <v>0</v>
      </c>
      <c r="AA486" s="74">
        <f>Devis[[#This Row],[Prix de Revient]]*Devis[[#This Row],[Poste 6]]</f>
        <v>0</v>
      </c>
      <c r="AB486" s="74">
        <f>Devis[[#This Row],[Quantité Totale]]*Devis[[#This Row],[Prix de Revient]]</f>
        <v>0</v>
      </c>
    </row>
    <row r="487" spans="1:28" ht="14.25" outlineLevel="1" x14ac:dyDescent="0.2">
      <c r="A487" s="75" t="s">
        <v>120</v>
      </c>
      <c r="B487" s="76" t="s">
        <v>288</v>
      </c>
      <c r="C487" s="76"/>
      <c r="D487" s="81" t="str">
        <f t="shared" si="9"/>
        <v>CablageEmbouts de cablage</v>
      </c>
      <c r="E487" s="76" t="s">
        <v>295</v>
      </c>
      <c r="F487" s="81">
        <v>11</v>
      </c>
      <c r="G487" s="71"/>
      <c r="H487" s="79"/>
      <c r="I487" s="71"/>
      <c r="J487" s="70">
        <f>IFERROR(VLOOKUP(Devis[[#This Row],[Ref Air Flux]],#REF!,3,FALSE),0)</f>
        <v>0</v>
      </c>
      <c r="K487" s="68"/>
      <c r="L487" s="68"/>
      <c r="M487" s="68"/>
      <c r="N487" s="68"/>
      <c r="O487" s="68"/>
      <c r="P487" s="68"/>
      <c r="Q487" s="68">
        <f>SUM(Devis[[#This Row],[Poste 1]:[Poste 6]])</f>
        <v>0</v>
      </c>
      <c r="R487" s="71"/>
      <c r="S487" s="68">
        <f>_xlfn.CEILING.MATH(Devis[[#This Row],[Quantité Totale]],Devis[[#This Row],[Conditionnement]])</f>
        <v>0</v>
      </c>
      <c r="T487" s="72"/>
      <c r="U487" s="73"/>
      <c r="V487" s="74">
        <f>Devis[[#This Row],[Prix de Revient]]*Devis[[#This Row],[Poste 1]]</f>
        <v>0</v>
      </c>
      <c r="W487" s="74">
        <f>Devis[[#This Row],[Prix de Revient]]*Devis[[#This Row],[Poste 2]]</f>
        <v>0</v>
      </c>
      <c r="X487" s="74">
        <f>Devis[[#This Row],[Prix de Revient]]*Devis[[#This Row],[Poste 3]]</f>
        <v>0</v>
      </c>
      <c r="Y487" s="74">
        <f>Devis[[#This Row],[Poste 4]]*Devis[[#This Row],[Prix de Revient]]</f>
        <v>0</v>
      </c>
      <c r="Z487" s="74">
        <f>Devis[[#This Row],[Poste 5]]*Devis[[#This Row],[Prix de Revient]]</f>
        <v>0</v>
      </c>
      <c r="AA487" s="74">
        <f>Devis[[#This Row],[Prix de Revient]]*Devis[[#This Row],[Poste 6]]</f>
        <v>0</v>
      </c>
      <c r="AB487" s="74">
        <f>Devis[[#This Row],[Quantité Totale]]*Devis[[#This Row],[Prix de Revient]]</f>
        <v>0</v>
      </c>
    </row>
    <row r="488" spans="1:28" ht="14.25" outlineLevel="1" x14ac:dyDescent="0.2">
      <c r="A488" s="75" t="s">
        <v>120</v>
      </c>
      <c r="B488" s="76" t="s">
        <v>288</v>
      </c>
      <c r="C488" s="76"/>
      <c r="D488" s="81" t="str">
        <f t="shared" si="9"/>
        <v>CablageEmbouts de cablage</v>
      </c>
      <c r="E488" s="76" t="s">
        <v>296</v>
      </c>
      <c r="F488" s="81">
        <v>12</v>
      </c>
      <c r="G488" s="71"/>
      <c r="H488" s="79"/>
      <c r="I488" s="71"/>
      <c r="J488" s="70">
        <f>IFERROR(VLOOKUP(Devis[[#This Row],[Ref Air Flux]],#REF!,3,FALSE),0)</f>
        <v>0</v>
      </c>
      <c r="K488" s="68"/>
      <c r="L488" s="68"/>
      <c r="M488" s="68"/>
      <c r="N488" s="68"/>
      <c r="O488" s="68"/>
      <c r="P488" s="68"/>
      <c r="Q488" s="68">
        <f>SUM(Devis[[#This Row],[Poste 1]:[Poste 6]])</f>
        <v>0</v>
      </c>
      <c r="R488" s="71"/>
      <c r="S488" s="68">
        <f>_xlfn.CEILING.MATH(Devis[[#This Row],[Quantité Totale]],Devis[[#This Row],[Conditionnement]])</f>
        <v>0</v>
      </c>
      <c r="T488" s="72"/>
      <c r="U488" s="73"/>
      <c r="V488" s="74">
        <f>Devis[[#This Row],[Prix de Revient]]*Devis[[#This Row],[Poste 1]]</f>
        <v>0</v>
      </c>
      <c r="W488" s="74">
        <f>Devis[[#This Row],[Prix de Revient]]*Devis[[#This Row],[Poste 2]]</f>
        <v>0</v>
      </c>
      <c r="X488" s="74">
        <f>Devis[[#This Row],[Prix de Revient]]*Devis[[#This Row],[Poste 3]]</f>
        <v>0</v>
      </c>
      <c r="Y488" s="74">
        <f>Devis[[#This Row],[Poste 4]]*Devis[[#This Row],[Prix de Revient]]</f>
        <v>0</v>
      </c>
      <c r="Z488" s="74">
        <f>Devis[[#This Row],[Poste 5]]*Devis[[#This Row],[Prix de Revient]]</f>
        <v>0</v>
      </c>
      <c r="AA488" s="74">
        <f>Devis[[#This Row],[Prix de Revient]]*Devis[[#This Row],[Poste 6]]</f>
        <v>0</v>
      </c>
      <c r="AB488" s="74">
        <f>Devis[[#This Row],[Quantité Totale]]*Devis[[#This Row],[Prix de Revient]]</f>
        <v>0</v>
      </c>
    </row>
    <row r="489" spans="1:28" ht="14.25" customHeight="1" outlineLevel="1" x14ac:dyDescent="0.25">
      <c r="A489" s="65" t="s">
        <v>120</v>
      </c>
      <c r="B489" s="65" t="s">
        <v>4646</v>
      </c>
      <c r="C489" s="76"/>
      <c r="D489" s="81" t="str">
        <f t="shared" si="9"/>
        <v>CablageGAINE SPIRALEE</v>
      </c>
      <c r="E489" s="76"/>
      <c r="F489" s="81">
        <v>0</v>
      </c>
      <c r="G489" s="71"/>
      <c r="H489" s="71"/>
      <c r="I489" s="71"/>
      <c r="J489" s="70">
        <f>IFERROR(VLOOKUP(Devis[[#This Row],[Ref Air Flux]],#REF!,3,FALSE),0)</f>
        <v>0</v>
      </c>
      <c r="K489" s="68"/>
      <c r="L489" s="68"/>
      <c r="M489" s="68"/>
      <c r="N489" s="68"/>
      <c r="O489" s="68"/>
      <c r="P489" s="68"/>
      <c r="Q489" s="68">
        <f>SUM(Devis[[#This Row],[Poste 1]:[Poste 6]])</f>
        <v>0</v>
      </c>
      <c r="R489" s="71"/>
      <c r="S489" s="68">
        <f>_xlfn.CEILING.MATH(Devis[[#This Row],[Quantité Totale]],Devis[[#This Row],[Conditionnement]])</f>
        <v>0</v>
      </c>
      <c r="T489" s="72"/>
      <c r="U489" s="73"/>
      <c r="V489" s="74">
        <f>Devis[[#This Row],[Prix de Revient]]*Devis[[#This Row],[Poste 1]]</f>
        <v>0</v>
      </c>
      <c r="W489" s="74">
        <f>Devis[[#This Row],[Prix de Revient]]*Devis[[#This Row],[Poste 2]]</f>
        <v>0</v>
      </c>
      <c r="X489" s="74">
        <f>Devis[[#This Row],[Prix de Revient]]*Devis[[#This Row],[Poste 3]]</f>
        <v>0</v>
      </c>
      <c r="Y489" s="74">
        <f>Devis[[#This Row],[Poste 4]]*Devis[[#This Row],[Prix de Revient]]</f>
        <v>0</v>
      </c>
      <c r="Z489" s="74">
        <f>Devis[[#This Row],[Poste 5]]*Devis[[#This Row],[Prix de Revient]]</f>
        <v>0</v>
      </c>
      <c r="AA489" s="74">
        <f>Devis[[#This Row],[Prix de Revient]]*Devis[[#This Row],[Poste 6]]</f>
        <v>0</v>
      </c>
      <c r="AB489" s="74">
        <f>Devis[[#This Row],[Quantité Totale]]*Devis[[#This Row],[Prix de Revient]]</f>
        <v>0</v>
      </c>
    </row>
    <row r="490" spans="1:28" ht="15" customHeight="1" outlineLevel="1" x14ac:dyDescent="0.2">
      <c r="A490" s="75" t="s">
        <v>120</v>
      </c>
      <c r="B490" s="76" t="s">
        <v>4646</v>
      </c>
      <c r="C490" s="76" t="s">
        <v>4647</v>
      </c>
      <c r="D490" s="81" t="str">
        <f t="shared" si="9"/>
        <v>CablageGAINE SPIRALEE05mm</v>
      </c>
      <c r="E490" s="76" t="s">
        <v>4648</v>
      </c>
      <c r="F490" s="81">
        <v>1</v>
      </c>
      <c r="G490" s="71" t="s">
        <v>4649</v>
      </c>
      <c r="H490" s="79"/>
      <c r="I490" s="71"/>
      <c r="J490" s="70">
        <f>IFERROR(VLOOKUP(Devis[[#This Row],[Ref Air Flux]],#REF!,3,FALSE),0)</f>
        <v>0</v>
      </c>
      <c r="K490" s="68"/>
      <c r="L490" s="68"/>
      <c r="M490" s="68"/>
      <c r="N490" s="68"/>
      <c r="O490" s="68"/>
      <c r="P490" s="68"/>
      <c r="Q490" s="68">
        <f>SUM(Devis[[#This Row],[Poste 1]:[Poste 6]])</f>
        <v>0</v>
      </c>
      <c r="R490" s="71"/>
      <c r="S490" s="68">
        <f>_xlfn.CEILING.MATH(Devis[[#This Row],[Quantité Totale]],Devis[[#This Row],[Conditionnement]])</f>
        <v>0</v>
      </c>
      <c r="T490" s="72"/>
      <c r="U490" s="73"/>
      <c r="V490" s="74">
        <f>Devis[[#This Row],[Prix de Revient]]*Devis[[#This Row],[Poste 1]]</f>
        <v>0</v>
      </c>
      <c r="W490" s="74">
        <f>Devis[[#This Row],[Prix de Revient]]*Devis[[#This Row],[Poste 2]]</f>
        <v>0</v>
      </c>
      <c r="X490" s="74">
        <f>Devis[[#This Row],[Prix de Revient]]*Devis[[#This Row],[Poste 3]]</f>
        <v>0</v>
      </c>
      <c r="Y490" s="74">
        <f>Devis[[#This Row],[Poste 4]]*Devis[[#This Row],[Prix de Revient]]</f>
        <v>0</v>
      </c>
      <c r="Z490" s="74">
        <f>Devis[[#This Row],[Poste 5]]*Devis[[#This Row],[Prix de Revient]]</f>
        <v>0</v>
      </c>
      <c r="AA490" s="74">
        <f>Devis[[#This Row],[Prix de Revient]]*Devis[[#This Row],[Poste 6]]</f>
        <v>0</v>
      </c>
      <c r="AB490" s="74">
        <f>Devis[[#This Row],[Quantité Totale]]*Devis[[#This Row],[Prix de Revient]]</f>
        <v>0</v>
      </c>
    </row>
    <row r="491" spans="1:28" ht="14.25" customHeight="1" x14ac:dyDescent="0.25">
      <c r="A491" s="65" t="s">
        <v>120</v>
      </c>
      <c r="B491" s="65" t="s">
        <v>4570</v>
      </c>
      <c r="C491" s="76"/>
      <c r="D491" s="81" t="str">
        <f t="shared" si="9"/>
        <v>CablageIRO &amp; ATTACHES</v>
      </c>
      <c r="E491" s="76"/>
      <c r="F491" s="81">
        <v>0</v>
      </c>
      <c r="G491" s="71"/>
      <c r="H491" s="71"/>
      <c r="I491" s="71"/>
      <c r="J491" s="70">
        <f>IFERROR(VLOOKUP(Devis[[#This Row],[Ref Air Flux]],#REF!,3,FALSE),0)</f>
        <v>0</v>
      </c>
      <c r="K491" s="68"/>
      <c r="L491" s="68"/>
      <c r="M491" s="68"/>
      <c r="N491" s="68"/>
      <c r="O491" s="68"/>
      <c r="P491" s="68"/>
      <c r="Q491" s="68">
        <f>SUM(Devis[[#This Row],[Poste 1]:[Poste 6]])</f>
        <v>0</v>
      </c>
      <c r="R491" s="71"/>
      <c r="S491" s="68">
        <f>_xlfn.CEILING.MATH(Devis[[#This Row],[Quantité Totale]],Devis[[#This Row],[Conditionnement]])</f>
        <v>0</v>
      </c>
      <c r="T491" s="72"/>
      <c r="U491" s="73"/>
      <c r="V491" s="74">
        <f>Devis[[#This Row],[Prix de Revient]]*Devis[[#This Row],[Poste 1]]</f>
        <v>0</v>
      </c>
      <c r="W491" s="74">
        <f>Devis[[#This Row],[Prix de Revient]]*Devis[[#This Row],[Poste 2]]</f>
        <v>0</v>
      </c>
      <c r="X491" s="74">
        <f>Devis[[#This Row],[Prix de Revient]]*Devis[[#This Row],[Poste 3]]</f>
        <v>0</v>
      </c>
      <c r="Y491" s="74">
        <f>Devis[[#This Row],[Poste 4]]*Devis[[#This Row],[Prix de Revient]]</f>
        <v>0</v>
      </c>
      <c r="Z491" s="74">
        <f>Devis[[#This Row],[Poste 5]]*Devis[[#This Row],[Prix de Revient]]</f>
        <v>0</v>
      </c>
      <c r="AA491" s="74">
        <f>Devis[[#This Row],[Prix de Revient]]*Devis[[#This Row],[Poste 6]]</f>
        <v>0</v>
      </c>
      <c r="AB491" s="74">
        <f>Devis[[#This Row],[Quantité Totale]]*Devis[[#This Row],[Prix de Revient]]</f>
        <v>0</v>
      </c>
    </row>
    <row r="492" spans="1:28" ht="14.25" customHeight="1" outlineLevel="1" x14ac:dyDescent="0.2">
      <c r="A492" s="75" t="s">
        <v>120</v>
      </c>
      <c r="B492" s="76" t="s">
        <v>4570</v>
      </c>
      <c r="C492" s="76" t="s">
        <v>4571</v>
      </c>
      <c r="D492" s="81" t="str">
        <f t="shared" si="9"/>
        <v xml:space="preserve">CablageIRO &amp; ATTACHESAttache Colliers Blanc tube IRO </v>
      </c>
      <c r="E492" s="76" t="s">
        <v>4572</v>
      </c>
      <c r="F492" s="81">
        <v>1</v>
      </c>
      <c r="G492" s="71"/>
      <c r="H492" s="79"/>
      <c r="I492" s="71"/>
      <c r="J492" s="70">
        <f>IFERROR(VLOOKUP(Devis[[#This Row],[Ref Air Flux]],#REF!,3,FALSE),0)</f>
        <v>0</v>
      </c>
      <c r="K492" s="68"/>
      <c r="L492" s="68"/>
      <c r="M492" s="68"/>
      <c r="N492" s="68"/>
      <c r="O492" s="68"/>
      <c r="P492" s="68"/>
      <c r="Q492" s="68">
        <f>SUM(Devis[[#This Row],[Poste 1]:[Poste 6]])</f>
        <v>0</v>
      </c>
      <c r="R492" s="71"/>
      <c r="S492" s="68">
        <f>_xlfn.CEILING.MATH(Devis[[#This Row],[Quantité Totale]],Devis[[#This Row],[Conditionnement]])</f>
        <v>0</v>
      </c>
      <c r="T492" s="72"/>
      <c r="U492" s="73"/>
      <c r="V492" s="74">
        <f>Devis[[#This Row],[Prix de Revient]]*Devis[[#This Row],[Poste 1]]</f>
        <v>0</v>
      </c>
      <c r="W492" s="74">
        <f>Devis[[#This Row],[Prix de Revient]]*Devis[[#This Row],[Poste 2]]</f>
        <v>0</v>
      </c>
      <c r="X492" s="74">
        <f>Devis[[#This Row],[Prix de Revient]]*Devis[[#This Row],[Poste 3]]</f>
        <v>0</v>
      </c>
      <c r="Y492" s="74">
        <f>Devis[[#This Row],[Poste 4]]*Devis[[#This Row],[Prix de Revient]]</f>
        <v>0</v>
      </c>
      <c r="Z492" s="74">
        <f>Devis[[#This Row],[Poste 5]]*Devis[[#This Row],[Prix de Revient]]</f>
        <v>0</v>
      </c>
      <c r="AA492" s="74">
        <f>Devis[[#This Row],[Prix de Revient]]*Devis[[#This Row],[Poste 6]]</f>
        <v>0</v>
      </c>
      <c r="AB492" s="74">
        <f>Devis[[#This Row],[Quantité Totale]]*Devis[[#This Row],[Prix de Revient]]</f>
        <v>0</v>
      </c>
    </row>
    <row r="493" spans="1:28" ht="14.25" customHeight="1" outlineLevel="1" x14ac:dyDescent="0.2">
      <c r="A493" s="75" t="s">
        <v>120</v>
      </c>
      <c r="B493" s="76" t="s">
        <v>4570</v>
      </c>
      <c r="C493" s="76" t="s">
        <v>4571</v>
      </c>
      <c r="D493" s="81" t="str">
        <f t="shared" si="9"/>
        <v xml:space="preserve">CablageIRO &amp; ATTACHESAttache Colliers Blanc tube IRO </v>
      </c>
      <c r="E493" s="76" t="s">
        <v>4573</v>
      </c>
      <c r="F493" s="81">
        <v>2</v>
      </c>
      <c r="G493" s="71">
        <v>31904</v>
      </c>
      <c r="H493" s="79"/>
      <c r="I493" s="71"/>
      <c r="J493" s="70">
        <f>IFERROR(VLOOKUP(Devis[[#This Row],[Ref Air Flux]],#REF!,3,FALSE),0)</f>
        <v>0</v>
      </c>
      <c r="K493" s="68"/>
      <c r="L493" s="68"/>
      <c r="M493" s="68"/>
      <c r="N493" s="68"/>
      <c r="O493" s="68"/>
      <c r="P493" s="68"/>
      <c r="Q493" s="68">
        <f>SUM(Devis[[#This Row],[Poste 1]:[Poste 6]])</f>
        <v>0</v>
      </c>
      <c r="R493" s="71"/>
      <c r="S493" s="68">
        <f>_xlfn.CEILING.MATH(Devis[[#This Row],[Quantité Totale]],Devis[[#This Row],[Conditionnement]])</f>
        <v>0</v>
      </c>
      <c r="T493" s="72"/>
      <c r="U493" s="73"/>
      <c r="V493" s="74">
        <f>Devis[[#This Row],[Prix de Revient]]*Devis[[#This Row],[Poste 1]]</f>
        <v>0</v>
      </c>
      <c r="W493" s="74">
        <f>Devis[[#This Row],[Prix de Revient]]*Devis[[#This Row],[Poste 2]]</f>
        <v>0</v>
      </c>
      <c r="X493" s="74">
        <f>Devis[[#This Row],[Prix de Revient]]*Devis[[#This Row],[Poste 3]]</f>
        <v>0</v>
      </c>
      <c r="Y493" s="74">
        <f>Devis[[#This Row],[Poste 4]]*Devis[[#This Row],[Prix de Revient]]</f>
        <v>0</v>
      </c>
      <c r="Z493" s="74">
        <f>Devis[[#This Row],[Poste 5]]*Devis[[#This Row],[Prix de Revient]]</f>
        <v>0</v>
      </c>
      <c r="AA493" s="74">
        <f>Devis[[#This Row],[Prix de Revient]]*Devis[[#This Row],[Poste 6]]</f>
        <v>0</v>
      </c>
      <c r="AB493" s="74">
        <f>Devis[[#This Row],[Quantité Totale]]*Devis[[#This Row],[Prix de Revient]]</f>
        <v>0</v>
      </c>
    </row>
    <row r="494" spans="1:28" ht="14.25" outlineLevel="1" x14ac:dyDescent="0.2">
      <c r="A494" s="75" t="s">
        <v>120</v>
      </c>
      <c r="B494" s="76" t="s">
        <v>4570</v>
      </c>
      <c r="C494" s="76" t="s">
        <v>4571</v>
      </c>
      <c r="D494" s="81" t="str">
        <f t="shared" si="9"/>
        <v xml:space="preserve">CablageIRO &amp; ATTACHESAttache Colliers Blanc tube IRO </v>
      </c>
      <c r="E494" s="76" t="s">
        <v>4574</v>
      </c>
      <c r="F494" s="81">
        <v>3</v>
      </c>
      <c r="G494" s="71"/>
      <c r="H494" s="79"/>
      <c r="I494" s="71"/>
      <c r="J494" s="70">
        <f>IFERROR(VLOOKUP(Devis[[#This Row],[Ref Air Flux]],#REF!,3,FALSE),0)</f>
        <v>0</v>
      </c>
      <c r="K494" s="68"/>
      <c r="L494" s="68"/>
      <c r="M494" s="68"/>
      <c r="N494" s="68"/>
      <c r="O494" s="68"/>
      <c r="P494" s="68"/>
      <c r="Q494" s="68">
        <f>SUM(Devis[[#This Row],[Poste 1]:[Poste 6]])</f>
        <v>0</v>
      </c>
      <c r="R494" s="71"/>
      <c r="S494" s="68">
        <f>_xlfn.CEILING.MATH(Devis[[#This Row],[Quantité Totale]],Devis[[#This Row],[Conditionnement]])</f>
        <v>0</v>
      </c>
      <c r="T494" s="72"/>
      <c r="U494" s="73"/>
      <c r="V494" s="74">
        <f>Devis[[#This Row],[Prix de Revient]]*Devis[[#This Row],[Poste 1]]</f>
        <v>0</v>
      </c>
      <c r="W494" s="74">
        <f>Devis[[#This Row],[Prix de Revient]]*Devis[[#This Row],[Poste 2]]</f>
        <v>0</v>
      </c>
      <c r="X494" s="74">
        <f>Devis[[#This Row],[Prix de Revient]]*Devis[[#This Row],[Poste 3]]</f>
        <v>0</v>
      </c>
      <c r="Y494" s="74">
        <f>Devis[[#This Row],[Poste 4]]*Devis[[#This Row],[Prix de Revient]]</f>
        <v>0</v>
      </c>
      <c r="Z494" s="74">
        <f>Devis[[#This Row],[Poste 5]]*Devis[[#This Row],[Prix de Revient]]</f>
        <v>0</v>
      </c>
      <c r="AA494" s="74">
        <f>Devis[[#This Row],[Prix de Revient]]*Devis[[#This Row],[Poste 6]]</f>
        <v>0</v>
      </c>
      <c r="AB494" s="74">
        <f>Devis[[#This Row],[Quantité Totale]]*Devis[[#This Row],[Prix de Revient]]</f>
        <v>0</v>
      </c>
    </row>
    <row r="495" spans="1:28" ht="14.25" outlineLevel="1" x14ac:dyDescent="0.2">
      <c r="A495" s="75" t="s">
        <v>120</v>
      </c>
      <c r="B495" s="76" t="s">
        <v>4570</v>
      </c>
      <c r="C495" s="76" t="s">
        <v>357</v>
      </c>
      <c r="D495" s="81" t="str">
        <f t="shared" si="9"/>
        <v>CablageIRO &amp; ATTACHESAttaches  Erico</v>
      </c>
      <c r="E495" s="76" t="s">
        <v>4575</v>
      </c>
      <c r="F495" s="81">
        <v>4</v>
      </c>
      <c r="G495" s="71">
        <v>170380</v>
      </c>
      <c r="H495" s="71"/>
      <c r="I495" s="71"/>
      <c r="J495" s="70">
        <f>IFERROR(VLOOKUP(Devis[[#This Row],[Ref Air Flux]],#REF!,3,FALSE),0)</f>
        <v>0</v>
      </c>
      <c r="K495" s="68"/>
      <c r="L495" s="68"/>
      <c r="M495" s="68"/>
      <c r="N495" s="68"/>
      <c r="O495" s="68"/>
      <c r="P495" s="68"/>
      <c r="Q495" s="68">
        <f>SUM(Devis[[#This Row],[Poste 1]:[Poste 6]])</f>
        <v>0</v>
      </c>
      <c r="R495" s="71"/>
      <c r="S495" s="68">
        <f>_xlfn.CEILING.MATH(Devis[[#This Row],[Quantité Totale]],Devis[[#This Row],[Conditionnement]])</f>
        <v>0</v>
      </c>
      <c r="T495" s="72"/>
      <c r="U495" s="73"/>
      <c r="V495" s="74">
        <f>Devis[[#This Row],[Prix de Revient]]*Devis[[#This Row],[Poste 1]]</f>
        <v>0</v>
      </c>
      <c r="W495" s="74">
        <f>Devis[[#This Row],[Prix de Revient]]*Devis[[#This Row],[Poste 2]]</f>
        <v>0</v>
      </c>
      <c r="X495" s="74">
        <f>Devis[[#This Row],[Prix de Revient]]*Devis[[#This Row],[Poste 3]]</f>
        <v>0</v>
      </c>
      <c r="Y495" s="74">
        <f>Devis[[#This Row],[Poste 4]]*Devis[[#This Row],[Prix de Revient]]</f>
        <v>0</v>
      </c>
      <c r="Z495" s="74">
        <f>Devis[[#This Row],[Poste 5]]*Devis[[#This Row],[Prix de Revient]]</f>
        <v>0</v>
      </c>
      <c r="AA495" s="74">
        <f>Devis[[#This Row],[Prix de Revient]]*Devis[[#This Row],[Poste 6]]</f>
        <v>0</v>
      </c>
      <c r="AB495" s="74">
        <f>Devis[[#This Row],[Quantité Totale]]*Devis[[#This Row],[Prix de Revient]]</f>
        <v>0</v>
      </c>
    </row>
    <row r="496" spans="1:28" ht="14.25" outlineLevel="1" x14ac:dyDescent="0.2">
      <c r="A496" s="75" t="s">
        <v>120</v>
      </c>
      <c r="B496" s="76" t="s">
        <v>4570</v>
      </c>
      <c r="C496" s="76" t="s">
        <v>357</v>
      </c>
      <c r="D496" s="81" t="str">
        <f t="shared" si="9"/>
        <v>CablageIRO &amp; ATTACHESAttaches  Erico</v>
      </c>
      <c r="E496" s="76" t="s">
        <v>4576</v>
      </c>
      <c r="F496" s="81">
        <v>5</v>
      </c>
      <c r="G496" s="71">
        <v>187700</v>
      </c>
      <c r="H496" s="71"/>
      <c r="I496" s="71"/>
      <c r="J496" s="70">
        <f>IFERROR(VLOOKUP(Devis[[#This Row],[Ref Air Flux]],#REF!,3,FALSE),0)</f>
        <v>0</v>
      </c>
      <c r="K496" s="68"/>
      <c r="L496" s="68"/>
      <c r="M496" s="68"/>
      <c r="N496" s="68"/>
      <c r="O496" s="68"/>
      <c r="P496" s="68"/>
      <c r="Q496" s="68">
        <f>SUM(Devis[[#This Row],[Poste 1]:[Poste 6]])</f>
        <v>0</v>
      </c>
      <c r="R496" s="71"/>
      <c r="S496" s="68">
        <f>_xlfn.CEILING.MATH(Devis[[#This Row],[Quantité Totale]],Devis[[#This Row],[Conditionnement]])</f>
        <v>0</v>
      </c>
      <c r="T496" s="72"/>
      <c r="U496" s="73"/>
      <c r="V496" s="74">
        <f>Devis[[#This Row],[Prix de Revient]]*Devis[[#This Row],[Poste 1]]</f>
        <v>0</v>
      </c>
      <c r="W496" s="74">
        <f>Devis[[#This Row],[Prix de Revient]]*Devis[[#This Row],[Poste 2]]</f>
        <v>0</v>
      </c>
      <c r="X496" s="74">
        <f>Devis[[#This Row],[Prix de Revient]]*Devis[[#This Row],[Poste 3]]</f>
        <v>0</v>
      </c>
      <c r="Y496" s="74">
        <f>Devis[[#This Row],[Poste 4]]*Devis[[#This Row],[Prix de Revient]]</f>
        <v>0</v>
      </c>
      <c r="Z496" s="74">
        <f>Devis[[#This Row],[Poste 5]]*Devis[[#This Row],[Prix de Revient]]</f>
        <v>0</v>
      </c>
      <c r="AA496" s="74">
        <f>Devis[[#This Row],[Prix de Revient]]*Devis[[#This Row],[Poste 6]]</f>
        <v>0</v>
      </c>
      <c r="AB496" s="74">
        <f>Devis[[#This Row],[Quantité Totale]]*Devis[[#This Row],[Prix de Revient]]</f>
        <v>0</v>
      </c>
    </row>
    <row r="497" spans="1:28" ht="14.25" outlineLevel="1" x14ac:dyDescent="0.2">
      <c r="A497" s="75" t="s">
        <v>120</v>
      </c>
      <c r="B497" s="76" t="s">
        <v>4570</v>
      </c>
      <c r="C497" s="76" t="s">
        <v>4577</v>
      </c>
      <c r="D497" s="81" t="str">
        <f t="shared" si="9"/>
        <v>CablageIRO &amp; ATTACHESAttache Caddy</v>
      </c>
      <c r="E497" s="76" t="s">
        <v>4578</v>
      </c>
      <c r="F497" s="81">
        <v>6</v>
      </c>
      <c r="G497" s="71">
        <v>178530</v>
      </c>
      <c r="H497" s="71"/>
      <c r="I497" s="71"/>
      <c r="J497" s="70">
        <f>IFERROR(VLOOKUP(Devis[[#This Row],[Ref Air Flux]],#REF!,3,FALSE),0)</f>
        <v>0</v>
      </c>
      <c r="K497" s="68"/>
      <c r="L497" s="68"/>
      <c r="M497" s="68"/>
      <c r="N497" s="68"/>
      <c r="O497" s="68"/>
      <c r="P497" s="68"/>
      <c r="Q497" s="68">
        <f>SUM(Devis[[#This Row],[Poste 1]:[Poste 6]])</f>
        <v>0</v>
      </c>
      <c r="R497" s="71"/>
      <c r="S497" s="68">
        <f>_xlfn.CEILING.MATH(Devis[[#This Row],[Quantité Totale]],Devis[[#This Row],[Conditionnement]])</f>
        <v>0</v>
      </c>
      <c r="T497" s="72"/>
      <c r="U497" s="73"/>
      <c r="V497" s="74">
        <f>Devis[[#This Row],[Prix de Revient]]*Devis[[#This Row],[Poste 1]]</f>
        <v>0</v>
      </c>
      <c r="W497" s="74">
        <f>Devis[[#This Row],[Prix de Revient]]*Devis[[#This Row],[Poste 2]]</f>
        <v>0</v>
      </c>
      <c r="X497" s="74">
        <f>Devis[[#This Row],[Prix de Revient]]*Devis[[#This Row],[Poste 3]]</f>
        <v>0</v>
      </c>
      <c r="Y497" s="74">
        <f>Devis[[#This Row],[Poste 4]]*Devis[[#This Row],[Prix de Revient]]</f>
        <v>0</v>
      </c>
      <c r="Z497" s="74">
        <f>Devis[[#This Row],[Poste 5]]*Devis[[#This Row],[Prix de Revient]]</f>
        <v>0</v>
      </c>
      <c r="AA497" s="74">
        <f>Devis[[#This Row],[Prix de Revient]]*Devis[[#This Row],[Poste 6]]</f>
        <v>0</v>
      </c>
      <c r="AB497" s="74">
        <f>Devis[[#This Row],[Quantité Totale]]*Devis[[#This Row],[Prix de Revient]]</f>
        <v>0</v>
      </c>
    </row>
    <row r="498" spans="1:28" ht="14.25" outlineLevel="1" x14ac:dyDescent="0.2">
      <c r="A498" s="75" t="s">
        <v>120</v>
      </c>
      <c r="B498" s="76" t="s">
        <v>4570</v>
      </c>
      <c r="C498" s="76" t="s">
        <v>4579</v>
      </c>
      <c r="D498" s="81" t="str">
        <f t="shared" si="9"/>
        <v>CablageIRO &amp; ATTACHESCheville Ø8 pour tube IRO</v>
      </c>
      <c r="E498" s="76" t="s">
        <v>4580</v>
      </c>
      <c r="F498" s="81">
        <v>7</v>
      </c>
      <c r="G498" s="71">
        <v>31955</v>
      </c>
      <c r="H498" s="71"/>
      <c r="I498" s="71"/>
      <c r="J498" s="70">
        <f>IFERROR(VLOOKUP(Devis[[#This Row],[Ref Air Flux]],#REF!,3,FALSE),0)</f>
        <v>0</v>
      </c>
      <c r="K498" s="68"/>
      <c r="L498" s="68"/>
      <c r="M498" s="68"/>
      <c r="N498" s="68"/>
      <c r="O498" s="68"/>
      <c r="P498" s="68"/>
      <c r="Q498" s="68">
        <f>SUM(Devis[[#This Row],[Poste 1]:[Poste 6]])</f>
        <v>0</v>
      </c>
      <c r="R498" s="71"/>
      <c r="S498" s="68">
        <f>_xlfn.CEILING.MATH(Devis[[#This Row],[Quantité Totale]],Devis[[#This Row],[Conditionnement]])</f>
        <v>0</v>
      </c>
      <c r="T498" s="72"/>
      <c r="U498" s="73"/>
      <c r="V498" s="74">
        <f>Devis[[#This Row],[Prix de Revient]]*Devis[[#This Row],[Poste 1]]</f>
        <v>0</v>
      </c>
      <c r="W498" s="74">
        <f>Devis[[#This Row],[Prix de Revient]]*Devis[[#This Row],[Poste 2]]</f>
        <v>0</v>
      </c>
      <c r="X498" s="74">
        <f>Devis[[#This Row],[Prix de Revient]]*Devis[[#This Row],[Poste 3]]</f>
        <v>0</v>
      </c>
      <c r="Y498" s="74">
        <f>Devis[[#This Row],[Poste 4]]*Devis[[#This Row],[Prix de Revient]]</f>
        <v>0</v>
      </c>
      <c r="Z498" s="74">
        <f>Devis[[#This Row],[Poste 5]]*Devis[[#This Row],[Prix de Revient]]</f>
        <v>0</v>
      </c>
      <c r="AA498" s="74">
        <f>Devis[[#This Row],[Prix de Revient]]*Devis[[#This Row],[Poste 6]]</f>
        <v>0</v>
      </c>
      <c r="AB498" s="74">
        <f>Devis[[#This Row],[Quantité Totale]]*Devis[[#This Row],[Prix de Revient]]</f>
        <v>0</v>
      </c>
    </row>
    <row r="499" spans="1:28" ht="15" customHeight="1" outlineLevel="1" x14ac:dyDescent="0.2">
      <c r="A499" s="75" t="s">
        <v>120</v>
      </c>
      <c r="B499" s="76" t="s">
        <v>4570</v>
      </c>
      <c r="C499" s="76" t="s">
        <v>4581</v>
      </c>
      <c r="D499" s="81" t="str">
        <f t="shared" si="9"/>
        <v>CablageIRO &amp; ATTACHESEmbase Autocollante pour tube Iro Ø20</v>
      </c>
      <c r="E499" s="76" t="s">
        <v>4582</v>
      </c>
      <c r="F499" s="81">
        <v>8</v>
      </c>
      <c r="G499" s="71">
        <v>32065</v>
      </c>
      <c r="H499" s="71"/>
      <c r="I499" s="71"/>
      <c r="J499" s="70">
        <f>IFERROR(VLOOKUP(Devis[[#This Row],[Ref Air Flux]],#REF!,3,FALSE),0)</f>
        <v>0</v>
      </c>
      <c r="K499" s="68"/>
      <c r="L499" s="68"/>
      <c r="M499" s="68"/>
      <c r="N499" s="68"/>
      <c r="O499" s="68"/>
      <c r="P499" s="68"/>
      <c r="Q499" s="68">
        <f>SUM(Devis[[#This Row],[Poste 1]:[Poste 6]])</f>
        <v>0</v>
      </c>
      <c r="R499" s="71"/>
      <c r="S499" s="68">
        <f>_xlfn.CEILING.MATH(Devis[[#This Row],[Quantité Totale]],Devis[[#This Row],[Conditionnement]])</f>
        <v>0</v>
      </c>
      <c r="T499" s="72"/>
      <c r="U499" s="73"/>
      <c r="V499" s="74">
        <f>Devis[[#This Row],[Prix de Revient]]*Devis[[#This Row],[Poste 1]]</f>
        <v>0</v>
      </c>
      <c r="W499" s="74">
        <f>Devis[[#This Row],[Prix de Revient]]*Devis[[#This Row],[Poste 2]]</f>
        <v>0</v>
      </c>
      <c r="X499" s="74">
        <f>Devis[[#This Row],[Prix de Revient]]*Devis[[#This Row],[Poste 3]]</f>
        <v>0</v>
      </c>
      <c r="Y499" s="74">
        <f>Devis[[#This Row],[Poste 4]]*Devis[[#This Row],[Prix de Revient]]</f>
        <v>0</v>
      </c>
      <c r="Z499" s="74">
        <f>Devis[[#This Row],[Poste 5]]*Devis[[#This Row],[Prix de Revient]]</f>
        <v>0</v>
      </c>
      <c r="AA499" s="74">
        <f>Devis[[#This Row],[Prix de Revient]]*Devis[[#This Row],[Poste 6]]</f>
        <v>0</v>
      </c>
      <c r="AB499" s="74">
        <f>Devis[[#This Row],[Quantité Totale]]*Devis[[#This Row],[Prix de Revient]]</f>
        <v>0</v>
      </c>
    </row>
    <row r="500" spans="1:28" ht="14.25" outlineLevel="1" x14ac:dyDescent="0.2">
      <c r="A500" s="75" t="s">
        <v>120</v>
      </c>
      <c r="B500" s="76" t="s">
        <v>4570</v>
      </c>
      <c r="C500" s="76"/>
      <c r="D500" s="81" t="str">
        <f t="shared" si="9"/>
        <v>CablageIRO &amp; ATTACHES</v>
      </c>
      <c r="E500" s="76"/>
      <c r="F500" s="81">
        <v>9</v>
      </c>
      <c r="G500" s="71"/>
      <c r="H500" s="71"/>
      <c r="I500" s="71"/>
      <c r="J500" s="70">
        <f>IFERROR(VLOOKUP(Devis[[#This Row],[Ref Air Flux]],#REF!,3,FALSE),0)</f>
        <v>0</v>
      </c>
      <c r="K500" s="68"/>
      <c r="L500" s="68"/>
      <c r="M500" s="68"/>
      <c r="N500" s="68"/>
      <c r="O500" s="68"/>
      <c r="P500" s="68"/>
      <c r="Q500" s="68">
        <f>SUM(Devis[[#This Row],[Poste 1]:[Poste 6]])</f>
        <v>0</v>
      </c>
      <c r="R500" s="71"/>
      <c r="S500" s="68">
        <f>_xlfn.CEILING.MATH(Devis[[#This Row],[Quantité Totale]],Devis[[#This Row],[Conditionnement]])</f>
        <v>0</v>
      </c>
      <c r="T500" s="72"/>
      <c r="U500" s="73"/>
      <c r="V500" s="74">
        <f>Devis[[#This Row],[Prix de Revient]]*Devis[[#This Row],[Poste 1]]</f>
        <v>0</v>
      </c>
      <c r="W500" s="74">
        <f>Devis[[#This Row],[Prix de Revient]]*Devis[[#This Row],[Poste 2]]</f>
        <v>0</v>
      </c>
      <c r="X500" s="74">
        <f>Devis[[#This Row],[Prix de Revient]]*Devis[[#This Row],[Poste 3]]</f>
        <v>0</v>
      </c>
      <c r="Y500" s="74">
        <f>Devis[[#This Row],[Poste 4]]*Devis[[#This Row],[Prix de Revient]]</f>
        <v>0</v>
      </c>
      <c r="Z500" s="74">
        <f>Devis[[#This Row],[Poste 5]]*Devis[[#This Row],[Prix de Revient]]</f>
        <v>0</v>
      </c>
      <c r="AA500" s="74">
        <f>Devis[[#This Row],[Prix de Revient]]*Devis[[#This Row],[Poste 6]]</f>
        <v>0</v>
      </c>
      <c r="AB500" s="74">
        <f>Devis[[#This Row],[Quantité Totale]]*Devis[[#This Row],[Prix de Revient]]</f>
        <v>0</v>
      </c>
    </row>
    <row r="501" spans="1:28" ht="15" customHeight="1" outlineLevel="1" x14ac:dyDescent="0.2">
      <c r="A501" s="75" t="s">
        <v>120</v>
      </c>
      <c r="B501" s="76" t="s">
        <v>4570</v>
      </c>
      <c r="C501" s="76" t="s">
        <v>316</v>
      </c>
      <c r="D501" s="81" t="str">
        <f t="shared" si="9"/>
        <v>CablageIRO &amp; ATTACHESTube IRO</v>
      </c>
      <c r="E501" s="76" t="s">
        <v>4583</v>
      </c>
      <c r="F501" s="81">
        <v>10</v>
      </c>
      <c r="G501" s="71" t="s">
        <v>318</v>
      </c>
      <c r="H501" s="71"/>
      <c r="I501" s="71"/>
      <c r="J501" s="70">
        <f>IFERROR(VLOOKUP(Devis[[#This Row],[Ref Air Flux]],#REF!,3,FALSE),0)</f>
        <v>0</v>
      </c>
      <c r="K501" s="68"/>
      <c r="L501" s="68"/>
      <c r="M501" s="68"/>
      <c r="N501" s="68"/>
      <c r="O501" s="68"/>
      <c r="P501" s="68"/>
      <c r="Q501" s="68">
        <f>SUM(Devis[[#This Row],[Poste 1]:[Poste 6]])</f>
        <v>0</v>
      </c>
      <c r="R501" s="71"/>
      <c r="S501" s="68">
        <f>_xlfn.CEILING.MATH(Devis[[#This Row],[Quantité Totale]],Devis[[#This Row],[Conditionnement]])</f>
        <v>0</v>
      </c>
      <c r="T501" s="72"/>
      <c r="U501" s="73"/>
      <c r="V501" s="74">
        <f>Devis[[#This Row],[Prix de Revient]]*Devis[[#This Row],[Poste 1]]</f>
        <v>0</v>
      </c>
      <c r="W501" s="74">
        <f>Devis[[#This Row],[Prix de Revient]]*Devis[[#This Row],[Poste 2]]</f>
        <v>0</v>
      </c>
      <c r="X501" s="74">
        <f>Devis[[#This Row],[Prix de Revient]]*Devis[[#This Row],[Poste 3]]</f>
        <v>0</v>
      </c>
      <c r="Y501" s="74">
        <f>Devis[[#This Row],[Poste 4]]*Devis[[#This Row],[Prix de Revient]]</f>
        <v>0</v>
      </c>
      <c r="Z501" s="74">
        <f>Devis[[#This Row],[Poste 5]]*Devis[[#This Row],[Prix de Revient]]</f>
        <v>0</v>
      </c>
      <c r="AA501" s="74">
        <f>Devis[[#This Row],[Prix de Revient]]*Devis[[#This Row],[Poste 6]]</f>
        <v>0</v>
      </c>
      <c r="AB501" s="74">
        <f>Devis[[#This Row],[Quantité Totale]]*Devis[[#This Row],[Prix de Revient]]</f>
        <v>0</v>
      </c>
    </row>
    <row r="502" spans="1:28" ht="14.25" outlineLevel="1" x14ac:dyDescent="0.2">
      <c r="A502" s="75" t="s">
        <v>120</v>
      </c>
      <c r="B502" s="76" t="s">
        <v>4570</v>
      </c>
      <c r="C502" s="76" t="s">
        <v>316</v>
      </c>
      <c r="D502" s="81" t="str">
        <f t="shared" si="9"/>
        <v>CablageIRO &amp; ATTACHESTube IRO</v>
      </c>
      <c r="E502" s="76" t="s">
        <v>4584</v>
      </c>
      <c r="F502" s="81">
        <v>11</v>
      </c>
      <c r="G502" s="71" t="s">
        <v>319</v>
      </c>
      <c r="H502" s="71"/>
      <c r="I502" s="71"/>
      <c r="J502" s="70">
        <f>IFERROR(VLOOKUP(Devis[[#This Row],[Ref Air Flux]],#REF!,3,FALSE),0)</f>
        <v>0</v>
      </c>
      <c r="K502" s="68"/>
      <c r="L502" s="68"/>
      <c r="M502" s="68"/>
      <c r="N502" s="68"/>
      <c r="O502" s="68"/>
      <c r="P502" s="68"/>
      <c r="Q502" s="68">
        <f>SUM(Devis[[#This Row],[Poste 1]:[Poste 6]])</f>
        <v>0</v>
      </c>
      <c r="R502" s="71"/>
      <c r="S502" s="68">
        <f>_xlfn.CEILING.MATH(Devis[[#This Row],[Quantité Totale]],Devis[[#This Row],[Conditionnement]])</f>
        <v>0</v>
      </c>
      <c r="T502" s="72"/>
      <c r="U502" s="73"/>
      <c r="V502" s="74">
        <f>Devis[[#This Row],[Prix de Revient]]*Devis[[#This Row],[Poste 1]]</f>
        <v>0</v>
      </c>
      <c r="W502" s="74">
        <f>Devis[[#This Row],[Prix de Revient]]*Devis[[#This Row],[Poste 2]]</f>
        <v>0</v>
      </c>
      <c r="X502" s="74">
        <f>Devis[[#This Row],[Prix de Revient]]*Devis[[#This Row],[Poste 3]]</f>
        <v>0</v>
      </c>
      <c r="Y502" s="74">
        <f>Devis[[#This Row],[Poste 4]]*Devis[[#This Row],[Prix de Revient]]</f>
        <v>0</v>
      </c>
      <c r="Z502" s="74">
        <f>Devis[[#This Row],[Poste 5]]*Devis[[#This Row],[Prix de Revient]]</f>
        <v>0</v>
      </c>
      <c r="AA502" s="74">
        <f>Devis[[#This Row],[Prix de Revient]]*Devis[[#This Row],[Poste 6]]</f>
        <v>0</v>
      </c>
      <c r="AB502" s="74">
        <f>Devis[[#This Row],[Quantité Totale]]*Devis[[#This Row],[Prix de Revient]]</f>
        <v>0</v>
      </c>
    </row>
    <row r="503" spans="1:28" ht="14.25" customHeight="1" outlineLevel="1" x14ac:dyDescent="0.2">
      <c r="A503" s="75" t="s">
        <v>120</v>
      </c>
      <c r="B503" s="76" t="s">
        <v>4570</v>
      </c>
      <c r="C503" s="76" t="s">
        <v>316</v>
      </c>
      <c r="D503" s="81" t="str">
        <f t="shared" si="9"/>
        <v>CablageIRO &amp; ATTACHESTube IRO</v>
      </c>
      <c r="E503" s="76" t="s">
        <v>4585</v>
      </c>
      <c r="F503" s="81">
        <v>12</v>
      </c>
      <c r="G503" s="71" t="s">
        <v>317</v>
      </c>
      <c r="H503" s="71"/>
      <c r="I503" s="71"/>
      <c r="J503" s="70">
        <f>IFERROR(VLOOKUP(Devis[[#This Row],[Ref Air Flux]],#REF!,3,FALSE),0)</f>
        <v>0</v>
      </c>
      <c r="K503" s="68"/>
      <c r="L503" s="68"/>
      <c r="M503" s="68"/>
      <c r="N503" s="68"/>
      <c r="O503" s="68"/>
      <c r="P503" s="68"/>
      <c r="Q503" s="68">
        <f>SUM(Devis[[#This Row],[Poste 1]:[Poste 6]])</f>
        <v>0</v>
      </c>
      <c r="R503" s="71"/>
      <c r="S503" s="68">
        <f>_xlfn.CEILING.MATH(Devis[[#This Row],[Quantité Totale]],Devis[[#This Row],[Conditionnement]])</f>
        <v>0</v>
      </c>
      <c r="T503" s="72"/>
      <c r="U503" s="73"/>
      <c r="V503" s="74">
        <f>Devis[[#This Row],[Prix de Revient]]*Devis[[#This Row],[Poste 1]]</f>
        <v>0</v>
      </c>
      <c r="W503" s="74">
        <f>Devis[[#This Row],[Prix de Revient]]*Devis[[#This Row],[Poste 2]]</f>
        <v>0</v>
      </c>
      <c r="X503" s="74">
        <f>Devis[[#This Row],[Prix de Revient]]*Devis[[#This Row],[Poste 3]]</f>
        <v>0</v>
      </c>
      <c r="Y503" s="74">
        <f>Devis[[#This Row],[Poste 4]]*Devis[[#This Row],[Prix de Revient]]</f>
        <v>0</v>
      </c>
      <c r="Z503" s="74">
        <f>Devis[[#This Row],[Poste 5]]*Devis[[#This Row],[Prix de Revient]]</f>
        <v>0</v>
      </c>
      <c r="AA503" s="74">
        <f>Devis[[#This Row],[Prix de Revient]]*Devis[[#This Row],[Poste 6]]</f>
        <v>0</v>
      </c>
      <c r="AB503" s="74">
        <f>Devis[[#This Row],[Quantité Totale]]*Devis[[#This Row],[Prix de Revient]]</f>
        <v>0</v>
      </c>
    </row>
    <row r="504" spans="1:28" ht="14.25" outlineLevel="1" x14ac:dyDescent="0.2">
      <c r="A504" s="75" t="s">
        <v>120</v>
      </c>
      <c r="B504" s="76" t="s">
        <v>4570</v>
      </c>
      <c r="C504" s="76"/>
      <c r="D504" s="81" t="str">
        <f t="shared" si="9"/>
        <v>CablageIRO &amp; ATTACHES</v>
      </c>
      <c r="E504" s="76"/>
      <c r="F504" s="81">
        <v>13</v>
      </c>
      <c r="G504" s="71"/>
      <c r="H504" s="71"/>
      <c r="I504" s="71"/>
      <c r="J504" s="70">
        <f>IFERROR(VLOOKUP(Devis[[#This Row],[Ref Air Flux]],#REF!,3,FALSE),0)</f>
        <v>0</v>
      </c>
      <c r="K504" s="68"/>
      <c r="L504" s="68"/>
      <c r="M504" s="68"/>
      <c r="N504" s="68"/>
      <c r="O504" s="68"/>
      <c r="P504" s="68"/>
      <c r="Q504" s="68">
        <f>SUM(Devis[[#This Row],[Poste 1]:[Poste 6]])</f>
        <v>0</v>
      </c>
      <c r="R504" s="71"/>
      <c r="S504" s="68">
        <f>_xlfn.CEILING.MATH(Devis[[#This Row],[Quantité Totale]],Devis[[#This Row],[Conditionnement]])</f>
        <v>0</v>
      </c>
      <c r="T504" s="72"/>
      <c r="U504" s="73"/>
      <c r="V504" s="74">
        <f>Devis[[#This Row],[Prix de Revient]]*Devis[[#This Row],[Poste 1]]</f>
        <v>0</v>
      </c>
      <c r="W504" s="74">
        <f>Devis[[#This Row],[Prix de Revient]]*Devis[[#This Row],[Poste 2]]</f>
        <v>0</v>
      </c>
      <c r="X504" s="74">
        <f>Devis[[#This Row],[Prix de Revient]]*Devis[[#This Row],[Poste 3]]</f>
        <v>0</v>
      </c>
      <c r="Y504" s="74">
        <f>Devis[[#This Row],[Poste 4]]*Devis[[#This Row],[Prix de Revient]]</f>
        <v>0</v>
      </c>
      <c r="Z504" s="74">
        <f>Devis[[#This Row],[Poste 5]]*Devis[[#This Row],[Prix de Revient]]</f>
        <v>0</v>
      </c>
      <c r="AA504" s="74">
        <f>Devis[[#This Row],[Prix de Revient]]*Devis[[#This Row],[Poste 6]]</f>
        <v>0</v>
      </c>
      <c r="AB504" s="74">
        <f>Devis[[#This Row],[Quantité Totale]]*Devis[[#This Row],[Prix de Revient]]</f>
        <v>0</v>
      </c>
    </row>
    <row r="505" spans="1:28" ht="14.25" customHeight="1" x14ac:dyDescent="0.25">
      <c r="A505" s="65" t="s">
        <v>120</v>
      </c>
      <c r="B505" s="65" t="s">
        <v>4650</v>
      </c>
      <c r="C505" s="76"/>
      <c r="D505" s="81" t="str">
        <f t="shared" si="9"/>
        <v>CablagePRESSE ETOUPE</v>
      </c>
      <c r="E505" s="76"/>
      <c r="F505" s="81">
        <v>0</v>
      </c>
      <c r="G505" s="71"/>
      <c r="H505" s="71"/>
      <c r="I505" s="71"/>
      <c r="J505" s="70">
        <f>IFERROR(VLOOKUP(Devis[[#This Row],[Ref Air Flux]],#REF!,3,FALSE),0)</f>
        <v>0</v>
      </c>
      <c r="K505" s="68"/>
      <c r="L505" s="68"/>
      <c r="M505" s="68"/>
      <c r="N505" s="68"/>
      <c r="O505" s="68"/>
      <c r="P505" s="68"/>
      <c r="Q505" s="68">
        <f>SUM(Devis[[#This Row],[Poste 1]:[Poste 6]])</f>
        <v>0</v>
      </c>
      <c r="R505" s="71"/>
      <c r="S505" s="68">
        <f>_xlfn.CEILING.MATH(Devis[[#This Row],[Quantité Totale]],Devis[[#This Row],[Conditionnement]])</f>
        <v>0</v>
      </c>
      <c r="T505" s="72"/>
      <c r="U505" s="73"/>
      <c r="V505" s="74">
        <f>Devis[[#This Row],[Prix de Revient]]*Devis[[#This Row],[Poste 1]]</f>
        <v>0</v>
      </c>
      <c r="W505" s="74">
        <f>Devis[[#This Row],[Prix de Revient]]*Devis[[#This Row],[Poste 2]]</f>
        <v>0</v>
      </c>
      <c r="X505" s="74">
        <f>Devis[[#This Row],[Prix de Revient]]*Devis[[#This Row],[Poste 3]]</f>
        <v>0</v>
      </c>
      <c r="Y505" s="74">
        <f>Devis[[#This Row],[Poste 4]]*Devis[[#This Row],[Prix de Revient]]</f>
        <v>0</v>
      </c>
      <c r="Z505" s="74">
        <f>Devis[[#This Row],[Poste 5]]*Devis[[#This Row],[Prix de Revient]]</f>
        <v>0</v>
      </c>
      <c r="AA505" s="74">
        <f>Devis[[#This Row],[Prix de Revient]]*Devis[[#This Row],[Poste 6]]</f>
        <v>0</v>
      </c>
      <c r="AB505" s="74">
        <f>Devis[[#This Row],[Quantité Totale]]*Devis[[#This Row],[Prix de Revient]]</f>
        <v>0</v>
      </c>
    </row>
    <row r="506" spans="1:28" ht="14.25" outlineLevel="1" x14ac:dyDescent="0.2">
      <c r="A506" s="75" t="s">
        <v>120</v>
      </c>
      <c r="B506" s="76" t="s">
        <v>4650</v>
      </c>
      <c r="C506" s="71" t="s">
        <v>4651</v>
      </c>
      <c r="D506" s="81" t="str">
        <f t="shared" si="9"/>
        <v>CablagePRESSE ETOUPEPG9</v>
      </c>
      <c r="E506" s="76" t="s">
        <v>301</v>
      </c>
      <c r="F506" s="81">
        <v>1</v>
      </c>
      <c r="G506" s="71">
        <v>98021</v>
      </c>
      <c r="H506" s="79" t="s">
        <v>4269</v>
      </c>
      <c r="I506" s="71"/>
      <c r="J506" s="70">
        <f>IFERROR(VLOOKUP(Devis[[#This Row],[Ref Air Flux]],#REF!,3,FALSE),0)</f>
        <v>0</v>
      </c>
      <c r="K506" s="68"/>
      <c r="L506" s="68"/>
      <c r="M506" s="68"/>
      <c r="N506" s="68"/>
      <c r="O506" s="68"/>
      <c r="P506" s="68"/>
      <c r="Q506" s="68">
        <f>SUM(Devis[[#This Row],[Poste 1]:[Poste 6]])</f>
        <v>0</v>
      </c>
      <c r="R506" s="71"/>
      <c r="S506" s="68">
        <f>_xlfn.CEILING.MATH(Devis[[#This Row],[Quantité Totale]],Devis[[#This Row],[Conditionnement]])</f>
        <v>0</v>
      </c>
      <c r="T506" s="72"/>
      <c r="U506" s="73" t="s">
        <v>302</v>
      </c>
      <c r="V506" s="74">
        <f>Devis[[#This Row],[Prix de Revient]]*Devis[[#This Row],[Poste 1]]</f>
        <v>0</v>
      </c>
      <c r="W506" s="74">
        <f>Devis[[#This Row],[Prix de Revient]]*Devis[[#This Row],[Poste 2]]</f>
        <v>0</v>
      </c>
      <c r="X506" s="74">
        <f>Devis[[#This Row],[Prix de Revient]]*Devis[[#This Row],[Poste 3]]</f>
        <v>0</v>
      </c>
      <c r="Y506" s="74">
        <f>Devis[[#This Row],[Poste 4]]*Devis[[#This Row],[Prix de Revient]]</f>
        <v>0</v>
      </c>
      <c r="Z506" s="74">
        <f>Devis[[#This Row],[Poste 5]]*Devis[[#This Row],[Prix de Revient]]</f>
        <v>0</v>
      </c>
      <c r="AA506" s="74">
        <f>Devis[[#This Row],[Prix de Revient]]*Devis[[#This Row],[Poste 6]]</f>
        <v>0</v>
      </c>
      <c r="AB506" s="74">
        <f>Devis[[#This Row],[Quantité Totale]]*Devis[[#This Row],[Prix de Revient]]</f>
        <v>0</v>
      </c>
    </row>
    <row r="507" spans="1:28" ht="14.25" outlineLevel="1" x14ac:dyDescent="0.2">
      <c r="A507" s="75" t="s">
        <v>120</v>
      </c>
      <c r="B507" s="76" t="s">
        <v>4650</v>
      </c>
      <c r="C507" s="71" t="s">
        <v>4652</v>
      </c>
      <c r="D507" s="81" t="str">
        <f t="shared" si="9"/>
        <v>CablagePRESSE ETOUPEPG11</v>
      </c>
      <c r="E507" s="76">
        <v>11</v>
      </c>
      <c r="F507" s="81">
        <v>2</v>
      </c>
      <c r="G507" s="71">
        <v>98022</v>
      </c>
      <c r="H507" s="79" t="s">
        <v>4269</v>
      </c>
      <c r="I507" s="71"/>
      <c r="J507" s="70">
        <f>IFERROR(VLOOKUP(Devis[[#This Row],[Ref Air Flux]],#REF!,3,FALSE),0)</f>
        <v>0</v>
      </c>
      <c r="K507" s="68"/>
      <c r="L507" s="68"/>
      <c r="M507" s="68"/>
      <c r="N507" s="68"/>
      <c r="O507" s="68"/>
      <c r="P507" s="68"/>
      <c r="Q507" s="68">
        <f>SUM(Devis[[#This Row],[Poste 1]:[Poste 6]])</f>
        <v>0</v>
      </c>
      <c r="R507" s="71"/>
      <c r="S507" s="68">
        <f>_xlfn.CEILING.MATH(Devis[[#This Row],[Quantité Totale]],Devis[[#This Row],[Conditionnement]])</f>
        <v>0</v>
      </c>
      <c r="T507" s="72"/>
      <c r="U507" s="73"/>
      <c r="V507" s="74">
        <f>Devis[[#This Row],[Prix de Revient]]*Devis[[#This Row],[Poste 1]]</f>
        <v>0</v>
      </c>
      <c r="W507" s="74">
        <f>Devis[[#This Row],[Prix de Revient]]*Devis[[#This Row],[Poste 2]]</f>
        <v>0</v>
      </c>
      <c r="X507" s="74">
        <f>Devis[[#This Row],[Prix de Revient]]*Devis[[#This Row],[Poste 3]]</f>
        <v>0</v>
      </c>
      <c r="Y507" s="74">
        <f>Devis[[#This Row],[Poste 4]]*Devis[[#This Row],[Prix de Revient]]</f>
        <v>0</v>
      </c>
      <c r="Z507" s="74">
        <f>Devis[[#This Row],[Poste 5]]*Devis[[#This Row],[Prix de Revient]]</f>
        <v>0</v>
      </c>
      <c r="AA507" s="74">
        <f>Devis[[#This Row],[Prix de Revient]]*Devis[[#This Row],[Poste 6]]</f>
        <v>0</v>
      </c>
      <c r="AB507" s="74">
        <f>Devis[[#This Row],[Quantité Totale]]*Devis[[#This Row],[Prix de Revient]]</f>
        <v>0</v>
      </c>
    </row>
    <row r="508" spans="1:28" ht="14.25" outlineLevel="1" x14ac:dyDescent="0.2">
      <c r="A508" s="75" t="s">
        <v>120</v>
      </c>
      <c r="B508" s="76" t="s">
        <v>4650</v>
      </c>
      <c r="C508" s="71" t="s">
        <v>4653</v>
      </c>
      <c r="D508" s="81" t="str">
        <f t="shared" si="9"/>
        <v>CablagePRESSE ETOUPEPG13</v>
      </c>
      <c r="E508" s="76" t="s">
        <v>303</v>
      </c>
      <c r="F508" s="81">
        <v>3</v>
      </c>
      <c r="G508" s="71">
        <v>98023</v>
      </c>
      <c r="H508" s="79" t="s">
        <v>4269</v>
      </c>
      <c r="I508" s="71"/>
      <c r="J508" s="70">
        <f>IFERROR(VLOOKUP(Devis[[#This Row],[Ref Air Flux]],#REF!,3,FALSE),0)</f>
        <v>0</v>
      </c>
      <c r="K508" s="68"/>
      <c r="L508" s="68"/>
      <c r="M508" s="68"/>
      <c r="N508" s="68"/>
      <c r="O508" s="68"/>
      <c r="P508" s="68"/>
      <c r="Q508" s="68">
        <f>SUM(Devis[[#This Row],[Poste 1]:[Poste 6]])</f>
        <v>0</v>
      </c>
      <c r="R508" s="71"/>
      <c r="S508" s="68">
        <f>_xlfn.CEILING.MATH(Devis[[#This Row],[Quantité Totale]],Devis[[#This Row],[Conditionnement]])</f>
        <v>0</v>
      </c>
      <c r="T508" s="72"/>
      <c r="U508" s="73" t="s">
        <v>304</v>
      </c>
      <c r="V508" s="74">
        <f>Devis[[#This Row],[Prix de Revient]]*Devis[[#This Row],[Poste 1]]</f>
        <v>0</v>
      </c>
      <c r="W508" s="74">
        <f>Devis[[#This Row],[Prix de Revient]]*Devis[[#This Row],[Poste 2]]</f>
        <v>0</v>
      </c>
      <c r="X508" s="74">
        <f>Devis[[#This Row],[Prix de Revient]]*Devis[[#This Row],[Poste 3]]</f>
        <v>0</v>
      </c>
      <c r="Y508" s="74">
        <f>Devis[[#This Row],[Poste 4]]*Devis[[#This Row],[Prix de Revient]]</f>
        <v>0</v>
      </c>
      <c r="Z508" s="74">
        <f>Devis[[#This Row],[Poste 5]]*Devis[[#This Row],[Prix de Revient]]</f>
        <v>0</v>
      </c>
      <c r="AA508" s="74">
        <f>Devis[[#This Row],[Prix de Revient]]*Devis[[#This Row],[Poste 6]]</f>
        <v>0</v>
      </c>
      <c r="AB508" s="74">
        <f>Devis[[#This Row],[Quantité Totale]]*Devis[[#This Row],[Prix de Revient]]</f>
        <v>0</v>
      </c>
    </row>
    <row r="509" spans="1:28" ht="14.25" outlineLevel="1" x14ac:dyDescent="0.2">
      <c r="A509" s="75" t="s">
        <v>120</v>
      </c>
      <c r="B509" s="76" t="s">
        <v>4650</v>
      </c>
      <c r="C509" s="71" t="s">
        <v>4654</v>
      </c>
      <c r="D509" s="81" t="str">
        <f t="shared" si="9"/>
        <v>CablagePRESSE ETOUPEPG16</v>
      </c>
      <c r="E509" s="76" t="s">
        <v>305</v>
      </c>
      <c r="F509" s="81">
        <v>4</v>
      </c>
      <c r="G509" s="71">
        <v>98024</v>
      </c>
      <c r="H509" s="79" t="s">
        <v>4269</v>
      </c>
      <c r="I509" s="71"/>
      <c r="J509" s="70">
        <f>IFERROR(VLOOKUP(Devis[[#This Row],[Ref Air Flux]],#REF!,3,FALSE),0)</f>
        <v>0</v>
      </c>
      <c r="K509" s="68"/>
      <c r="L509" s="68"/>
      <c r="M509" s="68"/>
      <c r="N509" s="68"/>
      <c r="O509" s="68"/>
      <c r="P509" s="68"/>
      <c r="Q509" s="68">
        <f>SUM(Devis[[#This Row],[Poste 1]:[Poste 6]])</f>
        <v>0</v>
      </c>
      <c r="R509" s="71"/>
      <c r="S509" s="68">
        <f>_xlfn.CEILING.MATH(Devis[[#This Row],[Quantité Totale]],Devis[[#This Row],[Conditionnement]])</f>
        <v>0</v>
      </c>
      <c r="T509" s="72"/>
      <c r="U509" s="73" t="s">
        <v>306</v>
      </c>
      <c r="V509" s="74">
        <f>Devis[[#This Row],[Prix de Revient]]*Devis[[#This Row],[Poste 1]]</f>
        <v>0</v>
      </c>
      <c r="W509" s="74">
        <f>Devis[[#This Row],[Prix de Revient]]*Devis[[#This Row],[Poste 2]]</f>
        <v>0</v>
      </c>
      <c r="X509" s="74">
        <f>Devis[[#This Row],[Prix de Revient]]*Devis[[#This Row],[Poste 3]]</f>
        <v>0</v>
      </c>
      <c r="Y509" s="74">
        <f>Devis[[#This Row],[Poste 4]]*Devis[[#This Row],[Prix de Revient]]</f>
        <v>0</v>
      </c>
      <c r="Z509" s="74">
        <f>Devis[[#This Row],[Poste 5]]*Devis[[#This Row],[Prix de Revient]]</f>
        <v>0</v>
      </c>
      <c r="AA509" s="74">
        <f>Devis[[#This Row],[Prix de Revient]]*Devis[[#This Row],[Poste 6]]</f>
        <v>0</v>
      </c>
      <c r="AB509" s="74">
        <f>Devis[[#This Row],[Quantité Totale]]*Devis[[#This Row],[Prix de Revient]]</f>
        <v>0</v>
      </c>
    </row>
    <row r="510" spans="1:28" ht="14.25" outlineLevel="1" x14ac:dyDescent="0.2">
      <c r="A510" s="75" t="s">
        <v>120</v>
      </c>
      <c r="B510" s="76" t="s">
        <v>4650</v>
      </c>
      <c r="C510" s="71" t="s">
        <v>4655</v>
      </c>
      <c r="D510" s="81" t="str">
        <f t="shared" si="9"/>
        <v>CablagePRESSE ETOUPEPG21</v>
      </c>
      <c r="E510" s="76" t="s">
        <v>307</v>
      </c>
      <c r="F510" s="81">
        <v>5</v>
      </c>
      <c r="G510" s="71">
        <v>98025</v>
      </c>
      <c r="H510" s="79" t="s">
        <v>4269</v>
      </c>
      <c r="I510" s="71"/>
      <c r="J510" s="70">
        <f>IFERROR(VLOOKUP(Devis[[#This Row],[Ref Air Flux]],#REF!,3,FALSE),0)</f>
        <v>0</v>
      </c>
      <c r="K510" s="68"/>
      <c r="L510" s="68"/>
      <c r="M510" s="68"/>
      <c r="N510" s="68"/>
      <c r="O510" s="68"/>
      <c r="P510" s="68"/>
      <c r="Q510" s="68">
        <f>SUM(Devis[[#This Row],[Poste 1]:[Poste 6]])</f>
        <v>0</v>
      </c>
      <c r="R510" s="71"/>
      <c r="S510" s="68">
        <f>_xlfn.CEILING.MATH(Devis[[#This Row],[Quantité Totale]],Devis[[#This Row],[Conditionnement]])</f>
        <v>0</v>
      </c>
      <c r="T510" s="72"/>
      <c r="U510" s="73" t="s">
        <v>308</v>
      </c>
      <c r="V510" s="74">
        <f>Devis[[#This Row],[Prix de Revient]]*Devis[[#This Row],[Poste 1]]</f>
        <v>0</v>
      </c>
      <c r="W510" s="74">
        <f>Devis[[#This Row],[Prix de Revient]]*Devis[[#This Row],[Poste 2]]</f>
        <v>0</v>
      </c>
      <c r="X510" s="74">
        <f>Devis[[#This Row],[Prix de Revient]]*Devis[[#This Row],[Poste 3]]</f>
        <v>0</v>
      </c>
      <c r="Y510" s="74">
        <f>Devis[[#This Row],[Poste 4]]*Devis[[#This Row],[Prix de Revient]]</f>
        <v>0</v>
      </c>
      <c r="Z510" s="74">
        <f>Devis[[#This Row],[Poste 5]]*Devis[[#This Row],[Prix de Revient]]</f>
        <v>0</v>
      </c>
      <c r="AA510" s="74">
        <f>Devis[[#This Row],[Prix de Revient]]*Devis[[#This Row],[Poste 6]]</f>
        <v>0</v>
      </c>
      <c r="AB510" s="74">
        <f>Devis[[#This Row],[Quantité Totale]]*Devis[[#This Row],[Prix de Revient]]</f>
        <v>0</v>
      </c>
    </row>
    <row r="511" spans="1:28" ht="14.25" outlineLevel="1" x14ac:dyDescent="0.2">
      <c r="A511" s="75" t="s">
        <v>120</v>
      </c>
      <c r="B511" s="76" t="s">
        <v>4650</v>
      </c>
      <c r="C511" s="71" t="s">
        <v>4656</v>
      </c>
      <c r="D511" s="81" t="str">
        <f t="shared" si="9"/>
        <v>CablagePRESSE ETOUPEPG29</v>
      </c>
      <c r="E511" s="76" t="s">
        <v>309</v>
      </c>
      <c r="F511" s="81">
        <v>6</v>
      </c>
      <c r="G511" s="71">
        <v>98026</v>
      </c>
      <c r="H511" s="79" t="s">
        <v>4269</v>
      </c>
      <c r="I511" s="71"/>
      <c r="J511" s="70">
        <f>IFERROR(VLOOKUP(Devis[[#This Row],[Ref Air Flux]],#REF!,3,FALSE),0)</f>
        <v>0</v>
      </c>
      <c r="K511" s="68"/>
      <c r="L511" s="68"/>
      <c r="M511" s="68"/>
      <c r="N511" s="68"/>
      <c r="O511" s="68"/>
      <c r="P511" s="68"/>
      <c r="Q511" s="68">
        <f>SUM(Devis[[#This Row],[Poste 1]:[Poste 6]])</f>
        <v>0</v>
      </c>
      <c r="R511" s="71"/>
      <c r="S511" s="68">
        <f>_xlfn.CEILING.MATH(Devis[[#This Row],[Quantité Totale]],Devis[[#This Row],[Conditionnement]])</f>
        <v>0</v>
      </c>
      <c r="T511" s="72"/>
      <c r="U511" s="73" t="s">
        <v>310</v>
      </c>
      <c r="V511" s="74">
        <f>Devis[[#This Row],[Prix de Revient]]*Devis[[#This Row],[Poste 1]]</f>
        <v>0</v>
      </c>
      <c r="W511" s="74">
        <f>Devis[[#This Row],[Prix de Revient]]*Devis[[#This Row],[Poste 2]]</f>
        <v>0</v>
      </c>
      <c r="X511" s="74">
        <f>Devis[[#This Row],[Prix de Revient]]*Devis[[#This Row],[Poste 3]]</f>
        <v>0</v>
      </c>
      <c r="Y511" s="74">
        <f>Devis[[#This Row],[Poste 4]]*Devis[[#This Row],[Prix de Revient]]</f>
        <v>0</v>
      </c>
      <c r="Z511" s="74">
        <f>Devis[[#This Row],[Poste 5]]*Devis[[#This Row],[Prix de Revient]]</f>
        <v>0</v>
      </c>
      <c r="AA511" s="74">
        <f>Devis[[#This Row],[Prix de Revient]]*Devis[[#This Row],[Poste 6]]</f>
        <v>0</v>
      </c>
      <c r="AB511" s="74">
        <f>Devis[[#This Row],[Quantité Totale]]*Devis[[#This Row],[Prix de Revient]]</f>
        <v>0</v>
      </c>
    </row>
    <row r="512" spans="1:28" ht="15" customHeight="1" outlineLevel="1" x14ac:dyDescent="0.2">
      <c r="A512" s="75" t="s">
        <v>120</v>
      </c>
      <c r="B512" s="76" t="s">
        <v>4650</v>
      </c>
      <c r="C512" s="71" t="s">
        <v>4657</v>
      </c>
      <c r="D512" s="81" t="str">
        <f t="shared" si="9"/>
        <v>CablagePRESSE ETOUPEPG36</v>
      </c>
      <c r="E512" s="76" t="s">
        <v>311</v>
      </c>
      <c r="F512" s="81">
        <v>7</v>
      </c>
      <c r="G512" s="71">
        <v>98027</v>
      </c>
      <c r="H512" s="79" t="s">
        <v>4269</v>
      </c>
      <c r="I512" s="71"/>
      <c r="J512" s="70">
        <f>IFERROR(VLOOKUP(Devis[[#This Row],[Ref Air Flux]],#REF!,3,FALSE),0)</f>
        <v>0</v>
      </c>
      <c r="K512" s="68"/>
      <c r="L512" s="68"/>
      <c r="M512" s="68"/>
      <c r="N512" s="68"/>
      <c r="O512" s="68"/>
      <c r="P512" s="68"/>
      <c r="Q512" s="68">
        <f>SUM(Devis[[#This Row],[Poste 1]:[Poste 6]])</f>
        <v>0</v>
      </c>
      <c r="R512" s="71"/>
      <c r="S512" s="68">
        <f>_xlfn.CEILING.MATH(Devis[[#This Row],[Quantité Totale]],Devis[[#This Row],[Conditionnement]])</f>
        <v>0</v>
      </c>
      <c r="T512" s="72"/>
      <c r="U512" s="73" t="s">
        <v>312</v>
      </c>
      <c r="V512" s="74">
        <f>Devis[[#This Row],[Prix de Revient]]*Devis[[#This Row],[Poste 1]]</f>
        <v>0</v>
      </c>
      <c r="W512" s="74">
        <f>Devis[[#This Row],[Prix de Revient]]*Devis[[#This Row],[Poste 2]]</f>
        <v>0</v>
      </c>
      <c r="X512" s="74">
        <f>Devis[[#This Row],[Prix de Revient]]*Devis[[#This Row],[Poste 3]]</f>
        <v>0</v>
      </c>
      <c r="Y512" s="74">
        <f>Devis[[#This Row],[Poste 4]]*Devis[[#This Row],[Prix de Revient]]</f>
        <v>0</v>
      </c>
      <c r="Z512" s="74">
        <f>Devis[[#This Row],[Poste 5]]*Devis[[#This Row],[Prix de Revient]]</f>
        <v>0</v>
      </c>
      <c r="AA512" s="74">
        <f>Devis[[#This Row],[Prix de Revient]]*Devis[[#This Row],[Poste 6]]</f>
        <v>0</v>
      </c>
      <c r="AB512" s="74">
        <f>Devis[[#This Row],[Quantité Totale]]*Devis[[#This Row],[Prix de Revient]]</f>
        <v>0</v>
      </c>
    </row>
    <row r="513" spans="1:28" ht="15" customHeight="1" outlineLevel="1" x14ac:dyDescent="0.2">
      <c r="A513" s="75" t="s">
        <v>120</v>
      </c>
      <c r="B513" s="76" t="s">
        <v>4650</v>
      </c>
      <c r="C513" s="71" t="s">
        <v>4658</v>
      </c>
      <c r="D513" s="76" t="s">
        <v>313</v>
      </c>
      <c r="E513" s="76" t="s">
        <v>313</v>
      </c>
      <c r="F513" s="71">
        <v>8</v>
      </c>
      <c r="G513" s="71">
        <v>98028</v>
      </c>
      <c r="H513" s="79" t="s">
        <v>4269</v>
      </c>
      <c r="I513" s="71"/>
      <c r="J513" s="70">
        <f>IFERROR(VLOOKUP(Devis[[#This Row],[Ref Air Flux]],#REF!,3,FALSE),0)</f>
        <v>0</v>
      </c>
      <c r="K513" s="68"/>
      <c r="L513" s="68"/>
      <c r="M513" s="68"/>
      <c r="N513" s="68"/>
      <c r="O513" s="68"/>
      <c r="P513" s="68"/>
      <c r="Q513" s="68">
        <f>SUM(Devis[[#This Row],[Poste 1]:[Poste 6]])</f>
        <v>0</v>
      </c>
      <c r="R513" s="71"/>
      <c r="S513" s="68">
        <f>_xlfn.CEILING.MATH(Devis[[#This Row],[Quantité Totale]],Devis[[#This Row],[Conditionnement]])</f>
        <v>0</v>
      </c>
      <c r="T513" s="72"/>
      <c r="U513" s="73"/>
      <c r="V513" s="74">
        <f>Devis[[#This Row],[Prix de Revient]]*Devis[[#This Row],[Poste 1]]</f>
        <v>0</v>
      </c>
      <c r="W513" s="74">
        <f>Devis[[#This Row],[Prix de Revient]]*Devis[[#This Row],[Poste 2]]</f>
        <v>0</v>
      </c>
      <c r="X513" s="74">
        <f>Devis[[#This Row],[Prix de Revient]]*Devis[[#This Row],[Poste 3]]</f>
        <v>0</v>
      </c>
      <c r="Y513" s="74">
        <f>Devis[[#This Row],[Poste 4]]*Devis[[#This Row],[Prix de Revient]]</f>
        <v>0</v>
      </c>
      <c r="Z513" s="74">
        <f>Devis[[#This Row],[Poste 5]]*Devis[[#This Row],[Prix de Revient]]</f>
        <v>0</v>
      </c>
      <c r="AA513" s="74">
        <f>Devis[[#This Row],[Prix de Revient]]*Devis[[#This Row],[Poste 6]]</f>
        <v>0</v>
      </c>
      <c r="AB513" s="74">
        <f>Devis[[#This Row],[Quantité Totale]]*Devis[[#This Row],[Prix de Revient]]</f>
        <v>0</v>
      </c>
    </row>
    <row r="514" spans="1:28" ht="14.25" outlineLevel="1" x14ac:dyDescent="0.2">
      <c r="A514" s="75" t="s">
        <v>120</v>
      </c>
      <c r="B514" s="76" t="s">
        <v>4650</v>
      </c>
      <c r="C514" s="71" t="s">
        <v>6428</v>
      </c>
      <c r="D514" s="81" t="str">
        <f t="shared" si="9"/>
        <v>CablagePRESSE ETOUPEPG48</v>
      </c>
      <c r="E514" s="76" t="s">
        <v>6429</v>
      </c>
      <c r="F514" s="81">
        <v>9</v>
      </c>
      <c r="G514" s="71">
        <v>98019</v>
      </c>
      <c r="H514" s="79" t="s">
        <v>4269</v>
      </c>
      <c r="I514" s="71"/>
      <c r="J514" s="70">
        <f>IFERROR(VLOOKUP(Devis[[#This Row],[Ref Air Flux]],#REF!,3,FALSE),0)</f>
        <v>0</v>
      </c>
      <c r="K514" s="68"/>
      <c r="L514" s="68"/>
      <c r="M514" s="68"/>
      <c r="N514" s="68"/>
      <c r="O514" s="68"/>
      <c r="P514" s="68"/>
      <c r="Q514" s="68">
        <f>SUM(Devis[[#This Row],[Poste 1]:[Poste 6]])</f>
        <v>0</v>
      </c>
      <c r="R514" s="71"/>
      <c r="S514" s="68">
        <f>_xlfn.CEILING.MATH(Devis[[#This Row],[Quantité Totale]],Devis[[#This Row],[Conditionnement]])</f>
        <v>0</v>
      </c>
      <c r="T514" s="72"/>
      <c r="U514" s="73" t="s">
        <v>314</v>
      </c>
      <c r="V514" s="74">
        <f>Devis[[#This Row],[Prix de Revient]]*Devis[[#This Row],[Poste 1]]</f>
        <v>0</v>
      </c>
      <c r="W514" s="74">
        <f>Devis[[#This Row],[Prix de Revient]]*Devis[[#This Row],[Poste 2]]</f>
        <v>0</v>
      </c>
      <c r="X514" s="74">
        <f>Devis[[#This Row],[Prix de Revient]]*Devis[[#This Row],[Poste 3]]</f>
        <v>0</v>
      </c>
      <c r="Y514" s="74">
        <f>Devis[[#This Row],[Poste 4]]*Devis[[#This Row],[Prix de Revient]]</f>
        <v>0</v>
      </c>
      <c r="Z514" s="74">
        <f>Devis[[#This Row],[Poste 5]]*Devis[[#This Row],[Prix de Revient]]</f>
        <v>0</v>
      </c>
      <c r="AA514" s="74">
        <f>Devis[[#This Row],[Prix de Revient]]*Devis[[#This Row],[Poste 6]]</f>
        <v>0</v>
      </c>
      <c r="AB514" s="74">
        <f>Devis[[#This Row],[Quantité Totale]]*Devis[[#This Row],[Prix de Revient]]</f>
        <v>0</v>
      </c>
    </row>
    <row r="515" spans="1:28" ht="15" customHeight="1" x14ac:dyDescent="0.25">
      <c r="A515" s="65" t="s">
        <v>120</v>
      </c>
      <c r="B515" s="65" t="s">
        <v>4659</v>
      </c>
      <c r="C515" s="76"/>
      <c r="D515" s="81" t="str">
        <f t="shared" si="9"/>
        <v>CablagePRISES</v>
      </c>
      <c r="E515" s="76"/>
      <c r="F515" s="81">
        <v>0</v>
      </c>
      <c r="G515" s="71"/>
      <c r="H515" s="71"/>
      <c r="I515" s="71"/>
      <c r="J515" s="70">
        <f>IFERROR(VLOOKUP(Devis[[#This Row],[Ref Air Flux]],#REF!,3,FALSE),0)</f>
        <v>0</v>
      </c>
      <c r="K515" s="68"/>
      <c r="L515" s="68"/>
      <c r="M515" s="68"/>
      <c r="N515" s="68"/>
      <c r="O515" s="68"/>
      <c r="P515" s="68"/>
      <c r="Q515" s="68">
        <f>SUM(Devis[[#This Row],[Poste 1]:[Poste 6]])</f>
        <v>0</v>
      </c>
      <c r="R515" s="71"/>
      <c r="S515" s="68">
        <f>_xlfn.CEILING.MATH(Devis[[#This Row],[Quantité Totale]],Devis[[#This Row],[Conditionnement]])</f>
        <v>0</v>
      </c>
      <c r="T515" s="72"/>
      <c r="U515" s="73"/>
      <c r="V515" s="74">
        <f>Devis[[#This Row],[Prix de Revient]]*Devis[[#This Row],[Poste 1]]</f>
        <v>0</v>
      </c>
      <c r="W515" s="74">
        <f>Devis[[#This Row],[Prix de Revient]]*Devis[[#This Row],[Poste 2]]</f>
        <v>0</v>
      </c>
      <c r="X515" s="74">
        <f>Devis[[#This Row],[Prix de Revient]]*Devis[[#This Row],[Poste 3]]</f>
        <v>0</v>
      </c>
      <c r="Y515" s="74">
        <f>Devis[[#This Row],[Poste 4]]*Devis[[#This Row],[Prix de Revient]]</f>
        <v>0</v>
      </c>
      <c r="Z515" s="74">
        <f>Devis[[#This Row],[Poste 5]]*Devis[[#This Row],[Prix de Revient]]</f>
        <v>0</v>
      </c>
      <c r="AA515" s="74">
        <f>Devis[[#This Row],[Prix de Revient]]*Devis[[#This Row],[Poste 6]]</f>
        <v>0</v>
      </c>
      <c r="AB515" s="74">
        <f>Devis[[#This Row],[Quantité Totale]]*Devis[[#This Row],[Prix de Revient]]</f>
        <v>0</v>
      </c>
    </row>
    <row r="516" spans="1:28" ht="14.25" outlineLevel="1" x14ac:dyDescent="0.2">
      <c r="A516" s="75" t="s">
        <v>120</v>
      </c>
      <c r="B516" s="76" t="s">
        <v>4659</v>
      </c>
      <c r="C516" s="71" t="s">
        <v>4660</v>
      </c>
      <c r="D516" s="81" t="str">
        <f t="shared" si="9"/>
        <v>CablagePRISES2P+T</v>
      </c>
      <c r="E516" s="76" t="s">
        <v>4661</v>
      </c>
      <c r="F516" s="81">
        <v>1</v>
      </c>
      <c r="G516" s="71">
        <v>69731</v>
      </c>
      <c r="H516" s="79"/>
      <c r="I516" s="71"/>
      <c r="J516" s="70">
        <f>IFERROR(VLOOKUP(Devis[[#This Row],[Ref Air Flux]],#REF!,3,FALSE),0)</f>
        <v>0</v>
      </c>
      <c r="K516" s="68"/>
      <c r="L516" s="68"/>
      <c r="M516" s="68"/>
      <c r="N516" s="68"/>
      <c r="O516" s="68"/>
      <c r="P516" s="68"/>
      <c r="Q516" s="68">
        <f>SUM(Devis[[#This Row],[Poste 1]:[Poste 6]])</f>
        <v>0</v>
      </c>
      <c r="R516" s="71"/>
      <c r="S516" s="68">
        <f>_xlfn.CEILING.MATH(Devis[[#This Row],[Quantité Totale]],Devis[[#This Row],[Conditionnement]])</f>
        <v>0</v>
      </c>
      <c r="T516" s="72"/>
      <c r="U516" s="73"/>
      <c r="V516" s="74">
        <f>Devis[[#This Row],[Prix de Revient]]*Devis[[#This Row],[Poste 1]]</f>
        <v>0</v>
      </c>
      <c r="W516" s="74">
        <f>Devis[[#This Row],[Prix de Revient]]*Devis[[#This Row],[Poste 2]]</f>
        <v>0</v>
      </c>
      <c r="X516" s="74">
        <f>Devis[[#This Row],[Prix de Revient]]*Devis[[#This Row],[Poste 3]]</f>
        <v>0</v>
      </c>
      <c r="Y516" s="74">
        <f>Devis[[#This Row],[Poste 4]]*Devis[[#This Row],[Prix de Revient]]</f>
        <v>0</v>
      </c>
      <c r="Z516" s="74">
        <f>Devis[[#This Row],[Poste 5]]*Devis[[#This Row],[Prix de Revient]]</f>
        <v>0</v>
      </c>
      <c r="AA516" s="74">
        <f>Devis[[#This Row],[Prix de Revient]]*Devis[[#This Row],[Poste 6]]</f>
        <v>0</v>
      </c>
      <c r="AB516" s="74">
        <f>Devis[[#This Row],[Quantité Totale]]*Devis[[#This Row],[Prix de Revient]]</f>
        <v>0</v>
      </c>
    </row>
    <row r="517" spans="1:28" ht="14.25" outlineLevel="1" x14ac:dyDescent="0.2">
      <c r="A517" s="75" t="s">
        <v>120</v>
      </c>
      <c r="B517" s="76" t="s">
        <v>4659</v>
      </c>
      <c r="C517" s="71" t="s">
        <v>4660</v>
      </c>
      <c r="D517" s="81" t="str">
        <f t="shared" si="9"/>
        <v>CablagePRISES2P+T</v>
      </c>
      <c r="E517" s="76" t="s">
        <v>4662</v>
      </c>
      <c r="F517" s="81">
        <v>2</v>
      </c>
      <c r="G517" s="71">
        <v>50446</v>
      </c>
      <c r="H517" s="79"/>
      <c r="I517" s="71"/>
      <c r="J517" s="70">
        <f>IFERROR(VLOOKUP(Devis[[#This Row],[Ref Air Flux]],#REF!,3,FALSE),0)</f>
        <v>0</v>
      </c>
      <c r="K517" s="68"/>
      <c r="L517" s="68"/>
      <c r="M517" s="68"/>
      <c r="N517" s="68"/>
      <c r="O517" s="68"/>
      <c r="P517" s="68"/>
      <c r="Q517" s="68">
        <f>SUM(Devis[[#This Row],[Poste 1]:[Poste 6]])</f>
        <v>0</v>
      </c>
      <c r="R517" s="71"/>
      <c r="S517" s="68">
        <f>_xlfn.CEILING.MATH(Devis[[#This Row],[Quantité Totale]],Devis[[#This Row],[Conditionnement]])</f>
        <v>0</v>
      </c>
      <c r="T517" s="72"/>
      <c r="U517" s="73"/>
      <c r="V517" s="74">
        <f>Devis[[#This Row],[Prix de Revient]]*Devis[[#This Row],[Poste 1]]</f>
        <v>0</v>
      </c>
      <c r="W517" s="74">
        <f>Devis[[#This Row],[Prix de Revient]]*Devis[[#This Row],[Poste 2]]</f>
        <v>0</v>
      </c>
      <c r="X517" s="74">
        <f>Devis[[#This Row],[Prix de Revient]]*Devis[[#This Row],[Poste 3]]</f>
        <v>0</v>
      </c>
      <c r="Y517" s="74">
        <f>Devis[[#This Row],[Poste 4]]*Devis[[#This Row],[Prix de Revient]]</f>
        <v>0</v>
      </c>
      <c r="Z517" s="74">
        <f>Devis[[#This Row],[Poste 5]]*Devis[[#This Row],[Prix de Revient]]</f>
        <v>0</v>
      </c>
      <c r="AA517" s="74">
        <f>Devis[[#This Row],[Prix de Revient]]*Devis[[#This Row],[Poste 6]]</f>
        <v>0</v>
      </c>
      <c r="AB517" s="74">
        <f>Devis[[#This Row],[Quantité Totale]]*Devis[[#This Row],[Prix de Revient]]</f>
        <v>0</v>
      </c>
    </row>
    <row r="518" spans="1:28" ht="14.25" outlineLevel="1" x14ac:dyDescent="0.2">
      <c r="A518" s="75" t="s">
        <v>120</v>
      </c>
      <c r="B518" s="76" t="s">
        <v>4659</v>
      </c>
      <c r="C518" s="71" t="s">
        <v>4660</v>
      </c>
      <c r="D518" s="81" t="str">
        <f t="shared" si="9"/>
        <v>CablagePRISES2P+T</v>
      </c>
      <c r="E518" s="76" t="s">
        <v>4663</v>
      </c>
      <c r="F518" s="81">
        <v>3</v>
      </c>
      <c r="G518" s="71">
        <v>50445</v>
      </c>
      <c r="H518" s="71"/>
      <c r="I518" s="71"/>
      <c r="J518" s="70">
        <f>IFERROR(VLOOKUP(Devis[[#This Row],[Ref Air Flux]],#REF!,3,FALSE),0)</f>
        <v>0</v>
      </c>
      <c r="K518" s="68"/>
      <c r="L518" s="68"/>
      <c r="M518" s="68"/>
      <c r="N518" s="68"/>
      <c r="O518" s="68"/>
      <c r="P518" s="68"/>
      <c r="Q518" s="68">
        <f>SUM(Devis[[#This Row],[Poste 1]:[Poste 6]])</f>
        <v>0</v>
      </c>
      <c r="R518" s="71"/>
      <c r="S518" s="68">
        <f>_xlfn.CEILING.MATH(Devis[[#This Row],[Quantité Totale]],Devis[[#This Row],[Conditionnement]])</f>
        <v>0</v>
      </c>
      <c r="T518" s="72"/>
      <c r="U518" s="73"/>
      <c r="V518" s="74">
        <f>Devis[[#This Row],[Prix de Revient]]*Devis[[#This Row],[Poste 1]]</f>
        <v>0</v>
      </c>
      <c r="W518" s="74">
        <f>Devis[[#This Row],[Prix de Revient]]*Devis[[#This Row],[Poste 2]]</f>
        <v>0</v>
      </c>
      <c r="X518" s="74">
        <f>Devis[[#This Row],[Prix de Revient]]*Devis[[#This Row],[Poste 3]]</f>
        <v>0</v>
      </c>
      <c r="Y518" s="74">
        <f>Devis[[#This Row],[Poste 4]]*Devis[[#This Row],[Prix de Revient]]</f>
        <v>0</v>
      </c>
      <c r="Z518" s="74">
        <f>Devis[[#This Row],[Poste 5]]*Devis[[#This Row],[Prix de Revient]]</f>
        <v>0</v>
      </c>
      <c r="AA518" s="74">
        <f>Devis[[#This Row],[Prix de Revient]]*Devis[[#This Row],[Poste 6]]</f>
        <v>0</v>
      </c>
      <c r="AB518" s="74">
        <f>Devis[[#This Row],[Quantité Totale]]*Devis[[#This Row],[Prix de Revient]]</f>
        <v>0</v>
      </c>
    </row>
    <row r="519" spans="1:28" ht="14.25" outlineLevel="1" x14ac:dyDescent="0.2">
      <c r="A519" s="75" t="s">
        <v>120</v>
      </c>
      <c r="B519" s="76" t="s">
        <v>4659</v>
      </c>
      <c r="C519" s="71" t="s">
        <v>4660</v>
      </c>
      <c r="D519" s="81" t="str">
        <f t="shared" si="9"/>
        <v>CablagePRISES2P+T</v>
      </c>
      <c r="E519" s="76" t="s">
        <v>4663</v>
      </c>
      <c r="F519" s="81">
        <v>4</v>
      </c>
      <c r="G519" s="71">
        <v>50245</v>
      </c>
      <c r="H519" s="79"/>
      <c r="I519" s="71"/>
      <c r="J519" s="70">
        <f>IFERROR(VLOOKUP(Devis[[#This Row],[Ref Air Flux]],#REF!,3,FALSE),0)</f>
        <v>0</v>
      </c>
      <c r="K519" s="68"/>
      <c r="L519" s="68"/>
      <c r="M519" s="68"/>
      <c r="N519" s="68"/>
      <c r="O519" s="68"/>
      <c r="P519" s="68"/>
      <c r="Q519" s="68">
        <f>SUM(Devis[[#This Row],[Poste 1]:[Poste 6]])</f>
        <v>0</v>
      </c>
      <c r="R519" s="71"/>
      <c r="S519" s="68">
        <f>_xlfn.CEILING.MATH(Devis[[#This Row],[Quantité Totale]],Devis[[#This Row],[Conditionnement]])</f>
        <v>0</v>
      </c>
      <c r="T519" s="72"/>
      <c r="U519" s="73" t="s">
        <v>4664</v>
      </c>
      <c r="V519" s="74">
        <f>Devis[[#This Row],[Prix de Revient]]*Devis[[#This Row],[Poste 1]]</f>
        <v>0</v>
      </c>
      <c r="W519" s="74">
        <f>Devis[[#This Row],[Prix de Revient]]*Devis[[#This Row],[Poste 2]]</f>
        <v>0</v>
      </c>
      <c r="X519" s="74">
        <f>Devis[[#This Row],[Prix de Revient]]*Devis[[#This Row],[Poste 3]]</f>
        <v>0</v>
      </c>
      <c r="Y519" s="74">
        <f>Devis[[#This Row],[Poste 4]]*Devis[[#This Row],[Prix de Revient]]</f>
        <v>0</v>
      </c>
      <c r="Z519" s="74">
        <f>Devis[[#This Row],[Poste 5]]*Devis[[#This Row],[Prix de Revient]]</f>
        <v>0</v>
      </c>
      <c r="AA519" s="74">
        <f>Devis[[#This Row],[Prix de Revient]]*Devis[[#This Row],[Poste 6]]</f>
        <v>0</v>
      </c>
      <c r="AB519" s="74">
        <f>Devis[[#This Row],[Quantité Totale]]*Devis[[#This Row],[Prix de Revient]]</f>
        <v>0</v>
      </c>
    </row>
    <row r="520" spans="1:28" ht="14.25" outlineLevel="1" x14ac:dyDescent="0.2">
      <c r="A520" s="75" t="s">
        <v>120</v>
      </c>
      <c r="B520" s="76" t="s">
        <v>4659</v>
      </c>
      <c r="C520" s="71" t="s">
        <v>4665</v>
      </c>
      <c r="D520" s="81" t="str">
        <f t="shared" si="9"/>
        <v>CablagePRISES3P + T</v>
      </c>
      <c r="E520" s="76" t="s">
        <v>4666</v>
      </c>
      <c r="F520" s="81">
        <v>5</v>
      </c>
      <c r="G520" s="86" t="s">
        <v>4667</v>
      </c>
      <c r="H520" s="71"/>
      <c r="I520" s="71"/>
      <c r="J520" s="70">
        <f>IFERROR(VLOOKUP(Devis[[#This Row],[Ref Air Flux]],#REF!,3,FALSE),0)</f>
        <v>0</v>
      </c>
      <c r="K520" s="68"/>
      <c r="L520" s="68"/>
      <c r="M520" s="68"/>
      <c r="N520" s="68"/>
      <c r="O520" s="68"/>
      <c r="P520" s="68"/>
      <c r="Q520" s="68">
        <f>SUM(Devis[[#This Row],[Poste 1]:[Poste 6]])</f>
        <v>0</v>
      </c>
      <c r="R520" s="71"/>
      <c r="S520" s="68">
        <f>_xlfn.CEILING.MATH(Devis[[#This Row],[Quantité Totale]],Devis[[#This Row],[Conditionnement]])</f>
        <v>0</v>
      </c>
      <c r="T520" s="72"/>
      <c r="U520" s="73"/>
      <c r="V520" s="74">
        <f>Devis[[#This Row],[Prix de Revient]]*Devis[[#This Row],[Poste 1]]</f>
        <v>0</v>
      </c>
      <c r="W520" s="74">
        <f>Devis[[#This Row],[Prix de Revient]]*Devis[[#This Row],[Poste 2]]</f>
        <v>0</v>
      </c>
      <c r="X520" s="74">
        <f>Devis[[#This Row],[Prix de Revient]]*Devis[[#This Row],[Poste 3]]</f>
        <v>0</v>
      </c>
      <c r="Y520" s="74">
        <f>Devis[[#This Row],[Poste 4]]*Devis[[#This Row],[Prix de Revient]]</f>
        <v>0</v>
      </c>
      <c r="Z520" s="74">
        <f>Devis[[#This Row],[Poste 5]]*Devis[[#This Row],[Prix de Revient]]</f>
        <v>0</v>
      </c>
      <c r="AA520" s="74">
        <f>Devis[[#This Row],[Prix de Revient]]*Devis[[#This Row],[Poste 6]]</f>
        <v>0</v>
      </c>
      <c r="AB520" s="74">
        <f>Devis[[#This Row],[Quantité Totale]]*Devis[[#This Row],[Prix de Revient]]</f>
        <v>0</v>
      </c>
    </row>
    <row r="521" spans="1:28" ht="14.25" outlineLevel="1" x14ac:dyDescent="0.2">
      <c r="A521" s="75" t="s">
        <v>120</v>
      </c>
      <c r="B521" s="76" t="s">
        <v>4659</v>
      </c>
      <c r="C521" s="71" t="s">
        <v>4665</v>
      </c>
      <c r="D521" s="81" t="str">
        <f t="shared" si="9"/>
        <v>CablagePRISES3P + T</v>
      </c>
      <c r="E521" s="76" t="s">
        <v>4668</v>
      </c>
      <c r="F521" s="81">
        <v>6</v>
      </c>
      <c r="G521" s="86" t="s">
        <v>6406</v>
      </c>
      <c r="H521" s="71" t="s">
        <v>4269</v>
      </c>
      <c r="I521" s="86" t="s">
        <v>4669</v>
      </c>
      <c r="J521" s="70">
        <f>IFERROR(VLOOKUP(Devis[[#This Row],[Ref Air Flux]],#REF!,3,FALSE),0)</f>
        <v>0</v>
      </c>
      <c r="K521" s="68"/>
      <c r="L521" s="68"/>
      <c r="M521" s="68"/>
      <c r="N521" s="68"/>
      <c r="O521" s="68"/>
      <c r="P521" s="68"/>
      <c r="Q521" s="68">
        <f>SUM(Devis[[#This Row],[Poste 1]:[Poste 6]])</f>
        <v>0</v>
      </c>
      <c r="R521" s="71"/>
      <c r="S521" s="68">
        <f>_xlfn.CEILING.MATH(Devis[[#This Row],[Quantité Totale]],Devis[[#This Row],[Conditionnement]])</f>
        <v>0</v>
      </c>
      <c r="T521" s="72"/>
      <c r="U521" s="73"/>
      <c r="V521" s="74">
        <f>Devis[[#This Row],[Prix de Revient]]*Devis[[#This Row],[Poste 1]]</f>
        <v>0</v>
      </c>
      <c r="W521" s="74">
        <f>Devis[[#This Row],[Prix de Revient]]*Devis[[#This Row],[Poste 2]]</f>
        <v>0</v>
      </c>
      <c r="X521" s="74">
        <f>Devis[[#This Row],[Prix de Revient]]*Devis[[#This Row],[Poste 3]]</f>
        <v>0</v>
      </c>
      <c r="Y521" s="74">
        <f>Devis[[#This Row],[Poste 4]]*Devis[[#This Row],[Prix de Revient]]</f>
        <v>0</v>
      </c>
      <c r="Z521" s="74">
        <f>Devis[[#This Row],[Poste 5]]*Devis[[#This Row],[Prix de Revient]]</f>
        <v>0</v>
      </c>
      <c r="AA521" s="74">
        <f>Devis[[#This Row],[Prix de Revient]]*Devis[[#This Row],[Poste 6]]</f>
        <v>0</v>
      </c>
      <c r="AB521" s="74">
        <f>Devis[[#This Row],[Quantité Totale]]*Devis[[#This Row],[Prix de Revient]]</f>
        <v>0</v>
      </c>
    </row>
    <row r="522" spans="1:28" ht="14.25" customHeight="1" x14ac:dyDescent="0.25">
      <c r="A522" s="65" t="s">
        <v>326</v>
      </c>
      <c r="B522" s="65" t="s">
        <v>4750</v>
      </c>
      <c r="C522" s="76"/>
      <c r="D522" s="81" t="str">
        <f t="shared" si="9"/>
        <v>CuveEquipements de cuve</v>
      </c>
      <c r="E522" s="76"/>
      <c r="F522" s="81">
        <v>0</v>
      </c>
      <c r="G522" s="71"/>
      <c r="H522" s="71"/>
      <c r="I522" s="71"/>
      <c r="J522" s="70">
        <f>IFERROR(VLOOKUP(Devis[[#This Row],[Ref Air Flux]],#REF!,3,FALSE),0)</f>
        <v>0</v>
      </c>
      <c r="K522" s="68"/>
      <c r="L522" s="68"/>
      <c r="M522" s="68"/>
      <c r="N522" s="68"/>
      <c r="O522" s="68"/>
      <c r="P522" s="68"/>
      <c r="Q522" s="68">
        <f>SUM(Devis[[#This Row],[Poste 1]:[Poste 6]])</f>
        <v>0</v>
      </c>
      <c r="R522" s="94"/>
      <c r="S522" s="68">
        <f>_xlfn.CEILING.MATH(Devis[[#This Row],[Quantité Totale]],Devis[[#This Row],[Conditionnement]])</f>
        <v>0</v>
      </c>
      <c r="T522" s="72"/>
      <c r="U522" s="73"/>
      <c r="V522" s="74">
        <f>Devis[[#This Row],[Prix de Revient]]*Devis[[#This Row],[Poste 1]]</f>
        <v>0</v>
      </c>
      <c r="W522" s="74">
        <f>Devis[[#This Row],[Prix de Revient]]*Devis[[#This Row],[Poste 2]]</f>
        <v>0</v>
      </c>
      <c r="X522" s="74">
        <f>Devis[[#This Row],[Prix de Revient]]*Devis[[#This Row],[Poste 3]]</f>
        <v>0</v>
      </c>
      <c r="Y522" s="74">
        <f>Devis[[#This Row],[Poste 4]]*Devis[[#This Row],[Prix de Revient]]</f>
        <v>0</v>
      </c>
      <c r="Z522" s="74">
        <f>Devis[[#This Row],[Poste 5]]*Devis[[#This Row],[Prix de Revient]]</f>
        <v>0</v>
      </c>
      <c r="AA522" s="74">
        <f>Devis[[#This Row],[Prix de Revient]]*Devis[[#This Row],[Poste 6]]</f>
        <v>0</v>
      </c>
      <c r="AB522" s="74">
        <f>Devis[[#This Row],[Quantité Totale]]*Devis[[#This Row],[Prix de Revient]]</f>
        <v>0</v>
      </c>
    </row>
    <row r="523" spans="1:28" ht="15" customHeight="1" outlineLevel="1" x14ac:dyDescent="0.2">
      <c r="A523" s="75" t="s">
        <v>326</v>
      </c>
      <c r="B523" s="76" t="s">
        <v>4750</v>
      </c>
      <c r="C523" s="95" t="s">
        <v>3691</v>
      </c>
      <c r="D523" s="81" t="str">
        <f t="shared" si="9"/>
        <v>CuveEquipements de cuveAirflux</v>
      </c>
      <c r="E523" s="75" t="s">
        <v>4751</v>
      </c>
      <c r="F523" s="81">
        <v>1</v>
      </c>
      <c r="G523" s="71" t="s">
        <v>327</v>
      </c>
      <c r="H523" s="79" t="s">
        <v>3691</v>
      </c>
      <c r="I523" s="79"/>
      <c r="J523" s="70">
        <f>IFERROR(VLOOKUP(Devis[[#This Row],[Ref Air Flux]],#REF!,3,FALSE),0)</f>
        <v>0</v>
      </c>
      <c r="K523" s="68"/>
      <c r="L523" s="68"/>
      <c r="M523" s="68"/>
      <c r="N523" s="68"/>
      <c r="O523" s="68"/>
      <c r="P523" s="68"/>
      <c r="Q523" s="68">
        <f>SUM(Devis[[#This Row],[Poste 1]:[Poste 6]])</f>
        <v>0</v>
      </c>
      <c r="R523" s="71"/>
      <c r="S523" s="68">
        <f>_xlfn.CEILING.MATH(Devis[[#This Row],[Quantité Totale]],Devis[[#This Row],[Conditionnement]])</f>
        <v>0</v>
      </c>
      <c r="T523" s="72"/>
      <c r="U523" s="73"/>
      <c r="V523" s="74">
        <f>Devis[[#This Row],[Prix de Revient]]*Devis[[#This Row],[Poste 1]]</f>
        <v>0</v>
      </c>
      <c r="W523" s="74">
        <f>Devis[[#This Row],[Prix de Revient]]*Devis[[#This Row],[Poste 2]]</f>
        <v>0</v>
      </c>
      <c r="X523" s="74">
        <f>Devis[[#This Row],[Prix de Revient]]*Devis[[#This Row],[Poste 3]]</f>
        <v>0</v>
      </c>
      <c r="Y523" s="74">
        <f>Devis[[#This Row],[Poste 4]]*Devis[[#This Row],[Prix de Revient]]</f>
        <v>0</v>
      </c>
      <c r="Z523" s="74">
        <f>Devis[[#This Row],[Poste 5]]*Devis[[#This Row],[Prix de Revient]]</f>
        <v>0</v>
      </c>
      <c r="AA523" s="74">
        <f>Devis[[#This Row],[Prix de Revient]]*Devis[[#This Row],[Poste 6]]</f>
        <v>0</v>
      </c>
      <c r="AB523" s="74">
        <f>Devis[[#This Row],[Quantité Totale]]*Devis[[#This Row],[Prix de Revient]]</f>
        <v>0</v>
      </c>
    </row>
    <row r="524" spans="1:28" ht="14.25" outlineLevel="1" x14ac:dyDescent="0.2">
      <c r="A524" s="75" t="s">
        <v>326</v>
      </c>
      <c r="B524" s="76" t="s">
        <v>4750</v>
      </c>
      <c r="C524" s="95" t="s">
        <v>3691</v>
      </c>
      <c r="D524" s="81" t="str">
        <f t="shared" si="9"/>
        <v>CuveEquipements de cuveAirflux</v>
      </c>
      <c r="E524" s="75" t="s">
        <v>4752</v>
      </c>
      <c r="F524" s="81">
        <v>2</v>
      </c>
      <c r="G524" s="71" t="s">
        <v>330</v>
      </c>
      <c r="H524" s="79" t="s">
        <v>3691</v>
      </c>
      <c r="I524" s="79"/>
      <c r="J524" s="70">
        <f>IFERROR(VLOOKUP(Devis[[#This Row],[Ref Air Flux]],#REF!,3,FALSE),0)</f>
        <v>0</v>
      </c>
      <c r="K524" s="68"/>
      <c r="L524" s="68"/>
      <c r="M524" s="68"/>
      <c r="N524" s="68"/>
      <c r="O524" s="68"/>
      <c r="P524" s="68"/>
      <c r="Q524" s="68">
        <f>SUM(Devis[[#This Row],[Poste 1]:[Poste 6]])</f>
        <v>0</v>
      </c>
      <c r="R524" s="71"/>
      <c r="S524" s="68">
        <f>_xlfn.CEILING.MATH(Devis[[#This Row],[Quantité Totale]],Devis[[#This Row],[Conditionnement]])</f>
        <v>0</v>
      </c>
      <c r="T524" s="72"/>
      <c r="U524" s="73"/>
      <c r="V524" s="74">
        <f>Devis[[#This Row],[Prix de Revient]]*Devis[[#This Row],[Poste 1]]</f>
        <v>0</v>
      </c>
      <c r="W524" s="74">
        <f>Devis[[#This Row],[Prix de Revient]]*Devis[[#This Row],[Poste 2]]</f>
        <v>0</v>
      </c>
      <c r="X524" s="74">
        <f>Devis[[#This Row],[Prix de Revient]]*Devis[[#This Row],[Poste 3]]</f>
        <v>0</v>
      </c>
      <c r="Y524" s="74">
        <f>Devis[[#This Row],[Poste 4]]*Devis[[#This Row],[Prix de Revient]]</f>
        <v>0</v>
      </c>
      <c r="Z524" s="74">
        <f>Devis[[#This Row],[Poste 5]]*Devis[[#This Row],[Prix de Revient]]</f>
        <v>0</v>
      </c>
      <c r="AA524" s="74">
        <f>Devis[[#This Row],[Prix de Revient]]*Devis[[#This Row],[Poste 6]]</f>
        <v>0</v>
      </c>
      <c r="AB524" s="74">
        <f>Devis[[#This Row],[Quantité Totale]]*Devis[[#This Row],[Prix de Revient]]</f>
        <v>0</v>
      </c>
    </row>
    <row r="525" spans="1:28" ht="14.25" outlineLevel="1" x14ac:dyDescent="0.2">
      <c r="A525" s="75" t="s">
        <v>326</v>
      </c>
      <c r="B525" s="76" t="s">
        <v>4750</v>
      </c>
      <c r="C525" s="75" t="s">
        <v>3691</v>
      </c>
      <c r="D525" s="81" t="str">
        <f t="shared" si="9"/>
        <v>CuveEquipements de cuveAirflux</v>
      </c>
      <c r="E525" s="75" t="s">
        <v>4753</v>
      </c>
      <c r="F525" s="81">
        <v>3</v>
      </c>
      <c r="G525" s="71" t="s">
        <v>3895</v>
      </c>
      <c r="H525" s="71" t="s">
        <v>3691</v>
      </c>
      <c r="I525" s="71"/>
      <c r="J525" s="70">
        <f>IFERROR(VLOOKUP(Devis[[#This Row],[Ref Air Flux]],#REF!,3,FALSE),0)</f>
        <v>0</v>
      </c>
      <c r="K525" s="68"/>
      <c r="L525" s="68"/>
      <c r="M525" s="68"/>
      <c r="N525" s="68"/>
      <c r="O525" s="68"/>
      <c r="P525" s="68"/>
      <c r="Q525" s="68">
        <f>SUM(Devis[[#This Row],[Poste 1]:[Poste 6]])</f>
        <v>0</v>
      </c>
      <c r="R525" s="71"/>
      <c r="S525" s="68">
        <f>_xlfn.CEILING.MATH(Devis[[#This Row],[Quantité Totale]],Devis[[#This Row],[Conditionnement]])</f>
        <v>0</v>
      </c>
      <c r="T525" s="72"/>
      <c r="U525" s="73"/>
      <c r="V525" s="74">
        <f>Devis[[#This Row],[Prix de Revient]]*Devis[[#This Row],[Poste 1]]</f>
        <v>0</v>
      </c>
      <c r="W525" s="74">
        <f>Devis[[#This Row],[Prix de Revient]]*Devis[[#This Row],[Poste 2]]</f>
        <v>0</v>
      </c>
      <c r="X525" s="74">
        <f>Devis[[#This Row],[Prix de Revient]]*Devis[[#This Row],[Poste 3]]</f>
        <v>0</v>
      </c>
      <c r="Y525" s="74">
        <f>Devis[[#This Row],[Poste 4]]*Devis[[#This Row],[Prix de Revient]]</f>
        <v>0</v>
      </c>
      <c r="Z525" s="74">
        <f>Devis[[#This Row],[Poste 5]]*Devis[[#This Row],[Prix de Revient]]</f>
        <v>0</v>
      </c>
      <c r="AA525" s="74">
        <f>Devis[[#This Row],[Prix de Revient]]*Devis[[#This Row],[Poste 6]]</f>
        <v>0</v>
      </c>
      <c r="AB525" s="74">
        <f>Devis[[#This Row],[Quantité Totale]]*Devis[[#This Row],[Prix de Revient]]</f>
        <v>0</v>
      </c>
    </row>
    <row r="526" spans="1:28" ht="14.25" customHeight="1" outlineLevel="1" x14ac:dyDescent="0.2">
      <c r="A526" s="75" t="s">
        <v>326</v>
      </c>
      <c r="B526" s="76" t="s">
        <v>4750</v>
      </c>
      <c r="C526" s="95" t="s">
        <v>3691</v>
      </c>
      <c r="D526" s="81" t="str">
        <f t="shared" si="9"/>
        <v>CuveEquipements de cuveAirflux</v>
      </c>
      <c r="E526" s="75" t="s">
        <v>4754</v>
      </c>
      <c r="F526" s="81">
        <v>4</v>
      </c>
      <c r="G526" s="71" t="s">
        <v>332</v>
      </c>
      <c r="H526" s="79" t="s">
        <v>3691</v>
      </c>
      <c r="I526" s="79"/>
      <c r="J526" s="70">
        <f>IFERROR(VLOOKUP(Devis[[#This Row],[Ref Air Flux]],#REF!,3,FALSE),0)</f>
        <v>0</v>
      </c>
      <c r="K526" s="68"/>
      <c r="L526" s="68"/>
      <c r="M526" s="68"/>
      <c r="N526" s="68"/>
      <c r="O526" s="68"/>
      <c r="P526" s="68"/>
      <c r="Q526" s="68">
        <f>SUM(Devis[[#This Row],[Poste 1]:[Poste 6]])</f>
        <v>0</v>
      </c>
      <c r="R526" s="71"/>
      <c r="S526" s="68">
        <f>_xlfn.CEILING.MATH(Devis[[#This Row],[Quantité Totale]],Devis[[#This Row],[Conditionnement]])</f>
        <v>0</v>
      </c>
      <c r="T526" s="72"/>
      <c r="U526" s="73"/>
      <c r="V526" s="74">
        <f>Devis[[#This Row],[Prix de Revient]]*Devis[[#This Row],[Poste 1]]</f>
        <v>0</v>
      </c>
      <c r="W526" s="74">
        <f>Devis[[#This Row],[Prix de Revient]]*Devis[[#This Row],[Poste 2]]</f>
        <v>0</v>
      </c>
      <c r="X526" s="74">
        <f>Devis[[#This Row],[Prix de Revient]]*Devis[[#This Row],[Poste 3]]</f>
        <v>0</v>
      </c>
      <c r="Y526" s="74">
        <f>Devis[[#This Row],[Poste 4]]*Devis[[#This Row],[Prix de Revient]]</f>
        <v>0</v>
      </c>
      <c r="Z526" s="74">
        <f>Devis[[#This Row],[Poste 5]]*Devis[[#This Row],[Prix de Revient]]</f>
        <v>0</v>
      </c>
      <c r="AA526" s="74">
        <f>Devis[[#This Row],[Prix de Revient]]*Devis[[#This Row],[Poste 6]]</f>
        <v>0</v>
      </c>
      <c r="AB526" s="74">
        <f>Devis[[#This Row],[Quantité Totale]]*Devis[[#This Row],[Prix de Revient]]</f>
        <v>0</v>
      </c>
    </row>
    <row r="527" spans="1:28" ht="14.25" outlineLevel="1" x14ac:dyDescent="0.2">
      <c r="A527" s="75" t="s">
        <v>326</v>
      </c>
      <c r="B527" s="76" t="s">
        <v>4750</v>
      </c>
      <c r="C527" s="95" t="s">
        <v>3691</v>
      </c>
      <c r="D527" s="81" t="str">
        <f t="shared" si="9"/>
        <v>CuveEquipements de cuveAirflux</v>
      </c>
      <c r="E527" s="75" t="s">
        <v>4755</v>
      </c>
      <c r="F527" s="81">
        <v>5</v>
      </c>
      <c r="G527" s="71" t="s">
        <v>328</v>
      </c>
      <c r="H527" s="79" t="s">
        <v>3691</v>
      </c>
      <c r="I527" s="79"/>
      <c r="J527" s="70">
        <f>IFERROR(VLOOKUP(Devis[[#This Row],[Ref Air Flux]],#REF!,3,FALSE),0)</f>
        <v>0</v>
      </c>
      <c r="K527" s="68"/>
      <c r="L527" s="68"/>
      <c r="M527" s="68"/>
      <c r="N527" s="68"/>
      <c r="O527" s="68"/>
      <c r="P527" s="68"/>
      <c r="Q527" s="68">
        <f>SUM(Devis[[#This Row],[Poste 1]:[Poste 6]])</f>
        <v>0</v>
      </c>
      <c r="R527" s="71"/>
      <c r="S527" s="68">
        <f>_xlfn.CEILING.MATH(Devis[[#This Row],[Quantité Totale]],Devis[[#This Row],[Conditionnement]])</f>
        <v>0</v>
      </c>
      <c r="T527" s="72"/>
      <c r="U527" s="73"/>
      <c r="V527" s="74">
        <f>Devis[[#This Row],[Prix de Revient]]*Devis[[#This Row],[Poste 1]]</f>
        <v>0</v>
      </c>
      <c r="W527" s="74">
        <f>Devis[[#This Row],[Prix de Revient]]*Devis[[#This Row],[Poste 2]]</f>
        <v>0</v>
      </c>
      <c r="X527" s="74">
        <f>Devis[[#This Row],[Prix de Revient]]*Devis[[#This Row],[Poste 3]]</f>
        <v>0</v>
      </c>
      <c r="Y527" s="74">
        <f>Devis[[#This Row],[Poste 4]]*Devis[[#This Row],[Prix de Revient]]</f>
        <v>0</v>
      </c>
      <c r="Z527" s="74">
        <f>Devis[[#This Row],[Poste 5]]*Devis[[#This Row],[Prix de Revient]]</f>
        <v>0</v>
      </c>
      <c r="AA527" s="74">
        <f>Devis[[#This Row],[Prix de Revient]]*Devis[[#This Row],[Poste 6]]</f>
        <v>0</v>
      </c>
      <c r="AB527" s="74">
        <f>Devis[[#This Row],[Quantité Totale]]*Devis[[#This Row],[Prix de Revient]]</f>
        <v>0</v>
      </c>
    </row>
    <row r="528" spans="1:28" ht="14.25" outlineLevel="1" x14ac:dyDescent="0.2">
      <c r="A528" s="75" t="s">
        <v>326</v>
      </c>
      <c r="B528" s="76" t="s">
        <v>4750</v>
      </c>
      <c r="C528" s="95" t="s">
        <v>3691</v>
      </c>
      <c r="D528" s="81" t="str">
        <f t="shared" si="9"/>
        <v>CuveEquipements de cuveAirflux</v>
      </c>
      <c r="E528" s="75" t="s">
        <v>4756</v>
      </c>
      <c r="F528" s="81">
        <v>6</v>
      </c>
      <c r="G528" s="71" t="s">
        <v>329</v>
      </c>
      <c r="H528" s="79" t="s">
        <v>3691</v>
      </c>
      <c r="I528" s="79"/>
      <c r="J528" s="70">
        <f>IFERROR(VLOOKUP(Devis[[#This Row],[Ref Air Flux]],#REF!,3,FALSE),0)</f>
        <v>0</v>
      </c>
      <c r="K528" s="68"/>
      <c r="L528" s="68"/>
      <c r="M528" s="68"/>
      <c r="N528" s="68"/>
      <c r="O528" s="68"/>
      <c r="P528" s="68"/>
      <c r="Q528" s="68">
        <f>SUM(Devis[[#This Row],[Poste 1]:[Poste 6]])</f>
        <v>0</v>
      </c>
      <c r="R528" s="71"/>
      <c r="S528" s="68">
        <f>_xlfn.CEILING.MATH(Devis[[#This Row],[Quantité Totale]],Devis[[#This Row],[Conditionnement]])</f>
        <v>0</v>
      </c>
      <c r="T528" s="72"/>
      <c r="U528" s="73"/>
      <c r="V528" s="74">
        <f>Devis[[#This Row],[Prix de Revient]]*Devis[[#This Row],[Poste 1]]</f>
        <v>0</v>
      </c>
      <c r="W528" s="74">
        <f>Devis[[#This Row],[Prix de Revient]]*Devis[[#This Row],[Poste 2]]</f>
        <v>0</v>
      </c>
      <c r="X528" s="74">
        <f>Devis[[#This Row],[Prix de Revient]]*Devis[[#This Row],[Poste 3]]</f>
        <v>0</v>
      </c>
      <c r="Y528" s="74">
        <f>Devis[[#This Row],[Poste 4]]*Devis[[#This Row],[Prix de Revient]]</f>
        <v>0</v>
      </c>
      <c r="Z528" s="74">
        <f>Devis[[#This Row],[Poste 5]]*Devis[[#This Row],[Prix de Revient]]</f>
        <v>0</v>
      </c>
      <c r="AA528" s="74">
        <f>Devis[[#This Row],[Prix de Revient]]*Devis[[#This Row],[Poste 6]]</f>
        <v>0</v>
      </c>
      <c r="AB528" s="74">
        <f>Devis[[#This Row],[Quantité Totale]]*Devis[[#This Row],[Prix de Revient]]</f>
        <v>0</v>
      </c>
    </row>
    <row r="529" spans="1:28" ht="14.25" outlineLevel="1" x14ac:dyDescent="0.2">
      <c r="A529" s="75" t="s">
        <v>326</v>
      </c>
      <c r="B529" s="76" t="s">
        <v>4750</v>
      </c>
      <c r="C529" s="95" t="s">
        <v>3691</v>
      </c>
      <c r="D529" s="81" t="str">
        <f t="shared" si="9"/>
        <v>CuveEquipements de cuveAirflux</v>
      </c>
      <c r="E529" s="75" t="s">
        <v>4757</v>
      </c>
      <c r="F529" s="81">
        <v>7</v>
      </c>
      <c r="G529" s="71" t="s">
        <v>331</v>
      </c>
      <c r="H529" s="79" t="s">
        <v>3691</v>
      </c>
      <c r="I529" s="79"/>
      <c r="J529" s="70">
        <f>IFERROR(VLOOKUP(Devis[[#This Row],[Ref Air Flux]],#REF!,3,FALSE),0)</f>
        <v>0</v>
      </c>
      <c r="K529" s="68"/>
      <c r="L529" s="68"/>
      <c r="M529" s="68"/>
      <c r="N529" s="68"/>
      <c r="O529" s="68"/>
      <c r="P529" s="68"/>
      <c r="Q529" s="68">
        <f>SUM(Devis[[#This Row],[Poste 1]:[Poste 6]])</f>
        <v>0</v>
      </c>
      <c r="R529" s="71"/>
      <c r="S529" s="68">
        <f>_xlfn.CEILING.MATH(Devis[[#This Row],[Quantité Totale]],Devis[[#This Row],[Conditionnement]])</f>
        <v>0</v>
      </c>
      <c r="T529" s="72"/>
      <c r="U529" s="73"/>
      <c r="V529" s="74">
        <f>Devis[[#This Row],[Prix de Revient]]*Devis[[#This Row],[Poste 1]]</f>
        <v>0</v>
      </c>
      <c r="W529" s="74">
        <f>Devis[[#This Row],[Prix de Revient]]*Devis[[#This Row],[Poste 2]]</f>
        <v>0</v>
      </c>
      <c r="X529" s="74">
        <f>Devis[[#This Row],[Prix de Revient]]*Devis[[#This Row],[Poste 3]]</f>
        <v>0</v>
      </c>
      <c r="Y529" s="74">
        <f>Devis[[#This Row],[Poste 4]]*Devis[[#This Row],[Prix de Revient]]</f>
        <v>0</v>
      </c>
      <c r="Z529" s="74">
        <f>Devis[[#This Row],[Poste 5]]*Devis[[#This Row],[Prix de Revient]]</f>
        <v>0</v>
      </c>
      <c r="AA529" s="74">
        <f>Devis[[#This Row],[Prix de Revient]]*Devis[[#This Row],[Poste 6]]</f>
        <v>0</v>
      </c>
      <c r="AB529" s="74">
        <f>Devis[[#This Row],[Quantité Totale]]*Devis[[#This Row],[Prix de Revient]]</f>
        <v>0</v>
      </c>
    </row>
    <row r="530" spans="1:28" ht="14.25" outlineLevel="1" x14ac:dyDescent="0.2">
      <c r="A530" s="75" t="s">
        <v>326</v>
      </c>
      <c r="B530" s="76" t="s">
        <v>4750</v>
      </c>
      <c r="C530" s="75" t="s">
        <v>3894</v>
      </c>
      <c r="D530" s="81" t="str">
        <f t="shared" si="9"/>
        <v>CuveEquipements de cuveAutres</v>
      </c>
      <c r="E530" s="75" t="s">
        <v>4752</v>
      </c>
      <c r="F530" s="81">
        <v>8</v>
      </c>
      <c r="G530" s="71" t="s">
        <v>4758</v>
      </c>
      <c r="H530" s="71" t="s">
        <v>4759</v>
      </c>
      <c r="I530" s="71"/>
      <c r="J530" s="70">
        <f>IFERROR(VLOOKUP(Devis[[#This Row],[Ref Air Flux]],#REF!,3,FALSE),0)</f>
        <v>0</v>
      </c>
      <c r="K530" s="68"/>
      <c r="L530" s="68"/>
      <c r="M530" s="68"/>
      <c r="N530" s="68"/>
      <c r="O530" s="68"/>
      <c r="P530" s="68"/>
      <c r="Q530" s="68">
        <f>SUM(Devis[[#This Row],[Poste 1]:[Poste 6]])</f>
        <v>0</v>
      </c>
      <c r="R530" s="71"/>
      <c r="S530" s="68">
        <f>_xlfn.CEILING.MATH(Devis[[#This Row],[Quantité Totale]],Devis[[#This Row],[Conditionnement]])</f>
        <v>0</v>
      </c>
      <c r="T530" s="72"/>
      <c r="U530" s="73"/>
      <c r="V530" s="74">
        <f>Devis[[#This Row],[Prix de Revient]]*Devis[[#This Row],[Poste 1]]</f>
        <v>0</v>
      </c>
      <c r="W530" s="74">
        <f>Devis[[#This Row],[Prix de Revient]]*Devis[[#This Row],[Poste 2]]</f>
        <v>0</v>
      </c>
      <c r="X530" s="74">
        <f>Devis[[#This Row],[Prix de Revient]]*Devis[[#This Row],[Poste 3]]</f>
        <v>0</v>
      </c>
      <c r="Y530" s="74">
        <f>Devis[[#This Row],[Poste 4]]*Devis[[#This Row],[Prix de Revient]]</f>
        <v>0</v>
      </c>
      <c r="Z530" s="74">
        <f>Devis[[#This Row],[Poste 5]]*Devis[[#This Row],[Prix de Revient]]</f>
        <v>0</v>
      </c>
      <c r="AA530" s="74">
        <f>Devis[[#This Row],[Prix de Revient]]*Devis[[#This Row],[Poste 6]]</f>
        <v>0</v>
      </c>
      <c r="AB530" s="74">
        <f>Devis[[#This Row],[Quantité Totale]]*Devis[[#This Row],[Prix de Revient]]</f>
        <v>0</v>
      </c>
    </row>
    <row r="531" spans="1:28" ht="14.25" outlineLevel="1" x14ac:dyDescent="0.2">
      <c r="A531" s="75" t="s">
        <v>326</v>
      </c>
      <c r="B531" s="76" t="s">
        <v>4750</v>
      </c>
      <c r="C531" s="75" t="s">
        <v>3894</v>
      </c>
      <c r="D531" s="81" t="str">
        <f t="shared" si="9"/>
        <v>CuveEquipements de cuveAutres</v>
      </c>
      <c r="E531" s="75" t="s">
        <v>4760</v>
      </c>
      <c r="F531" s="81">
        <v>9</v>
      </c>
      <c r="G531" s="71" t="s">
        <v>4761</v>
      </c>
      <c r="H531" s="71" t="s">
        <v>4759</v>
      </c>
      <c r="I531" s="71"/>
      <c r="J531" s="70">
        <f>IFERROR(VLOOKUP(Devis[[#This Row],[Ref Air Flux]],#REF!,3,FALSE),0)</f>
        <v>0</v>
      </c>
      <c r="K531" s="68"/>
      <c r="L531" s="68"/>
      <c r="M531" s="68"/>
      <c r="N531" s="68"/>
      <c r="O531" s="68"/>
      <c r="P531" s="68"/>
      <c r="Q531" s="68">
        <f>SUM(Devis[[#This Row],[Poste 1]:[Poste 6]])</f>
        <v>0</v>
      </c>
      <c r="R531" s="71"/>
      <c r="S531" s="68">
        <f>_xlfn.CEILING.MATH(Devis[[#This Row],[Quantité Totale]],Devis[[#This Row],[Conditionnement]])</f>
        <v>0</v>
      </c>
      <c r="T531" s="72"/>
      <c r="U531" s="73"/>
      <c r="V531" s="74">
        <f>Devis[[#This Row],[Prix de Revient]]*Devis[[#This Row],[Poste 1]]</f>
        <v>0</v>
      </c>
      <c r="W531" s="74">
        <f>Devis[[#This Row],[Prix de Revient]]*Devis[[#This Row],[Poste 2]]</f>
        <v>0</v>
      </c>
      <c r="X531" s="74">
        <f>Devis[[#This Row],[Prix de Revient]]*Devis[[#This Row],[Poste 3]]</f>
        <v>0</v>
      </c>
      <c r="Y531" s="74">
        <f>Devis[[#This Row],[Poste 4]]*Devis[[#This Row],[Prix de Revient]]</f>
        <v>0</v>
      </c>
      <c r="Z531" s="74">
        <f>Devis[[#This Row],[Poste 5]]*Devis[[#This Row],[Prix de Revient]]</f>
        <v>0</v>
      </c>
      <c r="AA531" s="74">
        <f>Devis[[#This Row],[Prix de Revient]]*Devis[[#This Row],[Poste 6]]</f>
        <v>0</v>
      </c>
      <c r="AB531" s="74">
        <f>Devis[[#This Row],[Quantité Totale]]*Devis[[#This Row],[Prix de Revient]]</f>
        <v>0</v>
      </c>
    </row>
    <row r="532" spans="1:28" ht="14.25" outlineLevel="1" x14ac:dyDescent="0.2">
      <c r="A532" s="75" t="s">
        <v>326</v>
      </c>
      <c r="B532" s="76" t="s">
        <v>4750</v>
      </c>
      <c r="C532" s="75" t="s">
        <v>3894</v>
      </c>
      <c r="D532" s="81" t="str">
        <f t="shared" si="9"/>
        <v>CuveEquipements de cuveAutres</v>
      </c>
      <c r="E532" s="75" t="s">
        <v>4754</v>
      </c>
      <c r="F532" s="81">
        <v>10</v>
      </c>
      <c r="G532" s="71" t="s">
        <v>4762</v>
      </c>
      <c r="H532" s="71" t="s">
        <v>4759</v>
      </c>
      <c r="I532" s="71"/>
      <c r="J532" s="70">
        <f>IFERROR(VLOOKUP(Devis[[#This Row],[Ref Air Flux]],#REF!,3,FALSE),0)</f>
        <v>0</v>
      </c>
      <c r="K532" s="68"/>
      <c r="L532" s="68"/>
      <c r="M532" s="68"/>
      <c r="N532" s="68"/>
      <c r="O532" s="68"/>
      <c r="P532" s="68"/>
      <c r="Q532" s="68">
        <f>SUM(Devis[[#This Row],[Poste 1]:[Poste 6]])</f>
        <v>0</v>
      </c>
      <c r="R532" s="71"/>
      <c r="S532" s="68">
        <f>_xlfn.CEILING.MATH(Devis[[#This Row],[Quantité Totale]],Devis[[#This Row],[Conditionnement]])</f>
        <v>0</v>
      </c>
      <c r="T532" s="72"/>
      <c r="U532" s="73"/>
      <c r="V532" s="74">
        <f>Devis[[#This Row],[Prix de Revient]]*Devis[[#This Row],[Poste 1]]</f>
        <v>0</v>
      </c>
      <c r="W532" s="74">
        <f>Devis[[#This Row],[Prix de Revient]]*Devis[[#This Row],[Poste 2]]</f>
        <v>0</v>
      </c>
      <c r="X532" s="74">
        <f>Devis[[#This Row],[Prix de Revient]]*Devis[[#This Row],[Poste 3]]</f>
        <v>0</v>
      </c>
      <c r="Y532" s="74">
        <f>Devis[[#This Row],[Poste 4]]*Devis[[#This Row],[Prix de Revient]]</f>
        <v>0</v>
      </c>
      <c r="Z532" s="74">
        <f>Devis[[#This Row],[Poste 5]]*Devis[[#This Row],[Prix de Revient]]</f>
        <v>0</v>
      </c>
      <c r="AA532" s="74">
        <f>Devis[[#This Row],[Prix de Revient]]*Devis[[#This Row],[Poste 6]]</f>
        <v>0</v>
      </c>
      <c r="AB532" s="74">
        <f>Devis[[#This Row],[Quantité Totale]]*Devis[[#This Row],[Prix de Revient]]</f>
        <v>0</v>
      </c>
    </row>
    <row r="533" spans="1:28" ht="14.25" outlineLevel="1" x14ac:dyDescent="0.2">
      <c r="A533" s="75" t="s">
        <v>326</v>
      </c>
      <c r="B533" s="76" t="s">
        <v>4750</v>
      </c>
      <c r="C533" s="75" t="s">
        <v>3894</v>
      </c>
      <c r="D533" s="81" t="str">
        <f t="shared" si="9"/>
        <v>CuveEquipements de cuveAutres</v>
      </c>
      <c r="E533" s="75" t="s">
        <v>4754</v>
      </c>
      <c r="F533" s="81">
        <v>11</v>
      </c>
      <c r="G533" s="71" t="s">
        <v>4763</v>
      </c>
      <c r="H533" s="71" t="s">
        <v>4764</v>
      </c>
      <c r="I533" s="71"/>
      <c r="J533" s="70">
        <f>IFERROR(VLOOKUP(Devis[[#This Row],[Ref Air Flux]],#REF!,3,FALSE),0)</f>
        <v>0</v>
      </c>
      <c r="K533" s="68"/>
      <c r="L533" s="68"/>
      <c r="M533" s="68"/>
      <c r="N533" s="68"/>
      <c r="O533" s="68"/>
      <c r="P533" s="68"/>
      <c r="Q533" s="68">
        <f>SUM(Devis[[#This Row],[Poste 1]:[Poste 6]])</f>
        <v>0</v>
      </c>
      <c r="R533" s="71"/>
      <c r="S533" s="68">
        <f>_xlfn.CEILING.MATH(Devis[[#This Row],[Quantité Totale]],Devis[[#This Row],[Conditionnement]])</f>
        <v>0</v>
      </c>
      <c r="T533" s="72"/>
      <c r="U533" s="73"/>
      <c r="V533" s="74">
        <f>Devis[[#This Row],[Prix de Revient]]*Devis[[#This Row],[Poste 1]]</f>
        <v>0</v>
      </c>
      <c r="W533" s="74">
        <f>Devis[[#This Row],[Prix de Revient]]*Devis[[#This Row],[Poste 2]]</f>
        <v>0</v>
      </c>
      <c r="X533" s="74">
        <f>Devis[[#This Row],[Prix de Revient]]*Devis[[#This Row],[Poste 3]]</f>
        <v>0</v>
      </c>
      <c r="Y533" s="74">
        <f>Devis[[#This Row],[Poste 4]]*Devis[[#This Row],[Prix de Revient]]</f>
        <v>0</v>
      </c>
      <c r="Z533" s="74">
        <f>Devis[[#This Row],[Poste 5]]*Devis[[#This Row],[Prix de Revient]]</f>
        <v>0</v>
      </c>
      <c r="AA533" s="74">
        <f>Devis[[#This Row],[Prix de Revient]]*Devis[[#This Row],[Poste 6]]</f>
        <v>0</v>
      </c>
      <c r="AB533" s="74">
        <f>Devis[[#This Row],[Quantité Totale]]*Devis[[#This Row],[Prix de Revient]]</f>
        <v>0</v>
      </c>
    </row>
    <row r="534" spans="1:28" ht="15" customHeight="1" outlineLevel="1" x14ac:dyDescent="0.2">
      <c r="A534" s="75" t="s">
        <v>326</v>
      </c>
      <c r="B534" s="76" t="s">
        <v>4750</v>
      </c>
      <c r="C534" s="75" t="s">
        <v>3894</v>
      </c>
      <c r="D534" s="81" t="str">
        <f t="shared" si="9"/>
        <v>CuveEquipements de cuveAutres</v>
      </c>
      <c r="E534" s="75" t="s">
        <v>4765</v>
      </c>
      <c r="F534" s="81">
        <v>12</v>
      </c>
      <c r="G534" s="71" t="s">
        <v>4766</v>
      </c>
      <c r="H534" s="71" t="s">
        <v>4759</v>
      </c>
      <c r="I534" s="71"/>
      <c r="J534" s="70">
        <f>IFERROR(VLOOKUP(Devis[[#This Row],[Ref Air Flux]],#REF!,3,FALSE),0)</f>
        <v>0</v>
      </c>
      <c r="K534" s="68"/>
      <c r="L534" s="68"/>
      <c r="M534" s="68"/>
      <c r="N534" s="68"/>
      <c r="O534" s="68"/>
      <c r="P534" s="68"/>
      <c r="Q534" s="68">
        <f>SUM(Devis[[#This Row],[Poste 1]:[Poste 6]])</f>
        <v>0</v>
      </c>
      <c r="R534" s="71"/>
      <c r="S534" s="68">
        <f>_xlfn.CEILING.MATH(Devis[[#This Row],[Quantité Totale]],Devis[[#This Row],[Conditionnement]])</f>
        <v>0</v>
      </c>
      <c r="T534" s="72"/>
      <c r="U534" s="73"/>
      <c r="V534" s="74">
        <f>Devis[[#This Row],[Prix de Revient]]*Devis[[#This Row],[Poste 1]]</f>
        <v>0</v>
      </c>
      <c r="W534" s="74">
        <f>Devis[[#This Row],[Prix de Revient]]*Devis[[#This Row],[Poste 2]]</f>
        <v>0</v>
      </c>
      <c r="X534" s="74">
        <f>Devis[[#This Row],[Prix de Revient]]*Devis[[#This Row],[Poste 3]]</f>
        <v>0</v>
      </c>
      <c r="Y534" s="74">
        <f>Devis[[#This Row],[Poste 4]]*Devis[[#This Row],[Prix de Revient]]</f>
        <v>0</v>
      </c>
      <c r="Z534" s="74">
        <f>Devis[[#This Row],[Poste 5]]*Devis[[#This Row],[Prix de Revient]]</f>
        <v>0</v>
      </c>
      <c r="AA534" s="74">
        <f>Devis[[#This Row],[Prix de Revient]]*Devis[[#This Row],[Poste 6]]</f>
        <v>0</v>
      </c>
      <c r="AB534" s="74">
        <f>Devis[[#This Row],[Quantité Totale]]*Devis[[#This Row],[Prix de Revient]]</f>
        <v>0</v>
      </c>
    </row>
    <row r="535" spans="1:28" ht="14.25" outlineLevel="1" x14ac:dyDescent="0.2">
      <c r="A535" s="75" t="s">
        <v>326</v>
      </c>
      <c r="B535" s="76" t="s">
        <v>4750</v>
      </c>
      <c r="C535" s="75" t="s">
        <v>3894</v>
      </c>
      <c r="D535" s="81" t="str">
        <f t="shared" si="9"/>
        <v>CuveEquipements de cuveAutres</v>
      </c>
      <c r="E535" s="75" t="s">
        <v>4767</v>
      </c>
      <c r="F535" s="81">
        <v>13</v>
      </c>
      <c r="G535" s="71" t="s">
        <v>4768</v>
      </c>
      <c r="H535" s="71" t="s">
        <v>4759</v>
      </c>
      <c r="I535" s="71"/>
      <c r="J535" s="70">
        <f>IFERROR(VLOOKUP(Devis[[#This Row],[Ref Air Flux]],#REF!,3,FALSE),0)</f>
        <v>0</v>
      </c>
      <c r="K535" s="68"/>
      <c r="L535" s="68"/>
      <c r="M535" s="68"/>
      <c r="N535" s="68"/>
      <c r="O535" s="68"/>
      <c r="P535" s="68"/>
      <c r="Q535" s="68">
        <f>SUM(Devis[[#This Row],[Poste 1]:[Poste 6]])</f>
        <v>0</v>
      </c>
      <c r="R535" s="71"/>
      <c r="S535" s="68">
        <f>_xlfn.CEILING.MATH(Devis[[#This Row],[Quantité Totale]],Devis[[#This Row],[Conditionnement]])</f>
        <v>0</v>
      </c>
      <c r="T535" s="72"/>
      <c r="U535" s="73"/>
      <c r="V535" s="74">
        <f>Devis[[#This Row],[Prix de Revient]]*Devis[[#This Row],[Poste 1]]</f>
        <v>0</v>
      </c>
      <c r="W535" s="74">
        <f>Devis[[#This Row],[Prix de Revient]]*Devis[[#This Row],[Poste 2]]</f>
        <v>0</v>
      </c>
      <c r="X535" s="74">
        <f>Devis[[#This Row],[Prix de Revient]]*Devis[[#This Row],[Poste 3]]</f>
        <v>0</v>
      </c>
      <c r="Y535" s="74">
        <f>Devis[[#This Row],[Poste 4]]*Devis[[#This Row],[Prix de Revient]]</f>
        <v>0</v>
      </c>
      <c r="Z535" s="74">
        <f>Devis[[#This Row],[Poste 5]]*Devis[[#This Row],[Prix de Revient]]</f>
        <v>0</v>
      </c>
      <c r="AA535" s="74">
        <f>Devis[[#This Row],[Prix de Revient]]*Devis[[#This Row],[Poste 6]]</f>
        <v>0</v>
      </c>
      <c r="AB535" s="74">
        <f>Devis[[#This Row],[Quantité Totale]]*Devis[[#This Row],[Prix de Revient]]</f>
        <v>0</v>
      </c>
    </row>
    <row r="536" spans="1:28" ht="14.25" outlineLevel="1" x14ac:dyDescent="0.2">
      <c r="A536" s="75" t="s">
        <v>326</v>
      </c>
      <c r="B536" s="76" t="s">
        <v>4750</v>
      </c>
      <c r="C536" s="75" t="s">
        <v>3894</v>
      </c>
      <c r="D536" s="81" t="str">
        <f t="shared" si="9"/>
        <v>CuveEquipements de cuveAutres</v>
      </c>
      <c r="E536" s="75" t="s">
        <v>4769</v>
      </c>
      <c r="F536" s="81">
        <v>14</v>
      </c>
      <c r="G536" s="71" t="s">
        <v>4770</v>
      </c>
      <c r="H536" s="71" t="s">
        <v>4771</v>
      </c>
      <c r="I536" s="71"/>
      <c r="J536" s="70">
        <f>IFERROR(VLOOKUP(Devis[[#This Row],[Ref Air Flux]],#REF!,3,FALSE),0)</f>
        <v>0</v>
      </c>
      <c r="K536" s="68"/>
      <c r="L536" s="68"/>
      <c r="M536" s="68"/>
      <c r="N536" s="68"/>
      <c r="O536" s="68"/>
      <c r="P536" s="68"/>
      <c r="Q536" s="68">
        <f>SUM(Devis[[#This Row],[Poste 1]:[Poste 6]])</f>
        <v>0</v>
      </c>
      <c r="R536" s="71"/>
      <c r="S536" s="68">
        <f>_xlfn.CEILING.MATH(Devis[[#This Row],[Quantité Totale]],Devis[[#This Row],[Conditionnement]])</f>
        <v>0</v>
      </c>
      <c r="T536" s="72"/>
      <c r="U536" s="73"/>
      <c r="V536" s="74">
        <f>Devis[[#This Row],[Prix de Revient]]*Devis[[#This Row],[Poste 1]]</f>
        <v>0</v>
      </c>
      <c r="W536" s="74">
        <f>Devis[[#This Row],[Prix de Revient]]*Devis[[#This Row],[Poste 2]]</f>
        <v>0</v>
      </c>
      <c r="X536" s="74">
        <f>Devis[[#This Row],[Prix de Revient]]*Devis[[#This Row],[Poste 3]]</f>
        <v>0</v>
      </c>
      <c r="Y536" s="74">
        <f>Devis[[#This Row],[Poste 4]]*Devis[[#This Row],[Prix de Revient]]</f>
        <v>0</v>
      </c>
      <c r="Z536" s="74">
        <f>Devis[[#This Row],[Poste 5]]*Devis[[#This Row],[Prix de Revient]]</f>
        <v>0</v>
      </c>
      <c r="AA536" s="74">
        <f>Devis[[#This Row],[Prix de Revient]]*Devis[[#This Row],[Poste 6]]</f>
        <v>0</v>
      </c>
      <c r="AB536" s="74">
        <f>Devis[[#This Row],[Quantité Totale]]*Devis[[#This Row],[Prix de Revient]]</f>
        <v>0</v>
      </c>
    </row>
    <row r="537" spans="1:28" ht="14.25" outlineLevel="1" x14ac:dyDescent="0.2">
      <c r="A537" s="75" t="s">
        <v>326</v>
      </c>
      <c r="B537" s="76" t="s">
        <v>4750</v>
      </c>
      <c r="C537" s="75" t="s">
        <v>3501</v>
      </c>
      <c r="D537" s="81" t="str">
        <f t="shared" si="9"/>
        <v>CuveEquipements de cuveKaeser</v>
      </c>
      <c r="E537" s="75" t="s">
        <v>4772</v>
      </c>
      <c r="F537" s="81">
        <v>15</v>
      </c>
      <c r="G537" s="71" t="s">
        <v>4773</v>
      </c>
      <c r="H537" s="71" t="s">
        <v>3501</v>
      </c>
      <c r="I537" s="71"/>
      <c r="J537" s="70">
        <f>IFERROR(VLOOKUP(Devis[[#This Row],[Ref Air Flux]],#REF!,3,FALSE),0)</f>
        <v>0</v>
      </c>
      <c r="K537" s="68"/>
      <c r="L537" s="68"/>
      <c r="M537" s="68"/>
      <c r="N537" s="68"/>
      <c r="O537" s="68"/>
      <c r="P537" s="68"/>
      <c r="Q537" s="68">
        <f>SUM(Devis[[#This Row],[Poste 1]:[Poste 6]])</f>
        <v>0</v>
      </c>
      <c r="R537" s="71"/>
      <c r="S537" s="68">
        <f>_xlfn.CEILING.MATH(Devis[[#This Row],[Quantité Totale]],Devis[[#This Row],[Conditionnement]])</f>
        <v>0</v>
      </c>
      <c r="T537" s="72"/>
      <c r="U537" s="73"/>
      <c r="V537" s="74">
        <f>Devis[[#This Row],[Prix de Revient]]*Devis[[#This Row],[Poste 1]]</f>
        <v>0</v>
      </c>
      <c r="W537" s="74">
        <f>Devis[[#This Row],[Prix de Revient]]*Devis[[#This Row],[Poste 2]]</f>
        <v>0</v>
      </c>
      <c r="X537" s="74">
        <f>Devis[[#This Row],[Prix de Revient]]*Devis[[#This Row],[Poste 3]]</f>
        <v>0</v>
      </c>
      <c r="Y537" s="74">
        <f>Devis[[#This Row],[Poste 4]]*Devis[[#This Row],[Prix de Revient]]</f>
        <v>0</v>
      </c>
      <c r="Z537" s="74">
        <f>Devis[[#This Row],[Poste 5]]*Devis[[#This Row],[Prix de Revient]]</f>
        <v>0</v>
      </c>
      <c r="AA537" s="74">
        <f>Devis[[#This Row],[Prix de Revient]]*Devis[[#This Row],[Poste 6]]</f>
        <v>0</v>
      </c>
      <c r="AB537" s="74">
        <f>Devis[[#This Row],[Quantité Totale]]*Devis[[#This Row],[Prix de Revient]]</f>
        <v>0</v>
      </c>
    </row>
    <row r="538" spans="1:28" ht="14.25" outlineLevel="1" x14ac:dyDescent="0.2">
      <c r="A538" s="75" t="s">
        <v>326</v>
      </c>
      <c r="B538" s="76" t="s">
        <v>4750</v>
      </c>
      <c r="C538" s="75" t="s">
        <v>3501</v>
      </c>
      <c r="D538" s="81" t="str">
        <f t="shared" si="9"/>
        <v>CuveEquipements de cuveKaeser</v>
      </c>
      <c r="E538" s="75" t="s">
        <v>4774</v>
      </c>
      <c r="F538" s="81">
        <v>16</v>
      </c>
      <c r="G538" s="71" t="s">
        <v>4775</v>
      </c>
      <c r="H538" s="71" t="s">
        <v>3501</v>
      </c>
      <c r="I538" s="71"/>
      <c r="J538" s="70">
        <f>IFERROR(VLOOKUP(Devis[[#This Row],[Ref Air Flux]],#REF!,3,FALSE),0)</f>
        <v>0</v>
      </c>
      <c r="K538" s="68"/>
      <c r="L538" s="68"/>
      <c r="M538" s="68"/>
      <c r="N538" s="68"/>
      <c r="O538" s="68"/>
      <c r="P538" s="68"/>
      <c r="Q538" s="68">
        <f>SUM(Devis[[#This Row],[Poste 1]:[Poste 6]])</f>
        <v>0</v>
      </c>
      <c r="R538" s="71"/>
      <c r="S538" s="68">
        <f>_xlfn.CEILING.MATH(Devis[[#This Row],[Quantité Totale]],Devis[[#This Row],[Conditionnement]])</f>
        <v>0</v>
      </c>
      <c r="T538" s="72"/>
      <c r="U538" s="73"/>
      <c r="V538" s="74">
        <f>Devis[[#This Row],[Prix de Revient]]*Devis[[#This Row],[Poste 1]]</f>
        <v>0</v>
      </c>
      <c r="W538" s="74">
        <f>Devis[[#This Row],[Prix de Revient]]*Devis[[#This Row],[Poste 2]]</f>
        <v>0</v>
      </c>
      <c r="X538" s="74">
        <f>Devis[[#This Row],[Prix de Revient]]*Devis[[#This Row],[Poste 3]]</f>
        <v>0</v>
      </c>
      <c r="Y538" s="74">
        <f>Devis[[#This Row],[Poste 4]]*Devis[[#This Row],[Prix de Revient]]</f>
        <v>0</v>
      </c>
      <c r="Z538" s="74">
        <f>Devis[[#This Row],[Poste 5]]*Devis[[#This Row],[Prix de Revient]]</f>
        <v>0</v>
      </c>
      <c r="AA538" s="74">
        <f>Devis[[#This Row],[Prix de Revient]]*Devis[[#This Row],[Poste 6]]</f>
        <v>0</v>
      </c>
      <c r="AB538" s="74">
        <f>Devis[[#This Row],[Quantité Totale]]*Devis[[#This Row],[Prix de Revient]]</f>
        <v>0</v>
      </c>
    </row>
    <row r="539" spans="1:28" ht="14.25" outlineLevel="1" x14ac:dyDescent="0.2">
      <c r="A539" s="75" t="s">
        <v>326</v>
      </c>
      <c r="B539" s="76" t="s">
        <v>4750</v>
      </c>
      <c r="C539" s="75" t="s">
        <v>3501</v>
      </c>
      <c r="D539" s="81" t="str">
        <f t="shared" si="9"/>
        <v>CuveEquipements de cuveKaeser</v>
      </c>
      <c r="E539" s="75" t="s">
        <v>4776</v>
      </c>
      <c r="F539" s="81">
        <v>17</v>
      </c>
      <c r="G539" s="71" t="s">
        <v>4777</v>
      </c>
      <c r="H539" s="71" t="s">
        <v>3501</v>
      </c>
      <c r="I539" s="71"/>
      <c r="J539" s="70">
        <f>IFERROR(VLOOKUP(Devis[[#This Row],[Ref Air Flux]],#REF!,3,FALSE),0)</f>
        <v>0</v>
      </c>
      <c r="K539" s="68"/>
      <c r="L539" s="68"/>
      <c r="M539" s="68"/>
      <c r="N539" s="68"/>
      <c r="O539" s="68"/>
      <c r="P539" s="68"/>
      <c r="Q539" s="68">
        <f>SUM(Devis[[#This Row],[Poste 1]:[Poste 6]])</f>
        <v>0</v>
      </c>
      <c r="R539" s="71"/>
      <c r="S539" s="68">
        <f>_xlfn.CEILING.MATH(Devis[[#This Row],[Quantité Totale]],Devis[[#This Row],[Conditionnement]])</f>
        <v>0</v>
      </c>
      <c r="T539" s="72"/>
      <c r="U539" s="73"/>
      <c r="V539" s="74">
        <f>Devis[[#This Row],[Prix de Revient]]*Devis[[#This Row],[Poste 1]]</f>
        <v>0</v>
      </c>
      <c r="W539" s="74">
        <f>Devis[[#This Row],[Prix de Revient]]*Devis[[#This Row],[Poste 2]]</f>
        <v>0</v>
      </c>
      <c r="X539" s="74">
        <f>Devis[[#This Row],[Prix de Revient]]*Devis[[#This Row],[Poste 3]]</f>
        <v>0</v>
      </c>
      <c r="Y539" s="74">
        <f>Devis[[#This Row],[Poste 4]]*Devis[[#This Row],[Prix de Revient]]</f>
        <v>0</v>
      </c>
      <c r="Z539" s="74">
        <f>Devis[[#This Row],[Poste 5]]*Devis[[#This Row],[Prix de Revient]]</f>
        <v>0</v>
      </c>
      <c r="AA539" s="74">
        <f>Devis[[#This Row],[Prix de Revient]]*Devis[[#This Row],[Poste 6]]</f>
        <v>0</v>
      </c>
      <c r="AB539" s="74">
        <f>Devis[[#This Row],[Quantité Totale]]*Devis[[#This Row],[Prix de Revient]]</f>
        <v>0</v>
      </c>
    </row>
    <row r="540" spans="1:28" ht="14.25" outlineLevel="1" x14ac:dyDescent="0.2">
      <c r="A540" s="75" t="s">
        <v>326</v>
      </c>
      <c r="B540" s="76" t="s">
        <v>4750</v>
      </c>
      <c r="C540" s="75" t="s">
        <v>3501</v>
      </c>
      <c r="D540" s="81" t="str">
        <f t="shared" si="9"/>
        <v>CuveEquipements de cuveKaeser</v>
      </c>
      <c r="E540" s="75" t="s">
        <v>4778</v>
      </c>
      <c r="F540" s="81">
        <v>18</v>
      </c>
      <c r="G540" s="71" t="s">
        <v>4779</v>
      </c>
      <c r="H540" s="71" t="s">
        <v>3501</v>
      </c>
      <c r="I540" s="71"/>
      <c r="J540" s="70">
        <f>IFERROR(VLOOKUP(Devis[[#This Row],[Ref Air Flux]],#REF!,3,FALSE),0)</f>
        <v>0</v>
      </c>
      <c r="K540" s="68"/>
      <c r="L540" s="68"/>
      <c r="M540" s="68"/>
      <c r="N540" s="68"/>
      <c r="O540" s="68"/>
      <c r="P540" s="68"/>
      <c r="Q540" s="68">
        <f>SUM(Devis[[#This Row],[Poste 1]:[Poste 6]])</f>
        <v>0</v>
      </c>
      <c r="R540" s="71"/>
      <c r="S540" s="68">
        <f>_xlfn.CEILING.MATH(Devis[[#This Row],[Quantité Totale]],Devis[[#This Row],[Conditionnement]])</f>
        <v>0</v>
      </c>
      <c r="T540" s="72"/>
      <c r="U540" s="73"/>
      <c r="V540" s="74">
        <f>Devis[[#This Row],[Prix de Revient]]*Devis[[#This Row],[Poste 1]]</f>
        <v>0</v>
      </c>
      <c r="W540" s="74">
        <f>Devis[[#This Row],[Prix de Revient]]*Devis[[#This Row],[Poste 2]]</f>
        <v>0</v>
      </c>
      <c r="X540" s="74">
        <f>Devis[[#This Row],[Prix de Revient]]*Devis[[#This Row],[Poste 3]]</f>
        <v>0</v>
      </c>
      <c r="Y540" s="74">
        <f>Devis[[#This Row],[Poste 4]]*Devis[[#This Row],[Prix de Revient]]</f>
        <v>0</v>
      </c>
      <c r="Z540" s="74">
        <f>Devis[[#This Row],[Poste 5]]*Devis[[#This Row],[Prix de Revient]]</f>
        <v>0</v>
      </c>
      <c r="AA540" s="74">
        <f>Devis[[#This Row],[Prix de Revient]]*Devis[[#This Row],[Poste 6]]</f>
        <v>0</v>
      </c>
      <c r="AB540" s="74">
        <f>Devis[[#This Row],[Quantité Totale]]*Devis[[#This Row],[Prix de Revient]]</f>
        <v>0</v>
      </c>
    </row>
    <row r="541" spans="1:28" ht="14.25" outlineLevel="1" x14ac:dyDescent="0.2">
      <c r="A541" s="75" t="s">
        <v>326</v>
      </c>
      <c r="B541" s="76" t="s">
        <v>4750</v>
      </c>
      <c r="C541" s="75" t="s">
        <v>3501</v>
      </c>
      <c r="D541" s="81" t="str">
        <f t="shared" si="9"/>
        <v>CuveEquipements de cuveKaeser</v>
      </c>
      <c r="E541" s="75" t="s">
        <v>4780</v>
      </c>
      <c r="F541" s="81">
        <v>19</v>
      </c>
      <c r="G541" s="71" t="s">
        <v>4781</v>
      </c>
      <c r="H541" s="71" t="s">
        <v>3501</v>
      </c>
      <c r="I541" s="71"/>
      <c r="J541" s="70">
        <f>IFERROR(VLOOKUP(Devis[[#This Row],[Ref Air Flux]],#REF!,3,FALSE),0)</f>
        <v>0</v>
      </c>
      <c r="K541" s="68"/>
      <c r="L541" s="68"/>
      <c r="M541" s="68"/>
      <c r="N541" s="68"/>
      <c r="O541" s="68"/>
      <c r="P541" s="68"/>
      <c r="Q541" s="68">
        <f>SUM(Devis[[#This Row],[Poste 1]:[Poste 6]])</f>
        <v>0</v>
      </c>
      <c r="R541" s="71"/>
      <c r="S541" s="68">
        <f>_xlfn.CEILING.MATH(Devis[[#This Row],[Quantité Totale]],Devis[[#This Row],[Conditionnement]])</f>
        <v>0</v>
      </c>
      <c r="T541" s="72"/>
      <c r="U541" s="73"/>
      <c r="V541" s="74">
        <f>Devis[[#This Row],[Prix de Revient]]*Devis[[#This Row],[Poste 1]]</f>
        <v>0</v>
      </c>
      <c r="W541" s="74">
        <f>Devis[[#This Row],[Prix de Revient]]*Devis[[#This Row],[Poste 2]]</f>
        <v>0</v>
      </c>
      <c r="X541" s="74">
        <f>Devis[[#This Row],[Prix de Revient]]*Devis[[#This Row],[Poste 3]]</f>
        <v>0</v>
      </c>
      <c r="Y541" s="74">
        <f>Devis[[#This Row],[Poste 4]]*Devis[[#This Row],[Prix de Revient]]</f>
        <v>0</v>
      </c>
      <c r="Z541" s="74">
        <f>Devis[[#This Row],[Poste 5]]*Devis[[#This Row],[Prix de Revient]]</f>
        <v>0</v>
      </c>
      <c r="AA541" s="74">
        <f>Devis[[#This Row],[Prix de Revient]]*Devis[[#This Row],[Poste 6]]</f>
        <v>0</v>
      </c>
      <c r="AB541" s="74">
        <f>Devis[[#This Row],[Quantité Totale]]*Devis[[#This Row],[Prix de Revient]]</f>
        <v>0</v>
      </c>
    </row>
    <row r="542" spans="1:28" ht="14.25" outlineLevel="1" x14ac:dyDescent="0.2">
      <c r="A542" s="75" t="s">
        <v>326</v>
      </c>
      <c r="B542" s="76" t="s">
        <v>4750</v>
      </c>
      <c r="C542" s="75" t="s">
        <v>3501</v>
      </c>
      <c r="D542" s="81" t="str">
        <f t="shared" si="9"/>
        <v>CuveEquipements de cuveKaeser</v>
      </c>
      <c r="E542" s="75" t="s">
        <v>4782</v>
      </c>
      <c r="F542" s="81">
        <v>20</v>
      </c>
      <c r="G542" s="71" t="s">
        <v>4783</v>
      </c>
      <c r="H542" s="71" t="s">
        <v>3501</v>
      </c>
      <c r="I542" s="71"/>
      <c r="J542" s="70">
        <f>IFERROR(VLOOKUP(Devis[[#This Row],[Ref Air Flux]],#REF!,3,FALSE),0)</f>
        <v>0</v>
      </c>
      <c r="K542" s="68"/>
      <c r="L542" s="68"/>
      <c r="M542" s="68"/>
      <c r="N542" s="68"/>
      <c r="O542" s="68"/>
      <c r="P542" s="68"/>
      <c r="Q542" s="68">
        <f>SUM(Devis[[#This Row],[Poste 1]:[Poste 6]])</f>
        <v>0</v>
      </c>
      <c r="R542" s="71"/>
      <c r="S542" s="68">
        <f>_xlfn.CEILING.MATH(Devis[[#This Row],[Quantité Totale]],Devis[[#This Row],[Conditionnement]])</f>
        <v>0</v>
      </c>
      <c r="T542" s="72"/>
      <c r="U542" s="73"/>
      <c r="V542" s="74">
        <f>Devis[[#This Row],[Prix de Revient]]*Devis[[#This Row],[Poste 1]]</f>
        <v>0</v>
      </c>
      <c r="W542" s="74">
        <f>Devis[[#This Row],[Prix de Revient]]*Devis[[#This Row],[Poste 2]]</f>
        <v>0</v>
      </c>
      <c r="X542" s="74">
        <f>Devis[[#This Row],[Prix de Revient]]*Devis[[#This Row],[Poste 3]]</f>
        <v>0</v>
      </c>
      <c r="Y542" s="74">
        <f>Devis[[#This Row],[Poste 4]]*Devis[[#This Row],[Prix de Revient]]</f>
        <v>0</v>
      </c>
      <c r="Z542" s="74">
        <f>Devis[[#This Row],[Poste 5]]*Devis[[#This Row],[Prix de Revient]]</f>
        <v>0</v>
      </c>
      <c r="AA542" s="74">
        <f>Devis[[#This Row],[Prix de Revient]]*Devis[[#This Row],[Poste 6]]</f>
        <v>0</v>
      </c>
      <c r="AB542" s="74">
        <f>Devis[[#This Row],[Quantité Totale]]*Devis[[#This Row],[Prix de Revient]]</f>
        <v>0</v>
      </c>
    </row>
    <row r="543" spans="1:28" ht="14.25" outlineLevel="1" x14ac:dyDescent="0.2">
      <c r="A543" s="75" t="s">
        <v>326</v>
      </c>
      <c r="B543" s="76" t="s">
        <v>4750</v>
      </c>
      <c r="C543" s="75" t="s">
        <v>3501</v>
      </c>
      <c r="D543" s="81" t="str">
        <f t="shared" si="9"/>
        <v>CuveEquipements de cuveKaeser</v>
      </c>
      <c r="E543" s="75" t="s">
        <v>4752</v>
      </c>
      <c r="F543" s="81">
        <v>21</v>
      </c>
      <c r="G543" s="71" t="s">
        <v>4784</v>
      </c>
      <c r="H543" s="71" t="s">
        <v>3501</v>
      </c>
      <c r="I543" s="71"/>
      <c r="J543" s="70">
        <f>IFERROR(VLOOKUP(Devis[[#This Row],[Ref Air Flux]],#REF!,3,FALSE),0)</f>
        <v>0</v>
      </c>
      <c r="K543" s="68"/>
      <c r="L543" s="68"/>
      <c r="M543" s="68"/>
      <c r="N543" s="68"/>
      <c r="O543" s="68"/>
      <c r="P543" s="68"/>
      <c r="Q543" s="68">
        <f>SUM(Devis[[#This Row],[Poste 1]:[Poste 6]])</f>
        <v>0</v>
      </c>
      <c r="R543" s="71"/>
      <c r="S543" s="68">
        <f>_xlfn.CEILING.MATH(Devis[[#This Row],[Quantité Totale]],Devis[[#This Row],[Conditionnement]])</f>
        <v>0</v>
      </c>
      <c r="T543" s="72"/>
      <c r="U543" s="73"/>
      <c r="V543" s="74">
        <f>Devis[[#This Row],[Prix de Revient]]*Devis[[#This Row],[Poste 1]]</f>
        <v>0</v>
      </c>
      <c r="W543" s="74">
        <f>Devis[[#This Row],[Prix de Revient]]*Devis[[#This Row],[Poste 2]]</f>
        <v>0</v>
      </c>
      <c r="X543" s="74">
        <f>Devis[[#This Row],[Prix de Revient]]*Devis[[#This Row],[Poste 3]]</f>
        <v>0</v>
      </c>
      <c r="Y543" s="74">
        <f>Devis[[#This Row],[Poste 4]]*Devis[[#This Row],[Prix de Revient]]</f>
        <v>0</v>
      </c>
      <c r="Z543" s="74">
        <f>Devis[[#This Row],[Poste 5]]*Devis[[#This Row],[Prix de Revient]]</f>
        <v>0</v>
      </c>
      <c r="AA543" s="74">
        <f>Devis[[#This Row],[Prix de Revient]]*Devis[[#This Row],[Poste 6]]</f>
        <v>0</v>
      </c>
      <c r="AB543" s="74">
        <f>Devis[[#This Row],[Quantité Totale]]*Devis[[#This Row],[Prix de Revient]]</f>
        <v>0</v>
      </c>
    </row>
    <row r="544" spans="1:28" ht="14.25" outlineLevel="1" x14ac:dyDescent="0.2">
      <c r="A544" s="75" t="s">
        <v>326</v>
      </c>
      <c r="B544" s="76" t="s">
        <v>4750</v>
      </c>
      <c r="C544" s="75" t="s">
        <v>3501</v>
      </c>
      <c r="D544" s="81" t="str">
        <f t="shared" si="9"/>
        <v>CuveEquipements de cuveKaeser</v>
      </c>
      <c r="E544" s="75" t="s">
        <v>4753</v>
      </c>
      <c r="F544" s="81">
        <v>22</v>
      </c>
      <c r="G544" s="71" t="s">
        <v>4785</v>
      </c>
      <c r="H544" s="71" t="s">
        <v>3501</v>
      </c>
      <c r="I544" s="71"/>
      <c r="J544" s="70">
        <f>IFERROR(VLOOKUP(Devis[[#This Row],[Ref Air Flux]],#REF!,3,FALSE),0)</f>
        <v>0</v>
      </c>
      <c r="K544" s="68"/>
      <c r="L544" s="68"/>
      <c r="M544" s="68"/>
      <c r="N544" s="68"/>
      <c r="O544" s="68"/>
      <c r="P544" s="68"/>
      <c r="Q544" s="68">
        <f>SUM(Devis[[#This Row],[Poste 1]:[Poste 6]])</f>
        <v>0</v>
      </c>
      <c r="R544" s="71"/>
      <c r="S544" s="68">
        <f>_xlfn.CEILING.MATH(Devis[[#This Row],[Quantité Totale]],Devis[[#This Row],[Conditionnement]])</f>
        <v>0</v>
      </c>
      <c r="T544" s="72"/>
      <c r="U544" s="73"/>
      <c r="V544" s="74">
        <f>Devis[[#This Row],[Prix de Revient]]*Devis[[#This Row],[Poste 1]]</f>
        <v>0</v>
      </c>
      <c r="W544" s="74">
        <f>Devis[[#This Row],[Prix de Revient]]*Devis[[#This Row],[Poste 2]]</f>
        <v>0</v>
      </c>
      <c r="X544" s="74">
        <f>Devis[[#This Row],[Prix de Revient]]*Devis[[#This Row],[Poste 3]]</f>
        <v>0</v>
      </c>
      <c r="Y544" s="74">
        <f>Devis[[#This Row],[Poste 4]]*Devis[[#This Row],[Prix de Revient]]</f>
        <v>0</v>
      </c>
      <c r="Z544" s="74">
        <f>Devis[[#This Row],[Poste 5]]*Devis[[#This Row],[Prix de Revient]]</f>
        <v>0</v>
      </c>
      <c r="AA544" s="74">
        <f>Devis[[#This Row],[Prix de Revient]]*Devis[[#This Row],[Poste 6]]</f>
        <v>0</v>
      </c>
      <c r="AB544" s="74">
        <f>Devis[[#This Row],[Quantité Totale]]*Devis[[#This Row],[Prix de Revient]]</f>
        <v>0</v>
      </c>
    </row>
    <row r="545" spans="1:28" ht="15" customHeight="1" outlineLevel="1" x14ac:dyDescent="0.2">
      <c r="A545" s="75" t="s">
        <v>326</v>
      </c>
      <c r="B545" s="76" t="s">
        <v>4750</v>
      </c>
      <c r="C545" s="75" t="s">
        <v>3501</v>
      </c>
      <c r="D545" s="81" t="str">
        <f t="shared" si="9"/>
        <v>CuveEquipements de cuveKaeser</v>
      </c>
      <c r="E545" s="75" t="s">
        <v>4786</v>
      </c>
      <c r="F545" s="81">
        <v>23</v>
      </c>
      <c r="G545" s="71" t="s">
        <v>4787</v>
      </c>
      <c r="H545" s="71" t="s">
        <v>3501</v>
      </c>
      <c r="I545" s="71"/>
      <c r="J545" s="70">
        <f>IFERROR(VLOOKUP(Devis[[#This Row],[Ref Air Flux]],#REF!,3,FALSE),0)</f>
        <v>0</v>
      </c>
      <c r="K545" s="68"/>
      <c r="L545" s="68"/>
      <c r="M545" s="68"/>
      <c r="N545" s="68"/>
      <c r="O545" s="68"/>
      <c r="P545" s="68"/>
      <c r="Q545" s="68">
        <f>SUM(Devis[[#This Row],[Poste 1]:[Poste 6]])</f>
        <v>0</v>
      </c>
      <c r="R545" s="71"/>
      <c r="S545" s="68">
        <f>_xlfn.CEILING.MATH(Devis[[#This Row],[Quantité Totale]],Devis[[#This Row],[Conditionnement]])</f>
        <v>0</v>
      </c>
      <c r="T545" s="72"/>
      <c r="U545" s="73"/>
      <c r="V545" s="74">
        <f>Devis[[#This Row],[Prix de Revient]]*Devis[[#This Row],[Poste 1]]</f>
        <v>0</v>
      </c>
      <c r="W545" s="74">
        <f>Devis[[#This Row],[Prix de Revient]]*Devis[[#This Row],[Poste 2]]</f>
        <v>0</v>
      </c>
      <c r="X545" s="74">
        <f>Devis[[#This Row],[Prix de Revient]]*Devis[[#This Row],[Poste 3]]</f>
        <v>0</v>
      </c>
      <c r="Y545" s="74">
        <f>Devis[[#This Row],[Poste 4]]*Devis[[#This Row],[Prix de Revient]]</f>
        <v>0</v>
      </c>
      <c r="Z545" s="74">
        <f>Devis[[#This Row],[Poste 5]]*Devis[[#This Row],[Prix de Revient]]</f>
        <v>0</v>
      </c>
      <c r="AA545" s="74">
        <f>Devis[[#This Row],[Prix de Revient]]*Devis[[#This Row],[Poste 6]]</f>
        <v>0</v>
      </c>
      <c r="AB545" s="74">
        <f>Devis[[#This Row],[Quantité Totale]]*Devis[[#This Row],[Prix de Revient]]</f>
        <v>0</v>
      </c>
    </row>
    <row r="546" spans="1:28" ht="14.25" outlineLevel="1" x14ac:dyDescent="0.2">
      <c r="A546" s="75" t="s">
        <v>326</v>
      </c>
      <c r="B546" s="76" t="s">
        <v>4750</v>
      </c>
      <c r="C546" s="75" t="s">
        <v>3501</v>
      </c>
      <c r="D546" s="81" t="str">
        <f t="shared" si="9"/>
        <v>CuveEquipements de cuveKaeser</v>
      </c>
      <c r="E546" s="75" t="s">
        <v>4754</v>
      </c>
      <c r="F546" s="81">
        <v>24</v>
      </c>
      <c r="G546" s="71" t="s">
        <v>4788</v>
      </c>
      <c r="H546" s="71" t="s">
        <v>3501</v>
      </c>
      <c r="I546" s="71"/>
      <c r="J546" s="70">
        <f>IFERROR(VLOOKUP(Devis[[#This Row],[Ref Air Flux]],#REF!,3,FALSE),0)</f>
        <v>0</v>
      </c>
      <c r="K546" s="68"/>
      <c r="L546" s="68"/>
      <c r="M546" s="68"/>
      <c r="N546" s="68"/>
      <c r="O546" s="68"/>
      <c r="P546" s="68"/>
      <c r="Q546" s="68">
        <f>SUM(Devis[[#This Row],[Poste 1]:[Poste 6]])</f>
        <v>0</v>
      </c>
      <c r="R546" s="71"/>
      <c r="S546" s="68">
        <f>_xlfn.CEILING.MATH(Devis[[#This Row],[Quantité Totale]],Devis[[#This Row],[Conditionnement]])</f>
        <v>0</v>
      </c>
      <c r="T546" s="72"/>
      <c r="U546" s="73"/>
      <c r="V546" s="74">
        <f>Devis[[#This Row],[Prix de Revient]]*Devis[[#This Row],[Poste 1]]</f>
        <v>0</v>
      </c>
      <c r="W546" s="74">
        <f>Devis[[#This Row],[Prix de Revient]]*Devis[[#This Row],[Poste 2]]</f>
        <v>0</v>
      </c>
      <c r="X546" s="74">
        <f>Devis[[#This Row],[Prix de Revient]]*Devis[[#This Row],[Poste 3]]</f>
        <v>0</v>
      </c>
      <c r="Y546" s="74">
        <f>Devis[[#This Row],[Poste 4]]*Devis[[#This Row],[Prix de Revient]]</f>
        <v>0</v>
      </c>
      <c r="Z546" s="74">
        <f>Devis[[#This Row],[Poste 5]]*Devis[[#This Row],[Prix de Revient]]</f>
        <v>0</v>
      </c>
      <c r="AA546" s="74">
        <f>Devis[[#This Row],[Prix de Revient]]*Devis[[#This Row],[Poste 6]]</f>
        <v>0</v>
      </c>
      <c r="AB546" s="74">
        <f>Devis[[#This Row],[Quantité Totale]]*Devis[[#This Row],[Prix de Revient]]</f>
        <v>0</v>
      </c>
    </row>
    <row r="547" spans="1:28" ht="14.25" outlineLevel="1" x14ac:dyDescent="0.2">
      <c r="A547" s="75" t="s">
        <v>326</v>
      </c>
      <c r="B547" s="76" t="s">
        <v>4750</v>
      </c>
      <c r="C547" s="75" t="s">
        <v>3501</v>
      </c>
      <c r="D547" s="81" t="str">
        <f t="shared" si="9"/>
        <v>CuveEquipements de cuveKaeser</v>
      </c>
      <c r="E547" s="75" t="s">
        <v>4765</v>
      </c>
      <c r="F547" s="81">
        <v>25</v>
      </c>
      <c r="G547" s="71" t="s">
        <v>4789</v>
      </c>
      <c r="H547" s="71" t="s">
        <v>3501</v>
      </c>
      <c r="I547" s="71"/>
      <c r="J547" s="70">
        <f>IFERROR(VLOOKUP(Devis[[#This Row],[Ref Air Flux]],#REF!,3,FALSE),0)</f>
        <v>0</v>
      </c>
      <c r="K547" s="68"/>
      <c r="L547" s="68"/>
      <c r="M547" s="68"/>
      <c r="N547" s="68"/>
      <c r="O547" s="68"/>
      <c r="P547" s="68"/>
      <c r="Q547" s="68">
        <f>SUM(Devis[[#This Row],[Poste 1]:[Poste 6]])</f>
        <v>0</v>
      </c>
      <c r="R547" s="71"/>
      <c r="S547" s="68">
        <f>_xlfn.CEILING.MATH(Devis[[#This Row],[Quantité Totale]],Devis[[#This Row],[Conditionnement]])</f>
        <v>0</v>
      </c>
      <c r="T547" s="72"/>
      <c r="U547" s="73"/>
      <c r="V547" s="74">
        <f>Devis[[#This Row],[Prix de Revient]]*Devis[[#This Row],[Poste 1]]</f>
        <v>0</v>
      </c>
      <c r="W547" s="74">
        <f>Devis[[#This Row],[Prix de Revient]]*Devis[[#This Row],[Poste 2]]</f>
        <v>0</v>
      </c>
      <c r="X547" s="74">
        <f>Devis[[#This Row],[Prix de Revient]]*Devis[[#This Row],[Poste 3]]</f>
        <v>0</v>
      </c>
      <c r="Y547" s="74">
        <f>Devis[[#This Row],[Poste 4]]*Devis[[#This Row],[Prix de Revient]]</f>
        <v>0</v>
      </c>
      <c r="Z547" s="74">
        <f>Devis[[#This Row],[Poste 5]]*Devis[[#This Row],[Prix de Revient]]</f>
        <v>0</v>
      </c>
      <c r="AA547" s="74">
        <f>Devis[[#This Row],[Prix de Revient]]*Devis[[#This Row],[Poste 6]]</f>
        <v>0</v>
      </c>
      <c r="AB547" s="74">
        <f>Devis[[#This Row],[Quantité Totale]]*Devis[[#This Row],[Prix de Revient]]</f>
        <v>0</v>
      </c>
    </row>
    <row r="548" spans="1:28" ht="14.25" outlineLevel="1" x14ac:dyDescent="0.2">
      <c r="A548" s="75" t="s">
        <v>326</v>
      </c>
      <c r="B548" s="76" t="s">
        <v>4750</v>
      </c>
      <c r="C548" s="75" t="s">
        <v>3501</v>
      </c>
      <c r="D548" s="81" t="str">
        <f t="shared" ref="D548:D611" si="10">A548&amp;B548&amp;C548</f>
        <v>CuveEquipements de cuveKaeser</v>
      </c>
      <c r="E548" s="75" t="s">
        <v>4790</v>
      </c>
      <c r="F548" s="81">
        <v>26</v>
      </c>
      <c r="G548" s="71" t="s">
        <v>4791</v>
      </c>
      <c r="H548" s="71" t="s">
        <v>3501</v>
      </c>
      <c r="I548" s="71"/>
      <c r="J548" s="70">
        <f>IFERROR(VLOOKUP(Devis[[#This Row],[Ref Air Flux]],#REF!,3,FALSE),0)</f>
        <v>0</v>
      </c>
      <c r="K548" s="68"/>
      <c r="L548" s="68"/>
      <c r="M548" s="68"/>
      <c r="N548" s="68"/>
      <c r="O548" s="68"/>
      <c r="P548" s="68"/>
      <c r="Q548" s="68">
        <f>SUM(Devis[[#This Row],[Poste 1]:[Poste 6]])</f>
        <v>0</v>
      </c>
      <c r="R548" s="71"/>
      <c r="S548" s="68">
        <f>_xlfn.CEILING.MATH(Devis[[#This Row],[Quantité Totale]],Devis[[#This Row],[Conditionnement]])</f>
        <v>0</v>
      </c>
      <c r="T548" s="72"/>
      <c r="U548" s="73"/>
      <c r="V548" s="74">
        <f>Devis[[#This Row],[Prix de Revient]]*Devis[[#This Row],[Poste 1]]</f>
        <v>0</v>
      </c>
      <c r="W548" s="74">
        <f>Devis[[#This Row],[Prix de Revient]]*Devis[[#This Row],[Poste 2]]</f>
        <v>0</v>
      </c>
      <c r="X548" s="74">
        <f>Devis[[#This Row],[Prix de Revient]]*Devis[[#This Row],[Poste 3]]</f>
        <v>0</v>
      </c>
      <c r="Y548" s="74">
        <f>Devis[[#This Row],[Poste 4]]*Devis[[#This Row],[Prix de Revient]]</f>
        <v>0</v>
      </c>
      <c r="Z548" s="74">
        <f>Devis[[#This Row],[Poste 5]]*Devis[[#This Row],[Prix de Revient]]</f>
        <v>0</v>
      </c>
      <c r="AA548" s="74">
        <f>Devis[[#This Row],[Prix de Revient]]*Devis[[#This Row],[Poste 6]]</f>
        <v>0</v>
      </c>
      <c r="AB548" s="74">
        <f>Devis[[#This Row],[Quantité Totale]]*Devis[[#This Row],[Prix de Revient]]</f>
        <v>0</v>
      </c>
    </row>
    <row r="549" spans="1:28" ht="14.25" outlineLevel="1" x14ac:dyDescent="0.2">
      <c r="A549" s="75" t="s">
        <v>326</v>
      </c>
      <c r="B549" s="76" t="s">
        <v>4750</v>
      </c>
      <c r="C549" s="75" t="s">
        <v>3501</v>
      </c>
      <c r="D549" s="81" t="str">
        <f t="shared" si="10"/>
        <v>CuveEquipements de cuveKaeser</v>
      </c>
      <c r="E549" s="75" t="s">
        <v>4792</v>
      </c>
      <c r="F549" s="81">
        <v>27</v>
      </c>
      <c r="G549" s="71" t="s">
        <v>4793</v>
      </c>
      <c r="H549" s="71" t="s">
        <v>3501</v>
      </c>
      <c r="I549" s="71"/>
      <c r="J549" s="70">
        <f>IFERROR(VLOOKUP(Devis[[#This Row],[Ref Air Flux]],#REF!,3,FALSE),0)</f>
        <v>0</v>
      </c>
      <c r="K549" s="68"/>
      <c r="L549" s="68"/>
      <c r="M549" s="68"/>
      <c r="N549" s="68"/>
      <c r="O549" s="68"/>
      <c r="P549" s="68"/>
      <c r="Q549" s="68">
        <f>SUM(Devis[[#This Row],[Poste 1]:[Poste 6]])</f>
        <v>0</v>
      </c>
      <c r="R549" s="71"/>
      <c r="S549" s="68">
        <f>_xlfn.CEILING.MATH(Devis[[#This Row],[Quantité Totale]],Devis[[#This Row],[Conditionnement]])</f>
        <v>0</v>
      </c>
      <c r="T549" s="72"/>
      <c r="U549" s="73"/>
      <c r="V549" s="74">
        <f>Devis[[#This Row],[Prix de Revient]]*Devis[[#This Row],[Poste 1]]</f>
        <v>0</v>
      </c>
      <c r="W549" s="74">
        <f>Devis[[#This Row],[Prix de Revient]]*Devis[[#This Row],[Poste 2]]</f>
        <v>0</v>
      </c>
      <c r="X549" s="74">
        <f>Devis[[#This Row],[Prix de Revient]]*Devis[[#This Row],[Poste 3]]</f>
        <v>0</v>
      </c>
      <c r="Y549" s="74">
        <f>Devis[[#This Row],[Poste 4]]*Devis[[#This Row],[Prix de Revient]]</f>
        <v>0</v>
      </c>
      <c r="Z549" s="74">
        <f>Devis[[#This Row],[Poste 5]]*Devis[[#This Row],[Prix de Revient]]</f>
        <v>0</v>
      </c>
      <c r="AA549" s="74">
        <f>Devis[[#This Row],[Prix de Revient]]*Devis[[#This Row],[Poste 6]]</f>
        <v>0</v>
      </c>
      <c r="AB549" s="74">
        <f>Devis[[#This Row],[Quantité Totale]]*Devis[[#This Row],[Prix de Revient]]</f>
        <v>0</v>
      </c>
    </row>
    <row r="550" spans="1:28" ht="14.25" outlineLevel="1" x14ac:dyDescent="0.2">
      <c r="A550" s="75" t="s">
        <v>326</v>
      </c>
      <c r="B550" s="76" t="s">
        <v>4750</v>
      </c>
      <c r="C550" s="75" t="s">
        <v>3501</v>
      </c>
      <c r="D550" s="81" t="str">
        <f t="shared" si="10"/>
        <v>CuveEquipements de cuveKaeser</v>
      </c>
      <c r="E550" s="75" t="s">
        <v>4767</v>
      </c>
      <c r="F550" s="81">
        <v>28</v>
      </c>
      <c r="G550" s="71" t="s">
        <v>4794</v>
      </c>
      <c r="H550" s="71" t="s">
        <v>3501</v>
      </c>
      <c r="I550" s="71"/>
      <c r="J550" s="70">
        <f>IFERROR(VLOOKUP(Devis[[#This Row],[Ref Air Flux]],#REF!,3,FALSE),0)</f>
        <v>0</v>
      </c>
      <c r="K550" s="68"/>
      <c r="L550" s="68"/>
      <c r="M550" s="68"/>
      <c r="N550" s="68"/>
      <c r="O550" s="68"/>
      <c r="P550" s="68"/>
      <c r="Q550" s="68">
        <f>SUM(Devis[[#This Row],[Poste 1]:[Poste 6]])</f>
        <v>0</v>
      </c>
      <c r="R550" s="71"/>
      <c r="S550" s="68">
        <f>_xlfn.CEILING.MATH(Devis[[#This Row],[Quantité Totale]],Devis[[#This Row],[Conditionnement]])</f>
        <v>0</v>
      </c>
      <c r="T550" s="72"/>
      <c r="U550" s="73"/>
      <c r="V550" s="74">
        <f>Devis[[#This Row],[Prix de Revient]]*Devis[[#This Row],[Poste 1]]</f>
        <v>0</v>
      </c>
      <c r="W550" s="74">
        <f>Devis[[#This Row],[Prix de Revient]]*Devis[[#This Row],[Poste 2]]</f>
        <v>0</v>
      </c>
      <c r="X550" s="74">
        <f>Devis[[#This Row],[Prix de Revient]]*Devis[[#This Row],[Poste 3]]</f>
        <v>0</v>
      </c>
      <c r="Y550" s="74">
        <f>Devis[[#This Row],[Poste 4]]*Devis[[#This Row],[Prix de Revient]]</f>
        <v>0</v>
      </c>
      <c r="Z550" s="74">
        <f>Devis[[#This Row],[Poste 5]]*Devis[[#This Row],[Prix de Revient]]</f>
        <v>0</v>
      </c>
      <c r="AA550" s="74">
        <f>Devis[[#This Row],[Prix de Revient]]*Devis[[#This Row],[Poste 6]]</f>
        <v>0</v>
      </c>
      <c r="AB550" s="74">
        <f>Devis[[#This Row],[Quantité Totale]]*Devis[[#This Row],[Prix de Revient]]</f>
        <v>0</v>
      </c>
    </row>
    <row r="551" spans="1:28" ht="14.25" outlineLevel="1" x14ac:dyDescent="0.2">
      <c r="A551" s="75" t="s">
        <v>326</v>
      </c>
      <c r="B551" s="76" t="s">
        <v>4750</v>
      </c>
      <c r="C551" s="75" t="s">
        <v>3501</v>
      </c>
      <c r="D551" s="81" t="str">
        <f t="shared" si="10"/>
        <v>CuveEquipements de cuveKaeser</v>
      </c>
      <c r="E551" s="75" t="s">
        <v>4795</v>
      </c>
      <c r="F551" s="81">
        <v>29</v>
      </c>
      <c r="G551" s="71" t="s">
        <v>4796</v>
      </c>
      <c r="H551" s="71" t="s">
        <v>3501</v>
      </c>
      <c r="I551" s="71"/>
      <c r="J551" s="70">
        <f>IFERROR(VLOOKUP(Devis[[#This Row],[Ref Air Flux]],#REF!,3,FALSE),0)</f>
        <v>0</v>
      </c>
      <c r="K551" s="68"/>
      <c r="L551" s="68"/>
      <c r="M551" s="68"/>
      <c r="N551" s="68"/>
      <c r="O551" s="68"/>
      <c r="P551" s="68"/>
      <c r="Q551" s="68">
        <f>SUM(Devis[[#This Row],[Poste 1]:[Poste 6]])</f>
        <v>0</v>
      </c>
      <c r="R551" s="71"/>
      <c r="S551" s="68">
        <f>_xlfn.CEILING.MATH(Devis[[#This Row],[Quantité Totale]],Devis[[#This Row],[Conditionnement]])</f>
        <v>0</v>
      </c>
      <c r="T551" s="72"/>
      <c r="U551" s="73"/>
      <c r="V551" s="74">
        <f>Devis[[#This Row],[Prix de Revient]]*Devis[[#This Row],[Poste 1]]</f>
        <v>0</v>
      </c>
      <c r="W551" s="74">
        <f>Devis[[#This Row],[Prix de Revient]]*Devis[[#This Row],[Poste 2]]</f>
        <v>0</v>
      </c>
      <c r="X551" s="74">
        <f>Devis[[#This Row],[Prix de Revient]]*Devis[[#This Row],[Poste 3]]</f>
        <v>0</v>
      </c>
      <c r="Y551" s="74">
        <f>Devis[[#This Row],[Poste 4]]*Devis[[#This Row],[Prix de Revient]]</f>
        <v>0</v>
      </c>
      <c r="Z551" s="74">
        <f>Devis[[#This Row],[Poste 5]]*Devis[[#This Row],[Prix de Revient]]</f>
        <v>0</v>
      </c>
      <c r="AA551" s="74">
        <f>Devis[[#This Row],[Prix de Revient]]*Devis[[#This Row],[Poste 6]]</f>
        <v>0</v>
      </c>
      <c r="AB551" s="74">
        <f>Devis[[#This Row],[Quantité Totale]]*Devis[[#This Row],[Prix de Revient]]</f>
        <v>0</v>
      </c>
    </row>
    <row r="552" spans="1:28" ht="14.25" outlineLevel="1" x14ac:dyDescent="0.2">
      <c r="A552" s="75" t="s">
        <v>326</v>
      </c>
      <c r="B552" s="76" t="s">
        <v>4750</v>
      </c>
      <c r="C552" s="75" t="s">
        <v>3501</v>
      </c>
      <c r="D552" s="81" t="str">
        <f t="shared" si="10"/>
        <v>CuveEquipements de cuveKaeser</v>
      </c>
      <c r="E552" s="75" t="s">
        <v>4797</v>
      </c>
      <c r="F552" s="81">
        <v>30</v>
      </c>
      <c r="G552" s="71" t="s">
        <v>4798</v>
      </c>
      <c r="H552" s="71" t="s">
        <v>3501</v>
      </c>
      <c r="I552" s="71"/>
      <c r="J552" s="70">
        <f>IFERROR(VLOOKUP(Devis[[#This Row],[Ref Air Flux]],#REF!,3,FALSE),0)</f>
        <v>0</v>
      </c>
      <c r="K552" s="68"/>
      <c r="L552" s="68"/>
      <c r="M552" s="68"/>
      <c r="N552" s="68"/>
      <c r="O552" s="68"/>
      <c r="P552" s="68"/>
      <c r="Q552" s="68">
        <f>SUM(Devis[[#This Row],[Poste 1]:[Poste 6]])</f>
        <v>0</v>
      </c>
      <c r="R552" s="71"/>
      <c r="S552" s="68">
        <f>_xlfn.CEILING.MATH(Devis[[#This Row],[Quantité Totale]],Devis[[#This Row],[Conditionnement]])</f>
        <v>0</v>
      </c>
      <c r="T552" s="72"/>
      <c r="U552" s="73"/>
      <c r="V552" s="74">
        <f>Devis[[#This Row],[Prix de Revient]]*Devis[[#This Row],[Poste 1]]</f>
        <v>0</v>
      </c>
      <c r="W552" s="74">
        <f>Devis[[#This Row],[Prix de Revient]]*Devis[[#This Row],[Poste 2]]</f>
        <v>0</v>
      </c>
      <c r="X552" s="74">
        <f>Devis[[#This Row],[Prix de Revient]]*Devis[[#This Row],[Poste 3]]</f>
        <v>0</v>
      </c>
      <c r="Y552" s="74">
        <f>Devis[[#This Row],[Poste 4]]*Devis[[#This Row],[Prix de Revient]]</f>
        <v>0</v>
      </c>
      <c r="Z552" s="74">
        <f>Devis[[#This Row],[Poste 5]]*Devis[[#This Row],[Prix de Revient]]</f>
        <v>0</v>
      </c>
      <c r="AA552" s="74">
        <f>Devis[[#This Row],[Prix de Revient]]*Devis[[#This Row],[Poste 6]]</f>
        <v>0</v>
      </c>
      <c r="AB552" s="74">
        <f>Devis[[#This Row],[Quantité Totale]]*Devis[[#This Row],[Prix de Revient]]</f>
        <v>0</v>
      </c>
    </row>
    <row r="553" spans="1:28" ht="14.25" outlineLevel="1" x14ac:dyDescent="0.2">
      <c r="A553" s="75" t="s">
        <v>326</v>
      </c>
      <c r="B553" s="76" t="s">
        <v>4750</v>
      </c>
      <c r="C553" s="75" t="s">
        <v>3501</v>
      </c>
      <c r="D553" s="81" t="str">
        <f t="shared" si="10"/>
        <v>CuveEquipements de cuveKaeser</v>
      </c>
      <c r="E553" s="75" t="s">
        <v>4756</v>
      </c>
      <c r="F553" s="81">
        <v>31</v>
      </c>
      <c r="G553" s="71" t="s">
        <v>4799</v>
      </c>
      <c r="H553" s="71" t="s">
        <v>3501</v>
      </c>
      <c r="I553" s="71"/>
      <c r="J553" s="70">
        <f>IFERROR(VLOOKUP(Devis[[#This Row],[Ref Air Flux]],#REF!,3,FALSE),0)</f>
        <v>0</v>
      </c>
      <c r="K553" s="68"/>
      <c r="L553" s="68"/>
      <c r="M553" s="68"/>
      <c r="N553" s="68"/>
      <c r="O553" s="68"/>
      <c r="P553" s="68"/>
      <c r="Q553" s="68">
        <f>SUM(Devis[[#This Row],[Poste 1]:[Poste 6]])</f>
        <v>0</v>
      </c>
      <c r="R553" s="71"/>
      <c r="S553" s="68">
        <f>_xlfn.CEILING.MATH(Devis[[#This Row],[Quantité Totale]],Devis[[#This Row],[Conditionnement]])</f>
        <v>0</v>
      </c>
      <c r="T553" s="72"/>
      <c r="U553" s="73"/>
      <c r="V553" s="74">
        <f>Devis[[#This Row],[Prix de Revient]]*Devis[[#This Row],[Poste 1]]</f>
        <v>0</v>
      </c>
      <c r="W553" s="74">
        <f>Devis[[#This Row],[Prix de Revient]]*Devis[[#This Row],[Poste 2]]</f>
        <v>0</v>
      </c>
      <c r="X553" s="74">
        <f>Devis[[#This Row],[Prix de Revient]]*Devis[[#This Row],[Poste 3]]</f>
        <v>0</v>
      </c>
      <c r="Y553" s="74">
        <f>Devis[[#This Row],[Poste 4]]*Devis[[#This Row],[Prix de Revient]]</f>
        <v>0</v>
      </c>
      <c r="Z553" s="74">
        <f>Devis[[#This Row],[Poste 5]]*Devis[[#This Row],[Prix de Revient]]</f>
        <v>0</v>
      </c>
      <c r="AA553" s="74">
        <f>Devis[[#This Row],[Prix de Revient]]*Devis[[#This Row],[Poste 6]]</f>
        <v>0</v>
      </c>
      <c r="AB553" s="74">
        <f>Devis[[#This Row],[Quantité Totale]]*Devis[[#This Row],[Prix de Revient]]</f>
        <v>0</v>
      </c>
    </row>
    <row r="554" spans="1:28" ht="14.25" outlineLevel="1" x14ac:dyDescent="0.2">
      <c r="A554" s="75" t="s">
        <v>326</v>
      </c>
      <c r="B554" s="76" t="s">
        <v>4750</v>
      </c>
      <c r="C554" s="75" t="s">
        <v>3501</v>
      </c>
      <c r="D554" s="81" t="str">
        <f t="shared" si="10"/>
        <v>CuveEquipements de cuveKaeser</v>
      </c>
      <c r="E554" s="75" t="s">
        <v>4800</v>
      </c>
      <c r="F554" s="81">
        <v>32</v>
      </c>
      <c r="G554" s="71" t="s">
        <v>4801</v>
      </c>
      <c r="H554" s="71" t="s">
        <v>3501</v>
      </c>
      <c r="I554" s="71"/>
      <c r="J554" s="70">
        <f>IFERROR(VLOOKUP(Devis[[#This Row],[Ref Air Flux]],#REF!,3,FALSE),0)</f>
        <v>0</v>
      </c>
      <c r="K554" s="68"/>
      <c r="L554" s="68"/>
      <c r="M554" s="68"/>
      <c r="N554" s="68"/>
      <c r="O554" s="68"/>
      <c r="P554" s="68"/>
      <c r="Q554" s="68">
        <f>SUM(Devis[[#This Row],[Poste 1]:[Poste 6]])</f>
        <v>0</v>
      </c>
      <c r="R554" s="71"/>
      <c r="S554" s="68">
        <f>_xlfn.CEILING.MATH(Devis[[#This Row],[Quantité Totale]],Devis[[#This Row],[Conditionnement]])</f>
        <v>0</v>
      </c>
      <c r="T554" s="72"/>
      <c r="U554" s="73"/>
      <c r="V554" s="74">
        <f>Devis[[#This Row],[Prix de Revient]]*Devis[[#This Row],[Poste 1]]</f>
        <v>0</v>
      </c>
      <c r="W554" s="74">
        <f>Devis[[#This Row],[Prix de Revient]]*Devis[[#This Row],[Poste 2]]</f>
        <v>0</v>
      </c>
      <c r="X554" s="74">
        <f>Devis[[#This Row],[Prix de Revient]]*Devis[[#This Row],[Poste 3]]</f>
        <v>0</v>
      </c>
      <c r="Y554" s="74">
        <f>Devis[[#This Row],[Poste 4]]*Devis[[#This Row],[Prix de Revient]]</f>
        <v>0</v>
      </c>
      <c r="Z554" s="74">
        <f>Devis[[#This Row],[Poste 5]]*Devis[[#This Row],[Prix de Revient]]</f>
        <v>0</v>
      </c>
      <c r="AA554" s="74">
        <f>Devis[[#This Row],[Prix de Revient]]*Devis[[#This Row],[Poste 6]]</f>
        <v>0</v>
      </c>
      <c r="AB554" s="74">
        <f>Devis[[#This Row],[Quantité Totale]]*Devis[[#This Row],[Prix de Revient]]</f>
        <v>0</v>
      </c>
    </row>
    <row r="555" spans="1:28" ht="14.25" outlineLevel="1" x14ac:dyDescent="0.2">
      <c r="A555" s="75" t="s">
        <v>326</v>
      </c>
      <c r="B555" s="76" t="s">
        <v>4750</v>
      </c>
      <c r="C555" s="75" t="s">
        <v>3501</v>
      </c>
      <c r="D555" s="81" t="str">
        <f t="shared" si="10"/>
        <v>CuveEquipements de cuveKaeser</v>
      </c>
      <c r="E555" s="75" t="s">
        <v>4757</v>
      </c>
      <c r="F555" s="81">
        <v>33</v>
      </c>
      <c r="G555" s="71" t="s">
        <v>4802</v>
      </c>
      <c r="H555" s="71" t="s">
        <v>3501</v>
      </c>
      <c r="I555" s="71"/>
      <c r="J555" s="70">
        <f>IFERROR(VLOOKUP(Devis[[#This Row],[Ref Air Flux]],#REF!,3,FALSE),0)</f>
        <v>0</v>
      </c>
      <c r="K555" s="68"/>
      <c r="L555" s="68"/>
      <c r="M555" s="68"/>
      <c r="N555" s="68"/>
      <c r="O555" s="68"/>
      <c r="P555" s="68"/>
      <c r="Q555" s="68">
        <f>SUM(Devis[[#This Row],[Poste 1]:[Poste 6]])</f>
        <v>0</v>
      </c>
      <c r="R555" s="71"/>
      <c r="S555" s="68">
        <f>_xlfn.CEILING.MATH(Devis[[#This Row],[Quantité Totale]],Devis[[#This Row],[Conditionnement]])</f>
        <v>0</v>
      </c>
      <c r="T555" s="72"/>
      <c r="U555" s="73"/>
      <c r="V555" s="74">
        <f>Devis[[#This Row],[Prix de Revient]]*Devis[[#This Row],[Poste 1]]</f>
        <v>0</v>
      </c>
      <c r="W555" s="74">
        <f>Devis[[#This Row],[Prix de Revient]]*Devis[[#This Row],[Poste 2]]</f>
        <v>0</v>
      </c>
      <c r="X555" s="74">
        <f>Devis[[#This Row],[Prix de Revient]]*Devis[[#This Row],[Poste 3]]</f>
        <v>0</v>
      </c>
      <c r="Y555" s="74">
        <f>Devis[[#This Row],[Poste 4]]*Devis[[#This Row],[Prix de Revient]]</f>
        <v>0</v>
      </c>
      <c r="Z555" s="74">
        <f>Devis[[#This Row],[Poste 5]]*Devis[[#This Row],[Prix de Revient]]</f>
        <v>0</v>
      </c>
      <c r="AA555" s="74">
        <f>Devis[[#This Row],[Prix de Revient]]*Devis[[#This Row],[Poste 6]]</f>
        <v>0</v>
      </c>
      <c r="AB555" s="74">
        <f>Devis[[#This Row],[Quantité Totale]]*Devis[[#This Row],[Prix de Revient]]</f>
        <v>0</v>
      </c>
    </row>
    <row r="556" spans="1:28" ht="15" customHeight="1" outlineLevel="1" x14ac:dyDescent="0.2">
      <c r="A556" s="75" t="s">
        <v>326</v>
      </c>
      <c r="B556" s="76" t="s">
        <v>4750</v>
      </c>
      <c r="C556" s="75" t="s">
        <v>3501</v>
      </c>
      <c r="D556" s="81" t="str">
        <f t="shared" si="10"/>
        <v>CuveEquipements de cuveKaeser</v>
      </c>
      <c r="E556" s="75" t="s">
        <v>4803</v>
      </c>
      <c r="F556" s="81">
        <v>34</v>
      </c>
      <c r="G556" s="71" t="s">
        <v>4804</v>
      </c>
      <c r="H556" s="71" t="s">
        <v>3501</v>
      </c>
      <c r="I556" s="71"/>
      <c r="J556" s="70">
        <f>IFERROR(VLOOKUP(Devis[[#This Row],[Ref Air Flux]],#REF!,3,FALSE),0)</f>
        <v>0</v>
      </c>
      <c r="K556" s="68"/>
      <c r="L556" s="68"/>
      <c r="M556" s="68"/>
      <c r="N556" s="68"/>
      <c r="O556" s="68"/>
      <c r="P556" s="68"/>
      <c r="Q556" s="68">
        <f>SUM(Devis[[#This Row],[Poste 1]:[Poste 6]])</f>
        <v>0</v>
      </c>
      <c r="R556" s="71"/>
      <c r="S556" s="68">
        <f>_xlfn.CEILING.MATH(Devis[[#This Row],[Quantité Totale]],Devis[[#This Row],[Conditionnement]])</f>
        <v>0</v>
      </c>
      <c r="T556" s="72"/>
      <c r="U556" s="73"/>
      <c r="V556" s="74">
        <f>Devis[[#This Row],[Prix de Revient]]*Devis[[#This Row],[Poste 1]]</f>
        <v>0</v>
      </c>
      <c r="W556" s="74">
        <f>Devis[[#This Row],[Prix de Revient]]*Devis[[#This Row],[Poste 2]]</f>
        <v>0</v>
      </c>
      <c r="X556" s="74">
        <f>Devis[[#This Row],[Prix de Revient]]*Devis[[#This Row],[Poste 3]]</f>
        <v>0</v>
      </c>
      <c r="Y556" s="74">
        <f>Devis[[#This Row],[Poste 4]]*Devis[[#This Row],[Prix de Revient]]</f>
        <v>0</v>
      </c>
      <c r="Z556" s="74">
        <f>Devis[[#This Row],[Poste 5]]*Devis[[#This Row],[Prix de Revient]]</f>
        <v>0</v>
      </c>
      <c r="AA556" s="74">
        <f>Devis[[#This Row],[Prix de Revient]]*Devis[[#This Row],[Poste 6]]</f>
        <v>0</v>
      </c>
      <c r="AB556" s="74">
        <f>Devis[[#This Row],[Quantité Totale]]*Devis[[#This Row],[Prix de Revient]]</f>
        <v>0</v>
      </c>
    </row>
    <row r="557" spans="1:28" ht="14.25" outlineLevel="1" x14ac:dyDescent="0.2">
      <c r="A557" s="75" t="s">
        <v>326</v>
      </c>
      <c r="B557" s="76" t="s">
        <v>4750</v>
      </c>
      <c r="C557" s="75" t="s">
        <v>3501</v>
      </c>
      <c r="D557" s="81" t="str">
        <f t="shared" si="10"/>
        <v>CuveEquipements de cuveKaeser</v>
      </c>
      <c r="E557" s="75" t="s">
        <v>4805</v>
      </c>
      <c r="F557" s="81">
        <v>35</v>
      </c>
      <c r="G557" s="71" t="s">
        <v>4806</v>
      </c>
      <c r="H557" s="71" t="s">
        <v>3501</v>
      </c>
      <c r="I557" s="71"/>
      <c r="J557" s="70">
        <f>IFERROR(VLOOKUP(Devis[[#This Row],[Ref Air Flux]],#REF!,3,FALSE),0)</f>
        <v>0</v>
      </c>
      <c r="K557" s="68"/>
      <c r="L557" s="68"/>
      <c r="M557" s="68"/>
      <c r="N557" s="68"/>
      <c r="O557" s="68"/>
      <c r="P557" s="68"/>
      <c r="Q557" s="68">
        <f>SUM(Devis[[#This Row],[Poste 1]:[Poste 6]])</f>
        <v>0</v>
      </c>
      <c r="R557" s="71"/>
      <c r="S557" s="68">
        <f>_xlfn.CEILING.MATH(Devis[[#This Row],[Quantité Totale]],Devis[[#This Row],[Conditionnement]])</f>
        <v>0</v>
      </c>
      <c r="T557" s="72"/>
      <c r="U557" s="73"/>
      <c r="V557" s="74">
        <f>Devis[[#This Row],[Prix de Revient]]*Devis[[#This Row],[Poste 1]]</f>
        <v>0</v>
      </c>
      <c r="W557" s="74">
        <f>Devis[[#This Row],[Prix de Revient]]*Devis[[#This Row],[Poste 2]]</f>
        <v>0</v>
      </c>
      <c r="X557" s="74">
        <f>Devis[[#This Row],[Prix de Revient]]*Devis[[#This Row],[Poste 3]]</f>
        <v>0</v>
      </c>
      <c r="Y557" s="74">
        <f>Devis[[#This Row],[Poste 4]]*Devis[[#This Row],[Prix de Revient]]</f>
        <v>0</v>
      </c>
      <c r="Z557" s="74">
        <f>Devis[[#This Row],[Poste 5]]*Devis[[#This Row],[Prix de Revient]]</f>
        <v>0</v>
      </c>
      <c r="AA557" s="74">
        <f>Devis[[#This Row],[Prix de Revient]]*Devis[[#This Row],[Poste 6]]</f>
        <v>0</v>
      </c>
      <c r="AB557" s="74">
        <f>Devis[[#This Row],[Quantité Totale]]*Devis[[#This Row],[Prix de Revient]]</f>
        <v>0</v>
      </c>
    </row>
    <row r="558" spans="1:28" ht="14.25" outlineLevel="1" x14ac:dyDescent="0.2">
      <c r="A558" s="75" t="s">
        <v>326</v>
      </c>
      <c r="B558" s="76" t="s">
        <v>4750</v>
      </c>
      <c r="C558" s="75" t="s">
        <v>3501</v>
      </c>
      <c r="D558" s="81" t="str">
        <f t="shared" si="10"/>
        <v>CuveEquipements de cuveKaeser</v>
      </c>
      <c r="E558" s="75" t="s">
        <v>4807</v>
      </c>
      <c r="F558" s="81">
        <v>36</v>
      </c>
      <c r="G558" s="71" t="s">
        <v>4808</v>
      </c>
      <c r="H558" s="71" t="s">
        <v>3501</v>
      </c>
      <c r="I558" s="71"/>
      <c r="J558" s="70">
        <f>IFERROR(VLOOKUP(Devis[[#This Row],[Ref Air Flux]],#REF!,3,FALSE),0)</f>
        <v>0</v>
      </c>
      <c r="K558" s="68"/>
      <c r="L558" s="68"/>
      <c r="M558" s="68"/>
      <c r="N558" s="68"/>
      <c r="O558" s="68"/>
      <c r="P558" s="68"/>
      <c r="Q558" s="68">
        <f>SUM(Devis[[#This Row],[Poste 1]:[Poste 6]])</f>
        <v>0</v>
      </c>
      <c r="R558" s="71"/>
      <c r="S558" s="68">
        <f>_xlfn.CEILING.MATH(Devis[[#This Row],[Quantité Totale]],Devis[[#This Row],[Conditionnement]])</f>
        <v>0</v>
      </c>
      <c r="T558" s="72"/>
      <c r="U558" s="73"/>
      <c r="V558" s="74">
        <f>Devis[[#This Row],[Prix de Revient]]*Devis[[#This Row],[Poste 1]]</f>
        <v>0</v>
      </c>
      <c r="W558" s="74">
        <f>Devis[[#This Row],[Prix de Revient]]*Devis[[#This Row],[Poste 2]]</f>
        <v>0</v>
      </c>
      <c r="X558" s="74">
        <f>Devis[[#This Row],[Prix de Revient]]*Devis[[#This Row],[Poste 3]]</f>
        <v>0</v>
      </c>
      <c r="Y558" s="74">
        <f>Devis[[#This Row],[Poste 4]]*Devis[[#This Row],[Prix de Revient]]</f>
        <v>0</v>
      </c>
      <c r="Z558" s="74">
        <f>Devis[[#This Row],[Poste 5]]*Devis[[#This Row],[Prix de Revient]]</f>
        <v>0</v>
      </c>
      <c r="AA558" s="74">
        <f>Devis[[#This Row],[Prix de Revient]]*Devis[[#This Row],[Poste 6]]</f>
        <v>0</v>
      </c>
      <c r="AB558" s="74">
        <f>Devis[[#This Row],[Quantité Totale]]*Devis[[#This Row],[Prix de Revient]]</f>
        <v>0</v>
      </c>
    </row>
    <row r="559" spans="1:28" ht="14.25" outlineLevel="1" x14ac:dyDescent="0.2">
      <c r="A559" s="75" t="s">
        <v>326</v>
      </c>
      <c r="B559" s="76" t="s">
        <v>4750</v>
      </c>
      <c r="C559" s="75" t="s">
        <v>3501</v>
      </c>
      <c r="D559" s="81" t="str">
        <f t="shared" si="10"/>
        <v>CuveEquipements de cuveKaeser</v>
      </c>
      <c r="E559" s="75" t="s">
        <v>4809</v>
      </c>
      <c r="F559" s="81">
        <v>37</v>
      </c>
      <c r="G559" s="71" t="s">
        <v>4810</v>
      </c>
      <c r="H559" s="71" t="s">
        <v>3501</v>
      </c>
      <c r="I559" s="71"/>
      <c r="J559" s="70">
        <f>IFERROR(VLOOKUP(Devis[[#This Row],[Ref Air Flux]],#REF!,3,FALSE),0)</f>
        <v>0</v>
      </c>
      <c r="K559" s="68"/>
      <c r="L559" s="68"/>
      <c r="M559" s="68"/>
      <c r="N559" s="68"/>
      <c r="O559" s="68"/>
      <c r="P559" s="68"/>
      <c r="Q559" s="68">
        <f>SUM(Devis[[#This Row],[Poste 1]:[Poste 6]])</f>
        <v>0</v>
      </c>
      <c r="R559" s="71"/>
      <c r="S559" s="68">
        <f>_xlfn.CEILING.MATH(Devis[[#This Row],[Quantité Totale]],Devis[[#This Row],[Conditionnement]])</f>
        <v>0</v>
      </c>
      <c r="T559" s="72"/>
      <c r="U559" s="73"/>
      <c r="V559" s="74">
        <f>Devis[[#This Row],[Prix de Revient]]*Devis[[#This Row],[Poste 1]]</f>
        <v>0</v>
      </c>
      <c r="W559" s="74">
        <f>Devis[[#This Row],[Prix de Revient]]*Devis[[#This Row],[Poste 2]]</f>
        <v>0</v>
      </c>
      <c r="X559" s="74">
        <f>Devis[[#This Row],[Prix de Revient]]*Devis[[#This Row],[Poste 3]]</f>
        <v>0</v>
      </c>
      <c r="Y559" s="74">
        <f>Devis[[#This Row],[Poste 4]]*Devis[[#This Row],[Prix de Revient]]</f>
        <v>0</v>
      </c>
      <c r="Z559" s="74">
        <f>Devis[[#This Row],[Poste 5]]*Devis[[#This Row],[Prix de Revient]]</f>
        <v>0</v>
      </c>
      <c r="AA559" s="74">
        <f>Devis[[#This Row],[Prix de Revient]]*Devis[[#This Row],[Poste 6]]</f>
        <v>0</v>
      </c>
      <c r="AB559" s="74">
        <f>Devis[[#This Row],[Quantité Totale]]*Devis[[#This Row],[Prix de Revient]]</f>
        <v>0</v>
      </c>
    </row>
    <row r="560" spans="1:28" ht="14.25" outlineLevel="1" x14ac:dyDescent="0.2">
      <c r="A560" s="75" t="s">
        <v>326</v>
      </c>
      <c r="B560" s="76" t="s">
        <v>4750</v>
      </c>
      <c r="C560" s="75" t="s">
        <v>3501</v>
      </c>
      <c r="D560" s="81" t="str">
        <f t="shared" si="10"/>
        <v>CuveEquipements de cuveKaeser</v>
      </c>
      <c r="E560" s="75" t="s">
        <v>4769</v>
      </c>
      <c r="F560" s="81">
        <v>38</v>
      </c>
      <c r="G560" s="71" t="s">
        <v>4811</v>
      </c>
      <c r="H560" s="71" t="s">
        <v>3501</v>
      </c>
      <c r="I560" s="71"/>
      <c r="J560" s="70">
        <f>IFERROR(VLOOKUP(Devis[[#This Row],[Ref Air Flux]],#REF!,3,FALSE),0)</f>
        <v>0</v>
      </c>
      <c r="K560" s="68"/>
      <c r="L560" s="68"/>
      <c r="M560" s="68"/>
      <c r="N560" s="68"/>
      <c r="O560" s="68"/>
      <c r="P560" s="68"/>
      <c r="Q560" s="68">
        <f>SUM(Devis[[#This Row],[Poste 1]:[Poste 6]])</f>
        <v>0</v>
      </c>
      <c r="R560" s="71"/>
      <c r="S560" s="68">
        <f>_xlfn.CEILING.MATH(Devis[[#This Row],[Quantité Totale]],Devis[[#This Row],[Conditionnement]])</f>
        <v>0</v>
      </c>
      <c r="T560" s="72"/>
      <c r="U560" s="73"/>
      <c r="V560" s="74">
        <f>Devis[[#This Row],[Prix de Revient]]*Devis[[#This Row],[Poste 1]]</f>
        <v>0</v>
      </c>
      <c r="W560" s="74">
        <f>Devis[[#This Row],[Prix de Revient]]*Devis[[#This Row],[Poste 2]]</f>
        <v>0</v>
      </c>
      <c r="X560" s="74">
        <f>Devis[[#This Row],[Prix de Revient]]*Devis[[#This Row],[Poste 3]]</f>
        <v>0</v>
      </c>
      <c r="Y560" s="74">
        <f>Devis[[#This Row],[Poste 4]]*Devis[[#This Row],[Prix de Revient]]</f>
        <v>0</v>
      </c>
      <c r="Z560" s="74">
        <f>Devis[[#This Row],[Poste 5]]*Devis[[#This Row],[Prix de Revient]]</f>
        <v>0</v>
      </c>
      <c r="AA560" s="74">
        <f>Devis[[#This Row],[Prix de Revient]]*Devis[[#This Row],[Poste 6]]</f>
        <v>0</v>
      </c>
      <c r="AB560" s="74">
        <f>Devis[[#This Row],[Quantité Totale]]*Devis[[#This Row],[Prix de Revient]]</f>
        <v>0</v>
      </c>
    </row>
    <row r="561" spans="1:28" ht="14.25" outlineLevel="1" x14ac:dyDescent="0.2">
      <c r="A561" s="75" t="s">
        <v>326</v>
      </c>
      <c r="B561" s="76" t="s">
        <v>4750</v>
      </c>
      <c r="C561" s="75" t="s">
        <v>3934</v>
      </c>
      <c r="D561" s="81" t="str">
        <f t="shared" si="10"/>
        <v>CuveEquipements de cuvePauchard</v>
      </c>
      <c r="E561" s="75" t="s">
        <v>4812</v>
      </c>
      <c r="F561" s="81">
        <v>39</v>
      </c>
      <c r="G561" s="71" t="s">
        <v>3896</v>
      </c>
      <c r="H561" s="71" t="s">
        <v>3934</v>
      </c>
      <c r="I561" s="71"/>
      <c r="J561" s="70">
        <f>IFERROR(VLOOKUP(Devis[[#This Row],[Ref Air Flux]],#REF!,3,FALSE),0)</f>
        <v>0</v>
      </c>
      <c r="K561" s="68"/>
      <c r="L561" s="68"/>
      <c r="M561" s="68"/>
      <c r="N561" s="68"/>
      <c r="O561" s="68"/>
      <c r="P561" s="68"/>
      <c r="Q561" s="68">
        <f>SUM(Devis[[#This Row],[Poste 1]:[Poste 6]])</f>
        <v>0</v>
      </c>
      <c r="R561" s="71"/>
      <c r="S561" s="68">
        <f>_xlfn.CEILING.MATH(Devis[[#This Row],[Quantité Totale]],Devis[[#This Row],[Conditionnement]])</f>
        <v>0</v>
      </c>
      <c r="T561" s="72"/>
      <c r="U561" s="73"/>
      <c r="V561" s="74">
        <f>Devis[[#This Row],[Prix de Revient]]*Devis[[#This Row],[Poste 1]]</f>
        <v>0</v>
      </c>
      <c r="W561" s="74">
        <f>Devis[[#This Row],[Prix de Revient]]*Devis[[#This Row],[Poste 2]]</f>
        <v>0</v>
      </c>
      <c r="X561" s="74">
        <f>Devis[[#This Row],[Prix de Revient]]*Devis[[#This Row],[Poste 3]]</f>
        <v>0</v>
      </c>
      <c r="Y561" s="74">
        <f>Devis[[#This Row],[Poste 4]]*Devis[[#This Row],[Prix de Revient]]</f>
        <v>0</v>
      </c>
      <c r="Z561" s="74">
        <f>Devis[[#This Row],[Poste 5]]*Devis[[#This Row],[Prix de Revient]]</f>
        <v>0</v>
      </c>
      <c r="AA561" s="74">
        <f>Devis[[#This Row],[Prix de Revient]]*Devis[[#This Row],[Poste 6]]</f>
        <v>0</v>
      </c>
      <c r="AB561" s="74">
        <f>Devis[[#This Row],[Quantité Totale]]*Devis[[#This Row],[Prix de Revient]]</f>
        <v>0</v>
      </c>
    </row>
    <row r="562" spans="1:28" ht="14.25" outlineLevel="1" x14ac:dyDescent="0.2">
      <c r="A562" s="75" t="s">
        <v>326</v>
      </c>
      <c r="B562" s="76" t="s">
        <v>4750</v>
      </c>
      <c r="C562" s="75" t="s">
        <v>3934</v>
      </c>
      <c r="D562" s="81" t="str">
        <f t="shared" si="10"/>
        <v>CuveEquipements de cuvePauchard</v>
      </c>
      <c r="E562" s="75" t="s">
        <v>4813</v>
      </c>
      <c r="F562" s="81">
        <v>40</v>
      </c>
      <c r="G562" s="71" t="s">
        <v>3897</v>
      </c>
      <c r="H562" s="71" t="s">
        <v>3934</v>
      </c>
      <c r="I562" s="71"/>
      <c r="J562" s="70">
        <f>IFERROR(VLOOKUP(Devis[[#This Row],[Ref Air Flux]],#REF!,3,FALSE),0)</f>
        <v>0</v>
      </c>
      <c r="K562" s="68"/>
      <c r="L562" s="68"/>
      <c r="M562" s="68"/>
      <c r="N562" s="68"/>
      <c r="O562" s="68"/>
      <c r="P562" s="68"/>
      <c r="Q562" s="68">
        <f>SUM(Devis[[#This Row],[Poste 1]:[Poste 6]])</f>
        <v>0</v>
      </c>
      <c r="R562" s="71"/>
      <c r="S562" s="68">
        <f>_xlfn.CEILING.MATH(Devis[[#This Row],[Quantité Totale]],Devis[[#This Row],[Conditionnement]])</f>
        <v>0</v>
      </c>
      <c r="T562" s="72"/>
      <c r="U562" s="73"/>
      <c r="V562" s="74">
        <f>Devis[[#This Row],[Prix de Revient]]*Devis[[#This Row],[Poste 1]]</f>
        <v>0</v>
      </c>
      <c r="W562" s="74">
        <f>Devis[[#This Row],[Prix de Revient]]*Devis[[#This Row],[Poste 2]]</f>
        <v>0</v>
      </c>
      <c r="X562" s="74">
        <f>Devis[[#This Row],[Prix de Revient]]*Devis[[#This Row],[Poste 3]]</f>
        <v>0</v>
      </c>
      <c r="Y562" s="74">
        <f>Devis[[#This Row],[Poste 4]]*Devis[[#This Row],[Prix de Revient]]</f>
        <v>0</v>
      </c>
      <c r="Z562" s="74">
        <f>Devis[[#This Row],[Poste 5]]*Devis[[#This Row],[Prix de Revient]]</f>
        <v>0</v>
      </c>
      <c r="AA562" s="74">
        <f>Devis[[#This Row],[Prix de Revient]]*Devis[[#This Row],[Poste 6]]</f>
        <v>0</v>
      </c>
      <c r="AB562" s="74">
        <f>Devis[[#This Row],[Quantité Totale]]*Devis[[#This Row],[Prix de Revient]]</f>
        <v>0</v>
      </c>
    </row>
    <row r="563" spans="1:28" ht="14.25" outlineLevel="1" x14ac:dyDescent="0.2">
      <c r="A563" s="75" t="s">
        <v>326</v>
      </c>
      <c r="B563" s="76" t="s">
        <v>4750</v>
      </c>
      <c r="C563" s="75" t="s">
        <v>3934</v>
      </c>
      <c r="D563" s="81" t="str">
        <f t="shared" si="10"/>
        <v>CuveEquipements de cuvePauchard</v>
      </c>
      <c r="E563" s="75" t="s">
        <v>4814</v>
      </c>
      <c r="F563" s="81">
        <v>41</v>
      </c>
      <c r="G563" s="71" t="s">
        <v>3898</v>
      </c>
      <c r="H563" s="71" t="s">
        <v>3934</v>
      </c>
      <c r="I563" s="71"/>
      <c r="J563" s="70">
        <f>IFERROR(VLOOKUP(Devis[[#This Row],[Ref Air Flux]],#REF!,3,FALSE),0)</f>
        <v>0</v>
      </c>
      <c r="K563" s="68"/>
      <c r="L563" s="68"/>
      <c r="M563" s="68"/>
      <c r="N563" s="68"/>
      <c r="O563" s="68"/>
      <c r="P563" s="68"/>
      <c r="Q563" s="68">
        <f>SUM(Devis[[#This Row],[Poste 1]:[Poste 6]])</f>
        <v>0</v>
      </c>
      <c r="R563" s="71"/>
      <c r="S563" s="68">
        <f>_xlfn.CEILING.MATH(Devis[[#This Row],[Quantité Totale]],Devis[[#This Row],[Conditionnement]])</f>
        <v>0</v>
      </c>
      <c r="T563" s="72"/>
      <c r="U563" s="73"/>
      <c r="V563" s="74">
        <f>Devis[[#This Row],[Prix de Revient]]*Devis[[#This Row],[Poste 1]]</f>
        <v>0</v>
      </c>
      <c r="W563" s="74">
        <f>Devis[[#This Row],[Prix de Revient]]*Devis[[#This Row],[Poste 2]]</f>
        <v>0</v>
      </c>
      <c r="X563" s="74">
        <f>Devis[[#This Row],[Prix de Revient]]*Devis[[#This Row],[Poste 3]]</f>
        <v>0</v>
      </c>
      <c r="Y563" s="74">
        <f>Devis[[#This Row],[Poste 4]]*Devis[[#This Row],[Prix de Revient]]</f>
        <v>0</v>
      </c>
      <c r="Z563" s="74">
        <f>Devis[[#This Row],[Poste 5]]*Devis[[#This Row],[Prix de Revient]]</f>
        <v>0</v>
      </c>
      <c r="AA563" s="74">
        <f>Devis[[#This Row],[Prix de Revient]]*Devis[[#This Row],[Poste 6]]</f>
        <v>0</v>
      </c>
      <c r="AB563" s="74">
        <f>Devis[[#This Row],[Quantité Totale]]*Devis[[#This Row],[Prix de Revient]]</f>
        <v>0</v>
      </c>
    </row>
    <row r="564" spans="1:28" ht="14.25" outlineLevel="1" x14ac:dyDescent="0.2">
      <c r="A564" s="75" t="s">
        <v>326</v>
      </c>
      <c r="B564" s="76" t="s">
        <v>4750</v>
      </c>
      <c r="C564" s="75" t="s">
        <v>3934</v>
      </c>
      <c r="D564" s="81" t="str">
        <f t="shared" si="10"/>
        <v>CuveEquipements de cuvePauchard</v>
      </c>
      <c r="E564" s="75" t="s">
        <v>4815</v>
      </c>
      <c r="F564" s="81">
        <v>42</v>
      </c>
      <c r="G564" s="71" t="s">
        <v>3899</v>
      </c>
      <c r="H564" s="71" t="s">
        <v>3934</v>
      </c>
      <c r="I564" s="71"/>
      <c r="J564" s="70">
        <f>IFERROR(VLOOKUP(Devis[[#This Row],[Ref Air Flux]],#REF!,3,FALSE),0)</f>
        <v>0</v>
      </c>
      <c r="K564" s="68"/>
      <c r="L564" s="68"/>
      <c r="M564" s="68"/>
      <c r="N564" s="68"/>
      <c r="O564" s="68"/>
      <c r="P564" s="68"/>
      <c r="Q564" s="68">
        <f>SUM(Devis[[#This Row],[Poste 1]:[Poste 6]])</f>
        <v>0</v>
      </c>
      <c r="R564" s="71"/>
      <c r="S564" s="68">
        <f>_xlfn.CEILING.MATH(Devis[[#This Row],[Quantité Totale]],Devis[[#This Row],[Conditionnement]])</f>
        <v>0</v>
      </c>
      <c r="T564" s="72"/>
      <c r="U564" s="73"/>
      <c r="V564" s="74">
        <f>Devis[[#This Row],[Prix de Revient]]*Devis[[#This Row],[Poste 1]]</f>
        <v>0</v>
      </c>
      <c r="W564" s="74">
        <f>Devis[[#This Row],[Prix de Revient]]*Devis[[#This Row],[Poste 2]]</f>
        <v>0</v>
      </c>
      <c r="X564" s="74">
        <f>Devis[[#This Row],[Prix de Revient]]*Devis[[#This Row],[Poste 3]]</f>
        <v>0</v>
      </c>
      <c r="Y564" s="74">
        <f>Devis[[#This Row],[Poste 4]]*Devis[[#This Row],[Prix de Revient]]</f>
        <v>0</v>
      </c>
      <c r="Z564" s="74">
        <f>Devis[[#This Row],[Poste 5]]*Devis[[#This Row],[Prix de Revient]]</f>
        <v>0</v>
      </c>
      <c r="AA564" s="74">
        <f>Devis[[#This Row],[Prix de Revient]]*Devis[[#This Row],[Poste 6]]</f>
        <v>0</v>
      </c>
      <c r="AB564" s="74">
        <f>Devis[[#This Row],[Quantité Totale]]*Devis[[#This Row],[Prix de Revient]]</f>
        <v>0</v>
      </c>
    </row>
    <row r="565" spans="1:28" ht="14.25" outlineLevel="1" x14ac:dyDescent="0.2">
      <c r="A565" s="75" t="s">
        <v>326</v>
      </c>
      <c r="B565" s="76" t="s">
        <v>4750</v>
      </c>
      <c r="C565" s="75" t="s">
        <v>3934</v>
      </c>
      <c r="D565" s="81" t="str">
        <f t="shared" si="10"/>
        <v>CuveEquipements de cuvePauchard</v>
      </c>
      <c r="E565" s="75" t="s">
        <v>4752</v>
      </c>
      <c r="F565" s="81">
        <v>43</v>
      </c>
      <c r="G565" s="71" t="s">
        <v>3900</v>
      </c>
      <c r="H565" s="71" t="s">
        <v>3934</v>
      </c>
      <c r="I565" s="71"/>
      <c r="J565" s="70">
        <f>IFERROR(VLOOKUP(Devis[[#This Row],[Ref Air Flux]],#REF!,3,FALSE),0)</f>
        <v>0</v>
      </c>
      <c r="K565" s="68"/>
      <c r="L565" s="68"/>
      <c r="M565" s="68"/>
      <c r="N565" s="68"/>
      <c r="O565" s="68"/>
      <c r="P565" s="68"/>
      <c r="Q565" s="68">
        <f>SUM(Devis[[#This Row],[Poste 1]:[Poste 6]])</f>
        <v>0</v>
      </c>
      <c r="R565" s="71"/>
      <c r="S565" s="68">
        <f>_xlfn.CEILING.MATH(Devis[[#This Row],[Quantité Totale]],Devis[[#This Row],[Conditionnement]])</f>
        <v>0</v>
      </c>
      <c r="T565" s="72"/>
      <c r="U565" s="73"/>
      <c r="V565" s="74">
        <f>Devis[[#This Row],[Prix de Revient]]*Devis[[#This Row],[Poste 1]]</f>
        <v>0</v>
      </c>
      <c r="W565" s="74">
        <f>Devis[[#This Row],[Prix de Revient]]*Devis[[#This Row],[Poste 2]]</f>
        <v>0</v>
      </c>
      <c r="X565" s="74">
        <f>Devis[[#This Row],[Prix de Revient]]*Devis[[#This Row],[Poste 3]]</f>
        <v>0</v>
      </c>
      <c r="Y565" s="74">
        <f>Devis[[#This Row],[Poste 4]]*Devis[[#This Row],[Prix de Revient]]</f>
        <v>0</v>
      </c>
      <c r="Z565" s="74">
        <f>Devis[[#This Row],[Poste 5]]*Devis[[#This Row],[Prix de Revient]]</f>
        <v>0</v>
      </c>
      <c r="AA565" s="74">
        <f>Devis[[#This Row],[Prix de Revient]]*Devis[[#This Row],[Poste 6]]</f>
        <v>0</v>
      </c>
      <c r="AB565" s="74">
        <f>Devis[[#This Row],[Quantité Totale]]*Devis[[#This Row],[Prix de Revient]]</f>
        <v>0</v>
      </c>
    </row>
    <row r="566" spans="1:28" ht="14.25" outlineLevel="1" x14ac:dyDescent="0.2">
      <c r="A566" s="75" t="s">
        <v>326</v>
      </c>
      <c r="B566" s="76" t="s">
        <v>4750</v>
      </c>
      <c r="C566" s="75" t="s">
        <v>3934</v>
      </c>
      <c r="D566" s="81" t="str">
        <f t="shared" si="10"/>
        <v>CuveEquipements de cuvePauchard</v>
      </c>
      <c r="E566" s="75" t="s">
        <v>4753</v>
      </c>
      <c r="F566" s="81">
        <v>44</v>
      </c>
      <c r="G566" s="71" t="s">
        <v>3901</v>
      </c>
      <c r="H566" s="71" t="s">
        <v>3934</v>
      </c>
      <c r="I566" s="71"/>
      <c r="J566" s="70">
        <f>IFERROR(VLOOKUP(Devis[[#This Row],[Ref Air Flux]],#REF!,3,FALSE),0)</f>
        <v>0</v>
      </c>
      <c r="K566" s="68"/>
      <c r="L566" s="68"/>
      <c r="M566" s="68"/>
      <c r="N566" s="68"/>
      <c r="O566" s="68"/>
      <c r="P566" s="68"/>
      <c r="Q566" s="68">
        <f>SUM(Devis[[#This Row],[Poste 1]:[Poste 6]])</f>
        <v>0</v>
      </c>
      <c r="R566" s="71"/>
      <c r="S566" s="68">
        <f>_xlfn.CEILING.MATH(Devis[[#This Row],[Quantité Totale]],Devis[[#This Row],[Conditionnement]])</f>
        <v>0</v>
      </c>
      <c r="T566" s="72"/>
      <c r="U566" s="73"/>
      <c r="V566" s="74">
        <f>Devis[[#This Row],[Prix de Revient]]*Devis[[#This Row],[Poste 1]]</f>
        <v>0</v>
      </c>
      <c r="W566" s="74">
        <f>Devis[[#This Row],[Prix de Revient]]*Devis[[#This Row],[Poste 2]]</f>
        <v>0</v>
      </c>
      <c r="X566" s="74">
        <f>Devis[[#This Row],[Prix de Revient]]*Devis[[#This Row],[Poste 3]]</f>
        <v>0</v>
      </c>
      <c r="Y566" s="74">
        <f>Devis[[#This Row],[Poste 4]]*Devis[[#This Row],[Prix de Revient]]</f>
        <v>0</v>
      </c>
      <c r="Z566" s="74">
        <f>Devis[[#This Row],[Poste 5]]*Devis[[#This Row],[Prix de Revient]]</f>
        <v>0</v>
      </c>
      <c r="AA566" s="74">
        <f>Devis[[#This Row],[Prix de Revient]]*Devis[[#This Row],[Poste 6]]</f>
        <v>0</v>
      </c>
      <c r="AB566" s="74">
        <f>Devis[[#This Row],[Quantité Totale]]*Devis[[#This Row],[Prix de Revient]]</f>
        <v>0</v>
      </c>
    </row>
    <row r="567" spans="1:28" ht="14.25" outlineLevel="1" x14ac:dyDescent="0.2">
      <c r="A567" s="75" t="s">
        <v>326</v>
      </c>
      <c r="B567" s="76" t="s">
        <v>4750</v>
      </c>
      <c r="C567" s="75" t="s">
        <v>3934</v>
      </c>
      <c r="D567" s="81" t="str">
        <f t="shared" si="10"/>
        <v>CuveEquipements de cuvePauchard</v>
      </c>
      <c r="E567" s="75" t="s">
        <v>4816</v>
      </c>
      <c r="F567" s="81">
        <v>45</v>
      </c>
      <c r="G567" s="71" t="s">
        <v>3902</v>
      </c>
      <c r="H567" s="71" t="s">
        <v>3934</v>
      </c>
      <c r="I567" s="71"/>
      <c r="J567" s="70">
        <f>IFERROR(VLOOKUP(Devis[[#This Row],[Ref Air Flux]],#REF!,3,FALSE),0)</f>
        <v>0</v>
      </c>
      <c r="K567" s="68"/>
      <c r="L567" s="68"/>
      <c r="M567" s="68"/>
      <c r="N567" s="68"/>
      <c r="O567" s="68"/>
      <c r="P567" s="68"/>
      <c r="Q567" s="68">
        <f>SUM(Devis[[#This Row],[Poste 1]:[Poste 6]])</f>
        <v>0</v>
      </c>
      <c r="R567" s="71"/>
      <c r="S567" s="68">
        <f>_xlfn.CEILING.MATH(Devis[[#This Row],[Quantité Totale]],Devis[[#This Row],[Conditionnement]])</f>
        <v>0</v>
      </c>
      <c r="T567" s="72"/>
      <c r="U567" s="73"/>
      <c r="V567" s="74">
        <f>Devis[[#This Row],[Prix de Revient]]*Devis[[#This Row],[Poste 1]]</f>
        <v>0</v>
      </c>
      <c r="W567" s="74">
        <f>Devis[[#This Row],[Prix de Revient]]*Devis[[#This Row],[Poste 2]]</f>
        <v>0</v>
      </c>
      <c r="X567" s="74">
        <f>Devis[[#This Row],[Prix de Revient]]*Devis[[#This Row],[Poste 3]]</f>
        <v>0</v>
      </c>
      <c r="Y567" s="74">
        <f>Devis[[#This Row],[Poste 4]]*Devis[[#This Row],[Prix de Revient]]</f>
        <v>0</v>
      </c>
      <c r="Z567" s="74">
        <f>Devis[[#This Row],[Poste 5]]*Devis[[#This Row],[Prix de Revient]]</f>
        <v>0</v>
      </c>
      <c r="AA567" s="74">
        <f>Devis[[#This Row],[Prix de Revient]]*Devis[[#This Row],[Poste 6]]</f>
        <v>0</v>
      </c>
      <c r="AB567" s="74">
        <f>Devis[[#This Row],[Quantité Totale]]*Devis[[#This Row],[Prix de Revient]]</f>
        <v>0</v>
      </c>
    </row>
    <row r="568" spans="1:28" ht="14.25" outlineLevel="1" x14ac:dyDescent="0.2">
      <c r="A568" s="75" t="s">
        <v>326</v>
      </c>
      <c r="B568" s="76" t="s">
        <v>4750</v>
      </c>
      <c r="C568" s="75" t="s">
        <v>3934</v>
      </c>
      <c r="D568" s="81" t="str">
        <f t="shared" si="10"/>
        <v>CuveEquipements de cuvePauchard</v>
      </c>
      <c r="E568" s="75" t="s">
        <v>4754</v>
      </c>
      <c r="F568" s="81">
        <v>46</v>
      </c>
      <c r="G568" s="71" t="s">
        <v>3903</v>
      </c>
      <c r="H568" s="71" t="s">
        <v>3934</v>
      </c>
      <c r="I568" s="71"/>
      <c r="J568" s="70">
        <f>IFERROR(VLOOKUP(Devis[[#This Row],[Ref Air Flux]],#REF!,3,FALSE),0)</f>
        <v>0</v>
      </c>
      <c r="K568" s="68"/>
      <c r="L568" s="68"/>
      <c r="M568" s="68"/>
      <c r="N568" s="68"/>
      <c r="O568" s="68"/>
      <c r="P568" s="68"/>
      <c r="Q568" s="68">
        <f>SUM(Devis[[#This Row],[Poste 1]:[Poste 6]])</f>
        <v>0</v>
      </c>
      <c r="R568" s="71"/>
      <c r="S568" s="68">
        <f>_xlfn.CEILING.MATH(Devis[[#This Row],[Quantité Totale]],Devis[[#This Row],[Conditionnement]])</f>
        <v>0</v>
      </c>
      <c r="T568" s="72"/>
      <c r="U568" s="73"/>
      <c r="V568" s="74">
        <f>Devis[[#This Row],[Prix de Revient]]*Devis[[#This Row],[Poste 1]]</f>
        <v>0</v>
      </c>
      <c r="W568" s="74">
        <f>Devis[[#This Row],[Prix de Revient]]*Devis[[#This Row],[Poste 2]]</f>
        <v>0</v>
      </c>
      <c r="X568" s="74">
        <f>Devis[[#This Row],[Prix de Revient]]*Devis[[#This Row],[Poste 3]]</f>
        <v>0</v>
      </c>
      <c r="Y568" s="74">
        <f>Devis[[#This Row],[Poste 4]]*Devis[[#This Row],[Prix de Revient]]</f>
        <v>0</v>
      </c>
      <c r="Z568" s="74">
        <f>Devis[[#This Row],[Poste 5]]*Devis[[#This Row],[Prix de Revient]]</f>
        <v>0</v>
      </c>
      <c r="AA568" s="74">
        <f>Devis[[#This Row],[Prix de Revient]]*Devis[[#This Row],[Poste 6]]</f>
        <v>0</v>
      </c>
      <c r="AB568" s="74">
        <f>Devis[[#This Row],[Quantité Totale]]*Devis[[#This Row],[Prix de Revient]]</f>
        <v>0</v>
      </c>
    </row>
    <row r="569" spans="1:28" ht="15" customHeight="1" outlineLevel="1" x14ac:dyDescent="0.2">
      <c r="A569" s="75" t="s">
        <v>326</v>
      </c>
      <c r="B569" s="76" t="s">
        <v>4750</v>
      </c>
      <c r="C569" s="75" t="s">
        <v>3934</v>
      </c>
      <c r="D569" s="81" t="str">
        <f t="shared" si="10"/>
        <v>CuveEquipements de cuvePauchard</v>
      </c>
      <c r="E569" s="75" t="s">
        <v>4765</v>
      </c>
      <c r="F569" s="81">
        <v>47</v>
      </c>
      <c r="G569" s="71" t="s">
        <v>3904</v>
      </c>
      <c r="H569" s="71" t="s">
        <v>3934</v>
      </c>
      <c r="I569" s="71"/>
      <c r="J569" s="70">
        <f>IFERROR(VLOOKUP(Devis[[#This Row],[Ref Air Flux]],#REF!,3,FALSE),0)</f>
        <v>0</v>
      </c>
      <c r="K569" s="68"/>
      <c r="L569" s="68"/>
      <c r="M569" s="68"/>
      <c r="N569" s="68"/>
      <c r="O569" s="68"/>
      <c r="P569" s="68"/>
      <c r="Q569" s="68">
        <f>SUM(Devis[[#This Row],[Poste 1]:[Poste 6]])</f>
        <v>0</v>
      </c>
      <c r="R569" s="71"/>
      <c r="S569" s="68">
        <f>_xlfn.CEILING.MATH(Devis[[#This Row],[Quantité Totale]],Devis[[#This Row],[Conditionnement]])</f>
        <v>0</v>
      </c>
      <c r="T569" s="72"/>
      <c r="U569" s="73"/>
      <c r="V569" s="74">
        <f>Devis[[#This Row],[Prix de Revient]]*Devis[[#This Row],[Poste 1]]</f>
        <v>0</v>
      </c>
      <c r="W569" s="74">
        <f>Devis[[#This Row],[Prix de Revient]]*Devis[[#This Row],[Poste 2]]</f>
        <v>0</v>
      </c>
      <c r="X569" s="74">
        <f>Devis[[#This Row],[Prix de Revient]]*Devis[[#This Row],[Poste 3]]</f>
        <v>0</v>
      </c>
      <c r="Y569" s="74">
        <f>Devis[[#This Row],[Poste 4]]*Devis[[#This Row],[Prix de Revient]]</f>
        <v>0</v>
      </c>
      <c r="Z569" s="74">
        <f>Devis[[#This Row],[Poste 5]]*Devis[[#This Row],[Prix de Revient]]</f>
        <v>0</v>
      </c>
      <c r="AA569" s="74">
        <f>Devis[[#This Row],[Prix de Revient]]*Devis[[#This Row],[Poste 6]]</f>
        <v>0</v>
      </c>
      <c r="AB569" s="74">
        <f>Devis[[#This Row],[Quantité Totale]]*Devis[[#This Row],[Prix de Revient]]</f>
        <v>0</v>
      </c>
    </row>
    <row r="570" spans="1:28" ht="14.25" outlineLevel="1" x14ac:dyDescent="0.2">
      <c r="A570" s="75" t="s">
        <v>326</v>
      </c>
      <c r="B570" s="76" t="s">
        <v>4750</v>
      </c>
      <c r="C570" s="75" t="s">
        <v>3934</v>
      </c>
      <c r="D570" s="81" t="str">
        <f t="shared" si="10"/>
        <v>CuveEquipements de cuvePauchard</v>
      </c>
      <c r="E570" s="75" t="s">
        <v>4817</v>
      </c>
      <c r="F570" s="81">
        <v>48</v>
      </c>
      <c r="G570" s="71" t="s">
        <v>3907</v>
      </c>
      <c r="H570" s="71" t="s">
        <v>3934</v>
      </c>
      <c r="I570" s="71"/>
      <c r="J570" s="70">
        <f>IFERROR(VLOOKUP(Devis[[#This Row],[Ref Air Flux]],#REF!,3,FALSE),0)</f>
        <v>0</v>
      </c>
      <c r="K570" s="68"/>
      <c r="L570" s="68"/>
      <c r="M570" s="68"/>
      <c r="N570" s="68"/>
      <c r="O570" s="68"/>
      <c r="P570" s="68"/>
      <c r="Q570" s="68">
        <f>SUM(Devis[[#This Row],[Poste 1]:[Poste 6]])</f>
        <v>0</v>
      </c>
      <c r="R570" s="71"/>
      <c r="S570" s="68">
        <f>_xlfn.CEILING.MATH(Devis[[#This Row],[Quantité Totale]],Devis[[#This Row],[Conditionnement]])</f>
        <v>0</v>
      </c>
      <c r="T570" s="72"/>
      <c r="U570" s="73"/>
      <c r="V570" s="74">
        <f>Devis[[#This Row],[Prix de Revient]]*Devis[[#This Row],[Poste 1]]</f>
        <v>0</v>
      </c>
      <c r="W570" s="74">
        <f>Devis[[#This Row],[Prix de Revient]]*Devis[[#This Row],[Poste 2]]</f>
        <v>0</v>
      </c>
      <c r="X570" s="74">
        <f>Devis[[#This Row],[Prix de Revient]]*Devis[[#This Row],[Poste 3]]</f>
        <v>0</v>
      </c>
      <c r="Y570" s="74">
        <f>Devis[[#This Row],[Poste 4]]*Devis[[#This Row],[Prix de Revient]]</f>
        <v>0</v>
      </c>
      <c r="Z570" s="74">
        <f>Devis[[#This Row],[Poste 5]]*Devis[[#This Row],[Prix de Revient]]</f>
        <v>0</v>
      </c>
      <c r="AA570" s="74">
        <f>Devis[[#This Row],[Prix de Revient]]*Devis[[#This Row],[Poste 6]]</f>
        <v>0</v>
      </c>
      <c r="AB570" s="74">
        <f>Devis[[#This Row],[Quantité Totale]]*Devis[[#This Row],[Prix de Revient]]</f>
        <v>0</v>
      </c>
    </row>
    <row r="571" spans="1:28" ht="14.25" outlineLevel="1" x14ac:dyDescent="0.2">
      <c r="A571" s="75" t="s">
        <v>326</v>
      </c>
      <c r="B571" s="76" t="s">
        <v>4750</v>
      </c>
      <c r="C571" s="75" t="s">
        <v>3934</v>
      </c>
      <c r="D571" s="81" t="str">
        <f t="shared" si="10"/>
        <v>CuveEquipements de cuvePauchard</v>
      </c>
      <c r="E571" s="75" t="s">
        <v>4818</v>
      </c>
      <c r="F571" s="81">
        <v>49</v>
      </c>
      <c r="G571" s="71" t="s">
        <v>3908</v>
      </c>
      <c r="H571" s="71" t="s">
        <v>3934</v>
      </c>
      <c r="I571" s="71"/>
      <c r="J571" s="70">
        <f>IFERROR(VLOOKUP(Devis[[#This Row],[Ref Air Flux]],#REF!,3,FALSE),0)</f>
        <v>0</v>
      </c>
      <c r="K571" s="68"/>
      <c r="L571" s="68"/>
      <c r="M571" s="68"/>
      <c r="N571" s="68"/>
      <c r="O571" s="68"/>
      <c r="P571" s="68"/>
      <c r="Q571" s="68">
        <f>SUM(Devis[[#This Row],[Poste 1]:[Poste 6]])</f>
        <v>0</v>
      </c>
      <c r="R571" s="71"/>
      <c r="S571" s="68">
        <f>_xlfn.CEILING.MATH(Devis[[#This Row],[Quantité Totale]],Devis[[#This Row],[Conditionnement]])</f>
        <v>0</v>
      </c>
      <c r="T571" s="72"/>
      <c r="U571" s="73"/>
      <c r="V571" s="74">
        <f>Devis[[#This Row],[Prix de Revient]]*Devis[[#This Row],[Poste 1]]</f>
        <v>0</v>
      </c>
      <c r="W571" s="74">
        <f>Devis[[#This Row],[Prix de Revient]]*Devis[[#This Row],[Poste 2]]</f>
        <v>0</v>
      </c>
      <c r="X571" s="74">
        <f>Devis[[#This Row],[Prix de Revient]]*Devis[[#This Row],[Poste 3]]</f>
        <v>0</v>
      </c>
      <c r="Y571" s="74">
        <f>Devis[[#This Row],[Poste 4]]*Devis[[#This Row],[Prix de Revient]]</f>
        <v>0</v>
      </c>
      <c r="Z571" s="74">
        <f>Devis[[#This Row],[Poste 5]]*Devis[[#This Row],[Prix de Revient]]</f>
        <v>0</v>
      </c>
      <c r="AA571" s="74">
        <f>Devis[[#This Row],[Prix de Revient]]*Devis[[#This Row],[Poste 6]]</f>
        <v>0</v>
      </c>
      <c r="AB571" s="74">
        <f>Devis[[#This Row],[Quantité Totale]]*Devis[[#This Row],[Prix de Revient]]</f>
        <v>0</v>
      </c>
    </row>
    <row r="572" spans="1:28" ht="14.25" outlineLevel="1" x14ac:dyDescent="0.2">
      <c r="A572" s="75" t="s">
        <v>326</v>
      </c>
      <c r="B572" s="76" t="s">
        <v>4750</v>
      </c>
      <c r="C572" s="95" t="s">
        <v>3934</v>
      </c>
      <c r="D572" s="81" t="str">
        <f t="shared" si="10"/>
        <v>CuveEquipements de cuvePauchard</v>
      </c>
      <c r="E572" s="75" t="s">
        <v>4767</v>
      </c>
      <c r="F572" s="81">
        <v>50</v>
      </c>
      <c r="G572" s="71" t="s">
        <v>333</v>
      </c>
      <c r="H572" s="79" t="s">
        <v>3934</v>
      </c>
      <c r="I572" s="71"/>
      <c r="J572" s="70">
        <f>IFERROR(VLOOKUP(Devis[[#This Row],[Ref Air Flux]],#REF!,3,FALSE),0)</f>
        <v>0</v>
      </c>
      <c r="K572" s="68"/>
      <c r="L572" s="68"/>
      <c r="M572" s="68"/>
      <c r="N572" s="68"/>
      <c r="O572" s="68"/>
      <c r="P572" s="68"/>
      <c r="Q572" s="68">
        <f>SUM(Devis[[#This Row],[Poste 1]:[Poste 6]])</f>
        <v>0</v>
      </c>
      <c r="R572" s="71"/>
      <c r="S572" s="68">
        <f>_xlfn.CEILING.MATH(Devis[[#This Row],[Quantité Totale]],Devis[[#This Row],[Conditionnement]])</f>
        <v>0</v>
      </c>
      <c r="T572" s="72"/>
      <c r="U572" s="73"/>
      <c r="V572" s="74">
        <f>Devis[[#This Row],[Prix de Revient]]*Devis[[#This Row],[Poste 1]]</f>
        <v>0</v>
      </c>
      <c r="W572" s="74">
        <f>Devis[[#This Row],[Prix de Revient]]*Devis[[#This Row],[Poste 2]]</f>
        <v>0</v>
      </c>
      <c r="X572" s="74">
        <f>Devis[[#This Row],[Prix de Revient]]*Devis[[#This Row],[Poste 3]]</f>
        <v>0</v>
      </c>
      <c r="Y572" s="74">
        <f>Devis[[#This Row],[Poste 4]]*Devis[[#This Row],[Prix de Revient]]</f>
        <v>0</v>
      </c>
      <c r="Z572" s="74">
        <f>Devis[[#This Row],[Poste 5]]*Devis[[#This Row],[Prix de Revient]]</f>
        <v>0</v>
      </c>
      <c r="AA572" s="74">
        <f>Devis[[#This Row],[Prix de Revient]]*Devis[[#This Row],[Poste 6]]</f>
        <v>0</v>
      </c>
      <c r="AB572" s="74">
        <f>Devis[[#This Row],[Quantité Totale]]*Devis[[#This Row],[Prix de Revient]]</f>
        <v>0</v>
      </c>
    </row>
    <row r="573" spans="1:28" ht="14.25" outlineLevel="1" x14ac:dyDescent="0.2">
      <c r="A573" s="75" t="s">
        <v>326</v>
      </c>
      <c r="B573" s="76" t="s">
        <v>4750</v>
      </c>
      <c r="C573" s="75" t="s">
        <v>3934</v>
      </c>
      <c r="D573" s="81" t="str">
        <f t="shared" si="10"/>
        <v>CuveEquipements de cuvePauchard</v>
      </c>
      <c r="E573" s="75" t="s">
        <v>4756</v>
      </c>
      <c r="F573" s="81">
        <v>51</v>
      </c>
      <c r="G573" s="71" t="s">
        <v>3910</v>
      </c>
      <c r="H573" s="71" t="s">
        <v>3934</v>
      </c>
      <c r="I573" s="71"/>
      <c r="J573" s="70">
        <f>IFERROR(VLOOKUP(Devis[[#This Row],[Ref Air Flux]],#REF!,3,FALSE),0)</f>
        <v>0</v>
      </c>
      <c r="K573" s="68"/>
      <c r="L573" s="68"/>
      <c r="M573" s="68"/>
      <c r="N573" s="68"/>
      <c r="O573" s="68"/>
      <c r="P573" s="68"/>
      <c r="Q573" s="68">
        <f>SUM(Devis[[#This Row],[Poste 1]:[Poste 6]])</f>
        <v>0</v>
      </c>
      <c r="R573" s="71"/>
      <c r="S573" s="68">
        <f>_xlfn.CEILING.MATH(Devis[[#This Row],[Quantité Totale]],Devis[[#This Row],[Conditionnement]])</f>
        <v>0</v>
      </c>
      <c r="T573" s="72"/>
      <c r="U573" s="73"/>
      <c r="V573" s="74">
        <f>Devis[[#This Row],[Prix de Revient]]*Devis[[#This Row],[Poste 1]]</f>
        <v>0</v>
      </c>
      <c r="W573" s="74">
        <f>Devis[[#This Row],[Prix de Revient]]*Devis[[#This Row],[Poste 2]]</f>
        <v>0</v>
      </c>
      <c r="X573" s="74">
        <f>Devis[[#This Row],[Prix de Revient]]*Devis[[#This Row],[Poste 3]]</f>
        <v>0</v>
      </c>
      <c r="Y573" s="74">
        <f>Devis[[#This Row],[Poste 4]]*Devis[[#This Row],[Prix de Revient]]</f>
        <v>0</v>
      </c>
      <c r="Z573" s="74">
        <f>Devis[[#This Row],[Poste 5]]*Devis[[#This Row],[Prix de Revient]]</f>
        <v>0</v>
      </c>
      <c r="AA573" s="74">
        <f>Devis[[#This Row],[Prix de Revient]]*Devis[[#This Row],[Poste 6]]</f>
        <v>0</v>
      </c>
      <c r="AB573" s="74">
        <f>Devis[[#This Row],[Quantité Totale]]*Devis[[#This Row],[Prix de Revient]]</f>
        <v>0</v>
      </c>
    </row>
    <row r="574" spans="1:28" ht="14.25" outlineLevel="1" x14ac:dyDescent="0.2">
      <c r="A574" s="75" t="s">
        <v>326</v>
      </c>
      <c r="B574" s="76" t="s">
        <v>4750</v>
      </c>
      <c r="C574" s="75" t="s">
        <v>3934</v>
      </c>
      <c r="D574" s="81" t="str">
        <f t="shared" si="10"/>
        <v>CuveEquipements de cuvePauchard</v>
      </c>
      <c r="E574" s="75" t="s">
        <v>4819</v>
      </c>
      <c r="F574" s="81">
        <v>52</v>
      </c>
      <c r="G574" s="71" t="s">
        <v>3911</v>
      </c>
      <c r="H574" s="71" t="s">
        <v>3934</v>
      </c>
      <c r="I574" s="71"/>
      <c r="J574" s="70">
        <f>IFERROR(VLOOKUP(Devis[[#This Row],[Ref Air Flux]],#REF!,3,FALSE),0)</f>
        <v>0</v>
      </c>
      <c r="K574" s="68"/>
      <c r="L574" s="68"/>
      <c r="M574" s="68"/>
      <c r="N574" s="68"/>
      <c r="O574" s="68"/>
      <c r="P574" s="68"/>
      <c r="Q574" s="68">
        <f>SUM(Devis[[#This Row],[Poste 1]:[Poste 6]])</f>
        <v>0</v>
      </c>
      <c r="R574" s="71"/>
      <c r="S574" s="68">
        <f>_xlfn.CEILING.MATH(Devis[[#This Row],[Quantité Totale]],Devis[[#This Row],[Conditionnement]])</f>
        <v>0</v>
      </c>
      <c r="T574" s="72"/>
      <c r="U574" s="73"/>
      <c r="V574" s="74">
        <f>Devis[[#This Row],[Prix de Revient]]*Devis[[#This Row],[Poste 1]]</f>
        <v>0</v>
      </c>
      <c r="W574" s="74">
        <f>Devis[[#This Row],[Prix de Revient]]*Devis[[#This Row],[Poste 2]]</f>
        <v>0</v>
      </c>
      <c r="X574" s="74">
        <f>Devis[[#This Row],[Prix de Revient]]*Devis[[#This Row],[Poste 3]]</f>
        <v>0</v>
      </c>
      <c r="Y574" s="74">
        <f>Devis[[#This Row],[Poste 4]]*Devis[[#This Row],[Prix de Revient]]</f>
        <v>0</v>
      </c>
      <c r="Z574" s="74">
        <f>Devis[[#This Row],[Poste 5]]*Devis[[#This Row],[Prix de Revient]]</f>
        <v>0</v>
      </c>
      <c r="AA574" s="74">
        <f>Devis[[#This Row],[Prix de Revient]]*Devis[[#This Row],[Poste 6]]</f>
        <v>0</v>
      </c>
      <c r="AB574" s="74">
        <f>Devis[[#This Row],[Quantité Totale]]*Devis[[#This Row],[Prix de Revient]]</f>
        <v>0</v>
      </c>
    </row>
    <row r="575" spans="1:28" ht="14.25" outlineLevel="1" x14ac:dyDescent="0.2">
      <c r="A575" s="75" t="s">
        <v>326</v>
      </c>
      <c r="B575" s="76" t="s">
        <v>4750</v>
      </c>
      <c r="C575" s="75" t="s">
        <v>3934</v>
      </c>
      <c r="D575" s="81" t="str">
        <f t="shared" si="10"/>
        <v>CuveEquipements de cuvePauchard</v>
      </c>
      <c r="E575" s="75" t="s">
        <v>4757</v>
      </c>
      <c r="F575" s="81">
        <v>53</v>
      </c>
      <c r="G575" s="71" t="s">
        <v>3912</v>
      </c>
      <c r="H575" s="71" t="s">
        <v>3934</v>
      </c>
      <c r="I575" s="71"/>
      <c r="J575" s="70">
        <f>IFERROR(VLOOKUP(Devis[[#This Row],[Ref Air Flux]],#REF!,3,FALSE),0)</f>
        <v>0</v>
      </c>
      <c r="K575" s="68"/>
      <c r="L575" s="68"/>
      <c r="M575" s="68"/>
      <c r="N575" s="68"/>
      <c r="O575" s="68"/>
      <c r="P575" s="68"/>
      <c r="Q575" s="68">
        <f>SUM(Devis[[#This Row],[Poste 1]:[Poste 6]])</f>
        <v>0</v>
      </c>
      <c r="R575" s="71"/>
      <c r="S575" s="68">
        <f>_xlfn.CEILING.MATH(Devis[[#This Row],[Quantité Totale]],Devis[[#This Row],[Conditionnement]])</f>
        <v>0</v>
      </c>
      <c r="T575" s="72"/>
      <c r="U575" s="73"/>
      <c r="V575" s="74">
        <f>Devis[[#This Row],[Prix de Revient]]*Devis[[#This Row],[Poste 1]]</f>
        <v>0</v>
      </c>
      <c r="W575" s="74">
        <f>Devis[[#This Row],[Prix de Revient]]*Devis[[#This Row],[Poste 2]]</f>
        <v>0</v>
      </c>
      <c r="X575" s="74">
        <f>Devis[[#This Row],[Prix de Revient]]*Devis[[#This Row],[Poste 3]]</f>
        <v>0</v>
      </c>
      <c r="Y575" s="74">
        <f>Devis[[#This Row],[Poste 4]]*Devis[[#This Row],[Prix de Revient]]</f>
        <v>0</v>
      </c>
      <c r="Z575" s="74">
        <f>Devis[[#This Row],[Poste 5]]*Devis[[#This Row],[Prix de Revient]]</f>
        <v>0</v>
      </c>
      <c r="AA575" s="74">
        <f>Devis[[#This Row],[Prix de Revient]]*Devis[[#This Row],[Poste 6]]</f>
        <v>0</v>
      </c>
      <c r="AB575" s="74">
        <f>Devis[[#This Row],[Quantité Totale]]*Devis[[#This Row],[Prix de Revient]]</f>
        <v>0</v>
      </c>
    </row>
    <row r="576" spans="1:28" ht="14.25" outlineLevel="1" x14ac:dyDescent="0.2">
      <c r="A576" s="75" t="s">
        <v>326</v>
      </c>
      <c r="B576" s="76" t="s">
        <v>4750</v>
      </c>
      <c r="C576" s="75" t="s">
        <v>3934</v>
      </c>
      <c r="D576" s="81" t="str">
        <f t="shared" si="10"/>
        <v>CuveEquipements de cuvePauchard</v>
      </c>
      <c r="E576" s="75" t="s">
        <v>4820</v>
      </c>
      <c r="F576" s="81">
        <v>54</v>
      </c>
      <c r="G576" s="71" t="s">
        <v>3913</v>
      </c>
      <c r="H576" s="71" t="s">
        <v>3934</v>
      </c>
      <c r="I576" s="71"/>
      <c r="J576" s="70">
        <f>IFERROR(VLOOKUP(Devis[[#This Row],[Ref Air Flux]],#REF!,3,FALSE),0)</f>
        <v>0</v>
      </c>
      <c r="K576" s="68"/>
      <c r="L576" s="68"/>
      <c r="M576" s="68"/>
      <c r="N576" s="68"/>
      <c r="O576" s="68"/>
      <c r="P576" s="68"/>
      <c r="Q576" s="68">
        <f>SUM(Devis[[#This Row],[Poste 1]:[Poste 6]])</f>
        <v>0</v>
      </c>
      <c r="R576" s="71"/>
      <c r="S576" s="68">
        <f>_xlfn.CEILING.MATH(Devis[[#This Row],[Quantité Totale]],Devis[[#This Row],[Conditionnement]])</f>
        <v>0</v>
      </c>
      <c r="T576" s="72"/>
      <c r="U576" s="73"/>
      <c r="V576" s="74">
        <f>Devis[[#This Row],[Prix de Revient]]*Devis[[#This Row],[Poste 1]]</f>
        <v>0</v>
      </c>
      <c r="W576" s="74">
        <f>Devis[[#This Row],[Prix de Revient]]*Devis[[#This Row],[Poste 2]]</f>
        <v>0</v>
      </c>
      <c r="X576" s="74">
        <f>Devis[[#This Row],[Prix de Revient]]*Devis[[#This Row],[Poste 3]]</f>
        <v>0</v>
      </c>
      <c r="Y576" s="74">
        <f>Devis[[#This Row],[Poste 4]]*Devis[[#This Row],[Prix de Revient]]</f>
        <v>0</v>
      </c>
      <c r="Z576" s="74">
        <f>Devis[[#This Row],[Poste 5]]*Devis[[#This Row],[Prix de Revient]]</f>
        <v>0</v>
      </c>
      <c r="AA576" s="74">
        <f>Devis[[#This Row],[Prix de Revient]]*Devis[[#This Row],[Poste 6]]</f>
        <v>0</v>
      </c>
      <c r="AB576" s="74">
        <f>Devis[[#This Row],[Quantité Totale]]*Devis[[#This Row],[Prix de Revient]]</f>
        <v>0</v>
      </c>
    </row>
    <row r="577" spans="1:28" ht="14.25" outlineLevel="1" x14ac:dyDescent="0.2">
      <c r="A577" s="75" t="s">
        <v>326</v>
      </c>
      <c r="B577" s="76" t="s">
        <v>4750</v>
      </c>
      <c r="C577" s="75" t="s">
        <v>3934</v>
      </c>
      <c r="D577" s="81" t="str">
        <f t="shared" si="10"/>
        <v>CuveEquipements de cuvePauchard</v>
      </c>
      <c r="E577" s="75" t="s">
        <v>4821</v>
      </c>
      <c r="F577" s="81">
        <v>55</v>
      </c>
      <c r="G577" s="71" t="s">
        <v>3916</v>
      </c>
      <c r="H577" s="71" t="s">
        <v>3934</v>
      </c>
      <c r="I577" s="71"/>
      <c r="J577" s="70">
        <f>IFERROR(VLOOKUP(Devis[[#This Row],[Ref Air Flux]],#REF!,3,FALSE),0)</f>
        <v>0</v>
      </c>
      <c r="K577" s="68"/>
      <c r="L577" s="68"/>
      <c r="M577" s="68"/>
      <c r="N577" s="68"/>
      <c r="O577" s="68"/>
      <c r="P577" s="68"/>
      <c r="Q577" s="68">
        <f>SUM(Devis[[#This Row],[Poste 1]:[Poste 6]])</f>
        <v>0</v>
      </c>
      <c r="R577" s="71"/>
      <c r="S577" s="68">
        <f>_xlfn.CEILING.MATH(Devis[[#This Row],[Quantité Totale]],Devis[[#This Row],[Conditionnement]])</f>
        <v>0</v>
      </c>
      <c r="T577" s="72"/>
      <c r="U577" s="73"/>
      <c r="V577" s="74">
        <f>Devis[[#This Row],[Prix de Revient]]*Devis[[#This Row],[Poste 1]]</f>
        <v>0</v>
      </c>
      <c r="W577" s="74">
        <f>Devis[[#This Row],[Prix de Revient]]*Devis[[#This Row],[Poste 2]]</f>
        <v>0</v>
      </c>
      <c r="X577" s="74">
        <f>Devis[[#This Row],[Prix de Revient]]*Devis[[#This Row],[Poste 3]]</f>
        <v>0</v>
      </c>
      <c r="Y577" s="74">
        <f>Devis[[#This Row],[Poste 4]]*Devis[[#This Row],[Prix de Revient]]</f>
        <v>0</v>
      </c>
      <c r="Z577" s="74">
        <f>Devis[[#This Row],[Poste 5]]*Devis[[#This Row],[Prix de Revient]]</f>
        <v>0</v>
      </c>
      <c r="AA577" s="74">
        <f>Devis[[#This Row],[Prix de Revient]]*Devis[[#This Row],[Poste 6]]</f>
        <v>0</v>
      </c>
      <c r="AB577" s="74">
        <f>Devis[[#This Row],[Quantité Totale]]*Devis[[#This Row],[Prix de Revient]]</f>
        <v>0</v>
      </c>
    </row>
    <row r="578" spans="1:28" ht="14.25" outlineLevel="1" x14ac:dyDescent="0.2">
      <c r="A578" s="75" t="s">
        <v>326</v>
      </c>
      <c r="B578" s="76" t="s">
        <v>4750</v>
      </c>
      <c r="C578" s="75" t="s">
        <v>3934</v>
      </c>
      <c r="D578" s="81" t="str">
        <f t="shared" si="10"/>
        <v>CuveEquipements de cuvePauchard</v>
      </c>
      <c r="E578" s="75" t="s">
        <v>4822</v>
      </c>
      <c r="F578" s="81">
        <v>56</v>
      </c>
      <c r="G578" s="71" t="s">
        <v>3914</v>
      </c>
      <c r="H578" s="71" t="s">
        <v>3934</v>
      </c>
      <c r="I578" s="71"/>
      <c r="J578" s="70">
        <f>IFERROR(VLOOKUP(Devis[[#This Row],[Ref Air Flux]],#REF!,3,FALSE),0)</f>
        <v>0</v>
      </c>
      <c r="K578" s="68"/>
      <c r="L578" s="68"/>
      <c r="M578" s="68"/>
      <c r="N578" s="68"/>
      <c r="O578" s="68"/>
      <c r="P578" s="68"/>
      <c r="Q578" s="68">
        <f>SUM(Devis[[#This Row],[Poste 1]:[Poste 6]])</f>
        <v>0</v>
      </c>
      <c r="R578" s="71"/>
      <c r="S578" s="68">
        <f>_xlfn.CEILING.MATH(Devis[[#This Row],[Quantité Totale]],Devis[[#This Row],[Conditionnement]])</f>
        <v>0</v>
      </c>
      <c r="T578" s="72"/>
      <c r="U578" s="73"/>
      <c r="V578" s="74">
        <f>Devis[[#This Row],[Prix de Revient]]*Devis[[#This Row],[Poste 1]]</f>
        <v>0</v>
      </c>
      <c r="W578" s="74">
        <f>Devis[[#This Row],[Prix de Revient]]*Devis[[#This Row],[Poste 2]]</f>
        <v>0</v>
      </c>
      <c r="X578" s="74">
        <f>Devis[[#This Row],[Prix de Revient]]*Devis[[#This Row],[Poste 3]]</f>
        <v>0</v>
      </c>
      <c r="Y578" s="74">
        <f>Devis[[#This Row],[Poste 4]]*Devis[[#This Row],[Prix de Revient]]</f>
        <v>0</v>
      </c>
      <c r="Z578" s="74">
        <f>Devis[[#This Row],[Poste 5]]*Devis[[#This Row],[Prix de Revient]]</f>
        <v>0</v>
      </c>
      <c r="AA578" s="74">
        <f>Devis[[#This Row],[Prix de Revient]]*Devis[[#This Row],[Poste 6]]</f>
        <v>0</v>
      </c>
      <c r="AB578" s="74">
        <f>Devis[[#This Row],[Quantité Totale]]*Devis[[#This Row],[Prix de Revient]]</f>
        <v>0</v>
      </c>
    </row>
    <row r="579" spans="1:28" ht="14.25" outlineLevel="1" x14ac:dyDescent="0.2">
      <c r="A579" s="75" t="s">
        <v>326</v>
      </c>
      <c r="B579" s="76" t="s">
        <v>4750</v>
      </c>
      <c r="C579" s="75" t="s">
        <v>3934</v>
      </c>
      <c r="D579" s="81" t="str">
        <f t="shared" si="10"/>
        <v>CuveEquipements de cuvePauchard</v>
      </c>
      <c r="E579" s="75" t="s">
        <v>4805</v>
      </c>
      <c r="F579" s="81">
        <v>57</v>
      </c>
      <c r="G579" s="71" t="s">
        <v>3915</v>
      </c>
      <c r="H579" s="71" t="s">
        <v>3934</v>
      </c>
      <c r="I579" s="71"/>
      <c r="J579" s="70">
        <f>IFERROR(VLOOKUP(Devis[[#This Row],[Ref Air Flux]],#REF!,3,FALSE),0)</f>
        <v>0</v>
      </c>
      <c r="K579" s="68"/>
      <c r="L579" s="68"/>
      <c r="M579" s="68"/>
      <c r="N579" s="68"/>
      <c r="O579" s="68"/>
      <c r="P579" s="68"/>
      <c r="Q579" s="68">
        <f>SUM(Devis[[#This Row],[Poste 1]:[Poste 6]])</f>
        <v>0</v>
      </c>
      <c r="R579" s="71"/>
      <c r="S579" s="68">
        <f>_xlfn.CEILING.MATH(Devis[[#This Row],[Quantité Totale]],Devis[[#This Row],[Conditionnement]])</f>
        <v>0</v>
      </c>
      <c r="T579" s="72"/>
      <c r="U579" s="73"/>
      <c r="V579" s="74">
        <f>Devis[[#This Row],[Prix de Revient]]*Devis[[#This Row],[Poste 1]]</f>
        <v>0</v>
      </c>
      <c r="W579" s="74">
        <f>Devis[[#This Row],[Prix de Revient]]*Devis[[#This Row],[Poste 2]]</f>
        <v>0</v>
      </c>
      <c r="X579" s="74">
        <f>Devis[[#This Row],[Prix de Revient]]*Devis[[#This Row],[Poste 3]]</f>
        <v>0</v>
      </c>
      <c r="Y579" s="74">
        <f>Devis[[#This Row],[Poste 4]]*Devis[[#This Row],[Prix de Revient]]</f>
        <v>0</v>
      </c>
      <c r="Z579" s="74">
        <f>Devis[[#This Row],[Poste 5]]*Devis[[#This Row],[Prix de Revient]]</f>
        <v>0</v>
      </c>
      <c r="AA579" s="74">
        <f>Devis[[#This Row],[Prix de Revient]]*Devis[[#This Row],[Poste 6]]</f>
        <v>0</v>
      </c>
      <c r="AB579" s="74">
        <f>Devis[[#This Row],[Quantité Totale]]*Devis[[#This Row],[Prix de Revient]]</f>
        <v>0</v>
      </c>
    </row>
    <row r="580" spans="1:28" ht="15" customHeight="1" outlineLevel="1" x14ac:dyDescent="0.2">
      <c r="A580" s="75" t="s">
        <v>326</v>
      </c>
      <c r="B580" s="76" t="s">
        <v>4750</v>
      </c>
      <c r="C580" s="75" t="s">
        <v>3934</v>
      </c>
      <c r="D580" s="81" t="str">
        <f t="shared" si="10"/>
        <v>CuveEquipements de cuvePauchard</v>
      </c>
      <c r="E580" s="75" t="s">
        <v>4769</v>
      </c>
      <c r="F580" s="81">
        <v>58</v>
      </c>
      <c r="G580" s="71" t="s">
        <v>3905</v>
      </c>
      <c r="H580" s="71" t="s">
        <v>3934</v>
      </c>
      <c r="I580" s="71"/>
      <c r="J580" s="70">
        <f>IFERROR(VLOOKUP(Devis[[#This Row],[Ref Air Flux]],#REF!,3,FALSE),0)</f>
        <v>0</v>
      </c>
      <c r="K580" s="68"/>
      <c r="L580" s="68"/>
      <c r="M580" s="68"/>
      <c r="N580" s="68"/>
      <c r="O580" s="68"/>
      <c r="P580" s="68"/>
      <c r="Q580" s="68">
        <f>SUM(Devis[[#This Row],[Poste 1]:[Poste 6]])</f>
        <v>0</v>
      </c>
      <c r="R580" s="71"/>
      <c r="S580" s="68">
        <f>_xlfn.CEILING.MATH(Devis[[#This Row],[Quantité Totale]],Devis[[#This Row],[Conditionnement]])</f>
        <v>0</v>
      </c>
      <c r="T580" s="72"/>
      <c r="U580" s="73"/>
      <c r="V580" s="74">
        <f>Devis[[#This Row],[Prix de Revient]]*Devis[[#This Row],[Poste 1]]</f>
        <v>0</v>
      </c>
      <c r="W580" s="74">
        <f>Devis[[#This Row],[Prix de Revient]]*Devis[[#This Row],[Poste 2]]</f>
        <v>0</v>
      </c>
      <c r="X580" s="74">
        <f>Devis[[#This Row],[Prix de Revient]]*Devis[[#This Row],[Poste 3]]</f>
        <v>0</v>
      </c>
      <c r="Y580" s="74">
        <f>Devis[[#This Row],[Poste 4]]*Devis[[#This Row],[Prix de Revient]]</f>
        <v>0</v>
      </c>
      <c r="Z580" s="74">
        <f>Devis[[#This Row],[Poste 5]]*Devis[[#This Row],[Prix de Revient]]</f>
        <v>0</v>
      </c>
      <c r="AA580" s="74">
        <f>Devis[[#This Row],[Prix de Revient]]*Devis[[#This Row],[Poste 6]]</f>
        <v>0</v>
      </c>
      <c r="AB580" s="74">
        <f>Devis[[#This Row],[Quantité Totale]]*Devis[[#This Row],[Prix de Revient]]</f>
        <v>0</v>
      </c>
    </row>
    <row r="581" spans="1:28" ht="14.25" outlineLevel="1" x14ac:dyDescent="0.2">
      <c r="A581" s="75" t="s">
        <v>326</v>
      </c>
      <c r="B581" s="76" t="s">
        <v>4750</v>
      </c>
      <c r="C581" s="75" t="s">
        <v>3934</v>
      </c>
      <c r="D581" s="81" t="str">
        <f t="shared" si="10"/>
        <v>CuveEquipements de cuvePauchard</v>
      </c>
      <c r="E581" s="75" t="s">
        <v>4823</v>
      </c>
      <c r="F581" s="81">
        <v>59</v>
      </c>
      <c r="G581" s="71" t="s">
        <v>3906</v>
      </c>
      <c r="H581" s="71" t="s">
        <v>3934</v>
      </c>
      <c r="I581" s="71"/>
      <c r="J581" s="70">
        <f>IFERROR(VLOOKUP(Devis[[#This Row],[Ref Air Flux]],#REF!,3,FALSE),0)</f>
        <v>0</v>
      </c>
      <c r="K581" s="68"/>
      <c r="L581" s="68"/>
      <c r="M581" s="68"/>
      <c r="N581" s="68"/>
      <c r="O581" s="68"/>
      <c r="P581" s="68"/>
      <c r="Q581" s="68">
        <f>SUM(Devis[[#This Row],[Poste 1]:[Poste 6]])</f>
        <v>0</v>
      </c>
      <c r="R581" s="71"/>
      <c r="S581" s="68">
        <f>_xlfn.CEILING.MATH(Devis[[#This Row],[Quantité Totale]],Devis[[#This Row],[Conditionnement]])</f>
        <v>0</v>
      </c>
      <c r="T581" s="72"/>
      <c r="U581" s="73"/>
      <c r="V581" s="74">
        <f>Devis[[#This Row],[Prix de Revient]]*Devis[[#This Row],[Poste 1]]</f>
        <v>0</v>
      </c>
      <c r="W581" s="74">
        <f>Devis[[#This Row],[Prix de Revient]]*Devis[[#This Row],[Poste 2]]</f>
        <v>0</v>
      </c>
      <c r="X581" s="74">
        <f>Devis[[#This Row],[Prix de Revient]]*Devis[[#This Row],[Poste 3]]</f>
        <v>0</v>
      </c>
      <c r="Y581" s="74">
        <f>Devis[[#This Row],[Poste 4]]*Devis[[#This Row],[Prix de Revient]]</f>
        <v>0</v>
      </c>
      <c r="Z581" s="74">
        <f>Devis[[#This Row],[Poste 5]]*Devis[[#This Row],[Prix de Revient]]</f>
        <v>0</v>
      </c>
      <c r="AA581" s="74">
        <f>Devis[[#This Row],[Prix de Revient]]*Devis[[#This Row],[Poste 6]]</f>
        <v>0</v>
      </c>
      <c r="AB581" s="74">
        <f>Devis[[#This Row],[Quantité Totale]]*Devis[[#This Row],[Prix de Revient]]</f>
        <v>0</v>
      </c>
    </row>
    <row r="582" spans="1:28" ht="14.25" outlineLevel="1" x14ac:dyDescent="0.2">
      <c r="A582" s="75" t="s">
        <v>326</v>
      </c>
      <c r="B582" s="76" t="s">
        <v>4750</v>
      </c>
      <c r="C582" s="75" t="s">
        <v>3934</v>
      </c>
      <c r="D582" s="81" t="str">
        <f t="shared" si="10"/>
        <v>CuveEquipements de cuvePauchard</v>
      </c>
      <c r="E582" s="75" t="s">
        <v>4824</v>
      </c>
      <c r="F582" s="81">
        <v>60</v>
      </c>
      <c r="G582" s="71" t="s">
        <v>3909</v>
      </c>
      <c r="H582" s="71" t="s">
        <v>3934</v>
      </c>
      <c r="I582" s="71"/>
      <c r="J582" s="70">
        <f>IFERROR(VLOOKUP(Devis[[#This Row],[Ref Air Flux]],#REF!,3,FALSE),0)</f>
        <v>0</v>
      </c>
      <c r="K582" s="68"/>
      <c r="L582" s="68"/>
      <c r="M582" s="68"/>
      <c r="N582" s="68"/>
      <c r="O582" s="68"/>
      <c r="P582" s="68"/>
      <c r="Q582" s="68">
        <f>SUM(Devis[[#This Row],[Poste 1]:[Poste 6]])</f>
        <v>0</v>
      </c>
      <c r="R582" s="71"/>
      <c r="S582" s="68">
        <f>_xlfn.CEILING.MATH(Devis[[#This Row],[Quantité Totale]],Devis[[#This Row],[Conditionnement]])</f>
        <v>0</v>
      </c>
      <c r="T582" s="72"/>
      <c r="U582" s="73"/>
      <c r="V582" s="74">
        <f>Devis[[#This Row],[Prix de Revient]]*Devis[[#This Row],[Poste 1]]</f>
        <v>0</v>
      </c>
      <c r="W582" s="74">
        <f>Devis[[#This Row],[Prix de Revient]]*Devis[[#This Row],[Poste 2]]</f>
        <v>0</v>
      </c>
      <c r="X582" s="74">
        <f>Devis[[#This Row],[Prix de Revient]]*Devis[[#This Row],[Poste 3]]</f>
        <v>0</v>
      </c>
      <c r="Y582" s="74">
        <f>Devis[[#This Row],[Poste 4]]*Devis[[#This Row],[Prix de Revient]]</f>
        <v>0</v>
      </c>
      <c r="Z582" s="74">
        <f>Devis[[#This Row],[Poste 5]]*Devis[[#This Row],[Prix de Revient]]</f>
        <v>0</v>
      </c>
      <c r="AA582" s="74">
        <f>Devis[[#This Row],[Prix de Revient]]*Devis[[#This Row],[Poste 6]]</f>
        <v>0</v>
      </c>
      <c r="AB582" s="74">
        <f>Devis[[#This Row],[Quantité Totale]]*Devis[[#This Row],[Prix de Revient]]</f>
        <v>0</v>
      </c>
    </row>
    <row r="583" spans="1:28" ht="14.25" customHeight="1" x14ac:dyDescent="0.25">
      <c r="A583" s="65" t="s">
        <v>326</v>
      </c>
      <c r="B583" s="65" t="s">
        <v>5039</v>
      </c>
      <c r="C583" s="76"/>
      <c r="D583" s="81" t="str">
        <f t="shared" si="10"/>
        <v>CuveReservoir Horizontal - Air comprimé</v>
      </c>
      <c r="E583" s="76"/>
      <c r="F583" s="81">
        <v>0</v>
      </c>
      <c r="G583" s="71"/>
      <c r="H583" s="71"/>
      <c r="I583" s="71"/>
      <c r="J583" s="70">
        <f>IFERROR(VLOOKUP(Devis[[#This Row],[Ref Air Flux]],#REF!,3,FALSE),0)</f>
        <v>0</v>
      </c>
      <c r="K583" s="68"/>
      <c r="L583" s="68"/>
      <c r="M583" s="68"/>
      <c r="N583" s="68"/>
      <c r="O583" s="68"/>
      <c r="P583" s="68"/>
      <c r="Q583" s="68">
        <f>SUM(Devis[[#This Row],[Poste 1]:[Poste 6]])</f>
        <v>0</v>
      </c>
      <c r="R583" s="71"/>
      <c r="S583" s="68">
        <f>_xlfn.CEILING.MATH(Devis[[#This Row],[Quantité Totale]],Devis[[#This Row],[Conditionnement]])</f>
        <v>0</v>
      </c>
      <c r="T583" s="72"/>
      <c r="U583" s="73"/>
      <c r="V583" s="74">
        <f>Devis[[#This Row],[Prix de Revient]]*Devis[[#This Row],[Poste 1]]</f>
        <v>0</v>
      </c>
      <c r="W583" s="74">
        <f>Devis[[#This Row],[Prix de Revient]]*Devis[[#This Row],[Poste 2]]</f>
        <v>0</v>
      </c>
      <c r="X583" s="74">
        <f>Devis[[#This Row],[Prix de Revient]]*Devis[[#This Row],[Poste 3]]</f>
        <v>0</v>
      </c>
      <c r="Y583" s="74">
        <f>Devis[[#This Row],[Poste 4]]*Devis[[#This Row],[Prix de Revient]]</f>
        <v>0</v>
      </c>
      <c r="Z583" s="74">
        <f>Devis[[#This Row],[Poste 5]]*Devis[[#This Row],[Prix de Revient]]</f>
        <v>0</v>
      </c>
      <c r="AA583" s="74">
        <f>Devis[[#This Row],[Prix de Revient]]*Devis[[#This Row],[Poste 6]]</f>
        <v>0</v>
      </c>
      <c r="AB583" s="74">
        <f>Devis[[#This Row],[Quantité Totale]]*Devis[[#This Row],[Prix de Revient]]</f>
        <v>0</v>
      </c>
    </row>
    <row r="584" spans="1:28" ht="14.25" outlineLevel="1" x14ac:dyDescent="0.2">
      <c r="A584" s="75" t="s">
        <v>326</v>
      </c>
      <c r="B584" s="76" t="s">
        <v>5039</v>
      </c>
      <c r="C584" s="73" t="s">
        <v>3501</v>
      </c>
      <c r="D584" s="81" t="str">
        <f t="shared" si="10"/>
        <v>CuveReservoir Horizontal - Air compriméKaeser</v>
      </c>
      <c r="E584" s="75" t="s">
        <v>4865</v>
      </c>
      <c r="F584" s="81">
        <v>1</v>
      </c>
      <c r="G584" s="71" t="s">
        <v>5040</v>
      </c>
      <c r="H584" s="71" t="s">
        <v>3501</v>
      </c>
      <c r="I584" s="71"/>
      <c r="J584" s="70">
        <f>IFERROR(VLOOKUP(Devis[[#This Row],[Ref Air Flux]],#REF!,3,FALSE),0)</f>
        <v>0</v>
      </c>
      <c r="K584" s="68"/>
      <c r="L584" s="68"/>
      <c r="M584" s="68"/>
      <c r="N584" s="68"/>
      <c r="O584" s="68"/>
      <c r="P584" s="68"/>
      <c r="Q584" s="68">
        <f>SUM(Devis[[#This Row],[Poste 1]:[Poste 6]])</f>
        <v>0</v>
      </c>
      <c r="R584" s="71"/>
      <c r="S584" s="68">
        <f>_xlfn.CEILING.MATH(Devis[[#This Row],[Quantité Totale]],Devis[[#This Row],[Conditionnement]])</f>
        <v>0</v>
      </c>
      <c r="T584" s="72"/>
      <c r="U584" s="73"/>
      <c r="V584" s="74">
        <f>Devis[[#This Row],[Prix de Revient]]*Devis[[#This Row],[Poste 1]]</f>
        <v>0</v>
      </c>
      <c r="W584" s="74">
        <f>Devis[[#This Row],[Prix de Revient]]*Devis[[#This Row],[Poste 2]]</f>
        <v>0</v>
      </c>
      <c r="X584" s="74">
        <f>Devis[[#This Row],[Prix de Revient]]*Devis[[#This Row],[Poste 3]]</f>
        <v>0</v>
      </c>
      <c r="Y584" s="74">
        <f>Devis[[#This Row],[Poste 4]]*Devis[[#This Row],[Prix de Revient]]</f>
        <v>0</v>
      </c>
      <c r="Z584" s="74">
        <f>Devis[[#This Row],[Poste 5]]*Devis[[#This Row],[Prix de Revient]]</f>
        <v>0</v>
      </c>
      <c r="AA584" s="74">
        <f>Devis[[#This Row],[Prix de Revient]]*Devis[[#This Row],[Poste 6]]</f>
        <v>0</v>
      </c>
      <c r="AB584" s="74">
        <f>Devis[[#This Row],[Quantité Totale]]*Devis[[#This Row],[Prix de Revient]]</f>
        <v>0</v>
      </c>
    </row>
    <row r="585" spans="1:28" ht="14.25" outlineLevel="1" x14ac:dyDescent="0.2">
      <c r="A585" s="75" t="s">
        <v>326</v>
      </c>
      <c r="B585" s="76" t="s">
        <v>5039</v>
      </c>
      <c r="C585" s="73" t="s">
        <v>3501</v>
      </c>
      <c r="D585" s="81" t="str">
        <f t="shared" si="10"/>
        <v>CuveReservoir Horizontal - Air compriméKaeser</v>
      </c>
      <c r="E585" s="75" t="s">
        <v>4900</v>
      </c>
      <c r="F585" s="81">
        <v>2</v>
      </c>
      <c r="G585" s="71" t="s">
        <v>5041</v>
      </c>
      <c r="H585" s="71" t="s">
        <v>3501</v>
      </c>
      <c r="I585" s="71"/>
      <c r="J585" s="70">
        <f>IFERROR(VLOOKUP(Devis[[#This Row],[Ref Air Flux]],#REF!,3,FALSE),0)</f>
        <v>0</v>
      </c>
      <c r="K585" s="68"/>
      <c r="L585" s="68"/>
      <c r="M585" s="68"/>
      <c r="N585" s="68"/>
      <c r="O585" s="68"/>
      <c r="P585" s="68"/>
      <c r="Q585" s="68">
        <f>SUM(Devis[[#This Row],[Poste 1]:[Poste 6]])</f>
        <v>0</v>
      </c>
      <c r="R585" s="71"/>
      <c r="S585" s="68">
        <f>_xlfn.CEILING.MATH(Devis[[#This Row],[Quantité Totale]],Devis[[#This Row],[Conditionnement]])</f>
        <v>0</v>
      </c>
      <c r="T585" s="72"/>
      <c r="U585" s="73"/>
      <c r="V585" s="74">
        <f>Devis[[#This Row],[Prix de Revient]]*Devis[[#This Row],[Poste 1]]</f>
        <v>0</v>
      </c>
      <c r="W585" s="74">
        <f>Devis[[#This Row],[Prix de Revient]]*Devis[[#This Row],[Poste 2]]</f>
        <v>0</v>
      </c>
      <c r="X585" s="74">
        <f>Devis[[#This Row],[Prix de Revient]]*Devis[[#This Row],[Poste 3]]</f>
        <v>0</v>
      </c>
      <c r="Y585" s="74">
        <f>Devis[[#This Row],[Poste 4]]*Devis[[#This Row],[Prix de Revient]]</f>
        <v>0</v>
      </c>
      <c r="Z585" s="74">
        <f>Devis[[#This Row],[Poste 5]]*Devis[[#This Row],[Prix de Revient]]</f>
        <v>0</v>
      </c>
      <c r="AA585" s="74">
        <f>Devis[[#This Row],[Prix de Revient]]*Devis[[#This Row],[Poste 6]]</f>
        <v>0</v>
      </c>
      <c r="AB585" s="74">
        <f>Devis[[#This Row],[Quantité Totale]]*Devis[[#This Row],[Prix de Revient]]</f>
        <v>0</v>
      </c>
    </row>
    <row r="586" spans="1:28" ht="14.25" outlineLevel="1" x14ac:dyDescent="0.2">
      <c r="A586" s="75" t="s">
        <v>326</v>
      </c>
      <c r="B586" s="76" t="s">
        <v>5039</v>
      </c>
      <c r="C586" s="73" t="s">
        <v>3501</v>
      </c>
      <c r="D586" s="81" t="str">
        <f t="shared" si="10"/>
        <v>CuveReservoir Horizontal - Air compriméKaeser</v>
      </c>
      <c r="E586" s="75" t="s">
        <v>4904</v>
      </c>
      <c r="F586" s="81">
        <v>3</v>
      </c>
      <c r="G586" s="71" t="s">
        <v>5042</v>
      </c>
      <c r="H586" s="71" t="s">
        <v>3501</v>
      </c>
      <c r="I586" s="71"/>
      <c r="J586" s="70">
        <f>IFERROR(VLOOKUP(Devis[[#This Row],[Ref Air Flux]],#REF!,3,FALSE),0)</f>
        <v>0</v>
      </c>
      <c r="K586" s="68"/>
      <c r="L586" s="68"/>
      <c r="M586" s="68"/>
      <c r="N586" s="68"/>
      <c r="O586" s="68"/>
      <c r="P586" s="68"/>
      <c r="Q586" s="68">
        <f>SUM(Devis[[#This Row],[Poste 1]:[Poste 6]])</f>
        <v>0</v>
      </c>
      <c r="R586" s="71"/>
      <c r="S586" s="68">
        <f>_xlfn.CEILING.MATH(Devis[[#This Row],[Quantité Totale]],Devis[[#This Row],[Conditionnement]])</f>
        <v>0</v>
      </c>
      <c r="T586" s="72"/>
      <c r="U586" s="73"/>
      <c r="V586" s="74">
        <f>Devis[[#This Row],[Prix de Revient]]*Devis[[#This Row],[Poste 1]]</f>
        <v>0</v>
      </c>
      <c r="W586" s="74">
        <f>Devis[[#This Row],[Prix de Revient]]*Devis[[#This Row],[Poste 2]]</f>
        <v>0</v>
      </c>
      <c r="X586" s="74">
        <f>Devis[[#This Row],[Prix de Revient]]*Devis[[#This Row],[Poste 3]]</f>
        <v>0</v>
      </c>
      <c r="Y586" s="74">
        <f>Devis[[#This Row],[Poste 4]]*Devis[[#This Row],[Prix de Revient]]</f>
        <v>0</v>
      </c>
      <c r="Z586" s="74">
        <f>Devis[[#This Row],[Poste 5]]*Devis[[#This Row],[Prix de Revient]]</f>
        <v>0</v>
      </c>
      <c r="AA586" s="74">
        <f>Devis[[#This Row],[Prix de Revient]]*Devis[[#This Row],[Poste 6]]</f>
        <v>0</v>
      </c>
      <c r="AB586" s="74">
        <f>Devis[[#This Row],[Quantité Totale]]*Devis[[#This Row],[Prix de Revient]]</f>
        <v>0</v>
      </c>
    </row>
    <row r="587" spans="1:28" ht="14.25" outlineLevel="1" x14ac:dyDescent="0.2">
      <c r="A587" s="75" t="s">
        <v>326</v>
      </c>
      <c r="B587" s="76" t="s">
        <v>5039</v>
      </c>
      <c r="C587" s="73" t="s">
        <v>3934</v>
      </c>
      <c r="D587" s="81" t="str">
        <f t="shared" si="10"/>
        <v>CuveReservoir Horizontal - Air compriméPauchard</v>
      </c>
      <c r="E587" s="75" t="s">
        <v>4913</v>
      </c>
      <c r="F587" s="81">
        <v>4</v>
      </c>
      <c r="G587" s="71" t="s">
        <v>5043</v>
      </c>
      <c r="H587" s="71" t="s">
        <v>3934</v>
      </c>
      <c r="I587" s="71"/>
      <c r="J587" s="70">
        <f>IFERROR(VLOOKUP(Devis[[#This Row],[Ref Air Flux]],#REF!,3,FALSE),0)</f>
        <v>0</v>
      </c>
      <c r="K587" s="68"/>
      <c r="L587" s="68"/>
      <c r="M587" s="68"/>
      <c r="N587" s="68"/>
      <c r="O587" s="68"/>
      <c r="P587" s="68"/>
      <c r="Q587" s="68">
        <f>SUM(Devis[[#This Row],[Poste 1]:[Poste 6]])</f>
        <v>0</v>
      </c>
      <c r="R587" s="71"/>
      <c r="S587" s="68">
        <f>_xlfn.CEILING.MATH(Devis[[#This Row],[Quantité Totale]],Devis[[#This Row],[Conditionnement]])</f>
        <v>0</v>
      </c>
      <c r="T587" s="72"/>
      <c r="U587" s="73"/>
      <c r="V587" s="74">
        <f>Devis[[#This Row],[Prix de Revient]]*Devis[[#This Row],[Poste 1]]</f>
        <v>0</v>
      </c>
      <c r="W587" s="74">
        <f>Devis[[#This Row],[Prix de Revient]]*Devis[[#This Row],[Poste 2]]</f>
        <v>0</v>
      </c>
      <c r="X587" s="74">
        <f>Devis[[#This Row],[Prix de Revient]]*Devis[[#This Row],[Poste 3]]</f>
        <v>0</v>
      </c>
      <c r="Y587" s="74">
        <f>Devis[[#This Row],[Poste 4]]*Devis[[#This Row],[Prix de Revient]]</f>
        <v>0</v>
      </c>
      <c r="Z587" s="74">
        <f>Devis[[#This Row],[Poste 5]]*Devis[[#This Row],[Prix de Revient]]</f>
        <v>0</v>
      </c>
      <c r="AA587" s="74">
        <f>Devis[[#This Row],[Prix de Revient]]*Devis[[#This Row],[Poste 6]]</f>
        <v>0</v>
      </c>
      <c r="AB587" s="74">
        <f>Devis[[#This Row],[Quantité Totale]]*Devis[[#This Row],[Prix de Revient]]</f>
        <v>0</v>
      </c>
    </row>
    <row r="588" spans="1:28" ht="14.25" outlineLevel="1" x14ac:dyDescent="0.2">
      <c r="A588" s="75" t="s">
        <v>326</v>
      </c>
      <c r="B588" s="76" t="s">
        <v>5039</v>
      </c>
      <c r="C588" s="73" t="s">
        <v>3934</v>
      </c>
      <c r="D588" s="81" t="str">
        <f t="shared" si="10"/>
        <v>CuveReservoir Horizontal - Air compriméPauchard</v>
      </c>
      <c r="E588" s="75" t="s">
        <v>5044</v>
      </c>
      <c r="F588" s="81">
        <v>5</v>
      </c>
      <c r="G588" s="71" t="s">
        <v>5045</v>
      </c>
      <c r="H588" s="71" t="s">
        <v>3934</v>
      </c>
      <c r="I588" s="71"/>
      <c r="J588" s="70">
        <f>IFERROR(VLOOKUP(Devis[[#This Row],[Ref Air Flux]],#REF!,3,FALSE),0)</f>
        <v>0</v>
      </c>
      <c r="K588" s="68"/>
      <c r="L588" s="68"/>
      <c r="M588" s="68"/>
      <c r="N588" s="68"/>
      <c r="O588" s="68"/>
      <c r="P588" s="68"/>
      <c r="Q588" s="68">
        <f>SUM(Devis[[#This Row],[Poste 1]:[Poste 6]])</f>
        <v>0</v>
      </c>
      <c r="R588" s="71"/>
      <c r="S588" s="68">
        <f>_xlfn.CEILING.MATH(Devis[[#This Row],[Quantité Totale]],Devis[[#This Row],[Conditionnement]])</f>
        <v>0</v>
      </c>
      <c r="T588" s="72"/>
      <c r="U588" s="73"/>
      <c r="V588" s="74">
        <f>Devis[[#This Row],[Prix de Revient]]*Devis[[#This Row],[Poste 1]]</f>
        <v>0</v>
      </c>
      <c r="W588" s="74">
        <f>Devis[[#This Row],[Prix de Revient]]*Devis[[#This Row],[Poste 2]]</f>
        <v>0</v>
      </c>
      <c r="X588" s="74">
        <f>Devis[[#This Row],[Prix de Revient]]*Devis[[#This Row],[Poste 3]]</f>
        <v>0</v>
      </c>
      <c r="Y588" s="74">
        <f>Devis[[#This Row],[Poste 4]]*Devis[[#This Row],[Prix de Revient]]</f>
        <v>0</v>
      </c>
      <c r="Z588" s="74">
        <f>Devis[[#This Row],[Poste 5]]*Devis[[#This Row],[Prix de Revient]]</f>
        <v>0</v>
      </c>
      <c r="AA588" s="74">
        <f>Devis[[#This Row],[Prix de Revient]]*Devis[[#This Row],[Poste 6]]</f>
        <v>0</v>
      </c>
      <c r="AB588" s="74">
        <f>Devis[[#This Row],[Quantité Totale]]*Devis[[#This Row],[Prix de Revient]]</f>
        <v>0</v>
      </c>
    </row>
    <row r="589" spans="1:28" ht="14.25" outlineLevel="1" x14ac:dyDescent="0.2">
      <c r="A589" s="75" t="s">
        <v>326</v>
      </c>
      <c r="B589" s="76" t="s">
        <v>5039</v>
      </c>
      <c r="C589" s="73" t="s">
        <v>3934</v>
      </c>
      <c r="D589" s="81" t="str">
        <f t="shared" si="10"/>
        <v>CuveReservoir Horizontal - Air compriméPauchard</v>
      </c>
      <c r="E589" s="75" t="s">
        <v>4917</v>
      </c>
      <c r="F589" s="81">
        <v>6</v>
      </c>
      <c r="G589" s="71" t="s">
        <v>5046</v>
      </c>
      <c r="H589" s="71" t="s">
        <v>3934</v>
      </c>
      <c r="I589" s="71"/>
      <c r="J589" s="70">
        <f>IFERROR(VLOOKUP(Devis[[#This Row],[Ref Air Flux]],#REF!,3,FALSE),0)</f>
        <v>0</v>
      </c>
      <c r="K589" s="68"/>
      <c r="L589" s="68"/>
      <c r="M589" s="68"/>
      <c r="N589" s="68"/>
      <c r="O589" s="68"/>
      <c r="P589" s="68"/>
      <c r="Q589" s="68">
        <f>SUM(Devis[[#This Row],[Poste 1]:[Poste 6]])</f>
        <v>0</v>
      </c>
      <c r="R589" s="71"/>
      <c r="S589" s="68">
        <f>_xlfn.CEILING.MATH(Devis[[#This Row],[Quantité Totale]],Devis[[#This Row],[Conditionnement]])</f>
        <v>0</v>
      </c>
      <c r="T589" s="72"/>
      <c r="U589" s="73"/>
      <c r="V589" s="74">
        <f>Devis[[#This Row],[Prix de Revient]]*Devis[[#This Row],[Poste 1]]</f>
        <v>0</v>
      </c>
      <c r="W589" s="74">
        <f>Devis[[#This Row],[Prix de Revient]]*Devis[[#This Row],[Poste 2]]</f>
        <v>0</v>
      </c>
      <c r="X589" s="74">
        <f>Devis[[#This Row],[Prix de Revient]]*Devis[[#This Row],[Poste 3]]</f>
        <v>0</v>
      </c>
      <c r="Y589" s="74">
        <f>Devis[[#This Row],[Poste 4]]*Devis[[#This Row],[Prix de Revient]]</f>
        <v>0</v>
      </c>
      <c r="Z589" s="74">
        <f>Devis[[#This Row],[Poste 5]]*Devis[[#This Row],[Prix de Revient]]</f>
        <v>0</v>
      </c>
      <c r="AA589" s="74">
        <f>Devis[[#This Row],[Prix de Revient]]*Devis[[#This Row],[Poste 6]]</f>
        <v>0</v>
      </c>
      <c r="AB589" s="74">
        <f>Devis[[#This Row],[Quantité Totale]]*Devis[[#This Row],[Prix de Revient]]</f>
        <v>0</v>
      </c>
    </row>
    <row r="590" spans="1:28" ht="14.25" outlineLevel="1" x14ac:dyDescent="0.2">
      <c r="A590" s="75" t="s">
        <v>326</v>
      </c>
      <c r="B590" s="76" t="s">
        <v>5039</v>
      </c>
      <c r="C590" s="73" t="s">
        <v>3934</v>
      </c>
      <c r="D590" s="81" t="str">
        <f t="shared" si="10"/>
        <v>CuveReservoir Horizontal - Air compriméPauchard</v>
      </c>
      <c r="E590" s="75" t="s">
        <v>4839</v>
      </c>
      <c r="F590" s="81">
        <v>7</v>
      </c>
      <c r="G590" s="71" t="s">
        <v>5047</v>
      </c>
      <c r="H590" s="71" t="s">
        <v>3934</v>
      </c>
      <c r="I590" s="71"/>
      <c r="J590" s="70">
        <f>IFERROR(VLOOKUP(Devis[[#This Row],[Ref Air Flux]],#REF!,3,FALSE),0)</f>
        <v>0</v>
      </c>
      <c r="K590" s="68"/>
      <c r="L590" s="68"/>
      <c r="M590" s="68"/>
      <c r="N590" s="68"/>
      <c r="O590" s="68"/>
      <c r="P590" s="68"/>
      <c r="Q590" s="68">
        <f>SUM(Devis[[#This Row],[Poste 1]:[Poste 6]])</f>
        <v>0</v>
      </c>
      <c r="R590" s="71"/>
      <c r="S590" s="68">
        <f>_xlfn.CEILING.MATH(Devis[[#This Row],[Quantité Totale]],Devis[[#This Row],[Conditionnement]])</f>
        <v>0</v>
      </c>
      <c r="T590" s="72"/>
      <c r="U590" s="73"/>
      <c r="V590" s="74">
        <f>Devis[[#This Row],[Prix de Revient]]*Devis[[#This Row],[Poste 1]]</f>
        <v>0</v>
      </c>
      <c r="W590" s="74">
        <f>Devis[[#This Row],[Prix de Revient]]*Devis[[#This Row],[Poste 2]]</f>
        <v>0</v>
      </c>
      <c r="X590" s="74">
        <f>Devis[[#This Row],[Prix de Revient]]*Devis[[#This Row],[Poste 3]]</f>
        <v>0</v>
      </c>
      <c r="Y590" s="74">
        <f>Devis[[#This Row],[Poste 4]]*Devis[[#This Row],[Prix de Revient]]</f>
        <v>0</v>
      </c>
      <c r="Z590" s="74">
        <f>Devis[[#This Row],[Poste 5]]*Devis[[#This Row],[Prix de Revient]]</f>
        <v>0</v>
      </c>
      <c r="AA590" s="74">
        <f>Devis[[#This Row],[Prix de Revient]]*Devis[[#This Row],[Poste 6]]</f>
        <v>0</v>
      </c>
      <c r="AB590" s="74">
        <f>Devis[[#This Row],[Quantité Totale]]*Devis[[#This Row],[Prix de Revient]]</f>
        <v>0</v>
      </c>
    </row>
    <row r="591" spans="1:28" ht="14.25" outlineLevel="1" x14ac:dyDescent="0.2">
      <c r="A591" s="75" t="s">
        <v>326</v>
      </c>
      <c r="B591" s="76" t="s">
        <v>5039</v>
      </c>
      <c r="C591" s="73" t="s">
        <v>3934</v>
      </c>
      <c r="D591" s="81" t="str">
        <f t="shared" si="10"/>
        <v>CuveReservoir Horizontal - Air compriméPauchard</v>
      </c>
      <c r="E591" s="75" t="s">
        <v>5048</v>
      </c>
      <c r="F591" s="81">
        <v>8</v>
      </c>
      <c r="G591" s="71" t="s">
        <v>5049</v>
      </c>
      <c r="H591" s="71" t="s">
        <v>3934</v>
      </c>
      <c r="I591" s="71"/>
      <c r="J591" s="70">
        <f>IFERROR(VLOOKUP(Devis[[#This Row],[Ref Air Flux]],#REF!,3,FALSE),0)</f>
        <v>0</v>
      </c>
      <c r="K591" s="68"/>
      <c r="L591" s="68"/>
      <c r="M591" s="68"/>
      <c r="N591" s="68"/>
      <c r="O591" s="68"/>
      <c r="P591" s="68"/>
      <c r="Q591" s="68">
        <f>SUM(Devis[[#This Row],[Poste 1]:[Poste 6]])</f>
        <v>0</v>
      </c>
      <c r="R591" s="71"/>
      <c r="S591" s="68">
        <f>_xlfn.CEILING.MATH(Devis[[#This Row],[Quantité Totale]],Devis[[#This Row],[Conditionnement]])</f>
        <v>0</v>
      </c>
      <c r="T591" s="72"/>
      <c r="U591" s="73"/>
      <c r="V591" s="74">
        <f>Devis[[#This Row],[Prix de Revient]]*Devis[[#This Row],[Poste 1]]</f>
        <v>0</v>
      </c>
      <c r="W591" s="74">
        <f>Devis[[#This Row],[Prix de Revient]]*Devis[[#This Row],[Poste 2]]</f>
        <v>0</v>
      </c>
      <c r="X591" s="74">
        <f>Devis[[#This Row],[Prix de Revient]]*Devis[[#This Row],[Poste 3]]</f>
        <v>0</v>
      </c>
      <c r="Y591" s="74">
        <f>Devis[[#This Row],[Poste 4]]*Devis[[#This Row],[Prix de Revient]]</f>
        <v>0</v>
      </c>
      <c r="Z591" s="74">
        <f>Devis[[#This Row],[Poste 5]]*Devis[[#This Row],[Prix de Revient]]</f>
        <v>0</v>
      </c>
      <c r="AA591" s="74">
        <f>Devis[[#This Row],[Prix de Revient]]*Devis[[#This Row],[Poste 6]]</f>
        <v>0</v>
      </c>
      <c r="AB591" s="74">
        <f>Devis[[#This Row],[Quantité Totale]]*Devis[[#This Row],[Prix de Revient]]</f>
        <v>0</v>
      </c>
    </row>
    <row r="592" spans="1:28" ht="14.25" outlineLevel="1" x14ac:dyDescent="0.2">
      <c r="A592" s="75" t="s">
        <v>326</v>
      </c>
      <c r="B592" s="76" t="s">
        <v>5039</v>
      </c>
      <c r="C592" s="73" t="s">
        <v>3934</v>
      </c>
      <c r="D592" s="81" t="str">
        <f t="shared" si="10"/>
        <v>CuveReservoir Horizontal - Air compriméPauchard</v>
      </c>
      <c r="E592" s="75" t="s">
        <v>5050</v>
      </c>
      <c r="F592" s="81">
        <v>9</v>
      </c>
      <c r="G592" s="71" t="s">
        <v>5051</v>
      </c>
      <c r="H592" s="71" t="s">
        <v>3934</v>
      </c>
      <c r="I592" s="71"/>
      <c r="J592" s="70">
        <f>IFERROR(VLOOKUP(Devis[[#This Row],[Ref Air Flux]],#REF!,3,FALSE),0)</f>
        <v>0</v>
      </c>
      <c r="K592" s="68"/>
      <c r="L592" s="68"/>
      <c r="M592" s="68"/>
      <c r="N592" s="68"/>
      <c r="O592" s="68"/>
      <c r="P592" s="68"/>
      <c r="Q592" s="68">
        <f>SUM(Devis[[#This Row],[Poste 1]:[Poste 6]])</f>
        <v>0</v>
      </c>
      <c r="R592" s="71"/>
      <c r="S592" s="68">
        <f>_xlfn.CEILING.MATH(Devis[[#This Row],[Quantité Totale]],Devis[[#This Row],[Conditionnement]])</f>
        <v>0</v>
      </c>
      <c r="T592" s="72"/>
      <c r="U592" s="73"/>
      <c r="V592" s="74">
        <f>Devis[[#This Row],[Prix de Revient]]*Devis[[#This Row],[Poste 1]]</f>
        <v>0</v>
      </c>
      <c r="W592" s="74">
        <f>Devis[[#This Row],[Prix de Revient]]*Devis[[#This Row],[Poste 2]]</f>
        <v>0</v>
      </c>
      <c r="X592" s="74">
        <f>Devis[[#This Row],[Prix de Revient]]*Devis[[#This Row],[Poste 3]]</f>
        <v>0</v>
      </c>
      <c r="Y592" s="74">
        <f>Devis[[#This Row],[Poste 4]]*Devis[[#This Row],[Prix de Revient]]</f>
        <v>0</v>
      </c>
      <c r="Z592" s="74">
        <f>Devis[[#This Row],[Poste 5]]*Devis[[#This Row],[Prix de Revient]]</f>
        <v>0</v>
      </c>
      <c r="AA592" s="74">
        <f>Devis[[#This Row],[Prix de Revient]]*Devis[[#This Row],[Poste 6]]</f>
        <v>0</v>
      </c>
      <c r="AB592" s="74">
        <f>Devis[[#This Row],[Quantité Totale]]*Devis[[#This Row],[Prix de Revient]]</f>
        <v>0</v>
      </c>
    </row>
    <row r="593" spans="1:28" ht="14.25" outlineLevel="1" x14ac:dyDescent="0.2">
      <c r="A593" s="75" t="s">
        <v>326</v>
      </c>
      <c r="B593" s="76" t="s">
        <v>5039</v>
      </c>
      <c r="C593" s="73" t="s">
        <v>3934</v>
      </c>
      <c r="D593" s="81" t="str">
        <f t="shared" si="10"/>
        <v>CuveReservoir Horizontal - Air compriméPauchard</v>
      </c>
      <c r="E593" s="75" t="s">
        <v>4857</v>
      </c>
      <c r="F593" s="81">
        <v>10</v>
      </c>
      <c r="G593" s="71" t="s">
        <v>5052</v>
      </c>
      <c r="H593" s="71" t="s">
        <v>3934</v>
      </c>
      <c r="I593" s="71"/>
      <c r="J593" s="70">
        <f>IFERROR(VLOOKUP(Devis[[#This Row],[Ref Air Flux]],#REF!,3,FALSE),0)</f>
        <v>0</v>
      </c>
      <c r="K593" s="68"/>
      <c r="L593" s="68"/>
      <c r="M593" s="68"/>
      <c r="N593" s="68"/>
      <c r="O593" s="68"/>
      <c r="P593" s="68"/>
      <c r="Q593" s="68">
        <f>SUM(Devis[[#This Row],[Poste 1]:[Poste 6]])</f>
        <v>0</v>
      </c>
      <c r="R593" s="71"/>
      <c r="S593" s="68">
        <f>_xlfn.CEILING.MATH(Devis[[#This Row],[Quantité Totale]],Devis[[#This Row],[Conditionnement]])</f>
        <v>0</v>
      </c>
      <c r="T593" s="72"/>
      <c r="U593" s="73"/>
      <c r="V593" s="74">
        <f>Devis[[#This Row],[Prix de Revient]]*Devis[[#This Row],[Poste 1]]</f>
        <v>0</v>
      </c>
      <c r="W593" s="74">
        <f>Devis[[#This Row],[Prix de Revient]]*Devis[[#This Row],[Poste 2]]</f>
        <v>0</v>
      </c>
      <c r="X593" s="74">
        <f>Devis[[#This Row],[Prix de Revient]]*Devis[[#This Row],[Poste 3]]</f>
        <v>0</v>
      </c>
      <c r="Y593" s="74">
        <f>Devis[[#This Row],[Poste 4]]*Devis[[#This Row],[Prix de Revient]]</f>
        <v>0</v>
      </c>
      <c r="Z593" s="74">
        <f>Devis[[#This Row],[Poste 5]]*Devis[[#This Row],[Prix de Revient]]</f>
        <v>0</v>
      </c>
      <c r="AA593" s="74">
        <f>Devis[[#This Row],[Prix de Revient]]*Devis[[#This Row],[Poste 6]]</f>
        <v>0</v>
      </c>
      <c r="AB593" s="74">
        <f>Devis[[#This Row],[Quantité Totale]]*Devis[[#This Row],[Prix de Revient]]</f>
        <v>0</v>
      </c>
    </row>
    <row r="594" spans="1:28" ht="14.25" outlineLevel="1" x14ac:dyDescent="0.2">
      <c r="A594" s="75" t="s">
        <v>326</v>
      </c>
      <c r="B594" s="76" t="s">
        <v>5039</v>
      </c>
      <c r="C594" s="73" t="s">
        <v>3934</v>
      </c>
      <c r="D594" s="81" t="str">
        <f t="shared" si="10"/>
        <v>CuveReservoir Horizontal - Air compriméPauchard</v>
      </c>
      <c r="E594" s="75" t="s">
        <v>4896</v>
      </c>
      <c r="F594" s="81">
        <v>11</v>
      </c>
      <c r="G594" s="71" t="s">
        <v>5053</v>
      </c>
      <c r="H594" s="71" t="s">
        <v>3934</v>
      </c>
      <c r="I594" s="71"/>
      <c r="J594" s="70">
        <f>IFERROR(VLOOKUP(Devis[[#This Row],[Ref Air Flux]],#REF!,3,FALSE),0)</f>
        <v>0</v>
      </c>
      <c r="K594" s="68"/>
      <c r="L594" s="68"/>
      <c r="M594" s="68"/>
      <c r="N594" s="68"/>
      <c r="O594" s="68"/>
      <c r="P594" s="68"/>
      <c r="Q594" s="68">
        <f>SUM(Devis[[#This Row],[Poste 1]:[Poste 6]])</f>
        <v>0</v>
      </c>
      <c r="R594" s="71"/>
      <c r="S594" s="68">
        <f>_xlfn.CEILING.MATH(Devis[[#This Row],[Quantité Totale]],Devis[[#This Row],[Conditionnement]])</f>
        <v>0</v>
      </c>
      <c r="T594" s="72"/>
      <c r="U594" s="73"/>
      <c r="V594" s="74">
        <f>Devis[[#This Row],[Prix de Revient]]*Devis[[#This Row],[Poste 1]]</f>
        <v>0</v>
      </c>
      <c r="W594" s="74">
        <f>Devis[[#This Row],[Prix de Revient]]*Devis[[#This Row],[Poste 2]]</f>
        <v>0</v>
      </c>
      <c r="X594" s="74">
        <f>Devis[[#This Row],[Prix de Revient]]*Devis[[#This Row],[Poste 3]]</f>
        <v>0</v>
      </c>
      <c r="Y594" s="74">
        <f>Devis[[#This Row],[Poste 4]]*Devis[[#This Row],[Prix de Revient]]</f>
        <v>0</v>
      </c>
      <c r="Z594" s="74">
        <f>Devis[[#This Row],[Poste 5]]*Devis[[#This Row],[Prix de Revient]]</f>
        <v>0</v>
      </c>
      <c r="AA594" s="74">
        <f>Devis[[#This Row],[Prix de Revient]]*Devis[[#This Row],[Poste 6]]</f>
        <v>0</v>
      </c>
      <c r="AB594" s="74">
        <f>Devis[[#This Row],[Quantité Totale]]*Devis[[#This Row],[Prix de Revient]]</f>
        <v>0</v>
      </c>
    </row>
    <row r="595" spans="1:28" ht="14.25" outlineLevel="1" x14ac:dyDescent="0.2">
      <c r="A595" s="75" t="s">
        <v>326</v>
      </c>
      <c r="B595" s="76" t="s">
        <v>5039</v>
      </c>
      <c r="C595" s="73" t="s">
        <v>3934</v>
      </c>
      <c r="D595" s="81" t="str">
        <f t="shared" si="10"/>
        <v>CuveReservoir Horizontal - Air compriméPauchard</v>
      </c>
      <c r="E595" s="75" t="s">
        <v>4931</v>
      </c>
      <c r="F595" s="81">
        <v>12</v>
      </c>
      <c r="G595" s="71" t="s">
        <v>5054</v>
      </c>
      <c r="H595" s="71" t="s">
        <v>3934</v>
      </c>
      <c r="I595" s="71"/>
      <c r="J595" s="70">
        <f>IFERROR(VLOOKUP(Devis[[#This Row],[Ref Air Flux]],#REF!,3,FALSE),0)</f>
        <v>0</v>
      </c>
      <c r="K595" s="68"/>
      <c r="L595" s="68"/>
      <c r="M595" s="68"/>
      <c r="N595" s="68"/>
      <c r="O595" s="68"/>
      <c r="P595" s="68"/>
      <c r="Q595" s="68">
        <f>SUM(Devis[[#This Row],[Poste 1]:[Poste 6]])</f>
        <v>0</v>
      </c>
      <c r="R595" s="71"/>
      <c r="S595" s="68">
        <f>_xlfn.CEILING.MATH(Devis[[#This Row],[Quantité Totale]],Devis[[#This Row],[Conditionnement]])</f>
        <v>0</v>
      </c>
      <c r="T595" s="72"/>
      <c r="U595" s="73"/>
      <c r="V595" s="74">
        <f>Devis[[#This Row],[Prix de Revient]]*Devis[[#This Row],[Poste 1]]</f>
        <v>0</v>
      </c>
      <c r="W595" s="74">
        <f>Devis[[#This Row],[Prix de Revient]]*Devis[[#This Row],[Poste 2]]</f>
        <v>0</v>
      </c>
      <c r="X595" s="74">
        <f>Devis[[#This Row],[Prix de Revient]]*Devis[[#This Row],[Poste 3]]</f>
        <v>0</v>
      </c>
      <c r="Y595" s="74">
        <f>Devis[[#This Row],[Poste 4]]*Devis[[#This Row],[Prix de Revient]]</f>
        <v>0</v>
      </c>
      <c r="Z595" s="74">
        <f>Devis[[#This Row],[Poste 5]]*Devis[[#This Row],[Prix de Revient]]</f>
        <v>0</v>
      </c>
      <c r="AA595" s="74">
        <f>Devis[[#This Row],[Prix de Revient]]*Devis[[#This Row],[Poste 6]]</f>
        <v>0</v>
      </c>
      <c r="AB595" s="74">
        <f>Devis[[#This Row],[Quantité Totale]]*Devis[[#This Row],[Prix de Revient]]</f>
        <v>0</v>
      </c>
    </row>
    <row r="596" spans="1:28" ht="14.25" outlineLevel="1" x14ac:dyDescent="0.2">
      <c r="A596" s="75" t="s">
        <v>326</v>
      </c>
      <c r="B596" s="76" t="s">
        <v>5039</v>
      </c>
      <c r="C596" s="73" t="s">
        <v>3934</v>
      </c>
      <c r="D596" s="81" t="str">
        <f t="shared" si="10"/>
        <v>CuveReservoir Horizontal - Air compriméPauchard</v>
      </c>
      <c r="E596" s="75" t="s">
        <v>4900</v>
      </c>
      <c r="F596" s="81">
        <v>13</v>
      </c>
      <c r="G596" s="71" t="s">
        <v>5055</v>
      </c>
      <c r="H596" s="71" t="s">
        <v>3934</v>
      </c>
      <c r="I596" s="71"/>
      <c r="J596" s="70">
        <f>IFERROR(VLOOKUP(Devis[[#This Row],[Ref Air Flux]],#REF!,3,FALSE),0)</f>
        <v>0</v>
      </c>
      <c r="K596" s="68"/>
      <c r="L596" s="68"/>
      <c r="M596" s="68"/>
      <c r="N596" s="68"/>
      <c r="O596" s="68"/>
      <c r="P596" s="68"/>
      <c r="Q596" s="68">
        <f>SUM(Devis[[#This Row],[Poste 1]:[Poste 6]])</f>
        <v>0</v>
      </c>
      <c r="R596" s="71"/>
      <c r="S596" s="68">
        <f>_xlfn.CEILING.MATH(Devis[[#This Row],[Quantité Totale]],Devis[[#This Row],[Conditionnement]])</f>
        <v>0</v>
      </c>
      <c r="T596" s="72"/>
      <c r="U596" s="73"/>
      <c r="V596" s="74">
        <f>Devis[[#This Row],[Prix de Revient]]*Devis[[#This Row],[Poste 1]]</f>
        <v>0</v>
      </c>
      <c r="W596" s="74">
        <f>Devis[[#This Row],[Prix de Revient]]*Devis[[#This Row],[Poste 2]]</f>
        <v>0</v>
      </c>
      <c r="X596" s="74">
        <f>Devis[[#This Row],[Prix de Revient]]*Devis[[#This Row],[Poste 3]]</f>
        <v>0</v>
      </c>
      <c r="Y596" s="74">
        <f>Devis[[#This Row],[Poste 4]]*Devis[[#This Row],[Prix de Revient]]</f>
        <v>0</v>
      </c>
      <c r="Z596" s="74">
        <f>Devis[[#This Row],[Poste 5]]*Devis[[#This Row],[Prix de Revient]]</f>
        <v>0</v>
      </c>
      <c r="AA596" s="74">
        <f>Devis[[#This Row],[Prix de Revient]]*Devis[[#This Row],[Poste 6]]</f>
        <v>0</v>
      </c>
      <c r="AB596" s="74">
        <f>Devis[[#This Row],[Quantité Totale]]*Devis[[#This Row],[Prix de Revient]]</f>
        <v>0</v>
      </c>
    </row>
    <row r="597" spans="1:28" ht="14.25" outlineLevel="1" x14ac:dyDescent="0.2">
      <c r="A597" s="75" t="s">
        <v>326</v>
      </c>
      <c r="B597" s="76" t="s">
        <v>5039</v>
      </c>
      <c r="C597" s="73" t="s">
        <v>3894</v>
      </c>
      <c r="D597" s="81" t="str">
        <f t="shared" si="10"/>
        <v>CuveReservoir Horizontal - Air compriméAutres</v>
      </c>
      <c r="E597" s="75" t="s">
        <v>5056</v>
      </c>
      <c r="F597" s="81">
        <v>14</v>
      </c>
      <c r="G597" s="71" t="s">
        <v>5057</v>
      </c>
      <c r="H597" s="71" t="s">
        <v>4759</v>
      </c>
      <c r="I597" s="71"/>
      <c r="J597" s="70">
        <f>IFERROR(VLOOKUP(Devis[[#This Row],[Ref Air Flux]],#REF!,3,FALSE),0)</f>
        <v>0</v>
      </c>
      <c r="K597" s="68"/>
      <c r="L597" s="68"/>
      <c r="M597" s="68"/>
      <c r="N597" s="68"/>
      <c r="O597" s="68"/>
      <c r="P597" s="68"/>
      <c r="Q597" s="68">
        <f>SUM(Devis[[#This Row],[Poste 1]:[Poste 6]])</f>
        <v>0</v>
      </c>
      <c r="R597" s="71"/>
      <c r="S597" s="68">
        <f>_xlfn.CEILING.MATH(Devis[[#This Row],[Quantité Totale]],Devis[[#This Row],[Conditionnement]])</f>
        <v>0</v>
      </c>
      <c r="T597" s="72"/>
      <c r="U597" s="73"/>
      <c r="V597" s="74">
        <f>Devis[[#This Row],[Prix de Revient]]*Devis[[#This Row],[Poste 1]]</f>
        <v>0</v>
      </c>
      <c r="W597" s="74">
        <f>Devis[[#This Row],[Prix de Revient]]*Devis[[#This Row],[Poste 2]]</f>
        <v>0</v>
      </c>
      <c r="X597" s="74">
        <f>Devis[[#This Row],[Prix de Revient]]*Devis[[#This Row],[Poste 3]]</f>
        <v>0</v>
      </c>
      <c r="Y597" s="74">
        <f>Devis[[#This Row],[Poste 4]]*Devis[[#This Row],[Prix de Revient]]</f>
        <v>0</v>
      </c>
      <c r="Z597" s="74">
        <f>Devis[[#This Row],[Poste 5]]*Devis[[#This Row],[Prix de Revient]]</f>
        <v>0</v>
      </c>
      <c r="AA597" s="74">
        <f>Devis[[#This Row],[Prix de Revient]]*Devis[[#This Row],[Poste 6]]</f>
        <v>0</v>
      </c>
      <c r="AB597" s="74">
        <f>Devis[[#This Row],[Quantité Totale]]*Devis[[#This Row],[Prix de Revient]]</f>
        <v>0</v>
      </c>
    </row>
    <row r="598" spans="1:28" ht="14.25" outlineLevel="1" x14ac:dyDescent="0.2">
      <c r="A598" s="75" t="s">
        <v>326</v>
      </c>
      <c r="B598" s="76" t="s">
        <v>5039</v>
      </c>
      <c r="C598" s="73" t="s">
        <v>3894</v>
      </c>
      <c r="D598" s="81" t="str">
        <f t="shared" si="10"/>
        <v>CuveReservoir Horizontal - Air compriméAutres</v>
      </c>
      <c r="E598" s="75" t="s">
        <v>5058</v>
      </c>
      <c r="F598" s="81">
        <v>15</v>
      </c>
      <c r="G598" s="71" t="s">
        <v>5059</v>
      </c>
      <c r="H598" s="71" t="s">
        <v>2953</v>
      </c>
      <c r="I598" s="71"/>
      <c r="J598" s="70">
        <f>IFERROR(VLOOKUP(Devis[[#This Row],[Ref Air Flux]],#REF!,3,FALSE),0)</f>
        <v>0</v>
      </c>
      <c r="K598" s="68"/>
      <c r="L598" s="68"/>
      <c r="M598" s="68"/>
      <c r="N598" s="68"/>
      <c r="O598" s="68"/>
      <c r="P598" s="68"/>
      <c r="Q598" s="68">
        <f>SUM(Devis[[#This Row],[Poste 1]:[Poste 6]])</f>
        <v>0</v>
      </c>
      <c r="R598" s="71"/>
      <c r="S598" s="68">
        <f>_xlfn.CEILING.MATH(Devis[[#This Row],[Quantité Totale]],Devis[[#This Row],[Conditionnement]])</f>
        <v>0</v>
      </c>
      <c r="T598" s="72"/>
      <c r="U598" s="73"/>
      <c r="V598" s="74">
        <f>Devis[[#This Row],[Prix de Revient]]*Devis[[#This Row],[Poste 1]]</f>
        <v>0</v>
      </c>
      <c r="W598" s="74">
        <f>Devis[[#This Row],[Prix de Revient]]*Devis[[#This Row],[Poste 2]]</f>
        <v>0</v>
      </c>
      <c r="X598" s="74">
        <f>Devis[[#This Row],[Prix de Revient]]*Devis[[#This Row],[Poste 3]]</f>
        <v>0</v>
      </c>
      <c r="Y598" s="74">
        <f>Devis[[#This Row],[Poste 4]]*Devis[[#This Row],[Prix de Revient]]</f>
        <v>0</v>
      </c>
      <c r="Z598" s="74">
        <f>Devis[[#This Row],[Poste 5]]*Devis[[#This Row],[Prix de Revient]]</f>
        <v>0</v>
      </c>
      <c r="AA598" s="74">
        <f>Devis[[#This Row],[Prix de Revient]]*Devis[[#This Row],[Poste 6]]</f>
        <v>0</v>
      </c>
      <c r="AB598" s="74">
        <f>Devis[[#This Row],[Quantité Totale]]*Devis[[#This Row],[Prix de Revient]]</f>
        <v>0</v>
      </c>
    </row>
    <row r="599" spans="1:28" ht="14.25" outlineLevel="1" x14ac:dyDescent="0.2">
      <c r="A599" s="75" t="s">
        <v>326</v>
      </c>
      <c r="B599" s="76" t="s">
        <v>5039</v>
      </c>
      <c r="C599" s="73" t="s">
        <v>3894</v>
      </c>
      <c r="D599" s="81" t="str">
        <f t="shared" si="10"/>
        <v>CuveReservoir Horizontal - Air compriméAutres</v>
      </c>
      <c r="E599" s="75" t="s">
        <v>5060</v>
      </c>
      <c r="F599" s="81">
        <v>16</v>
      </c>
      <c r="G599" s="71" t="s">
        <v>5061</v>
      </c>
      <c r="H599" s="71" t="s">
        <v>4759</v>
      </c>
      <c r="I599" s="71"/>
      <c r="J599" s="70">
        <f>IFERROR(VLOOKUP(Devis[[#This Row],[Ref Air Flux]],#REF!,3,FALSE),0)</f>
        <v>0</v>
      </c>
      <c r="K599" s="68"/>
      <c r="L599" s="68"/>
      <c r="M599" s="68"/>
      <c r="N599" s="68"/>
      <c r="O599" s="68"/>
      <c r="P599" s="68"/>
      <c r="Q599" s="68">
        <f>SUM(Devis[[#This Row],[Poste 1]:[Poste 6]])</f>
        <v>0</v>
      </c>
      <c r="R599" s="71"/>
      <c r="S599" s="68">
        <f>_xlfn.CEILING.MATH(Devis[[#This Row],[Quantité Totale]],Devis[[#This Row],[Conditionnement]])</f>
        <v>0</v>
      </c>
      <c r="T599" s="72"/>
      <c r="U599" s="73"/>
      <c r="V599" s="74">
        <f>Devis[[#This Row],[Prix de Revient]]*Devis[[#This Row],[Poste 1]]</f>
        <v>0</v>
      </c>
      <c r="W599" s="74">
        <f>Devis[[#This Row],[Prix de Revient]]*Devis[[#This Row],[Poste 2]]</f>
        <v>0</v>
      </c>
      <c r="X599" s="74">
        <f>Devis[[#This Row],[Prix de Revient]]*Devis[[#This Row],[Poste 3]]</f>
        <v>0</v>
      </c>
      <c r="Y599" s="74">
        <f>Devis[[#This Row],[Poste 4]]*Devis[[#This Row],[Prix de Revient]]</f>
        <v>0</v>
      </c>
      <c r="Z599" s="74">
        <f>Devis[[#This Row],[Poste 5]]*Devis[[#This Row],[Prix de Revient]]</f>
        <v>0</v>
      </c>
      <c r="AA599" s="74">
        <f>Devis[[#This Row],[Prix de Revient]]*Devis[[#This Row],[Poste 6]]</f>
        <v>0</v>
      </c>
      <c r="AB599" s="74">
        <f>Devis[[#This Row],[Quantité Totale]]*Devis[[#This Row],[Prix de Revient]]</f>
        <v>0</v>
      </c>
    </row>
    <row r="600" spans="1:28" ht="14.25" outlineLevel="1" x14ac:dyDescent="0.2">
      <c r="A600" s="75" t="s">
        <v>326</v>
      </c>
      <c r="B600" s="76" t="s">
        <v>5039</v>
      </c>
      <c r="C600" s="73" t="s">
        <v>3894</v>
      </c>
      <c r="D600" s="81" t="str">
        <f t="shared" si="10"/>
        <v>CuveReservoir Horizontal - Air compriméAutres</v>
      </c>
      <c r="E600" s="75" t="s">
        <v>5062</v>
      </c>
      <c r="F600" s="81">
        <v>17</v>
      </c>
      <c r="G600" s="71" t="s">
        <v>5063</v>
      </c>
      <c r="H600" s="71" t="s">
        <v>4963</v>
      </c>
      <c r="I600" s="71"/>
      <c r="J600" s="70">
        <f>IFERROR(VLOOKUP(Devis[[#This Row],[Ref Air Flux]],#REF!,3,FALSE),0)</f>
        <v>0</v>
      </c>
      <c r="K600" s="68"/>
      <c r="L600" s="68"/>
      <c r="M600" s="68"/>
      <c r="N600" s="68"/>
      <c r="O600" s="68"/>
      <c r="P600" s="68"/>
      <c r="Q600" s="68">
        <f>SUM(Devis[[#This Row],[Poste 1]:[Poste 6]])</f>
        <v>0</v>
      </c>
      <c r="R600" s="71"/>
      <c r="S600" s="68">
        <f>_xlfn.CEILING.MATH(Devis[[#This Row],[Quantité Totale]],Devis[[#This Row],[Conditionnement]])</f>
        <v>0</v>
      </c>
      <c r="T600" s="72"/>
      <c r="U600" s="73"/>
      <c r="V600" s="74">
        <f>Devis[[#This Row],[Prix de Revient]]*Devis[[#This Row],[Poste 1]]</f>
        <v>0</v>
      </c>
      <c r="W600" s="74">
        <f>Devis[[#This Row],[Prix de Revient]]*Devis[[#This Row],[Poste 2]]</f>
        <v>0</v>
      </c>
      <c r="X600" s="74">
        <f>Devis[[#This Row],[Prix de Revient]]*Devis[[#This Row],[Poste 3]]</f>
        <v>0</v>
      </c>
      <c r="Y600" s="74">
        <f>Devis[[#This Row],[Poste 4]]*Devis[[#This Row],[Prix de Revient]]</f>
        <v>0</v>
      </c>
      <c r="Z600" s="74">
        <f>Devis[[#This Row],[Poste 5]]*Devis[[#This Row],[Prix de Revient]]</f>
        <v>0</v>
      </c>
      <c r="AA600" s="74">
        <f>Devis[[#This Row],[Prix de Revient]]*Devis[[#This Row],[Poste 6]]</f>
        <v>0</v>
      </c>
      <c r="AB600" s="74">
        <f>Devis[[#This Row],[Quantité Totale]]*Devis[[#This Row],[Prix de Revient]]</f>
        <v>0</v>
      </c>
    </row>
    <row r="601" spans="1:28" ht="14.25" outlineLevel="1" x14ac:dyDescent="0.2">
      <c r="A601" s="75" t="s">
        <v>326</v>
      </c>
      <c r="B601" s="76" t="s">
        <v>5039</v>
      </c>
      <c r="C601" s="73" t="s">
        <v>3894</v>
      </c>
      <c r="D601" s="81" t="str">
        <f t="shared" si="10"/>
        <v>CuveReservoir Horizontal - Air compriméAutres</v>
      </c>
      <c r="E601" s="75" t="s">
        <v>5064</v>
      </c>
      <c r="F601" s="81">
        <v>18</v>
      </c>
      <c r="G601" s="71" t="s">
        <v>5065</v>
      </c>
      <c r="H601" s="71" t="s">
        <v>2953</v>
      </c>
      <c r="I601" s="71"/>
      <c r="J601" s="70">
        <f>IFERROR(VLOOKUP(Devis[[#This Row],[Ref Air Flux]],#REF!,3,FALSE),0)</f>
        <v>0</v>
      </c>
      <c r="K601" s="68"/>
      <c r="L601" s="68"/>
      <c r="M601" s="68"/>
      <c r="N601" s="68"/>
      <c r="O601" s="68"/>
      <c r="P601" s="68"/>
      <c r="Q601" s="68">
        <f>SUM(Devis[[#This Row],[Poste 1]:[Poste 6]])</f>
        <v>0</v>
      </c>
      <c r="R601" s="71"/>
      <c r="S601" s="68">
        <f>_xlfn.CEILING.MATH(Devis[[#This Row],[Quantité Totale]],Devis[[#This Row],[Conditionnement]])</f>
        <v>0</v>
      </c>
      <c r="T601" s="72"/>
      <c r="U601" s="73"/>
      <c r="V601" s="74">
        <f>Devis[[#This Row],[Prix de Revient]]*Devis[[#This Row],[Poste 1]]</f>
        <v>0</v>
      </c>
      <c r="W601" s="74">
        <f>Devis[[#This Row],[Prix de Revient]]*Devis[[#This Row],[Poste 2]]</f>
        <v>0</v>
      </c>
      <c r="X601" s="74">
        <f>Devis[[#This Row],[Prix de Revient]]*Devis[[#This Row],[Poste 3]]</f>
        <v>0</v>
      </c>
      <c r="Y601" s="74">
        <f>Devis[[#This Row],[Poste 4]]*Devis[[#This Row],[Prix de Revient]]</f>
        <v>0</v>
      </c>
      <c r="Z601" s="74">
        <f>Devis[[#This Row],[Poste 5]]*Devis[[#This Row],[Prix de Revient]]</f>
        <v>0</v>
      </c>
      <c r="AA601" s="74">
        <f>Devis[[#This Row],[Prix de Revient]]*Devis[[#This Row],[Poste 6]]</f>
        <v>0</v>
      </c>
      <c r="AB601" s="74">
        <f>Devis[[#This Row],[Quantité Totale]]*Devis[[#This Row],[Prix de Revient]]</f>
        <v>0</v>
      </c>
    </row>
    <row r="602" spans="1:28" ht="14.25" outlineLevel="1" x14ac:dyDescent="0.2">
      <c r="A602" s="75" t="s">
        <v>326</v>
      </c>
      <c r="B602" s="76" t="s">
        <v>5039</v>
      </c>
      <c r="C602" s="73" t="s">
        <v>3894</v>
      </c>
      <c r="D602" s="81" t="str">
        <f t="shared" si="10"/>
        <v>CuveReservoir Horizontal - Air compriméAutres</v>
      </c>
      <c r="E602" s="75" t="s">
        <v>5062</v>
      </c>
      <c r="F602" s="81">
        <v>19</v>
      </c>
      <c r="G602" s="71" t="s">
        <v>5066</v>
      </c>
      <c r="H602" s="71" t="s">
        <v>4759</v>
      </c>
      <c r="I602" s="71"/>
      <c r="J602" s="70">
        <f>IFERROR(VLOOKUP(Devis[[#This Row],[Ref Air Flux]],#REF!,3,FALSE),0)</f>
        <v>0</v>
      </c>
      <c r="K602" s="68"/>
      <c r="L602" s="68"/>
      <c r="M602" s="68"/>
      <c r="N602" s="68"/>
      <c r="O602" s="68"/>
      <c r="P602" s="68"/>
      <c r="Q602" s="68">
        <f>SUM(Devis[[#This Row],[Poste 1]:[Poste 6]])</f>
        <v>0</v>
      </c>
      <c r="R602" s="71"/>
      <c r="S602" s="68">
        <f>_xlfn.CEILING.MATH(Devis[[#This Row],[Quantité Totale]],Devis[[#This Row],[Conditionnement]])</f>
        <v>0</v>
      </c>
      <c r="T602" s="72"/>
      <c r="U602" s="73"/>
      <c r="V602" s="74">
        <f>Devis[[#This Row],[Prix de Revient]]*Devis[[#This Row],[Poste 1]]</f>
        <v>0</v>
      </c>
      <c r="W602" s="74">
        <f>Devis[[#This Row],[Prix de Revient]]*Devis[[#This Row],[Poste 2]]</f>
        <v>0</v>
      </c>
      <c r="X602" s="74">
        <f>Devis[[#This Row],[Prix de Revient]]*Devis[[#This Row],[Poste 3]]</f>
        <v>0</v>
      </c>
      <c r="Y602" s="74">
        <f>Devis[[#This Row],[Poste 4]]*Devis[[#This Row],[Prix de Revient]]</f>
        <v>0</v>
      </c>
      <c r="Z602" s="74">
        <f>Devis[[#This Row],[Poste 5]]*Devis[[#This Row],[Prix de Revient]]</f>
        <v>0</v>
      </c>
      <c r="AA602" s="74">
        <f>Devis[[#This Row],[Prix de Revient]]*Devis[[#This Row],[Poste 6]]</f>
        <v>0</v>
      </c>
      <c r="AB602" s="74">
        <f>Devis[[#This Row],[Quantité Totale]]*Devis[[#This Row],[Prix de Revient]]</f>
        <v>0</v>
      </c>
    </row>
    <row r="603" spans="1:28" ht="14.25" outlineLevel="1" x14ac:dyDescent="0.2">
      <c r="A603" s="75" t="s">
        <v>326</v>
      </c>
      <c r="B603" s="76" t="s">
        <v>5039</v>
      </c>
      <c r="C603" s="73" t="s">
        <v>3894</v>
      </c>
      <c r="D603" s="81" t="str">
        <f t="shared" si="10"/>
        <v>CuveReservoir Horizontal - Air compriméAutres</v>
      </c>
      <c r="E603" s="75" t="s">
        <v>5067</v>
      </c>
      <c r="F603" s="81">
        <v>20</v>
      </c>
      <c r="G603" s="71" t="s">
        <v>5068</v>
      </c>
      <c r="H603" s="71" t="s">
        <v>4759</v>
      </c>
      <c r="I603" s="71"/>
      <c r="J603" s="70">
        <f>IFERROR(VLOOKUP(Devis[[#This Row],[Ref Air Flux]],#REF!,3,FALSE),0)</f>
        <v>0</v>
      </c>
      <c r="K603" s="68"/>
      <c r="L603" s="68"/>
      <c r="M603" s="68"/>
      <c r="N603" s="68"/>
      <c r="O603" s="68"/>
      <c r="P603" s="68"/>
      <c r="Q603" s="68">
        <f>SUM(Devis[[#This Row],[Poste 1]:[Poste 6]])</f>
        <v>0</v>
      </c>
      <c r="R603" s="71"/>
      <c r="S603" s="68">
        <f>_xlfn.CEILING.MATH(Devis[[#This Row],[Quantité Totale]],Devis[[#This Row],[Conditionnement]])</f>
        <v>0</v>
      </c>
      <c r="T603" s="72"/>
      <c r="U603" s="73"/>
      <c r="V603" s="74">
        <f>Devis[[#This Row],[Prix de Revient]]*Devis[[#This Row],[Poste 1]]</f>
        <v>0</v>
      </c>
      <c r="W603" s="74">
        <f>Devis[[#This Row],[Prix de Revient]]*Devis[[#This Row],[Poste 2]]</f>
        <v>0</v>
      </c>
      <c r="X603" s="74">
        <f>Devis[[#This Row],[Prix de Revient]]*Devis[[#This Row],[Poste 3]]</f>
        <v>0</v>
      </c>
      <c r="Y603" s="74">
        <f>Devis[[#This Row],[Poste 4]]*Devis[[#This Row],[Prix de Revient]]</f>
        <v>0</v>
      </c>
      <c r="Z603" s="74">
        <f>Devis[[#This Row],[Poste 5]]*Devis[[#This Row],[Prix de Revient]]</f>
        <v>0</v>
      </c>
      <c r="AA603" s="74">
        <f>Devis[[#This Row],[Prix de Revient]]*Devis[[#This Row],[Poste 6]]</f>
        <v>0</v>
      </c>
      <c r="AB603" s="74">
        <f>Devis[[#This Row],[Quantité Totale]]*Devis[[#This Row],[Prix de Revient]]</f>
        <v>0</v>
      </c>
    </row>
    <row r="604" spans="1:28" ht="14.25" outlineLevel="1" x14ac:dyDescent="0.2">
      <c r="A604" s="75" t="s">
        <v>326</v>
      </c>
      <c r="B604" s="76" t="s">
        <v>5039</v>
      </c>
      <c r="C604" s="73" t="s">
        <v>3894</v>
      </c>
      <c r="D604" s="81" t="str">
        <f t="shared" si="10"/>
        <v>CuveReservoir Horizontal - Air compriméAutres</v>
      </c>
      <c r="E604" s="75" t="s">
        <v>5069</v>
      </c>
      <c r="F604" s="81">
        <v>21</v>
      </c>
      <c r="G604" s="71" t="s">
        <v>5070</v>
      </c>
      <c r="H604" s="71" t="s">
        <v>4764</v>
      </c>
      <c r="I604" s="71"/>
      <c r="J604" s="70">
        <f>IFERROR(VLOOKUP(Devis[[#This Row],[Ref Air Flux]],#REF!,3,FALSE),0)</f>
        <v>0</v>
      </c>
      <c r="K604" s="68"/>
      <c r="L604" s="68"/>
      <c r="M604" s="68"/>
      <c r="N604" s="68"/>
      <c r="O604" s="68"/>
      <c r="P604" s="68"/>
      <c r="Q604" s="68">
        <f>SUM(Devis[[#This Row],[Poste 1]:[Poste 6]])</f>
        <v>0</v>
      </c>
      <c r="R604" s="71"/>
      <c r="S604" s="68">
        <f>_xlfn.CEILING.MATH(Devis[[#This Row],[Quantité Totale]],Devis[[#This Row],[Conditionnement]])</f>
        <v>0</v>
      </c>
      <c r="T604" s="72"/>
      <c r="U604" s="73"/>
      <c r="V604" s="74">
        <f>Devis[[#This Row],[Prix de Revient]]*Devis[[#This Row],[Poste 1]]</f>
        <v>0</v>
      </c>
      <c r="W604" s="74">
        <f>Devis[[#This Row],[Prix de Revient]]*Devis[[#This Row],[Poste 2]]</f>
        <v>0</v>
      </c>
      <c r="X604" s="74">
        <f>Devis[[#This Row],[Prix de Revient]]*Devis[[#This Row],[Poste 3]]</f>
        <v>0</v>
      </c>
      <c r="Y604" s="74">
        <f>Devis[[#This Row],[Poste 4]]*Devis[[#This Row],[Prix de Revient]]</f>
        <v>0</v>
      </c>
      <c r="Z604" s="74">
        <f>Devis[[#This Row],[Poste 5]]*Devis[[#This Row],[Prix de Revient]]</f>
        <v>0</v>
      </c>
      <c r="AA604" s="74">
        <f>Devis[[#This Row],[Prix de Revient]]*Devis[[#This Row],[Poste 6]]</f>
        <v>0</v>
      </c>
      <c r="AB604" s="74">
        <f>Devis[[#This Row],[Quantité Totale]]*Devis[[#This Row],[Prix de Revient]]</f>
        <v>0</v>
      </c>
    </row>
    <row r="605" spans="1:28" ht="14.25" outlineLevel="1" x14ac:dyDescent="0.2">
      <c r="A605" s="75" t="s">
        <v>326</v>
      </c>
      <c r="B605" s="76" t="s">
        <v>5039</v>
      </c>
      <c r="C605" s="73" t="s">
        <v>3894</v>
      </c>
      <c r="D605" s="81" t="str">
        <f t="shared" si="10"/>
        <v>CuveReservoir Horizontal - Air compriméAutres</v>
      </c>
      <c r="E605" s="75" t="s">
        <v>4948</v>
      </c>
      <c r="F605" s="81">
        <v>22</v>
      </c>
      <c r="G605" s="71" t="s">
        <v>5071</v>
      </c>
      <c r="H605" s="71" t="s">
        <v>2953</v>
      </c>
      <c r="I605" s="71"/>
      <c r="J605" s="70">
        <f>IFERROR(VLOOKUP(Devis[[#This Row],[Ref Air Flux]],#REF!,3,FALSE),0)</f>
        <v>0</v>
      </c>
      <c r="K605" s="68"/>
      <c r="L605" s="68"/>
      <c r="M605" s="68"/>
      <c r="N605" s="68"/>
      <c r="O605" s="68"/>
      <c r="P605" s="68"/>
      <c r="Q605" s="68">
        <f>SUM(Devis[[#This Row],[Poste 1]:[Poste 6]])</f>
        <v>0</v>
      </c>
      <c r="R605" s="71"/>
      <c r="S605" s="68">
        <f>_xlfn.CEILING.MATH(Devis[[#This Row],[Quantité Totale]],Devis[[#This Row],[Conditionnement]])</f>
        <v>0</v>
      </c>
      <c r="T605" s="72"/>
      <c r="U605" s="73"/>
      <c r="V605" s="74">
        <f>Devis[[#This Row],[Prix de Revient]]*Devis[[#This Row],[Poste 1]]</f>
        <v>0</v>
      </c>
      <c r="W605" s="74">
        <f>Devis[[#This Row],[Prix de Revient]]*Devis[[#This Row],[Poste 2]]</f>
        <v>0</v>
      </c>
      <c r="X605" s="74">
        <f>Devis[[#This Row],[Prix de Revient]]*Devis[[#This Row],[Poste 3]]</f>
        <v>0</v>
      </c>
      <c r="Y605" s="74">
        <f>Devis[[#This Row],[Poste 4]]*Devis[[#This Row],[Prix de Revient]]</f>
        <v>0</v>
      </c>
      <c r="Z605" s="74">
        <f>Devis[[#This Row],[Poste 5]]*Devis[[#This Row],[Prix de Revient]]</f>
        <v>0</v>
      </c>
      <c r="AA605" s="74">
        <f>Devis[[#This Row],[Prix de Revient]]*Devis[[#This Row],[Poste 6]]</f>
        <v>0</v>
      </c>
      <c r="AB605" s="74">
        <f>Devis[[#This Row],[Quantité Totale]]*Devis[[#This Row],[Prix de Revient]]</f>
        <v>0</v>
      </c>
    </row>
    <row r="606" spans="1:28" ht="14.25" outlineLevel="1" x14ac:dyDescent="0.2">
      <c r="A606" s="75" t="s">
        <v>326</v>
      </c>
      <c r="B606" s="76" t="s">
        <v>5039</v>
      </c>
      <c r="C606" s="73" t="s">
        <v>3894</v>
      </c>
      <c r="D606" s="81" t="str">
        <f t="shared" si="10"/>
        <v>CuveReservoir Horizontal - Air compriméAutres</v>
      </c>
      <c r="E606" s="75" t="s">
        <v>5072</v>
      </c>
      <c r="F606" s="81">
        <v>23</v>
      </c>
      <c r="G606" s="71" t="s">
        <v>5073</v>
      </c>
      <c r="H606" s="71" t="s">
        <v>2953</v>
      </c>
      <c r="I606" s="71"/>
      <c r="J606" s="70">
        <f>IFERROR(VLOOKUP(Devis[[#This Row],[Ref Air Flux]],#REF!,3,FALSE),0)</f>
        <v>0</v>
      </c>
      <c r="K606" s="68"/>
      <c r="L606" s="68"/>
      <c r="M606" s="68"/>
      <c r="N606" s="68"/>
      <c r="O606" s="68"/>
      <c r="P606" s="68"/>
      <c r="Q606" s="68">
        <f>SUM(Devis[[#This Row],[Poste 1]:[Poste 6]])</f>
        <v>0</v>
      </c>
      <c r="R606" s="71"/>
      <c r="S606" s="68">
        <f>_xlfn.CEILING.MATH(Devis[[#This Row],[Quantité Totale]],Devis[[#This Row],[Conditionnement]])</f>
        <v>0</v>
      </c>
      <c r="T606" s="72"/>
      <c r="U606" s="73"/>
      <c r="V606" s="74">
        <f>Devis[[#This Row],[Prix de Revient]]*Devis[[#This Row],[Poste 1]]</f>
        <v>0</v>
      </c>
      <c r="W606" s="74">
        <f>Devis[[#This Row],[Prix de Revient]]*Devis[[#This Row],[Poste 2]]</f>
        <v>0</v>
      </c>
      <c r="X606" s="74">
        <f>Devis[[#This Row],[Prix de Revient]]*Devis[[#This Row],[Poste 3]]</f>
        <v>0</v>
      </c>
      <c r="Y606" s="74">
        <f>Devis[[#This Row],[Poste 4]]*Devis[[#This Row],[Prix de Revient]]</f>
        <v>0</v>
      </c>
      <c r="Z606" s="74">
        <f>Devis[[#This Row],[Poste 5]]*Devis[[#This Row],[Prix de Revient]]</f>
        <v>0</v>
      </c>
      <c r="AA606" s="74">
        <f>Devis[[#This Row],[Prix de Revient]]*Devis[[#This Row],[Poste 6]]</f>
        <v>0</v>
      </c>
      <c r="AB606" s="74">
        <f>Devis[[#This Row],[Quantité Totale]]*Devis[[#This Row],[Prix de Revient]]</f>
        <v>0</v>
      </c>
    </row>
    <row r="607" spans="1:28" ht="14.25" outlineLevel="1" x14ac:dyDescent="0.2">
      <c r="A607" s="75" t="s">
        <v>326</v>
      </c>
      <c r="B607" s="76" t="s">
        <v>5039</v>
      </c>
      <c r="C607" s="73" t="s">
        <v>3894</v>
      </c>
      <c r="D607" s="81" t="str">
        <f t="shared" si="10"/>
        <v>CuveReservoir Horizontal - Air compriméAutres</v>
      </c>
      <c r="E607" s="75" t="s">
        <v>5072</v>
      </c>
      <c r="F607" s="81">
        <v>24</v>
      </c>
      <c r="G607" s="71" t="s">
        <v>5074</v>
      </c>
      <c r="H607" s="71" t="s">
        <v>4759</v>
      </c>
      <c r="I607" s="71"/>
      <c r="J607" s="70">
        <f>IFERROR(VLOOKUP(Devis[[#This Row],[Ref Air Flux]],#REF!,3,FALSE),0)</f>
        <v>0</v>
      </c>
      <c r="K607" s="68"/>
      <c r="L607" s="68"/>
      <c r="M607" s="68"/>
      <c r="N607" s="68"/>
      <c r="O607" s="68"/>
      <c r="P607" s="68"/>
      <c r="Q607" s="68">
        <f>SUM(Devis[[#This Row],[Poste 1]:[Poste 6]])</f>
        <v>0</v>
      </c>
      <c r="R607" s="71"/>
      <c r="S607" s="68">
        <f>_xlfn.CEILING.MATH(Devis[[#This Row],[Quantité Totale]],Devis[[#This Row],[Conditionnement]])</f>
        <v>0</v>
      </c>
      <c r="T607" s="72"/>
      <c r="U607" s="73"/>
      <c r="V607" s="74">
        <f>Devis[[#This Row],[Prix de Revient]]*Devis[[#This Row],[Poste 1]]</f>
        <v>0</v>
      </c>
      <c r="W607" s="74">
        <f>Devis[[#This Row],[Prix de Revient]]*Devis[[#This Row],[Poste 2]]</f>
        <v>0</v>
      </c>
      <c r="X607" s="74">
        <f>Devis[[#This Row],[Prix de Revient]]*Devis[[#This Row],[Poste 3]]</f>
        <v>0</v>
      </c>
      <c r="Y607" s="74">
        <f>Devis[[#This Row],[Poste 4]]*Devis[[#This Row],[Prix de Revient]]</f>
        <v>0</v>
      </c>
      <c r="Z607" s="74">
        <f>Devis[[#This Row],[Poste 5]]*Devis[[#This Row],[Prix de Revient]]</f>
        <v>0</v>
      </c>
      <c r="AA607" s="74">
        <f>Devis[[#This Row],[Prix de Revient]]*Devis[[#This Row],[Poste 6]]</f>
        <v>0</v>
      </c>
      <c r="AB607" s="74">
        <f>Devis[[#This Row],[Quantité Totale]]*Devis[[#This Row],[Prix de Revient]]</f>
        <v>0</v>
      </c>
    </row>
    <row r="608" spans="1:28" ht="14.25" outlineLevel="1" x14ac:dyDescent="0.2">
      <c r="A608" s="75" t="s">
        <v>326</v>
      </c>
      <c r="B608" s="76" t="s">
        <v>5039</v>
      </c>
      <c r="C608" s="73" t="s">
        <v>3894</v>
      </c>
      <c r="D608" s="81" t="str">
        <f t="shared" si="10"/>
        <v>CuveReservoir Horizontal - Air compriméAutres</v>
      </c>
      <c r="E608" s="75" t="s">
        <v>4915</v>
      </c>
      <c r="F608" s="81">
        <v>25</v>
      </c>
      <c r="G608" s="71" t="s">
        <v>5075</v>
      </c>
      <c r="H608" s="71" t="s">
        <v>4759</v>
      </c>
      <c r="I608" s="71"/>
      <c r="J608" s="70">
        <f>IFERROR(VLOOKUP(Devis[[#This Row],[Ref Air Flux]],#REF!,3,FALSE),0)</f>
        <v>0</v>
      </c>
      <c r="K608" s="68"/>
      <c r="L608" s="68"/>
      <c r="M608" s="68"/>
      <c r="N608" s="68"/>
      <c r="O608" s="68"/>
      <c r="P608" s="68"/>
      <c r="Q608" s="68">
        <f>SUM(Devis[[#This Row],[Poste 1]:[Poste 6]])</f>
        <v>0</v>
      </c>
      <c r="R608" s="71"/>
      <c r="S608" s="68">
        <f>_xlfn.CEILING.MATH(Devis[[#This Row],[Quantité Totale]],Devis[[#This Row],[Conditionnement]])</f>
        <v>0</v>
      </c>
      <c r="T608" s="72"/>
      <c r="U608" s="73"/>
      <c r="V608" s="74">
        <f>Devis[[#This Row],[Prix de Revient]]*Devis[[#This Row],[Poste 1]]</f>
        <v>0</v>
      </c>
      <c r="W608" s="74">
        <f>Devis[[#This Row],[Prix de Revient]]*Devis[[#This Row],[Poste 2]]</f>
        <v>0</v>
      </c>
      <c r="X608" s="74">
        <f>Devis[[#This Row],[Prix de Revient]]*Devis[[#This Row],[Poste 3]]</f>
        <v>0</v>
      </c>
      <c r="Y608" s="74">
        <f>Devis[[#This Row],[Poste 4]]*Devis[[#This Row],[Prix de Revient]]</f>
        <v>0</v>
      </c>
      <c r="Z608" s="74">
        <f>Devis[[#This Row],[Poste 5]]*Devis[[#This Row],[Prix de Revient]]</f>
        <v>0</v>
      </c>
      <c r="AA608" s="74">
        <f>Devis[[#This Row],[Prix de Revient]]*Devis[[#This Row],[Poste 6]]</f>
        <v>0</v>
      </c>
      <c r="AB608" s="74">
        <f>Devis[[#This Row],[Quantité Totale]]*Devis[[#This Row],[Prix de Revient]]</f>
        <v>0</v>
      </c>
    </row>
    <row r="609" spans="1:28" ht="14.25" outlineLevel="1" x14ac:dyDescent="0.2">
      <c r="A609" s="75" t="s">
        <v>326</v>
      </c>
      <c r="B609" s="76" t="s">
        <v>5039</v>
      </c>
      <c r="C609" s="73" t="s">
        <v>3894</v>
      </c>
      <c r="D609" s="81" t="str">
        <f t="shared" si="10"/>
        <v>CuveReservoir Horizontal - Air compriméAutres</v>
      </c>
      <c r="E609" s="75" t="s">
        <v>4955</v>
      </c>
      <c r="F609" s="81">
        <v>26</v>
      </c>
      <c r="G609" s="71" t="s">
        <v>5076</v>
      </c>
      <c r="H609" s="71" t="s">
        <v>2953</v>
      </c>
      <c r="I609" s="71"/>
      <c r="J609" s="70">
        <f>IFERROR(VLOOKUP(Devis[[#This Row],[Ref Air Flux]],#REF!,3,FALSE),0)</f>
        <v>0</v>
      </c>
      <c r="K609" s="68"/>
      <c r="L609" s="68"/>
      <c r="M609" s="68"/>
      <c r="N609" s="68"/>
      <c r="O609" s="68"/>
      <c r="P609" s="68"/>
      <c r="Q609" s="68">
        <f>SUM(Devis[[#This Row],[Poste 1]:[Poste 6]])</f>
        <v>0</v>
      </c>
      <c r="R609" s="71"/>
      <c r="S609" s="68">
        <f>_xlfn.CEILING.MATH(Devis[[#This Row],[Quantité Totale]],Devis[[#This Row],[Conditionnement]])</f>
        <v>0</v>
      </c>
      <c r="T609" s="72"/>
      <c r="U609" s="73"/>
      <c r="V609" s="74">
        <f>Devis[[#This Row],[Prix de Revient]]*Devis[[#This Row],[Poste 1]]</f>
        <v>0</v>
      </c>
      <c r="W609" s="74">
        <f>Devis[[#This Row],[Prix de Revient]]*Devis[[#This Row],[Poste 2]]</f>
        <v>0</v>
      </c>
      <c r="X609" s="74">
        <f>Devis[[#This Row],[Prix de Revient]]*Devis[[#This Row],[Poste 3]]</f>
        <v>0</v>
      </c>
      <c r="Y609" s="74">
        <f>Devis[[#This Row],[Poste 4]]*Devis[[#This Row],[Prix de Revient]]</f>
        <v>0</v>
      </c>
      <c r="Z609" s="74">
        <f>Devis[[#This Row],[Poste 5]]*Devis[[#This Row],[Prix de Revient]]</f>
        <v>0</v>
      </c>
      <c r="AA609" s="74">
        <f>Devis[[#This Row],[Prix de Revient]]*Devis[[#This Row],[Poste 6]]</f>
        <v>0</v>
      </c>
      <c r="AB609" s="74">
        <f>Devis[[#This Row],[Quantité Totale]]*Devis[[#This Row],[Prix de Revient]]</f>
        <v>0</v>
      </c>
    </row>
    <row r="610" spans="1:28" ht="14.25" outlineLevel="1" x14ac:dyDescent="0.2">
      <c r="A610" s="75" t="s">
        <v>326</v>
      </c>
      <c r="B610" s="76" t="s">
        <v>5039</v>
      </c>
      <c r="C610" s="73" t="s">
        <v>3894</v>
      </c>
      <c r="D610" s="81" t="str">
        <f t="shared" si="10"/>
        <v>CuveReservoir Horizontal - Air compriméAutres</v>
      </c>
      <c r="E610" s="75" t="s">
        <v>5077</v>
      </c>
      <c r="F610" s="81">
        <v>27</v>
      </c>
      <c r="G610" s="71" t="s">
        <v>5078</v>
      </c>
      <c r="H610" s="71" t="s">
        <v>4954</v>
      </c>
      <c r="I610" s="71"/>
      <c r="J610" s="70">
        <f>IFERROR(VLOOKUP(Devis[[#This Row],[Ref Air Flux]],#REF!,3,FALSE),0)</f>
        <v>0</v>
      </c>
      <c r="K610" s="68"/>
      <c r="L610" s="68"/>
      <c r="M610" s="68"/>
      <c r="N610" s="68"/>
      <c r="O610" s="68"/>
      <c r="P610" s="68"/>
      <c r="Q610" s="68">
        <f>SUM(Devis[[#This Row],[Poste 1]:[Poste 6]])</f>
        <v>0</v>
      </c>
      <c r="R610" s="71"/>
      <c r="S610" s="68">
        <f>_xlfn.CEILING.MATH(Devis[[#This Row],[Quantité Totale]],Devis[[#This Row],[Conditionnement]])</f>
        <v>0</v>
      </c>
      <c r="T610" s="72"/>
      <c r="U610" s="73"/>
      <c r="V610" s="74">
        <f>Devis[[#This Row],[Prix de Revient]]*Devis[[#This Row],[Poste 1]]</f>
        <v>0</v>
      </c>
      <c r="W610" s="74">
        <f>Devis[[#This Row],[Prix de Revient]]*Devis[[#This Row],[Poste 2]]</f>
        <v>0</v>
      </c>
      <c r="X610" s="74">
        <f>Devis[[#This Row],[Prix de Revient]]*Devis[[#This Row],[Poste 3]]</f>
        <v>0</v>
      </c>
      <c r="Y610" s="74">
        <f>Devis[[#This Row],[Poste 4]]*Devis[[#This Row],[Prix de Revient]]</f>
        <v>0</v>
      </c>
      <c r="Z610" s="74">
        <f>Devis[[#This Row],[Poste 5]]*Devis[[#This Row],[Prix de Revient]]</f>
        <v>0</v>
      </c>
      <c r="AA610" s="74">
        <f>Devis[[#This Row],[Prix de Revient]]*Devis[[#This Row],[Poste 6]]</f>
        <v>0</v>
      </c>
      <c r="AB610" s="74">
        <f>Devis[[#This Row],[Quantité Totale]]*Devis[[#This Row],[Prix de Revient]]</f>
        <v>0</v>
      </c>
    </row>
    <row r="611" spans="1:28" ht="15" customHeight="1" outlineLevel="1" x14ac:dyDescent="0.2">
      <c r="A611" s="75" t="s">
        <v>326</v>
      </c>
      <c r="B611" s="76" t="s">
        <v>5039</v>
      </c>
      <c r="C611" s="73" t="s">
        <v>3894</v>
      </c>
      <c r="D611" s="81" t="str">
        <f t="shared" si="10"/>
        <v>CuveReservoir Horizontal - Air compriméAutres</v>
      </c>
      <c r="E611" s="75" t="s">
        <v>5079</v>
      </c>
      <c r="F611" s="81">
        <v>28</v>
      </c>
      <c r="G611" s="71" t="s">
        <v>5080</v>
      </c>
      <c r="H611" s="71" t="s">
        <v>5081</v>
      </c>
      <c r="I611" s="71"/>
      <c r="J611" s="70">
        <f>IFERROR(VLOOKUP(Devis[[#This Row],[Ref Air Flux]],#REF!,3,FALSE),0)</f>
        <v>0</v>
      </c>
      <c r="K611" s="68"/>
      <c r="L611" s="68"/>
      <c r="M611" s="68"/>
      <c r="N611" s="68"/>
      <c r="O611" s="68"/>
      <c r="P611" s="68"/>
      <c r="Q611" s="68">
        <f>SUM(Devis[[#This Row],[Poste 1]:[Poste 6]])</f>
        <v>0</v>
      </c>
      <c r="R611" s="71"/>
      <c r="S611" s="68">
        <f>_xlfn.CEILING.MATH(Devis[[#This Row],[Quantité Totale]],Devis[[#This Row],[Conditionnement]])</f>
        <v>0</v>
      </c>
      <c r="T611" s="72"/>
      <c r="U611" s="73"/>
      <c r="V611" s="74">
        <f>Devis[[#This Row],[Prix de Revient]]*Devis[[#This Row],[Poste 1]]</f>
        <v>0</v>
      </c>
      <c r="W611" s="74">
        <f>Devis[[#This Row],[Prix de Revient]]*Devis[[#This Row],[Poste 2]]</f>
        <v>0</v>
      </c>
      <c r="X611" s="74">
        <f>Devis[[#This Row],[Prix de Revient]]*Devis[[#This Row],[Poste 3]]</f>
        <v>0</v>
      </c>
      <c r="Y611" s="74">
        <f>Devis[[#This Row],[Poste 4]]*Devis[[#This Row],[Prix de Revient]]</f>
        <v>0</v>
      </c>
      <c r="Z611" s="74">
        <f>Devis[[#This Row],[Poste 5]]*Devis[[#This Row],[Prix de Revient]]</f>
        <v>0</v>
      </c>
      <c r="AA611" s="74">
        <f>Devis[[#This Row],[Prix de Revient]]*Devis[[#This Row],[Poste 6]]</f>
        <v>0</v>
      </c>
      <c r="AB611" s="74">
        <f>Devis[[#This Row],[Quantité Totale]]*Devis[[#This Row],[Prix de Revient]]</f>
        <v>0</v>
      </c>
    </row>
    <row r="612" spans="1:28" ht="14.25" outlineLevel="1" x14ac:dyDescent="0.2">
      <c r="A612" s="75" t="s">
        <v>326</v>
      </c>
      <c r="B612" s="76" t="s">
        <v>5039</v>
      </c>
      <c r="C612" s="73" t="s">
        <v>3894</v>
      </c>
      <c r="D612" s="81" t="str">
        <f t="shared" ref="D612:D675" si="11">A612&amp;B612&amp;C612</f>
        <v>CuveReservoir Horizontal - Air compriméAutres</v>
      </c>
      <c r="E612" s="75" t="s">
        <v>5082</v>
      </c>
      <c r="F612" s="81">
        <v>29</v>
      </c>
      <c r="G612" s="71" t="s">
        <v>5083</v>
      </c>
      <c r="H612" s="71" t="s">
        <v>5081</v>
      </c>
      <c r="I612" s="71"/>
      <c r="J612" s="70">
        <f>IFERROR(VLOOKUP(Devis[[#This Row],[Ref Air Flux]],#REF!,3,FALSE),0)</f>
        <v>0</v>
      </c>
      <c r="K612" s="68"/>
      <c r="L612" s="68"/>
      <c r="M612" s="68"/>
      <c r="N612" s="68"/>
      <c r="O612" s="68"/>
      <c r="P612" s="68"/>
      <c r="Q612" s="68">
        <f>SUM(Devis[[#This Row],[Poste 1]:[Poste 6]])</f>
        <v>0</v>
      </c>
      <c r="R612" s="71"/>
      <c r="S612" s="68">
        <f>_xlfn.CEILING.MATH(Devis[[#This Row],[Quantité Totale]],Devis[[#This Row],[Conditionnement]])</f>
        <v>0</v>
      </c>
      <c r="T612" s="72"/>
      <c r="U612" s="73"/>
      <c r="V612" s="74">
        <f>Devis[[#This Row],[Prix de Revient]]*Devis[[#This Row],[Poste 1]]</f>
        <v>0</v>
      </c>
      <c r="W612" s="74">
        <f>Devis[[#This Row],[Prix de Revient]]*Devis[[#This Row],[Poste 2]]</f>
        <v>0</v>
      </c>
      <c r="X612" s="74">
        <f>Devis[[#This Row],[Prix de Revient]]*Devis[[#This Row],[Poste 3]]</f>
        <v>0</v>
      </c>
      <c r="Y612" s="74">
        <f>Devis[[#This Row],[Poste 4]]*Devis[[#This Row],[Prix de Revient]]</f>
        <v>0</v>
      </c>
      <c r="Z612" s="74">
        <f>Devis[[#This Row],[Poste 5]]*Devis[[#This Row],[Prix de Revient]]</f>
        <v>0</v>
      </c>
      <c r="AA612" s="74">
        <f>Devis[[#This Row],[Prix de Revient]]*Devis[[#This Row],[Poste 6]]</f>
        <v>0</v>
      </c>
      <c r="AB612" s="74">
        <f>Devis[[#This Row],[Quantité Totale]]*Devis[[#This Row],[Prix de Revient]]</f>
        <v>0</v>
      </c>
    </row>
    <row r="613" spans="1:28" ht="14.25" outlineLevel="1" x14ac:dyDescent="0.2">
      <c r="A613" s="75" t="s">
        <v>326</v>
      </c>
      <c r="B613" s="76" t="s">
        <v>5039</v>
      </c>
      <c r="C613" s="73" t="s">
        <v>3894</v>
      </c>
      <c r="D613" s="81" t="str">
        <f t="shared" si="11"/>
        <v>CuveReservoir Horizontal - Air compriméAutres</v>
      </c>
      <c r="E613" s="75" t="s">
        <v>4966</v>
      </c>
      <c r="F613" s="81">
        <v>30</v>
      </c>
      <c r="G613" s="71" t="s">
        <v>5084</v>
      </c>
      <c r="H613" s="71" t="s">
        <v>2953</v>
      </c>
      <c r="I613" s="71"/>
      <c r="J613" s="70">
        <f>IFERROR(VLOOKUP(Devis[[#This Row],[Ref Air Flux]],#REF!,3,FALSE),0)</f>
        <v>0</v>
      </c>
      <c r="K613" s="68"/>
      <c r="L613" s="68"/>
      <c r="M613" s="68"/>
      <c r="N613" s="68"/>
      <c r="O613" s="68"/>
      <c r="P613" s="68"/>
      <c r="Q613" s="68">
        <f>SUM(Devis[[#This Row],[Poste 1]:[Poste 6]])</f>
        <v>0</v>
      </c>
      <c r="R613" s="71"/>
      <c r="S613" s="68">
        <f>_xlfn.CEILING.MATH(Devis[[#This Row],[Quantité Totale]],Devis[[#This Row],[Conditionnement]])</f>
        <v>0</v>
      </c>
      <c r="T613" s="72"/>
      <c r="U613" s="73"/>
      <c r="V613" s="74">
        <f>Devis[[#This Row],[Prix de Revient]]*Devis[[#This Row],[Poste 1]]</f>
        <v>0</v>
      </c>
      <c r="W613" s="74">
        <f>Devis[[#This Row],[Prix de Revient]]*Devis[[#This Row],[Poste 2]]</f>
        <v>0</v>
      </c>
      <c r="X613" s="74">
        <f>Devis[[#This Row],[Prix de Revient]]*Devis[[#This Row],[Poste 3]]</f>
        <v>0</v>
      </c>
      <c r="Y613" s="74">
        <f>Devis[[#This Row],[Poste 4]]*Devis[[#This Row],[Prix de Revient]]</f>
        <v>0</v>
      </c>
      <c r="Z613" s="74">
        <f>Devis[[#This Row],[Poste 5]]*Devis[[#This Row],[Prix de Revient]]</f>
        <v>0</v>
      </c>
      <c r="AA613" s="74">
        <f>Devis[[#This Row],[Prix de Revient]]*Devis[[#This Row],[Poste 6]]</f>
        <v>0</v>
      </c>
      <c r="AB613" s="74">
        <f>Devis[[#This Row],[Quantité Totale]]*Devis[[#This Row],[Prix de Revient]]</f>
        <v>0</v>
      </c>
    </row>
    <row r="614" spans="1:28" ht="14.25" outlineLevel="1" x14ac:dyDescent="0.2">
      <c r="A614" s="75" t="s">
        <v>326</v>
      </c>
      <c r="B614" s="76" t="s">
        <v>5039</v>
      </c>
      <c r="C614" s="73" t="s">
        <v>3894</v>
      </c>
      <c r="D614" s="81" t="str">
        <f t="shared" si="11"/>
        <v>CuveReservoir Horizontal - Air compriméAutres</v>
      </c>
      <c r="E614" s="75" t="s">
        <v>5085</v>
      </c>
      <c r="F614" s="81">
        <v>31</v>
      </c>
      <c r="G614" s="71" t="s">
        <v>5086</v>
      </c>
      <c r="H614" s="71" t="s">
        <v>4954</v>
      </c>
      <c r="I614" s="71"/>
      <c r="J614" s="70">
        <f>IFERROR(VLOOKUP(Devis[[#This Row],[Ref Air Flux]],#REF!,3,FALSE),0)</f>
        <v>0</v>
      </c>
      <c r="K614" s="68"/>
      <c r="L614" s="68"/>
      <c r="M614" s="68"/>
      <c r="N614" s="68"/>
      <c r="O614" s="68"/>
      <c r="P614" s="68"/>
      <c r="Q614" s="68">
        <f>SUM(Devis[[#This Row],[Poste 1]:[Poste 6]])</f>
        <v>0</v>
      </c>
      <c r="R614" s="71"/>
      <c r="S614" s="68">
        <f>_xlfn.CEILING.MATH(Devis[[#This Row],[Quantité Totale]],Devis[[#This Row],[Conditionnement]])</f>
        <v>0</v>
      </c>
      <c r="T614" s="72"/>
      <c r="U614" s="73"/>
      <c r="V614" s="74">
        <f>Devis[[#This Row],[Prix de Revient]]*Devis[[#This Row],[Poste 1]]</f>
        <v>0</v>
      </c>
      <c r="W614" s="74">
        <f>Devis[[#This Row],[Prix de Revient]]*Devis[[#This Row],[Poste 2]]</f>
        <v>0</v>
      </c>
      <c r="X614" s="74">
        <f>Devis[[#This Row],[Prix de Revient]]*Devis[[#This Row],[Poste 3]]</f>
        <v>0</v>
      </c>
      <c r="Y614" s="74">
        <f>Devis[[#This Row],[Poste 4]]*Devis[[#This Row],[Prix de Revient]]</f>
        <v>0</v>
      </c>
      <c r="Z614" s="74">
        <f>Devis[[#This Row],[Poste 5]]*Devis[[#This Row],[Prix de Revient]]</f>
        <v>0</v>
      </c>
      <c r="AA614" s="74">
        <f>Devis[[#This Row],[Prix de Revient]]*Devis[[#This Row],[Poste 6]]</f>
        <v>0</v>
      </c>
      <c r="AB614" s="74">
        <f>Devis[[#This Row],[Quantité Totale]]*Devis[[#This Row],[Prix de Revient]]</f>
        <v>0</v>
      </c>
    </row>
    <row r="615" spans="1:28" ht="14.25" outlineLevel="1" x14ac:dyDescent="0.2">
      <c r="A615" s="75" t="s">
        <v>326</v>
      </c>
      <c r="B615" s="76" t="s">
        <v>5039</v>
      </c>
      <c r="C615" s="73" t="s">
        <v>3894</v>
      </c>
      <c r="D615" s="81" t="str">
        <f t="shared" si="11"/>
        <v>CuveReservoir Horizontal - Air compriméAutres</v>
      </c>
      <c r="E615" s="75" t="s">
        <v>4971</v>
      </c>
      <c r="F615" s="81">
        <v>32</v>
      </c>
      <c r="G615" s="71" t="s">
        <v>5087</v>
      </c>
      <c r="H615" s="71" t="s">
        <v>4759</v>
      </c>
      <c r="I615" s="71"/>
      <c r="J615" s="70">
        <f>IFERROR(VLOOKUP(Devis[[#This Row],[Ref Air Flux]],#REF!,3,FALSE),0)</f>
        <v>0</v>
      </c>
      <c r="K615" s="68"/>
      <c r="L615" s="68"/>
      <c r="M615" s="68"/>
      <c r="N615" s="68"/>
      <c r="O615" s="68"/>
      <c r="P615" s="68"/>
      <c r="Q615" s="68">
        <f>SUM(Devis[[#This Row],[Poste 1]:[Poste 6]])</f>
        <v>0</v>
      </c>
      <c r="R615" s="71"/>
      <c r="S615" s="68">
        <f>_xlfn.CEILING.MATH(Devis[[#This Row],[Quantité Totale]],Devis[[#This Row],[Conditionnement]])</f>
        <v>0</v>
      </c>
      <c r="T615" s="72"/>
      <c r="U615" s="73"/>
      <c r="V615" s="74">
        <f>Devis[[#This Row],[Prix de Revient]]*Devis[[#This Row],[Poste 1]]</f>
        <v>0</v>
      </c>
      <c r="W615" s="74">
        <f>Devis[[#This Row],[Prix de Revient]]*Devis[[#This Row],[Poste 2]]</f>
        <v>0</v>
      </c>
      <c r="X615" s="74">
        <f>Devis[[#This Row],[Prix de Revient]]*Devis[[#This Row],[Poste 3]]</f>
        <v>0</v>
      </c>
      <c r="Y615" s="74">
        <f>Devis[[#This Row],[Poste 4]]*Devis[[#This Row],[Prix de Revient]]</f>
        <v>0</v>
      </c>
      <c r="Z615" s="74">
        <f>Devis[[#This Row],[Poste 5]]*Devis[[#This Row],[Prix de Revient]]</f>
        <v>0</v>
      </c>
      <c r="AA615" s="74">
        <f>Devis[[#This Row],[Prix de Revient]]*Devis[[#This Row],[Poste 6]]</f>
        <v>0</v>
      </c>
      <c r="AB615" s="74">
        <f>Devis[[#This Row],[Quantité Totale]]*Devis[[#This Row],[Prix de Revient]]</f>
        <v>0</v>
      </c>
    </row>
    <row r="616" spans="1:28" ht="14.25" outlineLevel="1" x14ac:dyDescent="0.2">
      <c r="A616" s="75" t="s">
        <v>326</v>
      </c>
      <c r="B616" s="76" t="s">
        <v>5039</v>
      </c>
      <c r="C616" s="73" t="s">
        <v>3894</v>
      </c>
      <c r="D616" s="81" t="str">
        <f t="shared" si="11"/>
        <v>CuveReservoir Horizontal - Air compriméAutres</v>
      </c>
      <c r="E616" s="75" t="s">
        <v>5088</v>
      </c>
      <c r="F616" s="81">
        <v>33</v>
      </c>
      <c r="G616" s="71" t="s">
        <v>5089</v>
      </c>
      <c r="H616" s="71" t="s">
        <v>4759</v>
      </c>
      <c r="I616" s="71"/>
      <c r="J616" s="70">
        <f>IFERROR(VLOOKUP(Devis[[#This Row],[Ref Air Flux]],#REF!,3,FALSE),0)</f>
        <v>0</v>
      </c>
      <c r="K616" s="68"/>
      <c r="L616" s="68"/>
      <c r="M616" s="68"/>
      <c r="N616" s="68"/>
      <c r="O616" s="68"/>
      <c r="P616" s="68"/>
      <c r="Q616" s="68">
        <f>SUM(Devis[[#This Row],[Poste 1]:[Poste 6]])</f>
        <v>0</v>
      </c>
      <c r="R616" s="71"/>
      <c r="S616" s="68">
        <f>_xlfn.CEILING.MATH(Devis[[#This Row],[Quantité Totale]],Devis[[#This Row],[Conditionnement]])</f>
        <v>0</v>
      </c>
      <c r="T616" s="72"/>
      <c r="U616" s="73"/>
      <c r="V616" s="74">
        <f>Devis[[#This Row],[Prix de Revient]]*Devis[[#This Row],[Poste 1]]</f>
        <v>0</v>
      </c>
      <c r="W616" s="74">
        <f>Devis[[#This Row],[Prix de Revient]]*Devis[[#This Row],[Poste 2]]</f>
        <v>0</v>
      </c>
      <c r="X616" s="74">
        <f>Devis[[#This Row],[Prix de Revient]]*Devis[[#This Row],[Poste 3]]</f>
        <v>0</v>
      </c>
      <c r="Y616" s="74">
        <f>Devis[[#This Row],[Poste 4]]*Devis[[#This Row],[Prix de Revient]]</f>
        <v>0</v>
      </c>
      <c r="Z616" s="74">
        <f>Devis[[#This Row],[Poste 5]]*Devis[[#This Row],[Prix de Revient]]</f>
        <v>0</v>
      </c>
      <c r="AA616" s="74">
        <f>Devis[[#This Row],[Prix de Revient]]*Devis[[#This Row],[Poste 6]]</f>
        <v>0</v>
      </c>
      <c r="AB616" s="74">
        <f>Devis[[#This Row],[Quantité Totale]]*Devis[[#This Row],[Prix de Revient]]</f>
        <v>0</v>
      </c>
    </row>
    <row r="617" spans="1:28" ht="14.25" outlineLevel="1" x14ac:dyDescent="0.2">
      <c r="A617" s="75" t="s">
        <v>326</v>
      </c>
      <c r="B617" s="76" t="s">
        <v>5039</v>
      </c>
      <c r="C617" s="73" t="s">
        <v>3894</v>
      </c>
      <c r="D617" s="81" t="str">
        <f t="shared" si="11"/>
        <v>CuveReservoir Horizontal - Air compriméAutres</v>
      </c>
      <c r="E617" s="75" t="s">
        <v>5090</v>
      </c>
      <c r="F617" s="81">
        <v>34</v>
      </c>
      <c r="G617" s="71" t="s">
        <v>5091</v>
      </c>
      <c r="H617" s="71" t="s">
        <v>4759</v>
      </c>
      <c r="I617" s="71"/>
      <c r="J617" s="70">
        <f>IFERROR(VLOOKUP(Devis[[#This Row],[Ref Air Flux]],#REF!,3,FALSE),0)</f>
        <v>0</v>
      </c>
      <c r="K617" s="68"/>
      <c r="L617" s="68"/>
      <c r="M617" s="68"/>
      <c r="N617" s="68"/>
      <c r="O617" s="68"/>
      <c r="P617" s="68"/>
      <c r="Q617" s="68">
        <f>SUM(Devis[[#This Row],[Poste 1]:[Poste 6]])</f>
        <v>0</v>
      </c>
      <c r="R617" s="71"/>
      <c r="S617" s="68">
        <f>_xlfn.CEILING.MATH(Devis[[#This Row],[Quantité Totale]],Devis[[#This Row],[Conditionnement]])</f>
        <v>0</v>
      </c>
      <c r="T617" s="72"/>
      <c r="U617" s="73"/>
      <c r="V617" s="74">
        <f>Devis[[#This Row],[Prix de Revient]]*Devis[[#This Row],[Poste 1]]</f>
        <v>0</v>
      </c>
      <c r="W617" s="74">
        <f>Devis[[#This Row],[Prix de Revient]]*Devis[[#This Row],[Poste 2]]</f>
        <v>0</v>
      </c>
      <c r="X617" s="74">
        <f>Devis[[#This Row],[Prix de Revient]]*Devis[[#This Row],[Poste 3]]</f>
        <v>0</v>
      </c>
      <c r="Y617" s="74">
        <f>Devis[[#This Row],[Poste 4]]*Devis[[#This Row],[Prix de Revient]]</f>
        <v>0</v>
      </c>
      <c r="Z617" s="74">
        <f>Devis[[#This Row],[Poste 5]]*Devis[[#This Row],[Prix de Revient]]</f>
        <v>0</v>
      </c>
      <c r="AA617" s="74">
        <f>Devis[[#This Row],[Prix de Revient]]*Devis[[#This Row],[Poste 6]]</f>
        <v>0</v>
      </c>
      <c r="AB617" s="74">
        <f>Devis[[#This Row],[Quantité Totale]]*Devis[[#This Row],[Prix de Revient]]</f>
        <v>0</v>
      </c>
    </row>
    <row r="618" spans="1:28" ht="14.25" outlineLevel="1" x14ac:dyDescent="0.2">
      <c r="A618" s="75" t="s">
        <v>326</v>
      </c>
      <c r="B618" s="76" t="s">
        <v>5039</v>
      </c>
      <c r="C618" s="73" t="s">
        <v>3894</v>
      </c>
      <c r="D618" s="81" t="str">
        <f t="shared" si="11"/>
        <v>CuveReservoir Horizontal - Air compriméAutres</v>
      </c>
      <c r="E618" s="75" t="s">
        <v>5092</v>
      </c>
      <c r="F618" s="81">
        <v>35</v>
      </c>
      <c r="G618" s="71" t="s">
        <v>5093</v>
      </c>
      <c r="H618" s="71" t="s">
        <v>5094</v>
      </c>
      <c r="I618" s="71"/>
      <c r="J618" s="70">
        <f>IFERROR(VLOOKUP(Devis[[#This Row],[Ref Air Flux]],#REF!,3,FALSE),0)</f>
        <v>0</v>
      </c>
      <c r="K618" s="68"/>
      <c r="L618" s="68"/>
      <c r="M618" s="68"/>
      <c r="N618" s="68"/>
      <c r="O618" s="68"/>
      <c r="P618" s="68"/>
      <c r="Q618" s="68">
        <f>SUM(Devis[[#This Row],[Poste 1]:[Poste 6]])</f>
        <v>0</v>
      </c>
      <c r="R618" s="71"/>
      <c r="S618" s="68">
        <f>_xlfn.CEILING.MATH(Devis[[#This Row],[Quantité Totale]],Devis[[#This Row],[Conditionnement]])</f>
        <v>0</v>
      </c>
      <c r="T618" s="72"/>
      <c r="U618" s="73"/>
      <c r="V618" s="74">
        <f>Devis[[#This Row],[Prix de Revient]]*Devis[[#This Row],[Poste 1]]</f>
        <v>0</v>
      </c>
      <c r="W618" s="74">
        <f>Devis[[#This Row],[Prix de Revient]]*Devis[[#This Row],[Poste 2]]</f>
        <v>0</v>
      </c>
      <c r="X618" s="74">
        <f>Devis[[#This Row],[Prix de Revient]]*Devis[[#This Row],[Poste 3]]</f>
        <v>0</v>
      </c>
      <c r="Y618" s="74">
        <f>Devis[[#This Row],[Poste 4]]*Devis[[#This Row],[Prix de Revient]]</f>
        <v>0</v>
      </c>
      <c r="Z618" s="74">
        <f>Devis[[#This Row],[Poste 5]]*Devis[[#This Row],[Prix de Revient]]</f>
        <v>0</v>
      </c>
      <c r="AA618" s="74">
        <f>Devis[[#This Row],[Prix de Revient]]*Devis[[#This Row],[Poste 6]]</f>
        <v>0</v>
      </c>
      <c r="AB618" s="74">
        <f>Devis[[#This Row],[Quantité Totale]]*Devis[[#This Row],[Prix de Revient]]</f>
        <v>0</v>
      </c>
    </row>
    <row r="619" spans="1:28" ht="14.25" customHeight="1" x14ac:dyDescent="0.25">
      <c r="A619" s="65" t="s">
        <v>326</v>
      </c>
      <c r="B619" s="65" t="s">
        <v>4825</v>
      </c>
      <c r="C619" s="76"/>
      <c r="D619" s="81" t="str">
        <f t="shared" si="11"/>
        <v>CuveReservoir Vertical - Air comprimé</v>
      </c>
      <c r="E619" s="76"/>
      <c r="F619" s="81">
        <v>0</v>
      </c>
      <c r="G619" s="71"/>
      <c r="H619" s="71"/>
      <c r="I619" s="71"/>
      <c r="J619" s="70">
        <f>IFERROR(VLOOKUP(Devis[[#This Row],[Ref Air Flux]],#REF!,3,FALSE),0)</f>
        <v>0</v>
      </c>
      <c r="K619" s="68"/>
      <c r="L619" s="68"/>
      <c r="M619" s="68"/>
      <c r="N619" s="68"/>
      <c r="O619" s="68"/>
      <c r="P619" s="68"/>
      <c r="Q619" s="68">
        <f>SUM(Devis[[#This Row],[Poste 1]:[Poste 6]])</f>
        <v>0</v>
      </c>
      <c r="R619" s="71"/>
      <c r="S619" s="68">
        <f>_xlfn.CEILING.MATH(Devis[[#This Row],[Quantité Totale]],Devis[[#This Row],[Conditionnement]])</f>
        <v>0</v>
      </c>
      <c r="T619" s="72"/>
      <c r="U619" s="73"/>
      <c r="V619" s="74">
        <f>Devis[[#This Row],[Prix de Revient]]*Devis[[#This Row],[Poste 1]]</f>
        <v>0</v>
      </c>
      <c r="W619" s="74">
        <f>Devis[[#This Row],[Prix de Revient]]*Devis[[#This Row],[Poste 2]]</f>
        <v>0</v>
      </c>
      <c r="X619" s="74">
        <f>Devis[[#This Row],[Prix de Revient]]*Devis[[#This Row],[Poste 3]]</f>
        <v>0</v>
      </c>
      <c r="Y619" s="74">
        <f>Devis[[#This Row],[Poste 4]]*Devis[[#This Row],[Prix de Revient]]</f>
        <v>0</v>
      </c>
      <c r="Z619" s="74">
        <f>Devis[[#This Row],[Poste 5]]*Devis[[#This Row],[Prix de Revient]]</f>
        <v>0</v>
      </c>
      <c r="AA619" s="74">
        <f>Devis[[#This Row],[Prix de Revient]]*Devis[[#This Row],[Poste 6]]</f>
        <v>0</v>
      </c>
      <c r="AB619" s="74">
        <f>Devis[[#This Row],[Quantité Totale]]*Devis[[#This Row],[Prix de Revient]]</f>
        <v>0</v>
      </c>
    </row>
    <row r="620" spans="1:28" ht="14.25" outlineLevel="1" x14ac:dyDescent="0.2">
      <c r="A620" s="75" t="s">
        <v>326</v>
      </c>
      <c r="B620" s="76" t="s">
        <v>4825</v>
      </c>
      <c r="C620" s="75" t="s">
        <v>4826</v>
      </c>
      <c r="D620" s="81" t="str">
        <f t="shared" si="11"/>
        <v>CuveReservoir Vertical - Air compriméCompair</v>
      </c>
      <c r="E620" s="75" t="s">
        <v>4827</v>
      </c>
      <c r="F620" s="81">
        <v>1</v>
      </c>
      <c r="G620" s="71" t="s">
        <v>4828</v>
      </c>
      <c r="H620" s="71" t="s">
        <v>4826</v>
      </c>
      <c r="I620" s="71"/>
      <c r="J620" s="70">
        <f>IFERROR(VLOOKUP(Devis[[#This Row],[Ref Air Flux]],#REF!,3,FALSE),0)</f>
        <v>0</v>
      </c>
      <c r="K620" s="68"/>
      <c r="L620" s="68"/>
      <c r="M620" s="68"/>
      <c r="N620" s="68"/>
      <c r="O620" s="68"/>
      <c r="P620" s="68"/>
      <c r="Q620" s="68">
        <f>SUM(Devis[[#This Row],[Poste 1]:[Poste 6]])</f>
        <v>0</v>
      </c>
      <c r="R620" s="71"/>
      <c r="S620" s="68">
        <f>_xlfn.CEILING.MATH(Devis[[#This Row],[Quantité Totale]],Devis[[#This Row],[Conditionnement]])</f>
        <v>0</v>
      </c>
      <c r="T620" s="72"/>
      <c r="U620" s="73"/>
      <c r="V620" s="74">
        <f>Devis[[#This Row],[Prix de Revient]]*Devis[[#This Row],[Poste 1]]</f>
        <v>0</v>
      </c>
      <c r="W620" s="74">
        <f>Devis[[#This Row],[Prix de Revient]]*Devis[[#This Row],[Poste 2]]</f>
        <v>0</v>
      </c>
      <c r="X620" s="74">
        <f>Devis[[#This Row],[Prix de Revient]]*Devis[[#This Row],[Poste 3]]</f>
        <v>0</v>
      </c>
      <c r="Y620" s="74">
        <f>Devis[[#This Row],[Poste 4]]*Devis[[#This Row],[Prix de Revient]]</f>
        <v>0</v>
      </c>
      <c r="Z620" s="74">
        <f>Devis[[#This Row],[Poste 5]]*Devis[[#This Row],[Prix de Revient]]</f>
        <v>0</v>
      </c>
      <c r="AA620" s="74">
        <f>Devis[[#This Row],[Prix de Revient]]*Devis[[#This Row],[Poste 6]]</f>
        <v>0</v>
      </c>
      <c r="AB620" s="74">
        <f>Devis[[#This Row],[Quantité Totale]]*Devis[[#This Row],[Prix de Revient]]</f>
        <v>0</v>
      </c>
    </row>
    <row r="621" spans="1:28" ht="14.25" outlineLevel="1" x14ac:dyDescent="0.2">
      <c r="A621" s="75" t="s">
        <v>326</v>
      </c>
      <c r="B621" s="76" t="s">
        <v>4825</v>
      </c>
      <c r="C621" s="75" t="s">
        <v>4826</v>
      </c>
      <c r="D621" s="81" t="str">
        <f t="shared" si="11"/>
        <v>CuveReservoir Vertical - Air compriméCompair</v>
      </c>
      <c r="E621" s="75" t="s">
        <v>4829</v>
      </c>
      <c r="F621" s="81">
        <v>2</v>
      </c>
      <c r="G621" s="71" t="s">
        <v>4830</v>
      </c>
      <c r="H621" s="71" t="s">
        <v>4826</v>
      </c>
      <c r="I621" s="71"/>
      <c r="J621" s="70">
        <f>IFERROR(VLOOKUP(Devis[[#This Row],[Ref Air Flux]],#REF!,3,FALSE),0)</f>
        <v>0</v>
      </c>
      <c r="K621" s="68"/>
      <c r="L621" s="68"/>
      <c r="M621" s="68"/>
      <c r="N621" s="68"/>
      <c r="O621" s="68"/>
      <c r="P621" s="68"/>
      <c r="Q621" s="68">
        <f>SUM(Devis[[#This Row],[Poste 1]:[Poste 6]])</f>
        <v>0</v>
      </c>
      <c r="R621" s="71"/>
      <c r="S621" s="68">
        <f>_xlfn.CEILING.MATH(Devis[[#This Row],[Quantité Totale]],Devis[[#This Row],[Conditionnement]])</f>
        <v>0</v>
      </c>
      <c r="T621" s="72"/>
      <c r="U621" s="73"/>
      <c r="V621" s="74">
        <f>Devis[[#This Row],[Prix de Revient]]*Devis[[#This Row],[Poste 1]]</f>
        <v>0</v>
      </c>
      <c r="W621" s="74">
        <f>Devis[[#This Row],[Prix de Revient]]*Devis[[#This Row],[Poste 2]]</f>
        <v>0</v>
      </c>
      <c r="X621" s="74">
        <f>Devis[[#This Row],[Prix de Revient]]*Devis[[#This Row],[Poste 3]]</f>
        <v>0</v>
      </c>
      <c r="Y621" s="74">
        <f>Devis[[#This Row],[Poste 4]]*Devis[[#This Row],[Prix de Revient]]</f>
        <v>0</v>
      </c>
      <c r="Z621" s="74">
        <f>Devis[[#This Row],[Poste 5]]*Devis[[#This Row],[Prix de Revient]]</f>
        <v>0</v>
      </c>
      <c r="AA621" s="74">
        <f>Devis[[#This Row],[Prix de Revient]]*Devis[[#This Row],[Poste 6]]</f>
        <v>0</v>
      </c>
      <c r="AB621" s="74">
        <f>Devis[[#This Row],[Quantité Totale]]*Devis[[#This Row],[Prix de Revient]]</f>
        <v>0</v>
      </c>
    </row>
    <row r="622" spans="1:28" ht="14.25" outlineLevel="1" x14ac:dyDescent="0.2">
      <c r="A622" s="75" t="s">
        <v>326</v>
      </c>
      <c r="B622" s="76" t="s">
        <v>4825</v>
      </c>
      <c r="C622" s="75" t="s">
        <v>4826</v>
      </c>
      <c r="D622" s="81" t="str">
        <f t="shared" si="11"/>
        <v>CuveReservoir Vertical - Air compriméCompair</v>
      </c>
      <c r="E622" s="75" t="s">
        <v>4831</v>
      </c>
      <c r="F622" s="81">
        <v>3</v>
      </c>
      <c r="G622" s="71" t="s">
        <v>4832</v>
      </c>
      <c r="H622" s="71" t="s">
        <v>4826</v>
      </c>
      <c r="I622" s="71"/>
      <c r="J622" s="70">
        <f>IFERROR(VLOOKUP(Devis[[#This Row],[Ref Air Flux]],#REF!,3,FALSE),0)</f>
        <v>0</v>
      </c>
      <c r="K622" s="68"/>
      <c r="L622" s="68"/>
      <c r="M622" s="68"/>
      <c r="N622" s="68"/>
      <c r="O622" s="68"/>
      <c r="P622" s="68"/>
      <c r="Q622" s="68">
        <f>SUM(Devis[[#This Row],[Poste 1]:[Poste 6]])</f>
        <v>0</v>
      </c>
      <c r="R622" s="71"/>
      <c r="S622" s="68">
        <f>_xlfn.CEILING.MATH(Devis[[#This Row],[Quantité Totale]],Devis[[#This Row],[Conditionnement]])</f>
        <v>0</v>
      </c>
      <c r="T622" s="72"/>
      <c r="U622" s="73"/>
      <c r="V622" s="74">
        <f>Devis[[#This Row],[Prix de Revient]]*Devis[[#This Row],[Poste 1]]</f>
        <v>0</v>
      </c>
      <c r="W622" s="74">
        <f>Devis[[#This Row],[Prix de Revient]]*Devis[[#This Row],[Poste 2]]</f>
        <v>0</v>
      </c>
      <c r="X622" s="74">
        <f>Devis[[#This Row],[Prix de Revient]]*Devis[[#This Row],[Poste 3]]</f>
        <v>0</v>
      </c>
      <c r="Y622" s="74">
        <f>Devis[[#This Row],[Poste 4]]*Devis[[#This Row],[Prix de Revient]]</f>
        <v>0</v>
      </c>
      <c r="Z622" s="74">
        <f>Devis[[#This Row],[Poste 5]]*Devis[[#This Row],[Prix de Revient]]</f>
        <v>0</v>
      </c>
      <c r="AA622" s="74">
        <f>Devis[[#This Row],[Prix de Revient]]*Devis[[#This Row],[Poste 6]]</f>
        <v>0</v>
      </c>
      <c r="AB622" s="74">
        <f>Devis[[#This Row],[Quantité Totale]]*Devis[[#This Row],[Prix de Revient]]</f>
        <v>0</v>
      </c>
    </row>
    <row r="623" spans="1:28" ht="15" customHeight="1" outlineLevel="1" x14ac:dyDescent="0.2">
      <c r="A623" s="75" t="s">
        <v>326</v>
      </c>
      <c r="B623" s="76" t="s">
        <v>4825</v>
      </c>
      <c r="C623" s="75" t="s">
        <v>4826</v>
      </c>
      <c r="D623" s="81" t="str">
        <f t="shared" si="11"/>
        <v>CuveReservoir Vertical - Air compriméCompair</v>
      </c>
      <c r="E623" s="75" t="s">
        <v>4833</v>
      </c>
      <c r="F623" s="81">
        <v>4</v>
      </c>
      <c r="G623" s="71" t="s">
        <v>4834</v>
      </c>
      <c r="H623" s="71" t="s">
        <v>4826</v>
      </c>
      <c r="I623" s="71"/>
      <c r="J623" s="70">
        <f>IFERROR(VLOOKUP(Devis[[#This Row],[Ref Air Flux]],#REF!,3,FALSE),0)</f>
        <v>0</v>
      </c>
      <c r="K623" s="68"/>
      <c r="L623" s="68"/>
      <c r="M623" s="68"/>
      <c r="N623" s="68"/>
      <c r="O623" s="68"/>
      <c r="P623" s="68"/>
      <c r="Q623" s="68">
        <f>SUM(Devis[[#This Row],[Poste 1]:[Poste 6]])</f>
        <v>0</v>
      </c>
      <c r="R623" s="71"/>
      <c r="S623" s="68">
        <f>_xlfn.CEILING.MATH(Devis[[#This Row],[Quantité Totale]],Devis[[#This Row],[Conditionnement]])</f>
        <v>0</v>
      </c>
      <c r="T623" s="72"/>
      <c r="U623" s="73"/>
      <c r="V623" s="74">
        <f>Devis[[#This Row],[Prix de Revient]]*Devis[[#This Row],[Poste 1]]</f>
        <v>0</v>
      </c>
      <c r="W623" s="74">
        <f>Devis[[#This Row],[Prix de Revient]]*Devis[[#This Row],[Poste 2]]</f>
        <v>0</v>
      </c>
      <c r="X623" s="74">
        <f>Devis[[#This Row],[Prix de Revient]]*Devis[[#This Row],[Poste 3]]</f>
        <v>0</v>
      </c>
      <c r="Y623" s="74">
        <f>Devis[[#This Row],[Poste 4]]*Devis[[#This Row],[Prix de Revient]]</f>
        <v>0</v>
      </c>
      <c r="Z623" s="74">
        <f>Devis[[#This Row],[Poste 5]]*Devis[[#This Row],[Prix de Revient]]</f>
        <v>0</v>
      </c>
      <c r="AA623" s="74">
        <f>Devis[[#This Row],[Prix de Revient]]*Devis[[#This Row],[Poste 6]]</f>
        <v>0</v>
      </c>
      <c r="AB623" s="74">
        <f>Devis[[#This Row],[Quantité Totale]]*Devis[[#This Row],[Prix de Revient]]</f>
        <v>0</v>
      </c>
    </row>
    <row r="624" spans="1:28" ht="14.25" outlineLevel="1" x14ac:dyDescent="0.2">
      <c r="A624" s="75" t="s">
        <v>326</v>
      </c>
      <c r="B624" s="76" t="s">
        <v>4825</v>
      </c>
      <c r="C624" s="75" t="s">
        <v>4826</v>
      </c>
      <c r="D624" s="81" t="str">
        <f t="shared" si="11"/>
        <v>CuveReservoir Vertical - Air compriméCompair</v>
      </c>
      <c r="E624" s="75" t="s">
        <v>4835</v>
      </c>
      <c r="F624" s="81">
        <v>5</v>
      </c>
      <c r="G624" s="71" t="s">
        <v>4836</v>
      </c>
      <c r="H624" s="71" t="s">
        <v>4826</v>
      </c>
      <c r="I624" s="71"/>
      <c r="J624" s="70">
        <f>IFERROR(VLOOKUP(Devis[[#This Row],[Ref Air Flux]],#REF!,3,FALSE),0)</f>
        <v>0</v>
      </c>
      <c r="K624" s="68"/>
      <c r="L624" s="68"/>
      <c r="M624" s="68"/>
      <c r="N624" s="68"/>
      <c r="O624" s="68"/>
      <c r="P624" s="68"/>
      <c r="Q624" s="68">
        <f>SUM(Devis[[#This Row],[Poste 1]:[Poste 6]])</f>
        <v>0</v>
      </c>
      <c r="R624" s="71"/>
      <c r="S624" s="68">
        <f>_xlfn.CEILING.MATH(Devis[[#This Row],[Quantité Totale]],Devis[[#This Row],[Conditionnement]])</f>
        <v>0</v>
      </c>
      <c r="T624" s="72"/>
      <c r="U624" s="73"/>
      <c r="V624" s="74">
        <f>Devis[[#This Row],[Prix de Revient]]*Devis[[#This Row],[Poste 1]]</f>
        <v>0</v>
      </c>
      <c r="W624" s="74">
        <f>Devis[[#This Row],[Prix de Revient]]*Devis[[#This Row],[Poste 2]]</f>
        <v>0</v>
      </c>
      <c r="X624" s="74">
        <f>Devis[[#This Row],[Prix de Revient]]*Devis[[#This Row],[Poste 3]]</f>
        <v>0</v>
      </c>
      <c r="Y624" s="74">
        <f>Devis[[#This Row],[Poste 4]]*Devis[[#This Row],[Prix de Revient]]</f>
        <v>0</v>
      </c>
      <c r="Z624" s="74">
        <f>Devis[[#This Row],[Poste 5]]*Devis[[#This Row],[Prix de Revient]]</f>
        <v>0</v>
      </c>
      <c r="AA624" s="74">
        <f>Devis[[#This Row],[Prix de Revient]]*Devis[[#This Row],[Poste 6]]</f>
        <v>0</v>
      </c>
      <c r="AB624" s="74">
        <f>Devis[[#This Row],[Quantité Totale]]*Devis[[#This Row],[Prix de Revient]]</f>
        <v>0</v>
      </c>
    </row>
    <row r="625" spans="1:28" ht="14.25" outlineLevel="1" x14ac:dyDescent="0.2">
      <c r="A625" s="75" t="s">
        <v>326</v>
      </c>
      <c r="B625" s="76" t="s">
        <v>4825</v>
      </c>
      <c r="C625" s="75" t="s">
        <v>4826</v>
      </c>
      <c r="D625" s="81" t="str">
        <f t="shared" si="11"/>
        <v>CuveReservoir Vertical - Air compriméCompair</v>
      </c>
      <c r="E625" s="75" t="s">
        <v>4837</v>
      </c>
      <c r="F625" s="81">
        <v>6</v>
      </c>
      <c r="G625" s="71" t="s">
        <v>4838</v>
      </c>
      <c r="H625" s="71" t="s">
        <v>4826</v>
      </c>
      <c r="I625" s="71"/>
      <c r="J625" s="70">
        <f>IFERROR(VLOOKUP(Devis[[#This Row],[Ref Air Flux]],#REF!,3,FALSE),0)</f>
        <v>0</v>
      </c>
      <c r="K625" s="68"/>
      <c r="L625" s="68"/>
      <c r="M625" s="68"/>
      <c r="N625" s="68"/>
      <c r="O625" s="68"/>
      <c r="P625" s="68"/>
      <c r="Q625" s="68">
        <f>SUM(Devis[[#This Row],[Poste 1]:[Poste 6]])</f>
        <v>0</v>
      </c>
      <c r="R625" s="71"/>
      <c r="S625" s="68">
        <f>_xlfn.CEILING.MATH(Devis[[#This Row],[Quantité Totale]],Devis[[#This Row],[Conditionnement]])</f>
        <v>0</v>
      </c>
      <c r="T625" s="72"/>
      <c r="U625" s="73"/>
      <c r="V625" s="74">
        <f>Devis[[#This Row],[Prix de Revient]]*Devis[[#This Row],[Poste 1]]</f>
        <v>0</v>
      </c>
      <c r="W625" s="74">
        <f>Devis[[#This Row],[Prix de Revient]]*Devis[[#This Row],[Poste 2]]</f>
        <v>0</v>
      </c>
      <c r="X625" s="74">
        <f>Devis[[#This Row],[Prix de Revient]]*Devis[[#This Row],[Poste 3]]</f>
        <v>0</v>
      </c>
      <c r="Y625" s="74">
        <f>Devis[[#This Row],[Poste 4]]*Devis[[#This Row],[Prix de Revient]]</f>
        <v>0</v>
      </c>
      <c r="Z625" s="74">
        <f>Devis[[#This Row],[Poste 5]]*Devis[[#This Row],[Prix de Revient]]</f>
        <v>0</v>
      </c>
      <c r="AA625" s="74">
        <f>Devis[[#This Row],[Prix de Revient]]*Devis[[#This Row],[Poste 6]]</f>
        <v>0</v>
      </c>
      <c r="AB625" s="74">
        <f>Devis[[#This Row],[Quantité Totale]]*Devis[[#This Row],[Prix de Revient]]</f>
        <v>0</v>
      </c>
    </row>
    <row r="626" spans="1:28" ht="14.25" outlineLevel="1" x14ac:dyDescent="0.2">
      <c r="A626" s="75" t="s">
        <v>326</v>
      </c>
      <c r="B626" s="76" t="s">
        <v>4825</v>
      </c>
      <c r="C626" s="75" t="s">
        <v>4826</v>
      </c>
      <c r="D626" s="81" t="str">
        <f t="shared" si="11"/>
        <v>CuveReservoir Vertical - Air compriméCompair</v>
      </c>
      <c r="E626" s="75" t="s">
        <v>4839</v>
      </c>
      <c r="F626" s="81">
        <v>7</v>
      </c>
      <c r="G626" s="71" t="s">
        <v>4840</v>
      </c>
      <c r="H626" s="71" t="s">
        <v>4826</v>
      </c>
      <c r="I626" s="71"/>
      <c r="J626" s="70">
        <f>IFERROR(VLOOKUP(Devis[[#This Row],[Ref Air Flux]],#REF!,3,FALSE),0)</f>
        <v>0</v>
      </c>
      <c r="K626" s="68"/>
      <c r="L626" s="68"/>
      <c r="M626" s="68"/>
      <c r="N626" s="68"/>
      <c r="O626" s="68"/>
      <c r="P626" s="68"/>
      <c r="Q626" s="68">
        <f>SUM(Devis[[#This Row],[Poste 1]:[Poste 6]])</f>
        <v>0</v>
      </c>
      <c r="R626" s="71"/>
      <c r="S626" s="68">
        <f>_xlfn.CEILING.MATH(Devis[[#This Row],[Quantité Totale]],Devis[[#This Row],[Conditionnement]])</f>
        <v>0</v>
      </c>
      <c r="T626" s="72"/>
      <c r="U626" s="73"/>
      <c r="V626" s="74">
        <f>Devis[[#This Row],[Prix de Revient]]*Devis[[#This Row],[Poste 1]]</f>
        <v>0</v>
      </c>
      <c r="W626" s="74">
        <f>Devis[[#This Row],[Prix de Revient]]*Devis[[#This Row],[Poste 2]]</f>
        <v>0</v>
      </c>
      <c r="X626" s="74">
        <f>Devis[[#This Row],[Prix de Revient]]*Devis[[#This Row],[Poste 3]]</f>
        <v>0</v>
      </c>
      <c r="Y626" s="74">
        <f>Devis[[#This Row],[Poste 4]]*Devis[[#This Row],[Prix de Revient]]</f>
        <v>0</v>
      </c>
      <c r="Z626" s="74">
        <f>Devis[[#This Row],[Poste 5]]*Devis[[#This Row],[Prix de Revient]]</f>
        <v>0</v>
      </c>
      <c r="AA626" s="74">
        <f>Devis[[#This Row],[Prix de Revient]]*Devis[[#This Row],[Poste 6]]</f>
        <v>0</v>
      </c>
      <c r="AB626" s="74">
        <f>Devis[[#This Row],[Quantité Totale]]*Devis[[#This Row],[Prix de Revient]]</f>
        <v>0</v>
      </c>
    </row>
    <row r="627" spans="1:28" ht="14.25" outlineLevel="1" x14ac:dyDescent="0.2">
      <c r="A627" s="75" t="s">
        <v>326</v>
      </c>
      <c r="B627" s="76" t="s">
        <v>4825</v>
      </c>
      <c r="C627" s="75" t="s">
        <v>4826</v>
      </c>
      <c r="D627" s="81" t="str">
        <f t="shared" si="11"/>
        <v>CuveReservoir Vertical - Air compriméCompair</v>
      </c>
      <c r="E627" s="75" t="s">
        <v>4841</v>
      </c>
      <c r="F627" s="81">
        <v>8</v>
      </c>
      <c r="G627" s="71" t="s">
        <v>4842</v>
      </c>
      <c r="H627" s="71" t="s">
        <v>4826</v>
      </c>
      <c r="I627" s="71"/>
      <c r="J627" s="70">
        <f>IFERROR(VLOOKUP(Devis[[#This Row],[Ref Air Flux]],#REF!,3,FALSE),0)</f>
        <v>0</v>
      </c>
      <c r="K627" s="68"/>
      <c r="L627" s="68"/>
      <c r="M627" s="68"/>
      <c r="N627" s="68"/>
      <c r="O627" s="68"/>
      <c r="P627" s="68"/>
      <c r="Q627" s="68">
        <f>SUM(Devis[[#This Row],[Poste 1]:[Poste 6]])</f>
        <v>0</v>
      </c>
      <c r="R627" s="71"/>
      <c r="S627" s="68">
        <f>_xlfn.CEILING.MATH(Devis[[#This Row],[Quantité Totale]],Devis[[#This Row],[Conditionnement]])</f>
        <v>0</v>
      </c>
      <c r="T627" s="72"/>
      <c r="U627" s="73"/>
      <c r="V627" s="74">
        <f>Devis[[#This Row],[Prix de Revient]]*Devis[[#This Row],[Poste 1]]</f>
        <v>0</v>
      </c>
      <c r="W627" s="74">
        <f>Devis[[#This Row],[Prix de Revient]]*Devis[[#This Row],[Poste 2]]</f>
        <v>0</v>
      </c>
      <c r="X627" s="74">
        <f>Devis[[#This Row],[Prix de Revient]]*Devis[[#This Row],[Poste 3]]</f>
        <v>0</v>
      </c>
      <c r="Y627" s="74">
        <f>Devis[[#This Row],[Poste 4]]*Devis[[#This Row],[Prix de Revient]]</f>
        <v>0</v>
      </c>
      <c r="Z627" s="74">
        <f>Devis[[#This Row],[Poste 5]]*Devis[[#This Row],[Prix de Revient]]</f>
        <v>0</v>
      </c>
      <c r="AA627" s="74">
        <f>Devis[[#This Row],[Prix de Revient]]*Devis[[#This Row],[Poste 6]]</f>
        <v>0</v>
      </c>
      <c r="AB627" s="74">
        <f>Devis[[#This Row],[Quantité Totale]]*Devis[[#This Row],[Prix de Revient]]</f>
        <v>0</v>
      </c>
    </row>
    <row r="628" spans="1:28" ht="14.25" outlineLevel="1" x14ac:dyDescent="0.2">
      <c r="A628" s="75" t="s">
        <v>326</v>
      </c>
      <c r="B628" s="76" t="s">
        <v>4825</v>
      </c>
      <c r="C628" s="75" t="s">
        <v>4826</v>
      </c>
      <c r="D628" s="81" t="str">
        <f t="shared" si="11"/>
        <v>CuveReservoir Vertical - Air compriméCompair</v>
      </c>
      <c r="E628" s="75" t="s">
        <v>4843</v>
      </c>
      <c r="F628" s="81">
        <v>9</v>
      </c>
      <c r="G628" s="71" t="s">
        <v>4844</v>
      </c>
      <c r="H628" s="71" t="s">
        <v>4826</v>
      </c>
      <c r="I628" s="71"/>
      <c r="J628" s="70">
        <f>IFERROR(VLOOKUP(Devis[[#This Row],[Ref Air Flux]],#REF!,3,FALSE),0)</f>
        <v>0</v>
      </c>
      <c r="K628" s="68"/>
      <c r="L628" s="68"/>
      <c r="M628" s="68"/>
      <c r="N628" s="68"/>
      <c r="O628" s="68"/>
      <c r="P628" s="68"/>
      <c r="Q628" s="68">
        <f>SUM(Devis[[#This Row],[Poste 1]:[Poste 6]])</f>
        <v>0</v>
      </c>
      <c r="R628" s="71"/>
      <c r="S628" s="68">
        <f>_xlfn.CEILING.MATH(Devis[[#This Row],[Quantité Totale]],Devis[[#This Row],[Conditionnement]])</f>
        <v>0</v>
      </c>
      <c r="T628" s="72"/>
      <c r="U628" s="73"/>
      <c r="V628" s="74">
        <f>Devis[[#This Row],[Prix de Revient]]*Devis[[#This Row],[Poste 1]]</f>
        <v>0</v>
      </c>
      <c r="W628" s="74">
        <f>Devis[[#This Row],[Prix de Revient]]*Devis[[#This Row],[Poste 2]]</f>
        <v>0</v>
      </c>
      <c r="X628" s="74">
        <f>Devis[[#This Row],[Prix de Revient]]*Devis[[#This Row],[Poste 3]]</f>
        <v>0</v>
      </c>
      <c r="Y628" s="74">
        <f>Devis[[#This Row],[Poste 4]]*Devis[[#This Row],[Prix de Revient]]</f>
        <v>0</v>
      </c>
      <c r="Z628" s="74">
        <f>Devis[[#This Row],[Poste 5]]*Devis[[#This Row],[Prix de Revient]]</f>
        <v>0</v>
      </c>
      <c r="AA628" s="74">
        <f>Devis[[#This Row],[Prix de Revient]]*Devis[[#This Row],[Poste 6]]</f>
        <v>0</v>
      </c>
      <c r="AB628" s="74">
        <f>Devis[[#This Row],[Quantité Totale]]*Devis[[#This Row],[Prix de Revient]]</f>
        <v>0</v>
      </c>
    </row>
    <row r="629" spans="1:28" ht="14.25" outlineLevel="1" x14ac:dyDescent="0.2">
      <c r="A629" s="75" t="s">
        <v>326</v>
      </c>
      <c r="B629" s="76" t="s">
        <v>4825</v>
      </c>
      <c r="C629" s="75" t="s">
        <v>4826</v>
      </c>
      <c r="D629" s="81" t="str">
        <f t="shared" si="11"/>
        <v>CuveReservoir Vertical - Air compriméCompair</v>
      </c>
      <c r="E629" s="75" t="s">
        <v>4845</v>
      </c>
      <c r="F629" s="81">
        <v>10</v>
      </c>
      <c r="G629" s="71" t="s">
        <v>4846</v>
      </c>
      <c r="H629" s="71" t="s">
        <v>4826</v>
      </c>
      <c r="I629" s="71"/>
      <c r="J629" s="70">
        <f>IFERROR(VLOOKUP(Devis[[#This Row],[Ref Air Flux]],#REF!,3,FALSE),0)</f>
        <v>0</v>
      </c>
      <c r="K629" s="68"/>
      <c r="L629" s="68"/>
      <c r="M629" s="68"/>
      <c r="N629" s="68"/>
      <c r="O629" s="68"/>
      <c r="P629" s="68"/>
      <c r="Q629" s="68">
        <f>SUM(Devis[[#This Row],[Poste 1]:[Poste 6]])</f>
        <v>0</v>
      </c>
      <c r="R629" s="71"/>
      <c r="S629" s="68">
        <f>_xlfn.CEILING.MATH(Devis[[#This Row],[Quantité Totale]],Devis[[#This Row],[Conditionnement]])</f>
        <v>0</v>
      </c>
      <c r="T629" s="72"/>
      <c r="U629" s="73"/>
      <c r="V629" s="74">
        <f>Devis[[#This Row],[Prix de Revient]]*Devis[[#This Row],[Poste 1]]</f>
        <v>0</v>
      </c>
      <c r="W629" s="74">
        <f>Devis[[#This Row],[Prix de Revient]]*Devis[[#This Row],[Poste 2]]</f>
        <v>0</v>
      </c>
      <c r="X629" s="74">
        <f>Devis[[#This Row],[Prix de Revient]]*Devis[[#This Row],[Poste 3]]</f>
        <v>0</v>
      </c>
      <c r="Y629" s="74">
        <f>Devis[[#This Row],[Poste 4]]*Devis[[#This Row],[Prix de Revient]]</f>
        <v>0</v>
      </c>
      <c r="Z629" s="74">
        <f>Devis[[#This Row],[Poste 5]]*Devis[[#This Row],[Prix de Revient]]</f>
        <v>0</v>
      </c>
      <c r="AA629" s="74">
        <f>Devis[[#This Row],[Prix de Revient]]*Devis[[#This Row],[Poste 6]]</f>
        <v>0</v>
      </c>
      <c r="AB629" s="74">
        <f>Devis[[#This Row],[Quantité Totale]]*Devis[[#This Row],[Prix de Revient]]</f>
        <v>0</v>
      </c>
    </row>
    <row r="630" spans="1:28" ht="14.25" outlineLevel="1" x14ac:dyDescent="0.2">
      <c r="A630" s="75" t="s">
        <v>326</v>
      </c>
      <c r="B630" s="76" t="s">
        <v>4825</v>
      </c>
      <c r="C630" s="75" t="s">
        <v>4826</v>
      </c>
      <c r="D630" s="81" t="str">
        <f t="shared" si="11"/>
        <v>CuveReservoir Vertical - Air compriméCompair</v>
      </c>
      <c r="E630" s="75" t="s">
        <v>4847</v>
      </c>
      <c r="F630" s="81">
        <v>11</v>
      </c>
      <c r="G630" s="71" t="s">
        <v>4848</v>
      </c>
      <c r="H630" s="71" t="s">
        <v>4826</v>
      </c>
      <c r="I630" s="71"/>
      <c r="J630" s="70">
        <f>IFERROR(VLOOKUP(Devis[[#This Row],[Ref Air Flux]],#REF!,3,FALSE),0)</f>
        <v>0</v>
      </c>
      <c r="K630" s="68"/>
      <c r="L630" s="68"/>
      <c r="M630" s="68"/>
      <c r="N630" s="68"/>
      <c r="O630" s="68"/>
      <c r="P630" s="68"/>
      <c r="Q630" s="68">
        <f>SUM(Devis[[#This Row],[Poste 1]:[Poste 6]])</f>
        <v>0</v>
      </c>
      <c r="R630" s="71"/>
      <c r="S630" s="68">
        <f>_xlfn.CEILING.MATH(Devis[[#This Row],[Quantité Totale]],Devis[[#This Row],[Conditionnement]])</f>
        <v>0</v>
      </c>
      <c r="T630" s="72"/>
      <c r="U630" s="73"/>
      <c r="V630" s="74">
        <f>Devis[[#This Row],[Prix de Revient]]*Devis[[#This Row],[Poste 1]]</f>
        <v>0</v>
      </c>
      <c r="W630" s="74">
        <f>Devis[[#This Row],[Prix de Revient]]*Devis[[#This Row],[Poste 2]]</f>
        <v>0</v>
      </c>
      <c r="X630" s="74">
        <f>Devis[[#This Row],[Prix de Revient]]*Devis[[#This Row],[Poste 3]]</f>
        <v>0</v>
      </c>
      <c r="Y630" s="74">
        <f>Devis[[#This Row],[Poste 4]]*Devis[[#This Row],[Prix de Revient]]</f>
        <v>0</v>
      </c>
      <c r="Z630" s="74">
        <f>Devis[[#This Row],[Poste 5]]*Devis[[#This Row],[Prix de Revient]]</f>
        <v>0</v>
      </c>
      <c r="AA630" s="74">
        <f>Devis[[#This Row],[Prix de Revient]]*Devis[[#This Row],[Poste 6]]</f>
        <v>0</v>
      </c>
      <c r="AB630" s="74">
        <f>Devis[[#This Row],[Quantité Totale]]*Devis[[#This Row],[Prix de Revient]]</f>
        <v>0</v>
      </c>
    </row>
    <row r="631" spans="1:28" ht="14.25" outlineLevel="1" x14ac:dyDescent="0.2">
      <c r="A631" s="75" t="s">
        <v>326</v>
      </c>
      <c r="B631" s="76" t="s">
        <v>4825</v>
      </c>
      <c r="C631" s="75" t="s">
        <v>4826</v>
      </c>
      <c r="D631" s="81" t="str">
        <f t="shared" si="11"/>
        <v>CuveReservoir Vertical - Air compriméCompair</v>
      </c>
      <c r="E631" s="75" t="s">
        <v>4849</v>
      </c>
      <c r="F631" s="81">
        <v>12</v>
      </c>
      <c r="G631" s="71" t="s">
        <v>4850</v>
      </c>
      <c r="H631" s="71" t="s">
        <v>4826</v>
      </c>
      <c r="I631" s="71"/>
      <c r="J631" s="70">
        <f>IFERROR(VLOOKUP(Devis[[#This Row],[Ref Air Flux]],#REF!,3,FALSE),0)</f>
        <v>0</v>
      </c>
      <c r="K631" s="68"/>
      <c r="L631" s="68"/>
      <c r="M631" s="68"/>
      <c r="N631" s="68"/>
      <c r="O631" s="68"/>
      <c r="P631" s="68"/>
      <c r="Q631" s="68">
        <f>SUM(Devis[[#This Row],[Poste 1]:[Poste 6]])</f>
        <v>0</v>
      </c>
      <c r="R631" s="71"/>
      <c r="S631" s="68">
        <f>_xlfn.CEILING.MATH(Devis[[#This Row],[Quantité Totale]],Devis[[#This Row],[Conditionnement]])</f>
        <v>0</v>
      </c>
      <c r="T631" s="72"/>
      <c r="U631" s="73"/>
      <c r="V631" s="74">
        <f>Devis[[#This Row],[Prix de Revient]]*Devis[[#This Row],[Poste 1]]</f>
        <v>0</v>
      </c>
      <c r="W631" s="74">
        <f>Devis[[#This Row],[Prix de Revient]]*Devis[[#This Row],[Poste 2]]</f>
        <v>0</v>
      </c>
      <c r="X631" s="74">
        <f>Devis[[#This Row],[Prix de Revient]]*Devis[[#This Row],[Poste 3]]</f>
        <v>0</v>
      </c>
      <c r="Y631" s="74">
        <f>Devis[[#This Row],[Poste 4]]*Devis[[#This Row],[Prix de Revient]]</f>
        <v>0</v>
      </c>
      <c r="Z631" s="74">
        <f>Devis[[#This Row],[Poste 5]]*Devis[[#This Row],[Prix de Revient]]</f>
        <v>0</v>
      </c>
      <c r="AA631" s="74">
        <f>Devis[[#This Row],[Prix de Revient]]*Devis[[#This Row],[Poste 6]]</f>
        <v>0</v>
      </c>
      <c r="AB631" s="74">
        <f>Devis[[#This Row],[Quantité Totale]]*Devis[[#This Row],[Prix de Revient]]</f>
        <v>0</v>
      </c>
    </row>
    <row r="632" spans="1:28" ht="14.25" outlineLevel="1" x14ac:dyDescent="0.2">
      <c r="A632" s="75" t="s">
        <v>326</v>
      </c>
      <c r="B632" s="76" t="s">
        <v>4825</v>
      </c>
      <c r="C632" s="75" t="s">
        <v>4826</v>
      </c>
      <c r="D632" s="81" t="str">
        <f t="shared" si="11"/>
        <v>CuveReservoir Vertical - Air compriméCompair</v>
      </c>
      <c r="E632" s="75" t="s">
        <v>4851</v>
      </c>
      <c r="F632" s="81">
        <v>13</v>
      </c>
      <c r="G632" s="71" t="s">
        <v>4852</v>
      </c>
      <c r="H632" s="71" t="s">
        <v>4826</v>
      </c>
      <c r="I632" s="71"/>
      <c r="J632" s="70">
        <f>IFERROR(VLOOKUP(Devis[[#This Row],[Ref Air Flux]],#REF!,3,FALSE),0)</f>
        <v>0</v>
      </c>
      <c r="K632" s="68"/>
      <c r="L632" s="68"/>
      <c r="M632" s="68"/>
      <c r="N632" s="68"/>
      <c r="O632" s="68"/>
      <c r="P632" s="68"/>
      <c r="Q632" s="68">
        <f>SUM(Devis[[#This Row],[Poste 1]:[Poste 6]])</f>
        <v>0</v>
      </c>
      <c r="R632" s="71"/>
      <c r="S632" s="68">
        <f>_xlfn.CEILING.MATH(Devis[[#This Row],[Quantité Totale]],Devis[[#This Row],[Conditionnement]])</f>
        <v>0</v>
      </c>
      <c r="T632" s="72"/>
      <c r="U632" s="73"/>
      <c r="V632" s="74">
        <f>Devis[[#This Row],[Prix de Revient]]*Devis[[#This Row],[Poste 1]]</f>
        <v>0</v>
      </c>
      <c r="W632" s="74">
        <f>Devis[[#This Row],[Prix de Revient]]*Devis[[#This Row],[Poste 2]]</f>
        <v>0</v>
      </c>
      <c r="X632" s="74">
        <f>Devis[[#This Row],[Prix de Revient]]*Devis[[#This Row],[Poste 3]]</f>
        <v>0</v>
      </c>
      <c r="Y632" s="74">
        <f>Devis[[#This Row],[Poste 4]]*Devis[[#This Row],[Prix de Revient]]</f>
        <v>0</v>
      </c>
      <c r="Z632" s="74">
        <f>Devis[[#This Row],[Poste 5]]*Devis[[#This Row],[Prix de Revient]]</f>
        <v>0</v>
      </c>
      <c r="AA632" s="74">
        <f>Devis[[#This Row],[Prix de Revient]]*Devis[[#This Row],[Poste 6]]</f>
        <v>0</v>
      </c>
      <c r="AB632" s="74">
        <f>Devis[[#This Row],[Quantité Totale]]*Devis[[#This Row],[Prix de Revient]]</f>
        <v>0</v>
      </c>
    </row>
    <row r="633" spans="1:28" ht="14.25" customHeight="1" outlineLevel="1" x14ac:dyDescent="0.2">
      <c r="A633" s="75" t="s">
        <v>326</v>
      </c>
      <c r="B633" s="76" t="s">
        <v>4825</v>
      </c>
      <c r="C633" s="75" t="s">
        <v>4826</v>
      </c>
      <c r="D633" s="81" t="str">
        <f t="shared" si="11"/>
        <v>CuveReservoir Vertical - Air compriméCompair</v>
      </c>
      <c r="E633" s="75" t="s">
        <v>4853</v>
      </c>
      <c r="F633" s="81">
        <v>14</v>
      </c>
      <c r="G633" s="71" t="s">
        <v>4854</v>
      </c>
      <c r="H633" s="71" t="s">
        <v>4826</v>
      </c>
      <c r="I633" s="71"/>
      <c r="J633" s="70">
        <f>IFERROR(VLOOKUP(Devis[[#This Row],[Ref Air Flux]],#REF!,3,FALSE),0)</f>
        <v>0</v>
      </c>
      <c r="K633" s="68"/>
      <c r="L633" s="68"/>
      <c r="M633" s="68"/>
      <c r="N633" s="68"/>
      <c r="O633" s="68"/>
      <c r="P633" s="68"/>
      <c r="Q633" s="68">
        <f>SUM(Devis[[#This Row],[Poste 1]:[Poste 6]])</f>
        <v>0</v>
      </c>
      <c r="R633" s="71"/>
      <c r="S633" s="68">
        <f>_xlfn.CEILING.MATH(Devis[[#This Row],[Quantité Totale]],Devis[[#This Row],[Conditionnement]])</f>
        <v>0</v>
      </c>
      <c r="T633" s="72"/>
      <c r="U633" s="73"/>
      <c r="V633" s="74">
        <f>Devis[[#This Row],[Prix de Revient]]*Devis[[#This Row],[Poste 1]]</f>
        <v>0</v>
      </c>
      <c r="W633" s="74">
        <f>Devis[[#This Row],[Prix de Revient]]*Devis[[#This Row],[Poste 2]]</f>
        <v>0</v>
      </c>
      <c r="X633" s="74">
        <f>Devis[[#This Row],[Prix de Revient]]*Devis[[#This Row],[Poste 3]]</f>
        <v>0</v>
      </c>
      <c r="Y633" s="74">
        <f>Devis[[#This Row],[Poste 4]]*Devis[[#This Row],[Prix de Revient]]</f>
        <v>0</v>
      </c>
      <c r="Z633" s="74">
        <f>Devis[[#This Row],[Poste 5]]*Devis[[#This Row],[Prix de Revient]]</f>
        <v>0</v>
      </c>
      <c r="AA633" s="74">
        <f>Devis[[#This Row],[Prix de Revient]]*Devis[[#This Row],[Poste 6]]</f>
        <v>0</v>
      </c>
      <c r="AB633" s="74">
        <f>Devis[[#This Row],[Quantité Totale]]*Devis[[#This Row],[Prix de Revient]]</f>
        <v>0</v>
      </c>
    </row>
    <row r="634" spans="1:28" ht="15" customHeight="1" outlineLevel="1" x14ac:dyDescent="0.2">
      <c r="A634" s="75" t="s">
        <v>326</v>
      </c>
      <c r="B634" s="76" t="s">
        <v>4825</v>
      </c>
      <c r="C634" s="75" t="s">
        <v>4826</v>
      </c>
      <c r="D634" s="81" t="str">
        <f t="shared" si="11"/>
        <v>CuveReservoir Vertical - Air compriméCompair</v>
      </c>
      <c r="E634" s="75" t="s">
        <v>4855</v>
      </c>
      <c r="F634" s="81">
        <v>15</v>
      </c>
      <c r="G634" s="71" t="s">
        <v>4856</v>
      </c>
      <c r="H634" s="71" t="s">
        <v>4826</v>
      </c>
      <c r="I634" s="71"/>
      <c r="J634" s="70">
        <f>IFERROR(VLOOKUP(Devis[[#This Row],[Ref Air Flux]],#REF!,3,FALSE),0)</f>
        <v>0</v>
      </c>
      <c r="K634" s="68"/>
      <c r="L634" s="68"/>
      <c r="M634" s="68"/>
      <c r="N634" s="68"/>
      <c r="O634" s="68"/>
      <c r="P634" s="68"/>
      <c r="Q634" s="68">
        <f>SUM(Devis[[#This Row],[Poste 1]:[Poste 6]])</f>
        <v>0</v>
      </c>
      <c r="R634" s="71"/>
      <c r="S634" s="68">
        <f>_xlfn.CEILING.MATH(Devis[[#This Row],[Quantité Totale]],Devis[[#This Row],[Conditionnement]])</f>
        <v>0</v>
      </c>
      <c r="T634" s="72"/>
      <c r="U634" s="73"/>
      <c r="V634" s="74">
        <f>Devis[[#This Row],[Prix de Revient]]*Devis[[#This Row],[Poste 1]]</f>
        <v>0</v>
      </c>
      <c r="W634" s="74">
        <f>Devis[[#This Row],[Prix de Revient]]*Devis[[#This Row],[Poste 2]]</f>
        <v>0</v>
      </c>
      <c r="X634" s="74">
        <f>Devis[[#This Row],[Prix de Revient]]*Devis[[#This Row],[Poste 3]]</f>
        <v>0</v>
      </c>
      <c r="Y634" s="74">
        <f>Devis[[#This Row],[Poste 4]]*Devis[[#This Row],[Prix de Revient]]</f>
        <v>0</v>
      </c>
      <c r="Z634" s="74">
        <f>Devis[[#This Row],[Poste 5]]*Devis[[#This Row],[Prix de Revient]]</f>
        <v>0</v>
      </c>
      <c r="AA634" s="74">
        <f>Devis[[#This Row],[Prix de Revient]]*Devis[[#This Row],[Poste 6]]</f>
        <v>0</v>
      </c>
      <c r="AB634" s="74">
        <f>Devis[[#This Row],[Quantité Totale]]*Devis[[#This Row],[Prix de Revient]]</f>
        <v>0</v>
      </c>
    </row>
    <row r="635" spans="1:28" ht="14.25" outlineLevel="1" x14ac:dyDescent="0.2">
      <c r="A635" s="75" t="s">
        <v>326</v>
      </c>
      <c r="B635" s="76" t="s">
        <v>4825</v>
      </c>
      <c r="C635" s="75" t="s">
        <v>4826</v>
      </c>
      <c r="D635" s="81" t="str">
        <f t="shared" si="11"/>
        <v>CuveReservoir Vertical - Air compriméCompair</v>
      </c>
      <c r="E635" s="75" t="s">
        <v>4857</v>
      </c>
      <c r="F635" s="81">
        <v>16</v>
      </c>
      <c r="G635" s="71" t="s">
        <v>4858</v>
      </c>
      <c r="H635" s="71" t="s">
        <v>4826</v>
      </c>
      <c r="I635" s="71"/>
      <c r="J635" s="70">
        <f>IFERROR(VLOOKUP(Devis[[#This Row],[Ref Air Flux]],#REF!,3,FALSE),0)</f>
        <v>0</v>
      </c>
      <c r="K635" s="68"/>
      <c r="L635" s="68"/>
      <c r="M635" s="68"/>
      <c r="N635" s="68"/>
      <c r="O635" s="68"/>
      <c r="P635" s="68"/>
      <c r="Q635" s="68">
        <f>SUM(Devis[[#This Row],[Poste 1]:[Poste 6]])</f>
        <v>0</v>
      </c>
      <c r="R635" s="71"/>
      <c r="S635" s="68">
        <f>_xlfn.CEILING.MATH(Devis[[#This Row],[Quantité Totale]],Devis[[#This Row],[Conditionnement]])</f>
        <v>0</v>
      </c>
      <c r="T635" s="72"/>
      <c r="U635" s="73"/>
      <c r="V635" s="74">
        <f>Devis[[#This Row],[Prix de Revient]]*Devis[[#This Row],[Poste 1]]</f>
        <v>0</v>
      </c>
      <c r="W635" s="74">
        <f>Devis[[#This Row],[Prix de Revient]]*Devis[[#This Row],[Poste 2]]</f>
        <v>0</v>
      </c>
      <c r="X635" s="74">
        <f>Devis[[#This Row],[Prix de Revient]]*Devis[[#This Row],[Poste 3]]</f>
        <v>0</v>
      </c>
      <c r="Y635" s="74">
        <f>Devis[[#This Row],[Poste 4]]*Devis[[#This Row],[Prix de Revient]]</f>
        <v>0</v>
      </c>
      <c r="Z635" s="74">
        <f>Devis[[#This Row],[Poste 5]]*Devis[[#This Row],[Prix de Revient]]</f>
        <v>0</v>
      </c>
      <c r="AA635" s="74">
        <f>Devis[[#This Row],[Prix de Revient]]*Devis[[#This Row],[Poste 6]]</f>
        <v>0</v>
      </c>
      <c r="AB635" s="74">
        <f>Devis[[#This Row],[Quantité Totale]]*Devis[[#This Row],[Prix de Revient]]</f>
        <v>0</v>
      </c>
    </row>
    <row r="636" spans="1:28" ht="14.25" outlineLevel="1" x14ac:dyDescent="0.2">
      <c r="A636" s="75" t="s">
        <v>326</v>
      </c>
      <c r="B636" s="76" t="s">
        <v>4825</v>
      </c>
      <c r="C636" s="75" t="s">
        <v>3501</v>
      </c>
      <c r="D636" s="81" t="str">
        <f t="shared" si="11"/>
        <v>CuveReservoir Vertical - Air compriméKaeser</v>
      </c>
      <c r="E636" s="75" t="s">
        <v>4859</v>
      </c>
      <c r="F636" s="81">
        <v>17</v>
      </c>
      <c r="G636" s="71" t="s">
        <v>4860</v>
      </c>
      <c r="H636" s="71" t="s">
        <v>3501</v>
      </c>
      <c r="I636" s="71"/>
      <c r="J636" s="70">
        <f>IFERROR(VLOOKUP(Devis[[#This Row],[Ref Air Flux]],#REF!,3,FALSE),0)</f>
        <v>0</v>
      </c>
      <c r="K636" s="68"/>
      <c r="L636" s="68"/>
      <c r="M636" s="68"/>
      <c r="N636" s="68"/>
      <c r="O636" s="68"/>
      <c r="P636" s="68"/>
      <c r="Q636" s="68">
        <f>SUM(Devis[[#This Row],[Poste 1]:[Poste 6]])</f>
        <v>0</v>
      </c>
      <c r="R636" s="71"/>
      <c r="S636" s="68">
        <f>_xlfn.CEILING.MATH(Devis[[#This Row],[Quantité Totale]],Devis[[#This Row],[Conditionnement]])</f>
        <v>0</v>
      </c>
      <c r="T636" s="72"/>
      <c r="U636" s="73"/>
      <c r="V636" s="74">
        <f>Devis[[#This Row],[Prix de Revient]]*Devis[[#This Row],[Poste 1]]</f>
        <v>0</v>
      </c>
      <c r="W636" s="74">
        <f>Devis[[#This Row],[Prix de Revient]]*Devis[[#This Row],[Poste 2]]</f>
        <v>0</v>
      </c>
      <c r="X636" s="74">
        <f>Devis[[#This Row],[Prix de Revient]]*Devis[[#This Row],[Poste 3]]</f>
        <v>0</v>
      </c>
      <c r="Y636" s="74">
        <f>Devis[[#This Row],[Poste 4]]*Devis[[#This Row],[Prix de Revient]]</f>
        <v>0</v>
      </c>
      <c r="Z636" s="74">
        <f>Devis[[#This Row],[Poste 5]]*Devis[[#This Row],[Prix de Revient]]</f>
        <v>0</v>
      </c>
      <c r="AA636" s="74">
        <f>Devis[[#This Row],[Prix de Revient]]*Devis[[#This Row],[Poste 6]]</f>
        <v>0</v>
      </c>
      <c r="AB636" s="74">
        <f>Devis[[#This Row],[Quantité Totale]]*Devis[[#This Row],[Prix de Revient]]</f>
        <v>0</v>
      </c>
    </row>
    <row r="637" spans="1:28" ht="14.25" outlineLevel="1" x14ac:dyDescent="0.2">
      <c r="A637" s="75" t="s">
        <v>326</v>
      </c>
      <c r="B637" s="76" t="s">
        <v>4825</v>
      </c>
      <c r="C637" s="75" t="s">
        <v>3501</v>
      </c>
      <c r="D637" s="81" t="str">
        <f t="shared" si="11"/>
        <v>CuveReservoir Vertical - Air compriméKaeser</v>
      </c>
      <c r="E637" s="75" t="s">
        <v>4861</v>
      </c>
      <c r="F637" s="81">
        <v>18</v>
      </c>
      <c r="G637" s="71" t="s">
        <v>4862</v>
      </c>
      <c r="H637" s="71" t="s">
        <v>3501</v>
      </c>
      <c r="I637" s="71"/>
      <c r="J637" s="70">
        <f>IFERROR(VLOOKUP(Devis[[#This Row],[Ref Air Flux]],#REF!,3,FALSE),0)</f>
        <v>0</v>
      </c>
      <c r="K637" s="68"/>
      <c r="L637" s="68"/>
      <c r="M637" s="68"/>
      <c r="N637" s="68"/>
      <c r="O637" s="68"/>
      <c r="P637" s="68"/>
      <c r="Q637" s="68">
        <f>SUM(Devis[[#This Row],[Poste 1]:[Poste 6]])</f>
        <v>0</v>
      </c>
      <c r="R637" s="71"/>
      <c r="S637" s="68">
        <f>_xlfn.CEILING.MATH(Devis[[#This Row],[Quantité Totale]],Devis[[#This Row],[Conditionnement]])</f>
        <v>0</v>
      </c>
      <c r="T637" s="72"/>
      <c r="U637" s="73"/>
      <c r="V637" s="74">
        <f>Devis[[#This Row],[Prix de Revient]]*Devis[[#This Row],[Poste 1]]</f>
        <v>0</v>
      </c>
      <c r="W637" s="74">
        <f>Devis[[#This Row],[Prix de Revient]]*Devis[[#This Row],[Poste 2]]</f>
        <v>0</v>
      </c>
      <c r="X637" s="74">
        <f>Devis[[#This Row],[Prix de Revient]]*Devis[[#This Row],[Poste 3]]</f>
        <v>0</v>
      </c>
      <c r="Y637" s="74">
        <f>Devis[[#This Row],[Poste 4]]*Devis[[#This Row],[Prix de Revient]]</f>
        <v>0</v>
      </c>
      <c r="Z637" s="74">
        <f>Devis[[#This Row],[Poste 5]]*Devis[[#This Row],[Prix de Revient]]</f>
        <v>0</v>
      </c>
      <c r="AA637" s="74">
        <f>Devis[[#This Row],[Prix de Revient]]*Devis[[#This Row],[Poste 6]]</f>
        <v>0</v>
      </c>
      <c r="AB637" s="74">
        <f>Devis[[#This Row],[Quantité Totale]]*Devis[[#This Row],[Prix de Revient]]</f>
        <v>0</v>
      </c>
    </row>
    <row r="638" spans="1:28" ht="14.25" outlineLevel="1" x14ac:dyDescent="0.2">
      <c r="A638" s="75" t="s">
        <v>326</v>
      </c>
      <c r="B638" s="76" t="s">
        <v>4825</v>
      </c>
      <c r="C638" s="75" t="s">
        <v>3501</v>
      </c>
      <c r="D638" s="81" t="str">
        <f t="shared" si="11"/>
        <v>CuveReservoir Vertical - Air compriméKaeser</v>
      </c>
      <c r="E638" s="75" t="s">
        <v>4863</v>
      </c>
      <c r="F638" s="81">
        <v>19</v>
      </c>
      <c r="G638" s="71" t="s">
        <v>4864</v>
      </c>
      <c r="H638" s="71" t="s">
        <v>3501</v>
      </c>
      <c r="I638" s="71"/>
      <c r="J638" s="70">
        <f>IFERROR(VLOOKUP(Devis[[#This Row],[Ref Air Flux]],#REF!,3,FALSE),0)</f>
        <v>0</v>
      </c>
      <c r="K638" s="68"/>
      <c r="L638" s="68"/>
      <c r="M638" s="68"/>
      <c r="N638" s="68"/>
      <c r="O638" s="68"/>
      <c r="P638" s="68"/>
      <c r="Q638" s="68">
        <f>SUM(Devis[[#This Row],[Poste 1]:[Poste 6]])</f>
        <v>0</v>
      </c>
      <c r="R638" s="71"/>
      <c r="S638" s="68">
        <f>_xlfn.CEILING.MATH(Devis[[#This Row],[Quantité Totale]],Devis[[#This Row],[Conditionnement]])</f>
        <v>0</v>
      </c>
      <c r="T638" s="72"/>
      <c r="U638" s="73"/>
      <c r="V638" s="74">
        <f>Devis[[#This Row],[Prix de Revient]]*Devis[[#This Row],[Poste 1]]</f>
        <v>0</v>
      </c>
      <c r="W638" s="74">
        <f>Devis[[#This Row],[Prix de Revient]]*Devis[[#This Row],[Poste 2]]</f>
        <v>0</v>
      </c>
      <c r="X638" s="74">
        <f>Devis[[#This Row],[Prix de Revient]]*Devis[[#This Row],[Poste 3]]</f>
        <v>0</v>
      </c>
      <c r="Y638" s="74">
        <f>Devis[[#This Row],[Poste 4]]*Devis[[#This Row],[Prix de Revient]]</f>
        <v>0</v>
      </c>
      <c r="Z638" s="74">
        <f>Devis[[#This Row],[Poste 5]]*Devis[[#This Row],[Prix de Revient]]</f>
        <v>0</v>
      </c>
      <c r="AA638" s="74">
        <f>Devis[[#This Row],[Prix de Revient]]*Devis[[#This Row],[Poste 6]]</f>
        <v>0</v>
      </c>
      <c r="AB638" s="74">
        <f>Devis[[#This Row],[Quantité Totale]]*Devis[[#This Row],[Prix de Revient]]</f>
        <v>0</v>
      </c>
    </row>
    <row r="639" spans="1:28" ht="14.25" outlineLevel="1" x14ac:dyDescent="0.2">
      <c r="A639" s="75" t="s">
        <v>326</v>
      </c>
      <c r="B639" s="76" t="s">
        <v>4825</v>
      </c>
      <c r="C639" s="75" t="s">
        <v>3501</v>
      </c>
      <c r="D639" s="81" t="str">
        <f t="shared" si="11"/>
        <v>CuveReservoir Vertical - Air compriméKaeser</v>
      </c>
      <c r="E639" s="75" t="s">
        <v>4865</v>
      </c>
      <c r="F639" s="81">
        <v>20</v>
      </c>
      <c r="G639" s="71" t="s">
        <v>4866</v>
      </c>
      <c r="H639" s="71" t="s">
        <v>3501</v>
      </c>
      <c r="I639" s="71"/>
      <c r="J639" s="70">
        <f>IFERROR(VLOOKUP(Devis[[#This Row],[Ref Air Flux]],#REF!,3,FALSE),0)</f>
        <v>0</v>
      </c>
      <c r="K639" s="68"/>
      <c r="L639" s="68"/>
      <c r="M639" s="68"/>
      <c r="N639" s="68"/>
      <c r="O639" s="68"/>
      <c r="P639" s="68"/>
      <c r="Q639" s="68">
        <f>SUM(Devis[[#This Row],[Poste 1]:[Poste 6]])</f>
        <v>0</v>
      </c>
      <c r="R639" s="71"/>
      <c r="S639" s="68">
        <f>_xlfn.CEILING.MATH(Devis[[#This Row],[Quantité Totale]],Devis[[#This Row],[Conditionnement]])</f>
        <v>0</v>
      </c>
      <c r="T639" s="72"/>
      <c r="U639" s="73"/>
      <c r="V639" s="74">
        <f>Devis[[#This Row],[Prix de Revient]]*Devis[[#This Row],[Poste 1]]</f>
        <v>0</v>
      </c>
      <c r="W639" s="74">
        <f>Devis[[#This Row],[Prix de Revient]]*Devis[[#This Row],[Poste 2]]</f>
        <v>0</v>
      </c>
      <c r="X639" s="74">
        <f>Devis[[#This Row],[Prix de Revient]]*Devis[[#This Row],[Poste 3]]</f>
        <v>0</v>
      </c>
      <c r="Y639" s="74">
        <f>Devis[[#This Row],[Poste 4]]*Devis[[#This Row],[Prix de Revient]]</f>
        <v>0</v>
      </c>
      <c r="Z639" s="74">
        <f>Devis[[#This Row],[Poste 5]]*Devis[[#This Row],[Prix de Revient]]</f>
        <v>0</v>
      </c>
      <c r="AA639" s="74">
        <f>Devis[[#This Row],[Prix de Revient]]*Devis[[#This Row],[Poste 6]]</f>
        <v>0</v>
      </c>
      <c r="AB639" s="74">
        <f>Devis[[#This Row],[Quantité Totale]]*Devis[[#This Row],[Prix de Revient]]</f>
        <v>0</v>
      </c>
    </row>
    <row r="640" spans="1:28" ht="14.25" outlineLevel="1" x14ac:dyDescent="0.2">
      <c r="A640" s="75" t="s">
        <v>326</v>
      </c>
      <c r="B640" s="76" t="s">
        <v>4825</v>
      </c>
      <c r="C640" s="75" t="s">
        <v>3501</v>
      </c>
      <c r="D640" s="81" t="str">
        <f t="shared" si="11"/>
        <v>CuveReservoir Vertical - Air compriméKaeser</v>
      </c>
      <c r="E640" s="75" t="s">
        <v>4867</v>
      </c>
      <c r="F640" s="81">
        <v>21</v>
      </c>
      <c r="G640" s="71" t="s">
        <v>4868</v>
      </c>
      <c r="H640" s="71" t="s">
        <v>3501</v>
      </c>
      <c r="I640" s="71"/>
      <c r="J640" s="70">
        <f>IFERROR(VLOOKUP(Devis[[#This Row],[Ref Air Flux]],#REF!,3,FALSE),0)</f>
        <v>0</v>
      </c>
      <c r="K640" s="68"/>
      <c r="L640" s="68"/>
      <c r="M640" s="68"/>
      <c r="N640" s="68"/>
      <c r="O640" s="68"/>
      <c r="P640" s="68"/>
      <c r="Q640" s="68">
        <f>SUM(Devis[[#This Row],[Poste 1]:[Poste 6]])</f>
        <v>0</v>
      </c>
      <c r="R640" s="71"/>
      <c r="S640" s="68">
        <f>_xlfn.CEILING.MATH(Devis[[#This Row],[Quantité Totale]],Devis[[#This Row],[Conditionnement]])</f>
        <v>0</v>
      </c>
      <c r="T640" s="72"/>
      <c r="U640" s="73"/>
      <c r="V640" s="74">
        <f>Devis[[#This Row],[Prix de Revient]]*Devis[[#This Row],[Poste 1]]</f>
        <v>0</v>
      </c>
      <c r="W640" s="74">
        <f>Devis[[#This Row],[Prix de Revient]]*Devis[[#This Row],[Poste 2]]</f>
        <v>0</v>
      </c>
      <c r="X640" s="74">
        <f>Devis[[#This Row],[Prix de Revient]]*Devis[[#This Row],[Poste 3]]</f>
        <v>0</v>
      </c>
      <c r="Y640" s="74">
        <f>Devis[[#This Row],[Poste 4]]*Devis[[#This Row],[Prix de Revient]]</f>
        <v>0</v>
      </c>
      <c r="Z640" s="74">
        <f>Devis[[#This Row],[Poste 5]]*Devis[[#This Row],[Prix de Revient]]</f>
        <v>0</v>
      </c>
      <c r="AA640" s="74">
        <f>Devis[[#This Row],[Prix de Revient]]*Devis[[#This Row],[Poste 6]]</f>
        <v>0</v>
      </c>
      <c r="AB640" s="74">
        <f>Devis[[#This Row],[Quantité Totale]]*Devis[[#This Row],[Prix de Revient]]</f>
        <v>0</v>
      </c>
    </row>
    <row r="641" spans="1:28" ht="14.25" outlineLevel="1" x14ac:dyDescent="0.2">
      <c r="A641" s="75" t="s">
        <v>326</v>
      </c>
      <c r="B641" s="76" t="s">
        <v>4825</v>
      </c>
      <c r="C641" s="75" t="s">
        <v>3501</v>
      </c>
      <c r="D641" s="81" t="str">
        <f t="shared" si="11"/>
        <v>CuveReservoir Vertical - Air compriméKaeser</v>
      </c>
      <c r="E641" s="75" t="s">
        <v>4869</v>
      </c>
      <c r="F641" s="81">
        <v>22</v>
      </c>
      <c r="G641" s="71" t="s">
        <v>4870</v>
      </c>
      <c r="H641" s="71" t="s">
        <v>3501</v>
      </c>
      <c r="I641" s="71"/>
      <c r="J641" s="70">
        <f>IFERROR(VLOOKUP(Devis[[#This Row],[Ref Air Flux]],#REF!,3,FALSE),0)</f>
        <v>0</v>
      </c>
      <c r="K641" s="68"/>
      <c r="L641" s="68"/>
      <c r="M641" s="68"/>
      <c r="N641" s="68"/>
      <c r="O641" s="68"/>
      <c r="P641" s="68"/>
      <c r="Q641" s="68">
        <f>SUM(Devis[[#This Row],[Poste 1]:[Poste 6]])</f>
        <v>0</v>
      </c>
      <c r="R641" s="71"/>
      <c r="S641" s="68">
        <f>_xlfn.CEILING.MATH(Devis[[#This Row],[Quantité Totale]],Devis[[#This Row],[Conditionnement]])</f>
        <v>0</v>
      </c>
      <c r="T641" s="72"/>
      <c r="U641" s="73"/>
      <c r="V641" s="74">
        <f>Devis[[#This Row],[Prix de Revient]]*Devis[[#This Row],[Poste 1]]</f>
        <v>0</v>
      </c>
      <c r="W641" s="74">
        <f>Devis[[#This Row],[Prix de Revient]]*Devis[[#This Row],[Poste 2]]</f>
        <v>0</v>
      </c>
      <c r="X641" s="74">
        <f>Devis[[#This Row],[Prix de Revient]]*Devis[[#This Row],[Poste 3]]</f>
        <v>0</v>
      </c>
      <c r="Y641" s="74">
        <f>Devis[[#This Row],[Poste 4]]*Devis[[#This Row],[Prix de Revient]]</f>
        <v>0</v>
      </c>
      <c r="Z641" s="74">
        <f>Devis[[#This Row],[Poste 5]]*Devis[[#This Row],[Prix de Revient]]</f>
        <v>0</v>
      </c>
      <c r="AA641" s="74">
        <f>Devis[[#This Row],[Prix de Revient]]*Devis[[#This Row],[Poste 6]]</f>
        <v>0</v>
      </c>
      <c r="AB641" s="74">
        <f>Devis[[#This Row],[Quantité Totale]]*Devis[[#This Row],[Prix de Revient]]</f>
        <v>0</v>
      </c>
    </row>
    <row r="642" spans="1:28" ht="14.25" outlineLevel="1" x14ac:dyDescent="0.2">
      <c r="A642" s="75" t="s">
        <v>326</v>
      </c>
      <c r="B642" s="76" t="s">
        <v>4825</v>
      </c>
      <c r="C642" s="75" t="s">
        <v>3501</v>
      </c>
      <c r="D642" s="81" t="str">
        <f t="shared" si="11"/>
        <v>CuveReservoir Vertical - Air compriméKaeser</v>
      </c>
      <c r="E642" s="75" t="s">
        <v>4871</v>
      </c>
      <c r="F642" s="81">
        <v>23</v>
      </c>
      <c r="G642" s="71" t="s">
        <v>4872</v>
      </c>
      <c r="H642" s="71" t="s">
        <v>3501</v>
      </c>
      <c r="I642" s="71"/>
      <c r="J642" s="70">
        <f>IFERROR(VLOOKUP(Devis[[#This Row],[Ref Air Flux]],#REF!,3,FALSE),0)</f>
        <v>0</v>
      </c>
      <c r="K642" s="68"/>
      <c r="L642" s="68"/>
      <c r="M642" s="68"/>
      <c r="N642" s="68"/>
      <c r="O642" s="68"/>
      <c r="P642" s="68"/>
      <c r="Q642" s="68">
        <f>SUM(Devis[[#This Row],[Poste 1]:[Poste 6]])</f>
        <v>0</v>
      </c>
      <c r="R642" s="71"/>
      <c r="S642" s="68">
        <f>_xlfn.CEILING.MATH(Devis[[#This Row],[Quantité Totale]],Devis[[#This Row],[Conditionnement]])</f>
        <v>0</v>
      </c>
      <c r="T642" s="72"/>
      <c r="U642" s="73"/>
      <c r="V642" s="74">
        <f>Devis[[#This Row],[Prix de Revient]]*Devis[[#This Row],[Poste 1]]</f>
        <v>0</v>
      </c>
      <c r="W642" s="74">
        <f>Devis[[#This Row],[Prix de Revient]]*Devis[[#This Row],[Poste 2]]</f>
        <v>0</v>
      </c>
      <c r="X642" s="74">
        <f>Devis[[#This Row],[Prix de Revient]]*Devis[[#This Row],[Poste 3]]</f>
        <v>0</v>
      </c>
      <c r="Y642" s="74">
        <f>Devis[[#This Row],[Poste 4]]*Devis[[#This Row],[Prix de Revient]]</f>
        <v>0</v>
      </c>
      <c r="Z642" s="74">
        <f>Devis[[#This Row],[Poste 5]]*Devis[[#This Row],[Prix de Revient]]</f>
        <v>0</v>
      </c>
      <c r="AA642" s="74">
        <f>Devis[[#This Row],[Prix de Revient]]*Devis[[#This Row],[Poste 6]]</f>
        <v>0</v>
      </c>
      <c r="AB642" s="74">
        <f>Devis[[#This Row],[Quantité Totale]]*Devis[[#This Row],[Prix de Revient]]</f>
        <v>0</v>
      </c>
    </row>
    <row r="643" spans="1:28" ht="14.25" outlineLevel="1" x14ac:dyDescent="0.2">
      <c r="A643" s="75" t="s">
        <v>326</v>
      </c>
      <c r="B643" s="76" t="s">
        <v>4825</v>
      </c>
      <c r="C643" s="75" t="s">
        <v>3501</v>
      </c>
      <c r="D643" s="81" t="str">
        <f t="shared" si="11"/>
        <v>CuveReservoir Vertical - Air compriméKaeser</v>
      </c>
      <c r="E643" s="75" t="s">
        <v>4873</v>
      </c>
      <c r="F643" s="81">
        <v>24</v>
      </c>
      <c r="G643" s="71" t="s">
        <v>4874</v>
      </c>
      <c r="H643" s="71" t="s">
        <v>3501</v>
      </c>
      <c r="I643" s="71"/>
      <c r="J643" s="70">
        <f>IFERROR(VLOOKUP(Devis[[#This Row],[Ref Air Flux]],#REF!,3,FALSE),0)</f>
        <v>0</v>
      </c>
      <c r="K643" s="68"/>
      <c r="L643" s="68"/>
      <c r="M643" s="68"/>
      <c r="N643" s="68"/>
      <c r="O643" s="68"/>
      <c r="P643" s="68"/>
      <c r="Q643" s="68">
        <f>SUM(Devis[[#This Row],[Poste 1]:[Poste 6]])</f>
        <v>0</v>
      </c>
      <c r="R643" s="71"/>
      <c r="S643" s="68">
        <f>_xlfn.CEILING.MATH(Devis[[#This Row],[Quantité Totale]],Devis[[#This Row],[Conditionnement]])</f>
        <v>0</v>
      </c>
      <c r="T643" s="72"/>
      <c r="U643" s="73"/>
      <c r="V643" s="74">
        <f>Devis[[#This Row],[Prix de Revient]]*Devis[[#This Row],[Poste 1]]</f>
        <v>0</v>
      </c>
      <c r="W643" s="74">
        <f>Devis[[#This Row],[Prix de Revient]]*Devis[[#This Row],[Poste 2]]</f>
        <v>0</v>
      </c>
      <c r="X643" s="74">
        <f>Devis[[#This Row],[Prix de Revient]]*Devis[[#This Row],[Poste 3]]</f>
        <v>0</v>
      </c>
      <c r="Y643" s="74">
        <f>Devis[[#This Row],[Poste 4]]*Devis[[#This Row],[Prix de Revient]]</f>
        <v>0</v>
      </c>
      <c r="Z643" s="74">
        <f>Devis[[#This Row],[Poste 5]]*Devis[[#This Row],[Prix de Revient]]</f>
        <v>0</v>
      </c>
      <c r="AA643" s="74">
        <f>Devis[[#This Row],[Prix de Revient]]*Devis[[#This Row],[Poste 6]]</f>
        <v>0</v>
      </c>
      <c r="AB643" s="74">
        <f>Devis[[#This Row],[Quantité Totale]]*Devis[[#This Row],[Prix de Revient]]</f>
        <v>0</v>
      </c>
    </row>
    <row r="644" spans="1:28" ht="15" customHeight="1" outlineLevel="1" x14ac:dyDescent="0.2">
      <c r="A644" s="75" t="s">
        <v>326</v>
      </c>
      <c r="B644" s="76" t="s">
        <v>4825</v>
      </c>
      <c r="C644" s="75" t="s">
        <v>3501</v>
      </c>
      <c r="D644" s="81" t="str">
        <f t="shared" si="11"/>
        <v>CuveReservoir Vertical - Air compriméKaeser</v>
      </c>
      <c r="E644" s="75" t="s">
        <v>4875</v>
      </c>
      <c r="F644" s="81">
        <v>25</v>
      </c>
      <c r="G644" s="71" t="s">
        <v>4876</v>
      </c>
      <c r="H644" s="71" t="s">
        <v>3501</v>
      </c>
      <c r="I644" s="71"/>
      <c r="J644" s="70">
        <f>IFERROR(VLOOKUP(Devis[[#This Row],[Ref Air Flux]],#REF!,3,FALSE),0)</f>
        <v>0</v>
      </c>
      <c r="K644" s="68"/>
      <c r="L644" s="68"/>
      <c r="M644" s="68"/>
      <c r="N644" s="68"/>
      <c r="O644" s="68"/>
      <c r="P644" s="68"/>
      <c r="Q644" s="68">
        <f>SUM(Devis[[#This Row],[Poste 1]:[Poste 6]])</f>
        <v>0</v>
      </c>
      <c r="R644" s="71"/>
      <c r="S644" s="68">
        <f>_xlfn.CEILING.MATH(Devis[[#This Row],[Quantité Totale]],Devis[[#This Row],[Conditionnement]])</f>
        <v>0</v>
      </c>
      <c r="T644" s="72"/>
      <c r="U644" s="73"/>
      <c r="V644" s="74">
        <f>Devis[[#This Row],[Prix de Revient]]*Devis[[#This Row],[Poste 1]]</f>
        <v>0</v>
      </c>
      <c r="W644" s="74">
        <f>Devis[[#This Row],[Prix de Revient]]*Devis[[#This Row],[Poste 2]]</f>
        <v>0</v>
      </c>
      <c r="X644" s="74">
        <f>Devis[[#This Row],[Prix de Revient]]*Devis[[#This Row],[Poste 3]]</f>
        <v>0</v>
      </c>
      <c r="Y644" s="74">
        <f>Devis[[#This Row],[Poste 4]]*Devis[[#This Row],[Prix de Revient]]</f>
        <v>0</v>
      </c>
      <c r="Z644" s="74">
        <f>Devis[[#This Row],[Poste 5]]*Devis[[#This Row],[Prix de Revient]]</f>
        <v>0</v>
      </c>
      <c r="AA644" s="74">
        <f>Devis[[#This Row],[Prix de Revient]]*Devis[[#This Row],[Poste 6]]</f>
        <v>0</v>
      </c>
      <c r="AB644" s="74">
        <f>Devis[[#This Row],[Quantité Totale]]*Devis[[#This Row],[Prix de Revient]]</f>
        <v>0</v>
      </c>
    </row>
    <row r="645" spans="1:28" ht="14.25" outlineLevel="1" x14ac:dyDescent="0.2">
      <c r="A645" s="75" t="s">
        <v>326</v>
      </c>
      <c r="B645" s="76" t="s">
        <v>4825</v>
      </c>
      <c r="C645" s="75" t="s">
        <v>3501</v>
      </c>
      <c r="D645" s="81" t="str">
        <f t="shared" si="11"/>
        <v>CuveReservoir Vertical - Air compriméKaeser</v>
      </c>
      <c r="E645" s="75" t="s">
        <v>4877</v>
      </c>
      <c r="F645" s="81">
        <v>26</v>
      </c>
      <c r="G645" s="71" t="s">
        <v>4878</v>
      </c>
      <c r="H645" s="71" t="s">
        <v>3501</v>
      </c>
      <c r="I645" s="71"/>
      <c r="J645" s="70">
        <f>IFERROR(VLOOKUP(Devis[[#This Row],[Ref Air Flux]],#REF!,3,FALSE),0)</f>
        <v>0</v>
      </c>
      <c r="K645" s="68"/>
      <c r="L645" s="68"/>
      <c r="M645" s="68"/>
      <c r="N645" s="68"/>
      <c r="O645" s="68"/>
      <c r="P645" s="68"/>
      <c r="Q645" s="68">
        <f>SUM(Devis[[#This Row],[Poste 1]:[Poste 6]])</f>
        <v>0</v>
      </c>
      <c r="R645" s="71"/>
      <c r="S645" s="68">
        <f>_xlfn.CEILING.MATH(Devis[[#This Row],[Quantité Totale]],Devis[[#This Row],[Conditionnement]])</f>
        <v>0</v>
      </c>
      <c r="T645" s="72"/>
      <c r="U645" s="73"/>
      <c r="V645" s="74">
        <f>Devis[[#This Row],[Prix de Revient]]*Devis[[#This Row],[Poste 1]]</f>
        <v>0</v>
      </c>
      <c r="W645" s="74">
        <f>Devis[[#This Row],[Prix de Revient]]*Devis[[#This Row],[Poste 2]]</f>
        <v>0</v>
      </c>
      <c r="X645" s="74">
        <f>Devis[[#This Row],[Prix de Revient]]*Devis[[#This Row],[Poste 3]]</f>
        <v>0</v>
      </c>
      <c r="Y645" s="74">
        <f>Devis[[#This Row],[Poste 4]]*Devis[[#This Row],[Prix de Revient]]</f>
        <v>0</v>
      </c>
      <c r="Z645" s="74">
        <f>Devis[[#This Row],[Poste 5]]*Devis[[#This Row],[Prix de Revient]]</f>
        <v>0</v>
      </c>
      <c r="AA645" s="74">
        <f>Devis[[#This Row],[Prix de Revient]]*Devis[[#This Row],[Poste 6]]</f>
        <v>0</v>
      </c>
      <c r="AB645" s="74">
        <f>Devis[[#This Row],[Quantité Totale]]*Devis[[#This Row],[Prix de Revient]]</f>
        <v>0</v>
      </c>
    </row>
    <row r="646" spans="1:28" ht="14.25" outlineLevel="1" x14ac:dyDescent="0.2">
      <c r="A646" s="75" t="s">
        <v>326</v>
      </c>
      <c r="B646" s="76" t="s">
        <v>4825</v>
      </c>
      <c r="C646" s="75" t="s">
        <v>3501</v>
      </c>
      <c r="D646" s="81" t="str">
        <f t="shared" si="11"/>
        <v>CuveReservoir Vertical - Air compriméKaeser</v>
      </c>
      <c r="E646" s="75" t="s">
        <v>4879</v>
      </c>
      <c r="F646" s="81">
        <v>27</v>
      </c>
      <c r="G646" s="71" t="s">
        <v>4880</v>
      </c>
      <c r="H646" s="71" t="s">
        <v>3501</v>
      </c>
      <c r="I646" s="71"/>
      <c r="J646" s="70">
        <f>IFERROR(VLOOKUP(Devis[[#This Row],[Ref Air Flux]],#REF!,3,FALSE),0)</f>
        <v>0</v>
      </c>
      <c r="K646" s="68"/>
      <c r="L646" s="68"/>
      <c r="M646" s="68"/>
      <c r="N646" s="68"/>
      <c r="O646" s="68"/>
      <c r="P646" s="68"/>
      <c r="Q646" s="68">
        <f>SUM(Devis[[#This Row],[Poste 1]:[Poste 6]])</f>
        <v>0</v>
      </c>
      <c r="R646" s="71"/>
      <c r="S646" s="68">
        <f>_xlfn.CEILING.MATH(Devis[[#This Row],[Quantité Totale]],Devis[[#This Row],[Conditionnement]])</f>
        <v>0</v>
      </c>
      <c r="T646" s="72"/>
      <c r="U646" s="73"/>
      <c r="V646" s="74">
        <f>Devis[[#This Row],[Prix de Revient]]*Devis[[#This Row],[Poste 1]]</f>
        <v>0</v>
      </c>
      <c r="W646" s="74">
        <f>Devis[[#This Row],[Prix de Revient]]*Devis[[#This Row],[Poste 2]]</f>
        <v>0</v>
      </c>
      <c r="X646" s="74">
        <f>Devis[[#This Row],[Prix de Revient]]*Devis[[#This Row],[Poste 3]]</f>
        <v>0</v>
      </c>
      <c r="Y646" s="74">
        <f>Devis[[#This Row],[Poste 4]]*Devis[[#This Row],[Prix de Revient]]</f>
        <v>0</v>
      </c>
      <c r="Z646" s="74">
        <f>Devis[[#This Row],[Poste 5]]*Devis[[#This Row],[Prix de Revient]]</f>
        <v>0</v>
      </c>
      <c r="AA646" s="74">
        <f>Devis[[#This Row],[Prix de Revient]]*Devis[[#This Row],[Poste 6]]</f>
        <v>0</v>
      </c>
      <c r="AB646" s="74">
        <f>Devis[[#This Row],[Quantité Totale]]*Devis[[#This Row],[Prix de Revient]]</f>
        <v>0</v>
      </c>
    </row>
    <row r="647" spans="1:28" ht="14.25" outlineLevel="1" x14ac:dyDescent="0.2">
      <c r="A647" s="75" t="s">
        <v>326</v>
      </c>
      <c r="B647" s="76" t="s">
        <v>4825</v>
      </c>
      <c r="C647" s="75" t="s">
        <v>3501</v>
      </c>
      <c r="D647" s="81" t="str">
        <f t="shared" si="11"/>
        <v>CuveReservoir Vertical - Air compriméKaeser</v>
      </c>
      <c r="E647" s="75" t="s">
        <v>4881</v>
      </c>
      <c r="F647" s="81">
        <v>28</v>
      </c>
      <c r="G647" s="71" t="s">
        <v>4882</v>
      </c>
      <c r="H647" s="71" t="s">
        <v>3501</v>
      </c>
      <c r="I647" s="71"/>
      <c r="J647" s="70">
        <f>IFERROR(VLOOKUP(Devis[[#This Row],[Ref Air Flux]],#REF!,3,FALSE),0)</f>
        <v>0</v>
      </c>
      <c r="K647" s="68"/>
      <c r="L647" s="68"/>
      <c r="M647" s="68"/>
      <c r="N647" s="68"/>
      <c r="O647" s="68"/>
      <c r="P647" s="68"/>
      <c r="Q647" s="68">
        <f>SUM(Devis[[#This Row],[Poste 1]:[Poste 6]])</f>
        <v>0</v>
      </c>
      <c r="R647" s="71"/>
      <c r="S647" s="68">
        <f>_xlfn.CEILING.MATH(Devis[[#This Row],[Quantité Totale]],Devis[[#This Row],[Conditionnement]])</f>
        <v>0</v>
      </c>
      <c r="T647" s="72"/>
      <c r="U647" s="73"/>
      <c r="V647" s="74">
        <f>Devis[[#This Row],[Prix de Revient]]*Devis[[#This Row],[Poste 1]]</f>
        <v>0</v>
      </c>
      <c r="W647" s="74">
        <f>Devis[[#This Row],[Prix de Revient]]*Devis[[#This Row],[Poste 2]]</f>
        <v>0</v>
      </c>
      <c r="X647" s="74">
        <f>Devis[[#This Row],[Prix de Revient]]*Devis[[#This Row],[Poste 3]]</f>
        <v>0</v>
      </c>
      <c r="Y647" s="74">
        <f>Devis[[#This Row],[Poste 4]]*Devis[[#This Row],[Prix de Revient]]</f>
        <v>0</v>
      </c>
      <c r="Z647" s="74">
        <f>Devis[[#This Row],[Poste 5]]*Devis[[#This Row],[Prix de Revient]]</f>
        <v>0</v>
      </c>
      <c r="AA647" s="74">
        <f>Devis[[#This Row],[Prix de Revient]]*Devis[[#This Row],[Poste 6]]</f>
        <v>0</v>
      </c>
      <c r="AB647" s="74">
        <f>Devis[[#This Row],[Quantité Totale]]*Devis[[#This Row],[Prix de Revient]]</f>
        <v>0</v>
      </c>
    </row>
    <row r="648" spans="1:28" ht="14.25" outlineLevel="1" x14ac:dyDescent="0.2">
      <c r="A648" s="75" t="s">
        <v>326</v>
      </c>
      <c r="B648" s="76" t="s">
        <v>4825</v>
      </c>
      <c r="C648" s="75" t="s">
        <v>3501</v>
      </c>
      <c r="D648" s="81" t="str">
        <f t="shared" si="11"/>
        <v>CuveReservoir Vertical - Air compriméKaeser</v>
      </c>
      <c r="E648" s="75" t="s">
        <v>4883</v>
      </c>
      <c r="F648" s="81">
        <v>29</v>
      </c>
      <c r="G648" s="71" t="s">
        <v>4884</v>
      </c>
      <c r="H648" s="71" t="s">
        <v>3501</v>
      </c>
      <c r="I648" s="71"/>
      <c r="J648" s="70">
        <f>IFERROR(VLOOKUP(Devis[[#This Row],[Ref Air Flux]],#REF!,3,FALSE),0)</f>
        <v>0</v>
      </c>
      <c r="K648" s="68"/>
      <c r="L648" s="68"/>
      <c r="M648" s="68"/>
      <c r="N648" s="68"/>
      <c r="O648" s="68"/>
      <c r="P648" s="68"/>
      <c r="Q648" s="68">
        <f>SUM(Devis[[#This Row],[Poste 1]:[Poste 6]])</f>
        <v>0</v>
      </c>
      <c r="R648" s="71"/>
      <c r="S648" s="68">
        <f>_xlfn.CEILING.MATH(Devis[[#This Row],[Quantité Totale]],Devis[[#This Row],[Conditionnement]])</f>
        <v>0</v>
      </c>
      <c r="T648" s="72"/>
      <c r="U648" s="73"/>
      <c r="V648" s="74">
        <f>Devis[[#This Row],[Prix de Revient]]*Devis[[#This Row],[Poste 1]]</f>
        <v>0</v>
      </c>
      <c r="W648" s="74">
        <f>Devis[[#This Row],[Prix de Revient]]*Devis[[#This Row],[Poste 2]]</f>
        <v>0</v>
      </c>
      <c r="X648" s="74">
        <f>Devis[[#This Row],[Prix de Revient]]*Devis[[#This Row],[Poste 3]]</f>
        <v>0</v>
      </c>
      <c r="Y648" s="74">
        <f>Devis[[#This Row],[Poste 4]]*Devis[[#This Row],[Prix de Revient]]</f>
        <v>0</v>
      </c>
      <c r="Z648" s="74">
        <f>Devis[[#This Row],[Poste 5]]*Devis[[#This Row],[Prix de Revient]]</f>
        <v>0</v>
      </c>
      <c r="AA648" s="74">
        <f>Devis[[#This Row],[Prix de Revient]]*Devis[[#This Row],[Poste 6]]</f>
        <v>0</v>
      </c>
      <c r="AB648" s="74">
        <f>Devis[[#This Row],[Quantité Totale]]*Devis[[#This Row],[Prix de Revient]]</f>
        <v>0</v>
      </c>
    </row>
    <row r="649" spans="1:28" ht="14.25" outlineLevel="1" x14ac:dyDescent="0.2">
      <c r="A649" s="75" t="s">
        <v>326</v>
      </c>
      <c r="B649" s="76" t="s">
        <v>4825</v>
      </c>
      <c r="C649" s="75" t="s">
        <v>3501</v>
      </c>
      <c r="D649" s="81" t="str">
        <f t="shared" si="11"/>
        <v>CuveReservoir Vertical - Air compriméKaeser</v>
      </c>
      <c r="E649" s="75" t="s">
        <v>4851</v>
      </c>
      <c r="F649" s="81">
        <v>30</v>
      </c>
      <c r="G649" s="71" t="s">
        <v>4885</v>
      </c>
      <c r="H649" s="71" t="s">
        <v>3501</v>
      </c>
      <c r="I649" s="71"/>
      <c r="J649" s="70">
        <f>IFERROR(VLOOKUP(Devis[[#This Row],[Ref Air Flux]],#REF!,3,FALSE),0)</f>
        <v>0</v>
      </c>
      <c r="K649" s="68"/>
      <c r="L649" s="68"/>
      <c r="M649" s="68"/>
      <c r="N649" s="68"/>
      <c r="O649" s="68"/>
      <c r="P649" s="68"/>
      <c r="Q649" s="68">
        <f>SUM(Devis[[#This Row],[Poste 1]:[Poste 6]])</f>
        <v>0</v>
      </c>
      <c r="R649" s="71"/>
      <c r="S649" s="68">
        <f>_xlfn.CEILING.MATH(Devis[[#This Row],[Quantité Totale]],Devis[[#This Row],[Conditionnement]])</f>
        <v>0</v>
      </c>
      <c r="T649" s="72"/>
      <c r="U649" s="73"/>
      <c r="V649" s="74">
        <f>Devis[[#This Row],[Prix de Revient]]*Devis[[#This Row],[Poste 1]]</f>
        <v>0</v>
      </c>
      <c r="W649" s="74">
        <f>Devis[[#This Row],[Prix de Revient]]*Devis[[#This Row],[Poste 2]]</f>
        <v>0</v>
      </c>
      <c r="X649" s="74">
        <f>Devis[[#This Row],[Prix de Revient]]*Devis[[#This Row],[Poste 3]]</f>
        <v>0</v>
      </c>
      <c r="Y649" s="74">
        <f>Devis[[#This Row],[Poste 4]]*Devis[[#This Row],[Prix de Revient]]</f>
        <v>0</v>
      </c>
      <c r="Z649" s="74">
        <f>Devis[[#This Row],[Poste 5]]*Devis[[#This Row],[Prix de Revient]]</f>
        <v>0</v>
      </c>
      <c r="AA649" s="74">
        <f>Devis[[#This Row],[Prix de Revient]]*Devis[[#This Row],[Poste 6]]</f>
        <v>0</v>
      </c>
      <c r="AB649" s="74">
        <f>Devis[[#This Row],[Quantité Totale]]*Devis[[#This Row],[Prix de Revient]]</f>
        <v>0</v>
      </c>
    </row>
    <row r="650" spans="1:28" ht="14.25" outlineLevel="1" x14ac:dyDescent="0.2">
      <c r="A650" s="75" t="s">
        <v>326</v>
      </c>
      <c r="B650" s="76" t="s">
        <v>4825</v>
      </c>
      <c r="C650" s="75" t="s">
        <v>3501</v>
      </c>
      <c r="D650" s="81" t="str">
        <f t="shared" si="11"/>
        <v>CuveReservoir Vertical - Air compriméKaeser</v>
      </c>
      <c r="E650" s="75" t="s">
        <v>4886</v>
      </c>
      <c r="F650" s="81">
        <v>31</v>
      </c>
      <c r="G650" s="71" t="s">
        <v>4887</v>
      </c>
      <c r="H650" s="71" t="s">
        <v>3501</v>
      </c>
      <c r="I650" s="71"/>
      <c r="J650" s="70">
        <f>IFERROR(VLOOKUP(Devis[[#This Row],[Ref Air Flux]],#REF!,3,FALSE),0)</f>
        <v>0</v>
      </c>
      <c r="K650" s="68"/>
      <c r="L650" s="68"/>
      <c r="M650" s="68"/>
      <c r="N650" s="68"/>
      <c r="O650" s="68"/>
      <c r="P650" s="68"/>
      <c r="Q650" s="68">
        <f>SUM(Devis[[#This Row],[Poste 1]:[Poste 6]])</f>
        <v>0</v>
      </c>
      <c r="R650" s="71"/>
      <c r="S650" s="68">
        <f>_xlfn.CEILING.MATH(Devis[[#This Row],[Quantité Totale]],Devis[[#This Row],[Conditionnement]])</f>
        <v>0</v>
      </c>
      <c r="T650" s="72"/>
      <c r="U650" s="73"/>
      <c r="V650" s="74">
        <f>Devis[[#This Row],[Prix de Revient]]*Devis[[#This Row],[Poste 1]]</f>
        <v>0</v>
      </c>
      <c r="W650" s="74">
        <f>Devis[[#This Row],[Prix de Revient]]*Devis[[#This Row],[Poste 2]]</f>
        <v>0</v>
      </c>
      <c r="X650" s="74">
        <f>Devis[[#This Row],[Prix de Revient]]*Devis[[#This Row],[Poste 3]]</f>
        <v>0</v>
      </c>
      <c r="Y650" s="74">
        <f>Devis[[#This Row],[Poste 4]]*Devis[[#This Row],[Prix de Revient]]</f>
        <v>0</v>
      </c>
      <c r="Z650" s="74">
        <f>Devis[[#This Row],[Poste 5]]*Devis[[#This Row],[Prix de Revient]]</f>
        <v>0</v>
      </c>
      <c r="AA650" s="74">
        <f>Devis[[#This Row],[Prix de Revient]]*Devis[[#This Row],[Poste 6]]</f>
        <v>0</v>
      </c>
      <c r="AB650" s="74">
        <f>Devis[[#This Row],[Quantité Totale]]*Devis[[#This Row],[Prix de Revient]]</f>
        <v>0</v>
      </c>
    </row>
    <row r="651" spans="1:28" ht="14.25" customHeight="1" outlineLevel="1" x14ac:dyDescent="0.2">
      <c r="A651" s="75" t="s">
        <v>326</v>
      </c>
      <c r="B651" s="76" t="s">
        <v>4825</v>
      </c>
      <c r="C651" s="75" t="s">
        <v>3501</v>
      </c>
      <c r="D651" s="81" t="str">
        <f t="shared" si="11"/>
        <v>CuveReservoir Vertical - Air compriméKaeser</v>
      </c>
      <c r="E651" s="75" t="s">
        <v>4888</v>
      </c>
      <c r="F651" s="81">
        <v>32</v>
      </c>
      <c r="G651" s="71" t="s">
        <v>4889</v>
      </c>
      <c r="H651" s="71" t="s">
        <v>3501</v>
      </c>
      <c r="I651" s="71"/>
      <c r="J651" s="70">
        <f>IFERROR(VLOOKUP(Devis[[#This Row],[Ref Air Flux]],#REF!,3,FALSE),0)</f>
        <v>0</v>
      </c>
      <c r="K651" s="68"/>
      <c r="L651" s="68"/>
      <c r="M651" s="68"/>
      <c r="N651" s="68"/>
      <c r="O651" s="68"/>
      <c r="P651" s="68"/>
      <c r="Q651" s="68">
        <f>SUM(Devis[[#This Row],[Poste 1]:[Poste 6]])</f>
        <v>0</v>
      </c>
      <c r="R651" s="71"/>
      <c r="S651" s="68">
        <f>_xlfn.CEILING.MATH(Devis[[#This Row],[Quantité Totale]],Devis[[#This Row],[Conditionnement]])</f>
        <v>0</v>
      </c>
      <c r="T651" s="72"/>
      <c r="U651" s="73"/>
      <c r="V651" s="74">
        <f>Devis[[#This Row],[Prix de Revient]]*Devis[[#This Row],[Poste 1]]</f>
        <v>0</v>
      </c>
      <c r="W651" s="74">
        <f>Devis[[#This Row],[Prix de Revient]]*Devis[[#This Row],[Poste 2]]</f>
        <v>0</v>
      </c>
      <c r="X651" s="74">
        <f>Devis[[#This Row],[Prix de Revient]]*Devis[[#This Row],[Poste 3]]</f>
        <v>0</v>
      </c>
      <c r="Y651" s="74">
        <f>Devis[[#This Row],[Poste 4]]*Devis[[#This Row],[Prix de Revient]]</f>
        <v>0</v>
      </c>
      <c r="Z651" s="74">
        <f>Devis[[#This Row],[Poste 5]]*Devis[[#This Row],[Prix de Revient]]</f>
        <v>0</v>
      </c>
      <c r="AA651" s="74">
        <f>Devis[[#This Row],[Prix de Revient]]*Devis[[#This Row],[Poste 6]]</f>
        <v>0</v>
      </c>
      <c r="AB651" s="74">
        <f>Devis[[#This Row],[Quantité Totale]]*Devis[[#This Row],[Prix de Revient]]</f>
        <v>0</v>
      </c>
    </row>
    <row r="652" spans="1:28" ht="14.25" outlineLevel="1" x14ac:dyDescent="0.2">
      <c r="A652" s="75" t="s">
        <v>326</v>
      </c>
      <c r="B652" s="76" t="s">
        <v>4825</v>
      </c>
      <c r="C652" s="75" t="s">
        <v>3501</v>
      </c>
      <c r="D652" s="81" t="str">
        <f t="shared" si="11"/>
        <v>CuveReservoir Vertical - Air compriméKaeser</v>
      </c>
      <c r="E652" s="75" t="s">
        <v>4890</v>
      </c>
      <c r="F652" s="81">
        <v>33</v>
      </c>
      <c r="G652" s="71" t="s">
        <v>4891</v>
      </c>
      <c r="H652" s="71" t="s">
        <v>3501</v>
      </c>
      <c r="I652" s="71"/>
      <c r="J652" s="70">
        <f>IFERROR(VLOOKUP(Devis[[#This Row],[Ref Air Flux]],#REF!,3,FALSE),0)</f>
        <v>0</v>
      </c>
      <c r="K652" s="68"/>
      <c r="L652" s="68"/>
      <c r="M652" s="68"/>
      <c r="N652" s="68"/>
      <c r="O652" s="68"/>
      <c r="P652" s="68"/>
      <c r="Q652" s="68">
        <f>SUM(Devis[[#This Row],[Poste 1]:[Poste 6]])</f>
        <v>0</v>
      </c>
      <c r="R652" s="71"/>
      <c r="S652" s="68">
        <f>_xlfn.CEILING.MATH(Devis[[#This Row],[Quantité Totale]],Devis[[#This Row],[Conditionnement]])</f>
        <v>0</v>
      </c>
      <c r="T652" s="72"/>
      <c r="U652" s="73"/>
      <c r="V652" s="74">
        <f>Devis[[#This Row],[Prix de Revient]]*Devis[[#This Row],[Poste 1]]</f>
        <v>0</v>
      </c>
      <c r="W652" s="74">
        <f>Devis[[#This Row],[Prix de Revient]]*Devis[[#This Row],[Poste 2]]</f>
        <v>0</v>
      </c>
      <c r="X652" s="74">
        <f>Devis[[#This Row],[Prix de Revient]]*Devis[[#This Row],[Poste 3]]</f>
        <v>0</v>
      </c>
      <c r="Y652" s="74">
        <f>Devis[[#This Row],[Poste 4]]*Devis[[#This Row],[Prix de Revient]]</f>
        <v>0</v>
      </c>
      <c r="Z652" s="74">
        <f>Devis[[#This Row],[Poste 5]]*Devis[[#This Row],[Prix de Revient]]</f>
        <v>0</v>
      </c>
      <c r="AA652" s="74">
        <f>Devis[[#This Row],[Prix de Revient]]*Devis[[#This Row],[Poste 6]]</f>
        <v>0</v>
      </c>
      <c r="AB652" s="74">
        <f>Devis[[#This Row],[Quantité Totale]]*Devis[[#This Row],[Prix de Revient]]</f>
        <v>0</v>
      </c>
    </row>
    <row r="653" spans="1:28" ht="14.25" outlineLevel="1" x14ac:dyDescent="0.2">
      <c r="A653" s="75" t="s">
        <v>326</v>
      </c>
      <c r="B653" s="76" t="s">
        <v>4825</v>
      </c>
      <c r="C653" s="75" t="s">
        <v>3501</v>
      </c>
      <c r="D653" s="81" t="str">
        <f t="shared" si="11"/>
        <v>CuveReservoir Vertical - Air compriméKaeser</v>
      </c>
      <c r="E653" s="75" t="s">
        <v>4892</v>
      </c>
      <c r="F653" s="81">
        <v>34</v>
      </c>
      <c r="G653" s="71" t="s">
        <v>4893</v>
      </c>
      <c r="H653" s="71" t="s">
        <v>3501</v>
      </c>
      <c r="I653" s="71"/>
      <c r="J653" s="70">
        <f>IFERROR(VLOOKUP(Devis[[#This Row],[Ref Air Flux]],#REF!,3,FALSE),0)</f>
        <v>0</v>
      </c>
      <c r="K653" s="68"/>
      <c r="L653" s="68"/>
      <c r="M653" s="68"/>
      <c r="N653" s="68"/>
      <c r="O653" s="68"/>
      <c r="P653" s="68"/>
      <c r="Q653" s="68">
        <f>SUM(Devis[[#This Row],[Poste 1]:[Poste 6]])</f>
        <v>0</v>
      </c>
      <c r="R653" s="71"/>
      <c r="S653" s="68">
        <f>_xlfn.CEILING.MATH(Devis[[#This Row],[Quantité Totale]],Devis[[#This Row],[Conditionnement]])</f>
        <v>0</v>
      </c>
      <c r="T653" s="72"/>
      <c r="U653" s="73"/>
      <c r="V653" s="74">
        <f>Devis[[#This Row],[Prix de Revient]]*Devis[[#This Row],[Poste 1]]</f>
        <v>0</v>
      </c>
      <c r="W653" s="74">
        <f>Devis[[#This Row],[Prix de Revient]]*Devis[[#This Row],[Poste 2]]</f>
        <v>0</v>
      </c>
      <c r="X653" s="74">
        <f>Devis[[#This Row],[Prix de Revient]]*Devis[[#This Row],[Poste 3]]</f>
        <v>0</v>
      </c>
      <c r="Y653" s="74">
        <f>Devis[[#This Row],[Poste 4]]*Devis[[#This Row],[Prix de Revient]]</f>
        <v>0</v>
      </c>
      <c r="Z653" s="74">
        <f>Devis[[#This Row],[Poste 5]]*Devis[[#This Row],[Prix de Revient]]</f>
        <v>0</v>
      </c>
      <c r="AA653" s="74">
        <f>Devis[[#This Row],[Prix de Revient]]*Devis[[#This Row],[Poste 6]]</f>
        <v>0</v>
      </c>
      <c r="AB653" s="74">
        <f>Devis[[#This Row],[Quantité Totale]]*Devis[[#This Row],[Prix de Revient]]</f>
        <v>0</v>
      </c>
    </row>
    <row r="654" spans="1:28" ht="14.25" outlineLevel="1" x14ac:dyDescent="0.2">
      <c r="A654" s="75" t="s">
        <v>326</v>
      </c>
      <c r="B654" s="76" t="s">
        <v>4825</v>
      </c>
      <c r="C654" s="75" t="s">
        <v>3501</v>
      </c>
      <c r="D654" s="81" t="str">
        <f t="shared" si="11"/>
        <v>CuveReservoir Vertical - Air compriméKaeser</v>
      </c>
      <c r="E654" s="75" t="s">
        <v>4894</v>
      </c>
      <c r="F654" s="81">
        <v>35</v>
      </c>
      <c r="G654" s="71" t="s">
        <v>4895</v>
      </c>
      <c r="H654" s="71" t="s">
        <v>3501</v>
      </c>
      <c r="I654" s="71"/>
      <c r="J654" s="70">
        <f>IFERROR(VLOOKUP(Devis[[#This Row],[Ref Air Flux]],#REF!,3,FALSE),0)</f>
        <v>0</v>
      </c>
      <c r="K654" s="68"/>
      <c r="L654" s="68"/>
      <c r="M654" s="68"/>
      <c r="N654" s="68"/>
      <c r="O654" s="68"/>
      <c r="P654" s="68"/>
      <c r="Q654" s="68">
        <f>SUM(Devis[[#This Row],[Poste 1]:[Poste 6]])</f>
        <v>0</v>
      </c>
      <c r="R654" s="71"/>
      <c r="S654" s="68">
        <f>_xlfn.CEILING.MATH(Devis[[#This Row],[Quantité Totale]],Devis[[#This Row],[Conditionnement]])</f>
        <v>0</v>
      </c>
      <c r="T654" s="72"/>
      <c r="U654" s="73"/>
      <c r="V654" s="74">
        <f>Devis[[#This Row],[Prix de Revient]]*Devis[[#This Row],[Poste 1]]</f>
        <v>0</v>
      </c>
      <c r="W654" s="74">
        <f>Devis[[#This Row],[Prix de Revient]]*Devis[[#This Row],[Poste 2]]</f>
        <v>0</v>
      </c>
      <c r="X654" s="74">
        <f>Devis[[#This Row],[Prix de Revient]]*Devis[[#This Row],[Poste 3]]</f>
        <v>0</v>
      </c>
      <c r="Y654" s="74">
        <f>Devis[[#This Row],[Poste 4]]*Devis[[#This Row],[Prix de Revient]]</f>
        <v>0</v>
      </c>
      <c r="Z654" s="74">
        <f>Devis[[#This Row],[Poste 5]]*Devis[[#This Row],[Prix de Revient]]</f>
        <v>0</v>
      </c>
      <c r="AA654" s="74">
        <f>Devis[[#This Row],[Prix de Revient]]*Devis[[#This Row],[Poste 6]]</f>
        <v>0</v>
      </c>
      <c r="AB654" s="74">
        <f>Devis[[#This Row],[Quantité Totale]]*Devis[[#This Row],[Prix de Revient]]</f>
        <v>0</v>
      </c>
    </row>
    <row r="655" spans="1:28" ht="14.25" outlineLevel="1" x14ac:dyDescent="0.2">
      <c r="A655" s="75" t="s">
        <v>326</v>
      </c>
      <c r="B655" s="76" t="s">
        <v>4825</v>
      </c>
      <c r="C655" s="75" t="s">
        <v>3501</v>
      </c>
      <c r="D655" s="81" t="str">
        <f t="shared" si="11"/>
        <v>CuveReservoir Vertical - Air compriméKaeser</v>
      </c>
      <c r="E655" s="75" t="s">
        <v>4896</v>
      </c>
      <c r="F655" s="81">
        <v>36</v>
      </c>
      <c r="G655" s="71" t="s">
        <v>4897</v>
      </c>
      <c r="H655" s="71" t="s">
        <v>3501</v>
      </c>
      <c r="I655" s="71"/>
      <c r="J655" s="70">
        <f>IFERROR(VLOOKUP(Devis[[#This Row],[Ref Air Flux]],#REF!,3,FALSE),0)</f>
        <v>0</v>
      </c>
      <c r="K655" s="68"/>
      <c r="L655" s="68"/>
      <c r="M655" s="68"/>
      <c r="N655" s="68"/>
      <c r="O655" s="68"/>
      <c r="P655" s="68"/>
      <c r="Q655" s="68">
        <f>SUM(Devis[[#This Row],[Poste 1]:[Poste 6]])</f>
        <v>0</v>
      </c>
      <c r="R655" s="71"/>
      <c r="S655" s="68">
        <f>_xlfn.CEILING.MATH(Devis[[#This Row],[Quantité Totale]],Devis[[#This Row],[Conditionnement]])</f>
        <v>0</v>
      </c>
      <c r="T655" s="72"/>
      <c r="U655" s="73"/>
      <c r="V655" s="74">
        <f>Devis[[#This Row],[Prix de Revient]]*Devis[[#This Row],[Poste 1]]</f>
        <v>0</v>
      </c>
      <c r="W655" s="74">
        <f>Devis[[#This Row],[Prix de Revient]]*Devis[[#This Row],[Poste 2]]</f>
        <v>0</v>
      </c>
      <c r="X655" s="74">
        <f>Devis[[#This Row],[Prix de Revient]]*Devis[[#This Row],[Poste 3]]</f>
        <v>0</v>
      </c>
      <c r="Y655" s="74">
        <f>Devis[[#This Row],[Poste 4]]*Devis[[#This Row],[Prix de Revient]]</f>
        <v>0</v>
      </c>
      <c r="Z655" s="74">
        <f>Devis[[#This Row],[Poste 5]]*Devis[[#This Row],[Prix de Revient]]</f>
        <v>0</v>
      </c>
      <c r="AA655" s="74">
        <f>Devis[[#This Row],[Prix de Revient]]*Devis[[#This Row],[Poste 6]]</f>
        <v>0</v>
      </c>
      <c r="AB655" s="74">
        <f>Devis[[#This Row],[Quantité Totale]]*Devis[[#This Row],[Prix de Revient]]</f>
        <v>0</v>
      </c>
    </row>
    <row r="656" spans="1:28" ht="15" customHeight="1" outlineLevel="1" x14ac:dyDescent="0.2">
      <c r="A656" s="75" t="s">
        <v>326</v>
      </c>
      <c r="B656" s="76" t="s">
        <v>4825</v>
      </c>
      <c r="C656" s="75" t="s">
        <v>3501</v>
      </c>
      <c r="D656" s="81" t="str">
        <f t="shared" si="11"/>
        <v>CuveReservoir Vertical - Air compriméKaeser</v>
      </c>
      <c r="E656" s="75" t="s">
        <v>4898</v>
      </c>
      <c r="F656" s="81">
        <v>37</v>
      </c>
      <c r="G656" s="71" t="s">
        <v>4899</v>
      </c>
      <c r="H656" s="71" t="s">
        <v>3501</v>
      </c>
      <c r="I656" s="71"/>
      <c r="J656" s="70">
        <f>IFERROR(VLOOKUP(Devis[[#This Row],[Ref Air Flux]],#REF!,3,FALSE),0)</f>
        <v>0</v>
      </c>
      <c r="K656" s="68"/>
      <c r="L656" s="68"/>
      <c r="M656" s="68"/>
      <c r="N656" s="68"/>
      <c r="O656" s="68"/>
      <c r="P656" s="68"/>
      <c r="Q656" s="68">
        <f>SUM(Devis[[#This Row],[Poste 1]:[Poste 6]])</f>
        <v>0</v>
      </c>
      <c r="R656" s="71"/>
      <c r="S656" s="68">
        <f>_xlfn.CEILING.MATH(Devis[[#This Row],[Quantité Totale]],Devis[[#This Row],[Conditionnement]])</f>
        <v>0</v>
      </c>
      <c r="T656" s="72"/>
      <c r="U656" s="73"/>
      <c r="V656" s="74">
        <f>Devis[[#This Row],[Prix de Revient]]*Devis[[#This Row],[Poste 1]]</f>
        <v>0</v>
      </c>
      <c r="W656" s="74">
        <f>Devis[[#This Row],[Prix de Revient]]*Devis[[#This Row],[Poste 2]]</f>
        <v>0</v>
      </c>
      <c r="X656" s="74">
        <f>Devis[[#This Row],[Prix de Revient]]*Devis[[#This Row],[Poste 3]]</f>
        <v>0</v>
      </c>
      <c r="Y656" s="74">
        <f>Devis[[#This Row],[Poste 4]]*Devis[[#This Row],[Prix de Revient]]</f>
        <v>0</v>
      </c>
      <c r="Z656" s="74">
        <f>Devis[[#This Row],[Poste 5]]*Devis[[#This Row],[Prix de Revient]]</f>
        <v>0</v>
      </c>
      <c r="AA656" s="74">
        <f>Devis[[#This Row],[Prix de Revient]]*Devis[[#This Row],[Poste 6]]</f>
        <v>0</v>
      </c>
      <c r="AB656" s="74">
        <f>Devis[[#This Row],[Quantité Totale]]*Devis[[#This Row],[Prix de Revient]]</f>
        <v>0</v>
      </c>
    </row>
    <row r="657" spans="1:28" ht="14.25" outlineLevel="1" x14ac:dyDescent="0.2">
      <c r="A657" s="75" t="s">
        <v>326</v>
      </c>
      <c r="B657" s="76" t="s">
        <v>4825</v>
      </c>
      <c r="C657" s="75" t="s">
        <v>3501</v>
      </c>
      <c r="D657" s="81" t="str">
        <f t="shared" si="11"/>
        <v>CuveReservoir Vertical - Air compriméKaeser</v>
      </c>
      <c r="E657" s="75" t="s">
        <v>4900</v>
      </c>
      <c r="F657" s="81">
        <v>38</v>
      </c>
      <c r="G657" s="71" t="s">
        <v>4901</v>
      </c>
      <c r="H657" s="71" t="s">
        <v>3501</v>
      </c>
      <c r="I657" s="71"/>
      <c r="J657" s="70">
        <f>IFERROR(VLOOKUP(Devis[[#This Row],[Ref Air Flux]],#REF!,3,FALSE),0)</f>
        <v>0</v>
      </c>
      <c r="K657" s="68"/>
      <c r="L657" s="68"/>
      <c r="M657" s="68"/>
      <c r="N657" s="68"/>
      <c r="O657" s="68"/>
      <c r="P657" s="68"/>
      <c r="Q657" s="68">
        <f>SUM(Devis[[#This Row],[Poste 1]:[Poste 6]])</f>
        <v>0</v>
      </c>
      <c r="R657" s="71"/>
      <c r="S657" s="68">
        <f>_xlfn.CEILING.MATH(Devis[[#This Row],[Quantité Totale]],Devis[[#This Row],[Conditionnement]])</f>
        <v>0</v>
      </c>
      <c r="T657" s="72"/>
      <c r="U657" s="73"/>
      <c r="V657" s="74">
        <f>Devis[[#This Row],[Prix de Revient]]*Devis[[#This Row],[Poste 1]]</f>
        <v>0</v>
      </c>
      <c r="W657" s="74">
        <f>Devis[[#This Row],[Prix de Revient]]*Devis[[#This Row],[Poste 2]]</f>
        <v>0</v>
      </c>
      <c r="X657" s="74">
        <f>Devis[[#This Row],[Prix de Revient]]*Devis[[#This Row],[Poste 3]]</f>
        <v>0</v>
      </c>
      <c r="Y657" s="74">
        <f>Devis[[#This Row],[Poste 4]]*Devis[[#This Row],[Prix de Revient]]</f>
        <v>0</v>
      </c>
      <c r="Z657" s="74">
        <f>Devis[[#This Row],[Poste 5]]*Devis[[#This Row],[Prix de Revient]]</f>
        <v>0</v>
      </c>
      <c r="AA657" s="74">
        <f>Devis[[#This Row],[Prix de Revient]]*Devis[[#This Row],[Poste 6]]</f>
        <v>0</v>
      </c>
      <c r="AB657" s="74">
        <f>Devis[[#This Row],[Quantité Totale]]*Devis[[#This Row],[Prix de Revient]]</f>
        <v>0</v>
      </c>
    </row>
    <row r="658" spans="1:28" ht="14.25" outlineLevel="1" x14ac:dyDescent="0.2">
      <c r="A658" s="75" t="s">
        <v>326</v>
      </c>
      <c r="B658" s="76" t="s">
        <v>4825</v>
      </c>
      <c r="C658" s="75" t="s">
        <v>3501</v>
      </c>
      <c r="D658" s="81" t="str">
        <f t="shared" si="11"/>
        <v>CuveReservoir Vertical - Air compriméKaeser</v>
      </c>
      <c r="E658" s="75" t="s">
        <v>4902</v>
      </c>
      <c r="F658" s="81">
        <v>39</v>
      </c>
      <c r="G658" s="71" t="s">
        <v>4903</v>
      </c>
      <c r="H658" s="71" t="s">
        <v>3501</v>
      </c>
      <c r="I658" s="71"/>
      <c r="J658" s="70">
        <f>IFERROR(VLOOKUP(Devis[[#This Row],[Ref Air Flux]],#REF!,3,FALSE),0)</f>
        <v>0</v>
      </c>
      <c r="K658" s="68"/>
      <c r="L658" s="68"/>
      <c r="M658" s="68"/>
      <c r="N658" s="68"/>
      <c r="O658" s="68"/>
      <c r="P658" s="68"/>
      <c r="Q658" s="68">
        <f>SUM(Devis[[#This Row],[Poste 1]:[Poste 6]])</f>
        <v>0</v>
      </c>
      <c r="R658" s="71"/>
      <c r="S658" s="68">
        <f>_xlfn.CEILING.MATH(Devis[[#This Row],[Quantité Totale]],Devis[[#This Row],[Conditionnement]])</f>
        <v>0</v>
      </c>
      <c r="T658" s="72"/>
      <c r="U658" s="73"/>
      <c r="V658" s="74">
        <f>Devis[[#This Row],[Prix de Revient]]*Devis[[#This Row],[Poste 1]]</f>
        <v>0</v>
      </c>
      <c r="W658" s="74">
        <f>Devis[[#This Row],[Prix de Revient]]*Devis[[#This Row],[Poste 2]]</f>
        <v>0</v>
      </c>
      <c r="X658" s="74">
        <f>Devis[[#This Row],[Prix de Revient]]*Devis[[#This Row],[Poste 3]]</f>
        <v>0</v>
      </c>
      <c r="Y658" s="74">
        <f>Devis[[#This Row],[Poste 4]]*Devis[[#This Row],[Prix de Revient]]</f>
        <v>0</v>
      </c>
      <c r="Z658" s="74">
        <f>Devis[[#This Row],[Poste 5]]*Devis[[#This Row],[Prix de Revient]]</f>
        <v>0</v>
      </c>
      <c r="AA658" s="74">
        <f>Devis[[#This Row],[Prix de Revient]]*Devis[[#This Row],[Poste 6]]</f>
        <v>0</v>
      </c>
      <c r="AB658" s="74">
        <f>Devis[[#This Row],[Quantité Totale]]*Devis[[#This Row],[Prix de Revient]]</f>
        <v>0</v>
      </c>
    </row>
    <row r="659" spans="1:28" ht="14.25" outlineLevel="1" x14ac:dyDescent="0.2">
      <c r="A659" s="75" t="s">
        <v>326</v>
      </c>
      <c r="B659" s="76" t="s">
        <v>4825</v>
      </c>
      <c r="C659" s="75" t="s">
        <v>3501</v>
      </c>
      <c r="D659" s="81" t="str">
        <f t="shared" si="11"/>
        <v>CuveReservoir Vertical - Air compriméKaeser</v>
      </c>
      <c r="E659" s="75" t="s">
        <v>4904</v>
      </c>
      <c r="F659" s="81">
        <v>40</v>
      </c>
      <c r="G659" s="71" t="s">
        <v>4905</v>
      </c>
      <c r="H659" s="71" t="s">
        <v>3501</v>
      </c>
      <c r="I659" s="71"/>
      <c r="J659" s="70">
        <f>IFERROR(VLOOKUP(Devis[[#This Row],[Ref Air Flux]],#REF!,3,FALSE),0)</f>
        <v>0</v>
      </c>
      <c r="K659" s="68"/>
      <c r="L659" s="68"/>
      <c r="M659" s="68"/>
      <c r="N659" s="68"/>
      <c r="O659" s="68"/>
      <c r="P659" s="68"/>
      <c r="Q659" s="68">
        <f>SUM(Devis[[#This Row],[Poste 1]:[Poste 6]])</f>
        <v>0</v>
      </c>
      <c r="R659" s="71"/>
      <c r="S659" s="68">
        <f>_xlfn.CEILING.MATH(Devis[[#This Row],[Quantité Totale]],Devis[[#This Row],[Conditionnement]])</f>
        <v>0</v>
      </c>
      <c r="T659" s="72"/>
      <c r="U659" s="73"/>
      <c r="V659" s="74">
        <f>Devis[[#This Row],[Prix de Revient]]*Devis[[#This Row],[Poste 1]]</f>
        <v>0</v>
      </c>
      <c r="W659" s="74">
        <f>Devis[[#This Row],[Prix de Revient]]*Devis[[#This Row],[Poste 2]]</f>
        <v>0</v>
      </c>
      <c r="X659" s="74">
        <f>Devis[[#This Row],[Prix de Revient]]*Devis[[#This Row],[Poste 3]]</f>
        <v>0</v>
      </c>
      <c r="Y659" s="74">
        <f>Devis[[#This Row],[Poste 4]]*Devis[[#This Row],[Prix de Revient]]</f>
        <v>0</v>
      </c>
      <c r="Z659" s="74">
        <f>Devis[[#This Row],[Poste 5]]*Devis[[#This Row],[Prix de Revient]]</f>
        <v>0</v>
      </c>
      <c r="AA659" s="74">
        <f>Devis[[#This Row],[Prix de Revient]]*Devis[[#This Row],[Poste 6]]</f>
        <v>0</v>
      </c>
      <c r="AB659" s="74">
        <f>Devis[[#This Row],[Quantité Totale]]*Devis[[#This Row],[Prix de Revient]]</f>
        <v>0</v>
      </c>
    </row>
    <row r="660" spans="1:28" ht="14.25" outlineLevel="1" x14ac:dyDescent="0.2">
      <c r="A660" s="75" t="s">
        <v>326</v>
      </c>
      <c r="B660" s="76" t="s">
        <v>4825</v>
      </c>
      <c r="C660" s="75" t="s">
        <v>3501</v>
      </c>
      <c r="D660" s="81" t="str">
        <f t="shared" si="11"/>
        <v>CuveReservoir Vertical - Air compriméKaeser</v>
      </c>
      <c r="E660" s="75" t="s">
        <v>4906</v>
      </c>
      <c r="F660" s="81">
        <v>41</v>
      </c>
      <c r="G660" s="71" t="s">
        <v>4907</v>
      </c>
      <c r="H660" s="71" t="s">
        <v>3501</v>
      </c>
      <c r="I660" s="71"/>
      <c r="J660" s="70">
        <f>IFERROR(VLOOKUP(Devis[[#This Row],[Ref Air Flux]],#REF!,3,FALSE),0)</f>
        <v>0</v>
      </c>
      <c r="K660" s="68"/>
      <c r="L660" s="68"/>
      <c r="M660" s="68"/>
      <c r="N660" s="68"/>
      <c r="O660" s="68"/>
      <c r="P660" s="68"/>
      <c r="Q660" s="68">
        <f>SUM(Devis[[#This Row],[Poste 1]:[Poste 6]])</f>
        <v>0</v>
      </c>
      <c r="R660" s="71"/>
      <c r="S660" s="68">
        <f>_xlfn.CEILING.MATH(Devis[[#This Row],[Quantité Totale]],Devis[[#This Row],[Conditionnement]])</f>
        <v>0</v>
      </c>
      <c r="T660" s="72"/>
      <c r="U660" s="73"/>
      <c r="V660" s="74">
        <f>Devis[[#This Row],[Prix de Revient]]*Devis[[#This Row],[Poste 1]]</f>
        <v>0</v>
      </c>
      <c r="W660" s="74">
        <f>Devis[[#This Row],[Prix de Revient]]*Devis[[#This Row],[Poste 2]]</f>
        <v>0</v>
      </c>
      <c r="X660" s="74">
        <f>Devis[[#This Row],[Prix de Revient]]*Devis[[#This Row],[Poste 3]]</f>
        <v>0</v>
      </c>
      <c r="Y660" s="74">
        <f>Devis[[#This Row],[Poste 4]]*Devis[[#This Row],[Prix de Revient]]</f>
        <v>0</v>
      </c>
      <c r="Z660" s="74">
        <f>Devis[[#This Row],[Poste 5]]*Devis[[#This Row],[Prix de Revient]]</f>
        <v>0</v>
      </c>
      <c r="AA660" s="74">
        <f>Devis[[#This Row],[Prix de Revient]]*Devis[[#This Row],[Poste 6]]</f>
        <v>0</v>
      </c>
      <c r="AB660" s="74">
        <f>Devis[[#This Row],[Quantité Totale]]*Devis[[#This Row],[Prix de Revient]]</f>
        <v>0</v>
      </c>
    </row>
    <row r="661" spans="1:28" ht="14.25" outlineLevel="1" x14ac:dyDescent="0.2">
      <c r="A661" s="75" t="s">
        <v>326</v>
      </c>
      <c r="B661" s="76" t="s">
        <v>4825</v>
      </c>
      <c r="C661" s="75" t="s">
        <v>3501</v>
      </c>
      <c r="D661" s="81" t="str">
        <f t="shared" si="11"/>
        <v>CuveReservoir Vertical - Air compriméKaeser</v>
      </c>
      <c r="E661" s="75" t="s">
        <v>4908</v>
      </c>
      <c r="F661" s="81">
        <v>42</v>
      </c>
      <c r="G661" s="71" t="s">
        <v>4909</v>
      </c>
      <c r="H661" s="71" t="s">
        <v>3501</v>
      </c>
      <c r="I661" s="71"/>
      <c r="J661" s="70">
        <f>IFERROR(VLOOKUP(Devis[[#This Row],[Ref Air Flux]],#REF!,3,FALSE),0)</f>
        <v>0</v>
      </c>
      <c r="K661" s="68"/>
      <c r="L661" s="68"/>
      <c r="M661" s="68"/>
      <c r="N661" s="68"/>
      <c r="O661" s="68"/>
      <c r="P661" s="68"/>
      <c r="Q661" s="68">
        <f>SUM(Devis[[#This Row],[Poste 1]:[Poste 6]])</f>
        <v>0</v>
      </c>
      <c r="R661" s="71"/>
      <c r="S661" s="68">
        <f>_xlfn.CEILING.MATH(Devis[[#This Row],[Quantité Totale]],Devis[[#This Row],[Conditionnement]])</f>
        <v>0</v>
      </c>
      <c r="T661" s="72"/>
      <c r="U661" s="73"/>
      <c r="V661" s="74">
        <f>Devis[[#This Row],[Prix de Revient]]*Devis[[#This Row],[Poste 1]]</f>
        <v>0</v>
      </c>
      <c r="W661" s="74">
        <f>Devis[[#This Row],[Prix de Revient]]*Devis[[#This Row],[Poste 2]]</f>
        <v>0</v>
      </c>
      <c r="X661" s="74">
        <f>Devis[[#This Row],[Prix de Revient]]*Devis[[#This Row],[Poste 3]]</f>
        <v>0</v>
      </c>
      <c r="Y661" s="74">
        <f>Devis[[#This Row],[Poste 4]]*Devis[[#This Row],[Prix de Revient]]</f>
        <v>0</v>
      </c>
      <c r="Z661" s="74">
        <f>Devis[[#This Row],[Poste 5]]*Devis[[#This Row],[Prix de Revient]]</f>
        <v>0</v>
      </c>
      <c r="AA661" s="74">
        <f>Devis[[#This Row],[Prix de Revient]]*Devis[[#This Row],[Poste 6]]</f>
        <v>0</v>
      </c>
      <c r="AB661" s="74">
        <f>Devis[[#This Row],[Quantité Totale]]*Devis[[#This Row],[Prix de Revient]]</f>
        <v>0</v>
      </c>
    </row>
    <row r="662" spans="1:28" ht="14.25" outlineLevel="1" x14ac:dyDescent="0.2">
      <c r="A662" s="75" t="s">
        <v>326</v>
      </c>
      <c r="B662" s="76" t="s">
        <v>4825</v>
      </c>
      <c r="C662" s="75" t="s">
        <v>3501</v>
      </c>
      <c r="D662" s="81" t="str">
        <f t="shared" si="11"/>
        <v>CuveReservoir Vertical - Air compriméKaeser</v>
      </c>
      <c r="E662" s="75" t="s">
        <v>4910</v>
      </c>
      <c r="F662" s="81">
        <v>43</v>
      </c>
      <c r="G662" s="71" t="s">
        <v>4911</v>
      </c>
      <c r="H662" s="71" t="s">
        <v>3501</v>
      </c>
      <c r="I662" s="71"/>
      <c r="J662" s="70">
        <f>IFERROR(VLOOKUP(Devis[[#This Row],[Ref Air Flux]],#REF!,3,FALSE),0)</f>
        <v>0</v>
      </c>
      <c r="K662" s="68"/>
      <c r="L662" s="68"/>
      <c r="M662" s="68"/>
      <c r="N662" s="68"/>
      <c r="O662" s="68"/>
      <c r="P662" s="68"/>
      <c r="Q662" s="68">
        <f>SUM(Devis[[#This Row],[Poste 1]:[Poste 6]])</f>
        <v>0</v>
      </c>
      <c r="R662" s="71"/>
      <c r="S662" s="68">
        <f>_xlfn.CEILING.MATH(Devis[[#This Row],[Quantité Totale]],Devis[[#This Row],[Conditionnement]])</f>
        <v>0</v>
      </c>
      <c r="T662" s="72"/>
      <c r="U662" s="73"/>
      <c r="V662" s="74">
        <f>Devis[[#This Row],[Prix de Revient]]*Devis[[#This Row],[Poste 1]]</f>
        <v>0</v>
      </c>
      <c r="W662" s="74">
        <f>Devis[[#This Row],[Prix de Revient]]*Devis[[#This Row],[Poste 2]]</f>
        <v>0</v>
      </c>
      <c r="X662" s="74">
        <f>Devis[[#This Row],[Prix de Revient]]*Devis[[#This Row],[Poste 3]]</f>
        <v>0</v>
      </c>
      <c r="Y662" s="74">
        <f>Devis[[#This Row],[Poste 4]]*Devis[[#This Row],[Prix de Revient]]</f>
        <v>0</v>
      </c>
      <c r="Z662" s="74">
        <f>Devis[[#This Row],[Poste 5]]*Devis[[#This Row],[Prix de Revient]]</f>
        <v>0</v>
      </c>
      <c r="AA662" s="74">
        <f>Devis[[#This Row],[Prix de Revient]]*Devis[[#This Row],[Poste 6]]</f>
        <v>0</v>
      </c>
      <c r="AB662" s="74">
        <f>Devis[[#This Row],[Quantité Totale]]*Devis[[#This Row],[Prix de Revient]]</f>
        <v>0</v>
      </c>
    </row>
    <row r="663" spans="1:28" ht="14.25" outlineLevel="1" x14ac:dyDescent="0.2">
      <c r="A663" s="75" t="s">
        <v>326</v>
      </c>
      <c r="B663" s="76" t="s">
        <v>4825</v>
      </c>
      <c r="C663" s="75" t="s">
        <v>3934</v>
      </c>
      <c r="D663" s="81" t="str">
        <f t="shared" si="11"/>
        <v>CuveReservoir Vertical - Air compriméPauchard</v>
      </c>
      <c r="E663" s="75" t="s">
        <v>4912</v>
      </c>
      <c r="F663" s="81">
        <v>44</v>
      </c>
      <c r="G663" s="71" t="s">
        <v>3917</v>
      </c>
      <c r="H663" s="71" t="s">
        <v>3934</v>
      </c>
      <c r="I663" s="71"/>
      <c r="J663" s="70">
        <f>IFERROR(VLOOKUP(Devis[[#This Row],[Ref Air Flux]],#REF!,3,FALSE),0)</f>
        <v>0</v>
      </c>
      <c r="K663" s="68"/>
      <c r="L663" s="68"/>
      <c r="M663" s="68"/>
      <c r="N663" s="68"/>
      <c r="O663" s="68"/>
      <c r="P663" s="68"/>
      <c r="Q663" s="68">
        <f>SUM(Devis[[#This Row],[Poste 1]:[Poste 6]])</f>
        <v>0</v>
      </c>
      <c r="R663" s="71"/>
      <c r="S663" s="68">
        <f>_xlfn.CEILING.MATH(Devis[[#This Row],[Quantité Totale]],Devis[[#This Row],[Conditionnement]])</f>
        <v>0</v>
      </c>
      <c r="T663" s="72"/>
      <c r="U663" s="73"/>
      <c r="V663" s="74">
        <f>Devis[[#This Row],[Prix de Revient]]*Devis[[#This Row],[Poste 1]]</f>
        <v>0</v>
      </c>
      <c r="W663" s="74">
        <f>Devis[[#This Row],[Prix de Revient]]*Devis[[#This Row],[Poste 2]]</f>
        <v>0</v>
      </c>
      <c r="X663" s="74">
        <f>Devis[[#This Row],[Prix de Revient]]*Devis[[#This Row],[Poste 3]]</f>
        <v>0</v>
      </c>
      <c r="Y663" s="74">
        <f>Devis[[#This Row],[Poste 4]]*Devis[[#This Row],[Prix de Revient]]</f>
        <v>0</v>
      </c>
      <c r="Z663" s="74">
        <f>Devis[[#This Row],[Poste 5]]*Devis[[#This Row],[Prix de Revient]]</f>
        <v>0</v>
      </c>
      <c r="AA663" s="74">
        <f>Devis[[#This Row],[Prix de Revient]]*Devis[[#This Row],[Poste 6]]</f>
        <v>0</v>
      </c>
      <c r="AB663" s="74">
        <f>Devis[[#This Row],[Quantité Totale]]*Devis[[#This Row],[Prix de Revient]]</f>
        <v>0</v>
      </c>
    </row>
    <row r="664" spans="1:28" ht="14.25" customHeight="1" outlineLevel="1" x14ac:dyDescent="0.2">
      <c r="A664" s="75" t="s">
        <v>326</v>
      </c>
      <c r="B664" s="76" t="s">
        <v>4825</v>
      </c>
      <c r="C664" s="75" t="s">
        <v>3934</v>
      </c>
      <c r="D664" s="81" t="str">
        <f t="shared" si="11"/>
        <v>CuveReservoir Vertical - Air compriméPauchard</v>
      </c>
      <c r="E664" s="75" t="s">
        <v>4913</v>
      </c>
      <c r="F664" s="81">
        <v>45</v>
      </c>
      <c r="G664" s="71" t="s">
        <v>4914</v>
      </c>
      <c r="H664" s="71" t="s">
        <v>3934</v>
      </c>
      <c r="I664" s="71"/>
      <c r="J664" s="70">
        <f>IFERROR(VLOOKUP(Devis[[#This Row],[Ref Air Flux]],#REF!,3,FALSE),0)</f>
        <v>0</v>
      </c>
      <c r="K664" s="68"/>
      <c r="L664" s="68"/>
      <c r="M664" s="68"/>
      <c r="N664" s="68"/>
      <c r="O664" s="68"/>
      <c r="P664" s="68"/>
      <c r="Q664" s="68">
        <f>SUM(Devis[[#This Row],[Poste 1]:[Poste 6]])</f>
        <v>0</v>
      </c>
      <c r="R664" s="71"/>
      <c r="S664" s="68">
        <f>_xlfn.CEILING.MATH(Devis[[#This Row],[Quantité Totale]],Devis[[#This Row],[Conditionnement]])</f>
        <v>0</v>
      </c>
      <c r="T664" s="72"/>
      <c r="U664" s="73"/>
      <c r="V664" s="74">
        <f>Devis[[#This Row],[Prix de Revient]]*Devis[[#This Row],[Poste 1]]</f>
        <v>0</v>
      </c>
      <c r="W664" s="74">
        <f>Devis[[#This Row],[Prix de Revient]]*Devis[[#This Row],[Poste 2]]</f>
        <v>0</v>
      </c>
      <c r="X664" s="74">
        <f>Devis[[#This Row],[Prix de Revient]]*Devis[[#This Row],[Poste 3]]</f>
        <v>0</v>
      </c>
      <c r="Y664" s="74">
        <f>Devis[[#This Row],[Poste 4]]*Devis[[#This Row],[Prix de Revient]]</f>
        <v>0</v>
      </c>
      <c r="Z664" s="74">
        <f>Devis[[#This Row],[Poste 5]]*Devis[[#This Row],[Prix de Revient]]</f>
        <v>0</v>
      </c>
      <c r="AA664" s="74">
        <f>Devis[[#This Row],[Prix de Revient]]*Devis[[#This Row],[Poste 6]]</f>
        <v>0</v>
      </c>
      <c r="AB664" s="74">
        <f>Devis[[#This Row],[Quantité Totale]]*Devis[[#This Row],[Prix de Revient]]</f>
        <v>0</v>
      </c>
    </row>
    <row r="665" spans="1:28" ht="14.25" outlineLevel="1" x14ac:dyDescent="0.2">
      <c r="A665" s="75" t="s">
        <v>326</v>
      </c>
      <c r="B665" s="76" t="s">
        <v>4825</v>
      </c>
      <c r="C665" s="75" t="s">
        <v>3934</v>
      </c>
      <c r="D665" s="81" t="str">
        <f t="shared" si="11"/>
        <v>CuveReservoir Vertical - Air compriméPauchard</v>
      </c>
      <c r="E665" s="75" t="s">
        <v>4915</v>
      </c>
      <c r="F665" s="81">
        <v>46</v>
      </c>
      <c r="G665" s="71" t="s">
        <v>4916</v>
      </c>
      <c r="H665" s="71" t="s">
        <v>3934</v>
      </c>
      <c r="I665" s="71"/>
      <c r="J665" s="70">
        <f>IFERROR(VLOOKUP(Devis[[#This Row],[Ref Air Flux]],#REF!,3,FALSE),0)</f>
        <v>0</v>
      </c>
      <c r="K665" s="68"/>
      <c r="L665" s="68"/>
      <c r="M665" s="68"/>
      <c r="N665" s="68"/>
      <c r="O665" s="68"/>
      <c r="P665" s="68"/>
      <c r="Q665" s="68">
        <f>SUM(Devis[[#This Row],[Poste 1]:[Poste 6]])</f>
        <v>0</v>
      </c>
      <c r="R665" s="71"/>
      <c r="S665" s="68">
        <f>_xlfn.CEILING.MATH(Devis[[#This Row],[Quantité Totale]],Devis[[#This Row],[Conditionnement]])</f>
        <v>0</v>
      </c>
      <c r="T665" s="72"/>
      <c r="U665" s="73"/>
      <c r="V665" s="74">
        <f>Devis[[#This Row],[Prix de Revient]]*Devis[[#This Row],[Poste 1]]</f>
        <v>0</v>
      </c>
      <c r="W665" s="74">
        <f>Devis[[#This Row],[Prix de Revient]]*Devis[[#This Row],[Poste 2]]</f>
        <v>0</v>
      </c>
      <c r="X665" s="74">
        <f>Devis[[#This Row],[Prix de Revient]]*Devis[[#This Row],[Poste 3]]</f>
        <v>0</v>
      </c>
      <c r="Y665" s="74">
        <f>Devis[[#This Row],[Poste 4]]*Devis[[#This Row],[Prix de Revient]]</f>
        <v>0</v>
      </c>
      <c r="Z665" s="74">
        <f>Devis[[#This Row],[Poste 5]]*Devis[[#This Row],[Prix de Revient]]</f>
        <v>0</v>
      </c>
      <c r="AA665" s="74">
        <f>Devis[[#This Row],[Prix de Revient]]*Devis[[#This Row],[Poste 6]]</f>
        <v>0</v>
      </c>
      <c r="AB665" s="74">
        <f>Devis[[#This Row],[Quantité Totale]]*Devis[[#This Row],[Prix de Revient]]</f>
        <v>0</v>
      </c>
    </row>
    <row r="666" spans="1:28" ht="14.25" outlineLevel="1" x14ac:dyDescent="0.2">
      <c r="A666" s="75" t="s">
        <v>326</v>
      </c>
      <c r="B666" s="76" t="s">
        <v>4825</v>
      </c>
      <c r="C666" s="75" t="s">
        <v>3934</v>
      </c>
      <c r="D666" s="81" t="str">
        <f t="shared" si="11"/>
        <v>CuveReservoir Vertical - Air compriméPauchard</v>
      </c>
      <c r="E666" s="75" t="s">
        <v>4917</v>
      </c>
      <c r="F666" s="81">
        <v>47</v>
      </c>
      <c r="G666" s="71" t="s">
        <v>4918</v>
      </c>
      <c r="H666" s="71" t="s">
        <v>3934</v>
      </c>
      <c r="I666" s="71"/>
      <c r="J666" s="70">
        <f>IFERROR(VLOOKUP(Devis[[#This Row],[Ref Air Flux]],#REF!,3,FALSE),0)</f>
        <v>0</v>
      </c>
      <c r="K666" s="68"/>
      <c r="L666" s="68"/>
      <c r="M666" s="68"/>
      <c r="N666" s="68"/>
      <c r="O666" s="68"/>
      <c r="P666" s="68"/>
      <c r="Q666" s="68">
        <f>SUM(Devis[[#This Row],[Poste 1]:[Poste 6]])</f>
        <v>0</v>
      </c>
      <c r="R666" s="71"/>
      <c r="S666" s="68">
        <f>_xlfn.CEILING.MATH(Devis[[#This Row],[Quantité Totale]],Devis[[#This Row],[Conditionnement]])</f>
        <v>0</v>
      </c>
      <c r="T666" s="72"/>
      <c r="U666" s="73"/>
      <c r="V666" s="74">
        <f>Devis[[#This Row],[Prix de Revient]]*Devis[[#This Row],[Poste 1]]</f>
        <v>0</v>
      </c>
      <c r="W666" s="74">
        <f>Devis[[#This Row],[Prix de Revient]]*Devis[[#This Row],[Poste 2]]</f>
        <v>0</v>
      </c>
      <c r="X666" s="74">
        <f>Devis[[#This Row],[Prix de Revient]]*Devis[[#This Row],[Poste 3]]</f>
        <v>0</v>
      </c>
      <c r="Y666" s="74">
        <f>Devis[[#This Row],[Poste 4]]*Devis[[#This Row],[Prix de Revient]]</f>
        <v>0</v>
      </c>
      <c r="Z666" s="74">
        <f>Devis[[#This Row],[Poste 5]]*Devis[[#This Row],[Prix de Revient]]</f>
        <v>0</v>
      </c>
      <c r="AA666" s="74">
        <f>Devis[[#This Row],[Prix de Revient]]*Devis[[#This Row],[Poste 6]]</f>
        <v>0</v>
      </c>
      <c r="AB666" s="74">
        <f>Devis[[#This Row],[Quantité Totale]]*Devis[[#This Row],[Prix de Revient]]</f>
        <v>0</v>
      </c>
    </row>
    <row r="667" spans="1:28" ht="15" customHeight="1" outlineLevel="1" x14ac:dyDescent="0.2">
      <c r="A667" s="75" t="s">
        <v>326</v>
      </c>
      <c r="B667" s="76" t="s">
        <v>4825</v>
      </c>
      <c r="C667" s="75" t="s">
        <v>3934</v>
      </c>
      <c r="D667" s="81" t="str">
        <f t="shared" si="11"/>
        <v>CuveReservoir Vertical - Air compriméPauchard</v>
      </c>
      <c r="E667" s="75" t="s">
        <v>4919</v>
      </c>
      <c r="F667" s="81">
        <v>48</v>
      </c>
      <c r="G667" s="71" t="s">
        <v>4920</v>
      </c>
      <c r="H667" s="71" t="s">
        <v>3934</v>
      </c>
      <c r="I667" s="71"/>
      <c r="J667" s="70">
        <f>IFERROR(VLOOKUP(Devis[[#This Row],[Ref Air Flux]],#REF!,3,FALSE),0)</f>
        <v>0</v>
      </c>
      <c r="K667" s="68"/>
      <c r="L667" s="68"/>
      <c r="M667" s="68"/>
      <c r="N667" s="68"/>
      <c r="O667" s="68"/>
      <c r="P667" s="68"/>
      <c r="Q667" s="68">
        <f>SUM(Devis[[#This Row],[Poste 1]:[Poste 6]])</f>
        <v>0</v>
      </c>
      <c r="R667" s="71"/>
      <c r="S667" s="68">
        <f>_xlfn.CEILING.MATH(Devis[[#This Row],[Quantité Totale]],Devis[[#This Row],[Conditionnement]])</f>
        <v>0</v>
      </c>
      <c r="T667" s="72"/>
      <c r="U667" s="73"/>
      <c r="V667" s="74">
        <f>Devis[[#This Row],[Prix de Revient]]*Devis[[#This Row],[Poste 1]]</f>
        <v>0</v>
      </c>
      <c r="W667" s="74">
        <f>Devis[[#This Row],[Prix de Revient]]*Devis[[#This Row],[Poste 2]]</f>
        <v>0</v>
      </c>
      <c r="X667" s="74">
        <f>Devis[[#This Row],[Prix de Revient]]*Devis[[#This Row],[Poste 3]]</f>
        <v>0</v>
      </c>
      <c r="Y667" s="74">
        <f>Devis[[#This Row],[Poste 4]]*Devis[[#This Row],[Prix de Revient]]</f>
        <v>0</v>
      </c>
      <c r="Z667" s="74">
        <f>Devis[[#This Row],[Poste 5]]*Devis[[#This Row],[Prix de Revient]]</f>
        <v>0</v>
      </c>
      <c r="AA667" s="74">
        <f>Devis[[#This Row],[Prix de Revient]]*Devis[[#This Row],[Poste 6]]</f>
        <v>0</v>
      </c>
      <c r="AB667" s="74">
        <f>Devis[[#This Row],[Quantité Totale]]*Devis[[#This Row],[Prix de Revient]]</f>
        <v>0</v>
      </c>
    </row>
    <row r="668" spans="1:28" ht="14.25" outlineLevel="1" x14ac:dyDescent="0.2">
      <c r="A668" s="75" t="s">
        <v>326</v>
      </c>
      <c r="B668" s="76" t="s">
        <v>4825</v>
      </c>
      <c r="C668" s="75" t="s">
        <v>3934</v>
      </c>
      <c r="D668" s="81" t="str">
        <f t="shared" si="11"/>
        <v>CuveReservoir Vertical - Air compriméPauchard</v>
      </c>
      <c r="E668" s="75" t="s">
        <v>4877</v>
      </c>
      <c r="F668" s="81">
        <v>49</v>
      </c>
      <c r="G668" s="71" t="s">
        <v>4921</v>
      </c>
      <c r="H668" s="71" t="s">
        <v>3934</v>
      </c>
      <c r="I668" s="71"/>
      <c r="J668" s="70">
        <f>IFERROR(VLOOKUP(Devis[[#This Row],[Ref Air Flux]],#REF!,3,FALSE),0)</f>
        <v>0</v>
      </c>
      <c r="K668" s="68"/>
      <c r="L668" s="68"/>
      <c r="M668" s="68"/>
      <c r="N668" s="68"/>
      <c r="O668" s="68"/>
      <c r="P668" s="68"/>
      <c r="Q668" s="68">
        <f>SUM(Devis[[#This Row],[Poste 1]:[Poste 6]])</f>
        <v>0</v>
      </c>
      <c r="R668" s="71"/>
      <c r="S668" s="68">
        <f>_xlfn.CEILING.MATH(Devis[[#This Row],[Quantité Totale]],Devis[[#This Row],[Conditionnement]])</f>
        <v>0</v>
      </c>
      <c r="T668" s="72"/>
      <c r="U668" s="73"/>
      <c r="V668" s="74">
        <f>Devis[[#This Row],[Prix de Revient]]*Devis[[#This Row],[Poste 1]]</f>
        <v>0</v>
      </c>
      <c r="W668" s="74">
        <f>Devis[[#This Row],[Prix de Revient]]*Devis[[#This Row],[Poste 2]]</f>
        <v>0</v>
      </c>
      <c r="X668" s="74">
        <f>Devis[[#This Row],[Prix de Revient]]*Devis[[#This Row],[Poste 3]]</f>
        <v>0</v>
      </c>
      <c r="Y668" s="74">
        <f>Devis[[#This Row],[Poste 4]]*Devis[[#This Row],[Prix de Revient]]</f>
        <v>0</v>
      </c>
      <c r="Z668" s="74">
        <f>Devis[[#This Row],[Poste 5]]*Devis[[#This Row],[Prix de Revient]]</f>
        <v>0</v>
      </c>
      <c r="AA668" s="74">
        <f>Devis[[#This Row],[Prix de Revient]]*Devis[[#This Row],[Poste 6]]</f>
        <v>0</v>
      </c>
      <c r="AB668" s="74">
        <f>Devis[[#This Row],[Quantité Totale]]*Devis[[#This Row],[Prix de Revient]]</f>
        <v>0</v>
      </c>
    </row>
    <row r="669" spans="1:28" ht="14.25" outlineLevel="1" x14ac:dyDescent="0.2">
      <c r="A669" s="75" t="s">
        <v>326</v>
      </c>
      <c r="B669" s="76" t="s">
        <v>4825</v>
      </c>
      <c r="C669" s="75" t="s">
        <v>3934</v>
      </c>
      <c r="D669" s="81" t="str">
        <f t="shared" si="11"/>
        <v>CuveReservoir Vertical - Air compriméPauchard</v>
      </c>
      <c r="E669" s="75" t="s">
        <v>4879</v>
      </c>
      <c r="F669" s="81">
        <v>50</v>
      </c>
      <c r="G669" s="71" t="s">
        <v>4922</v>
      </c>
      <c r="H669" s="71" t="s">
        <v>3934</v>
      </c>
      <c r="I669" s="71"/>
      <c r="J669" s="70">
        <f>IFERROR(VLOOKUP(Devis[[#This Row],[Ref Air Flux]],#REF!,3,FALSE),0)</f>
        <v>0</v>
      </c>
      <c r="K669" s="68"/>
      <c r="L669" s="68"/>
      <c r="M669" s="68"/>
      <c r="N669" s="68"/>
      <c r="O669" s="68"/>
      <c r="P669" s="68"/>
      <c r="Q669" s="68">
        <f>SUM(Devis[[#This Row],[Poste 1]:[Poste 6]])</f>
        <v>0</v>
      </c>
      <c r="R669" s="71"/>
      <c r="S669" s="68">
        <f>_xlfn.CEILING.MATH(Devis[[#This Row],[Quantité Totale]],Devis[[#This Row],[Conditionnement]])</f>
        <v>0</v>
      </c>
      <c r="T669" s="72"/>
      <c r="U669" s="73"/>
      <c r="V669" s="74">
        <f>Devis[[#This Row],[Prix de Revient]]*Devis[[#This Row],[Poste 1]]</f>
        <v>0</v>
      </c>
      <c r="W669" s="74">
        <f>Devis[[#This Row],[Prix de Revient]]*Devis[[#This Row],[Poste 2]]</f>
        <v>0</v>
      </c>
      <c r="X669" s="74">
        <f>Devis[[#This Row],[Prix de Revient]]*Devis[[#This Row],[Poste 3]]</f>
        <v>0</v>
      </c>
      <c r="Y669" s="74">
        <f>Devis[[#This Row],[Poste 4]]*Devis[[#This Row],[Prix de Revient]]</f>
        <v>0</v>
      </c>
      <c r="Z669" s="74">
        <f>Devis[[#This Row],[Poste 5]]*Devis[[#This Row],[Prix de Revient]]</f>
        <v>0</v>
      </c>
      <c r="AA669" s="74">
        <f>Devis[[#This Row],[Prix de Revient]]*Devis[[#This Row],[Poste 6]]</f>
        <v>0</v>
      </c>
      <c r="AB669" s="74">
        <f>Devis[[#This Row],[Quantité Totale]]*Devis[[#This Row],[Prix de Revient]]</f>
        <v>0</v>
      </c>
    </row>
    <row r="670" spans="1:28" ht="14.25" outlineLevel="1" x14ac:dyDescent="0.2">
      <c r="A670" s="75" t="s">
        <v>326</v>
      </c>
      <c r="B670" s="76" t="s">
        <v>4825</v>
      </c>
      <c r="C670" s="75" t="s">
        <v>3934</v>
      </c>
      <c r="D670" s="81" t="str">
        <f t="shared" si="11"/>
        <v>CuveReservoir Vertical - Air compriméPauchard</v>
      </c>
      <c r="E670" s="75" t="s">
        <v>4923</v>
      </c>
      <c r="F670" s="81">
        <v>51</v>
      </c>
      <c r="G670" s="71" t="s">
        <v>4924</v>
      </c>
      <c r="H670" s="71" t="s">
        <v>3934</v>
      </c>
      <c r="I670" s="71"/>
      <c r="J670" s="70">
        <f>IFERROR(VLOOKUP(Devis[[#This Row],[Ref Air Flux]],#REF!,3,FALSE),0)</f>
        <v>0</v>
      </c>
      <c r="K670" s="68"/>
      <c r="L670" s="68"/>
      <c r="M670" s="68"/>
      <c r="N670" s="68"/>
      <c r="O670" s="68"/>
      <c r="P670" s="68"/>
      <c r="Q670" s="68">
        <f>SUM(Devis[[#This Row],[Poste 1]:[Poste 6]])</f>
        <v>0</v>
      </c>
      <c r="R670" s="71"/>
      <c r="S670" s="68">
        <f>_xlfn.CEILING.MATH(Devis[[#This Row],[Quantité Totale]],Devis[[#This Row],[Conditionnement]])</f>
        <v>0</v>
      </c>
      <c r="T670" s="72"/>
      <c r="U670" s="73"/>
      <c r="V670" s="74">
        <f>Devis[[#This Row],[Prix de Revient]]*Devis[[#This Row],[Poste 1]]</f>
        <v>0</v>
      </c>
      <c r="W670" s="74">
        <f>Devis[[#This Row],[Prix de Revient]]*Devis[[#This Row],[Poste 2]]</f>
        <v>0</v>
      </c>
      <c r="X670" s="74">
        <f>Devis[[#This Row],[Prix de Revient]]*Devis[[#This Row],[Poste 3]]</f>
        <v>0</v>
      </c>
      <c r="Y670" s="74">
        <f>Devis[[#This Row],[Poste 4]]*Devis[[#This Row],[Prix de Revient]]</f>
        <v>0</v>
      </c>
      <c r="Z670" s="74">
        <f>Devis[[#This Row],[Poste 5]]*Devis[[#This Row],[Prix de Revient]]</f>
        <v>0</v>
      </c>
      <c r="AA670" s="74">
        <f>Devis[[#This Row],[Prix de Revient]]*Devis[[#This Row],[Poste 6]]</f>
        <v>0</v>
      </c>
      <c r="AB670" s="74">
        <f>Devis[[#This Row],[Quantité Totale]]*Devis[[#This Row],[Prix de Revient]]</f>
        <v>0</v>
      </c>
    </row>
    <row r="671" spans="1:28" ht="14.25" outlineLevel="1" x14ac:dyDescent="0.2">
      <c r="A671" s="75" t="s">
        <v>326</v>
      </c>
      <c r="B671" s="76" t="s">
        <v>4825</v>
      </c>
      <c r="C671" s="75" t="s">
        <v>3934</v>
      </c>
      <c r="D671" s="81" t="str">
        <f t="shared" si="11"/>
        <v>CuveReservoir Vertical - Air compriméPauchard</v>
      </c>
      <c r="E671" s="75" t="s">
        <v>4883</v>
      </c>
      <c r="F671" s="81">
        <v>52</v>
      </c>
      <c r="G671" s="71" t="s">
        <v>4925</v>
      </c>
      <c r="H671" s="71" t="s">
        <v>3934</v>
      </c>
      <c r="I671" s="71"/>
      <c r="J671" s="70">
        <f>IFERROR(VLOOKUP(Devis[[#This Row],[Ref Air Flux]],#REF!,3,FALSE),0)</f>
        <v>0</v>
      </c>
      <c r="K671" s="68"/>
      <c r="L671" s="68"/>
      <c r="M671" s="68"/>
      <c r="N671" s="68"/>
      <c r="O671" s="68"/>
      <c r="P671" s="68"/>
      <c r="Q671" s="68">
        <f>SUM(Devis[[#This Row],[Poste 1]:[Poste 6]])</f>
        <v>0</v>
      </c>
      <c r="R671" s="71"/>
      <c r="S671" s="68">
        <f>_xlfn.CEILING.MATH(Devis[[#This Row],[Quantité Totale]],Devis[[#This Row],[Conditionnement]])</f>
        <v>0</v>
      </c>
      <c r="T671" s="72"/>
      <c r="U671" s="73"/>
      <c r="V671" s="74">
        <f>Devis[[#This Row],[Prix de Revient]]*Devis[[#This Row],[Poste 1]]</f>
        <v>0</v>
      </c>
      <c r="W671" s="74">
        <f>Devis[[#This Row],[Prix de Revient]]*Devis[[#This Row],[Poste 2]]</f>
        <v>0</v>
      </c>
      <c r="X671" s="74">
        <f>Devis[[#This Row],[Prix de Revient]]*Devis[[#This Row],[Poste 3]]</f>
        <v>0</v>
      </c>
      <c r="Y671" s="74">
        <f>Devis[[#This Row],[Poste 4]]*Devis[[#This Row],[Prix de Revient]]</f>
        <v>0</v>
      </c>
      <c r="Z671" s="74">
        <f>Devis[[#This Row],[Poste 5]]*Devis[[#This Row],[Prix de Revient]]</f>
        <v>0</v>
      </c>
      <c r="AA671" s="74">
        <f>Devis[[#This Row],[Prix de Revient]]*Devis[[#This Row],[Poste 6]]</f>
        <v>0</v>
      </c>
      <c r="AB671" s="74">
        <f>Devis[[#This Row],[Quantité Totale]]*Devis[[#This Row],[Prix de Revient]]</f>
        <v>0</v>
      </c>
    </row>
    <row r="672" spans="1:28" ht="14.25" outlineLevel="1" x14ac:dyDescent="0.2">
      <c r="A672" s="75" t="s">
        <v>326</v>
      </c>
      <c r="B672" s="76" t="s">
        <v>4825</v>
      </c>
      <c r="C672" s="75" t="s">
        <v>3934</v>
      </c>
      <c r="D672" s="81" t="str">
        <f t="shared" si="11"/>
        <v>CuveReservoir Vertical - Air compriméPauchard</v>
      </c>
      <c r="E672" s="75" t="s">
        <v>4847</v>
      </c>
      <c r="F672" s="81">
        <v>53</v>
      </c>
      <c r="G672" s="71" t="s">
        <v>4086</v>
      </c>
      <c r="H672" s="71" t="s">
        <v>3934</v>
      </c>
      <c r="I672" s="71"/>
      <c r="J672" s="70">
        <f>IFERROR(VLOOKUP(Devis[[#This Row],[Ref Air Flux]],#REF!,3,FALSE),0)</f>
        <v>0</v>
      </c>
      <c r="K672" s="68"/>
      <c r="L672" s="68"/>
      <c r="M672" s="68"/>
      <c r="N672" s="68"/>
      <c r="O672" s="68"/>
      <c r="P672" s="68"/>
      <c r="Q672" s="68">
        <f>SUM(Devis[[#This Row],[Poste 1]:[Poste 6]])</f>
        <v>0</v>
      </c>
      <c r="R672" s="71"/>
      <c r="S672" s="68">
        <f>_xlfn.CEILING.MATH(Devis[[#This Row],[Quantité Totale]],Devis[[#This Row],[Conditionnement]])</f>
        <v>0</v>
      </c>
      <c r="T672" s="72"/>
      <c r="U672" s="73"/>
      <c r="V672" s="74">
        <f>Devis[[#This Row],[Prix de Revient]]*Devis[[#This Row],[Poste 1]]</f>
        <v>0</v>
      </c>
      <c r="W672" s="74">
        <f>Devis[[#This Row],[Prix de Revient]]*Devis[[#This Row],[Poste 2]]</f>
        <v>0</v>
      </c>
      <c r="X672" s="74">
        <f>Devis[[#This Row],[Prix de Revient]]*Devis[[#This Row],[Poste 3]]</f>
        <v>0</v>
      </c>
      <c r="Y672" s="74">
        <f>Devis[[#This Row],[Poste 4]]*Devis[[#This Row],[Prix de Revient]]</f>
        <v>0</v>
      </c>
      <c r="Z672" s="74">
        <f>Devis[[#This Row],[Poste 5]]*Devis[[#This Row],[Prix de Revient]]</f>
        <v>0</v>
      </c>
      <c r="AA672" s="74">
        <f>Devis[[#This Row],[Prix de Revient]]*Devis[[#This Row],[Poste 6]]</f>
        <v>0</v>
      </c>
      <c r="AB672" s="74">
        <f>Devis[[#This Row],[Quantité Totale]]*Devis[[#This Row],[Prix de Revient]]</f>
        <v>0</v>
      </c>
    </row>
    <row r="673" spans="1:28" ht="14.25" outlineLevel="1" x14ac:dyDescent="0.2">
      <c r="A673" s="75" t="s">
        <v>326</v>
      </c>
      <c r="B673" s="76" t="s">
        <v>4825</v>
      </c>
      <c r="C673" s="75" t="s">
        <v>3934</v>
      </c>
      <c r="D673" s="81" t="str">
        <f t="shared" si="11"/>
        <v>CuveReservoir Vertical - Air compriméPauchard</v>
      </c>
      <c r="E673" s="75" t="s">
        <v>4851</v>
      </c>
      <c r="F673" s="81">
        <v>54</v>
      </c>
      <c r="G673" s="71" t="s">
        <v>3918</v>
      </c>
      <c r="H673" s="71" t="s">
        <v>3934</v>
      </c>
      <c r="I673" s="71"/>
      <c r="J673" s="70">
        <f>IFERROR(VLOOKUP(Devis[[#This Row],[Ref Air Flux]],#REF!,3,FALSE),0)</f>
        <v>0</v>
      </c>
      <c r="K673" s="68"/>
      <c r="L673" s="68"/>
      <c r="M673" s="68"/>
      <c r="N673" s="68"/>
      <c r="O673" s="68"/>
      <c r="P673" s="68"/>
      <c r="Q673" s="68">
        <f>SUM(Devis[[#This Row],[Poste 1]:[Poste 6]])</f>
        <v>0</v>
      </c>
      <c r="R673" s="71"/>
      <c r="S673" s="68">
        <f>_xlfn.CEILING.MATH(Devis[[#This Row],[Quantité Totale]],Devis[[#This Row],[Conditionnement]])</f>
        <v>0</v>
      </c>
      <c r="T673" s="72"/>
      <c r="U673" s="73"/>
      <c r="V673" s="74">
        <f>Devis[[#This Row],[Prix de Revient]]*Devis[[#This Row],[Poste 1]]</f>
        <v>0</v>
      </c>
      <c r="W673" s="74">
        <f>Devis[[#This Row],[Prix de Revient]]*Devis[[#This Row],[Poste 2]]</f>
        <v>0</v>
      </c>
      <c r="X673" s="74">
        <f>Devis[[#This Row],[Prix de Revient]]*Devis[[#This Row],[Poste 3]]</f>
        <v>0</v>
      </c>
      <c r="Y673" s="74">
        <f>Devis[[#This Row],[Poste 4]]*Devis[[#This Row],[Prix de Revient]]</f>
        <v>0</v>
      </c>
      <c r="Z673" s="74">
        <f>Devis[[#This Row],[Poste 5]]*Devis[[#This Row],[Prix de Revient]]</f>
        <v>0</v>
      </c>
      <c r="AA673" s="74">
        <f>Devis[[#This Row],[Prix de Revient]]*Devis[[#This Row],[Poste 6]]</f>
        <v>0</v>
      </c>
      <c r="AB673" s="74">
        <f>Devis[[#This Row],[Quantité Totale]]*Devis[[#This Row],[Prix de Revient]]</f>
        <v>0</v>
      </c>
    </row>
    <row r="674" spans="1:28" ht="14.25" customHeight="1" outlineLevel="1" x14ac:dyDescent="0.2">
      <c r="A674" s="75" t="s">
        <v>326</v>
      </c>
      <c r="B674" s="76" t="s">
        <v>4825</v>
      </c>
      <c r="C674" s="75" t="s">
        <v>3934</v>
      </c>
      <c r="D674" s="81" t="str">
        <f t="shared" si="11"/>
        <v>CuveReservoir Vertical - Air compriméPauchard</v>
      </c>
      <c r="E674" s="75" t="s">
        <v>4886</v>
      </c>
      <c r="F674" s="81">
        <v>55</v>
      </c>
      <c r="G674" s="71" t="s">
        <v>3919</v>
      </c>
      <c r="H674" s="71" t="s">
        <v>3934</v>
      </c>
      <c r="I674" s="71"/>
      <c r="J674" s="70">
        <f>IFERROR(VLOOKUP(Devis[[#This Row],[Ref Air Flux]],#REF!,3,FALSE),0)</f>
        <v>0</v>
      </c>
      <c r="K674" s="68"/>
      <c r="L674" s="68"/>
      <c r="M674" s="68"/>
      <c r="N674" s="68"/>
      <c r="O674" s="68"/>
      <c r="P674" s="68"/>
      <c r="Q674" s="68">
        <f>SUM(Devis[[#This Row],[Poste 1]:[Poste 6]])</f>
        <v>0</v>
      </c>
      <c r="R674" s="71"/>
      <c r="S674" s="68">
        <f>_xlfn.CEILING.MATH(Devis[[#This Row],[Quantité Totale]],Devis[[#This Row],[Conditionnement]])</f>
        <v>0</v>
      </c>
      <c r="T674" s="72"/>
      <c r="U674" s="73"/>
      <c r="V674" s="74">
        <f>Devis[[#This Row],[Prix de Revient]]*Devis[[#This Row],[Poste 1]]</f>
        <v>0</v>
      </c>
      <c r="W674" s="74">
        <f>Devis[[#This Row],[Prix de Revient]]*Devis[[#This Row],[Poste 2]]</f>
        <v>0</v>
      </c>
      <c r="X674" s="74">
        <f>Devis[[#This Row],[Prix de Revient]]*Devis[[#This Row],[Poste 3]]</f>
        <v>0</v>
      </c>
      <c r="Y674" s="74">
        <f>Devis[[#This Row],[Poste 4]]*Devis[[#This Row],[Prix de Revient]]</f>
        <v>0</v>
      </c>
      <c r="Z674" s="74">
        <f>Devis[[#This Row],[Poste 5]]*Devis[[#This Row],[Prix de Revient]]</f>
        <v>0</v>
      </c>
      <c r="AA674" s="74">
        <f>Devis[[#This Row],[Prix de Revient]]*Devis[[#This Row],[Poste 6]]</f>
        <v>0</v>
      </c>
      <c r="AB674" s="74">
        <f>Devis[[#This Row],[Quantité Totale]]*Devis[[#This Row],[Prix de Revient]]</f>
        <v>0</v>
      </c>
    </row>
    <row r="675" spans="1:28" ht="14.25" outlineLevel="1" x14ac:dyDescent="0.2">
      <c r="A675" s="75" t="s">
        <v>326</v>
      </c>
      <c r="B675" s="76" t="s">
        <v>4825</v>
      </c>
      <c r="C675" s="95" t="s">
        <v>3934</v>
      </c>
      <c r="D675" s="81" t="str">
        <f t="shared" si="11"/>
        <v>CuveReservoir Vertical - Air compriméPauchard</v>
      </c>
      <c r="E675" s="75" t="s">
        <v>4926</v>
      </c>
      <c r="F675" s="81">
        <v>56</v>
      </c>
      <c r="G675" s="71" t="s">
        <v>335</v>
      </c>
      <c r="H675" s="79" t="s">
        <v>3934</v>
      </c>
      <c r="I675" s="71"/>
      <c r="J675" s="70">
        <f>IFERROR(VLOOKUP(Devis[[#This Row],[Ref Air Flux]],#REF!,3,FALSE),0)</f>
        <v>0</v>
      </c>
      <c r="K675" s="68"/>
      <c r="L675" s="68"/>
      <c r="M675" s="68"/>
      <c r="N675" s="68"/>
      <c r="O675" s="68"/>
      <c r="P675" s="68"/>
      <c r="Q675" s="68">
        <f>SUM(Devis[[#This Row],[Poste 1]:[Poste 6]])</f>
        <v>0</v>
      </c>
      <c r="R675" s="71"/>
      <c r="S675" s="68">
        <f>_xlfn.CEILING.MATH(Devis[[#This Row],[Quantité Totale]],Devis[[#This Row],[Conditionnement]])</f>
        <v>0</v>
      </c>
      <c r="T675" s="72"/>
      <c r="U675" s="73"/>
      <c r="V675" s="74">
        <f>Devis[[#This Row],[Prix de Revient]]*Devis[[#This Row],[Poste 1]]</f>
        <v>0</v>
      </c>
      <c r="W675" s="74">
        <f>Devis[[#This Row],[Prix de Revient]]*Devis[[#This Row],[Poste 2]]</f>
        <v>0</v>
      </c>
      <c r="X675" s="74">
        <f>Devis[[#This Row],[Prix de Revient]]*Devis[[#This Row],[Poste 3]]</f>
        <v>0</v>
      </c>
      <c r="Y675" s="74">
        <f>Devis[[#This Row],[Poste 4]]*Devis[[#This Row],[Prix de Revient]]</f>
        <v>0</v>
      </c>
      <c r="Z675" s="74">
        <f>Devis[[#This Row],[Poste 5]]*Devis[[#This Row],[Prix de Revient]]</f>
        <v>0</v>
      </c>
      <c r="AA675" s="74">
        <f>Devis[[#This Row],[Prix de Revient]]*Devis[[#This Row],[Poste 6]]</f>
        <v>0</v>
      </c>
      <c r="AB675" s="74">
        <f>Devis[[#This Row],[Quantité Totale]]*Devis[[#This Row],[Prix de Revient]]</f>
        <v>0</v>
      </c>
    </row>
    <row r="676" spans="1:28" ht="14.25" outlineLevel="1" x14ac:dyDescent="0.2">
      <c r="A676" s="75" t="s">
        <v>326</v>
      </c>
      <c r="B676" s="76" t="s">
        <v>4825</v>
      </c>
      <c r="C676" s="95" t="s">
        <v>3934</v>
      </c>
      <c r="D676" s="81" t="str">
        <f t="shared" ref="D676:D739" si="12">A676&amp;B676&amp;C676</f>
        <v>CuveReservoir Vertical - Air compriméPauchard</v>
      </c>
      <c r="E676" s="75" t="s">
        <v>4927</v>
      </c>
      <c r="F676" s="81">
        <v>57</v>
      </c>
      <c r="G676" s="71" t="s">
        <v>336</v>
      </c>
      <c r="H676" s="79" t="s">
        <v>3934</v>
      </c>
      <c r="I676" s="71"/>
      <c r="J676" s="70">
        <f>IFERROR(VLOOKUP(Devis[[#This Row],[Ref Air Flux]],#REF!,3,FALSE),0)</f>
        <v>0</v>
      </c>
      <c r="K676" s="68"/>
      <c r="L676" s="68"/>
      <c r="M676" s="68"/>
      <c r="N676" s="68"/>
      <c r="O676" s="68"/>
      <c r="P676" s="68"/>
      <c r="Q676" s="68">
        <f>SUM(Devis[[#This Row],[Poste 1]:[Poste 6]])</f>
        <v>0</v>
      </c>
      <c r="R676" s="71"/>
      <c r="S676" s="68">
        <f>_xlfn.CEILING.MATH(Devis[[#This Row],[Quantité Totale]],Devis[[#This Row],[Conditionnement]])</f>
        <v>0</v>
      </c>
      <c r="T676" s="72"/>
      <c r="U676" s="73"/>
      <c r="V676" s="74">
        <f>Devis[[#This Row],[Prix de Revient]]*Devis[[#This Row],[Poste 1]]</f>
        <v>0</v>
      </c>
      <c r="W676" s="74">
        <f>Devis[[#This Row],[Prix de Revient]]*Devis[[#This Row],[Poste 2]]</f>
        <v>0</v>
      </c>
      <c r="X676" s="74">
        <f>Devis[[#This Row],[Prix de Revient]]*Devis[[#This Row],[Poste 3]]</f>
        <v>0</v>
      </c>
      <c r="Y676" s="74">
        <f>Devis[[#This Row],[Poste 4]]*Devis[[#This Row],[Prix de Revient]]</f>
        <v>0</v>
      </c>
      <c r="Z676" s="74">
        <f>Devis[[#This Row],[Poste 5]]*Devis[[#This Row],[Prix de Revient]]</f>
        <v>0</v>
      </c>
      <c r="AA676" s="74">
        <f>Devis[[#This Row],[Prix de Revient]]*Devis[[#This Row],[Poste 6]]</f>
        <v>0</v>
      </c>
      <c r="AB676" s="74">
        <f>Devis[[#This Row],[Quantité Totale]]*Devis[[#This Row],[Prix de Revient]]</f>
        <v>0</v>
      </c>
    </row>
    <row r="677" spans="1:28" ht="14.25" outlineLevel="1" x14ac:dyDescent="0.2">
      <c r="A677" s="75" t="s">
        <v>326</v>
      </c>
      <c r="B677" s="76" t="s">
        <v>4825</v>
      </c>
      <c r="C677" s="75" t="s">
        <v>3934</v>
      </c>
      <c r="D677" s="81" t="str">
        <f t="shared" si="12"/>
        <v>CuveReservoir Vertical - Air compriméPauchard</v>
      </c>
      <c r="E677" s="75" t="s">
        <v>4928</v>
      </c>
      <c r="F677" s="81">
        <v>58</v>
      </c>
      <c r="G677" s="71" t="s">
        <v>3920</v>
      </c>
      <c r="H677" s="71" t="s">
        <v>3934</v>
      </c>
      <c r="I677" s="71"/>
      <c r="J677" s="70">
        <f>IFERROR(VLOOKUP(Devis[[#This Row],[Ref Air Flux]],#REF!,3,FALSE),0)</f>
        <v>0</v>
      </c>
      <c r="K677" s="68"/>
      <c r="L677" s="68"/>
      <c r="M677" s="68"/>
      <c r="N677" s="68"/>
      <c r="O677" s="68"/>
      <c r="P677" s="68"/>
      <c r="Q677" s="68">
        <f>SUM(Devis[[#This Row],[Poste 1]:[Poste 6]])</f>
        <v>0</v>
      </c>
      <c r="R677" s="71"/>
      <c r="S677" s="68">
        <f>_xlfn.CEILING.MATH(Devis[[#This Row],[Quantité Totale]],Devis[[#This Row],[Conditionnement]])</f>
        <v>0</v>
      </c>
      <c r="T677" s="72"/>
      <c r="U677" s="73"/>
      <c r="V677" s="74">
        <f>Devis[[#This Row],[Prix de Revient]]*Devis[[#This Row],[Poste 1]]</f>
        <v>0</v>
      </c>
      <c r="W677" s="74">
        <f>Devis[[#This Row],[Prix de Revient]]*Devis[[#This Row],[Poste 2]]</f>
        <v>0</v>
      </c>
      <c r="X677" s="74">
        <f>Devis[[#This Row],[Prix de Revient]]*Devis[[#This Row],[Poste 3]]</f>
        <v>0</v>
      </c>
      <c r="Y677" s="74">
        <f>Devis[[#This Row],[Poste 4]]*Devis[[#This Row],[Prix de Revient]]</f>
        <v>0</v>
      </c>
      <c r="Z677" s="74">
        <f>Devis[[#This Row],[Poste 5]]*Devis[[#This Row],[Prix de Revient]]</f>
        <v>0</v>
      </c>
      <c r="AA677" s="74">
        <f>Devis[[#This Row],[Prix de Revient]]*Devis[[#This Row],[Poste 6]]</f>
        <v>0</v>
      </c>
      <c r="AB677" s="74">
        <f>Devis[[#This Row],[Quantité Totale]]*Devis[[#This Row],[Prix de Revient]]</f>
        <v>0</v>
      </c>
    </row>
    <row r="678" spans="1:28" ht="14.25" customHeight="1" outlineLevel="1" x14ac:dyDescent="0.2">
      <c r="A678" s="75" t="s">
        <v>326</v>
      </c>
      <c r="B678" s="76" t="s">
        <v>4825</v>
      </c>
      <c r="C678" s="95" t="s">
        <v>3934</v>
      </c>
      <c r="D678" s="81" t="str">
        <f t="shared" si="12"/>
        <v>CuveReservoir Vertical - Air compriméPauchard</v>
      </c>
      <c r="E678" s="75" t="s">
        <v>4929</v>
      </c>
      <c r="F678" s="81">
        <v>59</v>
      </c>
      <c r="G678" s="71" t="s">
        <v>334</v>
      </c>
      <c r="H678" s="79" t="s">
        <v>3934</v>
      </c>
      <c r="I678" s="71"/>
      <c r="J678" s="70">
        <f>IFERROR(VLOOKUP(Devis[[#This Row],[Ref Air Flux]],#REF!,3,FALSE),0)</f>
        <v>0</v>
      </c>
      <c r="K678" s="68"/>
      <c r="L678" s="68"/>
      <c r="M678" s="68"/>
      <c r="N678" s="68"/>
      <c r="O678" s="68"/>
      <c r="P678" s="68"/>
      <c r="Q678" s="68">
        <f>SUM(Devis[[#This Row],[Poste 1]:[Poste 6]])</f>
        <v>0</v>
      </c>
      <c r="R678" s="71"/>
      <c r="S678" s="68">
        <f>_xlfn.CEILING.MATH(Devis[[#This Row],[Quantité Totale]],Devis[[#This Row],[Conditionnement]])</f>
        <v>0</v>
      </c>
      <c r="T678" s="72"/>
      <c r="U678" s="73"/>
      <c r="V678" s="74">
        <f>Devis[[#This Row],[Prix de Revient]]*Devis[[#This Row],[Poste 1]]</f>
        <v>0</v>
      </c>
      <c r="W678" s="74">
        <f>Devis[[#This Row],[Prix de Revient]]*Devis[[#This Row],[Poste 2]]</f>
        <v>0</v>
      </c>
      <c r="X678" s="74">
        <f>Devis[[#This Row],[Prix de Revient]]*Devis[[#This Row],[Poste 3]]</f>
        <v>0</v>
      </c>
      <c r="Y678" s="74">
        <f>Devis[[#This Row],[Poste 4]]*Devis[[#This Row],[Prix de Revient]]</f>
        <v>0</v>
      </c>
      <c r="Z678" s="74">
        <f>Devis[[#This Row],[Poste 5]]*Devis[[#This Row],[Prix de Revient]]</f>
        <v>0</v>
      </c>
      <c r="AA678" s="74">
        <f>Devis[[#This Row],[Prix de Revient]]*Devis[[#This Row],[Poste 6]]</f>
        <v>0</v>
      </c>
      <c r="AB678" s="74">
        <f>Devis[[#This Row],[Quantité Totale]]*Devis[[#This Row],[Prix de Revient]]</f>
        <v>0</v>
      </c>
    </row>
    <row r="679" spans="1:28" ht="14.25" outlineLevel="1" x14ac:dyDescent="0.2">
      <c r="A679" s="75" t="s">
        <v>326</v>
      </c>
      <c r="B679" s="76" t="s">
        <v>4825</v>
      </c>
      <c r="C679" s="75" t="s">
        <v>3934</v>
      </c>
      <c r="D679" s="81" t="str">
        <f t="shared" si="12"/>
        <v>CuveReservoir Vertical - Air compriméPauchard</v>
      </c>
      <c r="E679" s="75" t="s">
        <v>4892</v>
      </c>
      <c r="F679" s="81">
        <v>60</v>
      </c>
      <c r="G679" s="71" t="s">
        <v>3921</v>
      </c>
      <c r="H679" s="71" t="s">
        <v>3934</v>
      </c>
      <c r="I679" s="71"/>
      <c r="J679" s="70">
        <f>IFERROR(VLOOKUP(Devis[[#This Row],[Ref Air Flux]],#REF!,3,FALSE),0)</f>
        <v>0</v>
      </c>
      <c r="K679" s="68"/>
      <c r="L679" s="68"/>
      <c r="M679" s="68"/>
      <c r="N679" s="68"/>
      <c r="O679" s="68"/>
      <c r="P679" s="68"/>
      <c r="Q679" s="68">
        <f>SUM(Devis[[#This Row],[Poste 1]:[Poste 6]])</f>
        <v>0</v>
      </c>
      <c r="R679" s="71"/>
      <c r="S679" s="68">
        <f>_xlfn.CEILING.MATH(Devis[[#This Row],[Quantité Totale]],Devis[[#This Row],[Conditionnement]])</f>
        <v>0</v>
      </c>
      <c r="T679" s="72"/>
      <c r="U679" s="73"/>
      <c r="V679" s="74">
        <f>Devis[[#This Row],[Prix de Revient]]*Devis[[#This Row],[Poste 1]]</f>
        <v>0</v>
      </c>
      <c r="W679" s="74">
        <f>Devis[[#This Row],[Prix de Revient]]*Devis[[#This Row],[Poste 2]]</f>
        <v>0</v>
      </c>
      <c r="X679" s="74">
        <f>Devis[[#This Row],[Prix de Revient]]*Devis[[#This Row],[Poste 3]]</f>
        <v>0</v>
      </c>
      <c r="Y679" s="74">
        <f>Devis[[#This Row],[Poste 4]]*Devis[[#This Row],[Prix de Revient]]</f>
        <v>0</v>
      </c>
      <c r="Z679" s="74">
        <f>Devis[[#This Row],[Poste 5]]*Devis[[#This Row],[Prix de Revient]]</f>
        <v>0</v>
      </c>
      <c r="AA679" s="74">
        <f>Devis[[#This Row],[Prix de Revient]]*Devis[[#This Row],[Poste 6]]</f>
        <v>0</v>
      </c>
      <c r="AB679" s="74">
        <f>Devis[[#This Row],[Quantité Totale]]*Devis[[#This Row],[Prix de Revient]]</f>
        <v>0</v>
      </c>
    </row>
    <row r="680" spans="1:28" ht="15" customHeight="1" outlineLevel="1" x14ac:dyDescent="0.2">
      <c r="A680" s="75" t="s">
        <v>326</v>
      </c>
      <c r="B680" s="76" t="s">
        <v>4825</v>
      </c>
      <c r="C680" s="75" t="s">
        <v>3934</v>
      </c>
      <c r="D680" s="81" t="str">
        <f t="shared" si="12"/>
        <v>CuveReservoir Vertical - Air compriméPauchard</v>
      </c>
      <c r="E680" s="75" t="s">
        <v>4896</v>
      </c>
      <c r="F680" s="81">
        <v>61</v>
      </c>
      <c r="G680" s="71" t="s">
        <v>3922</v>
      </c>
      <c r="H680" s="71" t="s">
        <v>3934</v>
      </c>
      <c r="I680" s="71"/>
      <c r="J680" s="70">
        <f>IFERROR(VLOOKUP(Devis[[#This Row],[Ref Air Flux]],#REF!,3,FALSE),0)</f>
        <v>0</v>
      </c>
      <c r="K680" s="68"/>
      <c r="L680" s="68"/>
      <c r="M680" s="68"/>
      <c r="N680" s="68"/>
      <c r="O680" s="68"/>
      <c r="P680" s="68"/>
      <c r="Q680" s="68">
        <f>SUM(Devis[[#This Row],[Poste 1]:[Poste 6]])</f>
        <v>0</v>
      </c>
      <c r="R680" s="71"/>
      <c r="S680" s="68">
        <f>_xlfn.CEILING.MATH(Devis[[#This Row],[Quantité Totale]],Devis[[#This Row],[Conditionnement]])</f>
        <v>0</v>
      </c>
      <c r="T680" s="72"/>
      <c r="U680" s="73"/>
      <c r="V680" s="74">
        <f>Devis[[#This Row],[Prix de Revient]]*Devis[[#This Row],[Poste 1]]</f>
        <v>0</v>
      </c>
      <c r="W680" s="74">
        <f>Devis[[#This Row],[Prix de Revient]]*Devis[[#This Row],[Poste 2]]</f>
        <v>0</v>
      </c>
      <c r="X680" s="74">
        <f>Devis[[#This Row],[Prix de Revient]]*Devis[[#This Row],[Poste 3]]</f>
        <v>0</v>
      </c>
      <c r="Y680" s="74">
        <f>Devis[[#This Row],[Poste 4]]*Devis[[#This Row],[Prix de Revient]]</f>
        <v>0</v>
      </c>
      <c r="Z680" s="74">
        <f>Devis[[#This Row],[Poste 5]]*Devis[[#This Row],[Prix de Revient]]</f>
        <v>0</v>
      </c>
      <c r="AA680" s="74">
        <f>Devis[[#This Row],[Prix de Revient]]*Devis[[#This Row],[Poste 6]]</f>
        <v>0</v>
      </c>
      <c r="AB680" s="74">
        <f>Devis[[#This Row],[Quantité Totale]]*Devis[[#This Row],[Prix de Revient]]</f>
        <v>0</v>
      </c>
    </row>
    <row r="681" spans="1:28" ht="14.25" customHeight="1" outlineLevel="1" x14ac:dyDescent="0.2">
      <c r="A681" s="75" t="s">
        <v>326</v>
      </c>
      <c r="B681" s="76" t="s">
        <v>4825</v>
      </c>
      <c r="C681" s="75" t="s">
        <v>3934</v>
      </c>
      <c r="D681" s="81" t="str">
        <f t="shared" si="12"/>
        <v>CuveReservoir Vertical - Air compriméPauchard</v>
      </c>
      <c r="E681" s="75" t="s">
        <v>4930</v>
      </c>
      <c r="F681" s="81">
        <v>62</v>
      </c>
      <c r="G681" s="71" t="s">
        <v>3923</v>
      </c>
      <c r="H681" s="71" t="s">
        <v>3934</v>
      </c>
      <c r="I681" s="71"/>
      <c r="J681" s="70">
        <f>IFERROR(VLOOKUP(Devis[[#This Row],[Ref Air Flux]],#REF!,3,FALSE),0)</f>
        <v>0</v>
      </c>
      <c r="K681" s="68"/>
      <c r="L681" s="68"/>
      <c r="M681" s="68"/>
      <c r="N681" s="68"/>
      <c r="O681" s="68"/>
      <c r="P681" s="68"/>
      <c r="Q681" s="68">
        <f>SUM(Devis[[#This Row],[Poste 1]:[Poste 6]])</f>
        <v>0</v>
      </c>
      <c r="R681" s="71"/>
      <c r="S681" s="68">
        <f>_xlfn.CEILING.MATH(Devis[[#This Row],[Quantité Totale]],Devis[[#This Row],[Conditionnement]])</f>
        <v>0</v>
      </c>
      <c r="T681" s="72"/>
      <c r="U681" s="73"/>
      <c r="V681" s="74">
        <f>Devis[[#This Row],[Prix de Revient]]*Devis[[#This Row],[Poste 1]]</f>
        <v>0</v>
      </c>
      <c r="W681" s="74">
        <f>Devis[[#This Row],[Prix de Revient]]*Devis[[#This Row],[Poste 2]]</f>
        <v>0</v>
      </c>
      <c r="X681" s="74">
        <f>Devis[[#This Row],[Prix de Revient]]*Devis[[#This Row],[Poste 3]]</f>
        <v>0</v>
      </c>
      <c r="Y681" s="74">
        <f>Devis[[#This Row],[Poste 4]]*Devis[[#This Row],[Prix de Revient]]</f>
        <v>0</v>
      </c>
      <c r="Z681" s="74">
        <f>Devis[[#This Row],[Poste 5]]*Devis[[#This Row],[Prix de Revient]]</f>
        <v>0</v>
      </c>
      <c r="AA681" s="74">
        <f>Devis[[#This Row],[Prix de Revient]]*Devis[[#This Row],[Poste 6]]</f>
        <v>0</v>
      </c>
      <c r="AB681" s="74">
        <f>Devis[[#This Row],[Quantité Totale]]*Devis[[#This Row],[Prix de Revient]]</f>
        <v>0</v>
      </c>
    </row>
    <row r="682" spans="1:28" ht="14.25" outlineLevel="1" x14ac:dyDescent="0.2">
      <c r="A682" s="75" t="s">
        <v>326</v>
      </c>
      <c r="B682" s="76" t="s">
        <v>4825</v>
      </c>
      <c r="C682" s="75" t="s">
        <v>3934</v>
      </c>
      <c r="D682" s="81" t="str">
        <f t="shared" si="12"/>
        <v>CuveReservoir Vertical - Air compriméPauchard</v>
      </c>
      <c r="E682" s="75" t="s">
        <v>4931</v>
      </c>
      <c r="F682" s="81">
        <v>63</v>
      </c>
      <c r="G682" s="71" t="s">
        <v>3924</v>
      </c>
      <c r="H682" s="71" t="s">
        <v>3934</v>
      </c>
      <c r="I682" s="71"/>
      <c r="J682" s="70">
        <f>IFERROR(VLOOKUP(Devis[[#This Row],[Ref Air Flux]],#REF!,3,FALSE),0)</f>
        <v>0</v>
      </c>
      <c r="K682" s="68"/>
      <c r="L682" s="68"/>
      <c r="M682" s="68"/>
      <c r="N682" s="68"/>
      <c r="O682" s="68"/>
      <c r="P682" s="68"/>
      <c r="Q682" s="68">
        <f>SUM(Devis[[#This Row],[Poste 1]:[Poste 6]])</f>
        <v>0</v>
      </c>
      <c r="R682" s="71"/>
      <c r="S682" s="68">
        <f>_xlfn.CEILING.MATH(Devis[[#This Row],[Quantité Totale]],Devis[[#This Row],[Conditionnement]])</f>
        <v>0</v>
      </c>
      <c r="T682" s="72"/>
      <c r="U682" s="73"/>
      <c r="V682" s="74">
        <f>Devis[[#This Row],[Prix de Revient]]*Devis[[#This Row],[Poste 1]]</f>
        <v>0</v>
      </c>
      <c r="W682" s="74">
        <f>Devis[[#This Row],[Prix de Revient]]*Devis[[#This Row],[Poste 2]]</f>
        <v>0</v>
      </c>
      <c r="X682" s="74">
        <f>Devis[[#This Row],[Prix de Revient]]*Devis[[#This Row],[Poste 3]]</f>
        <v>0</v>
      </c>
      <c r="Y682" s="74">
        <f>Devis[[#This Row],[Poste 4]]*Devis[[#This Row],[Prix de Revient]]</f>
        <v>0</v>
      </c>
      <c r="Z682" s="74">
        <f>Devis[[#This Row],[Poste 5]]*Devis[[#This Row],[Prix de Revient]]</f>
        <v>0</v>
      </c>
      <c r="AA682" s="74">
        <f>Devis[[#This Row],[Prix de Revient]]*Devis[[#This Row],[Poste 6]]</f>
        <v>0</v>
      </c>
      <c r="AB682" s="74">
        <f>Devis[[#This Row],[Quantité Totale]]*Devis[[#This Row],[Prix de Revient]]</f>
        <v>0</v>
      </c>
    </row>
    <row r="683" spans="1:28" ht="14.25" outlineLevel="1" x14ac:dyDescent="0.2">
      <c r="A683" s="75" t="s">
        <v>326</v>
      </c>
      <c r="B683" s="76" t="s">
        <v>4825</v>
      </c>
      <c r="C683" s="75" t="s">
        <v>3934</v>
      </c>
      <c r="D683" s="81" t="str">
        <f t="shared" si="12"/>
        <v>CuveReservoir Vertical - Air compriméPauchard</v>
      </c>
      <c r="E683" s="75" t="s">
        <v>4932</v>
      </c>
      <c r="F683" s="81">
        <v>64</v>
      </c>
      <c r="G683" s="71" t="s">
        <v>3925</v>
      </c>
      <c r="H683" s="71" t="s">
        <v>3934</v>
      </c>
      <c r="I683" s="71"/>
      <c r="J683" s="70">
        <f>IFERROR(VLOOKUP(Devis[[#This Row],[Ref Air Flux]],#REF!,3,FALSE),0)</f>
        <v>0</v>
      </c>
      <c r="K683" s="68"/>
      <c r="L683" s="68"/>
      <c r="M683" s="68"/>
      <c r="N683" s="68"/>
      <c r="O683" s="68"/>
      <c r="P683" s="68"/>
      <c r="Q683" s="68">
        <f>SUM(Devis[[#This Row],[Poste 1]:[Poste 6]])</f>
        <v>0</v>
      </c>
      <c r="R683" s="71"/>
      <c r="S683" s="68">
        <f>_xlfn.CEILING.MATH(Devis[[#This Row],[Quantité Totale]],Devis[[#This Row],[Conditionnement]])</f>
        <v>0</v>
      </c>
      <c r="T683" s="72"/>
      <c r="U683" s="73"/>
      <c r="V683" s="74">
        <f>Devis[[#This Row],[Prix de Revient]]*Devis[[#This Row],[Poste 1]]</f>
        <v>0</v>
      </c>
      <c r="W683" s="74">
        <f>Devis[[#This Row],[Prix de Revient]]*Devis[[#This Row],[Poste 2]]</f>
        <v>0</v>
      </c>
      <c r="X683" s="74">
        <f>Devis[[#This Row],[Prix de Revient]]*Devis[[#This Row],[Poste 3]]</f>
        <v>0</v>
      </c>
      <c r="Y683" s="74">
        <f>Devis[[#This Row],[Poste 4]]*Devis[[#This Row],[Prix de Revient]]</f>
        <v>0</v>
      </c>
      <c r="Z683" s="74">
        <f>Devis[[#This Row],[Poste 5]]*Devis[[#This Row],[Prix de Revient]]</f>
        <v>0</v>
      </c>
      <c r="AA683" s="74">
        <f>Devis[[#This Row],[Prix de Revient]]*Devis[[#This Row],[Poste 6]]</f>
        <v>0</v>
      </c>
      <c r="AB683" s="74">
        <f>Devis[[#This Row],[Quantité Totale]]*Devis[[#This Row],[Prix de Revient]]</f>
        <v>0</v>
      </c>
    </row>
    <row r="684" spans="1:28" ht="14.25" outlineLevel="1" x14ac:dyDescent="0.2">
      <c r="A684" s="75" t="s">
        <v>326</v>
      </c>
      <c r="B684" s="76" t="s">
        <v>4825</v>
      </c>
      <c r="C684" s="75" t="s">
        <v>3934</v>
      </c>
      <c r="D684" s="81" t="str">
        <f t="shared" si="12"/>
        <v>CuveReservoir Vertical - Air compriméPauchard</v>
      </c>
      <c r="E684" s="75" t="s">
        <v>4933</v>
      </c>
      <c r="F684" s="81">
        <v>65</v>
      </c>
      <c r="G684" s="71" t="s">
        <v>4934</v>
      </c>
      <c r="H684" s="71" t="s">
        <v>3934</v>
      </c>
      <c r="I684" s="71"/>
      <c r="J684" s="70">
        <f>IFERROR(VLOOKUP(Devis[[#This Row],[Ref Air Flux]],#REF!,3,FALSE),0)</f>
        <v>0</v>
      </c>
      <c r="K684" s="68"/>
      <c r="L684" s="68"/>
      <c r="M684" s="68"/>
      <c r="N684" s="68"/>
      <c r="O684" s="68"/>
      <c r="P684" s="68"/>
      <c r="Q684" s="68">
        <f>SUM(Devis[[#This Row],[Poste 1]:[Poste 6]])</f>
        <v>0</v>
      </c>
      <c r="R684" s="71"/>
      <c r="S684" s="68">
        <f>_xlfn.CEILING.MATH(Devis[[#This Row],[Quantité Totale]],Devis[[#This Row],[Conditionnement]])</f>
        <v>0</v>
      </c>
      <c r="T684" s="72"/>
      <c r="U684" s="73"/>
      <c r="V684" s="74">
        <f>Devis[[#This Row],[Prix de Revient]]*Devis[[#This Row],[Poste 1]]</f>
        <v>0</v>
      </c>
      <c r="W684" s="74">
        <f>Devis[[#This Row],[Prix de Revient]]*Devis[[#This Row],[Poste 2]]</f>
        <v>0</v>
      </c>
      <c r="X684" s="74">
        <f>Devis[[#This Row],[Prix de Revient]]*Devis[[#This Row],[Poste 3]]</f>
        <v>0</v>
      </c>
      <c r="Y684" s="74">
        <f>Devis[[#This Row],[Poste 4]]*Devis[[#This Row],[Prix de Revient]]</f>
        <v>0</v>
      </c>
      <c r="Z684" s="74">
        <f>Devis[[#This Row],[Poste 5]]*Devis[[#This Row],[Prix de Revient]]</f>
        <v>0</v>
      </c>
      <c r="AA684" s="74">
        <f>Devis[[#This Row],[Prix de Revient]]*Devis[[#This Row],[Poste 6]]</f>
        <v>0</v>
      </c>
      <c r="AB684" s="74">
        <f>Devis[[#This Row],[Quantité Totale]]*Devis[[#This Row],[Prix de Revient]]</f>
        <v>0</v>
      </c>
    </row>
    <row r="685" spans="1:28" ht="14.25" outlineLevel="1" x14ac:dyDescent="0.2">
      <c r="A685" s="75" t="s">
        <v>326</v>
      </c>
      <c r="B685" s="76" t="s">
        <v>4825</v>
      </c>
      <c r="C685" s="75" t="s">
        <v>3934</v>
      </c>
      <c r="D685" s="81" t="str">
        <f t="shared" si="12"/>
        <v>CuveReservoir Vertical - Air compriméPauchard</v>
      </c>
      <c r="E685" s="75" t="s">
        <v>4935</v>
      </c>
      <c r="F685" s="81">
        <v>66</v>
      </c>
      <c r="G685" s="71" t="s">
        <v>4936</v>
      </c>
      <c r="H685" s="71" t="s">
        <v>3934</v>
      </c>
      <c r="I685" s="71"/>
      <c r="J685" s="70">
        <f>IFERROR(VLOOKUP(Devis[[#This Row],[Ref Air Flux]],#REF!,3,FALSE),0)</f>
        <v>0</v>
      </c>
      <c r="K685" s="68"/>
      <c r="L685" s="68"/>
      <c r="M685" s="68"/>
      <c r="N685" s="68"/>
      <c r="O685" s="68"/>
      <c r="P685" s="68"/>
      <c r="Q685" s="68">
        <f>SUM(Devis[[#This Row],[Poste 1]:[Poste 6]])</f>
        <v>0</v>
      </c>
      <c r="R685" s="71"/>
      <c r="S685" s="68">
        <f>_xlfn.CEILING.MATH(Devis[[#This Row],[Quantité Totale]],Devis[[#This Row],[Conditionnement]])</f>
        <v>0</v>
      </c>
      <c r="T685" s="72"/>
      <c r="U685" s="73"/>
      <c r="V685" s="74">
        <f>Devis[[#This Row],[Prix de Revient]]*Devis[[#This Row],[Poste 1]]</f>
        <v>0</v>
      </c>
      <c r="W685" s="74">
        <f>Devis[[#This Row],[Prix de Revient]]*Devis[[#This Row],[Poste 2]]</f>
        <v>0</v>
      </c>
      <c r="X685" s="74">
        <f>Devis[[#This Row],[Prix de Revient]]*Devis[[#This Row],[Poste 3]]</f>
        <v>0</v>
      </c>
      <c r="Y685" s="74">
        <f>Devis[[#This Row],[Poste 4]]*Devis[[#This Row],[Prix de Revient]]</f>
        <v>0</v>
      </c>
      <c r="Z685" s="74">
        <f>Devis[[#This Row],[Poste 5]]*Devis[[#This Row],[Prix de Revient]]</f>
        <v>0</v>
      </c>
      <c r="AA685" s="74">
        <f>Devis[[#This Row],[Prix de Revient]]*Devis[[#This Row],[Poste 6]]</f>
        <v>0</v>
      </c>
      <c r="AB685" s="74">
        <f>Devis[[#This Row],[Quantité Totale]]*Devis[[#This Row],[Prix de Revient]]</f>
        <v>0</v>
      </c>
    </row>
    <row r="686" spans="1:28" ht="14.25" outlineLevel="1" x14ac:dyDescent="0.2">
      <c r="A686" s="75" t="s">
        <v>326</v>
      </c>
      <c r="B686" s="76" t="s">
        <v>4825</v>
      </c>
      <c r="C686" s="75" t="s">
        <v>3934</v>
      </c>
      <c r="D686" s="81" t="str">
        <f t="shared" si="12"/>
        <v>CuveReservoir Vertical - Air compriméPauchard</v>
      </c>
      <c r="E686" s="75" t="s">
        <v>4937</v>
      </c>
      <c r="F686" s="81">
        <v>67</v>
      </c>
      <c r="G686" s="71" t="s">
        <v>3927</v>
      </c>
      <c r="H686" s="71" t="s">
        <v>3934</v>
      </c>
      <c r="I686" s="71"/>
      <c r="J686" s="70">
        <f>IFERROR(VLOOKUP(Devis[[#This Row],[Ref Air Flux]],#REF!,3,FALSE),0)</f>
        <v>0</v>
      </c>
      <c r="K686" s="68"/>
      <c r="L686" s="68"/>
      <c r="M686" s="68"/>
      <c r="N686" s="68"/>
      <c r="O686" s="68"/>
      <c r="P686" s="68"/>
      <c r="Q686" s="68">
        <f>SUM(Devis[[#This Row],[Poste 1]:[Poste 6]])</f>
        <v>0</v>
      </c>
      <c r="R686" s="71"/>
      <c r="S686" s="68">
        <f>_xlfn.CEILING.MATH(Devis[[#This Row],[Quantité Totale]],Devis[[#This Row],[Conditionnement]])</f>
        <v>0</v>
      </c>
      <c r="T686" s="72"/>
      <c r="U686" s="73"/>
      <c r="V686" s="74">
        <f>Devis[[#This Row],[Prix de Revient]]*Devis[[#This Row],[Poste 1]]</f>
        <v>0</v>
      </c>
      <c r="W686" s="74">
        <f>Devis[[#This Row],[Prix de Revient]]*Devis[[#This Row],[Poste 2]]</f>
        <v>0</v>
      </c>
      <c r="X686" s="74">
        <f>Devis[[#This Row],[Prix de Revient]]*Devis[[#This Row],[Poste 3]]</f>
        <v>0</v>
      </c>
      <c r="Y686" s="74">
        <f>Devis[[#This Row],[Poste 4]]*Devis[[#This Row],[Prix de Revient]]</f>
        <v>0</v>
      </c>
      <c r="Z686" s="74">
        <f>Devis[[#This Row],[Poste 5]]*Devis[[#This Row],[Prix de Revient]]</f>
        <v>0</v>
      </c>
      <c r="AA686" s="74">
        <f>Devis[[#This Row],[Prix de Revient]]*Devis[[#This Row],[Poste 6]]</f>
        <v>0</v>
      </c>
      <c r="AB686" s="74">
        <f>Devis[[#This Row],[Quantité Totale]]*Devis[[#This Row],[Prix de Revient]]</f>
        <v>0</v>
      </c>
    </row>
    <row r="687" spans="1:28" ht="14.25" outlineLevel="1" x14ac:dyDescent="0.2">
      <c r="A687" s="75" t="s">
        <v>326</v>
      </c>
      <c r="B687" s="76" t="s">
        <v>4825</v>
      </c>
      <c r="C687" s="75" t="s">
        <v>3934</v>
      </c>
      <c r="D687" s="81" t="str">
        <f t="shared" si="12"/>
        <v>CuveReservoir Vertical - Air compriméPauchard</v>
      </c>
      <c r="E687" s="75" t="s">
        <v>4938</v>
      </c>
      <c r="F687" s="81">
        <v>68</v>
      </c>
      <c r="G687" s="71" t="s">
        <v>3928</v>
      </c>
      <c r="H687" s="71" t="s">
        <v>3934</v>
      </c>
      <c r="I687" s="71"/>
      <c r="J687" s="70">
        <f>IFERROR(VLOOKUP(Devis[[#This Row],[Ref Air Flux]],#REF!,3,FALSE),0)</f>
        <v>0</v>
      </c>
      <c r="K687" s="68"/>
      <c r="L687" s="68"/>
      <c r="M687" s="68"/>
      <c r="N687" s="68"/>
      <c r="O687" s="68"/>
      <c r="P687" s="68"/>
      <c r="Q687" s="68">
        <f>SUM(Devis[[#This Row],[Poste 1]:[Poste 6]])</f>
        <v>0</v>
      </c>
      <c r="R687" s="71"/>
      <c r="S687" s="68">
        <f>_xlfn.CEILING.MATH(Devis[[#This Row],[Quantité Totale]],Devis[[#This Row],[Conditionnement]])</f>
        <v>0</v>
      </c>
      <c r="T687" s="72"/>
      <c r="U687" s="73"/>
      <c r="V687" s="74">
        <f>Devis[[#This Row],[Prix de Revient]]*Devis[[#This Row],[Poste 1]]</f>
        <v>0</v>
      </c>
      <c r="W687" s="74">
        <f>Devis[[#This Row],[Prix de Revient]]*Devis[[#This Row],[Poste 2]]</f>
        <v>0</v>
      </c>
      <c r="X687" s="74">
        <f>Devis[[#This Row],[Prix de Revient]]*Devis[[#This Row],[Poste 3]]</f>
        <v>0</v>
      </c>
      <c r="Y687" s="74">
        <f>Devis[[#This Row],[Poste 4]]*Devis[[#This Row],[Prix de Revient]]</f>
        <v>0</v>
      </c>
      <c r="Z687" s="74">
        <f>Devis[[#This Row],[Poste 5]]*Devis[[#This Row],[Prix de Revient]]</f>
        <v>0</v>
      </c>
      <c r="AA687" s="74">
        <f>Devis[[#This Row],[Prix de Revient]]*Devis[[#This Row],[Poste 6]]</f>
        <v>0</v>
      </c>
      <c r="AB687" s="74">
        <f>Devis[[#This Row],[Quantité Totale]]*Devis[[#This Row],[Prix de Revient]]</f>
        <v>0</v>
      </c>
    </row>
    <row r="688" spans="1:28" ht="14.25" outlineLevel="1" x14ac:dyDescent="0.2">
      <c r="A688" s="75" t="s">
        <v>326</v>
      </c>
      <c r="B688" s="76" t="s">
        <v>4825</v>
      </c>
      <c r="C688" s="75" t="s">
        <v>3934</v>
      </c>
      <c r="D688" s="81" t="str">
        <f t="shared" si="12"/>
        <v>CuveReservoir Vertical - Air compriméPauchard</v>
      </c>
      <c r="E688" s="75" t="s">
        <v>4939</v>
      </c>
      <c r="F688" s="81">
        <v>69</v>
      </c>
      <c r="G688" s="71" t="s">
        <v>3929</v>
      </c>
      <c r="H688" s="71" t="s">
        <v>3934</v>
      </c>
      <c r="I688" s="71"/>
      <c r="J688" s="70">
        <f>IFERROR(VLOOKUP(Devis[[#This Row],[Ref Air Flux]],#REF!,3,FALSE),0)</f>
        <v>0</v>
      </c>
      <c r="K688" s="68"/>
      <c r="L688" s="68"/>
      <c r="M688" s="68"/>
      <c r="N688" s="68"/>
      <c r="O688" s="68"/>
      <c r="P688" s="68"/>
      <c r="Q688" s="68">
        <f>SUM(Devis[[#This Row],[Poste 1]:[Poste 6]])</f>
        <v>0</v>
      </c>
      <c r="R688" s="71"/>
      <c r="S688" s="68">
        <f>_xlfn.CEILING.MATH(Devis[[#This Row],[Quantité Totale]],Devis[[#This Row],[Conditionnement]])</f>
        <v>0</v>
      </c>
      <c r="T688" s="72"/>
      <c r="U688" s="73"/>
      <c r="V688" s="74">
        <f>Devis[[#This Row],[Prix de Revient]]*Devis[[#This Row],[Poste 1]]</f>
        <v>0</v>
      </c>
      <c r="W688" s="74">
        <f>Devis[[#This Row],[Prix de Revient]]*Devis[[#This Row],[Poste 2]]</f>
        <v>0</v>
      </c>
      <c r="X688" s="74">
        <f>Devis[[#This Row],[Prix de Revient]]*Devis[[#This Row],[Poste 3]]</f>
        <v>0</v>
      </c>
      <c r="Y688" s="74">
        <f>Devis[[#This Row],[Poste 4]]*Devis[[#This Row],[Prix de Revient]]</f>
        <v>0</v>
      </c>
      <c r="Z688" s="74">
        <f>Devis[[#This Row],[Poste 5]]*Devis[[#This Row],[Prix de Revient]]</f>
        <v>0</v>
      </c>
      <c r="AA688" s="74">
        <f>Devis[[#This Row],[Prix de Revient]]*Devis[[#This Row],[Poste 6]]</f>
        <v>0</v>
      </c>
      <c r="AB688" s="74">
        <f>Devis[[#This Row],[Quantité Totale]]*Devis[[#This Row],[Prix de Revient]]</f>
        <v>0</v>
      </c>
    </row>
    <row r="689" spans="1:28" ht="14.25" customHeight="1" outlineLevel="1" x14ac:dyDescent="0.2">
      <c r="A689" s="75" t="s">
        <v>326</v>
      </c>
      <c r="B689" s="76" t="s">
        <v>4825</v>
      </c>
      <c r="C689" s="75" t="s">
        <v>3934</v>
      </c>
      <c r="D689" s="81" t="str">
        <f t="shared" si="12"/>
        <v>CuveReservoir Vertical - Air compriméPauchard</v>
      </c>
      <c r="E689" s="75" t="s">
        <v>4940</v>
      </c>
      <c r="F689" s="81">
        <v>70</v>
      </c>
      <c r="G689" s="71" t="s">
        <v>3930</v>
      </c>
      <c r="H689" s="71" t="s">
        <v>3934</v>
      </c>
      <c r="I689" s="71"/>
      <c r="J689" s="70">
        <f>IFERROR(VLOOKUP(Devis[[#This Row],[Ref Air Flux]],#REF!,3,FALSE),0)</f>
        <v>0</v>
      </c>
      <c r="K689" s="68"/>
      <c r="L689" s="68"/>
      <c r="M689" s="68"/>
      <c r="N689" s="68"/>
      <c r="O689" s="68"/>
      <c r="P689" s="68"/>
      <c r="Q689" s="68">
        <f>SUM(Devis[[#This Row],[Poste 1]:[Poste 6]])</f>
        <v>0</v>
      </c>
      <c r="R689" s="71"/>
      <c r="S689" s="68">
        <f>_xlfn.CEILING.MATH(Devis[[#This Row],[Quantité Totale]],Devis[[#This Row],[Conditionnement]])</f>
        <v>0</v>
      </c>
      <c r="T689" s="72"/>
      <c r="U689" s="73"/>
      <c r="V689" s="74">
        <f>Devis[[#This Row],[Prix de Revient]]*Devis[[#This Row],[Poste 1]]</f>
        <v>0</v>
      </c>
      <c r="W689" s="74">
        <f>Devis[[#This Row],[Prix de Revient]]*Devis[[#This Row],[Poste 2]]</f>
        <v>0</v>
      </c>
      <c r="X689" s="74">
        <f>Devis[[#This Row],[Prix de Revient]]*Devis[[#This Row],[Poste 3]]</f>
        <v>0</v>
      </c>
      <c r="Y689" s="74">
        <f>Devis[[#This Row],[Poste 4]]*Devis[[#This Row],[Prix de Revient]]</f>
        <v>0</v>
      </c>
      <c r="Z689" s="74">
        <f>Devis[[#This Row],[Poste 5]]*Devis[[#This Row],[Prix de Revient]]</f>
        <v>0</v>
      </c>
      <c r="AA689" s="74">
        <f>Devis[[#This Row],[Prix de Revient]]*Devis[[#This Row],[Poste 6]]</f>
        <v>0</v>
      </c>
      <c r="AB689" s="74">
        <f>Devis[[#This Row],[Quantité Totale]]*Devis[[#This Row],[Prix de Revient]]</f>
        <v>0</v>
      </c>
    </row>
    <row r="690" spans="1:28" ht="14.25" outlineLevel="1" x14ac:dyDescent="0.2">
      <c r="A690" s="75" t="s">
        <v>326</v>
      </c>
      <c r="B690" s="76" t="s">
        <v>4825</v>
      </c>
      <c r="C690" s="75" t="s">
        <v>3934</v>
      </c>
      <c r="D690" s="81" t="str">
        <f t="shared" si="12"/>
        <v>CuveReservoir Vertical - Air compriméPauchard</v>
      </c>
      <c r="E690" s="75" t="s">
        <v>4941</v>
      </c>
      <c r="F690" s="81">
        <v>71</v>
      </c>
      <c r="G690" s="71" t="s">
        <v>3931</v>
      </c>
      <c r="H690" s="71" t="s">
        <v>3934</v>
      </c>
      <c r="I690" s="71"/>
      <c r="J690" s="70">
        <f>IFERROR(VLOOKUP(Devis[[#This Row],[Ref Air Flux]],#REF!,3,FALSE),0)</f>
        <v>0</v>
      </c>
      <c r="K690" s="68"/>
      <c r="L690" s="68"/>
      <c r="M690" s="68"/>
      <c r="N690" s="68"/>
      <c r="O690" s="68"/>
      <c r="P690" s="68"/>
      <c r="Q690" s="68">
        <f>SUM(Devis[[#This Row],[Poste 1]:[Poste 6]])</f>
        <v>0</v>
      </c>
      <c r="R690" s="71"/>
      <c r="S690" s="68">
        <f>_xlfn.CEILING.MATH(Devis[[#This Row],[Quantité Totale]],Devis[[#This Row],[Conditionnement]])</f>
        <v>0</v>
      </c>
      <c r="T690" s="72"/>
      <c r="U690" s="73"/>
      <c r="V690" s="74">
        <f>Devis[[#This Row],[Prix de Revient]]*Devis[[#This Row],[Poste 1]]</f>
        <v>0</v>
      </c>
      <c r="W690" s="74">
        <f>Devis[[#This Row],[Prix de Revient]]*Devis[[#This Row],[Poste 2]]</f>
        <v>0</v>
      </c>
      <c r="X690" s="74">
        <f>Devis[[#This Row],[Prix de Revient]]*Devis[[#This Row],[Poste 3]]</f>
        <v>0</v>
      </c>
      <c r="Y690" s="74">
        <f>Devis[[#This Row],[Poste 4]]*Devis[[#This Row],[Prix de Revient]]</f>
        <v>0</v>
      </c>
      <c r="Z690" s="74">
        <f>Devis[[#This Row],[Poste 5]]*Devis[[#This Row],[Prix de Revient]]</f>
        <v>0</v>
      </c>
      <c r="AA690" s="74">
        <f>Devis[[#This Row],[Prix de Revient]]*Devis[[#This Row],[Poste 6]]</f>
        <v>0</v>
      </c>
      <c r="AB690" s="74">
        <f>Devis[[#This Row],[Quantité Totale]]*Devis[[#This Row],[Prix de Revient]]</f>
        <v>0</v>
      </c>
    </row>
    <row r="691" spans="1:28" ht="14.25" outlineLevel="1" x14ac:dyDescent="0.2">
      <c r="A691" s="75" t="s">
        <v>326</v>
      </c>
      <c r="B691" s="76" t="s">
        <v>4825</v>
      </c>
      <c r="C691" s="75" t="s">
        <v>3894</v>
      </c>
      <c r="D691" s="81" t="str">
        <f t="shared" si="12"/>
        <v>CuveReservoir Vertical - Air compriméAutres</v>
      </c>
      <c r="E691" s="75" t="s">
        <v>4942</v>
      </c>
      <c r="F691" s="81">
        <v>72</v>
      </c>
      <c r="G691" s="71" t="s">
        <v>4943</v>
      </c>
      <c r="H691" s="71" t="s">
        <v>2953</v>
      </c>
      <c r="I691" s="71"/>
      <c r="J691" s="70">
        <f>IFERROR(VLOOKUP(Devis[[#This Row],[Ref Air Flux]],#REF!,3,FALSE),0)</f>
        <v>0</v>
      </c>
      <c r="K691" s="68"/>
      <c r="L691" s="68"/>
      <c r="M691" s="68"/>
      <c r="N691" s="68"/>
      <c r="O691" s="68"/>
      <c r="P691" s="68"/>
      <c r="Q691" s="68">
        <f>SUM(Devis[[#This Row],[Poste 1]:[Poste 6]])</f>
        <v>0</v>
      </c>
      <c r="R691" s="71"/>
      <c r="S691" s="68">
        <f>_xlfn.CEILING.MATH(Devis[[#This Row],[Quantité Totale]],Devis[[#This Row],[Conditionnement]])</f>
        <v>0</v>
      </c>
      <c r="T691" s="72"/>
      <c r="U691" s="73"/>
      <c r="V691" s="74">
        <f>Devis[[#This Row],[Prix de Revient]]*Devis[[#This Row],[Poste 1]]</f>
        <v>0</v>
      </c>
      <c r="W691" s="74">
        <f>Devis[[#This Row],[Prix de Revient]]*Devis[[#This Row],[Poste 2]]</f>
        <v>0</v>
      </c>
      <c r="X691" s="74">
        <f>Devis[[#This Row],[Prix de Revient]]*Devis[[#This Row],[Poste 3]]</f>
        <v>0</v>
      </c>
      <c r="Y691" s="74">
        <f>Devis[[#This Row],[Poste 4]]*Devis[[#This Row],[Prix de Revient]]</f>
        <v>0</v>
      </c>
      <c r="Z691" s="74">
        <f>Devis[[#This Row],[Poste 5]]*Devis[[#This Row],[Prix de Revient]]</f>
        <v>0</v>
      </c>
      <c r="AA691" s="74">
        <f>Devis[[#This Row],[Prix de Revient]]*Devis[[#This Row],[Poste 6]]</f>
        <v>0</v>
      </c>
      <c r="AB691" s="74">
        <f>Devis[[#This Row],[Quantité Totale]]*Devis[[#This Row],[Prix de Revient]]</f>
        <v>0</v>
      </c>
    </row>
    <row r="692" spans="1:28" ht="15" customHeight="1" outlineLevel="1" x14ac:dyDescent="0.2">
      <c r="A692" s="75" t="s">
        <v>326</v>
      </c>
      <c r="B692" s="76" t="s">
        <v>4825</v>
      </c>
      <c r="C692" s="75" t="s">
        <v>3894</v>
      </c>
      <c r="D692" s="81" t="str">
        <f t="shared" si="12"/>
        <v>CuveReservoir Vertical - Air compriméAutres</v>
      </c>
      <c r="E692" s="75" t="s">
        <v>4944</v>
      </c>
      <c r="F692" s="81">
        <v>73</v>
      </c>
      <c r="G692" s="71" t="s">
        <v>4945</v>
      </c>
      <c r="H692" s="71" t="s">
        <v>2953</v>
      </c>
      <c r="I692" s="71"/>
      <c r="J692" s="70">
        <f>IFERROR(VLOOKUP(Devis[[#This Row],[Ref Air Flux]],#REF!,3,FALSE),0)</f>
        <v>0</v>
      </c>
      <c r="K692" s="68"/>
      <c r="L692" s="68"/>
      <c r="M692" s="68"/>
      <c r="N692" s="68"/>
      <c r="O692" s="68"/>
      <c r="P692" s="68"/>
      <c r="Q692" s="68">
        <f>SUM(Devis[[#This Row],[Poste 1]:[Poste 6]])</f>
        <v>0</v>
      </c>
      <c r="R692" s="71"/>
      <c r="S692" s="68">
        <f>_xlfn.CEILING.MATH(Devis[[#This Row],[Quantité Totale]],Devis[[#This Row],[Conditionnement]])</f>
        <v>0</v>
      </c>
      <c r="T692" s="72"/>
      <c r="U692" s="73"/>
      <c r="V692" s="74">
        <f>Devis[[#This Row],[Prix de Revient]]*Devis[[#This Row],[Poste 1]]</f>
        <v>0</v>
      </c>
      <c r="W692" s="74">
        <f>Devis[[#This Row],[Prix de Revient]]*Devis[[#This Row],[Poste 2]]</f>
        <v>0</v>
      </c>
      <c r="X692" s="74">
        <f>Devis[[#This Row],[Prix de Revient]]*Devis[[#This Row],[Poste 3]]</f>
        <v>0</v>
      </c>
      <c r="Y692" s="74">
        <f>Devis[[#This Row],[Poste 4]]*Devis[[#This Row],[Prix de Revient]]</f>
        <v>0</v>
      </c>
      <c r="Z692" s="74">
        <f>Devis[[#This Row],[Poste 5]]*Devis[[#This Row],[Prix de Revient]]</f>
        <v>0</v>
      </c>
      <c r="AA692" s="74">
        <f>Devis[[#This Row],[Prix de Revient]]*Devis[[#This Row],[Poste 6]]</f>
        <v>0</v>
      </c>
      <c r="AB692" s="74">
        <f>Devis[[#This Row],[Quantité Totale]]*Devis[[#This Row],[Prix de Revient]]</f>
        <v>0</v>
      </c>
    </row>
    <row r="693" spans="1:28" ht="14.25" outlineLevel="1" x14ac:dyDescent="0.2">
      <c r="A693" s="75" t="s">
        <v>326</v>
      </c>
      <c r="B693" s="76" t="s">
        <v>4825</v>
      </c>
      <c r="C693" s="75" t="s">
        <v>3894</v>
      </c>
      <c r="D693" s="81" t="str">
        <f t="shared" si="12"/>
        <v>CuveReservoir Vertical - Air compriméAutres</v>
      </c>
      <c r="E693" s="75" t="s">
        <v>4944</v>
      </c>
      <c r="F693" s="81">
        <v>74</v>
      </c>
      <c r="G693" s="71" t="s">
        <v>4946</v>
      </c>
      <c r="H693" s="71" t="s">
        <v>4947</v>
      </c>
      <c r="I693" s="71"/>
      <c r="J693" s="70">
        <f>IFERROR(VLOOKUP(Devis[[#This Row],[Ref Air Flux]],#REF!,3,FALSE),0)</f>
        <v>0</v>
      </c>
      <c r="K693" s="68"/>
      <c r="L693" s="68"/>
      <c r="M693" s="68"/>
      <c r="N693" s="68"/>
      <c r="O693" s="68"/>
      <c r="P693" s="68"/>
      <c r="Q693" s="68">
        <f>SUM(Devis[[#This Row],[Poste 1]:[Poste 6]])</f>
        <v>0</v>
      </c>
      <c r="R693" s="71"/>
      <c r="S693" s="68">
        <f>_xlfn.CEILING.MATH(Devis[[#This Row],[Quantité Totale]],Devis[[#This Row],[Conditionnement]])</f>
        <v>0</v>
      </c>
      <c r="T693" s="72"/>
      <c r="U693" s="73"/>
      <c r="V693" s="74">
        <f>Devis[[#This Row],[Prix de Revient]]*Devis[[#This Row],[Poste 1]]</f>
        <v>0</v>
      </c>
      <c r="W693" s="74">
        <f>Devis[[#This Row],[Prix de Revient]]*Devis[[#This Row],[Poste 2]]</f>
        <v>0</v>
      </c>
      <c r="X693" s="74">
        <f>Devis[[#This Row],[Prix de Revient]]*Devis[[#This Row],[Poste 3]]</f>
        <v>0</v>
      </c>
      <c r="Y693" s="74">
        <f>Devis[[#This Row],[Poste 4]]*Devis[[#This Row],[Prix de Revient]]</f>
        <v>0</v>
      </c>
      <c r="Z693" s="74">
        <f>Devis[[#This Row],[Poste 5]]*Devis[[#This Row],[Prix de Revient]]</f>
        <v>0</v>
      </c>
      <c r="AA693" s="74">
        <f>Devis[[#This Row],[Prix de Revient]]*Devis[[#This Row],[Poste 6]]</f>
        <v>0</v>
      </c>
      <c r="AB693" s="74">
        <f>Devis[[#This Row],[Quantité Totale]]*Devis[[#This Row],[Prix de Revient]]</f>
        <v>0</v>
      </c>
    </row>
    <row r="694" spans="1:28" ht="14.25" outlineLevel="1" x14ac:dyDescent="0.2">
      <c r="A694" s="75" t="s">
        <v>326</v>
      </c>
      <c r="B694" s="76" t="s">
        <v>4825</v>
      </c>
      <c r="C694" s="75" t="s">
        <v>3894</v>
      </c>
      <c r="D694" s="81" t="str">
        <f t="shared" si="12"/>
        <v>CuveReservoir Vertical - Air compriméAutres</v>
      </c>
      <c r="E694" s="75" t="s">
        <v>4948</v>
      </c>
      <c r="F694" s="81">
        <v>75</v>
      </c>
      <c r="G694" s="71" t="s">
        <v>4949</v>
      </c>
      <c r="H694" s="71" t="s">
        <v>2953</v>
      </c>
      <c r="I694" s="71"/>
      <c r="J694" s="70">
        <f>IFERROR(VLOOKUP(Devis[[#This Row],[Ref Air Flux]],#REF!,3,FALSE),0)</f>
        <v>0</v>
      </c>
      <c r="K694" s="68"/>
      <c r="L694" s="68"/>
      <c r="M694" s="68"/>
      <c r="N694" s="68"/>
      <c r="O694" s="68"/>
      <c r="P694" s="68"/>
      <c r="Q694" s="68">
        <f>SUM(Devis[[#This Row],[Poste 1]:[Poste 6]])</f>
        <v>0</v>
      </c>
      <c r="R694" s="71"/>
      <c r="S694" s="68">
        <f>_xlfn.CEILING.MATH(Devis[[#This Row],[Quantité Totale]],Devis[[#This Row],[Conditionnement]])</f>
        <v>0</v>
      </c>
      <c r="T694" s="72"/>
      <c r="U694" s="73"/>
      <c r="V694" s="74">
        <f>Devis[[#This Row],[Prix de Revient]]*Devis[[#This Row],[Poste 1]]</f>
        <v>0</v>
      </c>
      <c r="W694" s="74">
        <f>Devis[[#This Row],[Prix de Revient]]*Devis[[#This Row],[Poste 2]]</f>
        <v>0</v>
      </c>
      <c r="X694" s="74">
        <f>Devis[[#This Row],[Prix de Revient]]*Devis[[#This Row],[Poste 3]]</f>
        <v>0</v>
      </c>
      <c r="Y694" s="74">
        <f>Devis[[#This Row],[Poste 4]]*Devis[[#This Row],[Prix de Revient]]</f>
        <v>0</v>
      </c>
      <c r="Z694" s="74">
        <f>Devis[[#This Row],[Poste 5]]*Devis[[#This Row],[Prix de Revient]]</f>
        <v>0</v>
      </c>
      <c r="AA694" s="74">
        <f>Devis[[#This Row],[Prix de Revient]]*Devis[[#This Row],[Poste 6]]</f>
        <v>0</v>
      </c>
      <c r="AB694" s="74">
        <f>Devis[[#This Row],[Quantité Totale]]*Devis[[#This Row],[Prix de Revient]]</f>
        <v>0</v>
      </c>
    </row>
    <row r="695" spans="1:28" ht="14.25" outlineLevel="1" x14ac:dyDescent="0.2">
      <c r="A695" s="75" t="s">
        <v>326</v>
      </c>
      <c r="B695" s="76" t="s">
        <v>4825</v>
      </c>
      <c r="C695" s="75" t="s">
        <v>3894</v>
      </c>
      <c r="D695" s="81" t="str">
        <f t="shared" si="12"/>
        <v>CuveReservoir Vertical - Air compriméAutres</v>
      </c>
      <c r="E695" s="75" t="s">
        <v>4950</v>
      </c>
      <c r="F695" s="81">
        <v>76</v>
      </c>
      <c r="G695" s="71" t="s">
        <v>4951</v>
      </c>
      <c r="H695" s="71" t="s">
        <v>2953</v>
      </c>
      <c r="I695" s="71"/>
      <c r="J695" s="70">
        <f>IFERROR(VLOOKUP(Devis[[#This Row],[Ref Air Flux]],#REF!,3,FALSE),0)</f>
        <v>0</v>
      </c>
      <c r="K695" s="68"/>
      <c r="L695" s="68"/>
      <c r="M695" s="68"/>
      <c r="N695" s="68"/>
      <c r="O695" s="68"/>
      <c r="P695" s="68"/>
      <c r="Q695" s="68">
        <f>SUM(Devis[[#This Row],[Poste 1]:[Poste 6]])</f>
        <v>0</v>
      </c>
      <c r="R695" s="71"/>
      <c r="S695" s="68">
        <f>_xlfn.CEILING.MATH(Devis[[#This Row],[Quantité Totale]],Devis[[#This Row],[Conditionnement]])</f>
        <v>0</v>
      </c>
      <c r="T695" s="72"/>
      <c r="U695" s="73"/>
      <c r="V695" s="74">
        <f>Devis[[#This Row],[Prix de Revient]]*Devis[[#This Row],[Poste 1]]</f>
        <v>0</v>
      </c>
      <c r="W695" s="74">
        <f>Devis[[#This Row],[Prix de Revient]]*Devis[[#This Row],[Poste 2]]</f>
        <v>0</v>
      </c>
      <c r="X695" s="74">
        <f>Devis[[#This Row],[Prix de Revient]]*Devis[[#This Row],[Poste 3]]</f>
        <v>0</v>
      </c>
      <c r="Y695" s="74">
        <f>Devis[[#This Row],[Poste 4]]*Devis[[#This Row],[Prix de Revient]]</f>
        <v>0</v>
      </c>
      <c r="Z695" s="74">
        <f>Devis[[#This Row],[Poste 5]]*Devis[[#This Row],[Prix de Revient]]</f>
        <v>0</v>
      </c>
      <c r="AA695" s="74">
        <f>Devis[[#This Row],[Prix de Revient]]*Devis[[#This Row],[Poste 6]]</f>
        <v>0</v>
      </c>
      <c r="AB695" s="74">
        <f>Devis[[#This Row],[Quantité Totale]]*Devis[[#This Row],[Prix de Revient]]</f>
        <v>0</v>
      </c>
    </row>
    <row r="696" spans="1:28" ht="14.25" outlineLevel="1" x14ac:dyDescent="0.2">
      <c r="A696" s="75" t="s">
        <v>326</v>
      </c>
      <c r="B696" s="76" t="s">
        <v>4825</v>
      </c>
      <c r="C696" s="75" t="s">
        <v>3894</v>
      </c>
      <c r="D696" s="81" t="str">
        <f t="shared" si="12"/>
        <v>CuveReservoir Vertical - Air compriméAutres</v>
      </c>
      <c r="E696" s="75" t="s">
        <v>4952</v>
      </c>
      <c r="F696" s="81">
        <v>77</v>
      </c>
      <c r="G696" s="71" t="s">
        <v>4953</v>
      </c>
      <c r="H696" s="71" t="s">
        <v>4954</v>
      </c>
      <c r="I696" s="71"/>
      <c r="J696" s="70">
        <f>IFERROR(VLOOKUP(Devis[[#This Row],[Ref Air Flux]],#REF!,3,FALSE),0)</f>
        <v>0</v>
      </c>
      <c r="K696" s="68"/>
      <c r="L696" s="68"/>
      <c r="M696" s="68"/>
      <c r="N696" s="68"/>
      <c r="O696" s="68"/>
      <c r="P696" s="68"/>
      <c r="Q696" s="68">
        <f>SUM(Devis[[#This Row],[Poste 1]:[Poste 6]])</f>
        <v>0</v>
      </c>
      <c r="R696" s="71"/>
      <c r="S696" s="68">
        <f>_xlfn.CEILING.MATH(Devis[[#This Row],[Quantité Totale]],Devis[[#This Row],[Conditionnement]])</f>
        <v>0</v>
      </c>
      <c r="T696" s="72"/>
      <c r="U696" s="73"/>
      <c r="V696" s="74">
        <f>Devis[[#This Row],[Prix de Revient]]*Devis[[#This Row],[Poste 1]]</f>
        <v>0</v>
      </c>
      <c r="W696" s="74">
        <f>Devis[[#This Row],[Prix de Revient]]*Devis[[#This Row],[Poste 2]]</f>
        <v>0</v>
      </c>
      <c r="X696" s="74">
        <f>Devis[[#This Row],[Prix de Revient]]*Devis[[#This Row],[Poste 3]]</f>
        <v>0</v>
      </c>
      <c r="Y696" s="74">
        <f>Devis[[#This Row],[Poste 4]]*Devis[[#This Row],[Prix de Revient]]</f>
        <v>0</v>
      </c>
      <c r="Z696" s="74">
        <f>Devis[[#This Row],[Poste 5]]*Devis[[#This Row],[Prix de Revient]]</f>
        <v>0</v>
      </c>
      <c r="AA696" s="74">
        <f>Devis[[#This Row],[Prix de Revient]]*Devis[[#This Row],[Poste 6]]</f>
        <v>0</v>
      </c>
      <c r="AB696" s="74">
        <f>Devis[[#This Row],[Quantité Totale]]*Devis[[#This Row],[Prix de Revient]]</f>
        <v>0</v>
      </c>
    </row>
    <row r="697" spans="1:28" ht="14.25" outlineLevel="1" x14ac:dyDescent="0.2">
      <c r="A697" s="75" t="s">
        <v>326</v>
      </c>
      <c r="B697" s="76" t="s">
        <v>4825</v>
      </c>
      <c r="C697" s="75" t="s">
        <v>3894</v>
      </c>
      <c r="D697" s="81" t="str">
        <f t="shared" si="12"/>
        <v>CuveReservoir Vertical - Air compriméAutres</v>
      </c>
      <c r="E697" s="75" t="s">
        <v>4955</v>
      </c>
      <c r="F697" s="81">
        <v>78</v>
      </c>
      <c r="G697" s="71" t="s">
        <v>4956</v>
      </c>
      <c r="H697" s="71" t="s">
        <v>2953</v>
      </c>
      <c r="I697" s="71"/>
      <c r="J697" s="70">
        <f>IFERROR(VLOOKUP(Devis[[#This Row],[Ref Air Flux]],#REF!,3,FALSE),0)</f>
        <v>0</v>
      </c>
      <c r="K697" s="68"/>
      <c r="L697" s="68"/>
      <c r="M697" s="68"/>
      <c r="N697" s="68"/>
      <c r="O697" s="68"/>
      <c r="P697" s="68"/>
      <c r="Q697" s="68">
        <f>SUM(Devis[[#This Row],[Poste 1]:[Poste 6]])</f>
        <v>0</v>
      </c>
      <c r="R697" s="71"/>
      <c r="S697" s="68">
        <f>_xlfn.CEILING.MATH(Devis[[#This Row],[Quantité Totale]],Devis[[#This Row],[Conditionnement]])</f>
        <v>0</v>
      </c>
      <c r="T697" s="72"/>
      <c r="U697" s="73"/>
      <c r="V697" s="74">
        <f>Devis[[#This Row],[Prix de Revient]]*Devis[[#This Row],[Poste 1]]</f>
        <v>0</v>
      </c>
      <c r="W697" s="74">
        <f>Devis[[#This Row],[Prix de Revient]]*Devis[[#This Row],[Poste 2]]</f>
        <v>0</v>
      </c>
      <c r="X697" s="74">
        <f>Devis[[#This Row],[Prix de Revient]]*Devis[[#This Row],[Poste 3]]</f>
        <v>0</v>
      </c>
      <c r="Y697" s="74">
        <f>Devis[[#This Row],[Poste 4]]*Devis[[#This Row],[Prix de Revient]]</f>
        <v>0</v>
      </c>
      <c r="Z697" s="74">
        <f>Devis[[#This Row],[Poste 5]]*Devis[[#This Row],[Prix de Revient]]</f>
        <v>0</v>
      </c>
      <c r="AA697" s="74">
        <f>Devis[[#This Row],[Prix de Revient]]*Devis[[#This Row],[Poste 6]]</f>
        <v>0</v>
      </c>
      <c r="AB697" s="74">
        <f>Devis[[#This Row],[Quantité Totale]]*Devis[[#This Row],[Prix de Revient]]</f>
        <v>0</v>
      </c>
    </row>
    <row r="698" spans="1:28" ht="14.25" outlineLevel="1" x14ac:dyDescent="0.2">
      <c r="A698" s="75" t="s">
        <v>326</v>
      </c>
      <c r="B698" s="76" t="s">
        <v>4825</v>
      </c>
      <c r="C698" s="75" t="s">
        <v>3894</v>
      </c>
      <c r="D698" s="81" t="str">
        <f t="shared" si="12"/>
        <v>CuveReservoir Vertical - Air compriméAutres</v>
      </c>
      <c r="E698" s="75" t="s">
        <v>4867</v>
      </c>
      <c r="F698" s="81">
        <v>79</v>
      </c>
      <c r="G698" s="71" t="s">
        <v>4957</v>
      </c>
      <c r="H698" s="71" t="s">
        <v>4954</v>
      </c>
      <c r="I698" s="71"/>
      <c r="J698" s="70">
        <f>IFERROR(VLOOKUP(Devis[[#This Row],[Ref Air Flux]],#REF!,3,FALSE),0)</f>
        <v>0</v>
      </c>
      <c r="K698" s="68"/>
      <c r="L698" s="68"/>
      <c r="M698" s="68"/>
      <c r="N698" s="68"/>
      <c r="O698" s="68"/>
      <c r="P698" s="68"/>
      <c r="Q698" s="68">
        <f>SUM(Devis[[#This Row],[Poste 1]:[Poste 6]])</f>
        <v>0</v>
      </c>
      <c r="R698" s="71"/>
      <c r="S698" s="68">
        <f>_xlfn.CEILING.MATH(Devis[[#This Row],[Quantité Totale]],Devis[[#This Row],[Conditionnement]])</f>
        <v>0</v>
      </c>
      <c r="T698" s="72"/>
      <c r="U698" s="73"/>
      <c r="V698" s="74">
        <f>Devis[[#This Row],[Prix de Revient]]*Devis[[#This Row],[Poste 1]]</f>
        <v>0</v>
      </c>
      <c r="W698" s="74">
        <f>Devis[[#This Row],[Prix de Revient]]*Devis[[#This Row],[Poste 2]]</f>
        <v>0</v>
      </c>
      <c r="X698" s="74">
        <f>Devis[[#This Row],[Prix de Revient]]*Devis[[#This Row],[Poste 3]]</f>
        <v>0</v>
      </c>
      <c r="Y698" s="74">
        <f>Devis[[#This Row],[Poste 4]]*Devis[[#This Row],[Prix de Revient]]</f>
        <v>0</v>
      </c>
      <c r="Z698" s="74">
        <f>Devis[[#This Row],[Poste 5]]*Devis[[#This Row],[Prix de Revient]]</f>
        <v>0</v>
      </c>
      <c r="AA698" s="74">
        <f>Devis[[#This Row],[Prix de Revient]]*Devis[[#This Row],[Poste 6]]</f>
        <v>0</v>
      </c>
      <c r="AB698" s="74">
        <f>Devis[[#This Row],[Quantité Totale]]*Devis[[#This Row],[Prix de Revient]]</f>
        <v>0</v>
      </c>
    </row>
    <row r="699" spans="1:28" ht="14.25" outlineLevel="1" x14ac:dyDescent="0.2">
      <c r="A699" s="75" t="s">
        <v>326</v>
      </c>
      <c r="B699" s="76" t="s">
        <v>4825</v>
      </c>
      <c r="C699" s="75" t="s">
        <v>3894</v>
      </c>
      <c r="D699" s="81" t="str">
        <f t="shared" si="12"/>
        <v>CuveReservoir Vertical - Air compriméAutres</v>
      </c>
      <c r="E699" s="75" t="s">
        <v>4958</v>
      </c>
      <c r="F699" s="81">
        <v>80</v>
      </c>
      <c r="G699" s="71" t="s">
        <v>4959</v>
      </c>
      <c r="H699" s="71" t="s">
        <v>4759</v>
      </c>
      <c r="I699" s="71"/>
      <c r="J699" s="70">
        <f>IFERROR(VLOOKUP(Devis[[#This Row],[Ref Air Flux]],#REF!,3,FALSE),0)</f>
        <v>0</v>
      </c>
      <c r="K699" s="68"/>
      <c r="L699" s="68"/>
      <c r="M699" s="68"/>
      <c r="N699" s="68"/>
      <c r="O699" s="68"/>
      <c r="P699" s="68"/>
      <c r="Q699" s="68">
        <f>SUM(Devis[[#This Row],[Poste 1]:[Poste 6]])</f>
        <v>0</v>
      </c>
      <c r="R699" s="71"/>
      <c r="S699" s="68">
        <f>_xlfn.CEILING.MATH(Devis[[#This Row],[Quantité Totale]],Devis[[#This Row],[Conditionnement]])</f>
        <v>0</v>
      </c>
      <c r="T699" s="72"/>
      <c r="U699" s="73"/>
      <c r="V699" s="74">
        <f>Devis[[#This Row],[Prix de Revient]]*Devis[[#This Row],[Poste 1]]</f>
        <v>0</v>
      </c>
      <c r="W699" s="74">
        <f>Devis[[#This Row],[Prix de Revient]]*Devis[[#This Row],[Poste 2]]</f>
        <v>0</v>
      </c>
      <c r="X699" s="74">
        <f>Devis[[#This Row],[Prix de Revient]]*Devis[[#This Row],[Poste 3]]</f>
        <v>0</v>
      </c>
      <c r="Y699" s="74">
        <f>Devis[[#This Row],[Poste 4]]*Devis[[#This Row],[Prix de Revient]]</f>
        <v>0</v>
      </c>
      <c r="Z699" s="74">
        <f>Devis[[#This Row],[Poste 5]]*Devis[[#This Row],[Prix de Revient]]</f>
        <v>0</v>
      </c>
      <c r="AA699" s="74">
        <f>Devis[[#This Row],[Prix de Revient]]*Devis[[#This Row],[Poste 6]]</f>
        <v>0</v>
      </c>
      <c r="AB699" s="74">
        <f>Devis[[#This Row],[Quantité Totale]]*Devis[[#This Row],[Prix de Revient]]</f>
        <v>0</v>
      </c>
    </row>
    <row r="700" spans="1:28" ht="14.25" outlineLevel="1" x14ac:dyDescent="0.2">
      <c r="A700" s="75" t="s">
        <v>326</v>
      </c>
      <c r="B700" s="76" t="s">
        <v>4825</v>
      </c>
      <c r="C700" s="75" t="s">
        <v>3894</v>
      </c>
      <c r="D700" s="81" t="str">
        <f t="shared" si="12"/>
        <v>CuveReservoir Vertical - Air compriméAutres</v>
      </c>
      <c r="E700" s="75" t="s">
        <v>4960</v>
      </c>
      <c r="F700" s="81">
        <v>81</v>
      </c>
      <c r="G700" s="71" t="s">
        <v>4961</v>
      </c>
      <c r="H700" s="71" t="s">
        <v>4759</v>
      </c>
      <c r="I700" s="71"/>
      <c r="J700" s="70">
        <f>IFERROR(VLOOKUP(Devis[[#This Row],[Ref Air Flux]],#REF!,3,FALSE),0)</f>
        <v>0</v>
      </c>
      <c r="K700" s="68"/>
      <c r="L700" s="68"/>
      <c r="M700" s="68"/>
      <c r="N700" s="68"/>
      <c r="O700" s="68"/>
      <c r="P700" s="68"/>
      <c r="Q700" s="68">
        <f>SUM(Devis[[#This Row],[Poste 1]:[Poste 6]])</f>
        <v>0</v>
      </c>
      <c r="R700" s="71"/>
      <c r="S700" s="68">
        <f>_xlfn.CEILING.MATH(Devis[[#This Row],[Quantité Totale]],Devis[[#This Row],[Conditionnement]])</f>
        <v>0</v>
      </c>
      <c r="T700" s="72"/>
      <c r="U700" s="73"/>
      <c r="V700" s="74">
        <f>Devis[[#This Row],[Prix de Revient]]*Devis[[#This Row],[Poste 1]]</f>
        <v>0</v>
      </c>
      <c r="W700" s="74">
        <f>Devis[[#This Row],[Prix de Revient]]*Devis[[#This Row],[Poste 2]]</f>
        <v>0</v>
      </c>
      <c r="X700" s="74">
        <f>Devis[[#This Row],[Prix de Revient]]*Devis[[#This Row],[Poste 3]]</f>
        <v>0</v>
      </c>
      <c r="Y700" s="74">
        <f>Devis[[#This Row],[Poste 4]]*Devis[[#This Row],[Prix de Revient]]</f>
        <v>0</v>
      </c>
      <c r="Z700" s="74">
        <f>Devis[[#This Row],[Poste 5]]*Devis[[#This Row],[Prix de Revient]]</f>
        <v>0</v>
      </c>
      <c r="AA700" s="74">
        <f>Devis[[#This Row],[Prix de Revient]]*Devis[[#This Row],[Poste 6]]</f>
        <v>0</v>
      </c>
      <c r="AB700" s="74">
        <f>Devis[[#This Row],[Quantité Totale]]*Devis[[#This Row],[Prix de Revient]]</f>
        <v>0</v>
      </c>
    </row>
    <row r="701" spans="1:28" ht="14.25" outlineLevel="1" x14ac:dyDescent="0.2">
      <c r="A701" s="75" t="s">
        <v>326</v>
      </c>
      <c r="B701" s="76" t="s">
        <v>4825</v>
      </c>
      <c r="C701" s="75" t="s">
        <v>3894</v>
      </c>
      <c r="D701" s="81" t="str">
        <f t="shared" si="12"/>
        <v>CuveReservoir Vertical - Air compriméAutres</v>
      </c>
      <c r="E701" s="75" t="s">
        <v>4833</v>
      </c>
      <c r="F701" s="81">
        <v>82</v>
      </c>
      <c r="G701" s="71" t="s">
        <v>4962</v>
      </c>
      <c r="H701" s="71" t="s">
        <v>4963</v>
      </c>
      <c r="I701" s="71"/>
      <c r="J701" s="70">
        <f>IFERROR(VLOOKUP(Devis[[#This Row],[Ref Air Flux]],#REF!,3,FALSE),0)</f>
        <v>0</v>
      </c>
      <c r="K701" s="68"/>
      <c r="L701" s="68"/>
      <c r="M701" s="68"/>
      <c r="N701" s="68"/>
      <c r="O701" s="68"/>
      <c r="P701" s="68"/>
      <c r="Q701" s="68">
        <f>SUM(Devis[[#This Row],[Poste 1]:[Poste 6]])</f>
        <v>0</v>
      </c>
      <c r="R701" s="71"/>
      <c r="S701" s="68">
        <f>_xlfn.CEILING.MATH(Devis[[#This Row],[Quantité Totale]],Devis[[#This Row],[Conditionnement]])</f>
        <v>0</v>
      </c>
      <c r="T701" s="72"/>
      <c r="U701" s="73"/>
      <c r="V701" s="74">
        <f>Devis[[#This Row],[Prix de Revient]]*Devis[[#This Row],[Poste 1]]</f>
        <v>0</v>
      </c>
      <c r="W701" s="74">
        <f>Devis[[#This Row],[Prix de Revient]]*Devis[[#This Row],[Poste 2]]</f>
        <v>0</v>
      </c>
      <c r="X701" s="74">
        <f>Devis[[#This Row],[Prix de Revient]]*Devis[[#This Row],[Poste 3]]</f>
        <v>0</v>
      </c>
      <c r="Y701" s="74">
        <f>Devis[[#This Row],[Poste 4]]*Devis[[#This Row],[Prix de Revient]]</f>
        <v>0</v>
      </c>
      <c r="Z701" s="74">
        <f>Devis[[#This Row],[Poste 5]]*Devis[[#This Row],[Prix de Revient]]</f>
        <v>0</v>
      </c>
      <c r="AA701" s="74">
        <f>Devis[[#This Row],[Prix de Revient]]*Devis[[#This Row],[Poste 6]]</f>
        <v>0</v>
      </c>
      <c r="AB701" s="74">
        <f>Devis[[#This Row],[Quantité Totale]]*Devis[[#This Row],[Prix de Revient]]</f>
        <v>0</v>
      </c>
    </row>
    <row r="702" spans="1:28" ht="14.25" outlineLevel="1" x14ac:dyDescent="0.2">
      <c r="A702" s="75" t="s">
        <v>326</v>
      </c>
      <c r="B702" s="76" t="s">
        <v>4825</v>
      </c>
      <c r="C702" s="75" t="s">
        <v>3894</v>
      </c>
      <c r="D702" s="81" t="str">
        <f t="shared" si="12"/>
        <v>CuveReservoir Vertical - Air compriméAutres</v>
      </c>
      <c r="E702" s="75" t="s">
        <v>4964</v>
      </c>
      <c r="F702" s="81">
        <v>83</v>
      </c>
      <c r="G702" s="71" t="s">
        <v>4965</v>
      </c>
      <c r="H702" s="71" t="s">
        <v>4954</v>
      </c>
      <c r="I702" s="71"/>
      <c r="J702" s="70">
        <f>IFERROR(VLOOKUP(Devis[[#This Row],[Ref Air Flux]],#REF!,3,FALSE),0)</f>
        <v>0</v>
      </c>
      <c r="K702" s="68"/>
      <c r="L702" s="68"/>
      <c r="M702" s="68"/>
      <c r="N702" s="68"/>
      <c r="O702" s="68"/>
      <c r="P702" s="68"/>
      <c r="Q702" s="68">
        <f>SUM(Devis[[#This Row],[Poste 1]:[Poste 6]])</f>
        <v>0</v>
      </c>
      <c r="R702" s="71"/>
      <c r="S702" s="68">
        <f>_xlfn.CEILING.MATH(Devis[[#This Row],[Quantité Totale]],Devis[[#This Row],[Conditionnement]])</f>
        <v>0</v>
      </c>
      <c r="T702" s="72"/>
      <c r="U702" s="73"/>
      <c r="V702" s="74">
        <f>Devis[[#This Row],[Prix de Revient]]*Devis[[#This Row],[Poste 1]]</f>
        <v>0</v>
      </c>
      <c r="W702" s="74">
        <f>Devis[[#This Row],[Prix de Revient]]*Devis[[#This Row],[Poste 2]]</f>
        <v>0</v>
      </c>
      <c r="X702" s="74">
        <f>Devis[[#This Row],[Prix de Revient]]*Devis[[#This Row],[Poste 3]]</f>
        <v>0</v>
      </c>
      <c r="Y702" s="74">
        <f>Devis[[#This Row],[Poste 4]]*Devis[[#This Row],[Prix de Revient]]</f>
        <v>0</v>
      </c>
      <c r="Z702" s="74">
        <f>Devis[[#This Row],[Poste 5]]*Devis[[#This Row],[Prix de Revient]]</f>
        <v>0</v>
      </c>
      <c r="AA702" s="74">
        <f>Devis[[#This Row],[Prix de Revient]]*Devis[[#This Row],[Poste 6]]</f>
        <v>0</v>
      </c>
      <c r="AB702" s="74">
        <f>Devis[[#This Row],[Quantité Totale]]*Devis[[#This Row],[Prix de Revient]]</f>
        <v>0</v>
      </c>
    </row>
    <row r="703" spans="1:28" ht="14.25" outlineLevel="1" x14ac:dyDescent="0.2">
      <c r="A703" s="75" t="s">
        <v>326</v>
      </c>
      <c r="B703" s="76" t="s">
        <v>4825</v>
      </c>
      <c r="C703" s="75" t="s">
        <v>3894</v>
      </c>
      <c r="D703" s="81" t="str">
        <f t="shared" si="12"/>
        <v>CuveReservoir Vertical - Air compriméAutres</v>
      </c>
      <c r="E703" s="75" t="s">
        <v>4966</v>
      </c>
      <c r="F703" s="81">
        <v>84</v>
      </c>
      <c r="G703" s="71" t="s">
        <v>4967</v>
      </c>
      <c r="H703" s="71" t="s">
        <v>2953</v>
      </c>
      <c r="I703" s="71"/>
      <c r="J703" s="70">
        <f>IFERROR(VLOOKUP(Devis[[#This Row],[Ref Air Flux]],#REF!,3,FALSE),0)</f>
        <v>0</v>
      </c>
      <c r="K703" s="68"/>
      <c r="L703" s="68"/>
      <c r="M703" s="68"/>
      <c r="N703" s="68"/>
      <c r="O703" s="68"/>
      <c r="P703" s="68"/>
      <c r="Q703" s="68">
        <f>SUM(Devis[[#This Row],[Poste 1]:[Poste 6]])</f>
        <v>0</v>
      </c>
      <c r="R703" s="71"/>
      <c r="S703" s="68">
        <f>_xlfn.CEILING.MATH(Devis[[#This Row],[Quantité Totale]],Devis[[#This Row],[Conditionnement]])</f>
        <v>0</v>
      </c>
      <c r="T703" s="72"/>
      <c r="U703" s="73"/>
      <c r="V703" s="74">
        <f>Devis[[#This Row],[Prix de Revient]]*Devis[[#This Row],[Poste 1]]</f>
        <v>0</v>
      </c>
      <c r="W703" s="74">
        <f>Devis[[#This Row],[Prix de Revient]]*Devis[[#This Row],[Poste 2]]</f>
        <v>0</v>
      </c>
      <c r="X703" s="74">
        <f>Devis[[#This Row],[Prix de Revient]]*Devis[[#This Row],[Poste 3]]</f>
        <v>0</v>
      </c>
      <c r="Y703" s="74">
        <f>Devis[[#This Row],[Poste 4]]*Devis[[#This Row],[Prix de Revient]]</f>
        <v>0</v>
      </c>
      <c r="Z703" s="74">
        <f>Devis[[#This Row],[Poste 5]]*Devis[[#This Row],[Prix de Revient]]</f>
        <v>0</v>
      </c>
      <c r="AA703" s="74">
        <f>Devis[[#This Row],[Prix de Revient]]*Devis[[#This Row],[Poste 6]]</f>
        <v>0</v>
      </c>
      <c r="AB703" s="74">
        <f>Devis[[#This Row],[Quantité Totale]]*Devis[[#This Row],[Prix de Revient]]</f>
        <v>0</v>
      </c>
    </row>
    <row r="704" spans="1:28" ht="15" customHeight="1" outlineLevel="1" x14ac:dyDescent="0.2">
      <c r="A704" s="75" t="s">
        <v>326</v>
      </c>
      <c r="B704" s="76" t="s">
        <v>4825</v>
      </c>
      <c r="C704" s="75" t="s">
        <v>3894</v>
      </c>
      <c r="D704" s="81" t="str">
        <f t="shared" si="12"/>
        <v>CuveReservoir Vertical - Air compriméAutres</v>
      </c>
      <c r="E704" s="75" t="s">
        <v>4960</v>
      </c>
      <c r="F704" s="81">
        <v>85</v>
      </c>
      <c r="G704" s="71" t="s">
        <v>4968</v>
      </c>
      <c r="H704" s="71" t="s">
        <v>2953</v>
      </c>
      <c r="I704" s="71"/>
      <c r="J704" s="70">
        <f>IFERROR(VLOOKUP(Devis[[#This Row],[Ref Air Flux]],#REF!,3,FALSE),0)</f>
        <v>0</v>
      </c>
      <c r="K704" s="68"/>
      <c r="L704" s="68"/>
      <c r="M704" s="68"/>
      <c r="N704" s="68"/>
      <c r="O704" s="68"/>
      <c r="P704" s="68"/>
      <c r="Q704" s="68">
        <f>SUM(Devis[[#This Row],[Poste 1]:[Poste 6]])</f>
        <v>0</v>
      </c>
      <c r="R704" s="71"/>
      <c r="S704" s="68">
        <f>_xlfn.CEILING.MATH(Devis[[#This Row],[Quantité Totale]],Devis[[#This Row],[Conditionnement]])</f>
        <v>0</v>
      </c>
      <c r="T704" s="72"/>
      <c r="U704" s="73"/>
      <c r="V704" s="74">
        <f>Devis[[#This Row],[Prix de Revient]]*Devis[[#This Row],[Poste 1]]</f>
        <v>0</v>
      </c>
      <c r="W704" s="74">
        <f>Devis[[#This Row],[Prix de Revient]]*Devis[[#This Row],[Poste 2]]</f>
        <v>0</v>
      </c>
      <c r="X704" s="74">
        <f>Devis[[#This Row],[Prix de Revient]]*Devis[[#This Row],[Poste 3]]</f>
        <v>0</v>
      </c>
      <c r="Y704" s="74">
        <f>Devis[[#This Row],[Poste 4]]*Devis[[#This Row],[Prix de Revient]]</f>
        <v>0</v>
      </c>
      <c r="Z704" s="74">
        <f>Devis[[#This Row],[Poste 5]]*Devis[[#This Row],[Prix de Revient]]</f>
        <v>0</v>
      </c>
      <c r="AA704" s="74">
        <f>Devis[[#This Row],[Prix de Revient]]*Devis[[#This Row],[Poste 6]]</f>
        <v>0</v>
      </c>
      <c r="AB704" s="74">
        <f>Devis[[#This Row],[Quantité Totale]]*Devis[[#This Row],[Prix de Revient]]</f>
        <v>0</v>
      </c>
    </row>
    <row r="705" spans="1:28" ht="14.25" customHeight="1" outlineLevel="1" x14ac:dyDescent="0.2">
      <c r="A705" s="75" t="s">
        <v>326</v>
      </c>
      <c r="B705" s="76" t="s">
        <v>4825</v>
      </c>
      <c r="C705" s="75" t="s">
        <v>3894</v>
      </c>
      <c r="D705" s="81" t="str">
        <f t="shared" si="12"/>
        <v>CuveReservoir Vertical - Air compriméAutres</v>
      </c>
      <c r="E705" s="75" t="s">
        <v>4969</v>
      </c>
      <c r="F705" s="81">
        <v>86</v>
      </c>
      <c r="G705" s="71" t="s">
        <v>4970</v>
      </c>
      <c r="H705" s="71" t="s">
        <v>2953</v>
      </c>
      <c r="I705" s="71"/>
      <c r="J705" s="70">
        <f>IFERROR(VLOOKUP(Devis[[#This Row],[Ref Air Flux]],#REF!,3,FALSE),0)</f>
        <v>0</v>
      </c>
      <c r="K705" s="68"/>
      <c r="L705" s="68"/>
      <c r="M705" s="68"/>
      <c r="N705" s="68"/>
      <c r="O705" s="68"/>
      <c r="P705" s="68"/>
      <c r="Q705" s="68">
        <f>SUM(Devis[[#This Row],[Poste 1]:[Poste 6]])</f>
        <v>0</v>
      </c>
      <c r="R705" s="71"/>
      <c r="S705" s="68">
        <f>_xlfn.CEILING.MATH(Devis[[#This Row],[Quantité Totale]],Devis[[#This Row],[Conditionnement]])</f>
        <v>0</v>
      </c>
      <c r="T705" s="72"/>
      <c r="U705" s="73"/>
      <c r="V705" s="74">
        <f>Devis[[#This Row],[Prix de Revient]]*Devis[[#This Row],[Poste 1]]</f>
        <v>0</v>
      </c>
      <c r="W705" s="74">
        <f>Devis[[#This Row],[Prix de Revient]]*Devis[[#This Row],[Poste 2]]</f>
        <v>0</v>
      </c>
      <c r="X705" s="74">
        <f>Devis[[#This Row],[Prix de Revient]]*Devis[[#This Row],[Poste 3]]</f>
        <v>0</v>
      </c>
      <c r="Y705" s="74">
        <f>Devis[[#This Row],[Poste 4]]*Devis[[#This Row],[Prix de Revient]]</f>
        <v>0</v>
      </c>
      <c r="Z705" s="74">
        <f>Devis[[#This Row],[Poste 5]]*Devis[[#This Row],[Prix de Revient]]</f>
        <v>0</v>
      </c>
      <c r="AA705" s="74">
        <f>Devis[[#This Row],[Prix de Revient]]*Devis[[#This Row],[Poste 6]]</f>
        <v>0</v>
      </c>
      <c r="AB705" s="74">
        <f>Devis[[#This Row],[Quantité Totale]]*Devis[[#This Row],[Prix de Revient]]</f>
        <v>0</v>
      </c>
    </row>
    <row r="706" spans="1:28" ht="14.25" outlineLevel="1" x14ac:dyDescent="0.2">
      <c r="A706" s="75" t="s">
        <v>326</v>
      </c>
      <c r="B706" s="76" t="s">
        <v>4825</v>
      </c>
      <c r="C706" s="75" t="s">
        <v>3894</v>
      </c>
      <c r="D706" s="81" t="str">
        <f t="shared" si="12"/>
        <v>CuveReservoir Vertical - Air compriméAutres</v>
      </c>
      <c r="E706" s="75" t="s">
        <v>4971</v>
      </c>
      <c r="F706" s="81">
        <v>87</v>
      </c>
      <c r="G706" s="71" t="s">
        <v>4972</v>
      </c>
      <c r="H706" s="71" t="s">
        <v>4963</v>
      </c>
      <c r="I706" s="71"/>
      <c r="J706" s="70">
        <f>IFERROR(VLOOKUP(Devis[[#This Row],[Ref Air Flux]],#REF!,3,FALSE),0)</f>
        <v>0</v>
      </c>
      <c r="K706" s="68"/>
      <c r="L706" s="68"/>
      <c r="M706" s="68"/>
      <c r="N706" s="68"/>
      <c r="O706" s="68"/>
      <c r="P706" s="68"/>
      <c r="Q706" s="68">
        <f>SUM(Devis[[#This Row],[Poste 1]:[Poste 6]])</f>
        <v>0</v>
      </c>
      <c r="R706" s="71"/>
      <c r="S706" s="68">
        <f>_xlfn.CEILING.MATH(Devis[[#This Row],[Quantité Totale]],Devis[[#This Row],[Conditionnement]])</f>
        <v>0</v>
      </c>
      <c r="T706" s="72"/>
      <c r="U706" s="73"/>
      <c r="V706" s="74">
        <f>Devis[[#This Row],[Prix de Revient]]*Devis[[#This Row],[Poste 1]]</f>
        <v>0</v>
      </c>
      <c r="W706" s="74">
        <f>Devis[[#This Row],[Prix de Revient]]*Devis[[#This Row],[Poste 2]]</f>
        <v>0</v>
      </c>
      <c r="X706" s="74">
        <f>Devis[[#This Row],[Prix de Revient]]*Devis[[#This Row],[Poste 3]]</f>
        <v>0</v>
      </c>
      <c r="Y706" s="74">
        <f>Devis[[#This Row],[Poste 4]]*Devis[[#This Row],[Prix de Revient]]</f>
        <v>0</v>
      </c>
      <c r="Z706" s="74">
        <f>Devis[[#This Row],[Poste 5]]*Devis[[#This Row],[Prix de Revient]]</f>
        <v>0</v>
      </c>
      <c r="AA706" s="74">
        <f>Devis[[#This Row],[Prix de Revient]]*Devis[[#This Row],[Poste 6]]</f>
        <v>0</v>
      </c>
      <c r="AB706" s="74">
        <f>Devis[[#This Row],[Quantité Totale]]*Devis[[#This Row],[Prix de Revient]]</f>
        <v>0</v>
      </c>
    </row>
    <row r="707" spans="1:28" ht="14.25" outlineLevel="1" x14ac:dyDescent="0.2">
      <c r="A707" s="75" t="s">
        <v>326</v>
      </c>
      <c r="B707" s="76" t="s">
        <v>4825</v>
      </c>
      <c r="C707" s="75" t="s">
        <v>3894</v>
      </c>
      <c r="D707" s="81" t="str">
        <f t="shared" si="12"/>
        <v>CuveReservoir Vertical - Air compriméAutres</v>
      </c>
      <c r="E707" s="75" t="s">
        <v>4971</v>
      </c>
      <c r="F707" s="81">
        <v>88</v>
      </c>
      <c r="G707" s="71" t="s">
        <v>4973</v>
      </c>
      <c r="H707" s="71" t="s">
        <v>4974</v>
      </c>
      <c r="I707" s="71"/>
      <c r="J707" s="70">
        <f>IFERROR(VLOOKUP(Devis[[#This Row],[Ref Air Flux]],#REF!,3,FALSE),0)</f>
        <v>0</v>
      </c>
      <c r="K707" s="68"/>
      <c r="L707" s="68"/>
      <c r="M707" s="68"/>
      <c r="N707" s="68"/>
      <c r="O707" s="68"/>
      <c r="P707" s="68"/>
      <c r="Q707" s="68">
        <f>SUM(Devis[[#This Row],[Poste 1]:[Poste 6]])</f>
        <v>0</v>
      </c>
      <c r="R707" s="71"/>
      <c r="S707" s="68">
        <f>_xlfn.CEILING.MATH(Devis[[#This Row],[Quantité Totale]],Devis[[#This Row],[Conditionnement]])</f>
        <v>0</v>
      </c>
      <c r="T707" s="72"/>
      <c r="U707" s="73"/>
      <c r="V707" s="74">
        <f>Devis[[#This Row],[Prix de Revient]]*Devis[[#This Row],[Poste 1]]</f>
        <v>0</v>
      </c>
      <c r="W707" s="74">
        <f>Devis[[#This Row],[Prix de Revient]]*Devis[[#This Row],[Poste 2]]</f>
        <v>0</v>
      </c>
      <c r="X707" s="74">
        <f>Devis[[#This Row],[Prix de Revient]]*Devis[[#This Row],[Poste 3]]</f>
        <v>0</v>
      </c>
      <c r="Y707" s="74">
        <f>Devis[[#This Row],[Poste 4]]*Devis[[#This Row],[Prix de Revient]]</f>
        <v>0</v>
      </c>
      <c r="Z707" s="74">
        <f>Devis[[#This Row],[Poste 5]]*Devis[[#This Row],[Prix de Revient]]</f>
        <v>0</v>
      </c>
      <c r="AA707" s="74">
        <f>Devis[[#This Row],[Prix de Revient]]*Devis[[#This Row],[Poste 6]]</f>
        <v>0</v>
      </c>
      <c r="AB707" s="74">
        <f>Devis[[#This Row],[Quantité Totale]]*Devis[[#This Row],[Prix de Revient]]</f>
        <v>0</v>
      </c>
    </row>
    <row r="708" spans="1:28" ht="14.25" outlineLevel="1" x14ac:dyDescent="0.2">
      <c r="A708" s="75" t="s">
        <v>326</v>
      </c>
      <c r="B708" s="76" t="s">
        <v>4825</v>
      </c>
      <c r="C708" s="75" t="s">
        <v>3894</v>
      </c>
      <c r="D708" s="81" t="str">
        <f t="shared" si="12"/>
        <v>CuveReservoir Vertical - Air compriméAutres</v>
      </c>
      <c r="E708" s="75" t="s">
        <v>4839</v>
      </c>
      <c r="F708" s="81">
        <v>89</v>
      </c>
      <c r="G708" s="71" t="s">
        <v>4975</v>
      </c>
      <c r="H708" s="71" t="s">
        <v>4954</v>
      </c>
      <c r="I708" s="71"/>
      <c r="J708" s="70">
        <f>IFERROR(VLOOKUP(Devis[[#This Row],[Ref Air Flux]],#REF!,3,FALSE),0)</f>
        <v>0</v>
      </c>
      <c r="K708" s="68"/>
      <c r="L708" s="68"/>
      <c r="M708" s="68"/>
      <c r="N708" s="68"/>
      <c r="O708" s="68"/>
      <c r="P708" s="68"/>
      <c r="Q708" s="68">
        <f>SUM(Devis[[#This Row],[Poste 1]:[Poste 6]])</f>
        <v>0</v>
      </c>
      <c r="R708" s="71"/>
      <c r="S708" s="68">
        <f>_xlfn.CEILING.MATH(Devis[[#This Row],[Quantité Totale]],Devis[[#This Row],[Conditionnement]])</f>
        <v>0</v>
      </c>
      <c r="T708" s="72"/>
      <c r="U708" s="73"/>
      <c r="V708" s="74">
        <f>Devis[[#This Row],[Prix de Revient]]*Devis[[#This Row],[Poste 1]]</f>
        <v>0</v>
      </c>
      <c r="W708" s="74">
        <f>Devis[[#This Row],[Prix de Revient]]*Devis[[#This Row],[Poste 2]]</f>
        <v>0</v>
      </c>
      <c r="X708" s="74">
        <f>Devis[[#This Row],[Prix de Revient]]*Devis[[#This Row],[Poste 3]]</f>
        <v>0</v>
      </c>
      <c r="Y708" s="74">
        <f>Devis[[#This Row],[Poste 4]]*Devis[[#This Row],[Prix de Revient]]</f>
        <v>0</v>
      </c>
      <c r="Z708" s="74">
        <f>Devis[[#This Row],[Poste 5]]*Devis[[#This Row],[Prix de Revient]]</f>
        <v>0</v>
      </c>
      <c r="AA708" s="74">
        <f>Devis[[#This Row],[Prix de Revient]]*Devis[[#This Row],[Poste 6]]</f>
        <v>0</v>
      </c>
      <c r="AB708" s="74">
        <f>Devis[[#This Row],[Quantité Totale]]*Devis[[#This Row],[Prix de Revient]]</f>
        <v>0</v>
      </c>
    </row>
    <row r="709" spans="1:28" ht="14.25" outlineLevel="1" x14ac:dyDescent="0.2">
      <c r="A709" s="75" t="s">
        <v>326</v>
      </c>
      <c r="B709" s="76" t="s">
        <v>4825</v>
      </c>
      <c r="C709" s="75" t="s">
        <v>3894</v>
      </c>
      <c r="D709" s="81" t="str">
        <f t="shared" si="12"/>
        <v>CuveReservoir Vertical - Air compriméAutres</v>
      </c>
      <c r="E709" s="75" t="s">
        <v>4976</v>
      </c>
      <c r="F709" s="81">
        <v>90</v>
      </c>
      <c r="G709" s="71" t="s">
        <v>4977</v>
      </c>
      <c r="H709" s="71" t="s">
        <v>4954</v>
      </c>
      <c r="I709" s="71"/>
      <c r="J709" s="70">
        <f>IFERROR(VLOOKUP(Devis[[#This Row],[Ref Air Flux]],#REF!,3,FALSE),0)</f>
        <v>0</v>
      </c>
      <c r="K709" s="68"/>
      <c r="L709" s="68"/>
      <c r="M709" s="68"/>
      <c r="N709" s="68"/>
      <c r="O709" s="68"/>
      <c r="P709" s="68"/>
      <c r="Q709" s="68">
        <f>SUM(Devis[[#This Row],[Poste 1]:[Poste 6]])</f>
        <v>0</v>
      </c>
      <c r="R709" s="71"/>
      <c r="S709" s="68">
        <f>_xlfn.CEILING.MATH(Devis[[#This Row],[Quantité Totale]],Devis[[#This Row],[Conditionnement]])</f>
        <v>0</v>
      </c>
      <c r="T709" s="72"/>
      <c r="U709" s="73"/>
      <c r="V709" s="74">
        <f>Devis[[#This Row],[Prix de Revient]]*Devis[[#This Row],[Poste 1]]</f>
        <v>0</v>
      </c>
      <c r="W709" s="74">
        <f>Devis[[#This Row],[Prix de Revient]]*Devis[[#This Row],[Poste 2]]</f>
        <v>0</v>
      </c>
      <c r="X709" s="74">
        <f>Devis[[#This Row],[Prix de Revient]]*Devis[[#This Row],[Poste 3]]</f>
        <v>0</v>
      </c>
      <c r="Y709" s="74">
        <f>Devis[[#This Row],[Poste 4]]*Devis[[#This Row],[Prix de Revient]]</f>
        <v>0</v>
      </c>
      <c r="Z709" s="74">
        <f>Devis[[#This Row],[Poste 5]]*Devis[[#This Row],[Prix de Revient]]</f>
        <v>0</v>
      </c>
      <c r="AA709" s="74">
        <f>Devis[[#This Row],[Prix de Revient]]*Devis[[#This Row],[Poste 6]]</f>
        <v>0</v>
      </c>
      <c r="AB709" s="74">
        <f>Devis[[#This Row],[Quantité Totale]]*Devis[[#This Row],[Prix de Revient]]</f>
        <v>0</v>
      </c>
    </row>
    <row r="710" spans="1:28" ht="14.25" outlineLevel="1" x14ac:dyDescent="0.2">
      <c r="A710" s="75" t="s">
        <v>326</v>
      </c>
      <c r="B710" s="76" t="s">
        <v>4825</v>
      </c>
      <c r="C710" s="75" t="s">
        <v>3894</v>
      </c>
      <c r="D710" s="81" t="str">
        <f t="shared" si="12"/>
        <v>CuveReservoir Vertical - Air compriméAutres</v>
      </c>
      <c r="E710" s="75" t="s">
        <v>4877</v>
      </c>
      <c r="F710" s="81">
        <v>91</v>
      </c>
      <c r="G710" s="71" t="s">
        <v>4978</v>
      </c>
      <c r="H710" s="71" t="s">
        <v>4954</v>
      </c>
      <c r="I710" s="71"/>
      <c r="J710" s="70">
        <f>IFERROR(VLOOKUP(Devis[[#This Row],[Ref Air Flux]],#REF!,3,FALSE),0)</f>
        <v>0</v>
      </c>
      <c r="K710" s="68"/>
      <c r="L710" s="68"/>
      <c r="M710" s="68"/>
      <c r="N710" s="68"/>
      <c r="O710" s="68"/>
      <c r="P710" s="68"/>
      <c r="Q710" s="68">
        <f>SUM(Devis[[#This Row],[Poste 1]:[Poste 6]])</f>
        <v>0</v>
      </c>
      <c r="R710" s="71"/>
      <c r="S710" s="68">
        <f>_xlfn.CEILING.MATH(Devis[[#This Row],[Quantité Totale]],Devis[[#This Row],[Conditionnement]])</f>
        <v>0</v>
      </c>
      <c r="T710" s="72"/>
      <c r="U710" s="73"/>
      <c r="V710" s="74">
        <f>Devis[[#This Row],[Prix de Revient]]*Devis[[#This Row],[Poste 1]]</f>
        <v>0</v>
      </c>
      <c r="W710" s="74">
        <f>Devis[[#This Row],[Prix de Revient]]*Devis[[#This Row],[Poste 2]]</f>
        <v>0</v>
      </c>
      <c r="X710" s="74">
        <f>Devis[[#This Row],[Prix de Revient]]*Devis[[#This Row],[Poste 3]]</f>
        <v>0</v>
      </c>
      <c r="Y710" s="74">
        <f>Devis[[#This Row],[Poste 4]]*Devis[[#This Row],[Prix de Revient]]</f>
        <v>0</v>
      </c>
      <c r="Z710" s="74">
        <f>Devis[[#This Row],[Poste 5]]*Devis[[#This Row],[Prix de Revient]]</f>
        <v>0</v>
      </c>
      <c r="AA710" s="74">
        <f>Devis[[#This Row],[Prix de Revient]]*Devis[[#This Row],[Poste 6]]</f>
        <v>0</v>
      </c>
      <c r="AB710" s="74">
        <f>Devis[[#This Row],[Quantité Totale]]*Devis[[#This Row],[Prix de Revient]]</f>
        <v>0</v>
      </c>
    </row>
    <row r="711" spans="1:28" ht="14.25" outlineLevel="1" x14ac:dyDescent="0.2">
      <c r="A711" s="75" t="s">
        <v>326</v>
      </c>
      <c r="B711" s="76" t="s">
        <v>4825</v>
      </c>
      <c r="C711" s="75" t="s">
        <v>3894</v>
      </c>
      <c r="D711" s="81" t="str">
        <f t="shared" si="12"/>
        <v>CuveReservoir Vertical - Air compriméAutres</v>
      </c>
      <c r="E711" s="75" t="s">
        <v>4971</v>
      </c>
      <c r="F711" s="81">
        <v>92</v>
      </c>
      <c r="G711" s="71" t="s">
        <v>4979</v>
      </c>
      <c r="H711" s="71" t="s">
        <v>4954</v>
      </c>
      <c r="I711" s="71"/>
      <c r="J711" s="70">
        <f>IFERROR(VLOOKUP(Devis[[#This Row],[Ref Air Flux]],#REF!,3,FALSE),0)</f>
        <v>0</v>
      </c>
      <c r="K711" s="68"/>
      <c r="L711" s="68"/>
      <c r="M711" s="68"/>
      <c r="N711" s="68"/>
      <c r="O711" s="68"/>
      <c r="P711" s="68"/>
      <c r="Q711" s="68">
        <f>SUM(Devis[[#This Row],[Poste 1]:[Poste 6]])</f>
        <v>0</v>
      </c>
      <c r="R711" s="71"/>
      <c r="S711" s="68">
        <f>_xlfn.CEILING.MATH(Devis[[#This Row],[Quantité Totale]],Devis[[#This Row],[Conditionnement]])</f>
        <v>0</v>
      </c>
      <c r="T711" s="72"/>
      <c r="U711" s="73"/>
      <c r="V711" s="74">
        <f>Devis[[#This Row],[Prix de Revient]]*Devis[[#This Row],[Poste 1]]</f>
        <v>0</v>
      </c>
      <c r="W711" s="74">
        <f>Devis[[#This Row],[Prix de Revient]]*Devis[[#This Row],[Poste 2]]</f>
        <v>0</v>
      </c>
      <c r="X711" s="74">
        <f>Devis[[#This Row],[Prix de Revient]]*Devis[[#This Row],[Poste 3]]</f>
        <v>0</v>
      </c>
      <c r="Y711" s="74">
        <f>Devis[[#This Row],[Poste 4]]*Devis[[#This Row],[Prix de Revient]]</f>
        <v>0</v>
      </c>
      <c r="Z711" s="74">
        <f>Devis[[#This Row],[Poste 5]]*Devis[[#This Row],[Prix de Revient]]</f>
        <v>0</v>
      </c>
      <c r="AA711" s="74">
        <f>Devis[[#This Row],[Prix de Revient]]*Devis[[#This Row],[Poste 6]]</f>
        <v>0</v>
      </c>
      <c r="AB711" s="74">
        <f>Devis[[#This Row],[Quantité Totale]]*Devis[[#This Row],[Prix de Revient]]</f>
        <v>0</v>
      </c>
    </row>
    <row r="712" spans="1:28" ht="14.25" customHeight="1" outlineLevel="1" x14ac:dyDescent="0.2">
      <c r="A712" s="75" t="s">
        <v>326</v>
      </c>
      <c r="B712" s="76" t="s">
        <v>4825</v>
      </c>
      <c r="C712" s="75" t="s">
        <v>3894</v>
      </c>
      <c r="D712" s="81" t="str">
        <f t="shared" si="12"/>
        <v>CuveReservoir Vertical - Air compriméAutres</v>
      </c>
      <c r="E712" s="75" t="s">
        <v>4877</v>
      </c>
      <c r="F712" s="81">
        <v>93</v>
      </c>
      <c r="G712" s="71" t="s">
        <v>4980</v>
      </c>
      <c r="H712" s="71" t="s">
        <v>4764</v>
      </c>
      <c r="I712" s="71"/>
      <c r="J712" s="70">
        <f>IFERROR(VLOOKUP(Devis[[#This Row],[Ref Air Flux]],#REF!,3,FALSE),0)</f>
        <v>0</v>
      </c>
      <c r="K712" s="68"/>
      <c r="L712" s="68"/>
      <c r="M712" s="68"/>
      <c r="N712" s="68"/>
      <c r="O712" s="68"/>
      <c r="P712" s="68"/>
      <c r="Q712" s="68">
        <f>SUM(Devis[[#This Row],[Poste 1]:[Poste 6]])</f>
        <v>0</v>
      </c>
      <c r="R712" s="71"/>
      <c r="S712" s="68">
        <f>_xlfn.CEILING.MATH(Devis[[#This Row],[Quantité Totale]],Devis[[#This Row],[Conditionnement]])</f>
        <v>0</v>
      </c>
      <c r="T712" s="72"/>
      <c r="U712" s="73"/>
      <c r="V712" s="74">
        <f>Devis[[#This Row],[Prix de Revient]]*Devis[[#This Row],[Poste 1]]</f>
        <v>0</v>
      </c>
      <c r="W712" s="74">
        <f>Devis[[#This Row],[Prix de Revient]]*Devis[[#This Row],[Poste 2]]</f>
        <v>0</v>
      </c>
      <c r="X712" s="74">
        <f>Devis[[#This Row],[Prix de Revient]]*Devis[[#This Row],[Poste 3]]</f>
        <v>0</v>
      </c>
      <c r="Y712" s="74">
        <f>Devis[[#This Row],[Poste 4]]*Devis[[#This Row],[Prix de Revient]]</f>
        <v>0</v>
      </c>
      <c r="Z712" s="74">
        <f>Devis[[#This Row],[Poste 5]]*Devis[[#This Row],[Prix de Revient]]</f>
        <v>0</v>
      </c>
      <c r="AA712" s="74">
        <f>Devis[[#This Row],[Prix de Revient]]*Devis[[#This Row],[Poste 6]]</f>
        <v>0</v>
      </c>
      <c r="AB712" s="74">
        <f>Devis[[#This Row],[Quantité Totale]]*Devis[[#This Row],[Prix de Revient]]</f>
        <v>0</v>
      </c>
    </row>
    <row r="713" spans="1:28" ht="14.25" outlineLevel="1" x14ac:dyDescent="0.2">
      <c r="A713" s="75" t="s">
        <v>326</v>
      </c>
      <c r="B713" s="76" t="s">
        <v>4825</v>
      </c>
      <c r="C713" s="75" t="s">
        <v>3894</v>
      </c>
      <c r="D713" s="81" t="str">
        <f t="shared" si="12"/>
        <v>CuveReservoir Vertical - Air compriméAutres</v>
      </c>
      <c r="E713" s="75" t="s">
        <v>4971</v>
      </c>
      <c r="F713" s="81">
        <v>94</v>
      </c>
      <c r="G713" s="71" t="s">
        <v>4981</v>
      </c>
      <c r="H713" s="71" t="s">
        <v>4764</v>
      </c>
      <c r="I713" s="71"/>
      <c r="J713" s="70">
        <f>IFERROR(VLOOKUP(Devis[[#This Row],[Ref Air Flux]],#REF!,3,FALSE),0)</f>
        <v>0</v>
      </c>
      <c r="K713" s="68"/>
      <c r="L713" s="68"/>
      <c r="M713" s="68"/>
      <c r="N713" s="68"/>
      <c r="O713" s="68"/>
      <c r="P713" s="68"/>
      <c r="Q713" s="68">
        <f>SUM(Devis[[#This Row],[Poste 1]:[Poste 6]])</f>
        <v>0</v>
      </c>
      <c r="R713" s="71"/>
      <c r="S713" s="68">
        <f>_xlfn.CEILING.MATH(Devis[[#This Row],[Quantité Totale]],Devis[[#This Row],[Conditionnement]])</f>
        <v>0</v>
      </c>
      <c r="T713" s="72"/>
      <c r="U713" s="73"/>
      <c r="V713" s="74">
        <f>Devis[[#This Row],[Prix de Revient]]*Devis[[#This Row],[Poste 1]]</f>
        <v>0</v>
      </c>
      <c r="W713" s="74">
        <f>Devis[[#This Row],[Prix de Revient]]*Devis[[#This Row],[Poste 2]]</f>
        <v>0</v>
      </c>
      <c r="X713" s="74">
        <f>Devis[[#This Row],[Prix de Revient]]*Devis[[#This Row],[Poste 3]]</f>
        <v>0</v>
      </c>
      <c r="Y713" s="74">
        <f>Devis[[#This Row],[Poste 4]]*Devis[[#This Row],[Prix de Revient]]</f>
        <v>0</v>
      </c>
      <c r="Z713" s="74">
        <f>Devis[[#This Row],[Poste 5]]*Devis[[#This Row],[Prix de Revient]]</f>
        <v>0</v>
      </c>
      <c r="AA713" s="74">
        <f>Devis[[#This Row],[Prix de Revient]]*Devis[[#This Row],[Poste 6]]</f>
        <v>0</v>
      </c>
      <c r="AB713" s="74">
        <f>Devis[[#This Row],[Quantité Totale]]*Devis[[#This Row],[Prix de Revient]]</f>
        <v>0</v>
      </c>
    </row>
    <row r="714" spans="1:28" ht="14.25" outlineLevel="1" x14ac:dyDescent="0.2">
      <c r="A714" s="75" t="s">
        <v>326</v>
      </c>
      <c r="B714" s="76" t="s">
        <v>4825</v>
      </c>
      <c r="C714" s="75" t="s">
        <v>3894</v>
      </c>
      <c r="D714" s="81" t="str">
        <f t="shared" si="12"/>
        <v>CuveReservoir Vertical - Air compriméAutres</v>
      </c>
      <c r="E714" s="75" t="s">
        <v>4982</v>
      </c>
      <c r="F714" s="81">
        <v>95</v>
      </c>
      <c r="G714" s="71" t="s">
        <v>4983</v>
      </c>
      <c r="H714" s="71" t="s">
        <v>2953</v>
      </c>
      <c r="I714" s="71"/>
      <c r="J714" s="70">
        <f>IFERROR(VLOOKUP(Devis[[#This Row],[Ref Air Flux]],#REF!,3,FALSE),0)</f>
        <v>0</v>
      </c>
      <c r="K714" s="68"/>
      <c r="L714" s="68"/>
      <c r="M714" s="68"/>
      <c r="N714" s="68"/>
      <c r="O714" s="68"/>
      <c r="P714" s="68"/>
      <c r="Q714" s="68">
        <f>SUM(Devis[[#This Row],[Poste 1]:[Poste 6]])</f>
        <v>0</v>
      </c>
      <c r="R714" s="71"/>
      <c r="S714" s="68">
        <f>_xlfn.CEILING.MATH(Devis[[#This Row],[Quantité Totale]],Devis[[#This Row],[Conditionnement]])</f>
        <v>0</v>
      </c>
      <c r="T714" s="72"/>
      <c r="U714" s="73"/>
      <c r="V714" s="74">
        <f>Devis[[#This Row],[Prix de Revient]]*Devis[[#This Row],[Poste 1]]</f>
        <v>0</v>
      </c>
      <c r="W714" s="74">
        <f>Devis[[#This Row],[Prix de Revient]]*Devis[[#This Row],[Poste 2]]</f>
        <v>0</v>
      </c>
      <c r="X714" s="74">
        <f>Devis[[#This Row],[Prix de Revient]]*Devis[[#This Row],[Poste 3]]</f>
        <v>0</v>
      </c>
      <c r="Y714" s="74">
        <f>Devis[[#This Row],[Poste 4]]*Devis[[#This Row],[Prix de Revient]]</f>
        <v>0</v>
      </c>
      <c r="Z714" s="74">
        <f>Devis[[#This Row],[Poste 5]]*Devis[[#This Row],[Prix de Revient]]</f>
        <v>0</v>
      </c>
      <c r="AA714" s="74">
        <f>Devis[[#This Row],[Prix de Revient]]*Devis[[#This Row],[Poste 6]]</f>
        <v>0</v>
      </c>
      <c r="AB714" s="74">
        <f>Devis[[#This Row],[Quantité Totale]]*Devis[[#This Row],[Prix de Revient]]</f>
        <v>0</v>
      </c>
    </row>
    <row r="715" spans="1:28" ht="14.25" outlineLevel="1" x14ac:dyDescent="0.2">
      <c r="A715" s="75" t="s">
        <v>326</v>
      </c>
      <c r="B715" s="76" t="s">
        <v>4825</v>
      </c>
      <c r="C715" s="75" t="s">
        <v>3894</v>
      </c>
      <c r="D715" s="81" t="str">
        <f t="shared" si="12"/>
        <v>CuveReservoir Vertical - Air compriméAutres</v>
      </c>
      <c r="E715" s="75" t="s">
        <v>4984</v>
      </c>
      <c r="F715" s="81">
        <v>96</v>
      </c>
      <c r="G715" s="71" t="s">
        <v>4985</v>
      </c>
      <c r="H715" s="71" t="s">
        <v>2953</v>
      </c>
      <c r="I715" s="71"/>
      <c r="J715" s="70">
        <f>IFERROR(VLOOKUP(Devis[[#This Row],[Ref Air Flux]],#REF!,3,FALSE),0)</f>
        <v>0</v>
      </c>
      <c r="K715" s="68"/>
      <c r="L715" s="68"/>
      <c r="M715" s="68"/>
      <c r="N715" s="68"/>
      <c r="O715" s="68"/>
      <c r="P715" s="68"/>
      <c r="Q715" s="68">
        <f>SUM(Devis[[#This Row],[Poste 1]:[Poste 6]])</f>
        <v>0</v>
      </c>
      <c r="R715" s="71"/>
      <c r="S715" s="68">
        <f>_xlfn.CEILING.MATH(Devis[[#This Row],[Quantité Totale]],Devis[[#This Row],[Conditionnement]])</f>
        <v>0</v>
      </c>
      <c r="T715" s="72"/>
      <c r="U715" s="73"/>
      <c r="V715" s="74">
        <f>Devis[[#This Row],[Prix de Revient]]*Devis[[#This Row],[Poste 1]]</f>
        <v>0</v>
      </c>
      <c r="W715" s="74">
        <f>Devis[[#This Row],[Prix de Revient]]*Devis[[#This Row],[Poste 2]]</f>
        <v>0</v>
      </c>
      <c r="X715" s="74">
        <f>Devis[[#This Row],[Prix de Revient]]*Devis[[#This Row],[Poste 3]]</f>
        <v>0</v>
      </c>
      <c r="Y715" s="74">
        <f>Devis[[#This Row],[Poste 4]]*Devis[[#This Row],[Prix de Revient]]</f>
        <v>0</v>
      </c>
      <c r="Z715" s="74">
        <f>Devis[[#This Row],[Poste 5]]*Devis[[#This Row],[Prix de Revient]]</f>
        <v>0</v>
      </c>
      <c r="AA715" s="74">
        <f>Devis[[#This Row],[Prix de Revient]]*Devis[[#This Row],[Poste 6]]</f>
        <v>0</v>
      </c>
      <c r="AB715" s="74">
        <f>Devis[[#This Row],[Quantité Totale]]*Devis[[#This Row],[Prix de Revient]]</f>
        <v>0</v>
      </c>
    </row>
    <row r="716" spans="1:28" ht="14.25" outlineLevel="1" x14ac:dyDescent="0.2">
      <c r="A716" s="75" t="s">
        <v>326</v>
      </c>
      <c r="B716" s="76" t="s">
        <v>4825</v>
      </c>
      <c r="C716" s="75" t="s">
        <v>3894</v>
      </c>
      <c r="D716" s="81" t="str">
        <f t="shared" si="12"/>
        <v>CuveReservoir Vertical - Air compriméAutres</v>
      </c>
      <c r="E716" s="75" t="s">
        <v>4883</v>
      </c>
      <c r="F716" s="81">
        <v>97</v>
      </c>
      <c r="G716" s="71" t="s">
        <v>4986</v>
      </c>
      <c r="H716" s="71" t="s">
        <v>4764</v>
      </c>
      <c r="I716" s="71"/>
      <c r="J716" s="70">
        <f>IFERROR(VLOOKUP(Devis[[#This Row],[Ref Air Flux]],#REF!,3,FALSE),0)</f>
        <v>0</v>
      </c>
      <c r="K716" s="68"/>
      <c r="L716" s="68"/>
      <c r="M716" s="68"/>
      <c r="N716" s="68"/>
      <c r="O716" s="68"/>
      <c r="P716" s="68"/>
      <c r="Q716" s="68">
        <f>SUM(Devis[[#This Row],[Poste 1]:[Poste 6]])</f>
        <v>0</v>
      </c>
      <c r="R716" s="71"/>
      <c r="S716" s="68">
        <f>_xlfn.CEILING.MATH(Devis[[#This Row],[Quantité Totale]],Devis[[#This Row],[Conditionnement]])</f>
        <v>0</v>
      </c>
      <c r="T716" s="72"/>
      <c r="U716" s="73"/>
      <c r="V716" s="74">
        <f>Devis[[#This Row],[Prix de Revient]]*Devis[[#This Row],[Poste 1]]</f>
        <v>0</v>
      </c>
      <c r="W716" s="74">
        <f>Devis[[#This Row],[Prix de Revient]]*Devis[[#This Row],[Poste 2]]</f>
        <v>0</v>
      </c>
      <c r="X716" s="74">
        <f>Devis[[#This Row],[Prix de Revient]]*Devis[[#This Row],[Poste 3]]</f>
        <v>0</v>
      </c>
      <c r="Y716" s="74">
        <f>Devis[[#This Row],[Poste 4]]*Devis[[#This Row],[Prix de Revient]]</f>
        <v>0</v>
      </c>
      <c r="Z716" s="74">
        <f>Devis[[#This Row],[Poste 5]]*Devis[[#This Row],[Prix de Revient]]</f>
        <v>0</v>
      </c>
      <c r="AA716" s="74">
        <f>Devis[[#This Row],[Prix de Revient]]*Devis[[#This Row],[Poste 6]]</f>
        <v>0</v>
      </c>
      <c r="AB716" s="74">
        <f>Devis[[#This Row],[Quantité Totale]]*Devis[[#This Row],[Prix de Revient]]</f>
        <v>0</v>
      </c>
    </row>
    <row r="717" spans="1:28" ht="14.25" outlineLevel="1" x14ac:dyDescent="0.2">
      <c r="A717" s="75" t="s">
        <v>326</v>
      </c>
      <c r="B717" s="76" t="s">
        <v>4825</v>
      </c>
      <c r="C717" s="75" t="s">
        <v>3894</v>
      </c>
      <c r="D717" s="81" t="str">
        <f t="shared" si="12"/>
        <v>CuveReservoir Vertical - Air compriméAutres</v>
      </c>
      <c r="E717" s="75" t="s">
        <v>4883</v>
      </c>
      <c r="F717" s="81">
        <v>98</v>
      </c>
      <c r="G717" s="71" t="s">
        <v>4987</v>
      </c>
      <c r="H717" s="71" t="s">
        <v>4963</v>
      </c>
      <c r="I717" s="71"/>
      <c r="J717" s="70">
        <f>IFERROR(VLOOKUP(Devis[[#This Row],[Ref Air Flux]],#REF!,3,FALSE),0)</f>
        <v>0</v>
      </c>
      <c r="K717" s="68"/>
      <c r="L717" s="68"/>
      <c r="M717" s="68"/>
      <c r="N717" s="68"/>
      <c r="O717" s="68"/>
      <c r="P717" s="68"/>
      <c r="Q717" s="68">
        <f>SUM(Devis[[#This Row],[Poste 1]:[Poste 6]])</f>
        <v>0</v>
      </c>
      <c r="R717" s="71"/>
      <c r="S717" s="68">
        <f>_xlfn.CEILING.MATH(Devis[[#This Row],[Quantité Totale]],Devis[[#This Row],[Conditionnement]])</f>
        <v>0</v>
      </c>
      <c r="T717" s="72"/>
      <c r="U717" s="73"/>
      <c r="V717" s="74">
        <f>Devis[[#This Row],[Prix de Revient]]*Devis[[#This Row],[Poste 1]]</f>
        <v>0</v>
      </c>
      <c r="W717" s="74">
        <f>Devis[[#This Row],[Prix de Revient]]*Devis[[#This Row],[Poste 2]]</f>
        <v>0</v>
      </c>
      <c r="X717" s="74">
        <f>Devis[[#This Row],[Prix de Revient]]*Devis[[#This Row],[Poste 3]]</f>
        <v>0</v>
      </c>
      <c r="Y717" s="74">
        <f>Devis[[#This Row],[Poste 4]]*Devis[[#This Row],[Prix de Revient]]</f>
        <v>0</v>
      </c>
      <c r="Z717" s="74">
        <f>Devis[[#This Row],[Poste 5]]*Devis[[#This Row],[Prix de Revient]]</f>
        <v>0</v>
      </c>
      <c r="AA717" s="74">
        <f>Devis[[#This Row],[Prix de Revient]]*Devis[[#This Row],[Poste 6]]</f>
        <v>0</v>
      </c>
      <c r="AB717" s="74">
        <f>Devis[[#This Row],[Quantité Totale]]*Devis[[#This Row],[Prix de Revient]]</f>
        <v>0</v>
      </c>
    </row>
    <row r="718" spans="1:28" ht="14.25" outlineLevel="1" x14ac:dyDescent="0.2">
      <c r="A718" s="75" t="s">
        <v>326</v>
      </c>
      <c r="B718" s="76" t="s">
        <v>4825</v>
      </c>
      <c r="C718" s="75" t="s">
        <v>3894</v>
      </c>
      <c r="D718" s="81" t="str">
        <f t="shared" si="12"/>
        <v>CuveReservoir Vertical - Air compriméAutres</v>
      </c>
      <c r="E718" s="75" t="s">
        <v>4847</v>
      </c>
      <c r="F718" s="81">
        <v>99</v>
      </c>
      <c r="G718" s="71" t="s">
        <v>4988</v>
      </c>
      <c r="H718" s="71" t="s">
        <v>4759</v>
      </c>
      <c r="I718" s="71"/>
      <c r="J718" s="70">
        <f>IFERROR(VLOOKUP(Devis[[#This Row],[Ref Air Flux]],#REF!,3,FALSE),0)</f>
        <v>0</v>
      </c>
      <c r="K718" s="68"/>
      <c r="L718" s="68"/>
      <c r="M718" s="68"/>
      <c r="N718" s="68"/>
      <c r="O718" s="68"/>
      <c r="P718" s="68"/>
      <c r="Q718" s="68">
        <f>SUM(Devis[[#This Row],[Poste 1]:[Poste 6]])</f>
        <v>0</v>
      </c>
      <c r="R718" s="71"/>
      <c r="S718" s="68">
        <f>_xlfn.CEILING.MATH(Devis[[#This Row],[Quantité Totale]],Devis[[#This Row],[Conditionnement]])</f>
        <v>0</v>
      </c>
      <c r="T718" s="72"/>
      <c r="U718" s="73"/>
      <c r="V718" s="74">
        <f>Devis[[#This Row],[Prix de Revient]]*Devis[[#This Row],[Poste 1]]</f>
        <v>0</v>
      </c>
      <c r="W718" s="74">
        <f>Devis[[#This Row],[Prix de Revient]]*Devis[[#This Row],[Poste 2]]</f>
        <v>0</v>
      </c>
      <c r="X718" s="74">
        <f>Devis[[#This Row],[Prix de Revient]]*Devis[[#This Row],[Poste 3]]</f>
        <v>0</v>
      </c>
      <c r="Y718" s="74">
        <f>Devis[[#This Row],[Poste 4]]*Devis[[#This Row],[Prix de Revient]]</f>
        <v>0</v>
      </c>
      <c r="Z718" s="74">
        <f>Devis[[#This Row],[Poste 5]]*Devis[[#This Row],[Prix de Revient]]</f>
        <v>0</v>
      </c>
      <c r="AA718" s="74">
        <f>Devis[[#This Row],[Prix de Revient]]*Devis[[#This Row],[Poste 6]]</f>
        <v>0</v>
      </c>
      <c r="AB718" s="74">
        <f>Devis[[#This Row],[Quantité Totale]]*Devis[[#This Row],[Prix de Revient]]</f>
        <v>0</v>
      </c>
    </row>
    <row r="719" spans="1:28" ht="14.25" outlineLevel="1" x14ac:dyDescent="0.2">
      <c r="A719" s="75" t="s">
        <v>326</v>
      </c>
      <c r="B719" s="76" t="s">
        <v>4825</v>
      </c>
      <c r="C719" s="75" t="s">
        <v>3894</v>
      </c>
      <c r="D719" s="81" t="str">
        <f t="shared" si="12"/>
        <v>CuveReservoir Vertical - Air compriméAutres</v>
      </c>
      <c r="E719" s="75" t="s">
        <v>4984</v>
      </c>
      <c r="F719" s="81">
        <v>100</v>
      </c>
      <c r="G719" s="71" t="s">
        <v>4989</v>
      </c>
      <c r="H719" s="71" t="s">
        <v>4954</v>
      </c>
      <c r="I719" s="71"/>
      <c r="J719" s="70">
        <f>IFERROR(VLOOKUP(Devis[[#This Row],[Ref Air Flux]],#REF!,3,FALSE),0)</f>
        <v>0</v>
      </c>
      <c r="K719" s="68"/>
      <c r="L719" s="68"/>
      <c r="M719" s="68"/>
      <c r="N719" s="68"/>
      <c r="O719" s="68"/>
      <c r="P719" s="68"/>
      <c r="Q719" s="68">
        <f>SUM(Devis[[#This Row],[Poste 1]:[Poste 6]])</f>
        <v>0</v>
      </c>
      <c r="R719" s="71"/>
      <c r="S719" s="68">
        <f>_xlfn.CEILING.MATH(Devis[[#This Row],[Quantité Totale]],Devis[[#This Row],[Conditionnement]])</f>
        <v>0</v>
      </c>
      <c r="T719" s="72"/>
      <c r="U719" s="73"/>
      <c r="V719" s="74">
        <f>Devis[[#This Row],[Prix de Revient]]*Devis[[#This Row],[Poste 1]]</f>
        <v>0</v>
      </c>
      <c r="W719" s="74">
        <f>Devis[[#This Row],[Prix de Revient]]*Devis[[#This Row],[Poste 2]]</f>
        <v>0</v>
      </c>
      <c r="X719" s="74">
        <f>Devis[[#This Row],[Prix de Revient]]*Devis[[#This Row],[Poste 3]]</f>
        <v>0</v>
      </c>
      <c r="Y719" s="74">
        <f>Devis[[#This Row],[Poste 4]]*Devis[[#This Row],[Prix de Revient]]</f>
        <v>0</v>
      </c>
      <c r="Z719" s="74">
        <f>Devis[[#This Row],[Poste 5]]*Devis[[#This Row],[Prix de Revient]]</f>
        <v>0</v>
      </c>
      <c r="AA719" s="74">
        <f>Devis[[#This Row],[Prix de Revient]]*Devis[[#This Row],[Poste 6]]</f>
        <v>0</v>
      </c>
      <c r="AB719" s="74">
        <f>Devis[[#This Row],[Quantité Totale]]*Devis[[#This Row],[Prix de Revient]]</f>
        <v>0</v>
      </c>
    </row>
    <row r="720" spans="1:28" ht="14.25" outlineLevel="1" x14ac:dyDescent="0.2">
      <c r="A720" s="75" t="s">
        <v>326</v>
      </c>
      <c r="B720" s="76" t="s">
        <v>4825</v>
      </c>
      <c r="C720" s="75" t="s">
        <v>3894</v>
      </c>
      <c r="D720" s="81" t="str">
        <f t="shared" si="12"/>
        <v>CuveReservoir Vertical - Air compriméAutres</v>
      </c>
      <c r="E720" s="75" t="s">
        <v>4990</v>
      </c>
      <c r="F720" s="81">
        <v>101</v>
      </c>
      <c r="G720" s="71" t="s">
        <v>4991</v>
      </c>
      <c r="H720" s="71" t="s">
        <v>4954</v>
      </c>
      <c r="I720" s="71"/>
      <c r="J720" s="70">
        <f>IFERROR(VLOOKUP(Devis[[#This Row],[Ref Air Flux]],#REF!,3,FALSE),0)</f>
        <v>0</v>
      </c>
      <c r="K720" s="68"/>
      <c r="L720" s="68"/>
      <c r="M720" s="68"/>
      <c r="N720" s="68"/>
      <c r="O720" s="68"/>
      <c r="P720" s="68"/>
      <c r="Q720" s="68">
        <f>SUM(Devis[[#This Row],[Poste 1]:[Poste 6]])</f>
        <v>0</v>
      </c>
      <c r="R720" s="71"/>
      <c r="S720" s="68">
        <f>_xlfn.CEILING.MATH(Devis[[#This Row],[Quantité Totale]],Devis[[#This Row],[Conditionnement]])</f>
        <v>0</v>
      </c>
      <c r="T720" s="72"/>
      <c r="U720" s="73"/>
      <c r="V720" s="74">
        <f>Devis[[#This Row],[Prix de Revient]]*Devis[[#This Row],[Poste 1]]</f>
        <v>0</v>
      </c>
      <c r="W720" s="74">
        <f>Devis[[#This Row],[Prix de Revient]]*Devis[[#This Row],[Poste 2]]</f>
        <v>0</v>
      </c>
      <c r="X720" s="74">
        <f>Devis[[#This Row],[Prix de Revient]]*Devis[[#This Row],[Poste 3]]</f>
        <v>0</v>
      </c>
      <c r="Y720" s="74">
        <f>Devis[[#This Row],[Poste 4]]*Devis[[#This Row],[Prix de Revient]]</f>
        <v>0</v>
      </c>
      <c r="Z720" s="74">
        <f>Devis[[#This Row],[Poste 5]]*Devis[[#This Row],[Prix de Revient]]</f>
        <v>0</v>
      </c>
      <c r="AA720" s="74">
        <f>Devis[[#This Row],[Prix de Revient]]*Devis[[#This Row],[Poste 6]]</f>
        <v>0</v>
      </c>
      <c r="AB720" s="74">
        <f>Devis[[#This Row],[Quantité Totale]]*Devis[[#This Row],[Prix de Revient]]</f>
        <v>0</v>
      </c>
    </row>
    <row r="721" spans="1:28" ht="14.25" outlineLevel="1" x14ac:dyDescent="0.2">
      <c r="A721" s="75" t="s">
        <v>326</v>
      </c>
      <c r="B721" s="76" t="s">
        <v>4825</v>
      </c>
      <c r="C721" s="75" t="s">
        <v>3894</v>
      </c>
      <c r="D721" s="81" t="str">
        <f t="shared" si="12"/>
        <v>CuveReservoir Vertical - Air compriméAutres</v>
      </c>
      <c r="E721" s="75" t="s">
        <v>4992</v>
      </c>
      <c r="F721" s="81">
        <v>102</v>
      </c>
      <c r="G721" s="71" t="s">
        <v>4993</v>
      </c>
      <c r="H721" s="71" t="s">
        <v>4994</v>
      </c>
      <c r="I721" s="71"/>
      <c r="J721" s="70">
        <f>IFERROR(VLOOKUP(Devis[[#This Row],[Ref Air Flux]],#REF!,3,FALSE),0)</f>
        <v>0</v>
      </c>
      <c r="K721" s="68"/>
      <c r="L721" s="68"/>
      <c r="M721" s="68"/>
      <c r="N721" s="68"/>
      <c r="O721" s="68"/>
      <c r="P721" s="68"/>
      <c r="Q721" s="68">
        <f>SUM(Devis[[#This Row],[Poste 1]:[Poste 6]])</f>
        <v>0</v>
      </c>
      <c r="R721" s="71"/>
      <c r="S721" s="68">
        <f>_xlfn.CEILING.MATH(Devis[[#This Row],[Quantité Totale]],Devis[[#This Row],[Conditionnement]])</f>
        <v>0</v>
      </c>
      <c r="T721" s="72"/>
      <c r="U721" s="73"/>
      <c r="V721" s="74">
        <f>Devis[[#This Row],[Prix de Revient]]*Devis[[#This Row],[Poste 1]]</f>
        <v>0</v>
      </c>
      <c r="W721" s="74">
        <f>Devis[[#This Row],[Prix de Revient]]*Devis[[#This Row],[Poste 2]]</f>
        <v>0</v>
      </c>
      <c r="X721" s="74">
        <f>Devis[[#This Row],[Prix de Revient]]*Devis[[#This Row],[Poste 3]]</f>
        <v>0</v>
      </c>
      <c r="Y721" s="74">
        <f>Devis[[#This Row],[Poste 4]]*Devis[[#This Row],[Prix de Revient]]</f>
        <v>0</v>
      </c>
      <c r="Z721" s="74">
        <f>Devis[[#This Row],[Poste 5]]*Devis[[#This Row],[Prix de Revient]]</f>
        <v>0</v>
      </c>
      <c r="AA721" s="74">
        <f>Devis[[#This Row],[Prix de Revient]]*Devis[[#This Row],[Poste 6]]</f>
        <v>0</v>
      </c>
      <c r="AB721" s="74">
        <f>Devis[[#This Row],[Quantité Totale]]*Devis[[#This Row],[Prix de Revient]]</f>
        <v>0</v>
      </c>
    </row>
    <row r="722" spans="1:28" ht="14.25" outlineLevel="1" x14ac:dyDescent="0.2">
      <c r="A722" s="75" t="s">
        <v>326</v>
      </c>
      <c r="B722" s="76" t="s">
        <v>4825</v>
      </c>
      <c r="C722" s="75" t="s">
        <v>3894</v>
      </c>
      <c r="D722" s="81" t="str">
        <f t="shared" si="12"/>
        <v>CuveReservoir Vertical - Air compriméAutres</v>
      </c>
      <c r="E722" s="75" t="s">
        <v>4995</v>
      </c>
      <c r="F722" s="81">
        <v>103</v>
      </c>
      <c r="G722" s="71" t="s">
        <v>4996</v>
      </c>
      <c r="H722" s="71" t="s">
        <v>2953</v>
      </c>
      <c r="I722" s="71"/>
      <c r="J722" s="70">
        <f>IFERROR(VLOOKUP(Devis[[#This Row],[Ref Air Flux]],#REF!,3,FALSE),0)</f>
        <v>0</v>
      </c>
      <c r="K722" s="68"/>
      <c r="L722" s="68"/>
      <c r="M722" s="68"/>
      <c r="N722" s="68"/>
      <c r="O722" s="68"/>
      <c r="P722" s="68"/>
      <c r="Q722" s="68">
        <f>SUM(Devis[[#This Row],[Poste 1]:[Poste 6]])</f>
        <v>0</v>
      </c>
      <c r="R722" s="71"/>
      <c r="S722" s="68">
        <f>_xlfn.CEILING.MATH(Devis[[#This Row],[Quantité Totale]],Devis[[#This Row],[Conditionnement]])</f>
        <v>0</v>
      </c>
      <c r="T722" s="72"/>
      <c r="U722" s="73"/>
      <c r="V722" s="74">
        <f>Devis[[#This Row],[Prix de Revient]]*Devis[[#This Row],[Poste 1]]</f>
        <v>0</v>
      </c>
      <c r="W722" s="74">
        <f>Devis[[#This Row],[Prix de Revient]]*Devis[[#This Row],[Poste 2]]</f>
        <v>0</v>
      </c>
      <c r="X722" s="74">
        <f>Devis[[#This Row],[Prix de Revient]]*Devis[[#This Row],[Poste 3]]</f>
        <v>0</v>
      </c>
      <c r="Y722" s="74">
        <f>Devis[[#This Row],[Poste 4]]*Devis[[#This Row],[Prix de Revient]]</f>
        <v>0</v>
      </c>
      <c r="Z722" s="74">
        <f>Devis[[#This Row],[Poste 5]]*Devis[[#This Row],[Prix de Revient]]</f>
        <v>0</v>
      </c>
      <c r="AA722" s="74">
        <f>Devis[[#This Row],[Prix de Revient]]*Devis[[#This Row],[Poste 6]]</f>
        <v>0</v>
      </c>
      <c r="AB722" s="74">
        <f>Devis[[#This Row],[Quantité Totale]]*Devis[[#This Row],[Prix de Revient]]</f>
        <v>0</v>
      </c>
    </row>
    <row r="723" spans="1:28" ht="14.25" outlineLevel="1" x14ac:dyDescent="0.2">
      <c r="A723" s="75" t="s">
        <v>326</v>
      </c>
      <c r="B723" s="76" t="s">
        <v>4825</v>
      </c>
      <c r="C723" s="75" t="s">
        <v>3894</v>
      </c>
      <c r="D723" s="81" t="str">
        <f t="shared" si="12"/>
        <v>CuveReservoir Vertical - Air compriméAutres</v>
      </c>
      <c r="E723" s="75" t="s">
        <v>4997</v>
      </c>
      <c r="F723" s="81">
        <v>104</v>
      </c>
      <c r="G723" s="71" t="s">
        <v>4998</v>
      </c>
      <c r="H723" s="71" t="s">
        <v>2953</v>
      </c>
      <c r="I723" s="71"/>
      <c r="J723" s="70">
        <f>IFERROR(VLOOKUP(Devis[[#This Row],[Ref Air Flux]],#REF!,3,FALSE),0)</f>
        <v>0</v>
      </c>
      <c r="K723" s="68"/>
      <c r="L723" s="68"/>
      <c r="M723" s="68"/>
      <c r="N723" s="68"/>
      <c r="O723" s="68"/>
      <c r="P723" s="68"/>
      <c r="Q723" s="68">
        <f>SUM(Devis[[#This Row],[Poste 1]:[Poste 6]])</f>
        <v>0</v>
      </c>
      <c r="R723" s="71"/>
      <c r="S723" s="68">
        <f>_xlfn.CEILING.MATH(Devis[[#This Row],[Quantité Totale]],Devis[[#This Row],[Conditionnement]])</f>
        <v>0</v>
      </c>
      <c r="T723" s="72"/>
      <c r="U723" s="73"/>
      <c r="V723" s="74">
        <f>Devis[[#This Row],[Prix de Revient]]*Devis[[#This Row],[Poste 1]]</f>
        <v>0</v>
      </c>
      <c r="W723" s="74">
        <f>Devis[[#This Row],[Prix de Revient]]*Devis[[#This Row],[Poste 2]]</f>
        <v>0</v>
      </c>
      <c r="X723" s="74">
        <f>Devis[[#This Row],[Prix de Revient]]*Devis[[#This Row],[Poste 3]]</f>
        <v>0</v>
      </c>
      <c r="Y723" s="74">
        <f>Devis[[#This Row],[Poste 4]]*Devis[[#This Row],[Prix de Revient]]</f>
        <v>0</v>
      </c>
      <c r="Z723" s="74">
        <f>Devis[[#This Row],[Poste 5]]*Devis[[#This Row],[Prix de Revient]]</f>
        <v>0</v>
      </c>
      <c r="AA723" s="74">
        <f>Devis[[#This Row],[Prix de Revient]]*Devis[[#This Row],[Poste 6]]</f>
        <v>0</v>
      </c>
      <c r="AB723" s="74">
        <f>Devis[[#This Row],[Quantité Totale]]*Devis[[#This Row],[Prix de Revient]]</f>
        <v>0</v>
      </c>
    </row>
    <row r="724" spans="1:28" ht="14.25" outlineLevel="1" x14ac:dyDescent="0.2">
      <c r="A724" s="75" t="s">
        <v>326</v>
      </c>
      <c r="B724" s="76" t="s">
        <v>4825</v>
      </c>
      <c r="C724" s="75" t="s">
        <v>3894</v>
      </c>
      <c r="D724" s="81" t="str">
        <f t="shared" si="12"/>
        <v>CuveReservoir Vertical - Air compriméAutres</v>
      </c>
      <c r="E724" s="75" t="s">
        <v>4999</v>
      </c>
      <c r="F724" s="81">
        <v>105</v>
      </c>
      <c r="G724" s="71" t="s">
        <v>5000</v>
      </c>
      <c r="H724" s="71" t="s">
        <v>2953</v>
      </c>
      <c r="I724" s="71"/>
      <c r="J724" s="70">
        <f>IFERROR(VLOOKUP(Devis[[#This Row],[Ref Air Flux]],#REF!,3,FALSE),0)</f>
        <v>0</v>
      </c>
      <c r="K724" s="68"/>
      <c r="L724" s="68"/>
      <c r="M724" s="68"/>
      <c r="N724" s="68"/>
      <c r="O724" s="68"/>
      <c r="P724" s="68"/>
      <c r="Q724" s="68">
        <f>SUM(Devis[[#This Row],[Poste 1]:[Poste 6]])</f>
        <v>0</v>
      </c>
      <c r="R724" s="71"/>
      <c r="S724" s="68">
        <f>_xlfn.CEILING.MATH(Devis[[#This Row],[Quantité Totale]],Devis[[#This Row],[Conditionnement]])</f>
        <v>0</v>
      </c>
      <c r="T724" s="72"/>
      <c r="U724" s="73"/>
      <c r="V724" s="74">
        <f>Devis[[#This Row],[Prix de Revient]]*Devis[[#This Row],[Poste 1]]</f>
        <v>0</v>
      </c>
      <c r="W724" s="74">
        <f>Devis[[#This Row],[Prix de Revient]]*Devis[[#This Row],[Poste 2]]</f>
        <v>0</v>
      </c>
      <c r="X724" s="74">
        <f>Devis[[#This Row],[Prix de Revient]]*Devis[[#This Row],[Poste 3]]</f>
        <v>0</v>
      </c>
      <c r="Y724" s="74">
        <f>Devis[[#This Row],[Poste 4]]*Devis[[#This Row],[Prix de Revient]]</f>
        <v>0</v>
      </c>
      <c r="Z724" s="74">
        <f>Devis[[#This Row],[Poste 5]]*Devis[[#This Row],[Prix de Revient]]</f>
        <v>0</v>
      </c>
      <c r="AA724" s="74">
        <f>Devis[[#This Row],[Prix de Revient]]*Devis[[#This Row],[Poste 6]]</f>
        <v>0</v>
      </c>
      <c r="AB724" s="74">
        <f>Devis[[#This Row],[Quantité Totale]]*Devis[[#This Row],[Prix de Revient]]</f>
        <v>0</v>
      </c>
    </row>
    <row r="725" spans="1:28" ht="14.25" outlineLevel="1" x14ac:dyDescent="0.2">
      <c r="A725" s="75" t="s">
        <v>326</v>
      </c>
      <c r="B725" s="76" t="s">
        <v>4825</v>
      </c>
      <c r="C725" s="73" t="s">
        <v>3894</v>
      </c>
      <c r="D725" s="81" t="str">
        <f t="shared" si="12"/>
        <v>CuveReservoir Vertical - Air compriméAutres</v>
      </c>
      <c r="E725" s="75" t="s">
        <v>4910</v>
      </c>
      <c r="F725" s="81">
        <v>106</v>
      </c>
      <c r="G725" s="71" t="s">
        <v>5001</v>
      </c>
      <c r="H725" s="71" t="s">
        <v>4771</v>
      </c>
      <c r="I725" s="71"/>
      <c r="J725" s="70">
        <f>IFERROR(VLOOKUP(Devis[[#This Row],[Ref Air Flux]],#REF!,3,FALSE),0)</f>
        <v>0</v>
      </c>
      <c r="K725" s="68"/>
      <c r="L725" s="68"/>
      <c r="M725" s="68"/>
      <c r="N725" s="68"/>
      <c r="O725" s="68"/>
      <c r="P725" s="68"/>
      <c r="Q725" s="68">
        <f>SUM(Devis[[#This Row],[Poste 1]:[Poste 6]])</f>
        <v>0</v>
      </c>
      <c r="R725" s="71"/>
      <c r="S725" s="68">
        <f>_xlfn.CEILING.MATH(Devis[[#This Row],[Quantité Totale]],Devis[[#This Row],[Conditionnement]])</f>
        <v>0</v>
      </c>
      <c r="T725" s="72"/>
      <c r="U725" s="73"/>
      <c r="V725" s="74">
        <f>Devis[[#This Row],[Prix de Revient]]*Devis[[#This Row],[Poste 1]]</f>
        <v>0</v>
      </c>
      <c r="W725" s="74">
        <f>Devis[[#This Row],[Prix de Revient]]*Devis[[#This Row],[Poste 2]]</f>
        <v>0</v>
      </c>
      <c r="X725" s="74">
        <f>Devis[[#This Row],[Prix de Revient]]*Devis[[#This Row],[Poste 3]]</f>
        <v>0</v>
      </c>
      <c r="Y725" s="74">
        <f>Devis[[#This Row],[Poste 4]]*Devis[[#This Row],[Prix de Revient]]</f>
        <v>0</v>
      </c>
      <c r="Z725" s="74">
        <f>Devis[[#This Row],[Poste 5]]*Devis[[#This Row],[Prix de Revient]]</f>
        <v>0</v>
      </c>
      <c r="AA725" s="74">
        <f>Devis[[#This Row],[Prix de Revient]]*Devis[[#This Row],[Poste 6]]</f>
        <v>0</v>
      </c>
      <c r="AB725" s="74">
        <f>Devis[[#This Row],[Quantité Totale]]*Devis[[#This Row],[Prix de Revient]]</f>
        <v>0</v>
      </c>
    </row>
    <row r="726" spans="1:28" ht="14.25" customHeight="1" x14ac:dyDescent="0.25">
      <c r="A726" s="65" t="s">
        <v>326</v>
      </c>
      <c r="B726" s="65" t="s">
        <v>5002</v>
      </c>
      <c r="C726" s="76"/>
      <c r="D726" s="81" t="str">
        <f t="shared" si="12"/>
        <v>CuveReservoir Vertical - Autres applications</v>
      </c>
      <c r="E726" s="76"/>
      <c r="F726" s="81">
        <v>0</v>
      </c>
      <c r="G726" s="71"/>
      <c r="H726" s="71"/>
      <c r="I726" s="71"/>
      <c r="J726" s="70">
        <f>IFERROR(VLOOKUP(Devis[[#This Row],[Ref Air Flux]],#REF!,3,FALSE),0)</f>
        <v>0</v>
      </c>
      <c r="K726" s="68"/>
      <c r="L726" s="68"/>
      <c r="M726" s="68"/>
      <c r="N726" s="68"/>
      <c r="O726" s="68"/>
      <c r="P726" s="68"/>
      <c r="Q726" s="68">
        <f>SUM(Devis[[#This Row],[Poste 1]:[Poste 6]])</f>
        <v>0</v>
      </c>
      <c r="R726" s="71"/>
      <c r="S726" s="68">
        <f>_xlfn.CEILING.MATH(Devis[[#This Row],[Quantité Totale]],Devis[[#This Row],[Conditionnement]])</f>
        <v>0</v>
      </c>
      <c r="T726" s="72"/>
      <c r="U726" s="73"/>
      <c r="V726" s="74">
        <f>Devis[[#This Row],[Prix de Revient]]*Devis[[#This Row],[Poste 1]]</f>
        <v>0</v>
      </c>
      <c r="W726" s="74">
        <f>Devis[[#This Row],[Prix de Revient]]*Devis[[#This Row],[Poste 2]]</f>
        <v>0</v>
      </c>
      <c r="X726" s="74">
        <f>Devis[[#This Row],[Prix de Revient]]*Devis[[#This Row],[Poste 3]]</f>
        <v>0</v>
      </c>
      <c r="Y726" s="74">
        <f>Devis[[#This Row],[Poste 4]]*Devis[[#This Row],[Prix de Revient]]</f>
        <v>0</v>
      </c>
      <c r="Z726" s="74">
        <f>Devis[[#This Row],[Poste 5]]*Devis[[#This Row],[Prix de Revient]]</f>
        <v>0</v>
      </c>
      <c r="AA726" s="74">
        <f>Devis[[#This Row],[Prix de Revient]]*Devis[[#This Row],[Poste 6]]</f>
        <v>0</v>
      </c>
      <c r="AB726" s="74">
        <f>Devis[[#This Row],[Quantité Totale]]*Devis[[#This Row],[Prix de Revient]]</f>
        <v>0</v>
      </c>
    </row>
    <row r="727" spans="1:28" ht="14.25" outlineLevel="1" x14ac:dyDescent="0.2">
      <c r="A727" s="75" t="s">
        <v>326</v>
      </c>
      <c r="B727" s="76" t="s">
        <v>5002</v>
      </c>
      <c r="C727" s="73"/>
      <c r="D727" s="81" t="str">
        <f t="shared" si="12"/>
        <v>CuveReservoir Vertical - Autres applications</v>
      </c>
      <c r="E727" s="75" t="s">
        <v>5003</v>
      </c>
      <c r="F727" s="81">
        <v>1</v>
      </c>
      <c r="G727" s="71" t="s">
        <v>5004</v>
      </c>
      <c r="H727" s="71" t="s">
        <v>5005</v>
      </c>
      <c r="I727" s="71"/>
      <c r="J727" s="70">
        <f>IFERROR(VLOOKUP(Devis[[#This Row],[Ref Air Flux]],#REF!,3,FALSE),0)</f>
        <v>0</v>
      </c>
      <c r="K727" s="68"/>
      <c r="L727" s="68"/>
      <c r="M727" s="68"/>
      <c r="N727" s="68"/>
      <c r="O727" s="68"/>
      <c r="P727" s="68"/>
      <c r="Q727" s="68">
        <f>SUM(Devis[[#This Row],[Poste 1]:[Poste 6]])</f>
        <v>0</v>
      </c>
      <c r="R727" s="71"/>
      <c r="S727" s="68">
        <f>_xlfn.CEILING.MATH(Devis[[#This Row],[Quantité Totale]],Devis[[#This Row],[Conditionnement]])</f>
        <v>0</v>
      </c>
      <c r="T727" s="72"/>
      <c r="U727" s="73"/>
      <c r="V727" s="74">
        <f>Devis[[#This Row],[Prix de Revient]]*Devis[[#This Row],[Poste 1]]</f>
        <v>0</v>
      </c>
      <c r="W727" s="74">
        <f>Devis[[#This Row],[Prix de Revient]]*Devis[[#This Row],[Poste 2]]</f>
        <v>0</v>
      </c>
      <c r="X727" s="74">
        <f>Devis[[#This Row],[Prix de Revient]]*Devis[[#This Row],[Poste 3]]</f>
        <v>0</v>
      </c>
      <c r="Y727" s="74">
        <f>Devis[[#This Row],[Poste 4]]*Devis[[#This Row],[Prix de Revient]]</f>
        <v>0</v>
      </c>
      <c r="Z727" s="74">
        <f>Devis[[#This Row],[Poste 5]]*Devis[[#This Row],[Prix de Revient]]</f>
        <v>0</v>
      </c>
      <c r="AA727" s="74">
        <f>Devis[[#This Row],[Prix de Revient]]*Devis[[#This Row],[Poste 6]]</f>
        <v>0</v>
      </c>
      <c r="AB727" s="74">
        <f>Devis[[#This Row],[Quantité Totale]]*Devis[[#This Row],[Prix de Revient]]</f>
        <v>0</v>
      </c>
    </row>
    <row r="728" spans="1:28" ht="14.25" outlineLevel="1" x14ac:dyDescent="0.2">
      <c r="A728" s="75" t="s">
        <v>326</v>
      </c>
      <c r="B728" s="76" t="s">
        <v>5002</v>
      </c>
      <c r="C728" s="73"/>
      <c r="D728" s="81" t="str">
        <f t="shared" si="12"/>
        <v>CuveReservoir Vertical - Autres applications</v>
      </c>
      <c r="E728" s="75" t="s">
        <v>5006</v>
      </c>
      <c r="F728" s="81">
        <v>2</v>
      </c>
      <c r="G728" s="71" t="s">
        <v>5007</v>
      </c>
      <c r="H728" s="71" t="s">
        <v>5008</v>
      </c>
      <c r="I728" s="71"/>
      <c r="J728" s="70">
        <f>IFERROR(VLOOKUP(Devis[[#This Row],[Ref Air Flux]],#REF!,3,FALSE),0)</f>
        <v>0</v>
      </c>
      <c r="K728" s="68"/>
      <c r="L728" s="68"/>
      <c r="M728" s="68"/>
      <c r="N728" s="68"/>
      <c r="O728" s="68"/>
      <c r="P728" s="68"/>
      <c r="Q728" s="68">
        <f>SUM(Devis[[#This Row],[Poste 1]:[Poste 6]])</f>
        <v>0</v>
      </c>
      <c r="R728" s="71"/>
      <c r="S728" s="68">
        <f>_xlfn.CEILING.MATH(Devis[[#This Row],[Quantité Totale]],Devis[[#This Row],[Conditionnement]])</f>
        <v>0</v>
      </c>
      <c r="T728" s="72"/>
      <c r="U728" s="73"/>
      <c r="V728" s="74">
        <f>Devis[[#This Row],[Prix de Revient]]*Devis[[#This Row],[Poste 1]]</f>
        <v>0</v>
      </c>
      <c r="W728" s="74">
        <f>Devis[[#This Row],[Prix de Revient]]*Devis[[#This Row],[Poste 2]]</f>
        <v>0</v>
      </c>
      <c r="X728" s="74">
        <f>Devis[[#This Row],[Prix de Revient]]*Devis[[#This Row],[Poste 3]]</f>
        <v>0</v>
      </c>
      <c r="Y728" s="74">
        <f>Devis[[#This Row],[Poste 4]]*Devis[[#This Row],[Prix de Revient]]</f>
        <v>0</v>
      </c>
      <c r="Z728" s="74">
        <f>Devis[[#This Row],[Poste 5]]*Devis[[#This Row],[Prix de Revient]]</f>
        <v>0</v>
      </c>
      <c r="AA728" s="74">
        <f>Devis[[#This Row],[Prix de Revient]]*Devis[[#This Row],[Poste 6]]</f>
        <v>0</v>
      </c>
      <c r="AB728" s="74">
        <f>Devis[[#This Row],[Quantité Totale]]*Devis[[#This Row],[Prix de Revient]]</f>
        <v>0</v>
      </c>
    </row>
    <row r="729" spans="1:28" ht="14.25" outlineLevel="1" x14ac:dyDescent="0.2">
      <c r="A729" s="75" t="s">
        <v>326</v>
      </c>
      <c r="B729" s="76" t="s">
        <v>5002</v>
      </c>
      <c r="C729" s="73"/>
      <c r="D729" s="81" t="str">
        <f t="shared" si="12"/>
        <v>CuveReservoir Vertical - Autres applications</v>
      </c>
      <c r="E729" s="75" t="s">
        <v>5009</v>
      </c>
      <c r="F729" s="81">
        <v>3</v>
      </c>
      <c r="G729" s="71" t="s">
        <v>5010</v>
      </c>
      <c r="H729" s="71" t="s">
        <v>5011</v>
      </c>
      <c r="I729" s="71"/>
      <c r="J729" s="70">
        <f>IFERROR(VLOOKUP(Devis[[#This Row],[Ref Air Flux]],#REF!,3,FALSE),0)</f>
        <v>0</v>
      </c>
      <c r="K729" s="68"/>
      <c r="L729" s="68"/>
      <c r="M729" s="68"/>
      <c r="N729" s="68"/>
      <c r="O729" s="68"/>
      <c r="P729" s="68"/>
      <c r="Q729" s="68">
        <f>SUM(Devis[[#This Row],[Poste 1]:[Poste 6]])</f>
        <v>0</v>
      </c>
      <c r="R729" s="71"/>
      <c r="S729" s="68">
        <f>_xlfn.CEILING.MATH(Devis[[#This Row],[Quantité Totale]],Devis[[#This Row],[Conditionnement]])</f>
        <v>0</v>
      </c>
      <c r="T729" s="72"/>
      <c r="U729" s="73"/>
      <c r="V729" s="74">
        <f>Devis[[#This Row],[Prix de Revient]]*Devis[[#This Row],[Poste 1]]</f>
        <v>0</v>
      </c>
      <c r="W729" s="74">
        <f>Devis[[#This Row],[Prix de Revient]]*Devis[[#This Row],[Poste 2]]</f>
        <v>0</v>
      </c>
      <c r="X729" s="74">
        <f>Devis[[#This Row],[Prix de Revient]]*Devis[[#This Row],[Poste 3]]</f>
        <v>0</v>
      </c>
      <c r="Y729" s="74">
        <f>Devis[[#This Row],[Poste 4]]*Devis[[#This Row],[Prix de Revient]]</f>
        <v>0</v>
      </c>
      <c r="Z729" s="74">
        <f>Devis[[#This Row],[Poste 5]]*Devis[[#This Row],[Prix de Revient]]</f>
        <v>0</v>
      </c>
      <c r="AA729" s="74">
        <f>Devis[[#This Row],[Prix de Revient]]*Devis[[#This Row],[Poste 6]]</f>
        <v>0</v>
      </c>
      <c r="AB729" s="74">
        <f>Devis[[#This Row],[Quantité Totale]]*Devis[[#This Row],[Prix de Revient]]</f>
        <v>0</v>
      </c>
    </row>
    <row r="730" spans="1:28" ht="14.25" outlineLevel="1" x14ac:dyDescent="0.2">
      <c r="A730" s="75" t="s">
        <v>326</v>
      </c>
      <c r="B730" s="76" t="s">
        <v>5002</v>
      </c>
      <c r="C730" s="73"/>
      <c r="D730" s="81" t="str">
        <f t="shared" si="12"/>
        <v>CuveReservoir Vertical - Autres applications</v>
      </c>
      <c r="E730" s="75" t="s">
        <v>5012</v>
      </c>
      <c r="F730" s="81">
        <v>4</v>
      </c>
      <c r="G730" s="71" t="s">
        <v>5013</v>
      </c>
      <c r="H730" s="71" t="s">
        <v>5014</v>
      </c>
      <c r="I730" s="71"/>
      <c r="J730" s="70">
        <f>IFERROR(VLOOKUP(Devis[[#This Row],[Ref Air Flux]],#REF!,3,FALSE),0)</f>
        <v>0</v>
      </c>
      <c r="K730" s="68"/>
      <c r="L730" s="68"/>
      <c r="M730" s="68"/>
      <c r="N730" s="68"/>
      <c r="O730" s="68"/>
      <c r="P730" s="68"/>
      <c r="Q730" s="68">
        <f>SUM(Devis[[#This Row],[Poste 1]:[Poste 6]])</f>
        <v>0</v>
      </c>
      <c r="R730" s="71"/>
      <c r="S730" s="68">
        <f>_xlfn.CEILING.MATH(Devis[[#This Row],[Quantité Totale]],Devis[[#This Row],[Conditionnement]])</f>
        <v>0</v>
      </c>
      <c r="T730" s="72"/>
      <c r="U730" s="73"/>
      <c r="V730" s="74">
        <f>Devis[[#This Row],[Prix de Revient]]*Devis[[#This Row],[Poste 1]]</f>
        <v>0</v>
      </c>
      <c r="W730" s="74">
        <f>Devis[[#This Row],[Prix de Revient]]*Devis[[#This Row],[Poste 2]]</f>
        <v>0</v>
      </c>
      <c r="X730" s="74">
        <f>Devis[[#This Row],[Prix de Revient]]*Devis[[#This Row],[Poste 3]]</f>
        <v>0</v>
      </c>
      <c r="Y730" s="74">
        <f>Devis[[#This Row],[Poste 4]]*Devis[[#This Row],[Prix de Revient]]</f>
        <v>0</v>
      </c>
      <c r="Z730" s="74">
        <f>Devis[[#This Row],[Poste 5]]*Devis[[#This Row],[Prix de Revient]]</f>
        <v>0</v>
      </c>
      <c r="AA730" s="74">
        <f>Devis[[#This Row],[Prix de Revient]]*Devis[[#This Row],[Poste 6]]</f>
        <v>0</v>
      </c>
      <c r="AB730" s="74">
        <f>Devis[[#This Row],[Quantité Totale]]*Devis[[#This Row],[Prix de Revient]]</f>
        <v>0</v>
      </c>
    </row>
    <row r="731" spans="1:28" ht="14.25" outlineLevel="1" x14ac:dyDescent="0.2">
      <c r="A731" s="75" t="s">
        <v>326</v>
      </c>
      <c r="B731" s="76" t="s">
        <v>5002</v>
      </c>
      <c r="C731" s="73"/>
      <c r="D731" s="81" t="str">
        <f t="shared" si="12"/>
        <v>CuveReservoir Vertical - Autres applications</v>
      </c>
      <c r="E731" s="75" t="s">
        <v>5015</v>
      </c>
      <c r="F731" s="81">
        <v>5</v>
      </c>
      <c r="G731" s="71" t="s">
        <v>5016</v>
      </c>
      <c r="H731" s="71" t="s">
        <v>5017</v>
      </c>
      <c r="I731" s="71"/>
      <c r="J731" s="70">
        <f>IFERROR(VLOOKUP(Devis[[#This Row],[Ref Air Flux]],#REF!,3,FALSE),0)</f>
        <v>0</v>
      </c>
      <c r="K731" s="68"/>
      <c r="L731" s="68"/>
      <c r="M731" s="68"/>
      <c r="N731" s="68"/>
      <c r="O731" s="68"/>
      <c r="P731" s="68"/>
      <c r="Q731" s="68">
        <f>SUM(Devis[[#This Row],[Poste 1]:[Poste 6]])</f>
        <v>0</v>
      </c>
      <c r="R731" s="71"/>
      <c r="S731" s="68">
        <f>_xlfn.CEILING.MATH(Devis[[#This Row],[Quantité Totale]],Devis[[#This Row],[Conditionnement]])</f>
        <v>0</v>
      </c>
      <c r="T731" s="72"/>
      <c r="U731" s="73"/>
      <c r="V731" s="74">
        <f>Devis[[#This Row],[Prix de Revient]]*Devis[[#This Row],[Poste 1]]</f>
        <v>0</v>
      </c>
      <c r="W731" s="74">
        <f>Devis[[#This Row],[Prix de Revient]]*Devis[[#This Row],[Poste 2]]</f>
        <v>0</v>
      </c>
      <c r="X731" s="74">
        <f>Devis[[#This Row],[Prix de Revient]]*Devis[[#This Row],[Poste 3]]</f>
        <v>0</v>
      </c>
      <c r="Y731" s="74">
        <f>Devis[[#This Row],[Poste 4]]*Devis[[#This Row],[Prix de Revient]]</f>
        <v>0</v>
      </c>
      <c r="Z731" s="74">
        <f>Devis[[#This Row],[Poste 5]]*Devis[[#This Row],[Prix de Revient]]</f>
        <v>0</v>
      </c>
      <c r="AA731" s="74">
        <f>Devis[[#This Row],[Prix de Revient]]*Devis[[#This Row],[Poste 6]]</f>
        <v>0</v>
      </c>
      <c r="AB731" s="74">
        <f>Devis[[#This Row],[Quantité Totale]]*Devis[[#This Row],[Prix de Revient]]</f>
        <v>0</v>
      </c>
    </row>
    <row r="732" spans="1:28" ht="15" customHeight="1" outlineLevel="1" x14ac:dyDescent="0.2">
      <c r="A732" s="75" t="s">
        <v>326</v>
      </c>
      <c r="B732" s="76" t="s">
        <v>5002</v>
      </c>
      <c r="C732" s="73"/>
      <c r="D732" s="81" t="str">
        <f t="shared" si="12"/>
        <v>CuveReservoir Vertical - Autres applications</v>
      </c>
      <c r="E732" s="75" t="s">
        <v>5018</v>
      </c>
      <c r="F732" s="81">
        <v>6</v>
      </c>
      <c r="G732" s="71" t="s">
        <v>5019</v>
      </c>
      <c r="H732" s="71" t="s">
        <v>5017</v>
      </c>
      <c r="I732" s="71"/>
      <c r="J732" s="70">
        <f>IFERROR(VLOOKUP(Devis[[#This Row],[Ref Air Flux]],#REF!,3,FALSE),0)</f>
        <v>0</v>
      </c>
      <c r="K732" s="68"/>
      <c r="L732" s="68"/>
      <c r="M732" s="68"/>
      <c r="N732" s="68"/>
      <c r="O732" s="68"/>
      <c r="P732" s="68"/>
      <c r="Q732" s="68">
        <f>SUM(Devis[[#This Row],[Poste 1]:[Poste 6]])</f>
        <v>0</v>
      </c>
      <c r="R732" s="71"/>
      <c r="S732" s="68">
        <f>_xlfn.CEILING.MATH(Devis[[#This Row],[Quantité Totale]],Devis[[#This Row],[Conditionnement]])</f>
        <v>0</v>
      </c>
      <c r="T732" s="72"/>
      <c r="U732" s="73"/>
      <c r="V732" s="74">
        <f>Devis[[#This Row],[Prix de Revient]]*Devis[[#This Row],[Poste 1]]</f>
        <v>0</v>
      </c>
      <c r="W732" s="74">
        <f>Devis[[#This Row],[Prix de Revient]]*Devis[[#This Row],[Poste 2]]</f>
        <v>0</v>
      </c>
      <c r="X732" s="74">
        <f>Devis[[#This Row],[Prix de Revient]]*Devis[[#This Row],[Poste 3]]</f>
        <v>0</v>
      </c>
      <c r="Y732" s="74">
        <f>Devis[[#This Row],[Poste 4]]*Devis[[#This Row],[Prix de Revient]]</f>
        <v>0</v>
      </c>
      <c r="Z732" s="74">
        <f>Devis[[#This Row],[Poste 5]]*Devis[[#This Row],[Prix de Revient]]</f>
        <v>0</v>
      </c>
      <c r="AA732" s="74">
        <f>Devis[[#This Row],[Prix de Revient]]*Devis[[#This Row],[Poste 6]]</f>
        <v>0</v>
      </c>
      <c r="AB732" s="74">
        <f>Devis[[#This Row],[Quantité Totale]]*Devis[[#This Row],[Prix de Revient]]</f>
        <v>0</v>
      </c>
    </row>
    <row r="733" spans="1:28" ht="14.25" outlineLevel="1" x14ac:dyDescent="0.2">
      <c r="A733" s="75" t="s">
        <v>326</v>
      </c>
      <c r="B733" s="76" t="s">
        <v>5002</v>
      </c>
      <c r="C733" s="73"/>
      <c r="D733" s="81" t="str">
        <f t="shared" si="12"/>
        <v>CuveReservoir Vertical - Autres applications</v>
      </c>
      <c r="E733" s="75" t="s">
        <v>5020</v>
      </c>
      <c r="F733" s="81">
        <v>7</v>
      </c>
      <c r="G733" s="71" t="s">
        <v>5021</v>
      </c>
      <c r="H733" s="71" t="s">
        <v>5022</v>
      </c>
      <c r="I733" s="71"/>
      <c r="J733" s="70">
        <f>IFERROR(VLOOKUP(Devis[[#This Row],[Ref Air Flux]],#REF!,3,FALSE),0)</f>
        <v>0</v>
      </c>
      <c r="K733" s="68"/>
      <c r="L733" s="68"/>
      <c r="M733" s="68"/>
      <c r="N733" s="68"/>
      <c r="O733" s="68"/>
      <c r="P733" s="68"/>
      <c r="Q733" s="68">
        <f>SUM(Devis[[#This Row],[Poste 1]:[Poste 6]])</f>
        <v>0</v>
      </c>
      <c r="R733" s="71"/>
      <c r="S733" s="68">
        <f>_xlfn.CEILING.MATH(Devis[[#This Row],[Quantité Totale]],Devis[[#This Row],[Conditionnement]])</f>
        <v>0</v>
      </c>
      <c r="T733" s="72"/>
      <c r="U733" s="73"/>
      <c r="V733" s="74">
        <f>Devis[[#This Row],[Prix de Revient]]*Devis[[#This Row],[Poste 1]]</f>
        <v>0</v>
      </c>
      <c r="W733" s="74">
        <f>Devis[[#This Row],[Prix de Revient]]*Devis[[#This Row],[Poste 2]]</f>
        <v>0</v>
      </c>
      <c r="X733" s="74">
        <f>Devis[[#This Row],[Prix de Revient]]*Devis[[#This Row],[Poste 3]]</f>
        <v>0</v>
      </c>
      <c r="Y733" s="74">
        <f>Devis[[#This Row],[Poste 4]]*Devis[[#This Row],[Prix de Revient]]</f>
        <v>0</v>
      </c>
      <c r="Z733" s="74">
        <f>Devis[[#This Row],[Poste 5]]*Devis[[#This Row],[Prix de Revient]]</f>
        <v>0</v>
      </c>
      <c r="AA733" s="74">
        <f>Devis[[#This Row],[Prix de Revient]]*Devis[[#This Row],[Poste 6]]</f>
        <v>0</v>
      </c>
      <c r="AB733" s="74">
        <f>Devis[[#This Row],[Quantité Totale]]*Devis[[#This Row],[Prix de Revient]]</f>
        <v>0</v>
      </c>
    </row>
    <row r="734" spans="1:28" ht="14.25" outlineLevel="1" x14ac:dyDescent="0.2">
      <c r="A734" s="75" t="s">
        <v>326</v>
      </c>
      <c r="B734" s="76" t="s">
        <v>5002</v>
      </c>
      <c r="C734" s="73"/>
      <c r="D734" s="81" t="str">
        <f t="shared" si="12"/>
        <v>CuveReservoir Vertical - Autres applications</v>
      </c>
      <c r="E734" s="75" t="s">
        <v>5023</v>
      </c>
      <c r="F734" s="81">
        <v>8</v>
      </c>
      <c r="G734" s="71" t="s">
        <v>5024</v>
      </c>
      <c r="H734" s="71" t="s">
        <v>5017</v>
      </c>
      <c r="I734" s="71"/>
      <c r="J734" s="70">
        <f>IFERROR(VLOOKUP(Devis[[#This Row],[Ref Air Flux]],#REF!,3,FALSE),0)</f>
        <v>0</v>
      </c>
      <c r="K734" s="68"/>
      <c r="L734" s="68"/>
      <c r="M734" s="68"/>
      <c r="N734" s="68"/>
      <c r="O734" s="68"/>
      <c r="P734" s="68"/>
      <c r="Q734" s="68">
        <f>SUM(Devis[[#This Row],[Poste 1]:[Poste 6]])</f>
        <v>0</v>
      </c>
      <c r="R734" s="71"/>
      <c r="S734" s="68">
        <f>_xlfn.CEILING.MATH(Devis[[#This Row],[Quantité Totale]],Devis[[#This Row],[Conditionnement]])</f>
        <v>0</v>
      </c>
      <c r="T734" s="72"/>
      <c r="U734" s="73"/>
      <c r="V734" s="74">
        <f>Devis[[#This Row],[Prix de Revient]]*Devis[[#This Row],[Poste 1]]</f>
        <v>0</v>
      </c>
      <c r="W734" s="74">
        <f>Devis[[#This Row],[Prix de Revient]]*Devis[[#This Row],[Poste 2]]</f>
        <v>0</v>
      </c>
      <c r="X734" s="74">
        <f>Devis[[#This Row],[Prix de Revient]]*Devis[[#This Row],[Poste 3]]</f>
        <v>0</v>
      </c>
      <c r="Y734" s="74">
        <f>Devis[[#This Row],[Poste 4]]*Devis[[#This Row],[Prix de Revient]]</f>
        <v>0</v>
      </c>
      <c r="Z734" s="74">
        <f>Devis[[#This Row],[Poste 5]]*Devis[[#This Row],[Prix de Revient]]</f>
        <v>0</v>
      </c>
      <c r="AA734" s="74">
        <f>Devis[[#This Row],[Prix de Revient]]*Devis[[#This Row],[Poste 6]]</f>
        <v>0</v>
      </c>
      <c r="AB734" s="74">
        <f>Devis[[#This Row],[Quantité Totale]]*Devis[[#This Row],[Prix de Revient]]</f>
        <v>0</v>
      </c>
    </row>
    <row r="735" spans="1:28" ht="14.25" customHeight="1" outlineLevel="1" x14ac:dyDescent="0.2">
      <c r="A735" s="75" t="s">
        <v>326</v>
      </c>
      <c r="B735" s="76" t="s">
        <v>5002</v>
      </c>
      <c r="C735" s="73"/>
      <c r="D735" s="81" t="str">
        <f t="shared" si="12"/>
        <v>CuveReservoir Vertical - Autres applications</v>
      </c>
      <c r="E735" s="75" t="s">
        <v>5025</v>
      </c>
      <c r="F735" s="81">
        <v>9</v>
      </c>
      <c r="G735" s="71" t="s">
        <v>5026</v>
      </c>
      <c r="H735" s="71" t="s">
        <v>5017</v>
      </c>
      <c r="I735" s="71"/>
      <c r="J735" s="70">
        <f>IFERROR(VLOOKUP(Devis[[#This Row],[Ref Air Flux]],#REF!,3,FALSE),0)</f>
        <v>0</v>
      </c>
      <c r="K735" s="68"/>
      <c r="L735" s="68"/>
      <c r="M735" s="68"/>
      <c r="N735" s="68"/>
      <c r="O735" s="68"/>
      <c r="P735" s="68"/>
      <c r="Q735" s="68">
        <f>SUM(Devis[[#This Row],[Poste 1]:[Poste 6]])</f>
        <v>0</v>
      </c>
      <c r="R735" s="71"/>
      <c r="S735" s="68">
        <f>_xlfn.CEILING.MATH(Devis[[#This Row],[Quantité Totale]],Devis[[#This Row],[Conditionnement]])</f>
        <v>0</v>
      </c>
      <c r="T735" s="72"/>
      <c r="U735" s="73"/>
      <c r="V735" s="74">
        <f>Devis[[#This Row],[Prix de Revient]]*Devis[[#This Row],[Poste 1]]</f>
        <v>0</v>
      </c>
      <c r="W735" s="74">
        <f>Devis[[#This Row],[Prix de Revient]]*Devis[[#This Row],[Poste 2]]</f>
        <v>0</v>
      </c>
      <c r="X735" s="74">
        <f>Devis[[#This Row],[Prix de Revient]]*Devis[[#This Row],[Poste 3]]</f>
        <v>0</v>
      </c>
      <c r="Y735" s="74">
        <f>Devis[[#This Row],[Poste 4]]*Devis[[#This Row],[Prix de Revient]]</f>
        <v>0</v>
      </c>
      <c r="Z735" s="74">
        <f>Devis[[#This Row],[Poste 5]]*Devis[[#This Row],[Prix de Revient]]</f>
        <v>0</v>
      </c>
      <c r="AA735" s="74">
        <f>Devis[[#This Row],[Prix de Revient]]*Devis[[#This Row],[Poste 6]]</f>
        <v>0</v>
      </c>
      <c r="AB735" s="74">
        <f>Devis[[#This Row],[Quantité Totale]]*Devis[[#This Row],[Prix de Revient]]</f>
        <v>0</v>
      </c>
    </row>
    <row r="736" spans="1:28" ht="14.25" outlineLevel="1" x14ac:dyDescent="0.2">
      <c r="A736" s="75" t="s">
        <v>326</v>
      </c>
      <c r="B736" s="76" t="s">
        <v>5002</v>
      </c>
      <c r="C736" s="73"/>
      <c r="D736" s="81" t="str">
        <f t="shared" si="12"/>
        <v>CuveReservoir Vertical - Autres applications</v>
      </c>
      <c r="E736" s="75" t="s">
        <v>5025</v>
      </c>
      <c r="F736" s="81">
        <v>10</v>
      </c>
      <c r="G736" s="71" t="s">
        <v>5027</v>
      </c>
      <c r="H736" s="71" t="s">
        <v>5017</v>
      </c>
      <c r="I736" s="71"/>
      <c r="J736" s="70">
        <f>IFERROR(VLOOKUP(Devis[[#This Row],[Ref Air Flux]],#REF!,3,FALSE),0)</f>
        <v>0</v>
      </c>
      <c r="K736" s="68"/>
      <c r="L736" s="68"/>
      <c r="M736" s="68"/>
      <c r="N736" s="68"/>
      <c r="O736" s="68"/>
      <c r="P736" s="68"/>
      <c r="Q736" s="68">
        <f>SUM(Devis[[#This Row],[Poste 1]:[Poste 6]])</f>
        <v>0</v>
      </c>
      <c r="R736" s="71"/>
      <c r="S736" s="68">
        <f>_xlfn.CEILING.MATH(Devis[[#This Row],[Quantité Totale]],Devis[[#This Row],[Conditionnement]])</f>
        <v>0</v>
      </c>
      <c r="T736" s="72"/>
      <c r="U736" s="73"/>
      <c r="V736" s="74">
        <f>Devis[[#This Row],[Prix de Revient]]*Devis[[#This Row],[Poste 1]]</f>
        <v>0</v>
      </c>
      <c r="W736" s="74">
        <f>Devis[[#This Row],[Prix de Revient]]*Devis[[#This Row],[Poste 2]]</f>
        <v>0</v>
      </c>
      <c r="X736" s="74">
        <f>Devis[[#This Row],[Prix de Revient]]*Devis[[#This Row],[Poste 3]]</f>
        <v>0</v>
      </c>
      <c r="Y736" s="74">
        <f>Devis[[#This Row],[Poste 4]]*Devis[[#This Row],[Prix de Revient]]</f>
        <v>0</v>
      </c>
      <c r="Z736" s="74">
        <f>Devis[[#This Row],[Poste 5]]*Devis[[#This Row],[Prix de Revient]]</f>
        <v>0</v>
      </c>
      <c r="AA736" s="74">
        <f>Devis[[#This Row],[Prix de Revient]]*Devis[[#This Row],[Poste 6]]</f>
        <v>0</v>
      </c>
      <c r="AB736" s="74">
        <f>Devis[[#This Row],[Quantité Totale]]*Devis[[#This Row],[Prix de Revient]]</f>
        <v>0</v>
      </c>
    </row>
    <row r="737" spans="1:28" ht="14.25" outlineLevel="1" x14ac:dyDescent="0.2">
      <c r="A737" s="75" t="s">
        <v>326</v>
      </c>
      <c r="B737" s="76" t="s">
        <v>5002</v>
      </c>
      <c r="C737" s="73"/>
      <c r="D737" s="81" t="str">
        <f t="shared" si="12"/>
        <v>CuveReservoir Vertical - Autres applications</v>
      </c>
      <c r="E737" s="75" t="s">
        <v>5028</v>
      </c>
      <c r="F737" s="81">
        <v>11</v>
      </c>
      <c r="G737" s="71" t="s">
        <v>5029</v>
      </c>
      <c r="H737" s="71" t="s">
        <v>5017</v>
      </c>
      <c r="I737" s="71"/>
      <c r="J737" s="70">
        <f>IFERROR(VLOOKUP(Devis[[#This Row],[Ref Air Flux]],#REF!,3,FALSE),0)</f>
        <v>0</v>
      </c>
      <c r="K737" s="68"/>
      <c r="L737" s="68"/>
      <c r="M737" s="68"/>
      <c r="N737" s="68"/>
      <c r="O737" s="68"/>
      <c r="P737" s="68"/>
      <c r="Q737" s="68">
        <f>SUM(Devis[[#This Row],[Poste 1]:[Poste 6]])</f>
        <v>0</v>
      </c>
      <c r="R737" s="71"/>
      <c r="S737" s="68">
        <f>_xlfn.CEILING.MATH(Devis[[#This Row],[Quantité Totale]],Devis[[#This Row],[Conditionnement]])</f>
        <v>0</v>
      </c>
      <c r="T737" s="72"/>
      <c r="U737" s="73"/>
      <c r="V737" s="74">
        <f>Devis[[#This Row],[Prix de Revient]]*Devis[[#This Row],[Poste 1]]</f>
        <v>0</v>
      </c>
      <c r="W737" s="74">
        <f>Devis[[#This Row],[Prix de Revient]]*Devis[[#This Row],[Poste 2]]</f>
        <v>0</v>
      </c>
      <c r="X737" s="74">
        <f>Devis[[#This Row],[Prix de Revient]]*Devis[[#This Row],[Poste 3]]</f>
        <v>0</v>
      </c>
      <c r="Y737" s="74">
        <f>Devis[[#This Row],[Poste 4]]*Devis[[#This Row],[Prix de Revient]]</f>
        <v>0</v>
      </c>
      <c r="Z737" s="74">
        <f>Devis[[#This Row],[Poste 5]]*Devis[[#This Row],[Prix de Revient]]</f>
        <v>0</v>
      </c>
      <c r="AA737" s="74">
        <f>Devis[[#This Row],[Prix de Revient]]*Devis[[#This Row],[Poste 6]]</f>
        <v>0</v>
      </c>
      <c r="AB737" s="74">
        <f>Devis[[#This Row],[Quantité Totale]]*Devis[[#This Row],[Prix de Revient]]</f>
        <v>0</v>
      </c>
    </row>
    <row r="738" spans="1:28" ht="14.25" outlineLevel="1" x14ac:dyDescent="0.2">
      <c r="A738" s="75" t="s">
        <v>326</v>
      </c>
      <c r="B738" s="76" t="s">
        <v>5002</v>
      </c>
      <c r="C738" s="73"/>
      <c r="D738" s="81" t="str">
        <f t="shared" si="12"/>
        <v>CuveReservoir Vertical - Autres applications</v>
      </c>
      <c r="E738" s="75" t="s">
        <v>5030</v>
      </c>
      <c r="F738" s="81">
        <v>12</v>
      </c>
      <c r="G738" s="71" t="s">
        <v>5031</v>
      </c>
      <c r="H738" s="71" t="s">
        <v>5017</v>
      </c>
      <c r="I738" s="71"/>
      <c r="J738" s="70">
        <f>IFERROR(VLOOKUP(Devis[[#This Row],[Ref Air Flux]],#REF!,3,FALSE),0)</f>
        <v>0</v>
      </c>
      <c r="K738" s="68"/>
      <c r="L738" s="68"/>
      <c r="M738" s="68"/>
      <c r="N738" s="68"/>
      <c r="O738" s="68"/>
      <c r="P738" s="68"/>
      <c r="Q738" s="68">
        <f>SUM(Devis[[#This Row],[Poste 1]:[Poste 6]])</f>
        <v>0</v>
      </c>
      <c r="R738" s="71"/>
      <c r="S738" s="68">
        <f>_xlfn.CEILING.MATH(Devis[[#This Row],[Quantité Totale]],Devis[[#This Row],[Conditionnement]])</f>
        <v>0</v>
      </c>
      <c r="T738" s="72"/>
      <c r="U738" s="73"/>
      <c r="V738" s="74">
        <f>Devis[[#This Row],[Prix de Revient]]*Devis[[#This Row],[Poste 1]]</f>
        <v>0</v>
      </c>
      <c r="W738" s="74">
        <f>Devis[[#This Row],[Prix de Revient]]*Devis[[#This Row],[Poste 2]]</f>
        <v>0</v>
      </c>
      <c r="X738" s="74">
        <f>Devis[[#This Row],[Prix de Revient]]*Devis[[#This Row],[Poste 3]]</f>
        <v>0</v>
      </c>
      <c r="Y738" s="74">
        <f>Devis[[#This Row],[Poste 4]]*Devis[[#This Row],[Prix de Revient]]</f>
        <v>0</v>
      </c>
      <c r="Z738" s="74">
        <f>Devis[[#This Row],[Poste 5]]*Devis[[#This Row],[Prix de Revient]]</f>
        <v>0</v>
      </c>
      <c r="AA738" s="74">
        <f>Devis[[#This Row],[Prix de Revient]]*Devis[[#This Row],[Poste 6]]</f>
        <v>0</v>
      </c>
      <c r="AB738" s="74">
        <f>Devis[[#This Row],[Quantité Totale]]*Devis[[#This Row],[Prix de Revient]]</f>
        <v>0</v>
      </c>
    </row>
    <row r="739" spans="1:28" ht="14.25" outlineLevel="1" x14ac:dyDescent="0.2">
      <c r="A739" s="75" t="s">
        <v>326</v>
      </c>
      <c r="B739" s="76" t="s">
        <v>5002</v>
      </c>
      <c r="C739" s="73"/>
      <c r="D739" s="81" t="str">
        <f t="shared" si="12"/>
        <v>CuveReservoir Vertical - Autres applications</v>
      </c>
      <c r="E739" s="75" t="s">
        <v>5032</v>
      </c>
      <c r="F739" s="81">
        <v>13</v>
      </c>
      <c r="G739" s="71" t="s">
        <v>5033</v>
      </c>
      <c r="H739" s="71" t="s">
        <v>3381</v>
      </c>
      <c r="I739" s="71"/>
      <c r="J739" s="70">
        <f>IFERROR(VLOOKUP(Devis[[#This Row],[Ref Air Flux]],#REF!,3,FALSE),0)</f>
        <v>0</v>
      </c>
      <c r="K739" s="68"/>
      <c r="L739" s="68"/>
      <c r="M739" s="68"/>
      <c r="N739" s="68"/>
      <c r="O739" s="68"/>
      <c r="P739" s="68"/>
      <c r="Q739" s="68">
        <f>SUM(Devis[[#This Row],[Poste 1]:[Poste 6]])</f>
        <v>0</v>
      </c>
      <c r="R739" s="71"/>
      <c r="S739" s="68">
        <f>_xlfn.CEILING.MATH(Devis[[#This Row],[Quantité Totale]],Devis[[#This Row],[Conditionnement]])</f>
        <v>0</v>
      </c>
      <c r="T739" s="72"/>
      <c r="U739" s="73"/>
      <c r="V739" s="74">
        <f>Devis[[#This Row],[Prix de Revient]]*Devis[[#This Row],[Poste 1]]</f>
        <v>0</v>
      </c>
      <c r="W739" s="74">
        <f>Devis[[#This Row],[Prix de Revient]]*Devis[[#This Row],[Poste 2]]</f>
        <v>0</v>
      </c>
      <c r="X739" s="74">
        <f>Devis[[#This Row],[Prix de Revient]]*Devis[[#This Row],[Poste 3]]</f>
        <v>0</v>
      </c>
      <c r="Y739" s="74">
        <f>Devis[[#This Row],[Poste 4]]*Devis[[#This Row],[Prix de Revient]]</f>
        <v>0</v>
      </c>
      <c r="Z739" s="74">
        <f>Devis[[#This Row],[Poste 5]]*Devis[[#This Row],[Prix de Revient]]</f>
        <v>0</v>
      </c>
      <c r="AA739" s="74">
        <f>Devis[[#This Row],[Prix de Revient]]*Devis[[#This Row],[Poste 6]]</f>
        <v>0</v>
      </c>
      <c r="AB739" s="74">
        <f>Devis[[#This Row],[Quantité Totale]]*Devis[[#This Row],[Prix de Revient]]</f>
        <v>0</v>
      </c>
    </row>
    <row r="740" spans="1:28" ht="14.25" outlineLevel="1" x14ac:dyDescent="0.2">
      <c r="A740" s="75" t="s">
        <v>326</v>
      </c>
      <c r="B740" s="76" t="s">
        <v>5002</v>
      </c>
      <c r="C740" s="73" t="s">
        <v>3934</v>
      </c>
      <c r="D740" s="81" t="str">
        <f t="shared" ref="D740:D803" si="13">A740&amp;B740&amp;C740</f>
        <v>CuveReservoir Vertical - Autres applicationsPauchard</v>
      </c>
      <c r="E740" s="75" t="s">
        <v>5034</v>
      </c>
      <c r="F740" s="81">
        <v>14</v>
      </c>
      <c r="G740" s="71" t="s">
        <v>5035</v>
      </c>
      <c r="H740" s="71" t="s">
        <v>3934</v>
      </c>
      <c r="I740" s="71"/>
      <c r="J740" s="70">
        <f>IFERROR(VLOOKUP(Devis[[#This Row],[Ref Air Flux]],#REF!,3,FALSE),0)</f>
        <v>0</v>
      </c>
      <c r="K740" s="68"/>
      <c r="L740" s="68"/>
      <c r="M740" s="68"/>
      <c r="N740" s="68"/>
      <c r="O740" s="68"/>
      <c r="P740" s="68"/>
      <c r="Q740" s="68">
        <f>SUM(Devis[[#This Row],[Poste 1]:[Poste 6]])</f>
        <v>0</v>
      </c>
      <c r="R740" s="71"/>
      <c r="S740" s="68">
        <f>_xlfn.CEILING.MATH(Devis[[#This Row],[Quantité Totale]],Devis[[#This Row],[Conditionnement]])</f>
        <v>0</v>
      </c>
      <c r="T740" s="72"/>
      <c r="U740" s="73"/>
      <c r="V740" s="74">
        <f>Devis[[#This Row],[Prix de Revient]]*Devis[[#This Row],[Poste 1]]</f>
        <v>0</v>
      </c>
      <c r="W740" s="74">
        <f>Devis[[#This Row],[Prix de Revient]]*Devis[[#This Row],[Poste 2]]</f>
        <v>0</v>
      </c>
      <c r="X740" s="74">
        <f>Devis[[#This Row],[Prix de Revient]]*Devis[[#This Row],[Poste 3]]</f>
        <v>0</v>
      </c>
      <c r="Y740" s="74">
        <f>Devis[[#This Row],[Poste 4]]*Devis[[#This Row],[Prix de Revient]]</f>
        <v>0</v>
      </c>
      <c r="Z740" s="74">
        <f>Devis[[#This Row],[Poste 5]]*Devis[[#This Row],[Prix de Revient]]</f>
        <v>0</v>
      </c>
      <c r="AA740" s="74">
        <f>Devis[[#This Row],[Prix de Revient]]*Devis[[#This Row],[Poste 6]]</f>
        <v>0</v>
      </c>
      <c r="AB740" s="74">
        <f>Devis[[#This Row],[Quantité Totale]]*Devis[[#This Row],[Prix de Revient]]</f>
        <v>0</v>
      </c>
    </row>
    <row r="741" spans="1:28" ht="14.25" outlineLevel="1" x14ac:dyDescent="0.2">
      <c r="A741" s="75" t="s">
        <v>326</v>
      </c>
      <c r="B741" s="76" t="s">
        <v>5002</v>
      </c>
      <c r="C741" s="73" t="s">
        <v>3934</v>
      </c>
      <c r="D741" s="81" t="str">
        <f t="shared" si="13"/>
        <v>CuveReservoir Vertical - Autres applicationsPauchard</v>
      </c>
      <c r="E741" s="75" t="s">
        <v>5036</v>
      </c>
      <c r="F741" s="81">
        <v>15</v>
      </c>
      <c r="G741" s="71" t="s">
        <v>3926</v>
      </c>
      <c r="H741" s="71" t="s">
        <v>3934</v>
      </c>
      <c r="I741" s="71"/>
      <c r="J741" s="70">
        <f>IFERROR(VLOOKUP(Devis[[#This Row],[Ref Air Flux]],#REF!,3,FALSE),0)</f>
        <v>0</v>
      </c>
      <c r="K741" s="68"/>
      <c r="L741" s="68"/>
      <c r="M741" s="68"/>
      <c r="N741" s="68"/>
      <c r="O741" s="68"/>
      <c r="P741" s="68"/>
      <c r="Q741" s="68">
        <f>SUM(Devis[[#This Row],[Poste 1]:[Poste 6]])</f>
        <v>0</v>
      </c>
      <c r="R741" s="71"/>
      <c r="S741" s="68">
        <f>_xlfn.CEILING.MATH(Devis[[#This Row],[Quantité Totale]],Devis[[#This Row],[Conditionnement]])</f>
        <v>0</v>
      </c>
      <c r="T741" s="72"/>
      <c r="U741" s="73"/>
      <c r="V741" s="74">
        <f>Devis[[#This Row],[Prix de Revient]]*Devis[[#This Row],[Poste 1]]</f>
        <v>0</v>
      </c>
      <c r="W741" s="74">
        <f>Devis[[#This Row],[Prix de Revient]]*Devis[[#This Row],[Poste 2]]</f>
        <v>0</v>
      </c>
      <c r="X741" s="74">
        <f>Devis[[#This Row],[Prix de Revient]]*Devis[[#This Row],[Poste 3]]</f>
        <v>0</v>
      </c>
      <c r="Y741" s="74">
        <f>Devis[[#This Row],[Poste 4]]*Devis[[#This Row],[Prix de Revient]]</f>
        <v>0</v>
      </c>
      <c r="Z741" s="74">
        <f>Devis[[#This Row],[Poste 5]]*Devis[[#This Row],[Prix de Revient]]</f>
        <v>0</v>
      </c>
      <c r="AA741" s="74">
        <f>Devis[[#This Row],[Prix de Revient]]*Devis[[#This Row],[Poste 6]]</f>
        <v>0</v>
      </c>
      <c r="AB741" s="74">
        <f>Devis[[#This Row],[Quantité Totale]]*Devis[[#This Row],[Prix de Revient]]</f>
        <v>0</v>
      </c>
    </row>
    <row r="742" spans="1:28" ht="14.25" outlineLevel="1" x14ac:dyDescent="0.2">
      <c r="A742" s="75" t="s">
        <v>326</v>
      </c>
      <c r="B742" s="76" t="s">
        <v>5002</v>
      </c>
      <c r="C742" s="73" t="s">
        <v>3934</v>
      </c>
      <c r="D742" s="81" t="str">
        <f t="shared" si="13"/>
        <v>CuveReservoir Vertical - Autres applicationsPauchard</v>
      </c>
      <c r="E742" s="75" t="s">
        <v>5037</v>
      </c>
      <c r="F742" s="81">
        <v>16</v>
      </c>
      <c r="G742" s="71" t="s">
        <v>3932</v>
      </c>
      <c r="H742" s="71" t="s">
        <v>3934</v>
      </c>
      <c r="I742" s="71"/>
      <c r="J742" s="70">
        <f>IFERROR(VLOOKUP(Devis[[#This Row],[Ref Air Flux]],#REF!,3,FALSE),0)</f>
        <v>0</v>
      </c>
      <c r="K742" s="68"/>
      <c r="L742" s="68"/>
      <c r="M742" s="68"/>
      <c r="N742" s="68"/>
      <c r="O742" s="68"/>
      <c r="P742" s="68"/>
      <c r="Q742" s="68">
        <f>SUM(Devis[[#This Row],[Poste 1]:[Poste 6]])</f>
        <v>0</v>
      </c>
      <c r="R742" s="71"/>
      <c r="S742" s="68">
        <f>_xlfn.CEILING.MATH(Devis[[#This Row],[Quantité Totale]],Devis[[#This Row],[Conditionnement]])</f>
        <v>0</v>
      </c>
      <c r="T742" s="72"/>
      <c r="U742" s="73"/>
      <c r="V742" s="74">
        <f>Devis[[#This Row],[Prix de Revient]]*Devis[[#This Row],[Poste 1]]</f>
        <v>0</v>
      </c>
      <c r="W742" s="74">
        <f>Devis[[#This Row],[Prix de Revient]]*Devis[[#This Row],[Poste 2]]</f>
        <v>0</v>
      </c>
      <c r="X742" s="74">
        <f>Devis[[#This Row],[Prix de Revient]]*Devis[[#This Row],[Poste 3]]</f>
        <v>0</v>
      </c>
      <c r="Y742" s="74">
        <f>Devis[[#This Row],[Poste 4]]*Devis[[#This Row],[Prix de Revient]]</f>
        <v>0</v>
      </c>
      <c r="Z742" s="74">
        <f>Devis[[#This Row],[Poste 5]]*Devis[[#This Row],[Prix de Revient]]</f>
        <v>0</v>
      </c>
      <c r="AA742" s="74">
        <f>Devis[[#This Row],[Prix de Revient]]*Devis[[#This Row],[Poste 6]]</f>
        <v>0</v>
      </c>
      <c r="AB742" s="74">
        <f>Devis[[#This Row],[Quantité Totale]]*Devis[[#This Row],[Prix de Revient]]</f>
        <v>0</v>
      </c>
    </row>
    <row r="743" spans="1:28" ht="15" customHeight="1" outlineLevel="1" x14ac:dyDescent="0.2">
      <c r="A743" s="75" t="s">
        <v>326</v>
      </c>
      <c r="B743" s="76" t="s">
        <v>5002</v>
      </c>
      <c r="C743" s="73" t="s">
        <v>3934</v>
      </c>
      <c r="D743" s="81" t="str">
        <f t="shared" si="13"/>
        <v>CuveReservoir Vertical - Autres applicationsPauchard</v>
      </c>
      <c r="E743" s="75" t="s">
        <v>5038</v>
      </c>
      <c r="F743" s="81">
        <v>17</v>
      </c>
      <c r="G743" s="71" t="s">
        <v>3933</v>
      </c>
      <c r="H743" s="71" t="s">
        <v>3934</v>
      </c>
      <c r="I743" s="71"/>
      <c r="J743" s="70">
        <f>IFERROR(VLOOKUP(Devis[[#This Row],[Ref Air Flux]],#REF!,3,FALSE),0)</f>
        <v>0</v>
      </c>
      <c r="K743" s="68"/>
      <c r="L743" s="68"/>
      <c r="M743" s="68"/>
      <c r="N743" s="68"/>
      <c r="O743" s="68"/>
      <c r="P743" s="68"/>
      <c r="Q743" s="68">
        <f>SUM(Devis[[#This Row],[Poste 1]:[Poste 6]])</f>
        <v>0</v>
      </c>
      <c r="R743" s="71"/>
      <c r="S743" s="68">
        <f>_xlfn.CEILING.MATH(Devis[[#This Row],[Quantité Totale]],Devis[[#This Row],[Conditionnement]])</f>
        <v>0</v>
      </c>
      <c r="T743" s="72"/>
      <c r="U743" s="73"/>
      <c r="V743" s="74">
        <f>Devis[[#This Row],[Prix de Revient]]*Devis[[#This Row],[Poste 1]]</f>
        <v>0</v>
      </c>
      <c r="W743" s="74">
        <f>Devis[[#This Row],[Prix de Revient]]*Devis[[#This Row],[Poste 2]]</f>
        <v>0</v>
      </c>
      <c r="X743" s="74">
        <f>Devis[[#This Row],[Prix de Revient]]*Devis[[#This Row],[Poste 3]]</f>
        <v>0</v>
      </c>
      <c r="Y743" s="74">
        <f>Devis[[#This Row],[Poste 4]]*Devis[[#This Row],[Prix de Revient]]</f>
        <v>0</v>
      </c>
      <c r="Z743" s="74">
        <f>Devis[[#This Row],[Poste 5]]*Devis[[#This Row],[Prix de Revient]]</f>
        <v>0</v>
      </c>
      <c r="AA743" s="74">
        <f>Devis[[#This Row],[Prix de Revient]]*Devis[[#This Row],[Poste 6]]</f>
        <v>0</v>
      </c>
      <c r="AB743" s="74">
        <f>Devis[[#This Row],[Quantité Totale]]*Devis[[#This Row],[Prix de Revient]]</f>
        <v>0</v>
      </c>
    </row>
    <row r="744" spans="1:28" ht="14.25" customHeight="1" x14ac:dyDescent="0.25">
      <c r="A744" s="65" t="s">
        <v>337</v>
      </c>
      <c r="B744" s="65" t="s">
        <v>5983</v>
      </c>
      <c r="C744" s="65" t="s">
        <v>6117</v>
      </c>
      <c r="D744" s="122" t="str">
        <f t="shared" si="13"/>
        <v>DiversChariot IndustrielA</v>
      </c>
      <c r="E744" s="76"/>
      <c r="F744" s="76">
        <v>0</v>
      </c>
      <c r="G744" s="86"/>
      <c r="H744" s="71"/>
      <c r="I744" s="71"/>
      <c r="J744" s="70">
        <f>IFERROR(VLOOKUP(Devis[[#This Row],[Ref Air Flux]],#REF!,3,FALSE),0)</f>
        <v>0</v>
      </c>
      <c r="K744" s="68"/>
      <c r="L744" s="68"/>
      <c r="M744" s="68"/>
      <c r="N744" s="68"/>
      <c r="O744" s="68"/>
      <c r="P744" s="68"/>
      <c r="Q744" s="68">
        <f>SUM(Devis[[#This Row],[Poste 1]:[Poste 6]])</f>
        <v>0</v>
      </c>
      <c r="R744" s="71"/>
      <c r="S744" s="68">
        <f>_xlfn.CEILING.MATH(Devis[[#This Row],[Quantité Totale]],Devis[[#This Row],[Conditionnement]])</f>
        <v>0</v>
      </c>
      <c r="T744" s="72"/>
      <c r="U744" s="73"/>
      <c r="V744" s="74">
        <f>Devis[[#This Row],[Prix de Revient]]*Devis[[#This Row],[Poste 1]]</f>
        <v>0</v>
      </c>
      <c r="W744" s="74">
        <f>Devis[[#This Row],[Prix de Revient]]*Devis[[#This Row],[Poste 2]]</f>
        <v>0</v>
      </c>
      <c r="X744" s="74">
        <f>Devis[[#This Row],[Prix de Revient]]*Devis[[#This Row],[Poste 3]]</f>
        <v>0</v>
      </c>
      <c r="Y744" s="74">
        <f>Devis[[#This Row],[Poste 4]]*Devis[[#This Row],[Prix de Revient]]</f>
        <v>0</v>
      </c>
      <c r="Z744" s="74">
        <f>Devis[[#This Row],[Poste 5]]*Devis[[#This Row],[Prix de Revient]]</f>
        <v>0</v>
      </c>
      <c r="AA744" s="74">
        <f>Devis[[#This Row],[Prix de Revient]]*Devis[[#This Row],[Poste 6]]</f>
        <v>0</v>
      </c>
      <c r="AB744" s="74">
        <f>Devis[[#This Row],[Quantité Totale]]*Devis[[#This Row],[Prix de Revient]]</f>
        <v>0</v>
      </c>
    </row>
    <row r="745" spans="1:28" ht="14.25" outlineLevel="1" x14ac:dyDescent="0.2">
      <c r="A745" s="75" t="s">
        <v>337</v>
      </c>
      <c r="B745" s="76" t="s">
        <v>5983</v>
      </c>
      <c r="C745" s="76" t="s">
        <v>5964</v>
      </c>
      <c r="D745" s="122" t="str">
        <f t="shared" si="13"/>
        <v>DiversChariot IndustrielDiesel</v>
      </c>
      <c r="E745" s="76" t="s">
        <v>6000</v>
      </c>
      <c r="F745" s="76">
        <v>9</v>
      </c>
      <c r="G745" s="86" t="s">
        <v>6118</v>
      </c>
      <c r="H745" s="71" t="s">
        <v>5994</v>
      </c>
      <c r="I745" s="71" t="s">
        <v>6001</v>
      </c>
      <c r="J745" s="70">
        <f>IFERROR(VLOOKUP(Devis[[#This Row],[Ref Air Flux]],#REF!,3,FALSE),0)</f>
        <v>0</v>
      </c>
      <c r="K745" s="68"/>
      <c r="L745" s="68"/>
      <c r="M745" s="68"/>
      <c r="N745" s="68"/>
      <c r="O745" s="68"/>
      <c r="P745" s="68"/>
      <c r="Q745" s="68">
        <f>SUM(Devis[[#This Row],[Poste 1]:[Poste 6]])</f>
        <v>0</v>
      </c>
      <c r="R745" s="71"/>
      <c r="S745" s="68">
        <f>_xlfn.CEILING.MATH(Devis[[#This Row],[Quantité Totale]],Devis[[#This Row],[Conditionnement]])</f>
        <v>0</v>
      </c>
      <c r="T745" s="72"/>
      <c r="U745" s="70">
        <v>227</v>
      </c>
      <c r="V745" s="74">
        <f>Devis[[#This Row],[Prix de Revient]]*Devis[[#This Row],[Poste 1]]</f>
        <v>0</v>
      </c>
      <c r="W745" s="74">
        <f>Devis[[#This Row],[Prix de Revient]]*Devis[[#This Row],[Poste 2]]</f>
        <v>0</v>
      </c>
      <c r="X745" s="74">
        <f>Devis[[#This Row],[Prix de Revient]]*Devis[[#This Row],[Poste 3]]</f>
        <v>0</v>
      </c>
      <c r="Y745" s="74">
        <f>Devis[[#This Row],[Poste 4]]*Devis[[#This Row],[Prix de Revient]]</f>
        <v>0</v>
      </c>
      <c r="Z745" s="74">
        <f>Devis[[#This Row],[Poste 5]]*Devis[[#This Row],[Prix de Revient]]</f>
        <v>0</v>
      </c>
      <c r="AA745" s="74">
        <f>Devis[[#This Row],[Prix de Revient]]*Devis[[#This Row],[Poste 6]]</f>
        <v>0</v>
      </c>
      <c r="AB745" s="74">
        <f>Devis[[#This Row],[Quantité Totale]]*Devis[[#This Row],[Prix de Revient]]</f>
        <v>0</v>
      </c>
    </row>
    <row r="746" spans="1:28" ht="14.25" outlineLevel="1" x14ac:dyDescent="0.2">
      <c r="A746" s="75" t="s">
        <v>337</v>
      </c>
      <c r="B746" s="76" t="s">
        <v>5983</v>
      </c>
      <c r="C746" s="76" t="s">
        <v>5964</v>
      </c>
      <c r="D746" s="122" t="str">
        <f t="shared" si="13"/>
        <v>DiversChariot IndustrielDiesel</v>
      </c>
      <c r="E746" s="76" t="s">
        <v>6002</v>
      </c>
      <c r="F746" s="76">
        <v>10</v>
      </c>
      <c r="G746" s="86" t="s">
        <v>6119</v>
      </c>
      <c r="H746" s="71" t="s">
        <v>5994</v>
      </c>
      <c r="I746" s="71" t="s">
        <v>6003</v>
      </c>
      <c r="J746" s="70">
        <f>IFERROR(VLOOKUP(Devis[[#This Row],[Ref Air Flux]],#REF!,3,FALSE),0)</f>
        <v>0</v>
      </c>
      <c r="K746" s="68"/>
      <c r="L746" s="68"/>
      <c r="M746" s="68"/>
      <c r="N746" s="68"/>
      <c r="O746" s="68"/>
      <c r="P746" s="68"/>
      <c r="Q746" s="68">
        <f>SUM(Devis[[#This Row],[Poste 1]:[Poste 6]])</f>
        <v>0</v>
      </c>
      <c r="R746" s="71"/>
      <c r="S746" s="68">
        <f>_xlfn.CEILING.MATH(Devis[[#This Row],[Quantité Totale]],Devis[[#This Row],[Conditionnement]])</f>
        <v>0</v>
      </c>
      <c r="T746" s="72"/>
      <c r="U746" s="70">
        <v>350</v>
      </c>
      <c r="V746" s="74">
        <f>Devis[[#This Row],[Prix de Revient]]*Devis[[#This Row],[Poste 1]]</f>
        <v>0</v>
      </c>
      <c r="W746" s="74">
        <f>Devis[[#This Row],[Prix de Revient]]*Devis[[#This Row],[Poste 2]]</f>
        <v>0</v>
      </c>
      <c r="X746" s="74">
        <f>Devis[[#This Row],[Prix de Revient]]*Devis[[#This Row],[Poste 3]]</f>
        <v>0</v>
      </c>
      <c r="Y746" s="74">
        <f>Devis[[#This Row],[Poste 4]]*Devis[[#This Row],[Prix de Revient]]</f>
        <v>0</v>
      </c>
      <c r="Z746" s="74">
        <f>Devis[[#This Row],[Poste 5]]*Devis[[#This Row],[Prix de Revient]]</f>
        <v>0</v>
      </c>
      <c r="AA746" s="74">
        <f>Devis[[#This Row],[Prix de Revient]]*Devis[[#This Row],[Poste 6]]</f>
        <v>0</v>
      </c>
      <c r="AB746" s="74">
        <f>Devis[[#This Row],[Quantité Totale]]*Devis[[#This Row],[Prix de Revient]]</f>
        <v>0</v>
      </c>
    </row>
    <row r="747" spans="1:28" ht="14.25" outlineLevel="1" x14ac:dyDescent="0.2">
      <c r="A747" s="75" t="s">
        <v>337</v>
      </c>
      <c r="B747" s="76" t="s">
        <v>5983</v>
      </c>
      <c r="C747" s="76" t="s">
        <v>5984</v>
      </c>
      <c r="D747" s="122" t="str">
        <f t="shared" si="13"/>
        <v>DiversChariot IndustrielGaz</v>
      </c>
      <c r="E747" s="76" t="s">
        <v>5985</v>
      </c>
      <c r="F747" s="76">
        <v>1</v>
      </c>
      <c r="G747" s="86" t="s">
        <v>6120</v>
      </c>
      <c r="H747" s="71" t="s">
        <v>5948</v>
      </c>
      <c r="I747" s="71" t="s">
        <v>5986</v>
      </c>
      <c r="J747" s="70">
        <f>IFERROR(VLOOKUP(Devis[[#This Row],[Ref Air Flux]],#REF!,3,FALSE),0)</f>
        <v>0</v>
      </c>
      <c r="K747" s="68"/>
      <c r="L747" s="68"/>
      <c r="M747" s="68"/>
      <c r="N747" s="68"/>
      <c r="O747" s="68"/>
      <c r="P747" s="68"/>
      <c r="Q747" s="68">
        <f>SUM(Devis[[#This Row],[Poste 1]:[Poste 6]])</f>
        <v>0</v>
      </c>
      <c r="R747" s="71"/>
      <c r="S747" s="68">
        <f>_xlfn.CEILING.MATH(Devis[[#This Row],[Quantité Totale]],Devis[[#This Row],[Conditionnement]])</f>
        <v>0</v>
      </c>
      <c r="T747" s="72"/>
      <c r="U747" s="70">
        <v>69</v>
      </c>
      <c r="V747" s="74">
        <f>Devis[[#This Row],[Prix de Revient]]*Devis[[#This Row],[Poste 1]]</f>
        <v>0</v>
      </c>
      <c r="W747" s="74">
        <f>Devis[[#This Row],[Prix de Revient]]*Devis[[#This Row],[Poste 2]]</f>
        <v>0</v>
      </c>
      <c r="X747" s="74">
        <f>Devis[[#This Row],[Prix de Revient]]*Devis[[#This Row],[Poste 3]]</f>
        <v>0</v>
      </c>
      <c r="Y747" s="74">
        <f>Devis[[#This Row],[Poste 4]]*Devis[[#This Row],[Prix de Revient]]</f>
        <v>0</v>
      </c>
      <c r="Z747" s="74">
        <f>Devis[[#This Row],[Poste 5]]*Devis[[#This Row],[Prix de Revient]]</f>
        <v>0</v>
      </c>
      <c r="AA747" s="74">
        <f>Devis[[#This Row],[Prix de Revient]]*Devis[[#This Row],[Poste 6]]</f>
        <v>0</v>
      </c>
      <c r="AB747" s="74">
        <f>Devis[[#This Row],[Quantité Totale]]*Devis[[#This Row],[Prix de Revient]]</f>
        <v>0</v>
      </c>
    </row>
    <row r="748" spans="1:28" ht="14.25" outlineLevel="1" x14ac:dyDescent="0.2">
      <c r="A748" s="75" t="s">
        <v>337</v>
      </c>
      <c r="B748" s="76" t="s">
        <v>5983</v>
      </c>
      <c r="C748" s="76" t="s">
        <v>5984</v>
      </c>
      <c r="D748" s="122" t="str">
        <f t="shared" si="13"/>
        <v>DiversChariot IndustrielGaz</v>
      </c>
      <c r="E748" s="76" t="s">
        <v>5987</v>
      </c>
      <c r="F748" s="76">
        <v>2</v>
      </c>
      <c r="G748" s="86" t="s">
        <v>6121</v>
      </c>
      <c r="H748" s="71" t="s">
        <v>5948</v>
      </c>
      <c r="I748" s="71" t="s">
        <v>5988</v>
      </c>
      <c r="J748" s="70">
        <f>IFERROR(VLOOKUP(Devis[[#This Row],[Ref Air Flux]],#REF!,3,FALSE),0)</f>
        <v>0</v>
      </c>
      <c r="K748" s="68"/>
      <c r="L748" s="68"/>
      <c r="M748" s="68"/>
      <c r="N748" s="68"/>
      <c r="O748" s="68"/>
      <c r="P748" s="68"/>
      <c r="Q748" s="68">
        <f>SUM(Devis[[#This Row],[Poste 1]:[Poste 6]])</f>
        <v>0</v>
      </c>
      <c r="R748" s="71"/>
      <c r="S748" s="68">
        <f>_xlfn.CEILING.MATH(Devis[[#This Row],[Quantité Totale]],Devis[[#This Row],[Conditionnement]])</f>
        <v>0</v>
      </c>
      <c r="T748" s="72"/>
      <c r="U748" s="70">
        <v>69</v>
      </c>
      <c r="V748" s="74">
        <f>Devis[[#This Row],[Prix de Revient]]*Devis[[#This Row],[Poste 1]]</f>
        <v>0</v>
      </c>
      <c r="W748" s="74">
        <f>Devis[[#This Row],[Prix de Revient]]*Devis[[#This Row],[Poste 2]]</f>
        <v>0</v>
      </c>
      <c r="X748" s="74">
        <f>Devis[[#This Row],[Prix de Revient]]*Devis[[#This Row],[Poste 3]]</f>
        <v>0</v>
      </c>
      <c r="Y748" s="74">
        <f>Devis[[#This Row],[Poste 4]]*Devis[[#This Row],[Prix de Revient]]</f>
        <v>0</v>
      </c>
      <c r="Z748" s="74">
        <f>Devis[[#This Row],[Poste 5]]*Devis[[#This Row],[Prix de Revient]]</f>
        <v>0</v>
      </c>
      <c r="AA748" s="74">
        <f>Devis[[#This Row],[Prix de Revient]]*Devis[[#This Row],[Poste 6]]</f>
        <v>0</v>
      </c>
      <c r="AB748" s="74">
        <f>Devis[[#This Row],[Quantité Totale]]*Devis[[#This Row],[Prix de Revient]]</f>
        <v>0</v>
      </c>
    </row>
    <row r="749" spans="1:28" ht="14.25" outlineLevel="1" x14ac:dyDescent="0.2">
      <c r="A749" s="75" t="s">
        <v>337</v>
      </c>
      <c r="B749" s="76" t="s">
        <v>5983</v>
      </c>
      <c r="C749" s="76" t="s">
        <v>5984</v>
      </c>
      <c r="D749" s="122" t="str">
        <f t="shared" si="13"/>
        <v>DiversChariot IndustrielGaz</v>
      </c>
      <c r="E749" s="76" t="s">
        <v>5989</v>
      </c>
      <c r="F749" s="76">
        <v>3</v>
      </c>
      <c r="G749" s="86" t="s">
        <v>6122</v>
      </c>
      <c r="H749" s="71" t="s">
        <v>5948</v>
      </c>
      <c r="I749" s="71" t="s">
        <v>5990</v>
      </c>
      <c r="J749" s="70">
        <f>IFERROR(VLOOKUP(Devis[[#This Row],[Ref Air Flux]],#REF!,3,FALSE),0)</f>
        <v>0</v>
      </c>
      <c r="K749" s="68"/>
      <c r="L749" s="68"/>
      <c r="M749" s="68"/>
      <c r="N749" s="68"/>
      <c r="O749" s="68"/>
      <c r="P749" s="68"/>
      <c r="Q749" s="68">
        <f>SUM(Devis[[#This Row],[Poste 1]:[Poste 6]])</f>
        <v>0</v>
      </c>
      <c r="R749" s="71"/>
      <c r="S749" s="68">
        <f>_xlfn.CEILING.MATH(Devis[[#This Row],[Quantité Totale]],Devis[[#This Row],[Conditionnement]])</f>
        <v>0</v>
      </c>
      <c r="T749" s="72"/>
      <c r="U749" s="70">
        <v>74</v>
      </c>
      <c r="V749" s="74">
        <f>Devis[[#This Row],[Prix de Revient]]*Devis[[#This Row],[Poste 1]]</f>
        <v>0</v>
      </c>
      <c r="W749" s="74">
        <f>Devis[[#This Row],[Prix de Revient]]*Devis[[#This Row],[Poste 2]]</f>
        <v>0</v>
      </c>
      <c r="X749" s="74">
        <f>Devis[[#This Row],[Prix de Revient]]*Devis[[#This Row],[Poste 3]]</f>
        <v>0</v>
      </c>
      <c r="Y749" s="74">
        <f>Devis[[#This Row],[Poste 4]]*Devis[[#This Row],[Prix de Revient]]</f>
        <v>0</v>
      </c>
      <c r="Z749" s="74">
        <f>Devis[[#This Row],[Poste 5]]*Devis[[#This Row],[Prix de Revient]]</f>
        <v>0</v>
      </c>
      <c r="AA749" s="74">
        <f>Devis[[#This Row],[Prix de Revient]]*Devis[[#This Row],[Poste 6]]</f>
        <v>0</v>
      </c>
      <c r="AB749" s="74">
        <f>Devis[[#This Row],[Quantité Totale]]*Devis[[#This Row],[Prix de Revient]]</f>
        <v>0</v>
      </c>
    </row>
    <row r="750" spans="1:28" ht="14.25" customHeight="1" outlineLevel="1" x14ac:dyDescent="0.2">
      <c r="A750" s="75" t="s">
        <v>337</v>
      </c>
      <c r="B750" s="76" t="s">
        <v>5983</v>
      </c>
      <c r="C750" s="76" t="s">
        <v>5984</v>
      </c>
      <c r="D750" s="122" t="str">
        <f t="shared" si="13"/>
        <v>DiversChariot IndustrielGaz</v>
      </c>
      <c r="E750" s="76" t="s">
        <v>5991</v>
      </c>
      <c r="F750" s="76">
        <v>4</v>
      </c>
      <c r="G750" s="86" t="s">
        <v>6123</v>
      </c>
      <c r="H750" s="71" t="s">
        <v>5948</v>
      </c>
      <c r="I750" s="71" t="s">
        <v>5992</v>
      </c>
      <c r="J750" s="70">
        <f>IFERROR(VLOOKUP(Devis[[#This Row],[Ref Air Flux]],#REF!,3,FALSE),0)</f>
        <v>0</v>
      </c>
      <c r="K750" s="68"/>
      <c r="L750" s="68"/>
      <c r="M750" s="68"/>
      <c r="N750" s="68"/>
      <c r="O750" s="68"/>
      <c r="P750" s="68"/>
      <c r="Q750" s="68">
        <f>SUM(Devis[[#This Row],[Poste 1]:[Poste 6]])</f>
        <v>0</v>
      </c>
      <c r="R750" s="71"/>
      <c r="S750" s="68">
        <f>_xlfn.CEILING.MATH(Devis[[#This Row],[Quantité Totale]],Devis[[#This Row],[Conditionnement]])</f>
        <v>0</v>
      </c>
      <c r="T750" s="72"/>
      <c r="U750" s="70">
        <v>74</v>
      </c>
      <c r="V750" s="74">
        <f>Devis[[#This Row],[Prix de Revient]]*Devis[[#This Row],[Poste 1]]</f>
        <v>0</v>
      </c>
      <c r="W750" s="74">
        <f>Devis[[#This Row],[Prix de Revient]]*Devis[[#This Row],[Poste 2]]</f>
        <v>0</v>
      </c>
      <c r="X750" s="74">
        <f>Devis[[#This Row],[Prix de Revient]]*Devis[[#This Row],[Poste 3]]</f>
        <v>0</v>
      </c>
      <c r="Y750" s="74">
        <f>Devis[[#This Row],[Poste 4]]*Devis[[#This Row],[Prix de Revient]]</f>
        <v>0</v>
      </c>
      <c r="Z750" s="74">
        <f>Devis[[#This Row],[Poste 5]]*Devis[[#This Row],[Prix de Revient]]</f>
        <v>0</v>
      </c>
      <c r="AA750" s="74">
        <f>Devis[[#This Row],[Prix de Revient]]*Devis[[#This Row],[Poste 6]]</f>
        <v>0</v>
      </c>
      <c r="AB750" s="74">
        <f>Devis[[#This Row],[Quantité Totale]]*Devis[[#This Row],[Prix de Revient]]</f>
        <v>0</v>
      </c>
    </row>
    <row r="751" spans="1:28" ht="14.25" outlineLevel="1" x14ac:dyDescent="0.2">
      <c r="A751" s="75" t="s">
        <v>337</v>
      </c>
      <c r="B751" s="76" t="s">
        <v>5983</v>
      </c>
      <c r="C751" s="76" t="s">
        <v>5984</v>
      </c>
      <c r="D751" s="122" t="str">
        <f t="shared" si="13"/>
        <v>DiversChariot IndustrielGaz</v>
      </c>
      <c r="E751" s="76" t="s">
        <v>5958</v>
      </c>
      <c r="F751" s="76">
        <v>5</v>
      </c>
      <c r="G751" s="86" t="s">
        <v>6124</v>
      </c>
      <c r="H751" s="71" t="s">
        <v>5948</v>
      </c>
      <c r="I751" s="71" t="s">
        <v>5959</v>
      </c>
      <c r="J751" s="70">
        <f>IFERROR(VLOOKUP(Devis[[#This Row],[Ref Air Flux]],#REF!,3,FALSE),0)</f>
        <v>0</v>
      </c>
      <c r="K751" s="68"/>
      <c r="L751" s="68"/>
      <c r="M751" s="68"/>
      <c r="N751" s="68"/>
      <c r="O751" s="68"/>
      <c r="P751" s="68"/>
      <c r="Q751" s="68">
        <f>SUM(Devis[[#This Row],[Poste 1]:[Poste 6]])</f>
        <v>0</v>
      </c>
      <c r="R751" s="71"/>
      <c r="S751" s="68">
        <f>_xlfn.CEILING.MATH(Devis[[#This Row],[Quantité Totale]],Devis[[#This Row],[Conditionnement]])</f>
        <v>0</v>
      </c>
      <c r="T751" s="72"/>
      <c r="U751" s="70">
        <v>90</v>
      </c>
      <c r="V751" s="74">
        <f>Devis[[#This Row],[Prix de Revient]]*Devis[[#This Row],[Poste 1]]</f>
        <v>0</v>
      </c>
      <c r="W751" s="74">
        <f>Devis[[#This Row],[Prix de Revient]]*Devis[[#This Row],[Poste 2]]</f>
        <v>0</v>
      </c>
      <c r="X751" s="74">
        <f>Devis[[#This Row],[Prix de Revient]]*Devis[[#This Row],[Poste 3]]</f>
        <v>0</v>
      </c>
      <c r="Y751" s="74">
        <f>Devis[[#This Row],[Poste 4]]*Devis[[#This Row],[Prix de Revient]]</f>
        <v>0</v>
      </c>
      <c r="Z751" s="74">
        <f>Devis[[#This Row],[Poste 5]]*Devis[[#This Row],[Prix de Revient]]</f>
        <v>0</v>
      </c>
      <c r="AA751" s="74">
        <f>Devis[[#This Row],[Prix de Revient]]*Devis[[#This Row],[Poste 6]]</f>
        <v>0</v>
      </c>
      <c r="AB751" s="74">
        <f>Devis[[#This Row],[Quantité Totale]]*Devis[[#This Row],[Prix de Revient]]</f>
        <v>0</v>
      </c>
    </row>
    <row r="752" spans="1:28" ht="14.25" outlineLevel="1" x14ac:dyDescent="0.2">
      <c r="A752" s="75" t="s">
        <v>337</v>
      </c>
      <c r="B752" s="76" t="s">
        <v>5983</v>
      </c>
      <c r="C752" s="76" t="s">
        <v>5984</v>
      </c>
      <c r="D752" s="122" t="str">
        <f t="shared" si="13"/>
        <v>DiversChariot IndustrielGaz</v>
      </c>
      <c r="E752" s="76" t="s">
        <v>5993</v>
      </c>
      <c r="F752" s="76">
        <v>6</v>
      </c>
      <c r="G752" s="86" t="s">
        <v>6125</v>
      </c>
      <c r="H752" s="71" t="s">
        <v>5994</v>
      </c>
      <c r="I752" s="71" t="s">
        <v>5995</v>
      </c>
      <c r="J752" s="70">
        <f>IFERROR(VLOOKUP(Devis[[#This Row],[Ref Air Flux]],#REF!,3,FALSE),0)</f>
        <v>0</v>
      </c>
      <c r="K752" s="68"/>
      <c r="L752" s="68"/>
      <c r="M752" s="68"/>
      <c r="N752" s="68"/>
      <c r="O752" s="68"/>
      <c r="P752" s="68"/>
      <c r="Q752" s="68">
        <f>SUM(Devis[[#This Row],[Poste 1]:[Poste 6]])</f>
        <v>0</v>
      </c>
      <c r="R752" s="71"/>
      <c r="S752" s="68">
        <f>_xlfn.CEILING.MATH(Devis[[#This Row],[Quantité Totale]],Devis[[#This Row],[Conditionnement]])</f>
        <v>0</v>
      </c>
      <c r="T752" s="72"/>
      <c r="U752" s="70">
        <v>168</v>
      </c>
      <c r="V752" s="74">
        <f>Devis[[#This Row],[Prix de Revient]]*Devis[[#This Row],[Poste 1]]</f>
        <v>0</v>
      </c>
      <c r="W752" s="74">
        <f>Devis[[#This Row],[Prix de Revient]]*Devis[[#This Row],[Poste 2]]</f>
        <v>0</v>
      </c>
      <c r="X752" s="74">
        <f>Devis[[#This Row],[Prix de Revient]]*Devis[[#This Row],[Poste 3]]</f>
        <v>0</v>
      </c>
      <c r="Y752" s="74">
        <f>Devis[[#This Row],[Poste 4]]*Devis[[#This Row],[Prix de Revient]]</f>
        <v>0</v>
      </c>
      <c r="Z752" s="74">
        <f>Devis[[#This Row],[Poste 5]]*Devis[[#This Row],[Prix de Revient]]</f>
        <v>0</v>
      </c>
      <c r="AA752" s="74">
        <f>Devis[[#This Row],[Prix de Revient]]*Devis[[#This Row],[Poste 6]]</f>
        <v>0</v>
      </c>
      <c r="AB752" s="74">
        <f>Devis[[#This Row],[Quantité Totale]]*Devis[[#This Row],[Prix de Revient]]</f>
        <v>0</v>
      </c>
    </row>
    <row r="753" spans="1:28" ht="14.25" customHeight="1" outlineLevel="1" x14ac:dyDescent="0.2">
      <c r="A753" s="75" t="s">
        <v>337</v>
      </c>
      <c r="B753" s="76" t="s">
        <v>5983</v>
      </c>
      <c r="C753" s="76" t="s">
        <v>5984</v>
      </c>
      <c r="D753" s="122" t="str">
        <f t="shared" si="13"/>
        <v>DiversChariot IndustrielGaz</v>
      </c>
      <c r="E753" s="76" t="s">
        <v>5996</v>
      </c>
      <c r="F753" s="76">
        <v>7</v>
      </c>
      <c r="G753" s="86" t="s">
        <v>6126</v>
      </c>
      <c r="H753" s="71" t="s">
        <v>5994</v>
      </c>
      <c r="I753" s="71" t="s">
        <v>5997</v>
      </c>
      <c r="J753" s="70">
        <f>IFERROR(VLOOKUP(Devis[[#This Row],[Ref Air Flux]],#REF!,3,FALSE),0)</f>
        <v>0</v>
      </c>
      <c r="K753" s="68"/>
      <c r="L753" s="68"/>
      <c r="M753" s="68"/>
      <c r="N753" s="68"/>
      <c r="O753" s="68"/>
      <c r="P753" s="68"/>
      <c r="Q753" s="68">
        <f>SUM(Devis[[#This Row],[Poste 1]:[Poste 6]])</f>
        <v>0</v>
      </c>
      <c r="R753" s="71"/>
      <c r="S753" s="68">
        <f>_xlfn.CEILING.MATH(Devis[[#This Row],[Quantité Totale]],Devis[[#This Row],[Conditionnement]])</f>
        <v>0</v>
      </c>
      <c r="T753" s="72"/>
      <c r="U753" s="70">
        <v>227.95</v>
      </c>
      <c r="V753" s="74">
        <f>Devis[[#This Row],[Prix de Revient]]*Devis[[#This Row],[Poste 1]]</f>
        <v>0</v>
      </c>
      <c r="W753" s="74">
        <f>Devis[[#This Row],[Prix de Revient]]*Devis[[#This Row],[Poste 2]]</f>
        <v>0</v>
      </c>
      <c r="X753" s="74">
        <f>Devis[[#This Row],[Prix de Revient]]*Devis[[#This Row],[Poste 3]]</f>
        <v>0</v>
      </c>
      <c r="Y753" s="74">
        <f>Devis[[#This Row],[Poste 4]]*Devis[[#This Row],[Prix de Revient]]</f>
        <v>0</v>
      </c>
      <c r="Z753" s="74">
        <f>Devis[[#This Row],[Poste 5]]*Devis[[#This Row],[Prix de Revient]]</f>
        <v>0</v>
      </c>
      <c r="AA753" s="74">
        <f>Devis[[#This Row],[Prix de Revient]]*Devis[[#This Row],[Poste 6]]</f>
        <v>0</v>
      </c>
      <c r="AB753" s="74">
        <f>Devis[[#This Row],[Quantité Totale]]*Devis[[#This Row],[Prix de Revient]]</f>
        <v>0</v>
      </c>
    </row>
    <row r="754" spans="1:28" ht="15" customHeight="1" outlineLevel="1" x14ac:dyDescent="0.2">
      <c r="A754" s="75" t="s">
        <v>337</v>
      </c>
      <c r="B754" s="76" t="s">
        <v>5983</v>
      </c>
      <c r="C754" s="76" t="s">
        <v>5984</v>
      </c>
      <c r="D754" s="122" t="str">
        <f t="shared" si="13"/>
        <v>DiversChariot IndustrielGaz</v>
      </c>
      <c r="E754" s="76" t="s">
        <v>5998</v>
      </c>
      <c r="F754" s="76">
        <v>8</v>
      </c>
      <c r="G754" s="86" t="s">
        <v>6127</v>
      </c>
      <c r="H754" s="71" t="s">
        <v>5994</v>
      </c>
      <c r="I754" s="71" t="s">
        <v>5999</v>
      </c>
      <c r="J754" s="70">
        <f>IFERROR(VLOOKUP(Devis[[#This Row],[Ref Air Flux]],#REF!,3,FALSE),0)</f>
        <v>0</v>
      </c>
      <c r="K754" s="68"/>
      <c r="L754" s="68"/>
      <c r="M754" s="68"/>
      <c r="N754" s="68"/>
      <c r="O754" s="68"/>
      <c r="P754" s="68"/>
      <c r="Q754" s="68">
        <f>SUM(Devis[[#This Row],[Poste 1]:[Poste 6]])</f>
        <v>0</v>
      </c>
      <c r="R754" s="71"/>
      <c r="S754" s="68">
        <f>_xlfn.CEILING.MATH(Devis[[#This Row],[Quantité Totale]],Devis[[#This Row],[Conditionnement]])</f>
        <v>0</v>
      </c>
      <c r="T754" s="72"/>
      <c r="U754" s="70">
        <v>235</v>
      </c>
      <c r="V754" s="74">
        <f>Devis[[#This Row],[Prix de Revient]]*Devis[[#This Row],[Poste 1]]</f>
        <v>0</v>
      </c>
      <c r="W754" s="74">
        <f>Devis[[#This Row],[Prix de Revient]]*Devis[[#This Row],[Poste 2]]</f>
        <v>0</v>
      </c>
      <c r="X754" s="74">
        <f>Devis[[#This Row],[Prix de Revient]]*Devis[[#This Row],[Poste 3]]</f>
        <v>0</v>
      </c>
      <c r="Y754" s="74">
        <f>Devis[[#This Row],[Poste 4]]*Devis[[#This Row],[Prix de Revient]]</f>
        <v>0</v>
      </c>
      <c r="Z754" s="74">
        <f>Devis[[#This Row],[Poste 5]]*Devis[[#This Row],[Prix de Revient]]</f>
        <v>0</v>
      </c>
      <c r="AA754" s="74">
        <f>Devis[[#This Row],[Prix de Revient]]*Devis[[#This Row],[Poste 6]]</f>
        <v>0</v>
      </c>
      <c r="AB754" s="74">
        <f>Devis[[#This Row],[Quantité Totale]]*Devis[[#This Row],[Prix de Revient]]</f>
        <v>0</v>
      </c>
    </row>
    <row r="755" spans="1:28" ht="14.25" outlineLevel="1" x14ac:dyDescent="0.2">
      <c r="A755" s="75" t="s">
        <v>337</v>
      </c>
      <c r="B755" s="76" t="s">
        <v>5983</v>
      </c>
      <c r="C755" s="76" t="s">
        <v>5984</v>
      </c>
      <c r="D755" s="122" t="str">
        <f t="shared" si="13"/>
        <v>DiversChariot IndustrielGaz</v>
      </c>
      <c r="E755" s="76" t="s">
        <v>6004</v>
      </c>
      <c r="F755" s="76">
        <v>11</v>
      </c>
      <c r="G755" s="86" t="s">
        <v>6128</v>
      </c>
      <c r="H755" s="71" t="s">
        <v>5994</v>
      </c>
      <c r="I755" s="71" t="s">
        <v>6005</v>
      </c>
      <c r="J755" s="70">
        <f>IFERROR(VLOOKUP(Devis[[#This Row],[Ref Air Flux]],#REF!,3,FALSE),0)</f>
        <v>0</v>
      </c>
      <c r="K755" s="68"/>
      <c r="L755" s="68"/>
      <c r="M755" s="68"/>
      <c r="N755" s="68"/>
      <c r="O755" s="68"/>
      <c r="P755" s="68"/>
      <c r="Q755" s="68">
        <f>SUM(Devis[[#This Row],[Poste 1]:[Poste 6]])</f>
        <v>0</v>
      </c>
      <c r="R755" s="71"/>
      <c r="S755" s="68">
        <f>_xlfn.CEILING.MATH(Devis[[#This Row],[Quantité Totale]],Devis[[#This Row],[Conditionnement]])</f>
        <v>0</v>
      </c>
      <c r="T755" s="72"/>
      <c r="U755" s="70">
        <v>35</v>
      </c>
      <c r="V755" s="74">
        <f>Devis[[#This Row],[Prix de Revient]]*Devis[[#This Row],[Poste 1]]</f>
        <v>0</v>
      </c>
      <c r="W755" s="74">
        <f>Devis[[#This Row],[Prix de Revient]]*Devis[[#This Row],[Poste 2]]</f>
        <v>0</v>
      </c>
      <c r="X755" s="74">
        <f>Devis[[#This Row],[Prix de Revient]]*Devis[[#This Row],[Poste 3]]</f>
        <v>0</v>
      </c>
      <c r="Y755" s="74">
        <f>Devis[[#This Row],[Poste 4]]*Devis[[#This Row],[Prix de Revient]]</f>
        <v>0</v>
      </c>
      <c r="Z755" s="74">
        <f>Devis[[#This Row],[Poste 5]]*Devis[[#This Row],[Prix de Revient]]</f>
        <v>0</v>
      </c>
      <c r="AA755" s="74">
        <f>Devis[[#This Row],[Prix de Revient]]*Devis[[#This Row],[Poste 6]]</f>
        <v>0</v>
      </c>
      <c r="AB755" s="74">
        <f>Devis[[#This Row],[Quantité Totale]]*Devis[[#This Row],[Prix de Revient]]</f>
        <v>0</v>
      </c>
    </row>
    <row r="756" spans="1:28" ht="14.25" customHeight="1" outlineLevel="1" x14ac:dyDescent="0.2">
      <c r="A756" s="75" t="s">
        <v>337</v>
      </c>
      <c r="B756" s="76" t="s">
        <v>5983</v>
      </c>
      <c r="C756" s="76" t="s">
        <v>5962</v>
      </c>
      <c r="D756" s="122" t="str">
        <f t="shared" si="13"/>
        <v>DiversChariot IndustrielTransport</v>
      </c>
      <c r="E756" s="76" t="s">
        <v>6006</v>
      </c>
      <c r="F756" s="76">
        <v>12</v>
      </c>
      <c r="G756" s="86" t="s">
        <v>6129</v>
      </c>
      <c r="H756" s="71" t="s">
        <v>5994</v>
      </c>
      <c r="I756" s="71" t="s">
        <v>6007</v>
      </c>
      <c r="J756" s="70">
        <f>IFERROR(VLOOKUP(Devis[[#This Row],[Ref Air Flux]],#REF!,3,FALSE),0)</f>
        <v>0</v>
      </c>
      <c r="K756" s="68"/>
      <c r="L756" s="68"/>
      <c r="M756" s="68"/>
      <c r="N756" s="68"/>
      <c r="O756" s="68"/>
      <c r="P756" s="68"/>
      <c r="Q756" s="68">
        <f>SUM(Devis[[#This Row],[Poste 1]:[Poste 6]])</f>
        <v>0</v>
      </c>
      <c r="R756" s="71"/>
      <c r="S756" s="68">
        <f>_xlfn.CEILING.MATH(Devis[[#This Row],[Quantité Totale]],Devis[[#This Row],[Conditionnement]])</f>
        <v>0</v>
      </c>
      <c r="T756" s="72"/>
      <c r="U756" s="70">
        <v>225</v>
      </c>
      <c r="V756" s="74">
        <f>Devis[[#This Row],[Prix de Revient]]*Devis[[#This Row],[Poste 1]]</f>
        <v>0</v>
      </c>
      <c r="W756" s="74">
        <f>Devis[[#This Row],[Prix de Revient]]*Devis[[#This Row],[Poste 2]]</f>
        <v>0</v>
      </c>
      <c r="X756" s="74">
        <f>Devis[[#This Row],[Prix de Revient]]*Devis[[#This Row],[Poste 3]]</f>
        <v>0</v>
      </c>
      <c r="Y756" s="74">
        <f>Devis[[#This Row],[Poste 4]]*Devis[[#This Row],[Prix de Revient]]</f>
        <v>0</v>
      </c>
      <c r="Z756" s="74">
        <f>Devis[[#This Row],[Poste 5]]*Devis[[#This Row],[Prix de Revient]]</f>
        <v>0</v>
      </c>
      <c r="AA756" s="74">
        <f>Devis[[#This Row],[Prix de Revient]]*Devis[[#This Row],[Poste 6]]</f>
        <v>0</v>
      </c>
      <c r="AB756" s="74">
        <f>Devis[[#This Row],[Quantité Totale]]*Devis[[#This Row],[Prix de Revient]]</f>
        <v>0</v>
      </c>
    </row>
    <row r="757" spans="1:28" ht="14.25" customHeight="1" x14ac:dyDescent="0.25">
      <c r="A757" s="65" t="s">
        <v>337</v>
      </c>
      <c r="B757" s="65" t="s">
        <v>5963</v>
      </c>
      <c r="C757" s="65" t="s">
        <v>5964</v>
      </c>
      <c r="D757" s="122" t="str">
        <f t="shared" si="13"/>
        <v>DiversCompresseurDiesel</v>
      </c>
      <c r="E757" s="76"/>
      <c r="F757" s="76">
        <v>0</v>
      </c>
      <c r="G757" s="86" t="s">
        <v>6130</v>
      </c>
      <c r="H757" s="71"/>
      <c r="I757" s="71"/>
      <c r="J757" s="70">
        <f>IFERROR(VLOOKUP(Devis[[#This Row],[Ref Air Flux]],#REF!,3,FALSE),0)</f>
        <v>0</v>
      </c>
      <c r="K757" s="68"/>
      <c r="L757" s="68"/>
      <c r="M757" s="68"/>
      <c r="N757" s="68"/>
      <c r="O757" s="68"/>
      <c r="P757" s="68"/>
      <c r="Q757" s="68">
        <f>SUM(Devis[[#This Row],[Poste 1]:[Poste 6]])</f>
        <v>0</v>
      </c>
      <c r="R757" s="71"/>
      <c r="S757" s="68">
        <f>_xlfn.CEILING.MATH(Devis[[#This Row],[Quantité Totale]],Devis[[#This Row],[Conditionnement]])</f>
        <v>0</v>
      </c>
      <c r="T757" s="72"/>
      <c r="U757" s="70">
        <v>0</v>
      </c>
      <c r="V757" s="74">
        <f>Devis[[#This Row],[Prix de Revient]]*Devis[[#This Row],[Poste 1]]</f>
        <v>0</v>
      </c>
      <c r="W757" s="74">
        <f>Devis[[#This Row],[Prix de Revient]]*Devis[[#This Row],[Poste 2]]</f>
        <v>0</v>
      </c>
      <c r="X757" s="74">
        <f>Devis[[#This Row],[Prix de Revient]]*Devis[[#This Row],[Poste 3]]</f>
        <v>0</v>
      </c>
      <c r="Y757" s="74">
        <f>Devis[[#This Row],[Poste 4]]*Devis[[#This Row],[Prix de Revient]]</f>
        <v>0</v>
      </c>
      <c r="Z757" s="74">
        <f>Devis[[#This Row],[Poste 5]]*Devis[[#This Row],[Prix de Revient]]</f>
        <v>0</v>
      </c>
      <c r="AA757" s="74">
        <f>Devis[[#This Row],[Prix de Revient]]*Devis[[#This Row],[Poste 6]]</f>
        <v>0</v>
      </c>
      <c r="AB757" s="74">
        <f>Devis[[#This Row],[Quantité Totale]]*Devis[[#This Row],[Prix de Revient]]</f>
        <v>0</v>
      </c>
    </row>
    <row r="758" spans="1:28" ht="14.25" outlineLevel="1" x14ac:dyDescent="0.2">
      <c r="A758" s="75" t="s">
        <v>337</v>
      </c>
      <c r="B758" s="76" t="s">
        <v>5963</v>
      </c>
      <c r="C758" s="76" t="s">
        <v>5964</v>
      </c>
      <c r="D758" s="122" t="str">
        <f t="shared" si="13"/>
        <v>DiversCompresseurDiesel</v>
      </c>
      <c r="E758" s="76" t="s">
        <v>5965</v>
      </c>
      <c r="F758" s="76">
        <v>1</v>
      </c>
      <c r="G758" s="86" t="s">
        <v>6131</v>
      </c>
      <c r="H758" s="71" t="s">
        <v>5948</v>
      </c>
      <c r="I758" s="71" t="s">
        <v>5966</v>
      </c>
      <c r="J758" s="70">
        <f>IFERROR(VLOOKUP(Devis[[#This Row],[Ref Air Flux]],#REF!,3,FALSE),0)</f>
        <v>0</v>
      </c>
      <c r="K758" s="68"/>
      <c r="L758" s="68"/>
      <c r="M758" s="68"/>
      <c r="N758" s="68"/>
      <c r="O758" s="68"/>
      <c r="P758" s="68"/>
      <c r="Q758" s="68">
        <f>SUM(Devis[[#This Row],[Poste 1]:[Poste 6]])</f>
        <v>0</v>
      </c>
      <c r="R758" s="71"/>
      <c r="S758" s="68">
        <f>_xlfn.CEILING.MATH(Devis[[#This Row],[Quantité Totale]],Devis[[#This Row],[Conditionnement]])</f>
        <v>0</v>
      </c>
      <c r="T758" s="72"/>
      <c r="U758" s="70">
        <v>37</v>
      </c>
      <c r="V758" s="74">
        <f>Devis[[#This Row],[Prix de Revient]]*Devis[[#This Row],[Poste 1]]</f>
        <v>0</v>
      </c>
      <c r="W758" s="74">
        <f>Devis[[#This Row],[Prix de Revient]]*Devis[[#This Row],[Poste 2]]</f>
        <v>0</v>
      </c>
      <c r="X758" s="74">
        <f>Devis[[#This Row],[Prix de Revient]]*Devis[[#This Row],[Poste 3]]</f>
        <v>0</v>
      </c>
      <c r="Y758" s="74">
        <f>Devis[[#This Row],[Poste 4]]*Devis[[#This Row],[Prix de Revient]]</f>
        <v>0</v>
      </c>
      <c r="Z758" s="74">
        <f>Devis[[#This Row],[Poste 5]]*Devis[[#This Row],[Prix de Revient]]</f>
        <v>0</v>
      </c>
      <c r="AA758" s="74">
        <f>Devis[[#This Row],[Prix de Revient]]*Devis[[#This Row],[Poste 6]]</f>
        <v>0</v>
      </c>
      <c r="AB758" s="74">
        <f>Devis[[#This Row],[Quantité Totale]]*Devis[[#This Row],[Prix de Revient]]</f>
        <v>0</v>
      </c>
    </row>
    <row r="759" spans="1:28" ht="14.25" customHeight="1" outlineLevel="1" x14ac:dyDescent="0.2">
      <c r="A759" s="75" t="s">
        <v>337</v>
      </c>
      <c r="B759" s="76" t="s">
        <v>5963</v>
      </c>
      <c r="C759" s="76" t="s">
        <v>5964</v>
      </c>
      <c r="D759" s="122" t="str">
        <f t="shared" si="13"/>
        <v>DiversCompresseurDiesel</v>
      </c>
      <c r="E759" s="76" t="s">
        <v>5967</v>
      </c>
      <c r="F759" s="76">
        <v>2</v>
      </c>
      <c r="G759" s="86" t="s">
        <v>6132</v>
      </c>
      <c r="H759" s="71" t="s">
        <v>5948</v>
      </c>
      <c r="I759" s="71" t="s">
        <v>5968</v>
      </c>
      <c r="J759" s="70">
        <f>IFERROR(VLOOKUP(Devis[[#This Row],[Ref Air Flux]],#REF!,3,FALSE),0)</f>
        <v>0</v>
      </c>
      <c r="K759" s="68"/>
      <c r="L759" s="68"/>
      <c r="M759" s="68"/>
      <c r="N759" s="68"/>
      <c r="O759" s="68"/>
      <c r="P759" s="68"/>
      <c r="Q759" s="68">
        <f>SUM(Devis[[#This Row],[Poste 1]:[Poste 6]])</f>
        <v>0</v>
      </c>
      <c r="R759" s="71"/>
      <c r="S759" s="68">
        <f>_xlfn.CEILING.MATH(Devis[[#This Row],[Quantité Totale]],Devis[[#This Row],[Conditionnement]])</f>
        <v>0</v>
      </c>
      <c r="T759" s="72"/>
      <c r="U759" s="70">
        <v>37</v>
      </c>
      <c r="V759" s="74">
        <f>Devis[[#This Row],[Prix de Revient]]*Devis[[#This Row],[Poste 1]]</f>
        <v>0</v>
      </c>
      <c r="W759" s="74">
        <f>Devis[[#This Row],[Prix de Revient]]*Devis[[#This Row],[Poste 2]]</f>
        <v>0</v>
      </c>
      <c r="X759" s="74">
        <f>Devis[[#This Row],[Prix de Revient]]*Devis[[#This Row],[Poste 3]]</f>
        <v>0</v>
      </c>
      <c r="Y759" s="74">
        <f>Devis[[#This Row],[Poste 4]]*Devis[[#This Row],[Prix de Revient]]</f>
        <v>0</v>
      </c>
      <c r="Z759" s="74">
        <f>Devis[[#This Row],[Poste 5]]*Devis[[#This Row],[Prix de Revient]]</f>
        <v>0</v>
      </c>
      <c r="AA759" s="74">
        <f>Devis[[#This Row],[Prix de Revient]]*Devis[[#This Row],[Poste 6]]</f>
        <v>0</v>
      </c>
      <c r="AB759" s="74">
        <f>Devis[[#This Row],[Quantité Totale]]*Devis[[#This Row],[Prix de Revient]]</f>
        <v>0</v>
      </c>
    </row>
    <row r="760" spans="1:28" ht="14.25" outlineLevel="1" x14ac:dyDescent="0.2">
      <c r="A760" s="75" t="s">
        <v>337</v>
      </c>
      <c r="B760" s="76" t="s">
        <v>5963</v>
      </c>
      <c r="C760" s="76" t="s">
        <v>5964</v>
      </c>
      <c r="D760" s="122" t="str">
        <f t="shared" si="13"/>
        <v>DiversCompresseurDiesel</v>
      </c>
      <c r="E760" s="76" t="s">
        <v>5969</v>
      </c>
      <c r="F760" s="76">
        <v>3</v>
      </c>
      <c r="G760" s="86" t="s">
        <v>6133</v>
      </c>
      <c r="H760" s="71" t="s">
        <v>5948</v>
      </c>
      <c r="I760" s="71" t="s">
        <v>5970</v>
      </c>
      <c r="J760" s="70">
        <f>IFERROR(VLOOKUP(Devis[[#This Row],[Ref Air Flux]],#REF!,3,FALSE),0)</f>
        <v>0</v>
      </c>
      <c r="K760" s="68"/>
      <c r="L760" s="68"/>
      <c r="M760" s="68"/>
      <c r="N760" s="68"/>
      <c r="O760" s="68"/>
      <c r="P760" s="68"/>
      <c r="Q760" s="68">
        <f>SUM(Devis[[#This Row],[Poste 1]:[Poste 6]])</f>
        <v>0</v>
      </c>
      <c r="R760" s="71"/>
      <c r="S760" s="68">
        <f>_xlfn.CEILING.MATH(Devis[[#This Row],[Quantité Totale]],Devis[[#This Row],[Conditionnement]])</f>
        <v>0</v>
      </c>
      <c r="T760" s="72"/>
      <c r="U760" s="70">
        <v>42</v>
      </c>
      <c r="V760" s="74">
        <f>Devis[[#This Row],[Prix de Revient]]*Devis[[#This Row],[Poste 1]]</f>
        <v>0</v>
      </c>
      <c r="W760" s="74">
        <f>Devis[[#This Row],[Prix de Revient]]*Devis[[#This Row],[Poste 2]]</f>
        <v>0</v>
      </c>
      <c r="X760" s="74">
        <f>Devis[[#This Row],[Prix de Revient]]*Devis[[#This Row],[Poste 3]]</f>
        <v>0</v>
      </c>
      <c r="Y760" s="74">
        <f>Devis[[#This Row],[Poste 4]]*Devis[[#This Row],[Prix de Revient]]</f>
        <v>0</v>
      </c>
      <c r="Z760" s="74">
        <f>Devis[[#This Row],[Poste 5]]*Devis[[#This Row],[Prix de Revient]]</f>
        <v>0</v>
      </c>
      <c r="AA760" s="74">
        <f>Devis[[#This Row],[Prix de Revient]]*Devis[[#This Row],[Poste 6]]</f>
        <v>0</v>
      </c>
      <c r="AB760" s="74">
        <f>Devis[[#This Row],[Quantité Totale]]*Devis[[#This Row],[Prix de Revient]]</f>
        <v>0</v>
      </c>
    </row>
    <row r="761" spans="1:28" ht="14.25" outlineLevel="1" x14ac:dyDescent="0.2">
      <c r="A761" s="75" t="s">
        <v>337</v>
      </c>
      <c r="B761" s="76" t="s">
        <v>5963</v>
      </c>
      <c r="C761" s="76" t="s">
        <v>5964</v>
      </c>
      <c r="D761" s="122" t="str">
        <f t="shared" si="13"/>
        <v>DiversCompresseurDiesel</v>
      </c>
      <c r="E761" s="76" t="s">
        <v>5971</v>
      </c>
      <c r="F761" s="76">
        <v>4</v>
      </c>
      <c r="G761" s="86" t="s">
        <v>6134</v>
      </c>
      <c r="H761" s="71" t="s">
        <v>5948</v>
      </c>
      <c r="I761" s="71" t="s">
        <v>5972</v>
      </c>
      <c r="J761" s="70">
        <f>IFERROR(VLOOKUP(Devis[[#This Row],[Ref Air Flux]],#REF!,3,FALSE),0)</f>
        <v>0</v>
      </c>
      <c r="K761" s="68"/>
      <c r="L761" s="68"/>
      <c r="M761" s="68"/>
      <c r="N761" s="68"/>
      <c r="O761" s="68"/>
      <c r="P761" s="68"/>
      <c r="Q761" s="68">
        <f>SUM(Devis[[#This Row],[Poste 1]:[Poste 6]])</f>
        <v>0</v>
      </c>
      <c r="R761" s="71"/>
      <c r="S761" s="68">
        <f>_xlfn.CEILING.MATH(Devis[[#This Row],[Quantité Totale]],Devis[[#This Row],[Conditionnement]])</f>
        <v>0</v>
      </c>
      <c r="T761" s="72"/>
      <c r="U761" s="70">
        <v>42</v>
      </c>
      <c r="V761" s="74">
        <f>Devis[[#This Row],[Prix de Revient]]*Devis[[#This Row],[Poste 1]]</f>
        <v>0</v>
      </c>
      <c r="W761" s="74">
        <f>Devis[[#This Row],[Prix de Revient]]*Devis[[#This Row],[Poste 2]]</f>
        <v>0</v>
      </c>
      <c r="X761" s="74">
        <f>Devis[[#This Row],[Prix de Revient]]*Devis[[#This Row],[Poste 3]]</f>
        <v>0</v>
      </c>
      <c r="Y761" s="74">
        <f>Devis[[#This Row],[Poste 4]]*Devis[[#This Row],[Prix de Revient]]</f>
        <v>0</v>
      </c>
      <c r="Z761" s="74">
        <f>Devis[[#This Row],[Poste 5]]*Devis[[#This Row],[Prix de Revient]]</f>
        <v>0</v>
      </c>
      <c r="AA761" s="74">
        <f>Devis[[#This Row],[Prix de Revient]]*Devis[[#This Row],[Poste 6]]</f>
        <v>0</v>
      </c>
      <c r="AB761" s="74">
        <f>Devis[[#This Row],[Quantité Totale]]*Devis[[#This Row],[Prix de Revient]]</f>
        <v>0</v>
      </c>
    </row>
    <row r="762" spans="1:28" ht="14.25" customHeight="1" outlineLevel="1" x14ac:dyDescent="0.2">
      <c r="A762" s="75" t="s">
        <v>337</v>
      </c>
      <c r="B762" s="76" t="s">
        <v>5963</v>
      </c>
      <c r="C762" s="76" t="s">
        <v>5964</v>
      </c>
      <c r="D762" s="122" t="str">
        <f t="shared" si="13"/>
        <v>DiversCompresseurDiesel</v>
      </c>
      <c r="E762" s="76" t="s">
        <v>5973</v>
      </c>
      <c r="F762" s="76">
        <v>5</v>
      </c>
      <c r="G762" s="86" t="s">
        <v>6135</v>
      </c>
      <c r="H762" s="71" t="s">
        <v>5948</v>
      </c>
      <c r="I762" s="71" t="s">
        <v>5974</v>
      </c>
      <c r="J762" s="70">
        <f>IFERROR(VLOOKUP(Devis[[#This Row],[Ref Air Flux]],#REF!,3,FALSE),0)</f>
        <v>0</v>
      </c>
      <c r="K762" s="68"/>
      <c r="L762" s="68"/>
      <c r="M762" s="68"/>
      <c r="N762" s="68"/>
      <c r="O762" s="68"/>
      <c r="P762" s="68"/>
      <c r="Q762" s="68">
        <f>SUM(Devis[[#This Row],[Poste 1]:[Poste 6]])</f>
        <v>0</v>
      </c>
      <c r="R762" s="71"/>
      <c r="S762" s="68">
        <f>_xlfn.CEILING.MATH(Devis[[#This Row],[Quantité Totale]],Devis[[#This Row],[Conditionnement]])</f>
        <v>0</v>
      </c>
      <c r="T762" s="72"/>
      <c r="U762" s="70">
        <v>48</v>
      </c>
      <c r="V762" s="74">
        <f>Devis[[#This Row],[Prix de Revient]]*Devis[[#This Row],[Poste 1]]</f>
        <v>0</v>
      </c>
      <c r="W762" s="74">
        <f>Devis[[#This Row],[Prix de Revient]]*Devis[[#This Row],[Poste 2]]</f>
        <v>0</v>
      </c>
      <c r="X762" s="74">
        <f>Devis[[#This Row],[Prix de Revient]]*Devis[[#This Row],[Poste 3]]</f>
        <v>0</v>
      </c>
      <c r="Y762" s="74">
        <f>Devis[[#This Row],[Poste 4]]*Devis[[#This Row],[Prix de Revient]]</f>
        <v>0</v>
      </c>
      <c r="Z762" s="74">
        <f>Devis[[#This Row],[Poste 5]]*Devis[[#This Row],[Prix de Revient]]</f>
        <v>0</v>
      </c>
      <c r="AA762" s="74">
        <f>Devis[[#This Row],[Prix de Revient]]*Devis[[#This Row],[Poste 6]]</f>
        <v>0</v>
      </c>
      <c r="AB762" s="74">
        <f>Devis[[#This Row],[Quantité Totale]]*Devis[[#This Row],[Prix de Revient]]</f>
        <v>0</v>
      </c>
    </row>
    <row r="763" spans="1:28" ht="14.25" customHeight="1" outlineLevel="1" x14ac:dyDescent="0.2">
      <c r="A763" s="75" t="s">
        <v>337</v>
      </c>
      <c r="B763" s="76" t="s">
        <v>5963</v>
      </c>
      <c r="C763" s="76" t="s">
        <v>5964</v>
      </c>
      <c r="D763" s="122" t="str">
        <f t="shared" si="13"/>
        <v>DiversCompresseurDiesel</v>
      </c>
      <c r="E763" s="76" t="s">
        <v>5975</v>
      </c>
      <c r="F763" s="76">
        <v>6</v>
      </c>
      <c r="G763" s="86" t="s">
        <v>6136</v>
      </c>
      <c r="H763" s="71" t="s">
        <v>5948</v>
      </c>
      <c r="I763" s="71" t="s">
        <v>5976</v>
      </c>
      <c r="J763" s="70">
        <f>IFERROR(VLOOKUP(Devis[[#This Row],[Ref Air Flux]],#REF!,3,FALSE),0)</f>
        <v>0</v>
      </c>
      <c r="K763" s="68"/>
      <c r="L763" s="68"/>
      <c r="M763" s="68"/>
      <c r="N763" s="68"/>
      <c r="O763" s="68"/>
      <c r="P763" s="68"/>
      <c r="Q763" s="68">
        <f>SUM(Devis[[#This Row],[Poste 1]:[Poste 6]])</f>
        <v>0</v>
      </c>
      <c r="R763" s="71"/>
      <c r="S763" s="68">
        <f>_xlfn.CEILING.MATH(Devis[[#This Row],[Quantité Totale]],Devis[[#This Row],[Conditionnement]])</f>
        <v>0</v>
      </c>
      <c r="T763" s="72"/>
      <c r="U763" s="70">
        <v>48</v>
      </c>
      <c r="V763" s="74">
        <f>Devis[[#This Row],[Prix de Revient]]*Devis[[#This Row],[Poste 1]]</f>
        <v>0</v>
      </c>
      <c r="W763" s="74">
        <f>Devis[[#This Row],[Prix de Revient]]*Devis[[#This Row],[Poste 2]]</f>
        <v>0</v>
      </c>
      <c r="X763" s="74">
        <f>Devis[[#This Row],[Prix de Revient]]*Devis[[#This Row],[Poste 3]]</f>
        <v>0</v>
      </c>
      <c r="Y763" s="74">
        <f>Devis[[#This Row],[Poste 4]]*Devis[[#This Row],[Prix de Revient]]</f>
        <v>0</v>
      </c>
      <c r="Z763" s="74">
        <f>Devis[[#This Row],[Poste 5]]*Devis[[#This Row],[Prix de Revient]]</f>
        <v>0</v>
      </c>
      <c r="AA763" s="74">
        <f>Devis[[#This Row],[Prix de Revient]]*Devis[[#This Row],[Poste 6]]</f>
        <v>0</v>
      </c>
      <c r="AB763" s="74">
        <f>Devis[[#This Row],[Quantité Totale]]*Devis[[#This Row],[Prix de Revient]]</f>
        <v>0</v>
      </c>
    </row>
    <row r="764" spans="1:28" ht="14.25" outlineLevel="1" x14ac:dyDescent="0.2">
      <c r="A764" s="75" t="s">
        <v>337</v>
      </c>
      <c r="B764" s="76" t="s">
        <v>5963</v>
      </c>
      <c r="C764" s="76" t="s">
        <v>5964</v>
      </c>
      <c r="D764" s="122" t="str">
        <f t="shared" si="13"/>
        <v>DiversCompresseurDiesel</v>
      </c>
      <c r="E764" s="76" t="s">
        <v>5977</v>
      </c>
      <c r="F764" s="76">
        <v>7</v>
      </c>
      <c r="G764" s="86" t="s">
        <v>6137</v>
      </c>
      <c r="H764" s="71" t="s">
        <v>5948</v>
      </c>
      <c r="I764" s="71" t="s">
        <v>5978</v>
      </c>
      <c r="J764" s="70">
        <f>IFERROR(VLOOKUP(Devis[[#This Row],[Ref Air Flux]],#REF!,3,FALSE),0)</f>
        <v>0</v>
      </c>
      <c r="K764" s="68"/>
      <c r="L764" s="68"/>
      <c r="M764" s="68"/>
      <c r="N764" s="68"/>
      <c r="O764" s="68"/>
      <c r="P764" s="68"/>
      <c r="Q764" s="68">
        <f>SUM(Devis[[#This Row],[Poste 1]:[Poste 6]])</f>
        <v>0</v>
      </c>
      <c r="R764" s="71"/>
      <c r="S764" s="68">
        <f>_xlfn.CEILING.MATH(Devis[[#This Row],[Quantité Totale]],Devis[[#This Row],[Conditionnement]])</f>
        <v>0</v>
      </c>
      <c r="T764" s="72"/>
      <c r="U764" s="70">
        <v>53</v>
      </c>
      <c r="V764" s="74">
        <f>Devis[[#This Row],[Prix de Revient]]*Devis[[#This Row],[Poste 1]]</f>
        <v>0</v>
      </c>
      <c r="W764" s="74">
        <f>Devis[[#This Row],[Prix de Revient]]*Devis[[#This Row],[Poste 2]]</f>
        <v>0</v>
      </c>
      <c r="X764" s="74">
        <f>Devis[[#This Row],[Prix de Revient]]*Devis[[#This Row],[Poste 3]]</f>
        <v>0</v>
      </c>
      <c r="Y764" s="74">
        <f>Devis[[#This Row],[Poste 4]]*Devis[[#This Row],[Prix de Revient]]</f>
        <v>0</v>
      </c>
      <c r="Z764" s="74">
        <f>Devis[[#This Row],[Poste 5]]*Devis[[#This Row],[Prix de Revient]]</f>
        <v>0</v>
      </c>
      <c r="AA764" s="74">
        <f>Devis[[#This Row],[Prix de Revient]]*Devis[[#This Row],[Poste 6]]</f>
        <v>0</v>
      </c>
      <c r="AB764" s="74">
        <f>Devis[[#This Row],[Quantité Totale]]*Devis[[#This Row],[Prix de Revient]]</f>
        <v>0</v>
      </c>
    </row>
    <row r="765" spans="1:28" ht="15" customHeight="1" outlineLevel="1" x14ac:dyDescent="0.2">
      <c r="A765" s="75" t="s">
        <v>337</v>
      </c>
      <c r="B765" s="76" t="s">
        <v>5963</v>
      </c>
      <c r="C765" s="76" t="s">
        <v>5964</v>
      </c>
      <c r="D765" s="122" t="str">
        <f t="shared" si="13"/>
        <v>DiversCompresseurDiesel</v>
      </c>
      <c r="E765" s="76" t="s">
        <v>5979</v>
      </c>
      <c r="F765" s="76">
        <v>8</v>
      </c>
      <c r="G765" s="86" t="s">
        <v>6138</v>
      </c>
      <c r="H765" s="71" t="s">
        <v>5948</v>
      </c>
      <c r="I765" s="71" t="s">
        <v>5980</v>
      </c>
      <c r="J765" s="70">
        <f>IFERROR(VLOOKUP(Devis[[#This Row],[Ref Air Flux]],#REF!,3,FALSE),0)</f>
        <v>0</v>
      </c>
      <c r="K765" s="68"/>
      <c r="L765" s="68"/>
      <c r="M765" s="68"/>
      <c r="N765" s="68"/>
      <c r="O765" s="68"/>
      <c r="P765" s="68"/>
      <c r="Q765" s="68">
        <f>SUM(Devis[[#This Row],[Poste 1]:[Poste 6]])</f>
        <v>0</v>
      </c>
      <c r="R765" s="71"/>
      <c r="S765" s="68">
        <f>_xlfn.CEILING.MATH(Devis[[#This Row],[Quantité Totale]],Devis[[#This Row],[Conditionnement]])</f>
        <v>0</v>
      </c>
      <c r="T765" s="72"/>
      <c r="U765" s="70">
        <v>53</v>
      </c>
      <c r="V765" s="74">
        <f>Devis[[#This Row],[Prix de Revient]]*Devis[[#This Row],[Poste 1]]</f>
        <v>0</v>
      </c>
      <c r="W765" s="74">
        <f>Devis[[#This Row],[Prix de Revient]]*Devis[[#This Row],[Poste 2]]</f>
        <v>0</v>
      </c>
      <c r="X765" s="74">
        <f>Devis[[#This Row],[Prix de Revient]]*Devis[[#This Row],[Poste 3]]</f>
        <v>0</v>
      </c>
      <c r="Y765" s="74">
        <f>Devis[[#This Row],[Poste 4]]*Devis[[#This Row],[Prix de Revient]]</f>
        <v>0</v>
      </c>
      <c r="Z765" s="74">
        <f>Devis[[#This Row],[Poste 5]]*Devis[[#This Row],[Prix de Revient]]</f>
        <v>0</v>
      </c>
      <c r="AA765" s="74">
        <f>Devis[[#This Row],[Prix de Revient]]*Devis[[#This Row],[Poste 6]]</f>
        <v>0</v>
      </c>
      <c r="AB765" s="74">
        <f>Devis[[#This Row],[Quantité Totale]]*Devis[[#This Row],[Prix de Revient]]</f>
        <v>0</v>
      </c>
    </row>
    <row r="766" spans="1:28" ht="14.25" outlineLevel="1" x14ac:dyDescent="0.2">
      <c r="A766" s="75" t="s">
        <v>337</v>
      </c>
      <c r="B766" s="76" t="s">
        <v>5963</v>
      </c>
      <c r="C766" s="76" t="s">
        <v>5964</v>
      </c>
      <c r="D766" s="122" t="str">
        <f t="shared" si="13"/>
        <v>DiversCompresseurDiesel</v>
      </c>
      <c r="E766" s="76" t="s">
        <v>5981</v>
      </c>
      <c r="F766" s="76">
        <v>9</v>
      </c>
      <c r="G766" s="86" t="s">
        <v>6139</v>
      </c>
      <c r="H766" s="71" t="s">
        <v>5948</v>
      </c>
      <c r="I766" s="71" t="s">
        <v>5982</v>
      </c>
      <c r="J766" s="70">
        <f>IFERROR(VLOOKUP(Devis[[#This Row],[Ref Air Flux]],#REF!,3,FALSE),0)</f>
        <v>0</v>
      </c>
      <c r="K766" s="68"/>
      <c r="L766" s="68"/>
      <c r="M766" s="68"/>
      <c r="N766" s="68"/>
      <c r="O766" s="68"/>
      <c r="P766" s="68"/>
      <c r="Q766" s="68">
        <f>SUM(Devis[[#This Row],[Poste 1]:[Poste 6]])</f>
        <v>0</v>
      </c>
      <c r="R766" s="71"/>
      <c r="S766" s="68">
        <f>_xlfn.CEILING.MATH(Devis[[#This Row],[Quantité Totale]],Devis[[#This Row],[Conditionnement]])</f>
        <v>0</v>
      </c>
      <c r="T766" s="72"/>
      <c r="U766" s="70">
        <v>74</v>
      </c>
      <c r="V766" s="74">
        <f>Devis[[#This Row],[Prix de Revient]]*Devis[[#This Row],[Poste 1]]</f>
        <v>0</v>
      </c>
      <c r="W766" s="74">
        <f>Devis[[#This Row],[Prix de Revient]]*Devis[[#This Row],[Poste 2]]</f>
        <v>0</v>
      </c>
      <c r="X766" s="74">
        <f>Devis[[#This Row],[Prix de Revient]]*Devis[[#This Row],[Poste 3]]</f>
        <v>0</v>
      </c>
      <c r="Y766" s="74">
        <f>Devis[[#This Row],[Poste 4]]*Devis[[#This Row],[Prix de Revient]]</f>
        <v>0</v>
      </c>
      <c r="Z766" s="74">
        <f>Devis[[#This Row],[Poste 5]]*Devis[[#This Row],[Prix de Revient]]</f>
        <v>0</v>
      </c>
      <c r="AA766" s="74">
        <f>Devis[[#This Row],[Prix de Revient]]*Devis[[#This Row],[Poste 6]]</f>
        <v>0</v>
      </c>
      <c r="AB766" s="74">
        <f>Devis[[#This Row],[Quantité Totale]]*Devis[[#This Row],[Prix de Revient]]</f>
        <v>0</v>
      </c>
    </row>
    <row r="767" spans="1:28" ht="14.25" customHeight="1" x14ac:dyDescent="0.25">
      <c r="A767" s="65" t="s">
        <v>337</v>
      </c>
      <c r="B767" s="65" t="s">
        <v>6085</v>
      </c>
      <c r="C767" s="65" t="s">
        <v>6086</v>
      </c>
      <c r="D767" s="122" t="str">
        <f t="shared" si="13"/>
        <v>DiversEchaffaudage,echelle,escabeaux Gazelle</v>
      </c>
      <c r="E767" s="76"/>
      <c r="F767" s="76">
        <v>0</v>
      </c>
      <c r="G767" s="86" t="s">
        <v>6130</v>
      </c>
      <c r="H767" s="71"/>
      <c r="I767" s="71"/>
      <c r="J767" s="70">
        <f>IFERROR(VLOOKUP(Devis[[#This Row],[Ref Air Flux]],#REF!,3,FALSE),0)</f>
        <v>0</v>
      </c>
      <c r="K767" s="68"/>
      <c r="L767" s="68"/>
      <c r="M767" s="68"/>
      <c r="N767" s="68"/>
      <c r="O767" s="68"/>
      <c r="P767" s="68"/>
      <c r="Q767" s="68">
        <f>SUM(Devis[[#This Row],[Poste 1]:[Poste 6]])</f>
        <v>0</v>
      </c>
      <c r="R767" s="71"/>
      <c r="S767" s="68">
        <f>_xlfn.CEILING.MATH(Devis[[#This Row],[Quantité Totale]],Devis[[#This Row],[Conditionnement]])</f>
        <v>0</v>
      </c>
      <c r="T767" s="72"/>
      <c r="U767" s="70">
        <v>0</v>
      </c>
      <c r="V767" s="74">
        <f>Devis[[#This Row],[Prix de Revient]]*Devis[[#This Row],[Poste 1]]</f>
        <v>0</v>
      </c>
      <c r="W767" s="74">
        <f>Devis[[#This Row],[Prix de Revient]]*Devis[[#This Row],[Poste 2]]</f>
        <v>0</v>
      </c>
      <c r="X767" s="74">
        <f>Devis[[#This Row],[Prix de Revient]]*Devis[[#This Row],[Poste 3]]</f>
        <v>0</v>
      </c>
      <c r="Y767" s="74">
        <f>Devis[[#This Row],[Poste 4]]*Devis[[#This Row],[Prix de Revient]]</f>
        <v>0</v>
      </c>
      <c r="Z767" s="74">
        <f>Devis[[#This Row],[Poste 5]]*Devis[[#This Row],[Prix de Revient]]</f>
        <v>0</v>
      </c>
      <c r="AA767" s="74">
        <f>Devis[[#This Row],[Prix de Revient]]*Devis[[#This Row],[Poste 6]]</f>
        <v>0</v>
      </c>
      <c r="AB767" s="74">
        <f>Devis[[#This Row],[Quantité Totale]]*Devis[[#This Row],[Prix de Revient]]</f>
        <v>0</v>
      </c>
    </row>
    <row r="768" spans="1:28" ht="15" customHeight="1" outlineLevel="1" x14ac:dyDescent="0.2">
      <c r="A768" s="75" t="s">
        <v>337</v>
      </c>
      <c r="B768" s="76" t="s">
        <v>6085</v>
      </c>
      <c r="C768" s="76" t="s">
        <v>6086</v>
      </c>
      <c r="D768" s="122" t="str">
        <f t="shared" si="13"/>
        <v>DiversEchaffaudage,echelle,escabeaux Gazelle</v>
      </c>
      <c r="E768" s="76" t="s">
        <v>6087</v>
      </c>
      <c r="F768" s="76">
        <v>1</v>
      </c>
      <c r="G768" s="86" t="s">
        <v>6140</v>
      </c>
      <c r="H768" s="71" t="s">
        <v>5948</v>
      </c>
      <c r="I768" s="71" t="s">
        <v>6088</v>
      </c>
      <c r="J768" s="70">
        <f>IFERROR(VLOOKUP(Devis[[#This Row],[Ref Air Flux]],#REF!,3,FALSE),0)</f>
        <v>0</v>
      </c>
      <c r="K768" s="68"/>
      <c r="L768" s="68"/>
      <c r="M768" s="68"/>
      <c r="N768" s="68"/>
      <c r="O768" s="68"/>
      <c r="P768" s="68"/>
      <c r="Q768" s="68">
        <f>SUM(Devis[[#This Row],[Poste 1]:[Poste 6]])</f>
        <v>0</v>
      </c>
      <c r="R768" s="71"/>
      <c r="S768" s="68">
        <f>_xlfn.CEILING.MATH(Devis[[#This Row],[Quantité Totale]],Devis[[#This Row],[Conditionnement]])</f>
        <v>0</v>
      </c>
      <c r="T768" s="72"/>
      <c r="U768" s="70">
        <v>11</v>
      </c>
      <c r="V768" s="74">
        <f>Devis[[#This Row],[Prix de Revient]]*Devis[[#This Row],[Poste 1]]</f>
        <v>0</v>
      </c>
      <c r="W768" s="74">
        <f>Devis[[#This Row],[Prix de Revient]]*Devis[[#This Row],[Poste 2]]</f>
        <v>0</v>
      </c>
      <c r="X768" s="74">
        <f>Devis[[#This Row],[Prix de Revient]]*Devis[[#This Row],[Poste 3]]</f>
        <v>0</v>
      </c>
      <c r="Y768" s="74">
        <f>Devis[[#This Row],[Poste 4]]*Devis[[#This Row],[Prix de Revient]]</f>
        <v>0</v>
      </c>
      <c r="Z768" s="74">
        <f>Devis[[#This Row],[Poste 5]]*Devis[[#This Row],[Prix de Revient]]</f>
        <v>0</v>
      </c>
      <c r="AA768" s="74">
        <f>Devis[[#This Row],[Prix de Revient]]*Devis[[#This Row],[Poste 6]]</f>
        <v>0</v>
      </c>
      <c r="AB768" s="74">
        <f>Devis[[#This Row],[Quantité Totale]]*Devis[[#This Row],[Prix de Revient]]</f>
        <v>0</v>
      </c>
    </row>
    <row r="769" spans="1:28" ht="14.25" outlineLevel="1" x14ac:dyDescent="0.2">
      <c r="A769" s="75" t="s">
        <v>337</v>
      </c>
      <c r="B769" s="76" t="s">
        <v>6085</v>
      </c>
      <c r="C769" s="76" t="s">
        <v>6086</v>
      </c>
      <c r="D769" s="122" t="str">
        <f t="shared" si="13"/>
        <v>DiversEchaffaudage,echelle,escabeaux Gazelle</v>
      </c>
      <c r="E769" s="76" t="s">
        <v>6089</v>
      </c>
      <c r="F769" s="76">
        <v>2</v>
      </c>
      <c r="G769" s="86" t="s">
        <v>6141</v>
      </c>
      <c r="H769" s="71" t="s">
        <v>5948</v>
      </c>
      <c r="I769" s="71" t="s">
        <v>6090</v>
      </c>
      <c r="J769" s="70">
        <f>IFERROR(VLOOKUP(Devis[[#This Row],[Ref Air Flux]],#REF!,3,FALSE),0)</f>
        <v>0</v>
      </c>
      <c r="K769" s="68"/>
      <c r="L769" s="68"/>
      <c r="M769" s="68"/>
      <c r="N769" s="68"/>
      <c r="O769" s="68"/>
      <c r="P769" s="68"/>
      <c r="Q769" s="68">
        <f>SUM(Devis[[#This Row],[Poste 1]:[Poste 6]])</f>
        <v>0</v>
      </c>
      <c r="R769" s="71"/>
      <c r="S769" s="68">
        <f>_xlfn.CEILING.MATH(Devis[[#This Row],[Quantité Totale]],Devis[[#This Row],[Conditionnement]])</f>
        <v>0</v>
      </c>
      <c r="T769" s="72"/>
      <c r="U769" s="70">
        <v>21</v>
      </c>
      <c r="V769" s="74">
        <f>Devis[[#This Row],[Prix de Revient]]*Devis[[#This Row],[Poste 1]]</f>
        <v>0</v>
      </c>
      <c r="W769" s="74">
        <f>Devis[[#This Row],[Prix de Revient]]*Devis[[#This Row],[Poste 2]]</f>
        <v>0</v>
      </c>
      <c r="X769" s="74">
        <f>Devis[[#This Row],[Prix de Revient]]*Devis[[#This Row],[Poste 3]]</f>
        <v>0</v>
      </c>
      <c r="Y769" s="74">
        <f>Devis[[#This Row],[Poste 4]]*Devis[[#This Row],[Prix de Revient]]</f>
        <v>0</v>
      </c>
      <c r="Z769" s="74">
        <f>Devis[[#This Row],[Poste 5]]*Devis[[#This Row],[Prix de Revient]]</f>
        <v>0</v>
      </c>
      <c r="AA769" s="74">
        <f>Devis[[#This Row],[Prix de Revient]]*Devis[[#This Row],[Poste 6]]</f>
        <v>0</v>
      </c>
      <c r="AB769" s="74">
        <f>Devis[[#This Row],[Quantité Totale]]*Devis[[#This Row],[Prix de Revient]]</f>
        <v>0</v>
      </c>
    </row>
    <row r="770" spans="1:28" ht="14.25" outlineLevel="1" x14ac:dyDescent="0.2">
      <c r="A770" s="75" t="s">
        <v>337</v>
      </c>
      <c r="B770" s="76" t="s">
        <v>6085</v>
      </c>
      <c r="C770" s="76" t="s">
        <v>6086</v>
      </c>
      <c r="D770" s="122" t="str">
        <f t="shared" si="13"/>
        <v>DiversEchaffaudage,echelle,escabeaux Gazelle</v>
      </c>
      <c r="E770" s="76" t="s">
        <v>6091</v>
      </c>
      <c r="F770" s="76">
        <v>3</v>
      </c>
      <c r="G770" s="86" t="s">
        <v>6142</v>
      </c>
      <c r="H770" s="71" t="s">
        <v>5948</v>
      </c>
      <c r="I770" s="71" t="s">
        <v>6092</v>
      </c>
      <c r="J770" s="70">
        <f>IFERROR(VLOOKUP(Devis[[#This Row],[Ref Air Flux]],#REF!,3,FALSE),0)</f>
        <v>0</v>
      </c>
      <c r="K770" s="68"/>
      <c r="L770" s="68"/>
      <c r="M770" s="68"/>
      <c r="N770" s="68"/>
      <c r="O770" s="68"/>
      <c r="P770" s="68"/>
      <c r="Q770" s="68">
        <f>SUM(Devis[[#This Row],[Poste 1]:[Poste 6]])</f>
        <v>0</v>
      </c>
      <c r="R770" s="71"/>
      <c r="S770" s="68">
        <f>_xlfn.CEILING.MATH(Devis[[#This Row],[Quantité Totale]],Devis[[#This Row],[Conditionnement]])</f>
        <v>0</v>
      </c>
      <c r="T770" s="72"/>
      <c r="U770" s="70">
        <v>26</v>
      </c>
      <c r="V770" s="74">
        <f>Devis[[#This Row],[Prix de Revient]]*Devis[[#This Row],[Poste 1]]</f>
        <v>0</v>
      </c>
      <c r="W770" s="74">
        <f>Devis[[#This Row],[Prix de Revient]]*Devis[[#This Row],[Poste 2]]</f>
        <v>0</v>
      </c>
      <c r="X770" s="74">
        <f>Devis[[#This Row],[Prix de Revient]]*Devis[[#This Row],[Poste 3]]</f>
        <v>0</v>
      </c>
      <c r="Y770" s="74">
        <f>Devis[[#This Row],[Poste 4]]*Devis[[#This Row],[Prix de Revient]]</f>
        <v>0</v>
      </c>
      <c r="Z770" s="74">
        <f>Devis[[#This Row],[Poste 5]]*Devis[[#This Row],[Prix de Revient]]</f>
        <v>0</v>
      </c>
      <c r="AA770" s="74">
        <f>Devis[[#This Row],[Prix de Revient]]*Devis[[#This Row],[Poste 6]]</f>
        <v>0</v>
      </c>
      <c r="AB770" s="74">
        <f>Devis[[#This Row],[Quantité Totale]]*Devis[[#This Row],[Prix de Revient]]</f>
        <v>0</v>
      </c>
    </row>
    <row r="771" spans="1:28" ht="14.25" customHeight="1" x14ac:dyDescent="0.25">
      <c r="A771" s="65" t="s">
        <v>337</v>
      </c>
      <c r="B771" s="65" t="s">
        <v>6079</v>
      </c>
      <c r="C771" s="65" t="s">
        <v>6080</v>
      </c>
      <c r="D771" s="122" t="str">
        <f t="shared" si="13"/>
        <v>DiversGroupe électrogèneessence</v>
      </c>
      <c r="E771" s="76"/>
      <c r="F771" s="76">
        <v>0</v>
      </c>
      <c r="G771" s="86" t="s">
        <v>6130</v>
      </c>
      <c r="H771" s="71"/>
      <c r="I771" s="71"/>
      <c r="J771" s="70">
        <f>IFERROR(VLOOKUP(Devis[[#This Row],[Ref Air Flux]],#REF!,3,FALSE),0)</f>
        <v>0</v>
      </c>
      <c r="K771" s="68"/>
      <c r="L771" s="68"/>
      <c r="M771" s="68"/>
      <c r="N771" s="68"/>
      <c r="O771" s="68"/>
      <c r="P771" s="68"/>
      <c r="Q771" s="68">
        <f>SUM(Devis[[#This Row],[Poste 1]:[Poste 6]])</f>
        <v>0</v>
      </c>
      <c r="R771" s="71"/>
      <c r="S771" s="68">
        <f>_xlfn.CEILING.MATH(Devis[[#This Row],[Quantité Totale]],Devis[[#This Row],[Conditionnement]])</f>
        <v>0</v>
      </c>
      <c r="T771" s="72"/>
      <c r="U771" s="70">
        <v>0</v>
      </c>
      <c r="V771" s="74">
        <f>Devis[[#This Row],[Prix de Revient]]*Devis[[#This Row],[Poste 1]]</f>
        <v>0</v>
      </c>
      <c r="W771" s="74">
        <f>Devis[[#This Row],[Prix de Revient]]*Devis[[#This Row],[Poste 2]]</f>
        <v>0</v>
      </c>
      <c r="X771" s="74">
        <f>Devis[[#This Row],[Prix de Revient]]*Devis[[#This Row],[Poste 3]]</f>
        <v>0</v>
      </c>
      <c r="Y771" s="74">
        <f>Devis[[#This Row],[Poste 4]]*Devis[[#This Row],[Prix de Revient]]</f>
        <v>0</v>
      </c>
      <c r="Z771" s="74">
        <f>Devis[[#This Row],[Poste 5]]*Devis[[#This Row],[Prix de Revient]]</f>
        <v>0</v>
      </c>
      <c r="AA771" s="74">
        <f>Devis[[#This Row],[Prix de Revient]]*Devis[[#This Row],[Poste 6]]</f>
        <v>0</v>
      </c>
      <c r="AB771" s="74">
        <f>Devis[[#This Row],[Quantité Totale]]*Devis[[#This Row],[Prix de Revient]]</f>
        <v>0</v>
      </c>
    </row>
    <row r="772" spans="1:28" ht="14.25" customHeight="1" outlineLevel="1" x14ac:dyDescent="0.2">
      <c r="A772" s="75" t="s">
        <v>337</v>
      </c>
      <c r="B772" s="76" t="s">
        <v>6079</v>
      </c>
      <c r="C772" s="76" t="s">
        <v>6080</v>
      </c>
      <c r="D772" s="122" t="str">
        <f t="shared" si="13"/>
        <v>DiversGroupe électrogèneessence</v>
      </c>
      <c r="E772" s="76" t="s">
        <v>6081</v>
      </c>
      <c r="F772" s="76">
        <v>1</v>
      </c>
      <c r="G772" s="86" t="s">
        <v>6143</v>
      </c>
      <c r="H772" s="71" t="s">
        <v>5948</v>
      </c>
      <c r="I772" s="71" t="s">
        <v>6082</v>
      </c>
      <c r="J772" s="70">
        <f>IFERROR(VLOOKUP(Devis[[#This Row],[Ref Air Flux]],#REF!,3,FALSE),0)</f>
        <v>0</v>
      </c>
      <c r="K772" s="68"/>
      <c r="L772" s="68"/>
      <c r="M772" s="68"/>
      <c r="N772" s="68"/>
      <c r="O772" s="68"/>
      <c r="P772" s="68"/>
      <c r="Q772" s="68">
        <f>SUM(Devis[[#This Row],[Poste 1]:[Poste 6]])</f>
        <v>0</v>
      </c>
      <c r="R772" s="71"/>
      <c r="S772" s="68">
        <f>_xlfn.CEILING.MATH(Devis[[#This Row],[Quantité Totale]],Devis[[#This Row],[Conditionnement]])</f>
        <v>0</v>
      </c>
      <c r="T772" s="72"/>
      <c r="U772" s="70">
        <v>31</v>
      </c>
      <c r="V772" s="74">
        <f>Devis[[#This Row],[Prix de Revient]]*Devis[[#This Row],[Poste 1]]</f>
        <v>0</v>
      </c>
      <c r="W772" s="74">
        <f>Devis[[#This Row],[Prix de Revient]]*Devis[[#This Row],[Poste 2]]</f>
        <v>0</v>
      </c>
      <c r="X772" s="74">
        <f>Devis[[#This Row],[Prix de Revient]]*Devis[[#This Row],[Poste 3]]</f>
        <v>0</v>
      </c>
      <c r="Y772" s="74">
        <f>Devis[[#This Row],[Poste 4]]*Devis[[#This Row],[Prix de Revient]]</f>
        <v>0</v>
      </c>
      <c r="Z772" s="74">
        <f>Devis[[#This Row],[Poste 5]]*Devis[[#This Row],[Prix de Revient]]</f>
        <v>0</v>
      </c>
      <c r="AA772" s="74">
        <f>Devis[[#This Row],[Prix de Revient]]*Devis[[#This Row],[Poste 6]]</f>
        <v>0</v>
      </c>
      <c r="AB772" s="74">
        <f>Devis[[#This Row],[Quantité Totale]]*Devis[[#This Row],[Prix de Revient]]</f>
        <v>0</v>
      </c>
    </row>
    <row r="773" spans="1:28" ht="14.25" outlineLevel="1" x14ac:dyDescent="0.2">
      <c r="A773" s="75" t="s">
        <v>337</v>
      </c>
      <c r="B773" s="76" t="s">
        <v>6079</v>
      </c>
      <c r="C773" s="76" t="s">
        <v>6080</v>
      </c>
      <c r="D773" s="122" t="str">
        <f t="shared" si="13"/>
        <v>DiversGroupe électrogèneessence</v>
      </c>
      <c r="E773" s="76" t="s">
        <v>6083</v>
      </c>
      <c r="F773" s="76">
        <v>2</v>
      </c>
      <c r="G773" s="86" t="s">
        <v>6144</v>
      </c>
      <c r="H773" s="71" t="s">
        <v>5948</v>
      </c>
      <c r="I773" s="71" t="s">
        <v>6084</v>
      </c>
      <c r="J773" s="70">
        <f>IFERROR(VLOOKUP(Devis[[#This Row],[Ref Air Flux]],#REF!,3,FALSE),0)</f>
        <v>0</v>
      </c>
      <c r="K773" s="68"/>
      <c r="L773" s="68"/>
      <c r="M773" s="68"/>
      <c r="N773" s="68"/>
      <c r="O773" s="68"/>
      <c r="P773" s="68"/>
      <c r="Q773" s="68">
        <f>SUM(Devis[[#This Row],[Poste 1]:[Poste 6]])</f>
        <v>0</v>
      </c>
      <c r="R773" s="71"/>
      <c r="S773" s="68">
        <f>_xlfn.CEILING.MATH(Devis[[#This Row],[Quantité Totale]],Devis[[#This Row],[Conditionnement]])</f>
        <v>0</v>
      </c>
      <c r="T773" s="72"/>
      <c r="U773" s="70">
        <v>36</v>
      </c>
      <c r="V773" s="74">
        <f>Devis[[#This Row],[Prix de Revient]]*Devis[[#This Row],[Poste 1]]</f>
        <v>0</v>
      </c>
      <c r="W773" s="74">
        <f>Devis[[#This Row],[Prix de Revient]]*Devis[[#This Row],[Poste 2]]</f>
        <v>0</v>
      </c>
      <c r="X773" s="74">
        <f>Devis[[#This Row],[Prix de Revient]]*Devis[[#This Row],[Poste 3]]</f>
        <v>0</v>
      </c>
      <c r="Y773" s="74">
        <f>Devis[[#This Row],[Poste 4]]*Devis[[#This Row],[Prix de Revient]]</f>
        <v>0</v>
      </c>
      <c r="Z773" s="74">
        <f>Devis[[#This Row],[Poste 5]]*Devis[[#This Row],[Prix de Revient]]</f>
        <v>0</v>
      </c>
      <c r="AA773" s="74">
        <f>Devis[[#This Row],[Prix de Revient]]*Devis[[#This Row],[Poste 6]]</f>
        <v>0</v>
      </c>
      <c r="AB773" s="74">
        <f>Devis[[#This Row],[Quantité Totale]]*Devis[[#This Row],[Prix de Revient]]</f>
        <v>0</v>
      </c>
    </row>
    <row r="774" spans="1:28" ht="14.25" customHeight="1" x14ac:dyDescent="0.25">
      <c r="A774" s="65" t="s">
        <v>337</v>
      </c>
      <c r="B774" s="65" t="s">
        <v>5945</v>
      </c>
      <c r="C774" s="65" t="s">
        <v>6035</v>
      </c>
      <c r="D774" s="122" t="str">
        <f t="shared" si="13"/>
        <v>DiversNacelleArticulée</v>
      </c>
      <c r="E774" s="76"/>
      <c r="F774" s="76">
        <v>0</v>
      </c>
      <c r="G774" s="86" t="s">
        <v>6130</v>
      </c>
      <c r="H774" s="71"/>
      <c r="I774" s="71"/>
      <c r="J774" s="70">
        <f>IFERROR(VLOOKUP(Devis[[#This Row],[Ref Air Flux]],#REF!,3,FALSE),0)</f>
        <v>0</v>
      </c>
      <c r="K774" s="68"/>
      <c r="L774" s="68"/>
      <c r="M774" s="68"/>
      <c r="N774" s="68"/>
      <c r="O774" s="68"/>
      <c r="P774" s="68"/>
      <c r="Q774" s="68">
        <f>SUM(Devis[[#This Row],[Poste 1]:[Poste 6]])</f>
        <v>0</v>
      </c>
      <c r="R774" s="71"/>
      <c r="S774" s="68">
        <f>_xlfn.CEILING.MATH(Devis[[#This Row],[Quantité Totale]],Devis[[#This Row],[Conditionnement]])</f>
        <v>0</v>
      </c>
      <c r="T774" s="72"/>
      <c r="U774" s="70">
        <v>0</v>
      </c>
      <c r="V774" s="74">
        <f>Devis[[#This Row],[Prix de Revient]]*Devis[[#This Row],[Poste 1]]</f>
        <v>0</v>
      </c>
      <c r="W774" s="74">
        <f>Devis[[#This Row],[Prix de Revient]]*Devis[[#This Row],[Poste 2]]</f>
        <v>0</v>
      </c>
      <c r="X774" s="74">
        <f>Devis[[#This Row],[Prix de Revient]]*Devis[[#This Row],[Poste 3]]</f>
        <v>0</v>
      </c>
      <c r="Y774" s="74">
        <f>Devis[[#This Row],[Poste 4]]*Devis[[#This Row],[Prix de Revient]]</f>
        <v>0</v>
      </c>
      <c r="Z774" s="74">
        <f>Devis[[#This Row],[Poste 5]]*Devis[[#This Row],[Prix de Revient]]</f>
        <v>0</v>
      </c>
      <c r="AA774" s="74">
        <f>Devis[[#This Row],[Prix de Revient]]*Devis[[#This Row],[Poste 6]]</f>
        <v>0</v>
      </c>
      <c r="AB774" s="74">
        <f>Devis[[#This Row],[Quantité Totale]]*Devis[[#This Row],[Prix de Revient]]</f>
        <v>0</v>
      </c>
    </row>
    <row r="775" spans="1:28" ht="15" customHeight="1" outlineLevel="1" x14ac:dyDescent="0.2">
      <c r="A775" s="75" t="s">
        <v>337</v>
      </c>
      <c r="B775" s="76" t="s">
        <v>5945</v>
      </c>
      <c r="C775" s="76" t="s">
        <v>6035</v>
      </c>
      <c r="D775" s="122" t="str">
        <f t="shared" si="13"/>
        <v>DiversNacelleArticulée</v>
      </c>
      <c r="E775" s="76" t="s">
        <v>6036</v>
      </c>
      <c r="F775" s="76">
        <v>1</v>
      </c>
      <c r="G775" s="86" t="s">
        <v>6145</v>
      </c>
      <c r="H775" s="71" t="s">
        <v>5948</v>
      </c>
      <c r="I775" s="71" t="s">
        <v>6037</v>
      </c>
      <c r="J775" s="70">
        <f>IFERROR(VLOOKUP(Devis[[#This Row],[Ref Air Flux]],#REF!,3,FALSE),0)</f>
        <v>0</v>
      </c>
      <c r="K775" s="68"/>
      <c r="L775" s="68"/>
      <c r="M775" s="68"/>
      <c r="N775" s="68"/>
      <c r="O775" s="68"/>
      <c r="P775" s="68"/>
      <c r="Q775" s="68">
        <f>SUM(Devis[[#This Row],[Poste 1]:[Poste 6]])</f>
        <v>0</v>
      </c>
      <c r="R775" s="71"/>
      <c r="S775" s="68">
        <f>_xlfn.CEILING.MATH(Devis[[#This Row],[Quantité Totale]],Devis[[#This Row],[Conditionnement]])</f>
        <v>0</v>
      </c>
      <c r="T775" s="72"/>
      <c r="U775" s="70">
        <v>89</v>
      </c>
      <c r="V775" s="74">
        <f>Devis[[#This Row],[Prix de Revient]]*Devis[[#This Row],[Poste 1]]</f>
        <v>0</v>
      </c>
      <c r="W775" s="74">
        <f>Devis[[#This Row],[Prix de Revient]]*Devis[[#This Row],[Poste 2]]</f>
        <v>0</v>
      </c>
      <c r="X775" s="74">
        <f>Devis[[#This Row],[Prix de Revient]]*Devis[[#This Row],[Poste 3]]</f>
        <v>0</v>
      </c>
      <c r="Y775" s="74">
        <f>Devis[[#This Row],[Poste 4]]*Devis[[#This Row],[Prix de Revient]]</f>
        <v>0</v>
      </c>
      <c r="Z775" s="74">
        <f>Devis[[#This Row],[Poste 5]]*Devis[[#This Row],[Prix de Revient]]</f>
        <v>0</v>
      </c>
      <c r="AA775" s="74">
        <f>Devis[[#This Row],[Prix de Revient]]*Devis[[#This Row],[Poste 6]]</f>
        <v>0</v>
      </c>
      <c r="AB775" s="74">
        <f>Devis[[#This Row],[Quantité Totale]]*Devis[[#This Row],[Prix de Revient]]</f>
        <v>0</v>
      </c>
    </row>
    <row r="776" spans="1:28" ht="14.25" customHeight="1" outlineLevel="1" x14ac:dyDescent="0.2">
      <c r="A776" s="75" t="s">
        <v>337</v>
      </c>
      <c r="B776" s="76" t="s">
        <v>5945</v>
      </c>
      <c r="C776" s="76" t="s">
        <v>6035</v>
      </c>
      <c r="D776" s="122" t="str">
        <f t="shared" si="13"/>
        <v>DiversNacelleArticulée</v>
      </c>
      <c r="E776" s="76" t="s">
        <v>6038</v>
      </c>
      <c r="F776" s="76">
        <v>2</v>
      </c>
      <c r="G776" s="86" t="s">
        <v>6146</v>
      </c>
      <c r="H776" s="71" t="s">
        <v>5948</v>
      </c>
      <c r="I776" s="71" t="s">
        <v>6039</v>
      </c>
      <c r="J776" s="70">
        <f>IFERROR(VLOOKUP(Devis[[#This Row],[Ref Air Flux]],#REF!,3,FALSE),0)</f>
        <v>0</v>
      </c>
      <c r="K776" s="68"/>
      <c r="L776" s="68"/>
      <c r="M776" s="68"/>
      <c r="N776" s="68"/>
      <c r="O776" s="68"/>
      <c r="P776" s="68"/>
      <c r="Q776" s="68">
        <f>SUM(Devis[[#This Row],[Poste 1]:[Poste 6]])</f>
        <v>0</v>
      </c>
      <c r="R776" s="71"/>
      <c r="S776" s="68">
        <f>_xlfn.CEILING.MATH(Devis[[#This Row],[Quantité Totale]],Devis[[#This Row],[Conditionnement]])</f>
        <v>0</v>
      </c>
      <c r="T776" s="72"/>
      <c r="U776" s="70">
        <v>89</v>
      </c>
      <c r="V776" s="74">
        <f>Devis[[#This Row],[Prix de Revient]]*Devis[[#This Row],[Poste 1]]</f>
        <v>0</v>
      </c>
      <c r="W776" s="74">
        <f>Devis[[#This Row],[Prix de Revient]]*Devis[[#This Row],[Poste 2]]</f>
        <v>0</v>
      </c>
      <c r="X776" s="74">
        <f>Devis[[#This Row],[Prix de Revient]]*Devis[[#This Row],[Poste 3]]</f>
        <v>0</v>
      </c>
      <c r="Y776" s="74">
        <f>Devis[[#This Row],[Poste 4]]*Devis[[#This Row],[Prix de Revient]]</f>
        <v>0</v>
      </c>
      <c r="Z776" s="74">
        <f>Devis[[#This Row],[Poste 5]]*Devis[[#This Row],[Prix de Revient]]</f>
        <v>0</v>
      </c>
      <c r="AA776" s="74">
        <f>Devis[[#This Row],[Prix de Revient]]*Devis[[#This Row],[Poste 6]]</f>
        <v>0</v>
      </c>
      <c r="AB776" s="74">
        <f>Devis[[#This Row],[Quantité Totale]]*Devis[[#This Row],[Prix de Revient]]</f>
        <v>0</v>
      </c>
    </row>
    <row r="777" spans="1:28" ht="14.25" customHeight="1" outlineLevel="1" x14ac:dyDescent="0.2">
      <c r="A777" s="75" t="s">
        <v>337</v>
      </c>
      <c r="B777" s="76" t="s">
        <v>5945</v>
      </c>
      <c r="C777" s="76" t="s">
        <v>6035</v>
      </c>
      <c r="D777" s="122" t="str">
        <f t="shared" si="13"/>
        <v>DiversNacelleArticulée</v>
      </c>
      <c r="E777" s="76" t="s">
        <v>6040</v>
      </c>
      <c r="F777" s="76">
        <v>3</v>
      </c>
      <c r="G777" s="86" t="s">
        <v>6147</v>
      </c>
      <c r="H777" s="71" t="s">
        <v>5948</v>
      </c>
      <c r="I777" s="71" t="s">
        <v>6041</v>
      </c>
      <c r="J777" s="70">
        <f>IFERROR(VLOOKUP(Devis[[#This Row],[Ref Air Flux]],#REF!,3,FALSE),0)</f>
        <v>0</v>
      </c>
      <c r="K777" s="68"/>
      <c r="L777" s="68"/>
      <c r="M777" s="68"/>
      <c r="N777" s="68"/>
      <c r="O777" s="68"/>
      <c r="P777" s="68"/>
      <c r="Q777" s="68">
        <f>SUM(Devis[[#This Row],[Poste 1]:[Poste 6]])</f>
        <v>0</v>
      </c>
      <c r="R777" s="71"/>
      <c r="S777" s="68">
        <f>_xlfn.CEILING.MATH(Devis[[#This Row],[Quantité Totale]],Devis[[#This Row],[Conditionnement]])</f>
        <v>0</v>
      </c>
      <c r="T777" s="72"/>
      <c r="U777" s="70">
        <v>89</v>
      </c>
      <c r="V777" s="74">
        <f>Devis[[#This Row],[Prix de Revient]]*Devis[[#This Row],[Poste 1]]</f>
        <v>0</v>
      </c>
      <c r="W777" s="74">
        <f>Devis[[#This Row],[Prix de Revient]]*Devis[[#This Row],[Poste 2]]</f>
        <v>0</v>
      </c>
      <c r="X777" s="74">
        <f>Devis[[#This Row],[Prix de Revient]]*Devis[[#This Row],[Poste 3]]</f>
        <v>0</v>
      </c>
      <c r="Y777" s="74">
        <f>Devis[[#This Row],[Poste 4]]*Devis[[#This Row],[Prix de Revient]]</f>
        <v>0</v>
      </c>
      <c r="Z777" s="74">
        <f>Devis[[#This Row],[Poste 5]]*Devis[[#This Row],[Prix de Revient]]</f>
        <v>0</v>
      </c>
      <c r="AA777" s="74">
        <f>Devis[[#This Row],[Prix de Revient]]*Devis[[#This Row],[Poste 6]]</f>
        <v>0</v>
      </c>
      <c r="AB777" s="74">
        <f>Devis[[#This Row],[Quantité Totale]]*Devis[[#This Row],[Prix de Revient]]</f>
        <v>0</v>
      </c>
    </row>
    <row r="778" spans="1:28" ht="14.25" customHeight="1" outlineLevel="1" x14ac:dyDescent="0.2">
      <c r="A778" s="75" t="s">
        <v>337</v>
      </c>
      <c r="B778" s="76" t="s">
        <v>5945</v>
      </c>
      <c r="C778" s="76" t="s">
        <v>6035</v>
      </c>
      <c r="D778" s="122" t="str">
        <f t="shared" si="13"/>
        <v>DiversNacelleArticulée</v>
      </c>
      <c r="E778" s="76" t="s">
        <v>6042</v>
      </c>
      <c r="F778" s="76">
        <v>4</v>
      </c>
      <c r="G778" s="86" t="s">
        <v>6148</v>
      </c>
      <c r="H778" s="71" t="s">
        <v>5948</v>
      </c>
      <c r="I778" s="71" t="s">
        <v>6043</v>
      </c>
      <c r="J778" s="70">
        <f>IFERROR(VLOOKUP(Devis[[#This Row],[Ref Air Flux]],#REF!,3,FALSE),0)</f>
        <v>0</v>
      </c>
      <c r="K778" s="68"/>
      <c r="L778" s="68"/>
      <c r="M778" s="68"/>
      <c r="N778" s="68"/>
      <c r="O778" s="68"/>
      <c r="P778" s="68"/>
      <c r="Q778" s="68">
        <f>SUM(Devis[[#This Row],[Poste 1]:[Poste 6]])</f>
        <v>0</v>
      </c>
      <c r="R778" s="71"/>
      <c r="S778" s="68">
        <f>_xlfn.CEILING.MATH(Devis[[#This Row],[Quantité Totale]],Devis[[#This Row],[Conditionnement]])</f>
        <v>0</v>
      </c>
      <c r="T778" s="72"/>
      <c r="U778" s="70">
        <v>105</v>
      </c>
      <c r="V778" s="74">
        <f>Devis[[#This Row],[Prix de Revient]]*Devis[[#This Row],[Poste 1]]</f>
        <v>0</v>
      </c>
      <c r="W778" s="74">
        <f>Devis[[#This Row],[Prix de Revient]]*Devis[[#This Row],[Poste 2]]</f>
        <v>0</v>
      </c>
      <c r="X778" s="74">
        <f>Devis[[#This Row],[Prix de Revient]]*Devis[[#This Row],[Poste 3]]</f>
        <v>0</v>
      </c>
      <c r="Y778" s="74">
        <f>Devis[[#This Row],[Poste 4]]*Devis[[#This Row],[Prix de Revient]]</f>
        <v>0</v>
      </c>
      <c r="Z778" s="74">
        <f>Devis[[#This Row],[Poste 5]]*Devis[[#This Row],[Prix de Revient]]</f>
        <v>0</v>
      </c>
      <c r="AA778" s="74">
        <f>Devis[[#This Row],[Prix de Revient]]*Devis[[#This Row],[Poste 6]]</f>
        <v>0</v>
      </c>
      <c r="AB778" s="74">
        <f>Devis[[#This Row],[Quantité Totale]]*Devis[[#This Row],[Prix de Revient]]</f>
        <v>0</v>
      </c>
    </row>
    <row r="779" spans="1:28" ht="14.25" customHeight="1" outlineLevel="1" x14ac:dyDescent="0.2">
      <c r="A779" s="75" t="s">
        <v>337</v>
      </c>
      <c r="B779" s="76" t="s">
        <v>5945</v>
      </c>
      <c r="C779" s="76" t="s">
        <v>6035</v>
      </c>
      <c r="D779" s="122" t="str">
        <f t="shared" si="13"/>
        <v>DiversNacelleArticulée</v>
      </c>
      <c r="E779" s="76" t="s">
        <v>6044</v>
      </c>
      <c r="F779" s="76">
        <v>5</v>
      </c>
      <c r="G779" s="86" t="s">
        <v>6149</v>
      </c>
      <c r="H779" s="71" t="s">
        <v>5948</v>
      </c>
      <c r="I779" s="71" t="s">
        <v>6045</v>
      </c>
      <c r="J779" s="70">
        <f>IFERROR(VLOOKUP(Devis[[#This Row],[Ref Air Flux]],#REF!,3,FALSE),0)</f>
        <v>0</v>
      </c>
      <c r="K779" s="68"/>
      <c r="L779" s="68"/>
      <c r="M779" s="68"/>
      <c r="N779" s="68"/>
      <c r="O779" s="68"/>
      <c r="P779" s="68"/>
      <c r="Q779" s="68">
        <f>SUM(Devis[[#This Row],[Poste 1]:[Poste 6]])</f>
        <v>0</v>
      </c>
      <c r="R779" s="71"/>
      <c r="S779" s="68">
        <f>_xlfn.CEILING.MATH(Devis[[#This Row],[Quantité Totale]],Devis[[#This Row],[Conditionnement]])</f>
        <v>0</v>
      </c>
      <c r="T779" s="72"/>
      <c r="U779" s="70">
        <v>105</v>
      </c>
      <c r="V779" s="74">
        <f>Devis[[#This Row],[Prix de Revient]]*Devis[[#This Row],[Poste 1]]</f>
        <v>0</v>
      </c>
      <c r="W779" s="74">
        <f>Devis[[#This Row],[Prix de Revient]]*Devis[[#This Row],[Poste 2]]</f>
        <v>0</v>
      </c>
      <c r="X779" s="74">
        <f>Devis[[#This Row],[Prix de Revient]]*Devis[[#This Row],[Poste 3]]</f>
        <v>0</v>
      </c>
      <c r="Y779" s="74">
        <f>Devis[[#This Row],[Poste 4]]*Devis[[#This Row],[Prix de Revient]]</f>
        <v>0</v>
      </c>
      <c r="Z779" s="74">
        <f>Devis[[#This Row],[Poste 5]]*Devis[[#This Row],[Prix de Revient]]</f>
        <v>0</v>
      </c>
      <c r="AA779" s="74">
        <f>Devis[[#This Row],[Prix de Revient]]*Devis[[#This Row],[Poste 6]]</f>
        <v>0</v>
      </c>
      <c r="AB779" s="74">
        <f>Devis[[#This Row],[Quantité Totale]]*Devis[[#This Row],[Prix de Revient]]</f>
        <v>0</v>
      </c>
    </row>
    <row r="780" spans="1:28" ht="14.25" outlineLevel="1" x14ac:dyDescent="0.2">
      <c r="A780" s="75" t="s">
        <v>337</v>
      </c>
      <c r="B780" s="76" t="s">
        <v>5945</v>
      </c>
      <c r="C780" s="76" t="s">
        <v>6035</v>
      </c>
      <c r="D780" s="122" t="str">
        <f t="shared" si="13"/>
        <v>DiversNacelleArticulée</v>
      </c>
      <c r="E780" s="76" t="s">
        <v>6046</v>
      </c>
      <c r="F780" s="76">
        <v>6</v>
      </c>
      <c r="G780" s="86" t="s">
        <v>6150</v>
      </c>
      <c r="H780" s="71" t="s">
        <v>5948</v>
      </c>
      <c r="I780" s="71" t="s">
        <v>6047</v>
      </c>
      <c r="J780" s="70">
        <f>IFERROR(VLOOKUP(Devis[[#This Row],[Ref Air Flux]],#REF!,3,FALSE),0)</f>
        <v>0</v>
      </c>
      <c r="K780" s="68"/>
      <c r="L780" s="68"/>
      <c r="M780" s="68"/>
      <c r="N780" s="68"/>
      <c r="O780" s="68"/>
      <c r="P780" s="68"/>
      <c r="Q780" s="68">
        <f>SUM(Devis[[#This Row],[Poste 1]:[Poste 6]])</f>
        <v>0</v>
      </c>
      <c r="R780" s="71"/>
      <c r="S780" s="68">
        <f>_xlfn.CEILING.MATH(Devis[[#This Row],[Quantité Totale]],Devis[[#This Row],[Conditionnement]])</f>
        <v>0</v>
      </c>
      <c r="T780" s="72"/>
      <c r="U780" s="70">
        <v>127</v>
      </c>
      <c r="V780" s="74">
        <f>Devis[[#This Row],[Prix de Revient]]*Devis[[#This Row],[Poste 1]]</f>
        <v>0</v>
      </c>
      <c r="W780" s="74">
        <f>Devis[[#This Row],[Prix de Revient]]*Devis[[#This Row],[Poste 2]]</f>
        <v>0</v>
      </c>
      <c r="X780" s="74">
        <f>Devis[[#This Row],[Prix de Revient]]*Devis[[#This Row],[Poste 3]]</f>
        <v>0</v>
      </c>
      <c r="Y780" s="74">
        <f>Devis[[#This Row],[Poste 4]]*Devis[[#This Row],[Prix de Revient]]</f>
        <v>0</v>
      </c>
      <c r="Z780" s="74">
        <f>Devis[[#This Row],[Poste 5]]*Devis[[#This Row],[Prix de Revient]]</f>
        <v>0</v>
      </c>
      <c r="AA780" s="74">
        <f>Devis[[#This Row],[Prix de Revient]]*Devis[[#This Row],[Poste 6]]</f>
        <v>0</v>
      </c>
      <c r="AB780" s="74">
        <f>Devis[[#This Row],[Quantité Totale]]*Devis[[#This Row],[Prix de Revient]]</f>
        <v>0</v>
      </c>
    </row>
    <row r="781" spans="1:28" ht="15" customHeight="1" outlineLevel="1" x14ac:dyDescent="0.2">
      <c r="A781" s="75" t="s">
        <v>337</v>
      </c>
      <c r="B781" s="76" t="s">
        <v>5945</v>
      </c>
      <c r="C781" s="76" t="s">
        <v>6035</v>
      </c>
      <c r="D781" s="122" t="str">
        <f t="shared" si="13"/>
        <v>DiversNacelleArticulée</v>
      </c>
      <c r="E781" s="76" t="s">
        <v>5958</v>
      </c>
      <c r="F781" s="76">
        <v>7</v>
      </c>
      <c r="G781" s="86" t="s">
        <v>6124</v>
      </c>
      <c r="H781" s="71" t="s">
        <v>5948</v>
      </c>
      <c r="I781" s="71" t="s">
        <v>5959</v>
      </c>
      <c r="J781" s="70">
        <f>IFERROR(VLOOKUP(Devis[[#This Row],[Ref Air Flux]],#REF!,3,FALSE),0)</f>
        <v>0</v>
      </c>
      <c r="K781" s="68"/>
      <c r="L781" s="68"/>
      <c r="M781" s="68"/>
      <c r="N781" s="68"/>
      <c r="O781" s="68"/>
      <c r="P781" s="68"/>
      <c r="Q781" s="68">
        <f>SUM(Devis[[#This Row],[Poste 1]:[Poste 6]])</f>
        <v>0</v>
      </c>
      <c r="R781" s="71"/>
      <c r="S781" s="68">
        <f>_xlfn.CEILING.MATH(Devis[[#This Row],[Quantité Totale]],Devis[[#This Row],[Conditionnement]])</f>
        <v>0</v>
      </c>
      <c r="T781" s="72"/>
      <c r="U781" s="70">
        <v>90</v>
      </c>
      <c r="V781" s="74">
        <f>Devis[[#This Row],[Prix de Revient]]*Devis[[#This Row],[Poste 1]]</f>
        <v>0</v>
      </c>
      <c r="W781" s="74">
        <f>Devis[[#This Row],[Prix de Revient]]*Devis[[#This Row],[Poste 2]]</f>
        <v>0</v>
      </c>
      <c r="X781" s="74">
        <f>Devis[[#This Row],[Prix de Revient]]*Devis[[#This Row],[Poste 3]]</f>
        <v>0</v>
      </c>
      <c r="Y781" s="74">
        <f>Devis[[#This Row],[Poste 4]]*Devis[[#This Row],[Prix de Revient]]</f>
        <v>0</v>
      </c>
      <c r="Z781" s="74">
        <f>Devis[[#This Row],[Poste 5]]*Devis[[#This Row],[Prix de Revient]]</f>
        <v>0</v>
      </c>
      <c r="AA781" s="74">
        <f>Devis[[#This Row],[Prix de Revient]]*Devis[[#This Row],[Poste 6]]</f>
        <v>0</v>
      </c>
      <c r="AB781" s="74">
        <f>Devis[[#This Row],[Quantité Totale]]*Devis[[#This Row],[Prix de Revient]]</f>
        <v>0</v>
      </c>
    </row>
    <row r="782" spans="1:28" ht="14.25" customHeight="1" x14ac:dyDescent="0.25">
      <c r="A782" s="65" t="s">
        <v>337</v>
      </c>
      <c r="B782" s="65" t="s">
        <v>5945</v>
      </c>
      <c r="C782" s="65" t="s">
        <v>6008</v>
      </c>
      <c r="D782" s="122" t="str">
        <f t="shared" si="13"/>
        <v>DiversNacelleCiseaux</v>
      </c>
      <c r="E782" s="76"/>
      <c r="F782" s="76">
        <v>0</v>
      </c>
      <c r="G782" s="86" t="s">
        <v>6130</v>
      </c>
      <c r="H782" s="71"/>
      <c r="I782" s="71"/>
      <c r="J782" s="70">
        <f>IFERROR(VLOOKUP(Devis[[#This Row],[Ref Air Flux]],#REF!,3,FALSE),0)</f>
        <v>0</v>
      </c>
      <c r="K782" s="68"/>
      <c r="L782" s="68"/>
      <c r="M782" s="68"/>
      <c r="N782" s="68"/>
      <c r="O782" s="68"/>
      <c r="P782" s="68"/>
      <c r="Q782" s="68">
        <f>SUM(Devis[[#This Row],[Poste 1]:[Poste 6]])</f>
        <v>0</v>
      </c>
      <c r="R782" s="71"/>
      <c r="S782" s="68">
        <f>_xlfn.CEILING.MATH(Devis[[#This Row],[Quantité Totale]],Devis[[#This Row],[Conditionnement]])</f>
        <v>0</v>
      </c>
      <c r="T782" s="72"/>
      <c r="U782" s="70">
        <v>0</v>
      </c>
      <c r="V782" s="74">
        <f>Devis[[#This Row],[Prix de Revient]]*Devis[[#This Row],[Poste 1]]</f>
        <v>0</v>
      </c>
      <c r="W782" s="74">
        <f>Devis[[#This Row],[Prix de Revient]]*Devis[[#This Row],[Poste 2]]</f>
        <v>0</v>
      </c>
      <c r="X782" s="74">
        <f>Devis[[#This Row],[Prix de Revient]]*Devis[[#This Row],[Poste 3]]</f>
        <v>0</v>
      </c>
      <c r="Y782" s="74">
        <f>Devis[[#This Row],[Poste 4]]*Devis[[#This Row],[Prix de Revient]]</f>
        <v>0</v>
      </c>
      <c r="Z782" s="74">
        <f>Devis[[#This Row],[Poste 5]]*Devis[[#This Row],[Prix de Revient]]</f>
        <v>0</v>
      </c>
      <c r="AA782" s="74">
        <f>Devis[[#This Row],[Prix de Revient]]*Devis[[#This Row],[Poste 6]]</f>
        <v>0</v>
      </c>
      <c r="AB782" s="74">
        <f>Devis[[#This Row],[Quantité Totale]]*Devis[[#This Row],[Prix de Revient]]</f>
        <v>0</v>
      </c>
    </row>
    <row r="783" spans="1:28" ht="14.25" outlineLevel="1" x14ac:dyDescent="0.2">
      <c r="A783" s="75" t="s">
        <v>337</v>
      </c>
      <c r="B783" s="76" t="s">
        <v>5945</v>
      </c>
      <c r="C783" s="76" t="s">
        <v>6008</v>
      </c>
      <c r="D783" s="122" t="str">
        <f t="shared" si="13"/>
        <v>DiversNacelleCiseaux</v>
      </c>
      <c r="E783" s="76" t="s">
        <v>6009</v>
      </c>
      <c r="F783" s="76">
        <v>1</v>
      </c>
      <c r="G783" s="86" t="s">
        <v>6151</v>
      </c>
      <c r="H783" s="71" t="s">
        <v>5948</v>
      </c>
      <c r="I783" s="71" t="s">
        <v>6010</v>
      </c>
      <c r="J783" s="70">
        <f>IFERROR(VLOOKUP(Devis[[#This Row],[Ref Air Flux]],#REF!,3,FALSE),0)</f>
        <v>0</v>
      </c>
      <c r="K783" s="68"/>
      <c r="L783" s="68"/>
      <c r="M783" s="68"/>
      <c r="N783" s="68"/>
      <c r="O783" s="68"/>
      <c r="P783" s="68"/>
      <c r="Q783" s="68">
        <f>SUM(Devis[[#This Row],[Poste 1]:[Poste 6]])</f>
        <v>0</v>
      </c>
      <c r="R783" s="71"/>
      <c r="S783" s="68">
        <f>_xlfn.CEILING.MATH(Devis[[#This Row],[Quantité Totale]],Devis[[#This Row],[Conditionnement]])</f>
        <v>0</v>
      </c>
      <c r="T783" s="72"/>
      <c r="U783" s="70">
        <v>36</v>
      </c>
      <c r="V783" s="74">
        <f>Devis[[#This Row],[Prix de Revient]]*Devis[[#This Row],[Poste 1]]</f>
        <v>0</v>
      </c>
      <c r="W783" s="74">
        <f>Devis[[#This Row],[Prix de Revient]]*Devis[[#This Row],[Poste 2]]</f>
        <v>0</v>
      </c>
      <c r="X783" s="74">
        <f>Devis[[#This Row],[Prix de Revient]]*Devis[[#This Row],[Poste 3]]</f>
        <v>0</v>
      </c>
      <c r="Y783" s="74">
        <f>Devis[[#This Row],[Poste 4]]*Devis[[#This Row],[Prix de Revient]]</f>
        <v>0</v>
      </c>
      <c r="Z783" s="74">
        <f>Devis[[#This Row],[Poste 5]]*Devis[[#This Row],[Prix de Revient]]</f>
        <v>0</v>
      </c>
      <c r="AA783" s="74">
        <f>Devis[[#This Row],[Prix de Revient]]*Devis[[#This Row],[Poste 6]]</f>
        <v>0</v>
      </c>
      <c r="AB783" s="74">
        <f>Devis[[#This Row],[Quantité Totale]]*Devis[[#This Row],[Prix de Revient]]</f>
        <v>0</v>
      </c>
    </row>
    <row r="784" spans="1:28" ht="14.25" outlineLevel="1" x14ac:dyDescent="0.2">
      <c r="A784" s="75" t="s">
        <v>337</v>
      </c>
      <c r="B784" s="76" t="s">
        <v>5945</v>
      </c>
      <c r="C784" s="76" t="s">
        <v>6008</v>
      </c>
      <c r="D784" s="122" t="str">
        <f t="shared" si="13"/>
        <v>DiversNacelleCiseaux</v>
      </c>
      <c r="E784" s="76" t="s">
        <v>6011</v>
      </c>
      <c r="F784" s="76">
        <v>2</v>
      </c>
      <c r="G784" s="86" t="s">
        <v>6152</v>
      </c>
      <c r="H784" s="71" t="s">
        <v>5948</v>
      </c>
      <c r="I784" s="71" t="s">
        <v>6012</v>
      </c>
      <c r="J784" s="70">
        <f>IFERROR(VLOOKUP(Devis[[#This Row],[Ref Air Flux]],#REF!,3,FALSE),0)</f>
        <v>0</v>
      </c>
      <c r="K784" s="68"/>
      <c r="L784" s="68"/>
      <c r="M784" s="68"/>
      <c r="N784" s="68"/>
      <c r="O784" s="68"/>
      <c r="P784" s="68"/>
      <c r="Q784" s="68">
        <f>SUM(Devis[[#This Row],[Poste 1]:[Poste 6]])</f>
        <v>0</v>
      </c>
      <c r="R784" s="71"/>
      <c r="S784" s="68">
        <f>_xlfn.CEILING.MATH(Devis[[#This Row],[Quantité Totale]],Devis[[#This Row],[Conditionnement]])</f>
        <v>0</v>
      </c>
      <c r="T784" s="72"/>
      <c r="U784" s="70">
        <v>38</v>
      </c>
      <c r="V784" s="74">
        <f>Devis[[#This Row],[Prix de Revient]]*Devis[[#This Row],[Poste 1]]</f>
        <v>0</v>
      </c>
      <c r="W784" s="74">
        <f>Devis[[#This Row],[Prix de Revient]]*Devis[[#This Row],[Poste 2]]</f>
        <v>0</v>
      </c>
      <c r="X784" s="74">
        <f>Devis[[#This Row],[Prix de Revient]]*Devis[[#This Row],[Poste 3]]</f>
        <v>0</v>
      </c>
      <c r="Y784" s="74">
        <f>Devis[[#This Row],[Poste 4]]*Devis[[#This Row],[Prix de Revient]]</f>
        <v>0</v>
      </c>
      <c r="Z784" s="74">
        <f>Devis[[#This Row],[Poste 5]]*Devis[[#This Row],[Prix de Revient]]</f>
        <v>0</v>
      </c>
      <c r="AA784" s="74">
        <f>Devis[[#This Row],[Prix de Revient]]*Devis[[#This Row],[Poste 6]]</f>
        <v>0</v>
      </c>
      <c r="AB784" s="74">
        <f>Devis[[#This Row],[Quantité Totale]]*Devis[[#This Row],[Prix de Revient]]</f>
        <v>0</v>
      </c>
    </row>
    <row r="785" spans="1:28" ht="14.25" outlineLevel="1" x14ac:dyDescent="0.2">
      <c r="A785" s="75" t="s">
        <v>337</v>
      </c>
      <c r="B785" s="76" t="s">
        <v>5945</v>
      </c>
      <c r="C785" s="76" t="s">
        <v>6008</v>
      </c>
      <c r="D785" s="122" t="str">
        <f t="shared" si="13"/>
        <v>DiversNacelleCiseaux</v>
      </c>
      <c r="E785" s="76" t="s">
        <v>6013</v>
      </c>
      <c r="F785" s="76">
        <v>3</v>
      </c>
      <c r="G785" s="86" t="s">
        <v>6153</v>
      </c>
      <c r="H785" s="71" t="s">
        <v>5948</v>
      </c>
      <c r="I785" s="71" t="s">
        <v>6014</v>
      </c>
      <c r="J785" s="70">
        <f>IFERROR(VLOOKUP(Devis[[#This Row],[Ref Air Flux]],#REF!,3,FALSE),0)</f>
        <v>0</v>
      </c>
      <c r="K785" s="68"/>
      <c r="L785" s="68"/>
      <c r="M785" s="68"/>
      <c r="N785" s="68"/>
      <c r="O785" s="68"/>
      <c r="P785" s="68"/>
      <c r="Q785" s="68">
        <f>SUM(Devis[[#This Row],[Poste 1]:[Poste 6]])</f>
        <v>0</v>
      </c>
      <c r="R785" s="71"/>
      <c r="S785" s="68">
        <f>_xlfn.CEILING.MATH(Devis[[#This Row],[Quantité Totale]],Devis[[#This Row],[Conditionnement]])</f>
        <v>0</v>
      </c>
      <c r="T785" s="72"/>
      <c r="U785" s="70">
        <v>41</v>
      </c>
      <c r="V785" s="74">
        <f>Devis[[#This Row],[Prix de Revient]]*Devis[[#This Row],[Poste 1]]</f>
        <v>0</v>
      </c>
      <c r="W785" s="74">
        <f>Devis[[#This Row],[Prix de Revient]]*Devis[[#This Row],[Poste 2]]</f>
        <v>0</v>
      </c>
      <c r="X785" s="74">
        <f>Devis[[#This Row],[Prix de Revient]]*Devis[[#This Row],[Poste 3]]</f>
        <v>0</v>
      </c>
      <c r="Y785" s="74">
        <f>Devis[[#This Row],[Poste 4]]*Devis[[#This Row],[Prix de Revient]]</f>
        <v>0</v>
      </c>
      <c r="Z785" s="74">
        <f>Devis[[#This Row],[Poste 5]]*Devis[[#This Row],[Prix de Revient]]</f>
        <v>0</v>
      </c>
      <c r="AA785" s="74">
        <f>Devis[[#This Row],[Prix de Revient]]*Devis[[#This Row],[Poste 6]]</f>
        <v>0</v>
      </c>
      <c r="AB785" s="74">
        <f>Devis[[#This Row],[Quantité Totale]]*Devis[[#This Row],[Prix de Revient]]</f>
        <v>0</v>
      </c>
    </row>
    <row r="786" spans="1:28" ht="14.25" outlineLevel="1" x14ac:dyDescent="0.2">
      <c r="A786" s="75" t="s">
        <v>337</v>
      </c>
      <c r="B786" s="76" t="s">
        <v>5945</v>
      </c>
      <c r="C786" s="76" t="s">
        <v>6008</v>
      </c>
      <c r="D786" s="122" t="str">
        <f t="shared" si="13"/>
        <v>DiversNacelleCiseaux</v>
      </c>
      <c r="E786" s="76" t="s">
        <v>6015</v>
      </c>
      <c r="F786" s="76">
        <v>4</v>
      </c>
      <c r="G786" s="86" t="s">
        <v>6154</v>
      </c>
      <c r="H786" s="71" t="s">
        <v>5948</v>
      </c>
      <c r="I786" s="71" t="s">
        <v>6016</v>
      </c>
      <c r="J786" s="70">
        <f>IFERROR(VLOOKUP(Devis[[#This Row],[Ref Air Flux]],#REF!,3,FALSE),0)</f>
        <v>0</v>
      </c>
      <c r="K786" s="68"/>
      <c r="L786" s="68"/>
      <c r="M786" s="68"/>
      <c r="N786" s="68"/>
      <c r="O786" s="68"/>
      <c r="P786" s="68"/>
      <c r="Q786" s="68">
        <f>SUM(Devis[[#This Row],[Poste 1]:[Poste 6]])</f>
        <v>0</v>
      </c>
      <c r="R786" s="71"/>
      <c r="S786" s="68">
        <f>_xlfn.CEILING.MATH(Devis[[#This Row],[Quantité Totale]],Devis[[#This Row],[Conditionnement]])</f>
        <v>0</v>
      </c>
      <c r="T786" s="72"/>
      <c r="U786" s="70">
        <v>48</v>
      </c>
      <c r="V786" s="74">
        <f>Devis[[#This Row],[Prix de Revient]]*Devis[[#This Row],[Poste 1]]</f>
        <v>0</v>
      </c>
      <c r="W786" s="74">
        <f>Devis[[#This Row],[Prix de Revient]]*Devis[[#This Row],[Poste 2]]</f>
        <v>0</v>
      </c>
      <c r="X786" s="74">
        <f>Devis[[#This Row],[Prix de Revient]]*Devis[[#This Row],[Poste 3]]</f>
        <v>0</v>
      </c>
      <c r="Y786" s="74">
        <f>Devis[[#This Row],[Poste 4]]*Devis[[#This Row],[Prix de Revient]]</f>
        <v>0</v>
      </c>
      <c r="Z786" s="74">
        <f>Devis[[#This Row],[Poste 5]]*Devis[[#This Row],[Prix de Revient]]</f>
        <v>0</v>
      </c>
      <c r="AA786" s="74">
        <f>Devis[[#This Row],[Prix de Revient]]*Devis[[#This Row],[Poste 6]]</f>
        <v>0</v>
      </c>
      <c r="AB786" s="74">
        <f>Devis[[#This Row],[Quantité Totale]]*Devis[[#This Row],[Prix de Revient]]</f>
        <v>0</v>
      </c>
    </row>
    <row r="787" spans="1:28" ht="14.25" outlineLevel="1" x14ac:dyDescent="0.2">
      <c r="A787" s="75" t="s">
        <v>337</v>
      </c>
      <c r="B787" s="76" t="s">
        <v>5945</v>
      </c>
      <c r="C787" s="76" t="s">
        <v>6008</v>
      </c>
      <c r="D787" s="122" t="str">
        <f t="shared" si="13"/>
        <v>DiversNacelleCiseaux</v>
      </c>
      <c r="E787" s="76" t="s">
        <v>6017</v>
      </c>
      <c r="F787" s="76">
        <v>5</v>
      </c>
      <c r="G787" s="86" t="s">
        <v>6155</v>
      </c>
      <c r="H787" s="71" t="s">
        <v>5948</v>
      </c>
      <c r="I787" s="71" t="s">
        <v>6018</v>
      </c>
      <c r="J787" s="70">
        <f>IFERROR(VLOOKUP(Devis[[#This Row],[Ref Air Flux]],#REF!,3,FALSE),0)</f>
        <v>0</v>
      </c>
      <c r="K787" s="68"/>
      <c r="L787" s="68"/>
      <c r="M787" s="68"/>
      <c r="N787" s="68"/>
      <c r="O787" s="68"/>
      <c r="P787" s="68"/>
      <c r="Q787" s="68">
        <f>SUM(Devis[[#This Row],[Poste 1]:[Poste 6]])</f>
        <v>0</v>
      </c>
      <c r="R787" s="71"/>
      <c r="S787" s="68">
        <f>_xlfn.CEILING.MATH(Devis[[#This Row],[Quantité Totale]],Devis[[#This Row],[Conditionnement]])</f>
        <v>0</v>
      </c>
      <c r="T787" s="72"/>
      <c r="U787" s="70">
        <v>54</v>
      </c>
      <c r="V787" s="74">
        <f>Devis[[#This Row],[Prix de Revient]]*Devis[[#This Row],[Poste 1]]</f>
        <v>0</v>
      </c>
      <c r="W787" s="74">
        <f>Devis[[#This Row],[Prix de Revient]]*Devis[[#This Row],[Poste 2]]</f>
        <v>0</v>
      </c>
      <c r="X787" s="74">
        <f>Devis[[#This Row],[Prix de Revient]]*Devis[[#This Row],[Poste 3]]</f>
        <v>0</v>
      </c>
      <c r="Y787" s="74">
        <f>Devis[[#This Row],[Poste 4]]*Devis[[#This Row],[Prix de Revient]]</f>
        <v>0</v>
      </c>
      <c r="Z787" s="74">
        <f>Devis[[#This Row],[Poste 5]]*Devis[[#This Row],[Prix de Revient]]</f>
        <v>0</v>
      </c>
      <c r="AA787" s="74">
        <f>Devis[[#This Row],[Prix de Revient]]*Devis[[#This Row],[Poste 6]]</f>
        <v>0</v>
      </c>
      <c r="AB787" s="74">
        <f>Devis[[#This Row],[Quantité Totale]]*Devis[[#This Row],[Prix de Revient]]</f>
        <v>0</v>
      </c>
    </row>
    <row r="788" spans="1:28" ht="14.25" outlineLevel="1" x14ac:dyDescent="0.2">
      <c r="A788" s="75" t="s">
        <v>337</v>
      </c>
      <c r="B788" s="76" t="s">
        <v>5945</v>
      </c>
      <c r="C788" s="76" t="s">
        <v>6008</v>
      </c>
      <c r="D788" s="122" t="str">
        <f t="shared" si="13"/>
        <v>DiversNacelleCiseaux</v>
      </c>
      <c r="E788" s="76" t="s">
        <v>6019</v>
      </c>
      <c r="F788" s="76">
        <v>6</v>
      </c>
      <c r="G788" s="86" t="s">
        <v>6156</v>
      </c>
      <c r="H788" s="71" t="s">
        <v>5948</v>
      </c>
      <c r="I788" s="71" t="s">
        <v>6020</v>
      </c>
      <c r="J788" s="70">
        <f>IFERROR(VLOOKUP(Devis[[#This Row],[Ref Air Flux]],#REF!,3,FALSE),0)</f>
        <v>0</v>
      </c>
      <c r="K788" s="68"/>
      <c r="L788" s="68"/>
      <c r="M788" s="68"/>
      <c r="N788" s="68"/>
      <c r="O788" s="68"/>
      <c r="P788" s="68"/>
      <c r="Q788" s="68">
        <f>SUM(Devis[[#This Row],[Poste 1]:[Poste 6]])</f>
        <v>0</v>
      </c>
      <c r="R788" s="71"/>
      <c r="S788" s="68">
        <f>_xlfn.CEILING.MATH(Devis[[#This Row],[Quantité Totale]],Devis[[#This Row],[Conditionnement]])</f>
        <v>0</v>
      </c>
      <c r="T788" s="72"/>
      <c r="U788" s="70">
        <v>54</v>
      </c>
      <c r="V788" s="74">
        <f>Devis[[#This Row],[Prix de Revient]]*Devis[[#This Row],[Poste 1]]</f>
        <v>0</v>
      </c>
      <c r="W788" s="74">
        <f>Devis[[#This Row],[Prix de Revient]]*Devis[[#This Row],[Poste 2]]</f>
        <v>0</v>
      </c>
      <c r="X788" s="74">
        <f>Devis[[#This Row],[Prix de Revient]]*Devis[[#This Row],[Poste 3]]</f>
        <v>0</v>
      </c>
      <c r="Y788" s="74">
        <f>Devis[[#This Row],[Poste 4]]*Devis[[#This Row],[Prix de Revient]]</f>
        <v>0</v>
      </c>
      <c r="Z788" s="74">
        <f>Devis[[#This Row],[Poste 5]]*Devis[[#This Row],[Prix de Revient]]</f>
        <v>0</v>
      </c>
      <c r="AA788" s="74">
        <f>Devis[[#This Row],[Prix de Revient]]*Devis[[#This Row],[Poste 6]]</f>
        <v>0</v>
      </c>
      <c r="AB788" s="74">
        <f>Devis[[#This Row],[Quantité Totale]]*Devis[[#This Row],[Prix de Revient]]</f>
        <v>0</v>
      </c>
    </row>
    <row r="789" spans="1:28" ht="14.25" outlineLevel="1" x14ac:dyDescent="0.2">
      <c r="A789" s="75" t="s">
        <v>337</v>
      </c>
      <c r="B789" s="76" t="s">
        <v>5945</v>
      </c>
      <c r="C789" s="76" t="s">
        <v>6008</v>
      </c>
      <c r="D789" s="122" t="str">
        <f t="shared" si="13"/>
        <v>DiversNacelleCiseaux</v>
      </c>
      <c r="E789" s="76" t="s">
        <v>6021</v>
      </c>
      <c r="F789" s="76">
        <v>7</v>
      </c>
      <c r="G789" s="86" t="s">
        <v>6157</v>
      </c>
      <c r="H789" s="71" t="s">
        <v>5948</v>
      </c>
      <c r="I789" s="71" t="s">
        <v>6022</v>
      </c>
      <c r="J789" s="70">
        <f>IFERROR(VLOOKUP(Devis[[#This Row],[Ref Air Flux]],#REF!,3,FALSE),0)</f>
        <v>0</v>
      </c>
      <c r="K789" s="68"/>
      <c r="L789" s="68"/>
      <c r="M789" s="68"/>
      <c r="N789" s="68"/>
      <c r="O789" s="68"/>
      <c r="P789" s="68"/>
      <c r="Q789" s="68">
        <f>SUM(Devis[[#This Row],[Poste 1]:[Poste 6]])</f>
        <v>0</v>
      </c>
      <c r="R789" s="71"/>
      <c r="S789" s="68">
        <f>_xlfn.CEILING.MATH(Devis[[#This Row],[Quantité Totale]],Devis[[#This Row],[Conditionnement]])</f>
        <v>0</v>
      </c>
      <c r="T789" s="72"/>
      <c r="U789" s="70">
        <v>74</v>
      </c>
      <c r="V789" s="74">
        <f>Devis[[#This Row],[Prix de Revient]]*Devis[[#This Row],[Poste 1]]</f>
        <v>0</v>
      </c>
      <c r="W789" s="74">
        <f>Devis[[#This Row],[Prix de Revient]]*Devis[[#This Row],[Poste 2]]</f>
        <v>0</v>
      </c>
      <c r="X789" s="74">
        <f>Devis[[#This Row],[Prix de Revient]]*Devis[[#This Row],[Poste 3]]</f>
        <v>0</v>
      </c>
      <c r="Y789" s="74">
        <f>Devis[[#This Row],[Poste 4]]*Devis[[#This Row],[Prix de Revient]]</f>
        <v>0</v>
      </c>
      <c r="Z789" s="74">
        <f>Devis[[#This Row],[Poste 5]]*Devis[[#This Row],[Prix de Revient]]</f>
        <v>0</v>
      </c>
      <c r="AA789" s="74">
        <f>Devis[[#This Row],[Prix de Revient]]*Devis[[#This Row],[Poste 6]]</f>
        <v>0</v>
      </c>
      <c r="AB789" s="74">
        <f>Devis[[#This Row],[Quantité Totale]]*Devis[[#This Row],[Prix de Revient]]</f>
        <v>0</v>
      </c>
    </row>
    <row r="790" spans="1:28" ht="15" customHeight="1" outlineLevel="1" x14ac:dyDescent="0.2">
      <c r="A790" s="75" t="s">
        <v>337</v>
      </c>
      <c r="B790" s="76" t="s">
        <v>5945</v>
      </c>
      <c r="C790" s="76" t="s">
        <v>6008</v>
      </c>
      <c r="D790" s="122" t="str">
        <f t="shared" si="13"/>
        <v>DiversNacelleCiseaux</v>
      </c>
      <c r="E790" s="76" t="s">
        <v>6023</v>
      </c>
      <c r="F790" s="76">
        <v>8</v>
      </c>
      <c r="G790" s="86" t="s">
        <v>6158</v>
      </c>
      <c r="H790" s="71" t="s">
        <v>5948</v>
      </c>
      <c r="I790" s="71" t="s">
        <v>6024</v>
      </c>
      <c r="J790" s="70">
        <f>IFERROR(VLOOKUP(Devis[[#This Row],[Ref Air Flux]],#REF!,3,FALSE),0)</f>
        <v>0</v>
      </c>
      <c r="K790" s="68"/>
      <c r="L790" s="68"/>
      <c r="M790" s="68"/>
      <c r="N790" s="68"/>
      <c r="O790" s="68"/>
      <c r="P790" s="68"/>
      <c r="Q790" s="68">
        <f>SUM(Devis[[#This Row],[Poste 1]:[Poste 6]])</f>
        <v>0</v>
      </c>
      <c r="R790" s="71"/>
      <c r="S790" s="68">
        <f>_xlfn.CEILING.MATH(Devis[[#This Row],[Quantité Totale]],Devis[[#This Row],[Conditionnement]])</f>
        <v>0</v>
      </c>
      <c r="T790" s="72"/>
      <c r="U790" s="70">
        <v>103</v>
      </c>
      <c r="V790" s="74">
        <f>Devis[[#This Row],[Prix de Revient]]*Devis[[#This Row],[Poste 1]]</f>
        <v>0</v>
      </c>
      <c r="W790" s="74">
        <f>Devis[[#This Row],[Prix de Revient]]*Devis[[#This Row],[Poste 2]]</f>
        <v>0</v>
      </c>
      <c r="X790" s="74">
        <f>Devis[[#This Row],[Prix de Revient]]*Devis[[#This Row],[Poste 3]]</f>
        <v>0</v>
      </c>
      <c r="Y790" s="74">
        <f>Devis[[#This Row],[Poste 4]]*Devis[[#This Row],[Prix de Revient]]</f>
        <v>0</v>
      </c>
      <c r="Z790" s="74">
        <f>Devis[[#This Row],[Poste 5]]*Devis[[#This Row],[Prix de Revient]]</f>
        <v>0</v>
      </c>
      <c r="AA790" s="74">
        <f>Devis[[#This Row],[Prix de Revient]]*Devis[[#This Row],[Poste 6]]</f>
        <v>0</v>
      </c>
      <c r="AB790" s="74">
        <f>Devis[[#This Row],[Quantité Totale]]*Devis[[#This Row],[Prix de Revient]]</f>
        <v>0</v>
      </c>
    </row>
    <row r="791" spans="1:28" ht="14.25" outlineLevel="1" x14ac:dyDescent="0.2">
      <c r="A791" s="75" t="s">
        <v>337</v>
      </c>
      <c r="B791" s="76" t="s">
        <v>5945</v>
      </c>
      <c r="C791" s="76" t="s">
        <v>6008</v>
      </c>
      <c r="D791" s="122" t="str">
        <f t="shared" si="13"/>
        <v>DiversNacelleCiseaux</v>
      </c>
      <c r="E791" s="76" t="s">
        <v>5958</v>
      </c>
      <c r="F791" s="76">
        <v>9</v>
      </c>
      <c r="G791" s="86" t="s">
        <v>6124</v>
      </c>
      <c r="H791" s="71" t="s">
        <v>5948</v>
      </c>
      <c r="I791" s="71" t="s">
        <v>5959</v>
      </c>
      <c r="J791" s="70">
        <f>IFERROR(VLOOKUP(Devis[[#This Row],[Ref Air Flux]],#REF!,3,FALSE),0)</f>
        <v>0</v>
      </c>
      <c r="K791" s="68"/>
      <c r="L791" s="68"/>
      <c r="M791" s="68"/>
      <c r="N791" s="68"/>
      <c r="O791" s="68"/>
      <c r="P791" s="68"/>
      <c r="Q791" s="68">
        <f>SUM(Devis[[#This Row],[Poste 1]:[Poste 6]])</f>
        <v>0</v>
      </c>
      <c r="R791" s="71"/>
      <c r="S791" s="68">
        <f>_xlfn.CEILING.MATH(Devis[[#This Row],[Quantité Totale]],Devis[[#This Row],[Conditionnement]])</f>
        <v>0</v>
      </c>
      <c r="T791" s="72"/>
      <c r="U791" s="70">
        <v>90</v>
      </c>
      <c r="V791" s="74">
        <f>Devis[[#This Row],[Prix de Revient]]*Devis[[#This Row],[Poste 1]]</f>
        <v>0</v>
      </c>
      <c r="W791" s="74">
        <f>Devis[[#This Row],[Prix de Revient]]*Devis[[#This Row],[Poste 2]]</f>
        <v>0</v>
      </c>
      <c r="X791" s="74">
        <f>Devis[[#This Row],[Prix de Revient]]*Devis[[#This Row],[Poste 3]]</f>
        <v>0</v>
      </c>
      <c r="Y791" s="74">
        <f>Devis[[#This Row],[Poste 4]]*Devis[[#This Row],[Prix de Revient]]</f>
        <v>0</v>
      </c>
      <c r="Z791" s="74">
        <f>Devis[[#This Row],[Poste 5]]*Devis[[#This Row],[Prix de Revient]]</f>
        <v>0</v>
      </c>
      <c r="AA791" s="74">
        <f>Devis[[#This Row],[Prix de Revient]]*Devis[[#This Row],[Poste 6]]</f>
        <v>0</v>
      </c>
      <c r="AB791" s="74">
        <f>Devis[[#This Row],[Quantité Totale]]*Devis[[#This Row],[Prix de Revient]]</f>
        <v>0</v>
      </c>
    </row>
    <row r="792" spans="1:28" ht="14.25" outlineLevel="1" x14ac:dyDescent="0.2">
      <c r="A792" s="75" t="s">
        <v>337</v>
      </c>
      <c r="B792" s="76" t="s">
        <v>5945</v>
      </c>
      <c r="C792" s="76" t="s">
        <v>6008</v>
      </c>
      <c r="D792" s="122" t="str">
        <f t="shared" si="13"/>
        <v>DiversNacelleCiseaux</v>
      </c>
      <c r="E792" s="76" t="s">
        <v>6025</v>
      </c>
      <c r="F792" s="76">
        <v>10</v>
      </c>
      <c r="G792" s="86" t="s">
        <v>6159</v>
      </c>
      <c r="H792" s="71" t="s">
        <v>5960</v>
      </c>
      <c r="I792" s="71" t="s">
        <v>6026</v>
      </c>
      <c r="J792" s="70">
        <f>IFERROR(VLOOKUP(Devis[[#This Row],[Ref Air Flux]],#REF!,3,FALSE),0)</f>
        <v>0</v>
      </c>
      <c r="K792" s="68"/>
      <c r="L792" s="68"/>
      <c r="M792" s="68"/>
      <c r="N792" s="68"/>
      <c r="O792" s="68"/>
      <c r="P792" s="68"/>
      <c r="Q792" s="68">
        <f>SUM(Devis[[#This Row],[Poste 1]:[Poste 6]])</f>
        <v>0</v>
      </c>
      <c r="R792" s="71"/>
      <c r="S792" s="68">
        <f>_xlfn.CEILING.MATH(Devis[[#This Row],[Quantité Totale]],Devis[[#This Row],[Conditionnement]])</f>
        <v>0</v>
      </c>
      <c r="T792" s="72"/>
      <c r="U792" s="70">
        <v>40</v>
      </c>
      <c r="V792" s="74">
        <f>Devis[[#This Row],[Prix de Revient]]*Devis[[#This Row],[Poste 1]]</f>
        <v>0</v>
      </c>
      <c r="W792" s="74">
        <f>Devis[[#This Row],[Prix de Revient]]*Devis[[#This Row],[Poste 2]]</f>
        <v>0</v>
      </c>
      <c r="X792" s="74">
        <f>Devis[[#This Row],[Prix de Revient]]*Devis[[#This Row],[Poste 3]]</f>
        <v>0</v>
      </c>
      <c r="Y792" s="74">
        <f>Devis[[#This Row],[Poste 4]]*Devis[[#This Row],[Prix de Revient]]</f>
        <v>0</v>
      </c>
      <c r="Z792" s="74">
        <f>Devis[[#This Row],[Poste 5]]*Devis[[#This Row],[Prix de Revient]]</f>
        <v>0</v>
      </c>
      <c r="AA792" s="74">
        <f>Devis[[#This Row],[Prix de Revient]]*Devis[[#This Row],[Poste 6]]</f>
        <v>0</v>
      </c>
      <c r="AB792" s="74">
        <f>Devis[[#This Row],[Quantité Totale]]*Devis[[#This Row],[Prix de Revient]]</f>
        <v>0</v>
      </c>
    </row>
    <row r="793" spans="1:28" ht="14.25" outlineLevel="1" x14ac:dyDescent="0.2">
      <c r="A793" s="75" t="s">
        <v>337</v>
      </c>
      <c r="B793" s="76" t="s">
        <v>5945</v>
      </c>
      <c r="C793" s="76" t="s">
        <v>6008</v>
      </c>
      <c r="D793" s="122" t="str">
        <f t="shared" si="13"/>
        <v>DiversNacelleCiseaux</v>
      </c>
      <c r="E793" s="76" t="s">
        <v>6027</v>
      </c>
      <c r="F793" s="76">
        <v>11</v>
      </c>
      <c r="G793" s="86" t="s">
        <v>6160</v>
      </c>
      <c r="H793" s="71" t="s">
        <v>5960</v>
      </c>
      <c r="I793" s="71" t="s">
        <v>6028</v>
      </c>
      <c r="J793" s="70">
        <f>IFERROR(VLOOKUP(Devis[[#This Row],[Ref Air Flux]],#REF!,3,FALSE),0)</f>
        <v>0</v>
      </c>
      <c r="K793" s="68"/>
      <c r="L793" s="68"/>
      <c r="M793" s="68"/>
      <c r="N793" s="68"/>
      <c r="O793" s="68"/>
      <c r="P793" s="68"/>
      <c r="Q793" s="68">
        <f>SUM(Devis[[#This Row],[Poste 1]:[Poste 6]])</f>
        <v>0</v>
      </c>
      <c r="R793" s="71"/>
      <c r="S793" s="68">
        <f>_xlfn.CEILING.MATH(Devis[[#This Row],[Quantité Totale]],Devis[[#This Row],[Conditionnement]])</f>
        <v>0</v>
      </c>
      <c r="T793" s="72"/>
      <c r="U793" s="70">
        <v>45</v>
      </c>
      <c r="V793" s="74">
        <f>Devis[[#This Row],[Prix de Revient]]*Devis[[#This Row],[Poste 1]]</f>
        <v>0</v>
      </c>
      <c r="W793" s="74">
        <f>Devis[[#This Row],[Prix de Revient]]*Devis[[#This Row],[Poste 2]]</f>
        <v>0</v>
      </c>
      <c r="X793" s="74">
        <f>Devis[[#This Row],[Prix de Revient]]*Devis[[#This Row],[Poste 3]]</f>
        <v>0</v>
      </c>
      <c r="Y793" s="74">
        <f>Devis[[#This Row],[Poste 4]]*Devis[[#This Row],[Prix de Revient]]</f>
        <v>0</v>
      </c>
      <c r="Z793" s="74">
        <f>Devis[[#This Row],[Poste 5]]*Devis[[#This Row],[Prix de Revient]]</f>
        <v>0</v>
      </c>
      <c r="AA793" s="74">
        <f>Devis[[#This Row],[Prix de Revient]]*Devis[[#This Row],[Poste 6]]</f>
        <v>0</v>
      </c>
      <c r="AB793" s="74">
        <f>Devis[[#This Row],[Quantité Totale]]*Devis[[#This Row],[Prix de Revient]]</f>
        <v>0</v>
      </c>
    </row>
    <row r="794" spans="1:28" ht="14.25" outlineLevel="1" x14ac:dyDescent="0.2">
      <c r="A794" s="75" t="s">
        <v>337</v>
      </c>
      <c r="B794" s="76" t="s">
        <v>5945</v>
      </c>
      <c r="C794" s="76" t="s">
        <v>6008</v>
      </c>
      <c r="D794" s="122" t="str">
        <f t="shared" si="13"/>
        <v>DiversNacelleCiseaux</v>
      </c>
      <c r="E794" s="76" t="s">
        <v>6029</v>
      </c>
      <c r="F794" s="76">
        <v>12</v>
      </c>
      <c r="G794" s="86" t="s">
        <v>6161</v>
      </c>
      <c r="H794" s="71" t="s">
        <v>5960</v>
      </c>
      <c r="I794" s="71" t="s">
        <v>6030</v>
      </c>
      <c r="J794" s="70">
        <f>IFERROR(VLOOKUP(Devis[[#This Row],[Ref Air Flux]],#REF!,3,FALSE),0)</f>
        <v>0</v>
      </c>
      <c r="K794" s="68"/>
      <c r="L794" s="68"/>
      <c r="M794" s="68"/>
      <c r="N794" s="68"/>
      <c r="O794" s="68"/>
      <c r="P794" s="68"/>
      <c r="Q794" s="68">
        <f>SUM(Devis[[#This Row],[Poste 1]:[Poste 6]])</f>
        <v>0</v>
      </c>
      <c r="R794" s="71"/>
      <c r="S794" s="68">
        <f>_xlfn.CEILING.MATH(Devis[[#This Row],[Quantité Totale]],Devis[[#This Row],[Conditionnement]])</f>
        <v>0</v>
      </c>
      <c r="T794" s="72"/>
      <c r="U794" s="70">
        <v>50</v>
      </c>
      <c r="V794" s="74">
        <f>Devis[[#This Row],[Prix de Revient]]*Devis[[#This Row],[Poste 1]]</f>
        <v>0</v>
      </c>
      <c r="W794" s="74">
        <f>Devis[[#This Row],[Prix de Revient]]*Devis[[#This Row],[Poste 2]]</f>
        <v>0</v>
      </c>
      <c r="X794" s="74">
        <f>Devis[[#This Row],[Prix de Revient]]*Devis[[#This Row],[Poste 3]]</f>
        <v>0</v>
      </c>
      <c r="Y794" s="74">
        <f>Devis[[#This Row],[Poste 4]]*Devis[[#This Row],[Prix de Revient]]</f>
        <v>0</v>
      </c>
      <c r="Z794" s="74">
        <f>Devis[[#This Row],[Poste 5]]*Devis[[#This Row],[Prix de Revient]]</f>
        <v>0</v>
      </c>
      <c r="AA794" s="74">
        <f>Devis[[#This Row],[Prix de Revient]]*Devis[[#This Row],[Poste 6]]</f>
        <v>0</v>
      </c>
      <c r="AB794" s="74">
        <f>Devis[[#This Row],[Quantité Totale]]*Devis[[#This Row],[Prix de Revient]]</f>
        <v>0</v>
      </c>
    </row>
    <row r="795" spans="1:28" ht="14.25" outlineLevel="1" x14ac:dyDescent="0.2">
      <c r="A795" s="75" t="s">
        <v>337</v>
      </c>
      <c r="B795" s="76" t="s">
        <v>5945</v>
      </c>
      <c r="C795" s="76" t="s">
        <v>6008</v>
      </c>
      <c r="D795" s="122" t="str">
        <f t="shared" si="13"/>
        <v>DiversNacelleCiseaux</v>
      </c>
      <c r="E795" s="76" t="s">
        <v>6031</v>
      </c>
      <c r="F795" s="76">
        <v>13</v>
      </c>
      <c r="G795" s="86" t="s">
        <v>6162</v>
      </c>
      <c r="H795" s="71" t="s">
        <v>5960</v>
      </c>
      <c r="I795" s="71" t="s">
        <v>6032</v>
      </c>
      <c r="J795" s="70">
        <f>IFERROR(VLOOKUP(Devis[[#This Row],[Ref Air Flux]],#REF!,3,FALSE),0)</f>
        <v>0</v>
      </c>
      <c r="K795" s="68"/>
      <c r="L795" s="68"/>
      <c r="M795" s="68"/>
      <c r="N795" s="68"/>
      <c r="O795" s="68"/>
      <c r="P795" s="68"/>
      <c r="Q795" s="68">
        <f>SUM(Devis[[#This Row],[Poste 1]:[Poste 6]])</f>
        <v>0</v>
      </c>
      <c r="R795" s="71"/>
      <c r="S795" s="68">
        <f>_xlfn.CEILING.MATH(Devis[[#This Row],[Quantité Totale]],Devis[[#This Row],[Conditionnement]])</f>
        <v>0</v>
      </c>
      <c r="T795" s="72"/>
      <c r="U795" s="70">
        <v>55</v>
      </c>
      <c r="V795" s="74">
        <f>Devis[[#This Row],[Prix de Revient]]*Devis[[#This Row],[Poste 1]]</f>
        <v>0</v>
      </c>
      <c r="W795" s="74">
        <f>Devis[[#This Row],[Prix de Revient]]*Devis[[#This Row],[Poste 2]]</f>
        <v>0</v>
      </c>
      <c r="X795" s="74">
        <f>Devis[[#This Row],[Prix de Revient]]*Devis[[#This Row],[Poste 3]]</f>
        <v>0</v>
      </c>
      <c r="Y795" s="74">
        <f>Devis[[#This Row],[Poste 4]]*Devis[[#This Row],[Prix de Revient]]</f>
        <v>0</v>
      </c>
      <c r="Z795" s="74">
        <f>Devis[[#This Row],[Poste 5]]*Devis[[#This Row],[Prix de Revient]]</f>
        <v>0</v>
      </c>
      <c r="AA795" s="74">
        <f>Devis[[#This Row],[Prix de Revient]]*Devis[[#This Row],[Poste 6]]</f>
        <v>0</v>
      </c>
      <c r="AB795" s="74">
        <f>Devis[[#This Row],[Quantité Totale]]*Devis[[#This Row],[Prix de Revient]]</f>
        <v>0</v>
      </c>
    </row>
    <row r="796" spans="1:28" ht="14.25" customHeight="1" outlineLevel="1" x14ac:dyDescent="0.2">
      <c r="A796" s="75" t="s">
        <v>337</v>
      </c>
      <c r="B796" s="76" t="s">
        <v>5945</v>
      </c>
      <c r="C796" s="76" t="s">
        <v>6008</v>
      </c>
      <c r="D796" s="122" t="str">
        <f t="shared" si="13"/>
        <v>DiversNacelleCiseaux</v>
      </c>
      <c r="E796" s="76" t="s">
        <v>6033</v>
      </c>
      <c r="F796" s="76">
        <v>14</v>
      </c>
      <c r="G796" s="86" t="s">
        <v>6163</v>
      </c>
      <c r="H796" s="71" t="s">
        <v>5960</v>
      </c>
      <c r="I796" s="71" t="s">
        <v>6034</v>
      </c>
      <c r="J796" s="70">
        <f>IFERROR(VLOOKUP(Devis[[#This Row],[Ref Air Flux]],#REF!,3,FALSE),0)</f>
        <v>0</v>
      </c>
      <c r="K796" s="68"/>
      <c r="L796" s="68"/>
      <c r="M796" s="68"/>
      <c r="N796" s="68"/>
      <c r="O796" s="68"/>
      <c r="P796" s="68"/>
      <c r="Q796" s="68">
        <f>SUM(Devis[[#This Row],[Poste 1]:[Poste 6]])</f>
        <v>0</v>
      </c>
      <c r="R796" s="71"/>
      <c r="S796" s="68">
        <f>_xlfn.CEILING.MATH(Devis[[#This Row],[Quantité Totale]],Devis[[#This Row],[Conditionnement]])</f>
        <v>0</v>
      </c>
      <c r="T796" s="72"/>
      <c r="U796" s="70">
        <v>60</v>
      </c>
      <c r="V796" s="74">
        <f>Devis[[#This Row],[Prix de Revient]]*Devis[[#This Row],[Poste 1]]</f>
        <v>0</v>
      </c>
      <c r="W796" s="74">
        <f>Devis[[#This Row],[Prix de Revient]]*Devis[[#This Row],[Poste 2]]</f>
        <v>0</v>
      </c>
      <c r="X796" s="74">
        <f>Devis[[#This Row],[Prix de Revient]]*Devis[[#This Row],[Poste 3]]</f>
        <v>0</v>
      </c>
      <c r="Y796" s="74">
        <f>Devis[[#This Row],[Poste 4]]*Devis[[#This Row],[Prix de Revient]]</f>
        <v>0</v>
      </c>
      <c r="Z796" s="74">
        <f>Devis[[#This Row],[Poste 5]]*Devis[[#This Row],[Prix de Revient]]</f>
        <v>0</v>
      </c>
      <c r="AA796" s="74">
        <f>Devis[[#This Row],[Prix de Revient]]*Devis[[#This Row],[Poste 6]]</f>
        <v>0</v>
      </c>
      <c r="AB796" s="74">
        <f>Devis[[#This Row],[Quantité Totale]]*Devis[[#This Row],[Prix de Revient]]</f>
        <v>0</v>
      </c>
    </row>
    <row r="797" spans="1:28" ht="14.25" outlineLevel="1" x14ac:dyDescent="0.2">
      <c r="A797" s="75" t="s">
        <v>337</v>
      </c>
      <c r="B797" s="76" t="s">
        <v>5945</v>
      </c>
      <c r="C797" s="76" t="s">
        <v>6008</v>
      </c>
      <c r="D797" s="122" t="str">
        <f t="shared" si="13"/>
        <v>DiversNacelleCiseaux</v>
      </c>
      <c r="E797" s="76" t="s">
        <v>5958</v>
      </c>
      <c r="F797" s="76">
        <v>15</v>
      </c>
      <c r="G797" s="86" t="s">
        <v>6164</v>
      </c>
      <c r="H797" s="71" t="s">
        <v>5960</v>
      </c>
      <c r="I797" s="71" t="s">
        <v>5962</v>
      </c>
      <c r="J797" s="70">
        <f>IFERROR(VLOOKUP(Devis[[#This Row],[Ref Air Flux]],#REF!,3,FALSE),0)</f>
        <v>0</v>
      </c>
      <c r="K797" s="68"/>
      <c r="L797" s="68"/>
      <c r="M797" s="68"/>
      <c r="N797" s="68"/>
      <c r="O797" s="68"/>
      <c r="P797" s="68"/>
      <c r="Q797" s="68">
        <f>SUM(Devis[[#This Row],[Poste 1]:[Poste 6]])</f>
        <v>0</v>
      </c>
      <c r="R797" s="71"/>
      <c r="S797" s="68">
        <f>_xlfn.CEILING.MATH(Devis[[#This Row],[Quantité Totale]],Devis[[#This Row],[Conditionnement]])</f>
        <v>0</v>
      </c>
      <c r="T797" s="72"/>
      <c r="U797" s="70">
        <v>85</v>
      </c>
      <c r="V797" s="74">
        <f>Devis[[#This Row],[Prix de Revient]]*Devis[[#This Row],[Poste 1]]</f>
        <v>0</v>
      </c>
      <c r="W797" s="74">
        <f>Devis[[#This Row],[Prix de Revient]]*Devis[[#This Row],[Poste 2]]</f>
        <v>0</v>
      </c>
      <c r="X797" s="74">
        <f>Devis[[#This Row],[Prix de Revient]]*Devis[[#This Row],[Poste 3]]</f>
        <v>0</v>
      </c>
      <c r="Y797" s="74">
        <f>Devis[[#This Row],[Poste 4]]*Devis[[#This Row],[Prix de Revient]]</f>
        <v>0</v>
      </c>
      <c r="Z797" s="74">
        <f>Devis[[#This Row],[Poste 5]]*Devis[[#This Row],[Prix de Revient]]</f>
        <v>0</v>
      </c>
      <c r="AA797" s="74">
        <f>Devis[[#This Row],[Prix de Revient]]*Devis[[#This Row],[Poste 6]]</f>
        <v>0</v>
      </c>
      <c r="AB797" s="74">
        <f>Devis[[#This Row],[Quantité Totale]]*Devis[[#This Row],[Prix de Revient]]</f>
        <v>0</v>
      </c>
    </row>
    <row r="798" spans="1:28" ht="14.25" customHeight="1" x14ac:dyDescent="0.25">
      <c r="A798" s="65" t="s">
        <v>337</v>
      </c>
      <c r="B798" s="65" t="s">
        <v>5945</v>
      </c>
      <c r="C798" s="65" t="s">
        <v>6068</v>
      </c>
      <c r="D798" s="122" t="str">
        <f t="shared" si="13"/>
        <v>DiversNacelleElévateur articulé tout-terrain</v>
      </c>
      <c r="E798" s="76"/>
      <c r="F798" s="76">
        <v>0</v>
      </c>
      <c r="G798" s="86" t="s">
        <v>6130</v>
      </c>
      <c r="H798" s="71"/>
      <c r="I798" s="71"/>
      <c r="J798" s="70">
        <f>IFERROR(VLOOKUP(Devis[[#This Row],[Ref Air Flux]],#REF!,3,FALSE),0)</f>
        <v>0</v>
      </c>
      <c r="K798" s="68"/>
      <c r="L798" s="68"/>
      <c r="M798" s="68"/>
      <c r="N798" s="68"/>
      <c r="O798" s="68"/>
      <c r="P798" s="68"/>
      <c r="Q798" s="68">
        <f>SUM(Devis[[#This Row],[Poste 1]:[Poste 6]])</f>
        <v>0</v>
      </c>
      <c r="R798" s="71"/>
      <c r="S798" s="68">
        <f>_xlfn.CEILING.MATH(Devis[[#This Row],[Quantité Totale]],Devis[[#This Row],[Conditionnement]])</f>
        <v>0</v>
      </c>
      <c r="T798" s="72"/>
      <c r="U798" s="70">
        <v>0</v>
      </c>
      <c r="V798" s="74">
        <f>Devis[[#This Row],[Prix de Revient]]*Devis[[#This Row],[Poste 1]]</f>
        <v>0</v>
      </c>
      <c r="W798" s="74">
        <f>Devis[[#This Row],[Prix de Revient]]*Devis[[#This Row],[Poste 2]]</f>
        <v>0</v>
      </c>
      <c r="X798" s="74">
        <f>Devis[[#This Row],[Prix de Revient]]*Devis[[#This Row],[Poste 3]]</f>
        <v>0</v>
      </c>
      <c r="Y798" s="74">
        <f>Devis[[#This Row],[Poste 4]]*Devis[[#This Row],[Prix de Revient]]</f>
        <v>0</v>
      </c>
      <c r="Z798" s="74">
        <f>Devis[[#This Row],[Poste 5]]*Devis[[#This Row],[Prix de Revient]]</f>
        <v>0</v>
      </c>
      <c r="AA798" s="74">
        <f>Devis[[#This Row],[Prix de Revient]]*Devis[[#This Row],[Poste 6]]</f>
        <v>0</v>
      </c>
      <c r="AB798" s="74">
        <f>Devis[[#This Row],[Quantité Totale]]*Devis[[#This Row],[Prix de Revient]]</f>
        <v>0</v>
      </c>
    </row>
    <row r="799" spans="1:28" ht="14.25" outlineLevel="1" x14ac:dyDescent="0.2">
      <c r="A799" s="75" t="s">
        <v>337</v>
      </c>
      <c r="B799" s="76" t="s">
        <v>5945</v>
      </c>
      <c r="C799" s="76" t="s">
        <v>6068</v>
      </c>
      <c r="D799" s="122" t="str">
        <f t="shared" si="13"/>
        <v>DiversNacelleElévateur articulé tout-terrain</v>
      </c>
      <c r="E799" s="76" t="s">
        <v>6069</v>
      </c>
      <c r="F799" s="76">
        <v>1</v>
      </c>
      <c r="G799" s="86" t="s">
        <v>6165</v>
      </c>
      <c r="H799" s="71" t="s">
        <v>5948</v>
      </c>
      <c r="I799" s="71" t="s">
        <v>6070</v>
      </c>
      <c r="J799" s="70">
        <f>IFERROR(VLOOKUP(Devis[[#This Row],[Ref Air Flux]],#REF!,3,FALSE),0)</f>
        <v>0</v>
      </c>
      <c r="K799" s="68"/>
      <c r="L799" s="68"/>
      <c r="M799" s="68"/>
      <c r="N799" s="68"/>
      <c r="O799" s="68"/>
      <c r="P799" s="68"/>
      <c r="Q799" s="68">
        <f>SUM(Devis[[#This Row],[Poste 1]:[Poste 6]])</f>
        <v>0</v>
      </c>
      <c r="R799" s="71"/>
      <c r="S799" s="68">
        <f>_xlfn.CEILING.MATH(Devis[[#This Row],[Quantité Totale]],Devis[[#This Row],[Conditionnement]])</f>
        <v>0</v>
      </c>
      <c r="T799" s="72"/>
      <c r="U799" s="70">
        <v>92</v>
      </c>
      <c r="V799" s="74">
        <f>Devis[[#This Row],[Prix de Revient]]*Devis[[#This Row],[Poste 1]]</f>
        <v>0</v>
      </c>
      <c r="W799" s="74">
        <f>Devis[[#This Row],[Prix de Revient]]*Devis[[#This Row],[Poste 2]]</f>
        <v>0</v>
      </c>
      <c r="X799" s="74">
        <f>Devis[[#This Row],[Prix de Revient]]*Devis[[#This Row],[Poste 3]]</f>
        <v>0</v>
      </c>
      <c r="Y799" s="74">
        <f>Devis[[#This Row],[Poste 4]]*Devis[[#This Row],[Prix de Revient]]</f>
        <v>0</v>
      </c>
      <c r="Z799" s="74">
        <f>Devis[[#This Row],[Poste 5]]*Devis[[#This Row],[Prix de Revient]]</f>
        <v>0</v>
      </c>
      <c r="AA799" s="74">
        <f>Devis[[#This Row],[Prix de Revient]]*Devis[[#This Row],[Poste 6]]</f>
        <v>0</v>
      </c>
      <c r="AB799" s="74">
        <f>Devis[[#This Row],[Quantité Totale]]*Devis[[#This Row],[Prix de Revient]]</f>
        <v>0</v>
      </c>
    </row>
    <row r="800" spans="1:28" ht="15" customHeight="1" outlineLevel="1" x14ac:dyDescent="0.2">
      <c r="A800" s="75" t="s">
        <v>337</v>
      </c>
      <c r="B800" s="76" t="s">
        <v>5945</v>
      </c>
      <c r="C800" s="76" t="s">
        <v>6068</v>
      </c>
      <c r="D800" s="122" t="str">
        <f t="shared" si="13"/>
        <v>DiversNacelleElévateur articulé tout-terrain</v>
      </c>
      <c r="E800" s="76" t="s">
        <v>6071</v>
      </c>
      <c r="F800" s="76">
        <v>2</v>
      </c>
      <c r="G800" s="86" t="s">
        <v>6166</v>
      </c>
      <c r="H800" s="71" t="s">
        <v>5948</v>
      </c>
      <c r="I800" s="71" t="s">
        <v>6072</v>
      </c>
      <c r="J800" s="70">
        <f>IFERROR(VLOOKUP(Devis[[#This Row],[Ref Air Flux]],#REF!,3,FALSE),0)</f>
        <v>0</v>
      </c>
      <c r="K800" s="68"/>
      <c r="L800" s="68"/>
      <c r="M800" s="68"/>
      <c r="N800" s="68"/>
      <c r="O800" s="68"/>
      <c r="P800" s="68"/>
      <c r="Q800" s="68">
        <f>SUM(Devis[[#This Row],[Poste 1]:[Poste 6]])</f>
        <v>0</v>
      </c>
      <c r="R800" s="71"/>
      <c r="S800" s="68">
        <f>_xlfn.CEILING.MATH(Devis[[#This Row],[Quantité Totale]],Devis[[#This Row],[Conditionnement]])</f>
        <v>0</v>
      </c>
      <c r="T800" s="72"/>
      <c r="U800" s="70">
        <v>109</v>
      </c>
      <c r="V800" s="74">
        <f>Devis[[#This Row],[Prix de Revient]]*Devis[[#This Row],[Poste 1]]</f>
        <v>0</v>
      </c>
      <c r="W800" s="74">
        <f>Devis[[#This Row],[Prix de Revient]]*Devis[[#This Row],[Poste 2]]</f>
        <v>0</v>
      </c>
      <c r="X800" s="74">
        <f>Devis[[#This Row],[Prix de Revient]]*Devis[[#This Row],[Poste 3]]</f>
        <v>0</v>
      </c>
      <c r="Y800" s="74">
        <f>Devis[[#This Row],[Poste 4]]*Devis[[#This Row],[Prix de Revient]]</f>
        <v>0</v>
      </c>
      <c r="Z800" s="74">
        <f>Devis[[#This Row],[Poste 5]]*Devis[[#This Row],[Prix de Revient]]</f>
        <v>0</v>
      </c>
      <c r="AA800" s="74">
        <f>Devis[[#This Row],[Prix de Revient]]*Devis[[#This Row],[Poste 6]]</f>
        <v>0</v>
      </c>
      <c r="AB800" s="74">
        <f>Devis[[#This Row],[Quantité Totale]]*Devis[[#This Row],[Prix de Revient]]</f>
        <v>0</v>
      </c>
    </row>
    <row r="801" spans="1:28" ht="14.25" outlineLevel="1" x14ac:dyDescent="0.2">
      <c r="A801" s="75" t="s">
        <v>337</v>
      </c>
      <c r="B801" s="76" t="s">
        <v>5945</v>
      </c>
      <c r="C801" s="76" t="s">
        <v>6068</v>
      </c>
      <c r="D801" s="122" t="str">
        <f t="shared" si="13"/>
        <v>DiversNacelleElévateur articulé tout-terrain</v>
      </c>
      <c r="E801" s="76" t="s">
        <v>6073</v>
      </c>
      <c r="F801" s="76">
        <v>3</v>
      </c>
      <c r="G801" s="86" t="s">
        <v>6167</v>
      </c>
      <c r="H801" s="71" t="s">
        <v>5948</v>
      </c>
      <c r="I801" s="71" t="s">
        <v>6074</v>
      </c>
      <c r="J801" s="70">
        <f>IFERROR(VLOOKUP(Devis[[#This Row],[Ref Air Flux]],#REF!,3,FALSE),0)</f>
        <v>0</v>
      </c>
      <c r="K801" s="68"/>
      <c r="L801" s="68"/>
      <c r="M801" s="68"/>
      <c r="N801" s="68"/>
      <c r="O801" s="68"/>
      <c r="P801" s="68"/>
      <c r="Q801" s="68">
        <f>SUM(Devis[[#This Row],[Poste 1]:[Poste 6]])</f>
        <v>0</v>
      </c>
      <c r="R801" s="71"/>
      <c r="S801" s="68">
        <f>_xlfn.CEILING.MATH(Devis[[#This Row],[Quantité Totale]],Devis[[#This Row],[Conditionnement]])</f>
        <v>0</v>
      </c>
      <c r="T801" s="72"/>
      <c r="U801" s="70">
        <v>109</v>
      </c>
      <c r="V801" s="74">
        <f>Devis[[#This Row],[Prix de Revient]]*Devis[[#This Row],[Poste 1]]</f>
        <v>0</v>
      </c>
      <c r="W801" s="74">
        <f>Devis[[#This Row],[Prix de Revient]]*Devis[[#This Row],[Poste 2]]</f>
        <v>0</v>
      </c>
      <c r="X801" s="74">
        <f>Devis[[#This Row],[Prix de Revient]]*Devis[[#This Row],[Poste 3]]</f>
        <v>0</v>
      </c>
      <c r="Y801" s="74">
        <f>Devis[[#This Row],[Poste 4]]*Devis[[#This Row],[Prix de Revient]]</f>
        <v>0</v>
      </c>
      <c r="Z801" s="74">
        <f>Devis[[#This Row],[Poste 5]]*Devis[[#This Row],[Prix de Revient]]</f>
        <v>0</v>
      </c>
      <c r="AA801" s="74">
        <f>Devis[[#This Row],[Prix de Revient]]*Devis[[#This Row],[Poste 6]]</f>
        <v>0</v>
      </c>
      <c r="AB801" s="74">
        <f>Devis[[#This Row],[Quantité Totale]]*Devis[[#This Row],[Prix de Revient]]</f>
        <v>0</v>
      </c>
    </row>
    <row r="802" spans="1:28" ht="14.25" customHeight="1" outlineLevel="1" x14ac:dyDescent="0.2">
      <c r="A802" s="75" t="s">
        <v>337</v>
      </c>
      <c r="B802" s="76" t="s">
        <v>5945</v>
      </c>
      <c r="C802" s="76" t="s">
        <v>6068</v>
      </c>
      <c r="D802" s="122" t="str">
        <f t="shared" si="13"/>
        <v>DiversNacelleElévateur articulé tout-terrain</v>
      </c>
      <c r="E802" s="76" t="s">
        <v>6075</v>
      </c>
      <c r="F802" s="76">
        <v>4</v>
      </c>
      <c r="G802" s="86" t="s">
        <v>6168</v>
      </c>
      <c r="H802" s="71" t="s">
        <v>5948</v>
      </c>
      <c r="I802" s="71" t="s">
        <v>6076</v>
      </c>
      <c r="J802" s="70">
        <f>IFERROR(VLOOKUP(Devis[[#This Row],[Ref Air Flux]],#REF!,3,FALSE),0)</f>
        <v>0</v>
      </c>
      <c r="K802" s="68"/>
      <c r="L802" s="68"/>
      <c r="M802" s="68"/>
      <c r="N802" s="68"/>
      <c r="O802" s="68"/>
      <c r="P802" s="68"/>
      <c r="Q802" s="68">
        <f>SUM(Devis[[#This Row],[Poste 1]:[Poste 6]])</f>
        <v>0</v>
      </c>
      <c r="R802" s="71"/>
      <c r="S802" s="68">
        <f>_xlfn.CEILING.MATH(Devis[[#This Row],[Quantité Totale]],Devis[[#This Row],[Conditionnement]])</f>
        <v>0</v>
      </c>
      <c r="T802" s="72"/>
      <c r="U802" s="70">
        <v>144</v>
      </c>
      <c r="V802" s="74">
        <f>Devis[[#This Row],[Prix de Revient]]*Devis[[#This Row],[Poste 1]]</f>
        <v>0</v>
      </c>
      <c r="W802" s="74">
        <f>Devis[[#This Row],[Prix de Revient]]*Devis[[#This Row],[Poste 2]]</f>
        <v>0</v>
      </c>
      <c r="X802" s="74">
        <f>Devis[[#This Row],[Prix de Revient]]*Devis[[#This Row],[Poste 3]]</f>
        <v>0</v>
      </c>
      <c r="Y802" s="74">
        <f>Devis[[#This Row],[Poste 4]]*Devis[[#This Row],[Prix de Revient]]</f>
        <v>0</v>
      </c>
      <c r="Z802" s="74">
        <f>Devis[[#This Row],[Poste 5]]*Devis[[#This Row],[Prix de Revient]]</f>
        <v>0</v>
      </c>
      <c r="AA802" s="74">
        <f>Devis[[#This Row],[Prix de Revient]]*Devis[[#This Row],[Poste 6]]</f>
        <v>0</v>
      </c>
      <c r="AB802" s="74">
        <f>Devis[[#This Row],[Quantité Totale]]*Devis[[#This Row],[Prix de Revient]]</f>
        <v>0</v>
      </c>
    </row>
    <row r="803" spans="1:28" ht="14.25" outlineLevel="1" x14ac:dyDescent="0.2">
      <c r="A803" s="75" t="s">
        <v>337</v>
      </c>
      <c r="B803" s="76" t="s">
        <v>5945</v>
      </c>
      <c r="C803" s="76" t="s">
        <v>6068</v>
      </c>
      <c r="D803" s="122" t="str">
        <f t="shared" si="13"/>
        <v>DiversNacelleElévateur articulé tout-terrain</v>
      </c>
      <c r="E803" s="76" t="s">
        <v>6077</v>
      </c>
      <c r="F803" s="76">
        <v>5</v>
      </c>
      <c r="G803" s="86" t="s">
        <v>6169</v>
      </c>
      <c r="H803" s="71" t="s">
        <v>5948</v>
      </c>
      <c r="I803" s="71" t="s">
        <v>6078</v>
      </c>
      <c r="J803" s="70">
        <f>IFERROR(VLOOKUP(Devis[[#This Row],[Ref Air Flux]],#REF!,3,FALSE),0)</f>
        <v>0</v>
      </c>
      <c r="K803" s="68"/>
      <c r="L803" s="68"/>
      <c r="M803" s="68"/>
      <c r="N803" s="68"/>
      <c r="O803" s="68"/>
      <c r="P803" s="68"/>
      <c r="Q803" s="68">
        <f>SUM(Devis[[#This Row],[Poste 1]:[Poste 6]])</f>
        <v>0</v>
      </c>
      <c r="R803" s="71"/>
      <c r="S803" s="68">
        <f>_xlfn.CEILING.MATH(Devis[[#This Row],[Quantité Totale]],Devis[[#This Row],[Conditionnement]])</f>
        <v>0</v>
      </c>
      <c r="T803" s="72"/>
      <c r="U803" s="70">
        <v>150</v>
      </c>
      <c r="V803" s="74">
        <f>Devis[[#This Row],[Prix de Revient]]*Devis[[#This Row],[Poste 1]]</f>
        <v>0</v>
      </c>
      <c r="W803" s="74">
        <f>Devis[[#This Row],[Prix de Revient]]*Devis[[#This Row],[Poste 2]]</f>
        <v>0</v>
      </c>
      <c r="X803" s="74">
        <f>Devis[[#This Row],[Prix de Revient]]*Devis[[#This Row],[Poste 3]]</f>
        <v>0</v>
      </c>
      <c r="Y803" s="74">
        <f>Devis[[#This Row],[Poste 4]]*Devis[[#This Row],[Prix de Revient]]</f>
        <v>0</v>
      </c>
      <c r="Z803" s="74">
        <f>Devis[[#This Row],[Poste 5]]*Devis[[#This Row],[Prix de Revient]]</f>
        <v>0</v>
      </c>
      <c r="AA803" s="74">
        <f>Devis[[#This Row],[Prix de Revient]]*Devis[[#This Row],[Poste 6]]</f>
        <v>0</v>
      </c>
      <c r="AB803" s="74">
        <f>Devis[[#This Row],[Quantité Totale]]*Devis[[#This Row],[Prix de Revient]]</f>
        <v>0</v>
      </c>
    </row>
    <row r="804" spans="1:28" ht="15" customHeight="1" outlineLevel="1" x14ac:dyDescent="0.2">
      <c r="A804" s="75" t="s">
        <v>337</v>
      </c>
      <c r="B804" s="76" t="s">
        <v>5945</v>
      </c>
      <c r="C804" s="76" t="s">
        <v>6068</v>
      </c>
      <c r="D804" s="122" t="str">
        <f t="shared" ref="D804:D871" si="14">A804&amp;B804&amp;C804</f>
        <v>DiversNacelleElévateur articulé tout-terrain</v>
      </c>
      <c r="E804" s="76" t="s">
        <v>5958</v>
      </c>
      <c r="F804" s="76">
        <v>6</v>
      </c>
      <c r="G804" s="86" t="s">
        <v>6195</v>
      </c>
      <c r="H804" s="71" t="s">
        <v>5948</v>
      </c>
      <c r="I804" s="71" t="s">
        <v>5959</v>
      </c>
      <c r="J804" s="70">
        <f>IFERROR(VLOOKUP(Devis[[#This Row],[Ref Air Flux]],#REF!,3,FALSE),0)</f>
        <v>0</v>
      </c>
      <c r="K804" s="68"/>
      <c r="L804" s="68"/>
      <c r="M804" s="68"/>
      <c r="N804" s="68"/>
      <c r="O804" s="68"/>
      <c r="P804" s="68"/>
      <c r="Q804" s="68">
        <f>SUM(Devis[[#This Row],[Poste 1]:[Poste 6]])</f>
        <v>0</v>
      </c>
      <c r="R804" s="71"/>
      <c r="S804" s="68">
        <f>_xlfn.CEILING.MATH(Devis[[#This Row],[Quantité Totale]],Devis[[#This Row],[Conditionnement]])</f>
        <v>0</v>
      </c>
      <c r="T804" s="72"/>
      <c r="U804" s="70">
        <v>120</v>
      </c>
      <c r="V804" s="74">
        <f>Devis[[#This Row],[Prix de Revient]]*Devis[[#This Row],[Poste 1]]</f>
        <v>0</v>
      </c>
      <c r="W804" s="74">
        <f>Devis[[#This Row],[Prix de Revient]]*Devis[[#This Row],[Poste 2]]</f>
        <v>0</v>
      </c>
      <c r="X804" s="74">
        <f>Devis[[#This Row],[Prix de Revient]]*Devis[[#This Row],[Poste 3]]</f>
        <v>0</v>
      </c>
      <c r="Y804" s="74">
        <f>Devis[[#This Row],[Poste 4]]*Devis[[#This Row],[Prix de Revient]]</f>
        <v>0</v>
      </c>
      <c r="Z804" s="74">
        <f>Devis[[#This Row],[Poste 5]]*Devis[[#This Row],[Prix de Revient]]</f>
        <v>0</v>
      </c>
      <c r="AA804" s="74">
        <f>Devis[[#This Row],[Prix de Revient]]*Devis[[#This Row],[Poste 6]]</f>
        <v>0</v>
      </c>
      <c r="AB804" s="74">
        <f>Devis[[#This Row],[Quantité Totale]]*Devis[[#This Row],[Prix de Revient]]</f>
        <v>0</v>
      </c>
    </row>
    <row r="805" spans="1:28" ht="14.25" customHeight="1" x14ac:dyDescent="0.25">
      <c r="A805" s="65" t="s">
        <v>337</v>
      </c>
      <c r="B805" s="65" t="s">
        <v>5945</v>
      </c>
      <c r="C805" s="65" t="s">
        <v>6048</v>
      </c>
      <c r="D805" s="122" t="str">
        <f t="shared" si="14"/>
        <v>DiversNacellePlate-forme tout terrain</v>
      </c>
      <c r="E805" s="76"/>
      <c r="F805" s="76">
        <v>0</v>
      </c>
      <c r="G805" s="86" t="s">
        <v>6130</v>
      </c>
      <c r="H805" s="71"/>
      <c r="I805" s="71"/>
      <c r="J805" s="70">
        <f>IFERROR(VLOOKUP(Devis[[#This Row],[Ref Air Flux]],#REF!,3,FALSE),0)</f>
        <v>0</v>
      </c>
      <c r="K805" s="68"/>
      <c r="L805" s="68"/>
      <c r="M805" s="68"/>
      <c r="N805" s="68"/>
      <c r="O805" s="68"/>
      <c r="P805" s="68"/>
      <c r="Q805" s="68">
        <f>SUM(Devis[[#This Row],[Poste 1]:[Poste 6]])</f>
        <v>0</v>
      </c>
      <c r="R805" s="71"/>
      <c r="S805" s="68">
        <f>_xlfn.CEILING.MATH(Devis[[#This Row],[Quantité Totale]],Devis[[#This Row],[Conditionnement]])</f>
        <v>0</v>
      </c>
      <c r="T805" s="72"/>
      <c r="U805" s="70">
        <v>0</v>
      </c>
      <c r="V805" s="74">
        <f>Devis[[#This Row],[Prix de Revient]]*Devis[[#This Row],[Poste 1]]</f>
        <v>0</v>
      </c>
      <c r="W805" s="74">
        <f>Devis[[#This Row],[Prix de Revient]]*Devis[[#This Row],[Poste 2]]</f>
        <v>0</v>
      </c>
      <c r="X805" s="74">
        <f>Devis[[#This Row],[Prix de Revient]]*Devis[[#This Row],[Poste 3]]</f>
        <v>0</v>
      </c>
      <c r="Y805" s="74">
        <f>Devis[[#This Row],[Poste 4]]*Devis[[#This Row],[Prix de Revient]]</f>
        <v>0</v>
      </c>
      <c r="Z805" s="74">
        <f>Devis[[#This Row],[Poste 5]]*Devis[[#This Row],[Prix de Revient]]</f>
        <v>0</v>
      </c>
      <c r="AA805" s="74">
        <f>Devis[[#This Row],[Prix de Revient]]*Devis[[#This Row],[Poste 6]]</f>
        <v>0</v>
      </c>
      <c r="AB805" s="74">
        <f>Devis[[#This Row],[Quantité Totale]]*Devis[[#This Row],[Prix de Revient]]</f>
        <v>0</v>
      </c>
    </row>
    <row r="806" spans="1:28" ht="14.25" customHeight="1" outlineLevel="1" x14ac:dyDescent="0.2">
      <c r="A806" s="75" t="s">
        <v>337</v>
      </c>
      <c r="B806" s="76" t="s">
        <v>5945</v>
      </c>
      <c r="C806" s="76" t="s">
        <v>6048</v>
      </c>
      <c r="D806" s="122" t="str">
        <f t="shared" si="14"/>
        <v>DiversNacellePlate-forme tout terrain</v>
      </c>
      <c r="E806" s="76" t="s">
        <v>6049</v>
      </c>
      <c r="F806" s="76">
        <v>1</v>
      </c>
      <c r="G806" s="86" t="s">
        <v>6170</v>
      </c>
      <c r="H806" s="71" t="s">
        <v>5948</v>
      </c>
      <c r="I806" s="71" t="s">
        <v>6050</v>
      </c>
      <c r="J806" s="70">
        <f>IFERROR(VLOOKUP(Devis[[#This Row],[Ref Air Flux]],#REF!,3,FALSE),0)</f>
        <v>0</v>
      </c>
      <c r="K806" s="68"/>
      <c r="L806" s="68"/>
      <c r="M806" s="68"/>
      <c r="N806" s="68"/>
      <c r="O806" s="68"/>
      <c r="P806" s="68"/>
      <c r="Q806" s="68">
        <f>SUM(Devis[[#This Row],[Poste 1]:[Poste 6]])</f>
        <v>0</v>
      </c>
      <c r="R806" s="71"/>
      <c r="S806" s="68">
        <f>_xlfn.CEILING.MATH(Devis[[#This Row],[Quantité Totale]],Devis[[#This Row],[Conditionnement]])</f>
        <v>0</v>
      </c>
      <c r="T806" s="72"/>
      <c r="U806" s="70">
        <v>90</v>
      </c>
      <c r="V806" s="74">
        <f>Devis[[#This Row],[Prix de Revient]]*Devis[[#This Row],[Poste 1]]</f>
        <v>0</v>
      </c>
      <c r="W806" s="74">
        <f>Devis[[#This Row],[Prix de Revient]]*Devis[[#This Row],[Poste 2]]</f>
        <v>0</v>
      </c>
      <c r="X806" s="74">
        <f>Devis[[#This Row],[Prix de Revient]]*Devis[[#This Row],[Poste 3]]</f>
        <v>0</v>
      </c>
      <c r="Y806" s="74">
        <f>Devis[[#This Row],[Poste 4]]*Devis[[#This Row],[Prix de Revient]]</f>
        <v>0</v>
      </c>
      <c r="Z806" s="74">
        <f>Devis[[#This Row],[Poste 5]]*Devis[[#This Row],[Prix de Revient]]</f>
        <v>0</v>
      </c>
      <c r="AA806" s="74">
        <f>Devis[[#This Row],[Prix de Revient]]*Devis[[#This Row],[Poste 6]]</f>
        <v>0</v>
      </c>
      <c r="AB806" s="74">
        <f>Devis[[#This Row],[Quantité Totale]]*Devis[[#This Row],[Prix de Revient]]</f>
        <v>0</v>
      </c>
    </row>
    <row r="807" spans="1:28" ht="14.25" outlineLevel="1" x14ac:dyDescent="0.2">
      <c r="A807" s="75" t="s">
        <v>337</v>
      </c>
      <c r="B807" s="76" t="s">
        <v>5945</v>
      </c>
      <c r="C807" s="76" t="s">
        <v>6048</v>
      </c>
      <c r="D807" s="122" t="str">
        <f t="shared" si="14"/>
        <v>DiversNacellePlate-forme tout terrain</v>
      </c>
      <c r="E807" s="76" t="s">
        <v>6051</v>
      </c>
      <c r="F807" s="76">
        <v>2</v>
      </c>
      <c r="G807" s="86" t="s">
        <v>6171</v>
      </c>
      <c r="H807" s="71" t="s">
        <v>5948</v>
      </c>
      <c r="I807" s="71" t="s">
        <v>6052</v>
      </c>
      <c r="J807" s="70">
        <f>IFERROR(VLOOKUP(Devis[[#This Row],[Ref Air Flux]],#REF!,3,FALSE),0)</f>
        <v>0</v>
      </c>
      <c r="K807" s="68"/>
      <c r="L807" s="68"/>
      <c r="M807" s="68"/>
      <c r="N807" s="68"/>
      <c r="O807" s="68"/>
      <c r="P807" s="68"/>
      <c r="Q807" s="68">
        <f>SUM(Devis[[#This Row],[Poste 1]:[Poste 6]])</f>
        <v>0</v>
      </c>
      <c r="R807" s="71"/>
      <c r="S807" s="68">
        <f>_xlfn.CEILING.MATH(Devis[[#This Row],[Quantité Totale]],Devis[[#This Row],[Conditionnement]])</f>
        <v>0</v>
      </c>
      <c r="T807" s="72"/>
      <c r="U807" s="70">
        <v>103</v>
      </c>
      <c r="V807" s="74">
        <f>Devis[[#This Row],[Prix de Revient]]*Devis[[#This Row],[Poste 1]]</f>
        <v>0</v>
      </c>
      <c r="W807" s="74">
        <f>Devis[[#This Row],[Prix de Revient]]*Devis[[#This Row],[Poste 2]]</f>
        <v>0</v>
      </c>
      <c r="X807" s="74">
        <f>Devis[[#This Row],[Prix de Revient]]*Devis[[#This Row],[Poste 3]]</f>
        <v>0</v>
      </c>
      <c r="Y807" s="74">
        <f>Devis[[#This Row],[Poste 4]]*Devis[[#This Row],[Prix de Revient]]</f>
        <v>0</v>
      </c>
      <c r="Z807" s="74">
        <f>Devis[[#This Row],[Poste 5]]*Devis[[#This Row],[Prix de Revient]]</f>
        <v>0</v>
      </c>
      <c r="AA807" s="74">
        <f>Devis[[#This Row],[Prix de Revient]]*Devis[[#This Row],[Poste 6]]</f>
        <v>0</v>
      </c>
      <c r="AB807" s="74">
        <f>Devis[[#This Row],[Quantité Totale]]*Devis[[#This Row],[Prix de Revient]]</f>
        <v>0</v>
      </c>
    </row>
    <row r="808" spans="1:28" ht="15" customHeight="1" outlineLevel="1" x14ac:dyDescent="0.2">
      <c r="A808" s="75" t="s">
        <v>337</v>
      </c>
      <c r="B808" s="76" t="s">
        <v>5945</v>
      </c>
      <c r="C808" s="76" t="s">
        <v>6048</v>
      </c>
      <c r="D808" s="122" t="str">
        <f t="shared" si="14"/>
        <v>DiversNacellePlate-forme tout terrain</v>
      </c>
      <c r="E808" s="76" t="s">
        <v>6053</v>
      </c>
      <c r="F808" s="76">
        <v>3</v>
      </c>
      <c r="G808" s="86" t="s">
        <v>6172</v>
      </c>
      <c r="H808" s="71" t="s">
        <v>5948</v>
      </c>
      <c r="I808" s="71" t="s">
        <v>6054</v>
      </c>
      <c r="J808" s="70">
        <f>IFERROR(VLOOKUP(Devis[[#This Row],[Ref Air Flux]],#REF!,3,FALSE),0)</f>
        <v>0</v>
      </c>
      <c r="K808" s="68"/>
      <c r="L808" s="68"/>
      <c r="M808" s="68"/>
      <c r="N808" s="68"/>
      <c r="O808" s="68"/>
      <c r="P808" s="68"/>
      <c r="Q808" s="68">
        <f>SUM(Devis[[#This Row],[Poste 1]:[Poste 6]])</f>
        <v>0</v>
      </c>
      <c r="R808" s="71"/>
      <c r="S808" s="68">
        <f>_xlfn.CEILING.MATH(Devis[[#This Row],[Quantité Totale]],Devis[[#This Row],[Conditionnement]])</f>
        <v>0</v>
      </c>
      <c r="T808" s="72"/>
      <c r="U808" s="70">
        <v>103</v>
      </c>
      <c r="V808" s="74">
        <f>Devis[[#This Row],[Prix de Revient]]*Devis[[#This Row],[Poste 1]]</f>
        <v>0</v>
      </c>
      <c r="W808" s="74">
        <f>Devis[[#This Row],[Prix de Revient]]*Devis[[#This Row],[Poste 2]]</f>
        <v>0</v>
      </c>
      <c r="X808" s="74">
        <f>Devis[[#This Row],[Prix de Revient]]*Devis[[#This Row],[Poste 3]]</f>
        <v>0</v>
      </c>
      <c r="Y808" s="74">
        <f>Devis[[#This Row],[Poste 4]]*Devis[[#This Row],[Prix de Revient]]</f>
        <v>0</v>
      </c>
      <c r="Z808" s="74">
        <f>Devis[[#This Row],[Poste 5]]*Devis[[#This Row],[Prix de Revient]]</f>
        <v>0</v>
      </c>
      <c r="AA808" s="74">
        <f>Devis[[#This Row],[Prix de Revient]]*Devis[[#This Row],[Poste 6]]</f>
        <v>0</v>
      </c>
      <c r="AB808" s="74">
        <f>Devis[[#This Row],[Quantité Totale]]*Devis[[#This Row],[Prix de Revient]]</f>
        <v>0</v>
      </c>
    </row>
    <row r="809" spans="1:28" ht="14.25" outlineLevel="1" x14ac:dyDescent="0.2">
      <c r="A809" s="75" t="s">
        <v>337</v>
      </c>
      <c r="B809" s="76" t="s">
        <v>5945</v>
      </c>
      <c r="C809" s="76" t="s">
        <v>6048</v>
      </c>
      <c r="D809" s="122" t="str">
        <f t="shared" si="14"/>
        <v>DiversNacellePlate-forme tout terrain</v>
      </c>
      <c r="E809" s="76" t="s">
        <v>6055</v>
      </c>
      <c r="F809" s="76">
        <v>4</v>
      </c>
      <c r="G809" s="86" t="s">
        <v>6173</v>
      </c>
      <c r="H809" s="71" t="s">
        <v>5948</v>
      </c>
      <c r="I809" s="71" t="s">
        <v>6056</v>
      </c>
      <c r="J809" s="70">
        <f>IFERROR(VLOOKUP(Devis[[#This Row],[Ref Air Flux]],#REF!,3,FALSE),0)</f>
        <v>0</v>
      </c>
      <c r="K809" s="68"/>
      <c r="L809" s="68"/>
      <c r="M809" s="68"/>
      <c r="N809" s="68"/>
      <c r="O809" s="68"/>
      <c r="P809" s="68"/>
      <c r="Q809" s="68">
        <f>SUM(Devis[[#This Row],[Poste 1]:[Poste 6]])</f>
        <v>0</v>
      </c>
      <c r="R809" s="71"/>
      <c r="S809" s="68">
        <f>_xlfn.CEILING.MATH(Devis[[#This Row],[Quantité Totale]],Devis[[#This Row],[Conditionnement]])</f>
        <v>0</v>
      </c>
      <c r="T809" s="72"/>
      <c r="U809" s="70">
        <v>124</v>
      </c>
      <c r="V809" s="74">
        <f>Devis[[#This Row],[Prix de Revient]]*Devis[[#This Row],[Poste 1]]</f>
        <v>0</v>
      </c>
      <c r="W809" s="74">
        <f>Devis[[#This Row],[Prix de Revient]]*Devis[[#This Row],[Poste 2]]</f>
        <v>0</v>
      </c>
      <c r="X809" s="74">
        <f>Devis[[#This Row],[Prix de Revient]]*Devis[[#This Row],[Poste 3]]</f>
        <v>0</v>
      </c>
      <c r="Y809" s="74">
        <f>Devis[[#This Row],[Poste 4]]*Devis[[#This Row],[Prix de Revient]]</f>
        <v>0</v>
      </c>
      <c r="Z809" s="74">
        <f>Devis[[#This Row],[Poste 5]]*Devis[[#This Row],[Prix de Revient]]</f>
        <v>0</v>
      </c>
      <c r="AA809" s="74">
        <f>Devis[[#This Row],[Prix de Revient]]*Devis[[#This Row],[Poste 6]]</f>
        <v>0</v>
      </c>
      <c r="AB809" s="74">
        <f>Devis[[#This Row],[Quantité Totale]]*Devis[[#This Row],[Prix de Revient]]</f>
        <v>0</v>
      </c>
    </row>
    <row r="810" spans="1:28" ht="14.25" outlineLevel="1" x14ac:dyDescent="0.2">
      <c r="A810" s="75" t="s">
        <v>337</v>
      </c>
      <c r="B810" s="76" t="s">
        <v>5945</v>
      </c>
      <c r="C810" s="76" t="s">
        <v>6048</v>
      </c>
      <c r="D810" s="122" t="str">
        <f t="shared" si="14"/>
        <v>DiversNacellePlate-forme tout terrain</v>
      </c>
      <c r="E810" s="76" t="s">
        <v>6057</v>
      </c>
      <c r="F810" s="76">
        <v>5</v>
      </c>
      <c r="G810" s="86" t="s">
        <v>6174</v>
      </c>
      <c r="H810" s="71" t="s">
        <v>5948</v>
      </c>
      <c r="I810" s="71" t="s">
        <v>6058</v>
      </c>
      <c r="J810" s="70">
        <f>IFERROR(VLOOKUP(Devis[[#This Row],[Ref Air Flux]],#REF!,3,FALSE),0)</f>
        <v>0</v>
      </c>
      <c r="K810" s="68"/>
      <c r="L810" s="68"/>
      <c r="M810" s="68"/>
      <c r="N810" s="68"/>
      <c r="O810" s="68"/>
      <c r="P810" s="68"/>
      <c r="Q810" s="68">
        <f>SUM(Devis[[#This Row],[Poste 1]:[Poste 6]])</f>
        <v>0</v>
      </c>
      <c r="R810" s="71"/>
      <c r="S810" s="68">
        <f>_xlfn.CEILING.MATH(Devis[[#This Row],[Quantité Totale]],Devis[[#This Row],[Conditionnement]])</f>
        <v>0</v>
      </c>
      <c r="T810" s="72"/>
      <c r="U810" s="70">
        <v>124</v>
      </c>
      <c r="V810" s="74">
        <f>Devis[[#This Row],[Prix de Revient]]*Devis[[#This Row],[Poste 1]]</f>
        <v>0</v>
      </c>
      <c r="W810" s="74">
        <f>Devis[[#This Row],[Prix de Revient]]*Devis[[#This Row],[Poste 2]]</f>
        <v>0</v>
      </c>
      <c r="X810" s="74">
        <f>Devis[[#This Row],[Prix de Revient]]*Devis[[#This Row],[Poste 3]]</f>
        <v>0</v>
      </c>
      <c r="Y810" s="74">
        <f>Devis[[#This Row],[Poste 4]]*Devis[[#This Row],[Prix de Revient]]</f>
        <v>0</v>
      </c>
      <c r="Z810" s="74">
        <f>Devis[[#This Row],[Poste 5]]*Devis[[#This Row],[Prix de Revient]]</f>
        <v>0</v>
      </c>
      <c r="AA810" s="74">
        <f>Devis[[#This Row],[Prix de Revient]]*Devis[[#This Row],[Poste 6]]</f>
        <v>0</v>
      </c>
      <c r="AB810" s="74">
        <f>Devis[[#This Row],[Quantité Totale]]*Devis[[#This Row],[Prix de Revient]]</f>
        <v>0</v>
      </c>
    </row>
    <row r="811" spans="1:28" ht="14.25" customHeight="1" outlineLevel="1" x14ac:dyDescent="0.2">
      <c r="A811" s="75" t="s">
        <v>337</v>
      </c>
      <c r="B811" s="76" t="s">
        <v>5945</v>
      </c>
      <c r="C811" s="76" t="s">
        <v>6048</v>
      </c>
      <c r="D811" s="122" t="str">
        <f t="shared" si="14"/>
        <v>DiversNacellePlate-forme tout terrain</v>
      </c>
      <c r="E811" s="76" t="s">
        <v>5958</v>
      </c>
      <c r="F811" s="76">
        <v>6</v>
      </c>
      <c r="G811" s="86" t="s">
        <v>6195</v>
      </c>
      <c r="H811" s="71" t="s">
        <v>5948</v>
      </c>
      <c r="I811" s="71" t="s">
        <v>5959</v>
      </c>
      <c r="J811" s="70">
        <f>IFERROR(VLOOKUP(Devis[[#This Row],[Ref Air Flux]],#REF!,3,FALSE),0)</f>
        <v>0</v>
      </c>
      <c r="K811" s="68"/>
      <c r="L811" s="68"/>
      <c r="M811" s="68"/>
      <c r="N811" s="68"/>
      <c r="O811" s="68"/>
      <c r="P811" s="68"/>
      <c r="Q811" s="68">
        <f>SUM(Devis[[#This Row],[Poste 1]:[Poste 6]])</f>
        <v>0</v>
      </c>
      <c r="R811" s="71"/>
      <c r="S811" s="68">
        <f>_xlfn.CEILING.MATH(Devis[[#This Row],[Quantité Totale]],Devis[[#This Row],[Conditionnement]])</f>
        <v>0</v>
      </c>
      <c r="T811" s="72"/>
      <c r="U811" s="70">
        <v>120</v>
      </c>
      <c r="V811" s="74">
        <f>Devis[[#This Row],[Prix de Revient]]*Devis[[#This Row],[Poste 1]]</f>
        <v>0</v>
      </c>
      <c r="W811" s="74">
        <f>Devis[[#This Row],[Prix de Revient]]*Devis[[#This Row],[Poste 2]]</f>
        <v>0</v>
      </c>
      <c r="X811" s="74">
        <f>Devis[[#This Row],[Prix de Revient]]*Devis[[#This Row],[Poste 3]]</f>
        <v>0</v>
      </c>
      <c r="Y811" s="74">
        <f>Devis[[#This Row],[Poste 4]]*Devis[[#This Row],[Prix de Revient]]</f>
        <v>0</v>
      </c>
      <c r="Z811" s="74">
        <f>Devis[[#This Row],[Poste 5]]*Devis[[#This Row],[Prix de Revient]]</f>
        <v>0</v>
      </c>
      <c r="AA811" s="74">
        <f>Devis[[#This Row],[Prix de Revient]]*Devis[[#This Row],[Poste 6]]</f>
        <v>0</v>
      </c>
      <c r="AB811" s="74">
        <f>Devis[[#This Row],[Quantité Totale]]*Devis[[#This Row],[Prix de Revient]]</f>
        <v>0</v>
      </c>
    </row>
    <row r="812" spans="1:28" ht="14.25" outlineLevel="1" x14ac:dyDescent="0.2">
      <c r="A812" s="75" t="s">
        <v>337</v>
      </c>
      <c r="B812" s="76" t="s">
        <v>5945</v>
      </c>
      <c r="C812" s="76" t="s">
        <v>6048</v>
      </c>
      <c r="D812" s="122" t="str">
        <f t="shared" si="14"/>
        <v>DiversNacellePlate-forme tout terrain</v>
      </c>
      <c r="E812" s="76" t="s">
        <v>6059</v>
      </c>
      <c r="F812" s="76">
        <v>7</v>
      </c>
      <c r="G812" s="86" t="s">
        <v>6175</v>
      </c>
      <c r="H812" s="71" t="s">
        <v>5960</v>
      </c>
      <c r="I812" s="71" t="s">
        <v>6060</v>
      </c>
      <c r="J812" s="70">
        <f>IFERROR(VLOOKUP(Devis[[#This Row],[Ref Air Flux]],#REF!,3,FALSE),0)</f>
        <v>0</v>
      </c>
      <c r="K812" s="68"/>
      <c r="L812" s="68"/>
      <c r="M812" s="68"/>
      <c r="N812" s="68"/>
      <c r="O812" s="68"/>
      <c r="P812" s="68"/>
      <c r="Q812" s="68">
        <f>SUM(Devis[[#This Row],[Poste 1]:[Poste 6]])</f>
        <v>0</v>
      </c>
      <c r="R812" s="71"/>
      <c r="S812" s="68">
        <f>_xlfn.CEILING.MATH(Devis[[#This Row],[Quantité Totale]],Devis[[#This Row],[Conditionnement]])</f>
        <v>0</v>
      </c>
      <c r="T812" s="72"/>
      <c r="U812" s="70">
        <v>74</v>
      </c>
      <c r="V812" s="74">
        <f>Devis[[#This Row],[Prix de Revient]]*Devis[[#This Row],[Poste 1]]</f>
        <v>0</v>
      </c>
      <c r="W812" s="74">
        <f>Devis[[#This Row],[Prix de Revient]]*Devis[[#This Row],[Poste 2]]</f>
        <v>0</v>
      </c>
      <c r="X812" s="74">
        <f>Devis[[#This Row],[Prix de Revient]]*Devis[[#This Row],[Poste 3]]</f>
        <v>0</v>
      </c>
      <c r="Y812" s="74">
        <f>Devis[[#This Row],[Poste 4]]*Devis[[#This Row],[Prix de Revient]]</f>
        <v>0</v>
      </c>
      <c r="Z812" s="74">
        <f>Devis[[#This Row],[Poste 5]]*Devis[[#This Row],[Prix de Revient]]</f>
        <v>0</v>
      </c>
      <c r="AA812" s="74">
        <f>Devis[[#This Row],[Prix de Revient]]*Devis[[#This Row],[Poste 6]]</f>
        <v>0</v>
      </c>
      <c r="AB812" s="74">
        <f>Devis[[#This Row],[Quantité Totale]]*Devis[[#This Row],[Prix de Revient]]</f>
        <v>0</v>
      </c>
    </row>
    <row r="813" spans="1:28" ht="14.25" outlineLevel="1" x14ac:dyDescent="0.2">
      <c r="A813" s="75" t="s">
        <v>337</v>
      </c>
      <c r="B813" s="76" t="s">
        <v>5945</v>
      </c>
      <c r="C813" s="76" t="s">
        <v>6048</v>
      </c>
      <c r="D813" s="122" t="str">
        <f t="shared" si="14"/>
        <v>DiversNacellePlate-forme tout terrain</v>
      </c>
      <c r="E813" s="76" t="s">
        <v>5958</v>
      </c>
      <c r="F813" s="76">
        <v>7</v>
      </c>
      <c r="G813" s="86" t="s">
        <v>6164</v>
      </c>
      <c r="H813" s="71" t="s">
        <v>5960</v>
      </c>
      <c r="I813" s="71" t="s">
        <v>5962</v>
      </c>
      <c r="J813" s="70">
        <f>IFERROR(VLOOKUP(Devis[[#This Row],[Ref Air Flux]],#REF!,3,FALSE),0)</f>
        <v>0</v>
      </c>
      <c r="K813" s="68"/>
      <c r="L813" s="68"/>
      <c r="M813" s="68"/>
      <c r="N813" s="68"/>
      <c r="O813" s="68"/>
      <c r="P813" s="68"/>
      <c r="Q813" s="68">
        <f>SUM(Devis[[#This Row],[Poste 1]:[Poste 6]])</f>
        <v>0</v>
      </c>
      <c r="R813" s="71"/>
      <c r="S813" s="68">
        <f>_xlfn.CEILING.MATH(Devis[[#This Row],[Quantité Totale]],Devis[[#This Row],[Conditionnement]])</f>
        <v>0</v>
      </c>
      <c r="T813" s="72"/>
      <c r="U813" s="70">
        <v>85</v>
      </c>
      <c r="V813" s="74">
        <f>Devis[[#This Row],[Prix de Revient]]*Devis[[#This Row],[Poste 1]]</f>
        <v>0</v>
      </c>
      <c r="W813" s="74">
        <f>Devis[[#This Row],[Prix de Revient]]*Devis[[#This Row],[Poste 2]]</f>
        <v>0</v>
      </c>
      <c r="X813" s="74">
        <f>Devis[[#This Row],[Prix de Revient]]*Devis[[#This Row],[Poste 3]]</f>
        <v>0</v>
      </c>
      <c r="Y813" s="74">
        <f>Devis[[#This Row],[Poste 4]]*Devis[[#This Row],[Prix de Revient]]</f>
        <v>0</v>
      </c>
      <c r="Z813" s="74">
        <f>Devis[[#This Row],[Poste 5]]*Devis[[#This Row],[Prix de Revient]]</f>
        <v>0</v>
      </c>
      <c r="AA813" s="74">
        <f>Devis[[#This Row],[Prix de Revient]]*Devis[[#This Row],[Poste 6]]</f>
        <v>0</v>
      </c>
      <c r="AB813" s="74">
        <f>Devis[[#This Row],[Quantité Totale]]*Devis[[#This Row],[Prix de Revient]]</f>
        <v>0</v>
      </c>
    </row>
    <row r="814" spans="1:28" ht="14.25" outlineLevel="1" x14ac:dyDescent="0.2">
      <c r="A814" s="75" t="s">
        <v>337</v>
      </c>
      <c r="B814" s="76" t="s">
        <v>5945</v>
      </c>
      <c r="C814" s="76" t="s">
        <v>6048</v>
      </c>
      <c r="D814" s="122" t="str">
        <f t="shared" si="14"/>
        <v>DiversNacellePlate-forme tout terrain</v>
      </c>
      <c r="E814" s="76" t="s">
        <v>6061</v>
      </c>
      <c r="F814" s="76">
        <v>8</v>
      </c>
      <c r="G814" s="86" t="s">
        <v>6176</v>
      </c>
      <c r="H814" s="71" t="s">
        <v>5960</v>
      </c>
      <c r="I814" s="71" t="s">
        <v>6062</v>
      </c>
      <c r="J814" s="70">
        <f>IFERROR(VLOOKUP(Devis[[#This Row],[Ref Air Flux]],#REF!,3,FALSE),0)</f>
        <v>0</v>
      </c>
      <c r="K814" s="68"/>
      <c r="L814" s="68"/>
      <c r="M814" s="68"/>
      <c r="N814" s="68"/>
      <c r="O814" s="68"/>
      <c r="P814" s="68"/>
      <c r="Q814" s="68">
        <f>SUM(Devis[[#This Row],[Poste 1]:[Poste 6]])</f>
        <v>0</v>
      </c>
      <c r="R814" s="71"/>
      <c r="S814" s="68">
        <f>_xlfn.CEILING.MATH(Devis[[#This Row],[Quantité Totale]],Devis[[#This Row],[Conditionnement]])</f>
        <v>0</v>
      </c>
      <c r="T814" s="72"/>
      <c r="U814" s="70">
        <v>80</v>
      </c>
      <c r="V814" s="74">
        <f>Devis[[#This Row],[Prix de Revient]]*Devis[[#This Row],[Poste 1]]</f>
        <v>0</v>
      </c>
      <c r="W814" s="74">
        <f>Devis[[#This Row],[Prix de Revient]]*Devis[[#This Row],[Poste 2]]</f>
        <v>0</v>
      </c>
      <c r="X814" s="74">
        <f>Devis[[#This Row],[Prix de Revient]]*Devis[[#This Row],[Poste 3]]</f>
        <v>0</v>
      </c>
      <c r="Y814" s="74">
        <f>Devis[[#This Row],[Poste 4]]*Devis[[#This Row],[Prix de Revient]]</f>
        <v>0</v>
      </c>
      <c r="Z814" s="74">
        <f>Devis[[#This Row],[Poste 5]]*Devis[[#This Row],[Prix de Revient]]</f>
        <v>0</v>
      </c>
      <c r="AA814" s="74">
        <f>Devis[[#This Row],[Prix de Revient]]*Devis[[#This Row],[Poste 6]]</f>
        <v>0</v>
      </c>
      <c r="AB814" s="74">
        <f>Devis[[#This Row],[Quantité Totale]]*Devis[[#This Row],[Prix de Revient]]</f>
        <v>0</v>
      </c>
    </row>
    <row r="815" spans="1:28" ht="14.25" customHeight="1" outlineLevel="1" x14ac:dyDescent="0.2">
      <c r="A815" s="75" t="s">
        <v>337</v>
      </c>
      <c r="B815" s="76" t="s">
        <v>5945</v>
      </c>
      <c r="C815" s="76" t="s">
        <v>6048</v>
      </c>
      <c r="D815" s="122" t="str">
        <f t="shared" si="14"/>
        <v>DiversNacellePlate-forme tout terrain</v>
      </c>
      <c r="E815" s="76" t="s">
        <v>6063</v>
      </c>
      <c r="F815" s="76">
        <v>9</v>
      </c>
      <c r="G815" s="86" t="s">
        <v>6177</v>
      </c>
      <c r="H815" s="71" t="s">
        <v>5960</v>
      </c>
      <c r="I815" s="71" t="s">
        <v>6064</v>
      </c>
      <c r="J815" s="70">
        <f>IFERROR(VLOOKUP(Devis[[#This Row],[Ref Air Flux]],#REF!,3,FALSE),0)</f>
        <v>0</v>
      </c>
      <c r="K815" s="68"/>
      <c r="L815" s="68"/>
      <c r="M815" s="68"/>
      <c r="N815" s="68"/>
      <c r="O815" s="68"/>
      <c r="P815" s="68"/>
      <c r="Q815" s="68">
        <f>SUM(Devis[[#This Row],[Poste 1]:[Poste 6]])</f>
        <v>0</v>
      </c>
      <c r="R815" s="71"/>
      <c r="S815" s="68">
        <f>_xlfn.CEILING.MATH(Devis[[#This Row],[Quantité Totale]],Devis[[#This Row],[Conditionnement]])</f>
        <v>0</v>
      </c>
      <c r="T815" s="72"/>
      <c r="U815" s="70">
        <v>110</v>
      </c>
      <c r="V815" s="74">
        <f>Devis[[#This Row],[Prix de Revient]]*Devis[[#This Row],[Poste 1]]</f>
        <v>0</v>
      </c>
      <c r="W815" s="74">
        <f>Devis[[#This Row],[Prix de Revient]]*Devis[[#This Row],[Poste 2]]</f>
        <v>0</v>
      </c>
      <c r="X815" s="74">
        <f>Devis[[#This Row],[Prix de Revient]]*Devis[[#This Row],[Poste 3]]</f>
        <v>0</v>
      </c>
      <c r="Y815" s="74">
        <f>Devis[[#This Row],[Poste 4]]*Devis[[#This Row],[Prix de Revient]]</f>
        <v>0</v>
      </c>
      <c r="Z815" s="74">
        <f>Devis[[#This Row],[Poste 5]]*Devis[[#This Row],[Prix de Revient]]</f>
        <v>0</v>
      </c>
      <c r="AA815" s="74">
        <f>Devis[[#This Row],[Prix de Revient]]*Devis[[#This Row],[Poste 6]]</f>
        <v>0</v>
      </c>
      <c r="AB815" s="74">
        <f>Devis[[#This Row],[Quantité Totale]]*Devis[[#This Row],[Prix de Revient]]</f>
        <v>0</v>
      </c>
    </row>
    <row r="816" spans="1:28" ht="14.25" outlineLevel="1" x14ac:dyDescent="0.2">
      <c r="A816" s="75" t="s">
        <v>337</v>
      </c>
      <c r="B816" s="76" t="s">
        <v>5945</v>
      </c>
      <c r="C816" s="76" t="s">
        <v>6048</v>
      </c>
      <c r="D816" s="122" t="str">
        <f t="shared" si="14"/>
        <v>DiversNacellePlate-forme tout terrain</v>
      </c>
      <c r="E816" s="76" t="s">
        <v>6065</v>
      </c>
      <c r="F816" s="76">
        <v>10</v>
      </c>
      <c r="G816" s="86" t="s">
        <v>6178</v>
      </c>
      <c r="H816" s="71" t="s">
        <v>5960</v>
      </c>
      <c r="I816" s="71" t="s">
        <v>6066</v>
      </c>
      <c r="J816" s="70">
        <f>IFERROR(VLOOKUP(Devis[[#This Row],[Ref Air Flux]],#REF!,3,FALSE),0)</f>
        <v>0</v>
      </c>
      <c r="K816" s="68"/>
      <c r="L816" s="68"/>
      <c r="M816" s="68"/>
      <c r="N816" s="68"/>
      <c r="O816" s="68"/>
      <c r="P816" s="68"/>
      <c r="Q816" s="68">
        <f>SUM(Devis[[#This Row],[Poste 1]:[Poste 6]])</f>
        <v>0</v>
      </c>
      <c r="R816" s="71"/>
      <c r="S816" s="68">
        <f>_xlfn.CEILING.MATH(Devis[[#This Row],[Quantité Totale]],Devis[[#This Row],[Conditionnement]])</f>
        <v>0</v>
      </c>
      <c r="T816" s="72"/>
      <c r="U816" s="70">
        <v>15</v>
      </c>
      <c r="V816" s="74">
        <f>Devis[[#This Row],[Prix de Revient]]*Devis[[#This Row],[Poste 1]]</f>
        <v>0</v>
      </c>
      <c r="W816" s="74">
        <f>Devis[[#This Row],[Prix de Revient]]*Devis[[#This Row],[Poste 2]]</f>
        <v>0</v>
      </c>
      <c r="X816" s="74">
        <f>Devis[[#This Row],[Prix de Revient]]*Devis[[#This Row],[Poste 3]]</f>
        <v>0</v>
      </c>
      <c r="Y816" s="74">
        <f>Devis[[#This Row],[Poste 4]]*Devis[[#This Row],[Prix de Revient]]</f>
        <v>0</v>
      </c>
      <c r="Z816" s="74">
        <f>Devis[[#This Row],[Poste 5]]*Devis[[#This Row],[Prix de Revient]]</f>
        <v>0</v>
      </c>
      <c r="AA816" s="74">
        <f>Devis[[#This Row],[Prix de Revient]]*Devis[[#This Row],[Poste 6]]</f>
        <v>0</v>
      </c>
      <c r="AB816" s="74">
        <f>Devis[[#This Row],[Quantité Totale]]*Devis[[#This Row],[Prix de Revient]]</f>
        <v>0</v>
      </c>
    </row>
    <row r="817" spans="1:28" ht="14.25" outlineLevel="1" x14ac:dyDescent="0.2">
      <c r="A817" s="75" t="s">
        <v>337</v>
      </c>
      <c r="B817" s="76" t="s">
        <v>5945</v>
      </c>
      <c r="C817" s="76" t="s">
        <v>6048</v>
      </c>
      <c r="D817" s="122" t="str">
        <f t="shared" si="14"/>
        <v>DiversNacellePlate-forme tout terrain</v>
      </c>
      <c r="E817" s="76" t="s">
        <v>6065</v>
      </c>
      <c r="F817" s="76">
        <v>11</v>
      </c>
      <c r="G817" s="86" t="s">
        <v>6179</v>
      </c>
      <c r="H817" s="71" t="s">
        <v>5960</v>
      </c>
      <c r="I817" s="71" t="s">
        <v>6067</v>
      </c>
      <c r="J817" s="70">
        <f>IFERROR(VLOOKUP(Devis[[#This Row],[Ref Air Flux]],#REF!,3,FALSE),0)</f>
        <v>0</v>
      </c>
      <c r="K817" s="68"/>
      <c r="L817" s="68"/>
      <c r="M817" s="68"/>
      <c r="N817" s="68"/>
      <c r="O817" s="68"/>
      <c r="P817" s="68"/>
      <c r="Q817" s="68">
        <f>SUM(Devis[[#This Row],[Poste 1]:[Poste 6]])</f>
        <v>0</v>
      </c>
      <c r="R817" s="71"/>
      <c r="S817" s="68">
        <f>_xlfn.CEILING.MATH(Devis[[#This Row],[Quantité Totale]],Devis[[#This Row],[Conditionnement]])</f>
        <v>0</v>
      </c>
      <c r="T817" s="72"/>
      <c r="U817" s="70">
        <v>17</v>
      </c>
      <c r="V817" s="74">
        <f>Devis[[#This Row],[Prix de Revient]]*Devis[[#This Row],[Poste 1]]</f>
        <v>0</v>
      </c>
      <c r="W817" s="74">
        <f>Devis[[#This Row],[Prix de Revient]]*Devis[[#This Row],[Poste 2]]</f>
        <v>0</v>
      </c>
      <c r="X817" s="74">
        <f>Devis[[#This Row],[Prix de Revient]]*Devis[[#This Row],[Poste 3]]</f>
        <v>0</v>
      </c>
      <c r="Y817" s="74">
        <f>Devis[[#This Row],[Poste 4]]*Devis[[#This Row],[Prix de Revient]]</f>
        <v>0</v>
      </c>
      <c r="Z817" s="74">
        <f>Devis[[#This Row],[Poste 5]]*Devis[[#This Row],[Prix de Revient]]</f>
        <v>0</v>
      </c>
      <c r="AA817" s="74">
        <f>Devis[[#This Row],[Prix de Revient]]*Devis[[#This Row],[Poste 6]]</f>
        <v>0</v>
      </c>
      <c r="AB817" s="74">
        <f>Devis[[#This Row],[Quantité Totale]]*Devis[[#This Row],[Prix de Revient]]</f>
        <v>0</v>
      </c>
    </row>
    <row r="818" spans="1:28" ht="14.25" outlineLevel="1" x14ac:dyDescent="0.2">
      <c r="A818" s="75" t="s">
        <v>337</v>
      </c>
      <c r="B818" s="76" t="s">
        <v>5945</v>
      </c>
      <c r="C818" s="76" t="s">
        <v>6048</v>
      </c>
      <c r="D818" s="122" t="str">
        <f t="shared" si="14"/>
        <v>DiversNacellePlate-forme tout terrain</v>
      </c>
      <c r="E818" s="76" t="s">
        <v>5958</v>
      </c>
      <c r="F818" s="76">
        <v>12</v>
      </c>
      <c r="G818" s="86" t="s">
        <v>6164</v>
      </c>
      <c r="H818" s="71" t="s">
        <v>5960</v>
      </c>
      <c r="I818" s="71" t="s">
        <v>5962</v>
      </c>
      <c r="J818" s="70">
        <f>IFERROR(VLOOKUP(Devis[[#This Row],[Ref Air Flux]],#REF!,3,FALSE),0)</f>
        <v>0</v>
      </c>
      <c r="K818" s="68"/>
      <c r="L818" s="68"/>
      <c r="M818" s="68"/>
      <c r="N818" s="68"/>
      <c r="O818" s="68"/>
      <c r="P818" s="68"/>
      <c r="Q818" s="68">
        <f>SUM(Devis[[#This Row],[Poste 1]:[Poste 6]])</f>
        <v>0</v>
      </c>
      <c r="R818" s="71"/>
      <c r="S818" s="68">
        <f>_xlfn.CEILING.MATH(Devis[[#This Row],[Quantité Totale]],Devis[[#This Row],[Conditionnement]])</f>
        <v>0</v>
      </c>
      <c r="T818" s="72"/>
      <c r="U818" s="70">
        <v>85</v>
      </c>
      <c r="V818" s="74">
        <f>Devis[[#This Row],[Prix de Revient]]*Devis[[#This Row],[Poste 1]]</f>
        <v>0</v>
      </c>
      <c r="W818" s="74">
        <f>Devis[[#This Row],[Prix de Revient]]*Devis[[#This Row],[Poste 2]]</f>
        <v>0</v>
      </c>
      <c r="X818" s="74">
        <f>Devis[[#This Row],[Prix de Revient]]*Devis[[#This Row],[Poste 3]]</f>
        <v>0</v>
      </c>
      <c r="Y818" s="74">
        <f>Devis[[#This Row],[Poste 4]]*Devis[[#This Row],[Prix de Revient]]</f>
        <v>0</v>
      </c>
      <c r="Z818" s="74">
        <f>Devis[[#This Row],[Poste 5]]*Devis[[#This Row],[Prix de Revient]]</f>
        <v>0</v>
      </c>
      <c r="AA818" s="74">
        <f>Devis[[#This Row],[Prix de Revient]]*Devis[[#This Row],[Poste 6]]</f>
        <v>0</v>
      </c>
      <c r="AB818" s="74">
        <f>Devis[[#This Row],[Quantité Totale]]*Devis[[#This Row],[Prix de Revient]]</f>
        <v>0</v>
      </c>
    </row>
    <row r="819" spans="1:28" ht="14.25" customHeight="1" x14ac:dyDescent="0.25">
      <c r="A819" s="65" t="s">
        <v>337</v>
      </c>
      <c r="B819" s="65" t="s">
        <v>5945</v>
      </c>
      <c r="C819" s="65" t="s">
        <v>5946</v>
      </c>
      <c r="D819" s="122" t="str">
        <f t="shared" si="14"/>
        <v>DiversNacelleToucan</v>
      </c>
      <c r="E819" s="76"/>
      <c r="F819" s="76">
        <v>0</v>
      </c>
      <c r="G819" s="86" t="s">
        <v>6130</v>
      </c>
      <c r="H819" s="71"/>
      <c r="I819" s="71"/>
      <c r="J819" s="70">
        <f>IFERROR(VLOOKUP(Devis[[#This Row],[Ref Air Flux]],#REF!,3,FALSE),0)</f>
        <v>0</v>
      </c>
      <c r="K819" s="68"/>
      <c r="L819" s="68"/>
      <c r="M819" s="68"/>
      <c r="N819" s="68"/>
      <c r="O819" s="68"/>
      <c r="P819" s="68"/>
      <c r="Q819" s="68">
        <f>SUM(Devis[[#This Row],[Poste 1]:[Poste 6]])</f>
        <v>0</v>
      </c>
      <c r="R819" s="71"/>
      <c r="S819" s="68">
        <f>_xlfn.CEILING.MATH(Devis[[#This Row],[Quantité Totale]],Devis[[#This Row],[Conditionnement]])</f>
        <v>0</v>
      </c>
      <c r="T819" s="72"/>
      <c r="U819" s="70">
        <v>0</v>
      </c>
      <c r="V819" s="74">
        <f>Devis[[#This Row],[Prix de Revient]]*Devis[[#This Row],[Poste 1]]</f>
        <v>0</v>
      </c>
      <c r="W819" s="74">
        <f>Devis[[#This Row],[Prix de Revient]]*Devis[[#This Row],[Poste 2]]</f>
        <v>0</v>
      </c>
      <c r="X819" s="74">
        <f>Devis[[#This Row],[Prix de Revient]]*Devis[[#This Row],[Poste 3]]</f>
        <v>0</v>
      </c>
      <c r="Y819" s="74">
        <f>Devis[[#This Row],[Poste 4]]*Devis[[#This Row],[Prix de Revient]]</f>
        <v>0</v>
      </c>
      <c r="Z819" s="74">
        <f>Devis[[#This Row],[Poste 5]]*Devis[[#This Row],[Prix de Revient]]</f>
        <v>0</v>
      </c>
      <c r="AA819" s="74">
        <f>Devis[[#This Row],[Prix de Revient]]*Devis[[#This Row],[Poste 6]]</f>
        <v>0</v>
      </c>
      <c r="AB819" s="74">
        <f>Devis[[#This Row],[Quantité Totale]]*Devis[[#This Row],[Prix de Revient]]</f>
        <v>0</v>
      </c>
    </row>
    <row r="820" spans="1:28" ht="14.25" customHeight="1" outlineLevel="1" x14ac:dyDescent="0.2">
      <c r="A820" s="75" t="s">
        <v>337</v>
      </c>
      <c r="B820" s="76" t="s">
        <v>5945</v>
      </c>
      <c r="C820" s="76" t="s">
        <v>5946</v>
      </c>
      <c r="D820" s="122" t="str">
        <f t="shared" si="14"/>
        <v>DiversNacelleToucan</v>
      </c>
      <c r="E820" s="76" t="s">
        <v>5947</v>
      </c>
      <c r="F820" s="76">
        <v>1</v>
      </c>
      <c r="G820" s="86" t="s">
        <v>6180</v>
      </c>
      <c r="H820" s="71" t="s">
        <v>5948</v>
      </c>
      <c r="I820" s="71" t="s">
        <v>5949</v>
      </c>
      <c r="J820" s="70">
        <f>IFERROR(VLOOKUP(Devis[[#This Row],[Ref Air Flux]],#REF!,3,FALSE),0)</f>
        <v>0</v>
      </c>
      <c r="K820" s="68"/>
      <c r="L820" s="68"/>
      <c r="M820" s="68"/>
      <c r="N820" s="68"/>
      <c r="O820" s="68"/>
      <c r="P820" s="68"/>
      <c r="Q820" s="68">
        <f>SUM(Devis[[#This Row],[Poste 1]:[Poste 6]])</f>
        <v>0</v>
      </c>
      <c r="R820" s="71"/>
      <c r="S820" s="68">
        <f>_xlfn.CEILING.MATH(Devis[[#This Row],[Quantité Totale]],Devis[[#This Row],[Conditionnement]])</f>
        <v>0</v>
      </c>
      <c r="T820" s="72"/>
      <c r="U820" s="70">
        <v>43</v>
      </c>
      <c r="V820" s="74">
        <f>Devis[[#This Row],[Prix de Revient]]*Devis[[#This Row],[Poste 1]]</f>
        <v>0</v>
      </c>
      <c r="W820" s="74">
        <f>Devis[[#This Row],[Prix de Revient]]*Devis[[#This Row],[Poste 2]]</f>
        <v>0</v>
      </c>
      <c r="X820" s="74">
        <f>Devis[[#This Row],[Prix de Revient]]*Devis[[#This Row],[Poste 3]]</f>
        <v>0</v>
      </c>
      <c r="Y820" s="74">
        <f>Devis[[#This Row],[Poste 4]]*Devis[[#This Row],[Prix de Revient]]</f>
        <v>0</v>
      </c>
      <c r="Z820" s="74">
        <f>Devis[[#This Row],[Poste 5]]*Devis[[#This Row],[Prix de Revient]]</f>
        <v>0</v>
      </c>
      <c r="AA820" s="74">
        <f>Devis[[#This Row],[Prix de Revient]]*Devis[[#This Row],[Poste 6]]</f>
        <v>0</v>
      </c>
      <c r="AB820" s="74">
        <f>Devis[[#This Row],[Quantité Totale]]*Devis[[#This Row],[Prix de Revient]]</f>
        <v>0</v>
      </c>
    </row>
    <row r="821" spans="1:28" ht="14.25" customHeight="1" outlineLevel="1" x14ac:dyDescent="0.2">
      <c r="A821" s="75" t="s">
        <v>337</v>
      </c>
      <c r="B821" s="76" t="s">
        <v>5945</v>
      </c>
      <c r="C821" s="76" t="s">
        <v>5946</v>
      </c>
      <c r="D821" s="122" t="str">
        <f t="shared" si="14"/>
        <v>DiversNacelleToucan</v>
      </c>
      <c r="E821" s="76" t="s">
        <v>5950</v>
      </c>
      <c r="F821" s="76">
        <v>2</v>
      </c>
      <c r="G821" s="86" t="s">
        <v>6181</v>
      </c>
      <c r="H821" s="71" t="s">
        <v>5948</v>
      </c>
      <c r="I821" s="71" t="s">
        <v>5951</v>
      </c>
      <c r="J821" s="70">
        <f>IFERROR(VLOOKUP(Devis[[#This Row],[Ref Air Flux]],#REF!,3,FALSE),0)</f>
        <v>0</v>
      </c>
      <c r="K821" s="68"/>
      <c r="L821" s="68"/>
      <c r="M821" s="68"/>
      <c r="N821" s="68"/>
      <c r="O821" s="68"/>
      <c r="P821" s="68"/>
      <c r="Q821" s="68">
        <f>SUM(Devis[[#This Row],[Poste 1]:[Poste 6]])</f>
        <v>0</v>
      </c>
      <c r="R821" s="71"/>
      <c r="S821" s="68">
        <f>_xlfn.CEILING.MATH(Devis[[#This Row],[Quantité Totale]],Devis[[#This Row],[Conditionnement]])</f>
        <v>0</v>
      </c>
      <c r="T821" s="72"/>
      <c r="U821" s="70">
        <v>47</v>
      </c>
      <c r="V821" s="74">
        <f>Devis[[#This Row],[Prix de Revient]]*Devis[[#This Row],[Poste 1]]</f>
        <v>0</v>
      </c>
      <c r="W821" s="74">
        <f>Devis[[#This Row],[Prix de Revient]]*Devis[[#This Row],[Poste 2]]</f>
        <v>0</v>
      </c>
      <c r="X821" s="74">
        <f>Devis[[#This Row],[Prix de Revient]]*Devis[[#This Row],[Poste 3]]</f>
        <v>0</v>
      </c>
      <c r="Y821" s="74">
        <f>Devis[[#This Row],[Poste 4]]*Devis[[#This Row],[Prix de Revient]]</f>
        <v>0</v>
      </c>
      <c r="Z821" s="74">
        <f>Devis[[#This Row],[Poste 5]]*Devis[[#This Row],[Prix de Revient]]</f>
        <v>0</v>
      </c>
      <c r="AA821" s="74">
        <f>Devis[[#This Row],[Prix de Revient]]*Devis[[#This Row],[Poste 6]]</f>
        <v>0</v>
      </c>
      <c r="AB821" s="74">
        <f>Devis[[#This Row],[Quantité Totale]]*Devis[[#This Row],[Prix de Revient]]</f>
        <v>0</v>
      </c>
    </row>
    <row r="822" spans="1:28" ht="14.25" customHeight="1" outlineLevel="1" x14ac:dyDescent="0.2">
      <c r="A822" s="75" t="s">
        <v>337</v>
      </c>
      <c r="B822" s="76" t="s">
        <v>5945</v>
      </c>
      <c r="C822" s="76" t="s">
        <v>5946</v>
      </c>
      <c r="D822" s="122" t="str">
        <f t="shared" si="14"/>
        <v>DiversNacelleToucan</v>
      </c>
      <c r="E822" s="76" t="s">
        <v>5952</v>
      </c>
      <c r="F822" s="76">
        <v>3</v>
      </c>
      <c r="G822" s="86" t="s">
        <v>6182</v>
      </c>
      <c r="H822" s="71" t="s">
        <v>5948</v>
      </c>
      <c r="I822" s="71" t="s">
        <v>5953</v>
      </c>
      <c r="J822" s="70">
        <f>IFERROR(VLOOKUP(Devis[[#This Row],[Ref Air Flux]],#REF!,3,FALSE),0)</f>
        <v>0</v>
      </c>
      <c r="K822" s="68"/>
      <c r="L822" s="68"/>
      <c r="M822" s="68"/>
      <c r="N822" s="68"/>
      <c r="O822" s="68"/>
      <c r="P822" s="68"/>
      <c r="Q822" s="68">
        <f>SUM(Devis[[#This Row],[Poste 1]:[Poste 6]])</f>
        <v>0</v>
      </c>
      <c r="R822" s="71"/>
      <c r="S822" s="68">
        <f>_xlfn.CEILING.MATH(Devis[[#This Row],[Quantité Totale]],Devis[[#This Row],[Conditionnement]])</f>
        <v>0</v>
      </c>
      <c r="T822" s="72"/>
      <c r="U822" s="70">
        <v>61</v>
      </c>
      <c r="V822" s="74">
        <f>Devis[[#This Row],[Prix de Revient]]*Devis[[#This Row],[Poste 1]]</f>
        <v>0</v>
      </c>
      <c r="W822" s="74">
        <f>Devis[[#This Row],[Prix de Revient]]*Devis[[#This Row],[Poste 2]]</f>
        <v>0</v>
      </c>
      <c r="X822" s="74">
        <f>Devis[[#This Row],[Prix de Revient]]*Devis[[#This Row],[Poste 3]]</f>
        <v>0</v>
      </c>
      <c r="Y822" s="74">
        <f>Devis[[#This Row],[Poste 4]]*Devis[[#This Row],[Prix de Revient]]</f>
        <v>0</v>
      </c>
      <c r="Z822" s="74">
        <f>Devis[[#This Row],[Poste 5]]*Devis[[#This Row],[Prix de Revient]]</f>
        <v>0</v>
      </c>
      <c r="AA822" s="74">
        <f>Devis[[#This Row],[Prix de Revient]]*Devis[[#This Row],[Poste 6]]</f>
        <v>0</v>
      </c>
      <c r="AB822" s="74">
        <f>Devis[[#This Row],[Quantité Totale]]*Devis[[#This Row],[Prix de Revient]]</f>
        <v>0</v>
      </c>
    </row>
    <row r="823" spans="1:28" ht="14.25" customHeight="1" outlineLevel="1" x14ac:dyDescent="0.2">
      <c r="A823" s="75" t="s">
        <v>337</v>
      </c>
      <c r="B823" s="76" t="s">
        <v>5945</v>
      </c>
      <c r="C823" s="76" t="s">
        <v>5946</v>
      </c>
      <c r="D823" s="122" t="str">
        <f t="shared" si="14"/>
        <v>DiversNacelleToucan</v>
      </c>
      <c r="E823" s="76" t="s">
        <v>5954</v>
      </c>
      <c r="F823" s="76">
        <v>4</v>
      </c>
      <c r="G823" s="86" t="s">
        <v>6183</v>
      </c>
      <c r="H823" s="71" t="s">
        <v>5948</v>
      </c>
      <c r="I823" s="71" t="s">
        <v>5955</v>
      </c>
      <c r="J823" s="70">
        <f>IFERROR(VLOOKUP(Devis[[#This Row],[Ref Air Flux]],#REF!,3,FALSE),0)</f>
        <v>0</v>
      </c>
      <c r="K823" s="68"/>
      <c r="L823" s="68"/>
      <c r="M823" s="68"/>
      <c r="N823" s="68"/>
      <c r="O823" s="68"/>
      <c r="P823" s="68"/>
      <c r="Q823" s="68">
        <f>SUM(Devis[[#This Row],[Poste 1]:[Poste 6]])</f>
        <v>0</v>
      </c>
      <c r="R823" s="71"/>
      <c r="S823" s="68">
        <f>_xlfn.CEILING.MATH(Devis[[#This Row],[Quantité Totale]],Devis[[#This Row],[Conditionnement]])</f>
        <v>0</v>
      </c>
      <c r="T823" s="72"/>
      <c r="U823" s="70">
        <v>61</v>
      </c>
      <c r="V823" s="74">
        <f>Devis[[#This Row],[Prix de Revient]]*Devis[[#This Row],[Poste 1]]</f>
        <v>0</v>
      </c>
      <c r="W823" s="74">
        <f>Devis[[#This Row],[Prix de Revient]]*Devis[[#This Row],[Poste 2]]</f>
        <v>0</v>
      </c>
      <c r="X823" s="74">
        <f>Devis[[#This Row],[Prix de Revient]]*Devis[[#This Row],[Poste 3]]</f>
        <v>0</v>
      </c>
      <c r="Y823" s="74">
        <f>Devis[[#This Row],[Poste 4]]*Devis[[#This Row],[Prix de Revient]]</f>
        <v>0</v>
      </c>
      <c r="Z823" s="74">
        <f>Devis[[#This Row],[Poste 5]]*Devis[[#This Row],[Prix de Revient]]</f>
        <v>0</v>
      </c>
      <c r="AA823" s="74">
        <f>Devis[[#This Row],[Prix de Revient]]*Devis[[#This Row],[Poste 6]]</f>
        <v>0</v>
      </c>
      <c r="AB823" s="74">
        <f>Devis[[#This Row],[Quantité Totale]]*Devis[[#This Row],[Prix de Revient]]</f>
        <v>0</v>
      </c>
    </row>
    <row r="824" spans="1:28" ht="14.25" customHeight="1" outlineLevel="1" x14ac:dyDescent="0.2">
      <c r="A824" s="75" t="s">
        <v>337</v>
      </c>
      <c r="B824" s="76" t="s">
        <v>5945</v>
      </c>
      <c r="C824" s="76" t="s">
        <v>5946</v>
      </c>
      <c r="D824" s="122" t="str">
        <f t="shared" si="14"/>
        <v>DiversNacelleToucan</v>
      </c>
      <c r="E824" s="76" t="s">
        <v>5956</v>
      </c>
      <c r="F824" s="76">
        <v>5</v>
      </c>
      <c r="G824" s="86" t="s">
        <v>6184</v>
      </c>
      <c r="H824" s="71" t="s">
        <v>5948</v>
      </c>
      <c r="I824" s="71" t="s">
        <v>5957</v>
      </c>
      <c r="J824" s="70">
        <f>IFERROR(VLOOKUP(Devis[[#This Row],[Ref Air Flux]],#REF!,3,FALSE),0)</f>
        <v>0</v>
      </c>
      <c r="K824" s="68"/>
      <c r="L824" s="68"/>
      <c r="M824" s="68"/>
      <c r="N824" s="68"/>
      <c r="O824" s="68"/>
      <c r="P824" s="68"/>
      <c r="Q824" s="68">
        <f>SUM(Devis[[#This Row],[Poste 1]:[Poste 6]])</f>
        <v>0</v>
      </c>
      <c r="R824" s="71"/>
      <c r="S824" s="68">
        <f>_xlfn.CEILING.MATH(Devis[[#This Row],[Quantité Totale]],Devis[[#This Row],[Conditionnement]])</f>
        <v>0</v>
      </c>
      <c r="T824" s="72"/>
      <c r="U824" s="70">
        <v>67</v>
      </c>
      <c r="V824" s="74">
        <f>Devis[[#This Row],[Prix de Revient]]*Devis[[#This Row],[Poste 1]]</f>
        <v>0</v>
      </c>
      <c r="W824" s="74">
        <f>Devis[[#This Row],[Prix de Revient]]*Devis[[#This Row],[Poste 2]]</f>
        <v>0</v>
      </c>
      <c r="X824" s="74">
        <f>Devis[[#This Row],[Prix de Revient]]*Devis[[#This Row],[Poste 3]]</f>
        <v>0</v>
      </c>
      <c r="Y824" s="74">
        <f>Devis[[#This Row],[Poste 4]]*Devis[[#This Row],[Prix de Revient]]</f>
        <v>0</v>
      </c>
      <c r="Z824" s="74">
        <f>Devis[[#This Row],[Poste 5]]*Devis[[#This Row],[Prix de Revient]]</f>
        <v>0</v>
      </c>
      <c r="AA824" s="74">
        <f>Devis[[#This Row],[Prix de Revient]]*Devis[[#This Row],[Poste 6]]</f>
        <v>0</v>
      </c>
      <c r="AB824" s="74">
        <f>Devis[[#This Row],[Quantité Totale]]*Devis[[#This Row],[Prix de Revient]]</f>
        <v>0</v>
      </c>
    </row>
    <row r="825" spans="1:28" ht="15" customHeight="1" outlineLevel="1" x14ac:dyDescent="0.2">
      <c r="A825" s="75" t="s">
        <v>337</v>
      </c>
      <c r="B825" s="76" t="s">
        <v>5945</v>
      </c>
      <c r="C825" s="76" t="s">
        <v>5946</v>
      </c>
      <c r="D825" s="122" t="str">
        <f t="shared" si="14"/>
        <v>DiversNacelleToucan</v>
      </c>
      <c r="E825" s="76" t="s">
        <v>5958</v>
      </c>
      <c r="F825" s="76">
        <v>6</v>
      </c>
      <c r="G825" s="86" t="s">
        <v>6124</v>
      </c>
      <c r="H825" s="71" t="s">
        <v>5948</v>
      </c>
      <c r="I825" s="71" t="s">
        <v>5959</v>
      </c>
      <c r="J825" s="70">
        <f>IFERROR(VLOOKUP(Devis[[#This Row],[Ref Air Flux]],#REF!,3,FALSE),0)</f>
        <v>0</v>
      </c>
      <c r="K825" s="68"/>
      <c r="L825" s="68"/>
      <c r="M825" s="68"/>
      <c r="N825" s="68"/>
      <c r="O825" s="68"/>
      <c r="P825" s="68"/>
      <c r="Q825" s="68">
        <f>SUM(Devis[[#This Row],[Poste 1]:[Poste 6]])</f>
        <v>0</v>
      </c>
      <c r="R825" s="71"/>
      <c r="S825" s="68">
        <f>_xlfn.CEILING.MATH(Devis[[#This Row],[Quantité Totale]],Devis[[#This Row],[Conditionnement]])</f>
        <v>0</v>
      </c>
      <c r="T825" s="72"/>
      <c r="U825" s="70">
        <v>90</v>
      </c>
      <c r="V825" s="74">
        <f>Devis[[#This Row],[Prix de Revient]]*Devis[[#This Row],[Poste 1]]</f>
        <v>0</v>
      </c>
      <c r="W825" s="74">
        <f>Devis[[#This Row],[Prix de Revient]]*Devis[[#This Row],[Poste 2]]</f>
        <v>0</v>
      </c>
      <c r="X825" s="74">
        <f>Devis[[#This Row],[Prix de Revient]]*Devis[[#This Row],[Poste 3]]</f>
        <v>0</v>
      </c>
      <c r="Y825" s="74">
        <f>Devis[[#This Row],[Poste 4]]*Devis[[#This Row],[Prix de Revient]]</f>
        <v>0</v>
      </c>
      <c r="Z825" s="74">
        <f>Devis[[#This Row],[Poste 5]]*Devis[[#This Row],[Prix de Revient]]</f>
        <v>0</v>
      </c>
      <c r="AA825" s="74">
        <f>Devis[[#This Row],[Prix de Revient]]*Devis[[#This Row],[Poste 6]]</f>
        <v>0</v>
      </c>
      <c r="AB825" s="74">
        <f>Devis[[#This Row],[Quantité Totale]]*Devis[[#This Row],[Prix de Revient]]</f>
        <v>0</v>
      </c>
    </row>
    <row r="826" spans="1:28" ht="14.25" customHeight="1" outlineLevel="1" x14ac:dyDescent="0.2">
      <c r="A826" s="75" t="s">
        <v>337</v>
      </c>
      <c r="B826" s="76" t="s">
        <v>5945</v>
      </c>
      <c r="C826" s="76" t="s">
        <v>5946</v>
      </c>
      <c r="D826" s="122" t="str">
        <f t="shared" si="14"/>
        <v>DiversNacelleToucan</v>
      </c>
      <c r="E826" s="76" t="s">
        <v>5956</v>
      </c>
      <c r="F826" s="76">
        <v>7</v>
      </c>
      <c r="G826" s="86" t="s">
        <v>6185</v>
      </c>
      <c r="H826" s="71" t="s">
        <v>5960</v>
      </c>
      <c r="I826" s="71" t="s">
        <v>5961</v>
      </c>
      <c r="J826" s="70">
        <f>IFERROR(VLOOKUP(Devis[[#This Row],[Ref Air Flux]],#REF!,3,FALSE),0)</f>
        <v>0</v>
      </c>
      <c r="K826" s="68"/>
      <c r="L826" s="68"/>
      <c r="M826" s="68"/>
      <c r="N826" s="68"/>
      <c r="O826" s="68"/>
      <c r="P826" s="68"/>
      <c r="Q826" s="68">
        <f>SUM(Devis[[#This Row],[Poste 1]:[Poste 6]])</f>
        <v>0</v>
      </c>
      <c r="R826" s="71"/>
      <c r="S826" s="68">
        <f>_xlfn.CEILING.MATH(Devis[[#This Row],[Quantité Totale]],Devis[[#This Row],[Conditionnement]])</f>
        <v>0</v>
      </c>
      <c r="T826" s="72"/>
      <c r="U826" s="70">
        <v>50</v>
      </c>
      <c r="V826" s="74">
        <f>Devis[[#This Row],[Prix de Revient]]*Devis[[#This Row],[Poste 1]]</f>
        <v>0</v>
      </c>
      <c r="W826" s="74">
        <f>Devis[[#This Row],[Prix de Revient]]*Devis[[#This Row],[Poste 2]]</f>
        <v>0</v>
      </c>
      <c r="X826" s="74">
        <f>Devis[[#This Row],[Prix de Revient]]*Devis[[#This Row],[Poste 3]]</f>
        <v>0</v>
      </c>
      <c r="Y826" s="74">
        <f>Devis[[#This Row],[Poste 4]]*Devis[[#This Row],[Prix de Revient]]</f>
        <v>0</v>
      </c>
      <c r="Z826" s="74">
        <f>Devis[[#This Row],[Poste 5]]*Devis[[#This Row],[Prix de Revient]]</f>
        <v>0</v>
      </c>
      <c r="AA826" s="74">
        <f>Devis[[#This Row],[Prix de Revient]]*Devis[[#This Row],[Poste 6]]</f>
        <v>0</v>
      </c>
      <c r="AB826" s="74">
        <f>Devis[[#This Row],[Quantité Totale]]*Devis[[#This Row],[Prix de Revient]]</f>
        <v>0</v>
      </c>
    </row>
    <row r="827" spans="1:28" ht="14.25" outlineLevel="1" x14ac:dyDescent="0.2">
      <c r="A827" s="75" t="s">
        <v>337</v>
      </c>
      <c r="B827" s="76" t="s">
        <v>5945</v>
      </c>
      <c r="C827" s="76" t="s">
        <v>5946</v>
      </c>
      <c r="D827" s="122" t="str">
        <f t="shared" si="14"/>
        <v>DiversNacelleToucan</v>
      </c>
      <c r="E827" s="76" t="s">
        <v>5958</v>
      </c>
      <c r="F827" s="76">
        <v>8</v>
      </c>
      <c r="G827" s="86" t="s">
        <v>6164</v>
      </c>
      <c r="H827" s="71" t="s">
        <v>5960</v>
      </c>
      <c r="I827" s="71" t="s">
        <v>5962</v>
      </c>
      <c r="J827" s="70">
        <f>IFERROR(VLOOKUP(Devis[[#This Row],[Ref Air Flux]],#REF!,3,FALSE),0)</f>
        <v>0</v>
      </c>
      <c r="K827" s="68"/>
      <c r="L827" s="68"/>
      <c r="M827" s="68"/>
      <c r="N827" s="68"/>
      <c r="O827" s="68"/>
      <c r="P827" s="68"/>
      <c r="Q827" s="68">
        <f>SUM(Devis[[#This Row],[Poste 1]:[Poste 6]])</f>
        <v>0</v>
      </c>
      <c r="R827" s="71"/>
      <c r="S827" s="68">
        <f>_xlfn.CEILING.MATH(Devis[[#This Row],[Quantité Totale]],Devis[[#This Row],[Conditionnement]])</f>
        <v>0</v>
      </c>
      <c r="T827" s="72"/>
      <c r="U827" s="70">
        <v>85</v>
      </c>
      <c r="V827" s="74">
        <f>Devis[[#This Row],[Prix de Revient]]*Devis[[#This Row],[Poste 1]]</f>
        <v>0</v>
      </c>
      <c r="W827" s="74">
        <f>Devis[[#This Row],[Prix de Revient]]*Devis[[#This Row],[Poste 2]]</f>
        <v>0</v>
      </c>
      <c r="X827" s="74">
        <f>Devis[[#This Row],[Prix de Revient]]*Devis[[#This Row],[Poste 3]]</f>
        <v>0</v>
      </c>
      <c r="Y827" s="74">
        <f>Devis[[#This Row],[Poste 4]]*Devis[[#This Row],[Prix de Revient]]</f>
        <v>0</v>
      </c>
      <c r="Z827" s="74">
        <f>Devis[[#This Row],[Poste 5]]*Devis[[#This Row],[Prix de Revient]]</f>
        <v>0</v>
      </c>
      <c r="AA827" s="74">
        <f>Devis[[#This Row],[Prix de Revient]]*Devis[[#This Row],[Poste 6]]</f>
        <v>0</v>
      </c>
      <c r="AB827" s="74">
        <f>Devis[[#This Row],[Quantité Totale]]*Devis[[#This Row],[Prix de Revient]]</f>
        <v>0</v>
      </c>
    </row>
    <row r="828" spans="1:28" ht="14.25" customHeight="1" x14ac:dyDescent="0.25">
      <c r="A828" s="65" t="s">
        <v>337</v>
      </c>
      <c r="B828" s="127" t="s">
        <v>6093</v>
      </c>
      <c r="C828" s="127" t="s">
        <v>6093</v>
      </c>
      <c r="D828" s="122" t="str">
        <f t="shared" si="14"/>
        <v>DiversSciage, perforation, ponçageSciage, perforation, ponçage</v>
      </c>
      <c r="E828" s="107"/>
      <c r="F828" s="107" t="s">
        <v>6116</v>
      </c>
      <c r="G828" s="71" t="s">
        <v>6130</v>
      </c>
      <c r="H828" s="86"/>
      <c r="I828" s="71"/>
      <c r="J828" s="70">
        <f>IFERROR(VLOOKUP(Devis[[#This Row],[Ref Air Flux]],#REF!,3,FALSE),0)</f>
        <v>0</v>
      </c>
      <c r="K828" s="68"/>
      <c r="L828" s="68"/>
      <c r="M828" s="68"/>
      <c r="N828" s="68"/>
      <c r="O828" s="68"/>
      <c r="P828" s="68"/>
      <c r="Q828" s="68">
        <f>SUM(Devis[[#This Row],[Poste 1]:[Poste 6]])</f>
        <v>0</v>
      </c>
      <c r="R828" s="71"/>
      <c r="S828" s="68">
        <f>_xlfn.CEILING.MATH(Devis[[#This Row],[Quantité Totale]],Devis[[#This Row],[Conditionnement]])</f>
        <v>0</v>
      </c>
      <c r="T828" s="72"/>
      <c r="U828" s="73"/>
      <c r="V828" s="74">
        <f>Devis[[#This Row],[Prix de Revient]]*Devis[[#This Row],[Poste 1]]</f>
        <v>0</v>
      </c>
      <c r="W828" s="74">
        <f>Devis[[#This Row],[Prix de Revient]]*Devis[[#This Row],[Poste 2]]</f>
        <v>0</v>
      </c>
      <c r="X828" s="74">
        <f>Devis[[#This Row],[Prix de Revient]]*Devis[[#This Row],[Poste 3]]</f>
        <v>0</v>
      </c>
      <c r="Y828" s="74">
        <f>Devis[[#This Row],[Poste 4]]*Devis[[#This Row],[Prix de Revient]]</f>
        <v>0</v>
      </c>
      <c r="Z828" s="74">
        <f>Devis[[#This Row],[Poste 5]]*Devis[[#This Row],[Prix de Revient]]</f>
        <v>0</v>
      </c>
      <c r="AA828" s="74">
        <f>Devis[[#This Row],[Prix de Revient]]*Devis[[#This Row],[Poste 6]]</f>
        <v>0</v>
      </c>
      <c r="AB828" s="74">
        <f>Devis[[#This Row],[Quantité Totale]]*Devis[[#This Row],[Prix de Revient]]</f>
        <v>0</v>
      </c>
    </row>
    <row r="829" spans="1:28" ht="14.25" outlineLevel="1" x14ac:dyDescent="0.2">
      <c r="A829" s="75" t="s">
        <v>337</v>
      </c>
      <c r="B829" s="76" t="s">
        <v>6093</v>
      </c>
      <c r="C829" s="76" t="s">
        <v>6111</v>
      </c>
      <c r="D829" s="122" t="str">
        <f t="shared" si="14"/>
        <v>DiversSciage, perforation, ponçageDécoupeuse</v>
      </c>
      <c r="E829" s="76" t="s">
        <v>6112</v>
      </c>
      <c r="F829" s="76">
        <v>8</v>
      </c>
      <c r="G829" s="86" t="s">
        <v>6186</v>
      </c>
      <c r="H829" s="71" t="s">
        <v>5948</v>
      </c>
      <c r="I829" s="71" t="s">
        <v>6113</v>
      </c>
      <c r="J829" s="70">
        <f>IFERROR(VLOOKUP(Devis[[#This Row],[Ref Air Flux]],#REF!,3,FALSE),0)</f>
        <v>0</v>
      </c>
      <c r="K829" s="68"/>
      <c r="L829" s="68"/>
      <c r="M829" s="68"/>
      <c r="N829" s="68"/>
      <c r="O829" s="68"/>
      <c r="P829" s="68"/>
      <c r="Q829" s="68">
        <f>SUM(Devis[[#This Row],[Poste 1]:[Poste 6]])</f>
        <v>0</v>
      </c>
      <c r="R829" s="71"/>
      <c r="S829" s="68">
        <f>_xlfn.CEILING.MATH(Devis[[#This Row],[Quantité Totale]],Devis[[#This Row],[Conditionnement]])</f>
        <v>0</v>
      </c>
      <c r="T829" s="72"/>
      <c r="U829" s="70">
        <v>102</v>
      </c>
      <c r="V829" s="74">
        <f>Devis[[#This Row],[Prix de Revient]]*Devis[[#This Row],[Poste 1]]</f>
        <v>0</v>
      </c>
      <c r="W829" s="74">
        <f>Devis[[#This Row],[Prix de Revient]]*Devis[[#This Row],[Poste 2]]</f>
        <v>0</v>
      </c>
      <c r="X829" s="74">
        <f>Devis[[#This Row],[Prix de Revient]]*Devis[[#This Row],[Poste 3]]</f>
        <v>0</v>
      </c>
      <c r="Y829" s="74">
        <f>Devis[[#This Row],[Poste 4]]*Devis[[#This Row],[Prix de Revient]]</f>
        <v>0</v>
      </c>
      <c r="Z829" s="74">
        <f>Devis[[#This Row],[Poste 5]]*Devis[[#This Row],[Prix de Revient]]</f>
        <v>0</v>
      </c>
      <c r="AA829" s="74">
        <f>Devis[[#This Row],[Prix de Revient]]*Devis[[#This Row],[Poste 6]]</f>
        <v>0</v>
      </c>
      <c r="AB829" s="74">
        <f>Devis[[#This Row],[Quantité Totale]]*Devis[[#This Row],[Prix de Revient]]</f>
        <v>0</v>
      </c>
    </row>
    <row r="830" spans="1:28" ht="14.25" customHeight="1" outlineLevel="1" x14ac:dyDescent="0.2">
      <c r="A830" s="75" t="s">
        <v>337</v>
      </c>
      <c r="B830" s="76" t="s">
        <v>6093</v>
      </c>
      <c r="C830" s="76" t="s">
        <v>6111</v>
      </c>
      <c r="D830" s="122" t="str">
        <f t="shared" si="14"/>
        <v>DiversSciage, perforation, ponçageDécoupeuse</v>
      </c>
      <c r="E830" s="76" t="s">
        <v>6114</v>
      </c>
      <c r="F830" s="76">
        <v>9</v>
      </c>
      <c r="G830" s="86" t="s">
        <v>6187</v>
      </c>
      <c r="H830" s="71" t="s">
        <v>5948</v>
      </c>
      <c r="I830" s="71" t="s">
        <v>6115</v>
      </c>
      <c r="J830" s="70">
        <f>IFERROR(VLOOKUP(Devis[[#This Row],[Ref Air Flux]],#REF!,3,FALSE),0)</f>
        <v>0</v>
      </c>
      <c r="K830" s="68"/>
      <c r="L830" s="68"/>
      <c r="M830" s="68"/>
      <c r="N830" s="68"/>
      <c r="O830" s="68"/>
      <c r="P830" s="68"/>
      <c r="Q830" s="68">
        <f>SUM(Devis[[#This Row],[Poste 1]:[Poste 6]])</f>
        <v>0</v>
      </c>
      <c r="R830" s="71"/>
      <c r="S830" s="68">
        <f>_xlfn.CEILING.MATH(Devis[[#This Row],[Quantité Totale]],Devis[[#This Row],[Conditionnement]])</f>
        <v>0</v>
      </c>
      <c r="T830" s="72"/>
      <c r="U830" s="70">
        <v>123</v>
      </c>
      <c r="V830" s="74">
        <f>Devis[[#This Row],[Prix de Revient]]*Devis[[#This Row],[Poste 1]]</f>
        <v>0</v>
      </c>
      <c r="W830" s="74">
        <f>Devis[[#This Row],[Prix de Revient]]*Devis[[#This Row],[Poste 2]]</f>
        <v>0</v>
      </c>
      <c r="X830" s="74">
        <f>Devis[[#This Row],[Prix de Revient]]*Devis[[#This Row],[Poste 3]]</f>
        <v>0</v>
      </c>
      <c r="Y830" s="74">
        <f>Devis[[#This Row],[Poste 4]]*Devis[[#This Row],[Prix de Revient]]</f>
        <v>0</v>
      </c>
      <c r="Z830" s="74">
        <f>Devis[[#This Row],[Poste 5]]*Devis[[#This Row],[Prix de Revient]]</f>
        <v>0</v>
      </c>
      <c r="AA830" s="74">
        <f>Devis[[#This Row],[Prix de Revient]]*Devis[[#This Row],[Poste 6]]</f>
        <v>0</v>
      </c>
      <c r="AB830" s="74">
        <f>Devis[[#This Row],[Quantité Totale]]*Devis[[#This Row],[Prix de Revient]]</f>
        <v>0</v>
      </c>
    </row>
    <row r="831" spans="1:28" ht="14.25" customHeight="1" outlineLevel="1" x14ac:dyDescent="0.2">
      <c r="A831" s="75" t="s">
        <v>337</v>
      </c>
      <c r="B831" s="76" t="s">
        <v>6093</v>
      </c>
      <c r="C831" s="76" t="s">
        <v>6099</v>
      </c>
      <c r="D831" s="122" t="str">
        <f t="shared" si="14"/>
        <v>DiversSciage, perforation, ponçageFOREUSE DIAMANT</v>
      </c>
      <c r="E831" s="76" t="s">
        <v>6100</v>
      </c>
      <c r="F831" s="76">
        <v>3</v>
      </c>
      <c r="G831" s="86" t="s">
        <v>6188</v>
      </c>
      <c r="H831" s="71" t="s">
        <v>5948</v>
      </c>
      <c r="I831" s="71" t="s">
        <v>6101</v>
      </c>
      <c r="J831" s="70">
        <f>IFERROR(VLOOKUP(Devis[[#This Row],[Ref Air Flux]],#REF!,3,FALSE),0)</f>
        <v>0</v>
      </c>
      <c r="K831" s="68"/>
      <c r="L831" s="68"/>
      <c r="M831" s="68"/>
      <c r="N831" s="68"/>
      <c r="O831" s="68"/>
      <c r="P831" s="68"/>
      <c r="Q831" s="68">
        <f>SUM(Devis[[#This Row],[Poste 1]:[Poste 6]])</f>
        <v>0</v>
      </c>
      <c r="R831" s="71"/>
      <c r="S831" s="68">
        <f>_xlfn.CEILING.MATH(Devis[[#This Row],[Quantité Totale]],Devis[[#This Row],[Conditionnement]])</f>
        <v>0</v>
      </c>
      <c r="T831" s="72"/>
      <c r="U831" s="70">
        <v>8</v>
      </c>
      <c r="V831" s="74">
        <f>Devis[[#This Row],[Prix de Revient]]*Devis[[#This Row],[Poste 1]]</f>
        <v>0</v>
      </c>
      <c r="W831" s="74">
        <f>Devis[[#This Row],[Prix de Revient]]*Devis[[#This Row],[Poste 2]]</f>
        <v>0</v>
      </c>
      <c r="X831" s="74">
        <f>Devis[[#This Row],[Prix de Revient]]*Devis[[#This Row],[Poste 3]]</f>
        <v>0</v>
      </c>
      <c r="Y831" s="74">
        <f>Devis[[#This Row],[Poste 4]]*Devis[[#This Row],[Prix de Revient]]</f>
        <v>0</v>
      </c>
      <c r="Z831" s="74">
        <f>Devis[[#This Row],[Poste 5]]*Devis[[#This Row],[Prix de Revient]]</f>
        <v>0</v>
      </c>
      <c r="AA831" s="74">
        <f>Devis[[#This Row],[Prix de Revient]]*Devis[[#This Row],[Poste 6]]</f>
        <v>0</v>
      </c>
      <c r="AB831" s="74">
        <f>Devis[[#This Row],[Quantité Totale]]*Devis[[#This Row],[Prix de Revient]]</f>
        <v>0</v>
      </c>
    </row>
    <row r="832" spans="1:28" ht="14.25" outlineLevel="1" x14ac:dyDescent="0.2">
      <c r="A832" s="75" t="s">
        <v>337</v>
      </c>
      <c r="B832" s="76" t="s">
        <v>6093</v>
      </c>
      <c r="C832" s="76" t="s">
        <v>6099</v>
      </c>
      <c r="D832" s="122" t="str">
        <f t="shared" si="14"/>
        <v>DiversSciage, perforation, ponçageFOREUSE DIAMANT</v>
      </c>
      <c r="E832" s="76" t="s">
        <v>6102</v>
      </c>
      <c r="F832" s="76">
        <v>4</v>
      </c>
      <c r="G832" s="86" t="s">
        <v>6189</v>
      </c>
      <c r="H832" s="71" t="s">
        <v>5948</v>
      </c>
      <c r="I832" s="71" t="s">
        <v>6103</v>
      </c>
      <c r="J832" s="70">
        <f>IFERROR(VLOOKUP(Devis[[#This Row],[Ref Air Flux]],#REF!,3,FALSE),0)</f>
        <v>0</v>
      </c>
      <c r="K832" s="68"/>
      <c r="L832" s="68"/>
      <c r="M832" s="68"/>
      <c r="N832" s="68"/>
      <c r="O832" s="68"/>
      <c r="P832" s="68"/>
      <c r="Q832" s="68">
        <f>SUM(Devis[[#This Row],[Poste 1]:[Poste 6]])</f>
        <v>0</v>
      </c>
      <c r="R832" s="71"/>
      <c r="S832" s="68">
        <f>_xlfn.CEILING.MATH(Devis[[#This Row],[Quantité Totale]],Devis[[#This Row],[Conditionnement]])</f>
        <v>0</v>
      </c>
      <c r="T832" s="72"/>
      <c r="U832" s="70">
        <v>31</v>
      </c>
      <c r="V832" s="74">
        <f>Devis[[#This Row],[Prix de Revient]]*Devis[[#This Row],[Poste 1]]</f>
        <v>0</v>
      </c>
      <c r="W832" s="74">
        <f>Devis[[#This Row],[Prix de Revient]]*Devis[[#This Row],[Poste 2]]</f>
        <v>0</v>
      </c>
      <c r="X832" s="74">
        <f>Devis[[#This Row],[Prix de Revient]]*Devis[[#This Row],[Poste 3]]</f>
        <v>0</v>
      </c>
      <c r="Y832" s="74">
        <f>Devis[[#This Row],[Poste 4]]*Devis[[#This Row],[Prix de Revient]]</f>
        <v>0</v>
      </c>
      <c r="Z832" s="74">
        <f>Devis[[#This Row],[Poste 5]]*Devis[[#This Row],[Prix de Revient]]</f>
        <v>0</v>
      </c>
      <c r="AA832" s="74">
        <f>Devis[[#This Row],[Prix de Revient]]*Devis[[#This Row],[Poste 6]]</f>
        <v>0</v>
      </c>
      <c r="AB832" s="74">
        <f>Devis[[#This Row],[Quantité Totale]]*Devis[[#This Row],[Prix de Revient]]</f>
        <v>0</v>
      </c>
    </row>
    <row r="833" spans="1:28" ht="15" customHeight="1" outlineLevel="1" x14ac:dyDescent="0.2">
      <c r="A833" s="75" t="s">
        <v>337</v>
      </c>
      <c r="B833" s="76" t="s">
        <v>6093</v>
      </c>
      <c r="C833" s="76" t="s">
        <v>6099</v>
      </c>
      <c r="D833" s="122" t="str">
        <f t="shared" si="14"/>
        <v>DiversSciage, perforation, ponçageFOREUSE DIAMANT</v>
      </c>
      <c r="E833" s="76" t="s">
        <v>6104</v>
      </c>
      <c r="F833" s="76">
        <v>5</v>
      </c>
      <c r="G833" s="86" t="s">
        <v>6190</v>
      </c>
      <c r="H833" s="71" t="s">
        <v>5948</v>
      </c>
      <c r="I833" s="71" t="s">
        <v>6105</v>
      </c>
      <c r="J833" s="70">
        <f>IFERROR(VLOOKUP(Devis[[#This Row],[Ref Air Flux]],#REF!,3,FALSE),0)</f>
        <v>0</v>
      </c>
      <c r="K833" s="68"/>
      <c r="L833" s="68"/>
      <c r="M833" s="68"/>
      <c r="N833" s="68"/>
      <c r="O833" s="68"/>
      <c r="P833" s="68"/>
      <c r="Q833" s="68">
        <f>SUM(Devis[[#This Row],[Poste 1]:[Poste 6]])</f>
        <v>0</v>
      </c>
      <c r="R833" s="71"/>
      <c r="S833" s="68">
        <f>_xlfn.CEILING.MATH(Devis[[#This Row],[Quantité Totale]],Devis[[#This Row],[Conditionnement]])</f>
        <v>0</v>
      </c>
      <c r="T833" s="72"/>
      <c r="U833" s="70">
        <v>46</v>
      </c>
      <c r="V833" s="74">
        <f>Devis[[#This Row],[Prix de Revient]]*Devis[[#This Row],[Poste 1]]</f>
        <v>0</v>
      </c>
      <c r="W833" s="74">
        <f>Devis[[#This Row],[Prix de Revient]]*Devis[[#This Row],[Poste 2]]</f>
        <v>0</v>
      </c>
      <c r="X833" s="74">
        <f>Devis[[#This Row],[Prix de Revient]]*Devis[[#This Row],[Poste 3]]</f>
        <v>0</v>
      </c>
      <c r="Y833" s="74">
        <f>Devis[[#This Row],[Poste 4]]*Devis[[#This Row],[Prix de Revient]]</f>
        <v>0</v>
      </c>
      <c r="Z833" s="74">
        <f>Devis[[#This Row],[Poste 5]]*Devis[[#This Row],[Prix de Revient]]</f>
        <v>0</v>
      </c>
      <c r="AA833" s="74">
        <f>Devis[[#This Row],[Prix de Revient]]*Devis[[#This Row],[Poste 6]]</f>
        <v>0</v>
      </c>
      <c r="AB833" s="74">
        <f>Devis[[#This Row],[Quantité Totale]]*Devis[[#This Row],[Prix de Revient]]</f>
        <v>0</v>
      </c>
    </row>
    <row r="834" spans="1:28" ht="14.25" outlineLevel="1" x14ac:dyDescent="0.2">
      <c r="A834" s="75" t="s">
        <v>337</v>
      </c>
      <c r="B834" s="76" t="s">
        <v>6093</v>
      </c>
      <c r="C834" s="76" t="s">
        <v>6099</v>
      </c>
      <c r="D834" s="122" t="str">
        <f t="shared" si="14"/>
        <v>DiversSciage, perforation, ponçageFOREUSE DIAMANT</v>
      </c>
      <c r="E834" s="76" t="s">
        <v>6106</v>
      </c>
      <c r="F834" s="76">
        <v>6</v>
      </c>
      <c r="G834" s="86" t="s">
        <v>6191</v>
      </c>
      <c r="H834" s="71" t="s">
        <v>5948</v>
      </c>
      <c r="I834" s="71" t="s">
        <v>6107</v>
      </c>
      <c r="J834" s="70">
        <f>IFERROR(VLOOKUP(Devis[[#This Row],[Ref Air Flux]],#REF!,3,FALSE),0)</f>
        <v>0</v>
      </c>
      <c r="K834" s="68"/>
      <c r="L834" s="68"/>
      <c r="M834" s="68"/>
      <c r="N834" s="68"/>
      <c r="O834" s="68"/>
      <c r="P834" s="68"/>
      <c r="Q834" s="68">
        <f>SUM(Devis[[#This Row],[Poste 1]:[Poste 6]])</f>
        <v>0</v>
      </c>
      <c r="R834" s="71"/>
      <c r="S834" s="68">
        <f>_xlfn.CEILING.MATH(Devis[[#This Row],[Quantité Totale]],Devis[[#This Row],[Conditionnement]])</f>
        <v>0</v>
      </c>
      <c r="T834" s="72"/>
      <c r="U834" s="70">
        <v>51</v>
      </c>
      <c r="V834" s="74">
        <f>Devis[[#This Row],[Prix de Revient]]*Devis[[#This Row],[Poste 1]]</f>
        <v>0</v>
      </c>
      <c r="W834" s="74">
        <f>Devis[[#This Row],[Prix de Revient]]*Devis[[#This Row],[Poste 2]]</f>
        <v>0</v>
      </c>
      <c r="X834" s="74">
        <f>Devis[[#This Row],[Prix de Revient]]*Devis[[#This Row],[Poste 3]]</f>
        <v>0</v>
      </c>
      <c r="Y834" s="74">
        <f>Devis[[#This Row],[Poste 4]]*Devis[[#This Row],[Prix de Revient]]</f>
        <v>0</v>
      </c>
      <c r="Z834" s="74">
        <f>Devis[[#This Row],[Poste 5]]*Devis[[#This Row],[Prix de Revient]]</f>
        <v>0</v>
      </c>
      <c r="AA834" s="74">
        <f>Devis[[#This Row],[Prix de Revient]]*Devis[[#This Row],[Poste 6]]</f>
        <v>0</v>
      </c>
      <c r="AB834" s="74">
        <f>Devis[[#This Row],[Quantité Totale]]*Devis[[#This Row],[Prix de Revient]]</f>
        <v>0</v>
      </c>
    </row>
    <row r="835" spans="1:28" ht="14.25" customHeight="1" outlineLevel="1" x14ac:dyDescent="0.2">
      <c r="A835" s="75" t="s">
        <v>337</v>
      </c>
      <c r="B835" s="76" t="s">
        <v>6093</v>
      </c>
      <c r="C835" s="76" t="s">
        <v>6094</v>
      </c>
      <c r="D835" s="122" t="str">
        <f t="shared" si="14"/>
        <v>DiversSciage, perforation, ponçagePERFO</v>
      </c>
      <c r="E835" s="76" t="s">
        <v>6095</v>
      </c>
      <c r="F835" s="76">
        <v>1</v>
      </c>
      <c r="G835" s="86" t="s">
        <v>6192</v>
      </c>
      <c r="H835" s="71" t="s">
        <v>5948</v>
      </c>
      <c r="I835" s="71" t="s">
        <v>6096</v>
      </c>
      <c r="J835" s="70">
        <f>IFERROR(VLOOKUP(Devis[[#This Row],[Ref Air Flux]],#REF!,3,FALSE),0)</f>
        <v>0</v>
      </c>
      <c r="K835" s="68"/>
      <c r="L835" s="68"/>
      <c r="M835" s="68"/>
      <c r="N835" s="68"/>
      <c r="O835" s="68"/>
      <c r="P835" s="68"/>
      <c r="Q835" s="68">
        <f>SUM(Devis[[#This Row],[Poste 1]:[Poste 6]])</f>
        <v>0</v>
      </c>
      <c r="R835" s="71"/>
      <c r="S835" s="68">
        <f>_xlfn.CEILING.MATH(Devis[[#This Row],[Quantité Totale]],Devis[[#This Row],[Conditionnement]])</f>
        <v>0</v>
      </c>
      <c r="T835" s="72"/>
      <c r="U835" s="70">
        <v>41</v>
      </c>
      <c r="V835" s="74">
        <f>Devis[[#This Row],[Prix de Revient]]*Devis[[#This Row],[Poste 1]]</f>
        <v>0</v>
      </c>
      <c r="W835" s="74">
        <f>Devis[[#This Row],[Prix de Revient]]*Devis[[#This Row],[Poste 2]]</f>
        <v>0</v>
      </c>
      <c r="X835" s="74">
        <f>Devis[[#This Row],[Prix de Revient]]*Devis[[#This Row],[Poste 3]]</f>
        <v>0</v>
      </c>
      <c r="Y835" s="74">
        <f>Devis[[#This Row],[Poste 4]]*Devis[[#This Row],[Prix de Revient]]</f>
        <v>0</v>
      </c>
      <c r="Z835" s="74">
        <f>Devis[[#This Row],[Poste 5]]*Devis[[#This Row],[Prix de Revient]]</f>
        <v>0</v>
      </c>
      <c r="AA835" s="74">
        <f>Devis[[#This Row],[Prix de Revient]]*Devis[[#This Row],[Poste 6]]</f>
        <v>0</v>
      </c>
      <c r="AB835" s="74">
        <f>Devis[[#This Row],[Quantité Totale]]*Devis[[#This Row],[Prix de Revient]]</f>
        <v>0</v>
      </c>
    </row>
    <row r="836" spans="1:28" ht="14.25" customHeight="1" outlineLevel="1" x14ac:dyDescent="0.2">
      <c r="A836" s="75" t="s">
        <v>337</v>
      </c>
      <c r="B836" s="76" t="s">
        <v>6093</v>
      </c>
      <c r="C836" s="76" t="s">
        <v>6094</v>
      </c>
      <c r="D836" s="122" t="str">
        <f t="shared" si="14"/>
        <v>DiversSciage, perforation, ponçagePERFO</v>
      </c>
      <c r="E836" s="76" t="s">
        <v>6097</v>
      </c>
      <c r="F836" s="76">
        <v>2</v>
      </c>
      <c r="G836" s="86" t="s">
        <v>6193</v>
      </c>
      <c r="H836" s="71" t="s">
        <v>5948</v>
      </c>
      <c r="I836" s="71" t="s">
        <v>6098</v>
      </c>
      <c r="J836" s="70">
        <f>IFERROR(VLOOKUP(Devis[[#This Row],[Ref Air Flux]],#REF!,3,FALSE),0)</f>
        <v>0</v>
      </c>
      <c r="K836" s="68"/>
      <c r="L836" s="68"/>
      <c r="M836" s="68"/>
      <c r="N836" s="68"/>
      <c r="O836" s="68"/>
      <c r="P836" s="68"/>
      <c r="Q836" s="68">
        <f>SUM(Devis[[#This Row],[Poste 1]:[Poste 6]])</f>
        <v>0</v>
      </c>
      <c r="R836" s="71"/>
      <c r="S836" s="68">
        <f>_xlfn.CEILING.MATH(Devis[[#This Row],[Quantité Totale]],Devis[[#This Row],[Conditionnement]])</f>
        <v>0</v>
      </c>
      <c r="T836" s="72"/>
      <c r="U836" s="70">
        <v>51</v>
      </c>
      <c r="V836" s="74">
        <f>Devis[[#This Row],[Prix de Revient]]*Devis[[#This Row],[Poste 1]]</f>
        <v>0</v>
      </c>
      <c r="W836" s="74">
        <f>Devis[[#This Row],[Prix de Revient]]*Devis[[#This Row],[Poste 2]]</f>
        <v>0</v>
      </c>
      <c r="X836" s="74">
        <f>Devis[[#This Row],[Prix de Revient]]*Devis[[#This Row],[Poste 3]]</f>
        <v>0</v>
      </c>
      <c r="Y836" s="74">
        <f>Devis[[#This Row],[Poste 4]]*Devis[[#This Row],[Prix de Revient]]</f>
        <v>0</v>
      </c>
      <c r="Z836" s="74">
        <f>Devis[[#This Row],[Poste 5]]*Devis[[#This Row],[Prix de Revient]]</f>
        <v>0</v>
      </c>
      <c r="AA836" s="74">
        <f>Devis[[#This Row],[Prix de Revient]]*Devis[[#This Row],[Poste 6]]</f>
        <v>0</v>
      </c>
      <c r="AB836" s="74">
        <f>Devis[[#This Row],[Quantité Totale]]*Devis[[#This Row],[Prix de Revient]]</f>
        <v>0</v>
      </c>
    </row>
    <row r="837" spans="1:28" ht="14.25" outlineLevel="1" x14ac:dyDescent="0.2">
      <c r="A837" s="75" t="s">
        <v>337</v>
      </c>
      <c r="B837" s="76" t="s">
        <v>6093</v>
      </c>
      <c r="C837" s="76" t="s">
        <v>6108</v>
      </c>
      <c r="D837" s="122" t="str">
        <f t="shared" si="14"/>
        <v>DiversSciage, perforation, ponçageTronçonneuse</v>
      </c>
      <c r="E837" s="76" t="s">
        <v>6109</v>
      </c>
      <c r="F837" s="76">
        <v>7</v>
      </c>
      <c r="G837" s="86" t="s">
        <v>6194</v>
      </c>
      <c r="H837" s="71" t="s">
        <v>5948</v>
      </c>
      <c r="I837" s="71" t="s">
        <v>6110</v>
      </c>
      <c r="J837" s="70">
        <f>IFERROR(VLOOKUP(Devis[[#This Row],[Ref Air Flux]],#REF!,3,FALSE),0)</f>
        <v>0</v>
      </c>
      <c r="K837" s="68"/>
      <c r="L837" s="68"/>
      <c r="M837" s="68"/>
      <c r="N837" s="68"/>
      <c r="O837" s="68"/>
      <c r="P837" s="68"/>
      <c r="Q837" s="68">
        <f>SUM(Devis[[#This Row],[Poste 1]:[Poste 6]])</f>
        <v>0</v>
      </c>
      <c r="R837" s="71"/>
      <c r="S837" s="68">
        <f>_xlfn.CEILING.MATH(Devis[[#This Row],[Quantité Totale]],Devis[[#This Row],[Conditionnement]])</f>
        <v>0</v>
      </c>
      <c r="T837" s="72"/>
      <c r="U837" s="70">
        <v>41</v>
      </c>
      <c r="V837" s="74">
        <f>Devis[[#This Row],[Prix de Revient]]*Devis[[#This Row],[Poste 1]]</f>
        <v>0</v>
      </c>
      <c r="W837" s="74">
        <f>Devis[[#This Row],[Prix de Revient]]*Devis[[#This Row],[Poste 2]]</f>
        <v>0</v>
      </c>
      <c r="X837" s="74">
        <f>Devis[[#This Row],[Prix de Revient]]*Devis[[#This Row],[Poste 3]]</f>
        <v>0</v>
      </c>
      <c r="Y837" s="74">
        <f>Devis[[#This Row],[Poste 4]]*Devis[[#This Row],[Prix de Revient]]</f>
        <v>0</v>
      </c>
      <c r="Z837" s="74">
        <f>Devis[[#This Row],[Poste 5]]*Devis[[#This Row],[Prix de Revient]]</f>
        <v>0</v>
      </c>
      <c r="AA837" s="74">
        <f>Devis[[#This Row],[Prix de Revient]]*Devis[[#This Row],[Poste 6]]</f>
        <v>0</v>
      </c>
      <c r="AB837" s="74">
        <f>Devis[[#This Row],[Quantité Totale]]*Devis[[#This Row],[Prix de Revient]]</f>
        <v>0</v>
      </c>
    </row>
    <row r="838" spans="1:28" ht="14.25" customHeight="1" x14ac:dyDescent="0.25">
      <c r="A838" s="65" t="s">
        <v>356</v>
      </c>
      <c r="B838" s="65" t="s">
        <v>358</v>
      </c>
      <c r="C838" s="76"/>
      <c r="D838" s="81" t="str">
        <f t="shared" si="14"/>
        <v>FixationBoulons</v>
      </c>
      <c r="E838" s="76"/>
      <c r="F838" s="81">
        <v>0</v>
      </c>
      <c r="G838" s="71"/>
      <c r="H838" s="71"/>
      <c r="I838" s="71"/>
      <c r="J838" s="70">
        <f>IFERROR(VLOOKUP(Devis[[#This Row],[Ref Air Flux]],#REF!,3,FALSE),0)</f>
        <v>0</v>
      </c>
      <c r="K838" s="68"/>
      <c r="L838" s="68"/>
      <c r="M838" s="68"/>
      <c r="N838" s="68"/>
      <c r="O838" s="68"/>
      <c r="P838" s="68"/>
      <c r="Q838" s="68">
        <f>SUM(Devis[[#This Row],[Poste 1]:[Poste 6]])</f>
        <v>0</v>
      </c>
      <c r="R838" s="71"/>
      <c r="S838" s="68">
        <f>_xlfn.CEILING.MATH(Devis[[#This Row],[Quantité Totale]],Devis[[#This Row],[Conditionnement]])</f>
        <v>0</v>
      </c>
      <c r="T838" s="72"/>
      <c r="U838" s="73"/>
      <c r="V838" s="74">
        <f>Devis[[#This Row],[Prix de Revient]]*Devis[[#This Row],[Poste 1]]</f>
        <v>0</v>
      </c>
      <c r="W838" s="74">
        <f>Devis[[#This Row],[Prix de Revient]]*Devis[[#This Row],[Poste 2]]</f>
        <v>0</v>
      </c>
      <c r="X838" s="74">
        <f>Devis[[#This Row],[Prix de Revient]]*Devis[[#This Row],[Poste 3]]</f>
        <v>0</v>
      </c>
      <c r="Y838" s="74">
        <f>Devis[[#This Row],[Poste 4]]*Devis[[#This Row],[Prix de Revient]]</f>
        <v>0</v>
      </c>
      <c r="Z838" s="74">
        <f>Devis[[#This Row],[Poste 5]]*Devis[[#This Row],[Prix de Revient]]</f>
        <v>0</v>
      </c>
      <c r="AA838" s="74">
        <f>Devis[[#This Row],[Prix de Revient]]*Devis[[#This Row],[Poste 6]]</f>
        <v>0</v>
      </c>
      <c r="AB838" s="74">
        <f>Devis[[#This Row],[Quantité Totale]]*Devis[[#This Row],[Prix de Revient]]</f>
        <v>0</v>
      </c>
    </row>
    <row r="839" spans="1:28" ht="14.25" outlineLevel="1" x14ac:dyDescent="0.2">
      <c r="A839" s="75" t="s">
        <v>356</v>
      </c>
      <c r="B839" s="76" t="s">
        <v>358</v>
      </c>
      <c r="C839" s="75"/>
      <c r="D839" s="81" t="str">
        <f t="shared" si="14"/>
        <v>FixationBoulons</v>
      </c>
      <c r="E839" s="75" t="s">
        <v>5095</v>
      </c>
      <c r="F839" s="81">
        <v>1</v>
      </c>
      <c r="G839" s="71" t="s">
        <v>359</v>
      </c>
      <c r="H839" s="71"/>
      <c r="I839" s="71" t="s">
        <v>360</v>
      </c>
      <c r="J839" s="70">
        <f>IFERROR(VLOOKUP(Devis[[#This Row],[Ref Air Flux]],#REF!,3,FALSE),0)</f>
        <v>0</v>
      </c>
      <c r="K839" s="68"/>
      <c r="L839" s="68"/>
      <c r="M839" s="68"/>
      <c r="N839" s="68"/>
      <c r="O839" s="68"/>
      <c r="P839" s="68"/>
      <c r="Q839" s="68">
        <f>SUM(Devis[[#This Row],[Poste 1]:[Poste 6]])</f>
        <v>0</v>
      </c>
      <c r="R839" s="71"/>
      <c r="S839" s="68">
        <f>_xlfn.CEILING.MATH(Devis[[#This Row],[Quantité Totale]],Devis[[#This Row],[Conditionnement]])</f>
        <v>0</v>
      </c>
      <c r="T839" s="72"/>
      <c r="U839" s="96" t="s">
        <v>361</v>
      </c>
      <c r="V839" s="74">
        <f>Devis[[#This Row],[Prix de Revient]]*Devis[[#This Row],[Poste 1]]</f>
        <v>0</v>
      </c>
      <c r="W839" s="74">
        <f>Devis[[#This Row],[Prix de Revient]]*Devis[[#This Row],[Poste 2]]</f>
        <v>0</v>
      </c>
      <c r="X839" s="74">
        <f>Devis[[#This Row],[Prix de Revient]]*Devis[[#This Row],[Poste 3]]</f>
        <v>0</v>
      </c>
      <c r="Y839" s="74">
        <f>Devis[[#This Row],[Poste 4]]*Devis[[#This Row],[Prix de Revient]]</f>
        <v>0</v>
      </c>
      <c r="Z839" s="74">
        <f>Devis[[#This Row],[Poste 5]]*Devis[[#This Row],[Prix de Revient]]</f>
        <v>0</v>
      </c>
      <c r="AA839" s="74">
        <f>Devis[[#This Row],[Prix de Revient]]*Devis[[#This Row],[Poste 6]]</f>
        <v>0</v>
      </c>
      <c r="AB839" s="74">
        <f>Devis[[#This Row],[Quantité Totale]]*Devis[[#This Row],[Prix de Revient]]</f>
        <v>0</v>
      </c>
    </row>
    <row r="840" spans="1:28" ht="14.25" customHeight="1" outlineLevel="1" x14ac:dyDescent="0.2">
      <c r="A840" s="75" t="s">
        <v>356</v>
      </c>
      <c r="B840" s="76" t="s">
        <v>358</v>
      </c>
      <c r="C840" s="75"/>
      <c r="D840" s="81" t="str">
        <f t="shared" si="14"/>
        <v>FixationBoulons</v>
      </c>
      <c r="E840" s="75" t="s">
        <v>5096</v>
      </c>
      <c r="F840" s="81">
        <v>2</v>
      </c>
      <c r="G840" s="71" t="s">
        <v>362</v>
      </c>
      <c r="H840" s="71"/>
      <c r="I840" s="71" t="s">
        <v>363</v>
      </c>
      <c r="J840" s="70">
        <f>IFERROR(VLOOKUP(Devis[[#This Row],[Ref Air Flux]],#REF!,3,FALSE),0)</f>
        <v>0</v>
      </c>
      <c r="K840" s="68"/>
      <c r="L840" s="68"/>
      <c r="M840" s="68"/>
      <c r="N840" s="68"/>
      <c r="O840" s="68"/>
      <c r="P840" s="68"/>
      <c r="Q840" s="68">
        <f>SUM(Devis[[#This Row],[Poste 1]:[Poste 6]])</f>
        <v>0</v>
      </c>
      <c r="R840" s="71"/>
      <c r="S840" s="68">
        <f>_xlfn.CEILING.MATH(Devis[[#This Row],[Quantité Totale]],Devis[[#This Row],[Conditionnement]])</f>
        <v>0</v>
      </c>
      <c r="T840" s="97"/>
      <c r="U840" s="73"/>
      <c r="V840" s="74">
        <f>Devis[[#This Row],[Prix de Revient]]*Devis[[#This Row],[Poste 1]]</f>
        <v>0</v>
      </c>
      <c r="W840" s="74">
        <f>Devis[[#This Row],[Prix de Revient]]*Devis[[#This Row],[Poste 2]]</f>
        <v>0</v>
      </c>
      <c r="X840" s="74">
        <f>Devis[[#This Row],[Prix de Revient]]*Devis[[#This Row],[Poste 3]]</f>
        <v>0</v>
      </c>
      <c r="Y840" s="74">
        <f>Devis[[#This Row],[Poste 4]]*Devis[[#This Row],[Prix de Revient]]</f>
        <v>0</v>
      </c>
      <c r="Z840" s="74">
        <f>Devis[[#This Row],[Poste 5]]*Devis[[#This Row],[Prix de Revient]]</f>
        <v>0</v>
      </c>
      <c r="AA840" s="74">
        <f>Devis[[#This Row],[Prix de Revient]]*Devis[[#This Row],[Poste 6]]</f>
        <v>0</v>
      </c>
      <c r="AB840" s="74">
        <f>Devis[[#This Row],[Quantité Totale]]*Devis[[#This Row],[Prix de Revient]]</f>
        <v>0</v>
      </c>
    </row>
    <row r="841" spans="1:28" ht="14.25" outlineLevel="1" x14ac:dyDescent="0.2">
      <c r="A841" s="75" t="s">
        <v>356</v>
      </c>
      <c r="B841" s="76" t="s">
        <v>358</v>
      </c>
      <c r="C841" s="75"/>
      <c r="D841" s="81" t="str">
        <f t="shared" si="14"/>
        <v>FixationBoulons</v>
      </c>
      <c r="E841" s="75" t="s">
        <v>5097</v>
      </c>
      <c r="F841" s="81">
        <v>3</v>
      </c>
      <c r="G841" s="71" t="s">
        <v>364</v>
      </c>
      <c r="H841" s="71"/>
      <c r="I841" s="71" t="s">
        <v>365</v>
      </c>
      <c r="J841" s="70">
        <f>IFERROR(VLOOKUP(Devis[[#This Row],[Ref Air Flux]],#REF!,3,FALSE),0)</f>
        <v>0</v>
      </c>
      <c r="K841" s="68"/>
      <c r="L841" s="68"/>
      <c r="M841" s="68"/>
      <c r="N841" s="68"/>
      <c r="O841" s="68"/>
      <c r="P841" s="68"/>
      <c r="Q841" s="68">
        <f>SUM(Devis[[#This Row],[Poste 1]:[Poste 6]])</f>
        <v>0</v>
      </c>
      <c r="R841" s="71"/>
      <c r="S841" s="68">
        <f>_xlfn.CEILING.MATH(Devis[[#This Row],[Quantité Totale]],Devis[[#This Row],[Conditionnement]])</f>
        <v>0</v>
      </c>
      <c r="T841" s="97"/>
      <c r="U841" s="73"/>
      <c r="V841" s="74">
        <f>Devis[[#This Row],[Prix de Revient]]*Devis[[#This Row],[Poste 1]]</f>
        <v>0</v>
      </c>
      <c r="W841" s="74">
        <f>Devis[[#This Row],[Prix de Revient]]*Devis[[#This Row],[Poste 2]]</f>
        <v>0</v>
      </c>
      <c r="X841" s="74">
        <f>Devis[[#This Row],[Prix de Revient]]*Devis[[#This Row],[Poste 3]]</f>
        <v>0</v>
      </c>
      <c r="Y841" s="74">
        <f>Devis[[#This Row],[Poste 4]]*Devis[[#This Row],[Prix de Revient]]</f>
        <v>0</v>
      </c>
      <c r="Z841" s="74">
        <f>Devis[[#This Row],[Poste 5]]*Devis[[#This Row],[Prix de Revient]]</f>
        <v>0</v>
      </c>
      <c r="AA841" s="74">
        <f>Devis[[#This Row],[Prix de Revient]]*Devis[[#This Row],[Poste 6]]</f>
        <v>0</v>
      </c>
      <c r="AB841" s="74">
        <f>Devis[[#This Row],[Quantité Totale]]*Devis[[#This Row],[Prix de Revient]]</f>
        <v>0</v>
      </c>
    </row>
    <row r="842" spans="1:28" ht="14.25" customHeight="1" outlineLevel="1" x14ac:dyDescent="0.2">
      <c r="A842" s="75" t="s">
        <v>356</v>
      </c>
      <c r="B842" s="76" t="s">
        <v>358</v>
      </c>
      <c r="C842" s="75"/>
      <c r="D842" s="81" t="str">
        <f t="shared" si="14"/>
        <v>FixationBoulons</v>
      </c>
      <c r="E842" s="75" t="s">
        <v>5098</v>
      </c>
      <c r="F842" s="81">
        <v>4</v>
      </c>
      <c r="G842" s="71" t="s">
        <v>367</v>
      </c>
      <c r="H842" s="71"/>
      <c r="I842" s="71" t="s">
        <v>368</v>
      </c>
      <c r="J842" s="70">
        <f>IFERROR(VLOOKUP(Devis[[#This Row],[Ref Air Flux]],#REF!,3,FALSE),0)</f>
        <v>0</v>
      </c>
      <c r="K842" s="68"/>
      <c r="L842" s="68"/>
      <c r="M842" s="68"/>
      <c r="N842" s="68"/>
      <c r="O842" s="68"/>
      <c r="P842" s="68"/>
      <c r="Q842" s="68">
        <f>SUM(Devis[[#This Row],[Poste 1]:[Poste 6]])</f>
        <v>0</v>
      </c>
      <c r="R842" s="71"/>
      <c r="S842" s="68">
        <f>_xlfn.CEILING.MATH(Devis[[#This Row],[Quantité Totale]],Devis[[#This Row],[Conditionnement]])</f>
        <v>0</v>
      </c>
      <c r="T842" s="72"/>
      <c r="U842" s="96" t="s">
        <v>369</v>
      </c>
      <c r="V842" s="74">
        <f>Devis[[#This Row],[Prix de Revient]]*Devis[[#This Row],[Poste 1]]</f>
        <v>0</v>
      </c>
      <c r="W842" s="74">
        <f>Devis[[#This Row],[Prix de Revient]]*Devis[[#This Row],[Poste 2]]</f>
        <v>0</v>
      </c>
      <c r="X842" s="74">
        <f>Devis[[#This Row],[Prix de Revient]]*Devis[[#This Row],[Poste 3]]</f>
        <v>0</v>
      </c>
      <c r="Y842" s="74">
        <f>Devis[[#This Row],[Poste 4]]*Devis[[#This Row],[Prix de Revient]]</f>
        <v>0</v>
      </c>
      <c r="Z842" s="74">
        <f>Devis[[#This Row],[Poste 5]]*Devis[[#This Row],[Prix de Revient]]</f>
        <v>0</v>
      </c>
      <c r="AA842" s="74">
        <f>Devis[[#This Row],[Prix de Revient]]*Devis[[#This Row],[Poste 6]]</f>
        <v>0</v>
      </c>
      <c r="AB842" s="74">
        <f>Devis[[#This Row],[Quantité Totale]]*Devis[[#This Row],[Prix de Revient]]</f>
        <v>0</v>
      </c>
    </row>
    <row r="843" spans="1:28" ht="14.25" outlineLevel="1" x14ac:dyDescent="0.2">
      <c r="A843" s="75" t="s">
        <v>356</v>
      </c>
      <c r="B843" s="76" t="s">
        <v>358</v>
      </c>
      <c r="C843" s="75"/>
      <c r="D843" s="81" t="str">
        <f t="shared" si="14"/>
        <v>FixationBoulons</v>
      </c>
      <c r="E843" s="75" t="s">
        <v>5099</v>
      </c>
      <c r="F843" s="81">
        <v>5</v>
      </c>
      <c r="G843" s="71" t="s">
        <v>370</v>
      </c>
      <c r="H843" s="71"/>
      <c r="I843" s="71" t="s">
        <v>371</v>
      </c>
      <c r="J843" s="70">
        <f>IFERROR(VLOOKUP(Devis[[#This Row],[Ref Air Flux]],#REF!,3,FALSE),0)</f>
        <v>0</v>
      </c>
      <c r="K843" s="68"/>
      <c r="L843" s="68"/>
      <c r="M843" s="68"/>
      <c r="N843" s="68"/>
      <c r="O843" s="68"/>
      <c r="P843" s="68"/>
      <c r="Q843" s="68">
        <f>SUM(Devis[[#This Row],[Poste 1]:[Poste 6]])</f>
        <v>0</v>
      </c>
      <c r="R843" s="71"/>
      <c r="S843" s="68">
        <f>_xlfn.CEILING.MATH(Devis[[#This Row],[Quantité Totale]],Devis[[#This Row],[Conditionnement]])</f>
        <v>0</v>
      </c>
      <c r="T843" s="72"/>
      <c r="U843" s="96" t="s">
        <v>372</v>
      </c>
      <c r="V843" s="74">
        <f>Devis[[#This Row],[Prix de Revient]]*Devis[[#This Row],[Poste 1]]</f>
        <v>0</v>
      </c>
      <c r="W843" s="74">
        <f>Devis[[#This Row],[Prix de Revient]]*Devis[[#This Row],[Poste 2]]</f>
        <v>0</v>
      </c>
      <c r="X843" s="74">
        <f>Devis[[#This Row],[Prix de Revient]]*Devis[[#This Row],[Poste 3]]</f>
        <v>0</v>
      </c>
      <c r="Y843" s="74">
        <f>Devis[[#This Row],[Poste 4]]*Devis[[#This Row],[Prix de Revient]]</f>
        <v>0</v>
      </c>
      <c r="Z843" s="74">
        <f>Devis[[#This Row],[Poste 5]]*Devis[[#This Row],[Prix de Revient]]</f>
        <v>0</v>
      </c>
      <c r="AA843" s="74">
        <f>Devis[[#This Row],[Prix de Revient]]*Devis[[#This Row],[Poste 6]]</f>
        <v>0</v>
      </c>
      <c r="AB843" s="74">
        <f>Devis[[#This Row],[Quantité Totale]]*Devis[[#This Row],[Prix de Revient]]</f>
        <v>0</v>
      </c>
    </row>
    <row r="844" spans="1:28" ht="14.25" customHeight="1" x14ac:dyDescent="0.25">
      <c r="A844" s="65" t="s">
        <v>356</v>
      </c>
      <c r="B844" s="65" t="s">
        <v>373</v>
      </c>
      <c r="C844" s="76"/>
      <c r="D844" s="81" t="str">
        <f t="shared" si="14"/>
        <v xml:space="preserve">FixationCapuchon de securité </v>
      </c>
      <c r="E844" s="76"/>
      <c r="F844" s="81">
        <v>0</v>
      </c>
      <c r="G844" s="71"/>
      <c r="H844" s="71"/>
      <c r="I844" s="71"/>
      <c r="J844" s="70">
        <f>IFERROR(VLOOKUP(Devis[[#This Row],[Ref Air Flux]],#REF!,3,FALSE),0)</f>
        <v>0</v>
      </c>
      <c r="K844" s="68"/>
      <c r="L844" s="68"/>
      <c r="M844" s="68"/>
      <c r="N844" s="68"/>
      <c r="O844" s="68"/>
      <c r="P844" s="68"/>
      <c r="Q844" s="68">
        <f>SUM(Devis[[#This Row],[Poste 1]:[Poste 6]])</f>
        <v>0</v>
      </c>
      <c r="R844" s="71"/>
      <c r="S844" s="68">
        <f>_xlfn.CEILING.MATH(Devis[[#This Row],[Quantité Totale]],Devis[[#This Row],[Conditionnement]])</f>
        <v>0</v>
      </c>
      <c r="T844" s="72"/>
      <c r="U844" s="96"/>
      <c r="V844" s="74">
        <f>Devis[[#This Row],[Prix de Revient]]*Devis[[#This Row],[Poste 1]]</f>
        <v>0</v>
      </c>
      <c r="W844" s="74">
        <f>Devis[[#This Row],[Prix de Revient]]*Devis[[#This Row],[Poste 2]]</f>
        <v>0</v>
      </c>
      <c r="X844" s="74">
        <f>Devis[[#This Row],[Prix de Revient]]*Devis[[#This Row],[Poste 3]]</f>
        <v>0</v>
      </c>
      <c r="Y844" s="74">
        <f>Devis[[#This Row],[Poste 4]]*Devis[[#This Row],[Prix de Revient]]</f>
        <v>0</v>
      </c>
      <c r="Z844" s="74">
        <f>Devis[[#This Row],[Poste 5]]*Devis[[#This Row],[Prix de Revient]]</f>
        <v>0</v>
      </c>
      <c r="AA844" s="74">
        <f>Devis[[#This Row],[Prix de Revient]]*Devis[[#This Row],[Poste 6]]</f>
        <v>0</v>
      </c>
      <c r="AB844" s="74">
        <f>Devis[[#This Row],[Quantité Totale]]*Devis[[#This Row],[Prix de Revient]]</f>
        <v>0</v>
      </c>
    </row>
    <row r="845" spans="1:28" ht="14.25" outlineLevel="1" x14ac:dyDescent="0.2">
      <c r="A845" s="75" t="s">
        <v>356</v>
      </c>
      <c r="B845" s="76" t="s">
        <v>373</v>
      </c>
      <c r="C845" s="75"/>
      <c r="D845" s="81" t="str">
        <f t="shared" si="14"/>
        <v xml:space="preserve">FixationCapuchon de securité </v>
      </c>
      <c r="E845" s="75" t="s">
        <v>374</v>
      </c>
      <c r="F845" s="81">
        <v>1</v>
      </c>
      <c r="G845" s="71">
        <v>33707</v>
      </c>
      <c r="H845" s="71"/>
      <c r="I845" s="71"/>
      <c r="J845" s="70">
        <f>IFERROR(VLOOKUP(Devis[[#This Row],[Ref Air Flux]],#REF!,3,FALSE),0)</f>
        <v>0</v>
      </c>
      <c r="K845" s="68"/>
      <c r="L845" s="68"/>
      <c r="M845" s="68"/>
      <c r="N845" s="68"/>
      <c r="O845" s="68"/>
      <c r="P845" s="68"/>
      <c r="Q845" s="68">
        <f>SUM(Devis[[#This Row],[Poste 1]:[Poste 6]])</f>
        <v>0</v>
      </c>
      <c r="R845" s="71"/>
      <c r="S845" s="68">
        <f>_xlfn.CEILING.MATH(Devis[[#This Row],[Quantité Totale]],Devis[[#This Row],[Conditionnement]])</f>
        <v>0</v>
      </c>
      <c r="T845" s="97"/>
      <c r="U845" s="73"/>
      <c r="V845" s="74">
        <f>Devis[[#This Row],[Prix de Revient]]*Devis[[#This Row],[Poste 1]]</f>
        <v>0</v>
      </c>
      <c r="W845" s="74">
        <f>Devis[[#This Row],[Prix de Revient]]*Devis[[#This Row],[Poste 2]]</f>
        <v>0</v>
      </c>
      <c r="X845" s="74">
        <f>Devis[[#This Row],[Prix de Revient]]*Devis[[#This Row],[Poste 3]]</f>
        <v>0</v>
      </c>
      <c r="Y845" s="74">
        <f>Devis[[#This Row],[Poste 4]]*Devis[[#This Row],[Prix de Revient]]</f>
        <v>0</v>
      </c>
      <c r="Z845" s="74">
        <f>Devis[[#This Row],[Poste 5]]*Devis[[#This Row],[Prix de Revient]]</f>
        <v>0</v>
      </c>
      <c r="AA845" s="74">
        <f>Devis[[#This Row],[Prix de Revient]]*Devis[[#This Row],[Poste 6]]</f>
        <v>0</v>
      </c>
      <c r="AB845" s="74">
        <f>Devis[[#This Row],[Quantité Totale]]*Devis[[#This Row],[Prix de Revient]]</f>
        <v>0</v>
      </c>
    </row>
    <row r="846" spans="1:28" ht="14.25" outlineLevel="1" x14ac:dyDescent="0.2">
      <c r="A846" s="75" t="s">
        <v>356</v>
      </c>
      <c r="B846" s="76" t="s">
        <v>373</v>
      </c>
      <c r="C846" s="75"/>
      <c r="D846" s="81" t="str">
        <f t="shared" si="14"/>
        <v xml:space="preserve">FixationCapuchon de securité </v>
      </c>
      <c r="E846" s="75" t="s">
        <v>375</v>
      </c>
      <c r="F846" s="81">
        <v>2</v>
      </c>
      <c r="G846" s="71" t="s">
        <v>376</v>
      </c>
      <c r="H846" s="71"/>
      <c r="I846" s="71"/>
      <c r="J846" s="70">
        <f>IFERROR(VLOOKUP(Devis[[#This Row],[Ref Air Flux]],#REF!,3,FALSE),0)</f>
        <v>0</v>
      </c>
      <c r="K846" s="68"/>
      <c r="L846" s="68"/>
      <c r="M846" s="68"/>
      <c r="N846" s="68"/>
      <c r="O846" s="68"/>
      <c r="P846" s="68"/>
      <c r="Q846" s="68">
        <f>SUM(Devis[[#This Row],[Poste 1]:[Poste 6]])</f>
        <v>0</v>
      </c>
      <c r="R846" s="71"/>
      <c r="S846" s="68">
        <f>_xlfn.CEILING.MATH(Devis[[#This Row],[Quantité Totale]],Devis[[#This Row],[Conditionnement]])</f>
        <v>0</v>
      </c>
      <c r="T846" s="97"/>
      <c r="U846" s="73"/>
      <c r="V846" s="74">
        <f>Devis[[#This Row],[Prix de Revient]]*Devis[[#This Row],[Poste 1]]</f>
        <v>0</v>
      </c>
      <c r="W846" s="74">
        <f>Devis[[#This Row],[Prix de Revient]]*Devis[[#This Row],[Poste 2]]</f>
        <v>0</v>
      </c>
      <c r="X846" s="74">
        <f>Devis[[#This Row],[Prix de Revient]]*Devis[[#This Row],[Poste 3]]</f>
        <v>0</v>
      </c>
      <c r="Y846" s="74">
        <f>Devis[[#This Row],[Poste 4]]*Devis[[#This Row],[Prix de Revient]]</f>
        <v>0</v>
      </c>
      <c r="Z846" s="74">
        <f>Devis[[#This Row],[Poste 5]]*Devis[[#This Row],[Prix de Revient]]</f>
        <v>0</v>
      </c>
      <c r="AA846" s="74">
        <f>Devis[[#This Row],[Prix de Revient]]*Devis[[#This Row],[Poste 6]]</f>
        <v>0</v>
      </c>
      <c r="AB846" s="74">
        <f>Devis[[#This Row],[Quantité Totale]]*Devis[[#This Row],[Prix de Revient]]</f>
        <v>0</v>
      </c>
    </row>
    <row r="847" spans="1:28" ht="14.25" outlineLevel="1" x14ac:dyDescent="0.2">
      <c r="A847" s="75" t="s">
        <v>356</v>
      </c>
      <c r="B847" s="76" t="s">
        <v>373</v>
      </c>
      <c r="C847" s="75"/>
      <c r="D847" s="81" t="str">
        <f t="shared" si="14"/>
        <v xml:space="preserve">FixationCapuchon de securité </v>
      </c>
      <c r="E847" s="75" t="s">
        <v>377</v>
      </c>
      <c r="F847" s="81">
        <v>3</v>
      </c>
      <c r="G847" s="71">
        <v>32921</v>
      </c>
      <c r="H847" s="71"/>
      <c r="I847" s="71" t="s">
        <v>378</v>
      </c>
      <c r="J847" s="70">
        <f>IFERROR(VLOOKUP(Devis[[#This Row],[Ref Air Flux]],#REF!,3,FALSE),0)</f>
        <v>0</v>
      </c>
      <c r="K847" s="68"/>
      <c r="L847" s="68"/>
      <c r="M847" s="68"/>
      <c r="N847" s="68"/>
      <c r="O847" s="68"/>
      <c r="P847" s="68"/>
      <c r="Q847" s="68">
        <f>SUM(Devis[[#This Row],[Poste 1]:[Poste 6]])</f>
        <v>0</v>
      </c>
      <c r="R847" s="71"/>
      <c r="S847" s="68">
        <f>_xlfn.CEILING.MATH(Devis[[#This Row],[Quantité Totale]],Devis[[#This Row],[Conditionnement]])</f>
        <v>0</v>
      </c>
      <c r="T847" s="97"/>
      <c r="U847" s="73"/>
      <c r="V847" s="74">
        <f>Devis[[#This Row],[Prix de Revient]]*Devis[[#This Row],[Poste 1]]</f>
        <v>0</v>
      </c>
      <c r="W847" s="74">
        <f>Devis[[#This Row],[Prix de Revient]]*Devis[[#This Row],[Poste 2]]</f>
        <v>0</v>
      </c>
      <c r="X847" s="74">
        <f>Devis[[#This Row],[Prix de Revient]]*Devis[[#This Row],[Poste 3]]</f>
        <v>0</v>
      </c>
      <c r="Y847" s="74">
        <f>Devis[[#This Row],[Poste 4]]*Devis[[#This Row],[Prix de Revient]]</f>
        <v>0</v>
      </c>
      <c r="Z847" s="74">
        <f>Devis[[#This Row],[Poste 5]]*Devis[[#This Row],[Prix de Revient]]</f>
        <v>0</v>
      </c>
      <c r="AA847" s="74">
        <f>Devis[[#This Row],[Prix de Revient]]*Devis[[#This Row],[Poste 6]]</f>
        <v>0</v>
      </c>
      <c r="AB847" s="74">
        <f>Devis[[#This Row],[Quantité Totale]]*Devis[[#This Row],[Prix de Revient]]</f>
        <v>0</v>
      </c>
    </row>
    <row r="848" spans="1:28" ht="14.25" customHeight="1" x14ac:dyDescent="0.25">
      <c r="A848" s="65" t="s">
        <v>356</v>
      </c>
      <c r="B848" s="65" t="s">
        <v>379</v>
      </c>
      <c r="C848" s="76"/>
      <c r="D848" s="81" t="str">
        <f t="shared" si="14"/>
        <v>FixationChainette</v>
      </c>
      <c r="E848" s="76"/>
      <c r="F848" s="81">
        <v>0</v>
      </c>
      <c r="G848" s="71"/>
      <c r="H848" s="71"/>
      <c r="I848" s="71"/>
      <c r="J848" s="70">
        <f>IFERROR(VLOOKUP(Devis[[#This Row],[Ref Air Flux]],#REF!,3,FALSE),0)</f>
        <v>0</v>
      </c>
      <c r="K848" s="68"/>
      <c r="L848" s="68"/>
      <c r="M848" s="68"/>
      <c r="N848" s="68"/>
      <c r="O848" s="68"/>
      <c r="P848" s="68"/>
      <c r="Q848" s="68">
        <f>SUM(Devis[[#This Row],[Poste 1]:[Poste 6]])</f>
        <v>0</v>
      </c>
      <c r="R848" s="71"/>
      <c r="S848" s="68">
        <f>_xlfn.CEILING.MATH(Devis[[#This Row],[Quantité Totale]],Devis[[#This Row],[Conditionnement]])</f>
        <v>0</v>
      </c>
      <c r="T848" s="97"/>
      <c r="U848" s="73"/>
      <c r="V848" s="74">
        <f>Devis[[#This Row],[Prix de Revient]]*Devis[[#This Row],[Poste 1]]</f>
        <v>0</v>
      </c>
      <c r="W848" s="74">
        <f>Devis[[#This Row],[Prix de Revient]]*Devis[[#This Row],[Poste 2]]</f>
        <v>0</v>
      </c>
      <c r="X848" s="74">
        <f>Devis[[#This Row],[Prix de Revient]]*Devis[[#This Row],[Poste 3]]</f>
        <v>0</v>
      </c>
      <c r="Y848" s="74">
        <f>Devis[[#This Row],[Poste 4]]*Devis[[#This Row],[Prix de Revient]]</f>
        <v>0</v>
      </c>
      <c r="Z848" s="74">
        <f>Devis[[#This Row],[Poste 5]]*Devis[[#This Row],[Prix de Revient]]</f>
        <v>0</v>
      </c>
      <c r="AA848" s="74">
        <f>Devis[[#This Row],[Prix de Revient]]*Devis[[#This Row],[Poste 6]]</f>
        <v>0</v>
      </c>
      <c r="AB848" s="74">
        <f>Devis[[#This Row],[Quantité Totale]]*Devis[[#This Row],[Prix de Revient]]</f>
        <v>0</v>
      </c>
    </row>
    <row r="849" spans="1:28" ht="14.25" customHeight="1" outlineLevel="1" x14ac:dyDescent="0.2">
      <c r="A849" s="75" t="s">
        <v>356</v>
      </c>
      <c r="B849" s="76" t="s">
        <v>379</v>
      </c>
      <c r="C849" s="76"/>
      <c r="D849" s="81" t="e">
        <f>#REF!&amp;B849&amp;C849</f>
        <v>#REF!</v>
      </c>
      <c r="E849" s="75" t="s">
        <v>6490</v>
      </c>
      <c r="F849" s="76">
        <v>1</v>
      </c>
      <c r="G849" s="71" t="s">
        <v>6432</v>
      </c>
      <c r="H849" s="71" t="s">
        <v>3678</v>
      </c>
      <c r="I849" s="71" t="s">
        <v>6433</v>
      </c>
      <c r="J849" s="70">
        <f>IFERROR(VLOOKUP(Devis[[#This Row],[Ref Air Flux]],#REF!,3,FALSE),0)</f>
        <v>0</v>
      </c>
      <c r="K849" s="68"/>
      <c r="L849" s="68"/>
      <c r="M849" s="68"/>
      <c r="N849" s="68"/>
      <c r="O849" s="68"/>
      <c r="P849" s="68"/>
      <c r="Q849" s="68">
        <f>SUM(Devis[[#This Row],[Poste 1]:[Poste 6]])</f>
        <v>0</v>
      </c>
      <c r="R849" s="71"/>
      <c r="S849" s="68">
        <f>_xlfn.CEILING.MATH(Devis[[#This Row],[Quantité Totale]],Devis[[#This Row],[Conditionnement]])</f>
        <v>0</v>
      </c>
      <c r="T849" s="72"/>
      <c r="U849" s="73"/>
      <c r="V849" s="74">
        <f>Devis[[#This Row],[Prix de Revient]]*Devis[[#This Row],[Poste 1]]</f>
        <v>0</v>
      </c>
      <c r="W849" s="74">
        <f>Devis[[#This Row],[Prix de Revient]]*Devis[[#This Row],[Poste 2]]</f>
        <v>0</v>
      </c>
      <c r="X849" s="74">
        <f>Devis[[#This Row],[Prix de Revient]]*Devis[[#This Row],[Poste 3]]</f>
        <v>0</v>
      </c>
      <c r="Y849" s="74">
        <f>Devis[[#This Row],[Poste 4]]*Devis[[#This Row],[Prix de Revient]]</f>
        <v>0</v>
      </c>
      <c r="Z849" s="74">
        <f>Devis[[#This Row],[Poste 5]]*Devis[[#This Row],[Prix de Revient]]</f>
        <v>0</v>
      </c>
      <c r="AA849" s="74">
        <f>Devis[[#This Row],[Prix de Revient]]*Devis[[#This Row],[Poste 6]]</f>
        <v>0</v>
      </c>
      <c r="AB849" s="74">
        <f>Devis[[#This Row],[Quantité Totale]]*Devis[[#This Row],[Prix de Revient]]</f>
        <v>0</v>
      </c>
    </row>
    <row r="850" spans="1:28" ht="14.25" outlineLevel="1" x14ac:dyDescent="0.2">
      <c r="A850" s="75" t="s">
        <v>356</v>
      </c>
      <c r="B850" s="76" t="s">
        <v>379</v>
      </c>
      <c r="C850" s="75"/>
      <c r="D850" s="81" t="str">
        <f>A849&amp;B850&amp;C850</f>
        <v>FixationChainette</v>
      </c>
      <c r="E850" s="75" t="s">
        <v>5100</v>
      </c>
      <c r="F850" s="81">
        <v>2</v>
      </c>
      <c r="G850" s="71" t="s">
        <v>380</v>
      </c>
      <c r="H850" s="71"/>
      <c r="I850" s="71" t="s">
        <v>381</v>
      </c>
      <c r="J850" s="70">
        <f>IFERROR(VLOOKUP(Devis[[#This Row],[Ref Air Flux]],#REF!,3,FALSE),0)</f>
        <v>0</v>
      </c>
      <c r="K850" s="68"/>
      <c r="L850" s="68"/>
      <c r="M850" s="68"/>
      <c r="N850" s="68"/>
      <c r="O850" s="68"/>
      <c r="P850" s="68"/>
      <c r="Q850" s="68">
        <f>SUM(Devis[[#This Row],[Poste 1]:[Poste 6]])</f>
        <v>0</v>
      </c>
      <c r="R850" s="71"/>
      <c r="S850" s="68">
        <f>_xlfn.CEILING.MATH(Devis[[#This Row],[Quantité Totale]],Devis[[#This Row],[Conditionnement]])</f>
        <v>0</v>
      </c>
      <c r="T850" s="97"/>
      <c r="U850" s="73"/>
      <c r="V850" s="74">
        <f>Devis[[#This Row],[Prix de Revient]]*Devis[[#This Row],[Poste 1]]</f>
        <v>0</v>
      </c>
      <c r="W850" s="74">
        <f>Devis[[#This Row],[Prix de Revient]]*Devis[[#This Row],[Poste 2]]</f>
        <v>0</v>
      </c>
      <c r="X850" s="74">
        <f>Devis[[#This Row],[Prix de Revient]]*Devis[[#This Row],[Poste 3]]</f>
        <v>0</v>
      </c>
      <c r="Y850" s="74">
        <f>Devis[[#This Row],[Poste 4]]*Devis[[#This Row],[Prix de Revient]]</f>
        <v>0</v>
      </c>
      <c r="Z850" s="74">
        <f>Devis[[#This Row],[Poste 5]]*Devis[[#This Row],[Prix de Revient]]</f>
        <v>0</v>
      </c>
      <c r="AA850" s="74">
        <f>Devis[[#This Row],[Prix de Revient]]*Devis[[#This Row],[Poste 6]]</f>
        <v>0</v>
      </c>
      <c r="AB850" s="74">
        <f>Devis[[#This Row],[Quantité Totale]]*Devis[[#This Row],[Prix de Revient]]</f>
        <v>0</v>
      </c>
    </row>
    <row r="851" spans="1:28" ht="14.25" outlineLevel="1" x14ac:dyDescent="0.2">
      <c r="A851" s="75" t="s">
        <v>356</v>
      </c>
      <c r="B851" s="76" t="s">
        <v>379</v>
      </c>
      <c r="C851" s="76" t="s">
        <v>6506</v>
      </c>
      <c r="D851" s="81" t="str">
        <f>A851&amp;B851&amp;C851</f>
        <v>FixationChainettepiton</v>
      </c>
      <c r="E851" s="76" t="s">
        <v>6509</v>
      </c>
      <c r="F851" s="76">
        <v>3</v>
      </c>
      <c r="G851" s="71" t="s">
        <v>6507</v>
      </c>
      <c r="H851" s="71"/>
      <c r="I851" s="71"/>
      <c r="J851" s="70">
        <f>IFERROR(VLOOKUP(Devis[[#This Row],[Ref Air Flux]],#REF!,3,FALSE),0)</f>
        <v>0</v>
      </c>
      <c r="K851" s="68"/>
      <c r="L851" s="68"/>
      <c r="M851" s="68"/>
      <c r="N851" s="68"/>
      <c r="O851" s="68"/>
      <c r="P851" s="68"/>
      <c r="Q851" s="68">
        <f>SUM(Devis[[#This Row],[Poste 1]:[Poste 6]])</f>
        <v>0</v>
      </c>
      <c r="R851" s="71"/>
      <c r="S851" s="68">
        <f>_xlfn.CEILING.MATH(Devis[[#This Row],[Quantité Totale]],Devis[[#This Row],[Conditionnement]])</f>
        <v>0</v>
      </c>
      <c r="T851" s="72"/>
      <c r="U851" s="73"/>
      <c r="V851" s="74">
        <f>Devis[[#This Row],[Prix de Revient]]*Devis[[#This Row],[Poste 1]]</f>
        <v>0</v>
      </c>
      <c r="W851" s="74">
        <f>Devis[[#This Row],[Prix de Revient]]*Devis[[#This Row],[Poste 2]]</f>
        <v>0</v>
      </c>
      <c r="X851" s="74">
        <f>Devis[[#This Row],[Prix de Revient]]*Devis[[#This Row],[Poste 3]]</f>
        <v>0</v>
      </c>
      <c r="Y851" s="74">
        <f>Devis[[#This Row],[Poste 4]]*Devis[[#This Row],[Prix de Revient]]</f>
        <v>0</v>
      </c>
      <c r="Z851" s="74">
        <f>Devis[[#This Row],[Poste 5]]*Devis[[#This Row],[Prix de Revient]]</f>
        <v>0</v>
      </c>
      <c r="AA851" s="74">
        <f>Devis[[#This Row],[Prix de Revient]]*Devis[[#This Row],[Poste 6]]</f>
        <v>0</v>
      </c>
      <c r="AB851" s="74">
        <f>Devis[[#This Row],[Quantité Totale]]*Devis[[#This Row],[Prix de Revient]]</f>
        <v>0</v>
      </c>
    </row>
    <row r="852" spans="1:28" ht="14.25" outlineLevel="1" x14ac:dyDescent="0.2">
      <c r="A852" s="75" t="s">
        <v>356</v>
      </c>
      <c r="B852" s="76" t="s">
        <v>379</v>
      </c>
      <c r="C852" s="76" t="s">
        <v>6506</v>
      </c>
      <c r="D852" s="81" t="str">
        <f>A852&amp;B852&amp;C852</f>
        <v>FixationChainettepiton</v>
      </c>
      <c r="E852" s="76" t="s">
        <v>6510</v>
      </c>
      <c r="F852" s="76">
        <v>4</v>
      </c>
      <c r="G852" s="71" t="s">
        <v>6508</v>
      </c>
      <c r="H852" s="71"/>
      <c r="I852" s="71"/>
      <c r="J852" s="70">
        <f>IFERROR(VLOOKUP(Devis[[#This Row],[Ref Air Flux]],#REF!,3,FALSE),0)</f>
        <v>0</v>
      </c>
      <c r="K852" s="68"/>
      <c r="L852" s="68"/>
      <c r="M852" s="68"/>
      <c r="N852" s="68"/>
      <c r="O852" s="68"/>
      <c r="P852" s="68"/>
      <c r="Q852" s="68">
        <f>SUM(Devis[[#This Row],[Poste 1]:[Poste 6]])</f>
        <v>0</v>
      </c>
      <c r="R852" s="71"/>
      <c r="S852" s="68">
        <f>_xlfn.CEILING.MATH(Devis[[#This Row],[Quantité Totale]],Devis[[#This Row],[Conditionnement]])</f>
        <v>0</v>
      </c>
      <c r="T852" s="72"/>
      <c r="U852" s="73"/>
      <c r="V852" s="74">
        <f>Devis[[#This Row],[Prix de Revient]]*Devis[[#This Row],[Poste 1]]</f>
        <v>0</v>
      </c>
      <c r="W852" s="74">
        <f>Devis[[#This Row],[Prix de Revient]]*Devis[[#This Row],[Poste 2]]</f>
        <v>0</v>
      </c>
      <c r="X852" s="74">
        <f>Devis[[#This Row],[Prix de Revient]]*Devis[[#This Row],[Poste 3]]</f>
        <v>0</v>
      </c>
      <c r="Y852" s="74">
        <f>Devis[[#This Row],[Poste 4]]*Devis[[#This Row],[Prix de Revient]]</f>
        <v>0</v>
      </c>
      <c r="Z852" s="74">
        <f>Devis[[#This Row],[Poste 5]]*Devis[[#This Row],[Prix de Revient]]</f>
        <v>0</v>
      </c>
      <c r="AA852" s="74">
        <f>Devis[[#This Row],[Prix de Revient]]*Devis[[#This Row],[Poste 6]]</f>
        <v>0</v>
      </c>
      <c r="AB852" s="74">
        <f>Devis[[#This Row],[Quantité Totale]]*Devis[[#This Row],[Prix de Revient]]</f>
        <v>0</v>
      </c>
    </row>
    <row r="853" spans="1:28" ht="14.25" customHeight="1" x14ac:dyDescent="0.25">
      <c r="A853" s="65" t="s">
        <v>356</v>
      </c>
      <c r="B853" s="65" t="s">
        <v>382</v>
      </c>
      <c r="C853" s="76"/>
      <c r="D853" s="81" t="str">
        <f t="shared" si="14"/>
        <v>FixationChevilles</v>
      </c>
      <c r="E853" s="76"/>
      <c r="F853" s="81">
        <v>0</v>
      </c>
      <c r="G853" s="71"/>
      <c r="H853" s="71"/>
      <c r="I853" s="71"/>
      <c r="J853" s="70">
        <f>IFERROR(VLOOKUP(Devis[[#This Row],[Ref Air Flux]],#REF!,3,FALSE),0)</f>
        <v>0</v>
      </c>
      <c r="K853" s="68"/>
      <c r="L853" s="68"/>
      <c r="M853" s="68"/>
      <c r="N853" s="68"/>
      <c r="O853" s="68"/>
      <c r="P853" s="68"/>
      <c r="Q853" s="68">
        <f>SUM(Devis[[#This Row],[Poste 1]:[Poste 6]])</f>
        <v>0</v>
      </c>
      <c r="R853" s="71"/>
      <c r="S853" s="68">
        <f>_xlfn.CEILING.MATH(Devis[[#This Row],[Quantité Totale]],Devis[[#This Row],[Conditionnement]])</f>
        <v>0</v>
      </c>
      <c r="T853" s="97"/>
      <c r="U853" s="73"/>
      <c r="V853" s="74">
        <f>Devis[[#This Row],[Prix de Revient]]*Devis[[#This Row],[Poste 1]]</f>
        <v>0</v>
      </c>
      <c r="W853" s="74">
        <f>Devis[[#This Row],[Prix de Revient]]*Devis[[#This Row],[Poste 2]]</f>
        <v>0</v>
      </c>
      <c r="X853" s="74">
        <f>Devis[[#This Row],[Prix de Revient]]*Devis[[#This Row],[Poste 3]]</f>
        <v>0</v>
      </c>
      <c r="Y853" s="74">
        <f>Devis[[#This Row],[Poste 4]]*Devis[[#This Row],[Prix de Revient]]</f>
        <v>0</v>
      </c>
      <c r="Z853" s="74">
        <f>Devis[[#This Row],[Poste 5]]*Devis[[#This Row],[Prix de Revient]]</f>
        <v>0</v>
      </c>
      <c r="AA853" s="74">
        <f>Devis[[#This Row],[Prix de Revient]]*Devis[[#This Row],[Poste 6]]</f>
        <v>0</v>
      </c>
      <c r="AB853" s="74">
        <f>Devis[[#This Row],[Quantité Totale]]*Devis[[#This Row],[Prix de Revient]]</f>
        <v>0</v>
      </c>
    </row>
    <row r="854" spans="1:28" ht="14.25" customHeight="1" outlineLevel="1" x14ac:dyDescent="0.2">
      <c r="A854" s="75" t="s">
        <v>356</v>
      </c>
      <c r="B854" s="76" t="s">
        <v>382</v>
      </c>
      <c r="C854" s="75" t="s">
        <v>6444</v>
      </c>
      <c r="D854" s="81" t="str">
        <f>A854&amp;B854&amp;C854</f>
        <v>FixationChevillesCheville Plastique</v>
      </c>
      <c r="E854" t="s">
        <v>6445</v>
      </c>
      <c r="F854" s="76">
        <v>1</v>
      </c>
      <c r="G854" s="164">
        <v>30226</v>
      </c>
      <c r="H854" s="71"/>
      <c r="I854" s="71"/>
      <c r="J854" s="70">
        <f>IFERROR(VLOOKUP(Devis[[#This Row],[Ref Air Flux]],#REF!,3,FALSE),0)</f>
        <v>0</v>
      </c>
      <c r="K854" s="68"/>
      <c r="L854" s="68"/>
      <c r="M854" s="68"/>
      <c r="N854" s="68"/>
      <c r="O854" s="68"/>
      <c r="P854" s="68"/>
      <c r="Q854" s="68">
        <f>SUM(Devis[[#This Row],[Poste 1]:[Poste 6]])</f>
        <v>0</v>
      </c>
      <c r="R854" s="71"/>
      <c r="S854" s="68">
        <f>_xlfn.CEILING.MATH(Devis[[#This Row],[Quantité Totale]],Devis[[#This Row],[Conditionnement]])</f>
        <v>0</v>
      </c>
      <c r="T854" s="72"/>
      <c r="U854" s="73"/>
      <c r="V854" s="74">
        <f>Devis[[#This Row],[Prix de Revient]]*Devis[[#This Row],[Poste 1]]</f>
        <v>0</v>
      </c>
      <c r="W854" s="74">
        <f>Devis[[#This Row],[Prix de Revient]]*Devis[[#This Row],[Poste 2]]</f>
        <v>0</v>
      </c>
      <c r="X854" s="74">
        <f>Devis[[#This Row],[Prix de Revient]]*Devis[[#This Row],[Poste 3]]</f>
        <v>0</v>
      </c>
      <c r="Y854" s="74">
        <f>Devis[[#This Row],[Poste 4]]*Devis[[#This Row],[Prix de Revient]]</f>
        <v>0</v>
      </c>
      <c r="Z854" s="74">
        <f>Devis[[#This Row],[Poste 5]]*Devis[[#This Row],[Prix de Revient]]</f>
        <v>0</v>
      </c>
      <c r="AA854" s="74">
        <f>Devis[[#This Row],[Prix de Revient]]*Devis[[#This Row],[Poste 6]]</f>
        <v>0</v>
      </c>
      <c r="AB854" s="74">
        <f>Devis[[#This Row],[Quantité Totale]]*Devis[[#This Row],[Prix de Revient]]</f>
        <v>0</v>
      </c>
    </row>
    <row r="855" spans="1:28" ht="14.25" outlineLevel="1" x14ac:dyDescent="0.2">
      <c r="A855" s="75" t="s">
        <v>356</v>
      </c>
      <c r="B855" s="76" t="s">
        <v>382</v>
      </c>
      <c r="C855" s="75" t="s">
        <v>6444</v>
      </c>
      <c r="D855" s="81" t="str">
        <f t="shared" si="14"/>
        <v>FixationChevillesCheville Plastique</v>
      </c>
      <c r="E855" s="75" t="s">
        <v>383</v>
      </c>
      <c r="F855" s="81">
        <v>2</v>
      </c>
      <c r="G855" s="71">
        <v>13978</v>
      </c>
      <c r="H855" s="71"/>
      <c r="I855" s="71" t="s">
        <v>384</v>
      </c>
      <c r="J855" s="70">
        <f>IFERROR(VLOOKUP(Devis[[#This Row],[Ref Air Flux]],#REF!,3,FALSE),0)</f>
        <v>0</v>
      </c>
      <c r="K855" s="68"/>
      <c r="L855" s="68"/>
      <c r="M855" s="68"/>
      <c r="N855" s="68"/>
      <c r="O855" s="68"/>
      <c r="P855" s="68"/>
      <c r="Q855" s="68">
        <f>SUM(Devis[[#This Row],[Poste 1]:[Poste 6]])</f>
        <v>0</v>
      </c>
      <c r="R855" s="71"/>
      <c r="S855" s="68">
        <f>_xlfn.CEILING.MATH(Devis[[#This Row],[Quantité Totale]],Devis[[#This Row],[Conditionnement]])</f>
        <v>0</v>
      </c>
      <c r="T855" s="97"/>
      <c r="U855" s="73"/>
      <c r="V855" s="74">
        <f>Devis[[#This Row],[Prix de Revient]]*Devis[[#This Row],[Poste 1]]</f>
        <v>0</v>
      </c>
      <c r="W855" s="74">
        <f>Devis[[#This Row],[Prix de Revient]]*Devis[[#This Row],[Poste 2]]</f>
        <v>0</v>
      </c>
      <c r="X855" s="74">
        <f>Devis[[#This Row],[Prix de Revient]]*Devis[[#This Row],[Poste 3]]</f>
        <v>0</v>
      </c>
      <c r="Y855" s="74">
        <f>Devis[[#This Row],[Poste 4]]*Devis[[#This Row],[Prix de Revient]]</f>
        <v>0</v>
      </c>
      <c r="Z855" s="74">
        <f>Devis[[#This Row],[Poste 5]]*Devis[[#This Row],[Prix de Revient]]</f>
        <v>0</v>
      </c>
      <c r="AA855" s="74">
        <f>Devis[[#This Row],[Prix de Revient]]*Devis[[#This Row],[Poste 6]]</f>
        <v>0</v>
      </c>
      <c r="AB855" s="74">
        <f>Devis[[#This Row],[Quantité Totale]]*Devis[[#This Row],[Prix de Revient]]</f>
        <v>0</v>
      </c>
    </row>
    <row r="856" spans="1:28" ht="14.25" customHeight="1" outlineLevel="1" x14ac:dyDescent="0.2">
      <c r="A856" s="75" t="s">
        <v>356</v>
      </c>
      <c r="B856" s="76" t="s">
        <v>382</v>
      </c>
      <c r="C856" s="75" t="s">
        <v>6444</v>
      </c>
      <c r="D856" s="81" t="str">
        <f t="shared" si="14"/>
        <v>FixationChevillesCheville Plastique</v>
      </c>
      <c r="E856" s="75" t="s">
        <v>385</v>
      </c>
      <c r="F856" s="81">
        <v>3</v>
      </c>
      <c r="G856" s="71">
        <v>30252</v>
      </c>
      <c r="H856" s="71"/>
      <c r="I856" s="71" t="s">
        <v>386</v>
      </c>
      <c r="J856" s="70">
        <f>IFERROR(VLOOKUP(Devis[[#This Row],[Ref Air Flux]],#REF!,3,FALSE),0)</f>
        <v>0</v>
      </c>
      <c r="K856" s="68"/>
      <c r="L856" s="68"/>
      <c r="M856" s="68"/>
      <c r="N856" s="68"/>
      <c r="O856" s="68"/>
      <c r="P856" s="68"/>
      <c r="Q856" s="68">
        <f>SUM(Devis[[#This Row],[Poste 1]:[Poste 6]])</f>
        <v>0</v>
      </c>
      <c r="R856" s="71"/>
      <c r="S856" s="68">
        <f>_xlfn.CEILING.MATH(Devis[[#This Row],[Quantité Totale]],Devis[[#This Row],[Conditionnement]])</f>
        <v>0</v>
      </c>
      <c r="T856" s="97"/>
      <c r="U856" s="73"/>
      <c r="V856" s="74">
        <f>Devis[[#This Row],[Prix de Revient]]*Devis[[#This Row],[Poste 1]]</f>
        <v>0</v>
      </c>
      <c r="W856" s="74">
        <f>Devis[[#This Row],[Prix de Revient]]*Devis[[#This Row],[Poste 2]]</f>
        <v>0</v>
      </c>
      <c r="X856" s="74">
        <f>Devis[[#This Row],[Prix de Revient]]*Devis[[#This Row],[Poste 3]]</f>
        <v>0</v>
      </c>
      <c r="Y856" s="74">
        <f>Devis[[#This Row],[Poste 4]]*Devis[[#This Row],[Prix de Revient]]</f>
        <v>0</v>
      </c>
      <c r="Z856" s="74">
        <f>Devis[[#This Row],[Poste 5]]*Devis[[#This Row],[Prix de Revient]]</f>
        <v>0</v>
      </c>
      <c r="AA856" s="74">
        <f>Devis[[#This Row],[Prix de Revient]]*Devis[[#This Row],[Poste 6]]</f>
        <v>0</v>
      </c>
      <c r="AB856" s="74">
        <f>Devis[[#This Row],[Quantité Totale]]*Devis[[#This Row],[Prix de Revient]]</f>
        <v>0</v>
      </c>
    </row>
    <row r="857" spans="1:28" ht="14.25" customHeight="1" outlineLevel="1" x14ac:dyDescent="0.2">
      <c r="A857" s="75" t="s">
        <v>356</v>
      </c>
      <c r="B857" s="76" t="s">
        <v>382</v>
      </c>
      <c r="C857" s="75" t="s">
        <v>6444</v>
      </c>
      <c r="D857" s="81" t="str">
        <f t="shared" si="14"/>
        <v>FixationChevillesCheville Plastique</v>
      </c>
      <c r="E857" s="75" t="s">
        <v>387</v>
      </c>
      <c r="F857" s="81">
        <v>4</v>
      </c>
      <c r="G857" s="71">
        <v>29645</v>
      </c>
      <c r="H857" s="71"/>
      <c r="I857" s="71" t="s">
        <v>388</v>
      </c>
      <c r="J857" s="70">
        <f>IFERROR(VLOOKUP(Devis[[#This Row],[Ref Air Flux]],#REF!,3,FALSE),0)</f>
        <v>0</v>
      </c>
      <c r="K857" s="68"/>
      <c r="L857" s="68"/>
      <c r="M857" s="68"/>
      <c r="N857" s="68"/>
      <c r="O857" s="68"/>
      <c r="P857" s="68"/>
      <c r="Q857" s="68">
        <f>SUM(Devis[[#This Row],[Poste 1]:[Poste 6]])</f>
        <v>0</v>
      </c>
      <c r="R857" s="71"/>
      <c r="S857" s="68">
        <f>_xlfn.CEILING.MATH(Devis[[#This Row],[Quantité Totale]],Devis[[#This Row],[Conditionnement]])</f>
        <v>0</v>
      </c>
      <c r="T857" s="97"/>
      <c r="U857" s="73"/>
      <c r="V857" s="74">
        <f>Devis[[#This Row],[Prix de Revient]]*Devis[[#This Row],[Poste 1]]</f>
        <v>0</v>
      </c>
      <c r="W857" s="74">
        <f>Devis[[#This Row],[Prix de Revient]]*Devis[[#This Row],[Poste 2]]</f>
        <v>0</v>
      </c>
      <c r="X857" s="74">
        <f>Devis[[#This Row],[Prix de Revient]]*Devis[[#This Row],[Poste 3]]</f>
        <v>0</v>
      </c>
      <c r="Y857" s="74">
        <f>Devis[[#This Row],[Poste 4]]*Devis[[#This Row],[Prix de Revient]]</f>
        <v>0</v>
      </c>
      <c r="Z857" s="74">
        <f>Devis[[#This Row],[Poste 5]]*Devis[[#This Row],[Prix de Revient]]</f>
        <v>0</v>
      </c>
      <c r="AA857" s="74">
        <f>Devis[[#This Row],[Prix de Revient]]*Devis[[#This Row],[Poste 6]]</f>
        <v>0</v>
      </c>
      <c r="AB857" s="74">
        <f>Devis[[#This Row],[Quantité Totale]]*Devis[[#This Row],[Prix de Revient]]</f>
        <v>0</v>
      </c>
    </row>
    <row r="858" spans="1:28" ht="14.25" customHeight="1" outlineLevel="1" x14ac:dyDescent="0.2">
      <c r="A858" s="75" t="s">
        <v>356</v>
      </c>
      <c r="B858" s="76" t="s">
        <v>382</v>
      </c>
      <c r="C858" s="75" t="s">
        <v>6441</v>
      </c>
      <c r="D858" s="81" t="str">
        <f t="shared" si="14"/>
        <v>FixationChevillesCheville Molly - Placo</v>
      </c>
      <c r="E858" s="75" t="s">
        <v>6442</v>
      </c>
      <c r="F858" s="76">
        <v>5</v>
      </c>
      <c r="G858" s="71" t="s">
        <v>6395</v>
      </c>
      <c r="H858" s="71" t="s">
        <v>3678</v>
      </c>
      <c r="I858" s="71" t="s">
        <v>6396</v>
      </c>
      <c r="J858" s="70">
        <f>IFERROR(VLOOKUP(Devis[[#This Row],[Ref Air Flux]],#REF!,3,FALSE),0)</f>
        <v>0</v>
      </c>
      <c r="K858" s="68"/>
      <c r="L858" s="68"/>
      <c r="M858" s="68"/>
      <c r="N858" s="68"/>
      <c r="O858" s="68"/>
      <c r="P858" s="68"/>
      <c r="Q858" s="68">
        <f>SUM(Devis[[#This Row],[Poste 1]:[Poste 6]])</f>
        <v>0</v>
      </c>
      <c r="R858" s="71"/>
      <c r="S858" s="68">
        <f>_xlfn.CEILING.MATH(Devis[[#This Row],[Quantité Totale]],Devis[[#This Row],[Conditionnement]])</f>
        <v>0</v>
      </c>
      <c r="T858" s="72"/>
      <c r="U858" s="73"/>
      <c r="V858" s="74">
        <f>Devis[[#This Row],[Prix de Revient]]*Devis[[#This Row],[Poste 1]]</f>
        <v>0</v>
      </c>
      <c r="W858" s="74">
        <f>Devis[[#This Row],[Prix de Revient]]*Devis[[#This Row],[Poste 2]]</f>
        <v>0</v>
      </c>
      <c r="X858" s="74">
        <f>Devis[[#This Row],[Prix de Revient]]*Devis[[#This Row],[Poste 3]]</f>
        <v>0</v>
      </c>
      <c r="Y858" s="74">
        <f>Devis[[#This Row],[Poste 4]]*Devis[[#This Row],[Prix de Revient]]</f>
        <v>0</v>
      </c>
      <c r="Z858" s="74">
        <f>Devis[[#This Row],[Poste 5]]*Devis[[#This Row],[Prix de Revient]]</f>
        <v>0</v>
      </c>
      <c r="AA858" s="74">
        <f>Devis[[#This Row],[Prix de Revient]]*Devis[[#This Row],[Poste 6]]</f>
        <v>0</v>
      </c>
      <c r="AB858" s="74">
        <f>Devis[[#This Row],[Quantité Totale]]*Devis[[#This Row],[Prix de Revient]]</f>
        <v>0</v>
      </c>
    </row>
    <row r="859" spans="1:28" ht="14.25" outlineLevel="1" x14ac:dyDescent="0.2">
      <c r="A859" s="75" t="s">
        <v>356</v>
      </c>
      <c r="B859" s="76" t="s">
        <v>382</v>
      </c>
      <c r="C859" s="75" t="s">
        <v>6443</v>
      </c>
      <c r="D859" s="81" t="str">
        <f t="shared" si="14"/>
        <v>FixationChevillesCheville mécanique - Beton</v>
      </c>
      <c r="E859" s="75" t="s">
        <v>390</v>
      </c>
      <c r="F859" s="81">
        <v>6</v>
      </c>
      <c r="G859" s="71">
        <v>22934</v>
      </c>
      <c r="H859" s="71"/>
      <c r="I859" s="71" t="s">
        <v>391</v>
      </c>
      <c r="J859" s="70">
        <f>IFERROR(VLOOKUP(Devis[[#This Row],[Ref Air Flux]],#REF!,3,FALSE),0)</f>
        <v>0</v>
      </c>
      <c r="K859" s="68"/>
      <c r="L859" s="68"/>
      <c r="M859" s="68"/>
      <c r="N859" s="68"/>
      <c r="O859" s="68"/>
      <c r="P859" s="68"/>
      <c r="Q859" s="68">
        <f>SUM(Devis[[#This Row],[Poste 1]:[Poste 6]])</f>
        <v>0</v>
      </c>
      <c r="R859" s="71"/>
      <c r="S859" s="68">
        <f>_xlfn.CEILING.MATH(Devis[[#This Row],[Quantité Totale]],Devis[[#This Row],[Conditionnement]])</f>
        <v>0</v>
      </c>
      <c r="T859" s="97"/>
      <c r="U859" s="73"/>
      <c r="V859" s="74">
        <f>Devis[[#This Row],[Prix de Revient]]*Devis[[#This Row],[Poste 1]]</f>
        <v>0</v>
      </c>
      <c r="W859" s="74">
        <f>Devis[[#This Row],[Prix de Revient]]*Devis[[#This Row],[Poste 2]]</f>
        <v>0</v>
      </c>
      <c r="X859" s="74">
        <f>Devis[[#This Row],[Prix de Revient]]*Devis[[#This Row],[Poste 3]]</f>
        <v>0</v>
      </c>
      <c r="Y859" s="74">
        <f>Devis[[#This Row],[Poste 4]]*Devis[[#This Row],[Prix de Revient]]</f>
        <v>0</v>
      </c>
      <c r="Z859" s="74">
        <f>Devis[[#This Row],[Poste 5]]*Devis[[#This Row],[Prix de Revient]]</f>
        <v>0</v>
      </c>
      <c r="AA859" s="74">
        <f>Devis[[#This Row],[Prix de Revient]]*Devis[[#This Row],[Poste 6]]</f>
        <v>0</v>
      </c>
      <c r="AB859" s="74">
        <f>Devis[[#This Row],[Quantité Totale]]*Devis[[#This Row],[Prix de Revient]]</f>
        <v>0</v>
      </c>
    </row>
    <row r="860" spans="1:28" ht="15" customHeight="1" x14ac:dyDescent="0.25">
      <c r="A860" s="65" t="s">
        <v>356</v>
      </c>
      <c r="B860" s="65" t="s">
        <v>5101</v>
      </c>
      <c r="C860" s="76"/>
      <c r="D860" s="81" t="str">
        <f t="shared" si="14"/>
        <v>FixationColliers pour flexibles</v>
      </c>
      <c r="E860" s="76"/>
      <c r="F860" s="81">
        <v>0</v>
      </c>
      <c r="G860" s="71"/>
      <c r="H860" s="71"/>
      <c r="I860" s="71"/>
      <c r="J860" s="70">
        <f>IFERROR(VLOOKUP(Devis[[#This Row],[Ref Air Flux]],#REF!,3,FALSE),0)</f>
        <v>0</v>
      </c>
      <c r="K860" s="68"/>
      <c r="L860" s="68"/>
      <c r="M860" s="68"/>
      <c r="N860" s="68"/>
      <c r="O860" s="68"/>
      <c r="P860" s="68"/>
      <c r="Q860" s="68">
        <f>SUM(Devis[[#This Row],[Poste 1]:[Poste 6]])</f>
        <v>0</v>
      </c>
      <c r="R860" s="71"/>
      <c r="S860" s="68">
        <f>_xlfn.CEILING.MATH(Devis[[#This Row],[Quantité Totale]],Devis[[#This Row],[Conditionnement]])</f>
        <v>0</v>
      </c>
      <c r="T860" s="97"/>
      <c r="U860" s="73"/>
      <c r="V860" s="74">
        <f>Devis[[#This Row],[Prix de Revient]]*Devis[[#This Row],[Poste 1]]</f>
        <v>0</v>
      </c>
      <c r="W860" s="74">
        <f>Devis[[#This Row],[Prix de Revient]]*Devis[[#This Row],[Poste 2]]</f>
        <v>0</v>
      </c>
      <c r="X860" s="74">
        <f>Devis[[#This Row],[Prix de Revient]]*Devis[[#This Row],[Poste 3]]</f>
        <v>0</v>
      </c>
      <c r="Y860" s="74">
        <f>Devis[[#This Row],[Poste 4]]*Devis[[#This Row],[Prix de Revient]]</f>
        <v>0</v>
      </c>
      <c r="Z860" s="74">
        <f>Devis[[#This Row],[Poste 5]]*Devis[[#This Row],[Prix de Revient]]</f>
        <v>0</v>
      </c>
      <c r="AA860" s="74">
        <f>Devis[[#This Row],[Prix de Revient]]*Devis[[#This Row],[Poste 6]]</f>
        <v>0</v>
      </c>
      <c r="AB860" s="74">
        <f>Devis[[#This Row],[Quantité Totale]]*Devis[[#This Row],[Prix de Revient]]</f>
        <v>0</v>
      </c>
    </row>
    <row r="861" spans="1:28" ht="14.25" customHeight="1" outlineLevel="1" x14ac:dyDescent="0.2">
      <c r="A861" s="75" t="s">
        <v>356</v>
      </c>
      <c r="B861" s="76" t="s">
        <v>5101</v>
      </c>
      <c r="C861" s="75" t="s">
        <v>5102</v>
      </c>
      <c r="D861" s="81" t="str">
        <f t="shared" si="14"/>
        <v>FixationColliers pour flexiblesGriffes</v>
      </c>
      <c r="E861" s="75" t="s">
        <v>420</v>
      </c>
      <c r="F861" s="81">
        <v>1</v>
      </c>
      <c r="G861" s="71" t="s">
        <v>421</v>
      </c>
      <c r="H861" s="71"/>
      <c r="I861" s="71"/>
      <c r="J861" s="70">
        <f>IFERROR(VLOOKUP(Devis[[#This Row],[Ref Air Flux]],#REF!,3,FALSE),0)</f>
        <v>0</v>
      </c>
      <c r="K861" s="68"/>
      <c r="L861" s="68"/>
      <c r="M861" s="68"/>
      <c r="N861" s="68"/>
      <c r="O861" s="68"/>
      <c r="P861" s="68"/>
      <c r="Q861" s="68">
        <f>SUM(Devis[[#This Row],[Poste 1]:[Poste 6]])</f>
        <v>0</v>
      </c>
      <c r="R861" s="71"/>
      <c r="S861" s="68">
        <f>_xlfn.CEILING.MATH(Devis[[#This Row],[Quantité Totale]],Devis[[#This Row],[Conditionnement]])</f>
        <v>0</v>
      </c>
      <c r="T861" s="97"/>
      <c r="U861" s="73"/>
      <c r="V861" s="74">
        <f>Devis[[#This Row],[Prix de Revient]]*Devis[[#This Row],[Poste 1]]</f>
        <v>0</v>
      </c>
      <c r="W861" s="74">
        <f>Devis[[#This Row],[Prix de Revient]]*Devis[[#This Row],[Poste 2]]</f>
        <v>0</v>
      </c>
      <c r="X861" s="74">
        <f>Devis[[#This Row],[Prix de Revient]]*Devis[[#This Row],[Poste 3]]</f>
        <v>0</v>
      </c>
      <c r="Y861" s="74">
        <f>Devis[[#This Row],[Poste 4]]*Devis[[#This Row],[Prix de Revient]]</f>
        <v>0</v>
      </c>
      <c r="Z861" s="74">
        <f>Devis[[#This Row],[Poste 5]]*Devis[[#This Row],[Prix de Revient]]</f>
        <v>0</v>
      </c>
      <c r="AA861" s="74">
        <f>Devis[[#This Row],[Prix de Revient]]*Devis[[#This Row],[Poste 6]]</f>
        <v>0</v>
      </c>
      <c r="AB861" s="74">
        <f>Devis[[#This Row],[Quantité Totale]]*Devis[[#This Row],[Prix de Revient]]</f>
        <v>0</v>
      </c>
    </row>
    <row r="862" spans="1:28" ht="14.25" outlineLevel="1" x14ac:dyDescent="0.2">
      <c r="A862" s="75" t="s">
        <v>356</v>
      </c>
      <c r="B862" s="76" t="s">
        <v>5101</v>
      </c>
      <c r="C862" s="75" t="s">
        <v>5102</v>
      </c>
      <c r="D862" s="81" t="str">
        <f t="shared" si="14"/>
        <v>FixationColliers pour flexiblesGriffes</v>
      </c>
      <c r="E862" s="75" t="s">
        <v>422</v>
      </c>
      <c r="F862" s="81">
        <v>2</v>
      </c>
      <c r="G862" s="71" t="s">
        <v>423</v>
      </c>
      <c r="H862" s="71"/>
      <c r="I862" s="71"/>
      <c r="J862" s="70">
        <f>IFERROR(VLOOKUP(Devis[[#This Row],[Ref Air Flux]],#REF!,3,FALSE),0)</f>
        <v>0</v>
      </c>
      <c r="K862" s="68"/>
      <c r="L862" s="68"/>
      <c r="M862" s="68"/>
      <c r="N862" s="68"/>
      <c r="O862" s="68"/>
      <c r="P862" s="68"/>
      <c r="Q862" s="68">
        <f>SUM(Devis[[#This Row],[Poste 1]:[Poste 6]])</f>
        <v>0</v>
      </c>
      <c r="R862" s="71"/>
      <c r="S862" s="68">
        <f>_xlfn.CEILING.MATH(Devis[[#This Row],[Quantité Totale]],Devis[[#This Row],[Conditionnement]])</f>
        <v>0</v>
      </c>
      <c r="T862" s="97"/>
      <c r="U862" s="73"/>
      <c r="V862" s="74">
        <f>Devis[[#This Row],[Prix de Revient]]*Devis[[#This Row],[Poste 1]]</f>
        <v>0</v>
      </c>
      <c r="W862" s="74">
        <f>Devis[[#This Row],[Prix de Revient]]*Devis[[#This Row],[Poste 2]]</f>
        <v>0</v>
      </c>
      <c r="X862" s="74">
        <f>Devis[[#This Row],[Prix de Revient]]*Devis[[#This Row],[Poste 3]]</f>
        <v>0</v>
      </c>
      <c r="Y862" s="74">
        <f>Devis[[#This Row],[Poste 4]]*Devis[[#This Row],[Prix de Revient]]</f>
        <v>0</v>
      </c>
      <c r="Z862" s="74">
        <f>Devis[[#This Row],[Poste 5]]*Devis[[#This Row],[Prix de Revient]]</f>
        <v>0</v>
      </c>
      <c r="AA862" s="74">
        <f>Devis[[#This Row],[Prix de Revient]]*Devis[[#This Row],[Poste 6]]</f>
        <v>0</v>
      </c>
      <c r="AB862" s="74">
        <f>Devis[[#This Row],[Quantité Totale]]*Devis[[#This Row],[Prix de Revient]]</f>
        <v>0</v>
      </c>
    </row>
    <row r="863" spans="1:28" ht="14.25" customHeight="1" outlineLevel="1" x14ac:dyDescent="0.2">
      <c r="A863" s="75" t="s">
        <v>356</v>
      </c>
      <c r="B863" s="76" t="s">
        <v>5101</v>
      </c>
      <c r="C863" s="75" t="s">
        <v>5102</v>
      </c>
      <c r="D863" s="81" t="str">
        <f t="shared" si="14"/>
        <v>FixationColliers pour flexiblesGriffes</v>
      </c>
      <c r="E863" s="75" t="s">
        <v>424</v>
      </c>
      <c r="F863" s="81">
        <v>3</v>
      </c>
      <c r="G863" s="71" t="s">
        <v>425</v>
      </c>
      <c r="H863" s="71"/>
      <c r="I863" s="71"/>
      <c r="J863" s="70">
        <f>IFERROR(VLOOKUP(Devis[[#This Row],[Ref Air Flux]],#REF!,3,FALSE),0)</f>
        <v>0</v>
      </c>
      <c r="K863" s="68"/>
      <c r="L863" s="68"/>
      <c r="M863" s="68"/>
      <c r="N863" s="68"/>
      <c r="O863" s="68"/>
      <c r="P863" s="68"/>
      <c r="Q863" s="68">
        <f>SUM(Devis[[#This Row],[Poste 1]:[Poste 6]])</f>
        <v>0</v>
      </c>
      <c r="R863" s="71"/>
      <c r="S863" s="68">
        <f>_xlfn.CEILING.MATH(Devis[[#This Row],[Quantité Totale]],Devis[[#This Row],[Conditionnement]])</f>
        <v>0</v>
      </c>
      <c r="T863" s="97"/>
      <c r="U863" s="73"/>
      <c r="V863" s="74">
        <f>Devis[[#This Row],[Prix de Revient]]*Devis[[#This Row],[Poste 1]]</f>
        <v>0</v>
      </c>
      <c r="W863" s="74">
        <f>Devis[[#This Row],[Prix de Revient]]*Devis[[#This Row],[Poste 2]]</f>
        <v>0</v>
      </c>
      <c r="X863" s="74">
        <f>Devis[[#This Row],[Prix de Revient]]*Devis[[#This Row],[Poste 3]]</f>
        <v>0</v>
      </c>
      <c r="Y863" s="74">
        <f>Devis[[#This Row],[Poste 4]]*Devis[[#This Row],[Prix de Revient]]</f>
        <v>0</v>
      </c>
      <c r="Z863" s="74">
        <f>Devis[[#This Row],[Poste 5]]*Devis[[#This Row],[Prix de Revient]]</f>
        <v>0</v>
      </c>
      <c r="AA863" s="74">
        <f>Devis[[#This Row],[Prix de Revient]]*Devis[[#This Row],[Poste 6]]</f>
        <v>0</v>
      </c>
      <c r="AB863" s="74">
        <f>Devis[[#This Row],[Quantité Totale]]*Devis[[#This Row],[Prix de Revient]]</f>
        <v>0</v>
      </c>
    </row>
    <row r="864" spans="1:28" ht="14.25" outlineLevel="1" x14ac:dyDescent="0.2">
      <c r="A864" s="75" t="s">
        <v>356</v>
      </c>
      <c r="B864" s="76" t="s">
        <v>5101</v>
      </c>
      <c r="C864" s="75" t="s">
        <v>5102</v>
      </c>
      <c r="D864" s="81" t="str">
        <f t="shared" si="14"/>
        <v>FixationColliers pour flexiblesGriffes</v>
      </c>
      <c r="E864" s="75" t="s">
        <v>426</v>
      </c>
      <c r="F864" s="81">
        <v>4</v>
      </c>
      <c r="G864" s="71" t="s">
        <v>427</v>
      </c>
      <c r="H864" s="71"/>
      <c r="I864" s="71"/>
      <c r="J864" s="70">
        <f>IFERROR(VLOOKUP(Devis[[#This Row],[Ref Air Flux]],#REF!,3,FALSE),0)</f>
        <v>0</v>
      </c>
      <c r="K864" s="68"/>
      <c r="L864" s="68"/>
      <c r="M864" s="68"/>
      <c r="N864" s="68"/>
      <c r="O864" s="68"/>
      <c r="P864" s="68"/>
      <c r="Q864" s="68">
        <f>SUM(Devis[[#This Row],[Poste 1]:[Poste 6]])</f>
        <v>0</v>
      </c>
      <c r="R864" s="71"/>
      <c r="S864" s="68">
        <f>_xlfn.CEILING.MATH(Devis[[#This Row],[Quantité Totale]],Devis[[#This Row],[Conditionnement]])</f>
        <v>0</v>
      </c>
      <c r="T864" s="97"/>
      <c r="U864" s="73"/>
      <c r="V864" s="74">
        <f>Devis[[#This Row],[Prix de Revient]]*Devis[[#This Row],[Poste 1]]</f>
        <v>0</v>
      </c>
      <c r="W864" s="74">
        <f>Devis[[#This Row],[Prix de Revient]]*Devis[[#This Row],[Poste 2]]</f>
        <v>0</v>
      </c>
      <c r="X864" s="74">
        <f>Devis[[#This Row],[Prix de Revient]]*Devis[[#This Row],[Poste 3]]</f>
        <v>0</v>
      </c>
      <c r="Y864" s="74">
        <f>Devis[[#This Row],[Poste 4]]*Devis[[#This Row],[Prix de Revient]]</f>
        <v>0</v>
      </c>
      <c r="Z864" s="74">
        <f>Devis[[#This Row],[Poste 5]]*Devis[[#This Row],[Prix de Revient]]</f>
        <v>0</v>
      </c>
      <c r="AA864" s="74">
        <f>Devis[[#This Row],[Prix de Revient]]*Devis[[#This Row],[Poste 6]]</f>
        <v>0</v>
      </c>
      <c r="AB864" s="74">
        <f>Devis[[#This Row],[Quantité Totale]]*Devis[[#This Row],[Prix de Revient]]</f>
        <v>0</v>
      </c>
    </row>
    <row r="865" spans="1:28" ht="14.25" outlineLevel="1" x14ac:dyDescent="0.2">
      <c r="A865" s="75" t="s">
        <v>356</v>
      </c>
      <c r="B865" s="76" t="s">
        <v>5101</v>
      </c>
      <c r="C865" s="75" t="s">
        <v>5102</v>
      </c>
      <c r="D865" s="81" t="str">
        <f t="shared" si="14"/>
        <v>FixationColliers pour flexiblesGriffes</v>
      </c>
      <c r="E865" s="75" t="s">
        <v>428</v>
      </c>
      <c r="F865" s="81">
        <v>5</v>
      </c>
      <c r="G865" s="71" t="s">
        <v>429</v>
      </c>
      <c r="H865" s="71"/>
      <c r="I865" s="71"/>
      <c r="J865" s="70">
        <f>IFERROR(VLOOKUP(Devis[[#This Row],[Ref Air Flux]],#REF!,3,FALSE),0)</f>
        <v>0</v>
      </c>
      <c r="K865" s="68"/>
      <c r="L865" s="68"/>
      <c r="M865" s="68"/>
      <c r="N865" s="68"/>
      <c r="O865" s="68"/>
      <c r="P865" s="68"/>
      <c r="Q865" s="68">
        <f>SUM(Devis[[#This Row],[Poste 1]:[Poste 6]])</f>
        <v>0</v>
      </c>
      <c r="R865" s="71"/>
      <c r="S865" s="68">
        <f>_xlfn.CEILING.MATH(Devis[[#This Row],[Quantité Totale]],Devis[[#This Row],[Conditionnement]])</f>
        <v>0</v>
      </c>
      <c r="T865" s="97"/>
      <c r="U865" s="73"/>
      <c r="V865" s="74">
        <f>Devis[[#This Row],[Prix de Revient]]*Devis[[#This Row],[Poste 1]]</f>
        <v>0</v>
      </c>
      <c r="W865" s="74">
        <f>Devis[[#This Row],[Prix de Revient]]*Devis[[#This Row],[Poste 2]]</f>
        <v>0</v>
      </c>
      <c r="X865" s="74">
        <f>Devis[[#This Row],[Prix de Revient]]*Devis[[#This Row],[Poste 3]]</f>
        <v>0</v>
      </c>
      <c r="Y865" s="74">
        <f>Devis[[#This Row],[Poste 4]]*Devis[[#This Row],[Prix de Revient]]</f>
        <v>0</v>
      </c>
      <c r="Z865" s="74">
        <f>Devis[[#This Row],[Poste 5]]*Devis[[#This Row],[Prix de Revient]]</f>
        <v>0</v>
      </c>
      <c r="AA865" s="74">
        <f>Devis[[#This Row],[Prix de Revient]]*Devis[[#This Row],[Poste 6]]</f>
        <v>0</v>
      </c>
      <c r="AB865" s="74">
        <f>Devis[[#This Row],[Quantité Totale]]*Devis[[#This Row],[Prix de Revient]]</f>
        <v>0</v>
      </c>
    </row>
    <row r="866" spans="1:28" ht="14.25" customHeight="1" outlineLevel="1" x14ac:dyDescent="0.2">
      <c r="A866" s="75" t="s">
        <v>356</v>
      </c>
      <c r="B866" s="76" t="s">
        <v>5101</v>
      </c>
      <c r="C866" s="75" t="s">
        <v>5102</v>
      </c>
      <c r="D866" s="81" t="str">
        <f t="shared" si="14"/>
        <v>FixationColliers pour flexiblesGriffes</v>
      </c>
      <c r="E866" s="75" t="s">
        <v>430</v>
      </c>
      <c r="F866" s="81">
        <v>6</v>
      </c>
      <c r="G866" s="71" t="s">
        <v>431</v>
      </c>
      <c r="H866" s="71"/>
      <c r="I866" s="71"/>
      <c r="J866" s="70">
        <f>IFERROR(VLOOKUP(Devis[[#This Row],[Ref Air Flux]],#REF!,3,FALSE),0)</f>
        <v>0</v>
      </c>
      <c r="K866" s="68"/>
      <c r="L866" s="68"/>
      <c r="M866" s="68"/>
      <c r="N866" s="68"/>
      <c r="O866" s="68"/>
      <c r="P866" s="68"/>
      <c r="Q866" s="68">
        <f>SUM(Devis[[#This Row],[Poste 1]:[Poste 6]])</f>
        <v>0</v>
      </c>
      <c r="R866" s="71"/>
      <c r="S866" s="68">
        <f>_xlfn.CEILING.MATH(Devis[[#This Row],[Quantité Totale]],Devis[[#This Row],[Conditionnement]])</f>
        <v>0</v>
      </c>
      <c r="T866" s="97"/>
      <c r="U866" s="73"/>
      <c r="V866" s="74">
        <f>Devis[[#This Row],[Prix de Revient]]*Devis[[#This Row],[Poste 1]]</f>
        <v>0</v>
      </c>
      <c r="W866" s="74">
        <f>Devis[[#This Row],[Prix de Revient]]*Devis[[#This Row],[Poste 2]]</f>
        <v>0</v>
      </c>
      <c r="X866" s="74">
        <f>Devis[[#This Row],[Prix de Revient]]*Devis[[#This Row],[Poste 3]]</f>
        <v>0</v>
      </c>
      <c r="Y866" s="74">
        <f>Devis[[#This Row],[Poste 4]]*Devis[[#This Row],[Prix de Revient]]</f>
        <v>0</v>
      </c>
      <c r="Z866" s="74">
        <f>Devis[[#This Row],[Poste 5]]*Devis[[#This Row],[Prix de Revient]]</f>
        <v>0</v>
      </c>
      <c r="AA866" s="74">
        <f>Devis[[#This Row],[Prix de Revient]]*Devis[[#This Row],[Poste 6]]</f>
        <v>0</v>
      </c>
      <c r="AB866" s="74">
        <f>Devis[[#This Row],[Quantité Totale]]*Devis[[#This Row],[Prix de Revient]]</f>
        <v>0</v>
      </c>
    </row>
    <row r="867" spans="1:28" ht="14.25" customHeight="1" outlineLevel="1" x14ac:dyDescent="0.2">
      <c r="A867" s="75" t="s">
        <v>356</v>
      </c>
      <c r="B867" s="76" t="s">
        <v>5101</v>
      </c>
      <c r="C867" s="75" t="s">
        <v>5102</v>
      </c>
      <c r="D867" s="81" t="str">
        <f t="shared" si="14"/>
        <v>FixationColliers pour flexiblesGriffes</v>
      </c>
      <c r="E867" s="75" t="s">
        <v>432</v>
      </c>
      <c r="F867" s="81">
        <v>7</v>
      </c>
      <c r="G867" s="71" t="s">
        <v>433</v>
      </c>
      <c r="H867" s="71"/>
      <c r="I867" s="71"/>
      <c r="J867" s="70">
        <f>IFERROR(VLOOKUP(Devis[[#This Row],[Ref Air Flux]],#REF!,3,FALSE),0)</f>
        <v>0</v>
      </c>
      <c r="K867" s="68"/>
      <c r="L867" s="68"/>
      <c r="M867" s="68"/>
      <c r="N867" s="68"/>
      <c r="O867" s="68"/>
      <c r="P867" s="68"/>
      <c r="Q867" s="68">
        <f>SUM(Devis[[#This Row],[Poste 1]:[Poste 6]])</f>
        <v>0</v>
      </c>
      <c r="R867" s="71"/>
      <c r="S867" s="68">
        <f>_xlfn.CEILING.MATH(Devis[[#This Row],[Quantité Totale]],Devis[[#This Row],[Conditionnement]])</f>
        <v>0</v>
      </c>
      <c r="T867" s="97"/>
      <c r="U867" s="73"/>
      <c r="V867" s="74">
        <f>Devis[[#This Row],[Prix de Revient]]*Devis[[#This Row],[Poste 1]]</f>
        <v>0</v>
      </c>
      <c r="W867" s="74">
        <f>Devis[[#This Row],[Prix de Revient]]*Devis[[#This Row],[Poste 2]]</f>
        <v>0</v>
      </c>
      <c r="X867" s="74">
        <f>Devis[[#This Row],[Prix de Revient]]*Devis[[#This Row],[Poste 3]]</f>
        <v>0</v>
      </c>
      <c r="Y867" s="74">
        <f>Devis[[#This Row],[Poste 4]]*Devis[[#This Row],[Prix de Revient]]</f>
        <v>0</v>
      </c>
      <c r="Z867" s="74">
        <f>Devis[[#This Row],[Poste 5]]*Devis[[#This Row],[Prix de Revient]]</f>
        <v>0</v>
      </c>
      <c r="AA867" s="74">
        <f>Devis[[#This Row],[Prix de Revient]]*Devis[[#This Row],[Poste 6]]</f>
        <v>0</v>
      </c>
      <c r="AB867" s="74">
        <f>Devis[[#This Row],[Quantité Totale]]*Devis[[#This Row],[Prix de Revient]]</f>
        <v>0</v>
      </c>
    </row>
    <row r="868" spans="1:28" ht="14.25" outlineLevel="1" x14ac:dyDescent="0.2">
      <c r="A868" s="75" t="s">
        <v>356</v>
      </c>
      <c r="B868" s="76" t="s">
        <v>5101</v>
      </c>
      <c r="C868" s="75" t="s">
        <v>5103</v>
      </c>
      <c r="D868" s="81" t="str">
        <f t="shared" si="14"/>
        <v>FixationColliers pour flexiblesOreilles</v>
      </c>
      <c r="E868" s="75" t="s">
        <v>434</v>
      </c>
      <c r="F868" s="81">
        <v>8</v>
      </c>
      <c r="G868" s="71" t="s">
        <v>435</v>
      </c>
      <c r="H868" s="71"/>
      <c r="I868" s="71"/>
      <c r="J868" s="70">
        <f>IFERROR(VLOOKUP(Devis[[#This Row],[Ref Air Flux]],#REF!,3,FALSE),0)</f>
        <v>0</v>
      </c>
      <c r="K868" s="68"/>
      <c r="L868" s="68"/>
      <c r="M868" s="68"/>
      <c r="N868" s="68"/>
      <c r="O868" s="68"/>
      <c r="P868" s="68"/>
      <c r="Q868" s="68">
        <f>SUM(Devis[[#This Row],[Poste 1]:[Poste 6]])</f>
        <v>0</v>
      </c>
      <c r="R868" s="71"/>
      <c r="S868" s="68">
        <f>_xlfn.CEILING.MATH(Devis[[#This Row],[Quantité Totale]],Devis[[#This Row],[Conditionnement]])</f>
        <v>0</v>
      </c>
      <c r="T868" s="97"/>
      <c r="U868" s="73"/>
      <c r="V868" s="74">
        <f>Devis[[#This Row],[Prix de Revient]]*Devis[[#This Row],[Poste 1]]</f>
        <v>0</v>
      </c>
      <c r="W868" s="74">
        <f>Devis[[#This Row],[Prix de Revient]]*Devis[[#This Row],[Poste 2]]</f>
        <v>0</v>
      </c>
      <c r="X868" s="74">
        <f>Devis[[#This Row],[Prix de Revient]]*Devis[[#This Row],[Poste 3]]</f>
        <v>0</v>
      </c>
      <c r="Y868" s="74">
        <f>Devis[[#This Row],[Poste 4]]*Devis[[#This Row],[Prix de Revient]]</f>
        <v>0</v>
      </c>
      <c r="Z868" s="74">
        <f>Devis[[#This Row],[Poste 5]]*Devis[[#This Row],[Prix de Revient]]</f>
        <v>0</v>
      </c>
      <c r="AA868" s="74">
        <f>Devis[[#This Row],[Prix de Revient]]*Devis[[#This Row],[Poste 6]]</f>
        <v>0</v>
      </c>
      <c r="AB868" s="74">
        <f>Devis[[#This Row],[Quantité Totale]]*Devis[[#This Row],[Prix de Revient]]</f>
        <v>0</v>
      </c>
    </row>
    <row r="869" spans="1:28" ht="14.25" outlineLevel="1" x14ac:dyDescent="0.2">
      <c r="A869" s="75" t="s">
        <v>356</v>
      </c>
      <c r="B869" s="76" t="s">
        <v>5101</v>
      </c>
      <c r="C869" s="75" t="s">
        <v>5103</v>
      </c>
      <c r="D869" s="81" t="str">
        <f t="shared" si="14"/>
        <v>FixationColliers pour flexiblesOreilles</v>
      </c>
      <c r="E869" s="75" t="s">
        <v>436</v>
      </c>
      <c r="F869" s="81">
        <v>9</v>
      </c>
      <c r="G869" s="71" t="s">
        <v>437</v>
      </c>
      <c r="H869" s="71"/>
      <c r="I869" s="71"/>
      <c r="J869" s="70">
        <f>IFERROR(VLOOKUP(Devis[[#This Row],[Ref Air Flux]],#REF!,3,FALSE),0)</f>
        <v>0</v>
      </c>
      <c r="K869" s="68"/>
      <c r="L869" s="68"/>
      <c r="M869" s="68"/>
      <c r="N869" s="68"/>
      <c r="O869" s="68"/>
      <c r="P869" s="68"/>
      <c r="Q869" s="68">
        <f>SUM(Devis[[#This Row],[Poste 1]:[Poste 6]])</f>
        <v>0</v>
      </c>
      <c r="R869" s="71"/>
      <c r="S869" s="68">
        <f>_xlfn.CEILING.MATH(Devis[[#This Row],[Quantité Totale]],Devis[[#This Row],[Conditionnement]])</f>
        <v>0</v>
      </c>
      <c r="T869" s="97"/>
      <c r="U869" s="73"/>
      <c r="V869" s="74">
        <f>Devis[[#This Row],[Prix de Revient]]*Devis[[#This Row],[Poste 1]]</f>
        <v>0</v>
      </c>
      <c r="W869" s="74">
        <f>Devis[[#This Row],[Prix de Revient]]*Devis[[#This Row],[Poste 2]]</f>
        <v>0</v>
      </c>
      <c r="X869" s="74">
        <f>Devis[[#This Row],[Prix de Revient]]*Devis[[#This Row],[Poste 3]]</f>
        <v>0</v>
      </c>
      <c r="Y869" s="74">
        <f>Devis[[#This Row],[Poste 4]]*Devis[[#This Row],[Prix de Revient]]</f>
        <v>0</v>
      </c>
      <c r="Z869" s="74">
        <f>Devis[[#This Row],[Poste 5]]*Devis[[#This Row],[Prix de Revient]]</f>
        <v>0</v>
      </c>
      <c r="AA869" s="74">
        <f>Devis[[#This Row],[Prix de Revient]]*Devis[[#This Row],[Poste 6]]</f>
        <v>0</v>
      </c>
      <c r="AB869" s="74">
        <f>Devis[[#This Row],[Quantité Totale]]*Devis[[#This Row],[Prix de Revient]]</f>
        <v>0</v>
      </c>
    </row>
    <row r="870" spans="1:28" ht="14.25" customHeight="1" outlineLevel="1" x14ac:dyDescent="0.2">
      <c r="A870" s="75" t="s">
        <v>356</v>
      </c>
      <c r="B870" s="76" t="s">
        <v>5101</v>
      </c>
      <c r="C870" s="75" t="s">
        <v>5103</v>
      </c>
      <c r="D870" s="81" t="str">
        <f t="shared" si="14"/>
        <v>FixationColliers pour flexiblesOreilles</v>
      </c>
      <c r="E870" s="75" t="s">
        <v>438</v>
      </c>
      <c r="F870" s="81">
        <v>10</v>
      </c>
      <c r="G870" s="71" t="s">
        <v>439</v>
      </c>
      <c r="H870" s="71"/>
      <c r="I870" s="71"/>
      <c r="J870" s="70">
        <f>IFERROR(VLOOKUP(Devis[[#This Row],[Ref Air Flux]],#REF!,3,FALSE),0)</f>
        <v>0</v>
      </c>
      <c r="K870" s="68"/>
      <c r="L870" s="68"/>
      <c r="M870" s="68"/>
      <c r="N870" s="68"/>
      <c r="O870" s="68"/>
      <c r="P870" s="68"/>
      <c r="Q870" s="68">
        <f>SUM(Devis[[#This Row],[Poste 1]:[Poste 6]])</f>
        <v>0</v>
      </c>
      <c r="R870" s="71"/>
      <c r="S870" s="68">
        <f>_xlfn.CEILING.MATH(Devis[[#This Row],[Quantité Totale]],Devis[[#This Row],[Conditionnement]])</f>
        <v>0</v>
      </c>
      <c r="T870" s="97"/>
      <c r="U870" s="73"/>
      <c r="V870" s="74">
        <f>Devis[[#This Row],[Prix de Revient]]*Devis[[#This Row],[Poste 1]]</f>
        <v>0</v>
      </c>
      <c r="W870" s="74">
        <f>Devis[[#This Row],[Prix de Revient]]*Devis[[#This Row],[Poste 2]]</f>
        <v>0</v>
      </c>
      <c r="X870" s="74">
        <f>Devis[[#This Row],[Prix de Revient]]*Devis[[#This Row],[Poste 3]]</f>
        <v>0</v>
      </c>
      <c r="Y870" s="74">
        <f>Devis[[#This Row],[Poste 4]]*Devis[[#This Row],[Prix de Revient]]</f>
        <v>0</v>
      </c>
      <c r="Z870" s="74">
        <f>Devis[[#This Row],[Poste 5]]*Devis[[#This Row],[Prix de Revient]]</f>
        <v>0</v>
      </c>
      <c r="AA870" s="74">
        <f>Devis[[#This Row],[Prix de Revient]]*Devis[[#This Row],[Poste 6]]</f>
        <v>0</v>
      </c>
      <c r="AB870" s="74">
        <f>Devis[[#This Row],[Quantité Totale]]*Devis[[#This Row],[Prix de Revient]]</f>
        <v>0</v>
      </c>
    </row>
    <row r="871" spans="1:28" ht="14.25" outlineLevel="1" x14ac:dyDescent="0.2">
      <c r="A871" s="75" t="s">
        <v>356</v>
      </c>
      <c r="B871" s="76" t="s">
        <v>5101</v>
      </c>
      <c r="C871" s="75" t="s">
        <v>5103</v>
      </c>
      <c r="D871" s="81" t="str">
        <f t="shared" si="14"/>
        <v>FixationColliers pour flexiblesOreilles</v>
      </c>
      <c r="E871" s="75" t="s">
        <v>440</v>
      </c>
      <c r="F871" s="81">
        <v>11</v>
      </c>
      <c r="G871" s="71" t="s">
        <v>441</v>
      </c>
      <c r="H871" s="71"/>
      <c r="I871" s="71"/>
      <c r="J871" s="70">
        <f>IFERROR(VLOOKUP(Devis[[#This Row],[Ref Air Flux]],#REF!,3,FALSE),0)</f>
        <v>0</v>
      </c>
      <c r="K871" s="68"/>
      <c r="L871" s="68"/>
      <c r="M871" s="68"/>
      <c r="N871" s="68"/>
      <c r="O871" s="68"/>
      <c r="P871" s="68"/>
      <c r="Q871" s="68">
        <f>SUM(Devis[[#This Row],[Poste 1]:[Poste 6]])</f>
        <v>0</v>
      </c>
      <c r="R871" s="71"/>
      <c r="S871" s="68">
        <f>_xlfn.CEILING.MATH(Devis[[#This Row],[Quantité Totale]],Devis[[#This Row],[Conditionnement]])</f>
        <v>0</v>
      </c>
      <c r="T871" s="97"/>
      <c r="U871" s="73"/>
      <c r="V871" s="74">
        <f>Devis[[#This Row],[Prix de Revient]]*Devis[[#This Row],[Poste 1]]</f>
        <v>0</v>
      </c>
      <c r="W871" s="74">
        <f>Devis[[#This Row],[Prix de Revient]]*Devis[[#This Row],[Poste 2]]</f>
        <v>0</v>
      </c>
      <c r="X871" s="74">
        <f>Devis[[#This Row],[Prix de Revient]]*Devis[[#This Row],[Poste 3]]</f>
        <v>0</v>
      </c>
      <c r="Y871" s="74">
        <f>Devis[[#This Row],[Poste 4]]*Devis[[#This Row],[Prix de Revient]]</f>
        <v>0</v>
      </c>
      <c r="Z871" s="74">
        <f>Devis[[#This Row],[Poste 5]]*Devis[[#This Row],[Prix de Revient]]</f>
        <v>0</v>
      </c>
      <c r="AA871" s="74">
        <f>Devis[[#This Row],[Prix de Revient]]*Devis[[#This Row],[Poste 6]]</f>
        <v>0</v>
      </c>
      <c r="AB871" s="74">
        <f>Devis[[#This Row],[Quantité Totale]]*Devis[[#This Row],[Prix de Revient]]</f>
        <v>0</v>
      </c>
    </row>
    <row r="872" spans="1:28" ht="14.25" outlineLevel="1" x14ac:dyDescent="0.2">
      <c r="A872" s="75" t="s">
        <v>356</v>
      </c>
      <c r="B872" s="76" t="s">
        <v>5101</v>
      </c>
      <c r="C872" s="75" t="s">
        <v>5103</v>
      </c>
      <c r="D872" s="81" t="str">
        <f t="shared" ref="D872:D938" si="15">A872&amp;B872&amp;C872</f>
        <v>FixationColliers pour flexiblesOreilles</v>
      </c>
      <c r="E872" s="75" t="s">
        <v>442</v>
      </c>
      <c r="F872" s="81">
        <v>12</v>
      </c>
      <c r="G872" s="71" t="s">
        <v>443</v>
      </c>
      <c r="H872" s="71"/>
      <c r="I872" s="71"/>
      <c r="J872" s="70">
        <f>IFERROR(VLOOKUP(Devis[[#This Row],[Ref Air Flux]],#REF!,3,FALSE),0)</f>
        <v>0</v>
      </c>
      <c r="K872" s="68"/>
      <c r="L872" s="68"/>
      <c r="M872" s="68"/>
      <c r="N872" s="68"/>
      <c r="O872" s="68"/>
      <c r="P872" s="68"/>
      <c r="Q872" s="68">
        <f>SUM(Devis[[#This Row],[Poste 1]:[Poste 6]])</f>
        <v>0</v>
      </c>
      <c r="R872" s="71"/>
      <c r="S872" s="68">
        <f>_xlfn.CEILING.MATH(Devis[[#This Row],[Quantité Totale]],Devis[[#This Row],[Conditionnement]])</f>
        <v>0</v>
      </c>
      <c r="T872" s="97"/>
      <c r="U872" s="73"/>
      <c r="V872" s="74">
        <f>Devis[[#This Row],[Prix de Revient]]*Devis[[#This Row],[Poste 1]]</f>
        <v>0</v>
      </c>
      <c r="W872" s="74">
        <f>Devis[[#This Row],[Prix de Revient]]*Devis[[#This Row],[Poste 2]]</f>
        <v>0</v>
      </c>
      <c r="X872" s="74">
        <f>Devis[[#This Row],[Prix de Revient]]*Devis[[#This Row],[Poste 3]]</f>
        <v>0</v>
      </c>
      <c r="Y872" s="74">
        <f>Devis[[#This Row],[Poste 4]]*Devis[[#This Row],[Prix de Revient]]</f>
        <v>0</v>
      </c>
      <c r="Z872" s="74">
        <f>Devis[[#This Row],[Poste 5]]*Devis[[#This Row],[Prix de Revient]]</f>
        <v>0</v>
      </c>
      <c r="AA872" s="74">
        <f>Devis[[#This Row],[Prix de Revient]]*Devis[[#This Row],[Poste 6]]</f>
        <v>0</v>
      </c>
      <c r="AB872" s="74">
        <f>Devis[[#This Row],[Quantité Totale]]*Devis[[#This Row],[Prix de Revient]]</f>
        <v>0</v>
      </c>
    </row>
    <row r="873" spans="1:28" ht="14.25" customHeight="1" outlineLevel="1" x14ac:dyDescent="0.2">
      <c r="A873" s="75" t="s">
        <v>356</v>
      </c>
      <c r="B873" s="76" t="s">
        <v>5101</v>
      </c>
      <c r="C873" s="75" t="s">
        <v>5103</v>
      </c>
      <c r="D873" s="81" t="str">
        <f t="shared" si="15"/>
        <v>FixationColliers pour flexiblesOreilles</v>
      </c>
      <c r="E873" s="75" t="s">
        <v>444</v>
      </c>
      <c r="F873" s="81">
        <v>13</v>
      </c>
      <c r="G873" s="71" t="s">
        <v>445</v>
      </c>
      <c r="H873" s="71"/>
      <c r="I873" s="71"/>
      <c r="J873" s="70">
        <f>IFERROR(VLOOKUP(Devis[[#This Row],[Ref Air Flux]],#REF!,3,FALSE),0)</f>
        <v>0</v>
      </c>
      <c r="K873" s="68"/>
      <c r="L873" s="68"/>
      <c r="M873" s="68"/>
      <c r="N873" s="68"/>
      <c r="O873" s="68"/>
      <c r="P873" s="68"/>
      <c r="Q873" s="68">
        <f>SUM(Devis[[#This Row],[Poste 1]:[Poste 6]])</f>
        <v>0</v>
      </c>
      <c r="R873" s="71"/>
      <c r="S873" s="68">
        <f>_xlfn.CEILING.MATH(Devis[[#This Row],[Quantité Totale]],Devis[[#This Row],[Conditionnement]])</f>
        <v>0</v>
      </c>
      <c r="T873" s="97"/>
      <c r="U873" s="73"/>
      <c r="V873" s="74">
        <f>Devis[[#This Row],[Prix de Revient]]*Devis[[#This Row],[Poste 1]]</f>
        <v>0</v>
      </c>
      <c r="W873" s="74">
        <f>Devis[[#This Row],[Prix de Revient]]*Devis[[#This Row],[Poste 2]]</f>
        <v>0</v>
      </c>
      <c r="X873" s="74">
        <f>Devis[[#This Row],[Prix de Revient]]*Devis[[#This Row],[Poste 3]]</f>
        <v>0</v>
      </c>
      <c r="Y873" s="74">
        <f>Devis[[#This Row],[Poste 4]]*Devis[[#This Row],[Prix de Revient]]</f>
        <v>0</v>
      </c>
      <c r="Z873" s="74">
        <f>Devis[[#This Row],[Poste 5]]*Devis[[#This Row],[Prix de Revient]]</f>
        <v>0</v>
      </c>
      <c r="AA873" s="74">
        <f>Devis[[#This Row],[Prix de Revient]]*Devis[[#This Row],[Poste 6]]</f>
        <v>0</v>
      </c>
      <c r="AB873" s="74">
        <f>Devis[[#This Row],[Quantité Totale]]*Devis[[#This Row],[Prix de Revient]]</f>
        <v>0</v>
      </c>
    </row>
    <row r="874" spans="1:28" ht="14.25" outlineLevel="1" x14ac:dyDescent="0.2">
      <c r="A874" s="75" t="s">
        <v>356</v>
      </c>
      <c r="B874" s="76" t="s">
        <v>5101</v>
      </c>
      <c r="C874" s="75" t="s">
        <v>5103</v>
      </c>
      <c r="D874" s="81" t="str">
        <f t="shared" si="15"/>
        <v>FixationColliers pour flexiblesOreilles</v>
      </c>
      <c r="E874" s="75" t="s">
        <v>446</v>
      </c>
      <c r="F874" s="81">
        <v>14</v>
      </c>
      <c r="G874" s="71" t="s">
        <v>447</v>
      </c>
      <c r="H874" s="71"/>
      <c r="I874" s="71"/>
      <c r="J874" s="70">
        <f>IFERROR(VLOOKUP(Devis[[#This Row],[Ref Air Flux]],#REF!,3,FALSE),0)</f>
        <v>0</v>
      </c>
      <c r="K874" s="68"/>
      <c r="L874" s="68"/>
      <c r="M874" s="68"/>
      <c r="N874" s="68"/>
      <c r="O874" s="68"/>
      <c r="P874" s="68"/>
      <c r="Q874" s="68">
        <f>SUM(Devis[[#This Row],[Poste 1]:[Poste 6]])</f>
        <v>0</v>
      </c>
      <c r="R874" s="71"/>
      <c r="S874" s="68">
        <f>_xlfn.CEILING.MATH(Devis[[#This Row],[Quantité Totale]],Devis[[#This Row],[Conditionnement]])</f>
        <v>0</v>
      </c>
      <c r="T874" s="97"/>
      <c r="U874" s="73"/>
      <c r="V874" s="74">
        <f>Devis[[#This Row],[Prix de Revient]]*Devis[[#This Row],[Poste 1]]</f>
        <v>0</v>
      </c>
      <c r="W874" s="74">
        <f>Devis[[#This Row],[Prix de Revient]]*Devis[[#This Row],[Poste 2]]</f>
        <v>0</v>
      </c>
      <c r="X874" s="74">
        <f>Devis[[#This Row],[Prix de Revient]]*Devis[[#This Row],[Poste 3]]</f>
        <v>0</v>
      </c>
      <c r="Y874" s="74">
        <f>Devis[[#This Row],[Poste 4]]*Devis[[#This Row],[Prix de Revient]]</f>
        <v>0</v>
      </c>
      <c r="Z874" s="74">
        <f>Devis[[#This Row],[Poste 5]]*Devis[[#This Row],[Prix de Revient]]</f>
        <v>0</v>
      </c>
      <c r="AA874" s="74">
        <f>Devis[[#This Row],[Prix de Revient]]*Devis[[#This Row],[Poste 6]]</f>
        <v>0</v>
      </c>
      <c r="AB874" s="74">
        <f>Devis[[#This Row],[Quantité Totale]]*Devis[[#This Row],[Prix de Revient]]</f>
        <v>0</v>
      </c>
    </row>
    <row r="875" spans="1:28" ht="14.25" outlineLevel="1" x14ac:dyDescent="0.2">
      <c r="A875" s="75" t="s">
        <v>356</v>
      </c>
      <c r="B875" s="76" t="s">
        <v>5101</v>
      </c>
      <c r="C875" s="75" t="s">
        <v>5103</v>
      </c>
      <c r="D875" s="81" t="str">
        <f t="shared" si="15"/>
        <v>FixationColliers pour flexiblesOreilles</v>
      </c>
      <c r="E875" s="75" t="s">
        <v>448</v>
      </c>
      <c r="F875" s="81">
        <v>15</v>
      </c>
      <c r="G875" s="71" t="s">
        <v>449</v>
      </c>
      <c r="H875" s="71"/>
      <c r="I875" s="71"/>
      <c r="J875" s="70">
        <f>IFERROR(VLOOKUP(Devis[[#This Row],[Ref Air Flux]],#REF!,3,FALSE),0)</f>
        <v>0</v>
      </c>
      <c r="K875" s="68"/>
      <c r="L875" s="68"/>
      <c r="M875" s="68"/>
      <c r="N875" s="68"/>
      <c r="O875" s="68"/>
      <c r="P875" s="68"/>
      <c r="Q875" s="68">
        <f>SUM(Devis[[#This Row],[Poste 1]:[Poste 6]])</f>
        <v>0</v>
      </c>
      <c r="R875" s="71"/>
      <c r="S875" s="68">
        <f>_xlfn.CEILING.MATH(Devis[[#This Row],[Quantité Totale]],Devis[[#This Row],[Conditionnement]])</f>
        <v>0</v>
      </c>
      <c r="T875" s="97"/>
      <c r="U875" s="73"/>
      <c r="V875" s="74">
        <f>Devis[[#This Row],[Prix de Revient]]*Devis[[#This Row],[Poste 1]]</f>
        <v>0</v>
      </c>
      <c r="W875" s="74">
        <f>Devis[[#This Row],[Prix de Revient]]*Devis[[#This Row],[Poste 2]]</f>
        <v>0</v>
      </c>
      <c r="X875" s="74">
        <f>Devis[[#This Row],[Prix de Revient]]*Devis[[#This Row],[Poste 3]]</f>
        <v>0</v>
      </c>
      <c r="Y875" s="74">
        <f>Devis[[#This Row],[Poste 4]]*Devis[[#This Row],[Prix de Revient]]</f>
        <v>0</v>
      </c>
      <c r="Z875" s="74">
        <f>Devis[[#This Row],[Poste 5]]*Devis[[#This Row],[Prix de Revient]]</f>
        <v>0</v>
      </c>
      <c r="AA875" s="74">
        <f>Devis[[#This Row],[Prix de Revient]]*Devis[[#This Row],[Poste 6]]</f>
        <v>0</v>
      </c>
      <c r="AB875" s="74">
        <f>Devis[[#This Row],[Quantité Totale]]*Devis[[#This Row],[Prix de Revient]]</f>
        <v>0</v>
      </c>
    </row>
    <row r="876" spans="1:28" ht="14.25" customHeight="1" outlineLevel="1" x14ac:dyDescent="0.2">
      <c r="A876" s="75" t="s">
        <v>356</v>
      </c>
      <c r="B876" s="76" t="s">
        <v>5101</v>
      </c>
      <c r="C876" s="75" t="s">
        <v>5103</v>
      </c>
      <c r="D876" s="81" t="str">
        <f t="shared" si="15"/>
        <v>FixationColliers pour flexiblesOreilles</v>
      </c>
      <c r="E876" s="75" t="s">
        <v>450</v>
      </c>
      <c r="F876" s="81">
        <v>16</v>
      </c>
      <c r="G876" s="71" t="s">
        <v>451</v>
      </c>
      <c r="H876" s="71"/>
      <c r="I876" s="71"/>
      <c r="J876" s="70">
        <f>IFERROR(VLOOKUP(Devis[[#This Row],[Ref Air Flux]],#REF!,3,FALSE),0)</f>
        <v>0</v>
      </c>
      <c r="K876" s="68"/>
      <c r="L876" s="68"/>
      <c r="M876" s="68"/>
      <c r="N876" s="68"/>
      <c r="O876" s="68"/>
      <c r="P876" s="68"/>
      <c r="Q876" s="68">
        <f>SUM(Devis[[#This Row],[Poste 1]:[Poste 6]])</f>
        <v>0</v>
      </c>
      <c r="R876" s="71"/>
      <c r="S876" s="68">
        <f>_xlfn.CEILING.MATH(Devis[[#This Row],[Quantité Totale]],Devis[[#This Row],[Conditionnement]])</f>
        <v>0</v>
      </c>
      <c r="T876" s="97"/>
      <c r="U876" s="73"/>
      <c r="V876" s="74">
        <f>Devis[[#This Row],[Prix de Revient]]*Devis[[#This Row],[Poste 1]]</f>
        <v>0</v>
      </c>
      <c r="W876" s="74">
        <f>Devis[[#This Row],[Prix de Revient]]*Devis[[#This Row],[Poste 2]]</f>
        <v>0</v>
      </c>
      <c r="X876" s="74">
        <f>Devis[[#This Row],[Prix de Revient]]*Devis[[#This Row],[Poste 3]]</f>
        <v>0</v>
      </c>
      <c r="Y876" s="74">
        <f>Devis[[#This Row],[Poste 4]]*Devis[[#This Row],[Prix de Revient]]</f>
        <v>0</v>
      </c>
      <c r="Z876" s="74">
        <f>Devis[[#This Row],[Poste 5]]*Devis[[#This Row],[Prix de Revient]]</f>
        <v>0</v>
      </c>
      <c r="AA876" s="74">
        <f>Devis[[#This Row],[Prix de Revient]]*Devis[[#This Row],[Poste 6]]</f>
        <v>0</v>
      </c>
      <c r="AB876" s="74">
        <f>Devis[[#This Row],[Quantité Totale]]*Devis[[#This Row],[Prix de Revient]]</f>
        <v>0</v>
      </c>
    </row>
    <row r="877" spans="1:28" ht="14.25" customHeight="1" outlineLevel="1" x14ac:dyDescent="0.2">
      <c r="A877" s="75" t="s">
        <v>356</v>
      </c>
      <c r="B877" s="76" t="s">
        <v>5101</v>
      </c>
      <c r="C877" s="75" t="s">
        <v>5103</v>
      </c>
      <c r="D877" s="81" t="str">
        <f t="shared" si="15"/>
        <v>FixationColliers pour flexiblesOreilles</v>
      </c>
      <c r="E877" s="75" t="s">
        <v>452</v>
      </c>
      <c r="F877" s="81">
        <v>17</v>
      </c>
      <c r="G877" s="71" t="s">
        <v>453</v>
      </c>
      <c r="H877" s="71"/>
      <c r="I877" s="71"/>
      <c r="J877" s="70">
        <f>IFERROR(VLOOKUP(Devis[[#This Row],[Ref Air Flux]],#REF!,3,FALSE),0)</f>
        <v>0</v>
      </c>
      <c r="K877" s="68"/>
      <c r="L877" s="68"/>
      <c r="M877" s="68"/>
      <c r="N877" s="68"/>
      <c r="O877" s="68"/>
      <c r="P877" s="68"/>
      <c r="Q877" s="68">
        <f>SUM(Devis[[#This Row],[Poste 1]:[Poste 6]])</f>
        <v>0</v>
      </c>
      <c r="R877" s="71"/>
      <c r="S877" s="68">
        <f>_xlfn.CEILING.MATH(Devis[[#This Row],[Quantité Totale]],Devis[[#This Row],[Conditionnement]])</f>
        <v>0</v>
      </c>
      <c r="T877" s="97"/>
      <c r="U877" s="73"/>
      <c r="V877" s="74">
        <f>Devis[[#This Row],[Prix de Revient]]*Devis[[#This Row],[Poste 1]]</f>
        <v>0</v>
      </c>
      <c r="W877" s="74">
        <f>Devis[[#This Row],[Prix de Revient]]*Devis[[#This Row],[Poste 2]]</f>
        <v>0</v>
      </c>
      <c r="X877" s="74">
        <f>Devis[[#This Row],[Prix de Revient]]*Devis[[#This Row],[Poste 3]]</f>
        <v>0</v>
      </c>
      <c r="Y877" s="74">
        <f>Devis[[#This Row],[Poste 4]]*Devis[[#This Row],[Prix de Revient]]</f>
        <v>0</v>
      </c>
      <c r="Z877" s="74">
        <f>Devis[[#This Row],[Poste 5]]*Devis[[#This Row],[Prix de Revient]]</f>
        <v>0</v>
      </c>
      <c r="AA877" s="74">
        <f>Devis[[#This Row],[Prix de Revient]]*Devis[[#This Row],[Poste 6]]</f>
        <v>0</v>
      </c>
      <c r="AB877" s="74">
        <f>Devis[[#This Row],[Quantité Totale]]*Devis[[#This Row],[Prix de Revient]]</f>
        <v>0</v>
      </c>
    </row>
    <row r="878" spans="1:28" ht="14.25" outlineLevel="1" x14ac:dyDescent="0.2">
      <c r="A878" s="75" t="s">
        <v>356</v>
      </c>
      <c r="B878" s="76" t="s">
        <v>5101</v>
      </c>
      <c r="C878" s="75" t="s">
        <v>5103</v>
      </c>
      <c r="D878" s="81" t="str">
        <f t="shared" si="15"/>
        <v>FixationColliers pour flexiblesOreilles</v>
      </c>
      <c r="E878" s="75" t="s">
        <v>454</v>
      </c>
      <c r="F878" s="81">
        <v>18</v>
      </c>
      <c r="G878" s="71" t="s">
        <v>455</v>
      </c>
      <c r="H878" s="71"/>
      <c r="I878" s="71"/>
      <c r="J878" s="70">
        <f>IFERROR(VLOOKUP(Devis[[#This Row],[Ref Air Flux]],#REF!,3,FALSE),0)</f>
        <v>0</v>
      </c>
      <c r="K878" s="68"/>
      <c r="L878" s="68"/>
      <c r="M878" s="68"/>
      <c r="N878" s="68"/>
      <c r="O878" s="68"/>
      <c r="P878" s="68"/>
      <c r="Q878" s="68">
        <f>SUM(Devis[[#This Row],[Poste 1]:[Poste 6]])</f>
        <v>0</v>
      </c>
      <c r="R878" s="71"/>
      <c r="S878" s="68">
        <f>_xlfn.CEILING.MATH(Devis[[#This Row],[Quantité Totale]],Devis[[#This Row],[Conditionnement]])</f>
        <v>0</v>
      </c>
      <c r="T878" s="97"/>
      <c r="U878" s="73"/>
      <c r="V878" s="74">
        <f>Devis[[#This Row],[Prix de Revient]]*Devis[[#This Row],[Poste 1]]</f>
        <v>0</v>
      </c>
      <c r="W878" s="74">
        <f>Devis[[#This Row],[Prix de Revient]]*Devis[[#This Row],[Poste 2]]</f>
        <v>0</v>
      </c>
      <c r="X878" s="74">
        <f>Devis[[#This Row],[Prix de Revient]]*Devis[[#This Row],[Poste 3]]</f>
        <v>0</v>
      </c>
      <c r="Y878" s="74">
        <f>Devis[[#This Row],[Poste 4]]*Devis[[#This Row],[Prix de Revient]]</f>
        <v>0</v>
      </c>
      <c r="Z878" s="74">
        <f>Devis[[#This Row],[Poste 5]]*Devis[[#This Row],[Prix de Revient]]</f>
        <v>0</v>
      </c>
      <c r="AA878" s="74">
        <f>Devis[[#This Row],[Prix de Revient]]*Devis[[#This Row],[Poste 6]]</f>
        <v>0</v>
      </c>
      <c r="AB878" s="74">
        <f>Devis[[#This Row],[Quantité Totale]]*Devis[[#This Row],[Prix de Revient]]</f>
        <v>0</v>
      </c>
    </row>
    <row r="879" spans="1:28" ht="14.25" outlineLevel="1" x14ac:dyDescent="0.2">
      <c r="A879" s="75" t="s">
        <v>356</v>
      </c>
      <c r="B879" s="76" t="s">
        <v>5101</v>
      </c>
      <c r="C879" s="75" t="s">
        <v>5103</v>
      </c>
      <c r="D879" s="81" t="str">
        <f t="shared" si="15"/>
        <v>FixationColliers pour flexiblesOreilles</v>
      </c>
      <c r="E879" s="75" t="s">
        <v>456</v>
      </c>
      <c r="F879" s="81">
        <v>19</v>
      </c>
      <c r="G879" s="71" t="s">
        <v>457</v>
      </c>
      <c r="H879" s="71"/>
      <c r="I879" s="71"/>
      <c r="J879" s="70">
        <f>IFERROR(VLOOKUP(Devis[[#This Row],[Ref Air Flux]],#REF!,3,FALSE),0)</f>
        <v>0</v>
      </c>
      <c r="K879" s="68"/>
      <c r="L879" s="68"/>
      <c r="M879" s="68"/>
      <c r="N879" s="68"/>
      <c r="O879" s="68"/>
      <c r="P879" s="68"/>
      <c r="Q879" s="68">
        <f>SUM(Devis[[#This Row],[Poste 1]:[Poste 6]])</f>
        <v>0</v>
      </c>
      <c r="R879" s="71"/>
      <c r="S879" s="68">
        <f>_xlfn.CEILING.MATH(Devis[[#This Row],[Quantité Totale]],Devis[[#This Row],[Conditionnement]])</f>
        <v>0</v>
      </c>
      <c r="T879" s="97"/>
      <c r="U879" s="73"/>
      <c r="V879" s="74">
        <f>Devis[[#This Row],[Prix de Revient]]*Devis[[#This Row],[Poste 1]]</f>
        <v>0</v>
      </c>
      <c r="W879" s="74">
        <f>Devis[[#This Row],[Prix de Revient]]*Devis[[#This Row],[Poste 2]]</f>
        <v>0</v>
      </c>
      <c r="X879" s="74">
        <f>Devis[[#This Row],[Prix de Revient]]*Devis[[#This Row],[Poste 3]]</f>
        <v>0</v>
      </c>
      <c r="Y879" s="74">
        <f>Devis[[#This Row],[Poste 4]]*Devis[[#This Row],[Prix de Revient]]</f>
        <v>0</v>
      </c>
      <c r="Z879" s="74">
        <f>Devis[[#This Row],[Poste 5]]*Devis[[#This Row],[Prix de Revient]]</f>
        <v>0</v>
      </c>
      <c r="AA879" s="74">
        <f>Devis[[#This Row],[Prix de Revient]]*Devis[[#This Row],[Poste 6]]</f>
        <v>0</v>
      </c>
      <c r="AB879" s="74">
        <f>Devis[[#This Row],[Quantité Totale]]*Devis[[#This Row],[Prix de Revient]]</f>
        <v>0</v>
      </c>
    </row>
    <row r="880" spans="1:28" ht="14.25" outlineLevel="1" x14ac:dyDescent="0.2">
      <c r="A880" s="75" t="s">
        <v>356</v>
      </c>
      <c r="B880" s="76" t="s">
        <v>5101</v>
      </c>
      <c r="C880" s="75" t="s">
        <v>5104</v>
      </c>
      <c r="D880" s="81" t="str">
        <f t="shared" si="15"/>
        <v>FixationColliers pour flexiblesSerflex</v>
      </c>
      <c r="E880" s="75" t="s">
        <v>489</v>
      </c>
      <c r="F880" s="81">
        <v>20</v>
      </c>
      <c r="G880" s="71" t="s">
        <v>490</v>
      </c>
      <c r="H880" s="71"/>
      <c r="I880" s="71" t="s">
        <v>491</v>
      </c>
      <c r="J880" s="70">
        <f>IFERROR(VLOOKUP(Devis[[#This Row],[Ref Air Flux]],#REF!,3,FALSE),0)</f>
        <v>0</v>
      </c>
      <c r="K880" s="68"/>
      <c r="L880" s="68"/>
      <c r="M880" s="68"/>
      <c r="N880" s="68"/>
      <c r="O880" s="68"/>
      <c r="P880" s="68"/>
      <c r="Q880" s="68">
        <f>SUM(Devis[[#This Row],[Poste 1]:[Poste 6]])</f>
        <v>0</v>
      </c>
      <c r="R880" s="71"/>
      <c r="S880" s="68">
        <f>_xlfn.CEILING.MATH(Devis[[#This Row],[Quantité Totale]],Devis[[#This Row],[Conditionnement]])</f>
        <v>0</v>
      </c>
      <c r="T880" s="97"/>
      <c r="U880" s="73"/>
      <c r="V880" s="74">
        <f>Devis[[#This Row],[Prix de Revient]]*Devis[[#This Row],[Poste 1]]</f>
        <v>0</v>
      </c>
      <c r="W880" s="74">
        <f>Devis[[#This Row],[Prix de Revient]]*Devis[[#This Row],[Poste 2]]</f>
        <v>0</v>
      </c>
      <c r="X880" s="74">
        <f>Devis[[#This Row],[Prix de Revient]]*Devis[[#This Row],[Poste 3]]</f>
        <v>0</v>
      </c>
      <c r="Y880" s="74">
        <f>Devis[[#This Row],[Poste 4]]*Devis[[#This Row],[Prix de Revient]]</f>
        <v>0</v>
      </c>
      <c r="Z880" s="74">
        <f>Devis[[#This Row],[Poste 5]]*Devis[[#This Row],[Prix de Revient]]</f>
        <v>0</v>
      </c>
      <c r="AA880" s="74">
        <f>Devis[[#This Row],[Prix de Revient]]*Devis[[#This Row],[Poste 6]]</f>
        <v>0</v>
      </c>
      <c r="AB880" s="74">
        <f>Devis[[#This Row],[Quantité Totale]]*Devis[[#This Row],[Prix de Revient]]</f>
        <v>0</v>
      </c>
    </row>
    <row r="881" spans="1:28" ht="14.25" outlineLevel="1" x14ac:dyDescent="0.2">
      <c r="A881" s="75" t="s">
        <v>356</v>
      </c>
      <c r="B881" s="76" t="s">
        <v>5101</v>
      </c>
      <c r="C881" s="75" t="s">
        <v>5104</v>
      </c>
      <c r="D881" s="81" t="str">
        <f t="shared" si="15"/>
        <v>FixationColliers pour flexiblesSerflex</v>
      </c>
      <c r="E881" s="75" t="s">
        <v>492</v>
      </c>
      <c r="F881" s="81">
        <v>21</v>
      </c>
      <c r="G881" s="71" t="s">
        <v>493</v>
      </c>
      <c r="H881" s="71"/>
      <c r="I881" s="71" t="s">
        <v>491</v>
      </c>
      <c r="J881" s="70">
        <f>IFERROR(VLOOKUP(Devis[[#This Row],[Ref Air Flux]],#REF!,3,FALSE),0)</f>
        <v>0</v>
      </c>
      <c r="K881" s="68"/>
      <c r="L881" s="68"/>
      <c r="M881" s="68"/>
      <c r="N881" s="68"/>
      <c r="O881" s="68"/>
      <c r="P881" s="68"/>
      <c r="Q881" s="68">
        <f>SUM(Devis[[#This Row],[Poste 1]:[Poste 6]])</f>
        <v>0</v>
      </c>
      <c r="R881" s="71"/>
      <c r="S881" s="68">
        <f>_xlfn.CEILING.MATH(Devis[[#This Row],[Quantité Totale]],Devis[[#This Row],[Conditionnement]])</f>
        <v>0</v>
      </c>
      <c r="T881" s="97"/>
      <c r="U881" s="73" t="s">
        <v>3390</v>
      </c>
      <c r="V881" s="74">
        <f>Devis[[#This Row],[Prix de Revient]]*Devis[[#This Row],[Poste 1]]</f>
        <v>0</v>
      </c>
      <c r="W881" s="74">
        <f>Devis[[#This Row],[Prix de Revient]]*Devis[[#This Row],[Poste 2]]</f>
        <v>0</v>
      </c>
      <c r="X881" s="74">
        <f>Devis[[#This Row],[Prix de Revient]]*Devis[[#This Row],[Poste 3]]</f>
        <v>0</v>
      </c>
      <c r="Y881" s="74">
        <f>Devis[[#This Row],[Poste 4]]*Devis[[#This Row],[Prix de Revient]]</f>
        <v>0</v>
      </c>
      <c r="Z881" s="74">
        <f>Devis[[#This Row],[Poste 5]]*Devis[[#This Row],[Prix de Revient]]</f>
        <v>0</v>
      </c>
      <c r="AA881" s="74">
        <f>Devis[[#This Row],[Prix de Revient]]*Devis[[#This Row],[Poste 6]]</f>
        <v>0</v>
      </c>
      <c r="AB881" s="74">
        <f>Devis[[#This Row],[Quantité Totale]]*Devis[[#This Row],[Prix de Revient]]</f>
        <v>0</v>
      </c>
    </row>
    <row r="882" spans="1:28" ht="14.25" customHeight="1" outlineLevel="1" x14ac:dyDescent="0.2">
      <c r="A882" s="75" t="s">
        <v>356</v>
      </c>
      <c r="B882" s="76" t="s">
        <v>5101</v>
      </c>
      <c r="C882" s="75" t="s">
        <v>5104</v>
      </c>
      <c r="D882" s="81" t="str">
        <f t="shared" si="15"/>
        <v>FixationColliers pour flexiblesSerflex</v>
      </c>
      <c r="E882" s="75" t="s">
        <v>494</v>
      </c>
      <c r="F882" s="81">
        <v>22</v>
      </c>
      <c r="G882" s="71" t="s">
        <v>495</v>
      </c>
      <c r="H882" s="71"/>
      <c r="I882" s="71" t="s">
        <v>491</v>
      </c>
      <c r="J882" s="70">
        <f>IFERROR(VLOOKUP(Devis[[#This Row],[Ref Air Flux]],#REF!,3,FALSE),0)</f>
        <v>0</v>
      </c>
      <c r="K882" s="68"/>
      <c r="L882" s="68"/>
      <c r="M882" s="68"/>
      <c r="N882" s="68"/>
      <c r="O882" s="68"/>
      <c r="P882" s="68"/>
      <c r="Q882" s="68">
        <f>SUM(Devis[[#This Row],[Poste 1]:[Poste 6]])</f>
        <v>0</v>
      </c>
      <c r="R882" s="71"/>
      <c r="S882" s="68">
        <f>_xlfn.CEILING.MATH(Devis[[#This Row],[Quantité Totale]],Devis[[#This Row],[Conditionnement]])</f>
        <v>0</v>
      </c>
      <c r="T882" s="97"/>
      <c r="U882" s="73"/>
      <c r="V882" s="74">
        <f>Devis[[#This Row],[Prix de Revient]]*Devis[[#This Row],[Poste 1]]</f>
        <v>0</v>
      </c>
      <c r="W882" s="74">
        <f>Devis[[#This Row],[Prix de Revient]]*Devis[[#This Row],[Poste 2]]</f>
        <v>0</v>
      </c>
      <c r="X882" s="74">
        <f>Devis[[#This Row],[Prix de Revient]]*Devis[[#This Row],[Poste 3]]</f>
        <v>0</v>
      </c>
      <c r="Y882" s="74">
        <f>Devis[[#This Row],[Poste 4]]*Devis[[#This Row],[Prix de Revient]]</f>
        <v>0</v>
      </c>
      <c r="Z882" s="74">
        <f>Devis[[#This Row],[Poste 5]]*Devis[[#This Row],[Prix de Revient]]</f>
        <v>0</v>
      </c>
      <c r="AA882" s="74">
        <f>Devis[[#This Row],[Prix de Revient]]*Devis[[#This Row],[Poste 6]]</f>
        <v>0</v>
      </c>
      <c r="AB882" s="74">
        <f>Devis[[#This Row],[Quantité Totale]]*Devis[[#This Row],[Prix de Revient]]</f>
        <v>0</v>
      </c>
    </row>
    <row r="883" spans="1:28" ht="14.25" outlineLevel="1" x14ac:dyDescent="0.2">
      <c r="A883" s="75" t="s">
        <v>356</v>
      </c>
      <c r="B883" s="76" t="s">
        <v>5101</v>
      </c>
      <c r="C883" s="75" t="s">
        <v>5104</v>
      </c>
      <c r="D883" s="81" t="str">
        <f t="shared" si="15"/>
        <v>FixationColliers pour flexiblesSerflex</v>
      </c>
      <c r="E883" s="75" t="s">
        <v>496</v>
      </c>
      <c r="F883" s="81">
        <v>23</v>
      </c>
      <c r="G883" s="71" t="s">
        <v>497</v>
      </c>
      <c r="H883" s="71"/>
      <c r="I883" s="71" t="s">
        <v>491</v>
      </c>
      <c r="J883" s="70">
        <f>IFERROR(VLOOKUP(Devis[[#This Row],[Ref Air Flux]],#REF!,3,FALSE),0)</f>
        <v>0</v>
      </c>
      <c r="K883" s="68"/>
      <c r="L883" s="68"/>
      <c r="M883" s="68"/>
      <c r="N883" s="68"/>
      <c r="O883" s="68"/>
      <c r="P883" s="68"/>
      <c r="Q883" s="68">
        <f>SUM(Devis[[#This Row],[Poste 1]:[Poste 6]])</f>
        <v>0</v>
      </c>
      <c r="R883" s="71"/>
      <c r="S883" s="68">
        <f>_xlfn.CEILING.MATH(Devis[[#This Row],[Quantité Totale]],Devis[[#This Row],[Conditionnement]])</f>
        <v>0</v>
      </c>
      <c r="T883" s="97"/>
      <c r="U883" s="73"/>
      <c r="V883" s="74">
        <f>Devis[[#This Row],[Prix de Revient]]*Devis[[#This Row],[Poste 1]]</f>
        <v>0</v>
      </c>
      <c r="W883" s="74">
        <f>Devis[[#This Row],[Prix de Revient]]*Devis[[#This Row],[Poste 2]]</f>
        <v>0</v>
      </c>
      <c r="X883" s="74">
        <f>Devis[[#This Row],[Prix de Revient]]*Devis[[#This Row],[Poste 3]]</f>
        <v>0</v>
      </c>
      <c r="Y883" s="74">
        <f>Devis[[#This Row],[Poste 4]]*Devis[[#This Row],[Prix de Revient]]</f>
        <v>0</v>
      </c>
      <c r="Z883" s="74">
        <f>Devis[[#This Row],[Poste 5]]*Devis[[#This Row],[Prix de Revient]]</f>
        <v>0</v>
      </c>
      <c r="AA883" s="74">
        <f>Devis[[#This Row],[Prix de Revient]]*Devis[[#This Row],[Poste 6]]</f>
        <v>0</v>
      </c>
      <c r="AB883" s="74">
        <f>Devis[[#This Row],[Quantité Totale]]*Devis[[#This Row],[Prix de Revient]]</f>
        <v>0</v>
      </c>
    </row>
    <row r="884" spans="1:28" ht="14.25" outlineLevel="1" x14ac:dyDescent="0.2">
      <c r="A884" s="75" t="s">
        <v>356</v>
      </c>
      <c r="B884" s="76" t="s">
        <v>5101</v>
      </c>
      <c r="C884" s="75" t="s">
        <v>5104</v>
      </c>
      <c r="D884" s="81" t="str">
        <f t="shared" si="15"/>
        <v>FixationColliers pour flexiblesSerflex</v>
      </c>
      <c r="E884" s="75" t="s">
        <v>498</v>
      </c>
      <c r="F884" s="81">
        <v>24</v>
      </c>
      <c r="G884" s="71" t="s">
        <v>499</v>
      </c>
      <c r="H884" s="71"/>
      <c r="I884" s="71" t="s">
        <v>491</v>
      </c>
      <c r="J884" s="70">
        <f>IFERROR(VLOOKUP(Devis[[#This Row],[Ref Air Flux]],#REF!,3,FALSE),0)</f>
        <v>0</v>
      </c>
      <c r="K884" s="68"/>
      <c r="L884" s="68"/>
      <c r="M884" s="68"/>
      <c r="N884" s="68"/>
      <c r="O884" s="68"/>
      <c r="P884" s="68"/>
      <c r="Q884" s="68">
        <f>SUM(Devis[[#This Row],[Poste 1]:[Poste 6]])</f>
        <v>0</v>
      </c>
      <c r="R884" s="71"/>
      <c r="S884" s="68">
        <f>_xlfn.CEILING.MATH(Devis[[#This Row],[Quantité Totale]],Devis[[#This Row],[Conditionnement]])</f>
        <v>0</v>
      </c>
      <c r="T884" s="97"/>
      <c r="U884" s="73"/>
      <c r="V884" s="74">
        <f>Devis[[#This Row],[Prix de Revient]]*Devis[[#This Row],[Poste 1]]</f>
        <v>0</v>
      </c>
      <c r="W884" s="74">
        <f>Devis[[#This Row],[Prix de Revient]]*Devis[[#This Row],[Poste 2]]</f>
        <v>0</v>
      </c>
      <c r="X884" s="74">
        <f>Devis[[#This Row],[Prix de Revient]]*Devis[[#This Row],[Poste 3]]</f>
        <v>0</v>
      </c>
      <c r="Y884" s="74">
        <f>Devis[[#This Row],[Poste 4]]*Devis[[#This Row],[Prix de Revient]]</f>
        <v>0</v>
      </c>
      <c r="Z884" s="74">
        <f>Devis[[#This Row],[Poste 5]]*Devis[[#This Row],[Prix de Revient]]</f>
        <v>0</v>
      </c>
      <c r="AA884" s="74">
        <f>Devis[[#This Row],[Prix de Revient]]*Devis[[#This Row],[Poste 6]]</f>
        <v>0</v>
      </c>
      <c r="AB884" s="74">
        <f>Devis[[#This Row],[Quantité Totale]]*Devis[[#This Row],[Prix de Revient]]</f>
        <v>0</v>
      </c>
    </row>
    <row r="885" spans="1:28" ht="14.25" outlineLevel="1" x14ac:dyDescent="0.2">
      <c r="A885" s="75" t="s">
        <v>356</v>
      </c>
      <c r="B885" s="76" t="s">
        <v>5101</v>
      </c>
      <c r="C885" s="75" t="s">
        <v>5104</v>
      </c>
      <c r="D885" s="81" t="str">
        <f t="shared" si="15"/>
        <v>FixationColliers pour flexiblesSerflex</v>
      </c>
      <c r="E885" s="75" t="s">
        <v>500</v>
      </c>
      <c r="F885" s="81">
        <v>25</v>
      </c>
      <c r="G885" s="71" t="s">
        <v>501</v>
      </c>
      <c r="H885" s="71"/>
      <c r="I885" s="71" t="s">
        <v>491</v>
      </c>
      <c r="J885" s="70">
        <f>IFERROR(VLOOKUP(Devis[[#This Row],[Ref Air Flux]],#REF!,3,FALSE),0)</f>
        <v>0</v>
      </c>
      <c r="K885" s="68"/>
      <c r="L885" s="68"/>
      <c r="M885" s="68"/>
      <c r="N885" s="68"/>
      <c r="O885" s="68"/>
      <c r="P885" s="68"/>
      <c r="Q885" s="68">
        <f>SUM(Devis[[#This Row],[Poste 1]:[Poste 6]])</f>
        <v>0</v>
      </c>
      <c r="R885" s="71"/>
      <c r="S885" s="68">
        <f>_xlfn.CEILING.MATH(Devis[[#This Row],[Quantité Totale]],Devis[[#This Row],[Conditionnement]])</f>
        <v>0</v>
      </c>
      <c r="T885" s="97"/>
      <c r="U885" s="73"/>
      <c r="V885" s="74">
        <f>Devis[[#This Row],[Prix de Revient]]*Devis[[#This Row],[Poste 1]]</f>
        <v>0</v>
      </c>
      <c r="W885" s="74">
        <f>Devis[[#This Row],[Prix de Revient]]*Devis[[#This Row],[Poste 2]]</f>
        <v>0</v>
      </c>
      <c r="X885" s="74">
        <f>Devis[[#This Row],[Prix de Revient]]*Devis[[#This Row],[Poste 3]]</f>
        <v>0</v>
      </c>
      <c r="Y885" s="74">
        <f>Devis[[#This Row],[Poste 4]]*Devis[[#This Row],[Prix de Revient]]</f>
        <v>0</v>
      </c>
      <c r="Z885" s="74">
        <f>Devis[[#This Row],[Poste 5]]*Devis[[#This Row],[Prix de Revient]]</f>
        <v>0</v>
      </c>
      <c r="AA885" s="74">
        <f>Devis[[#This Row],[Prix de Revient]]*Devis[[#This Row],[Poste 6]]</f>
        <v>0</v>
      </c>
      <c r="AB885" s="74">
        <f>Devis[[#This Row],[Quantité Totale]]*Devis[[#This Row],[Prix de Revient]]</f>
        <v>0</v>
      </c>
    </row>
    <row r="886" spans="1:28" ht="14.25" customHeight="1" outlineLevel="1" x14ac:dyDescent="0.2">
      <c r="A886" s="75" t="s">
        <v>356</v>
      </c>
      <c r="B886" s="76" t="s">
        <v>5101</v>
      </c>
      <c r="C886" s="75" t="s">
        <v>5104</v>
      </c>
      <c r="D886" s="81" t="str">
        <f t="shared" si="15"/>
        <v>FixationColliers pour flexiblesSerflex</v>
      </c>
      <c r="E886" s="75" t="s">
        <v>502</v>
      </c>
      <c r="F886" s="81">
        <v>26</v>
      </c>
      <c r="G886" s="71" t="s">
        <v>503</v>
      </c>
      <c r="H886" s="71"/>
      <c r="I886" s="71" t="s">
        <v>491</v>
      </c>
      <c r="J886" s="70">
        <f>IFERROR(VLOOKUP(Devis[[#This Row],[Ref Air Flux]],#REF!,3,FALSE),0)</f>
        <v>0</v>
      </c>
      <c r="K886" s="68"/>
      <c r="L886" s="68"/>
      <c r="M886" s="68"/>
      <c r="N886" s="68"/>
      <c r="O886" s="68"/>
      <c r="P886" s="68"/>
      <c r="Q886" s="68">
        <f>SUM(Devis[[#This Row],[Poste 1]:[Poste 6]])</f>
        <v>0</v>
      </c>
      <c r="R886" s="71"/>
      <c r="S886" s="68">
        <f>_xlfn.CEILING.MATH(Devis[[#This Row],[Quantité Totale]],Devis[[#This Row],[Conditionnement]])</f>
        <v>0</v>
      </c>
      <c r="T886" s="97"/>
      <c r="U886" s="73"/>
      <c r="V886" s="74">
        <f>Devis[[#This Row],[Prix de Revient]]*Devis[[#This Row],[Poste 1]]</f>
        <v>0</v>
      </c>
      <c r="W886" s="74">
        <f>Devis[[#This Row],[Prix de Revient]]*Devis[[#This Row],[Poste 2]]</f>
        <v>0</v>
      </c>
      <c r="X886" s="74">
        <f>Devis[[#This Row],[Prix de Revient]]*Devis[[#This Row],[Poste 3]]</f>
        <v>0</v>
      </c>
      <c r="Y886" s="74">
        <f>Devis[[#This Row],[Poste 4]]*Devis[[#This Row],[Prix de Revient]]</f>
        <v>0</v>
      </c>
      <c r="Z886" s="74">
        <f>Devis[[#This Row],[Poste 5]]*Devis[[#This Row],[Prix de Revient]]</f>
        <v>0</v>
      </c>
      <c r="AA886" s="74">
        <f>Devis[[#This Row],[Prix de Revient]]*Devis[[#This Row],[Poste 6]]</f>
        <v>0</v>
      </c>
      <c r="AB886" s="74">
        <f>Devis[[#This Row],[Quantité Totale]]*Devis[[#This Row],[Prix de Revient]]</f>
        <v>0</v>
      </c>
    </row>
    <row r="887" spans="1:28" ht="14.25" outlineLevel="1" x14ac:dyDescent="0.2">
      <c r="A887" s="75" t="s">
        <v>356</v>
      </c>
      <c r="B887" s="76" t="s">
        <v>5101</v>
      </c>
      <c r="C887" s="75" t="s">
        <v>5104</v>
      </c>
      <c r="D887" s="81" t="str">
        <f t="shared" si="15"/>
        <v>FixationColliers pour flexiblesSerflex</v>
      </c>
      <c r="E887" s="75" t="s">
        <v>504</v>
      </c>
      <c r="F887" s="81">
        <v>27</v>
      </c>
      <c r="G887" s="71" t="s">
        <v>505</v>
      </c>
      <c r="H887" s="71"/>
      <c r="I887" s="71" t="s">
        <v>491</v>
      </c>
      <c r="J887" s="70">
        <f>IFERROR(VLOOKUP(Devis[[#This Row],[Ref Air Flux]],#REF!,3,FALSE),0)</f>
        <v>0</v>
      </c>
      <c r="K887" s="68"/>
      <c r="L887" s="68"/>
      <c r="M887" s="68"/>
      <c r="N887" s="68"/>
      <c r="O887" s="68"/>
      <c r="P887" s="68"/>
      <c r="Q887" s="68">
        <f>SUM(Devis[[#This Row],[Poste 1]:[Poste 6]])</f>
        <v>0</v>
      </c>
      <c r="R887" s="71"/>
      <c r="S887" s="68">
        <f>_xlfn.CEILING.MATH(Devis[[#This Row],[Quantité Totale]],Devis[[#This Row],[Conditionnement]])</f>
        <v>0</v>
      </c>
      <c r="T887" s="97"/>
      <c r="U887" s="73"/>
      <c r="V887" s="74">
        <f>Devis[[#This Row],[Prix de Revient]]*Devis[[#This Row],[Poste 1]]</f>
        <v>0</v>
      </c>
      <c r="W887" s="74">
        <f>Devis[[#This Row],[Prix de Revient]]*Devis[[#This Row],[Poste 2]]</f>
        <v>0</v>
      </c>
      <c r="X887" s="74">
        <f>Devis[[#This Row],[Prix de Revient]]*Devis[[#This Row],[Poste 3]]</f>
        <v>0</v>
      </c>
      <c r="Y887" s="74">
        <f>Devis[[#This Row],[Poste 4]]*Devis[[#This Row],[Prix de Revient]]</f>
        <v>0</v>
      </c>
      <c r="Z887" s="74">
        <f>Devis[[#This Row],[Poste 5]]*Devis[[#This Row],[Prix de Revient]]</f>
        <v>0</v>
      </c>
      <c r="AA887" s="74">
        <f>Devis[[#This Row],[Prix de Revient]]*Devis[[#This Row],[Poste 6]]</f>
        <v>0</v>
      </c>
      <c r="AB887" s="74">
        <f>Devis[[#This Row],[Quantité Totale]]*Devis[[#This Row],[Prix de Revient]]</f>
        <v>0</v>
      </c>
    </row>
    <row r="888" spans="1:28" ht="14.25" customHeight="1" outlineLevel="1" x14ac:dyDescent="0.2">
      <c r="A888" s="75" t="s">
        <v>356</v>
      </c>
      <c r="B888" s="76" t="s">
        <v>5101</v>
      </c>
      <c r="C888" s="75" t="s">
        <v>5105</v>
      </c>
      <c r="D888" s="81" t="str">
        <f t="shared" si="15"/>
        <v>FixationColliers pour flexiblesTourillon</v>
      </c>
      <c r="E888" s="75" t="s">
        <v>506</v>
      </c>
      <c r="F888" s="81">
        <v>28</v>
      </c>
      <c r="G888" s="71" t="s">
        <v>507</v>
      </c>
      <c r="H888" s="71"/>
      <c r="I888" s="71"/>
      <c r="J888" s="70">
        <f>IFERROR(VLOOKUP(Devis[[#This Row],[Ref Air Flux]],#REF!,3,FALSE),0)</f>
        <v>0</v>
      </c>
      <c r="K888" s="68"/>
      <c r="L888" s="68"/>
      <c r="M888" s="68"/>
      <c r="N888" s="68"/>
      <c r="O888" s="68"/>
      <c r="P888" s="68"/>
      <c r="Q888" s="68">
        <f>SUM(Devis[[#This Row],[Poste 1]:[Poste 6]])</f>
        <v>0</v>
      </c>
      <c r="R888" s="71"/>
      <c r="S888" s="68">
        <f>_xlfn.CEILING.MATH(Devis[[#This Row],[Quantité Totale]],Devis[[#This Row],[Conditionnement]])</f>
        <v>0</v>
      </c>
      <c r="T888" s="97"/>
      <c r="U888" s="73"/>
      <c r="V888" s="74">
        <f>Devis[[#This Row],[Prix de Revient]]*Devis[[#This Row],[Poste 1]]</f>
        <v>0</v>
      </c>
      <c r="W888" s="74">
        <f>Devis[[#This Row],[Prix de Revient]]*Devis[[#This Row],[Poste 2]]</f>
        <v>0</v>
      </c>
      <c r="X888" s="74">
        <f>Devis[[#This Row],[Prix de Revient]]*Devis[[#This Row],[Poste 3]]</f>
        <v>0</v>
      </c>
      <c r="Y888" s="74">
        <f>Devis[[#This Row],[Poste 4]]*Devis[[#This Row],[Prix de Revient]]</f>
        <v>0</v>
      </c>
      <c r="Z888" s="74">
        <f>Devis[[#This Row],[Poste 5]]*Devis[[#This Row],[Prix de Revient]]</f>
        <v>0</v>
      </c>
      <c r="AA888" s="74">
        <f>Devis[[#This Row],[Prix de Revient]]*Devis[[#This Row],[Poste 6]]</f>
        <v>0</v>
      </c>
      <c r="AB888" s="74">
        <f>Devis[[#This Row],[Quantité Totale]]*Devis[[#This Row],[Prix de Revient]]</f>
        <v>0</v>
      </c>
    </row>
    <row r="889" spans="1:28" ht="14.25" outlineLevel="1" x14ac:dyDescent="0.2">
      <c r="A889" s="75" t="s">
        <v>356</v>
      </c>
      <c r="B889" s="76" t="s">
        <v>5101</v>
      </c>
      <c r="C889" s="75" t="s">
        <v>5105</v>
      </c>
      <c r="D889" s="81" t="str">
        <f t="shared" si="15"/>
        <v>FixationColliers pour flexiblesTourillon</v>
      </c>
      <c r="E889" s="75" t="s">
        <v>508</v>
      </c>
      <c r="F889" s="81">
        <v>29</v>
      </c>
      <c r="G889" s="71" t="s">
        <v>509</v>
      </c>
      <c r="H889" s="71"/>
      <c r="I889" s="71"/>
      <c r="J889" s="70">
        <f>IFERROR(VLOOKUP(Devis[[#This Row],[Ref Air Flux]],#REF!,3,FALSE),0)</f>
        <v>0</v>
      </c>
      <c r="K889" s="68"/>
      <c r="L889" s="68"/>
      <c r="M889" s="68"/>
      <c r="N889" s="68"/>
      <c r="O889" s="68"/>
      <c r="P889" s="68"/>
      <c r="Q889" s="68">
        <f>SUM(Devis[[#This Row],[Poste 1]:[Poste 6]])</f>
        <v>0</v>
      </c>
      <c r="R889" s="71"/>
      <c r="S889" s="68">
        <f>_xlfn.CEILING.MATH(Devis[[#This Row],[Quantité Totale]],Devis[[#This Row],[Conditionnement]])</f>
        <v>0</v>
      </c>
      <c r="T889" s="97"/>
      <c r="U889" s="73"/>
      <c r="V889" s="74">
        <f>Devis[[#This Row],[Prix de Revient]]*Devis[[#This Row],[Poste 1]]</f>
        <v>0</v>
      </c>
      <c r="W889" s="74">
        <f>Devis[[#This Row],[Prix de Revient]]*Devis[[#This Row],[Poste 2]]</f>
        <v>0</v>
      </c>
      <c r="X889" s="74">
        <f>Devis[[#This Row],[Prix de Revient]]*Devis[[#This Row],[Poste 3]]</f>
        <v>0</v>
      </c>
      <c r="Y889" s="74">
        <f>Devis[[#This Row],[Poste 4]]*Devis[[#This Row],[Prix de Revient]]</f>
        <v>0</v>
      </c>
      <c r="Z889" s="74">
        <f>Devis[[#This Row],[Poste 5]]*Devis[[#This Row],[Prix de Revient]]</f>
        <v>0</v>
      </c>
      <c r="AA889" s="74">
        <f>Devis[[#This Row],[Prix de Revient]]*Devis[[#This Row],[Poste 6]]</f>
        <v>0</v>
      </c>
      <c r="AB889" s="74">
        <f>Devis[[#This Row],[Quantité Totale]]*Devis[[#This Row],[Prix de Revient]]</f>
        <v>0</v>
      </c>
    </row>
    <row r="890" spans="1:28" ht="14.25" outlineLevel="1" x14ac:dyDescent="0.2">
      <c r="A890" s="75" t="s">
        <v>356</v>
      </c>
      <c r="B890" s="76" t="s">
        <v>5101</v>
      </c>
      <c r="C890" s="75" t="s">
        <v>5105</v>
      </c>
      <c r="D890" s="81" t="str">
        <f t="shared" si="15"/>
        <v>FixationColliers pour flexiblesTourillon</v>
      </c>
      <c r="E890" s="75" t="s">
        <v>510</v>
      </c>
      <c r="F890" s="81">
        <v>30</v>
      </c>
      <c r="G890" s="71" t="s">
        <v>511</v>
      </c>
      <c r="H890" s="71"/>
      <c r="I890" s="71"/>
      <c r="J890" s="70">
        <f>IFERROR(VLOOKUP(Devis[[#This Row],[Ref Air Flux]],#REF!,3,FALSE),0)</f>
        <v>0</v>
      </c>
      <c r="K890" s="68"/>
      <c r="L890" s="68"/>
      <c r="M890" s="68"/>
      <c r="N890" s="68"/>
      <c r="O890" s="68"/>
      <c r="P890" s="68"/>
      <c r="Q890" s="68">
        <f>SUM(Devis[[#This Row],[Poste 1]:[Poste 6]])</f>
        <v>0</v>
      </c>
      <c r="R890" s="71"/>
      <c r="S890" s="68">
        <f>_xlfn.CEILING.MATH(Devis[[#This Row],[Quantité Totale]],Devis[[#This Row],[Conditionnement]])</f>
        <v>0</v>
      </c>
      <c r="T890" s="97"/>
      <c r="U890" s="73"/>
      <c r="V890" s="74">
        <f>Devis[[#This Row],[Prix de Revient]]*Devis[[#This Row],[Poste 1]]</f>
        <v>0</v>
      </c>
      <c r="W890" s="74">
        <f>Devis[[#This Row],[Prix de Revient]]*Devis[[#This Row],[Poste 2]]</f>
        <v>0</v>
      </c>
      <c r="X890" s="74">
        <f>Devis[[#This Row],[Prix de Revient]]*Devis[[#This Row],[Poste 3]]</f>
        <v>0</v>
      </c>
      <c r="Y890" s="74">
        <f>Devis[[#This Row],[Poste 4]]*Devis[[#This Row],[Prix de Revient]]</f>
        <v>0</v>
      </c>
      <c r="Z890" s="74">
        <f>Devis[[#This Row],[Poste 5]]*Devis[[#This Row],[Prix de Revient]]</f>
        <v>0</v>
      </c>
      <c r="AA890" s="74">
        <f>Devis[[#This Row],[Prix de Revient]]*Devis[[#This Row],[Poste 6]]</f>
        <v>0</v>
      </c>
      <c r="AB890" s="74">
        <f>Devis[[#This Row],[Quantité Totale]]*Devis[[#This Row],[Prix de Revient]]</f>
        <v>0</v>
      </c>
    </row>
    <row r="891" spans="1:28" ht="14.25" outlineLevel="1" x14ac:dyDescent="0.2">
      <c r="A891" s="75" t="s">
        <v>356</v>
      </c>
      <c r="B891" s="76" t="s">
        <v>5101</v>
      </c>
      <c r="C891" s="75" t="s">
        <v>5105</v>
      </c>
      <c r="D891" s="81" t="str">
        <f t="shared" si="15"/>
        <v>FixationColliers pour flexiblesTourillon</v>
      </c>
      <c r="E891" s="75" t="s">
        <v>512</v>
      </c>
      <c r="F891" s="81">
        <v>31</v>
      </c>
      <c r="G891" s="71" t="s">
        <v>513</v>
      </c>
      <c r="H891" s="71"/>
      <c r="I891" s="71"/>
      <c r="J891" s="70">
        <f>IFERROR(VLOOKUP(Devis[[#This Row],[Ref Air Flux]],#REF!,3,FALSE),0)</f>
        <v>0</v>
      </c>
      <c r="K891" s="68"/>
      <c r="L891" s="68"/>
      <c r="M891" s="68"/>
      <c r="N891" s="68"/>
      <c r="O891" s="68"/>
      <c r="P891" s="68"/>
      <c r="Q891" s="68">
        <f>SUM(Devis[[#This Row],[Poste 1]:[Poste 6]])</f>
        <v>0</v>
      </c>
      <c r="R891" s="71"/>
      <c r="S891" s="68">
        <f>_xlfn.CEILING.MATH(Devis[[#This Row],[Quantité Totale]],Devis[[#This Row],[Conditionnement]])</f>
        <v>0</v>
      </c>
      <c r="T891" s="97"/>
      <c r="U891" s="73"/>
      <c r="V891" s="74">
        <f>Devis[[#This Row],[Prix de Revient]]*Devis[[#This Row],[Poste 1]]</f>
        <v>0</v>
      </c>
      <c r="W891" s="74">
        <f>Devis[[#This Row],[Prix de Revient]]*Devis[[#This Row],[Poste 2]]</f>
        <v>0</v>
      </c>
      <c r="X891" s="74">
        <f>Devis[[#This Row],[Prix de Revient]]*Devis[[#This Row],[Poste 3]]</f>
        <v>0</v>
      </c>
      <c r="Y891" s="74">
        <f>Devis[[#This Row],[Poste 4]]*Devis[[#This Row],[Prix de Revient]]</f>
        <v>0</v>
      </c>
      <c r="Z891" s="74">
        <f>Devis[[#This Row],[Poste 5]]*Devis[[#This Row],[Prix de Revient]]</f>
        <v>0</v>
      </c>
      <c r="AA891" s="74">
        <f>Devis[[#This Row],[Prix de Revient]]*Devis[[#This Row],[Poste 6]]</f>
        <v>0</v>
      </c>
      <c r="AB891" s="74">
        <f>Devis[[#This Row],[Quantité Totale]]*Devis[[#This Row],[Prix de Revient]]</f>
        <v>0</v>
      </c>
    </row>
    <row r="892" spans="1:28" ht="14.25" outlineLevel="1" x14ac:dyDescent="0.2">
      <c r="A892" s="75" t="s">
        <v>356</v>
      </c>
      <c r="B892" s="76" t="s">
        <v>5101</v>
      </c>
      <c r="C892" s="75" t="s">
        <v>5105</v>
      </c>
      <c r="D892" s="81" t="str">
        <f t="shared" si="15"/>
        <v>FixationColliers pour flexiblesTourillon</v>
      </c>
      <c r="E892" s="75" t="s">
        <v>514</v>
      </c>
      <c r="F892" s="81">
        <v>32</v>
      </c>
      <c r="G892" s="71" t="s">
        <v>515</v>
      </c>
      <c r="H892" s="71"/>
      <c r="I892" s="71"/>
      <c r="J892" s="70">
        <f>IFERROR(VLOOKUP(Devis[[#This Row],[Ref Air Flux]],#REF!,3,FALSE),0)</f>
        <v>0</v>
      </c>
      <c r="K892" s="68"/>
      <c r="L892" s="68"/>
      <c r="M892" s="68"/>
      <c r="N892" s="68"/>
      <c r="O892" s="68"/>
      <c r="P892" s="68"/>
      <c r="Q892" s="68">
        <f>SUM(Devis[[#This Row],[Poste 1]:[Poste 6]])</f>
        <v>0</v>
      </c>
      <c r="R892" s="71"/>
      <c r="S892" s="68">
        <f>_xlfn.CEILING.MATH(Devis[[#This Row],[Quantité Totale]],Devis[[#This Row],[Conditionnement]])</f>
        <v>0</v>
      </c>
      <c r="T892" s="72"/>
      <c r="U892" s="98"/>
      <c r="V892" s="74">
        <f>Devis[[#This Row],[Prix de Revient]]*Devis[[#This Row],[Poste 1]]</f>
        <v>0</v>
      </c>
      <c r="W892" s="74">
        <f>Devis[[#This Row],[Prix de Revient]]*Devis[[#This Row],[Poste 2]]</f>
        <v>0</v>
      </c>
      <c r="X892" s="74">
        <f>Devis[[#This Row],[Prix de Revient]]*Devis[[#This Row],[Poste 3]]</f>
        <v>0</v>
      </c>
      <c r="Y892" s="74">
        <f>Devis[[#This Row],[Poste 4]]*Devis[[#This Row],[Prix de Revient]]</f>
        <v>0</v>
      </c>
      <c r="Z892" s="74">
        <f>Devis[[#This Row],[Poste 5]]*Devis[[#This Row],[Prix de Revient]]</f>
        <v>0</v>
      </c>
      <c r="AA892" s="74">
        <f>Devis[[#This Row],[Prix de Revient]]*Devis[[#This Row],[Poste 6]]</f>
        <v>0</v>
      </c>
      <c r="AB892" s="74">
        <f>Devis[[#This Row],[Quantité Totale]]*Devis[[#This Row],[Prix de Revient]]</f>
        <v>0</v>
      </c>
    </row>
    <row r="893" spans="1:28" ht="14.25" outlineLevel="1" x14ac:dyDescent="0.2">
      <c r="A893" s="75" t="s">
        <v>356</v>
      </c>
      <c r="B893" s="76" t="s">
        <v>5101</v>
      </c>
      <c r="C893" s="75" t="s">
        <v>5105</v>
      </c>
      <c r="D893" s="81" t="str">
        <f t="shared" si="15"/>
        <v>FixationColliers pour flexiblesTourillon</v>
      </c>
      <c r="E893" s="75" t="s">
        <v>516</v>
      </c>
      <c r="F893" s="81">
        <v>33</v>
      </c>
      <c r="G893" s="71" t="s">
        <v>517</v>
      </c>
      <c r="H893" s="71"/>
      <c r="I893" s="71"/>
      <c r="J893" s="70">
        <f>IFERROR(VLOOKUP(Devis[[#This Row],[Ref Air Flux]],#REF!,3,FALSE),0)</f>
        <v>0</v>
      </c>
      <c r="K893" s="68"/>
      <c r="L893" s="68"/>
      <c r="M893" s="68"/>
      <c r="N893" s="68"/>
      <c r="O893" s="68"/>
      <c r="P893" s="68"/>
      <c r="Q893" s="68">
        <f>SUM(Devis[[#This Row],[Poste 1]:[Poste 6]])</f>
        <v>0</v>
      </c>
      <c r="R893" s="71"/>
      <c r="S893" s="68">
        <f>_xlfn.CEILING.MATH(Devis[[#This Row],[Quantité Totale]],Devis[[#This Row],[Conditionnement]])</f>
        <v>0</v>
      </c>
      <c r="T893" s="72"/>
      <c r="U893" s="98"/>
      <c r="V893" s="74">
        <f>Devis[[#This Row],[Prix de Revient]]*Devis[[#This Row],[Poste 1]]</f>
        <v>0</v>
      </c>
      <c r="W893" s="74">
        <f>Devis[[#This Row],[Prix de Revient]]*Devis[[#This Row],[Poste 2]]</f>
        <v>0</v>
      </c>
      <c r="X893" s="74">
        <f>Devis[[#This Row],[Prix de Revient]]*Devis[[#This Row],[Poste 3]]</f>
        <v>0</v>
      </c>
      <c r="Y893" s="74">
        <f>Devis[[#This Row],[Poste 4]]*Devis[[#This Row],[Prix de Revient]]</f>
        <v>0</v>
      </c>
      <c r="Z893" s="74">
        <f>Devis[[#This Row],[Poste 5]]*Devis[[#This Row],[Prix de Revient]]</f>
        <v>0</v>
      </c>
      <c r="AA893" s="74">
        <f>Devis[[#This Row],[Prix de Revient]]*Devis[[#This Row],[Poste 6]]</f>
        <v>0</v>
      </c>
      <c r="AB893" s="74">
        <f>Devis[[#This Row],[Quantité Totale]]*Devis[[#This Row],[Prix de Revient]]</f>
        <v>0</v>
      </c>
    </row>
    <row r="894" spans="1:28" ht="14.25" customHeight="1" x14ac:dyDescent="0.25">
      <c r="A894" s="65" t="s">
        <v>356</v>
      </c>
      <c r="B894" s="65" t="s">
        <v>4083</v>
      </c>
      <c r="C894" s="76"/>
      <c r="D894" s="81" t="str">
        <f t="shared" si="15"/>
        <v>FixationConsoles</v>
      </c>
      <c r="E894" s="76"/>
      <c r="F894" s="81">
        <v>0</v>
      </c>
      <c r="G894" s="71"/>
      <c r="H894" s="71"/>
      <c r="I894" s="71"/>
      <c r="J894" s="70">
        <f>IFERROR(VLOOKUP(Devis[[#This Row],[Ref Air Flux]],#REF!,3,FALSE),0)</f>
        <v>0</v>
      </c>
      <c r="K894" s="68"/>
      <c r="L894" s="68"/>
      <c r="M894" s="68"/>
      <c r="N894" s="68"/>
      <c r="O894" s="68"/>
      <c r="P894" s="68"/>
      <c r="Q894" s="68">
        <f>SUM(Devis[[#This Row],[Poste 1]:[Poste 6]])</f>
        <v>0</v>
      </c>
      <c r="R894" s="71"/>
      <c r="S894" s="68">
        <f>_xlfn.CEILING.MATH(Devis[[#This Row],[Quantité Totale]],Devis[[#This Row],[Conditionnement]])</f>
        <v>0</v>
      </c>
      <c r="T894" s="72"/>
      <c r="U894" s="98"/>
      <c r="V894" s="74">
        <f>Devis[[#This Row],[Prix de Revient]]*Devis[[#This Row],[Poste 1]]</f>
        <v>0</v>
      </c>
      <c r="W894" s="74">
        <f>Devis[[#This Row],[Prix de Revient]]*Devis[[#This Row],[Poste 2]]</f>
        <v>0</v>
      </c>
      <c r="X894" s="74">
        <f>Devis[[#This Row],[Prix de Revient]]*Devis[[#This Row],[Poste 3]]</f>
        <v>0</v>
      </c>
      <c r="Y894" s="74">
        <f>Devis[[#This Row],[Poste 4]]*Devis[[#This Row],[Prix de Revient]]</f>
        <v>0</v>
      </c>
      <c r="Z894" s="74">
        <f>Devis[[#This Row],[Poste 5]]*Devis[[#This Row],[Prix de Revient]]</f>
        <v>0</v>
      </c>
      <c r="AA894" s="74">
        <f>Devis[[#This Row],[Prix de Revient]]*Devis[[#This Row],[Poste 6]]</f>
        <v>0</v>
      </c>
      <c r="AB894" s="74">
        <f>Devis[[#This Row],[Quantité Totale]]*Devis[[#This Row],[Prix de Revient]]</f>
        <v>0</v>
      </c>
    </row>
    <row r="895" spans="1:28" ht="14.25" outlineLevel="1" x14ac:dyDescent="0.2">
      <c r="A895" s="75" t="s">
        <v>356</v>
      </c>
      <c r="B895" s="76" t="s">
        <v>4083</v>
      </c>
      <c r="C895" s="75"/>
      <c r="D895" s="81" t="str">
        <f t="shared" si="15"/>
        <v>FixationConsoles</v>
      </c>
      <c r="E895" s="75" t="s">
        <v>518</v>
      </c>
      <c r="F895" s="81">
        <v>1</v>
      </c>
      <c r="G895" s="71" t="s">
        <v>519</v>
      </c>
      <c r="H895" s="71"/>
      <c r="I895" s="71"/>
      <c r="J895" s="70">
        <f>IFERROR(VLOOKUP(Devis[[#This Row],[Ref Air Flux]],#REF!,3,FALSE),0)</f>
        <v>0</v>
      </c>
      <c r="K895" s="68"/>
      <c r="L895" s="68"/>
      <c r="M895" s="68"/>
      <c r="N895" s="68"/>
      <c r="O895" s="68"/>
      <c r="P895" s="68"/>
      <c r="Q895" s="68">
        <f>SUM(Devis[[#This Row],[Poste 1]:[Poste 6]])</f>
        <v>0</v>
      </c>
      <c r="R895" s="71"/>
      <c r="S895" s="68">
        <f>_xlfn.CEILING.MATH(Devis[[#This Row],[Quantité Totale]],Devis[[#This Row],[Conditionnement]])</f>
        <v>0</v>
      </c>
      <c r="T895" s="97"/>
      <c r="U895" s="73"/>
      <c r="V895" s="74">
        <f>Devis[[#This Row],[Prix de Revient]]*Devis[[#This Row],[Poste 1]]</f>
        <v>0</v>
      </c>
      <c r="W895" s="74">
        <f>Devis[[#This Row],[Prix de Revient]]*Devis[[#This Row],[Poste 2]]</f>
        <v>0</v>
      </c>
      <c r="X895" s="74">
        <f>Devis[[#This Row],[Prix de Revient]]*Devis[[#This Row],[Poste 3]]</f>
        <v>0</v>
      </c>
      <c r="Y895" s="74">
        <f>Devis[[#This Row],[Poste 4]]*Devis[[#This Row],[Prix de Revient]]</f>
        <v>0</v>
      </c>
      <c r="Z895" s="74">
        <f>Devis[[#This Row],[Poste 5]]*Devis[[#This Row],[Prix de Revient]]</f>
        <v>0</v>
      </c>
      <c r="AA895" s="74">
        <f>Devis[[#This Row],[Prix de Revient]]*Devis[[#This Row],[Poste 6]]</f>
        <v>0</v>
      </c>
      <c r="AB895" s="74">
        <f>Devis[[#This Row],[Quantité Totale]]*Devis[[#This Row],[Prix de Revient]]</f>
        <v>0</v>
      </c>
    </row>
    <row r="896" spans="1:28" ht="14.25" outlineLevel="1" x14ac:dyDescent="0.2">
      <c r="A896" s="75" t="s">
        <v>356</v>
      </c>
      <c r="B896" s="76" t="s">
        <v>4083</v>
      </c>
      <c r="C896" s="75"/>
      <c r="D896" s="81" t="str">
        <f t="shared" si="15"/>
        <v>FixationConsoles</v>
      </c>
      <c r="E896" s="75" t="s">
        <v>520</v>
      </c>
      <c r="F896" s="81">
        <v>2</v>
      </c>
      <c r="G896" s="71">
        <v>40142</v>
      </c>
      <c r="H896" s="71"/>
      <c r="I896" s="71"/>
      <c r="J896" s="70">
        <f>IFERROR(VLOOKUP(Devis[[#This Row],[Ref Air Flux]],#REF!,3,FALSE),0)</f>
        <v>0</v>
      </c>
      <c r="K896" s="68"/>
      <c r="L896" s="68"/>
      <c r="M896" s="68"/>
      <c r="N896" s="68"/>
      <c r="O896" s="68"/>
      <c r="P896" s="68"/>
      <c r="Q896" s="68">
        <f>SUM(Devis[[#This Row],[Poste 1]:[Poste 6]])</f>
        <v>0</v>
      </c>
      <c r="R896" s="71"/>
      <c r="S896" s="68">
        <f>_xlfn.CEILING.MATH(Devis[[#This Row],[Quantité Totale]],Devis[[#This Row],[Conditionnement]])</f>
        <v>0</v>
      </c>
      <c r="T896" s="97"/>
      <c r="U896" s="73"/>
      <c r="V896" s="74">
        <f>Devis[[#This Row],[Prix de Revient]]*Devis[[#This Row],[Poste 1]]</f>
        <v>0</v>
      </c>
      <c r="W896" s="74">
        <f>Devis[[#This Row],[Prix de Revient]]*Devis[[#This Row],[Poste 2]]</f>
        <v>0</v>
      </c>
      <c r="X896" s="74">
        <f>Devis[[#This Row],[Prix de Revient]]*Devis[[#This Row],[Poste 3]]</f>
        <v>0</v>
      </c>
      <c r="Y896" s="74">
        <f>Devis[[#This Row],[Poste 4]]*Devis[[#This Row],[Prix de Revient]]</f>
        <v>0</v>
      </c>
      <c r="Z896" s="74">
        <f>Devis[[#This Row],[Poste 5]]*Devis[[#This Row],[Prix de Revient]]</f>
        <v>0</v>
      </c>
      <c r="AA896" s="74">
        <f>Devis[[#This Row],[Prix de Revient]]*Devis[[#This Row],[Poste 6]]</f>
        <v>0</v>
      </c>
      <c r="AB896" s="74">
        <f>Devis[[#This Row],[Quantité Totale]]*Devis[[#This Row],[Prix de Revient]]</f>
        <v>0</v>
      </c>
    </row>
    <row r="897" spans="1:28" ht="14.25" customHeight="1" outlineLevel="1" x14ac:dyDescent="0.2">
      <c r="A897" s="75" t="s">
        <v>356</v>
      </c>
      <c r="B897" s="76" t="s">
        <v>4083</v>
      </c>
      <c r="C897" s="75"/>
      <c r="D897" s="81" t="str">
        <f t="shared" si="15"/>
        <v>FixationConsoles</v>
      </c>
      <c r="E897" s="75" t="s">
        <v>521</v>
      </c>
      <c r="F897" s="81">
        <v>3</v>
      </c>
      <c r="G897" s="71">
        <v>41092</v>
      </c>
      <c r="H897" s="71"/>
      <c r="I897" s="71" t="s">
        <v>522</v>
      </c>
      <c r="J897" s="70">
        <f>IFERROR(VLOOKUP(Devis[[#This Row],[Ref Air Flux]],#REF!,3,FALSE),0)</f>
        <v>0</v>
      </c>
      <c r="K897" s="68"/>
      <c r="L897" s="68"/>
      <c r="M897" s="68"/>
      <c r="N897" s="68"/>
      <c r="O897" s="68"/>
      <c r="P897" s="68"/>
      <c r="Q897" s="68">
        <f>SUM(Devis[[#This Row],[Poste 1]:[Poste 6]])</f>
        <v>0</v>
      </c>
      <c r="R897" s="71"/>
      <c r="S897" s="68">
        <f>_xlfn.CEILING.MATH(Devis[[#This Row],[Quantité Totale]],Devis[[#This Row],[Conditionnement]])</f>
        <v>0</v>
      </c>
      <c r="T897" s="97"/>
      <c r="U897" s="73"/>
      <c r="V897" s="74">
        <f>Devis[[#This Row],[Prix de Revient]]*Devis[[#This Row],[Poste 1]]</f>
        <v>0</v>
      </c>
      <c r="W897" s="74">
        <f>Devis[[#This Row],[Prix de Revient]]*Devis[[#This Row],[Poste 2]]</f>
        <v>0</v>
      </c>
      <c r="X897" s="74">
        <f>Devis[[#This Row],[Prix de Revient]]*Devis[[#This Row],[Poste 3]]</f>
        <v>0</v>
      </c>
      <c r="Y897" s="74">
        <f>Devis[[#This Row],[Poste 4]]*Devis[[#This Row],[Prix de Revient]]</f>
        <v>0</v>
      </c>
      <c r="Z897" s="74">
        <f>Devis[[#This Row],[Poste 5]]*Devis[[#This Row],[Prix de Revient]]</f>
        <v>0</v>
      </c>
      <c r="AA897" s="74">
        <f>Devis[[#This Row],[Prix de Revient]]*Devis[[#This Row],[Poste 6]]</f>
        <v>0</v>
      </c>
      <c r="AB897" s="74">
        <f>Devis[[#This Row],[Quantité Totale]]*Devis[[#This Row],[Prix de Revient]]</f>
        <v>0</v>
      </c>
    </row>
    <row r="898" spans="1:28" ht="14.25" outlineLevel="1" x14ac:dyDescent="0.2">
      <c r="A898" s="75" t="s">
        <v>356</v>
      </c>
      <c r="B898" s="76" t="s">
        <v>4083</v>
      </c>
      <c r="C898" s="75"/>
      <c r="D898" s="81" t="str">
        <f t="shared" si="15"/>
        <v>FixationConsoles</v>
      </c>
      <c r="E898" s="75" t="s">
        <v>523</v>
      </c>
      <c r="F898" s="81">
        <v>4</v>
      </c>
      <c r="G898" s="71">
        <v>13150</v>
      </c>
      <c r="H898" s="71"/>
      <c r="I898" s="71" t="s">
        <v>524</v>
      </c>
      <c r="J898" s="70">
        <f>IFERROR(VLOOKUP(Devis[[#This Row],[Ref Air Flux]],#REF!,3,FALSE),0)</f>
        <v>0</v>
      </c>
      <c r="K898" s="68"/>
      <c r="L898" s="68"/>
      <c r="M898" s="68"/>
      <c r="N898" s="68"/>
      <c r="O898" s="68"/>
      <c r="P898" s="68"/>
      <c r="Q898" s="68">
        <f>SUM(Devis[[#This Row],[Poste 1]:[Poste 6]])</f>
        <v>0</v>
      </c>
      <c r="R898" s="71"/>
      <c r="S898" s="68">
        <f>_xlfn.CEILING.MATH(Devis[[#This Row],[Quantité Totale]],Devis[[#This Row],[Conditionnement]])</f>
        <v>0</v>
      </c>
      <c r="T898" s="72"/>
      <c r="U898" s="73" t="s">
        <v>525</v>
      </c>
      <c r="V898" s="74">
        <f>Devis[[#This Row],[Prix de Revient]]*Devis[[#This Row],[Poste 1]]</f>
        <v>0</v>
      </c>
      <c r="W898" s="74">
        <f>Devis[[#This Row],[Prix de Revient]]*Devis[[#This Row],[Poste 2]]</f>
        <v>0</v>
      </c>
      <c r="X898" s="74">
        <f>Devis[[#This Row],[Prix de Revient]]*Devis[[#This Row],[Poste 3]]</f>
        <v>0</v>
      </c>
      <c r="Y898" s="74">
        <f>Devis[[#This Row],[Poste 4]]*Devis[[#This Row],[Prix de Revient]]</f>
        <v>0</v>
      </c>
      <c r="Z898" s="74">
        <f>Devis[[#This Row],[Poste 5]]*Devis[[#This Row],[Prix de Revient]]</f>
        <v>0</v>
      </c>
      <c r="AA898" s="74">
        <f>Devis[[#This Row],[Prix de Revient]]*Devis[[#This Row],[Poste 6]]</f>
        <v>0</v>
      </c>
      <c r="AB898" s="74">
        <f>Devis[[#This Row],[Quantité Totale]]*Devis[[#This Row],[Prix de Revient]]</f>
        <v>0</v>
      </c>
    </row>
    <row r="899" spans="1:28" ht="14.25" customHeight="1" outlineLevel="1" x14ac:dyDescent="0.2">
      <c r="A899" s="75" t="s">
        <v>356</v>
      </c>
      <c r="B899" s="76" t="s">
        <v>4083</v>
      </c>
      <c r="C899" s="75"/>
      <c r="D899" s="81" t="str">
        <f t="shared" si="15"/>
        <v>FixationConsoles</v>
      </c>
      <c r="E899" s="75" t="s">
        <v>526</v>
      </c>
      <c r="F899" s="81">
        <v>5</v>
      </c>
      <c r="G899" s="71" t="s">
        <v>527</v>
      </c>
      <c r="H899" s="71"/>
      <c r="I899" s="71" t="s">
        <v>528</v>
      </c>
      <c r="J899" s="70">
        <f>IFERROR(VLOOKUP(Devis[[#This Row],[Ref Air Flux]],#REF!,3,FALSE),0)</f>
        <v>0</v>
      </c>
      <c r="K899" s="68"/>
      <c r="L899" s="68"/>
      <c r="M899" s="68"/>
      <c r="N899" s="68"/>
      <c r="O899" s="68"/>
      <c r="P899" s="68"/>
      <c r="Q899" s="68">
        <f>SUM(Devis[[#This Row],[Poste 1]:[Poste 6]])</f>
        <v>0</v>
      </c>
      <c r="R899" s="71"/>
      <c r="S899" s="68">
        <f>_xlfn.CEILING.MATH(Devis[[#This Row],[Quantité Totale]],Devis[[#This Row],[Conditionnement]])</f>
        <v>0</v>
      </c>
      <c r="T899" s="97"/>
      <c r="U899" s="73"/>
      <c r="V899" s="74">
        <f>Devis[[#This Row],[Prix de Revient]]*Devis[[#This Row],[Poste 1]]</f>
        <v>0</v>
      </c>
      <c r="W899" s="74">
        <f>Devis[[#This Row],[Prix de Revient]]*Devis[[#This Row],[Poste 2]]</f>
        <v>0</v>
      </c>
      <c r="X899" s="74">
        <f>Devis[[#This Row],[Prix de Revient]]*Devis[[#This Row],[Poste 3]]</f>
        <v>0</v>
      </c>
      <c r="Y899" s="74">
        <f>Devis[[#This Row],[Poste 4]]*Devis[[#This Row],[Prix de Revient]]</f>
        <v>0</v>
      </c>
      <c r="Z899" s="74">
        <f>Devis[[#This Row],[Poste 5]]*Devis[[#This Row],[Prix de Revient]]</f>
        <v>0</v>
      </c>
      <c r="AA899" s="74">
        <f>Devis[[#This Row],[Prix de Revient]]*Devis[[#This Row],[Poste 6]]</f>
        <v>0</v>
      </c>
      <c r="AB899" s="74">
        <f>Devis[[#This Row],[Quantité Totale]]*Devis[[#This Row],[Prix de Revient]]</f>
        <v>0</v>
      </c>
    </row>
    <row r="900" spans="1:28" ht="14.25" customHeight="1" x14ac:dyDescent="0.25">
      <c r="A900" s="65" t="s">
        <v>356</v>
      </c>
      <c r="B900" s="65" t="s">
        <v>5106</v>
      </c>
      <c r="C900" s="76"/>
      <c r="D900" s="81" t="str">
        <f t="shared" si="15"/>
        <v>FixationCRAPAUD  ou Crampon</v>
      </c>
      <c r="E900" s="76"/>
      <c r="F900" s="81">
        <v>0</v>
      </c>
      <c r="G900" s="71"/>
      <c r="H900" s="71"/>
      <c r="I900" s="71"/>
      <c r="J900" s="70">
        <f>IFERROR(VLOOKUP(Devis[[#This Row],[Ref Air Flux]],#REF!,3,FALSE),0)</f>
        <v>0</v>
      </c>
      <c r="K900" s="68"/>
      <c r="L900" s="68"/>
      <c r="M900" s="68"/>
      <c r="N900" s="68"/>
      <c r="O900" s="68"/>
      <c r="P900" s="68"/>
      <c r="Q900" s="68">
        <f>SUM(Devis[[#This Row],[Poste 1]:[Poste 6]])</f>
        <v>0</v>
      </c>
      <c r="R900" s="71"/>
      <c r="S900" s="68">
        <f>_xlfn.CEILING.MATH(Devis[[#This Row],[Quantité Totale]],Devis[[#This Row],[Conditionnement]])</f>
        <v>0</v>
      </c>
      <c r="T900" s="97"/>
      <c r="U900" s="73"/>
      <c r="V900" s="74">
        <f>Devis[[#This Row],[Prix de Revient]]*Devis[[#This Row],[Poste 1]]</f>
        <v>0</v>
      </c>
      <c r="W900" s="74">
        <f>Devis[[#This Row],[Prix de Revient]]*Devis[[#This Row],[Poste 2]]</f>
        <v>0</v>
      </c>
      <c r="X900" s="74">
        <f>Devis[[#This Row],[Prix de Revient]]*Devis[[#This Row],[Poste 3]]</f>
        <v>0</v>
      </c>
      <c r="Y900" s="74">
        <f>Devis[[#This Row],[Poste 4]]*Devis[[#This Row],[Prix de Revient]]</f>
        <v>0</v>
      </c>
      <c r="Z900" s="74">
        <f>Devis[[#This Row],[Poste 5]]*Devis[[#This Row],[Prix de Revient]]</f>
        <v>0</v>
      </c>
      <c r="AA900" s="74">
        <f>Devis[[#This Row],[Prix de Revient]]*Devis[[#This Row],[Poste 6]]</f>
        <v>0</v>
      </c>
      <c r="AB900" s="74">
        <f>Devis[[#This Row],[Quantité Totale]]*Devis[[#This Row],[Prix de Revient]]</f>
        <v>0</v>
      </c>
    </row>
    <row r="901" spans="1:28" ht="14.25" outlineLevel="1" x14ac:dyDescent="0.2">
      <c r="A901" s="75" t="s">
        <v>356</v>
      </c>
      <c r="B901" s="76" t="s">
        <v>5106</v>
      </c>
      <c r="C901" s="75"/>
      <c r="D901" s="81" t="str">
        <f t="shared" si="15"/>
        <v>FixationCRAPAUD  ou Crampon</v>
      </c>
      <c r="E901" s="75" t="s">
        <v>529</v>
      </c>
      <c r="F901" s="81">
        <v>1</v>
      </c>
      <c r="G901" s="71">
        <v>130248</v>
      </c>
      <c r="H901" s="71"/>
      <c r="I901" s="71" t="s">
        <v>530</v>
      </c>
      <c r="J901" s="70">
        <f>IFERROR(VLOOKUP(Devis[[#This Row],[Ref Air Flux]],#REF!,3,FALSE),0)</f>
        <v>0</v>
      </c>
      <c r="K901" s="68"/>
      <c r="L901" s="68"/>
      <c r="M901" s="68"/>
      <c r="N901" s="68"/>
      <c r="O901" s="68"/>
      <c r="P901" s="68"/>
      <c r="Q901" s="68">
        <f>SUM(Devis[[#This Row],[Poste 1]:[Poste 6]])</f>
        <v>0</v>
      </c>
      <c r="R901" s="71"/>
      <c r="S901" s="68">
        <f>_xlfn.CEILING.MATH(Devis[[#This Row],[Quantité Totale]],Devis[[#This Row],[Conditionnement]])</f>
        <v>0</v>
      </c>
      <c r="T901" s="97"/>
      <c r="U901" s="98"/>
      <c r="V901" s="74">
        <f>Devis[[#This Row],[Prix de Revient]]*Devis[[#This Row],[Poste 1]]</f>
        <v>0</v>
      </c>
      <c r="W901" s="74">
        <f>Devis[[#This Row],[Prix de Revient]]*Devis[[#This Row],[Poste 2]]</f>
        <v>0</v>
      </c>
      <c r="X901" s="74">
        <f>Devis[[#This Row],[Prix de Revient]]*Devis[[#This Row],[Poste 3]]</f>
        <v>0</v>
      </c>
      <c r="Y901" s="74">
        <f>Devis[[#This Row],[Poste 4]]*Devis[[#This Row],[Prix de Revient]]</f>
        <v>0</v>
      </c>
      <c r="Z901" s="74">
        <f>Devis[[#This Row],[Poste 5]]*Devis[[#This Row],[Prix de Revient]]</f>
        <v>0</v>
      </c>
      <c r="AA901" s="74">
        <f>Devis[[#This Row],[Prix de Revient]]*Devis[[#This Row],[Poste 6]]</f>
        <v>0</v>
      </c>
      <c r="AB901" s="74">
        <f>Devis[[#This Row],[Quantité Totale]]*Devis[[#This Row],[Prix de Revient]]</f>
        <v>0</v>
      </c>
    </row>
    <row r="902" spans="1:28" ht="14.25" outlineLevel="1" x14ac:dyDescent="0.2">
      <c r="A902" s="75" t="s">
        <v>356</v>
      </c>
      <c r="B902" s="76" t="s">
        <v>5106</v>
      </c>
      <c r="C902" s="75"/>
      <c r="D902" s="81" t="str">
        <f t="shared" si="15"/>
        <v>FixationCRAPAUD  ou Crampon</v>
      </c>
      <c r="E902" s="75" t="s">
        <v>531</v>
      </c>
      <c r="F902" s="81">
        <v>2</v>
      </c>
      <c r="G902" s="71">
        <v>39098</v>
      </c>
      <c r="H902" s="71"/>
      <c r="I902" s="71" t="s">
        <v>532</v>
      </c>
      <c r="J902" s="70">
        <f>IFERROR(VLOOKUP(Devis[[#This Row],[Ref Air Flux]],#REF!,3,FALSE),0)</f>
        <v>0</v>
      </c>
      <c r="K902" s="68"/>
      <c r="L902" s="68"/>
      <c r="M902" s="68"/>
      <c r="N902" s="68"/>
      <c r="O902" s="68"/>
      <c r="P902" s="68"/>
      <c r="Q902" s="68">
        <f>SUM(Devis[[#This Row],[Poste 1]:[Poste 6]])</f>
        <v>0</v>
      </c>
      <c r="R902" s="71"/>
      <c r="S902" s="68">
        <f>_xlfn.CEILING.MATH(Devis[[#This Row],[Quantité Totale]],Devis[[#This Row],[Conditionnement]])</f>
        <v>0</v>
      </c>
      <c r="T902" s="97"/>
      <c r="U902" s="73"/>
      <c r="V902" s="74">
        <f>Devis[[#This Row],[Prix de Revient]]*Devis[[#This Row],[Poste 1]]</f>
        <v>0</v>
      </c>
      <c r="W902" s="74">
        <f>Devis[[#This Row],[Prix de Revient]]*Devis[[#This Row],[Poste 2]]</f>
        <v>0</v>
      </c>
      <c r="X902" s="74">
        <f>Devis[[#This Row],[Prix de Revient]]*Devis[[#This Row],[Poste 3]]</f>
        <v>0</v>
      </c>
      <c r="Y902" s="74">
        <f>Devis[[#This Row],[Poste 4]]*Devis[[#This Row],[Prix de Revient]]</f>
        <v>0</v>
      </c>
      <c r="Z902" s="74">
        <f>Devis[[#This Row],[Poste 5]]*Devis[[#This Row],[Prix de Revient]]</f>
        <v>0</v>
      </c>
      <c r="AA902" s="74">
        <f>Devis[[#This Row],[Prix de Revient]]*Devis[[#This Row],[Poste 6]]</f>
        <v>0</v>
      </c>
      <c r="AB902" s="74">
        <f>Devis[[#This Row],[Quantité Totale]]*Devis[[#This Row],[Prix de Revient]]</f>
        <v>0</v>
      </c>
    </row>
    <row r="903" spans="1:28" ht="14.25" customHeight="1" outlineLevel="1" x14ac:dyDescent="0.2">
      <c r="A903" s="75" t="s">
        <v>356</v>
      </c>
      <c r="B903" s="76" t="s">
        <v>5106</v>
      </c>
      <c r="C903" s="75"/>
      <c r="D903" s="81" t="str">
        <f t="shared" si="15"/>
        <v>FixationCRAPAUD  ou Crampon</v>
      </c>
      <c r="E903" s="75" t="s">
        <v>389</v>
      </c>
      <c r="F903" s="81">
        <v>3</v>
      </c>
      <c r="G903" s="71">
        <v>39101</v>
      </c>
      <c r="H903" s="71"/>
      <c r="I903" s="71" t="s">
        <v>533</v>
      </c>
      <c r="J903" s="70">
        <f>IFERROR(VLOOKUP(Devis[[#This Row],[Ref Air Flux]],#REF!,3,FALSE),0)</f>
        <v>0</v>
      </c>
      <c r="K903" s="68"/>
      <c r="L903" s="68"/>
      <c r="M903" s="68"/>
      <c r="N903" s="68"/>
      <c r="O903" s="68"/>
      <c r="P903" s="68"/>
      <c r="Q903" s="68">
        <f>SUM(Devis[[#This Row],[Poste 1]:[Poste 6]])</f>
        <v>0</v>
      </c>
      <c r="R903" s="71"/>
      <c r="S903" s="68">
        <f>_xlfn.CEILING.MATH(Devis[[#This Row],[Quantité Totale]],Devis[[#This Row],[Conditionnement]])</f>
        <v>0</v>
      </c>
      <c r="T903" s="97"/>
      <c r="U903" s="73"/>
      <c r="V903" s="74">
        <f>Devis[[#This Row],[Prix de Revient]]*Devis[[#This Row],[Poste 1]]</f>
        <v>0</v>
      </c>
      <c r="W903" s="74">
        <f>Devis[[#This Row],[Prix de Revient]]*Devis[[#This Row],[Poste 2]]</f>
        <v>0</v>
      </c>
      <c r="X903" s="74">
        <f>Devis[[#This Row],[Prix de Revient]]*Devis[[#This Row],[Poste 3]]</f>
        <v>0</v>
      </c>
      <c r="Y903" s="74">
        <f>Devis[[#This Row],[Poste 4]]*Devis[[#This Row],[Prix de Revient]]</f>
        <v>0</v>
      </c>
      <c r="Z903" s="74">
        <f>Devis[[#This Row],[Poste 5]]*Devis[[#This Row],[Prix de Revient]]</f>
        <v>0</v>
      </c>
      <c r="AA903" s="74">
        <f>Devis[[#This Row],[Prix de Revient]]*Devis[[#This Row],[Poste 6]]</f>
        <v>0</v>
      </c>
      <c r="AB903" s="74">
        <f>Devis[[#This Row],[Quantité Totale]]*Devis[[#This Row],[Prix de Revient]]</f>
        <v>0</v>
      </c>
    </row>
    <row r="904" spans="1:28" ht="14.25" customHeight="1" x14ac:dyDescent="0.25">
      <c r="A904" s="65" t="s">
        <v>356</v>
      </c>
      <c r="B904" s="65" t="s">
        <v>534</v>
      </c>
      <c r="C904" s="76"/>
      <c r="D904" s="81" t="str">
        <f t="shared" si="15"/>
        <v>FixationEcrous</v>
      </c>
      <c r="E904" s="76"/>
      <c r="F904" s="81">
        <v>0</v>
      </c>
      <c r="G904" s="71"/>
      <c r="H904" s="71"/>
      <c r="I904" s="71"/>
      <c r="J904" s="70">
        <f>IFERROR(VLOOKUP(Devis[[#This Row],[Ref Air Flux]],#REF!,3,FALSE),0)</f>
        <v>0</v>
      </c>
      <c r="K904" s="68"/>
      <c r="L904" s="68"/>
      <c r="M904" s="68"/>
      <c r="N904" s="68"/>
      <c r="O904" s="68"/>
      <c r="P904" s="68"/>
      <c r="Q904" s="68">
        <f>SUM(Devis[[#This Row],[Poste 1]:[Poste 6]])</f>
        <v>0</v>
      </c>
      <c r="R904" s="71"/>
      <c r="S904" s="68">
        <f>_xlfn.CEILING.MATH(Devis[[#This Row],[Quantité Totale]],Devis[[#This Row],[Conditionnement]])</f>
        <v>0</v>
      </c>
      <c r="T904" s="97"/>
      <c r="U904" s="73"/>
      <c r="V904" s="74">
        <f>Devis[[#This Row],[Prix de Revient]]*Devis[[#This Row],[Poste 1]]</f>
        <v>0</v>
      </c>
      <c r="W904" s="74">
        <f>Devis[[#This Row],[Prix de Revient]]*Devis[[#This Row],[Poste 2]]</f>
        <v>0</v>
      </c>
      <c r="X904" s="74">
        <f>Devis[[#This Row],[Prix de Revient]]*Devis[[#This Row],[Poste 3]]</f>
        <v>0</v>
      </c>
      <c r="Y904" s="74">
        <f>Devis[[#This Row],[Poste 4]]*Devis[[#This Row],[Prix de Revient]]</f>
        <v>0</v>
      </c>
      <c r="Z904" s="74">
        <f>Devis[[#This Row],[Poste 5]]*Devis[[#This Row],[Prix de Revient]]</f>
        <v>0</v>
      </c>
      <c r="AA904" s="74">
        <f>Devis[[#This Row],[Prix de Revient]]*Devis[[#This Row],[Poste 6]]</f>
        <v>0</v>
      </c>
      <c r="AB904" s="74">
        <f>Devis[[#This Row],[Quantité Totale]]*Devis[[#This Row],[Prix de Revient]]</f>
        <v>0</v>
      </c>
    </row>
    <row r="905" spans="1:28" ht="14.25" customHeight="1" outlineLevel="1" x14ac:dyDescent="0.2">
      <c r="A905" s="75" t="s">
        <v>356</v>
      </c>
      <c r="B905" s="76" t="s">
        <v>534</v>
      </c>
      <c r="C905" s="76" t="s">
        <v>6435</v>
      </c>
      <c r="D905" s="81" t="str">
        <f>A905&amp;B905&amp;C905</f>
        <v>FixationEcrousEcrou H</v>
      </c>
      <c r="E905" s="75" t="s">
        <v>323</v>
      </c>
      <c r="F905" s="76">
        <v>1</v>
      </c>
      <c r="G905" s="71" t="s">
        <v>6434</v>
      </c>
      <c r="H905" s="71"/>
      <c r="I905" s="71"/>
      <c r="J905" s="70">
        <f>IFERROR(VLOOKUP(Devis[[#This Row],[Ref Air Flux]],#REF!,3,FALSE),0)</f>
        <v>0</v>
      </c>
      <c r="K905" s="68"/>
      <c r="L905" s="68"/>
      <c r="M905" s="68"/>
      <c r="N905" s="68"/>
      <c r="O905" s="68"/>
      <c r="P905" s="68"/>
      <c r="Q905" s="68">
        <f>SUM(Devis[[#This Row],[Poste 1]:[Poste 6]])</f>
        <v>0</v>
      </c>
      <c r="R905" s="71"/>
      <c r="S905" s="68">
        <f>_xlfn.CEILING.MATH(Devis[[#This Row],[Quantité Totale]],Devis[[#This Row],[Conditionnement]])</f>
        <v>0</v>
      </c>
      <c r="T905" s="72"/>
      <c r="U905" s="73"/>
      <c r="V905" s="74">
        <f>Devis[[#This Row],[Prix de Revient]]*Devis[[#This Row],[Poste 1]]</f>
        <v>0</v>
      </c>
      <c r="W905" s="74">
        <f>Devis[[#This Row],[Prix de Revient]]*Devis[[#This Row],[Poste 2]]</f>
        <v>0</v>
      </c>
      <c r="X905" s="74">
        <f>Devis[[#This Row],[Prix de Revient]]*Devis[[#This Row],[Poste 3]]</f>
        <v>0</v>
      </c>
      <c r="Y905" s="74">
        <f>Devis[[#This Row],[Poste 4]]*Devis[[#This Row],[Prix de Revient]]</f>
        <v>0</v>
      </c>
      <c r="Z905" s="74">
        <f>Devis[[#This Row],[Poste 5]]*Devis[[#This Row],[Prix de Revient]]</f>
        <v>0</v>
      </c>
      <c r="AA905" s="74">
        <f>Devis[[#This Row],[Prix de Revient]]*Devis[[#This Row],[Poste 6]]</f>
        <v>0</v>
      </c>
      <c r="AB905" s="74">
        <f>Devis[[#This Row],[Quantité Totale]]*Devis[[#This Row],[Prix de Revient]]</f>
        <v>0</v>
      </c>
    </row>
    <row r="906" spans="1:28" ht="15" customHeight="1" outlineLevel="1" x14ac:dyDescent="0.2">
      <c r="A906" s="75" t="s">
        <v>356</v>
      </c>
      <c r="B906" s="76" t="s">
        <v>534</v>
      </c>
      <c r="C906" s="76" t="s">
        <v>6435</v>
      </c>
      <c r="D906" s="81" t="e">
        <f>A906&amp;#REF!&amp;C906</f>
        <v>#REF!</v>
      </c>
      <c r="E906" s="75" t="s">
        <v>6431</v>
      </c>
      <c r="F906" s="81">
        <v>2</v>
      </c>
      <c r="G906" s="71">
        <v>2770200</v>
      </c>
      <c r="H906" s="71" t="s">
        <v>3678</v>
      </c>
      <c r="I906" s="99" t="s">
        <v>6430</v>
      </c>
      <c r="J906" s="70">
        <f>IFERROR(VLOOKUP(Devis[[#This Row],[Ref Air Flux]],#REF!,3,FALSE),0)</f>
        <v>0</v>
      </c>
      <c r="K906" s="68"/>
      <c r="L906" s="68"/>
      <c r="M906" s="68"/>
      <c r="N906" s="68"/>
      <c r="O906" s="68"/>
      <c r="P906" s="68"/>
      <c r="Q906" s="68">
        <f>SUM(Devis[[#This Row],[Poste 1]:[Poste 6]])</f>
        <v>0</v>
      </c>
      <c r="R906" s="71"/>
      <c r="S906" s="68">
        <f>_xlfn.CEILING.MATH(Devis[[#This Row],[Quantité Totale]],Devis[[#This Row],[Conditionnement]])</f>
        <v>0</v>
      </c>
      <c r="T906" s="97"/>
      <c r="U906" s="73"/>
      <c r="V906" s="74">
        <f>Devis[[#This Row],[Prix de Revient]]*Devis[[#This Row],[Poste 1]]</f>
        <v>0</v>
      </c>
      <c r="W906" s="74">
        <f>Devis[[#This Row],[Prix de Revient]]*Devis[[#This Row],[Poste 2]]</f>
        <v>0</v>
      </c>
      <c r="X906" s="74">
        <f>Devis[[#This Row],[Prix de Revient]]*Devis[[#This Row],[Poste 3]]</f>
        <v>0</v>
      </c>
      <c r="Y906" s="74">
        <f>Devis[[#This Row],[Poste 4]]*Devis[[#This Row],[Prix de Revient]]</f>
        <v>0</v>
      </c>
      <c r="Z906" s="74">
        <f>Devis[[#This Row],[Poste 5]]*Devis[[#This Row],[Prix de Revient]]</f>
        <v>0</v>
      </c>
      <c r="AA906" s="74">
        <f>Devis[[#This Row],[Prix de Revient]]*Devis[[#This Row],[Poste 6]]</f>
        <v>0</v>
      </c>
      <c r="AB906" s="74">
        <f>Devis[[#This Row],[Quantité Totale]]*Devis[[#This Row],[Prix de Revient]]</f>
        <v>0</v>
      </c>
    </row>
    <row r="907" spans="1:28" ht="15" customHeight="1" outlineLevel="1" x14ac:dyDescent="0.2">
      <c r="A907" s="75" t="s">
        <v>356</v>
      </c>
      <c r="B907" s="76" t="s">
        <v>534</v>
      </c>
      <c r="C907" s="76" t="s">
        <v>6435</v>
      </c>
      <c r="D907" s="81" t="str">
        <f>A907&amp;B906&amp;C907</f>
        <v>FixationEcrousEcrou H</v>
      </c>
      <c r="E907" s="75" t="s">
        <v>132</v>
      </c>
      <c r="F907" s="81">
        <v>3</v>
      </c>
      <c r="G907" s="71">
        <v>20192</v>
      </c>
      <c r="H907" s="71" t="s">
        <v>535</v>
      </c>
      <c r="I907" s="99">
        <v>105498</v>
      </c>
      <c r="J907" s="70">
        <f>IFERROR(VLOOKUP(Devis[[#This Row],[Ref Air Flux]],#REF!,3,FALSE),0)</f>
        <v>0</v>
      </c>
      <c r="K907" s="68"/>
      <c r="L907" s="68"/>
      <c r="M907" s="68"/>
      <c r="N907" s="68"/>
      <c r="O907" s="68"/>
      <c r="P907" s="68"/>
      <c r="Q907" s="68">
        <f>SUM(Devis[[#This Row],[Poste 1]:[Poste 6]])</f>
        <v>0</v>
      </c>
      <c r="R907" s="71"/>
      <c r="S907" s="68">
        <f>_xlfn.CEILING.MATH(Devis[[#This Row],[Quantité Totale]],Devis[[#This Row],[Conditionnement]])</f>
        <v>0</v>
      </c>
      <c r="T907" s="72"/>
      <c r="U907" s="73"/>
      <c r="V907" s="74">
        <f>Devis[[#This Row],[Prix de Revient]]*Devis[[#This Row],[Poste 1]]</f>
        <v>0</v>
      </c>
      <c r="W907" s="74">
        <f>Devis[[#This Row],[Prix de Revient]]*Devis[[#This Row],[Poste 2]]</f>
        <v>0</v>
      </c>
      <c r="X907" s="74">
        <f>Devis[[#This Row],[Prix de Revient]]*Devis[[#This Row],[Poste 3]]</f>
        <v>0</v>
      </c>
      <c r="Y907" s="74">
        <f>Devis[[#This Row],[Poste 4]]*Devis[[#This Row],[Prix de Revient]]</f>
        <v>0</v>
      </c>
      <c r="Z907" s="74">
        <f>Devis[[#This Row],[Poste 5]]*Devis[[#This Row],[Prix de Revient]]</f>
        <v>0</v>
      </c>
      <c r="AA907" s="74">
        <f>Devis[[#This Row],[Prix de Revient]]*Devis[[#This Row],[Poste 6]]</f>
        <v>0</v>
      </c>
      <c r="AB907" s="74">
        <f>Devis[[#This Row],[Quantité Totale]]*Devis[[#This Row],[Prix de Revient]]</f>
        <v>0</v>
      </c>
    </row>
    <row r="908" spans="1:28" ht="12.75" customHeight="1" outlineLevel="1" x14ac:dyDescent="0.2">
      <c r="A908" s="75" t="s">
        <v>356</v>
      </c>
      <c r="B908" s="76" t="s">
        <v>534</v>
      </c>
      <c r="C908" s="76" t="s">
        <v>6435</v>
      </c>
      <c r="D908" s="81" t="str">
        <f t="shared" si="15"/>
        <v>FixationEcrousEcrou H</v>
      </c>
      <c r="E908" s="75" t="s">
        <v>536</v>
      </c>
      <c r="F908" s="81">
        <v>4</v>
      </c>
      <c r="G908" s="71">
        <v>20184</v>
      </c>
      <c r="H908" s="71"/>
      <c r="I908" s="71" t="s">
        <v>537</v>
      </c>
      <c r="J908" s="70">
        <f>IFERROR(VLOOKUP(Devis[[#This Row],[Ref Air Flux]],#REF!,3,FALSE),0)</f>
        <v>0</v>
      </c>
      <c r="K908" s="68"/>
      <c r="L908" s="68"/>
      <c r="M908" s="68"/>
      <c r="N908" s="68"/>
      <c r="O908" s="68"/>
      <c r="P908" s="68"/>
      <c r="Q908" s="68">
        <f>SUM(Devis[[#This Row],[Poste 1]:[Poste 6]])</f>
        <v>0</v>
      </c>
      <c r="R908" s="71"/>
      <c r="S908" s="68">
        <f>_xlfn.CEILING.MATH(Devis[[#This Row],[Quantité Totale]],Devis[[#This Row],[Conditionnement]])</f>
        <v>0</v>
      </c>
      <c r="T908" s="97"/>
      <c r="U908" s="73"/>
      <c r="V908" s="74">
        <f>Devis[[#This Row],[Prix de Revient]]*Devis[[#This Row],[Poste 1]]</f>
        <v>0</v>
      </c>
      <c r="W908" s="74">
        <f>Devis[[#This Row],[Prix de Revient]]*Devis[[#This Row],[Poste 2]]</f>
        <v>0</v>
      </c>
      <c r="X908" s="74">
        <f>Devis[[#This Row],[Prix de Revient]]*Devis[[#This Row],[Poste 3]]</f>
        <v>0</v>
      </c>
      <c r="Y908" s="74">
        <f>Devis[[#This Row],[Poste 4]]*Devis[[#This Row],[Prix de Revient]]</f>
        <v>0</v>
      </c>
      <c r="Z908" s="74">
        <f>Devis[[#This Row],[Poste 5]]*Devis[[#This Row],[Prix de Revient]]</f>
        <v>0</v>
      </c>
      <c r="AA908" s="74">
        <f>Devis[[#This Row],[Prix de Revient]]*Devis[[#This Row],[Poste 6]]</f>
        <v>0</v>
      </c>
      <c r="AB908" s="74">
        <f>Devis[[#This Row],[Quantité Totale]]*Devis[[#This Row],[Prix de Revient]]</f>
        <v>0</v>
      </c>
    </row>
    <row r="909" spans="1:28" ht="12.75" customHeight="1" outlineLevel="1" x14ac:dyDescent="0.2">
      <c r="A909" s="75" t="s">
        <v>356</v>
      </c>
      <c r="B909" s="76" t="s">
        <v>534</v>
      </c>
      <c r="C909" s="76" t="s">
        <v>6438</v>
      </c>
      <c r="D909" s="81" t="str">
        <f>A909&amp;B909&amp;C909</f>
        <v>FixationEcrousProlonguateur</v>
      </c>
      <c r="E909" t="s">
        <v>6440</v>
      </c>
      <c r="F909" s="76">
        <v>5</v>
      </c>
      <c r="G909" s="71">
        <v>14875</v>
      </c>
      <c r="H909" s="71"/>
      <c r="I909" s="71"/>
      <c r="J909" s="70">
        <f>IFERROR(VLOOKUP(Devis[[#This Row],[Ref Air Flux]],#REF!,3,FALSE),0)</f>
        <v>0</v>
      </c>
      <c r="K909" s="68"/>
      <c r="L909" s="68"/>
      <c r="M909" s="68"/>
      <c r="N909" s="68"/>
      <c r="O909" s="68"/>
      <c r="P909" s="68"/>
      <c r="Q909" s="68">
        <f>SUM(Devis[[#This Row],[Poste 1]:[Poste 6]])</f>
        <v>0</v>
      </c>
      <c r="R909" s="71"/>
      <c r="S909" s="68">
        <f>_xlfn.CEILING.MATH(Devis[[#This Row],[Quantité Totale]],Devis[[#This Row],[Conditionnement]])</f>
        <v>0</v>
      </c>
      <c r="T909" s="72"/>
      <c r="U909" s="73"/>
      <c r="V909" s="74">
        <f>Devis[[#This Row],[Prix de Revient]]*Devis[[#This Row],[Poste 1]]</f>
        <v>0</v>
      </c>
      <c r="W909" s="74">
        <f>Devis[[#This Row],[Prix de Revient]]*Devis[[#This Row],[Poste 2]]</f>
        <v>0</v>
      </c>
      <c r="X909" s="74">
        <f>Devis[[#This Row],[Prix de Revient]]*Devis[[#This Row],[Poste 3]]</f>
        <v>0</v>
      </c>
      <c r="Y909" s="74">
        <f>Devis[[#This Row],[Poste 4]]*Devis[[#This Row],[Prix de Revient]]</f>
        <v>0</v>
      </c>
      <c r="Z909" s="74">
        <f>Devis[[#This Row],[Poste 5]]*Devis[[#This Row],[Prix de Revient]]</f>
        <v>0</v>
      </c>
      <c r="AA909" s="74">
        <f>Devis[[#This Row],[Prix de Revient]]*Devis[[#This Row],[Poste 6]]</f>
        <v>0</v>
      </c>
      <c r="AB909" s="74">
        <f>Devis[[#This Row],[Quantité Totale]]*Devis[[#This Row],[Prix de Revient]]</f>
        <v>0</v>
      </c>
    </row>
    <row r="910" spans="1:28" ht="12.75" customHeight="1" outlineLevel="1" x14ac:dyDescent="0.2">
      <c r="A910" s="75" t="s">
        <v>356</v>
      </c>
      <c r="B910" s="76" t="s">
        <v>534</v>
      </c>
      <c r="C910" s="76" t="s">
        <v>6438</v>
      </c>
      <c r="D910" s="81" t="str">
        <f>A910&amp;B910&amp;C910</f>
        <v>FixationEcrousProlonguateur</v>
      </c>
      <c r="E910" t="s">
        <v>6439</v>
      </c>
      <c r="F910" s="76">
        <v>6</v>
      </c>
      <c r="G910" s="71">
        <v>29513</v>
      </c>
      <c r="H910" s="71"/>
      <c r="I910" s="71"/>
      <c r="J910" s="70">
        <f>IFERROR(VLOOKUP(Devis[[#This Row],[Ref Air Flux]],#REF!,3,FALSE),0)</f>
        <v>0</v>
      </c>
      <c r="K910" s="68"/>
      <c r="L910" s="68"/>
      <c r="M910" s="68"/>
      <c r="N910" s="68"/>
      <c r="O910" s="68"/>
      <c r="P910" s="68"/>
      <c r="Q910" s="68">
        <f>SUM(Devis[[#This Row],[Poste 1]:[Poste 6]])</f>
        <v>0</v>
      </c>
      <c r="R910" s="71"/>
      <c r="S910" s="68">
        <f>_xlfn.CEILING.MATH(Devis[[#This Row],[Quantité Totale]],Devis[[#This Row],[Conditionnement]])</f>
        <v>0</v>
      </c>
      <c r="T910" s="72"/>
      <c r="U910" s="73"/>
      <c r="V910" s="74">
        <f>Devis[[#This Row],[Prix de Revient]]*Devis[[#This Row],[Poste 1]]</f>
        <v>0</v>
      </c>
      <c r="W910" s="74">
        <f>Devis[[#This Row],[Prix de Revient]]*Devis[[#This Row],[Poste 2]]</f>
        <v>0</v>
      </c>
      <c r="X910" s="74">
        <f>Devis[[#This Row],[Prix de Revient]]*Devis[[#This Row],[Poste 3]]</f>
        <v>0</v>
      </c>
      <c r="Y910" s="74">
        <f>Devis[[#This Row],[Poste 4]]*Devis[[#This Row],[Prix de Revient]]</f>
        <v>0</v>
      </c>
      <c r="Z910" s="74">
        <f>Devis[[#This Row],[Poste 5]]*Devis[[#This Row],[Prix de Revient]]</f>
        <v>0</v>
      </c>
      <c r="AA910" s="74">
        <f>Devis[[#This Row],[Prix de Revient]]*Devis[[#This Row],[Poste 6]]</f>
        <v>0</v>
      </c>
      <c r="AB910" s="74">
        <f>Devis[[#This Row],[Quantité Totale]]*Devis[[#This Row],[Prix de Revient]]</f>
        <v>0</v>
      </c>
    </row>
    <row r="911" spans="1:28" ht="12.75" customHeight="1" outlineLevel="1" x14ac:dyDescent="0.2">
      <c r="A911" s="75" t="s">
        <v>356</v>
      </c>
      <c r="B911" s="76" t="s">
        <v>534</v>
      </c>
      <c r="C911" s="76" t="s">
        <v>6436</v>
      </c>
      <c r="D911" s="81" t="str">
        <f>A911&amp;B911&amp;C911</f>
        <v>FixationEcrousEcrou Réduit</v>
      </c>
      <c r="E911" t="s">
        <v>6437</v>
      </c>
      <c r="F911" s="76">
        <v>7</v>
      </c>
      <c r="G911" s="164">
        <v>21989</v>
      </c>
      <c r="H911" s="71"/>
      <c r="I911" s="71"/>
      <c r="J911" s="70">
        <f>IFERROR(VLOOKUP(Devis[[#This Row],[Ref Air Flux]],#REF!,3,FALSE),0)</f>
        <v>0</v>
      </c>
      <c r="K911" s="68"/>
      <c r="L911" s="68"/>
      <c r="M911" s="68"/>
      <c r="N911" s="68"/>
      <c r="O911" s="68"/>
      <c r="P911" s="68"/>
      <c r="Q911" s="68">
        <f>SUM(Devis[[#This Row],[Poste 1]:[Poste 6]])</f>
        <v>0</v>
      </c>
      <c r="R911" s="71"/>
      <c r="S911" s="68">
        <f>_xlfn.CEILING.MATH(Devis[[#This Row],[Quantité Totale]],Devis[[#This Row],[Conditionnement]])</f>
        <v>0</v>
      </c>
      <c r="T911" s="72"/>
      <c r="U911" s="73"/>
      <c r="V911" s="74">
        <f>Devis[[#This Row],[Prix de Revient]]*Devis[[#This Row],[Poste 1]]</f>
        <v>0</v>
      </c>
      <c r="W911" s="74">
        <f>Devis[[#This Row],[Prix de Revient]]*Devis[[#This Row],[Poste 2]]</f>
        <v>0</v>
      </c>
      <c r="X911" s="74">
        <f>Devis[[#This Row],[Prix de Revient]]*Devis[[#This Row],[Poste 3]]</f>
        <v>0</v>
      </c>
      <c r="Y911" s="74">
        <f>Devis[[#This Row],[Poste 4]]*Devis[[#This Row],[Prix de Revient]]</f>
        <v>0</v>
      </c>
      <c r="Z911" s="74">
        <f>Devis[[#This Row],[Poste 5]]*Devis[[#This Row],[Prix de Revient]]</f>
        <v>0</v>
      </c>
      <c r="AA911" s="74">
        <f>Devis[[#This Row],[Prix de Revient]]*Devis[[#This Row],[Poste 6]]</f>
        <v>0</v>
      </c>
      <c r="AB911" s="74">
        <f>Devis[[#This Row],[Quantité Totale]]*Devis[[#This Row],[Prix de Revient]]</f>
        <v>0</v>
      </c>
    </row>
    <row r="912" spans="1:28" ht="14.25" customHeight="1" outlineLevel="1" x14ac:dyDescent="0.2">
      <c r="A912" s="75" t="s">
        <v>356</v>
      </c>
      <c r="B912" s="76" t="s">
        <v>534</v>
      </c>
      <c r="C912" s="76" t="s">
        <v>6436</v>
      </c>
      <c r="D912" s="81" t="str">
        <f t="shared" si="15"/>
        <v>FixationEcrousEcrou Réduit</v>
      </c>
      <c r="E912" s="75" t="s">
        <v>5107</v>
      </c>
      <c r="F912" s="81">
        <v>8</v>
      </c>
      <c r="G912" s="71">
        <v>113462</v>
      </c>
      <c r="H912" s="71"/>
      <c r="I912" s="71"/>
      <c r="J912" s="70">
        <f>IFERROR(VLOOKUP(Devis[[#This Row],[Ref Air Flux]],#REF!,3,FALSE),0)</f>
        <v>0</v>
      </c>
      <c r="K912" s="68"/>
      <c r="L912" s="68"/>
      <c r="M912" s="68"/>
      <c r="N912" s="68"/>
      <c r="O912" s="68"/>
      <c r="P912" s="68"/>
      <c r="Q912" s="68">
        <f>SUM(Devis[[#This Row],[Poste 1]:[Poste 6]])</f>
        <v>0</v>
      </c>
      <c r="R912" s="71"/>
      <c r="S912" s="68">
        <f>_xlfn.CEILING.MATH(Devis[[#This Row],[Quantité Totale]],Devis[[#This Row],[Conditionnement]])</f>
        <v>0</v>
      </c>
      <c r="T912" s="97"/>
      <c r="U912" s="73"/>
      <c r="V912" s="74">
        <f>Devis[[#This Row],[Prix de Revient]]*Devis[[#This Row],[Poste 1]]</f>
        <v>0</v>
      </c>
      <c r="W912" s="74">
        <f>Devis[[#This Row],[Prix de Revient]]*Devis[[#This Row],[Poste 2]]</f>
        <v>0</v>
      </c>
      <c r="X912" s="74">
        <f>Devis[[#This Row],[Prix de Revient]]*Devis[[#This Row],[Poste 3]]</f>
        <v>0</v>
      </c>
      <c r="Y912" s="74">
        <f>Devis[[#This Row],[Poste 4]]*Devis[[#This Row],[Prix de Revient]]</f>
        <v>0</v>
      </c>
      <c r="Z912" s="74">
        <f>Devis[[#This Row],[Poste 5]]*Devis[[#This Row],[Prix de Revient]]</f>
        <v>0</v>
      </c>
      <c r="AA912" s="74">
        <f>Devis[[#This Row],[Prix de Revient]]*Devis[[#This Row],[Poste 6]]</f>
        <v>0</v>
      </c>
      <c r="AB912" s="74">
        <f>Devis[[#This Row],[Quantité Totale]]*Devis[[#This Row],[Prix de Revient]]</f>
        <v>0</v>
      </c>
    </row>
    <row r="913" spans="1:28" ht="14.25" customHeight="1" outlineLevel="1" x14ac:dyDescent="0.2">
      <c r="A913" s="75" t="s">
        <v>356</v>
      </c>
      <c r="B913" s="76" t="s">
        <v>534</v>
      </c>
      <c r="C913" s="75" t="s">
        <v>6505</v>
      </c>
      <c r="D913" s="81" t="str">
        <f t="shared" si="15"/>
        <v>FixationEcrousEcrou de console</v>
      </c>
      <c r="E913" s="75" t="s">
        <v>5108</v>
      </c>
      <c r="F913" s="81">
        <v>9</v>
      </c>
      <c r="G913" s="71">
        <v>28800</v>
      </c>
      <c r="H913" s="71" t="s">
        <v>535</v>
      </c>
      <c r="I913" s="99">
        <v>118040</v>
      </c>
      <c r="J913" s="70">
        <f>IFERROR(VLOOKUP(Devis[[#This Row],[Ref Air Flux]],#REF!,3,FALSE),0)</f>
        <v>0</v>
      </c>
      <c r="K913" s="68"/>
      <c r="L913" s="68"/>
      <c r="M913" s="68"/>
      <c r="N913" s="68"/>
      <c r="O913" s="68"/>
      <c r="P913" s="68"/>
      <c r="Q913" s="68">
        <f>SUM(Devis[[#This Row],[Poste 1]:[Poste 6]])</f>
        <v>0</v>
      </c>
      <c r="R913" s="71"/>
      <c r="S913" s="68">
        <f>_xlfn.CEILING.MATH(Devis[[#This Row],[Quantité Totale]],Devis[[#This Row],[Conditionnement]])</f>
        <v>0</v>
      </c>
      <c r="T913" s="97"/>
      <c r="U913" s="73"/>
      <c r="V913" s="74">
        <f>Devis[[#This Row],[Prix de Revient]]*Devis[[#This Row],[Poste 1]]</f>
        <v>0</v>
      </c>
      <c r="W913" s="74">
        <f>Devis[[#This Row],[Prix de Revient]]*Devis[[#This Row],[Poste 2]]</f>
        <v>0</v>
      </c>
      <c r="X913" s="74">
        <f>Devis[[#This Row],[Prix de Revient]]*Devis[[#This Row],[Poste 3]]</f>
        <v>0</v>
      </c>
      <c r="Y913" s="74">
        <f>Devis[[#This Row],[Poste 4]]*Devis[[#This Row],[Prix de Revient]]</f>
        <v>0</v>
      </c>
      <c r="Z913" s="74">
        <f>Devis[[#This Row],[Poste 5]]*Devis[[#This Row],[Prix de Revient]]</f>
        <v>0</v>
      </c>
      <c r="AA913" s="74">
        <f>Devis[[#This Row],[Prix de Revient]]*Devis[[#This Row],[Poste 6]]</f>
        <v>0</v>
      </c>
      <c r="AB913" s="74">
        <f>Devis[[#This Row],[Quantité Totale]]*Devis[[#This Row],[Prix de Revient]]</f>
        <v>0</v>
      </c>
    </row>
    <row r="914" spans="1:28" ht="15" customHeight="1" outlineLevel="1" x14ac:dyDescent="0.2">
      <c r="A914" s="73" t="s">
        <v>356</v>
      </c>
      <c r="B914" s="76" t="s">
        <v>534</v>
      </c>
      <c r="C914" s="75" t="s">
        <v>6505</v>
      </c>
      <c r="D914" s="81" t="str">
        <f t="shared" si="15"/>
        <v>FixationEcrousEcrou de console</v>
      </c>
      <c r="E914" s="73" t="s">
        <v>3472</v>
      </c>
      <c r="F914" s="81">
        <v>10</v>
      </c>
      <c r="G914" s="71">
        <v>115166</v>
      </c>
      <c r="H914" s="71" t="s">
        <v>535</v>
      </c>
      <c r="I914" s="100">
        <v>115166</v>
      </c>
      <c r="J914" s="70">
        <f>IFERROR(VLOOKUP(Devis[[#This Row],[Ref Air Flux]],#REF!,3,FALSE),0)</f>
        <v>0</v>
      </c>
      <c r="K914" s="68"/>
      <c r="L914" s="68"/>
      <c r="M914" s="68"/>
      <c r="N914" s="68"/>
      <c r="O914" s="68"/>
      <c r="P914" s="68"/>
      <c r="Q914" s="68">
        <f>SUM(Devis[[#This Row],[Poste 1]:[Poste 6]])</f>
        <v>0</v>
      </c>
      <c r="R914" s="94"/>
      <c r="S914" s="68">
        <f>_xlfn.CEILING.MATH(Devis[[#This Row],[Quantité Totale]],Devis[[#This Row],[Conditionnement]])</f>
        <v>0</v>
      </c>
      <c r="T914" s="72"/>
      <c r="U914" s="73"/>
      <c r="V914" s="74">
        <f>Devis[[#This Row],[Prix de Revient]]*Devis[[#This Row],[Poste 1]]</f>
        <v>0</v>
      </c>
      <c r="W914" s="74">
        <f>Devis[[#This Row],[Prix de Revient]]*Devis[[#This Row],[Poste 2]]</f>
        <v>0</v>
      </c>
      <c r="X914" s="74">
        <f>Devis[[#This Row],[Prix de Revient]]*Devis[[#This Row],[Poste 3]]</f>
        <v>0</v>
      </c>
      <c r="Y914" s="74">
        <f>Devis[[#This Row],[Poste 4]]*Devis[[#This Row],[Prix de Revient]]</f>
        <v>0</v>
      </c>
      <c r="Z914" s="74">
        <f>Devis[[#This Row],[Poste 5]]*Devis[[#This Row],[Prix de Revient]]</f>
        <v>0</v>
      </c>
      <c r="AA914" s="74">
        <f>Devis[[#This Row],[Prix de Revient]]*Devis[[#This Row],[Poste 6]]</f>
        <v>0</v>
      </c>
      <c r="AB914" s="74">
        <f>Devis[[#This Row],[Quantité Totale]]*Devis[[#This Row],[Prix de Revient]]</f>
        <v>0</v>
      </c>
    </row>
    <row r="915" spans="1:28" ht="14.25" outlineLevel="1" x14ac:dyDescent="0.2">
      <c r="A915" s="73" t="s">
        <v>356</v>
      </c>
      <c r="B915" s="76" t="s">
        <v>534</v>
      </c>
      <c r="C915" s="75" t="s">
        <v>6505</v>
      </c>
      <c r="D915" s="81" t="str">
        <f t="shared" si="15"/>
        <v>FixationEcrousEcrou de console</v>
      </c>
      <c r="E915" s="73" t="s">
        <v>3473</v>
      </c>
      <c r="F915" s="81">
        <v>11</v>
      </c>
      <c r="G915" s="71">
        <v>115104</v>
      </c>
      <c r="H915" s="71" t="s">
        <v>535</v>
      </c>
      <c r="I915" s="100">
        <v>115104</v>
      </c>
      <c r="J915" s="70">
        <f>IFERROR(VLOOKUP(Devis[[#This Row],[Ref Air Flux]],#REF!,3,FALSE),0)</f>
        <v>0</v>
      </c>
      <c r="K915" s="68"/>
      <c r="L915" s="68"/>
      <c r="M915" s="68"/>
      <c r="N915" s="68"/>
      <c r="O915" s="68"/>
      <c r="P915" s="68"/>
      <c r="Q915" s="68">
        <f>SUM(Devis[[#This Row],[Poste 1]:[Poste 6]])</f>
        <v>0</v>
      </c>
      <c r="R915" s="94"/>
      <c r="S915" s="68">
        <f>_xlfn.CEILING.MATH(Devis[[#This Row],[Quantité Totale]],Devis[[#This Row],[Conditionnement]])</f>
        <v>0</v>
      </c>
      <c r="T915" s="72"/>
      <c r="U915" s="73"/>
      <c r="V915" s="74">
        <f>Devis[[#This Row],[Prix de Revient]]*Devis[[#This Row],[Poste 1]]</f>
        <v>0</v>
      </c>
      <c r="W915" s="74">
        <f>Devis[[#This Row],[Prix de Revient]]*Devis[[#This Row],[Poste 2]]</f>
        <v>0</v>
      </c>
      <c r="X915" s="74">
        <f>Devis[[#This Row],[Prix de Revient]]*Devis[[#This Row],[Poste 3]]</f>
        <v>0</v>
      </c>
      <c r="Y915" s="74">
        <f>Devis[[#This Row],[Poste 4]]*Devis[[#This Row],[Prix de Revient]]</f>
        <v>0</v>
      </c>
      <c r="Z915" s="74">
        <f>Devis[[#This Row],[Poste 5]]*Devis[[#This Row],[Prix de Revient]]</f>
        <v>0</v>
      </c>
      <c r="AA915" s="74">
        <f>Devis[[#This Row],[Prix de Revient]]*Devis[[#This Row],[Poste 6]]</f>
        <v>0</v>
      </c>
      <c r="AB915" s="74">
        <f>Devis[[#This Row],[Quantité Totale]]*Devis[[#This Row],[Prix de Revient]]</f>
        <v>0</v>
      </c>
    </row>
    <row r="916" spans="1:28" ht="14.25" outlineLevel="1" x14ac:dyDescent="0.2">
      <c r="A916" s="73" t="s">
        <v>356</v>
      </c>
      <c r="B916" s="76" t="s">
        <v>534</v>
      </c>
      <c r="C916" s="75" t="s">
        <v>6505</v>
      </c>
      <c r="D916" s="81" t="str">
        <f t="shared" si="15"/>
        <v>FixationEcrousEcrou de console</v>
      </c>
      <c r="E916" s="73" t="s">
        <v>612</v>
      </c>
      <c r="F916" s="81">
        <v>12</v>
      </c>
      <c r="G916" s="71">
        <v>30953</v>
      </c>
      <c r="H916" s="71" t="s">
        <v>535</v>
      </c>
      <c r="I916" s="99">
        <v>115080</v>
      </c>
      <c r="J916" s="70">
        <f>IFERROR(VLOOKUP(Devis[[#This Row],[Ref Air Flux]],#REF!,3,FALSE),0)</f>
        <v>0</v>
      </c>
      <c r="K916" s="68"/>
      <c r="L916" s="68"/>
      <c r="M916" s="68"/>
      <c r="N916" s="68"/>
      <c r="O916" s="68"/>
      <c r="P916" s="68"/>
      <c r="Q916" s="68">
        <f>SUM(Devis[[#This Row],[Poste 1]:[Poste 6]])</f>
        <v>0</v>
      </c>
      <c r="R916" s="71"/>
      <c r="S916" s="68">
        <f>_xlfn.CEILING.MATH(Devis[[#This Row],[Quantité Totale]],Devis[[#This Row],[Conditionnement]])</f>
        <v>0</v>
      </c>
      <c r="T916" s="97"/>
      <c r="U916" s="73"/>
      <c r="V916" s="74">
        <f>Devis[[#This Row],[Prix de Revient]]*Devis[[#This Row],[Poste 1]]</f>
        <v>0</v>
      </c>
      <c r="W916" s="74">
        <f>Devis[[#This Row],[Prix de Revient]]*Devis[[#This Row],[Poste 2]]</f>
        <v>0</v>
      </c>
      <c r="X916" s="74">
        <f>Devis[[#This Row],[Prix de Revient]]*Devis[[#This Row],[Poste 3]]</f>
        <v>0</v>
      </c>
      <c r="Y916" s="74">
        <f>Devis[[#This Row],[Poste 4]]*Devis[[#This Row],[Prix de Revient]]</f>
        <v>0</v>
      </c>
      <c r="Z916" s="74">
        <f>Devis[[#This Row],[Poste 5]]*Devis[[#This Row],[Prix de Revient]]</f>
        <v>0</v>
      </c>
      <c r="AA916" s="74">
        <f>Devis[[#This Row],[Prix de Revient]]*Devis[[#This Row],[Poste 6]]</f>
        <v>0</v>
      </c>
      <c r="AB916" s="74">
        <f>Devis[[#This Row],[Quantité Totale]]*Devis[[#This Row],[Prix de Revient]]</f>
        <v>0</v>
      </c>
    </row>
    <row r="917" spans="1:28" ht="14.25" outlineLevel="1" x14ac:dyDescent="0.2">
      <c r="A917" s="73" t="s">
        <v>356</v>
      </c>
      <c r="B917" s="76" t="s">
        <v>534</v>
      </c>
      <c r="C917" s="75" t="s">
        <v>6505</v>
      </c>
      <c r="D917" s="81" t="str">
        <f t="shared" si="15"/>
        <v>FixationEcrousEcrou de console</v>
      </c>
      <c r="E917" s="73" t="s">
        <v>536</v>
      </c>
      <c r="F917" s="81">
        <v>13</v>
      </c>
      <c r="G917" s="101" t="s">
        <v>613</v>
      </c>
      <c r="H917" s="71"/>
      <c r="I917" s="71" t="s">
        <v>614</v>
      </c>
      <c r="J917" s="70">
        <f>IFERROR(VLOOKUP(Devis[[#This Row],[Ref Air Flux]],#REF!,3,FALSE),0)</f>
        <v>0</v>
      </c>
      <c r="K917" s="68"/>
      <c r="L917" s="68"/>
      <c r="M917" s="68"/>
      <c r="N917" s="68"/>
      <c r="O917" s="68"/>
      <c r="P917" s="68"/>
      <c r="Q917" s="68">
        <f>SUM(Devis[[#This Row],[Poste 1]:[Poste 6]])</f>
        <v>0</v>
      </c>
      <c r="R917" s="71"/>
      <c r="S917" s="68">
        <f>_xlfn.CEILING.MATH(Devis[[#This Row],[Quantité Totale]],Devis[[#This Row],[Conditionnement]])</f>
        <v>0</v>
      </c>
      <c r="T917" s="97"/>
      <c r="U917" s="73"/>
      <c r="V917" s="74">
        <f>Devis[[#This Row],[Prix de Revient]]*Devis[[#This Row],[Poste 1]]</f>
        <v>0</v>
      </c>
      <c r="W917" s="74">
        <f>Devis[[#This Row],[Prix de Revient]]*Devis[[#This Row],[Poste 2]]</f>
        <v>0</v>
      </c>
      <c r="X917" s="74">
        <f>Devis[[#This Row],[Prix de Revient]]*Devis[[#This Row],[Poste 3]]</f>
        <v>0</v>
      </c>
      <c r="Y917" s="74">
        <f>Devis[[#This Row],[Poste 4]]*Devis[[#This Row],[Prix de Revient]]</f>
        <v>0</v>
      </c>
      <c r="Z917" s="74">
        <f>Devis[[#This Row],[Poste 5]]*Devis[[#This Row],[Prix de Revient]]</f>
        <v>0</v>
      </c>
      <c r="AA917" s="74">
        <f>Devis[[#This Row],[Prix de Revient]]*Devis[[#This Row],[Poste 6]]</f>
        <v>0</v>
      </c>
      <c r="AB917" s="74">
        <f>Devis[[#This Row],[Quantité Totale]]*Devis[[#This Row],[Prix de Revient]]</f>
        <v>0</v>
      </c>
    </row>
    <row r="918" spans="1:28" ht="15" customHeight="1" x14ac:dyDescent="0.25">
      <c r="A918" s="65" t="s">
        <v>356</v>
      </c>
      <c r="B918" s="65" t="s">
        <v>538</v>
      </c>
      <c r="C918" s="76"/>
      <c r="D918" s="81" t="str">
        <f t="shared" si="15"/>
        <v>FixationEtriers longs</v>
      </c>
      <c r="E918" s="76"/>
      <c r="F918" s="81">
        <v>0</v>
      </c>
      <c r="G918" s="71"/>
      <c r="H918" s="71"/>
      <c r="I918" s="71"/>
      <c r="J918" s="70">
        <f>IFERROR(VLOOKUP(Devis[[#This Row],[Ref Air Flux]],#REF!,3,FALSE),0)</f>
        <v>0</v>
      </c>
      <c r="K918" s="68"/>
      <c r="L918" s="68"/>
      <c r="M918" s="68"/>
      <c r="N918" s="68"/>
      <c r="O918" s="68"/>
      <c r="P918" s="68"/>
      <c r="Q918" s="68">
        <f>SUM(Devis[[#This Row],[Poste 1]:[Poste 6]])</f>
        <v>0</v>
      </c>
      <c r="R918" s="71"/>
      <c r="S918" s="68">
        <f>_xlfn.CEILING.MATH(Devis[[#This Row],[Quantité Totale]],Devis[[#This Row],[Conditionnement]])</f>
        <v>0</v>
      </c>
      <c r="T918" s="97"/>
      <c r="U918" s="73"/>
      <c r="V918" s="74">
        <f>Devis[[#This Row],[Prix de Revient]]*Devis[[#This Row],[Poste 1]]</f>
        <v>0</v>
      </c>
      <c r="W918" s="74">
        <f>Devis[[#This Row],[Prix de Revient]]*Devis[[#This Row],[Poste 2]]</f>
        <v>0</v>
      </c>
      <c r="X918" s="74">
        <f>Devis[[#This Row],[Prix de Revient]]*Devis[[#This Row],[Poste 3]]</f>
        <v>0</v>
      </c>
      <c r="Y918" s="74">
        <f>Devis[[#This Row],[Poste 4]]*Devis[[#This Row],[Prix de Revient]]</f>
        <v>0</v>
      </c>
      <c r="Z918" s="74">
        <f>Devis[[#This Row],[Poste 5]]*Devis[[#This Row],[Prix de Revient]]</f>
        <v>0</v>
      </c>
      <c r="AA918" s="74">
        <f>Devis[[#This Row],[Prix de Revient]]*Devis[[#This Row],[Poste 6]]</f>
        <v>0</v>
      </c>
      <c r="AB918" s="74">
        <f>Devis[[#This Row],[Quantité Totale]]*Devis[[#This Row],[Prix de Revient]]</f>
        <v>0</v>
      </c>
    </row>
    <row r="919" spans="1:28" ht="14.25" outlineLevel="1" x14ac:dyDescent="0.2">
      <c r="A919" s="75" t="s">
        <v>356</v>
      </c>
      <c r="B919" s="76" t="s">
        <v>538</v>
      </c>
      <c r="C919" s="75"/>
      <c r="D919" s="81" t="str">
        <f t="shared" si="15"/>
        <v>FixationEtriers longs</v>
      </c>
      <c r="E919" s="75" t="s">
        <v>3551</v>
      </c>
      <c r="F919" s="81">
        <v>1</v>
      </c>
      <c r="G919" s="71" t="s">
        <v>3547</v>
      </c>
      <c r="H919" s="71"/>
      <c r="I919" s="71"/>
      <c r="J919" s="70">
        <f>IFERROR(VLOOKUP(Devis[[#This Row],[Ref Air Flux]],#REF!,3,FALSE),0)</f>
        <v>0</v>
      </c>
      <c r="K919" s="68"/>
      <c r="L919" s="68"/>
      <c r="M919" s="68"/>
      <c r="N919" s="68"/>
      <c r="O919" s="68"/>
      <c r="P919" s="68"/>
      <c r="Q919" s="68">
        <f>SUM(Devis[[#This Row],[Poste 1]:[Poste 6]])</f>
        <v>0</v>
      </c>
      <c r="R919" s="71"/>
      <c r="S919" s="68">
        <f>_xlfn.CEILING.MATH(Devis[[#This Row],[Quantité Totale]],Devis[[#This Row],[Conditionnement]])</f>
        <v>0</v>
      </c>
      <c r="T919" s="97"/>
      <c r="U919" s="73"/>
      <c r="V919" s="74">
        <f>Devis[[#This Row],[Prix de Revient]]*Devis[[#This Row],[Poste 1]]</f>
        <v>0</v>
      </c>
      <c r="W919" s="74">
        <f>Devis[[#This Row],[Prix de Revient]]*Devis[[#This Row],[Poste 2]]</f>
        <v>0</v>
      </c>
      <c r="X919" s="74">
        <f>Devis[[#This Row],[Prix de Revient]]*Devis[[#This Row],[Poste 3]]</f>
        <v>0</v>
      </c>
      <c r="Y919" s="74">
        <f>Devis[[#This Row],[Poste 4]]*Devis[[#This Row],[Prix de Revient]]</f>
        <v>0</v>
      </c>
      <c r="Z919" s="74">
        <f>Devis[[#This Row],[Poste 5]]*Devis[[#This Row],[Prix de Revient]]</f>
        <v>0</v>
      </c>
      <c r="AA919" s="74">
        <f>Devis[[#This Row],[Prix de Revient]]*Devis[[#This Row],[Poste 6]]</f>
        <v>0</v>
      </c>
      <c r="AB919" s="74">
        <f>Devis[[#This Row],[Quantité Totale]]*Devis[[#This Row],[Prix de Revient]]</f>
        <v>0</v>
      </c>
    </row>
    <row r="920" spans="1:28" ht="14.25" outlineLevel="1" x14ac:dyDescent="0.2">
      <c r="A920" s="75" t="s">
        <v>356</v>
      </c>
      <c r="B920" s="76" t="s">
        <v>538</v>
      </c>
      <c r="C920" s="75"/>
      <c r="D920" s="81" t="str">
        <f t="shared" si="15"/>
        <v>FixationEtriers longs</v>
      </c>
      <c r="E920" s="75" t="s">
        <v>3552</v>
      </c>
      <c r="F920" s="81">
        <v>2</v>
      </c>
      <c r="G920" s="71" t="s">
        <v>3548</v>
      </c>
      <c r="H920" s="71"/>
      <c r="I920" s="71"/>
      <c r="J920" s="70">
        <f>IFERROR(VLOOKUP(Devis[[#This Row],[Ref Air Flux]],#REF!,3,FALSE),0)</f>
        <v>0</v>
      </c>
      <c r="K920" s="68"/>
      <c r="L920" s="68"/>
      <c r="M920" s="68"/>
      <c r="N920" s="68"/>
      <c r="O920" s="68"/>
      <c r="P920" s="68"/>
      <c r="Q920" s="68">
        <f>SUM(Devis[[#This Row],[Poste 1]:[Poste 6]])</f>
        <v>0</v>
      </c>
      <c r="R920" s="71"/>
      <c r="S920" s="68">
        <f>_xlfn.CEILING.MATH(Devis[[#This Row],[Quantité Totale]],Devis[[#This Row],[Conditionnement]])</f>
        <v>0</v>
      </c>
      <c r="T920" s="97"/>
      <c r="U920" s="73"/>
      <c r="V920" s="74">
        <f>Devis[[#This Row],[Prix de Revient]]*Devis[[#This Row],[Poste 1]]</f>
        <v>0</v>
      </c>
      <c r="W920" s="74">
        <f>Devis[[#This Row],[Prix de Revient]]*Devis[[#This Row],[Poste 2]]</f>
        <v>0</v>
      </c>
      <c r="X920" s="74">
        <f>Devis[[#This Row],[Prix de Revient]]*Devis[[#This Row],[Poste 3]]</f>
        <v>0</v>
      </c>
      <c r="Y920" s="74">
        <f>Devis[[#This Row],[Poste 4]]*Devis[[#This Row],[Prix de Revient]]</f>
        <v>0</v>
      </c>
      <c r="Z920" s="74">
        <f>Devis[[#This Row],[Poste 5]]*Devis[[#This Row],[Prix de Revient]]</f>
        <v>0</v>
      </c>
      <c r="AA920" s="74">
        <f>Devis[[#This Row],[Prix de Revient]]*Devis[[#This Row],[Poste 6]]</f>
        <v>0</v>
      </c>
      <c r="AB920" s="74">
        <f>Devis[[#This Row],[Quantité Totale]]*Devis[[#This Row],[Prix de Revient]]</f>
        <v>0</v>
      </c>
    </row>
    <row r="921" spans="1:28" ht="14.25" customHeight="1" outlineLevel="1" x14ac:dyDescent="0.2">
      <c r="A921" s="75" t="s">
        <v>356</v>
      </c>
      <c r="B921" s="76" t="s">
        <v>538</v>
      </c>
      <c r="C921" s="75"/>
      <c r="D921" s="81" t="str">
        <f t="shared" si="15"/>
        <v>FixationEtriers longs</v>
      </c>
      <c r="E921" s="75" t="s">
        <v>3553</v>
      </c>
      <c r="F921" s="81">
        <v>3</v>
      </c>
      <c r="G921" s="71" t="s">
        <v>3549</v>
      </c>
      <c r="H921" s="71"/>
      <c r="I921" s="71"/>
      <c r="J921" s="70">
        <f>IFERROR(VLOOKUP(Devis[[#This Row],[Ref Air Flux]],#REF!,3,FALSE),0)</f>
        <v>0</v>
      </c>
      <c r="K921" s="68"/>
      <c r="L921" s="68"/>
      <c r="M921" s="68"/>
      <c r="N921" s="68"/>
      <c r="O921" s="68"/>
      <c r="P921" s="68"/>
      <c r="Q921" s="68">
        <f>SUM(Devis[[#This Row],[Poste 1]:[Poste 6]])</f>
        <v>0</v>
      </c>
      <c r="R921" s="71"/>
      <c r="S921" s="68">
        <f>_xlfn.CEILING.MATH(Devis[[#This Row],[Quantité Totale]],Devis[[#This Row],[Conditionnement]])</f>
        <v>0</v>
      </c>
      <c r="T921" s="97"/>
      <c r="U921" s="73"/>
      <c r="V921" s="74">
        <f>Devis[[#This Row],[Prix de Revient]]*Devis[[#This Row],[Poste 1]]</f>
        <v>0</v>
      </c>
      <c r="W921" s="74">
        <f>Devis[[#This Row],[Prix de Revient]]*Devis[[#This Row],[Poste 2]]</f>
        <v>0</v>
      </c>
      <c r="X921" s="74">
        <f>Devis[[#This Row],[Prix de Revient]]*Devis[[#This Row],[Poste 3]]</f>
        <v>0</v>
      </c>
      <c r="Y921" s="74">
        <f>Devis[[#This Row],[Poste 4]]*Devis[[#This Row],[Prix de Revient]]</f>
        <v>0</v>
      </c>
      <c r="Z921" s="74">
        <f>Devis[[#This Row],[Poste 5]]*Devis[[#This Row],[Prix de Revient]]</f>
        <v>0</v>
      </c>
      <c r="AA921" s="74">
        <f>Devis[[#This Row],[Prix de Revient]]*Devis[[#This Row],[Poste 6]]</f>
        <v>0</v>
      </c>
      <c r="AB921" s="74">
        <f>Devis[[#This Row],[Quantité Totale]]*Devis[[#This Row],[Prix de Revient]]</f>
        <v>0</v>
      </c>
    </row>
    <row r="922" spans="1:28" ht="15" customHeight="1" outlineLevel="1" x14ac:dyDescent="0.2">
      <c r="A922" s="75" t="s">
        <v>356</v>
      </c>
      <c r="B922" s="76" t="s">
        <v>538</v>
      </c>
      <c r="C922" s="75"/>
      <c r="D922" s="81" t="str">
        <f t="shared" si="15"/>
        <v>FixationEtriers longs</v>
      </c>
      <c r="E922" s="75" t="s">
        <v>3554</v>
      </c>
      <c r="F922" s="81">
        <v>4</v>
      </c>
      <c r="G922" s="71" t="s">
        <v>3550</v>
      </c>
      <c r="H922" s="71"/>
      <c r="I922" s="71"/>
      <c r="J922" s="70">
        <f>IFERROR(VLOOKUP(Devis[[#This Row],[Ref Air Flux]],#REF!,3,FALSE),0)</f>
        <v>0</v>
      </c>
      <c r="K922" s="68"/>
      <c r="L922" s="68"/>
      <c r="M922" s="68"/>
      <c r="N922" s="68"/>
      <c r="O922" s="68"/>
      <c r="P922" s="68"/>
      <c r="Q922" s="68">
        <f>SUM(Devis[[#This Row],[Poste 1]:[Poste 6]])</f>
        <v>0</v>
      </c>
      <c r="R922" s="71"/>
      <c r="S922" s="68">
        <f>_xlfn.CEILING.MATH(Devis[[#This Row],[Quantité Totale]],Devis[[#This Row],[Conditionnement]])</f>
        <v>0</v>
      </c>
      <c r="T922" s="97"/>
      <c r="U922" s="73"/>
      <c r="V922" s="74">
        <f>Devis[[#This Row],[Prix de Revient]]*Devis[[#This Row],[Poste 1]]</f>
        <v>0</v>
      </c>
      <c r="W922" s="74">
        <f>Devis[[#This Row],[Prix de Revient]]*Devis[[#This Row],[Poste 2]]</f>
        <v>0</v>
      </c>
      <c r="X922" s="74">
        <f>Devis[[#This Row],[Prix de Revient]]*Devis[[#This Row],[Poste 3]]</f>
        <v>0</v>
      </c>
      <c r="Y922" s="74">
        <f>Devis[[#This Row],[Poste 4]]*Devis[[#This Row],[Prix de Revient]]</f>
        <v>0</v>
      </c>
      <c r="Z922" s="74">
        <f>Devis[[#This Row],[Poste 5]]*Devis[[#This Row],[Prix de Revient]]</f>
        <v>0</v>
      </c>
      <c r="AA922" s="74">
        <f>Devis[[#This Row],[Prix de Revient]]*Devis[[#This Row],[Poste 6]]</f>
        <v>0</v>
      </c>
      <c r="AB922" s="74">
        <f>Devis[[#This Row],[Quantité Totale]]*Devis[[#This Row],[Prix de Revient]]</f>
        <v>0</v>
      </c>
    </row>
    <row r="923" spans="1:28" ht="14.25" outlineLevel="1" x14ac:dyDescent="0.2">
      <c r="A923" s="75" t="s">
        <v>356</v>
      </c>
      <c r="B923" s="76" t="s">
        <v>538</v>
      </c>
      <c r="C923" s="75"/>
      <c r="D923" s="81" t="str">
        <f t="shared" si="15"/>
        <v>FixationEtriers longs</v>
      </c>
      <c r="E923" s="75" t="s">
        <v>539</v>
      </c>
      <c r="F923" s="81">
        <v>5</v>
      </c>
      <c r="G923" s="71" t="s">
        <v>540</v>
      </c>
      <c r="H923" s="71"/>
      <c r="I923" s="71" t="s">
        <v>541</v>
      </c>
      <c r="J923" s="70">
        <f>IFERROR(VLOOKUP(Devis[[#This Row],[Ref Air Flux]],#REF!,3,FALSE),0)</f>
        <v>0</v>
      </c>
      <c r="K923" s="68"/>
      <c r="L923" s="68"/>
      <c r="M923" s="68"/>
      <c r="N923" s="68"/>
      <c r="O923" s="68"/>
      <c r="P923" s="68"/>
      <c r="Q923" s="68">
        <f>SUM(Devis[[#This Row],[Poste 1]:[Poste 6]])</f>
        <v>0</v>
      </c>
      <c r="R923" s="71"/>
      <c r="S923" s="68">
        <f>_xlfn.CEILING.MATH(Devis[[#This Row],[Quantité Totale]],Devis[[#This Row],[Conditionnement]])</f>
        <v>0</v>
      </c>
      <c r="T923" s="97"/>
      <c r="U923" s="73"/>
      <c r="V923" s="74">
        <f>Devis[[#This Row],[Prix de Revient]]*Devis[[#This Row],[Poste 1]]</f>
        <v>0</v>
      </c>
      <c r="W923" s="74">
        <f>Devis[[#This Row],[Prix de Revient]]*Devis[[#This Row],[Poste 2]]</f>
        <v>0</v>
      </c>
      <c r="X923" s="74">
        <f>Devis[[#This Row],[Prix de Revient]]*Devis[[#This Row],[Poste 3]]</f>
        <v>0</v>
      </c>
      <c r="Y923" s="74">
        <f>Devis[[#This Row],[Poste 4]]*Devis[[#This Row],[Prix de Revient]]</f>
        <v>0</v>
      </c>
      <c r="Z923" s="74">
        <f>Devis[[#This Row],[Poste 5]]*Devis[[#This Row],[Prix de Revient]]</f>
        <v>0</v>
      </c>
      <c r="AA923" s="74">
        <f>Devis[[#This Row],[Prix de Revient]]*Devis[[#This Row],[Poste 6]]</f>
        <v>0</v>
      </c>
      <c r="AB923" s="74">
        <f>Devis[[#This Row],[Quantité Totale]]*Devis[[#This Row],[Prix de Revient]]</f>
        <v>0</v>
      </c>
    </row>
    <row r="924" spans="1:28" ht="14.25" outlineLevel="1" x14ac:dyDescent="0.2">
      <c r="A924" s="75" t="s">
        <v>356</v>
      </c>
      <c r="B924" s="76" t="s">
        <v>538</v>
      </c>
      <c r="C924" s="75"/>
      <c r="D924" s="81" t="str">
        <f t="shared" si="15"/>
        <v>FixationEtriers longs</v>
      </c>
      <c r="E924" s="75" t="s">
        <v>542</v>
      </c>
      <c r="F924" s="81">
        <v>6</v>
      </c>
      <c r="G924" s="71" t="s">
        <v>543</v>
      </c>
      <c r="H924" s="71"/>
      <c r="I924" s="71" t="s">
        <v>544</v>
      </c>
      <c r="J924" s="70">
        <f>IFERROR(VLOOKUP(Devis[[#This Row],[Ref Air Flux]],#REF!,3,FALSE),0)</f>
        <v>0</v>
      </c>
      <c r="K924" s="68"/>
      <c r="L924" s="68"/>
      <c r="M924" s="68"/>
      <c r="N924" s="68"/>
      <c r="O924" s="68"/>
      <c r="P924" s="68"/>
      <c r="Q924" s="68">
        <f>SUM(Devis[[#This Row],[Poste 1]:[Poste 6]])</f>
        <v>0</v>
      </c>
      <c r="R924" s="71"/>
      <c r="S924" s="68">
        <f>_xlfn.CEILING.MATH(Devis[[#This Row],[Quantité Totale]],Devis[[#This Row],[Conditionnement]])</f>
        <v>0</v>
      </c>
      <c r="T924" s="97"/>
      <c r="U924" s="73"/>
      <c r="V924" s="74">
        <f>Devis[[#This Row],[Prix de Revient]]*Devis[[#This Row],[Poste 1]]</f>
        <v>0</v>
      </c>
      <c r="W924" s="74">
        <f>Devis[[#This Row],[Prix de Revient]]*Devis[[#This Row],[Poste 2]]</f>
        <v>0</v>
      </c>
      <c r="X924" s="74">
        <f>Devis[[#This Row],[Prix de Revient]]*Devis[[#This Row],[Poste 3]]</f>
        <v>0</v>
      </c>
      <c r="Y924" s="74">
        <f>Devis[[#This Row],[Poste 4]]*Devis[[#This Row],[Prix de Revient]]</f>
        <v>0</v>
      </c>
      <c r="Z924" s="74">
        <f>Devis[[#This Row],[Poste 5]]*Devis[[#This Row],[Prix de Revient]]</f>
        <v>0</v>
      </c>
      <c r="AA924" s="74">
        <f>Devis[[#This Row],[Prix de Revient]]*Devis[[#This Row],[Poste 6]]</f>
        <v>0</v>
      </c>
      <c r="AB924" s="74">
        <f>Devis[[#This Row],[Quantité Totale]]*Devis[[#This Row],[Prix de Revient]]</f>
        <v>0</v>
      </c>
    </row>
    <row r="925" spans="1:28" ht="14.25" customHeight="1" outlineLevel="1" x14ac:dyDescent="0.2">
      <c r="A925" s="75" t="s">
        <v>356</v>
      </c>
      <c r="B925" s="76" t="s">
        <v>538</v>
      </c>
      <c r="C925" s="75"/>
      <c r="D925" s="81" t="str">
        <f t="shared" si="15"/>
        <v>FixationEtriers longs</v>
      </c>
      <c r="E925" s="75" t="s">
        <v>545</v>
      </c>
      <c r="F925" s="81">
        <v>7</v>
      </c>
      <c r="G925" s="71" t="s">
        <v>546</v>
      </c>
      <c r="H925" s="71"/>
      <c r="I925" s="71" t="s">
        <v>547</v>
      </c>
      <c r="J925" s="70">
        <f>IFERROR(VLOOKUP(Devis[[#This Row],[Ref Air Flux]],#REF!,3,FALSE),0)</f>
        <v>0</v>
      </c>
      <c r="K925" s="68"/>
      <c r="L925" s="68"/>
      <c r="M925" s="68"/>
      <c r="N925" s="68"/>
      <c r="O925" s="68"/>
      <c r="P925" s="68"/>
      <c r="Q925" s="68">
        <f>SUM(Devis[[#This Row],[Poste 1]:[Poste 6]])</f>
        <v>0</v>
      </c>
      <c r="R925" s="71"/>
      <c r="S925" s="68">
        <f>_xlfn.CEILING.MATH(Devis[[#This Row],[Quantité Totale]],Devis[[#This Row],[Conditionnement]])</f>
        <v>0</v>
      </c>
      <c r="T925" s="97"/>
      <c r="U925" s="73"/>
      <c r="V925" s="74">
        <f>Devis[[#This Row],[Prix de Revient]]*Devis[[#This Row],[Poste 1]]</f>
        <v>0</v>
      </c>
      <c r="W925" s="74">
        <f>Devis[[#This Row],[Prix de Revient]]*Devis[[#This Row],[Poste 2]]</f>
        <v>0</v>
      </c>
      <c r="X925" s="74">
        <f>Devis[[#This Row],[Prix de Revient]]*Devis[[#This Row],[Poste 3]]</f>
        <v>0</v>
      </c>
      <c r="Y925" s="74">
        <f>Devis[[#This Row],[Poste 4]]*Devis[[#This Row],[Prix de Revient]]</f>
        <v>0</v>
      </c>
      <c r="Z925" s="74">
        <f>Devis[[#This Row],[Poste 5]]*Devis[[#This Row],[Prix de Revient]]</f>
        <v>0</v>
      </c>
      <c r="AA925" s="74">
        <f>Devis[[#This Row],[Prix de Revient]]*Devis[[#This Row],[Poste 6]]</f>
        <v>0</v>
      </c>
      <c r="AB925" s="74">
        <f>Devis[[#This Row],[Quantité Totale]]*Devis[[#This Row],[Prix de Revient]]</f>
        <v>0</v>
      </c>
    </row>
    <row r="926" spans="1:28" ht="14.25" outlineLevel="1" x14ac:dyDescent="0.2">
      <c r="A926" s="75" t="s">
        <v>356</v>
      </c>
      <c r="B926" s="76" t="s">
        <v>538</v>
      </c>
      <c r="C926" s="75"/>
      <c r="D926" s="81" t="str">
        <f t="shared" si="15"/>
        <v>FixationEtriers longs</v>
      </c>
      <c r="E926" s="75" t="s">
        <v>548</v>
      </c>
      <c r="F926" s="81">
        <v>8</v>
      </c>
      <c r="G926" s="71" t="s">
        <v>549</v>
      </c>
      <c r="H926" s="71"/>
      <c r="I926" s="71" t="s">
        <v>550</v>
      </c>
      <c r="J926" s="70">
        <f>IFERROR(VLOOKUP(Devis[[#This Row],[Ref Air Flux]],#REF!,3,FALSE),0)</f>
        <v>0</v>
      </c>
      <c r="K926" s="68"/>
      <c r="L926" s="68"/>
      <c r="M926" s="68"/>
      <c r="N926" s="68"/>
      <c r="O926" s="68"/>
      <c r="P926" s="68"/>
      <c r="Q926" s="68">
        <f>SUM(Devis[[#This Row],[Poste 1]:[Poste 6]])</f>
        <v>0</v>
      </c>
      <c r="R926" s="71"/>
      <c r="S926" s="68">
        <f>_xlfn.CEILING.MATH(Devis[[#This Row],[Quantité Totale]],Devis[[#This Row],[Conditionnement]])</f>
        <v>0</v>
      </c>
      <c r="T926" s="97"/>
      <c r="U926" s="73"/>
      <c r="V926" s="74">
        <f>Devis[[#This Row],[Prix de Revient]]*Devis[[#This Row],[Poste 1]]</f>
        <v>0</v>
      </c>
      <c r="W926" s="74">
        <f>Devis[[#This Row],[Prix de Revient]]*Devis[[#This Row],[Poste 2]]</f>
        <v>0</v>
      </c>
      <c r="X926" s="74">
        <f>Devis[[#This Row],[Prix de Revient]]*Devis[[#This Row],[Poste 3]]</f>
        <v>0</v>
      </c>
      <c r="Y926" s="74">
        <f>Devis[[#This Row],[Poste 4]]*Devis[[#This Row],[Prix de Revient]]</f>
        <v>0</v>
      </c>
      <c r="Z926" s="74">
        <f>Devis[[#This Row],[Poste 5]]*Devis[[#This Row],[Prix de Revient]]</f>
        <v>0</v>
      </c>
      <c r="AA926" s="74">
        <f>Devis[[#This Row],[Prix de Revient]]*Devis[[#This Row],[Poste 6]]</f>
        <v>0</v>
      </c>
      <c r="AB926" s="74">
        <f>Devis[[#This Row],[Quantité Totale]]*Devis[[#This Row],[Prix de Revient]]</f>
        <v>0</v>
      </c>
    </row>
    <row r="927" spans="1:28" ht="14.25" outlineLevel="1" x14ac:dyDescent="0.2">
      <c r="A927" s="75" t="s">
        <v>356</v>
      </c>
      <c r="B927" s="76" t="s">
        <v>538</v>
      </c>
      <c r="C927" s="76"/>
      <c r="D927" s="81" t="str">
        <f t="shared" si="15"/>
        <v>FixationEtriers longs</v>
      </c>
      <c r="E927" s="75" t="s">
        <v>551</v>
      </c>
      <c r="F927" s="76">
        <v>9</v>
      </c>
      <c r="G927" s="71" t="s">
        <v>552</v>
      </c>
      <c r="H927" s="71"/>
      <c r="I927" s="71" t="s">
        <v>553</v>
      </c>
      <c r="J927" s="70">
        <f>IFERROR(VLOOKUP(Devis[[#This Row],[Ref Air Flux]],#REF!,3,FALSE),0)</f>
        <v>0</v>
      </c>
      <c r="K927" s="68"/>
      <c r="L927" s="68"/>
      <c r="M927" s="68"/>
      <c r="N927" s="68"/>
      <c r="O927" s="68"/>
      <c r="P927" s="68"/>
      <c r="Q927" s="68">
        <f>SUM(Devis[[#This Row],[Poste 1]:[Poste 6]])</f>
        <v>0</v>
      </c>
      <c r="R927" s="71"/>
      <c r="S927" s="68">
        <f>_xlfn.CEILING.MATH(Devis[[#This Row],[Quantité Totale]],Devis[[#This Row],[Conditionnement]])</f>
        <v>0</v>
      </c>
      <c r="T927" s="72"/>
      <c r="U927" s="73"/>
      <c r="V927" s="74">
        <f>Devis[[#This Row],[Prix de Revient]]*Devis[[#This Row],[Poste 1]]</f>
        <v>0</v>
      </c>
      <c r="W927" s="74">
        <f>Devis[[#This Row],[Prix de Revient]]*Devis[[#This Row],[Poste 2]]</f>
        <v>0</v>
      </c>
      <c r="X927" s="74">
        <f>Devis[[#This Row],[Prix de Revient]]*Devis[[#This Row],[Poste 3]]</f>
        <v>0</v>
      </c>
      <c r="Y927" s="74">
        <f>Devis[[#This Row],[Poste 4]]*Devis[[#This Row],[Prix de Revient]]</f>
        <v>0</v>
      </c>
      <c r="Z927" s="74">
        <f>Devis[[#This Row],[Poste 5]]*Devis[[#This Row],[Prix de Revient]]</f>
        <v>0</v>
      </c>
      <c r="AA927" s="74">
        <f>Devis[[#This Row],[Prix de Revient]]*Devis[[#This Row],[Poste 6]]</f>
        <v>0</v>
      </c>
      <c r="AB927" s="74">
        <f>Devis[[#This Row],[Quantité Totale]]*Devis[[#This Row],[Prix de Revient]]</f>
        <v>0</v>
      </c>
    </row>
    <row r="928" spans="1:28" ht="14.25" outlineLevel="1" x14ac:dyDescent="0.2">
      <c r="A928" s="75" t="s">
        <v>356</v>
      </c>
      <c r="B928" s="76" t="s">
        <v>538</v>
      </c>
      <c r="C928" s="75"/>
      <c r="D928" s="81" t="str">
        <f t="shared" si="15"/>
        <v>FixationEtriers longs</v>
      </c>
      <c r="E928" s="75" t="s">
        <v>6197</v>
      </c>
      <c r="F928" s="81">
        <v>10</v>
      </c>
      <c r="G928" s="71">
        <v>113153</v>
      </c>
      <c r="H928" s="71"/>
      <c r="I928" s="71"/>
      <c r="J928" s="70">
        <f>IFERROR(VLOOKUP(Devis[[#This Row],[Ref Air Flux]],#REF!,3,FALSE),0)</f>
        <v>0</v>
      </c>
      <c r="K928" s="68"/>
      <c r="L928" s="68"/>
      <c r="M928" s="68"/>
      <c r="N928" s="68"/>
      <c r="O928" s="68"/>
      <c r="P928" s="68"/>
      <c r="Q928" s="68">
        <f>SUM(Devis[[#This Row],[Poste 1]:[Poste 6]])</f>
        <v>0</v>
      </c>
      <c r="R928" s="71"/>
      <c r="S928" s="68">
        <f>_xlfn.CEILING.MATH(Devis[[#This Row],[Quantité Totale]],Devis[[#This Row],[Conditionnement]])</f>
        <v>0</v>
      </c>
      <c r="T928" s="97"/>
      <c r="U928" s="73"/>
      <c r="V928" s="74">
        <f>Devis[[#This Row],[Prix de Revient]]*Devis[[#This Row],[Poste 1]]</f>
        <v>0</v>
      </c>
      <c r="W928" s="74">
        <f>Devis[[#This Row],[Prix de Revient]]*Devis[[#This Row],[Poste 2]]</f>
        <v>0</v>
      </c>
      <c r="X928" s="74">
        <f>Devis[[#This Row],[Prix de Revient]]*Devis[[#This Row],[Poste 3]]</f>
        <v>0</v>
      </c>
      <c r="Y928" s="74">
        <f>Devis[[#This Row],[Poste 4]]*Devis[[#This Row],[Prix de Revient]]</f>
        <v>0</v>
      </c>
      <c r="Z928" s="74">
        <f>Devis[[#This Row],[Poste 5]]*Devis[[#This Row],[Prix de Revient]]</f>
        <v>0</v>
      </c>
      <c r="AA928" s="74">
        <f>Devis[[#This Row],[Prix de Revient]]*Devis[[#This Row],[Poste 6]]</f>
        <v>0</v>
      </c>
      <c r="AB928" s="74">
        <f>Devis[[#This Row],[Quantité Totale]]*Devis[[#This Row],[Prix de Revient]]</f>
        <v>0</v>
      </c>
    </row>
    <row r="929" spans="1:28" ht="14.25" customHeight="1" x14ac:dyDescent="0.25">
      <c r="A929" s="65" t="s">
        <v>356</v>
      </c>
      <c r="B929" s="65" t="s">
        <v>560</v>
      </c>
      <c r="C929" s="76"/>
      <c r="D929" s="81" t="str">
        <f t="shared" si="15"/>
        <v>FixationPattes à vis</v>
      </c>
      <c r="E929" s="76"/>
      <c r="F929" s="81">
        <v>0</v>
      </c>
      <c r="G929" s="71"/>
      <c r="H929" s="71"/>
      <c r="I929" s="71"/>
      <c r="J929" s="70">
        <f>IFERROR(VLOOKUP(Devis[[#This Row],[Ref Air Flux]],#REF!,3,FALSE),0)</f>
        <v>0</v>
      </c>
      <c r="K929" s="68"/>
      <c r="L929" s="68"/>
      <c r="M929" s="68"/>
      <c r="N929" s="68"/>
      <c r="O929" s="68"/>
      <c r="P929" s="68"/>
      <c r="Q929" s="68">
        <f>SUM(Devis[[#This Row],[Poste 1]:[Poste 6]])</f>
        <v>0</v>
      </c>
      <c r="R929" s="71"/>
      <c r="S929" s="68">
        <f>_xlfn.CEILING.MATH(Devis[[#This Row],[Quantité Totale]],Devis[[#This Row],[Conditionnement]])</f>
        <v>0</v>
      </c>
      <c r="T929" s="97"/>
      <c r="U929" s="73"/>
      <c r="V929" s="74">
        <f>Devis[[#This Row],[Prix de Revient]]*Devis[[#This Row],[Poste 1]]</f>
        <v>0</v>
      </c>
      <c r="W929" s="74">
        <f>Devis[[#This Row],[Prix de Revient]]*Devis[[#This Row],[Poste 2]]</f>
        <v>0</v>
      </c>
      <c r="X929" s="74">
        <f>Devis[[#This Row],[Prix de Revient]]*Devis[[#This Row],[Poste 3]]</f>
        <v>0</v>
      </c>
      <c r="Y929" s="74">
        <f>Devis[[#This Row],[Poste 4]]*Devis[[#This Row],[Prix de Revient]]</f>
        <v>0</v>
      </c>
      <c r="Z929" s="74">
        <f>Devis[[#This Row],[Poste 5]]*Devis[[#This Row],[Prix de Revient]]</f>
        <v>0</v>
      </c>
      <c r="AA929" s="74">
        <f>Devis[[#This Row],[Prix de Revient]]*Devis[[#This Row],[Poste 6]]</f>
        <v>0</v>
      </c>
      <c r="AB929" s="74">
        <f>Devis[[#This Row],[Quantité Totale]]*Devis[[#This Row],[Prix de Revient]]</f>
        <v>0</v>
      </c>
    </row>
    <row r="930" spans="1:28" ht="14.25" outlineLevel="1" x14ac:dyDescent="0.2">
      <c r="A930" s="75" t="s">
        <v>356</v>
      </c>
      <c r="B930" s="76" t="s">
        <v>560</v>
      </c>
      <c r="C930" s="75"/>
      <c r="D930" s="81" t="str">
        <f t="shared" si="15"/>
        <v>FixationPattes à vis</v>
      </c>
      <c r="E930" s="102" t="s">
        <v>561</v>
      </c>
      <c r="F930" s="81">
        <v>1</v>
      </c>
      <c r="G930" s="71" t="s">
        <v>562</v>
      </c>
      <c r="H930" s="71"/>
      <c r="I930" s="71" t="s">
        <v>563</v>
      </c>
      <c r="J930" s="70">
        <f>IFERROR(VLOOKUP(Devis[[#This Row],[Ref Air Flux]],#REF!,3,FALSE),0)</f>
        <v>0</v>
      </c>
      <c r="K930" s="68"/>
      <c r="L930" s="68"/>
      <c r="M930" s="68"/>
      <c r="N930" s="68"/>
      <c r="O930" s="68"/>
      <c r="P930" s="68"/>
      <c r="Q930" s="68">
        <f>SUM(Devis[[#This Row],[Poste 1]:[Poste 6]])</f>
        <v>0</v>
      </c>
      <c r="R930" s="71"/>
      <c r="S930" s="68">
        <f>_xlfn.CEILING.MATH(Devis[[#This Row],[Quantité Totale]],Devis[[#This Row],[Conditionnement]])</f>
        <v>0</v>
      </c>
      <c r="T930" s="97"/>
      <c r="U930" s="73"/>
      <c r="V930" s="74">
        <f>Devis[[#This Row],[Prix de Revient]]*Devis[[#This Row],[Poste 1]]</f>
        <v>0</v>
      </c>
      <c r="W930" s="74">
        <f>Devis[[#This Row],[Prix de Revient]]*Devis[[#This Row],[Poste 2]]</f>
        <v>0</v>
      </c>
      <c r="X930" s="74">
        <f>Devis[[#This Row],[Prix de Revient]]*Devis[[#This Row],[Poste 3]]</f>
        <v>0</v>
      </c>
      <c r="Y930" s="74">
        <f>Devis[[#This Row],[Poste 4]]*Devis[[#This Row],[Prix de Revient]]</f>
        <v>0</v>
      </c>
      <c r="Z930" s="74">
        <f>Devis[[#This Row],[Poste 5]]*Devis[[#This Row],[Prix de Revient]]</f>
        <v>0</v>
      </c>
      <c r="AA930" s="74">
        <f>Devis[[#This Row],[Prix de Revient]]*Devis[[#This Row],[Poste 6]]</f>
        <v>0</v>
      </c>
      <c r="AB930" s="74">
        <f>Devis[[#This Row],[Quantité Totale]]*Devis[[#This Row],[Prix de Revient]]</f>
        <v>0</v>
      </c>
    </row>
    <row r="931" spans="1:28" ht="14.25" customHeight="1" outlineLevel="1" x14ac:dyDescent="0.2">
      <c r="A931" s="75" t="s">
        <v>356</v>
      </c>
      <c r="B931" s="76" t="s">
        <v>560</v>
      </c>
      <c r="C931" s="75"/>
      <c r="D931" s="81" t="str">
        <f t="shared" si="15"/>
        <v>FixationPattes à vis</v>
      </c>
      <c r="E931" s="103" t="s">
        <v>564</v>
      </c>
      <c r="F931" s="81">
        <v>2</v>
      </c>
      <c r="G931" s="71">
        <v>14834</v>
      </c>
      <c r="H931" s="71"/>
      <c r="I931" s="71" t="s">
        <v>565</v>
      </c>
      <c r="J931" s="70">
        <f>IFERROR(VLOOKUP(Devis[[#This Row],[Ref Air Flux]],#REF!,3,FALSE),0)</f>
        <v>0</v>
      </c>
      <c r="K931" s="68"/>
      <c r="L931" s="68"/>
      <c r="M931" s="68"/>
      <c r="N931" s="68"/>
      <c r="O931" s="68"/>
      <c r="P931" s="68"/>
      <c r="Q931" s="68">
        <f>SUM(Devis[[#This Row],[Poste 1]:[Poste 6]])</f>
        <v>0</v>
      </c>
      <c r="R931" s="71"/>
      <c r="S931" s="68">
        <f>_xlfn.CEILING.MATH(Devis[[#This Row],[Quantité Totale]],Devis[[#This Row],[Conditionnement]])</f>
        <v>0</v>
      </c>
      <c r="T931" s="97"/>
      <c r="U931" s="73"/>
      <c r="V931" s="74">
        <f>Devis[[#This Row],[Prix de Revient]]*Devis[[#This Row],[Poste 1]]</f>
        <v>0</v>
      </c>
      <c r="W931" s="74">
        <f>Devis[[#This Row],[Prix de Revient]]*Devis[[#This Row],[Poste 2]]</f>
        <v>0</v>
      </c>
      <c r="X931" s="74">
        <f>Devis[[#This Row],[Prix de Revient]]*Devis[[#This Row],[Poste 3]]</f>
        <v>0</v>
      </c>
      <c r="Y931" s="74">
        <f>Devis[[#This Row],[Poste 4]]*Devis[[#This Row],[Prix de Revient]]</f>
        <v>0</v>
      </c>
      <c r="Z931" s="74">
        <f>Devis[[#This Row],[Poste 5]]*Devis[[#This Row],[Prix de Revient]]</f>
        <v>0</v>
      </c>
      <c r="AA931" s="74">
        <f>Devis[[#This Row],[Prix de Revient]]*Devis[[#This Row],[Poste 6]]</f>
        <v>0</v>
      </c>
      <c r="AB931" s="74">
        <f>Devis[[#This Row],[Quantité Totale]]*Devis[[#This Row],[Prix de Revient]]</f>
        <v>0</v>
      </c>
    </row>
    <row r="932" spans="1:28" ht="14.25" outlineLevel="1" x14ac:dyDescent="0.2">
      <c r="A932" s="75" t="s">
        <v>356</v>
      </c>
      <c r="B932" s="76" t="s">
        <v>560</v>
      </c>
      <c r="C932" s="75"/>
      <c r="D932" s="81" t="str">
        <f t="shared" si="15"/>
        <v>FixationPattes à vis</v>
      </c>
      <c r="E932" s="75" t="s">
        <v>566</v>
      </c>
      <c r="F932" s="81">
        <v>3</v>
      </c>
      <c r="G932" s="71">
        <v>14842</v>
      </c>
      <c r="H932" s="71"/>
      <c r="I932" s="71" t="s">
        <v>567</v>
      </c>
      <c r="J932" s="70">
        <f>IFERROR(VLOOKUP(Devis[[#This Row],[Ref Air Flux]],#REF!,3,FALSE),0)</f>
        <v>0</v>
      </c>
      <c r="K932" s="68"/>
      <c r="L932" s="68"/>
      <c r="M932" s="68"/>
      <c r="N932" s="68"/>
      <c r="O932" s="68"/>
      <c r="P932" s="68"/>
      <c r="Q932" s="68">
        <f>SUM(Devis[[#This Row],[Poste 1]:[Poste 6]])</f>
        <v>0</v>
      </c>
      <c r="R932" s="71"/>
      <c r="S932" s="68">
        <f>_xlfn.CEILING.MATH(Devis[[#This Row],[Quantité Totale]],Devis[[#This Row],[Conditionnement]])</f>
        <v>0</v>
      </c>
      <c r="T932" s="97"/>
      <c r="U932" s="73"/>
      <c r="V932" s="74">
        <f>Devis[[#This Row],[Prix de Revient]]*Devis[[#This Row],[Poste 1]]</f>
        <v>0</v>
      </c>
      <c r="W932" s="74">
        <f>Devis[[#This Row],[Prix de Revient]]*Devis[[#This Row],[Poste 2]]</f>
        <v>0</v>
      </c>
      <c r="X932" s="74">
        <f>Devis[[#This Row],[Prix de Revient]]*Devis[[#This Row],[Poste 3]]</f>
        <v>0</v>
      </c>
      <c r="Y932" s="74">
        <f>Devis[[#This Row],[Poste 4]]*Devis[[#This Row],[Prix de Revient]]</f>
        <v>0</v>
      </c>
      <c r="Z932" s="74">
        <f>Devis[[#This Row],[Poste 5]]*Devis[[#This Row],[Prix de Revient]]</f>
        <v>0</v>
      </c>
      <c r="AA932" s="74">
        <f>Devis[[#This Row],[Prix de Revient]]*Devis[[#This Row],[Poste 6]]</f>
        <v>0</v>
      </c>
      <c r="AB932" s="74">
        <f>Devis[[#This Row],[Quantité Totale]]*Devis[[#This Row],[Prix de Revient]]</f>
        <v>0</v>
      </c>
    </row>
    <row r="933" spans="1:28" ht="14.25" customHeight="1" outlineLevel="1" x14ac:dyDescent="0.2">
      <c r="A933" s="75" t="s">
        <v>356</v>
      </c>
      <c r="B933" s="76" t="s">
        <v>560</v>
      </c>
      <c r="C933" s="75"/>
      <c r="D933" s="81" t="str">
        <f t="shared" si="15"/>
        <v>FixationPattes à vis</v>
      </c>
      <c r="E933" s="75" t="s">
        <v>568</v>
      </c>
      <c r="F933" s="81">
        <v>4</v>
      </c>
      <c r="G933" s="71">
        <v>14869</v>
      </c>
      <c r="H933" s="71"/>
      <c r="I933" s="71" t="s">
        <v>569</v>
      </c>
      <c r="J933" s="70">
        <f>IFERROR(VLOOKUP(Devis[[#This Row],[Ref Air Flux]],#REF!,3,FALSE),0)</f>
        <v>0</v>
      </c>
      <c r="K933" s="68"/>
      <c r="L933" s="68"/>
      <c r="M933" s="68"/>
      <c r="N933" s="68"/>
      <c r="O933" s="68"/>
      <c r="P933" s="68"/>
      <c r="Q933" s="68">
        <f>SUM(Devis[[#This Row],[Poste 1]:[Poste 6]])</f>
        <v>0</v>
      </c>
      <c r="R933" s="71"/>
      <c r="S933" s="68">
        <f>_xlfn.CEILING.MATH(Devis[[#This Row],[Quantité Totale]],Devis[[#This Row],[Conditionnement]])</f>
        <v>0</v>
      </c>
      <c r="T933" s="97"/>
      <c r="U933" s="73"/>
      <c r="V933" s="74">
        <f>Devis[[#This Row],[Prix de Revient]]*Devis[[#This Row],[Poste 1]]</f>
        <v>0</v>
      </c>
      <c r="W933" s="74">
        <f>Devis[[#This Row],[Prix de Revient]]*Devis[[#This Row],[Poste 2]]</f>
        <v>0</v>
      </c>
      <c r="X933" s="74">
        <f>Devis[[#This Row],[Prix de Revient]]*Devis[[#This Row],[Poste 3]]</f>
        <v>0</v>
      </c>
      <c r="Y933" s="74">
        <f>Devis[[#This Row],[Poste 4]]*Devis[[#This Row],[Prix de Revient]]</f>
        <v>0</v>
      </c>
      <c r="Z933" s="74">
        <f>Devis[[#This Row],[Poste 5]]*Devis[[#This Row],[Prix de Revient]]</f>
        <v>0</v>
      </c>
      <c r="AA933" s="74">
        <f>Devis[[#This Row],[Prix de Revient]]*Devis[[#This Row],[Poste 6]]</f>
        <v>0</v>
      </c>
      <c r="AB933" s="74">
        <f>Devis[[#This Row],[Quantité Totale]]*Devis[[#This Row],[Prix de Revient]]</f>
        <v>0</v>
      </c>
    </row>
    <row r="934" spans="1:28" ht="14.25" customHeight="1" x14ac:dyDescent="0.25">
      <c r="A934" s="65" t="s">
        <v>356</v>
      </c>
      <c r="B934" s="65" t="s">
        <v>570</v>
      </c>
      <c r="C934" s="76"/>
      <c r="D934" s="81" t="str">
        <f t="shared" si="15"/>
        <v>FixationPI Erico</v>
      </c>
      <c r="E934" s="76"/>
      <c r="F934" s="81">
        <v>0</v>
      </c>
      <c r="G934" s="71"/>
      <c r="H934" s="71"/>
      <c r="I934" s="71"/>
      <c r="J934" s="70">
        <f>IFERROR(VLOOKUP(Devis[[#This Row],[Ref Air Flux]],#REF!,3,FALSE),0)</f>
        <v>0</v>
      </c>
      <c r="K934" s="68"/>
      <c r="L934" s="68"/>
      <c r="M934" s="68"/>
      <c r="N934" s="68"/>
      <c r="O934" s="68"/>
      <c r="P934" s="68"/>
      <c r="Q934" s="68">
        <f>SUM(Devis[[#This Row],[Poste 1]:[Poste 6]])</f>
        <v>0</v>
      </c>
      <c r="R934" s="71"/>
      <c r="S934" s="68">
        <f>_xlfn.CEILING.MATH(Devis[[#This Row],[Quantité Totale]],Devis[[#This Row],[Conditionnement]])</f>
        <v>0</v>
      </c>
      <c r="T934" s="97"/>
      <c r="U934" s="73"/>
      <c r="V934" s="74">
        <f>Devis[[#This Row],[Prix de Revient]]*Devis[[#This Row],[Poste 1]]</f>
        <v>0</v>
      </c>
      <c r="W934" s="74">
        <f>Devis[[#This Row],[Prix de Revient]]*Devis[[#This Row],[Poste 2]]</f>
        <v>0</v>
      </c>
      <c r="X934" s="74">
        <f>Devis[[#This Row],[Prix de Revient]]*Devis[[#This Row],[Poste 3]]</f>
        <v>0</v>
      </c>
      <c r="Y934" s="74">
        <f>Devis[[#This Row],[Poste 4]]*Devis[[#This Row],[Prix de Revient]]</f>
        <v>0</v>
      </c>
      <c r="Z934" s="74">
        <f>Devis[[#This Row],[Poste 5]]*Devis[[#This Row],[Prix de Revient]]</f>
        <v>0</v>
      </c>
      <c r="AA934" s="74">
        <f>Devis[[#This Row],[Prix de Revient]]*Devis[[#This Row],[Poste 6]]</f>
        <v>0</v>
      </c>
      <c r="AB934" s="74">
        <f>Devis[[#This Row],[Quantité Totale]]*Devis[[#This Row],[Prix de Revient]]</f>
        <v>0</v>
      </c>
    </row>
    <row r="935" spans="1:28" ht="14.25" customHeight="1" outlineLevel="1" x14ac:dyDescent="0.2">
      <c r="A935" s="75" t="s">
        <v>356</v>
      </c>
      <c r="B935" s="76" t="s">
        <v>570</v>
      </c>
      <c r="C935" s="75"/>
      <c r="D935" s="81" t="str">
        <f t="shared" si="15"/>
        <v>FixationPI Erico</v>
      </c>
      <c r="E935" s="75" t="s">
        <v>571</v>
      </c>
      <c r="F935" s="81">
        <v>1</v>
      </c>
      <c r="G935" s="71">
        <v>170380</v>
      </c>
      <c r="H935" s="71"/>
      <c r="I935" s="71"/>
      <c r="J935" s="70">
        <f>IFERROR(VLOOKUP(Devis[[#This Row],[Ref Air Flux]],#REF!,3,FALSE),0)</f>
        <v>0</v>
      </c>
      <c r="K935" s="68"/>
      <c r="L935" s="68"/>
      <c r="M935" s="68"/>
      <c r="N935" s="68"/>
      <c r="O935" s="68"/>
      <c r="P935" s="68"/>
      <c r="Q935" s="68">
        <f>SUM(Devis[[#This Row],[Poste 1]:[Poste 6]])</f>
        <v>0</v>
      </c>
      <c r="R935" s="71"/>
      <c r="S935" s="68">
        <f>_xlfn.CEILING.MATH(Devis[[#This Row],[Quantité Totale]],Devis[[#This Row],[Conditionnement]])</f>
        <v>0</v>
      </c>
      <c r="T935" s="97"/>
      <c r="U935" s="73"/>
      <c r="V935" s="74">
        <f>Devis[[#This Row],[Prix de Revient]]*Devis[[#This Row],[Poste 1]]</f>
        <v>0</v>
      </c>
      <c r="W935" s="74">
        <f>Devis[[#This Row],[Prix de Revient]]*Devis[[#This Row],[Poste 2]]</f>
        <v>0</v>
      </c>
      <c r="X935" s="74">
        <f>Devis[[#This Row],[Prix de Revient]]*Devis[[#This Row],[Poste 3]]</f>
        <v>0</v>
      </c>
      <c r="Y935" s="74">
        <f>Devis[[#This Row],[Poste 4]]*Devis[[#This Row],[Prix de Revient]]</f>
        <v>0</v>
      </c>
      <c r="Z935" s="74">
        <f>Devis[[#This Row],[Poste 5]]*Devis[[#This Row],[Prix de Revient]]</f>
        <v>0</v>
      </c>
      <c r="AA935" s="74">
        <f>Devis[[#This Row],[Prix de Revient]]*Devis[[#This Row],[Poste 6]]</f>
        <v>0</v>
      </c>
      <c r="AB935" s="74">
        <f>Devis[[#This Row],[Quantité Totale]]*Devis[[#This Row],[Prix de Revient]]</f>
        <v>0</v>
      </c>
    </row>
    <row r="936" spans="1:28" ht="14.25" customHeight="1" x14ac:dyDescent="0.25">
      <c r="A936" s="65" t="s">
        <v>356</v>
      </c>
      <c r="B936" s="65" t="s">
        <v>575</v>
      </c>
      <c r="C936" s="76"/>
      <c r="D936" s="81" t="str">
        <f t="shared" si="15"/>
        <v>FixationRails mupro</v>
      </c>
      <c r="E936" s="76"/>
      <c r="F936" s="81">
        <v>0</v>
      </c>
      <c r="G936" s="71"/>
      <c r="H936" s="71"/>
      <c r="I936" s="71"/>
      <c r="J936" s="70">
        <f>IFERROR(VLOOKUP(Devis[[#This Row],[Ref Air Flux]],#REF!,3,FALSE),0)</f>
        <v>0</v>
      </c>
      <c r="K936" s="68"/>
      <c r="L936" s="68"/>
      <c r="M936" s="68"/>
      <c r="N936" s="68"/>
      <c r="O936" s="68"/>
      <c r="P936" s="68"/>
      <c r="Q936" s="68">
        <f>SUM(Devis[[#This Row],[Poste 1]:[Poste 6]])</f>
        <v>0</v>
      </c>
      <c r="R936" s="71"/>
      <c r="S936" s="68">
        <f>_xlfn.CEILING.MATH(Devis[[#This Row],[Quantité Totale]],Devis[[#This Row],[Conditionnement]])</f>
        <v>0</v>
      </c>
      <c r="T936" s="97"/>
      <c r="U936" s="73"/>
      <c r="V936" s="74">
        <f>Devis[[#This Row],[Prix de Revient]]*Devis[[#This Row],[Poste 1]]</f>
        <v>0</v>
      </c>
      <c r="W936" s="74">
        <f>Devis[[#This Row],[Prix de Revient]]*Devis[[#This Row],[Poste 2]]</f>
        <v>0</v>
      </c>
      <c r="X936" s="74">
        <f>Devis[[#This Row],[Prix de Revient]]*Devis[[#This Row],[Poste 3]]</f>
        <v>0</v>
      </c>
      <c r="Y936" s="74">
        <f>Devis[[#This Row],[Poste 4]]*Devis[[#This Row],[Prix de Revient]]</f>
        <v>0</v>
      </c>
      <c r="Z936" s="74">
        <f>Devis[[#This Row],[Poste 5]]*Devis[[#This Row],[Prix de Revient]]</f>
        <v>0</v>
      </c>
      <c r="AA936" s="74">
        <f>Devis[[#This Row],[Prix de Revient]]*Devis[[#This Row],[Poste 6]]</f>
        <v>0</v>
      </c>
      <c r="AB936" s="74">
        <f>Devis[[#This Row],[Quantité Totale]]*Devis[[#This Row],[Prix de Revient]]</f>
        <v>0</v>
      </c>
    </row>
    <row r="937" spans="1:28" ht="14.25" customHeight="1" outlineLevel="1" x14ac:dyDescent="0.2">
      <c r="A937" s="75" t="s">
        <v>356</v>
      </c>
      <c r="B937" s="76" t="s">
        <v>575</v>
      </c>
      <c r="C937" s="75"/>
      <c r="D937" s="81" t="str">
        <f t="shared" si="15"/>
        <v>FixationRails mupro</v>
      </c>
      <c r="E937" s="75" t="s">
        <v>5126</v>
      </c>
      <c r="F937" s="81">
        <v>1</v>
      </c>
      <c r="G937" s="71">
        <v>32948</v>
      </c>
      <c r="H937" s="71" t="s">
        <v>535</v>
      </c>
      <c r="I937" s="71"/>
      <c r="J937" s="70">
        <f>IFERROR(VLOOKUP(Devis[[#This Row],[Ref Air Flux]],#REF!,3,FALSE),0)</f>
        <v>0</v>
      </c>
      <c r="K937" s="68"/>
      <c r="L937" s="68"/>
      <c r="M937" s="68"/>
      <c r="N937" s="68"/>
      <c r="O937" s="68"/>
      <c r="P937" s="68"/>
      <c r="Q937" s="68">
        <f>SUM(Devis[[#This Row],[Poste 1]:[Poste 6]])</f>
        <v>0</v>
      </c>
      <c r="R937" s="71"/>
      <c r="S937" s="68">
        <f>_xlfn.CEILING.MATH(Devis[[#This Row],[Quantité Totale]],Devis[[#This Row],[Conditionnement]])</f>
        <v>0</v>
      </c>
      <c r="T937" s="97"/>
      <c r="U937" s="73"/>
      <c r="V937" s="74">
        <f>Devis[[#This Row],[Prix de Revient]]*Devis[[#This Row],[Poste 1]]</f>
        <v>0</v>
      </c>
      <c r="W937" s="74">
        <f>Devis[[#This Row],[Prix de Revient]]*Devis[[#This Row],[Poste 2]]</f>
        <v>0</v>
      </c>
      <c r="X937" s="74">
        <f>Devis[[#This Row],[Prix de Revient]]*Devis[[#This Row],[Poste 3]]</f>
        <v>0</v>
      </c>
      <c r="Y937" s="74">
        <f>Devis[[#This Row],[Poste 4]]*Devis[[#This Row],[Prix de Revient]]</f>
        <v>0</v>
      </c>
      <c r="Z937" s="74">
        <f>Devis[[#This Row],[Poste 5]]*Devis[[#This Row],[Prix de Revient]]</f>
        <v>0</v>
      </c>
      <c r="AA937" s="74">
        <f>Devis[[#This Row],[Prix de Revient]]*Devis[[#This Row],[Poste 6]]</f>
        <v>0</v>
      </c>
      <c r="AB937" s="74">
        <f>Devis[[#This Row],[Quantité Totale]]*Devis[[#This Row],[Prix de Revient]]</f>
        <v>0</v>
      </c>
    </row>
    <row r="938" spans="1:28" ht="14.25" customHeight="1" outlineLevel="1" x14ac:dyDescent="0.2">
      <c r="A938" s="75" t="s">
        <v>356</v>
      </c>
      <c r="B938" s="76" t="s">
        <v>575</v>
      </c>
      <c r="C938" s="75"/>
      <c r="D938" s="81" t="str">
        <f t="shared" si="15"/>
        <v>FixationRails mupro</v>
      </c>
      <c r="E938" s="75" t="s">
        <v>5127</v>
      </c>
      <c r="F938" s="81">
        <v>2</v>
      </c>
      <c r="G938" s="71">
        <v>34991</v>
      </c>
      <c r="H938" s="71" t="s">
        <v>535</v>
      </c>
      <c r="I938" s="71"/>
      <c r="J938" s="70">
        <f>IFERROR(VLOOKUP(Devis[[#This Row],[Ref Air Flux]],#REF!,3,FALSE),0)</f>
        <v>0</v>
      </c>
      <c r="K938" s="68"/>
      <c r="L938" s="68"/>
      <c r="M938" s="68"/>
      <c r="N938" s="68"/>
      <c r="O938" s="68"/>
      <c r="P938" s="68"/>
      <c r="Q938" s="68">
        <f>SUM(Devis[[#This Row],[Poste 1]:[Poste 6]])</f>
        <v>0</v>
      </c>
      <c r="R938" s="71"/>
      <c r="S938" s="68">
        <f>_xlfn.CEILING.MATH(Devis[[#This Row],[Quantité Totale]],Devis[[#This Row],[Conditionnement]])</f>
        <v>0</v>
      </c>
      <c r="T938" s="97"/>
      <c r="U938" s="73"/>
      <c r="V938" s="74">
        <f>Devis[[#This Row],[Prix de Revient]]*Devis[[#This Row],[Poste 1]]</f>
        <v>0</v>
      </c>
      <c r="W938" s="74">
        <f>Devis[[#This Row],[Prix de Revient]]*Devis[[#This Row],[Poste 2]]</f>
        <v>0</v>
      </c>
      <c r="X938" s="74">
        <f>Devis[[#This Row],[Prix de Revient]]*Devis[[#This Row],[Poste 3]]</f>
        <v>0</v>
      </c>
      <c r="Y938" s="74">
        <f>Devis[[#This Row],[Poste 4]]*Devis[[#This Row],[Prix de Revient]]</f>
        <v>0</v>
      </c>
      <c r="Z938" s="74">
        <f>Devis[[#This Row],[Poste 5]]*Devis[[#This Row],[Prix de Revient]]</f>
        <v>0</v>
      </c>
      <c r="AA938" s="74">
        <f>Devis[[#This Row],[Prix de Revient]]*Devis[[#This Row],[Poste 6]]</f>
        <v>0</v>
      </c>
      <c r="AB938" s="74">
        <f>Devis[[#This Row],[Quantité Totale]]*Devis[[#This Row],[Prix de Revient]]</f>
        <v>0</v>
      </c>
    </row>
    <row r="939" spans="1:28" ht="14.25" outlineLevel="1" x14ac:dyDescent="0.2">
      <c r="A939" s="75" t="s">
        <v>356</v>
      </c>
      <c r="B939" s="76" t="s">
        <v>575</v>
      </c>
      <c r="C939" s="75"/>
      <c r="D939" s="81" t="str">
        <f t="shared" ref="D939:D1002" si="16">A939&amp;B939&amp;C939</f>
        <v>FixationRails mupro</v>
      </c>
      <c r="E939" s="75" t="s">
        <v>5128</v>
      </c>
      <c r="F939" s="81">
        <v>3</v>
      </c>
      <c r="G939" s="71">
        <v>10142</v>
      </c>
      <c r="H939" s="71" t="s">
        <v>535</v>
      </c>
      <c r="I939" s="71"/>
      <c r="J939" s="70">
        <f>IFERROR(VLOOKUP(Devis[[#This Row],[Ref Air Flux]],#REF!,3,FALSE),0)</f>
        <v>0</v>
      </c>
      <c r="K939" s="68"/>
      <c r="L939" s="68"/>
      <c r="M939" s="68"/>
      <c r="N939" s="68"/>
      <c r="O939" s="68"/>
      <c r="P939" s="68"/>
      <c r="Q939" s="68">
        <f>SUM(Devis[[#This Row],[Poste 1]:[Poste 6]])</f>
        <v>0</v>
      </c>
      <c r="R939" s="71"/>
      <c r="S939" s="68">
        <f>_xlfn.CEILING.MATH(Devis[[#This Row],[Quantité Totale]],Devis[[#This Row],[Conditionnement]])</f>
        <v>0</v>
      </c>
      <c r="T939" s="97"/>
      <c r="U939" s="73"/>
      <c r="V939" s="74">
        <f>Devis[[#This Row],[Prix de Revient]]*Devis[[#This Row],[Poste 1]]</f>
        <v>0</v>
      </c>
      <c r="W939" s="74">
        <f>Devis[[#This Row],[Prix de Revient]]*Devis[[#This Row],[Poste 2]]</f>
        <v>0</v>
      </c>
      <c r="X939" s="74">
        <f>Devis[[#This Row],[Prix de Revient]]*Devis[[#This Row],[Poste 3]]</f>
        <v>0</v>
      </c>
      <c r="Y939" s="74">
        <f>Devis[[#This Row],[Poste 4]]*Devis[[#This Row],[Prix de Revient]]</f>
        <v>0</v>
      </c>
      <c r="Z939" s="74">
        <f>Devis[[#This Row],[Poste 5]]*Devis[[#This Row],[Prix de Revient]]</f>
        <v>0</v>
      </c>
      <c r="AA939" s="74">
        <f>Devis[[#This Row],[Prix de Revient]]*Devis[[#This Row],[Poste 6]]</f>
        <v>0</v>
      </c>
      <c r="AB939" s="74">
        <f>Devis[[#This Row],[Quantité Totale]]*Devis[[#This Row],[Prix de Revient]]</f>
        <v>0</v>
      </c>
    </row>
    <row r="940" spans="1:28" ht="14.25" outlineLevel="1" x14ac:dyDescent="0.2">
      <c r="A940" s="75" t="s">
        <v>356</v>
      </c>
      <c r="B940" s="76" t="s">
        <v>575</v>
      </c>
      <c r="C940" s="75"/>
      <c r="D940" s="81" t="str">
        <f t="shared" si="16"/>
        <v>FixationRails mupro</v>
      </c>
      <c r="E940" s="75" t="s">
        <v>5129</v>
      </c>
      <c r="F940" s="81">
        <v>4</v>
      </c>
      <c r="G940" s="71">
        <v>129790</v>
      </c>
      <c r="H940" s="71" t="s">
        <v>535</v>
      </c>
      <c r="I940" s="71">
        <v>129790</v>
      </c>
      <c r="J940" s="70">
        <f>IFERROR(VLOOKUP(Devis[[#This Row],[Ref Air Flux]],#REF!,3,FALSE),0)</f>
        <v>0</v>
      </c>
      <c r="K940" s="68"/>
      <c r="L940" s="68"/>
      <c r="M940" s="68"/>
      <c r="N940" s="68"/>
      <c r="O940" s="68"/>
      <c r="P940" s="68"/>
      <c r="Q940" s="68">
        <f>SUM(Devis[[#This Row],[Poste 1]:[Poste 6]])</f>
        <v>0</v>
      </c>
      <c r="R940" s="71"/>
      <c r="S940" s="68">
        <f>_xlfn.CEILING.MATH(Devis[[#This Row],[Quantité Totale]],Devis[[#This Row],[Conditionnement]])</f>
        <v>0</v>
      </c>
      <c r="T940" s="97"/>
      <c r="U940" s="73"/>
      <c r="V940" s="74">
        <f>Devis[[#This Row],[Prix de Revient]]*Devis[[#This Row],[Poste 1]]</f>
        <v>0</v>
      </c>
      <c r="W940" s="74">
        <f>Devis[[#This Row],[Prix de Revient]]*Devis[[#This Row],[Poste 2]]</f>
        <v>0</v>
      </c>
      <c r="X940" s="74">
        <f>Devis[[#This Row],[Prix de Revient]]*Devis[[#This Row],[Poste 3]]</f>
        <v>0</v>
      </c>
      <c r="Y940" s="74">
        <f>Devis[[#This Row],[Poste 4]]*Devis[[#This Row],[Prix de Revient]]</f>
        <v>0</v>
      </c>
      <c r="Z940" s="74">
        <f>Devis[[#This Row],[Poste 5]]*Devis[[#This Row],[Prix de Revient]]</f>
        <v>0</v>
      </c>
      <c r="AA940" s="74">
        <f>Devis[[#This Row],[Prix de Revient]]*Devis[[#This Row],[Poste 6]]</f>
        <v>0</v>
      </c>
      <c r="AB940" s="74">
        <f>Devis[[#This Row],[Quantité Totale]]*Devis[[#This Row],[Prix de Revient]]</f>
        <v>0</v>
      </c>
    </row>
    <row r="941" spans="1:28" ht="15" customHeight="1" outlineLevel="1" x14ac:dyDescent="0.2">
      <c r="A941" s="75" t="s">
        <v>356</v>
      </c>
      <c r="B941" s="76" t="s">
        <v>575</v>
      </c>
      <c r="C941" s="75" t="s">
        <v>5130</v>
      </c>
      <c r="D941" s="81" t="str">
        <f t="shared" si="16"/>
        <v>FixationRails muproProlongateur</v>
      </c>
      <c r="E941" s="75" t="s">
        <v>555</v>
      </c>
      <c r="F941" s="81">
        <v>5</v>
      </c>
      <c r="G941" s="71">
        <v>14664</v>
      </c>
      <c r="H941" s="71"/>
      <c r="I941" s="71"/>
      <c r="J941" s="70">
        <f>IFERROR(VLOOKUP(Devis[[#This Row],[Ref Air Flux]],#REF!,3,FALSE),0)</f>
        <v>0</v>
      </c>
      <c r="K941" s="68"/>
      <c r="L941" s="68"/>
      <c r="M941" s="68"/>
      <c r="N941" s="68"/>
      <c r="O941" s="68"/>
      <c r="P941" s="68"/>
      <c r="Q941" s="68">
        <f>SUM(Devis[[#This Row],[Poste 1]:[Poste 6]])</f>
        <v>0</v>
      </c>
      <c r="R941" s="71"/>
      <c r="S941" s="68">
        <f>_xlfn.CEILING.MATH(Devis[[#This Row],[Quantité Totale]],Devis[[#This Row],[Conditionnement]])</f>
        <v>0</v>
      </c>
      <c r="T941" s="97"/>
      <c r="U941" s="73"/>
      <c r="V941" s="74">
        <f>Devis[[#This Row],[Prix de Revient]]*Devis[[#This Row],[Poste 1]]</f>
        <v>0</v>
      </c>
      <c r="W941" s="74">
        <f>Devis[[#This Row],[Prix de Revient]]*Devis[[#This Row],[Poste 2]]</f>
        <v>0</v>
      </c>
      <c r="X941" s="74">
        <f>Devis[[#This Row],[Prix de Revient]]*Devis[[#This Row],[Poste 3]]</f>
        <v>0</v>
      </c>
      <c r="Y941" s="74">
        <f>Devis[[#This Row],[Poste 4]]*Devis[[#This Row],[Prix de Revient]]</f>
        <v>0</v>
      </c>
      <c r="Z941" s="74">
        <f>Devis[[#This Row],[Poste 5]]*Devis[[#This Row],[Prix de Revient]]</f>
        <v>0</v>
      </c>
      <c r="AA941" s="74">
        <f>Devis[[#This Row],[Prix de Revient]]*Devis[[#This Row],[Poste 6]]</f>
        <v>0</v>
      </c>
      <c r="AB941" s="74">
        <f>Devis[[#This Row],[Quantité Totale]]*Devis[[#This Row],[Prix de Revient]]</f>
        <v>0</v>
      </c>
    </row>
    <row r="942" spans="1:28" ht="14.25" outlineLevel="1" x14ac:dyDescent="0.2">
      <c r="A942" s="75" t="s">
        <v>356</v>
      </c>
      <c r="B942" s="76" t="s">
        <v>575</v>
      </c>
      <c r="C942" s="75" t="s">
        <v>5130</v>
      </c>
      <c r="D942" s="81" t="str">
        <f t="shared" si="16"/>
        <v>FixationRails muproProlongateur</v>
      </c>
      <c r="E942" s="75" t="s">
        <v>556</v>
      </c>
      <c r="F942" s="81">
        <v>6</v>
      </c>
      <c r="G942" s="71">
        <v>14672</v>
      </c>
      <c r="H942" s="71"/>
      <c r="I942" s="71" t="s">
        <v>557</v>
      </c>
      <c r="J942" s="70">
        <f>IFERROR(VLOOKUP(Devis[[#This Row],[Ref Air Flux]],#REF!,3,FALSE),0)</f>
        <v>0</v>
      </c>
      <c r="K942" s="68"/>
      <c r="L942" s="68"/>
      <c r="M942" s="68"/>
      <c r="N942" s="68"/>
      <c r="O942" s="68"/>
      <c r="P942" s="68"/>
      <c r="Q942" s="68">
        <f>SUM(Devis[[#This Row],[Poste 1]:[Poste 6]])</f>
        <v>0</v>
      </c>
      <c r="R942" s="71"/>
      <c r="S942" s="68">
        <f>_xlfn.CEILING.MATH(Devis[[#This Row],[Quantité Totale]],Devis[[#This Row],[Conditionnement]])</f>
        <v>0</v>
      </c>
      <c r="T942" s="97"/>
      <c r="U942" s="73"/>
      <c r="V942" s="74">
        <f>Devis[[#This Row],[Prix de Revient]]*Devis[[#This Row],[Poste 1]]</f>
        <v>0</v>
      </c>
      <c r="W942" s="74">
        <f>Devis[[#This Row],[Prix de Revient]]*Devis[[#This Row],[Poste 2]]</f>
        <v>0</v>
      </c>
      <c r="X942" s="74">
        <f>Devis[[#This Row],[Prix de Revient]]*Devis[[#This Row],[Poste 3]]</f>
        <v>0</v>
      </c>
      <c r="Y942" s="74">
        <f>Devis[[#This Row],[Poste 4]]*Devis[[#This Row],[Prix de Revient]]</f>
        <v>0</v>
      </c>
      <c r="Z942" s="74">
        <f>Devis[[#This Row],[Poste 5]]*Devis[[#This Row],[Prix de Revient]]</f>
        <v>0</v>
      </c>
      <c r="AA942" s="74">
        <f>Devis[[#This Row],[Prix de Revient]]*Devis[[#This Row],[Poste 6]]</f>
        <v>0</v>
      </c>
      <c r="AB942" s="74">
        <f>Devis[[#This Row],[Quantité Totale]]*Devis[[#This Row],[Prix de Revient]]</f>
        <v>0</v>
      </c>
    </row>
    <row r="943" spans="1:28" ht="14.25" outlineLevel="1" x14ac:dyDescent="0.2">
      <c r="A943" s="75" t="s">
        <v>356</v>
      </c>
      <c r="B943" s="76" t="s">
        <v>575</v>
      </c>
      <c r="C943" s="75" t="s">
        <v>5130</v>
      </c>
      <c r="D943" s="81" t="str">
        <f t="shared" si="16"/>
        <v>FixationRails muproProlongateur</v>
      </c>
      <c r="E943" s="75" t="s">
        <v>558</v>
      </c>
      <c r="F943" s="81">
        <v>7</v>
      </c>
      <c r="G943" s="71">
        <v>113190</v>
      </c>
      <c r="H943" s="71"/>
      <c r="I943" s="71" t="s">
        <v>559</v>
      </c>
      <c r="J943" s="70">
        <f>IFERROR(VLOOKUP(Devis[[#This Row],[Ref Air Flux]],#REF!,3,FALSE),0)</f>
        <v>0</v>
      </c>
      <c r="K943" s="68"/>
      <c r="L943" s="68"/>
      <c r="M943" s="68"/>
      <c r="N943" s="68"/>
      <c r="O943" s="68"/>
      <c r="P943" s="68"/>
      <c r="Q943" s="68">
        <f>SUM(Devis[[#This Row],[Poste 1]:[Poste 6]])</f>
        <v>0</v>
      </c>
      <c r="R943" s="71"/>
      <c r="S943" s="68">
        <f>_xlfn.CEILING.MATH(Devis[[#This Row],[Quantité Totale]],Devis[[#This Row],[Conditionnement]])</f>
        <v>0</v>
      </c>
      <c r="T943" s="97"/>
      <c r="U943" s="73"/>
      <c r="V943" s="74">
        <f>Devis[[#This Row],[Prix de Revient]]*Devis[[#This Row],[Poste 1]]</f>
        <v>0</v>
      </c>
      <c r="W943" s="74">
        <f>Devis[[#This Row],[Prix de Revient]]*Devis[[#This Row],[Poste 2]]</f>
        <v>0</v>
      </c>
      <c r="X943" s="74">
        <f>Devis[[#This Row],[Prix de Revient]]*Devis[[#This Row],[Poste 3]]</f>
        <v>0</v>
      </c>
      <c r="Y943" s="74">
        <f>Devis[[#This Row],[Poste 4]]*Devis[[#This Row],[Prix de Revient]]</f>
        <v>0</v>
      </c>
      <c r="Z943" s="74">
        <f>Devis[[#This Row],[Poste 5]]*Devis[[#This Row],[Prix de Revient]]</f>
        <v>0</v>
      </c>
      <c r="AA943" s="74">
        <f>Devis[[#This Row],[Prix de Revient]]*Devis[[#This Row],[Poste 6]]</f>
        <v>0</v>
      </c>
      <c r="AB943" s="74">
        <f>Devis[[#This Row],[Quantité Totale]]*Devis[[#This Row],[Prix de Revient]]</f>
        <v>0</v>
      </c>
    </row>
    <row r="944" spans="1:28" ht="14.25" outlineLevel="1" x14ac:dyDescent="0.2">
      <c r="A944" s="75" t="s">
        <v>356</v>
      </c>
      <c r="B944" s="76" t="s">
        <v>575</v>
      </c>
      <c r="C944" s="75"/>
      <c r="D944" s="81" t="str">
        <f t="shared" si="16"/>
        <v>FixationRails mupro</v>
      </c>
      <c r="E944" s="75" t="s">
        <v>6407</v>
      </c>
      <c r="F944" s="81">
        <v>8</v>
      </c>
      <c r="G944" s="71">
        <v>20214</v>
      </c>
      <c r="H944" s="71" t="s">
        <v>535</v>
      </c>
      <c r="I944" s="71">
        <v>156809</v>
      </c>
      <c r="J944" s="70">
        <f>IFERROR(VLOOKUP(Devis[[#This Row],[Ref Air Flux]],#REF!,3,FALSE),0)</f>
        <v>0</v>
      </c>
      <c r="K944" s="68"/>
      <c r="L944" s="68"/>
      <c r="M944" s="68"/>
      <c r="N944" s="68"/>
      <c r="O944" s="68"/>
      <c r="P944" s="68"/>
      <c r="Q944" s="68">
        <f>SUM(Devis[[#This Row],[Poste 1]:[Poste 6]])</f>
        <v>0</v>
      </c>
      <c r="R944" s="71"/>
      <c r="S944" s="68">
        <f>_xlfn.CEILING.MATH(Devis[[#This Row],[Quantité Totale]],Devis[[#This Row],[Conditionnement]])</f>
        <v>0</v>
      </c>
      <c r="T944" s="97"/>
      <c r="U944" s="73" t="s">
        <v>6405</v>
      </c>
      <c r="V944" s="74">
        <f>Devis[[#This Row],[Prix de Revient]]*Devis[[#This Row],[Poste 1]]</f>
        <v>0</v>
      </c>
      <c r="W944" s="74">
        <f>Devis[[#This Row],[Prix de Revient]]*Devis[[#This Row],[Poste 2]]</f>
        <v>0</v>
      </c>
      <c r="X944" s="74">
        <f>Devis[[#This Row],[Prix de Revient]]*Devis[[#This Row],[Poste 3]]</f>
        <v>0</v>
      </c>
      <c r="Y944" s="74">
        <f>Devis[[#This Row],[Poste 4]]*Devis[[#This Row],[Prix de Revient]]</f>
        <v>0</v>
      </c>
      <c r="Z944" s="74">
        <f>Devis[[#This Row],[Poste 5]]*Devis[[#This Row],[Prix de Revient]]</f>
        <v>0</v>
      </c>
      <c r="AA944" s="74">
        <f>Devis[[#This Row],[Prix de Revient]]*Devis[[#This Row],[Poste 6]]</f>
        <v>0</v>
      </c>
      <c r="AB944" s="74">
        <f>Devis[[#This Row],[Quantité Totale]]*Devis[[#This Row],[Prix de Revient]]</f>
        <v>0</v>
      </c>
    </row>
    <row r="945" spans="1:28" ht="14.25" outlineLevel="1" x14ac:dyDescent="0.2">
      <c r="A945" s="75" t="s">
        <v>356</v>
      </c>
      <c r="B945" s="76" t="s">
        <v>575</v>
      </c>
      <c r="C945" s="75"/>
      <c r="D945" s="81" t="str">
        <f t="shared" si="16"/>
        <v>FixationRails mupro</v>
      </c>
      <c r="E945" s="75" t="s">
        <v>572</v>
      </c>
      <c r="F945" s="81">
        <v>9</v>
      </c>
      <c r="G945" s="71">
        <v>163109</v>
      </c>
      <c r="H945" s="71" t="s">
        <v>535</v>
      </c>
      <c r="I945" s="71">
        <v>163109</v>
      </c>
      <c r="J945" s="70">
        <f>IFERROR(VLOOKUP(Devis[[#This Row],[Ref Air Flux]],#REF!,3,FALSE),0)</f>
        <v>0</v>
      </c>
      <c r="K945" s="68"/>
      <c r="L945" s="68"/>
      <c r="M945" s="68"/>
      <c r="N945" s="68"/>
      <c r="O945" s="68"/>
      <c r="P945" s="68"/>
      <c r="Q945" s="68">
        <f>SUM(Devis[[#This Row],[Poste 1]:[Poste 6]])</f>
        <v>0</v>
      </c>
      <c r="R945" s="71"/>
      <c r="S945" s="68">
        <f>_xlfn.CEILING.MATH(Devis[[#This Row],[Quantité Totale]],Devis[[#This Row],[Conditionnement]])</f>
        <v>0</v>
      </c>
      <c r="T945" s="97"/>
      <c r="U945" s="73"/>
      <c r="V945" s="74">
        <f>Devis[[#This Row],[Prix de Revient]]*Devis[[#This Row],[Poste 1]]</f>
        <v>0</v>
      </c>
      <c r="W945" s="74">
        <f>Devis[[#This Row],[Prix de Revient]]*Devis[[#This Row],[Poste 2]]</f>
        <v>0</v>
      </c>
      <c r="X945" s="74">
        <f>Devis[[#This Row],[Prix de Revient]]*Devis[[#This Row],[Poste 3]]</f>
        <v>0</v>
      </c>
      <c r="Y945" s="74">
        <f>Devis[[#This Row],[Poste 4]]*Devis[[#This Row],[Prix de Revient]]</f>
        <v>0</v>
      </c>
      <c r="Z945" s="74">
        <f>Devis[[#This Row],[Poste 5]]*Devis[[#This Row],[Prix de Revient]]</f>
        <v>0</v>
      </c>
      <c r="AA945" s="74">
        <f>Devis[[#This Row],[Prix de Revient]]*Devis[[#This Row],[Poste 6]]</f>
        <v>0</v>
      </c>
      <c r="AB945" s="74">
        <f>Devis[[#This Row],[Quantité Totale]]*Devis[[#This Row],[Prix de Revient]]</f>
        <v>0</v>
      </c>
    </row>
    <row r="946" spans="1:28" ht="14.25" customHeight="1" outlineLevel="1" x14ac:dyDescent="0.2">
      <c r="A946" s="75" t="s">
        <v>356</v>
      </c>
      <c r="B946" s="76" t="s">
        <v>575</v>
      </c>
      <c r="C946" s="75"/>
      <c r="D946" s="81" t="str">
        <f t="shared" si="16"/>
        <v>FixationRails mupro</v>
      </c>
      <c r="E946" s="75" t="s">
        <v>5131</v>
      </c>
      <c r="F946" s="81">
        <v>10</v>
      </c>
      <c r="G946" s="71" t="s">
        <v>573</v>
      </c>
      <c r="H946" s="71" t="s">
        <v>535</v>
      </c>
      <c r="I946" s="71" t="s">
        <v>574</v>
      </c>
      <c r="J946" s="70">
        <f>IFERROR(VLOOKUP(Devis[[#This Row],[Ref Air Flux]],#REF!,3,FALSE),0)</f>
        <v>0</v>
      </c>
      <c r="K946" s="68"/>
      <c r="L946" s="68"/>
      <c r="M946" s="68"/>
      <c r="N946" s="68"/>
      <c r="O946" s="68"/>
      <c r="P946" s="68"/>
      <c r="Q946" s="68">
        <f>SUM(Devis[[#This Row],[Poste 1]:[Poste 6]])</f>
        <v>0</v>
      </c>
      <c r="R946" s="71"/>
      <c r="S946" s="68">
        <f>_xlfn.CEILING.MATH(Devis[[#This Row],[Quantité Totale]],Devis[[#This Row],[Conditionnement]])</f>
        <v>0</v>
      </c>
      <c r="T946" s="97"/>
      <c r="U946" s="73"/>
      <c r="V946" s="74">
        <f>Devis[[#This Row],[Prix de Revient]]*Devis[[#This Row],[Poste 1]]</f>
        <v>0</v>
      </c>
      <c r="W946" s="74">
        <f>Devis[[#This Row],[Prix de Revient]]*Devis[[#This Row],[Poste 2]]</f>
        <v>0</v>
      </c>
      <c r="X946" s="74">
        <f>Devis[[#This Row],[Prix de Revient]]*Devis[[#This Row],[Poste 3]]</f>
        <v>0</v>
      </c>
      <c r="Y946" s="74">
        <f>Devis[[#This Row],[Poste 4]]*Devis[[#This Row],[Prix de Revient]]</f>
        <v>0</v>
      </c>
      <c r="Z946" s="74">
        <f>Devis[[#This Row],[Poste 5]]*Devis[[#This Row],[Prix de Revient]]</f>
        <v>0</v>
      </c>
      <c r="AA946" s="74">
        <f>Devis[[#This Row],[Prix de Revient]]*Devis[[#This Row],[Poste 6]]</f>
        <v>0</v>
      </c>
      <c r="AB946" s="74">
        <f>Devis[[#This Row],[Quantité Totale]]*Devis[[#This Row],[Prix de Revient]]</f>
        <v>0</v>
      </c>
    </row>
    <row r="947" spans="1:28" ht="15" customHeight="1" outlineLevel="1" x14ac:dyDescent="0.2">
      <c r="A947" s="75" t="s">
        <v>356</v>
      </c>
      <c r="B947" s="76" t="s">
        <v>575</v>
      </c>
      <c r="C947" s="75" t="s">
        <v>6400</v>
      </c>
      <c r="D947" s="81" t="str">
        <f t="shared" si="16"/>
        <v>FixationRails muproEclisse Lourde</v>
      </c>
      <c r="E947" s="75" t="s">
        <v>6401</v>
      </c>
      <c r="F947" s="76">
        <v>11</v>
      </c>
      <c r="G947" s="71">
        <v>120136</v>
      </c>
      <c r="H947" s="71" t="s">
        <v>535</v>
      </c>
      <c r="I947" s="71">
        <v>120136</v>
      </c>
      <c r="J947" s="70">
        <f>IFERROR(VLOOKUP(Devis[[#This Row],[Ref Air Flux]],#REF!,3,FALSE),0)</f>
        <v>0</v>
      </c>
      <c r="K947" s="68"/>
      <c r="L947" s="68"/>
      <c r="M947" s="68"/>
      <c r="N947" s="68"/>
      <c r="O947" s="68"/>
      <c r="P947" s="68"/>
      <c r="Q947" s="68">
        <f>SUM(Devis[[#This Row],[Poste 1]:[Poste 6]])</f>
        <v>0</v>
      </c>
      <c r="R947" s="71"/>
      <c r="S947" s="68">
        <f>_xlfn.CEILING.MATH(Devis[[#This Row],[Quantité Totale]],Devis[[#This Row],[Conditionnement]])</f>
        <v>0</v>
      </c>
      <c r="T947" s="72"/>
      <c r="U947" s="73"/>
      <c r="V947" s="74">
        <f>Devis[[#This Row],[Prix de Revient]]*Devis[[#This Row],[Poste 1]]</f>
        <v>0</v>
      </c>
      <c r="W947" s="74">
        <f>Devis[[#This Row],[Prix de Revient]]*Devis[[#This Row],[Poste 2]]</f>
        <v>0</v>
      </c>
      <c r="X947" s="74">
        <f>Devis[[#This Row],[Prix de Revient]]*Devis[[#This Row],[Poste 3]]</f>
        <v>0</v>
      </c>
      <c r="Y947" s="74">
        <f>Devis[[#This Row],[Poste 4]]*Devis[[#This Row],[Prix de Revient]]</f>
        <v>0</v>
      </c>
      <c r="Z947" s="74">
        <f>Devis[[#This Row],[Poste 5]]*Devis[[#This Row],[Prix de Revient]]</f>
        <v>0</v>
      </c>
      <c r="AA947" s="74">
        <f>Devis[[#This Row],[Prix de Revient]]*Devis[[#This Row],[Poste 6]]</f>
        <v>0</v>
      </c>
      <c r="AB947" s="74">
        <f>Devis[[#This Row],[Quantité Totale]]*Devis[[#This Row],[Prix de Revient]]</f>
        <v>0</v>
      </c>
    </row>
    <row r="948" spans="1:28" ht="14.25" outlineLevel="1" x14ac:dyDescent="0.2">
      <c r="A948" s="75" t="s">
        <v>356</v>
      </c>
      <c r="B948" s="76" t="s">
        <v>575</v>
      </c>
      <c r="C948" s="75" t="s">
        <v>6400</v>
      </c>
      <c r="D948" s="81" t="str">
        <f t="shared" si="16"/>
        <v>FixationRails muproEclisse Lourde</v>
      </c>
      <c r="E948" s="75" t="s">
        <v>6402</v>
      </c>
      <c r="F948" s="76">
        <v>12</v>
      </c>
      <c r="G948" s="71">
        <v>134833</v>
      </c>
      <c r="H948" s="71" t="s">
        <v>535</v>
      </c>
      <c r="I948" s="71">
        <v>134833</v>
      </c>
      <c r="J948" s="70">
        <f>IFERROR(VLOOKUP(Devis[[#This Row],[Ref Air Flux]],#REF!,3,FALSE),0)</f>
        <v>0</v>
      </c>
      <c r="K948" s="68"/>
      <c r="L948" s="68"/>
      <c r="M948" s="68"/>
      <c r="N948" s="68"/>
      <c r="O948" s="68"/>
      <c r="P948" s="68"/>
      <c r="Q948" s="68">
        <f>SUM(Devis[[#This Row],[Poste 1]:[Poste 6]])</f>
        <v>0</v>
      </c>
      <c r="R948" s="71"/>
      <c r="S948" s="68">
        <f>_xlfn.CEILING.MATH(Devis[[#This Row],[Quantité Totale]],Devis[[#This Row],[Conditionnement]])</f>
        <v>0</v>
      </c>
      <c r="T948" s="72"/>
      <c r="U948" s="73"/>
      <c r="V948" s="74">
        <f>Devis[[#This Row],[Prix de Revient]]*Devis[[#This Row],[Poste 1]]</f>
        <v>0</v>
      </c>
      <c r="W948" s="74">
        <f>Devis[[#This Row],[Prix de Revient]]*Devis[[#This Row],[Poste 2]]</f>
        <v>0</v>
      </c>
      <c r="X948" s="74">
        <f>Devis[[#This Row],[Prix de Revient]]*Devis[[#This Row],[Poste 3]]</f>
        <v>0</v>
      </c>
      <c r="Y948" s="74">
        <f>Devis[[#This Row],[Poste 4]]*Devis[[#This Row],[Prix de Revient]]</f>
        <v>0</v>
      </c>
      <c r="Z948" s="74">
        <f>Devis[[#This Row],[Poste 5]]*Devis[[#This Row],[Prix de Revient]]</f>
        <v>0</v>
      </c>
      <c r="AA948" s="74">
        <f>Devis[[#This Row],[Prix de Revient]]*Devis[[#This Row],[Poste 6]]</f>
        <v>0</v>
      </c>
      <c r="AB948" s="74">
        <f>Devis[[#This Row],[Quantité Totale]]*Devis[[#This Row],[Prix de Revient]]</f>
        <v>0</v>
      </c>
    </row>
    <row r="949" spans="1:28" ht="14.25" outlineLevel="1" x14ac:dyDescent="0.2">
      <c r="A949" s="75" t="s">
        <v>356</v>
      </c>
      <c r="B949" s="76" t="s">
        <v>575</v>
      </c>
      <c r="C949" s="75" t="s">
        <v>5132</v>
      </c>
      <c r="D949" s="81" t="str">
        <f t="shared" si="16"/>
        <v>FixationRails muproRails</v>
      </c>
      <c r="E949" s="75" t="s">
        <v>576</v>
      </c>
      <c r="F949" s="81">
        <v>13</v>
      </c>
      <c r="G949" s="71">
        <v>14117</v>
      </c>
      <c r="H949" s="71" t="s">
        <v>535</v>
      </c>
      <c r="I949" s="71">
        <v>129911</v>
      </c>
      <c r="J949" s="70">
        <f>IFERROR(VLOOKUP(Devis[[#This Row],[Ref Air Flux]],#REF!,3,FALSE),0)</f>
        <v>0</v>
      </c>
      <c r="K949" s="68"/>
      <c r="L949" s="68"/>
      <c r="M949" s="68"/>
      <c r="N949" s="68"/>
      <c r="O949" s="68"/>
      <c r="P949" s="68"/>
      <c r="Q949" s="68">
        <f>SUM(Devis[[#This Row],[Poste 1]:[Poste 6]])</f>
        <v>0</v>
      </c>
      <c r="R949" s="71"/>
      <c r="S949" s="68">
        <f>_xlfn.CEILING.MATH(Devis[[#This Row],[Quantité Totale]],Devis[[#This Row],[Conditionnement]])</f>
        <v>0</v>
      </c>
      <c r="T949" s="97"/>
      <c r="U949" s="73"/>
      <c r="V949" s="74">
        <f>Devis[[#This Row],[Prix de Revient]]*Devis[[#This Row],[Poste 1]]</f>
        <v>0</v>
      </c>
      <c r="W949" s="74">
        <f>Devis[[#This Row],[Prix de Revient]]*Devis[[#This Row],[Poste 2]]</f>
        <v>0</v>
      </c>
      <c r="X949" s="74">
        <f>Devis[[#This Row],[Prix de Revient]]*Devis[[#This Row],[Poste 3]]</f>
        <v>0</v>
      </c>
      <c r="Y949" s="74">
        <f>Devis[[#This Row],[Poste 4]]*Devis[[#This Row],[Prix de Revient]]</f>
        <v>0</v>
      </c>
      <c r="Z949" s="74">
        <f>Devis[[#This Row],[Poste 5]]*Devis[[#This Row],[Prix de Revient]]</f>
        <v>0</v>
      </c>
      <c r="AA949" s="74">
        <f>Devis[[#This Row],[Prix de Revient]]*Devis[[#This Row],[Poste 6]]</f>
        <v>0</v>
      </c>
      <c r="AB949" s="74">
        <f>Devis[[#This Row],[Quantité Totale]]*Devis[[#This Row],[Prix de Revient]]</f>
        <v>0</v>
      </c>
    </row>
    <row r="950" spans="1:28" ht="15" customHeight="1" outlineLevel="1" x14ac:dyDescent="0.2">
      <c r="A950" s="75" t="s">
        <v>356</v>
      </c>
      <c r="B950" s="76" t="s">
        <v>575</v>
      </c>
      <c r="C950" s="75" t="s">
        <v>5132</v>
      </c>
      <c r="D950" s="81" t="str">
        <f t="shared" si="16"/>
        <v>FixationRails muproRails</v>
      </c>
      <c r="E950" s="75" t="s">
        <v>577</v>
      </c>
      <c r="F950" s="81">
        <v>14</v>
      </c>
      <c r="G950" s="71">
        <v>12037</v>
      </c>
      <c r="H950" s="71" t="s">
        <v>535</v>
      </c>
      <c r="I950" s="71" t="s">
        <v>578</v>
      </c>
      <c r="J950" s="70">
        <f>IFERROR(VLOOKUP(Devis[[#This Row],[Ref Air Flux]],#REF!,3,FALSE),0)</f>
        <v>0</v>
      </c>
      <c r="K950" s="68"/>
      <c r="L950" s="68"/>
      <c r="M950" s="68"/>
      <c r="N950" s="68"/>
      <c r="O950" s="68"/>
      <c r="P950" s="68"/>
      <c r="Q950" s="68">
        <f>SUM(Devis[[#This Row],[Poste 1]:[Poste 6]])</f>
        <v>0</v>
      </c>
      <c r="R950" s="71"/>
      <c r="S950" s="68">
        <f>_xlfn.CEILING.MATH(Devis[[#This Row],[Quantité Totale]],Devis[[#This Row],[Conditionnement]])</f>
        <v>0</v>
      </c>
      <c r="T950" s="97"/>
      <c r="U950" s="73"/>
      <c r="V950" s="74">
        <f>Devis[[#This Row],[Prix de Revient]]*Devis[[#This Row],[Poste 1]]</f>
        <v>0</v>
      </c>
      <c r="W950" s="74">
        <f>Devis[[#This Row],[Prix de Revient]]*Devis[[#This Row],[Poste 2]]</f>
        <v>0</v>
      </c>
      <c r="X950" s="74">
        <f>Devis[[#This Row],[Prix de Revient]]*Devis[[#This Row],[Poste 3]]</f>
        <v>0</v>
      </c>
      <c r="Y950" s="74">
        <f>Devis[[#This Row],[Poste 4]]*Devis[[#This Row],[Prix de Revient]]</f>
        <v>0</v>
      </c>
      <c r="Z950" s="74">
        <f>Devis[[#This Row],[Poste 5]]*Devis[[#This Row],[Prix de Revient]]</f>
        <v>0</v>
      </c>
      <c r="AA950" s="74">
        <f>Devis[[#This Row],[Prix de Revient]]*Devis[[#This Row],[Poste 6]]</f>
        <v>0</v>
      </c>
      <c r="AB950" s="74">
        <f>Devis[[#This Row],[Quantité Totale]]*Devis[[#This Row],[Prix de Revient]]</f>
        <v>0</v>
      </c>
    </row>
    <row r="951" spans="1:28" ht="14.25" outlineLevel="1" x14ac:dyDescent="0.2">
      <c r="A951" s="75" t="s">
        <v>356</v>
      </c>
      <c r="B951" s="76" t="s">
        <v>575</v>
      </c>
      <c r="C951" s="75" t="s">
        <v>5132</v>
      </c>
      <c r="D951" s="81" t="str">
        <f t="shared" si="16"/>
        <v>FixationRails muproRails</v>
      </c>
      <c r="E951" s="75" t="s">
        <v>579</v>
      </c>
      <c r="F951" s="81">
        <v>15</v>
      </c>
      <c r="G951" s="71" t="s">
        <v>580</v>
      </c>
      <c r="H951" s="71" t="s">
        <v>535</v>
      </c>
      <c r="I951" s="71" t="s">
        <v>581</v>
      </c>
      <c r="J951" s="70">
        <f>IFERROR(VLOOKUP(Devis[[#This Row],[Ref Air Flux]],#REF!,3,FALSE),0)</f>
        <v>0</v>
      </c>
      <c r="K951" s="68"/>
      <c r="L951" s="68"/>
      <c r="M951" s="68"/>
      <c r="N951" s="68"/>
      <c r="O951" s="68"/>
      <c r="P951" s="68"/>
      <c r="Q951" s="68">
        <f>SUM(Devis[[#This Row],[Poste 1]:[Poste 6]])</f>
        <v>0</v>
      </c>
      <c r="R951" s="71"/>
      <c r="S951" s="68">
        <f>_xlfn.CEILING.MATH(Devis[[#This Row],[Quantité Totale]],Devis[[#This Row],[Conditionnement]])</f>
        <v>0</v>
      </c>
      <c r="T951" s="97"/>
      <c r="U951" s="73"/>
      <c r="V951" s="74">
        <f>Devis[[#This Row],[Prix de Revient]]*Devis[[#This Row],[Poste 1]]</f>
        <v>0</v>
      </c>
      <c r="W951" s="74">
        <f>Devis[[#This Row],[Prix de Revient]]*Devis[[#This Row],[Poste 2]]</f>
        <v>0</v>
      </c>
      <c r="X951" s="74">
        <f>Devis[[#This Row],[Prix de Revient]]*Devis[[#This Row],[Poste 3]]</f>
        <v>0</v>
      </c>
      <c r="Y951" s="74">
        <f>Devis[[#This Row],[Poste 4]]*Devis[[#This Row],[Prix de Revient]]</f>
        <v>0</v>
      </c>
      <c r="Z951" s="74">
        <f>Devis[[#This Row],[Poste 5]]*Devis[[#This Row],[Prix de Revient]]</f>
        <v>0</v>
      </c>
      <c r="AA951" s="74">
        <f>Devis[[#This Row],[Prix de Revient]]*Devis[[#This Row],[Poste 6]]</f>
        <v>0</v>
      </c>
      <c r="AB951" s="74">
        <f>Devis[[#This Row],[Quantité Totale]]*Devis[[#This Row],[Prix de Revient]]</f>
        <v>0</v>
      </c>
    </row>
    <row r="952" spans="1:28" ht="14.25" outlineLevel="1" x14ac:dyDescent="0.2">
      <c r="A952" s="75" t="s">
        <v>356</v>
      </c>
      <c r="B952" s="76" t="s">
        <v>575</v>
      </c>
      <c r="C952" s="75" t="s">
        <v>5132</v>
      </c>
      <c r="D952" s="81" t="str">
        <f t="shared" si="16"/>
        <v>FixationRails muproRails</v>
      </c>
      <c r="E952" s="75" t="s">
        <v>582</v>
      </c>
      <c r="F952" s="81">
        <v>16</v>
      </c>
      <c r="G952" s="71" t="s">
        <v>583</v>
      </c>
      <c r="H952" s="71" t="s">
        <v>535</v>
      </c>
      <c r="I952" s="71"/>
      <c r="J952" s="70">
        <f>IFERROR(VLOOKUP(Devis[[#This Row],[Ref Air Flux]],#REF!,3,FALSE),0)</f>
        <v>0</v>
      </c>
      <c r="K952" s="68"/>
      <c r="L952" s="68"/>
      <c r="M952" s="68"/>
      <c r="N952" s="68"/>
      <c r="O952" s="68"/>
      <c r="P952" s="68"/>
      <c r="Q952" s="68">
        <f>SUM(Devis[[#This Row],[Poste 1]:[Poste 6]])</f>
        <v>0</v>
      </c>
      <c r="R952" s="71"/>
      <c r="S952" s="68">
        <f>_xlfn.CEILING.MATH(Devis[[#This Row],[Quantité Totale]],Devis[[#This Row],[Conditionnement]])</f>
        <v>0</v>
      </c>
      <c r="T952" s="97"/>
      <c r="U952" s="73"/>
      <c r="V952" s="74">
        <f>Devis[[#This Row],[Prix de Revient]]*Devis[[#This Row],[Poste 1]]</f>
        <v>0</v>
      </c>
      <c r="W952" s="74">
        <f>Devis[[#This Row],[Prix de Revient]]*Devis[[#This Row],[Poste 2]]</f>
        <v>0</v>
      </c>
      <c r="X952" s="74">
        <f>Devis[[#This Row],[Prix de Revient]]*Devis[[#This Row],[Poste 3]]</f>
        <v>0</v>
      </c>
      <c r="Y952" s="74">
        <f>Devis[[#This Row],[Poste 4]]*Devis[[#This Row],[Prix de Revient]]</f>
        <v>0</v>
      </c>
      <c r="Z952" s="74">
        <f>Devis[[#This Row],[Poste 5]]*Devis[[#This Row],[Prix de Revient]]</f>
        <v>0</v>
      </c>
      <c r="AA952" s="74">
        <f>Devis[[#This Row],[Prix de Revient]]*Devis[[#This Row],[Poste 6]]</f>
        <v>0</v>
      </c>
      <c r="AB952" s="74">
        <f>Devis[[#This Row],[Quantité Totale]]*Devis[[#This Row],[Prix de Revient]]</f>
        <v>0</v>
      </c>
    </row>
    <row r="953" spans="1:28" ht="15" customHeight="1" outlineLevel="1" x14ac:dyDescent="0.2">
      <c r="A953" s="75" t="s">
        <v>356</v>
      </c>
      <c r="B953" s="76" t="s">
        <v>575</v>
      </c>
      <c r="C953" s="75" t="s">
        <v>5132</v>
      </c>
      <c r="D953" s="81" t="str">
        <f t="shared" si="16"/>
        <v>FixationRails muproRails</v>
      </c>
      <c r="E953" s="75" t="s">
        <v>584</v>
      </c>
      <c r="F953" s="81">
        <v>17</v>
      </c>
      <c r="G953" s="71">
        <v>38830</v>
      </c>
      <c r="H953" s="71" t="s">
        <v>535</v>
      </c>
      <c r="I953" s="71"/>
      <c r="J953" s="70">
        <f>IFERROR(VLOOKUP(Devis[[#This Row],[Ref Air Flux]],#REF!,3,FALSE),0)</f>
        <v>0</v>
      </c>
      <c r="K953" s="68"/>
      <c r="L953" s="68"/>
      <c r="M953" s="68"/>
      <c r="N953" s="68"/>
      <c r="O953" s="68"/>
      <c r="P953" s="68"/>
      <c r="Q953" s="68">
        <f>SUM(Devis[[#This Row],[Poste 1]:[Poste 6]])</f>
        <v>0</v>
      </c>
      <c r="R953" s="71"/>
      <c r="S953" s="68">
        <f>_xlfn.CEILING.MATH(Devis[[#This Row],[Quantité Totale]],Devis[[#This Row],[Conditionnement]])</f>
        <v>0</v>
      </c>
      <c r="T953" s="97"/>
      <c r="U953" s="73"/>
      <c r="V953" s="74">
        <f>Devis[[#This Row],[Prix de Revient]]*Devis[[#This Row],[Poste 1]]</f>
        <v>0</v>
      </c>
      <c r="W953" s="74">
        <f>Devis[[#This Row],[Prix de Revient]]*Devis[[#This Row],[Poste 2]]</f>
        <v>0</v>
      </c>
      <c r="X953" s="74">
        <f>Devis[[#This Row],[Prix de Revient]]*Devis[[#This Row],[Poste 3]]</f>
        <v>0</v>
      </c>
      <c r="Y953" s="74">
        <f>Devis[[#This Row],[Poste 4]]*Devis[[#This Row],[Prix de Revient]]</f>
        <v>0</v>
      </c>
      <c r="Z953" s="74">
        <f>Devis[[#This Row],[Poste 5]]*Devis[[#This Row],[Prix de Revient]]</f>
        <v>0</v>
      </c>
      <c r="AA953" s="74">
        <f>Devis[[#This Row],[Prix de Revient]]*Devis[[#This Row],[Poste 6]]</f>
        <v>0</v>
      </c>
      <c r="AB953" s="74">
        <f>Devis[[#This Row],[Quantité Totale]]*Devis[[#This Row],[Prix de Revient]]</f>
        <v>0</v>
      </c>
    </row>
    <row r="954" spans="1:28" ht="14.25" customHeight="1" x14ac:dyDescent="0.25">
      <c r="A954" s="65" t="s">
        <v>356</v>
      </c>
      <c r="B954" s="65" t="s">
        <v>585</v>
      </c>
      <c r="C954" s="76"/>
      <c r="D954" s="81" t="str">
        <f t="shared" si="16"/>
        <v>FixationRivklés  - insert</v>
      </c>
      <c r="E954" s="76"/>
      <c r="F954" s="81">
        <v>0</v>
      </c>
      <c r="G954" s="71"/>
      <c r="H954" s="71"/>
      <c r="I954" s="71"/>
      <c r="J954" s="70">
        <f>IFERROR(VLOOKUP(Devis[[#This Row],[Ref Air Flux]],#REF!,3,FALSE),0)</f>
        <v>0</v>
      </c>
      <c r="K954" s="68"/>
      <c r="L954" s="68"/>
      <c r="M954" s="68"/>
      <c r="N954" s="68"/>
      <c r="O954" s="68"/>
      <c r="P954" s="68"/>
      <c r="Q954" s="68">
        <f>SUM(Devis[[#This Row],[Poste 1]:[Poste 6]])</f>
        <v>0</v>
      </c>
      <c r="R954" s="71"/>
      <c r="S954" s="68">
        <f>_xlfn.CEILING.MATH(Devis[[#This Row],[Quantité Totale]],Devis[[#This Row],[Conditionnement]])</f>
        <v>0</v>
      </c>
      <c r="T954" s="97"/>
      <c r="U954" s="73"/>
      <c r="V954" s="74">
        <f>Devis[[#This Row],[Prix de Revient]]*Devis[[#This Row],[Poste 1]]</f>
        <v>0</v>
      </c>
      <c r="W954" s="74">
        <f>Devis[[#This Row],[Prix de Revient]]*Devis[[#This Row],[Poste 2]]</f>
        <v>0</v>
      </c>
      <c r="X954" s="74">
        <f>Devis[[#This Row],[Prix de Revient]]*Devis[[#This Row],[Poste 3]]</f>
        <v>0</v>
      </c>
      <c r="Y954" s="74">
        <f>Devis[[#This Row],[Poste 4]]*Devis[[#This Row],[Prix de Revient]]</f>
        <v>0</v>
      </c>
      <c r="Z954" s="74">
        <f>Devis[[#This Row],[Poste 5]]*Devis[[#This Row],[Prix de Revient]]</f>
        <v>0</v>
      </c>
      <c r="AA954" s="74">
        <f>Devis[[#This Row],[Prix de Revient]]*Devis[[#This Row],[Poste 6]]</f>
        <v>0</v>
      </c>
      <c r="AB954" s="74">
        <f>Devis[[#This Row],[Quantité Totale]]*Devis[[#This Row],[Prix de Revient]]</f>
        <v>0</v>
      </c>
    </row>
    <row r="955" spans="1:28" ht="14.25" outlineLevel="1" x14ac:dyDescent="0.2">
      <c r="A955" s="75" t="s">
        <v>356</v>
      </c>
      <c r="B955" s="76" t="s">
        <v>585</v>
      </c>
      <c r="C955" s="75"/>
      <c r="D955" s="81" t="str">
        <f t="shared" si="16"/>
        <v>FixationRivklés  - insert</v>
      </c>
      <c r="E955" s="75" t="s">
        <v>323</v>
      </c>
      <c r="F955" s="81">
        <v>1</v>
      </c>
      <c r="G955" s="71" t="s">
        <v>586</v>
      </c>
      <c r="H955" s="71"/>
      <c r="I955" s="71" t="s">
        <v>587</v>
      </c>
      <c r="J955" s="70">
        <f>IFERROR(VLOOKUP(Devis[[#This Row],[Ref Air Flux]],#REF!,3,FALSE),0)</f>
        <v>0</v>
      </c>
      <c r="K955" s="68"/>
      <c r="L955" s="68"/>
      <c r="M955" s="68"/>
      <c r="N955" s="68"/>
      <c r="O955" s="68"/>
      <c r="P955" s="68"/>
      <c r="Q955" s="68">
        <f>SUM(Devis[[#This Row],[Poste 1]:[Poste 6]])</f>
        <v>0</v>
      </c>
      <c r="R955" s="71"/>
      <c r="S955" s="68">
        <f>_xlfn.CEILING.MATH(Devis[[#This Row],[Quantité Totale]],Devis[[#This Row],[Conditionnement]])</f>
        <v>0</v>
      </c>
      <c r="T955" s="97"/>
      <c r="U955" s="73"/>
      <c r="V955" s="74">
        <f>Devis[[#This Row],[Prix de Revient]]*Devis[[#This Row],[Poste 1]]</f>
        <v>0</v>
      </c>
      <c r="W955" s="74">
        <f>Devis[[#This Row],[Prix de Revient]]*Devis[[#This Row],[Poste 2]]</f>
        <v>0</v>
      </c>
      <c r="X955" s="74">
        <f>Devis[[#This Row],[Prix de Revient]]*Devis[[#This Row],[Poste 3]]</f>
        <v>0</v>
      </c>
      <c r="Y955" s="74">
        <f>Devis[[#This Row],[Poste 4]]*Devis[[#This Row],[Prix de Revient]]</f>
        <v>0</v>
      </c>
      <c r="Z955" s="74">
        <f>Devis[[#This Row],[Poste 5]]*Devis[[#This Row],[Prix de Revient]]</f>
        <v>0</v>
      </c>
      <c r="AA955" s="74">
        <f>Devis[[#This Row],[Prix de Revient]]*Devis[[#This Row],[Poste 6]]</f>
        <v>0</v>
      </c>
      <c r="AB955" s="74">
        <f>Devis[[#This Row],[Quantité Totale]]*Devis[[#This Row],[Prix de Revient]]</f>
        <v>0</v>
      </c>
    </row>
    <row r="956" spans="1:28" ht="14.25" outlineLevel="1" x14ac:dyDescent="0.2">
      <c r="A956" s="75" t="s">
        <v>356</v>
      </c>
      <c r="B956" s="76" t="s">
        <v>585</v>
      </c>
      <c r="C956" s="75"/>
      <c r="D956" s="81" t="str">
        <f t="shared" si="16"/>
        <v>FixationRivklés  - insert</v>
      </c>
      <c r="E956" s="75" t="s">
        <v>132</v>
      </c>
      <c r="F956" s="81">
        <v>2</v>
      </c>
      <c r="G956" s="71" t="s">
        <v>588</v>
      </c>
      <c r="H956" s="71"/>
      <c r="I956" s="71" t="s">
        <v>589</v>
      </c>
      <c r="J956" s="70">
        <f>IFERROR(VLOOKUP(Devis[[#This Row],[Ref Air Flux]],#REF!,3,FALSE),0)</f>
        <v>0</v>
      </c>
      <c r="K956" s="68"/>
      <c r="L956" s="68"/>
      <c r="M956" s="68"/>
      <c r="N956" s="68"/>
      <c r="O956" s="68"/>
      <c r="P956" s="68"/>
      <c r="Q956" s="68">
        <f>SUM(Devis[[#This Row],[Poste 1]:[Poste 6]])</f>
        <v>0</v>
      </c>
      <c r="R956" s="71"/>
      <c r="S956" s="68">
        <f>_xlfn.CEILING.MATH(Devis[[#This Row],[Quantité Totale]],Devis[[#This Row],[Conditionnement]])</f>
        <v>0</v>
      </c>
      <c r="T956" s="97"/>
      <c r="U956" s="73"/>
      <c r="V956" s="74">
        <f>Devis[[#This Row],[Prix de Revient]]*Devis[[#This Row],[Poste 1]]</f>
        <v>0</v>
      </c>
      <c r="W956" s="74">
        <f>Devis[[#This Row],[Prix de Revient]]*Devis[[#This Row],[Poste 2]]</f>
        <v>0</v>
      </c>
      <c r="X956" s="74">
        <f>Devis[[#This Row],[Prix de Revient]]*Devis[[#This Row],[Poste 3]]</f>
        <v>0</v>
      </c>
      <c r="Y956" s="74">
        <f>Devis[[#This Row],[Poste 4]]*Devis[[#This Row],[Prix de Revient]]</f>
        <v>0</v>
      </c>
      <c r="Z956" s="74">
        <f>Devis[[#This Row],[Poste 5]]*Devis[[#This Row],[Prix de Revient]]</f>
        <v>0</v>
      </c>
      <c r="AA956" s="74">
        <f>Devis[[#This Row],[Prix de Revient]]*Devis[[#This Row],[Poste 6]]</f>
        <v>0</v>
      </c>
      <c r="AB956" s="74">
        <f>Devis[[#This Row],[Quantité Totale]]*Devis[[#This Row],[Prix de Revient]]</f>
        <v>0</v>
      </c>
    </row>
    <row r="957" spans="1:28" ht="14.25" outlineLevel="1" x14ac:dyDescent="0.2">
      <c r="A957" s="75" t="s">
        <v>356</v>
      </c>
      <c r="B957" s="76" t="s">
        <v>585</v>
      </c>
      <c r="C957" s="75"/>
      <c r="D957" s="81" t="str">
        <f t="shared" si="16"/>
        <v>FixationRivklés  - insert</v>
      </c>
      <c r="E957" s="75" t="s">
        <v>536</v>
      </c>
      <c r="F957" s="81">
        <v>3</v>
      </c>
      <c r="G957" s="71" t="s">
        <v>590</v>
      </c>
      <c r="H957" s="71"/>
      <c r="I957" s="71" t="s">
        <v>591</v>
      </c>
      <c r="J957" s="70">
        <f>IFERROR(VLOOKUP(Devis[[#This Row],[Ref Air Flux]],#REF!,3,FALSE),0)</f>
        <v>0</v>
      </c>
      <c r="K957" s="68"/>
      <c r="L957" s="68"/>
      <c r="M957" s="68"/>
      <c r="N957" s="68"/>
      <c r="O957" s="68"/>
      <c r="P957" s="68"/>
      <c r="Q957" s="68">
        <f>SUM(Devis[[#This Row],[Poste 1]:[Poste 6]])</f>
        <v>0</v>
      </c>
      <c r="R957" s="71"/>
      <c r="S957" s="68">
        <f>_xlfn.CEILING.MATH(Devis[[#This Row],[Quantité Totale]],Devis[[#This Row],[Conditionnement]])</f>
        <v>0</v>
      </c>
      <c r="T957" s="97"/>
      <c r="U957" s="73"/>
      <c r="V957" s="74">
        <f>Devis[[#This Row],[Prix de Revient]]*Devis[[#This Row],[Poste 1]]</f>
        <v>0</v>
      </c>
      <c r="W957" s="74">
        <f>Devis[[#This Row],[Prix de Revient]]*Devis[[#This Row],[Poste 2]]</f>
        <v>0</v>
      </c>
      <c r="X957" s="74">
        <f>Devis[[#This Row],[Prix de Revient]]*Devis[[#This Row],[Poste 3]]</f>
        <v>0</v>
      </c>
      <c r="Y957" s="74">
        <f>Devis[[#This Row],[Poste 4]]*Devis[[#This Row],[Prix de Revient]]</f>
        <v>0</v>
      </c>
      <c r="Z957" s="74">
        <f>Devis[[#This Row],[Poste 5]]*Devis[[#This Row],[Prix de Revient]]</f>
        <v>0</v>
      </c>
      <c r="AA957" s="74">
        <f>Devis[[#This Row],[Prix de Revient]]*Devis[[#This Row],[Poste 6]]</f>
        <v>0</v>
      </c>
      <c r="AB957" s="74">
        <f>Devis[[#This Row],[Quantité Totale]]*Devis[[#This Row],[Prix de Revient]]</f>
        <v>0</v>
      </c>
    </row>
    <row r="958" spans="1:28" ht="14.25" customHeight="1" x14ac:dyDescent="0.25">
      <c r="A958" s="65" t="s">
        <v>356</v>
      </c>
      <c r="B958" s="65" t="s">
        <v>5133</v>
      </c>
      <c r="C958" s="76"/>
      <c r="D958" s="81" t="str">
        <f t="shared" si="16"/>
        <v>FixationRondelles</v>
      </c>
      <c r="E958" s="76"/>
      <c r="F958" s="81">
        <v>0</v>
      </c>
      <c r="G958" s="71"/>
      <c r="H958" s="71"/>
      <c r="I958" s="71"/>
      <c r="J958" s="70">
        <f>IFERROR(VLOOKUP(Devis[[#This Row],[Ref Air Flux]],#REF!,3,FALSE),0)</f>
        <v>0</v>
      </c>
      <c r="K958" s="68"/>
      <c r="L958" s="68"/>
      <c r="M958" s="68"/>
      <c r="N958" s="68"/>
      <c r="O958" s="68"/>
      <c r="P958" s="68"/>
      <c r="Q958" s="68">
        <f>SUM(Devis[[#This Row],[Poste 1]:[Poste 6]])</f>
        <v>0</v>
      </c>
      <c r="R958" s="71"/>
      <c r="S958" s="68">
        <f>_xlfn.CEILING.MATH(Devis[[#This Row],[Quantité Totale]],Devis[[#This Row],[Conditionnement]])</f>
        <v>0</v>
      </c>
      <c r="T958" s="97"/>
      <c r="U958" s="73"/>
      <c r="V958" s="74">
        <f>Devis[[#This Row],[Prix de Revient]]*Devis[[#This Row],[Poste 1]]</f>
        <v>0</v>
      </c>
      <c r="W958" s="74">
        <f>Devis[[#This Row],[Prix de Revient]]*Devis[[#This Row],[Poste 2]]</f>
        <v>0</v>
      </c>
      <c r="X958" s="74">
        <f>Devis[[#This Row],[Prix de Revient]]*Devis[[#This Row],[Poste 3]]</f>
        <v>0</v>
      </c>
      <c r="Y958" s="74">
        <f>Devis[[#This Row],[Poste 4]]*Devis[[#This Row],[Prix de Revient]]</f>
        <v>0</v>
      </c>
      <c r="Z958" s="74">
        <f>Devis[[#This Row],[Poste 5]]*Devis[[#This Row],[Prix de Revient]]</f>
        <v>0</v>
      </c>
      <c r="AA958" s="74">
        <f>Devis[[#This Row],[Prix de Revient]]*Devis[[#This Row],[Poste 6]]</f>
        <v>0</v>
      </c>
      <c r="AB958" s="74">
        <f>Devis[[#This Row],[Quantité Totale]]*Devis[[#This Row],[Prix de Revient]]</f>
        <v>0</v>
      </c>
    </row>
    <row r="959" spans="1:28" ht="15" customHeight="1" outlineLevel="1" x14ac:dyDescent="0.2">
      <c r="A959" s="75" t="s">
        <v>356</v>
      </c>
      <c r="B959" s="76" t="s">
        <v>5133</v>
      </c>
      <c r="C959" s="75" t="s">
        <v>5134</v>
      </c>
      <c r="D959" s="81" t="str">
        <f t="shared" si="16"/>
        <v>FixationRondellesMince</v>
      </c>
      <c r="E959" s="75" t="s">
        <v>323</v>
      </c>
      <c r="F959" s="81">
        <v>1</v>
      </c>
      <c r="G959" s="71">
        <v>14877</v>
      </c>
      <c r="H959" s="71"/>
      <c r="I959" s="71" t="s">
        <v>592</v>
      </c>
      <c r="J959" s="70">
        <f>IFERROR(VLOOKUP(Devis[[#This Row],[Ref Air Flux]],#REF!,3,FALSE),0)</f>
        <v>0</v>
      </c>
      <c r="K959" s="68"/>
      <c r="L959" s="68"/>
      <c r="M959" s="68"/>
      <c r="N959" s="68"/>
      <c r="O959" s="68"/>
      <c r="P959" s="68"/>
      <c r="Q959" s="68">
        <f>SUM(Devis[[#This Row],[Poste 1]:[Poste 6]])</f>
        <v>0</v>
      </c>
      <c r="R959" s="71"/>
      <c r="S959" s="68">
        <f>_xlfn.CEILING.MATH(Devis[[#This Row],[Quantité Totale]],Devis[[#This Row],[Conditionnement]])</f>
        <v>0</v>
      </c>
      <c r="T959" s="97"/>
      <c r="U959" s="73"/>
      <c r="V959" s="74">
        <f>Devis[[#This Row],[Prix de Revient]]*Devis[[#This Row],[Poste 1]]</f>
        <v>0</v>
      </c>
      <c r="W959" s="74">
        <f>Devis[[#This Row],[Prix de Revient]]*Devis[[#This Row],[Poste 2]]</f>
        <v>0</v>
      </c>
      <c r="X959" s="74">
        <f>Devis[[#This Row],[Prix de Revient]]*Devis[[#This Row],[Poste 3]]</f>
        <v>0</v>
      </c>
      <c r="Y959" s="74">
        <f>Devis[[#This Row],[Poste 4]]*Devis[[#This Row],[Prix de Revient]]</f>
        <v>0</v>
      </c>
      <c r="Z959" s="74">
        <f>Devis[[#This Row],[Poste 5]]*Devis[[#This Row],[Prix de Revient]]</f>
        <v>0</v>
      </c>
      <c r="AA959" s="74">
        <f>Devis[[#This Row],[Prix de Revient]]*Devis[[#This Row],[Poste 6]]</f>
        <v>0</v>
      </c>
      <c r="AB959" s="74">
        <f>Devis[[#This Row],[Quantité Totale]]*Devis[[#This Row],[Prix de Revient]]</f>
        <v>0</v>
      </c>
    </row>
    <row r="960" spans="1:28" ht="14.25" outlineLevel="1" x14ac:dyDescent="0.2">
      <c r="A960" s="75" t="s">
        <v>356</v>
      </c>
      <c r="B960" s="76" t="s">
        <v>5133</v>
      </c>
      <c r="C960" s="75" t="s">
        <v>5134</v>
      </c>
      <c r="D960" s="81" t="str">
        <f t="shared" si="16"/>
        <v>FixationRondellesMince</v>
      </c>
      <c r="E960" s="75" t="s">
        <v>132</v>
      </c>
      <c r="F960" s="81">
        <v>2</v>
      </c>
      <c r="G960" s="71">
        <v>14885</v>
      </c>
      <c r="H960" s="71"/>
      <c r="I960" s="71" t="s">
        <v>593</v>
      </c>
      <c r="J960" s="70">
        <f>IFERROR(VLOOKUP(Devis[[#This Row],[Ref Air Flux]],#REF!,3,FALSE),0)</f>
        <v>0</v>
      </c>
      <c r="K960" s="68"/>
      <c r="L960" s="68"/>
      <c r="M960" s="68"/>
      <c r="N960" s="68"/>
      <c r="O960" s="68"/>
      <c r="P960" s="68"/>
      <c r="Q960" s="68">
        <f>SUM(Devis[[#This Row],[Poste 1]:[Poste 6]])</f>
        <v>0</v>
      </c>
      <c r="R960" s="71"/>
      <c r="S960" s="68">
        <f>_xlfn.CEILING.MATH(Devis[[#This Row],[Quantité Totale]],Devis[[#This Row],[Conditionnement]])</f>
        <v>0</v>
      </c>
      <c r="T960" s="97"/>
      <c r="U960" s="73"/>
      <c r="V960" s="74">
        <f>Devis[[#This Row],[Prix de Revient]]*Devis[[#This Row],[Poste 1]]</f>
        <v>0</v>
      </c>
      <c r="W960" s="74">
        <f>Devis[[#This Row],[Prix de Revient]]*Devis[[#This Row],[Poste 2]]</f>
        <v>0</v>
      </c>
      <c r="X960" s="74">
        <f>Devis[[#This Row],[Prix de Revient]]*Devis[[#This Row],[Poste 3]]</f>
        <v>0</v>
      </c>
      <c r="Y960" s="74">
        <f>Devis[[#This Row],[Poste 4]]*Devis[[#This Row],[Prix de Revient]]</f>
        <v>0</v>
      </c>
      <c r="Z960" s="74">
        <f>Devis[[#This Row],[Poste 5]]*Devis[[#This Row],[Prix de Revient]]</f>
        <v>0</v>
      </c>
      <c r="AA960" s="74">
        <f>Devis[[#This Row],[Prix de Revient]]*Devis[[#This Row],[Poste 6]]</f>
        <v>0</v>
      </c>
      <c r="AB960" s="74">
        <f>Devis[[#This Row],[Quantité Totale]]*Devis[[#This Row],[Prix de Revient]]</f>
        <v>0</v>
      </c>
    </row>
    <row r="961" spans="1:28" ht="14.25" customHeight="1" outlineLevel="1" x14ac:dyDescent="0.2">
      <c r="A961" s="75" t="s">
        <v>356</v>
      </c>
      <c r="B961" s="76" t="s">
        <v>5133</v>
      </c>
      <c r="C961" s="75" t="s">
        <v>5134</v>
      </c>
      <c r="D961" s="81" t="str">
        <f t="shared" si="16"/>
        <v>FixationRondellesMince</v>
      </c>
      <c r="E961" s="75" t="s">
        <v>536</v>
      </c>
      <c r="F961" s="81">
        <v>3</v>
      </c>
      <c r="G961" s="71">
        <v>26263</v>
      </c>
      <c r="H961" s="71"/>
      <c r="I961" s="71" t="s">
        <v>594</v>
      </c>
      <c r="J961" s="70">
        <f>IFERROR(VLOOKUP(Devis[[#This Row],[Ref Air Flux]],#REF!,3,FALSE),0)</f>
        <v>0</v>
      </c>
      <c r="K961" s="68"/>
      <c r="L961" s="68"/>
      <c r="M961" s="68"/>
      <c r="N961" s="68"/>
      <c r="O961" s="68"/>
      <c r="P961" s="68"/>
      <c r="Q961" s="68">
        <f>SUM(Devis[[#This Row],[Poste 1]:[Poste 6]])</f>
        <v>0</v>
      </c>
      <c r="R961" s="71"/>
      <c r="S961" s="68">
        <f>_xlfn.CEILING.MATH(Devis[[#This Row],[Quantité Totale]],Devis[[#This Row],[Conditionnement]])</f>
        <v>0</v>
      </c>
      <c r="T961" s="97"/>
      <c r="U961" s="73"/>
      <c r="V961" s="74">
        <f>Devis[[#This Row],[Prix de Revient]]*Devis[[#This Row],[Poste 1]]</f>
        <v>0</v>
      </c>
      <c r="W961" s="74">
        <f>Devis[[#This Row],[Prix de Revient]]*Devis[[#This Row],[Poste 2]]</f>
        <v>0</v>
      </c>
      <c r="X961" s="74">
        <f>Devis[[#This Row],[Prix de Revient]]*Devis[[#This Row],[Poste 3]]</f>
        <v>0</v>
      </c>
      <c r="Y961" s="74">
        <f>Devis[[#This Row],[Poste 4]]*Devis[[#This Row],[Prix de Revient]]</f>
        <v>0</v>
      </c>
      <c r="Z961" s="74">
        <f>Devis[[#This Row],[Poste 5]]*Devis[[#This Row],[Prix de Revient]]</f>
        <v>0</v>
      </c>
      <c r="AA961" s="74">
        <f>Devis[[#This Row],[Prix de Revient]]*Devis[[#This Row],[Poste 6]]</f>
        <v>0</v>
      </c>
      <c r="AB961" s="74">
        <f>Devis[[#This Row],[Quantité Totale]]*Devis[[#This Row],[Prix de Revient]]</f>
        <v>0</v>
      </c>
    </row>
    <row r="962" spans="1:28" ht="15" customHeight="1" outlineLevel="1" x14ac:dyDescent="0.2">
      <c r="A962" s="75" t="s">
        <v>356</v>
      </c>
      <c r="B962" s="76" t="s">
        <v>5133</v>
      </c>
      <c r="C962" s="75" t="s">
        <v>5135</v>
      </c>
      <c r="D962" s="81" t="str">
        <f t="shared" si="16"/>
        <v>FixationRondellesLarge</v>
      </c>
      <c r="E962" s="75" t="s">
        <v>595</v>
      </c>
      <c r="F962" s="81">
        <v>4</v>
      </c>
      <c r="G962" s="71">
        <v>28878</v>
      </c>
      <c r="H962" s="71"/>
      <c r="I962" s="71" t="s">
        <v>596</v>
      </c>
      <c r="J962" s="70">
        <f>IFERROR(VLOOKUP(Devis[[#This Row],[Ref Air Flux]],#REF!,3,FALSE),0)</f>
        <v>0</v>
      </c>
      <c r="K962" s="68"/>
      <c r="L962" s="68"/>
      <c r="M962" s="68"/>
      <c r="N962" s="68"/>
      <c r="O962" s="68"/>
      <c r="P962" s="68"/>
      <c r="Q962" s="68">
        <f>SUM(Devis[[#This Row],[Poste 1]:[Poste 6]])</f>
        <v>0</v>
      </c>
      <c r="R962" s="71"/>
      <c r="S962" s="68">
        <f>_xlfn.CEILING.MATH(Devis[[#This Row],[Quantité Totale]],Devis[[#This Row],[Conditionnement]])</f>
        <v>0</v>
      </c>
      <c r="T962" s="97"/>
      <c r="U962" s="73"/>
      <c r="V962" s="74">
        <f>Devis[[#This Row],[Prix de Revient]]*Devis[[#This Row],[Poste 1]]</f>
        <v>0</v>
      </c>
      <c r="W962" s="74">
        <f>Devis[[#This Row],[Prix de Revient]]*Devis[[#This Row],[Poste 2]]</f>
        <v>0</v>
      </c>
      <c r="X962" s="74">
        <f>Devis[[#This Row],[Prix de Revient]]*Devis[[#This Row],[Poste 3]]</f>
        <v>0</v>
      </c>
      <c r="Y962" s="74">
        <f>Devis[[#This Row],[Poste 4]]*Devis[[#This Row],[Prix de Revient]]</f>
        <v>0</v>
      </c>
      <c r="Z962" s="74">
        <f>Devis[[#This Row],[Poste 5]]*Devis[[#This Row],[Prix de Revient]]</f>
        <v>0</v>
      </c>
      <c r="AA962" s="74">
        <f>Devis[[#This Row],[Prix de Revient]]*Devis[[#This Row],[Poste 6]]</f>
        <v>0</v>
      </c>
      <c r="AB962" s="74">
        <f>Devis[[#This Row],[Quantité Totale]]*Devis[[#This Row],[Prix de Revient]]</f>
        <v>0</v>
      </c>
    </row>
    <row r="963" spans="1:28" ht="15" customHeight="1" outlineLevel="1" x14ac:dyDescent="0.2">
      <c r="A963" s="75" t="s">
        <v>356</v>
      </c>
      <c r="B963" s="76" t="s">
        <v>5133</v>
      </c>
      <c r="C963" s="75" t="s">
        <v>5135</v>
      </c>
      <c r="D963" s="81" t="str">
        <f t="shared" si="16"/>
        <v>FixationRondellesLarge</v>
      </c>
      <c r="E963" s="75" t="s">
        <v>597</v>
      </c>
      <c r="F963" s="81">
        <v>5</v>
      </c>
      <c r="G963" s="71">
        <v>28886</v>
      </c>
      <c r="H963" s="71"/>
      <c r="I963" s="71" t="s">
        <v>598</v>
      </c>
      <c r="J963" s="70">
        <f>IFERROR(VLOOKUP(Devis[[#This Row],[Ref Air Flux]],#REF!,3,FALSE),0)</f>
        <v>0</v>
      </c>
      <c r="K963" s="68"/>
      <c r="L963" s="68"/>
      <c r="M963" s="68"/>
      <c r="N963" s="68"/>
      <c r="O963" s="68"/>
      <c r="P963" s="68"/>
      <c r="Q963" s="68">
        <f>SUM(Devis[[#This Row],[Poste 1]:[Poste 6]])</f>
        <v>0</v>
      </c>
      <c r="R963" s="71"/>
      <c r="S963" s="68">
        <f>_xlfn.CEILING.MATH(Devis[[#This Row],[Quantité Totale]],Devis[[#This Row],[Conditionnement]])</f>
        <v>0</v>
      </c>
      <c r="T963" s="97"/>
      <c r="U963" s="73"/>
      <c r="V963" s="74">
        <f>Devis[[#This Row],[Prix de Revient]]*Devis[[#This Row],[Poste 1]]</f>
        <v>0</v>
      </c>
      <c r="W963" s="74">
        <f>Devis[[#This Row],[Prix de Revient]]*Devis[[#This Row],[Poste 2]]</f>
        <v>0</v>
      </c>
      <c r="X963" s="74">
        <f>Devis[[#This Row],[Prix de Revient]]*Devis[[#This Row],[Poste 3]]</f>
        <v>0</v>
      </c>
      <c r="Y963" s="74">
        <f>Devis[[#This Row],[Poste 4]]*Devis[[#This Row],[Prix de Revient]]</f>
        <v>0</v>
      </c>
      <c r="Z963" s="74">
        <f>Devis[[#This Row],[Poste 5]]*Devis[[#This Row],[Prix de Revient]]</f>
        <v>0</v>
      </c>
      <c r="AA963" s="74">
        <f>Devis[[#This Row],[Prix de Revient]]*Devis[[#This Row],[Poste 6]]</f>
        <v>0</v>
      </c>
      <c r="AB963" s="74">
        <f>Devis[[#This Row],[Quantité Totale]]*Devis[[#This Row],[Prix de Revient]]</f>
        <v>0</v>
      </c>
    </row>
    <row r="964" spans="1:28" ht="15" customHeight="1" x14ac:dyDescent="0.25">
      <c r="A964" s="65" t="s">
        <v>356</v>
      </c>
      <c r="B964" s="65" t="s">
        <v>599</v>
      </c>
      <c r="C964" s="76"/>
      <c r="D964" s="81" t="str">
        <f t="shared" si="16"/>
        <v>FixationTige filetée</v>
      </c>
      <c r="E964" s="76"/>
      <c r="F964" s="81">
        <v>0</v>
      </c>
      <c r="G964" s="71"/>
      <c r="H964" s="71"/>
      <c r="I964" s="71"/>
      <c r="J964" s="70">
        <f>IFERROR(VLOOKUP(Devis[[#This Row],[Ref Air Flux]],#REF!,3,FALSE),0)</f>
        <v>0</v>
      </c>
      <c r="K964" s="68"/>
      <c r="L964" s="68"/>
      <c r="M964" s="68"/>
      <c r="N964" s="68"/>
      <c r="O964" s="68"/>
      <c r="P964" s="68"/>
      <c r="Q964" s="68">
        <f>SUM(Devis[[#This Row],[Poste 1]:[Poste 6]])</f>
        <v>0</v>
      </c>
      <c r="R964" s="71"/>
      <c r="S964" s="68">
        <f>_xlfn.CEILING.MATH(Devis[[#This Row],[Quantité Totale]],Devis[[#This Row],[Conditionnement]])</f>
        <v>0</v>
      </c>
      <c r="T964" s="97"/>
      <c r="U964" s="73"/>
      <c r="V964" s="74">
        <f>Devis[[#This Row],[Prix de Revient]]*Devis[[#This Row],[Poste 1]]</f>
        <v>0</v>
      </c>
      <c r="W964" s="74">
        <f>Devis[[#This Row],[Prix de Revient]]*Devis[[#This Row],[Poste 2]]</f>
        <v>0</v>
      </c>
      <c r="X964" s="74">
        <f>Devis[[#This Row],[Prix de Revient]]*Devis[[#This Row],[Poste 3]]</f>
        <v>0</v>
      </c>
      <c r="Y964" s="74">
        <f>Devis[[#This Row],[Poste 4]]*Devis[[#This Row],[Prix de Revient]]</f>
        <v>0</v>
      </c>
      <c r="Z964" s="74">
        <f>Devis[[#This Row],[Poste 5]]*Devis[[#This Row],[Prix de Revient]]</f>
        <v>0</v>
      </c>
      <c r="AA964" s="74">
        <f>Devis[[#This Row],[Prix de Revient]]*Devis[[#This Row],[Poste 6]]</f>
        <v>0</v>
      </c>
      <c r="AB964" s="74">
        <f>Devis[[#This Row],[Quantité Totale]]*Devis[[#This Row],[Prix de Revient]]</f>
        <v>0</v>
      </c>
    </row>
    <row r="965" spans="1:28" ht="15" customHeight="1" outlineLevel="1" x14ac:dyDescent="0.2">
      <c r="A965" s="75" t="s">
        <v>356</v>
      </c>
      <c r="B965" s="76" t="s">
        <v>599</v>
      </c>
      <c r="C965" s="75"/>
      <c r="D965" s="81" t="str">
        <f t="shared" si="16"/>
        <v>FixationTige filetée</v>
      </c>
      <c r="E965" s="75" t="s">
        <v>321</v>
      </c>
      <c r="F965" s="81">
        <v>1</v>
      </c>
      <c r="G965" s="71" t="s">
        <v>600</v>
      </c>
      <c r="H965" s="71"/>
      <c r="I965" s="71"/>
      <c r="J965" s="70">
        <f>IFERROR(VLOOKUP(Devis[[#This Row],[Ref Air Flux]],#REF!,3,FALSE),0)</f>
        <v>0</v>
      </c>
      <c r="K965" s="68"/>
      <c r="L965" s="68"/>
      <c r="M965" s="68"/>
      <c r="N965" s="68"/>
      <c r="O965" s="68"/>
      <c r="P965" s="68"/>
      <c r="Q965" s="68">
        <f>SUM(Devis[[#This Row],[Poste 1]:[Poste 6]])</f>
        <v>0</v>
      </c>
      <c r="R965" s="71"/>
      <c r="S965" s="68">
        <f>_xlfn.CEILING.MATH(Devis[[#This Row],[Quantité Totale]],Devis[[#This Row],[Conditionnement]])</f>
        <v>0</v>
      </c>
      <c r="T965" s="97"/>
      <c r="U965" s="73"/>
      <c r="V965" s="74">
        <f>Devis[[#This Row],[Prix de Revient]]*Devis[[#This Row],[Poste 1]]</f>
        <v>0</v>
      </c>
      <c r="W965" s="74">
        <f>Devis[[#This Row],[Prix de Revient]]*Devis[[#This Row],[Poste 2]]</f>
        <v>0</v>
      </c>
      <c r="X965" s="74">
        <f>Devis[[#This Row],[Prix de Revient]]*Devis[[#This Row],[Poste 3]]</f>
        <v>0</v>
      </c>
      <c r="Y965" s="74">
        <f>Devis[[#This Row],[Poste 4]]*Devis[[#This Row],[Prix de Revient]]</f>
        <v>0</v>
      </c>
      <c r="Z965" s="74">
        <f>Devis[[#This Row],[Poste 5]]*Devis[[#This Row],[Prix de Revient]]</f>
        <v>0</v>
      </c>
      <c r="AA965" s="74">
        <f>Devis[[#This Row],[Prix de Revient]]*Devis[[#This Row],[Poste 6]]</f>
        <v>0</v>
      </c>
      <c r="AB965" s="74">
        <f>Devis[[#This Row],[Quantité Totale]]*Devis[[#This Row],[Prix de Revient]]</f>
        <v>0</v>
      </c>
    </row>
    <row r="966" spans="1:28" ht="14.25" outlineLevel="1" x14ac:dyDescent="0.2">
      <c r="A966" s="75" t="s">
        <v>356</v>
      </c>
      <c r="B966" s="76" t="s">
        <v>599</v>
      </c>
      <c r="C966" s="75"/>
      <c r="D966" s="81" t="str">
        <f t="shared" si="16"/>
        <v>FixationTige filetée</v>
      </c>
      <c r="E966" s="75" t="s">
        <v>323</v>
      </c>
      <c r="F966" s="81">
        <v>2</v>
      </c>
      <c r="G966" s="71" t="s">
        <v>601</v>
      </c>
      <c r="H966" s="71"/>
      <c r="I966" s="71"/>
      <c r="J966" s="70">
        <f>IFERROR(VLOOKUP(Devis[[#This Row],[Ref Air Flux]],#REF!,3,FALSE),0)</f>
        <v>0</v>
      </c>
      <c r="K966" s="68"/>
      <c r="L966" s="68"/>
      <c r="M966" s="68"/>
      <c r="N966" s="68"/>
      <c r="O966" s="68"/>
      <c r="P966" s="68"/>
      <c r="Q966" s="68">
        <f>SUM(Devis[[#This Row],[Poste 1]:[Poste 6]])</f>
        <v>0</v>
      </c>
      <c r="R966" s="71"/>
      <c r="S966" s="68">
        <f>_xlfn.CEILING.MATH(Devis[[#This Row],[Quantité Totale]],Devis[[#This Row],[Conditionnement]])</f>
        <v>0</v>
      </c>
      <c r="T966" s="97"/>
      <c r="U966" s="73"/>
      <c r="V966" s="74">
        <f>Devis[[#This Row],[Prix de Revient]]*Devis[[#This Row],[Poste 1]]</f>
        <v>0</v>
      </c>
      <c r="W966" s="74">
        <f>Devis[[#This Row],[Prix de Revient]]*Devis[[#This Row],[Poste 2]]</f>
        <v>0</v>
      </c>
      <c r="X966" s="74">
        <f>Devis[[#This Row],[Prix de Revient]]*Devis[[#This Row],[Poste 3]]</f>
        <v>0</v>
      </c>
      <c r="Y966" s="74">
        <f>Devis[[#This Row],[Poste 4]]*Devis[[#This Row],[Prix de Revient]]</f>
        <v>0</v>
      </c>
      <c r="Z966" s="74">
        <f>Devis[[#This Row],[Poste 5]]*Devis[[#This Row],[Prix de Revient]]</f>
        <v>0</v>
      </c>
      <c r="AA966" s="74">
        <f>Devis[[#This Row],[Prix de Revient]]*Devis[[#This Row],[Poste 6]]</f>
        <v>0</v>
      </c>
      <c r="AB966" s="74">
        <f>Devis[[#This Row],[Quantité Totale]]*Devis[[#This Row],[Prix de Revient]]</f>
        <v>0</v>
      </c>
    </row>
    <row r="967" spans="1:28" ht="14.25" outlineLevel="1" x14ac:dyDescent="0.2">
      <c r="A967" s="75" t="s">
        <v>356</v>
      </c>
      <c r="B967" s="76" t="s">
        <v>599</v>
      </c>
      <c r="C967" s="75"/>
      <c r="D967" s="81" t="str">
        <f t="shared" si="16"/>
        <v>FixationTige filetée</v>
      </c>
      <c r="E967" s="75" t="s">
        <v>132</v>
      </c>
      <c r="F967" s="81">
        <v>3</v>
      </c>
      <c r="G967" s="71" t="s">
        <v>602</v>
      </c>
      <c r="H967" s="71"/>
      <c r="I967" s="71" t="s">
        <v>603</v>
      </c>
      <c r="J967" s="70">
        <f>IFERROR(VLOOKUP(Devis[[#This Row],[Ref Air Flux]],#REF!,3,FALSE),0)</f>
        <v>0</v>
      </c>
      <c r="K967" s="68"/>
      <c r="L967" s="68"/>
      <c r="M967" s="68"/>
      <c r="N967" s="68"/>
      <c r="O967" s="68"/>
      <c r="P967" s="68"/>
      <c r="Q967" s="68">
        <f>SUM(Devis[[#This Row],[Poste 1]:[Poste 6]])</f>
        <v>0</v>
      </c>
      <c r="R967" s="71"/>
      <c r="S967" s="68">
        <f>_xlfn.CEILING.MATH(Devis[[#This Row],[Quantité Totale]],Devis[[#This Row],[Conditionnement]])</f>
        <v>0</v>
      </c>
      <c r="T967" s="97"/>
      <c r="U967" s="73"/>
      <c r="V967" s="74">
        <f>Devis[[#This Row],[Prix de Revient]]*Devis[[#This Row],[Poste 1]]</f>
        <v>0</v>
      </c>
      <c r="W967" s="74">
        <f>Devis[[#This Row],[Prix de Revient]]*Devis[[#This Row],[Poste 2]]</f>
        <v>0</v>
      </c>
      <c r="X967" s="74">
        <f>Devis[[#This Row],[Prix de Revient]]*Devis[[#This Row],[Poste 3]]</f>
        <v>0</v>
      </c>
      <c r="Y967" s="74">
        <f>Devis[[#This Row],[Poste 4]]*Devis[[#This Row],[Prix de Revient]]</f>
        <v>0</v>
      </c>
      <c r="Z967" s="74">
        <f>Devis[[#This Row],[Poste 5]]*Devis[[#This Row],[Prix de Revient]]</f>
        <v>0</v>
      </c>
      <c r="AA967" s="74">
        <f>Devis[[#This Row],[Prix de Revient]]*Devis[[#This Row],[Poste 6]]</f>
        <v>0</v>
      </c>
      <c r="AB967" s="74">
        <f>Devis[[#This Row],[Quantité Totale]]*Devis[[#This Row],[Prix de Revient]]</f>
        <v>0</v>
      </c>
    </row>
    <row r="968" spans="1:28" ht="15" customHeight="1" outlineLevel="1" x14ac:dyDescent="0.2">
      <c r="A968" s="75" t="s">
        <v>356</v>
      </c>
      <c r="B968" s="76" t="s">
        <v>599</v>
      </c>
      <c r="C968" s="75"/>
      <c r="D968" s="81" t="str">
        <f t="shared" si="16"/>
        <v>FixationTige filetée</v>
      </c>
      <c r="E968" s="75" t="s">
        <v>536</v>
      </c>
      <c r="F968" s="81">
        <v>4</v>
      </c>
      <c r="G968" s="71" t="s">
        <v>604</v>
      </c>
      <c r="H968" s="71"/>
      <c r="I968" s="71" t="s">
        <v>605</v>
      </c>
      <c r="J968" s="70">
        <f>IFERROR(VLOOKUP(Devis[[#This Row],[Ref Air Flux]],#REF!,3,FALSE),0)</f>
        <v>0</v>
      </c>
      <c r="K968" s="68"/>
      <c r="L968" s="68"/>
      <c r="M968" s="68"/>
      <c r="N968" s="68"/>
      <c r="O968" s="68"/>
      <c r="P968" s="68"/>
      <c r="Q968" s="68">
        <f>SUM(Devis[[#This Row],[Poste 1]:[Poste 6]])</f>
        <v>0</v>
      </c>
      <c r="R968" s="71"/>
      <c r="S968" s="68">
        <f>_xlfn.CEILING.MATH(Devis[[#This Row],[Quantité Totale]],Devis[[#This Row],[Conditionnement]])</f>
        <v>0</v>
      </c>
      <c r="T968" s="97"/>
      <c r="U968" s="73"/>
      <c r="V968" s="74">
        <f>Devis[[#This Row],[Prix de Revient]]*Devis[[#This Row],[Poste 1]]</f>
        <v>0</v>
      </c>
      <c r="W968" s="74">
        <f>Devis[[#This Row],[Prix de Revient]]*Devis[[#This Row],[Poste 2]]</f>
        <v>0</v>
      </c>
      <c r="X968" s="74">
        <f>Devis[[#This Row],[Prix de Revient]]*Devis[[#This Row],[Poste 3]]</f>
        <v>0</v>
      </c>
      <c r="Y968" s="74">
        <f>Devis[[#This Row],[Poste 4]]*Devis[[#This Row],[Prix de Revient]]</f>
        <v>0</v>
      </c>
      <c r="Z968" s="74">
        <f>Devis[[#This Row],[Poste 5]]*Devis[[#This Row],[Prix de Revient]]</f>
        <v>0</v>
      </c>
      <c r="AA968" s="74">
        <f>Devis[[#This Row],[Prix de Revient]]*Devis[[#This Row],[Poste 6]]</f>
        <v>0</v>
      </c>
      <c r="AB968" s="74">
        <f>Devis[[#This Row],[Quantité Totale]]*Devis[[#This Row],[Prix de Revient]]</f>
        <v>0</v>
      </c>
    </row>
    <row r="969" spans="1:28" ht="14.25" outlineLevel="1" x14ac:dyDescent="0.2">
      <c r="A969" s="75" t="s">
        <v>356</v>
      </c>
      <c r="B969" s="76" t="s">
        <v>599</v>
      </c>
      <c r="C969" s="75"/>
      <c r="D969" s="81" t="str">
        <f t="shared" si="16"/>
        <v>FixationTige filetée</v>
      </c>
      <c r="E969" s="75" t="s">
        <v>606</v>
      </c>
      <c r="F969" s="81">
        <v>5</v>
      </c>
      <c r="G969" s="71" t="s">
        <v>607</v>
      </c>
      <c r="H969" s="71"/>
      <c r="I969" s="71" t="s">
        <v>608</v>
      </c>
      <c r="J969" s="70">
        <f>IFERROR(VLOOKUP(Devis[[#This Row],[Ref Air Flux]],#REF!,3,FALSE),0)</f>
        <v>0</v>
      </c>
      <c r="K969" s="68"/>
      <c r="L969" s="68"/>
      <c r="M969" s="68"/>
      <c r="N969" s="68"/>
      <c r="O969" s="68"/>
      <c r="P969" s="68"/>
      <c r="Q969" s="68">
        <f>SUM(Devis[[#This Row],[Poste 1]:[Poste 6]])</f>
        <v>0</v>
      </c>
      <c r="R969" s="71"/>
      <c r="S969" s="68">
        <f>_xlfn.CEILING.MATH(Devis[[#This Row],[Quantité Totale]],Devis[[#This Row],[Conditionnement]])</f>
        <v>0</v>
      </c>
      <c r="T969" s="97"/>
      <c r="U969" s="73"/>
      <c r="V969" s="74">
        <f>Devis[[#This Row],[Prix de Revient]]*Devis[[#This Row],[Poste 1]]</f>
        <v>0</v>
      </c>
      <c r="W969" s="74">
        <f>Devis[[#This Row],[Prix de Revient]]*Devis[[#This Row],[Poste 2]]</f>
        <v>0</v>
      </c>
      <c r="X969" s="74">
        <f>Devis[[#This Row],[Prix de Revient]]*Devis[[#This Row],[Poste 3]]</f>
        <v>0</v>
      </c>
      <c r="Y969" s="74">
        <f>Devis[[#This Row],[Poste 4]]*Devis[[#This Row],[Prix de Revient]]</f>
        <v>0</v>
      </c>
      <c r="Z969" s="74">
        <f>Devis[[#This Row],[Poste 5]]*Devis[[#This Row],[Prix de Revient]]</f>
        <v>0</v>
      </c>
      <c r="AA969" s="74">
        <f>Devis[[#This Row],[Prix de Revient]]*Devis[[#This Row],[Poste 6]]</f>
        <v>0</v>
      </c>
      <c r="AB969" s="74">
        <f>Devis[[#This Row],[Quantité Totale]]*Devis[[#This Row],[Prix de Revient]]</f>
        <v>0</v>
      </c>
    </row>
    <row r="970" spans="1:28" ht="15" customHeight="1" x14ac:dyDescent="0.25">
      <c r="A970" s="65" t="s">
        <v>356</v>
      </c>
      <c r="B970" s="65" t="s">
        <v>609</v>
      </c>
      <c r="C970" s="76"/>
      <c r="D970" s="81" t="str">
        <f t="shared" si="16"/>
        <v>FixationTirefonds</v>
      </c>
      <c r="E970" s="76"/>
      <c r="F970" s="81">
        <v>0</v>
      </c>
      <c r="G970" s="71"/>
      <c r="H970" s="71"/>
      <c r="I970" s="71"/>
      <c r="J970" s="70">
        <f>IFERROR(VLOOKUP(Devis[[#This Row],[Ref Air Flux]],#REF!,3,FALSE),0)</f>
        <v>0</v>
      </c>
      <c r="K970" s="68"/>
      <c r="L970" s="68"/>
      <c r="M970" s="68"/>
      <c r="N970" s="68"/>
      <c r="O970" s="68"/>
      <c r="P970" s="68"/>
      <c r="Q970" s="68">
        <f>SUM(Devis[[#This Row],[Poste 1]:[Poste 6]])</f>
        <v>0</v>
      </c>
      <c r="R970" s="71"/>
      <c r="S970" s="68">
        <f>_xlfn.CEILING.MATH(Devis[[#This Row],[Quantité Totale]],Devis[[#This Row],[Conditionnement]])</f>
        <v>0</v>
      </c>
      <c r="T970" s="97"/>
      <c r="U970" s="73"/>
      <c r="V970" s="74">
        <f>Devis[[#This Row],[Prix de Revient]]*Devis[[#This Row],[Poste 1]]</f>
        <v>0</v>
      </c>
      <c r="W970" s="74">
        <f>Devis[[#This Row],[Prix de Revient]]*Devis[[#This Row],[Poste 2]]</f>
        <v>0</v>
      </c>
      <c r="X970" s="74">
        <f>Devis[[#This Row],[Prix de Revient]]*Devis[[#This Row],[Poste 3]]</f>
        <v>0</v>
      </c>
      <c r="Y970" s="74">
        <f>Devis[[#This Row],[Poste 4]]*Devis[[#This Row],[Prix de Revient]]</f>
        <v>0</v>
      </c>
      <c r="Z970" s="74">
        <f>Devis[[#This Row],[Poste 5]]*Devis[[#This Row],[Prix de Revient]]</f>
        <v>0</v>
      </c>
      <c r="AA970" s="74">
        <f>Devis[[#This Row],[Prix de Revient]]*Devis[[#This Row],[Poste 6]]</f>
        <v>0</v>
      </c>
      <c r="AB970" s="74">
        <f>Devis[[#This Row],[Quantité Totale]]*Devis[[#This Row],[Prix de Revient]]</f>
        <v>0</v>
      </c>
    </row>
    <row r="971" spans="1:28" ht="15" customHeight="1" outlineLevel="1" x14ac:dyDescent="0.2">
      <c r="A971" s="75" t="s">
        <v>356</v>
      </c>
      <c r="B971" s="76" t="s">
        <v>609</v>
      </c>
      <c r="C971" s="75"/>
      <c r="D971" s="81" t="str">
        <f t="shared" si="16"/>
        <v>FixationTirefonds</v>
      </c>
      <c r="E971" s="75" t="s">
        <v>5109</v>
      </c>
      <c r="F971" s="81">
        <v>1</v>
      </c>
      <c r="G971" s="71">
        <v>14532</v>
      </c>
      <c r="H971" s="71"/>
      <c r="I971" s="71"/>
      <c r="J971" s="70">
        <f>IFERROR(VLOOKUP(Devis[[#This Row],[Ref Air Flux]],#REF!,3,FALSE),0)</f>
        <v>0</v>
      </c>
      <c r="K971" s="68"/>
      <c r="L971" s="68"/>
      <c r="M971" s="68"/>
      <c r="N971" s="68"/>
      <c r="O971" s="68"/>
      <c r="P971" s="68"/>
      <c r="Q971" s="68">
        <f>SUM(Devis[[#This Row],[Poste 1]:[Poste 6]])</f>
        <v>0</v>
      </c>
      <c r="R971" s="71"/>
      <c r="S971" s="68">
        <f>_xlfn.CEILING.MATH(Devis[[#This Row],[Quantité Totale]],Devis[[#This Row],[Conditionnement]])</f>
        <v>0</v>
      </c>
      <c r="T971" s="97"/>
      <c r="U971" s="73"/>
      <c r="V971" s="74">
        <f>Devis[[#This Row],[Prix de Revient]]*Devis[[#This Row],[Poste 1]]</f>
        <v>0</v>
      </c>
      <c r="W971" s="74">
        <f>Devis[[#This Row],[Prix de Revient]]*Devis[[#This Row],[Poste 2]]</f>
        <v>0</v>
      </c>
      <c r="X971" s="74">
        <f>Devis[[#This Row],[Prix de Revient]]*Devis[[#This Row],[Poste 3]]</f>
        <v>0</v>
      </c>
      <c r="Y971" s="74">
        <f>Devis[[#This Row],[Poste 4]]*Devis[[#This Row],[Prix de Revient]]</f>
        <v>0</v>
      </c>
      <c r="Z971" s="74">
        <f>Devis[[#This Row],[Poste 5]]*Devis[[#This Row],[Prix de Revient]]</f>
        <v>0</v>
      </c>
      <c r="AA971" s="74">
        <f>Devis[[#This Row],[Prix de Revient]]*Devis[[#This Row],[Poste 6]]</f>
        <v>0</v>
      </c>
      <c r="AB971" s="74">
        <f>Devis[[#This Row],[Quantité Totale]]*Devis[[#This Row],[Prix de Revient]]</f>
        <v>0</v>
      </c>
    </row>
    <row r="972" spans="1:28" ht="15" customHeight="1" outlineLevel="1" x14ac:dyDescent="0.2">
      <c r="A972" s="75" t="s">
        <v>356</v>
      </c>
      <c r="B972" s="76" t="s">
        <v>609</v>
      </c>
      <c r="C972" s="75"/>
      <c r="D972" s="81" t="str">
        <f t="shared" si="16"/>
        <v>FixationTirefonds</v>
      </c>
      <c r="E972" s="75" t="s">
        <v>5110</v>
      </c>
      <c r="F972" s="81">
        <v>2</v>
      </c>
      <c r="G972" s="71">
        <v>35262</v>
      </c>
      <c r="H972" s="71"/>
      <c r="I972" s="71" t="s">
        <v>610</v>
      </c>
      <c r="J972" s="70">
        <f>IFERROR(VLOOKUP(Devis[[#This Row],[Ref Air Flux]],#REF!,3,FALSE),0)</f>
        <v>0</v>
      </c>
      <c r="K972" s="68"/>
      <c r="L972" s="68"/>
      <c r="M972" s="68"/>
      <c r="N972" s="68"/>
      <c r="O972" s="68"/>
      <c r="P972" s="68"/>
      <c r="Q972" s="68">
        <f>SUM(Devis[[#This Row],[Poste 1]:[Poste 6]])</f>
        <v>0</v>
      </c>
      <c r="R972" s="71"/>
      <c r="S972" s="68">
        <f>_xlfn.CEILING.MATH(Devis[[#This Row],[Quantité Totale]],Devis[[#This Row],[Conditionnement]])</f>
        <v>0</v>
      </c>
      <c r="T972" s="97"/>
      <c r="U972" s="73"/>
      <c r="V972" s="74">
        <f>Devis[[#This Row],[Prix de Revient]]*Devis[[#This Row],[Poste 1]]</f>
        <v>0</v>
      </c>
      <c r="W972" s="74">
        <f>Devis[[#This Row],[Prix de Revient]]*Devis[[#This Row],[Poste 2]]</f>
        <v>0</v>
      </c>
      <c r="X972" s="74">
        <f>Devis[[#This Row],[Prix de Revient]]*Devis[[#This Row],[Poste 3]]</f>
        <v>0</v>
      </c>
      <c r="Y972" s="74">
        <f>Devis[[#This Row],[Poste 4]]*Devis[[#This Row],[Prix de Revient]]</f>
        <v>0</v>
      </c>
      <c r="Z972" s="74">
        <f>Devis[[#This Row],[Poste 5]]*Devis[[#This Row],[Prix de Revient]]</f>
        <v>0</v>
      </c>
      <c r="AA972" s="74">
        <f>Devis[[#This Row],[Prix de Revient]]*Devis[[#This Row],[Poste 6]]</f>
        <v>0</v>
      </c>
      <c r="AB972" s="74">
        <f>Devis[[#This Row],[Quantité Totale]]*Devis[[#This Row],[Prix de Revient]]</f>
        <v>0</v>
      </c>
    </row>
    <row r="973" spans="1:28" ht="14.25" outlineLevel="1" x14ac:dyDescent="0.2">
      <c r="A973" s="75" t="s">
        <v>356</v>
      </c>
      <c r="B973" s="76" t="s">
        <v>609</v>
      </c>
      <c r="C973" s="75"/>
      <c r="D973" s="81" t="str">
        <f t="shared" si="16"/>
        <v>FixationTirefonds</v>
      </c>
      <c r="E973" s="75" t="s">
        <v>5111</v>
      </c>
      <c r="F973" s="81">
        <v>3</v>
      </c>
      <c r="G973" s="71">
        <v>35351</v>
      </c>
      <c r="H973" s="71"/>
      <c r="I973" s="71" t="s">
        <v>611</v>
      </c>
      <c r="J973" s="70">
        <f>IFERROR(VLOOKUP(Devis[[#This Row],[Ref Air Flux]],#REF!,3,FALSE),0)</f>
        <v>0</v>
      </c>
      <c r="K973" s="68"/>
      <c r="L973" s="68"/>
      <c r="M973" s="68"/>
      <c r="N973" s="68"/>
      <c r="O973" s="68"/>
      <c r="P973" s="68"/>
      <c r="Q973" s="68">
        <f>SUM(Devis[[#This Row],[Poste 1]:[Poste 6]])</f>
        <v>0</v>
      </c>
      <c r="R973" s="71"/>
      <c r="S973" s="68">
        <f>_xlfn.CEILING.MATH(Devis[[#This Row],[Quantité Totale]],Devis[[#This Row],[Conditionnement]])</f>
        <v>0</v>
      </c>
      <c r="T973" s="97"/>
      <c r="U973" s="73"/>
      <c r="V973" s="74">
        <f>Devis[[#This Row],[Prix de Revient]]*Devis[[#This Row],[Poste 1]]</f>
        <v>0</v>
      </c>
      <c r="W973" s="74">
        <f>Devis[[#This Row],[Prix de Revient]]*Devis[[#This Row],[Poste 2]]</f>
        <v>0</v>
      </c>
      <c r="X973" s="74">
        <f>Devis[[#This Row],[Prix de Revient]]*Devis[[#This Row],[Poste 3]]</f>
        <v>0</v>
      </c>
      <c r="Y973" s="74">
        <f>Devis[[#This Row],[Poste 4]]*Devis[[#This Row],[Prix de Revient]]</f>
        <v>0</v>
      </c>
      <c r="Z973" s="74">
        <f>Devis[[#This Row],[Poste 5]]*Devis[[#This Row],[Prix de Revient]]</f>
        <v>0</v>
      </c>
      <c r="AA973" s="74">
        <f>Devis[[#This Row],[Prix de Revient]]*Devis[[#This Row],[Poste 6]]</f>
        <v>0</v>
      </c>
      <c r="AB973" s="74">
        <f>Devis[[#This Row],[Quantité Totale]]*Devis[[#This Row],[Prix de Revient]]</f>
        <v>0</v>
      </c>
    </row>
    <row r="974" spans="1:28" ht="15" customHeight="1" x14ac:dyDescent="0.25">
      <c r="A974" s="65" t="s">
        <v>356</v>
      </c>
      <c r="B974" s="65" t="s">
        <v>2983</v>
      </c>
      <c r="C974" s="76"/>
      <c r="D974" s="81" t="str">
        <f t="shared" si="16"/>
        <v>FixationTransair</v>
      </c>
      <c r="E974" s="76"/>
      <c r="F974" s="81">
        <v>0</v>
      </c>
      <c r="G974" s="71"/>
      <c r="H974" s="71"/>
      <c r="I974" s="71"/>
      <c r="J974" s="70">
        <f>IFERROR(VLOOKUP(Devis[[#This Row],[Ref Air Flux]],#REF!,3,FALSE),0)</f>
        <v>0</v>
      </c>
      <c r="K974" s="68"/>
      <c r="L974" s="68"/>
      <c r="M974" s="68"/>
      <c r="N974" s="68"/>
      <c r="O974" s="68"/>
      <c r="P974" s="68"/>
      <c r="Q974" s="68">
        <f>SUM(Devis[[#This Row],[Poste 1]:[Poste 6]])</f>
        <v>0</v>
      </c>
      <c r="R974" s="71"/>
      <c r="S974" s="68">
        <f>_xlfn.CEILING.MATH(Devis[[#This Row],[Quantité Totale]],Devis[[#This Row],[Conditionnement]])</f>
        <v>0</v>
      </c>
      <c r="T974" s="97"/>
      <c r="U974" s="73"/>
      <c r="V974" s="74">
        <f>Devis[[#This Row],[Prix de Revient]]*Devis[[#This Row],[Poste 1]]</f>
        <v>0</v>
      </c>
      <c r="W974" s="74">
        <f>Devis[[#This Row],[Prix de Revient]]*Devis[[#This Row],[Poste 2]]</f>
        <v>0</v>
      </c>
      <c r="X974" s="74">
        <f>Devis[[#This Row],[Prix de Revient]]*Devis[[#This Row],[Poste 3]]</f>
        <v>0</v>
      </c>
      <c r="Y974" s="74">
        <f>Devis[[#This Row],[Poste 4]]*Devis[[#This Row],[Prix de Revient]]</f>
        <v>0</v>
      </c>
      <c r="Z974" s="74">
        <f>Devis[[#This Row],[Poste 5]]*Devis[[#This Row],[Prix de Revient]]</f>
        <v>0</v>
      </c>
      <c r="AA974" s="74">
        <f>Devis[[#This Row],[Prix de Revient]]*Devis[[#This Row],[Poste 6]]</f>
        <v>0</v>
      </c>
      <c r="AB974" s="74">
        <f>Devis[[#This Row],[Quantité Totale]]*Devis[[#This Row],[Prix de Revient]]</f>
        <v>0</v>
      </c>
    </row>
    <row r="975" spans="1:28" ht="14.25" outlineLevel="1" x14ac:dyDescent="0.2">
      <c r="A975" s="75" t="s">
        <v>356</v>
      </c>
      <c r="B975" s="76" t="s">
        <v>2983</v>
      </c>
      <c r="C975" s="75" t="s">
        <v>23</v>
      </c>
      <c r="D975" s="81" t="str">
        <f t="shared" si="16"/>
        <v>FixationTransairColliers</v>
      </c>
      <c r="E975" s="104" t="s">
        <v>5112</v>
      </c>
      <c r="F975" s="81">
        <v>1</v>
      </c>
      <c r="G975" s="82">
        <v>66971700</v>
      </c>
      <c r="H975" s="71" t="s">
        <v>3293</v>
      </c>
      <c r="I975" s="104" t="s">
        <v>3031</v>
      </c>
      <c r="J975" s="70">
        <f>IFERROR(VLOOKUP(Devis[[#This Row],[Ref Air Flux]],#REF!,3,FALSE),0)</f>
        <v>0</v>
      </c>
      <c r="K975" s="68"/>
      <c r="L975" s="68"/>
      <c r="M975" s="68"/>
      <c r="N975" s="68"/>
      <c r="O975" s="68"/>
      <c r="P975" s="68"/>
      <c r="Q975" s="68">
        <f>SUM(Devis[[#This Row],[Poste 1]:[Poste 6]])</f>
        <v>0</v>
      </c>
      <c r="R975" s="71"/>
      <c r="S975" s="68">
        <f>_xlfn.CEILING.MATH(Devis[[#This Row],[Quantité Totale]],Devis[[#This Row],[Conditionnement]])</f>
        <v>0</v>
      </c>
      <c r="T975" s="72"/>
      <c r="U975" s="73"/>
      <c r="V975" s="74">
        <f>Devis[[#This Row],[Prix de Revient]]*Devis[[#This Row],[Poste 1]]</f>
        <v>0</v>
      </c>
      <c r="W975" s="74">
        <f>Devis[[#This Row],[Prix de Revient]]*Devis[[#This Row],[Poste 2]]</f>
        <v>0</v>
      </c>
      <c r="X975" s="74">
        <f>Devis[[#This Row],[Prix de Revient]]*Devis[[#This Row],[Poste 3]]</f>
        <v>0</v>
      </c>
      <c r="Y975" s="74">
        <f>Devis[[#This Row],[Poste 4]]*Devis[[#This Row],[Prix de Revient]]</f>
        <v>0</v>
      </c>
      <c r="Z975" s="74">
        <f>Devis[[#This Row],[Poste 5]]*Devis[[#This Row],[Prix de Revient]]</f>
        <v>0</v>
      </c>
      <c r="AA975" s="74">
        <f>Devis[[#This Row],[Prix de Revient]]*Devis[[#This Row],[Poste 6]]</f>
        <v>0</v>
      </c>
      <c r="AB975" s="74">
        <f>Devis[[#This Row],[Quantité Totale]]*Devis[[#This Row],[Prix de Revient]]</f>
        <v>0</v>
      </c>
    </row>
    <row r="976" spans="1:28" ht="14.25" outlineLevel="1" x14ac:dyDescent="0.2">
      <c r="A976" s="75" t="s">
        <v>356</v>
      </c>
      <c r="B976" s="76" t="s">
        <v>2983</v>
      </c>
      <c r="C976" s="75" t="s">
        <v>23</v>
      </c>
      <c r="D976" s="81" t="str">
        <f t="shared" si="16"/>
        <v>FixationTransairColliers</v>
      </c>
      <c r="E976" s="104" t="s">
        <v>5113</v>
      </c>
      <c r="F976" s="81">
        <v>2</v>
      </c>
      <c r="G976" s="82">
        <v>66972500</v>
      </c>
      <c r="H976" s="71" t="s">
        <v>3293</v>
      </c>
      <c r="I976" s="104" t="s">
        <v>3032</v>
      </c>
      <c r="J976" s="70">
        <f>IFERROR(VLOOKUP(Devis[[#This Row],[Ref Air Flux]],#REF!,3,FALSE),0)</f>
        <v>0</v>
      </c>
      <c r="K976" s="68"/>
      <c r="L976" s="68"/>
      <c r="M976" s="68"/>
      <c r="N976" s="68"/>
      <c r="O976" s="68"/>
      <c r="P976" s="68"/>
      <c r="Q976" s="68">
        <f>SUM(Devis[[#This Row],[Poste 1]:[Poste 6]])</f>
        <v>0</v>
      </c>
      <c r="R976" s="71"/>
      <c r="S976" s="68">
        <f>_xlfn.CEILING.MATH(Devis[[#This Row],[Quantité Totale]],Devis[[#This Row],[Conditionnement]])</f>
        <v>0</v>
      </c>
      <c r="T976" s="72"/>
      <c r="U976" s="73"/>
      <c r="V976" s="74">
        <f>Devis[[#This Row],[Prix de Revient]]*Devis[[#This Row],[Poste 1]]</f>
        <v>0</v>
      </c>
      <c r="W976" s="74">
        <f>Devis[[#This Row],[Prix de Revient]]*Devis[[#This Row],[Poste 2]]</f>
        <v>0</v>
      </c>
      <c r="X976" s="74">
        <f>Devis[[#This Row],[Prix de Revient]]*Devis[[#This Row],[Poste 3]]</f>
        <v>0</v>
      </c>
      <c r="Y976" s="74">
        <f>Devis[[#This Row],[Poste 4]]*Devis[[#This Row],[Prix de Revient]]</f>
        <v>0</v>
      </c>
      <c r="Z976" s="74">
        <f>Devis[[#This Row],[Poste 5]]*Devis[[#This Row],[Prix de Revient]]</f>
        <v>0</v>
      </c>
      <c r="AA976" s="74">
        <f>Devis[[#This Row],[Prix de Revient]]*Devis[[#This Row],[Poste 6]]</f>
        <v>0</v>
      </c>
      <c r="AB976" s="74">
        <f>Devis[[#This Row],[Quantité Totale]]*Devis[[#This Row],[Prix de Revient]]</f>
        <v>0</v>
      </c>
    </row>
    <row r="977" spans="1:28" ht="14.25" outlineLevel="1" x14ac:dyDescent="0.2">
      <c r="A977" s="75" t="s">
        <v>356</v>
      </c>
      <c r="B977" s="76" t="s">
        <v>2983</v>
      </c>
      <c r="C977" s="75" t="s">
        <v>23</v>
      </c>
      <c r="D977" s="81" t="str">
        <f t="shared" si="16"/>
        <v>FixationTransairColliers</v>
      </c>
      <c r="E977" s="104" t="s">
        <v>5114</v>
      </c>
      <c r="F977" s="81">
        <v>3</v>
      </c>
      <c r="G977" s="82">
        <v>66974000</v>
      </c>
      <c r="H977" s="71" t="s">
        <v>3293</v>
      </c>
      <c r="I977" s="104" t="s">
        <v>3033</v>
      </c>
      <c r="J977" s="70">
        <f>IFERROR(VLOOKUP(Devis[[#This Row],[Ref Air Flux]],#REF!,3,FALSE),0)</f>
        <v>0</v>
      </c>
      <c r="K977" s="68"/>
      <c r="L977" s="68"/>
      <c r="M977" s="68"/>
      <c r="N977" s="68"/>
      <c r="O977" s="68"/>
      <c r="P977" s="68"/>
      <c r="Q977" s="68">
        <f>SUM(Devis[[#This Row],[Poste 1]:[Poste 6]])</f>
        <v>0</v>
      </c>
      <c r="R977" s="71"/>
      <c r="S977" s="68">
        <f>_xlfn.CEILING.MATH(Devis[[#This Row],[Quantité Totale]],Devis[[#This Row],[Conditionnement]])</f>
        <v>0</v>
      </c>
      <c r="T977" s="72"/>
      <c r="U977" s="73"/>
      <c r="V977" s="74">
        <f>Devis[[#This Row],[Prix de Revient]]*Devis[[#This Row],[Poste 1]]</f>
        <v>0</v>
      </c>
      <c r="W977" s="74">
        <f>Devis[[#This Row],[Prix de Revient]]*Devis[[#This Row],[Poste 2]]</f>
        <v>0</v>
      </c>
      <c r="X977" s="74">
        <f>Devis[[#This Row],[Prix de Revient]]*Devis[[#This Row],[Poste 3]]</f>
        <v>0</v>
      </c>
      <c r="Y977" s="74">
        <f>Devis[[#This Row],[Poste 4]]*Devis[[#This Row],[Prix de Revient]]</f>
        <v>0</v>
      </c>
      <c r="Z977" s="74">
        <f>Devis[[#This Row],[Poste 5]]*Devis[[#This Row],[Prix de Revient]]</f>
        <v>0</v>
      </c>
      <c r="AA977" s="74">
        <f>Devis[[#This Row],[Prix de Revient]]*Devis[[#This Row],[Poste 6]]</f>
        <v>0</v>
      </c>
      <c r="AB977" s="74">
        <f>Devis[[#This Row],[Quantité Totale]]*Devis[[#This Row],[Prix de Revient]]</f>
        <v>0</v>
      </c>
    </row>
    <row r="978" spans="1:28" ht="14.25" outlineLevel="1" x14ac:dyDescent="0.2">
      <c r="A978" s="75" t="s">
        <v>356</v>
      </c>
      <c r="B978" s="76" t="s">
        <v>2983</v>
      </c>
      <c r="C978" s="75" t="s">
        <v>23</v>
      </c>
      <c r="D978" s="81" t="str">
        <f t="shared" si="16"/>
        <v>FixationTransairColliers</v>
      </c>
      <c r="E978" s="104" t="s">
        <v>5115</v>
      </c>
      <c r="F978" s="81">
        <v>4</v>
      </c>
      <c r="G978" s="82">
        <v>66975000</v>
      </c>
      <c r="H978" s="71" t="s">
        <v>3293</v>
      </c>
      <c r="I978" s="75" t="s">
        <v>5116</v>
      </c>
      <c r="J978" s="70">
        <f>IFERROR(VLOOKUP(Devis[[#This Row],[Ref Air Flux]],#REF!,3,FALSE),0)</f>
        <v>0</v>
      </c>
      <c r="K978" s="68"/>
      <c r="L978" s="68"/>
      <c r="M978" s="68"/>
      <c r="N978" s="68"/>
      <c r="O978" s="68"/>
      <c r="P978" s="68"/>
      <c r="Q978" s="68">
        <f>SUM(Devis[[#This Row],[Poste 1]:[Poste 6]])</f>
        <v>0</v>
      </c>
      <c r="R978" s="71"/>
      <c r="S978" s="68">
        <f>_xlfn.CEILING.MATH(Devis[[#This Row],[Quantité Totale]],Devis[[#This Row],[Conditionnement]])</f>
        <v>0</v>
      </c>
      <c r="T978" s="72"/>
      <c r="U978" s="73"/>
      <c r="V978" s="74">
        <f>Devis[[#This Row],[Prix de Revient]]*Devis[[#This Row],[Poste 1]]</f>
        <v>0</v>
      </c>
      <c r="W978" s="74">
        <f>Devis[[#This Row],[Prix de Revient]]*Devis[[#This Row],[Poste 2]]</f>
        <v>0</v>
      </c>
      <c r="X978" s="74">
        <f>Devis[[#This Row],[Prix de Revient]]*Devis[[#This Row],[Poste 3]]</f>
        <v>0</v>
      </c>
      <c r="Y978" s="74">
        <f>Devis[[#This Row],[Poste 4]]*Devis[[#This Row],[Prix de Revient]]</f>
        <v>0</v>
      </c>
      <c r="Z978" s="74">
        <f>Devis[[#This Row],[Poste 5]]*Devis[[#This Row],[Prix de Revient]]</f>
        <v>0</v>
      </c>
      <c r="AA978" s="74">
        <f>Devis[[#This Row],[Prix de Revient]]*Devis[[#This Row],[Poste 6]]</f>
        <v>0</v>
      </c>
      <c r="AB978" s="74">
        <f>Devis[[#This Row],[Quantité Totale]]*Devis[[#This Row],[Prix de Revient]]</f>
        <v>0</v>
      </c>
    </row>
    <row r="979" spans="1:28" ht="14.25" outlineLevel="1" x14ac:dyDescent="0.2">
      <c r="A979" s="75" t="s">
        <v>356</v>
      </c>
      <c r="B979" s="76" t="s">
        <v>2983</v>
      </c>
      <c r="C979" s="75" t="s">
        <v>23</v>
      </c>
      <c r="D979" s="81" t="str">
        <f t="shared" si="16"/>
        <v>FixationTransairColliers</v>
      </c>
      <c r="E979" s="104" t="s">
        <v>5117</v>
      </c>
      <c r="F979" s="81">
        <v>5</v>
      </c>
      <c r="G979" s="82">
        <v>66976300</v>
      </c>
      <c r="H979" s="71" t="s">
        <v>3293</v>
      </c>
      <c r="I979" s="104" t="s">
        <v>3034</v>
      </c>
      <c r="J979" s="70">
        <f>IFERROR(VLOOKUP(Devis[[#This Row],[Ref Air Flux]],#REF!,3,FALSE),0)</f>
        <v>0</v>
      </c>
      <c r="K979" s="68"/>
      <c r="L979" s="68"/>
      <c r="M979" s="68"/>
      <c r="N979" s="68"/>
      <c r="O979" s="68"/>
      <c r="P979" s="68"/>
      <c r="Q979" s="68">
        <f>SUM(Devis[[#This Row],[Poste 1]:[Poste 6]])</f>
        <v>0</v>
      </c>
      <c r="R979" s="71"/>
      <c r="S979" s="68">
        <f>_xlfn.CEILING.MATH(Devis[[#This Row],[Quantité Totale]],Devis[[#This Row],[Conditionnement]])</f>
        <v>0</v>
      </c>
      <c r="T979" s="72"/>
      <c r="U979" s="73"/>
      <c r="V979" s="74">
        <f>Devis[[#This Row],[Prix de Revient]]*Devis[[#This Row],[Poste 1]]</f>
        <v>0</v>
      </c>
      <c r="W979" s="74">
        <f>Devis[[#This Row],[Prix de Revient]]*Devis[[#This Row],[Poste 2]]</f>
        <v>0</v>
      </c>
      <c r="X979" s="74">
        <f>Devis[[#This Row],[Prix de Revient]]*Devis[[#This Row],[Poste 3]]</f>
        <v>0</v>
      </c>
      <c r="Y979" s="74">
        <f>Devis[[#This Row],[Poste 4]]*Devis[[#This Row],[Prix de Revient]]</f>
        <v>0</v>
      </c>
      <c r="Z979" s="74">
        <f>Devis[[#This Row],[Poste 5]]*Devis[[#This Row],[Prix de Revient]]</f>
        <v>0</v>
      </c>
      <c r="AA979" s="74">
        <f>Devis[[#This Row],[Prix de Revient]]*Devis[[#This Row],[Poste 6]]</f>
        <v>0</v>
      </c>
      <c r="AB979" s="74">
        <f>Devis[[#This Row],[Quantité Totale]]*Devis[[#This Row],[Prix de Revient]]</f>
        <v>0</v>
      </c>
    </row>
    <row r="980" spans="1:28" ht="14.25" outlineLevel="1" x14ac:dyDescent="0.2">
      <c r="A980" s="75" t="s">
        <v>356</v>
      </c>
      <c r="B980" s="76" t="s">
        <v>2983</v>
      </c>
      <c r="C980" s="75" t="s">
        <v>23</v>
      </c>
      <c r="D980" s="81" t="str">
        <f t="shared" si="16"/>
        <v>FixationTransairColliers</v>
      </c>
      <c r="E980" s="104" t="s">
        <v>5118</v>
      </c>
      <c r="F980" s="81">
        <v>6</v>
      </c>
      <c r="G980" s="82" t="s">
        <v>3307</v>
      </c>
      <c r="H980" s="71" t="s">
        <v>3293</v>
      </c>
      <c r="I980" s="104" t="s">
        <v>3035</v>
      </c>
      <c r="J980" s="70">
        <f>IFERROR(VLOOKUP(Devis[[#This Row],[Ref Air Flux]],#REF!,3,FALSE),0)</f>
        <v>0</v>
      </c>
      <c r="K980" s="68"/>
      <c r="L980" s="68"/>
      <c r="M980" s="68"/>
      <c r="N980" s="68"/>
      <c r="O980" s="68"/>
      <c r="P980" s="68"/>
      <c r="Q980" s="68">
        <f>SUM(Devis[[#This Row],[Poste 1]:[Poste 6]])</f>
        <v>0</v>
      </c>
      <c r="R980" s="71"/>
      <c r="S980" s="68">
        <f>_xlfn.CEILING.MATH(Devis[[#This Row],[Quantité Totale]],Devis[[#This Row],[Conditionnement]])</f>
        <v>0</v>
      </c>
      <c r="T980" s="72"/>
      <c r="U980" s="73"/>
      <c r="V980" s="74">
        <f>Devis[[#This Row],[Prix de Revient]]*Devis[[#This Row],[Poste 1]]</f>
        <v>0</v>
      </c>
      <c r="W980" s="74">
        <f>Devis[[#This Row],[Prix de Revient]]*Devis[[#This Row],[Poste 2]]</f>
        <v>0</v>
      </c>
      <c r="X980" s="74">
        <f>Devis[[#This Row],[Prix de Revient]]*Devis[[#This Row],[Poste 3]]</f>
        <v>0</v>
      </c>
      <c r="Y980" s="74">
        <f>Devis[[#This Row],[Poste 4]]*Devis[[#This Row],[Prix de Revient]]</f>
        <v>0</v>
      </c>
      <c r="Z980" s="74">
        <f>Devis[[#This Row],[Poste 5]]*Devis[[#This Row],[Prix de Revient]]</f>
        <v>0</v>
      </c>
      <c r="AA980" s="74">
        <f>Devis[[#This Row],[Prix de Revient]]*Devis[[#This Row],[Poste 6]]</f>
        <v>0</v>
      </c>
      <c r="AB980" s="74">
        <f>Devis[[#This Row],[Quantité Totale]]*Devis[[#This Row],[Prix de Revient]]</f>
        <v>0</v>
      </c>
    </row>
    <row r="981" spans="1:28" ht="14.25" outlineLevel="1" x14ac:dyDescent="0.2">
      <c r="A981" s="75" t="s">
        <v>356</v>
      </c>
      <c r="B981" s="76" t="s">
        <v>2983</v>
      </c>
      <c r="C981" s="75" t="s">
        <v>23</v>
      </c>
      <c r="D981" s="81" t="str">
        <f t="shared" si="16"/>
        <v>FixationTransairColliers</v>
      </c>
      <c r="E981" s="104" t="s">
        <v>5119</v>
      </c>
      <c r="F981" s="81">
        <v>7</v>
      </c>
      <c r="G981" s="82" t="s">
        <v>3308</v>
      </c>
      <c r="H981" s="71" t="s">
        <v>3293</v>
      </c>
      <c r="I981" s="104" t="s">
        <v>3036</v>
      </c>
      <c r="J981" s="70">
        <f>IFERROR(VLOOKUP(Devis[[#This Row],[Ref Air Flux]],#REF!,3,FALSE),0)</f>
        <v>0</v>
      </c>
      <c r="K981" s="68"/>
      <c r="L981" s="68"/>
      <c r="M981" s="68"/>
      <c r="N981" s="68"/>
      <c r="O981" s="68"/>
      <c r="P981" s="68"/>
      <c r="Q981" s="68">
        <f>SUM(Devis[[#This Row],[Poste 1]:[Poste 6]])</f>
        <v>0</v>
      </c>
      <c r="R981" s="71"/>
      <c r="S981" s="68">
        <f>_xlfn.CEILING.MATH(Devis[[#This Row],[Quantité Totale]],Devis[[#This Row],[Conditionnement]])</f>
        <v>0</v>
      </c>
      <c r="T981" s="72"/>
      <c r="U981" s="73"/>
      <c r="V981" s="74">
        <f>Devis[[#This Row],[Prix de Revient]]*Devis[[#This Row],[Poste 1]]</f>
        <v>0</v>
      </c>
      <c r="W981" s="74">
        <f>Devis[[#This Row],[Prix de Revient]]*Devis[[#This Row],[Poste 2]]</f>
        <v>0</v>
      </c>
      <c r="X981" s="74">
        <f>Devis[[#This Row],[Prix de Revient]]*Devis[[#This Row],[Poste 3]]</f>
        <v>0</v>
      </c>
      <c r="Y981" s="74">
        <f>Devis[[#This Row],[Poste 4]]*Devis[[#This Row],[Prix de Revient]]</f>
        <v>0</v>
      </c>
      <c r="Z981" s="74">
        <f>Devis[[#This Row],[Poste 5]]*Devis[[#This Row],[Prix de Revient]]</f>
        <v>0</v>
      </c>
      <c r="AA981" s="74">
        <f>Devis[[#This Row],[Prix de Revient]]*Devis[[#This Row],[Poste 6]]</f>
        <v>0</v>
      </c>
      <c r="AB981" s="74">
        <f>Devis[[#This Row],[Quantité Totale]]*Devis[[#This Row],[Prix de Revient]]</f>
        <v>0</v>
      </c>
    </row>
    <row r="982" spans="1:28" ht="14.25" outlineLevel="1" x14ac:dyDescent="0.2">
      <c r="A982" s="75" t="s">
        <v>356</v>
      </c>
      <c r="B982" s="76" t="s">
        <v>2983</v>
      </c>
      <c r="C982" s="75" t="s">
        <v>23</v>
      </c>
      <c r="D982" s="81" t="str">
        <f t="shared" si="16"/>
        <v>FixationTransairColliers</v>
      </c>
      <c r="E982" s="104" t="s">
        <v>5120</v>
      </c>
      <c r="F982" s="81">
        <v>8</v>
      </c>
      <c r="G982" s="82" t="s">
        <v>3309</v>
      </c>
      <c r="H982" s="71" t="s">
        <v>3293</v>
      </c>
      <c r="I982" s="104" t="s">
        <v>3037</v>
      </c>
      <c r="J982" s="70">
        <f>IFERROR(VLOOKUP(Devis[[#This Row],[Ref Air Flux]],#REF!,3,FALSE),0)</f>
        <v>0</v>
      </c>
      <c r="K982" s="68"/>
      <c r="L982" s="68"/>
      <c r="M982" s="68"/>
      <c r="N982" s="68"/>
      <c r="O982" s="68"/>
      <c r="P982" s="68"/>
      <c r="Q982" s="68">
        <f>SUM(Devis[[#This Row],[Poste 1]:[Poste 6]])</f>
        <v>0</v>
      </c>
      <c r="R982" s="71"/>
      <c r="S982" s="68">
        <f>_xlfn.CEILING.MATH(Devis[[#This Row],[Quantité Totale]],Devis[[#This Row],[Conditionnement]])</f>
        <v>0</v>
      </c>
      <c r="T982" s="72"/>
      <c r="U982" s="73"/>
      <c r="V982" s="74">
        <f>Devis[[#This Row],[Prix de Revient]]*Devis[[#This Row],[Poste 1]]</f>
        <v>0</v>
      </c>
      <c r="W982" s="74">
        <f>Devis[[#This Row],[Prix de Revient]]*Devis[[#This Row],[Poste 2]]</f>
        <v>0</v>
      </c>
      <c r="X982" s="74">
        <f>Devis[[#This Row],[Prix de Revient]]*Devis[[#This Row],[Poste 3]]</f>
        <v>0</v>
      </c>
      <c r="Y982" s="74">
        <f>Devis[[#This Row],[Poste 4]]*Devis[[#This Row],[Prix de Revient]]</f>
        <v>0</v>
      </c>
      <c r="Z982" s="74">
        <f>Devis[[#This Row],[Poste 5]]*Devis[[#This Row],[Prix de Revient]]</f>
        <v>0</v>
      </c>
      <c r="AA982" s="74">
        <f>Devis[[#This Row],[Prix de Revient]]*Devis[[#This Row],[Poste 6]]</f>
        <v>0</v>
      </c>
      <c r="AB982" s="74">
        <f>Devis[[#This Row],[Quantité Totale]]*Devis[[#This Row],[Prix de Revient]]</f>
        <v>0</v>
      </c>
    </row>
    <row r="983" spans="1:28" ht="14.25" outlineLevel="1" x14ac:dyDescent="0.2">
      <c r="A983" s="75" t="s">
        <v>356</v>
      </c>
      <c r="B983" s="76" t="s">
        <v>2983</v>
      </c>
      <c r="C983" s="75"/>
      <c r="D983" s="81" t="str">
        <f t="shared" si="16"/>
        <v>FixationTransair</v>
      </c>
      <c r="E983" s="104" t="s">
        <v>3038</v>
      </c>
      <c r="F983" s="81">
        <v>9</v>
      </c>
      <c r="G983" s="82">
        <v>66970003</v>
      </c>
      <c r="H983" s="71" t="s">
        <v>3293</v>
      </c>
      <c r="I983" s="104" t="s">
        <v>3039</v>
      </c>
      <c r="J983" s="70">
        <f>IFERROR(VLOOKUP(Devis[[#This Row],[Ref Air Flux]],#REF!,3,FALSE),0)</f>
        <v>0</v>
      </c>
      <c r="K983" s="68"/>
      <c r="L983" s="68"/>
      <c r="M983" s="68"/>
      <c r="N983" s="68"/>
      <c r="O983" s="68"/>
      <c r="P983" s="68"/>
      <c r="Q983" s="68">
        <f>SUM(Devis[[#This Row],[Poste 1]:[Poste 6]])</f>
        <v>0</v>
      </c>
      <c r="R983" s="71"/>
      <c r="S983" s="68">
        <f>_xlfn.CEILING.MATH(Devis[[#This Row],[Quantité Totale]],Devis[[#This Row],[Conditionnement]])</f>
        <v>0</v>
      </c>
      <c r="T983" s="72"/>
      <c r="U983" s="73"/>
      <c r="V983" s="74">
        <f>Devis[[#This Row],[Prix de Revient]]*Devis[[#This Row],[Poste 1]]</f>
        <v>0</v>
      </c>
      <c r="W983" s="74">
        <f>Devis[[#This Row],[Prix de Revient]]*Devis[[#This Row],[Poste 2]]</f>
        <v>0</v>
      </c>
      <c r="X983" s="74">
        <f>Devis[[#This Row],[Prix de Revient]]*Devis[[#This Row],[Poste 3]]</f>
        <v>0</v>
      </c>
      <c r="Y983" s="74">
        <f>Devis[[#This Row],[Poste 4]]*Devis[[#This Row],[Prix de Revient]]</f>
        <v>0</v>
      </c>
      <c r="Z983" s="74">
        <f>Devis[[#This Row],[Poste 5]]*Devis[[#This Row],[Prix de Revient]]</f>
        <v>0</v>
      </c>
      <c r="AA983" s="74">
        <f>Devis[[#This Row],[Prix de Revient]]*Devis[[#This Row],[Poste 6]]</f>
        <v>0</v>
      </c>
      <c r="AB983" s="74">
        <f>Devis[[#This Row],[Quantité Totale]]*Devis[[#This Row],[Prix de Revient]]</f>
        <v>0</v>
      </c>
    </row>
    <row r="984" spans="1:28" ht="14.25" outlineLevel="1" x14ac:dyDescent="0.2">
      <c r="A984" s="75" t="s">
        <v>356</v>
      </c>
      <c r="B984" s="76" t="s">
        <v>2983</v>
      </c>
      <c r="C984" s="75"/>
      <c r="D984" s="81" t="str">
        <f t="shared" si="16"/>
        <v>FixationTransair</v>
      </c>
      <c r="E984" s="104" t="s">
        <v>3040</v>
      </c>
      <c r="F984" s="81">
        <v>10</v>
      </c>
      <c r="G984" s="82">
        <v>66970002</v>
      </c>
      <c r="H984" s="71" t="s">
        <v>3293</v>
      </c>
      <c r="I984" s="104" t="s">
        <v>3041</v>
      </c>
      <c r="J984" s="70">
        <f>IFERROR(VLOOKUP(Devis[[#This Row],[Ref Air Flux]],#REF!,3,FALSE),0)</f>
        <v>0</v>
      </c>
      <c r="K984" s="68"/>
      <c r="L984" s="68"/>
      <c r="M984" s="68"/>
      <c r="N984" s="68"/>
      <c r="O984" s="68"/>
      <c r="P984" s="68"/>
      <c r="Q984" s="68">
        <f>SUM(Devis[[#This Row],[Poste 1]:[Poste 6]])</f>
        <v>0</v>
      </c>
      <c r="R984" s="71"/>
      <c r="S984" s="68">
        <f>_xlfn.CEILING.MATH(Devis[[#This Row],[Quantité Totale]],Devis[[#This Row],[Conditionnement]])</f>
        <v>0</v>
      </c>
      <c r="T984" s="72"/>
      <c r="U984" s="73"/>
      <c r="V984" s="74">
        <f>Devis[[#This Row],[Prix de Revient]]*Devis[[#This Row],[Poste 1]]</f>
        <v>0</v>
      </c>
      <c r="W984" s="74">
        <f>Devis[[#This Row],[Prix de Revient]]*Devis[[#This Row],[Poste 2]]</f>
        <v>0</v>
      </c>
      <c r="X984" s="74">
        <f>Devis[[#This Row],[Prix de Revient]]*Devis[[#This Row],[Poste 3]]</f>
        <v>0</v>
      </c>
      <c r="Y984" s="74">
        <f>Devis[[#This Row],[Poste 4]]*Devis[[#This Row],[Prix de Revient]]</f>
        <v>0</v>
      </c>
      <c r="Z984" s="74">
        <f>Devis[[#This Row],[Poste 5]]*Devis[[#This Row],[Prix de Revient]]</f>
        <v>0</v>
      </c>
      <c r="AA984" s="74">
        <f>Devis[[#This Row],[Prix de Revient]]*Devis[[#This Row],[Poste 6]]</f>
        <v>0</v>
      </c>
      <c r="AB984" s="74">
        <f>Devis[[#This Row],[Quantité Totale]]*Devis[[#This Row],[Prix de Revient]]</f>
        <v>0</v>
      </c>
    </row>
    <row r="985" spans="1:28" ht="15" customHeight="1" x14ac:dyDescent="0.25">
      <c r="A985" s="65" t="s">
        <v>356</v>
      </c>
      <c r="B985" s="65" t="s">
        <v>5121</v>
      </c>
      <c r="C985" s="76"/>
      <c r="D985" s="81" t="str">
        <f t="shared" si="16"/>
        <v>FixationTube Coréen</v>
      </c>
      <c r="E985" s="76"/>
      <c r="F985" s="81">
        <v>0</v>
      </c>
      <c r="G985" s="71"/>
      <c r="H985" s="71"/>
      <c r="I985" s="71"/>
      <c r="J985" s="70">
        <f>IFERROR(VLOOKUP(Devis[[#This Row],[Ref Air Flux]],#REF!,3,FALSE),0)</f>
        <v>0</v>
      </c>
      <c r="K985" s="68"/>
      <c r="L985" s="68"/>
      <c r="M985" s="68"/>
      <c r="N985" s="68"/>
      <c r="O985" s="68"/>
      <c r="P985" s="68"/>
      <c r="Q985" s="68">
        <f>SUM(Devis[[#This Row],[Poste 1]:[Poste 6]])</f>
        <v>0</v>
      </c>
      <c r="R985" s="71"/>
      <c r="S985" s="68">
        <f>_xlfn.CEILING.MATH(Devis[[#This Row],[Quantité Totale]],Devis[[#This Row],[Conditionnement]])</f>
        <v>0</v>
      </c>
      <c r="T985" s="72"/>
      <c r="U985" s="73"/>
      <c r="V985" s="74">
        <f>Devis[[#This Row],[Prix de Revient]]*Devis[[#This Row],[Poste 1]]</f>
        <v>0</v>
      </c>
      <c r="W985" s="74">
        <f>Devis[[#This Row],[Prix de Revient]]*Devis[[#This Row],[Poste 2]]</f>
        <v>0</v>
      </c>
      <c r="X985" s="74">
        <f>Devis[[#This Row],[Prix de Revient]]*Devis[[#This Row],[Poste 3]]</f>
        <v>0</v>
      </c>
      <c r="Y985" s="74">
        <f>Devis[[#This Row],[Poste 4]]*Devis[[#This Row],[Prix de Revient]]</f>
        <v>0</v>
      </c>
      <c r="Z985" s="74">
        <f>Devis[[#This Row],[Poste 5]]*Devis[[#This Row],[Prix de Revient]]</f>
        <v>0</v>
      </c>
      <c r="AA985" s="74">
        <f>Devis[[#This Row],[Prix de Revient]]*Devis[[#This Row],[Poste 6]]</f>
        <v>0</v>
      </c>
      <c r="AB985" s="74">
        <f>Devis[[#This Row],[Quantité Totale]]*Devis[[#This Row],[Prix de Revient]]</f>
        <v>0</v>
      </c>
    </row>
    <row r="986" spans="1:28" ht="14.25" outlineLevel="1" x14ac:dyDescent="0.2">
      <c r="A986" s="75" t="s">
        <v>356</v>
      </c>
      <c r="B986" s="76" t="s">
        <v>5121</v>
      </c>
      <c r="C986" s="75" t="s">
        <v>23</v>
      </c>
      <c r="D986" s="81" t="str">
        <f t="shared" si="16"/>
        <v>FixationTube CoréenColliers</v>
      </c>
      <c r="E986" s="105" t="s">
        <v>5122</v>
      </c>
      <c r="F986" s="81">
        <v>1</v>
      </c>
      <c r="G986" s="71" t="s">
        <v>392</v>
      </c>
      <c r="H986" s="71"/>
      <c r="I986" s="71" t="s">
        <v>393</v>
      </c>
      <c r="J986" s="70">
        <f>IFERROR(VLOOKUP(Devis[[#This Row],[Ref Air Flux]],#REF!,3,FALSE),0)</f>
        <v>0</v>
      </c>
      <c r="K986" s="68"/>
      <c r="L986" s="68"/>
      <c r="M986" s="68"/>
      <c r="N986" s="68"/>
      <c r="O986" s="68"/>
      <c r="P986" s="68"/>
      <c r="Q986" s="68">
        <f>SUM(Devis[[#This Row],[Poste 1]:[Poste 6]])</f>
        <v>0</v>
      </c>
      <c r="R986" s="71"/>
      <c r="S986" s="68">
        <f>_xlfn.CEILING.MATH(Devis[[#This Row],[Quantité Totale]],Devis[[#This Row],[Conditionnement]])</f>
        <v>0</v>
      </c>
      <c r="T986" s="97"/>
      <c r="U986" s="73"/>
      <c r="V986" s="74">
        <f>Devis[[#This Row],[Prix de Revient]]*Devis[[#This Row],[Poste 1]]</f>
        <v>0</v>
      </c>
      <c r="W986" s="74">
        <f>Devis[[#This Row],[Prix de Revient]]*Devis[[#This Row],[Poste 2]]</f>
        <v>0</v>
      </c>
      <c r="X986" s="74">
        <f>Devis[[#This Row],[Prix de Revient]]*Devis[[#This Row],[Poste 3]]</f>
        <v>0</v>
      </c>
      <c r="Y986" s="74">
        <f>Devis[[#This Row],[Poste 4]]*Devis[[#This Row],[Prix de Revient]]</f>
        <v>0</v>
      </c>
      <c r="Z986" s="74">
        <f>Devis[[#This Row],[Poste 5]]*Devis[[#This Row],[Prix de Revient]]</f>
        <v>0</v>
      </c>
      <c r="AA986" s="74">
        <f>Devis[[#This Row],[Prix de Revient]]*Devis[[#This Row],[Poste 6]]</f>
        <v>0</v>
      </c>
      <c r="AB986" s="74">
        <f>Devis[[#This Row],[Quantité Totale]]*Devis[[#This Row],[Prix de Revient]]</f>
        <v>0</v>
      </c>
    </row>
    <row r="987" spans="1:28" ht="14.25" outlineLevel="1" x14ac:dyDescent="0.2">
      <c r="A987" s="75" t="s">
        <v>356</v>
      </c>
      <c r="B987" s="76" t="s">
        <v>5121</v>
      </c>
      <c r="C987" s="75" t="s">
        <v>23</v>
      </c>
      <c r="D987" s="81" t="str">
        <f t="shared" si="16"/>
        <v>FixationTube CoréenColliers</v>
      </c>
      <c r="E987" s="105" t="s">
        <v>394</v>
      </c>
      <c r="F987" s="81">
        <v>2</v>
      </c>
      <c r="G987" s="71" t="s">
        <v>395</v>
      </c>
      <c r="H987" s="71"/>
      <c r="I987" s="71" t="s">
        <v>396</v>
      </c>
      <c r="J987" s="70">
        <f>IFERROR(VLOOKUP(Devis[[#This Row],[Ref Air Flux]],#REF!,3,FALSE),0)</f>
        <v>0</v>
      </c>
      <c r="K987" s="68"/>
      <c r="L987" s="68"/>
      <c r="M987" s="68"/>
      <c r="N987" s="68"/>
      <c r="O987" s="68"/>
      <c r="P987" s="68"/>
      <c r="Q987" s="68">
        <f>SUM(Devis[[#This Row],[Poste 1]:[Poste 6]])</f>
        <v>0</v>
      </c>
      <c r="R987" s="71"/>
      <c r="S987" s="68">
        <f>_xlfn.CEILING.MATH(Devis[[#This Row],[Quantité Totale]],Devis[[#This Row],[Conditionnement]])</f>
        <v>0</v>
      </c>
      <c r="T987" s="97"/>
      <c r="U987" s="73"/>
      <c r="V987" s="74">
        <f>Devis[[#This Row],[Prix de Revient]]*Devis[[#This Row],[Poste 1]]</f>
        <v>0</v>
      </c>
      <c r="W987" s="74">
        <f>Devis[[#This Row],[Prix de Revient]]*Devis[[#This Row],[Poste 2]]</f>
        <v>0</v>
      </c>
      <c r="X987" s="74">
        <f>Devis[[#This Row],[Prix de Revient]]*Devis[[#This Row],[Poste 3]]</f>
        <v>0</v>
      </c>
      <c r="Y987" s="74">
        <f>Devis[[#This Row],[Poste 4]]*Devis[[#This Row],[Prix de Revient]]</f>
        <v>0</v>
      </c>
      <c r="Z987" s="74">
        <f>Devis[[#This Row],[Poste 5]]*Devis[[#This Row],[Prix de Revient]]</f>
        <v>0</v>
      </c>
      <c r="AA987" s="74">
        <f>Devis[[#This Row],[Prix de Revient]]*Devis[[#This Row],[Poste 6]]</f>
        <v>0</v>
      </c>
      <c r="AB987" s="74">
        <f>Devis[[#This Row],[Quantité Totale]]*Devis[[#This Row],[Prix de Revient]]</f>
        <v>0</v>
      </c>
    </row>
    <row r="988" spans="1:28" ht="14.25" outlineLevel="1" x14ac:dyDescent="0.2">
      <c r="A988" s="75" t="s">
        <v>356</v>
      </c>
      <c r="B988" s="76" t="s">
        <v>5121</v>
      </c>
      <c r="C988" s="75" t="s">
        <v>23</v>
      </c>
      <c r="D988" s="81" t="str">
        <f t="shared" si="16"/>
        <v>FixationTube CoréenColliers</v>
      </c>
      <c r="E988" s="75" t="s">
        <v>5123</v>
      </c>
      <c r="F988" s="81">
        <v>3</v>
      </c>
      <c r="G988" s="71" t="s">
        <v>397</v>
      </c>
      <c r="H988" s="71"/>
      <c r="I988" s="71" t="s">
        <v>398</v>
      </c>
      <c r="J988" s="70">
        <f>IFERROR(VLOOKUP(Devis[[#This Row],[Ref Air Flux]],#REF!,3,FALSE),0)</f>
        <v>0</v>
      </c>
      <c r="K988" s="68"/>
      <c r="L988" s="68"/>
      <c r="M988" s="68"/>
      <c r="N988" s="68"/>
      <c r="O988" s="68"/>
      <c r="P988" s="68"/>
      <c r="Q988" s="68">
        <f>SUM(Devis[[#This Row],[Poste 1]:[Poste 6]])</f>
        <v>0</v>
      </c>
      <c r="R988" s="71"/>
      <c r="S988" s="68">
        <f>_xlfn.CEILING.MATH(Devis[[#This Row],[Quantité Totale]],Devis[[#This Row],[Conditionnement]])</f>
        <v>0</v>
      </c>
      <c r="T988" s="97"/>
      <c r="U988" s="73"/>
      <c r="V988" s="74">
        <f>Devis[[#This Row],[Prix de Revient]]*Devis[[#This Row],[Poste 1]]</f>
        <v>0</v>
      </c>
      <c r="W988" s="74">
        <f>Devis[[#This Row],[Prix de Revient]]*Devis[[#This Row],[Poste 2]]</f>
        <v>0</v>
      </c>
      <c r="X988" s="74">
        <f>Devis[[#This Row],[Prix de Revient]]*Devis[[#This Row],[Poste 3]]</f>
        <v>0</v>
      </c>
      <c r="Y988" s="74">
        <f>Devis[[#This Row],[Poste 4]]*Devis[[#This Row],[Prix de Revient]]</f>
        <v>0</v>
      </c>
      <c r="Z988" s="74">
        <f>Devis[[#This Row],[Poste 5]]*Devis[[#This Row],[Prix de Revient]]</f>
        <v>0</v>
      </c>
      <c r="AA988" s="74">
        <f>Devis[[#This Row],[Prix de Revient]]*Devis[[#This Row],[Poste 6]]</f>
        <v>0</v>
      </c>
      <c r="AB988" s="74">
        <f>Devis[[#This Row],[Quantité Totale]]*Devis[[#This Row],[Prix de Revient]]</f>
        <v>0</v>
      </c>
    </row>
    <row r="989" spans="1:28" ht="14.25" outlineLevel="1" x14ac:dyDescent="0.2">
      <c r="A989" s="75" t="s">
        <v>356</v>
      </c>
      <c r="B989" s="76" t="s">
        <v>5121</v>
      </c>
      <c r="C989" s="75" t="s">
        <v>23</v>
      </c>
      <c r="D989" s="81" t="str">
        <f t="shared" si="16"/>
        <v>FixationTube CoréenColliers</v>
      </c>
      <c r="E989" s="75" t="s">
        <v>399</v>
      </c>
      <c r="F989" s="81">
        <v>4</v>
      </c>
      <c r="G989" s="71" t="s">
        <v>400</v>
      </c>
      <c r="H989" s="71"/>
      <c r="I989" s="71" t="s">
        <v>401</v>
      </c>
      <c r="J989" s="70">
        <f>IFERROR(VLOOKUP(Devis[[#This Row],[Ref Air Flux]],#REF!,3,FALSE),0)</f>
        <v>0</v>
      </c>
      <c r="K989" s="68"/>
      <c r="L989" s="68"/>
      <c r="M989" s="68"/>
      <c r="N989" s="68"/>
      <c r="O989" s="68"/>
      <c r="P989" s="68"/>
      <c r="Q989" s="68">
        <f>SUM(Devis[[#This Row],[Poste 1]:[Poste 6]])</f>
        <v>0</v>
      </c>
      <c r="R989" s="71"/>
      <c r="S989" s="68">
        <f>_xlfn.CEILING.MATH(Devis[[#This Row],[Quantité Totale]],Devis[[#This Row],[Conditionnement]])</f>
        <v>0</v>
      </c>
      <c r="T989" s="97"/>
      <c r="U989" s="73"/>
      <c r="V989" s="74">
        <f>Devis[[#This Row],[Prix de Revient]]*Devis[[#This Row],[Poste 1]]</f>
        <v>0</v>
      </c>
      <c r="W989" s="74">
        <f>Devis[[#This Row],[Prix de Revient]]*Devis[[#This Row],[Poste 2]]</f>
        <v>0</v>
      </c>
      <c r="X989" s="74">
        <f>Devis[[#This Row],[Prix de Revient]]*Devis[[#This Row],[Poste 3]]</f>
        <v>0</v>
      </c>
      <c r="Y989" s="74">
        <f>Devis[[#This Row],[Poste 4]]*Devis[[#This Row],[Prix de Revient]]</f>
        <v>0</v>
      </c>
      <c r="Z989" s="74">
        <f>Devis[[#This Row],[Poste 5]]*Devis[[#This Row],[Prix de Revient]]</f>
        <v>0</v>
      </c>
      <c r="AA989" s="74">
        <f>Devis[[#This Row],[Prix de Revient]]*Devis[[#This Row],[Poste 6]]</f>
        <v>0</v>
      </c>
      <c r="AB989" s="74">
        <f>Devis[[#This Row],[Quantité Totale]]*Devis[[#This Row],[Prix de Revient]]</f>
        <v>0</v>
      </c>
    </row>
    <row r="990" spans="1:28" ht="14.25" outlineLevel="1" x14ac:dyDescent="0.2">
      <c r="A990" s="75" t="s">
        <v>356</v>
      </c>
      <c r="B990" s="76" t="s">
        <v>5121</v>
      </c>
      <c r="C990" s="75" t="s">
        <v>23</v>
      </c>
      <c r="D990" s="81" t="str">
        <f t="shared" si="16"/>
        <v>FixationTube CoréenColliers</v>
      </c>
      <c r="E990" s="75" t="s">
        <v>402</v>
      </c>
      <c r="F990" s="81">
        <v>5</v>
      </c>
      <c r="G990" s="71" t="s">
        <v>403</v>
      </c>
      <c r="H990" s="71"/>
      <c r="I990" s="71" t="s">
        <v>404</v>
      </c>
      <c r="J990" s="70">
        <f>IFERROR(VLOOKUP(Devis[[#This Row],[Ref Air Flux]],#REF!,3,FALSE),0)</f>
        <v>0</v>
      </c>
      <c r="K990" s="68"/>
      <c r="L990" s="68"/>
      <c r="M990" s="68"/>
      <c r="N990" s="68"/>
      <c r="O990" s="68"/>
      <c r="P990" s="68"/>
      <c r="Q990" s="68">
        <f>SUM(Devis[[#This Row],[Poste 1]:[Poste 6]])</f>
        <v>0</v>
      </c>
      <c r="R990" s="71"/>
      <c r="S990" s="68">
        <f>_xlfn.CEILING.MATH(Devis[[#This Row],[Quantité Totale]],Devis[[#This Row],[Conditionnement]])</f>
        <v>0</v>
      </c>
      <c r="T990" s="97"/>
      <c r="U990" s="73"/>
      <c r="V990" s="74">
        <f>Devis[[#This Row],[Prix de Revient]]*Devis[[#This Row],[Poste 1]]</f>
        <v>0</v>
      </c>
      <c r="W990" s="74">
        <f>Devis[[#This Row],[Prix de Revient]]*Devis[[#This Row],[Poste 2]]</f>
        <v>0</v>
      </c>
      <c r="X990" s="74">
        <f>Devis[[#This Row],[Prix de Revient]]*Devis[[#This Row],[Poste 3]]</f>
        <v>0</v>
      </c>
      <c r="Y990" s="74">
        <f>Devis[[#This Row],[Poste 4]]*Devis[[#This Row],[Prix de Revient]]</f>
        <v>0</v>
      </c>
      <c r="Z990" s="74">
        <f>Devis[[#This Row],[Poste 5]]*Devis[[#This Row],[Prix de Revient]]</f>
        <v>0</v>
      </c>
      <c r="AA990" s="74">
        <f>Devis[[#This Row],[Prix de Revient]]*Devis[[#This Row],[Poste 6]]</f>
        <v>0</v>
      </c>
      <c r="AB990" s="74">
        <f>Devis[[#This Row],[Quantité Totale]]*Devis[[#This Row],[Prix de Revient]]</f>
        <v>0</v>
      </c>
    </row>
    <row r="991" spans="1:28" ht="15" customHeight="1" outlineLevel="1" x14ac:dyDescent="0.2">
      <c r="A991" s="75" t="s">
        <v>356</v>
      </c>
      <c r="B991" s="76" t="s">
        <v>5121</v>
      </c>
      <c r="C991" s="75" t="s">
        <v>23</v>
      </c>
      <c r="D991" s="81" t="str">
        <f t="shared" si="16"/>
        <v>FixationTube CoréenColliers</v>
      </c>
      <c r="E991" s="75" t="s">
        <v>405</v>
      </c>
      <c r="F991" s="81">
        <v>6</v>
      </c>
      <c r="G991" s="71" t="s">
        <v>406</v>
      </c>
      <c r="H991" s="71"/>
      <c r="I991" s="71" t="s">
        <v>407</v>
      </c>
      <c r="J991" s="70">
        <f>IFERROR(VLOOKUP(Devis[[#This Row],[Ref Air Flux]],#REF!,3,FALSE),0)</f>
        <v>0</v>
      </c>
      <c r="K991" s="68"/>
      <c r="L991" s="68"/>
      <c r="M991" s="68"/>
      <c r="N991" s="68"/>
      <c r="O991" s="68"/>
      <c r="P991" s="68"/>
      <c r="Q991" s="68">
        <f>SUM(Devis[[#This Row],[Poste 1]:[Poste 6]])</f>
        <v>0</v>
      </c>
      <c r="R991" s="71"/>
      <c r="S991" s="68">
        <f>_xlfn.CEILING.MATH(Devis[[#This Row],[Quantité Totale]],Devis[[#This Row],[Conditionnement]])</f>
        <v>0</v>
      </c>
      <c r="T991" s="97"/>
      <c r="U991" s="73"/>
      <c r="V991" s="74">
        <f>Devis[[#This Row],[Prix de Revient]]*Devis[[#This Row],[Poste 1]]</f>
        <v>0</v>
      </c>
      <c r="W991" s="74">
        <f>Devis[[#This Row],[Prix de Revient]]*Devis[[#This Row],[Poste 2]]</f>
        <v>0</v>
      </c>
      <c r="X991" s="74">
        <f>Devis[[#This Row],[Prix de Revient]]*Devis[[#This Row],[Poste 3]]</f>
        <v>0</v>
      </c>
      <c r="Y991" s="74">
        <f>Devis[[#This Row],[Poste 4]]*Devis[[#This Row],[Prix de Revient]]</f>
        <v>0</v>
      </c>
      <c r="Z991" s="74">
        <f>Devis[[#This Row],[Poste 5]]*Devis[[#This Row],[Prix de Revient]]</f>
        <v>0</v>
      </c>
      <c r="AA991" s="74">
        <f>Devis[[#This Row],[Prix de Revient]]*Devis[[#This Row],[Poste 6]]</f>
        <v>0</v>
      </c>
      <c r="AB991" s="74">
        <f>Devis[[#This Row],[Quantité Totale]]*Devis[[#This Row],[Prix de Revient]]</f>
        <v>0</v>
      </c>
    </row>
    <row r="992" spans="1:28" ht="14.25" outlineLevel="1" x14ac:dyDescent="0.2">
      <c r="A992" s="75" t="s">
        <v>356</v>
      </c>
      <c r="B992" s="76" t="s">
        <v>5121</v>
      </c>
      <c r="C992" s="75" t="s">
        <v>23</v>
      </c>
      <c r="D992" s="81" t="str">
        <f t="shared" si="16"/>
        <v>FixationTube CoréenColliers</v>
      </c>
      <c r="E992" s="75" t="s">
        <v>408</v>
      </c>
      <c r="F992" s="81">
        <v>7</v>
      </c>
      <c r="G992" s="71" t="s">
        <v>409</v>
      </c>
      <c r="H992" s="71"/>
      <c r="I992" s="71" t="s">
        <v>410</v>
      </c>
      <c r="J992" s="70">
        <f>IFERROR(VLOOKUP(Devis[[#This Row],[Ref Air Flux]],#REF!,3,FALSE),0)</f>
        <v>0</v>
      </c>
      <c r="K992" s="68"/>
      <c r="L992" s="68"/>
      <c r="M992" s="68"/>
      <c r="N992" s="68"/>
      <c r="O992" s="68"/>
      <c r="P992" s="68"/>
      <c r="Q992" s="68">
        <f>SUM(Devis[[#This Row],[Poste 1]:[Poste 6]])</f>
        <v>0</v>
      </c>
      <c r="R992" s="71"/>
      <c r="S992" s="68">
        <f>_xlfn.CEILING.MATH(Devis[[#This Row],[Quantité Totale]],Devis[[#This Row],[Conditionnement]])</f>
        <v>0</v>
      </c>
      <c r="T992" s="97"/>
      <c r="U992" s="73"/>
      <c r="V992" s="74">
        <f>Devis[[#This Row],[Prix de Revient]]*Devis[[#This Row],[Poste 1]]</f>
        <v>0</v>
      </c>
      <c r="W992" s="74">
        <f>Devis[[#This Row],[Prix de Revient]]*Devis[[#This Row],[Poste 2]]</f>
        <v>0</v>
      </c>
      <c r="X992" s="74">
        <f>Devis[[#This Row],[Prix de Revient]]*Devis[[#This Row],[Poste 3]]</f>
        <v>0</v>
      </c>
      <c r="Y992" s="74">
        <f>Devis[[#This Row],[Poste 4]]*Devis[[#This Row],[Prix de Revient]]</f>
        <v>0</v>
      </c>
      <c r="Z992" s="74">
        <f>Devis[[#This Row],[Poste 5]]*Devis[[#This Row],[Prix de Revient]]</f>
        <v>0</v>
      </c>
      <c r="AA992" s="74">
        <f>Devis[[#This Row],[Prix de Revient]]*Devis[[#This Row],[Poste 6]]</f>
        <v>0</v>
      </c>
      <c r="AB992" s="74">
        <f>Devis[[#This Row],[Quantité Totale]]*Devis[[#This Row],[Prix de Revient]]</f>
        <v>0</v>
      </c>
    </row>
    <row r="993" spans="1:28" ht="14.25" outlineLevel="1" x14ac:dyDescent="0.2">
      <c r="A993" s="75" t="s">
        <v>356</v>
      </c>
      <c r="B993" s="76" t="s">
        <v>5121</v>
      </c>
      <c r="C993" s="75" t="s">
        <v>23</v>
      </c>
      <c r="D993" s="81" t="str">
        <f t="shared" si="16"/>
        <v>FixationTube CoréenColliers</v>
      </c>
      <c r="E993" s="75" t="s">
        <v>411</v>
      </c>
      <c r="F993" s="81">
        <v>8</v>
      </c>
      <c r="G993" s="71" t="s">
        <v>412</v>
      </c>
      <c r="H993" s="71"/>
      <c r="I993" s="71" t="s">
        <v>413</v>
      </c>
      <c r="J993" s="70">
        <f>IFERROR(VLOOKUP(Devis[[#This Row],[Ref Air Flux]],#REF!,3,FALSE),0)</f>
        <v>0</v>
      </c>
      <c r="K993" s="68"/>
      <c r="L993" s="68"/>
      <c r="M993" s="68"/>
      <c r="N993" s="68"/>
      <c r="O993" s="68"/>
      <c r="P993" s="68"/>
      <c r="Q993" s="68">
        <f>SUM(Devis[[#This Row],[Poste 1]:[Poste 6]])</f>
        <v>0</v>
      </c>
      <c r="R993" s="71"/>
      <c r="S993" s="68">
        <f>_xlfn.CEILING.MATH(Devis[[#This Row],[Quantité Totale]],Devis[[#This Row],[Conditionnement]])</f>
        <v>0</v>
      </c>
      <c r="T993" s="97"/>
      <c r="U993" s="73"/>
      <c r="V993" s="74">
        <f>Devis[[#This Row],[Prix de Revient]]*Devis[[#This Row],[Poste 1]]</f>
        <v>0</v>
      </c>
      <c r="W993" s="74">
        <f>Devis[[#This Row],[Prix de Revient]]*Devis[[#This Row],[Poste 2]]</f>
        <v>0</v>
      </c>
      <c r="X993" s="74">
        <f>Devis[[#This Row],[Prix de Revient]]*Devis[[#This Row],[Poste 3]]</f>
        <v>0</v>
      </c>
      <c r="Y993" s="74">
        <f>Devis[[#This Row],[Poste 4]]*Devis[[#This Row],[Prix de Revient]]</f>
        <v>0</v>
      </c>
      <c r="Z993" s="74">
        <f>Devis[[#This Row],[Poste 5]]*Devis[[#This Row],[Prix de Revient]]</f>
        <v>0</v>
      </c>
      <c r="AA993" s="74">
        <f>Devis[[#This Row],[Prix de Revient]]*Devis[[#This Row],[Poste 6]]</f>
        <v>0</v>
      </c>
      <c r="AB993" s="74">
        <f>Devis[[#This Row],[Quantité Totale]]*Devis[[#This Row],[Prix de Revient]]</f>
        <v>0</v>
      </c>
    </row>
    <row r="994" spans="1:28" ht="14.25" outlineLevel="1" x14ac:dyDescent="0.2">
      <c r="A994" s="75" t="s">
        <v>356</v>
      </c>
      <c r="B994" s="76" t="s">
        <v>5121</v>
      </c>
      <c r="C994" s="75" t="s">
        <v>23</v>
      </c>
      <c r="D994" s="81" t="str">
        <f t="shared" si="16"/>
        <v>FixationTube CoréenColliers</v>
      </c>
      <c r="E994" s="75" t="s">
        <v>414</v>
      </c>
      <c r="F994" s="81">
        <v>9</v>
      </c>
      <c r="G994" s="71" t="s">
        <v>415</v>
      </c>
      <c r="H994" s="71"/>
      <c r="I994" s="71" t="s">
        <v>416</v>
      </c>
      <c r="J994" s="70">
        <f>IFERROR(VLOOKUP(Devis[[#This Row],[Ref Air Flux]],#REF!,3,FALSE),0)</f>
        <v>0</v>
      </c>
      <c r="K994" s="68"/>
      <c r="L994" s="68"/>
      <c r="M994" s="68"/>
      <c r="N994" s="68"/>
      <c r="O994" s="68"/>
      <c r="P994" s="68"/>
      <c r="Q994" s="68">
        <f>SUM(Devis[[#This Row],[Poste 1]:[Poste 6]])</f>
        <v>0</v>
      </c>
      <c r="R994" s="71"/>
      <c r="S994" s="68">
        <f>_xlfn.CEILING.MATH(Devis[[#This Row],[Quantité Totale]],Devis[[#This Row],[Conditionnement]])</f>
        <v>0</v>
      </c>
      <c r="T994" s="97"/>
      <c r="U994" s="73"/>
      <c r="V994" s="74">
        <f>Devis[[#This Row],[Prix de Revient]]*Devis[[#This Row],[Poste 1]]</f>
        <v>0</v>
      </c>
      <c r="W994" s="74">
        <f>Devis[[#This Row],[Prix de Revient]]*Devis[[#This Row],[Poste 2]]</f>
        <v>0</v>
      </c>
      <c r="X994" s="74">
        <f>Devis[[#This Row],[Prix de Revient]]*Devis[[#This Row],[Poste 3]]</f>
        <v>0</v>
      </c>
      <c r="Y994" s="74">
        <f>Devis[[#This Row],[Poste 4]]*Devis[[#This Row],[Prix de Revient]]</f>
        <v>0</v>
      </c>
      <c r="Z994" s="74">
        <f>Devis[[#This Row],[Poste 5]]*Devis[[#This Row],[Prix de Revient]]</f>
        <v>0</v>
      </c>
      <c r="AA994" s="74">
        <f>Devis[[#This Row],[Prix de Revient]]*Devis[[#This Row],[Poste 6]]</f>
        <v>0</v>
      </c>
      <c r="AB994" s="74">
        <f>Devis[[#This Row],[Quantité Totale]]*Devis[[#This Row],[Prix de Revient]]</f>
        <v>0</v>
      </c>
    </row>
    <row r="995" spans="1:28" ht="14.25" outlineLevel="1" x14ac:dyDescent="0.2">
      <c r="A995" s="75" t="s">
        <v>356</v>
      </c>
      <c r="B995" s="76" t="s">
        <v>5121</v>
      </c>
      <c r="C995" s="75" t="s">
        <v>23</v>
      </c>
      <c r="D995" s="81" t="str">
        <f t="shared" si="16"/>
        <v>FixationTube CoréenColliers</v>
      </c>
      <c r="E995" s="75" t="s">
        <v>417</v>
      </c>
      <c r="F995" s="81">
        <v>10</v>
      </c>
      <c r="G995" s="71" t="s">
        <v>418</v>
      </c>
      <c r="H995" s="71"/>
      <c r="I995" s="71" t="s">
        <v>419</v>
      </c>
      <c r="J995" s="70">
        <f>IFERROR(VLOOKUP(Devis[[#This Row],[Ref Air Flux]],#REF!,3,FALSE),0)</f>
        <v>0</v>
      </c>
      <c r="K995" s="68"/>
      <c r="L995" s="68"/>
      <c r="M995" s="68"/>
      <c r="N995" s="68"/>
      <c r="O995" s="68"/>
      <c r="P995" s="68"/>
      <c r="Q995" s="68">
        <f>SUM(Devis[[#This Row],[Poste 1]:[Poste 6]])</f>
        <v>0</v>
      </c>
      <c r="R995" s="71"/>
      <c r="S995" s="68">
        <f>_xlfn.CEILING.MATH(Devis[[#This Row],[Quantité Totale]],Devis[[#This Row],[Conditionnement]])</f>
        <v>0</v>
      </c>
      <c r="T995" s="97"/>
      <c r="U995" s="73"/>
      <c r="V995" s="74">
        <f>Devis[[#This Row],[Prix de Revient]]*Devis[[#This Row],[Poste 1]]</f>
        <v>0</v>
      </c>
      <c r="W995" s="74">
        <f>Devis[[#This Row],[Prix de Revient]]*Devis[[#This Row],[Poste 2]]</f>
        <v>0</v>
      </c>
      <c r="X995" s="74">
        <f>Devis[[#This Row],[Prix de Revient]]*Devis[[#This Row],[Poste 3]]</f>
        <v>0</v>
      </c>
      <c r="Y995" s="74">
        <f>Devis[[#This Row],[Poste 4]]*Devis[[#This Row],[Prix de Revient]]</f>
        <v>0</v>
      </c>
      <c r="Z995" s="74">
        <f>Devis[[#This Row],[Poste 5]]*Devis[[#This Row],[Prix de Revient]]</f>
        <v>0</v>
      </c>
      <c r="AA995" s="74">
        <f>Devis[[#This Row],[Prix de Revient]]*Devis[[#This Row],[Poste 6]]</f>
        <v>0</v>
      </c>
      <c r="AB995" s="74">
        <f>Devis[[#This Row],[Quantité Totale]]*Devis[[#This Row],[Prix de Revient]]</f>
        <v>0</v>
      </c>
    </row>
    <row r="996" spans="1:28" ht="15" customHeight="1" x14ac:dyDescent="0.25">
      <c r="A996" s="65" t="s">
        <v>356</v>
      </c>
      <c r="B996" s="65" t="s">
        <v>5124</v>
      </c>
      <c r="C996" s="76"/>
      <c r="D996" s="81" t="str">
        <f t="shared" si="16"/>
        <v>FixationTube Italien</v>
      </c>
      <c r="E996" s="76"/>
      <c r="F996" s="81">
        <v>0</v>
      </c>
      <c r="G996" s="71"/>
      <c r="H996" s="71"/>
      <c r="I996" s="71"/>
      <c r="J996" s="70">
        <f>IFERROR(VLOOKUP(Devis[[#This Row],[Ref Air Flux]],#REF!,3,FALSE),0)</f>
        <v>0</v>
      </c>
      <c r="K996" s="68"/>
      <c r="L996" s="68"/>
      <c r="M996" s="68"/>
      <c r="N996" s="68"/>
      <c r="O996" s="68"/>
      <c r="P996" s="68"/>
      <c r="Q996" s="68">
        <f>SUM(Devis[[#This Row],[Poste 1]:[Poste 6]])</f>
        <v>0</v>
      </c>
      <c r="R996" s="71"/>
      <c r="S996" s="68">
        <f>_xlfn.CEILING.MATH(Devis[[#This Row],[Quantité Totale]],Devis[[#This Row],[Conditionnement]])</f>
        <v>0</v>
      </c>
      <c r="T996" s="97"/>
      <c r="U996" s="73"/>
      <c r="V996" s="74">
        <f>Devis[[#This Row],[Prix de Revient]]*Devis[[#This Row],[Poste 1]]</f>
        <v>0</v>
      </c>
      <c r="W996" s="74">
        <f>Devis[[#This Row],[Prix de Revient]]*Devis[[#This Row],[Poste 2]]</f>
        <v>0</v>
      </c>
      <c r="X996" s="74">
        <f>Devis[[#This Row],[Prix de Revient]]*Devis[[#This Row],[Poste 3]]</f>
        <v>0</v>
      </c>
      <c r="Y996" s="74">
        <f>Devis[[#This Row],[Poste 4]]*Devis[[#This Row],[Prix de Revient]]</f>
        <v>0</v>
      </c>
      <c r="Z996" s="74">
        <f>Devis[[#This Row],[Poste 5]]*Devis[[#This Row],[Prix de Revient]]</f>
        <v>0</v>
      </c>
      <c r="AA996" s="74">
        <f>Devis[[#This Row],[Prix de Revient]]*Devis[[#This Row],[Poste 6]]</f>
        <v>0</v>
      </c>
      <c r="AB996" s="74">
        <f>Devis[[#This Row],[Quantité Totale]]*Devis[[#This Row],[Prix de Revient]]</f>
        <v>0</v>
      </c>
    </row>
    <row r="997" spans="1:28" ht="14.25" outlineLevel="1" x14ac:dyDescent="0.2">
      <c r="A997" s="75" t="s">
        <v>356</v>
      </c>
      <c r="B997" s="76" t="s">
        <v>5124</v>
      </c>
      <c r="C997" s="75" t="s">
        <v>23</v>
      </c>
      <c r="D997" s="81" t="str">
        <f t="shared" si="16"/>
        <v>FixationTube ItalienColliers</v>
      </c>
      <c r="E997" s="75" t="s">
        <v>3452</v>
      </c>
      <c r="F997" s="81">
        <v>1</v>
      </c>
      <c r="G997" s="71" t="s">
        <v>458</v>
      </c>
      <c r="H997" s="71" t="s">
        <v>459</v>
      </c>
      <c r="I997" s="71">
        <v>156015304</v>
      </c>
      <c r="J997" s="70">
        <f>IFERROR(VLOOKUP(Devis[[#This Row],[Ref Air Flux]],#REF!,3,FALSE),0)</f>
        <v>0</v>
      </c>
      <c r="K997" s="68"/>
      <c r="L997" s="68"/>
      <c r="M997" s="68"/>
      <c r="N997" s="68"/>
      <c r="O997" s="68"/>
      <c r="P997" s="68"/>
      <c r="Q997" s="68">
        <f>SUM(Devis[[#This Row],[Poste 1]:[Poste 6]])</f>
        <v>0</v>
      </c>
      <c r="R997" s="71">
        <v>50</v>
      </c>
      <c r="S997" s="68">
        <f>_xlfn.CEILING.MATH(Devis[[#This Row],[Quantité Totale]],Devis[[#This Row],[Conditionnement]])</f>
        <v>0</v>
      </c>
      <c r="T997" s="97"/>
      <c r="U997" s="73"/>
      <c r="V997" s="74">
        <f>Devis[[#This Row],[Prix de Revient]]*Devis[[#This Row],[Poste 1]]</f>
        <v>0</v>
      </c>
      <c r="W997" s="74">
        <f>Devis[[#This Row],[Prix de Revient]]*Devis[[#This Row],[Poste 2]]</f>
        <v>0</v>
      </c>
      <c r="X997" s="74">
        <f>Devis[[#This Row],[Prix de Revient]]*Devis[[#This Row],[Poste 3]]</f>
        <v>0</v>
      </c>
      <c r="Y997" s="74">
        <f>Devis[[#This Row],[Poste 4]]*Devis[[#This Row],[Prix de Revient]]</f>
        <v>0</v>
      </c>
      <c r="Z997" s="74">
        <f>Devis[[#This Row],[Poste 5]]*Devis[[#This Row],[Prix de Revient]]</f>
        <v>0</v>
      </c>
      <c r="AA997" s="74">
        <f>Devis[[#This Row],[Prix de Revient]]*Devis[[#This Row],[Poste 6]]</f>
        <v>0</v>
      </c>
      <c r="AB997" s="74">
        <f>Devis[[#This Row],[Quantité Totale]]*Devis[[#This Row],[Prix de Revient]]</f>
        <v>0</v>
      </c>
    </row>
    <row r="998" spans="1:28" ht="14.25" outlineLevel="1" x14ac:dyDescent="0.2">
      <c r="A998" s="75" t="s">
        <v>356</v>
      </c>
      <c r="B998" s="76" t="s">
        <v>5124</v>
      </c>
      <c r="C998" s="75" t="s">
        <v>23</v>
      </c>
      <c r="D998" s="81" t="str">
        <f t="shared" si="16"/>
        <v>FixationTube ItalienColliers</v>
      </c>
      <c r="E998" s="75" t="s">
        <v>3453</v>
      </c>
      <c r="F998" s="81">
        <v>2</v>
      </c>
      <c r="G998" s="71" t="s">
        <v>460</v>
      </c>
      <c r="H998" s="71" t="s">
        <v>459</v>
      </c>
      <c r="I998" s="71">
        <v>156308304</v>
      </c>
      <c r="J998" s="70">
        <f>IFERROR(VLOOKUP(Devis[[#This Row],[Ref Air Flux]],#REF!,3,FALSE),0)</f>
        <v>0</v>
      </c>
      <c r="K998" s="68"/>
      <c r="L998" s="68"/>
      <c r="M998" s="68"/>
      <c r="N998" s="68"/>
      <c r="O998" s="68"/>
      <c r="P998" s="68"/>
      <c r="Q998" s="68">
        <f>SUM(Devis[[#This Row],[Poste 1]:[Poste 6]])</f>
        <v>0</v>
      </c>
      <c r="R998" s="71">
        <v>50</v>
      </c>
      <c r="S998" s="68">
        <f>_xlfn.CEILING.MATH(Devis[[#This Row],[Quantité Totale]],Devis[[#This Row],[Conditionnement]])</f>
        <v>0</v>
      </c>
      <c r="T998" s="97"/>
      <c r="U998" s="73"/>
      <c r="V998" s="74">
        <f>Devis[[#This Row],[Prix de Revient]]*Devis[[#This Row],[Poste 1]]</f>
        <v>0</v>
      </c>
      <c r="W998" s="74">
        <f>Devis[[#This Row],[Prix de Revient]]*Devis[[#This Row],[Poste 2]]</f>
        <v>0</v>
      </c>
      <c r="X998" s="74">
        <f>Devis[[#This Row],[Prix de Revient]]*Devis[[#This Row],[Poste 3]]</f>
        <v>0</v>
      </c>
      <c r="Y998" s="74">
        <f>Devis[[#This Row],[Poste 4]]*Devis[[#This Row],[Prix de Revient]]</f>
        <v>0</v>
      </c>
      <c r="Z998" s="74">
        <f>Devis[[#This Row],[Poste 5]]*Devis[[#This Row],[Prix de Revient]]</f>
        <v>0</v>
      </c>
      <c r="AA998" s="74">
        <f>Devis[[#This Row],[Prix de Revient]]*Devis[[#This Row],[Poste 6]]</f>
        <v>0</v>
      </c>
      <c r="AB998" s="74">
        <f>Devis[[#This Row],[Quantité Totale]]*Devis[[#This Row],[Prix de Revient]]</f>
        <v>0</v>
      </c>
    </row>
    <row r="999" spans="1:28" ht="15" customHeight="1" outlineLevel="1" x14ac:dyDescent="0.2">
      <c r="A999" s="75" t="s">
        <v>356</v>
      </c>
      <c r="B999" s="76" t="s">
        <v>5124</v>
      </c>
      <c r="C999" s="75" t="s">
        <v>23</v>
      </c>
      <c r="D999" s="81" t="str">
        <f t="shared" si="16"/>
        <v>FixationTube ItalienColliers</v>
      </c>
      <c r="E999" s="75" t="s">
        <v>3454</v>
      </c>
      <c r="F999" s="81">
        <v>3</v>
      </c>
      <c r="G999" s="71" t="s">
        <v>461</v>
      </c>
      <c r="H999" s="71" t="s">
        <v>459</v>
      </c>
      <c r="I999" s="71">
        <v>156102304</v>
      </c>
      <c r="J999" s="70">
        <f>IFERROR(VLOOKUP(Devis[[#This Row],[Ref Air Flux]],#REF!,3,FALSE),0)</f>
        <v>0</v>
      </c>
      <c r="K999" s="68"/>
      <c r="L999" s="68"/>
      <c r="M999" s="68"/>
      <c r="N999" s="68"/>
      <c r="O999" s="68"/>
      <c r="P999" s="68"/>
      <c r="Q999" s="68">
        <f>SUM(Devis[[#This Row],[Poste 1]:[Poste 6]])</f>
        <v>0</v>
      </c>
      <c r="R999" s="71">
        <v>50</v>
      </c>
      <c r="S999" s="68">
        <f>_xlfn.CEILING.MATH(Devis[[#This Row],[Quantité Totale]],Devis[[#This Row],[Conditionnement]])</f>
        <v>0</v>
      </c>
      <c r="T999" s="97"/>
      <c r="U999" s="73"/>
      <c r="V999" s="74">
        <f>Devis[[#This Row],[Prix de Revient]]*Devis[[#This Row],[Poste 1]]</f>
        <v>0</v>
      </c>
      <c r="W999" s="74">
        <f>Devis[[#This Row],[Prix de Revient]]*Devis[[#This Row],[Poste 2]]</f>
        <v>0</v>
      </c>
      <c r="X999" s="74">
        <f>Devis[[#This Row],[Prix de Revient]]*Devis[[#This Row],[Poste 3]]</f>
        <v>0</v>
      </c>
      <c r="Y999" s="74">
        <f>Devis[[#This Row],[Poste 4]]*Devis[[#This Row],[Prix de Revient]]</f>
        <v>0</v>
      </c>
      <c r="Z999" s="74">
        <f>Devis[[#This Row],[Poste 5]]*Devis[[#This Row],[Prix de Revient]]</f>
        <v>0</v>
      </c>
      <c r="AA999" s="74">
        <f>Devis[[#This Row],[Prix de Revient]]*Devis[[#This Row],[Poste 6]]</f>
        <v>0</v>
      </c>
      <c r="AB999" s="74">
        <f>Devis[[#This Row],[Quantité Totale]]*Devis[[#This Row],[Prix de Revient]]</f>
        <v>0</v>
      </c>
    </row>
    <row r="1000" spans="1:28" ht="14.25" outlineLevel="1" x14ac:dyDescent="0.2">
      <c r="A1000" s="75" t="s">
        <v>356</v>
      </c>
      <c r="B1000" s="76" t="s">
        <v>5124</v>
      </c>
      <c r="C1000" s="75" t="s">
        <v>23</v>
      </c>
      <c r="D1000" s="81" t="str">
        <f t="shared" si="16"/>
        <v>FixationTube ItalienColliers</v>
      </c>
      <c r="E1000" s="75" t="s">
        <v>3455</v>
      </c>
      <c r="F1000" s="81">
        <v>4</v>
      </c>
      <c r="G1000" s="71" t="s">
        <v>462</v>
      </c>
      <c r="H1000" s="71" t="s">
        <v>459</v>
      </c>
      <c r="I1000" s="71">
        <v>156304304</v>
      </c>
      <c r="J1000" s="70">
        <f>IFERROR(VLOOKUP(Devis[[#This Row],[Ref Air Flux]],#REF!,3,FALSE),0)</f>
        <v>0</v>
      </c>
      <c r="K1000" s="68"/>
      <c r="L1000" s="68"/>
      <c r="M1000" s="68"/>
      <c r="N1000" s="68"/>
      <c r="O1000" s="68"/>
      <c r="P1000" s="68"/>
      <c r="Q1000" s="68">
        <f>SUM(Devis[[#This Row],[Poste 1]:[Poste 6]])</f>
        <v>0</v>
      </c>
      <c r="R1000" s="71">
        <v>50</v>
      </c>
      <c r="S1000" s="68">
        <f>_xlfn.CEILING.MATH(Devis[[#This Row],[Quantité Totale]],Devis[[#This Row],[Conditionnement]])</f>
        <v>0</v>
      </c>
      <c r="T1000" s="97"/>
      <c r="U1000" s="73"/>
      <c r="V1000" s="74">
        <f>Devis[[#This Row],[Prix de Revient]]*Devis[[#This Row],[Poste 1]]</f>
        <v>0</v>
      </c>
      <c r="W1000" s="74">
        <f>Devis[[#This Row],[Prix de Revient]]*Devis[[#This Row],[Poste 2]]</f>
        <v>0</v>
      </c>
      <c r="X1000" s="74">
        <f>Devis[[#This Row],[Prix de Revient]]*Devis[[#This Row],[Poste 3]]</f>
        <v>0</v>
      </c>
      <c r="Y1000" s="74">
        <f>Devis[[#This Row],[Poste 4]]*Devis[[#This Row],[Prix de Revient]]</f>
        <v>0</v>
      </c>
      <c r="Z1000" s="74">
        <f>Devis[[#This Row],[Poste 5]]*Devis[[#This Row],[Prix de Revient]]</f>
        <v>0</v>
      </c>
      <c r="AA1000" s="74">
        <f>Devis[[#This Row],[Prix de Revient]]*Devis[[#This Row],[Poste 6]]</f>
        <v>0</v>
      </c>
      <c r="AB1000" s="74">
        <f>Devis[[#This Row],[Quantité Totale]]*Devis[[#This Row],[Prix de Revient]]</f>
        <v>0</v>
      </c>
    </row>
    <row r="1001" spans="1:28" ht="14.25" outlineLevel="1" x14ac:dyDescent="0.2">
      <c r="A1001" s="75" t="s">
        <v>356</v>
      </c>
      <c r="B1001" s="76" t="s">
        <v>5124</v>
      </c>
      <c r="C1001" s="75" t="s">
        <v>23</v>
      </c>
      <c r="D1001" s="81" t="str">
        <f t="shared" si="16"/>
        <v>FixationTube ItalienColliers</v>
      </c>
      <c r="E1001" s="75" t="s">
        <v>3456</v>
      </c>
      <c r="F1001" s="81">
        <v>5</v>
      </c>
      <c r="G1001" s="71" t="s">
        <v>463</v>
      </c>
      <c r="H1001" s="71" t="s">
        <v>459</v>
      </c>
      <c r="I1001" s="71">
        <v>156100304</v>
      </c>
      <c r="J1001" s="70">
        <f>IFERROR(VLOOKUP(Devis[[#This Row],[Ref Air Flux]],#REF!,3,FALSE),0)</f>
        <v>0</v>
      </c>
      <c r="K1001" s="68"/>
      <c r="L1001" s="68"/>
      <c r="M1001" s="68"/>
      <c r="N1001" s="68"/>
      <c r="O1001" s="68"/>
      <c r="P1001" s="68"/>
      <c r="Q1001" s="68">
        <f>SUM(Devis[[#This Row],[Poste 1]:[Poste 6]])</f>
        <v>0</v>
      </c>
      <c r="R1001" s="71">
        <v>50</v>
      </c>
      <c r="S1001" s="68">
        <f>_xlfn.CEILING.MATH(Devis[[#This Row],[Quantité Totale]],Devis[[#This Row],[Conditionnement]])</f>
        <v>0</v>
      </c>
      <c r="T1001" s="97"/>
      <c r="U1001" s="73"/>
      <c r="V1001" s="74">
        <f>Devis[[#This Row],[Prix de Revient]]*Devis[[#This Row],[Poste 1]]</f>
        <v>0</v>
      </c>
      <c r="W1001" s="74">
        <f>Devis[[#This Row],[Prix de Revient]]*Devis[[#This Row],[Poste 2]]</f>
        <v>0</v>
      </c>
      <c r="X1001" s="74">
        <f>Devis[[#This Row],[Prix de Revient]]*Devis[[#This Row],[Poste 3]]</f>
        <v>0</v>
      </c>
      <c r="Y1001" s="74">
        <f>Devis[[#This Row],[Poste 4]]*Devis[[#This Row],[Prix de Revient]]</f>
        <v>0</v>
      </c>
      <c r="Z1001" s="74">
        <f>Devis[[#This Row],[Poste 5]]*Devis[[#This Row],[Prix de Revient]]</f>
        <v>0</v>
      </c>
      <c r="AA1001" s="74">
        <f>Devis[[#This Row],[Prix de Revient]]*Devis[[#This Row],[Poste 6]]</f>
        <v>0</v>
      </c>
      <c r="AB1001" s="74">
        <f>Devis[[#This Row],[Quantité Totale]]*Devis[[#This Row],[Prix de Revient]]</f>
        <v>0</v>
      </c>
    </row>
    <row r="1002" spans="1:28" ht="14.25" outlineLevel="1" x14ac:dyDescent="0.2">
      <c r="A1002" s="75" t="s">
        <v>356</v>
      </c>
      <c r="B1002" s="76" t="s">
        <v>5124</v>
      </c>
      <c r="C1002" s="75" t="s">
        <v>23</v>
      </c>
      <c r="D1002" s="81" t="str">
        <f t="shared" si="16"/>
        <v>FixationTube ItalienColliers</v>
      </c>
      <c r="E1002" s="75" t="s">
        <v>3457</v>
      </c>
      <c r="F1002" s="81">
        <v>6</v>
      </c>
      <c r="G1002" s="71" t="s">
        <v>464</v>
      </c>
      <c r="H1002" s="71" t="s">
        <v>459</v>
      </c>
      <c r="I1002" s="71">
        <v>156114304</v>
      </c>
      <c r="J1002" s="70">
        <f>IFERROR(VLOOKUP(Devis[[#This Row],[Ref Air Flux]],#REF!,3,FALSE),0)</f>
        <v>0</v>
      </c>
      <c r="K1002" s="68"/>
      <c r="L1002" s="68"/>
      <c r="M1002" s="68"/>
      <c r="N1002" s="68"/>
      <c r="O1002" s="68"/>
      <c r="P1002" s="68"/>
      <c r="Q1002" s="68">
        <f>SUM(Devis[[#This Row],[Poste 1]:[Poste 6]])</f>
        <v>0</v>
      </c>
      <c r="R1002" s="71">
        <v>50</v>
      </c>
      <c r="S1002" s="68">
        <f>_xlfn.CEILING.MATH(Devis[[#This Row],[Quantité Totale]],Devis[[#This Row],[Conditionnement]])</f>
        <v>0</v>
      </c>
      <c r="T1002" s="97"/>
      <c r="U1002" s="73"/>
      <c r="V1002" s="74">
        <f>Devis[[#This Row],[Prix de Revient]]*Devis[[#This Row],[Poste 1]]</f>
        <v>0</v>
      </c>
      <c r="W1002" s="74">
        <f>Devis[[#This Row],[Prix de Revient]]*Devis[[#This Row],[Poste 2]]</f>
        <v>0</v>
      </c>
      <c r="X1002" s="74">
        <f>Devis[[#This Row],[Prix de Revient]]*Devis[[#This Row],[Poste 3]]</f>
        <v>0</v>
      </c>
      <c r="Y1002" s="74">
        <f>Devis[[#This Row],[Poste 4]]*Devis[[#This Row],[Prix de Revient]]</f>
        <v>0</v>
      </c>
      <c r="Z1002" s="74">
        <f>Devis[[#This Row],[Poste 5]]*Devis[[#This Row],[Prix de Revient]]</f>
        <v>0</v>
      </c>
      <c r="AA1002" s="74">
        <f>Devis[[#This Row],[Prix de Revient]]*Devis[[#This Row],[Poste 6]]</f>
        <v>0</v>
      </c>
      <c r="AB1002" s="74">
        <f>Devis[[#This Row],[Quantité Totale]]*Devis[[#This Row],[Prix de Revient]]</f>
        <v>0</v>
      </c>
    </row>
    <row r="1003" spans="1:28" ht="14.25" outlineLevel="1" x14ac:dyDescent="0.2">
      <c r="A1003" s="75" t="s">
        <v>356</v>
      </c>
      <c r="B1003" s="76" t="s">
        <v>5124</v>
      </c>
      <c r="C1003" s="75" t="s">
        <v>23</v>
      </c>
      <c r="D1003" s="81" t="str">
        <f t="shared" ref="D1003:D1074" si="17">A1003&amp;B1003&amp;C1003</f>
        <v>FixationTube ItalienColliers</v>
      </c>
      <c r="E1003" s="75" t="s">
        <v>3458</v>
      </c>
      <c r="F1003" s="81">
        <v>7</v>
      </c>
      <c r="G1003" s="71" t="s">
        <v>465</v>
      </c>
      <c r="H1003" s="71" t="s">
        <v>459</v>
      </c>
      <c r="I1003" s="71">
        <v>156054304</v>
      </c>
      <c r="J1003" s="70">
        <f>IFERROR(VLOOKUP(Devis[[#This Row],[Ref Air Flux]],#REF!,3,FALSE),0)</f>
        <v>0</v>
      </c>
      <c r="K1003" s="68"/>
      <c r="L1003" s="68"/>
      <c r="M1003" s="68"/>
      <c r="N1003" s="68"/>
      <c r="O1003" s="68"/>
      <c r="P1003" s="68"/>
      <c r="Q1003" s="68">
        <f>SUM(Devis[[#This Row],[Poste 1]:[Poste 6]])</f>
        <v>0</v>
      </c>
      <c r="R1003" s="71">
        <v>50</v>
      </c>
      <c r="S1003" s="68">
        <f>_xlfn.CEILING.MATH(Devis[[#This Row],[Quantité Totale]],Devis[[#This Row],[Conditionnement]])</f>
        <v>0</v>
      </c>
      <c r="T1003" s="97"/>
      <c r="U1003" s="73"/>
      <c r="V1003" s="74">
        <f>Devis[[#This Row],[Prix de Revient]]*Devis[[#This Row],[Poste 1]]</f>
        <v>0</v>
      </c>
      <c r="W1003" s="74">
        <f>Devis[[#This Row],[Prix de Revient]]*Devis[[#This Row],[Poste 2]]</f>
        <v>0</v>
      </c>
      <c r="X1003" s="74">
        <f>Devis[[#This Row],[Prix de Revient]]*Devis[[#This Row],[Poste 3]]</f>
        <v>0</v>
      </c>
      <c r="Y1003" s="74">
        <f>Devis[[#This Row],[Poste 4]]*Devis[[#This Row],[Prix de Revient]]</f>
        <v>0</v>
      </c>
      <c r="Z1003" s="74">
        <f>Devis[[#This Row],[Poste 5]]*Devis[[#This Row],[Prix de Revient]]</f>
        <v>0</v>
      </c>
      <c r="AA1003" s="74">
        <f>Devis[[#This Row],[Prix de Revient]]*Devis[[#This Row],[Poste 6]]</f>
        <v>0</v>
      </c>
      <c r="AB1003" s="74">
        <f>Devis[[#This Row],[Quantité Totale]]*Devis[[#This Row],[Prix de Revient]]</f>
        <v>0</v>
      </c>
    </row>
    <row r="1004" spans="1:28" ht="14.25" outlineLevel="1" x14ac:dyDescent="0.2">
      <c r="A1004" s="75" t="s">
        <v>356</v>
      </c>
      <c r="B1004" s="76" t="s">
        <v>5124</v>
      </c>
      <c r="C1004" s="75" t="s">
        <v>23</v>
      </c>
      <c r="D1004" s="81" t="str">
        <f t="shared" si="17"/>
        <v>FixationTube ItalienColliers</v>
      </c>
      <c r="E1004" s="75" t="s">
        <v>3459</v>
      </c>
      <c r="F1004" s="81">
        <v>8</v>
      </c>
      <c r="G1004" s="71" t="s">
        <v>466</v>
      </c>
      <c r="H1004" s="71" t="s">
        <v>459</v>
      </c>
      <c r="I1004" s="71">
        <v>156212304</v>
      </c>
      <c r="J1004" s="70">
        <f>IFERROR(VLOOKUP(Devis[[#This Row],[Ref Air Flux]],#REF!,3,FALSE),0)</f>
        <v>0</v>
      </c>
      <c r="K1004" s="68"/>
      <c r="L1004" s="68"/>
      <c r="M1004" s="68"/>
      <c r="N1004" s="68"/>
      <c r="O1004" s="68"/>
      <c r="P1004" s="68"/>
      <c r="Q1004" s="68">
        <f>SUM(Devis[[#This Row],[Poste 1]:[Poste 6]])</f>
        <v>0</v>
      </c>
      <c r="R1004" s="71">
        <v>20</v>
      </c>
      <c r="S1004" s="68">
        <f>_xlfn.CEILING.MATH(Devis[[#This Row],[Quantité Totale]],Devis[[#This Row],[Conditionnement]])</f>
        <v>0</v>
      </c>
      <c r="T1004" s="97"/>
      <c r="U1004" s="73"/>
      <c r="V1004" s="74">
        <f>Devis[[#This Row],[Prix de Revient]]*Devis[[#This Row],[Poste 1]]</f>
        <v>0</v>
      </c>
      <c r="W1004" s="74">
        <f>Devis[[#This Row],[Prix de Revient]]*Devis[[#This Row],[Poste 2]]</f>
        <v>0</v>
      </c>
      <c r="X1004" s="74">
        <f>Devis[[#This Row],[Prix de Revient]]*Devis[[#This Row],[Poste 3]]</f>
        <v>0</v>
      </c>
      <c r="Y1004" s="74">
        <f>Devis[[#This Row],[Poste 4]]*Devis[[#This Row],[Prix de Revient]]</f>
        <v>0</v>
      </c>
      <c r="Z1004" s="74">
        <f>Devis[[#This Row],[Poste 5]]*Devis[[#This Row],[Prix de Revient]]</f>
        <v>0</v>
      </c>
      <c r="AA1004" s="74">
        <f>Devis[[#This Row],[Prix de Revient]]*Devis[[#This Row],[Poste 6]]</f>
        <v>0</v>
      </c>
      <c r="AB1004" s="74">
        <f>Devis[[#This Row],[Quantité Totale]]*Devis[[#This Row],[Prix de Revient]]</f>
        <v>0</v>
      </c>
    </row>
    <row r="1005" spans="1:28" ht="14.25" outlineLevel="1" x14ac:dyDescent="0.2">
      <c r="A1005" s="75" t="s">
        <v>356</v>
      </c>
      <c r="B1005" s="76" t="s">
        <v>5124</v>
      </c>
      <c r="C1005" s="75" t="s">
        <v>23</v>
      </c>
      <c r="D1005" s="81" t="str">
        <f t="shared" si="17"/>
        <v>FixationTube ItalienColliers</v>
      </c>
      <c r="E1005" s="75" t="s">
        <v>3460</v>
      </c>
      <c r="F1005" s="81">
        <v>9</v>
      </c>
      <c r="G1005" s="71" t="s">
        <v>467</v>
      </c>
      <c r="H1005" s="71" t="s">
        <v>459</v>
      </c>
      <c r="I1005" s="71">
        <v>156300304</v>
      </c>
      <c r="J1005" s="70">
        <f>IFERROR(VLOOKUP(Devis[[#This Row],[Ref Air Flux]],#REF!,3,FALSE),0)</f>
        <v>0</v>
      </c>
      <c r="K1005" s="68"/>
      <c r="L1005" s="68"/>
      <c r="M1005" s="68"/>
      <c r="N1005" s="68"/>
      <c r="O1005" s="68"/>
      <c r="P1005" s="68"/>
      <c r="Q1005" s="68">
        <f>SUM(Devis[[#This Row],[Poste 1]:[Poste 6]])</f>
        <v>0</v>
      </c>
      <c r="R1005" s="71">
        <v>20</v>
      </c>
      <c r="S1005" s="68">
        <f>_xlfn.CEILING.MATH(Devis[[#This Row],[Quantité Totale]],Devis[[#This Row],[Conditionnement]])</f>
        <v>0</v>
      </c>
      <c r="T1005" s="97"/>
      <c r="U1005" s="73"/>
      <c r="V1005" s="74">
        <f>Devis[[#This Row],[Prix de Revient]]*Devis[[#This Row],[Poste 1]]</f>
        <v>0</v>
      </c>
      <c r="W1005" s="74">
        <f>Devis[[#This Row],[Prix de Revient]]*Devis[[#This Row],[Poste 2]]</f>
        <v>0</v>
      </c>
      <c r="X1005" s="74">
        <f>Devis[[#This Row],[Prix de Revient]]*Devis[[#This Row],[Poste 3]]</f>
        <v>0</v>
      </c>
      <c r="Y1005" s="74">
        <f>Devis[[#This Row],[Poste 4]]*Devis[[#This Row],[Prix de Revient]]</f>
        <v>0</v>
      </c>
      <c r="Z1005" s="74">
        <f>Devis[[#This Row],[Poste 5]]*Devis[[#This Row],[Prix de Revient]]</f>
        <v>0</v>
      </c>
      <c r="AA1005" s="74">
        <f>Devis[[#This Row],[Prix de Revient]]*Devis[[#This Row],[Poste 6]]</f>
        <v>0</v>
      </c>
      <c r="AB1005" s="74">
        <f>Devis[[#This Row],[Quantité Totale]]*Devis[[#This Row],[Prix de Revient]]</f>
        <v>0</v>
      </c>
    </row>
    <row r="1006" spans="1:28" ht="14.25" customHeight="1" outlineLevel="1" x14ac:dyDescent="0.2">
      <c r="A1006" s="75" t="s">
        <v>356</v>
      </c>
      <c r="B1006" s="76" t="s">
        <v>5124</v>
      </c>
      <c r="C1006" s="75" t="s">
        <v>23</v>
      </c>
      <c r="D1006" s="81" t="str">
        <f t="shared" si="17"/>
        <v>FixationTube ItalienColliers</v>
      </c>
      <c r="E1006" s="75" t="s">
        <v>3461</v>
      </c>
      <c r="F1006" s="81">
        <v>10</v>
      </c>
      <c r="G1006" s="71" t="s">
        <v>468</v>
      </c>
      <c r="H1006" s="71" t="s">
        <v>459</v>
      </c>
      <c r="I1006" s="71">
        <v>156108304</v>
      </c>
      <c r="J1006" s="70">
        <f>IFERROR(VLOOKUP(Devis[[#This Row],[Ref Air Flux]],#REF!,3,FALSE),0)</f>
        <v>0</v>
      </c>
      <c r="K1006" s="68"/>
      <c r="L1006" s="68"/>
      <c r="M1006" s="68"/>
      <c r="N1006" s="68"/>
      <c r="O1006" s="68"/>
      <c r="P1006" s="68"/>
      <c r="Q1006" s="68">
        <f>SUM(Devis[[#This Row],[Poste 1]:[Poste 6]])</f>
        <v>0</v>
      </c>
      <c r="R1006" s="71">
        <v>20</v>
      </c>
      <c r="S1006" s="68">
        <f>_xlfn.CEILING.MATH(Devis[[#This Row],[Quantité Totale]],Devis[[#This Row],[Conditionnement]])</f>
        <v>0</v>
      </c>
      <c r="T1006" s="97"/>
      <c r="U1006" s="73"/>
      <c r="V1006" s="74">
        <f>Devis[[#This Row],[Prix de Revient]]*Devis[[#This Row],[Poste 1]]</f>
        <v>0</v>
      </c>
      <c r="W1006" s="74">
        <f>Devis[[#This Row],[Prix de Revient]]*Devis[[#This Row],[Poste 2]]</f>
        <v>0</v>
      </c>
      <c r="X1006" s="74">
        <f>Devis[[#This Row],[Prix de Revient]]*Devis[[#This Row],[Poste 3]]</f>
        <v>0</v>
      </c>
      <c r="Y1006" s="74">
        <f>Devis[[#This Row],[Poste 4]]*Devis[[#This Row],[Prix de Revient]]</f>
        <v>0</v>
      </c>
      <c r="Z1006" s="74">
        <f>Devis[[#This Row],[Poste 5]]*Devis[[#This Row],[Prix de Revient]]</f>
        <v>0</v>
      </c>
      <c r="AA1006" s="74">
        <f>Devis[[#This Row],[Prix de Revient]]*Devis[[#This Row],[Poste 6]]</f>
        <v>0</v>
      </c>
      <c r="AB1006" s="74">
        <f>Devis[[#This Row],[Quantité Totale]]*Devis[[#This Row],[Prix de Revient]]</f>
        <v>0</v>
      </c>
    </row>
    <row r="1007" spans="1:28" ht="14.25" outlineLevel="1" x14ac:dyDescent="0.2">
      <c r="A1007" s="75" t="s">
        <v>356</v>
      </c>
      <c r="B1007" s="76" t="s">
        <v>5124</v>
      </c>
      <c r="C1007" s="75" t="s">
        <v>5125</v>
      </c>
      <c r="D1007" s="81" t="str">
        <f t="shared" si="17"/>
        <v>FixationTube ItalienColliers ISO</v>
      </c>
      <c r="E1007" s="75" t="s">
        <v>3462</v>
      </c>
      <c r="F1007" s="81">
        <v>11</v>
      </c>
      <c r="G1007" s="71" t="s">
        <v>469</v>
      </c>
      <c r="H1007" s="71" t="s">
        <v>459</v>
      </c>
      <c r="I1007" s="71" t="s">
        <v>470</v>
      </c>
      <c r="J1007" s="70">
        <f>IFERROR(VLOOKUP(Devis[[#This Row],[Ref Air Flux]],#REF!,3,FALSE),0)</f>
        <v>0</v>
      </c>
      <c r="K1007" s="68"/>
      <c r="L1007" s="68"/>
      <c r="M1007" s="68"/>
      <c r="N1007" s="68"/>
      <c r="O1007" s="68"/>
      <c r="P1007" s="68"/>
      <c r="Q1007" s="68">
        <f>SUM(Devis[[#This Row],[Poste 1]:[Poste 6]])</f>
        <v>0</v>
      </c>
      <c r="R1007" s="71">
        <v>50</v>
      </c>
      <c r="S1007" s="68">
        <f>_xlfn.CEILING.MATH(Devis[[#This Row],[Quantité Totale]],Devis[[#This Row],[Conditionnement]])</f>
        <v>0</v>
      </c>
      <c r="T1007" s="97"/>
      <c r="U1007" s="73"/>
      <c r="V1007" s="74">
        <f>Devis[[#This Row],[Prix de Revient]]*Devis[[#This Row],[Poste 1]]</f>
        <v>0</v>
      </c>
      <c r="W1007" s="74">
        <f>Devis[[#This Row],[Prix de Revient]]*Devis[[#This Row],[Poste 2]]</f>
        <v>0</v>
      </c>
      <c r="X1007" s="74">
        <f>Devis[[#This Row],[Prix de Revient]]*Devis[[#This Row],[Poste 3]]</f>
        <v>0</v>
      </c>
      <c r="Y1007" s="74">
        <f>Devis[[#This Row],[Poste 4]]*Devis[[#This Row],[Prix de Revient]]</f>
        <v>0</v>
      </c>
      <c r="Z1007" s="74">
        <f>Devis[[#This Row],[Poste 5]]*Devis[[#This Row],[Prix de Revient]]</f>
        <v>0</v>
      </c>
      <c r="AA1007" s="74">
        <f>Devis[[#This Row],[Prix de Revient]]*Devis[[#This Row],[Poste 6]]</f>
        <v>0</v>
      </c>
      <c r="AB1007" s="74">
        <f>Devis[[#This Row],[Quantité Totale]]*Devis[[#This Row],[Prix de Revient]]</f>
        <v>0</v>
      </c>
    </row>
    <row r="1008" spans="1:28" ht="14.25" outlineLevel="1" x14ac:dyDescent="0.2">
      <c r="A1008" s="75" t="s">
        <v>356</v>
      </c>
      <c r="B1008" s="76" t="s">
        <v>5124</v>
      </c>
      <c r="C1008" s="75" t="s">
        <v>5125</v>
      </c>
      <c r="D1008" s="81" t="str">
        <f t="shared" si="17"/>
        <v>FixationTube ItalienColliers ISO</v>
      </c>
      <c r="E1008" s="75" t="s">
        <v>3463</v>
      </c>
      <c r="F1008" s="81">
        <v>12</v>
      </c>
      <c r="G1008" s="71" t="s">
        <v>471</v>
      </c>
      <c r="H1008" s="71" t="s">
        <v>459</v>
      </c>
      <c r="I1008" s="71" t="s">
        <v>472</v>
      </c>
      <c r="J1008" s="70">
        <f>IFERROR(VLOOKUP(Devis[[#This Row],[Ref Air Flux]],#REF!,3,FALSE),0)</f>
        <v>0</v>
      </c>
      <c r="K1008" s="68"/>
      <c r="L1008" s="68"/>
      <c r="M1008" s="68"/>
      <c r="N1008" s="68"/>
      <c r="O1008" s="68"/>
      <c r="P1008" s="68"/>
      <c r="Q1008" s="68">
        <f>SUM(Devis[[#This Row],[Poste 1]:[Poste 6]])</f>
        <v>0</v>
      </c>
      <c r="R1008" s="71">
        <v>50</v>
      </c>
      <c r="S1008" s="68">
        <f>_xlfn.CEILING.MATH(Devis[[#This Row],[Quantité Totale]],Devis[[#This Row],[Conditionnement]])</f>
        <v>0</v>
      </c>
      <c r="T1008" s="97"/>
      <c r="U1008" s="73"/>
      <c r="V1008" s="74">
        <f>Devis[[#This Row],[Prix de Revient]]*Devis[[#This Row],[Poste 1]]</f>
        <v>0</v>
      </c>
      <c r="W1008" s="74">
        <f>Devis[[#This Row],[Prix de Revient]]*Devis[[#This Row],[Poste 2]]</f>
        <v>0</v>
      </c>
      <c r="X1008" s="74">
        <f>Devis[[#This Row],[Prix de Revient]]*Devis[[#This Row],[Poste 3]]</f>
        <v>0</v>
      </c>
      <c r="Y1008" s="74">
        <f>Devis[[#This Row],[Poste 4]]*Devis[[#This Row],[Prix de Revient]]</f>
        <v>0</v>
      </c>
      <c r="Z1008" s="74">
        <f>Devis[[#This Row],[Poste 5]]*Devis[[#This Row],[Prix de Revient]]</f>
        <v>0</v>
      </c>
      <c r="AA1008" s="74">
        <f>Devis[[#This Row],[Prix de Revient]]*Devis[[#This Row],[Poste 6]]</f>
        <v>0</v>
      </c>
      <c r="AB1008" s="74">
        <f>Devis[[#This Row],[Quantité Totale]]*Devis[[#This Row],[Prix de Revient]]</f>
        <v>0</v>
      </c>
    </row>
    <row r="1009" spans="1:28" ht="14.25" outlineLevel="1" x14ac:dyDescent="0.2">
      <c r="A1009" s="75" t="s">
        <v>356</v>
      </c>
      <c r="B1009" s="76" t="s">
        <v>5124</v>
      </c>
      <c r="C1009" s="75" t="s">
        <v>5125</v>
      </c>
      <c r="D1009" s="81" t="str">
        <f t="shared" si="17"/>
        <v>FixationTube ItalienColliers ISO</v>
      </c>
      <c r="E1009" s="75" t="s">
        <v>3464</v>
      </c>
      <c r="F1009" s="81">
        <v>13</v>
      </c>
      <c r="G1009" s="71" t="s">
        <v>473</v>
      </c>
      <c r="H1009" s="71" t="s">
        <v>459</v>
      </c>
      <c r="I1009" s="71" t="s">
        <v>474</v>
      </c>
      <c r="J1009" s="70">
        <f>IFERROR(VLOOKUP(Devis[[#This Row],[Ref Air Flux]],#REF!,3,FALSE),0)</f>
        <v>0</v>
      </c>
      <c r="K1009" s="68"/>
      <c r="L1009" s="68"/>
      <c r="M1009" s="68"/>
      <c r="N1009" s="68"/>
      <c r="O1009" s="68"/>
      <c r="P1009" s="68"/>
      <c r="Q1009" s="68">
        <f>SUM(Devis[[#This Row],[Poste 1]:[Poste 6]])</f>
        <v>0</v>
      </c>
      <c r="R1009" s="71">
        <v>50</v>
      </c>
      <c r="S1009" s="68">
        <f>_xlfn.CEILING.MATH(Devis[[#This Row],[Quantité Totale]],Devis[[#This Row],[Conditionnement]])</f>
        <v>0</v>
      </c>
      <c r="T1009" s="97"/>
      <c r="U1009" s="73"/>
      <c r="V1009" s="74">
        <f>Devis[[#This Row],[Prix de Revient]]*Devis[[#This Row],[Poste 1]]</f>
        <v>0</v>
      </c>
      <c r="W1009" s="74">
        <f>Devis[[#This Row],[Prix de Revient]]*Devis[[#This Row],[Poste 2]]</f>
        <v>0</v>
      </c>
      <c r="X1009" s="74">
        <f>Devis[[#This Row],[Prix de Revient]]*Devis[[#This Row],[Poste 3]]</f>
        <v>0</v>
      </c>
      <c r="Y1009" s="74">
        <f>Devis[[#This Row],[Poste 4]]*Devis[[#This Row],[Prix de Revient]]</f>
        <v>0</v>
      </c>
      <c r="Z1009" s="74">
        <f>Devis[[#This Row],[Poste 5]]*Devis[[#This Row],[Prix de Revient]]</f>
        <v>0</v>
      </c>
      <c r="AA1009" s="74">
        <f>Devis[[#This Row],[Prix de Revient]]*Devis[[#This Row],[Poste 6]]</f>
        <v>0</v>
      </c>
      <c r="AB1009" s="74">
        <f>Devis[[#This Row],[Quantité Totale]]*Devis[[#This Row],[Prix de Revient]]</f>
        <v>0</v>
      </c>
    </row>
    <row r="1010" spans="1:28" ht="14.25" outlineLevel="1" x14ac:dyDescent="0.2">
      <c r="A1010" s="75" t="s">
        <v>356</v>
      </c>
      <c r="B1010" s="76" t="s">
        <v>5124</v>
      </c>
      <c r="C1010" s="75" t="s">
        <v>5125</v>
      </c>
      <c r="D1010" s="81" t="str">
        <f t="shared" si="17"/>
        <v>FixationTube ItalienColliers ISO</v>
      </c>
      <c r="E1010" s="75" t="s">
        <v>3465</v>
      </c>
      <c r="F1010" s="81">
        <v>14</v>
      </c>
      <c r="G1010" s="71" t="s">
        <v>475</v>
      </c>
      <c r="H1010" s="71" t="s">
        <v>459</v>
      </c>
      <c r="I1010" s="71" t="s">
        <v>476</v>
      </c>
      <c r="J1010" s="70">
        <f>IFERROR(VLOOKUP(Devis[[#This Row],[Ref Air Flux]],#REF!,3,FALSE),0)</f>
        <v>0</v>
      </c>
      <c r="K1010" s="68"/>
      <c r="L1010" s="68"/>
      <c r="M1010" s="68"/>
      <c r="N1010" s="68"/>
      <c r="O1010" s="68"/>
      <c r="P1010" s="68"/>
      <c r="Q1010" s="68">
        <f>SUM(Devis[[#This Row],[Poste 1]:[Poste 6]])</f>
        <v>0</v>
      </c>
      <c r="R1010" s="71">
        <v>50</v>
      </c>
      <c r="S1010" s="68">
        <f>_xlfn.CEILING.MATH(Devis[[#This Row],[Quantité Totale]],Devis[[#This Row],[Conditionnement]])</f>
        <v>0</v>
      </c>
      <c r="T1010" s="97"/>
      <c r="U1010" s="73"/>
      <c r="V1010" s="74">
        <f>Devis[[#This Row],[Prix de Revient]]*Devis[[#This Row],[Poste 1]]</f>
        <v>0</v>
      </c>
      <c r="W1010" s="74">
        <f>Devis[[#This Row],[Prix de Revient]]*Devis[[#This Row],[Poste 2]]</f>
        <v>0</v>
      </c>
      <c r="X1010" s="74">
        <f>Devis[[#This Row],[Prix de Revient]]*Devis[[#This Row],[Poste 3]]</f>
        <v>0</v>
      </c>
      <c r="Y1010" s="74">
        <f>Devis[[#This Row],[Poste 4]]*Devis[[#This Row],[Prix de Revient]]</f>
        <v>0</v>
      </c>
      <c r="Z1010" s="74">
        <f>Devis[[#This Row],[Poste 5]]*Devis[[#This Row],[Prix de Revient]]</f>
        <v>0</v>
      </c>
      <c r="AA1010" s="74">
        <f>Devis[[#This Row],[Prix de Revient]]*Devis[[#This Row],[Poste 6]]</f>
        <v>0</v>
      </c>
      <c r="AB1010" s="74">
        <f>Devis[[#This Row],[Quantité Totale]]*Devis[[#This Row],[Prix de Revient]]</f>
        <v>0</v>
      </c>
    </row>
    <row r="1011" spans="1:28" ht="15" customHeight="1" outlineLevel="1" x14ac:dyDescent="0.2">
      <c r="A1011" s="75" t="s">
        <v>356</v>
      </c>
      <c r="B1011" s="76" t="s">
        <v>5124</v>
      </c>
      <c r="C1011" s="75" t="s">
        <v>5125</v>
      </c>
      <c r="D1011" s="81" t="str">
        <f t="shared" si="17"/>
        <v>FixationTube ItalienColliers ISO</v>
      </c>
      <c r="E1011" s="75" t="s">
        <v>3466</v>
      </c>
      <c r="F1011" s="81">
        <v>15</v>
      </c>
      <c r="G1011" s="71" t="s">
        <v>477</v>
      </c>
      <c r="H1011" s="71" t="s">
        <v>459</v>
      </c>
      <c r="I1011" s="71" t="s">
        <v>478</v>
      </c>
      <c r="J1011" s="70">
        <f>IFERROR(VLOOKUP(Devis[[#This Row],[Ref Air Flux]],#REF!,3,FALSE),0)</f>
        <v>0</v>
      </c>
      <c r="K1011" s="68"/>
      <c r="L1011" s="68"/>
      <c r="M1011" s="68"/>
      <c r="N1011" s="68"/>
      <c r="O1011" s="68"/>
      <c r="P1011" s="68"/>
      <c r="Q1011" s="68">
        <f>SUM(Devis[[#This Row],[Poste 1]:[Poste 6]])</f>
        <v>0</v>
      </c>
      <c r="R1011" s="71">
        <v>50</v>
      </c>
      <c r="S1011" s="68">
        <f>_xlfn.CEILING.MATH(Devis[[#This Row],[Quantité Totale]],Devis[[#This Row],[Conditionnement]])</f>
        <v>0</v>
      </c>
      <c r="T1011" s="97"/>
      <c r="U1011" s="73"/>
      <c r="V1011" s="74">
        <f>Devis[[#This Row],[Prix de Revient]]*Devis[[#This Row],[Poste 1]]</f>
        <v>0</v>
      </c>
      <c r="W1011" s="74">
        <f>Devis[[#This Row],[Prix de Revient]]*Devis[[#This Row],[Poste 2]]</f>
        <v>0</v>
      </c>
      <c r="X1011" s="74">
        <f>Devis[[#This Row],[Prix de Revient]]*Devis[[#This Row],[Poste 3]]</f>
        <v>0</v>
      </c>
      <c r="Y1011" s="74">
        <f>Devis[[#This Row],[Poste 4]]*Devis[[#This Row],[Prix de Revient]]</f>
        <v>0</v>
      </c>
      <c r="Z1011" s="74">
        <f>Devis[[#This Row],[Poste 5]]*Devis[[#This Row],[Prix de Revient]]</f>
        <v>0</v>
      </c>
      <c r="AA1011" s="74">
        <f>Devis[[#This Row],[Prix de Revient]]*Devis[[#This Row],[Poste 6]]</f>
        <v>0</v>
      </c>
      <c r="AB1011" s="74">
        <f>Devis[[#This Row],[Quantité Totale]]*Devis[[#This Row],[Prix de Revient]]</f>
        <v>0</v>
      </c>
    </row>
    <row r="1012" spans="1:28" ht="14.25" outlineLevel="1" x14ac:dyDescent="0.2">
      <c r="A1012" s="75" t="s">
        <v>356</v>
      </c>
      <c r="B1012" s="76" t="s">
        <v>5124</v>
      </c>
      <c r="C1012" s="75" t="s">
        <v>5125</v>
      </c>
      <c r="D1012" s="81" t="str">
        <f t="shared" si="17"/>
        <v>FixationTube ItalienColliers ISO</v>
      </c>
      <c r="E1012" s="75" t="s">
        <v>3467</v>
      </c>
      <c r="F1012" s="81">
        <v>16</v>
      </c>
      <c r="G1012" s="71" t="s">
        <v>479</v>
      </c>
      <c r="H1012" s="71" t="s">
        <v>459</v>
      </c>
      <c r="I1012" s="71" t="s">
        <v>480</v>
      </c>
      <c r="J1012" s="70">
        <f>IFERROR(VLOOKUP(Devis[[#This Row],[Ref Air Flux]],#REF!,3,FALSE),0)</f>
        <v>0</v>
      </c>
      <c r="K1012" s="68"/>
      <c r="L1012" s="68"/>
      <c r="M1012" s="68"/>
      <c r="N1012" s="68"/>
      <c r="O1012" s="68"/>
      <c r="P1012" s="68"/>
      <c r="Q1012" s="68">
        <f>SUM(Devis[[#This Row],[Poste 1]:[Poste 6]])</f>
        <v>0</v>
      </c>
      <c r="R1012" s="71">
        <v>50</v>
      </c>
      <c r="S1012" s="68">
        <f>_xlfn.CEILING.MATH(Devis[[#This Row],[Quantité Totale]],Devis[[#This Row],[Conditionnement]])</f>
        <v>0</v>
      </c>
      <c r="T1012" s="97"/>
      <c r="U1012" s="73"/>
      <c r="V1012" s="74">
        <f>Devis[[#This Row],[Prix de Revient]]*Devis[[#This Row],[Poste 1]]</f>
        <v>0</v>
      </c>
      <c r="W1012" s="74">
        <f>Devis[[#This Row],[Prix de Revient]]*Devis[[#This Row],[Poste 2]]</f>
        <v>0</v>
      </c>
      <c r="X1012" s="74">
        <f>Devis[[#This Row],[Prix de Revient]]*Devis[[#This Row],[Poste 3]]</f>
        <v>0</v>
      </c>
      <c r="Y1012" s="74">
        <f>Devis[[#This Row],[Poste 4]]*Devis[[#This Row],[Prix de Revient]]</f>
        <v>0</v>
      </c>
      <c r="Z1012" s="74">
        <f>Devis[[#This Row],[Poste 5]]*Devis[[#This Row],[Prix de Revient]]</f>
        <v>0</v>
      </c>
      <c r="AA1012" s="74">
        <f>Devis[[#This Row],[Prix de Revient]]*Devis[[#This Row],[Poste 6]]</f>
        <v>0</v>
      </c>
      <c r="AB1012" s="74">
        <f>Devis[[#This Row],[Quantité Totale]]*Devis[[#This Row],[Prix de Revient]]</f>
        <v>0</v>
      </c>
    </row>
    <row r="1013" spans="1:28" ht="15" customHeight="1" outlineLevel="1" x14ac:dyDescent="0.2">
      <c r="A1013" s="75" t="s">
        <v>356</v>
      </c>
      <c r="B1013" s="76" t="s">
        <v>5124</v>
      </c>
      <c r="C1013" s="75" t="s">
        <v>5125</v>
      </c>
      <c r="D1013" s="81" t="str">
        <f t="shared" si="17"/>
        <v>FixationTube ItalienColliers ISO</v>
      </c>
      <c r="E1013" s="75" t="s">
        <v>3468</v>
      </c>
      <c r="F1013" s="81">
        <v>17</v>
      </c>
      <c r="G1013" s="71" t="s">
        <v>481</v>
      </c>
      <c r="H1013" s="71" t="s">
        <v>459</v>
      </c>
      <c r="I1013" s="71" t="s">
        <v>482</v>
      </c>
      <c r="J1013" s="70">
        <f>IFERROR(VLOOKUP(Devis[[#This Row],[Ref Air Flux]],#REF!,3,FALSE),0)</f>
        <v>0</v>
      </c>
      <c r="K1013" s="68"/>
      <c r="L1013" s="68"/>
      <c r="M1013" s="68"/>
      <c r="N1013" s="68"/>
      <c r="O1013" s="68"/>
      <c r="P1013" s="68"/>
      <c r="Q1013" s="68">
        <f>SUM(Devis[[#This Row],[Poste 1]:[Poste 6]])</f>
        <v>0</v>
      </c>
      <c r="R1013" s="71">
        <v>50</v>
      </c>
      <c r="S1013" s="68">
        <f>_xlfn.CEILING.MATH(Devis[[#This Row],[Quantité Totale]],Devis[[#This Row],[Conditionnement]])</f>
        <v>0</v>
      </c>
      <c r="T1013" s="97"/>
      <c r="U1013" s="73"/>
      <c r="V1013" s="74">
        <f>Devis[[#This Row],[Prix de Revient]]*Devis[[#This Row],[Poste 1]]</f>
        <v>0</v>
      </c>
      <c r="W1013" s="74">
        <f>Devis[[#This Row],[Prix de Revient]]*Devis[[#This Row],[Poste 2]]</f>
        <v>0</v>
      </c>
      <c r="X1013" s="74">
        <f>Devis[[#This Row],[Prix de Revient]]*Devis[[#This Row],[Poste 3]]</f>
        <v>0</v>
      </c>
      <c r="Y1013" s="74">
        <f>Devis[[#This Row],[Poste 4]]*Devis[[#This Row],[Prix de Revient]]</f>
        <v>0</v>
      </c>
      <c r="Z1013" s="74">
        <f>Devis[[#This Row],[Poste 5]]*Devis[[#This Row],[Prix de Revient]]</f>
        <v>0</v>
      </c>
      <c r="AA1013" s="74">
        <f>Devis[[#This Row],[Prix de Revient]]*Devis[[#This Row],[Poste 6]]</f>
        <v>0</v>
      </c>
      <c r="AB1013" s="74">
        <f>Devis[[#This Row],[Quantité Totale]]*Devis[[#This Row],[Prix de Revient]]</f>
        <v>0</v>
      </c>
    </row>
    <row r="1014" spans="1:28" ht="14.25" outlineLevel="1" x14ac:dyDescent="0.2">
      <c r="A1014" s="75" t="s">
        <v>356</v>
      </c>
      <c r="B1014" s="76" t="s">
        <v>5124</v>
      </c>
      <c r="C1014" s="75" t="s">
        <v>5125</v>
      </c>
      <c r="D1014" s="81" t="str">
        <f t="shared" si="17"/>
        <v>FixationTube ItalienColliers ISO</v>
      </c>
      <c r="E1014" s="75" t="s">
        <v>3469</v>
      </c>
      <c r="F1014" s="81">
        <v>18</v>
      </c>
      <c r="G1014" s="71" t="s">
        <v>483</v>
      </c>
      <c r="H1014" s="71" t="s">
        <v>459</v>
      </c>
      <c r="I1014" s="71" t="s">
        <v>484</v>
      </c>
      <c r="J1014" s="70">
        <f>IFERROR(VLOOKUP(Devis[[#This Row],[Ref Air Flux]],#REF!,3,FALSE),0)</f>
        <v>0</v>
      </c>
      <c r="K1014" s="68"/>
      <c r="L1014" s="68"/>
      <c r="M1014" s="68"/>
      <c r="N1014" s="68"/>
      <c r="O1014" s="68"/>
      <c r="P1014" s="68"/>
      <c r="Q1014" s="68">
        <f>SUM(Devis[[#This Row],[Poste 1]:[Poste 6]])</f>
        <v>0</v>
      </c>
      <c r="R1014" s="71">
        <v>50</v>
      </c>
      <c r="S1014" s="68">
        <f>_xlfn.CEILING.MATH(Devis[[#This Row],[Quantité Totale]],Devis[[#This Row],[Conditionnement]])</f>
        <v>0</v>
      </c>
      <c r="T1014" s="97"/>
      <c r="U1014" s="73"/>
      <c r="V1014" s="74">
        <f>Devis[[#This Row],[Prix de Revient]]*Devis[[#This Row],[Poste 1]]</f>
        <v>0</v>
      </c>
      <c r="W1014" s="74">
        <f>Devis[[#This Row],[Prix de Revient]]*Devis[[#This Row],[Poste 2]]</f>
        <v>0</v>
      </c>
      <c r="X1014" s="74">
        <f>Devis[[#This Row],[Prix de Revient]]*Devis[[#This Row],[Poste 3]]</f>
        <v>0</v>
      </c>
      <c r="Y1014" s="74">
        <f>Devis[[#This Row],[Poste 4]]*Devis[[#This Row],[Prix de Revient]]</f>
        <v>0</v>
      </c>
      <c r="Z1014" s="74">
        <f>Devis[[#This Row],[Poste 5]]*Devis[[#This Row],[Prix de Revient]]</f>
        <v>0</v>
      </c>
      <c r="AA1014" s="74">
        <f>Devis[[#This Row],[Prix de Revient]]*Devis[[#This Row],[Poste 6]]</f>
        <v>0</v>
      </c>
      <c r="AB1014" s="74">
        <f>Devis[[#This Row],[Quantité Totale]]*Devis[[#This Row],[Prix de Revient]]</f>
        <v>0</v>
      </c>
    </row>
    <row r="1015" spans="1:28" ht="14.25" outlineLevel="1" x14ac:dyDescent="0.2">
      <c r="A1015" s="75" t="s">
        <v>356</v>
      </c>
      <c r="B1015" s="76" t="s">
        <v>5124</v>
      </c>
      <c r="C1015" s="75" t="s">
        <v>5125</v>
      </c>
      <c r="D1015" s="81" t="str">
        <f t="shared" si="17"/>
        <v>FixationTube ItalienColliers ISO</v>
      </c>
      <c r="E1015" s="75" t="s">
        <v>3470</v>
      </c>
      <c r="F1015" s="81">
        <v>19</v>
      </c>
      <c r="G1015" s="71" t="s">
        <v>485</v>
      </c>
      <c r="H1015" s="71" t="s">
        <v>459</v>
      </c>
      <c r="I1015" s="71" t="s">
        <v>486</v>
      </c>
      <c r="J1015" s="70">
        <f>IFERROR(VLOOKUP(Devis[[#This Row],[Ref Air Flux]],#REF!,3,FALSE),0)</f>
        <v>0</v>
      </c>
      <c r="K1015" s="68"/>
      <c r="L1015" s="68"/>
      <c r="M1015" s="68"/>
      <c r="N1015" s="68"/>
      <c r="O1015" s="68"/>
      <c r="P1015" s="68"/>
      <c r="Q1015" s="68">
        <f>SUM(Devis[[#This Row],[Poste 1]:[Poste 6]])</f>
        <v>0</v>
      </c>
      <c r="R1015" s="71">
        <v>10</v>
      </c>
      <c r="S1015" s="68">
        <f>_xlfn.CEILING.MATH(Devis[[#This Row],[Quantité Totale]],Devis[[#This Row],[Conditionnement]])</f>
        <v>0</v>
      </c>
      <c r="T1015" s="97"/>
      <c r="U1015" s="73"/>
      <c r="V1015" s="74">
        <f>Devis[[#This Row],[Prix de Revient]]*Devis[[#This Row],[Poste 1]]</f>
        <v>0</v>
      </c>
      <c r="W1015" s="74">
        <f>Devis[[#This Row],[Prix de Revient]]*Devis[[#This Row],[Poste 2]]</f>
        <v>0</v>
      </c>
      <c r="X1015" s="74">
        <f>Devis[[#This Row],[Prix de Revient]]*Devis[[#This Row],[Poste 3]]</f>
        <v>0</v>
      </c>
      <c r="Y1015" s="74">
        <f>Devis[[#This Row],[Poste 4]]*Devis[[#This Row],[Prix de Revient]]</f>
        <v>0</v>
      </c>
      <c r="Z1015" s="74">
        <f>Devis[[#This Row],[Poste 5]]*Devis[[#This Row],[Prix de Revient]]</f>
        <v>0</v>
      </c>
      <c r="AA1015" s="74">
        <f>Devis[[#This Row],[Prix de Revient]]*Devis[[#This Row],[Poste 6]]</f>
        <v>0</v>
      </c>
      <c r="AB1015" s="74">
        <f>Devis[[#This Row],[Quantité Totale]]*Devis[[#This Row],[Prix de Revient]]</f>
        <v>0</v>
      </c>
    </row>
    <row r="1016" spans="1:28" ht="14.25" outlineLevel="1" x14ac:dyDescent="0.2">
      <c r="A1016" s="75" t="s">
        <v>356</v>
      </c>
      <c r="B1016" s="76" t="s">
        <v>5124</v>
      </c>
      <c r="C1016" s="75" t="s">
        <v>5125</v>
      </c>
      <c r="D1016" s="81" t="str">
        <f t="shared" si="17"/>
        <v>FixationTube ItalienColliers ISO</v>
      </c>
      <c r="E1016" s="75" t="s">
        <v>3471</v>
      </c>
      <c r="F1016" s="81">
        <v>20</v>
      </c>
      <c r="G1016" s="71" t="s">
        <v>487</v>
      </c>
      <c r="H1016" s="71" t="s">
        <v>459</v>
      </c>
      <c r="I1016" s="71" t="s">
        <v>488</v>
      </c>
      <c r="J1016" s="70">
        <f>IFERROR(VLOOKUP(Devis[[#This Row],[Ref Air Flux]],#REF!,3,FALSE),0)</f>
        <v>0</v>
      </c>
      <c r="K1016" s="68"/>
      <c r="L1016" s="68"/>
      <c r="M1016" s="68"/>
      <c r="N1016" s="68"/>
      <c r="O1016" s="68"/>
      <c r="P1016" s="68"/>
      <c r="Q1016" s="68">
        <f>SUM(Devis[[#This Row],[Poste 1]:[Poste 6]])</f>
        <v>0</v>
      </c>
      <c r="R1016" s="71">
        <v>10</v>
      </c>
      <c r="S1016" s="68">
        <f>_xlfn.CEILING.MATH(Devis[[#This Row],[Quantité Totale]],Devis[[#This Row],[Conditionnement]])</f>
        <v>0</v>
      </c>
      <c r="T1016" s="97"/>
      <c r="U1016" s="73" t="s">
        <v>3451</v>
      </c>
      <c r="V1016" s="74">
        <f>Devis[[#This Row],[Prix de Revient]]*Devis[[#This Row],[Poste 1]]</f>
        <v>0</v>
      </c>
      <c r="W1016" s="74">
        <f>Devis[[#This Row],[Prix de Revient]]*Devis[[#This Row],[Poste 2]]</f>
        <v>0</v>
      </c>
      <c r="X1016" s="74">
        <f>Devis[[#This Row],[Prix de Revient]]*Devis[[#This Row],[Poste 3]]</f>
        <v>0</v>
      </c>
      <c r="Y1016" s="74">
        <f>Devis[[#This Row],[Poste 4]]*Devis[[#This Row],[Prix de Revient]]</f>
        <v>0</v>
      </c>
      <c r="Z1016" s="74">
        <f>Devis[[#This Row],[Poste 5]]*Devis[[#This Row],[Prix de Revient]]</f>
        <v>0</v>
      </c>
      <c r="AA1016" s="74">
        <f>Devis[[#This Row],[Prix de Revient]]*Devis[[#This Row],[Poste 6]]</f>
        <v>0</v>
      </c>
      <c r="AB1016" s="74">
        <f>Devis[[#This Row],[Quantité Totale]]*Devis[[#This Row],[Prix de Revient]]</f>
        <v>0</v>
      </c>
    </row>
    <row r="1017" spans="1:28" ht="14.25" customHeight="1" x14ac:dyDescent="0.25">
      <c r="A1017" s="65" t="s">
        <v>356</v>
      </c>
      <c r="B1017" s="65" t="s">
        <v>3556</v>
      </c>
      <c r="C1017" s="76"/>
      <c r="D1017" s="81" t="str">
        <f t="shared" si="17"/>
        <v>FixationVis</v>
      </c>
      <c r="E1017" s="76"/>
      <c r="F1017" s="81">
        <v>0</v>
      </c>
      <c r="G1017" s="71"/>
      <c r="H1017" s="71"/>
      <c r="I1017" s="71"/>
      <c r="J1017" s="70">
        <f>IFERROR(VLOOKUP(Devis[[#This Row],[Ref Air Flux]],#REF!,3,FALSE),0)</f>
        <v>0</v>
      </c>
      <c r="K1017" s="68"/>
      <c r="L1017" s="68"/>
      <c r="M1017" s="68"/>
      <c r="N1017" s="68"/>
      <c r="O1017" s="68"/>
      <c r="P1017" s="68"/>
      <c r="Q1017" s="68">
        <f>SUM(Devis[[#This Row],[Poste 1]:[Poste 6]])</f>
        <v>0</v>
      </c>
      <c r="R1017" s="71"/>
      <c r="S1017" s="68">
        <f>_xlfn.CEILING.MATH(Devis[[#This Row],[Quantité Totale]],Devis[[#This Row],[Conditionnement]])</f>
        <v>0</v>
      </c>
      <c r="T1017" s="97"/>
      <c r="U1017" s="73"/>
      <c r="V1017" s="74">
        <f>Devis[[#This Row],[Prix de Revient]]*Devis[[#This Row],[Poste 1]]</f>
        <v>0</v>
      </c>
      <c r="W1017" s="74">
        <f>Devis[[#This Row],[Prix de Revient]]*Devis[[#This Row],[Poste 2]]</f>
        <v>0</v>
      </c>
      <c r="X1017" s="74">
        <f>Devis[[#This Row],[Prix de Revient]]*Devis[[#This Row],[Poste 3]]</f>
        <v>0</v>
      </c>
      <c r="Y1017" s="74">
        <f>Devis[[#This Row],[Poste 4]]*Devis[[#This Row],[Prix de Revient]]</f>
        <v>0</v>
      </c>
      <c r="Z1017" s="74">
        <f>Devis[[#This Row],[Poste 5]]*Devis[[#This Row],[Prix de Revient]]</f>
        <v>0</v>
      </c>
      <c r="AA1017" s="74">
        <f>Devis[[#This Row],[Prix de Revient]]*Devis[[#This Row],[Poste 6]]</f>
        <v>0</v>
      </c>
      <c r="AB1017" s="74">
        <f>Devis[[#This Row],[Quantité Totale]]*Devis[[#This Row],[Prix de Revient]]</f>
        <v>0</v>
      </c>
    </row>
    <row r="1018" spans="1:28" ht="14.25" customHeight="1" outlineLevel="1" x14ac:dyDescent="0.2">
      <c r="A1018" s="75" t="s">
        <v>356</v>
      </c>
      <c r="B1018" s="76" t="s">
        <v>3556</v>
      </c>
      <c r="C1018" s="75" t="s">
        <v>6446</v>
      </c>
      <c r="D1018" s="122" t="str">
        <f>A1018&amp;B1018&amp;C1018</f>
        <v>FixationVisCHC</v>
      </c>
      <c r="E1018" s="75" t="s">
        <v>6447</v>
      </c>
      <c r="F1018" s="76">
        <v>1</v>
      </c>
      <c r="G1018" s="71" t="s">
        <v>6448</v>
      </c>
      <c r="H1018" s="71"/>
      <c r="I1018" s="71"/>
      <c r="J1018" s="70">
        <f>IFERROR(VLOOKUP(Devis[[#This Row],[Ref Air Flux]],#REF!,3,FALSE),0)</f>
        <v>0</v>
      </c>
      <c r="K1018" s="68"/>
      <c r="L1018" s="68"/>
      <c r="M1018" s="68"/>
      <c r="N1018" s="68"/>
      <c r="O1018" s="68"/>
      <c r="P1018" s="68"/>
      <c r="Q1018" s="68">
        <f>SUM(Devis[[#This Row],[Poste 1]:[Poste 6]])</f>
        <v>0</v>
      </c>
      <c r="R1018" s="71"/>
      <c r="S1018" s="68">
        <f>_xlfn.CEILING.MATH(Devis[[#This Row],[Quantité Totale]],Devis[[#This Row],[Conditionnement]])</f>
        <v>0</v>
      </c>
      <c r="T1018" s="72"/>
      <c r="U1018" s="73"/>
      <c r="V1018" s="74">
        <f>Devis[[#This Row],[Prix de Revient]]*Devis[[#This Row],[Poste 1]]</f>
        <v>0</v>
      </c>
      <c r="W1018" s="74">
        <f>Devis[[#This Row],[Prix de Revient]]*Devis[[#This Row],[Poste 2]]</f>
        <v>0</v>
      </c>
      <c r="X1018" s="74">
        <f>Devis[[#This Row],[Prix de Revient]]*Devis[[#This Row],[Poste 3]]</f>
        <v>0</v>
      </c>
      <c r="Y1018" s="74">
        <f>Devis[[#This Row],[Poste 4]]*Devis[[#This Row],[Prix de Revient]]</f>
        <v>0</v>
      </c>
      <c r="Z1018" s="74">
        <f>Devis[[#This Row],[Poste 5]]*Devis[[#This Row],[Prix de Revient]]</f>
        <v>0</v>
      </c>
      <c r="AA1018" s="74">
        <f>Devis[[#This Row],[Prix de Revient]]*Devis[[#This Row],[Poste 6]]</f>
        <v>0</v>
      </c>
      <c r="AB1018" s="74">
        <f>Devis[[#This Row],[Quantité Totale]]*Devis[[#This Row],[Prix de Revient]]</f>
        <v>0</v>
      </c>
    </row>
    <row r="1019" spans="1:28" ht="14.25" outlineLevel="1" x14ac:dyDescent="0.2">
      <c r="A1019" s="75" t="s">
        <v>356</v>
      </c>
      <c r="B1019" s="76" t="s">
        <v>3556</v>
      </c>
      <c r="C1019" s="75" t="s">
        <v>6449</v>
      </c>
      <c r="D1019" s="81" t="str">
        <f t="shared" si="17"/>
        <v>FixationVisTH Hexagonales</v>
      </c>
      <c r="E1019" s="75" t="s">
        <v>5136</v>
      </c>
      <c r="F1019" s="81">
        <v>15</v>
      </c>
      <c r="G1019" s="71" t="s">
        <v>366</v>
      </c>
      <c r="H1019" s="71"/>
      <c r="I1019" s="71"/>
      <c r="J1019" s="70">
        <f>IFERROR(VLOOKUP(Devis[[#This Row],[Ref Air Flux]],#REF!,3,FALSE),0)</f>
        <v>0</v>
      </c>
      <c r="K1019" s="68"/>
      <c r="L1019" s="68"/>
      <c r="M1019" s="68"/>
      <c r="N1019" s="68"/>
      <c r="O1019" s="68"/>
      <c r="P1019" s="68"/>
      <c r="Q1019" s="68">
        <f>SUM(Devis[[#This Row],[Poste 1]:[Poste 6]])</f>
        <v>0</v>
      </c>
      <c r="R1019" s="71"/>
      <c r="S1019" s="68">
        <f>_xlfn.CEILING.MATH(Devis[[#This Row],[Quantité Totale]],Devis[[#This Row],[Conditionnement]])</f>
        <v>0</v>
      </c>
      <c r="T1019" s="72"/>
      <c r="U1019" s="96" t="s">
        <v>6517</v>
      </c>
      <c r="V1019" s="74">
        <f>Devis[[#This Row],[Prix de Revient]]*Devis[[#This Row],[Poste 1]]</f>
        <v>0</v>
      </c>
      <c r="W1019" s="74">
        <f>Devis[[#This Row],[Prix de Revient]]*Devis[[#This Row],[Poste 2]]</f>
        <v>0</v>
      </c>
      <c r="X1019" s="74">
        <f>Devis[[#This Row],[Prix de Revient]]*Devis[[#This Row],[Poste 3]]</f>
        <v>0</v>
      </c>
      <c r="Y1019" s="74">
        <f>Devis[[#This Row],[Poste 4]]*Devis[[#This Row],[Prix de Revient]]</f>
        <v>0</v>
      </c>
      <c r="Z1019" s="74">
        <f>Devis[[#This Row],[Poste 5]]*Devis[[#This Row],[Prix de Revient]]</f>
        <v>0</v>
      </c>
      <c r="AA1019" s="74">
        <f>Devis[[#This Row],[Prix de Revient]]*Devis[[#This Row],[Poste 6]]</f>
        <v>0</v>
      </c>
      <c r="AB1019" s="74">
        <f>Devis[[#This Row],[Quantité Totale]]*Devis[[#This Row],[Prix de Revient]]</f>
        <v>0</v>
      </c>
    </row>
    <row r="1020" spans="1:28" ht="14.25" outlineLevel="1" x14ac:dyDescent="0.2">
      <c r="A1020" s="75" t="s">
        <v>356</v>
      </c>
      <c r="B1020" s="76" t="s">
        <v>3556</v>
      </c>
      <c r="C1020" s="75" t="s">
        <v>6449</v>
      </c>
      <c r="D1020" s="81" t="str">
        <f t="shared" si="17"/>
        <v>FixationVisTH Hexagonales</v>
      </c>
      <c r="E1020" s="75" t="s">
        <v>615</v>
      </c>
      <c r="F1020" s="81">
        <v>3</v>
      </c>
      <c r="G1020" s="71" t="s">
        <v>617</v>
      </c>
      <c r="H1020" s="71"/>
      <c r="I1020" s="71"/>
      <c r="J1020" s="70">
        <f>IFERROR(VLOOKUP(Devis[[#This Row],[Ref Air Flux]],#REF!,3,FALSE),0)</f>
        <v>0</v>
      </c>
      <c r="K1020" s="68"/>
      <c r="L1020" s="68"/>
      <c r="M1020" s="68"/>
      <c r="N1020" s="68"/>
      <c r="O1020" s="68"/>
      <c r="P1020" s="68"/>
      <c r="Q1020" s="68">
        <f>SUM(Devis[[#This Row],[Poste 1]:[Poste 6]])</f>
        <v>0</v>
      </c>
      <c r="R1020" s="71"/>
      <c r="S1020" s="68">
        <f>_xlfn.CEILING.MATH(Devis[[#This Row],[Quantité Totale]],Devis[[#This Row],[Conditionnement]])</f>
        <v>0</v>
      </c>
      <c r="T1020" s="97"/>
      <c r="U1020" s="73"/>
      <c r="V1020" s="74">
        <f>Devis[[#This Row],[Prix de Revient]]*Devis[[#This Row],[Poste 1]]</f>
        <v>0</v>
      </c>
      <c r="W1020" s="74">
        <f>Devis[[#This Row],[Prix de Revient]]*Devis[[#This Row],[Poste 2]]</f>
        <v>0</v>
      </c>
      <c r="X1020" s="74">
        <f>Devis[[#This Row],[Prix de Revient]]*Devis[[#This Row],[Poste 3]]</f>
        <v>0</v>
      </c>
      <c r="Y1020" s="74">
        <f>Devis[[#This Row],[Poste 4]]*Devis[[#This Row],[Prix de Revient]]</f>
        <v>0</v>
      </c>
      <c r="Z1020" s="74">
        <f>Devis[[#This Row],[Poste 5]]*Devis[[#This Row],[Prix de Revient]]</f>
        <v>0</v>
      </c>
      <c r="AA1020" s="74">
        <f>Devis[[#This Row],[Prix de Revient]]*Devis[[#This Row],[Poste 6]]</f>
        <v>0</v>
      </c>
      <c r="AB1020" s="74">
        <f>Devis[[#This Row],[Quantité Totale]]*Devis[[#This Row],[Prix de Revient]]</f>
        <v>0</v>
      </c>
    </row>
    <row r="1021" spans="1:28" ht="14.25" outlineLevel="1" x14ac:dyDescent="0.2">
      <c r="A1021" s="75" t="s">
        <v>356</v>
      </c>
      <c r="B1021" s="76" t="s">
        <v>3556</v>
      </c>
      <c r="C1021" s="75" t="s">
        <v>6449</v>
      </c>
      <c r="D1021" s="81" t="str">
        <f t="shared" si="17"/>
        <v>FixationVisTH Hexagonales</v>
      </c>
      <c r="E1021" s="75" t="s">
        <v>616</v>
      </c>
      <c r="F1021" s="81">
        <v>4</v>
      </c>
      <c r="G1021" s="71" t="s">
        <v>618</v>
      </c>
      <c r="H1021" s="71"/>
      <c r="I1021" s="71"/>
      <c r="J1021" s="70">
        <f>IFERROR(VLOOKUP(Devis[[#This Row],[Ref Air Flux]],#REF!,3,FALSE),0)</f>
        <v>0</v>
      </c>
      <c r="K1021" s="68"/>
      <c r="L1021" s="68"/>
      <c r="M1021" s="68"/>
      <c r="N1021" s="68"/>
      <c r="O1021" s="68"/>
      <c r="P1021" s="68"/>
      <c r="Q1021" s="68">
        <f>SUM(Devis[[#This Row],[Poste 1]:[Poste 6]])</f>
        <v>0</v>
      </c>
      <c r="R1021" s="71"/>
      <c r="S1021" s="68">
        <f>_xlfn.CEILING.MATH(Devis[[#This Row],[Quantité Totale]],Devis[[#This Row],[Conditionnement]])</f>
        <v>0</v>
      </c>
      <c r="T1021" s="97"/>
      <c r="U1021" s="73"/>
      <c r="V1021" s="74">
        <f>Devis[[#This Row],[Prix de Revient]]*Devis[[#This Row],[Poste 1]]</f>
        <v>0</v>
      </c>
      <c r="W1021" s="74">
        <f>Devis[[#This Row],[Prix de Revient]]*Devis[[#This Row],[Poste 2]]</f>
        <v>0</v>
      </c>
      <c r="X1021" s="74">
        <f>Devis[[#This Row],[Prix de Revient]]*Devis[[#This Row],[Poste 3]]</f>
        <v>0</v>
      </c>
      <c r="Y1021" s="74">
        <f>Devis[[#This Row],[Poste 4]]*Devis[[#This Row],[Prix de Revient]]</f>
        <v>0</v>
      </c>
      <c r="Z1021" s="74">
        <f>Devis[[#This Row],[Poste 5]]*Devis[[#This Row],[Prix de Revient]]</f>
        <v>0</v>
      </c>
      <c r="AA1021" s="74">
        <f>Devis[[#This Row],[Prix de Revient]]*Devis[[#This Row],[Poste 6]]</f>
        <v>0</v>
      </c>
      <c r="AB1021" s="74">
        <f>Devis[[#This Row],[Quantité Totale]]*Devis[[#This Row],[Prix de Revient]]</f>
        <v>0</v>
      </c>
    </row>
    <row r="1022" spans="1:28" ht="14.25" customHeight="1" outlineLevel="1" x14ac:dyDescent="0.2">
      <c r="A1022" s="75" t="s">
        <v>356</v>
      </c>
      <c r="B1022" s="76" t="s">
        <v>3556</v>
      </c>
      <c r="C1022" s="75" t="s">
        <v>6446</v>
      </c>
      <c r="D1022" s="81" t="str">
        <f t="shared" si="17"/>
        <v>FixationVisCHC</v>
      </c>
      <c r="E1022" s="75" t="s">
        <v>6450</v>
      </c>
      <c r="F1022" s="81">
        <v>2</v>
      </c>
      <c r="G1022" s="71" t="s">
        <v>5137</v>
      </c>
      <c r="H1022" s="71"/>
      <c r="I1022" s="71"/>
      <c r="J1022" s="70">
        <f>IFERROR(VLOOKUP(Devis[[#This Row],[Ref Air Flux]],#REF!,3,FALSE),0)</f>
        <v>0</v>
      </c>
      <c r="K1022" s="68"/>
      <c r="L1022" s="68"/>
      <c r="M1022" s="68"/>
      <c r="N1022" s="68"/>
      <c r="O1022" s="68"/>
      <c r="P1022" s="68"/>
      <c r="Q1022" s="68">
        <f>SUM(Devis[[#This Row],[Poste 1]:[Poste 6]])</f>
        <v>0</v>
      </c>
      <c r="R1022" s="71"/>
      <c r="S1022" s="68">
        <f>_xlfn.CEILING.MATH(Devis[[#This Row],[Quantité Totale]],Devis[[#This Row],[Conditionnement]])</f>
        <v>0</v>
      </c>
      <c r="T1022" s="97"/>
      <c r="U1022" s="73"/>
      <c r="V1022" s="74">
        <f>Devis[[#This Row],[Prix de Revient]]*Devis[[#This Row],[Poste 1]]</f>
        <v>0</v>
      </c>
      <c r="W1022" s="74">
        <f>Devis[[#This Row],[Prix de Revient]]*Devis[[#This Row],[Poste 2]]</f>
        <v>0</v>
      </c>
      <c r="X1022" s="74">
        <f>Devis[[#This Row],[Prix de Revient]]*Devis[[#This Row],[Poste 3]]</f>
        <v>0</v>
      </c>
      <c r="Y1022" s="74">
        <f>Devis[[#This Row],[Poste 4]]*Devis[[#This Row],[Prix de Revient]]</f>
        <v>0</v>
      </c>
      <c r="Z1022" s="74">
        <f>Devis[[#This Row],[Poste 5]]*Devis[[#This Row],[Prix de Revient]]</f>
        <v>0</v>
      </c>
      <c r="AA1022" s="74">
        <f>Devis[[#This Row],[Prix de Revient]]*Devis[[#This Row],[Poste 6]]</f>
        <v>0</v>
      </c>
      <c r="AB1022" s="74">
        <f>Devis[[#This Row],[Quantité Totale]]*Devis[[#This Row],[Prix de Revient]]</f>
        <v>0</v>
      </c>
    </row>
    <row r="1023" spans="1:28" ht="14.25" customHeight="1" outlineLevel="1" x14ac:dyDescent="0.2">
      <c r="A1023" s="75" t="s">
        <v>356</v>
      </c>
      <c r="B1023" s="76" t="s">
        <v>3556</v>
      </c>
      <c r="C1023" s="75" t="s">
        <v>6449</v>
      </c>
      <c r="D1023" s="81" t="str">
        <f t="shared" ref="D1023:D1024" si="18">A1023&amp;B1023&amp;C1023</f>
        <v>FixationVisTH Hexagonales</v>
      </c>
      <c r="E1023" s="75" t="s">
        <v>6458</v>
      </c>
      <c r="F1023" s="76">
        <v>8</v>
      </c>
      <c r="G1023" s="164" t="s">
        <v>6451</v>
      </c>
      <c r="H1023" s="71"/>
      <c r="I1023" s="71"/>
      <c r="J1023" s="70">
        <f>IFERROR(VLOOKUP(Devis[[#This Row],[Ref Air Flux]],#REF!,3,FALSE),0)</f>
        <v>0</v>
      </c>
      <c r="K1023" s="68"/>
      <c r="L1023" s="68"/>
      <c r="M1023" s="68"/>
      <c r="N1023" s="68"/>
      <c r="O1023" s="68"/>
      <c r="P1023" s="68"/>
      <c r="Q1023" s="68">
        <f>SUM(Devis[[#This Row],[Poste 1]:[Poste 6]])</f>
        <v>0</v>
      </c>
      <c r="R1023" s="71"/>
      <c r="S1023" s="68">
        <f>_xlfn.CEILING.MATH(Devis[[#This Row],[Quantité Totale]],Devis[[#This Row],[Conditionnement]])</f>
        <v>0</v>
      </c>
      <c r="T1023" s="72"/>
      <c r="U1023" s="73"/>
      <c r="V1023" s="74">
        <f>Devis[[#This Row],[Prix de Revient]]*Devis[[#This Row],[Poste 1]]</f>
        <v>0</v>
      </c>
      <c r="W1023" s="74">
        <f>Devis[[#This Row],[Prix de Revient]]*Devis[[#This Row],[Poste 2]]</f>
        <v>0</v>
      </c>
      <c r="X1023" s="74">
        <f>Devis[[#This Row],[Prix de Revient]]*Devis[[#This Row],[Poste 3]]</f>
        <v>0</v>
      </c>
      <c r="Y1023" s="74">
        <f>Devis[[#This Row],[Poste 4]]*Devis[[#This Row],[Prix de Revient]]</f>
        <v>0</v>
      </c>
      <c r="Z1023" s="74">
        <f>Devis[[#This Row],[Poste 5]]*Devis[[#This Row],[Prix de Revient]]</f>
        <v>0</v>
      </c>
      <c r="AA1023" s="74">
        <f>Devis[[#This Row],[Prix de Revient]]*Devis[[#This Row],[Poste 6]]</f>
        <v>0</v>
      </c>
      <c r="AB1023" s="74">
        <f>Devis[[#This Row],[Quantité Totale]]*Devis[[#This Row],[Prix de Revient]]</f>
        <v>0</v>
      </c>
    </row>
    <row r="1024" spans="1:28" ht="14.25" customHeight="1" outlineLevel="1" x14ac:dyDescent="0.2">
      <c r="A1024" s="75" t="s">
        <v>356</v>
      </c>
      <c r="B1024" s="76" t="s">
        <v>3556</v>
      </c>
      <c r="C1024" s="75" t="s">
        <v>6449</v>
      </c>
      <c r="D1024" s="81" t="str">
        <f t="shared" si="18"/>
        <v>FixationVisTH Hexagonales</v>
      </c>
      <c r="E1024" s="75" t="s">
        <v>6457</v>
      </c>
      <c r="F1024" s="76">
        <v>7</v>
      </c>
      <c r="G1024" s="164" t="s">
        <v>6452</v>
      </c>
      <c r="H1024" s="71"/>
      <c r="I1024" s="71"/>
      <c r="J1024" s="70">
        <f>IFERROR(VLOOKUP(Devis[[#This Row],[Ref Air Flux]],#REF!,3,FALSE),0)</f>
        <v>0</v>
      </c>
      <c r="K1024" s="68"/>
      <c r="L1024" s="68"/>
      <c r="M1024" s="68"/>
      <c r="N1024" s="68"/>
      <c r="O1024" s="68"/>
      <c r="P1024" s="68"/>
      <c r="Q1024" s="68">
        <f>SUM(Devis[[#This Row],[Poste 1]:[Poste 6]])</f>
        <v>0</v>
      </c>
      <c r="R1024" s="71"/>
      <c r="S1024" s="68">
        <f>_xlfn.CEILING.MATH(Devis[[#This Row],[Quantité Totale]],Devis[[#This Row],[Conditionnement]])</f>
        <v>0</v>
      </c>
      <c r="T1024" s="72"/>
      <c r="U1024" s="73"/>
      <c r="V1024" s="74">
        <f>Devis[[#This Row],[Prix de Revient]]*Devis[[#This Row],[Poste 1]]</f>
        <v>0</v>
      </c>
      <c r="W1024" s="74">
        <f>Devis[[#This Row],[Prix de Revient]]*Devis[[#This Row],[Poste 2]]</f>
        <v>0</v>
      </c>
      <c r="X1024" s="74">
        <f>Devis[[#This Row],[Prix de Revient]]*Devis[[#This Row],[Poste 3]]</f>
        <v>0</v>
      </c>
      <c r="Y1024" s="74">
        <f>Devis[[#This Row],[Poste 4]]*Devis[[#This Row],[Prix de Revient]]</f>
        <v>0</v>
      </c>
      <c r="Z1024" s="74">
        <f>Devis[[#This Row],[Poste 5]]*Devis[[#This Row],[Prix de Revient]]</f>
        <v>0</v>
      </c>
      <c r="AA1024" s="74">
        <f>Devis[[#This Row],[Prix de Revient]]*Devis[[#This Row],[Poste 6]]</f>
        <v>0</v>
      </c>
      <c r="AB1024" s="74">
        <f>Devis[[#This Row],[Quantité Totale]]*Devis[[#This Row],[Prix de Revient]]</f>
        <v>0</v>
      </c>
    </row>
    <row r="1025" spans="1:28" ht="14.25" customHeight="1" outlineLevel="1" x14ac:dyDescent="0.2">
      <c r="A1025" s="75" t="s">
        <v>356</v>
      </c>
      <c r="B1025" s="76" t="s">
        <v>3556</v>
      </c>
      <c r="C1025" s="75" t="s">
        <v>6449</v>
      </c>
      <c r="D1025" s="81" t="str">
        <f t="shared" ref="D1025:D1026" si="19">A1025&amp;B1025&amp;C1025</f>
        <v>FixationVisTH Hexagonales</v>
      </c>
      <c r="E1025" s="75" t="s">
        <v>6456</v>
      </c>
      <c r="F1025" s="76">
        <v>6</v>
      </c>
      <c r="G1025" s="164" t="s">
        <v>6453</v>
      </c>
      <c r="H1025" s="71"/>
      <c r="I1025" s="71"/>
      <c r="J1025" s="70">
        <f>IFERROR(VLOOKUP(Devis[[#This Row],[Ref Air Flux]],#REF!,3,FALSE),0)</f>
        <v>0</v>
      </c>
      <c r="K1025" s="68"/>
      <c r="L1025" s="68"/>
      <c r="M1025" s="68"/>
      <c r="N1025" s="68"/>
      <c r="O1025" s="68"/>
      <c r="P1025" s="68"/>
      <c r="Q1025" s="68">
        <f>SUM(Devis[[#This Row],[Poste 1]:[Poste 6]])</f>
        <v>0</v>
      </c>
      <c r="R1025" s="71"/>
      <c r="S1025" s="68">
        <f>_xlfn.CEILING.MATH(Devis[[#This Row],[Quantité Totale]],Devis[[#This Row],[Conditionnement]])</f>
        <v>0</v>
      </c>
      <c r="T1025" s="72"/>
      <c r="U1025" s="73"/>
      <c r="V1025" s="74">
        <f>Devis[[#This Row],[Prix de Revient]]*Devis[[#This Row],[Poste 1]]</f>
        <v>0</v>
      </c>
      <c r="W1025" s="74">
        <f>Devis[[#This Row],[Prix de Revient]]*Devis[[#This Row],[Poste 2]]</f>
        <v>0</v>
      </c>
      <c r="X1025" s="74">
        <f>Devis[[#This Row],[Prix de Revient]]*Devis[[#This Row],[Poste 3]]</f>
        <v>0</v>
      </c>
      <c r="Y1025" s="74">
        <f>Devis[[#This Row],[Poste 4]]*Devis[[#This Row],[Prix de Revient]]</f>
        <v>0</v>
      </c>
      <c r="Z1025" s="74">
        <f>Devis[[#This Row],[Poste 5]]*Devis[[#This Row],[Prix de Revient]]</f>
        <v>0</v>
      </c>
      <c r="AA1025" s="74">
        <f>Devis[[#This Row],[Prix de Revient]]*Devis[[#This Row],[Poste 6]]</f>
        <v>0</v>
      </c>
      <c r="AB1025" s="74">
        <f>Devis[[#This Row],[Quantité Totale]]*Devis[[#This Row],[Prix de Revient]]</f>
        <v>0</v>
      </c>
    </row>
    <row r="1026" spans="1:28" ht="14.25" customHeight="1" outlineLevel="1" x14ac:dyDescent="0.2">
      <c r="A1026" s="75" t="s">
        <v>356</v>
      </c>
      <c r="B1026" s="76" t="s">
        <v>3556</v>
      </c>
      <c r="C1026" s="75" t="s">
        <v>6449</v>
      </c>
      <c r="D1026" s="81" t="str">
        <f t="shared" si="19"/>
        <v>FixationVisTH Hexagonales</v>
      </c>
      <c r="E1026" s="75" t="s">
        <v>6455</v>
      </c>
      <c r="F1026" s="76">
        <v>5</v>
      </c>
      <c r="G1026" s="164" t="s">
        <v>6454</v>
      </c>
      <c r="H1026" s="71"/>
      <c r="I1026" s="71"/>
      <c r="J1026" s="70">
        <f>IFERROR(VLOOKUP(Devis[[#This Row],[Ref Air Flux]],#REF!,3,FALSE),0)</f>
        <v>0</v>
      </c>
      <c r="K1026" s="68"/>
      <c r="L1026" s="68"/>
      <c r="M1026" s="68"/>
      <c r="N1026" s="68"/>
      <c r="O1026" s="68"/>
      <c r="P1026" s="68"/>
      <c r="Q1026" s="68">
        <f>SUM(Devis[[#This Row],[Poste 1]:[Poste 6]])</f>
        <v>0</v>
      </c>
      <c r="R1026" s="71"/>
      <c r="S1026" s="68">
        <f>_xlfn.CEILING.MATH(Devis[[#This Row],[Quantité Totale]],Devis[[#This Row],[Conditionnement]])</f>
        <v>0</v>
      </c>
      <c r="T1026" s="72"/>
      <c r="U1026" s="73"/>
      <c r="V1026" s="74">
        <f>Devis[[#This Row],[Prix de Revient]]*Devis[[#This Row],[Poste 1]]</f>
        <v>0</v>
      </c>
      <c r="W1026" s="74">
        <f>Devis[[#This Row],[Prix de Revient]]*Devis[[#This Row],[Poste 2]]</f>
        <v>0</v>
      </c>
      <c r="X1026" s="74">
        <f>Devis[[#This Row],[Prix de Revient]]*Devis[[#This Row],[Poste 3]]</f>
        <v>0</v>
      </c>
      <c r="Y1026" s="74">
        <f>Devis[[#This Row],[Poste 4]]*Devis[[#This Row],[Prix de Revient]]</f>
        <v>0</v>
      </c>
      <c r="Z1026" s="74">
        <f>Devis[[#This Row],[Poste 5]]*Devis[[#This Row],[Prix de Revient]]</f>
        <v>0</v>
      </c>
      <c r="AA1026" s="74">
        <f>Devis[[#This Row],[Prix de Revient]]*Devis[[#This Row],[Poste 6]]</f>
        <v>0</v>
      </c>
      <c r="AB1026" s="74">
        <f>Devis[[#This Row],[Quantité Totale]]*Devis[[#This Row],[Prix de Revient]]</f>
        <v>0</v>
      </c>
    </row>
    <row r="1027" spans="1:28" ht="14.25" outlineLevel="1" x14ac:dyDescent="0.2">
      <c r="A1027" s="75" t="s">
        <v>356</v>
      </c>
      <c r="B1027" s="76" t="s">
        <v>3556</v>
      </c>
      <c r="C1027" s="75" t="s">
        <v>6449</v>
      </c>
      <c r="D1027" s="81" t="str">
        <f t="shared" si="17"/>
        <v>FixationVisTH Hexagonales</v>
      </c>
      <c r="E1027" s="75" t="s">
        <v>5138</v>
      </c>
      <c r="F1027" s="81">
        <v>9</v>
      </c>
      <c r="G1027" s="71" t="s">
        <v>619</v>
      </c>
      <c r="H1027" s="71"/>
      <c r="I1027" s="71" t="s">
        <v>620</v>
      </c>
      <c r="J1027" s="70">
        <f>IFERROR(VLOOKUP(Devis[[#This Row],[Ref Air Flux]],#REF!,3,FALSE),0)</f>
        <v>0</v>
      </c>
      <c r="K1027" s="68"/>
      <c r="L1027" s="68"/>
      <c r="M1027" s="68"/>
      <c r="N1027" s="68"/>
      <c r="O1027" s="68"/>
      <c r="P1027" s="68"/>
      <c r="Q1027" s="68">
        <f>SUM(Devis[[#This Row],[Poste 1]:[Poste 6]])</f>
        <v>0</v>
      </c>
      <c r="R1027" s="71"/>
      <c r="S1027" s="68">
        <f>_xlfn.CEILING.MATH(Devis[[#This Row],[Quantité Totale]],Devis[[#This Row],[Conditionnement]])</f>
        <v>0</v>
      </c>
      <c r="T1027" s="97"/>
      <c r="U1027" s="73"/>
      <c r="V1027" s="74">
        <f>Devis[[#This Row],[Prix de Revient]]*Devis[[#This Row],[Poste 1]]</f>
        <v>0</v>
      </c>
      <c r="W1027" s="74">
        <f>Devis[[#This Row],[Prix de Revient]]*Devis[[#This Row],[Poste 2]]</f>
        <v>0</v>
      </c>
      <c r="X1027" s="74">
        <f>Devis[[#This Row],[Prix de Revient]]*Devis[[#This Row],[Poste 3]]</f>
        <v>0</v>
      </c>
      <c r="Y1027" s="74">
        <f>Devis[[#This Row],[Poste 4]]*Devis[[#This Row],[Prix de Revient]]</f>
        <v>0</v>
      </c>
      <c r="Z1027" s="74">
        <f>Devis[[#This Row],[Poste 5]]*Devis[[#This Row],[Prix de Revient]]</f>
        <v>0</v>
      </c>
      <c r="AA1027" s="74">
        <f>Devis[[#This Row],[Prix de Revient]]*Devis[[#This Row],[Poste 6]]</f>
        <v>0</v>
      </c>
      <c r="AB1027" s="74">
        <f>Devis[[#This Row],[Quantité Totale]]*Devis[[#This Row],[Prix de Revient]]</f>
        <v>0</v>
      </c>
    </row>
    <row r="1028" spans="1:28" ht="14.25" outlineLevel="1" x14ac:dyDescent="0.2">
      <c r="A1028" s="75" t="s">
        <v>356</v>
      </c>
      <c r="B1028" s="76" t="s">
        <v>3556</v>
      </c>
      <c r="C1028" s="75" t="s">
        <v>6449</v>
      </c>
      <c r="D1028" s="81" t="str">
        <f>A1028&amp;B1028&amp;C1028</f>
        <v>FixationVisTH Hexagonales</v>
      </c>
      <c r="E1028" s="75" t="s">
        <v>6459</v>
      </c>
      <c r="F1028" s="76">
        <v>10</v>
      </c>
      <c r="G1028" s="164" t="s">
        <v>6463</v>
      </c>
      <c r="H1028" s="71"/>
      <c r="I1028" s="71"/>
      <c r="J1028" s="70">
        <f>IFERROR(VLOOKUP(Devis[[#This Row],[Ref Air Flux]],#REF!,3,FALSE),0)</f>
        <v>0</v>
      </c>
      <c r="K1028" s="68"/>
      <c r="L1028" s="68"/>
      <c r="M1028" s="68"/>
      <c r="N1028" s="68"/>
      <c r="O1028" s="68"/>
      <c r="P1028" s="68"/>
      <c r="Q1028" s="68">
        <f>SUM(Devis[[#This Row],[Poste 1]:[Poste 6]])</f>
        <v>0</v>
      </c>
      <c r="R1028" s="71"/>
      <c r="S1028" s="68">
        <f>_xlfn.CEILING.MATH(Devis[[#This Row],[Quantité Totale]],Devis[[#This Row],[Conditionnement]])</f>
        <v>0</v>
      </c>
      <c r="T1028" s="72"/>
      <c r="U1028" s="73"/>
      <c r="V1028" s="74">
        <f>Devis[[#This Row],[Prix de Revient]]*Devis[[#This Row],[Poste 1]]</f>
        <v>0</v>
      </c>
      <c r="W1028" s="74">
        <f>Devis[[#This Row],[Prix de Revient]]*Devis[[#This Row],[Poste 2]]</f>
        <v>0</v>
      </c>
      <c r="X1028" s="74">
        <f>Devis[[#This Row],[Prix de Revient]]*Devis[[#This Row],[Poste 3]]</f>
        <v>0</v>
      </c>
      <c r="Y1028" s="74">
        <f>Devis[[#This Row],[Poste 4]]*Devis[[#This Row],[Prix de Revient]]</f>
        <v>0</v>
      </c>
      <c r="Z1028" s="74">
        <f>Devis[[#This Row],[Poste 5]]*Devis[[#This Row],[Prix de Revient]]</f>
        <v>0</v>
      </c>
      <c r="AA1028" s="74">
        <f>Devis[[#This Row],[Prix de Revient]]*Devis[[#This Row],[Poste 6]]</f>
        <v>0</v>
      </c>
      <c r="AB1028" s="74">
        <f>Devis[[#This Row],[Quantité Totale]]*Devis[[#This Row],[Prix de Revient]]</f>
        <v>0</v>
      </c>
    </row>
    <row r="1029" spans="1:28" ht="14.25" outlineLevel="1" x14ac:dyDescent="0.2">
      <c r="A1029" s="75" t="s">
        <v>356</v>
      </c>
      <c r="B1029" s="76" t="s">
        <v>3556</v>
      </c>
      <c r="C1029" s="75" t="s">
        <v>6449</v>
      </c>
      <c r="D1029" s="81" t="str">
        <f>A1029&amp;B1029&amp;C1029</f>
        <v>FixationVisTH Hexagonales</v>
      </c>
      <c r="E1029" s="75" t="s">
        <v>6460</v>
      </c>
      <c r="F1029" s="76">
        <v>11</v>
      </c>
      <c r="G1029" s="164" t="s">
        <v>6464</v>
      </c>
      <c r="H1029" s="71"/>
      <c r="I1029" s="71"/>
      <c r="J1029" s="70">
        <f>IFERROR(VLOOKUP(Devis[[#This Row],[Ref Air Flux]],#REF!,3,FALSE),0)</f>
        <v>0</v>
      </c>
      <c r="K1029" s="68"/>
      <c r="L1029" s="68"/>
      <c r="M1029" s="68"/>
      <c r="N1029" s="68"/>
      <c r="O1029" s="68"/>
      <c r="P1029" s="68"/>
      <c r="Q1029" s="68">
        <f>SUM(Devis[[#This Row],[Poste 1]:[Poste 6]])</f>
        <v>0</v>
      </c>
      <c r="R1029" s="71"/>
      <c r="S1029" s="68">
        <f>_xlfn.CEILING.MATH(Devis[[#This Row],[Quantité Totale]],Devis[[#This Row],[Conditionnement]])</f>
        <v>0</v>
      </c>
      <c r="T1029" s="72"/>
      <c r="U1029" s="73"/>
      <c r="V1029" s="74">
        <f>Devis[[#This Row],[Prix de Revient]]*Devis[[#This Row],[Poste 1]]</f>
        <v>0</v>
      </c>
      <c r="W1029" s="74">
        <f>Devis[[#This Row],[Prix de Revient]]*Devis[[#This Row],[Poste 2]]</f>
        <v>0</v>
      </c>
      <c r="X1029" s="74">
        <f>Devis[[#This Row],[Prix de Revient]]*Devis[[#This Row],[Poste 3]]</f>
        <v>0</v>
      </c>
      <c r="Y1029" s="74">
        <f>Devis[[#This Row],[Poste 4]]*Devis[[#This Row],[Prix de Revient]]</f>
        <v>0</v>
      </c>
      <c r="Z1029" s="74">
        <f>Devis[[#This Row],[Poste 5]]*Devis[[#This Row],[Prix de Revient]]</f>
        <v>0</v>
      </c>
      <c r="AA1029" s="74">
        <f>Devis[[#This Row],[Prix de Revient]]*Devis[[#This Row],[Poste 6]]</f>
        <v>0</v>
      </c>
      <c r="AB1029" s="74">
        <f>Devis[[#This Row],[Quantité Totale]]*Devis[[#This Row],[Prix de Revient]]</f>
        <v>0</v>
      </c>
    </row>
    <row r="1030" spans="1:28" ht="14.25" outlineLevel="1" x14ac:dyDescent="0.2">
      <c r="A1030" s="75" t="s">
        <v>356</v>
      </c>
      <c r="B1030" s="76" t="s">
        <v>3556</v>
      </c>
      <c r="C1030" s="75" t="s">
        <v>6449</v>
      </c>
      <c r="D1030" s="81" t="str">
        <f>A1030&amp;B1030&amp;C1030</f>
        <v>FixationVisTH Hexagonales</v>
      </c>
      <c r="E1030" s="75" t="s">
        <v>6461</v>
      </c>
      <c r="F1030" s="76">
        <v>12</v>
      </c>
      <c r="G1030" s="164" t="s">
        <v>6462</v>
      </c>
      <c r="H1030" s="71"/>
      <c r="I1030" s="71"/>
      <c r="J1030" s="70">
        <f>IFERROR(VLOOKUP(Devis[[#This Row],[Ref Air Flux]],#REF!,3,FALSE),0)</f>
        <v>0</v>
      </c>
      <c r="K1030" s="68"/>
      <c r="L1030" s="68"/>
      <c r="M1030" s="68"/>
      <c r="N1030" s="68"/>
      <c r="O1030" s="68"/>
      <c r="P1030" s="68"/>
      <c r="Q1030" s="68">
        <f>SUM(Devis[[#This Row],[Poste 1]:[Poste 6]])</f>
        <v>0</v>
      </c>
      <c r="R1030" s="71"/>
      <c r="S1030" s="68">
        <f>_xlfn.CEILING.MATH(Devis[[#This Row],[Quantité Totale]],Devis[[#This Row],[Conditionnement]])</f>
        <v>0</v>
      </c>
      <c r="T1030" s="72"/>
      <c r="U1030" s="73"/>
      <c r="V1030" s="74">
        <f>Devis[[#This Row],[Prix de Revient]]*Devis[[#This Row],[Poste 1]]</f>
        <v>0</v>
      </c>
      <c r="W1030" s="74">
        <f>Devis[[#This Row],[Prix de Revient]]*Devis[[#This Row],[Poste 2]]</f>
        <v>0</v>
      </c>
      <c r="X1030" s="74">
        <f>Devis[[#This Row],[Prix de Revient]]*Devis[[#This Row],[Poste 3]]</f>
        <v>0</v>
      </c>
      <c r="Y1030" s="74">
        <f>Devis[[#This Row],[Poste 4]]*Devis[[#This Row],[Prix de Revient]]</f>
        <v>0</v>
      </c>
      <c r="Z1030" s="74">
        <f>Devis[[#This Row],[Poste 5]]*Devis[[#This Row],[Prix de Revient]]</f>
        <v>0</v>
      </c>
      <c r="AA1030" s="74">
        <f>Devis[[#This Row],[Prix de Revient]]*Devis[[#This Row],[Poste 6]]</f>
        <v>0</v>
      </c>
      <c r="AB1030" s="74">
        <f>Devis[[#This Row],[Quantité Totale]]*Devis[[#This Row],[Prix de Revient]]</f>
        <v>0</v>
      </c>
    </row>
    <row r="1031" spans="1:28" ht="14.25" customHeight="1" outlineLevel="1" x14ac:dyDescent="0.2">
      <c r="A1031" s="75" t="s">
        <v>356</v>
      </c>
      <c r="B1031" s="76" t="s">
        <v>3556</v>
      </c>
      <c r="C1031" s="75" t="s">
        <v>6449</v>
      </c>
      <c r="D1031" s="81" t="str">
        <f t="shared" si="17"/>
        <v>FixationVisTH Hexagonales</v>
      </c>
      <c r="E1031" s="75" t="s">
        <v>621</v>
      </c>
      <c r="F1031" s="81">
        <v>13</v>
      </c>
      <c r="G1031" s="71" t="s">
        <v>622</v>
      </c>
      <c r="H1031" s="71"/>
      <c r="I1031" s="71"/>
      <c r="J1031" s="70">
        <f>IFERROR(VLOOKUP(Devis[[#This Row],[Ref Air Flux]],#REF!,3,FALSE),0)</f>
        <v>0</v>
      </c>
      <c r="K1031" s="68"/>
      <c r="L1031" s="68"/>
      <c r="M1031" s="68"/>
      <c r="N1031" s="68"/>
      <c r="O1031" s="68"/>
      <c r="P1031" s="68"/>
      <c r="Q1031" s="68">
        <f>SUM(Devis[[#This Row],[Poste 1]:[Poste 6]])</f>
        <v>0</v>
      </c>
      <c r="R1031" s="71"/>
      <c r="S1031" s="68">
        <f>_xlfn.CEILING.MATH(Devis[[#This Row],[Quantité Totale]],Devis[[#This Row],[Conditionnement]])</f>
        <v>0</v>
      </c>
      <c r="T1031" s="72"/>
      <c r="U1031" s="98" t="s">
        <v>6515</v>
      </c>
      <c r="V1031" s="74">
        <f>Devis[[#This Row],[Prix de Revient]]*Devis[[#This Row],[Poste 1]]</f>
        <v>0</v>
      </c>
      <c r="W1031" s="74">
        <f>Devis[[#This Row],[Prix de Revient]]*Devis[[#This Row],[Poste 2]]</f>
        <v>0</v>
      </c>
      <c r="X1031" s="74">
        <f>Devis[[#This Row],[Prix de Revient]]*Devis[[#This Row],[Poste 3]]</f>
        <v>0</v>
      </c>
      <c r="Y1031" s="74">
        <f>Devis[[#This Row],[Poste 4]]*Devis[[#This Row],[Prix de Revient]]</f>
        <v>0</v>
      </c>
      <c r="Z1031" s="74">
        <f>Devis[[#This Row],[Poste 5]]*Devis[[#This Row],[Prix de Revient]]</f>
        <v>0</v>
      </c>
      <c r="AA1031" s="74">
        <f>Devis[[#This Row],[Prix de Revient]]*Devis[[#This Row],[Poste 6]]</f>
        <v>0</v>
      </c>
      <c r="AB1031" s="74">
        <f>Devis[[#This Row],[Quantité Totale]]*Devis[[#This Row],[Prix de Revient]]</f>
        <v>0</v>
      </c>
    </row>
    <row r="1032" spans="1:28" ht="14.25" outlineLevel="1" x14ac:dyDescent="0.2">
      <c r="A1032" s="75" t="s">
        <v>356</v>
      </c>
      <c r="B1032" s="76" t="s">
        <v>3556</v>
      </c>
      <c r="C1032" s="75" t="s">
        <v>6449</v>
      </c>
      <c r="D1032" s="81" t="str">
        <f t="shared" si="17"/>
        <v>FixationVisTH Hexagonales</v>
      </c>
      <c r="E1032" s="75" t="s">
        <v>5139</v>
      </c>
      <c r="F1032" s="81">
        <v>14</v>
      </c>
      <c r="G1032" s="71" t="s">
        <v>623</v>
      </c>
      <c r="H1032" s="71"/>
      <c r="I1032" s="71"/>
      <c r="J1032" s="70">
        <f>IFERROR(VLOOKUP(Devis[[#This Row],[Ref Air Flux]],#REF!,3,FALSE),0)</f>
        <v>0</v>
      </c>
      <c r="K1032" s="68"/>
      <c r="L1032" s="68"/>
      <c r="M1032" s="68"/>
      <c r="N1032" s="68"/>
      <c r="O1032" s="68"/>
      <c r="P1032" s="68"/>
      <c r="Q1032" s="68">
        <f>SUM(Devis[[#This Row],[Poste 1]:[Poste 6]])</f>
        <v>0</v>
      </c>
      <c r="R1032" s="71"/>
      <c r="S1032" s="68">
        <f>_xlfn.CEILING.MATH(Devis[[#This Row],[Quantité Totale]],Devis[[#This Row],[Conditionnement]])</f>
        <v>0</v>
      </c>
      <c r="T1032" s="72"/>
      <c r="U1032" s="98" t="s">
        <v>6516</v>
      </c>
      <c r="V1032" s="74">
        <f>Devis[[#This Row],[Prix de Revient]]*Devis[[#This Row],[Poste 1]]</f>
        <v>0</v>
      </c>
      <c r="W1032" s="74">
        <f>Devis[[#This Row],[Prix de Revient]]*Devis[[#This Row],[Poste 2]]</f>
        <v>0</v>
      </c>
      <c r="X1032" s="74">
        <f>Devis[[#This Row],[Prix de Revient]]*Devis[[#This Row],[Poste 3]]</f>
        <v>0</v>
      </c>
      <c r="Y1032" s="74">
        <f>Devis[[#This Row],[Poste 4]]*Devis[[#This Row],[Prix de Revient]]</f>
        <v>0</v>
      </c>
      <c r="Z1032" s="74">
        <f>Devis[[#This Row],[Poste 5]]*Devis[[#This Row],[Prix de Revient]]</f>
        <v>0</v>
      </c>
      <c r="AA1032" s="74">
        <f>Devis[[#This Row],[Prix de Revient]]*Devis[[#This Row],[Poste 6]]</f>
        <v>0</v>
      </c>
      <c r="AB1032" s="74">
        <f>Devis[[#This Row],[Quantité Totale]]*Devis[[#This Row],[Prix de Revient]]</f>
        <v>0</v>
      </c>
    </row>
    <row r="1033" spans="1:28" ht="14.25" customHeight="1" x14ac:dyDescent="0.25">
      <c r="A1033" s="65" t="s">
        <v>624</v>
      </c>
      <c r="B1033" s="65" t="s">
        <v>4702</v>
      </c>
      <c r="C1033" s="76"/>
      <c r="D1033" s="81" t="str">
        <f t="shared" si="17"/>
        <v>FlexiblesCOMPENSATEUR INOX</v>
      </c>
      <c r="E1033" s="76"/>
      <c r="F1033" s="81">
        <v>0</v>
      </c>
      <c r="G1033" s="71"/>
      <c r="H1033" s="71"/>
      <c r="I1033" s="71"/>
      <c r="J1033" s="70">
        <f>IFERROR(VLOOKUP(Devis[[#This Row],[Ref Air Flux]],#REF!,3,FALSE),0)</f>
        <v>0</v>
      </c>
      <c r="K1033" s="68"/>
      <c r="L1033" s="68"/>
      <c r="M1033" s="68"/>
      <c r="N1033" s="68"/>
      <c r="O1033" s="68"/>
      <c r="P1033" s="68"/>
      <c r="Q1033" s="68">
        <f>SUM(Devis[[#This Row],[Poste 1]:[Poste 6]])</f>
        <v>0</v>
      </c>
      <c r="R1033" s="71"/>
      <c r="S1033" s="68">
        <f>_xlfn.CEILING.MATH(Devis[[#This Row],[Quantité Totale]],Devis[[#This Row],[Conditionnement]])</f>
        <v>0</v>
      </c>
      <c r="T1033" s="72"/>
      <c r="U1033" s="73"/>
      <c r="V1033" s="74">
        <f>Devis[[#This Row],[Prix de Revient]]*Devis[[#This Row],[Poste 1]]</f>
        <v>0</v>
      </c>
      <c r="W1033" s="74">
        <f>Devis[[#This Row],[Prix de Revient]]*Devis[[#This Row],[Poste 2]]</f>
        <v>0</v>
      </c>
      <c r="X1033" s="74">
        <f>Devis[[#This Row],[Prix de Revient]]*Devis[[#This Row],[Poste 3]]</f>
        <v>0</v>
      </c>
      <c r="Y1033" s="74">
        <f>Devis[[#This Row],[Poste 4]]*Devis[[#This Row],[Prix de Revient]]</f>
        <v>0</v>
      </c>
      <c r="Z1033" s="74">
        <f>Devis[[#This Row],[Poste 5]]*Devis[[#This Row],[Prix de Revient]]</f>
        <v>0</v>
      </c>
      <c r="AA1033" s="74">
        <f>Devis[[#This Row],[Prix de Revient]]*Devis[[#This Row],[Poste 6]]</f>
        <v>0</v>
      </c>
      <c r="AB1033" s="74">
        <f>Devis[[#This Row],[Quantité Totale]]*Devis[[#This Row],[Prix de Revient]]</f>
        <v>0</v>
      </c>
    </row>
    <row r="1034" spans="1:28" ht="14.25" outlineLevel="1" x14ac:dyDescent="0.2">
      <c r="A1034" s="75" t="s">
        <v>624</v>
      </c>
      <c r="B1034" s="76" t="s">
        <v>4702</v>
      </c>
      <c r="C1034" s="76" t="s">
        <v>625</v>
      </c>
      <c r="D1034" s="81" t="str">
        <f t="shared" si="17"/>
        <v>FlexiblesCOMPENSATEUR INOXDN65</v>
      </c>
      <c r="E1034" s="80" t="s">
        <v>625</v>
      </c>
      <c r="F1034" s="81">
        <v>1</v>
      </c>
      <c r="G1034" s="71" t="s">
        <v>626</v>
      </c>
      <c r="H1034" s="71" t="s">
        <v>3501</v>
      </c>
      <c r="I1034" s="71"/>
      <c r="J1034" s="70">
        <f>IFERROR(VLOOKUP(Devis[[#This Row],[Ref Air Flux]],#REF!,3,FALSE),0)</f>
        <v>0</v>
      </c>
      <c r="K1034" s="68"/>
      <c r="L1034" s="68"/>
      <c r="M1034" s="68"/>
      <c r="N1034" s="68"/>
      <c r="O1034" s="68"/>
      <c r="P1034" s="68"/>
      <c r="Q1034" s="68">
        <f>SUM(Devis[[#This Row],[Poste 1]:[Poste 6]])</f>
        <v>0</v>
      </c>
      <c r="R1034" s="71"/>
      <c r="S1034" s="68">
        <f>_xlfn.CEILING.MATH(Devis[[#This Row],[Quantité Totale]],Devis[[#This Row],[Conditionnement]])</f>
        <v>0</v>
      </c>
      <c r="T1034" s="72"/>
      <c r="U1034" s="73"/>
      <c r="V1034" s="74">
        <f>Devis[[#This Row],[Prix de Revient]]*Devis[[#This Row],[Poste 1]]</f>
        <v>0</v>
      </c>
      <c r="W1034" s="74">
        <f>Devis[[#This Row],[Prix de Revient]]*Devis[[#This Row],[Poste 2]]</f>
        <v>0</v>
      </c>
      <c r="X1034" s="74">
        <f>Devis[[#This Row],[Prix de Revient]]*Devis[[#This Row],[Poste 3]]</f>
        <v>0</v>
      </c>
      <c r="Y1034" s="74">
        <f>Devis[[#This Row],[Poste 4]]*Devis[[#This Row],[Prix de Revient]]</f>
        <v>0</v>
      </c>
      <c r="Z1034" s="74">
        <f>Devis[[#This Row],[Poste 5]]*Devis[[#This Row],[Prix de Revient]]</f>
        <v>0</v>
      </c>
      <c r="AA1034" s="74">
        <f>Devis[[#This Row],[Prix de Revient]]*Devis[[#This Row],[Poste 6]]</f>
        <v>0</v>
      </c>
      <c r="AB1034" s="74">
        <f>Devis[[#This Row],[Quantité Totale]]*Devis[[#This Row],[Prix de Revient]]</f>
        <v>0</v>
      </c>
    </row>
    <row r="1035" spans="1:28" ht="14.25" customHeight="1" outlineLevel="1" x14ac:dyDescent="0.2">
      <c r="A1035" s="75" t="s">
        <v>624</v>
      </c>
      <c r="B1035" s="76" t="s">
        <v>4702</v>
      </c>
      <c r="C1035" s="76" t="s">
        <v>627</v>
      </c>
      <c r="D1035" s="81" t="str">
        <f t="shared" si="17"/>
        <v>FlexiblesCOMPENSATEUR INOXDN80</v>
      </c>
      <c r="E1035" s="76" t="s">
        <v>627</v>
      </c>
      <c r="F1035" s="81">
        <v>2</v>
      </c>
      <c r="G1035" s="71" t="s">
        <v>628</v>
      </c>
      <c r="H1035" s="71" t="s">
        <v>3501</v>
      </c>
      <c r="I1035" s="71"/>
      <c r="J1035" s="70">
        <f>IFERROR(VLOOKUP(Devis[[#This Row],[Ref Air Flux]],#REF!,3,FALSE),0)</f>
        <v>0</v>
      </c>
      <c r="K1035" s="68"/>
      <c r="L1035" s="68"/>
      <c r="M1035" s="68"/>
      <c r="N1035" s="68"/>
      <c r="O1035" s="68"/>
      <c r="P1035" s="68"/>
      <c r="Q1035" s="68">
        <f>SUM(Devis[[#This Row],[Poste 1]:[Poste 6]])</f>
        <v>0</v>
      </c>
      <c r="R1035" s="71"/>
      <c r="S1035" s="68">
        <f>_xlfn.CEILING.MATH(Devis[[#This Row],[Quantité Totale]],Devis[[#This Row],[Conditionnement]])</f>
        <v>0</v>
      </c>
      <c r="T1035" s="72"/>
      <c r="U1035" s="73"/>
      <c r="V1035" s="74">
        <f>Devis[[#This Row],[Prix de Revient]]*Devis[[#This Row],[Poste 1]]</f>
        <v>0</v>
      </c>
      <c r="W1035" s="74">
        <f>Devis[[#This Row],[Prix de Revient]]*Devis[[#This Row],[Poste 2]]</f>
        <v>0</v>
      </c>
      <c r="X1035" s="74">
        <f>Devis[[#This Row],[Prix de Revient]]*Devis[[#This Row],[Poste 3]]</f>
        <v>0</v>
      </c>
      <c r="Y1035" s="74">
        <f>Devis[[#This Row],[Poste 4]]*Devis[[#This Row],[Prix de Revient]]</f>
        <v>0</v>
      </c>
      <c r="Z1035" s="74">
        <f>Devis[[#This Row],[Poste 5]]*Devis[[#This Row],[Prix de Revient]]</f>
        <v>0</v>
      </c>
      <c r="AA1035" s="74">
        <f>Devis[[#This Row],[Prix de Revient]]*Devis[[#This Row],[Poste 6]]</f>
        <v>0</v>
      </c>
      <c r="AB1035" s="74">
        <f>Devis[[#This Row],[Quantité Totale]]*Devis[[#This Row],[Prix de Revient]]</f>
        <v>0</v>
      </c>
    </row>
    <row r="1036" spans="1:28" ht="15" customHeight="1" outlineLevel="1" x14ac:dyDescent="0.2">
      <c r="A1036" s="75" t="s">
        <v>624</v>
      </c>
      <c r="B1036" s="76" t="s">
        <v>4702</v>
      </c>
      <c r="C1036" s="76" t="s">
        <v>629</v>
      </c>
      <c r="D1036" s="81" t="str">
        <f t="shared" si="17"/>
        <v>FlexiblesCOMPENSATEUR INOXDN100</v>
      </c>
      <c r="E1036" s="80" t="s">
        <v>629</v>
      </c>
      <c r="F1036" s="81">
        <v>3</v>
      </c>
      <c r="G1036" s="71" t="s">
        <v>4703</v>
      </c>
      <c r="H1036" s="71" t="s">
        <v>3501</v>
      </c>
      <c r="I1036" s="71"/>
      <c r="J1036" s="70">
        <f>IFERROR(VLOOKUP(Devis[[#This Row],[Ref Air Flux]],#REF!,3,FALSE),0)</f>
        <v>0</v>
      </c>
      <c r="K1036" s="68"/>
      <c r="L1036" s="68"/>
      <c r="M1036" s="68"/>
      <c r="N1036" s="68"/>
      <c r="O1036" s="68"/>
      <c r="P1036" s="68"/>
      <c r="Q1036" s="68">
        <f>SUM(Devis[[#This Row],[Poste 1]:[Poste 6]])</f>
        <v>0</v>
      </c>
      <c r="R1036" s="71"/>
      <c r="S1036" s="68">
        <f>_xlfn.CEILING.MATH(Devis[[#This Row],[Quantité Totale]],Devis[[#This Row],[Conditionnement]])</f>
        <v>0</v>
      </c>
      <c r="T1036" s="72"/>
      <c r="U1036" s="73"/>
      <c r="V1036" s="74">
        <f>Devis[[#This Row],[Prix de Revient]]*Devis[[#This Row],[Poste 1]]</f>
        <v>0</v>
      </c>
      <c r="W1036" s="74">
        <f>Devis[[#This Row],[Prix de Revient]]*Devis[[#This Row],[Poste 2]]</f>
        <v>0</v>
      </c>
      <c r="X1036" s="74">
        <f>Devis[[#This Row],[Prix de Revient]]*Devis[[#This Row],[Poste 3]]</f>
        <v>0</v>
      </c>
      <c r="Y1036" s="74">
        <f>Devis[[#This Row],[Poste 4]]*Devis[[#This Row],[Prix de Revient]]</f>
        <v>0</v>
      </c>
      <c r="Z1036" s="74">
        <f>Devis[[#This Row],[Poste 5]]*Devis[[#This Row],[Prix de Revient]]</f>
        <v>0</v>
      </c>
      <c r="AA1036" s="74">
        <f>Devis[[#This Row],[Prix de Revient]]*Devis[[#This Row],[Poste 6]]</f>
        <v>0</v>
      </c>
      <c r="AB1036" s="74">
        <f>Devis[[#This Row],[Quantité Totale]]*Devis[[#This Row],[Prix de Revient]]</f>
        <v>0</v>
      </c>
    </row>
    <row r="1037" spans="1:28" ht="14.25" outlineLevel="1" x14ac:dyDescent="0.2">
      <c r="A1037" s="75" t="s">
        <v>624</v>
      </c>
      <c r="B1037" s="76" t="s">
        <v>4702</v>
      </c>
      <c r="C1037" s="76" t="s">
        <v>630</v>
      </c>
      <c r="D1037" s="81" t="str">
        <f t="shared" si="17"/>
        <v>FlexiblesCOMPENSATEUR INOXDN125</v>
      </c>
      <c r="E1037" s="76" t="s">
        <v>630</v>
      </c>
      <c r="F1037" s="81">
        <v>4</v>
      </c>
      <c r="G1037" s="71" t="s">
        <v>4704</v>
      </c>
      <c r="H1037" s="71" t="s">
        <v>3501</v>
      </c>
      <c r="I1037" s="71"/>
      <c r="J1037" s="70">
        <f>IFERROR(VLOOKUP(Devis[[#This Row],[Ref Air Flux]],#REF!,3,FALSE),0)</f>
        <v>0</v>
      </c>
      <c r="K1037" s="68"/>
      <c r="L1037" s="68"/>
      <c r="M1037" s="68"/>
      <c r="N1037" s="68"/>
      <c r="O1037" s="68"/>
      <c r="P1037" s="68"/>
      <c r="Q1037" s="68">
        <f>SUM(Devis[[#This Row],[Poste 1]:[Poste 6]])</f>
        <v>0</v>
      </c>
      <c r="R1037" s="71"/>
      <c r="S1037" s="68">
        <f>_xlfn.CEILING.MATH(Devis[[#This Row],[Quantité Totale]],Devis[[#This Row],[Conditionnement]])</f>
        <v>0</v>
      </c>
      <c r="T1037" s="72"/>
      <c r="U1037" s="73"/>
      <c r="V1037" s="74">
        <f>Devis[[#This Row],[Prix de Revient]]*Devis[[#This Row],[Poste 1]]</f>
        <v>0</v>
      </c>
      <c r="W1037" s="74">
        <f>Devis[[#This Row],[Prix de Revient]]*Devis[[#This Row],[Poste 2]]</f>
        <v>0</v>
      </c>
      <c r="X1037" s="74">
        <f>Devis[[#This Row],[Prix de Revient]]*Devis[[#This Row],[Poste 3]]</f>
        <v>0</v>
      </c>
      <c r="Y1037" s="74">
        <f>Devis[[#This Row],[Poste 4]]*Devis[[#This Row],[Prix de Revient]]</f>
        <v>0</v>
      </c>
      <c r="Z1037" s="74">
        <f>Devis[[#This Row],[Poste 5]]*Devis[[#This Row],[Prix de Revient]]</f>
        <v>0</v>
      </c>
      <c r="AA1037" s="74">
        <f>Devis[[#This Row],[Prix de Revient]]*Devis[[#This Row],[Poste 6]]</f>
        <v>0</v>
      </c>
      <c r="AB1037" s="74">
        <f>Devis[[#This Row],[Quantité Totale]]*Devis[[#This Row],[Prix de Revient]]</f>
        <v>0</v>
      </c>
    </row>
    <row r="1038" spans="1:28" ht="14.25" outlineLevel="1" x14ac:dyDescent="0.2">
      <c r="A1038" s="75" t="s">
        <v>624</v>
      </c>
      <c r="B1038" s="76" t="s">
        <v>4702</v>
      </c>
      <c r="C1038" s="76" t="s">
        <v>631</v>
      </c>
      <c r="D1038" s="81" t="str">
        <f t="shared" si="17"/>
        <v>FlexiblesCOMPENSATEUR INOXDN150</v>
      </c>
      <c r="E1038" s="76" t="s">
        <v>631</v>
      </c>
      <c r="F1038" s="81">
        <v>5</v>
      </c>
      <c r="G1038" s="71"/>
      <c r="H1038" s="71"/>
      <c r="I1038" s="71"/>
      <c r="J1038" s="70">
        <f>IFERROR(VLOOKUP(Devis[[#This Row],[Ref Air Flux]],#REF!,3,FALSE),0)</f>
        <v>0</v>
      </c>
      <c r="K1038" s="68"/>
      <c r="L1038" s="68"/>
      <c r="M1038" s="68"/>
      <c r="N1038" s="68"/>
      <c r="O1038" s="68"/>
      <c r="P1038" s="68"/>
      <c r="Q1038" s="68">
        <f>SUM(Devis[[#This Row],[Poste 1]:[Poste 6]])</f>
        <v>0</v>
      </c>
      <c r="R1038" s="71"/>
      <c r="S1038" s="68">
        <f>_xlfn.CEILING.MATH(Devis[[#This Row],[Quantité Totale]],Devis[[#This Row],[Conditionnement]])</f>
        <v>0</v>
      </c>
      <c r="T1038" s="72"/>
      <c r="U1038" s="73"/>
      <c r="V1038" s="74">
        <f>Devis[[#This Row],[Prix de Revient]]*Devis[[#This Row],[Poste 1]]</f>
        <v>0</v>
      </c>
      <c r="W1038" s="74">
        <f>Devis[[#This Row],[Prix de Revient]]*Devis[[#This Row],[Poste 2]]</f>
        <v>0</v>
      </c>
      <c r="X1038" s="74">
        <f>Devis[[#This Row],[Prix de Revient]]*Devis[[#This Row],[Poste 3]]</f>
        <v>0</v>
      </c>
      <c r="Y1038" s="74">
        <f>Devis[[#This Row],[Poste 4]]*Devis[[#This Row],[Prix de Revient]]</f>
        <v>0</v>
      </c>
      <c r="Z1038" s="74">
        <f>Devis[[#This Row],[Poste 5]]*Devis[[#This Row],[Prix de Revient]]</f>
        <v>0</v>
      </c>
      <c r="AA1038" s="74">
        <f>Devis[[#This Row],[Prix de Revient]]*Devis[[#This Row],[Poste 6]]</f>
        <v>0</v>
      </c>
      <c r="AB1038" s="74">
        <f>Devis[[#This Row],[Quantité Totale]]*Devis[[#This Row],[Prix de Revient]]</f>
        <v>0</v>
      </c>
    </row>
    <row r="1039" spans="1:28" ht="14.25" outlineLevel="1" x14ac:dyDescent="0.2">
      <c r="A1039" s="75" t="s">
        <v>624</v>
      </c>
      <c r="B1039" s="76" t="s">
        <v>4702</v>
      </c>
      <c r="C1039" s="76" t="s">
        <v>554</v>
      </c>
      <c r="D1039" s="81" t="str">
        <f t="shared" si="17"/>
        <v>FlexiblesCOMPENSATEUR INOXDN200</v>
      </c>
      <c r="E1039" s="76" t="s">
        <v>554</v>
      </c>
      <c r="F1039" s="81">
        <v>6</v>
      </c>
      <c r="G1039" s="71">
        <v>1506200</v>
      </c>
      <c r="H1039" s="71" t="s">
        <v>34</v>
      </c>
      <c r="I1039" s="71">
        <v>1506200</v>
      </c>
      <c r="J1039" s="70">
        <f>IFERROR(VLOOKUP(Devis[[#This Row],[Ref Air Flux]],#REF!,3,FALSE),0)</f>
        <v>0</v>
      </c>
      <c r="K1039" s="68"/>
      <c r="L1039" s="68"/>
      <c r="M1039" s="68"/>
      <c r="N1039" s="68"/>
      <c r="O1039" s="68"/>
      <c r="P1039" s="68"/>
      <c r="Q1039" s="68">
        <f>SUM(Devis[[#This Row],[Poste 1]:[Poste 6]])</f>
        <v>0</v>
      </c>
      <c r="R1039" s="71"/>
      <c r="S1039" s="68">
        <f>_xlfn.CEILING.MATH(Devis[[#This Row],[Quantité Totale]],Devis[[#This Row],[Conditionnement]])</f>
        <v>0</v>
      </c>
      <c r="T1039" s="72"/>
      <c r="U1039" s="73"/>
      <c r="V1039" s="74">
        <f>Devis[[#This Row],[Prix de Revient]]*Devis[[#This Row],[Poste 1]]</f>
        <v>0</v>
      </c>
      <c r="W1039" s="74">
        <f>Devis[[#This Row],[Prix de Revient]]*Devis[[#This Row],[Poste 2]]</f>
        <v>0</v>
      </c>
      <c r="X1039" s="74">
        <f>Devis[[#This Row],[Prix de Revient]]*Devis[[#This Row],[Poste 3]]</f>
        <v>0</v>
      </c>
      <c r="Y1039" s="74">
        <f>Devis[[#This Row],[Poste 4]]*Devis[[#This Row],[Prix de Revient]]</f>
        <v>0</v>
      </c>
      <c r="Z1039" s="74">
        <f>Devis[[#This Row],[Poste 5]]*Devis[[#This Row],[Prix de Revient]]</f>
        <v>0</v>
      </c>
      <c r="AA1039" s="74">
        <f>Devis[[#This Row],[Prix de Revient]]*Devis[[#This Row],[Poste 6]]</f>
        <v>0</v>
      </c>
      <c r="AB1039" s="74">
        <f>Devis[[#This Row],[Quantité Totale]]*Devis[[#This Row],[Prix de Revient]]</f>
        <v>0</v>
      </c>
    </row>
    <row r="1040" spans="1:28" ht="14.25" customHeight="1" x14ac:dyDescent="0.25">
      <c r="A1040" s="65" t="s">
        <v>624</v>
      </c>
      <c r="B1040" s="65" t="s">
        <v>632</v>
      </c>
      <c r="C1040" s="76"/>
      <c r="D1040" s="81" t="str">
        <f t="shared" si="17"/>
        <v>FlexiblesFlexible annelé pour vide</v>
      </c>
      <c r="E1040" s="76"/>
      <c r="F1040" s="81">
        <v>0</v>
      </c>
      <c r="G1040" s="71"/>
      <c r="H1040" s="71"/>
      <c r="I1040" s="71"/>
      <c r="J1040" s="70">
        <f>IFERROR(VLOOKUP(Devis[[#This Row],[Ref Air Flux]],#REF!,3,FALSE),0)</f>
        <v>0</v>
      </c>
      <c r="K1040" s="68"/>
      <c r="L1040" s="68"/>
      <c r="M1040" s="68"/>
      <c r="N1040" s="68"/>
      <c r="O1040" s="68"/>
      <c r="P1040" s="68"/>
      <c r="Q1040" s="68">
        <f>SUM(Devis[[#This Row],[Poste 1]:[Poste 6]])</f>
        <v>0</v>
      </c>
      <c r="R1040" s="71"/>
      <c r="S1040" s="68">
        <f>_xlfn.CEILING.MATH(Devis[[#This Row],[Quantité Totale]],Devis[[#This Row],[Conditionnement]])</f>
        <v>0</v>
      </c>
      <c r="T1040" s="72"/>
      <c r="U1040" s="73"/>
      <c r="V1040" s="74">
        <f>Devis[[#This Row],[Prix de Revient]]*Devis[[#This Row],[Poste 1]]</f>
        <v>0</v>
      </c>
      <c r="W1040" s="74">
        <f>Devis[[#This Row],[Prix de Revient]]*Devis[[#This Row],[Poste 2]]</f>
        <v>0</v>
      </c>
      <c r="X1040" s="74">
        <f>Devis[[#This Row],[Prix de Revient]]*Devis[[#This Row],[Poste 3]]</f>
        <v>0</v>
      </c>
      <c r="Y1040" s="74">
        <f>Devis[[#This Row],[Poste 4]]*Devis[[#This Row],[Prix de Revient]]</f>
        <v>0</v>
      </c>
      <c r="Z1040" s="74">
        <f>Devis[[#This Row],[Poste 5]]*Devis[[#This Row],[Prix de Revient]]</f>
        <v>0</v>
      </c>
      <c r="AA1040" s="74">
        <f>Devis[[#This Row],[Prix de Revient]]*Devis[[#This Row],[Poste 6]]</f>
        <v>0</v>
      </c>
      <c r="AB1040" s="74">
        <f>Devis[[#This Row],[Quantité Totale]]*Devis[[#This Row],[Prix de Revient]]</f>
        <v>0</v>
      </c>
    </row>
    <row r="1041" spans="1:28" ht="14.25" outlineLevel="1" x14ac:dyDescent="0.2">
      <c r="A1041" s="75" t="s">
        <v>624</v>
      </c>
      <c r="B1041" s="76" t="s">
        <v>632</v>
      </c>
      <c r="C1041" s="76"/>
      <c r="D1041" s="81" t="str">
        <f t="shared" si="17"/>
        <v>FlexiblesFlexible annelé pour vide</v>
      </c>
      <c r="E1041" s="76">
        <v>20</v>
      </c>
      <c r="F1041" s="81">
        <v>1</v>
      </c>
      <c r="G1041" s="71" t="s">
        <v>633</v>
      </c>
      <c r="H1041" s="71"/>
      <c r="I1041" s="71"/>
      <c r="J1041" s="70">
        <f>IFERROR(VLOOKUP(Devis[[#This Row],[Ref Air Flux]],#REF!,3,FALSE),0)</f>
        <v>0</v>
      </c>
      <c r="K1041" s="68"/>
      <c r="L1041" s="68"/>
      <c r="M1041" s="68"/>
      <c r="N1041" s="68"/>
      <c r="O1041" s="68"/>
      <c r="P1041" s="68"/>
      <c r="Q1041" s="68">
        <f>SUM(Devis[[#This Row],[Poste 1]:[Poste 6]])</f>
        <v>0</v>
      </c>
      <c r="R1041" s="71"/>
      <c r="S1041" s="68">
        <f>_xlfn.CEILING.MATH(Devis[[#This Row],[Quantité Totale]],Devis[[#This Row],[Conditionnement]])</f>
        <v>0</v>
      </c>
      <c r="T1041" s="72"/>
      <c r="U1041" s="73"/>
      <c r="V1041" s="74">
        <f>Devis[[#This Row],[Prix de Revient]]*Devis[[#This Row],[Poste 1]]</f>
        <v>0</v>
      </c>
      <c r="W1041" s="74">
        <f>Devis[[#This Row],[Prix de Revient]]*Devis[[#This Row],[Poste 2]]</f>
        <v>0</v>
      </c>
      <c r="X1041" s="74">
        <f>Devis[[#This Row],[Prix de Revient]]*Devis[[#This Row],[Poste 3]]</f>
        <v>0</v>
      </c>
      <c r="Y1041" s="74">
        <f>Devis[[#This Row],[Poste 4]]*Devis[[#This Row],[Prix de Revient]]</f>
        <v>0</v>
      </c>
      <c r="Z1041" s="74">
        <f>Devis[[#This Row],[Poste 5]]*Devis[[#This Row],[Prix de Revient]]</f>
        <v>0</v>
      </c>
      <c r="AA1041" s="74">
        <f>Devis[[#This Row],[Prix de Revient]]*Devis[[#This Row],[Poste 6]]</f>
        <v>0</v>
      </c>
      <c r="AB1041" s="74">
        <f>Devis[[#This Row],[Quantité Totale]]*Devis[[#This Row],[Prix de Revient]]</f>
        <v>0</v>
      </c>
    </row>
    <row r="1042" spans="1:28" ht="14.25" outlineLevel="1" x14ac:dyDescent="0.2">
      <c r="A1042" s="75" t="s">
        <v>624</v>
      </c>
      <c r="B1042" s="76" t="s">
        <v>632</v>
      </c>
      <c r="C1042" s="76"/>
      <c r="D1042" s="81" t="str">
        <f t="shared" si="17"/>
        <v>FlexiblesFlexible annelé pour vide</v>
      </c>
      <c r="E1042" s="76">
        <v>25</v>
      </c>
      <c r="F1042" s="81">
        <v>2</v>
      </c>
      <c r="G1042" s="71" t="s">
        <v>634</v>
      </c>
      <c r="H1042" s="71"/>
      <c r="I1042" s="71"/>
      <c r="J1042" s="70">
        <f>IFERROR(VLOOKUP(Devis[[#This Row],[Ref Air Flux]],#REF!,3,FALSE),0)</f>
        <v>0</v>
      </c>
      <c r="K1042" s="68"/>
      <c r="L1042" s="68"/>
      <c r="M1042" s="68"/>
      <c r="N1042" s="68"/>
      <c r="O1042" s="68"/>
      <c r="P1042" s="68"/>
      <c r="Q1042" s="68">
        <f>SUM(Devis[[#This Row],[Poste 1]:[Poste 6]])</f>
        <v>0</v>
      </c>
      <c r="R1042" s="71"/>
      <c r="S1042" s="68">
        <f>_xlfn.CEILING.MATH(Devis[[#This Row],[Quantité Totale]],Devis[[#This Row],[Conditionnement]])</f>
        <v>0</v>
      </c>
      <c r="T1042" s="72"/>
      <c r="U1042" s="73"/>
      <c r="V1042" s="74">
        <f>Devis[[#This Row],[Prix de Revient]]*Devis[[#This Row],[Poste 1]]</f>
        <v>0</v>
      </c>
      <c r="W1042" s="74">
        <f>Devis[[#This Row],[Prix de Revient]]*Devis[[#This Row],[Poste 2]]</f>
        <v>0</v>
      </c>
      <c r="X1042" s="74">
        <f>Devis[[#This Row],[Prix de Revient]]*Devis[[#This Row],[Poste 3]]</f>
        <v>0</v>
      </c>
      <c r="Y1042" s="74">
        <f>Devis[[#This Row],[Poste 4]]*Devis[[#This Row],[Prix de Revient]]</f>
        <v>0</v>
      </c>
      <c r="Z1042" s="74">
        <f>Devis[[#This Row],[Poste 5]]*Devis[[#This Row],[Prix de Revient]]</f>
        <v>0</v>
      </c>
      <c r="AA1042" s="74">
        <f>Devis[[#This Row],[Prix de Revient]]*Devis[[#This Row],[Poste 6]]</f>
        <v>0</v>
      </c>
      <c r="AB1042" s="74">
        <f>Devis[[#This Row],[Quantité Totale]]*Devis[[#This Row],[Prix de Revient]]</f>
        <v>0</v>
      </c>
    </row>
    <row r="1043" spans="1:28" ht="14.25" customHeight="1" outlineLevel="1" x14ac:dyDescent="0.2">
      <c r="A1043" s="75" t="s">
        <v>624</v>
      </c>
      <c r="B1043" s="76" t="s">
        <v>632</v>
      </c>
      <c r="C1043" s="76"/>
      <c r="D1043" s="81" t="str">
        <f t="shared" si="17"/>
        <v>FlexiblesFlexible annelé pour vide</v>
      </c>
      <c r="E1043" s="76">
        <v>40</v>
      </c>
      <c r="F1043" s="81">
        <v>3</v>
      </c>
      <c r="G1043" s="71" t="s">
        <v>635</v>
      </c>
      <c r="H1043" s="71"/>
      <c r="I1043" s="71"/>
      <c r="J1043" s="70">
        <f>IFERROR(VLOOKUP(Devis[[#This Row],[Ref Air Flux]],#REF!,3,FALSE),0)</f>
        <v>0</v>
      </c>
      <c r="K1043" s="68"/>
      <c r="L1043" s="68"/>
      <c r="M1043" s="68"/>
      <c r="N1043" s="68"/>
      <c r="O1043" s="68"/>
      <c r="P1043" s="68"/>
      <c r="Q1043" s="68">
        <f>SUM(Devis[[#This Row],[Poste 1]:[Poste 6]])</f>
        <v>0</v>
      </c>
      <c r="R1043" s="71"/>
      <c r="S1043" s="68">
        <f>_xlfn.CEILING.MATH(Devis[[#This Row],[Quantité Totale]],Devis[[#This Row],[Conditionnement]])</f>
        <v>0</v>
      </c>
      <c r="T1043" s="72"/>
      <c r="U1043" s="73"/>
      <c r="V1043" s="74">
        <f>Devis[[#This Row],[Prix de Revient]]*Devis[[#This Row],[Poste 1]]</f>
        <v>0</v>
      </c>
      <c r="W1043" s="74">
        <f>Devis[[#This Row],[Prix de Revient]]*Devis[[#This Row],[Poste 2]]</f>
        <v>0</v>
      </c>
      <c r="X1043" s="74">
        <f>Devis[[#This Row],[Prix de Revient]]*Devis[[#This Row],[Poste 3]]</f>
        <v>0</v>
      </c>
      <c r="Y1043" s="74">
        <f>Devis[[#This Row],[Poste 4]]*Devis[[#This Row],[Prix de Revient]]</f>
        <v>0</v>
      </c>
      <c r="Z1043" s="74">
        <f>Devis[[#This Row],[Poste 5]]*Devis[[#This Row],[Prix de Revient]]</f>
        <v>0</v>
      </c>
      <c r="AA1043" s="74">
        <f>Devis[[#This Row],[Prix de Revient]]*Devis[[#This Row],[Poste 6]]</f>
        <v>0</v>
      </c>
      <c r="AB1043" s="74">
        <f>Devis[[#This Row],[Quantité Totale]]*Devis[[#This Row],[Prix de Revient]]</f>
        <v>0</v>
      </c>
    </row>
    <row r="1044" spans="1:28" ht="14.25" outlineLevel="1" x14ac:dyDescent="0.2">
      <c r="A1044" s="75" t="s">
        <v>624</v>
      </c>
      <c r="B1044" s="76" t="s">
        <v>632</v>
      </c>
      <c r="C1044" s="76"/>
      <c r="D1044" s="81" t="str">
        <f t="shared" si="17"/>
        <v>FlexiblesFlexible annelé pour vide</v>
      </c>
      <c r="E1044" s="76">
        <v>50</v>
      </c>
      <c r="F1044" s="81">
        <v>4</v>
      </c>
      <c r="G1044" s="71" t="s">
        <v>636</v>
      </c>
      <c r="H1044" s="71"/>
      <c r="I1044" s="71"/>
      <c r="J1044" s="70">
        <f>IFERROR(VLOOKUP(Devis[[#This Row],[Ref Air Flux]],#REF!,3,FALSE),0)</f>
        <v>0</v>
      </c>
      <c r="K1044" s="68"/>
      <c r="L1044" s="68"/>
      <c r="M1044" s="68"/>
      <c r="N1044" s="68"/>
      <c r="O1044" s="68"/>
      <c r="P1044" s="68"/>
      <c r="Q1044" s="68">
        <f>SUM(Devis[[#This Row],[Poste 1]:[Poste 6]])</f>
        <v>0</v>
      </c>
      <c r="R1044" s="71"/>
      <c r="S1044" s="68">
        <f>_xlfn.CEILING.MATH(Devis[[#This Row],[Quantité Totale]],Devis[[#This Row],[Conditionnement]])</f>
        <v>0</v>
      </c>
      <c r="T1044" s="72"/>
      <c r="U1044" s="73"/>
      <c r="V1044" s="74">
        <f>Devis[[#This Row],[Prix de Revient]]*Devis[[#This Row],[Poste 1]]</f>
        <v>0</v>
      </c>
      <c r="W1044" s="74">
        <f>Devis[[#This Row],[Prix de Revient]]*Devis[[#This Row],[Poste 2]]</f>
        <v>0</v>
      </c>
      <c r="X1044" s="74">
        <f>Devis[[#This Row],[Prix de Revient]]*Devis[[#This Row],[Poste 3]]</f>
        <v>0</v>
      </c>
      <c r="Y1044" s="74">
        <f>Devis[[#This Row],[Poste 4]]*Devis[[#This Row],[Prix de Revient]]</f>
        <v>0</v>
      </c>
      <c r="Z1044" s="74">
        <f>Devis[[#This Row],[Poste 5]]*Devis[[#This Row],[Prix de Revient]]</f>
        <v>0</v>
      </c>
      <c r="AA1044" s="74">
        <f>Devis[[#This Row],[Prix de Revient]]*Devis[[#This Row],[Poste 6]]</f>
        <v>0</v>
      </c>
      <c r="AB1044" s="74">
        <f>Devis[[#This Row],[Quantité Totale]]*Devis[[#This Row],[Prix de Revient]]</f>
        <v>0</v>
      </c>
    </row>
    <row r="1045" spans="1:28" ht="14.25" customHeight="1" outlineLevel="1" x14ac:dyDescent="0.2">
      <c r="A1045" s="75" t="s">
        <v>624</v>
      </c>
      <c r="B1045" s="76" t="s">
        <v>632</v>
      </c>
      <c r="C1045" s="76"/>
      <c r="D1045" s="81" t="str">
        <f t="shared" si="17"/>
        <v>FlexiblesFlexible annelé pour vide</v>
      </c>
      <c r="E1045" s="76">
        <v>60</v>
      </c>
      <c r="F1045" s="81">
        <v>5</v>
      </c>
      <c r="G1045" s="71" t="s">
        <v>637</v>
      </c>
      <c r="H1045" s="71"/>
      <c r="I1045" s="71"/>
      <c r="J1045" s="70">
        <f>IFERROR(VLOOKUP(Devis[[#This Row],[Ref Air Flux]],#REF!,3,FALSE),0)</f>
        <v>0</v>
      </c>
      <c r="K1045" s="68"/>
      <c r="L1045" s="68"/>
      <c r="M1045" s="68"/>
      <c r="N1045" s="68"/>
      <c r="O1045" s="68"/>
      <c r="P1045" s="68"/>
      <c r="Q1045" s="68">
        <f>SUM(Devis[[#This Row],[Poste 1]:[Poste 6]])</f>
        <v>0</v>
      </c>
      <c r="R1045" s="71"/>
      <c r="S1045" s="68">
        <f>_xlfn.CEILING.MATH(Devis[[#This Row],[Quantité Totale]],Devis[[#This Row],[Conditionnement]])</f>
        <v>0</v>
      </c>
      <c r="T1045" s="72"/>
      <c r="U1045" s="73"/>
      <c r="V1045" s="74">
        <f>Devis[[#This Row],[Prix de Revient]]*Devis[[#This Row],[Poste 1]]</f>
        <v>0</v>
      </c>
      <c r="W1045" s="74">
        <f>Devis[[#This Row],[Prix de Revient]]*Devis[[#This Row],[Poste 2]]</f>
        <v>0</v>
      </c>
      <c r="X1045" s="74">
        <f>Devis[[#This Row],[Prix de Revient]]*Devis[[#This Row],[Poste 3]]</f>
        <v>0</v>
      </c>
      <c r="Y1045" s="74">
        <f>Devis[[#This Row],[Poste 4]]*Devis[[#This Row],[Prix de Revient]]</f>
        <v>0</v>
      </c>
      <c r="Z1045" s="74">
        <f>Devis[[#This Row],[Poste 5]]*Devis[[#This Row],[Prix de Revient]]</f>
        <v>0</v>
      </c>
      <c r="AA1045" s="74">
        <f>Devis[[#This Row],[Prix de Revient]]*Devis[[#This Row],[Poste 6]]</f>
        <v>0</v>
      </c>
      <c r="AB1045" s="74">
        <f>Devis[[#This Row],[Quantité Totale]]*Devis[[#This Row],[Prix de Revient]]</f>
        <v>0</v>
      </c>
    </row>
    <row r="1046" spans="1:28" ht="14.25" outlineLevel="1" x14ac:dyDescent="0.2">
      <c r="A1046" s="75" t="s">
        <v>624</v>
      </c>
      <c r="B1046" s="76" t="s">
        <v>632</v>
      </c>
      <c r="C1046" s="76"/>
      <c r="D1046" s="81" t="str">
        <f t="shared" si="17"/>
        <v>FlexiblesFlexible annelé pour vide</v>
      </c>
      <c r="E1046" s="76">
        <v>70</v>
      </c>
      <c r="F1046" s="81">
        <v>6</v>
      </c>
      <c r="G1046" s="71" t="s">
        <v>638</v>
      </c>
      <c r="H1046" s="71"/>
      <c r="I1046" s="71"/>
      <c r="J1046" s="70">
        <f>IFERROR(VLOOKUP(Devis[[#This Row],[Ref Air Flux]],#REF!,3,FALSE),0)</f>
        <v>0</v>
      </c>
      <c r="K1046" s="68"/>
      <c r="L1046" s="68"/>
      <c r="M1046" s="68"/>
      <c r="N1046" s="68"/>
      <c r="O1046" s="68"/>
      <c r="P1046" s="68"/>
      <c r="Q1046" s="68">
        <f>SUM(Devis[[#This Row],[Poste 1]:[Poste 6]])</f>
        <v>0</v>
      </c>
      <c r="R1046" s="71"/>
      <c r="S1046" s="68">
        <f>_xlfn.CEILING.MATH(Devis[[#This Row],[Quantité Totale]],Devis[[#This Row],[Conditionnement]])</f>
        <v>0</v>
      </c>
      <c r="T1046" s="72"/>
      <c r="U1046" s="73"/>
      <c r="V1046" s="74">
        <f>Devis[[#This Row],[Prix de Revient]]*Devis[[#This Row],[Poste 1]]</f>
        <v>0</v>
      </c>
      <c r="W1046" s="74">
        <f>Devis[[#This Row],[Prix de Revient]]*Devis[[#This Row],[Poste 2]]</f>
        <v>0</v>
      </c>
      <c r="X1046" s="74">
        <f>Devis[[#This Row],[Prix de Revient]]*Devis[[#This Row],[Poste 3]]</f>
        <v>0</v>
      </c>
      <c r="Y1046" s="74">
        <f>Devis[[#This Row],[Poste 4]]*Devis[[#This Row],[Prix de Revient]]</f>
        <v>0</v>
      </c>
      <c r="Z1046" s="74">
        <f>Devis[[#This Row],[Poste 5]]*Devis[[#This Row],[Prix de Revient]]</f>
        <v>0</v>
      </c>
      <c r="AA1046" s="74">
        <f>Devis[[#This Row],[Prix de Revient]]*Devis[[#This Row],[Poste 6]]</f>
        <v>0</v>
      </c>
      <c r="AB1046" s="74">
        <f>Devis[[#This Row],[Quantité Totale]]*Devis[[#This Row],[Prix de Revient]]</f>
        <v>0</v>
      </c>
    </row>
    <row r="1047" spans="1:28" ht="14.25" outlineLevel="1" x14ac:dyDescent="0.2">
      <c r="A1047" s="75" t="s">
        <v>624</v>
      </c>
      <c r="B1047" s="76" t="s">
        <v>632</v>
      </c>
      <c r="C1047" s="76"/>
      <c r="D1047" s="81" t="str">
        <f t="shared" si="17"/>
        <v>FlexiblesFlexible annelé pour vide</v>
      </c>
      <c r="E1047" s="76">
        <v>90</v>
      </c>
      <c r="F1047" s="81">
        <v>7</v>
      </c>
      <c r="G1047" s="71" t="s">
        <v>639</v>
      </c>
      <c r="H1047" s="71"/>
      <c r="I1047" s="71"/>
      <c r="J1047" s="70">
        <f>IFERROR(VLOOKUP(Devis[[#This Row],[Ref Air Flux]],#REF!,3,FALSE),0)</f>
        <v>0</v>
      </c>
      <c r="K1047" s="68"/>
      <c r="L1047" s="68"/>
      <c r="M1047" s="68"/>
      <c r="N1047" s="68"/>
      <c r="O1047" s="68"/>
      <c r="P1047" s="68"/>
      <c r="Q1047" s="68">
        <f>SUM(Devis[[#This Row],[Poste 1]:[Poste 6]])</f>
        <v>0</v>
      </c>
      <c r="R1047" s="71"/>
      <c r="S1047" s="68">
        <f>_xlfn.CEILING.MATH(Devis[[#This Row],[Quantité Totale]],Devis[[#This Row],[Conditionnement]])</f>
        <v>0</v>
      </c>
      <c r="T1047" s="72"/>
      <c r="U1047" s="73"/>
      <c r="V1047" s="74">
        <f>Devis[[#This Row],[Prix de Revient]]*Devis[[#This Row],[Poste 1]]</f>
        <v>0</v>
      </c>
      <c r="W1047" s="74">
        <f>Devis[[#This Row],[Prix de Revient]]*Devis[[#This Row],[Poste 2]]</f>
        <v>0</v>
      </c>
      <c r="X1047" s="74">
        <f>Devis[[#This Row],[Prix de Revient]]*Devis[[#This Row],[Poste 3]]</f>
        <v>0</v>
      </c>
      <c r="Y1047" s="74">
        <f>Devis[[#This Row],[Poste 4]]*Devis[[#This Row],[Prix de Revient]]</f>
        <v>0</v>
      </c>
      <c r="Z1047" s="74">
        <f>Devis[[#This Row],[Poste 5]]*Devis[[#This Row],[Prix de Revient]]</f>
        <v>0</v>
      </c>
      <c r="AA1047" s="74">
        <f>Devis[[#This Row],[Prix de Revient]]*Devis[[#This Row],[Poste 6]]</f>
        <v>0</v>
      </c>
      <c r="AB1047" s="74">
        <f>Devis[[#This Row],[Quantité Totale]]*Devis[[#This Row],[Prix de Revient]]</f>
        <v>0</v>
      </c>
    </row>
    <row r="1048" spans="1:28" ht="14.25" customHeight="1" x14ac:dyDescent="0.25">
      <c r="A1048" s="65" t="s">
        <v>624</v>
      </c>
      <c r="B1048" s="65" t="s">
        <v>5942</v>
      </c>
      <c r="C1048" s="76"/>
      <c r="D1048" s="81" t="str">
        <f t="shared" si="17"/>
        <v>FlexiblesFLEXIBLE CAOUTCHOUC MM</v>
      </c>
      <c r="E1048" s="76"/>
      <c r="F1048" s="81">
        <v>0</v>
      </c>
      <c r="G1048" s="71"/>
      <c r="H1048" s="71"/>
      <c r="I1048" s="71"/>
      <c r="J1048" s="70">
        <f>IFERROR(VLOOKUP(Devis[[#This Row],[Ref Air Flux]],#REF!,3,FALSE),0)</f>
        <v>0</v>
      </c>
      <c r="K1048" s="68"/>
      <c r="L1048" s="68"/>
      <c r="M1048" s="68"/>
      <c r="N1048" s="68"/>
      <c r="O1048" s="68"/>
      <c r="P1048" s="68"/>
      <c r="Q1048" s="68">
        <f>SUM(Devis[[#This Row],[Poste 1]:[Poste 6]])</f>
        <v>0</v>
      </c>
      <c r="R1048" s="71"/>
      <c r="S1048" s="68">
        <f>_xlfn.CEILING.MATH(Devis[[#This Row],[Quantité Totale]],Devis[[#This Row],[Conditionnement]])</f>
        <v>0</v>
      </c>
      <c r="T1048" s="72"/>
      <c r="U1048" s="73"/>
      <c r="V1048" s="74">
        <f>Devis[[#This Row],[Prix de Revient]]*Devis[[#This Row],[Poste 1]]</f>
        <v>0</v>
      </c>
      <c r="W1048" s="74">
        <f>Devis[[#This Row],[Prix de Revient]]*Devis[[#This Row],[Poste 2]]</f>
        <v>0</v>
      </c>
      <c r="X1048" s="74">
        <f>Devis[[#This Row],[Prix de Revient]]*Devis[[#This Row],[Poste 3]]</f>
        <v>0</v>
      </c>
      <c r="Y1048" s="74">
        <f>Devis[[#This Row],[Poste 4]]*Devis[[#This Row],[Prix de Revient]]</f>
        <v>0</v>
      </c>
      <c r="Z1048" s="74">
        <f>Devis[[#This Row],[Poste 5]]*Devis[[#This Row],[Prix de Revient]]</f>
        <v>0</v>
      </c>
      <c r="AA1048" s="74">
        <f>Devis[[#This Row],[Prix de Revient]]*Devis[[#This Row],[Poste 6]]</f>
        <v>0</v>
      </c>
      <c r="AB1048" s="74">
        <f>Devis[[#This Row],[Quantité Totale]]*Devis[[#This Row],[Prix de Revient]]</f>
        <v>0</v>
      </c>
    </row>
    <row r="1049" spans="1:28" ht="14.25" outlineLevel="1" x14ac:dyDescent="0.2">
      <c r="A1049" s="75" t="s">
        <v>624</v>
      </c>
      <c r="B1049" s="76" t="s">
        <v>5942</v>
      </c>
      <c r="C1049" s="76" t="s">
        <v>2066</v>
      </c>
      <c r="D1049" s="81" t="str">
        <f t="shared" si="17"/>
        <v>FlexiblesFLEXIBLE CAOUTCHOUC MM3/8"</v>
      </c>
      <c r="E1049" s="76" t="s">
        <v>680</v>
      </c>
      <c r="F1049" s="81">
        <v>1</v>
      </c>
      <c r="G1049" s="71" t="s">
        <v>4705</v>
      </c>
      <c r="H1049" s="71"/>
      <c r="I1049" s="71"/>
      <c r="J1049" s="70">
        <f>IFERROR(VLOOKUP(Devis[[#This Row],[Ref Air Flux]],#REF!,3,FALSE),0)</f>
        <v>0</v>
      </c>
      <c r="K1049" s="68"/>
      <c r="L1049" s="68"/>
      <c r="M1049" s="68"/>
      <c r="N1049" s="68"/>
      <c r="O1049" s="68"/>
      <c r="P1049" s="68"/>
      <c r="Q1049" s="68">
        <f>SUM(Devis[[#This Row],[Poste 1]:[Poste 6]])</f>
        <v>0</v>
      </c>
      <c r="R1049" s="71"/>
      <c r="S1049" s="68">
        <f>_xlfn.CEILING.MATH(Devis[[#This Row],[Quantité Totale]],Devis[[#This Row],[Conditionnement]])</f>
        <v>0</v>
      </c>
      <c r="T1049" s="72"/>
      <c r="U1049" s="73"/>
      <c r="V1049" s="74">
        <f>Devis[[#This Row],[Prix de Revient]]*Devis[[#This Row],[Poste 1]]</f>
        <v>0</v>
      </c>
      <c r="W1049" s="74">
        <f>Devis[[#This Row],[Prix de Revient]]*Devis[[#This Row],[Poste 2]]</f>
        <v>0</v>
      </c>
      <c r="X1049" s="74">
        <f>Devis[[#This Row],[Prix de Revient]]*Devis[[#This Row],[Poste 3]]</f>
        <v>0</v>
      </c>
      <c r="Y1049" s="74">
        <f>Devis[[#This Row],[Poste 4]]*Devis[[#This Row],[Prix de Revient]]</f>
        <v>0</v>
      </c>
      <c r="Z1049" s="74">
        <f>Devis[[#This Row],[Poste 5]]*Devis[[#This Row],[Prix de Revient]]</f>
        <v>0</v>
      </c>
      <c r="AA1049" s="74">
        <f>Devis[[#This Row],[Prix de Revient]]*Devis[[#This Row],[Poste 6]]</f>
        <v>0</v>
      </c>
      <c r="AB1049" s="74">
        <f>Devis[[#This Row],[Quantité Totale]]*Devis[[#This Row],[Prix de Revient]]</f>
        <v>0</v>
      </c>
    </row>
    <row r="1050" spans="1:28" ht="14.25" outlineLevel="1" x14ac:dyDescent="0.2">
      <c r="A1050" s="75" t="s">
        <v>624</v>
      </c>
      <c r="B1050" s="76" t="s">
        <v>5942</v>
      </c>
      <c r="C1050" s="76" t="s">
        <v>1943</v>
      </c>
      <c r="D1050" s="81" t="str">
        <f t="shared" si="17"/>
        <v>FlexiblesFLEXIBLE CAOUTCHOUC MM1/2"</v>
      </c>
      <c r="E1050" s="76" t="s">
        <v>681</v>
      </c>
      <c r="F1050" s="81">
        <v>2</v>
      </c>
      <c r="G1050" s="71" t="s">
        <v>682</v>
      </c>
      <c r="H1050" s="71"/>
      <c r="I1050" s="71"/>
      <c r="J1050" s="70">
        <f>IFERROR(VLOOKUP(Devis[[#This Row],[Ref Air Flux]],#REF!,3,FALSE),0)</f>
        <v>0</v>
      </c>
      <c r="K1050" s="68"/>
      <c r="L1050" s="68"/>
      <c r="M1050" s="68"/>
      <c r="N1050" s="68"/>
      <c r="O1050" s="68"/>
      <c r="P1050" s="68"/>
      <c r="Q1050" s="68">
        <f>SUM(Devis[[#This Row],[Poste 1]:[Poste 6]])</f>
        <v>0</v>
      </c>
      <c r="R1050" s="71"/>
      <c r="S1050" s="68">
        <f>_xlfn.CEILING.MATH(Devis[[#This Row],[Quantité Totale]],Devis[[#This Row],[Conditionnement]])</f>
        <v>0</v>
      </c>
      <c r="T1050" s="72"/>
      <c r="U1050" s="73"/>
      <c r="V1050" s="74">
        <f>Devis[[#This Row],[Prix de Revient]]*Devis[[#This Row],[Poste 1]]</f>
        <v>0</v>
      </c>
      <c r="W1050" s="74">
        <f>Devis[[#This Row],[Prix de Revient]]*Devis[[#This Row],[Poste 2]]</f>
        <v>0</v>
      </c>
      <c r="X1050" s="74">
        <f>Devis[[#This Row],[Prix de Revient]]*Devis[[#This Row],[Poste 3]]</f>
        <v>0</v>
      </c>
      <c r="Y1050" s="74">
        <f>Devis[[#This Row],[Poste 4]]*Devis[[#This Row],[Prix de Revient]]</f>
        <v>0</v>
      </c>
      <c r="Z1050" s="74">
        <f>Devis[[#This Row],[Poste 5]]*Devis[[#This Row],[Prix de Revient]]</f>
        <v>0</v>
      </c>
      <c r="AA1050" s="74">
        <f>Devis[[#This Row],[Prix de Revient]]*Devis[[#This Row],[Poste 6]]</f>
        <v>0</v>
      </c>
      <c r="AB1050" s="74">
        <f>Devis[[#This Row],[Quantité Totale]]*Devis[[#This Row],[Prix de Revient]]</f>
        <v>0</v>
      </c>
    </row>
    <row r="1051" spans="1:28" ht="14.25" outlineLevel="1" x14ac:dyDescent="0.2">
      <c r="A1051" s="75" t="s">
        <v>624</v>
      </c>
      <c r="B1051" s="76" t="s">
        <v>5942</v>
      </c>
      <c r="C1051" s="76" t="s">
        <v>1943</v>
      </c>
      <c r="D1051" s="81" t="str">
        <f t="shared" si="17"/>
        <v>FlexiblesFLEXIBLE CAOUTCHOUC MM1/2"</v>
      </c>
      <c r="E1051" s="76" t="s">
        <v>683</v>
      </c>
      <c r="F1051" s="81">
        <v>3</v>
      </c>
      <c r="G1051" s="71" t="s">
        <v>684</v>
      </c>
      <c r="H1051" s="71"/>
      <c r="I1051" s="71"/>
      <c r="J1051" s="70">
        <f>IFERROR(VLOOKUP(Devis[[#This Row],[Ref Air Flux]],#REF!,3,FALSE),0)</f>
        <v>0</v>
      </c>
      <c r="K1051" s="68"/>
      <c r="L1051" s="68"/>
      <c r="M1051" s="68"/>
      <c r="N1051" s="68"/>
      <c r="O1051" s="68"/>
      <c r="P1051" s="68"/>
      <c r="Q1051" s="68">
        <f>SUM(Devis[[#This Row],[Poste 1]:[Poste 6]])</f>
        <v>0</v>
      </c>
      <c r="R1051" s="71"/>
      <c r="S1051" s="68">
        <f>_xlfn.CEILING.MATH(Devis[[#This Row],[Quantité Totale]],Devis[[#This Row],[Conditionnement]])</f>
        <v>0</v>
      </c>
      <c r="T1051" s="72"/>
      <c r="U1051" s="73"/>
      <c r="V1051" s="74">
        <f>Devis[[#This Row],[Prix de Revient]]*Devis[[#This Row],[Poste 1]]</f>
        <v>0</v>
      </c>
      <c r="W1051" s="74">
        <f>Devis[[#This Row],[Prix de Revient]]*Devis[[#This Row],[Poste 2]]</f>
        <v>0</v>
      </c>
      <c r="X1051" s="74">
        <f>Devis[[#This Row],[Prix de Revient]]*Devis[[#This Row],[Poste 3]]</f>
        <v>0</v>
      </c>
      <c r="Y1051" s="74">
        <f>Devis[[#This Row],[Poste 4]]*Devis[[#This Row],[Prix de Revient]]</f>
        <v>0</v>
      </c>
      <c r="Z1051" s="74">
        <f>Devis[[#This Row],[Poste 5]]*Devis[[#This Row],[Prix de Revient]]</f>
        <v>0</v>
      </c>
      <c r="AA1051" s="74">
        <f>Devis[[#This Row],[Prix de Revient]]*Devis[[#This Row],[Poste 6]]</f>
        <v>0</v>
      </c>
      <c r="AB1051" s="74">
        <f>Devis[[#This Row],[Quantité Totale]]*Devis[[#This Row],[Prix de Revient]]</f>
        <v>0</v>
      </c>
    </row>
    <row r="1052" spans="1:28" ht="14.25" customHeight="1" outlineLevel="1" x14ac:dyDescent="0.2">
      <c r="A1052" s="75" t="s">
        <v>624</v>
      </c>
      <c r="B1052" s="76" t="s">
        <v>5942</v>
      </c>
      <c r="C1052" s="76" t="s">
        <v>1943</v>
      </c>
      <c r="D1052" s="81" t="str">
        <f t="shared" si="17"/>
        <v>FlexiblesFLEXIBLE CAOUTCHOUC MM1/2"</v>
      </c>
      <c r="E1052" s="76" t="s">
        <v>685</v>
      </c>
      <c r="F1052" s="81">
        <v>4</v>
      </c>
      <c r="G1052" s="71" t="s">
        <v>686</v>
      </c>
      <c r="H1052" s="71"/>
      <c r="I1052" s="71"/>
      <c r="J1052" s="70">
        <f>IFERROR(VLOOKUP(Devis[[#This Row],[Ref Air Flux]],#REF!,3,FALSE),0)</f>
        <v>0</v>
      </c>
      <c r="K1052" s="68"/>
      <c r="L1052" s="68"/>
      <c r="M1052" s="68"/>
      <c r="N1052" s="68"/>
      <c r="O1052" s="68"/>
      <c r="P1052" s="68"/>
      <c r="Q1052" s="68">
        <f>SUM(Devis[[#This Row],[Poste 1]:[Poste 6]])</f>
        <v>0</v>
      </c>
      <c r="R1052" s="71"/>
      <c r="S1052" s="68">
        <f>_xlfn.CEILING.MATH(Devis[[#This Row],[Quantité Totale]],Devis[[#This Row],[Conditionnement]])</f>
        <v>0</v>
      </c>
      <c r="T1052" s="72"/>
      <c r="U1052" s="73"/>
      <c r="V1052" s="74">
        <f>Devis[[#This Row],[Prix de Revient]]*Devis[[#This Row],[Poste 1]]</f>
        <v>0</v>
      </c>
      <c r="W1052" s="74">
        <f>Devis[[#This Row],[Prix de Revient]]*Devis[[#This Row],[Poste 2]]</f>
        <v>0</v>
      </c>
      <c r="X1052" s="74">
        <f>Devis[[#This Row],[Prix de Revient]]*Devis[[#This Row],[Poste 3]]</f>
        <v>0</v>
      </c>
      <c r="Y1052" s="74">
        <f>Devis[[#This Row],[Poste 4]]*Devis[[#This Row],[Prix de Revient]]</f>
        <v>0</v>
      </c>
      <c r="Z1052" s="74">
        <f>Devis[[#This Row],[Poste 5]]*Devis[[#This Row],[Prix de Revient]]</f>
        <v>0</v>
      </c>
      <c r="AA1052" s="74">
        <f>Devis[[#This Row],[Prix de Revient]]*Devis[[#This Row],[Poste 6]]</f>
        <v>0</v>
      </c>
      <c r="AB1052" s="74">
        <f>Devis[[#This Row],[Quantité Totale]]*Devis[[#This Row],[Prix de Revient]]</f>
        <v>0</v>
      </c>
    </row>
    <row r="1053" spans="1:28" ht="14.25" outlineLevel="1" x14ac:dyDescent="0.2">
      <c r="A1053" s="75" t="s">
        <v>624</v>
      </c>
      <c r="B1053" s="76" t="s">
        <v>5942</v>
      </c>
      <c r="C1053" s="76" t="s">
        <v>1943</v>
      </c>
      <c r="D1053" s="81" t="str">
        <f t="shared" si="17"/>
        <v>FlexiblesFLEXIBLE CAOUTCHOUC MM1/2"</v>
      </c>
      <c r="E1053" s="76" t="s">
        <v>687</v>
      </c>
      <c r="F1053" s="81">
        <v>5</v>
      </c>
      <c r="G1053" s="71" t="s">
        <v>688</v>
      </c>
      <c r="H1053" s="71"/>
      <c r="I1053" s="71"/>
      <c r="J1053" s="70">
        <f>IFERROR(VLOOKUP(Devis[[#This Row],[Ref Air Flux]],#REF!,3,FALSE),0)</f>
        <v>0</v>
      </c>
      <c r="K1053" s="68"/>
      <c r="L1053" s="68"/>
      <c r="M1053" s="68"/>
      <c r="N1053" s="68"/>
      <c r="O1053" s="68"/>
      <c r="P1053" s="68"/>
      <c r="Q1053" s="68">
        <f>SUM(Devis[[#This Row],[Poste 1]:[Poste 6]])</f>
        <v>0</v>
      </c>
      <c r="R1053" s="71"/>
      <c r="S1053" s="68">
        <f>_xlfn.CEILING.MATH(Devis[[#This Row],[Quantité Totale]],Devis[[#This Row],[Conditionnement]])</f>
        <v>0</v>
      </c>
      <c r="T1053" s="72"/>
      <c r="U1053" s="73"/>
      <c r="V1053" s="74">
        <f>Devis[[#This Row],[Prix de Revient]]*Devis[[#This Row],[Poste 1]]</f>
        <v>0</v>
      </c>
      <c r="W1053" s="74">
        <f>Devis[[#This Row],[Prix de Revient]]*Devis[[#This Row],[Poste 2]]</f>
        <v>0</v>
      </c>
      <c r="X1053" s="74">
        <f>Devis[[#This Row],[Prix de Revient]]*Devis[[#This Row],[Poste 3]]</f>
        <v>0</v>
      </c>
      <c r="Y1053" s="74">
        <f>Devis[[#This Row],[Poste 4]]*Devis[[#This Row],[Prix de Revient]]</f>
        <v>0</v>
      </c>
      <c r="Z1053" s="74">
        <f>Devis[[#This Row],[Poste 5]]*Devis[[#This Row],[Prix de Revient]]</f>
        <v>0</v>
      </c>
      <c r="AA1053" s="74">
        <f>Devis[[#This Row],[Prix de Revient]]*Devis[[#This Row],[Poste 6]]</f>
        <v>0</v>
      </c>
      <c r="AB1053" s="74">
        <f>Devis[[#This Row],[Quantité Totale]]*Devis[[#This Row],[Prix de Revient]]</f>
        <v>0</v>
      </c>
    </row>
    <row r="1054" spans="1:28" ht="14.25" outlineLevel="1" x14ac:dyDescent="0.2">
      <c r="A1054" s="75" t="s">
        <v>624</v>
      </c>
      <c r="B1054" s="76" t="s">
        <v>5942</v>
      </c>
      <c r="C1054" s="76" t="s">
        <v>1943</v>
      </c>
      <c r="D1054" s="81" t="str">
        <f t="shared" si="17"/>
        <v>FlexiblesFLEXIBLE CAOUTCHOUC MM1/2"</v>
      </c>
      <c r="E1054" s="76" t="s">
        <v>689</v>
      </c>
      <c r="F1054" s="81">
        <v>6</v>
      </c>
      <c r="G1054" s="71" t="s">
        <v>690</v>
      </c>
      <c r="H1054" s="71"/>
      <c r="I1054" s="71"/>
      <c r="J1054" s="70">
        <f>IFERROR(VLOOKUP(Devis[[#This Row],[Ref Air Flux]],#REF!,3,FALSE),0)</f>
        <v>0</v>
      </c>
      <c r="K1054" s="68"/>
      <c r="L1054" s="68"/>
      <c r="M1054" s="68"/>
      <c r="N1054" s="68"/>
      <c r="O1054" s="68"/>
      <c r="P1054" s="68"/>
      <c r="Q1054" s="68">
        <f>SUM(Devis[[#This Row],[Poste 1]:[Poste 6]])</f>
        <v>0</v>
      </c>
      <c r="R1054" s="71"/>
      <c r="S1054" s="68">
        <f>_xlfn.CEILING.MATH(Devis[[#This Row],[Quantité Totale]],Devis[[#This Row],[Conditionnement]])</f>
        <v>0</v>
      </c>
      <c r="T1054" s="72"/>
      <c r="U1054" s="73"/>
      <c r="V1054" s="74">
        <f>Devis[[#This Row],[Prix de Revient]]*Devis[[#This Row],[Poste 1]]</f>
        <v>0</v>
      </c>
      <c r="W1054" s="74">
        <f>Devis[[#This Row],[Prix de Revient]]*Devis[[#This Row],[Poste 2]]</f>
        <v>0</v>
      </c>
      <c r="X1054" s="74">
        <f>Devis[[#This Row],[Prix de Revient]]*Devis[[#This Row],[Poste 3]]</f>
        <v>0</v>
      </c>
      <c r="Y1054" s="74">
        <f>Devis[[#This Row],[Poste 4]]*Devis[[#This Row],[Prix de Revient]]</f>
        <v>0</v>
      </c>
      <c r="Z1054" s="74">
        <f>Devis[[#This Row],[Poste 5]]*Devis[[#This Row],[Prix de Revient]]</f>
        <v>0</v>
      </c>
      <c r="AA1054" s="74">
        <f>Devis[[#This Row],[Prix de Revient]]*Devis[[#This Row],[Poste 6]]</f>
        <v>0</v>
      </c>
      <c r="AB1054" s="74">
        <f>Devis[[#This Row],[Quantité Totale]]*Devis[[#This Row],[Prix de Revient]]</f>
        <v>0</v>
      </c>
    </row>
    <row r="1055" spans="1:28" ht="14.25" outlineLevel="1" x14ac:dyDescent="0.2">
      <c r="A1055" s="75" t="s">
        <v>624</v>
      </c>
      <c r="B1055" s="76" t="s">
        <v>5942</v>
      </c>
      <c r="C1055" s="76" t="s">
        <v>1943</v>
      </c>
      <c r="D1055" s="81" t="str">
        <f t="shared" si="17"/>
        <v>FlexiblesFLEXIBLE CAOUTCHOUC MM1/2"</v>
      </c>
      <c r="E1055" s="76" t="s">
        <v>691</v>
      </c>
      <c r="F1055" s="81">
        <v>7</v>
      </c>
      <c r="G1055" s="71" t="s">
        <v>692</v>
      </c>
      <c r="H1055" s="71"/>
      <c r="I1055" s="71"/>
      <c r="J1055" s="70">
        <f>IFERROR(VLOOKUP(Devis[[#This Row],[Ref Air Flux]],#REF!,3,FALSE),0)</f>
        <v>0</v>
      </c>
      <c r="K1055" s="68"/>
      <c r="L1055" s="68"/>
      <c r="M1055" s="68"/>
      <c r="N1055" s="68"/>
      <c r="O1055" s="68"/>
      <c r="P1055" s="68"/>
      <c r="Q1055" s="68">
        <f>SUM(Devis[[#This Row],[Poste 1]:[Poste 6]])</f>
        <v>0</v>
      </c>
      <c r="R1055" s="71"/>
      <c r="S1055" s="68">
        <f>_xlfn.CEILING.MATH(Devis[[#This Row],[Quantité Totale]],Devis[[#This Row],[Conditionnement]])</f>
        <v>0</v>
      </c>
      <c r="T1055" s="72"/>
      <c r="U1055" s="73"/>
      <c r="V1055" s="74">
        <f>Devis[[#This Row],[Prix de Revient]]*Devis[[#This Row],[Poste 1]]</f>
        <v>0</v>
      </c>
      <c r="W1055" s="74">
        <f>Devis[[#This Row],[Prix de Revient]]*Devis[[#This Row],[Poste 2]]</f>
        <v>0</v>
      </c>
      <c r="X1055" s="74">
        <f>Devis[[#This Row],[Prix de Revient]]*Devis[[#This Row],[Poste 3]]</f>
        <v>0</v>
      </c>
      <c r="Y1055" s="74">
        <f>Devis[[#This Row],[Poste 4]]*Devis[[#This Row],[Prix de Revient]]</f>
        <v>0</v>
      </c>
      <c r="Z1055" s="74">
        <f>Devis[[#This Row],[Poste 5]]*Devis[[#This Row],[Prix de Revient]]</f>
        <v>0</v>
      </c>
      <c r="AA1055" s="74">
        <f>Devis[[#This Row],[Prix de Revient]]*Devis[[#This Row],[Poste 6]]</f>
        <v>0</v>
      </c>
      <c r="AB1055" s="74">
        <f>Devis[[#This Row],[Quantité Totale]]*Devis[[#This Row],[Prix de Revient]]</f>
        <v>0</v>
      </c>
    </row>
    <row r="1056" spans="1:28" ht="15" customHeight="1" outlineLevel="1" x14ac:dyDescent="0.2">
      <c r="A1056" s="75" t="s">
        <v>624</v>
      </c>
      <c r="B1056" s="76" t="s">
        <v>5942</v>
      </c>
      <c r="C1056" s="76" t="s">
        <v>1943</v>
      </c>
      <c r="D1056" s="81" t="str">
        <f t="shared" si="17"/>
        <v>FlexiblesFLEXIBLE CAOUTCHOUC MM1/2"</v>
      </c>
      <c r="E1056" s="76" t="s">
        <v>693</v>
      </c>
      <c r="F1056" s="81">
        <v>8</v>
      </c>
      <c r="G1056" s="71" t="s">
        <v>694</v>
      </c>
      <c r="H1056" s="71"/>
      <c r="I1056" s="71"/>
      <c r="J1056" s="70">
        <f>IFERROR(VLOOKUP(Devis[[#This Row],[Ref Air Flux]],#REF!,3,FALSE),0)</f>
        <v>0</v>
      </c>
      <c r="K1056" s="68"/>
      <c r="L1056" s="68"/>
      <c r="M1056" s="68"/>
      <c r="N1056" s="68"/>
      <c r="O1056" s="68"/>
      <c r="P1056" s="68"/>
      <c r="Q1056" s="68">
        <f>SUM(Devis[[#This Row],[Poste 1]:[Poste 6]])</f>
        <v>0</v>
      </c>
      <c r="R1056" s="71"/>
      <c r="S1056" s="68">
        <f>_xlfn.CEILING.MATH(Devis[[#This Row],[Quantité Totale]],Devis[[#This Row],[Conditionnement]])</f>
        <v>0</v>
      </c>
      <c r="T1056" s="72"/>
      <c r="U1056" s="73"/>
      <c r="V1056" s="74">
        <f>Devis[[#This Row],[Prix de Revient]]*Devis[[#This Row],[Poste 1]]</f>
        <v>0</v>
      </c>
      <c r="W1056" s="74">
        <f>Devis[[#This Row],[Prix de Revient]]*Devis[[#This Row],[Poste 2]]</f>
        <v>0</v>
      </c>
      <c r="X1056" s="74">
        <f>Devis[[#This Row],[Prix de Revient]]*Devis[[#This Row],[Poste 3]]</f>
        <v>0</v>
      </c>
      <c r="Y1056" s="74">
        <f>Devis[[#This Row],[Poste 4]]*Devis[[#This Row],[Prix de Revient]]</f>
        <v>0</v>
      </c>
      <c r="Z1056" s="74">
        <f>Devis[[#This Row],[Poste 5]]*Devis[[#This Row],[Prix de Revient]]</f>
        <v>0</v>
      </c>
      <c r="AA1056" s="74">
        <f>Devis[[#This Row],[Prix de Revient]]*Devis[[#This Row],[Poste 6]]</f>
        <v>0</v>
      </c>
      <c r="AB1056" s="74">
        <f>Devis[[#This Row],[Quantité Totale]]*Devis[[#This Row],[Prix de Revient]]</f>
        <v>0</v>
      </c>
    </row>
    <row r="1057" spans="1:28" ht="14.25" outlineLevel="1" x14ac:dyDescent="0.2">
      <c r="A1057" s="75" t="s">
        <v>624</v>
      </c>
      <c r="B1057" s="76" t="s">
        <v>5942</v>
      </c>
      <c r="C1057" s="76" t="s">
        <v>1943</v>
      </c>
      <c r="D1057" s="81" t="str">
        <f t="shared" si="17"/>
        <v>FlexiblesFLEXIBLE CAOUTCHOUC MM1/2"</v>
      </c>
      <c r="E1057" s="76" t="s">
        <v>695</v>
      </c>
      <c r="F1057" s="81">
        <v>9</v>
      </c>
      <c r="G1057" s="71" t="s">
        <v>696</v>
      </c>
      <c r="H1057" s="71"/>
      <c r="I1057" s="71"/>
      <c r="J1057" s="70">
        <f>IFERROR(VLOOKUP(Devis[[#This Row],[Ref Air Flux]],#REF!,3,FALSE),0)</f>
        <v>0</v>
      </c>
      <c r="K1057" s="68"/>
      <c r="L1057" s="68"/>
      <c r="M1057" s="68"/>
      <c r="N1057" s="68"/>
      <c r="O1057" s="68"/>
      <c r="P1057" s="68"/>
      <c r="Q1057" s="68">
        <f>SUM(Devis[[#This Row],[Poste 1]:[Poste 6]])</f>
        <v>0</v>
      </c>
      <c r="R1057" s="71"/>
      <c r="S1057" s="68">
        <f>_xlfn.CEILING.MATH(Devis[[#This Row],[Quantité Totale]],Devis[[#This Row],[Conditionnement]])</f>
        <v>0</v>
      </c>
      <c r="T1057" s="72"/>
      <c r="U1057" s="73"/>
      <c r="V1057" s="74">
        <f>Devis[[#This Row],[Prix de Revient]]*Devis[[#This Row],[Poste 1]]</f>
        <v>0</v>
      </c>
      <c r="W1057" s="74">
        <f>Devis[[#This Row],[Prix de Revient]]*Devis[[#This Row],[Poste 2]]</f>
        <v>0</v>
      </c>
      <c r="X1057" s="74">
        <f>Devis[[#This Row],[Prix de Revient]]*Devis[[#This Row],[Poste 3]]</f>
        <v>0</v>
      </c>
      <c r="Y1057" s="74">
        <f>Devis[[#This Row],[Poste 4]]*Devis[[#This Row],[Prix de Revient]]</f>
        <v>0</v>
      </c>
      <c r="Z1057" s="74">
        <f>Devis[[#This Row],[Poste 5]]*Devis[[#This Row],[Prix de Revient]]</f>
        <v>0</v>
      </c>
      <c r="AA1057" s="74">
        <f>Devis[[#This Row],[Prix de Revient]]*Devis[[#This Row],[Poste 6]]</f>
        <v>0</v>
      </c>
      <c r="AB1057" s="74">
        <f>Devis[[#This Row],[Quantité Totale]]*Devis[[#This Row],[Prix de Revient]]</f>
        <v>0</v>
      </c>
    </row>
    <row r="1058" spans="1:28" ht="14.25" outlineLevel="1" x14ac:dyDescent="0.2">
      <c r="A1058" s="75" t="s">
        <v>624</v>
      </c>
      <c r="B1058" s="76" t="s">
        <v>5942</v>
      </c>
      <c r="C1058" s="76" t="s">
        <v>1943</v>
      </c>
      <c r="D1058" s="81" t="str">
        <f t="shared" si="17"/>
        <v>FlexiblesFLEXIBLE CAOUTCHOUC MM1/2"</v>
      </c>
      <c r="E1058" s="76" t="s">
        <v>697</v>
      </c>
      <c r="F1058" s="81">
        <v>10</v>
      </c>
      <c r="G1058" s="71" t="s">
        <v>698</v>
      </c>
      <c r="H1058" s="71"/>
      <c r="I1058" s="71"/>
      <c r="J1058" s="70">
        <f>IFERROR(VLOOKUP(Devis[[#This Row],[Ref Air Flux]],#REF!,3,FALSE),0)</f>
        <v>0</v>
      </c>
      <c r="K1058" s="68"/>
      <c r="L1058" s="68"/>
      <c r="M1058" s="68"/>
      <c r="N1058" s="68"/>
      <c r="O1058" s="68"/>
      <c r="P1058" s="68"/>
      <c r="Q1058" s="68">
        <f>SUM(Devis[[#This Row],[Poste 1]:[Poste 6]])</f>
        <v>0</v>
      </c>
      <c r="R1058" s="71"/>
      <c r="S1058" s="68">
        <f>_xlfn.CEILING.MATH(Devis[[#This Row],[Quantité Totale]],Devis[[#This Row],[Conditionnement]])</f>
        <v>0</v>
      </c>
      <c r="T1058" s="72"/>
      <c r="U1058" s="73"/>
      <c r="V1058" s="74">
        <f>Devis[[#This Row],[Prix de Revient]]*Devis[[#This Row],[Poste 1]]</f>
        <v>0</v>
      </c>
      <c r="W1058" s="74">
        <f>Devis[[#This Row],[Prix de Revient]]*Devis[[#This Row],[Poste 2]]</f>
        <v>0</v>
      </c>
      <c r="X1058" s="74">
        <f>Devis[[#This Row],[Prix de Revient]]*Devis[[#This Row],[Poste 3]]</f>
        <v>0</v>
      </c>
      <c r="Y1058" s="74">
        <f>Devis[[#This Row],[Poste 4]]*Devis[[#This Row],[Prix de Revient]]</f>
        <v>0</v>
      </c>
      <c r="Z1058" s="74">
        <f>Devis[[#This Row],[Poste 5]]*Devis[[#This Row],[Prix de Revient]]</f>
        <v>0</v>
      </c>
      <c r="AA1058" s="74">
        <f>Devis[[#This Row],[Prix de Revient]]*Devis[[#This Row],[Poste 6]]</f>
        <v>0</v>
      </c>
      <c r="AB1058" s="74">
        <f>Devis[[#This Row],[Quantité Totale]]*Devis[[#This Row],[Prix de Revient]]</f>
        <v>0</v>
      </c>
    </row>
    <row r="1059" spans="1:28" ht="14.25" outlineLevel="1" x14ac:dyDescent="0.2">
      <c r="A1059" s="75" t="s">
        <v>624</v>
      </c>
      <c r="B1059" s="76" t="s">
        <v>5942</v>
      </c>
      <c r="C1059" s="76" t="s">
        <v>2061</v>
      </c>
      <c r="D1059" s="81" t="str">
        <f t="shared" si="17"/>
        <v>FlexiblesFLEXIBLE CAOUTCHOUC MM3/4"</v>
      </c>
      <c r="E1059" s="76" t="s">
        <v>699</v>
      </c>
      <c r="F1059" s="81">
        <v>11</v>
      </c>
      <c r="G1059" s="71" t="s">
        <v>700</v>
      </c>
      <c r="H1059" s="71"/>
      <c r="I1059" s="71"/>
      <c r="J1059" s="70">
        <f>IFERROR(VLOOKUP(Devis[[#This Row],[Ref Air Flux]],#REF!,3,FALSE),0)</f>
        <v>0</v>
      </c>
      <c r="K1059" s="68"/>
      <c r="L1059" s="68"/>
      <c r="M1059" s="68"/>
      <c r="N1059" s="68"/>
      <c r="O1059" s="68"/>
      <c r="P1059" s="68"/>
      <c r="Q1059" s="68">
        <f>SUM(Devis[[#This Row],[Poste 1]:[Poste 6]])</f>
        <v>0</v>
      </c>
      <c r="R1059" s="71"/>
      <c r="S1059" s="68">
        <f>_xlfn.CEILING.MATH(Devis[[#This Row],[Quantité Totale]],Devis[[#This Row],[Conditionnement]])</f>
        <v>0</v>
      </c>
      <c r="T1059" s="72"/>
      <c r="U1059" s="73"/>
      <c r="V1059" s="74">
        <f>Devis[[#This Row],[Prix de Revient]]*Devis[[#This Row],[Poste 1]]</f>
        <v>0</v>
      </c>
      <c r="W1059" s="74">
        <f>Devis[[#This Row],[Prix de Revient]]*Devis[[#This Row],[Poste 2]]</f>
        <v>0</v>
      </c>
      <c r="X1059" s="74">
        <f>Devis[[#This Row],[Prix de Revient]]*Devis[[#This Row],[Poste 3]]</f>
        <v>0</v>
      </c>
      <c r="Y1059" s="74">
        <f>Devis[[#This Row],[Poste 4]]*Devis[[#This Row],[Prix de Revient]]</f>
        <v>0</v>
      </c>
      <c r="Z1059" s="74">
        <f>Devis[[#This Row],[Poste 5]]*Devis[[#This Row],[Prix de Revient]]</f>
        <v>0</v>
      </c>
      <c r="AA1059" s="74">
        <f>Devis[[#This Row],[Prix de Revient]]*Devis[[#This Row],[Poste 6]]</f>
        <v>0</v>
      </c>
      <c r="AB1059" s="74">
        <f>Devis[[#This Row],[Quantité Totale]]*Devis[[#This Row],[Prix de Revient]]</f>
        <v>0</v>
      </c>
    </row>
    <row r="1060" spans="1:28" ht="14.25" outlineLevel="1" x14ac:dyDescent="0.2">
      <c r="A1060" s="75" t="s">
        <v>624</v>
      </c>
      <c r="B1060" s="76" t="s">
        <v>5942</v>
      </c>
      <c r="C1060" s="76" t="s">
        <v>2061</v>
      </c>
      <c r="D1060" s="81" t="str">
        <f t="shared" si="17"/>
        <v>FlexiblesFLEXIBLE CAOUTCHOUC MM3/4"</v>
      </c>
      <c r="E1060" s="76" t="s">
        <v>646</v>
      </c>
      <c r="F1060" s="81">
        <v>12</v>
      </c>
      <c r="G1060" s="71" t="s">
        <v>701</v>
      </c>
      <c r="H1060" s="71"/>
      <c r="I1060" s="71"/>
      <c r="J1060" s="70">
        <f>IFERROR(VLOOKUP(Devis[[#This Row],[Ref Air Flux]],#REF!,3,FALSE),0)</f>
        <v>0</v>
      </c>
      <c r="K1060" s="68"/>
      <c r="L1060" s="68"/>
      <c r="M1060" s="68"/>
      <c r="N1060" s="68"/>
      <c r="O1060" s="68"/>
      <c r="P1060" s="68"/>
      <c r="Q1060" s="68">
        <f>SUM(Devis[[#This Row],[Poste 1]:[Poste 6]])</f>
        <v>0</v>
      </c>
      <c r="R1060" s="71"/>
      <c r="S1060" s="68">
        <f>_xlfn.CEILING.MATH(Devis[[#This Row],[Quantité Totale]],Devis[[#This Row],[Conditionnement]])</f>
        <v>0</v>
      </c>
      <c r="T1060" s="72"/>
      <c r="U1060" s="73"/>
      <c r="V1060" s="74">
        <f>Devis[[#This Row],[Prix de Revient]]*Devis[[#This Row],[Poste 1]]</f>
        <v>0</v>
      </c>
      <c r="W1060" s="74">
        <f>Devis[[#This Row],[Prix de Revient]]*Devis[[#This Row],[Poste 2]]</f>
        <v>0</v>
      </c>
      <c r="X1060" s="74">
        <f>Devis[[#This Row],[Prix de Revient]]*Devis[[#This Row],[Poste 3]]</f>
        <v>0</v>
      </c>
      <c r="Y1060" s="74">
        <f>Devis[[#This Row],[Poste 4]]*Devis[[#This Row],[Prix de Revient]]</f>
        <v>0</v>
      </c>
      <c r="Z1060" s="74">
        <f>Devis[[#This Row],[Poste 5]]*Devis[[#This Row],[Prix de Revient]]</f>
        <v>0</v>
      </c>
      <c r="AA1060" s="74">
        <f>Devis[[#This Row],[Prix de Revient]]*Devis[[#This Row],[Poste 6]]</f>
        <v>0</v>
      </c>
      <c r="AB1060" s="74">
        <f>Devis[[#This Row],[Quantité Totale]]*Devis[[#This Row],[Prix de Revient]]</f>
        <v>0</v>
      </c>
    </row>
    <row r="1061" spans="1:28" ht="14.25" outlineLevel="1" x14ac:dyDescent="0.2">
      <c r="A1061" s="75" t="s">
        <v>624</v>
      </c>
      <c r="B1061" s="76" t="s">
        <v>5942</v>
      </c>
      <c r="C1061" s="76" t="s">
        <v>2061</v>
      </c>
      <c r="D1061" s="81" t="str">
        <f t="shared" si="17"/>
        <v>FlexiblesFLEXIBLE CAOUTCHOUC MM3/4"</v>
      </c>
      <c r="E1061" s="76" t="s">
        <v>702</v>
      </c>
      <c r="F1061" s="81">
        <v>13</v>
      </c>
      <c r="G1061" s="71" t="s">
        <v>703</v>
      </c>
      <c r="H1061" s="71"/>
      <c r="I1061" s="71"/>
      <c r="J1061" s="70">
        <f>IFERROR(VLOOKUP(Devis[[#This Row],[Ref Air Flux]],#REF!,3,FALSE),0)</f>
        <v>0</v>
      </c>
      <c r="K1061" s="68"/>
      <c r="L1061" s="68"/>
      <c r="M1061" s="68"/>
      <c r="N1061" s="68"/>
      <c r="O1061" s="68"/>
      <c r="P1061" s="68"/>
      <c r="Q1061" s="68">
        <f>SUM(Devis[[#This Row],[Poste 1]:[Poste 6]])</f>
        <v>0</v>
      </c>
      <c r="R1061" s="71"/>
      <c r="S1061" s="68">
        <f>_xlfn.CEILING.MATH(Devis[[#This Row],[Quantité Totale]],Devis[[#This Row],[Conditionnement]])</f>
        <v>0</v>
      </c>
      <c r="T1061" s="72"/>
      <c r="U1061" s="73"/>
      <c r="V1061" s="74">
        <f>Devis[[#This Row],[Prix de Revient]]*Devis[[#This Row],[Poste 1]]</f>
        <v>0</v>
      </c>
      <c r="W1061" s="74">
        <f>Devis[[#This Row],[Prix de Revient]]*Devis[[#This Row],[Poste 2]]</f>
        <v>0</v>
      </c>
      <c r="X1061" s="74">
        <f>Devis[[#This Row],[Prix de Revient]]*Devis[[#This Row],[Poste 3]]</f>
        <v>0</v>
      </c>
      <c r="Y1061" s="74">
        <f>Devis[[#This Row],[Poste 4]]*Devis[[#This Row],[Prix de Revient]]</f>
        <v>0</v>
      </c>
      <c r="Z1061" s="74">
        <f>Devis[[#This Row],[Poste 5]]*Devis[[#This Row],[Prix de Revient]]</f>
        <v>0</v>
      </c>
      <c r="AA1061" s="74">
        <f>Devis[[#This Row],[Prix de Revient]]*Devis[[#This Row],[Poste 6]]</f>
        <v>0</v>
      </c>
      <c r="AB1061" s="74">
        <f>Devis[[#This Row],[Quantité Totale]]*Devis[[#This Row],[Prix de Revient]]</f>
        <v>0</v>
      </c>
    </row>
    <row r="1062" spans="1:28" ht="14.25" outlineLevel="1" x14ac:dyDescent="0.2">
      <c r="A1062" s="75" t="s">
        <v>624</v>
      </c>
      <c r="B1062" s="76" t="s">
        <v>5942</v>
      </c>
      <c r="C1062" s="76" t="s">
        <v>2061</v>
      </c>
      <c r="D1062" s="81" t="str">
        <f t="shared" si="17"/>
        <v>FlexiblesFLEXIBLE CAOUTCHOUC MM3/4"</v>
      </c>
      <c r="E1062" s="76" t="s">
        <v>648</v>
      </c>
      <c r="F1062" s="81">
        <v>14</v>
      </c>
      <c r="G1062" s="71" t="s">
        <v>704</v>
      </c>
      <c r="H1062" s="71"/>
      <c r="I1062" s="71"/>
      <c r="J1062" s="70">
        <f>IFERROR(VLOOKUP(Devis[[#This Row],[Ref Air Flux]],#REF!,3,FALSE),0)</f>
        <v>0</v>
      </c>
      <c r="K1062" s="68"/>
      <c r="L1062" s="68"/>
      <c r="M1062" s="68"/>
      <c r="N1062" s="68"/>
      <c r="O1062" s="68"/>
      <c r="P1062" s="68"/>
      <c r="Q1062" s="68">
        <f>SUM(Devis[[#This Row],[Poste 1]:[Poste 6]])</f>
        <v>0</v>
      </c>
      <c r="R1062" s="71"/>
      <c r="S1062" s="68">
        <f>_xlfn.CEILING.MATH(Devis[[#This Row],[Quantité Totale]],Devis[[#This Row],[Conditionnement]])</f>
        <v>0</v>
      </c>
      <c r="T1062" s="72"/>
      <c r="U1062" s="73"/>
      <c r="V1062" s="74">
        <f>Devis[[#This Row],[Prix de Revient]]*Devis[[#This Row],[Poste 1]]</f>
        <v>0</v>
      </c>
      <c r="W1062" s="74">
        <f>Devis[[#This Row],[Prix de Revient]]*Devis[[#This Row],[Poste 2]]</f>
        <v>0</v>
      </c>
      <c r="X1062" s="74">
        <f>Devis[[#This Row],[Prix de Revient]]*Devis[[#This Row],[Poste 3]]</f>
        <v>0</v>
      </c>
      <c r="Y1062" s="74">
        <f>Devis[[#This Row],[Poste 4]]*Devis[[#This Row],[Prix de Revient]]</f>
        <v>0</v>
      </c>
      <c r="Z1062" s="74">
        <f>Devis[[#This Row],[Poste 5]]*Devis[[#This Row],[Prix de Revient]]</f>
        <v>0</v>
      </c>
      <c r="AA1062" s="74">
        <f>Devis[[#This Row],[Prix de Revient]]*Devis[[#This Row],[Poste 6]]</f>
        <v>0</v>
      </c>
      <c r="AB1062" s="74">
        <f>Devis[[#This Row],[Quantité Totale]]*Devis[[#This Row],[Prix de Revient]]</f>
        <v>0</v>
      </c>
    </row>
    <row r="1063" spans="1:28" ht="14.25" customHeight="1" outlineLevel="1" x14ac:dyDescent="0.2">
      <c r="A1063" s="75" t="s">
        <v>624</v>
      </c>
      <c r="B1063" s="76" t="s">
        <v>5942</v>
      </c>
      <c r="C1063" s="76" t="s">
        <v>2061</v>
      </c>
      <c r="D1063" s="81" t="str">
        <f t="shared" si="17"/>
        <v>FlexiblesFLEXIBLE CAOUTCHOUC MM3/4"</v>
      </c>
      <c r="E1063" s="76" t="s">
        <v>705</v>
      </c>
      <c r="F1063" s="81">
        <v>15</v>
      </c>
      <c r="G1063" s="71" t="s">
        <v>706</v>
      </c>
      <c r="H1063" s="71"/>
      <c r="I1063" s="71"/>
      <c r="J1063" s="70">
        <f>IFERROR(VLOOKUP(Devis[[#This Row],[Ref Air Flux]],#REF!,3,FALSE),0)</f>
        <v>0</v>
      </c>
      <c r="K1063" s="68"/>
      <c r="L1063" s="68"/>
      <c r="M1063" s="68"/>
      <c r="N1063" s="68"/>
      <c r="O1063" s="68"/>
      <c r="P1063" s="68"/>
      <c r="Q1063" s="68">
        <f>SUM(Devis[[#This Row],[Poste 1]:[Poste 6]])</f>
        <v>0</v>
      </c>
      <c r="R1063" s="71"/>
      <c r="S1063" s="68">
        <f>_xlfn.CEILING.MATH(Devis[[#This Row],[Quantité Totale]],Devis[[#This Row],[Conditionnement]])</f>
        <v>0</v>
      </c>
      <c r="T1063" s="72"/>
      <c r="U1063" s="73"/>
      <c r="V1063" s="74">
        <f>Devis[[#This Row],[Prix de Revient]]*Devis[[#This Row],[Poste 1]]</f>
        <v>0</v>
      </c>
      <c r="W1063" s="74">
        <f>Devis[[#This Row],[Prix de Revient]]*Devis[[#This Row],[Poste 2]]</f>
        <v>0</v>
      </c>
      <c r="X1063" s="74">
        <f>Devis[[#This Row],[Prix de Revient]]*Devis[[#This Row],[Poste 3]]</f>
        <v>0</v>
      </c>
      <c r="Y1063" s="74">
        <f>Devis[[#This Row],[Poste 4]]*Devis[[#This Row],[Prix de Revient]]</f>
        <v>0</v>
      </c>
      <c r="Z1063" s="74">
        <f>Devis[[#This Row],[Poste 5]]*Devis[[#This Row],[Prix de Revient]]</f>
        <v>0</v>
      </c>
      <c r="AA1063" s="74">
        <f>Devis[[#This Row],[Prix de Revient]]*Devis[[#This Row],[Poste 6]]</f>
        <v>0</v>
      </c>
      <c r="AB1063" s="74">
        <f>Devis[[#This Row],[Quantité Totale]]*Devis[[#This Row],[Prix de Revient]]</f>
        <v>0</v>
      </c>
    </row>
    <row r="1064" spans="1:28" ht="14.25" outlineLevel="1" x14ac:dyDescent="0.2">
      <c r="A1064" s="75" t="s">
        <v>624</v>
      </c>
      <c r="B1064" s="76" t="s">
        <v>5942</v>
      </c>
      <c r="C1064" s="76" t="s">
        <v>2061</v>
      </c>
      <c r="D1064" s="81" t="str">
        <f t="shared" si="17"/>
        <v>FlexiblesFLEXIBLE CAOUTCHOUC MM3/4"</v>
      </c>
      <c r="E1064" s="76" t="s">
        <v>707</v>
      </c>
      <c r="F1064" s="81">
        <v>16</v>
      </c>
      <c r="G1064" s="71" t="s">
        <v>708</v>
      </c>
      <c r="H1064" s="71"/>
      <c r="I1064" s="71"/>
      <c r="J1064" s="70">
        <f>IFERROR(VLOOKUP(Devis[[#This Row],[Ref Air Flux]],#REF!,3,FALSE),0)</f>
        <v>0</v>
      </c>
      <c r="K1064" s="68"/>
      <c r="L1064" s="68"/>
      <c r="M1064" s="68"/>
      <c r="N1064" s="68"/>
      <c r="O1064" s="68"/>
      <c r="P1064" s="68"/>
      <c r="Q1064" s="68">
        <f>SUM(Devis[[#This Row],[Poste 1]:[Poste 6]])</f>
        <v>0</v>
      </c>
      <c r="R1064" s="71"/>
      <c r="S1064" s="68">
        <f>_xlfn.CEILING.MATH(Devis[[#This Row],[Quantité Totale]],Devis[[#This Row],[Conditionnement]])</f>
        <v>0</v>
      </c>
      <c r="T1064" s="72"/>
      <c r="U1064" s="73"/>
      <c r="V1064" s="74">
        <f>Devis[[#This Row],[Prix de Revient]]*Devis[[#This Row],[Poste 1]]</f>
        <v>0</v>
      </c>
      <c r="W1064" s="74">
        <f>Devis[[#This Row],[Prix de Revient]]*Devis[[#This Row],[Poste 2]]</f>
        <v>0</v>
      </c>
      <c r="X1064" s="74">
        <f>Devis[[#This Row],[Prix de Revient]]*Devis[[#This Row],[Poste 3]]</f>
        <v>0</v>
      </c>
      <c r="Y1064" s="74">
        <f>Devis[[#This Row],[Poste 4]]*Devis[[#This Row],[Prix de Revient]]</f>
        <v>0</v>
      </c>
      <c r="Z1064" s="74">
        <f>Devis[[#This Row],[Poste 5]]*Devis[[#This Row],[Prix de Revient]]</f>
        <v>0</v>
      </c>
      <c r="AA1064" s="74">
        <f>Devis[[#This Row],[Prix de Revient]]*Devis[[#This Row],[Poste 6]]</f>
        <v>0</v>
      </c>
      <c r="AB1064" s="74">
        <f>Devis[[#This Row],[Quantité Totale]]*Devis[[#This Row],[Prix de Revient]]</f>
        <v>0</v>
      </c>
    </row>
    <row r="1065" spans="1:28" ht="14.25" outlineLevel="1" x14ac:dyDescent="0.2">
      <c r="A1065" s="75" t="s">
        <v>624</v>
      </c>
      <c r="B1065" s="76" t="s">
        <v>5942</v>
      </c>
      <c r="C1065" s="76" t="s">
        <v>2061</v>
      </c>
      <c r="D1065" s="81" t="str">
        <f t="shared" si="17"/>
        <v>FlexiblesFLEXIBLE CAOUTCHOUC MM3/4"</v>
      </c>
      <c r="E1065" s="76" t="s">
        <v>709</v>
      </c>
      <c r="F1065" s="81">
        <v>17</v>
      </c>
      <c r="G1065" s="71" t="s">
        <v>710</v>
      </c>
      <c r="H1065" s="71"/>
      <c r="I1065" s="71"/>
      <c r="J1065" s="70">
        <f>IFERROR(VLOOKUP(Devis[[#This Row],[Ref Air Flux]],#REF!,3,FALSE),0)</f>
        <v>0</v>
      </c>
      <c r="K1065" s="68"/>
      <c r="L1065" s="68"/>
      <c r="M1065" s="68"/>
      <c r="N1065" s="68"/>
      <c r="O1065" s="68"/>
      <c r="P1065" s="68"/>
      <c r="Q1065" s="68">
        <f>SUM(Devis[[#This Row],[Poste 1]:[Poste 6]])</f>
        <v>0</v>
      </c>
      <c r="R1065" s="71"/>
      <c r="S1065" s="68">
        <f>_xlfn.CEILING.MATH(Devis[[#This Row],[Quantité Totale]],Devis[[#This Row],[Conditionnement]])</f>
        <v>0</v>
      </c>
      <c r="T1065" s="72"/>
      <c r="U1065" s="73"/>
      <c r="V1065" s="74">
        <f>Devis[[#This Row],[Prix de Revient]]*Devis[[#This Row],[Poste 1]]</f>
        <v>0</v>
      </c>
      <c r="W1065" s="74">
        <f>Devis[[#This Row],[Prix de Revient]]*Devis[[#This Row],[Poste 2]]</f>
        <v>0</v>
      </c>
      <c r="X1065" s="74">
        <f>Devis[[#This Row],[Prix de Revient]]*Devis[[#This Row],[Poste 3]]</f>
        <v>0</v>
      </c>
      <c r="Y1065" s="74">
        <f>Devis[[#This Row],[Poste 4]]*Devis[[#This Row],[Prix de Revient]]</f>
        <v>0</v>
      </c>
      <c r="Z1065" s="74">
        <f>Devis[[#This Row],[Poste 5]]*Devis[[#This Row],[Prix de Revient]]</f>
        <v>0</v>
      </c>
      <c r="AA1065" s="74">
        <f>Devis[[#This Row],[Prix de Revient]]*Devis[[#This Row],[Poste 6]]</f>
        <v>0</v>
      </c>
      <c r="AB1065" s="74">
        <f>Devis[[#This Row],[Quantité Totale]]*Devis[[#This Row],[Prix de Revient]]</f>
        <v>0</v>
      </c>
    </row>
    <row r="1066" spans="1:28" ht="14.25" outlineLevel="1" x14ac:dyDescent="0.2">
      <c r="A1066" s="75" t="s">
        <v>624</v>
      </c>
      <c r="B1066" s="76" t="s">
        <v>5942</v>
      </c>
      <c r="C1066" s="76" t="s">
        <v>2061</v>
      </c>
      <c r="D1066" s="81" t="str">
        <f t="shared" si="17"/>
        <v>FlexiblesFLEXIBLE CAOUTCHOUC MM3/4"</v>
      </c>
      <c r="E1066" s="76" t="s">
        <v>711</v>
      </c>
      <c r="F1066" s="81">
        <v>18</v>
      </c>
      <c r="G1066" s="71" t="s">
        <v>712</v>
      </c>
      <c r="H1066" s="71"/>
      <c r="I1066" s="71"/>
      <c r="J1066" s="70">
        <f>IFERROR(VLOOKUP(Devis[[#This Row],[Ref Air Flux]],#REF!,3,FALSE),0)</f>
        <v>0</v>
      </c>
      <c r="K1066" s="68"/>
      <c r="L1066" s="68"/>
      <c r="M1066" s="68"/>
      <c r="N1066" s="68"/>
      <c r="O1066" s="68"/>
      <c r="P1066" s="68"/>
      <c r="Q1066" s="68">
        <f>SUM(Devis[[#This Row],[Poste 1]:[Poste 6]])</f>
        <v>0</v>
      </c>
      <c r="R1066" s="71"/>
      <c r="S1066" s="68">
        <f>_xlfn.CEILING.MATH(Devis[[#This Row],[Quantité Totale]],Devis[[#This Row],[Conditionnement]])</f>
        <v>0</v>
      </c>
      <c r="T1066" s="72"/>
      <c r="U1066" s="73"/>
      <c r="V1066" s="74">
        <f>Devis[[#This Row],[Prix de Revient]]*Devis[[#This Row],[Poste 1]]</f>
        <v>0</v>
      </c>
      <c r="W1066" s="74">
        <f>Devis[[#This Row],[Prix de Revient]]*Devis[[#This Row],[Poste 2]]</f>
        <v>0</v>
      </c>
      <c r="X1066" s="74">
        <f>Devis[[#This Row],[Prix de Revient]]*Devis[[#This Row],[Poste 3]]</f>
        <v>0</v>
      </c>
      <c r="Y1066" s="74">
        <f>Devis[[#This Row],[Poste 4]]*Devis[[#This Row],[Prix de Revient]]</f>
        <v>0</v>
      </c>
      <c r="Z1066" s="74">
        <f>Devis[[#This Row],[Poste 5]]*Devis[[#This Row],[Prix de Revient]]</f>
        <v>0</v>
      </c>
      <c r="AA1066" s="74">
        <f>Devis[[#This Row],[Prix de Revient]]*Devis[[#This Row],[Poste 6]]</f>
        <v>0</v>
      </c>
      <c r="AB1066" s="74">
        <f>Devis[[#This Row],[Quantité Totale]]*Devis[[#This Row],[Prix de Revient]]</f>
        <v>0</v>
      </c>
    </row>
    <row r="1067" spans="1:28" ht="14.25" outlineLevel="1" x14ac:dyDescent="0.2">
      <c r="A1067" s="75" t="s">
        <v>624</v>
      </c>
      <c r="B1067" s="76" t="s">
        <v>5942</v>
      </c>
      <c r="C1067" s="76" t="s">
        <v>2061</v>
      </c>
      <c r="D1067" s="81" t="str">
        <f t="shared" si="17"/>
        <v>FlexiblesFLEXIBLE CAOUTCHOUC MM3/4"</v>
      </c>
      <c r="E1067" s="76" t="s">
        <v>713</v>
      </c>
      <c r="F1067" s="81">
        <v>19</v>
      </c>
      <c r="G1067" s="71" t="s">
        <v>714</v>
      </c>
      <c r="H1067" s="71"/>
      <c r="I1067" s="71"/>
      <c r="J1067" s="70">
        <f>IFERROR(VLOOKUP(Devis[[#This Row],[Ref Air Flux]],#REF!,3,FALSE),0)</f>
        <v>0</v>
      </c>
      <c r="K1067" s="68"/>
      <c r="L1067" s="68"/>
      <c r="M1067" s="68"/>
      <c r="N1067" s="68"/>
      <c r="O1067" s="68"/>
      <c r="P1067" s="68"/>
      <c r="Q1067" s="68">
        <f>SUM(Devis[[#This Row],[Poste 1]:[Poste 6]])</f>
        <v>0</v>
      </c>
      <c r="R1067" s="71"/>
      <c r="S1067" s="68">
        <f>_xlfn.CEILING.MATH(Devis[[#This Row],[Quantité Totale]],Devis[[#This Row],[Conditionnement]])</f>
        <v>0</v>
      </c>
      <c r="T1067" s="72"/>
      <c r="U1067" s="73"/>
      <c r="V1067" s="74">
        <f>Devis[[#This Row],[Prix de Revient]]*Devis[[#This Row],[Poste 1]]</f>
        <v>0</v>
      </c>
      <c r="W1067" s="74">
        <f>Devis[[#This Row],[Prix de Revient]]*Devis[[#This Row],[Poste 2]]</f>
        <v>0</v>
      </c>
      <c r="X1067" s="74">
        <f>Devis[[#This Row],[Prix de Revient]]*Devis[[#This Row],[Poste 3]]</f>
        <v>0</v>
      </c>
      <c r="Y1067" s="74">
        <f>Devis[[#This Row],[Poste 4]]*Devis[[#This Row],[Prix de Revient]]</f>
        <v>0</v>
      </c>
      <c r="Z1067" s="74">
        <f>Devis[[#This Row],[Poste 5]]*Devis[[#This Row],[Prix de Revient]]</f>
        <v>0</v>
      </c>
      <c r="AA1067" s="74">
        <f>Devis[[#This Row],[Prix de Revient]]*Devis[[#This Row],[Poste 6]]</f>
        <v>0</v>
      </c>
      <c r="AB1067" s="74">
        <f>Devis[[#This Row],[Quantité Totale]]*Devis[[#This Row],[Prix de Revient]]</f>
        <v>0</v>
      </c>
    </row>
    <row r="1068" spans="1:28" ht="14.25" outlineLevel="1" x14ac:dyDescent="0.2">
      <c r="A1068" s="75" t="s">
        <v>624</v>
      </c>
      <c r="B1068" s="76" t="s">
        <v>5942</v>
      </c>
      <c r="C1068" s="76" t="s">
        <v>19</v>
      </c>
      <c r="D1068" s="81" t="str">
        <f t="shared" si="17"/>
        <v>FlexiblesFLEXIBLE CAOUTCHOUC MM1"</v>
      </c>
      <c r="E1068" s="76" t="s">
        <v>715</v>
      </c>
      <c r="F1068" s="81">
        <v>20</v>
      </c>
      <c r="G1068" s="71" t="s">
        <v>716</v>
      </c>
      <c r="H1068" s="71"/>
      <c r="I1068" s="71"/>
      <c r="J1068" s="70">
        <f>IFERROR(VLOOKUP(Devis[[#This Row],[Ref Air Flux]],#REF!,3,FALSE),0)</f>
        <v>0</v>
      </c>
      <c r="K1068" s="68"/>
      <c r="L1068" s="68"/>
      <c r="M1068" s="68"/>
      <c r="N1068" s="68"/>
      <c r="O1068" s="68"/>
      <c r="P1068" s="68"/>
      <c r="Q1068" s="68">
        <f>SUM(Devis[[#This Row],[Poste 1]:[Poste 6]])</f>
        <v>0</v>
      </c>
      <c r="R1068" s="71"/>
      <c r="S1068" s="68">
        <f>_xlfn.CEILING.MATH(Devis[[#This Row],[Quantité Totale]],Devis[[#This Row],[Conditionnement]])</f>
        <v>0</v>
      </c>
      <c r="T1068" s="72"/>
      <c r="U1068" s="73"/>
      <c r="V1068" s="74">
        <f>Devis[[#This Row],[Prix de Revient]]*Devis[[#This Row],[Poste 1]]</f>
        <v>0</v>
      </c>
      <c r="W1068" s="74">
        <f>Devis[[#This Row],[Prix de Revient]]*Devis[[#This Row],[Poste 2]]</f>
        <v>0</v>
      </c>
      <c r="X1068" s="74">
        <f>Devis[[#This Row],[Prix de Revient]]*Devis[[#This Row],[Poste 3]]</f>
        <v>0</v>
      </c>
      <c r="Y1068" s="74">
        <f>Devis[[#This Row],[Poste 4]]*Devis[[#This Row],[Prix de Revient]]</f>
        <v>0</v>
      </c>
      <c r="Z1068" s="74">
        <f>Devis[[#This Row],[Poste 5]]*Devis[[#This Row],[Prix de Revient]]</f>
        <v>0</v>
      </c>
      <c r="AA1068" s="74">
        <f>Devis[[#This Row],[Prix de Revient]]*Devis[[#This Row],[Poste 6]]</f>
        <v>0</v>
      </c>
      <c r="AB1068" s="74">
        <f>Devis[[#This Row],[Quantité Totale]]*Devis[[#This Row],[Prix de Revient]]</f>
        <v>0</v>
      </c>
    </row>
    <row r="1069" spans="1:28" ht="14.25" outlineLevel="1" x14ac:dyDescent="0.2">
      <c r="A1069" s="75" t="s">
        <v>624</v>
      </c>
      <c r="B1069" s="76" t="s">
        <v>5942</v>
      </c>
      <c r="C1069" s="76" t="s">
        <v>19</v>
      </c>
      <c r="D1069" s="81" t="str">
        <f t="shared" si="17"/>
        <v>FlexiblesFLEXIBLE CAOUTCHOUC MM1"</v>
      </c>
      <c r="E1069" s="76" t="s">
        <v>652</v>
      </c>
      <c r="F1069" s="81">
        <v>21</v>
      </c>
      <c r="G1069" s="71" t="s">
        <v>717</v>
      </c>
      <c r="H1069" s="71"/>
      <c r="I1069" s="71"/>
      <c r="J1069" s="70">
        <f>IFERROR(VLOOKUP(Devis[[#This Row],[Ref Air Flux]],#REF!,3,FALSE),0)</f>
        <v>0</v>
      </c>
      <c r="K1069" s="68"/>
      <c r="L1069" s="68"/>
      <c r="M1069" s="68"/>
      <c r="N1069" s="68"/>
      <c r="O1069" s="68"/>
      <c r="P1069" s="68"/>
      <c r="Q1069" s="68">
        <f>SUM(Devis[[#This Row],[Poste 1]:[Poste 6]])</f>
        <v>0</v>
      </c>
      <c r="R1069" s="71"/>
      <c r="S1069" s="68">
        <f>_xlfn.CEILING.MATH(Devis[[#This Row],[Quantité Totale]],Devis[[#This Row],[Conditionnement]])</f>
        <v>0</v>
      </c>
      <c r="T1069" s="72"/>
      <c r="U1069" s="73"/>
      <c r="V1069" s="74">
        <f>Devis[[#This Row],[Prix de Revient]]*Devis[[#This Row],[Poste 1]]</f>
        <v>0</v>
      </c>
      <c r="W1069" s="74">
        <f>Devis[[#This Row],[Prix de Revient]]*Devis[[#This Row],[Poste 2]]</f>
        <v>0</v>
      </c>
      <c r="X1069" s="74">
        <f>Devis[[#This Row],[Prix de Revient]]*Devis[[#This Row],[Poste 3]]</f>
        <v>0</v>
      </c>
      <c r="Y1069" s="74">
        <f>Devis[[#This Row],[Poste 4]]*Devis[[#This Row],[Prix de Revient]]</f>
        <v>0</v>
      </c>
      <c r="Z1069" s="74">
        <f>Devis[[#This Row],[Poste 5]]*Devis[[#This Row],[Prix de Revient]]</f>
        <v>0</v>
      </c>
      <c r="AA1069" s="74">
        <f>Devis[[#This Row],[Prix de Revient]]*Devis[[#This Row],[Poste 6]]</f>
        <v>0</v>
      </c>
      <c r="AB1069" s="74">
        <f>Devis[[#This Row],[Quantité Totale]]*Devis[[#This Row],[Prix de Revient]]</f>
        <v>0</v>
      </c>
    </row>
    <row r="1070" spans="1:28" ht="14.25" customHeight="1" outlineLevel="1" x14ac:dyDescent="0.2">
      <c r="A1070" s="75" t="s">
        <v>624</v>
      </c>
      <c r="B1070" s="76" t="s">
        <v>5942</v>
      </c>
      <c r="C1070" s="76" t="s">
        <v>19</v>
      </c>
      <c r="D1070" s="81" t="str">
        <f t="shared" si="17"/>
        <v>FlexiblesFLEXIBLE CAOUTCHOUC MM1"</v>
      </c>
      <c r="E1070" s="76" t="s">
        <v>718</v>
      </c>
      <c r="F1070" s="81">
        <v>22</v>
      </c>
      <c r="G1070" s="71" t="s">
        <v>719</v>
      </c>
      <c r="H1070" s="71"/>
      <c r="I1070" s="71"/>
      <c r="J1070" s="70">
        <f>IFERROR(VLOOKUP(Devis[[#This Row],[Ref Air Flux]],#REF!,3,FALSE),0)</f>
        <v>0</v>
      </c>
      <c r="K1070" s="68"/>
      <c r="L1070" s="68"/>
      <c r="M1070" s="68"/>
      <c r="N1070" s="68"/>
      <c r="O1070" s="68"/>
      <c r="P1070" s="68"/>
      <c r="Q1070" s="68">
        <f>SUM(Devis[[#This Row],[Poste 1]:[Poste 6]])</f>
        <v>0</v>
      </c>
      <c r="R1070" s="71"/>
      <c r="S1070" s="68">
        <f>_xlfn.CEILING.MATH(Devis[[#This Row],[Quantité Totale]],Devis[[#This Row],[Conditionnement]])</f>
        <v>0</v>
      </c>
      <c r="T1070" s="72"/>
      <c r="U1070" s="73"/>
      <c r="V1070" s="74">
        <f>Devis[[#This Row],[Prix de Revient]]*Devis[[#This Row],[Poste 1]]</f>
        <v>0</v>
      </c>
      <c r="W1070" s="74">
        <f>Devis[[#This Row],[Prix de Revient]]*Devis[[#This Row],[Poste 2]]</f>
        <v>0</v>
      </c>
      <c r="X1070" s="74">
        <f>Devis[[#This Row],[Prix de Revient]]*Devis[[#This Row],[Poste 3]]</f>
        <v>0</v>
      </c>
      <c r="Y1070" s="74">
        <f>Devis[[#This Row],[Poste 4]]*Devis[[#This Row],[Prix de Revient]]</f>
        <v>0</v>
      </c>
      <c r="Z1070" s="74">
        <f>Devis[[#This Row],[Poste 5]]*Devis[[#This Row],[Prix de Revient]]</f>
        <v>0</v>
      </c>
      <c r="AA1070" s="74">
        <f>Devis[[#This Row],[Prix de Revient]]*Devis[[#This Row],[Poste 6]]</f>
        <v>0</v>
      </c>
      <c r="AB1070" s="74">
        <f>Devis[[#This Row],[Quantité Totale]]*Devis[[#This Row],[Prix de Revient]]</f>
        <v>0</v>
      </c>
    </row>
    <row r="1071" spans="1:28" ht="14.25" customHeight="1" outlineLevel="1" x14ac:dyDescent="0.2">
      <c r="A1071" s="75" t="s">
        <v>624</v>
      </c>
      <c r="B1071" s="76" t="s">
        <v>5942</v>
      </c>
      <c r="C1071" s="76" t="s">
        <v>19</v>
      </c>
      <c r="D1071" s="81" t="str">
        <f t="shared" si="17"/>
        <v>FlexiblesFLEXIBLE CAOUTCHOUC MM1"</v>
      </c>
      <c r="E1071" s="76" t="s">
        <v>720</v>
      </c>
      <c r="F1071" s="81">
        <v>23</v>
      </c>
      <c r="G1071" s="71" t="s">
        <v>721</v>
      </c>
      <c r="H1071" s="71"/>
      <c r="I1071" s="71"/>
      <c r="J1071" s="70">
        <f>IFERROR(VLOOKUP(Devis[[#This Row],[Ref Air Flux]],#REF!,3,FALSE),0)</f>
        <v>0</v>
      </c>
      <c r="K1071" s="68"/>
      <c r="L1071" s="68"/>
      <c r="M1071" s="68"/>
      <c r="N1071" s="68"/>
      <c r="O1071" s="68"/>
      <c r="P1071" s="68"/>
      <c r="Q1071" s="68">
        <f>SUM(Devis[[#This Row],[Poste 1]:[Poste 6]])</f>
        <v>0</v>
      </c>
      <c r="R1071" s="71"/>
      <c r="S1071" s="68">
        <f>_xlfn.CEILING.MATH(Devis[[#This Row],[Quantité Totale]],Devis[[#This Row],[Conditionnement]])</f>
        <v>0</v>
      </c>
      <c r="T1071" s="72"/>
      <c r="U1071" s="73"/>
      <c r="V1071" s="74">
        <f>Devis[[#This Row],[Prix de Revient]]*Devis[[#This Row],[Poste 1]]</f>
        <v>0</v>
      </c>
      <c r="W1071" s="74">
        <f>Devis[[#This Row],[Prix de Revient]]*Devis[[#This Row],[Poste 2]]</f>
        <v>0</v>
      </c>
      <c r="X1071" s="74">
        <f>Devis[[#This Row],[Prix de Revient]]*Devis[[#This Row],[Poste 3]]</f>
        <v>0</v>
      </c>
      <c r="Y1071" s="74">
        <f>Devis[[#This Row],[Poste 4]]*Devis[[#This Row],[Prix de Revient]]</f>
        <v>0</v>
      </c>
      <c r="Z1071" s="74">
        <f>Devis[[#This Row],[Poste 5]]*Devis[[#This Row],[Prix de Revient]]</f>
        <v>0</v>
      </c>
      <c r="AA1071" s="74">
        <f>Devis[[#This Row],[Prix de Revient]]*Devis[[#This Row],[Poste 6]]</f>
        <v>0</v>
      </c>
      <c r="AB1071" s="74">
        <f>Devis[[#This Row],[Quantité Totale]]*Devis[[#This Row],[Prix de Revient]]</f>
        <v>0</v>
      </c>
    </row>
    <row r="1072" spans="1:28" ht="14.25" outlineLevel="1" x14ac:dyDescent="0.2">
      <c r="A1072" s="75" t="s">
        <v>624</v>
      </c>
      <c r="B1072" s="76" t="s">
        <v>5942</v>
      </c>
      <c r="C1072" s="76" t="s">
        <v>19</v>
      </c>
      <c r="D1072" s="81" t="str">
        <f t="shared" si="17"/>
        <v>FlexiblesFLEXIBLE CAOUTCHOUC MM1"</v>
      </c>
      <c r="E1072" s="76" t="s">
        <v>722</v>
      </c>
      <c r="F1072" s="81">
        <v>24</v>
      </c>
      <c r="G1072" s="71" t="s">
        <v>723</v>
      </c>
      <c r="H1072" s="71"/>
      <c r="I1072" s="71"/>
      <c r="J1072" s="70">
        <f>IFERROR(VLOOKUP(Devis[[#This Row],[Ref Air Flux]],#REF!,3,FALSE),0)</f>
        <v>0</v>
      </c>
      <c r="K1072" s="68"/>
      <c r="L1072" s="68"/>
      <c r="M1072" s="68"/>
      <c r="N1072" s="68"/>
      <c r="O1072" s="68"/>
      <c r="P1072" s="68"/>
      <c r="Q1072" s="68">
        <f>SUM(Devis[[#This Row],[Poste 1]:[Poste 6]])</f>
        <v>0</v>
      </c>
      <c r="R1072" s="71"/>
      <c r="S1072" s="68">
        <f>_xlfn.CEILING.MATH(Devis[[#This Row],[Quantité Totale]],Devis[[#This Row],[Conditionnement]])</f>
        <v>0</v>
      </c>
      <c r="T1072" s="72"/>
      <c r="U1072" s="73"/>
      <c r="V1072" s="74">
        <f>Devis[[#This Row],[Prix de Revient]]*Devis[[#This Row],[Poste 1]]</f>
        <v>0</v>
      </c>
      <c r="W1072" s="74">
        <f>Devis[[#This Row],[Prix de Revient]]*Devis[[#This Row],[Poste 2]]</f>
        <v>0</v>
      </c>
      <c r="X1072" s="74">
        <f>Devis[[#This Row],[Prix de Revient]]*Devis[[#This Row],[Poste 3]]</f>
        <v>0</v>
      </c>
      <c r="Y1072" s="74">
        <f>Devis[[#This Row],[Poste 4]]*Devis[[#This Row],[Prix de Revient]]</f>
        <v>0</v>
      </c>
      <c r="Z1072" s="74">
        <f>Devis[[#This Row],[Poste 5]]*Devis[[#This Row],[Prix de Revient]]</f>
        <v>0</v>
      </c>
      <c r="AA1072" s="74">
        <f>Devis[[#This Row],[Prix de Revient]]*Devis[[#This Row],[Poste 6]]</f>
        <v>0</v>
      </c>
      <c r="AB1072" s="74">
        <f>Devis[[#This Row],[Quantité Totale]]*Devis[[#This Row],[Prix de Revient]]</f>
        <v>0</v>
      </c>
    </row>
    <row r="1073" spans="1:28" ht="14.25" outlineLevel="1" x14ac:dyDescent="0.2">
      <c r="A1073" s="75" t="s">
        <v>624</v>
      </c>
      <c r="B1073" s="76" t="s">
        <v>5942</v>
      </c>
      <c r="C1073" s="76" t="s">
        <v>19</v>
      </c>
      <c r="D1073" s="81" t="str">
        <f t="shared" si="17"/>
        <v>FlexiblesFLEXIBLE CAOUTCHOUC MM1"</v>
      </c>
      <c r="E1073" s="76" t="s">
        <v>724</v>
      </c>
      <c r="F1073" s="81">
        <v>25</v>
      </c>
      <c r="G1073" s="71" t="s">
        <v>725</v>
      </c>
      <c r="H1073" s="71"/>
      <c r="I1073" s="71"/>
      <c r="J1073" s="70">
        <f>IFERROR(VLOOKUP(Devis[[#This Row],[Ref Air Flux]],#REF!,3,FALSE),0)</f>
        <v>0</v>
      </c>
      <c r="K1073" s="68"/>
      <c r="L1073" s="68"/>
      <c r="M1073" s="68"/>
      <c r="N1073" s="68"/>
      <c r="O1073" s="68"/>
      <c r="P1073" s="68"/>
      <c r="Q1073" s="68">
        <f>SUM(Devis[[#This Row],[Poste 1]:[Poste 6]])</f>
        <v>0</v>
      </c>
      <c r="R1073" s="71"/>
      <c r="S1073" s="68">
        <f>_xlfn.CEILING.MATH(Devis[[#This Row],[Quantité Totale]],Devis[[#This Row],[Conditionnement]])</f>
        <v>0</v>
      </c>
      <c r="T1073" s="72"/>
      <c r="U1073" s="73"/>
      <c r="V1073" s="74">
        <f>Devis[[#This Row],[Prix de Revient]]*Devis[[#This Row],[Poste 1]]</f>
        <v>0</v>
      </c>
      <c r="W1073" s="74">
        <f>Devis[[#This Row],[Prix de Revient]]*Devis[[#This Row],[Poste 2]]</f>
        <v>0</v>
      </c>
      <c r="X1073" s="74">
        <f>Devis[[#This Row],[Prix de Revient]]*Devis[[#This Row],[Poste 3]]</f>
        <v>0</v>
      </c>
      <c r="Y1073" s="74">
        <f>Devis[[#This Row],[Poste 4]]*Devis[[#This Row],[Prix de Revient]]</f>
        <v>0</v>
      </c>
      <c r="Z1073" s="74">
        <f>Devis[[#This Row],[Poste 5]]*Devis[[#This Row],[Prix de Revient]]</f>
        <v>0</v>
      </c>
      <c r="AA1073" s="74">
        <f>Devis[[#This Row],[Prix de Revient]]*Devis[[#This Row],[Poste 6]]</f>
        <v>0</v>
      </c>
      <c r="AB1073" s="74">
        <f>Devis[[#This Row],[Quantité Totale]]*Devis[[#This Row],[Prix de Revient]]</f>
        <v>0</v>
      </c>
    </row>
    <row r="1074" spans="1:28" ht="14.25" outlineLevel="1" x14ac:dyDescent="0.2">
      <c r="A1074" s="75" t="s">
        <v>624</v>
      </c>
      <c r="B1074" s="76" t="s">
        <v>5942</v>
      </c>
      <c r="C1074" s="76" t="s">
        <v>19</v>
      </c>
      <c r="D1074" s="81" t="str">
        <f t="shared" si="17"/>
        <v>FlexiblesFLEXIBLE CAOUTCHOUC MM1"</v>
      </c>
      <c r="E1074" s="76" t="s">
        <v>726</v>
      </c>
      <c r="F1074" s="81">
        <v>26</v>
      </c>
      <c r="G1074" s="71" t="s">
        <v>727</v>
      </c>
      <c r="H1074" s="71"/>
      <c r="I1074" s="71"/>
      <c r="J1074" s="70">
        <f>IFERROR(VLOOKUP(Devis[[#This Row],[Ref Air Flux]],#REF!,3,FALSE),0)</f>
        <v>0</v>
      </c>
      <c r="K1074" s="68"/>
      <c r="L1074" s="68"/>
      <c r="M1074" s="68"/>
      <c r="N1074" s="68"/>
      <c r="O1074" s="68"/>
      <c r="P1074" s="68"/>
      <c r="Q1074" s="68">
        <f>SUM(Devis[[#This Row],[Poste 1]:[Poste 6]])</f>
        <v>0</v>
      </c>
      <c r="R1074" s="71"/>
      <c r="S1074" s="68">
        <f>_xlfn.CEILING.MATH(Devis[[#This Row],[Quantité Totale]],Devis[[#This Row],[Conditionnement]])</f>
        <v>0</v>
      </c>
      <c r="T1074" s="72"/>
      <c r="U1074" s="73"/>
      <c r="V1074" s="74">
        <f>Devis[[#This Row],[Prix de Revient]]*Devis[[#This Row],[Poste 1]]</f>
        <v>0</v>
      </c>
      <c r="W1074" s="74">
        <f>Devis[[#This Row],[Prix de Revient]]*Devis[[#This Row],[Poste 2]]</f>
        <v>0</v>
      </c>
      <c r="X1074" s="74">
        <f>Devis[[#This Row],[Prix de Revient]]*Devis[[#This Row],[Poste 3]]</f>
        <v>0</v>
      </c>
      <c r="Y1074" s="74">
        <f>Devis[[#This Row],[Poste 4]]*Devis[[#This Row],[Prix de Revient]]</f>
        <v>0</v>
      </c>
      <c r="Z1074" s="74">
        <f>Devis[[#This Row],[Poste 5]]*Devis[[#This Row],[Prix de Revient]]</f>
        <v>0</v>
      </c>
      <c r="AA1074" s="74">
        <f>Devis[[#This Row],[Prix de Revient]]*Devis[[#This Row],[Poste 6]]</f>
        <v>0</v>
      </c>
      <c r="AB1074" s="74">
        <f>Devis[[#This Row],[Quantité Totale]]*Devis[[#This Row],[Prix de Revient]]</f>
        <v>0</v>
      </c>
    </row>
    <row r="1075" spans="1:28" ht="14.25" outlineLevel="1" x14ac:dyDescent="0.2">
      <c r="A1075" s="75" t="s">
        <v>624</v>
      </c>
      <c r="B1075" s="76" t="s">
        <v>5942</v>
      </c>
      <c r="C1075" s="76" t="s">
        <v>19</v>
      </c>
      <c r="D1075" s="81" t="str">
        <f t="shared" ref="D1075:D1138" si="20">A1075&amp;B1075&amp;C1075</f>
        <v>FlexiblesFLEXIBLE CAOUTCHOUC MM1"</v>
      </c>
      <c r="E1075" s="76" t="s">
        <v>728</v>
      </c>
      <c r="F1075" s="81">
        <v>27</v>
      </c>
      <c r="G1075" s="71" t="s">
        <v>729</v>
      </c>
      <c r="H1075" s="71"/>
      <c r="I1075" s="71"/>
      <c r="J1075" s="70">
        <f>IFERROR(VLOOKUP(Devis[[#This Row],[Ref Air Flux]],#REF!,3,FALSE),0)</f>
        <v>0</v>
      </c>
      <c r="K1075" s="68"/>
      <c r="L1075" s="68"/>
      <c r="M1075" s="68"/>
      <c r="N1075" s="68"/>
      <c r="O1075" s="68"/>
      <c r="P1075" s="68"/>
      <c r="Q1075" s="68">
        <f>SUM(Devis[[#This Row],[Poste 1]:[Poste 6]])</f>
        <v>0</v>
      </c>
      <c r="R1075" s="71"/>
      <c r="S1075" s="68">
        <f>_xlfn.CEILING.MATH(Devis[[#This Row],[Quantité Totale]],Devis[[#This Row],[Conditionnement]])</f>
        <v>0</v>
      </c>
      <c r="T1075" s="72"/>
      <c r="U1075" s="73"/>
      <c r="V1075" s="74">
        <f>Devis[[#This Row],[Prix de Revient]]*Devis[[#This Row],[Poste 1]]</f>
        <v>0</v>
      </c>
      <c r="W1075" s="74">
        <f>Devis[[#This Row],[Prix de Revient]]*Devis[[#This Row],[Poste 2]]</f>
        <v>0</v>
      </c>
      <c r="X1075" s="74">
        <f>Devis[[#This Row],[Prix de Revient]]*Devis[[#This Row],[Poste 3]]</f>
        <v>0</v>
      </c>
      <c r="Y1075" s="74">
        <f>Devis[[#This Row],[Poste 4]]*Devis[[#This Row],[Prix de Revient]]</f>
        <v>0</v>
      </c>
      <c r="Z1075" s="74">
        <f>Devis[[#This Row],[Poste 5]]*Devis[[#This Row],[Prix de Revient]]</f>
        <v>0</v>
      </c>
      <c r="AA1075" s="74">
        <f>Devis[[#This Row],[Prix de Revient]]*Devis[[#This Row],[Poste 6]]</f>
        <v>0</v>
      </c>
      <c r="AB1075" s="74">
        <f>Devis[[#This Row],[Quantité Totale]]*Devis[[#This Row],[Prix de Revient]]</f>
        <v>0</v>
      </c>
    </row>
    <row r="1076" spans="1:28" ht="14.25" outlineLevel="1" x14ac:dyDescent="0.2">
      <c r="A1076" s="75" t="s">
        <v>624</v>
      </c>
      <c r="B1076" s="76" t="s">
        <v>5942</v>
      </c>
      <c r="C1076" s="76" t="s">
        <v>19</v>
      </c>
      <c r="D1076" s="81" t="str">
        <f t="shared" si="20"/>
        <v>FlexiblesFLEXIBLE CAOUTCHOUC MM1"</v>
      </c>
      <c r="E1076" s="76" t="s">
        <v>730</v>
      </c>
      <c r="F1076" s="81">
        <v>28</v>
      </c>
      <c r="G1076" s="71" t="s">
        <v>731</v>
      </c>
      <c r="H1076" s="71"/>
      <c r="I1076" s="71"/>
      <c r="J1076" s="70">
        <f>IFERROR(VLOOKUP(Devis[[#This Row],[Ref Air Flux]],#REF!,3,FALSE),0)</f>
        <v>0</v>
      </c>
      <c r="K1076" s="68"/>
      <c r="L1076" s="68"/>
      <c r="M1076" s="68"/>
      <c r="N1076" s="68"/>
      <c r="O1076" s="68"/>
      <c r="P1076" s="68"/>
      <c r="Q1076" s="68">
        <f>SUM(Devis[[#This Row],[Poste 1]:[Poste 6]])</f>
        <v>0</v>
      </c>
      <c r="R1076" s="71"/>
      <c r="S1076" s="68">
        <f>_xlfn.CEILING.MATH(Devis[[#This Row],[Quantité Totale]],Devis[[#This Row],[Conditionnement]])</f>
        <v>0</v>
      </c>
      <c r="T1076" s="72"/>
      <c r="U1076" s="73"/>
      <c r="V1076" s="74">
        <f>Devis[[#This Row],[Prix de Revient]]*Devis[[#This Row],[Poste 1]]</f>
        <v>0</v>
      </c>
      <c r="W1076" s="74">
        <f>Devis[[#This Row],[Prix de Revient]]*Devis[[#This Row],[Poste 2]]</f>
        <v>0</v>
      </c>
      <c r="X1076" s="74">
        <f>Devis[[#This Row],[Prix de Revient]]*Devis[[#This Row],[Poste 3]]</f>
        <v>0</v>
      </c>
      <c r="Y1076" s="74">
        <f>Devis[[#This Row],[Poste 4]]*Devis[[#This Row],[Prix de Revient]]</f>
        <v>0</v>
      </c>
      <c r="Z1076" s="74">
        <f>Devis[[#This Row],[Poste 5]]*Devis[[#This Row],[Prix de Revient]]</f>
        <v>0</v>
      </c>
      <c r="AA1076" s="74">
        <f>Devis[[#This Row],[Prix de Revient]]*Devis[[#This Row],[Poste 6]]</f>
        <v>0</v>
      </c>
      <c r="AB1076" s="74">
        <f>Devis[[#This Row],[Quantité Totale]]*Devis[[#This Row],[Prix de Revient]]</f>
        <v>0</v>
      </c>
    </row>
    <row r="1077" spans="1:28" ht="14.25" outlineLevel="1" x14ac:dyDescent="0.2">
      <c r="A1077" s="75" t="s">
        <v>624</v>
      </c>
      <c r="B1077" s="76" t="s">
        <v>5942</v>
      </c>
      <c r="C1077" s="76" t="s">
        <v>19</v>
      </c>
      <c r="D1077" s="81" t="str">
        <f t="shared" si="20"/>
        <v>FlexiblesFLEXIBLE CAOUTCHOUC MM1"</v>
      </c>
      <c r="E1077" s="76" t="s">
        <v>732</v>
      </c>
      <c r="F1077" s="81">
        <v>29</v>
      </c>
      <c r="G1077" s="71" t="s">
        <v>733</v>
      </c>
      <c r="H1077" s="71"/>
      <c r="I1077" s="71"/>
      <c r="J1077" s="70">
        <f>IFERROR(VLOOKUP(Devis[[#This Row],[Ref Air Flux]],#REF!,3,FALSE),0)</f>
        <v>0</v>
      </c>
      <c r="K1077" s="68"/>
      <c r="L1077" s="68"/>
      <c r="M1077" s="68"/>
      <c r="N1077" s="68"/>
      <c r="O1077" s="68"/>
      <c r="P1077" s="68"/>
      <c r="Q1077" s="68">
        <f>SUM(Devis[[#This Row],[Poste 1]:[Poste 6]])</f>
        <v>0</v>
      </c>
      <c r="R1077" s="71"/>
      <c r="S1077" s="68">
        <f>_xlfn.CEILING.MATH(Devis[[#This Row],[Quantité Totale]],Devis[[#This Row],[Conditionnement]])</f>
        <v>0</v>
      </c>
      <c r="T1077" s="72"/>
      <c r="U1077" s="73"/>
      <c r="V1077" s="74">
        <f>Devis[[#This Row],[Prix de Revient]]*Devis[[#This Row],[Poste 1]]</f>
        <v>0</v>
      </c>
      <c r="W1077" s="74">
        <f>Devis[[#This Row],[Prix de Revient]]*Devis[[#This Row],[Poste 2]]</f>
        <v>0</v>
      </c>
      <c r="X1077" s="74">
        <f>Devis[[#This Row],[Prix de Revient]]*Devis[[#This Row],[Poste 3]]</f>
        <v>0</v>
      </c>
      <c r="Y1077" s="74">
        <f>Devis[[#This Row],[Poste 4]]*Devis[[#This Row],[Prix de Revient]]</f>
        <v>0</v>
      </c>
      <c r="Z1077" s="74">
        <f>Devis[[#This Row],[Poste 5]]*Devis[[#This Row],[Prix de Revient]]</f>
        <v>0</v>
      </c>
      <c r="AA1077" s="74">
        <f>Devis[[#This Row],[Prix de Revient]]*Devis[[#This Row],[Poste 6]]</f>
        <v>0</v>
      </c>
      <c r="AB1077" s="74">
        <f>Devis[[#This Row],[Quantité Totale]]*Devis[[#This Row],[Prix de Revient]]</f>
        <v>0</v>
      </c>
    </row>
    <row r="1078" spans="1:28" ht="14.25" outlineLevel="1" x14ac:dyDescent="0.2">
      <c r="A1078" s="75" t="s">
        <v>624</v>
      </c>
      <c r="B1078" s="76" t="s">
        <v>5942</v>
      </c>
      <c r="C1078" s="76" t="s">
        <v>19</v>
      </c>
      <c r="D1078" s="81" t="str">
        <f t="shared" si="20"/>
        <v>FlexiblesFLEXIBLE CAOUTCHOUC MM1"</v>
      </c>
      <c r="E1078" s="76" t="s">
        <v>734</v>
      </c>
      <c r="F1078" s="81">
        <v>30</v>
      </c>
      <c r="G1078" s="71" t="s">
        <v>735</v>
      </c>
      <c r="H1078" s="71"/>
      <c r="I1078" s="71"/>
      <c r="J1078" s="70">
        <f>IFERROR(VLOOKUP(Devis[[#This Row],[Ref Air Flux]],#REF!,3,FALSE),0)</f>
        <v>0</v>
      </c>
      <c r="K1078" s="68"/>
      <c r="L1078" s="68"/>
      <c r="M1078" s="68"/>
      <c r="N1078" s="68"/>
      <c r="O1078" s="68"/>
      <c r="P1078" s="68"/>
      <c r="Q1078" s="68">
        <f>SUM(Devis[[#This Row],[Poste 1]:[Poste 6]])</f>
        <v>0</v>
      </c>
      <c r="R1078" s="71"/>
      <c r="S1078" s="68">
        <f>_xlfn.CEILING.MATH(Devis[[#This Row],[Quantité Totale]],Devis[[#This Row],[Conditionnement]])</f>
        <v>0</v>
      </c>
      <c r="T1078" s="72"/>
      <c r="U1078" s="73"/>
      <c r="V1078" s="74">
        <f>Devis[[#This Row],[Prix de Revient]]*Devis[[#This Row],[Poste 1]]</f>
        <v>0</v>
      </c>
      <c r="W1078" s="74">
        <f>Devis[[#This Row],[Prix de Revient]]*Devis[[#This Row],[Poste 2]]</f>
        <v>0</v>
      </c>
      <c r="X1078" s="74">
        <f>Devis[[#This Row],[Prix de Revient]]*Devis[[#This Row],[Poste 3]]</f>
        <v>0</v>
      </c>
      <c r="Y1078" s="74">
        <f>Devis[[#This Row],[Poste 4]]*Devis[[#This Row],[Prix de Revient]]</f>
        <v>0</v>
      </c>
      <c r="Z1078" s="74">
        <f>Devis[[#This Row],[Poste 5]]*Devis[[#This Row],[Prix de Revient]]</f>
        <v>0</v>
      </c>
      <c r="AA1078" s="74">
        <f>Devis[[#This Row],[Prix de Revient]]*Devis[[#This Row],[Poste 6]]</f>
        <v>0</v>
      </c>
      <c r="AB1078" s="74">
        <f>Devis[[#This Row],[Quantité Totale]]*Devis[[#This Row],[Prix de Revient]]</f>
        <v>0</v>
      </c>
    </row>
    <row r="1079" spans="1:28" ht="14.25" outlineLevel="1" x14ac:dyDescent="0.2">
      <c r="A1079" s="75" t="s">
        <v>624</v>
      </c>
      <c r="B1079" s="76" t="s">
        <v>5942</v>
      </c>
      <c r="C1079" s="76" t="s">
        <v>19</v>
      </c>
      <c r="D1079" s="81" t="str">
        <f t="shared" si="20"/>
        <v>FlexiblesFLEXIBLE CAOUTCHOUC MM1"</v>
      </c>
      <c r="E1079" s="76" t="s">
        <v>652</v>
      </c>
      <c r="F1079" s="81">
        <v>31</v>
      </c>
      <c r="G1079" s="71" t="s">
        <v>736</v>
      </c>
      <c r="H1079" s="71"/>
      <c r="I1079" s="71"/>
      <c r="J1079" s="70">
        <f>IFERROR(VLOOKUP(Devis[[#This Row],[Ref Air Flux]],#REF!,3,FALSE),0)</f>
        <v>0</v>
      </c>
      <c r="K1079" s="68"/>
      <c r="L1079" s="68"/>
      <c r="M1079" s="68"/>
      <c r="N1079" s="68"/>
      <c r="O1079" s="68"/>
      <c r="P1079" s="68"/>
      <c r="Q1079" s="68">
        <f>SUM(Devis[[#This Row],[Poste 1]:[Poste 6]])</f>
        <v>0</v>
      </c>
      <c r="R1079" s="71"/>
      <c r="S1079" s="68">
        <f>_xlfn.CEILING.MATH(Devis[[#This Row],[Quantité Totale]],Devis[[#This Row],[Conditionnement]])</f>
        <v>0</v>
      </c>
      <c r="T1079" s="72"/>
      <c r="U1079" s="73"/>
      <c r="V1079" s="74">
        <f>Devis[[#This Row],[Prix de Revient]]*Devis[[#This Row],[Poste 1]]</f>
        <v>0</v>
      </c>
      <c r="W1079" s="74">
        <f>Devis[[#This Row],[Prix de Revient]]*Devis[[#This Row],[Poste 2]]</f>
        <v>0</v>
      </c>
      <c r="X1079" s="74">
        <f>Devis[[#This Row],[Prix de Revient]]*Devis[[#This Row],[Poste 3]]</f>
        <v>0</v>
      </c>
      <c r="Y1079" s="74">
        <f>Devis[[#This Row],[Poste 4]]*Devis[[#This Row],[Prix de Revient]]</f>
        <v>0</v>
      </c>
      <c r="Z1079" s="74">
        <f>Devis[[#This Row],[Poste 5]]*Devis[[#This Row],[Prix de Revient]]</f>
        <v>0</v>
      </c>
      <c r="AA1079" s="74">
        <f>Devis[[#This Row],[Prix de Revient]]*Devis[[#This Row],[Poste 6]]</f>
        <v>0</v>
      </c>
      <c r="AB1079" s="74">
        <f>Devis[[#This Row],[Quantité Totale]]*Devis[[#This Row],[Prix de Revient]]</f>
        <v>0</v>
      </c>
    </row>
    <row r="1080" spans="1:28" ht="14.25" outlineLevel="1" x14ac:dyDescent="0.2">
      <c r="A1080" s="75" t="s">
        <v>624</v>
      </c>
      <c r="B1080" s="76" t="s">
        <v>5942</v>
      </c>
      <c r="C1080" s="76" t="s">
        <v>20</v>
      </c>
      <c r="D1080" s="81" t="str">
        <f t="shared" si="20"/>
        <v>FlexiblesFLEXIBLE CAOUTCHOUC MM1"1/4</v>
      </c>
      <c r="E1080" s="76" t="s">
        <v>658</v>
      </c>
      <c r="F1080" s="81">
        <v>32</v>
      </c>
      <c r="G1080" s="71" t="s">
        <v>737</v>
      </c>
      <c r="H1080" s="71"/>
      <c r="I1080" s="71"/>
      <c r="J1080" s="70">
        <f>IFERROR(VLOOKUP(Devis[[#This Row],[Ref Air Flux]],#REF!,3,FALSE),0)</f>
        <v>0</v>
      </c>
      <c r="K1080" s="68"/>
      <c r="L1080" s="68"/>
      <c r="M1080" s="68"/>
      <c r="N1080" s="68"/>
      <c r="O1080" s="68"/>
      <c r="P1080" s="68"/>
      <c r="Q1080" s="68">
        <f>SUM(Devis[[#This Row],[Poste 1]:[Poste 6]])</f>
        <v>0</v>
      </c>
      <c r="R1080" s="71"/>
      <c r="S1080" s="68">
        <f>_xlfn.CEILING.MATH(Devis[[#This Row],[Quantité Totale]],Devis[[#This Row],[Conditionnement]])</f>
        <v>0</v>
      </c>
      <c r="T1080" s="72"/>
      <c r="U1080" s="73"/>
      <c r="V1080" s="74">
        <f>Devis[[#This Row],[Prix de Revient]]*Devis[[#This Row],[Poste 1]]</f>
        <v>0</v>
      </c>
      <c r="W1080" s="74">
        <f>Devis[[#This Row],[Prix de Revient]]*Devis[[#This Row],[Poste 2]]</f>
        <v>0</v>
      </c>
      <c r="X1080" s="74">
        <f>Devis[[#This Row],[Prix de Revient]]*Devis[[#This Row],[Poste 3]]</f>
        <v>0</v>
      </c>
      <c r="Y1080" s="74">
        <f>Devis[[#This Row],[Poste 4]]*Devis[[#This Row],[Prix de Revient]]</f>
        <v>0</v>
      </c>
      <c r="Z1080" s="74">
        <f>Devis[[#This Row],[Poste 5]]*Devis[[#This Row],[Prix de Revient]]</f>
        <v>0</v>
      </c>
      <c r="AA1080" s="74">
        <f>Devis[[#This Row],[Prix de Revient]]*Devis[[#This Row],[Poste 6]]</f>
        <v>0</v>
      </c>
      <c r="AB1080" s="74">
        <f>Devis[[#This Row],[Quantité Totale]]*Devis[[#This Row],[Prix de Revient]]</f>
        <v>0</v>
      </c>
    </row>
    <row r="1081" spans="1:28" ht="15" customHeight="1" outlineLevel="1" x14ac:dyDescent="0.2">
      <c r="A1081" s="75" t="s">
        <v>624</v>
      </c>
      <c r="B1081" s="76" t="s">
        <v>5942</v>
      </c>
      <c r="C1081" s="76" t="s">
        <v>20</v>
      </c>
      <c r="D1081" s="81" t="str">
        <f t="shared" si="20"/>
        <v>FlexiblesFLEXIBLE CAOUTCHOUC MM1"1/4</v>
      </c>
      <c r="E1081" s="76" t="s">
        <v>738</v>
      </c>
      <c r="F1081" s="81">
        <v>33</v>
      </c>
      <c r="G1081" s="71" t="s">
        <v>739</v>
      </c>
      <c r="H1081" s="71"/>
      <c r="I1081" s="71"/>
      <c r="J1081" s="70">
        <f>IFERROR(VLOOKUP(Devis[[#This Row],[Ref Air Flux]],#REF!,3,FALSE),0)</f>
        <v>0</v>
      </c>
      <c r="K1081" s="68"/>
      <c r="L1081" s="68"/>
      <c r="M1081" s="68"/>
      <c r="N1081" s="68"/>
      <c r="O1081" s="68"/>
      <c r="P1081" s="68"/>
      <c r="Q1081" s="68">
        <f>SUM(Devis[[#This Row],[Poste 1]:[Poste 6]])</f>
        <v>0</v>
      </c>
      <c r="R1081" s="71"/>
      <c r="S1081" s="68">
        <f>_xlfn.CEILING.MATH(Devis[[#This Row],[Quantité Totale]],Devis[[#This Row],[Conditionnement]])</f>
        <v>0</v>
      </c>
      <c r="T1081" s="72"/>
      <c r="U1081" s="73"/>
      <c r="V1081" s="74">
        <f>Devis[[#This Row],[Prix de Revient]]*Devis[[#This Row],[Poste 1]]</f>
        <v>0</v>
      </c>
      <c r="W1081" s="74">
        <f>Devis[[#This Row],[Prix de Revient]]*Devis[[#This Row],[Poste 2]]</f>
        <v>0</v>
      </c>
      <c r="X1081" s="74">
        <f>Devis[[#This Row],[Prix de Revient]]*Devis[[#This Row],[Poste 3]]</f>
        <v>0</v>
      </c>
      <c r="Y1081" s="74">
        <f>Devis[[#This Row],[Poste 4]]*Devis[[#This Row],[Prix de Revient]]</f>
        <v>0</v>
      </c>
      <c r="Z1081" s="74">
        <f>Devis[[#This Row],[Poste 5]]*Devis[[#This Row],[Prix de Revient]]</f>
        <v>0</v>
      </c>
      <c r="AA1081" s="74">
        <f>Devis[[#This Row],[Prix de Revient]]*Devis[[#This Row],[Poste 6]]</f>
        <v>0</v>
      </c>
      <c r="AB1081" s="74">
        <f>Devis[[#This Row],[Quantité Totale]]*Devis[[#This Row],[Prix de Revient]]</f>
        <v>0</v>
      </c>
    </row>
    <row r="1082" spans="1:28" ht="14.25" outlineLevel="1" x14ac:dyDescent="0.2">
      <c r="A1082" s="75" t="s">
        <v>624</v>
      </c>
      <c r="B1082" s="76" t="s">
        <v>5942</v>
      </c>
      <c r="C1082" s="76" t="s">
        <v>20</v>
      </c>
      <c r="D1082" s="81" t="str">
        <f t="shared" si="20"/>
        <v>FlexiblesFLEXIBLE CAOUTCHOUC MM1"1/4</v>
      </c>
      <c r="E1082" s="76" t="s">
        <v>662</v>
      </c>
      <c r="F1082" s="81">
        <v>34</v>
      </c>
      <c r="G1082" s="71" t="s">
        <v>740</v>
      </c>
      <c r="H1082" s="71"/>
      <c r="I1082" s="71"/>
      <c r="J1082" s="70">
        <f>IFERROR(VLOOKUP(Devis[[#This Row],[Ref Air Flux]],#REF!,3,FALSE),0)</f>
        <v>0</v>
      </c>
      <c r="K1082" s="68"/>
      <c r="L1082" s="68"/>
      <c r="M1082" s="68"/>
      <c r="N1082" s="68"/>
      <c r="O1082" s="68"/>
      <c r="P1082" s="68"/>
      <c r="Q1082" s="68">
        <f>SUM(Devis[[#This Row],[Poste 1]:[Poste 6]])</f>
        <v>0</v>
      </c>
      <c r="R1082" s="71"/>
      <c r="S1082" s="68">
        <f>_xlfn.CEILING.MATH(Devis[[#This Row],[Quantité Totale]],Devis[[#This Row],[Conditionnement]])</f>
        <v>0</v>
      </c>
      <c r="T1082" s="72"/>
      <c r="U1082" s="73"/>
      <c r="V1082" s="74">
        <f>Devis[[#This Row],[Prix de Revient]]*Devis[[#This Row],[Poste 1]]</f>
        <v>0</v>
      </c>
      <c r="W1082" s="74">
        <f>Devis[[#This Row],[Prix de Revient]]*Devis[[#This Row],[Poste 2]]</f>
        <v>0</v>
      </c>
      <c r="X1082" s="74">
        <f>Devis[[#This Row],[Prix de Revient]]*Devis[[#This Row],[Poste 3]]</f>
        <v>0</v>
      </c>
      <c r="Y1082" s="74">
        <f>Devis[[#This Row],[Poste 4]]*Devis[[#This Row],[Prix de Revient]]</f>
        <v>0</v>
      </c>
      <c r="Z1082" s="74">
        <f>Devis[[#This Row],[Poste 5]]*Devis[[#This Row],[Prix de Revient]]</f>
        <v>0</v>
      </c>
      <c r="AA1082" s="74">
        <f>Devis[[#This Row],[Prix de Revient]]*Devis[[#This Row],[Poste 6]]</f>
        <v>0</v>
      </c>
      <c r="AB1082" s="74">
        <f>Devis[[#This Row],[Quantité Totale]]*Devis[[#This Row],[Prix de Revient]]</f>
        <v>0</v>
      </c>
    </row>
    <row r="1083" spans="1:28" ht="14.25" outlineLevel="1" x14ac:dyDescent="0.2">
      <c r="A1083" s="75" t="s">
        <v>624</v>
      </c>
      <c r="B1083" s="76" t="s">
        <v>5942</v>
      </c>
      <c r="C1083" s="76" t="s">
        <v>20</v>
      </c>
      <c r="D1083" s="81" t="str">
        <f t="shared" si="20"/>
        <v>FlexiblesFLEXIBLE CAOUTCHOUC MM1"1/4</v>
      </c>
      <c r="E1083" s="76" t="s">
        <v>741</v>
      </c>
      <c r="F1083" s="81">
        <v>35</v>
      </c>
      <c r="G1083" s="71" t="s">
        <v>742</v>
      </c>
      <c r="H1083" s="71"/>
      <c r="I1083" s="71"/>
      <c r="J1083" s="70">
        <f>IFERROR(VLOOKUP(Devis[[#This Row],[Ref Air Flux]],#REF!,3,FALSE),0)</f>
        <v>0</v>
      </c>
      <c r="K1083" s="68"/>
      <c r="L1083" s="68"/>
      <c r="M1083" s="68"/>
      <c r="N1083" s="68"/>
      <c r="O1083" s="68"/>
      <c r="P1083" s="68"/>
      <c r="Q1083" s="68">
        <f>SUM(Devis[[#This Row],[Poste 1]:[Poste 6]])</f>
        <v>0</v>
      </c>
      <c r="R1083" s="71"/>
      <c r="S1083" s="68">
        <f>_xlfn.CEILING.MATH(Devis[[#This Row],[Quantité Totale]],Devis[[#This Row],[Conditionnement]])</f>
        <v>0</v>
      </c>
      <c r="T1083" s="72"/>
      <c r="U1083" s="73"/>
      <c r="V1083" s="74">
        <f>Devis[[#This Row],[Prix de Revient]]*Devis[[#This Row],[Poste 1]]</f>
        <v>0</v>
      </c>
      <c r="W1083" s="74">
        <f>Devis[[#This Row],[Prix de Revient]]*Devis[[#This Row],[Poste 2]]</f>
        <v>0</v>
      </c>
      <c r="X1083" s="74">
        <f>Devis[[#This Row],[Prix de Revient]]*Devis[[#This Row],[Poste 3]]</f>
        <v>0</v>
      </c>
      <c r="Y1083" s="74">
        <f>Devis[[#This Row],[Poste 4]]*Devis[[#This Row],[Prix de Revient]]</f>
        <v>0</v>
      </c>
      <c r="Z1083" s="74">
        <f>Devis[[#This Row],[Poste 5]]*Devis[[#This Row],[Prix de Revient]]</f>
        <v>0</v>
      </c>
      <c r="AA1083" s="74">
        <f>Devis[[#This Row],[Prix de Revient]]*Devis[[#This Row],[Poste 6]]</f>
        <v>0</v>
      </c>
      <c r="AB1083" s="74">
        <f>Devis[[#This Row],[Quantité Totale]]*Devis[[#This Row],[Prix de Revient]]</f>
        <v>0</v>
      </c>
    </row>
    <row r="1084" spans="1:28" ht="14.25" outlineLevel="1" x14ac:dyDescent="0.2">
      <c r="A1084" s="75" t="s">
        <v>624</v>
      </c>
      <c r="B1084" s="76" t="s">
        <v>5942</v>
      </c>
      <c r="C1084" s="76" t="s">
        <v>20</v>
      </c>
      <c r="D1084" s="81" t="str">
        <f t="shared" si="20"/>
        <v>FlexiblesFLEXIBLE CAOUTCHOUC MM1"1/4</v>
      </c>
      <c r="E1084" s="76" t="s">
        <v>743</v>
      </c>
      <c r="F1084" s="81">
        <v>36</v>
      </c>
      <c r="G1084" s="71" t="s">
        <v>744</v>
      </c>
      <c r="H1084" s="71"/>
      <c r="I1084" s="71"/>
      <c r="J1084" s="70">
        <f>IFERROR(VLOOKUP(Devis[[#This Row],[Ref Air Flux]],#REF!,3,FALSE),0)</f>
        <v>0</v>
      </c>
      <c r="K1084" s="68"/>
      <c r="L1084" s="68"/>
      <c r="M1084" s="68"/>
      <c r="N1084" s="68"/>
      <c r="O1084" s="68"/>
      <c r="P1084" s="68"/>
      <c r="Q1084" s="68">
        <f>SUM(Devis[[#This Row],[Poste 1]:[Poste 6]])</f>
        <v>0</v>
      </c>
      <c r="R1084" s="71"/>
      <c r="S1084" s="68">
        <f>_xlfn.CEILING.MATH(Devis[[#This Row],[Quantité Totale]],Devis[[#This Row],[Conditionnement]])</f>
        <v>0</v>
      </c>
      <c r="T1084" s="72"/>
      <c r="U1084" s="73"/>
      <c r="V1084" s="74">
        <f>Devis[[#This Row],[Prix de Revient]]*Devis[[#This Row],[Poste 1]]</f>
        <v>0</v>
      </c>
      <c r="W1084" s="74">
        <f>Devis[[#This Row],[Prix de Revient]]*Devis[[#This Row],[Poste 2]]</f>
        <v>0</v>
      </c>
      <c r="X1084" s="74">
        <f>Devis[[#This Row],[Prix de Revient]]*Devis[[#This Row],[Poste 3]]</f>
        <v>0</v>
      </c>
      <c r="Y1084" s="74">
        <f>Devis[[#This Row],[Poste 4]]*Devis[[#This Row],[Prix de Revient]]</f>
        <v>0</v>
      </c>
      <c r="Z1084" s="74">
        <f>Devis[[#This Row],[Poste 5]]*Devis[[#This Row],[Prix de Revient]]</f>
        <v>0</v>
      </c>
      <c r="AA1084" s="74">
        <f>Devis[[#This Row],[Prix de Revient]]*Devis[[#This Row],[Poste 6]]</f>
        <v>0</v>
      </c>
      <c r="AB1084" s="74">
        <f>Devis[[#This Row],[Quantité Totale]]*Devis[[#This Row],[Prix de Revient]]</f>
        <v>0</v>
      </c>
    </row>
    <row r="1085" spans="1:28" ht="14.25" outlineLevel="1" x14ac:dyDescent="0.2">
      <c r="A1085" s="75" t="s">
        <v>624</v>
      </c>
      <c r="B1085" s="76" t="s">
        <v>5942</v>
      </c>
      <c r="C1085" s="76" t="s">
        <v>20</v>
      </c>
      <c r="D1085" s="81" t="str">
        <f t="shared" si="20"/>
        <v>FlexiblesFLEXIBLE CAOUTCHOUC MM1"1/4</v>
      </c>
      <c r="E1085" s="76" t="s">
        <v>745</v>
      </c>
      <c r="F1085" s="81">
        <v>37</v>
      </c>
      <c r="G1085" s="71" t="s">
        <v>746</v>
      </c>
      <c r="H1085" s="71"/>
      <c r="I1085" s="71"/>
      <c r="J1085" s="70">
        <f>IFERROR(VLOOKUP(Devis[[#This Row],[Ref Air Flux]],#REF!,3,FALSE),0)</f>
        <v>0</v>
      </c>
      <c r="K1085" s="68"/>
      <c r="L1085" s="68"/>
      <c r="M1085" s="68"/>
      <c r="N1085" s="68"/>
      <c r="O1085" s="68"/>
      <c r="P1085" s="68"/>
      <c r="Q1085" s="68">
        <f>SUM(Devis[[#This Row],[Poste 1]:[Poste 6]])</f>
        <v>0</v>
      </c>
      <c r="R1085" s="71"/>
      <c r="S1085" s="68">
        <f>_xlfn.CEILING.MATH(Devis[[#This Row],[Quantité Totale]],Devis[[#This Row],[Conditionnement]])</f>
        <v>0</v>
      </c>
      <c r="T1085" s="72"/>
      <c r="U1085" s="73"/>
      <c r="V1085" s="74">
        <f>Devis[[#This Row],[Prix de Revient]]*Devis[[#This Row],[Poste 1]]</f>
        <v>0</v>
      </c>
      <c r="W1085" s="74">
        <f>Devis[[#This Row],[Prix de Revient]]*Devis[[#This Row],[Poste 2]]</f>
        <v>0</v>
      </c>
      <c r="X1085" s="74">
        <f>Devis[[#This Row],[Prix de Revient]]*Devis[[#This Row],[Poste 3]]</f>
        <v>0</v>
      </c>
      <c r="Y1085" s="74">
        <f>Devis[[#This Row],[Poste 4]]*Devis[[#This Row],[Prix de Revient]]</f>
        <v>0</v>
      </c>
      <c r="Z1085" s="74">
        <f>Devis[[#This Row],[Poste 5]]*Devis[[#This Row],[Prix de Revient]]</f>
        <v>0</v>
      </c>
      <c r="AA1085" s="74">
        <f>Devis[[#This Row],[Prix de Revient]]*Devis[[#This Row],[Poste 6]]</f>
        <v>0</v>
      </c>
      <c r="AB1085" s="74">
        <f>Devis[[#This Row],[Quantité Totale]]*Devis[[#This Row],[Prix de Revient]]</f>
        <v>0</v>
      </c>
    </row>
    <row r="1086" spans="1:28" ht="14.25" outlineLevel="1" x14ac:dyDescent="0.2">
      <c r="A1086" s="75" t="s">
        <v>624</v>
      </c>
      <c r="B1086" s="76" t="s">
        <v>5942</v>
      </c>
      <c r="C1086" s="76" t="s">
        <v>20</v>
      </c>
      <c r="D1086" s="81" t="str">
        <f t="shared" si="20"/>
        <v>FlexiblesFLEXIBLE CAOUTCHOUC MM1"1/4</v>
      </c>
      <c r="E1086" s="76" t="s">
        <v>747</v>
      </c>
      <c r="F1086" s="81">
        <v>38</v>
      </c>
      <c r="G1086" s="71" t="s">
        <v>748</v>
      </c>
      <c r="H1086" s="71"/>
      <c r="I1086" s="71"/>
      <c r="J1086" s="70">
        <f>IFERROR(VLOOKUP(Devis[[#This Row],[Ref Air Flux]],#REF!,3,FALSE),0)</f>
        <v>0</v>
      </c>
      <c r="K1086" s="68"/>
      <c r="L1086" s="68"/>
      <c r="M1086" s="68"/>
      <c r="N1086" s="68"/>
      <c r="O1086" s="68"/>
      <c r="P1086" s="68"/>
      <c r="Q1086" s="68">
        <f>SUM(Devis[[#This Row],[Poste 1]:[Poste 6]])</f>
        <v>0</v>
      </c>
      <c r="R1086" s="71"/>
      <c r="S1086" s="68">
        <f>_xlfn.CEILING.MATH(Devis[[#This Row],[Quantité Totale]],Devis[[#This Row],[Conditionnement]])</f>
        <v>0</v>
      </c>
      <c r="T1086" s="72"/>
      <c r="U1086" s="73"/>
      <c r="V1086" s="74">
        <f>Devis[[#This Row],[Prix de Revient]]*Devis[[#This Row],[Poste 1]]</f>
        <v>0</v>
      </c>
      <c r="W1086" s="74">
        <f>Devis[[#This Row],[Prix de Revient]]*Devis[[#This Row],[Poste 2]]</f>
        <v>0</v>
      </c>
      <c r="X1086" s="74">
        <f>Devis[[#This Row],[Prix de Revient]]*Devis[[#This Row],[Poste 3]]</f>
        <v>0</v>
      </c>
      <c r="Y1086" s="74">
        <f>Devis[[#This Row],[Poste 4]]*Devis[[#This Row],[Prix de Revient]]</f>
        <v>0</v>
      </c>
      <c r="Z1086" s="74">
        <f>Devis[[#This Row],[Poste 5]]*Devis[[#This Row],[Prix de Revient]]</f>
        <v>0</v>
      </c>
      <c r="AA1086" s="74">
        <f>Devis[[#This Row],[Prix de Revient]]*Devis[[#This Row],[Poste 6]]</f>
        <v>0</v>
      </c>
      <c r="AB1086" s="74">
        <f>Devis[[#This Row],[Quantité Totale]]*Devis[[#This Row],[Prix de Revient]]</f>
        <v>0</v>
      </c>
    </row>
    <row r="1087" spans="1:28" ht="14.25" outlineLevel="1" x14ac:dyDescent="0.2">
      <c r="A1087" s="75" t="s">
        <v>624</v>
      </c>
      <c r="B1087" s="76" t="s">
        <v>5942</v>
      </c>
      <c r="C1087" s="76" t="s">
        <v>20</v>
      </c>
      <c r="D1087" s="81" t="str">
        <f t="shared" si="20"/>
        <v>FlexiblesFLEXIBLE CAOUTCHOUC MM1"1/4</v>
      </c>
      <c r="E1087" s="76" t="s">
        <v>749</v>
      </c>
      <c r="F1087" s="81">
        <v>39</v>
      </c>
      <c r="G1087" s="71" t="s">
        <v>750</v>
      </c>
      <c r="H1087" s="71"/>
      <c r="I1087" s="71"/>
      <c r="J1087" s="70">
        <f>IFERROR(VLOOKUP(Devis[[#This Row],[Ref Air Flux]],#REF!,3,FALSE),0)</f>
        <v>0</v>
      </c>
      <c r="K1087" s="68"/>
      <c r="L1087" s="68"/>
      <c r="M1087" s="68"/>
      <c r="N1087" s="68"/>
      <c r="O1087" s="68"/>
      <c r="P1087" s="68"/>
      <c r="Q1087" s="68">
        <f>SUM(Devis[[#This Row],[Poste 1]:[Poste 6]])</f>
        <v>0</v>
      </c>
      <c r="R1087" s="71"/>
      <c r="S1087" s="68">
        <f>_xlfn.CEILING.MATH(Devis[[#This Row],[Quantité Totale]],Devis[[#This Row],[Conditionnement]])</f>
        <v>0</v>
      </c>
      <c r="T1087" s="72"/>
      <c r="U1087" s="73"/>
      <c r="V1087" s="74">
        <f>Devis[[#This Row],[Prix de Revient]]*Devis[[#This Row],[Poste 1]]</f>
        <v>0</v>
      </c>
      <c r="W1087" s="74">
        <f>Devis[[#This Row],[Prix de Revient]]*Devis[[#This Row],[Poste 2]]</f>
        <v>0</v>
      </c>
      <c r="X1087" s="74">
        <f>Devis[[#This Row],[Prix de Revient]]*Devis[[#This Row],[Poste 3]]</f>
        <v>0</v>
      </c>
      <c r="Y1087" s="74">
        <f>Devis[[#This Row],[Poste 4]]*Devis[[#This Row],[Prix de Revient]]</f>
        <v>0</v>
      </c>
      <c r="Z1087" s="74">
        <f>Devis[[#This Row],[Poste 5]]*Devis[[#This Row],[Prix de Revient]]</f>
        <v>0</v>
      </c>
      <c r="AA1087" s="74">
        <f>Devis[[#This Row],[Prix de Revient]]*Devis[[#This Row],[Poste 6]]</f>
        <v>0</v>
      </c>
      <c r="AB1087" s="74">
        <f>Devis[[#This Row],[Quantité Totale]]*Devis[[#This Row],[Prix de Revient]]</f>
        <v>0</v>
      </c>
    </row>
    <row r="1088" spans="1:28" ht="14.25" outlineLevel="1" x14ac:dyDescent="0.2">
      <c r="A1088" s="75" t="s">
        <v>624</v>
      </c>
      <c r="B1088" s="76" t="s">
        <v>5942</v>
      </c>
      <c r="C1088" s="76" t="s">
        <v>20</v>
      </c>
      <c r="D1088" s="81" t="str">
        <f t="shared" si="20"/>
        <v>FlexiblesFLEXIBLE CAOUTCHOUC MM1"1/4</v>
      </c>
      <c r="E1088" s="76" t="s">
        <v>751</v>
      </c>
      <c r="F1088" s="81">
        <v>40</v>
      </c>
      <c r="G1088" s="71" t="s">
        <v>752</v>
      </c>
      <c r="H1088" s="71"/>
      <c r="I1088" s="71"/>
      <c r="J1088" s="70">
        <f>IFERROR(VLOOKUP(Devis[[#This Row],[Ref Air Flux]],#REF!,3,FALSE),0)</f>
        <v>0</v>
      </c>
      <c r="K1088" s="68"/>
      <c r="L1088" s="68"/>
      <c r="M1088" s="68"/>
      <c r="N1088" s="68"/>
      <c r="O1088" s="68"/>
      <c r="P1088" s="68"/>
      <c r="Q1088" s="68">
        <f>SUM(Devis[[#This Row],[Poste 1]:[Poste 6]])</f>
        <v>0</v>
      </c>
      <c r="R1088" s="71"/>
      <c r="S1088" s="68">
        <f>_xlfn.CEILING.MATH(Devis[[#This Row],[Quantité Totale]],Devis[[#This Row],[Conditionnement]])</f>
        <v>0</v>
      </c>
      <c r="T1088" s="72"/>
      <c r="U1088" s="73"/>
      <c r="V1088" s="74">
        <f>Devis[[#This Row],[Prix de Revient]]*Devis[[#This Row],[Poste 1]]</f>
        <v>0</v>
      </c>
      <c r="W1088" s="74">
        <f>Devis[[#This Row],[Prix de Revient]]*Devis[[#This Row],[Poste 2]]</f>
        <v>0</v>
      </c>
      <c r="X1088" s="74">
        <f>Devis[[#This Row],[Prix de Revient]]*Devis[[#This Row],[Poste 3]]</f>
        <v>0</v>
      </c>
      <c r="Y1088" s="74">
        <f>Devis[[#This Row],[Poste 4]]*Devis[[#This Row],[Prix de Revient]]</f>
        <v>0</v>
      </c>
      <c r="Z1088" s="74">
        <f>Devis[[#This Row],[Poste 5]]*Devis[[#This Row],[Prix de Revient]]</f>
        <v>0</v>
      </c>
      <c r="AA1088" s="74">
        <f>Devis[[#This Row],[Prix de Revient]]*Devis[[#This Row],[Poste 6]]</f>
        <v>0</v>
      </c>
      <c r="AB1088" s="74">
        <f>Devis[[#This Row],[Quantité Totale]]*Devis[[#This Row],[Prix de Revient]]</f>
        <v>0</v>
      </c>
    </row>
    <row r="1089" spans="1:28" ht="14.25" outlineLevel="1" x14ac:dyDescent="0.2">
      <c r="A1089" s="75" t="s">
        <v>624</v>
      </c>
      <c r="B1089" s="76" t="s">
        <v>5942</v>
      </c>
      <c r="C1089" s="76" t="s">
        <v>21</v>
      </c>
      <c r="D1089" s="81" t="str">
        <f t="shared" si="20"/>
        <v>FlexiblesFLEXIBLE CAOUTCHOUC MM1"1/2</v>
      </c>
      <c r="E1089" s="76" t="s">
        <v>753</v>
      </c>
      <c r="F1089" s="81">
        <v>41</v>
      </c>
      <c r="G1089" s="71" t="s">
        <v>754</v>
      </c>
      <c r="H1089" s="71"/>
      <c r="I1089" s="71"/>
      <c r="J1089" s="70">
        <f>IFERROR(VLOOKUP(Devis[[#This Row],[Ref Air Flux]],#REF!,3,FALSE),0)</f>
        <v>0</v>
      </c>
      <c r="K1089" s="68"/>
      <c r="L1089" s="68"/>
      <c r="M1089" s="68"/>
      <c r="N1089" s="68"/>
      <c r="O1089" s="68"/>
      <c r="P1089" s="68"/>
      <c r="Q1089" s="68">
        <f>SUM(Devis[[#This Row],[Poste 1]:[Poste 6]])</f>
        <v>0</v>
      </c>
      <c r="R1089" s="71"/>
      <c r="S1089" s="68">
        <f>_xlfn.CEILING.MATH(Devis[[#This Row],[Quantité Totale]],Devis[[#This Row],[Conditionnement]])</f>
        <v>0</v>
      </c>
      <c r="T1089" s="72"/>
      <c r="U1089" s="73"/>
      <c r="V1089" s="74">
        <f>Devis[[#This Row],[Prix de Revient]]*Devis[[#This Row],[Poste 1]]</f>
        <v>0</v>
      </c>
      <c r="W1089" s="74">
        <f>Devis[[#This Row],[Prix de Revient]]*Devis[[#This Row],[Poste 2]]</f>
        <v>0</v>
      </c>
      <c r="X1089" s="74">
        <f>Devis[[#This Row],[Prix de Revient]]*Devis[[#This Row],[Poste 3]]</f>
        <v>0</v>
      </c>
      <c r="Y1089" s="74">
        <f>Devis[[#This Row],[Poste 4]]*Devis[[#This Row],[Prix de Revient]]</f>
        <v>0</v>
      </c>
      <c r="Z1089" s="74">
        <f>Devis[[#This Row],[Poste 5]]*Devis[[#This Row],[Prix de Revient]]</f>
        <v>0</v>
      </c>
      <c r="AA1089" s="74">
        <f>Devis[[#This Row],[Prix de Revient]]*Devis[[#This Row],[Poste 6]]</f>
        <v>0</v>
      </c>
      <c r="AB1089" s="74">
        <f>Devis[[#This Row],[Quantité Totale]]*Devis[[#This Row],[Prix de Revient]]</f>
        <v>0</v>
      </c>
    </row>
    <row r="1090" spans="1:28" ht="15" customHeight="1" outlineLevel="1" x14ac:dyDescent="0.2">
      <c r="A1090" s="75" t="s">
        <v>624</v>
      </c>
      <c r="B1090" s="76" t="s">
        <v>5942</v>
      </c>
      <c r="C1090" s="76" t="s">
        <v>21</v>
      </c>
      <c r="D1090" s="81" t="str">
        <f t="shared" si="20"/>
        <v>FlexiblesFLEXIBLE CAOUTCHOUC MM1"1/2</v>
      </c>
      <c r="E1090" s="76" t="s">
        <v>664</v>
      </c>
      <c r="F1090" s="81">
        <v>42</v>
      </c>
      <c r="G1090" s="71" t="s">
        <v>755</v>
      </c>
      <c r="H1090" s="71"/>
      <c r="I1090" s="71"/>
      <c r="J1090" s="70">
        <f>IFERROR(VLOOKUP(Devis[[#This Row],[Ref Air Flux]],#REF!,3,FALSE),0)</f>
        <v>0</v>
      </c>
      <c r="K1090" s="68"/>
      <c r="L1090" s="68"/>
      <c r="M1090" s="68"/>
      <c r="N1090" s="68"/>
      <c r="O1090" s="68"/>
      <c r="P1090" s="68"/>
      <c r="Q1090" s="68">
        <f>SUM(Devis[[#This Row],[Poste 1]:[Poste 6]])</f>
        <v>0</v>
      </c>
      <c r="R1090" s="71"/>
      <c r="S1090" s="68">
        <f>_xlfn.CEILING.MATH(Devis[[#This Row],[Quantité Totale]],Devis[[#This Row],[Conditionnement]])</f>
        <v>0</v>
      </c>
      <c r="T1090" s="72"/>
      <c r="U1090" s="73"/>
      <c r="V1090" s="74">
        <f>Devis[[#This Row],[Prix de Revient]]*Devis[[#This Row],[Poste 1]]</f>
        <v>0</v>
      </c>
      <c r="W1090" s="74">
        <f>Devis[[#This Row],[Prix de Revient]]*Devis[[#This Row],[Poste 2]]</f>
        <v>0</v>
      </c>
      <c r="X1090" s="74">
        <f>Devis[[#This Row],[Prix de Revient]]*Devis[[#This Row],[Poste 3]]</f>
        <v>0</v>
      </c>
      <c r="Y1090" s="74">
        <f>Devis[[#This Row],[Poste 4]]*Devis[[#This Row],[Prix de Revient]]</f>
        <v>0</v>
      </c>
      <c r="Z1090" s="74">
        <f>Devis[[#This Row],[Poste 5]]*Devis[[#This Row],[Prix de Revient]]</f>
        <v>0</v>
      </c>
      <c r="AA1090" s="74">
        <f>Devis[[#This Row],[Prix de Revient]]*Devis[[#This Row],[Poste 6]]</f>
        <v>0</v>
      </c>
      <c r="AB1090" s="74">
        <f>Devis[[#This Row],[Quantité Totale]]*Devis[[#This Row],[Prix de Revient]]</f>
        <v>0</v>
      </c>
    </row>
    <row r="1091" spans="1:28" ht="15" customHeight="1" outlineLevel="1" x14ac:dyDescent="0.2">
      <c r="A1091" s="75" t="s">
        <v>624</v>
      </c>
      <c r="B1091" s="76" t="s">
        <v>5942</v>
      </c>
      <c r="C1091" s="76" t="s">
        <v>21</v>
      </c>
      <c r="D1091" s="81" t="str">
        <f t="shared" si="20"/>
        <v>FlexiblesFLEXIBLE CAOUTCHOUC MM1"1/2</v>
      </c>
      <c r="E1091" s="76" t="s">
        <v>756</v>
      </c>
      <c r="F1091" s="81">
        <v>43</v>
      </c>
      <c r="G1091" s="71" t="s">
        <v>757</v>
      </c>
      <c r="H1091" s="71"/>
      <c r="I1091" s="71"/>
      <c r="J1091" s="70">
        <f>IFERROR(VLOOKUP(Devis[[#This Row],[Ref Air Flux]],#REF!,3,FALSE),0)</f>
        <v>0</v>
      </c>
      <c r="K1091" s="68"/>
      <c r="L1091" s="68"/>
      <c r="M1091" s="68"/>
      <c r="N1091" s="68"/>
      <c r="O1091" s="68"/>
      <c r="P1091" s="68"/>
      <c r="Q1091" s="68">
        <f>SUM(Devis[[#This Row],[Poste 1]:[Poste 6]])</f>
        <v>0</v>
      </c>
      <c r="R1091" s="71"/>
      <c r="S1091" s="68">
        <f>_xlfn.CEILING.MATH(Devis[[#This Row],[Quantité Totale]],Devis[[#This Row],[Conditionnement]])</f>
        <v>0</v>
      </c>
      <c r="T1091" s="72"/>
      <c r="U1091" s="73"/>
      <c r="V1091" s="74">
        <f>Devis[[#This Row],[Prix de Revient]]*Devis[[#This Row],[Poste 1]]</f>
        <v>0</v>
      </c>
      <c r="W1091" s="74">
        <f>Devis[[#This Row],[Prix de Revient]]*Devis[[#This Row],[Poste 2]]</f>
        <v>0</v>
      </c>
      <c r="X1091" s="74">
        <f>Devis[[#This Row],[Prix de Revient]]*Devis[[#This Row],[Poste 3]]</f>
        <v>0</v>
      </c>
      <c r="Y1091" s="74">
        <f>Devis[[#This Row],[Poste 4]]*Devis[[#This Row],[Prix de Revient]]</f>
        <v>0</v>
      </c>
      <c r="Z1091" s="74">
        <f>Devis[[#This Row],[Poste 5]]*Devis[[#This Row],[Prix de Revient]]</f>
        <v>0</v>
      </c>
      <c r="AA1091" s="74">
        <f>Devis[[#This Row],[Prix de Revient]]*Devis[[#This Row],[Poste 6]]</f>
        <v>0</v>
      </c>
      <c r="AB1091" s="74">
        <f>Devis[[#This Row],[Quantité Totale]]*Devis[[#This Row],[Prix de Revient]]</f>
        <v>0</v>
      </c>
    </row>
    <row r="1092" spans="1:28" ht="14.25" outlineLevel="1" x14ac:dyDescent="0.2">
      <c r="A1092" s="75" t="s">
        <v>624</v>
      </c>
      <c r="B1092" s="76" t="s">
        <v>5942</v>
      </c>
      <c r="C1092" s="76" t="s">
        <v>21</v>
      </c>
      <c r="D1092" s="81" t="str">
        <f t="shared" si="20"/>
        <v>FlexiblesFLEXIBLE CAOUTCHOUC MM1"1/2</v>
      </c>
      <c r="E1092" s="76" t="s">
        <v>666</v>
      </c>
      <c r="F1092" s="81">
        <v>44</v>
      </c>
      <c r="G1092" s="71" t="s">
        <v>758</v>
      </c>
      <c r="H1092" s="71"/>
      <c r="I1092" s="71"/>
      <c r="J1092" s="70">
        <f>IFERROR(VLOOKUP(Devis[[#This Row],[Ref Air Flux]],#REF!,3,FALSE),0)</f>
        <v>0</v>
      </c>
      <c r="K1092" s="68"/>
      <c r="L1092" s="68"/>
      <c r="M1092" s="68"/>
      <c r="N1092" s="68"/>
      <c r="O1092" s="68"/>
      <c r="P1092" s="68"/>
      <c r="Q1092" s="68">
        <f>SUM(Devis[[#This Row],[Poste 1]:[Poste 6]])</f>
        <v>0</v>
      </c>
      <c r="R1092" s="71"/>
      <c r="S1092" s="68">
        <f>_xlfn.CEILING.MATH(Devis[[#This Row],[Quantité Totale]],Devis[[#This Row],[Conditionnement]])</f>
        <v>0</v>
      </c>
      <c r="T1092" s="72"/>
      <c r="U1092" s="73"/>
      <c r="V1092" s="74">
        <f>Devis[[#This Row],[Prix de Revient]]*Devis[[#This Row],[Poste 1]]</f>
        <v>0</v>
      </c>
      <c r="W1092" s="74">
        <f>Devis[[#This Row],[Prix de Revient]]*Devis[[#This Row],[Poste 2]]</f>
        <v>0</v>
      </c>
      <c r="X1092" s="74">
        <f>Devis[[#This Row],[Prix de Revient]]*Devis[[#This Row],[Poste 3]]</f>
        <v>0</v>
      </c>
      <c r="Y1092" s="74">
        <f>Devis[[#This Row],[Poste 4]]*Devis[[#This Row],[Prix de Revient]]</f>
        <v>0</v>
      </c>
      <c r="Z1092" s="74">
        <f>Devis[[#This Row],[Poste 5]]*Devis[[#This Row],[Prix de Revient]]</f>
        <v>0</v>
      </c>
      <c r="AA1092" s="74">
        <f>Devis[[#This Row],[Prix de Revient]]*Devis[[#This Row],[Poste 6]]</f>
        <v>0</v>
      </c>
      <c r="AB1092" s="74">
        <f>Devis[[#This Row],[Quantité Totale]]*Devis[[#This Row],[Prix de Revient]]</f>
        <v>0</v>
      </c>
    </row>
    <row r="1093" spans="1:28" ht="14.25" outlineLevel="1" x14ac:dyDescent="0.2">
      <c r="A1093" s="75" t="s">
        <v>624</v>
      </c>
      <c r="B1093" s="76" t="s">
        <v>5942</v>
      </c>
      <c r="C1093" s="76" t="s">
        <v>21</v>
      </c>
      <c r="D1093" s="81" t="str">
        <f t="shared" si="20"/>
        <v>FlexiblesFLEXIBLE CAOUTCHOUC MM1"1/2</v>
      </c>
      <c r="E1093" s="76" t="s">
        <v>759</v>
      </c>
      <c r="F1093" s="81">
        <v>45</v>
      </c>
      <c r="G1093" s="71" t="s">
        <v>760</v>
      </c>
      <c r="H1093" s="71"/>
      <c r="I1093" s="71"/>
      <c r="J1093" s="70">
        <f>IFERROR(VLOOKUP(Devis[[#This Row],[Ref Air Flux]],#REF!,3,FALSE),0)</f>
        <v>0</v>
      </c>
      <c r="K1093" s="68"/>
      <c r="L1093" s="68"/>
      <c r="M1093" s="68"/>
      <c r="N1093" s="68"/>
      <c r="O1093" s="68"/>
      <c r="P1093" s="68"/>
      <c r="Q1093" s="68">
        <f>SUM(Devis[[#This Row],[Poste 1]:[Poste 6]])</f>
        <v>0</v>
      </c>
      <c r="R1093" s="71"/>
      <c r="S1093" s="68">
        <f>_xlfn.CEILING.MATH(Devis[[#This Row],[Quantité Totale]],Devis[[#This Row],[Conditionnement]])</f>
        <v>0</v>
      </c>
      <c r="T1093" s="72"/>
      <c r="U1093" s="73"/>
      <c r="V1093" s="74">
        <f>Devis[[#This Row],[Prix de Revient]]*Devis[[#This Row],[Poste 1]]</f>
        <v>0</v>
      </c>
      <c r="W1093" s="74">
        <f>Devis[[#This Row],[Prix de Revient]]*Devis[[#This Row],[Poste 2]]</f>
        <v>0</v>
      </c>
      <c r="X1093" s="74">
        <f>Devis[[#This Row],[Prix de Revient]]*Devis[[#This Row],[Poste 3]]</f>
        <v>0</v>
      </c>
      <c r="Y1093" s="74">
        <f>Devis[[#This Row],[Poste 4]]*Devis[[#This Row],[Prix de Revient]]</f>
        <v>0</v>
      </c>
      <c r="Z1093" s="74">
        <f>Devis[[#This Row],[Poste 5]]*Devis[[#This Row],[Prix de Revient]]</f>
        <v>0</v>
      </c>
      <c r="AA1093" s="74">
        <f>Devis[[#This Row],[Prix de Revient]]*Devis[[#This Row],[Poste 6]]</f>
        <v>0</v>
      </c>
      <c r="AB1093" s="74">
        <f>Devis[[#This Row],[Quantité Totale]]*Devis[[#This Row],[Prix de Revient]]</f>
        <v>0</v>
      </c>
    </row>
    <row r="1094" spans="1:28" ht="14.25" outlineLevel="1" x14ac:dyDescent="0.2">
      <c r="A1094" s="75" t="s">
        <v>624</v>
      </c>
      <c r="B1094" s="76" t="s">
        <v>5942</v>
      </c>
      <c r="C1094" s="76" t="s">
        <v>21</v>
      </c>
      <c r="D1094" s="81" t="str">
        <f t="shared" si="20"/>
        <v>FlexiblesFLEXIBLE CAOUTCHOUC MM1"1/2</v>
      </c>
      <c r="E1094" s="76" t="s">
        <v>761</v>
      </c>
      <c r="F1094" s="81">
        <v>46</v>
      </c>
      <c r="G1094" s="71" t="s">
        <v>762</v>
      </c>
      <c r="H1094" s="71"/>
      <c r="I1094" s="71"/>
      <c r="J1094" s="70">
        <f>IFERROR(VLOOKUP(Devis[[#This Row],[Ref Air Flux]],#REF!,3,FALSE),0)</f>
        <v>0</v>
      </c>
      <c r="K1094" s="68"/>
      <c r="L1094" s="68"/>
      <c r="M1094" s="68"/>
      <c r="N1094" s="68"/>
      <c r="O1094" s="68"/>
      <c r="P1094" s="68"/>
      <c r="Q1094" s="68">
        <f>SUM(Devis[[#This Row],[Poste 1]:[Poste 6]])</f>
        <v>0</v>
      </c>
      <c r="R1094" s="71"/>
      <c r="S1094" s="68">
        <f>_xlfn.CEILING.MATH(Devis[[#This Row],[Quantité Totale]],Devis[[#This Row],[Conditionnement]])</f>
        <v>0</v>
      </c>
      <c r="T1094" s="72"/>
      <c r="U1094" s="73"/>
      <c r="V1094" s="74">
        <f>Devis[[#This Row],[Prix de Revient]]*Devis[[#This Row],[Poste 1]]</f>
        <v>0</v>
      </c>
      <c r="W1094" s="74">
        <f>Devis[[#This Row],[Prix de Revient]]*Devis[[#This Row],[Poste 2]]</f>
        <v>0</v>
      </c>
      <c r="X1094" s="74">
        <f>Devis[[#This Row],[Prix de Revient]]*Devis[[#This Row],[Poste 3]]</f>
        <v>0</v>
      </c>
      <c r="Y1094" s="74">
        <f>Devis[[#This Row],[Poste 4]]*Devis[[#This Row],[Prix de Revient]]</f>
        <v>0</v>
      </c>
      <c r="Z1094" s="74">
        <f>Devis[[#This Row],[Poste 5]]*Devis[[#This Row],[Prix de Revient]]</f>
        <v>0</v>
      </c>
      <c r="AA1094" s="74">
        <f>Devis[[#This Row],[Prix de Revient]]*Devis[[#This Row],[Poste 6]]</f>
        <v>0</v>
      </c>
      <c r="AB1094" s="74">
        <f>Devis[[#This Row],[Quantité Totale]]*Devis[[#This Row],[Prix de Revient]]</f>
        <v>0</v>
      </c>
    </row>
    <row r="1095" spans="1:28" ht="14.25" outlineLevel="1" x14ac:dyDescent="0.2">
      <c r="A1095" s="75" t="s">
        <v>624</v>
      </c>
      <c r="B1095" s="76" t="s">
        <v>5942</v>
      </c>
      <c r="C1095" s="76" t="s">
        <v>21</v>
      </c>
      <c r="D1095" s="81" t="str">
        <f t="shared" si="20"/>
        <v>FlexiblesFLEXIBLE CAOUTCHOUC MM1"1/2</v>
      </c>
      <c r="E1095" s="76" t="s">
        <v>763</v>
      </c>
      <c r="F1095" s="81">
        <v>47</v>
      </c>
      <c r="G1095" s="71" t="s">
        <v>764</v>
      </c>
      <c r="H1095" s="71"/>
      <c r="I1095" s="71"/>
      <c r="J1095" s="70">
        <f>IFERROR(VLOOKUP(Devis[[#This Row],[Ref Air Flux]],#REF!,3,FALSE),0)</f>
        <v>0</v>
      </c>
      <c r="K1095" s="68"/>
      <c r="L1095" s="68"/>
      <c r="M1095" s="68"/>
      <c r="N1095" s="68"/>
      <c r="O1095" s="68"/>
      <c r="P1095" s="68"/>
      <c r="Q1095" s="68">
        <f>SUM(Devis[[#This Row],[Poste 1]:[Poste 6]])</f>
        <v>0</v>
      </c>
      <c r="R1095" s="71"/>
      <c r="S1095" s="68">
        <f>_xlfn.CEILING.MATH(Devis[[#This Row],[Quantité Totale]],Devis[[#This Row],[Conditionnement]])</f>
        <v>0</v>
      </c>
      <c r="T1095" s="72"/>
      <c r="U1095" s="73"/>
      <c r="V1095" s="74">
        <f>Devis[[#This Row],[Prix de Revient]]*Devis[[#This Row],[Poste 1]]</f>
        <v>0</v>
      </c>
      <c r="W1095" s="74">
        <f>Devis[[#This Row],[Prix de Revient]]*Devis[[#This Row],[Poste 2]]</f>
        <v>0</v>
      </c>
      <c r="X1095" s="74">
        <f>Devis[[#This Row],[Prix de Revient]]*Devis[[#This Row],[Poste 3]]</f>
        <v>0</v>
      </c>
      <c r="Y1095" s="74">
        <f>Devis[[#This Row],[Poste 4]]*Devis[[#This Row],[Prix de Revient]]</f>
        <v>0</v>
      </c>
      <c r="Z1095" s="74">
        <f>Devis[[#This Row],[Poste 5]]*Devis[[#This Row],[Prix de Revient]]</f>
        <v>0</v>
      </c>
      <c r="AA1095" s="74">
        <f>Devis[[#This Row],[Prix de Revient]]*Devis[[#This Row],[Poste 6]]</f>
        <v>0</v>
      </c>
      <c r="AB1095" s="74">
        <f>Devis[[#This Row],[Quantité Totale]]*Devis[[#This Row],[Prix de Revient]]</f>
        <v>0</v>
      </c>
    </row>
    <row r="1096" spans="1:28" ht="14.25" outlineLevel="1" x14ac:dyDescent="0.2">
      <c r="A1096" s="75" t="s">
        <v>624</v>
      </c>
      <c r="B1096" s="76" t="s">
        <v>5942</v>
      </c>
      <c r="C1096" s="76" t="s">
        <v>0</v>
      </c>
      <c r="D1096" s="81" t="str">
        <f t="shared" si="20"/>
        <v>FlexiblesFLEXIBLE CAOUTCHOUC MM2"</v>
      </c>
      <c r="E1096" s="76" t="s">
        <v>668</v>
      </c>
      <c r="F1096" s="81">
        <v>48</v>
      </c>
      <c r="G1096" s="71" t="s">
        <v>765</v>
      </c>
      <c r="H1096" s="71"/>
      <c r="I1096" s="71"/>
      <c r="J1096" s="70">
        <f>IFERROR(VLOOKUP(Devis[[#This Row],[Ref Air Flux]],#REF!,3,FALSE),0)</f>
        <v>0</v>
      </c>
      <c r="K1096" s="68"/>
      <c r="L1096" s="68"/>
      <c r="M1096" s="68"/>
      <c r="N1096" s="68"/>
      <c r="O1096" s="68"/>
      <c r="P1096" s="68"/>
      <c r="Q1096" s="68">
        <f>SUM(Devis[[#This Row],[Poste 1]:[Poste 6]])</f>
        <v>0</v>
      </c>
      <c r="R1096" s="71"/>
      <c r="S1096" s="68">
        <f>_xlfn.CEILING.MATH(Devis[[#This Row],[Quantité Totale]],Devis[[#This Row],[Conditionnement]])</f>
        <v>0</v>
      </c>
      <c r="T1096" s="72"/>
      <c r="U1096" s="73"/>
      <c r="V1096" s="74">
        <f>Devis[[#This Row],[Prix de Revient]]*Devis[[#This Row],[Poste 1]]</f>
        <v>0</v>
      </c>
      <c r="W1096" s="74">
        <f>Devis[[#This Row],[Prix de Revient]]*Devis[[#This Row],[Poste 2]]</f>
        <v>0</v>
      </c>
      <c r="X1096" s="74">
        <f>Devis[[#This Row],[Prix de Revient]]*Devis[[#This Row],[Poste 3]]</f>
        <v>0</v>
      </c>
      <c r="Y1096" s="74">
        <f>Devis[[#This Row],[Poste 4]]*Devis[[#This Row],[Prix de Revient]]</f>
        <v>0</v>
      </c>
      <c r="Z1096" s="74">
        <f>Devis[[#This Row],[Poste 5]]*Devis[[#This Row],[Prix de Revient]]</f>
        <v>0</v>
      </c>
      <c r="AA1096" s="74">
        <f>Devis[[#This Row],[Prix de Revient]]*Devis[[#This Row],[Poste 6]]</f>
        <v>0</v>
      </c>
      <c r="AB1096" s="74">
        <f>Devis[[#This Row],[Quantité Totale]]*Devis[[#This Row],[Prix de Revient]]</f>
        <v>0</v>
      </c>
    </row>
    <row r="1097" spans="1:28" ht="14.25" outlineLevel="1" x14ac:dyDescent="0.2">
      <c r="A1097" s="75" t="s">
        <v>624</v>
      </c>
      <c r="B1097" s="76" t="s">
        <v>5942</v>
      </c>
      <c r="C1097" s="76" t="s">
        <v>0</v>
      </c>
      <c r="D1097" s="81" t="str">
        <f t="shared" si="20"/>
        <v>FlexiblesFLEXIBLE CAOUTCHOUC MM2"</v>
      </c>
      <c r="E1097" s="76" t="s">
        <v>670</v>
      </c>
      <c r="F1097" s="81">
        <v>49</v>
      </c>
      <c r="G1097" s="71" t="s">
        <v>766</v>
      </c>
      <c r="H1097" s="71"/>
      <c r="I1097" s="71"/>
      <c r="J1097" s="70">
        <f>IFERROR(VLOOKUP(Devis[[#This Row],[Ref Air Flux]],#REF!,3,FALSE),0)</f>
        <v>0</v>
      </c>
      <c r="K1097" s="68"/>
      <c r="L1097" s="68"/>
      <c r="M1097" s="68"/>
      <c r="N1097" s="68"/>
      <c r="O1097" s="68"/>
      <c r="P1097" s="68"/>
      <c r="Q1097" s="68">
        <f>SUM(Devis[[#This Row],[Poste 1]:[Poste 6]])</f>
        <v>0</v>
      </c>
      <c r="R1097" s="71"/>
      <c r="S1097" s="68">
        <f>_xlfn.CEILING.MATH(Devis[[#This Row],[Quantité Totale]],Devis[[#This Row],[Conditionnement]])</f>
        <v>0</v>
      </c>
      <c r="T1097" s="72"/>
      <c r="U1097" s="73"/>
      <c r="V1097" s="74">
        <f>Devis[[#This Row],[Prix de Revient]]*Devis[[#This Row],[Poste 1]]</f>
        <v>0</v>
      </c>
      <c r="W1097" s="74">
        <f>Devis[[#This Row],[Prix de Revient]]*Devis[[#This Row],[Poste 2]]</f>
        <v>0</v>
      </c>
      <c r="X1097" s="74">
        <f>Devis[[#This Row],[Prix de Revient]]*Devis[[#This Row],[Poste 3]]</f>
        <v>0</v>
      </c>
      <c r="Y1097" s="74">
        <f>Devis[[#This Row],[Poste 4]]*Devis[[#This Row],[Prix de Revient]]</f>
        <v>0</v>
      </c>
      <c r="Z1097" s="74">
        <f>Devis[[#This Row],[Poste 5]]*Devis[[#This Row],[Prix de Revient]]</f>
        <v>0</v>
      </c>
      <c r="AA1097" s="74">
        <f>Devis[[#This Row],[Prix de Revient]]*Devis[[#This Row],[Poste 6]]</f>
        <v>0</v>
      </c>
      <c r="AB1097" s="74">
        <f>Devis[[#This Row],[Quantité Totale]]*Devis[[#This Row],[Prix de Revient]]</f>
        <v>0</v>
      </c>
    </row>
    <row r="1098" spans="1:28" ht="14.25" outlineLevel="1" x14ac:dyDescent="0.2">
      <c r="A1098" s="75" t="s">
        <v>624</v>
      </c>
      <c r="B1098" s="76" t="s">
        <v>5942</v>
      </c>
      <c r="C1098" s="76" t="s">
        <v>0</v>
      </c>
      <c r="D1098" s="81" t="str">
        <f t="shared" si="20"/>
        <v>FlexiblesFLEXIBLE CAOUTCHOUC MM2"</v>
      </c>
      <c r="E1098" s="76" t="s">
        <v>672</v>
      </c>
      <c r="F1098" s="81">
        <v>50</v>
      </c>
      <c r="G1098" s="71" t="s">
        <v>767</v>
      </c>
      <c r="H1098" s="71"/>
      <c r="I1098" s="71"/>
      <c r="J1098" s="70">
        <f>IFERROR(VLOOKUP(Devis[[#This Row],[Ref Air Flux]],#REF!,3,FALSE),0)</f>
        <v>0</v>
      </c>
      <c r="K1098" s="68"/>
      <c r="L1098" s="68"/>
      <c r="M1098" s="68"/>
      <c r="N1098" s="68"/>
      <c r="O1098" s="68"/>
      <c r="P1098" s="68"/>
      <c r="Q1098" s="68">
        <f>SUM(Devis[[#This Row],[Poste 1]:[Poste 6]])</f>
        <v>0</v>
      </c>
      <c r="R1098" s="71"/>
      <c r="S1098" s="68">
        <f>_xlfn.CEILING.MATH(Devis[[#This Row],[Quantité Totale]],Devis[[#This Row],[Conditionnement]])</f>
        <v>0</v>
      </c>
      <c r="T1098" s="72"/>
      <c r="U1098" s="73"/>
      <c r="V1098" s="74">
        <f>Devis[[#This Row],[Prix de Revient]]*Devis[[#This Row],[Poste 1]]</f>
        <v>0</v>
      </c>
      <c r="W1098" s="74">
        <f>Devis[[#This Row],[Prix de Revient]]*Devis[[#This Row],[Poste 2]]</f>
        <v>0</v>
      </c>
      <c r="X1098" s="74">
        <f>Devis[[#This Row],[Prix de Revient]]*Devis[[#This Row],[Poste 3]]</f>
        <v>0</v>
      </c>
      <c r="Y1098" s="74">
        <f>Devis[[#This Row],[Poste 4]]*Devis[[#This Row],[Prix de Revient]]</f>
        <v>0</v>
      </c>
      <c r="Z1098" s="74">
        <f>Devis[[#This Row],[Poste 5]]*Devis[[#This Row],[Prix de Revient]]</f>
        <v>0</v>
      </c>
      <c r="AA1098" s="74">
        <f>Devis[[#This Row],[Prix de Revient]]*Devis[[#This Row],[Poste 6]]</f>
        <v>0</v>
      </c>
      <c r="AB1098" s="74">
        <f>Devis[[#This Row],[Quantité Totale]]*Devis[[#This Row],[Prix de Revient]]</f>
        <v>0</v>
      </c>
    </row>
    <row r="1099" spans="1:28" ht="14.25" customHeight="1" outlineLevel="1" x14ac:dyDescent="0.2">
      <c r="A1099" s="75" t="s">
        <v>624</v>
      </c>
      <c r="B1099" s="76" t="s">
        <v>5942</v>
      </c>
      <c r="C1099" s="76" t="s">
        <v>0</v>
      </c>
      <c r="D1099" s="81" t="str">
        <f t="shared" si="20"/>
        <v>FlexiblesFLEXIBLE CAOUTCHOUC MM2"</v>
      </c>
      <c r="E1099" s="76" t="s">
        <v>674</v>
      </c>
      <c r="F1099" s="81">
        <v>51</v>
      </c>
      <c r="G1099" s="71" t="s">
        <v>768</v>
      </c>
      <c r="H1099" s="71"/>
      <c r="I1099" s="71"/>
      <c r="J1099" s="70">
        <f>IFERROR(VLOOKUP(Devis[[#This Row],[Ref Air Flux]],#REF!,3,FALSE),0)</f>
        <v>0</v>
      </c>
      <c r="K1099" s="68"/>
      <c r="L1099" s="68"/>
      <c r="M1099" s="68"/>
      <c r="N1099" s="68"/>
      <c r="O1099" s="68"/>
      <c r="P1099" s="68"/>
      <c r="Q1099" s="68">
        <f>SUM(Devis[[#This Row],[Poste 1]:[Poste 6]])</f>
        <v>0</v>
      </c>
      <c r="R1099" s="71"/>
      <c r="S1099" s="68">
        <f>_xlfn.CEILING.MATH(Devis[[#This Row],[Quantité Totale]],Devis[[#This Row],[Conditionnement]])</f>
        <v>0</v>
      </c>
      <c r="T1099" s="72"/>
      <c r="U1099" s="73"/>
      <c r="V1099" s="74">
        <f>Devis[[#This Row],[Prix de Revient]]*Devis[[#This Row],[Poste 1]]</f>
        <v>0</v>
      </c>
      <c r="W1099" s="74">
        <f>Devis[[#This Row],[Prix de Revient]]*Devis[[#This Row],[Poste 2]]</f>
        <v>0</v>
      </c>
      <c r="X1099" s="74">
        <f>Devis[[#This Row],[Prix de Revient]]*Devis[[#This Row],[Poste 3]]</f>
        <v>0</v>
      </c>
      <c r="Y1099" s="74">
        <f>Devis[[#This Row],[Poste 4]]*Devis[[#This Row],[Prix de Revient]]</f>
        <v>0</v>
      </c>
      <c r="Z1099" s="74">
        <f>Devis[[#This Row],[Poste 5]]*Devis[[#This Row],[Prix de Revient]]</f>
        <v>0</v>
      </c>
      <c r="AA1099" s="74">
        <f>Devis[[#This Row],[Prix de Revient]]*Devis[[#This Row],[Poste 6]]</f>
        <v>0</v>
      </c>
      <c r="AB1099" s="74">
        <f>Devis[[#This Row],[Quantité Totale]]*Devis[[#This Row],[Prix de Revient]]</f>
        <v>0</v>
      </c>
    </row>
    <row r="1100" spans="1:28" ht="14.25" outlineLevel="1" x14ac:dyDescent="0.2">
      <c r="A1100" s="75" t="s">
        <v>624</v>
      </c>
      <c r="B1100" s="76" t="s">
        <v>5942</v>
      </c>
      <c r="C1100" s="76" t="s">
        <v>0</v>
      </c>
      <c r="D1100" s="81" t="str">
        <f t="shared" si="20"/>
        <v>FlexiblesFLEXIBLE CAOUTCHOUC MM2"</v>
      </c>
      <c r="E1100" s="76" t="s">
        <v>769</v>
      </c>
      <c r="F1100" s="81">
        <v>52</v>
      </c>
      <c r="G1100" s="71" t="s">
        <v>770</v>
      </c>
      <c r="H1100" s="71"/>
      <c r="I1100" s="71"/>
      <c r="J1100" s="70">
        <f>IFERROR(VLOOKUP(Devis[[#This Row],[Ref Air Flux]],#REF!,3,FALSE),0)</f>
        <v>0</v>
      </c>
      <c r="K1100" s="68"/>
      <c r="L1100" s="68"/>
      <c r="M1100" s="68"/>
      <c r="N1100" s="68"/>
      <c r="O1100" s="68"/>
      <c r="P1100" s="68"/>
      <c r="Q1100" s="68">
        <f>SUM(Devis[[#This Row],[Poste 1]:[Poste 6]])</f>
        <v>0</v>
      </c>
      <c r="R1100" s="71"/>
      <c r="S1100" s="68">
        <f>_xlfn.CEILING.MATH(Devis[[#This Row],[Quantité Totale]],Devis[[#This Row],[Conditionnement]])</f>
        <v>0</v>
      </c>
      <c r="T1100" s="72"/>
      <c r="U1100" s="73"/>
      <c r="V1100" s="74">
        <f>Devis[[#This Row],[Prix de Revient]]*Devis[[#This Row],[Poste 1]]</f>
        <v>0</v>
      </c>
      <c r="W1100" s="74">
        <f>Devis[[#This Row],[Prix de Revient]]*Devis[[#This Row],[Poste 2]]</f>
        <v>0</v>
      </c>
      <c r="X1100" s="74">
        <f>Devis[[#This Row],[Prix de Revient]]*Devis[[#This Row],[Poste 3]]</f>
        <v>0</v>
      </c>
      <c r="Y1100" s="74">
        <f>Devis[[#This Row],[Poste 4]]*Devis[[#This Row],[Prix de Revient]]</f>
        <v>0</v>
      </c>
      <c r="Z1100" s="74">
        <f>Devis[[#This Row],[Poste 5]]*Devis[[#This Row],[Prix de Revient]]</f>
        <v>0</v>
      </c>
      <c r="AA1100" s="74">
        <f>Devis[[#This Row],[Prix de Revient]]*Devis[[#This Row],[Poste 6]]</f>
        <v>0</v>
      </c>
      <c r="AB1100" s="74">
        <f>Devis[[#This Row],[Quantité Totale]]*Devis[[#This Row],[Prix de Revient]]</f>
        <v>0</v>
      </c>
    </row>
    <row r="1101" spans="1:28" ht="14.25" customHeight="1" outlineLevel="1" x14ac:dyDescent="0.2">
      <c r="A1101" s="75" t="s">
        <v>624</v>
      </c>
      <c r="B1101" s="76" t="s">
        <v>5942</v>
      </c>
      <c r="C1101" s="76" t="s">
        <v>0</v>
      </c>
      <c r="D1101" s="81" t="str">
        <f t="shared" si="20"/>
        <v>FlexiblesFLEXIBLE CAOUTCHOUC MM2"</v>
      </c>
      <c r="E1101" s="76" t="s">
        <v>771</v>
      </c>
      <c r="F1101" s="81">
        <v>53</v>
      </c>
      <c r="G1101" s="71" t="s">
        <v>772</v>
      </c>
      <c r="H1101" s="71"/>
      <c r="I1101" s="71"/>
      <c r="J1101" s="70">
        <f>IFERROR(VLOOKUP(Devis[[#This Row],[Ref Air Flux]],#REF!,3,FALSE),0)</f>
        <v>0</v>
      </c>
      <c r="K1101" s="68"/>
      <c r="L1101" s="68"/>
      <c r="M1101" s="68"/>
      <c r="N1101" s="68"/>
      <c r="O1101" s="68"/>
      <c r="P1101" s="68"/>
      <c r="Q1101" s="68">
        <f>SUM(Devis[[#This Row],[Poste 1]:[Poste 6]])</f>
        <v>0</v>
      </c>
      <c r="R1101" s="71"/>
      <c r="S1101" s="68">
        <f>_xlfn.CEILING.MATH(Devis[[#This Row],[Quantité Totale]],Devis[[#This Row],[Conditionnement]])</f>
        <v>0</v>
      </c>
      <c r="T1101" s="72"/>
      <c r="U1101" s="73"/>
      <c r="V1101" s="74">
        <f>Devis[[#This Row],[Prix de Revient]]*Devis[[#This Row],[Poste 1]]</f>
        <v>0</v>
      </c>
      <c r="W1101" s="74">
        <f>Devis[[#This Row],[Prix de Revient]]*Devis[[#This Row],[Poste 2]]</f>
        <v>0</v>
      </c>
      <c r="X1101" s="74">
        <f>Devis[[#This Row],[Prix de Revient]]*Devis[[#This Row],[Poste 3]]</f>
        <v>0</v>
      </c>
      <c r="Y1101" s="74">
        <f>Devis[[#This Row],[Poste 4]]*Devis[[#This Row],[Prix de Revient]]</f>
        <v>0</v>
      </c>
      <c r="Z1101" s="74">
        <f>Devis[[#This Row],[Poste 5]]*Devis[[#This Row],[Prix de Revient]]</f>
        <v>0</v>
      </c>
      <c r="AA1101" s="74">
        <f>Devis[[#This Row],[Prix de Revient]]*Devis[[#This Row],[Poste 6]]</f>
        <v>0</v>
      </c>
      <c r="AB1101" s="74">
        <f>Devis[[#This Row],[Quantité Totale]]*Devis[[#This Row],[Prix de Revient]]</f>
        <v>0</v>
      </c>
    </row>
    <row r="1102" spans="1:28" ht="14.25" outlineLevel="1" x14ac:dyDescent="0.2">
      <c r="A1102" s="75" t="s">
        <v>624</v>
      </c>
      <c r="B1102" s="76" t="s">
        <v>5942</v>
      </c>
      <c r="C1102" s="76" t="s">
        <v>0</v>
      </c>
      <c r="D1102" s="81" t="str">
        <f t="shared" si="20"/>
        <v>FlexiblesFLEXIBLE CAOUTCHOUC MM2"</v>
      </c>
      <c r="E1102" s="76" t="s">
        <v>773</v>
      </c>
      <c r="F1102" s="81">
        <v>54</v>
      </c>
      <c r="G1102" s="71" t="s">
        <v>774</v>
      </c>
      <c r="H1102" s="71"/>
      <c r="I1102" s="71"/>
      <c r="J1102" s="70">
        <f>IFERROR(VLOOKUP(Devis[[#This Row],[Ref Air Flux]],#REF!,3,FALSE),0)</f>
        <v>0</v>
      </c>
      <c r="K1102" s="68"/>
      <c r="L1102" s="68"/>
      <c r="M1102" s="68"/>
      <c r="N1102" s="68"/>
      <c r="O1102" s="68"/>
      <c r="P1102" s="68"/>
      <c r="Q1102" s="68">
        <f>SUM(Devis[[#This Row],[Poste 1]:[Poste 6]])</f>
        <v>0</v>
      </c>
      <c r="R1102" s="71"/>
      <c r="S1102" s="68">
        <f>_xlfn.CEILING.MATH(Devis[[#This Row],[Quantité Totale]],Devis[[#This Row],[Conditionnement]])</f>
        <v>0</v>
      </c>
      <c r="T1102" s="72"/>
      <c r="U1102" s="73"/>
      <c r="V1102" s="74">
        <f>Devis[[#This Row],[Prix de Revient]]*Devis[[#This Row],[Poste 1]]</f>
        <v>0</v>
      </c>
      <c r="W1102" s="74">
        <f>Devis[[#This Row],[Prix de Revient]]*Devis[[#This Row],[Poste 2]]</f>
        <v>0</v>
      </c>
      <c r="X1102" s="74">
        <f>Devis[[#This Row],[Prix de Revient]]*Devis[[#This Row],[Poste 3]]</f>
        <v>0</v>
      </c>
      <c r="Y1102" s="74">
        <f>Devis[[#This Row],[Poste 4]]*Devis[[#This Row],[Prix de Revient]]</f>
        <v>0</v>
      </c>
      <c r="Z1102" s="74">
        <f>Devis[[#This Row],[Poste 5]]*Devis[[#This Row],[Prix de Revient]]</f>
        <v>0</v>
      </c>
      <c r="AA1102" s="74">
        <f>Devis[[#This Row],[Prix de Revient]]*Devis[[#This Row],[Poste 6]]</f>
        <v>0</v>
      </c>
      <c r="AB1102" s="74">
        <f>Devis[[#This Row],[Quantité Totale]]*Devis[[#This Row],[Prix de Revient]]</f>
        <v>0</v>
      </c>
    </row>
    <row r="1103" spans="1:28" ht="14.25" outlineLevel="1" x14ac:dyDescent="0.2">
      <c r="A1103" s="75" t="s">
        <v>624</v>
      </c>
      <c r="B1103" s="76" t="s">
        <v>5942</v>
      </c>
      <c r="C1103" s="76" t="s">
        <v>0</v>
      </c>
      <c r="D1103" s="81" t="str">
        <f t="shared" si="20"/>
        <v>FlexiblesFLEXIBLE CAOUTCHOUC MM2"</v>
      </c>
      <c r="E1103" s="76" t="s">
        <v>775</v>
      </c>
      <c r="F1103" s="81">
        <v>55</v>
      </c>
      <c r="G1103" s="71" t="s">
        <v>776</v>
      </c>
      <c r="H1103" s="71"/>
      <c r="I1103" s="71"/>
      <c r="J1103" s="70">
        <f>IFERROR(VLOOKUP(Devis[[#This Row],[Ref Air Flux]],#REF!,3,FALSE),0)</f>
        <v>0</v>
      </c>
      <c r="K1103" s="68"/>
      <c r="L1103" s="68"/>
      <c r="M1103" s="68"/>
      <c r="N1103" s="68"/>
      <c r="O1103" s="68"/>
      <c r="P1103" s="68"/>
      <c r="Q1103" s="68">
        <f>SUM(Devis[[#This Row],[Poste 1]:[Poste 6]])</f>
        <v>0</v>
      </c>
      <c r="R1103" s="71"/>
      <c r="S1103" s="68">
        <f>_xlfn.CEILING.MATH(Devis[[#This Row],[Quantité Totale]],Devis[[#This Row],[Conditionnement]])</f>
        <v>0</v>
      </c>
      <c r="T1103" s="72"/>
      <c r="U1103" s="73"/>
      <c r="V1103" s="74">
        <f>Devis[[#This Row],[Prix de Revient]]*Devis[[#This Row],[Poste 1]]</f>
        <v>0</v>
      </c>
      <c r="W1103" s="74">
        <f>Devis[[#This Row],[Prix de Revient]]*Devis[[#This Row],[Poste 2]]</f>
        <v>0</v>
      </c>
      <c r="X1103" s="74">
        <f>Devis[[#This Row],[Prix de Revient]]*Devis[[#This Row],[Poste 3]]</f>
        <v>0</v>
      </c>
      <c r="Y1103" s="74">
        <f>Devis[[#This Row],[Poste 4]]*Devis[[#This Row],[Prix de Revient]]</f>
        <v>0</v>
      </c>
      <c r="Z1103" s="74">
        <f>Devis[[#This Row],[Poste 5]]*Devis[[#This Row],[Prix de Revient]]</f>
        <v>0</v>
      </c>
      <c r="AA1103" s="74">
        <f>Devis[[#This Row],[Prix de Revient]]*Devis[[#This Row],[Poste 6]]</f>
        <v>0</v>
      </c>
      <c r="AB1103" s="74">
        <f>Devis[[#This Row],[Quantité Totale]]*Devis[[#This Row],[Prix de Revient]]</f>
        <v>0</v>
      </c>
    </row>
    <row r="1104" spans="1:28" ht="14.25" outlineLevel="1" x14ac:dyDescent="0.2">
      <c r="A1104" s="75" t="s">
        <v>624</v>
      </c>
      <c r="B1104" s="76" t="s">
        <v>5942</v>
      </c>
      <c r="C1104" s="76" t="s">
        <v>0</v>
      </c>
      <c r="D1104" s="81" t="str">
        <f t="shared" si="20"/>
        <v>FlexiblesFLEXIBLE CAOUTCHOUC MM2"</v>
      </c>
      <c r="E1104" s="76" t="s">
        <v>777</v>
      </c>
      <c r="F1104" s="81">
        <v>56</v>
      </c>
      <c r="G1104" s="71" t="s">
        <v>778</v>
      </c>
      <c r="H1104" s="71"/>
      <c r="I1104" s="71"/>
      <c r="J1104" s="70">
        <f>IFERROR(VLOOKUP(Devis[[#This Row],[Ref Air Flux]],#REF!,3,FALSE),0)</f>
        <v>0</v>
      </c>
      <c r="K1104" s="68"/>
      <c r="L1104" s="68"/>
      <c r="M1104" s="68"/>
      <c r="N1104" s="68"/>
      <c r="O1104" s="68"/>
      <c r="P1104" s="68"/>
      <c r="Q1104" s="68">
        <f>SUM(Devis[[#This Row],[Poste 1]:[Poste 6]])</f>
        <v>0</v>
      </c>
      <c r="R1104" s="71"/>
      <c r="S1104" s="68">
        <f>_xlfn.CEILING.MATH(Devis[[#This Row],[Quantité Totale]],Devis[[#This Row],[Conditionnement]])</f>
        <v>0</v>
      </c>
      <c r="T1104" s="72"/>
      <c r="U1104" s="73"/>
      <c r="V1104" s="74">
        <f>Devis[[#This Row],[Prix de Revient]]*Devis[[#This Row],[Poste 1]]</f>
        <v>0</v>
      </c>
      <c r="W1104" s="74">
        <f>Devis[[#This Row],[Prix de Revient]]*Devis[[#This Row],[Poste 2]]</f>
        <v>0</v>
      </c>
      <c r="X1104" s="74">
        <f>Devis[[#This Row],[Prix de Revient]]*Devis[[#This Row],[Poste 3]]</f>
        <v>0</v>
      </c>
      <c r="Y1104" s="74">
        <f>Devis[[#This Row],[Poste 4]]*Devis[[#This Row],[Prix de Revient]]</f>
        <v>0</v>
      </c>
      <c r="Z1104" s="74">
        <f>Devis[[#This Row],[Poste 5]]*Devis[[#This Row],[Prix de Revient]]</f>
        <v>0</v>
      </c>
      <c r="AA1104" s="74">
        <f>Devis[[#This Row],[Prix de Revient]]*Devis[[#This Row],[Poste 6]]</f>
        <v>0</v>
      </c>
      <c r="AB1104" s="74">
        <f>Devis[[#This Row],[Quantité Totale]]*Devis[[#This Row],[Prix de Revient]]</f>
        <v>0</v>
      </c>
    </row>
    <row r="1105" spans="1:28" ht="14.25" outlineLevel="1" x14ac:dyDescent="0.2">
      <c r="A1105" s="75" t="s">
        <v>624</v>
      </c>
      <c r="B1105" s="76" t="s">
        <v>5942</v>
      </c>
      <c r="C1105" s="76" t="s">
        <v>49</v>
      </c>
      <c r="D1105" s="81" t="str">
        <f t="shared" si="20"/>
        <v>FlexiblesFLEXIBLE CAOUTCHOUC MM2"1/2</v>
      </c>
      <c r="E1105" s="76" t="s">
        <v>676</v>
      </c>
      <c r="F1105" s="81">
        <v>57</v>
      </c>
      <c r="G1105" s="71" t="s">
        <v>779</v>
      </c>
      <c r="H1105" s="71"/>
      <c r="I1105" s="71"/>
      <c r="J1105" s="70">
        <f>IFERROR(VLOOKUP(Devis[[#This Row],[Ref Air Flux]],#REF!,3,FALSE),0)</f>
        <v>0</v>
      </c>
      <c r="K1105" s="68"/>
      <c r="L1105" s="68"/>
      <c r="M1105" s="68"/>
      <c r="N1105" s="68"/>
      <c r="O1105" s="68"/>
      <c r="P1105" s="68"/>
      <c r="Q1105" s="68">
        <f>SUM(Devis[[#This Row],[Poste 1]:[Poste 6]])</f>
        <v>0</v>
      </c>
      <c r="R1105" s="71"/>
      <c r="S1105" s="68">
        <f>_xlfn.CEILING.MATH(Devis[[#This Row],[Quantité Totale]],Devis[[#This Row],[Conditionnement]])</f>
        <v>0</v>
      </c>
      <c r="T1105" s="72"/>
      <c r="U1105" s="73"/>
      <c r="V1105" s="74">
        <f>Devis[[#This Row],[Prix de Revient]]*Devis[[#This Row],[Poste 1]]</f>
        <v>0</v>
      </c>
      <c r="W1105" s="74">
        <f>Devis[[#This Row],[Prix de Revient]]*Devis[[#This Row],[Poste 2]]</f>
        <v>0</v>
      </c>
      <c r="X1105" s="74">
        <f>Devis[[#This Row],[Prix de Revient]]*Devis[[#This Row],[Poste 3]]</f>
        <v>0</v>
      </c>
      <c r="Y1105" s="74">
        <f>Devis[[#This Row],[Poste 4]]*Devis[[#This Row],[Prix de Revient]]</f>
        <v>0</v>
      </c>
      <c r="Z1105" s="74">
        <f>Devis[[#This Row],[Poste 5]]*Devis[[#This Row],[Prix de Revient]]</f>
        <v>0</v>
      </c>
      <c r="AA1105" s="74">
        <f>Devis[[#This Row],[Prix de Revient]]*Devis[[#This Row],[Poste 6]]</f>
        <v>0</v>
      </c>
      <c r="AB1105" s="74">
        <f>Devis[[#This Row],[Quantité Totale]]*Devis[[#This Row],[Prix de Revient]]</f>
        <v>0</v>
      </c>
    </row>
    <row r="1106" spans="1:28" ht="14.25" outlineLevel="1" x14ac:dyDescent="0.2">
      <c r="A1106" s="75" t="s">
        <v>624</v>
      </c>
      <c r="B1106" s="76" t="s">
        <v>5942</v>
      </c>
      <c r="C1106" s="76" t="s">
        <v>49</v>
      </c>
      <c r="D1106" s="81" t="str">
        <f t="shared" si="20"/>
        <v>FlexiblesFLEXIBLE CAOUTCHOUC MM2"1/2</v>
      </c>
      <c r="E1106" s="76" t="s">
        <v>780</v>
      </c>
      <c r="F1106" s="81">
        <v>58</v>
      </c>
      <c r="G1106" s="71" t="s">
        <v>781</v>
      </c>
      <c r="H1106" s="71"/>
      <c r="I1106" s="71"/>
      <c r="J1106" s="70">
        <f>IFERROR(VLOOKUP(Devis[[#This Row],[Ref Air Flux]],#REF!,3,FALSE),0)</f>
        <v>0</v>
      </c>
      <c r="K1106" s="68"/>
      <c r="L1106" s="68"/>
      <c r="M1106" s="68"/>
      <c r="N1106" s="68"/>
      <c r="O1106" s="68"/>
      <c r="P1106" s="68"/>
      <c r="Q1106" s="68">
        <f>SUM(Devis[[#This Row],[Poste 1]:[Poste 6]])</f>
        <v>0</v>
      </c>
      <c r="R1106" s="71"/>
      <c r="S1106" s="68">
        <f>_xlfn.CEILING.MATH(Devis[[#This Row],[Quantité Totale]],Devis[[#This Row],[Conditionnement]])</f>
        <v>0</v>
      </c>
      <c r="T1106" s="72"/>
      <c r="U1106" s="73"/>
      <c r="V1106" s="74">
        <f>Devis[[#This Row],[Prix de Revient]]*Devis[[#This Row],[Poste 1]]</f>
        <v>0</v>
      </c>
      <c r="W1106" s="74">
        <f>Devis[[#This Row],[Prix de Revient]]*Devis[[#This Row],[Poste 2]]</f>
        <v>0</v>
      </c>
      <c r="X1106" s="74">
        <f>Devis[[#This Row],[Prix de Revient]]*Devis[[#This Row],[Poste 3]]</f>
        <v>0</v>
      </c>
      <c r="Y1106" s="74">
        <f>Devis[[#This Row],[Poste 4]]*Devis[[#This Row],[Prix de Revient]]</f>
        <v>0</v>
      </c>
      <c r="Z1106" s="74">
        <f>Devis[[#This Row],[Poste 5]]*Devis[[#This Row],[Prix de Revient]]</f>
        <v>0</v>
      </c>
      <c r="AA1106" s="74">
        <f>Devis[[#This Row],[Prix de Revient]]*Devis[[#This Row],[Poste 6]]</f>
        <v>0</v>
      </c>
      <c r="AB1106" s="74">
        <f>Devis[[#This Row],[Quantité Totale]]*Devis[[#This Row],[Prix de Revient]]</f>
        <v>0</v>
      </c>
    </row>
    <row r="1107" spans="1:28" ht="14.25" outlineLevel="1" x14ac:dyDescent="0.2">
      <c r="A1107" s="75" t="s">
        <v>624</v>
      </c>
      <c r="B1107" s="76" t="s">
        <v>5942</v>
      </c>
      <c r="C1107" s="76" t="s">
        <v>49</v>
      </c>
      <c r="D1107" s="81" t="str">
        <f t="shared" si="20"/>
        <v>FlexiblesFLEXIBLE CAOUTCHOUC MM2"1/2</v>
      </c>
      <c r="E1107" s="76" t="s">
        <v>782</v>
      </c>
      <c r="F1107" s="81">
        <v>59</v>
      </c>
      <c r="G1107" s="71" t="s">
        <v>3277</v>
      </c>
      <c r="H1107" s="71"/>
      <c r="I1107" s="71"/>
      <c r="J1107" s="70">
        <f>IFERROR(VLOOKUP(Devis[[#This Row],[Ref Air Flux]],#REF!,3,FALSE),0)</f>
        <v>0</v>
      </c>
      <c r="K1107" s="68"/>
      <c r="L1107" s="68"/>
      <c r="M1107" s="68"/>
      <c r="N1107" s="68"/>
      <c r="O1107" s="68"/>
      <c r="P1107" s="68"/>
      <c r="Q1107" s="68">
        <f>SUM(Devis[[#This Row],[Poste 1]:[Poste 6]])</f>
        <v>0</v>
      </c>
      <c r="R1107" s="71"/>
      <c r="S1107" s="68">
        <f>_xlfn.CEILING.MATH(Devis[[#This Row],[Quantité Totale]],Devis[[#This Row],[Conditionnement]])</f>
        <v>0</v>
      </c>
      <c r="T1107" s="72"/>
      <c r="U1107" s="73"/>
      <c r="V1107" s="74">
        <f>Devis[[#This Row],[Prix de Revient]]*Devis[[#This Row],[Poste 1]]</f>
        <v>0</v>
      </c>
      <c r="W1107" s="74">
        <f>Devis[[#This Row],[Prix de Revient]]*Devis[[#This Row],[Poste 2]]</f>
        <v>0</v>
      </c>
      <c r="X1107" s="74">
        <f>Devis[[#This Row],[Prix de Revient]]*Devis[[#This Row],[Poste 3]]</f>
        <v>0</v>
      </c>
      <c r="Y1107" s="74">
        <f>Devis[[#This Row],[Poste 4]]*Devis[[#This Row],[Prix de Revient]]</f>
        <v>0</v>
      </c>
      <c r="Z1107" s="74">
        <f>Devis[[#This Row],[Poste 5]]*Devis[[#This Row],[Prix de Revient]]</f>
        <v>0</v>
      </c>
      <c r="AA1107" s="74">
        <f>Devis[[#This Row],[Prix de Revient]]*Devis[[#This Row],[Poste 6]]</f>
        <v>0</v>
      </c>
      <c r="AB1107" s="74">
        <f>Devis[[#This Row],[Quantité Totale]]*Devis[[#This Row],[Prix de Revient]]</f>
        <v>0</v>
      </c>
    </row>
    <row r="1108" spans="1:28" ht="14.25" customHeight="1" x14ac:dyDescent="0.25">
      <c r="A1108" s="65" t="s">
        <v>624</v>
      </c>
      <c r="B1108" s="65" t="s">
        <v>5941</v>
      </c>
      <c r="C1108" s="76"/>
      <c r="D1108" s="81" t="str">
        <f t="shared" si="20"/>
        <v>FlexiblesFLEXIBLE INOX MM</v>
      </c>
      <c r="E1108" s="76"/>
      <c r="F1108" s="81">
        <v>0</v>
      </c>
      <c r="G1108" s="71"/>
      <c r="H1108" s="71"/>
      <c r="I1108" s="71"/>
      <c r="J1108" s="70">
        <f>IFERROR(VLOOKUP(Devis[[#This Row],[Ref Air Flux]],#REF!,3,FALSE),0)</f>
        <v>0</v>
      </c>
      <c r="K1108" s="68"/>
      <c r="L1108" s="68"/>
      <c r="M1108" s="68"/>
      <c r="N1108" s="68"/>
      <c r="O1108" s="68"/>
      <c r="P1108" s="68"/>
      <c r="Q1108" s="68">
        <f>SUM(Devis[[#This Row],[Poste 1]:[Poste 6]])</f>
        <v>0</v>
      </c>
      <c r="R1108" s="71"/>
      <c r="S1108" s="68">
        <f>_xlfn.CEILING.MATH(Devis[[#This Row],[Quantité Totale]],Devis[[#This Row],[Conditionnement]])</f>
        <v>0</v>
      </c>
      <c r="T1108" s="72"/>
      <c r="U1108" s="73"/>
      <c r="V1108" s="74">
        <f>Devis[[#This Row],[Prix de Revient]]*Devis[[#This Row],[Poste 1]]</f>
        <v>0</v>
      </c>
      <c r="W1108" s="74">
        <f>Devis[[#This Row],[Prix de Revient]]*Devis[[#This Row],[Poste 2]]</f>
        <v>0</v>
      </c>
      <c r="X1108" s="74">
        <f>Devis[[#This Row],[Prix de Revient]]*Devis[[#This Row],[Poste 3]]</f>
        <v>0</v>
      </c>
      <c r="Y1108" s="74">
        <f>Devis[[#This Row],[Poste 4]]*Devis[[#This Row],[Prix de Revient]]</f>
        <v>0</v>
      </c>
      <c r="Z1108" s="74">
        <f>Devis[[#This Row],[Poste 5]]*Devis[[#This Row],[Prix de Revient]]</f>
        <v>0</v>
      </c>
      <c r="AA1108" s="74">
        <f>Devis[[#This Row],[Prix de Revient]]*Devis[[#This Row],[Poste 6]]</f>
        <v>0</v>
      </c>
      <c r="AB1108" s="74">
        <f>Devis[[#This Row],[Quantité Totale]]*Devis[[#This Row],[Prix de Revient]]</f>
        <v>0</v>
      </c>
    </row>
    <row r="1109" spans="1:28" ht="15" customHeight="1" outlineLevel="1" x14ac:dyDescent="0.2">
      <c r="A1109" s="75" t="s">
        <v>624</v>
      </c>
      <c r="B1109" s="76" t="s">
        <v>5941</v>
      </c>
      <c r="C1109" s="76" t="s">
        <v>1943</v>
      </c>
      <c r="D1109" s="81" t="str">
        <f t="shared" si="20"/>
        <v>FlexiblesFLEXIBLE INOX MM1/2"</v>
      </c>
      <c r="E1109" s="76" t="s">
        <v>640</v>
      </c>
      <c r="F1109" s="81">
        <v>1</v>
      </c>
      <c r="G1109" s="71" t="s">
        <v>641</v>
      </c>
      <c r="H1109" s="71"/>
      <c r="I1109" s="71"/>
      <c r="J1109" s="70">
        <f>IFERROR(VLOOKUP(Devis[[#This Row],[Ref Air Flux]],#REF!,3,FALSE),0)</f>
        <v>0</v>
      </c>
      <c r="K1109" s="68"/>
      <c r="L1109" s="68"/>
      <c r="M1109" s="68"/>
      <c r="N1109" s="68"/>
      <c r="O1109" s="68"/>
      <c r="P1109" s="68"/>
      <c r="Q1109" s="68">
        <f>SUM(Devis[[#This Row],[Poste 1]:[Poste 6]])</f>
        <v>0</v>
      </c>
      <c r="R1109" s="71"/>
      <c r="S1109" s="68">
        <f>_xlfn.CEILING.MATH(Devis[[#This Row],[Quantité Totale]],Devis[[#This Row],[Conditionnement]])</f>
        <v>0</v>
      </c>
      <c r="T1109" s="72"/>
      <c r="U1109" s="73"/>
      <c r="V1109" s="74">
        <f>Devis[[#This Row],[Prix de Revient]]*Devis[[#This Row],[Poste 1]]</f>
        <v>0</v>
      </c>
      <c r="W1109" s="74">
        <f>Devis[[#This Row],[Prix de Revient]]*Devis[[#This Row],[Poste 2]]</f>
        <v>0</v>
      </c>
      <c r="X1109" s="74">
        <f>Devis[[#This Row],[Prix de Revient]]*Devis[[#This Row],[Poste 3]]</f>
        <v>0</v>
      </c>
      <c r="Y1109" s="74">
        <f>Devis[[#This Row],[Poste 4]]*Devis[[#This Row],[Prix de Revient]]</f>
        <v>0</v>
      </c>
      <c r="Z1109" s="74">
        <f>Devis[[#This Row],[Poste 5]]*Devis[[#This Row],[Prix de Revient]]</f>
        <v>0</v>
      </c>
      <c r="AA1109" s="74">
        <f>Devis[[#This Row],[Prix de Revient]]*Devis[[#This Row],[Poste 6]]</f>
        <v>0</v>
      </c>
      <c r="AB1109" s="74">
        <f>Devis[[#This Row],[Quantité Totale]]*Devis[[#This Row],[Prix de Revient]]</f>
        <v>0</v>
      </c>
    </row>
    <row r="1110" spans="1:28" ht="14.25" outlineLevel="1" x14ac:dyDescent="0.2">
      <c r="A1110" s="75" t="s">
        <v>624</v>
      </c>
      <c r="B1110" s="76" t="s">
        <v>5941</v>
      </c>
      <c r="C1110" s="76" t="s">
        <v>1943</v>
      </c>
      <c r="D1110" s="81" t="str">
        <f t="shared" si="20"/>
        <v>FlexiblesFLEXIBLE INOX MM1/2"</v>
      </c>
      <c r="E1110" s="76" t="s">
        <v>642</v>
      </c>
      <c r="F1110" s="81">
        <v>2</v>
      </c>
      <c r="G1110" s="71" t="s">
        <v>643</v>
      </c>
      <c r="H1110" s="71"/>
      <c r="I1110" s="71"/>
      <c r="J1110" s="70">
        <f>IFERROR(VLOOKUP(Devis[[#This Row],[Ref Air Flux]],#REF!,3,FALSE),0)</f>
        <v>0</v>
      </c>
      <c r="K1110" s="68"/>
      <c r="L1110" s="68"/>
      <c r="M1110" s="68"/>
      <c r="N1110" s="68"/>
      <c r="O1110" s="68"/>
      <c r="P1110" s="68"/>
      <c r="Q1110" s="68">
        <f>SUM(Devis[[#This Row],[Poste 1]:[Poste 6]])</f>
        <v>0</v>
      </c>
      <c r="R1110" s="71"/>
      <c r="S1110" s="68">
        <f>_xlfn.CEILING.MATH(Devis[[#This Row],[Quantité Totale]],Devis[[#This Row],[Conditionnement]])</f>
        <v>0</v>
      </c>
      <c r="T1110" s="72"/>
      <c r="U1110" s="73"/>
      <c r="V1110" s="74">
        <f>Devis[[#This Row],[Prix de Revient]]*Devis[[#This Row],[Poste 1]]</f>
        <v>0</v>
      </c>
      <c r="W1110" s="74">
        <f>Devis[[#This Row],[Prix de Revient]]*Devis[[#This Row],[Poste 2]]</f>
        <v>0</v>
      </c>
      <c r="X1110" s="74">
        <f>Devis[[#This Row],[Prix de Revient]]*Devis[[#This Row],[Poste 3]]</f>
        <v>0</v>
      </c>
      <c r="Y1110" s="74">
        <f>Devis[[#This Row],[Poste 4]]*Devis[[#This Row],[Prix de Revient]]</f>
        <v>0</v>
      </c>
      <c r="Z1110" s="74">
        <f>Devis[[#This Row],[Poste 5]]*Devis[[#This Row],[Prix de Revient]]</f>
        <v>0</v>
      </c>
      <c r="AA1110" s="74">
        <f>Devis[[#This Row],[Prix de Revient]]*Devis[[#This Row],[Poste 6]]</f>
        <v>0</v>
      </c>
      <c r="AB1110" s="74">
        <f>Devis[[#This Row],[Quantité Totale]]*Devis[[#This Row],[Prix de Revient]]</f>
        <v>0</v>
      </c>
    </row>
    <row r="1111" spans="1:28" ht="14.25" outlineLevel="1" x14ac:dyDescent="0.2">
      <c r="A1111" s="75" t="s">
        <v>624</v>
      </c>
      <c r="B1111" s="76" t="s">
        <v>5941</v>
      </c>
      <c r="C1111" s="76" t="s">
        <v>1943</v>
      </c>
      <c r="D1111" s="81" t="str">
        <f t="shared" si="20"/>
        <v>FlexiblesFLEXIBLE INOX MM1/2"</v>
      </c>
      <c r="E1111" s="76" t="s">
        <v>644</v>
      </c>
      <c r="F1111" s="81">
        <v>3</v>
      </c>
      <c r="G1111" s="71" t="s">
        <v>645</v>
      </c>
      <c r="H1111" s="71"/>
      <c r="I1111" s="71"/>
      <c r="J1111" s="70">
        <f>IFERROR(VLOOKUP(Devis[[#This Row],[Ref Air Flux]],#REF!,3,FALSE),0)</f>
        <v>0</v>
      </c>
      <c r="K1111" s="68"/>
      <c r="L1111" s="68"/>
      <c r="M1111" s="68"/>
      <c r="N1111" s="68"/>
      <c r="O1111" s="68"/>
      <c r="P1111" s="68"/>
      <c r="Q1111" s="68">
        <f>SUM(Devis[[#This Row],[Poste 1]:[Poste 6]])</f>
        <v>0</v>
      </c>
      <c r="R1111" s="71"/>
      <c r="S1111" s="68">
        <f>_xlfn.CEILING.MATH(Devis[[#This Row],[Quantité Totale]],Devis[[#This Row],[Conditionnement]])</f>
        <v>0</v>
      </c>
      <c r="T1111" s="72"/>
      <c r="U1111" s="73"/>
      <c r="V1111" s="74">
        <f>Devis[[#This Row],[Prix de Revient]]*Devis[[#This Row],[Poste 1]]</f>
        <v>0</v>
      </c>
      <c r="W1111" s="74">
        <f>Devis[[#This Row],[Prix de Revient]]*Devis[[#This Row],[Poste 2]]</f>
        <v>0</v>
      </c>
      <c r="X1111" s="74">
        <f>Devis[[#This Row],[Prix de Revient]]*Devis[[#This Row],[Poste 3]]</f>
        <v>0</v>
      </c>
      <c r="Y1111" s="74">
        <f>Devis[[#This Row],[Poste 4]]*Devis[[#This Row],[Prix de Revient]]</f>
        <v>0</v>
      </c>
      <c r="Z1111" s="74">
        <f>Devis[[#This Row],[Poste 5]]*Devis[[#This Row],[Prix de Revient]]</f>
        <v>0</v>
      </c>
      <c r="AA1111" s="74">
        <f>Devis[[#This Row],[Prix de Revient]]*Devis[[#This Row],[Poste 6]]</f>
        <v>0</v>
      </c>
      <c r="AB1111" s="74">
        <f>Devis[[#This Row],[Quantité Totale]]*Devis[[#This Row],[Prix de Revient]]</f>
        <v>0</v>
      </c>
    </row>
    <row r="1112" spans="1:28" ht="14.25" outlineLevel="1" x14ac:dyDescent="0.2">
      <c r="A1112" s="75" t="s">
        <v>624</v>
      </c>
      <c r="B1112" s="76" t="s">
        <v>5941</v>
      </c>
      <c r="C1112" s="76" t="s">
        <v>2061</v>
      </c>
      <c r="D1112" s="81" t="str">
        <f t="shared" si="20"/>
        <v>FlexiblesFLEXIBLE INOX MM3/4"</v>
      </c>
      <c r="E1112" s="76" t="s">
        <v>646</v>
      </c>
      <c r="F1112" s="81">
        <v>4</v>
      </c>
      <c r="G1112" s="71" t="s">
        <v>647</v>
      </c>
      <c r="H1112" s="71"/>
      <c r="I1112" s="71"/>
      <c r="J1112" s="70">
        <f>IFERROR(VLOOKUP(Devis[[#This Row],[Ref Air Flux]],#REF!,3,FALSE),0)</f>
        <v>0</v>
      </c>
      <c r="K1112" s="68"/>
      <c r="L1112" s="68"/>
      <c r="M1112" s="68"/>
      <c r="N1112" s="68"/>
      <c r="O1112" s="68"/>
      <c r="P1112" s="68"/>
      <c r="Q1112" s="68">
        <f>SUM(Devis[[#This Row],[Poste 1]:[Poste 6]])</f>
        <v>0</v>
      </c>
      <c r="R1112" s="71"/>
      <c r="S1112" s="68">
        <f>_xlfn.CEILING.MATH(Devis[[#This Row],[Quantité Totale]],Devis[[#This Row],[Conditionnement]])</f>
        <v>0</v>
      </c>
      <c r="T1112" s="72"/>
      <c r="U1112" s="73"/>
      <c r="V1112" s="74">
        <f>Devis[[#This Row],[Prix de Revient]]*Devis[[#This Row],[Poste 1]]</f>
        <v>0</v>
      </c>
      <c r="W1112" s="74">
        <f>Devis[[#This Row],[Prix de Revient]]*Devis[[#This Row],[Poste 2]]</f>
        <v>0</v>
      </c>
      <c r="X1112" s="74">
        <f>Devis[[#This Row],[Prix de Revient]]*Devis[[#This Row],[Poste 3]]</f>
        <v>0</v>
      </c>
      <c r="Y1112" s="74">
        <f>Devis[[#This Row],[Poste 4]]*Devis[[#This Row],[Prix de Revient]]</f>
        <v>0</v>
      </c>
      <c r="Z1112" s="74">
        <f>Devis[[#This Row],[Poste 5]]*Devis[[#This Row],[Prix de Revient]]</f>
        <v>0</v>
      </c>
      <c r="AA1112" s="74">
        <f>Devis[[#This Row],[Prix de Revient]]*Devis[[#This Row],[Poste 6]]</f>
        <v>0</v>
      </c>
      <c r="AB1112" s="74">
        <f>Devis[[#This Row],[Quantité Totale]]*Devis[[#This Row],[Prix de Revient]]</f>
        <v>0</v>
      </c>
    </row>
    <row r="1113" spans="1:28" ht="14.25" outlineLevel="1" x14ac:dyDescent="0.2">
      <c r="A1113" s="75" t="s">
        <v>624</v>
      </c>
      <c r="B1113" s="76" t="s">
        <v>5941</v>
      </c>
      <c r="C1113" s="76" t="s">
        <v>2061</v>
      </c>
      <c r="D1113" s="81" t="str">
        <f t="shared" si="20"/>
        <v>FlexiblesFLEXIBLE INOX MM3/4"</v>
      </c>
      <c r="E1113" s="76" t="s">
        <v>648</v>
      </c>
      <c r="F1113" s="81">
        <v>5</v>
      </c>
      <c r="G1113" s="71" t="s">
        <v>649</v>
      </c>
      <c r="H1113" s="71"/>
      <c r="I1113" s="71"/>
      <c r="J1113" s="70">
        <f>IFERROR(VLOOKUP(Devis[[#This Row],[Ref Air Flux]],#REF!,3,FALSE),0)</f>
        <v>0</v>
      </c>
      <c r="K1113" s="68"/>
      <c r="L1113" s="68"/>
      <c r="M1113" s="68"/>
      <c r="N1113" s="68"/>
      <c r="O1113" s="68"/>
      <c r="P1113" s="68"/>
      <c r="Q1113" s="68">
        <f>SUM(Devis[[#This Row],[Poste 1]:[Poste 6]])</f>
        <v>0</v>
      </c>
      <c r="R1113" s="71"/>
      <c r="S1113" s="68">
        <f>_xlfn.CEILING.MATH(Devis[[#This Row],[Quantité Totale]],Devis[[#This Row],[Conditionnement]])</f>
        <v>0</v>
      </c>
      <c r="T1113" s="72"/>
      <c r="U1113" s="73"/>
      <c r="V1113" s="74">
        <f>Devis[[#This Row],[Prix de Revient]]*Devis[[#This Row],[Poste 1]]</f>
        <v>0</v>
      </c>
      <c r="W1113" s="74">
        <f>Devis[[#This Row],[Prix de Revient]]*Devis[[#This Row],[Poste 2]]</f>
        <v>0</v>
      </c>
      <c r="X1113" s="74">
        <f>Devis[[#This Row],[Prix de Revient]]*Devis[[#This Row],[Poste 3]]</f>
        <v>0</v>
      </c>
      <c r="Y1113" s="74">
        <f>Devis[[#This Row],[Poste 4]]*Devis[[#This Row],[Prix de Revient]]</f>
        <v>0</v>
      </c>
      <c r="Z1113" s="74">
        <f>Devis[[#This Row],[Poste 5]]*Devis[[#This Row],[Prix de Revient]]</f>
        <v>0</v>
      </c>
      <c r="AA1113" s="74">
        <f>Devis[[#This Row],[Prix de Revient]]*Devis[[#This Row],[Poste 6]]</f>
        <v>0</v>
      </c>
      <c r="AB1113" s="74">
        <f>Devis[[#This Row],[Quantité Totale]]*Devis[[#This Row],[Prix de Revient]]</f>
        <v>0</v>
      </c>
    </row>
    <row r="1114" spans="1:28" ht="14.25" outlineLevel="1" x14ac:dyDescent="0.2">
      <c r="A1114" s="75" t="s">
        <v>624</v>
      </c>
      <c r="B1114" s="76" t="s">
        <v>5941</v>
      </c>
      <c r="C1114" s="76" t="s">
        <v>2061</v>
      </c>
      <c r="D1114" s="81" t="str">
        <f t="shared" si="20"/>
        <v>FlexiblesFLEXIBLE INOX MM3/4"</v>
      </c>
      <c r="E1114" s="76" t="s">
        <v>650</v>
      </c>
      <c r="F1114" s="81">
        <v>6</v>
      </c>
      <c r="G1114" s="71" t="s">
        <v>651</v>
      </c>
      <c r="H1114" s="71"/>
      <c r="I1114" s="71"/>
      <c r="J1114" s="70">
        <f>IFERROR(VLOOKUP(Devis[[#This Row],[Ref Air Flux]],#REF!,3,FALSE),0)</f>
        <v>0</v>
      </c>
      <c r="K1114" s="68"/>
      <c r="L1114" s="68"/>
      <c r="M1114" s="68"/>
      <c r="N1114" s="68"/>
      <c r="O1114" s="68"/>
      <c r="P1114" s="68"/>
      <c r="Q1114" s="68">
        <f>SUM(Devis[[#This Row],[Poste 1]:[Poste 6]])</f>
        <v>0</v>
      </c>
      <c r="R1114" s="71"/>
      <c r="S1114" s="68">
        <f>_xlfn.CEILING.MATH(Devis[[#This Row],[Quantité Totale]],Devis[[#This Row],[Conditionnement]])</f>
        <v>0</v>
      </c>
      <c r="T1114" s="72"/>
      <c r="U1114" s="73"/>
      <c r="V1114" s="74">
        <f>Devis[[#This Row],[Prix de Revient]]*Devis[[#This Row],[Poste 1]]</f>
        <v>0</v>
      </c>
      <c r="W1114" s="74">
        <f>Devis[[#This Row],[Prix de Revient]]*Devis[[#This Row],[Poste 2]]</f>
        <v>0</v>
      </c>
      <c r="X1114" s="74">
        <f>Devis[[#This Row],[Prix de Revient]]*Devis[[#This Row],[Poste 3]]</f>
        <v>0</v>
      </c>
      <c r="Y1114" s="74">
        <f>Devis[[#This Row],[Poste 4]]*Devis[[#This Row],[Prix de Revient]]</f>
        <v>0</v>
      </c>
      <c r="Z1114" s="74">
        <f>Devis[[#This Row],[Poste 5]]*Devis[[#This Row],[Prix de Revient]]</f>
        <v>0</v>
      </c>
      <c r="AA1114" s="74">
        <f>Devis[[#This Row],[Prix de Revient]]*Devis[[#This Row],[Poste 6]]</f>
        <v>0</v>
      </c>
      <c r="AB1114" s="74">
        <f>Devis[[#This Row],[Quantité Totale]]*Devis[[#This Row],[Prix de Revient]]</f>
        <v>0</v>
      </c>
    </row>
    <row r="1115" spans="1:28" ht="14.25" customHeight="1" outlineLevel="1" x14ac:dyDescent="0.2">
      <c r="A1115" s="75" t="s">
        <v>624</v>
      </c>
      <c r="B1115" s="76" t="s">
        <v>5941</v>
      </c>
      <c r="C1115" s="76" t="s">
        <v>19</v>
      </c>
      <c r="D1115" s="81" t="str">
        <f t="shared" si="20"/>
        <v>FlexiblesFLEXIBLE INOX MM1"</v>
      </c>
      <c r="E1115" s="76" t="s">
        <v>652</v>
      </c>
      <c r="F1115" s="81">
        <v>7</v>
      </c>
      <c r="G1115" s="71" t="s">
        <v>653</v>
      </c>
      <c r="H1115" s="71"/>
      <c r="I1115" s="71"/>
      <c r="J1115" s="70">
        <f>IFERROR(VLOOKUP(Devis[[#This Row],[Ref Air Flux]],#REF!,3,FALSE),0)</f>
        <v>0</v>
      </c>
      <c r="K1115" s="68"/>
      <c r="L1115" s="68"/>
      <c r="M1115" s="68"/>
      <c r="N1115" s="68"/>
      <c r="O1115" s="68"/>
      <c r="P1115" s="68"/>
      <c r="Q1115" s="68">
        <f>SUM(Devis[[#This Row],[Poste 1]:[Poste 6]])</f>
        <v>0</v>
      </c>
      <c r="R1115" s="71"/>
      <c r="S1115" s="68">
        <f>_xlfn.CEILING.MATH(Devis[[#This Row],[Quantité Totale]],Devis[[#This Row],[Conditionnement]])</f>
        <v>0</v>
      </c>
      <c r="T1115" s="72"/>
      <c r="U1115" s="73"/>
      <c r="V1115" s="74">
        <f>Devis[[#This Row],[Prix de Revient]]*Devis[[#This Row],[Poste 1]]</f>
        <v>0</v>
      </c>
      <c r="W1115" s="74">
        <f>Devis[[#This Row],[Prix de Revient]]*Devis[[#This Row],[Poste 2]]</f>
        <v>0</v>
      </c>
      <c r="X1115" s="74">
        <f>Devis[[#This Row],[Prix de Revient]]*Devis[[#This Row],[Poste 3]]</f>
        <v>0</v>
      </c>
      <c r="Y1115" s="74">
        <f>Devis[[#This Row],[Poste 4]]*Devis[[#This Row],[Prix de Revient]]</f>
        <v>0</v>
      </c>
      <c r="Z1115" s="74">
        <f>Devis[[#This Row],[Poste 5]]*Devis[[#This Row],[Prix de Revient]]</f>
        <v>0</v>
      </c>
      <c r="AA1115" s="74">
        <f>Devis[[#This Row],[Prix de Revient]]*Devis[[#This Row],[Poste 6]]</f>
        <v>0</v>
      </c>
      <c r="AB1115" s="74">
        <f>Devis[[#This Row],[Quantité Totale]]*Devis[[#This Row],[Prix de Revient]]</f>
        <v>0</v>
      </c>
    </row>
    <row r="1116" spans="1:28" ht="14.25" customHeight="1" outlineLevel="1" x14ac:dyDescent="0.2">
      <c r="A1116" s="75" t="s">
        <v>624</v>
      </c>
      <c r="B1116" s="76" t="s">
        <v>5941</v>
      </c>
      <c r="C1116" s="76" t="s">
        <v>19</v>
      </c>
      <c r="D1116" s="81" t="str">
        <f t="shared" si="20"/>
        <v>FlexiblesFLEXIBLE INOX MM1"</v>
      </c>
      <c r="E1116" s="76" t="s">
        <v>654</v>
      </c>
      <c r="F1116" s="81">
        <v>8</v>
      </c>
      <c r="G1116" s="71" t="s">
        <v>655</v>
      </c>
      <c r="H1116" s="71"/>
      <c r="I1116" s="71"/>
      <c r="J1116" s="70">
        <f>IFERROR(VLOOKUP(Devis[[#This Row],[Ref Air Flux]],#REF!,3,FALSE),0)</f>
        <v>0</v>
      </c>
      <c r="K1116" s="68"/>
      <c r="L1116" s="68"/>
      <c r="M1116" s="68"/>
      <c r="N1116" s="68"/>
      <c r="O1116" s="68"/>
      <c r="P1116" s="68"/>
      <c r="Q1116" s="68">
        <f>SUM(Devis[[#This Row],[Poste 1]:[Poste 6]])</f>
        <v>0</v>
      </c>
      <c r="R1116" s="71"/>
      <c r="S1116" s="68">
        <f>_xlfn.CEILING.MATH(Devis[[#This Row],[Quantité Totale]],Devis[[#This Row],[Conditionnement]])</f>
        <v>0</v>
      </c>
      <c r="T1116" s="72"/>
      <c r="U1116" s="73"/>
      <c r="V1116" s="74">
        <f>Devis[[#This Row],[Prix de Revient]]*Devis[[#This Row],[Poste 1]]</f>
        <v>0</v>
      </c>
      <c r="W1116" s="74">
        <f>Devis[[#This Row],[Prix de Revient]]*Devis[[#This Row],[Poste 2]]</f>
        <v>0</v>
      </c>
      <c r="X1116" s="74">
        <f>Devis[[#This Row],[Prix de Revient]]*Devis[[#This Row],[Poste 3]]</f>
        <v>0</v>
      </c>
      <c r="Y1116" s="74">
        <f>Devis[[#This Row],[Poste 4]]*Devis[[#This Row],[Prix de Revient]]</f>
        <v>0</v>
      </c>
      <c r="Z1116" s="74">
        <f>Devis[[#This Row],[Poste 5]]*Devis[[#This Row],[Prix de Revient]]</f>
        <v>0</v>
      </c>
      <c r="AA1116" s="74">
        <f>Devis[[#This Row],[Prix de Revient]]*Devis[[#This Row],[Poste 6]]</f>
        <v>0</v>
      </c>
      <c r="AB1116" s="74">
        <f>Devis[[#This Row],[Quantité Totale]]*Devis[[#This Row],[Prix de Revient]]</f>
        <v>0</v>
      </c>
    </row>
    <row r="1117" spans="1:28" ht="14.25" outlineLevel="1" x14ac:dyDescent="0.2">
      <c r="A1117" s="75" t="s">
        <v>624</v>
      </c>
      <c r="B1117" s="76" t="s">
        <v>5941</v>
      </c>
      <c r="C1117" s="76" t="s">
        <v>20</v>
      </c>
      <c r="D1117" s="81" t="str">
        <f t="shared" si="20"/>
        <v>FlexiblesFLEXIBLE INOX MM1"1/4</v>
      </c>
      <c r="E1117" s="76" t="s">
        <v>656</v>
      </c>
      <c r="F1117" s="81">
        <v>9</v>
      </c>
      <c r="G1117" s="71" t="s">
        <v>657</v>
      </c>
      <c r="H1117" s="71"/>
      <c r="I1117" s="71"/>
      <c r="J1117" s="70">
        <f>IFERROR(VLOOKUP(Devis[[#This Row],[Ref Air Flux]],#REF!,3,FALSE),0)</f>
        <v>0</v>
      </c>
      <c r="K1117" s="68"/>
      <c r="L1117" s="68"/>
      <c r="M1117" s="68"/>
      <c r="N1117" s="68"/>
      <c r="O1117" s="68"/>
      <c r="P1117" s="68"/>
      <c r="Q1117" s="68">
        <f>SUM(Devis[[#This Row],[Poste 1]:[Poste 6]])</f>
        <v>0</v>
      </c>
      <c r="R1117" s="71"/>
      <c r="S1117" s="68">
        <f>_xlfn.CEILING.MATH(Devis[[#This Row],[Quantité Totale]],Devis[[#This Row],[Conditionnement]])</f>
        <v>0</v>
      </c>
      <c r="T1117" s="72"/>
      <c r="U1117" s="73"/>
      <c r="V1117" s="74">
        <f>Devis[[#This Row],[Prix de Revient]]*Devis[[#This Row],[Poste 1]]</f>
        <v>0</v>
      </c>
      <c r="W1117" s="74">
        <f>Devis[[#This Row],[Prix de Revient]]*Devis[[#This Row],[Poste 2]]</f>
        <v>0</v>
      </c>
      <c r="X1117" s="74">
        <f>Devis[[#This Row],[Prix de Revient]]*Devis[[#This Row],[Poste 3]]</f>
        <v>0</v>
      </c>
      <c r="Y1117" s="74">
        <f>Devis[[#This Row],[Poste 4]]*Devis[[#This Row],[Prix de Revient]]</f>
        <v>0</v>
      </c>
      <c r="Z1117" s="74">
        <f>Devis[[#This Row],[Poste 5]]*Devis[[#This Row],[Prix de Revient]]</f>
        <v>0</v>
      </c>
      <c r="AA1117" s="74">
        <f>Devis[[#This Row],[Prix de Revient]]*Devis[[#This Row],[Poste 6]]</f>
        <v>0</v>
      </c>
      <c r="AB1117" s="74">
        <f>Devis[[#This Row],[Quantité Totale]]*Devis[[#This Row],[Prix de Revient]]</f>
        <v>0</v>
      </c>
    </row>
    <row r="1118" spans="1:28" ht="14.25" outlineLevel="1" x14ac:dyDescent="0.2">
      <c r="A1118" s="75" t="s">
        <v>624</v>
      </c>
      <c r="B1118" s="76" t="s">
        <v>5941</v>
      </c>
      <c r="C1118" s="76" t="s">
        <v>20</v>
      </c>
      <c r="D1118" s="81" t="str">
        <f t="shared" si="20"/>
        <v>FlexiblesFLEXIBLE INOX MM1"1/4</v>
      </c>
      <c r="E1118" s="76" t="s">
        <v>658</v>
      </c>
      <c r="F1118" s="81">
        <v>10</v>
      </c>
      <c r="G1118" s="71" t="s">
        <v>659</v>
      </c>
      <c r="H1118" s="71"/>
      <c r="I1118" s="71"/>
      <c r="J1118" s="70">
        <f>IFERROR(VLOOKUP(Devis[[#This Row],[Ref Air Flux]],#REF!,3,FALSE),0)</f>
        <v>0</v>
      </c>
      <c r="K1118" s="68"/>
      <c r="L1118" s="68"/>
      <c r="M1118" s="68"/>
      <c r="N1118" s="68"/>
      <c r="O1118" s="68"/>
      <c r="P1118" s="68"/>
      <c r="Q1118" s="68">
        <f>SUM(Devis[[#This Row],[Poste 1]:[Poste 6]])</f>
        <v>0</v>
      </c>
      <c r="R1118" s="71"/>
      <c r="S1118" s="68">
        <f>_xlfn.CEILING.MATH(Devis[[#This Row],[Quantité Totale]],Devis[[#This Row],[Conditionnement]])</f>
        <v>0</v>
      </c>
      <c r="T1118" s="72"/>
      <c r="U1118" s="73"/>
      <c r="V1118" s="74">
        <f>Devis[[#This Row],[Prix de Revient]]*Devis[[#This Row],[Poste 1]]</f>
        <v>0</v>
      </c>
      <c r="W1118" s="74">
        <f>Devis[[#This Row],[Prix de Revient]]*Devis[[#This Row],[Poste 2]]</f>
        <v>0</v>
      </c>
      <c r="X1118" s="74">
        <f>Devis[[#This Row],[Prix de Revient]]*Devis[[#This Row],[Poste 3]]</f>
        <v>0</v>
      </c>
      <c r="Y1118" s="74">
        <f>Devis[[#This Row],[Poste 4]]*Devis[[#This Row],[Prix de Revient]]</f>
        <v>0</v>
      </c>
      <c r="Z1118" s="74">
        <f>Devis[[#This Row],[Poste 5]]*Devis[[#This Row],[Prix de Revient]]</f>
        <v>0</v>
      </c>
      <c r="AA1118" s="74">
        <f>Devis[[#This Row],[Prix de Revient]]*Devis[[#This Row],[Poste 6]]</f>
        <v>0</v>
      </c>
      <c r="AB1118" s="74">
        <f>Devis[[#This Row],[Quantité Totale]]*Devis[[#This Row],[Prix de Revient]]</f>
        <v>0</v>
      </c>
    </row>
    <row r="1119" spans="1:28" ht="14.25" customHeight="1" outlineLevel="1" x14ac:dyDescent="0.2">
      <c r="A1119" s="75" t="s">
        <v>624</v>
      </c>
      <c r="B1119" s="76" t="s">
        <v>5941</v>
      </c>
      <c r="C1119" s="76" t="s">
        <v>20</v>
      </c>
      <c r="D1119" s="81" t="str">
        <f t="shared" si="20"/>
        <v>FlexiblesFLEXIBLE INOX MM1"1/4</v>
      </c>
      <c r="E1119" s="76" t="s">
        <v>660</v>
      </c>
      <c r="F1119" s="81">
        <v>11</v>
      </c>
      <c r="G1119" s="71" t="s">
        <v>661</v>
      </c>
      <c r="H1119" s="71"/>
      <c r="I1119" s="71"/>
      <c r="J1119" s="70">
        <f>IFERROR(VLOOKUP(Devis[[#This Row],[Ref Air Flux]],#REF!,3,FALSE),0)</f>
        <v>0</v>
      </c>
      <c r="K1119" s="68"/>
      <c r="L1119" s="68"/>
      <c r="M1119" s="68"/>
      <c r="N1119" s="68"/>
      <c r="O1119" s="68"/>
      <c r="P1119" s="68"/>
      <c r="Q1119" s="68">
        <f>SUM(Devis[[#This Row],[Poste 1]:[Poste 6]])</f>
        <v>0</v>
      </c>
      <c r="R1119" s="71"/>
      <c r="S1119" s="68">
        <f>_xlfn.CEILING.MATH(Devis[[#This Row],[Quantité Totale]],Devis[[#This Row],[Conditionnement]])</f>
        <v>0</v>
      </c>
      <c r="T1119" s="72"/>
      <c r="U1119" s="73"/>
      <c r="V1119" s="74">
        <f>Devis[[#This Row],[Prix de Revient]]*Devis[[#This Row],[Poste 1]]</f>
        <v>0</v>
      </c>
      <c r="W1119" s="74">
        <f>Devis[[#This Row],[Prix de Revient]]*Devis[[#This Row],[Poste 2]]</f>
        <v>0</v>
      </c>
      <c r="X1119" s="74">
        <f>Devis[[#This Row],[Prix de Revient]]*Devis[[#This Row],[Poste 3]]</f>
        <v>0</v>
      </c>
      <c r="Y1119" s="74">
        <f>Devis[[#This Row],[Poste 4]]*Devis[[#This Row],[Prix de Revient]]</f>
        <v>0</v>
      </c>
      <c r="Z1119" s="74">
        <f>Devis[[#This Row],[Poste 5]]*Devis[[#This Row],[Prix de Revient]]</f>
        <v>0</v>
      </c>
      <c r="AA1119" s="74">
        <f>Devis[[#This Row],[Prix de Revient]]*Devis[[#This Row],[Poste 6]]</f>
        <v>0</v>
      </c>
      <c r="AB1119" s="74">
        <f>Devis[[#This Row],[Quantité Totale]]*Devis[[#This Row],[Prix de Revient]]</f>
        <v>0</v>
      </c>
    </row>
    <row r="1120" spans="1:28" ht="14.25" outlineLevel="1" x14ac:dyDescent="0.2">
      <c r="A1120" s="75" t="s">
        <v>624</v>
      </c>
      <c r="B1120" s="76" t="s">
        <v>5941</v>
      </c>
      <c r="C1120" s="76" t="s">
        <v>20</v>
      </c>
      <c r="D1120" s="81" t="str">
        <f t="shared" si="20"/>
        <v>FlexiblesFLEXIBLE INOX MM1"1/4</v>
      </c>
      <c r="E1120" s="76" t="s">
        <v>662</v>
      </c>
      <c r="F1120" s="81">
        <v>12</v>
      </c>
      <c r="G1120" s="71" t="s">
        <v>663</v>
      </c>
      <c r="H1120" s="71"/>
      <c r="I1120" s="71"/>
      <c r="J1120" s="70">
        <f>IFERROR(VLOOKUP(Devis[[#This Row],[Ref Air Flux]],#REF!,3,FALSE),0)</f>
        <v>0</v>
      </c>
      <c r="K1120" s="68"/>
      <c r="L1120" s="68"/>
      <c r="M1120" s="68"/>
      <c r="N1120" s="68"/>
      <c r="O1120" s="68"/>
      <c r="P1120" s="68"/>
      <c r="Q1120" s="68">
        <f>SUM(Devis[[#This Row],[Poste 1]:[Poste 6]])</f>
        <v>0</v>
      </c>
      <c r="R1120" s="71"/>
      <c r="S1120" s="68">
        <f>_xlfn.CEILING.MATH(Devis[[#This Row],[Quantité Totale]],Devis[[#This Row],[Conditionnement]])</f>
        <v>0</v>
      </c>
      <c r="T1120" s="72"/>
      <c r="U1120" s="73"/>
      <c r="V1120" s="74">
        <f>Devis[[#This Row],[Prix de Revient]]*Devis[[#This Row],[Poste 1]]</f>
        <v>0</v>
      </c>
      <c r="W1120" s="74">
        <f>Devis[[#This Row],[Prix de Revient]]*Devis[[#This Row],[Poste 2]]</f>
        <v>0</v>
      </c>
      <c r="X1120" s="74">
        <f>Devis[[#This Row],[Prix de Revient]]*Devis[[#This Row],[Poste 3]]</f>
        <v>0</v>
      </c>
      <c r="Y1120" s="74">
        <f>Devis[[#This Row],[Poste 4]]*Devis[[#This Row],[Prix de Revient]]</f>
        <v>0</v>
      </c>
      <c r="Z1120" s="74">
        <f>Devis[[#This Row],[Poste 5]]*Devis[[#This Row],[Prix de Revient]]</f>
        <v>0</v>
      </c>
      <c r="AA1120" s="74">
        <f>Devis[[#This Row],[Prix de Revient]]*Devis[[#This Row],[Poste 6]]</f>
        <v>0</v>
      </c>
      <c r="AB1120" s="74">
        <f>Devis[[#This Row],[Quantité Totale]]*Devis[[#This Row],[Prix de Revient]]</f>
        <v>0</v>
      </c>
    </row>
    <row r="1121" spans="1:28" ht="14.25" outlineLevel="1" x14ac:dyDescent="0.2">
      <c r="A1121" s="75" t="s">
        <v>624</v>
      </c>
      <c r="B1121" s="76" t="s">
        <v>5941</v>
      </c>
      <c r="C1121" s="76" t="s">
        <v>21</v>
      </c>
      <c r="D1121" s="81" t="str">
        <f t="shared" si="20"/>
        <v>FlexiblesFLEXIBLE INOX MM1"1/2</v>
      </c>
      <c r="E1121" s="76" t="s">
        <v>664</v>
      </c>
      <c r="F1121" s="81">
        <v>13</v>
      </c>
      <c r="G1121" s="71" t="s">
        <v>665</v>
      </c>
      <c r="H1121" s="71"/>
      <c r="I1121" s="71"/>
      <c r="J1121" s="70">
        <f>IFERROR(VLOOKUP(Devis[[#This Row],[Ref Air Flux]],#REF!,3,FALSE),0)</f>
        <v>0</v>
      </c>
      <c r="K1121" s="68"/>
      <c r="L1121" s="68"/>
      <c r="M1121" s="68"/>
      <c r="N1121" s="68"/>
      <c r="O1121" s="68"/>
      <c r="P1121" s="68"/>
      <c r="Q1121" s="68">
        <f>SUM(Devis[[#This Row],[Poste 1]:[Poste 6]])</f>
        <v>0</v>
      </c>
      <c r="R1121" s="71"/>
      <c r="S1121" s="68">
        <f>_xlfn.CEILING.MATH(Devis[[#This Row],[Quantité Totale]],Devis[[#This Row],[Conditionnement]])</f>
        <v>0</v>
      </c>
      <c r="T1121" s="72"/>
      <c r="U1121" s="73"/>
      <c r="V1121" s="74">
        <f>Devis[[#This Row],[Prix de Revient]]*Devis[[#This Row],[Poste 1]]</f>
        <v>0</v>
      </c>
      <c r="W1121" s="74">
        <f>Devis[[#This Row],[Prix de Revient]]*Devis[[#This Row],[Poste 2]]</f>
        <v>0</v>
      </c>
      <c r="X1121" s="74">
        <f>Devis[[#This Row],[Prix de Revient]]*Devis[[#This Row],[Poste 3]]</f>
        <v>0</v>
      </c>
      <c r="Y1121" s="74">
        <f>Devis[[#This Row],[Poste 4]]*Devis[[#This Row],[Prix de Revient]]</f>
        <v>0</v>
      </c>
      <c r="Z1121" s="74">
        <f>Devis[[#This Row],[Poste 5]]*Devis[[#This Row],[Prix de Revient]]</f>
        <v>0</v>
      </c>
      <c r="AA1121" s="74">
        <f>Devis[[#This Row],[Prix de Revient]]*Devis[[#This Row],[Poste 6]]</f>
        <v>0</v>
      </c>
      <c r="AB1121" s="74">
        <f>Devis[[#This Row],[Quantité Totale]]*Devis[[#This Row],[Prix de Revient]]</f>
        <v>0</v>
      </c>
    </row>
    <row r="1122" spans="1:28" ht="14.25" outlineLevel="1" x14ac:dyDescent="0.2">
      <c r="A1122" s="75" t="s">
        <v>624</v>
      </c>
      <c r="B1122" s="76" t="s">
        <v>5941</v>
      </c>
      <c r="C1122" s="76" t="s">
        <v>21</v>
      </c>
      <c r="D1122" s="81" t="str">
        <f t="shared" si="20"/>
        <v>FlexiblesFLEXIBLE INOX MM1"1/2</v>
      </c>
      <c r="E1122" s="76" t="s">
        <v>666</v>
      </c>
      <c r="F1122" s="81">
        <v>14</v>
      </c>
      <c r="G1122" s="71" t="s">
        <v>667</v>
      </c>
      <c r="H1122" s="71"/>
      <c r="I1122" s="71"/>
      <c r="J1122" s="70">
        <f>IFERROR(VLOOKUP(Devis[[#This Row],[Ref Air Flux]],#REF!,3,FALSE),0)</f>
        <v>0</v>
      </c>
      <c r="K1122" s="68"/>
      <c r="L1122" s="68"/>
      <c r="M1122" s="68"/>
      <c r="N1122" s="68"/>
      <c r="O1122" s="68"/>
      <c r="P1122" s="68"/>
      <c r="Q1122" s="68">
        <f>SUM(Devis[[#This Row],[Poste 1]:[Poste 6]])</f>
        <v>0</v>
      </c>
      <c r="R1122" s="71"/>
      <c r="S1122" s="68">
        <f>_xlfn.CEILING.MATH(Devis[[#This Row],[Quantité Totale]],Devis[[#This Row],[Conditionnement]])</f>
        <v>0</v>
      </c>
      <c r="T1122" s="72"/>
      <c r="U1122" s="73"/>
      <c r="V1122" s="74">
        <f>Devis[[#This Row],[Prix de Revient]]*Devis[[#This Row],[Poste 1]]</f>
        <v>0</v>
      </c>
      <c r="W1122" s="74">
        <f>Devis[[#This Row],[Prix de Revient]]*Devis[[#This Row],[Poste 2]]</f>
        <v>0</v>
      </c>
      <c r="X1122" s="74">
        <f>Devis[[#This Row],[Prix de Revient]]*Devis[[#This Row],[Poste 3]]</f>
        <v>0</v>
      </c>
      <c r="Y1122" s="74">
        <f>Devis[[#This Row],[Poste 4]]*Devis[[#This Row],[Prix de Revient]]</f>
        <v>0</v>
      </c>
      <c r="Z1122" s="74">
        <f>Devis[[#This Row],[Poste 5]]*Devis[[#This Row],[Prix de Revient]]</f>
        <v>0</v>
      </c>
      <c r="AA1122" s="74">
        <f>Devis[[#This Row],[Prix de Revient]]*Devis[[#This Row],[Poste 6]]</f>
        <v>0</v>
      </c>
      <c r="AB1122" s="74">
        <f>Devis[[#This Row],[Quantité Totale]]*Devis[[#This Row],[Prix de Revient]]</f>
        <v>0</v>
      </c>
    </row>
    <row r="1123" spans="1:28" ht="14.25" outlineLevel="1" x14ac:dyDescent="0.2">
      <c r="A1123" s="75" t="s">
        <v>624</v>
      </c>
      <c r="B1123" s="76" t="s">
        <v>5941</v>
      </c>
      <c r="C1123" s="76" t="s">
        <v>0</v>
      </c>
      <c r="D1123" s="81" t="str">
        <f t="shared" si="20"/>
        <v>FlexiblesFLEXIBLE INOX MM2"</v>
      </c>
      <c r="E1123" s="76" t="s">
        <v>668</v>
      </c>
      <c r="F1123" s="81">
        <v>15</v>
      </c>
      <c r="G1123" s="71" t="s">
        <v>669</v>
      </c>
      <c r="H1123" s="71"/>
      <c r="I1123" s="71"/>
      <c r="J1123" s="70">
        <f>IFERROR(VLOOKUP(Devis[[#This Row],[Ref Air Flux]],#REF!,3,FALSE),0)</f>
        <v>0</v>
      </c>
      <c r="K1123" s="68"/>
      <c r="L1123" s="68"/>
      <c r="M1123" s="68"/>
      <c r="N1123" s="68"/>
      <c r="O1123" s="68"/>
      <c r="P1123" s="68"/>
      <c r="Q1123" s="68">
        <f>SUM(Devis[[#This Row],[Poste 1]:[Poste 6]])</f>
        <v>0</v>
      </c>
      <c r="R1123" s="71"/>
      <c r="S1123" s="68">
        <f>_xlfn.CEILING.MATH(Devis[[#This Row],[Quantité Totale]],Devis[[#This Row],[Conditionnement]])</f>
        <v>0</v>
      </c>
      <c r="T1123" s="72"/>
      <c r="U1123" s="73"/>
      <c r="V1123" s="74">
        <f>Devis[[#This Row],[Prix de Revient]]*Devis[[#This Row],[Poste 1]]</f>
        <v>0</v>
      </c>
      <c r="W1123" s="74">
        <f>Devis[[#This Row],[Prix de Revient]]*Devis[[#This Row],[Poste 2]]</f>
        <v>0</v>
      </c>
      <c r="X1123" s="74">
        <f>Devis[[#This Row],[Prix de Revient]]*Devis[[#This Row],[Poste 3]]</f>
        <v>0</v>
      </c>
      <c r="Y1123" s="74">
        <f>Devis[[#This Row],[Poste 4]]*Devis[[#This Row],[Prix de Revient]]</f>
        <v>0</v>
      </c>
      <c r="Z1123" s="74">
        <f>Devis[[#This Row],[Poste 5]]*Devis[[#This Row],[Prix de Revient]]</f>
        <v>0</v>
      </c>
      <c r="AA1123" s="74">
        <f>Devis[[#This Row],[Prix de Revient]]*Devis[[#This Row],[Poste 6]]</f>
        <v>0</v>
      </c>
      <c r="AB1123" s="74">
        <f>Devis[[#This Row],[Quantité Totale]]*Devis[[#This Row],[Prix de Revient]]</f>
        <v>0</v>
      </c>
    </row>
    <row r="1124" spans="1:28" ht="14.25" outlineLevel="1" x14ac:dyDescent="0.2">
      <c r="A1124" s="75" t="s">
        <v>624</v>
      </c>
      <c r="B1124" s="76" t="s">
        <v>5941</v>
      </c>
      <c r="C1124" s="76" t="s">
        <v>0</v>
      </c>
      <c r="D1124" s="81" t="str">
        <f t="shared" si="20"/>
        <v>FlexiblesFLEXIBLE INOX MM2"</v>
      </c>
      <c r="E1124" s="76" t="s">
        <v>670</v>
      </c>
      <c r="F1124" s="81">
        <v>16</v>
      </c>
      <c r="G1124" s="71" t="s">
        <v>671</v>
      </c>
      <c r="H1124" s="71"/>
      <c r="I1124" s="71"/>
      <c r="J1124" s="70">
        <f>IFERROR(VLOOKUP(Devis[[#This Row],[Ref Air Flux]],#REF!,3,FALSE),0)</f>
        <v>0</v>
      </c>
      <c r="K1124" s="68"/>
      <c r="L1124" s="68"/>
      <c r="M1124" s="68"/>
      <c r="N1124" s="68"/>
      <c r="O1124" s="68"/>
      <c r="P1124" s="68"/>
      <c r="Q1124" s="68">
        <f>SUM(Devis[[#This Row],[Poste 1]:[Poste 6]])</f>
        <v>0</v>
      </c>
      <c r="R1124" s="71"/>
      <c r="S1124" s="68">
        <f>_xlfn.CEILING.MATH(Devis[[#This Row],[Quantité Totale]],Devis[[#This Row],[Conditionnement]])</f>
        <v>0</v>
      </c>
      <c r="T1124" s="72"/>
      <c r="U1124" s="73"/>
      <c r="V1124" s="74">
        <f>Devis[[#This Row],[Prix de Revient]]*Devis[[#This Row],[Poste 1]]</f>
        <v>0</v>
      </c>
      <c r="W1124" s="74">
        <f>Devis[[#This Row],[Prix de Revient]]*Devis[[#This Row],[Poste 2]]</f>
        <v>0</v>
      </c>
      <c r="X1124" s="74">
        <f>Devis[[#This Row],[Prix de Revient]]*Devis[[#This Row],[Poste 3]]</f>
        <v>0</v>
      </c>
      <c r="Y1124" s="74">
        <f>Devis[[#This Row],[Poste 4]]*Devis[[#This Row],[Prix de Revient]]</f>
        <v>0</v>
      </c>
      <c r="Z1124" s="74">
        <f>Devis[[#This Row],[Poste 5]]*Devis[[#This Row],[Prix de Revient]]</f>
        <v>0</v>
      </c>
      <c r="AA1124" s="74">
        <f>Devis[[#This Row],[Prix de Revient]]*Devis[[#This Row],[Poste 6]]</f>
        <v>0</v>
      </c>
      <c r="AB1124" s="74">
        <f>Devis[[#This Row],[Quantité Totale]]*Devis[[#This Row],[Prix de Revient]]</f>
        <v>0</v>
      </c>
    </row>
    <row r="1125" spans="1:28" ht="14.25" outlineLevel="1" x14ac:dyDescent="0.2">
      <c r="A1125" s="75" t="s">
        <v>624</v>
      </c>
      <c r="B1125" s="76" t="s">
        <v>5941</v>
      </c>
      <c r="C1125" s="76" t="s">
        <v>0</v>
      </c>
      <c r="D1125" s="81" t="str">
        <f t="shared" si="20"/>
        <v>FlexiblesFLEXIBLE INOX MM2"</v>
      </c>
      <c r="E1125" s="76" t="s">
        <v>672</v>
      </c>
      <c r="F1125" s="81">
        <v>17</v>
      </c>
      <c r="G1125" s="71" t="s">
        <v>673</v>
      </c>
      <c r="H1125" s="71"/>
      <c r="I1125" s="71"/>
      <c r="J1125" s="70">
        <f>IFERROR(VLOOKUP(Devis[[#This Row],[Ref Air Flux]],#REF!,3,FALSE),0)</f>
        <v>0</v>
      </c>
      <c r="K1125" s="68"/>
      <c r="L1125" s="68"/>
      <c r="M1125" s="68"/>
      <c r="N1125" s="68"/>
      <c r="O1125" s="68"/>
      <c r="P1125" s="68"/>
      <c r="Q1125" s="68">
        <f>SUM(Devis[[#This Row],[Poste 1]:[Poste 6]])</f>
        <v>0</v>
      </c>
      <c r="R1125" s="71"/>
      <c r="S1125" s="68">
        <f>_xlfn.CEILING.MATH(Devis[[#This Row],[Quantité Totale]],Devis[[#This Row],[Conditionnement]])</f>
        <v>0</v>
      </c>
      <c r="T1125" s="72"/>
      <c r="U1125" s="73"/>
      <c r="V1125" s="74">
        <f>Devis[[#This Row],[Prix de Revient]]*Devis[[#This Row],[Poste 1]]</f>
        <v>0</v>
      </c>
      <c r="W1125" s="74">
        <f>Devis[[#This Row],[Prix de Revient]]*Devis[[#This Row],[Poste 2]]</f>
        <v>0</v>
      </c>
      <c r="X1125" s="74">
        <f>Devis[[#This Row],[Prix de Revient]]*Devis[[#This Row],[Poste 3]]</f>
        <v>0</v>
      </c>
      <c r="Y1125" s="74">
        <f>Devis[[#This Row],[Poste 4]]*Devis[[#This Row],[Prix de Revient]]</f>
        <v>0</v>
      </c>
      <c r="Z1125" s="74">
        <f>Devis[[#This Row],[Poste 5]]*Devis[[#This Row],[Prix de Revient]]</f>
        <v>0</v>
      </c>
      <c r="AA1125" s="74">
        <f>Devis[[#This Row],[Prix de Revient]]*Devis[[#This Row],[Poste 6]]</f>
        <v>0</v>
      </c>
      <c r="AB1125" s="74">
        <f>Devis[[#This Row],[Quantité Totale]]*Devis[[#This Row],[Prix de Revient]]</f>
        <v>0</v>
      </c>
    </row>
    <row r="1126" spans="1:28" ht="14.25" outlineLevel="1" x14ac:dyDescent="0.2">
      <c r="A1126" s="75" t="s">
        <v>624</v>
      </c>
      <c r="B1126" s="76" t="s">
        <v>5941</v>
      </c>
      <c r="C1126" s="76" t="s">
        <v>0</v>
      </c>
      <c r="D1126" s="81" t="str">
        <f t="shared" si="20"/>
        <v>FlexiblesFLEXIBLE INOX MM2"</v>
      </c>
      <c r="E1126" s="76" t="s">
        <v>674</v>
      </c>
      <c r="F1126" s="81">
        <v>18</v>
      </c>
      <c r="G1126" s="71" t="s">
        <v>675</v>
      </c>
      <c r="H1126" s="71"/>
      <c r="I1126" s="71"/>
      <c r="J1126" s="70">
        <f>IFERROR(VLOOKUP(Devis[[#This Row],[Ref Air Flux]],#REF!,3,FALSE),0)</f>
        <v>0</v>
      </c>
      <c r="K1126" s="68"/>
      <c r="L1126" s="68"/>
      <c r="M1126" s="68"/>
      <c r="N1126" s="68"/>
      <c r="O1126" s="68"/>
      <c r="P1126" s="68"/>
      <c r="Q1126" s="68">
        <f>SUM(Devis[[#This Row],[Poste 1]:[Poste 6]])</f>
        <v>0</v>
      </c>
      <c r="R1126" s="71"/>
      <c r="S1126" s="68">
        <f>_xlfn.CEILING.MATH(Devis[[#This Row],[Quantité Totale]],Devis[[#This Row],[Conditionnement]])</f>
        <v>0</v>
      </c>
      <c r="T1126" s="72"/>
      <c r="U1126" s="73"/>
      <c r="V1126" s="74">
        <f>Devis[[#This Row],[Prix de Revient]]*Devis[[#This Row],[Poste 1]]</f>
        <v>0</v>
      </c>
      <c r="W1126" s="74">
        <f>Devis[[#This Row],[Prix de Revient]]*Devis[[#This Row],[Poste 2]]</f>
        <v>0</v>
      </c>
      <c r="X1126" s="74">
        <f>Devis[[#This Row],[Prix de Revient]]*Devis[[#This Row],[Poste 3]]</f>
        <v>0</v>
      </c>
      <c r="Y1126" s="74">
        <f>Devis[[#This Row],[Poste 4]]*Devis[[#This Row],[Prix de Revient]]</f>
        <v>0</v>
      </c>
      <c r="Z1126" s="74">
        <f>Devis[[#This Row],[Poste 5]]*Devis[[#This Row],[Prix de Revient]]</f>
        <v>0</v>
      </c>
      <c r="AA1126" s="74">
        <f>Devis[[#This Row],[Prix de Revient]]*Devis[[#This Row],[Poste 6]]</f>
        <v>0</v>
      </c>
      <c r="AB1126" s="74">
        <f>Devis[[#This Row],[Quantité Totale]]*Devis[[#This Row],[Prix de Revient]]</f>
        <v>0</v>
      </c>
    </row>
    <row r="1127" spans="1:28" ht="14.25" customHeight="1" outlineLevel="1" x14ac:dyDescent="0.2">
      <c r="A1127" s="75" t="s">
        <v>624</v>
      </c>
      <c r="B1127" s="76" t="s">
        <v>5941</v>
      </c>
      <c r="C1127" s="76" t="s">
        <v>49</v>
      </c>
      <c r="D1127" s="81" t="str">
        <f t="shared" si="20"/>
        <v>FlexiblesFLEXIBLE INOX MM2"1/2</v>
      </c>
      <c r="E1127" s="76" t="s">
        <v>676</v>
      </c>
      <c r="F1127" s="81">
        <v>19</v>
      </c>
      <c r="G1127" s="71" t="s">
        <v>677</v>
      </c>
      <c r="H1127" s="71"/>
      <c r="I1127" s="71"/>
      <c r="J1127" s="70">
        <f>IFERROR(VLOOKUP(Devis[[#This Row],[Ref Air Flux]],#REF!,3,FALSE),0)</f>
        <v>0</v>
      </c>
      <c r="K1127" s="68"/>
      <c r="L1127" s="68"/>
      <c r="M1127" s="68"/>
      <c r="N1127" s="68"/>
      <c r="O1127" s="68"/>
      <c r="P1127" s="68"/>
      <c r="Q1127" s="68">
        <f>SUM(Devis[[#This Row],[Poste 1]:[Poste 6]])</f>
        <v>0</v>
      </c>
      <c r="R1127" s="71"/>
      <c r="S1127" s="68">
        <f>_xlfn.CEILING.MATH(Devis[[#This Row],[Quantité Totale]],Devis[[#This Row],[Conditionnement]])</f>
        <v>0</v>
      </c>
      <c r="T1127" s="72"/>
      <c r="U1127" s="73"/>
      <c r="V1127" s="74">
        <f>Devis[[#This Row],[Prix de Revient]]*Devis[[#This Row],[Poste 1]]</f>
        <v>0</v>
      </c>
      <c r="W1127" s="74">
        <f>Devis[[#This Row],[Prix de Revient]]*Devis[[#This Row],[Poste 2]]</f>
        <v>0</v>
      </c>
      <c r="X1127" s="74">
        <f>Devis[[#This Row],[Prix de Revient]]*Devis[[#This Row],[Poste 3]]</f>
        <v>0</v>
      </c>
      <c r="Y1127" s="74">
        <f>Devis[[#This Row],[Poste 4]]*Devis[[#This Row],[Prix de Revient]]</f>
        <v>0</v>
      </c>
      <c r="Z1127" s="74">
        <f>Devis[[#This Row],[Poste 5]]*Devis[[#This Row],[Prix de Revient]]</f>
        <v>0</v>
      </c>
      <c r="AA1127" s="74">
        <f>Devis[[#This Row],[Prix de Revient]]*Devis[[#This Row],[Poste 6]]</f>
        <v>0</v>
      </c>
      <c r="AB1127" s="74">
        <f>Devis[[#This Row],[Quantité Totale]]*Devis[[#This Row],[Prix de Revient]]</f>
        <v>0</v>
      </c>
    </row>
    <row r="1128" spans="1:28" ht="14.25" customHeight="1" outlineLevel="1" x14ac:dyDescent="0.2">
      <c r="A1128" s="75" t="s">
        <v>624</v>
      </c>
      <c r="B1128" s="76" t="s">
        <v>5941</v>
      </c>
      <c r="C1128" s="76" t="s">
        <v>22</v>
      </c>
      <c r="D1128" s="81" t="str">
        <f t="shared" si="20"/>
        <v>FlexiblesFLEXIBLE INOX MM3"</v>
      </c>
      <c r="E1128" s="76" t="s">
        <v>678</v>
      </c>
      <c r="F1128" s="81">
        <v>20</v>
      </c>
      <c r="G1128" s="71" t="s">
        <v>679</v>
      </c>
      <c r="H1128" s="71"/>
      <c r="I1128" s="71"/>
      <c r="J1128" s="70">
        <f>IFERROR(VLOOKUP(Devis[[#This Row],[Ref Air Flux]],#REF!,3,FALSE),0)</f>
        <v>0</v>
      </c>
      <c r="K1128" s="68"/>
      <c r="L1128" s="68"/>
      <c r="M1128" s="68"/>
      <c r="N1128" s="68"/>
      <c r="O1128" s="68"/>
      <c r="P1128" s="68"/>
      <c r="Q1128" s="68">
        <f>SUM(Devis[[#This Row],[Poste 1]:[Poste 6]])</f>
        <v>0</v>
      </c>
      <c r="R1128" s="71"/>
      <c r="S1128" s="68">
        <f>_xlfn.CEILING.MATH(Devis[[#This Row],[Quantité Totale]],Devis[[#This Row],[Conditionnement]])</f>
        <v>0</v>
      </c>
      <c r="T1128" s="72"/>
      <c r="U1128" s="73"/>
      <c r="V1128" s="74">
        <f>Devis[[#This Row],[Prix de Revient]]*Devis[[#This Row],[Poste 1]]</f>
        <v>0</v>
      </c>
      <c r="W1128" s="74">
        <f>Devis[[#This Row],[Prix de Revient]]*Devis[[#This Row],[Poste 2]]</f>
        <v>0</v>
      </c>
      <c r="X1128" s="74">
        <f>Devis[[#This Row],[Prix de Revient]]*Devis[[#This Row],[Poste 3]]</f>
        <v>0</v>
      </c>
      <c r="Y1128" s="74">
        <f>Devis[[#This Row],[Poste 4]]*Devis[[#This Row],[Prix de Revient]]</f>
        <v>0</v>
      </c>
      <c r="Z1128" s="74">
        <f>Devis[[#This Row],[Poste 5]]*Devis[[#This Row],[Prix de Revient]]</f>
        <v>0</v>
      </c>
      <c r="AA1128" s="74">
        <f>Devis[[#This Row],[Prix de Revient]]*Devis[[#This Row],[Poste 6]]</f>
        <v>0</v>
      </c>
      <c r="AB1128" s="74">
        <f>Devis[[#This Row],[Quantité Totale]]*Devis[[#This Row],[Prix de Revient]]</f>
        <v>0</v>
      </c>
    </row>
    <row r="1129" spans="1:28" ht="14.25" customHeight="1" x14ac:dyDescent="0.25">
      <c r="A1129" s="65" t="s">
        <v>624</v>
      </c>
      <c r="B1129" s="65" t="s">
        <v>4706</v>
      </c>
      <c r="C1129" s="76"/>
      <c r="D1129" s="81" t="str">
        <f t="shared" si="20"/>
        <v>FlexiblesMAXAIR</v>
      </c>
      <c r="E1129" s="76"/>
      <c r="F1129" s="81">
        <v>0</v>
      </c>
      <c r="G1129" s="71"/>
      <c r="H1129" s="71"/>
      <c r="I1129" s="71"/>
      <c r="J1129" s="70">
        <f>IFERROR(VLOOKUP(Devis[[#This Row],[Ref Air Flux]],#REF!,3,FALSE),0)</f>
        <v>0</v>
      </c>
      <c r="K1129" s="68"/>
      <c r="L1129" s="68"/>
      <c r="M1129" s="68"/>
      <c r="N1129" s="68"/>
      <c r="O1129" s="68"/>
      <c r="P1129" s="68"/>
      <c r="Q1129" s="68">
        <f>SUM(Devis[[#This Row],[Poste 1]:[Poste 6]])</f>
        <v>0</v>
      </c>
      <c r="R1129" s="71"/>
      <c r="S1129" s="68">
        <f>_xlfn.CEILING.MATH(Devis[[#This Row],[Quantité Totale]],Devis[[#This Row],[Conditionnement]])</f>
        <v>0</v>
      </c>
      <c r="T1129" s="72"/>
      <c r="U1129" s="73"/>
      <c r="V1129" s="74">
        <f>Devis[[#This Row],[Prix de Revient]]*Devis[[#This Row],[Poste 1]]</f>
        <v>0</v>
      </c>
      <c r="W1129" s="74">
        <f>Devis[[#This Row],[Prix de Revient]]*Devis[[#This Row],[Poste 2]]</f>
        <v>0</v>
      </c>
      <c r="X1129" s="74">
        <f>Devis[[#This Row],[Prix de Revient]]*Devis[[#This Row],[Poste 3]]</f>
        <v>0</v>
      </c>
      <c r="Y1129" s="74">
        <f>Devis[[#This Row],[Poste 4]]*Devis[[#This Row],[Prix de Revient]]</f>
        <v>0</v>
      </c>
      <c r="Z1129" s="74">
        <f>Devis[[#This Row],[Poste 5]]*Devis[[#This Row],[Prix de Revient]]</f>
        <v>0</v>
      </c>
      <c r="AA1129" s="74">
        <f>Devis[[#This Row],[Prix de Revient]]*Devis[[#This Row],[Poste 6]]</f>
        <v>0</v>
      </c>
      <c r="AB1129" s="74">
        <f>Devis[[#This Row],[Quantité Totale]]*Devis[[#This Row],[Prix de Revient]]</f>
        <v>0</v>
      </c>
    </row>
    <row r="1130" spans="1:28" ht="14.25" outlineLevel="1" x14ac:dyDescent="0.2">
      <c r="A1130" s="75" t="s">
        <v>624</v>
      </c>
      <c r="B1130" s="76" t="s">
        <v>783</v>
      </c>
      <c r="C1130" s="76"/>
      <c r="D1130" s="81" t="str">
        <f t="shared" si="20"/>
        <v>FlexiblesMaxair</v>
      </c>
      <c r="E1130" s="76">
        <v>8</v>
      </c>
      <c r="F1130" s="81">
        <v>1</v>
      </c>
      <c r="G1130" s="71" t="s">
        <v>784</v>
      </c>
      <c r="H1130" s="71"/>
      <c r="I1130" s="71"/>
      <c r="J1130" s="70">
        <f>IFERROR(VLOOKUP(Devis[[#This Row],[Ref Air Flux]],#REF!,3,FALSE),0)</f>
        <v>0</v>
      </c>
      <c r="K1130" s="68"/>
      <c r="L1130" s="68"/>
      <c r="M1130" s="68"/>
      <c r="N1130" s="68"/>
      <c r="O1130" s="68"/>
      <c r="P1130" s="68"/>
      <c r="Q1130" s="68">
        <f>SUM(Devis[[#This Row],[Poste 1]:[Poste 6]])</f>
        <v>0</v>
      </c>
      <c r="R1130" s="71"/>
      <c r="S1130" s="68">
        <f>_xlfn.CEILING.MATH(Devis[[#This Row],[Quantité Totale]],Devis[[#This Row],[Conditionnement]])</f>
        <v>0</v>
      </c>
      <c r="T1130" s="72"/>
      <c r="U1130" s="73"/>
      <c r="V1130" s="74">
        <f>Devis[[#This Row],[Prix de Revient]]*Devis[[#This Row],[Poste 1]]</f>
        <v>0</v>
      </c>
      <c r="W1130" s="74">
        <f>Devis[[#This Row],[Prix de Revient]]*Devis[[#This Row],[Poste 2]]</f>
        <v>0</v>
      </c>
      <c r="X1130" s="74">
        <f>Devis[[#This Row],[Prix de Revient]]*Devis[[#This Row],[Poste 3]]</f>
        <v>0</v>
      </c>
      <c r="Y1130" s="74">
        <f>Devis[[#This Row],[Poste 4]]*Devis[[#This Row],[Prix de Revient]]</f>
        <v>0</v>
      </c>
      <c r="Z1130" s="74">
        <f>Devis[[#This Row],[Poste 5]]*Devis[[#This Row],[Prix de Revient]]</f>
        <v>0</v>
      </c>
      <c r="AA1130" s="74">
        <f>Devis[[#This Row],[Prix de Revient]]*Devis[[#This Row],[Poste 6]]</f>
        <v>0</v>
      </c>
      <c r="AB1130" s="74">
        <f>Devis[[#This Row],[Quantité Totale]]*Devis[[#This Row],[Prix de Revient]]</f>
        <v>0</v>
      </c>
    </row>
    <row r="1131" spans="1:28" ht="15" customHeight="1" outlineLevel="1" x14ac:dyDescent="0.2">
      <c r="A1131" s="75" t="s">
        <v>624</v>
      </c>
      <c r="B1131" s="76" t="s">
        <v>783</v>
      </c>
      <c r="C1131" s="76"/>
      <c r="D1131" s="81" t="str">
        <f t="shared" si="20"/>
        <v>FlexiblesMaxair</v>
      </c>
      <c r="E1131" s="76">
        <v>10</v>
      </c>
      <c r="F1131" s="81">
        <v>2</v>
      </c>
      <c r="G1131" s="71" t="s">
        <v>785</v>
      </c>
      <c r="H1131" s="71"/>
      <c r="I1131" s="71"/>
      <c r="J1131" s="70">
        <f>IFERROR(VLOOKUP(Devis[[#This Row],[Ref Air Flux]],#REF!,3,FALSE),0)</f>
        <v>0</v>
      </c>
      <c r="K1131" s="68"/>
      <c r="L1131" s="68"/>
      <c r="M1131" s="68"/>
      <c r="N1131" s="68"/>
      <c r="O1131" s="68"/>
      <c r="P1131" s="68"/>
      <c r="Q1131" s="68">
        <f>SUM(Devis[[#This Row],[Poste 1]:[Poste 6]])</f>
        <v>0</v>
      </c>
      <c r="R1131" s="71"/>
      <c r="S1131" s="68">
        <f>_xlfn.CEILING.MATH(Devis[[#This Row],[Quantité Totale]],Devis[[#This Row],[Conditionnement]])</f>
        <v>0</v>
      </c>
      <c r="T1131" s="72"/>
      <c r="U1131" s="73"/>
      <c r="V1131" s="74">
        <f>Devis[[#This Row],[Prix de Revient]]*Devis[[#This Row],[Poste 1]]</f>
        <v>0</v>
      </c>
      <c r="W1131" s="74">
        <f>Devis[[#This Row],[Prix de Revient]]*Devis[[#This Row],[Poste 2]]</f>
        <v>0</v>
      </c>
      <c r="X1131" s="74">
        <f>Devis[[#This Row],[Prix de Revient]]*Devis[[#This Row],[Poste 3]]</f>
        <v>0</v>
      </c>
      <c r="Y1131" s="74">
        <f>Devis[[#This Row],[Poste 4]]*Devis[[#This Row],[Prix de Revient]]</f>
        <v>0</v>
      </c>
      <c r="Z1131" s="74">
        <f>Devis[[#This Row],[Poste 5]]*Devis[[#This Row],[Prix de Revient]]</f>
        <v>0</v>
      </c>
      <c r="AA1131" s="74">
        <f>Devis[[#This Row],[Prix de Revient]]*Devis[[#This Row],[Poste 6]]</f>
        <v>0</v>
      </c>
      <c r="AB1131" s="74">
        <f>Devis[[#This Row],[Quantité Totale]]*Devis[[#This Row],[Prix de Revient]]</f>
        <v>0</v>
      </c>
    </row>
    <row r="1132" spans="1:28" ht="14.25" outlineLevel="1" x14ac:dyDescent="0.2">
      <c r="A1132" s="75" t="s">
        <v>624</v>
      </c>
      <c r="B1132" s="76" t="s">
        <v>783</v>
      </c>
      <c r="C1132" s="76"/>
      <c r="D1132" s="81" t="str">
        <f t="shared" si="20"/>
        <v>FlexiblesMaxair</v>
      </c>
      <c r="E1132" s="76">
        <v>13</v>
      </c>
      <c r="F1132" s="81">
        <v>3</v>
      </c>
      <c r="G1132" s="71" t="s">
        <v>786</v>
      </c>
      <c r="H1132" s="71"/>
      <c r="I1132" s="71"/>
      <c r="J1132" s="70">
        <f>IFERROR(VLOOKUP(Devis[[#This Row],[Ref Air Flux]],#REF!,3,FALSE),0)</f>
        <v>0</v>
      </c>
      <c r="K1132" s="68"/>
      <c r="L1132" s="68"/>
      <c r="M1132" s="68"/>
      <c r="N1132" s="68"/>
      <c r="O1132" s="68"/>
      <c r="P1132" s="68"/>
      <c r="Q1132" s="68">
        <f>SUM(Devis[[#This Row],[Poste 1]:[Poste 6]])</f>
        <v>0</v>
      </c>
      <c r="R1132" s="71"/>
      <c r="S1132" s="68">
        <f>_xlfn.CEILING.MATH(Devis[[#This Row],[Quantité Totale]],Devis[[#This Row],[Conditionnement]])</f>
        <v>0</v>
      </c>
      <c r="T1132" s="72"/>
      <c r="U1132" s="73"/>
      <c r="V1132" s="74">
        <f>Devis[[#This Row],[Prix de Revient]]*Devis[[#This Row],[Poste 1]]</f>
        <v>0</v>
      </c>
      <c r="W1132" s="74">
        <f>Devis[[#This Row],[Prix de Revient]]*Devis[[#This Row],[Poste 2]]</f>
        <v>0</v>
      </c>
      <c r="X1132" s="74">
        <f>Devis[[#This Row],[Prix de Revient]]*Devis[[#This Row],[Poste 3]]</f>
        <v>0</v>
      </c>
      <c r="Y1132" s="74">
        <f>Devis[[#This Row],[Poste 4]]*Devis[[#This Row],[Prix de Revient]]</f>
        <v>0</v>
      </c>
      <c r="Z1132" s="74">
        <f>Devis[[#This Row],[Poste 5]]*Devis[[#This Row],[Prix de Revient]]</f>
        <v>0</v>
      </c>
      <c r="AA1132" s="74">
        <f>Devis[[#This Row],[Prix de Revient]]*Devis[[#This Row],[Poste 6]]</f>
        <v>0</v>
      </c>
      <c r="AB1132" s="74">
        <f>Devis[[#This Row],[Quantité Totale]]*Devis[[#This Row],[Prix de Revient]]</f>
        <v>0</v>
      </c>
    </row>
    <row r="1133" spans="1:28" ht="14.25" outlineLevel="1" x14ac:dyDescent="0.2">
      <c r="A1133" s="75" t="s">
        <v>624</v>
      </c>
      <c r="B1133" s="76" t="s">
        <v>783</v>
      </c>
      <c r="C1133" s="76"/>
      <c r="D1133" s="81" t="str">
        <f t="shared" si="20"/>
        <v>FlexiblesMaxair</v>
      </c>
      <c r="E1133" s="76" t="s">
        <v>787</v>
      </c>
      <c r="F1133" s="81">
        <v>4</v>
      </c>
      <c r="G1133" s="71" t="s">
        <v>788</v>
      </c>
      <c r="H1133" s="71"/>
      <c r="I1133" s="71"/>
      <c r="J1133" s="70">
        <f>IFERROR(VLOOKUP(Devis[[#This Row],[Ref Air Flux]],#REF!,3,FALSE),0)</f>
        <v>0</v>
      </c>
      <c r="K1133" s="68"/>
      <c r="L1133" s="68"/>
      <c r="M1133" s="68"/>
      <c r="N1133" s="68"/>
      <c r="O1133" s="68"/>
      <c r="P1133" s="68"/>
      <c r="Q1133" s="68">
        <f>SUM(Devis[[#This Row],[Poste 1]:[Poste 6]])</f>
        <v>0</v>
      </c>
      <c r="R1133" s="71"/>
      <c r="S1133" s="68">
        <f>_xlfn.CEILING.MATH(Devis[[#This Row],[Quantité Totale]],Devis[[#This Row],[Conditionnement]])</f>
        <v>0</v>
      </c>
      <c r="T1133" s="72"/>
      <c r="U1133" s="73"/>
      <c r="V1133" s="74">
        <f>Devis[[#This Row],[Prix de Revient]]*Devis[[#This Row],[Poste 1]]</f>
        <v>0</v>
      </c>
      <c r="W1133" s="74">
        <f>Devis[[#This Row],[Prix de Revient]]*Devis[[#This Row],[Poste 2]]</f>
        <v>0</v>
      </c>
      <c r="X1133" s="74">
        <f>Devis[[#This Row],[Prix de Revient]]*Devis[[#This Row],[Poste 3]]</f>
        <v>0</v>
      </c>
      <c r="Y1133" s="74">
        <f>Devis[[#This Row],[Poste 4]]*Devis[[#This Row],[Prix de Revient]]</f>
        <v>0</v>
      </c>
      <c r="Z1133" s="74">
        <f>Devis[[#This Row],[Poste 5]]*Devis[[#This Row],[Prix de Revient]]</f>
        <v>0</v>
      </c>
      <c r="AA1133" s="74">
        <f>Devis[[#This Row],[Prix de Revient]]*Devis[[#This Row],[Poste 6]]</f>
        <v>0</v>
      </c>
      <c r="AB1133" s="74">
        <f>Devis[[#This Row],[Quantité Totale]]*Devis[[#This Row],[Prix de Revient]]</f>
        <v>0</v>
      </c>
    </row>
    <row r="1134" spans="1:28" ht="14.25" outlineLevel="1" x14ac:dyDescent="0.2">
      <c r="A1134" s="75" t="s">
        <v>624</v>
      </c>
      <c r="B1134" s="76" t="s">
        <v>783</v>
      </c>
      <c r="C1134" s="76"/>
      <c r="D1134" s="81" t="str">
        <f t="shared" si="20"/>
        <v>FlexiblesMaxair</v>
      </c>
      <c r="E1134" s="76" t="s">
        <v>789</v>
      </c>
      <c r="F1134" s="81">
        <v>5</v>
      </c>
      <c r="G1134" s="71" t="s">
        <v>790</v>
      </c>
      <c r="H1134" s="71"/>
      <c r="I1134" s="71"/>
      <c r="J1134" s="70">
        <f>IFERROR(VLOOKUP(Devis[[#This Row],[Ref Air Flux]],#REF!,3,FALSE),0)</f>
        <v>0</v>
      </c>
      <c r="K1134" s="68"/>
      <c r="L1134" s="68"/>
      <c r="M1134" s="68"/>
      <c r="N1134" s="68"/>
      <c r="O1134" s="68"/>
      <c r="P1134" s="68"/>
      <c r="Q1134" s="68">
        <f>SUM(Devis[[#This Row],[Poste 1]:[Poste 6]])</f>
        <v>0</v>
      </c>
      <c r="R1134" s="71"/>
      <c r="S1134" s="68">
        <f>_xlfn.CEILING.MATH(Devis[[#This Row],[Quantité Totale]],Devis[[#This Row],[Conditionnement]])</f>
        <v>0</v>
      </c>
      <c r="T1134" s="72"/>
      <c r="U1134" s="73"/>
      <c r="V1134" s="74">
        <f>Devis[[#This Row],[Prix de Revient]]*Devis[[#This Row],[Poste 1]]</f>
        <v>0</v>
      </c>
      <c r="W1134" s="74">
        <f>Devis[[#This Row],[Prix de Revient]]*Devis[[#This Row],[Poste 2]]</f>
        <v>0</v>
      </c>
      <c r="X1134" s="74">
        <f>Devis[[#This Row],[Prix de Revient]]*Devis[[#This Row],[Poste 3]]</f>
        <v>0</v>
      </c>
      <c r="Y1134" s="74">
        <f>Devis[[#This Row],[Poste 4]]*Devis[[#This Row],[Prix de Revient]]</f>
        <v>0</v>
      </c>
      <c r="Z1134" s="74">
        <f>Devis[[#This Row],[Poste 5]]*Devis[[#This Row],[Prix de Revient]]</f>
        <v>0</v>
      </c>
      <c r="AA1134" s="74">
        <f>Devis[[#This Row],[Prix de Revient]]*Devis[[#This Row],[Poste 6]]</f>
        <v>0</v>
      </c>
      <c r="AB1134" s="74">
        <f>Devis[[#This Row],[Quantité Totale]]*Devis[[#This Row],[Prix de Revient]]</f>
        <v>0</v>
      </c>
    </row>
    <row r="1135" spans="1:28" ht="14.25" outlineLevel="1" x14ac:dyDescent="0.2">
      <c r="A1135" s="75" t="s">
        <v>624</v>
      </c>
      <c r="B1135" s="76" t="s">
        <v>783</v>
      </c>
      <c r="C1135" s="76"/>
      <c r="D1135" s="81" t="str">
        <f t="shared" si="20"/>
        <v>FlexiblesMaxair</v>
      </c>
      <c r="E1135" s="73">
        <v>25</v>
      </c>
      <c r="F1135" s="81">
        <v>6</v>
      </c>
      <c r="G1135" s="71" t="s">
        <v>791</v>
      </c>
      <c r="H1135" s="71"/>
      <c r="I1135" s="71"/>
      <c r="J1135" s="70">
        <f>IFERROR(VLOOKUP(Devis[[#This Row],[Ref Air Flux]],#REF!,3,FALSE),0)</f>
        <v>0</v>
      </c>
      <c r="K1135" s="68"/>
      <c r="L1135" s="68"/>
      <c r="M1135" s="68"/>
      <c r="N1135" s="68"/>
      <c r="O1135" s="68"/>
      <c r="P1135" s="68"/>
      <c r="Q1135" s="68">
        <f>SUM(Devis[[#This Row],[Poste 1]:[Poste 6]])</f>
        <v>0</v>
      </c>
      <c r="R1135" s="71"/>
      <c r="S1135" s="68">
        <f>_xlfn.CEILING.MATH(Devis[[#This Row],[Quantité Totale]],Devis[[#This Row],[Conditionnement]])</f>
        <v>0</v>
      </c>
      <c r="T1135" s="72"/>
      <c r="U1135" s="73"/>
      <c r="V1135" s="74">
        <f>Devis[[#This Row],[Prix de Revient]]*Devis[[#This Row],[Poste 1]]</f>
        <v>0</v>
      </c>
      <c r="W1135" s="74">
        <f>Devis[[#This Row],[Prix de Revient]]*Devis[[#This Row],[Poste 2]]</f>
        <v>0</v>
      </c>
      <c r="X1135" s="74">
        <f>Devis[[#This Row],[Prix de Revient]]*Devis[[#This Row],[Poste 3]]</f>
        <v>0</v>
      </c>
      <c r="Y1135" s="74">
        <f>Devis[[#This Row],[Poste 4]]*Devis[[#This Row],[Prix de Revient]]</f>
        <v>0</v>
      </c>
      <c r="Z1135" s="74">
        <f>Devis[[#This Row],[Poste 5]]*Devis[[#This Row],[Prix de Revient]]</f>
        <v>0</v>
      </c>
      <c r="AA1135" s="74">
        <f>Devis[[#This Row],[Prix de Revient]]*Devis[[#This Row],[Poste 6]]</f>
        <v>0</v>
      </c>
      <c r="AB1135" s="74">
        <f>Devis[[#This Row],[Quantité Totale]]*Devis[[#This Row],[Prix de Revient]]</f>
        <v>0</v>
      </c>
    </row>
    <row r="1136" spans="1:28" ht="14.25" outlineLevel="1" x14ac:dyDescent="0.2">
      <c r="A1136" s="75" t="s">
        <v>624</v>
      </c>
      <c r="B1136" s="76" t="s">
        <v>783</v>
      </c>
      <c r="C1136" s="76"/>
      <c r="D1136" s="81" t="str">
        <f t="shared" si="20"/>
        <v>FlexiblesMaxair</v>
      </c>
      <c r="E1136" s="73">
        <v>32</v>
      </c>
      <c r="F1136" s="81">
        <v>7</v>
      </c>
      <c r="G1136" s="71" t="s">
        <v>792</v>
      </c>
      <c r="H1136" s="71"/>
      <c r="I1136" s="71"/>
      <c r="J1136" s="70">
        <f>IFERROR(VLOOKUP(Devis[[#This Row],[Ref Air Flux]],#REF!,3,FALSE),0)</f>
        <v>0</v>
      </c>
      <c r="K1136" s="68"/>
      <c r="L1136" s="68"/>
      <c r="M1136" s="68"/>
      <c r="N1136" s="68"/>
      <c r="O1136" s="68"/>
      <c r="P1136" s="68"/>
      <c r="Q1136" s="68">
        <f>SUM(Devis[[#This Row],[Poste 1]:[Poste 6]])</f>
        <v>0</v>
      </c>
      <c r="R1136" s="71"/>
      <c r="S1136" s="68">
        <f>_xlfn.CEILING.MATH(Devis[[#This Row],[Quantité Totale]],Devis[[#This Row],[Conditionnement]])</f>
        <v>0</v>
      </c>
      <c r="T1136" s="72"/>
      <c r="U1136" s="73"/>
      <c r="V1136" s="74">
        <f>Devis[[#This Row],[Prix de Revient]]*Devis[[#This Row],[Poste 1]]</f>
        <v>0</v>
      </c>
      <c r="W1136" s="74">
        <f>Devis[[#This Row],[Prix de Revient]]*Devis[[#This Row],[Poste 2]]</f>
        <v>0</v>
      </c>
      <c r="X1136" s="74">
        <f>Devis[[#This Row],[Prix de Revient]]*Devis[[#This Row],[Poste 3]]</f>
        <v>0</v>
      </c>
      <c r="Y1136" s="74">
        <f>Devis[[#This Row],[Poste 4]]*Devis[[#This Row],[Prix de Revient]]</f>
        <v>0</v>
      </c>
      <c r="Z1136" s="74">
        <f>Devis[[#This Row],[Poste 5]]*Devis[[#This Row],[Prix de Revient]]</f>
        <v>0</v>
      </c>
      <c r="AA1136" s="74">
        <f>Devis[[#This Row],[Prix de Revient]]*Devis[[#This Row],[Poste 6]]</f>
        <v>0</v>
      </c>
      <c r="AB1136" s="74">
        <f>Devis[[#This Row],[Quantité Totale]]*Devis[[#This Row],[Prix de Revient]]</f>
        <v>0</v>
      </c>
    </row>
    <row r="1137" spans="1:28" ht="14.25" customHeight="1" outlineLevel="1" x14ac:dyDescent="0.25">
      <c r="A1137" s="65" t="s">
        <v>624</v>
      </c>
      <c r="B1137" s="65" t="s">
        <v>4707</v>
      </c>
      <c r="C1137" s="76"/>
      <c r="D1137" s="81" t="str">
        <f t="shared" si="20"/>
        <v>FlexiblesPOLYETHYLENE</v>
      </c>
      <c r="E1137" s="76"/>
      <c r="F1137" s="81">
        <v>0</v>
      </c>
      <c r="G1137" s="71"/>
      <c r="H1137" s="71"/>
      <c r="I1137" s="71"/>
      <c r="J1137" s="70">
        <f>IFERROR(VLOOKUP(Devis[[#This Row],[Ref Air Flux]],#REF!,3,FALSE),0)</f>
        <v>0</v>
      </c>
      <c r="K1137" s="68"/>
      <c r="L1137" s="68"/>
      <c r="M1137" s="68"/>
      <c r="N1137" s="68"/>
      <c r="O1137" s="68"/>
      <c r="P1137" s="68"/>
      <c r="Q1137" s="68">
        <f>SUM(Devis[[#This Row],[Poste 1]:[Poste 6]])</f>
        <v>0</v>
      </c>
      <c r="R1137" s="71"/>
      <c r="S1137" s="68">
        <f>_xlfn.CEILING.MATH(Devis[[#This Row],[Quantité Totale]],Devis[[#This Row],[Conditionnement]])</f>
        <v>0</v>
      </c>
      <c r="T1137" s="72"/>
      <c r="U1137" s="73"/>
      <c r="V1137" s="74">
        <f>Devis[[#This Row],[Prix de Revient]]*Devis[[#This Row],[Poste 1]]</f>
        <v>0</v>
      </c>
      <c r="W1137" s="74">
        <f>Devis[[#This Row],[Prix de Revient]]*Devis[[#This Row],[Poste 2]]</f>
        <v>0</v>
      </c>
      <c r="X1137" s="74">
        <f>Devis[[#This Row],[Prix de Revient]]*Devis[[#This Row],[Poste 3]]</f>
        <v>0</v>
      </c>
      <c r="Y1137" s="74">
        <f>Devis[[#This Row],[Poste 4]]*Devis[[#This Row],[Prix de Revient]]</f>
        <v>0</v>
      </c>
      <c r="Z1137" s="74">
        <f>Devis[[#This Row],[Poste 5]]*Devis[[#This Row],[Prix de Revient]]</f>
        <v>0</v>
      </c>
      <c r="AA1137" s="74">
        <f>Devis[[#This Row],[Prix de Revient]]*Devis[[#This Row],[Poste 6]]</f>
        <v>0</v>
      </c>
      <c r="AB1137" s="74">
        <f>Devis[[#This Row],[Quantité Totale]]*Devis[[#This Row],[Prix de Revient]]</f>
        <v>0</v>
      </c>
    </row>
    <row r="1138" spans="1:28" ht="14.25" outlineLevel="1" x14ac:dyDescent="0.2">
      <c r="A1138" s="75" t="s">
        <v>624</v>
      </c>
      <c r="B1138" s="76" t="s">
        <v>793</v>
      </c>
      <c r="C1138" s="76"/>
      <c r="D1138" s="81" t="str">
        <f t="shared" si="20"/>
        <v>FlexiblesPolyethylene</v>
      </c>
      <c r="E1138" s="76" t="s">
        <v>794</v>
      </c>
      <c r="F1138" s="81">
        <v>1</v>
      </c>
      <c r="G1138" s="71">
        <v>216016</v>
      </c>
      <c r="H1138" s="71"/>
      <c r="I1138" s="71"/>
      <c r="J1138" s="70">
        <f>IFERROR(VLOOKUP(Devis[[#This Row],[Ref Air Flux]],#REF!,3,FALSE),0)</f>
        <v>0</v>
      </c>
      <c r="K1138" s="68"/>
      <c r="L1138" s="68"/>
      <c r="M1138" s="68"/>
      <c r="N1138" s="68"/>
      <c r="O1138" s="68"/>
      <c r="P1138" s="68"/>
      <c r="Q1138" s="68">
        <f>SUM(Devis[[#This Row],[Poste 1]:[Poste 6]])</f>
        <v>0</v>
      </c>
      <c r="R1138" s="71"/>
      <c r="S1138" s="68">
        <f>_xlfn.CEILING.MATH(Devis[[#This Row],[Quantité Totale]],Devis[[#This Row],[Conditionnement]])</f>
        <v>0</v>
      </c>
      <c r="T1138" s="72"/>
      <c r="U1138" s="73"/>
      <c r="V1138" s="74">
        <f>Devis[[#This Row],[Prix de Revient]]*Devis[[#This Row],[Poste 1]]</f>
        <v>0</v>
      </c>
      <c r="W1138" s="74">
        <f>Devis[[#This Row],[Prix de Revient]]*Devis[[#This Row],[Poste 2]]</f>
        <v>0</v>
      </c>
      <c r="X1138" s="74">
        <f>Devis[[#This Row],[Prix de Revient]]*Devis[[#This Row],[Poste 3]]</f>
        <v>0</v>
      </c>
      <c r="Y1138" s="74">
        <f>Devis[[#This Row],[Poste 4]]*Devis[[#This Row],[Prix de Revient]]</f>
        <v>0</v>
      </c>
      <c r="Z1138" s="74">
        <f>Devis[[#This Row],[Poste 5]]*Devis[[#This Row],[Prix de Revient]]</f>
        <v>0</v>
      </c>
      <c r="AA1138" s="74">
        <f>Devis[[#This Row],[Prix de Revient]]*Devis[[#This Row],[Poste 6]]</f>
        <v>0</v>
      </c>
      <c r="AB1138" s="74">
        <f>Devis[[#This Row],[Quantité Totale]]*Devis[[#This Row],[Prix de Revient]]</f>
        <v>0</v>
      </c>
    </row>
    <row r="1139" spans="1:28" ht="14.25" customHeight="1" x14ac:dyDescent="0.25">
      <c r="A1139" s="65" t="s">
        <v>624</v>
      </c>
      <c r="B1139" s="65" t="s">
        <v>4708</v>
      </c>
      <c r="C1139" s="76"/>
      <c r="D1139" s="81" t="str">
        <f t="shared" ref="D1139:D1202" si="21">A1139&amp;B1139&amp;C1139</f>
        <v>FlexiblesRILSAN</v>
      </c>
      <c r="E1139" s="76"/>
      <c r="F1139" s="81">
        <v>0</v>
      </c>
      <c r="G1139" s="71"/>
      <c r="H1139" s="71"/>
      <c r="I1139" s="71"/>
      <c r="J1139" s="70">
        <f>IFERROR(VLOOKUP(Devis[[#This Row],[Ref Air Flux]],#REF!,3,FALSE),0)</f>
        <v>0</v>
      </c>
      <c r="K1139" s="68"/>
      <c r="L1139" s="68"/>
      <c r="M1139" s="68"/>
      <c r="N1139" s="68"/>
      <c r="O1139" s="68"/>
      <c r="P1139" s="68"/>
      <c r="Q1139" s="68">
        <f>SUM(Devis[[#This Row],[Poste 1]:[Poste 6]])</f>
        <v>0</v>
      </c>
      <c r="R1139" s="71"/>
      <c r="S1139" s="68">
        <f>_xlfn.CEILING.MATH(Devis[[#This Row],[Quantité Totale]],Devis[[#This Row],[Conditionnement]])</f>
        <v>0</v>
      </c>
      <c r="T1139" s="72"/>
      <c r="U1139" s="73"/>
      <c r="V1139" s="74">
        <f>Devis[[#This Row],[Prix de Revient]]*Devis[[#This Row],[Poste 1]]</f>
        <v>0</v>
      </c>
      <c r="W1139" s="74">
        <f>Devis[[#This Row],[Prix de Revient]]*Devis[[#This Row],[Poste 2]]</f>
        <v>0</v>
      </c>
      <c r="X1139" s="74">
        <f>Devis[[#This Row],[Prix de Revient]]*Devis[[#This Row],[Poste 3]]</f>
        <v>0</v>
      </c>
      <c r="Y1139" s="74">
        <f>Devis[[#This Row],[Poste 4]]*Devis[[#This Row],[Prix de Revient]]</f>
        <v>0</v>
      </c>
      <c r="Z1139" s="74">
        <f>Devis[[#This Row],[Poste 5]]*Devis[[#This Row],[Prix de Revient]]</f>
        <v>0</v>
      </c>
      <c r="AA1139" s="74">
        <f>Devis[[#This Row],[Prix de Revient]]*Devis[[#This Row],[Poste 6]]</f>
        <v>0</v>
      </c>
      <c r="AB1139" s="74">
        <f>Devis[[#This Row],[Quantité Totale]]*Devis[[#This Row],[Prix de Revient]]</f>
        <v>0</v>
      </c>
    </row>
    <row r="1140" spans="1:28" ht="14.25" customHeight="1" outlineLevel="1" x14ac:dyDescent="0.2">
      <c r="A1140" s="75" t="s">
        <v>624</v>
      </c>
      <c r="B1140" s="76" t="s">
        <v>795</v>
      </c>
      <c r="C1140" s="76" t="s">
        <v>4709</v>
      </c>
      <c r="D1140" s="81" t="str">
        <f t="shared" si="21"/>
        <v>FlexiblesRilsanBlanc</v>
      </c>
      <c r="E1140" s="80" t="s">
        <v>796</v>
      </c>
      <c r="F1140" s="81">
        <v>1</v>
      </c>
      <c r="G1140" s="71" t="s">
        <v>797</v>
      </c>
      <c r="H1140" s="71"/>
      <c r="I1140" s="71"/>
      <c r="J1140" s="70">
        <f>IFERROR(VLOOKUP(Devis[[#This Row],[Ref Air Flux]],#REF!,3,FALSE),0)</f>
        <v>0</v>
      </c>
      <c r="K1140" s="68"/>
      <c r="L1140" s="68"/>
      <c r="M1140" s="68"/>
      <c r="N1140" s="68"/>
      <c r="O1140" s="68"/>
      <c r="P1140" s="68"/>
      <c r="Q1140" s="68">
        <f>SUM(Devis[[#This Row],[Poste 1]:[Poste 6]])</f>
        <v>0</v>
      </c>
      <c r="R1140" s="71"/>
      <c r="S1140" s="68">
        <f>_xlfn.CEILING.MATH(Devis[[#This Row],[Quantité Totale]],Devis[[#This Row],[Conditionnement]])</f>
        <v>0</v>
      </c>
      <c r="T1140" s="72"/>
      <c r="U1140" s="73"/>
      <c r="V1140" s="74">
        <f>Devis[[#This Row],[Prix de Revient]]*Devis[[#This Row],[Poste 1]]</f>
        <v>0</v>
      </c>
      <c r="W1140" s="74">
        <f>Devis[[#This Row],[Prix de Revient]]*Devis[[#This Row],[Poste 2]]</f>
        <v>0</v>
      </c>
      <c r="X1140" s="74">
        <f>Devis[[#This Row],[Prix de Revient]]*Devis[[#This Row],[Poste 3]]</f>
        <v>0</v>
      </c>
      <c r="Y1140" s="74">
        <f>Devis[[#This Row],[Poste 4]]*Devis[[#This Row],[Prix de Revient]]</f>
        <v>0</v>
      </c>
      <c r="Z1140" s="74">
        <f>Devis[[#This Row],[Poste 5]]*Devis[[#This Row],[Prix de Revient]]</f>
        <v>0</v>
      </c>
      <c r="AA1140" s="74">
        <f>Devis[[#This Row],[Prix de Revient]]*Devis[[#This Row],[Poste 6]]</f>
        <v>0</v>
      </c>
      <c r="AB1140" s="74">
        <f>Devis[[#This Row],[Quantité Totale]]*Devis[[#This Row],[Prix de Revient]]</f>
        <v>0</v>
      </c>
    </row>
    <row r="1141" spans="1:28" ht="14.25" customHeight="1" outlineLevel="1" x14ac:dyDescent="0.2">
      <c r="A1141" s="75" t="s">
        <v>624</v>
      </c>
      <c r="B1141" s="76" t="s">
        <v>795</v>
      </c>
      <c r="C1141" s="76" t="s">
        <v>4709</v>
      </c>
      <c r="D1141" s="81" t="str">
        <f t="shared" si="21"/>
        <v>FlexiblesRilsanBlanc</v>
      </c>
      <c r="E1141" s="76" t="s">
        <v>4710</v>
      </c>
      <c r="F1141" s="81">
        <v>2</v>
      </c>
      <c r="G1141" s="71" t="s">
        <v>798</v>
      </c>
      <c r="H1141" s="71"/>
      <c r="I1141" s="71"/>
      <c r="J1141" s="70">
        <f>IFERROR(VLOOKUP(Devis[[#This Row],[Ref Air Flux]],#REF!,3,FALSE),0)</f>
        <v>0</v>
      </c>
      <c r="K1141" s="68"/>
      <c r="L1141" s="68"/>
      <c r="M1141" s="68"/>
      <c r="N1141" s="68"/>
      <c r="O1141" s="68"/>
      <c r="P1141" s="68"/>
      <c r="Q1141" s="68">
        <f>SUM(Devis[[#This Row],[Poste 1]:[Poste 6]])</f>
        <v>0</v>
      </c>
      <c r="R1141" s="71"/>
      <c r="S1141" s="68">
        <f>_xlfn.CEILING.MATH(Devis[[#This Row],[Quantité Totale]],Devis[[#This Row],[Conditionnement]])</f>
        <v>0</v>
      </c>
      <c r="T1141" s="72"/>
      <c r="U1141" s="73"/>
      <c r="V1141" s="74">
        <f>Devis[[#This Row],[Prix de Revient]]*Devis[[#This Row],[Poste 1]]</f>
        <v>0</v>
      </c>
      <c r="W1141" s="74">
        <f>Devis[[#This Row],[Prix de Revient]]*Devis[[#This Row],[Poste 2]]</f>
        <v>0</v>
      </c>
      <c r="X1141" s="74">
        <f>Devis[[#This Row],[Prix de Revient]]*Devis[[#This Row],[Poste 3]]</f>
        <v>0</v>
      </c>
      <c r="Y1141" s="74">
        <f>Devis[[#This Row],[Poste 4]]*Devis[[#This Row],[Prix de Revient]]</f>
        <v>0</v>
      </c>
      <c r="Z1141" s="74">
        <f>Devis[[#This Row],[Poste 5]]*Devis[[#This Row],[Prix de Revient]]</f>
        <v>0</v>
      </c>
      <c r="AA1141" s="74">
        <f>Devis[[#This Row],[Prix de Revient]]*Devis[[#This Row],[Poste 6]]</f>
        <v>0</v>
      </c>
      <c r="AB1141" s="74">
        <f>Devis[[#This Row],[Quantité Totale]]*Devis[[#This Row],[Prix de Revient]]</f>
        <v>0</v>
      </c>
    </row>
    <row r="1142" spans="1:28" ht="14.25" customHeight="1" outlineLevel="1" x14ac:dyDescent="0.2">
      <c r="A1142" s="75" t="s">
        <v>624</v>
      </c>
      <c r="B1142" s="76" t="s">
        <v>795</v>
      </c>
      <c r="C1142" s="76" t="s">
        <v>4709</v>
      </c>
      <c r="D1142" s="81" t="str">
        <f t="shared" si="21"/>
        <v>FlexiblesRilsanBlanc</v>
      </c>
      <c r="E1142" s="80" t="s">
        <v>799</v>
      </c>
      <c r="F1142" s="81">
        <v>3</v>
      </c>
      <c r="G1142" s="71" t="s">
        <v>800</v>
      </c>
      <c r="H1142" s="71"/>
      <c r="I1142" s="71"/>
      <c r="J1142" s="70">
        <f>IFERROR(VLOOKUP(Devis[[#This Row],[Ref Air Flux]],#REF!,3,FALSE),0)</f>
        <v>0</v>
      </c>
      <c r="K1142" s="68"/>
      <c r="L1142" s="68"/>
      <c r="M1142" s="68"/>
      <c r="N1142" s="68"/>
      <c r="O1142" s="68"/>
      <c r="P1142" s="68"/>
      <c r="Q1142" s="68">
        <f>SUM(Devis[[#This Row],[Poste 1]:[Poste 6]])</f>
        <v>0</v>
      </c>
      <c r="R1142" s="71"/>
      <c r="S1142" s="68">
        <f>_xlfn.CEILING.MATH(Devis[[#This Row],[Quantité Totale]],Devis[[#This Row],[Conditionnement]])</f>
        <v>0</v>
      </c>
      <c r="T1142" s="72"/>
      <c r="U1142" s="73"/>
      <c r="V1142" s="74">
        <f>Devis[[#This Row],[Prix de Revient]]*Devis[[#This Row],[Poste 1]]</f>
        <v>0</v>
      </c>
      <c r="W1142" s="74">
        <f>Devis[[#This Row],[Prix de Revient]]*Devis[[#This Row],[Poste 2]]</f>
        <v>0</v>
      </c>
      <c r="X1142" s="74">
        <f>Devis[[#This Row],[Prix de Revient]]*Devis[[#This Row],[Poste 3]]</f>
        <v>0</v>
      </c>
      <c r="Y1142" s="74">
        <f>Devis[[#This Row],[Poste 4]]*Devis[[#This Row],[Prix de Revient]]</f>
        <v>0</v>
      </c>
      <c r="Z1142" s="74">
        <f>Devis[[#This Row],[Poste 5]]*Devis[[#This Row],[Prix de Revient]]</f>
        <v>0</v>
      </c>
      <c r="AA1142" s="74">
        <f>Devis[[#This Row],[Prix de Revient]]*Devis[[#This Row],[Poste 6]]</f>
        <v>0</v>
      </c>
      <c r="AB1142" s="74">
        <f>Devis[[#This Row],[Quantité Totale]]*Devis[[#This Row],[Prix de Revient]]</f>
        <v>0</v>
      </c>
    </row>
    <row r="1143" spans="1:28" ht="15" customHeight="1" outlineLevel="1" x14ac:dyDescent="0.2">
      <c r="A1143" s="75" t="s">
        <v>624</v>
      </c>
      <c r="B1143" s="76" t="s">
        <v>795</v>
      </c>
      <c r="C1143" s="76" t="s">
        <v>4709</v>
      </c>
      <c r="D1143" s="81" t="str">
        <f t="shared" si="21"/>
        <v>FlexiblesRilsanBlanc</v>
      </c>
      <c r="E1143" s="76" t="s">
        <v>801</v>
      </c>
      <c r="F1143" s="81">
        <v>4</v>
      </c>
      <c r="G1143" s="71" t="s">
        <v>802</v>
      </c>
      <c r="H1143" s="71"/>
      <c r="I1143" s="71"/>
      <c r="J1143" s="70">
        <f>IFERROR(VLOOKUP(Devis[[#This Row],[Ref Air Flux]],#REF!,3,FALSE),0)</f>
        <v>0</v>
      </c>
      <c r="K1143" s="68"/>
      <c r="L1143" s="68"/>
      <c r="M1143" s="68"/>
      <c r="N1143" s="68"/>
      <c r="O1143" s="68"/>
      <c r="P1143" s="68"/>
      <c r="Q1143" s="68">
        <f>SUM(Devis[[#This Row],[Poste 1]:[Poste 6]])</f>
        <v>0</v>
      </c>
      <c r="R1143" s="71"/>
      <c r="S1143" s="68">
        <f>_xlfn.CEILING.MATH(Devis[[#This Row],[Quantité Totale]],Devis[[#This Row],[Conditionnement]])</f>
        <v>0</v>
      </c>
      <c r="T1143" s="72"/>
      <c r="U1143" s="73"/>
      <c r="V1143" s="74">
        <f>Devis[[#This Row],[Prix de Revient]]*Devis[[#This Row],[Poste 1]]</f>
        <v>0</v>
      </c>
      <c r="W1143" s="74">
        <f>Devis[[#This Row],[Prix de Revient]]*Devis[[#This Row],[Poste 2]]</f>
        <v>0</v>
      </c>
      <c r="X1143" s="74">
        <f>Devis[[#This Row],[Prix de Revient]]*Devis[[#This Row],[Poste 3]]</f>
        <v>0</v>
      </c>
      <c r="Y1143" s="74">
        <f>Devis[[#This Row],[Poste 4]]*Devis[[#This Row],[Prix de Revient]]</f>
        <v>0</v>
      </c>
      <c r="Z1143" s="74">
        <f>Devis[[#This Row],[Poste 5]]*Devis[[#This Row],[Prix de Revient]]</f>
        <v>0</v>
      </c>
      <c r="AA1143" s="74">
        <f>Devis[[#This Row],[Prix de Revient]]*Devis[[#This Row],[Poste 6]]</f>
        <v>0</v>
      </c>
      <c r="AB1143" s="74">
        <f>Devis[[#This Row],[Quantité Totale]]*Devis[[#This Row],[Prix de Revient]]</f>
        <v>0</v>
      </c>
    </row>
    <row r="1144" spans="1:28" ht="14.25" outlineLevel="1" x14ac:dyDescent="0.2">
      <c r="A1144" s="75" t="s">
        <v>624</v>
      </c>
      <c r="B1144" s="76" t="s">
        <v>795</v>
      </c>
      <c r="C1144" s="76" t="s">
        <v>4709</v>
      </c>
      <c r="D1144" s="81" t="str">
        <f t="shared" si="21"/>
        <v>FlexiblesRilsanBlanc</v>
      </c>
      <c r="E1144" s="76" t="s">
        <v>803</v>
      </c>
      <c r="F1144" s="81">
        <v>5</v>
      </c>
      <c r="G1144" s="71" t="s">
        <v>804</v>
      </c>
      <c r="H1144" s="71"/>
      <c r="I1144" s="71"/>
      <c r="J1144" s="70">
        <f>IFERROR(VLOOKUP(Devis[[#This Row],[Ref Air Flux]],#REF!,3,FALSE),0)</f>
        <v>0</v>
      </c>
      <c r="K1144" s="68"/>
      <c r="L1144" s="68"/>
      <c r="M1144" s="68"/>
      <c r="N1144" s="68"/>
      <c r="O1144" s="68"/>
      <c r="P1144" s="68"/>
      <c r="Q1144" s="68">
        <f>SUM(Devis[[#This Row],[Poste 1]:[Poste 6]])</f>
        <v>0</v>
      </c>
      <c r="R1144" s="71"/>
      <c r="S1144" s="68">
        <f>_xlfn.CEILING.MATH(Devis[[#This Row],[Quantité Totale]],Devis[[#This Row],[Conditionnement]])</f>
        <v>0</v>
      </c>
      <c r="T1144" s="72"/>
      <c r="U1144" s="73"/>
      <c r="V1144" s="74">
        <f>Devis[[#This Row],[Prix de Revient]]*Devis[[#This Row],[Poste 1]]</f>
        <v>0</v>
      </c>
      <c r="W1144" s="74">
        <f>Devis[[#This Row],[Prix de Revient]]*Devis[[#This Row],[Poste 2]]</f>
        <v>0</v>
      </c>
      <c r="X1144" s="74">
        <f>Devis[[#This Row],[Prix de Revient]]*Devis[[#This Row],[Poste 3]]</f>
        <v>0</v>
      </c>
      <c r="Y1144" s="74">
        <f>Devis[[#This Row],[Poste 4]]*Devis[[#This Row],[Prix de Revient]]</f>
        <v>0</v>
      </c>
      <c r="Z1144" s="74">
        <f>Devis[[#This Row],[Poste 5]]*Devis[[#This Row],[Prix de Revient]]</f>
        <v>0</v>
      </c>
      <c r="AA1144" s="74">
        <f>Devis[[#This Row],[Prix de Revient]]*Devis[[#This Row],[Poste 6]]</f>
        <v>0</v>
      </c>
      <c r="AB1144" s="74">
        <f>Devis[[#This Row],[Quantité Totale]]*Devis[[#This Row],[Prix de Revient]]</f>
        <v>0</v>
      </c>
    </row>
    <row r="1145" spans="1:28" ht="14.25" outlineLevel="1" x14ac:dyDescent="0.2">
      <c r="A1145" s="75" t="s">
        <v>624</v>
      </c>
      <c r="B1145" s="76" t="s">
        <v>795</v>
      </c>
      <c r="C1145" s="76" t="s">
        <v>4709</v>
      </c>
      <c r="D1145" s="81" t="str">
        <f t="shared" si="21"/>
        <v>FlexiblesRilsanBlanc</v>
      </c>
      <c r="E1145" s="76" t="s">
        <v>805</v>
      </c>
      <c r="F1145" s="81">
        <v>6</v>
      </c>
      <c r="G1145" s="71" t="s">
        <v>806</v>
      </c>
      <c r="H1145" s="71"/>
      <c r="I1145" s="71"/>
      <c r="J1145" s="70">
        <f>IFERROR(VLOOKUP(Devis[[#This Row],[Ref Air Flux]],#REF!,3,FALSE),0)</f>
        <v>0</v>
      </c>
      <c r="K1145" s="68"/>
      <c r="L1145" s="68"/>
      <c r="M1145" s="68"/>
      <c r="N1145" s="68"/>
      <c r="O1145" s="68"/>
      <c r="P1145" s="68"/>
      <c r="Q1145" s="68">
        <f>SUM(Devis[[#This Row],[Poste 1]:[Poste 6]])</f>
        <v>0</v>
      </c>
      <c r="R1145" s="71"/>
      <c r="S1145" s="68">
        <f>_xlfn.CEILING.MATH(Devis[[#This Row],[Quantité Totale]],Devis[[#This Row],[Conditionnement]])</f>
        <v>0</v>
      </c>
      <c r="T1145" s="72"/>
      <c r="U1145" s="73"/>
      <c r="V1145" s="74">
        <f>Devis[[#This Row],[Prix de Revient]]*Devis[[#This Row],[Poste 1]]</f>
        <v>0</v>
      </c>
      <c r="W1145" s="74">
        <f>Devis[[#This Row],[Prix de Revient]]*Devis[[#This Row],[Poste 2]]</f>
        <v>0</v>
      </c>
      <c r="X1145" s="74">
        <f>Devis[[#This Row],[Prix de Revient]]*Devis[[#This Row],[Poste 3]]</f>
        <v>0</v>
      </c>
      <c r="Y1145" s="74">
        <f>Devis[[#This Row],[Poste 4]]*Devis[[#This Row],[Prix de Revient]]</f>
        <v>0</v>
      </c>
      <c r="Z1145" s="74">
        <f>Devis[[#This Row],[Poste 5]]*Devis[[#This Row],[Prix de Revient]]</f>
        <v>0</v>
      </c>
      <c r="AA1145" s="74">
        <f>Devis[[#This Row],[Prix de Revient]]*Devis[[#This Row],[Poste 6]]</f>
        <v>0</v>
      </c>
      <c r="AB1145" s="74">
        <f>Devis[[#This Row],[Quantité Totale]]*Devis[[#This Row],[Prix de Revient]]</f>
        <v>0</v>
      </c>
    </row>
    <row r="1146" spans="1:28" ht="14.25" customHeight="1" x14ac:dyDescent="0.25">
      <c r="A1146" s="65" t="s">
        <v>624</v>
      </c>
      <c r="B1146" s="65" t="s">
        <v>4711</v>
      </c>
      <c r="C1146" s="76"/>
      <c r="D1146" s="81" t="str">
        <f t="shared" si="21"/>
        <v>FlexiblesTRICOCLAIR</v>
      </c>
      <c r="E1146" s="76"/>
      <c r="F1146" s="81">
        <v>0</v>
      </c>
      <c r="G1146" s="71"/>
      <c r="H1146" s="71"/>
      <c r="I1146" s="71"/>
      <c r="J1146" s="70">
        <f>IFERROR(VLOOKUP(Devis[[#This Row],[Ref Air Flux]],#REF!,3,FALSE),0)</f>
        <v>0</v>
      </c>
      <c r="K1146" s="68"/>
      <c r="L1146" s="68"/>
      <c r="M1146" s="68"/>
      <c r="N1146" s="68"/>
      <c r="O1146" s="68"/>
      <c r="P1146" s="68"/>
      <c r="Q1146" s="68">
        <f>SUM(Devis[[#This Row],[Poste 1]:[Poste 6]])</f>
        <v>0</v>
      </c>
      <c r="R1146" s="71"/>
      <c r="S1146" s="68">
        <f>_xlfn.CEILING.MATH(Devis[[#This Row],[Quantité Totale]],Devis[[#This Row],[Conditionnement]])</f>
        <v>0</v>
      </c>
      <c r="T1146" s="72"/>
      <c r="U1146" s="73"/>
      <c r="V1146" s="74">
        <f>Devis[[#This Row],[Prix de Revient]]*Devis[[#This Row],[Poste 1]]</f>
        <v>0</v>
      </c>
      <c r="W1146" s="74">
        <f>Devis[[#This Row],[Prix de Revient]]*Devis[[#This Row],[Poste 2]]</f>
        <v>0</v>
      </c>
      <c r="X1146" s="74">
        <f>Devis[[#This Row],[Prix de Revient]]*Devis[[#This Row],[Poste 3]]</f>
        <v>0</v>
      </c>
      <c r="Y1146" s="74">
        <f>Devis[[#This Row],[Poste 4]]*Devis[[#This Row],[Prix de Revient]]</f>
        <v>0</v>
      </c>
      <c r="Z1146" s="74">
        <f>Devis[[#This Row],[Poste 5]]*Devis[[#This Row],[Prix de Revient]]</f>
        <v>0</v>
      </c>
      <c r="AA1146" s="74">
        <f>Devis[[#This Row],[Prix de Revient]]*Devis[[#This Row],[Poste 6]]</f>
        <v>0</v>
      </c>
      <c r="AB1146" s="74">
        <f>Devis[[#This Row],[Quantité Totale]]*Devis[[#This Row],[Prix de Revient]]</f>
        <v>0</v>
      </c>
    </row>
    <row r="1147" spans="1:28" ht="14.25" outlineLevel="1" x14ac:dyDescent="0.2">
      <c r="A1147" s="75" t="s">
        <v>624</v>
      </c>
      <c r="B1147" s="76" t="s">
        <v>807</v>
      </c>
      <c r="C1147" s="76"/>
      <c r="D1147" s="81" t="str">
        <f t="shared" si="21"/>
        <v>FlexiblesTricoclair</v>
      </c>
      <c r="E1147" s="76">
        <v>6</v>
      </c>
      <c r="F1147" s="81">
        <v>1</v>
      </c>
      <c r="G1147" s="71" t="s">
        <v>808</v>
      </c>
      <c r="H1147" s="71"/>
      <c r="I1147" s="71"/>
      <c r="J1147" s="70">
        <f>IFERROR(VLOOKUP(Devis[[#This Row],[Ref Air Flux]],#REF!,3,FALSE),0)</f>
        <v>0</v>
      </c>
      <c r="K1147" s="68"/>
      <c r="L1147" s="68"/>
      <c r="M1147" s="68"/>
      <c r="N1147" s="68"/>
      <c r="O1147" s="68"/>
      <c r="P1147" s="68"/>
      <c r="Q1147" s="68">
        <f>SUM(Devis[[#This Row],[Poste 1]:[Poste 6]])</f>
        <v>0</v>
      </c>
      <c r="R1147" s="71"/>
      <c r="S1147" s="68">
        <f>_xlfn.CEILING.MATH(Devis[[#This Row],[Quantité Totale]],Devis[[#This Row],[Conditionnement]])</f>
        <v>0</v>
      </c>
      <c r="T1147" s="72"/>
      <c r="U1147" s="73"/>
      <c r="V1147" s="74">
        <f>Devis[[#This Row],[Prix de Revient]]*Devis[[#This Row],[Poste 1]]</f>
        <v>0</v>
      </c>
      <c r="W1147" s="74">
        <f>Devis[[#This Row],[Prix de Revient]]*Devis[[#This Row],[Poste 2]]</f>
        <v>0</v>
      </c>
      <c r="X1147" s="74">
        <f>Devis[[#This Row],[Prix de Revient]]*Devis[[#This Row],[Poste 3]]</f>
        <v>0</v>
      </c>
      <c r="Y1147" s="74">
        <f>Devis[[#This Row],[Poste 4]]*Devis[[#This Row],[Prix de Revient]]</f>
        <v>0</v>
      </c>
      <c r="Z1147" s="74">
        <f>Devis[[#This Row],[Poste 5]]*Devis[[#This Row],[Prix de Revient]]</f>
        <v>0</v>
      </c>
      <c r="AA1147" s="74">
        <f>Devis[[#This Row],[Prix de Revient]]*Devis[[#This Row],[Poste 6]]</f>
        <v>0</v>
      </c>
      <c r="AB1147" s="74">
        <f>Devis[[#This Row],[Quantité Totale]]*Devis[[#This Row],[Prix de Revient]]</f>
        <v>0</v>
      </c>
    </row>
    <row r="1148" spans="1:28" ht="14.25" outlineLevel="1" x14ac:dyDescent="0.2">
      <c r="A1148" s="75" t="s">
        <v>624</v>
      </c>
      <c r="B1148" s="76" t="s">
        <v>807</v>
      </c>
      <c r="C1148" s="76"/>
      <c r="D1148" s="81" t="str">
        <f t="shared" si="21"/>
        <v>FlexiblesTricoclair</v>
      </c>
      <c r="E1148" s="76">
        <v>8</v>
      </c>
      <c r="F1148" s="81">
        <v>2</v>
      </c>
      <c r="G1148" s="71" t="s">
        <v>809</v>
      </c>
      <c r="H1148" s="71"/>
      <c r="I1148" s="71"/>
      <c r="J1148" s="70">
        <f>IFERROR(VLOOKUP(Devis[[#This Row],[Ref Air Flux]],#REF!,3,FALSE),0)</f>
        <v>0</v>
      </c>
      <c r="K1148" s="68"/>
      <c r="L1148" s="68"/>
      <c r="M1148" s="68"/>
      <c r="N1148" s="68"/>
      <c r="O1148" s="68"/>
      <c r="P1148" s="68"/>
      <c r="Q1148" s="68">
        <f>SUM(Devis[[#This Row],[Poste 1]:[Poste 6]])</f>
        <v>0</v>
      </c>
      <c r="R1148" s="71"/>
      <c r="S1148" s="68">
        <f>_xlfn.CEILING.MATH(Devis[[#This Row],[Quantité Totale]],Devis[[#This Row],[Conditionnement]])</f>
        <v>0</v>
      </c>
      <c r="T1148" s="72"/>
      <c r="U1148" s="73"/>
      <c r="V1148" s="74">
        <f>Devis[[#This Row],[Prix de Revient]]*Devis[[#This Row],[Poste 1]]</f>
        <v>0</v>
      </c>
      <c r="W1148" s="74">
        <f>Devis[[#This Row],[Prix de Revient]]*Devis[[#This Row],[Poste 2]]</f>
        <v>0</v>
      </c>
      <c r="X1148" s="74">
        <f>Devis[[#This Row],[Prix de Revient]]*Devis[[#This Row],[Poste 3]]</f>
        <v>0</v>
      </c>
      <c r="Y1148" s="74">
        <f>Devis[[#This Row],[Poste 4]]*Devis[[#This Row],[Prix de Revient]]</f>
        <v>0</v>
      </c>
      <c r="Z1148" s="74">
        <f>Devis[[#This Row],[Poste 5]]*Devis[[#This Row],[Prix de Revient]]</f>
        <v>0</v>
      </c>
      <c r="AA1148" s="74">
        <f>Devis[[#This Row],[Prix de Revient]]*Devis[[#This Row],[Poste 6]]</f>
        <v>0</v>
      </c>
      <c r="AB1148" s="74">
        <f>Devis[[#This Row],[Quantité Totale]]*Devis[[#This Row],[Prix de Revient]]</f>
        <v>0</v>
      </c>
    </row>
    <row r="1149" spans="1:28" ht="14.25" outlineLevel="1" x14ac:dyDescent="0.2">
      <c r="A1149" s="75" t="s">
        <v>624</v>
      </c>
      <c r="B1149" s="76" t="s">
        <v>807</v>
      </c>
      <c r="C1149" s="76"/>
      <c r="D1149" s="81" t="str">
        <f t="shared" si="21"/>
        <v>FlexiblesTricoclair</v>
      </c>
      <c r="E1149" s="73">
        <v>10</v>
      </c>
      <c r="F1149" s="81">
        <v>3</v>
      </c>
      <c r="G1149" s="71" t="s">
        <v>810</v>
      </c>
      <c r="H1149" s="71"/>
      <c r="I1149" s="71"/>
      <c r="J1149" s="70">
        <f>IFERROR(VLOOKUP(Devis[[#This Row],[Ref Air Flux]],#REF!,3,FALSE),0)</f>
        <v>0</v>
      </c>
      <c r="K1149" s="68"/>
      <c r="L1149" s="68"/>
      <c r="M1149" s="68"/>
      <c r="N1149" s="68"/>
      <c r="O1149" s="68"/>
      <c r="P1149" s="68"/>
      <c r="Q1149" s="68">
        <f>SUM(Devis[[#This Row],[Poste 1]:[Poste 6]])</f>
        <v>0</v>
      </c>
      <c r="R1149" s="71"/>
      <c r="S1149" s="68">
        <f>_xlfn.CEILING.MATH(Devis[[#This Row],[Quantité Totale]],Devis[[#This Row],[Conditionnement]])</f>
        <v>0</v>
      </c>
      <c r="T1149" s="72"/>
      <c r="U1149" s="73"/>
      <c r="V1149" s="74">
        <f>Devis[[#This Row],[Prix de Revient]]*Devis[[#This Row],[Poste 1]]</f>
        <v>0</v>
      </c>
      <c r="W1149" s="74">
        <f>Devis[[#This Row],[Prix de Revient]]*Devis[[#This Row],[Poste 2]]</f>
        <v>0</v>
      </c>
      <c r="X1149" s="74">
        <f>Devis[[#This Row],[Prix de Revient]]*Devis[[#This Row],[Poste 3]]</f>
        <v>0</v>
      </c>
      <c r="Y1149" s="74">
        <f>Devis[[#This Row],[Poste 4]]*Devis[[#This Row],[Prix de Revient]]</f>
        <v>0</v>
      </c>
      <c r="Z1149" s="74">
        <f>Devis[[#This Row],[Poste 5]]*Devis[[#This Row],[Prix de Revient]]</f>
        <v>0</v>
      </c>
      <c r="AA1149" s="74">
        <f>Devis[[#This Row],[Prix de Revient]]*Devis[[#This Row],[Poste 6]]</f>
        <v>0</v>
      </c>
      <c r="AB1149" s="74">
        <f>Devis[[#This Row],[Quantité Totale]]*Devis[[#This Row],[Prix de Revient]]</f>
        <v>0</v>
      </c>
    </row>
    <row r="1150" spans="1:28" ht="14.25" outlineLevel="1" x14ac:dyDescent="0.2">
      <c r="A1150" s="75" t="s">
        <v>624</v>
      </c>
      <c r="B1150" s="76" t="s">
        <v>807</v>
      </c>
      <c r="C1150" s="76"/>
      <c r="D1150" s="81" t="str">
        <f t="shared" si="21"/>
        <v>FlexiblesTricoclair</v>
      </c>
      <c r="E1150" s="73">
        <v>12</v>
      </c>
      <c r="F1150" s="81">
        <v>4</v>
      </c>
      <c r="G1150" s="71" t="s">
        <v>811</v>
      </c>
      <c r="H1150" s="71"/>
      <c r="I1150" s="71"/>
      <c r="J1150" s="70">
        <f>IFERROR(VLOOKUP(Devis[[#This Row],[Ref Air Flux]],#REF!,3,FALSE),0)</f>
        <v>0</v>
      </c>
      <c r="K1150" s="68"/>
      <c r="L1150" s="68"/>
      <c r="M1150" s="68"/>
      <c r="N1150" s="68"/>
      <c r="O1150" s="68"/>
      <c r="P1150" s="68"/>
      <c r="Q1150" s="68">
        <f>SUM(Devis[[#This Row],[Poste 1]:[Poste 6]])</f>
        <v>0</v>
      </c>
      <c r="R1150" s="71"/>
      <c r="S1150" s="68">
        <f>_xlfn.CEILING.MATH(Devis[[#This Row],[Quantité Totale]],Devis[[#This Row],[Conditionnement]])</f>
        <v>0</v>
      </c>
      <c r="T1150" s="72"/>
      <c r="U1150" s="73"/>
      <c r="V1150" s="74">
        <f>Devis[[#This Row],[Prix de Revient]]*Devis[[#This Row],[Poste 1]]</f>
        <v>0</v>
      </c>
      <c r="W1150" s="74">
        <f>Devis[[#This Row],[Prix de Revient]]*Devis[[#This Row],[Poste 2]]</f>
        <v>0</v>
      </c>
      <c r="X1150" s="74">
        <f>Devis[[#This Row],[Prix de Revient]]*Devis[[#This Row],[Poste 3]]</f>
        <v>0</v>
      </c>
      <c r="Y1150" s="74">
        <f>Devis[[#This Row],[Poste 4]]*Devis[[#This Row],[Prix de Revient]]</f>
        <v>0</v>
      </c>
      <c r="Z1150" s="74">
        <f>Devis[[#This Row],[Poste 5]]*Devis[[#This Row],[Prix de Revient]]</f>
        <v>0</v>
      </c>
      <c r="AA1150" s="74">
        <f>Devis[[#This Row],[Prix de Revient]]*Devis[[#This Row],[Poste 6]]</f>
        <v>0</v>
      </c>
      <c r="AB1150" s="74">
        <f>Devis[[#This Row],[Quantité Totale]]*Devis[[#This Row],[Prix de Revient]]</f>
        <v>0</v>
      </c>
    </row>
    <row r="1151" spans="1:28" ht="14.25" outlineLevel="1" x14ac:dyDescent="0.2">
      <c r="A1151" s="75" t="s">
        <v>624</v>
      </c>
      <c r="B1151" s="76" t="s">
        <v>807</v>
      </c>
      <c r="C1151" s="76"/>
      <c r="D1151" s="81" t="str">
        <f t="shared" si="21"/>
        <v>FlexiblesTricoclair</v>
      </c>
      <c r="E1151" s="76" t="s">
        <v>812</v>
      </c>
      <c r="F1151" s="81">
        <v>5</v>
      </c>
      <c r="G1151" s="71" t="s">
        <v>813</v>
      </c>
      <c r="H1151" s="71"/>
      <c r="I1151" s="71"/>
      <c r="J1151" s="70">
        <f>IFERROR(VLOOKUP(Devis[[#This Row],[Ref Air Flux]],#REF!,3,FALSE),0)</f>
        <v>0</v>
      </c>
      <c r="K1151" s="68"/>
      <c r="L1151" s="68"/>
      <c r="M1151" s="68"/>
      <c r="N1151" s="68"/>
      <c r="O1151" s="68"/>
      <c r="P1151" s="68"/>
      <c r="Q1151" s="68">
        <f>SUM(Devis[[#This Row],[Poste 1]:[Poste 6]])</f>
        <v>0</v>
      </c>
      <c r="R1151" s="71"/>
      <c r="S1151" s="68">
        <f>_xlfn.CEILING.MATH(Devis[[#This Row],[Quantité Totale]],Devis[[#This Row],[Conditionnement]])</f>
        <v>0</v>
      </c>
      <c r="T1151" s="72"/>
      <c r="U1151" s="73"/>
      <c r="V1151" s="74">
        <f>Devis[[#This Row],[Prix de Revient]]*Devis[[#This Row],[Poste 1]]</f>
        <v>0</v>
      </c>
      <c r="W1151" s="74">
        <f>Devis[[#This Row],[Prix de Revient]]*Devis[[#This Row],[Poste 2]]</f>
        <v>0</v>
      </c>
      <c r="X1151" s="74">
        <f>Devis[[#This Row],[Prix de Revient]]*Devis[[#This Row],[Poste 3]]</f>
        <v>0</v>
      </c>
      <c r="Y1151" s="74">
        <f>Devis[[#This Row],[Poste 4]]*Devis[[#This Row],[Prix de Revient]]</f>
        <v>0</v>
      </c>
      <c r="Z1151" s="74">
        <f>Devis[[#This Row],[Poste 5]]*Devis[[#This Row],[Prix de Revient]]</f>
        <v>0</v>
      </c>
      <c r="AA1151" s="74">
        <f>Devis[[#This Row],[Prix de Revient]]*Devis[[#This Row],[Poste 6]]</f>
        <v>0</v>
      </c>
      <c r="AB1151" s="74">
        <f>Devis[[#This Row],[Quantité Totale]]*Devis[[#This Row],[Prix de Revient]]</f>
        <v>0</v>
      </c>
    </row>
    <row r="1152" spans="1:28" ht="15" customHeight="1" outlineLevel="1" x14ac:dyDescent="0.2">
      <c r="A1152" s="75" t="s">
        <v>624</v>
      </c>
      <c r="B1152" s="76" t="s">
        <v>807</v>
      </c>
      <c r="C1152" s="76"/>
      <c r="D1152" s="81" t="str">
        <f t="shared" si="21"/>
        <v>FlexiblesTricoclair</v>
      </c>
      <c r="E1152" s="73">
        <v>16</v>
      </c>
      <c r="F1152" s="81">
        <v>6</v>
      </c>
      <c r="G1152" s="71" t="s">
        <v>814</v>
      </c>
      <c r="H1152" s="71"/>
      <c r="I1152" s="71"/>
      <c r="J1152" s="70">
        <f>IFERROR(VLOOKUP(Devis[[#This Row],[Ref Air Flux]],#REF!,3,FALSE),0)</f>
        <v>0</v>
      </c>
      <c r="K1152" s="68"/>
      <c r="L1152" s="68"/>
      <c r="M1152" s="68"/>
      <c r="N1152" s="68"/>
      <c r="O1152" s="68"/>
      <c r="P1152" s="68"/>
      <c r="Q1152" s="68">
        <f>SUM(Devis[[#This Row],[Poste 1]:[Poste 6]])</f>
        <v>0</v>
      </c>
      <c r="R1152" s="71"/>
      <c r="S1152" s="68">
        <f>_xlfn.CEILING.MATH(Devis[[#This Row],[Quantité Totale]],Devis[[#This Row],[Conditionnement]])</f>
        <v>0</v>
      </c>
      <c r="T1152" s="72"/>
      <c r="U1152" s="73"/>
      <c r="V1152" s="74">
        <f>Devis[[#This Row],[Prix de Revient]]*Devis[[#This Row],[Poste 1]]</f>
        <v>0</v>
      </c>
      <c r="W1152" s="74">
        <f>Devis[[#This Row],[Prix de Revient]]*Devis[[#This Row],[Poste 2]]</f>
        <v>0</v>
      </c>
      <c r="X1152" s="74">
        <f>Devis[[#This Row],[Prix de Revient]]*Devis[[#This Row],[Poste 3]]</f>
        <v>0</v>
      </c>
      <c r="Y1152" s="74">
        <f>Devis[[#This Row],[Poste 4]]*Devis[[#This Row],[Prix de Revient]]</f>
        <v>0</v>
      </c>
      <c r="Z1152" s="74">
        <f>Devis[[#This Row],[Poste 5]]*Devis[[#This Row],[Prix de Revient]]</f>
        <v>0</v>
      </c>
      <c r="AA1152" s="74">
        <f>Devis[[#This Row],[Prix de Revient]]*Devis[[#This Row],[Poste 6]]</f>
        <v>0</v>
      </c>
      <c r="AB1152" s="74">
        <f>Devis[[#This Row],[Quantité Totale]]*Devis[[#This Row],[Prix de Revient]]</f>
        <v>0</v>
      </c>
    </row>
    <row r="1153" spans="1:28" ht="15" customHeight="1" outlineLevel="1" x14ac:dyDescent="0.2">
      <c r="A1153" s="75" t="s">
        <v>624</v>
      </c>
      <c r="B1153" s="76" t="s">
        <v>807</v>
      </c>
      <c r="C1153" s="76"/>
      <c r="D1153" s="81" t="str">
        <f t="shared" si="21"/>
        <v>FlexiblesTricoclair</v>
      </c>
      <c r="E1153" s="73">
        <v>19</v>
      </c>
      <c r="F1153" s="81">
        <v>7</v>
      </c>
      <c r="G1153" s="71" t="s">
        <v>815</v>
      </c>
      <c r="H1153" s="71"/>
      <c r="I1153" s="71"/>
      <c r="J1153" s="70">
        <f>IFERROR(VLOOKUP(Devis[[#This Row],[Ref Air Flux]],#REF!,3,FALSE),0)</f>
        <v>0</v>
      </c>
      <c r="K1153" s="68"/>
      <c r="L1153" s="68"/>
      <c r="M1153" s="68"/>
      <c r="N1153" s="68"/>
      <c r="O1153" s="68"/>
      <c r="P1153" s="68"/>
      <c r="Q1153" s="68">
        <f>SUM(Devis[[#This Row],[Poste 1]:[Poste 6]])</f>
        <v>0</v>
      </c>
      <c r="R1153" s="71"/>
      <c r="S1153" s="68">
        <f>_xlfn.CEILING.MATH(Devis[[#This Row],[Quantité Totale]],Devis[[#This Row],[Conditionnement]])</f>
        <v>0</v>
      </c>
      <c r="T1153" s="72"/>
      <c r="U1153" s="73"/>
      <c r="V1153" s="74">
        <f>Devis[[#This Row],[Prix de Revient]]*Devis[[#This Row],[Poste 1]]</f>
        <v>0</v>
      </c>
      <c r="W1153" s="74">
        <f>Devis[[#This Row],[Prix de Revient]]*Devis[[#This Row],[Poste 2]]</f>
        <v>0</v>
      </c>
      <c r="X1153" s="74">
        <f>Devis[[#This Row],[Prix de Revient]]*Devis[[#This Row],[Poste 3]]</f>
        <v>0</v>
      </c>
      <c r="Y1153" s="74">
        <f>Devis[[#This Row],[Poste 4]]*Devis[[#This Row],[Prix de Revient]]</f>
        <v>0</v>
      </c>
      <c r="Z1153" s="74">
        <f>Devis[[#This Row],[Poste 5]]*Devis[[#This Row],[Prix de Revient]]</f>
        <v>0</v>
      </c>
      <c r="AA1153" s="74">
        <f>Devis[[#This Row],[Prix de Revient]]*Devis[[#This Row],[Poste 6]]</f>
        <v>0</v>
      </c>
      <c r="AB1153" s="74">
        <f>Devis[[#This Row],[Quantité Totale]]*Devis[[#This Row],[Prix de Revient]]</f>
        <v>0</v>
      </c>
    </row>
    <row r="1154" spans="1:28" ht="14.25" customHeight="1" outlineLevel="1" x14ac:dyDescent="0.2">
      <c r="A1154" s="75" t="s">
        <v>624</v>
      </c>
      <c r="B1154" s="76" t="s">
        <v>807</v>
      </c>
      <c r="C1154" s="76"/>
      <c r="D1154" s="81" t="str">
        <f t="shared" si="21"/>
        <v>FlexiblesTricoclair</v>
      </c>
      <c r="E1154" s="73">
        <v>25</v>
      </c>
      <c r="F1154" s="81">
        <v>8</v>
      </c>
      <c r="G1154" s="71" t="s">
        <v>816</v>
      </c>
      <c r="H1154" s="71"/>
      <c r="I1154" s="71"/>
      <c r="J1154" s="70">
        <f>IFERROR(VLOOKUP(Devis[[#This Row],[Ref Air Flux]],#REF!,3,FALSE),0)</f>
        <v>0</v>
      </c>
      <c r="K1154" s="68"/>
      <c r="L1154" s="68"/>
      <c r="M1154" s="68"/>
      <c r="N1154" s="68"/>
      <c r="O1154" s="68"/>
      <c r="P1154" s="68"/>
      <c r="Q1154" s="68">
        <f>SUM(Devis[[#This Row],[Poste 1]:[Poste 6]])</f>
        <v>0</v>
      </c>
      <c r="R1154" s="71"/>
      <c r="S1154" s="68">
        <f>_xlfn.CEILING.MATH(Devis[[#This Row],[Quantité Totale]],Devis[[#This Row],[Conditionnement]])</f>
        <v>0</v>
      </c>
      <c r="T1154" s="72"/>
      <c r="U1154" s="73"/>
      <c r="V1154" s="74">
        <f>Devis[[#This Row],[Prix de Revient]]*Devis[[#This Row],[Poste 1]]</f>
        <v>0</v>
      </c>
      <c r="W1154" s="74">
        <f>Devis[[#This Row],[Prix de Revient]]*Devis[[#This Row],[Poste 2]]</f>
        <v>0</v>
      </c>
      <c r="X1154" s="74">
        <f>Devis[[#This Row],[Prix de Revient]]*Devis[[#This Row],[Poste 3]]</f>
        <v>0</v>
      </c>
      <c r="Y1154" s="74">
        <f>Devis[[#This Row],[Poste 4]]*Devis[[#This Row],[Prix de Revient]]</f>
        <v>0</v>
      </c>
      <c r="Z1154" s="74">
        <f>Devis[[#This Row],[Poste 5]]*Devis[[#This Row],[Prix de Revient]]</f>
        <v>0</v>
      </c>
      <c r="AA1154" s="74">
        <f>Devis[[#This Row],[Prix de Revient]]*Devis[[#This Row],[Poste 6]]</f>
        <v>0</v>
      </c>
      <c r="AB1154" s="74">
        <f>Devis[[#This Row],[Quantité Totale]]*Devis[[#This Row],[Prix de Revient]]</f>
        <v>0</v>
      </c>
    </row>
    <row r="1155" spans="1:28" ht="14.25" outlineLevel="1" x14ac:dyDescent="0.2">
      <c r="A1155" s="75" t="s">
        <v>624</v>
      </c>
      <c r="B1155" s="76" t="s">
        <v>807</v>
      </c>
      <c r="C1155" s="76"/>
      <c r="D1155" s="81" t="str">
        <f t="shared" si="21"/>
        <v>FlexiblesTricoclair</v>
      </c>
      <c r="E1155" s="73">
        <v>32</v>
      </c>
      <c r="F1155" s="81">
        <v>9</v>
      </c>
      <c r="G1155" s="71" t="s">
        <v>817</v>
      </c>
      <c r="H1155" s="71"/>
      <c r="I1155" s="71"/>
      <c r="J1155" s="70">
        <f>IFERROR(VLOOKUP(Devis[[#This Row],[Ref Air Flux]],#REF!,3,FALSE),0)</f>
        <v>0</v>
      </c>
      <c r="K1155" s="68"/>
      <c r="L1155" s="68"/>
      <c r="M1155" s="68"/>
      <c r="N1155" s="68"/>
      <c r="O1155" s="68"/>
      <c r="P1155" s="68"/>
      <c r="Q1155" s="68">
        <f>SUM(Devis[[#This Row],[Poste 1]:[Poste 6]])</f>
        <v>0</v>
      </c>
      <c r="R1155" s="71"/>
      <c r="S1155" s="68">
        <f>_xlfn.CEILING.MATH(Devis[[#This Row],[Quantité Totale]],Devis[[#This Row],[Conditionnement]])</f>
        <v>0</v>
      </c>
      <c r="T1155" s="72"/>
      <c r="U1155" s="73"/>
      <c r="V1155" s="74">
        <f>Devis[[#This Row],[Prix de Revient]]*Devis[[#This Row],[Poste 1]]</f>
        <v>0</v>
      </c>
      <c r="W1155" s="74">
        <f>Devis[[#This Row],[Prix de Revient]]*Devis[[#This Row],[Poste 2]]</f>
        <v>0</v>
      </c>
      <c r="X1155" s="74">
        <f>Devis[[#This Row],[Prix de Revient]]*Devis[[#This Row],[Poste 3]]</f>
        <v>0</v>
      </c>
      <c r="Y1155" s="74">
        <f>Devis[[#This Row],[Poste 4]]*Devis[[#This Row],[Prix de Revient]]</f>
        <v>0</v>
      </c>
      <c r="Z1155" s="74">
        <f>Devis[[#This Row],[Poste 5]]*Devis[[#This Row],[Prix de Revient]]</f>
        <v>0</v>
      </c>
      <c r="AA1155" s="74">
        <f>Devis[[#This Row],[Prix de Revient]]*Devis[[#This Row],[Poste 6]]</f>
        <v>0</v>
      </c>
      <c r="AB1155" s="74">
        <f>Devis[[#This Row],[Quantité Totale]]*Devis[[#This Row],[Prix de Revient]]</f>
        <v>0</v>
      </c>
    </row>
    <row r="1156" spans="1:28" ht="14.25" outlineLevel="1" x14ac:dyDescent="0.2">
      <c r="A1156" s="75" t="s">
        <v>624</v>
      </c>
      <c r="B1156" s="76" t="s">
        <v>807</v>
      </c>
      <c r="C1156" s="76"/>
      <c r="D1156" s="81" t="str">
        <f t="shared" si="21"/>
        <v>FlexiblesTricoclair</v>
      </c>
      <c r="E1156" s="76"/>
      <c r="F1156" s="81">
        <v>10</v>
      </c>
      <c r="G1156" s="71"/>
      <c r="H1156" s="71"/>
      <c r="I1156" s="71"/>
      <c r="J1156" s="70">
        <f>IFERROR(VLOOKUP(Devis[[#This Row],[Ref Air Flux]],#REF!,3,FALSE),0)</f>
        <v>0</v>
      </c>
      <c r="K1156" s="68"/>
      <c r="L1156" s="68"/>
      <c r="M1156" s="68"/>
      <c r="N1156" s="68"/>
      <c r="O1156" s="68"/>
      <c r="P1156" s="68"/>
      <c r="Q1156" s="68">
        <f>SUM(Devis[[#This Row],[Poste 1]:[Poste 6]])</f>
        <v>0</v>
      </c>
      <c r="R1156" s="71"/>
      <c r="S1156" s="68">
        <f>_xlfn.CEILING.MATH(Devis[[#This Row],[Quantité Totale]],Devis[[#This Row],[Conditionnement]])</f>
        <v>0</v>
      </c>
      <c r="T1156" s="72"/>
      <c r="U1156" s="73"/>
      <c r="V1156" s="74">
        <f>Devis[[#This Row],[Prix de Revient]]*Devis[[#This Row],[Poste 1]]</f>
        <v>0</v>
      </c>
      <c r="W1156" s="74">
        <f>Devis[[#This Row],[Prix de Revient]]*Devis[[#This Row],[Poste 2]]</f>
        <v>0</v>
      </c>
      <c r="X1156" s="74">
        <f>Devis[[#This Row],[Prix de Revient]]*Devis[[#This Row],[Poste 3]]</f>
        <v>0</v>
      </c>
      <c r="Y1156" s="74">
        <f>Devis[[#This Row],[Poste 4]]*Devis[[#This Row],[Prix de Revient]]</f>
        <v>0</v>
      </c>
      <c r="Z1156" s="74">
        <f>Devis[[#This Row],[Poste 5]]*Devis[[#This Row],[Prix de Revient]]</f>
        <v>0</v>
      </c>
      <c r="AA1156" s="74">
        <f>Devis[[#This Row],[Prix de Revient]]*Devis[[#This Row],[Poste 6]]</f>
        <v>0</v>
      </c>
      <c r="AB1156" s="74">
        <f>Devis[[#This Row],[Quantité Totale]]*Devis[[#This Row],[Prix de Revient]]</f>
        <v>0</v>
      </c>
    </row>
    <row r="1157" spans="1:28" ht="15" customHeight="1" x14ac:dyDescent="0.25">
      <c r="A1157" s="65" t="s">
        <v>3557</v>
      </c>
      <c r="B1157" s="65" t="s">
        <v>818</v>
      </c>
      <c r="C1157" s="76"/>
      <c r="D1157" s="81" t="str">
        <f t="shared" si="21"/>
        <v>Galva1/2 bobines 530A</v>
      </c>
      <c r="E1157" s="76"/>
      <c r="F1157" s="81">
        <v>0</v>
      </c>
      <c r="G1157" s="86"/>
      <c r="H1157" s="71"/>
      <c r="I1157" s="75"/>
      <c r="J1157" s="70">
        <f>IFERROR(VLOOKUP(Devis[[#This Row],[Ref Air Flux]],#REF!,3,FALSE),0)</f>
        <v>0</v>
      </c>
      <c r="K1157" s="68"/>
      <c r="L1157" s="68"/>
      <c r="M1157" s="68"/>
      <c r="N1157" s="68"/>
      <c r="O1157" s="68"/>
      <c r="P1157" s="68"/>
      <c r="Q1157" s="68">
        <f>SUM(Devis[[#This Row],[Poste 1]:[Poste 6]])</f>
        <v>0</v>
      </c>
      <c r="R1157" s="71"/>
      <c r="S1157" s="68">
        <f>_xlfn.CEILING.MATH(Devis[[#This Row],[Quantité Totale]],Devis[[#This Row],[Conditionnement]])</f>
        <v>0</v>
      </c>
      <c r="T1157" s="72"/>
      <c r="U1157" s="106"/>
      <c r="V1157" s="74">
        <f>Devis[[#This Row],[Prix de Revient]]*Devis[[#This Row],[Poste 1]]</f>
        <v>0</v>
      </c>
      <c r="W1157" s="74">
        <f>Devis[[#This Row],[Prix de Revient]]*Devis[[#This Row],[Poste 2]]</f>
        <v>0</v>
      </c>
      <c r="X1157" s="74">
        <f>Devis[[#This Row],[Prix de Revient]]*Devis[[#This Row],[Poste 3]]</f>
        <v>0</v>
      </c>
      <c r="Y1157" s="74">
        <f>Devis[[#This Row],[Poste 4]]*Devis[[#This Row],[Prix de Revient]]</f>
        <v>0</v>
      </c>
      <c r="Z1157" s="74">
        <f>Devis[[#This Row],[Poste 5]]*Devis[[#This Row],[Prix de Revient]]</f>
        <v>0</v>
      </c>
      <c r="AA1157" s="74">
        <f>Devis[[#This Row],[Prix de Revient]]*Devis[[#This Row],[Poste 6]]</f>
        <v>0</v>
      </c>
      <c r="AB1157" s="74">
        <f>Devis[[#This Row],[Quantité Totale]]*Devis[[#This Row],[Prix de Revient]]</f>
        <v>0</v>
      </c>
    </row>
    <row r="1158" spans="1:28" ht="14.25" outlineLevel="1" x14ac:dyDescent="0.2">
      <c r="A1158" s="75" t="s">
        <v>3557</v>
      </c>
      <c r="B1158" s="76" t="s">
        <v>818</v>
      </c>
      <c r="C1158" s="107"/>
      <c r="D1158" s="81" t="str">
        <f t="shared" si="21"/>
        <v>Galva1/2 bobines 530A</v>
      </c>
      <c r="E1158" s="76" t="s">
        <v>19</v>
      </c>
      <c r="F1158" s="81">
        <v>1</v>
      </c>
      <c r="G1158" s="86" t="s">
        <v>825</v>
      </c>
      <c r="H1158" s="71"/>
      <c r="I1158" s="105"/>
      <c r="J1158" s="70">
        <f>IFERROR(VLOOKUP(Devis[[#This Row],[Ref Air Flux]],#REF!,3,FALSE),0)</f>
        <v>0</v>
      </c>
      <c r="K1158" s="68"/>
      <c r="L1158" s="68"/>
      <c r="M1158" s="68"/>
      <c r="N1158" s="68"/>
      <c r="O1158" s="68"/>
      <c r="P1158" s="68"/>
      <c r="Q1158" s="68">
        <f>SUM(Devis[[#This Row],[Poste 1]:[Poste 6]])</f>
        <v>0</v>
      </c>
      <c r="R1158" s="71"/>
      <c r="S1158" s="68">
        <f>_xlfn.CEILING.MATH(Devis[[#This Row],[Quantité Totale]],Devis[[#This Row],[Conditionnement]])</f>
        <v>0</v>
      </c>
      <c r="T1158" s="72"/>
      <c r="U1158" s="106"/>
      <c r="V1158" s="74">
        <f>Devis[[#This Row],[Prix de Revient]]*Devis[[#This Row],[Poste 1]]</f>
        <v>0</v>
      </c>
      <c r="W1158" s="74">
        <f>Devis[[#This Row],[Prix de Revient]]*Devis[[#This Row],[Poste 2]]</f>
        <v>0</v>
      </c>
      <c r="X1158" s="74">
        <f>Devis[[#This Row],[Prix de Revient]]*Devis[[#This Row],[Poste 3]]</f>
        <v>0</v>
      </c>
      <c r="Y1158" s="74">
        <f>Devis[[#This Row],[Poste 4]]*Devis[[#This Row],[Prix de Revient]]</f>
        <v>0</v>
      </c>
      <c r="Z1158" s="74">
        <f>Devis[[#This Row],[Poste 5]]*Devis[[#This Row],[Prix de Revient]]</f>
        <v>0</v>
      </c>
      <c r="AA1158" s="74">
        <f>Devis[[#This Row],[Prix de Revient]]*Devis[[#This Row],[Poste 6]]</f>
        <v>0</v>
      </c>
      <c r="AB1158" s="74">
        <f>Devis[[#This Row],[Quantité Totale]]*Devis[[#This Row],[Prix de Revient]]</f>
        <v>0</v>
      </c>
    </row>
    <row r="1159" spans="1:28" ht="14.25" outlineLevel="1" x14ac:dyDescent="0.2">
      <c r="A1159" s="75" t="s">
        <v>3557</v>
      </c>
      <c r="B1159" s="76" t="s">
        <v>818</v>
      </c>
      <c r="C1159" s="107"/>
      <c r="D1159" s="81" t="str">
        <f t="shared" si="21"/>
        <v>Galva1/2 bobines 530A</v>
      </c>
      <c r="E1159" s="76" t="s">
        <v>21</v>
      </c>
      <c r="F1159" s="81">
        <v>2</v>
      </c>
      <c r="G1159" s="86" t="s">
        <v>824</v>
      </c>
      <c r="H1159" s="71"/>
      <c r="I1159" s="105"/>
      <c r="J1159" s="70">
        <f>IFERROR(VLOOKUP(Devis[[#This Row],[Ref Air Flux]],#REF!,3,FALSE),0)</f>
        <v>0</v>
      </c>
      <c r="K1159" s="68"/>
      <c r="L1159" s="68"/>
      <c r="M1159" s="68"/>
      <c r="N1159" s="68"/>
      <c r="O1159" s="68"/>
      <c r="P1159" s="68"/>
      <c r="Q1159" s="68">
        <f>SUM(Devis[[#This Row],[Poste 1]:[Poste 6]])</f>
        <v>0</v>
      </c>
      <c r="R1159" s="71"/>
      <c r="S1159" s="68">
        <f>_xlfn.CEILING.MATH(Devis[[#This Row],[Quantité Totale]],Devis[[#This Row],[Conditionnement]])</f>
        <v>0</v>
      </c>
      <c r="T1159" s="72"/>
      <c r="U1159" s="106"/>
      <c r="V1159" s="74">
        <f>Devis[[#This Row],[Prix de Revient]]*Devis[[#This Row],[Poste 1]]</f>
        <v>0</v>
      </c>
      <c r="W1159" s="74">
        <f>Devis[[#This Row],[Prix de Revient]]*Devis[[#This Row],[Poste 2]]</f>
        <v>0</v>
      </c>
      <c r="X1159" s="74">
        <f>Devis[[#This Row],[Prix de Revient]]*Devis[[#This Row],[Poste 3]]</f>
        <v>0</v>
      </c>
      <c r="Y1159" s="74">
        <f>Devis[[#This Row],[Poste 4]]*Devis[[#This Row],[Prix de Revient]]</f>
        <v>0</v>
      </c>
      <c r="Z1159" s="74">
        <f>Devis[[#This Row],[Poste 5]]*Devis[[#This Row],[Prix de Revient]]</f>
        <v>0</v>
      </c>
      <c r="AA1159" s="74">
        <f>Devis[[#This Row],[Prix de Revient]]*Devis[[#This Row],[Poste 6]]</f>
        <v>0</v>
      </c>
      <c r="AB1159" s="74">
        <f>Devis[[#This Row],[Quantité Totale]]*Devis[[#This Row],[Prix de Revient]]</f>
        <v>0</v>
      </c>
    </row>
    <row r="1160" spans="1:28" ht="15" customHeight="1" outlineLevel="1" x14ac:dyDescent="0.2">
      <c r="A1160" s="75" t="s">
        <v>3557</v>
      </c>
      <c r="B1160" s="76" t="s">
        <v>818</v>
      </c>
      <c r="C1160" s="107"/>
      <c r="D1160" s="81" t="str">
        <f t="shared" si="21"/>
        <v>Galva1/2 bobines 530A</v>
      </c>
      <c r="E1160" s="80" t="s">
        <v>17</v>
      </c>
      <c r="F1160" s="81">
        <v>3</v>
      </c>
      <c r="G1160" s="86" t="s">
        <v>826</v>
      </c>
      <c r="H1160" s="71"/>
      <c r="I1160" s="105"/>
      <c r="J1160" s="70">
        <f>IFERROR(VLOOKUP(Devis[[#This Row],[Ref Air Flux]],#REF!,3,FALSE),0)</f>
        <v>0</v>
      </c>
      <c r="K1160" s="68"/>
      <c r="L1160" s="68"/>
      <c r="M1160" s="68"/>
      <c r="N1160" s="68"/>
      <c r="O1160" s="68"/>
      <c r="P1160" s="68"/>
      <c r="Q1160" s="68">
        <f>SUM(Devis[[#This Row],[Poste 1]:[Poste 6]])</f>
        <v>0</v>
      </c>
      <c r="R1160" s="71"/>
      <c r="S1160" s="68">
        <f>_xlfn.CEILING.MATH(Devis[[#This Row],[Quantité Totale]],Devis[[#This Row],[Conditionnement]])</f>
        <v>0</v>
      </c>
      <c r="T1160" s="72"/>
      <c r="U1160" s="106"/>
      <c r="V1160" s="74">
        <f>Devis[[#This Row],[Prix de Revient]]*Devis[[#This Row],[Poste 1]]</f>
        <v>0</v>
      </c>
      <c r="W1160" s="74">
        <f>Devis[[#This Row],[Prix de Revient]]*Devis[[#This Row],[Poste 2]]</f>
        <v>0</v>
      </c>
      <c r="X1160" s="74">
        <f>Devis[[#This Row],[Prix de Revient]]*Devis[[#This Row],[Poste 3]]</f>
        <v>0</v>
      </c>
      <c r="Y1160" s="74">
        <f>Devis[[#This Row],[Poste 4]]*Devis[[#This Row],[Prix de Revient]]</f>
        <v>0</v>
      </c>
      <c r="Z1160" s="74">
        <f>Devis[[#This Row],[Poste 5]]*Devis[[#This Row],[Prix de Revient]]</f>
        <v>0</v>
      </c>
      <c r="AA1160" s="74">
        <f>Devis[[#This Row],[Prix de Revient]]*Devis[[#This Row],[Poste 6]]</f>
        <v>0</v>
      </c>
      <c r="AB1160" s="74">
        <f>Devis[[#This Row],[Quantité Totale]]*Devis[[#This Row],[Prix de Revient]]</f>
        <v>0</v>
      </c>
    </row>
    <row r="1161" spans="1:28" ht="14.25" outlineLevel="1" x14ac:dyDescent="0.2">
      <c r="A1161" s="75" t="s">
        <v>3557</v>
      </c>
      <c r="B1161" s="76" t="s">
        <v>818</v>
      </c>
      <c r="C1161" s="107"/>
      <c r="D1161" s="81" t="str">
        <f t="shared" si="21"/>
        <v>Galva1/2 bobines 530A</v>
      </c>
      <c r="E1161" s="76" t="s">
        <v>0</v>
      </c>
      <c r="F1161" s="81">
        <v>4</v>
      </c>
      <c r="G1161" s="86" t="s">
        <v>823</v>
      </c>
      <c r="H1161" s="71"/>
      <c r="I1161" s="105"/>
      <c r="J1161" s="70">
        <f>IFERROR(VLOOKUP(Devis[[#This Row],[Ref Air Flux]],#REF!,3,FALSE),0)</f>
        <v>0</v>
      </c>
      <c r="K1161" s="68"/>
      <c r="L1161" s="68"/>
      <c r="M1161" s="68"/>
      <c r="N1161" s="68"/>
      <c r="O1161" s="68"/>
      <c r="P1161" s="68"/>
      <c r="Q1161" s="68">
        <f>SUM(Devis[[#This Row],[Poste 1]:[Poste 6]])</f>
        <v>0</v>
      </c>
      <c r="R1161" s="71"/>
      <c r="S1161" s="68">
        <f>_xlfn.CEILING.MATH(Devis[[#This Row],[Quantité Totale]],Devis[[#This Row],[Conditionnement]])</f>
        <v>0</v>
      </c>
      <c r="T1161" s="72"/>
      <c r="U1161" s="106"/>
      <c r="V1161" s="74">
        <f>Devis[[#This Row],[Prix de Revient]]*Devis[[#This Row],[Poste 1]]</f>
        <v>0</v>
      </c>
      <c r="W1161" s="74">
        <f>Devis[[#This Row],[Prix de Revient]]*Devis[[#This Row],[Poste 2]]</f>
        <v>0</v>
      </c>
      <c r="X1161" s="74">
        <f>Devis[[#This Row],[Prix de Revient]]*Devis[[#This Row],[Poste 3]]</f>
        <v>0</v>
      </c>
      <c r="Y1161" s="74">
        <f>Devis[[#This Row],[Poste 4]]*Devis[[#This Row],[Prix de Revient]]</f>
        <v>0</v>
      </c>
      <c r="Z1161" s="74">
        <f>Devis[[#This Row],[Poste 5]]*Devis[[#This Row],[Prix de Revient]]</f>
        <v>0</v>
      </c>
      <c r="AA1161" s="74">
        <f>Devis[[#This Row],[Prix de Revient]]*Devis[[#This Row],[Poste 6]]</f>
        <v>0</v>
      </c>
      <c r="AB1161" s="74">
        <f>Devis[[#This Row],[Quantité Totale]]*Devis[[#This Row],[Prix de Revient]]</f>
        <v>0</v>
      </c>
    </row>
    <row r="1162" spans="1:28" ht="14.25" outlineLevel="1" x14ac:dyDescent="0.2">
      <c r="A1162" s="75" t="s">
        <v>3557</v>
      </c>
      <c r="B1162" s="76" t="s">
        <v>818</v>
      </c>
      <c r="C1162" s="107"/>
      <c r="D1162" s="81" t="str">
        <f t="shared" si="21"/>
        <v>Galva1/2 bobines 530A</v>
      </c>
      <c r="E1162" s="76" t="s">
        <v>49</v>
      </c>
      <c r="F1162" s="81">
        <v>5</v>
      </c>
      <c r="G1162" s="86" t="s">
        <v>820</v>
      </c>
      <c r="H1162" s="71"/>
      <c r="I1162" s="105"/>
      <c r="J1162" s="70">
        <f>IFERROR(VLOOKUP(Devis[[#This Row],[Ref Air Flux]],#REF!,3,FALSE),0)</f>
        <v>0</v>
      </c>
      <c r="K1162" s="68"/>
      <c r="L1162" s="68"/>
      <c r="M1162" s="68"/>
      <c r="N1162" s="68"/>
      <c r="O1162" s="68"/>
      <c r="P1162" s="68"/>
      <c r="Q1162" s="68">
        <f>SUM(Devis[[#This Row],[Poste 1]:[Poste 6]])</f>
        <v>0</v>
      </c>
      <c r="R1162" s="71"/>
      <c r="S1162" s="68">
        <f>_xlfn.CEILING.MATH(Devis[[#This Row],[Quantité Totale]],Devis[[#This Row],[Conditionnement]])</f>
        <v>0</v>
      </c>
      <c r="T1162" s="72"/>
      <c r="U1162" s="106"/>
      <c r="V1162" s="74">
        <f>Devis[[#This Row],[Prix de Revient]]*Devis[[#This Row],[Poste 1]]</f>
        <v>0</v>
      </c>
      <c r="W1162" s="74">
        <f>Devis[[#This Row],[Prix de Revient]]*Devis[[#This Row],[Poste 2]]</f>
        <v>0</v>
      </c>
      <c r="X1162" s="74">
        <f>Devis[[#This Row],[Prix de Revient]]*Devis[[#This Row],[Poste 3]]</f>
        <v>0</v>
      </c>
      <c r="Y1162" s="74">
        <f>Devis[[#This Row],[Poste 4]]*Devis[[#This Row],[Prix de Revient]]</f>
        <v>0</v>
      </c>
      <c r="Z1162" s="74">
        <f>Devis[[#This Row],[Poste 5]]*Devis[[#This Row],[Prix de Revient]]</f>
        <v>0</v>
      </c>
      <c r="AA1162" s="74">
        <f>Devis[[#This Row],[Prix de Revient]]*Devis[[#This Row],[Poste 6]]</f>
        <v>0</v>
      </c>
      <c r="AB1162" s="74">
        <f>Devis[[#This Row],[Quantité Totale]]*Devis[[#This Row],[Prix de Revient]]</f>
        <v>0</v>
      </c>
    </row>
    <row r="1163" spans="1:28" ht="14.25" outlineLevel="1" x14ac:dyDescent="0.2">
      <c r="A1163" s="75" t="s">
        <v>3557</v>
      </c>
      <c r="B1163" s="76" t="s">
        <v>818</v>
      </c>
      <c r="C1163" s="107"/>
      <c r="D1163" s="81" t="str">
        <f t="shared" si="21"/>
        <v>Galva1/2 bobines 530A</v>
      </c>
      <c r="E1163" s="76" t="s">
        <v>821</v>
      </c>
      <c r="F1163" s="81">
        <v>6</v>
      </c>
      <c r="G1163" s="86" t="s">
        <v>822</v>
      </c>
      <c r="H1163" s="71"/>
      <c r="I1163" s="105"/>
      <c r="J1163" s="70">
        <f>IFERROR(VLOOKUP(Devis[[#This Row],[Ref Air Flux]],#REF!,3,FALSE),0)</f>
        <v>0</v>
      </c>
      <c r="K1163" s="68"/>
      <c r="L1163" s="68"/>
      <c r="M1163" s="68"/>
      <c r="N1163" s="68"/>
      <c r="O1163" s="68"/>
      <c r="P1163" s="68"/>
      <c r="Q1163" s="68">
        <f>SUM(Devis[[#This Row],[Poste 1]:[Poste 6]])</f>
        <v>0</v>
      </c>
      <c r="R1163" s="71"/>
      <c r="S1163" s="68">
        <f>_xlfn.CEILING.MATH(Devis[[#This Row],[Quantité Totale]],Devis[[#This Row],[Conditionnement]])</f>
        <v>0</v>
      </c>
      <c r="T1163" s="72"/>
      <c r="U1163" s="106"/>
      <c r="V1163" s="74">
        <f>Devis[[#This Row],[Prix de Revient]]*Devis[[#This Row],[Poste 1]]</f>
        <v>0</v>
      </c>
      <c r="W1163" s="74">
        <f>Devis[[#This Row],[Prix de Revient]]*Devis[[#This Row],[Poste 2]]</f>
        <v>0</v>
      </c>
      <c r="X1163" s="74">
        <f>Devis[[#This Row],[Prix de Revient]]*Devis[[#This Row],[Poste 3]]</f>
        <v>0</v>
      </c>
      <c r="Y1163" s="74">
        <f>Devis[[#This Row],[Poste 4]]*Devis[[#This Row],[Prix de Revient]]</f>
        <v>0</v>
      </c>
      <c r="Z1163" s="74">
        <f>Devis[[#This Row],[Poste 5]]*Devis[[#This Row],[Prix de Revient]]</f>
        <v>0</v>
      </c>
      <c r="AA1163" s="74">
        <f>Devis[[#This Row],[Prix de Revient]]*Devis[[#This Row],[Poste 6]]</f>
        <v>0</v>
      </c>
      <c r="AB1163" s="74">
        <f>Devis[[#This Row],[Quantité Totale]]*Devis[[#This Row],[Prix de Revient]]</f>
        <v>0</v>
      </c>
    </row>
    <row r="1164" spans="1:28" ht="14.25" outlineLevel="1" x14ac:dyDescent="0.2">
      <c r="A1164" s="75" t="s">
        <v>3557</v>
      </c>
      <c r="B1164" s="76" t="s">
        <v>818</v>
      </c>
      <c r="C1164" s="107"/>
      <c r="D1164" s="81" t="str">
        <f t="shared" si="21"/>
        <v>Galva1/2 bobines 530A</v>
      </c>
      <c r="E1164" s="76" t="s">
        <v>25</v>
      </c>
      <c r="F1164" s="81">
        <v>7</v>
      </c>
      <c r="G1164" s="86" t="s">
        <v>819</v>
      </c>
      <c r="H1164" s="71"/>
      <c r="I1164" s="105"/>
      <c r="J1164" s="70">
        <f>IFERROR(VLOOKUP(Devis[[#This Row],[Ref Air Flux]],#REF!,3,FALSE),0)</f>
        <v>0</v>
      </c>
      <c r="K1164" s="68"/>
      <c r="L1164" s="68"/>
      <c r="M1164" s="68"/>
      <c r="N1164" s="68"/>
      <c r="O1164" s="68"/>
      <c r="P1164" s="68"/>
      <c r="Q1164" s="68">
        <f>SUM(Devis[[#This Row],[Poste 1]:[Poste 6]])</f>
        <v>0</v>
      </c>
      <c r="R1164" s="71"/>
      <c r="S1164" s="68">
        <f>_xlfn.CEILING.MATH(Devis[[#This Row],[Quantité Totale]],Devis[[#This Row],[Conditionnement]])</f>
        <v>0</v>
      </c>
      <c r="T1164" s="72"/>
      <c r="U1164" s="106"/>
      <c r="V1164" s="74">
        <f>Devis[[#This Row],[Prix de Revient]]*Devis[[#This Row],[Poste 1]]</f>
        <v>0</v>
      </c>
      <c r="W1164" s="74">
        <f>Devis[[#This Row],[Prix de Revient]]*Devis[[#This Row],[Poste 2]]</f>
        <v>0</v>
      </c>
      <c r="X1164" s="74">
        <f>Devis[[#This Row],[Prix de Revient]]*Devis[[#This Row],[Poste 3]]</f>
        <v>0</v>
      </c>
      <c r="Y1164" s="74">
        <f>Devis[[#This Row],[Poste 4]]*Devis[[#This Row],[Prix de Revient]]</f>
        <v>0</v>
      </c>
      <c r="Z1164" s="74">
        <f>Devis[[#This Row],[Poste 5]]*Devis[[#This Row],[Prix de Revient]]</f>
        <v>0</v>
      </c>
      <c r="AA1164" s="74">
        <f>Devis[[#This Row],[Prix de Revient]]*Devis[[#This Row],[Poste 6]]</f>
        <v>0</v>
      </c>
      <c r="AB1164" s="74">
        <f>Devis[[#This Row],[Quantité Totale]]*Devis[[#This Row],[Prix de Revient]]</f>
        <v>0</v>
      </c>
    </row>
    <row r="1165" spans="1:28" ht="14.25" customHeight="1" x14ac:dyDescent="0.25">
      <c r="A1165" s="65" t="s">
        <v>3557</v>
      </c>
      <c r="B1165" s="65" t="s">
        <v>827</v>
      </c>
      <c r="C1165" s="76"/>
      <c r="D1165" s="81" t="str">
        <f t="shared" si="21"/>
        <v>GalvaBobines 530</v>
      </c>
      <c r="E1165" s="76"/>
      <c r="F1165" s="81">
        <v>0</v>
      </c>
      <c r="G1165" s="86"/>
      <c r="H1165" s="71"/>
      <c r="I1165" s="75"/>
      <c r="J1165" s="70">
        <f>IFERROR(VLOOKUP(Devis[[#This Row],[Ref Air Flux]],#REF!,3,FALSE),0)</f>
        <v>0</v>
      </c>
      <c r="K1165" s="68"/>
      <c r="L1165" s="68"/>
      <c r="M1165" s="68"/>
      <c r="N1165" s="68"/>
      <c r="O1165" s="68"/>
      <c r="P1165" s="68"/>
      <c r="Q1165" s="68">
        <f>SUM(Devis[[#This Row],[Poste 1]:[Poste 6]])</f>
        <v>0</v>
      </c>
      <c r="R1165" s="71"/>
      <c r="S1165" s="68">
        <f>_xlfn.CEILING.MATH(Devis[[#This Row],[Quantité Totale]],Devis[[#This Row],[Conditionnement]])</f>
        <v>0</v>
      </c>
      <c r="T1165" s="72"/>
      <c r="U1165" s="106"/>
      <c r="V1165" s="74">
        <f>Devis[[#This Row],[Prix de Revient]]*Devis[[#This Row],[Poste 1]]</f>
        <v>0</v>
      </c>
      <c r="W1165" s="74">
        <f>Devis[[#This Row],[Prix de Revient]]*Devis[[#This Row],[Poste 2]]</f>
        <v>0</v>
      </c>
      <c r="X1165" s="74">
        <f>Devis[[#This Row],[Prix de Revient]]*Devis[[#This Row],[Poste 3]]</f>
        <v>0</v>
      </c>
      <c r="Y1165" s="74">
        <f>Devis[[#This Row],[Poste 4]]*Devis[[#This Row],[Prix de Revient]]</f>
        <v>0</v>
      </c>
      <c r="Z1165" s="74">
        <f>Devis[[#This Row],[Poste 5]]*Devis[[#This Row],[Prix de Revient]]</f>
        <v>0</v>
      </c>
      <c r="AA1165" s="74">
        <f>Devis[[#This Row],[Prix de Revient]]*Devis[[#This Row],[Poste 6]]</f>
        <v>0</v>
      </c>
      <c r="AB1165" s="74">
        <f>Devis[[#This Row],[Quantité Totale]]*Devis[[#This Row],[Prix de Revient]]</f>
        <v>0</v>
      </c>
    </row>
    <row r="1166" spans="1:28" ht="14.25" customHeight="1" outlineLevel="1" x14ac:dyDescent="0.2">
      <c r="A1166" s="75" t="s">
        <v>3557</v>
      </c>
      <c r="B1166" s="76" t="s">
        <v>827</v>
      </c>
      <c r="C1166" s="107" t="s">
        <v>1943</v>
      </c>
      <c r="D1166" s="81" t="str">
        <f t="shared" si="21"/>
        <v>GalvaBobines 5301/2"</v>
      </c>
      <c r="E1166" s="80" t="s">
        <v>890</v>
      </c>
      <c r="F1166" s="81">
        <v>1</v>
      </c>
      <c r="G1166" s="86" t="s">
        <v>891</v>
      </c>
      <c r="H1166" s="71"/>
      <c r="I1166" s="105"/>
      <c r="J1166" s="70">
        <f>IFERROR(VLOOKUP(Devis[[#This Row],[Ref Air Flux]],#REF!,3,FALSE),0)</f>
        <v>0</v>
      </c>
      <c r="K1166" s="68"/>
      <c r="L1166" s="68"/>
      <c r="M1166" s="68"/>
      <c r="N1166" s="68"/>
      <c r="O1166" s="68"/>
      <c r="P1166" s="68"/>
      <c r="Q1166" s="68">
        <f>SUM(Devis[[#This Row],[Poste 1]:[Poste 6]])</f>
        <v>0</v>
      </c>
      <c r="R1166" s="71"/>
      <c r="S1166" s="68">
        <f>_xlfn.CEILING.MATH(Devis[[#This Row],[Quantité Totale]],Devis[[#This Row],[Conditionnement]])</f>
        <v>0</v>
      </c>
      <c r="T1166" s="72"/>
      <c r="U1166" s="106"/>
      <c r="V1166" s="74">
        <f>Devis[[#This Row],[Prix de Revient]]*Devis[[#This Row],[Poste 1]]</f>
        <v>0</v>
      </c>
      <c r="W1166" s="74">
        <f>Devis[[#This Row],[Prix de Revient]]*Devis[[#This Row],[Poste 2]]</f>
        <v>0</v>
      </c>
      <c r="X1166" s="74">
        <f>Devis[[#This Row],[Prix de Revient]]*Devis[[#This Row],[Poste 3]]</f>
        <v>0</v>
      </c>
      <c r="Y1166" s="74">
        <f>Devis[[#This Row],[Poste 4]]*Devis[[#This Row],[Prix de Revient]]</f>
        <v>0</v>
      </c>
      <c r="Z1166" s="74">
        <f>Devis[[#This Row],[Poste 5]]*Devis[[#This Row],[Prix de Revient]]</f>
        <v>0</v>
      </c>
      <c r="AA1166" s="74">
        <f>Devis[[#This Row],[Prix de Revient]]*Devis[[#This Row],[Poste 6]]</f>
        <v>0</v>
      </c>
      <c r="AB1166" s="74">
        <f>Devis[[#This Row],[Quantité Totale]]*Devis[[#This Row],[Prix de Revient]]</f>
        <v>0</v>
      </c>
    </row>
    <row r="1167" spans="1:28" ht="14.25" outlineLevel="1" x14ac:dyDescent="0.2">
      <c r="A1167" s="75" t="s">
        <v>3557</v>
      </c>
      <c r="B1167" s="76" t="s">
        <v>827</v>
      </c>
      <c r="C1167" s="107" t="s">
        <v>1943</v>
      </c>
      <c r="D1167" s="81" t="str">
        <f t="shared" si="21"/>
        <v>GalvaBobines 5301/2"</v>
      </c>
      <c r="E1167" s="80" t="s">
        <v>892</v>
      </c>
      <c r="F1167" s="81">
        <v>2</v>
      </c>
      <c r="G1167" s="86" t="s">
        <v>893</v>
      </c>
      <c r="H1167" s="71"/>
      <c r="I1167" s="105"/>
      <c r="J1167" s="70">
        <f>IFERROR(VLOOKUP(Devis[[#This Row],[Ref Air Flux]],#REF!,3,FALSE),0)</f>
        <v>0</v>
      </c>
      <c r="K1167" s="68"/>
      <c r="L1167" s="68"/>
      <c r="M1167" s="68"/>
      <c r="N1167" s="68"/>
      <c r="O1167" s="68"/>
      <c r="P1167" s="68"/>
      <c r="Q1167" s="68">
        <f>SUM(Devis[[#This Row],[Poste 1]:[Poste 6]])</f>
        <v>0</v>
      </c>
      <c r="R1167" s="71"/>
      <c r="S1167" s="68">
        <f>_xlfn.CEILING.MATH(Devis[[#This Row],[Quantité Totale]],Devis[[#This Row],[Conditionnement]])</f>
        <v>0</v>
      </c>
      <c r="T1167" s="72"/>
      <c r="U1167" s="106"/>
      <c r="V1167" s="74">
        <f>Devis[[#This Row],[Prix de Revient]]*Devis[[#This Row],[Poste 1]]</f>
        <v>0</v>
      </c>
      <c r="W1167" s="74">
        <f>Devis[[#This Row],[Prix de Revient]]*Devis[[#This Row],[Poste 2]]</f>
        <v>0</v>
      </c>
      <c r="X1167" s="74">
        <f>Devis[[#This Row],[Prix de Revient]]*Devis[[#This Row],[Poste 3]]</f>
        <v>0</v>
      </c>
      <c r="Y1167" s="74">
        <f>Devis[[#This Row],[Poste 4]]*Devis[[#This Row],[Prix de Revient]]</f>
        <v>0</v>
      </c>
      <c r="Z1167" s="74">
        <f>Devis[[#This Row],[Poste 5]]*Devis[[#This Row],[Prix de Revient]]</f>
        <v>0</v>
      </c>
      <c r="AA1167" s="74">
        <f>Devis[[#This Row],[Prix de Revient]]*Devis[[#This Row],[Poste 6]]</f>
        <v>0</v>
      </c>
      <c r="AB1167" s="74">
        <f>Devis[[#This Row],[Quantité Totale]]*Devis[[#This Row],[Prix de Revient]]</f>
        <v>0</v>
      </c>
    </row>
    <row r="1168" spans="1:28" ht="14.25" outlineLevel="1" x14ac:dyDescent="0.2">
      <c r="A1168" s="75" t="s">
        <v>3557</v>
      </c>
      <c r="B1168" s="76" t="s">
        <v>827</v>
      </c>
      <c r="C1168" s="107" t="s">
        <v>1943</v>
      </c>
      <c r="D1168" s="81" t="str">
        <f t="shared" si="21"/>
        <v>GalvaBobines 5301/2"</v>
      </c>
      <c r="E1168" s="80" t="s">
        <v>894</v>
      </c>
      <c r="F1168" s="81">
        <v>3</v>
      </c>
      <c r="G1168" s="86" t="s">
        <v>895</v>
      </c>
      <c r="H1168" s="71"/>
      <c r="I1168" s="105"/>
      <c r="J1168" s="70">
        <f>IFERROR(VLOOKUP(Devis[[#This Row],[Ref Air Flux]],#REF!,3,FALSE),0)</f>
        <v>0</v>
      </c>
      <c r="K1168" s="68"/>
      <c r="L1168" s="68"/>
      <c r="M1168" s="68"/>
      <c r="N1168" s="68"/>
      <c r="O1168" s="68"/>
      <c r="P1168" s="68"/>
      <c r="Q1168" s="68">
        <f>SUM(Devis[[#This Row],[Poste 1]:[Poste 6]])</f>
        <v>0</v>
      </c>
      <c r="R1168" s="71"/>
      <c r="S1168" s="68">
        <f>_xlfn.CEILING.MATH(Devis[[#This Row],[Quantité Totale]],Devis[[#This Row],[Conditionnement]])</f>
        <v>0</v>
      </c>
      <c r="T1168" s="72"/>
      <c r="U1168" s="106"/>
      <c r="V1168" s="74">
        <f>Devis[[#This Row],[Prix de Revient]]*Devis[[#This Row],[Poste 1]]</f>
        <v>0</v>
      </c>
      <c r="W1168" s="74">
        <f>Devis[[#This Row],[Prix de Revient]]*Devis[[#This Row],[Poste 2]]</f>
        <v>0</v>
      </c>
      <c r="X1168" s="74">
        <f>Devis[[#This Row],[Prix de Revient]]*Devis[[#This Row],[Poste 3]]</f>
        <v>0</v>
      </c>
      <c r="Y1168" s="74">
        <f>Devis[[#This Row],[Poste 4]]*Devis[[#This Row],[Prix de Revient]]</f>
        <v>0</v>
      </c>
      <c r="Z1168" s="74">
        <f>Devis[[#This Row],[Poste 5]]*Devis[[#This Row],[Prix de Revient]]</f>
        <v>0</v>
      </c>
      <c r="AA1168" s="74">
        <f>Devis[[#This Row],[Prix de Revient]]*Devis[[#This Row],[Poste 6]]</f>
        <v>0</v>
      </c>
      <c r="AB1168" s="74">
        <f>Devis[[#This Row],[Quantité Totale]]*Devis[[#This Row],[Prix de Revient]]</f>
        <v>0</v>
      </c>
    </row>
    <row r="1169" spans="1:28" ht="14.25" outlineLevel="1" x14ac:dyDescent="0.2">
      <c r="A1169" s="75" t="s">
        <v>3557</v>
      </c>
      <c r="B1169" s="76" t="s">
        <v>827</v>
      </c>
      <c r="C1169" s="107" t="s">
        <v>19</v>
      </c>
      <c r="D1169" s="81" t="str">
        <f t="shared" si="21"/>
        <v>GalvaBobines 5301"</v>
      </c>
      <c r="E1169" s="76" t="s">
        <v>19</v>
      </c>
      <c r="F1169" s="81">
        <v>4</v>
      </c>
      <c r="G1169" s="86" t="s">
        <v>870</v>
      </c>
      <c r="H1169" s="71"/>
      <c r="I1169" s="105"/>
      <c r="J1169" s="70">
        <f>IFERROR(VLOOKUP(Devis[[#This Row],[Ref Air Flux]],#REF!,3,FALSE),0)</f>
        <v>0</v>
      </c>
      <c r="K1169" s="68"/>
      <c r="L1169" s="68"/>
      <c r="M1169" s="68"/>
      <c r="N1169" s="68"/>
      <c r="O1169" s="68"/>
      <c r="P1169" s="68"/>
      <c r="Q1169" s="68">
        <f>SUM(Devis[[#This Row],[Poste 1]:[Poste 6]])</f>
        <v>0</v>
      </c>
      <c r="R1169" s="71"/>
      <c r="S1169" s="68">
        <f>_xlfn.CEILING.MATH(Devis[[#This Row],[Quantité Totale]],Devis[[#This Row],[Conditionnement]])</f>
        <v>0</v>
      </c>
      <c r="T1169" s="72"/>
      <c r="U1169" s="106"/>
      <c r="V1169" s="74">
        <f>Devis[[#This Row],[Prix de Revient]]*Devis[[#This Row],[Poste 1]]</f>
        <v>0</v>
      </c>
      <c r="W1169" s="74">
        <f>Devis[[#This Row],[Prix de Revient]]*Devis[[#This Row],[Poste 2]]</f>
        <v>0</v>
      </c>
      <c r="X1169" s="74">
        <f>Devis[[#This Row],[Prix de Revient]]*Devis[[#This Row],[Poste 3]]</f>
        <v>0</v>
      </c>
      <c r="Y1169" s="74">
        <f>Devis[[#This Row],[Poste 4]]*Devis[[#This Row],[Prix de Revient]]</f>
        <v>0</v>
      </c>
      <c r="Z1169" s="74">
        <f>Devis[[#This Row],[Poste 5]]*Devis[[#This Row],[Prix de Revient]]</f>
        <v>0</v>
      </c>
      <c r="AA1169" s="74">
        <f>Devis[[#This Row],[Prix de Revient]]*Devis[[#This Row],[Poste 6]]</f>
        <v>0</v>
      </c>
      <c r="AB1169" s="74">
        <f>Devis[[#This Row],[Quantité Totale]]*Devis[[#This Row],[Prix de Revient]]</f>
        <v>0</v>
      </c>
    </row>
    <row r="1170" spans="1:28" ht="14.25" outlineLevel="1" x14ac:dyDescent="0.2">
      <c r="A1170" s="75" t="s">
        <v>3557</v>
      </c>
      <c r="B1170" s="76" t="s">
        <v>827</v>
      </c>
      <c r="C1170" s="107" t="s">
        <v>19</v>
      </c>
      <c r="D1170" s="81" t="str">
        <f t="shared" si="21"/>
        <v>GalvaBobines 5301"</v>
      </c>
      <c r="E1170" s="76" t="s">
        <v>868</v>
      </c>
      <c r="F1170" s="81">
        <v>5</v>
      </c>
      <c r="G1170" s="86" t="s">
        <v>869</v>
      </c>
      <c r="H1170" s="71"/>
      <c r="I1170" s="105"/>
      <c r="J1170" s="70">
        <f>IFERROR(VLOOKUP(Devis[[#This Row],[Ref Air Flux]],#REF!,3,FALSE),0)</f>
        <v>0</v>
      </c>
      <c r="K1170" s="68"/>
      <c r="L1170" s="68"/>
      <c r="M1170" s="68"/>
      <c r="N1170" s="68"/>
      <c r="O1170" s="68"/>
      <c r="P1170" s="68"/>
      <c r="Q1170" s="68">
        <f>SUM(Devis[[#This Row],[Poste 1]:[Poste 6]])</f>
        <v>0</v>
      </c>
      <c r="R1170" s="71"/>
      <c r="S1170" s="68">
        <f>_xlfn.CEILING.MATH(Devis[[#This Row],[Quantité Totale]],Devis[[#This Row],[Conditionnement]])</f>
        <v>0</v>
      </c>
      <c r="T1170" s="72"/>
      <c r="U1170" s="106"/>
      <c r="V1170" s="74">
        <f>Devis[[#This Row],[Prix de Revient]]*Devis[[#This Row],[Poste 1]]</f>
        <v>0</v>
      </c>
      <c r="W1170" s="74">
        <f>Devis[[#This Row],[Prix de Revient]]*Devis[[#This Row],[Poste 2]]</f>
        <v>0</v>
      </c>
      <c r="X1170" s="74">
        <f>Devis[[#This Row],[Prix de Revient]]*Devis[[#This Row],[Poste 3]]</f>
        <v>0</v>
      </c>
      <c r="Y1170" s="74">
        <f>Devis[[#This Row],[Poste 4]]*Devis[[#This Row],[Prix de Revient]]</f>
        <v>0</v>
      </c>
      <c r="Z1170" s="74">
        <f>Devis[[#This Row],[Poste 5]]*Devis[[#This Row],[Prix de Revient]]</f>
        <v>0</v>
      </c>
      <c r="AA1170" s="74">
        <f>Devis[[#This Row],[Prix de Revient]]*Devis[[#This Row],[Poste 6]]</f>
        <v>0</v>
      </c>
      <c r="AB1170" s="74">
        <f>Devis[[#This Row],[Quantité Totale]]*Devis[[#This Row],[Prix de Revient]]</f>
        <v>0</v>
      </c>
    </row>
    <row r="1171" spans="1:28" ht="14.25" customHeight="1" outlineLevel="1" x14ac:dyDescent="0.2">
      <c r="A1171" s="75" t="s">
        <v>3557</v>
      </c>
      <c r="B1171" s="76" t="s">
        <v>827</v>
      </c>
      <c r="C1171" s="107" t="s">
        <v>21</v>
      </c>
      <c r="D1171" s="81" t="str">
        <f t="shared" si="21"/>
        <v>GalvaBobines 5301"1/2</v>
      </c>
      <c r="E1171" s="76" t="s">
        <v>21</v>
      </c>
      <c r="F1171" s="81">
        <v>6</v>
      </c>
      <c r="G1171" s="86" t="s">
        <v>854</v>
      </c>
      <c r="H1171" s="71"/>
      <c r="I1171" s="105"/>
      <c r="J1171" s="70">
        <f>IFERROR(VLOOKUP(Devis[[#This Row],[Ref Air Flux]],#REF!,3,FALSE),0)</f>
        <v>0</v>
      </c>
      <c r="K1171" s="68"/>
      <c r="L1171" s="68"/>
      <c r="M1171" s="68"/>
      <c r="N1171" s="68"/>
      <c r="O1171" s="68"/>
      <c r="P1171" s="68"/>
      <c r="Q1171" s="68">
        <f>SUM(Devis[[#This Row],[Poste 1]:[Poste 6]])</f>
        <v>0</v>
      </c>
      <c r="R1171" s="71"/>
      <c r="S1171" s="68">
        <f>_xlfn.CEILING.MATH(Devis[[#This Row],[Quantité Totale]],Devis[[#This Row],[Conditionnement]])</f>
        <v>0</v>
      </c>
      <c r="T1171" s="72"/>
      <c r="U1171" s="106"/>
      <c r="V1171" s="74">
        <f>Devis[[#This Row],[Prix de Revient]]*Devis[[#This Row],[Poste 1]]</f>
        <v>0</v>
      </c>
      <c r="W1171" s="74">
        <f>Devis[[#This Row],[Prix de Revient]]*Devis[[#This Row],[Poste 2]]</f>
        <v>0</v>
      </c>
      <c r="X1171" s="74">
        <f>Devis[[#This Row],[Prix de Revient]]*Devis[[#This Row],[Poste 3]]</f>
        <v>0</v>
      </c>
      <c r="Y1171" s="74">
        <f>Devis[[#This Row],[Poste 4]]*Devis[[#This Row],[Prix de Revient]]</f>
        <v>0</v>
      </c>
      <c r="Z1171" s="74">
        <f>Devis[[#This Row],[Poste 5]]*Devis[[#This Row],[Prix de Revient]]</f>
        <v>0</v>
      </c>
      <c r="AA1171" s="74">
        <f>Devis[[#This Row],[Prix de Revient]]*Devis[[#This Row],[Poste 6]]</f>
        <v>0</v>
      </c>
      <c r="AB1171" s="74">
        <f>Devis[[#This Row],[Quantité Totale]]*Devis[[#This Row],[Prix de Revient]]</f>
        <v>0</v>
      </c>
    </row>
    <row r="1172" spans="1:28" ht="14.25" outlineLevel="1" x14ac:dyDescent="0.2">
      <c r="A1172" s="75" t="s">
        <v>3557</v>
      </c>
      <c r="B1172" s="76" t="s">
        <v>827</v>
      </c>
      <c r="C1172" s="107" t="s">
        <v>21</v>
      </c>
      <c r="D1172" s="81" t="str">
        <f t="shared" si="21"/>
        <v>GalvaBobines 5301"1/2</v>
      </c>
      <c r="E1172" s="76" t="s">
        <v>850</v>
      </c>
      <c r="F1172" s="81">
        <v>7</v>
      </c>
      <c r="G1172" s="86" t="s">
        <v>851</v>
      </c>
      <c r="H1172" s="71"/>
      <c r="I1172" s="105"/>
      <c r="J1172" s="70">
        <f>IFERROR(VLOOKUP(Devis[[#This Row],[Ref Air Flux]],#REF!,3,FALSE),0)</f>
        <v>0</v>
      </c>
      <c r="K1172" s="68"/>
      <c r="L1172" s="68"/>
      <c r="M1172" s="68"/>
      <c r="N1172" s="68"/>
      <c r="O1172" s="68"/>
      <c r="P1172" s="68"/>
      <c r="Q1172" s="68">
        <f>SUM(Devis[[#This Row],[Poste 1]:[Poste 6]])</f>
        <v>0</v>
      </c>
      <c r="R1172" s="71"/>
      <c r="S1172" s="68">
        <f>_xlfn.CEILING.MATH(Devis[[#This Row],[Quantité Totale]],Devis[[#This Row],[Conditionnement]])</f>
        <v>0</v>
      </c>
      <c r="T1172" s="72"/>
      <c r="U1172" s="106"/>
      <c r="V1172" s="74">
        <f>Devis[[#This Row],[Prix de Revient]]*Devis[[#This Row],[Poste 1]]</f>
        <v>0</v>
      </c>
      <c r="W1172" s="74">
        <f>Devis[[#This Row],[Prix de Revient]]*Devis[[#This Row],[Poste 2]]</f>
        <v>0</v>
      </c>
      <c r="X1172" s="74">
        <f>Devis[[#This Row],[Prix de Revient]]*Devis[[#This Row],[Poste 3]]</f>
        <v>0</v>
      </c>
      <c r="Y1172" s="74">
        <f>Devis[[#This Row],[Poste 4]]*Devis[[#This Row],[Prix de Revient]]</f>
        <v>0</v>
      </c>
      <c r="Z1172" s="74">
        <f>Devis[[#This Row],[Poste 5]]*Devis[[#This Row],[Prix de Revient]]</f>
        <v>0</v>
      </c>
      <c r="AA1172" s="74">
        <f>Devis[[#This Row],[Prix de Revient]]*Devis[[#This Row],[Poste 6]]</f>
        <v>0</v>
      </c>
      <c r="AB1172" s="74">
        <f>Devis[[#This Row],[Quantité Totale]]*Devis[[#This Row],[Prix de Revient]]</f>
        <v>0</v>
      </c>
    </row>
    <row r="1173" spans="1:28" ht="14.25" outlineLevel="1" x14ac:dyDescent="0.2">
      <c r="A1173" s="75" t="s">
        <v>3557</v>
      </c>
      <c r="B1173" s="76" t="s">
        <v>827</v>
      </c>
      <c r="C1173" s="107" t="s">
        <v>21</v>
      </c>
      <c r="D1173" s="81" t="str">
        <f t="shared" si="21"/>
        <v>GalvaBobines 5301"1/2</v>
      </c>
      <c r="E1173" s="76" t="s">
        <v>848</v>
      </c>
      <c r="F1173" s="81">
        <v>8</v>
      </c>
      <c r="G1173" s="86" t="s">
        <v>849</v>
      </c>
      <c r="H1173" s="71"/>
      <c r="I1173" s="105"/>
      <c r="J1173" s="70">
        <f>IFERROR(VLOOKUP(Devis[[#This Row],[Ref Air Flux]],#REF!,3,FALSE),0)</f>
        <v>0</v>
      </c>
      <c r="K1173" s="68"/>
      <c r="L1173" s="68"/>
      <c r="M1173" s="68"/>
      <c r="N1173" s="68"/>
      <c r="O1173" s="68"/>
      <c r="P1173" s="68"/>
      <c r="Q1173" s="68">
        <f>SUM(Devis[[#This Row],[Poste 1]:[Poste 6]])</f>
        <v>0</v>
      </c>
      <c r="R1173" s="71"/>
      <c r="S1173" s="68">
        <f>_xlfn.CEILING.MATH(Devis[[#This Row],[Quantité Totale]],Devis[[#This Row],[Conditionnement]])</f>
        <v>0</v>
      </c>
      <c r="T1173" s="72"/>
      <c r="U1173" s="106"/>
      <c r="V1173" s="74">
        <f>Devis[[#This Row],[Prix de Revient]]*Devis[[#This Row],[Poste 1]]</f>
        <v>0</v>
      </c>
      <c r="W1173" s="74">
        <f>Devis[[#This Row],[Prix de Revient]]*Devis[[#This Row],[Poste 2]]</f>
        <v>0</v>
      </c>
      <c r="X1173" s="74">
        <f>Devis[[#This Row],[Prix de Revient]]*Devis[[#This Row],[Poste 3]]</f>
        <v>0</v>
      </c>
      <c r="Y1173" s="74">
        <f>Devis[[#This Row],[Poste 4]]*Devis[[#This Row],[Prix de Revient]]</f>
        <v>0</v>
      </c>
      <c r="Z1173" s="74">
        <f>Devis[[#This Row],[Poste 5]]*Devis[[#This Row],[Prix de Revient]]</f>
        <v>0</v>
      </c>
      <c r="AA1173" s="74">
        <f>Devis[[#This Row],[Prix de Revient]]*Devis[[#This Row],[Poste 6]]</f>
        <v>0</v>
      </c>
      <c r="AB1173" s="74">
        <f>Devis[[#This Row],[Quantité Totale]]*Devis[[#This Row],[Prix de Revient]]</f>
        <v>0</v>
      </c>
    </row>
    <row r="1174" spans="1:28" ht="14.25" outlineLevel="1" x14ac:dyDescent="0.2">
      <c r="A1174" s="75" t="s">
        <v>3557</v>
      </c>
      <c r="B1174" s="76" t="s">
        <v>827</v>
      </c>
      <c r="C1174" s="107" t="s">
        <v>21</v>
      </c>
      <c r="D1174" s="81" t="str">
        <f t="shared" si="21"/>
        <v>GalvaBobines 5301"1/2</v>
      </c>
      <c r="E1174" s="76" t="s">
        <v>846</v>
      </c>
      <c r="F1174" s="81">
        <v>9</v>
      </c>
      <c r="G1174" s="86" t="s">
        <v>847</v>
      </c>
      <c r="H1174" s="71"/>
      <c r="I1174" s="105"/>
      <c r="J1174" s="70">
        <f>IFERROR(VLOOKUP(Devis[[#This Row],[Ref Air Flux]],#REF!,3,FALSE),0)</f>
        <v>0</v>
      </c>
      <c r="K1174" s="68"/>
      <c r="L1174" s="68"/>
      <c r="M1174" s="68"/>
      <c r="N1174" s="68"/>
      <c r="O1174" s="68"/>
      <c r="P1174" s="68"/>
      <c r="Q1174" s="68">
        <f>SUM(Devis[[#This Row],[Poste 1]:[Poste 6]])</f>
        <v>0</v>
      </c>
      <c r="R1174" s="71"/>
      <c r="S1174" s="68">
        <f>_xlfn.CEILING.MATH(Devis[[#This Row],[Quantité Totale]],Devis[[#This Row],[Conditionnement]])</f>
        <v>0</v>
      </c>
      <c r="T1174" s="72"/>
      <c r="U1174" s="106"/>
      <c r="V1174" s="74">
        <f>Devis[[#This Row],[Prix de Revient]]*Devis[[#This Row],[Poste 1]]</f>
        <v>0</v>
      </c>
      <c r="W1174" s="74">
        <f>Devis[[#This Row],[Prix de Revient]]*Devis[[#This Row],[Poste 2]]</f>
        <v>0</v>
      </c>
      <c r="X1174" s="74">
        <f>Devis[[#This Row],[Prix de Revient]]*Devis[[#This Row],[Poste 3]]</f>
        <v>0</v>
      </c>
      <c r="Y1174" s="74">
        <f>Devis[[#This Row],[Poste 4]]*Devis[[#This Row],[Prix de Revient]]</f>
        <v>0</v>
      </c>
      <c r="Z1174" s="74">
        <f>Devis[[#This Row],[Poste 5]]*Devis[[#This Row],[Prix de Revient]]</f>
        <v>0</v>
      </c>
      <c r="AA1174" s="74">
        <f>Devis[[#This Row],[Prix de Revient]]*Devis[[#This Row],[Poste 6]]</f>
        <v>0</v>
      </c>
      <c r="AB1174" s="74">
        <f>Devis[[#This Row],[Quantité Totale]]*Devis[[#This Row],[Prix de Revient]]</f>
        <v>0</v>
      </c>
    </row>
    <row r="1175" spans="1:28" ht="14.25" outlineLevel="1" x14ac:dyDescent="0.2">
      <c r="A1175" s="75" t="s">
        <v>3557</v>
      </c>
      <c r="B1175" s="76" t="s">
        <v>827</v>
      </c>
      <c r="C1175" s="107" t="s">
        <v>21</v>
      </c>
      <c r="D1175" s="81" t="str">
        <f t="shared" si="21"/>
        <v>GalvaBobines 5301"1/2</v>
      </c>
      <c r="E1175" s="76" t="s">
        <v>852</v>
      </c>
      <c r="F1175" s="81">
        <v>10</v>
      </c>
      <c r="G1175" s="86" t="s">
        <v>853</v>
      </c>
      <c r="H1175" s="71"/>
      <c r="I1175" s="105"/>
      <c r="J1175" s="70">
        <f>IFERROR(VLOOKUP(Devis[[#This Row],[Ref Air Flux]],#REF!,3,FALSE),0)</f>
        <v>0</v>
      </c>
      <c r="K1175" s="68"/>
      <c r="L1175" s="68"/>
      <c r="M1175" s="68"/>
      <c r="N1175" s="68"/>
      <c r="O1175" s="68"/>
      <c r="P1175" s="68"/>
      <c r="Q1175" s="68">
        <f>SUM(Devis[[#This Row],[Poste 1]:[Poste 6]])</f>
        <v>0</v>
      </c>
      <c r="R1175" s="71"/>
      <c r="S1175" s="68">
        <f>_xlfn.CEILING.MATH(Devis[[#This Row],[Quantité Totale]],Devis[[#This Row],[Conditionnement]])</f>
        <v>0</v>
      </c>
      <c r="T1175" s="72"/>
      <c r="U1175" s="106"/>
      <c r="V1175" s="74">
        <f>Devis[[#This Row],[Prix de Revient]]*Devis[[#This Row],[Poste 1]]</f>
        <v>0</v>
      </c>
      <c r="W1175" s="74">
        <f>Devis[[#This Row],[Prix de Revient]]*Devis[[#This Row],[Poste 2]]</f>
        <v>0</v>
      </c>
      <c r="X1175" s="74">
        <f>Devis[[#This Row],[Prix de Revient]]*Devis[[#This Row],[Poste 3]]</f>
        <v>0</v>
      </c>
      <c r="Y1175" s="74">
        <f>Devis[[#This Row],[Poste 4]]*Devis[[#This Row],[Prix de Revient]]</f>
        <v>0</v>
      </c>
      <c r="Z1175" s="74">
        <f>Devis[[#This Row],[Poste 5]]*Devis[[#This Row],[Prix de Revient]]</f>
        <v>0</v>
      </c>
      <c r="AA1175" s="74">
        <f>Devis[[#This Row],[Prix de Revient]]*Devis[[#This Row],[Poste 6]]</f>
        <v>0</v>
      </c>
      <c r="AB1175" s="74">
        <f>Devis[[#This Row],[Quantité Totale]]*Devis[[#This Row],[Prix de Revient]]</f>
        <v>0</v>
      </c>
    </row>
    <row r="1176" spans="1:28" ht="14.25" outlineLevel="1" x14ac:dyDescent="0.2">
      <c r="A1176" s="75" t="s">
        <v>3557</v>
      </c>
      <c r="B1176" s="76" t="s">
        <v>827</v>
      </c>
      <c r="C1176" s="107" t="s">
        <v>20</v>
      </c>
      <c r="D1176" s="81" t="str">
        <f t="shared" si="21"/>
        <v>GalvaBobines 5301"1/4</v>
      </c>
      <c r="E1176" s="76" t="s">
        <v>20</v>
      </c>
      <c r="F1176" s="81">
        <v>11</v>
      </c>
      <c r="G1176" s="86" t="s">
        <v>857</v>
      </c>
      <c r="H1176" s="71"/>
      <c r="I1176" s="105"/>
      <c r="J1176" s="70">
        <f>IFERROR(VLOOKUP(Devis[[#This Row],[Ref Air Flux]],#REF!,3,FALSE),0)</f>
        <v>0</v>
      </c>
      <c r="K1176" s="68"/>
      <c r="L1176" s="68"/>
      <c r="M1176" s="68"/>
      <c r="N1176" s="68"/>
      <c r="O1176" s="68"/>
      <c r="P1176" s="68"/>
      <c r="Q1176" s="68">
        <f>SUM(Devis[[#This Row],[Poste 1]:[Poste 6]])</f>
        <v>0</v>
      </c>
      <c r="R1176" s="71"/>
      <c r="S1176" s="68">
        <f>_xlfn.CEILING.MATH(Devis[[#This Row],[Quantité Totale]],Devis[[#This Row],[Conditionnement]])</f>
        <v>0</v>
      </c>
      <c r="T1176" s="72"/>
      <c r="U1176" s="106"/>
      <c r="V1176" s="74">
        <f>Devis[[#This Row],[Prix de Revient]]*Devis[[#This Row],[Poste 1]]</f>
        <v>0</v>
      </c>
      <c r="W1176" s="74">
        <f>Devis[[#This Row],[Prix de Revient]]*Devis[[#This Row],[Poste 2]]</f>
        <v>0</v>
      </c>
      <c r="X1176" s="74">
        <f>Devis[[#This Row],[Prix de Revient]]*Devis[[#This Row],[Poste 3]]</f>
        <v>0</v>
      </c>
      <c r="Y1176" s="74">
        <f>Devis[[#This Row],[Poste 4]]*Devis[[#This Row],[Prix de Revient]]</f>
        <v>0</v>
      </c>
      <c r="Z1176" s="74">
        <f>Devis[[#This Row],[Poste 5]]*Devis[[#This Row],[Prix de Revient]]</f>
        <v>0</v>
      </c>
      <c r="AA1176" s="74">
        <f>Devis[[#This Row],[Prix de Revient]]*Devis[[#This Row],[Poste 6]]</f>
        <v>0</v>
      </c>
      <c r="AB1176" s="74">
        <f>Devis[[#This Row],[Quantité Totale]]*Devis[[#This Row],[Prix de Revient]]</f>
        <v>0</v>
      </c>
    </row>
    <row r="1177" spans="1:28" ht="14.25" customHeight="1" outlineLevel="1" x14ac:dyDescent="0.2">
      <c r="A1177" s="75" t="s">
        <v>3557</v>
      </c>
      <c r="B1177" s="76" t="s">
        <v>827</v>
      </c>
      <c r="C1177" s="107" t="s">
        <v>20</v>
      </c>
      <c r="D1177" s="81" t="str">
        <f t="shared" si="21"/>
        <v>GalvaBobines 5301"1/4</v>
      </c>
      <c r="E1177" s="76" t="s">
        <v>855</v>
      </c>
      <c r="F1177" s="81">
        <v>12</v>
      </c>
      <c r="G1177" s="86" t="s">
        <v>856</v>
      </c>
      <c r="H1177" s="71"/>
      <c r="I1177" s="105"/>
      <c r="J1177" s="70">
        <f>IFERROR(VLOOKUP(Devis[[#This Row],[Ref Air Flux]],#REF!,3,FALSE),0)</f>
        <v>0</v>
      </c>
      <c r="K1177" s="68"/>
      <c r="L1177" s="68"/>
      <c r="M1177" s="68"/>
      <c r="N1177" s="68"/>
      <c r="O1177" s="68"/>
      <c r="P1177" s="68"/>
      <c r="Q1177" s="68">
        <f>SUM(Devis[[#This Row],[Poste 1]:[Poste 6]])</f>
        <v>0</v>
      </c>
      <c r="R1177" s="71"/>
      <c r="S1177" s="68">
        <f>_xlfn.CEILING.MATH(Devis[[#This Row],[Quantité Totale]],Devis[[#This Row],[Conditionnement]])</f>
        <v>0</v>
      </c>
      <c r="T1177" s="72"/>
      <c r="U1177" s="106"/>
      <c r="V1177" s="74">
        <f>Devis[[#This Row],[Prix de Revient]]*Devis[[#This Row],[Poste 1]]</f>
        <v>0</v>
      </c>
      <c r="W1177" s="74">
        <f>Devis[[#This Row],[Prix de Revient]]*Devis[[#This Row],[Poste 2]]</f>
        <v>0</v>
      </c>
      <c r="X1177" s="74">
        <f>Devis[[#This Row],[Prix de Revient]]*Devis[[#This Row],[Poste 3]]</f>
        <v>0</v>
      </c>
      <c r="Y1177" s="74">
        <f>Devis[[#This Row],[Poste 4]]*Devis[[#This Row],[Prix de Revient]]</f>
        <v>0</v>
      </c>
      <c r="Z1177" s="74">
        <f>Devis[[#This Row],[Poste 5]]*Devis[[#This Row],[Prix de Revient]]</f>
        <v>0</v>
      </c>
      <c r="AA1177" s="74">
        <f>Devis[[#This Row],[Prix de Revient]]*Devis[[#This Row],[Poste 6]]</f>
        <v>0</v>
      </c>
      <c r="AB1177" s="74">
        <f>Devis[[#This Row],[Quantité Totale]]*Devis[[#This Row],[Prix de Revient]]</f>
        <v>0</v>
      </c>
    </row>
    <row r="1178" spans="1:28" ht="14.25" customHeight="1" outlineLevel="1" x14ac:dyDescent="0.2">
      <c r="A1178" s="75" t="s">
        <v>3557</v>
      </c>
      <c r="B1178" s="76" t="s">
        <v>827</v>
      </c>
      <c r="C1178" s="107" t="s">
        <v>19</v>
      </c>
      <c r="D1178" s="81" t="str">
        <f t="shared" si="21"/>
        <v>GalvaBobines 5301"</v>
      </c>
      <c r="E1178" s="76" t="s">
        <v>860</v>
      </c>
      <c r="F1178" s="81">
        <v>13</v>
      </c>
      <c r="G1178" s="86" t="s">
        <v>861</v>
      </c>
      <c r="H1178" s="71"/>
      <c r="I1178" s="105"/>
      <c r="J1178" s="70">
        <f>IFERROR(VLOOKUP(Devis[[#This Row],[Ref Air Flux]],#REF!,3,FALSE),0)</f>
        <v>0</v>
      </c>
      <c r="K1178" s="68"/>
      <c r="L1178" s="68"/>
      <c r="M1178" s="68"/>
      <c r="N1178" s="68"/>
      <c r="O1178" s="68"/>
      <c r="P1178" s="68"/>
      <c r="Q1178" s="68">
        <f>SUM(Devis[[#This Row],[Poste 1]:[Poste 6]])</f>
        <v>0</v>
      </c>
      <c r="R1178" s="71"/>
      <c r="S1178" s="68">
        <f>_xlfn.CEILING.MATH(Devis[[#This Row],[Quantité Totale]],Devis[[#This Row],[Conditionnement]])</f>
        <v>0</v>
      </c>
      <c r="T1178" s="72"/>
      <c r="U1178" s="106"/>
      <c r="V1178" s="74">
        <f>Devis[[#This Row],[Prix de Revient]]*Devis[[#This Row],[Poste 1]]</f>
        <v>0</v>
      </c>
      <c r="W1178" s="74">
        <f>Devis[[#This Row],[Prix de Revient]]*Devis[[#This Row],[Poste 2]]</f>
        <v>0</v>
      </c>
      <c r="X1178" s="74">
        <f>Devis[[#This Row],[Prix de Revient]]*Devis[[#This Row],[Poste 3]]</f>
        <v>0</v>
      </c>
      <c r="Y1178" s="74">
        <f>Devis[[#This Row],[Poste 4]]*Devis[[#This Row],[Prix de Revient]]</f>
        <v>0</v>
      </c>
      <c r="Z1178" s="74">
        <f>Devis[[#This Row],[Poste 5]]*Devis[[#This Row],[Prix de Revient]]</f>
        <v>0</v>
      </c>
      <c r="AA1178" s="74">
        <f>Devis[[#This Row],[Prix de Revient]]*Devis[[#This Row],[Poste 6]]</f>
        <v>0</v>
      </c>
      <c r="AB1178" s="74">
        <f>Devis[[#This Row],[Quantité Totale]]*Devis[[#This Row],[Prix de Revient]]</f>
        <v>0</v>
      </c>
    </row>
    <row r="1179" spans="1:28" ht="14.25" outlineLevel="1" x14ac:dyDescent="0.2">
      <c r="A1179" s="75" t="s">
        <v>3557</v>
      </c>
      <c r="B1179" s="76" t="s">
        <v>827</v>
      </c>
      <c r="C1179" s="107" t="s">
        <v>1943</v>
      </c>
      <c r="D1179" s="81" t="str">
        <f t="shared" si="21"/>
        <v>GalvaBobines 5301/2"</v>
      </c>
      <c r="E1179" s="80" t="s">
        <v>17</v>
      </c>
      <c r="F1179" s="81">
        <v>14</v>
      </c>
      <c r="G1179" s="86" t="s">
        <v>896</v>
      </c>
      <c r="H1179" s="71"/>
      <c r="I1179" s="105"/>
      <c r="J1179" s="70">
        <f>IFERROR(VLOOKUP(Devis[[#This Row],[Ref Air Flux]],#REF!,3,FALSE),0)</f>
        <v>0</v>
      </c>
      <c r="K1179" s="68"/>
      <c r="L1179" s="68"/>
      <c r="M1179" s="68"/>
      <c r="N1179" s="68"/>
      <c r="O1179" s="68"/>
      <c r="P1179" s="68"/>
      <c r="Q1179" s="68">
        <f>SUM(Devis[[#This Row],[Poste 1]:[Poste 6]])</f>
        <v>0</v>
      </c>
      <c r="R1179" s="71"/>
      <c r="S1179" s="68">
        <f>_xlfn.CEILING.MATH(Devis[[#This Row],[Quantité Totale]],Devis[[#This Row],[Conditionnement]])</f>
        <v>0</v>
      </c>
      <c r="T1179" s="72"/>
      <c r="U1179" s="106"/>
      <c r="V1179" s="74">
        <f>Devis[[#This Row],[Prix de Revient]]*Devis[[#This Row],[Poste 1]]</f>
        <v>0</v>
      </c>
      <c r="W1179" s="74">
        <f>Devis[[#This Row],[Prix de Revient]]*Devis[[#This Row],[Poste 2]]</f>
        <v>0</v>
      </c>
      <c r="X1179" s="74">
        <f>Devis[[#This Row],[Prix de Revient]]*Devis[[#This Row],[Poste 3]]</f>
        <v>0</v>
      </c>
      <c r="Y1179" s="74">
        <f>Devis[[#This Row],[Poste 4]]*Devis[[#This Row],[Prix de Revient]]</f>
        <v>0</v>
      </c>
      <c r="Z1179" s="74">
        <f>Devis[[#This Row],[Poste 5]]*Devis[[#This Row],[Prix de Revient]]</f>
        <v>0</v>
      </c>
      <c r="AA1179" s="74">
        <f>Devis[[#This Row],[Prix de Revient]]*Devis[[#This Row],[Poste 6]]</f>
        <v>0</v>
      </c>
      <c r="AB1179" s="74">
        <f>Devis[[#This Row],[Quantité Totale]]*Devis[[#This Row],[Prix de Revient]]</f>
        <v>0</v>
      </c>
    </row>
    <row r="1180" spans="1:28" ht="14.25" outlineLevel="1" x14ac:dyDescent="0.2">
      <c r="A1180" s="75" t="s">
        <v>3557</v>
      </c>
      <c r="B1180" s="76" t="s">
        <v>827</v>
      </c>
      <c r="C1180" s="107" t="s">
        <v>19</v>
      </c>
      <c r="D1180" s="81" t="str">
        <f t="shared" si="21"/>
        <v>GalvaBobines 5301"</v>
      </c>
      <c r="E1180" s="76" t="s">
        <v>862</v>
      </c>
      <c r="F1180" s="81">
        <v>15</v>
      </c>
      <c r="G1180" s="86" t="s">
        <v>863</v>
      </c>
      <c r="H1180" s="71"/>
      <c r="I1180" s="105"/>
      <c r="J1180" s="70">
        <f>IFERROR(VLOOKUP(Devis[[#This Row],[Ref Air Flux]],#REF!,3,FALSE),0)</f>
        <v>0</v>
      </c>
      <c r="K1180" s="68"/>
      <c r="L1180" s="68"/>
      <c r="M1180" s="68"/>
      <c r="N1180" s="68"/>
      <c r="O1180" s="68"/>
      <c r="P1180" s="68"/>
      <c r="Q1180" s="68">
        <f>SUM(Devis[[#This Row],[Poste 1]:[Poste 6]])</f>
        <v>0</v>
      </c>
      <c r="R1180" s="71"/>
      <c r="S1180" s="68">
        <f>_xlfn.CEILING.MATH(Devis[[#This Row],[Quantité Totale]],Devis[[#This Row],[Conditionnement]])</f>
        <v>0</v>
      </c>
      <c r="T1180" s="72"/>
      <c r="U1180" s="106"/>
      <c r="V1180" s="74">
        <f>Devis[[#This Row],[Prix de Revient]]*Devis[[#This Row],[Poste 1]]</f>
        <v>0</v>
      </c>
      <c r="W1180" s="74">
        <f>Devis[[#This Row],[Prix de Revient]]*Devis[[#This Row],[Poste 2]]</f>
        <v>0</v>
      </c>
      <c r="X1180" s="74">
        <f>Devis[[#This Row],[Prix de Revient]]*Devis[[#This Row],[Poste 3]]</f>
        <v>0</v>
      </c>
      <c r="Y1180" s="74">
        <f>Devis[[#This Row],[Poste 4]]*Devis[[#This Row],[Prix de Revient]]</f>
        <v>0</v>
      </c>
      <c r="Z1180" s="74">
        <f>Devis[[#This Row],[Poste 5]]*Devis[[#This Row],[Prix de Revient]]</f>
        <v>0</v>
      </c>
      <c r="AA1180" s="74">
        <f>Devis[[#This Row],[Prix de Revient]]*Devis[[#This Row],[Poste 6]]</f>
        <v>0</v>
      </c>
      <c r="AB1180" s="74">
        <f>Devis[[#This Row],[Quantité Totale]]*Devis[[#This Row],[Prix de Revient]]</f>
        <v>0</v>
      </c>
    </row>
    <row r="1181" spans="1:28" ht="14.25" outlineLevel="1" x14ac:dyDescent="0.2">
      <c r="A1181" s="75" t="s">
        <v>3557</v>
      </c>
      <c r="B1181" s="76" t="s">
        <v>827</v>
      </c>
      <c r="C1181" s="107" t="s">
        <v>1943</v>
      </c>
      <c r="D1181" s="81" t="str">
        <f t="shared" si="21"/>
        <v>GalvaBobines 5301/2"</v>
      </c>
      <c r="E1181" s="76" t="s">
        <v>884</v>
      </c>
      <c r="F1181" s="81">
        <v>16</v>
      </c>
      <c r="G1181" s="86" t="s">
        <v>885</v>
      </c>
      <c r="H1181" s="71"/>
      <c r="I1181" s="105"/>
      <c r="J1181" s="70">
        <f>IFERROR(VLOOKUP(Devis[[#This Row],[Ref Air Flux]],#REF!,3,FALSE),0)</f>
        <v>0</v>
      </c>
      <c r="K1181" s="68"/>
      <c r="L1181" s="68"/>
      <c r="M1181" s="68"/>
      <c r="N1181" s="68"/>
      <c r="O1181" s="68"/>
      <c r="P1181" s="68"/>
      <c r="Q1181" s="68">
        <f>SUM(Devis[[#This Row],[Poste 1]:[Poste 6]])</f>
        <v>0</v>
      </c>
      <c r="R1181" s="71"/>
      <c r="S1181" s="68">
        <f>_xlfn.CEILING.MATH(Devis[[#This Row],[Quantité Totale]],Devis[[#This Row],[Conditionnement]])</f>
        <v>0</v>
      </c>
      <c r="T1181" s="72"/>
      <c r="U1181" s="106"/>
      <c r="V1181" s="74">
        <f>Devis[[#This Row],[Prix de Revient]]*Devis[[#This Row],[Poste 1]]</f>
        <v>0</v>
      </c>
      <c r="W1181" s="74">
        <f>Devis[[#This Row],[Prix de Revient]]*Devis[[#This Row],[Poste 2]]</f>
        <v>0</v>
      </c>
      <c r="X1181" s="74">
        <f>Devis[[#This Row],[Prix de Revient]]*Devis[[#This Row],[Poste 3]]</f>
        <v>0</v>
      </c>
      <c r="Y1181" s="74">
        <f>Devis[[#This Row],[Poste 4]]*Devis[[#This Row],[Prix de Revient]]</f>
        <v>0</v>
      </c>
      <c r="Z1181" s="74">
        <f>Devis[[#This Row],[Poste 5]]*Devis[[#This Row],[Prix de Revient]]</f>
        <v>0</v>
      </c>
      <c r="AA1181" s="74">
        <f>Devis[[#This Row],[Prix de Revient]]*Devis[[#This Row],[Poste 6]]</f>
        <v>0</v>
      </c>
      <c r="AB1181" s="74">
        <f>Devis[[#This Row],[Quantité Totale]]*Devis[[#This Row],[Prix de Revient]]</f>
        <v>0</v>
      </c>
    </row>
    <row r="1182" spans="1:28" ht="14.25" outlineLevel="1" x14ac:dyDescent="0.2">
      <c r="A1182" s="75" t="s">
        <v>3557</v>
      </c>
      <c r="B1182" s="76" t="s">
        <v>827</v>
      </c>
      <c r="C1182" s="107" t="s">
        <v>1943</v>
      </c>
      <c r="D1182" s="81" t="str">
        <f t="shared" si="21"/>
        <v>GalvaBobines 5301/2"</v>
      </c>
      <c r="E1182" s="76" t="s">
        <v>886</v>
      </c>
      <c r="F1182" s="81">
        <v>17</v>
      </c>
      <c r="G1182" s="86" t="s">
        <v>887</v>
      </c>
      <c r="H1182" s="71"/>
      <c r="I1182" s="105"/>
      <c r="J1182" s="70">
        <f>IFERROR(VLOOKUP(Devis[[#This Row],[Ref Air Flux]],#REF!,3,FALSE),0)</f>
        <v>0</v>
      </c>
      <c r="K1182" s="68"/>
      <c r="L1182" s="68"/>
      <c r="M1182" s="68"/>
      <c r="N1182" s="68"/>
      <c r="O1182" s="68"/>
      <c r="P1182" s="68"/>
      <c r="Q1182" s="68">
        <f>SUM(Devis[[#This Row],[Poste 1]:[Poste 6]])</f>
        <v>0</v>
      </c>
      <c r="R1182" s="71"/>
      <c r="S1182" s="68">
        <f>_xlfn.CEILING.MATH(Devis[[#This Row],[Quantité Totale]],Devis[[#This Row],[Conditionnement]])</f>
        <v>0</v>
      </c>
      <c r="T1182" s="72"/>
      <c r="U1182" s="106"/>
      <c r="V1182" s="74">
        <f>Devis[[#This Row],[Prix de Revient]]*Devis[[#This Row],[Poste 1]]</f>
        <v>0</v>
      </c>
      <c r="W1182" s="74">
        <f>Devis[[#This Row],[Prix de Revient]]*Devis[[#This Row],[Poste 2]]</f>
        <v>0</v>
      </c>
      <c r="X1182" s="74">
        <f>Devis[[#This Row],[Prix de Revient]]*Devis[[#This Row],[Poste 3]]</f>
        <v>0</v>
      </c>
      <c r="Y1182" s="74">
        <f>Devis[[#This Row],[Poste 4]]*Devis[[#This Row],[Prix de Revient]]</f>
        <v>0</v>
      </c>
      <c r="Z1182" s="74">
        <f>Devis[[#This Row],[Poste 5]]*Devis[[#This Row],[Prix de Revient]]</f>
        <v>0</v>
      </c>
      <c r="AA1182" s="74">
        <f>Devis[[#This Row],[Prix de Revient]]*Devis[[#This Row],[Poste 6]]</f>
        <v>0</v>
      </c>
      <c r="AB1182" s="74">
        <f>Devis[[#This Row],[Quantité Totale]]*Devis[[#This Row],[Prix de Revient]]</f>
        <v>0</v>
      </c>
    </row>
    <row r="1183" spans="1:28" ht="14.25" customHeight="1" outlineLevel="1" x14ac:dyDescent="0.2">
      <c r="A1183" s="75" t="s">
        <v>3557</v>
      </c>
      <c r="B1183" s="76" t="s">
        <v>827</v>
      </c>
      <c r="C1183" s="107" t="s">
        <v>1943</v>
      </c>
      <c r="D1183" s="81" t="str">
        <f t="shared" si="21"/>
        <v>GalvaBobines 5301/2"</v>
      </c>
      <c r="E1183" s="76" t="s">
        <v>888</v>
      </c>
      <c r="F1183" s="81">
        <v>18</v>
      </c>
      <c r="G1183" s="86" t="s">
        <v>889</v>
      </c>
      <c r="H1183" s="71"/>
      <c r="I1183" s="105"/>
      <c r="J1183" s="70">
        <f>IFERROR(VLOOKUP(Devis[[#This Row],[Ref Air Flux]],#REF!,3,FALSE),0)</f>
        <v>0</v>
      </c>
      <c r="K1183" s="68"/>
      <c r="L1183" s="68"/>
      <c r="M1183" s="68"/>
      <c r="N1183" s="68"/>
      <c r="O1183" s="68"/>
      <c r="P1183" s="68"/>
      <c r="Q1183" s="68">
        <f>SUM(Devis[[#This Row],[Poste 1]:[Poste 6]])</f>
        <v>0</v>
      </c>
      <c r="R1183" s="71"/>
      <c r="S1183" s="68">
        <f>_xlfn.CEILING.MATH(Devis[[#This Row],[Quantité Totale]],Devis[[#This Row],[Conditionnement]])</f>
        <v>0</v>
      </c>
      <c r="T1183" s="72"/>
      <c r="U1183" s="106"/>
      <c r="V1183" s="74">
        <f>Devis[[#This Row],[Prix de Revient]]*Devis[[#This Row],[Poste 1]]</f>
        <v>0</v>
      </c>
      <c r="W1183" s="74">
        <f>Devis[[#This Row],[Prix de Revient]]*Devis[[#This Row],[Poste 2]]</f>
        <v>0</v>
      </c>
      <c r="X1183" s="74">
        <f>Devis[[#This Row],[Prix de Revient]]*Devis[[#This Row],[Poste 3]]</f>
        <v>0</v>
      </c>
      <c r="Y1183" s="74">
        <f>Devis[[#This Row],[Poste 4]]*Devis[[#This Row],[Prix de Revient]]</f>
        <v>0</v>
      </c>
      <c r="Z1183" s="74">
        <f>Devis[[#This Row],[Poste 5]]*Devis[[#This Row],[Prix de Revient]]</f>
        <v>0</v>
      </c>
      <c r="AA1183" s="74">
        <f>Devis[[#This Row],[Prix de Revient]]*Devis[[#This Row],[Poste 6]]</f>
        <v>0</v>
      </c>
      <c r="AB1183" s="74">
        <f>Devis[[#This Row],[Quantité Totale]]*Devis[[#This Row],[Prix de Revient]]</f>
        <v>0</v>
      </c>
    </row>
    <row r="1184" spans="1:28" ht="14.25" outlineLevel="1" x14ac:dyDescent="0.2">
      <c r="A1184" s="75" t="s">
        <v>3557</v>
      </c>
      <c r="B1184" s="76" t="s">
        <v>827</v>
      </c>
      <c r="C1184" s="107" t="s">
        <v>1325</v>
      </c>
      <c r="D1184" s="81" t="str">
        <f t="shared" si="21"/>
        <v>GalvaBobines 5301/4"</v>
      </c>
      <c r="E1184" s="80" t="s">
        <v>46</v>
      </c>
      <c r="F1184" s="81">
        <v>19</v>
      </c>
      <c r="G1184" s="86" t="s">
        <v>904</v>
      </c>
      <c r="H1184" s="71"/>
      <c r="I1184" s="105"/>
      <c r="J1184" s="70">
        <f>IFERROR(VLOOKUP(Devis[[#This Row],[Ref Air Flux]],#REF!,3,FALSE),0)</f>
        <v>0</v>
      </c>
      <c r="K1184" s="68"/>
      <c r="L1184" s="68"/>
      <c r="M1184" s="68"/>
      <c r="N1184" s="68"/>
      <c r="O1184" s="68"/>
      <c r="P1184" s="68"/>
      <c r="Q1184" s="68">
        <f>SUM(Devis[[#This Row],[Poste 1]:[Poste 6]])</f>
        <v>0</v>
      </c>
      <c r="R1184" s="71"/>
      <c r="S1184" s="68">
        <f>_xlfn.CEILING.MATH(Devis[[#This Row],[Quantité Totale]],Devis[[#This Row],[Conditionnement]])</f>
        <v>0</v>
      </c>
      <c r="T1184" s="72"/>
      <c r="U1184" s="106"/>
      <c r="V1184" s="74">
        <f>Devis[[#This Row],[Prix de Revient]]*Devis[[#This Row],[Poste 1]]</f>
        <v>0</v>
      </c>
      <c r="W1184" s="74">
        <f>Devis[[#This Row],[Prix de Revient]]*Devis[[#This Row],[Poste 2]]</f>
        <v>0</v>
      </c>
      <c r="X1184" s="74">
        <f>Devis[[#This Row],[Prix de Revient]]*Devis[[#This Row],[Poste 3]]</f>
        <v>0</v>
      </c>
      <c r="Y1184" s="74">
        <f>Devis[[#This Row],[Poste 4]]*Devis[[#This Row],[Prix de Revient]]</f>
        <v>0</v>
      </c>
      <c r="Z1184" s="74">
        <f>Devis[[#This Row],[Poste 5]]*Devis[[#This Row],[Prix de Revient]]</f>
        <v>0</v>
      </c>
      <c r="AA1184" s="74">
        <f>Devis[[#This Row],[Prix de Revient]]*Devis[[#This Row],[Poste 6]]</f>
        <v>0</v>
      </c>
      <c r="AB1184" s="74">
        <f>Devis[[#This Row],[Quantité Totale]]*Devis[[#This Row],[Prix de Revient]]</f>
        <v>0</v>
      </c>
    </row>
    <row r="1185" spans="1:28" ht="14.25" outlineLevel="1" x14ac:dyDescent="0.2">
      <c r="A1185" s="75" t="s">
        <v>3557</v>
      </c>
      <c r="B1185" s="76" t="s">
        <v>827</v>
      </c>
      <c r="C1185" s="107" t="s">
        <v>19</v>
      </c>
      <c r="D1185" s="81" t="str">
        <f t="shared" si="21"/>
        <v>GalvaBobines 5301"</v>
      </c>
      <c r="E1185" s="76" t="s">
        <v>864</v>
      </c>
      <c r="F1185" s="81">
        <v>20</v>
      </c>
      <c r="G1185" s="86" t="s">
        <v>865</v>
      </c>
      <c r="H1185" s="71"/>
      <c r="I1185" s="105"/>
      <c r="J1185" s="70">
        <f>IFERROR(VLOOKUP(Devis[[#This Row],[Ref Air Flux]],#REF!,3,FALSE),0)</f>
        <v>0</v>
      </c>
      <c r="K1185" s="68"/>
      <c r="L1185" s="68"/>
      <c r="M1185" s="68"/>
      <c r="N1185" s="68"/>
      <c r="O1185" s="68"/>
      <c r="P1185" s="68"/>
      <c r="Q1185" s="68">
        <f>SUM(Devis[[#This Row],[Poste 1]:[Poste 6]])</f>
        <v>0</v>
      </c>
      <c r="R1185" s="71"/>
      <c r="S1185" s="68">
        <f>_xlfn.CEILING.MATH(Devis[[#This Row],[Quantité Totale]],Devis[[#This Row],[Conditionnement]])</f>
        <v>0</v>
      </c>
      <c r="T1185" s="72"/>
      <c r="U1185" s="106"/>
      <c r="V1185" s="74">
        <f>Devis[[#This Row],[Prix de Revient]]*Devis[[#This Row],[Poste 1]]</f>
        <v>0</v>
      </c>
      <c r="W1185" s="74">
        <f>Devis[[#This Row],[Prix de Revient]]*Devis[[#This Row],[Poste 2]]</f>
        <v>0</v>
      </c>
      <c r="X1185" s="74">
        <f>Devis[[#This Row],[Prix de Revient]]*Devis[[#This Row],[Poste 3]]</f>
        <v>0</v>
      </c>
      <c r="Y1185" s="74">
        <f>Devis[[#This Row],[Poste 4]]*Devis[[#This Row],[Prix de Revient]]</f>
        <v>0</v>
      </c>
      <c r="Z1185" s="74">
        <f>Devis[[#This Row],[Poste 5]]*Devis[[#This Row],[Prix de Revient]]</f>
        <v>0</v>
      </c>
      <c r="AA1185" s="74">
        <f>Devis[[#This Row],[Prix de Revient]]*Devis[[#This Row],[Poste 6]]</f>
        <v>0</v>
      </c>
      <c r="AB1185" s="74">
        <f>Devis[[#This Row],[Quantité Totale]]*Devis[[#This Row],[Prix de Revient]]</f>
        <v>0</v>
      </c>
    </row>
    <row r="1186" spans="1:28" ht="14.25" outlineLevel="1" x14ac:dyDescent="0.2">
      <c r="A1186" s="75" t="s">
        <v>3557</v>
      </c>
      <c r="B1186" s="76" t="s">
        <v>827</v>
      </c>
      <c r="C1186" s="107" t="s">
        <v>19</v>
      </c>
      <c r="D1186" s="81" t="str">
        <f t="shared" si="21"/>
        <v>GalvaBobines 5301"</v>
      </c>
      <c r="E1186" s="76" t="s">
        <v>866</v>
      </c>
      <c r="F1186" s="81">
        <v>21</v>
      </c>
      <c r="G1186" s="86" t="s">
        <v>867</v>
      </c>
      <c r="H1186" s="71"/>
      <c r="I1186" s="105"/>
      <c r="J1186" s="70">
        <f>IFERROR(VLOOKUP(Devis[[#This Row],[Ref Air Flux]],#REF!,3,FALSE),0)</f>
        <v>0</v>
      </c>
      <c r="K1186" s="68"/>
      <c r="L1186" s="68"/>
      <c r="M1186" s="68"/>
      <c r="N1186" s="68"/>
      <c r="O1186" s="68"/>
      <c r="P1186" s="68"/>
      <c r="Q1186" s="68">
        <f>SUM(Devis[[#This Row],[Poste 1]:[Poste 6]])</f>
        <v>0</v>
      </c>
      <c r="R1186" s="71"/>
      <c r="S1186" s="68">
        <f>_xlfn.CEILING.MATH(Devis[[#This Row],[Quantité Totale]],Devis[[#This Row],[Conditionnement]])</f>
        <v>0</v>
      </c>
      <c r="T1186" s="72"/>
      <c r="U1186" s="106"/>
      <c r="V1186" s="74">
        <f>Devis[[#This Row],[Prix de Revient]]*Devis[[#This Row],[Poste 1]]</f>
        <v>0</v>
      </c>
      <c r="W1186" s="74">
        <f>Devis[[#This Row],[Prix de Revient]]*Devis[[#This Row],[Poste 2]]</f>
        <v>0</v>
      </c>
      <c r="X1186" s="74">
        <f>Devis[[#This Row],[Prix de Revient]]*Devis[[#This Row],[Poste 3]]</f>
        <v>0</v>
      </c>
      <c r="Y1186" s="74">
        <f>Devis[[#This Row],[Poste 4]]*Devis[[#This Row],[Prix de Revient]]</f>
        <v>0</v>
      </c>
      <c r="Z1186" s="74">
        <f>Devis[[#This Row],[Poste 5]]*Devis[[#This Row],[Prix de Revient]]</f>
        <v>0</v>
      </c>
      <c r="AA1186" s="74">
        <f>Devis[[#This Row],[Prix de Revient]]*Devis[[#This Row],[Poste 6]]</f>
        <v>0</v>
      </c>
      <c r="AB1186" s="74">
        <f>Devis[[#This Row],[Quantité Totale]]*Devis[[#This Row],[Prix de Revient]]</f>
        <v>0</v>
      </c>
    </row>
    <row r="1187" spans="1:28" ht="14.25" outlineLevel="1" x14ac:dyDescent="0.2">
      <c r="A1187" s="75" t="s">
        <v>3557</v>
      </c>
      <c r="B1187" s="76" t="s">
        <v>827</v>
      </c>
      <c r="C1187" s="107" t="s">
        <v>19</v>
      </c>
      <c r="D1187" s="81" t="str">
        <f t="shared" si="21"/>
        <v>GalvaBobines 5301"</v>
      </c>
      <c r="E1187" s="76" t="s">
        <v>858</v>
      </c>
      <c r="F1187" s="81">
        <v>22</v>
      </c>
      <c r="G1187" s="86" t="s">
        <v>859</v>
      </c>
      <c r="H1187" s="71"/>
      <c r="I1187" s="105"/>
      <c r="J1187" s="70">
        <f>IFERROR(VLOOKUP(Devis[[#This Row],[Ref Air Flux]],#REF!,3,FALSE),0)</f>
        <v>0</v>
      </c>
      <c r="K1187" s="68"/>
      <c r="L1187" s="68"/>
      <c r="M1187" s="68"/>
      <c r="N1187" s="68"/>
      <c r="O1187" s="68"/>
      <c r="P1187" s="68"/>
      <c r="Q1187" s="68">
        <f>SUM(Devis[[#This Row],[Poste 1]:[Poste 6]])</f>
        <v>0</v>
      </c>
      <c r="R1187" s="71"/>
      <c r="S1187" s="68">
        <f>_xlfn.CEILING.MATH(Devis[[#This Row],[Quantité Totale]],Devis[[#This Row],[Conditionnement]])</f>
        <v>0</v>
      </c>
      <c r="T1187" s="72"/>
      <c r="U1187" s="106"/>
      <c r="V1187" s="74">
        <f>Devis[[#This Row],[Prix de Revient]]*Devis[[#This Row],[Poste 1]]</f>
        <v>0</v>
      </c>
      <c r="W1187" s="74">
        <f>Devis[[#This Row],[Prix de Revient]]*Devis[[#This Row],[Poste 2]]</f>
        <v>0</v>
      </c>
      <c r="X1187" s="74">
        <f>Devis[[#This Row],[Prix de Revient]]*Devis[[#This Row],[Poste 3]]</f>
        <v>0</v>
      </c>
      <c r="Y1187" s="74">
        <f>Devis[[#This Row],[Poste 4]]*Devis[[#This Row],[Prix de Revient]]</f>
        <v>0</v>
      </c>
      <c r="Z1187" s="74">
        <f>Devis[[#This Row],[Poste 5]]*Devis[[#This Row],[Prix de Revient]]</f>
        <v>0</v>
      </c>
      <c r="AA1187" s="74">
        <f>Devis[[#This Row],[Prix de Revient]]*Devis[[#This Row],[Poste 6]]</f>
        <v>0</v>
      </c>
      <c r="AB1187" s="74">
        <f>Devis[[#This Row],[Quantité Totale]]*Devis[[#This Row],[Prix de Revient]]</f>
        <v>0</v>
      </c>
    </row>
    <row r="1188" spans="1:28" ht="15" customHeight="1" outlineLevel="1" x14ac:dyDescent="0.2">
      <c r="A1188" s="75" t="s">
        <v>3557</v>
      </c>
      <c r="B1188" s="76" t="s">
        <v>827</v>
      </c>
      <c r="C1188" s="107" t="s">
        <v>0</v>
      </c>
      <c r="D1188" s="81" t="str">
        <f t="shared" si="21"/>
        <v>GalvaBobines 5302"</v>
      </c>
      <c r="E1188" s="76" t="s">
        <v>0</v>
      </c>
      <c r="F1188" s="81">
        <v>23</v>
      </c>
      <c r="G1188" s="86" t="s">
        <v>845</v>
      </c>
      <c r="H1188" s="71"/>
      <c r="I1188" s="105"/>
      <c r="J1188" s="70">
        <f>IFERROR(VLOOKUP(Devis[[#This Row],[Ref Air Flux]],#REF!,3,FALSE),0)</f>
        <v>0</v>
      </c>
      <c r="K1188" s="68"/>
      <c r="L1188" s="68"/>
      <c r="M1188" s="68"/>
      <c r="N1188" s="68"/>
      <c r="O1188" s="68"/>
      <c r="P1188" s="68"/>
      <c r="Q1188" s="68">
        <f>SUM(Devis[[#This Row],[Poste 1]:[Poste 6]])</f>
        <v>0</v>
      </c>
      <c r="R1188" s="71"/>
      <c r="S1188" s="68">
        <f>_xlfn.CEILING.MATH(Devis[[#This Row],[Quantité Totale]],Devis[[#This Row],[Conditionnement]])</f>
        <v>0</v>
      </c>
      <c r="T1188" s="72"/>
      <c r="U1188" s="106"/>
      <c r="V1188" s="74">
        <f>Devis[[#This Row],[Prix de Revient]]*Devis[[#This Row],[Poste 1]]</f>
        <v>0</v>
      </c>
      <c r="W1188" s="74">
        <f>Devis[[#This Row],[Prix de Revient]]*Devis[[#This Row],[Poste 2]]</f>
        <v>0</v>
      </c>
      <c r="X1188" s="74">
        <f>Devis[[#This Row],[Prix de Revient]]*Devis[[#This Row],[Poste 3]]</f>
        <v>0</v>
      </c>
      <c r="Y1188" s="74">
        <f>Devis[[#This Row],[Poste 4]]*Devis[[#This Row],[Prix de Revient]]</f>
        <v>0</v>
      </c>
      <c r="Z1188" s="74">
        <f>Devis[[#This Row],[Poste 5]]*Devis[[#This Row],[Prix de Revient]]</f>
        <v>0</v>
      </c>
      <c r="AA1188" s="74">
        <f>Devis[[#This Row],[Prix de Revient]]*Devis[[#This Row],[Poste 6]]</f>
        <v>0</v>
      </c>
      <c r="AB1188" s="74">
        <f>Devis[[#This Row],[Quantité Totale]]*Devis[[#This Row],[Prix de Revient]]</f>
        <v>0</v>
      </c>
    </row>
    <row r="1189" spans="1:28" ht="14.25" customHeight="1" outlineLevel="1" x14ac:dyDescent="0.2">
      <c r="A1189" s="75" t="s">
        <v>3557</v>
      </c>
      <c r="B1189" s="76" t="s">
        <v>827</v>
      </c>
      <c r="C1189" s="107" t="s">
        <v>0</v>
      </c>
      <c r="D1189" s="81" t="str">
        <f t="shared" si="21"/>
        <v>GalvaBobines 5302"</v>
      </c>
      <c r="E1189" s="76" t="s">
        <v>843</v>
      </c>
      <c r="F1189" s="81">
        <v>24</v>
      </c>
      <c r="G1189" s="86" t="s">
        <v>844</v>
      </c>
      <c r="H1189" s="71"/>
      <c r="I1189" s="105"/>
      <c r="J1189" s="70">
        <f>IFERROR(VLOOKUP(Devis[[#This Row],[Ref Air Flux]],#REF!,3,FALSE),0)</f>
        <v>0</v>
      </c>
      <c r="K1189" s="68"/>
      <c r="L1189" s="68"/>
      <c r="M1189" s="68"/>
      <c r="N1189" s="68"/>
      <c r="O1189" s="68"/>
      <c r="P1189" s="68"/>
      <c r="Q1189" s="68">
        <f>SUM(Devis[[#This Row],[Poste 1]:[Poste 6]])</f>
        <v>0</v>
      </c>
      <c r="R1189" s="71"/>
      <c r="S1189" s="68">
        <f>_xlfn.CEILING.MATH(Devis[[#This Row],[Quantité Totale]],Devis[[#This Row],[Conditionnement]])</f>
        <v>0</v>
      </c>
      <c r="T1189" s="72"/>
      <c r="U1189" s="106"/>
      <c r="V1189" s="74">
        <f>Devis[[#This Row],[Prix de Revient]]*Devis[[#This Row],[Poste 1]]</f>
        <v>0</v>
      </c>
      <c r="W1189" s="74">
        <f>Devis[[#This Row],[Prix de Revient]]*Devis[[#This Row],[Poste 2]]</f>
        <v>0</v>
      </c>
      <c r="X1189" s="74">
        <f>Devis[[#This Row],[Prix de Revient]]*Devis[[#This Row],[Poste 3]]</f>
        <v>0</v>
      </c>
      <c r="Y1189" s="74">
        <f>Devis[[#This Row],[Poste 4]]*Devis[[#This Row],[Prix de Revient]]</f>
        <v>0</v>
      </c>
      <c r="Z1189" s="74">
        <f>Devis[[#This Row],[Poste 5]]*Devis[[#This Row],[Prix de Revient]]</f>
        <v>0</v>
      </c>
      <c r="AA1189" s="74">
        <f>Devis[[#This Row],[Prix de Revient]]*Devis[[#This Row],[Poste 6]]</f>
        <v>0</v>
      </c>
      <c r="AB1189" s="74">
        <f>Devis[[#This Row],[Quantité Totale]]*Devis[[#This Row],[Prix de Revient]]</f>
        <v>0</v>
      </c>
    </row>
    <row r="1190" spans="1:28" ht="14.25" customHeight="1" outlineLevel="1" x14ac:dyDescent="0.2">
      <c r="A1190" s="75" t="s">
        <v>3557</v>
      </c>
      <c r="B1190" s="76" t="s">
        <v>827</v>
      </c>
      <c r="C1190" s="107" t="s">
        <v>49</v>
      </c>
      <c r="D1190" s="81" t="str">
        <f t="shared" si="21"/>
        <v>GalvaBobines 5302"1/2</v>
      </c>
      <c r="E1190" s="76" t="s">
        <v>49</v>
      </c>
      <c r="F1190" s="81">
        <v>25</v>
      </c>
      <c r="G1190" s="86" t="s">
        <v>834</v>
      </c>
      <c r="H1190" s="71"/>
      <c r="I1190" s="105"/>
      <c r="J1190" s="70">
        <f>IFERROR(VLOOKUP(Devis[[#This Row],[Ref Air Flux]],#REF!,3,FALSE),0)</f>
        <v>0</v>
      </c>
      <c r="K1190" s="68"/>
      <c r="L1190" s="68"/>
      <c r="M1190" s="68"/>
      <c r="N1190" s="68"/>
      <c r="O1190" s="68"/>
      <c r="P1190" s="68"/>
      <c r="Q1190" s="68">
        <f>SUM(Devis[[#This Row],[Poste 1]:[Poste 6]])</f>
        <v>0</v>
      </c>
      <c r="R1190" s="71"/>
      <c r="S1190" s="68">
        <f>_xlfn.CEILING.MATH(Devis[[#This Row],[Quantité Totale]],Devis[[#This Row],[Conditionnement]])</f>
        <v>0</v>
      </c>
      <c r="T1190" s="72"/>
      <c r="U1190" s="106"/>
      <c r="V1190" s="74">
        <f>Devis[[#This Row],[Prix de Revient]]*Devis[[#This Row],[Poste 1]]</f>
        <v>0</v>
      </c>
      <c r="W1190" s="74">
        <f>Devis[[#This Row],[Prix de Revient]]*Devis[[#This Row],[Poste 2]]</f>
        <v>0</v>
      </c>
      <c r="X1190" s="74">
        <f>Devis[[#This Row],[Prix de Revient]]*Devis[[#This Row],[Poste 3]]</f>
        <v>0</v>
      </c>
      <c r="Y1190" s="74">
        <f>Devis[[#This Row],[Poste 4]]*Devis[[#This Row],[Prix de Revient]]</f>
        <v>0</v>
      </c>
      <c r="Z1190" s="74">
        <f>Devis[[#This Row],[Poste 5]]*Devis[[#This Row],[Prix de Revient]]</f>
        <v>0</v>
      </c>
      <c r="AA1190" s="74">
        <f>Devis[[#This Row],[Prix de Revient]]*Devis[[#This Row],[Poste 6]]</f>
        <v>0</v>
      </c>
      <c r="AB1190" s="74">
        <f>Devis[[#This Row],[Quantité Totale]]*Devis[[#This Row],[Prix de Revient]]</f>
        <v>0</v>
      </c>
    </row>
    <row r="1191" spans="1:28" ht="14.25" outlineLevel="1" x14ac:dyDescent="0.2">
      <c r="A1191" s="75" t="s">
        <v>3557</v>
      </c>
      <c r="B1191" s="76" t="s">
        <v>827</v>
      </c>
      <c r="C1191" s="107" t="s">
        <v>49</v>
      </c>
      <c r="D1191" s="81" t="str">
        <f t="shared" si="21"/>
        <v>GalvaBobines 5302"1/2</v>
      </c>
      <c r="E1191" s="76" t="s">
        <v>832</v>
      </c>
      <c r="F1191" s="81">
        <v>26</v>
      </c>
      <c r="G1191" s="86" t="s">
        <v>833</v>
      </c>
      <c r="H1191" s="71"/>
      <c r="I1191" s="105"/>
      <c r="J1191" s="70">
        <f>IFERROR(VLOOKUP(Devis[[#This Row],[Ref Air Flux]],#REF!,3,FALSE),0)</f>
        <v>0</v>
      </c>
      <c r="K1191" s="68"/>
      <c r="L1191" s="68"/>
      <c r="M1191" s="68"/>
      <c r="N1191" s="68"/>
      <c r="O1191" s="68"/>
      <c r="P1191" s="68"/>
      <c r="Q1191" s="68">
        <f>SUM(Devis[[#This Row],[Poste 1]:[Poste 6]])</f>
        <v>0</v>
      </c>
      <c r="R1191" s="71"/>
      <c r="S1191" s="68">
        <f>_xlfn.CEILING.MATH(Devis[[#This Row],[Quantité Totale]],Devis[[#This Row],[Conditionnement]])</f>
        <v>0</v>
      </c>
      <c r="T1191" s="72"/>
      <c r="U1191" s="106"/>
      <c r="V1191" s="74">
        <f>Devis[[#This Row],[Prix de Revient]]*Devis[[#This Row],[Poste 1]]</f>
        <v>0</v>
      </c>
      <c r="W1191" s="74">
        <f>Devis[[#This Row],[Prix de Revient]]*Devis[[#This Row],[Poste 2]]</f>
        <v>0</v>
      </c>
      <c r="X1191" s="74">
        <f>Devis[[#This Row],[Prix de Revient]]*Devis[[#This Row],[Poste 3]]</f>
        <v>0</v>
      </c>
      <c r="Y1191" s="74">
        <f>Devis[[#This Row],[Poste 4]]*Devis[[#This Row],[Prix de Revient]]</f>
        <v>0</v>
      </c>
      <c r="Z1191" s="74">
        <f>Devis[[#This Row],[Poste 5]]*Devis[[#This Row],[Prix de Revient]]</f>
        <v>0</v>
      </c>
      <c r="AA1191" s="74">
        <f>Devis[[#This Row],[Prix de Revient]]*Devis[[#This Row],[Poste 6]]</f>
        <v>0</v>
      </c>
      <c r="AB1191" s="74">
        <f>Devis[[#This Row],[Quantité Totale]]*Devis[[#This Row],[Prix de Revient]]</f>
        <v>0</v>
      </c>
    </row>
    <row r="1192" spans="1:28" ht="15" customHeight="1" outlineLevel="1" x14ac:dyDescent="0.2">
      <c r="A1192" s="75" t="s">
        <v>3557</v>
      </c>
      <c r="B1192" s="76" t="s">
        <v>827</v>
      </c>
      <c r="C1192" s="107" t="s">
        <v>49</v>
      </c>
      <c r="D1192" s="81" t="str">
        <f t="shared" si="21"/>
        <v>GalvaBobines 5302"1/2</v>
      </c>
      <c r="E1192" s="76" t="s">
        <v>830</v>
      </c>
      <c r="F1192" s="81">
        <v>27</v>
      </c>
      <c r="G1192" s="86" t="s">
        <v>831</v>
      </c>
      <c r="H1192" s="71"/>
      <c r="I1192" s="105"/>
      <c r="J1192" s="70">
        <f>IFERROR(VLOOKUP(Devis[[#This Row],[Ref Air Flux]],#REF!,3,FALSE),0)</f>
        <v>0</v>
      </c>
      <c r="K1192" s="68"/>
      <c r="L1192" s="68"/>
      <c r="M1192" s="68"/>
      <c r="N1192" s="68"/>
      <c r="O1192" s="68"/>
      <c r="P1192" s="68"/>
      <c r="Q1192" s="68">
        <f>SUM(Devis[[#This Row],[Poste 1]:[Poste 6]])</f>
        <v>0</v>
      </c>
      <c r="R1192" s="71"/>
      <c r="S1192" s="68">
        <f>_xlfn.CEILING.MATH(Devis[[#This Row],[Quantité Totale]],Devis[[#This Row],[Conditionnement]])</f>
        <v>0</v>
      </c>
      <c r="T1192" s="72"/>
      <c r="U1192" s="106"/>
      <c r="V1192" s="74">
        <f>Devis[[#This Row],[Prix de Revient]]*Devis[[#This Row],[Poste 1]]</f>
        <v>0</v>
      </c>
      <c r="W1192" s="74">
        <f>Devis[[#This Row],[Prix de Revient]]*Devis[[#This Row],[Poste 2]]</f>
        <v>0</v>
      </c>
      <c r="X1192" s="74">
        <f>Devis[[#This Row],[Prix de Revient]]*Devis[[#This Row],[Poste 3]]</f>
        <v>0</v>
      </c>
      <c r="Y1192" s="74">
        <f>Devis[[#This Row],[Poste 4]]*Devis[[#This Row],[Prix de Revient]]</f>
        <v>0</v>
      </c>
      <c r="Z1192" s="74">
        <f>Devis[[#This Row],[Poste 5]]*Devis[[#This Row],[Prix de Revient]]</f>
        <v>0</v>
      </c>
      <c r="AA1192" s="74">
        <f>Devis[[#This Row],[Prix de Revient]]*Devis[[#This Row],[Poste 6]]</f>
        <v>0</v>
      </c>
      <c r="AB1192" s="74">
        <f>Devis[[#This Row],[Quantité Totale]]*Devis[[#This Row],[Prix de Revient]]</f>
        <v>0</v>
      </c>
    </row>
    <row r="1193" spans="1:28" ht="14.25" outlineLevel="1" x14ac:dyDescent="0.2">
      <c r="A1193" s="75" t="s">
        <v>3557</v>
      </c>
      <c r="B1193" s="76" t="s">
        <v>827</v>
      </c>
      <c r="C1193" s="107" t="s">
        <v>0</v>
      </c>
      <c r="D1193" s="81" t="str">
        <f t="shared" si="21"/>
        <v>GalvaBobines 5302"</v>
      </c>
      <c r="E1193" s="76" t="s">
        <v>841</v>
      </c>
      <c r="F1193" s="81">
        <v>28</v>
      </c>
      <c r="G1193" s="86" t="s">
        <v>842</v>
      </c>
      <c r="H1193" s="71"/>
      <c r="I1193" s="105"/>
      <c r="J1193" s="70">
        <f>IFERROR(VLOOKUP(Devis[[#This Row],[Ref Air Flux]],#REF!,3,FALSE),0)</f>
        <v>0</v>
      </c>
      <c r="K1193" s="68"/>
      <c r="L1193" s="68"/>
      <c r="M1193" s="68"/>
      <c r="N1193" s="68"/>
      <c r="O1193" s="68"/>
      <c r="P1193" s="68"/>
      <c r="Q1193" s="68">
        <f>SUM(Devis[[#This Row],[Poste 1]:[Poste 6]])</f>
        <v>0</v>
      </c>
      <c r="R1193" s="71"/>
      <c r="S1193" s="68">
        <f>_xlfn.CEILING.MATH(Devis[[#This Row],[Quantité Totale]],Devis[[#This Row],[Conditionnement]])</f>
        <v>0</v>
      </c>
      <c r="T1193" s="72"/>
      <c r="U1193" s="106"/>
      <c r="V1193" s="74">
        <f>Devis[[#This Row],[Prix de Revient]]*Devis[[#This Row],[Poste 1]]</f>
        <v>0</v>
      </c>
      <c r="W1193" s="74">
        <f>Devis[[#This Row],[Prix de Revient]]*Devis[[#This Row],[Poste 2]]</f>
        <v>0</v>
      </c>
      <c r="X1193" s="74">
        <f>Devis[[#This Row],[Prix de Revient]]*Devis[[#This Row],[Poste 3]]</f>
        <v>0</v>
      </c>
      <c r="Y1193" s="74">
        <f>Devis[[#This Row],[Poste 4]]*Devis[[#This Row],[Prix de Revient]]</f>
        <v>0</v>
      </c>
      <c r="Z1193" s="74">
        <f>Devis[[#This Row],[Poste 5]]*Devis[[#This Row],[Prix de Revient]]</f>
        <v>0</v>
      </c>
      <c r="AA1193" s="74">
        <f>Devis[[#This Row],[Prix de Revient]]*Devis[[#This Row],[Poste 6]]</f>
        <v>0</v>
      </c>
      <c r="AB1193" s="74">
        <f>Devis[[#This Row],[Quantité Totale]]*Devis[[#This Row],[Prix de Revient]]</f>
        <v>0</v>
      </c>
    </row>
    <row r="1194" spans="1:28" ht="14.25" outlineLevel="1" x14ac:dyDescent="0.2">
      <c r="A1194" s="75" t="s">
        <v>3557</v>
      </c>
      <c r="B1194" s="76" t="s">
        <v>827</v>
      </c>
      <c r="C1194" s="107" t="s">
        <v>0</v>
      </c>
      <c r="D1194" s="81" t="str">
        <f t="shared" si="21"/>
        <v>GalvaBobines 5302"</v>
      </c>
      <c r="E1194" s="76" t="s">
        <v>839</v>
      </c>
      <c r="F1194" s="81">
        <v>29</v>
      </c>
      <c r="G1194" s="86" t="s">
        <v>840</v>
      </c>
      <c r="H1194" s="71"/>
      <c r="I1194" s="105"/>
      <c r="J1194" s="70">
        <f>IFERROR(VLOOKUP(Devis[[#This Row],[Ref Air Flux]],#REF!,3,FALSE),0)</f>
        <v>0</v>
      </c>
      <c r="K1194" s="68"/>
      <c r="L1194" s="68"/>
      <c r="M1194" s="68"/>
      <c r="N1194" s="68"/>
      <c r="O1194" s="68"/>
      <c r="P1194" s="68"/>
      <c r="Q1194" s="68">
        <f>SUM(Devis[[#This Row],[Poste 1]:[Poste 6]])</f>
        <v>0</v>
      </c>
      <c r="R1194" s="71"/>
      <c r="S1194" s="68">
        <f>_xlfn.CEILING.MATH(Devis[[#This Row],[Quantité Totale]],Devis[[#This Row],[Conditionnement]])</f>
        <v>0</v>
      </c>
      <c r="T1194" s="72"/>
      <c r="U1194" s="106"/>
      <c r="V1194" s="74">
        <f>Devis[[#This Row],[Prix de Revient]]*Devis[[#This Row],[Poste 1]]</f>
        <v>0</v>
      </c>
      <c r="W1194" s="74">
        <f>Devis[[#This Row],[Prix de Revient]]*Devis[[#This Row],[Poste 2]]</f>
        <v>0</v>
      </c>
      <c r="X1194" s="74">
        <f>Devis[[#This Row],[Prix de Revient]]*Devis[[#This Row],[Poste 3]]</f>
        <v>0</v>
      </c>
      <c r="Y1194" s="74">
        <f>Devis[[#This Row],[Poste 4]]*Devis[[#This Row],[Prix de Revient]]</f>
        <v>0</v>
      </c>
      <c r="Z1194" s="74">
        <f>Devis[[#This Row],[Poste 5]]*Devis[[#This Row],[Prix de Revient]]</f>
        <v>0</v>
      </c>
      <c r="AA1194" s="74">
        <f>Devis[[#This Row],[Prix de Revient]]*Devis[[#This Row],[Poste 6]]</f>
        <v>0</v>
      </c>
      <c r="AB1194" s="74">
        <f>Devis[[#This Row],[Quantité Totale]]*Devis[[#This Row],[Prix de Revient]]</f>
        <v>0</v>
      </c>
    </row>
    <row r="1195" spans="1:28" ht="14.25" customHeight="1" outlineLevel="1" x14ac:dyDescent="0.2">
      <c r="A1195" s="75" t="s">
        <v>3557</v>
      </c>
      <c r="B1195" s="76" t="s">
        <v>827</v>
      </c>
      <c r="C1195" s="107" t="s">
        <v>0</v>
      </c>
      <c r="D1195" s="81" t="str">
        <f t="shared" si="21"/>
        <v>GalvaBobines 5302"</v>
      </c>
      <c r="E1195" s="76" t="s">
        <v>837</v>
      </c>
      <c r="F1195" s="81">
        <v>30</v>
      </c>
      <c r="G1195" s="86" t="s">
        <v>838</v>
      </c>
      <c r="H1195" s="71"/>
      <c r="I1195" s="105"/>
      <c r="J1195" s="70">
        <f>IFERROR(VLOOKUP(Devis[[#This Row],[Ref Air Flux]],#REF!,3,FALSE),0)</f>
        <v>0</v>
      </c>
      <c r="K1195" s="68"/>
      <c r="L1195" s="68"/>
      <c r="M1195" s="68"/>
      <c r="N1195" s="68"/>
      <c r="O1195" s="68"/>
      <c r="P1195" s="68"/>
      <c r="Q1195" s="68">
        <f>SUM(Devis[[#This Row],[Poste 1]:[Poste 6]])</f>
        <v>0</v>
      </c>
      <c r="R1195" s="71"/>
      <c r="S1195" s="68">
        <f>_xlfn.CEILING.MATH(Devis[[#This Row],[Quantité Totale]],Devis[[#This Row],[Conditionnement]])</f>
        <v>0</v>
      </c>
      <c r="T1195" s="72"/>
      <c r="U1195" s="106"/>
      <c r="V1195" s="74">
        <f>Devis[[#This Row],[Prix de Revient]]*Devis[[#This Row],[Poste 1]]</f>
        <v>0</v>
      </c>
      <c r="W1195" s="74">
        <f>Devis[[#This Row],[Prix de Revient]]*Devis[[#This Row],[Poste 2]]</f>
        <v>0</v>
      </c>
      <c r="X1195" s="74">
        <f>Devis[[#This Row],[Prix de Revient]]*Devis[[#This Row],[Poste 3]]</f>
        <v>0</v>
      </c>
      <c r="Y1195" s="74">
        <f>Devis[[#This Row],[Poste 4]]*Devis[[#This Row],[Prix de Revient]]</f>
        <v>0</v>
      </c>
      <c r="Z1195" s="74">
        <f>Devis[[#This Row],[Poste 5]]*Devis[[#This Row],[Prix de Revient]]</f>
        <v>0</v>
      </c>
      <c r="AA1195" s="74">
        <f>Devis[[#This Row],[Prix de Revient]]*Devis[[#This Row],[Poste 6]]</f>
        <v>0</v>
      </c>
      <c r="AB1195" s="74">
        <f>Devis[[#This Row],[Quantité Totale]]*Devis[[#This Row],[Prix de Revient]]</f>
        <v>0</v>
      </c>
    </row>
    <row r="1196" spans="1:28" ht="14.25" outlineLevel="1" x14ac:dyDescent="0.2">
      <c r="A1196" s="75" t="s">
        <v>3557</v>
      </c>
      <c r="B1196" s="76" t="s">
        <v>827</v>
      </c>
      <c r="C1196" s="107" t="s">
        <v>0</v>
      </c>
      <c r="D1196" s="81" t="str">
        <f t="shared" si="21"/>
        <v>GalvaBobines 5302"</v>
      </c>
      <c r="E1196" s="76" t="s">
        <v>835</v>
      </c>
      <c r="F1196" s="81">
        <v>31</v>
      </c>
      <c r="G1196" s="86" t="s">
        <v>836</v>
      </c>
      <c r="H1196" s="71"/>
      <c r="I1196" s="105"/>
      <c r="J1196" s="70">
        <f>IFERROR(VLOOKUP(Devis[[#This Row],[Ref Air Flux]],#REF!,3,FALSE),0)</f>
        <v>0</v>
      </c>
      <c r="K1196" s="68"/>
      <c r="L1196" s="68"/>
      <c r="M1196" s="68"/>
      <c r="N1196" s="68"/>
      <c r="O1196" s="68"/>
      <c r="P1196" s="68"/>
      <c r="Q1196" s="68">
        <f>SUM(Devis[[#This Row],[Poste 1]:[Poste 6]])</f>
        <v>0</v>
      </c>
      <c r="R1196" s="71"/>
      <c r="S1196" s="68">
        <f>_xlfn.CEILING.MATH(Devis[[#This Row],[Quantité Totale]],Devis[[#This Row],[Conditionnement]])</f>
        <v>0</v>
      </c>
      <c r="T1196" s="72"/>
      <c r="U1196" s="106"/>
      <c r="V1196" s="74">
        <f>Devis[[#This Row],[Prix de Revient]]*Devis[[#This Row],[Poste 1]]</f>
        <v>0</v>
      </c>
      <c r="W1196" s="74">
        <f>Devis[[#This Row],[Prix de Revient]]*Devis[[#This Row],[Poste 2]]</f>
        <v>0</v>
      </c>
      <c r="X1196" s="74">
        <f>Devis[[#This Row],[Prix de Revient]]*Devis[[#This Row],[Poste 3]]</f>
        <v>0</v>
      </c>
      <c r="Y1196" s="74">
        <f>Devis[[#This Row],[Poste 4]]*Devis[[#This Row],[Prix de Revient]]</f>
        <v>0</v>
      </c>
      <c r="Z1196" s="74">
        <f>Devis[[#This Row],[Poste 5]]*Devis[[#This Row],[Prix de Revient]]</f>
        <v>0</v>
      </c>
      <c r="AA1196" s="74">
        <f>Devis[[#This Row],[Prix de Revient]]*Devis[[#This Row],[Poste 6]]</f>
        <v>0</v>
      </c>
      <c r="AB1196" s="74">
        <f>Devis[[#This Row],[Quantité Totale]]*Devis[[#This Row],[Prix de Revient]]</f>
        <v>0</v>
      </c>
    </row>
    <row r="1197" spans="1:28" ht="14.25" customHeight="1" outlineLevel="1" x14ac:dyDescent="0.2">
      <c r="A1197" s="75" t="s">
        <v>3557</v>
      </c>
      <c r="B1197" s="76" t="s">
        <v>827</v>
      </c>
      <c r="C1197" s="107" t="s">
        <v>2061</v>
      </c>
      <c r="D1197" s="81" t="str">
        <f t="shared" si="21"/>
        <v>GalvaBobines 5303/4"</v>
      </c>
      <c r="E1197" s="80" t="s">
        <v>18</v>
      </c>
      <c r="F1197" s="81">
        <v>32</v>
      </c>
      <c r="G1197" s="86" t="s">
        <v>883</v>
      </c>
      <c r="H1197" s="71"/>
      <c r="I1197" s="105"/>
      <c r="J1197" s="70">
        <f>IFERROR(VLOOKUP(Devis[[#This Row],[Ref Air Flux]],#REF!,3,FALSE),0)</f>
        <v>0</v>
      </c>
      <c r="K1197" s="68"/>
      <c r="L1197" s="68"/>
      <c r="M1197" s="68"/>
      <c r="N1197" s="68"/>
      <c r="O1197" s="68"/>
      <c r="P1197" s="68"/>
      <c r="Q1197" s="68">
        <f>SUM(Devis[[#This Row],[Poste 1]:[Poste 6]])</f>
        <v>0</v>
      </c>
      <c r="R1197" s="71"/>
      <c r="S1197" s="68">
        <f>_xlfn.CEILING.MATH(Devis[[#This Row],[Quantité Totale]],Devis[[#This Row],[Conditionnement]])</f>
        <v>0</v>
      </c>
      <c r="T1197" s="72"/>
      <c r="U1197" s="106"/>
      <c r="V1197" s="74">
        <f>Devis[[#This Row],[Prix de Revient]]*Devis[[#This Row],[Poste 1]]</f>
        <v>0</v>
      </c>
      <c r="W1197" s="74">
        <f>Devis[[#This Row],[Prix de Revient]]*Devis[[#This Row],[Poste 2]]</f>
        <v>0</v>
      </c>
      <c r="X1197" s="74">
        <f>Devis[[#This Row],[Prix de Revient]]*Devis[[#This Row],[Poste 3]]</f>
        <v>0</v>
      </c>
      <c r="Y1197" s="74">
        <f>Devis[[#This Row],[Poste 4]]*Devis[[#This Row],[Prix de Revient]]</f>
        <v>0</v>
      </c>
      <c r="Z1197" s="74">
        <f>Devis[[#This Row],[Poste 5]]*Devis[[#This Row],[Prix de Revient]]</f>
        <v>0</v>
      </c>
      <c r="AA1197" s="74">
        <f>Devis[[#This Row],[Prix de Revient]]*Devis[[#This Row],[Poste 6]]</f>
        <v>0</v>
      </c>
      <c r="AB1197" s="74">
        <f>Devis[[#This Row],[Quantité Totale]]*Devis[[#This Row],[Prix de Revient]]</f>
        <v>0</v>
      </c>
    </row>
    <row r="1198" spans="1:28" ht="14.25" outlineLevel="1" x14ac:dyDescent="0.2">
      <c r="A1198" s="75" t="s">
        <v>3557</v>
      </c>
      <c r="B1198" s="76" t="s">
        <v>827</v>
      </c>
      <c r="C1198" s="107" t="s">
        <v>2061</v>
      </c>
      <c r="D1198" s="81" t="str">
        <f t="shared" si="21"/>
        <v>GalvaBobines 5303/4"</v>
      </c>
      <c r="E1198" s="76" t="s">
        <v>881</v>
      </c>
      <c r="F1198" s="81">
        <v>33</v>
      </c>
      <c r="G1198" s="86" t="s">
        <v>882</v>
      </c>
      <c r="H1198" s="71"/>
      <c r="I1198" s="105"/>
      <c r="J1198" s="70">
        <f>IFERROR(VLOOKUP(Devis[[#This Row],[Ref Air Flux]],#REF!,3,FALSE),0)</f>
        <v>0</v>
      </c>
      <c r="K1198" s="68"/>
      <c r="L1198" s="68"/>
      <c r="M1198" s="68"/>
      <c r="N1198" s="68"/>
      <c r="O1198" s="68"/>
      <c r="P1198" s="68"/>
      <c r="Q1198" s="68">
        <f>SUM(Devis[[#This Row],[Poste 1]:[Poste 6]])</f>
        <v>0</v>
      </c>
      <c r="R1198" s="71"/>
      <c r="S1198" s="68">
        <f>_xlfn.CEILING.MATH(Devis[[#This Row],[Quantité Totale]],Devis[[#This Row],[Conditionnement]])</f>
        <v>0</v>
      </c>
      <c r="T1198" s="72"/>
      <c r="U1198" s="106"/>
      <c r="V1198" s="74">
        <f>Devis[[#This Row],[Prix de Revient]]*Devis[[#This Row],[Poste 1]]</f>
        <v>0</v>
      </c>
      <c r="W1198" s="74">
        <f>Devis[[#This Row],[Prix de Revient]]*Devis[[#This Row],[Poste 2]]</f>
        <v>0</v>
      </c>
      <c r="X1198" s="74">
        <f>Devis[[#This Row],[Prix de Revient]]*Devis[[#This Row],[Poste 3]]</f>
        <v>0</v>
      </c>
      <c r="Y1198" s="74">
        <f>Devis[[#This Row],[Poste 4]]*Devis[[#This Row],[Prix de Revient]]</f>
        <v>0</v>
      </c>
      <c r="Z1198" s="74">
        <f>Devis[[#This Row],[Poste 5]]*Devis[[#This Row],[Prix de Revient]]</f>
        <v>0</v>
      </c>
      <c r="AA1198" s="74">
        <f>Devis[[#This Row],[Prix de Revient]]*Devis[[#This Row],[Poste 6]]</f>
        <v>0</v>
      </c>
      <c r="AB1198" s="74">
        <f>Devis[[#This Row],[Quantité Totale]]*Devis[[#This Row],[Prix de Revient]]</f>
        <v>0</v>
      </c>
    </row>
    <row r="1199" spans="1:28" ht="14.25" customHeight="1" outlineLevel="1" x14ac:dyDescent="0.2">
      <c r="A1199" s="75" t="s">
        <v>3557</v>
      </c>
      <c r="B1199" s="76" t="s">
        <v>827</v>
      </c>
      <c r="C1199" s="107" t="s">
        <v>2061</v>
      </c>
      <c r="D1199" s="81" t="str">
        <f t="shared" si="21"/>
        <v>GalvaBobines 5303/4"</v>
      </c>
      <c r="E1199" s="76" t="s">
        <v>879</v>
      </c>
      <c r="F1199" s="81">
        <v>34</v>
      </c>
      <c r="G1199" s="86" t="s">
        <v>880</v>
      </c>
      <c r="H1199" s="71"/>
      <c r="I1199" s="105"/>
      <c r="J1199" s="70">
        <f>IFERROR(VLOOKUP(Devis[[#This Row],[Ref Air Flux]],#REF!,3,FALSE),0)</f>
        <v>0</v>
      </c>
      <c r="K1199" s="68"/>
      <c r="L1199" s="68"/>
      <c r="M1199" s="68"/>
      <c r="N1199" s="68"/>
      <c r="O1199" s="68"/>
      <c r="P1199" s="68"/>
      <c r="Q1199" s="68">
        <f>SUM(Devis[[#This Row],[Poste 1]:[Poste 6]])</f>
        <v>0</v>
      </c>
      <c r="R1199" s="71"/>
      <c r="S1199" s="68">
        <f>_xlfn.CEILING.MATH(Devis[[#This Row],[Quantité Totale]],Devis[[#This Row],[Conditionnement]])</f>
        <v>0</v>
      </c>
      <c r="T1199" s="72"/>
      <c r="U1199" s="106"/>
      <c r="V1199" s="74">
        <f>Devis[[#This Row],[Prix de Revient]]*Devis[[#This Row],[Poste 1]]</f>
        <v>0</v>
      </c>
      <c r="W1199" s="74">
        <f>Devis[[#This Row],[Prix de Revient]]*Devis[[#This Row],[Poste 2]]</f>
        <v>0</v>
      </c>
      <c r="X1199" s="74">
        <f>Devis[[#This Row],[Prix de Revient]]*Devis[[#This Row],[Poste 3]]</f>
        <v>0</v>
      </c>
      <c r="Y1199" s="74">
        <f>Devis[[#This Row],[Poste 4]]*Devis[[#This Row],[Prix de Revient]]</f>
        <v>0</v>
      </c>
      <c r="Z1199" s="74">
        <f>Devis[[#This Row],[Poste 5]]*Devis[[#This Row],[Prix de Revient]]</f>
        <v>0</v>
      </c>
      <c r="AA1199" s="74">
        <f>Devis[[#This Row],[Prix de Revient]]*Devis[[#This Row],[Poste 6]]</f>
        <v>0</v>
      </c>
      <c r="AB1199" s="74">
        <f>Devis[[#This Row],[Quantité Totale]]*Devis[[#This Row],[Prix de Revient]]</f>
        <v>0</v>
      </c>
    </row>
    <row r="1200" spans="1:28" ht="14.25" customHeight="1" outlineLevel="1" x14ac:dyDescent="0.2">
      <c r="A1200" s="75" t="s">
        <v>3557</v>
      </c>
      <c r="B1200" s="76" t="s">
        <v>827</v>
      </c>
      <c r="C1200" s="107" t="s">
        <v>2061</v>
      </c>
      <c r="D1200" s="81" t="str">
        <f t="shared" si="21"/>
        <v>GalvaBobines 5303/4"</v>
      </c>
      <c r="E1200" s="76" t="s">
        <v>877</v>
      </c>
      <c r="F1200" s="81">
        <v>35</v>
      </c>
      <c r="G1200" s="86" t="s">
        <v>878</v>
      </c>
      <c r="H1200" s="71"/>
      <c r="I1200" s="105"/>
      <c r="J1200" s="70">
        <f>IFERROR(VLOOKUP(Devis[[#This Row],[Ref Air Flux]],#REF!,3,FALSE),0)</f>
        <v>0</v>
      </c>
      <c r="K1200" s="68"/>
      <c r="L1200" s="68"/>
      <c r="M1200" s="68"/>
      <c r="N1200" s="68"/>
      <c r="O1200" s="68"/>
      <c r="P1200" s="68"/>
      <c r="Q1200" s="68">
        <f>SUM(Devis[[#This Row],[Poste 1]:[Poste 6]])</f>
        <v>0</v>
      </c>
      <c r="R1200" s="71"/>
      <c r="S1200" s="68">
        <f>_xlfn.CEILING.MATH(Devis[[#This Row],[Quantité Totale]],Devis[[#This Row],[Conditionnement]])</f>
        <v>0</v>
      </c>
      <c r="T1200" s="72"/>
      <c r="U1200" s="106"/>
      <c r="V1200" s="74">
        <f>Devis[[#This Row],[Prix de Revient]]*Devis[[#This Row],[Poste 1]]</f>
        <v>0</v>
      </c>
      <c r="W1200" s="74">
        <f>Devis[[#This Row],[Prix de Revient]]*Devis[[#This Row],[Poste 2]]</f>
        <v>0</v>
      </c>
      <c r="X1200" s="74">
        <f>Devis[[#This Row],[Prix de Revient]]*Devis[[#This Row],[Poste 3]]</f>
        <v>0</v>
      </c>
      <c r="Y1200" s="74">
        <f>Devis[[#This Row],[Poste 4]]*Devis[[#This Row],[Prix de Revient]]</f>
        <v>0</v>
      </c>
      <c r="Z1200" s="74">
        <f>Devis[[#This Row],[Poste 5]]*Devis[[#This Row],[Prix de Revient]]</f>
        <v>0</v>
      </c>
      <c r="AA1200" s="74">
        <f>Devis[[#This Row],[Prix de Revient]]*Devis[[#This Row],[Poste 6]]</f>
        <v>0</v>
      </c>
      <c r="AB1200" s="74">
        <f>Devis[[#This Row],[Quantité Totale]]*Devis[[#This Row],[Prix de Revient]]</f>
        <v>0</v>
      </c>
    </row>
    <row r="1201" spans="1:28" ht="14.25" outlineLevel="1" x14ac:dyDescent="0.2">
      <c r="A1201" s="75" t="s">
        <v>3557</v>
      </c>
      <c r="B1201" s="76" t="s">
        <v>827</v>
      </c>
      <c r="C1201" s="107" t="s">
        <v>2061</v>
      </c>
      <c r="D1201" s="81" t="str">
        <f t="shared" si="21"/>
        <v>GalvaBobines 5303/4"</v>
      </c>
      <c r="E1201" s="76" t="s">
        <v>875</v>
      </c>
      <c r="F1201" s="81">
        <v>36</v>
      </c>
      <c r="G1201" s="86" t="s">
        <v>876</v>
      </c>
      <c r="H1201" s="71"/>
      <c r="I1201" s="105"/>
      <c r="J1201" s="70">
        <f>IFERROR(VLOOKUP(Devis[[#This Row],[Ref Air Flux]],#REF!,3,FALSE),0)</f>
        <v>0</v>
      </c>
      <c r="K1201" s="68"/>
      <c r="L1201" s="68"/>
      <c r="M1201" s="68"/>
      <c r="N1201" s="68"/>
      <c r="O1201" s="68"/>
      <c r="P1201" s="68"/>
      <c r="Q1201" s="68">
        <f>SUM(Devis[[#This Row],[Poste 1]:[Poste 6]])</f>
        <v>0</v>
      </c>
      <c r="R1201" s="71"/>
      <c r="S1201" s="68">
        <f>_xlfn.CEILING.MATH(Devis[[#This Row],[Quantité Totale]],Devis[[#This Row],[Conditionnement]])</f>
        <v>0</v>
      </c>
      <c r="T1201" s="72"/>
      <c r="U1201" s="106"/>
      <c r="V1201" s="74">
        <f>Devis[[#This Row],[Prix de Revient]]*Devis[[#This Row],[Poste 1]]</f>
        <v>0</v>
      </c>
      <c r="W1201" s="74">
        <f>Devis[[#This Row],[Prix de Revient]]*Devis[[#This Row],[Poste 2]]</f>
        <v>0</v>
      </c>
      <c r="X1201" s="74">
        <f>Devis[[#This Row],[Prix de Revient]]*Devis[[#This Row],[Poste 3]]</f>
        <v>0</v>
      </c>
      <c r="Y1201" s="74">
        <f>Devis[[#This Row],[Poste 4]]*Devis[[#This Row],[Prix de Revient]]</f>
        <v>0</v>
      </c>
      <c r="Z1201" s="74">
        <f>Devis[[#This Row],[Poste 5]]*Devis[[#This Row],[Prix de Revient]]</f>
        <v>0</v>
      </c>
      <c r="AA1201" s="74">
        <f>Devis[[#This Row],[Prix de Revient]]*Devis[[#This Row],[Poste 6]]</f>
        <v>0</v>
      </c>
      <c r="AB1201" s="74">
        <f>Devis[[#This Row],[Quantité Totale]]*Devis[[#This Row],[Prix de Revient]]</f>
        <v>0</v>
      </c>
    </row>
    <row r="1202" spans="1:28" ht="14.25" outlineLevel="1" x14ac:dyDescent="0.2">
      <c r="A1202" s="75" t="s">
        <v>3557</v>
      </c>
      <c r="B1202" s="76" t="s">
        <v>827</v>
      </c>
      <c r="C1202" s="107" t="s">
        <v>2061</v>
      </c>
      <c r="D1202" s="81" t="str">
        <f t="shared" si="21"/>
        <v>GalvaBobines 5303/4"</v>
      </c>
      <c r="E1202" s="76" t="s">
        <v>873</v>
      </c>
      <c r="F1202" s="81">
        <v>37</v>
      </c>
      <c r="G1202" s="86" t="s">
        <v>874</v>
      </c>
      <c r="H1202" s="71"/>
      <c r="I1202" s="105"/>
      <c r="J1202" s="70">
        <f>IFERROR(VLOOKUP(Devis[[#This Row],[Ref Air Flux]],#REF!,3,FALSE),0)</f>
        <v>0</v>
      </c>
      <c r="K1202" s="68"/>
      <c r="L1202" s="68"/>
      <c r="M1202" s="68"/>
      <c r="N1202" s="68"/>
      <c r="O1202" s="68"/>
      <c r="P1202" s="68"/>
      <c r="Q1202" s="68">
        <f>SUM(Devis[[#This Row],[Poste 1]:[Poste 6]])</f>
        <v>0</v>
      </c>
      <c r="R1202" s="71"/>
      <c r="S1202" s="68">
        <f>_xlfn.CEILING.MATH(Devis[[#This Row],[Quantité Totale]],Devis[[#This Row],[Conditionnement]])</f>
        <v>0</v>
      </c>
      <c r="T1202" s="72"/>
      <c r="U1202" s="106"/>
      <c r="V1202" s="74">
        <f>Devis[[#This Row],[Prix de Revient]]*Devis[[#This Row],[Poste 1]]</f>
        <v>0</v>
      </c>
      <c r="W1202" s="74">
        <f>Devis[[#This Row],[Prix de Revient]]*Devis[[#This Row],[Poste 2]]</f>
        <v>0</v>
      </c>
      <c r="X1202" s="74">
        <f>Devis[[#This Row],[Prix de Revient]]*Devis[[#This Row],[Poste 3]]</f>
        <v>0</v>
      </c>
      <c r="Y1202" s="74">
        <f>Devis[[#This Row],[Poste 4]]*Devis[[#This Row],[Prix de Revient]]</f>
        <v>0</v>
      </c>
      <c r="Z1202" s="74">
        <f>Devis[[#This Row],[Poste 5]]*Devis[[#This Row],[Prix de Revient]]</f>
        <v>0</v>
      </c>
      <c r="AA1202" s="74">
        <f>Devis[[#This Row],[Prix de Revient]]*Devis[[#This Row],[Poste 6]]</f>
        <v>0</v>
      </c>
      <c r="AB1202" s="74">
        <f>Devis[[#This Row],[Quantité Totale]]*Devis[[#This Row],[Prix de Revient]]</f>
        <v>0</v>
      </c>
    </row>
    <row r="1203" spans="1:28" ht="14.25" outlineLevel="1" x14ac:dyDescent="0.2">
      <c r="A1203" s="75" t="s">
        <v>3557</v>
      </c>
      <c r="B1203" s="76" t="s">
        <v>827</v>
      </c>
      <c r="C1203" s="107" t="s">
        <v>2061</v>
      </c>
      <c r="D1203" s="81" t="str">
        <f t="shared" ref="D1203:D1232" si="22">A1203&amp;B1203&amp;C1203</f>
        <v>GalvaBobines 5303/4"</v>
      </c>
      <c r="E1203" s="76" t="s">
        <v>871</v>
      </c>
      <c r="F1203" s="81">
        <v>38</v>
      </c>
      <c r="G1203" s="86" t="s">
        <v>872</v>
      </c>
      <c r="H1203" s="71"/>
      <c r="I1203" s="105"/>
      <c r="J1203" s="70">
        <f>IFERROR(VLOOKUP(Devis[[#This Row],[Ref Air Flux]],#REF!,3,FALSE),0)</f>
        <v>0</v>
      </c>
      <c r="K1203" s="68"/>
      <c r="L1203" s="68"/>
      <c r="M1203" s="68"/>
      <c r="N1203" s="68"/>
      <c r="O1203" s="68"/>
      <c r="P1203" s="68"/>
      <c r="Q1203" s="68">
        <f>SUM(Devis[[#This Row],[Poste 1]:[Poste 6]])</f>
        <v>0</v>
      </c>
      <c r="R1203" s="71"/>
      <c r="S1203" s="68">
        <f>_xlfn.CEILING.MATH(Devis[[#This Row],[Quantité Totale]],Devis[[#This Row],[Conditionnement]])</f>
        <v>0</v>
      </c>
      <c r="T1203" s="72"/>
      <c r="U1203" s="106"/>
      <c r="V1203" s="74">
        <f>Devis[[#This Row],[Prix de Revient]]*Devis[[#This Row],[Poste 1]]</f>
        <v>0</v>
      </c>
      <c r="W1203" s="74">
        <f>Devis[[#This Row],[Prix de Revient]]*Devis[[#This Row],[Poste 2]]</f>
        <v>0</v>
      </c>
      <c r="X1203" s="74">
        <f>Devis[[#This Row],[Prix de Revient]]*Devis[[#This Row],[Poste 3]]</f>
        <v>0</v>
      </c>
      <c r="Y1203" s="74">
        <f>Devis[[#This Row],[Poste 4]]*Devis[[#This Row],[Prix de Revient]]</f>
        <v>0</v>
      </c>
      <c r="Z1203" s="74">
        <f>Devis[[#This Row],[Poste 5]]*Devis[[#This Row],[Prix de Revient]]</f>
        <v>0</v>
      </c>
      <c r="AA1203" s="74">
        <f>Devis[[#This Row],[Prix de Revient]]*Devis[[#This Row],[Poste 6]]</f>
        <v>0</v>
      </c>
      <c r="AB1203" s="74">
        <f>Devis[[#This Row],[Quantité Totale]]*Devis[[#This Row],[Prix de Revient]]</f>
        <v>0</v>
      </c>
    </row>
    <row r="1204" spans="1:28" ht="14.25" outlineLevel="1" x14ac:dyDescent="0.2">
      <c r="A1204" s="75" t="s">
        <v>3557</v>
      </c>
      <c r="B1204" s="76" t="s">
        <v>827</v>
      </c>
      <c r="C1204" s="107" t="s">
        <v>2066</v>
      </c>
      <c r="D1204" s="81" t="str">
        <f t="shared" si="22"/>
        <v>GalvaBobines 5303/8"</v>
      </c>
      <c r="E1204" s="80" t="s">
        <v>16</v>
      </c>
      <c r="F1204" s="81">
        <v>39</v>
      </c>
      <c r="G1204" s="86" t="s">
        <v>903</v>
      </c>
      <c r="H1204" s="71"/>
      <c r="I1204" s="105"/>
      <c r="J1204" s="70">
        <f>IFERROR(VLOOKUP(Devis[[#This Row],[Ref Air Flux]],#REF!,3,FALSE),0)</f>
        <v>0</v>
      </c>
      <c r="K1204" s="68"/>
      <c r="L1204" s="68"/>
      <c r="M1204" s="68"/>
      <c r="N1204" s="68"/>
      <c r="O1204" s="68"/>
      <c r="P1204" s="68"/>
      <c r="Q1204" s="68">
        <f>SUM(Devis[[#This Row],[Poste 1]:[Poste 6]])</f>
        <v>0</v>
      </c>
      <c r="R1204" s="71"/>
      <c r="S1204" s="68">
        <f>_xlfn.CEILING.MATH(Devis[[#This Row],[Quantité Totale]],Devis[[#This Row],[Conditionnement]])</f>
        <v>0</v>
      </c>
      <c r="T1204" s="72"/>
      <c r="U1204" s="106"/>
      <c r="V1204" s="74">
        <f>Devis[[#This Row],[Prix de Revient]]*Devis[[#This Row],[Poste 1]]</f>
        <v>0</v>
      </c>
      <c r="W1204" s="74">
        <f>Devis[[#This Row],[Prix de Revient]]*Devis[[#This Row],[Poste 2]]</f>
        <v>0</v>
      </c>
      <c r="X1204" s="74">
        <f>Devis[[#This Row],[Prix de Revient]]*Devis[[#This Row],[Poste 3]]</f>
        <v>0</v>
      </c>
      <c r="Y1204" s="74">
        <f>Devis[[#This Row],[Poste 4]]*Devis[[#This Row],[Prix de Revient]]</f>
        <v>0</v>
      </c>
      <c r="Z1204" s="74">
        <f>Devis[[#This Row],[Poste 5]]*Devis[[#This Row],[Prix de Revient]]</f>
        <v>0</v>
      </c>
      <c r="AA1204" s="74">
        <f>Devis[[#This Row],[Prix de Revient]]*Devis[[#This Row],[Poste 6]]</f>
        <v>0</v>
      </c>
      <c r="AB1204" s="74">
        <f>Devis[[#This Row],[Quantité Totale]]*Devis[[#This Row],[Prix de Revient]]</f>
        <v>0</v>
      </c>
    </row>
    <row r="1205" spans="1:28" ht="14.25" outlineLevel="1" x14ac:dyDescent="0.2">
      <c r="A1205" s="75" t="s">
        <v>3557</v>
      </c>
      <c r="B1205" s="76" t="s">
        <v>827</v>
      </c>
      <c r="C1205" s="107" t="s">
        <v>2066</v>
      </c>
      <c r="D1205" s="81" t="str">
        <f t="shared" si="22"/>
        <v>GalvaBobines 5303/8"</v>
      </c>
      <c r="E1205" s="76" t="s">
        <v>901</v>
      </c>
      <c r="F1205" s="81">
        <v>40</v>
      </c>
      <c r="G1205" s="86" t="s">
        <v>902</v>
      </c>
      <c r="H1205" s="71"/>
      <c r="I1205" s="105"/>
      <c r="J1205" s="70">
        <f>IFERROR(VLOOKUP(Devis[[#This Row],[Ref Air Flux]],#REF!,3,FALSE),0)</f>
        <v>0</v>
      </c>
      <c r="K1205" s="68"/>
      <c r="L1205" s="68"/>
      <c r="M1205" s="68"/>
      <c r="N1205" s="68"/>
      <c r="O1205" s="68"/>
      <c r="P1205" s="68"/>
      <c r="Q1205" s="68">
        <f>SUM(Devis[[#This Row],[Poste 1]:[Poste 6]])</f>
        <v>0</v>
      </c>
      <c r="R1205" s="71"/>
      <c r="S1205" s="68">
        <f>_xlfn.CEILING.MATH(Devis[[#This Row],[Quantité Totale]],Devis[[#This Row],[Conditionnement]])</f>
        <v>0</v>
      </c>
      <c r="T1205" s="72"/>
      <c r="U1205" s="106"/>
      <c r="V1205" s="74">
        <f>Devis[[#This Row],[Prix de Revient]]*Devis[[#This Row],[Poste 1]]</f>
        <v>0</v>
      </c>
      <c r="W1205" s="74">
        <f>Devis[[#This Row],[Prix de Revient]]*Devis[[#This Row],[Poste 2]]</f>
        <v>0</v>
      </c>
      <c r="X1205" s="74">
        <f>Devis[[#This Row],[Prix de Revient]]*Devis[[#This Row],[Poste 3]]</f>
        <v>0</v>
      </c>
      <c r="Y1205" s="74">
        <f>Devis[[#This Row],[Poste 4]]*Devis[[#This Row],[Prix de Revient]]</f>
        <v>0</v>
      </c>
      <c r="Z1205" s="74">
        <f>Devis[[#This Row],[Poste 5]]*Devis[[#This Row],[Prix de Revient]]</f>
        <v>0</v>
      </c>
      <c r="AA1205" s="74">
        <f>Devis[[#This Row],[Prix de Revient]]*Devis[[#This Row],[Poste 6]]</f>
        <v>0</v>
      </c>
      <c r="AB1205" s="74">
        <f>Devis[[#This Row],[Quantité Totale]]*Devis[[#This Row],[Prix de Revient]]</f>
        <v>0</v>
      </c>
    </row>
    <row r="1206" spans="1:28" ht="14.25" outlineLevel="1" x14ac:dyDescent="0.2">
      <c r="A1206" s="75" t="s">
        <v>3557</v>
      </c>
      <c r="B1206" s="76" t="s">
        <v>827</v>
      </c>
      <c r="C1206" s="107" t="s">
        <v>2066</v>
      </c>
      <c r="D1206" s="81" t="str">
        <f t="shared" si="22"/>
        <v>GalvaBobines 5303/8"</v>
      </c>
      <c r="E1206" s="76" t="s">
        <v>899</v>
      </c>
      <c r="F1206" s="81">
        <v>41</v>
      </c>
      <c r="G1206" s="86" t="s">
        <v>900</v>
      </c>
      <c r="H1206" s="71"/>
      <c r="I1206" s="105"/>
      <c r="J1206" s="70">
        <f>IFERROR(VLOOKUP(Devis[[#This Row],[Ref Air Flux]],#REF!,3,FALSE),0)</f>
        <v>0</v>
      </c>
      <c r="K1206" s="68"/>
      <c r="L1206" s="68"/>
      <c r="M1206" s="68"/>
      <c r="N1206" s="68"/>
      <c r="O1206" s="68"/>
      <c r="P1206" s="68"/>
      <c r="Q1206" s="68">
        <f>SUM(Devis[[#This Row],[Poste 1]:[Poste 6]])</f>
        <v>0</v>
      </c>
      <c r="R1206" s="71"/>
      <c r="S1206" s="68">
        <f>_xlfn.CEILING.MATH(Devis[[#This Row],[Quantité Totale]],Devis[[#This Row],[Conditionnement]])</f>
        <v>0</v>
      </c>
      <c r="T1206" s="72"/>
      <c r="U1206" s="106"/>
      <c r="V1206" s="74">
        <f>Devis[[#This Row],[Prix de Revient]]*Devis[[#This Row],[Poste 1]]</f>
        <v>0</v>
      </c>
      <c r="W1206" s="74">
        <f>Devis[[#This Row],[Prix de Revient]]*Devis[[#This Row],[Poste 2]]</f>
        <v>0</v>
      </c>
      <c r="X1206" s="74">
        <f>Devis[[#This Row],[Prix de Revient]]*Devis[[#This Row],[Poste 3]]</f>
        <v>0</v>
      </c>
      <c r="Y1206" s="74">
        <f>Devis[[#This Row],[Poste 4]]*Devis[[#This Row],[Prix de Revient]]</f>
        <v>0</v>
      </c>
      <c r="Z1206" s="74">
        <f>Devis[[#This Row],[Poste 5]]*Devis[[#This Row],[Prix de Revient]]</f>
        <v>0</v>
      </c>
      <c r="AA1206" s="74">
        <f>Devis[[#This Row],[Prix de Revient]]*Devis[[#This Row],[Poste 6]]</f>
        <v>0</v>
      </c>
      <c r="AB1206" s="74">
        <f>Devis[[#This Row],[Quantité Totale]]*Devis[[#This Row],[Prix de Revient]]</f>
        <v>0</v>
      </c>
    </row>
    <row r="1207" spans="1:28" ht="14.25" outlineLevel="1" x14ac:dyDescent="0.2">
      <c r="A1207" s="75" t="s">
        <v>3557</v>
      </c>
      <c r="B1207" s="76" t="s">
        <v>827</v>
      </c>
      <c r="C1207" s="107" t="s">
        <v>2066</v>
      </c>
      <c r="D1207" s="81" t="str">
        <f t="shared" si="22"/>
        <v>GalvaBobines 5303/8"</v>
      </c>
      <c r="E1207" s="76" t="s">
        <v>897</v>
      </c>
      <c r="F1207" s="81">
        <v>42</v>
      </c>
      <c r="G1207" s="86" t="s">
        <v>898</v>
      </c>
      <c r="H1207" s="71"/>
      <c r="I1207" s="105"/>
      <c r="J1207" s="70">
        <f>IFERROR(VLOOKUP(Devis[[#This Row],[Ref Air Flux]],#REF!,3,FALSE),0)</f>
        <v>0</v>
      </c>
      <c r="K1207" s="68"/>
      <c r="L1207" s="68"/>
      <c r="M1207" s="68"/>
      <c r="N1207" s="68"/>
      <c r="O1207" s="68"/>
      <c r="P1207" s="68"/>
      <c r="Q1207" s="68">
        <f>SUM(Devis[[#This Row],[Poste 1]:[Poste 6]])</f>
        <v>0</v>
      </c>
      <c r="R1207" s="71"/>
      <c r="S1207" s="68">
        <f>_xlfn.CEILING.MATH(Devis[[#This Row],[Quantité Totale]],Devis[[#This Row],[Conditionnement]])</f>
        <v>0</v>
      </c>
      <c r="T1207" s="72"/>
      <c r="U1207" s="106"/>
      <c r="V1207" s="74">
        <f>Devis[[#This Row],[Prix de Revient]]*Devis[[#This Row],[Poste 1]]</f>
        <v>0</v>
      </c>
      <c r="W1207" s="74">
        <f>Devis[[#This Row],[Prix de Revient]]*Devis[[#This Row],[Poste 2]]</f>
        <v>0</v>
      </c>
      <c r="X1207" s="74">
        <f>Devis[[#This Row],[Prix de Revient]]*Devis[[#This Row],[Poste 3]]</f>
        <v>0</v>
      </c>
      <c r="Y1207" s="74">
        <f>Devis[[#This Row],[Poste 4]]*Devis[[#This Row],[Prix de Revient]]</f>
        <v>0</v>
      </c>
      <c r="Z1207" s="74">
        <f>Devis[[#This Row],[Poste 5]]*Devis[[#This Row],[Prix de Revient]]</f>
        <v>0</v>
      </c>
      <c r="AA1207" s="74">
        <f>Devis[[#This Row],[Prix de Revient]]*Devis[[#This Row],[Poste 6]]</f>
        <v>0</v>
      </c>
      <c r="AB1207" s="74">
        <f>Devis[[#This Row],[Quantité Totale]]*Devis[[#This Row],[Prix de Revient]]</f>
        <v>0</v>
      </c>
    </row>
    <row r="1208" spans="1:28" ht="14.25" outlineLevel="1" x14ac:dyDescent="0.2">
      <c r="A1208" s="75" t="s">
        <v>3557</v>
      </c>
      <c r="B1208" s="76" t="s">
        <v>827</v>
      </c>
      <c r="C1208" s="107" t="s">
        <v>25</v>
      </c>
      <c r="D1208" s="81" t="str">
        <f t="shared" si="22"/>
        <v>GalvaBobines 5304"</v>
      </c>
      <c r="E1208" s="80" t="s">
        <v>828</v>
      </c>
      <c r="F1208" s="81">
        <v>43</v>
      </c>
      <c r="G1208" s="86" t="s">
        <v>829</v>
      </c>
      <c r="H1208" s="71"/>
      <c r="I1208" s="105"/>
      <c r="J1208" s="70">
        <f>IFERROR(VLOOKUP(Devis[[#This Row],[Ref Air Flux]],#REF!,3,FALSE),0)</f>
        <v>0</v>
      </c>
      <c r="K1208" s="68"/>
      <c r="L1208" s="68"/>
      <c r="M1208" s="68"/>
      <c r="N1208" s="68"/>
      <c r="O1208" s="68"/>
      <c r="P1208" s="68"/>
      <c r="Q1208" s="68">
        <f>SUM(Devis[[#This Row],[Poste 1]:[Poste 6]])</f>
        <v>0</v>
      </c>
      <c r="R1208" s="71"/>
      <c r="S1208" s="68">
        <f>_xlfn.CEILING.MATH(Devis[[#This Row],[Quantité Totale]],Devis[[#This Row],[Conditionnement]])</f>
        <v>0</v>
      </c>
      <c r="T1208" s="72"/>
      <c r="U1208" s="106"/>
      <c r="V1208" s="74">
        <f>Devis[[#This Row],[Prix de Revient]]*Devis[[#This Row],[Poste 1]]</f>
        <v>0</v>
      </c>
      <c r="W1208" s="74">
        <f>Devis[[#This Row],[Prix de Revient]]*Devis[[#This Row],[Poste 2]]</f>
        <v>0</v>
      </c>
      <c r="X1208" s="74">
        <f>Devis[[#This Row],[Prix de Revient]]*Devis[[#This Row],[Poste 3]]</f>
        <v>0</v>
      </c>
      <c r="Y1208" s="74">
        <f>Devis[[#This Row],[Poste 4]]*Devis[[#This Row],[Prix de Revient]]</f>
        <v>0</v>
      </c>
      <c r="Z1208" s="74">
        <f>Devis[[#This Row],[Poste 5]]*Devis[[#This Row],[Prix de Revient]]</f>
        <v>0</v>
      </c>
      <c r="AA1208" s="74">
        <f>Devis[[#This Row],[Prix de Revient]]*Devis[[#This Row],[Poste 6]]</f>
        <v>0</v>
      </c>
      <c r="AB1208" s="74">
        <f>Devis[[#This Row],[Quantité Totale]]*Devis[[#This Row],[Prix de Revient]]</f>
        <v>0</v>
      </c>
    </row>
    <row r="1209" spans="1:28" ht="14.25" customHeight="1" x14ac:dyDescent="0.25">
      <c r="A1209" s="65" t="s">
        <v>3557</v>
      </c>
      <c r="B1209" s="65" t="s">
        <v>905</v>
      </c>
      <c r="C1209" s="107"/>
      <c r="D1209" s="81" t="str">
        <f t="shared" si="22"/>
        <v>GalvaBouchons F 300</v>
      </c>
      <c r="E1209" s="76"/>
      <c r="F1209" s="81">
        <v>0</v>
      </c>
      <c r="G1209" s="86"/>
      <c r="H1209" s="71"/>
      <c r="I1209" s="75"/>
      <c r="J1209" s="70">
        <f>IFERROR(VLOOKUP(Devis[[#This Row],[Ref Air Flux]],#REF!,3,FALSE),0)</f>
        <v>0</v>
      </c>
      <c r="K1209" s="68"/>
      <c r="L1209" s="68"/>
      <c r="M1209" s="68"/>
      <c r="N1209" s="68"/>
      <c r="O1209" s="68"/>
      <c r="P1209" s="68"/>
      <c r="Q1209" s="68">
        <f>SUM(Devis[[#This Row],[Poste 1]:[Poste 6]])</f>
        <v>0</v>
      </c>
      <c r="R1209" s="71"/>
      <c r="S1209" s="68">
        <f>_xlfn.CEILING.MATH(Devis[[#This Row],[Quantité Totale]],Devis[[#This Row],[Conditionnement]])</f>
        <v>0</v>
      </c>
      <c r="T1209" s="72"/>
      <c r="U1209" s="106"/>
      <c r="V1209" s="74">
        <f>Devis[[#This Row],[Prix de Revient]]*Devis[[#This Row],[Poste 1]]</f>
        <v>0</v>
      </c>
      <c r="W1209" s="74">
        <f>Devis[[#This Row],[Prix de Revient]]*Devis[[#This Row],[Poste 2]]</f>
        <v>0</v>
      </c>
      <c r="X1209" s="74">
        <f>Devis[[#This Row],[Prix de Revient]]*Devis[[#This Row],[Poste 3]]</f>
        <v>0</v>
      </c>
      <c r="Y1209" s="74">
        <f>Devis[[#This Row],[Poste 4]]*Devis[[#This Row],[Prix de Revient]]</f>
        <v>0</v>
      </c>
      <c r="Z1209" s="74">
        <f>Devis[[#This Row],[Poste 5]]*Devis[[#This Row],[Prix de Revient]]</f>
        <v>0</v>
      </c>
      <c r="AA1209" s="74">
        <f>Devis[[#This Row],[Prix de Revient]]*Devis[[#This Row],[Poste 6]]</f>
        <v>0</v>
      </c>
      <c r="AB1209" s="74">
        <f>Devis[[#This Row],[Quantité Totale]]*Devis[[#This Row],[Prix de Revient]]</f>
        <v>0</v>
      </c>
    </row>
    <row r="1210" spans="1:28" ht="14.25" outlineLevel="1" x14ac:dyDescent="0.2">
      <c r="A1210" s="75" t="s">
        <v>3557</v>
      </c>
      <c r="B1210" s="76" t="s">
        <v>905</v>
      </c>
      <c r="C1210" s="107"/>
      <c r="D1210" s="81" t="str">
        <f t="shared" si="22"/>
        <v>GalvaBouchons F 300</v>
      </c>
      <c r="E1210" s="76" t="s">
        <v>19</v>
      </c>
      <c r="F1210" s="81">
        <v>1</v>
      </c>
      <c r="G1210" s="86" t="s">
        <v>912</v>
      </c>
      <c r="H1210" s="71"/>
      <c r="I1210" s="75"/>
      <c r="J1210" s="70">
        <f>IFERROR(VLOOKUP(Devis[[#This Row],[Ref Air Flux]],#REF!,3,FALSE),0)</f>
        <v>0</v>
      </c>
      <c r="K1210" s="68"/>
      <c r="L1210" s="68"/>
      <c r="M1210" s="68"/>
      <c r="N1210" s="68"/>
      <c r="O1210" s="68"/>
      <c r="P1210" s="68"/>
      <c r="Q1210" s="68">
        <f>SUM(Devis[[#This Row],[Poste 1]:[Poste 6]])</f>
        <v>0</v>
      </c>
      <c r="R1210" s="71"/>
      <c r="S1210" s="68">
        <f>_xlfn.CEILING.MATH(Devis[[#This Row],[Quantité Totale]],Devis[[#This Row],[Conditionnement]])</f>
        <v>0</v>
      </c>
      <c r="T1210" s="72"/>
      <c r="U1210" s="106"/>
      <c r="V1210" s="74">
        <f>Devis[[#This Row],[Prix de Revient]]*Devis[[#This Row],[Poste 1]]</f>
        <v>0</v>
      </c>
      <c r="W1210" s="74">
        <f>Devis[[#This Row],[Prix de Revient]]*Devis[[#This Row],[Poste 2]]</f>
        <v>0</v>
      </c>
      <c r="X1210" s="74">
        <f>Devis[[#This Row],[Prix de Revient]]*Devis[[#This Row],[Poste 3]]</f>
        <v>0</v>
      </c>
      <c r="Y1210" s="74">
        <f>Devis[[#This Row],[Poste 4]]*Devis[[#This Row],[Prix de Revient]]</f>
        <v>0</v>
      </c>
      <c r="Z1210" s="74">
        <f>Devis[[#This Row],[Poste 5]]*Devis[[#This Row],[Prix de Revient]]</f>
        <v>0</v>
      </c>
      <c r="AA1210" s="74">
        <f>Devis[[#This Row],[Prix de Revient]]*Devis[[#This Row],[Poste 6]]</f>
        <v>0</v>
      </c>
      <c r="AB1210" s="74">
        <f>Devis[[#This Row],[Quantité Totale]]*Devis[[#This Row],[Prix de Revient]]</f>
        <v>0</v>
      </c>
    </row>
    <row r="1211" spans="1:28" ht="14.25" outlineLevel="1" x14ac:dyDescent="0.2">
      <c r="A1211" s="75" t="s">
        <v>3557</v>
      </c>
      <c r="B1211" s="76" t="s">
        <v>905</v>
      </c>
      <c r="C1211" s="107"/>
      <c r="D1211" s="81" t="str">
        <f t="shared" si="22"/>
        <v>GalvaBouchons F 300</v>
      </c>
      <c r="E1211" s="76" t="s">
        <v>21</v>
      </c>
      <c r="F1211" s="81">
        <v>2</v>
      </c>
      <c r="G1211" s="86" t="s">
        <v>910</v>
      </c>
      <c r="H1211" s="71"/>
      <c r="I1211" s="75"/>
      <c r="J1211" s="70">
        <f>IFERROR(VLOOKUP(Devis[[#This Row],[Ref Air Flux]],#REF!,3,FALSE),0)</f>
        <v>0</v>
      </c>
      <c r="K1211" s="68"/>
      <c r="L1211" s="68"/>
      <c r="M1211" s="68"/>
      <c r="N1211" s="68"/>
      <c r="O1211" s="68"/>
      <c r="P1211" s="68"/>
      <c r="Q1211" s="68">
        <f>SUM(Devis[[#This Row],[Poste 1]:[Poste 6]])</f>
        <v>0</v>
      </c>
      <c r="R1211" s="71"/>
      <c r="S1211" s="68">
        <f>_xlfn.CEILING.MATH(Devis[[#This Row],[Quantité Totale]],Devis[[#This Row],[Conditionnement]])</f>
        <v>0</v>
      </c>
      <c r="T1211" s="72"/>
      <c r="U1211" s="106"/>
      <c r="V1211" s="74">
        <f>Devis[[#This Row],[Prix de Revient]]*Devis[[#This Row],[Poste 1]]</f>
        <v>0</v>
      </c>
      <c r="W1211" s="74">
        <f>Devis[[#This Row],[Prix de Revient]]*Devis[[#This Row],[Poste 2]]</f>
        <v>0</v>
      </c>
      <c r="X1211" s="74">
        <f>Devis[[#This Row],[Prix de Revient]]*Devis[[#This Row],[Poste 3]]</f>
        <v>0</v>
      </c>
      <c r="Y1211" s="74">
        <f>Devis[[#This Row],[Poste 4]]*Devis[[#This Row],[Prix de Revient]]</f>
        <v>0</v>
      </c>
      <c r="Z1211" s="74">
        <f>Devis[[#This Row],[Poste 5]]*Devis[[#This Row],[Prix de Revient]]</f>
        <v>0</v>
      </c>
      <c r="AA1211" s="74">
        <f>Devis[[#This Row],[Prix de Revient]]*Devis[[#This Row],[Poste 6]]</f>
        <v>0</v>
      </c>
      <c r="AB1211" s="74">
        <f>Devis[[#This Row],[Quantité Totale]]*Devis[[#This Row],[Prix de Revient]]</f>
        <v>0</v>
      </c>
    </row>
    <row r="1212" spans="1:28" ht="14.25" customHeight="1" outlineLevel="1" x14ac:dyDescent="0.2">
      <c r="A1212" s="75" t="s">
        <v>3557</v>
      </c>
      <c r="B1212" s="76" t="s">
        <v>905</v>
      </c>
      <c r="C1212" s="107"/>
      <c r="D1212" s="81" t="str">
        <f t="shared" si="22"/>
        <v>GalvaBouchons F 300</v>
      </c>
      <c r="E1212" s="76" t="s">
        <v>20</v>
      </c>
      <c r="F1212" s="81">
        <v>3</v>
      </c>
      <c r="G1212" s="86" t="s">
        <v>911</v>
      </c>
      <c r="H1212" s="71"/>
      <c r="I1212" s="75"/>
      <c r="J1212" s="70">
        <f>IFERROR(VLOOKUP(Devis[[#This Row],[Ref Air Flux]],#REF!,3,FALSE),0)</f>
        <v>0</v>
      </c>
      <c r="K1212" s="68"/>
      <c r="L1212" s="68"/>
      <c r="M1212" s="68"/>
      <c r="N1212" s="68"/>
      <c r="O1212" s="68"/>
      <c r="P1212" s="68"/>
      <c r="Q1212" s="68">
        <f>SUM(Devis[[#This Row],[Poste 1]:[Poste 6]])</f>
        <v>0</v>
      </c>
      <c r="R1212" s="71"/>
      <c r="S1212" s="68">
        <f>_xlfn.CEILING.MATH(Devis[[#This Row],[Quantité Totale]],Devis[[#This Row],[Conditionnement]])</f>
        <v>0</v>
      </c>
      <c r="T1212" s="72"/>
      <c r="U1212" s="106"/>
      <c r="V1212" s="74">
        <f>Devis[[#This Row],[Prix de Revient]]*Devis[[#This Row],[Poste 1]]</f>
        <v>0</v>
      </c>
      <c r="W1212" s="74">
        <f>Devis[[#This Row],[Prix de Revient]]*Devis[[#This Row],[Poste 2]]</f>
        <v>0</v>
      </c>
      <c r="X1212" s="74">
        <f>Devis[[#This Row],[Prix de Revient]]*Devis[[#This Row],[Poste 3]]</f>
        <v>0</v>
      </c>
      <c r="Y1212" s="74">
        <f>Devis[[#This Row],[Poste 4]]*Devis[[#This Row],[Prix de Revient]]</f>
        <v>0</v>
      </c>
      <c r="Z1212" s="74">
        <f>Devis[[#This Row],[Poste 5]]*Devis[[#This Row],[Prix de Revient]]</f>
        <v>0</v>
      </c>
      <c r="AA1212" s="74">
        <f>Devis[[#This Row],[Prix de Revient]]*Devis[[#This Row],[Poste 6]]</f>
        <v>0</v>
      </c>
      <c r="AB1212" s="74">
        <f>Devis[[#This Row],[Quantité Totale]]*Devis[[#This Row],[Prix de Revient]]</f>
        <v>0</v>
      </c>
    </row>
    <row r="1213" spans="1:28" ht="14.25" customHeight="1" outlineLevel="1" x14ac:dyDescent="0.2">
      <c r="A1213" s="75" t="s">
        <v>3557</v>
      </c>
      <c r="B1213" s="76" t="s">
        <v>905</v>
      </c>
      <c r="C1213" s="107"/>
      <c r="D1213" s="81" t="str">
        <f t="shared" si="22"/>
        <v>GalvaBouchons F 300</v>
      </c>
      <c r="E1213" s="80" t="s">
        <v>17</v>
      </c>
      <c r="F1213" s="81">
        <v>4</v>
      </c>
      <c r="G1213" s="86" t="s">
        <v>914</v>
      </c>
      <c r="H1213" s="71"/>
      <c r="I1213" s="75"/>
      <c r="J1213" s="70">
        <f>IFERROR(VLOOKUP(Devis[[#This Row],[Ref Air Flux]],#REF!,3,FALSE),0)</f>
        <v>0</v>
      </c>
      <c r="K1213" s="68"/>
      <c r="L1213" s="68"/>
      <c r="M1213" s="68"/>
      <c r="N1213" s="68"/>
      <c r="O1213" s="68"/>
      <c r="P1213" s="68"/>
      <c r="Q1213" s="68">
        <f>SUM(Devis[[#This Row],[Poste 1]:[Poste 6]])</f>
        <v>0</v>
      </c>
      <c r="R1213" s="71"/>
      <c r="S1213" s="68">
        <f>_xlfn.CEILING.MATH(Devis[[#This Row],[Quantité Totale]],Devis[[#This Row],[Conditionnement]])</f>
        <v>0</v>
      </c>
      <c r="T1213" s="72"/>
      <c r="U1213" s="106"/>
      <c r="V1213" s="74">
        <f>Devis[[#This Row],[Prix de Revient]]*Devis[[#This Row],[Poste 1]]</f>
        <v>0</v>
      </c>
      <c r="W1213" s="74">
        <f>Devis[[#This Row],[Prix de Revient]]*Devis[[#This Row],[Poste 2]]</f>
        <v>0</v>
      </c>
      <c r="X1213" s="74">
        <f>Devis[[#This Row],[Prix de Revient]]*Devis[[#This Row],[Poste 3]]</f>
        <v>0</v>
      </c>
      <c r="Y1213" s="74">
        <f>Devis[[#This Row],[Poste 4]]*Devis[[#This Row],[Prix de Revient]]</f>
        <v>0</v>
      </c>
      <c r="Z1213" s="74">
        <f>Devis[[#This Row],[Poste 5]]*Devis[[#This Row],[Prix de Revient]]</f>
        <v>0</v>
      </c>
      <c r="AA1213" s="74">
        <f>Devis[[#This Row],[Prix de Revient]]*Devis[[#This Row],[Poste 6]]</f>
        <v>0</v>
      </c>
      <c r="AB1213" s="74">
        <f>Devis[[#This Row],[Quantité Totale]]*Devis[[#This Row],[Prix de Revient]]</f>
        <v>0</v>
      </c>
    </row>
    <row r="1214" spans="1:28" ht="14.25" outlineLevel="1" x14ac:dyDescent="0.2">
      <c r="A1214" s="75" t="s">
        <v>3557</v>
      </c>
      <c r="B1214" s="76" t="s">
        <v>905</v>
      </c>
      <c r="C1214" s="107"/>
      <c r="D1214" s="81" t="str">
        <f t="shared" si="22"/>
        <v>GalvaBouchons F 300</v>
      </c>
      <c r="E1214" s="80" t="s">
        <v>46</v>
      </c>
      <c r="F1214" s="81">
        <v>5</v>
      </c>
      <c r="G1214" s="86" t="s">
        <v>916</v>
      </c>
      <c r="H1214" s="71"/>
      <c r="I1214" s="75"/>
      <c r="J1214" s="70">
        <f>IFERROR(VLOOKUP(Devis[[#This Row],[Ref Air Flux]],#REF!,3,FALSE),0)</f>
        <v>0</v>
      </c>
      <c r="K1214" s="68"/>
      <c r="L1214" s="68"/>
      <c r="M1214" s="68"/>
      <c r="N1214" s="68"/>
      <c r="O1214" s="68"/>
      <c r="P1214" s="68"/>
      <c r="Q1214" s="68">
        <f>SUM(Devis[[#This Row],[Poste 1]:[Poste 6]])</f>
        <v>0</v>
      </c>
      <c r="R1214" s="71"/>
      <c r="S1214" s="68">
        <f>_xlfn.CEILING.MATH(Devis[[#This Row],[Quantité Totale]],Devis[[#This Row],[Conditionnement]])</f>
        <v>0</v>
      </c>
      <c r="T1214" s="72"/>
      <c r="U1214" s="106"/>
      <c r="V1214" s="74">
        <f>Devis[[#This Row],[Prix de Revient]]*Devis[[#This Row],[Poste 1]]</f>
        <v>0</v>
      </c>
      <c r="W1214" s="74">
        <f>Devis[[#This Row],[Prix de Revient]]*Devis[[#This Row],[Poste 2]]</f>
        <v>0</v>
      </c>
      <c r="X1214" s="74">
        <f>Devis[[#This Row],[Prix de Revient]]*Devis[[#This Row],[Poste 3]]</f>
        <v>0</v>
      </c>
      <c r="Y1214" s="74">
        <f>Devis[[#This Row],[Poste 4]]*Devis[[#This Row],[Prix de Revient]]</f>
        <v>0</v>
      </c>
      <c r="Z1214" s="74">
        <f>Devis[[#This Row],[Poste 5]]*Devis[[#This Row],[Prix de Revient]]</f>
        <v>0</v>
      </c>
      <c r="AA1214" s="74">
        <f>Devis[[#This Row],[Prix de Revient]]*Devis[[#This Row],[Poste 6]]</f>
        <v>0</v>
      </c>
      <c r="AB1214" s="74">
        <f>Devis[[#This Row],[Quantité Totale]]*Devis[[#This Row],[Prix de Revient]]</f>
        <v>0</v>
      </c>
    </row>
    <row r="1215" spans="1:28" ht="14.25" outlineLevel="1" x14ac:dyDescent="0.2">
      <c r="A1215" s="75" t="s">
        <v>3557</v>
      </c>
      <c r="B1215" s="76" t="s">
        <v>905</v>
      </c>
      <c r="C1215" s="107"/>
      <c r="D1215" s="81" t="str">
        <f t="shared" si="22"/>
        <v>GalvaBouchons F 300</v>
      </c>
      <c r="E1215" s="76" t="s">
        <v>0</v>
      </c>
      <c r="F1215" s="81">
        <v>6</v>
      </c>
      <c r="G1215" s="86" t="s">
        <v>909</v>
      </c>
      <c r="H1215" s="71"/>
      <c r="I1215" s="75"/>
      <c r="J1215" s="70">
        <f>IFERROR(VLOOKUP(Devis[[#This Row],[Ref Air Flux]],#REF!,3,FALSE),0)</f>
        <v>0</v>
      </c>
      <c r="K1215" s="68"/>
      <c r="L1215" s="68"/>
      <c r="M1215" s="68"/>
      <c r="N1215" s="68"/>
      <c r="O1215" s="68"/>
      <c r="P1215" s="68"/>
      <c r="Q1215" s="68">
        <f>SUM(Devis[[#This Row],[Poste 1]:[Poste 6]])</f>
        <v>0</v>
      </c>
      <c r="R1215" s="71"/>
      <c r="S1215" s="68">
        <f>_xlfn.CEILING.MATH(Devis[[#This Row],[Quantité Totale]],Devis[[#This Row],[Conditionnement]])</f>
        <v>0</v>
      </c>
      <c r="T1215" s="72"/>
      <c r="U1215" s="106"/>
      <c r="V1215" s="74">
        <f>Devis[[#This Row],[Prix de Revient]]*Devis[[#This Row],[Poste 1]]</f>
        <v>0</v>
      </c>
      <c r="W1215" s="74">
        <f>Devis[[#This Row],[Prix de Revient]]*Devis[[#This Row],[Poste 2]]</f>
        <v>0</v>
      </c>
      <c r="X1215" s="74">
        <f>Devis[[#This Row],[Prix de Revient]]*Devis[[#This Row],[Poste 3]]</f>
        <v>0</v>
      </c>
      <c r="Y1215" s="74">
        <f>Devis[[#This Row],[Poste 4]]*Devis[[#This Row],[Prix de Revient]]</f>
        <v>0</v>
      </c>
      <c r="Z1215" s="74">
        <f>Devis[[#This Row],[Poste 5]]*Devis[[#This Row],[Prix de Revient]]</f>
        <v>0</v>
      </c>
      <c r="AA1215" s="74">
        <f>Devis[[#This Row],[Prix de Revient]]*Devis[[#This Row],[Poste 6]]</f>
        <v>0</v>
      </c>
      <c r="AB1215" s="74">
        <f>Devis[[#This Row],[Quantité Totale]]*Devis[[#This Row],[Prix de Revient]]</f>
        <v>0</v>
      </c>
    </row>
    <row r="1216" spans="1:28" ht="14.25" outlineLevel="1" x14ac:dyDescent="0.2">
      <c r="A1216" s="75" t="s">
        <v>3557</v>
      </c>
      <c r="B1216" s="76" t="s">
        <v>905</v>
      </c>
      <c r="C1216" s="107"/>
      <c r="D1216" s="81" t="str">
        <f t="shared" si="22"/>
        <v>GalvaBouchons F 300</v>
      </c>
      <c r="E1216" s="76" t="s">
        <v>49</v>
      </c>
      <c r="F1216" s="81">
        <v>7</v>
      </c>
      <c r="G1216" s="86" t="s">
        <v>908</v>
      </c>
      <c r="H1216" s="71"/>
      <c r="I1216" s="75"/>
      <c r="J1216" s="70">
        <f>IFERROR(VLOOKUP(Devis[[#This Row],[Ref Air Flux]],#REF!,3,FALSE),0)</f>
        <v>0</v>
      </c>
      <c r="K1216" s="68"/>
      <c r="L1216" s="68"/>
      <c r="M1216" s="68"/>
      <c r="N1216" s="68"/>
      <c r="O1216" s="68"/>
      <c r="P1216" s="68"/>
      <c r="Q1216" s="68">
        <f>SUM(Devis[[#This Row],[Poste 1]:[Poste 6]])</f>
        <v>0</v>
      </c>
      <c r="R1216" s="71"/>
      <c r="S1216" s="68">
        <f>_xlfn.CEILING.MATH(Devis[[#This Row],[Quantité Totale]],Devis[[#This Row],[Conditionnement]])</f>
        <v>0</v>
      </c>
      <c r="T1216" s="72"/>
      <c r="U1216" s="106"/>
      <c r="V1216" s="74">
        <f>Devis[[#This Row],[Prix de Revient]]*Devis[[#This Row],[Poste 1]]</f>
        <v>0</v>
      </c>
      <c r="W1216" s="74">
        <f>Devis[[#This Row],[Prix de Revient]]*Devis[[#This Row],[Poste 2]]</f>
        <v>0</v>
      </c>
      <c r="X1216" s="74">
        <f>Devis[[#This Row],[Prix de Revient]]*Devis[[#This Row],[Poste 3]]</f>
        <v>0</v>
      </c>
      <c r="Y1216" s="74">
        <f>Devis[[#This Row],[Poste 4]]*Devis[[#This Row],[Prix de Revient]]</f>
        <v>0</v>
      </c>
      <c r="Z1216" s="74">
        <f>Devis[[#This Row],[Poste 5]]*Devis[[#This Row],[Prix de Revient]]</f>
        <v>0</v>
      </c>
      <c r="AA1216" s="74">
        <f>Devis[[#This Row],[Prix de Revient]]*Devis[[#This Row],[Poste 6]]</f>
        <v>0</v>
      </c>
      <c r="AB1216" s="74">
        <f>Devis[[#This Row],[Quantité Totale]]*Devis[[#This Row],[Prix de Revient]]</f>
        <v>0</v>
      </c>
    </row>
    <row r="1217" spans="1:28" ht="14.25" outlineLevel="1" x14ac:dyDescent="0.2">
      <c r="A1217" s="75" t="s">
        <v>3557</v>
      </c>
      <c r="B1217" s="76" t="s">
        <v>905</v>
      </c>
      <c r="C1217" s="107"/>
      <c r="D1217" s="81" t="str">
        <f t="shared" si="22"/>
        <v>GalvaBouchons F 300</v>
      </c>
      <c r="E1217" s="76" t="s">
        <v>821</v>
      </c>
      <c r="F1217" s="81">
        <v>8</v>
      </c>
      <c r="G1217" s="86" t="s">
        <v>907</v>
      </c>
      <c r="H1217" s="71"/>
      <c r="I1217" s="75"/>
      <c r="J1217" s="70">
        <f>IFERROR(VLOOKUP(Devis[[#This Row],[Ref Air Flux]],#REF!,3,FALSE),0)</f>
        <v>0</v>
      </c>
      <c r="K1217" s="68"/>
      <c r="L1217" s="68"/>
      <c r="M1217" s="68"/>
      <c r="N1217" s="68"/>
      <c r="O1217" s="68"/>
      <c r="P1217" s="68"/>
      <c r="Q1217" s="68">
        <f>SUM(Devis[[#This Row],[Poste 1]:[Poste 6]])</f>
        <v>0</v>
      </c>
      <c r="R1217" s="71"/>
      <c r="S1217" s="68">
        <f>_xlfn.CEILING.MATH(Devis[[#This Row],[Quantité Totale]],Devis[[#This Row],[Conditionnement]])</f>
        <v>0</v>
      </c>
      <c r="T1217" s="72"/>
      <c r="U1217" s="106"/>
      <c r="V1217" s="74">
        <f>Devis[[#This Row],[Prix de Revient]]*Devis[[#This Row],[Poste 1]]</f>
        <v>0</v>
      </c>
      <c r="W1217" s="74">
        <f>Devis[[#This Row],[Prix de Revient]]*Devis[[#This Row],[Poste 2]]</f>
        <v>0</v>
      </c>
      <c r="X1217" s="74">
        <f>Devis[[#This Row],[Prix de Revient]]*Devis[[#This Row],[Poste 3]]</f>
        <v>0</v>
      </c>
      <c r="Y1217" s="74">
        <f>Devis[[#This Row],[Poste 4]]*Devis[[#This Row],[Prix de Revient]]</f>
        <v>0</v>
      </c>
      <c r="Z1217" s="74">
        <f>Devis[[#This Row],[Poste 5]]*Devis[[#This Row],[Prix de Revient]]</f>
        <v>0</v>
      </c>
      <c r="AA1217" s="74">
        <f>Devis[[#This Row],[Prix de Revient]]*Devis[[#This Row],[Poste 6]]</f>
        <v>0</v>
      </c>
      <c r="AB1217" s="74">
        <f>Devis[[#This Row],[Quantité Totale]]*Devis[[#This Row],[Prix de Revient]]</f>
        <v>0</v>
      </c>
    </row>
    <row r="1218" spans="1:28" ht="14.25" outlineLevel="1" x14ac:dyDescent="0.2">
      <c r="A1218" s="75" t="s">
        <v>3557</v>
      </c>
      <c r="B1218" s="76" t="s">
        <v>905</v>
      </c>
      <c r="C1218" s="107"/>
      <c r="D1218" s="81" t="str">
        <f t="shared" si="22"/>
        <v>GalvaBouchons F 300</v>
      </c>
      <c r="E1218" s="80" t="s">
        <v>18</v>
      </c>
      <c r="F1218" s="81">
        <v>9</v>
      </c>
      <c r="G1218" s="86" t="s">
        <v>913</v>
      </c>
      <c r="H1218" s="71"/>
      <c r="I1218" s="75"/>
      <c r="J1218" s="70">
        <f>IFERROR(VLOOKUP(Devis[[#This Row],[Ref Air Flux]],#REF!,3,FALSE),0)</f>
        <v>0</v>
      </c>
      <c r="K1218" s="68"/>
      <c r="L1218" s="68"/>
      <c r="M1218" s="68"/>
      <c r="N1218" s="68"/>
      <c r="O1218" s="68"/>
      <c r="P1218" s="68"/>
      <c r="Q1218" s="68">
        <f>SUM(Devis[[#This Row],[Poste 1]:[Poste 6]])</f>
        <v>0</v>
      </c>
      <c r="R1218" s="71"/>
      <c r="S1218" s="68">
        <f>_xlfn.CEILING.MATH(Devis[[#This Row],[Quantité Totale]],Devis[[#This Row],[Conditionnement]])</f>
        <v>0</v>
      </c>
      <c r="T1218" s="72"/>
      <c r="U1218" s="106"/>
      <c r="V1218" s="74">
        <f>Devis[[#This Row],[Prix de Revient]]*Devis[[#This Row],[Poste 1]]</f>
        <v>0</v>
      </c>
      <c r="W1218" s="74">
        <f>Devis[[#This Row],[Prix de Revient]]*Devis[[#This Row],[Poste 2]]</f>
        <v>0</v>
      </c>
      <c r="X1218" s="74">
        <f>Devis[[#This Row],[Prix de Revient]]*Devis[[#This Row],[Poste 3]]</f>
        <v>0</v>
      </c>
      <c r="Y1218" s="74">
        <f>Devis[[#This Row],[Poste 4]]*Devis[[#This Row],[Prix de Revient]]</f>
        <v>0</v>
      </c>
      <c r="Z1218" s="74">
        <f>Devis[[#This Row],[Poste 5]]*Devis[[#This Row],[Prix de Revient]]</f>
        <v>0</v>
      </c>
      <c r="AA1218" s="74">
        <f>Devis[[#This Row],[Prix de Revient]]*Devis[[#This Row],[Poste 6]]</f>
        <v>0</v>
      </c>
      <c r="AB1218" s="74">
        <f>Devis[[#This Row],[Quantité Totale]]*Devis[[#This Row],[Prix de Revient]]</f>
        <v>0</v>
      </c>
    </row>
    <row r="1219" spans="1:28" ht="14.25" outlineLevel="1" x14ac:dyDescent="0.2">
      <c r="A1219" s="75" t="s">
        <v>3557</v>
      </c>
      <c r="B1219" s="76" t="s">
        <v>905</v>
      </c>
      <c r="C1219" s="107"/>
      <c r="D1219" s="81" t="str">
        <f t="shared" si="22"/>
        <v>GalvaBouchons F 300</v>
      </c>
      <c r="E1219" s="80" t="s">
        <v>16</v>
      </c>
      <c r="F1219" s="81">
        <v>10</v>
      </c>
      <c r="G1219" s="86" t="s">
        <v>915</v>
      </c>
      <c r="H1219" s="71"/>
      <c r="I1219" s="75"/>
      <c r="J1219" s="70">
        <f>IFERROR(VLOOKUP(Devis[[#This Row],[Ref Air Flux]],#REF!,3,FALSE),0)</f>
        <v>0</v>
      </c>
      <c r="K1219" s="68"/>
      <c r="L1219" s="68"/>
      <c r="M1219" s="68"/>
      <c r="N1219" s="68"/>
      <c r="O1219" s="68"/>
      <c r="P1219" s="68"/>
      <c r="Q1219" s="68">
        <f>SUM(Devis[[#This Row],[Poste 1]:[Poste 6]])</f>
        <v>0</v>
      </c>
      <c r="R1219" s="71"/>
      <c r="S1219" s="68">
        <f>_xlfn.CEILING.MATH(Devis[[#This Row],[Quantité Totale]],Devis[[#This Row],[Conditionnement]])</f>
        <v>0</v>
      </c>
      <c r="T1219" s="72"/>
      <c r="U1219" s="106"/>
      <c r="V1219" s="74">
        <f>Devis[[#This Row],[Prix de Revient]]*Devis[[#This Row],[Poste 1]]</f>
        <v>0</v>
      </c>
      <c r="W1219" s="74">
        <f>Devis[[#This Row],[Prix de Revient]]*Devis[[#This Row],[Poste 2]]</f>
        <v>0</v>
      </c>
      <c r="X1219" s="74">
        <f>Devis[[#This Row],[Prix de Revient]]*Devis[[#This Row],[Poste 3]]</f>
        <v>0</v>
      </c>
      <c r="Y1219" s="74">
        <f>Devis[[#This Row],[Poste 4]]*Devis[[#This Row],[Prix de Revient]]</f>
        <v>0</v>
      </c>
      <c r="Z1219" s="74">
        <f>Devis[[#This Row],[Poste 5]]*Devis[[#This Row],[Prix de Revient]]</f>
        <v>0</v>
      </c>
      <c r="AA1219" s="74">
        <f>Devis[[#This Row],[Prix de Revient]]*Devis[[#This Row],[Poste 6]]</f>
        <v>0</v>
      </c>
      <c r="AB1219" s="74">
        <f>Devis[[#This Row],[Quantité Totale]]*Devis[[#This Row],[Prix de Revient]]</f>
        <v>0</v>
      </c>
    </row>
    <row r="1220" spans="1:28" ht="14.25" outlineLevel="1" x14ac:dyDescent="0.2">
      <c r="A1220" s="75" t="s">
        <v>3557</v>
      </c>
      <c r="B1220" s="76" t="s">
        <v>905</v>
      </c>
      <c r="C1220" s="107"/>
      <c r="D1220" s="81" t="str">
        <f t="shared" si="22"/>
        <v>GalvaBouchons F 300</v>
      </c>
      <c r="E1220" s="76" t="s">
        <v>25</v>
      </c>
      <c r="F1220" s="81">
        <v>11</v>
      </c>
      <c r="G1220" s="86" t="s">
        <v>906</v>
      </c>
      <c r="H1220" s="71"/>
      <c r="I1220" s="75"/>
      <c r="J1220" s="70">
        <f>IFERROR(VLOOKUP(Devis[[#This Row],[Ref Air Flux]],#REF!,3,FALSE),0)</f>
        <v>0</v>
      </c>
      <c r="K1220" s="68"/>
      <c r="L1220" s="68"/>
      <c r="M1220" s="68"/>
      <c r="N1220" s="68"/>
      <c r="O1220" s="68"/>
      <c r="P1220" s="68"/>
      <c r="Q1220" s="68">
        <f>SUM(Devis[[#This Row],[Poste 1]:[Poste 6]])</f>
        <v>0</v>
      </c>
      <c r="R1220" s="71"/>
      <c r="S1220" s="68">
        <f>_xlfn.CEILING.MATH(Devis[[#This Row],[Quantité Totale]],Devis[[#This Row],[Conditionnement]])</f>
        <v>0</v>
      </c>
      <c r="T1220" s="72"/>
      <c r="U1220" s="106"/>
      <c r="V1220" s="74">
        <f>Devis[[#This Row],[Prix de Revient]]*Devis[[#This Row],[Poste 1]]</f>
        <v>0</v>
      </c>
      <c r="W1220" s="74">
        <f>Devis[[#This Row],[Prix de Revient]]*Devis[[#This Row],[Poste 2]]</f>
        <v>0</v>
      </c>
      <c r="X1220" s="74">
        <f>Devis[[#This Row],[Prix de Revient]]*Devis[[#This Row],[Poste 3]]</f>
        <v>0</v>
      </c>
      <c r="Y1220" s="74">
        <f>Devis[[#This Row],[Poste 4]]*Devis[[#This Row],[Prix de Revient]]</f>
        <v>0</v>
      </c>
      <c r="Z1220" s="74">
        <f>Devis[[#This Row],[Poste 5]]*Devis[[#This Row],[Prix de Revient]]</f>
        <v>0</v>
      </c>
      <c r="AA1220" s="74">
        <f>Devis[[#This Row],[Prix de Revient]]*Devis[[#This Row],[Poste 6]]</f>
        <v>0</v>
      </c>
      <c r="AB1220" s="74">
        <f>Devis[[#This Row],[Quantité Totale]]*Devis[[#This Row],[Prix de Revient]]</f>
        <v>0</v>
      </c>
    </row>
    <row r="1221" spans="1:28" ht="14.25" customHeight="1" x14ac:dyDescent="0.25">
      <c r="A1221" s="65" t="s">
        <v>3557</v>
      </c>
      <c r="B1221" s="65" t="s">
        <v>917</v>
      </c>
      <c r="C1221" s="76"/>
      <c r="D1221" s="81" t="str">
        <f t="shared" si="22"/>
        <v>GalvaBouchons M 290</v>
      </c>
      <c r="E1221" s="76"/>
      <c r="F1221" s="81">
        <v>0</v>
      </c>
      <c r="G1221" s="86"/>
      <c r="H1221" s="71"/>
      <c r="I1221" s="75"/>
      <c r="J1221" s="70">
        <f>IFERROR(VLOOKUP(Devis[[#This Row],[Ref Air Flux]],#REF!,3,FALSE),0)</f>
        <v>0</v>
      </c>
      <c r="K1221" s="68"/>
      <c r="L1221" s="68"/>
      <c r="M1221" s="68"/>
      <c r="N1221" s="68"/>
      <c r="O1221" s="68"/>
      <c r="P1221" s="68"/>
      <c r="Q1221" s="68">
        <f>SUM(Devis[[#This Row],[Poste 1]:[Poste 6]])</f>
        <v>0</v>
      </c>
      <c r="R1221" s="71"/>
      <c r="S1221" s="68">
        <f>_xlfn.CEILING.MATH(Devis[[#This Row],[Quantité Totale]],Devis[[#This Row],[Conditionnement]])</f>
        <v>0</v>
      </c>
      <c r="T1221" s="72"/>
      <c r="U1221" s="106"/>
      <c r="V1221" s="74">
        <f>Devis[[#This Row],[Prix de Revient]]*Devis[[#This Row],[Poste 1]]</f>
        <v>0</v>
      </c>
      <c r="W1221" s="74">
        <f>Devis[[#This Row],[Prix de Revient]]*Devis[[#This Row],[Poste 2]]</f>
        <v>0</v>
      </c>
      <c r="X1221" s="74">
        <f>Devis[[#This Row],[Prix de Revient]]*Devis[[#This Row],[Poste 3]]</f>
        <v>0</v>
      </c>
      <c r="Y1221" s="74">
        <f>Devis[[#This Row],[Poste 4]]*Devis[[#This Row],[Prix de Revient]]</f>
        <v>0</v>
      </c>
      <c r="Z1221" s="74">
        <f>Devis[[#This Row],[Poste 5]]*Devis[[#This Row],[Prix de Revient]]</f>
        <v>0</v>
      </c>
      <c r="AA1221" s="74">
        <f>Devis[[#This Row],[Prix de Revient]]*Devis[[#This Row],[Poste 6]]</f>
        <v>0</v>
      </c>
      <c r="AB1221" s="74">
        <f>Devis[[#This Row],[Quantité Totale]]*Devis[[#This Row],[Prix de Revient]]</f>
        <v>0</v>
      </c>
    </row>
    <row r="1222" spans="1:28" ht="14.25" outlineLevel="1" x14ac:dyDescent="0.2">
      <c r="A1222" s="75" t="s">
        <v>3557</v>
      </c>
      <c r="B1222" s="76" t="s">
        <v>917</v>
      </c>
      <c r="C1222" s="107"/>
      <c r="D1222" s="81" t="str">
        <f t="shared" si="22"/>
        <v>GalvaBouchons M 290</v>
      </c>
      <c r="E1222" s="76" t="s">
        <v>19</v>
      </c>
      <c r="F1222" s="81">
        <v>1</v>
      </c>
      <c r="G1222" s="86" t="s">
        <v>923</v>
      </c>
      <c r="H1222" s="71"/>
      <c r="I1222" s="75"/>
      <c r="J1222" s="70">
        <f>IFERROR(VLOOKUP(Devis[[#This Row],[Ref Air Flux]],#REF!,3,FALSE),0)</f>
        <v>0</v>
      </c>
      <c r="K1222" s="68"/>
      <c r="L1222" s="68"/>
      <c r="M1222" s="68"/>
      <c r="N1222" s="68"/>
      <c r="O1222" s="68"/>
      <c r="P1222" s="68"/>
      <c r="Q1222" s="68">
        <f>SUM(Devis[[#This Row],[Poste 1]:[Poste 6]])</f>
        <v>0</v>
      </c>
      <c r="R1222" s="71"/>
      <c r="S1222" s="68">
        <f>_xlfn.CEILING.MATH(Devis[[#This Row],[Quantité Totale]],Devis[[#This Row],[Conditionnement]])</f>
        <v>0</v>
      </c>
      <c r="T1222" s="72"/>
      <c r="U1222" s="106"/>
      <c r="V1222" s="74">
        <f>Devis[[#This Row],[Prix de Revient]]*Devis[[#This Row],[Poste 1]]</f>
        <v>0</v>
      </c>
      <c r="W1222" s="74">
        <f>Devis[[#This Row],[Prix de Revient]]*Devis[[#This Row],[Poste 2]]</f>
        <v>0</v>
      </c>
      <c r="X1222" s="74">
        <f>Devis[[#This Row],[Prix de Revient]]*Devis[[#This Row],[Poste 3]]</f>
        <v>0</v>
      </c>
      <c r="Y1222" s="74">
        <f>Devis[[#This Row],[Poste 4]]*Devis[[#This Row],[Prix de Revient]]</f>
        <v>0</v>
      </c>
      <c r="Z1222" s="74">
        <f>Devis[[#This Row],[Poste 5]]*Devis[[#This Row],[Prix de Revient]]</f>
        <v>0</v>
      </c>
      <c r="AA1222" s="74">
        <f>Devis[[#This Row],[Prix de Revient]]*Devis[[#This Row],[Poste 6]]</f>
        <v>0</v>
      </c>
      <c r="AB1222" s="74">
        <f>Devis[[#This Row],[Quantité Totale]]*Devis[[#This Row],[Prix de Revient]]</f>
        <v>0</v>
      </c>
    </row>
    <row r="1223" spans="1:28" ht="15" customHeight="1" outlineLevel="1" x14ac:dyDescent="0.2">
      <c r="A1223" s="75" t="s">
        <v>3557</v>
      </c>
      <c r="B1223" s="76" t="s">
        <v>917</v>
      </c>
      <c r="C1223" s="107"/>
      <c r="D1223" s="81" t="str">
        <f t="shared" si="22"/>
        <v>GalvaBouchons M 290</v>
      </c>
      <c r="E1223" s="76" t="s">
        <v>21</v>
      </c>
      <c r="F1223" s="81">
        <v>2</v>
      </c>
      <c r="G1223" s="86" t="s">
        <v>921</v>
      </c>
      <c r="H1223" s="71"/>
      <c r="I1223" s="75"/>
      <c r="J1223" s="70">
        <f>IFERROR(VLOOKUP(Devis[[#This Row],[Ref Air Flux]],#REF!,3,FALSE),0)</f>
        <v>0</v>
      </c>
      <c r="K1223" s="68"/>
      <c r="L1223" s="68"/>
      <c r="M1223" s="68"/>
      <c r="N1223" s="68"/>
      <c r="O1223" s="68"/>
      <c r="P1223" s="68"/>
      <c r="Q1223" s="68">
        <f>SUM(Devis[[#This Row],[Poste 1]:[Poste 6]])</f>
        <v>0</v>
      </c>
      <c r="R1223" s="71"/>
      <c r="S1223" s="68">
        <f>_xlfn.CEILING.MATH(Devis[[#This Row],[Quantité Totale]],Devis[[#This Row],[Conditionnement]])</f>
        <v>0</v>
      </c>
      <c r="T1223" s="72"/>
      <c r="U1223" s="106"/>
      <c r="V1223" s="74">
        <f>Devis[[#This Row],[Prix de Revient]]*Devis[[#This Row],[Poste 1]]</f>
        <v>0</v>
      </c>
      <c r="W1223" s="74">
        <f>Devis[[#This Row],[Prix de Revient]]*Devis[[#This Row],[Poste 2]]</f>
        <v>0</v>
      </c>
      <c r="X1223" s="74">
        <f>Devis[[#This Row],[Prix de Revient]]*Devis[[#This Row],[Poste 3]]</f>
        <v>0</v>
      </c>
      <c r="Y1223" s="74">
        <f>Devis[[#This Row],[Poste 4]]*Devis[[#This Row],[Prix de Revient]]</f>
        <v>0</v>
      </c>
      <c r="Z1223" s="74">
        <f>Devis[[#This Row],[Poste 5]]*Devis[[#This Row],[Prix de Revient]]</f>
        <v>0</v>
      </c>
      <c r="AA1223" s="74">
        <f>Devis[[#This Row],[Prix de Revient]]*Devis[[#This Row],[Poste 6]]</f>
        <v>0</v>
      </c>
      <c r="AB1223" s="74">
        <f>Devis[[#This Row],[Quantité Totale]]*Devis[[#This Row],[Prix de Revient]]</f>
        <v>0</v>
      </c>
    </row>
    <row r="1224" spans="1:28" ht="14.25" customHeight="1" outlineLevel="1" x14ac:dyDescent="0.2">
      <c r="A1224" s="75" t="s">
        <v>3557</v>
      </c>
      <c r="B1224" s="76" t="s">
        <v>917</v>
      </c>
      <c r="C1224" s="107"/>
      <c r="D1224" s="81" t="str">
        <f t="shared" si="22"/>
        <v>GalvaBouchons M 290</v>
      </c>
      <c r="E1224" s="76" t="s">
        <v>20</v>
      </c>
      <c r="F1224" s="81">
        <v>3</v>
      </c>
      <c r="G1224" s="86" t="s">
        <v>922</v>
      </c>
      <c r="H1224" s="71"/>
      <c r="I1224" s="75"/>
      <c r="J1224" s="70">
        <f>IFERROR(VLOOKUP(Devis[[#This Row],[Ref Air Flux]],#REF!,3,FALSE),0)</f>
        <v>0</v>
      </c>
      <c r="K1224" s="68"/>
      <c r="L1224" s="68"/>
      <c r="M1224" s="68"/>
      <c r="N1224" s="68"/>
      <c r="O1224" s="68"/>
      <c r="P1224" s="68"/>
      <c r="Q1224" s="68">
        <f>SUM(Devis[[#This Row],[Poste 1]:[Poste 6]])</f>
        <v>0</v>
      </c>
      <c r="R1224" s="71"/>
      <c r="S1224" s="68">
        <f>_xlfn.CEILING.MATH(Devis[[#This Row],[Quantité Totale]],Devis[[#This Row],[Conditionnement]])</f>
        <v>0</v>
      </c>
      <c r="T1224" s="72"/>
      <c r="U1224" s="106"/>
      <c r="V1224" s="74">
        <f>Devis[[#This Row],[Prix de Revient]]*Devis[[#This Row],[Poste 1]]</f>
        <v>0</v>
      </c>
      <c r="W1224" s="74">
        <f>Devis[[#This Row],[Prix de Revient]]*Devis[[#This Row],[Poste 2]]</f>
        <v>0</v>
      </c>
      <c r="X1224" s="74">
        <f>Devis[[#This Row],[Prix de Revient]]*Devis[[#This Row],[Poste 3]]</f>
        <v>0</v>
      </c>
      <c r="Y1224" s="74">
        <f>Devis[[#This Row],[Poste 4]]*Devis[[#This Row],[Prix de Revient]]</f>
        <v>0</v>
      </c>
      <c r="Z1224" s="74">
        <f>Devis[[#This Row],[Poste 5]]*Devis[[#This Row],[Prix de Revient]]</f>
        <v>0</v>
      </c>
      <c r="AA1224" s="74">
        <f>Devis[[#This Row],[Prix de Revient]]*Devis[[#This Row],[Poste 6]]</f>
        <v>0</v>
      </c>
      <c r="AB1224" s="74">
        <f>Devis[[#This Row],[Quantité Totale]]*Devis[[#This Row],[Prix de Revient]]</f>
        <v>0</v>
      </c>
    </row>
    <row r="1225" spans="1:28" ht="14.25" customHeight="1" outlineLevel="1" x14ac:dyDescent="0.2">
      <c r="A1225" s="75" t="s">
        <v>3557</v>
      </c>
      <c r="B1225" s="76" t="s">
        <v>917</v>
      </c>
      <c r="C1225" s="107"/>
      <c r="D1225" s="81" t="str">
        <f t="shared" si="22"/>
        <v>GalvaBouchons M 290</v>
      </c>
      <c r="E1225" s="80" t="s">
        <v>17</v>
      </c>
      <c r="F1225" s="81">
        <v>4</v>
      </c>
      <c r="G1225" s="86" t="s">
        <v>925</v>
      </c>
      <c r="H1225" s="71"/>
      <c r="I1225" s="75"/>
      <c r="J1225" s="70">
        <f>IFERROR(VLOOKUP(Devis[[#This Row],[Ref Air Flux]],#REF!,3,FALSE),0)</f>
        <v>0</v>
      </c>
      <c r="K1225" s="68"/>
      <c r="L1225" s="68"/>
      <c r="M1225" s="68"/>
      <c r="N1225" s="68"/>
      <c r="O1225" s="68"/>
      <c r="P1225" s="68"/>
      <c r="Q1225" s="68">
        <f>SUM(Devis[[#This Row],[Poste 1]:[Poste 6]])</f>
        <v>0</v>
      </c>
      <c r="R1225" s="71"/>
      <c r="S1225" s="68">
        <f>_xlfn.CEILING.MATH(Devis[[#This Row],[Quantité Totale]],Devis[[#This Row],[Conditionnement]])</f>
        <v>0</v>
      </c>
      <c r="T1225" s="72"/>
      <c r="U1225" s="106"/>
      <c r="V1225" s="74">
        <f>Devis[[#This Row],[Prix de Revient]]*Devis[[#This Row],[Poste 1]]</f>
        <v>0</v>
      </c>
      <c r="W1225" s="74">
        <f>Devis[[#This Row],[Prix de Revient]]*Devis[[#This Row],[Poste 2]]</f>
        <v>0</v>
      </c>
      <c r="X1225" s="74">
        <f>Devis[[#This Row],[Prix de Revient]]*Devis[[#This Row],[Poste 3]]</f>
        <v>0</v>
      </c>
      <c r="Y1225" s="74">
        <f>Devis[[#This Row],[Poste 4]]*Devis[[#This Row],[Prix de Revient]]</f>
        <v>0</v>
      </c>
      <c r="Z1225" s="74">
        <f>Devis[[#This Row],[Poste 5]]*Devis[[#This Row],[Prix de Revient]]</f>
        <v>0</v>
      </c>
      <c r="AA1225" s="74">
        <f>Devis[[#This Row],[Prix de Revient]]*Devis[[#This Row],[Poste 6]]</f>
        <v>0</v>
      </c>
      <c r="AB1225" s="74">
        <f>Devis[[#This Row],[Quantité Totale]]*Devis[[#This Row],[Prix de Revient]]</f>
        <v>0</v>
      </c>
    </row>
    <row r="1226" spans="1:28" ht="14.25" outlineLevel="1" x14ac:dyDescent="0.2">
      <c r="A1226" s="75" t="s">
        <v>3557</v>
      </c>
      <c r="B1226" s="76" t="s">
        <v>917</v>
      </c>
      <c r="C1226" s="107"/>
      <c r="D1226" s="81" t="str">
        <f t="shared" si="22"/>
        <v>GalvaBouchons M 290</v>
      </c>
      <c r="E1226" s="80" t="s">
        <v>46</v>
      </c>
      <c r="F1226" s="81">
        <v>5</v>
      </c>
      <c r="G1226" s="86" t="s">
        <v>927</v>
      </c>
      <c r="H1226" s="71"/>
      <c r="I1226" s="75"/>
      <c r="J1226" s="70">
        <f>IFERROR(VLOOKUP(Devis[[#This Row],[Ref Air Flux]],#REF!,3,FALSE),0)</f>
        <v>0</v>
      </c>
      <c r="K1226" s="68"/>
      <c r="L1226" s="68"/>
      <c r="M1226" s="68"/>
      <c r="N1226" s="68"/>
      <c r="O1226" s="68"/>
      <c r="P1226" s="68"/>
      <c r="Q1226" s="68">
        <f>SUM(Devis[[#This Row],[Poste 1]:[Poste 6]])</f>
        <v>0</v>
      </c>
      <c r="R1226" s="71"/>
      <c r="S1226" s="68">
        <f>_xlfn.CEILING.MATH(Devis[[#This Row],[Quantité Totale]],Devis[[#This Row],[Conditionnement]])</f>
        <v>0</v>
      </c>
      <c r="T1226" s="72"/>
      <c r="U1226" s="106"/>
      <c r="V1226" s="74">
        <f>Devis[[#This Row],[Prix de Revient]]*Devis[[#This Row],[Poste 1]]</f>
        <v>0</v>
      </c>
      <c r="W1226" s="74">
        <f>Devis[[#This Row],[Prix de Revient]]*Devis[[#This Row],[Poste 2]]</f>
        <v>0</v>
      </c>
      <c r="X1226" s="74">
        <f>Devis[[#This Row],[Prix de Revient]]*Devis[[#This Row],[Poste 3]]</f>
        <v>0</v>
      </c>
      <c r="Y1226" s="74">
        <f>Devis[[#This Row],[Poste 4]]*Devis[[#This Row],[Prix de Revient]]</f>
        <v>0</v>
      </c>
      <c r="Z1226" s="74">
        <f>Devis[[#This Row],[Poste 5]]*Devis[[#This Row],[Prix de Revient]]</f>
        <v>0</v>
      </c>
      <c r="AA1226" s="74">
        <f>Devis[[#This Row],[Prix de Revient]]*Devis[[#This Row],[Poste 6]]</f>
        <v>0</v>
      </c>
      <c r="AB1226" s="74">
        <f>Devis[[#This Row],[Quantité Totale]]*Devis[[#This Row],[Prix de Revient]]</f>
        <v>0</v>
      </c>
    </row>
    <row r="1227" spans="1:28" ht="14.25" outlineLevel="1" x14ac:dyDescent="0.2">
      <c r="A1227" s="75" t="s">
        <v>3557</v>
      </c>
      <c r="B1227" s="76" t="s">
        <v>917</v>
      </c>
      <c r="C1227" s="107"/>
      <c r="D1227" s="81" t="str">
        <f t="shared" si="22"/>
        <v>GalvaBouchons M 290</v>
      </c>
      <c r="E1227" s="80" t="s">
        <v>928</v>
      </c>
      <c r="F1227" s="81">
        <v>6</v>
      </c>
      <c r="G1227" s="86" t="s">
        <v>929</v>
      </c>
      <c r="H1227" s="71"/>
      <c r="I1227" s="75"/>
      <c r="J1227" s="70">
        <f>IFERROR(VLOOKUP(Devis[[#This Row],[Ref Air Flux]],#REF!,3,FALSE),0)</f>
        <v>0</v>
      </c>
      <c r="K1227" s="68"/>
      <c r="L1227" s="68"/>
      <c r="M1227" s="68"/>
      <c r="N1227" s="68"/>
      <c r="O1227" s="68"/>
      <c r="P1227" s="68"/>
      <c r="Q1227" s="68">
        <f>SUM(Devis[[#This Row],[Poste 1]:[Poste 6]])</f>
        <v>0</v>
      </c>
      <c r="R1227" s="71"/>
      <c r="S1227" s="68">
        <f>_xlfn.CEILING.MATH(Devis[[#This Row],[Quantité Totale]],Devis[[#This Row],[Conditionnement]])</f>
        <v>0</v>
      </c>
      <c r="T1227" s="72"/>
      <c r="U1227" s="106"/>
      <c r="V1227" s="74">
        <f>Devis[[#This Row],[Prix de Revient]]*Devis[[#This Row],[Poste 1]]</f>
        <v>0</v>
      </c>
      <c r="W1227" s="74">
        <f>Devis[[#This Row],[Prix de Revient]]*Devis[[#This Row],[Poste 2]]</f>
        <v>0</v>
      </c>
      <c r="X1227" s="74">
        <f>Devis[[#This Row],[Prix de Revient]]*Devis[[#This Row],[Poste 3]]</f>
        <v>0</v>
      </c>
      <c r="Y1227" s="74">
        <f>Devis[[#This Row],[Poste 4]]*Devis[[#This Row],[Prix de Revient]]</f>
        <v>0</v>
      </c>
      <c r="Z1227" s="74">
        <f>Devis[[#This Row],[Poste 5]]*Devis[[#This Row],[Prix de Revient]]</f>
        <v>0</v>
      </c>
      <c r="AA1227" s="74">
        <f>Devis[[#This Row],[Prix de Revient]]*Devis[[#This Row],[Poste 6]]</f>
        <v>0</v>
      </c>
      <c r="AB1227" s="74">
        <f>Devis[[#This Row],[Quantité Totale]]*Devis[[#This Row],[Prix de Revient]]</f>
        <v>0</v>
      </c>
    </row>
    <row r="1228" spans="1:28" ht="14.25" outlineLevel="1" x14ac:dyDescent="0.2">
      <c r="A1228" s="75" t="s">
        <v>3557</v>
      </c>
      <c r="B1228" s="76" t="s">
        <v>917</v>
      </c>
      <c r="C1228" s="107"/>
      <c r="D1228" s="81" t="str">
        <f t="shared" si="22"/>
        <v>GalvaBouchons M 290</v>
      </c>
      <c r="E1228" s="76" t="s">
        <v>0</v>
      </c>
      <c r="F1228" s="81">
        <v>7</v>
      </c>
      <c r="G1228" s="86" t="s">
        <v>920</v>
      </c>
      <c r="H1228" s="71"/>
      <c r="I1228" s="75"/>
      <c r="J1228" s="70">
        <f>IFERROR(VLOOKUP(Devis[[#This Row],[Ref Air Flux]],#REF!,3,FALSE),0)</f>
        <v>0</v>
      </c>
      <c r="K1228" s="68"/>
      <c r="L1228" s="68"/>
      <c r="M1228" s="68"/>
      <c r="N1228" s="68"/>
      <c r="O1228" s="68"/>
      <c r="P1228" s="68"/>
      <c r="Q1228" s="68">
        <f>SUM(Devis[[#This Row],[Poste 1]:[Poste 6]])</f>
        <v>0</v>
      </c>
      <c r="R1228" s="71"/>
      <c r="S1228" s="68">
        <f>_xlfn.CEILING.MATH(Devis[[#This Row],[Quantité Totale]],Devis[[#This Row],[Conditionnement]])</f>
        <v>0</v>
      </c>
      <c r="T1228" s="72"/>
      <c r="U1228" s="106"/>
      <c r="V1228" s="74">
        <f>Devis[[#This Row],[Prix de Revient]]*Devis[[#This Row],[Poste 1]]</f>
        <v>0</v>
      </c>
      <c r="W1228" s="74">
        <f>Devis[[#This Row],[Prix de Revient]]*Devis[[#This Row],[Poste 2]]</f>
        <v>0</v>
      </c>
      <c r="X1228" s="74">
        <f>Devis[[#This Row],[Prix de Revient]]*Devis[[#This Row],[Poste 3]]</f>
        <v>0</v>
      </c>
      <c r="Y1228" s="74">
        <f>Devis[[#This Row],[Poste 4]]*Devis[[#This Row],[Prix de Revient]]</f>
        <v>0</v>
      </c>
      <c r="Z1228" s="74">
        <f>Devis[[#This Row],[Poste 5]]*Devis[[#This Row],[Prix de Revient]]</f>
        <v>0</v>
      </c>
      <c r="AA1228" s="74">
        <f>Devis[[#This Row],[Prix de Revient]]*Devis[[#This Row],[Poste 6]]</f>
        <v>0</v>
      </c>
      <c r="AB1228" s="74">
        <f>Devis[[#This Row],[Quantité Totale]]*Devis[[#This Row],[Prix de Revient]]</f>
        <v>0</v>
      </c>
    </row>
    <row r="1229" spans="1:28" ht="14.25" outlineLevel="1" x14ac:dyDescent="0.2">
      <c r="A1229" s="75" t="s">
        <v>3557</v>
      </c>
      <c r="B1229" s="76" t="s">
        <v>917</v>
      </c>
      <c r="C1229" s="107"/>
      <c r="D1229" s="81" t="str">
        <f t="shared" si="22"/>
        <v>GalvaBouchons M 290</v>
      </c>
      <c r="E1229" s="76" t="s">
        <v>49</v>
      </c>
      <c r="F1229" s="81">
        <v>8</v>
      </c>
      <c r="G1229" s="86" t="s">
        <v>919</v>
      </c>
      <c r="H1229" s="71"/>
      <c r="I1229" s="75"/>
      <c r="J1229" s="70">
        <f>IFERROR(VLOOKUP(Devis[[#This Row],[Ref Air Flux]],#REF!,3,FALSE),0)</f>
        <v>0</v>
      </c>
      <c r="K1229" s="68"/>
      <c r="L1229" s="68"/>
      <c r="M1229" s="68"/>
      <c r="N1229" s="68"/>
      <c r="O1229" s="68"/>
      <c r="P1229" s="68"/>
      <c r="Q1229" s="68">
        <f>SUM(Devis[[#This Row],[Poste 1]:[Poste 6]])</f>
        <v>0</v>
      </c>
      <c r="R1229" s="71"/>
      <c r="S1229" s="68">
        <f>_xlfn.CEILING.MATH(Devis[[#This Row],[Quantité Totale]],Devis[[#This Row],[Conditionnement]])</f>
        <v>0</v>
      </c>
      <c r="T1229" s="72"/>
      <c r="U1229" s="106"/>
      <c r="V1229" s="74">
        <f>Devis[[#This Row],[Prix de Revient]]*Devis[[#This Row],[Poste 1]]</f>
        <v>0</v>
      </c>
      <c r="W1229" s="74">
        <f>Devis[[#This Row],[Prix de Revient]]*Devis[[#This Row],[Poste 2]]</f>
        <v>0</v>
      </c>
      <c r="X1229" s="74">
        <f>Devis[[#This Row],[Prix de Revient]]*Devis[[#This Row],[Poste 3]]</f>
        <v>0</v>
      </c>
      <c r="Y1229" s="74">
        <f>Devis[[#This Row],[Poste 4]]*Devis[[#This Row],[Prix de Revient]]</f>
        <v>0</v>
      </c>
      <c r="Z1229" s="74">
        <f>Devis[[#This Row],[Poste 5]]*Devis[[#This Row],[Prix de Revient]]</f>
        <v>0</v>
      </c>
      <c r="AA1229" s="74">
        <f>Devis[[#This Row],[Prix de Revient]]*Devis[[#This Row],[Poste 6]]</f>
        <v>0</v>
      </c>
      <c r="AB1229" s="74">
        <f>Devis[[#This Row],[Quantité Totale]]*Devis[[#This Row],[Prix de Revient]]</f>
        <v>0</v>
      </c>
    </row>
    <row r="1230" spans="1:28" ht="14.25" outlineLevel="1" x14ac:dyDescent="0.2">
      <c r="A1230" s="75" t="s">
        <v>3557</v>
      </c>
      <c r="B1230" s="76" t="s">
        <v>917</v>
      </c>
      <c r="C1230" s="107"/>
      <c r="D1230" s="81" t="str">
        <f t="shared" si="22"/>
        <v>GalvaBouchons M 290</v>
      </c>
      <c r="E1230" s="76" t="s">
        <v>821</v>
      </c>
      <c r="F1230" s="81">
        <v>9</v>
      </c>
      <c r="G1230" s="86" t="s">
        <v>918</v>
      </c>
      <c r="H1230" s="71"/>
      <c r="I1230" s="75"/>
      <c r="J1230" s="70">
        <f>IFERROR(VLOOKUP(Devis[[#This Row],[Ref Air Flux]],#REF!,3,FALSE),0)</f>
        <v>0</v>
      </c>
      <c r="K1230" s="68"/>
      <c r="L1230" s="68"/>
      <c r="M1230" s="68"/>
      <c r="N1230" s="68"/>
      <c r="O1230" s="68"/>
      <c r="P1230" s="68"/>
      <c r="Q1230" s="68">
        <f>SUM(Devis[[#This Row],[Poste 1]:[Poste 6]])</f>
        <v>0</v>
      </c>
      <c r="R1230" s="71"/>
      <c r="S1230" s="68">
        <f>_xlfn.CEILING.MATH(Devis[[#This Row],[Quantité Totale]],Devis[[#This Row],[Conditionnement]])</f>
        <v>0</v>
      </c>
      <c r="T1230" s="72"/>
      <c r="U1230" s="106"/>
      <c r="V1230" s="74">
        <f>Devis[[#This Row],[Prix de Revient]]*Devis[[#This Row],[Poste 1]]</f>
        <v>0</v>
      </c>
      <c r="W1230" s="74">
        <f>Devis[[#This Row],[Prix de Revient]]*Devis[[#This Row],[Poste 2]]</f>
        <v>0</v>
      </c>
      <c r="X1230" s="74">
        <f>Devis[[#This Row],[Prix de Revient]]*Devis[[#This Row],[Poste 3]]</f>
        <v>0</v>
      </c>
      <c r="Y1230" s="74">
        <f>Devis[[#This Row],[Poste 4]]*Devis[[#This Row],[Prix de Revient]]</f>
        <v>0</v>
      </c>
      <c r="Z1230" s="74">
        <f>Devis[[#This Row],[Poste 5]]*Devis[[#This Row],[Prix de Revient]]</f>
        <v>0</v>
      </c>
      <c r="AA1230" s="74">
        <f>Devis[[#This Row],[Prix de Revient]]*Devis[[#This Row],[Poste 6]]</f>
        <v>0</v>
      </c>
      <c r="AB1230" s="74">
        <f>Devis[[#This Row],[Quantité Totale]]*Devis[[#This Row],[Prix de Revient]]</f>
        <v>0</v>
      </c>
    </row>
    <row r="1231" spans="1:28" ht="14.25" outlineLevel="1" x14ac:dyDescent="0.2">
      <c r="A1231" s="75" t="s">
        <v>3557</v>
      </c>
      <c r="B1231" s="76" t="s">
        <v>917</v>
      </c>
      <c r="C1231" s="107"/>
      <c r="D1231" s="81" t="str">
        <f t="shared" si="22"/>
        <v>GalvaBouchons M 290</v>
      </c>
      <c r="E1231" s="80" t="s">
        <v>18</v>
      </c>
      <c r="F1231" s="81">
        <v>10</v>
      </c>
      <c r="G1231" s="86" t="s">
        <v>924</v>
      </c>
      <c r="H1231" s="71"/>
      <c r="I1231" s="75"/>
      <c r="J1231" s="70">
        <f>IFERROR(VLOOKUP(Devis[[#This Row],[Ref Air Flux]],#REF!,3,FALSE),0)</f>
        <v>0</v>
      </c>
      <c r="K1231" s="68"/>
      <c r="L1231" s="68"/>
      <c r="M1231" s="68"/>
      <c r="N1231" s="68"/>
      <c r="O1231" s="68"/>
      <c r="P1231" s="68"/>
      <c r="Q1231" s="68">
        <f>SUM(Devis[[#This Row],[Poste 1]:[Poste 6]])</f>
        <v>0</v>
      </c>
      <c r="R1231" s="71"/>
      <c r="S1231" s="68">
        <f>_xlfn.CEILING.MATH(Devis[[#This Row],[Quantité Totale]],Devis[[#This Row],[Conditionnement]])</f>
        <v>0</v>
      </c>
      <c r="T1231" s="72"/>
      <c r="U1231" s="106"/>
      <c r="V1231" s="74">
        <f>Devis[[#This Row],[Prix de Revient]]*Devis[[#This Row],[Poste 1]]</f>
        <v>0</v>
      </c>
      <c r="W1231" s="74">
        <f>Devis[[#This Row],[Prix de Revient]]*Devis[[#This Row],[Poste 2]]</f>
        <v>0</v>
      </c>
      <c r="X1231" s="74">
        <f>Devis[[#This Row],[Prix de Revient]]*Devis[[#This Row],[Poste 3]]</f>
        <v>0</v>
      </c>
      <c r="Y1231" s="74">
        <f>Devis[[#This Row],[Poste 4]]*Devis[[#This Row],[Prix de Revient]]</f>
        <v>0</v>
      </c>
      <c r="Z1231" s="74">
        <f>Devis[[#This Row],[Poste 5]]*Devis[[#This Row],[Prix de Revient]]</f>
        <v>0</v>
      </c>
      <c r="AA1231" s="74">
        <f>Devis[[#This Row],[Prix de Revient]]*Devis[[#This Row],[Poste 6]]</f>
        <v>0</v>
      </c>
      <c r="AB1231" s="74">
        <f>Devis[[#This Row],[Quantité Totale]]*Devis[[#This Row],[Prix de Revient]]</f>
        <v>0</v>
      </c>
    </row>
    <row r="1232" spans="1:28" ht="14.25" outlineLevel="1" x14ac:dyDescent="0.2">
      <c r="A1232" s="75" t="s">
        <v>3557</v>
      </c>
      <c r="B1232" s="76" t="s">
        <v>917</v>
      </c>
      <c r="C1232" s="107"/>
      <c r="D1232" s="81" t="str">
        <f t="shared" si="22"/>
        <v>GalvaBouchons M 290</v>
      </c>
      <c r="E1232" s="80" t="s">
        <v>16</v>
      </c>
      <c r="F1232" s="81">
        <v>11</v>
      </c>
      <c r="G1232" s="86" t="s">
        <v>926</v>
      </c>
      <c r="H1232" s="71"/>
      <c r="I1232" s="75"/>
      <c r="J1232" s="70">
        <f>IFERROR(VLOOKUP(Devis[[#This Row],[Ref Air Flux]],#REF!,3,FALSE),0)</f>
        <v>0</v>
      </c>
      <c r="K1232" s="68"/>
      <c r="L1232" s="68"/>
      <c r="M1232" s="68"/>
      <c r="N1232" s="68"/>
      <c r="O1232" s="68"/>
      <c r="P1232" s="68"/>
      <c r="Q1232" s="68">
        <f>SUM(Devis[[#This Row],[Poste 1]:[Poste 6]])</f>
        <v>0</v>
      </c>
      <c r="R1232" s="71"/>
      <c r="S1232" s="68">
        <f>_xlfn.CEILING.MATH(Devis[[#This Row],[Quantité Totale]],Devis[[#This Row],[Conditionnement]])</f>
        <v>0</v>
      </c>
      <c r="T1232" s="72"/>
      <c r="U1232" s="106"/>
      <c r="V1232" s="74">
        <f>Devis[[#This Row],[Prix de Revient]]*Devis[[#This Row],[Poste 1]]</f>
        <v>0</v>
      </c>
      <c r="W1232" s="74">
        <f>Devis[[#This Row],[Prix de Revient]]*Devis[[#This Row],[Poste 2]]</f>
        <v>0</v>
      </c>
      <c r="X1232" s="74">
        <f>Devis[[#This Row],[Prix de Revient]]*Devis[[#This Row],[Poste 3]]</f>
        <v>0</v>
      </c>
      <c r="Y1232" s="74">
        <f>Devis[[#This Row],[Poste 4]]*Devis[[#This Row],[Prix de Revient]]</f>
        <v>0</v>
      </c>
      <c r="Z1232" s="74">
        <f>Devis[[#This Row],[Poste 5]]*Devis[[#This Row],[Prix de Revient]]</f>
        <v>0</v>
      </c>
      <c r="AA1232" s="74">
        <f>Devis[[#This Row],[Prix de Revient]]*Devis[[#This Row],[Poste 6]]</f>
        <v>0</v>
      </c>
      <c r="AB1232" s="74">
        <f>Devis[[#This Row],[Quantité Totale]]*Devis[[#This Row],[Prix de Revient]]</f>
        <v>0</v>
      </c>
    </row>
    <row r="1233" spans="1:28" ht="14.25" customHeight="1" outlineLevel="1" x14ac:dyDescent="0.25">
      <c r="A1233" s="65" t="s">
        <v>3557</v>
      </c>
      <c r="B1233" s="65" t="s">
        <v>5932</v>
      </c>
      <c r="C1233" s="67"/>
      <c r="D1233" s="67" t="str">
        <f>Général!$A501&amp;Général!$B501&amp;Général!$C501</f>
        <v>CablageIRO &amp; ATTACHESTube IRO</v>
      </c>
      <c r="E1233" s="67"/>
      <c r="F1233" s="81">
        <v>0</v>
      </c>
      <c r="G1233" s="68"/>
      <c r="H1233" s="68"/>
      <c r="I1233" s="69"/>
      <c r="J1233" s="70">
        <f>IFERROR(VLOOKUP(Devis[[#This Row],[Ref Air Flux]],#REF!,3,FALSE),0)</f>
        <v>0</v>
      </c>
      <c r="K1233" s="68"/>
      <c r="L1233" s="68"/>
      <c r="M1233" s="68"/>
      <c r="N1233" s="68"/>
      <c r="O1233" s="68"/>
      <c r="P1233" s="68"/>
      <c r="Q1233" s="68">
        <f>SUM(Devis[[#This Row],[Poste 1]:[Poste 6]])</f>
        <v>0</v>
      </c>
      <c r="R1233" s="71"/>
      <c r="S1233" s="68">
        <f>_xlfn.CEILING.MATH(Devis[[#This Row],[Quantité Totale]],Devis[[#This Row],[Conditionnement]])</f>
        <v>0</v>
      </c>
      <c r="T1233" s="72"/>
      <c r="U1233" s="106"/>
      <c r="V1233" s="74">
        <f>Devis[[#This Row],[Prix de Revient]]*Devis[[#This Row],[Poste 1]]</f>
        <v>0</v>
      </c>
      <c r="W1233" s="74">
        <f>Devis[[#This Row],[Prix de Revient]]*Devis[[#This Row],[Poste 2]]</f>
        <v>0</v>
      </c>
      <c r="X1233" s="74">
        <f>Devis[[#This Row],[Prix de Revient]]*Devis[[#This Row],[Poste 3]]</f>
        <v>0</v>
      </c>
      <c r="Y1233" s="74">
        <f>Devis[[#This Row],[Poste 4]]*Devis[[#This Row],[Prix de Revient]]</f>
        <v>0</v>
      </c>
      <c r="Z1233" s="74">
        <f>Devis[[#This Row],[Poste 5]]*Devis[[#This Row],[Prix de Revient]]</f>
        <v>0</v>
      </c>
      <c r="AA1233" s="74">
        <f>Devis[[#This Row],[Prix de Revient]]*Devis[[#This Row],[Poste 6]]</f>
        <v>0</v>
      </c>
      <c r="AB1233" s="74">
        <f>Devis[[#This Row],[Quantité Totale]]*Devis[[#This Row],[Prix de Revient]]</f>
        <v>0</v>
      </c>
    </row>
    <row r="1234" spans="1:28" ht="14.25" outlineLevel="1" x14ac:dyDescent="0.2">
      <c r="A1234" s="75" t="s">
        <v>3557</v>
      </c>
      <c r="B1234" s="67" t="s">
        <v>5932</v>
      </c>
      <c r="C1234" s="67"/>
      <c r="D1234" s="67" t="str">
        <f>Général!$A500&amp;Général!$B500&amp;Général!$C500</f>
        <v>CablageIRO &amp; ATTACHES</v>
      </c>
      <c r="E1234" s="67" t="s">
        <v>5933</v>
      </c>
      <c r="F1234" s="67">
        <v>1</v>
      </c>
      <c r="G1234" s="71" t="s">
        <v>5628</v>
      </c>
      <c r="H1234" s="68"/>
      <c r="I1234" s="69"/>
      <c r="J1234" s="70">
        <f>IFERROR(VLOOKUP(Devis[[#This Row],[Ref Air Flux]],#REF!,3,FALSE),0)</f>
        <v>0</v>
      </c>
      <c r="K1234" s="68"/>
      <c r="L1234" s="68"/>
      <c r="M1234" s="68"/>
      <c r="N1234" s="68"/>
      <c r="O1234" s="68"/>
      <c r="P1234" s="68"/>
      <c r="Q1234" s="68">
        <f>SUM(Devis[[#This Row],[Poste 1]:[Poste 6]])</f>
        <v>0</v>
      </c>
      <c r="R1234" s="71"/>
      <c r="S1234" s="68">
        <f>_xlfn.CEILING.MATH(Devis[[#This Row],[Quantité Totale]],Devis[[#This Row],[Conditionnement]])</f>
        <v>0</v>
      </c>
      <c r="T1234" s="72"/>
      <c r="U1234" s="106"/>
      <c r="V1234" s="74">
        <f>Devis[[#This Row],[Prix de Revient]]*Devis[[#This Row],[Poste 1]]</f>
        <v>0</v>
      </c>
      <c r="W1234" s="74">
        <f>Devis[[#This Row],[Prix de Revient]]*Devis[[#This Row],[Poste 2]]</f>
        <v>0</v>
      </c>
      <c r="X1234" s="74">
        <f>Devis[[#This Row],[Prix de Revient]]*Devis[[#This Row],[Poste 3]]</f>
        <v>0</v>
      </c>
      <c r="Y1234" s="74">
        <f>Devis[[#This Row],[Poste 4]]*Devis[[#This Row],[Prix de Revient]]</f>
        <v>0</v>
      </c>
      <c r="Z1234" s="74">
        <f>Devis[[#This Row],[Poste 5]]*Devis[[#This Row],[Prix de Revient]]</f>
        <v>0</v>
      </c>
      <c r="AA1234" s="74">
        <f>Devis[[#This Row],[Prix de Revient]]*Devis[[#This Row],[Poste 6]]</f>
        <v>0</v>
      </c>
      <c r="AB1234" s="74">
        <f>Devis[[#This Row],[Quantité Totale]]*Devis[[#This Row],[Prix de Revient]]</f>
        <v>0</v>
      </c>
    </row>
    <row r="1235" spans="1:28" ht="14.25" customHeight="1" x14ac:dyDescent="0.25">
      <c r="A1235" s="65" t="s">
        <v>3557</v>
      </c>
      <c r="B1235" s="65" t="s">
        <v>930</v>
      </c>
      <c r="C1235" s="76"/>
      <c r="D1235" s="81" t="str">
        <f t="shared" ref="D1235:D1298" si="23">A1235&amp;B1235&amp;C1235</f>
        <v>GalvaCoude ff 90</v>
      </c>
      <c r="E1235" s="76"/>
      <c r="F1235" s="81">
        <v>0</v>
      </c>
      <c r="G1235" s="86"/>
      <c r="H1235" s="71"/>
      <c r="I1235" s="75"/>
      <c r="J1235" s="70">
        <f>IFERROR(VLOOKUP(Devis[[#This Row],[Ref Air Flux]],#REF!,3,FALSE),0)</f>
        <v>0</v>
      </c>
      <c r="K1235" s="68"/>
      <c r="L1235" s="68"/>
      <c r="M1235" s="68"/>
      <c r="N1235" s="68"/>
      <c r="O1235" s="68"/>
      <c r="P1235" s="68"/>
      <c r="Q1235" s="68">
        <f>SUM(Devis[[#This Row],[Poste 1]:[Poste 6]])</f>
        <v>0</v>
      </c>
      <c r="R1235" s="71"/>
      <c r="S1235" s="68">
        <f>_xlfn.CEILING.MATH(Devis[[#This Row],[Quantité Totale]],Devis[[#This Row],[Conditionnement]])</f>
        <v>0</v>
      </c>
      <c r="T1235" s="72"/>
      <c r="U1235" s="106"/>
      <c r="V1235" s="74">
        <f>Devis[[#This Row],[Prix de Revient]]*Devis[[#This Row],[Poste 1]]</f>
        <v>0</v>
      </c>
      <c r="W1235" s="74">
        <f>Devis[[#This Row],[Prix de Revient]]*Devis[[#This Row],[Poste 2]]</f>
        <v>0</v>
      </c>
      <c r="X1235" s="74">
        <f>Devis[[#This Row],[Prix de Revient]]*Devis[[#This Row],[Poste 3]]</f>
        <v>0</v>
      </c>
      <c r="Y1235" s="74">
        <f>Devis[[#This Row],[Poste 4]]*Devis[[#This Row],[Prix de Revient]]</f>
        <v>0</v>
      </c>
      <c r="Z1235" s="74">
        <f>Devis[[#This Row],[Poste 5]]*Devis[[#This Row],[Prix de Revient]]</f>
        <v>0</v>
      </c>
      <c r="AA1235" s="74">
        <f>Devis[[#This Row],[Prix de Revient]]*Devis[[#This Row],[Poste 6]]</f>
        <v>0</v>
      </c>
      <c r="AB1235" s="74">
        <f>Devis[[#This Row],[Quantité Totale]]*Devis[[#This Row],[Prix de Revient]]</f>
        <v>0</v>
      </c>
    </row>
    <row r="1236" spans="1:28" ht="14.25" customHeight="1" outlineLevel="1" x14ac:dyDescent="0.2">
      <c r="A1236" s="75" t="s">
        <v>3557</v>
      </c>
      <c r="B1236" s="76" t="s">
        <v>930</v>
      </c>
      <c r="C1236" s="76"/>
      <c r="D1236" s="81" t="str">
        <f t="shared" si="23"/>
        <v>GalvaCoude ff 90</v>
      </c>
      <c r="E1236" s="76" t="s">
        <v>19</v>
      </c>
      <c r="F1236" s="81">
        <v>1</v>
      </c>
      <c r="G1236" s="86" t="s">
        <v>936</v>
      </c>
      <c r="H1236" s="71"/>
      <c r="I1236" s="75"/>
      <c r="J1236" s="70">
        <f>IFERROR(VLOOKUP(Devis[[#This Row],[Ref Air Flux]],#REF!,3,FALSE),0)</f>
        <v>0</v>
      </c>
      <c r="K1236" s="68"/>
      <c r="L1236" s="68"/>
      <c r="M1236" s="68"/>
      <c r="N1236" s="68"/>
      <c r="O1236" s="68"/>
      <c r="P1236" s="68"/>
      <c r="Q1236" s="68">
        <f>SUM(Devis[[#This Row],[Poste 1]:[Poste 6]])</f>
        <v>0</v>
      </c>
      <c r="R1236" s="71"/>
      <c r="S1236" s="68">
        <f>_xlfn.CEILING.MATH(Devis[[#This Row],[Quantité Totale]],Devis[[#This Row],[Conditionnement]])</f>
        <v>0</v>
      </c>
      <c r="T1236" s="72"/>
      <c r="U1236" s="106"/>
      <c r="V1236" s="74">
        <f>Devis[[#This Row],[Prix de Revient]]*Devis[[#This Row],[Poste 1]]</f>
        <v>0</v>
      </c>
      <c r="W1236" s="74">
        <f>Devis[[#This Row],[Prix de Revient]]*Devis[[#This Row],[Poste 2]]</f>
        <v>0</v>
      </c>
      <c r="X1236" s="74">
        <f>Devis[[#This Row],[Prix de Revient]]*Devis[[#This Row],[Poste 3]]</f>
        <v>0</v>
      </c>
      <c r="Y1236" s="74">
        <f>Devis[[#This Row],[Poste 4]]*Devis[[#This Row],[Prix de Revient]]</f>
        <v>0</v>
      </c>
      <c r="Z1236" s="74">
        <f>Devis[[#This Row],[Poste 5]]*Devis[[#This Row],[Prix de Revient]]</f>
        <v>0</v>
      </c>
      <c r="AA1236" s="74">
        <f>Devis[[#This Row],[Prix de Revient]]*Devis[[#This Row],[Poste 6]]</f>
        <v>0</v>
      </c>
      <c r="AB1236" s="74">
        <f>Devis[[#This Row],[Quantité Totale]]*Devis[[#This Row],[Prix de Revient]]</f>
        <v>0</v>
      </c>
    </row>
    <row r="1237" spans="1:28" ht="14.25" outlineLevel="1" x14ac:dyDescent="0.2">
      <c r="A1237" s="75" t="s">
        <v>3557</v>
      </c>
      <c r="B1237" s="76" t="s">
        <v>930</v>
      </c>
      <c r="C1237" s="76"/>
      <c r="D1237" s="81" t="str">
        <f t="shared" si="23"/>
        <v>GalvaCoude ff 90</v>
      </c>
      <c r="E1237" s="76" t="s">
        <v>21</v>
      </c>
      <c r="F1237" s="81">
        <v>2</v>
      </c>
      <c r="G1237" s="86" t="s">
        <v>934</v>
      </c>
      <c r="H1237" s="71"/>
      <c r="I1237" s="75"/>
      <c r="J1237" s="70">
        <f>IFERROR(VLOOKUP(Devis[[#This Row],[Ref Air Flux]],#REF!,3,FALSE),0)</f>
        <v>0</v>
      </c>
      <c r="K1237" s="68"/>
      <c r="L1237" s="68"/>
      <c r="M1237" s="68"/>
      <c r="N1237" s="68"/>
      <c r="O1237" s="68"/>
      <c r="P1237" s="68"/>
      <c r="Q1237" s="68">
        <f>SUM(Devis[[#This Row],[Poste 1]:[Poste 6]])</f>
        <v>0</v>
      </c>
      <c r="R1237" s="71"/>
      <c r="S1237" s="68">
        <f>_xlfn.CEILING.MATH(Devis[[#This Row],[Quantité Totale]],Devis[[#This Row],[Conditionnement]])</f>
        <v>0</v>
      </c>
      <c r="T1237" s="72"/>
      <c r="U1237" s="106"/>
      <c r="V1237" s="74">
        <f>Devis[[#This Row],[Prix de Revient]]*Devis[[#This Row],[Poste 1]]</f>
        <v>0</v>
      </c>
      <c r="W1237" s="74">
        <f>Devis[[#This Row],[Prix de Revient]]*Devis[[#This Row],[Poste 2]]</f>
        <v>0</v>
      </c>
      <c r="X1237" s="74">
        <f>Devis[[#This Row],[Prix de Revient]]*Devis[[#This Row],[Poste 3]]</f>
        <v>0</v>
      </c>
      <c r="Y1237" s="74">
        <f>Devis[[#This Row],[Poste 4]]*Devis[[#This Row],[Prix de Revient]]</f>
        <v>0</v>
      </c>
      <c r="Z1237" s="74">
        <f>Devis[[#This Row],[Poste 5]]*Devis[[#This Row],[Prix de Revient]]</f>
        <v>0</v>
      </c>
      <c r="AA1237" s="74">
        <f>Devis[[#This Row],[Prix de Revient]]*Devis[[#This Row],[Poste 6]]</f>
        <v>0</v>
      </c>
      <c r="AB1237" s="74">
        <f>Devis[[#This Row],[Quantité Totale]]*Devis[[#This Row],[Prix de Revient]]</f>
        <v>0</v>
      </c>
    </row>
    <row r="1238" spans="1:28" ht="14.25" outlineLevel="1" x14ac:dyDescent="0.2">
      <c r="A1238" s="75" t="s">
        <v>3557</v>
      </c>
      <c r="B1238" s="76" t="s">
        <v>930</v>
      </c>
      <c r="C1238" s="76"/>
      <c r="D1238" s="81" t="str">
        <f t="shared" si="23"/>
        <v>GalvaCoude ff 90</v>
      </c>
      <c r="E1238" s="76" t="s">
        <v>20</v>
      </c>
      <c r="F1238" s="81">
        <v>3</v>
      </c>
      <c r="G1238" s="86" t="s">
        <v>935</v>
      </c>
      <c r="H1238" s="71"/>
      <c r="I1238" s="75"/>
      <c r="J1238" s="70">
        <f>IFERROR(VLOOKUP(Devis[[#This Row],[Ref Air Flux]],#REF!,3,FALSE),0)</f>
        <v>0</v>
      </c>
      <c r="K1238" s="68"/>
      <c r="L1238" s="68"/>
      <c r="M1238" s="68"/>
      <c r="N1238" s="68"/>
      <c r="O1238" s="68"/>
      <c r="P1238" s="68"/>
      <c r="Q1238" s="68">
        <f>SUM(Devis[[#This Row],[Poste 1]:[Poste 6]])</f>
        <v>0</v>
      </c>
      <c r="R1238" s="71"/>
      <c r="S1238" s="68">
        <f>_xlfn.CEILING.MATH(Devis[[#This Row],[Quantité Totale]],Devis[[#This Row],[Conditionnement]])</f>
        <v>0</v>
      </c>
      <c r="T1238" s="72"/>
      <c r="U1238" s="106"/>
      <c r="V1238" s="74">
        <f>Devis[[#This Row],[Prix de Revient]]*Devis[[#This Row],[Poste 1]]</f>
        <v>0</v>
      </c>
      <c r="W1238" s="74">
        <f>Devis[[#This Row],[Prix de Revient]]*Devis[[#This Row],[Poste 2]]</f>
        <v>0</v>
      </c>
      <c r="X1238" s="74">
        <f>Devis[[#This Row],[Prix de Revient]]*Devis[[#This Row],[Poste 3]]</f>
        <v>0</v>
      </c>
      <c r="Y1238" s="74">
        <f>Devis[[#This Row],[Poste 4]]*Devis[[#This Row],[Prix de Revient]]</f>
        <v>0</v>
      </c>
      <c r="Z1238" s="74">
        <f>Devis[[#This Row],[Poste 5]]*Devis[[#This Row],[Prix de Revient]]</f>
        <v>0</v>
      </c>
      <c r="AA1238" s="74">
        <f>Devis[[#This Row],[Prix de Revient]]*Devis[[#This Row],[Poste 6]]</f>
        <v>0</v>
      </c>
      <c r="AB1238" s="74">
        <f>Devis[[#This Row],[Quantité Totale]]*Devis[[#This Row],[Prix de Revient]]</f>
        <v>0</v>
      </c>
    </row>
    <row r="1239" spans="1:28" ht="14.25" outlineLevel="1" x14ac:dyDescent="0.2">
      <c r="A1239" s="75" t="s">
        <v>3557</v>
      </c>
      <c r="B1239" s="76" t="s">
        <v>930</v>
      </c>
      <c r="C1239" s="76"/>
      <c r="D1239" s="81" t="str">
        <f t="shared" si="23"/>
        <v>GalvaCoude ff 90</v>
      </c>
      <c r="E1239" s="80" t="s">
        <v>17</v>
      </c>
      <c r="F1239" s="81">
        <v>4</v>
      </c>
      <c r="G1239" s="86" t="s">
        <v>938</v>
      </c>
      <c r="H1239" s="71"/>
      <c r="I1239" s="75"/>
      <c r="J1239" s="70">
        <f>IFERROR(VLOOKUP(Devis[[#This Row],[Ref Air Flux]],#REF!,3,FALSE),0)</f>
        <v>0</v>
      </c>
      <c r="K1239" s="68"/>
      <c r="L1239" s="68"/>
      <c r="M1239" s="68"/>
      <c r="N1239" s="68"/>
      <c r="O1239" s="68"/>
      <c r="P1239" s="68"/>
      <c r="Q1239" s="68">
        <f>SUM(Devis[[#This Row],[Poste 1]:[Poste 6]])</f>
        <v>0</v>
      </c>
      <c r="R1239" s="71"/>
      <c r="S1239" s="68">
        <f>_xlfn.CEILING.MATH(Devis[[#This Row],[Quantité Totale]],Devis[[#This Row],[Conditionnement]])</f>
        <v>0</v>
      </c>
      <c r="T1239" s="72"/>
      <c r="U1239" s="106"/>
      <c r="V1239" s="74">
        <f>Devis[[#This Row],[Prix de Revient]]*Devis[[#This Row],[Poste 1]]</f>
        <v>0</v>
      </c>
      <c r="W1239" s="74">
        <f>Devis[[#This Row],[Prix de Revient]]*Devis[[#This Row],[Poste 2]]</f>
        <v>0</v>
      </c>
      <c r="X1239" s="74">
        <f>Devis[[#This Row],[Prix de Revient]]*Devis[[#This Row],[Poste 3]]</f>
        <v>0</v>
      </c>
      <c r="Y1239" s="74">
        <f>Devis[[#This Row],[Poste 4]]*Devis[[#This Row],[Prix de Revient]]</f>
        <v>0</v>
      </c>
      <c r="Z1239" s="74">
        <f>Devis[[#This Row],[Poste 5]]*Devis[[#This Row],[Prix de Revient]]</f>
        <v>0</v>
      </c>
      <c r="AA1239" s="74">
        <f>Devis[[#This Row],[Prix de Revient]]*Devis[[#This Row],[Poste 6]]</f>
        <v>0</v>
      </c>
      <c r="AB1239" s="74">
        <f>Devis[[#This Row],[Quantité Totale]]*Devis[[#This Row],[Prix de Revient]]</f>
        <v>0</v>
      </c>
    </row>
    <row r="1240" spans="1:28" ht="14.25" outlineLevel="1" x14ac:dyDescent="0.2">
      <c r="A1240" s="75" t="s">
        <v>3557</v>
      </c>
      <c r="B1240" s="76" t="s">
        <v>930</v>
      </c>
      <c r="C1240" s="76"/>
      <c r="D1240" s="81" t="str">
        <f t="shared" si="23"/>
        <v>GalvaCoude ff 90</v>
      </c>
      <c r="E1240" s="80" t="s">
        <v>46</v>
      </c>
      <c r="F1240" s="81">
        <v>5</v>
      </c>
      <c r="G1240" s="86" t="s">
        <v>940</v>
      </c>
      <c r="H1240" s="71"/>
      <c r="I1240" s="75"/>
      <c r="J1240" s="70">
        <f>IFERROR(VLOOKUP(Devis[[#This Row],[Ref Air Flux]],#REF!,3,FALSE),0)</f>
        <v>0</v>
      </c>
      <c r="K1240" s="68"/>
      <c r="L1240" s="68"/>
      <c r="M1240" s="68"/>
      <c r="N1240" s="68"/>
      <c r="O1240" s="68"/>
      <c r="P1240" s="68"/>
      <c r="Q1240" s="68">
        <f>SUM(Devis[[#This Row],[Poste 1]:[Poste 6]])</f>
        <v>0</v>
      </c>
      <c r="R1240" s="71"/>
      <c r="S1240" s="68">
        <f>_xlfn.CEILING.MATH(Devis[[#This Row],[Quantité Totale]],Devis[[#This Row],[Conditionnement]])</f>
        <v>0</v>
      </c>
      <c r="T1240" s="72"/>
      <c r="U1240" s="106"/>
      <c r="V1240" s="74">
        <f>Devis[[#This Row],[Prix de Revient]]*Devis[[#This Row],[Poste 1]]</f>
        <v>0</v>
      </c>
      <c r="W1240" s="74">
        <f>Devis[[#This Row],[Prix de Revient]]*Devis[[#This Row],[Poste 2]]</f>
        <v>0</v>
      </c>
      <c r="X1240" s="74">
        <f>Devis[[#This Row],[Prix de Revient]]*Devis[[#This Row],[Poste 3]]</f>
        <v>0</v>
      </c>
      <c r="Y1240" s="74">
        <f>Devis[[#This Row],[Poste 4]]*Devis[[#This Row],[Prix de Revient]]</f>
        <v>0</v>
      </c>
      <c r="Z1240" s="74">
        <f>Devis[[#This Row],[Poste 5]]*Devis[[#This Row],[Prix de Revient]]</f>
        <v>0</v>
      </c>
      <c r="AA1240" s="74">
        <f>Devis[[#This Row],[Prix de Revient]]*Devis[[#This Row],[Poste 6]]</f>
        <v>0</v>
      </c>
      <c r="AB1240" s="74">
        <f>Devis[[#This Row],[Quantité Totale]]*Devis[[#This Row],[Prix de Revient]]</f>
        <v>0</v>
      </c>
    </row>
    <row r="1241" spans="1:28" ht="14.25" outlineLevel="1" x14ac:dyDescent="0.2">
      <c r="A1241" s="75" t="s">
        <v>3557</v>
      </c>
      <c r="B1241" s="76" t="s">
        <v>930</v>
      </c>
      <c r="C1241" s="76"/>
      <c r="D1241" s="81" t="str">
        <f t="shared" si="23"/>
        <v>GalvaCoude ff 90</v>
      </c>
      <c r="E1241" s="80" t="s">
        <v>928</v>
      </c>
      <c r="F1241" s="81">
        <v>6</v>
      </c>
      <c r="G1241" s="86" t="s">
        <v>941</v>
      </c>
      <c r="H1241" s="71"/>
      <c r="I1241" s="75"/>
      <c r="J1241" s="70">
        <f>IFERROR(VLOOKUP(Devis[[#This Row],[Ref Air Flux]],#REF!,3,FALSE),0)</f>
        <v>0</v>
      </c>
      <c r="K1241" s="68"/>
      <c r="L1241" s="68"/>
      <c r="M1241" s="68"/>
      <c r="N1241" s="68"/>
      <c r="O1241" s="68"/>
      <c r="P1241" s="68"/>
      <c r="Q1241" s="68">
        <f>SUM(Devis[[#This Row],[Poste 1]:[Poste 6]])</f>
        <v>0</v>
      </c>
      <c r="R1241" s="71"/>
      <c r="S1241" s="68">
        <f>_xlfn.CEILING.MATH(Devis[[#This Row],[Quantité Totale]],Devis[[#This Row],[Conditionnement]])</f>
        <v>0</v>
      </c>
      <c r="T1241" s="72"/>
      <c r="U1241" s="106"/>
      <c r="V1241" s="74">
        <f>Devis[[#This Row],[Prix de Revient]]*Devis[[#This Row],[Poste 1]]</f>
        <v>0</v>
      </c>
      <c r="W1241" s="74">
        <f>Devis[[#This Row],[Prix de Revient]]*Devis[[#This Row],[Poste 2]]</f>
        <v>0</v>
      </c>
      <c r="X1241" s="74">
        <f>Devis[[#This Row],[Prix de Revient]]*Devis[[#This Row],[Poste 3]]</f>
        <v>0</v>
      </c>
      <c r="Y1241" s="74">
        <f>Devis[[#This Row],[Poste 4]]*Devis[[#This Row],[Prix de Revient]]</f>
        <v>0</v>
      </c>
      <c r="Z1241" s="74">
        <f>Devis[[#This Row],[Poste 5]]*Devis[[#This Row],[Prix de Revient]]</f>
        <v>0</v>
      </c>
      <c r="AA1241" s="74">
        <f>Devis[[#This Row],[Prix de Revient]]*Devis[[#This Row],[Poste 6]]</f>
        <v>0</v>
      </c>
      <c r="AB1241" s="74">
        <f>Devis[[#This Row],[Quantité Totale]]*Devis[[#This Row],[Prix de Revient]]</f>
        <v>0</v>
      </c>
    </row>
    <row r="1242" spans="1:28" ht="14.25" outlineLevel="1" x14ac:dyDescent="0.2">
      <c r="A1242" s="75" t="s">
        <v>3557</v>
      </c>
      <c r="B1242" s="76" t="s">
        <v>930</v>
      </c>
      <c r="C1242" s="76"/>
      <c r="D1242" s="81" t="str">
        <f t="shared" si="23"/>
        <v>GalvaCoude ff 90</v>
      </c>
      <c r="E1242" s="76" t="s">
        <v>0</v>
      </c>
      <c r="F1242" s="81">
        <v>7</v>
      </c>
      <c r="G1242" s="86" t="s">
        <v>933</v>
      </c>
      <c r="H1242" s="71"/>
      <c r="I1242" s="75"/>
      <c r="J1242" s="70">
        <f>IFERROR(VLOOKUP(Devis[[#This Row],[Ref Air Flux]],#REF!,3,FALSE),0)</f>
        <v>0</v>
      </c>
      <c r="K1242" s="68"/>
      <c r="L1242" s="68"/>
      <c r="M1242" s="68"/>
      <c r="N1242" s="68"/>
      <c r="O1242" s="68"/>
      <c r="P1242" s="68"/>
      <c r="Q1242" s="68">
        <f>SUM(Devis[[#This Row],[Poste 1]:[Poste 6]])</f>
        <v>0</v>
      </c>
      <c r="R1242" s="71"/>
      <c r="S1242" s="68">
        <f>_xlfn.CEILING.MATH(Devis[[#This Row],[Quantité Totale]],Devis[[#This Row],[Conditionnement]])</f>
        <v>0</v>
      </c>
      <c r="T1242" s="72"/>
      <c r="U1242" s="106"/>
      <c r="V1242" s="74">
        <f>Devis[[#This Row],[Prix de Revient]]*Devis[[#This Row],[Poste 1]]</f>
        <v>0</v>
      </c>
      <c r="W1242" s="74">
        <f>Devis[[#This Row],[Prix de Revient]]*Devis[[#This Row],[Poste 2]]</f>
        <v>0</v>
      </c>
      <c r="X1242" s="74">
        <f>Devis[[#This Row],[Prix de Revient]]*Devis[[#This Row],[Poste 3]]</f>
        <v>0</v>
      </c>
      <c r="Y1242" s="74">
        <f>Devis[[#This Row],[Poste 4]]*Devis[[#This Row],[Prix de Revient]]</f>
        <v>0</v>
      </c>
      <c r="Z1242" s="74">
        <f>Devis[[#This Row],[Poste 5]]*Devis[[#This Row],[Prix de Revient]]</f>
        <v>0</v>
      </c>
      <c r="AA1242" s="74">
        <f>Devis[[#This Row],[Prix de Revient]]*Devis[[#This Row],[Poste 6]]</f>
        <v>0</v>
      </c>
      <c r="AB1242" s="74">
        <f>Devis[[#This Row],[Quantité Totale]]*Devis[[#This Row],[Prix de Revient]]</f>
        <v>0</v>
      </c>
    </row>
    <row r="1243" spans="1:28" ht="15" customHeight="1" outlineLevel="1" x14ac:dyDescent="0.2">
      <c r="A1243" s="75" t="s">
        <v>3557</v>
      </c>
      <c r="B1243" s="76" t="s">
        <v>930</v>
      </c>
      <c r="C1243" s="76"/>
      <c r="D1243" s="81" t="str">
        <f t="shared" si="23"/>
        <v>GalvaCoude ff 90</v>
      </c>
      <c r="E1243" s="76" t="s">
        <v>49</v>
      </c>
      <c r="F1243" s="81">
        <v>8</v>
      </c>
      <c r="G1243" s="86" t="s">
        <v>932</v>
      </c>
      <c r="H1243" s="71"/>
      <c r="I1243" s="75"/>
      <c r="J1243" s="70">
        <f>IFERROR(VLOOKUP(Devis[[#This Row],[Ref Air Flux]],#REF!,3,FALSE),0)</f>
        <v>0</v>
      </c>
      <c r="K1243" s="68"/>
      <c r="L1243" s="68"/>
      <c r="M1243" s="68"/>
      <c r="N1243" s="68"/>
      <c r="O1243" s="68"/>
      <c r="P1243" s="68"/>
      <c r="Q1243" s="68">
        <f>SUM(Devis[[#This Row],[Poste 1]:[Poste 6]])</f>
        <v>0</v>
      </c>
      <c r="R1243" s="71"/>
      <c r="S1243" s="68">
        <f>_xlfn.CEILING.MATH(Devis[[#This Row],[Quantité Totale]],Devis[[#This Row],[Conditionnement]])</f>
        <v>0</v>
      </c>
      <c r="T1243" s="72"/>
      <c r="U1243" s="106"/>
      <c r="V1243" s="74">
        <f>Devis[[#This Row],[Prix de Revient]]*Devis[[#This Row],[Poste 1]]</f>
        <v>0</v>
      </c>
      <c r="W1243" s="74">
        <f>Devis[[#This Row],[Prix de Revient]]*Devis[[#This Row],[Poste 2]]</f>
        <v>0</v>
      </c>
      <c r="X1243" s="74">
        <f>Devis[[#This Row],[Prix de Revient]]*Devis[[#This Row],[Poste 3]]</f>
        <v>0</v>
      </c>
      <c r="Y1243" s="74">
        <f>Devis[[#This Row],[Poste 4]]*Devis[[#This Row],[Prix de Revient]]</f>
        <v>0</v>
      </c>
      <c r="Z1243" s="74">
        <f>Devis[[#This Row],[Poste 5]]*Devis[[#This Row],[Prix de Revient]]</f>
        <v>0</v>
      </c>
      <c r="AA1243" s="74">
        <f>Devis[[#This Row],[Prix de Revient]]*Devis[[#This Row],[Poste 6]]</f>
        <v>0</v>
      </c>
      <c r="AB1243" s="74">
        <f>Devis[[#This Row],[Quantité Totale]]*Devis[[#This Row],[Prix de Revient]]</f>
        <v>0</v>
      </c>
    </row>
    <row r="1244" spans="1:28" ht="14.25" customHeight="1" outlineLevel="1" x14ac:dyDescent="0.2">
      <c r="A1244" s="75" t="s">
        <v>3557</v>
      </c>
      <c r="B1244" s="76" t="s">
        <v>930</v>
      </c>
      <c r="C1244" s="76"/>
      <c r="D1244" s="81" t="str">
        <f t="shared" si="23"/>
        <v>GalvaCoude ff 90</v>
      </c>
      <c r="E1244" s="76" t="s">
        <v>821</v>
      </c>
      <c r="F1244" s="81">
        <v>9</v>
      </c>
      <c r="G1244" s="86" t="s">
        <v>931</v>
      </c>
      <c r="H1244" s="71"/>
      <c r="I1244" s="75"/>
      <c r="J1244" s="70">
        <f>IFERROR(VLOOKUP(Devis[[#This Row],[Ref Air Flux]],#REF!,3,FALSE),0)</f>
        <v>0</v>
      </c>
      <c r="K1244" s="68"/>
      <c r="L1244" s="68"/>
      <c r="M1244" s="68"/>
      <c r="N1244" s="68"/>
      <c r="O1244" s="68"/>
      <c r="P1244" s="68"/>
      <c r="Q1244" s="68">
        <f>SUM(Devis[[#This Row],[Poste 1]:[Poste 6]])</f>
        <v>0</v>
      </c>
      <c r="R1244" s="71"/>
      <c r="S1244" s="68">
        <f>_xlfn.CEILING.MATH(Devis[[#This Row],[Quantité Totale]],Devis[[#This Row],[Conditionnement]])</f>
        <v>0</v>
      </c>
      <c r="T1244" s="72"/>
      <c r="U1244" s="106"/>
      <c r="V1244" s="74">
        <f>Devis[[#This Row],[Prix de Revient]]*Devis[[#This Row],[Poste 1]]</f>
        <v>0</v>
      </c>
      <c r="W1244" s="74">
        <f>Devis[[#This Row],[Prix de Revient]]*Devis[[#This Row],[Poste 2]]</f>
        <v>0</v>
      </c>
      <c r="X1244" s="74">
        <f>Devis[[#This Row],[Prix de Revient]]*Devis[[#This Row],[Poste 3]]</f>
        <v>0</v>
      </c>
      <c r="Y1244" s="74">
        <f>Devis[[#This Row],[Poste 4]]*Devis[[#This Row],[Prix de Revient]]</f>
        <v>0</v>
      </c>
      <c r="Z1244" s="74">
        <f>Devis[[#This Row],[Poste 5]]*Devis[[#This Row],[Prix de Revient]]</f>
        <v>0</v>
      </c>
      <c r="AA1244" s="74">
        <f>Devis[[#This Row],[Prix de Revient]]*Devis[[#This Row],[Poste 6]]</f>
        <v>0</v>
      </c>
      <c r="AB1244" s="74">
        <f>Devis[[#This Row],[Quantité Totale]]*Devis[[#This Row],[Prix de Revient]]</f>
        <v>0</v>
      </c>
    </row>
    <row r="1245" spans="1:28" ht="14.25" customHeight="1" outlineLevel="1" x14ac:dyDescent="0.2">
      <c r="A1245" s="75" t="s">
        <v>3557</v>
      </c>
      <c r="B1245" s="76" t="s">
        <v>930</v>
      </c>
      <c r="C1245" s="76"/>
      <c r="D1245" s="81" t="str">
        <f t="shared" si="23"/>
        <v>GalvaCoude ff 90</v>
      </c>
      <c r="E1245" s="80" t="s">
        <v>18</v>
      </c>
      <c r="F1245" s="81">
        <v>10</v>
      </c>
      <c r="G1245" s="86" t="s">
        <v>937</v>
      </c>
      <c r="H1245" s="71"/>
      <c r="I1245" s="75"/>
      <c r="J1245" s="70">
        <f>IFERROR(VLOOKUP(Devis[[#This Row],[Ref Air Flux]],#REF!,3,FALSE),0)</f>
        <v>0</v>
      </c>
      <c r="K1245" s="68"/>
      <c r="L1245" s="68"/>
      <c r="M1245" s="68"/>
      <c r="N1245" s="68"/>
      <c r="O1245" s="68"/>
      <c r="P1245" s="68"/>
      <c r="Q1245" s="68">
        <f>SUM(Devis[[#This Row],[Poste 1]:[Poste 6]])</f>
        <v>0</v>
      </c>
      <c r="R1245" s="71"/>
      <c r="S1245" s="68">
        <f>_xlfn.CEILING.MATH(Devis[[#This Row],[Quantité Totale]],Devis[[#This Row],[Conditionnement]])</f>
        <v>0</v>
      </c>
      <c r="T1245" s="72"/>
      <c r="U1245" s="106"/>
      <c r="V1245" s="74">
        <f>Devis[[#This Row],[Prix de Revient]]*Devis[[#This Row],[Poste 1]]</f>
        <v>0</v>
      </c>
      <c r="W1245" s="74">
        <f>Devis[[#This Row],[Prix de Revient]]*Devis[[#This Row],[Poste 2]]</f>
        <v>0</v>
      </c>
      <c r="X1245" s="74">
        <f>Devis[[#This Row],[Prix de Revient]]*Devis[[#This Row],[Poste 3]]</f>
        <v>0</v>
      </c>
      <c r="Y1245" s="74">
        <f>Devis[[#This Row],[Poste 4]]*Devis[[#This Row],[Prix de Revient]]</f>
        <v>0</v>
      </c>
      <c r="Z1245" s="74">
        <f>Devis[[#This Row],[Poste 5]]*Devis[[#This Row],[Prix de Revient]]</f>
        <v>0</v>
      </c>
      <c r="AA1245" s="74">
        <f>Devis[[#This Row],[Prix de Revient]]*Devis[[#This Row],[Poste 6]]</f>
        <v>0</v>
      </c>
      <c r="AB1245" s="74">
        <f>Devis[[#This Row],[Quantité Totale]]*Devis[[#This Row],[Prix de Revient]]</f>
        <v>0</v>
      </c>
    </row>
    <row r="1246" spans="1:28" ht="14.25" outlineLevel="1" x14ac:dyDescent="0.2">
      <c r="A1246" s="75" t="s">
        <v>3557</v>
      </c>
      <c r="B1246" s="76" t="s">
        <v>930</v>
      </c>
      <c r="C1246" s="76"/>
      <c r="D1246" s="81" t="str">
        <f t="shared" si="23"/>
        <v>GalvaCoude ff 90</v>
      </c>
      <c r="E1246" s="80" t="s">
        <v>16</v>
      </c>
      <c r="F1246" s="81">
        <v>11</v>
      </c>
      <c r="G1246" s="86" t="s">
        <v>939</v>
      </c>
      <c r="H1246" s="71"/>
      <c r="I1246" s="75"/>
      <c r="J1246" s="70">
        <f>IFERROR(VLOOKUP(Devis[[#This Row],[Ref Air Flux]],#REF!,3,FALSE),0)</f>
        <v>0</v>
      </c>
      <c r="K1246" s="68"/>
      <c r="L1246" s="68"/>
      <c r="M1246" s="68"/>
      <c r="N1246" s="68"/>
      <c r="O1246" s="68"/>
      <c r="P1246" s="68"/>
      <c r="Q1246" s="68">
        <f>SUM(Devis[[#This Row],[Poste 1]:[Poste 6]])</f>
        <v>0</v>
      </c>
      <c r="R1246" s="71"/>
      <c r="S1246" s="68">
        <f>_xlfn.CEILING.MATH(Devis[[#This Row],[Quantité Totale]],Devis[[#This Row],[Conditionnement]])</f>
        <v>0</v>
      </c>
      <c r="T1246" s="72"/>
      <c r="U1246" s="106"/>
      <c r="V1246" s="74">
        <f>Devis[[#This Row],[Prix de Revient]]*Devis[[#This Row],[Poste 1]]</f>
        <v>0</v>
      </c>
      <c r="W1246" s="74">
        <f>Devis[[#This Row],[Prix de Revient]]*Devis[[#This Row],[Poste 2]]</f>
        <v>0</v>
      </c>
      <c r="X1246" s="74">
        <f>Devis[[#This Row],[Prix de Revient]]*Devis[[#This Row],[Poste 3]]</f>
        <v>0</v>
      </c>
      <c r="Y1246" s="74">
        <f>Devis[[#This Row],[Poste 4]]*Devis[[#This Row],[Prix de Revient]]</f>
        <v>0</v>
      </c>
      <c r="Z1246" s="74">
        <f>Devis[[#This Row],[Poste 5]]*Devis[[#This Row],[Prix de Revient]]</f>
        <v>0</v>
      </c>
      <c r="AA1246" s="74">
        <f>Devis[[#This Row],[Prix de Revient]]*Devis[[#This Row],[Poste 6]]</f>
        <v>0</v>
      </c>
      <c r="AB1246" s="74">
        <f>Devis[[#This Row],[Quantité Totale]]*Devis[[#This Row],[Prix de Revient]]</f>
        <v>0</v>
      </c>
    </row>
    <row r="1247" spans="1:28" ht="15" customHeight="1" x14ac:dyDescent="0.25">
      <c r="A1247" s="65" t="s">
        <v>3557</v>
      </c>
      <c r="B1247" s="65" t="s">
        <v>942</v>
      </c>
      <c r="C1247" s="76"/>
      <c r="D1247" s="81" t="str">
        <f t="shared" si="23"/>
        <v>GalvaCoudes mf 92</v>
      </c>
      <c r="E1247" s="76"/>
      <c r="F1247" s="81">
        <v>0</v>
      </c>
      <c r="G1247" s="86"/>
      <c r="H1247" s="71"/>
      <c r="I1247" s="75"/>
      <c r="J1247" s="70">
        <f>IFERROR(VLOOKUP(Devis[[#This Row],[Ref Air Flux]],#REF!,3,FALSE),0)</f>
        <v>0</v>
      </c>
      <c r="K1247" s="68"/>
      <c r="L1247" s="68"/>
      <c r="M1247" s="68"/>
      <c r="N1247" s="68"/>
      <c r="O1247" s="68"/>
      <c r="P1247" s="68"/>
      <c r="Q1247" s="68">
        <f>SUM(Devis[[#This Row],[Poste 1]:[Poste 6]])</f>
        <v>0</v>
      </c>
      <c r="R1247" s="71"/>
      <c r="S1247" s="68">
        <f>_xlfn.CEILING.MATH(Devis[[#This Row],[Quantité Totale]],Devis[[#This Row],[Conditionnement]])</f>
        <v>0</v>
      </c>
      <c r="T1247" s="72"/>
      <c r="U1247" s="106"/>
      <c r="V1247" s="74">
        <f>Devis[[#This Row],[Prix de Revient]]*Devis[[#This Row],[Poste 1]]</f>
        <v>0</v>
      </c>
      <c r="W1247" s="74">
        <f>Devis[[#This Row],[Prix de Revient]]*Devis[[#This Row],[Poste 2]]</f>
        <v>0</v>
      </c>
      <c r="X1247" s="74">
        <f>Devis[[#This Row],[Prix de Revient]]*Devis[[#This Row],[Poste 3]]</f>
        <v>0</v>
      </c>
      <c r="Y1247" s="74">
        <f>Devis[[#This Row],[Poste 4]]*Devis[[#This Row],[Prix de Revient]]</f>
        <v>0</v>
      </c>
      <c r="Z1247" s="74">
        <f>Devis[[#This Row],[Poste 5]]*Devis[[#This Row],[Prix de Revient]]</f>
        <v>0</v>
      </c>
      <c r="AA1247" s="74">
        <f>Devis[[#This Row],[Prix de Revient]]*Devis[[#This Row],[Poste 6]]</f>
        <v>0</v>
      </c>
      <c r="AB1247" s="74">
        <f>Devis[[#This Row],[Quantité Totale]]*Devis[[#This Row],[Prix de Revient]]</f>
        <v>0</v>
      </c>
    </row>
    <row r="1248" spans="1:28" ht="14.25" outlineLevel="1" x14ac:dyDescent="0.2">
      <c r="A1248" s="75" t="s">
        <v>3557</v>
      </c>
      <c r="B1248" s="76" t="s">
        <v>942</v>
      </c>
      <c r="C1248" s="76"/>
      <c r="D1248" s="81" t="str">
        <f t="shared" si="23"/>
        <v>GalvaCoudes mf 92</v>
      </c>
      <c r="E1248" s="76" t="s">
        <v>19</v>
      </c>
      <c r="F1248" s="81">
        <v>1</v>
      </c>
      <c r="G1248" s="86" t="s">
        <v>948</v>
      </c>
      <c r="H1248" s="71"/>
      <c r="I1248" s="75"/>
      <c r="J1248" s="70">
        <f>IFERROR(VLOOKUP(Devis[[#This Row],[Ref Air Flux]],#REF!,3,FALSE),0)</f>
        <v>0</v>
      </c>
      <c r="K1248" s="68"/>
      <c r="L1248" s="68"/>
      <c r="M1248" s="68"/>
      <c r="N1248" s="68"/>
      <c r="O1248" s="68"/>
      <c r="P1248" s="68"/>
      <c r="Q1248" s="68">
        <f>SUM(Devis[[#This Row],[Poste 1]:[Poste 6]])</f>
        <v>0</v>
      </c>
      <c r="R1248" s="71"/>
      <c r="S1248" s="68">
        <f>_xlfn.CEILING.MATH(Devis[[#This Row],[Quantité Totale]],Devis[[#This Row],[Conditionnement]])</f>
        <v>0</v>
      </c>
      <c r="T1248" s="72"/>
      <c r="U1248" s="106"/>
      <c r="V1248" s="74">
        <f>Devis[[#This Row],[Prix de Revient]]*Devis[[#This Row],[Poste 1]]</f>
        <v>0</v>
      </c>
      <c r="W1248" s="74">
        <f>Devis[[#This Row],[Prix de Revient]]*Devis[[#This Row],[Poste 2]]</f>
        <v>0</v>
      </c>
      <c r="X1248" s="74">
        <f>Devis[[#This Row],[Prix de Revient]]*Devis[[#This Row],[Poste 3]]</f>
        <v>0</v>
      </c>
      <c r="Y1248" s="74">
        <f>Devis[[#This Row],[Poste 4]]*Devis[[#This Row],[Prix de Revient]]</f>
        <v>0</v>
      </c>
      <c r="Z1248" s="74">
        <f>Devis[[#This Row],[Poste 5]]*Devis[[#This Row],[Prix de Revient]]</f>
        <v>0</v>
      </c>
      <c r="AA1248" s="74">
        <f>Devis[[#This Row],[Prix de Revient]]*Devis[[#This Row],[Poste 6]]</f>
        <v>0</v>
      </c>
      <c r="AB1248" s="74">
        <f>Devis[[#This Row],[Quantité Totale]]*Devis[[#This Row],[Prix de Revient]]</f>
        <v>0</v>
      </c>
    </row>
    <row r="1249" spans="1:28" ht="14.25" outlineLevel="1" x14ac:dyDescent="0.2">
      <c r="A1249" s="75" t="s">
        <v>3557</v>
      </c>
      <c r="B1249" s="76" t="s">
        <v>942</v>
      </c>
      <c r="C1249" s="76"/>
      <c r="D1249" s="81" t="str">
        <f t="shared" si="23"/>
        <v>GalvaCoudes mf 92</v>
      </c>
      <c r="E1249" s="76" t="s">
        <v>21</v>
      </c>
      <c r="F1249" s="81">
        <v>2</v>
      </c>
      <c r="G1249" s="86" t="s">
        <v>947</v>
      </c>
      <c r="H1249" s="71"/>
      <c r="I1249" s="75"/>
      <c r="J1249" s="70">
        <f>IFERROR(VLOOKUP(Devis[[#This Row],[Ref Air Flux]],#REF!,3,FALSE),0)</f>
        <v>0</v>
      </c>
      <c r="K1249" s="68"/>
      <c r="L1249" s="68"/>
      <c r="M1249" s="68"/>
      <c r="N1249" s="68"/>
      <c r="O1249" s="68"/>
      <c r="P1249" s="68"/>
      <c r="Q1249" s="68">
        <f>SUM(Devis[[#This Row],[Poste 1]:[Poste 6]])</f>
        <v>0</v>
      </c>
      <c r="R1249" s="71"/>
      <c r="S1249" s="68">
        <f>_xlfn.CEILING.MATH(Devis[[#This Row],[Quantité Totale]],Devis[[#This Row],[Conditionnement]])</f>
        <v>0</v>
      </c>
      <c r="T1249" s="72"/>
      <c r="U1249" s="106"/>
      <c r="V1249" s="74">
        <f>Devis[[#This Row],[Prix de Revient]]*Devis[[#This Row],[Poste 1]]</f>
        <v>0</v>
      </c>
      <c r="W1249" s="74">
        <f>Devis[[#This Row],[Prix de Revient]]*Devis[[#This Row],[Poste 2]]</f>
        <v>0</v>
      </c>
      <c r="X1249" s="74">
        <f>Devis[[#This Row],[Prix de Revient]]*Devis[[#This Row],[Poste 3]]</f>
        <v>0</v>
      </c>
      <c r="Y1249" s="74">
        <f>Devis[[#This Row],[Poste 4]]*Devis[[#This Row],[Prix de Revient]]</f>
        <v>0</v>
      </c>
      <c r="Z1249" s="74">
        <f>Devis[[#This Row],[Poste 5]]*Devis[[#This Row],[Prix de Revient]]</f>
        <v>0</v>
      </c>
      <c r="AA1249" s="74">
        <f>Devis[[#This Row],[Prix de Revient]]*Devis[[#This Row],[Poste 6]]</f>
        <v>0</v>
      </c>
      <c r="AB1249" s="74">
        <f>Devis[[#This Row],[Quantité Totale]]*Devis[[#This Row],[Prix de Revient]]</f>
        <v>0</v>
      </c>
    </row>
    <row r="1250" spans="1:28" ht="14.25" customHeight="1" outlineLevel="1" x14ac:dyDescent="0.2">
      <c r="A1250" s="75" t="s">
        <v>3557</v>
      </c>
      <c r="B1250" s="76" t="s">
        <v>942</v>
      </c>
      <c r="C1250" s="76"/>
      <c r="D1250" s="81" t="str">
        <f t="shared" si="23"/>
        <v>GalvaCoudes mf 92</v>
      </c>
      <c r="E1250" s="76" t="s">
        <v>20</v>
      </c>
      <c r="F1250" s="81">
        <v>3</v>
      </c>
      <c r="G1250" s="86" t="s">
        <v>943</v>
      </c>
      <c r="H1250" s="71"/>
      <c r="I1250" s="75"/>
      <c r="J1250" s="70">
        <f>IFERROR(VLOOKUP(Devis[[#This Row],[Ref Air Flux]],#REF!,3,FALSE),0)</f>
        <v>0</v>
      </c>
      <c r="K1250" s="68"/>
      <c r="L1250" s="68"/>
      <c r="M1250" s="68"/>
      <c r="N1250" s="68"/>
      <c r="O1250" s="68"/>
      <c r="P1250" s="68"/>
      <c r="Q1250" s="68">
        <f>SUM(Devis[[#This Row],[Poste 1]:[Poste 6]])</f>
        <v>0</v>
      </c>
      <c r="R1250" s="71"/>
      <c r="S1250" s="68">
        <f>_xlfn.CEILING.MATH(Devis[[#This Row],[Quantité Totale]],Devis[[#This Row],[Conditionnement]])</f>
        <v>0</v>
      </c>
      <c r="T1250" s="72"/>
      <c r="U1250" s="106"/>
      <c r="V1250" s="74">
        <f>Devis[[#This Row],[Prix de Revient]]*Devis[[#This Row],[Poste 1]]</f>
        <v>0</v>
      </c>
      <c r="W1250" s="74">
        <f>Devis[[#This Row],[Prix de Revient]]*Devis[[#This Row],[Poste 2]]</f>
        <v>0</v>
      </c>
      <c r="X1250" s="74">
        <f>Devis[[#This Row],[Prix de Revient]]*Devis[[#This Row],[Poste 3]]</f>
        <v>0</v>
      </c>
      <c r="Y1250" s="74">
        <f>Devis[[#This Row],[Poste 4]]*Devis[[#This Row],[Prix de Revient]]</f>
        <v>0</v>
      </c>
      <c r="Z1250" s="74">
        <f>Devis[[#This Row],[Poste 5]]*Devis[[#This Row],[Prix de Revient]]</f>
        <v>0</v>
      </c>
      <c r="AA1250" s="74">
        <f>Devis[[#This Row],[Prix de Revient]]*Devis[[#This Row],[Poste 6]]</f>
        <v>0</v>
      </c>
      <c r="AB1250" s="74">
        <f>Devis[[#This Row],[Quantité Totale]]*Devis[[#This Row],[Prix de Revient]]</f>
        <v>0</v>
      </c>
    </row>
    <row r="1251" spans="1:28" ht="14.25" customHeight="1" outlineLevel="1" x14ac:dyDescent="0.2">
      <c r="A1251" s="75" t="s">
        <v>3557</v>
      </c>
      <c r="B1251" s="76" t="s">
        <v>942</v>
      </c>
      <c r="C1251" s="76"/>
      <c r="D1251" s="81" t="str">
        <f t="shared" si="23"/>
        <v>GalvaCoudes mf 92</v>
      </c>
      <c r="E1251" s="80" t="s">
        <v>17</v>
      </c>
      <c r="F1251" s="81">
        <v>4</v>
      </c>
      <c r="G1251" s="86" t="s">
        <v>950</v>
      </c>
      <c r="H1251" s="71"/>
      <c r="I1251" s="105"/>
      <c r="J1251" s="70">
        <f>IFERROR(VLOOKUP(Devis[[#This Row],[Ref Air Flux]],#REF!,3,FALSE),0)</f>
        <v>0</v>
      </c>
      <c r="K1251" s="68"/>
      <c r="L1251" s="68"/>
      <c r="M1251" s="68"/>
      <c r="N1251" s="68"/>
      <c r="O1251" s="68"/>
      <c r="P1251" s="68"/>
      <c r="Q1251" s="68">
        <f>SUM(Devis[[#This Row],[Poste 1]:[Poste 6]])</f>
        <v>0</v>
      </c>
      <c r="R1251" s="71"/>
      <c r="S1251" s="68">
        <f>_xlfn.CEILING.MATH(Devis[[#This Row],[Quantité Totale]],Devis[[#This Row],[Conditionnement]])</f>
        <v>0</v>
      </c>
      <c r="T1251" s="72"/>
      <c r="U1251" s="106"/>
      <c r="V1251" s="74">
        <f>Devis[[#This Row],[Prix de Revient]]*Devis[[#This Row],[Poste 1]]</f>
        <v>0</v>
      </c>
      <c r="W1251" s="74">
        <f>Devis[[#This Row],[Prix de Revient]]*Devis[[#This Row],[Poste 2]]</f>
        <v>0</v>
      </c>
      <c r="X1251" s="74">
        <f>Devis[[#This Row],[Prix de Revient]]*Devis[[#This Row],[Poste 3]]</f>
        <v>0</v>
      </c>
      <c r="Y1251" s="74">
        <f>Devis[[#This Row],[Poste 4]]*Devis[[#This Row],[Prix de Revient]]</f>
        <v>0</v>
      </c>
      <c r="Z1251" s="74">
        <f>Devis[[#This Row],[Poste 5]]*Devis[[#This Row],[Prix de Revient]]</f>
        <v>0</v>
      </c>
      <c r="AA1251" s="74">
        <f>Devis[[#This Row],[Prix de Revient]]*Devis[[#This Row],[Poste 6]]</f>
        <v>0</v>
      </c>
      <c r="AB1251" s="74">
        <f>Devis[[#This Row],[Quantité Totale]]*Devis[[#This Row],[Prix de Revient]]</f>
        <v>0</v>
      </c>
    </row>
    <row r="1252" spans="1:28" ht="14.25" outlineLevel="1" x14ac:dyDescent="0.2">
      <c r="A1252" s="75" t="s">
        <v>3557</v>
      </c>
      <c r="B1252" s="76" t="s">
        <v>942</v>
      </c>
      <c r="C1252" s="76"/>
      <c r="D1252" s="81" t="str">
        <f t="shared" si="23"/>
        <v>GalvaCoudes mf 92</v>
      </c>
      <c r="E1252" s="80" t="s">
        <v>46</v>
      </c>
      <c r="F1252" s="81">
        <v>5</v>
      </c>
      <c r="G1252" s="86" t="s">
        <v>952</v>
      </c>
      <c r="H1252" s="71"/>
      <c r="I1252" s="105"/>
      <c r="J1252" s="70">
        <f>IFERROR(VLOOKUP(Devis[[#This Row],[Ref Air Flux]],#REF!,3,FALSE),0)</f>
        <v>0</v>
      </c>
      <c r="K1252" s="68"/>
      <c r="L1252" s="68"/>
      <c r="M1252" s="68"/>
      <c r="N1252" s="68"/>
      <c r="O1252" s="68"/>
      <c r="P1252" s="68"/>
      <c r="Q1252" s="68">
        <f>SUM(Devis[[#This Row],[Poste 1]:[Poste 6]])</f>
        <v>0</v>
      </c>
      <c r="R1252" s="71"/>
      <c r="S1252" s="68">
        <f>_xlfn.CEILING.MATH(Devis[[#This Row],[Quantité Totale]],Devis[[#This Row],[Conditionnement]])</f>
        <v>0</v>
      </c>
      <c r="T1252" s="72"/>
      <c r="U1252" s="106"/>
      <c r="V1252" s="74">
        <f>Devis[[#This Row],[Prix de Revient]]*Devis[[#This Row],[Poste 1]]</f>
        <v>0</v>
      </c>
      <c r="W1252" s="74">
        <f>Devis[[#This Row],[Prix de Revient]]*Devis[[#This Row],[Poste 2]]</f>
        <v>0</v>
      </c>
      <c r="X1252" s="74">
        <f>Devis[[#This Row],[Prix de Revient]]*Devis[[#This Row],[Poste 3]]</f>
        <v>0</v>
      </c>
      <c r="Y1252" s="74">
        <f>Devis[[#This Row],[Poste 4]]*Devis[[#This Row],[Prix de Revient]]</f>
        <v>0</v>
      </c>
      <c r="Z1252" s="74">
        <f>Devis[[#This Row],[Poste 5]]*Devis[[#This Row],[Prix de Revient]]</f>
        <v>0</v>
      </c>
      <c r="AA1252" s="74">
        <f>Devis[[#This Row],[Prix de Revient]]*Devis[[#This Row],[Poste 6]]</f>
        <v>0</v>
      </c>
      <c r="AB1252" s="74">
        <f>Devis[[#This Row],[Quantité Totale]]*Devis[[#This Row],[Prix de Revient]]</f>
        <v>0</v>
      </c>
    </row>
    <row r="1253" spans="1:28" ht="14.25" outlineLevel="1" x14ac:dyDescent="0.2">
      <c r="A1253" s="75" t="s">
        <v>3557</v>
      </c>
      <c r="B1253" s="76" t="s">
        <v>942</v>
      </c>
      <c r="C1253" s="76"/>
      <c r="D1253" s="81" t="str">
        <f t="shared" si="23"/>
        <v>GalvaCoudes mf 92</v>
      </c>
      <c r="E1253" s="80" t="s">
        <v>928</v>
      </c>
      <c r="F1253" s="81">
        <v>6</v>
      </c>
      <c r="G1253" s="86" t="s">
        <v>953</v>
      </c>
      <c r="H1253" s="71"/>
      <c r="I1253" s="75"/>
      <c r="J1253" s="70">
        <f>IFERROR(VLOOKUP(Devis[[#This Row],[Ref Air Flux]],#REF!,3,FALSE),0)</f>
        <v>0</v>
      </c>
      <c r="K1253" s="68"/>
      <c r="L1253" s="68"/>
      <c r="M1253" s="68"/>
      <c r="N1253" s="68"/>
      <c r="O1253" s="68"/>
      <c r="P1253" s="68"/>
      <c r="Q1253" s="68">
        <f>SUM(Devis[[#This Row],[Poste 1]:[Poste 6]])</f>
        <v>0</v>
      </c>
      <c r="R1253" s="71"/>
      <c r="S1253" s="68">
        <f>_xlfn.CEILING.MATH(Devis[[#This Row],[Quantité Totale]],Devis[[#This Row],[Conditionnement]])</f>
        <v>0</v>
      </c>
      <c r="T1253" s="72"/>
      <c r="U1253" s="106"/>
      <c r="V1253" s="74">
        <f>Devis[[#This Row],[Prix de Revient]]*Devis[[#This Row],[Poste 1]]</f>
        <v>0</v>
      </c>
      <c r="W1253" s="74">
        <f>Devis[[#This Row],[Prix de Revient]]*Devis[[#This Row],[Poste 2]]</f>
        <v>0</v>
      </c>
      <c r="X1253" s="74">
        <f>Devis[[#This Row],[Prix de Revient]]*Devis[[#This Row],[Poste 3]]</f>
        <v>0</v>
      </c>
      <c r="Y1253" s="74">
        <f>Devis[[#This Row],[Poste 4]]*Devis[[#This Row],[Prix de Revient]]</f>
        <v>0</v>
      </c>
      <c r="Z1253" s="74">
        <f>Devis[[#This Row],[Poste 5]]*Devis[[#This Row],[Prix de Revient]]</f>
        <v>0</v>
      </c>
      <c r="AA1253" s="74">
        <f>Devis[[#This Row],[Prix de Revient]]*Devis[[#This Row],[Poste 6]]</f>
        <v>0</v>
      </c>
      <c r="AB1253" s="74">
        <f>Devis[[#This Row],[Quantité Totale]]*Devis[[#This Row],[Prix de Revient]]</f>
        <v>0</v>
      </c>
    </row>
    <row r="1254" spans="1:28" ht="14.25" outlineLevel="1" x14ac:dyDescent="0.2">
      <c r="A1254" s="75" t="s">
        <v>3557</v>
      </c>
      <c r="B1254" s="76" t="s">
        <v>942</v>
      </c>
      <c r="C1254" s="76"/>
      <c r="D1254" s="81" t="str">
        <f t="shared" si="23"/>
        <v>GalvaCoudes mf 92</v>
      </c>
      <c r="E1254" s="76" t="s">
        <v>0</v>
      </c>
      <c r="F1254" s="81">
        <v>7</v>
      </c>
      <c r="G1254" s="86" t="s">
        <v>946</v>
      </c>
      <c r="H1254" s="71"/>
      <c r="I1254" s="75"/>
      <c r="J1254" s="70">
        <f>IFERROR(VLOOKUP(Devis[[#This Row],[Ref Air Flux]],#REF!,3,FALSE),0)</f>
        <v>0</v>
      </c>
      <c r="K1254" s="68"/>
      <c r="L1254" s="68"/>
      <c r="M1254" s="68"/>
      <c r="N1254" s="68"/>
      <c r="O1254" s="68"/>
      <c r="P1254" s="68"/>
      <c r="Q1254" s="68">
        <f>SUM(Devis[[#This Row],[Poste 1]:[Poste 6]])</f>
        <v>0</v>
      </c>
      <c r="R1254" s="71"/>
      <c r="S1254" s="68">
        <f>_xlfn.CEILING.MATH(Devis[[#This Row],[Quantité Totale]],Devis[[#This Row],[Conditionnement]])</f>
        <v>0</v>
      </c>
      <c r="T1254" s="72"/>
      <c r="U1254" s="106"/>
      <c r="V1254" s="74">
        <f>Devis[[#This Row],[Prix de Revient]]*Devis[[#This Row],[Poste 1]]</f>
        <v>0</v>
      </c>
      <c r="W1254" s="74">
        <f>Devis[[#This Row],[Prix de Revient]]*Devis[[#This Row],[Poste 2]]</f>
        <v>0</v>
      </c>
      <c r="X1254" s="74">
        <f>Devis[[#This Row],[Prix de Revient]]*Devis[[#This Row],[Poste 3]]</f>
        <v>0</v>
      </c>
      <c r="Y1254" s="74">
        <f>Devis[[#This Row],[Poste 4]]*Devis[[#This Row],[Prix de Revient]]</f>
        <v>0</v>
      </c>
      <c r="Z1254" s="74">
        <f>Devis[[#This Row],[Poste 5]]*Devis[[#This Row],[Prix de Revient]]</f>
        <v>0</v>
      </c>
      <c r="AA1254" s="74">
        <f>Devis[[#This Row],[Prix de Revient]]*Devis[[#This Row],[Poste 6]]</f>
        <v>0</v>
      </c>
      <c r="AB1254" s="74">
        <f>Devis[[#This Row],[Quantité Totale]]*Devis[[#This Row],[Prix de Revient]]</f>
        <v>0</v>
      </c>
    </row>
    <row r="1255" spans="1:28" ht="14.25" customHeight="1" outlineLevel="1" x14ac:dyDescent="0.2">
      <c r="A1255" s="75" t="s">
        <v>3557</v>
      </c>
      <c r="B1255" s="76" t="s">
        <v>942</v>
      </c>
      <c r="C1255" s="76"/>
      <c r="D1255" s="81" t="str">
        <f t="shared" si="23"/>
        <v>GalvaCoudes mf 92</v>
      </c>
      <c r="E1255" s="76" t="s">
        <v>49</v>
      </c>
      <c r="F1255" s="81">
        <v>8</v>
      </c>
      <c r="G1255" s="86" t="s">
        <v>945</v>
      </c>
      <c r="H1255" s="71"/>
      <c r="I1255" s="75"/>
      <c r="J1255" s="70">
        <f>IFERROR(VLOOKUP(Devis[[#This Row],[Ref Air Flux]],#REF!,3,FALSE),0)</f>
        <v>0</v>
      </c>
      <c r="K1255" s="68"/>
      <c r="L1255" s="68"/>
      <c r="M1255" s="68"/>
      <c r="N1255" s="68"/>
      <c r="O1255" s="68"/>
      <c r="P1255" s="68"/>
      <c r="Q1255" s="68">
        <f>SUM(Devis[[#This Row],[Poste 1]:[Poste 6]])</f>
        <v>0</v>
      </c>
      <c r="R1255" s="71"/>
      <c r="S1255" s="68">
        <f>_xlfn.CEILING.MATH(Devis[[#This Row],[Quantité Totale]],Devis[[#This Row],[Conditionnement]])</f>
        <v>0</v>
      </c>
      <c r="T1255" s="72"/>
      <c r="U1255" s="106"/>
      <c r="V1255" s="74">
        <f>Devis[[#This Row],[Prix de Revient]]*Devis[[#This Row],[Poste 1]]</f>
        <v>0</v>
      </c>
      <c r="W1255" s="74">
        <f>Devis[[#This Row],[Prix de Revient]]*Devis[[#This Row],[Poste 2]]</f>
        <v>0</v>
      </c>
      <c r="X1255" s="74">
        <f>Devis[[#This Row],[Prix de Revient]]*Devis[[#This Row],[Poste 3]]</f>
        <v>0</v>
      </c>
      <c r="Y1255" s="74">
        <f>Devis[[#This Row],[Poste 4]]*Devis[[#This Row],[Prix de Revient]]</f>
        <v>0</v>
      </c>
      <c r="Z1255" s="74">
        <f>Devis[[#This Row],[Poste 5]]*Devis[[#This Row],[Prix de Revient]]</f>
        <v>0</v>
      </c>
      <c r="AA1255" s="74">
        <f>Devis[[#This Row],[Prix de Revient]]*Devis[[#This Row],[Poste 6]]</f>
        <v>0</v>
      </c>
      <c r="AB1255" s="74">
        <f>Devis[[#This Row],[Quantité Totale]]*Devis[[#This Row],[Prix de Revient]]</f>
        <v>0</v>
      </c>
    </row>
    <row r="1256" spans="1:28" ht="14.25" outlineLevel="1" x14ac:dyDescent="0.2">
      <c r="A1256" s="75" t="s">
        <v>3557</v>
      </c>
      <c r="B1256" s="76" t="s">
        <v>942</v>
      </c>
      <c r="C1256" s="76"/>
      <c r="D1256" s="81" t="str">
        <f t="shared" si="23"/>
        <v>GalvaCoudes mf 92</v>
      </c>
      <c r="E1256" s="76" t="s">
        <v>821</v>
      </c>
      <c r="F1256" s="81">
        <v>9</v>
      </c>
      <c r="G1256" s="86" t="s">
        <v>944</v>
      </c>
      <c r="H1256" s="71"/>
      <c r="I1256" s="75"/>
      <c r="J1256" s="70">
        <f>IFERROR(VLOOKUP(Devis[[#This Row],[Ref Air Flux]],#REF!,3,FALSE),0)</f>
        <v>0</v>
      </c>
      <c r="K1256" s="68"/>
      <c r="L1256" s="68"/>
      <c r="M1256" s="68"/>
      <c r="N1256" s="68"/>
      <c r="O1256" s="68"/>
      <c r="P1256" s="68"/>
      <c r="Q1256" s="68">
        <f>SUM(Devis[[#This Row],[Poste 1]:[Poste 6]])</f>
        <v>0</v>
      </c>
      <c r="R1256" s="71"/>
      <c r="S1256" s="68">
        <f>_xlfn.CEILING.MATH(Devis[[#This Row],[Quantité Totale]],Devis[[#This Row],[Conditionnement]])</f>
        <v>0</v>
      </c>
      <c r="T1256" s="72"/>
      <c r="U1256" s="106"/>
      <c r="V1256" s="74">
        <f>Devis[[#This Row],[Prix de Revient]]*Devis[[#This Row],[Poste 1]]</f>
        <v>0</v>
      </c>
      <c r="W1256" s="74">
        <f>Devis[[#This Row],[Prix de Revient]]*Devis[[#This Row],[Poste 2]]</f>
        <v>0</v>
      </c>
      <c r="X1256" s="74">
        <f>Devis[[#This Row],[Prix de Revient]]*Devis[[#This Row],[Poste 3]]</f>
        <v>0</v>
      </c>
      <c r="Y1256" s="74">
        <f>Devis[[#This Row],[Poste 4]]*Devis[[#This Row],[Prix de Revient]]</f>
        <v>0</v>
      </c>
      <c r="Z1256" s="74">
        <f>Devis[[#This Row],[Poste 5]]*Devis[[#This Row],[Prix de Revient]]</f>
        <v>0</v>
      </c>
      <c r="AA1256" s="74">
        <f>Devis[[#This Row],[Prix de Revient]]*Devis[[#This Row],[Poste 6]]</f>
        <v>0</v>
      </c>
      <c r="AB1256" s="74">
        <f>Devis[[#This Row],[Quantité Totale]]*Devis[[#This Row],[Prix de Revient]]</f>
        <v>0</v>
      </c>
    </row>
    <row r="1257" spans="1:28" ht="14.25" outlineLevel="1" x14ac:dyDescent="0.2">
      <c r="A1257" s="75" t="s">
        <v>3557</v>
      </c>
      <c r="B1257" s="76" t="s">
        <v>942</v>
      </c>
      <c r="C1257" s="76"/>
      <c r="D1257" s="81" t="str">
        <f t="shared" si="23"/>
        <v>GalvaCoudes mf 92</v>
      </c>
      <c r="E1257" s="80" t="s">
        <v>18</v>
      </c>
      <c r="F1257" s="81">
        <v>10</v>
      </c>
      <c r="G1257" s="86" t="s">
        <v>949</v>
      </c>
      <c r="H1257" s="71"/>
      <c r="I1257" s="105"/>
      <c r="J1257" s="70">
        <f>IFERROR(VLOOKUP(Devis[[#This Row],[Ref Air Flux]],#REF!,3,FALSE),0)</f>
        <v>0</v>
      </c>
      <c r="K1257" s="68"/>
      <c r="L1257" s="68"/>
      <c r="M1257" s="68"/>
      <c r="N1257" s="68"/>
      <c r="O1257" s="68"/>
      <c r="P1257" s="68"/>
      <c r="Q1257" s="68">
        <f>SUM(Devis[[#This Row],[Poste 1]:[Poste 6]])</f>
        <v>0</v>
      </c>
      <c r="R1257" s="71"/>
      <c r="S1257" s="68">
        <f>_xlfn.CEILING.MATH(Devis[[#This Row],[Quantité Totale]],Devis[[#This Row],[Conditionnement]])</f>
        <v>0</v>
      </c>
      <c r="T1257" s="72"/>
      <c r="U1257" s="106"/>
      <c r="V1257" s="74">
        <f>Devis[[#This Row],[Prix de Revient]]*Devis[[#This Row],[Poste 1]]</f>
        <v>0</v>
      </c>
      <c r="W1257" s="74">
        <f>Devis[[#This Row],[Prix de Revient]]*Devis[[#This Row],[Poste 2]]</f>
        <v>0</v>
      </c>
      <c r="X1257" s="74">
        <f>Devis[[#This Row],[Prix de Revient]]*Devis[[#This Row],[Poste 3]]</f>
        <v>0</v>
      </c>
      <c r="Y1257" s="74">
        <f>Devis[[#This Row],[Poste 4]]*Devis[[#This Row],[Prix de Revient]]</f>
        <v>0</v>
      </c>
      <c r="Z1257" s="74">
        <f>Devis[[#This Row],[Poste 5]]*Devis[[#This Row],[Prix de Revient]]</f>
        <v>0</v>
      </c>
      <c r="AA1257" s="74">
        <f>Devis[[#This Row],[Prix de Revient]]*Devis[[#This Row],[Poste 6]]</f>
        <v>0</v>
      </c>
      <c r="AB1257" s="74">
        <f>Devis[[#This Row],[Quantité Totale]]*Devis[[#This Row],[Prix de Revient]]</f>
        <v>0</v>
      </c>
    </row>
    <row r="1258" spans="1:28" ht="14.25" outlineLevel="1" x14ac:dyDescent="0.2">
      <c r="A1258" s="75" t="s">
        <v>3557</v>
      </c>
      <c r="B1258" s="76" t="s">
        <v>942</v>
      </c>
      <c r="C1258" s="76"/>
      <c r="D1258" s="81" t="str">
        <f t="shared" si="23"/>
        <v>GalvaCoudes mf 92</v>
      </c>
      <c r="E1258" s="80" t="s">
        <v>16</v>
      </c>
      <c r="F1258" s="81">
        <v>11</v>
      </c>
      <c r="G1258" s="86" t="s">
        <v>951</v>
      </c>
      <c r="H1258" s="71"/>
      <c r="I1258" s="105"/>
      <c r="J1258" s="70">
        <f>IFERROR(VLOOKUP(Devis[[#This Row],[Ref Air Flux]],#REF!,3,FALSE),0)</f>
        <v>0</v>
      </c>
      <c r="K1258" s="68"/>
      <c r="L1258" s="68"/>
      <c r="M1258" s="68"/>
      <c r="N1258" s="68"/>
      <c r="O1258" s="68"/>
      <c r="P1258" s="68"/>
      <c r="Q1258" s="68">
        <f>SUM(Devis[[#This Row],[Poste 1]:[Poste 6]])</f>
        <v>0</v>
      </c>
      <c r="R1258" s="71"/>
      <c r="S1258" s="68">
        <f>_xlfn.CEILING.MATH(Devis[[#This Row],[Quantité Totale]],Devis[[#This Row],[Conditionnement]])</f>
        <v>0</v>
      </c>
      <c r="T1258" s="72"/>
      <c r="U1258" s="106"/>
      <c r="V1258" s="74">
        <f>Devis[[#This Row],[Prix de Revient]]*Devis[[#This Row],[Poste 1]]</f>
        <v>0</v>
      </c>
      <c r="W1258" s="74">
        <f>Devis[[#This Row],[Prix de Revient]]*Devis[[#This Row],[Poste 2]]</f>
        <v>0</v>
      </c>
      <c r="X1258" s="74">
        <f>Devis[[#This Row],[Prix de Revient]]*Devis[[#This Row],[Poste 3]]</f>
        <v>0</v>
      </c>
      <c r="Y1258" s="74">
        <f>Devis[[#This Row],[Poste 4]]*Devis[[#This Row],[Prix de Revient]]</f>
        <v>0</v>
      </c>
      <c r="Z1258" s="74">
        <f>Devis[[#This Row],[Poste 5]]*Devis[[#This Row],[Prix de Revient]]</f>
        <v>0</v>
      </c>
      <c r="AA1258" s="74">
        <f>Devis[[#This Row],[Prix de Revient]]*Devis[[#This Row],[Poste 6]]</f>
        <v>0</v>
      </c>
      <c r="AB1258" s="74">
        <f>Devis[[#This Row],[Quantité Totale]]*Devis[[#This Row],[Prix de Revient]]</f>
        <v>0</v>
      </c>
    </row>
    <row r="1259" spans="1:28" ht="14.25" customHeight="1" x14ac:dyDescent="0.25">
      <c r="A1259" s="65" t="s">
        <v>3557</v>
      </c>
      <c r="B1259" s="65" t="s">
        <v>954</v>
      </c>
      <c r="C1259" s="76"/>
      <c r="D1259" s="81" t="str">
        <f t="shared" si="23"/>
        <v xml:space="preserve">GalvaCoudes mm </v>
      </c>
      <c r="E1259" s="76"/>
      <c r="F1259" s="81">
        <v>0</v>
      </c>
      <c r="G1259" s="86"/>
      <c r="H1259" s="71"/>
      <c r="I1259" s="75"/>
      <c r="J1259" s="70">
        <f>IFERROR(VLOOKUP(Devis[[#This Row],[Ref Air Flux]],#REF!,3,FALSE),0)</f>
        <v>0</v>
      </c>
      <c r="K1259" s="68"/>
      <c r="L1259" s="68"/>
      <c r="M1259" s="68"/>
      <c r="N1259" s="68"/>
      <c r="O1259" s="68"/>
      <c r="P1259" s="68"/>
      <c r="Q1259" s="68">
        <f>SUM(Devis[[#This Row],[Poste 1]:[Poste 6]])</f>
        <v>0</v>
      </c>
      <c r="R1259" s="71"/>
      <c r="S1259" s="68">
        <f>_xlfn.CEILING.MATH(Devis[[#This Row],[Quantité Totale]],Devis[[#This Row],[Conditionnement]])</f>
        <v>0</v>
      </c>
      <c r="T1259" s="72"/>
      <c r="U1259" s="106"/>
      <c r="V1259" s="74">
        <f>Devis[[#This Row],[Prix de Revient]]*Devis[[#This Row],[Poste 1]]</f>
        <v>0</v>
      </c>
      <c r="W1259" s="74">
        <f>Devis[[#This Row],[Prix de Revient]]*Devis[[#This Row],[Poste 2]]</f>
        <v>0</v>
      </c>
      <c r="X1259" s="74">
        <f>Devis[[#This Row],[Prix de Revient]]*Devis[[#This Row],[Poste 3]]</f>
        <v>0</v>
      </c>
      <c r="Y1259" s="74">
        <f>Devis[[#This Row],[Poste 4]]*Devis[[#This Row],[Prix de Revient]]</f>
        <v>0</v>
      </c>
      <c r="Z1259" s="74">
        <f>Devis[[#This Row],[Poste 5]]*Devis[[#This Row],[Prix de Revient]]</f>
        <v>0</v>
      </c>
      <c r="AA1259" s="74">
        <f>Devis[[#This Row],[Prix de Revient]]*Devis[[#This Row],[Poste 6]]</f>
        <v>0</v>
      </c>
      <c r="AB1259" s="74">
        <f>Devis[[#This Row],[Quantité Totale]]*Devis[[#This Row],[Prix de Revient]]</f>
        <v>0</v>
      </c>
    </row>
    <row r="1260" spans="1:28" ht="14.25" outlineLevel="1" x14ac:dyDescent="0.2">
      <c r="A1260" s="75" t="s">
        <v>3557</v>
      </c>
      <c r="B1260" s="76" t="s">
        <v>954</v>
      </c>
      <c r="C1260" s="76"/>
      <c r="D1260" s="81" t="str">
        <f t="shared" si="23"/>
        <v xml:space="preserve">GalvaCoudes mm </v>
      </c>
      <c r="E1260" s="76" t="s">
        <v>19</v>
      </c>
      <c r="F1260" s="81">
        <v>1</v>
      </c>
      <c r="G1260" s="108" t="s">
        <v>959</v>
      </c>
      <c r="H1260" s="71"/>
      <c r="I1260" s="75"/>
      <c r="J1260" s="70">
        <f>IFERROR(VLOOKUP(Devis[[#This Row],[Ref Air Flux]],#REF!,3,FALSE),0)</f>
        <v>0</v>
      </c>
      <c r="K1260" s="68"/>
      <c r="L1260" s="68"/>
      <c r="M1260" s="68"/>
      <c r="N1260" s="68"/>
      <c r="O1260" s="68"/>
      <c r="P1260" s="68"/>
      <c r="Q1260" s="68">
        <f>SUM(Devis[[#This Row],[Poste 1]:[Poste 6]])</f>
        <v>0</v>
      </c>
      <c r="R1260" s="71"/>
      <c r="S1260" s="68">
        <f>_xlfn.CEILING.MATH(Devis[[#This Row],[Quantité Totale]],Devis[[#This Row],[Conditionnement]])</f>
        <v>0</v>
      </c>
      <c r="T1260" s="72"/>
      <c r="U1260" s="106"/>
      <c r="V1260" s="74">
        <f>Devis[[#This Row],[Prix de Revient]]*Devis[[#This Row],[Poste 1]]</f>
        <v>0</v>
      </c>
      <c r="W1260" s="74">
        <f>Devis[[#This Row],[Prix de Revient]]*Devis[[#This Row],[Poste 2]]</f>
        <v>0</v>
      </c>
      <c r="X1260" s="74">
        <f>Devis[[#This Row],[Prix de Revient]]*Devis[[#This Row],[Poste 3]]</f>
        <v>0</v>
      </c>
      <c r="Y1260" s="74">
        <f>Devis[[#This Row],[Poste 4]]*Devis[[#This Row],[Prix de Revient]]</f>
        <v>0</v>
      </c>
      <c r="Z1260" s="74">
        <f>Devis[[#This Row],[Poste 5]]*Devis[[#This Row],[Prix de Revient]]</f>
        <v>0</v>
      </c>
      <c r="AA1260" s="74">
        <f>Devis[[#This Row],[Prix de Revient]]*Devis[[#This Row],[Poste 6]]</f>
        <v>0</v>
      </c>
      <c r="AB1260" s="74">
        <f>Devis[[#This Row],[Quantité Totale]]*Devis[[#This Row],[Prix de Revient]]</f>
        <v>0</v>
      </c>
    </row>
    <row r="1261" spans="1:28" ht="14.25" outlineLevel="1" x14ac:dyDescent="0.2">
      <c r="A1261" s="75" t="s">
        <v>3557</v>
      </c>
      <c r="B1261" s="76" t="s">
        <v>954</v>
      </c>
      <c r="C1261" s="76"/>
      <c r="D1261" s="81" t="str">
        <f t="shared" si="23"/>
        <v xml:space="preserve">GalvaCoudes mm </v>
      </c>
      <c r="E1261" s="76" t="s">
        <v>21</v>
      </c>
      <c r="F1261" s="81">
        <v>2</v>
      </c>
      <c r="G1261" s="108" t="s">
        <v>958</v>
      </c>
      <c r="H1261" s="71"/>
      <c r="I1261" s="75"/>
      <c r="J1261" s="70">
        <f>IFERROR(VLOOKUP(Devis[[#This Row],[Ref Air Flux]],#REF!,3,FALSE),0)</f>
        <v>0</v>
      </c>
      <c r="K1261" s="68"/>
      <c r="L1261" s="68"/>
      <c r="M1261" s="68"/>
      <c r="N1261" s="68"/>
      <c r="O1261" s="68"/>
      <c r="P1261" s="68"/>
      <c r="Q1261" s="68">
        <f>SUM(Devis[[#This Row],[Poste 1]:[Poste 6]])</f>
        <v>0</v>
      </c>
      <c r="R1261" s="71"/>
      <c r="S1261" s="68">
        <f>_xlfn.CEILING.MATH(Devis[[#This Row],[Quantité Totale]],Devis[[#This Row],[Conditionnement]])</f>
        <v>0</v>
      </c>
      <c r="T1261" s="72"/>
      <c r="U1261" s="106"/>
      <c r="V1261" s="74">
        <f>Devis[[#This Row],[Prix de Revient]]*Devis[[#This Row],[Poste 1]]</f>
        <v>0</v>
      </c>
      <c r="W1261" s="74">
        <f>Devis[[#This Row],[Prix de Revient]]*Devis[[#This Row],[Poste 2]]</f>
        <v>0</v>
      </c>
      <c r="X1261" s="74">
        <f>Devis[[#This Row],[Prix de Revient]]*Devis[[#This Row],[Poste 3]]</f>
        <v>0</v>
      </c>
      <c r="Y1261" s="74">
        <f>Devis[[#This Row],[Poste 4]]*Devis[[#This Row],[Prix de Revient]]</f>
        <v>0</v>
      </c>
      <c r="Z1261" s="74">
        <f>Devis[[#This Row],[Poste 5]]*Devis[[#This Row],[Prix de Revient]]</f>
        <v>0</v>
      </c>
      <c r="AA1261" s="74">
        <f>Devis[[#This Row],[Prix de Revient]]*Devis[[#This Row],[Poste 6]]</f>
        <v>0</v>
      </c>
      <c r="AB1261" s="74">
        <f>Devis[[#This Row],[Quantité Totale]]*Devis[[#This Row],[Prix de Revient]]</f>
        <v>0</v>
      </c>
    </row>
    <row r="1262" spans="1:28" ht="14.25" outlineLevel="1" x14ac:dyDescent="0.2">
      <c r="A1262" s="75" t="s">
        <v>3557</v>
      </c>
      <c r="B1262" s="76" t="s">
        <v>954</v>
      </c>
      <c r="C1262" s="76"/>
      <c r="D1262" s="81" t="str">
        <f t="shared" si="23"/>
        <v xml:space="preserve">GalvaCoudes mm </v>
      </c>
      <c r="E1262" s="80" t="s">
        <v>17</v>
      </c>
      <c r="F1262" s="81">
        <v>3</v>
      </c>
      <c r="G1262" s="108" t="s">
        <v>961</v>
      </c>
      <c r="H1262" s="71"/>
      <c r="I1262" s="105"/>
      <c r="J1262" s="70">
        <f>IFERROR(VLOOKUP(Devis[[#This Row],[Ref Air Flux]],#REF!,3,FALSE),0)</f>
        <v>0</v>
      </c>
      <c r="K1262" s="68"/>
      <c r="L1262" s="68"/>
      <c r="M1262" s="68"/>
      <c r="N1262" s="68"/>
      <c r="O1262" s="68"/>
      <c r="P1262" s="68"/>
      <c r="Q1262" s="68">
        <f>SUM(Devis[[#This Row],[Poste 1]:[Poste 6]])</f>
        <v>0</v>
      </c>
      <c r="R1262" s="71"/>
      <c r="S1262" s="68">
        <f>_xlfn.CEILING.MATH(Devis[[#This Row],[Quantité Totale]],Devis[[#This Row],[Conditionnement]])</f>
        <v>0</v>
      </c>
      <c r="T1262" s="72"/>
      <c r="U1262" s="106"/>
      <c r="V1262" s="74">
        <f>Devis[[#This Row],[Prix de Revient]]*Devis[[#This Row],[Poste 1]]</f>
        <v>0</v>
      </c>
      <c r="W1262" s="74">
        <f>Devis[[#This Row],[Prix de Revient]]*Devis[[#This Row],[Poste 2]]</f>
        <v>0</v>
      </c>
      <c r="X1262" s="74">
        <f>Devis[[#This Row],[Prix de Revient]]*Devis[[#This Row],[Poste 3]]</f>
        <v>0</v>
      </c>
      <c r="Y1262" s="74">
        <f>Devis[[#This Row],[Poste 4]]*Devis[[#This Row],[Prix de Revient]]</f>
        <v>0</v>
      </c>
      <c r="Z1262" s="74">
        <f>Devis[[#This Row],[Poste 5]]*Devis[[#This Row],[Prix de Revient]]</f>
        <v>0</v>
      </c>
      <c r="AA1262" s="74">
        <f>Devis[[#This Row],[Prix de Revient]]*Devis[[#This Row],[Poste 6]]</f>
        <v>0</v>
      </c>
      <c r="AB1262" s="74">
        <f>Devis[[#This Row],[Quantité Totale]]*Devis[[#This Row],[Prix de Revient]]</f>
        <v>0</v>
      </c>
    </row>
    <row r="1263" spans="1:28" ht="15" customHeight="1" outlineLevel="1" x14ac:dyDescent="0.2">
      <c r="A1263" s="75" t="s">
        <v>3557</v>
      </c>
      <c r="B1263" s="76" t="s">
        <v>954</v>
      </c>
      <c r="C1263" s="76"/>
      <c r="D1263" s="81" t="str">
        <f t="shared" si="23"/>
        <v xml:space="preserve">GalvaCoudes mm </v>
      </c>
      <c r="E1263" s="80" t="s">
        <v>46</v>
      </c>
      <c r="F1263" s="81">
        <v>4</v>
      </c>
      <c r="G1263" s="108" t="s">
        <v>963</v>
      </c>
      <c r="H1263" s="71"/>
      <c r="I1263" s="105"/>
      <c r="J1263" s="70">
        <f>IFERROR(VLOOKUP(Devis[[#This Row],[Ref Air Flux]],#REF!,3,FALSE),0)</f>
        <v>0</v>
      </c>
      <c r="K1263" s="68"/>
      <c r="L1263" s="68"/>
      <c r="M1263" s="68"/>
      <c r="N1263" s="68"/>
      <c r="O1263" s="68"/>
      <c r="P1263" s="68"/>
      <c r="Q1263" s="68">
        <f>SUM(Devis[[#This Row],[Poste 1]:[Poste 6]])</f>
        <v>0</v>
      </c>
      <c r="R1263" s="71"/>
      <c r="S1263" s="68">
        <f>_xlfn.CEILING.MATH(Devis[[#This Row],[Quantité Totale]],Devis[[#This Row],[Conditionnement]])</f>
        <v>0</v>
      </c>
      <c r="T1263" s="72"/>
      <c r="U1263" s="106"/>
      <c r="V1263" s="74">
        <f>Devis[[#This Row],[Prix de Revient]]*Devis[[#This Row],[Poste 1]]</f>
        <v>0</v>
      </c>
      <c r="W1263" s="74">
        <f>Devis[[#This Row],[Prix de Revient]]*Devis[[#This Row],[Poste 2]]</f>
        <v>0</v>
      </c>
      <c r="X1263" s="74">
        <f>Devis[[#This Row],[Prix de Revient]]*Devis[[#This Row],[Poste 3]]</f>
        <v>0</v>
      </c>
      <c r="Y1263" s="74">
        <f>Devis[[#This Row],[Poste 4]]*Devis[[#This Row],[Prix de Revient]]</f>
        <v>0</v>
      </c>
      <c r="Z1263" s="74">
        <f>Devis[[#This Row],[Poste 5]]*Devis[[#This Row],[Prix de Revient]]</f>
        <v>0</v>
      </c>
      <c r="AA1263" s="74">
        <f>Devis[[#This Row],[Prix de Revient]]*Devis[[#This Row],[Poste 6]]</f>
        <v>0</v>
      </c>
      <c r="AB1263" s="74">
        <f>Devis[[#This Row],[Quantité Totale]]*Devis[[#This Row],[Prix de Revient]]</f>
        <v>0</v>
      </c>
    </row>
    <row r="1264" spans="1:28" ht="14.25" customHeight="1" outlineLevel="1" x14ac:dyDescent="0.2">
      <c r="A1264" s="75" t="s">
        <v>3557</v>
      </c>
      <c r="B1264" s="76" t="s">
        <v>954</v>
      </c>
      <c r="C1264" s="76"/>
      <c r="D1264" s="81" t="str">
        <f t="shared" si="23"/>
        <v xml:space="preserve">GalvaCoudes mm </v>
      </c>
      <c r="E1264" s="80" t="s">
        <v>928</v>
      </c>
      <c r="F1264" s="81">
        <v>5</v>
      </c>
      <c r="G1264" s="108" t="s">
        <v>964</v>
      </c>
      <c r="H1264" s="71"/>
      <c r="I1264" s="75"/>
      <c r="J1264" s="70">
        <f>IFERROR(VLOOKUP(Devis[[#This Row],[Ref Air Flux]],#REF!,3,FALSE),0)</f>
        <v>0</v>
      </c>
      <c r="K1264" s="68"/>
      <c r="L1264" s="68"/>
      <c r="M1264" s="68"/>
      <c r="N1264" s="68"/>
      <c r="O1264" s="68"/>
      <c r="P1264" s="68"/>
      <c r="Q1264" s="68">
        <f>SUM(Devis[[#This Row],[Poste 1]:[Poste 6]])</f>
        <v>0</v>
      </c>
      <c r="R1264" s="71"/>
      <c r="S1264" s="68">
        <f>_xlfn.CEILING.MATH(Devis[[#This Row],[Quantité Totale]],Devis[[#This Row],[Conditionnement]])</f>
        <v>0</v>
      </c>
      <c r="T1264" s="72"/>
      <c r="U1264" s="106"/>
      <c r="V1264" s="74">
        <f>Devis[[#This Row],[Prix de Revient]]*Devis[[#This Row],[Poste 1]]</f>
        <v>0</v>
      </c>
      <c r="W1264" s="74">
        <f>Devis[[#This Row],[Prix de Revient]]*Devis[[#This Row],[Poste 2]]</f>
        <v>0</v>
      </c>
      <c r="X1264" s="74">
        <f>Devis[[#This Row],[Prix de Revient]]*Devis[[#This Row],[Poste 3]]</f>
        <v>0</v>
      </c>
      <c r="Y1264" s="74">
        <f>Devis[[#This Row],[Poste 4]]*Devis[[#This Row],[Prix de Revient]]</f>
        <v>0</v>
      </c>
      <c r="Z1264" s="74">
        <f>Devis[[#This Row],[Poste 5]]*Devis[[#This Row],[Prix de Revient]]</f>
        <v>0</v>
      </c>
      <c r="AA1264" s="74">
        <f>Devis[[#This Row],[Prix de Revient]]*Devis[[#This Row],[Poste 6]]</f>
        <v>0</v>
      </c>
      <c r="AB1264" s="74">
        <f>Devis[[#This Row],[Quantité Totale]]*Devis[[#This Row],[Prix de Revient]]</f>
        <v>0</v>
      </c>
    </row>
    <row r="1265" spans="1:28" ht="14.25" outlineLevel="1" x14ac:dyDescent="0.2">
      <c r="A1265" s="75" t="s">
        <v>3557</v>
      </c>
      <c r="B1265" s="76" t="s">
        <v>954</v>
      </c>
      <c r="C1265" s="76"/>
      <c r="D1265" s="81" t="str">
        <f t="shared" si="23"/>
        <v xml:space="preserve">GalvaCoudes mm </v>
      </c>
      <c r="E1265" s="76" t="s">
        <v>0</v>
      </c>
      <c r="F1265" s="81">
        <v>6</v>
      </c>
      <c r="G1265" s="108" t="s">
        <v>957</v>
      </c>
      <c r="H1265" s="71"/>
      <c r="I1265" s="75"/>
      <c r="J1265" s="70">
        <f>IFERROR(VLOOKUP(Devis[[#This Row],[Ref Air Flux]],#REF!,3,FALSE),0)</f>
        <v>0</v>
      </c>
      <c r="K1265" s="68"/>
      <c r="L1265" s="68"/>
      <c r="M1265" s="68"/>
      <c r="N1265" s="68"/>
      <c r="O1265" s="68"/>
      <c r="P1265" s="68"/>
      <c r="Q1265" s="68">
        <f>SUM(Devis[[#This Row],[Poste 1]:[Poste 6]])</f>
        <v>0</v>
      </c>
      <c r="R1265" s="71"/>
      <c r="S1265" s="68">
        <f>_xlfn.CEILING.MATH(Devis[[#This Row],[Quantité Totale]],Devis[[#This Row],[Conditionnement]])</f>
        <v>0</v>
      </c>
      <c r="T1265" s="72"/>
      <c r="U1265" s="106"/>
      <c r="V1265" s="74">
        <f>Devis[[#This Row],[Prix de Revient]]*Devis[[#This Row],[Poste 1]]</f>
        <v>0</v>
      </c>
      <c r="W1265" s="74">
        <f>Devis[[#This Row],[Prix de Revient]]*Devis[[#This Row],[Poste 2]]</f>
        <v>0</v>
      </c>
      <c r="X1265" s="74">
        <f>Devis[[#This Row],[Prix de Revient]]*Devis[[#This Row],[Poste 3]]</f>
        <v>0</v>
      </c>
      <c r="Y1265" s="74">
        <f>Devis[[#This Row],[Poste 4]]*Devis[[#This Row],[Prix de Revient]]</f>
        <v>0</v>
      </c>
      <c r="Z1265" s="74">
        <f>Devis[[#This Row],[Poste 5]]*Devis[[#This Row],[Prix de Revient]]</f>
        <v>0</v>
      </c>
      <c r="AA1265" s="74">
        <f>Devis[[#This Row],[Prix de Revient]]*Devis[[#This Row],[Poste 6]]</f>
        <v>0</v>
      </c>
      <c r="AB1265" s="74">
        <f>Devis[[#This Row],[Quantité Totale]]*Devis[[#This Row],[Prix de Revient]]</f>
        <v>0</v>
      </c>
    </row>
    <row r="1266" spans="1:28" ht="14.25" outlineLevel="1" x14ac:dyDescent="0.2">
      <c r="A1266" s="75" t="s">
        <v>3557</v>
      </c>
      <c r="B1266" s="76" t="s">
        <v>954</v>
      </c>
      <c r="C1266" s="76"/>
      <c r="D1266" s="81" t="str">
        <f t="shared" si="23"/>
        <v xml:space="preserve">GalvaCoudes mm </v>
      </c>
      <c r="E1266" s="76" t="s">
        <v>49</v>
      </c>
      <c r="F1266" s="81">
        <v>7</v>
      </c>
      <c r="G1266" s="108" t="s">
        <v>956</v>
      </c>
      <c r="H1266" s="71"/>
      <c r="I1266" s="75"/>
      <c r="J1266" s="70">
        <f>IFERROR(VLOOKUP(Devis[[#This Row],[Ref Air Flux]],#REF!,3,FALSE),0)</f>
        <v>0</v>
      </c>
      <c r="K1266" s="68"/>
      <c r="L1266" s="68"/>
      <c r="M1266" s="68"/>
      <c r="N1266" s="68"/>
      <c r="O1266" s="68"/>
      <c r="P1266" s="68"/>
      <c r="Q1266" s="68">
        <f>SUM(Devis[[#This Row],[Poste 1]:[Poste 6]])</f>
        <v>0</v>
      </c>
      <c r="R1266" s="71"/>
      <c r="S1266" s="68">
        <f>_xlfn.CEILING.MATH(Devis[[#This Row],[Quantité Totale]],Devis[[#This Row],[Conditionnement]])</f>
        <v>0</v>
      </c>
      <c r="T1266" s="72"/>
      <c r="U1266" s="106"/>
      <c r="V1266" s="74">
        <f>Devis[[#This Row],[Prix de Revient]]*Devis[[#This Row],[Poste 1]]</f>
        <v>0</v>
      </c>
      <c r="W1266" s="74">
        <f>Devis[[#This Row],[Prix de Revient]]*Devis[[#This Row],[Poste 2]]</f>
        <v>0</v>
      </c>
      <c r="X1266" s="74">
        <f>Devis[[#This Row],[Prix de Revient]]*Devis[[#This Row],[Poste 3]]</f>
        <v>0</v>
      </c>
      <c r="Y1266" s="74">
        <f>Devis[[#This Row],[Poste 4]]*Devis[[#This Row],[Prix de Revient]]</f>
        <v>0</v>
      </c>
      <c r="Z1266" s="74">
        <f>Devis[[#This Row],[Poste 5]]*Devis[[#This Row],[Prix de Revient]]</f>
        <v>0</v>
      </c>
      <c r="AA1266" s="74">
        <f>Devis[[#This Row],[Prix de Revient]]*Devis[[#This Row],[Poste 6]]</f>
        <v>0</v>
      </c>
      <c r="AB1266" s="74">
        <f>Devis[[#This Row],[Quantité Totale]]*Devis[[#This Row],[Prix de Revient]]</f>
        <v>0</v>
      </c>
    </row>
    <row r="1267" spans="1:28" ht="14.25" outlineLevel="1" x14ac:dyDescent="0.2">
      <c r="A1267" s="75" t="s">
        <v>3557</v>
      </c>
      <c r="B1267" s="76" t="s">
        <v>954</v>
      </c>
      <c r="C1267" s="76"/>
      <c r="D1267" s="81" t="str">
        <f t="shared" si="23"/>
        <v xml:space="preserve">GalvaCoudes mm </v>
      </c>
      <c r="E1267" s="76" t="s">
        <v>821</v>
      </c>
      <c r="F1267" s="81">
        <v>8</v>
      </c>
      <c r="G1267" s="108" t="s">
        <v>955</v>
      </c>
      <c r="H1267" s="71"/>
      <c r="I1267" s="75"/>
      <c r="J1267" s="70">
        <f>IFERROR(VLOOKUP(Devis[[#This Row],[Ref Air Flux]],#REF!,3,FALSE),0)</f>
        <v>0</v>
      </c>
      <c r="K1267" s="68"/>
      <c r="L1267" s="68"/>
      <c r="M1267" s="68"/>
      <c r="N1267" s="68"/>
      <c r="O1267" s="68"/>
      <c r="P1267" s="68"/>
      <c r="Q1267" s="68">
        <f>SUM(Devis[[#This Row],[Poste 1]:[Poste 6]])</f>
        <v>0</v>
      </c>
      <c r="R1267" s="71"/>
      <c r="S1267" s="68">
        <f>_xlfn.CEILING.MATH(Devis[[#This Row],[Quantité Totale]],Devis[[#This Row],[Conditionnement]])</f>
        <v>0</v>
      </c>
      <c r="T1267" s="72"/>
      <c r="U1267" s="106"/>
      <c r="V1267" s="74">
        <f>Devis[[#This Row],[Prix de Revient]]*Devis[[#This Row],[Poste 1]]</f>
        <v>0</v>
      </c>
      <c r="W1267" s="74">
        <f>Devis[[#This Row],[Prix de Revient]]*Devis[[#This Row],[Poste 2]]</f>
        <v>0</v>
      </c>
      <c r="X1267" s="74">
        <f>Devis[[#This Row],[Prix de Revient]]*Devis[[#This Row],[Poste 3]]</f>
        <v>0</v>
      </c>
      <c r="Y1267" s="74">
        <f>Devis[[#This Row],[Poste 4]]*Devis[[#This Row],[Prix de Revient]]</f>
        <v>0</v>
      </c>
      <c r="Z1267" s="74">
        <f>Devis[[#This Row],[Poste 5]]*Devis[[#This Row],[Prix de Revient]]</f>
        <v>0</v>
      </c>
      <c r="AA1267" s="74">
        <f>Devis[[#This Row],[Prix de Revient]]*Devis[[#This Row],[Poste 6]]</f>
        <v>0</v>
      </c>
      <c r="AB1267" s="74">
        <f>Devis[[#This Row],[Quantité Totale]]*Devis[[#This Row],[Prix de Revient]]</f>
        <v>0</v>
      </c>
    </row>
    <row r="1268" spans="1:28" ht="14.25" customHeight="1" outlineLevel="1" x14ac:dyDescent="0.2">
      <c r="A1268" s="75" t="s">
        <v>3557</v>
      </c>
      <c r="B1268" s="76" t="s">
        <v>954</v>
      </c>
      <c r="C1268" s="76"/>
      <c r="D1268" s="81" t="str">
        <f t="shared" si="23"/>
        <v xml:space="preserve">GalvaCoudes mm </v>
      </c>
      <c r="E1268" s="80" t="s">
        <v>18</v>
      </c>
      <c r="F1268" s="81">
        <v>9</v>
      </c>
      <c r="G1268" s="108" t="s">
        <v>960</v>
      </c>
      <c r="H1268" s="71"/>
      <c r="I1268" s="105"/>
      <c r="J1268" s="70">
        <f>IFERROR(VLOOKUP(Devis[[#This Row],[Ref Air Flux]],#REF!,3,FALSE),0)</f>
        <v>0</v>
      </c>
      <c r="K1268" s="68"/>
      <c r="L1268" s="68"/>
      <c r="M1268" s="68"/>
      <c r="N1268" s="68"/>
      <c r="O1268" s="68"/>
      <c r="P1268" s="68"/>
      <c r="Q1268" s="68">
        <f>SUM(Devis[[#This Row],[Poste 1]:[Poste 6]])</f>
        <v>0</v>
      </c>
      <c r="R1268" s="71"/>
      <c r="S1268" s="68">
        <f>_xlfn.CEILING.MATH(Devis[[#This Row],[Quantité Totale]],Devis[[#This Row],[Conditionnement]])</f>
        <v>0</v>
      </c>
      <c r="T1268" s="72"/>
      <c r="U1268" s="106"/>
      <c r="V1268" s="74">
        <f>Devis[[#This Row],[Prix de Revient]]*Devis[[#This Row],[Poste 1]]</f>
        <v>0</v>
      </c>
      <c r="W1268" s="74">
        <f>Devis[[#This Row],[Prix de Revient]]*Devis[[#This Row],[Poste 2]]</f>
        <v>0</v>
      </c>
      <c r="X1268" s="74">
        <f>Devis[[#This Row],[Prix de Revient]]*Devis[[#This Row],[Poste 3]]</f>
        <v>0</v>
      </c>
      <c r="Y1268" s="74">
        <f>Devis[[#This Row],[Poste 4]]*Devis[[#This Row],[Prix de Revient]]</f>
        <v>0</v>
      </c>
      <c r="Z1268" s="74">
        <f>Devis[[#This Row],[Poste 5]]*Devis[[#This Row],[Prix de Revient]]</f>
        <v>0</v>
      </c>
      <c r="AA1268" s="74">
        <f>Devis[[#This Row],[Prix de Revient]]*Devis[[#This Row],[Poste 6]]</f>
        <v>0</v>
      </c>
      <c r="AB1268" s="74">
        <f>Devis[[#This Row],[Quantité Totale]]*Devis[[#This Row],[Prix de Revient]]</f>
        <v>0</v>
      </c>
    </row>
    <row r="1269" spans="1:28" ht="14.25" outlineLevel="1" x14ac:dyDescent="0.2">
      <c r="A1269" s="75" t="s">
        <v>3557</v>
      </c>
      <c r="B1269" s="76" t="s">
        <v>954</v>
      </c>
      <c r="C1269" s="76"/>
      <c r="D1269" s="81" t="str">
        <f t="shared" si="23"/>
        <v xml:space="preserve">GalvaCoudes mm </v>
      </c>
      <c r="E1269" s="80" t="s">
        <v>16</v>
      </c>
      <c r="F1269" s="81">
        <v>10</v>
      </c>
      <c r="G1269" s="108" t="s">
        <v>962</v>
      </c>
      <c r="H1269" s="71"/>
      <c r="I1269" s="105"/>
      <c r="J1269" s="70">
        <f>IFERROR(VLOOKUP(Devis[[#This Row],[Ref Air Flux]],#REF!,3,FALSE),0)</f>
        <v>0</v>
      </c>
      <c r="K1269" s="68"/>
      <c r="L1269" s="68"/>
      <c r="M1269" s="68"/>
      <c r="N1269" s="68"/>
      <c r="O1269" s="68"/>
      <c r="P1269" s="68"/>
      <c r="Q1269" s="68">
        <f>SUM(Devis[[#This Row],[Poste 1]:[Poste 6]])</f>
        <v>0</v>
      </c>
      <c r="R1269" s="71"/>
      <c r="S1269" s="68">
        <f>_xlfn.CEILING.MATH(Devis[[#This Row],[Quantité Totale]],Devis[[#This Row],[Conditionnement]])</f>
        <v>0</v>
      </c>
      <c r="T1269" s="72"/>
      <c r="U1269" s="106"/>
      <c r="V1269" s="74">
        <f>Devis[[#This Row],[Prix de Revient]]*Devis[[#This Row],[Poste 1]]</f>
        <v>0</v>
      </c>
      <c r="W1269" s="74">
        <f>Devis[[#This Row],[Prix de Revient]]*Devis[[#This Row],[Poste 2]]</f>
        <v>0</v>
      </c>
      <c r="X1269" s="74">
        <f>Devis[[#This Row],[Prix de Revient]]*Devis[[#This Row],[Poste 3]]</f>
        <v>0</v>
      </c>
      <c r="Y1269" s="74">
        <f>Devis[[#This Row],[Poste 4]]*Devis[[#This Row],[Prix de Revient]]</f>
        <v>0</v>
      </c>
      <c r="Z1269" s="74">
        <f>Devis[[#This Row],[Poste 5]]*Devis[[#This Row],[Prix de Revient]]</f>
        <v>0</v>
      </c>
      <c r="AA1269" s="74">
        <f>Devis[[#This Row],[Prix de Revient]]*Devis[[#This Row],[Poste 6]]</f>
        <v>0</v>
      </c>
      <c r="AB1269" s="74">
        <f>Devis[[#This Row],[Quantité Totale]]*Devis[[#This Row],[Prix de Revient]]</f>
        <v>0</v>
      </c>
    </row>
    <row r="1270" spans="1:28" ht="15" customHeight="1" outlineLevel="1" x14ac:dyDescent="0.2">
      <c r="A1270" s="75" t="s">
        <v>3557</v>
      </c>
      <c r="B1270" s="76" t="s">
        <v>954</v>
      </c>
      <c r="C1270" s="76"/>
      <c r="D1270" s="81" t="str">
        <f t="shared" si="23"/>
        <v xml:space="preserve">GalvaCoudes mm </v>
      </c>
      <c r="E1270" s="76" t="s">
        <v>20</v>
      </c>
      <c r="F1270" s="81">
        <v>11</v>
      </c>
      <c r="G1270" s="108" t="s">
        <v>943</v>
      </c>
      <c r="H1270" s="71"/>
      <c r="I1270" s="75"/>
      <c r="J1270" s="70">
        <f>IFERROR(VLOOKUP(Devis[[#This Row],[Ref Air Flux]],#REF!,3,FALSE),0)</f>
        <v>0</v>
      </c>
      <c r="K1270" s="68"/>
      <c r="L1270" s="68"/>
      <c r="M1270" s="68"/>
      <c r="N1270" s="68"/>
      <c r="O1270" s="68"/>
      <c r="P1270" s="68"/>
      <c r="Q1270" s="68">
        <f>SUM(Devis[[#This Row],[Poste 1]:[Poste 6]])</f>
        <v>0</v>
      </c>
      <c r="R1270" s="71"/>
      <c r="S1270" s="68">
        <f>_xlfn.CEILING.MATH(Devis[[#This Row],[Quantité Totale]],Devis[[#This Row],[Conditionnement]])</f>
        <v>0</v>
      </c>
      <c r="T1270" s="72"/>
      <c r="U1270" s="106"/>
      <c r="V1270" s="74">
        <f>Devis[[#This Row],[Prix de Revient]]*Devis[[#This Row],[Poste 1]]</f>
        <v>0</v>
      </c>
      <c r="W1270" s="74">
        <f>Devis[[#This Row],[Prix de Revient]]*Devis[[#This Row],[Poste 2]]</f>
        <v>0</v>
      </c>
      <c r="X1270" s="74">
        <f>Devis[[#This Row],[Prix de Revient]]*Devis[[#This Row],[Poste 3]]</f>
        <v>0</v>
      </c>
      <c r="Y1270" s="74">
        <f>Devis[[#This Row],[Poste 4]]*Devis[[#This Row],[Prix de Revient]]</f>
        <v>0</v>
      </c>
      <c r="Z1270" s="74">
        <f>Devis[[#This Row],[Poste 5]]*Devis[[#This Row],[Prix de Revient]]</f>
        <v>0</v>
      </c>
      <c r="AA1270" s="74">
        <f>Devis[[#This Row],[Prix de Revient]]*Devis[[#This Row],[Poste 6]]</f>
        <v>0</v>
      </c>
      <c r="AB1270" s="74">
        <f>Devis[[#This Row],[Quantité Totale]]*Devis[[#This Row],[Prix de Revient]]</f>
        <v>0</v>
      </c>
    </row>
    <row r="1271" spans="1:28" ht="14.25" customHeight="1" x14ac:dyDescent="0.25">
      <c r="A1271" s="65" t="s">
        <v>3557</v>
      </c>
      <c r="B1271" s="65" t="s">
        <v>965</v>
      </c>
      <c r="C1271" s="76"/>
      <c r="D1271" s="81" t="str">
        <f t="shared" si="23"/>
        <v>GalvaCourbe ff  2</v>
      </c>
      <c r="E1271" s="76"/>
      <c r="F1271" s="81">
        <v>0</v>
      </c>
      <c r="G1271" s="86"/>
      <c r="H1271" s="71"/>
      <c r="I1271" s="75"/>
      <c r="J1271" s="70">
        <f>IFERROR(VLOOKUP(Devis[[#This Row],[Ref Air Flux]],#REF!,3,FALSE),0)</f>
        <v>0</v>
      </c>
      <c r="K1271" s="68"/>
      <c r="L1271" s="68"/>
      <c r="M1271" s="68"/>
      <c r="N1271" s="68"/>
      <c r="O1271" s="68"/>
      <c r="P1271" s="68"/>
      <c r="Q1271" s="68">
        <f>SUM(Devis[[#This Row],[Poste 1]:[Poste 6]])</f>
        <v>0</v>
      </c>
      <c r="R1271" s="71"/>
      <c r="S1271" s="68">
        <f>_xlfn.CEILING.MATH(Devis[[#This Row],[Quantité Totale]],Devis[[#This Row],[Conditionnement]])</f>
        <v>0</v>
      </c>
      <c r="T1271" s="72"/>
      <c r="U1271" s="106"/>
      <c r="V1271" s="74">
        <f>Devis[[#This Row],[Prix de Revient]]*Devis[[#This Row],[Poste 1]]</f>
        <v>0</v>
      </c>
      <c r="W1271" s="74">
        <f>Devis[[#This Row],[Prix de Revient]]*Devis[[#This Row],[Poste 2]]</f>
        <v>0</v>
      </c>
      <c r="X1271" s="74">
        <f>Devis[[#This Row],[Prix de Revient]]*Devis[[#This Row],[Poste 3]]</f>
        <v>0</v>
      </c>
      <c r="Y1271" s="74">
        <f>Devis[[#This Row],[Poste 4]]*Devis[[#This Row],[Prix de Revient]]</f>
        <v>0</v>
      </c>
      <c r="Z1271" s="74">
        <f>Devis[[#This Row],[Poste 5]]*Devis[[#This Row],[Prix de Revient]]</f>
        <v>0</v>
      </c>
      <c r="AA1271" s="74">
        <f>Devis[[#This Row],[Prix de Revient]]*Devis[[#This Row],[Poste 6]]</f>
        <v>0</v>
      </c>
      <c r="AB1271" s="74">
        <f>Devis[[#This Row],[Quantité Totale]]*Devis[[#This Row],[Prix de Revient]]</f>
        <v>0</v>
      </c>
    </row>
    <row r="1272" spans="1:28" ht="14.25" outlineLevel="1" x14ac:dyDescent="0.2">
      <c r="A1272" s="75" t="s">
        <v>3557</v>
      </c>
      <c r="B1272" s="76" t="s">
        <v>965</v>
      </c>
      <c r="C1272" s="76"/>
      <c r="D1272" s="81" t="str">
        <f t="shared" si="23"/>
        <v>GalvaCourbe ff  2</v>
      </c>
      <c r="E1272" s="76" t="s">
        <v>19</v>
      </c>
      <c r="F1272" s="81">
        <v>1</v>
      </c>
      <c r="G1272" s="86" t="s">
        <v>971</v>
      </c>
      <c r="H1272" s="71"/>
      <c r="I1272" s="75"/>
      <c r="J1272" s="70">
        <f>IFERROR(VLOOKUP(Devis[[#This Row],[Ref Air Flux]],#REF!,3,FALSE),0)</f>
        <v>0</v>
      </c>
      <c r="K1272" s="68"/>
      <c r="L1272" s="68"/>
      <c r="M1272" s="68"/>
      <c r="N1272" s="68"/>
      <c r="O1272" s="68"/>
      <c r="P1272" s="68"/>
      <c r="Q1272" s="68">
        <f>SUM(Devis[[#This Row],[Poste 1]:[Poste 6]])</f>
        <v>0</v>
      </c>
      <c r="R1272" s="71"/>
      <c r="S1272" s="68">
        <f>_xlfn.CEILING.MATH(Devis[[#This Row],[Quantité Totale]],Devis[[#This Row],[Conditionnement]])</f>
        <v>0</v>
      </c>
      <c r="T1272" s="72"/>
      <c r="U1272" s="106"/>
      <c r="V1272" s="74">
        <f>Devis[[#This Row],[Prix de Revient]]*Devis[[#This Row],[Poste 1]]</f>
        <v>0</v>
      </c>
      <c r="W1272" s="74">
        <f>Devis[[#This Row],[Prix de Revient]]*Devis[[#This Row],[Poste 2]]</f>
        <v>0</v>
      </c>
      <c r="X1272" s="74">
        <f>Devis[[#This Row],[Prix de Revient]]*Devis[[#This Row],[Poste 3]]</f>
        <v>0</v>
      </c>
      <c r="Y1272" s="74">
        <f>Devis[[#This Row],[Poste 4]]*Devis[[#This Row],[Prix de Revient]]</f>
        <v>0</v>
      </c>
      <c r="Z1272" s="74">
        <f>Devis[[#This Row],[Poste 5]]*Devis[[#This Row],[Prix de Revient]]</f>
        <v>0</v>
      </c>
      <c r="AA1272" s="74">
        <f>Devis[[#This Row],[Prix de Revient]]*Devis[[#This Row],[Poste 6]]</f>
        <v>0</v>
      </c>
      <c r="AB1272" s="74">
        <f>Devis[[#This Row],[Quantité Totale]]*Devis[[#This Row],[Prix de Revient]]</f>
        <v>0</v>
      </c>
    </row>
    <row r="1273" spans="1:28" ht="14.25" outlineLevel="1" x14ac:dyDescent="0.2">
      <c r="A1273" s="75" t="s">
        <v>3557</v>
      </c>
      <c r="B1273" s="76" t="s">
        <v>965</v>
      </c>
      <c r="C1273" s="76"/>
      <c r="D1273" s="81" t="str">
        <f t="shared" si="23"/>
        <v>GalvaCourbe ff  2</v>
      </c>
      <c r="E1273" s="76" t="s">
        <v>21</v>
      </c>
      <c r="F1273" s="81">
        <v>2</v>
      </c>
      <c r="G1273" s="86" t="s">
        <v>969</v>
      </c>
      <c r="H1273" s="71"/>
      <c r="I1273" s="75"/>
      <c r="J1273" s="70">
        <f>IFERROR(VLOOKUP(Devis[[#This Row],[Ref Air Flux]],#REF!,3,FALSE),0)</f>
        <v>0</v>
      </c>
      <c r="K1273" s="68"/>
      <c r="L1273" s="68"/>
      <c r="M1273" s="68"/>
      <c r="N1273" s="68"/>
      <c r="O1273" s="68"/>
      <c r="P1273" s="68"/>
      <c r="Q1273" s="68">
        <f>SUM(Devis[[#This Row],[Poste 1]:[Poste 6]])</f>
        <v>0</v>
      </c>
      <c r="R1273" s="71"/>
      <c r="S1273" s="68">
        <f>_xlfn.CEILING.MATH(Devis[[#This Row],[Quantité Totale]],Devis[[#This Row],[Conditionnement]])</f>
        <v>0</v>
      </c>
      <c r="T1273" s="72"/>
      <c r="U1273" s="106"/>
      <c r="V1273" s="74">
        <f>Devis[[#This Row],[Prix de Revient]]*Devis[[#This Row],[Poste 1]]</f>
        <v>0</v>
      </c>
      <c r="W1273" s="74">
        <f>Devis[[#This Row],[Prix de Revient]]*Devis[[#This Row],[Poste 2]]</f>
        <v>0</v>
      </c>
      <c r="X1273" s="74">
        <f>Devis[[#This Row],[Prix de Revient]]*Devis[[#This Row],[Poste 3]]</f>
        <v>0</v>
      </c>
      <c r="Y1273" s="74">
        <f>Devis[[#This Row],[Poste 4]]*Devis[[#This Row],[Prix de Revient]]</f>
        <v>0</v>
      </c>
      <c r="Z1273" s="74">
        <f>Devis[[#This Row],[Poste 5]]*Devis[[#This Row],[Prix de Revient]]</f>
        <v>0</v>
      </c>
      <c r="AA1273" s="74">
        <f>Devis[[#This Row],[Prix de Revient]]*Devis[[#This Row],[Poste 6]]</f>
        <v>0</v>
      </c>
      <c r="AB1273" s="74">
        <f>Devis[[#This Row],[Quantité Totale]]*Devis[[#This Row],[Prix de Revient]]</f>
        <v>0</v>
      </c>
    </row>
    <row r="1274" spans="1:28" ht="14.25" outlineLevel="1" x14ac:dyDescent="0.2">
      <c r="A1274" s="75" t="s">
        <v>3557</v>
      </c>
      <c r="B1274" s="76" t="s">
        <v>965</v>
      </c>
      <c r="C1274" s="76"/>
      <c r="D1274" s="81" t="str">
        <f t="shared" si="23"/>
        <v>GalvaCourbe ff  2</v>
      </c>
      <c r="E1274" s="76" t="s">
        <v>20</v>
      </c>
      <c r="F1274" s="81">
        <v>3</v>
      </c>
      <c r="G1274" s="86" t="s">
        <v>970</v>
      </c>
      <c r="H1274" s="71"/>
      <c r="I1274" s="75"/>
      <c r="J1274" s="70">
        <f>IFERROR(VLOOKUP(Devis[[#This Row],[Ref Air Flux]],#REF!,3,FALSE),0)</f>
        <v>0</v>
      </c>
      <c r="K1274" s="68"/>
      <c r="L1274" s="68"/>
      <c r="M1274" s="68"/>
      <c r="N1274" s="68"/>
      <c r="O1274" s="68"/>
      <c r="P1274" s="68"/>
      <c r="Q1274" s="68">
        <f>SUM(Devis[[#This Row],[Poste 1]:[Poste 6]])</f>
        <v>0</v>
      </c>
      <c r="R1274" s="71"/>
      <c r="S1274" s="68">
        <f>_xlfn.CEILING.MATH(Devis[[#This Row],[Quantité Totale]],Devis[[#This Row],[Conditionnement]])</f>
        <v>0</v>
      </c>
      <c r="T1274" s="72"/>
      <c r="U1274" s="106"/>
      <c r="V1274" s="74">
        <f>Devis[[#This Row],[Prix de Revient]]*Devis[[#This Row],[Poste 1]]</f>
        <v>0</v>
      </c>
      <c r="W1274" s="74">
        <f>Devis[[#This Row],[Prix de Revient]]*Devis[[#This Row],[Poste 2]]</f>
        <v>0</v>
      </c>
      <c r="X1274" s="74">
        <f>Devis[[#This Row],[Prix de Revient]]*Devis[[#This Row],[Poste 3]]</f>
        <v>0</v>
      </c>
      <c r="Y1274" s="74">
        <f>Devis[[#This Row],[Poste 4]]*Devis[[#This Row],[Prix de Revient]]</f>
        <v>0</v>
      </c>
      <c r="Z1274" s="74">
        <f>Devis[[#This Row],[Poste 5]]*Devis[[#This Row],[Prix de Revient]]</f>
        <v>0</v>
      </c>
      <c r="AA1274" s="74">
        <f>Devis[[#This Row],[Prix de Revient]]*Devis[[#This Row],[Poste 6]]</f>
        <v>0</v>
      </c>
      <c r="AB1274" s="74">
        <f>Devis[[#This Row],[Quantité Totale]]*Devis[[#This Row],[Prix de Revient]]</f>
        <v>0</v>
      </c>
    </row>
    <row r="1275" spans="1:28" ht="15" customHeight="1" outlineLevel="1" x14ac:dyDescent="0.2">
      <c r="A1275" s="75" t="s">
        <v>3557</v>
      </c>
      <c r="B1275" s="76" t="s">
        <v>965</v>
      </c>
      <c r="C1275" s="76"/>
      <c r="D1275" s="81" t="str">
        <f t="shared" si="23"/>
        <v>GalvaCourbe ff  2</v>
      </c>
      <c r="E1275" s="80" t="s">
        <v>17</v>
      </c>
      <c r="F1275" s="81">
        <v>4</v>
      </c>
      <c r="G1275" s="86" t="s">
        <v>973</v>
      </c>
      <c r="H1275" s="71"/>
      <c r="I1275" s="105"/>
      <c r="J1275" s="70">
        <f>IFERROR(VLOOKUP(Devis[[#This Row],[Ref Air Flux]],#REF!,3,FALSE),0)</f>
        <v>0</v>
      </c>
      <c r="K1275" s="68"/>
      <c r="L1275" s="68"/>
      <c r="M1275" s="68"/>
      <c r="N1275" s="68"/>
      <c r="O1275" s="68"/>
      <c r="P1275" s="68"/>
      <c r="Q1275" s="68">
        <f>SUM(Devis[[#This Row],[Poste 1]:[Poste 6]])</f>
        <v>0</v>
      </c>
      <c r="R1275" s="71"/>
      <c r="S1275" s="68">
        <f>_xlfn.CEILING.MATH(Devis[[#This Row],[Quantité Totale]],Devis[[#This Row],[Conditionnement]])</f>
        <v>0</v>
      </c>
      <c r="T1275" s="72"/>
      <c r="U1275" s="106"/>
      <c r="V1275" s="74">
        <f>Devis[[#This Row],[Prix de Revient]]*Devis[[#This Row],[Poste 1]]</f>
        <v>0</v>
      </c>
      <c r="W1275" s="74">
        <f>Devis[[#This Row],[Prix de Revient]]*Devis[[#This Row],[Poste 2]]</f>
        <v>0</v>
      </c>
      <c r="X1275" s="74">
        <f>Devis[[#This Row],[Prix de Revient]]*Devis[[#This Row],[Poste 3]]</f>
        <v>0</v>
      </c>
      <c r="Y1275" s="74">
        <f>Devis[[#This Row],[Poste 4]]*Devis[[#This Row],[Prix de Revient]]</f>
        <v>0</v>
      </c>
      <c r="Z1275" s="74">
        <f>Devis[[#This Row],[Poste 5]]*Devis[[#This Row],[Prix de Revient]]</f>
        <v>0</v>
      </c>
      <c r="AA1275" s="74">
        <f>Devis[[#This Row],[Prix de Revient]]*Devis[[#This Row],[Poste 6]]</f>
        <v>0</v>
      </c>
      <c r="AB1275" s="74">
        <f>Devis[[#This Row],[Quantité Totale]]*Devis[[#This Row],[Prix de Revient]]</f>
        <v>0</v>
      </c>
    </row>
    <row r="1276" spans="1:28" ht="14.25" outlineLevel="1" x14ac:dyDescent="0.2">
      <c r="A1276" s="75" t="s">
        <v>3557</v>
      </c>
      <c r="B1276" s="76" t="s">
        <v>965</v>
      </c>
      <c r="C1276" s="76"/>
      <c r="D1276" s="81" t="str">
        <f t="shared" si="23"/>
        <v>GalvaCourbe ff  2</v>
      </c>
      <c r="E1276" s="80" t="s">
        <v>46</v>
      </c>
      <c r="F1276" s="81">
        <v>5</v>
      </c>
      <c r="G1276" s="86" t="s">
        <v>975</v>
      </c>
      <c r="H1276" s="71"/>
      <c r="I1276" s="105"/>
      <c r="J1276" s="70">
        <f>IFERROR(VLOOKUP(Devis[[#This Row],[Ref Air Flux]],#REF!,3,FALSE),0)</f>
        <v>0</v>
      </c>
      <c r="K1276" s="68"/>
      <c r="L1276" s="68"/>
      <c r="M1276" s="68"/>
      <c r="N1276" s="68"/>
      <c r="O1276" s="68"/>
      <c r="P1276" s="68"/>
      <c r="Q1276" s="68">
        <f>SUM(Devis[[#This Row],[Poste 1]:[Poste 6]])</f>
        <v>0</v>
      </c>
      <c r="R1276" s="71"/>
      <c r="S1276" s="68">
        <f>_xlfn.CEILING.MATH(Devis[[#This Row],[Quantité Totale]],Devis[[#This Row],[Conditionnement]])</f>
        <v>0</v>
      </c>
      <c r="T1276" s="72"/>
      <c r="U1276" s="106"/>
      <c r="V1276" s="74">
        <f>Devis[[#This Row],[Prix de Revient]]*Devis[[#This Row],[Poste 1]]</f>
        <v>0</v>
      </c>
      <c r="W1276" s="74">
        <f>Devis[[#This Row],[Prix de Revient]]*Devis[[#This Row],[Poste 2]]</f>
        <v>0</v>
      </c>
      <c r="X1276" s="74">
        <f>Devis[[#This Row],[Prix de Revient]]*Devis[[#This Row],[Poste 3]]</f>
        <v>0</v>
      </c>
      <c r="Y1276" s="74">
        <f>Devis[[#This Row],[Poste 4]]*Devis[[#This Row],[Prix de Revient]]</f>
        <v>0</v>
      </c>
      <c r="Z1276" s="74">
        <f>Devis[[#This Row],[Poste 5]]*Devis[[#This Row],[Prix de Revient]]</f>
        <v>0</v>
      </c>
      <c r="AA1276" s="74">
        <f>Devis[[#This Row],[Prix de Revient]]*Devis[[#This Row],[Poste 6]]</f>
        <v>0</v>
      </c>
      <c r="AB1276" s="74">
        <f>Devis[[#This Row],[Quantité Totale]]*Devis[[#This Row],[Prix de Revient]]</f>
        <v>0</v>
      </c>
    </row>
    <row r="1277" spans="1:28" ht="14.25" outlineLevel="1" x14ac:dyDescent="0.2">
      <c r="A1277" s="75" t="s">
        <v>3557</v>
      </c>
      <c r="B1277" s="76" t="s">
        <v>965</v>
      </c>
      <c r="C1277" s="76"/>
      <c r="D1277" s="81" t="str">
        <f t="shared" si="23"/>
        <v>GalvaCourbe ff  2</v>
      </c>
      <c r="E1277" s="76" t="s">
        <v>0</v>
      </c>
      <c r="F1277" s="81">
        <v>6</v>
      </c>
      <c r="G1277" s="86" t="s">
        <v>968</v>
      </c>
      <c r="H1277" s="71"/>
      <c r="I1277" s="75"/>
      <c r="J1277" s="70">
        <f>IFERROR(VLOOKUP(Devis[[#This Row],[Ref Air Flux]],#REF!,3,FALSE),0)</f>
        <v>0</v>
      </c>
      <c r="K1277" s="68"/>
      <c r="L1277" s="68"/>
      <c r="M1277" s="68"/>
      <c r="N1277" s="68"/>
      <c r="O1277" s="68"/>
      <c r="P1277" s="68"/>
      <c r="Q1277" s="68">
        <f>SUM(Devis[[#This Row],[Poste 1]:[Poste 6]])</f>
        <v>0</v>
      </c>
      <c r="R1277" s="71"/>
      <c r="S1277" s="68">
        <f>_xlfn.CEILING.MATH(Devis[[#This Row],[Quantité Totale]],Devis[[#This Row],[Conditionnement]])</f>
        <v>0</v>
      </c>
      <c r="T1277" s="72"/>
      <c r="U1277" s="106"/>
      <c r="V1277" s="74">
        <f>Devis[[#This Row],[Prix de Revient]]*Devis[[#This Row],[Poste 1]]</f>
        <v>0</v>
      </c>
      <c r="W1277" s="74">
        <f>Devis[[#This Row],[Prix de Revient]]*Devis[[#This Row],[Poste 2]]</f>
        <v>0</v>
      </c>
      <c r="X1277" s="74">
        <f>Devis[[#This Row],[Prix de Revient]]*Devis[[#This Row],[Poste 3]]</f>
        <v>0</v>
      </c>
      <c r="Y1277" s="74">
        <f>Devis[[#This Row],[Poste 4]]*Devis[[#This Row],[Prix de Revient]]</f>
        <v>0</v>
      </c>
      <c r="Z1277" s="74">
        <f>Devis[[#This Row],[Poste 5]]*Devis[[#This Row],[Prix de Revient]]</f>
        <v>0</v>
      </c>
      <c r="AA1277" s="74">
        <f>Devis[[#This Row],[Prix de Revient]]*Devis[[#This Row],[Poste 6]]</f>
        <v>0</v>
      </c>
      <c r="AB1277" s="74">
        <f>Devis[[#This Row],[Quantité Totale]]*Devis[[#This Row],[Prix de Revient]]</f>
        <v>0</v>
      </c>
    </row>
    <row r="1278" spans="1:28" ht="15" customHeight="1" outlineLevel="1" x14ac:dyDescent="0.2">
      <c r="A1278" s="75" t="s">
        <v>3557</v>
      </c>
      <c r="B1278" s="76" t="s">
        <v>965</v>
      </c>
      <c r="C1278" s="76"/>
      <c r="D1278" s="81" t="str">
        <f t="shared" si="23"/>
        <v>GalvaCourbe ff  2</v>
      </c>
      <c r="E1278" s="76" t="s">
        <v>49</v>
      </c>
      <c r="F1278" s="81">
        <v>7</v>
      </c>
      <c r="G1278" s="86" t="s">
        <v>967</v>
      </c>
      <c r="H1278" s="71"/>
      <c r="I1278" s="75"/>
      <c r="J1278" s="70">
        <f>IFERROR(VLOOKUP(Devis[[#This Row],[Ref Air Flux]],#REF!,3,FALSE),0)</f>
        <v>0</v>
      </c>
      <c r="K1278" s="68"/>
      <c r="L1278" s="68"/>
      <c r="M1278" s="68"/>
      <c r="N1278" s="68"/>
      <c r="O1278" s="68"/>
      <c r="P1278" s="68"/>
      <c r="Q1278" s="68">
        <f>SUM(Devis[[#This Row],[Poste 1]:[Poste 6]])</f>
        <v>0</v>
      </c>
      <c r="R1278" s="71"/>
      <c r="S1278" s="68">
        <f>_xlfn.CEILING.MATH(Devis[[#This Row],[Quantité Totale]],Devis[[#This Row],[Conditionnement]])</f>
        <v>0</v>
      </c>
      <c r="T1278" s="72"/>
      <c r="U1278" s="106"/>
      <c r="V1278" s="74">
        <f>Devis[[#This Row],[Prix de Revient]]*Devis[[#This Row],[Poste 1]]</f>
        <v>0</v>
      </c>
      <c r="W1278" s="74">
        <f>Devis[[#This Row],[Prix de Revient]]*Devis[[#This Row],[Poste 2]]</f>
        <v>0</v>
      </c>
      <c r="X1278" s="74">
        <f>Devis[[#This Row],[Prix de Revient]]*Devis[[#This Row],[Poste 3]]</f>
        <v>0</v>
      </c>
      <c r="Y1278" s="74">
        <f>Devis[[#This Row],[Poste 4]]*Devis[[#This Row],[Prix de Revient]]</f>
        <v>0</v>
      </c>
      <c r="Z1278" s="74">
        <f>Devis[[#This Row],[Poste 5]]*Devis[[#This Row],[Prix de Revient]]</f>
        <v>0</v>
      </c>
      <c r="AA1278" s="74">
        <f>Devis[[#This Row],[Prix de Revient]]*Devis[[#This Row],[Poste 6]]</f>
        <v>0</v>
      </c>
      <c r="AB1278" s="74">
        <f>Devis[[#This Row],[Quantité Totale]]*Devis[[#This Row],[Prix de Revient]]</f>
        <v>0</v>
      </c>
    </row>
    <row r="1279" spans="1:28" ht="14.25" outlineLevel="1" x14ac:dyDescent="0.2">
      <c r="A1279" s="75" t="s">
        <v>3557</v>
      </c>
      <c r="B1279" s="76" t="s">
        <v>965</v>
      </c>
      <c r="C1279" s="76"/>
      <c r="D1279" s="81" t="str">
        <f t="shared" si="23"/>
        <v>GalvaCourbe ff  2</v>
      </c>
      <c r="E1279" s="76" t="s">
        <v>821</v>
      </c>
      <c r="F1279" s="81">
        <v>8</v>
      </c>
      <c r="G1279" s="86" t="s">
        <v>966</v>
      </c>
      <c r="H1279" s="71"/>
      <c r="I1279" s="75"/>
      <c r="J1279" s="70">
        <f>IFERROR(VLOOKUP(Devis[[#This Row],[Ref Air Flux]],#REF!,3,FALSE),0)</f>
        <v>0</v>
      </c>
      <c r="K1279" s="68"/>
      <c r="L1279" s="68"/>
      <c r="M1279" s="68"/>
      <c r="N1279" s="68"/>
      <c r="O1279" s="68"/>
      <c r="P1279" s="68"/>
      <c r="Q1279" s="68">
        <f>SUM(Devis[[#This Row],[Poste 1]:[Poste 6]])</f>
        <v>0</v>
      </c>
      <c r="R1279" s="71"/>
      <c r="S1279" s="68">
        <f>_xlfn.CEILING.MATH(Devis[[#This Row],[Quantité Totale]],Devis[[#This Row],[Conditionnement]])</f>
        <v>0</v>
      </c>
      <c r="T1279" s="72"/>
      <c r="U1279" s="106"/>
      <c r="V1279" s="74">
        <f>Devis[[#This Row],[Prix de Revient]]*Devis[[#This Row],[Poste 1]]</f>
        <v>0</v>
      </c>
      <c r="W1279" s="74">
        <f>Devis[[#This Row],[Prix de Revient]]*Devis[[#This Row],[Poste 2]]</f>
        <v>0</v>
      </c>
      <c r="X1279" s="74">
        <f>Devis[[#This Row],[Prix de Revient]]*Devis[[#This Row],[Poste 3]]</f>
        <v>0</v>
      </c>
      <c r="Y1279" s="74">
        <f>Devis[[#This Row],[Poste 4]]*Devis[[#This Row],[Prix de Revient]]</f>
        <v>0</v>
      </c>
      <c r="Z1279" s="74">
        <f>Devis[[#This Row],[Poste 5]]*Devis[[#This Row],[Prix de Revient]]</f>
        <v>0</v>
      </c>
      <c r="AA1279" s="74">
        <f>Devis[[#This Row],[Prix de Revient]]*Devis[[#This Row],[Poste 6]]</f>
        <v>0</v>
      </c>
      <c r="AB1279" s="74">
        <f>Devis[[#This Row],[Quantité Totale]]*Devis[[#This Row],[Prix de Revient]]</f>
        <v>0</v>
      </c>
    </row>
    <row r="1280" spans="1:28" ht="14.25" customHeight="1" outlineLevel="1" x14ac:dyDescent="0.2">
      <c r="A1280" s="75" t="s">
        <v>3557</v>
      </c>
      <c r="B1280" s="76" t="s">
        <v>965</v>
      </c>
      <c r="C1280" s="76"/>
      <c r="D1280" s="81" t="str">
        <f t="shared" si="23"/>
        <v>GalvaCourbe ff  2</v>
      </c>
      <c r="E1280" s="80" t="s">
        <v>18</v>
      </c>
      <c r="F1280" s="81">
        <v>9</v>
      </c>
      <c r="G1280" s="86" t="s">
        <v>972</v>
      </c>
      <c r="H1280" s="71"/>
      <c r="I1280" s="105"/>
      <c r="J1280" s="70">
        <f>IFERROR(VLOOKUP(Devis[[#This Row],[Ref Air Flux]],#REF!,3,FALSE),0)</f>
        <v>0</v>
      </c>
      <c r="K1280" s="68"/>
      <c r="L1280" s="68"/>
      <c r="M1280" s="68"/>
      <c r="N1280" s="68"/>
      <c r="O1280" s="68"/>
      <c r="P1280" s="68"/>
      <c r="Q1280" s="68">
        <f>SUM(Devis[[#This Row],[Poste 1]:[Poste 6]])</f>
        <v>0</v>
      </c>
      <c r="R1280" s="71"/>
      <c r="S1280" s="68">
        <f>_xlfn.CEILING.MATH(Devis[[#This Row],[Quantité Totale]],Devis[[#This Row],[Conditionnement]])</f>
        <v>0</v>
      </c>
      <c r="T1280" s="72"/>
      <c r="U1280" s="106"/>
      <c r="V1280" s="74">
        <f>Devis[[#This Row],[Prix de Revient]]*Devis[[#This Row],[Poste 1]]</f>
        <v>0</v>
      </c>
      <c r="W1280" s="74">
        <f>Devis[[#This Row],[Prix de Revient]]*Devis[[#This Row],[Poste 2]]</f>
        <v>0</v>
      </c>
      <c r="X1280" s="74">
        <f>Devis[[#This Row],[Prix de Revient]]*Devis[[#This Row],[Poste 3]]</f>
        <v>0</v>
      </c>
      <c r="Y1280" s="74">
        <f>Devis[[#This Row],[Poste 4]]*Devis[[#This Row],[Prix de Revient]]</f>
        <v>0</v>
      </c>
      <c r="Z1280" s="74">
        <f>Devis[[#This Row],[Poste 5]]*Devis[[#This Row],[Prix de Revient]]</f>
        <v>0</v>
      </c>
      <c r="AA1280" s="74">
        <f>Devis[[#This Row],[Prix de Revient]]*Devis[[#This Row],[Poste 6]]</f>
        <v>0</v>
      </c>
      <c r="AB1280" s="74">
        <f>Devis[[#This Row],[Quantité Totale]]*Devis[[#This Row],[Prix de Revient]]</f>
        <v>0</v>
      </c>
    </row>
    <row r="1281" spans="1:28" ht="14.25" outlineLevel="1" x14ac:dyDescent="0.2">
      <c r="A1281" s="75" t="s">
        <v>3557</v>
      </c>
      <c r="B1281" s="76" t="s">
        <v>965</v>
      </c>
      <c r="C1281" s="76"/>
      <c r="D1281" s="81" t="str">
        <f t="shared" si="23"/>
        <v>GalvaCourbe ff  2</v>
      </c>
      <c r="E1281" s="80" t="s">
        <v>16</v>
      </c>
      <c r="F1281" s="81">
        <v>10</v>
      </c>
      <c r="G1281" s="86" t="s">
        <v>974</v>
      </c>
      <c r="H1281" s="71"/>
      <c r="I1281" s="105"/>
      <c r="J1281" s="70">
        <f>IFERROR(VLOOKUP(Devis[[#This Row],[Ref Air Flux]],#REF!,3,FALSE),0)</f>
        <v>0</v>
      </c>
      <c r="K1281" s="68"/>
      <c r="L1281" s="68"/>
      <c r="M1281" s="68"/>
      <c r="N1281" s="68"/>
      <c r="O1281" s="68"/>
      <c r="P1281" s="68"/>
      <c r="Q1281" s="68">
        <f>SUM(Devis[[#This Row],[Poste 1]:[Poste 6]])</f>
        <v>0</v>
      </c>
      <c r="R1281" s="71"/>
      <c r="S1281" s="68">
        <f>_xlfn.CEILING.MATH(Devis[[#This Row],[Quantité Totale]],Devis[[#This Row],[Conditionnement]])</f>
        <v>0</v>
      </c>
      <c r="T1281" s="72"/>
      <c r="U1281" s="106"/>
      <c r="V1281" s="74">
        <f>Devis[[#This Row],[Prix de Revient]]*Devis[[#This Row],[Poste 1]]</f>
        <v>0</v>
      </c>
      <c r="W1281" s="74">
        <f>Devis[[#This Row],[Prix de Revient]]*Devis[[#This Row],[Poste 2]]</f>
        <v>0</v>
      </c>
      <c r="X1281" s="74">
        <f>Devis[[#This Row],[Prix de Revient]]*Devis[[#This Row],[Poste 3]]</f>
        <v>0</v>
      </c>
      <c r="Y1281" s="74">
        <f>Devis[[#This Row],[Poste 4]]*Devis[[#This Row],[Prix de Revient]]</f>
        <v>0</v>
      </c>
      <c r="Z1281" s="74">
        <f>Devis[[#This Row],[Poste 5]]*Devis[[#This Row],[Prix de Revient]]</f>
        <v>0</v>
      </c>
      <c r="AA1281" s="74">
        <f>Devis[[#This Row],[Prix de Revient]]*Devis[[#This Row],[Poste 6]]</f>
        <v>0</v>
      </c>
      <c r="AB1281" s="74">
        <f>Devis[[#This Row],[Quantité Totale]]*Devis[[#This Row],[Prix de Revient]]</f>
        <v>0</v>
      </c>
    </row>
    <row r="1282" spans="1:28" ht="14.25" outlineLevel="1" x14ac:dyDescent="0.2">
      <c r="A1282" s="75" t="s">
        <v>3557</v>
      </c>
      <c r="B1282" s="76" t="s">
        <v>965</v>
      </c>
      <c r="C1282" s="76"/>
      <c r="D1282" s="81" t="str">
        <f t="shared" si="23"/>
        <v>GalvaCourbe ff  2</v>
      </c>
      <c r="E1282" s="80" t="s">
        <v>928</v>
      </c>
      <c r="F1282" s="81">
        <v>11</v>
      </c>
      <c r="G1282" s="86" t="s">
        <v>976</v>
      </c>
      <c r="H1282" s="71"/>
      <c r="I1282" s="75"/>
      <c r="J1282" s="70">
        <f>IFERROR(VLOOKUP(Devis[[#This Row],[Ref Air Flux]],#REF!,3,FALSE),0)</f>
        <v>0</v>
      </c>
      <c r="K1282" s="68"/>
      <c r="L1282" s="68"/>
      <c r="M1282" s="68"/>
      <c r="N1282" s="68"/>
      <c r="O1282" s="68"/>
      <c r="P1282" s="68"/>
      <c r="Q1282" s="68">
        <f>SUM(Devis[[#This Row],[Poste 1]:[Poste 6]])</f>
        <v>0</v>
      </c>
      <c r="R1282" s="71"/>
      <c r="S1282" s="68">
        <f>_xlfn.CEILING.MATH(Devis[[#This Row],[Quantité Totale]],Devis[[#This Row],[Conditionnement]])</f>
        <v>0</v>
      </c>
      <c r="T1282" s="72"/>
      <c r="U1282" s="106"/>
      <c r="V1282" s="74">
        <f>Devis[[#This Row],[Prix de Revient]]*Devis[[#This Row],[Poste 1]]</f>
        <v>0</v>
      </c>
      <c r="W1282" s="74">
        <f>Devis[[#This Row],[Prix de Revient]]*Devis[[#This Row],[Poste 2]]</f>
        <v>0</v>
      </c>
      <c r="X1282" s="74">
        <f>Devis[[#This Row],[Prix de Revient]]*Devis[[#This Row],[Poste 3]]</f>
        <v>0</v>
      </c>
      <c r="Y1282" s="74">
        <f>Devis[[#This Row],[Poste 4]]*Devis[[#This Row],[Prix de Revient]]</f>
        <v>0</v>
      </c>
      <c r="Z1282" s="74">
        <f>Devis[[#This Row],[Poste 5]]*Devis[[#This Row],[Prix de Revient]]</f>
        <v>0</v>
      </c>
      <c r="AA1282" s="74">
        <f>Devis[[#This Row],[Prix de Revient]]*Devis[[#This Row],[Poste 6]]</f>
        <v>0</v>
      </c>
      <c r="AB1282" s="74">
        <f>Devis[[#This Row],[Quantité Totale]]*Devis[[#This Row],[Prix de Revient]]</f>
        <v>0</v>
      </c>
    </row>
    <row r="1283" spans="1:28" ht="14.25" customHeight="1" x14ac:dyDescent="0.25">
      <c r="A1283" s="65" t="s">
        <v>3557</v>
      </c>
      <c r="B1283" s="65" t="s">
        <v>977</v>
      </c>
      <c r="C1283" s="76"/>
      <c r="D1283" s="81" t="str">
        <f t="shared" si="23"/>
        <v>GalvaCourbe ff 45° 41</v>
      </c>
      <c r="E1283" s="76"/>
      <c r="F1283" s="81">
        <v>0</v>
      </c>
      <c r="G1283" s="86"/>
      <c r="H1283" s="71"/>
      <c r="I1283" s="75"/>
      <c r="J1283" s="70">
        <f>IFERROR(VLOOKUP(Devis[[#This Row],[Ref Air Flux]],#REF!,3,FALSE),0)</f>
        <v>0</v>
      </c>
      <c r="K1283" s="68"/>
      <c r="L1283" s="68"/>
      <c r="M1283" s="68"/>
      <c r="N1283" s="68"/>
      <c r="O1283" s="68"/>
      <c r="P1283" s="68"/>
      <c r="Q1283" s="68">
        <f>SUM(Devis[[#This Row],[Poste 1]:[Poste 6]])</f>
        <v>0</v>
      </c>
      <c r="R1283" s="71"/>
      <c r="S1283" s="68">
        <f>_xlfn.CEILING.MATH(Devis[[#This Row],[Quantité Totale]],Devis[[#This Row],[Conditionnement]])</f>
        <v>0</v>
      </c>
      <c r="T1283" s="72"/>
      <c r="U1283" s="106"/>
      <c r="V1283" s="74">
        <f>Devis[[#This Row],[Prix de Revient]]*Devis[[#This Row],[Poste 1]]</f>
        <v>0</v>
      </c>
      <c r="W1283" s="74">
        <f>Devis[[#This Row],[Prix de Revient]]*Devis[[#This Row],[Poste 2]]</f>
        <v>0</v>
      </c>
      <c r="X1283" s="74">
        <f>Devis[[#This Row],[Prix de Revient]]*Devis[[#This Row],[Poste 3]]</f>
        <v>0</v>
      </c>
      <c r="Y1283" s="74">
        <f>Devis[[#This Row],[Poste 4]]*Devis[[#This Row],[Prix de Revient]]</f>
        <v>0</v>
      </c>
      <c r="Z1283" s="74">
        <f>Devis[[#This Row],[Poste 5]]*Devis[[#This Row],[Prix de Revient]]</f>
        <v>0</v>
      </c>
      <c r="AA1283" s="74">
        <f>Devis[[#This Row],[Prix de Revient]]*Devis[[#This Row],[Poste 6]]</f>
        <v>0</v>
      </c>
      <c r="AB1283" s="74">
        <f>Devis[[#This Row],[Quantité Totale]]*Devis[[#This Row],[Prix de Revient]]</f>
        <v>0</v>
      </c>
    </row>
    <row r="1284" spans="1:28" ht="14.25" outlineLevel="1" x14ac:dyDescent="0.2">
      <c r="A1284" s="75" t="s">
        <v>3557</v>
      </c>
      <c r="B1284" s="76" t="s">
        <v>977</v>
      </c>
      <c r="C1284" s="76"/>
      <c r="D1284" s="81" t="str">
        <f t="shared" si="23"/>
        <v>GalvaCourbe ff 45° 41</v>
      </c>
      <c r="E1284" s="76" t="s">
        <v>19</v>
      </c>
      <c r="F1284" s="81">
        <v>1</v>
      </c>
      <c r="G1284" s="86" t="s">
        <v>982</v>
      </c>
      <c r="H1284" s="71"/>
      <c r="I1284" s="75"/>
      <c r="J1284" s="70">
        <f>IFERROR(VLOOKUP(Devis[[#This Row],[Ref Air Flux]],#REF!,3,FALSE),0)</f>
        <v>0</v>
      </c>
      <c r="K1284" s="68"/>
      <c r="L1284" s="68"/>
      <c r="M1284" s="68"/>
      <c r="N1284" s="68"/>
      <c r="O1284" s="68"/>
      <c r="P1284" s="68"/>
      <c r="Q1284" s="68">
        <f>SUM(Devis[[#This Row],[Poste 1]:[Poste 6]])</f>
        <v>0</v>
      </c>
      <c r="R1284" s="71"/>
      <c r="S1284" s="68">
        <f>_xlfn.CEILING.MATH(Devis[[#This Row],[Quantité Totale]],Devis[[#This Row],[Conditionnement]])</f>
        <v>0</v>
      </c>
      <c r="T1284" s="72"/>
      <c r="U1284" s="106"/>
      <c r="V1284" s="74">
        <f>Devis[[#This Row],[Prix de Revient]]*Devis[[#This Row],[Poste 1]]</f>
        <v>0</v>
      </c>
      <c r="W1284" s="74">
        <f>Devis[[#This Row],[Prix de Revient]]*Devis[[#This Row],[Poste 2]]</f>
        <v>0</v>
      </c>
      <c r="X1284" s="74">
        <f>Devis[[#This Row],[Prix de Revient]]*Devis[[#This Row],[Poste 3]]</f>
        <v>0</v>
      </c>
      <c r="Y1284" s="74">
        <f>Devis[[#This Row],[Poste 4]]*Devis[[#This Row],[Prix de Revient]]</f>
        <v>0</v>
      </c>
      <c r="Z1284" s="74">
        <f>Devis[[#This Row],[Poste 5]]*Devis[[#This Row],[Prix de Revient]]</f>
        <v>0</v>
      </c>
      <c r="AA1284" s="74">
        <f>Devis[[#This Row],[Prix de Revient]]*Devis[[#This Row],[Poste 6]]</f>
        <v>0</v>
      </c>
      <c r="AB1284" s="74">
        <f>Devis[[#This Row],[Quantité Totale]]*Devis[[#This Row],[Prix de Revient]]</f>
        <v>0</v>
      </c>
    </row>
    <row r="1285" spans="1:28" ht="14.25" outlineLevel="1" x14ac:dyDescent="0.2">
      <c r="A1285" s="75" t="s">
        <v>3557</v>
      </c>
      <c r="B1285" s="76" t="s">
        <v>977</v>
      </c>
      <c r="C1285" s="76"/>
      <c r="D1285" s="81" t="str">
        <f t="shared" si="23"/>
        <v>GalvaCourbe ff 45° 41</v>
      </c>
      <c r="E1285" s="76" t="s">
        <v>21</v>
      </c>
      <c r="F1285" s="81">
        <v>2</v>
      </c>
      <c r="G1285" s="86" t="s">
        <v>980</v>
      </c>
      <c r="H1285" s="71"/>
      <c r="I1285" s="75"/>
      <c r="J1285" s="70">
        <f>IFERROR(VLOOKUP(Devis[[#This Row],[Ref Air Flux]],#REF!,3,FALSE),0)</f>
        <v>0</v>
      </c>
      <c r="K1285" s="68"/>
      <c r="L1285" s="68"/>
      <c r="M1285" s="68"/>
      <c r="N1285" s="68"/>
      <c r="O1285" s="68"/>
      <c r="P1285" s="68"/>
      <c r="Q1285" s="68">
        <f>SUM(Devis[[#This Row],[Poste 1]:[Poste 6]])</f>
        <v>0</v>
      </c>
      <c r="R1285" s="71"/>
      <c r="S1285" s="68">
        <f>_xlfn.CEILING.MATH(Devis[[#This Row],[Quantité Totale]],Devis[[#This Row],[Conditionnement]])</f>
        <v>0</v>
      </c>
      <c r="T1285" s="72"/>
      <c r="U1285" s="106"/>
      <c r="V1285" s="74">
        <f>Devis[[#This Row],[Prix de Revient]]*Devis[[#This Row],[Poste 1]]</f>
        <v>0</v>
      </c>
      <c r="W1285" s="74">
        <f>Devis[[#This Row],[Prix de Revient]]*Devis[[#This Row],[Poste 2]]</f>
        <v>0</v>
      </c>
      <c r="X1285" s="74">
        <f>Devis[[#This Row],[Prix de Revient]]*Devis[[#This Row],[Poste 3]]</f>
        <v>0</v>
      </c>
      <c r="Y1285" s="74">
        <f>Devis[[#This Row],[Poste 4]]*Devis[[#This Row],[Prix de Revient]]</f>
        <v>0</v>
      </c>
      <c r="Z1285" s="74">
        <f>Devis[[#This Row],[Poste 5]]*Devis[[#This Row],[Prix de Revient]]</f>
        <v>0</v>
      </c>
      <c r="AA1285" s="74">
        <f>Devis[[#This Row],[Prix de Revient]]*Devis[[#This Row],[Poste 6]]</f>
        <v>0</v>
      </c>
      <c r="AB1285" s="74">
        <f>Devis[[#This Row],[Quantité Totale]]*Devis[[#This Row],[Prix de Revient]]</f>
        <v>0</v>
      </c>
    </row>
    <row r="1286" spans="1:28" ht="15" customHeight="1" outlineLevel="1" x14ac:dyDescent="0.2">
      <c r="A1286" s="75" t="s">
        <v>3557</v>
      </c>
      <c r="B1286" s="76" t="s">
        <v>977</v>
      </c>
      <c r="C1286" s="76"/>
      <c r="D1286" s="81" t="str">
        <f t="shared" si="23"/>
        <v>GalvaCourbe ff 45° 41</v>
      </c>
      <c r="E1286" s="76" t="s">
        <v>20</v>
      </c>
      <c r="F1286" s="81">
        <v>3</v>
      </c>
      <c r="G1286" s="86" t="s">
        <v>981</v>
      </c>
      <c r="H1286" s="71"/>
      <c r="I1286" s="75"/>
      <c r="J1286" s="70">
        <f>IFERROR(VLOOKUP(Devis[[#This Row],[Ref Air Flux]],#REF!,3,FALSE),0)</f>
        <v>0</v>
      </c>
      <c r="K1286" s="68"/>
      <c r="L1286" s="68"/>
      <c r="M1286" s="68"/>
      <c r="N1286" s="68"/>
      <c r="O1286" s="68"/>
      <c r="P1286" s="68"/>
      <c r="Q1286" s="68">
        <f>SUM(Devis[[#This Row],[Poste 1]:[Poste 6]])</f>
        <v>0</v>
      </c>
      <c r="R1286" s="71"/>
      <c r="S1286" s="68">
        <f>_xlfn.CEILING.MATH(Devis[[#This Row],[Quantité Totale]],Devis[[#This Row],[Conditionnement]])</f>
        <v>0</v>
      </c>
      <c r="T1286" s="72"/>
      <c r="U1286" s="106"/>
      <c r="V1286" s="74">
        <f>Devis[[#This Row],[Prix de Revient]]*Devis[[#This Row],[Poste 1]]</f>
        <v>0</v>
      </c>
      <c r="W1286" s="74">
        <f>Devis[[#This Row],[Prix de Revient]]*Devis[[#This Row],[Poste 2]]</f>
        <v>0</v>
      </c>
      <c r="X1286" s="74">
        <f>Devis[[#This Row],[Prix de Revient]]*Devis[[#This Row],[Poste 3]]</f>
        <v>0</v>
      </c>
      <c r="Y1286" s="74">
        <f>Devis[[#This Row],[Poste 4]]*Devis[[#This Row],[Prix de Revient]]</f>
        <v>0</v>
      </c>
      <c r="Z1286" s="74">
        <f>Devis[[#This Row],[Poste 5]]*Devis[[#This Row],[Prix de Revient]]</f>
        <v>0</v>
      </c>
      <c r="AA1286" s="74">
        <f>Devis[[#This Row],[Prix de Revient]]*Devis[[#This Row],[Poste 6]]</f>
        <v>0</v>
      </c>
      <c r="AB1286" s="74">
        <f>Devis[[#This Row],[Quantité Totale]]*Devis[[#This Row],[Prix de Revient]]</f>
        <v>0</v>
      </c>
    </row>
    <row r="1287" spans="1:28" ht="14.25" outlineLevel="1" x14ac:dyDescent="0.2">
      <c r="A1287" s="75" t="s">
        <v>3557</v>
      </c>
      <c r="B1287" s="76" t="s">
        <v>977</v>
      </c>
      <c r="C1287" s="76"/>
      <c r="D1287" s="81" t="str">
        <f t="shared" si="23"/>
        <v>GalvaCourbe ff 45° 41</v>
      </c>
      <c r="E1287" s="80" t="s">
        <v>17</v>
      </c>
      <c r="F1287" s="81">
        <v>4</v>
      </c>
      <c r="G1287" s="86" t="s">
        <v>984</v>
      </c>
      <c r="H1287" s="71"/>
      <c r="I1287" s="105"/>
      <c r="J1287" s="70">
        <f>IFERROR(VLOOKUP(Devis[[#This Row],[Ref Air Flux]],#REF!,3,FALSE),0)</f>
        <v>0</v>
      </c>
      <c r="K1287" s="68"/>
      <c r="L1287" s="68"/>
      <c r="M1287" s="68"/>
      <c r="N1287" s="68"/>
      <c r="O1287" s="68"/>
      <c r="P1287" s="68"/>
      <c r="Q1287" s="68">
        <f>SUM(Devis[[#This Row],[Poste 1]:[Poste 6]])</f>
        <v>0</v>
      </c>
      <c r="R1287" s="71"/>
      <c r="S1287" s="68">
        <f>_xlfn.CEILING.MATH(Devis[[#This Row],[Quantité Totale]],Devis[[#This Row],[Conditionnement]])</f>
        <v>0</v>
      </c>
      <c r="T1287" s="72"/>
      <c r="U1287" s="106"/>
      <c r="V1287" s="74">
        <f>Devis[[#This Row],[Prix de Revient]]*Devis[[#This Row],[Poste 1]]</f>
        <v>0</v>
      </c>
      <c r="W1287" s="74">
        <f>Devis[[#This Row],[Prix de Revient]]*Devis[[#This Row],[Poste 2]]</f>
        <v>0</v>
      </c>
      <c r="X1287" s="74">
        <f>Devis[[#This Row],[Prix de Revient]]*Devis[[#This Row],[Poste 3]]</f>
        <v>0</v>
      </c>
      <c r="Y1287" s="74">
        <f>Devis[[#This Row],[Poste 4]]*Devis[[#This Row],[Prix de Revient]]</f>
        <v>0</v>
      </c>
      <c r="Z1287" s="74">
        <f>Devis[[#This Row],[Poste 5]]*Devis[[#This Row],[Prix de Revient]]</f>
        <v>0</v>
      </c>
      <c r="AA1287" s="74">
        <f>Devis[[#This Row],[Prix de Revient]]*Devis[[#This Row],[Poste 6]]</f>
        <v>0</v>
      </c>
      <c r="AB1287" s="74">
        <f>Devis[[#This Row],[Quantité Totale]]*Devis[[#This Row],[Prix de Revient]]</f>
        <v>0</v>
      </c>
    </row>
    <row r="1288" spans="1:28" ht="14.25" outlineLevel="1" x14ac:dyDescent="0.2">
      <c r="A1288" s="75" t="s">
        <v>3557</v>
      </c>
      <c r="B1288" s="76" t="s">
        <v>977</v>
      </c>
      <c r="C1288" s="76"/>
      <c r="D1288" s="81" t="str">
        <f t="shared" si="23"/>
        <v>GalvaCourbe ff 45° 41</v>
      </c>
      <c r="E1288" s="80" t="s">
        <v>46</v>
      </c>
      <c r="F1288" s="81">
        <v>5</v>
      </c>
      <c r="G1288" s="86" t="s">
        <v>986</v>
      </c>
      <c r="H1288" s="71"/>
      <c r="I1288" s="105"/>
      <c r="J1288" s="70">
        <f>IFERROR(VLOOKUP(Devis[[#This Row],[Ref Air Flux]],#REF!,3,FALSE),0)</f>
        <v>0</v>
      </c>
      <c r="K1288" s="68"/>
      <c r="L1288" s="68"/>
      <c r="M1288" s="68"/>
      <c r="N1288" s="68"/>
      <c r="O1288" s="68"/>
      <c r="P1288" s="68"/>
      <c r="Q1288" s="68">
        <f>SUM(Devis[[#This Row],[Poste 1]:[Poste 6]])</f>
        <v>0</v>
      </c>
      <c r="R1288" s="71"/>
      <c r="S1288" s="68">
        <f>_xlfn.CEILING.MATH(Devis[[#This Row],[Quantité Totale]],Devis[[#This Row],[Conditionnement]])</f>
        <v>0</v>
      </c>
      <c r="T1288" s="72"/>
      <c r="U1288" s="106"/>
      <c r="V1288" s="74">
        <f>Devis[[#This Row],[Prix de Revient]]*Devis[[#This Row],[Poste 1]]</f>
        <v>0</v>
      </c>
      <c r="W1288" s="74">
        <f>Devis[[#This Row],[Prix de Revient]]*Devis[[#This Row],[Poste 2]]</f>
        <v>0</v>
      </c>
      <c r="X1288" s="74">
        <f>Devis[[#This Row],[Prix de Revient]]*Devis[[#This Row],[Poste 3]]</f>
        <v>0</v>
      </c>
      <c r="Y1288" s="74">
        <f>Devis[[#This Row],[Poste 4]]*Devis[[#This Row],[Prix de Revient]]</f>
        <v>0</v>
      </c>
      <c r="Z1288" s="74">
        <f>Devis[[#This Row],[Poste 5]]*Devis[[#This Row],[Prix de Revient]]</f>
        <v>0</v>
      </c>
      <c r="AA1288" s="74">
        <f>Devis[[#This Row],[Prix de Revient]]*Devis[[#This Row],[Poste 6]]</f>
        <v>0</v>
      </c>
      <c r="AB1288" s="74">
        <f>Devis[[#This Row],[Quantité Totale]]*Devis[[#This Row],[Prix de Revient]]</f>
        <v>0</v>
      </c>
    </row>
    <row r="1289" spans="1:28" ht="14.25" outlineLevel="1" x14ac:dyDescent="0.2">
      <c r="A1289" s="75" t="s">
        <v>3557</v>
      </c>
      <c r="B1289" s="76" t="s">
        <v>977</v>
      </c>
      <c r="C1289" s="76"/>
      <c r="D1289" s="81" t="str">
        <f t="shared" si="23"/>
        <v>GalvaCourbe ff 45° 41</v>
      </c>
      <c r="E1289" s="76" t="s">
        <v>0</v>
      </c>
      <c r="F1289" s="81">
        <v>6</v>
      </c>
      <c r="G1289" s="86" t="s">
        <v>979</v>
      </c>
      <c r="H1289" s="71"/>
      <c r="I1289" s="75"/>
      <c r="J1289" s="70">
        <f>IFERROR(VLOOKUP(Devis[[#This Row],[Ref Air Flux]],#REF!,3,FALSE),0)</f>
        <v>0</v>
      </c>
      <c r="K1289" s="68"/>
      <c r="L1289" s="68"/>
      <c r="M1289" s="68"/>
      <c r="N1289" s="68"/>
      <c r="O1289" s="68"/>
      <c r="P1289" s="68"/>
      <c r="Q1289" s="68">
        <f>SUM(Devis[[#This Row],[Poste 1]:[Poste 6]])</f>
        <v>0</v>
      </c>
      <c r="R1289" s="71"/>
      <c r="S1289" s="68">
        <f>_xlfn.CEILING.MATH(Devis[[#This Row],[Quantité Totale]],Devis[[#This Row],[Conditionnement]])</f>
        <v>0</v>
      </c>
      <c r="T1289" s="72"/>
      <c r="U1289" s="106"/>
      <c r="V1289" s="74">
        <f>Devis[[#This Row],[Prix de Revient]]*Devis[[#This Row],[Poste 1]]</f>
        <v>0</v>
      </c>
      <c r="W1289" s="74">
        <f>Devis[[#This Row],[Prix de Revient]]*Devis[[#This Row],[Poste 2]]</f>
        <v>0</v>
      </c>
      <c r="X1289" s="74">
        <f>Devis[[#This Row],[Prix de Revient]]*Devis[[#This Row],[Poste 3]]</f>
        <v>0</v>
      </c>
      <c r="Y1289" s="74">
        <f>Devis[[#This Row],[Poste 4]]*Devis[[#This Row],[Prix de Revient]]</f>
        <v>0</v>
      </c>
      <c r="Z1289" s="74">
        <f>Devis[[#This Row],[Poste 5]]*Devis[[#This Row],[Prix de Revient]]</f>
        <v>0</v>
      </c>
      <c r="AA1289" s="74">
        <f>Devis[[#This Row],[Prix de Revient]]*Devis[[#This Row],[Poste 6]]</f>
        <v>0</v>
      </c>
      <c r="AB1289" s="74">
        <f>Devis[[#This Row],[Quantité Totale]]*Devis[[#This Row],[Prix de Revient]]</f>
        <v>0</v>
      </c>
    </row>
    <row r="1290" spans="1:28" ht="15" customHeight="1" outlineLevel="1" x14ac:dyDescent="0.2">
      <c r="A1290" s="75" t="s">
        <v>3557</v>
      </c>
      <c r="B1290" s="76" t="s">
        <v>977</v>
      </c>
      <c r="C1290" s="76"/>
      <c r="D1290" s="81" t="str">
        <f t="shared" si="23"/>
        <v>GalvaCourbe ff 45° 41</v>
      </c>
      <c r="E1290" s="76" t="s">
        <v>49</v>
      </c>
      <c r="F1290" s="81">
        <v>7</v>
      </c>
      <c r="G1290" s="86" t="s">
        <v>978</v>
      </c>
      <c r="H1290" s="71"/>
      <c r="I1290" s="75"/>
      <c r="J1290" s="70">
        <f>IFERROR(VLOOKUP(Devis[[#This Row],[Ref Air Flux]],#REF!,3,FALSE),0)</f>
        <v>0</v>
      </c>
      <c r="K1290" s="68"/>
      <c r="L1290" s="68"/>
      <c r="M1290" s="68"/>
      <c r="N1290" s="68"/>
      <c r="O1290" s="68"/>
      <c r="P1290" s="68"/>
      <c r="Q1290" s="68">
        <f>SUM(Devis[[#This Row],[Poste 1]:[Poste 6]])</f>
        <v>0</v>
      </c>
      <c r="R1290" s="71"/>
      <c r="S1290" s="68">
        <f>_xlfn.CEILING.MATH(Devis[[#This Row],[Quantité Totale]],Devis[[#This Row],[Conditionnement]])</f>
        <v>0</v>
      </c>
      <c r="T1290" s="72"/>
      <c r="U1290" s="106"/>
      <c r="V1290" s="74">
        <f>Devis[[#This Row],[Prix de Revient]]*Devis[[#This Row],[Poste 1]]</f>
        <v>0</v>
      </c>
      <c r="W1290" s="74">
        <f>Devis[[#This Row],[Prix de Revient]]*Devis[[#This Row],[Poste 2]]</f>
        <v>0</v>
      </c>
      <c r="X1290" s="74">
        <f>Devis[[#This Row],[Prix de Revient]]*Devis[[#This Row],[Poste 3]]</f>
        <v>0</v>
      </c>
      <c r="Y1290" s="74">
        <f>Devis[[#This Row],[Poste 4]]*Devis[[#This Row],[Prix de Revient]]</f>
        <v>0</v>
      </c>
      <c r="Z1290" s="74">
        <f>Devis[[#This Row],[Poste 5]]*Devis[[#This Row],[Prix de Revient]]</f>
        <v>0</v>
      </c>
      <c r="AA1290" s="74">
        <f>Devis[[#This Row],[Prix de Revient]]*Devis[[#This Row],[Poste 6]]</f>
        <v>0</v>
      </c>
      <c r="AB1290" s="74">
        <f>Devis[[#This Row],[Quantité Totale]]*Devis[[#This Row],[Prix de Revient]]</f>
        <v>0</v>
      </c>
    </row>
    <row r="1291" spans="1:28" ht="14.25" customHeight="1" outlineLevel="1" x14ac:dyDescent="0.2">
      <c r="A1291" s="75" t="s">
        <v>3557</v>
      </c>
      <c r="B1291" s="76" t="s">
        <v>977</v>
      </c>
      <c r="C1291" s="76"/>
      <c r="D1291" s="81" t="str">
        <f t="shared" si="23"/>
        <v>GalvaCourbe ff 45° 41</v>
      </c>
      <c r="E1291" s="80" t="s">
        <v>18</v>
      </c>
      <c r="F1291" s="81">
        <v>8</v>
      </c>
      <c r="G1291" s="86" t="s">
        <v>983</v>
      </c>
      <c r="H1291" s="71"/>
      <c r="I1291" s="105"/>
      <c r="J1291" s="70">
        <f>IFERROR(VLOOKUP(Devis[[#This Row],[Ref Air Flux]],#REF!,3,FALSE),0)</f>
        <v>0</v>
      </c>
      <c r="K1291" s="68"/>
      <c r="L1291" s="68"/>
      <c r="M1291" s="68"/>
      <c r="N1291" s="68"/>
      <c r="O1291" s="68"/>
      <c r="P1291" s="68"/>
      <c r="Q1291" s="68">
        <f>SUM(Devis[[#This Row],[Poste 1]:[Poste 6]])</f>
        <v>0</v>
      </c>
      <c r="R1291" s="71"/>
      <c r="S1291" s="68">
        <f>_xlfn.CEILING.MATH(Devis[[#This Row],[Quantité Totale]],Devis[[#This Row],[Conditionnement]])</f>
        <v>0</v>
      </c>
      <c r="T1291" s="72"/>
      <c r="U1291" s="106"/>
      <c r="V1291" s="74">
        <f>Devis[[#This Row],[Prix de Revient]]*Devis[[#This Row],[Poste 1]]</f>
        <v>0</v>
      </c>
      <c r="W1291" s="74">
        <f>Devis[[#This Row],[Prix de Revient]]*Devis[[#This Row],[Poste 2]]</f>
        <v>0</v>
      </c>
      <c r="X1291" s="74">
        <f>Devis[[#This Row],[Prix de Revient]]*Devis[[#This Row],[Poste 3]]</f>
        <v>0</v>
      </c>
      <c r="Y1291" s="74">
        <f>Devis[[#This Row],[Poste 4]]*Devis[[#This Row],[Prix de Revient]]</f>
        <v>0</v>
      </c>
      <c r="Z1291" s="74">
        <f>Devis[[#This Row],[Poste 5]]*Devis[[#This Row],[Prix de Revient]]</f>
        <v>0</v>
      </c>
      <c r="AA1291" s="74">
        <f>Devis[[#This Row],[Prix de Revient]]*Devis[[#This Row],[Poste 6]]</f>
        <v>0</v>
      </c>
      <c r="AB1291" s="74">
        <f>Devis[[#This Row],[Quantité Totale]]*Devis[[#This Row],[Prix de Revient]]</f>
        <v>0</v>
      </c>
    </row>
    <row r="1292" spans="1:28" ht="14.25" outlineLevel="1" x14ac:dyDescent="0.2">
      <c r="A1292" s="75" t="s">
        <v>3557</v>
      </c>
      <c r="B1292" s="76" t="s">
        <v>977</v>
      </c>
      <c r="C1292" s="76"/>
      <c r="D1292" s="81" t="str">
        <f t="shared" si="23"/>
        <v>GalvaCourbe ff 45° 41</v>
      </c>
      <c r="E1292" s="80" t="s">
        <v>16</v>
      </c>
      <c r="F1292" s="81">
        <v>9</v>
      </c>
      <c r="G1292" s="86" t="s">
        <v>985</v>
      </c>
      <c r="H1292" s="71"/>
      <c r="I1292" s="105"/>
      <c r="J1292" s="70">
        <f>IFERROR(VLOOKUP(Devis[[#This Row],[Ref Air Flux]],#REF!,3,FALSE),0)</f>
        <v>0</v>
      </c>
      <c r="K1292" s="68"/>
      <c r="L1292" s="68"/>
      <c r="M1292" s="68"/>
      <c r="N1292" s="68"/>
      <c r="O1292" s="68"/>
      <c r="P1292" s="68"/>
      <c r="Q1292" s="68">
        <f>SUM(Devis[[#This Row],[Poste 1]:[Poste 6]])</f>
        <v>0</v>
      </c>
      <c r="R1292" s="71"/>
      <c r="S1292" s="68">
        <f>_xlfn.CEILING.MATH(Devis[[#This Row],[Quantité Totale]],Devis[[#This Row],[Conditionnement]])</f>
        <v>0</v>
      </c>
      <c r="T1292" s="72"/>
      <c r="U1292" s="106"/>
      <c r="V1292" s="74">
        <f>Devis[[#This Row],[Prix de Revient]]*Devis[[#This Row],[Poste 1]]</f>
        <v>0</v>
      </c>
      <c r="W1292" s="74">
        <f>Devis[[#This Row],[Prix de Revient]]*Devis[[#This Row],[Poste 2]]</f>
        <v>0</v>
      </c>
      <c r="X1292" s="74">
        <f>Devis[[#This Row],[Prix de Revient]]*Devis[[#This Row],[Poste 3]]</f>
        <v>0</v>
      </c>
      <c r="Y1292" s="74">
        <f>Devis[[#This Row],[Poste 4]]*Devis[[#This Row],[Prix de Revient]]</f>
        <v>0</v>
      </c>
      <c r="Z1292" s="74">
        <f>Devis[[#This Row],[Poste 5]]*Devis[[#This Row],[Prix de Revient]]</f>
        <v>0</v>
      </c>
      <c r="AA1292" s="74">
        <f>Devis[[#This Row],[Prix de Revient]]*Devis[[#This Row],[Poste 6]]</f>
        <v>0</v>
      </c>
      <c r="AB1292" s="74">
        <f>Devis[[#This Row],[Quantité Totale]]*Devis[[#This Row],[Prix de Revient]]</f>
        <v>0</v>
      </c>
    </row>
    <row r="1293" spans="1:28" ht="14.25" customHeight="1" x14ac:dyDescent="0.25">
      <c r="A1293" s="65" t="s">
        <v>3557</v>
      </c>
      <c r="B1293" s="65" t="s">
        <v>987</v>
      </c>
      <c r="C1293" s="76"/>
      <c r="D1293" s="81" t="str">
        <f t="shared" si="23"/>
        <v>GalvaCourbe mm 3</v>
      </c>
      <c r="E1293" s="76"/>
      <c r="F1293" s="81">
        <v>0</v>
      </c>
      <c r="G1293" s="86"/>
      <c r="H1293" s="71"/>
      <c r="I1293" s="75"/>
      <c r="J1293" s="70">
        <f>IFERROR(VLOOKUP(Devis[[#This Row],[Ref Air Flux]],#REF!,3,FALSE),0)</f>
        <v>0</v>
      </c>
      <c r="K1293" s="68"/>
      <c r="L1293" s="68"/>
      <c r="M1293" s="68"/>
      <c r="N1293" s="68"/>
      <c r="O1293" s="68"/>
      <c r="P1293" s="68"/>
      <c r="Q1293" s="68">
        <f>SUM(Devis[[#This Row],[Poste 1]:[Poste 6]])</f>
        <v>0</v>
      </c>
      <c r="R1293" s="71"/>
      <c r="S1293" s="68">
        <f>_xlfn.CEILING.MATH(Devis[[#This Row],[Quantité Totale]],Devis[[#This Row],[Conditionnement]])</f>
        <v>0</v>
      </c>
      <c r="T1293" s="72"/>
      <c r="U1293" s="106"/>
      <c r="V1293" s="74">
        <f>Devis[[#This Row],[Prix de Revient]]*Devis[[#This Row],[Poste 1]]</f>
        <v>0</v>
      </c>
      <c r="W1293" s="74">
        <f>Devis[[#This Row],[Prix de Revient]]*Devis[[#This Row],[Poste 2]]</f>
        <v>0</v>
      </c>
      <c r="X1293" s="74">
        <f>Devis[[#This Row],[Prix de Revient]]*Devis[[#This Row],[Poste 3]]</f>
        <v>0</v>
      </c>
      <c r="Y1293" s="74">
        <f>Devis[[#This Row],[Poste 4]]*Devis[[#This Row],[Prix de Revient]]</f>
        <v>0</v>
      </c>
      <c r="Z1293" s="74">
        <f>Devis[[#This Row],[Poste 5]]*Devis[[#This Row],[Prix de Revient]]</f>
        <v>0</v>
      </c>
      <c r="AA1293" s="74">
        <f>Devis[[#This Row],[Prix de Revient]]*Devis[[#This Row],[Poste 6]]</f>
        <v>0</v>
      </c>
      <c r="AB1293" s="74">
        <f>Devis[[#This Row],[Quantité Totale]]*Devis[[#This Row],[Prix de Revient]]</f>
        <v>0</v>
      </c>
    </row>
    <row r="1294" spans="1:28" ht="15" customHeight="1" outlineLevel="1" x14ac:dyDescent="0.2">
      <c r="A1294" s="75" t="s">
        <v>3557</v>
      </c>
      <c r="B1294" s="76" t="s">
        <v>987</v>
      </c>
      <c r="C1294" s="76"/>
      <c r="D1294" s="81" t="str">
        <f t="shared" si="23"/>
        <v>GalvaCourbe mm 3</v>
      </c>
      <c r="E1294" s="76" t="s">
        <v>19</v>
      </c>
      <c r="F1294" s="81">
        <v>1</v>
      </c>
      <c r="G1294" s="86" t="s">
        <v>959</v>
      </c>
      <c r="H1294" s="71"/>
      <c r="I1294" s="75"/>
      <c r="J1294" s="70">
        <f>IFERROR(VLOOKUP(Devis[[#This Row],[Ref Air Flux]],#REF!,3,FALSE),0)</f>
        <v>0</v>
      </c>
      <c r="K1294" s="68"/>
      <c r="L1294" s="68"/>
      <c r="M1294" s="68"/>
      <c r="N1294" s="68"/>
      <c r="O1294" s="68"/>
      <c r="P1294" s="68"/>
      <c r="Q1294" s="68">
        <f>SUM(Devis[[#This Row],[Poste 1]:[Poste 6]])</f>
        <v>0</v>
      </c>
      <c r="R1294" s="71"/>
      <c r="S1294" s="68">
        <f>_xlfn.CEILING.MATH(Devis[[#This Row],[Quantité Totale]],Devis[[#This Row],[Conditionnement]])</f>
        <v>0</v>
      </c>
      <c r="T1294" s="72"/>
      <c r="U1294" s="106"/>
      <c r="V1294" s="74">
        <f>Devis[[#This Row],[Prix de Revient]]*Devis[[#This Row],[Poste 1]]</f>
        <v>0</v>
      </c>
      <c r="W1294" s="74">
        <f>Devis[[#This Row],[Prix de Revient]]*Devis[[#This Row],[Poste 2]]</f>
        <v>0</v>
      </c>
      <c r="X1294" s="74">
        <f>Devis[[#This Row],[Prix de Revient]]*Devis[[#This Row],[Poste 3]]</f>
        <v>0</v>
      </c>
      <c r="Y1294" s="74">
        <f>Devis[[#This Row],[Poste 4]]*Devis[[#This Row],[Prix de Revient]]</f>
        <v>0</v>
      </c>
      <c r="Z1294" s="74">
        <f>Devis[[#This Row],[Poste 5]]*Devis[[#This Row],[Prix de Revient]]</f>
        <v>0</v>
      </c>
      <c r="AA1294" s="74">
        <f>Devis[[#This Row],[Prix de Revient]]*Devis[[#This Row],[Poste 6]]</f>
        <v>0</v>
      </c>
      <c r="AB1294" s="74">
        <f>Devis[[#This Row],[Quantité Totale]]*Devis[[#This Row],[Prix de Revient]]</f>
        <v>0</v>
      </c>
    </row>
    <row r="1295" spans="1:28" ht="14.25" outlineLevel="1" x14ac:dyDescent="0.2">
      <c r="A1295" s="75" t="s">
        <v>3557</v>
      </c>
      <c r="B1295" s="76" t="s">
        <v>987</v>
      </c>
      <c r="C1295" s="76"/>
      <c r="D1295" s="81" t="str">
        <f t="shared" si="23"/>
        <v>GalvaCourbe mm 3</v>
      </c>
      <c r="E1295" s="76" t="s">
        <v>21</v>
      </c>
      <c r="F1295" s="81">
        <v>2</v>
      </c>
      <c r="G1295" s="86" t="s">
        <v>958</v>
      </c>
      <c r="H1295" s="71"/>
      <c r="I1295" s="75"/>
      <c r="J1295" s="70">
        <f>IFERROR(VLOOKUP(Devis[[#This Row],[Ref Air Flux]],#REF!,3,FALSE),0)</f>
        <v>0</v>
      </c>
      <c r="K1295" s="68"/>
      <c r="L1295" s="68"/>
      <c r="M1295" s="68"/>
      <c r="N1295" s="68"/>
      <c r="O1295" s="68"/>
      <c r="P1295" s="68"/>
      <c r="Q1295" s="68">
        <f>SUM(Devis[[#This Row],[Poste 1]:[Poste 6]])</f>
        <v>0</v>
      </c>
      <c r="R1295" s="71"/>
      <c r="S1295" s="68">
        <f>_xlfn.CEILING.MATH(Devis[[#This Row],[Quantité Totale]],Devis[[#This Row],[Conditionnement]])</f>
        <v>0</v>
      </c>
      <c r="T1295" s="72"/>
      <c r="U1295" s="106"/>
      <c r="V1295" s="74">
        <f>Devis[[#This Row],[Prix de Revient]]*Devis[[#This Row],[Poste 1]]</f>
        <v>0</v>
      </c>
      <c r="W1295" s="74">
        <f>Devis[[#This Row],[Prix de Revient]]*Devis[[#This Row],[Poste 2]]</f>
        <v>0</v>
      </c>
      <c r="X1295" s="74">
        <f>Devis[[#This Row],[Prix de Revient]]*Devis[[#This Row],[Poste 3]]</f>
        <v>0</v>
      </c>
      <c r="Y1295" s="74">
        <f>Devis[[#This Row],[Poste 4]]*Devis[[#This Row],[Prix de Revient]]</f>
        <v>0</v>
      </c>
      <c r="Z1295" s="74">
        <f>Devis[[#This Row],[Poste 5]]*Devis[[#This Row],[Prix de Revient]]</f>
        <v>0</v>
      </c>
      <c r="AA1295" s="74">
        <f>Devis[[#This Row],[Prix de Revient]]*Devis[[#This Row],[Poste 6]]</f>
        <v>0</v>
      </c>
      <c r="AB1295" s="74">
        <f>Devis[[#This Row],[Quantité Totale]]*Devis[[#This Row],[Prix de Revient]]</f>
        <v>0</v>
      </c>
    </row>
    <row r="1296" spans="1:28" ht="14.25" outlineLevel="1" x14ac:dyDescent="0.2">
      <c r="A1296" s="75" t="s">
        <v>3557</v>
      </c>
      <c r="B1296" s="76" t="s">
        <v>987</v>
      </c>
      <c r="C1296" s="76"/>
      <c r="D1296" s="81" t="str">
        <f t="shared" si="23"/>
        <v>GalvaCourbe mm 3</v>
      </c>
      <c r="E1296" s="76" t="s">
        <v>20</v>
      </c>
      <c r="F1296" s="81">
        <v>3</v>
      </c>
      <c r="G1296" s="86" t="s">
        <v>989</v>
      </c>
      <c r="H1296" s="71"/>
      <c r="I1296" s="75"/>
      <c r="J1296" s="70">
        <f>IFERROR(VLOOKUP(Devis[[#This Row],[Ref Air Flux]],#REF!,3,FALSE),0)</f>
        <v>0</v>
      </c>
      <c r="K1296" s="68"/>
      <c r="L1296" s="68"/>
      <c r="M1296" s="68"/>
      <c r="N1296" s="68"/>
      <c r="O1296" s="68"/>
      <c r="P1296" s="68"/>
      <c r="Q1296" s="68">
        <f>SUM(Devis[[#This Row],[Poste 1]:[Poste 6]])</f>
        <v>0</v>
      </c>
      <c r="R1296" s="71"/>
      <c r="S1296" s="68">
        <f>_xlfn.CEILING.MATH(Devis[[#This Row],[Quantité Totale]],Devis[[#This Row],[Conditionnement]])</f>
        <v>0</v>
      </c>
      <c r="T1296" s="72"/>
      <c r="U1296" s="106"/>
      <c r="V1296" s="74">
        <f>Devis[[#This Row],[Prix de Revient]]*Devis[[#This Row],[Poste 1]]</f>
        <v>0</v>
      </c>
      <c r="W1296" s="74">
        <f>Devis[[#This Row],[Prix de Revient]]*Devis[[#This Row],[Poste 2]]</f>
        <v>0</v>
      </c>
      <c r="X1296" s="74">
        <f>Devis[[#This Row],[Prix de Revient]]*Devis[[#This Row],[Poste 3]]</f>
        <v>0</v>
      </c>
      <c r="Y1296" s="74">
        <f>Devis[[#This Row],[Poste 4]]*Devis[[#This Row],[Prix de Revient]]</f>
        <v>0</v>
      </c>
      <c r="Z1296" s="74">
        <f>Devis[[#This Row],[Poste 5]]*Devis[[#This Row],[Prix de Revient]]</f>
        <v>0</v>
      </c>
      <c r="AA1296" s="74">
        <f>Devis[[#This Row],[Prix de Revient]]*Devis[[#This Row],[Poste 6]]</f>
        <v>0</v>
      </c>
      <c r="AB1296" s="74">
        <f>Devis[[#This Row],[Quantité Totale]]*Devis[[#This Row],[Prix de Revient]]</f>
        <v>0</v>
      </c>
    </row>
    <row r="1297" spans="1:28" ht="15" customHeight="1" outlineLevel="1" x14ac:dyDescent="0.2">
      <c r="A1297" s="75" t="s">
        <v>3557</v>
      </c>
      <c r="B1297" s="76" t="s">
        <v>987</v>
      </c>
      <c r="C1297" s="76"/>
      <c r="D1297" s="81" t="str">
        <f t="shared" si="23"/>
        <v>GalvaCourbe mm 3</v>
      </c>
      <c r="E1297" s="80" t="s">
        <v>17</v>
      </c>
      <c r="F1297" s="81">
        <v>4</v>
      </c>
      <c r="G1297" s="86" t="s">
        <v>961</v>
      </c>
      <c r="H1297" s="71"/>
      <c r="I1297" s="105"/>
      <c r="J1297" s="70">
        <f>IFERROR(VLOOKUP(Devis[[#This Row],[Ref Air Flux]],#REF!,3,FALSE),0)</f>
        <v>0</v>
      </c>
      <c r="K1297" s="68"/>
      <c r="L1297" s="68"/>
      <c r="M1297" s="68"/>
      <c r="N1297" s="68"/>
      <c r="O1297" s="68"/>
      <c r="P1297" s="68"/>
      <c r="Q1297" s="68">
        <f>SUM(Devis[[#This Row],[Poste 1]:[Poste 6]])</f>
        <v>0</v>
      </c>
      <c r="R1297" s="71"/>
      <c r="S1297" s="68">
        <f>_xlfn.CEILING.MATH(Devis[[#This Row],[Quantité Totale]],Devis[[#This Row],[Conditionnement]])</f>
        <v>0</v>
      </c>
      <c r="T1297" s="72"/>
      <c r="U1297" s="106"/>
      <c r="V1297" s="74">
        <f>Devis[[#This Row],[Prix de Revient]]*Devis[[#This Row],[Poste 1]]</f>
        <v>0</v>
      </c>
      <c r="W1297" s="74">
        <f>Devis[[#This Row],[Prix de Revient]]*Devis[[#This Row],[Poste 2]]</f>
        <v>0</v>
      </c>
      <c r="X1297" s="74">
        <f>Devis[[#This Row],[Prix de Revient]]*Devis[[#This Row],[Poste 3]]</f>
        <v>0</v>
      </c>
      <c r="Y1297" s="74">
        <f>Devis[[#This Row],[Poste 4]]*Devis[[#This Row],[Prix de Revient]]</f>
        <v>0</v>
      </c>
      <c r="Z1297" s="74">
        <f>Devis[[#This Row],[Poste 5]]*Devis[[#This Row],[Prix de Revient]]</f>
        <v>0</v>
      </c>
      <c r="AA1297" s="74">
        <f>Devis[[#This Row],[Prix de Revient]]*Devis[[#This Row],[Poste 6]]</f>
        <v>0</v>
      </c>
      <c r="AB1297" s="74">
        <f>Devis[[#This Row],[Quantité Totale]]*Devis[[#This Row],[Prix de Revient]]</f>
        <v>0</v>
      </c>
    </row>
    <row r="1298" spans="1:28" ht="14.25" outlineLevel="1" x14ac:dyDescent="0.2">
      <c r="A1298" s="75" t="s">
        <v>3557</v>
      </c>
      <c r="B1298" s="76" t="s">
        <v>987</v>
      </c>
      <c r="C1298" s="76"/>
      <c r="D1298" s="81" t="str">
        <f t="shared" si="23"/>
        <v>GalvaCourbe mm 3</v>
      </c>
      <c r="E1298" s="80" t="s">
        <v>46</v>
      </c>
      <c r="F1298" s="81">
        <v>5</v>
      </c>
      <c r="G1298" s="86" t="s">
        <v>963</v>
      </c>
      <c r="H1298" s="71"/>
      <c r="I1298" s="105"/>
      <c r="J1298" s="70">
        <f>IFERROR(VLOOKUP(Devis[[#This Row],[Ref Air Flux]],#REF!,3,FALSE),0)</f>
        <v>0</v>
      </c>
      <c r="K1298" s="68"/>
      <c r="L1298" s="68"/>
      <c r="M1298" s="68"/>
      <c r="N1298" s="68"/>
      <c r="O1298" s="68"/>
      <c r="P1298" s="68"/>
      <c r="Q1298" s="68">
        <f>SUM(Devis[[#This Row],[Poste 1]:[Poste 6]])</f>
        <v>0</v>
      </c>
      <c r="R1298" s="71"/>
      <c r="S1298" s="68">
        <f>_xlfn.CEILING.MATH(Devis[[#This Row],[Quantité Totale]],Devis[[#This Row],[Conditionnement]])</f>
        <v>0</v>
      </c>
      <c r="T1298" s="72"/>
      <c r="U1298" s="106"/>
      <c r="V1298" s="74">
        <f>Devis[[#This Row],[Prix de Revient]]*Devis[[#This Row],[Poste 1]]</f>
        <v>0</v>
      </c>
      <c r="W1298" s="74">
        <f>Devis[[#This Row],[Prix de Revient]]*Devis[[#This Row],[Poste 2]]</f>
        <v>0</v>
      </c>
      <c r="X1298" s="74">
        <f>Devis[[#This Row],[Prix de Revient]]*Devis[[#This Row],[Poste 3]]</f>
        <v>0</v>
      </c>
      <c r="Y1298" s="74">
        <f>Devis[[#This Row],[Poste 4]]*Devis[[#This Row],[Prix de Revient]]</f>
        <v>0</v>
      </c>
      <c r="Z1298" s="74">
        <f>Devis[[#This Row],[Poste 5]]*Devis[[#This Row],[Prix de Revient]]</f>
        <v>0</v>
      </c>
      <c r="AA1298" s="74">
        <f>Devis[[#This Row],[Prix de Revient]]*Devis[[#This Row],[Poste 6]]</f>
        <v>0</v>
      </c>
      <c r="AB1298" s="74">
        <f>Devis[[#This Row],[Quantité Totale]]*Devis[[#This Row],[Prix de Revient]]</f>
        <v>0</v>
      </c>
    </row>
    <row r="1299" spans="1:28" ht="14.25" customHeight="1" outlineLevel="1" x14ac:dyDescent="0.2">
      <c r="A1299" s="75" t="s">
        <v>3557</v>
      </c>
      <c r="B1299" s="76" t="s">
        <v>987</v>
      </c>
      <c r="C1299" s="76"/>
      <c r="D1299" s="81" t="str">
        <f t="shared" ref="D1299:D1362" si="24">A1299&amp;B1299&amp;C1299</f>
        <v>GalvaCourbe mm 3</v>
      </c>
      <c r="E1299" s="80" t="s">
        <v>928</v>
      </c>
      <c r="F1299" s="81">
        <v>6</v>
      </c>
      <c r="G1299" s="86" t="s">
        <v>964</v>
      </c>
      <c r="H1299" s="71"/>
      <c r="I1299" s="75"/>
      <c r="J1299" s="70">
        <f>IFERROR(VLOOKUP(Devis[[#This Row],[Ref Air Flux]],#REF!,3,FALSE),0)</f>
        <v>0</v>
      </c>
      <c r="K1299" s="68"/>
      <c r="L1299" s="68"/>
      <c r="M1299" s="68"/>
      <c r="N1299" s="68"/>
      <c r="O1299" s="68"/>
      <c r="P1299" s="68"/>
      <c r="Q1299" s="68">
        <f>SUM(Devis[[#This Row],[Poste 1]:[Poste 6]])</f>
        <v>0</v>
      </c>
      <c r="R1299" s="71"/>
      <c r="S1299" s="68">
        <f>_xlfn.CEILING.MATH(Devis[[#This Row],[Quantité Totale]],Devis[[#This Row],[Conditionnement]])</f>
        <v>0</v>
      </c>
      <c r="T1299" s="72"/>
      <c r="U1299" s="106"/>
      <c r="V1299" s="74">
        <f>Devis[[#This Row],[Prix de Revient]]*Devis[[#This Row],[Poste 1]]</f>
        <v>0</v>
      </c>
      <c r="W1299" s="74">
        <f>Devis[[#This Row],[Prix de Revient]]*Devis[[#This Row],[Poste 2]]</f>
        <v>0</v>
      </c>
      <c r="X1299" s="74">
        <f>Devis[[#This Row],[Prix de Revient]]*Devis[[#This Row],[Poste 3]]</f>
        <v>0</v>
      </c>
      <c r="Y1299" s="74">
        <f>Devis[[#This Row],[Poste 4]]*Devis[[#This Row],[Prix de Revient]]</f>
        <v>0</v>
      </c>
      <c r="Z1299" s="74">
        <f>Devis[[#This Row],[Poste 5]]*Devis[[#This Row],[Prix de Revient]]</f>
        <v>0</v>
      </c>
      <c r="AA1299" s="74">
        <f>Devis[[#This Row],[Prix de Revient]]*Devis[[#This Row],[Poste 6]]</f>
        <v>0</v>
      </c>
      <c r="AB1299" s="74">
        <f>Devis[[#This Row],[Quantité Totale]]*Devis[[#This Row],[Prix de Revient]]</f>
        <v>0</v>
      </c>
    </row>
    <row r="1300" spans="1:28" ht="14.25" customHeight="1" outlineLevel="1" x14ac:dyDescent="0.2">
      <c r="A1300" s="75" t="s">
        <v>3557</v>
      </c>
      <c r="B1300" s="76" t="s">
        <v>987</v>
      </c>
      <c r="C1300" s="76"/>
      <c r="D1300" s="81" t="str">
        <f t="shared" si="24"/>
        <v>GalvaCourbe mm 3</v>
      </c>
      <c r="E1300" s="76" t="s">
        <v>0</v>
      </c>
      <c r="F1300" s="81">
        <v>7</v>
      </c>
      <c r="G1300" s="86" t="s">
        <v>957</v>
      </c>
      <c r="H1300" s="71"/>
      <c r="I1300" s="75"/>
      <c r="J1300" s="70">
        <f>IFERROR(VLOOKUP(Devis[[#This Row],[Ref Air Flux]],#REF!,3,FALSE),0)</f>
        <v>0</v>
      </c>
      <c r="K1300" s="68"/>
      <c r="L1300" s="68"/>
      <c r="M1300" s="68"/>
      <c r="N1300" s="68"/>
      <c r="O1300" s="68"/>
      <c r="P1300" s="68"/>
      <c r="Q1300" s="68">
        <f>SUM(Devis[[#This Row],[Poste 1]:[Poste 6]])</f>
        <v>0</v>
      </c>
      <c r="R1300" s="71"/>
      <c r="S1300" s="68">
        <f>_xlfn.CEILING.MATH(Devis[[#This Row],[Quantité Totale]],Devis[[#This Row],[Conditionnement]])</f>
        <v>0</v>
      </c>
      <c r="T1300" s="72"/>
      <c r="U1300" s="106"/>
      <c r="V1300" s="74">
        <f>Devis[[#This Row],[Prix de Revient]]*Devis[[#This Row],[Poste 1]]</f>
        <v>0</v>
      </c>
      <c r="W1300" s="74">
        <f>Devis[[#This Row],[Prix de Revient]]*Devis[[#This Row],[Poste 2]]</f>
        <v>0</v>
      </c>
      <c r="X1300" s="74">
        <f>Devis[[#This Row],[Prix de Revient]]*Devis[[#This Row],[Poste 3]]</f>
        <v>0</v>
      </c>
      <c r="Y1300" s="74">
        <f>Devis[[#This Row],[Poste 4]]*Devis[[#This Row],[Prix de Revient]]</f>
        <v>0</v>
      </c>
      <c r="Z1300" s="74">
        <f>Devis[[#This Row],[Poste 5]]*Devis[[#This Row],[Prix de Revient]]</f>
        <v>0</v>
      </c>
      <c r="AA1300" s="74">
        <f>Devis[[#This Row],[Prix de Revient]]*Devis[[#This Row],[Poste 6]]</f>
        <v>0</v>
      </c>
      <c r="AB1300" s="74">
        <f>Devis[[#This Row],[Quantité Totale]]*Devis[[#This Row],[Prix de Revient]]</f>
        <v>0</v>
      </c>
    </row>
    <row r="1301" spans="1:28" ht="14.25" outlineLevel="1" x14ac:dyDescent="0.2">
      <c r="A1301" s="75" t="s">
        <v>3557</v>
      </c>
      <c r="B1301" s="76" t="s">
        <v>987</v>
      </c>
      <c r="C1301" s="76"/>
      <c r="D1301" s="81" t="str">
        <f t="shared" si="24"/>
        <v>GalvaCourbe mm 3</v>
      </c>
      <c r="E1301" s="76" t="s">
        <v>49</v>
      </c>
      <c r="F1301" s="81">
        <v>8</v>
      </c>
      <c r="G1301" s="86" t="s">
        <v>956</v>
      </c>
      <c r="H1301" s="71"/>
      <c r="I1301" s="75"/>
      <c r="J1301" s="70">
        <f>IFERROR(VLOOKUP(Devis[[#This Row],[Ref Air Flux]],#REF!,3,FALSE),0)</f>
        <v>0</v>
      </c>
      <c r="K1301" s="68"/>
      <c r="L1301" s="68"/>
      <c r="M1301" s="68"/>
      <c r="N1301" s="68"/>
      <c r="O1301" s="68"/>
      <c r="P1301" s="68"/>
      <c r="Q1301" s="68">
        <f>SUM(Devis[[#This Row],[Poste 1]:[Poste 6]])</f>
        <v>0</v>
      </c>
      <c r="R1301" s="71"/>
      <c r="S1301" s="68">
        <f>_xlfn.CEILING.MATH(Devis[[#This Row],[Quantité Totale]],Devis[[#This Row],[Conditionnement]])</f>
        <v>0</v>
      </c>
      <c r="T1301" s="72"/>
      <c r="U1301" s="106"/>
      <c r="V1301" s="74">
        <f>Devis[[#This Row],[Prix de Revient]]*Devis[[#This Row],[Poste 1]]</f>
        <v>0</v>
      </c>
      <c r="W1301" s="74">
        <f>Devis[[#This Row],[Prix de Revient]]*Devis[[#This Row],[Poste 2]]</f>
        <v>0</v>
      </c>
      <c r="X1301" s="74">
        <f>Devis[[#This Row],[Prix de Revient]]*Devis[[#This Row],[Poste 3]]</f>
        <v>0</v>
      </c>
      <c r="Y1301" s="74">
        <f>Devis[[#This Row],[Poste 4]]*Devis[[#This Row],[Prix de Revient]]</f>
        <v>0</v>
      </c>
      <c r="Z1301" s="74">
        <f>Devis[[#This Row],[Poste 5]]*Devis[[#This Row],[Prix de Revient]]</f>
        <v>0</v>
      </c>
      <c r="AA1301" s="74">
        <f>Devis[[#This Row],[Prix de Revient]]*Devis[[#This Row],[Poste 6]]</f>
        <v>0</v>
      </c>
      <c r="AB1301" s="74">
        <f>Devis[[#This Row],[Quantité Totale]]*Devis[[#This Row],[Prix de Revient]]</f>
        <v>0</v>
      </c>
    </row>
    <row r="1302" spans="1:28" ht="14.25" outlineLevel="1" x14ac:dyDescent="0.2">
      <c r="A1302" s="75" t="s">
        <v>3557</v>
      </c>
      <c r="B1302" s="76" t="s">
        <v>987</v>
      </c>
      <c r="C1302" s="76"/>
      <c r="D1302" s="81" t="str">
        <f t="shared" si="24"/>
        <v>GalvaCourbe mm 3</v>
      </c>
      <c r="E1302" s="76" t="s">
        <v>821</v>
      </c>
      <c r="F1302" s="81">
        <v>9</v>
      </c>
      <c r="G1302" s="86" t="s">
        <v>955</v>
      </c>
      <c r="H1302" s="71"/>
      <c r="I1302" s="75"/>
      <c r="J1302" s="70">
        <f>IFERROR(VLOOKUP(Devis[[#This Row],[Ref Air Flux]],#REF!,3,FALSE),0)</f>
        <v>0</v>
      </c>
      <c r="K1302" s="68"/>
      <c r="L1302" s="68"/>
      <c r="M1302" s="68"/>
      <c r="N1302" s="68"/>
      <c r="O1302" s="68"/>
      <c r="P1302" s="68"/>
      <c r="Q1302" s="68">
        <f>SUM(Devis[[#This Row],[Poste 1]:[Poste 6]])</f>
        <v>0</v>
      </c>
      <c r="R1302" s="71"/>
      <c r="S1302" s="68">
        <f>_xlfn.CEILING.MATH(Devis[[#This Row],[Quantité Totale]],Devis[[#This Row],[Conditionnement]])</f>
        <v>0</v>
      </c>
      <c r="T1302" s="72"/>
      <c r="U1302" s="106"/>
      <c r="V1302" s="74">
        <f>Devis[[#This Row],[Prix de Revient]]*Devis[[#This Row],[Poste 1]]</f>
        <v>0</v>
      </c>
      <c r="W1302" s="74">
        <f>Devis[[#This Row],[Prix de Revient]]*Devis[[#This Row],[Poste 2]]</f>
        <v>0</v>
      </c>
      <c r="X1302" s="74">
        <f>Devis[[#This Row],[Prix de Revient]]*Devis[[#This Row],[Poste 3]]</f>
        <v>0</v>
      </c>
      <c r="Y1302" s="74">
        <f>Devis[[#This Row],[Poste 4]]*Devis[[#This Row],[Prix de Revient]]</f>
        <v>0</v>
      </c>
      <c r="Z1302" s="74">
        <f>Devis[[#This Row],[Poste 5]]*Devis[[#This Row],[Prix de Revient]]</f>
        <v>0</v>
      </c>
      <c r="AA1302" s="74">
        <f>Devis[[#This Row],[Prix de Revient]]*Devis[[#This Row],[Poste 6]]</f>
        <v>0</v>
      </c>
      <c r="AB1302" s="74">
        <f>Devis[[#This Row],[Quantité Totale]]*Devis[[#This Row],[Prix de Revient]]</f>
        <v>0</v>
      </c>
    </row>
    <row r="1303" spans="1:28" ht="14.25" outlineLevel="1" x14ac:dyDescent="0.2">
      <c r="A1303" s="75" t="s">
        <v>3557</v>
      </c>
      <c r="B1303" s="76" t="s">
        <v>987</v>
      </c>
      <c r="C1303" s="76"/>
      <c r="D1303" s="81" t="str">
        <f t="shared" si="24"/>
        <v>GalvaCourbe mm 3</v>
      </c>
      <c r="E1303" s="80" t="s">
        <v>18</v>
      </c>
      <c r="F1303" s="81">
        <v>10</v>
      </c>
      <c r="G1303" s="86" t="s">
        <v>960</v>
      </c>
      <c r="H1303" s="71"/>
      <c r="I1303" s="105"/>
      <c r="J1303" s="70">
        <f>IFERROR(VLOOKUP(Devis[[#This Row],[Ref Air Flux]],#REF!,3,FALSE),0)</f>
        <v>0</v>
      </c>
      <c r="K1303" s="68"/>
      <c r="L1303" s="68"/>
      <c r="M1303" s="68"/>
      <c r="N1303" s="68"/>
      <c r="O1303" s="68"/>
      <c r="P1303" s="68"/>
      <c r="Q1303" s="68">
        <f>SUM(Devis[[#This Row],[Poste 1]:[Poste 6]])</f>
        <v>0</v>
      </c>
      <c r="R1303" s="71"/>
      <c r="S1303" s="68">
        <f>_xlfn.CEILING.MATH(Devis[[#This Row],[Quantité Totale]],Devis[[#This Row],[Conditionnement]])</f>
        <v>0</v>
      </c>
      <c r="T1303" s="72"/>
      <c r="U1303" s="106"/>
      <c r="V1303" s="74">
        <f>Devis[[#This Row],[Prix de Revient]]*Devis[[#This Row],[Poste 1]]</f>
        <v>0</v>
      </c>
      <c r="W1303" s="74">
        <f>Devis[[#This Row],[Prix de Revient]]*Devis[[#This Row],[Poste 2]]</f>
        <v>0</v>
      </c>
      <c r="X1303" s="74">
        <f>Devis[[#This Row],[Prix de Revient]]*Devis[[#This Row],[Poste 3]]</f>
        <v>0</v>
      </c>
      <c r="Y1303" s="74">
        <f>Devis[[#This Row],[Poste 4]]*Devis[[#This Row],[Prix de Revient]]</f>
        <v>0</v>
      </c>
      <c r="Z1303" s="74">
        <f>Devis[[#This Row],[Poste 5]]*Devis[[#This Row],[Prix de Revient]]</f>
        <v>0</v>
      </c>
      <c r="AA1303" s="74">
        <f>Devis[[#This Row],[Prix de Revient]]*Devis[[#This Row],[Poste 6]]</f>
        <v>0</v>
      </c>
      <c r="AB1303" s="74">
        <f>Devis[[#This Row],[Quantité Totale]]*Devis[[#This Row],[Prix de Revient]]</f>
        <v>0</v>
      </c>
    </row>
    <row r="1304" spans="1:28" ht="14.25" outlineLevel="1" x14ac:dyDescent="0.2">
      <c r="A1304" s="75" t="s">
        <v>3557</v>
      </c>
      <c r="B1304" s="76" t="s">
        <v>987</v>
      </c>
      <c r="C1304" s="76"/>
      <c r="D1304" s="81" t="str">
        <f t="shared" si="24"/>
        <v>GalvaCourbe mm 3</v>
      </c>
      <c r="E1304" s="80" t="s">
        <v>16</v>
      </c>
      <c r="F1304" s="81">
        <v>11</v>
      </c>
      <c r="G1304" s="86" t="s">
        <v>962</v>
      </c>
      <c r="H1304" s="71"/>
      <c r="I1304" s="105"/>
      <c r="J1304" s="70">
        <f>IFERROR(VLOOKUP(Devis[[#This Row],[Ref Air Flux]],#REF!,3,FALSE),0)</f>
        <v>0</v>
      </c>
      <c r="K1304" s="68"/>
      <c r="L1304" s="68"/>
      <c r="M1304" s="68"/>
      <c r="N1304" s="68"/>
      <c r="O1304" s="68"/>
      <c r="P1304" s="68"/>
      <c r="Q1304" s="68">
        <f>SUM(Devis[[#This Row],[Poste 1]:[Poste 6]])</f>
        <v>0</v>
      </c>
      <c r="R1304" s="71"/>
      <c r="S1304" s="68">
        <f>_xlfn.CEILING.MATH(Devis[[#This Row],[Quantité Totale]],Devis[[#This Row],[Conditionnement]])</f>
        <v>0</v>
      </c>
      <c r="T1304" s="72"/>
      <c r="U1304" s="106"/>
      <c r="V1304" s="74">
        <f>Devis[[#This Row],[Prix de Revient]]*Devis[[#This Row],[Poste 1]]</f>
        <v>0</v>
      </c>
      <c r="W1304" s="74">
        <f>Devis[[#This Row],[Prix de Revient]]*Devis[[#This Row],[Poste 2]]</f>
        <v>0</v>
      </c>
      <c r="X1304" s="74">
        <f>Devis[[#This Row],[Prix de Revient]]*Devis[[#This Row],[Poste 3]]</f>
        <v>0</v>
      </c>
      <c r="Y1304" s="74">
        <f>Devis[[#This Row],[Poste 4]]*Devis[[#This Row],[Prix de Revient]]</f>
        <v>0</v>
      </c>
      <c r="Z1304" s="74">
        <f>Devis[[#This Row],[Poste 5]]*Devis[[#This Row],[Prix de Revient]]</f>
        <v>0</v>
      </c>
      <c r="AA1304" s="74">
        <f>Devis[[#This Row],[Prix de Revient]]*Devis[[#This Row],[Poste 6]]</f>
        <v>0</v>
      </c>
      <c r="AB1304" s="74">
        <f>Devis[[#This Row],[Quantité Totale]]*Devis[[#This Row],[Prix de Revient]]</f>
        <v>0</v>
      </c>
    </row>
    <row r="1305" spans="1:28" ht="14.25" outlineLevel="1" x14ac:dyDescent="0.2">
      <c r="A1305" s="75" t="s">
        <v>3557</v>
      </c>
      <c r="B1305" s="76" t="s">
        <v>987</v>
      </c>
      <c r="C1305" s="76"/>
      <c r="D1305" s="81" t="str">
        <f t="shared" si="24"/>
        <v>GalvaCourbe mm 3</v>
      </c>
      <c r="E1305" s="76" t="s">
        <v>25</v>
      </c>
      <c r="F1305" s="81">
        <v>12</v>
      </c>
      <c r="G1305" s="86" t="s">
        <v>988</v>
      </c>
      <c r="H1305" s="71"/>
      <c r="I1305" s="75"/>
      <c r="J1305" s="70">
        <f>IFERROR(VLOOKUP(Devis[[#This Row],[Ref Air Flux]],#REF!,3,FALSE),0)</f>
        <v>0</v>
      </c>
      <c r="K1305" s="68"/>
      <c r="L1305" s="68"/>
      <c r="M1305" s="68"/>
      <c r="N1305" s="68"/>
      <c r="O1305" s="68"/>
      <c r="P1305" s="68"/>
      <c r="Q1305" s="68">
        <f>SUM(Devis[[#This Row],[Poste 1]:[Poste 6]])</f>
        <v>0</v>
      </c>
      <c r="R1305" s="71"/>
      <c r="S1305" s="68">
        <f>_xlfn.CEILING.MATH(Devis[[#This Row],[Quantité Totale]],Devis[[#This Row],[Conditionnement]])</f>
        <v>0</v>
      </c>
      <c r="T1305" s="72"/>
      <c r="U1305" s="106"/>
      <c r="V1305" s="74">
        <f>Devis[[#This Row],[Prix de Revient]]*Devis[[#This Row],[Poste 1]]</f>
        <v>0</v>
      </c>
      <c r="W1305" s="74">
        <f>Devis[[#This Row],[Prix de Revient]]*Devis[[#This Row],[Poste 2]]</f>
        <v>0</v>
      </c>
      <c r="X1305" s="74">
        <f>Devis[[#This Row],[Prix de Revient]]*Devis[[#This Row],[Poste 3]]</f>
        <v>0</v>
      </c>
      <c r="Y1305" s="74">
        <f>Devis[[#This Row],[Poste 4]]*Devis[[#This Row],[Prix de Revient]]</f>
        <v>0</v>
      </c>
      <c r="Z1305" s="74">
        <f>Devis[[#This Row],[Poste 5]]*Devis[[#This Row],[Prix de Revient]]</f>
        <v>0</v>
      </c>
      <c r="AA1305" s="74">
        <f>Devis[[#This Row],[Prix de Revient]]*Devis[[#This Row],[Poste 6]]</f>
        <v>0</v>
      </c>
      <c r="AB1305" s="74">
        <f>Devis[[#This Row],[Quantité Totale]]*Devis[[#This Row],[Prix de Revient]]</f>
        <v>0</v>
      </c>
    </row>
    <row r="1306" spans="1:28" ht="14.25" customHeight="1" x14ac:dyDescent="0.25">
      <c r="A1306" s="65" t="s">
        <v>3557</v>
      </c>
      <c r="B1306" s="65" t="s">
        <v>990</v>
      </c>
      <c r="C1306" s="76"/>
      <c r="D1306" s="81" t="str">
        <f t="shared" si="24"/>
        <v>GalvaCourbes mf 1</v>
      </c>
      <c r="E1306" s="76"/>
      <c r="F1306" s="81">
        <v>0</v>
      </c>
      <c r="G1306" s="86"/>
      <c r="H1306" s="71"/>
      <c r="I1306" s="75"/>
      <c r="J1306" s="70">
        <f>IFERROR(VLOOKUP(Devis[[#This Row],[Ref Air Flux]],#REF!,3,FALSE),0)</f>
        <v>0</v>
      </c>
      <c r="K1306" s="68"/>
      <c r="L1306" s="68"/>
      <c r="M1306" s="68"/>
      <c r="N1306" s="68"/>
      <c r="O1306" s="68"/>
      <c r="P1306" s="68"/>
      <c r="Q1306" s="68">
        <f>SUM(Devis[[#This Row],[Poste 1]:[Poste 6]])</f>
        <v>0</v>
      </c>
      <c r="R1306" s="71"/>
      <c r="S1306" s="68">
        <f>_xlfn.CEILING.MATH(Devis[[#This Row],[Quantité Totale]],Devis[[#This Row],[Conditionnement]])</f>
        <v>0</v>
      </c>
      <c r="T1306" s="72"/>
      <c r="U1306" s="106"/>
      <c r="V1306" s="74">
        <f>Devis[[#This Row],[Prix de Revient]]*Devis[[#This Row],[Poste 1]]</f>
        <v>0</v>
      </c>
      <c r="W1306" s="74">
        <f>Devis[[#This Row],[Prix de Revient]]*Devis[[#This Row],[Poste 2]]</f>
        <v>0</v>
      </c>
      <c r="X1306" s="74">
        <f>Devis[[#This Row],[Prix de Revient]]*Devis[[#This Row],[Poste 3]]</f>
        <v>0</v>
      </c>
      <c r="Y1306" s="74">
        <f>Devis[[#This Row],[Poste 4]]*Devis[[#This Row],[Prix de Revient]]</f>
        <v>0</v>
      </c>
      <c r="Z1306" s="74">
        <f>Devis[[#This Row],[Poste 5]]*Devis[[#This Row],[Prix de Revient]]</f>
        <v>0</v>
      </c>
      <c r="AA1306" s="74">
        <f>Devis[[#This Row],[Prix de Revient]]*Devis[[#This Row],[Poste 6]]</f>
        <v>0</v>
      </c>
      <c r="AB1306" s="74">
        <f>Devis[[#This Row],[Quantité Totale]]*Devis[[#This Row],[Prix de Revient]]</f>
        <v>0</v>
      </c>
    </row>
    <row r="1307" spans="1:28" ht="14.25" outlineLevel="1" x14ac:dyDescent="0.2">
      <c r="A1307" s="75" t="s">
        <v>3557</v>
      </c>
      <c r="B1307" s="76" t="s">
        <v>990</v>
      </c>
      <c r="C1307" s="76"/>
      <c r="D1307" s="81" t="str">
        <f t="shared" si="24"/>
        <v>GalvaCourbes mf 1</v>
      </c>
      <c r="E1307" s="76" t="s">
        <v>19</v>
      </c>
      <c r="F1307" s="81">
        <v>1</v>
      </c>
      <c r="G1307" s="86" t="s">
        <v>996</v>
      </c>
      <c r="H1307" s="71"/>
      <c r="I1307" s="75"/>
      <c r="J1307" s="70">
        <f>IFERROR(VLOOKUP(Devis[[#This Row],[Ref Air Flux]],#REF!,3,FALSE),0)</f>
        <v>0</v>
      </c>
      <c r="K1307" s="68"/>
      <c r="L1307" s="68"/>
      <c r="M1307" s="68"/>
      <c r="N1307" s="68"/>
      <c r="O1307" s="68"/>
      <c r="P1307" s="68"/>
      <c r="Q1307" s="68">
        <f>SUM(Devis[[#This Row],[Poste 1]:[Poste 6]])</f>
        <v>0</v>
      </c>
      <c r="R1307" s="71"/>
      <c r="S1307" s="68">
        <f>_xlfn.CEILING.MATH(Devis[[#This Row],[Quantité Totale]],Devis[[#This Row],[Conditionnement]])</f>
        <v>0</v>
      </c>
      <c r="T1307" s="72"/>
      <c r="U1307" s="106"/>
      <c r="V1307" s="74">
        <f>Devis[[#This Row],[Prix de Revient]]*Devis[[#This Row],[Poste 1]]</f>
        <v>0</v>
      </c>
      <c r="W1307" s="74">
        <f>Devis[[#This Row],[Prix de Revient]]*Devis[[#This Row],[Poste 2]]</f>
        <v>0</v>
      </c>
      <c r="X1307" s="74">
        <f>Devis[[#This Row],[Prix de Revient]]*Devis[[#This Row],[Poste 3]]</f>
        <v>0</v>
      </c>
      <c r="Y1307" s="74">
        <f>Devis[[#This Row],[Poste 4]]*Devis[[#This Row],[Prix de Revient]]</f>
        <v>0</v>
      </c>
      <c r="Z1307" s="74">
        <f>Devis[[#This Row],[Poste 5]]*Devis[[#This Row],[Prix de Revient]]</f>
        <v>0</v>
      </c>
      <c r="AA1307" s="74">
        <f>Devis[[#This Row],[Prix de Revient]]*Devis[[#This Row],[Poste 6]]</f>
        <v>0</v>
      </c>
      <c r="AB1307" s="74">
        <f>Devis[[#This Row],[Quantité Totale]]*Devis[[#This Row],[Prix de Revient]]</f>
        <v>0</v>
      </c>
    </row>
    <row r="1308" spans="1:28" ht="15" customHeight="1" outlineLevel="1" x14ac:dyDescent="0.2">
      <c r="A1308" s="75" t="s">
        <v>3557</v>
      </c>
      <c r="B1308" s="76" t="s">
        <v>990</v>
      </c>
      <c r="C1308" s="76"/>
      <c r="D1308" s="81" t="str">
        <f t="shared" si="24"/>
        <v>GalvaCourbes mf 1</v>
      </c>
      <c r="E1308" s="76" t="s">
        <v>21</v>
      </c>
      <c r="F1308" s="81">
        <v>2</v>
      </c>
      <c r="G1308" s="86" t="s">
        <v>994</v>
      </c>
      <c r="H1308" s="71"/>
      <c r="I1308" s="75"/>
      <c r="J1308" s="70">
        <f>IFERROR(VLOOKUP(Devis[[#This Row],[Ref Air Flux]],#REF!,3,FALSE),0)</f>
        <v>0</v>
      </c>
      <c r="K1308" s="68"/>
      <c r="L1308" s="68"/>
      <c r="M1308" s="68"/>
      <c r="N1308" s="68"/>
      <c r="O1308" s="68"/>
      <c r="P1308" s="68"/>
      <c r="Q1308" s="68">
        <f>SUM(Devis[[#This Row],[Poste 1]:[Poste 6]])</f>
        <v>0</v>
      </c>
      <c r="R1308" s="71"/>
      <c r="S1308" s="68">
        <f>_xlfn.CEILING.MATH(Devis[[#This Row],[Quantité Totale]],Devis[[#This Row],[Conditionnement]])</f>
        <v>0</v>
      </c>
      <c r="T1308" s="72"/>
      <c r="U1308" s="106"/>
      <c r="V1308" s="74">
        <f>Devis[[#This Row],[Prix de Revient]]*Devis[[#This Row],[Poste 1]]</f>
        <v>0</v>
      </c>
      <c r="W1308" s="74">
        <f>Devis[[#This Row],[Prix de Revient]]*Devis[[#This Row],[Poste 2]]</f>
        <v>0</v>
      </c>
      <c r="X1308" s="74">
        <f>Devis[[#This Row],[Prix de Revient]]*Devis[[#This Row],[Poste 3]]</f>
        <v>0</v>
      </c>
      <c r="Y1308" s="74">
        <f>Devis[[#This Row],[Poste 4]]*Devis[[#This Row],[Prix de Revient]]</f>
        <v>0</v>
      </c>
      <c r="Z1308" s="74">
        <f>Devis[[#This Row],[Poste 5]]*Devis[[#This Row],[Prix de Revient]]</f>
        <v>0</v>
      </c>
      <c r="AA1308" s="74">
        <f>Devis[[#This Row],[Prix de Revient]]*Devis[[#This Row],[Poste 6]]</f>
        <v>0</v>
      </c>
      <c r="AB1308" s="74">
        <f>Devis[[#This Row],[Quantité Totale]]*Devis[[#This Row],[Prix de Revient]]</f>
        <v>0</v>
      </c>
    </row>
    <row r="1309" spans="1:28" ht="14.25" outlineLevel="1" x14ac:dyDescent="0.2">
      <c r="A1309" s="75" t="s">
        <v>3557</v>
      </c>
      <c r="B1309" s="76" t="s">
        <v>990</v>
      </c>
      <c r="C1309" s="76"/>
      <c r="D1309" s="81" t="str">
        <f t="shared" si="24"/>
        <v>GalvaCourbes mf 1</v>
      </c>
      <c r="E1309" s="76" t="s">
        <v>20</v>
      </c>
      <c r="F1309" s="81">
        <v>3</v>
      </c>
      <c r="G1309" s="86" t="s">
        <v>995</v>
      </c>
      <c r="H1309" s="71"/>
      <c r="I1309" s="75"/>
      <c r="J1309" s="70">
        <f>IFERROR(VLOOKUP(Devis[[#This Row],[Ref Air Flux]],#REF!,3,FALSE),0)</f>
        <v>0</v>
      </c>
      <c r="K1309" s="68"/>
      <c r="L1309" s="68"/>
      <c r="M1309" s="68"/>
      <c r="N1309" s="68"/>
      <c r="O1309" s="68"/>
      <c r="P1309" s="68"/>
      <c r="Q1309" s="68">
        <f>SUM(Devis[[#This Row],[Poste 1]:[Poste 6]])</f>
        <v>0</v>
      </c>
      <c r="R1309" s="71"/>
      <c r="S1309" s="68">
        <f>_xlfn.CEILING.MATH(Devis[[#This Row],[Quantité Totale]],Devis[[#This Row],[Conditionnement]])</f>
        <v>0</v>
      </c>
      <c r="T1309" s="72"/>
      <c r="U1309" s="106"/>
      <c r="V1309" s="74">
        <f>Devis[[#This Row],[Prix de Revient]]*Devis[[#This Row],[Poste 1]]</f>
        <v>0</v>
      </c>
      <c r="W1309" s="74">
        <f>Devis[[#This Row],[Prix de Revient]]*Devis[[#This Row],[Poste 2]]</f>
        <v>0</v>
      </c>
      <c r="X1309" s="74">
        <f>Devis[[#This Row],[Prix de Revient]]*Devis[[#This Row],[Poste 3]]</f>
        <v>0</v>
      </c>
      <c r="Y1309" s="74">
        <f>Devis[[#This Row],[Poste 4]]*Devis[[#This Row],[Prix de Revient]]</f>
        <v>0</v>
      </c>
      <c r="Z1309" s="74">
        <f>Devis[[#This Row],[Poste 5]]*Devis[[#This Row],[Prix de Revient]]</f>
        <v>0</v>
      </c>
      <c r="AA1309" s="74">
        <f>Devis[[#This Row],[Prix de Revient]]*Devis[[#This Row],[Poste 6]]</f>
        <v>0</v>
      </c>
      <c r="AB1309" s="74">
        <f>Devis[[#This Row],[Quantité Totale]]*Devis[[#This Row],[Prix de Revient]]</f>
        <v>0</v>
      </c>
    </row>
    <row r="1310" spans="1:28" ht="14.25" outlineLevel="1" x14ac:dyDescent="0.2">
      <c r="A1310" s="75" t="s">
        <v>3557</v>
      </c>
      <c r="B1310" s="76" t="s">
        <v>990</v>
      </c>
      <c r="C1310" s="76"/>
      <c r="D1310" s="81" t="str">
        <f t="shared" si="24"/>
        <v>GalvaCourbes mf 1</v>
      </c>
      <c r="E1310" s="80" t="s">
        <v>17</v>
      </c>
      <c r="F1310" s="81">
        <v>4</v>
      </c>
      <c r="G1310" s="86" t="s">
        <v>998</v>
      </c>
      <c r="H1310" s="71"/>
      <c r="I1310" s="105"/>
      <c r="J1310" s="70">
        <f>IFERROR(VLOOKUP(Devis[[#This Row],[Ref Air Flux]],#REF!,3,FALSE),0)</f>
        <v>0</v>
      </c>
      <c r="K1310" s="68"/>
      <c r="L1310" s="68"/>
      <c r="M1310" s="68"/>
      <c r="N1310" s="68"/>
      <c r="O1310" s="68"/>
      <c r="P1310" s="68"/>
      <c r="Q1310" s="68">
        <f>SUM(Devis[[#This Row],[Poste 1]:[Poste 6]])</f>
        <v>0</v>
      </c>
      <c r="R1310" s="71"/>
      <c r="S1310" s="68">
        <f>_xlfn.CEILING.MATH(Devis[[#This Row],[Quantité Totale]],Devis[[#This Row],[Conditionnement]])</f>
        <v>0</v>
      </c>
      <c r="T1310" s="72"/>
      <c r="U1310" s="106"/>
      <c r="V1310" s="74">
        <f>Devis[[#This Row],[Prix de Revient]]*Devis[[#This Row],[Poste 1]]</f>
        <v>0</v>
      </c>
      <c r="W1310" s="74">
        <f>Devis[[#This Row],[Prix de Revient]]*Devis[[#This Row],[Poste 2]]</f>
        <v>0</v>
      </c>
      <c r="X1310" s="74">
        <f>Devis[[#This Row],[Prix de Revient]]*Devis[[#This Row],[Poste 3]]</f>
        <v>0</v>
      </c>
      <c r="Y1310" s="74">
        <f>Devis[[#This Row],[Poste 4]]*Devis[[#This Row],[Prix de Revient]]</f>
        <v>0</v>
      </c>
      <c r="Z1310" s="74">
        <f>Devis[[#This Row],[Poste 5]]*Devis[[#This Row],[Prix de Revient]]</f>
        <v>0</v>
      </c>
      <c r="AA1310" s="74">
        <f>Devis[[#This Row],[Prix de Revient]]*Devis[[#This Row],[Poste 6]]</f>
        <v>0</v>
      </c>
      <c r="AB1310" s="74">
        <f>Devis[[#This Row],[Quantité Totale]]*Devis[[#This Row],[Prix de Revient]]</f>
        <v>0</v>
      </c>
    </row>
    <row r="1311" spans="1:28" ht="14.25" customHeight="1" outlineLevel="1" x14ac:dyDescent="0.2">
      <c r="A1311" s="75" t="s">
        <v>3557</v>
      </c>
      <c r="B1311" s="76" t="s">
        <v>990</v>
      </c>
      <c r="C1311" s="76"/>
      <c r="D1311" s="81" t="str">
        <f t="shared" si="24"/>
        <v>GalvaCourbes mf 1</v>
      </c>
      <c r="E1311" s="80" t="s">
        <v>46</v>
      </c>
      <c r="F1311" s="81">
        <v>5</v>
      </c>
      <c r="G1311" s="86" t="s">
        <v>1000</v>
      </c>
      <c r="H1311" s="71"/>
      <c r="I1311" s="105"/>
      <c r="J1311" s="70">
        <f>IFERROR(VLOOKUP(Devis[[#This Row],[Ref Air Flux]],#REF!,3,FALSE),0)</f>
        <v>0</v>
      </c>
      <c r="K1311" s="68"/>
      <c r="L1311" s="68"/>
      <c r="M1311" s="68"/>
      <c r="N1311" s="68"/>
      <c r="O1311" s="68"/>
      <c r="P1311" s="68"/>
      <c r="Q1311" s="68">
        <f>SUM(Devis[[#This Row],[Poste 1]:[Poste 6]])</f>
        <v>0</v>
      </c>
      <c r="R1311" s="71"/>
      <c r="S1311" s="68">
        <f>_xlfn.CEILING.MATH(Devis[[#This Row],[Quantité Totale]],Devis[[#This Row],[Conditionnement]])</f>
        <v>0</v>
      </c>
      <c r="T1311" s="72"/>
      <c r="U1311" s="106"/>
      <c r="V1311" s="74">
        <f>Devis[[#This Row],[Prix de Revient]]*Devis[[#This Row],[Poste 1]]</f>
        <v>0</v>
      </c>
      <c r="W1311" s="74">
        <f>Devis[[#This Row],[Prix de Revient]]*Devis[[#This Row],[Poste 2]]</f>
        <v>0</v>
      </c>
      <c r="X1311" s="74">
        <f>Devis[[#This Row],[Prix de Revient]]*Devis[[#This Row],[Poste 3]]</f>
        <v>0</v>
      </c>
      <c r="Y1311" s="74">
        <f>Devis[[#This Row],[Poste 4]]*Devis[[#This Row],[Prix de Revient]]</f>
        <v>0</v>
      </c>
      <c r="Z1311" s="74">
        <f>Devis[[#This Row],[Poste 5]]*Devis[[#This Row],[Prix de Revient]]</f>
        <v>0</v>
      </c>
      <c r="AA1311" s="74">
        <f>Devis[[#This Row],[Prix de Revient]]*Devis[[#This Row],[Poste 6]]</f>
        <v>0</v>
      </c>
      <c r="AB1311" s="74">
        <f>Devis[[#This Row],[Quantité Totale]]*Devis[[#This Row],[Prix de Revient]]</f>
        <v>0</v>
      </c>
    </row>
    <row r="1312" spans="1:28" ht="14.25" customHeight="1" outlineLevel="1" x14ac:dyDescent="0.2">
      <c r="A1312" s="75" t="s">
        <v>3557</v>
      </c>
      <c r="B1312" s="76" t="s">
        <v>990</v>
      </c>
      <c r="C1312" s="76"/>
      <c r="D1312" s="81" t="str">
        <f t="shared" si="24"/>
        <v>GalvaCourbes mf 1</v>
      </c>
      <c r="E1312" s="80" t="s">
        <v>928</v>
      </c>
      <c r="F1312" s="81">
        <v>6</v>
      </c>
      <c r="G1312" s="86" t="s">
        <v>1001</v>
      </c>
      <c r="H1312" s="71"/>
      <c r="I1312" s="75"/>
      <c r="J1312" s="70">
        <f>IFERROR(VLOOKUP(Devis[[#This Row],[Ref Air Flux]],#REF!,3,FALSE),0)</f>
        <v>0</v>
      </c>
      <c r="K1312" s="68"/>
      <c r="L1312" s="68"/>
      <c r="M1312" s="68"/>
      <c r="N1312" s="68"/>
      <c r="O1312" s="68"/>
      <c r="P1312" s="68"/>
      <c r="Q1312" s="68">
        <f>SUM(Devis[[#This Row],[Poste 1]:[Poste 6]])</f>
        <v>0</v>
      </c>
      <c r="R1312" s="71"/>
      <c r="S1312" s="68">
        <f>_xlfn.CEILING.MATH(Devis[[#This Row],[Quantité Totale]],Devis[[#This Row],[Conditionnement]])</f>
        <v>0</v>
      </c>
      <c r="T1312" s="72"/>
      <c r="U1312" s="106"/>
      <c r="V1312" s="74">
        <f>Devis[[#This Row],[Prix de Revient]]*Devis[[#This Row],[Poste 1]]</f>
        <v>0</v>
      </c>
      <c r="W1312" s="74">
        <f>Devis[[#This Row],[Prix de Revient]]*Devis[[#This Row],[Poste 2]]</f>
        <v>0</v>
      </c>
      <c r="X1312" s="74">
        <f>Devis[[#This Row],[Prix de Revient]]*Devis[[#This Row],[Poste 3]]</f>
        <v>0</v>
      </c>
      <c r="Y1312" s="74">
        <f>Devis[[#This Row],[Poste 4]]*Devis[[#This Row],[Prix de Revient]]</f>
        <v>0</v>
      </c>
      <c r="Z1312" s="74">
        <f>Devis[[#This Row],[Poste 5]]*Devis[[#This Row],[Prix de Revient]]</f>
        <v>0</v>
      </c>
      <c r="AA1312" s="74">
        <f>Devis[[#This Row],[Prix de Revient]]*Devis[[#This Row],[Poste 6]]</f>
        <v>0</v>
      </c>
      <c r="AB1312" s="74">
        <f>Devis[[#This Row],[Quantité Totale]]*Devis[[#This Row],[Prix de Revient]]</f>
        <v>0</v>
      </c>
    </row>
    <row r="1313" spans="1:28" ht="14.25" outlineLevel="1" x14ac:dyDescent="0.2">
      <c r="A1313" s="75" t="s">
        <v>3557</v>
      </c>
      <c r="B1313" s="76" t="s">
        <v>990</v>
      </c>
      <c r="C1313" s="76"/>
      <c r="D1313" s="81" t="str">
        <f t="shared" si="24"/>
        <v>GalvaCourbes mf 1</v>
      </c>
      <c r="E1313" s="76" t="s">
        <v>0</v>
      </c>
      <c r="F1313" s="81">
        <v>7</v>
      </c>
      <c r="G1313" s="86" t="s">
        <v>993</v>
      </c>
      <c r="H1313" s="71"/>
      <c r="I1313" s="75"/>
      <c r="J1313" s="70">
        <f>IFERROR(VLOOKUP(Devis[[#This Row],[Ref Air Flux]],#REF!,3,FALSE),0)</f>
        <v>0</v>
      </c>
      <c r="K1313" s="68"/>
      <c r="L1313" s="68"/>
      <c r="M1313" s="68"/>
      <c r="N1313" s="68"/>
      <c r="O1313" s="68"/>
      <c r="P1313" s="68"/>
      <c r="Q1313" s="68">
        <f>SUM(Devis[[#This Row],[Poste 1]:[Poste 6]])</f>
        <v>0</v>
      </c>
      <c r="R1313" s="71"/>
      <c r="S1313" s="68">
        <f>_xlfn.CEILING.MATH(Devis[[#This Row],[Quantité Totale]],Devis[[#This Row],[Conditionnement]])</f>
        <v>0</v>
      </c>
      <c r="T1313" s="72"/>
      <c r="U1313" s="106"/>
      <c r="V1313" s="74">
        <f>Devis[[#This Row],[Prix de Revient]]*Devis[[#This Row],[Poste 1]]</f>
        <v>0</v>
      </c>
      <c r="W1313" s="74">
        <f>Devis[[#This Row],[Prix de Revient]]*Devis[[#This Row],[Poste 2]]</f>
        <v>0</v>
      </c>
      <c r="X1313" s="74">
        <f>Devis[[#This Row],[Prix de Revient]]*Devis[[#This Row],[Poste 3]]</f>
        <v>0</v>
      </c>
      <c r="Y1313" s="74">
        <f>Devis[[#This Row],[Poste 4]]*Devis[[#This Row],[Prix de Revient]]</f>
        <v>0</v>
      </c>
      <c r="Z1313" s="74">
        <f>Devis[[#This Row],[Poste 5]]*Devis[[#This Row],[Prix de Revient]]</f>
        <v>0</v>
      </c>
      <c r="AA1313" s="74">
        <f>Devis[[#This Row],[Prix de Revient]]*Devis[[#This Row],[Poste 6]]</f>
        <v>0</v>
      </c>
      <c r="AB1313" s="74">
        <f>Devis[[#This Row],[Quantité Totale]]*Devis[[#This Row],[Prix de Revient]]</f>
        <v>0</v>
      </c>
    </row>
    <row r="1314" spans="1:28" ht="14.25" outlineLevel="1" x14ac:dyDescent="0.2">
      <c r="A1314" s="75" t="s">
        <v>3557</v>
      </c>
      <c r="B1314" s="76" t="s">
        <v>990</v>
      </c>
      <c r="C1314" s="76"/>
      <c r="D1314" s="81" t="str">
        <f t="shared" si="24"/>
        <v>GalvaCourbes mf 1</v>
      </c>
      <c r="E1314" s="76" t="s">
        <v>49</v>
      </c>
      <c r="F1314" s="81">
        <v>8</v>
      </c>
      <c r="G1314" s="86" t="s">
        <v>992</v>
      </c>
      <c r="H1314" s="71"/>
      <c r="I1314" s="75"/>
      <c r="J1314" s="70">
        <f>IFERROR(VLOOKUP(Devis[[#This Row],[Ref Air Flux]],#REF!,3,FALSE),0)</f>
        <v>0</v>
      </c>
      <c r="K1314" s="68"/>
      <c r="L1314" s="68"/>
      <c r="M1314" s="68"/>
      <c r="N1314" s="68"/>
      <c r="O1314" s="68"/>
      <c r="P1314" s="68"/>
      <c r="Q1314" s="68">
        <f>SUM(Devis[[#This Row],[Poste 1]:[Poste 6]])</f>
        <v>0</v>
      </c>
      <c r="R1314" s="71"/>
      <c r="S1314" s="68">
        <f>_xlfn.CEILING.MATH(Devis[[#This Row],[Quantité Totale]],Devis[[#This Row],[Conditionnement]])</f>
        <v>0</v>
      </c>
      <c r="T1314" s="72"/>
      <c r="U1314" s="106"/>
      <c r="V1314" s="74">
        <f>Devis[[#This Row],[Prix de Revient]]*Devis[[#This Row],[Poste 1]]</f>
        <v>0</v>
      </c>
      <c r="W1314" s="74">
        <f>Devis[[#This Row],[Prix de Revient]]*Devis[[#This Row],[Poste 2]]</f>
        <v>0</v>
      </c>
      <c r="X1314" s="74">
        <f>Devis[[#This Row],[Prix de Revient]]*Devis[[#This Row],[Poste 3]]</f>
        <v>0</v>
      </c>
      <c r="Y1314" s="74">
        <f>Devis[[#This Row],[Poste 4]]*Devis[[#This Row],[Prix de Revient]]</f>
        <v>0</v>
      </c>
      <c r="Z1314" s="74">
        <f>Devis[[#This Row],[Poste 5]]*Devis[[#This Row],[Prix de Revient]]</f>
        <v>0</v>
      </c>
      <c r="AA1314" s="74">
        <f>Devis[[#This Row],[Prix de Revient]]*Devis[[#This Row],[Poste 6]]</f>
        <v>0</v>
      </c>
      <c r="AB1314" s="74">
        <f>Devis[[#This Row],[Quantité Totale]]*Devis[[#This Row],[Prix de Revient]]</f>
        <v>0</v>
      </c>
    </row>
    <row r="1315" spans="1:28" ht="14.25" outlineLevel="1" x14ac:dyDescent="0.2">
      <c r="A1315" s="75" t="s">
        <v>3557</v>
      </c>
      <c r="B1315" s="76" t="s">
        <v>990</v>
      </c>
      <c r="C1315" s="76"/>
      <c r="D1315" s="81" t="str">
        <f t="shared" si="24"/>
        <v>GalvaCourbes mf 1</v>
      </c>
      <c r="E1315" s="76" t="s">
        <v>821</v>
      </c>
      <c r="F1315" s="81">
        <v>9</v>
      </c>
      <c r="G1315" s="86" t="s">
        <v>991</v>
      </c>
      <c r="H1315" s="71"/>
      <c r="I1315" s="75"/>
      <c r="J1315" s="70">
        <f>IFERROR(VLOOKUP(Devis[[#This Row],[Ref Air Flux]],#REF!,3,FALSE),0)</f>
        <v>0</v>
      </c>
      <c r="K1315" s="68"/>
      <c r="L1315" s="68"/>
      <c r="M1315" s="68"/>
      <c r="N1315" s="68"/>
      <c r="O1315" s="68"/>
      <c r="P1315" s="68"/>
      <c r="Q1315" s="68">
        <f>SUM(Devis[[#This Row],[Poste 1]:[Poste 6]])</f>
        <v>0</v>
      </c>
      <c r="R1315" s="71"/>
      <c r="S1315" s="68">
        <f>_xlfn.CEILING.MATH(Devis[[#This Row],[Quantité Totale]],Devis[[#This Row],[Conditionnement]])</f>
        <v>0</v>
      </c>
      <c r="T1315" s="72"/>
      <c r="U1315" s="106"/>
      <c r="V1315" s="74">
        <f>Devis[[#This Row],[Prix de Revient]]*Devis[[#This Row],[Poste 1]]</f>
        <v>0</v>
      </c>
      <c r="W1315" s="74">
        <f>Devis[[#This Row],[Prix de Revient]]*Devis[[#This Row],[Poste 2]]</f>
        <v>0</v>
      </c>
      <c r="X1315" s="74">
        <f>Devis[[#This Row],[Prix de Revient]]*Devis[[#This Row],[Poste 3]]</f>
        <v>0</v>
      </c>
      <c r="Y1315" s="74">
        <f>Devis[[#This Row],[Poste 4]]*Devis[[#This Row],[Prix de Revient]]</f>
        <v>0</v>
      </c>
      <c r="Z1315" s="74">
        <f>Devis[[#This Row],[Poste 5]]*Devis[[#This Row],[Prix de Revient]]</f>
        <v>0</v>
      </c>
      <c r="AA1315" s="74">
        <f>Devis[[#This Row],[Prix de Revient]]*Devis[[#This Row],[Poste 6]]</f>
        <v>0</v>
      </c>
      <c r="AB1315" s="74">
        <f>Devis[[#This Row],[Quantité Totale]]*Devis[[#This Row],[Prix de Revient]]</f>
        <v>0</v>
      </c>
    </row>
    <row r="1316" spans="1:28" ht="14.25" outlineLevel="1" x14ac:dyDescent="0.2">
      <c r="A1316" s="75" t="s">
        <v>3557</v>
      </c>
      <c r="B1316" s="76" t="s">
        <v>990</v>
      </c>
      <c r="C1316" s="76"/>
      <c r="D1316" s="81" t="str">
        <f t="shared" si="24"/>
        <v>GalvaCourbes mf 1</v>
      </c>
      <c r="E1316" s="80" t="s">
        <v>18</v>
      </c>
      <c r="F1316" s="81">
        <v>10</v>
      </c>
      <c r="G1316" s="86" t="s">
        <v>997</v>
      </c>
      <c r="H1316" s="71"/>
      <c r="I1316" s="105"/>
      <c r="J1316" s="70">
        <f>IFERROR(VLOOKUP(Devis[[#This Row],[Ref Air Flux]],#REF!,3,FALSE),0)</f>
        <v>0</v>
      </c>
      <c r="K1316" s="68"/>
      <c r="L1316" s="68"/>
      <c r="M1316" s="68"/>
      <c r="N1316" s="68"/>
      <c r="O1316" s="68"/>
      <c r="P1316" s="68"/>
      <c r="Q1316" s="68">
        <f>SUM(Devis[[#This Row],[Poste 1]:[Poste 6]])</f>
        <v>0</v>
      </c>
      <c r="R1316" s="71"/>
      <c r="S1316" s="68">
        <f>_xlfn.CEILING.MATH(Devis[[#This Row],[Quantité Totale]],Devis[[#This Row],[Conditionnement]])</f>
        <v>0</v>
      </c>
      <c r="T1316" s="72"/>
      <c r="U1316" s="106"/>
      <c r="V1316" s="74">
        <f>Devis[[#This Row],[Prix de Revient]]*Devis[[#This Row],[Poste 1]]</f>
        <v>0</v>
      </c>
      <c r="W1316" s="74">
        <f>Devis[[#This Row],[Prix de Revient]]*Devis[[#This Row],[Poste 2]]</f>
        <v>0</v>
      </c>
      <c r="X1316" s="74">
        <f>Devis[[#This Row],[Prix de Revient]]*Devis[[#This Row],[Poste 3]]</f>
        <v>0</v>
      </c>
      <c r="Y1316" s="74">
        <f>Devis[[#This Row],[Poste 4]]*Devis[[#This Row],[Prix de Revient]]</f>
        <v>0</v>
      </c>
      <c r="Z1316" s="74">
        <f>Devis[[#This Row],[Poste 5]]*Devis[[#This Row],[Prix de Revient]]</f>
        <v>0</v>
      </c>
      <c r="AA1316" s="74">
        <f>Devis[[#This Row],[Prix de Revient]]*Devis[[#This Row],[Poste 6]]</f>
        <v>0</v>
      </c>
      <c r="AB1316" s="74">
        <f>Devis[[#This Row],[Quantité Totale]]*Devis[[#This Row],[Prix de Revient]]</f>
        <v>0</v>
      </c>
    </row>
    <row r="1317" spans="1:28" ht="14.25" outlineLevel="1" x14ac:dyDescent="0.2">
      <c r="A1317" s="75" t="s">
        <v>3557</v>
      </c>
      <c r="B1317" s="76" t="s">
        <v>990</v>
      </c>
      <c r="C1317" s="76"/>
      <c r="D1317" s="81" t="str">
        <f t="shared" si="24"/>
        <v>GalvaCourbes mf 1</v>
      </c>
      <c r="E1317" s="80" t="s">
        <v>16</v>
      </c>
      <c r="F1317" s="81">
        <v>11</v>
      </c>
      <c r="G1317" s="86" t="s">
        <v>999</v>
      </c>
      <c r="H1317" s="71"/>
      <c r="I1317" s="105"/>
      <c r="J1317" s="70">
        <f>IFERROR(VLOOKUP(Devis[[#This Row],[Ref Air Flux]],#REF!,3,FALSE),0)</f>
        <v>0</v>
      </c>
      <c r="K1317" s="68"/>
      <c r="L1317" s="68"/>
      <c r="M1317" s="68"/>
      <c r="N1317" s="68"/>
      <c r="O1317" s="68"/>
      <c r="P1317" s="68"/>
      <c r="Q1317" s="68">
        <f>SUM(Devis[[#This Row],[Poste 1]:[Poste 6]])</f>
        <v>0</v>
      </c>
      <c r="R1317" s="71"/>
      <c r="S1317" s="68">
        <f>_xlfn.CEILING.MATH(Devis[[#This Row],[Quantité Totale]],Devis[[#This Row],[Conditionnement]])</f>
        <v>0</v>
      </c>
      <c r="T1317" s="72"/>
      <c r="U1317" s="106"/>
      <c r="V1317" s="74">
        <f>Devis[[#This Row],[Prix de Revient]]*Devis[[#This Row],[Poste 1]]</f>
        <v>0</v>
      </c>
      <c r="W1317" s="74">
        <f>Devis[[#This Row],[Prix de Revient]]*Devis[[#This Row],[Poste 2]]</f>
        <v>0</v>
      </c>
      <c r="X1317" s="74">
        <f>Devis[[#This Row],[Prix de Revient]]*Devis[[#This Row],[Poste 3]]</f>
        <v>0</v>
      </c>
      <c r="Y1317" s="74">
        <f>Devis[[#This Row],[Poste 4]]*Devis[[#This Row],[Prix de Revient]]</f>
        <v>0</v>
      </c>
      <c r="Z1317" s="74">
        <f>Devis[[#This Row],[Poste 5]]*Devis[[#This Row],[Prix de Revient]]</f>
        <v>0</v>
      </c>
      <c r="AA1317" s="74">
        <f>Devis[[#This Row],[Prix de Revient]]*Devis[[#This Row],[Poste 6]]</f>
        <v>0</v>
      </c>
      <c r="AB1317" s="74">
        <f>Devis[[#This Row],[Quantité Totale]]*Devis[[#This Row],[Prix de Revient]]</f>
        <v>0</v>
      </c>
    </row>
    <row r="1318" spans="1:28" ht="14.25" customHeight="1" x14ac:dyDescent="0.25">
      <c r="A1318" s="65" t="s">
        <v>3557</v>
      </c>
      <c r="B1318" s="65" t="s">
        <v>1002</v>
      </c>
      <c r="C1318" s="76"/>
      <c r="D1318" s="81" t="str">
        <f t="shared" si="24"/>
        <v>GalvaCourbes mf 45° 40</v>
      </c>
      <c r="E1318" s="76"/>
      <c r="F1318" s="81">
        <v>0</v>
      </c>
      <c r="G1318" s="86"/>
      <c r="H1318" s="71"/>
      <c r="I1318" s="75"/>
      <c r="J1318" s="70">
        <f>IFERROR(VLOOKUP(Devis[[#This Row],[Ref Air Flux]],#REF!,3,FALSE),0)</f>
        <v>0</v>
      </c>
      <c r="K1318" s="68"/>
      <c r="L1318" s="68"/>
      <c r="M1318" s="68"/>
      <c r="N1318" s="68"/>
      <c r="O1318" s="68"/>
      <c r="P1318" s="68"/>
      <c r="Q1318" s="68">
        <f>SUM(Devis[[#This Row],[Poste 1]:[Poste 6]])</f>
        <v>0</v>
      </c>
      <c r="R1318" s="71"/>
      <c r="S1318" s="68">
        <f>_xlfn.CEILING.MATH(Devis[[#This Row],[Quantité Totale]],Devis[[#This Row],[Conditionnement]])</f>
        <v>0</v>
      </c>
      <c r="T1318" s="72"/>
      <c r="U1318" s="106"/>
      <c r="V1318" s="74">
        <f>Devis[[#This Row],[Prix de Revient]]*Devis[[#This Row],[Poste 1]]</f>
        <v>0</v>
      </c>
      <c r="W1318" s="74">
        <f>Devis[[#This Row],[Prix de Revient]]*Devis[[#This Row],[Poste 2]]</f>
        <v>0</v>
      </c>
      <c r="X1318" s="74">
        <f>Devis[[#This Row],[Prix de Revient]]*Devis[[#This Row],[Poste 3]]</f>
        <v>0</v>
      </c>
      <c r="Y1318" s="74">
        <f>Devis[[#This Row],[Poste 4]]*Devis[[#This Row],[Prix de Revient]]</f>
        <v>0</v>
      </c>
      <c r="Z1318" s="74">
        <f>Devis[[#This Row],[Poste 5]]*Devis[[#This Row],[Prix de Revient]]</f>
        <v>0</v>
      </c>
      <c r="AA1318" s="74">
        <f>Devis[[#This Row],[Prix de Revient]]*Devis[[#This Row],[Poste 6]]</f>
        <v>0</v>
      </c>
      <c r="AB1318" s="74">
        <f>Devis[[#This Row],[Quantité Totale]]*Devis[[#This Row],[Prix de Revient]]</f>
        <v>0</v>
      </c>
    </row>
    <row r="1319" spans="1:28" ht="14.25" customHeight="1" outlineLevel="1" x14ac:dyDescent="0.2">
      <c r="A1319" s="75" t="s">
        <v>3557</v>
      </c>
      <c r="B1319" s="76" t="s">
        <v>1002</v>
      </c>
      <c r="C1319" s="76"/>
      <c r="D1319" s="81" t="str">
        <f t="shared" si="24"/>
        <v>GalvaCourbes mf 45° 40</v>
      </c>
      <c r="E1319" s="76" t="s">
        <v>19</v>
      </c>
      <c r="F1319" s="81">
        <v>1</v>
      </c>
      <c r="G1319" s="86" t="s">
        <v>1008</v>
      </c>
      <c r="H1319" s="71"/>
      <c r="I1319" s="75"/>
      <c r="J1319" s="70">
        <f>IFERROR(VLOOKUP(Devis[[#This Row],[Ref Air Flux]],#REF!,3,FALSE),0)</f>
        <v>0</v>
      </c>
      <c r="K1319" s="68"/>
      <c r="L1319" s="68"/>
      <c r="M1319" s="68"/>
      <c r="N1319" s="68"/>
      <c r="O1319" s="68"/>
      <c r="P1319" s="68"/>
      <c r="Q1319" s="68">
        <f>SUM(Devis[[#This Row],[Poste 1]:[Poste 6]])</f>
        <v>0</v>
      </c>
      <c r="R1319" s="71"/>
      <c r="S1319" s="68">
        <f>_xlfn.CEILING.MATH(Devis[[#This Row],[Quantité Totale]],Devis[[#This Row],[Conditionnement]])</f>
        <v>0</v>
      </c>
      <c r="T1319" s="72"/>
      <c r="U1319" s="106"/>
      <c r="V1319" s="74">
        <f>Devis[[#This Row],[Prix de Revient]]*Devis[[#This Row],[Poste 1]]</f>
        <v>0</v>
      </c>
      <c r="W1319" s="74">
        <f>Devis[[#This Row],[Prix de Revient]]*Devis[[#This Row],[Poste 2]]</f>
        <v>0</v>
      </c>
      <c r="X1319" s="74">
        <f>Devis[[#This Row],[Prix de Revient]]*Devis[[#This Row],[Poste 3]]</f>
        <v>0</v>
      </c>
      <c r="Y1319" s="74">
        <f>Devis[[#This Row],[Poste 4]]*Devis[[#This Row],[Prix de Revient]]</f>
        <v>0</v>
      </c>
      <c r="Z1319" s="74">
        <f>Devis[[#This Row],[Poste 5]]*Devis[[#This Row],[Prix de Revient]]</f>
        <v>0</v>
      </c>
      <c r="AA1319" s="74">
        <f>Devis[[#This Row],[Prix de Revient]]*Devis[[#This Row],[Poste 6]]</f>
        <v>0</v>
      </c>
      <c r="AB1319" s="74">
        <f>Devis[[#This Row],[Quantité Totale]]*Devis[[#This Row],[Prix de Revient]]</f>
        <v>0</v>
      </c>
    </row>
    <row r="1320" spans="1:28" ht="14.25" outlineLevel="1" x14ac:dyDescent="0.2">
      <c r="A1320" s="75" t="s">
        <v>3557</v>
      </c>
      <c r="B1320" s="76" t="s">
        <v>1002</v>
      </c>
      <c r="C1320" s="76"/>
      <c r="D1320" s="81" t="str">
        <f t="shared" si="24"/>
        <v>GalvaCourbes mf 45° 40</v>
      </c>
      <c r="E1320" s="76" t="s">
        <v>21</v>
      </c>
      <c r="F1320" s="81">
        <v>2</v>
      </c>
      <c r="G1320" s="86" t="s">
        <v>1006</v>
      </c>
      <c r="H1320" s="71"/>
      <c r="I1320" s="75"/>
      <c r="J1320" s="70">
        <f>IFERROR(VLOOKUP(Devis[[#This Row],[Ref Air Flux]],#REF!,3,FALSE),0)</f>
        <v>0</v>
      </c>
      <c r="K1320" s="68"/>
      <c r="L1320" s="68"/>
      <c r="M1320" s="68"/>
      <c r="N1320" s="68"/>
      <c r="O1320" s="68"/>
      <c r="P1320" s="68"/>
      <c r="Q1320" s="68">
        <f>SUM(Devis[[#This Row],[Poste 1]:[Poste 6]])</f>
        <v>0</v>
      </c>
      <c r="R1320" s="71"/>
      <c r="S1320" s="68">
        <f>_xlfn.CEILING.MATH(Devis[[#This Row],[Quantité Totale]],Devis[[#This Row],[Conditionnement]])</f>
        <v>0</v>
      </c>
      <c r="T1320" s="72"/>
      <c r="U1320" s="106"/>
      <c r="V1320" s="74">
        <f>Devis[[#This Row],[Prix de Revient]]*Devis[[#This Row],[Poste 1]]</f>
        <v>0</v>
      </c>
      <c r="W1320" s="74">
        <f>Devis[[#This Row],[Prix de Revient]]*Devis[[#This Row],[Poste 2]]</f>
        <v>0</v>
      </c>
      <c r="X1320" s="74">
        <f>Devis[[#This Row],[Prix de Revient]]*Devis[[#This Row],[Poste 3]]</f>
        <v>0</v>
      </c>
      <c r="Y1320" s="74">
        <f>Devis[[#This Row],[Poste 4]]*Devis[[#This Row],[Prix de Revient]]</f>
        <v>0</v>
      </c>
      <c r="Z1320" s="74">
        <f>Devis[[#This Row],[Poste 5]]*Devis[[#This Row],[Prix de Revient]]</f>
        <v>0</v>
      </c>
      <c r="AA1320" s="74">
        <f>Devis[[#This Row],[Prix de Revient]]*Devis[[#This Row],[Poste 6]]</f>
        <v>0</v>
      </c>
      <c r="AB1320" s="74">
        <f>Devis[[#This Row],[Quantité Totale]]*Devis[[#This Row],[Prix de Revient]]</f>
        <v>0</v>
      </c>
    </row>
    <row r="1321" spans="1:28" ht="14.25" outlineLevel="1" x14ac:dyDescent="0.2">
      <c r="A1321" s="75" t="s">
        <v>3557</v>
      </c>
      <c r="B1321" s="76" t="s">
        <v>1002</v>
      </c>
      <c r="C1321" s="76"/>
      <c r="D1321" s="81" t="str">
        <f t="shared" si="24"/>
        <v>GalvaCourbes mf 45° 40</v>
      </c>
      <c r="E1321" s="76" t="s">
        <v>20</v>
      </c>
      <c r="F1321" s="81">
        <v>3</v>
      </c>
      <c r="G1321" s="86" t="s">
        <v>1007</v>
      </c>
      <c r="H1321" s="71"/>
      <c r="I1321" s="75"/>
      <c r="J1321" s="70">
        <f>IFERROR(VLOOKUP(Devis[[#This Row],[Ref Air Flux]],#REF!,3,FALSE),0)</f>
        <v>0</v>
      </c>
      <c r="K1321" s="68"/>
      <c r="L1321" s="68"/>
      <c r="M1321" s="68"/>
      <c r="N1321" s="68"/>
      <c r="O1321" s="68"/>
      <c r="P1321" s="68"/>
      <c r="Q1321" s="68">
        <f>SUM(Devis[[#This Row],[Poste 1]:[Poste 6]])</f>
        <v>0</v>
      </c>
      <c r="R1321" s="71"/>
      <c r="S1321" s="68">
        <f>_xlfn.CEILING.MATH(Devis[[#This Row],[Quantité Totale]],Devis[[#This Row],[Conditionnement]])</f>
        <v>0</v>
      </c>
      <c r="T1321" s="72"/>
      <c r="U1321" s="106"/>
      <c r="V1321" s="74">
        <f>Devis[[#This Row],[Prix de Revient]]*Devis[[#This Row],[Poste 1]]</f>
        <v>0</v>
      </c>
      <c r="W1321" s="74">
        <f>Devis[[#This Row],[Prix de Revient]]*Devis[[#This Row],[Poste 2]]</f>
        <v>0</v>
      </c>
      <c r="X1321" s="74">
        <f>Devis[[#This Row],[Prix de Revient]]*Devis[[#This Row],[Poste 3]]</f>
        <v>0</v>
      </c>
      <c r="Y1321" s="74">
        <f>Devis[[#This Row],[Poste 4]]*Devis[[#This Row],[Prix de Revient]]</f>
        <v>0</v>
      </c>
      <c r="Z1321" s="74">
        <f>Devis[[#This Row],[Poste 5]]*Devis[[#This Row],[Prix de Revient]]</f>
        <v>0</v>
      </c>
      <c r="AA1321" s="74">
        <f>Devis[[#This Row],[Prix de Revient]]*Devis[[#This Row],[Poste 6]]</f>
        <v>0</v>
      </c>
      <c r="AB1321" s="74">
        <f>Devis[[#This Row],[Quantité Totale]]*Devis[[#This Row],[Prix de Revient]]</f>
        <v>0</v>
      </c>
    </row>
    <row r="1322" spans="1:28" ht="14.25" outlineLevel="1" x14ac:dyDescent="0.2">
      <c r="A1322" s="75" t="s">
        <v>3557</v>
      </c>
      <c r="B1322" s="76" t="s">
        <v>1002</v>
      </c>
      <c r="C1322" s="76"/>
      <c r="D1322" s="81" t="str">
        <f t="shared" si="24"/>
        <v>GalvaCourbes mf 45° 40</v>
      </c>
      <c r="E1322" s="80" t="s">
        <v>17</v>
      </c>
      <c r="F1322" s="81">
        <v>4</v>
      </c>
      <c r="G1322" s="86" t="s">
        <v>1010</v>
      </c>
      <c r="H1322" s="71"/>
      <c r="I1322" s="105"/>
      <c r="J1322" s="70">
        <f>IFERROR(VLOOKUP(Devis[[#This Row],[Ref Air Flux]],#REF!,3,FALSE),0)</f>
        <v>0</v>
      </c>
      <c r="K1322" s="68"/>
      <c r="L1322" s="68"/>
      <c r="M1322" s="68"/>
      <c r="N1322" s="68"/>
      <c r="O1322" s="68"/>
      <c r="P1322" s="68"/>
      <c r="Q1322" s="68">
        <f>SUM(Devis[[#This Row],[Poste 1]:[Poste 6]])</f>
        <v>0</v>
      </c>
      <c r="R1322" s="71"/>
      <c r="S1322" s="68">
        <f>_xlfn.CEILING.MATH(Devis[[#This Row],[Quantité Totale]],Devis[[#This Row],[Conditionnement]])</f>
        <v>0</v>
      </c>
      <c r="T1322" s="72"/>
      <c r="U1322" s="106"/>
      <c r="V1322" s="74">
        <f>Devis[[#This Row],[Prix de Revient]]*Devis[[#This Row],[Poste 1]]</f>
        <v>0</v>
      </c>
      <c r="W1322" s="74">
        <f>Devis[[#This Row],[Prix de Revient]]*Devis[[#This Row],[Poste 2]]</f>
        <v>0</v>
      </c>
      <c r="X1322" s="74">
        <f>Devis[[#This Row],[Prix de Revient]]*Devis[[#This Row],[Poste 3]]</f>
        <v>0</v>
      </c>
      <c r="Y1322" s="74">
        <f>Devis[[#This Row],[Poste 4]]*Devis[[#This Row],[Prix de Revient]]</f>
        <v>0</v>
      </c>
      <c r="Z1322" s="74">
        <f>Devis[[#This Row],[Poste 5]]*Devis[[#This Row],[Prix de Revient]]</f>
        <v>0</v>
      </c>
      <c r="AA1322" s="74">
        <f>Devis[[#This Row],[Prix de Revient]]*Devis[[#This Row],[Poste 6]]</f>
        <v>0</v>
      </c>
      <c r="AB1322" s="74">
        <f>Devis[[#This Row],[Quantité Totale]]*Devis[[#This Row],[Prix de Revient]]</f>
        <v>0</v>
      </c>
    </row>
    <row r="1323" spans="1:28" ht="14.25" outlineLevel="1" x14ac:dyDescent="0.2">
      <c r="A1323" s="75" t="s">
        <v>3557</v>
      </c>
      <c r="B1323" s="76" t="s">
        <v>1002</v>
      </c>
      <c r="C1323" s="76"/>
      <c r="D1323" s="81" t="str">
        <f t="shared" si="24"/>
        <v>GalvaCourbes mf 45° 40</v>
      </c>
      <c r="E1323" s="80" t="s">
        <v>46</v>
      </c>
      <c r="F1323" s="81">
        <v>5</v>
      </c>
      <c r="G1323" s="86" t="s">
        <v>1012</v>
      </c>
      <c r="H1323" s="71"/>
      <c r="I1323" s="105"/>
      <c r="J1323" s="70">
        <f>IFERROR(VLOOKUP(Devis[[#This Row],[Ref Air Flux]],#REF!,3,FALSE),0)</f>
        <v>0</v>
      </c>
      <c r="K1323" s="68"/>
      <c r="L1323" s="68"/>
      <c r="M1323" s="68"/>
      <c r="N1323" s="68"/>
      <c r="O1323" s="68"/>
      <c r="P1323" s="68"/>
      <c r="Q1323" s="68">
        <f>SUM(Devis[[#This Row],[Poste 1]:[Poste 6]])</f>
        <v>0</v>
      </c>
      <c r="R1323" s="71"/>
      <c r="S1323" s="68">
        <f>_xlfn.CEILING.MATH(Devis[[#This Row],[Quantité Totale]],Devis[[#This Row],[Conditionnement]])</f>
        <v>0</v>
      </c>
      <c r="T1323" s="72"/>
      <c r="U1323" s="106"/>
      <c r="V1323" s="74">
        <f>Devis[[#This Row],[Prix de Revient]]*Devis[[#This Row],[Poste 1]]</f>
        <v>0</v>
      </c>
      <c r="W1323" s="74">
        <f>Devis[[#This Row],[Prix de Revient]]*Devis[[#This Row],[Poste 2]]</f>
        <v>0</v>
      </c>
      <c r="X1323" s="74">
        <f>Devis[[#This Row],[Prix de Revient]]*Devis[[#This Row],[Poste 3]]</f>
        <v>0</v>
      </c>
      <c r="Y1323" s="74">
        <f>Devis[[#This Row],[Poste 4]]*Devis[[#This Row],[Prix de Revient]]</f>
        <v>0</v>
      </c>
      <c r="Z1323" s="74">
        <f>Devis[[#This Row],[Poste 5]]*Devis[[#This Row],[Prix de Revient]]</f>
        <v>0</v>
      </c>
      <c r="AA1323" s="74">
        <f>Devis[[#This Row],[Prix de Revient]]*Devis[[#This Row],[Poste 6]]</f>
        <v>0</v>
      </c>
      <c r="AB1323" s="74">
        <f>Devis[[#This Row],[Quantité Totale]]*Devis[[#This Row],[Prix de Revient]]</f>
        <v>0</v>
      </c>
    </row>
    <row r="1324" spans="1:28" ht="14.25" outlineLevel="1" x14ac:dyDescent="0.2">
      <c r="A1324" s="75" t="s">
        <v>3557</v>
      </c>
      <c r="B1324" s="76" t="s">
        <v>1002</v>
      </c>
      <c r="C1324" s="76"/>
      <c r="D1324" s="81" t="str">
        <f t="shared" si="24"/>
        <v>GalvaCourbes mf 45° 40</v>
      </c>
      <c r="E1324" s="76" t="s">
        <v>0</v>
      </c>
      <c r="F1324" s="81">
        <v>6</v>
      </c>
      <c r="G1324" s="86" t="s">
        <v>1005</v>
      </c>
      <c r="H1324" s="71"/>
      <c r="I1324" s="75"/>
      <c r="J1324" s="70">
        <f>IFERROR(VLOOKUP(Devis[[#This Row],[Ref Air Flux]],#REF!,3,FALSE),0)</f>
        <v>0</v>
      </c>
      <c r="K1324" s="68"/>
      <c r="L1324" s="68"/>
      <c r="M1324" s="68"/>
      <c r="N1324" s="68"/>
      <c r="O1324" s="68"/>
      <c r="P1324" s="68"/>
      <c r="Q1324" s="68">
        <f>SUM(Devis[[#This Row],[Poste 1]:[Poste 6]])</f>
        <v>0</v>
      </c>
      <c r="R1324" s="71"/>
      <c r="S1324" s="68">
        <f>_xlfn.CEILING.MATH(Devis[[#This Row],[Quantité Totale]],Devis[[#This Row],[Conditionnement]])</f>
        <v>0</v>
      </c>
      <c r="T1324" s="72"/>
      <c r="U1324" s="106"/>
      <c r="V1324" s="74">
        <f>Devis[[#This Row],[Prix de Revient]]*Devis[[#This Row],[Poste 1]]</f>
        <v>0</v>
      </c>
      <c r="W1324" s="74">
        <f>Devis[[#This Row],[Prix de Revient]]*Devis[[#This Row],[Poste 2]]</f>
        <v>0</v>
      </c>
      <c r="X1324" s="74">
        <f>Devis[[#This Row],[Prix de Revient]]*Devis[[#This Row],[Poste 3]]</f>
        <v>0</v>
      </c>
      <c r="Y1324" s="74">
        <f>Devis[[#This Row],[Poste 4]]*Devis[[#This Row],[Prix de Revient]]</f>
        <v>0</v>
      </c>
      <c r="Z1324" s="74">
        <f>Devis[[#This Row],[Poste 5]]*Devis[[#This Row],[Prix de Revient]]</f>
        <v>0</v>
      </c>
      <c r="AA1324" s="74">
        <f>Devis[[#This Row],[Prix de Revient]]*Devis[[#This Row],[Poste 6]]</f>
        <v>0</v>
      </c>
      <c r="AB1324" s="74">
        <f>Devis[[#This Row],[Quantité Totale]]*Devis[[#This Row],[Prix de Revient]]</f>
        <v>0</v>
      </c>
    </row>
    <row r="1325" spans="1:28" ht="14.25" outlineLevel="1" x14ac:dyDescent="0.2">
      <c r="A1325" s="75" t="s">
        <v>3557</v>
      </c>
      <c r="B1325" s="76" t="s">
        <v>1002</v>
      </c>
      <c r="C1325" s="76"/>
      <c r="D1325" s="81" t="str">
        <f t="shared" si="24"/>
        <v>GalvaCourbes mf 45° 40</v>
      </c>
      <c r="E1325" s="76" t="s">
        <v>49</v>
      </c>
      <c r="F1325" s="81">
        <v>7</v>
      </c>
      <c r="G1325" s="86" t="s">
        <v>1004</v>
      </c>
      <c r="H1325" s="71"/>
      <c r="I1325" s="75"/>
      <c r="J1325" s="70">
        <f>IFERROR(VLOOKUP(Devis[[#This Row],[Ref Air Flux]],#REF!,3,FALSE),0)</f>
        <v>0</v>
      </c>
      <c r="K1325" s="68"/>
      <c r="L1325" s="68"/>
      <c r="M1325" s="68"/>
      <c r="N1325" s="68"/>
      <c r="O1325" s="68"/>
      <c r="P1325" s="68"/>
      <c r="Q1325" s="68">
        <f>SUM(Devis[[#This Row],[Poste 1]:[Poste 6]])</f>
        <v>0</v>
      </c>
      <c r="R1325" s="71"/>
      <c r="S1325" s="68">
        <f>_xlfn.CEILING.MATH(Devis[[#This Row],[Quantité Totale]],Devis[[#This Row],[Conditionnement]])</f>
        <v>0</v>
      </c>
      <c r="T1325" s="72"/>
      <c r="U1325" s="106"/>
      <c r="V1325" s="74">
        <f>Devis[[#This Row],[Prix de Revient]]*Devis[[#This Row],[Poste 1]]</f>
        <v>0</v>
      </c>
      <c r="W1325" s="74">
        <f>Devis[[#This Row],[Prix de Revient]]*Devis[[#This Row],[Poste 2]]</f>
        <v>0</v>
      </c>
      <c r="X1325" s="74">
        <f>Devis[[#This Row],[Prix de Revient]]*Devis[[#This Row],[Poste 3]]</f>
        <v>0</v>
      </c>
      <c r="Y1325" s="74">
        <f>Devis[[#This Row],[Poste 4]]*Devis[[#This Row],[Prix de Revient]]</f>
        <v>0</v>
      </c>
      <c r="Z1325" s="74">
        <f>Devis[[#This Row],[Poste 5]]*Devis[[#This Row],[Prix de Revient]]</f>
        <v>0</v>
      </c>
      <c r="AA1325" s="74">
        <f>Devis[[#This Row],[Prix de Revient]]*Devis[[#This Row],[Poste 6]]</f>
        <v>0</v>
      </c>
      <c r="AB1325" s="74">
        <f>Devis[[#This Row],[Quantité Totale]]*Devis[[#This Row],[Prix de Revient]]</f>
        <v>0</v>
      </c>
    </row>
    <row r="1326" spans="1:28" ht="14.25" outlineLevel="1" x14ac:dyDescent="0.2">
      <c r="A1326" s="75" t="s">
        <v>3557</v>
      </c>
      <c r="B1326" s="76" t="s">
        <v>1002</v>
      </c>
      <c r="C1326" s="76"/>
      <c r="D1326" s="81" t="str">
        <f t="shared" si="24"/>
        <v>GalvaCourbes mf 45° 40</v>
      </c>
      <c r="E1326" s="76" t="s">
        <v>821</v>
      </c>
      <c r="F1326" s="81">
        <v>8</v>
      </c>
      <c r="G1326" s="86" t="s">
        <v>1003</v>
      </c>
      <c r="H1326" s="71"/>
      <c r="I1326" s="75"/>
      <c r="J1326" s="70">
        <f>IFERROR(VLOOKUP(Devis[[#This Row],[Ref Air Flux]],#REF!,3,FALSE),0)</f>
        <v>0</v>
      </c>
      <c r="K1326" s="68"/>
      <c r="L1326" s="68"/>
      <c r="M1326" s="68"/>
      <c r="N1326" s="68"/>
      <c r="O1326" s="68"/>
      <c r="P1326" s="68"/>
      <c r="Q1326" s="68">
        <f>SUM(Devis[[#This Row],[Poste 1]:[Poste 6]])</f>
        <v>0</v>
      </c>
      <c r="R1326" s="71"/>
      <c r="S1326" s="68">
        <f>_xlfn.CEILING.MATH(Devis[[#This Row],[Quantité Totale]],Devis[[#This Row],[Conditionnement]])</f>
        <v>0</v>
      </c>
      <c r="T1326" s="72"/>
      <c r="U1326" s="106"/>
      <c r="V1326" s="74">
        <f>Devis[[#This Row],[Prix de Revient]]*Devis[[#This Row],[Poste 1]]</f>
        <v>0</v>
      </c>
      <c r="W1326" s="74">
        <f>Devis[[#This Row],[Prix de Revient]]*Devis[[#This Row],[Poste 2]]</f>
        <v>0</v>
      </c>
      <c r="X1326" s="74">
        <f>Devis[[#This Row],[Prix de Revient]]*Devis[[#This Row],[Poste 3]]</f>
        <v>0</v>
      </c>
      <c r="Y1326" s="74">
        <f>Devis[[#This Row],[Poste 4]]*Devis[[#This Row],[Prix de Revient]]</f>
        <v>0</v>
      </c>
      <c r="Z1326" s="74">
        <f>Devis[[#This Row],[Poste 5]]*Devis[[#This Row],[Prix de Revient]]</f>
        <v>0</v>
      </c>
      <c r="AA1326" s="74">
        <f>Devis[[#This Row],[Prix de Revient]]*Devis[[#This Row],[Poste 6]]</f>
        <v>0</v>
      </c>
      <c r="AB1326" s="74">
        <f>Devis[[#This Row],[Quantité Totale]]*Devis[[#This Row],[Prix de Revient]]</f>
        <v>0</v>
      </c>
    </row>
    <row r="1327" spans="1:28" ht="14.25" outlineLevel="1" x14ac:dyDescent="0.2">
      <c r="A1327" s="75" t="s">
        <v>3557</v>
      </c>
      <c r="B1327" s="76" t="s">
        <v>1002</v>
      </c>
      <c r="C1327" s="76"/>
      <c r="D1327" s="81" t="str">
        <f t="shared" si="24"/>
        <v>GalvaCourbes mf 45° 40</v>
      </c>
      <c r="E1327" s="80" t="s">
        <v>18</v>
      </c>
      <c r="F1327" s="81">
        <v>9</v>
      </c>
      <c r="G1327" s="86" t="s">
        <v>1009</v>
      </c>
      <c r="H1327" s="71"/>
      <c r="I1327" s="105"/>
      <c r="J1327" s="70">
        <f>IFERROR(VLOOKUP(Devis[[#This Row],[Ref Air Flux]],#REF!,3,FALSE),0)</f>
        <v>0</v>
      </c>
      <c r="K1327" s="68"/>
      <c r="L1327" s="68"/>
      <c r="M1327" s="68"/>
      <c r="N1327" s="68"/>
      <c r="O1327" s="68"/>
      <c r="P1327" s="68"/>
      <c r="Q1327" s="68">
        <f>SUM(Devis[[#This Row],[Poste 1]:[Poste 6]])</f>
        <v>0</v>
      </c>
      <c r="R1327" s="71"/>
      <c r="S1327" s="68">
        <f>_xlfn.CEILING.MATH(Devis[[#This Row],[Quantité Totale]],Devis[[#This Row],[Conditionnement]])</f>
        <v>0</v>
      </c>
      <c r="T1327" s="72"/>
      <c r="U1327" s="106"/>
      <c r="V1327" s="74">
        <f>Devis[[#This Row],[Prix de Revient]]*Devis[[#This Row],[Poste 1]]</f>
        <v>0</v>
      </c>
      <c r="W1327" s="74">
        <f>Devis[[#This Row],[Prix de Revient]]*Devis[[#This Row],[Poste 2]]</f>
        <v>0</v>
      </c>
      <c r="X1327" s="74">
        <f>Devis[[#This Row],[Prix de Revient]]*Devis[[#This Row],[Poste 3]]</f>
        <v>0</v>
      </c>
      <c r="Y1327" s="74">
        <f>Devis[[#This Row],[Poste 4]]*Devis[[#This Row],[Prix de Revient]]</f>
        <v>0</v>
      </c>
      <c r="Z1327" s="74">
        <f>Devis[[#This Row],[Poste 5]]*Devis[[#This Row],[Prix de Revient]]</f>
        <v>0</v>
      </c>
      <c r="AA1327" s="74">
        <f>Devis[[#This Row],[Prix de Revient]]*Devis[[#This Row],[Poste 6]]</f>
        <v>0</v>
      </c>
      <c r="AB1327" s="74">
        <f>Devis[[#This Row],[Quantité Totale]]*Devis[[#This Row],[Prix de Revient]]</f>
        <v>0</v>
      </c>
    </row>
    <row r="1328" spans="1:28" ht="14.25" outlineLevel="1" x14ac:dyDescent="0.2">
      <c r="A1328" s="75" t="s">
        <v>3557</v>
      </c>
      <c r="B1328" s="76" t="s">
        <v>1002</v>
      </c>
      <c r="C1328" s="76"/>
      <c r="D1328" s="81" t="str">
        <f t="shared" si="24"/>
        <v>GalvaCourbes mf 45° 40</v>
      </c>
      <c r="E1328" s="80" t="s">
        <v>16</v>
      </c>
      <c r="F1328" s="81">
        <v>10</v>
      </c>
      <c r="G1328" s="86" t="s">
        <v>1011</v>
      </c>
      <c r="H1328" s="71"/>
      <c r="I1328" s="105"/>
      <c r="J1328" s="70">
        <f>IFERROR(VLOOKUP(Devis[[#This Row],[Ref Air Flux]],#REF!,3,FALSE),0)</f>
        <v>0</v>
      </c>
      <c r="K1328" s="68"/>
      <c r="L1328" s="68"/>
      <c r="M1328" s="68"/>
      <c r="N1328" s="68"/>
      <c r="O1328" s="68"/>
      <c r="P1328" s="68"/>
      <c r="Q1328" s="68">
        <f>SUM(Devis[[#This Row],[Poste 1]:[Poste 6]])</f>
        <v>0</v>
      </c>
      <c r="R1328" s="71"/>
      <c r="S1328" s="68">
        <f>_xlfn.CEILING.MATH(Devis[[#This Row],[Quantité Totale]],Devis[[#This Row],[Conditionnement]])</f>
        <v>0</v>
      </c>
      <c r="T1328" s="72"/>
      <c r="U1328" s="106"/>
      <c r="V1328" s="74">
        <f>Devis[[#This Row],[Prix de Revient]]*Devis[[#This Row],[Poste 1]]</f>
        <v>0</v>
      </c>
      <c r="W1328" s="74">
        <f>Devis[[#This Row],[Prix de Revient]]*Devis[[#This Row],[Poste 2]]</f>
        <v>0</v>
      </c>
      <c r="X1328" s="74">
        <f>Devis[[#This Row],[Prix de Revient]]*Devis[[#This Row],[Poste 3]]</f>
        <v>0</v>
      </c>
      <c r="Y1328" s="74">
        <f>Devis[[#This Row],[Poste 4]]*Devis[[#This Row],[Prix de Revient]]</f>
        <v>0</v>
      </c>
      <c r="Z1328" s="74">
        <f>Devis[[#This Row],[Poste 5]]*Devis[[#This Row],[Prix de Revient]]</f>
        <v>0</v>
      </c>
      <c r="AA1328" s="74">
        <f>Devis[[#This Row],[Prix de Revient]]*Devis[[#This Row],[Poste 6]]</f>
        <v>0</v>
      </c>
      <c r="AB1328" s="74">
        <f>Devis[[#This Row],[Quantité Totale]]*Devis[[#This Row],[Prix de Revient]]</f>
        <v>0</v>
      </c>
    </row>
    <row r="1329" spans="1:28" ht="14.25" customHeight="1" x14ac:dyDescent="0.25">
      <c r="A1329" s="65" t="s">
        <v>3557</v>
      </c>
      <c r="B1329" s="109" t="s">
        <v>1013</v>
      </c>
      <c r="C1329" s="76"/>
      <c r="D1329" s="81" t="str">
        <f t="shared" si="24"/>
        <v>GalvaCroix 180</v>
      </c>
      <c r="E1329" s="76"/>
      <c r="F1329" s="81">
        <v>0</v>
      </c>
      <c r="G1329" s="86"/>
      <c r="H1329" s="71"/>
      <c r="I1329" s="75"/>
      <c r="J1329" s="70">
        <f>IFERROR(VLOOKUP(Devis[[#This Row],[Ref Air Flux]],#REF!,3,FALSE),0)</f>
        <v>0</v>
      </c>
      <c r="K1329" s="68"/>
      <c r="L1329" s="68"/>
      <c r="M1329" s="68"/>
      <c r="N1329" s="68"/>
      <c r="O1329" s="68"/>
      <c r="P1329" s="68"/>
      <c r="Q1329" s="68">
        <f>SUM(Devis[[#This Row],[Poste 1]:[Poste 6]])</f>
        <v>0</v>
      </c>
      <c r="R1329" s="71"/>
      <c r="S1329" s="68">
        <f>_xlfn.CEILING.MATH(Devis[[#This Row],[Quantité Totale]],Devis[[#This Row],[Conditionnement]])</f>
        <v>0</v>
      </c>
      <c r="T1329" s="72"/>
      <c r="U1329" s="106"/>
      <c r="V1329" s="74">
        <f>Devis[[#This Row],[Prix de Revient]]*Devis[[#This Row],[Poste 1]]</f>
        <v>0</v>
      </c>
      <c r="W1329" s="74">
        <f>Devis[[#This Row],[Prix de Revient]]*Devis[[#This Row],[Poste 2]]</f>
        <v>0</v>
      </c>
      <c r="X1329" s="74">
        <f>Devis[[#This Row],[Prix de Revient]]*Devis[[#This Row],[Poste 3]]</f>
        <v>0</v>
      </c>
      <c r="Y1329" s="74">
        <f>Devis[[#This Row],[Poste 4]]*Devis[[#This Row],[Prix de Revient]]</f>
        <v>0</v>
      </c>
      <c r="Z1329" s="74">
        <f>Devis[[#This Row],[Poste 5]]*Devis[[#This Row],[Prix de Revient]]</f>
        <v>0</v>
      </c>
      <c r="AA1329" s="74">
        <f>Devis[[#This Row],[Prix de Revient]]*Devis[[#This Row],[Poste 6]]</f>
        <v>0</v>
      </c>
      <c r="AB1329" s="74">
        <f>Devis[[#This Row],[Quantité Totale]]*Devis[[#This Row],[Prix de Revient]]</f>
        <v>0</v>
      </c>
    </row>
    <row r="1330" spans="1:28" ht="14.25" outlineLevel="1" x14ac:dyDescent="0.2">
      <c r="A1330" s="75" t="s">
        <v>3557</v>
      </c>
      <c r="B1330" s="80" t="s">
        <v>1013</v>
      </c>
      <c r="C1330" s="80"/>
      <c r="D1330" s="81" t="str">
        <f t="shared" si="24"/>
        <v>GalvaCroix 180</v>
      </c>
      <c r="E1330" s="76" t="s">
        <v>19</v>
      </c>
      <c r="F1330" s="81">
        <v>1</v>
      </c>
      <c r="G1330" s="86" t="s">
        <v>1017</v>
      </c>
      <c r="H1330" s="71"/>
      <c r="I1330" s="75"/>
      <c r="J1330" s="70">
        <f>IFERROR(VLOOKUP(Devis[[#This Row],[Ref Air Flux]],#REF!,3,FALSE),0)</f>
        <v>0</v>
      </c>
      <c r="K1330" s="68"/>
      <c r="L1330" s="68"/>
      <c r="M1330" s="68"/>
      <c r="N1330" s="68"/>
      <c r="O1330" s="68"/>
      <c r="P1330" s="68"/>
      <c r="Q1330" s="68">
        <f>SUM(Devis[[#This Row],[Poste 1]:[Poste 6]])</f>
        <v>0</v>
      </c>
      <c r="R1330" s="71"/>
      <c r="S1330" s="68">
        <f>_xlfn.CEILING.MATH(Devis[[#This Row],[Quantité Totale]],Devis[[#This Row],[Conditionnement]])</f>
        <v>0</v>
      </c>
      <c r="T1330" s="72"/>
      <c r="U1330" s="106"/>
      <c r="V1330" s="74">
        <f>Devis[[#This Row],[Prix de Revient]]*Devis[[#This Row],[Poste 1]]</f>
        <v>0</v>
      </c>
      <c r="W1330" s="74">
        <f>Devis[[#This Row],[Prix de Revient]]*Devis[[#This Row],[Poste 2]]</f>
        <v>0</v>
      </c>
      <c r="X1330" s="74">
        <f>Devis[[#This Row],[Prix de Revient]]*Devis[[#This Row],[Poste 3]]</f>
        <v>0</v>
      </c>
      <c r="Y1330" s="74">
        <f>Devis[[#This Row],[Poste 4]]*Devis[[#This Row],[Prix de Revient]]</f>
        <v>0</v>
      </c>
      <c r="Z1330" s="74">
        <f>Devis[[#This Row],[Poste 5]]*Devis[[#This Row],[Prix de Revient]]</f>
        <v>0</v>
      </c>
      <c r="AA1330" s="74">
        <f>Devis[[#This Row],[Prix de Revient]]*Devis[[#This Row],[Poste 6]]</f>
        <v>0</v>
      </c>
      <c r="AB1330" s="74">
        <f>Devis[[#This Row],[Quantité Totale]]*Devis[[#This Row],[Prix de Revient]]</f>
        <v>0</v>
      </c>
    </row>
    <row r="1331" spans="1:28" ht="14.25" outlineLevel="1" x14ac:dyDescent="0.2">
      <c r="A1331" s="75" t="s">
        <v>3557</v>
      </c>
      <c r="B1331" s="80" t="s">
        <v>1013</v>
      </c>
      <c r="C1331" s="80"/>
      <c r="D1331" s="81" t="str">
        <f t="shared" si="24"/>
        <v>GalvaCroix 180</v>
      </c>
      <c r="E1331" s="76" t="s">
        <v>21</v>
      </c>
      <c r="F1331" s="81">
        <v>2</v>
      </c>
      <c r="G1331" s="86" t="s">
        <v>1015</v>
      </c>
      <c r="H1331" s="71"/>
      <c r="I1331" s="75"/>
      <c r="J1331" s="70">
        <f>IFERROR(VLOOKUP(Devis[[#This Row],[Ref Air Flux]],#REF!,3,FALSE),0)</f>
        <v>0</v>
      </c>
      <c r="K1331" s="68"/>
      <c r="L1331" s="68"/>
      <c r="M1331" s="68"/>
      <c r="N1331" s="68"/>
      <c r="O1331" s="68"/>
      <c r="P1331" s="68"/>
      <c r="Q1331" s="68">
        <f>SUM(Devis[[#This Row],[Poste 1]:[Poste 6]])</f>
        <v>0</v>
      </c>
      <c r="R1331" s="71"/>
      <c r="S1331" s="68">
        <f>_xlfn.CEILING.MATH(Devis[[#This Row],[Quantité Totale]],Devis[[#This Row],[Conditionnement]])</f>
        <v>0</v>
      </c>
      <c r="T1331" s="72"/>
      <c r="U1331" s="106"/>
      <c r="V1331" s="74">
        <f>Devis[[#This Row],[Prix de Revient]]*Devis[[#This Row],[Poste 1]]</f>
        <v>0</v>
      </c>
      <c r="W1331" s="74">
        <f>Devis[[#This Row],[Prix de Revient]]*Devis[[#This Row],[Poste 2]]</f>
        <v>0</v>
      </c>
      <c r="X1331" s="74">
        <f>Devis[[#This Row],[Prix de Revient]]*Devis[[#This Row],[Poste 3]]</f>
        <v>0</v>
      </c>
      <c r="Y1331" s="74">
        <f>Devis[[#This Row],[Poste 4]]*Devis[[#This Row],[Prix de Revient]]</f>
        <v>0</v>
      </c>
      <c r="Z1331" s="74">
        <f>Devis[[#This Row],[Poste 5]]*Devis[[#This Row],[Prix de Revient]]</f>
        <v>0</v>
      </c>
      <c r="AA1331" s="74">
        <f>Devis[[#This Row],[Prix de Revient]]*Devis[[#This Row],[Poste 6]]</f>
        <v>0</v>
      </c>
      <c r="AB1331" s="74">
        <f>Devis[[#This Row],[Quantité Totale]]*Devis[[#This Row],[Prix de Revient]]</f>
        <v>0</v>
      </c>
    </row>
    <row r="1332" spans="1:28" ht="15" customHeight="1" outlineLevel="1" x14ac:dyDescent="0.2">
      <c r="A1332" s="75" t="s">
        <v>3557</v>
      </c>
      <c r="B1332" s="80" t="s">
        <v>1013</v>
      </c>
      <c r="C1332" s="80"/>
      <c r="D1332" s="81" t="str">
        <f t="shared" si="24"/>
        <v>GalvaCroix 180</v>
      </c>
      <c r="E1332" s="76" t="s">
        <v>20</v>
      </c>
      <c r="F1332" s="81">
        <v>3</v>
      </c>
      <c r="G1332" s="86" t="s">
        <v>1016</v>
      </c>
      <c r="H1332" s="71"/>
      <c r="I1332" s="75"/>
      <c r="J1332" s="70">
        <f>IFERROR(VLOOKUP(Devis[[#This Row],[Ref Air Flux]],#REF!,3,FALSE),0)</f>
        <v>0</v>
      </c>
      <c r="K1332" s="68"/>
      <c r="L1332" s="68"/>
      <c r="M1332" s="68"/>
      <c r="N1332" s="68"/>
      <c r="O1332" s="68"/>
      <c r="P1332" s="68"/>
      <c r="Q1332" s="68">
        <f>SUM(Devis[[#This Row],[Poste 1]:[Poste 6]])</f>
        <v>0</v>
      </c>
      <c r="R1332" s="71"/>
      <c r="S1332" s="68">
        <f>_xlfn.CEILING.MATH(Devis[[#This Row],[Quantité Totale]],Devis[[#This Row],[Conditionnement]])</f>
        <v>0</v>
      </c>
      <c r="T1332" s="72"/>
      <c r="U1332" s="106"/>
      <c r="V1332" s="74">
        <f>Devis[[#This Row],[Prix de Revient]]*Devis[[#This Row],[Poste 1]]</f>
        <v>0</v>
      </c>
      <c r="W1332" s="74">
        <f>Devis[[#This Row],[Prix de Revient]]*Devis[[#This Row],[Poste 2]]</f>
        <v>0</v>
      </c>
      <c r="X1332" s="74">
        <f>Devis[[#This Row],[Prix de Revient]]*Devis[[#This Row],[Poste 3]]</f>
        <v>0</v>
      </c>
      <c r="Y1332" s="74">
        <f>Devis[[#This Row],[Poste 4]]*Devis[[#This Row],[Prix de Revient]]</f>
        <v>0</v>
      </c>
      <c r="Z1332" s="74">
        <f>Devis[[#This Row],[Poste 5]]*Devis[[#This Row],[Prix de Revient]]</f>
        <v>0</v>
      </c>
      <c r="AA1332" s="74">
        <f>Devis[[#This Row],[Prix de Revient]]*Devis[[#This Row],[Poste 6]]</f>
        <v>0</v>
      </c>
      <c r="AB1332" s="74">
        <f>Devis[[#This Row],[Quantité Totale]]*Devis[[#This Row],[Prix de Revient]]</f>
        <v>0</v>
      </c>
    </row>
    <row r="1333" spans="1:28" ht="14.25" outlineLevel="1" x14ac:dyDescent="0.2">
      <c r="A1333" s="75" t="s">
        <v>3557</v>
      </c>
      <c r="B1333" s="80" t="s">
        <v>1013</v>
      </c>
      <c r="C1333" s="80"/>
      <c r="D1333" s="81" t="str">
        <f t="shared" si="24"/>
        <v>GalvaCroix 180</v>
      </c>
      <c r="E1333" s="80" t="s">
        <v>17</v>
      </c>
      <c r="F1333" s="81">
        <v>4</v>
      </c>
      <c r="G1333" s="86" t="s">
        <v>1019</v>
      </c>
      <c r="H1333" s="71"/>
      <c r="I1333" s="105"/>
      <c r="J1333" s="70">
        <f>IFERROR(VLOOKUP(Devis[[#This Row],[Ref Air Flux]],#REF!,3,FALSE),0)</f>
        <v>0</v>
      </c>
      <c r="K1333" s="68"/>
      <c r="L1333" s="68"/>
      <c r="M1333" s="68"/>
      <c r="N1333" s="68"/>
      <c r="O1333" s="68"/>
      <c r="P1333" s="68"/>
      <c r="Q1333" s="68">
        <f>SUM(Devis[[#This Row],[Poste 1]:[Poste 6]])</f>
        <v>0</v>
      </c>
      <c r="R1333" s="71"/>
      <c r="S1333" s="68">
        <f>_xlfn.CEILING.MATH(Devis[[#This Row],[Quantité Totale]],Devis[[#This Row],[Conditionnement]])</f>
        <v>0</v>
      </c>
      <c r="T1333" s="72"/>
      <c r="U1333" s="106"/>
      <c r="V1333" s="74">
        <f>Devis[[#This Row],[Prix de Revient]]*Devis[[#This Row],[Poste 1]]</f>
        <v>0</v>
      </c>
      <c r="W1333" s="74">
        <f>Devis[[#This Row],[Prix de Revient]]*Devis[[#This Row],[Poste 2]]</f>
        <v>0</v>
      </c>
      <c r="X1333" s="74">
        <f>Devis[[#This Row],[Prix de Revient]]*Devis[[#This Row],[Poste 3]]</f>
        <v>0</v>
      </c>
      <c r="Y1333" s="74">
        <f>Devis[[#This Row],[Poste 4]]*Devis[[#This Row],[Prix de Revient]]</f>
        <v>0</v>
      </c>
      <c r="Z1333" s="74">
        <f>Devis[[#This Row],[Poste 5]]*Devis[[#This Row],[Prix de Revient]]</f>
        <v>0</v>
      </c>
      <c r="AA1333" s="74">
        <f>Devis[[#This Row],[Prix de Revient]]*Devis[[#This Row],[Poste 6]]</f>
        <v>0</v>
      </c>
      <c r="AB1333" s="74">
        <f>Devis[[#This Row],[Quantité Totale]]*Devis[[#This Row],[Prix de Revient]]</f>
        <v>0</v>
      </c>
    </row>
    <row r="1334" spans="1:28" ht="14.25" outlineLevel="1" x14ac:dyDescent="0.2">
      <c r="A1334" s="75" t="s">
        <v>3557</v>
      </c>
      <c r="B1334" s="80" t="s">
        <v>1013</v>
      </c>
      <c r="C1334" s="80"/>
      <c r="D1334" s="81" t="str">
        <f t="shared" si="24"/>
        <v>GalvaCroix 180</v>
      </c>
      <c r="E1334" s="80" t="s">
        <v>46</v>
      </c>
      <c r="F1334" s="81">
        <v>5</v>
      </c>
      <c r="G1334" s="86" t="s">
        <v>1021</v>
      </c>
      <c r="H1334" s="71"/>
      <c r="I1334" s="105"/>
      <c r="J1334" s="70">
        <f>IFERROR(VLOOKUP(Devis[[#This Row],[Ref Air Flux]],#REF!,3,FALSE),0)</f>
        <v>0</v>
      </c>
      <c r="K1334" s="68"/>
      <c r="L1334" s="68"/>
      <c r="M1334" s="68"/>
      <c r="N1334" s="68"/>
      <c r="O1334" s="68"/>
      <c r="P1334" s="68"/>
      <c r="Q1334" s="68">
        <f>SUM(Devis[[#This Row],[Poste 1]:[Poste 6]])</f>
        <v>0</v>
      </c>
      <c r="R1334" s="71"/>
      <c r="S1334" s="68">
        <f>_xlfn.CEILING.MATH(Devis[[#This Row],[Quantité Totale]],Devis[[#This Row],[Conditionnement]])</f>
        <v>0</v>
      </c>
      <c r="T1334" s="72"/>
      <c r="U1334" s="106"/>
      <c r="V1334" s="74">
        <f>Devis[[#This Row],[Prix de Revient]]*Devis[[#This Row],[Poste 1]]</f>
        <v>0</v>
      </c>
      <c r="W1334" s="74">
        <f>Devis[[#This Row],[Prix de Revient]]*Devis[[#This Row],[Poste 2]]</f>
        <v>0</v>
      </c>
      <c r="X1334" s="74">
        <f>Devis[[#This Row],[Prix de Revient]]*Devis[[#This Row],[Poste 3]]</f>
        <v>0</v>
      </c>
      <c r="Y1334" s="74">
        <f>Devis[[#This Row],[Poste 4]]*Devis[[#This Row],[Prix de Revient]]</f>
        <v>0</v>
      </c>
      <c r="Z1334" s="74">
        <f>Devis[[#This Row],[Poste 5]]*Devis[[#This Row],[Prix de Revient]]</f>
        <v>0</v>
      </c>
      <c r="AA1334" s="74">
        <f>Devis[[#This Row],[Prix de Revient]]*Devis[[#This Row],[Poste 6]]</f>
        <v>0</v>
      </c>
      <c r="AB1334" s="74">
        <f>Devis[[#This Row],[Quantité Totale]]*Devis[[#This Row],[Prix de Revient]]</f>
        <v>0</v>
      </c>
    </row>
    <row r="1335" spans="1:28" ht="14.25" outlineLevel="1" x14ac:dyDescent="0.2">
      <c r="A1335" s="75" t="s">
        <v>3557</v>
      </c>
      <c r="B1335" s="80" t="s">
        <v>1013</v>
      </c>
      <c r="C1335" s="80"/>
      <c r="D1335" s="81" t="str">
        <f t="shared" si="24"/>
        <v>GalvaCroix 180</v>
      </c>
      <c r="E1335" s="76" t="s">
        <v>0</v>
      </c>
      <c r="F1335" s="81">
        <v>6</v>
      </c>
      <c r="G1335" s="86" t="s">
        <v>1014</v>
      </c>
      <c r="H1335" s="71"/>
      <c r="I1335" s="75"/>
      <c r="J1335" s="70">
        <f>IFERROR(VLOOKUP(Devis[[#This Row],[Ref Air Flux]],#REF!,3,FALSE),0)</f>
        <v>0</v>
      </c>
      <c r="K1335" s="68"/>
      <c r="L1335" s="68"/>
      <c r="M1335" s="68"/>
      <c r="N1335" s="68"/>
      <c r="O1335" s="68"/>
      <c r="P1335" s="68"/>
      <c r="Q1335" s="68">
        <f>SUM(Devis[[#This Row],[Poste 1]:[Poste 6]])</f>
        <v>0</v>
      </c>
      <c r="R1335" s="71"/>
      <c r="S1335" s="68">
        <f>_xlfn.CEILING.MATH(Devis[[#This Row],[Quantité Totale]],Devis[[#This Row],[Conditionnement]])</f>
        <v>0</v>
      </c>
      <c r="T1335" s="72"/>
      <c r="U1335" s="106"/>
      <c r="V1335" s="74">
        <f>Devis[[#This Row],[Prix de Revient]]*Devis[[#This Row],[Poste 1]]</f>
        <v>0</v>
      </c>
      <c r="W1335" s="74">
        <f>Devis[[#This Row],[Prix de Revient]]*Devis[[#This Row],[Poste 2]]</f>
        <v>0</v>
      </c>
      <c r="X1335" s="74">
        <f>Devis[[#This Row],[Prix de Revient]]*Devis[[#This Row],[Poste 3]]</f>
        <v>0</v>
      </c>
      <c r="Y1335" s="74">
        <f>Devis[[#This Row],[Poste 4]]*Devis[[#This Row],[Prix de Revient]]</f>
        <v>0</v>
      </c>
      <c r="Z1335" s="74">
        <f>Devis[[#This Row],[Poste 5]]*Devis[[#This Row],[Prix de Revient]]</f>
        <v>0</v>
      </c>
      <c r="AA1335" s="74">
        <f>Devis[[#This Row],[Prix de Revient]]*Devis[[#This Row],[Poste 6]]</f>
        <v>0</v>
      </c>
      <c r="AB1335" s="74">
        <f>Devis[[#This Row],[Quantité Totale]]*Devis[[#This Row],[Prix de Revient]]</f>
        <v>0</v>
      </c>
    </row>
    <row r="1336" spans="1:28" ht="14.25" outlineLevel="1" x14ac:dyDescent="0.2">
      <c r="A1336" s="75" t="s">
        <v>3557</v>
      </c>
      <c r="B1336" s="80" t="s">
        <v>1013</v>
      </c>
      <c r="C1336" s="80"/>
      <c r="D1336" s="81" t="str">
        <f t="shared" si="24"/>
        <v>GalvaCroix 180</v>
      </c>
      <c r="E1336" s="80" t="s">
        <v>18</v>
      </c>
      <c r="F1336" s="81">
        <v>7</v>
      </c>
      <c r="G1336" s="86" t="s">
        <v>1018</v>
      </c>
      <c r="H1336" s="71"/>
      <c r="I1336" s="105"/>
      <c r="J1336" s="70">
        <f>IFERROR(VLOOKUP(Devis[[#This Row],[Ref Air Flux]],#REF!,3,FALSE),0)</f>
        <v>0</v>
      </c>
      <c r="K1336" s="68"/>
      <c r="L1336" s="68"/>
      <c r="M1336" s="68"/>
      <c r="N1336" s="68"/>
      <c r="O1336" s="68"/>
      <c r="P1336" s="68"/>
      <c r="Q1336" s="68">
        <f>SUM(Devis[[#This Row],[Poste 1]:[Poste 6]])</f>
        <v>0</v>
      </c>
      <c r="R1336" s="71"/>
      <c r="S1336" s="68">
        <f>_xlfn.CEILING.MATH(Devis[[#This Row],[Quantité Totale]],Devis[[#This Row],[Conditionnement]])</f>
        <v>0</v>
      </c>
      <c r="T1336" s="72"/>
      <c r="U1336" s="106"/>
      <c r="V1336" s="74">
        <f>Devis[[#This Row],[Prix de Revient]]*Devis[[#This Row],[Poste 1]]</f>
        <v>0</v>
      </c>
      <c r="W1336" s="74">
        <f>Devis[[#This Row],[Prix de Revient]]*Devis[[#This Row],[Poste 2]]</f>
        <v>0</v>
      </c>
      <c r="X1336" s="74">
        <f>Devis[[#This Row],[Prix de Revient]]*Devis[[#This Row],[Poste 3]]</f>
        <v>0</v>
      </c>
      <c r="Y1336" s="74">
        <f>Devis[[#This Row],[Poste 4]]*Devis[[#This Row],[Prix de Revient]]</f>
        <v>0</v>
      </c>
      <c r="Z1336" s="74">
        <f>Devis[[#This Row],[Poste 5]]*Devis[[#This Row],[Prix de Revient]]</f>
        <v>0</v>
      </c>
      <c r="AA1336" s="74">
        <f>Devis[[#This Row],[Prix de Revient]]*Devis[[#This Row],[Poste 6]]</f>
        <v>0</v>
      </c>
      <c r="AB1336" s="74">
        <f>Devis[[#This Row],[Quantité Totale]]*Devis[[#This Row],[Prix de Revient]]</f>
        <v>0</v>
      </c>
    </row>
    <row r="1337" spans="1:28" ht="14.25" outlineLevel="1" x14ac:dyDescent="0.2">
      <c r="A1337" s="75" t="s">
        <v>3557</v>
      </c>
      <c r="B1337" s="80" t="s">
        <v>1013</v>
      </c>
      <c r="C1337" s="80"/>
      <c r="D1337" s="81" t="str">
        <f t="shared" si="24"/>
        <v>GalvaCroix 180</v>
      </c>
      <c r="E1337" s="80" t="s">
        <v>16</v>
      </c>
      <c r="F1337" s="81">
        <v>8</v>
      </c>
      <c r="G1337" s="86" t="s">
        <v>1020</v>
      </c>
      <c r="H1337" s="71"/>
      <c r="I1337" s="105"/>
      <c r="J1337" s="70">
        <f>IFERROR(VLOOKUP(Devis[[#This Row],[Ref Air Flux]],#REF!,3,FALSE),0)</f>
        <v>0</v>
      </c>
      <c r="K1337" s="68"/>
      <c r="L1337" s="68"/>
      <c r="M1337" s="68"/>
      <c r="N1337" s="68"/>
      <c r="O1337" s="68"/>
      <c r="P1337" s="68"/>
      <c r="Q1337" s="68">
        <f>SUM(Devis[[#This Row],[Poste 1]:[Poste 6]])</f>
        <v>0</v>
      </c>
      <c r="R1337" s="71"/>
      <c r="S1337" s="68">
        <f>_xlfn.CEILING.MATH(Devis[[#This Row],[Quantité Totale]],Devis[[#This Row],[Conditionnement]])</f>
        <v>0</v>
      </c>
      <c r="T1337" s="72"/>
      <c r="U1337" s="106"/>
      <c r="V1337" s="74">
        <f>Devis[[#This Row],[Prix de Revient]]*Devis[[#This Row],[Poste 1]]</f>
        <v>0</v>
      </c>
      <c r="W1337" s="74">
        <f>Devis[[#This Row],[Prix de Revient]]*Devis[[#This Row],[Poste 2]]</f>
        <v>0</v>
      </c>
      <c r="X1337" s="74">
        <f>Devis[[#This Row],[Prix de Revient]]*Devis[[#This Row],[Poste 3]]</f>
        <v>0</v>
      </c>
      <c r="Y1337" s="74">
        <f>Devis[[#This Row],[Poste 4]]*Devis[[#This Row],[Prix de Revient]]</f>
        <v>0</v>
      </c>
      <c r="Z1337" s="74">
        <f>Devis[[#This Row],[Poste 5]]*Devis[[#This Row],[Prix de Revient]]</f>
        <v>0</v>
      </c>
      <c r="AA1337" s="74">
        <f>Devis[[#This Row],[Prix de Revient]]*Devis[[#This Row],[Poste 6]]</f>
        <v>0</v>
      </c>
      <c r="AB1337" s="74">
        <f>Devis[[#This Row],[Quantité Totale]]*Devis[[#This Row],[Prix de Revient]]</f>
        <v>0</v>
      </c>
    </row>
    <row r="1338" spans="1:28" ht="14.25" customHeight="1" x14ac:dyDescent="0.25">
      <c r="A1338" s="65" t="s">
        <v>3557</v>
      </c>
      <c r="B1338" s="109" t="s">
        <v>1022</v>
      </c>
      <c r="C1338" s="76"/>
      <c r="D1338" s="81" t="str">
        <f t="shared" si="24"/>
        <v>GalvaDistributeurs Y 220</v>
      </c>
      <c r="E1338" s="76"/>
      <c r="F1338" s="81">
        <v>0</v>
      </c>
      <c r="G1338" s="86"/>
      <c r="H1338" s="71"/>
      <c r="I1338" s="75"/>
      <c r="J1338" s="70">
        <f>IFERROR(VLOOKUP(Devis[[#This Row],[Ref Air Flux]],#REF!,3,FALSE),0)</f>
        <v>0</v>
      </c>
      <c r="K1338" s="68"/>
      <c r="L1338" s="68"/>
      <c r="M1338" s="68"/>
      <c r="N1338" s="68"/>
      <c r="O1338" s="68"/>
      <c r="P1338" s="68"/>
      <c r="Q1338" s="68">
        <f>SUM(Devis[[#This Row],[Poste 1]:[Poste 6]])</f>
        <v>0</v>
      </c>
      <c r="R1338" s="71"/>
      <c r="S1338" s="68">
        <f>_xlfn.CEILING.MATH(Devis[[#This Row],[Quantité Totale]],Devis[[#This Row],[Conditionnement]])</f>
        <v>0</v>
      </c>
      <c r="T1338" s="72"/>
      <c r="U1338" s="106"/>
      <c r="V1338" s="74">
        <f>Devis[[#This Row],[Prix de Revient]]*Devis[[#This Row],[Poste 1]]</f>
        <v>0</v>
      </c>
      <c r="W1338" s="74">
        <f>Devis[[#This Row],[Prix de Revient]]*Devis[[#This Row],[Poste 2]]</f>
        <v>0</v>
      </c>
      <c r="X1338" s="74">
        <f>Devis[[#This Row],[Prix de Revient]]*Devis[[#This Row],[Poste 3]]</f>
        <v>0</v>
      </c>
      <c r="Y1338" s="74">
        <f>Devis[[#This Row],[Poste 4]]*Devis[[#This Row],[Prix de Revient]]</f>
        <v>0</v>
      </c>
      <c r="Z1338" s="74">
        <f>Devis[[#This Row],[Poste 5]]*Devis[[#This Row],[Prix de Revient]]</f>
        <v>0</v>
      </c>
      <c r="AA1338" s="74">
        <f>Devis[[#This Row],[Prix de Revient]]*Devis[[#This Row],[Poste 6]]</f>
        <v>0</v>
      </c>
      <c r="AB1338" s="74">
        <f>Devis[[#This Row],[Quantité Totale]]*Devis[[#This Row],[Prix de Revient]]</f>
        <v>0</v>
      </c>
    </row>
    <row r="1339" spans="1:28" ht="14.25" outlineLevel="1" x14ac:dyDescent="0.2">
      <c r="A1339" s="75" t="s">
        <v>3557</v>
      </c>
      <c r="B1339" s="80" t="s">
        <v>1022</v>
      </c>
      <c r="C1339" s="80"/>
      <c r="D1339" s="81" t="str">
        <f t="shared" si="24"/>
        <v>GalvaDistributeurs Y 220</v>
      </c>
      <c r="E1339" s="76" t="s">
        <v>19</v>
      </c>
      <c r="F1339" s="81">
        <v>1</v>
      </c>
      <c r="G1339" s="86" t="s">
        <v>1025</v>
      </c>
      <c r="H1339" s="71"/>
      <c r="I1339" s="75"/>
      <c r="J1339" s="70">
        <f>IFERROR(VLOOKUP(Devis[[#This Row],[Ref Air Flux]],#REF!,3,FALSE),0)</f>
        <v>0</v>
      </c>
      <c r="K1339" s="68"/>
      <c r="L1339" s="68"/>
      <c r="M1339" s="68"/>
      <c r="N1339" s="68"/>
      <c r="O1339" s="68"/>
      <c r="P1339" s="68"/>
      <c r="Q1339" s="68">
        <f>SUM(Devis[[#This Row],[Poste 1]:[Poste 6]])</f>
        <v>0</v>
      </c>
      <c r="R1339" s="71"/>
      <c r="S1339" s="68">
        <f>_xlfn.CEILING.MATH(Devis[[#This Row],[Quantité Totale]],Devis[[#This Row],[Conditionnement]])</f>
        <v>0</v>
      </c>
      <c r="T1339" s="72"/>
      <c r="U1339" s="106"/>
      <c r="V1339" s="74">
        <f>Devis[[#This Row],[Prix de Revient]]*Devis[[#This Row],[Poste 1]]</f>
        <v>0</v>
      </c>
      <c r="W1339" s="74">
        <f>Devis[[#This Row],[Prix de Revient]]*Devis[[#This Row],[Poste 2]]</f>
        <v>0</v>
      </c>
      <c r="X1339" s="74">
        <f>Devis[[#This Row],[Prix de Revient]]*Devis[[#This Row],[Poste 3]]</f>
        <v>0</v>
      </c>
      <c r="Y1339" s="74">
        <f>Devis[[#This Row],[Poste 4]]*Devis[[#This Row],[Prix de Revient]]</f>
        <v>0</v>
      </c>
      <c r="Z1339" s="74">
        <f>Devis[[#This Row],[Poste 5]]*Devis[[#This Row],[Prix de Revient]]</f>
        <v>0</v>
      </c>
      <c r="AA1339" s="74">
        <f>Devis[[#This Row],[Prix de Revient]]*Devis[[#This Row],[Poste 6]]</f>
        <v>0</v>
      </c>
      <c r="AB1339" s="74">
        <f>Devis[[#This Row],[Quantité Totale]]*Devis[[#This Row],[Prix de Revient]]</f>
        <v>0</v>
      </c>
    </row>
    <row r="1340" spans="1:28" ht="14.25" outlineLevel="1" x14ac:dyDescent="0.2">
      <c r="A1340" s="75" t="s">
        <v>3557</v>
      </c>
      <c r="B1340" s="80" t="s">
        <v>1022</v>
      </c>
      <c r="C1340" s="80"/>
      <c r="D1340" s="81" t="str">
        <f t="shared" si="24"/>
        <v>GalvaDistributeurs Y 220</v>
      </c>
      <c r="E1340" s="80" t="s">
        <v>18</v>
      </c>
      <c r="F1340" s="81">
        <v>2</v>
      </c>
      <c r="G1340" s="86" t="s">
        <v>1026</v>
      </c>
      <c r="H1340" s="71"/>
      <c r="I1340" s="105"/>
      <c r="J1340" s="70">
        <f>IFERROR(VLOOKUP(Devis[[#This Row],[Ref Air Flux]],#REF!,3,FALSE),0)</f>
        <v>0</v>
      </c>
      <c r="K1340" s="68"/>
      <c r="L1340" s="68"/>
      <c r="M1340" s="68"/>
      <c r="N1340" s="68"/>
      <c r="O1340" s="68"/>
      <c r="P1340" s="68"/>
      <c r="Q1340" s="68">
        <f>SUM(Devis[[#This Row],[Poste 1]:[Poste 6]])</f>
        <v>0</v>
      </c>
      <c r="R1340" s="71"/>
      <c r="S1340" s="68">
        <f>_xlfn.CEILING.MATH(Devis[[#This Row],[Quantité Totale]],Devis[[#This Row],[Conditionnement]])</f>
        <v>0</v>
      </c>
      <c r="T1340" s="72"/>
      <c r="U1340" s="106"/>
      <c r="V1340" s="74">
        <f>Devis[[#This Row],[Prix de Revient]]*Devis[[#This Row],[Poste 1]]</f>
        <v>0</v>
      </c>
      <c r="W1340" s="74">
        <f>Devis[[#This Row],[Prix de Revient]]*Devis[[#This Row],[Poste 2]]</f>
        <v>0</v>
      </c>
      <c r="X1340" s="74">
        <f>Devis[[#This Row],[Prix de Revient]]*Devis[[#This Row],[Poste 3]]</f>
        <v>0</v>
      </c>
      <c r="Y1340" s="74">
        <f>Devis[[#This Row],[Poste 4]]*Devis[[#This Row],[Prix de Revient]]</f>
        <v>0</v>
      </c>
      <c r="Z1340" s="74">
        <f>Devis[[#This Row],[Poste 5]]*Devis[[#This Row],[Prix de Revient]]</f>
        <v>0</v>
      </c>
      <c r="AA1340" s="74">
        <f>Devis[[#This Row],[Prix de Revient]]*Devis[[#This Row],[Poste 6]]</f>
        <v>0</v>
      </c>
      <c r="AB1340" s="74">
        <f>Devis[[#This Row],[Quantité Totale]]*Devis[[#This Row],[Prix de Revient]]</f>
        <v>0</v>
      </c>
    </row>
    <row r="1341" spans="1:28" ht="14.25" outlineLevel="1" x14ac:dyDescent="0.2">
      <c r="A1341" s="75" t="s">
        <v>3557</v>
      </c>
      <c r="B1341" s="80" t="s">
        <v>1022</v>
      </c>
      <c r="C1341" s="80"/>
      <c r="D1341" s="81" t="str">
        <f t="shared" si="24"/>
        <v>GalvaDistributeurs Y 220</v>
      </c>
      <c r="E1341" s="80" t="s">
        <v>16</v>
      </c>
      <c r="F1341" s="81">
        <v>3</v>
      </c>
      <c r="G1341" s="86" t="s">
        <v>1027</v>
      </c>
      <c r="H1341" s="71"/>
      <c r="I1341" s="105"/>
      <c r="J1341" s="70">
        <f>IFERROR(VLOOKUP(Devis[[#This Row],[Ref Air Flux]],#REF!,3,FALSE),0)</f>
        <v>0</v>
      </c>
      <c r="K1341" s="68"/>
      <c r="L1341" s="68"/>
      <c r="M1341" s="68"/>
      <c r="N1341" s="68"/>
      <c r="O1341" s="68"/>
      <c r="P1341" s="68"/>
      <c r="Q1341" s="68">
        <f>SUM(Devis[[#This Row],[Poste 1]:[Poste 6]])</f>
        <v>0</v>
      </c>
      <c r="R1341" s="71"/>
      <c r="S1341" s="68">
        <f>_xlfn.CEILING.MATH(Devis[[#This Row],[Quantité Totale]],Devis[[#This Row],[Conditionnement]])</f>
        <v>0</v>
      </c>
      <c r="T1341" s="72"/>
      <c r="U1341" s="106"/>
      <c r="V1341" s="74">
        <f>Devis[[#This Row],[Prix de Revient]]*Devis[[#This Row],[Poste 1]]</f>
        <v>0</v>
      </c>
      <c r="W1341" s="74">
        <f>Devis[[#This Row],[Prix de Revient]]*Devis[[#This Row],[Poste 2]]</f>
        <v>0</v>
      </c>
      <c r="X1341" s="74">
        <f>Devis[[#This Row],[Prix de Revient]]*Devis[[#This Row],[Poste 3]]</f>
        <v>0</v>
      </c>
      <c r="Y1341" s="74">
        <f>Devis[[#This Row],[Poste 4]]*Devis[[#This Row],[Prix de Revient]]</f>
        <v>0</v>
      </c>
      <c r="Z1341" s="74">
        <f>Devis[[#This Row],[Poste 5]]*Devis[[#This Row],[Prix de Revient]]</f>
        <v>0</v>
      </c>
      <c r="AA1341" s="74">
        <f>Devis[[#This Row],[Prix de Revient]]*Devis[[#This Row],[Poste 6]]</f>
        <v>0</v>
      </c>
      <c r="AB1341" s="74">
        <f>Devis[[#This Row],[Quantité Totale]]*Devis[[#This Row],[Prix de Revient]]</f>
        <v>0</v>
      </c>
    </row>
    <row r="1342" spans="1:28" ht="14.25" outlineLevel="1" x14ac:dyDescent="0.2">
      <c r="A1342" s="75" t="s">
        <v>3557</v>
      </c>
      <c r="B1342" s="80" t="s">
        <v>1022</v>
      </c>
      <c r="C1342" s="80"/>
      <c r="D1342" s="81" t="str">
        <f t="shared" si="24"/>
        <v>GalvaDistributeurs Y 220</v>
      </c>
      <c r="E1342" s="80" t="s">
        <v>17</v>
      </c>
      <c r="F1342" s="81">
        <v>4</v>
      </c>
      <c r="G1342" s="86" t="s">
        <v>1023</v>
      </c>
      <c r="H1342" s="71"/>
      <c r="I1342" s="105"/>
      <c r="J1342" s="70">
        <f>IFERROR(VLOOKUP(Devis[[#This Row],[Ref Air Flux]],#REF!,3,FALSE),0)</f>
        <v>0</v>
      </c>
      <c r="K1342" s="68"/>
      <c r="L1342" s="68"/>
      <c r="M1342" s="68"/>
      <c r="N1342" s="68"/>
      <c r="O1342" s="68"/>
      <c r="P1342" s="68"/>
      <c r="Q1342" s="68">
        <f>SUM(Devis[[#This Row],[Poste 1]:[Poste 6]])</f>
        <v>0</v>
      </c>
      <c r="R1342" s="71"/>
      <c r="S1342" s="68">
        <f>_xlfn.CEILING.MATH(Devis[[#This Row],[Quantité Totale]],Devis[[#This Row],[Conditionnement]])</f>
        <v>0</v>
      </c>
      <c r="T1342" s="72"/>
      <c r="U1342" s="106"/>
      <c r="V1342" s="74">
        <f>Devis[[#This Row],[Prix de Revient]]*Devis[[#This Row],[Poste 1]]</f>
        <v>0</v>
      </c>
      <c r="W1342" s="74">
        <f>Devis[[#This Row],[Prix de Revient]]*Devis[[#This Row],[Poste 2]]</f>
        <v>0</v>
      </c>
      <c r="X1342" s="74">
        <f>Devis[[#This Row],[Prix de Revient]]*Devis[[#This Row],[Poste 3]]</f>
        <v>0</v>
      </c>
      <c r="Y1342" s="74">
        <f>Devis[[#This Row],[Poste 4]]*Devis[[#This Row],[Prix de Revient]]</f>
        <v>0</v>
      </c>
      <c r="Z1342" s="74">
        <f>Devis[[#This Row],[Poste 5]]*Devis[[#This Row],[Prix de Revient]]</f>
        <v>0</v>
      </c>
      <c r="AA1342" s="74">
        <f>Devis[[#This Row],[Prix de Revient]]*Devis[[#This Row],[Poste 6]]</f>
        <v>0</v>
      </c>
      <c r="AB1342" s="74">
        <f>Devis[[#This Row],[Quantité Totale]]*Devis[[#This Row],[Prix de Revient]]</f>
        <v>0</v>
      </c>
    </row>
    <row r="1343" spans="1:28" ht="14.25" outlineLevel="1" x14ac:dyDescent="0.2">
      <c r="A1343" s="75" t="s">
        <v>3557</v>
      </c>
      <c r="B1343" s="80" t="s">
        <v>1022</v>
      </c>
      <c r="C1343" s="80"/>
      <c r="D1343" s="81" t="str">
        <f t="shared" si="24"/>
        <v>GalvaDistributeurs Y 220</v>
      </c>
      <c r="E1343" s="80" t="s">
        <v>1024</v>
      </c>
      <c r="F1343" s="81">
        <v>5</v>
      </c>
      <c r="G1343" s="86" t="s">
        <v>1023</v>
      </c>
      <c r="H1343" s="71"/>
      <c r="I1343" s="105"/>
      <c r="J1343" s="70">
        <f>IFERROR(VLOOKUP(Devis[[#This Row],[Ref Air Flux]],#REF!,3,FALSE),0)</f>
        <v>0</v>
      </c>
      <c r="K1343" s="68"/>
      <c r="L1343" s="68"/>
      <c r="M1343" s="68"/>
      <c r="N1343" s="68"/>
      <c r="O1343" s="68"/>
      <c r="P1343" s="68"/>
      <c r="Q1343" s="68">
        <f>SUM(Devis[[#This Row],[Poste 1]:[Poste 6]])</f>
        <v>0</v>
      </c>
      <c r="R1343" s="71"/>
      <c r="S1343" s="68">
        <f>_xlfn.CEILING.MATH(Devis[[#This Row],[Quantité Totale]],Devis[[#This Row],[Conditionnement]])</f>
        <v>0</v>
      </c>
      <c r="T1343" s="72"/>
      <c r="U1343" s="106"/>
      <c r="V1343" s="74">
        <f>Devis[[#This Row],[Prix de Revient]]*Devis[[#This Row],[Poste 1]]</f>
        <v>0</v>
      </c>
      <c r="W1343" s="74">
        <f>Devis[[#This Row],[Prix de Revient]]*Devis[[#This Row],[Poste 2]]</f>
        <v>0</v>
      </c>
      <c r="X1343" s="74">
        <f>Devis[[#This Row],[Prix de Revient]]*Devis[[#This Row],[Poste 3]]</f>
        <v>0</v>
      </c>
      <c r="Y1343" s="74">
        <f>Devis[[#This Row],[Poste 4]]*Devis[[#This Row],[Prix de Revient]]</f>
        <v>0</v>
      </c>
      <c r="Z1343" s="74">
        <f>Devis[[#This Row],[Poste 5]]*Devis[[#This Row],[Prix de Revient]]</f>
        <v>0</v>
      </c>
      <c r="AA1343" s="74">
        <f>Devis[[#This Row],[Prix de Revient]]*Devis[[#This Row],[Poste 6]]</f>
        <v>0</v>
      </c>
      <c r="AB1343" s="74">
        <f>Devis[[#This Row],[Quantité Totale]]*Devis[[#This Row],[Prix de Revient]]</f>
        <v>0</v>
      </c>
    </row>
    <row r="1344" spans="1:28" ht="14.25" customHeight="1" x14ac:dyDescent="0.25">
      <c r="A1344" s="65" t="s">
        <v>3557</v>
      </c>
      <c r="B1344" s="109" t="s">
        <v>1028</v>
      </c>
      <c r="C1344" s="76"/>
      <c r="D1344" s="81" t="str">
        <f t="shared" si="24"/>
        <v>GalvaMamelons  280</v>
      </c>
      <c r="E1344" s="76"/>
      <c r="F1344" s="81">
        <v>0</v>
      </c>
      <c r="G1344" s="86"/>
      <c r="H1344" s="71"/>
      <c r="I1344" s="75"/>
      <c r="J1344" s="70">
        <f>IFERROR(VLOOKUP(Devis[[#This Row],[Ref Air Flux]],#REF!,3,FALSE),0)</f>
        <v>0</v>
      </c>
      <c r="K1344" s="68"/>
      <c r="L1344" s="68"/>
      <c r="M1344" s="68"/>
      <c r="N1344" s="68"/>
      <c r="O1344" s="68"/>
      <c r="P1344" s="68"/>
      <c r="Q1344" s="68">
        <f>SUM(Devis[[#This Row],[Poste 1]:[Poste 6]])</f>
        <v>0</v>
      </c>
      <c r="R1344" s="71"/>
      <c r="S1344" s="68">
        <f>_xlfn.CEILING.MATH(Devis[[#This Row],[Quantité Totale]],Devis[[#This Row],[Conditionnement]])</f>
        <v>0</v>
      </c>
      <c r="T1344" s="72"/>
      <c r="U1344" s="106"/>
      <c r="V1344" s="74">
        <f>Devis[[#This Row],[Prix de Revient]]*Devis[[#This Row],[Poste 1]]</f>
        <v>0</v>
      </c>
      <c r="W1344" s="74">
        <f>Devis[[#This Row],[Prix de Revient]]*Devis[[#This Row],[Poste 2]]</f>
        <v>0</v>
      </c>
      <c r="X1344" s="74">
        <f>Devis[[#This Row],[Prix de Revient]]*Devis[[#This Row],[Poste 3]]</f>
        <v>0</v>
      </c>
      <c r="Y1344" s="74">
        <f>Devis[[#This Row],[Poste 4]]*Devis[[#This Row],[Prix de Revient]]</f>
        <v>0</v>
      </c>
      <c r="Z1344" s="74">
        <f>Devis[[#This Row],[Poste 5]]*Devis[[#This Row],[Prix de Revient]]</f>
        <v>0</v>
      </c>
      <c r="AA1344" s="74">
        <f>Devis[[#This Row],[Prix de Revient]]*Devis[[#This Row],[Poste 6]]</f>
        <v>0</v>
      </c>
      <c r="AB1344" s="74">
        <f>Devis[[#This Row],[Quantité Totale]]*Devis[[#This Row],[Prix de Revient]]</f>
        <v>0</v>
      </c>
    </row>
    <row r="1345" spans="1:28" ht="14.25" customHeight="1" outlineLevel="1" x14ac:dyDescent="0.2">
      <c r="A1345" s="75" t="s">
        <v>3557</v>
      </c>
      <c r="B1345" s="80" t="s">
        <v>1028</v>
      </c>
      <c r="C1345" s="80"/>
      <c r="D1345" s="81" t="str">
        <f t="shared" si="24"/>
        <v>GalvaMamelons  280</v>
      </c>
      <c r="E1345" s="76" t="s">
        <v>19</v>
      </c>
      <c r="F1345" s="81">
        <v>1</v>
      </c>
      <c r="G1345" s="86" t="s">
        <v>1036</v>
      </c>
      <c r="H1345" s="71"/>
      <c r="I1345" s="75"/>
      <c r="J1345" s="70">
        <f>IFERROR(VLOOKUP(Devis[[#This Row],[Ref Air Flux]],#REF!,3,FALSE),0)</f>
        <v>0</v>
      </c>
      <c r="K1345" s="68"/>
      <c r="L1345" s="68"/>
      <c r="M1345" s="68"/>
      <c r="N1345" s="68"/>
      <c r="O1345" s="68"/>
      <c r="P1345" s="68"/>
      <c r="Q1345" s="68">
        <f>SUM(Devis[[#This Row],[Poste 1]:[Poste 6]])</f>
        <v>0</v>
      </c>
      <c r="R1345" s="71"/>
      <c r="S1345" s="68">
        <f>_xlfn.CEILING.MATH(Devis[[#This Row],[Quantité Totale]],Devis[[#This Row],[Conditionnement]])</f>
        <v>0</v>
      </c>
      <c r="T1345" s="72"/>
      <c r="U1345" s="106"/>
      <c r="V1345" s="74">
        <f>Devis[[#This Row],[Prix de Revient]]*Devis[[#This Row],[Poste 1]]</f>
        <v>0</v>
      </c>
      <c r="W1345" s="74">
        <f>Devis[[#This Row],[Prix de Revient]]*Devis[[#This Row],[Poste 2]]</f>
        <v>0</v>
      </c>
      <c r="X1345" s="74">
        <f>Devis[[#This Row],[Prix de Revient]]*Devis[[#This Row],[Poste 3]]</f>
        <v>0</v>
      </c>
      <c r="Y1345" s="74">
        <f>Devis[[#This Row],[Poste 4]]*Devis[[#This Row],[Prix de Revient]]</f>
        <v>0</v>
      </c>
      <c r="Z1345" s="74">
        <f>Devis[[#This Row],[Poste 5]]*Devis[[#This Row],[Prix de Revient]]</f>
        <v>0</v>
      </c>
      <c r="AA1345" s="74">
        <f>Devis[[#This Row],[Prix de Revient]]*Devis[[#This Row],[Poste 6]]</f>
        <v>0</v>
      </c>
      <c r="AB1345" s="74">
        <f>Devis[[#This Row],[Quantité Totale]]*Devis[[#This Row],[Prix de Revient]]</f>
        <v>0</v>
      </c>
    </row>
    <row r="1346" spans="1:28" ht="14.25" outlineLevel="1" x14ac:dyDescent="0.2">
      <c r="A1346" s="75" t="s">
        <v>3557</v>
      </c>
      <c r="B1346" s="80" t="s">
        <v>1028</v>
      </c>
      <c r="C1346" s="80"/>
      <c r="D1346" s="81" t="str">
        <f t="shared" si="24"/>
        <v>GalvaMamelons  280</v>
      </c>
      <c r="E1346" s="76" t="s">
        <v>21</v>
      </c>
      <c r="F1346" s="81">
        <v>2</v>
      </c>
      <c r="G1346" s="86" t="s">
        <v>1034</v>
      </c>
      <c r="H1346" s="71"/>
      <c r="I1346" s="75"/>
      <c r="J1346" s="70">
        <f>IFERROR(VLOOKUP(Devis[[#This Row],[Ref Air Flux]],#REF!,3,FALSE),0)</f>
        <v>0</v>
      </c>
      <c r="K1346" s="68"/>
      <c r="L1346" s="68"/>
      <c r="M1346" s="68"/>
      <c r="N1346" s="68"/>
      <c r="O1346" s="68"/>
      <c r="P1346" s="68"/>
      <c r="Q1346" s="68">
        <f>SUM(Devis[[#This Row],[Poste 1]:[Poste 6]])</f>
        <v>0</v>
      </c>
      <c r="R1346" s="71"/>
      <c r="S1346" s="68">
        <f>_xlfn.CEILING.MATH(Devis[[#This Row],[Quantité Totale]],Devis[[#This Row],[Conditionnement]])</f>
        <v>0</v>
      </c>
      <c r="T1346" s="72"/>
      <c r="U1346" s="106"/>
      <c r="V1346" s="74">
        <f>Devis[[#This Row],[Prix de Revient]]*Devis[[#This Row],[Poste 1]]</f>
        <v>0</v>
      </c>
      <c r="W1346" s="74">
        <f>Devis[[#This Row],[Prix de Revient]]*Devis[[#This Row],[Poste 2]]</f>
        <v>0</v>
      </c>
      <c r="X1346" s="74">
        <f>Devis[[#This Row],[Prix de Revient]]*Devis[[#This Row],[Poste 3]]</f>
        <v>0</v>
      </c>
      <c r="Y1346" s="74">
        <f>Devis[[#This Row],[Poste 4]]*Devis[[#This Row],[Prix de Revient]]</f>
        <v>0</v>
      </c>
      <c r="Z1346" s="74">
        <f>Devis[[#This Row],[Poste 5]]*Devis[[#This Row],[Prix de Revient]]</f>
        <v>0</v>
      </c>
      <c r="AA1346" s="74">
        <f>Devis[[#This Row],[Prix de Revient]]*Devis[[#This Row],[Poste 6]]</f>
        <v>0</v>
      </c>
      <c r="AB1346" s="74">
        <f>Devis[[#This Row],[Quantité Totale]]*Devis[[#This Row],[Prix de Revient]]</f>
        <v>0</v>
      </c>
    </row>
    <row r="1347" spans="1:28" ht="14.25" outlineLevel="1" x14ac:dyDescent="0.2">
      <c r="A1347" s="75" t="s">
        <v>3557</v>
      </c>
      <c r="B1347" s="80" t="s">
        <v>1028</v>
      </c>
      <c r="C1347" s="80"/>
      <c r="D1347" s="81" t="str">
        <f t="shared" si="24"/>
        <v>GalvaMamelons  280</v>
      </c>
      <c r="E1347" s="76" t="s">
        <v>20</v>
      </c>
      <c r="F1347" s="81">
        <v>3</v>
      </c>
      <c r="G1347" s="86" t="s">
        <v>1035</v>
      </c>
      <c r="H1347" s="71"/>
      <c r="I1347" s="75"/>
      <c r="J1347" s="70">
        <f>IFERROR(VLOOKUP(Devis[[#This Row],[Ref Air Flux]],#REF!,3,FALSE),0)</f>
        <v>0</v>
      </c>
      <c r="K1347" s="68"/>
      <c r="L1347" s="68"/>
      <c r="M1347" s="68"/>
      <c r="N1347" s="68"/>
      <c r="O1347" s="68"/>
      <c r="P1347" s="68"/>
      <c r="Q1347" s="68">
        <f>SUM(Devis[[#This Row],[Poste 1]:[Poste 6]])</f>
        <v>0</v>
      </c>
      <c r="R1347" s="71"/>
      <c r="S1347" s="68">
        <f>_xlfn.CEILING.MATH(Devis[[#This Row],[Quantité Totale]],Devis[[#This Row],[Conditionnement]])</f>
        <v>0</v>
      </c>
      <c r="T1347" s="72"/>
      <c r="U1347" s="106"/>
      <c r="V1347" s="74">
        <f>Devis[[#This Row],[Prix de Revient]]*Devis[[#This Row],[Poste 1]]</f>
        <v>0</v>
      </c>
      <c r="W1347" s="74">
        <f>Devis[[#This Row],[Prix de Revient]]*Devis[[#This Row],[Poste 2]]</f>
        <v>0</v>
      </c>
      <c r="X1347" s="74">
        <f>Devis[[#This Row],[Prix de Revient]]*Devis[[#This Row],[Poste 3]]</f>
        <v>0</v>
      </c>
      <c r="Y1347" s="74">
        <f>Devis[[#This Row],[Poste 4]]*Devis[[#This Row],[Prix de Revient]]</f>
        <v>0</v>
      </c>
      <c r="Z1347" s="74">
        <f>Devis[[#This Row],[Poste 5]]*Devis[[#This Row],[Prix de Revient]]</f>
        <v>0</v>
      </c>
      <c r="AA1347" s="74">
        <f>Devis[[#This Row],[Prix de Revient]]*Devis[[#This Row],[Poste 6]]</f>
        <v>0</v>
      </c>
      <c r="AB1347" s="74">
        <f>Devis[[#This Row],[Quantité Totale]]*Devis[[#This Row],[Prix de Revient]]</f>
        <v>0</v>
      </c>
    </row>
    <row r="1348" spans="1:28" ht="14.25" outlineLevel="1" x14ac:dyDescent="0.2">
      <c r="A1348" s="75" t="s">
        <v>3557</v>
      </c>
      <c r="B1348" s="80" t="s">
        <v>1028</v>
      </c>
      <c r="C1348" s="80"/>
      <c r="D1348" s="81" t="str">
        <f t="shared" si="24"/>
        <v>GalvaMamelons  280</v>
      </c>
      <c r="E1348" s="80" t="s">
        <v>17</v>
      </c>
      <c r="F1348" s="81">
        <v>4</v>
      </c>
      <c r="G1348" s="86" t="s">
        <v>1038</v>
      </c>
      <c r="H1348" s="71"/>
      <c r="I1348" s="75"/>
      <c r="J1348" s="70">
        <f>IFERROR(VLOOKUP(Devis[[#This Row],[Ref Air Flux]],#REF!,3,FALSE),0)</f>
        <v>0</v>
      </c>
      <c r="K1348" s="68"/>
      <c r="L1348" s="68"/>
      <c r="M1348" s="68"/>
      <c r="N1348" s="68"/>
      <c r="O1348" s="68"/>
      <c r="P1348" s="68"/>
      <c r="Q1348" s="68">
        <f>SUM(Devis[[#This Row],[Poste 1]:[Poste 6]])</f>
        <v>0</v>
      </c>
      <c r="R1348" s="71"/>
      <c r="S1348" s="68">
        <f>_xlfn.CEILING.MATH(Devis[[#This Row],[Quantité Totale]],Devis[[#This Row],[Conditionnement]])</f>
        <v>0</v>
      </c>
      <c r="T1348" s="72"/>
      <c r="U1348" s="106"/>
      <c r="V1348" s="74">
        <f>Devis[[#This Row],[Prix de Revient]]*Devis[[#This Row],[Poste 1]]</f>
        <v>0</v>
      </c>
      <c r="W1348" s="74">
        <f>Devis[[#This Row],[Prix de Revient]]*Devis[[#This Row],[Poste 2]]</f>
        <v>0</v>
      </c>
      <c r="X1348" s="74">
        <f>Devis[[#This Row],[Prix de Revient]]*Devis[[#This Row],[Poste 3]]</f>
        <v>0</v>
      </c>
      <c r="Y1348" s="74">
        <f>Devis[[#This Row],[Poste 4]]*Devis[[#This Row],[Prix de Revient]]</f>
        <v>0</v>
      </c>
      <c r="Z1348" s="74">
        <f>Devis[[#This Row],[Poste 5]]*Devis[[#This Row],[Prix de Revient]]</f>
        <v>0</v>
      </c>
      <c r="AA1348" s="74">
        <f>Devis[[#This Row],[Prix de Revient]]*Devis[[#This Row],[Poste 6]]</f>
        <v>0</v>
      </c>
      <c r="AB1348" s="74">
        <f>Devis[[#This Row],[Quantité Totale]]*Devis[[#This Row],[Prix de Revient]]</f>
        <v>0</v>
      </c>
    </row>
    <row r="1349" spans="1:28" ht="14.25" outlineLevel="1" x14ac:dyDescent="0.2">
      <c r="A1349" s="75" t="s">
        <v>3557</v>
      </c>
      <c r="B1349" s="80" t="s">
        <v>1028</v>
      </c>
      <c r="C1349" s="80"/>
      <c r="D1349" s="81" t="str">
        <f t="shared" si="24"/>
        <v>GalvaMamelons  280</v>
      </c>
      <c r="E1349" s="80" t="s">
        <v>46</v>
      </c>
      <c r="F1349" s="81">
        <v>5</v>
      </c>
      <c r="G1349" s="86" t="s">
        <v>1040</v>
      </c>
      <c r="H1349" s="71"/>
      <c r="I1349" s="75"/>
      <c r="J1349" s="70">
        <f>IFERROR(VLOOKUP(Devis[[#This Row],[Ref Air Flux]],#REF!,3,FALSE),0)</f>
        <v>0</v>
      </c>
      <c r="K1349" s="68"/>
      <c r="L1349" s="68"/>
      <c r="M1349" s="68"/>
      <c r="N1349" s="68"/>
      <c r="O1349" s="68"/>
      <c r="P1349" s="68"/>
      <c r="Q1349" s="68">
        <f>SUM(Devis[[#This Row],[Poste 1]:[Poste 6]])</f>
        <v>0</v>
      </c>
      <c r="R1349" s="71"/>
      <c r="S1349" s="68">
        <f>_xlfn.CEILING.MATH(Devis[[#This Row],[Quantité Totale]],Devis[[#This Row],[Conditionnement]])</f>
        <v>0</v>
      </c>
      <c r="T1349" s="72"/>
      <c r="U1349" s="106"/>
      <c r="V1349" s="74">
        <f>Devis[[#This Row],[Prix de Revient]]*Devis[[#This Row],[Poste 1]]</f>
        <v>0</v>
      </c>
      <c r="W1349" s="74">
        <f>Devis[[#This Row],[Prix de Revient]]*Devis[[#This Row],[Poste 2]]</f>
        <v>0</v>
      </c>
      <c r="X1349" s="74">
        <f>Devis[[#This Row],[Prix de Revient]]*Devis[[#This Row],[Poste 3]]</f>
        <v>0</v>
      </c>
      <c r="Y1349" s="74">
        <f>Devis[[#This Row],[Poste 4]]*Devis[[#This Row],[Prix de Revient]]</f>
        <v>0</v>
      </c>
      <c r="Z1349" s="74">
        <f>Devis[[#This Row],[Poste 5]]*Devis[[#This Row],[Prix de Revient]]</f>
        <v>0</v>
      </c>
      <c r="AA1349" s="74">
        <f>Devis[[#This Row],[Prix de Revient]]*Devis[[#This Row],[Poste 6]]</f>
        <v>0</v>
      </c>
      <c r="AB1349" s="74">
        <f>Devis[[#This Row],[Quantité Totale]]*Devis[[#This Row],[Prix de Revient]]</f>
        <v>0</v>
      </c>
    </row>
    <row r="1350" spans="1:28" ht="14.25" outlineLevel="1" x14ac:dyDescent="0.2">
      <c r="A1350" s="75" t="s">
        <v>3557</v>
      </c>
      <c r="B1350" s="80" t="s">
        <v>1028</v>
      </c>
      <c r="C1350" s="80"/>
      <c r="D1350" s="81" t="str">
        <f t="shared" si="24"/>
        <v>GalvaMamelons  280</v>
      </c>
      <c r="E1350" s="80" t="s">
        <v>928</v>
      </c>
      <c r="F1350" s="81">
        <v>6</v>
      </c>
      <c r="G1350" s="86" t="s">
        <v>1041</v>
      </c>
      <c r="H1350" s="71"/>
      <c r="I1350" s="75"/>
      <c r="J1350" s="70">
        <f>IFERROR(VLOOKUP(Devis[[#This Row],[Ref Air Flux]],#REF!,3,FALSE),0)</f>
        <v>0</v>
      </c>
      <c r="K1350" s="68"/>
      <c r="L1350" s="68"/>
      <c r="M1350" s="68"/>
      <c r="N1350" s="68"/>
      <c r="O1350" s="68"/>
      <c r="P1350" s="68"/>
      <c r="Q1350" s="68">
        <f>SUM(Devis[[#This Row],[Poste 1]:[Poste 6]])</f>
        <v>0</v>
      </c>
      <c r="R1350" s="71"/>
      <c r="S1350" s="68">
        <f>_xlfn.CEILING.MATH(Devis[[#This Row],[Quantité Totale]],Devis[[#This Row],[Conditionnement]])</f>
        <v>0</v>
      </c>
      <c r="T1350" s="72"/>
      <c r="U1350" s="106"/>
      <c r="V1350" s="74">
        <f>Devis[[#This Row],[Prix de Revient]]*Devis[[#This Row],[Poste 1]]</f>
        <v>0</v>
      </c>
      <c r="W1350" s="74">
        <f>Devis[[#This Row],[Prix de Revient]]*Devis[[#This Row],[Poste 2]]</f>
        <v>0</v>
      </c>
      <c r="X1350" s="74">
        <f>Devis[[#This Row],[Prix de Revient]]*Devis[[#This Row],[Poste 3]]</f>
        <v>0</v>
      </c>
      <c r="Y1350" s="74">
        <f>Devis[[#This Row],[Poste 4]]*Devis[[#This Row],[Prix de Revient]]</f>
        <v>0</v>
      </c>
      <c r="Z1350" s="74">
        <f>Devis[[#This Row],[Poste 5]]*Devis[[#This Row],[Prix de Revient]]</f>
        <v>0</v>
      </c>
      <c r="AA1350" s="74">
        <f>Devis[[#This Row],[Prix de Revient]]*Devis[[#This Row],[Poste 6]]</f>
        <v>0</v>
      </c>
      <c r="AB1350" s="74">
        <f>Devis[[#This Row],[Quantité Totale]]*Devis[[#This Row],[Prix de Revient]]</f>
        <v>0</v>
      </c>
    </row>
    <row r="1351" spans="1:28" ht="14.25" outlineLevel="1" x14ac:dyDescent="0.2">
      <c r="A1351" s="75" t="s">
        <v>3557</v>
      </c>
      <c r="B1351" s="80" t="s">
        <v>1028</v>
      </c>
      <c r="C1351" s="80"/>
      <c r="D1351" s="81" t="str">
        <f t="shared" si="24"/>
        <v>GalvaMamelons  280</v>
      </c>
      <c r="E1351" s="76" t="s">
        <v>0</v>
      </c>
      <c r="F1351" s="81">
        <v>7</v>
      </c>
      <c r="G1351" s="86" t="s">
        <v>1033</v>
      </c>
      <c r="H1351" s="71"/>
      <c r="I1351" s="75"/>
      <c r="J1351" s="70">
        <f>IFERROR(VLOOKUP(Devis[[#This Row],[Ref Air Flux]],#REF!,3,FALSE),0)</f>
        <v>0</v>
      </c>
      <c r="K1351" s="68"/>
      <c r="L1351" s="68"/>
      <c r="M1351" s="68"/>
      <c r="N1351" s="68"/>
      <c r="O1351" s="68"/>
      <c r="P1351" s="68"/>
      <c r="Q1351" s="68">
        <f>SUM(Devis[[#This Row],[Poste 1]:[Poste 6]])</f>
        <v>0</v>
      </c>
      <c r="R1351" s="71"/>
      <c r="S1351" s="68">
        <f>_xlfn.CEILING.MATH(Devis[[#This Row],[Quantité Totale]],Devis[[#This Row],[Conditionnement]])</f>
        <v>0</v>
      </c>
      <c r="T1351" s="72"/>
      <c r="U1351" s="106"/>
      <c r="V1351" s="74">
        <f>Devis[[#This Row],[Prix de Revient]]*Devis[[#This Row],[Poste 1]]</f>
        <v>0</v>
      </c>
      <c r="W1351" s="74">
        <f>Devis[[#This Row],[Prix de Revient]]*Devis[[#This Row],[Poste 2]]</f>
        <v>0</v>
      </c>
      <c r="X1351" s="74">
        <f>Devis[[#This Row],[Prix de Revient]]*Devis[[#This Row],[Poste 3]]</f>
        <v>0</v>
      </c>
      <c r="Y1351" s="74">
        <f>Devis[[#This Row],[Poste 4]]*Devis[[#This Row],[Prix de Revient]]</f>
        <v>0</v>
      </c>
      <c r="Z1351" s="74">
        <f>Devis[[#This Row],[Poste 5]]*Devis[[#This Row],[Prix de Revient]]</f>
        <v>0</v>
      </c>
      <c r="AA1351" s="74">
        <f>Devis[[#This Row],[Prix de Revient]]*Devis[[#This Row],[Poste 6]]</f>
        <v>0</v>
      </c>
      <c r="AB1351" s="74">
        <f>Devis[[#This Row],[Quantité Totale]]*Devis[[#This Row],[Prix de Revient]]</f>
        <v>0</v>
      </c>
    </row>
    <row r="1352" spans="1:28" ht="14.25" outlineLevel="1" x14ac:dyDescent="0.2">
      <c r="A1352" s="75" t="s">
        <v>3557</v>
      </c>
      <c r="B1352" s="80" t="s">
        <v>1028</v>
      </c>
      <c r="C1352" s="80"/>
      <c r="D1352" s="81" t="str">
        <f t="shared" si="24"/>
        <v>GalvaMamelons  280</v>
      </c>
      <c r="E1352" s="76" t="s">
        <v>49</v>
      </c>
      <c r="F1352" s="81">
        <v>8</v>
      </c>
      <c r="G1352" s="86" t="s">
        <v>1032</v>
      </c>
      <c r="H1352" s="71"/>
      <c r="I1352" s="75"/>
      <c r="J1352" s="70">
        <f>IFERROR(VLOOKUP(Devis[[#This Row],[Ref Air Flux]],#REF!,3,FALSE),0)</f>
        <v>0</v>
      </c>
      <c r="K1352" s="68"/>
      <c r="L1352" s="68"/>
      <c r="M1352" s="68"/>
      <c r="N1352" s="68"/>
      <c r="O1352" s="68"/>
      <c r="P1352" s="68"/>
      <c r="Q1352" s="68">
        <f>SUM(Devis[[#This Row],[Poste 1]:[Poste 6]])</f>
        <v>0</v>
      </c>
      <c r="R1352" s="71"/>
      <c r="S1352" s="68">
        <f>_xlfn.CEILING.MATH(Devis[[#This Row],[Quantité Totale]],Devis[[#This Row],[Conditionnement]])</f>
        <v>0</v>
      </c>
      <c r="T1352" s="72"/>
      <c r="U1352" s="106"/>
      <c r="V1352" s="74">
        <f>Devis[[#This Row],[Prix de Revient]]*Devis[[#This Row],[Poste 1]]</f>
        <v>0</v>
      </c>
      <c r="W1352" s="74">
        <f>Devis[[#This Row],[Prix de Revient]]*Devis[[#This Row],[Poste 2]]</f>
        <v>0</v>
      </c>
      <c r="X1352" s="74">
        <f>Devis[[#This Row],[Prix de Revient]]*Devis[[#This Row],[Poste 3]]</f>
        <v>0</v>
      </c>
      <c r="Y1352" s="74">
        <f>Devis[[#This Row],[Poste 4]]*Devis[[#This Row],[Prix de Revient]]</f>
        <v>0</v>
      </c>
      <c r="Z1352" s="74">
        <f>Devis[[#This Row],[Poste 5]]*Devis[[#This Row],[Prix de Revient]]</f>
        <v>0</v>
      </c>
      <c r="AA1352" s="74">
        <f>Devis[[#This Row],[Prix de Revient]]*Devis[[#This Row],[Poste 6]]</f>
        <v>0</v>
      </c>
      <c r="AB1352" s="74">
        <f>Devis[[#This Row],[Quantité Totale]]*Devis[[#This Row],[Prix de Revient]]</f>
        <v>0</v>
      </c>
    </row>
    <row r="1353" spans="1:28" ht="14.25" outlineLevel="1" x14ac:dyDescent="0.2">
      <c r="A1353" s="75" t="s">
        <v>3557</v>
      </c>
      <c r="B1353" s="80" t="s">
        <v>1028</v>
      </c>
      <c r="C1353" s="80"/>
      <c r="D1353" s="81" t="str">
        <f t="shared" si="24"/>
        <v>GalvaMamelons  280</v>
      </c>
      <c r="E1353" s="76" t="s">
        <v>821</v>
      </c>
      <c r="F1353" s="81">
        <v>9</v>
      </c>
      <c r="G1353" s="86" t="s">
        <v>1031</v>
      </c>
      <c r="H1353" s="71"/>
      <c r="I1353" s="75"/>
      <c r="J1353" s="70">
        <f>IFERROR(VLOOKUP(Devis[[#This Row],[Ref Air Flux]],#REF!,3,FALSE),0)</f>
        <v>0</v>
      </c>
      <c r="K1353" s="68"/>
      <c r="L1353" s="68"/>
      <c r="M1353" s="68"/>
      <c r="N1353" s="68"/>
      <c r="O1353" s="68"/>
      <c r="P1353" s="68"/>
      <c r="Q1353" s="68">
        <f>SUM(Devis[[#This Row],[Poste 1]:[Poste 6]])</f>
        <v>0</v>
      </c>
      <c r="R1353" s="71"/>
      <c r="S1353" s="68">
        <f>_xlfn.CEILING.MATH(Devis[[#This Row],[Quantité Totale]],Devis[[#This Row],[Conditionnement]])</f>
        <v>0</v>
      </c>
      <c r="T1353" s="72"/>
      <c r="U1353" s="106"/>
      <c r="V1353" s="74">
        <f>Devis[[#This Row],[Prix de Revient]]*Devis[[#This Row],[Poste 1]]</f>
        <v>0</v>
      </c>
      <c r="W1353" s="74">
        <f>Devis[[#This Row],[Prix de Revient]]*Devis[[#This Row],[Poste 2]]</f>
        <v>0</v>
      </c>
      <c r="X1353" s="74">
        <f>Devis[[#This Row],[Prix de Revient]]*Devis[[#This Row],[Poste 3]]</f>
        <v>0</v>
      </c>
      <c r="Y1353" s="74">
        <f>Devis[[#This Row],[Poste 4]]*Devis[[#This Row],[Prix de Revient]]</f>
        <v>0</v>
      </c>
      <c r="Z1353" s="74">
        <f>Devis[[#This Row],[Poste 5]]*Devis[[#This Row],[Prix de Revient]]</f>
        <v>0</v>
      </c>
      <c r="AA1353" s="74">
        <f>Devis[[#This Row],[Prix de Revient]]*Devis[[#This Row],[Poste 6]]</f>
        <v>0</v>
      </c>
      <c r="AB1353" s="74">
        <f>Devis[[#This Row],[Quantité Totale]]*Devis[[#This Row],[Prix de Revient]]</f>
        <v>0</v>
      </c>
    </row>
    <row r="1354" spans="1:28" ht="14.25" outlineLevel="1" x14ac:dyDescent="0.2">
      <c r="A1354" s="75" t="s">
        <v>3557</v>
      </c>
      <c r="B1354" s="80" t="s">
        <v>1028</v>
      </c>
      <c r="C1354" s="80"/>
      <c r="D1354" s="81" t="str">
        <f t="shared" si="24"/>
        <v>GalvaMamelons  280</v>
      </c>
      <c r="E1354" s="80" t="s">
        <v>18</v>
      </c>
      <c r="F1354" s="81">
        <v>10</v>
      </c>
      <c r="G1354" s="86" t="s">
        <v>1037</v>
      </c>
      <c r="H1354" s="71"/>
      <c r="I1354" s="75"/>
      <c r="J1354" s="70">
        <f>IFERROR(VLOOKUP(Devis[[#This Row],[Ref Air Flux]],#REF!,3,FALSE),0)</f>
        <v>0</v>
      </c>
      <c r="K1354" s="68"/>
      <c r="L1354" s="68"/>
      <c r="M1354" s="68"/>
      <c r="N1354" s="68"/>
      <c r="O1354" s="68"/>
      <c r="P1354" s="68"/>
      <c r="Q1354" s="68">
        <f>SUM(Devis[[#This Row],[Poste 1]:[Poste 6]])</f>
        <v>0</v>
      </c>
      <c r="R1354" s="71"/>
      <c r="S1354" s="68">
        <f>_xlfn.CEILING.MATH(Devis[[#This Row],[Quantité Totale]],Devis[[#This Row],[Conditionnement]])</f>
        <v>0</v>
      </c>
      <c r="T1354" s="72"/>
      <c r="U1354" s="106"/>
      <c r="V1354" s="74">
        <f>Devis[[#This Row],[Prix de Revient]]*Devis[[#This Row],[Poste 1]]</f>
        <v>0</v>
      </c>
      <c r="W1354" s="74">
        <f>Devis[[#This Row],[Prix de Revient]]*Devis[[#This Row],[Poste 2]]</f>
        <v>0</v>
      </c>
      <c r="X1354" s="74">
        <f>Devis[[#This Row],[Prix de Revient]]*Devis[[#This Row],[Poste 3]]</f>
        <v>0</v>
      </c>
      <c r="Y1354" s="74">
        <f>Devis[[#This Row],[Poste 4]]*Devis[[#This Row],[Prix de Revient]]</f>
        <v>0</v>
      </c>
      <c r="Z1354" s="74">
        <f>Devis[[#This Row],[Poste 5]]*Devis[[#This Row],[Prix de Revient]]</f>
        <v>0</v>
      </c>
      <c r="AA1354" s="74">
        <f>Devis[[#This Row],[Prix de Revient]]*Devis[[#This Row],[Poste 6]]</f>
        <v>0</v>
      </c>
      <c r="AB1354" s="74">
        <f>Devis[[#This Row],[Quantité Totale]]*Devis[[#This Row],[Prix de Revient]]</f>
        <v>0</v>
      </c>
    </row>
    <row r="1355" spans="1:28" ht="14.25" customHeight="1" outlineLevel="1" x14ac:dyDescent="0.2">
      <c r="A1355" s="75" t="s">
        <v>3557</v>
      </c>
      <c r="B1355" s="80" t="s">
        <v>1028</v>
      </c>
      <c r="C1355" s="80"/>
      <c r="D1355" s="81" t="str">
        <f t="shared" si="24"/>
        <v>GalvaMamelons  280</v>
      </c>
      <c r="E1355" s="80" t="s">
        <v>16</v>
      </c>
      <c r="F1355" s="81">
        <v>11</v>
      </c>
      <c r="G1355" s="86" t="s">
        <v>1039</v>
      </c>
      <c r="H1355" s="71"/>
      <c r="I1355" s="75"/>
      <c r="J1355" s="70">
        <f>IFERROR(VLOOKUP(Devis[[#This Row],[Ref Air Flux]],#REF!,3,FALSE),0)</f>
        <v>0</v>
      </c>
      <c r="K1355" s="68"/>
      <c r="L1355" s="68"/>
      <c r="M1355" s="68"/>
      <c r="N1355" s="68"/>
      <c r="O1355" s="68"/>
      <c r="P1355" s="68"/>
      <c r="Q1355" s="68">
        <f>SUM(Devis[[#This Row],[Poste 1]:[Poste 6]])</f>
        <v>0</v>
      </c>
      <c r="R1355" s="71"/>
      <c r="S1355" s="68">
        <f>_xlfn.CEILING.MATH(Devis[[#This Row],[Quantité Totale]],Devis[[#This Row],[Conditionnement]])</f>
        <v>0</v>
      </c>
      <c r="T1355" s="72"/>
      <c r="U1355" s="106"/>
      <c r="V1355" s="74">
        <f>Devis[[#This Row],[Prix de Revient]]*Devis[[#This Row],[Poste 1]]</f>
        <v>0</v>
      </c>
      <c r="W1355" s="74">
        <f>Devis[[#This Row],[Prix de Revient]]*Devis[[#This Row],[Poste 2]]</f>
        <v>0</v>
      </c>
      <c r="X1355" s="74">
        <f>Devis[[#This Row],[Prix de Revient]]*Devis[[#This Row],[Poste 3]]</f>
        <v>0</v>
      </c>
      <c r="Y1355" s="74">
        <f>Devis[[#This Row],[Poste 4]]*Devis[[#This Row],[Prix de Revient]]</f>
        <v>0</v>
      </c>
      <c r="Z1355" s="74">
        <f>Devis[[#This Row],[Poste 5]]*Devis[[#This Row],[Prix de Revient]]</f>
        <v>0</v>
      </c>
      <c r="AA1355" s="74">
        <f>Devis[[#This Row],[Prix de Revient]]*Devis[[#This Row],[Poste 6]]</f>
        <v>0</v>
      </c>
      <c r="AB1355" s="74">
        <f>Devis[[#This Row],[Quantité Totale]]*Devis[[#This Row],[Prix de Revient]]</f>
        <v>0</v>
      </c>
    </row>
    <row r="1356" spans="1:28" ht="14.25" outlineLevel="1" x14ac:dyDescent="0.2">
      <c r="A1356" s="75" t="s">
        <v>3557</v>
      </c>
      <c r="B1356" s="80" t="s">
        <v>1028</v>
      </c>
      <c r="C1356" s="80"/>
      <c r="D1356" s="81" t="str">
        <f t="shared" si="24"/>
        <v>GalvaMamelons  280</v>
      </c>
      <c r="E1356" s="76" t="s">
        <v>1029</v>
      </c>
      <c r="F1356" s="81">
        <v>12</v>
      </c>
      <c r="G1356" s="86" t="s">
        <v>1030</v>
      </c>
      <c r="H1356" s="71"/>
      <c r="I1356" s="75"/>
      <c r="J1356" s="70">
        <f>IFERROR(VLOOKUP(Devis[[#This Row],[Ref Air Flux]],#REF!,3,FALSE),0)</f>
        <v>0</v>
      </c>
      <c r="K1356" s="68"/>
      <c r="L1356" s="68"/>
      <c r="M1356" s="68"/>
      <c r="N1356" s="68"/>
      <c r="O1356" s="68"/>
      <c r="P1356" s="68"/>
      <c r="Q1356" s="68">
        <f>SUM(Devis[[#This Row],[Poste 1]:[Poste 6]])</f>
        <v>0</v>
      </c>
      <c r="R1356" s="71"/>
      <c r="S1356" s="68">
        <f>_xlfn.CEILING.MATH(Devis[[#This Row],[Quantité Totale]],Devis[[#This Row],[Conditionnement]])</f>
        <v>0</v>
      </c>
      <c r="T1356" s="72"/>
      <c r="U1356" s="106"/>
      <c r="V1356" s="74">
        <f>Devis[[#This Row],[Prix de Revient]]*Devis[[#This Row],[Poste 1]]</f>
        <v>0</v>
      </c>
      <c r="W1356" s="74">
        <f>Devis[[#This Row],[Prix de Revient]]*Devis[[#This Row],[Poste 2]]</f>
        <v>0</v>
      </c>
      <c r="X1356" s="74">
        <f>Devis[[#This Row],[Prix de Revient]]*Devis[[#This Row],[Poste 3]]</f>
        <v>0</v>
      </c>
      <c r="Y1356" s="74">
        <f>Devis[[#This Row],[Poste 4]]*Devis[[#This Row],[Prix de Revient]]</f>
        <v>0</v>
      </c>
      <c r="Z1356" s="74">
        <f>Devis[[#This Row],[Poste 5]]*Devis[[#This Row],[Prix de Revient]]</f>
        <v>0</v>
      </c>
      <c r="AA1356" s="74">
        <f>Devis[[#This Row],[Prix de Revient]]*Devis[[#This Row],[Poste 6]]</f>
        <v>0</v>
      </c>
      <c r="AB1356" s="74">
        <f>Devis[[#This Row],[Quantité Totale]]*Devis[[#This Row],[Prix de Revient]]</f>
        <v>0</v>
      </c>
    </row>
    <row r="1357" spans="1:28" ht="14.25" customHeight="1" x14ac:dyDescent="0.25">
      <c r="A1357" s="65" t="s">
        <v>3557</v>
      </c>
      <c r="B1357" s="109" t="s">
        <v>1042</v>
      </c>
      <c r="C1357" s="76"/>
      <c r="D1357" s="81" t="str">
        <f t="shared" si="24"/>
        <v>GalvaMamelons réduits 245</v>
      </c>
      <c r="E1357" s="76"/>
      <c r="F1357" s="81">
        <v>0</v>
      </c>
      <c r="G1357" s="86"/>
      <c r="H1357" s="71"/>
      <c r="I1357" s="75"/>
      <c r="J1357" s="70">
        <f>IFERROR(VLOOKUP(Devis[[#This Row],[Ref Air Flux]],#REF!,3,FALSE),0)</f>
        <v>0</v>
      </c>
      <c r="K1357" s="68"/>
      <c r="L1357" s="68"/>
      <c r="M1357" s="68"/>
      <c r="N1357" s="68"/>
      <c r="O1357" s="68"/>
      <c r="P1357" s="68"/>
      <c r="Q1357" s="68">
        <f>SUM(Devis[[#This Row],[Poste 1]:[Poste 6]])</f>
        <v>0</v>
      </c>
      <c r="R1357" s="71"/>
      <c r="S1357" s="68">
        <f>_xlfn.CEILING.MATH(Devis[[#This Row],[Quantité Totale]],Devis[[#This Row],[Conditionnement]])</f>
        <v>0</v>
      </c>
      <c r="T1357" s="72"/>
      <c r="U1357" s="106"/>
      <c r="V1357" s="74">
        <f>Devis[[#This Row],[Prix de Revient]]*Devis[[#This Row],[Poste 1]]</f>
        <v>0</v>
      </c>
      <c r="W1357" s="74">
        <f>Devis[[#This Row],[Prix de Revient]]*Devis[[#This Row],[Poste 2]]</f>
        <v>0</v>
      </c>
      <c r="X1357" s="74">
        <f>Devis[[#This Row],[Prix de Revient]]*Devis[[#This Row],[Poste 3]]</f>
        <v>0</v>
      </c>
      <c r="Y1357" s="74">
        <f>Devis[[#This Row],[Poste 4]]*Devis[[#This Row],[Prix de Revient]]</f>
        <v>0</v>
      </c>
      <c r="Z1357" s="74">
        <f>Devis[[#This Row],[Poste 5]]*Devis[[#This Row],[Prix de Revient]]</f>
        <v>0</v>
      </c>
      <c r="AA1357" s="74">
        <f>Devis[[#This Row],[Prix de Revient]]*Devis[[#This Row],[Poste 6]]</f>
        <v>0</v>
      </c>
      <c r="AB1357" s="74">
        <f>Devis[[#This Row],[Quantité Totale]]*Devis[[#This Row],[Prix de Revient]]</f>
        <v>0</v>
      </c>
    </row>
    <row r="1358" spans="1:28" ht="14.25" outlineLevel="1" x14ac:dyDescent="0.2">
      <c r="A1358" s="75" t="s">
        <v>3557</v>
      </c>
      <c r="B1358" s="80" t="s">
        <v>1042</v>
      </c>
      <c r="C1358" s="80"/>
      <c r="D1358" s="81" t="str">
        <f t="shared" si="24"/>
        <v>GalvaMamelons réduits 245</v>
      </c>
      <c r="E1358" s="80" t="s">
        <v>1091</v>
      </c>
      <c r="F1358" s="81">
        <v>1</v>
      </c>
      <c r="G1358" s="86" t="s">
        <v>1092</v>
      </c>
      <c r="H1358" s="71"/>
      <c r="I1358" s="75"/>
      <c r="J1358" s="70">
        <f>IFERROR(VLOOKUP(Devis[[#This Row],[Ref Air Flux]],#REF!,3,FALSE),0)</f>
        <v>0</v>
      </c>
      <c r="K1358" s="68"/>
      <c r="L1358" s="68"/>
      <c r="M1358" s="68"/>
      <c r="N1358" s="68"/>
      <c r="O1358" s="68"/>
      <c r="P1358" s="68"/>
      <c r="Q1358" s="68">
        <f>SUM(Devis[[#This Row],[Poste 1]:[Poste 6]])</f>
        <v>0</v>
      </c>
      <c r="R1358" s="71"/>
      <c r="S1358" s="68">
        <f>_xlfn.CEILING.MATH(Devis[[#This Row],[Quantité Totale]],Devis[[#This Row],[Conditionnement]])</f>
        <v>0</v>
      </c>
      <c r="T1358" s="72"/>
      <c r="U1358" s="106"/>
      <c r="V1358" s="74">
        <f>Devis[[#This Row],[Prix de Revient]]*Devis[[#This Row],[Poste 1]]</f>
        <v>0</v>
      </c>
      <c r="W1358" s="74">
        <f>Devis[[#This Row],[Prix de Revient]]*Devis[[#This Row],[Poste 2]]</f>
        <v>0</v>
      </c>
      <c r="X1358" s="74">
        <f>Devis[[#This Row],[Prix de Revient]]*Devis[[#This Row],[Poste 3]]</f>
        <v>0</v>
      </c>
      <c r="Y1358" s="74">
        <f>Devis[[#This Row],[Poste 4]]*Devis[[#This Row],[Prix de Revient]]</f>
        <v>0</v>
      </c>
      <c r="Z1358" s="74">
        <f>Devis[[#This Row],[Poste 5]]*Devis[[#This Row],[Prix de Revient]]</f>
        <v>0</v>
      </c>
      <c r="AA1358" s="74">
        <f>Devis[[#This Row],[Prix de Revient]]*Devis[[#This Row],[Poste 6]]</f>
        <v>0</v>
      </c>
      <c r="AB1358" s="74">
        <f>Devis[[#This Row],[Quantité Totale]]*Devis[[#This Row],[Prix de Revient]]</f>
        <v>0</v>
      </c>
    </row>
    <row r="1359" spans="1:28" ht="14.25" outlineLevel="1" x14ac:dyDescent="0.2">
      <c r="A1359" s="75" t="s">
        <v>3557</v>
      </c>
      <c r="B1359" s="80" t="s">
        <v>1042</v>
      </c>
      <c r="C1359" s="80"/>
      <c r="D1359" s="81" t="str">
        <f t="shared" si="24"/>
        <v>GalvaMamelons réduits 245</v>
      </c>
      <c r="E1359" s="80" t="s">
        <v>1079</v>
      </c>
      <c r="F1359" s="81">
        <v>2</v>
      </c>
      <c r="G1359" s="86" t="s">
        <v>1080</v>
      </c>
      <c r="H1359" s="71"/>
      <c r="I1359" s="75"/>
      <c r="J1359" s="70">
        <f>IFERROR(VLOOKUP(Devis[[#This Row],[Ref Air Flux]],#REF!,3,FALSE),0)</f>
        <v>0</v>
      </c>
      <c r="K1359" s="68"/>
      <c r="L1359" s="68"/>
      <c r="M1359" s="68"/>
      <c r="N1359" s="68"/>
      <c r="O1359" s="68"/>
      <c r="P1359" s="68"/>
      <c r="Q1359" s="68">
        <f>SUM(Devis[[#This Row],[Poste 1]:[Poste 6]])</f>
        <v>0</v>
      </c>
      <c r="R1359" s="71"/>
      <c r="S1359" s="68">
        <f>_xlfn.CEILING.MATH(Devis[[#This Row],[Quantité Totale]],Devis[[#This Row],[Conditionnement]])</f>
        <v>0</v>
      </c>
      <c r="T1359" s="72"/>
      <c r="U1359" s="106"/>
      <c r="V1359" s="74">
        <f>Devis[[#This Row],[Prix de Revient]]*Devis[[#This Row],[Poste 1]]</f>
        <v>0</v>
      </c>
      <c r="W1359" s="74">
        <f>Devis[[#This Row],[Prix de Revient]]*Devis[[#This Row],[Poste 2]]</f>
        <v>0</v>
      </c>
      <c r="X1359" s="74">
        <f>Devis[[#This Row],[Prix de Revient]]*Devis[[#This Row],[Poste 3]]</f>
        <v>0</v>
      </c>
      <c r="Y1359" s="74">
        <f>Devis[[#This Row],[Poste 4]]*Devis[[#This Row],[Prix de Revient]]</f>
        <v>0</v>
      </c>
      <c r="Z1359" s="74">
        <f>Devis[[#This Row],[Poste 5]]*Devis[[#This Row],[Prix de Revient]]</f>
        <v>0</v>
      </c>
      <c r="AA1359" s="74">
        <f>Devis[[#This Row],[Prix de Revient]]*Devis[[#This Row],[Poste 6]]</f>
        <v>0</v>
      </c>
      <c r="AB1359" s="74">
        <f>Devis[[#This Row],[Quantité Totale]]*Devis[[#This Row],[Prix de Revient]]</f>
        <v>0</v>
      </c>
    </row>
    <row r="1360" spans="1:28" ht="14.25" outlineLevel="1" x14ac:dyDescent="0.2">
      <c r="A1360" s="75" t="s">
        <v>3557</v>
      </c>
      <c r="B1360" s="80" t="s">
        <v>1042</v>
      </c>
      <c r="C1360" s="80"/>
      <c r="D1360" s="81" t="str">
        <f t="shared" si="24"/>
        <v>GalvaMamelons réduits 245</v>
      </c>
      <c r="E1360" s="80" t="s">
        <v>1077</v>
      </c>
      <c r="F1360" s="81">
        <v>3</v>
      </c>
      <c r="G1360" s="86" t="s">
        <v>1078</v>
      </c>
      <c r="H1360" s="71"/>
      <c r="I1360" s="75"/>
      <c r="J1360" s="70">
        <f>IFERROR(VLOOKUP(Devis[[#This Row],[Ref Air Flux]],#REF!,3,FALSE),0)</f>
        <v>0</v>
      </c>
      <c r="K1360" s="68"/>
      <c r="L1360" s="68"/>
      <c r="M1360" s="68"/>
      <c r="N1360" s="68"/>
      <c r="O1360" s="68"/>
      <c r="P1360" s="68"/>
      <c r="Q1360" s="68">
        <f>SUM(Devis[[#This Row],[Poste 1]:[Poste 6]])</f>
        <v>0</v>
      </c>
      <c r="R1360" s="71"/>
      <c r="S1360" s="68">
        <f>_xlfn.CEILING.MATH(Devis[[#This Row],[Quantité Totale]],Devis[[#This Row],[Conditionnement]])</f>
        <v>0</v>
      </c>
      <c r="T1360" s="72"/>
      <c r="U1360" s="106"/>
      <c r="V1360" s="74">
        <f>Devis[[#This Row],[Prix de Revient]]*Devis[[#This Row],[Poste 1]]</f>
        <v>0</v>
      </c>
      <c r="W1360" s="74">
        <f>Devis[[#This Row],[Prix de Revient]]*Devis[[#This Row],[Poste 2]]</f>
        <v>0</v>
      </c>
      <c r="X1360" s="74">
        <f>Devis[[#This Row],[Prix de Revient]]*Devis[[#This Row],[Poste 3]]</f>
        <v>0</v>
      </c>
      <c r="Y1360" s="74">
        <f>Devis[[#This Row],[Poste 4]]*Devis[[#This Row],[Prix de Revient]]</f>
        <v>0</v>
      </c>
      <c r="Z1360" s="74">
        <f>Devis[[#This Row],[Poste 5]]*Devis[[#This Row],[Prix de Revient]]</f>
        <v>0</v>
      </c>
      <c r="AA1360" s="74">
        <f>Devis[[#This Row],[Prix de Revient]]*Devis[[#This Row],[Poste 6]]</f>
        <v>0</v>
      </c>
      <c r="AB1360" s="74">
        <f>Devis[[#This Row],[Quantité Totale]]*Devis[[#This Row],[Prix de Revient]]</f>
        <v>0</v>
      </c>
    </row>
    <row r="1361" spans="1:28" ht="14.25" outlineLevel="1" x14ac:dyDescent="0.2">
      <c r="A1361" s="75" t="s">
        <v>3557</v>
      </c>
      <c r="B1361" s="80" t="s">
        <v>1042</v>
      </c>
      <c r="C1361" s="80"/>
      <c r="D1361" s="81" t="str">
        <f t="shared" si="24"/>
        <v>GalvaMamelons réduits 245</v>
      </c>
      <c r="E1361" s="80" t="s">
        <v>1083</v>
      </c>
      <c r="F1361" s="81">
        <v>4</v>
      </c>
      <c r="G1361" s="86" t="s">
        <v>1084</v>
      </c>
      <c r="H1361" s="71"/>
      <c r="I1361" s="75"/>
      <c r="J1361" s="70">
        <f>IFERROR(VLOOKUP(Devis[[#This Row],[Ref Air Flux]],#REF!,3,FALSE),0)</f>
        <v>0</v>
      </c>
      <c r="K1361" s="68"/>
      <c r="L1361" s="68"/>
      <c r="M1361" s="68"/>
      <c r="N1361" s="68"/>
      <c r="O1361" s="68"/>
      <c r="P1361" s="68"/>
      <c r="Q1361" s="68">
        <f>SUM(Devis[[#This Row],[Poste 1]:[Poste 6]])</f>
        <v>0</v>
      </c>
      <c r="R1361" s="71"/>
      <c r="S1361" s="68">
        <f>_xlfn.CEILING.MATH(Devis[[#This Row],[Quantité Totale]],Devis[[#This Row],[Conditionnement]])</f>
        <v>0</v>
      </c>
      <c r="T1361" s="72"/>
      <c r="U1361" s="106"/>
      <c r="V1361" s="74">
        <f>Devis[[#This Row],[Prix de Revient]]*Devis[[#This Row],[Poste 1]]</f>
        <v>0</v>
      </c>
      <c r="W1361" s="74">
        <f>Devis[[#This Row],[Prix de Revient]]*Devis[[#This Row],[Poste 2]]</f>
        <v>0</v>
      </c>
      <c r="X1361" s="74">
        <f>Devis[[#This Row],[Prix de Revient]]*Devis[[#This Row],[Poste 3]]</f>
        <v>0</v>
      </c>
      <c r="Y1361" s="74">
        <f>Devis[[#This Row],[Poste 4]]*Devis[[#This Row],[Prix de Revient]]</f>
        <v>0</v>
      </c>
      <c r="Z1361" s="74">
        <f>Devis[[#This Row],[Poste 5]]*Devis[[#This Row],[Prix de Revient]]</f>
        <v>0</v>
      </c>
      <c r="AA1361" s="74">
        <f>Devis[[#This Row],[Prix de Revient]]*Devis[[#This Row],[Poste 6]]</f>
        <v>0</v>
      </c>
      <c r="AB1361" s="74">
        <f>Devis[[#This Row],[Quantité Totale]]*Devis[[#This Row],[Prix de Revient]]</f>
        <v>0</v>
      </c>
    </row>
    <row r="1362" spans="1:28" ht="14.25" outlineLevel="1" x14ac:dyDescent="0.2">
      <c r="A1362" s="75" t="s">
        <v>3557</v>
      </c>
      <c r="B1362" s="80" t="s">
        <v>1042</v>
      </c>
      <c r="C1362" s="80"/>
      <c r="D1362" s="81" t="str">
        <f t="shared" si="24"/>
        <v>GalvaMamelons réduits 245</v>
      </c>
      <c r="E1362" s="80" t="s">
        <v>1081</v>
      </c>
      <c r="F1362" s="81">
        <v>5</v>
      </c>
      <c r="G1362" s="86" t="s">
        <v>1082</v>
      </c>
      <c r="H1362" s="71"/>
      <c r="I1362" s="75"/>
      <c r="J1362" s="70">
        <f>IFERROR(VLOOKUP(Devis[[#This Row],[Ref Air Flux]],#REF!,3,FALSE),0)</f>
        <v>0</v>
      </c>
      <c r="K1362" s="68"/>
      <c r="L1362" s="68"/>
      <c r="M1362" s="68"/>
      <c r="N1362" s="68"/>
      <c r="O1362" s="68"/>
      <c r="P1362" s="68"/>
      <c r="Q1362" s="68">
        <f>SUM(Devis[[#This Row],[Poste 1]:[Poste 6]])</f>
        <v>0</v>
      </c>
      <c r="R1362" s="71"/>
      <c r="S1362" s="68">
        <f>_xlfn.CEILING.MATH(Devis[[#This Row],[Quantité Totale]],Devis[[#This Row],[Conditionnement]])</f>
        <v>0</v>
      </c>
      <c r="T1362" s="72"/>
      <c r="U1362" s="106"/>
      <c r="V1362" s="74">
        <f>Devis[[#This Row],[Prix de Revient]]*Devis[[#This Row],[Poste 1]]</f>
        <v>0</v>
      </c>
      <c r="W1362" s="74">
        <f>Devis[[#This Row],[Prix de Revient]]*Devis[[#This Row],[Poste 2]]</f>
        <v>0</v>
      </c>
      <c r="X1362" s="74">
        <f>Devis[[#This Row],[Prix de Revient]]*Devis[[#This Row],[Poste 3]]</f>
        <v>0</v>
      </c>
      <c r="Y1362" s="74">
        <f>Devis[[#This Row],[Poste 4]]*Devis[[#This Row],[Prix de Revient]]</f>
        <v>0</v>
      </c>
      <c r="Z1362" s="74">
        <f>Devis[[#This Row],[Poste 5]]*Devis[[#This Row],[Prix de Revient]]</f>
        <v>0</v>
      </c>
      <c r="AA1362" s="74">
        <f>Devis[[#This Row],[Prix de Revient]]*Devis[[#This Row],[Poste 6]]</f>
        <v>0</v>
      </c>
      <c r="AB1362" s="74">
        <f>Devis[[#This Row],[Quantité Totale]]*Devis[[#This Row],[Prix de Revient]]</f>
        <v>0</v>
      </c>
    </row>
    <row r="1363" spans="1:28" ht="14.25" outlineLevel="1" x14ac:dyDescent="0.2">
      <c r="A1363" s="75" t="s">
        <v>3557</v>
      </c>
      <c r="B1363" s="80" t="s">
        <v>1042</v>
      </c>
      <c r="C1363" s="80"/>
      <c r="D1363" s="81" t="str">
        <f t="shared" ref="D1363:D1426" si="25">A1363&amp;B1363&amp;C1363</f>
        <v>GalvaMamelons réduits 245</v>
      </c>
      <c r="E1363" s="80" t="s">
        <v>30</v>
      </c>
      <c r="F1363" s="81">
        <v>6</v>
      </c>
      <c r="G1363" s="86" t="s">
        <v>1085</v>
      </c>
      <c r="H1363" s="71"/>
      <c r="I1363" s="75"/>
      <c r="J1363" s="70">
        <f>IFERROR(VLOOKUP(Devis[[#This Row],[Ref Air Flux]],#REF!,3,FALSE),0)</f>
        <v>0</v>
      </c>
      <c r="K1363" s="68"/>
      <c r="L1363" s="68"/>
      <c r="M1363" s="68"/>
      <c r="N1363" s="68"/>
      <c r="O1363" s="68"/>
      <c r="P1363" s="68"/>
      <c r="Q1363" s="68">
        <f>SUM(Devis[[#This Row],[Poste 1]:[Poste 6]])</f>
        <v>0</v>
      </c>
      <c r="R1363" s="71"/>
      <c r="S1363" s="68">
        <f>_xlfn.CEILING.MATH(Devis[[#This Row],[Quantité Totale]],Devis[[#This Row],[Conditionnement]])</f>
        <v>0</v>
      </c>
      <c r="T1363" s="72"/>
      <c r="U1363" s="106"/>
      <c r="V1363" s="74">
        <f>Devis[[#This Row],[Prix de Revient]]*Devis[[#This Row],[Poste 1]]</f>
        <v>0</v>
      </c>
      <c r="W1363" s="74">
        <f>Devis[[#This Row],[Prix de Revient]]*Devis[[#This Row],[Poste 2]]</f>
        <v>0</v>
      </c>
      <c r="X1363" s="74">
        <f>Devis[[#This Row],[Prix de Revient]]*Devis[[#This Row],[Poste 3]]</f>
        <v>0</v>
      </c>
      <c r="Y1363" s="74">
        <f>Devis[[#This Row],[Poste 4]]*Devis[[#This Row],[Prix de Revient]]</f>
        <v>0</v>
      </c>
      <c r="Z1363" s="74">
        <f>Devis[[#This Row],[Poste 5]]*Devis[[#This Row],[Prix de Revient]]</f>
        <v>0</v>
      </c>
      <c r="AA1363" s="74">
        <f>Devis[[#This Row],[Prix de Revient]]*Devis[[#This Row],[Poste 6]]</f>
        <v>0</v>
      </c>
      <c r="AB1363" s="74">
        <f>Devis[[#This Row],[Quantité Totale]]*Devis[[#This Row],[Prix de Revient]]</f>
        <v>0</v>
      </c>
    </row>
    <row r="1364" spans="1:28" ht="14.25" outlineLevel="1" x14ac:dyDescent="0.2">
      <c r="A1364" s="75" t="s">
        <v>3557</v>
      </c>
      <c r="B1364" s="80" t="s">
        <v>1042</v>
      </c>
      <c r="C1364" s="80"/>
      <c r="D1364" s="81" t="str">
        <f t="shared" si="25"/>
        <v>GalvaMamelons réduits 245</v>
      </c>
      <c r="E1364" s="80" t="s">
        <v>1088</v>
      </c>
      <c r="F1364" s="81">
        <v>7</v>
      </c>
      <c r="G1364" s="86" t="s">
        <v>1089</v>
      </c>
      <c r="H1364" s="71"/>
      <c r="I1364" s="75"/>
      <c r="J1364" s="70">
        <f>IFERROR(VLOOKUP(Devis[[#This Row],[Ref Air Flux]],#REF!,3,FALSE),0)</f>
        <v>0</v>
      </c>
      <c r="K1364" s="68"/>
      <c r="L1364" s="68"/>
      <c r="M1364" s="68"/>
      <c r="N1364" s="68"/>
      <c r="O1364" s="68"/>
      <c r="P1364" s="68"/>
      <c r="Q1364" s="68">
        <f>SUM(Devis[[#This Row],[Poste 1]:[Poste 6]])</f>
        <v>0</v>
      </c>
      <c r="R1364" s="71"/>
      <c r="S1364" s="68">
        <f>_xlfn.CEILING.MATH(Devis[[#This Row],[Quantité Totale]],Devis[[#This Row],[Conditionnement]])</f>
        <v>0</v>
      </c>
      <c r="T1364" s="72"/>
      <c r="U1364" s="106"/>
      <c r="V1364" s="74">
        <f>Devis[[#This Row],[Prix de Revient]]*Devis[[#This Row],[Poste 1]]</f>
        <v>0</v>
      </c>
      <c r="W1364" s="74">
        <f>Devis[[#This Row],[Prix de Revient]]*Devis[[#This Row],[Poste 2]]</f>
        <v>0</v>
      </c>
      <c r="X1364" s="74">
        <f>Devis[[#This Row],[Prix de Revient]]*Devis[[#This Row],[Poste 3]]</f>
        <v>0</v>
      </c>
      <c r="Y1364" s="74">
        <f>Devis[[#This Row],[Poste 4]]*Devis[[#This Row],[Prix de Revient]]</f>
        <v>0</v>
      </c>
      <c r="Z1364" s="74">
        <f>Devis[[#This Row],[Poste 5]]*Devis[[#This Row],[Prix de Revient]]</f>
        <v>0</v>
      </c>
      <c r="AA1364" s="74">
        <f>Devis[[#This Row],[Prix de Revient]]*Devis[[#This Row],[Poste 6]]</f>
        <v>0</v>
      </c>
      <c r="AB1364" s="74">
        <f>Devis[[#This Row],[Quantité Totale]]*Devis[[#This Row],[Prix de Revient]]</f>
        <v>0</v>
      </c>
    </row>
    <row r="1365" spans="1:28" ht="14.25" outlineLevel="1" x14ac:dyDescent="0.2">
      <c r="A1365" s="75" t="s">
        <v>3557</v>
      </c>
      <c r="B1365" s="80" t="s">
        <v>1042</v>
      </c>
      <c r="C1365" s="80"/>
      <c r="D1365" s="81" t="str">
        <f t="shared" si="25"/>
        <v>GalvaMamelons réduits 245</v>
      </c>
      <c r="E1365" s="80" t="s">
        <v>1086</v>
      </c>
      <c r="F1365" s="81">
        <v>8</v>
      </c>
      <c r="G1365" s="86" t="s">
        <v>1087</v>
      </c>
      <c r="H1365" s="71"/>
      <c r="I1365" s="75"/>
      <c r="J1365" s="70">
        <f>IFERROR(VLOOKUP(Devis[[#This Row],[Ref Air Flux]],#REF!,3,FALSE),0)</f>
        <v>0</v>
      </c>
      <c r="K1365" s="68"/>
      <c r="L1365" s="68"/>
      <c r="M1365" s="68"/>
      <c r="N1365" s="68"/>
      <c r="O1365" s="68"/>
      <c r="P1365" s="68"/>
      <c r="Q1365" s="68">
        <f>SUM(Devis[[#This Row],[Poste 1]:[Poste 6]])</f>
        <v>0</v>
      </c>
      <c r="R1365" s="71"/>
      <c r="S1365" s="68">
        <f>_xlfn.CEILING.MATH(Devis[[#This Row],[Quantité Totale]],Devis[[#This Row],[Conditionnement]])</f>
        <v>0</v>
      </c>
      <c r="T1365" s="72"/>
      <c r="U1365" s="106"/>
      <c r="V1365" s="74">
        <f>Devis[[#This Row],[Prix de Revient]]*Devis[[#This Row],[Poste 1]]</f>
        <v>0</v>
      </c>
      <c r="W1365" s="74">
        <f>Devis[[#This Row],[Prix de Revient]]*Devis[[#This Row],[Poste 2]]</f>
        <v>0</v>
      </c>
      <c r="X1365" s="74">
        <f>Devis[[#This Row],[Prix de Revient]]*Devis[[#This Row],[Poste 3]]</f>
        <v>0</v>
      </c>
      <c r="Y1365" s="74">
        <f>Devis[[#This Row],[Poste 4]]*Devis[[#This Row],[Prix de Revient]]</f>
        <v>0</v>
      </c>
      <c r="Z1365" s="74">
        <f>Devis[[#This Row],[Poste 5]]*Devis[[#This Row],[Prix de Revient]]</f>
        <v>0</v>
      </c>
      <c r="AA1365" s="74">
        <f>Devis[[#This Row],[Prix de Revient]]*Devis[[#This Row],[Poste 6]]</f>
        <v>0</v>
      </c>
      <c r="AB1365" s="74">
        <f>Devis[[#This Row],[Quantité Totale]]*Devis[[#This Row],[Prix de Revient]]</f>
        <v>0</v>
      </c>
    </row>
    <row r="1366" spans="1:28" ht="14.25" outlineLevel="1" x14ac:dyDescent="0.2">
      <c r="A1366" s="75" t="s">
        <v>3557</v>
      </c>
      <c r="B1366" s="80" t="s">
        <v>1042</v>
      </c>
      <c r="C1366" s="80"/>
      <c r="D1366" s="81" t="str">
        <f t="shared" si="25"/>
        <v>GalvaMamelons réduits 245</v>
      </c>
      <c r="E1366" s="80" t="s">
        <v>1101</v>
      </c>
      <c r="F1366" s="81">
        <v>9</v>
      </c>
      <c r="G1366" s="86" t="s">
        <v>1102</v>
      </c>
      <c r="H1366" s="71"/>
      <c r="I1366" s="75"/>
      <c r="J1366" s="70">
        <f>IFERROR(VLOOKUP(Devis[[#This Row],[Ref Air Flux]],#REF!,3,FALSE),0)</f>
        <v>0</v>
      </c>
      <c r="K1366" s="68"/>
      <c r="L1366" s="68"/>
      <c r="M1366" s="68"/>
      <c r="N1366" s="68"/>
      <c r="O1366" s="68"/>
      <c r="P1366" s="68"/>
      <c r="Q1366" s="68">
        <f>SUM(Devis[[#This Row],[Poste 1]:[Poste 6]])</f>
        <v>0</v>
      </c>
      <c r="R1366" s="71"/>
      <c r="S1366" s="68">
        <f>_xlfn.CEILING.MATH(Devis[[#This Row],[Quantité Totale]],Devis[[#This Row],[Conditionnement]])</f>
        <v>0</v>
      </c>
      <c r="T1366" s="72"/>
      <c r="U1366" s="106"/>
      <c r="V1366" s="74">
        <f>Devis[[#This Row],[Prix de Revient]]*Devis[[#This Row],[Poste 1]]</f>
        <v>0</v>
      </c>
      <c r="W1366" s="74">
        <f>Devis[[#This Row],[Prix de Revient]]*Devis[[#This Row],[Poste 2]]</f>
        <v>0</v>
      </c>
      <c r="X1366" s="74">
        <f>Devis[[#This Row],[Prix de Revient]]*Devis[[#This Row],[Poste 3]]</f>
        <v>0</v>
      </c>
      <c r="Y1366" s="74">
        <f>Devis[[#This Row],[Poste 4]]*Devis[[#This Row],[Prix de Revient]]</f>
        <v>0</v>
      </c>
      <c r="Z1366" s="74">
        <f>Devis[[#This Row],[Poste 5]]*Devis[[#This Row],[Prix de Revient]]</f>
        <v>0</v>
      </c>
      <c r="AA1366" s="74">
        <f>Devis[[#This Row],[Prix de Revient]]*Devis[[#This Row],[Poste 6]]</f>
        <v>0</v>
      </c>
      <c r="AB1366" s="74">
        <f>Devis[[#This Row],[Quantité Totale]]*Devis[[#This Row],[Prix de Revient]]</f>
        <v>0</v>
      </c>
    </row>
    <row r="1367" spans="1:28" ht="14.25" customHeight="1" outlineLevel="1" x14ac:dyDescent="0.2">
      <c r="A1367" s="75" t="s">
        <v>3557</v>
      </c>
      <c r="B1367" s="80" t="s">
        <v>1042</v>
      </c>
      <c r="C1367" s="80"/>
      <c r="D1367" s="81" t="str">
        <f t="shared" si="25"/>
        <v>GalvaMamelons réduits 245</v>
      </c>
      <c r="E1367" s="76" t="s">
        <v>1103</v>
      </c>
      <c r="F1367" s="81">
        <v>10</v>
      </c>
      <c r="G1367" s="86" t="s">
        <v>1104</v>
      </c>
      <c r="H1367" s="71"/>
      <c r="I1367" s="75"/>
      <c r="J1367" s="70">
        <f>IFERROR(VLOOKUP(Devis[[#This Row],[Ref Air Flux]],#REF!,3,FALSE),0)</f>
        <v>0</v>
      </c>
      <c r="K1367" s="68"/>
      <c r="L1367" s="68"/>
      <c r="M1367" s="68"/>
      <c r="N1367" s="68"/>
      <c r="O1367" s="68"/>
      <c r="P1367" s="68"/>
      <c r="Q1367" s="68">
        <f>SUM(Devis[[#This Row],[Poste 1]:[Poste 6]])</f>
        <v>0</v>
      </c>
      <c r="R1367" s="71"/>
      <c r="S1367" s="68">
        <f>_xlfn.CEILING.MATH(Devis[[#This Row],[Quantité Totale]],Devis[[#This Row],[Conditionnement]])</f>
        <v>0</v>
      </c>
      <c r="T1367" s="72"/>
      <c r="U1367" s="106"/>
      <c r="V1367" s="74">
        <f>Devis[[#This Row],[Prix de Revient]]*Devis[[#This Row],[Poste 1]]</f>
        <v>0</v>
      </c>
      <c r="W1367" s="74">
        <f>Devis[[#This Row],[Prix de Revient]]*Devis[[#This Row],[Poste 2]]</f>
        <v>0</v>
      </c>
      <c r="X1367" s="74">
        <f>Devis[[#This Row],[Prix de Revient]]*Devis[[#This Row],[Poste 3]]</f>
        <v>0</v>
      </c>
      <c r="Y1367" s="74">
        <f>Devis[[#This Row],[Poste 4]]*Devis[[#This Row],[Prix de Revient]]</f>
        <v>0</v>
      </c>
      <c r="Z1367" s="74">
        <f>Devis[[#This Row],[Poste 5]]*Devis[[#This Row],[Prix de Revient]]</f>
        <v>0</v>
      </c>
      <c r="AA1367" s="74">
        <f>Devis[[#This Row],[Prix de Revient]]*Devis[[#This Row],[Poste 6]]</f>
        <v>0</v>
      </c>
      <c r="AB1367" s="74">
        <f>Devis[[#This Row],[Quantité Totale]]*Devis[[#This Row],[Prix de Revient]]</f>
        <v>0</v>
      </c>
    </row>
    <row r="1368" spans="1:28" ht="14.25" outlineLevel="1" x14ac:dyDescent="0.2">
      <c r="A1368" s="75" t="s">
        <v>3557</v>
      </c>
      <c r="B1368" s="80" t="s">
        <v>1042</v>
      </c>
      <c r="C1368" s="80"/>
      <c r="D1368" s="81" t="str">
        <f t="shared" si="25"/>
        <v>GalvaMamelons réduits 245</v>
      </c>
      <c r="E1368" s="80" t="s">
        <v>27</v>
      </c>
      <c r="F1368" s="81">
        <v>11</v>
      </c>
      <c r="G1368" s="86" t="s">
        <v>1100</v>
      </c>
      <c r="H1368" s="71"/>
      <c r="I1368" s="75"/>
      <c r="J1368" s="70">
        <f>IFERROR(VLOOKUP(Devis[[#This Row],[Ref Air Flux]],#REF!,3,FALSE),0)</f>
        <v>0</v>
      </c>
      <c r="K1368" s="68"/>
      <c r="L1368" s="68"/>
      <c r="M1368" s="68"/>
      <c r="N1368" s="68"/>
      <c r="O1368" s="68"/>
      <c r="P1368" s="68"/>
      <c r="Q1368" s="68">
        <f>SUM(Devis[[#This Row],[Poste 1]:[Poste 6]])</f>
        <v>0</v>
      </c>
      <c r="R1368" s="71"/>
      <c r="S1368" s="68">
        <f>_xlfn.CEILING.MATH(Devis[[#This Row],[Quantité Totale]],Devis[[#This Row],[Conditionnement]])</f>
        <v>0</v>
      </c>
      <c r="T1368" s="72"/>
      <c r="U1368" s="106"/>
      <c r="V1368" s="74">
        <f>Devis[[#This Row],[Prix de Revient]]*Devis[[#This Row],[Poste 1]]</f>
        <v>0</v>
      </c>
      <c r="W1368" s="74">
        <f>Devis[[#This Row],[Prix de Revient]]*Devis[[#This Row],[Poste 2]]</f>
        <v>0</v>
      </c>
      <c r="X1368" s="74">
        <f>Devis[[#This Row],[Prix de Revient]]*Devis[[#This Row],[Poste 3]]</f>
        <v>0</v>
      </c>
      <c r="Y1368" s="74">
        <f>Devis[[#This Row],[Poste 4]]*Devis[[#This Row],[Prix de Revient]]</f>
        <v>0</v>
      </c>
      <c r="Z1368" s="74">
        <f>Devis[[#This Row],[Poste 5]]*Devis[[#This Row],[Prix de Revient]]</f>
        <v>0</v>
      </c>
      <c r="AA1368" s="74">
        <f>Devis[[#This Row],[Prix de Revient]]*Devis[[#This Row],[Poste 6]]</f>
        <v>0</v>
      </c>
      <c r="AB1368" s="74">
        <f>Devis[[#This Row],[Quantité Totale]]*Devis[[#This Row],[Prix de Revient]]</f>
        <v>0</v>
      </c>
    </row>
    <row r="1369" spans="1:28" ht="14.25" outlineLevel="1" x14ac:dyDescent="0.2">
      <c r="A1369" s="75" t="s">
        <v>3557</v>
      </c>
      <c r="B1369" s="80" t="s">
        <v>1042</v>
      </c>
      <c r="C1369" s="80"/>
      <c r="D1369" s="81" t="str">
        <f t="shared" si="25"/>
        <v>GalvaMamelons réduits 245</v>
      </c>
      <c r="E1369" s="80" t="s">
        <v>29</v>
      </c>
      <c r="F1369" s="81">
        <v>12</v>
      </c>
      <c r="G1369" s="86" t="s">
        <v>1090</v>
      </c>
      <c r="H1369" s="71"/>
      <c r="I1369" s="75"/>
      <c r="J1369" s="70">
        <f>IFERROR(VLOOKUP(Devis[[#This Row],[Ref Air Flux]],#REF!,3,FALSE),0)</f>
        <v>0</v>
      </c>
      <c r="K1369" s="68"/>
      <c r="L1369" s="68"/>
      <c r="M1369" s="68"/>
      <c r="N1369" s="68"/>
      <c r="O1369" s="68"/>
      <c r="P1369" s="68"/>
      <c r="Q1369" s="68">
        <f>SUM(Devis[[#This Row],[Poste 1]:[Poste 6]])</f>
        <v>0</v>
      </c>
      <c r="R1369" s="71"/>
      <c r="S1369" s="68">
        <f>_xlfn.CEILING.MATH(Devis[[#This Row],[Quantité Totale]],Devis[[#This Row],[Conditionnement]])</f>
        <v>0</v>
      </c>
      <c r="T1369" s="72"/>
      <c r="U1369" s="106"/>
      <c r="V1369" s="74">
        <f>Devis[[#This Row],[Prix de Revient]]*Devis[[#This Row],[Poste 1]]</f>
        <v>0</v>
      </c>
      <c r="W1369" s="74">
        <f>Devis[[#This Row],[Prix de Revient]]*Devis[[#This Row],[Poste 2]]</f>
        <v>0</v>
      </c>
      <c r="X1369" s="74">
        <f>Devis[[#This Row],[Prix de Revient]]*Devis[[#This Row],[Poste 3]]</f>
        <v>0</v>
      </c>
      <c r="Y1369" s="74">
        <f>Devis[[#This Row],[Poste 4]]*Devis[[#This Row],[Prix de Revient]]</f>
        <v>0</v>
      </c>
      <c r="Z1369" s="74">
        <f>Devis[[#This Row],[Poste 5]]*Devis[[#This Row],[Prix de Revient]]</f>
        <v>0</v>
      </c>
      <c r="AA1369" s="74">
        <f>Devis[[#This Row],[Prix de Revient]]*Devis[[#This Row],[Poste 6]]</f>
        <v>0</v>
      </c>
      <c r="AB1369" s="74">
        <f>Devis[[#This Row],[Quantité Totale]]*Devis[[#This Row],[Prix de Revient]]</f>
        <v>0</v>
      </c>
    </row>
    <row r="1370" spans="1:28" ht="14.25" outlineLevel="1" x14ac:dyDescent="0.2">
      <c r="A1370" s="75" t="s">
        <v>3557</v>
      </c>
      <c r="B1370" s="80" t="s">
        <v>1042</v>
      </c>
      <c r="C1370" s="80"/>
      <c r="D1370" s="81" t="str">
        <f t="shared" si="25"/>
        <v>GalvaMamelons réduits 245</v>
      </c>
      <c r="E1370" s="76" t="s">
        <v>1093</v>
      </c>
      <c r="F1370" s="81">
        <v>13</v>
      </c>
      <c r="G1370" s="86" t="s">
        <v>1094</v>
      </c>
      <c r="H1370" s="71"/>
      <c r="I1370" s="75"/>
      <c r="J1370" s="70">
        <f>IFERROR(VLOOKUP(Devis[[#This Row],[Ref Air Flux]],#REF!,3,FALSE),0)</f>
        <v>0</v>
      </c>
      <c r="K1370" s="68"/>
      <c r="L1370" s="68"/>
      <c r="M1370" s="68"/>
      <c r="N1370" s="68"/>
      <c r="O1370" s="68"/>
      <c r="P1370" s="68"/>
      <c r="Q1370" s="68">
        <f>SUM(Devis[[#This Row],[Poste 1]:[Poste 6]])</f>
        <v>0</v>
      </c>
      <c r="R1370" s="71"/>
      <c r="S1370" s="68">
        <f>_xlfn.CEILING.MATH(Devis[[#This Row],[Quantité Totale]],Devis[[#This Row],[Conditionnement]])</f>
        <v>0</v>
      </c>
      <c r="T1370" s="72"/>
      <c r="U1370" s="106"/>
      <c r="V1370" s="74">
        <f>Devis[[#This Row],[Prix de Revient]]*Devis[[#This Row],[Poste 1]]</f>
        <v>0</v>
      </c>
      <c r="W1370" s="74">
        <f>Devis[[#This Row],[Prix de Revient]]*Devis[[#This Row],[Poste 2]]</f>
        <v>0</v>
      </c>
      <c r="X1370" s="74">
        <f>Devis[[#This Row],[Prix de Revient]]*Devis[[#This Row],[Poste 3]]</f>
        <v>0</v>
      </c>
      <c r="Y1370" s="74">
        <f>Devis[[#This Row],[Poste 4]]*Devis[[#This Row],[Prix de Revient]]</f>
        <v>0</v>
      </c>
      <c r="Z1370" s="74">
        <f>Devis[[#This Row],[Poste 5]]*Devis[[#This Row],[Prix de Revient]]</f>
        <v>0</v>
      </c>
      <c r="AA1370" s="74">
        <f>Devis[[#This Row],[Prix de Revient]]*Devis[[#This Row],[Poste 6]]</f>
        <v>0</v>
      </c>
      <c r="AB1370" s="74">
        <f>Devis[[#This Row],[Quantité Totale]]*Devis[[#This Row],[Prix de Revient]]</f>
        <v>0</v>
      </c>
    </row>
    <row r="1371" spans="1:28" ht="14.25" outlineLevel="1" x14ac:dyDescent="0.2">
      <c r="A1371" s="75" t="s">
        <v>3557</v>
      </c>
      <c r="B1371" s="80" t="s">
        <v>1042</v>
      </c>
      <c r="C1371" s="80"/>
      <c r="D1371" s="81" t="str">
        <f t="shared" si="25"/>
        <v>GalvaMamelons réduits 245</v>
      </c>
      <c r="E1371" s="80" t="s">
        <v>1071</v>
      </c>
      <c r="F1371" s="81">
        <v>14</v>
      </c>
      <c r="G1371" s="86" t="s">
        <v>1072</v>
      </c>
      <c r="H1371" s="71"/>
      <c r="I1371" s="75"/>
      <c r="J1371" s="70">
        <f>IFERROR(VLOOKUP(Devis[[#This Row],[Ref Air Flux]],#REF!,3,FALSE),0)</f>
        <v>0</v>
      </c>
      <c r="K1371" s="68"/>
      <c r="L1371" s="68"/>
      <c r="M1371" s="68"/>
      <c r="N1371" s="68"/>
      <c r="O1371" s="68"/>
      <c r="P1371" s="68"/>
      <c r="Q1371" s="68">
        <f>SUM(Devis[[#This Row],[Poste 1]:[Poste 6]])</f>
        <v>0</v>
      </c>
      <c r="R1371" s="71"/>
      <c r="S1371" s="68">
        <f>_xlfn.CEILING.MATH(Devis[[#This Row],[Quantité Totale]],Devis[[#This Row],[Conditionnement]])</f>
        <v>0</v>
      </c>
      <c r="T1371" s="72"/>
      <c r="U1371" s="106"/>
      <c r="V1371" s="74">
        <f>Devis[[#This Row],[Prix de Revient]]*Devis[[#This Row],[Poste 1]]</f>
        <v>0</v>
      </c>
      <c r="W1371" s="74">
        <f>Devis[[#This Row],[Prix de Revient]]*Devis[[#This Row],[Poste 2]]</f>
        <v>0</v>
      </c>
      <c r="X1371" s="74">
        <f>Devis[[#This Row],[Prix de Revient]]*Devis[[#This Row],[Poste 3]]</f>
        <v>0</v>
      </c>
      <c r="Y1371" s="74">
        <f>Devis[[#This Row],[Poste 4]]*Devis[[#This Row],[Prix de Revient]]</f>
        <v>0</v>
      </c>
      <c r="Z1371" s="74">
        <f>Devis[[#This Row],[Poste 5]]*Devis[[#This Row],[Prix de Revient]]</f>
        <v>0</v>
      </c>
      <c r="AA1371" s="74">
        <f>Devis[[#This Row],[Prix de Revient]]*Devis[[#This Row],[Poste 6]]</f>
        <v>0</v>
      </c>
      <c r="AB1371" s="74">
        <f>Devis[[#This Row],[Quantité Totale]]*Devis[[#This Row],[Prix de Revient]]</f>
        <v>0</v>
      </c>
    </row>
    <row r="1372" spans="1:28" ht="14.25" outlineLevel="1" x14ac:dyDescent="0.2">
      <c r="A1372" s="75" t="s">
        <v>3557</v>
      </c>
      <c r="B1372" s="80" t="s">
        <v>1042</v>
      </c>
      <c r="C1372" s="80"/>
      <c r="D1372" s="81" t="str">
        <f t="shared" si="25"/>
        <v>GalvaMamelons réduits 245</v>
      </c>
      <c r="E1372" s="80" t="s">
        <v>1067</v>
      </c>
      <c r="F1372" s="81">
        <v>15</v>
      </c>
      <c r="G1372" s="86" t="s">
        <v>1068</v>
      </c>
      <c r="H1372" s="71"/>
      <c r="I1372" s="75"/>
      <c r="J1372" s="70">
        <f>IFERROR(VLOOKUP(Devis[[#This Row],[Ref Air Flux]],#REF!,3,FALSE),0)</f>
        <v>0</v>
      </c>
      <c r="K1372" s="68"/>
      <c r="L1372" s="68"/>
      <c r="M1372" s="68"/>
      <c r="N1372" s="68"/>
      <c r="O1372" s="68"/>
      <c r="P1372" s="68"/>
      <c r="Q1372" s="68">
        <f>SUM(Devis[[#This Row],[Poste 1]:[Poste 6]])</f>
        <v>0</v>
      </c>
      <c r="R1372" s="71"/>
      <c r="S1372" s="68">
        <f>_xlfn.CEILING.MATH(Devis[[#This Row],[Quantité Totale]],Devis[[#This Row],[Conditionnement]])</f>
        <v>0</v>
      </c>
      <c r="T1372" s="72"/>
      <c r="U1372" s="106"/>
      <c r="V1372" s="74">
        <f>Devis[[#This Row],[Prix de Revient]]*Devis[[#This Row],[Poste 1]]</f>
        <v>0</v>
      </c>
      <c r="W1372" s="74">
        <f>Devis[[#This Row],[Prix de Revient]]*Devis[[#This Row],[Poste 2]]</f>
        <v>0</v>
      </c>
      <c r="X1372" s="74">
        <f>Devis[[#This Row],[Prix de Revient]]*Devis[[#This Row],[Poste 3]]</f>
        <v>0</v>
      </c>
      <c r="Y1372" s="74">
        <f>Devis[[#This Row],[Poste 4]]*Devis[[#This Row],[Prix de Revient]]</f>
        <v>0</v>
      </c>
      <c r="Z1372" s="74">
        <f>Devis[[#This Row],[Poste 5]]*Devis[[#This Row],[Prix de Revient]]</f>
        <v>0</v>
      </c>
      <c r="AA1372" s="74">
        <f>Devis[[#This Row],[Prix de Revient]]*Devis[[#This Row],[Poste 6]]</f>
        <v>0</v>
      </c>
      <c r="AB1372" s="74">
        <f>Devis[[#This Row],[Quantité Totale]]*Devis[[#This Row],[Prix de Revient]]</f>
        <v>0</v>
      </c>
    </row>
    <row r="1373" spans="1:28" ht="14.25" outlineLevel="1" x14ac:dyDescent="0.2">
      <c r="A1373" s="75" t="s">
        <v>3557</v>
      </c>
      <c r="B1373" s="80" t="s">
        <v>1042</v>
      </c>
      <c r="C1373" s="80"/>
      <c r="D1373" s="81" t="str">
        <f t="shared" si="25"/>
        <v>GalvaMamelons réduits 245</v>
      </c>
      <c r="E1373" s="80" t="s">
        <v>1069</v>
      </c>
      <c r="F1373" s="81">
        <v>16</v>
      </c>
      <c r="G1373" s="86" t="s">
        <v>1070</v>
      </c>
      <c r="H1373" s="71"/>
      <c r="I1373" s="75"/>
      <c r="J1373" s="70">
        <f>IFERROR(VLOOKUP(Devis[[#This Row],[Ref Air Flux]],#REF!,3,FALSE),0)</f>
        <v>0</v>
      </c>
      <c r="K1373" s="68"/>
      <c r="L1373" s="68"/>
      <c r="M1373" s="68"/>
      <c r="N1373" s="68"/>
      <c r="O1373" s="68"/>
      <c r="P1373" s="68"/>
      <c r="Q1373" s="68">
        <f>SUM(Devis[[#This Row],[Poste 1]:[Poste 6]])</f>
        <v>0</v>
      </c>
      <c r="R1373" s="71"/>
      <c r="S1373" s="68">
        <f>_xlfn.CEILING.MATH(Devis[[#This Row],[Quantité Totale]],Devis[[#This Row],[Conditionnement]])</f>
        <v>0</v>
      </c>
      <c r="T1373" s="72"/>
      <c r="U1373" s="106"/>
      <c r="V1373" s="74">
        <f>Devis[[#This Row],[Prix de Revient]]*Devis[[#This Row],[Poste 1]]</f>
        <v>0</v>
      </c>
      <c r="W1373" s="74">
        <f>Devis[[#This Row],[Prix de Revient]]*Devis[[#This Row],[Poste 2]]</f>
        <v>0</v>
      </c>
      <c r="X1373" s="74">
        <f>Devis[[#This Row],[Prix de Revient]]*Devis[[#This Row],[Poste 3]]</f>
        <v>0</v>
      </c>
      <c r="Y1373" s="74">
        <f>Devis[[#This Row],[Poste 4]]*Devis[[#This Row],[Prix de Revient]]</f>
        <v>0</v>
      </c>
      <c r="Z1373" s="74">
        <f>Devis[[#This Row],[Poste 5]]*Devis[[#This Row],[Prix de Revient]]</f>
        <v>0</v>
      </c>
      <c r="AA1373" s="74">
        <f>Devis[[#This Row],[Prix de Revient]]*Devis[[#This Row],[Poste 6]]</f>
        <v>0</v>
      </c>
      <c r="AB1373" s="74">
        <f>Devis[[#This Row],[Quantité Totale]]*Devis[[#This Row],[Prix de Revient]]</f>
        <v>0</v>
      </c>
    </row>
    <row r="1374" spans="1:28" ht="14.25" outlineLevel="1" x14ac:dyDescent="0.2">
      <c r="A1374" s="75" t="s">
        <v>3557</v>
      </c>
      <c r="B1374" s="80" t="s">
        <v>1042</v>
      </c>
      <c r="C1374" s="80"/>
      <c r="D1374" s="81" t="str">
        <f t="shared" si="25"/>
        <v>GalvaMamelons réduits 245</v>
      </c>
      <c r="E1374" s="80" t="s">
        <v>1075</v>
      </c>
      <c r="F1374" s="81">
        <v>17</v>
      </c>
      <c r="G1374" s="86" t="s">
        <v>1076</v>
      </c>
      <c r="H1374" s="71"/>
      <c r="I1374" s="75"/>
      <c r="J1374" s="70">
        <f>IFERROR(VLOOKUP(Devis[[#This Row],[Ref Air Flux]],#REF!,3,FALSE),0)</f>
        <v>0</v>
      </c>
      <c r="K1374" s="68"/>
      <c r="L1374" s="68"/>
      <c r="M1374" s="68"/>
      <c r="N1374" s="68"/>
      <c r="O1374" s="68"/>
      <c r="P1374" s="68"/>
      <c r="Q1374" s="68">
        <f>SUM(Devis[[#This Row],[Poste 1]:[Poste 6]])</f>
        <v>0</v>
      </c>
      <c r="R1374" s="71"/>
      <c r="S1374" s="68">
        <f>_xlfn.CEILING.MATH(Devis[[#This Row],[Quantité Totale]],Devis[[#This Row],[Conditionnement]])</f>
        <v>0</v>
      </c>
      <c r="T1374" s="72"/>
      <c r="U1374" s="106"/>
      <c r="V1374" s="74">
        <f>Devis[[#This Row],[Prix de Revient]]*Devis[[#This Row],[Poste 1]]</f>
        <v>0</v>
      </c>
      <c r="W1374" s="74">
        <f>Devis[[#This Row],[Prix de Revient]]*Devis[[#This Row],[Poste 2]]</f>
        <v>0</v>
      </c>
      <c r="X1374" s="74">
        <f>Devis[[#This Row],[Prix de Revient]]*Devis[[#This Row],[Poste 3]]</f>
        <v>0</v>
      </c>
      <c r="Y1374" s="74">
        <f>Devis[[#This Row],[Poste 4]]*Devis[[#This Row],[Prix de Revient]]</f>
        <v>0</v>
      </c>
      <c r="Z1374" s="74">
        <f>Devis[[#This Row],[Poste 5]]*Devis[[#This Row],[Prix de Revient]]</f>
        <v>0</v>
      </c>
      <c r="AA1374" s="74">
        <f>Devis[[#This Row],[Prix de Revient]]*Devis[[#This Row],[Poste 6]]</f>
        <v>0</v>
      </c>
      <c r="AB1374" s="74">
        <f>Devis[[#This Row],[Quantité Totale]]*Devis[[#This Row],[Prix de Revient]]</f>
        <v>0</v>
      </c>
    </row>
    <row r="1375" spans="1:28" ht="14.25" outlineLevel="1" x14ac:dyDescent="0.2">
      <c r="A1375" s="75" t="s">
        <v>3557</v>
      </c>
      <c r="B1375" s="80" t="s">
        <v>1042</v>
      </c>
      <c r="C1375" s="80"/>
      <c r="D1375" s="81" t="str">
        <f t="shared" si="25"/>
        <v>GalvaMamelons réduits 245</v>
      </c>
      <c r="E1375" s="80" t="s">
        <v>1063</v>
      </c>
      <c r="F1375" s="81">
        <v>18</v>
      </c>
      <c r="G1375" s="86" t="s">
        <v>1064</v>
      </c>
      <c r="H1375" s="71"/>
      <c r="I1375" s="75"/>
      <c r="J1375" s="70">
        <f>IFERROR(VLOOKUP(Devis[[#This Row],[Ref Air Flux]],#REF!,3,FALSE),0)</f>
        <v>0</v>
      </c>
      <c r="K1375" s="68"/>
      <c r="L1375" s="68"/>
      <c r="M1375" s="68"/>
      <c r="N1375" s="68"/>
      <c r="O1375" s="68"/>
      <c r="P1375" s="68"/>
      <c r="Q1375" s="68">
        <f>SUM(Devis[[#This Row],[Poste 1]:[Poste 6]])</f>
        <v>0</v>
      </c>
      <c r="R1375" s="71"/>
      <c r="S1375" s="68">
        <f>_xlfn.CEILING.MATH(Devis[[#This Row],[Quantité Totale]],Devis[[#This Row],[Conditionnement]])</f>
        <v>0</v>
      </c>
      <c r="T1375" s="72"/>
      <c r="U1375" s="106"/>
      <c r="V1375" s="74">
        <f>Devis[[#This Row],[Prix de Revient]]*Devis[[#This Row],[Poste 1]]</f>
        <v>0</v>
      </c>
      <c r="W1375" s="74">
        <f>Devis[[#This Row],[Prix de Revient]]*Devis[[#This Row],[Poste 2]]</f>
        <v>0</v>
      </c>
      <c r="X1375" s="74">
        <f>Devis[[#This Row],[Prix de Revient]]*Devis[[#This Row],[Poste 3]]</f>
        <v>0</v>
      </c>
      <c r="Y1375" s="74">
        <f>Devis[[#This Row],[Poste 4]]*Devis[[#This Row],[Prix de Revient]]</f>
        <v>0</v>
      </c>
      <c r="Z1375" s="74">
        <f>Devis[[#This Row],[Poste 5]]*Devis[[#This Row],[Prix de Revient]]</f>
        <v>0</v>
      </c>
      <c r="AA1375" s="74">
        <f>Devis[[#This Row],[Prix de Revient]]*Devis[[#This Row],[Poste 6]]</f>
        <v>0</v>
      </c>
      <c r="AB1375" s="74">
        <f>Devis[[#This Row],[Quantité Totale]]*Devis[[#This Row],[Prix de Revient]]</f>
        <v>0</v>
      </c>
    </row>
    <row r="1376" spans="1:28" ht="14.25" outlineLevel="1" x14ac:dyDescent="0.2">
      <c r="A1376" s="75" t="s">
        <v>3557</v>
      </c>
      <c r="B1376" s="80" t="s">
        <v>1042</v>
      </c>
      <c r="C1376" s="80"/>
      <c r="D1376" s="81" t="str">
        <f t="shared" si="25"/>
        <v>GalvaMamelons réduits 245</v>
      </c>
      <c r="E1376" s="80" t="s">
        <v>1065</v>
      </c>
      <c r="F1376" s="81">
        <v>19</v>
      </c>
      <c r="G1376" s="86" t="s">
        <v>1066</v>
      </c>
      <c r="H1376" s="71"/>
      <c r="I1376" s="75"/>
      <c r="J1376" s="70">
        <f>IFERROR(VLOOKUP(Devis[[#This Row],[Ref Air Flux]],#REF!,3,FALSE),0)</f>
        <v>0</v>
      </c>
      <c r="K1376" s="68"/>
      <c r="L1376" s="68"/>
      <c r="M1376" s="68"/>
      <c r="N1376" s="68"/>
      <c r="O1376" s="68"/>
      <c r="P1376" s="68"/>
      <c r="Q1376" s="68">
        <f>SUM(Devis[[#This Row],[Poste 1]:[Poste 6]])</f>
        <v>0</v>
      </c>
      <c r="R1376" s="71"/>
      <c r="S1376" s="68">
        <f>_xlfn.CEILING.MATH(Devis[[#This Row],[Quantité Totale]],Devis[[#This Row],[Conditionnement]])</f>
        <v>0</v>
      </c>
      <c r="T1376" s="72"/>
      <c r="U1376" s="106"/>
      <c r="V1376" s="74">
        <f>Devis[[#This Row],[Prix de Revient]]*Devis[[#This Row],[Poste 1]]</f>
        <v>0</v>
      </c>
      <c r="W1376" s="74">
        <f>Devis[[#This Row],[Prix de Revient]]*Devis[[#This Row],[Poste 2]]</f>
        <v>0</v>
      </c>
      <c r="X1376" s="74">
        <f>Devis[[#This Row],[Prix de Revient]]*Devis[[#This Row],[Poste 3]]</f>
        <v>0</v>
      </c>
      <c r="Y1376" s="74">
        <f>Devis[[#This Row],[Poste 4]]*Devis[[#This Row],[Prix de Revient]]</f>
        <v>0</v>
      </c>
      <c r="Z1376" s="74">
        <f>Devis[[#This Row],[Poste 5]]*Devis[[#This Row],[Prix de Revient]]</f>
        <v>0</v>
      </c>
      <c r="AA1376" s="74">
        <f>Devis[[#This Row],[Prix de Revient]]*Devis[[#This Row],[Poste 6]]</f>
        <v>0</v>
      </c>
      <c r="AB1376" s="74">
        <f>Devis[[#This Row],[Quantité Totale]]*Devis[[#This Row],[Prix de Revient]]</f>
        <v>0</v>
      </c>
    </row>
    <row r="1377" spans="1:28" ht="14.25" outlineLevel="1" x14ac:dyDescent="0.2">
      <c r="A1377" s="75" t="s">
        <v>3557</v>
      </c>
      <c r="B1377" s="80" t="s">
        <v>1042</v>
      </c>
      <c r="C1377" s="80"/>
      <c r="D1377" s="81" t="str">
        <f t="shared" si="25"/>
        <v>GalvaMamelons réduits 245</v>
      </c>
      <c r="E1377" s="80" t="s">
        <v>1061</v>
      </c>
      <c r="F1377" s="81">
        <v>20</v>
      </c>
      <c r="G1377" s="86" t="s">
        <v>1062</v>
      </c>
      <c r="H1377" s="71"/>
      <c r="I1377" s="75"/>
      <c r="J1377" s="70">
        <f>IFERROR(VLOOKUP(Devis[[#This Row],[Ref Air Flux]],#REF!,3,FALSE),0)</f>
        <v>0</v>
      </c>
      <c r="K1377" s="68"/>
      <c r="L1377" s="68"/>
      <c r="M1377" s="68"/>
      <c r="N1377" s="68"/>
      <c r="O1377" s="68"/>
      <c r="P1377" s="68"/>
      <c r="Q1377" s="68">
        <f>SUM(Devis[[#This Row],[Poste 1]:[Poste 6]])</f>
        <v>0</v>
      </c>
      <c r="R1377" s="71"/>
      <c r="S1377" s="68">
        <f>_xlfn.CEILING.MATH(Devis[[#This Row],[Quantité Totale]],Devis[[#This Row],[Conditionnement]])</f>
        <v>0</v>
      </c>
      <c r="T1377" s="72"/>
      <c r="U1377" s="106"/>
      <c r="V1377" s="74">
        <f>Devis[[#This Row],[Prix de Revient]]*Devis[[#This Row],[Poste 1]]</f>
        <v>0</v>
      </c>
      <c r="W1377" s="74">
        <f>Devis[[#This Row],[Prix de Revient]]*Devis[[#This Row],[Poste 2]]</f>
        <v>0</v>
      </c>
      <c r="X1377" s="74">
        <f>Devis[[#This Row],[Prix de Revient]]*Devis[[#This Row],[Poste 3]]</f>
        <v>0</v>
      </c>
      <c r="Y1377" s="74">
        <f>Devis[[#This Row],[Poste 4]]*Devis[[#This Row],[Prix de Revient]]</f>
        <v>0</v>
      </c>
      <c r="Z1377" s="74">
        <f>Devis[[#This Row],[Poste 5]]*Devis[[#This Row],[Prix de Revient]]</f>
        <v>0</v>
      </c>
      <c r="AA1377" s="74">
        <f>Devis[[#This Row],[Prix de Revient]]*Devis[[#This Row],[Poste 6]]</f>
        <v>0</v>
      </c>
      <c r="AB1377" s="74">
        <f>Devis[[#This Row],[Quantité Totale]]*Devis[[#This Row],[Prix de Revient]]</f>
        <v>0</v>
      </c>
    </row>
    <row r="1378" spans="1:28" ht="14.25" outlineLevel="1" x14ac:dyDescent="0.2">
      <c r="A1378" s="75" t="s">
        <v>3557</v>
      </c>
      <c r="B1378" s="80" t="s">
        <v>1042</v>
      </c>
      <c r="C1378" s="80"/>
      <c r="D1378" s="81" t="str">
        <f t="shared" si="25"/>
        <v>GalvaMamelons réduits 245</v>
      </c>
      <c r="E1378" s="80" t="s">
        <v>1073</v>
      </c>
      <c r="F1378" s="81">
        <v>21</v>
      </c>
      <c r="G1378" s="86" t="s">
        <v>1074</v>
      </c>
      <c r="H1378" s="71"/>
      <c r="I1378" s="75"/>
      <c r="J1378" s="70">
        <f>IFERROR(VLOOKUP(Devis[[#This Row],[Ref Air Flux]],#REF!,3,FALSE),0)</f>
        <v>0</v>
      </c>
      <c r="K1378" s="68"/>
      <c r="L1378" s="68"/>
      <c r="M1378" s="68"/>
      <c r="N1378" s="68"/>
      <c r="O1378" s="68"/>
      <c r="P1378" s="68"/>
      <c r="Q1378" s="68">
        <f>SUM(Devis[[#This Row],[Poste 1]:[Poste 6]])</f>
        <v>0</v>
      </c>
      <c r="R1378" s="71"/>
      <c r="S1378" s="68">
        <f>_xlfn.CEILING.MATH(Devis[[#This Row],[Quantité Totale]],Devis[[#This Row],[Conditionnement]])</f>
        <v>0</v>
      </c>
      <c r="T1378" s="72"/>
      <c r="U1378" s="106"/>
      <c r="V1378" s="74">
        <f>Devis[[#This Row],[Prix de Revient]]*Devis[[#This Row],[Poste 1]]</f>
        <v>0</v>
      </c>
      <c r="W1378" s="74">
        <f>Devis[[#This Row],[Prix de Revient]]*Devis[[#This Row],[Poste 2]]</f>
        <v>0</v>
      </c>
      <c r="X1378" s="74">
        <f>Devis[[#This Row],[Prix de Revient]]*Devis[[#This Row],[Poste 3]]</f>
        <v>0</v>
      </c>
      <c r="Y1378" s="74">
        <f>Devis[[#This Row],[Poste 4]]*Devis[[#This Row],[Prix de Revient]]</f>
        <v>0</v>
      </c>
      <c r="Z1378" s="74">
        <f>Devis[[#This Row],[Poste 5]]*Devis[[#This Row],[Prix de Revient]]</f>
        <v>0</v>
      </c>
      <c r="AA1378" s="74">
        <f>Devis[[#This Row],[Prix de Revient]]*Devis[[#This Row],[Poste 6]]</f>
        <v>0</v>
      </c>
      <c r="AB1378" s="74">
        <f>Devis[[#This Row],[Quantité Totale]]*Devis[[#This Row],[Prix de Revient]]</f>
        <v>0</v>
      </c>
    </row>
    <row r="1379" spans="1:28" ht="14.25" outlineLevel="1" x14ac:dyDescent="0.2">
      <c r="A1379" s="75" t="s">
        <v>3557</v>
      </c>
      <c r="B1379" s="80" t="s">
        <v>1042</v>
      </c>
      <c r="C1379" s="80"/>
      <c r="D1379" s="81" t="str">
        <f t="shared" si="25"/>
        <v>GalvaMamelons réduits 245</v>
      </c>
      <c r="E1379" s="80" t="s">
        <v>1059</v>
      </c>
      <c r="F1379" s="81">
        <v>22</v>
      </c>
      <c r="G1379" s="86" t="s">
        <v>1060</v>
      </c>
      <c r="H1379" s="71"/>
      <c r="I1379" s="75"/>
      <c r="J1379" s="70">
        <f>IFERROR(VLOOKUP(Devis[[#This Row],[Ref Air Flux]],#REF!,3,FALSE),0)</f>
        <v>0</v>
      </c>
      <c r="K1379" s="68"/>
      <c r="L1379" s="68"/>
      <c r="M1379" s="68"/>
      <c r="N1379" s="68"/>
      <c r="O1379" s="68"/>
      <c r="P1379" s="68"/>
      <c r="Q1379" s="68">
        <f>SUM(Devis[[#This Row],[Poste 1]:[Poste 6]])</f>
        <v>0</v>
      </c>
      <c r="R1379" s="71"/>
      <c r="S1379" s="68">
        <f>_xlfn.CEILING.MATH(Devis[[#This Row],[Quantité Totale]],Devis[[#This Row],[Conditionnement]])</f>
        <v>0</v>
      </c>
      <c r="T1379" s="72"/>
      <c r="U1379" s="106"/>
      <c r="V1379" s="74">
        <f>Devis[[#This Row],[Prix de Revient]]*Devis[[#This Row],[Poste 1]]</f>
        <v>0</v>
      </c>
      <c r="W1379" s="74">
        <f>Devis[[#This Row],[Prix de Revient]]*Devis[[#This Row],[Poste 2]]</f>
        <v>0</v>
      </c>
      <c r="X1379" s="74">
        <f>Devis[[#This Row],[Prix de Revient]]*Devis[[#This Row],[Poste 3]]</f>
        <v>0</v>
      </c>
      <c r="Y1379" s="74">
        <f>Devis[[#This Row],[Poste 4]]*Devis[[#This Row],[Prix de Revient]]</f>
        <v>0</v>
      </c>
      <c r="Z1379" s="74">
        <f>Devis[[#This Row],[Poste 5]]*Devis[[#This Row],[Prix de Revient]]</f>
        <v>0</v>
      </c>
      <c r="AA1379" s="74">
        <f>Devis[[#This Row],[Prix de Revient]]*Devis[[#This Row],[Poste 6]]</f>
        <v>0</v>
      </c>
      <c r="AB1379" s="74">
        <f>Devis[[#This Row],[Quantité Totale]]*Devis[[#This Row],[Prix de Revient]]</f>
        <v>0</v>
      </c>
    </row>
    <row r="1380" spans="1:28" ht="14.25" outlineLevel="1" x14ac:dyDescent="0.2">
      <c r="A1380" s="75" t="s">
        <v>3557</v>
      </c>
      <c r="B1380" s="80" t="s">
        <v>1042</v>
      </c>
      <c r="C1380" s="80"/>
      <c r="D1380" s="81" t="str">
        <f t="shared" si="25"/>
        <v>GalvaMamelons réduits 245</v>
      </c>
      <c r="E1380" s="80" t="s">
        <v>1055</v>
      </c>
      <c r="F1380" s="81">
        <v>23</v>
      </c>
      <c r="G1380" s="86" t="s">
        <v>1056</v>
      </c>
      <c r="H1380" s="71"/>
      <c r="I1380" s="75"/>
      <c r="J1380" s="70">
        <f>IFERROR(VLOOKUP(Devis[[#This Row],[Ref Air Flux]],#REF!,3,FALSE),0)</f>
        <v>0</v>
      </c>
      <c r="K1380" s="68"/>
      <c r="L1380" s="68"/>
      <c r="M1380" s="68"/>
      <c r="N1380" s="68"/>
      <c r="O1380" s="68"/>
      <c r="P1380" s="68"/>
      <c r="Q1380" s="68">
        <f>SUM(Devis[[#This Row],[Poste 1]:[Poste 6]])</f>
        <v>0</v>
      </c>
      <c r="R1380" s="71"/>
      <c r="S1380" s="68">
        <f>_xlfn.CEILING.MATH(Devis[[#This Row],[Quantité Totale]],Devis[[#This Row],[Conditionnement]])</f>
        <v>0</v>
      </c>
      <c r="T1380" s="72"/>
      <c r="U1380" s="106"/>
      <c r="V1380" s="74">
        <f>Devis[[#This Row],[Prix de Revient]]*Devis[[#This Row],[Poste 1]]</f>
        <v>0</v>
      </c>
      <c r="W1380" s="74">
        <f>Devis[[#This Row],[Prix de Revient]]*Devis[[#This Row],[Poste 2]]</f>
        <v>0</v>
      </c>
      <c r="X1380" s="74">
        <f>Devis[[#This Row],[Prix de Revient]]*Devis[[#This Row],[Poste 3]]</f>
        <v>0</v>
      </c>
      <c r="Y1380" s="74">
        <f>Devis[[#This Row],[Poste 4]]*Devis[[#This Row],[Prix de Revient]]</f>
        <v>0</v>
      </c>
      <c r="Z1380" s="74">
        <f>Devis[[#This Row],[Poste 5]]*Devis[[#This Row],[Prix de Revient]]</f>
        <v>0</v>
      </c>
      <c r="AA1380" s="74">
        <f>Devis[[#This Row],[Prix de Revient]]*Devis[[#This Row],[Poste 6]]</f>
        <v>0</v>
      </c>
      <c r="AB1380" s="74">
        <f>Devis[[#This Row],[Quantité Totale]]*Devis[[#This Row],[Prix de Revient]]</f>
        <v>0</v>
      </c>
    </row>
    <row r="1381" spans="1:28" ht="14.25" customHeight="1" outlineLevel="1" x14ac:dyDescent="0.2">
      <c r="A1381" s="75" t="s">
        <v>3557</v>
      </c>
      <c r="B1381" s="80" t="s">
        <v>1042</v>
      </c>
      <c r="C1381" s="80"/>
      <c r="D1381" s="81" t="str">
        <f t="shared" si="25"/>
        <v>GalvaMamelons réduits 245</v>
      </c>
      <c r="E1381" s="80" t="s">
        <v>1057</v>
      </c>
      <c r="F1381" s="81">
        <v>24</v>
      </c>
      <c r="G1381" s="86" t="s">
        <v>1058</v>
      </c>
      <c r="H1381" s="71"/>
      <c r="I1381" s="75"/>
      <c r="J1381" s="70">
        <f>IFERROR(VLOOKUP(Devis[[#This Row],[Ref Air Flux]],#REF!,3,FALSE),0)</f>
        <v>0</v>
      </c>
      <c r="K1381" s="68"/>
      <c r="L1381" s="68"/>
      <c r="M1381" s="68"/>
      <c r="N1381" s="68"/>
      <c r="O1381" s="68"/>
      <c r="P1381" s="68"/>
      <c r="Q1381" s="68">
        <f>SUM(Devis[[#This Row],[Poste 1]:[Poste 6]])</f>
        <v>0</v>
      </c>
      <c r="R1381" s="71"/>
      <c r="S1381" s="68">
        <f>_xlfn.CEILING.MATH(Devis[[#This Row],[Quantité Totale]],Devis[[#This Row],[Conditionnement]])</f>
        <v>0</v>
      </c>
      <c r="T1381" s="72"/>
      <c r="U1381" s="106"/>
      <c r="V1381" s="74">
        <f>Devis[[#This Row],[Prix de Revient]]*Devis[[#This Row],[Poste 1]]</f>
        <v>0</v>
      </c>
      <c r="W1381" s="74">
        <f>Devis[[#This Row],[Prix de Revient]]*Devis[[#This Row],[Poste 2]]</f>
        <v>0</v>
      </c>
      <c r="X1381" s="74">
        <f>Devis[[#This Row],[Prix de Revient]]*Devis[[#This Row],[Poste 3]]</f>
        <v>0</v>
      </c>
      <c r="Y1381" s="74">
        <f>Devis[[#This Row],[Poste 4]]*Devis[[#This Row],[Prix de Revient]]</f>
        <v>0</v>
      </c>
      <c r="Z1381" s="74">
        <f>Devis[[#This Row],[Poste 5]]*Devis[[#This Row],[Prix de Revient]]</f>
        <v>0</v>
      </c>
      <c r="AA1381" s="74">
        <f>Devis[[#This Row],[Prix de Revient]]*Devis[[#This Row],[Poste 6]]</f>
        <v>0</v>
      </c>
      <c r="AB1381" s="74">
        <f>Devis[[#This Row],[Quantité Totale]]*Devis[[#This Row],[Prix de Revient]]</f>
        <v>0</v>
      </c>
    </row>
    <row r="1382" spans="1:28" ht="14.25" customHeight="1" outlineLevel="1" x14ac:dyDescent="0.2">
      <c r="A1382" s="75" t="s">
        <v>3557</v>
      </c>
      <c r="B1382" s="80" t="s">
        <v>1042</v>
      </c>
      <c r="C1382" s="80"/>
      <c r="D1382" s="81" t="str">
        <f t="shared" si="25"/>
        <v>GalvaMamelons réduits 245</v>
      </c>
      <c r="E1382" s="80" t="s">
        <v>1053</v>
      </c>
      <c r="F1382" s="81">
        <v>25</v>
      </c>
      <c r="G1382" s="86" t="s">
        <v>1054</v>
      </c>
      <c r="H1382" s="71"/>
      <c r="I1382" s="75"/>
      <c r="J1382" s="70">
        <f>IFERROR(VLOOKUP(Devis[[#This Row],[Ref Air Flux]],#REF!,3,FALSE),0)</f>
        <v>0</v>
      </c>
      <c r="K1382" s="68"/>
      <c r="L1382" s="68"/>
      <c r="M1382" s="68"/>
      <c r="N1382" s="68"/>
      <c r="O1382" s="68"/>
      <c r="P1382" s="68"/>
      <c r="Q1382" s="68">
        <f>SUM(Devis[[#This Row],[Poste 1]:[Poste 6]])</f>
        <v>0</v>
      </c>
      <c r="R1382" s="71"/>
      <c r="S1382" s="68">
        <f>_xlfn.CEILING.MATH(Devis[[#This Row],[Quantité Totale]],Devis[[#This Row],[Conditionnement]])</f>
        <v>0</v>
      </c>
      <c r="T1382" s="72"/>
      <c r="U1382" s="106"/>
      <c r="V1382" s="74">
        <f>Devis[[#This Row],[Prix de Revient]]*Devis[[#This Row],[Poste 1]]</f>
        <v>0</v>
      </c>
      <c r="W1382" s="74">
        <f>Devis[[#This Row],[Prix de Revient]]*Devis[[#This Row],[Poste 2]]</f>
        <v>0</v>
      </c>
      <c r="X1382" s="74">
        <f>Devis[[#This Row],[Prix de Revient]]*Devis[[#This Row],[Poste 3]]</f>
        <v>0</v>
      </c>
      <c r="Y1382" s="74">
        <f>Devis[[#This Row],[Poste 4]]*Devis[[#This Row],[Prix de Revient]]</f>
        <v>0</v>
      </c>
      <c r="Z1382" s="74">
        <f>Devis[[#This Row],[Poste 5]]*Devis[[#This Row],[Prix de Revient]]</f>
        <v>0</v>
      </c>
      <c r="AA1382" s="74">
        <f>Devis[[#This Row],[Prix de Revient]]*Devis[[#This Row],[Poste 6]]</f>
        <v>0</v>
      </c>
      <c r="AB1382" s="74">
        <f>Devis[[#This Row],[Quantité Totale]]*Devis[[#This Row],[Prix de Revient]]</f>
        <v>0</v>
      </c>
    </row>
    <row r="1383" spans="1:28" ht="14.25" outlineLevel="1" x14ac:dyDescent="0.2">
      <c r="A1383" s="75" t="s">
        <v>3557</v>
      </c>
      <c r="B1383" s="80" t="s">
        <v>1042</v>
      </c>
      <c r="C1383" s="80"/>
      <c r="D1383" s="81" t="str">
        <f t="shared" si="25"/>
        <v>GalvaMamelons réduits 245</v>
      </c>
      <c r="E1383" s="80" t="s">
        <v>1051</v>
      </c>
      <c r="F1383" s="81">
        <v>26</v>
      </c>
      <c r="G1383" s="86" t="s">
        <v>1052</v>
      </c>
      <c r="H1383" s="71"/>
      <c r="I1383" s="75"/>
      <c r="J1383" s="70">
        <f>IFERROR(VLOOKUP(Devis[[#This Row],[Ref Air Flux]],#REF!,3,FALSE),0)</f>
        <v>0</v>
      </c>
      <c r="K1383" s="68"/>
      <c r="L1383" s="68"/>
      <c r="M1383" s="68"/>
      <c r="N1383" s="68"/>
      <c r="O1383" s="68"/>
      <c r="P1383" s="68"/>
      <c r="Q1383" s="68">
        <f>SUM(Devis[[#This Row],[Poste 1]:[Poste 6]])</f>
        <v>0</v>
      </c>
      <c r="R1383" s="71"/>
      <c r="S1383" s="68">
        <f>_xlfn.CEILING.MATH(Devis[[#This Row],[Quantité Totale]],Devis[[#This Row],[Conditionnement]])</f>
        <v>0</v>
      </c>
      <c r="T1383" s="72"/>
      <c r="U1383" s="106"/>
      <c r="V1383" s="74">
        <f>Devis[[#This Row],[Prix de Revient]]*Devis[[#This Row],[Poste 1]]</f>
        <v>0</v>
      </c>
      <c r="W1383" s="74">
        <f>Devis[[#This Row],[Prix de Revient]]*Devis[[#This Row],[Poste 2]]</f>
        <v>0</v>
      </c>
      <c r="X1383" s="74">
        <f>Devis[[#This Row],[Prix de Revient]]*Devis[[#This Row],[Poste 3]]</f>
        <v>0</v>
      </c>
      <c r="Y1383" s="74">
        <f>Devis[[#This Row],[Poste 4]]*Devis[[#This Row],[Prix de Revient]]</f>
        <v>0</v>
      </c>
      <c r="Z1383" s="74">
        <f>Devis[[#This Row],[Poste 5]]*Devis[[#This Row],[Prix de Revient]]</f>
        <v>0</v>
      </c>
      <c r="AA1383" s="74">
        <f>Devis[[#This Row],[Prix de Revient]]*Devis[[#This Row],[Poste 6]]</f>
        <v>0</v>
      </c>
      <c r="AB1383" s="74">
        <f>Devis[[#This Row],[Quantité Totale]]*Devis[[#This Row],[Prix de Revient]]</f>
        <v>0</v>
      </c>
    </row>
    <row r="1384" spans="1:28" ht="14.25" outlineLevel="1" x14ac:dyDescent="0.2">
      <c r="A1384" s="75" t="s">
        <v>3557</v>
      </c>
      <c r="B1384" s="80" t="s">
        <v>1042</v>
      </c>
      <c r="C1384" s="80"/>
      <c r="D1384" s="81" t="str">
        <f t="shared" si="25"/>
        <v>GalvaMamelons réduits 245</v>
      </c>
      <c r="E1384" s="80" t="s">
        <v>28</v>
      </c>
      <c r="F1384" s="81">
        <v>27</v>
      </c>
      <c r="G1384" s="86" t="s">
        <v>1095</v>
      </c>
      <c r="H1384" s="71"/>
      <c r="I1384" s="75"/>
      <c r="J1384" s="70">
        <f>IFERROR(VLOOKUP(Devis[[#This Row],[Ref Air Flux]],#REF!,3,FALSE),0)</f>
        <v>0</v>
      </c>
      <c r="K1384" s="68"/>
      <c r="L1384" s="68"/>
      <c r="M1384" s="68"/>
      <c r="N1384" s="68"/>
      <c r="O1384" s="68"/>
      <c r="P1384" s="68"/>
      <c r="Q1384" s="68">
        <f>SUM(Devis[[#This Row],[Poste 1]:[Poste 6]])</f>
        <v>0</v>
      </c>
      <c r="R1384" s="71"/>
      <c r="S1384" s="68">
        <f>_xlfn.CEILING.MATH(Devis[[#This Row],[Quantité Totale]],Devis[[#This Row],[Conditionnement]])</f>
        <v>0</v>
      </c>
      <c r="T1384" s="72"/>
      <c r="U1384" s="106"/>
      <c r="V1384" s="74">
        <f>Devis[[#This Row],[Prix de Revient]]*Devis[[#This Row],[Poste 1]]</f>
        <v>0</v>
      </c>
      <c r="W1384" s="74">
        <f>Devis[[#This Row],[Prix de Revient]]*Devis[[#This Row],[Poste 2]]</f>
        <v>0</v>
      </c>
      <c r="X1384" s="74">
        <f>Devis[[#This Row],[Prix de Revient]]*Devis[[#This Row],[Poste 3]]</f>
        <v>0</v>
      </c>
      <c r="Y1384" s="74">
        <f>Devis[[#This Row],[Poste 4]]*Devis[[#This Row],[Prix de Revient]]</f>
        <v>0</v>
      </c>
      <c r="Z1384" s="74">
        <f>Devis[[#This Row],[Poste 5]]*Devis[[#This Row],[Prix de Revient]]</f>
        <v>0</v>
      </c>
      <c r="AA1384" s="74">
        <f>Devis[[#This Row],[Prix de Revient]]*Devis[[#This Row],[Poste 6]]</f>
        <v>0</v>
      </c>
      <c r="AB1384" s="74">
        <f>Devis[[#This Row],[Quantité Totale]]*Devis[[#This Row],[Prix de Revient]]</f>
        <v>0</v>
      </c>
    </row>
    <row r="1385" spans="1:28" ht="14.25" outlineLevel="1" x14ac:dyDescent="0.2">
      <c r="A1385" s="75" t="s">
        <v>3557</v>
      </c>
      <c r="B1385" s="80" t="s">
        <v>1042</v>
      </c>
      <c r="C1385" s="80"/>
      <c r="D1385" s="81" t="str">
        <f t="shared" si="25"/>
        <v>GalvaMamelons réduits 245</v>
      </c>
      <c r="E1385" s="76" t="s">
        <v>1098</v>
      </c>
      <c r="F1385" s="81">
        <v>28</v>
      </c>
      <c r="G1385" s="86" t="s">
        <v>1099</v>
      </c>
      <c r="H1385" s="71"/>
      <c r="I1385" s="75"/>
      <c r="J1385" s="70">
        <f>IFERROR(VLOOKUP(Devis[[#This Row],[Ref Air Flux]],#REF!,3,FALSE),0)</f>
        <v>0</v>
      </c>
      <c r="K1385" s="68"/>
      <c r="L1385" s="68"/>
      <c r="M1385" s="68"/>
      <c r="N1385" s="68"/>
      <c r="O1385" s="68"/>
      <c r="P1385" s="68"/>
      <c r="Q1385" s="68">
        <f>SUM(Devis[[#This Row],[Poste 1]:[Poste 6]])</f>
        <v>0</v>
      </c>
      <c r="R1385" s="71"/>
      <c r="S1385" s="68">
        <f>_xlfn.CEILING.MATH(Devis[[#This Row],[Quantité Totale]],Devis[[#This Row],[Conditionnement]])</f>
        <v>0</v>
      </c>
      <c r="T1385" s="72"/>
      <c r="U1385" s="106"/>
      <c r="V1385" s="74">
        <f>Devis[[#This Row],[Prix de Revient]]*Devis[[#This Row],[Poste 1]]</f>
        <v>0</v>
      </c>
      <c r="W1385" s="74">
        <f>Devis[[#This Row],[Prix de Revient]]*Devis[[#This Row],[Poste 2]]</f>
        <v>0</v>
      </c>
      <c r="X1385" s="74">
        <f>Devis[[#This Row],[Prix de Revient]]*Devis[[#This Row],[Poste 3]]</f>
        <v>0</v>
      </c>
      <c r="Y1385" s="74">
        <f>Devis[[#This Row],[Poste 4]]*Devis[[#This Row],[Prix de Revient]]</f>
        <v>0</v>
      </c>
      <c r="Z1385" s="74">
        <f>Devis[[#This Row],[Poste 5]]*Devis[[#This Row],[Prix de Revient]]</f>
        <v>0</v>
      </c>
      <c r="AA1385" s="74">
        <f>Devis[[#This Row],[Prix de Revient]]*Devis[[#This Row],[Poste 6]]</f>
        <v>0</v>
      </c>
      <c r="AB1385" s="74">
        <f>Devis[[#This Row],[Quantité Totale]]*Devis[[#This Row],[Prix de Revient]]</f>
        <v>0</v>
      </c>
    </row>
    <row r="1386" spans="1:28" ht="14.25" outlineLevel="1" x14ac:dyDescent="0.2">
      <c r="A1386" s="75" t="s">
        <v>3557</v>
      </c>
      <c r="B1386" s="80" t="s">
        <v>1042</v>
      </c>
      <c r="C1386" s="80"/>
      <c r="D1386" s="81" t="str">
        <f t="shared" si="25"/>
        <v>GalvaMamelons réduits 245</v>
      </c>
      <c r="E1386" s="80" t="s">
        <v>1096</v>
      </c>
      <c r="F1386" s="81">
        <v>29</v>
      </c>
      <c r="G1386" s="86" t="s">
        <v>1097</v>
      </c>
      <c r="H1386" s="71"/>
      <c r="I1386" s="75"/>
      <c r="J1386" s="70">
        <f>IFERROR(VLOOKUP(Devis[[#This Row],[Ref Air Flux]],#REF!,3,FALSE),0)</f>
        <v>0</v>
      </c>
      <c r="K1386" s="68"/>
      <c r="L1386" s="68"/>
      <c r="M1386" s="68"/>
      <c r="N1386" s="68"/>
      <c r="O1386" s="68"/>
      <c r="P1386" s="68"/>
      <c r="Q1386" s="68">
        <f>SUM(Devis[[#This Row],[Poste 1]:[Poste 6]])</f>
        <v>0</v>
      </c>
      <c r="R1386" s="71"/>
      <c r="S1386" s="68">
        <f>_xlfn.CEILING.MATH(Devis[[#This Row],[Quantité Totale]],Devis[[#This Row],[Conditionnement]])</f>
        <v>0</v>
      </c>
      <c r="T1386" s="72"/>
      <c r="U1386" s="106"/>
      <c r="V1386" s="74">
        <f>Devis[[#This Row],[Prix de Revient]]*Devis[[#This Row],[Poste 1]]</f>
        <v>0</v>
      </c>
      <c r="W1386" s="74">
        <f>Devis[[#This Row],[Prix de Revient]]*Devis[[#This Row],[Poste 2]]</f>
        <v>0</v>
      </c>
      <c r="X1386" s="74">
        <f>Devis[[#This Row],[Prix de Revient]]*Devis[[#This Row],[Poste 3]]</f>
        <v>0</v>
      </c>
      <c r="Y1386" s="74">
        <f>Devis[[#This Row],[Poste 4]]*Devis[[#This Row],[Prix de Revient]]</f>
        <v>0</v>
      </c>
      <c r="Z1386" s="74">
        <f>Devis[[#This Row],[Poste 5]]*Devis[[#This Row],[Prix de Revient]]</f>
        <v>0</v>
      </c>
      <c r="AA1386" s="74">
        <f>Devis[[#This Row],[Prix de Revient]]*Devis[[#This Row],[Poste 6]]</f>
        <v>0</v>
      </c>
      <c r="AB1386" s="74">
        <f>Devis[[#This Row],[Quantité Totale]]*Devis[[#This Row],[Prix de Revient]]</f>
        <v>0</v>
      </c>
    </row>
    <row r="1387" spans="1:28" ht="14.25" outlineLevel="1" x14ac:dyDescent="0.2">
      <c r="A1387" s="75" t="s">
        <v>3557</v>
      </c>
      <c r="B1387" s="80" t="s">
        <v>1042</v>
      </c>
      <c r="C1387" s="80"/>
      <c r="D1387" s="81" t="str">
        <f t="shared" si="25"/>
        <v>GalvaMamelons réduits 245</v>
      </c>
      <c r="E1387" s="76" t="s">
        <v>1105</v>
      </c>
      <c r="F1387" s="81">
        <v>30</v>
      </c>
      <c r="G1387" s="86" t="s">
        <v>1106</v>
      </c>
      <c r="H1387" s="71"/>
      <c r="I1387" s="75"/>
      <c r="J1387" s="70">
        <f>IFERROR(VLOOKUP(Devis[[#This Row],[Ref Air Flux]],#REF!,3,FALSE),0)</f>
        <v>0</v>
      </c>
      <c r="K1387" s="68"/>
      <c r="L1387" s="68"/>
      <c r="M1387" s="68"/>
      <c r="N1387" s="68"/>
      <c r="O1387" s="68"/>
      <c r="P1387" s="68"/>
      <c r="Q1387" s="68">
        <f>SUM(Devis[[#This Row],[Poste 1]:[Poste 6]])</f>
        <v>0</v>
      </c>
      <c r="R1387" s="71"/>
      <c r="S1387" s="68">
        <f>_xlfn.CEILING.MATH(Devis[[#This Row],[Quantité Totale]],Devis[[#This Row],[Conditionnement]])</f>
        <v>0</v>
      </c>
      <c r="T1387" s="72"/>
      <c r="U1387" s="106"/>
      <c r="V1387" s="74">
        <f>Devis[[#This Row],[Prix de Revient]]*Devis[[#This Row],[Poste 1]]</f>
        <v>0</v>
      </c>
      <c r="W1387" s="74">
        <f>Devis[[#This Row],[Prix de Revient]]*Devis[[#This Row],[Poste 2]]</f>
        <v>0</v>
      </c>
      <c r="X1387" s="74">
        <f>Devis[[#This Row],[Prix de Revient]]*Devis[[#This Row],[Poste 3]]</f>
        <v>0</v>
      </c>
      <c r="Y1387" s="74">
        <f>Devis[[#This Row],[Poste 4]]*Devis[[#This Row],[Prix de Revient]]</f>
        <v>0</v>
      </c>
      <c r="Z1387" s="74">
        <f>Devis[[#This Row],[Poste 5]]*Devis[[#This Row],[Prix de Revient]]</f>
        <v>0</v>
      </c>
      <c r="AA1387" s="74">
        <f>Devis[[#This Row],[Prix de Revient]]*Devis[[#This Row],[Poste 6]]</f>
        <v>0</v>
      </c>
      <c r="AB1387" s="74">
        <f>Devis[[#This Row],[Quantité Totale]]*Devis[[#This Row],[Prix de Revient]]</f>
        <v>0</v>
      </c>
    </row>
    <row r="1388" spans="1:28" ht="14.25" outlineLevel="1" x14ac:dyDescent="0.2">
      <c r="A1388" s="75" t="s">
        <v>3557</v>
      </c>
      <c r="B1388" s="80" t="s">
        <v>1042</v>
      </c>
      <c r="C1388" s="80"/>
      <c r="D1388" s="81" t="str">
        <f t="shared" si="25"/>
        <v>GalvaMamelons réduits 245</v>
      </c>
      <c r="E1388" s="76" t="s">
        <v>1107</v>
      </c>
      <c r="F1388" s="81">
        <v>31</v>
      </c>
      <c r="G1388" s="86" t="s">
        <v>1108</v>
      </c>
      <c r="H1388" s="71"/>
      <c r="I1388" s="75"/>
      <c r="J1388" s="70">
        <f>IFERROR(VLOOKUP(Devis[[#This Row],[Ref Air Flux]],#REF!,3,FALSE),0)</f>
        <v>0</v>
      </c>
      <c r="K1388" s="68"/>
      <c r="L1388" s="68"/>
      <c r="M1388" s="68"/>
      <c r="N1388" s="68"/>
      <c r="O1388" s="68"/>
      <c r="P1388" s="68"/>
      <c r="Q1388" s="68">
        <f>SUM(Devis[[#This Row],[Poste 1]:[Poste 6]])</f>
        <v>0</v>
      </c>
      <c r="R1388" s="71"/>
      <c r="S1388" s="68">
        <f>_xlfn.CEILING.MATH(Devis[[#This Row],[Quantité Totale]],Devis[[#This Row],[Conditionnement]])</f>
        <v>0</v>
      </c>
      <c r="T1388" s="72"/>
      <c r="U1388" s="106"/>
      <c r="V1388" s="74">
        <f>Devis[[#This Row],[Prix de Revient]]*Devis[[#This Row],[Poste 1]]</f>
        <v>0</v>
      </c>
      <c r="W1388" s="74">
        <f>Devis[[#This Row],[Prix de Revient]]*Devis[[#This Row],[Poste 2]]</f>
        <v>0</v>
      </c>
      <c r="X1388" s="74">
        <f>Devis[[#This Row],[Prix de Revient]]*Devis[[#This Row],[Poste 3]]</f>
        <v>0</v>
      </c>
      <c r="Y1388" s="74">
        <f>Devis[[#This Row],[Poste 4]]*Devis[[#This Row],[Prix de Revient]]</f>
        <v>0</v>
      </c>
      <c r="Z1388" s="74">
        <f>Devis[[#This Row],[Poste 5]]*Devis[[#This Row],[Prix de Revient]]</f>
        <v>0</v>
      </c>
      <c r="AA1388" s="74">
        <f>Devis[[#This Row],[Prix de Revient]]*Devis[[#This Row],[Poste 6]]</f>
        <v>0</v>
      </c>
      <c r="AB1388" s="74">
        <f>Devis[[#This Row],[Quantité Totale]]*Devis[[#This Row],[Prix de Revient]]</f>
        <v>0</v>
      </c>
    </row>
    <row r="1389" spans="1:28" ht="14.25" outlineLevel="1" x14ac:dyDescent="0.2">
      <c r="A1389" s="75" t="s">
        <v>3557</v>
      </c>
      <c r="B1389" s="80" t="s">
        <v>1042</v>
      </c>
      <c r="C1389" s="80"/>
      <c r="D1389" s="81" t="str">
        <f t="shared" si="25"/>
        <v>GalvaMamelons réduits 245</v>
      </c>
      <c r="E1389" s="80" t="s">
        <v>1047</v>
      </c>
      <c r="F1389" s="81">
        <v>32</v>
      </c>
      <c r="G1389" s="86" t="s">
        <v>1048</v>
      </c>
      <c r="H1389" s="71"/>
      <c r="I1389" s="75"/>
      <c r="J1389" s="70">
        <f>IFERROR(VLOOKUP(Devis[[#This Row],[Ref Air Flux]],#REF!,3,FALSE),0)</f>
        <v>0</v>
      </c>
      <c r="K1389" s="68"/>
      <c r="L1389" s="68"/>
      <c r="M1389" s="68"/>
      <c r="N1389" s="68"/>
      <c r="O1389" s="68"/>
      <c r="P1389" s="68"/>
      <c r="Q1389" s="68">
        <f>SUM(Devis[[#This Row],[Poste 1]:[Poste 6]])</f>
        <v>0</v>
      </c>
      <c r="R1389" s="71"/>
      <c r="S1389" s="68">
        <f>_xlfn.CEILING.MATH(Devis[[#This Row],[Quantité Totale]],Devis[[#This Row],[Conditionnement]])</f>
        <v>0</v>
      </c>
      <c r="T1389" s="72"/>
      <c r="U1389" s="106"/>
      <c r="V1389" s="74">
        <f>Devis[[#This Row],[Prix de Revient]]*Devis[[#This Row],[Poste 1]]</f>
        <v>0</v>
      </c>
      <c r="W1389" s="74">
        <f>Devis[[#This Row],[Prix de Revient]]*Devis[[#This Row],[Poste 2]]</f>
        <v>0</v>
      </c>
      <c r="X1389" s="74">
        <f>Devis[[#This Row],[Prix de Revient]]*Devis[[#This Row],[Poste 3]]</f>
        <v>0</v>
      </c>
      <c r="Y1389" s="74">
        <f>Devis[[#This Row],[Poste 4]]*Devis[[#This Row],[Prix de Revient]]</f>
        <v>0</v>
      </c>
      <c r="Z1389" s="74">
        <f>Devis[[#This Row],[Poste 5]]*Devis[[#This Row],[Prix de Revient]]</f>
        <v>0</v>
      </c>
      <c r="AA1389" s="74">
        <f>Devis[[#This Row],[Prix de Revient]]*Devis[[#This Row],[Poste 6]]</f>
        <v>0</v>
      </c>
      <c r="AB1389" s="74">
        <f>Devis[[#This Row],[Quantité Totale]]*Devis[[#This Row],[Prix de Revient]]</f>
        <v>0</v>
      </c>
    </row>
    <row r="1390" spans="1:28" ht="14.25" outlineLevel="1" x14ac:dyDescent="0.2">
      <c r="A1390" s="75" t="s">
        <v>3557</v>
      </c>
      <c r="B1390" s="80" t="s">
        <v>1042</v>
      </c>
      <c r="C1390" s="80"/>
      <c r="D1390" s="81" t="str">
        <f t="shared" si="25"/>
        <v>GalvaMamelons réduits 245</v>
      </c>
      <c r="E1390" s="80" t="s">
        <v>1049</v>
      </c>
      <c r="F1390" s="81">
        <v>33</v>
      </c>
      <c r="G1390" s="86" t="s">
        <v>1050</v>
      </c>
      <c r="H1390" s="71"/>
      <c r="I1390" s="75"/>
      <c r="J1390" s="70">
        <f>IFERROR(VLOOKUP(Devis[[#This Row],[Ref Air Flux]],#REF!,3,FALSE),0)</f>
        <v>0</v>
      </c>
      <c r="K1390" s="68"/>
      <c r="L1390" s="68"/>
      <c r="M1390" s="68"/>
      <c r="N1390" s="68"/>
      <c r="O1390" s="68"/>
      <c r="P1390" s="68"/>
      <c r="Q1390" s="68">
        <f>SUM(Devis[[#This Row],[Poste 1]:[Poste 6]])</f>
        <v>0</v>
      </c>
      <c r="R1390" s="71"/>
      <c r="S1390" s="68">
        <f>_xlfn.CEILING.MATH(Devis[[#This Row],[Quantité Totale]],Devis[[#This Row],[Conditionnement]])</f>
        <v>0</v>
      </c>
      <c r="T1390" s="72"/>
      <c r="U1390" s="106"/>
      <c r="V1390" s="74">
        <f>Devis[[#This Row],[Prix de Revient]]*Devis[[#This Row],[Poste 1]]</f>
        <v>0</v>
      </c>
      <c r="W1390" s="74">
        <f>Devis[[#This Row],[Prix de Revient]]*Devis[[#This Row],[Poste 2]]</f>
        <v>0</v>
      </c>
      <c r="X1390" s="74">
        <f>Devis[[#This Row],[Prix de Revient]]*Devis[[#This Row],[Poste 3]]</f>
        <v>0</v>
      </c>
      <c r="Y1390" s="74">
        <f>Devis[[#This Row],[Poste 4]]*Devis[[#This Row],[Prix de Revient]]</f>
        <v>0</v>
      </c>
      <c r="Z1390" s="74">
        <f>Devis[[#This Row],[Poste 5]]*Devis[[#This Row],[Prix de Revient]]</f>
        <v>0</v>
      </c>
      <c r="AA1390" s="74">
        <f>Devis[[#This Row],[Prix de Revient]]*Devis[[#This Row],[Poste 6]]</f>
        <v>0</v>
      </c>
      <c r="AB1390" s="74">
        <f>Devis[[#This Row],[Quantité Totale]]*Devis[[#This Row],[Prix de Revient]]</f>
        <v>0</v>
      </c>
    </row>
    <row r="1391" spans="1:28" ht="14.25" customHeight="1" outlineLevel="1" x14ac:dyDescent="0.2">
      <c r="A1391" s="75" t="s">
        <v>3557</v>
      </c>
      <c r="B1391" s="80" t="s">
        <v>1042</v>
      </c>
      <c r="C1391" s="80"/>
      <c r="D1391" s="81" t="str">
        <f t="shared" si="25"/>
        <v>GalvaMamelons réduits 245</v>
      </c>
      <c r="E1391" s="80" t="s">
        <v>1045</v>
      </c>
      <c r="F1391" s="81">
        <v>34</v>
      </c>
      <c r="G1391" s="86" t="s">
        <v>1046</v>
      </c>
      <c r="H1391" s="71"/>
      <c r="I1391" s="75"/>
      <c r="J1391" s="70">
        <f>IFERROR(VLOOKUP(Devis[[#This Row],[Ref Air Flux]],#REF!,3,FALSE),0)</f>
        <v>0</v>
      </c>
      <c r="K1391" s="68"/>
      <c r="L1391" s="68"/>
      <c r="M1391" s="68"/>
      <c r="N1391" s="68"/>
      <c r="O1391" s="68"/>
      <c r="P1391" s="68"/>
      <c r="Q1391" s="68">
        <f>SUM(Devis[[#This Row],[Poste 1]:[Poste 6]])</f>
        <v>0</v>
      </c>
      <c r="R1391" s="71"/>
      <c r="S1391" s="68">
        <f>_xlfn.CEILING.MATH(Devis[[#This Row],[Quantité Totale]],Devis[[#This Row],[Conditionnement]])</f>
        <v>0</v>
      </c>
      <c r="T1391" s="72"/>
      <c r="U1391" s="106"/>
      <c r="V1391" s="74">
        <f>Devis[[#This Row],[Prix de Revient]]*Devis[[#This Row],[Poste 1]]</f>
        <v>0</v>
      </c>
      <c r="W1391" s="74">
        <f>Devis[[#This Row],[Prix de Revient]]*Devis[[#This Row],[Poste 2]]</f>
        <v>0</v>
      </c>
      <c r="X1391" s="74">
        <f>Devis[[#This Row],[Prix de Revient]]*Devis[[#This Row],[Poste 3]]</f>
        <v>0</v>
      </c>
      <c r="Y1391" s="74">
        <f>Devis[[#This Row],[Poste 4]]*Devis[[#This Row],[Prix de Revient]]</f>
        <v>0</v>
      </c>
      <c r="Z1391" s="74">
        <f>Devis[[#This Row],[Poste 5]]*Devis[[#This Row],[Prix de Revient]]</f>
        <v>0</v>
      </c>
      <c r="AA1391" s="74">
        <f>Devis[[#This Row],[Prix de Revient]]*Devis[[#This Row],[Poste 6]]</f>
        <v>0</v>
      </c>
      <c r="AB1391" s="74">
        <f>Devis[[#This Row],[Quantité Totale]]*Devis[[#This Row],[Prix de Revient]]</f>
        <v>0</v>
      </c>
    </row>
    <row r="1392" spans="1:28" ht="14.25" customHeight="1" outlineLevel="1" x14ac:dyDescent="0.2">
      <c r="A1392" s="75" t="s">
        <v>3557</v>
      </c>
      <c r="B1392" s="80" t="s">
        <v>1042</v>
      </c>
      <c r="C1392" s="80"/>
      <c r="D1392" s="81" t="str">
        <f t="shared" si="25"/>
        <v>GalvaMamelons réduits 245</v>
      </c>
      <c r="E1392" s="80" t="s">
        <v>1043</v>
      </c>
      <c r="F1392" s="81">
        <v>35</v>
      </c>
      <c r="G1392" s="86" t="s">
        <v>1044</v>
      </c>
      <c r="H1392" s="71"/>
      <c r="I1392" s="75"/>
      <c r="J1392" s="70">
        <f>IFERROR(VLOOKUP(Devis[[#This Row],[Ref Air Flux]],#REF!,3,FALSE),0)</f>
        <v>0</v>
      </c>
      <c r="K1392" s="68"/>
      <c r="L1392" s="68"/>
      <c r="M1392" s="68"/>
      <c r="N1392" s="68"/>
      <c r="O1392" s="68"/>
      <c r="P1392" s="68"/>
      <c r="Q1392" s="68">
        <f>SUM(Devis[[#This Row],[Poste 1]:[Poste 6]])</f>
        <v>0</v>
      </c>
      <c r="R1392" s="71"/>
      <c r="S1392" s="68">
        <f>_xlfn.CEILING.MATH(Devis[[#This Row],[Quantité Totale]],Devis[[#This Row],[Conditionnement]])</f>
        <v>0</v>
      </c>
      <c r="T1392" s="72"/>
      <c r="U1392" s="106"/>
      <c r="V1392" s="74">
        <f>Devis[[#This Row],[Prix de Revient]]*Devis[[#This Row],[Poste 1]]</f>
        <v>0</v>
      </c>
      <c r="W1392" s="74">
        <f>Devis[[#This Row],[Prix de Revient]]*Devis[[#This Row],[Poste 2]]</f>
        <v>0</v>
      </c>
      <c r="X1392" s="74">
        <f>Devis[[#This Row],[Prix de Revient]]*Devis[[#This Row],[Poste 3]]</f>
        <v>0</v>
      </c>
      <c r="Y1392" s="74">
        <f>Devis[[#This Row],[Poste 4]]*Devis[[#This Row],[Prix de Revient]]</f>
        <v>0</v>
      </c>
      <c r="Z1392" s="74">
        <f>Devis[[#This Row],[Poste 5]]*Devis[[#This Row],[Prix de Revient]]</f>
        <v>0</v>
      </c>
      <c r="AA1392" s="74">
        <f>Devis[[#This Row],[Prix de Revient]]*Devis[[#This Row],[Poste 6]]</f>
        <v>0</v>
      </c>
      <c r="AB1392" s="74">
        <f>Devis[[#This Row],[Quantité Totale]]*Devis[[#This Row],[Prix de Revient]]</f>
        <v>0</v>
      </c>
    </row>
    <row r="1393" spans="1:28" ht="14.25" customHeight="1" x14ac:dyDescent="0.25">
      <c r="A1393" s="65" t="s">
        <v>3557</v>
      </c>
      <c r="B1393" s="65" t="s">
        <v>1109</v>
      </c>
      <c r="C1393" s="76"/>
      <c r="D1393" s="81" t="str">
        <f t="shared" si="25"/>
        <v>GalvaManchons  FF 270</v>
      </c>
      <c r="E1393" s="76"/>
      <c r="F1393" s="81">
        <v>0</v>
      </c>
      <c r="G1393" s="86"/>
      <c r="H1393" s="71"/>
      <c r="I1393" s="75"/>
      <c r="J1393" s="70">
        <f>IFERROR(VLOOKUP(Devis[[#This Row],[Ref Air Flux]],#REF!,3,FALSE),0)</f>
        <v>0</v>
      </c>
      <c r="K1393" s="68"/>
      <c r="L1393" s="68"/>
      <c r="M1393" s="68"/>
      <c r="N1393" s="68"/>
      <c r="O1393" s="68"/>
      <c r="P1393" s="68"/>
      <c r="Q1393" s="68">
        <f>SUM(Devis[[#This Row],[Poste 1]:[Poste 6]])</f>
        <v>0</v>
      </c>
      <c r="R1393" s="71"/>
      <c r="S1393" s="68">
        <f>_xlfn.CEILING.MATH(Devis[[#This Row],[Quantité Totale]],Devis[[#This Row],[Conditionnement]])</f>
        <v>0</v>
      </c>
      <c r="T1393" s="72"/>
      <c r="U1393" s="106"/>
      <c r="V1393" s="74">
        <f>Devis[[#This Row],[Prix de Revient]]*Devis[[#This Row],[Poste 1]]</f>
        <v>0</v>
      </c>
      <c r="W1393" s="74">
        <f>Devis[[#This Row],[Prix de Revient]]*Devis[[#This Row],[Poste 2]]</f>
        <v>0</v>
      </c>
      <c r="X1393" s="74">
        <f>Devis[[#This Row],[Prix de Revient]]*Devis[[#This Row],[Poste 3]]</f>
        <v>0</v>
      </c>
      <c r="Y1393" s="74">
        <f>Devis[[#This Row],[Poste 4]]*Devis[[#This Row],[Prix de Revient]]</f>
        <v>0</v>
      </c>
      <c r="Z1393" s="74">
        <f>Devis[[#This Row],[Poste 5]]*Devis[[#This Row],[Prix de Revient]]</f>
        <v>0</v>
      </c>
      <c r="AA1393" s="74">
        <f>Devis[[#This Row],[Prix de Revient]]*Devis[[#This Row],[Poste 6]]</f>
        <v>0</v>
      </c>
      <c r="AB1393" s="74">
        <f>Devis[[#This Row],[Quantité Totale]]*Devis[[#This Row],[Prix de Revient]]</f>
        <v>0</v>
      </c>
    </row>
    <row r="1394" spans="1:28" ht="14.25" customHeight="1" outlineLevel="1" x14ac:dyDescent="0.2">
      <c r="A1394" s="75" t="s">
        <v>3557</v>
      </c>
      <c r="B1394" s="76" t="s">
        <v>1109</v>
      </c>
      <c r="C1394" s="76"/>
      <c r="D1394" s="81" t="str">
        <f t="shared" si="25"/>
        <v>GalvaManchons  FF 270</v>
      </c>
      <c r="E1394" s="76" t="s">
        <v>19</v>
      </c>
      <c r="F1394" s="81">
        <v>1</v>
      </c>
      <c r="G1394" s="86" t="s">
        <v>1115</v>
      </c>
      <c r="H1394" s="71"/>
      <c r="I1394" s="75"/>
      <c r="J1394" s="70">
        <f>IFERROR(VLOOKUP(Devis[[#This Row],[Ref Air Flux]],#REF!,3,FALSE),0)</f>
        <v>0</v>
      </c>
      <c r="K1394" s="68"/>
      <c r="L1394" s="68"/>
      <c r="M1394" s="68"/>
      <c r="N1394" s="68"/>
      <c r="O1394" s="68"/>
      <c r="P1394" s="68"/>
      <c r="Q1394" s="68">
        <f>SUM(Devis[[#This Row],[Poste 1]:[Poste 6]])</f>
        <v>0</v>
      </c>
      <c r="R1394" s="71"/>
      <c r="S1394" s="68">
        <f>_xlfn.CEILING.MATH(Devis[[#This Row],[Quantité Totale]],Devis[[#This Row],[Conditionnement]])</f>
        <v>0</v>
      </c>
      <c r="T1394" s="72"/>
      <c r="U1394" s="106"/>
      <c r="V1394" s="74">
        <f>Devis[[#This Row],[Prix de Revient]]*Devis[[#This Row],[Poste 1]]</f>
        <v>0</v>
      </c>
      <c r="W1394" s="74">
        <f>Devis[[#This Row],[Prix de Revient]]*Devis[[#This Row],[Poste 2]]</f>
        <v>0</v>
      </c>
      <c r="X1394" s="74">
        <f>Devis[[#This Row],[Prix de Revient]]*Devis[[#This Row],[Poste 3]]</f>
        <v>0</v>
      </c>
      <c r="Y1394" s="74">
        <f>Devis[[#This Row],[Poste 4]]*Devis[[#This Row],[Prix de Revient]]</f>
        <v>0</v>
      </c>
      <c r="Z1394" s="74">
        <f>Devis[[#This Row],[Poste 5]]*Devis[[#This Row],[Prix de Revient]]</f>
        <v>0</v>
      </c>
      <c r="AA1394" s="74">
        <f>Devis[[#This Row],[Prix de Revient]]*Devis[[#This Row],[Poste 6]]</f>
        <v>0</v>
      </c>
      <c r="AB1394" s="74">
        <f>Devis[[#This Row],[Quantité Totale]]*Devis[[#This Row],[Prix de Revient]]</f>
        <v>0</v>
      </c>
    </row>
    <row r="1395" spans="1:28" ht="14.25" customHeight="1" outlineLevel="1" x14ac:dyDescent="0.2">
      <c r="A1395" s="75" t="s">
        <v>3557</v>
      </c>
      <c r="B1395" s="76" t="s">
        <v>1109</v>
      </c>
      <c r="C1395" s="76"/>
      <c r="D1395" s="81" t="str">
        <f t="shared" si="25"/>
        <v>GalvaManchons  FF 270</v>
      </c>
      <c r="E1395" s="76" t="s">
        <v>21</v>
      </c>
      <c r="F1395" s="81">
        <v>2</v>
      </c>
      <c r="G1395" s="86" t="s">
        <v>1113</v>
      </c>
      <c r="H1395" s="71"/>
      <c r="I1395" s="75"/>
      <c r="J1395" s="70">
        <f>IFERROR(VLOOKUP(Devis[[#This Row],[Ref Air Flux]],#REF!,3,FALSE),0)</f>
        <v>0</v>
      </c>
      <c r="K1395" s="68"/>
      <c r="L1395" s="68"/>
      <c r="M1395" s="68"/>
      <c r="N1395" s="68"/>
      <c r="O1395" s="68"/>
      <c r="P1395" s="68"/>
      <c r="Q1395" s="68">
        <f>SUM(Devis[[#This Row],[Poste 1]:[Poste 6]])</f>
        <v>0</v>
      </c>
      <c r="R1395" s="71"/>
      <c r="S1395" s="68">
        <f>_xlfn.CEILING.MATH(Devis[[#This Row],[Quantité Totale]],Devis[[#This Row],[Conditionnement]])</f>
        <v>0</v>
      </c>
      <c r="T1395" s="72"/>
      <c r="U1395" s="106"/>
      <c r="V1395" s="74">
        <f>Devis[[#This Row],[Prix de Revient]]*Devis[[#This Row],[Poste 1]]</f>
        <v>0</v>
      </c>
      <c r="W1395" s="74">
        <f>Devis[[#This Row],[Prix de Revient]]*Devis[[#This Row],[Poste 2]]</f>
        <v>0</v>
      </c>
      <c r="X1395" s="74">
        <f>Devis[[#This Row],[Prix de Revient]]*Devis[[#This Row],[Poste 3]]</f>
        <v>0</v>
      </c>
      <c r="Y1395" s="74">
        <f>Devis[[#This Row],[Poste 4]]*Devis[[#This Row],[Prix de Revient]]</f>
        <v>0</v>
      </c>
      <c r="Z1395" s="74">
        <f>Devis[[#This Row],[Poste 5]]*Devis[[#This Row],[Prix de Revient]]</f>
        <v>0</v>
      </c>
      <c r="AA1395" s="74">
        <f>Devis[[#This Row],[Prix de Revient]]*Devis[[#This Row],[Poste 6]]</f>
        <v>0</v>
      </c>
      <c r="AB1395" s="74">
        <f>Devis[[#This Row],[Quantité Totale]]*Devis[[#This Row],[Prix de Revient]]</f>
        <v>0</v>
      </c>
    </row>
    <row r="1396" spans="1:28" ht="14.25" outlineLevel="1" x14ac:dyDescent="0.2">
      <c r="A1396" s="75" t="s">
        <v>3557</v>
      </c>
      <c r="B1396" s="76" t="s">
        <v>1109</v>
      </c>
      <c r="C1396" s="76"/>
      <c r="D1396" s="81" t="str">
        <f t="shared" si="25"/>
        <v>GalvaManchons  FF 270</v>
      </c>
      <c r="E1396" s="76" t="s">
        <v>20</v>
      </c>
      <c r="F1396" s="81">
        <v>3</v>
      </c>
      <c r="G1396" s="86" t="s">
        <v>1114</v>
      </c>
      <c r="H1396" s="71"/>
      <c r="I1396" s="75"/>
      <c r="J1396" s="70">
        <f>IFERROR(VLOOKUP(Devis[[#This Row],[Ref Air Flux]],#REF!,3,FALSE),0)</f>
        <v>0</v>
      </c>
      <c r="K1396" s="68"/>
      <c r="L1396" s="68"/>
      <c r="M1396" s="68"/>
      <c r="N1396" s="68"/>
      <c r="O1396" s="68"/>
      <c r="P1396" s="68"/>
      <c r="Q1396" s="68">
        <f>SUM(Devis[[#This Row],[Poste 1]:[Poste 6]])</f>
        <v>0</v>
      </c>
      <c r="R1396" s="71"/>
      <c r="S1396" s="68">
        <f>_xlfn.CEILING.MATH(Devis[[#This Row],[Quantité Totale]],Devis[[#This Row],[Conditionnement]])</f>
        <v>0</v>
      </c>
      <c r="T1396" s="72"/>
      <c r="U1396" s="106"/>
      <c r="V1396" s="74">
        <f>Devis[[#This Row],[Prix de Revient]]*Devis[[#This Row],[Poste 1]]</f>
        <v>0</v>
      </c>
      <c r="W1396" s="74">
        <f>Devis[[#This Row],[Prix de Revient]]*Devis[[#This Row],[Poste 2]]</f>
        <v>0</v>
      </c>
      <c r="X1396" s="74">
        <f>Devis[[#This Row],[Prix de Revient]]*Devis[[#This Row],[Poste 3]]</f>
        <v>0</v>
      </c>
      <c r="Y1396" s="74">
        <f>Devis[[#This Row],[Poste 4]]*Devis[[#This Row],[Prix de Revient]]</f>
        <v>0</v>
      </c>
      <c r="Z1396" s="74">
        <f>Devis[[#This Row],[Poste 5]]*Devis[[#This Row],[Prix de Revient]]</f>
        <v>0</v>
      </c>
      <c r="AA1396" s="74">
        <f>Devis[[#This Row],[Prix de Revient]]*Devis[[#This Row],[Poste 6]]</f>
        <v>0</v>
      </c>
      <c r="AB1396" s="74">
        <f>Devis[[#This Row],[Quantité Totale]]*Devis[[#This Row],[Prix de Revient]]</f>
        <v>0</v>
      </c>
    </row>
    <row r="1397" spans="1:28" ht="14.25" outlineLevel="1" x14ac:dyDescent="0.2">
      <c r="A1397" s="75" t="s">
        <v>3557</v>
      </c>
      <c r="B1397" s="76" t="s">
        <v>1109</v>
      </c>
      <c r="C1397" s="76"/>
      <c r="D1397" s="81" t="str">
        <f t="shared" si="25"/>
        <v>GalvaManchons  FF 270</v>
      </c>
      <c r="E1397" s="80" t="s">
        <v>17</v>
      </c>
      <c r="F1397" s="81">
        <v>4</v>
      </c>
      <c r="G1397" s="86" t="s">
        <v>1117</v>
      </c>
      <c r="H1397" s="71"/>
      <c r="I1397" s="75"/>
      <c r="J1397" s="70">
        <f>IFERROR(VLOOKUP(Devis[[#This Row],[Ref Air Flux]],#REF!,3,FALSE),0)</f>
        <v>0</v>
      </c>
      <c r="K1397" s="68"/>
      <c r="L1397" s="68"/>
      <c r="M1397" s="68"/>
      <c r="N1397" s="68"/>
      <c r="O1397" s="68"/>
      <c r="P1397" s="68"/>
      <c r="Q1397" s="68">
        <f>SUM(Devis[[#This Row],[Poste 1]:[Poste 6]])</f>
        <v>0</v>
      </c>
      <c r="R1397" s="71"/>
      <c r="S1397" s="68">
        <f>_xlfn.CEILING.MATH(Devis[[#This Row],[Quantité Totale]],Devis[[#This Row],[Conditionnement]])</f>
        <v>0</v>
      </c>
      <c r="T1397" s="72"/>
      <c r="U1397" s="106"/>
      <c r="V1397" s="74">
        <f>Devis[[#This Row],[Prix de Revient]]*Devis[[#This Row],[Poste 1]]</f>
        <v>0</v>
      </c>
      <c r="W1397" s="74">
        <f>Devis[[#This Row],[Prix de Revient]]*Devis[[#This Row],[Poste 2]]</f>
        <v>0</v>
      </c>
      <c r="X1397" s="74">
        <f>Devis[[#This Row],[Prix de Revient]]*Devis[[#This Row],[Poste 3]]</f>
        <v>0</v>
      </c>
      <c r="Y1397" s="74">
        <f>Devis[[#This Row],[Poste 4]]*Devis[[#This Row],[Prix de Revient]]</f>
        <v>0</v>
      </c>
      <c r="Z1397" s="74">
        <f>Devis[[#This Row],[Poste 5]]*Devis[[#This Row],[Prix de Revient]]</f>
        <v>0</v>
      </c>
      <c r="AA1397" s="74">
        <f>Devis[[#This Row],[Prix de Revient]]*Devis[[#This Row],[Poste 6]]</f>
        <v>0</v>
      </c>
      <c r="AB1397" s="74">
        <f>Devis[[#This Row],[Quantité Totale]]*Devis[[#This Row],[Prix de Revient]]</f>
        <v>0</v>
      </c>
    </row>
    <row r="1398" spans="1:28" ht="14.25" outlineLevel="1" x14ac:dyDescent="0.2">
      <c r="A1398" s="75" t="s">
        <v>3557</v>
      </c>
      <c r="B1398" s="76" t="s">
        <v>1109</v>
      </c>
      <c r="C1398" s="76"/>
      <c r="D1398" s="81" t="str">
        <f t="shared" si="25"/>
        <v>GalvaManchons  FF 270</v>
      </c>
      <c r="E1398" s="80" t="s">
        <v>46</v>
      </c>
      <c r="F1398" s="81">
        <v>5</v>
      </c>
      <c r="G1398" s="86" t="s">
        <v>1119</v>
      </c>
      <c r="H1398" s="71"/>
      <c r="I1398" s="75"/>
      <c r="J1398" s="70">
        <f>IFERROR(VLOOKUP(Devis[[#This Row],[Ref Air Flux]],#REF!,3,FALSE),0)</f>
        <v>0</v>
      </c>
      <c r="K1398" s="68"/>
      <c r="L1398" s="68"/>
      <c r="M1398" s="68"/>
      <c r="N1398" s="68"/>
      <c r="O1398" s="68"/>
      <c r="P1398" s="68"/>
      <c r="Q1398" s="68">
        <f>SUM(Devis[[#This Row],[Poste 1]:[Poste 6]])</f>
        <v>0</v>
      </c>
      <c r="R1398" s="71"/>
      <c r="S1398" s="68">
        <f>_xlfn.CEILING.MATH(Devis[[#This Row],[Quantité Totale]],Devis[[#This Row],[Conditionnement]])</f>
        <v>0</v>
      </c>
      <c r="T1398" s="72"/>
      <c r="U1398" s="106"/>
      <c r="V1398" s="74">
        <f>Devis[[#This Row],[Prix de Revient]]*Devis[[#This Row],[Poste 1]]</f>
        <v>0</v>
      </c>
      <c r="W1398" s="74">
        <f>Devis[[#This Row],[Prix de Revient]]*Devis[[#This Row],[Poste 2]]</f>
        <v>0</v>
      </c>
      <c r="X1398" s="74">
        <f>Devis[[#This Row],[Prix de Revient]]*Devis[[#This Row],[Poste 3]]</f>
        <v>0</v>
      </c>
      <c r="Y1398" s="74">
        <f>Devis[[#This Row],[Poste 4]]*Devis[[#This Row],[Prix de Revient]]</f>
        <v>0</v>
      </c>
      <c r="Z1398" s="74">
        <f>Devis[[#This Row],[Poste 5]]*Devis[[#This Row],[Prix de Revient]]</f>
        <v>0</v>
      </c>
      <c r="AA1398" s="74">
        <f>Devis[[#This Row],[Prix de Revient]]*Devis[[#This Row],[Poste 6]]</f>
        <v>0</v>
      </c>
      <c r="AB1398" s="74">
        <f>Devis[[#This Row],[Quantité Totale]]*Devis[[#This Row],[Prix de Revient]]</f>
        <v>0</v>
      </c>
    </row>
    <row r="1399" spans="1:28" ht="14.25" outlineLevel="1" x14ac:dyDescent="0.2">
      <c r="A1399" s="75" t="s">
        <v>3557</v>
      </c>
      <c r="B1399" s="76" t="s">
        <v>1109</v>
      </c>
      <c r="C1399" s="76"/>
      <c r="D1399" s="81" t="str">
        <f t="shared" si="25"/>
        <v>GalvaManchons  FF 270</v>
      </c>
      <c r="E1399" s="80" t="s">
        <v>928</v>
      </c>
      <c r="F1399" s="81">
        <v>6</v>
      </c>
      <c r="G1399" s="86" t="s">
        <v>1120</v>
      </c>
      <c r="H1399" s="71"/>
      <c r="I1399" s="75"/>
      <c r="J1399" s="70">
        <f>IFERROR(VLOOKUP(Devis[[#This Row],[Ref Air Flux]],#REF!,3,FALSE),0)</f>
        <v>0</v>
      </c>
      <c r="K1399" s="68"/>
      <c r="L1399" s="68"/>
      <c r="M1399" s="68"/>
      <c r="N1399" s="68"/>
      <c r="O1399" s="68"/>
      <c r="P1399" s="68"/>
      <c r="Q1399" s="68">
        <f>SUM(Devis[[#This Row],[Poste 1]:[Poste 6]])</f>
        <v>0</v>
      </c>
      <c r="R1399" s="71"/>
      <c r="S1399" s="68">
        <f>_xlfn.CEILING.MATH(Devis[[#This Row],[Quantité Totale]],Devis[[#This Row],[Conditionnement]])</f>
        <v>0</v>
      </c>
      <c r="T1399" s="72"/>
      <c r="U1399" s="106"/>
      <c r="V1399" s="74">
        <f>Devis[[#This Row],[Prix de Revient]]*Devis[[#This Row],[Poste 1]]</f>
        <v>0</v>
      </c>
      <c r="W1399" s="74">
        <f>Devis[[#This Row],[Prix de Revient]]*Devis[[#This Row],[Poste 2]]</f>
        <v>0</v>
      </c>
      <c r="X1399" s="74">
        <f>Devis[[#This Row],[Prix de Revient]]*Devis[[#This Row],[Poste 3]]</f>
        <v>0</v>
      </c>
      <c r="Y1399" s="74">
        <f>Devis[[#This Row],[Poste 4]]*Devis[[#This Row],[Prix de Revient]]</f>
        <v>0</v>
      </c>
      <c r="Z1399" s="74">
        <f>Devis[[#This Row],[Poste 5]]*Devis[[#This Row],[Prix de Revient]]</f>
        <v>0</v>
      </c>
      <c r="AA1399" s="74">
        <f>Devis[[#This Row],[Prix de Revient]]*Devis[[#This Row],[Poste 6]]</f>
        <v>0</v>
      </c>
      <c r="AB1399" s="74">
        <f>Devis[[#This Row],[Quantité Totale]]*Devis[[#This Row],[Prix de Revient]]</f>
        <v>0</v>
      </c>
    </row>
    <row r="1400" spans="1:28" ht="14.25" customHeight="1" outlineLevel="1" x14ac:dyDescent="0.2">
      <c r="A1400" s="75" t="s">
        <v>3557</v>
      </c>
      <c r="B1400" s="76" t="s">
        <v>1109</v>
      </c>
      <c r="C1400" s="76"/>
      <c r="D1400" s="81" t="str">
        <f t="shared" si="25"/>
        <v>GalvaManchons  FF 270</v>
      </c>
      <c r="E1400" s="76" t="s">
        <v>0</v>
      </c>
      <c r="F1400" s="81">
        <v>7</v>
      </c>
      <c r="G1400" s="86" t="s">
        <v>1112</v>
      </c>
      <c r="H1400" s="71"/>
      <c r="I1400" s="75"/>
      <c r="J1400" s="70">
        <f>IFERROR(VLOOKUP(Devis[[#This Row],[Ref Air Flux]],#REF!,3,FALSE),0)</f>
        <v>0</v>
      </c>
      <c r="K1400" s="68"/>
      <c r="L1400" s="68"/>
      <c r="M1400" s="68"/>
      <c r="N1400" s="68"/>
      <c r="O1400" s="68"/>
      <c r="P1400" s="68"/>
      <c r="Q1400" s="68">
        <f>SUM(Devis[[#This Row],[Poste 1]:[Poste 6]])</f>
        <v>0</v>
      </c>
      <c r="R1400" s="71"/>
      <c r="S1400" s="68">
        <f>_xlfn.CEILING.MATH(Devis[[#This Row],[Quantité Totale]],Devis[[#This Row],[Conditionnement]])</f>
        <v>0</v>
      </c>
      <c r="T1400" s="72"/>
      <c r="U1400" s="106"/>
      <c r="V1400" s="74">
        <f>Devis[[#This Row],[Prix de Revient]]*Devis[[#This Row],[Poste 1]]</f>
        <v>0</v>
      </c>
      <c r="W1400" s="74">
        <f>Devis[[#This Row],[Prix de Revient]]*Devis[[#This Row],[Poste 2]]</f>
        <v>0</v>
      </c>
      <c r="X1400" s="74">
        <f>Devis[[#This Row],[Prix de Revient]]*Devis[[#This Row],[Poste 3]]</f>
        <v>0</v>
      </c>
      <c r="Y1400" s="74">
        <f>Devis[[#This Row],[Poste 4]]*Devis[[#This Row],[Prix de Revient]]</f>
        <v>0</v>
      </c>
      <c r="Z1400" s="74">
        <f>Devis[[#This Row],[Poste 5]]*Devis[[#This Row],[Prix de Revient]]</f>
        <v>0</v>
      </c>
      <c r="AA1400" s="74">
        <f>Devis[[#This Row],[Prix de Revient]]*Devis[[#This Row],[Poste 6]]</f>
        <v>0</v>
      </c>
      <c r="AB1400" s="74">
        <f>Devis[[#This Row],[Quantité Totale]]*Devis[[#This Row],[Prix de Revient]]</f>
        <v>0</v>
      </c>
    </row>
    <row r="1401" spans="1:28" ht="14.25" outlineLevel="1" x14ac:dyDescent="0.2">
      <c r="A1401" s="75" t="s">
        <v>3557</v>
      </c>
      <c r="B1401" s="76" t="s">
        <v>1109</v>
      </c>
      <c r="C1401" s="76"/>
      <c r="D1401" s="81" t="str">
        <f t="shared" si="25"/>
        <v>GalvaManchons  FF 270</v>
      </c>
      <c r="E1401" s="76" t="s">
        <v>49</v>
      </c>
      <c r="F1401" s="81">
        <v>8</v>
      </c>
      <c r="G1401" s="86" t="s">
        <v>1111</v>
      </c>
      <c r="H1401" s="71"/>
      <c r="I1401" s="75"/>
      <c r="J1401" s="70">
        <f>IFERROR(VLOOKUP(Devis[[#This Row],[Ref Air Flux]],#REF!,3,FALSE),0)</f>
        <v>0</v>
      </c>
      <c r="K1401" s="68"/>
      <c r="L1401" s="68"/>
      <c r="M1401" s="68"/>
      <c r="N1401" s="68"/>
      <c r="O1401" s="68"/>
      <c r="P1401" s="68"/>
      <c r="Q1401" s="68">
        <f>SUM(Devis[[#This Row],[Poste 1]:[Poste 6]])</f>
        <v>0</v>
      </c>
      <c r="R1401" s="71"/>
      <c r="S1401" s="68">
        <f>_xlfn.CEILING.MATH(Devis[[#This Row],[Quantité Totale]],Devis[[#This Row],[Conditionnement]])</f>
        <v>0</v>
      </c>
      <c r="T1401" s="72"/>
      <c r="U1401" s="106"/>
      <c r="V1401" s="74">
        <f>Devis[[#This Row],[Prix de Revient]]*Devis[[#This Row],[Poste 1]]</f>
        <v>0</v>
      </c>
      <c r="W1401" s="74">
        <f>Devis[[#This Row],[Prix de Revient]]*Devis[[#This Row],[Poste 2]]</f>
        <v>0</v>
      </c>
      <c r="X1401" s="74">
        <f>Devis[[#This Row],[Prix de Revient]]*Devis[[#This Row],[Poste 3]]</f>
        <v>0</v>
      </c>
      <c r="Y1401" s="74">
        <f>Devis[[#This Row],[Poste 4]]*Devis[[#This Row],[Prix de Revient]]</f>
        <v>0</v>
      </c>
      <c r="Z1401" s="74">
        <f>Devis[[#This Row],[Poste 5]]*Devis[[#This Row],[Prix de Revient]]</f>
        <v>0</v>
      </c>
      <c r="AA1401" s="74">
        <f>Devis[[#This Row],[Prix de Revient]]*Devis[[#This Row],[Poste 6]]</f>
        <v>0</v>
      </c>
      <c r="AB1401" s="74">
        <f>Devis[[#This Row],[Quantité Totale]]*Devis[[#This Row],[Prix de Revient]]</f>
        <v>0</v>
      </c>
    </row>
    <row r="1402" spans="1:28" ht="14.25" outlineLevel="1" x14ac:dyDescent="0.2">
      <c r="A1402" s="75" t="s">
        <v>3557</v>
      </c>
      <c r="B1402" s="76" t="s">
        <v>1109</v>
      </c>
      <c r="C1402" s="76"/>
      <c r="D1402" s="81" t="str">
        <f t="shared" si="25"/>
        <v>GalvaManchons  FF 270</v>
      </c>
      <c r="E1402" s="76" t="s">
        <v>821</v>
      </c>
      <c r="F1402" s="81">
        <v>9</v>
      </c>
      <c r="G1402" s="86" t="s">
        <v>1110</v>
      </c>
      <c r="H1402" s="71"/>
      <c r="I1402" s="75"/>
      <c r="J1402" s="70">
        <f>IFERROR(VLOOKUP(Devis[[#This Row],[Ref Air Flux]],#REF!,3,FALSE),0)</f>
        <v>0</v>
      </c>
      <c r="K1402" s="68"/>
      <c r="L1402" s="68"/>
      <c r="M1402" s="68"/>
      <c r="N1402" s="68"/>
      <c r="O1402" s="68"/>
      <c r="P1402" s="68"/>
      <c r="Q1402" s="68">
        <f>SUM(Devis[[#This Row],[Poste 1]:[Poste 6]])</f>
        <v>0</v>
      </c>
      <c r="R1402" s="71"/>
      <c r="S1402" s="68">
        <f>_xlfn.CEILING.MATH(Devis[[#This Row],[Quantité Totale]],Devis[[#This Row],[Conditionnement]])</f>
        <v>0</v>
      </c>
      <c r="T1402" s="72"/>
      <c r="U1402" s="106"/>
      <c r="V1402" s="74">
        <f>Devis[[#This Row],[Prix de Revient]]*Devis[[#This Row],[Poste 1]]</f>
        <v>0</v>
      </c>
      <c r="W1402" s="74">
        <f>Devis[[#This Row],[Prix de Revient]]*Devis[[#This Row],[Poste 2]]</f>
        <v>0</v>
      </c>
      <c r="X1402" s="74">
        <f>Devis[[#This Row],[Prix de Revient]]*Devis[[#This Row],[Poste 3]]</f>
        <v>0</v>
      </c>
      <c r="Y1402" s="74">
        <f>Devis[[#This Row],[Poste 4]]*Devis[[#This Row],[Prix de Revient]]</f>
        <v>0</v>
      </c>
      <c r="Z1402" s="74">
        <f>Devis[[#This Row],[Poste 5]]*Devis[[#This Row],[Prix de Revient]]</f>
        <v>0</v>
      </c>
      <c r="AA1402" s="74">
        <f>Devis[[#This Row],[Prix de Revient]]*Devis[[#This Row],[Poste 6]]</f>
        <v>0</v>
      </c>
      <c r="AB1402" s="74">
        <f>Devis[[#This Row],[Quantité Totale]]*Devis[[#This Row],[Prix de Revient]]</f>
        <v>0</v>
      </c>
    </row>
    <row r="1403" spans="1:28" ht="14.25" outlineLevel="1" x14ac:dyDescent="0.2">
      <c r="A1403" s="75" t="s">
        <v>3557</v>
      </c>
      <c r="B1403" s="76" t="s">
        <v>1109</v>
      </c>
      <c r="C1403" s="76"/>
      <c r="D1403" s="81" t="str">
        <f t="shared" si="25"/>
        <v>GalvaManchons  FF 270</v>
      </c>
      <c r="E1403" s="80" t="s">
        <v>18</v>
      </c>
      <c r="F1403" s="81">
        <v>10</v>
      </c>
      <c r="G1403" s="86" t="s">
        <v>1116</v>
      </c>
      <c r="H1403" s="71"/>
      <c r="I1403" s="75"/>
      <c r="J1403" s="70">
        <f>IFERROR(VLOOKUP(Devis[[#This Row],[Ref Air Flux]],#REF!,3,FALSE),0)</f>
        <v>0</v>
      </c>
      <c r="K1403" s="68"/>
      <c r="L1403" s="68"/>
      <c r="M1403" s="68"/>
      <c r="N1403" s="68"/>
      <c r="O1403" s="68"/>
      <c r="P1403" s="68"/>
      <c r="Q1403" s="68">
        <f>SUM(Devis[[#This Row],[Poste 1]:[Poste 6]])</f>
        <v>0</v>
      </c>
      <c r="R1403" s="71"/>
      <c r="S1403" s="68">
        <f>_xlfn.CEILING.MATH(Devis[[#This Row],[Quantité Totale]],Devis[[#This Row],[Conditionnement]])</f>
        <v>0</v>
      </c>
      <c r="T1403" s="72"/>
      <c r="U1403" s="106"/>
      <c r="V1403" s="74">
        <f>Devis[[#This Row],[Prix de Revient]]*Devis[[#This Row],[Poste 1]]</f>
        <v>0</v>
      </c>
      <c r="W1403" s="74">
        <f>Devis[[#This Row],[Prix de Revient]]*Devis[[#This Row],[Poste 2]]</f>
        <v>0</v>
      </c>
      <c r="X1403" s="74">
        <f>Devis[[#This Row],[Prix de Revient]]*Devis[[#This Row],[Poste 3]]</f>
        <v>0</v>
      </c>
      <c r="Y1403" s="74">
        <f>Devis[[#This Row],[Poste 4]]*Devis[[#This Row],[Prix de Revient]]</f>
        <v>0</v>
      </c>
      <c r="Z1403" s="74">
        <f>Devis[[#This Row],[Poste 5]]*Devis[[#This Row],[Prix de Revient]]</f>
        <v>0</v>
      </c>
      <c r="AA1403" s="74">
        <f>Devis[[#This Row],[Prix de Revient]]*Devis[[#This Row],[Poste 6]]</f>
        <v>0</v>
      </c>
      <c r="AB1403" s="74">
        <f>Devis[[#This Row],[Quantité Totale]]*Devis[[#This Row],[Prix de Revient]]</f>
        <v>0</v>
      </c>
    </row>
    <row r="1404" spans="1:28" ht="14.25" outlineLevel="1" x14ac:dyDescent="0.2">
      <c r="A1404" s="75" t="s">
        <v>3557</v>
      </c>
      <c r="B1404" s="76" t="s">
        <v>1109</v>
      </c>
      <c r="C1404" s="76"/>
      <c r="D1404" s="81" t="str">
        <f t="shared" si="25"/>
        <v>GalvaManchons  FF 270</v>
      </c>
      <c r="E1404" s="80" t="s">
        <v>16</v>
      </c>
      <c r="F1404" s="81">
        <v>11</v>
      </c>
      <c r="G1404" s="86" t="s">
        <v>1118</v>
      </c>
      <c r="H1404" s="71"/>
      <c r="I1404" s="75"/>
      <c r="J1404" s="70">
        <f>IFERROR(VLOOKUP(Devis[[#This Row],[Ref Air Flux]],#REF!,3,FALSE),0)</f>
        <v>0</v>
      </c>
      <c r="K1404" s="68"/>
      <c r="L1404" s="68"/>
      <c r="M1404" s="68"/>
      <c r="N1404" s="68"/>
      <c r="O1404" s="68"/>
      <c r="P1404" s="68"/>
      <c r="Q1404" s="68">
        <f>SUM(Devis[[#This Row],[Poste 1]:[Poste 6]])</f>
        <v>0</v>
      </c>
      <c r="R1404" s="71"/>
      <c r="S1404" s="68">
        <f>_xlfn.CEILING.MATH(Devis[[#This Row],[Quantité Totale]],Devis[[#This Row],[Conditionnement]])</f>
        <v>0</v>
      </c>
      <c r="T1404" s="72"/>
      <c r="U1404" s="106"/>
      <c r="V1404" s="74">
        <f>Devis[[#This Row],[Prix de Revient]]*Devis[[#This Row],[Poste 1]]</f>
        <v>0</v>
      </c>
      <c r="W1404" s="74">
        <f>Devis[[#This Row],[Prix de Revient]]*Devis[[#This Row],[Poste 2]]</f>
        <v>0</v>
      </c>
      <c r="X1404" s="74">
        <f>Devis[[#This Row],[Prix de Revient]]*Devis[[#This Row],[Poste 3]]</f>
        <v>0</v>
      </c>
      <c r="Y1404" s="74">
        <f>Devis[[#This Row],[Poste 4]]*Devis[[#This Row],[Prix de Revient]]</f>
        <v>0</v>
      </c>
      <c r="Z1404" s="74">
        <f>Devis[[#This Row],[Poste 5]]*Devis[[#This Row],[Prix de Revient]]</f>
        <v>0</v>
      </c>
      <c r="AA1404" s="74">
        <f>Devis[[#This Row],[Prix de Revient]]*Devis[[#This Row],[Poste 6]]</f>
        <v>0</v>
      </c>
      <c r="AB1404" s="74">
        <f>Devis[[#This Row],[Quantité Totale]]*Devis[[#This Row],[Prix de Revient]]</f>
        <v>0</v>
      </c>
    </row>
    <row r="1405" spans="1:28" ht="15" customHeight="1" x14ac:dyDescent="0.25">
      <c r="A1405" s="65" t="s">
        <v>3557</v>
      </c>
      <c r="B1405" s="65" t="s">
        <v>1121</v>
      </c>
      <c r="C1405" s="76"/>
      <c r="D1405" s="81" t="str">
        <f t="shared" si="25"/>
        <v>GalvaManchons réduits ff 240</v>
      </c>
      <c r="E1405" s="76"/>
      <c r="F1405" s="81">
        <v>0</v>
      </c>
      <c r="G1405" s="86"/>
      <c r="H1405" s="71"/>
      <c r="I1405" s="75"/>
      <c r="J1405" s="70">
        <f>IFERROR(VLOOKUP(Devis[[#This Row],[Ref Air Flux]],#REF!,3,FALSE),0)</f>
        <v>0</v>
      </c>
      <c r="K1405" s="68"/>
      <c r="L1405" s="68"/>
      <c r="M1405" s="68"/>
      <c r="N1405" s="68"/>
      <c r="O1405" s="68"/>
      <c r="P1405" s="68"/>
      <c r="Q1405" s="68">
        <f>SUM(Devis[[#This Row],[Poste 1]:[Poste 6]])</f>
        <v>0</v>
      </c>
      <c r="R1405" s="71"/>
      <c r="S1405" s="68">
        <f>_xlfn.CEILING.MATH(Devis[[#This Row],[Quantité Totale]],Devis[[#This Row],[Conditionnement]])</f>
        <v>0</v>
      </c>
      <c r="T1405" s="72"/>
      <c r="U1405" s="106"/>
      <c r="V1405" s="74">
        <f>Devis[[#This Row],[Prix de Revient]]*Devis[[#This Row],[Poste 1]]</f>
        <v>0</v>
      </c>
      <c r="W1405" s="74">
        <f>Devis[[#This Row],[Prix de Revient]]*Devis[[#This Row],[Poste 2]]</f>
        <v>0</v>
      </c>
      <c r="X1405" s="74">
        <f>Devis[[#This Row],[Prix de Revient]]*Devis[[#This Row],[Poste 3]]</f>
        <v>0</v>
      </c>
      <c r="Y1405" s="74">
        <f>Devis[[#This Row],[Poste 4]]*Devis[[#This Row],[Prix de Revient]]</f>
        <v>0</v>
      </c>
      <c r="Z1405" s="74">
        <f>Devis[[#This Row],[Poste 5]]*Devis[[#This Row],[Prix de Revient]]</f>
        <v>0</v>
      </c>
      <c r="AA1405" s="74">
        <f>Devis[[#This Row],[Prix de Revient]]*Devis[[#This Row],[Poste 6]]</f>
        <v>0</v>
      </c>
      <c r="AB1405" s="74">
        <f>Devis[[#This Row],[Quantité Totale]]*Devis[[#This Row],[Prix de Revient]]</f>
        <v>0</v>
      </c>
    </row>
    <row r="1406" spans="1:28" ht="14.25" outlineLevel="1" x14ac:dyDescent="0.2">
      <c r="A1406" s="75" t="s">
        <v>3557</v>
      </c>
      <c r="B1406" s="76" t="s">
        <v>1121</v>
      </c>
      <c r="C1406" s="76"/>
      <c r="D1406" s="81" t="str">
        <f t="shared" si="25"/>
        <v>GalvaManchons réduits ff 240</v>
      </c>
      <c r="E1406" s="80" t="s">
        <v>1091</v>
      </c>
      <c r="F1406" s="81">
        <v>1</v>
      </c>
      <c r="G1406" s="86" t="s">
        <v>1145</v>
      </c>
      <c r="H1406" s="71"/>
      <c r="I1406" s="75"/>
      <c r="J1406" s="70">
        <f>IFERROR(VLOOKUP(Devis[[#This Row],[Ref Air Flux]],#REF!,3,FALSE),0)</f>
        <v>0</v>
      </c>
      <c r="K1406" s="68"/>
      <c r="L1406" s="68"/>
      <c r="M1406" s="68"/>
      <c r="N1406" s="68"/>
      <c r="O1406" s="68"/>
      <c r="P1406" s="68"/>
      <c r="Q1406" s="68">
        <f>SUM(Devis[[#This Row],[Poste 1]:[Poste 6]])</f>
        <v>0</v>
      </c>
      <c r="R1406" s="71"/>
      <c r="S1406" s="68">
        <f>_xlfn.CEILING.MATH(Devis[[#This Row],[Quantité Totale]],Devis[[#This Row],[Conditionnement]])</f>
        <v>0</v>
      </c>
      <c r="T1406" s="72"/>
      <c r="U1406" s="106"/>
      <c r="V1406" s="74">
        <f>Devis[[#This Row],[Prix de Revient]]*Devis[[#This Row],[Poste 1]]</f>
        <v>0</v>
      </c>
      <c r="W1406" s="74">
        <f>Devis[[#This Row],[Prix de Revient]]*Devis[[#This Row],[Poste 2]]</f>
        <v>0</v>
      </c>
      <c r="X1406" s="74">
        <f>Devis[[#This Row],[Prix de Revient]]*Devis[[#This Row],[Poste 3]]</f>
        <v>0</v>
      </c>
      <c r="Y1406" s="74">
        <f>Devis[[#This Row],[Poste 4]]*Devis[[#This Row],[Prix de Revient]]</f>
        <v>0</v>
      </c>
      <c r="Z1406" s="74">
        <f>Devis[[#This Row],[Poste 5]]*Devis[[#This Row],[Prix de Revient]]</f>
        <v>0</v>
      </c>
      <c r="AA1406" s="74">
        <f>Devis[[#This Row],[Prix de Revient]]*Devis[[#This Row],[Poste 6]]</f>
        <v>0</v>
      </c>
      <c r="AB1406" s="74">
        <f>Devis[[#This Row],[Quantité Totale]]*Devis[[#This Row],[Prix de Revient]]</f>
        <v>0</v>
      </c>
    </row>
    <row r="1407" spans="1:28" ht="14.25" outlineLevel="1" x14ac:dyDescent="0.2">
      <c r="A1407" s="75" t="s">
        <v>3557</v>
      </c>
      <c r="B1407" s="76" t="s">
        <v>1121</v>
      </c>
      <c r="C1407" s="76"/>
      <c r="D1407" s="81" t="str">
        <f t="shared" si="25"/>
        <v>GalvaManchons réduits ff 240</v>
      </c>
      <c r="E1407" s="80" t="s">
        <v>1079</v>
      </c>
      <c r="F1407" s="81">
        <v>2</v>
      </c>
      <c r="G1407" s="86" t="s">
        <v>1136</v>
      </c>
      <c r="H1407" s="71"/>
      <c r="I1407" s="75"/>
      <c r="J1407" s="70">
        <f>IFERROR(VLOOKUP(Devis[[#This Row],[Ref Air Flux]],#REF!,3,FALSE),0)</f>
        <v>0</v>
      </c>
      <c r="K1407" s="68"/>
      <c r="L1407" s="68"/>
      <c r="M1407" s="68"/>
      <c r="N1407" s="68"/>
      <c r="O1407" s="68"/>
      <c r="P1407" s="68"/>
      <c r="Q1407" s="68">
        <f>SUM(Devis[[#This Row],[Poste 1]:[Poste 6]])</f>
        <v>0</v>
      </c>
      <c r="R1407" s="71"/>
      <c r="S1407" s="68">
        <f>_xlfn.CEILING.MATH(Devis[[#This Row],[Quantité Totale]],Devis[[#This Row],[Conditionnement]])</f>
        <v>0</v>
      </c>
      <c r="T1407" s="72"/>
      <c r="U1407" s="106"/>
      <c r="V1407" s="74">
        <f>Devis[[#This Row],[Prix de Revient]]*Devis[[#This Row],[Poste 1]]</f>
        <v>0</v>
      </c>
      <c r="W1407" s="74">
        <f>Devis[[#This Row],[Prix de Revient]]*Devis[[#This Row],[Poste 2]]</f>
        <v>0</v>
      </c>
      <c r="X1407" s="74">
        <f>Devis[[#This Row],[Prix de Revient]]*Devis[[#This Row],[Poste 3]]</f>
        <v>0</v>
      </c>
      <c r="Y1407" s="74">
        <f>Devis[[#This Row],[Poste 4]]*Devis[[#This Row],[Prix de Revient]]</f>
        <v>0</v>
      </c>
      <c r="Z1407" s="74">
        <f>Devis[[#This Row],[Poste 5]]*Devis[[#This Row],[Prix de Revient]]</f>
        <v>0</v>
      </c>
      <c r="AA1407" s="74">
        <f>Devis[[#This Row],[Prix de Revient]]*Devis[[#This Row],[Poste 6]]</f>
        <v>0</v>
      </c>
      <c r="AB1407" s="74">
        <f>Devis[[#This Row],[Quantité Totale]]*Devis[[#This Row],[Prix de Revient]]</f>
        <v>0</v>
      </c>
    </row>
    <row r="1408" spans="1:28" ht="14.25" outlineLevel="1" x14ac:dyDescent="0.2">
      <c r="A1408" s="75" t="s">
        <v>3557</v>
      </c>
      <c r="B1408" s="76" t="s">
        <v>1121</v>
      </c>
      <c r="C1408" s="76"/>
      <c r="D1408" s="81" t="str">
        <f t="shared" si="25"/>
        <v>GalvaManchons réduits ff 240</v>
      </c>
      <c r="E1408" s="80" t="s">
        <v>1077</v>
      </c>
      <c r="F1408" s="81">
        <v>3</v>
      </c>
      <c r="G1408" s="86" t="s">
        <v>1135</v>
      </c>
      <c r="H1408" s="71"/>
      <c r="I1408" s="75"/>
      <c r="J1408" s="70">
        <f>IFERROR(VLOOKUP(Devis[[#This Row],[Ref Air Flux]],#REF!,3,FALSE),0)</f>
        <v>0</v>
      </c>
      <c r="K1408" s="68"/>
      <c r="L1408" s="68"/>
      <c r="M1408" s="68"/>
      <c r="N1408" s="68"/>
      <c r="O1408" s="68"/>
      <c r="P1408" s="68"/>
      <c r="Q1408" s="68">
        <f>SUM(Devis[[#This Row],[Poste 1]:[Poste 6]])</f>
        <v>0</v>
      </c>
      <c r="R1408" s="71"/>
      <c r="S1408" s="68">
        <f>_xlfn.CEILING.MATH(Devis[[#This Row],[Quantité Totale]],Devis[[#This Row],[Conditionnement]])</f>
        <v>0</v>
      </c>
      <c r="T1408" s="72"/>
      <c r="U1408" s="106"/>
      <c r="V1408" s="74">
        <f>Devis[[#This Row],[Prix de Revient]]*Devis[[#This Row],[Poste 1]]</f>
        <v>0</v>
      </c>
      <c r="W1408" s="74">
        <f>Devis[[#This Row],[Prix de Revient]]*Devis[[#This Row],[Poste 2]]</f>
        <v>0</v>
      </c>
      <c r="X1408" s="74">
        <f>Devis[[#This Row],[Prix de Revient]]*Devis[[#This Row],[Poste 3]]</f>
        <v>0</v>
      </c>
      <c r="Y1408" s="74">
        <f>Devis[[#This Row],[Poste 4]]*Devis[[#This Row],[Prix de Revient]]</f>
        <v>0</v>
      </c>
      <c r="Z1408" s="74">
        <f>Devis[[#This Row],[Poste 5]]*Devis[[#This Row],[Prix de Revient]]</f>
        <v>0</v>
      </c>
      <c r="AA1408" s="74">
        <f>Devis[[#This Row],[Prix de Revient]]*Devis[[#This Row],[Poste 6]]</f>
        <v>0</v>
      </c>
      <c r="AB1408" s="74">
        <f>Devis[[#This Row],[Quantité Totale]]*Devis[[#This Row],[Prix de Revient]]</f>
        <v>0</v>
      </c>
    </row>
    <row r="1409" spans="1:28" ht="14.25" outlineLevel="1" x14ac:dyDescent="0.2">
      <c r="A1409" s="75" t="s">
        <v>3557</v>
      </c>
      <c r="B1409" s="76" t="s">
        <v>1121</v>
      </c>
      <c r="C1409" s="76"/>
      <c r="D1409" s="81" t="str">
        <f t="shared" si="25"/>
        <v>GalvaManchons réduits ff 240</v>
      </c>
      <c r="E1409" s="80" t="s">
        <v>1083</v>
      </c>
      <c r="F1409" s="81">
        <v>4</v>
      </c>
      <c r="G1409" s="86" t="s">
        <v>1138</v>
      </c>
      <c r="H1409" s="71"/>
      <c r="I1409" s="75"/>
      <c r="J1409" s="70">
        <f>IFERROR(VLOOKUP(Devis[[#This Row],[Ref Air Flux]],#REF!,3,FALSE),0)</f>
        <v>0</v>
      </c>
      <c r="K1409" s="68"/>
      <c r="L1409" s="68"/>
      <c r="M1409" s="68"/>
      <c r="N1409" s="68"/>
      <c r="O1409" s="68"/>
      <c r="P1409" s="68"/>
      <c r="Q1409" s="68">
        <f>SUM(Devis[[#This Row],[Poste 1]:[Poste 6]])</f>
        <v>0</v>
      </c>
      <c r="R1409" s="71"/>
      <c r="S1409" s="68">
        <f>_xlfn.CEILING.MATH(Devis[[#This Row],[Quantité Totale]],Devis[[#This Row],[Conditionnement]])</f>
        <v>0</v>
      </c>
      <c r="T1409" s="72"/>
      <c r="U1409" s="106"/>
      <c r="V1409" s="74">
        <f>Devis[[#This Row],[Prix de Revient]]*Devis[[#This Row],[Poste 1]]</f>
        <v>0</v>
      </c>
      <c r="W1409" s="74">
        <f>Devis[[#This Row],[Prix de Revient]]*Devis[[#This Row],[Poste 2]]</f>
        <v>0</v>
      </c>
      <c r="X1409" s="74">
        <f>Devis[[#This Row],[Prix de Revient]]*Devis[[#This Row],[Poste 3]]</f>
        <v>0</v>
      </c>
      <c r="Y1409" s="74">
        <f>Devis[[#This Row],[Poste 4]]*Devis[[#This Row],[Prix de Revient]]</f>
        <v>0</v>
      </c>
      <c r="Z1409" s="74">
        <f>Devis[[#This Row],[Poste 5]]*Devis[[#This Row],[Prix de Revient]]</f>
        <v>0</v>
      </c>
      <c r="AA1409" s="74">
        <f>Devis[[#This Row],[Prix de Revient]]*Devis[[#This Row],[Poste 6]]</f>
        <v>0</v>
      </c>
      <c r="AB1409" s="74">
        <f>Devis[[#This Row],[Quantité Totale]]*Devis[[#This Row],[Prix de Revient]]</f>
        <v>0</v>
      </c>
    </row>
    <row r="1410" spans="1:28" ht="14.25" outlineLevel="1" x14ac:dyDescent="0.2">
      <c r="A1410" s="75" t="s">
        <v>3557</v>
      </c>
      <c r="B1410" s="76" t="s">
        <v>1121</v>
      </c>
      <c r="C1410" s="76"/>
      <c r="D1410" s="81" t="str">
        <f t="shared" si="25"/>
        <v>GalvaManchons réduits ff 240</v>
      </c>
      <c r="E1410" s="80" t="s">
        <v>1081</v>
      </c>
      <c r="F1410" s="81">
        <v>5</v>
      </c>
      <c r="G1410" s="86" t="s">
        <v>1137</v>
      </c>
      <c r="H1410" s="71"/>
      <c r="I1410" s="75"/>
      <c r="J1410" s="70">
        <f>IFERROR(VLOOKUP(Devis[[#This Row],[Ref Air Flux]],#REF!,3,FALSE),0)</f>
        <v>0</v>
      </c>
      <c r="K1410" s="68"/>
      <c r="L1410" s="68"/>
      <c r="M1410" s="68"/>
      <c r="N1410" s="68"/>
      <c r="O1410" s="68"/>
      <c r="P1410" s="68"/>
      <c r="Q1410" s="68">
        <f>SUM(Devis[[#This Row],[Poste 1]:[Poste 6]])</f>
        <v>0</v>
      </c>
      <c r="R1410" s="71"/>
      <c r="S1410" s="68">
        <f>_xlfn.CEILING.MATH(Devis[[#This Row],[Quantité Totale]],Devis[[#This Row],[Conditionnement]])</f>
        <v>0</v>
      </c>
      <c r="T1410" s="72"/>
      <c r="U1410" s="106"/>
      <c r="V1410" s="74">
        <f>Devis[[#This Row],[Prix de Revient]]*Devis[[#This Row],[Poste 1]]</f>
        <v>0</v>
      </c>
      <c r="W1410" s="74">
        <f>Devis[[#This Row],[Prix de Revient]]*Devis[[#This Row],[Poste 2]]</f>
        <v>0</v>
      </c>
      <c r="X1410" s="74">
        <f>Devis[[#This Row],[Prix de Revient]]*Devis[[#This Row],[Poste 3]]</f>
        <v>0</v>
      </c>
      <c r="Y1410" s="74">
        <f>Devis[[#This Row],[Poste 4]]*Devis[[#This Row],[Prix de Revient]]</f>
        <v>0</v>
      </c>
      <c r="Z1410" s="74">
        <f>Devis[[#This Row],[Poste 5]]*Devis[[#This Row],[Prix de Revient]]</f>
        <v>0</v>
      </c>
      <c r="AA1410" s="74">
        <f>Devis[[#This Row],[Prix de Revient]]*Devis[[#This Row],[Poste 6]]</f>
        <v>0</v>
      </c>
      <c r="AB1410" s="74">
        <f>Devis[[#This Row],[Quantité Totale]]*Devis[[#This Row],[Prix de Revient]]</f>
        <v>0</v>
      </c>
    </row>
    <row r="1411" spans="1:28" ht="14.25" outlineLevel="1" x14ac:dyDescent="0.2">
      <c r="A1411" s="75" t="s">
        <v>3557</v>
      </c>
      <c r="B1411" s="76" t="s">
        <v>1121</v>
      </c>
      <c r="C1411" s="76"/>
      <c r="D1411" s="81" t="str">
        <f t="shared" si="25"/>
        <v>GalvaManchons réduits ff 240</v>
      </c>
      <c r="E1411" s="80" t="s">
        <v>30</v>
      </c>
      <c r="F1411" s="81">
        <v>6</v>
      </c>
      <c r="G1411" s="86" t="s">
        <v>1139</v>
      </c>
      <c r="H1411" s="71"/>
      <c r="I1411" s="75"/>
      <c r="J1411" s="70">
        <f>IFERROR(VLOOKUP(Devis[[#This Row],[Ref Air Flux]],#REF!,3,FALSE),0)</f>
        <v>0</v>
      </c>
      <c r="K1411" s="68"/>
      <c r="L1411" s="68"/>
      <c r="M1411" s="68"/>
      <c r="N1411" s="68"/>
      <c r="O1411" s="68"/>
      <c r="P1411" s="68"/>
      <c r="Q1411" s="68">
        <f>SUM(Devis[[#This Row],[Poste 1]:[Poste 6]])</f>
        <v>0</v>
      </c>
      <c r="R1411" s="71"/>
      <c r="S1411" s="68">
        <f>_xlfn.CEILING.MATH(Devis[[#This Row],[Quantité Totale]],Devis[[#This Row],[Conditionnement]])</f>
        <v>0</v>
      </c>
      <c r="T1411" s="72"/>
      <c r="U1411" s="106"/>
      <c r="V1411" s="74">
        <f>Devis[[#This Row],[Prix de Revient]]*Devis[[#This Row],[Poste 1]]</f>
        <v>0</v>
      </c>
      <c r="W1411" s="74">
        <f>Devis[[#This Row],[Prix de Revient]]*Devis[[#This Row],[Poste 2]]</f>
        <v>0</v>
      </c>
      <c r="X1411" s="74">
        <f>Devis[[#This Row],[Prix de Revient]]*Devis[[#This Row],[Poste 3]]</f>
        <v>0</v>
      </c>
      <c r="Y1411" s="74">
        <f>Devis[[#This Row],[Poste 4]]*Devis[[#This Row],[Prix de Revient]]</f>
        <v>0</v>
      </c>
      <c r="Z1411" s="74">
        <f>Devis[[#This Row],[Poste 5]]*Devis[[#This Row],[Prix de Revient]]</f>
        <v>0</v>
      </c>
      <c r="AA1411" s="74">
        <f>Devis[[#This Row],[Prix de Revient]]*Devis[[#This Row],[Poste 6]]</f>
        <v>0</v>
      </c>
      <c r="AB1411" s="74">
        <f>Devis[[#This Row],[Quantité Totale]]*Devis[[#This Row],[Prix de Revient]]</f>
        <v>0</v>
      </c>
    </row>
    <row r="1412" spans="1:28" ht="14.25" outlineLevel="1" x14ac:dyDescent="0.2">
      <c r="A1412" s="75" t="s">
        <v>3557</v>
      </c>
      <c r="B1412" s="76" t="s">
        <v>1121</v>
      </c>
      <c r="C1412" s="76"/>
      <c r="D1412" s="81" t="str">
        <f t="shared" si="25"/>
        <v>GalvaManchons réduits ff 240</v>
      </c>
      <c r="E1412" s="80" t="s">
        <v>1088</v>
      </c>
      <c r="F1412" s="81">
        <v>7</v>
      </c>
      <c r="G1412" s="86" t="s">
        <v>1141</v>
      </c>
      <c r="H1412" s="71"/>
      <c r="I1412" s="75"/>
      <c r="J1412" s="70">
        <f>IFERROR(VLOOKUP(Devis[[#This Row],[Ref Air Flux]],#REF!,3,FALSE),0)</f>
        <v>0</v>
      </c>
      <c r="K1412" s="68"/>
      <c r="L1412" s="68"/>
      <c r="M1412" s="68"/>
      <c r="N1412" s="68"/>
      <c r="O1412" s="68"/>
      <c r="P1412" s="68"/>
      <c r="Q1412" s="68">
        <f>SUM(Devis[[#This Row],[Poste 1]:[Poste 6]])</f>
        <v>0</v>
      </c>
      <c r="R1412" s="71"/>
      <c r="S1412" s="68">
        <f>_xlfn.CEILING.MATH(Devis[[#This Row],[Quantité Totale]],Devis[[#This Row],[Conditionnement]])</f>
        <v>0</v>
      </c>
      <c r="T1412" s="72"/>
      <c r="U1412" s="106"/>
      <c r="V1412" s="74">
        <f>Devis[[#This Row],[Prix de Revient]]*Devis[[#This Row],[Poste 1]]</f>
        <v>0</v>
      </c>
      <c r="W1412" s="74">
        <f>Devis[[#This Row],[Prix de Revient]]*Devis[[#This Row],[Poste 2]]</f>
        <v>0</v>
      </c>
      <c r="X1412" s="74">
        <f>Devis[[#This Row],[Prix de Revient]]*Devis[[#This Row],[Poste 3]]</f>
        <v>0</v>
      </c>
      <c r="Y1412" s="74">
        <f>Devis[[#This Row],[Poste 4]]*Devis[[#This Row],[Prix de Revient]]</f>
        <v>0</v>
      </c>
      <c r="Z1412" s="74">
        <f>Devis[[#This Row],[Poste 5]]*Devis[[#This Row],[Prix de Revient]]</f>
        <v>0</v>
      </c>
      <c r="AA1412" s="74">
        <f>Devis[[#This Row],[Prix de Revient]]*Devis[[#This Row],[Poste 6]]</f>
        <v>0</v>
      </c>
      <c r="AB1412" s="74">
        <f>Devis[[#This Row],[Quantité Totale]]*Devis[[#This Row],[Prix de Revient]]</f>
        <v>0</v>
      </c>
    </row>
    <row r="1413" spans="1:28" ht="14.25" customHeight="1" outlineLevel="1" x14ac:dyDescent="0.2">
      <c r="A1413" s="75" t="s">
        <v>3557</v>
      </c>
      <c r="B1413" s="76" t="s">
        <v>1121</v>
      </c>
      <c r="C1413" s="76"/>
      <c r="D1413" s="81" t="str">
        <f t="shared" si="25"/>
        <v>GalvaManchons réduits ff 240</v>
      </c>
      <c r="E1413" s="80" t="s">
        <v>1086</v>
      </c>
      <c r="F1413" s="81">
        <v>8</v>
      </c>
      <c r="G1413" s="86" t="s">
        <v>1140</v>
      </c>
      <c r="H1413" s="71"/>
      <c r="I1413" s="75"/>
      <c r="J1413" s="70">
        <f>IFERROR(VLOOKUP(Devis[[#This Row],[Ref Air Flux]],#REF!,3,FALSE),0)</f>
        <v>0</v>
      </c>
      <c r="K1413" s="68"/>
      <c r="L1413" s="68"/>
      <c r="M1413" s="68"/>
      <c r="N1413" s="68"/>
      <c r="O1413" s="68"/>
      <c r="P1413" s="68"/>
      <c r="Q1413" s="68">
        <f>SUM(Devis[[#This Row],[Poste 1]:[Poste 6]])</f>
        <v>0</v>
      </c>
      <c r="R1413" s="71"/>
      <c r="S1413" s="68">
        <f>_xlfn.CEILING.MATH(Devis[[#This Row],[Quantité Totale]],Devis[[#This Row],[Conditionnement]])</f>
        <v>0</v>
      </c>
      <c r="T1413" s="72"/>
      <c r="U1413" s="106"/>
      <c r="V1413" s="74">
        <f>Devis[[#This Row],[Prix de Revient]]*Devis[[#This Row],[Poste 1]]</f>
        <v>0</v>
      </c>
      <c r="W1413" s="74">
        <f>Devis[[#This Row],[Prix de Revient]]*Devis[[#This Row],[Poste 2]]</f>
        <v>0</v>
      </c>
      <c r="X1413" s="74">
        <f>Devis[[#This Row],[Prix de Revient]]*Devis[[#This Row],[Poste 3]]</f>
        <v>0</v>
      </c>
      <c r="Y1413" s="74">
        <f>Devis[[#This Row],[Poste 4]]*Devis[[#This Row],[Prix de Revient]]</f>
        <v>0</v>
      </c>
      <c r="Z1413" s="74">
        <f>Devis[[#This Row],[Poste 5]]*Devis[[#This Row],[Prix de Revient]]</f>
        <v>0</v>
      </c>
      <c r="AA1413" s="74">
        <f>Devis[[#This Row],[Prix de Revient]]*Devis[[#This Row],[Poste 6]]</f>
        <v>0</v>
      </c>
      <c r="AB1413" s="74">
        <f>Devis[[#This Row],[Quantité Totale]]*Devis[[#This Row],[Prix de Revient]]</f>
        <v>0</v>
      </c>
    </row>
    <row r="1414" spans="1:28" ht="14.25" customHeight="1" outlineLevel="1" x14ac:dyDescent="0.2">
      <c r="A1414" s="75" t="s">
        <v>3557</v>
      </c>
      <c r="B1414" s="76" t="s">
        <v>1121</v>
      </c>
      <c r="C1414" s="76"/>
      <c r="D1414" s="81" t="str">
        <f t="shared" si="25"/>
        <v>GalvaManchons réduits ff 240</v>
      </c>
      <c r="E1414" s="80" t="s">
        <v>1142</v>
      </c>
      <c r="F1414" s="81">
        <v>9</v>
      </c>
      <c r="G1414" s="86" t="s">
        <v>1143</v>
      </c>
      <c r="H1414" s="71"/>
      <c r="I1414" s="75"/>
      <c r="J1414" s="70">
        <f>IFERROR(VLOOKUP(Devis[[#This Row],[Ref Air Flux]],#REF!,3,FALSE),0)</f>
        <v>0</v>
      </c>
      <c r="K1414" s="68"/>
      <c r="L1414" s="68"/>
      <c r="M1414" s="68"/>
      <c r="N1414" s="68"/>
      <c r="O1414" s="68"/>
      <c r="P1414" s="68"/>
      <c r="Q1414" s="68">
        <f>SUM(Devis[[#This Row],[Poste 1]:[Poste 6]])</f>
        <v>0</v>
      </c>
      <c r="R1414" s="71"/>
      <c r="S1414" s="68">
        <f>_xlfn.CEILING.MATH(Devis[[#This Row],[Quantité Totale]],Devis[[#This Row],[Conditionnement]])</f>
        <v>0</v>
      </c>
      <c r="T1414" s="72"/>
      <c r="U1414" s="106"/>
      <c r="V1414" s="74">
        <f>Devis[[#This Row],[Prix de Revient]]*Devis[[#This Row],[Poste 1]]</f>
        <v>0</v>
      </c>
      <c r="W1414" s="74">
        <f>Devis[[#This Row],[Prix de Revient]]*Devis[[#This Row],[Poste 2]]</f>
        <v>0</v>
      </c>
      <c r="X1414" s="74">
        <f>Devis[[#This Row],[Prix de Revient]]*Devis[[#This Row],[Poste 3]]</f>
        <v>0</v>
      </c>
      <c r="Y1414" s="74">
        <f>Devis[[#This Row],[Poste 4]]*Devis[[#This Row],[Prix de Revient]]</f>
        <v>0</v>
      </c>
      <c r="Z1414" s="74">
        <f>Devis[[#This Row],[Poste 5]]*Devis[[#This Row],[Prix de Revient]]</f>
        <v>0</v>
      </c>
      <c r="AA1414" s="74">
        <f>Devis[[#This Row],[Prix de Revient]]*Devis[[#This Row],[Poste 6]]</f>
        <v>0</v>
      </c>
      <c r="AB1414" s="74">
        <f>Devis[[#This Row],[Quantité Totale]]*Devis[[#This Row],[Prix de Revient]]</f>
        <v>0</v>
      </c>
    </row>
    <row r="1415" spans="1:28" ht="14.25" outlineLevel="1" x14ac:dyDescent="0.2">
      <c r="A1415" s="75" t="s">
        <v>3557</v>
      </c>
      <c r="B1415" s="76" t="s">
        <v>1121</v>
      </c>
      <c r="C1415" s="76"/>
      <c r="D1415" s="81" t="str">
        <f t="shared" si="25"/>
        <v>GalvaManchons réduits ff 240</v>
      </c>
      <c r="E1415" s="80" t="s">
        <v>1101</v>
      </c>
      <c r="F1415" s="81">
        <v>10</v>
      </c>
      <c r="G1415" s="86" t="s">
        <v>1151</v>
      </c>
      <c r="H1415" s="71"/>
      <c r="I1415" s="75"/>
      <c r="J1415" s="70">
        <f>IFERROR(VLOOKUP(Devis[[#This Row],[Ref Air Flux]],#REF!,3,FALSE),0)</f>
        <v>0</v>
      </c>
      <c r="K1415" s="68"/>
      <c r="L1415" s="68"/>
      <c r="M1415" s="68"/>
      <c r="N1415" s="68"/>
      <c r="O1415" s="68"/>
      <c r="P1415" s="68"/>
      <c r="Q1415" s="68">
        <f>SUM(Devis[[#This Row],[Poste 1]:[Poste 6]])</f>
        <v>0</v>
      </c>
      <c r="R1415" s="71"/>
      <c r="S1415" s="68">
        <f>_xlfn.CEILING.MATH(Devis[[#This Row],[Quantité Totale]],Devis[[#This Row],[Conditionnement]])</f>
        <v>0</v>
      </c>
      <c r="T1415" s="72"/>
      <c r="U1415" s="106"/>
      <c r="V1415" s="74">
        <f>Devis[[#This Row],[Prix de Revient]]*Devis[[#This Row],[Poste 1]]</f>
        <v>0</v>
      </c>
      <c r="W1415" s="74">
        <f>Devis[[#This Row],[Prix de Revient]]*Devis[[#This Row],[Poste 2]]</f>
        <v>0</v>
      </c>
      <c r="X1415" s="74">
        <f>Devis[[#This Row],[Prix de Revient]]*Devis[[#This Row],[Poste 3]]</f>
        <v>0</v>
      </c>
      <c r="Y1415" s="74">
        <f>Devis[[#This Row],[Poste 4]]*Devis[[#This Row],[Prix de Revient]]</f>
        <v>0</v>
      </c>
      <c r="Z1415" s="74">
        <f>Devis[[#This Row],[Poste 5]]*Devis[[#This Row],[Prix de Revient]]</f>
        <v>0</v>
      </c>
      <c r="AA1415" s="74">
        <f>Devis[[#This Row],[Prix de Revient]]*Devis[[#This Row],[Poste 6]]</f>
        <v>0</v>
      </c>
      <c r="AB1415" s="74">
        <f>Devis[[#This Row],[Quantité Totale]]*Devis[[#This Row],[Prix de Revient]]</f>
        <v>0</v>
      </c>
    </row>
    <row r="1416" spans="1:28" ht="14.25" outlineLevel="1" x14ac:dyDescent="0.2">
      <c r="A1416" s="75" t="s">
        <v>3557</v>
      </c>
      <c r="B1416" s="76" t="s">
        <v>1121</v>
      </c>
      <c r="C1416" s="76"/>
      <c r="D1416" s="81" t="str">
        <f t="shared" si="25"/>
        <v>GalvaManchons réduits ff 240</v>
      </c>
      <c r="E1416" s="80" t="s">
        <v>27</v>
      </c>
      <c r="F1416" s="81">
        <v>11</v>
      </c>
      <c r="G1416" s="86" t="s">
        <v>1150</v>
      </c>
      <c r="H1416" s="71"/>
      <c r="I1416" s="75"/>
      <c r="J1416" s="70">
        <f>IFERROR(VLOOKUP(Devis[[#This Row],[Ref Air Flux]],#REF!,3,FALSE),0)</f>
        <v>0</v>
      </c>
      <c r="K1416" s="68"/>
      <c r="L1416" s="68"/>
      <c r="M1416" s="68"/>
      <c r="N1416" s="68"/>
      <c r="O1416" s="68"/>
      <c r="P1416" s="68"/>
      <c r="Q1416" s="68">
        <f>SUM(Devis[[#This Row],[Poste 1]:[Poste 6]])</f>
        <v>0</v>
      </c>
      <c r="R1416" s="71"/>
      <c r="S1416" s="68">
        <f>_xlfn.CEILING.MATH(Devis[[#This Row],[Quantité Totale]],Devis[[#This Row],[Conditionnement]])</f>
        <v>0</v>
      </c>
      <c r="T1416" s="72"/>
      <c r="U1416" s="106"/>
      <c r="V1416" s="74">
        <f>Devis[[#This Row],[Prix de Revient]]*Devis[[#This Row],[Poste 1]]</f>
        <v>0</v>
      </c>
      <c r="W1416" s="74">
        <f>Devis[[#This Row],[Prix de Revient]]*Devis[[#This Row],[Poste 2]]</f>
        <v>0</v>
      </c>
      <c r="X1416" s="74">
        <f>Devis[[#This Row],[Prix de Revient]]*Devis[[#This Row],[Poste 3]]</f>
        <v>0</v>
      </c>
      <c r="Y1416" s="74">
        <f>Devis[[#This Row],[Poste 4]]*Devis[[#This Row],[Prix de Revient]]</f>
        <v>0</v>
      </c>
      <c r="Z1416" s="74">
        <f>Devis[[#This Row],[Poste 5]]*Devis[[#This Row],[Prix de Revient]]</f>
        <v>0</v>
      </c>
      <c r="AA1416" s="74">
        <f>Devis[[#This Row],[Prix de Revient]]*Devis[[#This Row],[Poste 6]]</f>
        <v>0</v>
      </c>
      <c r="AB1416" s="74">
        <f>Devis[[#This Row],[Quantité Totale]]*Devis[[#This Row],[Prix de Revient]]</f>
        <v>0</v>
      </c>
    </row>
    <row r="1417" spans="1:28" ht="14.25" outlineLevel="1" x14ac:dyDescent="0.2">
      <c r="A1417" s="75" t="s">
        <v>3557</v>
      </c>
      <c r="B1417" s="76" t="s">
        <v>1121</v>
      </c>
      <c r="C1417" s="76"/>
      <c r="D1417" s="81" t="str">
        <f t="shared" si="25"/>
        <v>GalvaManchons réduits ff 240</v>
      </c>
      <c r="E1417" s="80" t="s">
        <v>29</v>
      </c>
      <c r="F1417" s="81">
        <v>12</v>
      </c>
      <c r="G1417" s="86" t="s">
        <v>1144</v>
      </c>
      <c r="H1417" s="71"/>
      <c r="I1417" s="75"/>
      <c r="J1417" s="70">
        <f>IFERROR(VLOOKUP(Devis[[#This Row],[Ref Air Flux]],#REF!,3,FALSE),0)</f>
        <v>0</v>
      </c>
      <c r="K1417" s="68"/>
      <c r="L1417" s="68"/>
      <c r="M1417" s="68"/>
      <c r="N1417" s="68"/>
      <c r="O1417" s="68"/>
      <c r="P1417" s="68"/>
      <c r="Q1417" s="68">
        <f>SUM(Devis[[#This Row],[Poste 1]:[Poste 6]])</f>
        <v>0</v>
      </c>
      <c r="R1417" s="71"/>
      <c r="S1417" s="68">
        <f>_xlfn.CEILING.MATH(Devis[[#This Row],[Quantité Totale]],Devis[[#This Row],[Conditionnement]])</f>
        <v>0</v>
      </c>
      <c r="T1417" s="72"/>
      <c r="U1417" s="106"/>
      <c r="V1417" s="74">
        <f>Devis[[#This Row],[Prix de Revient]]*Devis[[#This Row],[Poste 1]]</f>
        <v>0</v>
      </c>
      <c r="W1417" s="74">
        <f>Devis[[#This Row],[Prix de Revient]]*Devis[[#This Row],[Poste 2]]</f>
        <v>0</v>
      </c>
      <c r="X1417" s="74">
        <f>Devis[[#This Row],[Prix de Revient]]*Devis[[#This Row],[Poste 3]]</f>
        <v>0</v>
      </c>
      <c r="Y1417" s="74">
        <f>Devis[[#This Row],[Poste 4]]*Devis[[#This Row],[Prix de Revient]]</f>
        <v>0</v>
      </c>
      <c r="Z1417" s="74">
        <f>Devis[[#This Row],[Poste 5]]*Devis[[#This Row],[Prix de Revient]]</f>
        <v>0</v>
      </c>
      <c r="AA1417" s="74">
        <f>Devis[[#This Row],[Prix de Revient]]*Devis[[#This Row],[Poste 6]]</f>
        <v>0</v>
      </c>
      <c r="AB1417" s="74">
        <f>Devis[[#This Row],[Quantité Totale]]*Devis[[#This Row],[Prix de Revient]]</f>
        <v>0</v>
      </c>
    </row>
    <row r="1418" spans="1:28" ht="14.25" outlineLevel="1" x14ac:dyDescent="0.2">
      <c r="A1418" s="75" t="s">
        <v>3557</v>
      </c>
      <c r="B1418" s="76" t="s">
        <v>1121</v>
      </c>
      <c r="C1418" s="76"/>
      <c r="D1418" s="81" t="str">
        <f t="shared" si="25"/>
        <v>GalvaManchons réduits ff 240</v>
      </c>
      <c r="E1418" s="76" t="s">
        <v>1093</v>
      </c>
      <c r="F1418" s="81">
        <v>13</v>
      </c>
      <c r="G1418" s="86" t="s">
        <v>1146</v>
      </c>
      <c r="H1418" s="71"/>
      <c r="I1418" s="75"/>
      <c r="J1418" s="70">
        <f>IFERROR(VLOOKUP(Devis[[#This Row],[Ref Air Flux]],#REF!,3,FALSE),0)</f>
        <v>0</v>
      </c>
      <c r="K1418" s="68"/>
      <c r="L1418" s="68"/>
      <c r="M1418" s="68"/>
      <c r="N1418" s="68"/>
      <c r="O1418" s="68"/>
      <c r="P1418" s="68"/>
      <c r="Q1418" s="68">
        <f>SUM(Devis[[#This Row],[Poste 1]:[Poste 6]])</f>
        <v>0</v>
      </c>
      <c r="R1418" s="71"/>
      <c r="S1418" s="68">
        <f>_xlfn.CEILING.MATH(Devis[[#This Row],[Quantité Totale]],Devis[[#This Row],[Conditionnement]])</f>
        <v>0</v>
      </c>
      <c r="T1418" s="72"/>
      <c r="U1418" s="106"/>
      <c r="V1418" s="74">
        <f>Devis[[#This Row],[Prix de Revient]]*Devis[[#This Row],[Poste 1]]</f>
        <v>0</v>
      </c>
      <c r="W1418" s="74">
        <f>Devis[[#This Row],[Prix de Revient]]*Devis[[#This Row],[Poste 2]]</f>
        <v>0</v>
      </c>
      <c r="X1418" s="74">
        <f>Devis[[#This Row],[Prix de Revient]]*Devis[[#This Row],[Poste 3]]</f>
        <v>0</v>
      </c>
      <c r="Y1418" s="74">
        <f>Devis[[#This Row],[Poste 4]]*Devis[[#This Row],[Prix de Revient]]</f>
        <v>0</v>
      </c>
      <c r="Z1418" s="74">
        <f>Devis[[#This Row],[Poste 5]]*Devis[[#This Row],[Prix de Revient]]</f>
        <v>0</v>
      </c>
      <c r="AA1418" s="74">
        <f>Devis[[#This Row],[Prix de Revient]]*Devis[[#This Row],[Poste 6]]</f>
        <v>0</v>
      </c>
      <c r="AB1418" s="74">
        <f>Devis[[#This Row],[Quantité Totale]]*Devis[[#This Row],[Prix de Revient]]</f>
        <v>0</v>
      </c>
    </row>
    <row r="1419" spans="1:28" ht="14.25" outlineLevel="1" x14ac:dyDescent="0.2">
      <c r="A1419" s="75" t="s">
        <v>3557</v>
      </c>
      <c r="B1419" s="76" t="s">
        <v>1121</v>
      </c>
      <c r="C1419" s="76"/>
      <c r="D1419" s="81" t="str">
        <f t="shared" si="25"/>
        <v>GalvaManchons réduits ff 240</v>
      </c>
      <c r="E1419" s="76" t="s">
        <v>1154</v>
      </c>
      <c r="F1419" s="81">
        <v>14</v>
      </c>
      <c r="G1419" s="86" t="s">
        <v>1155</v>
      </c>
      <c r="H1419" s="71"/>
      <c r="I1419" s="75"/>
      <c r="J1419" s="70">
        <f>IFERROR(VLOOKUP(Devis[[#This Row],[Ref Air Flux]],#REF!,3,FALSE),0)</f>
        <v>0</v>
      </c>
      <c r="K1419" s="68"/>
      <c r="L1419" s="68"/>
      <c r="M1419" s="68"/>
      <c r="N1419" s="68"/>
      <c r="O1419" s="68"/>
      <c r="P1419" s="68"/>
      <c r="Q1419" s="68">
        <f>SUM(Devis[[#This Row],[Poste 1]:[Poste 6]])</f>
        <v>0</v>
      </c>
      <c r="R1419" s="71"/>
      <c r="S1419" s="68">
        <f>_xlfn.CEILING.MATH(Devis[[#This Row],[Quantité Totale]],Devis[[#This Row],[Conditionnement]])</f>
        <v>0</v>
      </c>
      <c r="T1419" s="72"/>
      <c r="U1419" s="106"/>
      <c r="V1419" s="74">
        <f>Devis[[#This Row],[Prix de Revient]]*Devis[[#This Row],[Poste 1]]</f>
        <v>0</v>
      </c>
      <c r="W1419" s="74">
        <f>Devis[[#This Row],[Prix de Revient]]*Devis[[#This Row],[Poste 2]]</f>
        <v>0</v>
      </c>
      <c r="X1419" s="74">
        <f>Devis[[#This Row],[Prix de Revient]]*Devis[[#This Row],[Poste 3]]</f>
        <v>0</v>
      </c>
      <c r="Y1419" s="74">
        <f>Devis[[#This Row],[Poste 4]]*Devis[[#This Row],[Prix de Revient]]</f>
        <v>0</v>
      </c>
      <c r="Z1419" s="74">
        <f>Devis[[#This Row],[Poste 5]]*Devis[[#This Row],[Prix de Revient]]</f>
        <v>0</v>
      </c>
      <c r="AA1419" s="74">
        <f>Devis[[#This Row],[Prix de Revient]]*Devis[[#This Row],[Poste 6]]</f>
        <v>0</v>
      </c>
      <c r="AB1419" s="74">
        <f>Devis[[#This Row],[Quantité Totale]]*Devis[[#This Row],[Prix de Revient]]</f>
        <v>0</v>
      </c>
    </row>
    <row r="1420" spans="1:28" ht="14.25" outlineLevel="1" x14ac:dyDescent="0.2">
      <c r="A1420" s="75" t="s">
        <v>3557</v>
      </c>
      <c r="B1420" s="76" t="s">
        <v>1121</v>
      </c>
      <c r="C1420" s="76"/>
      <c r="D1420" s="81" t="str">
        <f t="shared" si="25"/>
        <v>GalvaManchons réduits ff 240</v>
      </c>
      <c r="E1420" s="80" t="s">
        <v>1071</v>
      </c>
      <c r="F1420" s="81">
        <v>15</v>
      </c>
      <c r="G1420" s="86" t="s">
        <v>1132</v>
      </c>
      <c r="H1420" s="71"/>
      <c r="I1420" s="75"/>
      <c r="J1420" s="70">
        <f>IFERROR(VLOOKUP(Devis[[#This Row],[Ref Air Flux]],#REF!,3,FALSE),0)</f>
        <v>0</v>
      </c>
      <c r="K1420" s="68"/>
      <c r="L1420" s="68"/>
      <c r="M1420" s="68"/>
      <c r="N1420" s="68"/>
      <c r="O1420" s="68"/>
      <c r="P1420" s="68"/>
      <c r="Q1420" s="68">
        <f>SUM(Devis[[#This Row],[Poste 1]:[Poste 6]])</f>
        <v>0</v>
      </c>
      <c r="R1420" s="71"/>
      <c r="S1420" s="68">
        <f>_xlfn.CEILING.MATH(Devis[[#This Row],[Quantité Totale]],Devis[[#This Row],[Conditionnement]])</f>
        <v>0</v>
      </c>
      <c r="T1420" s="72"/>
      <c r="U1420" s="106"/>
      <c r="V1420" s="74">
        <f>Devis[[#This Row],[Prix de Revient]]*Devis[[#This Row],[Poste 1]]</f>
        <v>0</v>
      </c>
      <c r="W1420" s="74">
        <f>Devis[[#This Row],[Prix de Revient]]*Devis[[#This Row],[Poste 2]]</f>
        <v>0</v>
      </c>
      <c r="X1420" s="74">
        <f>Devis[[#This Row],[Prix de Revient]]*Devis[[#This Row],[Poste 3]]</f>
        <v>0</v>
      </c>
      <c r="Y1420" s="74">
        <f>Devis[[#This Row],[Poste 4]]*Devis[[#This Row],[Prix de Revient]]</f>
        <v>0</v>
      </c>
      <c r="Z1420" s="74">
        <f>Devis[[#This Row],[Poste 5]]*Devis[[#This Row],[Prix de Revient]]</f>
        <v>0</v>
      </c>
      <c r="AA1420" s="74">
        <f>Devis[[#This Row],[Prix de Revient]]*Devis[[#This Row],[Poste 6]]</f>
        <v>0</v>
      </c>
      <c r="AB1420" s="74">
        <f>Devis[[#This Row],[Quantité Totale]]*Devis[[#This Row],[Prix de Revient]]</f>
        <v>0</v>
      </c>
    </row>
    <row r="1421" spans="1:28" ht="14.25" outlineLevel="1" x14ac:dyDescent="0.2">
      <c r="A1421" s="75" t="s">
        <v>3557</v>
      </c>
      <c r="B1421" s="76" t="s">
        <v>1121</v>
      </c>
      <c r="C1421" s="76"/>
      <c r="D1421" s="81" t="str">
        <f t="shared" si="25"/>
        <v>GalvaManchons réduits ff 240</v>
      </c>
      <c r="E1421" s="80" t="s">
        <v>1067</v>
      </c>
      <c r="F1421" s="81">
        <v>16</v>
      </c>
      <c r="G1421" s="86" t="s">
        <v>1130</v>
      </c>
      <c r="H1421" s="71"/>
      <c r="I1421" s="75"/>
      <c r="J1421" s="70">
        <f>IFERROR(VLOOKUP(Devis[[#This Row],[Ref Air Flux]],#REF!,3,FALSE),0)</f>
        <v>0</v>
      </c>
      <c r="K1421" s="68"/>
      <c r="L1421" s="68"/>
      <c r="M1421" s="68"/>
      <c r="N1421" s="68"/>
      <c r="O1421" s="68"/>
      <c r="P1421" s="68"/>
      <c r="Q1421" s="68">
        <f>SUM(Devis[[#This Row],[Poste 1]:[Poste 6]])</f>
        <v>0</v>
      </c>
      <c r="R1421" s="71"/>
      <c r="S1421" s="68">
        <f>_xlfn.CEILING.MATH(Devis[[#This Row],[Quantité Totale]],Devis[[#This Row],[Conditionnement]])</f>
        <v>0</v>
      </c>
      <c r="T1421" s="72"/>
      <c r="U1421" s="106"/>
      <c r="V1421" s="74">
        <f>Devis[[#This Row],[Prix de Revient]]*Devis[[#This Row],[Poste 1]]</f>
        <v>0</v>
      </c>
      <c r="W1421" s="74">
        <f>Devis[[#This Row],[Prix de Revient]]*Devis[[#This Row],[Poste 2]]</f>
        <v>0</v>
      </c>
      <c r="X1421" s="74">
        <f>Devis[[#This Row],[Prix de Revient]]*Devis[[#This Row],[Poste 3]]</f>
        <v>0</v>
      </c>
      <c r="Y1421" s="74">
        <f>Devis[[#This Row],[Poste 4]]*Devis[[#This Row],[Prix de Revient]]</f>
        <v>0</v>
      </c>
      <c r="Z1421" s="74">
        <f>Devis[[#This Row],[Poste 5]]*Devis[[#This Row],[Prix de Revient]]</f>
        <v>0</v>
      </c>
      <c r="AA1421" s="74">
        <f>Devis[[#This Row],[Prix de Revient]]*Devis[[#This Row],[Poste 6]]</f>
        <v>0</v>
      </c>
      <c r="AB1421" s="74">
        <f>Devis[[#This Row],[Quantité Totale]]*Devis[[#This Row],[Prix de Revient]]</f>
        <v>0</v>
      </c>
    </row>
    <row r="1422" spans="1:28" ht="15" customHeight="1" outlineLevel="1" x14ac:dyDescent="0.2">
      <c r="A1422" s="75" t="s">
        <v>3557</v>
      </c>
      <c r="B1422" s="76" t="s">
        <v>1121</v>
      </c>
      <c r="C1422" s="76"/>
      <c r="D1422" s="81" t="str">
        <f t="shared" si="25"/>
        <v>GalvaManchons réduits ff 240</v>
      </c>
      <c r="E1422" s="80" t="s">
        <v>1069</v>
      </c>
      <c r="F1422" s="81">
        <v>17</v>
      </c>
      <c r="G1422" s="86" t="s">
        <v>1131</v>
      </c>
      <c r="H1422" s="71"/>
      <c r="I1422" s="75"/>
      <c r="J1422" s="70">
        <f>IFERROR(VLOOKUP(Devis[[#This Row],[Ref Air Flux]],#REF!,3,FALSE),0)</f>
        <v>0</v>
      </c>
      <c r="K1422" s="68"/>
      <c r="L1422" s="68"/>
      <c r="M1422" s="68"/>
      <c r="N1422" s="68"/>
      <c r="O1422" s="68"/>
      <c r="P1422" s="68"/>
      <c r="Q1422" s="68">
        <f>SUM(Devis[[#This Row],[Poste 1]:[Poste 6]])</f>
        <v>0</v>
      </c>
      <c r="R1422" s="71"/>
      <c r="S1422" s="68">
        <f>_xlfn.CEILING.MATH(Devis[[#This Row],[Quantité Totale]],Devis[[#This Row],[Conditionnement]])</f>
        <v>0</v>
      </c>
      <c r="T1422" s="72"/>
      <c r="U1422" s="106"/>
      <c r="V1422" s="74">
        <f>Devis[[#This Row],[Prix de Revient]]*Devis[[#This Row],[Poste 1]]</f>
        <v>0</v>
      </c>
      <c r="W1422" s="74">
        <f>Devis[[#This Row],[Prix de Revient]]*Devis[[#This Row],[Poste 2]]</f>
        <v>0</v>
      </c>
      <c r="X1422" s="74">
        <f>Devis[[#This Row],[Prix de Revient]]*Devis[[#This Row],[Poste 3]]</f>
        <v>0</v>
      </c>
      <c r="Y1422" s="74">
        <f>Devis[[#This Row],[Poste 4]]*Devis[[#This Row],[Prix de Revient]]</f>
        <v>0</v>
      </c>
      <c r="Z1422" s="74">
        <f>Devis[[#This Row],[Poste 5]]*Devis[[#This Row],[Prix de Revient]]</f>
        <v>0</v>
      </c>
      <c r="AA1422" s="74">
        <f>Devis[[#This Row],[Prix de Revient]]*Devis[[#This Row],[Poste 6]]</f>
        <v>0</v>
      </c>
      <c r="AB1422" s="74">
        <f>Devis[[#This Row],[Quantité Totale]]*Devis[[#This Row],[Prix de Revient]]</f>
        <v>0</v>
      </c>
    </row>
    <row r="1423" spans="1:28" ht="14.25" outlineLevel="1" x14ac:dyDescent="0.2">
      <c r="A1423" s="75" t="s">
        <v>3557</v>
      </c>
      <c r="B1423" s="76" t="s">
        <v>1121</v>
      </c>
      <c r="C1423" s="76"/>
      <c r="D1423" s="81" t="str">
        <f t="shared" si="25"/>
        <v>GalvaManchons réduits ff 240</v>
      </c>
      <c r="E1423" s="80" t="s">
        <v>1075</v>
      </c>
      <c r="F1423" s="81">
        <v>18</v>
      </c>
      <c r="G1423" s="86" t="s">
        <v>1134</v>
      </c>
      <c r="H1423" s="71"/>
      <c r="I1423" s="75"/>
      <c r="J1423" s="70">
        <f>IFERROR(VLOOKUP(Devis[[#This Row],[Ref Air Flux]],#REF!,3,FALSE),0)</f>
        <v>0</v>
      </c>
      <c r="K1423" s="68"/>
      <c r="L1423" s="68"/>
      <c r="M1423" s="68"/>
      <c r="N1423" s="68"/>
      <c r="O1423" s="68"/>
      <c r="P1423" s="68"/>
      <c r="Q1423" s="68">
        <f>SUM(Devis[[#This Row],[Poste 1]:[Poste 6]])</f>
        <v>0</v>
      </c>
      <c r="R1423" s="71"/>
      <c r="S1423" s="68">
        <f>_xlfn.CEILING.MATH(Devis[[#This Row],[Quantité Totale]],Devis[[#This Row],[Conditionnement]])</f>
        <v>0</v>
      </c>
      <c r="T1423" s="72"/>
      <c r="U1423" s="106"/>
      <c r="V1423" s="74">
        <f>Devis[[#This Row],[Prix de Revient]]*Devis[[#This Row],[Poste 1]]</f>
        <v>0</v>
      </c>
      <c r="W1423" s="74">
        <f>Devis[[#This Row],[Prix de Revient]]*Devis[[#This Row],[Poste 2]]</f>
        <v>0</v>
      </c>
      <c r="X1423" s="74">
        <f>Devis[[#This Row],[Prix de Revient]]*Devis[[#This Row],[Poste 3]]</f>
        <v>0</v>
      </c>
      <c r="Y1423" s="74">
        <f>Devis[[#This Row],[Poste 4]]*Devis[[#This Row],[Prix de Revient]]</f>
        <v>0</v>
      </c>
      <c r="Z1423" s="74">
        <f>Devis[[#This Row],[Poste 5]]*Devis[[#This Row],[Prix de Revient]]</f>
        <v>0</v>
      </c>
      <c r="AA1423" s="74">
        <f>Devis[[#This Row],[Prix de Revient]]*Devis[[#This Row],[Poste 6]]</f>
        <v>0</v>
      </c>
      <c r="AB1423" s="74">
        <f>Devis[[#This Row],[Quantité Totale]]*Devis[[#This Row],[Prix de Revient]]</f>
        <v>0</v>
      </c>
    </row>
    <row r="1424" spans="1:28" ht="14.25" customHeight="1" outlineLevel="1" x14ac:dyDescent="0.2">
      <c r="A1424" s="75" t="s">
        <v>3557</v>
      </c>
      <c r="B1424" s="76" t="s">
        <v>1121</v>
      </c>
      <c r="C1424" s="76"/>
      <c r="D1424" s="81" t="str">
        <f t="shared" si="25"/>
        <v>GalvaManchons réduits ff 240</v>
      </c>
      <c r="E1424" s="80" t="s">
        <v>1063</v>
      </c>
      <c r="F1424" s="81">
        <v>19</v>
      </c>
      <c r="G1424" s="86" t="s">
        <v>1128</v>
      </c>
      <c r="H1424" s="71"/>
      <c r="I1424" s="75"/>
      <c r="J1424" s="70">
        <f>IFERROR(VLOOKUP(Devis[[#This Row],[Ref Air Flux]],#REF!,3,FALSE),0)</f>
        <v>0</v>
      </c>
      <c r="K1424" s="68"/>
      <c r="L1424" s="68"/>
      <c r="M1424" s="68"/>
      <c r="N1424" s="68"/>
      <c r="O1424" s="68"/>
      <c r="P1424" s="68"/>
      <c r="Q1424" s="68">
        <f>SUM(Devis[[#This Row],[Poste 1]:[Poste 6]])</f>
        <v>0</v>
      </c>
      <c r="R1424" s="71"/>
      <c r="S1424" s="68">
        <f>_xlfn.CEILING.MATH(Devis[[#This Row],[Quantité Totale]],Devis[[#This Row],[Conditionnement]])</f>
        <v>0</v>
      </c>
      <c r="T1424" s="72"/>
      <c r="U1424" s="106"/>
      <c r="V1424" s="74">
        <f>Devis[[#This Row],[Prix de Revient]]*Devis[[#This Row],[Poste 1]]</f>
        <v>0</v>
      </c>
      <c r="W1424" s="74">
        <f>Devis[[#This Row],[Prix de Revient]]*Devis[[#This Row],[Poste 2]]</f>
        <v>0</v>
      </c>
      <c r="X1424" s="74">
        <f>Devis[[#This Row],[Prix de Revient]]*Devis[[#This Row],[Poste 3]]</f>
        <v>0</v>
      </c>
      <c r="Y1424" s="74">
        <f>Devis[[#This Row],[Poste 4]]*Devis[[#This Row],[Prix de Revient]]</f>
        <v>0</v>
      </c>
      <c r="Z1424" s="74">
        <f>Devis[[#This Row],[Poste 5]]*Devis[[#This Row],[Prix de Revient]]</f>
        <v>0</v>
      </c>
      <c r="AA1424" s="74">
        <f>Devis[[#This Row],[Prix de Revient]]*Devis[[#This Row],[Poste 6]]</f>
        <v>0</v>
      </c>
      <c r="AB1424" s="74">
        <f>Devis[[#This Row],[Quantité Totale]]*Devis[[#This Row],[Prix de Revient]]</f>
        <v>0</v>
      </c>
    </row>
    <row r="1425" spans="1:28" ht="14.25" customHeight="1" outlineLevel="1" x14ac:dyDescent="0.2">
      <c r="A1425" s="75" t="s">
        <v>3557</v>
      </c>
      <c r="B1425" s="76" t="s">
        <v>1121</v>
      </c>
      <c r="C1425" s="76"/>
      <c r="D1425" s="81" t="str">
        <f t="shared" si="25"/>
        <v>GalvaManchons réduits ff 240</v>
      </c>
      <c r="E1425" s="80" t="s">
        <v>1065</v>
      </c>
      <c r="F1425" s="81">
        <v>20</v>
      </c>
      <c r="G1425" s="86" t="s">
        <v>1129</v>
      </c>
      <c r="H1425" s="71"/>
      <c r="I1425" s="75"/>
      <c r="J1425" s="70">
        <f>IFERROR(VLOOKUP(Devis[[#This Row],[Ref Air Flux]],#REF!,3,FALSE),0)</f>
        <v>0</v>
      </c>
      <c r="K1425" s="68"/>
      <c r="L1425" s="68"/>
      <c r="M1425" s="68"/>
      <c r="N1425" s="68"/>
      <c r="O1425" s="68"/>
      <c r="P1425" s="68"/>
      <c r="Q1425" s="68">
        <f>SUM(Devis[[#This Row],[Poste 1]:[Poste 6]])</f>
        <v>0</v>
      </c>
      <c r="R1425" s="71"/>
      <c r="S1425" s="68">
        <f>_xlfn.CEILING.MATH(Devis[[#This Row],[Quantité Totale]],Devis[[#This Row],[Conditionnement]])</f>
        <v>0</v>
      </c>
      <c r="T1425" s="72"/>
      <c r="U1425" s="106"/>
      <c r="V1425" s="74">
        <f>Devis[[#This Row],[Prix de Revient]]*Devis[[#This Row],[Poste 1]]</f>
        <v>0</v>
      </c>
      <c r="W1425" s="74">
        <f>Devis[[#This Row],[Prix de Revient]]*Devis[[#This Row],[Poste 2]]</f>
        <v>0</v>
      </c>
      <c r="X1425" s="74">
        <f>Devis[[#This Row],[Prix de Revient]]*Devis[[#This Row],[Poste 3]]</f>
        <v>0</v>
      </c>
      <c r="Y1425" s="74">
        <f>Devis[[#This Row],[Poste 4]]*Devis[[#This Row],[Prix de Revient]]</f>
        <v>0</v>
      </c>
      <c r="Z1425" s="74">
        <f>Devis[[#This Row],[Poste 5]]*Devis[[#This Row],[Prix de Revient]]</f>
        <v>0</v>
      </c>
      <c r="AA1425" s="74">
        <f>Devis[[#This Row],[Prix de Revient]]*Devis[[#This Row],[Poste 6]]</f>
        <v>0</v>
      </c>
      <c r="AB1425" s="74">
        <f>Devis[[#This Row],[Quantité Totale]]*Devis[[#This Row],[Prix de Revient]]</f>
        <v>0</v>
      </c>
    </row>
    <row r="1426" spans="1:28" ht="14.25" outlineLevel="1" x14ac:dyDescent="0.2">
      <c r="A1426" s="75" t="s">
        <v>3557</v>
      </c>
      <c r="B1426" s="76" t="s">
        <v>1121</v>
      </c>
      <c r="C1426" s="76"/>
      <c r="D1426" s="81" t="str">
        <f t="shared" si="25"/>
        <v>GalvaManchons réduits ff 240</v>
      </c>
      <c r="E1426" s="80" t="s">
        <v>1061</v>
      </c>
      <c r="F1426" s="81">
        <v>21</v>
      </c>
      <c r="G1426" s="86" t="s">
        <v>1127</v>
      </c>
      <c r="H1426" s="71"/>
      <c r="I1426" s="75"/>
      <c r="J1426" s="70">
        <f>IFERROR(VLOOKUP(Devis[[#This Row],[Ref Air Flux]],#REF!,3,FALSE),0)</f>
        <v>0</v>
      </c>
      <c r="K1426" s="68"/>
      <c r="L1426" s="68"/>
      <c r="M1426" s="68"/>
      <c r="N1426" s="68"/>
      <c r="O1426" s="68"/>
      <c r="P1426" s="68"/>
      <c r="Q1426" s="68">
        <f>SUM(Devis[[#This Row],[Poste 1]:[Poste 6]])</f>
        <v>0</v>
      </c>
      <c r="R1426" s="71"/>
      <c r="S1426" s="68">
        <f>_xlfn.CEILING.MATH(Devis[[#This Row],[Quantité Totale]],Devis[[#This Row],[Conditionnement]])</f>
        <v>0</v>
      </c>
      <c r="T1426" s="72"/>
      <c r="U1426" s="106"/>
      <c r="V1426" s="74">
        <f>Devis[[#This Row],[Prix de Revient]]*Devis[[#This Row],[Poste 1]]</f>
        <v>0</v>
      </c>
      <c r="W1426" s="74">
        <f>Devis[[#This Row],[Prix de Revient]]*Devis[[#This Row],[Poste 2]]</f>
        <v>0</v>
      </c>
      <c r="X1426" s="74">
        <f>Devis[[#This Row],[Prix de Revient]]*Devis[[#This Row],[Poste 3]]</f>
        <v>0</v>
      </c>
      <c r="Y1426" s="74">
        <f>Devis[[#This Row],[Poste 4]]*Devis[[#This Row],[Prix de Revient]]</f>
        <v>0</v>
      </c>
      <c r="Z1426" s="74">
        <f>Devis[[#This Row],[Poste 5]]*Devis[[#This Row],[Prix de Revient]]</f>
        <v>0</v>
      </c>
      <c r="AA1426" s="74">
        <f>Devis[[#This Row],[Prix de Revient]]*Devis[[#This Row],[Poste 6]]</f>
        <v>0</v>
      </c>
      <c r="AB1426" s="74">
        <f>Devis[[#This Row],[Quantité Totale]]*Devis[[#This Row],[Prix de Revient]]</f>
        <v>0</v>
      </c>
    </row>
    <row r="1427" spans="1:28" ht="14.25" outlineLevel="1" x14ac:dyDescent="0.2">
      <c r="A1427" s="75" t="s">
        <v>3557</v>
      </c>
      <c r="B1427" s="76" t="s">
        <v>1121</v>
      </c>
      <c r="C1427" s="76"/>
      <c r="D1427" s="81" t="str">
        <f t="shared" ref="D1427:D1490" si="26">A1427&amp;B1427&amp;C1427</f>
        <v>GalvaManchons réduits ff 240</v>
      </c>
      <c r="E1427" s="80" t="s">
        <v>1073</v>
      </c>
      <c r="F1427" s="81">
        <v>22</v>
      </c>
      <c r="G1427" s="108" t="s">
        <v>1133</v>
      </c>
      <c r="H1427" s="71"/>
      <c r="I1427" s="75"/>
      <c r="J1427" s="70">
        <f>IFERROR(VLOOKUP(Devis[[#This Row],[Ref Air Flux]],#REF!,3,FALSE),0)</f>
        <v>0</v>
      </c>
      <c r="K1427" s="68"/>
      <c r="L1427" s="68"/>
      <c r="M1427" s="68"/>
      <c r="N1427" s="68"/>
      <c r="O1427" s="68"/>
      <c r="P1427" s="68"/>
      <c r="Q1427" s="68">
        <f>SUM(Devis[[#This Row],[Poste 1]:[Poste 6]])</f>
        <v>0</v>
      </c>
      <c r="R1427" s="71"/>
      <c r="S1427" s="68">
        <f>_xlfn.CEILING.MATH(Devis[[#This Row],[Quantité Totale]],Devis[[#This Row],[Conditionnement]])</f>
        <v>0</v>
      </c>
      <c r="T1427" s="72"/>
      <c r="U1427" s="106"/>
      <c r="V1427" s="74">
        <f>Devis[[#This Row],[Prix de Revient]]*Devis[[#This Row],[Poste 1]]</f>
        <v>0</v>
      </c>
      <c r="W1427" s="74">
        <f>Devis[[#This Row],[Prix de Revient]]*Devis[[#This Row],[Poste 2]]</f>
        <v>0</v>
      </c>
      <c r="X1427" s="74">
        <f>Devis[[#This Row],[Prix de Revient]]*Devis[[#This Row],[Poste 3]]</f>
        <v>0</v>
      </c>
      <c r="Y1427" s="74">
        <f>Devis[[#This Row],[Poste 4]]*Devis[[#This Row],[Prix de Revient]]</f>
        <v>0</v>
      </c>
      <c r="Z1427" s="74">
        <f>Devis[[#This Row],[Poste 5]]*Devis[[#This Row],[Prix de Revient]]</f>
        <v>0</v>
      </c>
      <c r="AA1427" s="74">
        <f>Devis[[#This Row],[Prix de Revient]]*Devis[[#This Row],[Poste 6]]</f>
        <v>0</v>
      </c>
      <c r="AB1427" s="74">
        <f>Devis[[#This Row],[Quantité Totale]]*Devis[[#This Row],[Prix de Revient]]</f>
        <v>0</v>
      </c>
    </row>
    <row r="1428" spans="1:28" ht="14.25" outlineLevel="1" x14ac:dyDescent="0.2">
      <c r="A1428" s="75" t="s">
        <v>3557</v>
      </c>
      <c r="B1428" s="76" t="s">
        <v>1121</v>
      </c>
      <c r="C1428" s="76"/>
      <c r="D1428" s="81" t="str">
        <f t="shared" si="26"/>
        <v>GalvaManchons réduits ff 240</v>
      </c>
      <c r="E1428" s="80" t="s">
        <v>1053</v>
      </c>
      <c r="F1428" s="81">
        <v>23</v>
      </c>
      <c r="G1428" s="86" t="s">
        <v>1126</v>
      </c>
      <c r="H1428" s="71"/>
      <c r="I1428" s="75"/>
      <c r="J1428" s="70">
        <f>IFERROR(VLOOKUP(Devis[[#This Row],[Ref Air Flux]],#REF!,3,FALSE),0)</f>
        <v>0</v>
      </c>
      <c r="K1428" s="68"/>
      <c r="L1428" s="68"/>
      <c r="M1428" s="68"/>
      <c r="N1428" s="68"/>
      <c r="O1428" s="68"/>
      <c r="P1428" s="68"/>
      <c r="Q1428" s="68">
        <f>SUM(Devis[[#This Row],[Poste 1]:[Poste 6]])</f>
        <v>0</v>
      </c>
      <c r="R1428" s="71"/>
      <c r="S1428" s="68">
        <f>_xlfn.CEILING.MATH(Devis[[#This Row],[Quantité Totale]],Devis[[#This Row],[Conditionnement]])</f>
        <v>0</v>
      </c>
      <c r="T1428" s="72"/>
      <c r="U1428" s="106"/>
      <c r="V1428" s="74">
        <f>Devis[[#This Row],[Prix de Revient]]*Devis[[#This Row],[Poste 1]]</f>
        <v>0</v>
      </c>
      <c r="W1428" s="74">
        <f>Devis[[#This Row],[Prix de Revient]]*Devis[[#This Row],[Poste 2]]</f>
        <v>0</v>
      </c>
      <c r="X1428" s="74">
        <f>Devis[[#This Row],[Prix de Revient]]*Devis[[#This Row],[Poste 3]]</f>
        <v>0</v>
      </c>
      <c r="Y1428" s="74">
        <f>Devis[[#This Row],[Poste 4]]*Devis[[#This Row],[Prix de Revient]]</f>
        <v>0</v>
      </c>
      <c r="Z1428" s="74">
        <f>Devis[[#This Row],[Poste 5]]*Devis[[#This Row],[Prix de Revient]]</f>
        <v>0</v>
      </c>
      <c r="AA1428" s="74">
        <f>Devis[[#This Row],[Prix de Revient]]*Devis[[#This Row],[Poste 6]]</f>
        <v>0</v>
      </c>
      <c r="AB1428" s="74">
        <f>Devis[[#This Row],[Quantité Totale]]*Devis[[#This Row],[Prix de Revient]]</f>
        <v>0</v>
      </c>
    </row>
    <row r="1429" spans="1:28" ht="14.25" outlineLevel="1" x14ac:dyDescent="0.2">
      <c r="A1429" s="75" t="s">
        <v>3557</v>
      </c>
      <c r="B1429" s="76" t="s">
        <v>1121</v>
      </c>
      <c r="C1429" s="76"/>
      <c r="D1429" s="81" t="str">
        <f t="shared" si="26"/>
        <v>GalvaManchons réduits ff 240</v>
      </c>
      <c r="E1429" s="80" t="s">
        <v>1051</v>
      </c>
      <c r="F1429" s="81">
        <v>24</v>
      </c>
      <c r="G1429" s="86" t="s">
        <v>1125</v>
      </c>
      <c r="H1429" s="71"/>
      <c r="I1429" s="75"/>
      <c r="J1429" s="70">
        <f>IFERROR(VLOOKUP(Devis[[#This Row],[Ref Air Flux]],#REF!,3,FALSE),0)</f>
        <v>0</v>
      </c>
      <c r="K1429" s="68"/>
      <c r="L1429" s="68"/>
      <c r="M1429" s="68"/>
      <c r="N1429" s="68"/>
      <c r="O1429" s="68"/>
      <c r="P1429" s="68"/>
      <c r="Q1429" s="68">
        <f>SUM(Devis[[#This Row],[Poste 1]:[Poste 6]])</f>
        <v>0</v>
      </c>
      <c r="R1429" s="71"/>
      <c r="S1429" s="68">
        <f>_xlfn.CEILING.MATH(Devis[[#This Row],[Quantité Totale]],Devis[[#This Row],[Conditionnement]])</f>
        <v>0</v>
      </c>
      <c r="T1429" s="72"/>
      <c r="U1429" s="106"/>
      <c r="V1429" s="74">
        <f>Devis[[#This Row],[Prix de Revient]]*Devis[[#This Row],[Poste 1]]</f>
        <v>0</v>
      </c>
      <c r="W1429" s="74">
        <f>Devis[[#This Row],[Prix de Revient]]*Devis[[#This Row],[Poste 2]]</f>
        <v>0</v>
      </c>
      <c r="X1429" s="74">
        <f>Devis[[#This Row],[Prix de Revient]]*Devis[[#This Row],[Poste 3]]</f>
        <v>0</v>
      </c>
      <c r="Y1429" s="74">
        <f>Devis[[#This Row],[Poste 4]]*Devis[[#This Row],[Prix de Revient]]</f>
        <v>0</v>
      </c>
      <c r="Z1429" s="74">
        <f>Devis[[#This Row],[Poste 5]]*Devis[[#This Row],[Prix de Revient]]</f>
        <v>0</v>
      </c>
      <c r="AA1429" s="74">
        <f>Devis[[#This Row],[Prix de Revient]]*Devis[[#This Row],[Poste 6]]</f>
        <v>0</v>
      </c>
      <c r="AB1429" s="74">
        <f>Devis[[#This Row],[Quantité Totale]]*Devis[[#This Row],[Prix de Revient]]</f>
        <v>0</v>
      </c>
    </row>
    <row r="1430" spans="1:28" ht="14.25" outlineLevel="1" x14ac:dyDescent="0.2">
      <c r="A1430" s="75" t="s">
        <v>3557</v>
      </c>
      <c r="B1430" s="76" t="s">
        <v>1121</v>
      </c>
      <c r="C1430" s="76"/>
      <c r="D1430" s="81" t="str">
        <f t="shared" si="26"/>
        <v>GalvaManchons réduits ff 240</v>
      </c>
      <c r="E1430" s="80" t="s">
        <v>28</v>
      </c>
      <c r="F1430" s="81">
        <v>25</v>
      </c>
      <c r="G1430" s="86" t="s">
        <v>1147</v>
      </c>
      <c r="H1430" s="71"/>
      <c r="I1430" s="75"/>
      <c r="J1430" s="70">
        <f>IFERROR(VLOOKUP(Devis[[#This Row],[Ref Air Flux]],#REF!,3,FALSE),0)</f>
        <v>0</v>
      </c>
      <c r="K1430" s="68"/>
      <c r="L1430" s="68"/>
      <c r="M1430" s="68"/>
      <c r="N1430" s="68"/>
      <c r="O1430" s="68"/>
      <c r="P1430" s="68"/>
      <c r="Q1430" s="68">
        <f>SUM(Devis[[#This Row],[Poste 1]:[Poste 6]])</f>
        <v>0</v>
      </c>
      <c r="R1430" s="71"/>
      <c r="S1430" s="68">
        <f>_xlfn.CEILING.MATH(Devis[[#This Row],[Quantité Totale]],Devis[[#This Row],[Conditionnement]])</f>
        <v>0</v>
      </c>
      <c r="T1430" s="72"/>
      <c r="U1430" s="106"/>
      <c r="V1430" s="74">
        <f>Devis[[#This Row],[Prix de Revient]]*Devis[[#This Row],[Poste 1]]</f>
        <v>0</v>
      </c>
      <c r="W1430" s="74">
        <f>Devis[[#This Row],[Prix de Revient]]*Devis[[#This Row],[Poste 2]]</f>
        <v>0</v>
      </c>
      <c r="X1430" s="74">
        <f>Devis[[#This Row],[Prix de Revient]]*Devis[[#This Row],[Poste 3]]</f>
        <v>0</v>
      </c>
      <c r="Y1430" s="74">
        <f>Devis[[#This Row],[Poste 4]]*Devis[[#This Row],[Prix de Revient]]</f>
        <v>0</v>
      </c>
      <c r="Z1430" s="74">
        <f>Devis[[#This Row],[Poste 5]]*Devis[[#This Row],[Prix de Revient]]</f>
        <v>0</v>
      </c>
      <c r="AA1430" s="74">
        <f>Devis[[#This Row],[Prix de Revient]]*Devis[[#This Row],[Poste 6]]</f>
        <v>0</v>
      </c>
      <c r="AB1430" s="74">
        <f>Devis[[#This Row],[Quantité Totale]]*Devis[[#This Row],[Prix de Revient]]</f>
        <v>0</v>
      </c>
    </row>
    <row r="1431" spans="1:28" ht="14.25" outlineLevel="1" x14ac:dyDescent="0.2">
      <c r="A1431" s="75" t="s">
        <v>3557</v>
      </c>
      <c r="B1431" s="76" t="s">
        <v>1121</v>
      </c>
      <c r="C1431" s="76"/>
      <c r="D1431" s="81" t="str">
        <f t="shared" si="26"/>
        <v>GalvaManchons réduits ff 240</v>
      </c>
      <c r="E1431" s="76" t="s">
        <v>1098</v>
      </c>
      <c r="F1431" s="81">
        <v>26</v>
      </c>
      <c r="G1431" s="86" t="s">
        <v>1149</v>
      </c>
      <c r="H1431" s="71"/>
      <c r="I1431" s="75"/>
      <c r="J1431" s="70">
        <f>IFERROR(VLOOKUP(Devis[[#This Row],[Ref Air Flux]],#REF!,3,FALSE),0)</f>
        <v>0</v>
      </c>
      <c r="K1431" s="68"/>
      <c r="L1431" s="68"/>
      <c r="M1431" s="68"/>
      <c r="N1431" s="68"/>
      <c r="O1431" s="68"/>
      <c r="P1431" s="68"/>
      <c r="Q1431" s="68">
        <f>SUM(Devis[[#This Row],[Poste 1]:[Poste 6]])</f>
        <v>0</v>
      </c>
      <c r="R1431" s="71"/>
      <c r="S1431" s="68">
        <f>_xlfn.CEILING.MATH(Devis[[#This Row],[Quantité Totale]],Devis[[#This Row],[Conditionnement]])</f>
        <v>0</v>
      </c>
      <c r="T1431" s="72"/>
      <c r="U1431" s="106"/>
      <c r="V1431" s="74">
        <f>Devis[[#This Row],[Prix de Revient]]*Devis[[#This Row],[Poste 1]]</f>
        <v>0</v>
      </c>
      <c r="W1431" s="74">
        <f>Devis[[#This Row],[Prix de Revient]]*Devis[[#This Row],[Poste 2]]</f>
        <v>0</v>
      </c>
      <c r="X1431" s="74">
        <f>Devis[[#This Row],[Prix de Revient]]*Devis[[#This Row],[Poste 3]]</f>
        <v>0</v>
      </c>
      <c r="Y1431" s="74">
        <f>Devis[[#This Row],[Poste 4]]*Devis[[#This Row],[Prix de Revient]]</f>
        <v>0</v>
      </c>
      <c r="Z1431" s="74">
        <f>Devis[[#This Row],[Poste 5]]*Devis[[#This Row],[Prix de Revient]]</f>
        <v>0</v>
      </c>
      <c r="AA1431" s="74">
        <f>Devis[[#This Row],[Prix de Revient]]*Devis[[#This Row],[Poste 6]]</f>
        <v>0</v>
      </c>
      <c r="AB1431" s="74">
        <f>Devis[[#This Row],[Quantité Totale]]*Devis[[#This Row],[Prix de Revient]]</f>
        <v>0</v>
      </c>
    </row>
    <row r="1432" spans="1:28" ht="14.25" outlineLevel="1" x14ac:dyDescent="0.2">
      <c r="A1432" s="75" t="s">
        <v>3557</v>
      </c>
      <c r="B1432" s="76" t="s">
        <v>1121</v>
      </c>
      <c r="C1432" s="76"/>
      <c r="D1432" s="81" t="str">
        <f t="shared" si="26"/>
        <v>GalvaManchons réduits ff 240</v>
      </c>
      <c r="E1432" s="80" t="s">
        <v>1096</v>
      </c>
      <c r="F1432" s="81">
        <v>27</v>
      </c>
      <c r="G1432" s="86" t="s">
        <v>1148</v>
      </c>
      <c r="H1432" s="71"/>
      <c r="I1432" s="75"/>
      <c r="J1432" s="70">
        <f>IFERROR(VLOOKUP(Devis[[#This Row],[Ref Air Flux]],#REF!,3,FALSE),0)</f>
        <v>0</v>
      </c>
      <c r="K1432" s="68"/>
      <c r="L1432" s="68"/>
      <c r="M1432" s="68"/>
      <c r="N1432" s="68"/>
      <c r="O1432" s="68"/>
      <c r="P1432" s="68"/>
      <c r="Q1432" s="68">
        <f>SUM(Devis[[#This Row],[Poste 1]:[Poste 6]])</f>
        <v>0</v>
      </c>
      <c r="R1432" s="71"/>
      <c r="S1432" s="68">
        <f>_xlfn.CEILING.MATH(Devis[[#This Row],[Quantité Totale]],Devis[[#This Row],[Conditionnement]])</f>
        <v>0</v>
      </c>
      <c r="T1432" s="72"/>
      <c r="U1432" s="106"/>
      <c r="V1432" s="74">
        <f>Devis[[#This Row],[Prix de Revient]]*Devis[[#This Row],[Poste 1]]</f>
        <v>0</v>
      </c>
      <c r="W1432" s="74">
        <f>Devis[[#This Row],[Prix de Revient]]*Devis[[#This Row],[Poste 2]]</f>
        <v>0</v>
      </c>
      <c r="X1432" s="74">
        <f>Devis[[#This Row],[Prix de Revient]]*Devis[[#This Row],[Poste 3]]</f>
        <v>0</v>
      </c>
      <c r="Y1432" s="74">
        <f>Devis[[#This Row],[Poste 4]]*Devis[[#This Row],[Prix de Revient]]</f>
        <v>0</v>
      </c>
      <c r="Z1432" s="74">
        <f>Devis[[#This Row],[Poste 5]]*Devis[[#This Row],[Prix de Revient]]</f>
        <v>0</v>
      </c>
      <c r="AA1432" s="74">
        <f>Devis[[#This Row],[Prix de Revient]]*Devis[[#This Row],[Poste 6]]</f>
        <v>0</v>
      </c>
      <c r="AB1432" s="74">
        <f>Devis[[#This Row],[Quantité Totale]]*Devis[[#This Row],[Prix de Revient]]</f>
        <v>0</v>
      </c>
    </row>
    <row r="1433" spans="1:28" ht="14.25" outlineLevel="1" x14ac:dyDescent="0.2">
      <c r="A1433" s="75" t="s">
        <v>3557</v>
      </c>
      <c r="B1433" s="76" t="s">
        <v>1121</v>
      </c>
      <c r="C1433" s="76"/>
      <c r="D1433" s="81" t="str">
        <f t="shared" si="26"/>
        <v>GalvaManchons réduits ff 240</v>
      </c>
      <c r="E1433" s="76" t="s">
        <v>1105</v>
      </c>
      <c r="F1433" s="81">
        <v>28</v>
      </c>
      <c r="G1433" s="86" t="s">
        <v>1152</v>
      </c>
      <c r="H1433" s="71"/>
      <c r="I1433" s="75"/>
      <c r="J1433" s="70">
        <f>IFERROR(VLOOKUP(Devis[[#This Row],[Ref Air Flux]],#REF!,3,FALSE),0)</f>
        <v>0</v>
      </c>
      <c r="K1433" s="68"/>
      <c r="L1433" s="68"/>
      <c r="M1433" s="68"/>
      <c r="N1433" s="68"/>
      <c r="O1433" s="68"/>
      <c r="P1433" s="68"/>
      <c r="Q1433" s="68">
        <f>SUM(Devis[[#This Row],[Poste 1]:[Poste 6]])</f>
        <v>0</v>
      </c>
      <c r="R1433" s="71"/>
      <c r="S1433" s="68">
        <f>_xlfn.CEILING.MATH(Devis[[#This Row],[Quantité Totale]],Devis[[#This Row],[Conditionnement]])</f>
        <v>0</v>
      </c>
      <c r="T1433" s="72"/>
      <c r="U1433" s="106"/>
      <c r="V1433" s="74">
        <f>Devis[[#This Row],[Prix de Revient]]*Devis[[#This Row],[Poste 1]]</f>
        <v>0</v>
      </c>
      <c r="W1433" s="74">
        <f>Devis[[#This Row],[Prix de Revient]]*Devis[[#This Row],[Poste 2]]</f>
        <v>0</v>
      </c>
      <c r="X1433" s="74">
        <f>Devis[[#This Row],[Prix de Revient]]*Devis[[#This Row],[Poste 3]]</f>
        <v>0</v>
      </c>
      <c r="Y1433" s="74">
        <f>Devis[[#This Row],[Poste 4]]*Devis[[#This Row],[Prix de Revient]]</f>
        <v>0</v>
      </c>
      <c r="Z1433" s="74">
        <f>Devis[[#This Row],[Poste 5]]*Devis[[#This Row],[Prix de Revient]]</f>
        <v>0</v>
      </c>
      <c r="AA1433" s="74">
        <f>Devis[[#This Row],[Prix de Revient]]*Devis[[#This Row],[Poste 6]]</f>
        <v>0</v>
      </c>
      <c r="AB1433" s="74">
        <f>Devis[[#This Row],[Quantité Totale]]*Devis[[#This Row],[Prix de Revient]]</f>
        <v>0</v>
      </c>
    </row>
    <row r="1434" spans="1:28" ht="15" customHeight="1" outlineLevel="1" x14ac:dyDescent="0.2">
      <c r="A1434" s="75" t="s">
        <v>3557</v>
      </c>
      <c r="B1434" s="76" t="s">
        <v>1121</v>
      </c>
      <c r="C1434" s="76"/>
      <c r="D1434" s="81" t="str">
        <f t="shared" si="26"/>
        <v>GalvaManchons réduits ff 240</v>
      </c>
      <c r="E1434" s="76" t="s">
        <v>1107</v>
      </c>
      <c r="F1434" s="81">
        <v>29</v>
      </c>
      <c r="G1434" s="86" t="s">
        <v>1153</v>
      </c>
      <c r="H1434" s="71"/>
      <c r="I1434" s="75"/>
      <c r="J1434" s="70">
        <f>IFERROR(VLOOKUP(Devis[[#This Row],[Ref Air Flux]],#REF!,3,FALSE),0)</f>
        <v>0</v>
      </c>
      <c r="K1434" s="68"/>
      <c r="L1434" s="68"/>
      <c r="M1434" s="68"/>
      <c r="N1434" s="68"/>
      <c r="O1434" s="68"/>
      <c r="P1434" s="68"/>
      <c r="Q1434" s="68">
        <f>SUM(Devis[[#This Row],[Poste 1]:[Poste 6]])</f>
        <v>0</v>
      </c>
      <c r="R1434" s="71"/>
      <c r="S1434" s="68">
        <f>_xlfn.CEILING.MATH(Devis[[#This Row],[Quantité Totale]],Devis[[#This Row],[Conditionnement]])</f>
        <v>0</v>
      </c>
      <c r="T1434" s="72"/>
      <c r="U1434" s="106"/>
      <c r="V1434" s="74">
        <f>Devis[[#This Row],[Prix de Revient]]*Devis[[#This Row],[Poste 1]]</f>
        <v>0</v>
      </c>
      <c r="W1434" s="74">
        <f>Devis[[#This Row],[Prix de Revient]]*Devis[[#This Row],[Poste 2]]</f>
        <v>0</v>
      </c>
      <c r="X1434" s="74">
        <f>Devis[[#This Row],[Prix de Revient]]*Devis[[#This Row],[Poste 3]]</f>
        <v>0</v>
      </c>
      <c r="Y1434" s="74">
        <f>Devis[[#This Row],[Poste 4]]*Devis[[#This Row],[Prix de Revient]]</f>
        <v>0</v>
      </c>
      <c r="Z1434" s="74">
        <f>Devis[[#This Row],[Poste 5]]*Devis[[#This Row],[Prix de Revient]]</f>
        <v>0</v>
      </c>
      <c r="AA1434" s="74">
        <f>Devis[[#This Row],[Prix de Revient]]*Devis[[#This Row],[Poste 6]]</f>
        <v>0</v>
      </c>
      <c r="AB1434" s="74">
        <f>Devis[[#This Row],[Quantité Totale]]*Devis[[#This Row],[Prix de Revient]]</f>
        <v>0</v>
      </c>
    </row>
    <row r="1435" spans="1:28" ht="14.25" customHeight="1" outlineLevel="1" x14ac:dyDescent="0.2">
      <c r="A1435" s="75" t="s">
        <v>3557</v>
      </c>
      <c r="B1435" s="76" t="s">
        <v>1121</v>
      </c>
      <c r="C1435" s="76"/>
      <c r="D1435" s="81" t="str">
        <f t="shared" si="26"/>
        <v>GalvaManchons réduits ff 240</v>
      </c>
      <c r="E1435" s="80" t="s">
        <v>1047</v>
      </c>
      <c r="F1435" s="81">
        <v>30</v>
      </c>
      <c r="G1435" s="86" t="s">
        <v>1124</v>
      </c>
      <c r="H1435" s="71"/>
      <c r="I1435" s="75"/>
      <c r="J1435" s="70">
        <f>IFERROR(VLOOKUP(Devis[[#This Row],[Ref Air Flux]],#REF!,3,FALSE),0)</f>
        <v>0</v>
      </c>
      <c r="K1435" s="68"/>
      <c r="L1435" s="68"/>
      <c r="M1435" s="68"/>
      <c r="N1435" s="68"/>
      <c r="O1435" s="68"/>
      <c r="P1435" s="68"/>
      <c r="Q1435" s="68">
        <f>SUM(Devis[[#This Row],[Poste 1]:[Poste 6]])</f>
        <v>0</v>
      </c>
      <c r="R1435" s="71"/>
      <c r="S1435" s="68">
        <f>_xlfn.CEILING.MATH(Devis[[#This Row],[Quantité Totale]],Devis[[#This Row],[Conditionnement]])</f>
        <v>0</v>
      </c>
      <c r="T1435" s="72"/>
      <c r="U1435" s="106"/>
      <c r="V1435" s="74">
        <f>Devis[[#This Row],[Prix de Revient]]*Devis[[#This Row],[Poste 1]]</f>
        <v>0</v>
      </c>
      <c r="W1435" s="74">
        <f>Devis[[#This Row],[Prix de Revient]]*Devis[[#This Row],[Poste 2]]</f>
        <v>0</v>
      </c>
      <c r="X1435" s="74">
        <f>Devis[[#This Row],[Prix de Revient]]*Devis[[#This Row],[Poste 3]]</f>
        <v>0</v>
      </c>
      <c r="Y1435" s="74">
        <f>Devis[[#This Row],[Poste 4]]*Devis[[#This Row],[Prix de Revient]]</f>
        <v>0</v>
      </c>
      <c r="Z1435" s="74">
        <f>Devis[[#This Row],[Poste 5]]*Devis[[#This Row],[Prix de Revient]]</f>
        <v>0</v>
      </c>
      <c r="AA1435" s="74">
        <f>Devis[[#This Row],[Prix de Revient]]*Devis[[#This Row],[Poste 6]]</f>
        <v>0</v>
      </c>
      <c r="AB1435" s="74">
        <f>Devis[[#This Row],[Quantité Totale]]*Devis[[#This Row],[Prix de Revient]]</f>
        <v>0</v>
      </c>
    </row>
    <row r="1436" spans="1:28" ht="14.25" customHeight="1" outlineLevel="1" x14ac:dyDescent="0.2">
      <c r="A1436" s="75" t="s">
        <v>3557</v>
      </c>
      <c r="B1436" s="76" t="s">
        <v>1121</v>
      </c>
      <c r="C1436" s="76"/>
      <c r="D1436" s="81" t="str">
        <f t="shared" si="26"/>
        <v>GalvaManchons réduits ff 240</v>
      </c>
      <c r="E1436" s="80" t="s">
        <v>1045</v>
      </c>
      <c r="F1436" s="81">
        <v>31</v>
      </c>
      <c r="G1436" s="86" t="s">
        <v>1122</v>
      </c>
      <c r="H1436" s="71"/>
      <c r="I1436" s="75"/>
      <c r="J1436" s="70">
        <f>IFERROR(VLOOKUP(Devis[[#This Row],[Ref Air Flux]],#REF!,3,FALSE),0)</f>
        <v>0</v>
      </c>
      <c r="K1436" s="68"/>
      <c r="L1436" s="68"/>
      <c r="M1436" s="68"/>
      <c r="N1436" s="68"/>
      <c r="O1436" s="68"/>
      <c r="P1436" s="68"/>
      <c r="Q1436" s="68">
        <f>SUM(Devis[[#This Row],[Poste 1]:[Poste 6]])</f>
        <v>0</v>
      </c>
      <c r="R1436" s="71"/>
      <c r="S1436" s="68">
        <f>_xlfn.CEILING.MATH(Devis[[#This Row],[Quantité Totale]],Devis[[#This Row],[Conditionnement]])</f>
        <v>0</v>
      </c>
      <c r="T1436" s="72"/>
      <c r="U1436" s="106"/>
      <c r="V1436" s="74">
        <f>Devis[[#This Row],[Prix de Revient]]*Devis[[#This Row],[Poste 1]]</f>
        <v>0</v>
      </c>
      <c r="W1436" s="74">
        <f>Devis[[#This Row],[Prix de Revient]]*Devis[[#This Row],[Poste 2]]</f>
        <v>0</v>
      </c>
      <c r="X1436" s="74">
        <f>Devis[[#This Row],[Prix de Revient]]*Devis[[#This Row],[Poste 3]]</f>
        <v>0</v>
      </c>
      <c r="Y1436" s="74">
        <f>Devis[[#This Row],[Poste 4]]*Devis[[#This Row],[Prix de Revient]]</f>
        <v>0</v>
      </c>
      <c r="Z1436" s="74">
        <f>Devis[[#This Row],[Poste 5]]*Devis[[#This Row],[Prix de Revient]]</f>
        <v>0</v>
      </c>
      <c r="AA1436" s="74">
        <f>Devis[[#This Row],[Prix de Revient]]*Devis[[#This Row],[Poste 6]]</f>
        <v>0</v>
      </c>
      <c r="AB1436" s="74">
        <f>Devis[[#This Row],[Quantité Totale]]*Devis[[#This Row],[Prix de Revient]]</f>
        <v>0</v>
      </c>
    </row>
    <row r="1437" spans="1:28" ht="14.25" customHeight="1" outlineLevel="1" x14ac:dyDescent="0.2">
      <c r="A1437" s="75" t="s">
        <v>3557</v>
      </c>
      <c r="B1437" s="76" t="s">
        <v>1121</v>
      </c>
      <c r="C1437" s="76"/>
      <c r="D1437" s="81" t="str">
        <f t="shared" si="26"/>
        <v>GalvaManchons réduits ff 240</v>
      </c>
      <c r="E1437" s="80" t="s">
        <v>1043</v>
      </c>
      <c r="F1437" s="81">
        <v>32</v>
      </c>
      <c r="G1437" s="86" t="s">
        <v>1123</v>
      </c>
      <c r="H1437" s="71"/>
      <c r="I1437" s="75"/>
      <c r="J1437" s="70">
        <f>IFERROR(VLOOKUP(Devis[[#This Row],[Ref Air Flux]],#REF!,3,FALSE),0)</f>
        <v>0</v>
      </c>
      <c r="K1437" s="68"/>
      <c r="L1437" s="68"/>
      <c r="M1437" s="68"/>
      <c r="N1437" s="68"/>
      <c r="O1437" s="68"/>
      <c r="P1437" s="68"/>
      <c r="Q1437" s="68">
        <f>SUM(Devis[[#This Row],[Poste 1]:[Poste 6]])</f>
        <v>0</v>
      </c>
      <c r="R1437" s="71"/>
      <c r="S1437" s="68">
        <f>_xlfn.CEILING.MATH(Devis[[#This Row],[Quantité Totale]],Devis[[#This Row],[Conditionnement]])</f>
        <v>0</v>
      </c>
      <c r="T1437" s="72"/>
      <c r="U1437" s="106"/>
      <c r="V1437" s="74">
        <f>Devis[[#This Row],[Prix de Revient]]*Devis[[#This Row],[Poste 1]]</f>
        <v>0</v>
      </c>
      <c r="W1437" s="74">
        <f>Devis[[#This Row],[Prix de Revient]]*Devis[[#This Row],[Poste 2]]</f>
        <v>0</v>
      </c>
      <c r="X1437" s="74">
        <f>Devis[[#This Row],[Prix de Revient]]*Devis[[#This Row],[Poste 3]]</f>
        <v>0</v>
      </c>
      <c r="Y1437" s="74">
        <f>Devis[[#This Row],[Poste 4]]*Devis[[#This Row],[Prix de Revient]]</f>
        <v>0</v>
      </c>
      <c r="Z1437" s="74">
        <f>Devis[[#This Row],[Poste 5]]*Devis[[#This Row],[Prix de Revient]]</f>
        <v>0</v>
      </c>
      <c r="AA1437" s="74">
        <f>Devis[[#This Row],[Prix de Revient]]*Devis[[#This Row],[Poste 6]]</f>
        <v>0</v>
      </c>
      <c r="AB1437" s="74">
        <f>Devis[[#This Row],[Quantité Totale]]*Devis[[#This Row],[Prix de Revient]]</f>
        <v>0</v>
      </c>
    </row>
    <row r="1438" spans="1:28" ht="14.25" customHeight="1" x14ac:dyDescent="0.25">
      <c r="A1438" s="65" t="s">
        <v>3557</v>
      </c>
      <c r="B1438" s="65" t="s">
        <v>1156</v>
      </c>
      <c r="C1438" s="76"/>
      <c r="D1438" s="81" t="str">
        <f t="shared" si="26"/>
        <v>GalvaManchons réduits FM 246 (Tulippe)</v>
      </c>
      <c r="E1438" s="76"/>
      <c r="F1438" s="81">
        <v>0</v>
      </c>
      <c r="G1438" s="86"/>
      <c r="H1438" s="71"/>
      <c r="I1438" s="75"/>
      <c r="J1438" s="70">
        <f>IFERROR(VLOOKUP(Devis[[#This Row],[Ref Air Flux]],#REF!,3,FALSE),0)</f>
        <v>0</v>
      </c>
      <c r="K1438" s="68"/>
      <c r="L1438" s="68"/>
      <c r="M1438" s="68"/>
      <c r="N1438" s="68"/>
      <c r="O1438" s="68"/>
      <c r="P1438" s="68"/>
      <c r="Q1438" s="68">
        <f>SUM(Devis[[#This Row],[Poste 1]:[Poste 6]])</f>
        <v>0</v>
      </c>
      <c r="R1438" s="71"/>
      <c r="S1438" s="68">
        <f>_xlfn.CEILING.MATH(Devis[[#This Row],[Quantité Totale]],Devis[[#This Row],[Conditionnement]])</f>
        <v>0</v>
      </c>
      <c r="T1438" s="72"/>
      <c r="U1438" s="106"/>
      <c r="V1438" s="74">
        <f>Devis[[#This Row],[Prix de Revient]]*Devis[[#This Row],[Poste 1]]</f>
        <v>0</v>
      </c>
      <c r="W1438" s="74">
        <f>Devis[[#This Row],[Prix de Revient]]*Devis[[#This Row],[Poste 2]]</f>
        <v>0</v>
      </c>
      <c r="X1438" s="74">
        <f>Devis[[#This Row],[Prix de Revient]]*Devis[[#This Row],[Poste 3]]</f>
        <v>0</v>
      </c>
      <c r="Y1438" s="74">
        <f>Devis[[#This Row],[Poste 4]]*Devis[[#This Row],[Prix de Revient]]</f>
        <v>0</v>
      </c>
      <c r="Z1438" s="74">
        <f>Devis[[#This Row],[Poste 5]]*Devis[[#This Row],[Prix de Revient]]</f>
        <v>0</v>
      </c>
      <c r="AA1438" s="74">
        <f>Devis[[#This Row],[Prix de Revient]]*Devis[[#This Row],[Poste 6]]</f>
        <v>0</v>
      </c>
      <c r="AB1438" s="74">
        <f>Devis[[#This Row],[Quantité Totale]]*Devis[[#This Row],[Prix de Revient]]</f>
        <v>0</v>
      </c>
    </row>
    <row r="1439" spans="1:28" ht="14.25" outlineLevel="1" x14ac:dyDescent="0.2">
      <c r="A1439" s="75" t="s">
        <v>3557</v>
      </c>
      <c r="B1439" s="76" t="s">
        <v>1156</v>
      </c>
      <c r="C1439" s="76"/>
      <c r="D1439" s="81" t="str">
        <f t="shared" si="26"/>
        <v>GalvaManchons réduits FM 246 (Tulippe)</v>
      </c>
      <c r="E1439" s="80" t="s">
        <v>1091</v>
      </c>
      <c r="F1439" s="81">
        <v>1</v>
      </c>
      <c r="G1439" s="86" t="s">
        <v>1182</v>
      </c>
      <c r="H1439" s="71"/>
      <c r="I1439" s="75"/>
      <c r="J1439" s="70">
        <f>IFERROR(VLOOKUP(Devis[[#This Row],[Ref Air Flux]],#REF!,3,FALSE),0)</f>
        <v>0</v>
      </c>
      <c r="K1439" s="68"/>
      <c r="L1439" s="68"/>
      <c r="M1439" s="68"/>
      <c r="N1439" s="68"/>
      <c r="O1439" s="68"/>
      <c r="P1439" s="68"/>
      <c r="Q1439" s="68">
        <f>SUM(Devis[[#This Row],[Poste 1]:[Poste 6]])</f>
        <v>0</v>
      </c>
      <c r="R1439" s="71"/>
      <c r="S1439" s="68">
        <f>_xlfn.CEILING.MATH(Devis[[#This Row],[Quantité Totale]],Devis[[#This Row],[Conditionnement]])</f>
        <v>0</v>
      </c>
      <c r="T1439" s="72"/>
      <c r="U1439" s="106"/>
      <c r="V1439" s="74">
        <f>Devis[[#This Row],[Prix de Revient]]*Devis[[#This Row],[Poste 1]]</f>
        <v>0</v>
      </c>
      <c r="W1439" s="74">
        <f>Devis[[#This Row],[Prix de Revient]]*Devis[[#This Row],[Poste 2]]</f>
        <v>0</v>
      </c>
      <c r="X1439" s="74">
        <f>Devis[[#This Row],[Prix de Revient]]*Devis[[#This Row],[Poste 3]]</f>
        <v>0</v>
      </c>
      <c r="Y1439" s="74">
        <f>Devis[[#This Row],[Poste 4]]*Devis[[#This Row],[Prix de Revient]]</f>
        <v>0</v>
      </c>
      <c r="Z1439" s="74">
        <f>Devis[[#This Row],[Poste 5]]*Devis[[#This Row],[Prix de Revient]]</f>
        <v>0</v>
      </c>
      <c r="AA1439" s="74">
        <f>Devis[[#This Row],[Prix de Revient]]*Devis[[#This Row],[Poste 6]]</f>
        <v>0</v>
      </c>
      <c r="AB1439" s="74">
        <f>Devis[[#This Row],[Quantité Totale]]*Devis[[#This Row],[Prix de Revient]]</f>
        <v>0</v>
      </c>
    </row>
    <row r="1440" spans="1:28" ht="14.25" outlineLevel="1" x14ac:dyDescent="0.2">
      <c r="A1440" s="75" t="s">
        <v>3557</v>
      </c>
      <c r="B1440" s="76" t="s">
        <v>1156</v>
      </c>
      <c r="C1440" s="76"/>
      <c r="D1440" s="81" t="str">
        <f t="shared" si="26"/>
        <v>GalvaManchons réduits FM 246 (Tulippe)</v>
      </c>
      <c r="E1440" s="80" t="s">
        <v>1079</v>
      </c>
      <c r="F1440" s="81">
        <v>2</v>
      </c>
      <c r="G1440" s="86" t="s">
        <v>1175</v>
      </c>
      <c r="H1440" s="71"/>
      <c r="I1440" s="75"/>
      <c r="J1440" s="70">
        <f>IFERROR(VLOOKUP(Devis[[#This Row],[Ref Air Flux]],#REF!,3,FALSE),0)</f>
        <v>0</v>
      </c>
      <c r="K1440" s="68"/>
      <c r="L1440" s="68"/>
      <c r="M1440" s="68"/>
      <c r="N1440" s="68"/>
      <c r="O1440" s="68"/>
      <c r="P1440" s="68"/>
      <c r="Q1440" s="68">
        <f>SUM(Devis[[#This Row],[Poste 1]:[Poste 6]])</f>
        <v>0</v>
      </c>
      <c r="R1440" s="71"/>
      <c r="S1440" s="68">
        <f>_xlfn.CEILING.MATH(Devis[[#This Row],[Quantité Totale]],Devis[[#This Row],[Conditionnement]])</f>
        <v>0</v>
      </c>
      <c r="T1440" s="72"/>
      <c r="U1440" s="106"/>
      <c r="V1440" s="74">
        <f>Devis[[#This Row],[Prix de Revient]]*Devis[[#This Row],[Poste 1]]</f>
        <v>0</v>
      </c>
      <c r="W1440" s="74">
        <f>Devis[[#This Row],[Prix de Revient]]*Devis[[#This Row],[Poste 2]]</f>
        <v>0</v>
      </c>
      <c r="X1440" s="74">
        <f>Devis[[#This Row],[Prix de Revient]]*Devis[[#This Row],[Poste 3]]</f>
        <v>0</v>
      </c>
      <c r="Y1440" s="74">
        <f>Devis[[#This Row],[Poste 4]]*Devis[[#This Row],[Prix de Revient]]</f>
        <v>0</v>
      </c>
      <c r="Z1440" s="74">
        <f>Devis[[#This Row],[Poste 5]]*Devis[[#This Row],[Prix de Revient]]</f>
        <v>0</v>
      </c>
      <c r="AA1440" s="74">
        <f>Devis[[#This Row],[Prix de Revient]]*Devis[[#This Row],[Poste 6]]</f>
        <v>0</v>
      </c>
      <c r="AB1440" s="74">
        <f>Devis[[#This Row],[Quantité Totale]]*Devis[[#This Row],[Prix de Revient]]</f>
        <v>0</v>
      </c>
    </row>
    <row r="1441" spans="1:28" ht="14.25" outlineLevel="1" x14ac:dyDescent="0.2">
      <c r="A1441" s="75" t="s">
        <v>3557</v>
      </c>
      <c r="B1441" s="76" t="s">
        <v>1156</v>
      </c>
      <c r="C1441" s="76"/>
      <c r="D1441" s="81" t="str">
        <f t="shared" si="26"/>
        <v>GalvaManchons réduits FM 246 (Tulippe)</v>
      </c>
      <c r="E1441" s="80" t="s">
        <v>1077</v>
      </c>
      <c r="F1441" s="81">
        <v>3</v>
      </c>
      <c r="G1441" s="86" t="s">
        <v>1174</v>
      </c>
      <c r="H1441" s="71"/>
      <c r="I1441" s="75"/>
      <c r="J1441" s="70">
        <f>IFERROR(VLOOKUP(Devis[[#This Row],[Ref Air Flux]],#REF!,3,FALSE),0)</f>
        <v>0</v>
      </c>
      <c r="K1441" s="68"/>
      <c r="L1441" s="68"/>
      <c r="M1441" s="68"/>
      <c r="N1441" s="68"/>
      <c r="O1441" s="68"/>
      <c r="P1441" s="68"/>
      <c r="Q1441" s="68">
        <f>SUM(Devis[[#This Row],[Poste 1]:[Poste 6]])</f>
        <v>0</v>
      </c>
      <c r="R1441" s="71"/>
      <c r="S1441" s="68">
        <f>_xlfn.CEILING.MATH(Devis[[#This Row],[Quantité Totale]],Devis[[#This Row],[Conditionnement]])</f>
        <v>0</v>
      </c>
      <c r="T1441" s="72"/>
      <c r="U1441" s="106"/>
      <c r="V1441" s="74">
        <f>Devis[[#This Row],[Prix de Revient]]*Devis[[#This Row],[Poste 1]]</f>
        <v>0</v>
      </c>
      <c r="W1441" s="74">
        <f>Devis[[#This Row],[Prix de Revient]]*Devis[[#This Row],[Poste 2]]</f>
        <v>0</v>
      </c>
      <c r="X1441" s="74">
        <f>Devis[[#This Row],[Prix de Revient]]*Devis[[#This Row],[Poste 3]]</f>
        <v>0</v>
      </c>
      <c r="Y1441" s="74">
        <f>Devis[[#This Row],[Poste 4]]*Devis[[#This Row],[Prix de Revient]]</f>
        <v>0</v>
      </c>
      <c r="Z1441" s="74">
        <f>Devis[[#This Row],[Poste 5]]*Devis[[#This Row],[Prix de Revient]]</f>
        <v>0</v>
      </c>
      <c r="AA1441" s="74">
        <f>Devis[[#This Row],[Prix de Revient]]*Devis[[#This Row],[Poste 6]]</f>
        <v>0</v>
      </c>
      <c r="AB1441" s="74">
        <f>Devis[[#This Row],[Quantité Totale]]*Devis[[#This Row],[Prix de Revient]]</f>
        <v>0</v>
      </c>
    </row>
    <row r="1442" spans="1:28" ht="14.25" outlineLevel="1" x14ac:dyDescent="0.2">
      <c r="A1442" s="75" t="s">
        <v>3557</v>
      </c>
      <c r="B1442" s="76" t="s">
        <v>1156</v>
      </c>
      <c r="C1442" s="76"/>
      <c r="D1442" s="81" t="str">
        <f t="shared" si="26"/>
        <v>GalvaManchons réduits FM 246 (Tulippe)</v>
      </c>
      <c r="E1442" s="80" t="s">
        <v>1083</v>
      </c>
      <c r="F1442" s="81">
        <v>4</v>
      </c>
      <c r="G1442" s="86" t="s">
        <v>1177</v>
      </c>
      <c r="H1442" s="71"/>
      <c r="I1442" s="75"/>
      <c r="J1442" s="70">
        <f>IFERROR(VLOOKUP(Devis[[#This Row],[Ref Air Flux]],#REF!,3,FALSE),0)</f>
        <v>0</v>
      </c>
      <c r="K1442" s="68"/>
      <c r="L1442" s="68"/>
      <c r="M1442" s="68"/>
      <c r="N1442" s="68"/>
      <c r="O1442" s="68"/>
      <c r="P1442" s="68"/>
      <c r="Q1442" s="68">
        <f>SUM(Devis[[#This Row],[Poste 1]:[Poste 6]])</f>
        <v>0</v>
      </c>
      <c r="R1442" s="71"/>
      <c r="S1442" s="68">
        <f>_xlfn.CEILING.MATH(Devis[[#This Row],[Quantité Totale]],Devis[[#This Row],[Conditionnement]])</f>
        <v>0</v>
      </c>
      <c r="T1442" s="72"/>
      <c r="U1442" s="106"/>
      <c r="V1442" s="74">
        <f>Devis[[#This Row],[Prix de Revient]]*Devis[[#This Row],[Poste 1]]</f>
        <v>0</v>
      </c>
      <c r="W1442" s="74">
        <f>Devis[[#This Row],[Prix de Revient]]*Devis[[#This Row],[Poste 2]]</f>
        <v>0</v>
      </c>
      <c r="X1442" s="74">
        <f>Devis[[#This Row],[Prix de Revient]]*Devis[[#This Row],[Poste 3]]</f>
        <v>0</v>
      </c>
      <c r="Y1442" s="74">
        <f>Devis[[#This Row],[Poste 4]]*Devis[[#This Row],[Prix de Revient]]</f>
        <v>0</v>
      </c>
      <c r="Z1442" s="74">
        <f>Devis[[#This Row],[Poste 5]]*Devis[[#This Row],[Prix de Revient]]</f>
        <v>0</v>
      </c>
      <c r="AA1442" s="74">
        <f>Devis[[#This Row],[Prix de Revient]]*Devis[[#This Row],[Poste 6]]</f>
        <v>0</v>
      </c>
      <c r="AB1442" s="74">
        <f>Devis[[#This Row],[Quantité Totale]]*Devis[[#This Row],[Prix de Revient]]</f>
        <v>0</v>
      </c>
    </row>
    <row r="1443" spans="1:28" ht="14.25" outlineLevel="1" x14ac:dyDescent="0.2">
      <c r="A1443" s="75" t="s">
        <v>3557</v>
      </c>
      <c r="B1443" s="76" t="s">
        <v>1156</v>
      </c>
      <c r="C1443" s="76"/>
      <c r="D1443" s="81" t="str">
        <f t="shared" si="26"/>
        <v>GalvaManchons réduits FM 246 (Tulippe)</v>
      </c>
      <c r="E1443" s="80" t="s">
        <v>1081</v>
      </c>
      <c r="F1443" s="81">
        <v>5</v>
      </c>
      <c r="G1443" s="86" t="s">
        <v>1176</v>
      </c>
      <c r="H1443" s="71"/>
      <c r="I1443" s="75"/>
      <c r="J1443" s="70">
        <f>IFERROR(VLOOKUP(Devis[[#This Row],[Ref Air Flux]],#REF!,3,FALSE),0)</f>
        <v>0</v>
      </c>
      <c r="K1443" s="68"/>
      <c r="L1443" s="68"/>
      <c r="M1443" s="68"/>
      <c r="N1443" s="68"/>
      <c r="O1443" s="68"/>
      <c r="P1443" s="68"/>
      <c r="Q1443" s="68">
        <f>SUM(Devis[[#This Row],[Poste 1]:[Poste 6]])</f>
        <v>0</v>
      </c>
      <c r="R1443" s="71"/>
      <c r="S1443" s="68">
        <f>_xlfn.CEILING.MATH(Devis[[#This Row],[Quantité Totale]],Devis[[#This Row],[Conditionnement]])</f>
        <v>0</v>
      </c>
      <c r="T1443" s="72"/>
      <c r="U1443" s="106"/>
      <c r="V1443" s="74">
        <f>Devis[[#This Row],[Prix de Revient]]*Devis[[#This Row],[Poste 1]]</f>
        <v>0</v>
      </c>
      <c r="W1443" s="74">
        <f>Devis[[#This Row],[Prix de Revient]]*Devis[[#This Row],[Poste 2]]</f>
        <v>0</v>
      </c>
      <c r="X1443" s="74">
        <f>Devis[[#This Row],[Prix de Revient]]*Devis[[#This Row],[Poste 3]]</f>
        <v>0</v>
      </c>
      <c r="Y1443" s="74">
        <f>Devis[[#This Row],[Poste 4]]*Devis[[#This Row],[Prix de Revient]]</f>
        <v>0</v>
      </c>
      <c r="Z1443" s="74">
        <f>Devis[[#This Row],[Poste 5]]*Devis[[#This Row],[Prix de Revient]]</f>
        <v>0</v>
      </c>
      <c r="AA1443" s="74">
        <f>Devis[[#This Row],[Prix de Revient]]*Devis[[#This Row],[Poste 6]]</f>
        <v>0</v>
      </c>
      <c r="AB1443" s="74">
        <f>Devis[[#This Row],[Quantité Totale]]*Devis[[#This Row],[Prix de Revient]]</f>
        <v>0</v>
      </c>
    </row>
    <row r="1444" spans="1:28" ht="14.25" customHeight="1" outlineLevel="1" x14ac:dyDescent="0.2">
      <c r="A1444" s="75" t="s">
        <v>3557</v>
      </c>
      <c r="B1444" s="76" t="s">
        <v>1156</v>
      </c>
      <c r="C1444" s="76"/>
      <c r="D1444" s="81" t="str">
        <f t="shared" si="26"/>
        <v>GalvaManchons réduits FM 246 (Tulippe)</v>
      </c>
      <c r="E1444" s="80" t="s">
        <v>30</v>
      </c>
      <c r="F1444" s="81">
        <v>6</v>
      </c>
      <c r="G1444" s="86" t="s">
        <v>1178</v>
      </c>
      <c r="H1444" s="71"/>
      <c r="I1444" s="75"/>
      <c r="J1444" s="70">
        <f>IFERROR(VLOOKUP(Devis[[#This Row],[Ref Air Flux]],#REF!,3,FALSE),0)</f>
        <v>0</v>
      </c>
      <c r="K1444" s="68"/>
      <c r="L1444" s="68"/>
      <c r="M1444" s="68"/>
      <c r="N1444" s="68"/>
      <c r="O1444" s="68"/>
      <c r="P1444" s="68"/>
      <c r="Q1444" s="68">
        <f>SUM(Devis[[#This Row],[Poste 1]:[Poste 6]])</f>
        <v>0</v>
      </c>
      <c r="R1444" s="71"/>
      <c r="S1444" s="68">
        <f>_xlfn.CEILING.MATH(Devis[[#This Row],[Quantité Totale]],Devis[[#This Row],[Conditionnement]])</f>
        <v>0</v>
      </c>
      <c r="T1444" s="72"/>
      <c r="U1444" s="106"/>
      <c r="V1444" s="74">
        <f>Devis[[#This Row],[Prix de Revient]]*Devis[[#This Row],[Poste 1]]</f>
        <v>0</v>
      </c>
      <c r="W1444" s="74">
        <f>Devis[[#This Row],[Prix de Revient]]*Devis[[#This Row],[Poste 2]]</f>
        <v>0</v>
      </c>
      <c r="X1444" s="74">
        <f>Devis[[#This Row],[Prix de Revient]]*Devis[[#This Row],[Poste 3]]</f>
        <v>0</v>
      </c>
      <c r="Y1444" s="74">
        <f>Devis[[#This Row],[Poste 4]]*Devis[[#This Row],[Prix de Revient]]</f>
        <v>0</v>
      </c>
      <c r="Z1444" s="74">
        <f>Devis[[#This Row],[Poste 5]]*Devis[[#This Row],[Prix de Revient]]</f>
        <v>0</v>
      </c>
      <c r="AA1444" s="74">
        <f>Devis[[#This Row],[Prix de Revient]]*Devis[[#This Row],[Poste 6]]</f>
        <v>0</v>
      </c>
      <c r="AB1444" s="74">
        <f>Devis[[#This Row],[Quantité Totale]]*Devis[[#This Row],[Prix de Revient]]</f>
        <v>0</v>
      </c>
    </row>
    <row r="1445" spans="1:28" ht="14.25" customHeight="1" outlineLevel="1" x14ac:dyDescent="0.2">
      <c r="A1445" s="75" t="s">
        <v>3557</v>
      </c>
      <c r="B1445" s="76" t="s">
        <v>1156</v>
      </c>
      <c r="C1445" s="76"/>
      <c r="D1445" s="81" t="str">
        <f t="shared" si="26"/>
        <v>GalvaManchons réduits FM 246 (Tulippe)</v>
      </c>
      <c r="E1445" s="80" t="s">
        <v>1088</v>
      </c>
      <c r="F1445" s="81">
        <v>7</v>
      </c>
      <c r="G1445" s="86" t="s">
        <v>1180</v>
      </c>
      <c r="H1445" s="71"/>
      <c r="I1445" s="75"/>
      <c r="J1445" s="70">
        <f>IFERROR(VLOOKUP(Devis[[#This Row],[Ref Air Flux]],#REF!,3,FALSE),0)</f>
        <v>0</v>
      </c>
      <c r="K1445" s="68"/>
      <c r="L1445" s="68"/>
      <c r="M1445" s="68"/>
      <c r="N1445" s="68"/>
      <c r="O1445" s="68"/>
      <c r="P1445" s="68"/>
      <c r="Q1445" s="68">
        <f>SUM(Devis[[#This Row],[Poste 1]:[Poste 6]])</f>
        <v>0</v>
      </c>
      <c r="R1445" s="71"/>
      <c r="S1445" s="68">
        <f>_xlfn.CEILING.MATH(Devis[[#This Row],[Quantité Totale]],Devis[[#This Row],[Conditionnement]])</f>
        <v>0</v>
      </c>
      <c r="T1445" s="72"/>
      <c r="U1445" s="106"/>
      <c r="V1445" s="74">
        <f>Devis[[#This Row],[Prix de Revient]]*Devis[[#This Row],[Poste 1]]</f>
        <v>0</v>
      </c>
      <c r="W1445" s="74">
        <f>Devis[[#This Row],[Prix de Revient]]*Devis[[#This Row],[Poste 2]]</f>
        <v>0</v>
      </c>
      <c r="X1445" s="74">
        <f>Devis[[#This Row],[Prix de Revient]]*Devis[[#This Row],[Poste 3]]</f>
        <v>0</v>
      </c>
      <c r="Y1445" s="74">
        <f>Devis[[#This Row],[Poste 4]]*Devis[[#This Row],[Prix de Revient]]</f>
        <v>0</v>
      </c>
      <c r="Z1445" s="74">
        <f>Devis[[#This Row],[Poste 5]]*Devis[[#This Row],[Prix de Revient]]</f>
        <v>0</v>
      </c>
      <c r="AA1445" s="74">
        <f>Devis[[#This Row],[Prix de Revient]]*Devis[[#This Row],[Poste 6]]</f>
        <v>0</v>
      </c>
      <c r="AB1445" s="74">
        <f>Devis[[#This Row],[Quantité Totale]]*Devis[[#This Row],[Prix de Revient]]</f>
        <v>0</v>
      </c>
    </row>
    <row r="1446" spans="1:28" ht="14.25" outlineLevel="1" x14ac:dyDescent="0.2">
      <c r="A1446" s="75" t="s">
        <v>3557</v>
      </c>
      <c r="B1446" s="76" t="s">
        <v>1156</v>
      </c>
      <c r="C1446" s="76"/>
      <c r="D1446" s="81" t="str">
        <f t="shared" si="26"/>
        <v>GalvaManchons réduits FM 246 (Tulippe)</v>
      </c>
      <c r="E1446" s="80" t="s">
        <v>1086</v>
      </c>
      <c r="F1446" s="81">
        <v>8</v>
      </c>
      <c r="G1446" s="86" t="s">
        <v>1179</v>
      </c>
      <c r="H1446" s="71"/>
      <c r="I1446" s="75"/>
      <c r="J1446" s="70">
        <f>IFERROR(VLOOKUP(Devis[[#This Row],[Ref Air Flux]],#REF!,3,FALSE),0)</f>
        <v>0</v>
      </c>
      <c r="K1446" s="68"/>
      <c r="L1446" s="68"/>
      <c r="M1446" s="68"/>
      <c r="N1446" s="68"/>
      <c r="O1446" s="68"/>
      <c r="P1446" s="68"/>
      <c r="Q1446" s="68">
        <f>SUM(Devis[[#This Row],[Poste 1]:[Poste 6]])</f>
        <v>0</v>
      </c>
      <c r="R1446" s="71"/>
      <c r="S1446" s="68">
        <f>_xlfn.CEILING.MATH(Devis[[#This Row],[Quantité Totale]],Devis[[#This Row],[Conditionnement]])</f>
        <v>0</v>
      </c>
      <c r="T1446" s="72"/>
      <c r="U1446" s="106"/>
      <c r="V1446" s="74">
        <f>Devis[[#This Row],[Prix de Revient]]*Devis[[#This Row],[Poste 1]]</f>
        <v>0</v>
      </c>
      <c r="W1446" s="74">
        <f>Devis[[#This Row],[Prix de Revient]]*Devis[[#This Row],[Poste 2]]</f>
        <v>0</v>
      </c>
      <c r="X1446" s="74">
        <f>Devis[[#This Row],[Prix de Revient]]*Devis[[#This Row],[Poste 3]]</f>
        <v>0</v>
      </c>
      <c r="Y1446" s="74">
        <f>Devis[[#This Row],[Poste 4]]*Devis[[#This Row],[Prix de Revient]]</f>
        <v>0</v>
      </c>
      <c r="Z1446" s="74">
        <f>Devis[[#This Row],[Poste 5]]*Devis[[#This Row],[Prix de Revient]]</f>
        <v>0</v>
      </c>
      <c r="AA1446" s="74">
        <f>Devis[[#This Row],[Prix de Revient]]*Devis[[#This Row],[Poste 6]]</f>
        <v>0</v>
      </c>
      <c r="AB1446" s="74">
        <f>Devis[[#This Row],[Quantité Totale]]*Devis[[#This Row],[Prix de Revient]]</f>
        <v>0</v>
      </c>
    </row>
    <row r="1447" spans="1:28" ht="14.25" outlineLevel="1" x14ac:dyDescent="0.2">
      <c r="A1447" s="75" t="s">
        <v>3557</v>
      </c>
      <c r="B1447" s="76" t="s">
        <v>1156</v>
      </c>
      <c r="C1447" s="76"/>
      <c r="D1447" s="81" t="str">
        <f t="shared" si="26"/>
        <v>GalvaManchons réduits FM 246 (Tulippe)</v>
      </c>
      <c r="E1447" s="80" t="s">
        <v>1101</v>
      </c>
      <c r="F1447" s="81">
        <v>9</v>
      </c>
      <c r="G1447" s="86" t="s">
        <v>1188</v>
      </c>
      <c r="H1447" s="71"/>
      <c r="I1447" s="75"/>
      <c r="J1447" s="70">
        <f>IFERROR(VLOOKUP(Devis[[#This Row],[Ref Air Flux]],#REF!,3,FALSE),0)</f>
        <v>0</v>
      </c>
      <c r="K1447" s="68"/>
      <c r="L1447" s="68"/>
      <c r="M1447" s="68"/>
      <c r="N1447" s="68"/>
      <c r="O1447" s="68"/>
      <c r="P1447" s="68"/>
      <c r="Q1447" s="68">
        <f>SUM(Devis[[#This Row],[Poste 1]:[Poste 6]])</f>
        <v>0</v>
      </c>
      <c r="R1447" s="71"/>
      <c r="S1447" s="68">
        <f>_xlfn.CEILING.MATH(Devis[[#This Row],[Quantité Totale]],Devis[[#This Row],[Conditionnement]])</f>
        <v>0</v>
      </c>
      <c r="T1447" s="72"/>
      <c r="U1447" s="106"/>
      <c r="V1447" s="74">
        <f>Devis[[#This Row],[Prix de Revient]]*Devis[[#This Row],[Poste 1]]</f>
        <v>0</v>
      </c>
      <c r="W1447" s="74">
        <f>Devis[[#This Row],[Prix de Revient]]*Devis[[#This Row],[Poste 2]]</f>
        <v>0</v>
      </c>
      <c r="X1447" s="74">
        <f>Devis[[#This Row],[Prix de Revient]]*Devis[[#This Row],[Poste 3]]</f>
        <v>0</v>
      </c>
      <c r="Y1447" s="74">
        <f>Devis[[#This Row],[Poste 4]]*Devis[[#This Row],[Prix de Revient]]</f>
        <v>0</v>
      </c>
      <c r="Z1447" s="74">
        <f>Devis[[#This Row],[Poste 5]]*Devis[[#This Row],[Prix de Revient]]</f>
        <v>0</v>
      </c>
      <c r="AA1447" s="74">
        <f>Devis[[#This Row],[Prix de Revient]]*Devis[[#This Row],[Poste 6]]</f>
        <v>0</v>
      </c>
      <c r="AB1447" s="74">
        <f>Devis[[#This Row],[Quantité Totale]]*Devis[[#This Row],[Prix de Revient]]</f>
        <v>0</v>
      </c>
    </row>
    <row r="1448" spans="1:28" ht="14.25" outlineLevel="1" x14ac:dyDescent="0.2">
      <c r="A1448" s="75" t="s">
        <v>3557</v>
      </c>
      <c r="B1448" s="76" t="s">
        <v>1156</v>
      </c>
      <c r="C1448" s="76"/>
      <c r="D1448" s="81" t="str">
        <f t="shared" si="26"/>
        <v>GalvaManchons réduits FM 246 (Tulippe)</v>
      </c>
      <c r="E1448" s="76" t="s">
        <v>1103</v>
      </c>
      <c r="F1448" s="81">
        <v>10</v>
      </c>
      <c r="G1448" s="86" t="s">
        <v>1189</v>
      </c>
      <c r="H1448" s="71"/>
      <c r="I1448" s="75"/>
      <c r="J1448" s="70">
        <f>IFERROR(VLOOKUP(Devis[[#This Row],[Ref Air Flux]],#REF!,3,FALSE),0)</f>
        <v>0</v>
      </c>
      <c r="K1448" s="68"/>
      <c r="L1448" s="68"/>
      <c r="M1448" s="68"/>
      <c r="N1448" s="68"/>
      <c r="O1448" s="68"/>
      <c r="P1448" s="68"/>
      <c r="Q1448" s="68">
        <f>SUM(Devis[[#This Row],[Poste 1]:[Poste 6]])</f>
        <v>0</v>
      </c>
      <c r="R1448" s="71"/>
      <c r="S1448" s="68">
        <f>_xlfn.CEILING.MATH(Devis[[#This Row],[Quantité Totale]],Devis[[#This Row],[Conditionnement]])</f>
        <v>0</v>
      </c>
      <c r="T1448" s="72"/>
      <c r="U1448" s="106"/>
      <c r="V1448" s="74">
        <f>Devis[[#This Row],[Prix de Revient]]*Devis[[#This Row],[Poste 1]]</f>
        <v>0</v>
      </c>
      <c r="W1448" s="74">
        <f>Devis[[#This Row],[Prix de Revient]]*Devis[[#This Row],[Poste 2]]</f>
        <v>0</v>
      </c>
      <c r="X1448" s="74">
        <f>Devis[[#This Row],[Prix de Revient]]*Devis[[#This Row],[Poste 3]]</f>
        <v>0</v>
      </c>
      <c r="Y1448" s="74">
        <f>Devis[[#This Row],[Poste 4]]*Devis[[#This Row],[Prix de Revient]]</f>
        <v>0</v>
      </c>
      <c r="Z1448" s="74">
        <f>Devis[[#This Row],[Poste 5]]*Devis[[#This Row],[Prix de Revient]]</f>
        <v>0</v>
      </c>
      <c r="AA1448" s="74">
        <f>Devis[[#This Row],[Prix de Revient]]*Devis[[#This Row],[Poste 6]]</f>
        <v>0</v>
      </c>
      <c r="AB1448" s="74">
        <f>Devis[[#This Row],[Quantité Totale]]*Devis[[#This Row],[Prix de Revient]]</f>
        <v>0</v>
      </c>
    </row>
    <row r="1449" spans="1:28" ht="14.25" outlineLevel="1" x14ac:dyDescent="0.2">
      <c r="A1449" s="75" t="s">
        <v>3557</v>
      </c>
      <c r="B1449" s="76" t="s">
        <v>1156</v>
      </c>
      <c r="C1449" s="76"/>
      <c r="D1449" s="81" t="str">
        <f t="shared" si="26"/>
        <v>GalvaManchons réduits FM 246 (Tulippe)</v>
      </c>
      <c r="E1449" s="80" t="s">
        <v>27</v>
      </c>
      <c r="F1449" s="81">
        <v>11</v>
      </c>
      <c r="G1449" s="86" t="s">
        <v>1187</v>
      </c>
      <c r="H1449" s="71"/>
      <c r="I1449" s="75"/>
      <c r="J1449" s="70">
        <f>IFERROR(VLOOKUP(Devis[[#This Row],[Ref Air Flux]],#REF!,3,FALSE),0)</f>
        <v>0</v>
      </c>
      <c r="K1449" s="68"/>
      <c r="L1449" s="68"/>
      <c r="M1449" s="68"/>
      <c r="N1449" s="68"/>
      <c r="O1449" s="68"/>
      <c r="P1449" s="68"/>
      <c r="Q1449" s="68">
        <f>SUM(Devis[[#This Row],[Poste 1]:[Poste 6]])</f>
        <v>0</v>
      </c>
      <c r="R1449" s="71"/>
      <c r="S1449" s="68">
        <f>_xlfn.CEILING.MATH(Devis[[#This Row],[Quantité Totale]],Devis[[#This Row],[Conditionnement]])</f>
        <v>0</v>
      </c>
      <c r="T1449" s="72"/>
      <c r="U1449" s="106"/>
      <c r="V1449" s="74">
        <f>Devis[[#This Row],[Prix de Revient]]*Devis[[#This Row],[Poste 1]]</f>
        <v>0</v>
      </c>
      <c r="W1449" s="74">
        <f>Devis[[#This Row],[Prix de Revient]]*Devis[[#This Row],[Poste 2]]</f>
        <v>0</v>
      </c>
      <c r="X1449" s="74">
        <f>Devis[[#This Row],[Prix de Revient]]*Devis[[#This Row],[Poste 3]]</f>
        <v>0</v>
      </c>
      <c r="Y1449" s="74">
        <f>Devis[[#This Row],[Poste 4]]*Devis[[#This Row],[Prix de Revient]]</f>
        <v>0</v>
      </c>
      <c r="Z1449" s="74">
        <f>Devis[[#This Row],[Poste 5]]*Devis[[#This Row],[Prix de Revient]]</f>
        <v>0</v>
      </c>
      <c r="AA1449" s="74">
        <f>Devis[[#This Row],[Prix de Revient]]*Devis[[#This Row],[Poste 6]]</f>
        <v>0</v>
      </c>
      <c r="AB1449" s="74">
        <f>Devis[[#This Row],[Quantité Totale]]*Devis[[#This Row],[Prix de Revient]]</f>
        <v>0</v>
      </c>
    </row>
    <row r="1450" spans="1:28" ht="14.25" outlineLevel="1" x14ac:dyDescent="0.2">
      <c r="A1450" s="75" t="s">
        <v>3557</v>
      </c>
      <c r="B1450" s="76" t="s">
        <v>1156</v>
      </c>
      <c r="C1450" s="76"/>
      <c r="D1450" s="81" t="str">
        <f t="shared" si="26"/>
        <v>GalvaManchons réduits FM 246 (Tulippe)</v>
      </c>
      <c r="E1450" s="80" t="s">
        <v>29</v>
      </c>
      <c r="F1450" s="81">
        <v>12</v>
      </c>
      <c r="G1450" s="86" t="s">
        <v>1181</v>
      </c>
      <c r="H1450" s="71"/>
      <c r="I1450" s="75"/>
      <c r="J1450" s="70">
        <f>IFERROR(VLOOKUP(Devis[[#This Row],[Ref Air Flux]],#REF!,3,FALSE),0)</f>
        <v>0</v>
      </c>
      <c r="K1450" s="68"/>
      <c r="L1450" s="68"/>
      <c r="M1450" s="68"/>
      <c r="N1450" s="68"/>
      <c r="O1450" s="68"/>
      <c r="P1450" s="68"/>
      <c r="Q1450" s="68">
        <f>SUM(Devis[[#This Row],[Poste 1]:[Poste 6]])</f>
        <v>0</v>
      </c>
      <c r="R1450" s="71"/>
      <c r="S1450" s="68">
        <f>_xlfn.CEILING.MATH(Devis[[#This Row],[Quantité Totale]],Devis[[#This Row],[Conditionnement]])</f>
        <v>0</v>
      </c>
      <c r="T1450" s="72"/>
      <c r="U1450" s="106"/>
      <c r="V1450" s="74">
        <f>Devis[[#This Row],[Prix de Revient]]*Devis[[#This Row],[Poste 1]]</f>
        <v>0</v>
      </c>
      <c r="W1450" s="74">
        <f>Devis[[#This Row],[Prix de Revient]]*Devis[[#This Row],[Poste 2]]</f>
        <v>0</v>
      </c>
      <c r="X1450" s="74">
        <f>Devis[[#This Row],[Prix de Revient]]*Devis[[#This Row],[Poste 3]]</f>
        <v>0</v>
      </c>
      <c r="Y1450" s="74">
        <f>Devis[[#This Row],[Poste 4]]*Devis[[#This Row],[Prix de Revient]]</f>
        <v>0</v>
      </c>
      <c r="Z1450" s="74">
        <f>Devis[[#This Row],[Poste 5]]*Devis[[#This Row],[Prix de Revient]]</f>
        <v>0</v>
      </c>
      <c r="AA1450" s="74">
        <f>Devis[[#This Row],[Prix de Revient]]*Devis[[#This Row],[Poste 6]]</f>
        <v>0</v>
      </c>
      <c r="AB1450" s="74">
        <f>Devis[[#This Row],[Quantité Totale]]*Devis[[#This Row],[Prix de Revient]]</f>
        <v>0</v>
      </c>
    </row>
    <row r="1451" spans="1:28" ht="14.25" outlineLevel="1" x14ac:dyDescent="0.2">
      <c r="A1451" s="75" t="s">
        <v>3557</v>
      </c>
      <c r="B1451" s="76" t="s">
        <v>1156</v>
      </c>
      <c r="C1451" s="76"/>
      <c r="D1451" s="81" t="str">
        <f t="shared" si="26"/>
        <v>GalvaManchons réduits FM 246 (Tulippe)</v>
      </c>
      <c r="E1451" s="76" t="s">
        <v>1093</v>
      </c>
      <c r="F1451" s="81">
        <v>13</v>
      </c>
      <c r="G1451" s="86" t="s">
        <v>1183</v>
      </c>
      <c r="H1451" s="71"/>
      <c r="I1451" s="75"/>
      <c r="J1451" s="70">
        <f>IFERROR(VLOOKUP(Devis[[#This Row],[Ref Air Flux]],#REF!,3,FALSE),0)</f>
        <v>0</v>
      </c>
      <c r="K1451" s="68"/>
      <c r="L1451" s="68"/>
      <c r="M1451" s="68"/>
      <c r="N1451" s="68"/>
      <c r="O1451" s="68"/>
      <c r="P1451" s="68"/>
      <c r="Q1451" s="68">
        <f>SUM(Devis[[#This Row],[Poste 1]:[Poste 6]])</f>
        <v>0</v>
      </c>
      <c r="R1451" s="71"/>
      <c r="S1451" s="68">
        <f>_xlfn.CEILING.MATH(Devis[[#This Row],[Quantité Totale]],Devis[[#This Row],[Conditionnement]])</f>
        <v>0</v>
      </c>
      <c r="T1451" s="72"/>
      <c r="U1451" s="106"/>
      <c r="V1451" s="74">
        <f>Devis[[#This Row],[Prix de Revient]]*Devis[[#This Row],[Poste 1]]</f>
        <v>0</v>
      </c>
      <c r="W1451" s="74">
        <f>Devis[[#This Row],[Prix de Revient]]*Devis[[#This Row],[Poste 2]]</f>
        <v>0</v>
      </c>
      <c r="X1451" s="74">
        <f>Devis[[#This Row],[Prix de Revient]]*Devis[[#This Row],[Poste 3]]</f>
        <v>0</v>
      </c>
      <c r="Y1451" s="74">
        <f>Devis[[#This Row],[Poste 4]]*Devis[[#This Row],[Prix de Revient]]</f>
        <v>0</v>
      </c>
      <c r="Z1451" s="74">
        <f>Devis[[#This Row],[Poste 5]]*Devis[[#This Row],[Prix de Revient]]</f>
        <v>0</v>
      </c>
      <c r="AA1451" s="74">
        <f>Devis[[#This Row],[Prix de Revient]]*Devis[[#This Row],[Poste 6]]</f>
        <v>0</v>
      </c>
      <c r="AB1451" s="74">
        <f>Devis[[#This Row],[Quantité Totale]]*Devis[[#This Row],[Prix de Revient]]</f>
        <v>0</v>
      </c>
    </row>
    <row r="1452" spans="1:28" ht="14.25" outlineLevel="1" x14ac:dyDescent="0.2">
      <c r="A1452" s="75" t="s">
        <v>3557</v>
      </c>
      <c r="B1452" s="76" t="s">
        <v>1156</v>
      </c>
      <c r="C1452" s="76"/>
      <c r="D1452" s="81" t="str">
        <f t="shared" si="26"/>
        <v>GalvaManchons réduits FM 246 (Tulippe)</v>
      </c>
      <c r="E1452" s="76" t="s">
        <v>1192</v>
      </c>
      <c r="F1452" s="81">
        <v>14</v>
      </c>
      <c r="G1452" s="86" t="s">
        <v>1193</v>
      </c>
      <c r="H1452" s="71"/>
      <c r="I1452" s="75"/>
      <c r="J1452" s="70">
        <f>IFERROR(VLOOKUP(Devis[[#This Row],[Ref Air Flux]],#REF!,3,FALSE),0)</f>
        <v>0</v>
      </c>
      <c r="K1452" s="68"/>
      <c r="L1452" s="68"/>
      <c r="M1452" s="68"/>
      <c r="N1452" s="68"/>
      <c r="O1452" s="68"/>
      <c r="P1452" s="68"/>
      <c r="Q1452" s="68">
        <f>SUM(Devis[[#This Row],[Poste 1]:[Poste 6]])</f>
        <v>0</v>
      </c>
      <c r="R1452" s="71"/>
      <c r="S1452" s="68">
        <f>_xlfn.CEILING.MATH(Devis[[#This Row],[Quantité Totale]],Devis[[#This Row],[Conditionnement]])</f>
        <v>0</v>
      </c>
      <c r="T1452" s="72"/>
      <c r="U1452" s="106"/>
      <c r="V1452" s="74">
        <f>Devis[[#This Row],[Prix de Revient]]*Devis[[#This Row],[Poste 1]]</f>
        <v>0</v>
      </c>
      <c r="W1452" s="74">
        <f>Devis[[#This Row],[Prix de Revient]]*Devis[[#This Row],[Poste 2]]</f>
        <v>0</v>
      </c>
      <c r="X1452" s="74">
        <f>Devis[[#This Row],[Prix de Revient]]*Devis[[#This Row],[Poste 3]]</f>
        <v>0</v>
      </c>
      <c r="Y1452" s="74">
        <f>Devis[[#This Row],[Poste 4]]*Devis[[#This Row],[Prix de Revient]]</f>
        <v>0</v>
      </c>
      <c r="Z1452" s="74">
        <f>Devis[[#This Row],[Poste 5]]*Devis[[#This Row],[Prix de Revient]]</f>
        <v>0</v>
      </c>
      <c r="AA1452" s="74">
        <f>Devis[[#This Row],[Prix de Revient]]*Devis[[#This Row],[Poste 6]]</f>
        <v>0</v>
      </c>
      <c r="AB1452" s="74">
        <f>Devis[[#This Row],[Quantité Totale]]*Devis[[#This Row],[Prix de Revient]]</f>
        <v>0</v>
      </c>
    </row>
    <row r="1453" spans="1:28" ht="14.25" outlineLevel="1" x14ac:dyDescent="0.2">
      <c r="A1453" s="75" t="s">
        <v>3557</v>
      </c>
      <c r="B1453" s="76" t="s">
        <v>1156</v>
      </c>
      <c r="C1453" s="76"/>
      <c r="D1453" s="81" t="str">
        <f t="shared" si="26"/>
        <v>GalvaManchons réduits FM 246 (Tulippe)</v>
      </c>
      <c r="E1453" s="80" t="s">
        <v>1071</v>
      </c>
      <c r="F1453" s="81">
        <v>15</v>
      </c>
      <c r="G1453" s="86" t="s">
        <v>1171</v>
      </c>
      <c r="H1453" s="71"/>
      <c r="I1453" s="75"/>
      <c r="J1453" s="70">
        <f>IFERROR(VLOOKUP(Devis[[#This Row],[Ref Air Flux]],#REF!,3,FALSE),0)</f>
        <v>0</v>
      </c>
      <c r="K1453" s="68"/>
      <c r="L1453" s="68"/>
      <c r="M1453" s="68"/>
      <c r="N1453" s="68"/>
      <c r="O1453" s="68"/>
      <c r="P1453" s="68"/>
      <c r="Q1453" s="68">
        <f>SUM(Devis[[#This Row],[Poste 1]:[Poste 6]])</f>
        <v>0</v>
      </c>
      <c r="R1453" s="71"/>
      <c r="S1453" s="68">
        <f>_xlfn.CEILING.MATH(Devis[[#This Row],[Quantité Totale]],Devis[[#This Row],[Conditionnement]])</f>
        <v>0</v>
      </c>
      <c r="T1453" s="72"/>
      <c r="U1453" s="106"/>
      <c r="V1453" s="74">
        <f>Devis[[#This Row],[Prix de Revient]]*Devis[[#This Row],[Poste 1]]</f>
        <v>0</v>
      </c>
      <c r="W1453" s="74">
        <f>Devis[[#This Row],[Prix de Revient]]*Devis[[#This Row],[Poste 2]]</f>
        <v>0</v>
      </c>
      <c r="X1453" s="74">
        <f>Devis[[#This Row],[Prix de Revient]]*Devis[[#This Row],[Poste 3]]</f>
        <v>0</v>
      </c>
      <c r="Y1453" s="74">
        <f>Devis[[#This Row],[Poste 4]]*Devis[[#This Row],[Prix de Revient]]</f>
        <v>0</v>
      </c>
      <c r="Z1453" s="74">
        <f>Devis[[#This Row],[Poste 5]]*Devis[[#This Row],[Prix de Revient]]</f>
        <v>0</v>
      </c>
      <c r="AA1453" s="74">
        <f>Devis[[#This Row],[Prix de Revient]]*Devis[[#This Row],[Poste 6]]</f>
        <v>0</v>
      </c>
      <c r="AB1453" s="74">
        <f>Devis[[#This Row],[Quantité Totale]]*Devis[[#This Row],[Prix de Revient]]</f>
        <v>0</v>
      </c>
    </row>
    <row r="1454" spans="1:28" ht="14.25" outlineLevel="1" x14ac:dyDescent="0.2">
      <c r="A1454" s="75" t="s">
        <v>3557</v>
      </c>
      <c r="B1454" s="76" t="s">
        <v>1156</v>
      </c>
      <c r="C1454" s="76"/>
      <c r="D1454" s="81" t="str">
        <f t="shared" si="26"/>
        <v>GalvaManchons réduits FM 246 (Tulippe)</v>
      </c>
      <c r="E1454" s="80" t="s">
        <v>1067</v>
      </c>
      <c r="F1454" s="81">
        <v>16</v>
      </c>
      <c r="G1454" s="86" t="s">
        <v>1169</v>
      </c>
      <c r="H1454" s="71"/>
      <c r="I1454" s="75"/>
      <c r="J1454" s="70">
        <f>IFERROR(VLOOKUP(Devis[[#This Row],[Ref Air Flux]],#REF!,3,FALSE),0)</f>
        <v>0</v>
      </c>
      <c r="K1454" s="68"/>
      <c r="L1454" s="68"/>
      <c r="M1454" s="68"/>
      <c r="N1454" s="68"/>
      <c r="O1454" s="68"/>
      <c r="P1454" s="68"/>
      <c r="Q1454" s="68">
        <f>SUM(Devis[[#This Row],[Poste 1]:[Poste 6]])</f>
        <v>0</v>
      </c>
      <c r="R1454" s="71"/>
      <c r="S1454" s="68">
        <f>_xlfn.CEILING.MATH(Devis[[#This Row],[Quantité Totale]],Devis[[#This Row],[Conditionnement]])</f>
        <v>0</v>
      </c>
      <c r="T1454" s="72"/>
      <c r="U1454" s="106"/>
      <c r="V1454" s="74">
        <f>Devis[[#This Row],[Prix de Revient]]*Devis[[#This Row],[Poste 1]]</f>
        <v>0</v>
      </c>
      <c r="W1454" s="74">
        <f>Devis[[#This Row],[Prix de Revient]]*Devis[[#This Row],[Poste 2]]</f>
        <v>0</v>
      </c>
      <c r="X1454" s="74">
        <f>Devis[[#This Row],[Prix de Revient]]*Devis[[#This Row],[Poste 3]]</f>
        <v>0</v>
      </c>
      <c r="Y1454" s="74">
        <f>Devis[[#This Row],[Poste 4]]*Devis[[#This Row],[Prix de Revient]]</f>
        <v>0</v>
      </c>
      <c r="Z1454" s="74">
        <f>Devis[[#This Row],[Poste 5]]*Devis[[#This Row],[Prix de Revient]]</f>
        <v>0</v>
      </c>
      <c r="AA1454" s="74">
        <f>Devis[[#This Row],[Prix de Revient]]*Devis[[#This Row],[Poste 6]]</f>
        <v>0</v>
      </c>
      <c r="AB1454" s="74">
        <f>Devis[[#This Row],[Quantité Totale]]*Devis[[#This Row],[Prix de Revient]]</f>
        <v>0</v>
      </c>
    </row>
    <row r="1455" spans="1:28" ht="14.25" outlineLevel="1" x14ac:dyDescent="0.2">
      <c r="A1455" s="75" t="s">
        <v>3557</v>
      </c>
      <c r="B1455" s="76" t="s">
        <v>1156</v>
      </c>
      <c r="C1455" s="76"/>
      <c r="D1455" s="81" t="str">
        <f t="shared" si="26"/>
        <v>GalvaManchons réduits FM 246 (Tulippe)</v>
      </c>
      <c r="E1455" s="80" t="s">
        <v>1069</v>
      </c>
      <c r="F1455" s="81">
        <v>17</v>
      </c>
      <c r="G1455" s="86" t="s">
        <v>1170</v>
      </c>
      <c r="H1455" s="71"/>
      <c r="I1455" s="75"/>
      <c r="J1455" s="70">
        <f>IFERROR(VLOOKUP(Devis[[#This Row],[Ref Air Flux]],#REF!,3,FALSE),0)</f>
        <v>0</v>
      </c>
      <c r="K1455" s="68"/>
      <c r="L1455" s="68"/>
      <c r="M1455" s="68"/>
      <c r="N1455" s="68"/>
      <c r="O1455" s="68"/>
      <c r="P1455" s="68"/>
      <c r="Q1455" s="68">
        <f>SUM(Devis[[#This Row],[Poste 1]:[Poste 6]])</f>
        <v>0</v>
      </c>
      <c r="R1455" s="71"/>
      <c r="S1455" s="68">
        <f>_xlfn.CEILING.MATH(Devis[[#This Row],[Quantité Totale]],Devis[[#This Row],[Conditionnement]])</f>
        <v>0</v>
      </c>
      <c r="T1455" s="72"/>
      <c r="U1455" s="106"/>
      <c r="V1455" s="74">
        <f>Devis[[#This Row],[Prix de Revient]]*Devis[[#This Row],[Poste 1]]</f>
        <v>0</v>
      </c>
      <c r="W1455" s="74">
        <f>Devis[[#This Row],[Prix de Revient]]*Devis[[#This Row],[Poste 2]]</f>
        <v>0</v>
      </c>
      <c r="X1455" s="74">
        <f>Devis[[#This Row],[Prix de Revient]]*Devis[[#This Row],[Poste 3]]</f>
        <v>0</v>
      </c>
      <c r="Y1455" s="74">
        <f>Devis[[#This Row],[Poste 4]]*Devis[[#This Row],[Prix de Revient]]</f>
        <v>0</v>
      </c>
      <c r="Z1455" s="74">
        <f>Devis[[#This Row],[Poste 5]]*Devis[[#This Row],[Prix de Revient]]</f>
        <v>0</v>
      </c>
      <c r="AA1455" s="74">
        <f>Devis[[#This Row],[Prix de Revient]]*Devis[[#This Row],[Poste 6]]</f>
        <v>0</v>
      </c>
      <c r="AB1455" s="74">
        <f>Devis[[#This Row],[Quantité Totale]]*Devis[[#This Row],[Prix de Revient]]</f>
        <v>0</v>
      </c>
    </row>
    <row r="1456" spans="1:28" ht="14.25" outlineLevel="1" x14ac:dyDescent="0.2">
      <c r="A1456" s="75" t="s">
        <v>3557</v>
      </c>
      <c r="B1456" s="76" t="s">
        <v>1156</v>
      </c>
      <c r="C1456" s="76"/>
      <c r="D1456" s="81" t="str">
        <f t="shared" si="26"/>
        <v>GalvaManchons réduits FM 246 (Tulippe)</v>
      </c>
      <c r="E1456" s="80" t="s">
        <v>1075</v>
      </c>
      <c r="F1456" s="81">
        <v>18</v>
      </c>
      <c r="G1456" s="86" t="s">
        <v>1173</v>
      </c>
      <c r="H1456" s="71"/>
      <c r="I1456" s="75"/>
      <c r="J1456" s="70">
        <f>IFERROR(VLOOKUP(Devis[[#This Row],[Ref Air Flux]],#REF!,3,FALSE),0)</f>
        <v>0</v>
      </c>
      <c r="K1456" s="68"/>
      <c r="L1456" s="68"/>
      <c r="M1456" s="68"/>
      <c r="N1456" s="68"/>
      <c r="O1456" s="68"/>
      <c r="P1456" s="68"/>
      <c r="Q1456" s="68">
        <f>SUM(Devis[[#This Row],[Poste 1]:[Poste 6]])</f>
        <v>0</v>
      </c>
      <c r="R1456" s="71"/>
      <c r="S1456" s="68">
        <f>_xlfn.CEILING.MATH(Devis[[#This Row],[Quantité Totale]],Devis[[#This Row],[Conditionnement]])</f>
        <v>0</v>
      </c>
      <c r="T1456" s="72"/>
      <c r="U1456" s="106"/>
      <c r="V1456" s="74">
        <f>Devis[[#This Row],[Prix de Revient]]*Devis[[#This Row],[Poste 1]]</f>
        <v>0</v>
      </c>
      <c r="W1456" s="74">
        <f>Devis[[#This Row],[Prix de Revient]]*Devis[[#This Row],[Poste 2]]</f>
        <v>0</v>
      </c>
      <c r="X1456" s="74">
        <f>Devis[[#This Row],[Prix de Revient]]*Devis[[#This Row],[Poste 3]]</f>
        <v>0</v>
      </c>
      <c r="Y1456" s="74">
        <f>Devis[[#This Row],[Poste 4]]*Devis[[#This Row],[Prix de Revient]]</f>
        <v>0</v>
      </c>
      <c r="Z1456" s="74">
        <f>Devis[[#This Row],[Poste 5]]*Devis[[#This Row],[Prix de Revient]]</f>
        <v>0</v>
      </c>
      <c r="AA1456" s="74">
        <f>Devis[[#This Row],[Prix de Revient]]*Devis[[#This Row],[Poste 6]]</f>
        <v>0</v>
      </c>
      <c r="AB1456" s="74">
        <f>Devis[[#This Row],[Quantité Totale]]*Devis[[#This Row],[Prix de Revient]]</f>
        <v>0</v>
      </c>
    </row>
    <row r="1457" spans="1:28" ht="14.25" outlineLevel="1" x14ac:dyDescent="0.2">
      <c r="A1457" s="75" t="s">
        <v>3557</v>
      </c>
      <c r="B1457" s="76" t="s">
        <v>1156</v>
      </c>
      <c r="C1457" s="76"/>
      <c r="D1457" s="81" t="str">
        <f t="shared" si="26"/>
        <v>GalvaManchons réduits FM 246 (Tulippe)</v>
      </c>
      <c r="E1457" s="80" t="s">
        <v>1063</v>
      </c>
      <c r="F1457" s="81">
        <v>19</v>
      </c>
      <c r="G1457" s="86" t="s">
        <v>1167</v>
      </c>
      <c r="H1457" s="71"/>
      <c r="I1457" s="75"/>
      <c r="J1457" s="70">
        <f>IFERROR(VLOOKUP(Devis[[#This Row],[Ref Air Flux]],#REF!,3,FALSE),0)</f>
        <v>0</v>
      </c>
      <c r="K1457" s="68"/>
      <c r="L1457" s="68"/>
      <c r="M1457" s="68"/>
      <c r="N1457" s="68"/>
      <c r="O1457" s="68"/>
      <c r="P1457" s="68"/>
      <c r="Q1457" s="68">
        <f>SUM(Devis[[#This Row],[Poste 1]:[Poste 6]])</f>
        <v>0</v>
      </c>
      <c r="R1457" s="71"/>
      <c r="S1457" s="68">
        <f>_xlfn.CEILING.MATH(Devis[[#This Row],[Quantité Totale]],Devis[[#This Row],[Conditionnement]])</f>
        <v>0</v>
      </c>
      <c r="T1457" s="72"/>
      <c r="U1457" s="106"/>
      <c r="V1457" s="74">
        <f>Devis[[#This Row],[Prix de Revient]]*Devis[[#This Row],[Poste 1]]</f>
        <v>0</v>
      </c>
      <c r="W1457" s="74">
        <f>Devis[[#This Row],[Prix de Revient]]*Devis[[#This Row],[Poste 2]]</f>
        <v>0</v>
      </c>
      <c r="X1457" s="74">
        <f>Devis[[#This Row],[Prix de Revient]]*Devis[[#This Row],[Poste 3]]</f>
        <v>0</v>
      </c>
      <c r="Y1457" s="74">
        <f>Devis[[#This Row],[Poste 4]]*Devis[[#This Row],[Prix de Revient]]</f>
        <v>0</v>
      </c>
      <c r="Z1457" s="74">
        <f>Devis[[#This Row],[Poste 5]]*Devis[[#This Row],[Prix de Revient]]</f>
        <v>0</v>
      </c>
      <c r="AA1457" s="74">
        <f>Devis[[#This Row],[Prix de Revient]]*Devis[[#This Row],[Poste 6]]</f>
        <v>0</v>
      </c>
      <c r="AB1457" s="74">
        <f>Devis[[#This Row],[Quantité Totale]]*Devis[[#This Row],[Prix de Revient]]</f>
        <v>0</v>
      </c>
    </row>
    <row r="1458" spans="1:28" ht="14.25" outlineLevel="1" x14ac:dyDescent="0.2">
      <c r="A1458" s="75" t="s">
        <v>3557</v>
      </c>
      <c r="B1458" s="76" t="s">
        <v>1156</v>
      </c>
      <c r="C1458" s="76"/>
      <c r="D1458" s="81" t="str">
        <f t="shared" si="26"/>
        <v>GalvaManchons réduits FM 246 (Tulippe)</v>
      </c>
      <c r="E1458" s="80" t="s">
        <v>1065</v>
      </c>
      <c r="F1458" s="81">
        <v>20</v>
      </c>
      <c r="G1458" s="86" t="s">
        <v>1168</v>
      </c>
      <c r="H1458" s="71"/>
      <c r="I1458" s="75"/>
      <c r="J1458" s="70">
        <f>IFERROR(VLOOKUP(Devis[[#This Row],[Ref Air Flux]],#REF!,3,FALSE),0)</f>
        <v>0</v>
      </c>
      <c r="K1458" s="68"/>
      <c r="L1458" s="68"/>
      <c r="M1458" s="68"/>
      <c r="N1458" s="68"/>
      <c r="O1458" s="68"/>
      <c r="P1458" s="68"/>
      <c r="Q1458" s="68">
        <f>SUM(Devis[[#This Row],[Poste 1]:[Poste 6]])</f>
        <v>0</v>
      </c>
      <c r="R1458" s="71"/>
      <c r="S1458" s="68">
        <f>_xlfn.CEILING.MATH(Devis[[#This Row],[Quantité Totale]],Devis[[#This Row],[Conditionnement]])</f>
        <v>0</v>
      </c>
      <c r="T1458" s="72"/>
      <c r="U1458" s="106"/>
      <c r="V1458" s="74">
        <f>Devis[[#This Row],[Prix de Revient]]*Devis[[#This Row],[Poste 1]]</f>
        <v>0</v>
      </c>
      <c r="W1458" s="74">
        <f>Devis[[#This Row],[Prix de Revient]]*Devis[[#This Row],[Poste 2]]</f>
        <v>0</v>
      </c>
      <c r="X1458" s="74">
        <f>Devis[[#This Row],[Prix de Revient]]*Devis[[#This Row],[Poste 3]]</f>
        <v>0</v>
      </c>
      <c r="Y1458" s="74">
        <f>Devis[[#This Row],[Poste 4]]*Devis[[#This Row],[Prix de Revient]]</f>
        <v>0</v>
      </c>
      <c r="Z1458" s="74">
        <f>Devis[[#This Row],[Poste 5]]*Devis[[#This Row],[Prix de Revient]]</f>
        <v>0</v>
      </c>
      <c r="AA1458" s="74">
        <f>Devis[[#This Row],[Prix de Revient]]*Devis[[#This Row],[Poste 6]]</f>
        <v>0</v>
      </c>
      <c r="AB1458" s="74">
        <f>Devis[[#This Row],[Quantité Totale]]*Devis[[#This Row],[Prix de Revient]]</f>
        <v>0</v>
      </c>
    </row>
    <row r="1459" spans="1:28" ht="14.25" outlineLevel="1" x14ac:dyDescent="0.2">
      <c r="A1459" s="75" t="s">
        <v>3557</v>
      </c>
      <c r="B1459" s="76" t="s">
        <v>1156</v>
      </c>
      <c r="C1459" s="76"/>
      <c r="D1459" s="81" t="str">
        <f t="shared" si="26"/>
        <v>GalvaManchons réduits FM 246 (Tulippe)</v>
      </c>
      <c r="E1459" s="80" t="s">
        <v>1061</v>
      </c>
      <c r="F1459" s="81">
        <v>21</v>
      </c>
      <c r="G1459" s="86" t="s">
        <v>1166</v>
      </c>
      <c r="H1459" s="71"/>
      <c r="I1459" s="75"/>
      <c r="J1459" s="70">
        <f>IFERROR(VLOOKUP(Devis[[#This Row],[Ref Air Flux]],#REF!,3,FALSE),0)</f>
        <v>0</v>
      </c>
      <c r="K1459" s="68"/>
      <c r="L1459" s="68"/>
      <c r="M1459" s="68"/>
      <c r="N1459" s="68"/>
      <c r="O1459" s="68"/>
      <c r="P1459" s="68"/>
      <c r="Q1459" s="68">
        <f>SUM(Devis[[#This Row],[Poste 1]:[Poste 6]])</f>
        <v>0</v>
      </c>
      <c r="R1459" s="71"/>
      <c r="S1459" s="68">
        <f>_xlfn.CEILING.MATH(Devis[[#This Row],[Quantité Totale]],Devis[[#This Row],[Conditionnement]])</f>
        <v>0</v>
      </c>
      <c r="T1459" s="72"/>
      <c r="U1459" s="106"/>
      <c r="V1459" s="74">
        <f>Devis[[#This Row],[Prix de Revient]]*Devis[[#This Row],[Poste 1]]</f>
        <v>0</v>
      </c>
      <c r="W1459" s="74">
        <f>Devis[[#This Row],[Prix de Revient]]*Devis[[#This Row],[Poste 2]]</f>
        <v>0</v>
      </c>
      <c r="X1459" s="74">
        <f>Devis[[#This Row],[Prix de Revient]]*Devis[[#This Row],[Poste 3]]</f>
        <v>0</v>
      </c>
      <c r="Y1459" s="74">
        <f>Devis[[#This Row],[Poste 4]]*Devis[[#This Row],[Prix de Revient]]</f>
        <v>0</v>
      </c>
      <c r="Z1459" s="74">
        <f>Devis[[#This Row],[Poste 5]]*Devis[[#This Row],[Prix de Revient]]</f>
        <v>0</v>
      </c>
      <c r="AA1459" s="74">
        <f>Devis[[#This Row],[Prix de Revient]]*Devis[[#This Row],[Poste 6]]</f>
        <v>0</v>
      </c>
      <c r="AB1459" s="74">
        <f>Devis[[#This Row],[Quantité Totale]]*Devis[[#This Row],[Prix de Revient]]</f>
        <v>0</v>
      </c>
    </row>
    <row r="1460" spans="1:28" ht="14.25" outlineLevel="1" x14ac:dyDescent="0.2">
      <c r="A1460" s="75" t="s">
        <v>3557</v>
      </c>
      <c r="B1460" s="76" t="s">
        <v>1156</v>
      </c>
      <c r="C1460" s="76"/>
      <c r="D1460" s="81" t="str">
        <f t="shared" si="26"/>
        <v>GalvaManchons réduits FM 246 (Tulippe)</v>
      </c>
      <c r="E1460" s="80" t="s">
        <v>1073</v>
      </c>
      <c r="F1460" s="81">
        <v>22</v>
      </c>
      <c r="G1460" s="86" t="s">
        <v>1172</v>
      </c>
      <c r="H1460" s="71"/>
      <c r="I1460" s="75"/>
      <c r="J1460" s="70">
        <f>IFERROR(VLOOKUP(Devis[[#This Row],[Ref Air Flux]],#REF!,3,FALSE),0)</f>
        <v>0</v>
      </c>
      <c r="K1460" s="68"/>
      <c r="L1460" s="68"/>
      <c r="M1460" s="68"/>
      <c r="N1460" s="68"/>
      <c r="O1460" s="68"/>
      <c r="P1460" s="68"/>
      <c r="Q1460" s="68">
        <f>SUM(Devis[[#This Row],[Poste 1]:[Poste 6]])</f>
        <v>0</v>
      </c>
      <c r="R1460" s="71"/>
      <c r="S1460" s="68">
        <f>_xlfn.CEILING.MATH(Devis[[#This Row],[Quantité Totale]],Devis[[#This Row],[Conditionnement]])</f>
        <v>0</v>
      </c>
      <c r="T1460" s="72"/>
      <c r="U1460" s="106"/>
      <c r="V1460" s="74">
        <f>Devis[[#This Row],[Prix de Revient]]*Devis[[#This Row],[Poste 1]]</f>
        <v>0</v>
      </c>
      <c r="W1460" s="74">
        <f>Devis[[#This Row],[Prix de Revient]]*Devis[[#This Row],[Poste 2]]</f>
        <v>0</v>
      </c>
      <c r="X1460" s="74">
        <f>Devis[[#This Row],[Prix de Revient]]*Devis[[#This Row],[Poste 3]]</f>
        <v>0</v>
      </c>
      <c r="Y1460" s="74">
        <f>Devis[[#This Row],[Poste 4]]*Devis[[#This Row],[Prix de Revient]]</f>
        <v>0</v>
      </c>
      <c r="Z1460" s="74">
        <f>Devis[[#This Row],[Poste 5]]*Devis[[#This Row],[Prix de Revient]]</f>
        <v>0</v>
      </c>
      <c r="AA1460" s="74">
        <f>Devis[[#This Row],[Prix de Revient]]*Devis[[#This Row],[Poste 6]]</f>
        <v>0</v>
      </c>
      <c r="AB1460" s="74">
        <f>Devis[[#This Row],[Quantité Totale]]*Devis[[#This Row],[Prix de Revient]]</f>
        <v>0</v>
      </c>
    </row>
    <row r="1461" spans="1:28" ht="14.25" outlineLevel="1" x14ac:dyDescent="0.2">
      <c r="A1461" s="75" t="s">
        <v>3557</v>
      </c>
      <c r="B1461" s="76" t="s">
        <v>1156</v>
      </c>
      <c r="C1461" s="76"/>
      <c r="D1461" s="81" t="str">
        <f t="shared" si="26"/>
        <v>GalvaManchons réduits FM 246 (Tulippe)</v>
      </c>
      <c r="E1461" s="80" t="s">
        <v>1059</v>
      </c>
      <c r="F1461" s="81">
        <v>23</v>
      </c>
      <c r="G1461" s="86" t="s">
        <v>1165</v>
      </c>
      <c r="H1461" s="71"/>
      <c r="I1461" s="75"/>
      <c r="J1461" s="70">
        <f>IFERROR(VLOOKUP(Devis[[#This Row],[Ref Air Flux]],#REF!,3,FALSE),0)</f>
        <v>0</v>
      </c>
      <c r="K1461" s="68"/>
      <c r="L1461" s="68"/>
      <c r="M1461" s="68"/>
      <c r="N1461" s="68"/>
      <c r="O1461" s="68"/>
      <c r="P1461" s="68"/>
      <c r="Q1461" s="68">
        <f>SUM(Devis[[#This Row],[Poste 1]:[Poste 6]])</f>
        <v>0</v>
      </c>
      <c r="R1461" s="71"/>
      <c r="S1461" s="68">
        <f>_xlfn.CEILING.MATH(Devis[[#This Row],[Quantité Totale]],Devis[[#This Row],[Conditionnement]])</f>
        <v>0</v>
      </c>
      <c r="T1461" s="72"/>
      <c r="U1461" s="106"/>
      <c r="V1461" s="74">
        <f>Devis[[#This Row],[Prix de Revient]]*Devis[[#This Row],[Poste 1]]</f>
        <v>0</v>
      </c>
      <c r="W1461" s="74">
        <f>Devis[[#This Row],[Prix de Revient]]*Devis[[#This Row],[Poste 2]]</f>
        <v>0</v>
      </c>
      <c r="X1461" s="74">
        <f>Devis[[#This Row],[Prix de Revient]]*Devis[[#This Row],[Poste 3]]</f>
        <v>0</v>
      </c>
      <c r="Y1461" s="74">
        <f>Devis[[#This Row],[Poste 4]]*Devis[[#This Row],[Prix de Revient]]</f>
        <v>0</v>
      </c>
      <c r="Z1461" s="74">
        <f>Devis[[#This Row],[Poste 5]]*Devis[[#This Row],[Prix de Revient]]</f>
        <v>0</v>
      </c>
      <c r="AA1461" s="74">
        <f>Devis[[#This Row],[Prix de Revient]]*Devis[[#This Row],[Poste 6]]</f>
        <v>0</v>
      </c>
      <c r="AB1461" s="74">
        <f>Devis[[#This Row],[Quantité Totale]]*Devis[[#This Row],[Prix de Revient]]</f>
        <v>0</v>
      </c>
    </row>
    <row r="1462" spans="1:28" ht="15" customHeight="1" outlineLevel="1" x14ac:dyDescent="0.2">
      <c r="A1462" s="75" t="s">
        <v>3557</v>
      </c>
      <c r="B1462" s="76" t="s">
        <v>1156</v>
      </c>
      <c r="C1462" s="76"/>
      <c r="D1462" s="81" t="str">
        <f t="shared" si="26"/>
        <v>GalvaManchons réduits FM 246 (Tulippe)</v>
      </c>
      <c r="E1462" s="80" t="s">
        <v>1055</v>
      </c>
      <c r="F1462" s="81">
        <v>24</v>
      </c>
      <c r="G1462" s="86" t="s">
        <v>1163</v>
      </c>
      <c r="H1462" s="71"/>
      <c r="I1462" s="75"/>
      <c r="J1462" s="70">
        <f>IFERROR(VLOOKUP(Devis[[#This Row],[Ref Air Flux]],#REF!,3,FALSE),0)</f>
        <v>0</v>
      </c>
      <c r="K1462" s="68"/>
      <c r="L1462" s="68"/>
      <c r="M1462" s="68"/>
      <c r="N1462" s="68"/>
      <c r="O1462" s="68"/>
      <c r="P1462" s="68"/>
      <c r="Q1462" s="68">
        <f>SUM(Devis[[#This Row],[Poste 1]:[Poste 6]])</f>
        <v>0</v>
      </c>
      <c r="R1462" s="71"/>
      <c r="S1462" s="68">
        <f>_xlfn.CEILING.MATH(Devis[[#This Row],[Quantité Totale]],Devis[[#This Row],[Conditionnement]])</f>
        <v>0</v>
      </c>
      <c r="T1462" s="72"/>
      <c r="U1462" s="106"/>
      <c r="V1462" s="74">
        <f>Devis[[#This Row],[Prix de Revient]]*Devis[[#This Row],[Poste 1]]</f>
        <v>0</v>
      </c>
      <c r="W1462" s="74">
        <f>Devis[[#This Row],[Prix de Revient]]*Devis[[#This Row],[Poste 2]]</f>
        <v>0</v>
      </c>
      <c r="X1462" s="74">
        <f>Devis[[#This Row],[Prix de Revient]]*Devis[[#This Row],[Poste 3]]</f>
        <v>0</v>
      </c>
      <c r="Y1462" s="74">
        <f>Devis[[#This Row],[Poste 4]]*Devis[[#This Row],[Prix de Revient]]</f>
        <v>0</v>
      </c>
      <c r="Z1462" s="74">
        <f>Devis[[#This Row],[Poste 5]]*Devis[[#This Row],[Prix de Revient]]</f>
        <v>0</v>
      </c>
      <c r="AA1462" s="74">
        <f>Devis[[#This Row],[Prix de Revient]]*Devis[[#This Row],[Poste 6]]</f>
        <v>0</v>
      </c>
      <c r="AB1462" s="74">
        <f>Devis[[#This Row],[Quantité Totale]]*Devis[[#This Row],[Prix de Revient]]</f>
        <v>0</v>
      </c>
    </row>
    <row r="1463" spans="1:28" ht="15" customHeight="1" outlineLevel="1" x14ac:dyDescent="0.2">
      <c r="A1463" s="75" t="s">
        <v>3557</v>
      </c>
      <c r="B1463" s="76" t="s">
        <v>1156</v>
      </c>
      <c r="C1463" s="76"/>
      <c r="D1463" s="81" t="str">
        <f t="shared" si="26"/>
        <v>GalvaManchons réduits FM 246 (Tulippe)</v>
      </c>
      <c r="E1463" s="80" t="s">
        <v>1057</v>
      </c>
      <c r="F1463" s="81">
        <v>25</v>
      </c>
      <c r="G1463" s="86" t="s">
        <v>1164</v>
      </c>
      <c r="H1463" s="71"/>
      <c r="I1463" s="75"/>
      <c r="J1463" s="70">
        <f>IFERROR(VLOOKUP(Devis[[#This Row],[Ref Air Flux]],#REF!,3,FALSE),0)</f>
        <v>0</v>
      </c>
      <c r="K1463" s="68"/>
      <c r="L1463" s="68"/>
      <c r="M1463" s="68"/>
      <c r="N1463" s="68"/>
      <c r="O1463" s="68"/>
      <c r="P1463" s="68"/>
      <c r="Q1463" s="68">
        <f>SUM(Devis[[#This Row],[Poste 1]:[Poste 6]])</f>
        <v>0</v>
      </c>
      <c r="R1463" s="71"/>
      <c r="S1463" s="68">
        <f>_xlfn.CEILING.MATH(Devis[[#This Row],[Quantité Totale]],Devis[[#This Row],[Conditionnement]])</f>
        <v>0</v>
      </c>
      <c r="T1463" s="72"/>
      <c r="U1463" s="106"/>
      <c r="V1463" s="74">
        <f>Devis[[#This Row],[Prix de Revient]]*Devis[[#This Row],[Poste 1]]</f>
        <v>0</v>
      </c>
      <c r="W1463" s="74">
        <f>Devis[[#This Row],[Prix de Revient]]*Devis[[#This Row],[Poste 2]]</f>
        <v>0</v>
      </c>
      <c r="X1463" s="74">
        <f>Devis[[#This Row],[Prix de Revient]]*Devis[[#This Row],[Poste 3]]</f>
        <v>0</v>
      </c>
      <c r="Y1463" s="74">
        <f>Devis[[#This Row],[Poste 4]]*Devis[[#This Row],[Prix de Revient]]</f>
        <v>0</v>
      </c>
      <c r="Z1463" s="74">
        <f>Devis[[#This Row],[Poste 5]]*Devis[[#This Row],[Prix de Revient]]</f>
        <v>0</v>
      </c>
      <c r="AA1463" s="74">
        <f>Devis[[#This Row],[Prix de Revient]]*Devis[[#This Row],[Poste 6]]</f>
        <v>0</v>
      </c>
      <c r="AB1463" s="74">
        <f>Devis[[#This Row],[Quantité Totale]]*Devis[[#This Row],[Prix de Revient]]</f>
        <v>0</v>
      </c>
    </row>
    <row r="1464" spans="1:28" ht="14.25" outlineLevel="1" x14ac:dyDescent="0.2">
      <c r="A1464" s="75" t="s">
        <v>3557</v>
      </c>
      <c r="B1464" s="76" t="s">
        <v>1156</v>
      </c>
      <c r="C1464" s="76"/>
      <c r="D1464" s="81" t="str">
        <f t="shared" si="26"/>
        <v>GalvaManchons réduits FM 246 (Tulippe)</v>
      </c>
      <c r="E1464" s="80" t="s">
        <v>1053</v>
      </c>
      <c r="F1464" s="81">
        <v>26</v>
      </c>
      <c r="G1464" s="86" t="s">
        <v>1162</v>
      </c>
      <c r="H1464" s="71"/>
      <c r="I1464" s="75"/>
      <c r="J1464" s="70">
        <f>IFERROR(VLOOKUP(Devis[[#This Row],[Ref Air Flux]],#REF!,3,FALSE),0)</f>
        <v>0</v>
      </c>
      <c r="K1464" s="68"/>
      <c r="L1464" s="68"/>
      <c r="M1464" s="68"/>
      <c r="N1464" s="68"/>
      <c r="O1464" s="68"/>
      <c r="P1464" s="68"/>
      <c r="Q1464" s="68">
        <f>SUM(Devis[[#This Row],[Poste 1]:[Poste 6]])</f>
        <v>0</v>
      </c>
      <c r="R1464" s="71"/>
      <c r="S1464" s="68">
        <f>_xlfn.CEILING.MATH(Devis[[#This Row],[Quantité Totale]],Devis[[#This Row],[Conditionnement]])</f>
        <v>0</v>
      </c>
      <c r="T1464" s="72"/>
      <c r="U1464" s="106"/>
      <c r="V1464" s="74">
        <f>Devis[[#This Row],[Prix de Revient]]*Devis[[#This Row],[Poste 1]]</f>
        <v>0</v>
      </c>
      <c r="W1464" s="74">
        <f>Devis[[#This Row],[Prix de Revient]]*Devis[[#This Row],[Poste 2]]</f>
        <v>0</v>
      </c>
      <c r="X1464" s="74">
        <f>Devis[[#This Row],[Prix de Revient]]*Devis[[#This Row],[Poste 3]]</f>
        <v>0</v>
      </c>
      <c r="Y1464" s="74">
        <f>Devis[[#This Row],[Poste 4]]*Devis[[#This Row],[Prix de Revient]]</f>
        <v>0</v>
      </c>
      <c r="Z1464" s="74">
        <f>Devis[[#This Row],[Poste 5]]*Devis[[#This Row],[Prix de Revient]]</f>
        <v>0</v>
      </c>
      <c r="AA1464" s="74">
        <f>Devis[[#This Row],[Prix de Revient]]*Devis[[#This Row],[Poste 6]]</f>
        <v>0</v>
      </c>
      <c r="AB1464" s="74">
        <f>Devis[[#This Row],[Quantité Totale]]*Devis[[#This Row],[Prix de Revient]]</f>
        <v>0</v>
      </c>
    </row>
    <row r="1465" spans="1:28" ht="14.25" outlineLevel="1" x14ac:dyDescent="0.2">
      <c r="A1465" s="75" t="s">
        <v>3557</v>
      </c>
      <c r="B1465" s="76" t="s">
        <v>1156</v>
      </c>
      <c r="C1465" s="76"/>
      <c r="D1465" s="81" t="str">
        <f t="shared" si="26"/>
        <v>GalvaManchons réduits FM 246 (Tulippe)</v>
      </c>
      <c r="E1465" s="80" t="s">
        <v>1051</v>
      </c>
      <c r="F1465" s="81">
        <v>27</v>
      </c>
      <c r="G1465" s="86" t="s">
        <v>1161</v>
      </c>
      <c r="H1465" s="71"/>
      <c r="I1465" s="75"/>
      <c r="J1465" s="70">
        <f>IFERROR(VLOOKUP(Devis[[#This Row],[Ref Air Flux]],#REF!,3,FALSE),0)</f>
        <v>0</v>
      </c>
      <c r="K1465" s="68"/>
      <c r="L1465" s="68"/>
      <c r="M1465" s="68"/>
      <c r="N1465" s="68"/>
      <c r="O1465" s="68"/>
      <c r="P1465" s="68"/>
      <c r="Q1465" s="68">
        <f>SUM(Devis[[#This Row],[Poste 1]:[Poste 6]])</f>
        <v>0</v>
      </c>
      <c r="R1465" s="71"/>
      <c r="S1465" s="68">
        <f>_xlfn.CEILING.MATH(Devis[[#This Row],[Quantité Totale]],Devis[[#This Row],[Conditionnement]])</f>
        <v>0</v>
      </c>
      <c r="T1465" s="72"/>
      <c r="U1465" s="106"/>
      <c r="V1465" s="74">
        <f>Devis[[#This Row],[Prix de Revient]]*Devis[[#This Row],[Poste 1]]</f>
        <v>0</v>
      </c>
      <c r="W1465" s="74">
        <f>Devis[[#This Row],[Prix de Revient]]*Devis[[#This Row],[Poste 2]]</f>
        <v>0</v>
      </c>
      <c r="X1465" s="74">
        <f>Devis[[#This Row],[Prix de Revient]]*Devis[[#This Row],[Poste 3]]</f>
        <v>0</v>
      </c>
      <c r="Y1465" s="74">
        <f>Devis[[#This Row],[Poste 4]]*Devis[[#This Row],[Prix de Revient]]</f>
        <v>0</v>
      </c>
      <c r="Z1465" s="74">
        <f>Devis[[#This Row],[Poste 5]]*Devis[[#This Row],[Prix de Revient]]</f>
        <v>0</v>
      </c>
      <c r="AA1465" s="74">
        <f>Devis[[#This Row],[Prix de Revient]]*Devis[[#This Row],[Poste 6]]</f>
        <v>0</v>
      </c>
      <c r="AB1465" s="74">
        <f>Devis[[#This Row],[Quantité Totale]]*Devis[[#This Row],[Prix de Revient]]</f>
        <v>0</v>
      </c>
    </row>
    <row r="1466" spans="1:28" ht="14.25" outlineLevel="1" x14ac:dyDescent="0.2">
      <c r="A1466" s="75" t="s">
        <v>3557</v>
      </c>
      <c r="B1466" s="76" t="s">
        <v>1156</v>
      </c>
      <c r="C1466" s="76"/>
      <c r="D1466" s="81" t="str">
        <f t="shared" si="26"/>
        <v>GalvaManchons réduits FM 246 (Tulippe)</v>
      </c>
      <c r="E1466" s="80" t="s">
        <v>28</v>
      </c>
      <c r="F1466" s="81">
        <v>28</v>
      </c>
      <c r="G1466" s="86" t="s">
        <v>1184</v>
      </c>
      <c r="H1466" s="71"/>
      <c r="I1466" s="75"/>
      <c r="J1466" s="70">
        <f>IFERROR(VLOOKUP(Devis[[#This Row],[Ref Air Flux]],#REF!,3,FALSE),0)</f>
        <v>0</v>
      </c>
      <c r="K1466" s="68"/>
      <c r="L1466" s="68"/>
      <c r="M1466" s="68"/>
      <c r="N1466" s="68"/>
      <c r="O1466" s="68"/>
      <c r="P1466" s="68"/>
      <c r="Q1466" s="68">
        <f>SUM(Devis[[#This Row],[Poste 1]:[Poste 6]])</f>
        <v>0</v>
      </c>
      <c r="R1466" s="71"/>
      <c r="S1466" s="68">
        <f>_xlfn.CEILING.MATH(Devis[[#This Row],[Quantité Totale]],Devis[[#This Row],[Conditionnement]])</f>
        <v>0</v>
      </c>
      <c r="T1466" s="72"/>
      <c r="U1466" s="106"/>
      <c r="V1466" s="74">
        <f>Devis[[#This Row],[Prix de Revient]]*Devis[[#This Row],[Poste 1]]</f>
        <v>0</v>
      </c>
      <c r="W1466" s="74">
        <f>Devis[[#This Row],[Prix de Revient]]*Devis[[#This Row],[Poste 2]]</f>
        <v>0</v>
      </c>
      <c r="X1466" s="74">
        <f>Devis[[#This Row],[Prix de Revient]]*Devis[[#This Row],[Poste 3]]</f>
        <v>0</v>
      </c>
      <c r="Y1466" s="74">
        <f>Devis[[#This Row],[Poste 4]]*Devis[[#This Row],[Prix de Revient]]</f>
        <v>0</v>
      </c>
      <c r="Z1466" s="74">
        <f>Devis[[#This Row],[Poste 5]]*Devis[[#This Row],[Prix de Revient]]</f>
        <v>0</v>
      </c>
      <c r="AA1466" s="74">
        <f>Devis[[#This Row],[Prix de Revient]]*Devis[[#This Row],[Poste 6]]</f>
        <v>0</v>
      </c>
      <c r="AB1466" s="74">
        <f>Devis[[#This Row],[Quantité Totale]]*Devis[[#This Row],[Prix de Revient]]</f>
        <v>0</v>
      </c>
    </row>
    <row r="1467" spans="1:28" ht="14.25" outlineLevel="1" x14ac:dyDescent="0.2">
      <c r="A1467" s="75" t="s">
        <v>3557</v>
      </c>
      <c r="B1467" s="76" t="s">
        <v>1156</v>
      </c>
      <c r="C1467" s="76"/>
      <c r="D1467" s="81" t="str">
        <f t="shared" si="26"/>
        <v>GalvaManchons réduits FM 246 (Tulippe)</v>
      </c>
      <c r="E1467" s="76" t="s">
        <v>1098</v>
      </c>
      <c r="F1467" s="81">
        <v>29</v>
      </c>
      <c r="G1467" s="86" t="s">
        <v>1186</v>
      </c>
      <c r="H1467" s="71"/>
      <c r="I1467" s="75"/>
      <c r="J1467" s="70">
        <f>IFERROR(VLOOKUP(Devis[[#This Row],[Ref Air Flux]],#REF!,3,FALSE),0)</f>
        <v>0</v>
      </c>
      <c r="K1467" s="68"/>
      <c r="L1467" s="68"/>
      <c r="M1467" s="68"/>
      <c r="N1467" s="68"/>
      <c r="O1467" s="68"/>
      <c r="P1467" s="68"/>
      <c r="Q1467" s="68">
        <f>SUM(Devis[[#This Row],[Poste 1]:[Poste 6]])</f>
        <v>0</v>
      </c>
      <c r="R1467" s="71"/>
      <c r="S1467" s="68">
        <f>_xlfn.CEILING.MATH(Devis[[#This Row],[Quantité Totale]],Devis[[#This Row],[Conditionnement]])</f>
        <v>0</v>
      </c>
      <c r="T1467" s="72"/>
      <c r="U1467" s="106"/>
      <c r="V1467" s="74">
        <f>Devis[[#This Row],[Prix de Revient]]*Devis[[#This Row],[Poste 1]]</f>
        <v>0</v>
      </c>
      <c r="W1467" s="74">
        <f>Devis[[#This Row],[Prix de Revient]]*Devis[[#This Row],[Poste 2]]</f>
        <v>0</v>
      </c>
      <c r="X1467" s="74">
        <f>Devis[[#This Row],[Prix de Revient]]*Devis[[#This Row],[Poste 3]]</f>
        <v>0</v>
      </c>
      <c r="Y1467" s="74">
        <f>Devis[[#This Row],[Poste 4]]*Devis[[#This Row],[Prix de Revient]]</f>
        <v>0</v>
      </c>
      <c r="Z1467" s="74">
        <f>Devis[[#This Row],[Poste 5]]*Devis[[#This Row],[Prix de Revient]]</f>
        <v>0</v>
      </c>
      <c r="AA1467" s="74">
        <f>Devis[[#This Row],[Prix de Revient]]*Devis[[#This Row],[Poste 6]]</f>
        <v>0</v>
      </c>
      <c r="AB1467" s="74">
        <f>Devis[[#This Row],[Quantité Totale]]*Devis[[#This Row],[Prix de Revient]]</f>
        <v>0</v>
      </c>
    </row>
    <row r="1468" spans="1:28" ht="14.25" outlineLevel="1" x14ac:dyDescent="0.2">
      <c r="A1468" s="75" t="s">
        <v>3557</v>
      </c>
      <c r="B1468" s="76" t="s">
        <v>1156</v>
      </c>
      <c r="C1468" s="76"/>
      <c r="D1468" s="81" t="str">
        <f t="shared" si="26"/>
        <v>GalvaManchons réduits FM 246 (Tulippe)</v>
      </c>
      <c r="E1468" s="80" t="s">
        <v>1096</v>
      </c>
      <c r="F1468" s="81">
        <v>30</v>
      </c>
      <c r="G1468" s="86" t="s">
        <v>1185</v>
      </c>
      <c r="H1468" s="71"/>
      <c r="I1468" s="75"/>
      <c r="J1468" s="70">
        <f>IFERROR(VLOOKUP(Devis[[#This Row],[Ref Air Flux]],#REF!,3,FALSE),0)</f>
        <v>0</v>
      </c>
      <c r="K1468" s="68"/>
      <c r="L1468" s="68"/>
      <c r="M1468" s="68"/>
      <c r="N1468" s="68"/>
      <c r="O1468" s="68"/>
      <c r="P1468" s="68"/>
      <c r="Q1468" s="68">
        <f>SUM(Devis[[#This Row],[Poste 1]:[Poste 6]])</f>
        <v>0</v>
      </c>
      <c r="R1468" s="71"/>
      <c r="S1468" s="68">
        <f>_xlfn.CEILING.MATH(Devis[[#This Row],[Quantité Totale]],Devis[[#This Row],[Conditionnement]])</f>
        <v>0</v>
      </c>
      <c r="T1468" s="72"/>
      <c r="U1468" s="106"/>
      <c r="V1468" s="74">
        <f>Devis[[#This Row],[Prix de Revient]]*Devis[[#This Row],[Poste 1]]</f>
        <v>0</v>
      </c>
      <c r="W1468" s="74">
        <f>Devis[[#This Row],[Prix de Revient]]*Devis[[#This Row],[Poste 2]]</f>
        <v>0</v>
      </c>
      <c r="X1468" s="74">
        <f>Devis[[#This Row],[Prix de Revient]]*Devis[[#This Row],[Poste 3]]</f>
        <v>0</v>
      </c>
      <c r="Y1468" s="74">
        <f>Devis[[#This Row],[Poste 4]]*Devis[[#This Row],[Prix de Revient]]</f>
        <v>0</v>
      </c>
      <c r="Z1468" s="74">
        <f>Devis[[#This Row],[Poste 5]]*Devis[[#This Row],[Prix de Revient]]</f>
        <v>0</v>
      </c>
      <c r="AA1468" s="74">
        <f>Devis[[#This Row],[Prix de Revient]]*Devis[[#This Row],[Poste 6]]</f>
        <v>0</v>
      </c>
      <c r="AB1468" s="74">
        <f>Devis[[#This Row],[Quantité Totale]]*Devis[[#This Row],[Prix de Revient]]</f>
        <v>0</v>
      </c>
    </row>
    <row r="1469" spans="1:28" ht="14.25" customHeight="1" outlineLevel="1" x14ac:dyDescent="0.2">
      <c r="A1469" s="75" t="s">
        <v>3557</v>
      </c>
      <c r="B1469" s="76" t="s">
        <v>1156</v>
      </c>
      <c r="C1469" s="76"/>
      <c r="D1469" s="81" t="str">
        <f t="shared" si="26"/>
        <v>GalvaManchons réduits FM 246 (Tulippe)</v>
      </c>
      <c r="E1469" s="76" t="s">
        <v>1105</v>
      </c>
      <c r="F1469" s="81">
        <v>31</v>
      </c>
      <c r="G1469" s="86" t="s">
        <v>1190</v>
      </c>
      <c r="H1469" s="71"/>
      <c r="I1469" s="75"/>
      <c r="J1469" s="70">
        <f>IFERROR(VLOOKUP(Devis[[#This Row],[Ref Air Flux]],#REF!,3,FALSE),0)</f>
        <v>0</v>
      </c>
      <c r="K1469" s="68"/>
      <c r="L1469" s="68"/>
      <c r="M1469" s="68"/>
      <c r="N1469" s="68"/>
      <c r="O1469" s="68"/>
      <c r="P1469" s="68"/>
      <c r="Q1469" s="68">
        <f>SUM(Devis[[#This Row],[Poste 1]:[Poste 6]])</f>
        <v>0</v>
      </c>
      <c r="R1469" s="71"/>
      <c r="S1469" s="68">
        <f>_xlfn.CEILING.MATH(Devis[[#This Row],[Quantité Totale]],Devis[[#This Row],[Conditionnement]])</f>
        <v>0</v>
      </c>
      <c r="T1469" s="72"/>
      <c r="U1469" s="106"/>
      <c r="V1469" s="74">
        <f>Devis[[#This Row],[Prix de Revient]]*Devis[[#This Row],[Poste 1]]</f>
        <v>0</v>
      </c>
      <c r="W1469" s="74">
        <f>Devis[[#This Row],[Prix de Revient]]*Devis[[#This Row],[Poste 2]]</f>
        <v>0</v>
      </c>
      <c r="X1469" s="74">
        <f>Devis[[#This Row],[Prix de Revient]]*Devis[[#This Row],[Poste 3]]</f>
        <v>0</v>
      </c>
      <c r="Y1469" s="74">
        <f>Devis[[#This Row],[Poste 4]]*Devis[[#This Row],[Prix de Revient]]</f>
        <v>0</v>
      </c>
      <c r="Z1469" s="74">
        <f>Devis[[#This Row],[Poste 5]]*Devis[[#This Row],[Prix de Revient]]</f>
        <v>0</v>
      </c>
      <c r="AA1469" s="74">
        <f>Devis[[#This Row],[Prix de Revient]]*Devis[[#This Row],[Poste 6]]</f>
        <v>0</v>
      </c>
      <c r="AB1469" s="74">
        <f>Devis[[#This Row],[Quantité Totale]]*Devis[[#This Row],[Prix de Revient]]</f>
        <v>0</v>
      </c>
    </row>
    <row r="1470" spans="1:28" ht="14.25" outlineLevel="1" x14ac:dyDescent="0.2">
      <c r="A1470" s="75" t="s">
        <v>3557</v>
      </c>
      <c r="B1470" s="76" t="s">
        <v>1156</v>
      </c>
      <c r="C1470" s="76"/>
      <c r="D1470" s="81" t="str">
        <f t="shared" si="26"/>
        <v>GalvaManchons réduits FM 246 (Tulippe)</v>
      </c>
      <c r="E1470" s="76" t="s">
        <v>1107</v>
      </c>
      <c r="F1470" s="81">
        <v>32</v>
      </c>
      <c r="G1470" s="86" t="s">
        <v>1191</v>
      </c>
      <c r="H1470" s="71"/>
      <c r="I1470" s="75"/>
      <c r="J1470" s="70">
        <f>IFERROR(VLOOKUP(Devis[[#This Row],[Ref Air Flux]],#REF!,3,FALSE),0)</f>
        <v>0</v>
      </c>
      <c r="K1470" s="68"/>
      <c r="L1470" s="68"/>
      <c r="M1470" s="68"/>
      <c r="N1470" s="68"/>
      <c r="O1470" s="68"/>
      <c r="P1470" s="68"/>
      <c r="Q1470" s="68">
        <f>SUM(Devis[[#This Row],[Poste 1]:[Poste 6]])</f>
        <v>0</v>
      </c>
      <c r="R1470" s="71"/>
      <c r="S1470" s="68">
        <f>_xlfn.CEILING.MATH(Devis[[#This Row],[Quantité Totale]],Devis[[#This Row],[Conditionnement]])</f>
        <v>0</v>
      </c>
      <c r="T1470" s="72"/>
      <c r="U1470" s="106"/>
      <c r="V1470" s="74">
        <f>Devis[[#This Row],[Prix de Revient]]*Devis[[#This Row],[Poste 1]]</f>
        <v>0</v>
      </c>
      <c r="W1470" s="74">
        <f>Devis[[#This Row],[Prix de Revient]]*Devis[[#This Row],[Poste 2]]</f>
        <v>0</v>
      </c>
      <c r="X1470" s="74">
        <f>Devis[[#This Row],[Prix de Revient]]*Devis[[#This Row],[Poste 3]]</f>
        <v>0</v>
      </c>
      <c r="Y1470" s="74">
        <f>Devis[[#This Row],[Poste 4]]*Devis[[#This Row],[Prix de Revient]]</f>
        <v>0</v>
      </c>
      <c r="Z1470" s="74">
        <f>Devis[[#This Row],[Poste 5]]*Devis[[#This Row],[Prix de Revient]]</f>
        <v>0</v>
      </c>
      <c r="AA1470" s="74">
        <f>Devis[[#This Row],[Prix de Revient]]*Devis[[#This Row],[Poste 6]]</f>
        <v>0</v>
      </c>
      <c r="AB1470" s="74">
        <f>Devis[[#This Row],[Quantité Totale]]*Devis[[#This Row],[Prix de Revient]]</f>
        <v>0</v>
      </c>
    </row>
    <row r="1471" spans="1:28" ht="14.25" outlineLevel="1" x14ac:dyDescent="0.2">
      <c r="A1471" s="75" t="s">
        <v>3557</v>
      </c>
      <c r="B1471" s="76" t="s">
        <v>1156</v>
      </c>
      <c r="C1471" s="76"/>
      <c r="D1471" s="81" t="str">
        <f t="shared" si="26"/>
        <v>GalvaManchons réduits FM 246 (Tulippe)</v>
      </c>
      <c r="E1471" s="80" t="s">
        <v>1047</v>
      </c>
      <c r="F1471" s="81">
        <v>33</v>
      </c>
      <c r="G1471" s="86" t="s">
        <v>1159</v>
      </c>
      <c r="H1471" s="71"/>
      <c r="I1471" s="75"/>
      <c r="J1471" s="70">
        <f>IFERROR(VLOOKUP(Devis[[#This Row],[Ref Air Flux]],#REF!,3,FALSE),0)</f>
        <v>0</v>
      </c>
      <c r="K1471" s="68"/>
      <c r="L1471" s="68"/>
      <c r="M1471" s="68"/>
      <c r="N1471" s="68"/>
      <c r="O1471" s="68"/>
      <c r="P1471" s="68"/>
      <c r="Q1471" s="68">
        <f>SUM(Devis[[#This Row],[Poste 1]:[Poste 6]])</f>
        <v>0</v>
      </c>
      <c r="R1471" s="71"/>
      <c r="S1471" s="68">
        <f>_xlfn.CEILING.MATH(Devis[[#This Row],[Quantité Totale]],Devis[[#This Row],[Conditionnement]])</f>
        <v>0</v>
      </c>
      <c r="T1471" s="72"/>
      <c r="U1471" s="106"/>
      <c r="V1471" s="74">
        <f>Devis[[#This Row],[Prix de Revient]]*Devis[[#This Row],[Poste 1]]</f>
        <v>0</v>
      </c>
      <c r="W1471" s="74">
        <f>Devis[[#This Row],[Prix de Revient]]*Devis[[#This Row],[Poste 2]]</f>
        <v>0</v>
      </c>
      <c r="X1471" s="74">
        <f>Devis[[#This Row],[Prix de Revient]]*Devis[[#This Row],[Poste 3]]</f>
        <v>0</v>
      </c>
      <c r="Y1471" s="74">
        <f>Devis[[#This Row],[Poste 4]]*Devis[[#This Row],[Prix de Revient]]</f>
        <v>0</v>
      </c>
      <c r="Z1471" s="74">
        <f>Devis[[#This Row],[Poste 5]]*Devis[[#This Row],[Prix de Revient]]</f>
        <v>0</v>
      </c>
      <c r="AA1471" s="74">
        <f>Devis[[#This Row],[Prix de Revient]]*Devis[[#This Row],[Poste 6]]</f>
        <v>0</v>
      </c>
      <c r="AB1471" s="74">
        <f>Devis[[#This Row],[Quantité Totale]]*Devis[[#This Row],[Prix de Revient]]</f>
        <v>0</v>
      </c>
    </row>
    <row r="1472" spans="1:28" ht="14.25" outlineLevel="1" x14ac:dyDescent="0.2">
      <c r="A1472" s="75" t="s">
        <v>3557</v>
      </c>
      <c r="B1472" s="76" t="s">
        <v>1156</v>
      </c>
      <c r="C1472" s="76"/>
      <c r="D1472" s="81" t="str">
        <f t="shared" si="26"/>
        <v>GalvaManchons réduits FM 246 (Tulippe)</v>
      </c>
      <c r="E1472" s="80" t="s">
        <v>1049</v>
      </c>
      <c r="F1472" s="81">
        <v>34</v>
      </c>
      <c r="G1472" s="86" t="s">
        <v>1160</v>
      </c>
      <c r="H1472" s="71"/>
      <c r="I1472" s="75"/>
      <c r="J1472" s="70">
        <f>IFERROR(VLOOKUP(Devis[[#This Row],[Ref Air Flux]],#REF!,3,FALSE),0)</f>
        <v>0</v>
      </c>
      <c r="K1472" s="68"/>
      <c r="L1472" s="68"/>
      <c r="M1472" s="68"/>
      <c r="N1472" s="68"/>
      <c r="O1472" s="68"/>
      <c r="P1472" s="68"/>
      <c r="Q1472" s="68">
        <f>SUM(Devis[[#This Row],[Poste 1]:[Poste 6]])</f>
        <v>0</v>
      </c>
      <c r="R1472" s="71"/>
      <c r="S1472" s="68">
        <f>_xlfn.CEILING.MATH(Devis[[#This Row],[Quantité Totale]],Devis[[#This Row],[Conditionnement]])</f>
        <v>0</v>
      </c>
      <c r="T1472" s="72"/>
      <c r="U1472" s="106"/>
      <c r="V1472" s="74">
        <f>Devis[[#This Row],[Prix de Revient]]*Devis[[#This Row],[Poste 1]]</f>
        <v>0</v>
      </c>
      <c r="W1472" s="74">
        <f>Devis[[#This Row],[Prix de Revient]]*Devis[[#This Row],[Poste 2]]</f>
        <v>0</v>
      </c>
      <c r="X1472" s="74">
        <f>Devis[[#This Row],[Prix de Revient]]*Devis[[#This Row],[Poste 3]]</f>
        <v>0</v>
      </c>
      <c r="Y1472" s="74">
        <f>Devis[[#This Row],[Poste 4]]*Devis[[#This Row],[Prix de Revient]]</f>
        <v>0</v>
      </c>
      <c r="Z1472" s="74">
        <f>Devis[[#This Row],[Poste 5]]*Devis[[#This Row],[Prix de Revient]]</f>
        <v>0</v>
      </c>
      <c r="AA1472" s="74">
        <f>Devis[[#This Row],[Prix de Revient]]*Devis[[#This Row],[Poste 6]]</f>
        <v>0</v>
      </c>
      <c r="AB1472" s="74">
        <f>Devis[[#This Row],[Quantité Totale]]*Devis[[#This Row],[Prix de Revient]]</f>
        <v>0</v>
      </c>
    </row>
    <row r="1473" spans="1:28" ht="14.25" outlineLevel="1" x14ac:dyDescent="0.2">
      <c r="A1473" s="75" t="s">
        <v>3557</v>
      </c>
      <c r="B1473" s="76" t="s">
        <v>1156</v>
      </c>
      <c r="C1473" s="76"/>
      <c r="D1473" s="81" t="str">
        <f t="shared" si="26"/>
        <v>GalvaManchons réduits FM 246 (Tulippe)</v>
      </c>
      <c r="E1473" s="80" t="s">
        <v>1045</v>
      </c>
      <c r="F1473" s="81">
        <v>35</v>
      </c>
      <c r="G1473" s="86" t="s">
        <v>1158</v>
      </c>
      <c r="H1473" s="71"/>
      <c r="I1473" s="75"/>
      <c r="J1473" s="70">
        <f>IFERROR(VLOOKUP(Devis[[#This Row],[Ref Air Flux]],#REF!,3,FALSE),0)</f>
        <v>0</v>
      </c>
      <c r="K1473" s="68"/>
      <c r="L1473" s="68"/>
      <c r="M1473" s="68"/>
      <c r="N1473" s="68"/>
      <c r="O1473" s="68"/>
      <c r="P1473" s="68"/>
      <c r="Q1473" s="68">
        <f>SUM(Devis[[#This Row],[Poste 1]:[Poste 6]])</f>
        <v>0</v>
      </c>
      <c r="R1473" s="71"/>
      <c r="S1473" s="68">
        <f>_xlfn.CEILING.MATH(Devis[[#This Row],[Quantité Totale]],Devis[[#This Row],[Conditionnement]])</f>
        <v>0</v>
      </c>
      <c r="T1473" s="72"/>
      <c r="U1473" s="106"/>
      <c r="V1473" s="74">
        <f>Devis[[#This Row],[Prix de Revient]]*Devis[[#This Row],[Poste 1]]</f>
        <v>0</v>
      </c>
      <c r="W1473" s="74">
        <f>Devis[[#This Row],[Prix de Revient]]*Devis[[#This Row],[Poste 2]]</f>
        <v>0</v>
      </c>
      <c r="X1473" s="74">
        <f>Devis[[#This Row],[Prix de Revient]]*Devis[[#This Row],[Poste 3]]</f>
        <v>0</v>
      </c>
      <c r="Y1473" s="74">
        <f>Devis[[#This Row],[Poste 4]]*Devis[[#This Row],[Prix de Revient]]</f>
        <v>0</v>
      </c>
      <c r="Z1473" s="74">
        <f>Devis[[#This Row],[Poste 5]]*Devis[[#This Row],[Prix de Revient]]</f>
        <v>0</v>
      </c>
      <c r="AA1473" s="74">
        <f>Devis[[#This Row],[Prix de Revient]]*Devis[[#This Row],[Poste 6]]</f>
        <v>0</v>
      </c>
      <c r="AB1473" s="74">
        <f>Devis[[#This Row],[Quantité Totale]]*Devis[[#This Row],[Prix de Revient]]</f>
        <v>0</v>
      </c>
    </row>
    <row r="1474" spans="1:28" ht="14.25" outlineLevel="1" x14ac:dyDescent="0.2">
      <c r="A1474" s="75" t="s">
        <v>3557</v>
      </c>
      <c r="B1474" s="76" t="s">
        <v>1156</v>
      </c>
      <c r="C1474" s="76"/>
      <c r="D1474" s="81" t="str">
        <f t="shared" si="26"/>
        <v>GalvaManchons réduits FM 246 (Tulippe)</v>
      </c>
      <c r="E1474" s="80" t="s">
        <v>1043</v>
      </c>
      <c r="F1474" s="81">
        <v>36</v>
      </c>
      <c r="G1474" s="86" t="s">
        <v>1157</v>
      </c>
      <c r="H1474" s="71"/>
      <c r="I1474" s="75"/>
      <c r="J1474" s="70">
        <f>IFERROR(VLOOKUP(Devis[[#This Row],[Ref Air Flux]],#REF!,3,FALSE),0)</f>
        <v>0</v>
      </c>
      <c r="K1474" s="68"/>
      <c r="L1474" s="68"/>
      <c r="M1474" s="68"/>
      <c r="N1474" s="68"/>
      <c r="O1474" s="68"/>
      <c r="P1474" s="68"/>
      <c r="Q1474" s="68">
        <f>SUM(Devis[[#This Row],[Poste 1]:[Poste 6]])</f>
        <v>0</v>
      </c>
      <c r="R1474" s="71"/>
      <c r="S1474" s="68">
        <f>_xlfn.CEILING.MATH(Devis[[#This Row],[Quantité Totale]],Devis[[#This Row],[Conditionnement]])</f>
        <v>0</v>
      </c>
      <c r="T1474" s="72"/>
      <c r="U1474" s="106"/>
      <c r="V1474" s="74">
        <f>Devis[[#This Row],[Prix de Revient]]*Devis[[#This Row],[Poste 1]]</f>
        <v>0</v>
      </c>
      <c r="W1474" s="74">
        <f>Devis[[#This Row],[Prix de Revient]]*Devis[[#This Row],[Poste 2]]</f>
        <v>0</v>
      </c>
      <c r="X1474" s="74">
        <f>Devis[[#This Row],[Prix de Revient]]*Devis[[#This Row],[Poste 3]]</f>
        <v>0</v>
      </c>
      <c r="Y1474" s="74">
        <f>Devis[[#This Row],[Poste 4]]*Devis[[#This Row],[Prix de Revient]]</f>
        <v>0</v>
      </c>
      <c r="Z1474" s="74">
        <f>Devis[[#This Row],[Poste 5]]*Devis[[#This Row],[Prix de Revient]]</f>
        <v>0</v>
      </c>
      <c r="AA1474" s="74">
        <f>Devis[[#This Row],[Prix de Revient]]*Devis[[#This Row],[Poste 6]]</f>
        <v>0</v>
      </c>
      <c r="AB1474" s="74">
        <f>Devis[[#This Row],[Quantité Totale]]*Devis[[#This Row],[Prix de Revient]]</f>
        <v>0</v>
      </c>
    </row>
    <row r="1475" spans="1:28" ht="14.25" customHeight="1" x14ac:dyDescent="0.25">
      <c r="A1475" s="65" t="s">
        <v>3557</v>
      </c>
      <c r="B1475" s="65" t="s">
        <v>1194</v>
      </c>
      <c r="C1475" s="76"/>
      <c r="D1475" s="81" t="str">
        <f t="shared" si="26"/>
        <v>GalvaRéductions  MF 241</v>
      </c>
      <c r="E1475" s="76"/>
      <c r="F1475" s="81">
        <v>0</v>
      </c>
      <c r="G1475" s="86"/>
      <c r="H1475" s="71"/>
      <c r="I1475" s="75"/>
      <c r="J1475" s="70">
        <f>IFERROR(VLOOKUP(Devis[[#This Row],[Ref Air Flux]],#REF!,3,FALSE),0)</f>
        <v>0</v>
      </c>
      <c r="K1475" s="68"/>
      <c r="L1475" s="68"/>
      <c r="M1475" s="68"/>
      <c r="N1475" s="68"/>
      <c r="O1475" s="68"/>
      <c r="P1475" s="68"/>
      <c r="Q1475" s="68">
        <f>SUM(Devis[[#This Row],[Poste 1]:[Poste 6]])</f>
        <v>0</v>
      </c>
      <c r="R1475" s="71"/>
      <c r="S1475" s="68">
        <f>_xlfn.CEILING.MATH(Devis[[#This Row],[Quantité Totale]],Devis[[#This Row],[Conditionnement]])</f>
        <v>0</v>
      </c>
      <c r="T1475" s="72"/>
      <c r="U1475" s="106"/>
      <c r="V1475" s="74">
        <f>Devis[[#This Row],[Prix de Revient]]*Devis[[#This Row],[Poste 1]]</f>
        <v>0</v>
      </c>
      <c r="W1475" s="74">
        <f>Devis[[#This Row],[Prix de Revient]]*Devis[[#This Row],[Poste 2]]</f>
        <v>0</v>
      </c>
      <c r="X1475" s="74">
        <f>Devis[[#This Row],[Prix de Revient]]*Devis[[#This Row],[Poste 3]]</f>
        <v>0</v>
      </c>
      <c r="Y1475" s="74">
        <f>Devis[[#This Row],[Poste 4]]*Devis[[#This Row],[Prix de Revient]]</f>
        <v>0</v>
      </c>
      <c r="Z1475" s="74">
        <f>Devis[[#This Row],[Poste 5]]*Devis[[#This Row],[Prix de Revient]]</f>
        <v>0</v>
      </c>
      <c r="AA1475" s="74">
        <f>Devis[[#This Row],[Prix de Revient]]*Devis[[#This Row],[Poste 6]]</f>
        <v>0</v>
      </c>
      <c r="AB1475" s="74">
        <f>Devis[[#This Row],[Quantité Totale]]*Devis[[#This Row],[Prix de Revient]]</f>
        <v>0</v>
      </c>
    </row>
    <row r="1476" spans="1:28" ht="15" customHeight="1" outlineLevel="1" x14ac:dyDescent="0.2">
      <c r="A1476" s="75" t="s">
        <v>3557</v>
      </c>
      <c r="B1476" s="76" t="s">
        <v>1194</v>
      </c>
      <c r="C1476" s="76"/>
      <c r="D1476" s="81" t="str">
        <f t="shared" si="26"/>
        <v>GalvaRéductions  MF 241</v>
      </c>
      <c r="E1476" s="76" t="s">
        <v>1234</v>
      </c>
      <c r="F1476" s="81">
        <v>1</v>
      </c>
      <c r="G1476" s="86" t="s">
        <v>1235</v>
      </c>
      <c r="H1476" s="71"/>
      <c r="I1476" s="75"/>
      <c r="J1476" s="70">
        <f>IFERROR(VLOOKUP(Devis[[#This Row],[Ref Air Flux]],#REF!,3,FALSE),0)</f>
        <v>0</v>
      </c>
      <c r="K1476" s="68"/>
      <c r="L1476" s="68"/>
      <c r="M1476" s="68"/>
      <c r="N1476" s="68"/>
      <c r="O1476" s="68"/>
      <c r="P1476" s="68"/>
      <c r="Q1476" s="68">
        <f>SUM(Devis[[#This Row],[Poste 1]:[Poste 6]])</f>
        <v>0</v>
      </c>
      <c r="R1476" s="71"/>
      <c r="S1476" s="68">
        <f>_xlfn.CEILING.MATH(Devis[[#This Row],[Quantité Totale]],Devis[[#This Row],[Conditionnement]])</f>
        <v>0</v>
      </c>
      <c r="T1476" s="72"/>
      <c r="U1476" s="106"/>
      <c r="V1476" s="74">
        <f>Devis[[#This Row],[Prix de Revient]]*Devis[[#This Row],[Poste 1]]</f>
        <v>0</v>
      </c>
      <c r="W1476" s="74">
        <f>Devis[[#This Row],[Prix de Revient]]*Devis[[#This Row],[Poste 2]]</f>
        <v>0</v>
      </c>
      <c r="X1476" s="74">
        <f>Devis[[#This Row],[Prix de Revient]]*Devis[[#This Row],[Poste 3]]</f>
        <v>0</v>
      </c>
      <c r="Y1476" s="74">
        <f>Devis[[#This Row],[Poste 4]]*Devis[[#This Row],[Prix de Revient]]</f>
        <v>0</v>
      </c>
      <c r="Z1476" s="74">
        <f>Devis[[#This Row],[Poste 5]]*Devis[[#This Row],[Prix de Revient]]</f>
        <v>0</v>
      </c>
      <c r="AA1476" s="74">
        <f>Devis[[#This Row],[Prix de Revient]]*Devis[[#This Row],[Poste 6]]</f>
        <v>0</v>
      </c>
      <c r="AB1476" s="74">
        <f>Devis[[#This Row],[Quantité Totale]]*Devis[[#This Row],[Prix de Revient]]</f>
        <v>0</v>
      </c>
    </row>
    <row r="1477" spans="1:28" ht="14.25" outlineLevel="1" x14ac:dyDescent="0.2">
      <c r="A1477" s="75" t="s">
        <v>3557</v>
      </c>
      <c r="B1477" s="76" t="s">
        <v>1194</v>
      </c>
      <c r="C1477" s="76"/>
      <c r="D1477" s="81" t="str">
        <f t="shared" si="26"/>
        <v>GalvaRéductions  MF 241</v>
      </c>
      <c r="E1477" s="76" t="s">
        <v>1220</v>
      </c>
      <c r="F1477" s="81">
        <v>2</v>
      </c>
      <c r="G1477" s="86" t="s">
        <v>1221</v>
      </c>
      <c r="H1477" s="71"/>
      <c r="I1477" s="75"/>
      <c r="J1477" s="70">
        <f>IFERROR(VLOOKUP(Devis[[#This Row],[Ref Air Flux]],#REF!,3,FALSE),0)</f>
        <v>0</v>
      </c>
      <c r="K1477" s="68"/>
      <c r="L1477" s="68"/>
      <c r="M1477" s="68"/>
      <c r="N1477" s="68"/>
      <c r="O1477" s="68"/>
      <c r="P1477" s="68"/>
      <c r="Q1477" s="68">
        <f>SUM(Devis[[#This Row],[Poste 1]:[Poste 6]])</f>
        <v>0</v>
      </c>
      <c r="R1477" s="71"/>
      <c r="S1477" s="68">
        <f>_xlfn.CEILING.MATH(Devis[[#This Row],[Quantité Totale]],Devis[[#This Row],[Conditionnement]])</f>
        <v>0</v>
      </c>
      <c r="T1477" s="72"/>
      <c r="U1477" s="106"/>
      <c r="V1477" s="74">
        <f>Devis[[#This Row],[Prix de Revient]]*Devis[[#This Row],[Poste 1]]</f>
        <v>0</v>
      </c>
      <c r="W1477" s="74">
        <f>Devis[[#This Row],[Prix de Revient]]*Devis[[#This Row],[Poste 2]]</f>
        <v>0</v>
      </c>
      <c r="X1477" s="74">
        <f>Devis[[#This Row],[Prix de Revient]]*Devis[[#This Row],[Poste 3]]</f>
        <v>0</v>
      </c>
      <c r="Y1477" s="74">
        <f>Devis[[#This Row],[Poste 4]]*Devis[[#This Row],[Prix de Revient]]</f>
        <v>0</v>
      </c>
      <c r="Z1477" s="74">
        <f>Devis[[#This Row],[Poste 5]]*Devis[[#This Row],[Prix de Revient]]</f>
        <v>0</v>
      </c>
      <c r="AA1477" s="74">
        <f>Devis[[#This Row],[Prix de Revient]]*Devis[[#This Row],[Poste 6]]</f>
        <v>0</v>
      </c>
      <c r="AB1477" s="74">
        <f>Devis[[#This Row],[Quantité Totale]]*Devis[[#This Row],[Prix de Revient]]</f>
        <v>0</v>
      </c>
    </row>
    <row r="1478" spans="1:28" ht="14.25" outlineLevel="1" x14ac:dyDescent="0.2">
      <c r="A1478" s="75" t="s">
        <v>3557</v>
      </c>
      <c r="B1478" s="76" t="s">
        <v>1194</v>
      </c>
      <c r="C1478" s="76"/>
      <c r="D1478" s="81" t="str">
        <f t="shared" si="26"/>
        <v>GalvaRéductions  MF 241</v>
      </c>
      <c r="E1478" s="76" t="s">
        <v>1218</v>
      </c>
      <c r="F1478" s="81">
        <v>3</v>
      </c>
      <c r="G1478" s="86" t="s">
        <v>1219</v>
      </c>
      <c r="H1478" s="71"/>
      <c r="I1478" s="75"/>
      <c r="J1478" s="70">
        <f>IFERROR(VLOOKUP(Devis[[#This Row],[Ref Air Flux]],#REF!,3,FALSE),0)</f>
        <v>0</v>
      </c>
      <c r="K1478" s="68"/>
      <c r="L1478" s="68"/>
      <c r="M1478" s="68"/>
      <c r="N1478" s="68"/>
      <c r="O1478" s="68"/>
      <c r="P1478" s="68"/>
      <c r="Q1478" s="68">
        <f>SUM(Devis[[#This Row],[Poste 1]:[Poste 6]])</f>
        <v>0</v>
      </c>
      <c r="R1478" s="71"/>
      <c r="S1478" s="68">
        <f>_xlfn.CEILING.MATH(Devis[[#This Row],[Quantité Totale]],Devis[[#This Row],[Conditionnement]])</f>
        <v>0</v>
      </c>
      <c r="T1478" s="72"/>
      <c r="U1478" s="106"/>
      <c r="V1478" s="74">
        <f>Devis[[#This Row],[Prix de Revient]]*Devis[[#This Row],[Poste 1]]</f>
        <v>0</v>
      </c>
      <c r="W1478" s="74">
        <f>Devis[[#This Row],[Prix de Revient]]*Devis[[#This Row],[Poste 2]]</f>
        <v>0</v>
      </c>
      <c r="X1478" s="74">
        <f>Devis[[#This Row],[Prix de Revient]]*Devis[[#This Row],[Poste 3]]</f>
        <v>0</v>
      </c>
      <c r="Y1478" s="74">
        <f>Devis[[#This Row],[Poste 4]]*Devis[[#This Row],[Prix de Revient]]</f>
        <v>0</v>
      </c>
      <c r="Z1478" s="74">
        <f>Devis[[#This Row],[Poste 5]]*Devis[[#This Row],[Prix de Revient]]</f>
        <v>0</v>
      </c>
      <c r="AA1478" s="74">
        <f>Devis[[#This Row],[Prix de Revient]]*Devis[[#This Row],[Poste 6]]</f>
        <v>0</v>
      </c>
      <c r="AB1478" s="74">
        <f>Devis[[#This Row],[Quantité Totale]]*Devis[[#This Row],[Prix de Revient]]</f>
        <v>0</v>
      </c>
    </row>
    <row r="1479" spans="1:28" ht="14.25" outlineLevel="1" x14ac:dyDescent="0.2">
      <c r="A1479" s="75" t="s">
        <v>3557</v>
      </c>
      <c r="B1479" s="76" t="s">
        <v>1194</v>
      </c>
      <c r="C1479" s="76"/>
      <c r="D1479" s="81" t="str">
        <f t="shared" si="26"/>
        <v>GalvaRéductions  MF 241</v>
      </c>
      <c r="E1479" s="76" t="s">
        <v>1224</v>
      </c>
      <c r="F1479" s="81">
        <v>4</v>
      </c>
      <c r="G1479" s="86" t="s">
        <v>1225</v>
      </c>
      <c r="H1479" s="71"/>
      <c r="I1479" s="75"/>
      <c r="J1479" s="70">
        <f>IFERROR(VLOOKUP(Devis[[#This Row],[Ref Air Flux]],#REF!,3,FALSE),0)</f>
        <v>0</v>
      </c>
      <c r="K1479" s="68"/>
      <c r="L1479" s="68"/>
      <c r="M1479" s="68"/>
      <c r="N1479" s="68"/>
      <c r="O1479" s="68"/>
      <c r="P1479" s="68"/>
      <c r="Q1479" s="68">
        <f>SUM(Devis[[#This Row],[Poste 1]:[Poste 6]])</f>
        <v>0</v>
      </c>
      <c r="R1479" s="71"/>
      <c r="S1479" s="68">
        <f>_xlfn.CEILING.MATH(Devis[[#This Row],[Quantité Totale]],Devis[[#This Row],[Conditionnement]])</f>
        <v>0</v>
      </c>
      <c r="T1479" s="72"/>
      <c r="U1479" s="106"/>
      <c r="V1479" s="74">
        <f>Devis[[#This Row],[Prix de Revient]]*Devis[[#This Row],[Poste 1]]</f>
        <v>0</v>
      </c>
      <c r="W1479" s="74">
        <f>Devis[[#This Row],[Prix de Revient]]*Devis[[#This Row],[Poste 2]]</f>
        <v>0</v>
      </c>
      <c r="X1479" s="74">
        <f>Devis[[#This Row],[Prix de Revient]]*Devis[[#This Row],[Poste 3]]</f>
        <v>0</v>
      </c>
      <c r="Y1479" s="74">
        <f>Devis[[#This Row],[Poste 4]]*Devis[[#This Row],[Prix de Revient]]</f>
        <v>0</v>
      </c>
      <c r="Z1479" s="74">
        <f>Devis[[#This Row],[Poste 5]]*Devis[[#This Row],[Prix de Revient]]</f>
        <v>0</v>
      </c>
      <c r="AA1479" s="74">
        <f>Devis[[#This Row],[Prix de Revient]]*Devis[[#This Row],[Poste 6]]</f>
        <v>0</v>
      </c>
      <c r="AB1479" s="74">
        <f>Devis[[#This Row],[Quantité Totale]]*Devis[[#This Row],[Prix de Revient]]</f>
        <v>0</v>
      </c>
    </row>
    <row r="1480" spans="1:28" ht="14.25" customHeight="1" outlineLevel="1" x14ac:dyDescent="0.2">
      <c r="A1480" s="75" t="s">
        <v>3557</v>
      </c>
      <c r="B1480" s="76" t="s">
        <v>1194</v>
      </c>
      <c r="C1480" s="76"/>
      <c r="D1480" s="81" t="str">
        <f t="shared" si="26"/>
        <v>GalvaRéductions  MF 241</v>
      </c>
      <c r="E1480" s="76" t="s">
        <v>1222</v>
      </c>
      <c r="F1480" s="81">
        <v>5</v>
      </c>
      <c r="G1480" s="86" t="s">
        <v>1223</v>
      </c>
      <c r="H1480" s="71"/>
      <c r="I1480" s="75"/>
      <c r="J1480" s="70">
        <f>IFERROR(VLOOKUP(Devis[[#This Row],[Ref Air Flux]],#REF!,3,FALSE),0)</f>
        <v>0</v>
      </c>
      <c r="K1480" s="68"/>
      <c r="L1480" s="68"/>
      <c r="M1480" s="68"/>
      <c r="N1480" s="68"/>
      <c r="O1480" s="68"/>
      <c r="P1480" s="68"/>
      <c r="Q1480" s="68">
        <f>SUM(Devis[[#This Row],[Poste 1]:[Poste 6]])</f>
        <v>0</v>
      </c>
      <c r="R1480" s="71"/>
      <c r="S1480" s="68">
        <f>_xlfn.CEILING.MATH(Devis[[#This Row],[Quantité Totale]],Devis[[#This Row],[Conditionnement]])</f>
        <v>0</v>
      </c>
      <c r="T1480" s="72"/>
      <c r="U1480" s="106"/>
      <c r="V1480" s="74">
        <f>Devis[[#This Row],[Prix de Revient]]*Devis[[#This Row],[Poste 1]]</f>
        <v>0</v>
      </c>
      <c r="W1480" s="74">
        <f>Devis[[#This Row],[Prix de Revient]]*Devis[[#This Row],[Poste 2]]</f>
        <v>0</v>
      </c>
      <c r="X1480" s="74">
        <f>Devis[[#This Row],[Prix de Revient]]*Devis[[#This Row],[Poste 3]]</f>
        <v>0</v>
      </c>
      <c r="Y1480" s="74">
        <f>Devis[[#This Row],[Poste 4]]*Devis[[#This Row],[Prix de Revient]]</f>
        <v>0</v>
      </c>
      <c r="Z1480" s="74">
        <f>Devis[[#This Row],[Poste 5]]*Devis[[#This Row],[Prix de Revient]]</f>
        <v>0</v>
      </c>
      <c r="AA1480" s="74">
        <f>Devis[[#This Row],[Prix de Revient]]*Devis[[#This Row],[Poste 6]]</f>
        <v>0</v>
      </c>
      <c r="AB1480" s="74">
        <f>Devis[[#This Row],[Quantité Totale]]*Devis[[#This Row],[Prix de Revient]]</f>
        <v>0</v>
      </c>
    </row>
    <row r="1481" spans="1:28" ht="14.25" outlineLevel="1" x14ac:dyDescent="0.2">
      <c r="A1481" s="75" t="s">
        <v>3557</v>
      </c>
      <c r="B1481" s="76" t="s">
        <v>1194</v>
      </c>
      <c r="C1481" s="76"/>
      <c r="D1481" s="81" t="str">
        <f t="shared" si="26"/>
        <v>GalvaRéductions  MF 241</v>
      </c>
      <c r="E1481" s="76" t="s">
        <v>1226</v>
      </c>
      <c r="F1481" s="81">
        <v>6</v>
      </c>
      <c r="G1481" s="86" t="s">
        <v>1227</v>
      </c>
      <c r="H1481" s="71"/>
      <c r="I1481" s="75"/>
      <c r="J1481" s="70">
        <f>IFERROR(VLOOKUP(Devis[[#This Row],[Ref Air Flux]],#REF!,3,FALSE),0)</f>
        <v>0</v>
      </c>
      <c r="K1481" s="68"/>
      <c r="L1481" s="68"/>
      <c r="M1481" s="68"/>
      <c r="N1481" s="68"/>
      <c r="O1481" s="68"/>
      <c r="P1481" s="68"/>
      <c r="Q1481" s="68">
        <f>SUM(Devis[[#This Row],[Poste 1]:[Poste 6]])</f>
        <v>0</v>
      </c>
      <c r="R1481" s="71"/>
      <c r="S1481" s="68">
        <f>_xlfn.CEILING.MATH(Devis[[#This Row],[Quantité Totale]],Devis[[#This Row],[Conditionnement]])</f>
        <v>0</v>
      </c>
      <c r="T1481" s="72"/>
      <c r="U1481" s="106" t="s">
        <v>3480</v>
      </c>
      <c r="V1481" s="74">
        <f>Devis[[#This Row],[Prix de Revient]]*Devis[[#This Row],[Poste 1]]</f>
        <v>0</v>
      </c>
      <c r="W1481" s="74">
        <f>Devis[[#This Row],[Prix de Revient]]*Devis[[#This Row],[Poste 2]]</f>
        <v>0</v>
      </c>
      <c r="X1481" s="74">
        <f>Devis[[#This Row],[Prix de Revient]]*Devis[[#This Row],[Poste 3]]</f>
        <v>0</v>
      </c>
      <c r="Y1481" s="74">
        <f>Devis[[#This Row],[Poste 4]]*Devis[[#This Row],[Prix de Revient]]</f>
        <v>0</v>
      </c>
      <c r="Z1481" s="74">
        <f>Devis[[#This Row],[Poste 5]]*Devis[[#This Row],[Prix de Revient]]</f>
        <v>0</v>
      </c>
      <c r="AA1481" s="74">
        <f>Devis[[#This Row],[Prix de Revient]]*Devis[[#This Row],[Poste 6]]</f>
        <v>0</v>
      </c>
      <c r="AB1481" s="74">
        <f>Devis[[#This Row],[Quantité Totale]]*Devis[[#This Row],[Prix de Revient]]</f>
        <v>0</v>
      </c>
    </row>
    <row r="1482" spans="1:28" ht="14.25" outlineLevel="1" x14ac:dyDescent="0.2">
      <c r="A1482" s="75" t="s">
        <v>3557</v>
      </c>
      <c r="B1482" s="76" t="s">
        <v>1194</v>
      </c>
      <c r="C1482" s="76"/>
      <c r="D1482" s="81" t="str">
        <f t="shared" si="26"/>
        <v>GalvaRéductions  MF 241</v>
      </c>
      <c r="E1482" s="76" t="s">
        <v>1230</v>
      </c>
      <c r="F1482" s="81">
        <v>7</v>
      </c>
      <c r="G1482" s="86" t="s">
        <v>1231</v>
      </c>
      <c r="H1482" s="71"/>
      <c r="I1482" s="75"/>
      <c r="J1482" s="70">
        <f>IFERROR(VLOOKUP(Devis[[#This Row],[Ref Air Flux]],#REF!,3,FALSE),0)</f>
        <v>0</v>
      </c>
      <c r="K1482" s="68"/>
      <c r="L1482" s="68"/>
      <c r="M1482" s="68"/>
      <c r="N1482" s="68"/>
      <c r="O1482" s="68"/>
      <c r="P1482" s="68"/>
      <c r="Q1482" s="68">
        <f>SUM(Devis[[#This Row],[Poste 1]:[Poste 6]])</f>
        <v>0</v>
      </c>
      <c r="R1482" s="71"/>
      <c r="S1482" s="68">
        <f>_xlfn.CEILING.MATH(Devis[[#This Row],[Quantité Totale]],Devis[[#This Row],[Conditionnement]])</f>
        <v>0</v>
      </c>
      <c r="T1482" s="72"/>
      <c r="U1482" s="106"/>
      <c r="V1482" s="74">
        <f>Devis[[#This Row],[Prix de Revient]]*Devis[[#This Row],[Poste 1]]</f>
        <v>0</v>
      </c>
      <c r="W1482" s="74">
        <f>Devis[[#This Row],[Prix de Revient]]*Devis[[#This Row],[Poste 2]]</f>
        <v>0</v>
      </c>
      <c r="X1482" s="74">
        <f>Devis[[#This Row],[Prix de Revient]]*Devis[[#This Row],[Poste 3]]</f>
        <v>0</v>
      </c>
      <c r="Y1482" s="74">
        <f>Devis[[#This Row],[Poste 4]]*Devis[[#This Row],[Prix de Revient]]</f>
        <v>0</v>
      </c>
      <c r="Z1482" s="74">
        <f>Devis[[#This Row],[Poste 5]]*Devis[[#This Row],[Prix de Revient]]</f>
        <v>0</v>
      </c>
      <c r="AA1482" s="74">
        <f>Devis[[#This Row],[Prix de Revient]]*Devis[[#This Row],[Poste 6]]</f>
        <v>0</v>
      </c>
      <c r="AB1482" s="74">
        <f>Devis[[#This Row],[Quantité Totale]]*Devis[[#This Row],[Prix de Revient]]</f>
        <v>0</v>
      </c>
    </row>
    <row r="1483" spans="1:28" ht="14.25" outlineLevel="1" x14ac:dyDescent="0.2">
      <c r="A1483" s="75" t="s">
        <v>3557</v>
      </c>
      <c r="B1483" s="76" t="s">
        <v>1194</v>
      </c>
      <c r="C1483" s="76"/>
      <c r="D1483" s="81" t="str">
        <f t="shared" si="26"/>
        <v>GalvaRéductions  MF 241</v>
      </c>
      <c r="E1483" s="76" t="s">
        <v>1228</v>
      </c>
      <c r="F1483" s="81">
        <v>8</v>
      </c>
      <c r="G1483" s="86" t="s">
        <v>1229</v>
      </c>
      <c r="H1483" s="71"/>
      <c r="I1483" s="75"/>
      <c r="J1483" s="70">
        <f>IFERROR(VLOOKUP(Devis[[#This Row],[Ref Air Flux]],#REF!,3,FALSE),0)</f>
        <v>0</v>
      </c>
      <c r="K1483" s="68"/>
      <c r="L1483" s="68"/>
      <c r="M1483" s="68"/>
      <c r="N1483" s="68"/>
      <c r="O1483" s="68"/>
      <c r="P1483" s="68"/>
      <c r="Q1483" s="68">
        <f>SUM(Devis[[#This Row],[Poste 1]:[Poste 6]])</f>
        <v>0</v>
      </c>
      <c r="R1483" s="71"/>
      <c r="S1483" s="68">
        <f>_xlfn.CEILING.MATH(Devis[[#This Row],[Quantité Totale]],Devis[[#This Row],[Conditionnement]])</f>
        <v>0</v>
      </c>
      <c r="T1483" s="72"/>
      <c r="U1483" s="106"/>
      <c r="V1483" s="74">
        <f>Devis[[#This Row],[Prix de Revient]]*Devis[[#This Row],[Poste 1]]</f>
        <v>0</v>
      </c>
      <c r="W1483" s="74">
        <f>Devis[[#This Row],[Prix de Revient]]*Devis[[#This Row],[Poste 2]]</f>
        <v>0</v>
      </c>
      <c r="X1483" s="74">
        <f>Devis[[#This Row],[Prix de Revient]]*Devis[[#This Row],[Poste 3]]</f>
        <v>0</v>
      </c>
      <c r="Y1483" s="74">
        <f>Devis[[#This Row],[Poste 4]]*Devis[[#This Row],[Prix de Revient]]</f>
        <v>0</v>
      </c>
      <c r="Z1483" s="74">
        <f>Devis[[#This Row],[Poste 5]]*Devis[[#This Row],[Prix de Revient]]</f>
        <v>0</v>
      </c>
      <c r="AA1483" s="74">
        <f>Devis[[#This Row],[Prix de Revient]]*Devis[[#This Row],[Poste 6]]</f>
        <v>0</v>
      </c>
      <c r="AB1483" s="74">
        <f>Devis[[#This Row],[Quantité Totale]]*Devis[[#This Row],[Prix de Revient]]</f>
        <v>0</v>
      </c>
    </row>
    <row r="1484" spans="1:28" ht="14.25" outlineLevel="1" x14ac:dyDescent="0.2">
      <c r="A1484" s="75" t="s">
        <v>3557</v>
      </c>
      <c r="B1484" s="76" t="s">
        <v>1194</v>
      </c>
      <c r="C1484" s="76"/>
      <c r="D1484" s="81" t="str">
        <f t="shared" si="26"/>
        <v>GalvaRéductions  MF 241</v>
      </c>
      <c r="E1484" s="80" t="s">
        <v>1101</v>
      </c>
      <c r="F1484" s="81">
        <v>9</v>
      </c>
      <c r="G1484" s="86" t="s">
        <v>1246</v>
      </c>
      <c r="H1484" s="71"/>
      <c r="I1484" s="75"/>
      <c r="J1484" s="70">
        <f>IFERROR(VLOOKUP(Devis[[#This Row],[Ref Air Flux]],#REF!,3,FALSE),0)</f>
        <v>0</v>
      </c>
      <c r="K1484" s="68"/>
      <c r="L1484" s="68"/>
      <c r="M1484" s="68"/>
      <c r="N1484" s="68"/>
      <c r="O1484" s="68"/>
      <c r="P1484" s="68"/>
      <c r="Q1484" s="68">
        <f>SUM(Devis[[#This Row],[Poste 1]:[Poste 6]])</f>
        <v>0</v>
      </c>
      <c r="R1484" s="71"/>
      <c r="S1484" s="68">
        <f>_xlfn.CEILING.MATH(Devis[[#This Row],[Quantité Totale]],Devis[[#This Row],[Conditionnement]])</f>
        <v>0</v>
      </c>
      <c r="T1484" s="72"/>
      <c r="U1484" s="106"/>
      <c r="V1484" s="74">
        <f>Devis[[#This Row],[Prix de Revient]]*Devis[[#This Row],[Poste 1]]</f>
        <v>0</v>
      </c>
      <c r="W1484" s="74">
        <f>Devis[[#This Row],[Prix de Revient]]*Devis[[#This Row],[Poste 2]]</f>
        <v>0</v>
      </c>
      <c r="X1484" s="74">
        <f>Devis[[#This Row],[Prix de Revient]]*Devis[[#This Row],[Poste 3]]</f>
        <v>0</v>
      </c>
      <c r="Y1484" s="74">
        <f>Devis[[#This Row],[Poste 4]]*Devis[[#This Row],[Prix de Revient]]</f>
        <v>0</v>
      </c>
      <c r="Z1484" s="74">
        <f>Devis[[#This Row],[Poste 5]]*Devis[[#This Row],[Prix de Revient]]</f>
        <v>0</v>
      </c>
      <c r="AA1484" s="74">
        <f>Devis[[#This Row],[Prix de Revient]]*Devis[[#This Row],[Poste 6]]</f>
        <v>0</v>
      </c>
      <c r="AB1484" s="74">
        <f>Devis[[#This Row],[Quantité Totale]]*Devis[[#This Row],[Prix de Revient]]</f>
        <v>0</v>
      </c>
    </row>
    <row r="1485" spans="1:28" ht="14.25" outlineLevel="1" x14ac:dyDescent="0.2">
      <c r="A1485" s="75" t="s">
        <v>3557</v>
      </c>
      <c r="B1485" s="76" t="s">
        <v>1194</v>
      </c>
      <c r="C1485" s="76"/>
      <c r="D1485" s="81" t="str">
        <f t="shared" si="26"/>
        <v>GalvaRéductions  MF 241</v>
      </c>
      <c r="E1485" s="76" t="s">
        <v>1103</v>
      </c>
      <c r="F1485" s="81">
        <v>10</v>
      </c>
      <c r="G1485" s="86" t="s">
        <v>1247</v>
      </c>
      <c r="H1485" s="71"/>
      <c r="I1485" s="75"/>
      <c r="J1485" s="70">
        <f>IFERROR(VLOOKUP(Devis[[#This Row],[Ref Air Flux]],#REF!,3,FALSE),0)</f>
        <v>0</v>
      </c>
      <c r="K1485" s="68"/>
      <c r="L1485" s="68"/>
      <c r="M1485" s="68"/>
      <c r="N1485" s="68"/>
      <c r="O1485" s="68"/>
      <c r="P1485" s="68"/>
      <c r="Q1485" s="68">
        <f>SUM(Devis[[#This Row],[Poste 1]:[Poste 6]])</f>
        <v>0</v>
      </c>
      <c r="R1485" s="71"/>
      <c r="S1485" s="68">
        <f>_xlfn.CEILING.MATH(Devis[[#This Row],[Quantité Totale]],Devis[[#This Row],[Conditionnement]])</f>
        <v>0</v>
      </c>
      <c r="T1485" s="72"/>
      <c r="U1485" s="106"/>
      <c r="V1485" s="74">
        <f>Devis[[#This Row],[Prix de Revient]]*Devis[[#This Row],[Poste 1]]</f>
        <v>0</v>
      </c>
      <c r="W1485" s="74">
        <f>Devis[[#This Row],[Prix de Revient]]*Devis[[#This Row],[Poste 2]]</f>
        <v>0</v>
      </c>
      <c r="X1485" s="74">
        <f>Devis[[#This Row],[Prix de Revient]]*Devis[[#This Row],[Poste 3]]</f>
        <v>0</v>
      </c>
      <c r="Y1485" s="74">
        <f>Devis[[#This Row],[Poste 4]]*Devis[[#This Row],[Prix de Revient]]</f>
        <v>0</v>
      </c>
      <c r="Z1485" s="74">
        <f>Devis[[#This Row],[Poste 5]]*Devis[[#This Row],[Prix de Revient]]</f>
        <v>0</v>
      </c>
      <c r="AA1485" s="74">
        <f>Devis[[#This Row],[Prix de Revient]]*Devis[[#This Row],[Poste 6]]</f>
        <v>0</v>
      </c>
      <c r="AB1485" s="74">
        <f>Devis[[#This Row],[Quantité Totale]]*Devis[[#This Row],[Prix de Revient]]</f>
        <v>0</v>
      </c>
    </row>
    <row r="1486" spans="1:28" ht="14.25" customHeight="1" outlineLevel="1" x14ac:dyDescent="0.2">
      <c r="A1486" s="75" t="s">
        <v>3557</v>
      </c>
      <c r="B1486" s="76" t="s">
        <v>1194</v>
      </c>
      <c r="C1486" s="76"/>
      <c r="D1486" s="81" t="str">
        <f t="shared" si="26"/>
        <v>GalvaRéductions  MF 241</v>
      </c>
      <c r="E1486" s="76" t="s">
        <v>1244</v>
      </c>
      <c r="F1486" s="81">
        <v>11</v>
      </c>
      <c r="G1486" s="86" t="s">
        <v>1245</v>
      </c>
      <c r="H1486" s="71"/>
      <c r="I1486" s="75"/>
      <c r="J1486" s="70">
        <f>IFERROR(VLOOKUP(Devis[[#This Row],[Ref Air Flux]],#REF!,3,FALSE),0)</f>
        <v>0</v>
      </c>
      <c r="K1486" s="68"/>
      <c r="L1486" s="68"/>
      <c r="M1486" s="68"/>
      <c r="N1486" s="68"/>
      <c r="O1486" s="68"/>
      <c r="P1486" s="68"/>
      <c r="Q1486" s="68">
        <f>SUM(Devis[[#This Row],[Poste 1]:[Poste 6]])</f>
        <v>0</v>
      </c>
      <c r="R1486" s="71"/>
      <c r="S1486" s="68">
        <f>_xlfn.CEILING.MATH(Devis[[#This Row],[Quantité Totale]],Devis[[#This Row],[Conditionnement]])</f>
        <v>0</v>
      </c>
      <c r="T1486" s="72"/>
      <c r="U1486" s="106"/>
      <c r="V1486" s="74">
        <f>Devis[[#This Row],[Prix de Revient]]*Devis[[#This Row],[Poste 1]]</f>
        <v>0</v>
      </c>
      <c r="W1486" s="74">
        <f>Devis[[#This Row],[Prix de Revient]]*Devis[[#This Row],[Poste 2]]</f>
        <v>0</v>
      </c>
      <c r="X1486" s="74">
        <f>Devis[[#This Row],[Prix de Revient]]*Devis[[#This Row],[Poste 3]]</f>
        <v>0</v>
      </c>
      <c r="Y1486" s="74">
        <f>Devis[[#This Row],[Poste 4]]*Devis[[#This Row],[Prix de Revient]]</f>
        <v>0</v>
      </c>
      <c r="Z1486" s="74">
        <f>Devis[[#This Row],[Poste 5]]*Devis[[#This Row],[Prix de Revient]]</f>
        <v>0</v>
      </c>
      <c r="AA1486" s="74">
        <f>Devis[[#This Row],[Prix de Revient]]*Devis[[#This Row],[Poste 6]]</f>
        <v>0</v>
      </c>
      <c r="AB1486" s="74">
        <f>Devis[[#This Row],[Quantité Totale]]*Devis[[#This Row],[Prix de Revient]]</f>
        <v>0</v>
      </c>
    </row>
    <row r="1487" spans="1:28" ht="14.25" customHeight="1" outlineLevel="1" x14ac:dyDescent="0.2">
      <c r="A1487" s="75" t="s">
        <v>3557</v>
      </c>
      <c r="B1487" s="76" t="s">
        <v>1194</v>
      </c>
      <c r="C1487" s="76"/>
      <c r="D1487" s="81" t="str">
        <f t="shared" si="26"/>
        <v>GalvaRéductions  MF 241</v>
      </c>
      <c r="E1487" s="76" t="s">
        <v>1232</v>
      </c>
      <c r="F1487" s="81">
        <v>12</v>
      </c>
      <c r="G1487" s="86" t="s">
        <v>1233</v>
      </c>
      <c r="H1487" s="71"/>
      <c r="I1487" s="75"/>
      <c r="J1487" s="70">
        <f>IFERROR(VLOOKUP(Devis[[#This Row],[Ref Air Flux]],#REF!,3,FALSE),0)</f>
        <v>0</v>
      </c>
      <c r="K1487" s="68"/>
      <c r="L1487" s="68"/>
      <c r="M1487" s="68"/>
      <c r="N1487" s="68"/>
      <c r="O1487" s="68"/>
      <c r="P1487" s="68"/>
      <c r="Q1487" s="68">
        <f>SUM(Devis[[#This Row],[Poste 1]:[Poste 6]])</f>
        <v>0</v>
      </c>
      <c r="R1487" s="71"/>
      <c r="S1487" s="68">
        <f>_xlfn.CEILING.MATH(Devis[[#This Row],[Quantité Totale]],Devis[[#This Row],[Conditionnement]])</f>
        <v>0</v>
      </c>
      <c r="T1487" s="72"/>
      <c r="U1487" s="106"/>
      <c r="V1487" s="74">
        <f>Devis[[#This Row],[Prix de Revient]]*Devis[[#This Row],[Poste 1]]</f>
        <v>0</v>
      </c>
      <c r="W1487" s="74">
        <f>Devis[[#This Row],[Prix de Revient]]*Devis[[#This Row],[Poste 2]]</f>
        <v>0</v>
      </c>
      <c r="X1487" s="74">
        <f>Devis[[#This Row],[Prix de Revient]]*Devis[[#This Row],[Poste 3]]</f>
        <v>0</v>
      </c>
      <c r="Y1487" s="74">
        <f>Devis[[#This Row],[Poste 4]]*Devis[[#This Row],[Prix de Revient]]</f>
        <v>0</v>
      </c>
      <c r="Z1487" s="74">
        <f>Devis[[#This Row],[Poste 5]]*Devis[[#This Row],[Prix de Revient]]</f>
        <v>0</v>
      </c>
      <c r="AA1487" s="74">
        <f>Devis[[#This Row],[Prix de Revient]]*Devis[[#This Row],[Poste 6]]</f>
        <v>0</v>
      </c>
      <c r="AB1487" s="74">
        <f>Devis[[#This Row],[Quantité Totale]]*Devis[[#This Row],[Prix de Revient]]</f>
        <v>0</v>
      </c>
    </row>
    <row r="1488" spans="1:28" ht="14.25" outlineLevel="1" x14ac:dyDescent="0.2">
      <c r="A1488" s="75" t="s">
        <v>3557</v>
      </c>
      <c r="B1488" s="76" t="s">
        <v>1194</v>
      </c>
      <c r="C1488" s="76"/>
      <c r="D1488" s="81" t="str">
        <f t="shared" si="26"/>
        <v>GalvaRéductions  MF 241</v>
      </c>
      <c r="E1488" s="80" t="s">
        <v>1236</v>
      </c>
      <c r="F1488" s="81">
        <v>13</v>
      </c>
      <c r="G1488" s="86" t="s">
        <v>1237</v>
      </c>
      <c r="H1488" s="71"/>
      <c r="I1488" s="75"/>
      <c r="J1488" s="70">
        <f>IFERROR(VLOOKUP(Devis[[#This Row],[Ref Air Flux]],#REF!,3,FALSE),0)</f>
        <v>0</v>
      </c>
      <c r="K1488" s="68"/>
      <c r="L1488" s="68"/>
      <c r="M1488" s="68"/>
      <c r="N1488" s="68"/>
      <c r="O1488" s="68"/>
      <c r="P1488" s="68"/>
      <c r="Q1488" s="68">
        <f>SUM(Devis[[#This Row],[Poste 1]:[Poste 6]])</f>
        <v>0</v>
      </c>
      <c r="R1488" s="71"/>
      <c r="S1488" s="68">
        <f>_xlfn.CEILING.MATH(Devis[[#This Row],[Quantité Totale]],Devis[[#This Row],[Conditionnement]])</f>
        <v>0</v>
      </c>
      <c r="T1488" s="72"/>
      <c r="U1488" s="106"/>
      <c r="V1488" s="74">
        <f>Devis[[#This Row],[Prix de Revient]]*Devis[[#This Row],[Poste 1]]</f>
        <v>0</v>
      </c>
      <c r="W1488" s="74">
        <f>Devis[[#This Row],[Prix de Revient]]*Devis[[#This Row],[Poste 2]]</f>
        <v>0</v>
      </c>
      <c r="X1488" s="74">
        <f>Devis[[#This Row],[Prix de Revient]]*Devis[[#This Row],[Poste 3]]</f>
        <v>0</v>
      </c>
      <c r="Y1488" s="74">
        <f>Devis[[#This Row],[Poste 4]]*Devis[[#This Row],[Prix de Revient]]</f>
        <v>0</v>
      </c>
      <c r="Z1488" s="74">
        <f>Devis[[#This Row],[Poste 5]]*Devis[[#This Row],[Prix de Revient]]</f>
        <v>0</v>
      </c>
      <c r="AA1488" s="74">
        <f>Devis[[#This Row],[Prix de Revient]]*Devis[[#This Row],[Poste 6]]</f>
        <v>0</v>
      </c>
      <c r="AB1488" s="74">
        <f>Devis[[#This Row],[Quantité Totale]]*Devis[[#This Row],[Prix de Revient]]</f>
        <v>0</v>
      </c>
    </row>
    <row r="1489" spans="1:28" ht="14.25" outlineLevel="1" x14ac:dyDescent="0.2">
      <c r="A1489" s="75" t="s">
        <v>3557</v>
      </c>
      <c r="B1489" s="76" t="s">
        <v>1194</v>
      </c>
      <c r="C1489" s="76"/>
      <c r="D1489" s="81" t="str">
        <f t="shared" si="26"/>
        <v>GalvaRéductions  MF 241</v>
      </c>
      <c r="E1489" s="76" t="s">
        <v>1192</v>
      </c>
      <c r="F1489" s="81">
        <v>14</v>
      </c>
      <c r="G1489" s="86" t="s">
        <v>1250</v>
      </c>
      <c r="H1489" s="71"/>
      <c r="I1489" s="75"/>
      <c r="J1489" s="70">
        <f>IFERROR(VLOOKUP(Devis[[#This Row],[Ref Air Flux]],#REF!,3,FALSE),0)</f>
        <v>0</v>
      </c>
      <c r="K1489" s="68"/>
      <c r="L1489" s="68"/>
      <c r="M1489" s="68"/>
      <c r="N1489" s="68"/>
      <c r="O1489" s="68"/>
      <c r="P1489" s="68"/>
      <c r="Q1489" s="68">
        <f>SUM(Devis[[#This Row],[Poste 1]:[Poste 6]])</f>
        <v>0</v>
      </c>
      <c r="R1489" s="71"/>
      <c r="S1489" s="68">
        <f>_xlfn.CEILING.MATH(Devis[[#This Row],[Quantité Totale]],Devis[[#This Row],[Conditionnement]])</f>
        <v>0</v>
      </c>
      <c r="T1489" s="72"/>
      <c r="U1489" s="106"/>
      <c r="V1489" s="74">
        <f>Devis[[#This Row],[Prix de Revient]]*Devis[[#This Row],[Poste 1]]</f>
        <v>0</v>
      </c>
      <c r="W1489" s="74">
        <f>Devis[[#This Row],[Prix de Revient]]*Devis[[#This Row],[Poste 2]]</f>
        <v>0</v>
      </c>
      <c r="X1489" s="74">
        <f>Devis[[#This Row],[Prix de Revient]]*Devis[[#This Row],[Poste 3]]</f>
        <v>0</v>
      </c>
      <c r="Y1489" s="74">
        <f>Devis[[#This Row],[Poste 4]]*Devis[[#This Row],[Prix de Revient]]</f>
        <v>0</v>
      </c>
      <c r="Z1489" s="74">
        <f>Devis[[#This Row],[Poste 5]]*Devis[[#This Row],[Prix de Revient]]</f>
        <v>0</v>
      </c>
      <c r="AA1489" s="74">
        <f>Devis[[#This Row],[Prix de Revient]]*Devis[[#This Row],[Poste 6]]</f>
        <v>0</v>
      </c>
      <c r="AB1489" s="74">
        <f>Devis[[#This Row],[Quantité Totale]]*Devis[[#This Row],[Prix de Revient]]</f>
        <v>0</v>
      </c>
    </row>
    <row r="1490" spans="1:28" ht="14.25" outlineLevel="1" x14ac:dyDescent="0.2">
      <c r="A1490" s="75" t="s">
        <v>3557</v>
      </c>
      <c r="B1490" s="76" t="s">
        <v>1194</v>
      </c>
      <c r="C1490" s="76"/>
      <c r="D1490" s="81" t="str">
        <f t="shared" si="26"/>
        <v>GalvaRéductions  MF 241</v>
      </c>
      <c r="E1490" s="76" t="s">
        <v>1212</v>
      </c>
      <c r="F1490" s="81">
        <v>15</v>
      </c>
      <c r="G1490" s="86" t="s">
        <v>1213</v>
      </c>
      <c r="H1490" s="71"/>
      <c r="I1490" s="75"/>
      <c r="J1490" s="70">
        <f>IFERROR(VLOOKUP(Devis[[#This Row],[Ref Air Flux]],#REF!,3,FALSE),0)</f>
        <v>0</v>
      </c>
      <c r="K1490" s="68"/>
      <c r="L1490" s="68"/>
      <c r="M1490" s="68"/>
      <c r="N1490" s="68"/>
      <c r="O1490" s="68"/>
      <c r="P1490" s="68"/>
      <c r="Q1490" s="68">
        <f>SUM(Devis[[#This Row],[Poste 1]:[Poste 6]])</f>
        <v>0</v>
      </c>
      <c r="R1490" s="71"/>
      <c r="S1490" s="68">
        <f>_xlfn.CEILING.MATH(Devis[[#This Row],[Quantité Totale]],Devis[[#This Row],[Conditionnement]])</f>
        <v>0</v>
      </c>
      <c r="T1490" s="72"/>
      <c r="U1490" s="106"/>
      <c r="V1490" s="74">
        <f>Devis[[#This Row],[Prix de Revient]]*Devis[[#This Row],[Poste 1]]</f>
        <v>0</v>
      </c>
      <c r="W1490" s="74">
        <f>Devis[[#This Row],[Prix de Revient]]*Devis[[#This Row],[Poste 2]]</f>
        <v>0</v>
      </c>
      <c r="X1490" s="74">
        <f>Devis[[#This Row],[Prix de Revient]]*Devis[[#This Row],[Poste 3]]</f>
        <v>0</v>
      </c>
      <c r="Y1490" s="74">
        <f>Devis[[#This Row],[Poste 4]]*Devis[[#This Row],[Prix de Revient]]</f>
        <v>0</v>
      </c>
      <c r="Z1490" s="74">
        <f>Devis[[#This Row],[Poste 5]]*Devis[[#This Row],[Prix de Revient]]</f>
        <v>0</v>
      </c>
      <c r="AA1490" s="74">
        <f>Devis[[#This Row],[Prix de Revient]]*Devis[[#This Row],[Poste 6]]</f>
        <v>0</v>
      </c>
      <c r="AB1490" s="74">
        <f>Devis[[#This Row],[Quantité Totale]]*Devis[[#This Row],[Prix de Revient]]</f>
        <v>0</v>
      </c>
    </row>
    <row r="1491" spans="1:28" ht="14.25" customHeight="1" outlineLevel="1" x14ac:dyDescent="0.2">
      <c r="A1491" s="75" t="s">
        <v>3557</v>
      </c>
      <c r="B1491" s="76" t="s">
        <v>1194</v>
      </c>
      <c r="C1491" s="76"/>
      <c r="D1491" s="81" t="str">
        <f t="shared" ref="D1491:D1554" si="27">A1491&amp;B1491&amp;C1491</f>
        <v>GalvaRéductions  MF 241</v>
      </c>
      <c r="E1491" s="76" t="s">
        <v>1208</v>
      </c>
      <c r="F1491" s="81">
        <v>16</v>
      </c>
      <c r="G1491" s="86" t="s">
        <v>1209</v>
      </c>
      <c r="H1491" s="71"/>
      <c r="I1491" s="75"/>
      <c r="J1491" s="70">
        <f>IFERROR(VLOOKUP(Devis[[#This Row],[Ref Air Flux]],#REF!,3,FALSE),0)</f>
        <v>0</v>
      </c>
      <c r="K1491" s="68"/>
      <c r="L1491" s="68"/>
      <c r="M1491" s="68"/>
      <c r="N1491" s="68"/>
      <c r="O1491" s="68"/>
      <c r="P1491" s="68"/>
      <c r="Q1491" s="68">
        <f>SUM(Devis[[#This Row],[Poste 1]:[Poste 6]])</f>
        <v>0</v>
      </c>
      <c r="R1491" s="71"/>
      <c r="S1491" s="68">
        <f>_xlfn.CEILING.MATH(Devis[[#This Row],[Quantité Totale]],Devis[[#This Row],[Conditionnement]])</f>
        <v>0</v>
      </c>
      <c r="T1491" s="72"/>
      <c r="U1491" s="106"/>
      <c r="V1491" s="74">
        <f>Devis[[#This Row],[Prix de Revient]]*Devis[[#This Row],[Poste 1]]</f>
        <v>0</v>
      </c>
      <c r="W1491" s="74">
        <f>Devis[[#This Row],[Prix de Revient]]*Devis[[#This Row],[Poste 2]]</f>
        <v>0</v>
      </c>
      <c r="X1491" s="74">
        <f>Devis[[#This Row],[Prix de Revient]]*Devis[[#This Row],[Poste 3]]</f>
        <v>0</v>
      </c>
      <c r="Y1491" s="74">
        <f>Devis[[#This Row],[Poste 4]]*Devis[[#This Row],[Prix de Revient]]</f>
        <v>0</v>
      </c>
      <c r="Z1491" s="74">
        <f>Devis[[#This Row],[Poste 5]]*Devis[[#This Row],[Prix de Revient]]</f>
        <v>0</v>
      </c>
      <c r="AA1491" s="74">
        <f>Devis[[#This Row],[Prix de Revient]]*Devis[[#This Row],[Poste 6]]</f>
        <v>0</v>
      </c>
      <c r="AB1491" s="74">
        <f>Devis[[#This Row],[Quantité Totale]]*Devis[[#This Row],[Prix de Revient]]</f>
        <v>0</v>
      </c>
    </row>
    <row r="1492" spans="1:28" ht="14.25" outlineLevel="1" x14ac:dyDescent="0.2">
      <c r="A1492" s="75" t="s">
        <v>3557</v>
      </c>
      <c r="B1492" s="76" t="s">
        <v>1194</v>
      </c>
      <c r="C1492" s="76"/>
      <c r="D1492" s="81" t="str">
        <f t="shared" si="27"/>
        <v>GalvaRéductions  MF 241</v>
      </c>
      <c r="E1492" s="76" t="s">
        <v>1210</v>
      </c>
      <c r="F1492" s="81">
        <v>17</v>
      </c>
      <c r="G1492" s="86" t="s">
        <v>1211</v>
      </c>
      <c r="H1492" s="71"/>
      <c r="I1492" s="75"/>
      <c r="J1492" s="70">
        <f>IFERROR(VLOOKUP(Devis[[#This Row],[Ref Air Flux]],#REF!,3,FALSE),0)</f>
        <v>0</v>
      </c>
      <c r="K1492" s="68"/>
      <c r="L1492" s="68"/>
      <c r="M1492" s="68"/>
      <c r="N1492" s="68"/>
      <c r="O1492" s="68"/>
      <c r="P1492" s="68"/>
      <c r="Q1492" s="68">
        <f>SUM(Devis[[#This Row],[Poste 1]:[Poste 6]])</f>
        <v>0</v>
      </c>
      <c r="R1492" s="71"/>
      <c r="S1492" s="68">
        <f>_xlfn.CEILING.MATH(Devis[[#This Row],[Quantité Totale]],Devis[[#This Row],[Conditionnement]])</f>
        <v>0</v>
      </c>
      <c r="T1492" s="72"/>
      <c r="U1492" s="106"/>
      <c r="V1492" s="74">
        <f>Devis[[#This Row],[Prix de Revient]]*Devis[[#This Row],[Poste 1]]</f>
        <v>0</v>
      </c>
      <c r="W1492" s="74">
        <f>Devis[[#This Row],[Prix de Revient]]*Devis[[#This Row],[Poste 2]]</f>
        <v>0</v>
      </c>
      <c r="X1492" s="74">
        <f>Devis[[#This Row],[Prix de Revient]]*Devis[[#This Row],[Poste 3]]</f>
        <v>0</v>
      </c>
      <c r="Y1492" s="74">
        <f>Devis[[#This Row],[Poste 4]]*Devis[[#This Row],[Prix de Revient]]</f>
        <v>0</v>
      </c>
      <c r="Z1492" s="74">
        <f>Devis[[#This Row],[Poste 5]]*Devis[[#This Row],[Prix de Revient]]</f>
        <v>0</v>
      </c>
      <c r="AA1492" s="74">
        <f>Devis[[#This Row],[Prix de Revient]]*Devis[[#This Row],[Poste 6]]</f>
        <v>0</v>
      </c>
      <c r="AB1492" s="74">
        <f>Devis[[#This Row],[Quantité Totale]]*Devis[[#This Row],[Prix de Revient]]</f>
        <v>0</v>
      </c>
    </row>
    <row r="1493" spans="1:28" ht="14.25" customHeight="1" outlineLevel="1" x14ac:dyDescent="0.2">
      <c r="A1493" s="75" t="s">
        <v>3557</v>
      </c>
      <c r="B1493" s="76" t="s">
        <v>1194</v>
      </c>
      <c r="C1493" s="76"/>
      <c r="D1493" s="81" t="str">
        <f t="shared" si="27"/>
        <v>GalvaRéductions  MF 241</v>
      </c>
      <c r="E1493" s="76" t="s">
        <v>1216</v>
      </c>
      <c r="F1493" s="81">
        <v>18</v>
      </c>
      <c r="G1493" s="86" t="s">
        <v>1217</v>
      </c>
      <c r="H1493" s="71"/>
      <c r="I1493" s="75"/>
      <c r="J1493" s="70">
        <f>IFERROR(VLOOKUP(Devis[[#This Row],[Ref Air Flux]],#REF!,3,FALSE),0)</f>
        <v>0</v>
      </c>
      <c r="K1493" s="68"/>
      <c r="L1493" s="68"/>
      <c r="M1493" s="68"/>
      <c r="N1493" s="68"/>
      <c r="O1493" s="68"/>
      <c r="P1493" s="68"/>
      <c r="Q1493" s="68">
        <f>SUM(Devis[[#This Row],[Poste 1]:[Poste 6]])</f>
        <v>0</v>
      </c>
      <c r="R1493" s="71"/>
      <c r="S1493" s="68">
        <f>_xlfn.CEILING.MATH(Devis[[#This Row],[Quantité Totale]],Devis[[#This Row],[Conditionnement]])</f>
        <v>0</v>
      </c>
      <c r="T1493" s="72"/>
      <c r="U1493" s="106"/>
      <c r="V1493" s="74">
        <f>Devis[[#This Row],[Prix de Revient]]*Devis[[#This Row],[Poste 1]]</f>
        <v>0</v>
      </c>
      <c r="W1493" s="74">
        <f>Devis[[#This Row],[Prix de Revient]]*Devis[[#This Row],[Poste 2]]</f>
        <v>0</v>
      </c>
      <c r="X1493" s="74">
        <f>Devis[[#This Row],[Prix de Revient]]*Devis[[#This Row],[Poste 3]]</f>
        <v>0</v>
      </c>
      <c r="Y1493" s="74">
        <f>Devis[[#This Row],[Poste 4]]*Devis[[#This Row],[Prix de Revient]]</f>
        <v>0</v>
      </c>
      <c r="Z1493" s="74">
        <f>Devis[[#This Row],[Poste 5]]*Devis[[#This Row],[Prix de Revient]]</f>
        <v>0</v>
      </c>
      <c r="AA1493" s="74">
        <f>Devis[[#This Row],[Prix de Revient]]*Devis[[#This Row],[Poste 6]]</f>
        <v>0</v>
      </c>
      <c r="AB1493" s="74">
        <f>Devis[[#This Row],[Quantité Totale]]*Devis[[#This Row],[Prix de Revient]]</f>
        <v>0</v>
      </c>
    </row>
    <row r="1494" spans="1:28" ht="14.25" customHeight="1" outlineLevel="1" x14ac:dyDescent="0.2">
      <c r="A1494" s="75" t="s">
        <v>3557</v>
      </c>
      <c r="B1494" s="76" t="s">
        <v>1194</v>
      </c>
      <c r="C1494" s="76"/>
      <c r="D1494" s="81" t="str">
        <f t="shared" si="27"/>
        <v>GalvaRéductions  MF 241</v>
      </c>
      <c r="E1494" s="76" t="s">
        <v>1206</v>
      </c>
      <c r="F1494" s="81">
        <v>19</v>
      </c>
      <c r="G1494" s="86" t="s">
        <v>1207</v>
      </c>
      <c r="H1494" s="71"/>
      <c r="I1494" s="75"/>
      <c r="J1494" s="70">
        <f>IFERROR(VLOOKUP(Devis[[#This Row],[Ref Air Flux]],#REF!,3,FALSE),0)</f>
        <v>0</v>
      </c>
      <c r="K1494" s="68"/>
      <c r="L1494" s="68"/>
      <c r="M1494" s="68"/>
      <c r="N1494" s="68"/>
      <c r="O1494" s="68"/>
      <c r="P1494" s="68"/>
      <c r="Q1494" s="68">
        <f>SUM(Devis[[#This Row],[Poste 1]:[Poste 6]])</f>
        <v>0</v>
      </c>
      <c r="R1494" s="71"/>
      <c r="S1494" s="68">
        <f>_xlfn.CEILING.MATH(Devis[[#This Row],[Quantité Totale]],Devis[[#This Row],[Conditionnement]])</f>
        <v>0</v>
      </c>
      <c r="T1494" s="72"/>
      <c r="U1494" s="106"/>
      <c r="V1494" s="74">
        <f>Devis[[#This Row],[Prix de Revient]]*Devis[[#This Row],[Poste 1]]</f>
        <v>0</v>
      </c>
      <c r="W1494" s="74">
        <f>Devis[[#This Row],[Prix de Revient]]*Devis[[#This Row],[Poste 2]]</f>
        <v>0</v>
      </c>
      <c r="X1494" s="74">
        <f>Devis[[#This Row],[Prix de Revient]]*Devis[[#This Row],[Poste 3]]</f>
        <v>0</v>
      </c>
      <c r="Y1494" s="74">
        <f>Devis[[#This Row],[Poste 4]]*Devis[[#This Row],[Prix de Revient]]</f>
        <v>0</v>
      </c>
      <c r="Z1494" s="74">
        <f>Devis[[#This Row],[Poste 5]]*Devis[[#This Row],[Prix de Revient]]</f>
        <v>0</v>
      </c>
      <c r="AA1494" s="74">
        <f>Devis[[#This Row],[Prix de Revient]]*Devis[[#This Row],[Poste 6]]</f>
        <v>0</v>
      </c>
      <c r="AB1494" s="74">
        <f>Devis[[#This Row],[Quantité Totale]]*Devis[[#This Row],[Prix de Revient]]</f>
        <v>0</v>
      </c>
    </row>
    <row r="1495" spans="1:28" ht="14.25" customHeight="1" outlineLevel="1" x14ac:dyDescent="0.2">
      <c r="A1495" s="75" t="s">
        <v>3557</v>
      </c>
      <c r="B1495" s="76" t="s">
        <v>1194</v>
      </c>
      <c r="C1495" s="76"/>
      <c r="D1495" s="81" t="str">
        <f t="shared" si="27"/>
        <v>GalvaRéductions  MF 241</v>
      </c>
      <c r="E1495" s="76" t="s">
        <v>1204</v>
      </c>
      <c r="F1495" s="81">
        <v>20</v>
      </c>
      <c r="G1495" s="86" t="s">
        <v>1205</v>
      </c>
      <c r="H1495" s="71"/>
      <c r="I1495" s="75"/>
      <c r="J1495" s="70">
        <f>IFERROR(VLOOKUP(Devis[[#This Row],[Ref Air Flux]],#REF!,3,FALSE),0)</f>
        <v>0</v>
      </c>
      <c r="K1495" s="68"/>
      <c r="L1495" s="68"/>
      <c r="M1495" s="68"/>
      <c r="N1495" s="68"/>
      <c r="O1495" s="68"/>
      <c r="P1495" s="68"/>
      <c r="Q1495" s="68">
        <f>SUM(Devis[[#This Row],[Poste 1]:[Poste 6]])</f>
        <v>0</v>
      </c>
      <c r="R1495" s="71"/>
      <c r="S1495" s="68">
        <f>_xlfn.CEILING.MATH(Devis[[#This Row],[Quantité Totale]],Devis[[#This Row],[Conditionnement]])</f>
        <v>0</v>
      </c>
      <c r="T1495" s="72"/>
      <c r="U1495" s="106"/>
      <c r="V1495" s="74">
        <f>Devis[[#This Row],[Prix de Revient]]*Devis[[#This Row],[Poste 1]]</f>
        <v>0</v>
      </c>
      <c r="W1495" s="74">
        <f>Devis[[#This Row],[Prix de Revient]]*Devis[[#This Row],[Poste 2]]</f>
        <v>0</v>
      </c>
      <c r="X1495" s="74">
        <f>Devis[[#This Row],[Prix de Revient]]*Devis[[#This Row],[Poste 3]]</f>
        <v>0</v>
      </c>
      <c r="Y1495" s="74">
        <f>Devis[[#This Row],[Poste 4]]*Devis[[#This Row],[Prix de Revient]]</f>
        <v>0</v>
      </c>
      <c r="Z1495" s="74">
        <f>Devis[[#This Row],[Poste 5]]*Devis[[#This Row],[Prix de Revient]]</f>
        <v>0</v>
      </c>
      <c r="AA1495" s="74">
        <f>Devis[[#This Row],[Prix de Revient]]*Devis[[#This Row],[Poste 6]]</f>
        <v>0</v>
      </c>
      <c r="AB1495" s="74">
        <f>Devis[[#This Row],[Quantité Totale]]*Devis[[#This Row],[Prix de Revient]]</f>
        <v>0</v>
      </c>
    </row>
    <row r="1496" spans="1:28" ht="14.25" customHeight="1" outlineLevel="1" x14ac:dyDescent="0.2">
      <c r="A1496" s="75" t="s">
        <v>3557</v>
      </c>
      <c r="B1496" s="76" t="s">
        <v>1194</v>
      </c>
      <c r="C1496" s="76"/>
      <c r="D1496" s="81" t="str">
        <f t="shared" si="27"/>
        <v>GalvaRéductions  MF 241</v>
      </c>
      <c r="E1496" s="76" t="s">
        <v>1214</v>
      </c>
      <c r="F1496" s="81">
        <v>21</v>
      </c>
      <c r="G1496" s="86" t="s">
        <v>1215</v>
      </c>
      <c r="H1496" s="71"/>
      <c r="I1496" s="75"/>
      <c r="J1496" s="70">
        <f>IFERROR(VLOOKUP(Devis[[#This Row],[Ref Air Flux]],#REF!,3,FALSE),0)</f>
        <v>0</v>
      </c>
      <c r="K1496" s="68"/>
      <c r="L1496" s="68"/>
      <c r="M1496" s="68"/>
      <c r="N1496" s="68"/>
      <c r="O1496" s="68"/>
      <c r="P1496" s="68"/>
      <c r="Q1496" s="68">
        <f>SUM(Devis[[#This Row],[Poste 1]:[Poste 6]])</f>
        <v>0</v>
      </c>
      <c r="R1496" s="71"/>
      <c r="S1496" s="68">
        <f>_xlfn.CEILING.MATH(Devis[[#This Row],[Quantité Totale]],Devis[[#This Row],[Conditionnement]])</f>
        <v>0</v>
      </c>
      <c r="T1496" s="72"/>
      <c r="U1496" s="106"/>
      <c r="V1496" s="74">
        <f>Devis[[#This Row],[Prix de Revient]]*Devis[[#This Row],[Poste 1]]</f>
        <v>0</v>
      </c>
      <c r="W1496" s="74">
        <f>Devis[[#This Row],[Prix de Revient]]*Devis[[#This Row],[Poste 2]]</f>
        <v>0</v>
      </c>
      <c r="X1496" s="74">
        <f>Devis[[#This Row],[Prix de Revient]]*Devis[[#This Row],[Poste 3]]</f>
        <v>0</v>
      </c>
      <c r="Y1496" s="74">
        <f>Devis[[#This Row],[Poste 4]]*Devis[[#This Row],[Prix de Revient]]</f>
        <v>0</v>
      </c>
      <c r="Z1496" s="74">
        <f>Devis[[#This Row],[Poste 5]]*Devis[[#This Row],[Prix de Revient]]</f>
        <v>0</v>
      </c>
      <c r="AA1496" s="74">
        <f>Devis[[#This Row],[Prix de Revient]]*Devis[[#This Row],[Poste 6]]</f>
        <v>0</v>
      </c>
      <c r="AB1496" s="74">
        <f>Devis[[#This Row],[Quantité Totale]]*Devis[[#This Row],[Prix de Revient]]</f>
        <v>0</v>
      </c>
    </row>
    <row r="1497" spans="1:28" ht="14.25" customHeight="1" outlineLevel="1" x14ac:dyDescent="0.2">
      <c r="A1497" s="75" t="s">
        <v>3557</v>
      </c>
      <c r="B1497" s="76" t="s">
        <v>1194</v>
      </c>
      <c r="C1497" s="76"/>
      <c r="D1497" s="81" t="str">
        <f t="shared" si="27"/>
        <v>GalvaRéductions  MF 241</v>
      </c>
      <c r="E1497" s="76" t="s">
        <v>1202</v>
      </c>
      <c r="F1497" s="81">
        <v>22</v>
      </c>
      <c r="G1497" s="86" t="s">
        <v>1203</v>
      </c>
      <c r="H1497" s="71"/>
      <c r="I1497" s="75"/>
      <c r="J1497" s="70">
        <f>IFERROR(VLOOKUP(Devis[[#This Row],[Ref Air Flux]],#REF!,3,FALSE),0)</f>
        <v>0</v>
      </c>
      <c r="K1497" s="68"/>
      <c r="L1497" s="68"/>
      <c r="M1497" s="68"/>
      <c r="N1497" s="68"/>
      <c r="O1497" s="68"/>
      <c r="P1497" s="68"/>
      <c r="Q1497" s="68">
        <f>SUM(Devis[[#This Row],[Poste 1]:[Poste 6]])</f>
        <v>0</v>
      </c>
      <c r="R1497" s="71"/>
      <c r="S1497" s="68">
        <f>_xlfn.CEILING.MATH(Devis[[#This Row],[Quantité Totale]],Devis[[#This Row],[Conditionnement]])</f>
        <v>0</v>
      </c>
      <c r="T1497" s="72"/>
      <c r="U1497" s="106"/>
      <c r="V1497" s="74">
        <f>Devis[[#This Row],[Prix de Revient]]*Devis[[#This Row],[Poste 1]]</f>
        <v>0</v>
      </c>
      <c r="W1497" s="74">
        <f>Devis[[#This Row],[Prix de Revient]]*Devis[[#This Row],[Poste 2]]</f>
        <v>0</v>
      </c>
      <c r="X1497" s="74">
        <f>Devis[[#This Row],[Prix de Revient]]*Devis[[#This Row],[Poste 3]]</f>
        <v>0</v>
      </c>
      <c r="Y1497" s="74">
        <f>Devis[[#This Row],[Poste 4]]*Devis[[#This Row],[Prix de Revient]]</f>
        <v>0</v>
      </c>
      <c r="Z1497" s="74">
        <f>Devis[[#This Row],[Poste 5]]*Devis[[#This Row],[Prix de Revient]]</f>
        <v>0</v>
      </c>
      <c r="AA1497" s="74">
        <f>Devis[[#This Row],[Prix de Revient]]*Devis[[#This Row],[Poste 6]]</f>
        <v>0</v>
      </c>
      <c r="AB1497" s="74">
        <f>Devis[[#This Row],[Quantité Totale]]*Devis[[#This Row],[Prix de Revient]]</f>
        <v>0</v>
      </c>
    </row>
    <row r="1498" spans="1:28" ht="14.25" customHeight="1" outlineLevel="1" x14ac:dyDescent="0.2">
      <c r="A1498" s="75" t="s">
        <v>3557</v>
      </c>
      <c r="B1498" s="76" t="s">
        <v>1194</v>
      </c>
      <c r="C1498" s="76"/>
      <c r="D1498" s="81" t="str">
        <f t="shared" si="27"/>
        <v>GalvaRéductions  MF 241</v>
      </c>
      <c r="E1498" s="76" t="s">
        <v>1051</v>
      </c>
      <c r="F1498" s="81">
        <v>23</v>
      </c>
      <c r="G1498" s="86" t="s">
        <v>1201</v>
      </c>
      <c r="H1498" s="71"/>
      <c r="I1498" s="75"/>
      <c r="J1498" s="70">
        <f>IFERROR(VLOOKUP(Devis[[#This Row],[Ref Air Flux]],#REF!,3,FALSE),0)</f>
        <v>0</v>
      </c>
      <c r="K1498" s="68"/>
      <c r="L1498" s="68"/>
      <c r="M1498" s="68"/>
      <c r="N1498" s="68"/>
      <c r="O1498" s="68"/>
      <c r="P1498" s="68"/>
      <c r="Q1498" s="68">
        <f>SUM(Devis[[#This Row],[Poste 1]:[Poste 6]])</f>
        <v>0</v>
      </c>
      <c r="R1498" s="71"/>
      <c r="S1498" s="68">
        <f>_xlfn.CEILING.MATH(Devis[[#This Row],[Quantité Totale]],Devis[[#This Row],[Conditionnement]])</f>
        <v>0</v>
      </c>
      <c r="T1498" s="72"/>
      <c r="U1498" s="106"/>
      <c r="V1498" s="74">
        <f>Devis[[#This Row],[Prix de Revient]]*Devis[[#This Row],[Poste 1]]</f>
        <v>0</v>
      </c>
      <c r="W1498" s="74">
        <f>Devis[[#This Row],[Prix de Revient]]*Devis[[#This Row],[Poste 2]]</f>
        <v>0</v>
      </c>
      <c r="X1498" s="74">
        <f>Devis[[#This Row],[Prix de Revient]]*Devis[[#This Row],[Poste 3]]</f>
        <v>0</v>
      </c>
      <c r="Y1498" s="74">
        <f>Devis[[#This Row],[Poste 4]]*Devis[[#This Row],[Prix de Revient]]</f>
        <v>0</v>
      </c>
      <c r="Z1498" s="74">
        <f>Devis[[#This Row],[Poste 5]]*Devis[[#This Row],[Prix de Revient]]</f>
        <v>0</v>
      </c>
      <c r="AA1498" s="74">
        <f>Devis[[#This Row],[Prix de Revient]]*Devis[[#This Row],[Poste 6]]</f>
        <v>0</v>
      </c>
      <c r="AB1498" s="74">
        <f>Devis[[#This Row],[Quantité Totale]]*Devis[[#This Row],[Prix de Revient]]</f>
        <v>0</v>
      </c>
    </row>
    <row r="1499" spans="1:28" ht="14.25" customHeight="1" outlineLevel="1" x14ac:dyDescent="0.2">
      <c r="A1499" s="75" t="s">
        <v>3557</v>
      </c>
      <c r="B1499" s="76" t="s">
        <v>1194</v>
      </c>
      <c r="C1499" s="76"/>
      <c r="D1499" s="81" t="str">
        <f t="shared" si="27"/>
        <v>GalvaRéductions  MF 241</v>
      </c>
      <c r="E1499" s="80" t="s">
        <v>1238</v>
      </c>
      <c r="F1499" s="81">
        <v>24</v>
      </c>
      <c r="G1499" s="86" t="s">
        <v>1239</v>
      </c>
      <c r="H1499" s="71"/>
      <c r="I1499" s="75"/>
      <c r="J1499" s="70">
        <f>IFERROR(VLOOKUP(Devis[[#This Row],[Ref Air Flux]],#REF!,3,FALSE),0)</f>
        <v>0</v>
      </c>
      <c r="K1499" s="68"/>
      <c r="L1499" s="68"/>
      <c r="M1499" s="68"/>
      <c r="N1499" s="68"/>
      <c r="O1499" s="68"/>
      <c r="P1499" s="68"/>
      <c r="Q1499" s="68">
        <f>SUM(Devis[[#This Row],[Poste 1]:[Poste 6]])</f>
        <v>0</v>
      </c>
      <c r="R1499" s="71"/>
      <c r="S1499" s="68">
        <f>_xlfn.CEILING.MATH(Devis[[#This Row],[Quantité Totale]],Devis[[#This Row],[Conditionnement]])</f>
        <v>0</v>
      </c>
      <c r="T1499" s="72"/>
      <c r="U1499" s="106"/>
      <c r="V1499" s="74">
        <f>Devis[[#This Row],[Prix de Revient]]*Devis[[#This Row],[Poste 1]]</f>
        <v>0</v>
      </c>
      <c r="W1499" s="74">
        <f>Devis[[#This Row],[Prix de Revient]]*Devis[[#This Row],[Poste 2]]</f>
        <v>0</v>
      </c>
      <c r="X1499" s="74">
        <f>Devis[[#This Row],[Prix de Revient]]*Devis[[#This Row],[Poste 3]]</f>
        <v>0</v>
      </c>
      <c r="Y1499" s="74">
        <f>Devis[[#This Row],[Poste 4]]*Devis[[#This Row],[Prix de Revient]]</f>
        <v>0</v>
      </c>
      <c r="Z1499" s="74">
        <f>Devis[[#This Row],[Poste 5]]*Devis[[#This Row],[Prix de Revient]]</f>
        <v>0</v>
      </c>
      <c r="AA1499" s="74">
        <f>Devis[[#This Row],[Prix de Revient]]*Devis[[#This Row],[Poste 6]]</f>
        <v>0</v>
      </c>
      <c r="AB1499" s="74">
        <f>Devis[[#This Row],[Quantité Totale]]*Devis[[#This Row],[Prix de Revient]]</f>
        <v>0</v>
      </c>
    </row>
    <row r="1500" spans="1:28" ht="14.25" customHeight="1" outlineLevel="1" x14ac:dyDescent="0.2">
      <c r="A1500" s="75" t="s">
        <v>3557</v>
      </c>
      <c r="B1500" s="76" t="s">
        <v>1194</v>
      </c>
      <c r="C1500" s="76"/>
      <c r="D1500" s="81" t="str">
        <f t="shared" si="27"/>
        <v>GalvaRéductions  MF 241</v>
      </c>
      <c r="E1500" s="76" t="s">
        <v>1242</v>
      </c>
      <c r="F1500" s="81">
        <v>25</v>
      </c>
      <c r="G1500" s="86" t="s">
        <v>1243</v>
      </c>
      <c r="H1500" s="71"/>
      <c r="I1500" s="75"/>
      <c r="J1500" s="70">
        <f>IFERROR(VLOOKUP(Devis[[#This Row],[Ref Air Flux]],#REF!,3,FALSE),0)</f>
        <v>0</v>
      </c>
      <c r="K1500" s="68"/>
      <c r="L1500" s="68"/>
      <c r="M1500" s="68"/>
      <c r="N1500" s="68"/>
      <c r="O1500" s="68"/>
      <c r="P1500" s="68"/>
      <c r="Q1500" s="68">
        <f>SUM(Devis[[#This Row],[Poste 1]:[Poste 6]])</f>
        <v>0</v>
      </c>
      <c r="R1500" s="71"/>
      <c r="S1500" s="68">
        <f>_xlfn.CEILING.MATH(Devis[[#This Row],[Quantité Totale]],Devis[[#This Row],[Conditionnement]])</f>
        <v>0</v>
      </c>
      <c r="T1500" s="72"/>
      <c r="U1500" s="106"/>
      <c r="V1500" s="74">
        <f>Devis[[#This Row],[Prix de Revient]]*Devis[[#This Row],[Poste 1]]</f>
        <v>0</v>
      </c>
      <c r="W1500" s="74">
        <f>Devis[[#This Row],[Prix de Revient]]*Devis[[#This Row],[Poste 2]]</f>
        <v>0</v>
      </c>
      <c r="X1500" s="74">
        <f>Devis[[#This Row],[Prix de Revient]]*Devis[[#This Row],[Poste 3]]</f>
        <v>0</v>
      </c>
      <c r="Y1500" s="74">
        <f>Devis[[#This Row],[Poste 4]]*Devis[[#This Row],[Prix de Revient]]</f>
        <v>0</v>
      </c>
      <c r="Z1500" s="74">
        <f>Devis[[#This Row],[Poste 5]]*Devis[[#This Row],[Prix de Revient]]</f>
        <v>0</v>
      </c>
      <c r="AA1500" s="74">
        <f>Devis[[#This Row],[Prix de Revient]]*Devis[[#This Row],[Poste 6]]</f>
        <v>0</v>
      </c>
      <c r="AB1500" s="74">
        <f>Devis[[#This Row],[Quantité Totale]]*Devis[[#This Row],[Prix de Revient]]</f>
        <v>0</v>
      </c>
    </row>
    <row r="1501" spans="1:28" ht="14.25" outlineLevel="1" x14ac:dyDescent="0.2">
      <c r="A1501" s="75" t="s">
        <v>3557</v>
      </c>
      <c r="B1501" s="76" t="s">
        <v>1194</v>
      </c>
      <c r="C1501" s="76"/>
      <c r="D1501" s="81" t="str">
        <f t="shared" si="27"/>
        <v>GalvaRéductions  MF 241</v>
      </c>
      <c r="E1501" s="76" t="s">
        <v>1240</v>
      </c>
      <c r="F1501" s="81">
        <v>26</v>
      </c>
      <c r="G1501" s="86" t="s">
        <v>1241</v>
      </c>
      <c r="H1501" s="71"/>
      <c r="I1501" s="75"/>
      <c r="J1501" s="70">
        <f>IFERROR(VLOOKUP(Devis[[#This Row],[Ref Air Flux]],#REF!,3,FALSE),0)</f>
        <v>0</v>
      </c>
      <c r="K1501" s="68"/>
      <c r="L1501" s="68"/>
      <c r="M1501" s="68"/>
      <c r="N1501" s="68"/>
      <c r="O1501" s="68"/>
      <c r="P1501" s="68"/>
      <c r="Q1501" s="68">
        <f>SUM(Devis[[#This Row],[Poste 1]:[Poste 6]])</f>
        <v>0</v>
      </c>
      <c r="R1501" s="71"/>
      <c r="S1501" s="68">
        <f>_xlfn.CEILING.MATH(Devis[[#This Row],[Quantité Totale]],Devis[[#This Row],[Conditionnement]])</f>
        <v>0</v>
      </c>
      <c r="T1501" s="72"/>
      <c r="U1501" s="106"/>
      <c r="V1501" s="74">
        <f>Devis[[#This Row],[Prix de Revient]]*Devis[[#This Row],[Poste 1]]</f>
        <v>0</v>
      </c>
      <c r="W1501" s="74">
        <f>Devis[[#This Row],[Prix de Revient]]*Devis[[#This Row],[Poste 2]]</f>
        <v>0</v>
      </c>
      <c r="X1501" s="74">
        <f>Devis[[#This Row],[Prix de Revient]]*Devis[[#This Row],[Poste 3]]</f>
        <v>0</v>
      </c>
      <c r="Y1501" s="74">
        <f>Devis[[#This Row],[Poste 4]]*Devis[[#This Row],[Prix de Revient]]</f>
        <v>0</v>
      </c>
      <c r="Z1501" s="74">
        <f>Devis[[#This Row],[Poste 5]]*Devis[[#This Row],[Prix de Revient]]</f>
        <v>0</v>
      </c>
      <c r="AA1501" s="74">
        <f>Devis[[#This Row],[Prix de Revient]]*Devis[[#This Row],[Poste 6]]</f>
        <v>0</v>
      </c>
      <c r="AB1501" s="74">
        <f>Devis[[#This Row],[Quantité Totale]]*Devis[[#This Row],[Prix de Revient]]</f>
        <v>0</v>
      </c>
    </row>
    <row r="1502" spans="1:28" ht="14.25" outlineLevel="1" x14ac:dyDescent="0.2">
      <c r="A1502" s="75" t="s">
        <v>3557</v>
      </c>
      <c r="B1502" s="76" t="s">
        <v>1194</v>
      </c>
      <c r="C1502" s="76"/>
      <c r="D1502" s="81" t="str">
        <f t="shared" si="27"/>
        <v>GalvaRéductions  MF 241</v>
      </c>
      <c r="E1502" s="76" t="s">
        <v>1105</v>
      </c>
      <c r="F1502" s="81">
        <v>27</v>
      </c>
      <c r="G1502" s="86" t="s">
        <v>1248</v>
      </c>
      <c r="H1502" s="71"/>
      <c r="I1502" s="75"/>
      <c r="J1502" s="70">
        <f>IFERROR(VLOOKUP(Devis[[#This Row],[Ref Air Flux]],#REF!,3,FALSE),0)</f>
        <v>0</v>
      </c>
      <c r="K1502" s="68"/>
      <c r="L1502" s="68"/>
      <c r="M1502" s="68"/>
      <c r="N1502" s="68"/>
      <c r="O1502" s="68"/>
      <c r="P1502" s="68"/>
      <c r="Q1502" s="68">
        <f>SUM(Devis[[#This Row],[Poste 1]:[Poste 6]])</f>
        <v>0</v>
      </c>
      <c r="R1502" s="71"/>
      <c r="S1502" s="68">
        <f>_xlfn.CEILING.MATH(Devis[[#This Row],[Quantité Totale]],Devis[[#This Row],[Conditionnement]])</f>
        <v>0</v>
      </c>
      <c r="T1502" s="72"/>
      <c r="U1502" s="106"/>
      <c r="V1502" s="74">
        <f>Devis[[#This Row],[Prix de Revient]]*Devis[[#This Row],[Poste 1]]</f>
        <v>0</v>
      </c>
      <c r="W1502" s="74">
        <f>Devis[[#This Row],[Prix de Revient]]*Devis[[#This Row],[Poste 2]]</f>
        <v>0</v>
      </c>
      <c r="X1502" s="74">
        <f>Devis[[#This Row],[Prix de Revient]]*Devis[[#This Row],[Poste 3]]</f>
        <v>0</v>
      </c>
      <c r="Y1502" s="74">
        <f>Devis[[#This Row],[Poste 4]]*Devis[[#This Row],[Prix de Revient]]</f>
        <v>0</v>
      </c>
      <c r="Z1502" s="74">
        <f>Devis[[#This Row],[Poste 5]]*Devis[[#This Row],[Prix de Revient]]</f>
        <v>0</v>
      </c>
      <c r="AA1502" s="74">
        <f>Devis[[#This Row],[Prix de Revient]]*Devis[[#This Row],[Poste 6]]</f>
        <v>0</v>
      </c>
      <c r="AB1502" s="74">
        <f>Devis[[#This Row],[Quantité Totale]]*Devis[[#This Row],[Prix de Revient]]</f>
        <v>0</v>
      </c>
    </row>
    <row r="1503" spans="1:28" ht="15" customHeight="1" outlineLevel="1" x14ac:dyDescent="0.2">
      <c r="A1503" s="75" t="s">
        <v>3557</v>
      </c>
      <c r="B1503" s="76" t="s">
        <v>1194</v>
      </c>
      <c r="C1503" s="76"/>
      <c r="D1503" s="81" t="str">
        <f t="shared" si="27"/>
        <v>GalvaRéductions  MF 241</v>
      </c>
      <c r="E1503" s="76" t="s">
        <v>1107</v>
      </c>
      <c r="F1503" s="81">
        <v>28</v>
      </c>
      <c r="G1503" s="86" t="s">
        <v>1249</v>
      </c>
      <c r="H1503" s="71"/>
      <c r="I1503" s="75"/>
      <c r="J1503" s="70">
        <f>IFERROR(VLOOKUP(Devis[[#This Row],[Ref Air Flux]],#REF!,3,FALSE),0)</f>
        <v>0</v>
      </c>
      <c r="K1503" s="68"/>
      <c r="L1503" s="68"/>
      <c r="M1503" s="68"/>
      <c r="N1503" s="68"/>
      <c r="O1503" s="68"/>
      <c r="P1503" s="68"/>
      <c r="Q1503" s="68">
        <f>SUM(Devis[[#This Row],[Poste 1]:[Poste 6]])</f>
        <v>0</v>
      </c>
      <c r="R1503" s="71"/>
      <c r="S1503" s="68">
        <f>_xlfn.CEILING.MATH(Devis[[#This Row],[Quantité Totale]],Devis[[#This Row],[Conditionnement]])</f>
        <v>0</v>
      </c>
      <c r="T1503" s="72"/>
      <c r="U1503" s="106"/>
      <c r="V1503" s="74">
        <f>Devis[[#This Row],[Prix de Revient]]*Devis[[#This Row],[Poste 1]]</f>
        <v>0</v>
      </c>
      <c r="W1503" s="74">
        <f>Devis[[#This Row],[Prix de Revient]]*Devis[[#This Row],[Poste 2]]</f>
        <v>0</v>
      </c>
      <c r="X1503" s="74">
        <f>Devis[[#This Row],[Prix de Revient]]*Devis[[#This Row],[Poste 3]]</f>
        <v>0</v>
      </c>
      <c r="Y1503" s="74">
        <f>Devis[[#This Row],[Poste 4]]*Devis[[#This Row],[Prix de Revient]]</f>
        <v>0</v>
      </c>
      <c r="Z1503" s="74">
        <f>Devis[[#This Row],[Poste 5]]*Devis[[#This Row],[Prix de Revient]]</f>
        <v>0</v>
      </c>
      <c r="AA1503" s="74">
        <f>Devis[[#This Row],[Prix de Revient]]*Devis[[#This Row],[Poste 6]]</f>
        <v>0</v>
      </c>
      <c r="AB1503" s="74">
        <f>Devis[[#This Row],[Quantité Totale]]*Devis[[#This Row],[Prix de Revient]]</f>
        <v>0</v>
      </c>
    </row>
    <row r="1504" spans="1:28" ht="14.25" outlineLevel="1" x14ac:dyDescent="0.2">
      <c r="A1504" s="75" t="s">
        <v>3557</v>
      </c>
      <c r="B1504" s="76" t="s">
        <v>1194</v>
      </c>
      <c r="C1504" s="76"/>
      <c r="D1504" s="81" t="str">
        <f t="shared" si="27"/>
        <v>GalvaRéductions  MF 241</v>
      </c>
      <c r="E1504" s="76" t="s">
        <v>1199</v>
      </c>
      <c r="F1504" s="81">
        <v>29</v>
      </c>
      <c r="G1504" s="86" t="s">
        <v>1200</v>
      </c>
      <c r="H1504" s="71"/>
      <c r="I1504" s="75"/>
      <c r="J1504" s="70">
        <f>IFERROR(VLOOKUP(Devis[[#This Row],[Ref Air Flux]],#REF!,3,FALSE),0)</f>
        <v>0</v>
      </c>
      <c r="K1504" s="68"/>
      <c r="L1504" s="68"/>
      <c r="M1504" s="68"/>
      <c r="N1504" s="68"/>
      <c r="O1504" s="68"/>
      <c r="P1504" s="68"/>
      <c r="Q1504" s="68">
        <f>SUM(Devis[[#This Row],[Poste 1]:[Poste 6]])</f>
        <v>0</v>
      </c>
      <c r="R1504" s="71"/>
      <c r="S1504" s="68">
        <f>_xlfn.CEILING.MATH(Devis[[#This Row],[Quantité Totale]],Devis[[#This Row],[Conditionnement]])</f>
        <v>0</v>
      </c>
      <c r="T1504" s="72"/>
      <c r="U1504" s="106"/>
      <c r="V1504" s="74">
        <f>Devis[[#This Row],[Prix de Revient]]*Devis[[#This Row],[Poste 1]]</f>
        <v>0</v>
      </c>
      <c r="W1504" s="74">
        <f>Devis[[#This Row],[Prix de Revient]]*Devis[[#This Row],[Poste 2]]</f>
        <v>0</v>
      </c>
      <c r="X1504" s="74">
        <f>Devis[[#This Row],[Prix de Revient]]*Devis[[#This Row],[Poste 3]]</f>
        <v>0</v>
      </c>
      <c r="Y1504" s="74">
        <f>Devis[[#This Row],[Poste 4]]*Devis[[#This Row],[Prix de Revient]]</f>
        <v>0</v>
      </c>
      <c r="Z1504" s="74">
        <f>Devis[[#This Row],[Poste 5]]*Devis[[#This Row],[Prix de Revient]]</f>
        <v>0</v>
      </c>
      <c r="AA1504" s="74">
        <f>Devis[[#This Row],[Prix de Revient]]*Devis[[#This Row],[Poste 6]]</f>
        <v>0</v>
      </c>
      <c r="AB1504" s="74">
        <f>Devis[[#This Row],[Quantité Totale]]*Devis[[#This Row],[Prix de Revient]]</f>
        <v>0</v>
      </c>
    </row>
    <row r="1505" spans="1:28" ht="14.25" outlineLevel="1" x14ac:dyDescent="0.2">
      <c r="A1505" s="75" t="s">
        <v>3557</v>
      </c>
      <c r="B1505" s="76" t="s">
        <v>1194</v>
      </c>
      <c r="C1505" s="76"/>
      <c r="D1505" s="81" t="str">
        <f t="shared" si="27"/>
        <v>GalvaRéductions  MF 241</v>
      </c>
      <c r="E1505" s="76" t="s">
        <v>1197</v>
      </c>
      <c r="F1505" s="81">
        <v>30</v>
      </c>
      <c r="G1505" s="86" t="s">
        <v>1198</v>
      </c>
      <c r="H1505" s="71"/>
      <c r="I1505" s="75"/>
      <c r="J1505" s="70">
        <f>IFERROR(VLOOKUP(Devis[[#This Row],[Ref Air Flux]],#REF!,3,FALSE),0)</f>
        <v>0</v>
      </c>
      <c r="K1505" s="68"/>
      <c r="L1505" s="68"/>
      <c r="M1505" s="68"/>
      <c r="N1505" s="68"/>
      <c r="O1505" s="68"/>
      <c r="P1505" s="68"/>
      <c r="Q1505" s="68">
        <f>SUM(Devis[[#This Row],[Poste 1]:[Poste 6]])</f>
        <v>0</v>
      </c>
      <c r="R1505" s="71"/>
      <c r="S1505" s="68">
        <f>_xlfn.CEILING.MATH(Devis[[#This Row],[Quantité Totale]],Devis[[#This Row],[Conditionnement]])</f>
        <v>0</v>
      </c>
      <c r="T1505" s="72"/>
      <c r="U1505" s="106"/>
      <c r="V1505" s="74">
        <f>Devis[[#This Row],[Prix de Revient]]*Devis[[#This Row],[Poste 1]]</f>
        <v>0</v>
      </c>
      <c r="W1505" s="74">
        <f>Devis[[#This Row],[Prix de Revient]]*Devis[[#This Row],[Poste 2]]</f>
        <v>0</v>
      </c>
      <c r="X1505" s="74">
        <f>Devis[[#This Row],[Prix de Revient]]*Devis[[#This Row],[Poste 3]]</f>
        <v>0</v>
      </c>
      <c r="Y1505" s="74">
        <f>Devis[[#This Row],[Poste 4]]*Devis[[#This Row],[Prix de Revient]]</f>
        <v>0</v>
      </c>
      <c r="Z1505" s="74">
        <f>Devis[[#This Row],[Poste 5]]*Devis[[#This Row],[Prix de Revient]]</f>
        <v>0</v>
      </c>
      <c r="AA1505" s="74">
        <f>Devis[[#This Row],[Prix de Revient]]*Devis[[#This Row],[Poste 6]]</f>
        <v>0</v>
      </c>
      <c r="AB1505" s="74">
        <f>Devis[[#This Row],[Quantité Totale]]*Devis[[#This Row],[Prix de Revient]]</f>
        <v>0</v>
      </c>
    </row>
    <row r="1506" spans="1:28" ht="14.25" outlineLevel="1" x14ac:dyDescent="0.2">
      <c r="A1506" s="75" t="s">
        <v>3557</v>
      </c>
      <c r="B1506" s="76" t="s">
        <v>1194</v>
      </c>
      <c r="C1506" s="76"/>
      <c r="D1506" s="81" t="str">
        <f t="shared" si="27"/>
        <v>GalvaRéductions  MF 241</v>
      </c>
      <c r="E1506" s="76" t="s">
        <v>1195</v>
      </c>
      <c r="F1506" s="81">
        <v>31</v>
      </c>
      <c r="G1506" s="86" t="s">
        <v>1196</v>
      </c>
      <c r="H1506" s="71"/>
      <c r="I1506" s="75"/>
      <c r="J1506" s="70">
        <f>IFERROR(VLOOKUP(Devis[[#This Row],[Ref Air Flux]],#REF!,3,FALSE),0)</f>
        <v>0</v>
      </c>
      <c r="K1506" s="68"/>
      <c r="L1506" s="68"/>
      <c r="M1506" s="68"/>
      <c r="N1506" s="68"/>
      <c r="O1506" s="68"/>
      <c r="P1506" s="68"/>
      <c r="Q1506" s="68">
        <f>SUM(Devis[[#This Row],[Poste 1]:[Poste 6]])</f>
        <v>0</v>
      </c>
      <c r="R1506" s="71"/>
      <c r="S1506" s="68">
        <f>_xlfn.CEILING.MATH(Devis[[#This Row],[Quantité Totale]],Devis[[#This Row],[Conditionnement]])</f>
        <v>0</v>
      </c>
      <c r="T1506" s="72"/>
      <c r="U1506" s="106"/>
      <c r="V1506" s="74">
        <f>Devis[[#This Row],[Prix de Revient]]*Devis[[#This Row],[Poste 1]]</f>
        <v>0</v>
      </c>
      <c r="W1506" s="74">
        <f>Devis[[#This Row],[Prix de Revient]]*Devis[[#This Row],[Poste 2]]</f>
        <v>0</v>
      </c>
      <c r="X1506" s="74">
        <f>Devis[[#This Row],[Prix de Revient]]*Devis[[#This Row],[Poste 3]]</f>
        <v>0</v>
      </c>
      <c r="Y1506" s="74">
        <f>Devis[[#This Row],[Poste 4]]*Devis[[#This Row],[Prix de Revient]]</f>
        <v>0</v>
      </c>
      <c r="Z1506" s="74">
        <f>Devis[[#This Row],[Poste 5]]*Devis[[#This Row],[Prix de Revient]]</f>
        <v>0</v>
      </c>
      <c r="AA1506" s="74">
        <f>Devis[[#This Row],[Prix de Revient]]*Devis[[#This Row],[Poste 6]]</f>
        <v>0</v>
      </c>
      <c r="AB1506" s="74">
        <f>Devis[[#This Row],[Quantité Totale]]*Devis[[#This Row],[Prix de Revient]]</f>
        <v>0</v>
      </c>
    </row>
    <row r="1507" spans="1:28" ht="14.25" customHeight="1" x14ac:dyDescent="0.25">
      <c r="A1507" s="65" t="s">
        <v>3557</v>
      </c>
      <c r="B1507" s="65" t="s">
        <v>1251</v>
      </c>
      <c r="C1507" s="76"/>
      <c r="D1507" s="81" t="str">
        <f t="shared" si="27"/>
        <v>GalvaTé 130</v>
      </c>
      <c r="E1507" s="76"/>
      <c r="F1507" s="81">
        <v>0</v>
      </c>
      <c r="G1507" s="86"/>
      <c r="H1507" s="71"/>
      <c r="I1507" s="75"/>
      <c r="J1507" s="70">
        <f>IFERROR(VLOOKUP(Devis[[#This Row],[Ref Air Flux]],#REF!,3,FALSE),0)</f>
        <v>0</v>
      </c>
      <c r="K1507" s="68"/>
      <c r="L1507" s="68"/>
      <c r="M1507" s="68"/>
      <c r="N1507" s="68"/>
      <c r="O1507" s="68"/>
      <c r="P1507" s="68"/>
      <c r="Q1507" s="68">
        <f>SUM(Devis[[#This Row],[Poste 1]:[Poste 6]])</f>
        <v>0</v>
      </c>
      <c r="R1507" s="71"/>
      <c r="S1507" s="68">
        <f>_xlfn.CEILING.MATH(Devis[[#This Row],[Quantité Totale]],Devis[[#This Row],[Conditionnement]])</f>
        <v>0</v>
      </c>
      <c r="T1507" s="72"/>
      <c r="U1507" s="106"/>
      <c r="V1507" s="74">
        <f>Devis[[#This Row],[Prix de Revient]]*Devis[[#This Row],[Poste 1]]</f>
        <v>0</v>
      </c>
      <c r="W1507" s="74">
        <f>Devis[[#This Row],[Prix de Revient]]*Devis[[#This Row],[Poste 2]]</f>
        <v>0</v>
      </c>
      <c r="X1507" s="74">
        <f>Devis[[#This Row],[Prix de Revient]]*Devis[[#This Row],[Poste 3]]</f>
        <v>0</v>
      </c>
      <c r="Y1507" s="74">
        <f>Devis[[#This Row],[Poste 4]]*Devis[[#This Row],[Prix de Revient]]</f>
        <v>0</v>
      </c>
      <c r="Z1507" s="74">
        <f>Devis[[#This Row],[Poste 5]]*Devis[[#This Row],[Prix de Revient]]</f>
        <v>0</v>
      </c>
      <c r="AA1507" s="74">
        <f>Devis[[#This Row],[Prix de Revient]]*Devis[[#This Row],[Poste 6]]</f>
        <v>0</v>
      </c>
      <c r="AB1507" s="74">
        <f>Devis[[#This Row],[Quantité Totale]]*Devis[[#This Row],[Prix de Revient]]</f>
        <v>0</v>
      </c>
    </row>
    <row r="1508" spans="1:28" ht="14.25" outlineLevel="1" x14ac:dyDescent="0.2">
      <c r="A1508" s="75" t="s">
        <v>3557</v>
      </c>
      <c r="B1508" s="76" t="s">
        <v>1251</v>
      </c>
      <c r="C1508" s="76"/>
      <c r="D1508" s="81" t="str">
        <f t="shared" si="27"/>
        <v>GalvaTé 130</v>
      </c>
      <c r="E1508" s="76" t="s">
        <v>19</v>
      </c>
      <c r="F1508" s="81">
        <v>1</v>
      </c>
      <c r="G1508" s="86" t="s">
        <v>1257</v>
      </c>
      <c r="H1508" s="71"/>
      <c r="I1508" s="75"/>
      <c r="J1508" s="70">
        <f>IFERROR(VLOOKUP(Devis[[#This Row],[Ref Air Flux]],#REF!,3,FALSE),0)</f>
        <v>0</v>
      </c>
      <c r="K1508" s="68"/>
      <c r="L1508" s="68"/>
      <c r="M1508" s="68"/>
      <c r="N1508" s="68"/>
      <c r="O1508" s="68"/>
      <c r="P1508" s="68"/>
      <c r="Q1508" s="68">
        <f>SUM(Devis[[#This Row],[Poste 1]:[Poste 6]])</f>
        <v>0</v>
      </c>
      <c r="R1508" s="71"/>
      <c r="S1508" s="68">
        <f>_xlfn.CEILING.MATH(Devis[[#This Row],[Quantité Totale]],Devis[[#This Row],[Conditionnement]])</f>
        <v>0</v>
      </c>
      <c r="T1508" s="72"/>
      <c r="U1508" s="106"/>
      <c r="V1508" s="74">
        <f>Devis[[#This Row],[Prix de Revient]]*Devis[[#This Row],[Poste 1]]</f>
        <v>0</v>
      </c>
      <c r="W1508" s="74">
        <f>Devis[[#This Row],[Prix de Revient]]*Devis[[#This Row],[Poste 2]]</f>
        <v>0</v>
      </c>
      <c r="X1508" s="74">
        <f>Devis[[#This Row],[Prix de Revient]]*Devis[[#This Row],[Poste 3]]</f>
        <v>0</v>
      </c>
      <c r="Y1508" s="74">
        <f>Devis[[#This Row],[Poste 4]]*Devis[[#This Row],[Prix de Revient]]</f>
        <v>0</v>
      </c>
      <c r="Z1508" s="74">
        <f>Devis[[#This Row],[Poste 5]]*Devis[[#This Row],[Prix de Revient]]</f>
        <v>0</v>
      </c>
      <c r="AA1508" s="74">
        <f>Devis[[#This Row],[Prix de Revient]]*Devis[[#This Row],[Poste 6]]</f>
        <v>0</v>
      </c>
      <c r="AB1508" s="74">
        <f>Devis[[#This Row],[Quantité Totale]]*Devis[[#This Row],[Prix de Revient]]</f>
        <v>0</v>
      </c>
    </row>
    <row r="1509" spans="1:28" ht="14.25" customHeight="1" outlineLevel="1" x14ac:dyDescent="0.2">
      <c r="A1509" s="75" t="s">
        <v>3557</v>
      </c>
      <c r="B1509" s="76" t="s">
        <v>1251</v>
      </c>
      <c r="C1509" s="76"/>
      <c r="D1509" s="81" t="str">
        <f t="shared" si="27"/>
        <v>GalvaTé 130</v>
      </c>
      <c r="E1509" s="76" t="s">
        <v>21</v>
      </c>
      <c r="F1509" s="81">
        <v>2</v>
      </c>
      <c r="G1509" s="86" t="s">
        <v>1255</v>
      </c>
      <c r="H1509" s="71"/>
      <c r="I1509" s="75"/>
      <c r="J1509" s="70">
        <f>IFERROR(VLOOKUP(Devis[[#This Row],[Ref Air Flux]],#REF!,3,FALSE),0)</f>
        <v>0</v>
      </c>
      <c r="K1509" s="68"/>
      <c r="L1509" s="68"/>
      <c r="M1509" s="68"/>
      <c r="N1509" s="68"/>
      <c r="O1509" s="68"/>
      <c r="P1509" s="68"/>
      <c r="Q1509" s="68">
        <f>SUM(Devis[[#This Row],[Poste 1]:[Poste 6]])</f>
        <v>0</v>
      </c>
      <c r="R1509" s="71"/>
      <c r="S1509" s="68">
        <f>_xlfn.CEILING.MATH(Devis[[#This Row],[Quantité Totale]],Devis[[#This Row],[Conditionnement]])</f>
        <v>0</v>
      </c>
      <c r="T1509" s="72"/>
      <c r="U1509" s="106"/>
      <c r="V1509" s="74">
        <f>Devis[[#This Row],[Prix de Revient]]*Devis[[#This Row],[Poste 1]]</f>
        <v>0</v>
      </c>
      <c r="W1509" s="74">
        <f>Devis[[#This Row],[Prix de Revient]]*Devis[[#This Row],[Poste 2]]</f>
        <v>0</v>
      </c>
      <c r="X1509" s="74">
        <f>Devis[[#This Row],[Prix de Revient]]*Devis[[#This Row],[Poste 3]]</f>
        <v>0</v>
      </c>
      <c r="Y1509" s="74">
        <f>Devis[[#This Row],[Poste 4]]*Devis[[#This Row],[Prix de Revient]]</f>
        <v>0</v>
      </c>
      <c r="Z1509" s="74">
        <f>Devis[[#This Row],[Poste 5]]*Devis[[#This Row],[Prix de Revient]]</f>
        <v>0</v>
      </c>
      <c r="AA1509" s="74">
        <f>Devis[[#This Row],[Prix de Revient]]*Devis[[#This Row],[Poste 6]]</f>
        <v>0</v>
      </c>
      <c r="AB1509" s="74">
        <f>Devis[[#This Row],[Quantité Totale]]*Devis[[#This Row],[Prix de Revient]]</f>
        <v>0</v>
      </c>
    </row>
    <row r="1510" spans="1:28" ht="14.25" customHeight="1" outlineLevel="1" x14ac:dyDescent="0.2">
      <c r="A1510" s="75" t="s">
        <v>3557</v>
      </c>
      <c r="B1510" s="76" t="s">
        <v>1251</v>
      </c>
      <c r="C1510" s="76"/>
      <c r="D1510" s="81" t="str">
        <f t="shared" si="27"/>
        <v>GalvaTé 130</v>
      </c>
      <c r="E1510" s="76" t="s">
        <v>20</v>
      </c>
      <c r="F1510" s="81">
        <v>3</v>
      </c>
      <c r="G1510" s="86" t="s">
        <v>1256</v>
      </c>
      <c r="H1510" s="71"/>
      <c r="I1510" s="75"/>
      <c r="J1510" s="70">
        <f>IFERROR(VLOOKUP(Devis[[#This Row],[Ref Air Flux]],#REF!,3,FALSE),0)</f>
        <v>0</v>
      </c>
      <c r="K1510" s="68"/>
      <c r="L1510" s="68"/>
      <c r="M1510" s="68"/>
      <c r="N1510" s="68"/>
      <c r="O1510" s="68"/>
      <c r="P1510" s="68"/>
      <c r="Q1510" s="68">
        <f>SUM(Devis[[#This Row],[Poste 1]:[Poste 6]])</f>
        <v>0</v>
      </c>
      <c r="R1510" s="71"/>
      <c r="S1510" s="68">
        <f>_xlfn.CEILING.MATH(Devis[[#This Row],[Quantité Totale]],Devis[[#This Row],[Conditionnement]])</f>
        <v>0</v>
      </c>
      <c r="T1510" s="72"/>
      <c r="U1510" s="106"/>
      <c r="V1510" s="74">
        <f>Devis[[#This Row],[Prix de Revient]]*Devis[[#This Row],[Poste 1]]</f>
        <v>0</v>
      </c>
      <c r="W1510" s="74">
        <f>Devis[[#This Row],[Prix de Revient]]*Devis[[#This Row],[Poste 2]]</f>
        <v>0</v>
      </c>
      <c r="X1510" s="74">
        <f>Devis[[#This Row],[Prix de Revient]]*Devis[[#This Row],[Poste 3]]</f>
        <v>0</v>
      </c>
      <c r="Y1510" s="74">
        <f>Devis[[#This Row],[Poste 4]]*Devis[[#This Row],[Prix de Revient]]</f>
        <v>0</v>
      </c>
      <c r="Z1510" s="74">
        <f>Devis[[#This Row],[Poste 5]]*Devis[[#This Row],[Prix de Revient]]</f>
        <v>0</v>
      </c>
      <c r="AA1510" s="74">
        <f>Devis[[#This Row],[Prix de Revient]]*Devis[[#This Row],[Poste 6]]</f>
        <v>0</v>
      </c>
      <c r="AB1510" s="74">
        <f>Devis[[#This Row],[Quantité Totale]]*Devis[[#This Row],[Prix de Revient]]</f>
        <v>0</v>
      </c>
    </row>
    <row r="1511" spans="1:28" ht="14.25" outlineLevel="1" x14ac:dyDescent="0.2">
      <c r="A1511" s="75" t="s">
        <v>3557</v>
      </c>
      <c r="B1511" s="76" t="s">
        <v>1251</v>
      </c>
      <c r="C1511" s="76"/>
      <c r="D1511" s="81" t="str">
        <f t="shared" si="27"/>
        <v>GalvaTé 130</v>
      </c>
      <c r="E1511" s="80" t="s">
        <v>17</v>
      </c>
      <c r="F1511" s="81">
        <v>4</v>
      </c>
      <c r="G1511" s="86" t="s">
        <v>1259</v>
      </c>
      <c r="H1511" s="71"/>
      <c r="I1511" s="75"/>
      <c r="J1511" s="70">
        <f>IFERROR(VLOOKUP(Devis[[#This Row],[Ref Air Flux]],#REF!,3,FALSE),0)</f>
        <v>0</v>
      </c>
      <c r="K1511" s="68"/>
      <c r="L1511" s="68"/>
      <c r="M1511" s="68"/>
      <c r="N1511" s="68"/>
      <c r="O1511" s="68"/>
      <c r="P1511" s="68"/>
      <c r="Q1511" s="68">
        <f>SUM(Devis[[#This Row],[Poste 1]:[Poste 6]])</f>
        <v>0</v>
      </c>
      <c r="R1511" s="71"/>
      <c r="S1511" s="68">
        <f>_xlfn.CEILING.MATH(Devis[[#This Row],[Quantité Totale]],Devis[[#This Row],[Conditionnement]])</f>
        <v>0</v>
      </c>
      <c r="T1511" s="72"/>
      <c r="U1511" s="106"/>
      <c r="V1511" s="74">
        <f>Devis[[#This Row],[Prix de Revient]]*Devis[[#This Row],[Poste 1]]</f>
        <v>0</v>
      </c>
      <c r="W1511" s="74">
        <f>Devis[[#This Row],[Prix de Revient]]*Devis[[#This Row],[Poste 2]]</f>
        <v>0</v>
      </c>
      <c r="X1511" s="74">
        <f>Devis[[#This Row],[Prix de Revient]]*Devis[[#This Row],[Poste 3]]</f>
        <v>0</v>
      </c>
      <c r="Y1511" s="74">
        <f>Devis[[#This Row],[Poste 4]]*Devis[[#This Row],[Prix de Revient]]</f>
        <v>0</v>
      </c>
      <c r="Z1511" s="74">
        <f>Devis[[#This Row],[Poste 5]]*Devis[[#This Row],[Prix de Revient]]</f>
        <v>0</v>
      </c>
      <c r="AA1511" s="74">
        <f>Devis[[#This Row],[Prix de Revient]]*Devis[[#This Row],[Poste 6]]</f>
        <v>0</v>
      </c>
      <c r="AB1511" s="74">
        <f>Devis[[#This Row],[Quantité Totale]]*Devis[[#This Row],[Prix de Revient]]</f>
        <v>0</v>
      </c>
    </row>
    <row r="1512" spans="1:28" ht="15" customHeight="1" outlineLevel="1" x14ac:dyDescent="0.2">
      <c r="A1512" s="75" t="s">
        <v>3557</v>
      </c>
      <c r="B1512" s="76" t="s">
        <v>1251</v>
      </c>
      <c r="C1512" s="76"/>
      <c r="D1512" s="81" t="str">
        <f t="shared" si="27"/>
        <v>GalvaTé 130</v>
      </c>
      <c r="E1512" s="80" t="s">
        <v>46</v>
      </c>
      <c r="F1512" s="81">
        <v>5</v>
      </c>
      <c r="G1512" s="86" t="s">
        <v>1261</v>
      </c>
      <c r="H1512" s="71"/>
      <c r="I1512" s="75"/>
      <c r="J1512" s="70">
        <f>IFERROR(VLOOKUP(Devis[[#This Row],[Ref Air Flux]],#REF!,3,FALSE),0)</f>
        <v>0</v>
      </c>
      <c r="K1512" s="68"/>
      <c r="L1512" s="68"/>
      <c r="M1512" s="68"/>
      <c r="N1512" s="68"/>
      <c r="O1512" s="68"/>
      <c r="P1512" s="68"/>
      <c r="Q1512" s="68">
        <f>SUM(Devis[[#This Row],[Poste 1]:[Poste 6]])</f>
        <v>0</v>
      </c>
      <c r="R1512" s="71"/>
      <c r="S1512" s="68">
        <f>_xlfn.CEILING.MATH(Devis[[#This Row],[Quantité Totale]],Devis[[#This Row],[Conditionnement]])</f>
        <v>0</v>
      </c>
      <c r="T1512" s="72"/>
      <c r="U1512" s="106"/>
      <c r="V1512" s="74">
        <f>Devis[[#This Row],[Prix de Revient]]*Devis[[#This Row],[Poste 1]]</f>
        <v>0</v>
      </c>
      <c r="W1512" s="74">
        <f>Devis[[#This Row],[Prix de Revient]]*Devis[[#This Row],[Poste 2]]</f>
        <v>0</v>
      </c>
      <c r="X1512" s="74">
        <f>Devis[[#This Row],[Prix de Revient]]*Devis[[#This Row],[Poste 3]]</f>
        <v>0</v>
      </c>
      <c r="Y1512" s="74">
        <f>Devis[[#This Row],[Poste 4]]*Devis[[#This Row],[Prix de Revient]]</f>
        <v>0</v>
      </c>
      <c r="Z1512" s="74">
        <f>Devis[[#This Row],[Poste 5]]*Devis[[#This Row],[Prix de Revient]]</f>
        <v>0</v>
      </c>
      <c r="AA1512" s="74">
        <f>Devis[[#This Row],[Prix de Revient]]*Devis[[#This Row],[Poste 6]]</f>
        <v>0</v>
      </c>
      <c r="AB1512" s="74">
        <f>Devis[[#This Row],[Quantité Totale]]*Devis[[#This Row],[Prix de Revient]]</f>
        <v>0</v>
      </c>
    </row>
    <row r="1513" spans="1:28" ht="14.25" outlineLevel="1" x14ac:dyDescent="0.2">
      <c r="A1513" s="75" t="s">
        <v>3557</v>
      </c>
      <c r="B1513" s="76" t="s">
        <v>1251</v>
      </c>
      <c r="C1513" s="76"/>
      <c r="D1513" s="81" t="str">
        <f t="shared" si="27"/>
        <v>GalvaTé 130</v>
      </c>
      <c r="E1513" s="76" t="s">
        <v>0</v>
      </c>
      <c r="F1513" s="81">
        <v>6</v>
      </c>
      <c r="G1513" s="86" t="s">
        <v>1254</v>
      </c>
      <c r="H1513" s="71"/>
      <c r="I1513" s="75"/>
      <c r="J1513" s="70">
        <f>IFERROR(VLOOKUP(Devis[[#This Row],[Ref Air Flux]],#REF!,3,FALSE),0)</f>
        <v>0</v>
      </c>
      <c r="K1513" s="68"/>
      <c r="L1513" s="68"/>
      <c r="M1513" s="68"/>
      <c r="N1513" s="68"/>
      <c r="O1513" s="68"/>
      <c r="P1513" s="68"/>
      <c r="Q1513" s="68">
        <f>SUM(Devis[[#This Row],[Poste 1]:[Poste 6]])</f>
        <v>0</v>
      </c>
      <c r="R1513" s="71"/>
      <c r="S1513" s="68">
        <f>_xlfn.CEILING.MATH(Devis[[#This Row],[Quantité Totale]],Devis[[#This Row],[Conditionnement]])</f>
        <v>0</v>
      </c>
      <c r="T1513" s="72"/>
      <c r="U1513" s="106"/>
      <c r="V1513" s="74">
        <f>Devis[[#This Row],[Prix de Revient]]*Devis[[#This Row],[Poste 1]]</f>
        <v>0</v>
      </c>
      <c r="W1513" s="74">
        <f>Devis[[#This Row],[Prix de Revient]]*Devis[[#This Row],[Poste 2]]</f>
        <v>0</v>
      </c>
      <c r="X1513" s="74">
        <f>Devis[[#This Row],[Prix de Revient]]*Devis[[#This Row],[Poste 3]]</f>
        <v>0</v>
      </c>
      <c r="Y1513" s="74">
        <f>Devis[[#This Row],[Poste 4]]*Devis[[#This Row],[Prix de Revient]]</f>
        <v>0</v>
      </c>
      <c r="Z1513" s="74">
        <f>Devis[[#This Row],[Poste 5]]*Devis[[#This Row],[Prix de Revient]]</f>
        <v>0</v>
      </c>
      <c r="AA1513" s="74">
        <f>Devis[[#This Row],[Prix de Revient]]*Devis[[#This Row],[Poste 6]]</f>
        <v>0</v>
      </c>
      <c r="AB1513" s="74">
        <f>Devis[[#This Row],[Quantité Totale]]*Devis[[#This Row],[Prix de Revient]]</f>
        <v>0</v>
      </c>
    </row>
    <row r="1514" spans="1:28" ht="14.25" outlineLevel="1" x14ac:dyDescent="0.2">
      <c r="A1514" s="75" t="s">
        <v>3557</v>
      </c>
      <c r="B1514" s="76" t="s">
        <v>1251</v>
      </c>
      <c r="C1514" s="76"/>
      <c r="D1514" s="81" t="str">
        <f t="shared" si="27"/>
        <v>GalvaTé 130</v>
      </c>
      <c r="E1514" s="76" t="s">
        <v>49</v>
      </c>
      <c r="F1514" s="81">
        <v>7</v>
      </c>
      <c r="G1514" s="86" t="s">
        <v>1253</v>
      </c>
      <c r="H1514" s="71"/>
      <c r="I1514" s="75"/>
      <c r="J1514" s="70">
        <f>IFERROR(VLOOKUP(Devis[[#This Row],[Ref Air Flux]],#REF!,3,FALSE),0)</f>
        <v>0</v>
      </c>
      <c r="K1514" s="68"/>
      <c r="L1514" s="68"/>
      <c r="M1514" s="68"/>
      <c r="N1514" s="68"/>
      <c r="O1514" s="68"/>
      <c r="P1514" s="68"/>
      <c r="Q1514" s="68">
        <f>SUM(Devis[[#This Row],[Poste 1]:[Poste 6]])</f>
        <v>0</v>
      </c>
      <c r="R1514" s="71"/>
      <c r="S1514" s="68">
        <f>_xlfn.CEILING.MATH(Devis[[#This Row],[Quantité Totale]],Devis[[#This Row],[Conditionnement]])</f>
        <v>0</v>
      </c>
      <c r="T1514" s="72"/>
      <c r="U1514" s="106"/>
      <c r="V1514" s="74">
        <f>Devis[[#This Row],[Prix de Revient]]*Devis[[#This Row],[Poste 1]]</f>
        <v>0</v>
      </c>
      <c r="W1514" s="74">
        <f>Devis[[#This Row],[Prix de Revient]]*Devis[[#This Row],[Poste 2]]</f>
        <v>0</v>
      </c>
      <c r="X1514" s="74">
        <f>Devis[[#This Row],[Prix de Revient]]*Devis[[#This Row],[Poste 3]]</f>
        <v>0</v>
      </c>
      <c r="Y1514" s="74">
        <f>Devis[[#This Row],[Poste 4]]*Devis[[#This Row],[Prix de Revient]]</f>
        <v>0</v>
      </c>
      <c r="Z1514" s="74">
        <f>Devis[[#This Row],[Poste 5]]*Devis[[#This Row],[Prix de Revient]]</f>
        <v>0</v>
      </c>
      <c r="AA1514" s="74">
        <f>Devis[[#This Row],[Prix de Revient]]*Devis[[#This Row],[Poste 6]]</f>
        <v>0</v>
      </c>
      <c r="AB1514" s="74">
        <f>Devis[[#This Row],[Quantité Totale]]*Devis[[#This Row],[Prix de Revient]]</f>
        <v>0</v>
      </c>
    </row>
    <row r="1515" spans="1:28" ht="14.25" outlineLevel="1" x14ac:dyDescent="0.2">
      <c r="A1515" s="75" t="s">
        <v>3557</v>
      </c>
      <c r="B1515" s="76" t="s">
        <v>1251</v>
      </c>
      <c r="C1515" s="76"/>
      <c r="D1515" s="81" t="str">
        <f t="shared" si="27"/>
        <v>GalvaTé 130</v>
      </c>
      <c r="E1515" s="76" t="s">
        <v>821</v>
      </c>
      <c r="F1515" s="81">
        <v>8</v>
      </c>
      <c r="G1515" s="86" t="s">
        <v>1252</v>
      </c>
      <c r="H1515" s="71"/>
      <c r="I1515" s="75"/>
      <c r="J1515" s="70">
        <f>IFERROR(VLOOKUP(Devis[[#This Row],[Ref Air Flux]],#REF!,3,FALSE),0)</f>
        <v>0</v>
      </c>
      <c r="K1515" s="68"/>
      <c r="L1515" s="68"/>
      <c r="M1515" s="68"/>
      <c r="N1515" s="68"/>
      <c r="O1515" s="68"/>
      <c r="P1515" s="68"/>
      <c r="Q1515" s="68">
        <f>SUM(Devis[[#This Row],[Poste 1]:[Poste 6]])</f>
        <v>0</v>
      </c>
      <c r="R1515" s="71"/>
      <c r="S1515" s="68">
        <f>_xlfn.CEILING.MATH(Devis[[#This Row],[Quantité Totale]],Devis[[#This Row],[Conditionnement]])</f>
        <v>0</v>
      </c>
      <c r="T1515" s="72"/>
      <c r="U1515" s="106"/>
      <c r="V1515" s="74">
        <f>Devis[[#This Row],[Prix de Revient]]*Devis[[#This Row],[Poste 1]]</f>
        <v>0</v>
      </c>
      <c r="W1515" s="74">
        <f>Devis[[#This Row],[Prix de Revient]]*Devis[[#This Row],[Poste 2]]</f>
        <v>0</v>
      </c>
      <c r="X1515" s="74">
        <f>Devis[[#This Row],[Prix de Revient]]*Devis[[#This Row],[Poste 3]]</f>
        <v>0</v>
      </c>
      <c r="Y1515" s="74">
        <f>Devis[[#This Row],[Poste 4]]*Devis[[#This Row],[Prix de Revient]]</f>
        <v>0</v>
      </c>
      <c r="Z1515" s="74">
        <f>Devis[[#This Row],[Poste 5]]*Devis[[#This Row],[Prix de Revient]]</f>
        <v>0</v>
      </c>
      <c r="AA1515" s="74">
        <f>Devis[[#This Row],[Prix de Revient]]*Devis[[#This Row],[Poste 6]]</f>
        <v>0</v>
      </c>
      <c r="AB1515" s="74">
        <f>Devis[[#This Row],[Quantité Totale]]*Devis[[#This Row],[Prix de Revient]]</f>
        <v>0</v>
      </c>
    </row>
    <row r="1516" spans="1:28" ht="15" customHeight="1" outlineLevel="1" x14ac:dyDescent="0.2">
      <c r="A1516" s="75" t="s">
        <v>3557</v>
      </c>
      <c r="B1516" s="76" t="s">
        <v>1251</v>
      </c>
      <c r="C1516" s="76"/>
      <c r="D1516" s="81" t="str">
        <f t="shared" si="27"/>
        <v>GalvaTé 130</v>
      </c>
      <c r="E1516" s="80" t="s">
        <v>18</v>
      </c>
      <c r="F1516" s="81">
        <v>9</v>
      </c>
      <c r="G1516" s="86" t="s">
        <v>1258</v>
      </c>
      <c r="H1516" s="71"/>
      <c r="I1516" s="75"/>
      <c r="J1516" s="70">
        <f>IFERROR(VLOOKUP(Devis[[#This Row],[Ref Air Flux]],#REF!,3,FALSE),0)</f>
        <v>0</v>
      </c>
      <c r="K1516" s="68"/>
      <c r="L1516" s="68"/>
      <c r="M1516" s="68"/>
      <c r="N1516" s="68"/>
      <c r="O1516" s="68"/>
      <c r="P1516" s="68"/>
      <c r="Q1516" s="68">
        <f>SUM(Devis[[#This Row],[Poste 1]:[Poste 6]])</f>
        <v>0</v>
      </c>
      <c r="R1516" s="71"/>
      <c r="S1516" s="68">
        <f>_xlfn.CEILING.MATH(Devis[[#This Row],[Quantité Totale]],Devis[[#This Row],[Conditionnement]])</f>
        <v>0</v>
      </c>
      <c r="T1516" s="72"/>
      <c r="U1516" s="106"/>
      <c r="V1516" s="74">
        <f>Devis[[#This Row],[Prix de Revient]]*Devis[[#This Row],[Poste 1]]</f>
        <v>0</v>
      </c>
      <c r="W1516" s="74">
        <f>Devis[[#This Row],[Prix de Revient]]*Devis[[#This Row],[Poste 2]]</f>
        <v>0</v>
      </c>
      <c r="X1516" s="74">
        <f>Devis[[#This Row],[Prix de Revient]]*Devis[[#This Row],[Poste 3]]</f>
        <v>0</v>
      </c>
      <c r="Y1516" s="74">
        <f>Devis[[#This Row],[Poste 4]]*Devis[[#This Row],[Prix de Revient]]</f>
        <v>0</v>
      </c>
      <c r="Z1516" s="74">
        <f>Devis[[#This Row],[Poste 5]]*Devis[[#This Row],[Prix de Revient]]</f>
        <v>0</v>
      </c>
      <c r="AA1516" s="74">
        <f>Devis[[#This Row],[Prix de Revient]]*Devis[[#This Row],[Poste 6]]</f>
        <v>0</v>
      </c>
      <c r="AB1516" s="74">
        <f>Devis[[#This Row],[Quantité Totale]]*Devis[[#This Row],[Prix de Revient]]</f>
        <v>0</v>
      </c>
    </row>
    <row r="1517" spans="1:28" ht="14.25" outlineLevel="1" x14ac:dyDescent="0.2">
      <c r="A1517" s="75" t="s">
        <v>3557</v>
      </c>
      <c r="B1517" s="76" t="s">
        <v>1251</v>
      </c>
      <c r="C1517" s="76"/>
      <c r="D1517" s="81" t="str">
        <f t="shared" si="27"/>
        <v>GalvaTé 130</v>
      </c>
      <c r="E1517" s="80" t="s">
        <v>16</v>
      </c>
      <c r="F1517" s="81">
        <v>10</v>
      </c>
      <c r="G1517" s="86" t="s">
        <v>1260</v>
      </c>
      <c r="H1517" s="71"/>
      <c r="I1517" s="75"/>
      <c r="J1517" s="70">
        <f>IFERROR(VLOOKUP(Devis[[#This Row],[Ref Air Flux]],#REF!,3,FALSE),0)</f>
        <v>0</v>
      </c>
      <c r="K1517" s="68"/>
      <c r="L1517" s="68"/>
      <c r="M1517" s="68"/>
      <c r="N1517" s="68"/>
      <c r="O1517" s="68"/>
      <c r="P1517" s="68"/>
      <c r="Q1517" s="68">
        <f>SUM(Devis[[#This Row],[Poste 1]:[Poste 6]])</f>
        <v>0</v>
      </c>
      <c r="R1517" s="71"/>
      <c r="S1517" s="68">
        <f>_xlfn.CEILING.MATH(Devis[[#This Row],[Quantité Totale]],Devis[[#This Row],[Conditionnement]])</f>
        <v>0</v>
      </c>
      <c r="T1517" s="72"/>
      <c r="U1517" s="106"/>
      <c r="V1517" s="74">
        <f>Devis[[#This Row],[Prix de Revient]]*Devis[[#This Row],[Poste 1]]</f>
        <v>0</v>
      </c>
      <c r="W1517" s="74">
        <f>Devis[[#This Row],[Prix de Revient]]*Devis[[#This Row],[Poste 2]]</f>
        <v>0</v>
      </c>
      <c r="X1517" s="74">
        <f>Devis[[#This Row],[Prix de Revient]]*Devis[[#This Row],[Poste 3]]</f>
        <v>0</v>
      </c>
      <c r="Y1517" s="74">
        <f>Devis[[#This Row],[Poste 4]]*Devis[[#This Row],[Prix de Revient]]</f>
        <v>0</v>
      </c>
      <c r="Z1517" s="74">
        <f>Devis[[#This Row],[Poste 5]]*Devis[[#This Row],[Prix de Revient]]</f>
        <v>0</v>
      </c>
      <c r="AA1517" s="74">
        <f>Devis[[#This Row],[Prix de Revient]]*Devis[[#This Row],[Poste 6]]</f>
        <v>0</v>
      </c>
      <c r="AB1517" s="74">
        <f>Devis[[#This Row],[Quantité Totale]]*Devis[[#This Row],[Prix de Revient]]</f>
        <v>0</v>
      </c>
    </row>
    <row r="1518" spans="1:28" ht="14.25" customHeight="1" x14ac:dyDescent="0.25">
      <c r="A1518" s="65" t="s">
        <v>3557</v>
      </c>
      <c r="B1518" s="65" t="s">
        <v>1262</v>
      </c>
      <c r="C1518" s="76"/>
      <c r="D1518" s="81" t="str">
        <f t="shared" si="27"/>
        <v>GalvaTé 131</v>
      </c>
      <c r="E1518" s="76"/>
      <c r="F1518" s="81">
        <v>0</v>
      </c>
      <c r="G1518" s="86"/>
      <c r="H1518" s="71"/>
      <c r="I1518" s="75"/>
      <c r="J1518" s="70">
        <f>IFERROR(VLOOKUP(Devis[[#This Row],[Ref Air Flux]],#REF!,3,FALSE),0)</f>
        <v>0</v>
      </c>
      <c r="K1518" s="68"/>
      <c r="L1518" s="68"/>
      <c r="M1518" s="68"/>
      <c r="N1518" s="68"/>
      <c r="O1518" s="68"/>
      <c r="P1518" s="68"/>
      <c r="Q1518" s="68">
        <f>SUM(Devis[[#This Row],[Poste 1]:[Poste 6]])</f>
        <v>0</v>
      </c>
      <c r="R1518" s="71"/>
      <c r="S1518" s="68">
        <f>_xlfn.CEILING.MATH(Devis[[#This Row],[Quantité Totale]],Devis[[#This Row],[Conditionnement]])</f>
        <v>0</v>
      </c>
      <c r="T1518" s="72"/>
      <c r="U1518" s="106"/>
      <c r="V1518" s="74">
        <f>Devis[[#This Row],[Prix de Revient]]*Devis[[#This Row],[Poste 1]]</f>
        <v>0</v>
      </c>
      <c r="W1518" s="74">
        <f>Devis[[#This Row],[Prix de Revient]]*Devis[[#This Row],[Poste 2]]</f>
        <v>0</v>
      </c>
      <c r="X1518" s="74">
        <f>Devis[[#This Row],[Prix de Revient]]*Devis[[#This Row],[Poste 3]]</f>
        <v>0</v>
      </c>
      <c r="Y1518" s="74">
        <f>Devis[[#This Row],[Poste 4]]*Devis[[#This Row],[Prix de Revient]]</f>
        <v>0</v>
      </c>
      <c r="Z1518" s="74">
        <f>Devis[[#This Row],[Poste 5]]*Devis[[#This Row],[Prix de Revient]]</f>
        <v>0</v>
      </c>
      <c r="AA1518" s="74">
        <f>Devis[[#This Row],[Prix de Revient]]*Devis[[#This Row],[Poste 6]]</f>
        <v>0</v>
      </c>
      <c r="AB1518" s="74">
        <f>Devis[[#This Row],[Quantité Totale]]*Devis[[#This Row],[Prix de Revient]]</f>
        <v>0</v>
      </c>
    </row>
    <row r="1519" spans="1:28" ht="14.25" customHeight="1" outlineLevel="1" x14ac:dyDescent="0.2">
      <c r="A1519" s="75" t="s">
        <v>3557</v>
      </c>
      <c r="B1519" s="76" t="s">
        <v>1262</v>
      </c>
      <c r="C1519" s="76"/>
      <c r="D1519" s="81" t="str">
        <f t="shared" si="27"/>
        <v>GalvaTé 131</v>
      </c>
      <c r="E1519" s="76" t="s">
        <v>19</v>
      </c>
      <c r="F1519" s="81">
        <v>1</v>
      </c>
      <c r="G1519" s="86" t="s">
        <v>1268</v>
      </c>
      <c r="H1519" s="71"/>
      <c r="I1519" s="75"/>
      <c r="J1519" s="70">
        <f>IFERROR(VLOOKUP(Devis[[#This Row],[Ref Air Flux]],#REF!,3,FALSE),0)</f>
        <v>0</v>
      </c>
      <c r="K1519" s="68"/>
      <c r="L1519" s="68"/>
      <c r="M1519" s="68"/>
      <c r="N1519" s="68"/>
      <c r="O1519" s="68"/>
      <c r="P1519" s="68"/>
      <c r="Q1519" s="68">
        <f>SUM(Devis[[#This Row],[Poste 1]:[Poste 6]])</f>
        <v>0</v>
      </c>
      <c r="R1519" s="71"/>
      <c r="S1519" s="68">
        <f>_xlfn.CEILING.MATH(Devis[[#This Row],[Quantité Totale]],Devis[[#This Row],[Conditionnement]])</f>
        <v>0</v>
      </c>
      <c r="T1519" s="72"/>
      <c r="U1519" s="106"/>
      <c r="V1519" s="74">
        <f>Devis[[#This Row],[Prix de Revient]]*Devis[[#This Row],[Poste 1]]</f>
        <v>0</v>
      </c>
      <c r="W1519" s="74">
        <f>Devis[[#This Row],[Prix de Revient]]*Devis[[#This Row],[Poste 2]]</f>
        <v>0</v>
      </c>
      <c r="X1519" s="74">
        <f>Devis[[#This Row],[Prix de Revient]]*Devis[[#This Row],[Poste 3]]</f>
        <v>0</v>
      </c>
      <c r="Y1519" s="74">
        <f>Devis[[#This Row],[Poste 4]]*Devis[[#This Row],[Prix de Revient]]</f>
        <v>0</v>
      </c>
      <c r="Z1519" s="74">
        <f>Devis[[#This Row],[Poste 5]]*Devis[[#This Row],[Prix de Revient]]</f>
        <v>0</v>
      </c>
      <c r="AA1519" s="74">
        <f>Devis[[#This Row],[Prix de Revient]]*Devis[[#This Row],[Poste 6]]</f>
        <v>0</v>
      </c>
      <c r="AB1519" s="74">
        <f>Devis[[#This Row],[Quantité Totale]]*Devis[[#This Row],[Prix de Revient]]</f>
        <v>0</v>
      </c>
    </row>
    <row r="1520" spans="1:28" ht="14.25" outlineLevel="1" x14ac:dyDescent="0.2">
      <c r="A1520" s="75" t="s">
        <v>3557</v>
      </c>
      <c r="B1520" s="76" t="s">
        <v>1262</v>
      </c>
      <c r="C1520" s="76"/>
      <c r="D1520" s="81" t="str">
        <f t="shared" si="27"/>
        <v>GalvaTé 131</v>
      </c>
      <c r="E1520" s="76" t="s">
        <v>21</v>
      </c>
      <c r="F1520" s="81">
        <v>2</v>
      </c>
      <c r="G1520" s="86" t="s">
        <v>1266</v>
      </c>
      <c r="H1520" s="71"/>
      <c r="I1520" s="75"/>
      <c r="J1520" s="70">
        <f>IFERROR(VLOOKUP(Devis[[#This Row],[Ref Air Flux]],#REF!,3,FALSE),0)</f>
        <v>0</v>
      </c>
      <c r="K1520" s="68"/>
      <c r="L1520" s="68"/>
      <c r="M1520" s="68"/>
      <c r="N1520" s="68"/>
      <c r="O1520" s="68"/>
      <c r="P1520" s="68"/>
      <c r="Q1520" s="68">
        <f>SUM(Devis[[#This Row],[Poste 1]:[Poste 6]])</f>
        <v>0</v>
      </c>
      <c r="R1520" s="71"/>
      <c r="S1520" s="68">
        <f>_xlfn.CEILING.MATH(Devis[[#This Row],[Quantité Totale]],Devis[[#This Row],[Conditionnement]])</f>
        <v>0</v>
      </c>
      <c r="T1520" s="72"/>
      <c r="U1520" s="106"/>
      <c r="V1520" s="74">
        <f>Devis[[#This Row],[Prix de Revient]]*Devis[[#This Row],[Poste 1]]</f>
        <v>0</v>
      </c>
      <c r="W1520" s="74">
        <f>Devis[[#This Row],[Prix de Revient]]*Devis[[#This Row],[Poste 2]]</f>
        <v>0</v>
      </c>
      <c r="X1520" s="74">
        <f>Devis[[#This Row],[Prix de Revient]]*Devis[[#This Row],[Poste 3]]</f>
        <v>0</v>
      </c>
      <c r="Y1520" s="74">
        <f>Devis[[#This Row],[Poste 4]]*Devis[[#This Row],[Prix de Revient]]</f>
        <v>0</v>
      </c>
      <c r="Z1520" s="74">
        <f>Devis[[#This Row],[Poste 5]]*Devis[[#This Row],[Prix de Revient]]</f>
        <v>0</v>
      </c>
      <c r="AA1520" s="74">
        <f>Devis[[#This Row],[Prix de Revient]]*Devis[[#This Row],[Poste 6]]</f>
        <v>0</v>
      </c>
      <c r="AB1520" s="74">
        <f>Devis[[#This Row],[Quantité Totale]]*Devis[[#This Row],[Prix de Revient]]</f>
        <v>0</v>
      </c>
    </row>
    <row r="1521" spans="1:28" ht="14.25" outlineLevel="1" x14ac:dyDescent="0.2">
      <c r="A1521" s="75" t="s">
        <v>3557</v>
      </c>
      <c r="B1521" s="76" t="s">
        <v>1262</v>
      </c>
      <c r="C1521" s="76"/>
      <c r="D1521" s="81" t="str">
        <f t="shared" si="27"/>
        <v>GalvaTé 131</v>
      </c>
      <c r="E1521" s="76" t="s">
        <v>20</v>
      </c>
      <c r="F1521" s="81">
        <v>3</v>
      </c>
      <c r="G1521" s="86" t="s">
        <v>1267</v>
      </c>
      <c r="H1521" s="71"/>
      <c r="I1521" s="75"/>
      <c r="J1521" s="70">
        <f>IFERROR(VLOOKUP(Devis[[#This Row],[Ref Air Flux]],#REF!,3,FALSE),0)</f>
        <v>0</v>
      </c>
      <c r="K1521" s="68"/>
      <c r="L1521" s="68"/>
      <c r="M1521" s="68"/>
      <c r="N1521" s="68"/>
      <c r="O1521" s="68"/>
      <c r="P1521" s="68"/>
      <c r="Q1521" s="68">
        <f>SUM(Devis[[#This Row],[Poste 1]:[Poste 6]])</f>
        <v>0</v>
      </c>
      <c r="R1521" s="71"/>
      <c r="S1521" s="68">
        <f>_xlfn.CEILING.MATH(Devis[[#This Row],[Quantité Totale]],Devis[[#This Row],[Conditionnement]])</f>
        <v>0</v>
      </c>
      <c r="T1521" s="72"/>
      <c r="U1521" s="106"/>
      <c r="V1521" s="74">
        <f>Devis[[#This Row],[Prix de Revient]]*Devis[[#This Row],[Poste 1]]</f>
        <v>0</v>
      </c>
      <c r="W1521" s="74">
        <f>Devis[[#This Row],[Prix de Revient]]*Devis[[#This Row],[Poste 2]]</f>
        <v>0</v>
      </c>
      <c r="X1521" s="74">
        <f>Devis[[#This Row],[Prix de Revient]]*Devis[[#This Row],[Poste 3]]</f>
        <v>0</v>
      </c>
      <c r="Y1521" s="74">
        <f>Devis[[#This Row],[Poste 4]]*Devis[[#This Row],[Prix de Revient]]</f>
        <v>0</v>
      </c>
      <c r="Z1521" s="74">
        <f>Devis[[#This Row],[Poste 5]]*Devis[[#This Row],[Prix de Revient]]</f>
        <v>0</v>
      </c>
      <c r="AA1521" s="74">
        <f>Devis[[#This Row],[Prix de Revient]]*Devis[[#This Row],[Poste 6]]</f>
        <v>0</v>
      </c>
      <c r="AB1521" s="74">
        <f>Devis[[#This Row],[Quantité Totale]]*Devis[[#This Row],[Prix de Revient]]</f>
        <v>0</v>
      </c>
    </row>
    <row r="1522" spans="1:28" ht="14.25" outlineLevel="1" x14ac:dyDescent="0.2">
      <c r="A1522" s="75" t="s">
        <v>3557</v>
      </c>
      <c r="B1522" s="76" t="s">
        <v>1262</v>
      </c>
      <c r="C1522" s="76"/>
      <c r="D1522" s="81" t="str">
        <f t="shared" si="27"/>
        <v>GalvaTé 131</v>
      </c>
      <c r="E1522" s="80" t="s">
        <v>17</v>
      </c>
      <c r="F1522" s="81">
        <v>4</v>
      </c>
      <c r="G1522" s="86" t="s">
        <v>1270</v>
      </c>
      <c r="H1522" s="71"/>
      <c r="I1522" s="75"/>
      <c r="J1522" s="70">
        <f>IFERROR(VLOOKUP(Devis[[#This Row],[Ref Air Flux]],#REF!,3,FALSE),0)</f>
        <v>0</v>
      </c>
      <c r="K1522" s="68"/>
      <c r="L1522" s="68"/>
      <c r="M1522" s="68"/>
      <c r="N1522" s="68"/>
      <c r="O1522" s="68"/>
      <c r="P1522" s="68"/>
      <c r="Q1522" s="68">
        <f>SUM(Devis[[#This Row],[Poste 1]:[Poste 6]])</f>
        <v>0</v>
      </c>
      <c r="R1522" s="71"/>
      <c r="S1522" s="68">
        <f>_xlfn.CEILING.MATH(Devis[[#This Row],[Quantité Totale]],Devis[[#This Row],[Conditionnement]])</f>
        <v>0</v>
      </c>
      <c r="T1522" s="72"/>
      <c r="U1522" s="106"/>
      <c r="V1522" s="74">
        <f>Devis[[#This Row],[Prix de Revient]]*Devis[[#This Row],[Poste 1]]</f>
        <v>0</v>
      </c>
      <c r="W1522" s="74">
        <f>Devis[[#This Row],[Prix de Revient]]*Devis[[#This Row],[Poste 2]]</f>
        <v>0</v>
      </c>
      <c r="X1522" s="74">
        <f>Devis[[#This Row],[Prix de Revient]]*Devis[[#This Row],[Poste 3]]</f>
        <v>0</v>
      </c>
      <c r="Y1522" s="74">
        <f>Devis[[#This Row],[Poste 4]]*Devis[[#This Row],[Prix de Revient]]</f>
        <v>0</v>
      </c>
      <c r="Z1522" s="74">
        <f>Devis[[#This Row],[Poste 5]]*Devis[[#This Row],[Prix de Revient]]</f>
        <v>0</v>
      </c>
      <c r="AA1522" s="74">
        <f>Devis[[#This Row],[Prix de Revient]]*Devis[[#This Row],[Poste 6]]</f>
        <v>0</v>
      </c>
      <c r="AB1522" s="74">
        <f>Devis[[#This Row],[Quantité Totale]]*Devis[[#This Row],[Prix de Revient]]</f>
        <v>0</v>
      </c>
    </row>
    <row r="1523" spans="1:28" ht="14.25" outlineLevel="1" x14ac:dyDescent="0.2">
      <c r="A1523" s="75" t="s">
        <v>3557</v>
      </c>
      <c r="B1523" s="76" t="s">
        <v>1262</v>
      </c>
      <c r="C1523" s="76"/>
      <c r="D1523" s="81" t="str">
        <f t="shared" si="27"/>
        <v>GalvaTé 131</v>
      </c>
      <c r="E1523" s="80" t="s">
        <v>46</v>
      </c>
      <c r="F1523" s="81">
        <v>5</v>
      </c>
      <c r="G1523" s="86" t="s">
        <v>1272</v>
      </c>
      <c r="H1523" s="71"/>
      <c r="I1523" s="75"/>
      <c r="J1523" s="70">
        <f>IFERROR(VLOOKUP(Devis[[#This Row],[Ref Air Flux]],#REF!,3,FALSE),0)</f>
        <v>0</v>
      </c>
      <c r="K1523" s="68"/>
      <c r="L1523" s="68"/>
      <c r="M1523" s="68"/>
      <c r="N1523" s="68"/>
      <c r="O1523" s="68"/>
      <c r="P1523" s="68"/>
      <c r="Q1523" s="68">
        <f>SUM(Devis[[#This Row],[Poste 1]:[Poste 6]])</f>
        <v>0</v>
      </c>
      <c r="R1523" s="71"/>
      <c r="S1523" s="68">
        <f>_xlfn.CEILING.MATH(Devis[[#This Row],[Quantité Totale]],Devis[[#This Row],[Conditionnement]])</f>
        <v>0</v>
      </c>
      <c r="T1523" s="72"/>
      <c r="U1523" s="106"/>
      <c r="V1523" s="74">
        <f>Devis[[#This Row],[Prix de Revient]]*Devis[[#This Row],[Poste 1]]</f>
        <v>0</v>
      </c>
      <c r="W1523" s="74">
        <f>Devis[[#This Row],[Prix de Revient]]*Devis[[#This Row],[Poste 2]]</f>
        <v>0</v>
      </c>
      <c r="X1523" s="74">
        <f>Devis[[#This Row],[Prix de Revient]]*Devis[[#This Row],[Poste 3]]</f>
        <v>0</v>
      </c>
      <c r="Y1523" s="74">
        <f>Devis[[#This Row],[Poste 4]]*Devis[[#This Row],[Prix de Revient]]</f>
        <v>0</v>
      </c>
      <c r="Z1523" s="74">
        <f>Devis[[#This Row],[Poste 5]]*Devis[[#This Row],[Prix de Revient]]</f>
        <v>0</v>
      </c>
      <c r="AA1523" s="74">
        <f>Devis[[#This Row],[Prix de Revient]]*Devis[[#This Row],[Poste 6]]</f>
        <v>0</v>
      </c>
      <c r="AB1523" s="74">
        <f>Devis[[#This Row],[Quantité Totale]]*Devis[[#This Row],[Prix de Revient]]</f>
        <v>0</v>
      </c>
    </row>
    <row r="1524" spans="1:28" ht="14.25" outlineLevel="1" x14ac:dyDescent="0.2">
      <c r="A1524" s="75" t="s">
        <v>3557</v>
      </c>
      <c r="B1524" s="76" t="s">
        <v>1262</v>
      </c>
      <c r="C1524" s="76"/>
      <c r="D1524" s="81" t="str">
        <f t="shared" si="27"/>
        <v>GalvaTé 131</v>
      </c>
      <c r="E1524" s="76" t="s">
        <v>0</v>
      </c>
      <c r="F1524" s="81">
        <v>6</v>
      </c>
      <c r="G1524" s="86" t="s">
        <v>1265</v>
      </c>
      <c r="H1524" s="71"/>
      <c r="I1524" s="75"/>
      <c r="J1524" s="70">
        <f>IFERROR(VLOOKUP(Devis[[#This Row],[Ref Air Flux]],#REF!,3,FALSE),0)</f>
        <v>0</v>
      </c>
      <c r="K1524" s="68"/>
      <c r="L1524" s="68"/>
      <c r="M1524" s="68"/>
      <c r="N1524" s="68"/>
      <c r="O1524" s="68"/>
      <c r="P1524" s="68"/>
      <c r="Q1524" s="68">
        <f>SUM(Devis[[#This Row],[Poste 1]:[Poste 6]])</f>
        <v>0</v>
      </c>
      <c r="R1524" s="71"/>
      <c r="S1524" s="68">
        <f>_xlfn.CEILING.MATH(Devis[[#This Row],[Quantité Totale]],Devis[[#This Row],[Conditionnement]])</f>
        <v>0</v>
      </c>
      <c r="T1524" s="72"/>
      <c r="U1524" s="106"/>
      <c r="V1524" s="74">
        <f>Devis[[#This Row],[Prix de Revient]]*Devis[[#This Row],[Poste 1]]</f>
        <v>0</v>
      </c>
      <c r="W1524" s="74">
        <f>Devis[[#This Row],[Prix de Revient]]*Devis[[#This Row],[Poste 2]]</f>
        <v>0</v>
      </c>
      <c r="X1524" s="74">
        <f>Devis[[#This Row],[Prix de Revient]]*Devis[[#This Row],[Poste 3]]</f>
        <v>0</v>
      </c>
      <c r="Y1524" s="74">
        <f>Devis[[#This Row],[Poste 4]]*Devis[[#This Row],[Prix de Revient]]</f>
        <v>0</v>
      </c>
      <c r="Z1524" s="74">
        <f>Devis[[#This Row],[Poste 5]]*Devis[[#This Row],[Prix de Revient]]</f>
        <v>0</v>
      </c>
      <c r="AA1524" s="74">
        <f>Devis[[#This Row],[Prix de Revient]]*Devis[[#This Row],[Poste 6]]</f>
        <v>0</v>
      </c>
      <c r="AB1524" s="74">
        <f>Devis[[#This Row],[Quantité Totale]]*Devis[[#This Row],[Prix de Revient]]</f>
        <v>0</v>
      </c>
    </row>
    <row r="1525" spans="1:28" ht="14.25" outlineLevel="1" x14ac:dyDescent="0.2">
      <c r="A1525" s="75" t="s">
        <v>3557</v>
      </c>
      <c r="B1525" s="76" t="s">
        <v>1262</v>
      </c>
      <c r="C1525" s="76"/>
      <c r="D1525" s="81" t="str">
        <f t="shared" si="27"/>
        <v>GalvaTé 131</v>
      </c>
      <c r="E1525" s="76" t="s">
        <v>49</v>
      </c>
      <c r="F1525" s="81">
        <v>7</v>
      </c>
      <c r="G1525" s="86" t="s">
        <v>1264</v>
      </c>
      <c r="H1525" s="71"/>
      <c r="I1525" s="75"/>
      <c r="J1525" s="70">
        <f>IFERROR(VLOOKUP(Devis[[#This Row],[Ref Air Flux]],#REF!,3,FALSE),0)</f>
        <v>0</v>
      </c>
      <c r="K1525" s="68"/>
      <c r="L1525" s="68"/>
      <c r="M1525" s="68"/>
      <c r="N1525" s="68"/>
      <c r="O1525" s="68"/>
      <c r="P1525" s="68"/>
      <c r="Q1525" s="68">
        <f>SUM(Devis[[#This Row],[Poste 1]:[Poste 6]])</f>
        <v>0</v>
      </c>
      <c r="R1525" s="71"/>
      <c r="S1525" s="68">
        <f>_xlfn.CEILING.MATH(Devis[[#This Row],[Quantité Totale]],Devis[[#This Row],[Conditionnement]])</f>
        <v>0</v>
      </c>
      <c r="T1525" s="72"/>
      <c r="U1525" s="106"/>
      <c r="V1525" s="74">
        <f>Devis[[#This Row],[Prix de Revient]]*Devis[[#This Row],[Poste 1]]</f>
        <v>0</v>
      </c>
      <c r="W1525" s="74">
        <f>Devis[[#This Row],[Prix de Revient]]*Devis[[#This Row],[Poste 2]]</f>
        <v>0</v>
      </c>
      <c r="X1525" s="74">
        <f>Devis[[#This Row],[Prix de Revient]]*Devis[[#This Row],[Poste 3]]</f>
        <v>0</v>
      </c>
      <c r="Y1525" s="74">
        <f>Devis[[#This Row],[Poste 4]]*Devis[[#This Row],[Prix de Revient]]</f>
        <v>0</v>
      </c>
      <c r="Z1525" s="74">
        <f>Devis[[#This Row],[Poste 5]]*Devis[[#This Row],[Prix de Revient]]</f>
        <v>0</v>
      </c>
      <c r="AA1525" s="74">
        <f>Devis[[#This Row],[Prix de Revient]]*Devis[[#This Row],[Poste 6]]</f>
        <v>0</v>
      </c>
      <c r="AB1525" s="74">
        <f>Devis[[#This Row],[Quantité Totale]]*Devis[[#This Row],[Prix de Revient]]</f>
        <v>0</v>
      </c>
    </row>
    <row r="1526" spans="1:28" ht="14.25" outlineLevel="1" x14ac:dyDescent="0.2">
      <c r="A1526" s="75" t="s">
        <v>3557</v>
      </c>
      <c r="B1526" s="76" t="s">
        <v>1262</v>
      </c>
      <c r="C1526" s="76"/>
      <c r="D1526" s="81" t="str">
        <f t="shared" si="27"/>
        <v>GalvaTé 131</v>
      </c>
      <c r="E1526" s="76" t="s">
        <v>821</v>
      </c>
      <c r="F1526" s="81">
        <v>8</v>
      </c>
      <c r="G1526" s="86" t="s">
        <v>1263</v>
      </c>
      <c r="H1526" s="71"/>
      <c r="I1526" s="75"/>
      <c r="J1526" s="70">
        <f>IFERROR(VLOOKUP(Devis[[#This Row],[Ref Air Flux]],#REF!,3,FALSE),0)</f>
        <v>0</v>
      </c>
      <c r="K1526" s="68"/>
      <c r="L1526" s="68"/>
      <c r="M1526" s="68"/>
      <c r="N1526" s="68"/>
      <c r="O1526" s="68"/>
      <c r="P1526" s="68"/>
      <c r="Q1526" s="68">
        <f>SUM(Devis[[#This Row],[Poste 1]:[Poste 6]])</f>
        <v>0</v>
      </c>
      <c r="R1526" s="71"/>
      <c r="S1526" s="68">
        <f>_xlfn.CEILING.MATH(Devis[[#This Row],[Quantité Totale]],Devis[[#This Row],[Conditionnement]])</f>
        <v>0</v>
      </c>
      <c r="T1526" s="72"/>
      <c r="U1526" s="106"/>
      <c r="V1526" s="74">
        <f>Devis[[#This Row],[Prix de Revient]]*Devis[[#This Row],[Poste 1]]</f>
        <v>0</v>
      </c>
      <c r="W1526" s="74">
        <f>Devis[[#This Row],[Prix de Revient]]*Devis[[#This Row],[Poste 2]]</f>
        <v>0</v>
      </c>
      <c r="X1526" s="74">
        <f>Devis[[#This Row],[Prix de Revient]]*Devis[[#This Row],[Poste 3]]</f>
        <v>0</v>
      </c>
      <c r="Y1526" s="74">
        <f>Devis[[#This Row],[Poste 4]]*Devis[[#This Row],[Prix de Revient]]</f>
        <v>0</v>
      </c>
      <c r="Z1526" s="74">
        <f>Devis[[#This Row],[Poste 5]]*Devis[[#This Row],[Prix de Revient]]</f>
        <v>0</v>
      </c>
      <c r="AA1526" s="74">
        <f>Devis[[#This Row],[Prix de Revient]]*Devis[[#This Row],[Poste 6]]</f>
        <v>0</v>
      </c>
      <c r="AB1526" s="74">
        <f>Devis[[#This Row],[Quantité Totale]]*Devis[[#This Row],[Prix de Revient]]</f>
        <v>0</v>
      </c>
    </row>
    <row r="1527" spans="1:28" ht="14.25" outlineLevel="1" x14ac:dyDescent="0.2">
      <c r="A1527" s="75" t="s">
        <v>3557</v>
      </c>
      <c r="B1527" s="76" t="s">
        <v>1262</v>
      </c>
      <c r="C1527" s="76"/>
      <c r="D1527" s="81" t="str">
        <f t="shared" si="27"/>
        <v>GalvaTé 131</v>
      </c>
      <c r="E1527" s="80" t="s">
        <v>18</v>
      </c>
      <c r="F1527" s="81">
        <v>9</v>
      </c>
      <c r="G1527" s="86" t="s">
        <v>1269</v>
      </c>
      <c r="H1527" s="71"/>
      <c r="I1527" s="75"/>
      <c r="J1527" s="70">
        <f>IFERROR(VLOOKUP(Devis[[#This Row],[Ref Air Flux]],#REF!,3,FALSE),0)</f>
        <v>0</v>
      </c>
      <c r="K1527" s="68"/>
      <c r="L1527" s="68"/>
      <c r="M1527" s="68"/>
      <c r="N1527" s="68"/>
      <c r="O1527" s="68"/>
      <c r="P1527" s="68"/>
      <c r="Q1527" s="68">
        <f>SUM(Devis[[#This Row],[Poste 1]:[Poste 6]])</f>
        <v>0</v>
      </c>
      <c r="R1527" s="71"/>
      <c r="S1527" s="68">
        <f>_xlfn.CEILING.MATH(Devis[[#This Row],[Quantité Totale]],Devis[[#This Row],[Conditionnement]])</f>
        <v>0</v>
      </c>
      <c r="T1527" s="72"/>
      <c r="U1527" s="106"/>
      <c r="V1527" s="74">
        <f>Devis[[#This Row],[Prix de Revient]]*Devis[[#This Row],[Poste 1]]</f>
        <v>0</v>
      </c>
      <c r="W1527" s="74">
        <f>Devis[[#This Row],[Prix de Revient]]*Devis[[#This Row],[Poste 2]]</f>
        <v>0</v>
      </c>
      <c r="X1527" s="74">
        <f>Devis[[#This Row],[Prix de Revient]]*Devis[[#This Row],[Poste 3]]</f>
        <v>0</v>
      </c>
      <c r="Y1527" s="74">
        <f>Devis[[#This Row],[Poste 4]]*Devis[[#This Row],[Prix de Revient]]</f>
        <v>0</v>
      </c>
      <c r="Z1527" s="74">
        <f>Devis[[#This Row],[Poste 5]]*Devis[[#This Row],[Prix de Revient]]</f>
        <v>0</v>
      </c>
      <c r="AA1527" s="74">
        <f>Devis[[#This Row],[Prix de Revient]]*Devis[[#This Row],[Poste 6]]</f>
        <v>0</v>
      </c>
      <c r="AB1527" s="74">
        <f>Devis[[#This Row],[Quantité Totale]]*Devis[[#This Row],[Prix de Revient]]</f>
        <v>0</v>
      </c>
    </row>
    <row r="1528" spans="1:28" ht="14.25" outlineLevel="1" x14ac:dyDescent="0.2">
      <c r="A1528" s="75" t="s">
        <v>3557</v>
      </c>
      <c r="B1528" s="76" t="s">
        <v>1262</v>
      </c>
      <c r="C1528" s="76"/>
      <c r="D1528" s="81" t="str">
        <f t="shared" si="27"/>
        <v>GalvaTé 131</v>
      </c>
      <c r="E1528" s="80" t="s">
        <v>16</v>
      </c>
      <c r="F1528" s="81">
        <v>10</v>
      </c>
      <c r="G1528" s="86" t="s">
        <v>1271</v>
      </c>
      <c r="H1528" s="71"/>
      <c r="I1528" s="75"/>
      <c r="J1528" s="70">
        <f>IFERROR(VLOOKUP(Devis[[#This Row],[Ref Air Flux]],#REF!,3,FALSE),0)</f>
        <v>0</v>
      </c>
      <c r="K1528" s="68"/>
      <c r="L1528" s="68"/>
      <c r="M1528" s="68"/>
      <c r="N1528" s="68"/>
      <c r="O1528" s="68"/>
      <c r="P1528" s="68"/>
      <c r="Q1528" s="68">
        <f>SUM(Devis[[#This Row],[Poste 1]:[Poste 6]])</f>
        <v>0</v>
      </c>
      <c r="R1528" s="71"/>
      <c r="S1528" s="68">
        <f>_xlfn.CEILING.MATH(Devis[[#This Row],[Quantité Totale]],Devis[[#This Row],[Conditionnement]])</f>
        <v>0</v>
      </c>
      <c r="T1528" s="72"/>
      <c r="U1528" s="106"/>
      <c r="V1528" s="74">
        <f>Devis[[#This Row],[Prix de Revient]]*Devis[[#This Row],[Poste 1]]</f>
        <v>0</v>
      </c>
      <c r="W1528" s="74">
        <f>Devis[[#This Row],[Prix de Revient]]*Devis[[#This Row],[Poste 2]]</f>
        <v>0</v>
      </c>
      <c r="X1528" s="74">
        <f>Devis[[#This Row],[Prix de Revient]]*Devis[[#This Row],[Poste 3]]</f>
        <v>0</v>
      </c>
      <c r="Y1528" s="74">
        <f>Devis[[#This Row],[Poste 4]]*Devis[[#This Row],[Prix de Revient]]</f>
        <v>0</v>
      </c>
      <c r="Z1528" s="74">
        <f>Devis[[#This Row],[Poste 5]]*Devis[[#This Row],[Prix de Revient]]</f>
        <v>0</v>
      </c>
      <c r="AA1528" s="74">
        <f>Devis[[#This Row],[Prix de Revient]]*Devis[[#This Row],[Poste 6]]</f>
        <v>0</v>
      </c>
      <c r="AB1528" s="74">
        <f>Devis[[#This Row],[Quantité Totale]]*Devis[[#This Row],[Prix de Revient]]</f>
        <v>0</v>
      </c>
    </row>
    <row r="1529" spans="1:28" ht="15" customHeight="1" x14ac:dyDescent="0.25">
      <c r="A1529" s="65" t="s">
        <v>3557</v>
      </c>
      <c r="B1529" s="65" t="s">
        <v>1273</v>
      </c>
      <c r="C1529" s="76"/>
      <c r="D1529" s="81" t="str">
        <f t="shared" si="27"/>
        <v>GalvaTé 132</v>
      </c>
      <c r="E1529" s="76"/>
      <c r="F1529" s="81">
        <v>0</v>
      </c>
      <c r="G1529" s="86"/>
      <c r="H1529" s="71"/>
      <c r="I1529" s="75"/>
      <c r="J1529" s="70">
        <f>IFERROR(VLOOKUP(Devis[[#This Row],[Ref Air Flux]],#REF!,3,FALSE),0)</f>
        <v>0</v>
      </c>
      <c r="K1529" s="68"/>
      <c r="L1529" s="68"/>
      <c r="M1529" s="68"/>
      <c r="N1529" s="68"/>
      <c r="O1529" s="68"/>
      <c r="P1529" s="68"/>
      <c r="Q1529" s="68">
        <f>SUM(Devis[[#This Row],[Poste 1]:[Poste 6]])</f>
        <v>0</v>
      </c>
      <c r="R1529" s="71"/>
      <c r="S1529" s="68">
        <f>_xlfn.CEILING.MATH(Devis[[#This Row],[Quantité Totale]],Devis[[#This Row],[Conditionnement]])</f>
        <v>0</v>
      </c>
      <c r="T1529" s="72"/>
      <c r="U1529" s="106"/>
      <c r="V1529" s="74">
        <f>Devis[[#This Row],[Prix de Revient]]*Devis[[#This Row],[Poste 1]]</f>
        <v>0</v>
      </c>
      <c r="W1529" s="74">
        <f>Devis[[#This Row],[Prix de Revient]]*Devis[[#This Row],[Poste 2]]</f>
        <v>0</v>
      </c>
      <c r="X1529" s="74">
        <f>Devis[[#This Row],[Prix de Revient]]*Devis[[#This Row],[Poste 3]]</f>
        <v>0</v>
      </c>
      <c r="Y1529" s="74">
        <f>Devis[[#This Row],[Poste 4]]*Devis[[#This Row],[Prix de Revient]]</f>
        <v>0</v>
      </c>
      <c r="Z1529" s="74">
        <f>Devis[[#This Row],[Poste 5]]*Devis[[#This Row],[Prix de Revient]]</f>
        <v>0</v>
      </c>
      <c r="AA1529" s="74">
        <f>Devis[[#This Row],[Prix de Revient]]*Devis[[#This Row],[Poste 6]]</f>
        <v>0</v>
      </c>
      <c r="AB1529" s="74">
        <f>Devis[[#This Row],[Quantité Totale]]*Devis[[#This Row],[Prix de Revient]]</f>
        <v>0</v>
      </c>
    </row>
    <row r="1530" spans="1:28" ht="14.25" customHeight="1" outlineLevel="1" x14ac:dyDescent="0.2">
      <c r="A1530" s="75" t="s">
        <v>3557</v>
      </c>
      <c r="B1530" s="76" t="s">
        <v>1273</v>
      </c>
      <c r="C1530" s="76"/>
      <c r="D1530" s="81" t="str">
        <f t="shared" si="27"/>
        <v>GalvaTé 132</v>
      </c>
      <c r="E1530" s="76" t="s">
        <v>19</v>
      </c>
      <c r="F1530" s="81">
        <v>1</v>
      </c>
      <c r="G1530" s="86" t="s">
        <v>1279</v>
      </c>
      <c r="H1530" s="71"/>
      <c r="I1530" s="75"/>
      <c r="J1530" s="70">
        <f>IFERROR(VLOOKUP(Devis[[#This Row],[Ref Air Flux]],#REF!,3,FALSE),0)</f>
        <v>0</v>
      </c>
      <c r="K1530" s="68"/>
      <c r="L1530" s="68"/>
      <c r="M1530" s="68"/>
      <c r="N1530" s="68"/>
      <c r="O1530" s="68"/>
      <c r="P1530" s="68"/>
      <c r="Q1530" s="68">
        <f>SUM(Devis[[#This Row],[Poste 1]:[Poste 6]])</f>
        <v>0</v>
      </c>
      <c r="R1530" s="71"/>
      <c r="S1530" s="68">
        <f>_xlfn.CEILING.MATH(Devis[[#This Row],[Quantité Totale]],Devis[[#This Row],[Conditionnement]])</f>
        <v>0</v>
      </c>
      <c r="T1530" s="72"/>
      <c r="U1530" s="106"/>
      <c r="V1530" s="74">
        <f>Devis[[#This Row],[Prix de Revient]]*Devis[[#This Row],[Poste 1]]</f>
        <v>0</v>
      </c>
      <c r="W1530" s="74">
        <f>Devis[[#This Row],[Prix de Revient]]*Devis[[#This Row],[Poste 2]]</f>
        <v>0</v>
      </c>
      <c r="X1530" s="74">
        <f>Devis[[#This Row],[Prix de Revient]]*Devis[[#This Row],[Poste 3]]</f>
        <v>0</v>
      </c>
      <c r="Y1530" s="74">
        <f>Devis[[#This Row],[Poste 4]]*Devis[[#This Row],[Prix de Revient]]</f>
        <v>0</v>
      </c>
      <c r="Z1530" s="74">
        <f>Devis[[#This Row],[Poste 5]]*Devis[[#This Row],[Prix de Revient]]</f>
        <v>0</v>
      </c>
      <c r="AA1530" s="74">
        <f>Devis[[#This Row],[Prix de Revient]]*Devis[[#This Row],[Poste 6]]</f>
        <v>0</v>
      </c>
      <c r="AB1530" s="74">
        <f>Devis[[#This Row],[Quantité Totale]]*Devis[[#This Row],[Prix de Revient]]</f>
        <v>0</v>
      </c>
    </row>
    <row r="1531" spans="1:28" ht="15" customHeight="1" outlineLevel="1" x14ac:dyDescent="0.2">
      <c r="A1531" s="75" t="s">
        <v>3557</v>
      </c>
      <c r="B1531" s="76" t="s">
        <v>1273</v>
      </c>
      <c r="C1531" s="76"/>
      <c r="D1531" s="81" t="str">
        <f t="shared" si="27"/>
        <v>GalvaTé 132</v>
      </c>
      <c r="E1531" s="76" t="s">
        <v>21</v>
      </c>
      <c r="F1531" s="81">
        <v>2</v>
      </c>
      <c r="G1531" s="86" t="s">
        <v>1277</v>
      </c>
      <c r="H1531" s="71"/>
      <c r="I1531" s="75"/>
      <c r="J1531" s="70">
        <f>IFERROR(VLOOKUP(Devis[[#This Row],[Ref Air Flux]],#REF!,3,FALSE),0)</f>
        <v>0</v>
      </c>
      <c r="K1531" s="68"/>
      <c r="L1531" s="68"/>
      <c r="M1531" s="68"/>
      <c r="N1531" s="68"/>
      <c r="O1531" s="68"/>
      <c r="P1531" s="68"/>
      <c r="Q1531" s="68">
        <f>SUM(Devis[[#This Row],[Poste 1]:[Poste 6]])</f>
        <v>0</v>
      </c>
      <c r="R1531" s="71"/>
      <c r="S1531" s="68">
        <f>_xlfn.CEILING.MATH(Devis[[#This Row],[Quantité Totale]],Devis[[#This Row],[Conditionnement]])</f>
        <v>0</v>
      </c>
      <c r="T1531" s="72"/>
      <c r="U1531" s="106"/>
      <c r="V1531" s="74">
        <f>Devis[[#This Row],[Prix de Revient]]*Devis[[#This Row],[Poste 1]]</f>
        <v>0</v>
      </c>
      <c r="W1531" s="74">
        <f>Devis[[#This Row],[Prix de Revient]]*Devis[[#This Row],[Poste 2]]</f>
        <v>0</v>
      </c>
      <c r="X1531" s="74">
        <f>Devis[[#This Row],[Prix de Revient]]*Devis[[#This Row],[Poste 3]]</f>
        <v>0</v>
      </c>
      <c r="Y1531" s="74">
        <f>Devis[[#This Row],[Poste 4]]*Devis[[#This Row],[Prix de Revient]]</f>
        <v>0</v>
      </c>
      <c r="Z1531" s="74">
        <f>Devis[[#This Row],[Poste 5]]*Devis[[#This Row],[Prix de Revient]]</f>
        <v>0</v>
      </c>
      <c r="AA1531" s="74">
        <f>Devis[[#This Row],[Prix de Revient]]*Devis[[#This Row],[Poste 6]]</f>
        <v>0</v>
      </c>
      <c r="AB1531" s="74">
        <f>Devis[[#This Row],[Quantité Totale]]*Devis[[#This Row],[Prix de Revient]]</f>
        <v>0</v>
      </c>
    </row>
    <row r="1532" spans="1:28" ht="14.25" outlineLevel="1" x14ac:dyDescent="0.2">
      <c r="A1532" s="75" t="s">
        <v>3557</v>
      </c>
      <c r="B1532" s="76" t="s">
        <v>1273</v>
      </c>
      <c r="C1532" s="76"/>
      <c r="D1532" s="81" t="str">
        <f t="shared" si="27"/>
        <v>GalvaTé 132</v>
      </c>
      <c r="E1532" s="76" t="s">
        <v>20</v>
      </c>
      <c r="F1532" s="81">
        <v>3</v>
      </c>
      <c r="G1532" s="86" t="s">
        <v>1278</v>
      </c>
      <c r="H1532" s="71"/>
      <c r="I1532" s="75"/>
      <c r="J1532" s="70">
        <f>IFERROR(VLOOKUP(Devis[[#This Row],[Ref Air Flux]],#REF!,3,FALSE),0)</f>
        <v>0</v>
      </c>
      <c r="K1532" s="68"/>
      <c r="L1532" s="68"/>
      <c r="M1532" s="68"/>
      <c r="N1532" s="68"/>
      <c r="O1532" s="68"/>
      <c r="P1532" s="68"/>
      <c r="Q1532" s="68">
        <f>SUM(Devis[[#This Row],[Poste 1]:[Poste 6]])</f>
        <v>0</v>
      </c>
      <c r="R1532" s="71"/>
      <c r="S1532" s="68">
        <f>_xlfn.CEILING.MATH(Devis[[#This Row],[Quantité Totale]],Devis[[#This Row],[Conditionnement]])</f>
        <v>0</v>
      </c>
      <c r="T1532" s="72"/>
      <c r="U1532" s="106"/>
      <c r="V1532" s="74">
        <f>Devis[[#This Row],[Prix de Revient]]*Devis[[#This Row],[Poste 1]]</f>
        <v>0</v>
      </c>
      <c r="W1532" s="74">
        <f>Devis[[#This Row],[Prix de Revient]]*Devis[[#This Row],[Poste 2]]</f>
        <v>0</v>
      </c>
      <c r="X1532" s="74">
        <f>Devis[[#This Row],[Prix de Revient]]*Devis[[#This Row],[Poste 3]]</f>
        <v>0</v>
      </c>
      <c r="Y1532" s="74">
        <f>Devis[[#This Row],[Poste 4]]*Devis[[#This Row],[Prix de Revient]]</f>
        <v>0</v>
      </c>
      <c r="Z1532" s="74">
        <f>Devis[[#This Row],[Poste 5]]*Devis[[#This Row],[Prix de Revient]]</f>
        <v>0</v>
      </c>
      <c r="AA1532" s="74">
        <f>Devis[[#This Row],[Prix de Revient]]*Devis[[#This Row],[Poste 6]]</f>
        <v>0</v>
      </c>
      <c r="AB1532" s="74">
        <f>Devis[[#This Row],[Quantité Totale]]*Devis[[#This Row],[Prix de Revient]]</f>
        <v>0</v>
      </c>
    </row>
    <row r="1533" spans="1:28" ht="14.25" outlineLevel="1" x14ac:dyDescent="0.2">
      <c r="A1533" s="75" t="s">
        <v>3557</v>
      </c>
      <c r="B1533" s="76" t="s">
        <v>1273</v>
      </c>
      <c r="C1533" s="76"/>
      <c r="D1533" s="81" t="str">
        <f t="shared" si="27"/>
        <v>GalvaTé 132</v>
      </c>
      <c r="E1533" s="80" t="s">
        <v>17</v>
      </c>
      <c r="F1533" s="81">
        <v>4</v>
      </c>
      <c r="G1533" s="86" t="s">
        <v>1281</v>
      </c>
      <c r="H1533" s="71"/>
      <c r="I1533" s="75"/>
      <c r="J1533" s="70">
        <f>IFERROR(VLOOKUP(Devis[[#This Row],[Ref Air Flux]],#REF!,3,FALSE),0)</f>
        <v>0</v>
      </c>
      <c r="K1533" s="68"/>
      <c r="L1533" s="68"/>
      <c r="M1533" s="68"/>
      <c r="N1533" s="68"/>
      <c r="O1533" s="68"/>
      <c r="P1533" s="68"/>
      <c r="Q1533" s="68">
        <f>SUM(Devis[[#This Row],[Poste 1]:[Poste 6]])</f>
        <v>0</v>
      </c>
      <c r="R1533" s="71"/>
      <c r="S1533" s="68">
        <f>_xlfn.CEILING.MATH(Devis[[#This Row],[Quantité Totale]],Devis[[#This Row],[Conditionnement]])</f>
        <v>0</v>
      </c>
      <c r="T1533" s="72"/>
      <c r="U1533" s="106"/>
      <c r="V1533" s="74">
        <f>Devis[[#This Row],[Prix de Revient]]*Devis[[#This Row],[Poste 1]]</f>
        <v>0</v>
      </c>
      <c r="W1533" s="74">
        <f>Devis[[#This Row],[Prix de Revient]]*Devis[[#This Row],[Poste 2]]</f>
        <v>0</v>
      </c>
      <c r="X1533" s="74">
        <f>Devis[[#This Row],[Prix de Revient]]*Devis[[#This Row],[Poste 3]]</f>
        <v>0</v>
      </c>
      <c r="Y1533" s="74">
        <f>Devis[[#This Row],[Poste 4]]*Devis[[#This Row],[Prix de Revient]]</f>
        <v>0</v>
      </c>
      <c r="Z1533" s="74">
        <f>Devis[[#This Row],[Poste 5]]*Devis[[#This Row],[Prix de Revient]]</f>
        <v>0</v>
      </c>
      <c r="AA1533" s="74">
        <f>Devis[[#This Row],[Prix de Revient]]*Devis[[#This Row],[Poste 6]]</f>
        <v>0</v>
      </c>
      <c r="AB1533" s="74">
        <f>Devis[[#This Row],[Quantité Totale]]*Devis[[#This Row],[Prix de Revient]]</f>
        <v>0</v>
      </c>
    </row>
    <row r="1534" spans="1:28" ht="14.25" outlineLevel="1" x14ac:dyDescent="0.2">
      <c r="A1534" s="75" t="s">
        <v>3557</v>
      </c>
      <c r="B1534" s="76" t="s">
        <v>1273</v>
      </c>
      <c r="C1534" s="76"/>
      <c r="D1534" s="81" t="str">
        <f t="shared" si="27"/>
        <v>GalvaTé 132</v>
      </c>
      <c r="E1534" s="76" t="s">
        <v>0</v>
      </c>
      <c r="F1534" s="81">
        <v>5</v>
      </c>
      <c r="G1534" s="86" t="s">
        <v>1276</v>
      </c>
      <c r="H1534" s="71"/>
      <c r="I1534" s="75"/>
      <c r="J1534" s="70">
        <f>IFERROR(VLOOKUP(Devis[[#This Row],[Ref Air Flux]],#REF!,3,FALSE),0)</f>
        <v>0</v>
      </c>
      <c r="K1534" s="68"/>
      <c r="L1534" s="68"/>
      <c r="M1534" s="68"/>
      <c r="N1534" s="68"/>
      <c r="O1534" s="68"/>
      <c r="P1534" s="68"/>
      <c r="Q1534" s="68">
        <f>SUM(Devis[[#This Row],[Poste 1]:[Poste 6]])</f>
        <v>0</v>
      </c>
      <c r="R1534" s="71"/>
      <c r="S1534" s="68">
        <f>_xlfn.CEILING.MATH(Devis[[#This Row],[Quantité Totale]],Devis[[#This Row],[Conditionnement]])</f>
        <v>0</v>
      </c>
      <c r="T1534" s="72"/>
      <c r="U1534" s="106"/>
      <c r="V1534" s="74">
        <f>Devis[[#This Row],[Prix de Revient]]*Devis[[#This Row],[Poste 1]]</f>
        <v>0</v>
      </c>
      <c r="W1534" s="74">
        <f>Devis[[#This Row],[Prix de Revient]]*Devis[[#This Row],[Poste 2]]</f>
        <v>0</v>
      </c>
      <c r="X1534" s="74">
        <f>Devis[[#This Row],[Prix de Revient]]*Devis[[#This Row],[Poste 3]]</f>
        <v>0</v>
      </c>
      <c r="Y1534" s="74">
        <f>Devis[[#This Row],[Poste 4]]*Devis[[#This Row],[Prix de Revient]]</f>
        <v>0</v>
      </c>
      <c r="Z1534" s="74">
        <f>Devis[[#This Row],[Poste 5]]*Devis[[#This Row],[Prix de Revient]]</f>
        <v>0</v>
      </c>
      <c r="AA1534" s="74">
        <f>Devis[[#This Row],[Prix de Revient]]*Devis[[#This Row],[Poste 6]]</f>
        <v>0</v>
      </c>
      <c r="AB1534" s="74">
        <f>Devis[[#This Row],[Quantité Totale]]*Devis[[#This Row],[Prix de Revient]]</f>
        <v>0</v>
      </c>
    </row>
    <row r="1535" spans="1:28" ht="14.25" outlineLevel="1" x14ac:dyDescent="0.2">
      <c r="A1535" s="75" t="s">
        <v>3557</v>
      </c>
      <c r="B1535" s="76" t="s">
        <v>1273</v>
      </c>
      <c r="C1535" s="76"/>
      <c r="D1535" s="81" t="str">
        <f t="shared" si="27"/>
        <v>GalvaTé 132</v>
      </c>
      <c r="E1535" s="76" t="s">
        <v>49</v>
      </c>
      <c r="F1535" s="81">
        <v>6</v>
      </c>
      <c r="G1535" s="86" t="s">
        <v>1275</v>
      </c>
      <c r="H1535" s="71"/>
      <c r="I1535" s="75"/>
      <c r="J1535" s="70">
        <f>IFERROR(VLOOKUP(Devis[[#This Row],[Ref Air Flux]],#REF!,3,FALSE),0)</f>
        <v>0</v>
      </c>
      <c r="K1535" s="68"/>
      <c r="L1535" s="68"/>
      <c r="M1535" s="68"/>
      <c r="N1535" s="68"/>
      <c r="O1535" s="68"/>
      <c r="P1535" s="68"/>
      <c r="Q1535" s="68">
        <f>SUM(Devis[[#This Row],[Poste 1]:[Poste 6]])</f>
        <v>0</v>
      </c>
      <c r="R1535" s="71"/>
      <c r="S1535" s="68">
        <f>_xlfn.CEILING.MATH(Devis[[#This Row],[Quantité Totale]],Devis[[#This Row],[Conditionnement]])</f>
        <v>0</v>
      </c>
      <c r="T1535" s="72"/>
      <c r="U1535" s="106"/>
      <c r="V1535" s="74">
        <f>Devis[[#This Row],[Prix de Revient]]*Devis[[#This Row],[Poste 1]]</f>
        <v>0</v>
      </c>
      <c r="W1535" s="74">
        <f>Devis[[#This Row],[Prix de Revient]]*Devis[[#This Row],[Poste 2]]</f>
        <v>0</v>
      </c>
      <c r="X1535" s="74">
        <f>Devis[[#This Row],[Prix de Revient]]*Devis[[#This Row],[Poste 3]]</f>
        <v>0</v>
      </c>
      <c r="Y1535" s="74">
        <f>Devis[[#This Row],[Poste 4]]*Devis[[#This Row],[Prix de Revient]]</f>
        <v>0</v>
      </c>
      <c r="Z1535" s="74">
        <f>Devis[[#This Row],[Poste 5]]*Devis[[#This Row],[Prix de Revient]]</f>
        <v>0</v>
      </c>
      <c r="AA1535" s="74">
        <f>Devis[[#This Row],[Prix de Revient]]*Devis[[#This Row],[Poste 6]]</f>
        <v>0</v>
      </c>
      <c r="AB1535" s="74">
        <f>Devis[[#This Row],[Quantité Totale]]*Devis[[#This Row],[Prix de Revient]]</f>
        <v>0</v>
      </c>
    </row>
    <row r="1536" spans="1:28" ht="14.25" outlineLevel="1" x14ac:dyDescent="0.2">
      <c r="A1536" s="75" t="s">
        <v>3557</v>
      </c>
      <c r="B1536" s="76" t="s">
        <v>1273</v>
      </c>
      <c r="C1536" s="76"/>
      <c r="D1536" s="81" t="str">
        <f t="shared" si="27"/>
        <v>GalvaTé 132</v>
      </c>
      <c r="E1536" s="76" t="s">
        <v>821</v>
      </c>
      <c r="F1536" s="81">
        <v>7</v>
      </c>
      <c r="G1536" s="86" t="s">
        <v>1274</v>
      </c>
      <c r="H1536" s="71"/>
      <c r="I1536" s="75"/>
      <c r="J1536" s="70">
        <f>IFERROR(VLOOKUP(Devis[[#This Row],[Ref Air Flux]],#REF!,3,FALSE),0)</f>
        <v>0</v>
      </c>
      <c r="K1536" s="68"/>
      <c r="L1536" s="68"/>
      <c r="M1536" s="68"/>
      <c r="N1536" s="68"/>
      <c r="O1536" s="68"/>
      <c r="P1536" s="68"/>
      <c r="Q1536" s="68">
        <f>SUM(Devis[[#This Row],[Poste 1]:[Poste 6]])</f>
        <v>0</v>
      </c>
      <c r="R1536" s="71"/>
      <c r="S1536" s="68">
        <f>_xlfn.CEILING.MATH(Devis[[#This Row],[Quantité Totale]],Devis[[#This Row],[Conditionnement]])</f>
        <v>0</v>
      </c>
      <c r="T1536" s="72"/>
      <c r="U1536" s="106"/>
      <c r="V1536" s="74">
        <f>Devis[[#This Row],[Prix de Revient]]*Devis[[#This Row],[Poste 1]]</f>
        <v>0</v>
      </c>
      <c r="W1536" s="74">
        <f>Devis[[#This Row],[Prix de Revient]]*Devis[[#This Row],[Poste 2]]</f>
        <v>0</v>
      </c>
      <c r="X1536" s="74">
        <f>Devis[[#This Row],[Prix de Revient]]*Devis[[#This Row],[Poste 3]]</f>
        <v>0</v>
      </c>
      <c r="Y1536" s="74">
        <f>Devis[[#This Row],[Poste 4]]*Devis[[#This Row],[Prix de Revient]]</f>
        <v>0</v>
      </c>
      <c r="Z1536" s="74">
        <f>Devis[[#This Row],[Poste 5]]*Devis[[#This Row],[Prix de Revient]]</f>
        <v>0</v>
      </c>
      <c r="AA1536" s="74">
        <f>Devis[[#This Row],[Prix de Revient]]*Devis[[#This Row],[Poste 6]]</f>
        <v>0</v>
      </c>
      <c r="AB1536" s="74">
        <f>Devis[[#This Row],[Quantité Totale]]*Devis[[#This Row],[Prix de Revient]]</f>
        <v>0</v>
      </c>
    </row>
    <row r="1537" spans="1:28" ht="14.25" outlineLevel="1" x14ac:dyDescent="0.2">
      <c r="A1537" s="75" t="s">
        <v>3557</v>
      </c>
      <c r="B1537" s="76" t="s">
        <v>1273</v>
      </c>
      <c r="C1537" s="76"/>
      <c r="D1537" s="81" t="str">
        <f t="shared" si="27"/>
        <v>GalvaTé 132</v>
      </c>
      <c r="E1537" s="80" t="s">
        <v>18</v>
      </c>
      <c r="F1537" s="81">
        <v>8</v>
      </c>
      <c r="G1537" s="86" t="s">
        <v>1280</v>
      </c>
      <c r="H1537" s="71"/>
      <c r="I1537" s="75"/>
      <c r="J1537" s="70">
        <f>IFERROR(VLOOKUP(Devis[[#This Row],[Ref Air Flux]],#REF!,3,FALSE),0)</f>
        <v>0</v>
      </c>
      <c r="K1537" s="68"/>
      <c r="L1537" s="68"/>
      <c r="M1537" s="68"/>
      <c r="N1537" s="68"/>
      <c r="O1537" s="68"/>
      <c r="P1537" s="68"/>
      <c r="Q1537" s="68">
        <f>SUM(Devis[[#This Row],[Poste 1]:[Poste 6]])</f>
        <v>0</v>
      </c>
      <c r="R1537" s="71"/>
      <c r="S1537" s="68">
        <f>_xlfn.CEILING.MATH(Devis[[#This Row],[Quantité Totale]],Devis[[#This Row],[Conditionnement]])</f>
        <v>0</v>
      </c>
      <c r="T1537" s="72"/>
      <c r="U1537" s="106"/>
      <c r="V1537" s="74">
        <f>Devis[[#This Row],[Prix de Revient]]*Devis[[#This Row],[Poste 1]]</f>
        <v>0</v>
      </c>
      <c r="W1537" s="74">
        <f>Devis[[#This Row],[Prix de Revient]]*Devis[[#This Row],[Poste 2]]</f>
        <v>0</v>
      </c>
      <c r="X1537" s="74">
        <f>Devis[[#This Row],[Prix de Revient]]*Devis[[#This Row],[Poste 3]]</f>
        <v>0</v>
      </c>
      <c r="Y1537" s="74">
        <f>Devis[[#This Row],[Poste 4]]*Devis[[#This Row],[Prix de Revient]]</f>
        <v>0</v>
      </c>
      <c r="Z1537" s="74">
        <f>Devis[[#This Row],[Poste 5]]*Devis[[#This Row],[Prix de Revient]]</f>
        <v>0</v>
      </c>
      <c r="AA1537" s="74">
        <f>Devis[[#This Row],[Prix de Revient]]*Devis[[#This Row],[Poste 6]]</f>
        <v>0</v>
      </c>
      <c r="AB1537" s="74">
        <f>Devis[[#This Row],[Quantité Totale]]*Devis[[#This Row],[Prix de Revient]]</f>
        <v>0</v>
      </c>
    </row>
    <row r="1538" spans="1:28" ht="14.25" customHeight="1" x14ac:dyDescent="0.25">
      <c r="A1538" s="65" t="s">
        <v>3557</v>
      </c>
      <c r="B1538" s="65" t="s">
        <v>1282</v>
      </c>
      <c r="C1538" s="76"/>
      <c r="D1538" s="81" t="str">
        <f t="shared" si="27"/>
        <v>GalvaTé réduit 130 RG</v>
      </c>
      <c r="E1538" s="76"/>
      <c r="F1538" s="81">
        <v>0</v>
      </c>
      <c r="G1538" s="86"/>
      <c r="H1538" s="71"/>
      <c r="I1538" s="75"/>
      <c r="J1538" s="70">
        <f>IFERROR(VLOOKUP(Devis[[#This Row],[Ref Air Flux]],#REF!,3,FALSE),0)</f>
        <v>0</v>
      </c>
      <c r="K1538" s="68"/>
      <c r="L1538" s="68"/>
      <c r="M1538" s="68"/>
      <c r="N1538" s="68"/>
      <c r="O1538" s="68"/>
      <c r="P1538" s="68"/>
      <c r="Q1538" s="68">
        <f>SUM(Devis[[#This Row],[Poste 1]:[Poste 6]])</f>
        <v>0</v>
      </c>
      <c r="R1538" s="71"/>
      <c r="S1538" s="68">
        <f>_xlfn.CEILING.MATH(Devis[[#This Row],[Quantité Totale]],Devis[[#This Row],[Conditionnement]])</f>
        <v>0</v>
      </c>
      <c r="T1538" s="72"/>
      <c r="U1538" s="106"/>
      <c r="V1538" s="74">
        <f>Devis[[#This Row],[Prix de Revient]]*Devis[[#This Row],[Poste 1]]</f>
        <v>0</v>
      </c>
      <c r="W1538" s="74">
        <f>Devis[[#This Row],[Prix de Revient]]*Devis[[#This Row],[Poste 2]]</f>
        <v>0</v>
      </c>
      <c r="X1538" s="74">
        <f>Devis[[#This Row],[Prix de Revient]]*Devis[[#This Row],[Poste 3]]</f>
        <v>0</v>
      </c>
      <c r="Y1538" s="74">
        <f>Devis[[#This Row],[Poste 4]]*Devis[[#This Row],[Prix de Revient]]</f>
        <v>0</v>
      </c>
      <c r="Z1538" s="74">
        <f>Devis[[#This Row],[Poste 5]]*Devis[[#This Row],[Prix de Revient]]</f>
        <v>0</v>
      </c>
      <c r="AA1538" s="74">
        <f>Devis[[#This Row],[Prix de Revient]]*Devis[[#This Row],[Poste 6]]</f>
        <v>0</v>
      </c>
      <c r="AB1538" s="74">
        <f>Devis[[#This Row],[Quantité Totale]]*Devis[[#This Row],[Prix de Revient]]</f>
        <v>0</v>
      </c>
    </row>
    <row r="1539" spans="1:28" ht="14.25" customHeight="1" outlineLevel="1" x14ac:dyDescent="0.2">
      <c r="A1539" s="75" t="s">
        <v>3557</v>
      </c>
      <c r="B1539" s="76" t="s">
        <v>1282</v>
      </c>
      <c r="C1539" s="76"/>
      <c r="D1539" s="81" t="str">
        <f t="shared" si="27"/>
        <v>GalvaTé réduit 130 RG</v>
      </c>
      <c r="E1539" s="80" t="s">
        <v>1091</v>
      </c>
      <c r="F1539" s="81">
        <v>1</v>
      </c>
      <c r="G1539" s="86" t="s">
        <v>1308</v>
      </c>
      <c r="H1539" s="71"/>
      <c r="I1539" s="105"/>
      <c r="J1539" s="70">
        <f>IFERROR(VLOOKUP(Devis[[#This Row],[Ref Air Flux]],#REF!,3,FALSE),0)</f>
        <v>0</v>
      </c>
      <c r="K1539" s="68"/>
      <c r="L1539" s="68"/>
      <c r="M1539" s="68"/>
      <c r="N1539" s="68"/>
      <c r="O1539" s="68"/>
      <c r="P1539" s="68"/>
      <c r="Q1539" s="68">
        <f>SUM(Devis[[#This Row],[Poste 1]:[Poste 6]])</f>
        <v>0</v>
      </c>
      <c r="R1539" s="71"/>
      <c r="S1539" s="68">
        <f>_xlfn.CEILING.MATH(Devis[[#This Row],[Quantité Totale]],Devis[[#This Row],[Conditionnement]])</f>
        <v>0</v>
      </c>
      <c r="T1539" s="72"/>
      <c r="U1539" s="106"/>
      <c r="V1539" s="74">
        <f>Devis[[#This Row],[Prix de Revient]]*Devis[[#This Row],[Poste 1]]</f>
        <v>0</v>
      </c>
      <c r="W1539" s="74">
        <f>Devis[[#This Row],[Prix de Revient]]*Devis[[#This Row],[Poste 2]]</f>
        <v>0</v>
      </c>
      <c r="X1539" s="74">
        <f>Devis[[#This Row],[Prix de Revient]]*Devis[[#This Row],[Poste 3]]</f>
        <v>0</v>
      </c>
      <c r="Y1539" s="74">
        <f>Devis[[#This Row],[Poste 4]]*Devis[[#This Row],[Prix de Revient]]</f>
        <v>0</v>
      </c>
      <c r="Z1539" s="74">
        <f>Devis[[#This Row],[Poste 5]]*Devis[[#This Row],[Prix de Revient]]</f>
        <v>0</v>
      </c>
      <c r="AA1539" s="74">
        <f>Devis[[#This Row],[Prix de Revient]]*Devis[[#This Row],[Poste 6]]</f>
        <v>0</v>
      </c>
      <c r="AB1539" s="74">
        <f>Devis[[#This Row],[Quantité Totale]]*Devis[[#This Row],[Prix de Revient]]</f>
        <v>0</v>
      </c>
    </row>
    <row r="1540" spans="1:28" ht="15" customHeight="1" outlineLevel="1" x14ac:dyDescent="0.2">
      <c r="A1540" s="75" t="s">
        <v>3557</v>
      </c>
      <c r="B1540" s="76" t="s">
        <v>1282</v>
      </c>
      <c r="C1540" s="76"/>
      <c r="D1540" s="81" t="str">
        <f t="shared" si="27"/>
        <v>GalvaTé réduit 130 RG</v>
      </c>
      <c r="E1540" s="80" t="s">
        <v>1079</v>
      </c>
      <c r="F1540" s="81">
        <v>2</v>
      </c>
      <c r="G1540" s="86" t="s">
        <v>1301</v>
      </c>
      <c r="H1540" s="71"/>
      <c r="I1540" s="105"/>
      <c r="J1540" s="70">
        <f>IFERROR(VLOOKUP(Devis[[#This Row],[Ref Air Flux]],#REF!,3,FALSE),0)</f>
        <v>0</v>
      </c>
      <c r="K1540" s="68"/>
      <c r="L1540" s="68"/>
      <c r="M1540" s="68"/>
      <c r="N1540" s="68"/>
      <c r="O1540" s="68"/>
      <c r="P1540" s="68"/>
      <c r="Q1540" s="68">
        <f>SUM(Devis[[#This Row],[Poste 1]:[Poste 6]])</f>
        <v>0</v>
      </c>
      <c r="R1540" s="71"/>
      <c r="S1540" s="68">
        <f>_xlfn.CEILING.MATH(Devis[[#This Row],[Quantité Totale]],Devis[[#This Row],[Conditionnement]])</f>
        <v>0</v>
      </c>
      <c r="T1540" s="72"/>
      <c r="U1540" s="106"/>
      <c r="V1540" s="74">
        <f>Devis[[#This Row],[Prix de Revient]]*Devis[[#This Row],[Poste 1]]</f>
        <v>0</v>
      </c>
      <c r="W1540" s="74">
        <f>Devis[[#This Row],[Prix de Revient]]*Devis[[#This Row],[Poste 2]]</f>
        <v>0</v>
      </c>
      <c r="X1540" s="74">
        <f>Devis[[#This Row],[Prix de Revient]]*Devis[[#This Row],[Poste 3]]</f>
        <v>0</v>
      </c>
      <c r="Y1540" s="74">
        <f>Devis[[#This Row],[Poste 4]]*Devis[[#This Row],[Prix de Revient]]</f>
        <v>0</v>
      </c>
      <c r="Z1540" s="74">
        <f>Devis[[#This Row],[Poste 5]]*Devis[[#This Row],[Prix de Revient]]</f>
        <v>0</v>
      </c>
      <c r="AA1540" s="74">
        <f>Devis[[#This Row],[Prix de Revient]]*Devis[[#This Row],[Poste 6]]</f>
        <v>0</v>
      </c>
      <c r="AB1540" s="74">
        <f>Devis[[#This Row],[Quantité Totale]]*Devis[[#This Row],[Prix de Revient]]</f>
        <v>0</v>
      </c>
    </row>
    <row r="1541" spans="1:28" ht="14.25" outlineLevel="1" x14ac:dyDescent="0.2">
      <c r="A1541" s="75" t="s">
        <v>3557</v>
      </c>
      <c r="B1541" s="76" t="s">
        <v>1282</v>
      </c>
      <c r="C1541" s="76"/>
      <c r="D1541" s="81" t="str">
        <f t="shared" si="27"/>
        <v>GalvaTé réduit 130 RG</v>
      </c>
      <c r="E1541" s="80" t="s">
        <v>1077</v>
      </c>
      <c r="F1541" s="81">
        <v>3</v>
      </c>
      <c r="G1541" s="86" t="s">
        <v>1300</v>
      </c>
      <c r="H1541" s="71"/>
      <c r="I1541" s="105"/>
      <c r="J1541" s="70">
        <f>IFERROR(VLOOKUP(Devis[[#This Row],[Ref Air Flux]],#REF!,3,FALSE),0)</f>
        <v>0</v>
      </c>
      <c r="K1541" s="68"/>
      <c r="L1541" s="68"/>
      <c r="M1541" s="68"/>
      <c r="N1541" s="68"/>
      <c r="O1541" s="68"/>
      <c r="P1541" s="68"/>
      <c r="Q1541" s="68">
        <f>SUM(Devis[[#This Row],[Poste 1]:[Poste 6]])</f>
        <v>0</v>
      </c>
      <c r="R1541" s="71"/>
      <c r="S1541" s="68">
        <f>_xlfn.CEILING.MATH(Devis[[#This Row],[Quantité Totale]],Devis[[#This Row],[Conditionnement]])</f>
        <v>0</v>
      </c>
      <c r="T1541" s="72"/>
      <c r="U1541" s="106"/>
      <c r="V1541" s="74">
        <f>Devis[[#This Row],[Prix de Revient]]*Devis[[#This Row],[Poste 1]]</f>
        <v>0</v>
      </c>
      <c r="W1541" s="74">
        <f>Devis[[#This Row],[Prix de Revient]]*Devis[[#This Row],[Poste 2]]</f>
        <v>0</v>
      </c>
      <c r="X1541" s="74">
        <f>Devis[[#This Row],[Prix de Revient]]*Devis[[#This Row],[Poste 3]]</f>
        <v>0</v>
      </c>
      <c r="Y1541" s="74">
        <f>Devis[[#This Row],[Poste 4]]*Devis[[#This Row],[Prix de Revient]]</f>
        <v>0</v>
      </c>
      <c r="Z1541" s="74">
        <f>Devis[[#This Row],[Poste 5]]*Devis[[#This Row],[Prix de Revient]]</f>
        <v>0</v>
      </c>
      <c r="AA1541" s="74">
        <f>Devis[[#This Row],[Prix de Revient]]*Devis[[#This Row],[Poste 6]]</f>
        <v>0</v>
      </c>
      <c r="AB1541" s="74">
        <f>Devis[[#This Row],[Quantité Totale]]*Devis[[#This Row],[Prix de Revient]]</f>
        <v>0</v>
      </c>
    </row>
    <row r="1542" spans="1:28" ht="14.25" customHeight="1" outlineLevel="1" x14ac:dyDescent="0.2">
      <c r="A1542" s="75" t="s">
        <v>3557</v>
      </c>
      <c r="B1542" s="76" t="s">
        <v>1282</v>
      </c>
      <c r="C1542" s="76"/>
      <c r="D1542" s="81" t="str">
        <f t="shared" si="27"/>
        <v>GalvaTé réduit 130 RG</v>
      </c>
      <c r="E1542" s="80" t="s">
        <v>1083</v>
      </c>
      <c r="F1542" s="81">
        <v>4</v>
      </c>
      <c r="G1542" s="86" t="s">
        <v>1303</v>
      </c>
      <c r="H1542" s="71"/>
      <c r="I1542" s="105"/>
      <c r="J1542" s="70">
        <f>IFERROR(VLOOKUP(Devis[[#This Row],[Ref Air Flux]],#REF!,3,FALSE),0)</f>
        <v>0</v>
      </c>
      <c r="K1542" s="68"/>
      <c r="L1542" s="68"/>
      <c r="M1542" s="68"/>
      <c r="N1542" s="68"/>
      <c r="O1542" s="68"/>
      <c r="P1542" s="68"/>
      <c r="Q1542" s="68">
        <f>SUM(Devis[[#This Row],[Poste 1]:[Poste 6]])</f>
        <v>0</v>
      </c>
      <c r="R1542" s="71"/>
      <c r="S1542" s="68">
        <f>_xlfn.CEILING.MATH(Devis[[#This Row],[Quantité Totale]],Devis[[#This Row],[Conditionnement]])</f>
        <v>0</v>
      </c>
      <c r="T1542" s="72"/>
      <c r="U1542" s="106"/>
      <c r="V1542" s="74">
        <f>Devis[[#This Row],[Prix de Revient]]*Devis[[#This Row],[Poste 1]]</f>
        <v>0</v>
      </c>
      <c r="W1542" s="74">
        <f>Devis[[#This Row],[Prix de Revient]]*Devis[[#This Row],[Poste 2]]</f>
        <v>0</v>
      </c>
      <c r="X1542" s="74">
        <f>Devis[[#This Row],[Prix de Revient]]*Devis[[#This Row],[Poste 3]]</f>
        <v>0</v>
      </c>
      <c r="Y1542" s="74">
        <f>Devis[[#This Row],[Poste 4]]*Devis[[#This Row],[Prix de Revient]]</f>
        <v>0</v>
      </c>
      <c r="Z1542" s="74">
        <f>Devis[[#This Row],[Poste 5]]*Devis[[#This Row],[Prix de Revient]]</f>
        <v>0</v>
      </c>
      <c r="AA1542" s="74">
        <f>Devis[[#This Row],[Prix de Revient]]*Devis[[#This Row],[Poste 6]]</f>
        <v>0</v>
      </c>
      <c r="AB1542" s="74">
        <f>Devis[[#This Row],[Quantité Totale]]*Devis[[#This Row],[Prix de Revient]]</f>
        <v>0</v>
      </c>
    </row>
    <row r="1543" spans="1:28" ht="14.25" outlineLevel="1" x14ac:dyDescent="0.2">
      <c r="A1543" s="75" t="s">
        <v>3557</v>
      </c>
      <c r="B1543" s="76" t="s">
        <v>1282</v>
      </c>
      <c r="C1543" s="76"/>
      <c r="D1543" s="81" t="str">
        <f t="shared" si="27"/>
        <v>GalvaTé réduit 130 RG</v>
      </c>
      <c r="E1543" s="80" t="s">
        <v>1081</v>
      </c>
      <c r="F1543" s="81">
        <v>5</v>
      </c>
      <c r="G1543" s="86" t="s">
        <v>1302</v>
      </c>
      <c r="H1543" s="71"/>
      <c r="I1543" s="105"/>
      <c r="J1543" s="70">
        <f>IFERROR(VLOOKUP(Devis[[#This Row],[Ref Air Flux]],#REF!,3,FALSE),0)</f>
        <v>0</v>
      </c>
      <c r="K1543" s="68"/>
      <c r="L1543" s="68"/>
      <c r="M1543" s="68"/>
      <c r="N1543" s="68"/>
      <c r="O1543" s="68"/>
      <c r="P1543" s="68"/>
      <c r="Q1543" s="68">
        <f>SUM(Devis[[#This Row],[Poste 1]:[Poste 6]])</f>
        <v>0</v>
      </c>
      <c r="R1543" s="71"/>
      <c r="S1543" s="68">
        <f>_xlfn.CEILING.MATH(Devis[[#This Row],[Quantité Totale]],Devis[[#This Row],[Conditionnement]])</f>
        <v>0</v>
      </c>
      <c r="T1543" s="72"/>
      <c r="U1543" s="106"/>
      <c r="V1543" s="74">
        <f>Devis[[#This Row],[Prix de Revient]]*Devis[[#This Row],[Poste 1]]</f>
        <v>0</v>
      </c>
      <c r="W1543" s="74">
        <f>Devis[[#This Row],[Prix de Revient]]*Devis[[#This Row],[Poste 2]]</f>
        <v>0</v>
      </c>
      <c r="X1543" s="74">
        <f>Devis[[#This Row],[Prix de Revient]]*Devis[[#This Row],[Poste 3]]</f>
        <v>0</v>
      </c>
      <c r="Y1543" s="74">
        <f>Devis[[#This Row],[Poste 4]]*Devis[[#This Row],[Prix de Revient]]</f>
        <v>0</v>
      </c>
      <c r="Z1543" s="74">
        <f>Devis[[#This Row],[Poste 5]]*Devis[[#This Row],[Prix de Revient]]</f>
        <v>0</v>
      </c>
      <c r="AA1543" s="74">
        <f>Devis[[#This Row],[Prix de Revient]]*Devis[[#This Row],[Poste 6]]</f>
        <v>0</v>
      </c>
      <c r="AB1543" s="74">
        <f>Devis[[#This Row],[Quantité Totale]]*Devis[[#This Row],[Prix de Revient]]</f>
        <v>0</v>
      </c>
    </row>
    <row r="1544" spans="1:28" ht="14.25" outlineLevel="1" x14ac:dyDescent="0.2">
      <c r="A1544" s="75" t="s">
        <v>3557</v>
      </c>
      <c r="B1544" s="76" t="s">
        <v>1282</v>
      </c>
      <c r="C1544" s="76"/>
      <c r="D1544" s="81" t="str">
        <f t="shared" si="27"/>
        <v>GalvaTé réduit 130 RG</v>
      </c>
      <c r="E1544" s="80" t="s">
        <v>30</v>
      </c>
      <c r="F1544" s="81">
        <v>6</v>
      </c>
      <c r="G1544" s="86" t="s">
        <v>1304</v>
      </c>
      <c r="H1544" s="71"/>
      <c r="I1544" s="105"/>
      <c r="J1544" s="70">
        <f>IFERROR(VLOOKUP(Devis[[#This Row],[Ref Air Flux]],#REF!,3,FALSE),0)</f>
        <v>0</v>
      </c>
      <c r="K1544" s="68"/>
      <c r="L1544" s="68"/>
      <c r="M1544" s="68"/>
      <c r="N1544" s="68"/>
      <c r="O1544" s="68"/>
      <c r="P1544" s="68"/>
      <c r="Q1544" s="68">
        <f>SUM(Devis[[#This Row],[Poste 1]:[Poste 6]])</f>
        <v>0</v>
      </c>
      <c r="R1544" s="71"/>
      <c r="S1544" s="68">
        <f>_xlfn.CEILING.MATH(Devis[[#This Row],[Quantité Totale]],Devis[[#This Row],[Conditionnement]])</f>
        <v>0</v>
      </c>
      <c r="T1544" s="72"/>
      <c r="U1544" s="106"/>
      <c r="V1544" s="74">
        <f>Devis[[#This Row],[Prix de Revient]]*Devis[[#This Row],[Poste 1]]</f>
        <v>0</v>
      </c>
      <c r="W1544" s="74">
        <f>Devis[[#This Row],[Prix de Revient]]*Devis[[#This Row],[Poste 2]]</f>
        <v>0</v>
      </c>
      <c r="X1544" s="74">
        <f>Devis[[#This Row],[Prix de Revient]]*Devis[[#This Row],[Poste 3]]</f>
        <v>0</v>
      </c>
      <c r="Y1544" s="74">
        <f>Devis[[#This Row],[Poste 4]]*Devis[[#This Row],[Prix de Revient]]</f>
        <v>0</v>
      </c>
      <c r="Z1544" s="74">
        <f>Devis[[#This Row],[Poste 5]]*Devis[[#This Row],[Prix de Revient]]</f>
        <v>0</v>
      </c>
      <c r="AA1544" s="74">
        <f>Devis[[#This Row],[Prix de Revient]]*Devis[[#This Row],[Poste 6]]</f>
        <v>0</v>
      </c>
      <c r="AB1544" s="74">
        <f>Devis[[#This Row],[Quantité Totale]]*Devis[[#This Row],[Prix de Revient]]</f>
        <v>0</v>
      </c>
    </row>
    <row r="1545" spans="1:28" ht="14.25" outlineLevel="1" x14ac:dyDescent="0.2">
      <c r="A1545" s="75" t="s">
        <v>3557</v>
      </c>
      <c r="B1545" s="76" t="s">
        <v>1282</v>
      </c>
      <c r="C1545" s="76"/>
      <c r="D1545" s="81" t="str">
        <f t="shared" si="27"/>
        <v>GalvaTé réduit 130 RG</v>
      </c>
      <c r="E1545" s="80" t="s">
        <v>1088</v>
      </c>
      <c r="F1545" s="81">
        <v>7</v>
      </c>
      <c r="G1545" s="86" t="s">
        <v>1306</v>
      </c>
      <c r="H1545" s="71"/>
      <c r="I1545" s="105"/>
      <c r="J1545" s="70">
        <f>IFERROR(VLOOKUP(Devis[[#This Row],[Ref Air Flux]],#REF!,3,FALSE),0)</f>
        <v>0</v>
      </c>
      <c r="K1545" s="68"/>
      <c r="L1545" s="68"/>
      <c r="M1545" s="68"/>
      <c r="N1545" s="68"/>
      <c r="O1545" s="68"/>
      <c r="P1545" s="68"/>
      <c r="Q1545" s="68">
        <f>SUM(Devis[[#This Row],[Poste 1]:[Poste 6]])</f>
        <v>0</v>
      </c>
      <c r="R1545" s="71"/>
      <c r="S1545" s="68">
        <f>_xlfn.CEILING.MATH(Devis[[#This Row],[Quantité Totale]],Devis[[#This Row],[Conditionnement]])</f>
        <v>0</v>
      </c>
      <c r="T1545" s="72"/>
      <c r="U1545" s="106"/>
      <c r="V1545" s="74">
        <f>Devis[[#This Row],[Prix de Revient]]*Devis[[#This Row],[Poste 1]]</f>
        <v>0</v>
      </c>
      <c r="W1545" s="74">
        <f>Devis[[#This Row],[Prix de Revient]]*Devis[[#This Row],[Poste 2]]</f>
        <v>0</v>
      </c>
      <c r="X1545" s="74">
        <f>Devis[[#This Row],[Prix de Revient]]*Devis[[#This Row],[Poste 3]]</f>
        <v>0</v>
      </c>
      <c r="Y1545" s="74">
        <f>Devis[[#This Row],[Poste 4]]*Devis[[#This Row],[Prix de Revient]]</f>
        <v>0</v>
      </c>
      <c r="Z1545" s="74">
        <f>Devis[[#This Row],[Poste 5]]*Devis[[#This Row],[Prix de Revient]]</f>
        <v>0</v>
      </c>
      <c r="AA1545" s="74">
        <f>Devis[[#This Row],[Prix de Revient]]*Devis[[#This Row],[Poste 6]]</f>
        <v>0</v>
      </c>
      <c r="AB1545" s="74">
        <f>Devis[[#This Row],[Quantité Totale]]*Devis[[#This Row],[Prix de Revient]]</f>
        <v>0</v>
      </c>
    </row>
    <row r="1546" spans="1:28" ht="14.25" outlineLevel="1" x14ac:dyDescent="0.2">
      <c r="A1546" s="75" t="s">
        <v>3557</v>
      </c>
      <c r="B1546" s="76" t="s">
        <v>1282</v>
      </c>
      <c r="C1546" s="76"/>
      <c r="D1546" s="81" t="str">
        <f t="shared" si="27"/>
        <v>GalvaTé réduit 130 RG</v>
      </c>
      <c r="E1546" s="80" t="s">
        <v>1086</v>
      </c>
      <c r="F1546" s="81">
        <v>8</v>
      </c>
      <c r="G1546" s="86" t="s">
        <v>1305</v>
      </c>
      <c r="H1546" s="71"/>
      <c r="I1546" s="105"/>
      <c r="J1546" s="70">
        <f>IFERROR(VLOOKUP(Devis[[#This Row],[Ref Air Flux]],#REF!,3,FALSE),0)</f>
        <v>0</v>
      </c>
      <c r="K1546" s="68"/>
      <c r="L1546" s="68"/>
      <c r="M1546" s="68"/>
      <c r="N1546" s="68"/>
      <c r="O1546" s="68"/>
      <c r="P1546" s="68"/>
      <c r="Q1546" s="68">
        <f>SUM(Devis[[#This Row],[Poste 1]:[Poste 6]])</f>
        <v>0</v>
      </c>
      <c r="R1546" s="71"/>
      <c r="S1546" s="68">
        <f>_xlfn.CEILING.MATH(Devis[[#This Row],[Quantité Totale]],Devis[[#This Row],[Conditionnement]])</f>
        <v>0</v>
      </c>
      <c r="T1546" s="72"/>
      <c r="U1546" s="106"/>
      <c r="V1546" s="74">
        <f>Devis[[#This Row],[Prix de Revient]]*Devis[[#This Row],[Poste 1]]</f>
        <v>0</v>
      </c>
      <c r="W1546" s="74">
        <f>Devis[[#This Row],[Prix de Revient]]*Devis[[#This Row],[Poste 2]]</f>
        <v>0</v>
      </c>
      <c r="X1546" s="74">
        <f>Devis[[#This Row],[Prix de Revient]]*Devis[[#This Row],[Poste 3]]</f>
        <v>0</v>
      </c>
      <c r="Y1546" s="74">
        <f>Devis[[#This Row],[Poste 4]]*Devis[[#This Row],[Prix de Revient]]</f>
        <v>0</v>
      </c>
      <c r="Z1546" s="74">
        <f>Devis[[#This Row],[Poste 5]]*Devis[[#This Row],[Prix de Revient]]</f>
        <v>0</v>
      </c>
      <c r="AA1546" s="74">
        <f>Devis[[#This Row],[Prix de Revient]]*Devis[[#This Row],[Poste 6]]</f>
        <v>0</v>
      </c>
      <c r="AB1546" s="74">
        <f>Devis[[#This Row],[Quantité Totale]]*Devis[[#This Row],[Prix de Revient]]</f>
        <v>0</v>
      </c>
    </row>
    <row r="1547" spans="1:28" ht="15" customHeight="1" outlineLevel="1" x14ac:dyDescent="0.2">
      <c r="A1547" s="75" t="s">
        <v>3557</v>
      </c>
      <c r="B1547" s="76" t="s">
        <v>1282</v>
      </c>
      <c r="C1547" s="76"/>
      <c r="D1547" s="81" t="str">
        <f t="shared" si="27"/>
        <v>GalvaTé réduit 130 RG</v>
      </c>
      <c r="E1547" s="80" t="s">
        <v>27</v>
      </c>
      <c r="F1547" s="81">
        <v>9</v>
      </c>
      <c r="G1547" s="86" t="s">
        <v>1312</v>
      </c>
      <c r="H1547" s="71"/>
      <c r="I1547" s="105"/>
      <c r="J1547" s="70">
        <f>IFERROR(VLOOKUP(Devis[[#This Row],[Ref Air Flux]],#REF!,3,FALSE),0)</f>
        <v>0</v>
      </c>
      <c r="K1547" s="68"/>
      <c r="L1547" s="68"/>
      <c r="M1547" s="68"/>
      <c r="N1547" s="68"/>
      <c r="O1547" s="68"/>
      <c r="P1547" s="68"/>
      <c r="Q1547" s="68">
        <f>SUM(Devis[[#This Row],[Poste 1]:[Poste 6]])</f>
        <v>0</v>
      </c>
      <c r="R1547" s="71"/>
      <c r="S1547" s="68">
        <f>_xlfn.CEILING.MATH(Devis[[#This Row],[Quantité Totale]],Devis[[#This Row],[Conditionnement]])</f>
        <v>0</v>
      </c>
      <c r="T1547" s="72"/>
      <c r="U1547" s="106"/>
      <c r="V1547" s="74">
        <f>Devis[[#This Row],[Prix de Revient]]*Devis[[#This Row],[Poste 1]]</f>
        <v>0</v>
      </c>
      <c r="W1547" s="74">
        <f>Devis[[#This Row],[Prix de Revient]]*Devis[[#This Row],[Poste 2]]</f>
        <v>0</v>
      </c>
      <c r="X1547" s="74">
        <f>Devis[[#This Row],[Prix de Revient]]*Devis[[#This Row],[Poste 3]]</f>
        <v>0</v>
      </c>
      <c r="Y1547" s="74">
        <f>Devis[[#This Row],[Poste 4]]*Devis[[#This Row],[Prix de Revient]]</f>
        <v>0</v>
      </c>
      <c r="Z1547" s="74">
        <f>Devis[[#This Row],[Poste 5]]*Devis[[#This Row],[Prix de Revient]]</f>
        <v>0</v>
      </c>
      <c r="AA1547" s="74">
        <f>Devis[[#This Row],[Prix de Revient]]*Devis[[#This Row],[Poste 6]]</f>
        <v>0</v>
      </c>
      <c r="AB1547" s="74">
        <f>Devis[[#This Row],[Quantité Totale]]*Devis[[#This Row],[Prix de Revient]]</f>
        <v>0</v>
      </c>
    </row>
    <row r="1548" spans="1:28" ht="14.25" customHeight="1" outlineLevel="1" x14ac:dyDescent="0.2">
      <c r="A1548" s="75" t="s">
        <v>3557</v>
      </c>
      <c r="B1548" s="76" t="s">
        <v>1282</v>
      </c>
      <c r="C1548" s="76"/>
      <c r="D1548" s="81" t="str">
        <f t="shared" si="27"/>
        <v>GalvaTé réduit 130 RG</v>
      </c>
      <c r="E1548" s="80" t="s">
        <v>29</v>
      </c>
      <c r="F1548" s="81">
        <v>10</v>
      </c>
      <c r="G1548" s="86" t="s">
        <v>1307</v>
      </c>
      <c r="H1548" s="71"/>
      <c r="I1548" s="105"/>
      <c r="J1548" s="70">
        <f>IFERROR(VLOOKUP(Devis[[#This Row],[Ref Air Flux]],#REF!,3,FALSE),0)</f>
        <v>0</v>
      </c>
      <c r="K1548" s="68"/>
      <c r="L1548" s="68"/>
      <c r="M1548" s="68"/>
      <c r="N1548" s="68"/>
      <c r="O1548" s="68"/>
      <c r="P1548" s="68"/>
      <c r="Q1548" s="68">
        <f>SUM(Devis[[#This Row],[Poste 1]:[Poste 6]])</f>
        <v>0</v>
      </c>
      <c r="R1548" s="71"/>
      <c r="S1548" s="68">
        <f>_xlfn.CEILING.MATH(Devis[[#This Row],[Quantité Totale]],Devis[[#This Row],[Conditionnement]])</f>
        <v>0</v>
      </c>
      <c r="T1548" s="72"/>
      <c r="U1548" s="106"/>
      <c r="V1548" s="74">
        <f>Devis[[#This Row],[Prix de Revient]]*Devis[[#This Row],[Poste 1]]</f>
        <v>0</v>
      </c>
      <c r="W1548" s="74">
        <f>Devis[[#This Row],[Prix de Revient]]*Devis[[#This Row],[Poste 2]]</f>
        <v>0</v>
      </c>
      <c r="X1548" s="74">
        <f>Devis[[#This Row],[Prix de Revient]]*Devis[[#This Row],[Poste 3]]</f>
        <v>0</v>
      </c>
      <c r="Y1548" s="74">
        <f>Devis[[#This Row],[Poste 4]]*Devis[[#This Row],[Prix de Revient]]</f>
        <v>0</v>
      </c>
      <c r="Z1548" s="74">
        <f>Devis[[#This Row],[Poste 5]]*Devis[[#This Row],[Prix de Revient]]</f>
        <v>0</v>
      </c>
      <c r="AA1548" s="74">
        <f>Devis[[#This Row],[Prix de Revient]]*Devis[[#This Row],[Poste 6]]</f>
        <v>0</v>
      </c>
      <c r="AB1548" s="74">
        <f>Devis[[#This Row],[Quantité Totale]]*Devis[[#This Row],[Prix de Revient]]</f>
        <v>0</v>
      </c>
    </row>
    <row r="1549" spans="1:28" ht="14.25" customHeight="1" outlineLevel="1" x14ac:dyDescent="0.2">
      <c r="A1549" s="75" t="s">
        <v>3557</v>
      </c>
      <c r="B1549" s="76" t="s">
        <v>1282</v>
      </c>
      <c r="C1549" s="76"/>
      <c r="D1549" s="81" t="str">
        <f t="shared" si="27"/>
        <v>GalvaTé réduit 130 RG</v>
      </c>
      <c r="E1549" s="80" t="s">
        <v>1093</v>
      </c>
      <c r="F1549" s="81">
        <v>11</v>
      </c>
      <c r="G1549" s="86" t="s">
        <v>1309</v>
      </c>
      <c r="H1549" s="71"/>
      <c r="I1549" s="105"/>
      <c r="J1549" s="70">
        <f>IFERROR(VLOOKUP(Devis[[#This Row],[Ref Air Flux]],#REF!,3,FALSE),0)</f>
        <v>0</v>
      </c>
      <c r="K1549" s="68"/>
      <c r="L1549" s="68"/>
      <c r="M1549" s="68"/>
      <c r="N1549" s="68"/>
      <c r="O1549" s="68"/>
      <c r="P1549" s="68"/>
      <c r="Q1549" s="68">
        <f>SUM(Devis[[#This Row],[Poste 1]:[Poste 6]])</f>
        <v>0</v>
      </c>
      <c r="R1549" s="71"/>
      <c r="S1549" s="68">
        <f>_xlfn.CEILING.MATH(Devis[[#This Row],[Quantité Totale]],Devis[[#This Row],[Conditionnement]])</f>
        <v>0</v>
      </c>
      <c r="T1549" s="72"/>
      <c r="U1549" s="106"/>
      <c r="V1549" s="74">
        <f>Devis[[#This Row],[Prix de Revient]]*Devis[[#This Row],[Poste 1]]</f>
        <v>0</v>
      </c>
      <c r="W1549" s="74">
        <f>Devis[[#This Row],[Prix de Revient]]*Devis[[#This Row],[Poste 2]]</f>
        <v>0</v>
      </c>
      <c r="X1549" s="74">
        <f>Devis[[#This Row],[Prix de Revient]]*Devis[[#This Row],[Poste 3]]</f>
        <v>0</v>
      </c>
      <c r="Y1549" s="74">
        <f>Devis[[#This Row],[Poste 4]]*Devis[[#This Row],[Prix de Revient]]</f>
        <v>0</v>
      </c>
      <c r="Z1549" s="74">
        <f>Devis[[#This Row],[Poste 5]]*Devis[[#This Row],[Prix de Revient]]</f>
        <v>0</v>
      </c>
      <c r="AA1549" s="74">
        <f>Devis[[#This Row],[Prix de Revient]]*Devis[[#This Row],[Poste 6]]</f>
        <v>0</v>
      </c>
      <c r="AB1549" s="74">
        <f>Devis[[#This Row],[Quantité Totale]]*Devis[[#This Row],[Prix de Revient]]</f>
        <v>0</v>
      </c>
    </row>
    <row r="1550" spans="1:28" ht="14.25" outlineLevel="1" x14ac:dyDescent="0.2">
      <c r="A1550" s="75" t="s">
        <v>3557</v>
      </c>
      <c r="B1550" s="76" t="s">
        <v>1282</v>
      </c>
      <c r="C1550" s="76"/>
      <c r="D1550" s="81" t="str">
        <f t="shared" si="27"/>
        <v>GalvaTé réduit 130 RG</v>
      </c>
      <c r="E1550" s="80" t="s">
        <v>1067</v>
      </c>
      <c r="F1550" s="81">
        <v>12</v>
      </c>
      <c r="G1550" s="86" t="s">
        <v>1295</v>
      </c>
      <c r="H1550" s="71"/>
      <c r="I1550" s="105"/>
      <c r="J1550" s="70">
        <f>IFERROR(VLOOKUP(Devis[[#This Row],[Ref Air Flux]],#REF!,3,FALSE),0)</f>
        <v>0</v>
      </c>
      <c r="K1550" s="68"/>
      <c r="L1550" s="68"/>
      <c r="M1550" s="68"/>
      <c r="N1550" s="68"/>
      <c r="O1550" s="68"/>
      <c r="P1550" s="68"/>
      <c r="Q1550" s="68">
        <f>SUM(Devis[[#This Row],[Poste 1]:[Poste 6]])</f>
        <v>0</v>
      </c>
      <c r="R1550" s="71"/>
      <c r="S1550" s="68">
        <f>_xlfn.CEILING.MATH(Devis[[#This Row],[Quantité Totale]],Devis[[#This Row],[Conditionnement]])</f>
        <v>0</v>
      </c>
      <c r="T1550" s="72"/>
      <c r="U1550" s="106"/>
      <c r="V1550" s="74">
        <f>Devis[[#This Row],[Prix de Revient]]*Devis[[#This Row],[Poste 1]]</f>
        <v>0</v>
      </c>
      <c r="W1550" s="74">
        <f>Devis[[#This Row],[Prix de Revient]]*Devis[[#This Row],[Poste 2]]</f>
        <v>0</v>
      </c>
      <c r="X1550" s="74">
        <f>Devis[[#This Row],[Prix de Revient]]*Devis[[#This Row],[Poste 3]]</f>
        <v>0</v>
      </c>
      <c r="Y1550" s="74">
        <f>Devis[[#This Row],[Poste 4]]*Devis[[#This Row],[Prix de Revient]]</f>
        <v>0</v>
      </c>
      <c r="Z1550" s="74">
        <f>Devis[[#This Row],[Poste 5]]*Devis[[#This Row],[Prix de Revient]]</f>
        <v>0</v>
      </c>
      <c r="AA1550" s="74">
        <f>Devis[[#This Row],[Prix de Revient]]*Devis[[#This Row],[Poste 6]]</f>
        <v>0</v>
      </c>
      <c r="AB1550" s="74">
        <f>Devis[[#This Row],[Quantité Totale]]*Devis[[#This Row],[Prix de Revient]]</f>
        <v>0</v>
      </c>
    </row>
    <row r="1551" spans="1:28" ht="14.25" outlineLevel="1" x14ac:dyDescent="0.2">
      <c r="A1551" s="75" t="s">
        <v>3557</v>
      </c>
      <c r="B1551" s="76" t="s">
        <v>1282</v>
      </c>
      <c r="C1551" s="76"/>
      <c r="D1551" s="81" t="str">
        <f t="shared" si="27"/>
        <v>GalvaTé réduit 130 RG</v>
      </c>
      <c r="E1551" s="80" t="s">
        <v>1069</v>
      </c>
      <c r="F1551" s="81">
        <v>13</v>
      </c>
      <c r="G1551" s="86" t="s">
        <v>1296</v>
      </c>
      <c r="H1551" s="71"/>
      <c r="I1551" s="105"/>
      <c r="J1551" s="70">
        <f>IFERROR(VLOOKUP(Devis[[#This Row],[Ref Air Flux]],#REF!,3,FALSE),0)</f>
        <v>0</v>
      </c>
      <c r="K1551" s="68"/>
      <c r="L1551" s="68"/>
      <c r="M1551" s="68"/>
      <c r="N1551" s="68"/>
      <c r="O1551" s="68"/>
      <c r="P1551" s="68"/>
      <c r="Q1551" s="68">
        <f>SUM(Devis[[#This Row],[Poste 1]:[Poste 6]])</f>
        <v>0</v>
      </c>
      <c r="R1551" s="71"/>
      <c r="S1551" s="68">
        <f>_xlfn.CEILING.MATH(Devis[[#This Row],[Quantité Totale]],Devis[[#This Row],[Conditionnement]])</f>
        <v>0</v>
      </c>
      <c r="T1551" s="72"/>
      <c r="U1551" s="106"/>
      <c r="V1551" s="74">
        <f>Devis[[#This Row],[Prix de Revient]]*Devis[[#This Row],[Poste 1]]</f>
        <v>0</v>
      </c>
      <c r="W1551" s="74">
        <f>Devis[[#This Row],[Prix de Revient]]*Devis[[#This Row],[Poste 2]]</f>
        <v>0</v>
      </c>
      <c r="X1551" s="74">
        <f>Devis[[#This Row],[Prix de Revient]]*Devis[[#This Row],[Poste 3]]</f>
        <v>0</v>
      </c>
      <c r="Y1551" s="74">
        <f>Devis[[#This Row],[Poste 4]]*Devis[[#This Row],[Prix de Revient]]</f>
        <v>0</v>
      </c>
      <c r="Z1551" s="74">
        <f>Devis[[#This Row],[Poste 5]]*Devis[[#This Row],[Prix de Revient]]</f>
        <v>0</v>
      </c>
      <c r="AA1551" s="74">
        <f>Devis[[#This Row],[Prix de Revient]]*Devis[[#This Row],[Poste 6]]</f>
        <v>0</v>
      </c>
      <c r="AB1551" s="74">
        <f>Devis[[#This Row],[Quantité Totale]]*Devis[[#This Row],[Prix de Revient]]</f>
        <v>0</v>
      </c>
    </row>
    <row r="1552" spans="1:28" ht="14.25" customHeight="1" outlineLevel="1" x14ac:dyDescent="0.2">
      <c r="A1552" s="75" t="s">
        <v>3557</v>
      </c>
      <c r="B1552" s="76" t="s">
        <v>1282</v>
      </c>
      <c r="C1552" s="76"/>
      <c r="D1552" s="81" t="str">
        <f t="shared" si="27"/>
        <v>GalvaTé réduit 130 RG</v>
      </c>
      <c r="E1552" s="80" t="s">
        <v>1071</v>
      </c>
      <c r="F1552" s="81">
        <v>14</v>
      </c>
      <c r="G1552" s="86" t="s">
        <v>1297</v>
      </c>
      <c r="H1552" s="71"/>
      <c r="I1552" s="105"/>
      <c r="J1552" s="70">
        <f>IFERROR(VLOOKUP(Devis[[#This Row],[Ref Air Flux]],#REF!,3,FALSE),0)</f>
        <v>0</v>
      </c>
      <c r="K1552" s="68"/>
      <c r="L1552" s="68"/>
      <c r="M1552" s="68"/>
      <c r="N1552" s="68"/>
      <c r="O1552" s="68"/>
      <c r="P1552" s="68"/>
      <c r="Q1552" s="68">
        <f>SUM(Devis[[#This Row],[Poste 1]:[Poste 6]])</f>
        <v>0</v>
      </c>
      <c r="R1552" s="71"/>
      <c r="S1552" s="68">
        <f>_xlfn.CEILING.MATH(Devis[[#This Row],[Quantité Totale]],Devis[[#This Row],[Conditionnement]])</f>
        <v>0</v>
      </c>
      <c r="T1552" s="72"/>
      <c r="U1552" s="106"/>
      <c r="V1552" s="74">
        <f>Devis[[#This Row],[Prix de Revient]]*Devis[[#This Row],[Poste 1]]</f>
        <v>0</v>
      </c>
      <c r="W1552" s="74">
        <f>Devis[[#This Row],[Prix de Revient]]*Devis[[#This Row],[Poste 2]]</f>
        <v>0</v>
      </c>
      <c r="X1552" s="74">
        <f>Devis[[#This Row],[Prix de Revient]]*Devis[[#This Row],[Poste 3]]</f>
        <v>0</v>
      </c>
      <c r="Y1552" s="74">
        <f>Devis[[#This Row],[Poste 4]]*Devis[[#This Row],[Prix de Revient]]</f>
        <v>0</v>
      </c>
      <c r="Z1552" s="74">
        <f>Devis[[#This Row],[Poste 5]]*Devis[[#This Row],[Prix de Revient]]</f>
        <v>0</v>
      </c>
      <c r="AA1552" s="74">
        <f>Devis[[#This Row],[Prix de Revient]]*Devis[[#This Row],[Poste 6]]</f>
        <v>0</v>
      </c>
      <c r="AB1552" s="74">
        <f>Devis[[#This Row],[Quantité Totale]]*Devis[[#This Row],[Prix de Revient]]</f>
        <v>0</v>
      </c>
    </row>
    <row r="1553" spans="1:28" ht="14.25" outlineLevel="1" x14ac:dyDescent="0.2">
      <c r="A1553" s="75" t="s">
        <v>3557</v>
      </c>
      <c r="B1553" s="76" t="s">
        <v>1282</v>
      </c>
      <c r="C1553" s="76"/>
      <c r="D1553" s="81" t="str">
        <f t="shared" si="27"/>
        <v>GalvaTé réduit 130 RG</v>
      </c>
      <c r="E1553" s="80" t="s">
        <v>1063</v>
      </c>
      <c r="F1553" s="81">
        <v>15</v>
      </c>
      <c r="G1553" s="86" t="s">
        <v>1293</v>
      </c>
      <c r="H1553" s="71"/>
      <c r="I1553" s="105"/>
      <c r="J1553" s="70">
        <f>IFERROR(VLOOKUP(Devis[[#This Row],[Ref Air Flux]],#REF!,3,FALSE),0)</f>
        <v>0</v>
      </c>
      <c r="K1553" s="68"/>
      <c r="L1553" s="68"/>
      <c r="M1553" s="68"/>
      <c r="N1553" s="68"/>
      <c r="O1553" s="68"/>
      <c r="P1553" s="68"/>
      <c r="Q1553" s="68">
        <f>SUM(Devis[[#This Row],[Poste 1]:[Poste 6]])</f>
        <v>0</v>
      </c>
      <c r="R1553" s="71"/>
      <c r="S1553" s="68">
        <f>_xlfn.CEILING.MATH(Devis[[#This Row],[Quantité Totale]],Devis[[#This Row],[Conditionnement]])</f>
        <v>0</v>
      </c>
      <c r="T1553" s="72"/>
      <c r="U1553" s="106"/>
      <c r="V1553" s="74">
        <f>Devis[[#This Row],[Prix de Revient]]*Devis[[#This Row],[Poste 1]]</f>
        <v>0</v>
      </c>
      <c r="W1553" s="74">
        <f>Devis[[#This Row],[Prix de Revient]]*Devis[[#This Row],[Poste 2]]</f>
        <v>0</v>
      </c>
      <c r="X1553" s="74">
        <f>Devis[[#This Row],[Prix de Revient]]*Devis[[#This Row],[Poste 3]]</f>
        <v>0</v>
      </c>
      <c r="Y1553" s="74">
        <f>Devis[[#This Row],[Poste 4]]*Devis[[#This Row],[Prix de Revient]]</f>
        <v>0</v>
      </c>
      <c r="Z1553" s="74">
        <f>Devis[[#This Row],[Poste 5]]*Devis[[#This Row],[Prix de Revient]]</f>
        <v>0</v>
      </c>
      <c r="AA1553" s="74">
        <f>Devis[[#This Row],[Prix de Revient]]*Devis[[#This Row],[Poste 6]]</f>
        <v>0</v>
      </c>
      <c r="AB1553" s="74">
        <f>Devis[[#This Row],[Quantité Totale]]*Devis[[#This Row],[Prix de Revient]]</f>
        <v>0</v>
      </c>
    </row>
    <row r="1554" spans="1:28" ht="14.25" customHeight="1" outlineLevel="1" x14ac:dyDescent="0.2">
      <c r="A1554" s="75" t="s">
        <v>3557</v>
      </c>
      <c r="B1554" s="76" t="s">
        <v>1282</v>
      </c>
      <c r="C1554" s="76"/>
      <c r="D1554" s="81" t="str">
        <f t="shared" si="27"/>
        <v>GalvaTé réduit 130 RG</v>
      </c>
      <c r="E1554" s="80" t="s">
        <v>1065</v>
      </c>
      <c r="F1554" s="81">
        <v>16</v>
      </c>
      <c r="G1554" s="86" t="s">
        <v>1294</v>
      </c>
      <c r="H1554" s="71"/>
      <c r="I1554" s="105"/>
      <c r="J1554" s="70">
        <f>IFERROR(VLOOKUP(Devis[[#This Row],[Ref Air Flux]],#REF!,3,FALSE),0)</f>
        <v>0</v>
      </c>
      <c r="K1554" s="68"/>
      <c r="L1554" s="68"/>
      <c r="M1554" s="68"/>
      <c r="N1554" s="68"/>
      <c r="O1554" s="68"/>
      <c r="P1554" s="68"/>
      <c r="Q1554" s="68">
        <f>SUM(Devis[[#This Row],[Poste 1]:[Poste 6]])</f>
        <v>0</v>
      </c>
      <c r="R1554" s="71"/>
      <c r="S1554" s="68">
        <f>_xlfn.CEILING.MATH(Devis[[#This Row],[Quantité Totale]],Devis[[#This Row],[Conditionnement]])</f>
        <v>0</v>
      </c>
      <c r="T1554" s="72"/>
      <c r="U1554" s="106"/>
      <c r="V1554" s="74">
        <f>Devis[[#This Row],[Prix de Revient]]*Devis[[#This Row],[Poste 1]]</f>
        <v>0</v>
      </c>
      <c r="W1554" s="74">
        <f>Devis[[#This Row],[Prix de Revient]]*Devis[[#This Row],[Poste 2]]</f>
        <v>0</v>
      </c>
      <c r="X1554" s="74">
        <f>Devis[[#This Row],[Prix de Revient]]*Devis[[#This Row],[Poste 3]]</f>
        <v>0</v>
      </c>
      <c r="Y1554" s="74">
        <f>Devis[[#This Row],[Poste 4]]*Devis[[#This Row],[Prix de Revient]]</f>
        <v>0</v>
      </c>
      <c r="Z1554" s="74">
        <f>Devis[[#This Row],[Poste 5]]*Devis[[#This Row],[Prix de Revient]]</f>
        <v>0</v>
      </c>
      <c r="AA1554" s="74">
        <f>Devis[[#This Row],[Prix de Revient]]*Devis[[#This Row],[Poste 6]]</f>
        <v>0</v>
      </c>
      <c r="AB1554" s="74">
        <f>Devis[[#This Row],[Quantité Totale]]*Devis[[#This Row],[Prix de Revient]]</f>
        <v>0</v>
      </c>
    </row>
    <row r="1555" spans="1:28" ht="14.25" outlineLevel="1" x14ac:dyDescent="0.2">
      <c r="A1555" s="75" t="s">
        <v>3557</v>
      </c>
      <c r="B1555" s="76" t="s">
        <v>1282</v>
      </c>
      <c r="C1555" s="76"/>
      <c r="D1555" s="81" t="str">
        <f t="shared" ref="D1555:D1618" si="28">A1555&amp;B1555&amp;C1555</f>
        <v>GalvaTé réduit 130 RG</v>
      </c>
      <c r="E1555" s="80" t="s">
        <v>1075</v>
      </c>
      <c r="F1555" s="81">
        <v>17</v>
      </c>
      <c r="G1555" s="86" t="s">
        <v>1299</v>
      </c>
      <c r="H1555" s="71"/>
      <c r="I1555" s="105"/>
      <c r="J1555" s="70">
        <f>IFERROR(VLOOKUP(Devis[[#This Row],[Ref Air Flux]],#REF!,3,FALSE),0)</f>
        <v>0</v>
      </c>
      <c r="K1555" s="68"/>
      <c r="L1555" s="68"/>
      <c r="M1555" s="68"/>
      <c r="N1555" s="68"/>
      <c r="O1555" s="68"/>
      <c r="P1555" s="68"/>
      <c r="Q1555" s="68">
        <f>SUM(Devis[[#This Row],[Poste 1]:[Poste 6]])</f>
        <v>0</v>
      </c>
      <c r="R1555" s="71"/>
      <c r="S1555" s="68">
        <f>_xlfn.CEILING.MATH(Devis[[#This Row],[Quantité Totale]],Devis[[#This Row],[Conditionnement]])</f>
        <v>0</v>
      </c>
      <c r="T1555" s="72"/>
      <c r="U1555" s="106"/>
      <c r="V1555" s="74">
        <f>Devis[[#This Row],[Prix de Revient]]*Devis[[#This Row],[Poste 1]]</f>
        <v>0</v>
      </c>
      <c r="W1555" s="74">
        <f>Devis[[#This Row],[Prix de Revient]]*Devis[[#This Row],[Poste 2]]</f>
        <v>0</v>
      </c>
      <c r="X1555" s="74">
        <f>Devis[[#This Row],[Prix de Revient]]*Devis[[#This Row],[Poste 3]]</f>
        <v>0</v>
      </c>
      <c r="Y1555" s="74">
        <f>Devis[[#This Row],[Poste 4]]*Devis[[#This Row],[Prix de Revient]]</f>
        <v>0</v>
      </c>
      <c r="Z1555" s="74">
        <f>Devis[[#This Row],[Poste 5]]*Devis[[#This Row],[Prix de Revient]]</f>
        <v>0</v>
      </c>
      <c r="AA1555" s="74">
        <f>Devis[[#This Row],[Prix de Revient]]*Devis[[#This Row],[Poste 6]]</f>
        <v>0</v>
      </c>
      <c r="AB1555" s="74">
        <f>Devis[[#This Row],[Quantité Totale]]*Devis[[#This Row],[Prix de Revient]]</f>
        <v>0</v>
      </c>
    </row>
    <row r="1556" spans="1:28" ht="14.25" outlineLevel="1" x14ac:dyDescent="0.2">
      <c r="A1556" s="75" t="s">
        <v>3557</v>
      </c>
      <c r="B1556" s="76" t="s">
        <v>1282</v>
      </c>
      <c r="C1556" s="76"/>
      <c r="D1556" s="81" t="str">
        <f t="shared" si="28"/>
        <v>GalvaTé réduit 130 RG</v>
      </c>
      <c r="E1556" s="80" t="s">
        <v>1061</v>
      </c>
      <c r="F1556" s="81">
        <v>18</v>
      </c>
      <c r="G1556" s="86" t="s">
        <v>1292</v>
      </c>
      <c r="H1556" s="71"/>
      <c r="I1556" s="105"/>
      <c r="J1556" s="70">
        <f>IFERROR(VLOOKUP(Devis[[#This Row],[Ref Air Flux]],#REF!,3,FALSE),0)</f>
        <v>0</v>
      </c>
      <c r="K1556" s="68"/>
      <c r="L1556" s="68"/>
      <c r="M1556" s="68"/>
      <c r="N1556" s="68"/>
      <c r="O1556" s="68"/>
      <c r="P1556" s="68"/>
      <c r="Q1556" s="68">
        <f>SUM(Devis[[#This Row],[Poste 1]:[Poste 6]])</f>
        <v>0</v>
      </c>
      <c r="R1556" s="71"/>
      <c r="S1556" s="68">
        <f>_xlfn.CEILING.MATH(Devis[[#This Row],[Quantité Totale]],Devis[[#This Row],[Conditionnement]])</f>
        <v>0</v>
      </c>
      <c r="T1556" s="72"/>
      <c r="U1556" s="106"/>
      <c r="V1556" s="74">
        <f>Devis[[#This Row],[Prix de Revient]]*Devis[[#This Row],[Poste 1]]</f>
        <v>0</v>
      </c>
      <c r="W1556" s="74">
        <f>Devis[[#This Row],[Prix de Revient]]*Devis[[#This Row],[Poste 2]]</f>
        <v>0</v>
      </c>
      <c r="X1556" s="74">
        <f>Devis[[#This Row],[Prix de Revient]]*Devis[[#This Row],[Poste 3]]</f>
        <v>0</v>
      </c>
      <c r="Y1556" s="74">
        <f>Devis[[#This Row],[Poste 4]]*Devis[[#This Row],[Prix de Revient]]</f>
        <v>0</v>
      </c>
      <c r="Z1556" s="74">
        <f>Devis[[#This Row],[Poste 5]]*Devis[[#This Row],[Prix de Revient]]</f>
        <v>0</v>
      </c>
      <c r="AA1556" s="74">
        <f>Devis[[#This Row],[Prix de Revient]]*Devis[[#This Row],[Poste 6]]</f>
        <v>0</v>
      </c>
      <c r="AB1556" s="74">
        <f>Devis[[#This Row],[Quantité Totale]]*Devis[[#This Row],[Prix de Revient]]</f>
        <v>0</v>
      </c>
    </row>
    <row r="1557" spans="1:28" ht="14.25" outlineLevel="1" x14ac:dyDescent="0.2">
      <c r="A1557" s="75" t="s">
        <v>3557</v>
      </c>
      <c r="B1557" s="76" t="s">
        <v>1282</v>
      </c>
      <c r="C1557" s="76"/>
      <c r="D1557" s="81" t="str">
        <f t="shared" si="28"/>
        <v>GalvaTé réduit 130 RG</v>
      </c>
      <c r="E1557" s="80" t="s">
        <v>1073</v>
      </c>
      <c r="F1557" s="81">
        <v>19</v>
      </c>
      <c r="G1557" s="86" t="s">
        <v>1298</v>
      </c>
      <c r="H1557" s="71"/>
      <c r="I1557" s="105"/>
      <c r="J1557" s="70">
        <f>IFERROR(VLOOKUP(Devis[[#This Row],[Ref Air Flux]],#REF!,3,FALSE),0)</f>
        <v>0</v>
      </c>
      <c r="K1557" s="68"/>
      <c r="L1557" s="68"/>
      <c r="M1557" s="68"/>
      <c r="N1557" s="68"/>
      <c r="O1557" s="68"/>
      <c r="P1557" s="68"/>
      <c r="Q1557" s="68">
        <f>SUM(Devis[[#This Row],[Poste 1]:[Poste 6]])</f>
        <v>0</v>
      </c>
      <c r="R1557" s="71"/>
      <c r="S1557" s="68">
        <f>_xlfn.CEILING.MATH(Devis[[#This Row],[Quantité Totale]],Devis[[#This Row],[Conditionnement]])</f>
        <v>0</v>
      </c>
      <c r="T1557" s="72"/>
      <c r="U1557" s="106"/>
      <c r="V1557" s="74">
        <f>Devis[[#This Row],[Prix de Revient]]*Devis[[#This Row],[Poste 1]]</f>
        <v>0</v>
      </c>
      <c r="W1557" s="74">
        <f>Devis[[#This Row],[Prix de Revient]]*Devis[[#This Row],[Poste 2]]</f>
        <v>0</v>
      </c>
      <c r="X1557" s="74">
        <f>Devis[[#This Row],[Prix de Revient]]*Devis[[#This Row],[Poste 3]]</f>
        <v>0</v>
      </c>
      <c r="Y1557" s="74">
        <f>Devis[[#This Row],[Poste 4]]*Devis[[#This Row],[Prix de Revient]]</f>
        <v>0</v>
      </c>
      <c r="Z1557" s="74">
        <f>Devis[[#This Row],[Poste 5]]*Devis[[#This Row],[Prix de Revient]]</f>
        <v>0</v>
      </c>
      <c r="AA1557" s="74">
        <f>Devis[[#This Row],[Prix de Revient]]*Devis[[#This Row],[Poste 6]]</f>
        <v>0</v>
      </c>
      <c r="AB1557" s="74">
        <f>Devis[[#This Row],[Quantité Totale]]*Devis[[#This Row],[Prix de Revient]]</f>
        <v>0</v>
      </c>
    </row>
    <row r="1558" spans="1:28" ht="14.25" outlineLevel="1" x14ac:dyDescent="0.2">
      <c r="A1558" s="75" t="s">
        <v>3557</v>
      </c>
      <c r="B1558" s="76" t="s">
        <v>1282</v>
      </c>
      <c r="C1558" s="76"/>
      <c r="D1558" s="81" t="str">
        <f t="shared" si="28"/>
        <v>GalvaTé réduit 130 RG</v>
      </c>
      <c r="E1558" s="80" t="s">
        <v>1055</v>
      </c>
      <c r="F1558" s="81">
        <v>20</v>
      </c>
      <c r="G1558" s="86" t="s">
        <v>1289</v>
      </c>
      <c r="H1558" s="71"/>
      <c r="I1558" s="105"/>
      <c r="J1558" s="70">
        <f>IFERROR(VLOOKUP(Devis[[#This Row],[Ref Air Flux]],#REF!,3,FALSE),0)</f>
        <v>0</v>
      </c>
      <c r="K1558" s="68"/>
      <c r="L1558" s="68"/>
      <c r="M1558" s="68"/>
      <c r="N1558" s="68"/>
      <c r="O1558" s="68"/>
      <c r="P1558" s="68"/>
      <c r="Q1558" s="68">
        <f>SUM(Devis[[#This Row],[Poste 1]:[Poste 6]])</f>
        <v>0</v>
      </c>
      <c r="R1558" s="71"/>
      <c r="S1558" s="68">
        <f>_xlfn.CEILING.MATH(Devis[[#This Row],[Quantité Totale]],Devis[[#This Row],[Conditionnement]])</f>
        <v>0</v>
      </c>
      <c r="T1558" s="72"/>
      <c r="U1558" s="106"/>
      <c r="V1558" s="74">
        <f>Devis[[#This Row],[Prix de Revient]]*Devis[[#This Row],[Poste 1]]</f>
        <v>0</v>
      </c>
      <c r="W1558" s="74">
        <f>Devis[[#This Row],[Prix de Revient]]*Devis[[#This Row],[Poste 2]]</f>
        <v>0</v>
      </c>
      <c r="X1558" s="74">
        <f>Devis[[#This Row],[Prix de Revient]]*Devis[[#This Row],[Poste 3]]</f>
        <v>0</v>
      </c>
      <c r="Y1558" s="74">
        <f>Devis[[#This Row],[Poste 4]]*Devis[[#This Row],[Prix de Revient]]</f>
        <v>0</v>
      </c>
      <c r="Z1558" s="74">
        <f>Devis[[#This Row],[Poste 5]]*Devis[[#This Row],[Prix de Revient]]</f>
        <v>0</v>
      </c>
      <c r="AA1558" s="74">
        <f>Devis[[#This Row],[Prix de Revient]]*Devis[[#This Row],[Poste 6]]</f>
        <v>0</v>
      </c>
      <c r="AB1558" s="74">
        <f>Devis[[#This Row],[Quantité Totale]]*Devis[[#This Row],[Prix de Revient]]</f>
        <v>0</v>
      </c>
    </row>
    <row r="1559" spans="1:28" ht="15" customHeight="1" outlineLevel="1" x14ac:dyDescent="0.2">
      <c r="A1559" s="75" t="s">
        <v>3557</v>
      </c>
      <c r="B1559" s="76" t="s">
        <v>1282</v>
      </c>
      <c r="C1559" s="76"/>
      <c r="D1559" s="81" t="str">
        <f t="shared" si="28"/>
        <v>GalvaTé réduit 130 RG</v>
      </c>
      <c r="E1559" s="80" t="s">
        <v>1057</v>
      </c>
      <c r="F1559" s="81">
        <v>21</v>
      </c>
      <c r="G1559" s="86" t="s">
        <v>1290</v>
      </c>
      <c r="H1559" s="71"/>
      <c r="I1559" s="105"/>
      <c r="J1559" s="70">
        <f>IFERROR(VLOOKUP(Devis[[#This Row],[Ref Air Flux]],#REF!,3,FALSE),0)</f>
        <v>0</v>
      </c>
      <c r="K1559" s="68"/>
      <c r="L1559" s="68"/>
      <c r="M1559" s="68"/>
      <c r="N1559" s="68"/>
      <c r="O1559" s="68"/>
      <c r="P1559" s="68"/>
      <c r="Q1559" s="68">
        <f>SUM(Devis[[#This Row],[Poste 1]:[Poste 6]])</f>
        <v>0</v>
      </c>
      <c r="R1559" s="71"/>
      <c r="S1559" s="68">
        <f>_xlfn.CEILING.MATH(Devis[[#This Row],[Quantité Totale]],Devis[[#This Row],[Conditionnement]])</f>
        <v>0</v>
      </c>
      <c r="T1559" s="72"/>
      <c r="U1559" s="106"/>
      <c r="V1559" s="74">
        <f>Devis[[#This Row],[Prix de Revient]]*Devis[[#This Row],[Poste 1]]</f>
        <v>0</v>
      </c>
      <c r="W1559" s="74">
        <f>Devis[[#This Row],[Prix de Revient]]*Devis[[#This Row],[Poste 2]]</f>
        <v>0</v>
      </c>
      <c r="X1559" s="74">
        <f>Devis[[#This Row],[Prix de Revient]]*Devis[[#This Row],[Poste 3]]</f>
        <v>0</v>
      </c>
      <c r="Y1559" s="74">
        <f>Devis[[#This Row],[Poste 4]]*Devis[[#This Row],[Prix de Revient]]</f>
        <v>0</v>
      </c>
      <c r="Z1559" s="74">
        <f>Devis[[#This Row],[Poste 5]]*Devis[[#This Row],[Prix de Revient]]</f>
        <v>0</v>
      </c>
      <c r="AA1559" s="74">
        <f>Devis[[#This Row],[Prix de Revient]]*Devis[[#This Row],[Poste 6]]</f>
        <v>0</v>
      </c>
      <c r="AB1559" s="74">
        <f>Devis[[#This Row],[Quantité Totale]]*Devis[[#This Row],[Prix de Revient]]</f>
        <v>0</v>
      </c>
    </row>
    <row r="1560" spans="1:28" ht="14.25" customHeight="1" outlineLevel="1" x14ac:dyDescent="0.2">
      <c r="A1560" s="75" t="s">
        <v>3557</v>
      </c>
      <c r="B1560" s="76" t="s">
        <v>1282</v>
      </c>
      <c r="C1560" s="76"/>
      <c r="D1560" s="81" t="str">
        <f t="shared" si="28"/>
        <v>GalvaTé réduit 130 RG</v>
      </c>
      <c r="E1560" s="80" t="s">
        <v>1059</v>
      </c>
      <c r="F1560" s="81">
        <v>22</v>
      </c>
      <c r="G1560" s="86" t="s">
        <v>1291</v>
      </c>
      <c r="H1560" s="71"/>
      <c r="I1560" s="105"/>
      <c r="J1560" s="70">
        <f>IFERROR(VLOOKUP(Devis[[#This Row],[Ref Air Flux]],#REF!,3,FALSE),0)</f>
        <v>0</v>
      </c>
      <c r="K1560" s="68"/>
      <c r="L1560" s="68"/>
      <c r="M1560" s="68"/>
      <c r="N1560" s="68"/>
      <c r="O1560" s="68"/>
      <c r="P1560" s="68"/>
      <c r="Q1560" s="68">
        <f>SUM(Devis[[#This Row],[Poste 1]:[Poste 6]])</f>
        <v>0</v>
      </c>
      <c r="R1560" s="71"/>
      <c r="S1560" s="68">
        <f>_xlfn.CEILING.MATH(Devis[[#This Row],[Quantité Totale]],Devis[[#This Row],[Conditionnement]])</f>
        <v>0</v>
      </c>
      <c r="T1560" s="72"/>
      <c r="U1560" s="106"/>
      <c r="V1560" s="74">
        <f>Devis[[#This Row],[Prix de Revient]]*Devis[[#This Row],[Poste 1]]</f>
        <v>0</v>
      </c>
      <c r="W1560" s="74">
        <f>Devis[[#This Row],[Prix de Revient]]*Devis[[#This Row],[Poste 2]]</f>
        <v>0</v>
      </c>
      <c r="X1560" s="74">
        <f>Devis[[#This Row],[Prix de Revient]]*Devis[[#This Row],[Poste 3]]</f>
        <v>0</v>
      </c>
      <c r="Y1560" s="74">
        <f>Devis[[#This Row],[Poste 4]]*Devis[[#This Row],[Prix de Revient]]</f>
        <v>0</v>
      </c>
      <c r="Z1560" s="74">
        <f>Devis[[#This Row],[Poste 5]]*Devis[[#This Row],[Prix de Revient]]</f>
        <v>0</v>
      </c>
      <c r="AA1560" s="74">
        <f>Devis[[#This Row],[Prix de Revient]]*Devis[[#This Row],[Poste 6]]</f>
        <v>0</v>
      </c>
      <c r="AB1560" s="74">
        <f>Devis[[#This Row],[Quantité Totale]]*Devis[[#This Row],[Prix de Revient]]</f>
        <v>0</v>
      </c>
    </row>
    <row r="1561" spans="1:28" ht="14.25" customHeight="1" outlineLevel="1" x14ac:dyDescent="0.2">
      <c r="A1561" s="75" t="s">
        <v>3557</v>
      </c>
      <c r="B1561" s="76" t="s">
        <v>1282</v>
      </c>
      <c r="C1561" s="76"/>
      <c r="D1561" s="81" t="str">
        <f t="shared" si="28"/>
        <v>GalvaTé réduit 130 RG</v>
      </c>
      <c r="E1561" s="80" t="s">
        <v>1051</v>
      </c>
      <c r="F1561" s="81">
        <v>23</v>
      </c>
      <c r="G1561" s="86" t="s">
        <v>1287</v>
      </c>
      <c r="H1561" s="71"/>
      <c r="I1561" s="105"/>
      <c r="J1561" s="70">
        <f>IFERROR(VLOOKUP(Devis[[#This Row],[Ref Air Flux]],#REF!,3,FALSE),0)</f>
        <v>0</v>
      </c>
      <c r="K1561" s="68"/>
      <c r="L1561" s="68"/>
      <c r="M1561" s="68"/>
      <c r="N1561" s="68"/>
      <c r="O1561" s="68"/>
      <c r="P1561" s="68"/>
      <c r="Q1561" s="68">
        <f>SUM(Devis[[#This Row],[Poste 1]:[Poste 6]])</f>
        <v>0</v>
      </c>
      <c r="R1561" s="71"/>
      <c r="S1561" s="68">
        <f>_xlfn.CEILING.MATH(Devis[[#This Row],[Quantité Totale]],Devis[[#This Row],[Conditionnement]])</f>
        <v>0</v>
      </c>
      <c r="T1561" s="72"/>
      <c r="U1561" s="106"/>
      <c r="V1561" s="74">
        <f>Devis[[#This Row],[Prix de Revient]]*Devis[[#This Row],[Poste 1]]</f>
        <v>0</v>
      </c>
      <c r="W1561" s="74">
        <f>Devis[[#This Row],[Prix de Revient]]*Devis[[#This Row],[Poste 2]]</f>
        <v>0</v>
      </c>
      <c r="X1561" s="74">
        <f>Devis[[#This Row],[Prix de Revient]]*Devis[[#This Row],[Poste 3]]</f>
        <v>0</v>
      </c>
      <c r="Y1561" s="74">
        <f>Devis[[#This Row],[Poste 4]]*Devis[[#This Row],[Prix de Revient]]</f>
        <v>0</v>
      </c>
      <c r="Z1561" s="74">
        <f>Devis[[#This Row],[Poste 5]]*Devis[[#This Row],[Prix de Revient]]</f>
        <v>0</v>
      </c>
      <c r="AA1561" s="74">
        <f>Devis[[#This Row],[Prix de Revient]]*Devis[[#This Row],[Poste 6]]</f>
        <v>0</v>
      </c>
      <c r="AB1561" s="74">
        <f>Devis[[#This Row],[Quantité Totale]]*Devis[[#This Row],[Prix de Revient]]</f>
        <v>0</v>
      </c>
    </row>
    <row r="1562" spans="1:28" ht="14.25" customHeight="1" outlineLevel="1" x14ac:dyDescent="0.2">
      <c r="A1562" s="75" t="s">
        <v>3557</v>
      </c>
      <c r="B1562" s="76" t="s">
        <v>1282</v>
      </c>
      <c r="C1562" s="76"/>
      <c r="D1562" s="81" t="str">
        <f t="shared" si="28"/>
        <v>GalvaTé réduit 130 RG</v>
      </c>
      <c r="E1562" s="80" t="s">
        <v>1053</v>
      </c>
      <c r="F1562" s="81">
        <v>24</v>
      </c>
      <c r="G1562" s="86" t="s">
        <v>1288</v>
      </c>
      <c r="H1562" s="71"/>
      <c r="I1562" s="105"/>
      <c r="J1562" s="70">
        <f>IFERROR(VLOOKUP(Devis[[#This Row],[Ref Air Flux]],#REF!,3,FALSE),0)</f>
        <v>0</v>
      </c>
      <c r="K1562" s="68"/>
      <c r="L1562" s="68"/>
      <c r="M1562" s="68"/>
      <c r="N1562" s="68"/>
      <c r="O1562" s="68"/>
      <c r="P1562" s="68"/>
      <c r="Q1562" s="68">
        <f>SUM(Devis[[#This Row],[Poste 1]:[Poste 6]])</f>
        <v>0</v>
      </c>
      <c r="R1562" s="71"/>
      <c r="S1562" s="68">
        <f>_xlfn.CEILING.MATH(Devis[[#This Row],[Quantité Totale]],Devis[[#This Row],[Conditionnement]])</f>
        <v>0</v>
      </c>
      <c r="T1562" s="72"/>
      <c r="U1562" s="106"/>
      <c r="V1562" s="74">
        <f>Devis[[#This Row],[Prix de Revient]]*Devis[[#This Row],[Poste 1]]</f>
        <v>0</v>
      </c>
      <c r="W1562" s="74">
        <f>Devis[[#This Row],[Prix de Revient]]*Devis[[#This Row],[Poste 2]]</f>
        <v>0</v>
      </c>
      <c r="X1562" s="74">
        <f>Devis[[#This Row],[Prix de Revient]]*Devis[[#This Row],[Poste 3]]</f>
        <v>0</v>
      </c>
      <c r="Y1562" s="74">
        <f>Devis[[#This Row],[Poste 4]]*Devis[[#This Row],[Prix de Revient]]</f>
        <v>0</v>
      </c>
      <c r="Z1562" s="74">
        <f>Devis[[#This Row],[Poste 5]]*Devis[[#This Row],[Prix de Revient]]</f>
        <v>0</v>
      </c>
      <c r="AA1562" s="74">
        <f>Devis[[#This Row],[Prix de Revient]]*Devis[[#This Row],[Poste 6]]</f>
        <v>0</v>
      </c>
      <c r="AB1562" s="74">
        <f>Devis[[#This Row],[Quantité Totale]]*Devis[[#This Row],[Prix de Revient]]</f>
        <v>0</v>
      </c>
    </row>
    <row r="1563" spans="1:28" ht="14.25" outlineLevel="1" x14ac:dyDescent="0.2">
      <c r="A1563" s="75" t="s">
        <v>3557</v>
      </c>
      <c r="B1563" s="76" t="s">
        <v>1282</v>
      </c>
      <c r="C1563" s="76"/>
      <c r="D1563" s="81" t="str">
        <f t="shared" si="28"/>
        <v>GalvaTé réduit 130 RG</v>
      </c>
      <c r="E1563" s="80" t="s">
        <v>28</v>
      </c>
      <c r="F1563" s="81">
        <v>25</v>
      </c>
      <c r="G1563" s="86" t="s">
        <v>1310</v>
      </c>
      <c r="H1563" s="71"/>
      <c r="I1563" s="105"/>
      <c r="J1563" s="70">
        <f>IFERROR(VLOOKUP(Devis[[#This Row],[Ref Air Flux]],#REF!,3,FALSE),0)</f>
        <v>0</v>
      </c>
      <c r="K1563" s="68"/>
      <c r="L1563" s="68"/>
      <c r="M1563" s="68"/>
      <c r="N1563" s="68"/>
      <c r="O1563" s="68"/>
      <c r="P1563" s="68"/>
      <c r="Q1563" s="68">
        <f>SUM(Devis[[#This Row],[Poste 1]:[Poste 6]])</f>
        <v>0</v>
      </c>
      <c r="R1563" s="71"/>
      <c r="S1563" s="68">
        <f>_xlfn.CEILING.MATH(Devis[[#This Row],[Quantité Totale]],Devis[[#This Row],[Conditionnement]])</f>
        <v>0</v>
      </c>
      <c r="T1563" s="72"/>
      <c r="U1563" s="106"/>
      <c r="V1563" s="74">
        <f>Devis[[#This Row],[Prix de Revient]]*Devis[[#This Row],[Poste 1]]</f>
        <v>0</v>
      </c>
      <c r="W1563" s="74">
        <f>Devis[[#This Row],[Prix de Revient]]*Devis[[#This Row],[Poste 2]]</f>
        <v>0</v>
      </c>
      <c r="X1563" s="74">
        <f>Devis[[#This Row],[Prix de Revient]]*Devis[[#This Row],[Poste 3]]</f>
        <v>0</v>
      </c>
      <c r="Y1563" s="74">
        <f>Devis[[#This Row],[Poste 4]]*Devis[[#This Row],[Prix de Revient]]</f>
        <v>0</v>
      </c>
      <c r="Z1563" s="74">
        <f>Devis[[#This Row],[Poste 5]]*Devis[[#This Row],[Prix de Revient]]</f>
        <v>0</v>
      </c>
      <c r="AA1563" s="74">
        <f>Devis[[#This Row],[Prix de Revient]]*Devis[[#This Row],[Poste 6]]</f>
        <v>0</v>
      </c>
      <c r="AB1563" s="74">
        <f>Devis[[#This Row],[Quantité Totale]]*Devis[[#This Row],[Prix de Revient]]</f>
        <v>0</v>
      </c>
    </row>
    <row r="1564" spans="1:28" ht="14.25" outlineLevel="1" x14ac:dyDescent="0.2">
      <c r="A1564" s="75" t="s">
        <v>3557</v>
      </c>
      <c r="B1564" s="76" t="s">
        <v>1282</v>
      </c>
      <c r="C1564" s="76"/>
      <c r="D1564" s="81" t="str">
        <f t="shared" si="28"/>
        <v>GalvaTé réduit 130 RG</v>
      </c>
      <c r="E1564" s="80" t="s">
        <v>1096</v>
      </c>
      <c r="F1564" s="81">
        <v>26</v>
      </c>
      <c r="G1564" s="86" t="s">
        <v>1311</v>
      </c>
      <c r="H1564" s="71"/>
      <c r="I1564" s="105"/>
      <c r="J1564" s="70">
        <f>IFERROR(VLOOKUP(Devis[[#This Row],[Ref Air Flux]],#REF!,3,FALSE),0)</f>
        <v>0</v>
      </c>
      <c r="K1564" s="68"/>
      <c r="L1564" s="68"/>
      <c r="M1564" s="68"/>
      <c r="N1564" s="68"/>
      <c r="O1564" s="68"/>
      <c r="P1564" s="68"/>
      <c r="Q1564" s="68">
        <f>SUM(Devis[[#This Row],[Poste 1]:[Poste 6]])</f>
        <v>0</v>
      </c>
      <c r="R1564" s="71"/>
      <c r="S1564" s="68">
        <f>_xlfn.CEILING.MATH(Devis[[#This Row],[Quantité Totale]],Devis[[#This Row],[Conditionnement]])</f>
        <v>0</v>
      </c>
      <c r="T1564" s="72"/>
      <c r="U1564" s="106"/>
      <c r="V1564" s="74">
        <f>Devis[[#This Row],[Prix de Revient]]*Devis[[#This Row],[Poste 1]]</f>
        <v>0</v>
      </c>
      <c r="W1564" s="74">
        <f>Devis[[#This Row],[Prix de Revient]]*Devis[[#This Row],[Poste 2]]</f>
        <v>0</v>
      </c>
      <c r="X1564" s="74">
        <f>Devis[[#This Row],[Prix de Revient]]*Devis[[#This Row],[Poste 3]]</f>
        <v>0</v>
      </c>
      <c r="Y1564" s="74">
        <f>Devis[[#This Row],[Poste 4]]*Devis[[#This Row],[Prix de Revient]]</f>
        <v>0</v>
      </c>
      <c r="Z1564" s="74">
        <f>Devis[[#This Row],[Poste 5]]*Devis[[#This Row],[Prix de Revient]]</f>
        <v>0</v>
      </c>
      <c r="AA1564" s="74">
        <f>Devis[[#This Row],[Prix de Revient]]*Devis[[#This Row],[Poste 6]]</f>
        <v>0</v>
      </c>
      <c r="AB1564" s="74">
        <f>Devis[[#This Row],[Quantité Totale]]*Devis[[#This Row],[Prix de Revient]]</f>
        <v>0</v>
      </c>
    </row>
    <row r="1565" spans="1:28" ht="14.25" customHeight="1" outlineLevel="1" x14ac:dyDescent="0.2">
      <c r="A1565" s="75" t="s">
        <v>3557</v>
      </c>
      <c r="B1565" s="76" t="s">
        <v>1282</v>
      </c>
      <c r="C1565" s="76"/>
      <c r="D1565" s="81" t="str">
        <f t="shared" si="28"/>
        <v>GalvaTé réduit 130 RG</v>
      </c>
      <c r="E1565" s="80" t="s">
        <v>1049</v>
      </c>
      <c r="F1565" s="81">
        <v>27</v>
      </c>
      <c r="G1565" s="86" t="s">
        <v>1286</v>
      </c>
      <c r="H1565" s="71"/>
      <c r="I1565" s="105"/>
      <c r="J1565" s="70">
        <f>IFERROR(VLOOKUP(Devis[[#This Row],[Ref Air Flux]],#REF!,3,FALSE),0)</f>
        <v>0</v>
      </c>
      <c r="K1565" s="68"/>
      <c r="L1565" s="68"/>
      <c r="M1565" s="68"/>
      <c r="N1565" s="68"/>
      <c r="O1565" s="68"/>
      <c r="P1565" s="68"/>
      <c r="Q1565" s="68">
        <f>SUM(Devis[[#This Row],[Poste 1]:[Poste 6]])</f>
        <v>0</v>
      </c>
      <c r="R1565" s="71"/>
      <c r="S1565" s="68">
        <f>_xlfn.CEILING.MATH(Devis[[#This Row],[Quantité Totale]],Devis[[#This Row],[Conditionnement]])</f>
        <v>0</v>
      </c>
      <c r="T1565" s="72"/>
      <c r="U1565" s="106"/>
      <c r="V1565" s="74">
        <f>Devis[[#This Row],[Prix de Revient]]*Devis[[#This Row],[Poste 1]]</f>
        <v>0</v>
      </c>
      <c r="W1565" s="74">
        <f>Devis[[#This Row],[Prix de Revient]]*Devis[[#This Row],[Poste 2]]</f>
        <v>0</v>
      </c>
      <c r="X1565" s="74">
        <f>Devis[[#This Row],[Prix de Revient]]*Devis[[#This Row],[Poste 3]]</f>
        <v>0</v>
      </c>
      <c r="Y1565" s="74">
        <f>Devis[[#This Row],[Poste 4]]*Devis[[#This Row],[Prix de Revient]]</f>
        <v>0</v>
      </c>
      <c r="Z1565" s="74">
        <f>Devis[[#This Row],[Poste 5]]*Devis[[#This Row],[Prix de Revient]]</f>
        <v>0</v>
      </c>
      <c r="AA1565" s="74">
        <f>Devis[[#This Row],[Prix de Revient]]*Devis[[#This Row],[Poste 6]]</f>
        <v>0</v>
      </c>
      <c r="AB1565" s="74">
        <f>Devis[[#This Row],[Quantité Totale]]*Devis[[#This Row],[Prix de Revient]]</f>
        <v>0</v>
      </c>
    </row>
    <row r="1566" spans="1:28" ht="14.25" outlineLevel="1" x14ac:dyDescent="0.2">
      <c r="A1566" s="75" t="s">
        <v>3557</v>
      </c>
      <c r="B1566" s="76" t="s">
        <v>1282</v>
      </c>
      <c r="C1566" s="76"/>
      <c r="D1566" s="81" t="str">
        <f t="shared" si="28"/>
        <v>GalvaTé réduit 130 RG</v>
      </c>
      <c r="E1566" s="80" t="s">
        <v>1045</v>
      </c>
      <c r="F1566" s="81">
        <v>28</v>
      </c>
      <c r="G1566" s="86" t="s">
        <v>1284</v>
      </c>
      <c r="H1566" s="71"/>
      <c r="I1566" s="105"/>
      <c r="J1566" s="70">
        <f>IFERROR(VLOOKUP(Devis[[#This Row],[Ref Air Flux]],#REF!,3,FALSE),0)</f>
        <v>0</v>
      </c>
      <c r="K1566" s="68"/>
      <c r="L1566" s="68"/>
      <c r="M1566" s="68"/>
      <c r="N1566" s="68"/>
      <c r="O1566" s="68"/>
      <c r="P1566" s="68"/>
      <c r="Q1566" s="68">
        <f>SUM(Devis[[#This Row],[Poste 1]:[Poste 6]])</f>
        <v>0</v>
      </c>
      <c r="R1566" s="71"/>
      <c r="S1566" s="68">
        <f>_xlfn.CEILING.MATH(Devis[[#This Row],[Quantité Totale]],Devis[[#This Row],[Conditionnement]])</f>
        <v>0</v>
      </c>
      <c r="T1566" s="72"/>
      <c r="U1566" s="106"/>
      <c r="V1566" s="74">
        <f>Devis[[#This Row],[Prix de Revient]]*Devis[[#This Row],[Poste 1]]</f>
        <v>0</v>
      </c>
      <c r="W1566" s="74">
        <f>Devis[[#This Row],[Prix de Revient]]*Devis[[#This Row],[Poste 2]]</f>
        <v>0</v>
      </c>
      <c r="X1566" s="74">
        <f>Devis[[#This Row],[Prix de Revient]]*Devis[[#This Row],[Poste 3]]</f>
        <v>0</v>
      </c>
      <c r="Y1566" s="74">
        <f>Devis[[#This Row],[Poste 4]]*Devis[[#This Row],[Prix de Revient]]</f>
        <v>0</v>
      </c>
      <c r="Z1566" s="74">
        <f>Devis[[#This Row],[Poste 5]]*Devis[[#This Row],[Prix de Revient]]</f>
        <v>0</v>
      </c>
      <c r="AA1566" s="74">
        <f>Devis[[#This Row],[Prix de Revient]]*Devis[[#This Row],[Poste 6]]</f>
        <v>0</v>
      </c>
      <c r="AB1566" s="74">
        <f>Devis[[#This Row],[Quantité Totale]]*Devis[[#This Row],[Prix de Revient]]</f>
        <v>0</v>
      </c>
    </row>
    <row r="1567" spans="1:28" ht="14.25" outlineLevel="1" x14ac:dyDescent="0.2">
      <c r="A1567" s="75" t="s">
        <v>3557</v>
      </c>
      <c r="B1567" s="76" t="s">
        <v>1282</v>
      </c>
      <c r="C1567" s="76"/>
      <c r="D1567" s="81" t="str">
        <f t="shared" si="28"/>
        <v>GalvaTé réduit 130 RG</v>
      </c>
      <c r="E1567" s="80" t="s">
        <v>1047</v>
      </c>
      <c r="F1567" s="81">
        <v>29</v>
      </c>
      <c r="G1567" s="86" t="s">
        <v>1285</v>
      </c>
      <c r="H1567" s="71"/>
      <c r="I1567" s="105"/>
      <c r="J1567" s="70">
        <f>IFERROR(VLOOKUP(Devis[[#This Row],[Ref Air Flux]],#REF!,3,FALSE),0)</f>
        <v>0</v>
      </c>
      <c r="K1567" s="68"/>
      <c r="L1567" s="68"/>
      <c r="M1567" s="68"/>
      <c r="N1567" s="68"/>
      <c r="O1567" s="68"/>
      <c r="P1567" s="68"/>
      <c r="Q1567" s="68">
        <f>SUM(Devis[[#This Row],[Poste 1]:[Poste 6]])</f>
        <v>0</v>
      </c>
      <c r="R1567" s="71"/>
      <c r="S1567" s="68">
        <f>_xlfn.CEILING.MATH(Devis[[#This Row],[Quantité Totale]],Devis[[#This Row],[Conditionnement]])</f>
        <v>0</v>
      </c>
      <c r="T1567" s="72"/>
      <c r="U1567" s="106"/>
      <c r="V1567" s="74">
        <f>Devis[[#This Row],[Prix de Revient]]*Devis[[#This Row],[Poste 1]]</f>
        <v>0</v>
      </c>
      <c r="W1567" s="74">
        <f>Devis[[#This Row],[Prix de Revient]]*Devis[[#This Row],[Poste 2]]</f>
        <v>0</v>
      </c>
      <c r="X1567" s="74">
        <f>Devis[[#This Row],[Prix de Revient]]*Devis[[#This Row],[Poste 3]]</f>
        <v>0</v>
      </c>
      <c r="Y1567" s="74">
        <f>Devis[[#This Row],[Poste 4]]*Devis[[#This Row],[Prix de Revient]]</f>
        <v>0</v>
      </c>
      <c r="Z1567" s="74">
        <f>Devis[[#This Row],[Poste 5]]*Devis[[#This Row],[Prix de Revient]]</f>
        <v>0</v>
      </c>
      <c r="AA1567" s="74">
        <f>Devis[[#This Row],[Prix de Revient]]*Devis[[#This Row],[Poste 6]]</f>
        <v>0</v>
      </c>
      <c r="AB1567" s="74">
        <f>Devis[[#This Row],[Quantité Totale]]*Devis[[#This Row],[Prix de Revient]]</f>
        <v>0</v>
      </c>
    </row>
    <row r="1568" spans="1:28" ht="14.25" customHeight="1" outlineLevel="1" x14ac:dyDescent="0.2">
      <c r="A1568" s="75" t="s">
        <v>3557</v>
      </c>
      <c r="B1568" s="76" t="s">
        <v>1282</v>
      </c>
      <c r="C1568" s="76"/>
      <c r="D1568" s="81" t="str">
        <f t="shared" si="28"/>
        <v>GalvaTé réduit 130 RG</v>
      </c>
      <c r="E1568" s="80" t="s">
        <v>1043</v>
      </c>
      <c r="F1568" s="81">
        <v>30</v>
      </c>
      <c r="G1568" s="86" t="s">
        <v>1283</v>
      </c>
      <c r="H1568" s="71"/>
      <c r="I1568" s="105"/>
      <c r="J1568" s="70">
        <f>IFERROR(VLOOKUP(Devis[[#This Row],[Ref Air Flux]],#REF!,3,FALSE),0)</f>
        <v>0</v>
      </c>
      <c r="K1568" s="68"/>
      <c r="L1568" s="68"/>
      <c r="M1568" s="68"/>
      <c r="N1568" s="68"/>
      <c r="O1568" s="68"/>
      <c r="P1568" s="68"/>
      <c r="Q1568" s="68">
        <f>SUM(Devis[[#This Row],[Poste 1]:[Poste 6]])</f>
        <v>0</v>
      </c>
      <c r="R1568" s="71"/>
      <c r="S1568" s="68">
        <f>_xlfn.CEILING.MATH(Devis[[#This Row],[Quantité Totale]],Devis[[#This Row],[Conditionnement]])</f>
        <v>0</v>
      </c>
      <c r="T1568" s="72"/>
      <c r="U1568" s="106"/>
      <c r="V1568" s="74">
        <f>Devis[[#This Row],[Prix de Revient]]*Devis[[#This Row],[Poste 1]]</f>
        <v>0</v>
      </c>
      <c r="W1568" s="74">
        <f>Devis[[#This Row],[Prix de Revient]]*Devis[[#This Row],[Poste 2]]</f>
        <v>0</v>
      </c>
      <c r="X1568" s="74">
        <f>Devis[[#This Row],[Prix de Revient]]*Devis[[#This Row],[Poste 3]]</f>
        <v>0</v>
      </c>
      <c r="Y1568" s="74">
        <f>Devis[[#This Row],[Poste 4]]*Devis[[#This Row],[Prix de Revient]]</f>
        <v>0</v>
      </c>
      <c r="Z1568" s="74">
        <f>Devis[[#This Row],[Poste 5]]*Devis[[#This Row],[Prix de Revient]]</f>
        <v>0</v>
      </c>
      <c r="AA1568" s="74">
        <f>Devis[[#This Row],[Prix de Revient]]*Devis[[#This Row],[Poste 6]]</f>
        <v>0</v>
      </c>
      <c r="AB1568" s="74">
        <f>Devis[[#This Row],[Quantité Totale]]*Devis[[#This Row],[Prix de Revient]]</f>
        <v>0</v>
      </c>
    </row>
    <row r="1569" spans="1:28" ht="15" customHeight="1" x14ac:dyDescent="0.25">
      <c r="A1569" s="65" t="s">
        <v>3557</v>
      </c>
      <c r="B1569" s="65" t="s">
        <v>1313</v>
      </c>
      <c r="C1569" s="76"/>
      <c r="D1569" s="81" t="str">
        <f t="shared" si="28"/>
        <v>GalvaTube galva</v>
      </c>
      <c r="E1569" s="76"/>
      <c r="F1569" s="81">
        <v>0</v>
      </c>
      <c r="G1569" s="86"/>
      <c r="H1569" s="71"/>
      <c r="I1569" s="75"/>
      <c r="J1569" s="70">
        <f>IFERROR(VLOOKUP(Devis[[#This Row],[Ref Air Flux]],#REF!,3,FALSE),0)</f>
        <v>0</v>
      </c>
      <c r="K1569" s="68"/>
      <c r="L1569" s="68"/>
      <c r="M1569" s="68"/>
      <c r="N1569" s="68"/>
      <c r="O1569" s="68"/>
      <c r="P1569" s="68"/>
      <c r="Q1569" s="68">
        <f>SUM(Devis[[#This Row],[Poste 1]:[Poste 6]])</f>
        <v>0</v>
      </c>
      <c r="R1569" s="71"/>
      <c r="S1569" s="68">
        <f>_xlfn.CEILING.MATH(Devis[[#This Row],[Quantité Totale]],Devis[[#This Row],[Conditionnement]])</f>
        <v>0</v>
      </c>
      <c r="T1569" s="72"/>
      <c r="U1569" s="106"/>
      <c r="V1569" s="74">
        <f>Devis[[#This Row],[Prix de Revient]]*Devis[[#This Row],[Poste 1]]</f>
        <v>0</v>
      </c>
      <c r="W1569" s="74">
        <f>Devis[[#This Row],[Prix de Revient]]*Devis[[#This Row],[Poste 2]]</f>
        <v>0</v>
      </c>
      <c r="X1569" s="74">
        <f>Devis[[#This Row],[Prix de Revient]]*Devis[[#This Row],[Poste 3]]</f>
        <v>0</v>
      </c>
      <c r="Y1569" s="74">
        <f>Devis[[#This Row],[Poste 4]]*Devis[[#This Row],[Prix de Revient]]</f>
        <v>0</v>
      </c>
      <c r="Z1569" s="74">
        <f>Devis[[#This Row],[Poste 5]]*Devis[[#This Row],[Prix de Revient]]</f>
        <v>0</v>
      </c>
      <c r="AA1569" s="74">
        <f>Devis[[#This Row],[Prix de Revient]]*Devis[[#This Row],[Poste 6]]</f>
        <v>0</v>
      </c>
      <c r="AB1569" s="74">
        <f>Devis[[#This Row],[Quantité Totale]]*Devis[[#This Row],[Prix de Revient]]</f>
        <v>0</v>
      </c>
    </row>
    <row r="1570" spans="1:28" ht="14.25" outlineLevel="1" x14ac:dyDescent="0.2">
      <c r="A1570" s="75" t="s">
        <v>3557</v>
      </c>
      <c r="B1570" s="76" t="s">
        <v>1313</v>
      </c>
      <c r="C1570" s="76"/>
      <c r="D1570" s="81" t="str">
        <f t="shared" si="28"/>
        <v>GalvaTube galva</v>
      </c>
      <c r="E1570" s="76" t="s">
        <v>19</v>
      </c>
      <c r="F1570" s="81">
        <v>1</v>
      </c>
      <c r="G1570" s="86" t="s">
        <v>1320</v>
      </c>
      <c r="H1570" s="71"/>
      <c r="I1570" s="75"/>
      <c r="J1570" s="70">
        <f>IFERROR(VLOOKUP(Devis[[#This Row],[Ref Air Flux]],#REF!,3,FALSE),0)</f>
        <v>0</v>
      </c>
      <c r="K1570" s="68"/>
      <c r="L1570" s="68"/>
      <c r="M1570" s="68"/>
      <c r="N1570" s="68"/>
      <c r="O1570" s="68"/>
      <c r="P1570" s="68"/>
      <c r="Q1570" s="68">
        <f>SUM(Devis[[#This Row],[Poste 1]:[Poste 6]])</f>
        <v>0</v>
      </c>
      <c r="R1570" s="71"/>
      <c r="S1570" s="68">
        <f>_xlfn.CEILING.MATH(Devis[[#This Row],[Quantité Totale]],Devis[[#This Row],[Conditionnement]])</f>
        <v>0</v>
      </c>
      <c r="T1570" s="72"/>
      <c r="U1570" s="106"/>
      <c r="V1570" s="74">
        <f>Devis[[#This Row],[Prix de Revient]]*Devis[[#This Row],[Poste 1]]</f>
        <v>0</v>
      </c>
      <c r="W1570" s="74">
        <f>Devis[[#This Row],[Prix de Revient]]*Devis[[#This Row],[Poste 2]]</f>
        <v>0</v>
      </c>
      <c r="X1570" s="74">
        <f>Devis[[#This Row],[Prix de Revient]]*Devis[[#This Row],[Poste 3]]</f>
        <v>0</v>
      </c>
      <c r="Y1570" s="74">
        <f>Devis[[#This Row],[Poste 4]]*Devis[[#This Row],[Prix de Revient]]</f>
        <v>0</v>
      </c>
      <c r="Z1570" s="74">
        <f>Devis[[#This Row],[Poste 5]]*Devis[[#This Row],[Prix de Revient]]</f>
        <v>0</v>
      </c>
      <c r="AA1570" s="74">
        <f>Devis[[#This Row],[Prix de Revient]]*Devis[[#This Row],[Poste 6]]</f>
        <v>0</v>
      </c>
      <c r="AB1570" s="74">
        <f>Devis[[#This Row],[Quantité Totale]]*Devis[[#This Row],[Prix de Revient]]</f>
        <v>0</v>
      </c>
    </row>
    <row r="1571" spans="1:28" ht="14.25" outlineLevel="1" x14ac:dyDescent="0.2">
      <c r="A1571" s="75" t="s">
        <v>3557</v>
      </c>
      <c r="B1571" s="76" t="s">
        <v>1313</v>
      </c>
      <c r="C1571" s="76"/>
      <c r="D1571" s="81" t="str">
        <f t="shared" si="28"/>
        <v>GalvaTube galva</v>
      </c>
      <c r="E1571" s="76" t="s">
        <v>21</v>
      </c>
      <c r="F1571" s="81">
        <v>2</v>
      </c>
      <c r="G1571" s="86" t="s">
        <v>1318</v>
      </c>
      <c r="H1571" s="71"/>
      <c r="I1571" s="75"/>
      <c r="J1571" s="70">
        <f>IFERROR(VLOOKUP(Devis[[#This Row],[Ref Air Flux]],#REF!,3,FALSE),0)</f>
        <v>0</v>
      </c>
      <c r="K1571" s="68"/>
      <c r="L1571" s="68"/>
      <c r="M1571" s="68"/>
      <c r="N1571" s="68"/>
      <c r="O1571" s="68"/>
      <c r="P1571" s="68"/>
      <c r="Q1571" s="68">
        <f>SUM(Devis[[#This Row],[Poste 1]:[Poste 6]])</f>
        <v>0</v>
      </c>
      <c r="R1571" s="71"/>
      <c r="S1571" s="68">
        <f>_xlfn.CEILING.MATH(Devis[[#This Row],[Quantité Totale]],Devis[[#This Row],[Conditionnement]])</f>
        <v>0</v>
      </c>
      <c r="T1571" s="72"/>
      <c r="U1571" s="106"/>
      <c r="V1571" s="74">
        <f>Devis[[#This Row],[Prix de Revient]]*Devis[[#This Row],[Poste 1]]</f>
        <v>0</v>
      </c>
      <c r="W1571" s="74">
        <f>Devis[[#This Row],[Prix de Revient]]*Devis[[#This Row],[Poste 2]]</f>
        <v>0</v>
      </c>
      <c r="X1571" s="74">
        <f>Devis[[#This Row],[Prix de Revient]]*Devis[[#This Row],[Poste 3]]</f>
        <v>0</v>
      </c>
      <c r="Y1571" s="74">
        <f>Devis[[#This Row],[Poste 4]]*Devis[[#This Row],[Prix de Revient]]</f>
        <v>0</v>
      </c>
      <c r="Z1571" s="74">
        <f>Devis[[#This Row],[Poste 5]]*Devis[[#This Row],[Prix de Revient]]</f>
        <v>0</v>
      </c>
      <c r="AA1571" s="74">
        <f>Devis[[#This Row],[Prix de Revient]]*Devis[[#This Row],[Poste 6]]</f>
        <v>0</v>
      </c>
      <c r="AB1571" s="74">
        <f>Devis[[#This Row],[Quantité Totale]]*Devis[[#This Row],[Prix de Revient]]</f>
        <v>0</v>
      </c>
    </row>
    <row r="1572" spans="1:28" ht="14.25" outlineLevel="1" x14ac:dyDescent="0.2">
      <c r="A1572" s="75" t="s">
        <v>3557</v>
      </c>
      <c r="B1572" s="76" t="s">
        <v>1313</v>
      </c>
      <c r="C1572" s="76"/>
      <c r="D1572" s="81" t="str">
        <f t="shared" si="28"/>
        <v>GalvaTube galva</v>
      </c>
      <c r="E1572" s="76" t="s">
        <v>20</v>
      </c>
      <c r="F1572" s="81">
        <v>3</v>
      </c>
      <c r="G1572" s="86" t="s">
        <v>1319</v>
      </c>
      <c r="H1572" s="71"/>
      <c r="I1572" s="75"/>
      <c r="J1572" s="70">
        <f>IFERROR(VLOOKUP(Devis[[#This Row],[Ref Air Flux]],#REF!,3,FALSE),0)</f>
        <v>0</v>
      </c>
      <c r="K1572" s="68"/>
      <c r="L1572" s="68"/>
      <c r="M1572" s="68"/>
      <c r="N1572" s="68"/>
      <c r="O1572" s="68"/>
      <c r="P1572" s="68"/>
      <c r="Q1572" s="68">
        <f>SUM(Devis[[#This Row],[Poste 1]:[Poste 6]])</f>
        <v>0</v>
      </c>
      <c r="R1572" s="71"/>
      <c r="S1572" s="68">
        <f>_xlfn.CEILING.MATH(Devis[[#This Row],[Quantité Totale]],Devis[[#This Row],[Conditionnement]])</f>
        <v>0</v>
      </c>
      <c r="T1572" s="72"/>
      <c r="U1572" s="106"/>
      <c r="V1572" s="74">
        <f>Devis[[#This Row],[Prix de Revient]]*Devis[[#This Row],[Poste 1]]</f>
        <v>0</v>
      </c>
      <c r="W1572" s="74">
        <f>Devis[[#This Row],[Prix de Revient]]*Devis[[#This Row],[Poste 2]]</f>
        <v>0</v>
      </c>
      <c r="X1572" s="74">
        <f>Devis[[#This Row],[Prix de Revient]]*Devis[[#This Row],[Poste 3]]</f>
        <v>0</v>
      </c>
      <c r="Y1572" s="74">
        <f>Devis[[#This Row],[Poste 4]]*Devis[[#This Row],[Prix de Revient]]</f>
        <v>0</v>
      </c>
      <c r="Z1572" s="74">
        <f>Devis[[#This Row],[Poste 5]]*Devis[[#This Row],[Prix de Revient]]</f>
        <v>0</v>
      </c>
      <c r="AA1572" s="74">
        <f>Devis[[#This Row],[Prix de Revient]]*Devis[[#This Row],[Poste 6]]</f>
        <v>0</v>
      </c>
      <c r="AB1572" s="74">
        <f>Devis[[#This Row],[Quantité Totale]]*Devis[[#This Row],[Prix de Revient]]</f>
        <v>0</v>
      </c>
    </row>
    <row r="1573" spans="1:28" ht="14.25" outlineLevel="1" x14ac:dyDescent="0.2">
      <c r="A1573" s="75" t="s">
        <v>3557</v>
      </c>
      <c r="B1573" s="76" t="s">
        <v>1313</v>
      </c>
      <c r="C1573" s="76"/>
      <c r="D1573" s="81" t="str">
        <f t="shared" si="28"/>
        <v>GalvaTube galva</v>
      </c>
      <c r="E1573" s="80" t="s">
        <v>17</v>
      </c>
      <c r="F1573" s="81">
        <v>4</v>
      </c>
      <c r="G1573" s="86" t="s">
        <v>1322</v>
      </c>
      <c r="H1573" s="71"/>
      <c r="I1573" s="75"/>
      <c r="J1573" s="70">
        <f>IFERROR(VLOOKUP(Devis[[#This Row],[Ref Air Flux]],#REF!,3,FALSE),0)</f>
        <v>0</v>
      </c>
      <c r="K1573" s="68"/>
      <c r="L1573" s="68"/>
      <c r="M1573" s="68"/>
      <c r="N1573" s="68"/>
      <c r="O1573" s="68"/>
      <c r="P1573" s="68"/>
      <c r="Q1573" s="68">
        <f>SUM(Devis[[#This Row],[Poste 1]:[Poste 6]])</f>
        <v>0</v>
      </c>
      <c r="R1573" s="71"/>
      <c r="S1573" s="68">
        <f>_xlfn.CEILING.MATH(Devis[[#This Row],[Quantité Totale]],Devis[[#This Row],[Conditionnement]])</f>
        <v>0</v>
      </c>
      <c r="T1573" s="72"/>
      <c r="U1573" s="106"/>
      <c r="V1573" s="74">
        <f>Devis[[#This Row],[Prix de Revient]]*Devis[[#This Row],[Poste 1]]</f>
        <v>0</v>
      </c>
      <c r="W1573" s="74">
        <f>Devis[[#This Row],[Prix de Revient]]*Devis[[#This Row],[Poste 2]]</f>
        <v>0</v>
      </c>
      <c r="X1573" s="74">
        <f>Devis[[#This Row],[Prix de Revient]]*Devis[[#This Row],[Poste 3]]</f>
        <v>0</v>
      </c>
      <c r="Y1573" s="74">
        <f>Devis[[#This Row],[Poste 4]]*Devis[[#This Row],[Prix de Revient]]</f>
        <v>0</v>
      </c>
      <c r="Z1573" s="74">
        <f>Devis[[#This Row],[Poste 5]]*Devis[[#This Row],[Prix de Revient]]</f>
        <v>0</v>
      </c>
      <c r="AA1573" s="74">
        <f>Devis[[#This Row],[Prix de Revient]]*Devis[[#This Row],[Poste 6]]</f>
        <v>0</v>
      </c>
      <c r="AB1573" s="74">
        <f>Devis[[#This Row],[Quantité Totale]]*Devis[[#This Row],[Prix de Revient]]</f>
        <v>0</v>
      </c>
    </row>
    <row r="1574" spans="1:28" ht="14.25" customHeight="1" outlineLevel="1" x14ac:dyDescent="0.2">
      <c r="A1574" s="75" t="s">
        <v>3557</v>
      </c>
      <c r="B1574" s="76" t="s">
        <v>1313</v>
      </c>
      <c r="C1574" s="76"/>
      <c r="D1574" s="81" t="str">
        <f t="shared" si="28"/>
        <v>GalvaTube galva</v>
      </c>
      <c r="E1574" s="76" t="s">
        <v>0</v>
      </c>
      <c r="F1574" s="81">
        <v>5</v>
      </c>
      <c r="G1574" s="86" t="s">
        <v>1317</v>
      </c>
      <c r="H1574" s="71"/>
      <c r="I1574" s="75"/>
      <c r="J1574" s="70">
        <f>IFERROR(VLOOKUP(Devis[[#This Row],[Ref Air Flux]],#REF!,3,FALSE),0)</f>
        <v>0</v>
      </c>
      <c r="K1574" s="68"/>
      <c r="L1574" s="68"/>
      <c r="M1574" s="68"/>
      <c r="N1574" s="68"/>
      <c r="O1574" s="68"/>
      <c r="P1574" s="68"/>
      <c r="Q1574" s="68">
        <f>SUM(Devis[[#This Row],[Poste 1]:[Poste 6]])</f>
        <v>0</v>
      </c>
      <c r="R1574" s="71"/>
      <c r="S1574" s="68">
        <f>_xlfn.CEILING.MATH(Devis[[#This Row],[Quantité Totale]],Devis[[#This Row],[Conditionnement]])</f>
        <v>0</v>
      </c>
      <c r="T1574" s="72"/>
      <c r="U1574" s="106"/>
      <c r="V1574" s="74">
        <f>Devis[[#This Row],[Prix de Revient]]*Devis[[#This Row],[Poste 1]]</f>
        <v>0</v>
      </c>
      <c r="W1574" s="74">
        <f>Devis[[#This Row],[Prix de Revient]]*Devis[[#This Row],[Poste 2]]</f>
        <v>0</v>
      </c>
      <c r="X1574" s="74">
        <f>Devis[[#This Row],[Prix de Revient]]*Devis[[#This Row],[Poste 3]]</f>
        <v>0</v>
      </c>
      <c r="Y1574" s="74">
        <f>Devis[[#This Row],[Poste 4]]*Devis[[#This Row],[Prix de Revient]]</f>
        <v>0</v>
      </c>
      <c r="Z1574" s="74">
        <f>Devis[[#This Row],[Poste 5]]*Devis[[#This Row],[Prix de Revient]]</f>
        <v>0</v>
      </c>
      <c r="AA1574" s="74">
        <f>Devis[[#This Row],[Prix de Revient]]*Devis[[#This Row],[Poste 6]]</f>
        <v>0</v>
      </c>
      <c r="AB1574" s="74">
        <f>Devis[[#This Row],[Quantité Totale]]*Devis[[#This Row],[Prix de Revient]]</f>
        <v>0</v>
      </c>
    </row>
    <row r="1575" spans="1:28" ht="14.25" outlineLevel="1" x14ac:dyDescent="0.2">
      <c r="A1575" s="75" t="s">
        <v>3557</v>
      </c>
      <c r="B1575" s="76" t="s">
        <v>1313</v>
      </c>
      <c r="C1575" s="76"/>
      <c r="D1575" s="81" t="str">
        <f t="shared" si="28"/>
        <v>GalvaTube galva</v>
      </c>
      <c r="E1575" s="76" t="s">
        <v>49</v>
      </c>
      <c r="F1575" s="81">
        <v>6</v>
      </c>
      <c r="G1575" s="86" t="s">
        <v>1316</v>
      </c>
      <c r="H1575" s="71"/>
      <c r="I1575" s="75"/>
      <c r="J1575" s="70">
        <f>IFERROR(VLOOKUP(Devis[[#This Row],[Ref Air Flux]],#REF!,3,FALSE),0)</f>
        <v>0</v>
      </c>
      <c r="K1575" s="68"/>
      <c r="L1575" s="68"/>
      <c r="M1575" s="68"/>
      <c r="N1575" s="68"/>
      <c r="O1575" s="68"/>
      <c r="P1575" s="68"/>
      <c r="Q1575" s="68">
        <f>SUM(Devis[[#This Row],[Poste 1]:[Poste 6]])</f>
        <v>0</v>
      </c>
      <c r="R1575" s="71"/>
      <c r="S1575" s="68">
        <f>_xlfn.CEILING.MATH(Devis[[#This Row],[Quantité Totale]],Devis[[#This Row],[Conditionnement]])</f>
        <v>0</v>
      </c>
      <c r="T1575" s="72"/>
      <c r="U1575" s="106"/>
      <c r="V1575" s="74">
        <f>Devis[[#This Row],[Prix de Revient]]*Devis[[#This Row],[Poste 1]]</f>
        <v>0</v>
      </c>
      <c r="W1575" s="74">
        <f>Devis[[#This Row],[Prix de Revient]]*Devis[[#This Row],[Poste 2]]</f>
        <v>0</v>
      </c>
      <c r="X1575" s="74">
        <f>Devis[[#This Row],[Prix de Revient]]*Devis[[#This Row],[Poste 3]]</f>
        <v>0</v>
      </c>
      <c r="Y1575" s="74">
        <f>Devis[[#This Row],[Poste 4]]*Devis[[#This Row],[Prix de Revient]]</f>
        <v>0</v>
      </c>
      <c r="Z1575" s="74">
        <f>Devis[[#This Row],[Poste 5]]*Devis[[#This Row],[Prix de Revient]]</f>
        <v>0</v>
      </c>
      <c r="AA1575" s="74">
        <f>Devis[[#This Row],[Prix de Revient]]*Devis[[#This Row],[Poste 6]]</f>
        <v>0</v>
      </c>
      <c r="AB1575" s="74">
        <f>Devis[[#This Row],[Quantité Totale]]*Devis[[#This Row],[Prix de Revient]]</f>
        <v>0</v>
      </c>
    </row>
    <row r="1576" spans="1:28" ht="14.25" outlineLevel="1" x14ac:dyDescent="0.2">
      <c r="A1576" s="75" t="s">
        <v>3557</v>
      </c>
      <c r="B1576" s="76" t="s">
        <v>1313</v>
      </c>
      <c r="C1576" s="76"/>
      <c r="D1576" s="81" t="str">
        <f t="shared" si="28"/>
        <v>GalvaTube galva</v>
      </c>
      <c r="E1576" s="76" t="s">
        <v>22</v>
      </c>
      <c r="F1576" s="81">
        <v>7</v>
      </c>
      <c r="G1576" s="86" t="s">
        <v>1315</v>
      </c>
      <c r="H1576" s="71"/>
      <c r="I1576" s="75"/>
      <c r="J1576" s="70">
        <f>IFERROR(VLOOKUP(Devis[[#This Row],[Ref Air Flux]],#REF!,3,FALSE),0)</f>
        <v>0</v>
      </c>
      <c r="K1576" s="68"/>
      <c r="L1576" s="68"/>
      <c r="M1576" s="68"/>
      <c r="N1576" s="68"/>
      <c r="O1576" s="68"/>
      <c r="P1576" s="68"/>
      <c r="Q1576" s="68">
        <f>SUM(Devis[[#This Row],[Poste 1]:[Poste 6]])</f>
        <v>0</v>
      </c>
      <c r="R1576" s="71"/>
      <c r="S1576" s="68">
        <f>_xlfn.CEILING.MATH(Devis[[#This Row],[Quantité Totale]],Devis[[#This Row],[Conditionnement]])</f>
        <v>0</v>
      </c>
      <c r="T1576" s="72"/>
      <c r="U1576" s="106"/>
      <c r="V1576" s="74">
        <f>Devis[[#This Row],[Prix de Revient]]*Devis[[#This Row],[Poste 1]]</f>
        <v>0</v>
      </c>
      <c r="W1576" s="74">
        <f>Devis[[#This Row],[Prix de Revient]]*Devis[[#This Row],[Poste 2]]</f>
        <v>0</v>
      </c>
      <c r="X1576" s="74">
        <f>Devis[[#This Row],[Prix de Revient]]*Devis[[#This Row],[Poste 3]]</f>
        <v>0</v>
      </c>
      <c r="Y1576" s="74">
        <f>Devis[[#This Row],[Poste 4]]*Devis[[#This Row],[Prix de Revient]]</f>
        <v>0</v>
      </c>
      <c r="Z1576" s="74">
        <f>Devis[[#This Row],[Poste 5]]*Devis[[#This Row],[Prix de Revient]]</f>
        <v>0</v>
      </c>
      <c r="AA1576" s="74">
        <f>Devis[[#This Row],[Prix de Revient]]*Devis[[#This Row],[Poste 6]]</f>
        <v>0</v>
      </c>
      <c r="AB1576" s="74">
        <f>Devis[[#This Row],[Quantité Totale]]*Devis[[#This Row],[Prix de Revient]]</f>
        <v>0</v>
      </c>
    </row>
    <row r="1577" spans="1:28" ht="15" customHeight="1" outlineLevel="1" x14ac:dyDescent="0.2">
      <c r="A1577" s="75" t="s">
        <v>3557</v>
      </c>
      <c r="B1577" s="76" t="s">
        <v>1313</v>
      </c>
      <c r="C1577" s="76"/>
      <c r="D1577" s="81" t="str">
        <f t="shared" si="28"/>
        <v>GalvaTube galva</v>
      </c>
      <c r="E1577" s="80" t="s">
        <v>18</v>
      </c>
      <c r="F1577" s="81">
        <v>8</v>
      </c>
      <c r="G1577" s="86" t="s">
        <v>1321</v>
      </c>
      <c r="H1577" s="71"/>
      <c r="I1577" s="75"/>
      <c r="J1577" s="70">
        <f>IFERROR(VLOOKUP(Devis[[#This Row],[Ref Air Flux]],#REF!,3,FALSE),0)</f>
        <v>0</v>
      </c>
      <c r="K1577" s="68"/>
      <c r="L1577" s="68"/>
      <c r="M1577" s="68"/>
      <c r="N1577" s="68"/>
      <c r="O1577" s="68"/>
      <c r="P1577" s="68"/>
      <c r="Q1577" s="68">
        <f>SUM(Devis[[#This Row],[Poste 1]:[Poste 6]])</f>
        <v>0</v>
      </c>
      <c r="R1577" s="71"/>
      <c r="S1577" s="68">
        <f>_xlfn.CEILING.MATH(Devis[[#This Row],[Quantité Totale]],Devis[[#This Row],[Conditionnement]])</f>
        <v>0</v>
      </c>
      <c r="T1577" s="72"/>
      <c r="U1577" s="106"/>
      <c r="V1577" s="74">
        <f>Devis[[#This Row],[Prix de Revient]]*Devis[[#This Row],[Poste 1]]</f>
        <v>0</v>
      </c>
      <c r="W1577" s="74">
        <f>Devis[[#This Row],[Prix de Revient]]*Devis[[#This Row],[Poste 2]]</f>
        <v>0</v>
      </c>
      <c r="X1577" s="74">
        <f>Devis[[#This Row],[Prix de Revient]]*Devis[[#This Row],[Poste 3]]</f>
        <v>0</v>
      </c>
      <c r="Y1577" s="74">
        <f>Devis[[#This Row],[Poste 4]]*Devis[[#This Row],[Prix de Revient]]</f>
        <v>0</v>
      </c>
      <c r="Z1577" s="74">
        <f>Devis[[#This Row],[Poste 5]]*Devis[[#This Row],[Prix de Revient]]</f>
        <v>0</v>
      </c>
      <c r="AA1577" s="74">
        <f>Devis[[#This Row],[Prix de Revient]]*Devis[[#This Row],[Poste 6]]</f>
        <v>0</v>
      </c>
      <c r="AB1577" s="74">
        <f>Devis[[#This Row],[Quantité Totale]]*Devis[[#This Row],[Prix de Revient]]</f>
        <v>0</v>
      </c>
    </row>
    <row r="1578" spans="1:28" ht="14.25" customHeight="1" outlineLevel="1" x14ac:dyDescent="0.2">
      <c r="A1578" s="75" t="s">
        <v>3557</v>
      </c>
      <c r="B1578" s="76" t="s">
        <v>1313</v>
      </c>
      <c r="C1578" s="76"/>
      <c r="D1578" s="81" t="str">
        <f t="shared" si="28"/>
        <v>GalvaTube galva</v>
      </c>
      <c r="E1578" s="80" t="s">
        <v>16</v>
      </c>
      <c r="F1578" s="81">
        <v>9</v>
      </c>
      <c r="G1578" s="86" t="s">
        <v>1323</v>
      </c>
      <c r="H1578" s="71"/>
      <c r="I1578" s="75"/>
      <c r="J1578" s="70">
        <f>IFERROR(VLOOKUP(Devis[[#This Row],[Ref Air Flux]],#REF!,3,FALSE),0)</f>
        <v>0</v>
      </c>
      <c r="K1578" s="68"/>
      <c r="L1578" s="68"/>
      <c r="M1578" s="68"/>
      <c r="N1578" s="68"/>
      <c r="O1578" s="68"/>
      <c r="P1578" s="68"/>
      <c r="Q1578" s="68">
        <f>SUM(Devis[[#This Row],[Poste 1]:[Poste 6]])</f>
        <v>0</v>
      </c>
      <c r="R1578" s="71"/>
      <c r="S1578" s="68">
        <f>_xlfn.CEILING.MATH(Devis[[#This Row],[Quantité Totale]],Devis[[#This Row],[Conditionnement]])</f>
        <v>0</v>
      </c>
      <c r="T1578" s="72"/>
      <c r="U1578" s="106"/>
      <c r="V1578" s="74">
        <f>Devis[[#This Row],[Prix de Revient]]*Devis[[#This Row],[Poste 1]]</f>
        <v>0</v>
      </c>
      <c r="W1578" s="74">
        <f>Devis[[#This Row],[Prix de Revient]]*Devis[[#This Row],[Poste 2]]</f>
        <v>0</v>
      </c>
      <c r="X1578" s="74">
        <f>Devis[[#This Row],[Prix de Revient]]*Devis[[#This Row],[Poste 3]]</f>
        <v>0</v>
      </c>
      <c r="Y1578" s="74">
        <f>Devis[[#This Row],[Poste 4]]*Devis[[#This Row],[Prix de Revient]]</f>
        <v>0</v>
      </c>
      <c r="Z1578" s="74">
        <f>Devis[[#This Row],[Poste 5]]*Devis[[#This Row],[Prix de Revient]]</f>
        <v>0</v>
      </c>
      <c r="AA1578" s="74">
        <f>Devis[[#This Row],[Prix de Revient]]*Devis[[#This Row],[Poste 6]]</f>
        <v>0</v>
      </c>
      <c r="AB1578" s="74">
        <f>Devis[[#This Row],[Quantité Totale]]*Devis[[#This Row],[Prix de Revient]]</f>
        <v>0</v>
      </c>
    </row>
    <row r="1579" spans="1:28" ht="14.25" customHeight="1" outlineLevel="1" x14ac:dyDescent="0.2">
      <c r="A1579" s="75" t="s">
        <v>3557</v>
      </c>
      <c r="B1579" s="76" t="s">
        <v>1313</v>
      </c>
      <c r="C1579" s="76"/>
      <c r="D1579" s="81" t="str">
        <f t="shared" si="28"/>
        <v>GalvaTube galva</v>
      </c>
      <c r="E1579" s="76" t="s">
        <v>25</v>
      </c>
      <c r="F1579" s="81">
        <v>10</v>
      </c>
      <c r="G1579" s="86" t="s">
        <v>1314</v>
      </c>
      <c r="H1579" s="71"/>
      <c r="I1579" s="75"/>
      <c r="J1579" s="70">
        <f>IFERROR(VLOOKUP(Devis[[#This Row],[Ref Air Flux]],#REF!,3,FALSE),0)</f>
        <v>0</v>
      </c>
      <c r="K1579" s="68"/>
      <c r="L1579" s="68"/>
      <c r="M1579" s="68"/>
      <c r="N1579" s="68"/>
      <c r="O1579" s="68"/>
      <c r="P1579" s="68"/>
      <c r="Q1579" s="68">
        <f>SUM(Devis[[#This Row],[Poste 1]:[Poste 6]])</f>
        <v>0</v>
      </c>
      <c r="R1579" s="71"/>
      <c r="S1579" s="68">
        <f>_xlfn.CEILING.MATH(Devis[[#This Row],[Quantité Totale]],Devis[[#This Row],[Conditionnement]])</f>
        <v>0</v>
      </c>
      <c r="T1579" s="72"/>
      <c r="U1579" s="106"/>
      <c r="V1579" s="74">
        <f>Devis[[#This Row],[Prix de Revient]]*Devis[[#This Row],[Poste 1]]</f>
        <v>0</v>
      </c>
      <c r="W1579" s="74">
        <f>Devis[[#This Row],[Prix de Revient]]*Devis[[#This Row],[Poste 2]]</f>
        <v>0</v>
      </c>
      <c r="X1579" s="74">
        <f>Devis[[#This Row],[Prix de Revient]]*Devis[[#This Row],[Poste 3]]</f>
        <v>0</v>
      </c>
      <c r="Y1579" s="74">
        <f>Devis[[#This Row],[Poste 4]]*Devis[[#This Row],[Prix de Revient]]</f>
        <v>0</v>
      </c>
      <c r="Z1579" s="74">
        <f>Devis[[#This Row],[Poste 5]]*Devis[[#This Row],[Prix de Revient]]</f>
        <v>0</v>
      </c>
      <c r="AA1579" s="74">
        <f>Devis[[#This Row],[Prix de Revient]]*Devis[[#This Row],[Poste 6]]</f>
        <v>0</v>
      </c>
      <c r="AB1579" s="74">
        <f>Devis[[#This Row],[Quantité Totale]]*Devis[[#This Row],[Prix de Revient]]</f>
        <v>0</v>
      </c>
    </row>
    <row r="1580" spans="1:28" ht="14.25" customHeight="1" x14ac:dyDescent="0.25">
      <c r="A1580" s="65" t="s">
        <v>3557</v>
      </c>
      <c r="B1580" s="65" t="s">
        <v>1324</v>
      </c>
      <c r="C1580" s="76"/>
      <c r="D1580" s="81" t="str">
        <f t="shared" si="28"/>
        <v>GalvaUnion MM 344</v>
      </c>
      <c r="E1580" s="76"/>
      <c r="F1580" s="81">
        <v>0</v>
      </c>
      <c r="G1580" s="86"/>
      <c r="H1580" s="71"/>
      <c r="I1580" s="75"/>
      <c r="J1580" s="70">
        <f>IFERROR(VLOOKUP(Devis[[#This Row],[Ref Air Flux]],#REF!,3,FALSE),0)</f>
        <v>0</v>
      </c>
      <c r="K1580" s="68"/>
      <c r="L1580" s="68"/>
      <c r="M1580" s="68"/>
      <c r="N1580" s="68"/>
      <c r="O1580" s="68"/>
      <c r="P1580" s="68"/>
      <c r="Q1580" s="68">
        <f>SUM(Devis[[#This Row],[Poste 1]:[Poste 6]])</f>
        <v>0</v>
      </c>
      <c r="R1580" s="71"/>
      <c r="S1580" s="68">
        <f>_xlfn.CEILING.MATH(Devis[[#This Row],[Quantité Totale]],Devis[[#This Row],[Conditionnement]])</f>
        <v>0</v>
      </c>
      <c r="T1580" s="72"/>
      <c r="U1580" s="106"/>
      <c r="V1580" s="74">
        <f>Devis[[#This Row],[Prix de Revient]]*Devis[[#This Row],[Poste 1]]</f>
        <v>0</v>
      </c>
      <c r="W1580" s="74">
        <f>Devis[[#This Row],[Prix de Revient]]*Devis[[#This Row],[Poste 2]]</f>
        <v>0</v>
      </c>
      <c r="X1580" s="74">
        <f>Devis[[#This Row],[Prix de Revient]]*Devis[[#This Row],[Poste 3]]</f>
        <v>0</v>
      </c>
      <c r="Y1580" s="74">
        <f>Devis[[#This Row],[Poste 4]]*Devis[[#This Row],[Prix de Revient]]</f>
        <v>0</v>
      </c>
      <c r="Z1580" s="74">
        <f>Devis[[#This Row],[Poste 5]]*Devis[[#This Row],[Prix de Revient]]</f>
        <v>0</v>
      </c>
      <c r="AA1580" s="74">
        <f>Devis[[#This Row],[Prix de Revient]]*Devis[[#This Row],[Poste 6]]</f>
        <v>0</v>
      </c>
      <c r="AB1580" s="74">
        <f>Devis[[#This Row],[Quantité Totale]]*Devis[[#This Row],[Prix de Revient]]</f>
        <v>0</v>
      </c>
    </row>
    <row r="1581" spans="1:28" ht="14.25" outlineLevel="1" x14ac:dyDescent="0.2">
      <c r="A1581" s="75" t="s">
        <v>3557</v>
      </c>
      <c r="B1581" s="76" t="s">
        <v>1324</v>
      </c>
      <c r="C1581" s="76"/>
      <c r="D1581" s="81" t="str">
        <f t="shared" si="28"/>
        <v>GalvaUnion MM 344</v>
      </c>
      <c r="E1581" s="76" t="s">
        <v>19</v>
      </c>
      <c r="F1581" s="81">
        <v>1</v>
      </c>
      <c r="G1581" s="86" t="s">
        <v>1333</v>
      </c>
      <c r="H1581" s="71"/>
      <c r="I1581" s="75"/>
      <c r="J1581" s="70">
        <f>IFERROR(VLOOKUP(Devis[[#This Row],[Ref Air Flux]],#REF!,3,FALSE),0)</f>
        <v>0</v>
      </c>
      <c r="K1581" s="68"/>
      <c r="L1581" s="68"/>
      <c r="M1581" s="68"/>
      <c r="N1581" s="68"/>
      <c r="O1581" s="68"/>
      <c r="P1581" s="68"/>
      <c r="Q1581" s="68">
        <f>SUM(Devis[[#This Row],[Poste 1]:[Poste 6]])</f>
        <v>0</v>
      </c>
      <c r="R1581" s="71"/>
      <c r="S1581" s="68">
        <f>_xlfn.CEILING.MATH(Devis[[#This Row],[Quantité Totale]],Devis[[#This Row],[Conditionnement]])</f>
        <v>0</v>
      </c>
      <c r="T1581" s="72"/>
      <c r="U1581" s="106"/>
      <c r="V1581" s="74">
        <f>Devis[[#This Row],[Prix de Revient]]*Devis[[#This Row],[Poste 1]]</f>
        <v>0</v>
      </c>
      <c r="W1581" s="74">
        <f>Devis[[#This Row],[Prix de Revient]]*Devis[[#This Row],[Poste 2]]</f>
        <v>0</v>
      </c>
      <c r="X1581" s="74">
        <f>Devis[[#This Row],[Prix de Revient]]*Devis[[#This Row],[Poste 3]]</f>
        <v>0</v>
      </c>
      <c r="Y1581" s="74">
        <f>Devis[[#This Row],[Poste 4]]*Devis[[#This Row],[Prix de Revient]]</f>
        <v>0</v>
      </c>
      <c r="Z1581" s="74">
        <f>Devis[[#This Row],[Poste 5]]*Devis[[#This Row],[Prix de Revient]]</f>
        <v>0</v>
      </c>
      <c r="AA1581" s="74">
        <f>Devis[[#This Row],[Prix de Revient]]*Devis[[#This Row],[Poste 6]]</f>
        <v>0</v>
      </c>
      <c r="AB1581" s="74">
        <f>Devis[[#This Row],[Quantité Totale]]*Devis[[#This Row],[Prix de Revient]]</f>
        <v>0</v>
      </c>
    </row>
    <row r="1582" spans="1:28" ht="14.25" outlineLevel="1" x14ac:dyDescent="0.2">
      <c r="A1582" s="75" t="s">
        <v>3557</v>
      </c>
      <c r="B1582" s="76" t="s">
        <v>1324</v>
      </c>
      <c r="C1582" s="76"/>
      <c r="D1582" s="81" t="str">
        <f t="shared" si="28"/>
        <v>GalvaUnion MM 344</v>
      </c>
      <c r="E1582" s="76" t="s">
        <v>21</v>
      </c>
      <c r="F1582" s="81">
        <v>2</v>
      </c>
      <c r="G1582" s="86" t="s">
        <v>1331</v>
      </c>
      <c r="H1582" s="71"/>
      <c r="I1582" s="75"/>
      <c r="J1582" s="70">
        <f>IFERROR(VLOOKUP(Devis[[#This Row],[Ref Air Flux]],#REF!,3,FALSE),0)</f>
        <v>0</v>
      </c>
      <c r="K1582" s="68"/>
      <c r="L1582" s="68"/>
      <c r="M1582" s="68"/>
      <c r="N1582" s="68"/>
      <c r="O1582" s="68"/>
      <c r="P1582" s="68"/>
      <c r="Q1582" s="68">
        <f>SUM(Devis[[#This Row],[Poste 1]:[Poste 6]])</f>
        <v>0</v>
      </c>
      <c r="R1582" s="71"/>
      <c r="S1582" s="68">
        <f>_xlfn.CEILING.MATH(Devis[[#This Row],[Quantité Totale]],Devis[[#This Row],[Conditionnement]])</f>
        <v>0</v>
      </c>
      <c r="T1582" s="72"/>
      <c r="U1582" s="106"/>
      <c r="V1582" s="74">
        <f>Devis[[#This Row],[Prix de Revient]]*Devis[[#This Row],[Poste 1]]</f>
        <v>0</v>
      </c>
      <c r="W1582" s="74">
        <f>Devis[[#This Row],[Prix de Revient]]*Devis[[#This Row],[Poste 2]]</f>
        <v>0</v>
      </c>
      <c r="X1582" s="74">
        <f>Devis[[#This Row],[Prix de Revient]]*Devis[[#This Row],[Poste 3]]</f>
        <v>0</v>
      </c>
      <c r="Y1582" s="74">
        <f>Devis[[#This Row],[Poste 4]]*Devis[[#This Row],[Prix de Revient]]</f>
        <v>0</v>
      </c>
      <c r="Z1582" s="74">
        <f>Devis[[#This Row],[Poste 5]]*Devis[[#This Row],[Prix de Revient]]</f>
        <v>0</v>
      </c>
      <c r="AA1582" s="74">
        <f>Devis[[#This Row],[Prix de Revient]]*Devis[[#This Row],[Poste 6]]</f>
        <v>0</v>
      </c>
      <c r="AB1582" s="74">
        <f>Devis[[#This Row],[Quantité Totale]]*Devis[[#This Row],[Prix de Revient]]</f>
        <v>0</v>
      </c>
    </row>
    <row r="1583" spans="1:28" ht="14.25" outlineLevel="1" x14ac:dyDescent="0.2">
      <c r="A1583" s="75" t="s">
        <v>3557</v>
      </c>
      <c r="B1583" s="76" t="s">
        <v>1324</v>
      </c>
      <c r="C1583" s="76"/>
      <c r="D1583" s="81" t="str">
        <f t="shared" si="28"/>
        <v>GalvaUnion MM 344</v>
      </c>
      <c r="E1583" s="76" t="s">
        <v>20</v>
      </c>
      <c r="F1583" s="81">
        <v>3</v>
      </c>
      <c r="G1583" s="86" t="s">
        <v>1332</v>
      </c>
      <c r="H1583" s="71"/>
      <c r="I1583" s="75"/>
      <c r="J1583" s="70">
        <f>IFERROR(VLOOKUP(Devis[[#This Row],[Ref Air Flux]],#REF!,3,FALSE),0)</f>
        <v>0</v>
      </c>
      <c r="K1583" s="68"/>
      <c r="L1583" s="68"/>
      <c r="M1583" s="68"/>
      <c r="N1583" s="68"/>
      <c r="O1583" s="68"/>
      <c r="P1583" s="68"/>
      <c r="Q1583" s="68">
        <f>SUM(Devis[[#This Row],[Poste 1]:[Poste 6]])</f>
        <v>0</v>
      </c>
      <c r="R1583" s="71"/>
      <c r="S1583" s="68">
        <f>_xlfn.CEILING.MATH(Devis[[#This Row],[Quantité Totale]],Devis[[#This Row],[Conditionnement]])</f>
        <v>0</v>
      </c>
      <c r="T1583" s="72"/>
      <c r="U1583" s="106"/>
      <c r="V1583" s="74">
        <f>Devis[[#This Row],[Prix de Revient]]*Devis[[#This Row],[Poste 1]]</f>
        <v>0</v>
      </c>
      <c r="W1583" s="74">
        <f>Devis[[#This Row],[Prix de Revient]]*Devis[[#This Row],[Poste 2]]</f>
        <v>0</v>
      </c>
      <c r="X1583" s="74">
        <f>Devis[[#This Row],[Prix de Revient]]*Devis[[#This Row],[Poste 3]]</f>
        <v>0</v>
      </c>
      <c r="Y1583" s="74">
        <f>Devis[[#This Row],[Poste 4]]*Devis[[#This Row],[Prix de Revient]]</f>
        <v>0</v>
      </c>
      <c r="Z1583" s="74">
        <f>Devis[[#This Row],[Poste 5]]*Devis[[#This Row],[Prix de Revient]]</f>
        <v>0</v>
      </c>
      <c r="AA1583" s="74">
        <f>Devis[[#This Row],[Prix de Revient]]*Devis[[#This Row],[Poste 6]]</f>
        <v>0</v>
      </c>
      <c r="AB1583" s="74">
        <f>Devis[[#This Row],[Quantité Totale]]*Devis[[#This Row],[Prix de Revient]]</f>
        <v>0</v>
      </c>
    </row>
    <row r="1584" spans="1:28" ht="15" customHeight="1" outlineLevel="1" x14ac:dyDescent="0.2">
      <c r="A1584" s="75" t="s">
        <v>3557</v>
      </c>
      <c r="B1584" s="76" t="s">
        <v>1324</v>
      </c>
      <c r="C1584" s="76"/>
      <c r="D1584" s="81" t="str">
        <f t="shared" si="28"/>
        <v>GalvaUnion MM 344</v>
      </c>
      <c r="E1584" s="80" t="s">
        <v>17</v>
      </c>
      <c r="F1584" s="81">
        <v>4</v>
      </c>
      <c r="G1584" s="86" t="s">
        <v>1335</v>
      </c>
      <c r="H1584" s="71"/>
      <c r="I1584" s="105"/>
      <c r="J1584" s="70">
        <f>IFERROR(VLOOKUP(Devis[[#This Row],[Ref Air Flux]],#REF!,3,FALSE),0)</f>
        <v>0</v>
      </c>
      <c r="K1584" s="68"/>
      <c r="L1584" s="68"/>
      <c r="M1584" s="68"/>
      <c r="N1584" s="68"/>
      <c r="O1584" s="68"/>
      <c r="P1584" s="68"/>
      <c r="Q1584" s="68">
        <f>SUM(Devis[[#This Row],[Poste 1]:[Poste 6]])</f>
        <v>0</v>
      </c>
      <c r="R1584" s="71"/>
      <c r="S1584" s="68">
        <f>_xlfn.CEILING.MATH(Devis[[#This Row],[Quantité Totale]],Devis[[#This Row],[Conditionnement]])</f>
        <v>0</v>
      </c>
      <c r="T1584" s="72"/>
      <c r="U1584" s="106"/>
      <c r="V1584" s="74">
        <f>Devis[[#This Row],[Prix de Revient]]*Devis[[#This Row],[Poste 1]]</f>
        <v>0</v>
      </c>
      <c r="W1584" s="74">
        <f>Devis[[#This Row],[Prix de Revient]]*Devis[[#This Row],[Poste 2]]</f>
        <v>0</v>
      </c>
      <c r="X1584" s="74">
        <f>Devis[[#This Row],[Prix de Revient]]*Devis[[#This Row],[Poste 3]]</f>
        <v>0</v>
      </c>
      <c r="Y1584" s="74">
        <f>Devis[[#This Row],[Poste 4]]*Devis[[#This Row],[Prix de Revient]]</f>
        <v>0</v>
      </c>
      <c r="Z1584" s="74">
        <f>Devis[[#This Row],[Poste 5]]*Devis[[#This Row],[Prix de Revient]]</f>
        <v>0</v>
      </c>
      <c r="AA1584" s="74">
        <f>Devis[[#This Row],[Prix de Revient]]*Devis[[#This Row],[Poste 6]]</f>
        <v>0</v>
      </c>
      <c r="AB1584" s="74">
        <f>Devis[[#This Row],[Quantité Totale]]*Devis[[#This Row],[Prix de Revient]]</f>
        <v>0</v>
      </c>
    </row>
    <row r="1585" spans="1:28" ht="14.25" customHeight="1" outlineLevel="1" x14ac:dyDescent="0.2">
      <c r="A1585" s="75" t="s">
        <v>3557</v>
      </c>
      <c r="B1585" s="76" t="s">
        <v>1324</v>
      </c>
      <c r="C1585" s="76"/>
      <c r="D1585" s="81" t="str">
        <f t="shared" si="28"/>
        <v>GalvaUnion MM 344</v>
      </c>
      <c r="E1585" s="76" t="s">
        <v>1325</v>
      </c>
      <c r="F1585" s="81">
        <v>5</v>
      </c>
      <c r="G1585" s="86" t="s">
        <v>1326</v>
      </c>
      <c r="H1585" s="71"/>
      <c r="I1585" s="75"/>
      <c r="J1585" s="70">
        <f>IFERROR(VLOOKUP(Devis[[#This Row],[Ref Air Flux]],#REF!,3,FALSE),0)</f>
        <v>0</v>
      </c>
      <c r="K1585" s="68"/>
      <c r="L1585" s="68"/>
      <c r="M1585" s="68"/>
      <c r="N1585" s="68"/>
      <c r="O1585" s="68"/>
      <c r="P1585" s="68"/>
      <c r="Q1585" s="68">
        <f>SUM(Devis[[#This Row],[Poste 1]:[Poste 6]])</f>
        <v>0</v>
      </c>
      <c r="R1585" s="71"/>
      <c r="S1585" s="68">
        <f>_xlfn.CEILING.MATH(Devis[[#This Row],[Quantité Totale]],Devis[[#This Row],[Conditionnement]])</f>
        <v>0</v>
      </c>
      <c r="T1585" s="72"/>
      <c r="U1585" s="106"/>
      <c r="V1585" s="74">
        <f>Devis[[#This Row],[Prix de Revient]]*Devis[[#This Row],[Poste 1]]</f>
        <v>0</v>
      </c>
      <c r="W1585" s="74">
        <f>Devis[[#This Row],[Prix de Revient]]*Devis[[#This Row],[Poste 2]]</f>
        <v>0</v>
      </c>
      <c r="X1585" s="74">
        <f>Devis[[#This Row],[Prix de Revient]]*Devis[[#This Row],[Poste 3]]</f>
        <v>0</v>
      </c>
      <c r="Y1585" s="74">
        <f>Devis[[#This Row],[Poste 4]]*Devis[[#This Row],[Prix de Revient]]</f>
        <v>0</v>
      </c>
      <c r="Z1585" s="74">
        <f>Devis[[#This Row],[Poste 5]]*Devis[[#This Row],[Prix de Revient]]</f>
        <v>0</v>
      </c>
      <c r="AA1585" s="74">
        <f>Devis[[#This Row],[Prix de Revient]]*Devis[[#This Row],[Poste 6]]</f>
        <v>0</v>
      </c>
      <c r="AB1585" s="74">
        <f>Devis[[#This Row],[Quantité Totale]]*Devis[[#This Row],[Prix de Revient]]</f>
        <v>0</v>
      </c>
    </row>
    <row r="1586" spans="1:28" ht="14.25" customHeight="1" outlineLevel="1" x14ac:dyDescent="0.2">
      <c r="A1586" s="75" t="s">
        <v>3557</v>
      </c>
      <c r="B1586" s="76" t="s">
        <v>1324</v>
      </c>
      <c r="C1586" s="76"/>
      <c r="D1586" s="81" t="str">
        <f t="shared" si="28"/>
        <v>GalvaUnion MM 344</v>
      </c>
      <c r="E1586" s="76" t="s">
        <v>0</v>
      </c>
      <c r="F1586" s="81">
        <v>6</v>
      </c>
      <c r="G1586" s="86" t="s">
        <v>1330</v>
      </c>
      <c r="H1586" s="71"/>
      <c r="I1586" s="75"/>
      <c r="J1586" s="70">
        <f>IFERROR(VLOOKUP(Devis[[#This Row],[Ref Air Flux]],#REF!,3,FALSE),0)</f>
        <v>0</v>
      </c>
      <c r="K1586" s="68"/>
      <c r="L1586" s="68"/>
      <c r="M1586" s="68"/>
      <c r="N1586" s="68"/>
      <c r="O1586" s="68"/>
      <c r="P1586" s="68"/>
      <c r="Q1586" s="68">
        <f>SUM(Devis[[#This Row],[Poste 1]:[Poste 6]])</f>
        <v>0</v>
      </c>
      <c r="R1586" s="71"/>
      <c r="S1586" s="68">
        <f>_xlfn.CEILING.MATH(Devis[[#This Row],[Quantité Totale]],Devis[[#This Row],[Conditionnement]])</f>
        <v>0</v>
      </c>
      <c r="T1586" s="72"/>
      <c r="U1586" s="106"/>
      <c r="V1586" s="74">
        <f>Devis[[#This Row],[Prix de Revient]]*Devis[[#This Row],[Poste 1]]</f>
        <v>0</v>
      </c>
      <c r="W1586" s="74">
        <f>Devis[[#This Row],[Prix de Revient]]*Devis[[#This Row],[Poste 2]]</f>
        <v>0</v>
      </c>
      <c r="X1586" s="74">
        <f>Devis[[#This Row],[Prix de Revient]]*Devis[[#This Row],[Poste 3]]</f>
        <v>0</v>
      </c>
      <c r="Y1586" s="74">
        <f>Devis[[#This Row],[Poste 4]]*Devis[[#This Row],[Prix de Revient]]</f>
        <v>0</v>
      </c>
      <c r="Z1586" s="74">
        <f>Devis[[#This Row],[Poste 5]]*Devis[[#This Row],[Prix de Revient]]</f>
        <v>0</v>
      </c>
      <c r="AA1586" s="74">
        <f>Devis[[#This Row],[Prix de Revient]]*Devis[[#This Row],[Poste 6]]</f>
        <v>0</v>
      </c>
      <c r="AB1586" s="74">
        <f>Devis[[#This Row],[Quantité Totale]]*Devis[[#This Row],[Prix de Revient]]</f>
        <v>0</v>
      </c>
    </row>
    <row r="1587" spans="1:28" ht="14.25" outlineLevel="1" x14ac:dyDescent="0.2">
      <c r="A1587" s="75" t="s">
        <v>3557</v>
      </c>
      <c r="B1587" s="76" t="s">
        <v>1324</v>
      </c>
      <c r="C1587" s="76"/>
      <c r="D1587" s="81" t="str">
        <f t="shared" si="28"/>
        <v>GalvaUnion MM 344</v>
      </c>
      <c r="E1587" s="76" t="s">
        <v>49</v>
      </c>
      <c r="F1587" s="81">
        <v>7</v>
      </c>
      <c r="G1587" s="86" t="s">
        <v>1329</v>
      </c>
      <c r="H1587" s="71"/>
      <c r="I1587" s="75"/>
      <c r="J1587" s="70">
        <f>IFERROR(VLOOKUP(Devis[[#This Row],[Ref Air Flux]],#REF!,3,FALSE),0)</f>
        <v>0</v>
      </c>
      <c r="K1587" s="68"/>
      <c r="L1587" s="68"/>
      <c r="M1587" s="68"/>
      <c r="N1587" s="68"/>
      <c r="O1587" s="68"/>
      <c r="P1587" s="68"/>
      <c r="Q1587" s="68">
        <f>SUM(Devis[[#This Row],[Poste 1]:[Poste 6]])</f>
        <v>0</v>
      </c>
      <c r="R1587" s="71"/>
      <c r="S1587" s="68">
        <f>_xlfn.CEILING.MATH(Devis[[#This Row],[Quantité Totale]],Devis[[#This Row],[Conditionnement]])</f>
        <v>0</v>
      </c>
      <c r="T1587" s="72"/>
      <c r="U1587" s="106"/>
      <c r="V1587" s="74">
        <f>Devis[[#This Row],[Prix de Revient]]*Devis[[#This Row],[Poste 1]]</f>
        <v>0</v>
      </c>
      <c r="W1587" s="74">
        <f>Devis[[#This Row],[Prix de Revient]]*Devis[[#This Row],[Poste 2]]</f>
        <v>0</v>
      </c>
      <c r="X1587" s="74">
        <f>Devis[[#This Row],[Prix de Revient]]*Devis[[#This Row],[Poste 3]]</f>
        <v>0</v>
      </c>
      <c r="Y1587" s="74">
        <f>Devis[[#This Row],[Poste 4]]*Devis[[#This Row],[Prix de Revient]]</f>
        <v>0</v>
      </c>
      <c r="Z1587" s="74">
        <f>Devis[[#This Row],[Poste 5]]*Devis[[#This Row],[Prix de Revient]]</f>
        <v>0</v>
      </c>
      <c r="AA1587" s="74">
        <f>Devis[[#This Row],[Prix de Revient]]*Devis[[#This Row],[Poste 6]]</f>
        <v>0</v>
      </c>
      <c r="AB1587" s="74">
        <f>Devis[[#This Row],[Quantité Totale]]*Devis[[#This Row],[Prix de Revient]]</f>
        <v>0</v>
      </c>
    </row>
    <row r="1588" spans="1:28" ht="14.25" outlineLevel="1" x14ac:dyDescent="0.2">
      <c r="A1588" s="75" t="s">
        <v>3557</v>
      </c>
      <c r="B1588" s="76" t="s">
        <v>1324</v>
      </c>
      <c r="C1588" s="76"/>
      <c r="D1588" s="81" t="str">
        <f t="shared" si="28"/>
        <v>GalvaUnion MM 344</v>
      </c>
      <c r="E1588" s="76" t="s">
        <v>821</v>
      </c>
      <c r="F1588" s="81">
        <v>8</v>
      </c>
      <c r="G1588" s="86" t="s">
        <v>1328</v>
      </c>
      <c r="H1588" s="71"/>
      <c r="I1588" s="75"/>
      <c r="J1588" s="70">
        <f>IFERROR(VLOOKUP(Devis[[#This Row],[Ref Air Flux]],#REF!,3,FALSE),0)</f>
        <v>0</v>
      </c>
      <c r="K1588" s="68"/>
      <c r="L1588" s="68"/>
      <c r="M1588" s="68"/>
      <c r="N1588" s="68"/>
      <c r="O1588" s="68"/>
      <c r="P1588" s="68"/>
      <c r="Q1588" s="68">
        <f>SUM(Devis[[#This Row],[Poste 1]:[Poste 6]])</f>
        <v>0</v>
      </c>
      <c r="R1588" s="71"/>
      <c r="S1588" s="68">
        <f>_xlfn.CEILING.MATH(Devis[[#This Row],[Quantité Totale]],Devis[[#This Row],[Conditionnement]])</f>
        <v>0</v>
      </c>
      <c r="T1588" s="72"/>
      <c r="U1588" s="106"/>
      <c r="V1588" s="74">
        <f>Devis[[#This Row],[Prix de Revient]]*Devis[[#This Row],[Poste 1]]</f>
        <v>0</v>
      </c>
      <c r="W1588" s="74">
        <f>Devis[[#This Row],[Prix de Revient]]*Devis[[#This Row],[Poste 2]]</f>
        <v>0</v>
      </c>
      <c r="X1588" s="74">
        <f>Devis[[#This Row],[Prix de Revient]]*Devis[[#This Row],[Poste 3]]</f>
        <v>0</v>
      </c>
      <c r="Y1588" s="74">
        <f>Devis[[#This Row],[Poste 4]]*Devis[[#This Row],[Prix de Revient]]</f>
        <v>0</v>
      </c>
      <c r="Z1588" s="74">
        <f>Devis[[#This Row],[Poste 5]]*Devis[[#This Row],[Prix de Revient]]</f>
        <v>0</v>
      </c>
      <c r="AA1588" s="74">
        <f>Devis[[#This Row],[Prix de Revient]]*Devis[[#This Row],[Poste 6]]</f>
        <v>0</v>
      </c>
      <c r="AB1588" s="74">
        <f>Devis[[#This Row],[Quantité Totale]]*Devis[[#This Row],[Prix de Revient]]</f>
        <v>0</v>
      </c>
    </row>
    <row r="1589" spans="1:28" ht="14.25" outlineLevel="1" x14ac:dyDescent="0.2">
      <c r="A1589" s="75" t="s">
        <v>3557</v>
      </c>
      <c r="B1589" s="76" t="s">
        <v>1324</v>
      </c>
      <c r="C1589" s="76"/>
      <c r="D1589" s="81" t="str">
        <f t="shared" si="28"/>
        <v>GalvaUnion MM 344</v>
      </c>
      <c r="E1589" s="80" t="s">
        <v>18</v>
      </c>
      <c r="F1589" s="81">
        <v>9</v>
      </c>
      <c r="G1589" s="86" t="s">
        <v>1334</v>
      </c>
      <c r="H1589" s="71"/>
      <c r="I1589" s="105"/>
      <c r="J1589" s="70">
        <f>IFERROR(VLOOKUP(Devis[[#This Row],[Ref Air Flux]],#REF!,3,FALSE),0)</f>
        <v>0</v>
      </c>
      <c r="K1589" s="68"/>
      <c r="L1589" s="68"/>
      <c r="M1589" s="68"/>
      <c r="N1589" s="68"/>
      <c r="O1589" s="68"/>
      <c r="P1589" s="68"/>
      <c r="Q1589" s="68">
        <f>SUM(Devis[[#This Row],[Poste 1]:[Poste 6]])</f>
        <v>0</v>
      </c>
      <c r="R1589" s="71"/>
      <c r="S1589" s="68">
        <f>_xlfn.CEILING.MATH(Devis[[#This Row],[Quantité Totale]],Devis[[#This Row],[Conditionnement]])</f>
        <v>0</v>
      </c>
      <c r="T1589" s="72"/>
      <c r="U1589" s="106"/>
      <c r="V1589" s="74">
        <f>Devis[[#This Row],[Prix de Revient]]*Devis[[#This Row],[Poste 1]]</f>
        <v>0</v>
      </c>
      <c r="W1589" s="74">
        <f>Devis[[#This Row],[Prix de Revient]]*Devis[[#This Row],[Poste 2]]</f>
        <v>0</v>
      </c>
      <c r="X1589" s="74">
        <f>Devis[[#This Row],[Prix de Revient]]*Devis[[#This Row],[Poste 3]]</f>
        <v>0</v>
      </c>
      <c r="Y1589" s="74">
        <f>Devis[[#This Row],[Poste 4]]*Devis[[#This Row],[Prix de Revient]]</f>
        <v>0</v>
      </c>
      <c r="Z1589" s="74">
        <f>Devis[[#This Row],[Poste 5]]*Devis[[#This Row],[Prix de Revient]]</f>
        <v>0</v>
      </c>
      <c r="AA1589" s="74">
        <f>Devis[[#This Row],[Prix de Revient]]*Devis[[#This Row],[Poste 6]]</f>
        <v>0</v>
      </c>
      <c r="AB1589" s="74">
        <f>Devis[[#This Row],[Quantité Totale]]*Devis[[#This Row],[Prix de Revient]]</f>
        <v>0</v>
      </c>
    </row>
    <row r="1590" spans="1:28" ht="14.25" outlineLevel="1" x14ac:dyDescent="0.2">
      <c r="A1590" s="75" t="s">
        <v>3557</v>
      </c>
      <c r="B1590" s="76" t="s">
        <v>1324</v>
      </c>
      <c r="C1590" s="76"/>
      <c r="D1590" s="81" t="str">
        <f t="shared" si="28"/>
        <v>GalvaUnion MM 344</v>
      </c>
      <c r="E1590" s="80" t="s">
        <v>16</v>
      </c>
      <c r="F1590" s="81">
        <v>10</v>
      </c>
      <c r="G1590" s="86" t="s">
        <v>1336</v>
      </c>
      <c r="H1590" s="71"/>
      <c r="I1590" s="105"/>
      <c r="J1590" s="70">
        <f>IFERROR(VLOOKUP(Devis[[#This Row],[Ref Air Flux]],#REF!,3,FALSE),0)</f>
        <v>0</v>
      </c>
      <c r="K1590" s="68"/>
      <c r="L1590" s="68"/>
      <c r="M1590" s="68"/>
      <c r="N1590" s="68"/>
      <c r="O1590" s="68"/>
      <c r="P1590" s="68"/>
      <c r="Q1590" s="68">
        <f>SUM(Devis[[#This Row],[Poste 1]:[Poste 6]])</f>
        <v>0</v>
      </c>
      <c r="R1590" s="71"/>
      <c r="S1590" s="68">
        <f>_xlfn.CEILING.MATH(Devis[[#This Row],[Quantité Totale]],Devis[[#This Row],[Conditionnement]])</f>
        <v>0</v>
      </c>
      <c r="T1590" s="72"/>
      <c r="U1590" s="106"/>
      <c r="V1590" s="74">
        <f>Devis[[#This Row],[Prix de Revient]]*Devis[[#This Row],[Poste 1]]</f>
        <v>0</v>
      </c>
      <c r="W1590" s="74">
        <f>Devis[[#This Row],[Prix de Revient]]*Devis[[#This Row],[Poste 2]]</f>
        <v>0</v>
      </c>
      <c r="X1590" s="74">
        <f>Devis[[#This Row],[Prix de Revient]]*Devis[[#This Row],[Poste 3]]</f>
        <v>0</v>
      </c>
      <c r="Y1590" s="74">
        <f>Devis[[#This Row],[Poste 4]]*Devis[[#This Row],[Prix de Revient]]</f>
        <v>0</v>
      </c>
      <c r="Z1590" s="74">
        <f>Devis[[#This Row],[Poste 5]]*Devis[[#This Row],[Prix de Revient]]</f>
        <v>0</v>
      </c>
      <c r="AA1590" s="74">
        <f>Devis[[#This Row],[Prix de Revient]]*Devis[[#This Row],[Poste 6]]</f>
        <v>0</v>
      </c>
      <c r="AB1590" s="74">
        <f>Devis[[#This Row],[Quantité Totale]]*Devis[[#This Row],[Prix de Revient]]</f>
        <v>0</v>
      </c>
    </row>
    <row r="1591" spans="1:28" ht="14.25" outlineLevel="1" x14ac:dyDescent="0.2">
      <c r="A1591" s="75" t="s">
        <v>3557</v>
      </c>
      <c r="B1591" s="76" t="s">
        <v>1324</v>
      </c>
      <c r="C1591" s="76"/>
      <c r="D1591" s="81" t="str">
        <f t="shared" si="28"/>
        <v>GalvaUnion MM 344</v>
      </c>
      <c r="E1591" s="80" t="s">
        <v>25</v>
      </c>
      <c r="F1591" s="81">
        <v>11</v>
      </c>
      <c r="G1591" s="86" t="s">
        <v>1327</v>
      </c>
      <c r="H1591" s="71"/>
      <c r="I1591" s="105"/>
      <c r="J1591" s="70">
        <f>IFERROR(VLOOKUP(Devis[[#This Row],[Ref Air Flux]],#REF!,3,FALSE),0)</f>
        <v>0</v>
      </c>
      <c r="K1591" s="68"/>
      <c r="L1591" s="68"/>
      <c r="M1591" s="68"/>
      <c r="N1591" s="68"/>
      <c r="O1591" s="68"/>
      <c r="P1591" s="68"/>
      <c r="Q1591" s="68">
        <f>SUM(Devis[[#This Row],[Poste 1]:[Poste 6]])</f>
        <v>0</v>
      </c>
      <c r="R1591" s="71"/>
      <c r="S1591" s="68">
        <f>_xlfn.CEILING.MATH(Devis[[#This Row],[Quantité Totale]],Devis[[#This Row],[Conditionnement]])</f>
        <v>0</v>
      </c>
      <c r="T1591" s="72"/>
      <c r="U1591" s="106"/>
      <c r="V1591" s="74">
        <f>Devis[[#This Row],[Prix de Revient]]*Devis[[#This Row],[Poste 1]]</f>
        <v>0</v>
      </c>
      <c r="W1591" s="74">
        <f>Devis[[#This Row],[Prix de Revient]]*Devis[[#This Row],[Poste 2]]</f>
        <v>0</v>
      </c>
      <c r="X1591" s="74">
        <f>Devis[[#This Row],[Prix de Revient]]*Devis[[#This Row],[Poste 3]]</f>
        <v>0</v>
      </c>
      <c r="Y1591" s="74">
        <f>Devis[[#This Row],[Poste 4]]*Devis[[#This Row],[Prix de Revient]]</f>
        <v>0</v>
      </c>
      <c r="Z1591" s="74">
        <f>Devis[[#This Row],[Poste 5]]*Devis[[#This Row],[Prix de Revient]]</f>
        <v>0</v>
      </c>
      <c r="AA1591" s="74">
        <f>Devis[[#This Row],[Prix de Revient]]*Devis[[#This Row],[Poste 6]]</f>
        <v>0</v>
      </c>
      <c r="AB1591" s="74">
        <f>Devis[[#This Row],[Quantité Totale]]*Devis[[#This Row],[Prix de Revient]]</f>
        <v>0</v>
      </c>
    </row>
    <row r="1592" spans="1:28" ht="15" customHeight="1" x14ac:dyDescent="0.25">
      <c r="A1592" s="65" t="s">
        <v>3557</v>
      </c>
      <c r="B1592" s="65" t="s">
        <v>1337</v>
      </c>
      <c r="C1592" s="76"/>
      <c r="D1592" s="81" t="str">
        <f t="shared" si="28"/>
        <v>GalvaUnions ff 340</v>
      </c>
      <c r="E1592" s="76"/>
      <c r="F1592" s="81">
        <v>0</v>
      </c>
      <c r="G1592" s="86"/>
      <c r="H1592" s="71"/>
      <c r="I1592" s="75"/>
      <c r="J1592" s="70">
        <f>IFERROR(VLOOKUP(Devis[[#This Row],[Ref Air Flux]],#REF!,3,FALSE),0)</f>
        <v>0</v>
      </c>
      <c r="K1592" s="68"/>
      <c r="L1592" s="68"/>
      <c r="M1592" s="68"/>
      <c r="N1592" s="68"/>
      <c r="O1592" s="68"/>
      <c r="P1592" s="68"/>
      <c r="Q1592" s="68">
        <f>SUM(Devis[[#This Row],[Poste 1]:[Poste 6]])</f>
        <v>0</v>
      </c>
      <c r="R1592" s="71"/>
      <c r="S1592" s="68">
        <f>_xlfn.CEILING.MATH(Devis[[#This Row],[Quantité Totale]],Devis[[#This Row],[Conditionnement]])</f>
        <v>0</v>
      </c>
      <c r="T1592" s="72"/>
      <c r="U1592" s="106"/>
      <c r="V1592" s="74">
        <f>Devis[[#This Row],[Prix de Revient]]*Devis[[#This Row],[Poste 1]]</f>
        <v>0</v>
      </c>
      <c r="W1592" s="74">
        <f>Devis[[#This Row],[Prix de Revient]]*Devis[[#This Row],[Poste 2]]</f>
        <v>0</v>
      </c>
      <c r="X1592" s="74">
        <f>Devis[[#This Row],[Prix de Revient]]*Devis[[#This Row],[Poste 3]]</f>
        <v>0</v>
      </c>
      <c r="Y1592" s="74">
        <f>Devis[[#This Row],[Poste 4]]*Devis[[#This Row],[Prix de Revient]]</f>
        <v>0</v>
      </c>
      <c r="Z1592" s="74">
        <f>Devis[[#This Row],[Poste 5]]*Devis[[#This Row],[Prix de Revient]]</f>
        <v>0</v>
      </c>
      <c r="AA1592" s="74">
        <f>Devis[[#This Row],[Prix de Revient]]*Devis[[#This Row],[Poste 6]]</f>
        <v>0</v>
      </c>
      <c r="AB1592" s="74">
        <f>Devis[[#This Row],[Quantité Totale]]*Devis[[#This Row],[Prix de Revient]]</f>
        <v>0</v>
      </c>
    </row>
    <row r="1593" spans="1:28" ht="14.25" outlineLevel="1" x14ac:dyDescent="0.2">
      <c r="A1593" s="75" t="s">
        <v>3557</v>
      </c>
      <c r="B1593" s="76" t="s">
        <v>1337</v>
      </c>
      <c r="C1593" s="76"/>
      <c r="D1593" s="81" t="str">
        <f t="shared" si="28"/>
        <v>GalvaUnions ff 340</v>
      </c>
      <c r="E1593" s="76" t="s">
        <v>19</v>
      </c>
      <c r="F1593" s="81">
        <v>1</v>
      </c>
      <c r="G1593" s="86" t="s">
        <v>1343</v>
      </c>
      <c r="H1593" s="71"/>
      <c r="I1593" s="75"/>
      <c r="J1593" s="70">
        <f>IFERROR(VLOOKUP(Devis[[#This Row],[Ref Air Flux]],#REF!,3,FALSE),0)</f>
        <v>0</v>
      </c>
      <c r="K1593" s="68"/>
      <c r="L1593" s="68"/>
      <c r="M1593" s="68"/>
      <c r="N1593" s="68"/>
      <c r="O1593" s="68"/>
      <c r="P1593" s="68"/>
      <c r="Q1593" s="68">
        <f>SUM(Devis[[#This Row],[Poste 1]:[Poste 6]])</f>
        <v>0</v>
      </c>
      <c r="R1593" s="71"/>
      <c r="S1593" s="68">
        <f>_xlfn.CEILING.MATH(Devis[[#This Row],[Quantité Totale]],Devis[[#This Row],[Conditionnement]])</f>
        <v>0</v>
      </c>
      <c r="T1593" s="72"/>
      <c r="U1593" s="106"/>
      <c r="V1593" s="74">
        <f>Devis[[#This Row],[Prix de Revient]]*Devis[[#This Row],[Poste 1]]</f>
        <v>0</v>
      </c>
      <c r="W1593" s="74">
        <f>Devis[[#This Row],[Prix de Revient]]*Devis[[#This Row],[Poste 2]]</f>
        <v>0</v>
      </c>
      <c r="X1593" s="74">
        <f>Devis[[#This Row],[Prix de Revient]]*Devis[[#This Row],[Poste 3]]</f>
        <v>0</v>
      </c>
      <c r="Y1593" s="74">
        <f>Devis[[#This Row],[Poste 4]]*Devis[[#This Row],[Prix de Revient]]</f>
        <v>0</v>
      </c>
      <c r="Z1593" s="74">
        <f>Devis[[#This Row],[Poste 5]]*Devis[[#This Row],[Prix de Revient]]</f>
        <v>0</v>
      </c>
      <c r="AA1593" s="74">
        <f>Devis[[#This Row],[Prix de Revient]]*Devis[[#This Row],[Poste 6]]</f>
        <v>0</v>
      </c>
      <c r="AB1593" s="74">
        <f>Devis[[#This Row],[Quantité Totale]]*Devis[[#This Row],[Prix de Revient]]</f>
        <v>0</v>
      </c>
    </row>
    <row r="1594" spans="1:28" ht="14.25" customHeight="1" outlineLevel="1" x14ac:dyDescent="0.2">
      <c r="A1594" s="75" t="s">
        <v>3557</v>
      </c>
      <c r="B1594" s="76" t="s">
        <v>1337</v>
      </c>
      <c r="C1594" s="76"/>
      <c r="D1594" s="81" t="str">
        <f t="shared" si="28"/>
        <v>GalvaUnions ff 340</v>
      </c>
      <c r="E1594" s="76" t="s">
        <v>21</v>
      </c>
      <c r="F1594" s="81">
        <v>2</v>
      </c>
      <c r="G1594" s="86" t="s">
        <v>1341</v>
      </c>
      <c r="H1594" s="71"/>
      <c r="I1594" s="75"/>
      <c r="J1594" s="70">
        <f>IFERROR(VLOOKUP(Devis[[#This Row],[Ref Air Flux]],#REF!,3,FALSE),0)</f>
        <v>0</v>
      </c>
      <c r="K1594" s="68"/>
      <c r="L1594" s="68"/>
      <c r="M1594" s="68"/>
      <c r="N1594" s="68"/>
      <c r="O1594" s="68"/>
      <c r="P1594" s="68"/>
      <c r="Q1594" s="68">
        <f>SUM(Devis[[#This Row],[Poste 1]:[Poste 6]])</f>
        <v>0</v>
      </c>
      <c r="R1594" s="71"/>
      <c r="S1594" s="68">
        <f>_xlfn.CEILING.MATH(Devis[[#This Row],[Quantité Totale]],Devis[[#This Row],[Conditionnement]])</f>
        <v>0</v>
      </c>
      <c r="T1594" s="72"/>
      <c r="U1594" s="106"/>
      <c r="V1594" s="74">
        <f>Devis[[#This Row],[Prix de Revient]]*Devis[[#This Row],[Poste 1]]</f>
        <v>0</v>
      </c>
      <c r="W1594" s="74">
        <f>Devis[[#This Row],[Prix de Revient]]*Devis[[#This Row],[Poste 2]]</f>
        <v>0</v>
      </c>
      <c r="X1594" s="74">
        <f>Devis[[#This Row],[Prix de Revient]]*Devis[[#This Row],[Poste 3]]</f>
        <v>0</v>
      </c>
      <c r="Y1594" s="74">
        <f>Devis[[#This Row],[Poste 4]]*Devis[[#This Row],[Prix de Revient]]</f>
        <v>0</v>
      </c>
      <c r="Z1594" s="74">
        <f>Devis[[#This Row],[Poste 5]]*Devis[[#This Row],[Prix de Revient]]</f>
        <v>0</v>
      </c>
      <c r="AA1594" s="74">
        <f>Devis[[#This Row],[Prix de Revient]]*Devis[[#This Row],[Poste 6]]</f>
        <v>0</v>
      </c>
      <c r="AB1594" s="74">
        <f>Devis[[#This Row],[Quantité Totale]]*Devis[[#This Row],[Prix de Revient]]</f>
        <v>0</v>
      </c>
    </row>
    <row r="1595" spans="1:28" ht="14.25" customHeight="1" outlineLevel="1" x14ac:dyDescent="0.2">
      <c r="A1595" s="75" t="s">
        <v>3557</v>
      </c>
      <c r="B1595" s="76" t="s">
        <v>1337</v>
      </c>
      <c r="C1595" s="76"/>
      <c r="D1595" s="81" t="str">
        <f t="shared" si="28"/>
        <v>GalvaUnions ff 340</v>
      </c>
      <c r="E1595" s="76" t="s">
        <v>20</v>
      </c>
      <c r="F1595" s="81">
        <v>3</v>
      </c>
      <c r="G1595" s="86" t="s">
        <v>1342</v>
      </c>
      <c r="H1595" s="71"/>
      <c r="I1595" s="75"/>
      <c r="J1595" s="70">
        <f>IFERROR(VLOOKUP(Devis[[#This Row],[Ref Air Flux]],#REF!,3,FALSE),0)</f>
        <v>0</v>
      </c>
      <c r="K1595" s="68"/>
      <c r="L1595" s="68"/>
      <c r="M1595" s="68"/>
      <c r="N1595" s="68"/>
      <c r="O1595" s="68"/>
      <c r="P1595" s="68"/>
      <c r="Q1595" s="68">
        <f>SUM(Devis[[#This Row],[Poste 1]:[Poste 6]])</f>
        <v>0</v>
      </c>
      <c r="R1595" s="71"/>
      <c r="S1595" s="68">
        <f>_xlfn.CEILING.MATH(Devis[[#This Row],[Quantité Totale]],Devis[[#This Row],[Conditionnement]])</f>
        <v>0</v>
      </c>
      <c r="T1595" s="72"/>
      <c r="U1595" s="106"/>
      <c r="V1595" s="74">
        <f>Devis[[#This Row],[Prix de Revient]]*Devis[[#This Row],[Poste 1]]</f>
        <v>0</v>
      </c>
      <c r="W1595" s="74">
        <f>Devis[[#This Row],[Prix de Revient]]*Devis[[#This Row],[Poste 2]]</f>
        <v>0</v>
      </c>
      <c r="X1595" s="74">
        <f>Devis[[#This Row],[Prix de Revient]]*Devis[[#This Row],[Poste 3]]</f>
        <v>0</v>
      </c>
      <c r="Y1595" s="74">
        <f>Devis[[#This Row],[Poste 4]]*Devis[[#This Row],[Prix de Revient]]</f>
        <v>0</v>
      </c>
      <c r="Z1595" s="74">
        <f>Devis[[#This Row],[Poste 5]]*Devis[[#This Row],[Prix de Revient]]</f>
        <v>0</v>
      </c>
      <c r="AA1595" s="74">
        <f>Devis[[#This Row],[Prix de Revient]]*Devis[[#This Row],[Poste 6]]</f>
        <v>0</v>
      </c>
      <c r="AB1595" s="74">
        <f>Devis[[#This Row],[Quantité Totale]]*Devis[[#This Row],[Prix de Revient]]</f>
        <v>0</v>
      </c>
    </row>
    <row r="1596" spans="1:28" ht="14.25" outlineLevel="1" x14ac:dyDescent="0.2">
      <c r="A1596" s="75" t="s">
        <v>3557</v>
      </c>
      <c r="B1596" s="76" t="s">
        <v>1337</v>
      </c>
      <c r="C1596" s="76"/>
      <c r="D1596" s="81" t="str">
        <f t="shared" si="28"/>
        <v>GalvaUnions ff 340</v>
      </c>
      <c r="E1596" s="80" t="s">
        <v>17</v>
      </c>
      <c r="F1596" s="81">
        <v>4</v>
      </c>
      <c r="G1596" s="86" t="s">
        <v>1345</v>
      </c>
      <c r="H1596" s="71"/>
      <c r="I1596" s="105"/>
      <c r="J1596" s="70">
        <f>IFERROR(VLOOKUP(Devis[[#This Row],[Ref Air Flux]],#REF!,3,FALSE),0)</f>
        <v>0</v>
      </c>
      <c r="K1596" s="68"/>
      <c r="L1596" s="68"/>
      <c r="M1596" s="68"/>
      <c r="N1596" s="68"/>
      <c r="O1596" s="68"/>
      <c r="P1596" s="68"/>
      <c r="Q1596" s="68">
        <f>SUM(Devis[[#This Row],[Poste 1]:[Poste 6]])</f>
        <v>0</v>
      </c>
      <c r="R1596" s="71"/>
      <c r="S1596" s="68">
        <f>_xlfn.CEILING.MATH(Devis[[#This Row],[Quantité Totale]],Devis[[#This Row],[Conditionnement]])</f>
        <v>0</v>
      </c>
      <c r="T1596" s="72"/>
      <c r="U1596" s="106"/>
      <c r="V1596" s="74">
        <f>Devis[[#This Row],[Prix de Revient]]*Devis[[#This Row],[Poste 1]]</f>
        <v>0</v>
      </c>
      <c r="W1596" s="74">
        <f>Devis[[#This Row],[Prix de Revient]]*Devis[[#This Row],[Poste 2]]</f>
        <v>0</v>
      </c>
      <c r="X1596" s="74">
        <f>Devis[[#This Row],[Prix de Revient]]*Devis[[#This Row],[Poste 3]]</f>
        <v>0</v>
      </c>
      <c r="Y1596" s="74">
        <f>Devis[[#This Row],[Poste 4]]*Devis[[#This Row],[Prix de Revient]]</f>
        <v>0</v>
      </c>
      <c r="Z1596" s="74">
        <f>Devis[[#This Row],[Poste 5]]*Devis[[#This Row],[Prix de Revient]]</f>
        <v>0</v>
      </c>
      <c r="AA1596" s="74">
        <f>Devis[[#This Row],[Prix de Revient]]*Devis[[#This Row],[Poste 6]]</f>
        <v>0</v>
      </c>
      <c r="AB1596" s="74">
        <f>Devis[[#This Row],[Quantité Totale]]*Devis[[#This Row],[Prix de Revient]]</f>
        <v>0</v>
      </c>
    </row>
    <row r="1597" spans="1:28" ht="14.25" outlineLevel="1" x14ac:dyDescent="0.2">
      <c r="A1597" s="75" t="s">
        <v>3557</v>
      </c>
      <c r="B1597" s="76" t="s">
        <v>1337</v>
      </c>
      <c r="C1597" s="76"/>
      <c r="D1597" s="81" t="str">
        <f t="shared" si="28"/>
        <v>GalvaUnions ff 340</v>
      </c>
      <c r="E1597" s="80" t="s">
        <v>46</v>
      </c>
      <c r="F1597" s="81">
        <v>5</v>
      </c>
      <c r="G1597" s="86" t="s">
        <v>1347</v>
      </c>
      <c r="H1597" s="71"/>
      <c r="I1597" s="105"/>
      <c r="J1597" s="70">
        <f>IFERROR(VLOOKUP(Devis[[#This Row],[Ref Air Flux]],#REF!,3,FALSE),0)</f>
        <v>0</v>
      </c>
      <c r="K1597" s="68"/>
      <c r="L1597" s="68"/>
      <c r="M1597" s="68"/>
      <c r="N1597" s="68"/>
      <c r="O1597" s="68"/>
      <c r="P1597" s="68"/>
      <c r="Q1597" s="68">
        <f>SUM(Devis[[#This Row],[Poste 1]:[Poste 6]])</f>
        <v>0</v>
      </c>
      <c r="R1597" s="71"/>
      <c r="S1597" s="68">
        <f>_xlfn.CEILING.MATH(Devis[[#This Row],[Quantité Totale]],Devis[[#This Row],[Conditionnement]])</f>
        <v>0</v>
      </c>
      <c r="T1597" s="72"/>
      <c r="U1597" s="106"/>
      <c r="V1597" s="74">
        <f>Devis[[#This Row],[Prix de Revient]]*Devis[[#This Row],[Poste 1]]</f>
        <v>0</v>
      </c>
      <c r="W1597" s="74">
        <f>Devis[[#This Row],[Prix de Revient]]*Devis[[#This Row],[Poste 2]]</f>
        <v>0</v>
      </c>
      <c r="X1597" s="74">
        <f>Devis[[#This Row],[Prix de Revient]]*Devis[[#This Row],[Poste 3]]</f>
        <v>0</v>
      </c>
      <c r="Y1597" s="74">
        <f>Devis[[#This Row],[Poste 4]]*Devis[[#This Row],[Prix de Revient]]</f>
        <v>0</v>
      </c>
      <c r="Z1597" s="74">
        <f>Devis[[#This Row],[Poste 5]]*Devis[[#This Row],[Prix de Revient]]</f>
        <v>0</v>
      </c>
      <c r="AA1597" s="74">
        <f>Devis[[#This Row],[Prix de Revient]]*Devis[[#This Row],[Poste 6]]</f>
        <v>0</v>
      </c>
      <c r="AB1597" s="74">
        <f>Devis[[#This Row],[Quantité Totale]]*Devis[[#This Row],[Prix de Revient]]</f>
        <v>0</v>
      </c>
    </row>
    <row r="1598" spans="1:28" ht="14.25" outlineLevel="1" x14ac:dyDescent="0.2">
      <c r="A1598" s="75" t="s">
        <v>3557</v>
      </c>
      <c r="B1598" s="76" t="s">
        <v>1337</v>
      </c>
      <c r="C1598" s="76"/>
      <c r="D1598" s="81" t="str">
        <f t="shared" si="28"/>
        <v>GalvaUnions ff 340</v>
      </c>
      <c r="E1598" s="76" t="s">
        <v>0</v>
      </c>
      <c r="F1598" s="81">
        <v>6</v>
      </c>
      <c r="G1598" s="86" t="s">
        <v>1340</v>
      </c>
      <c r="H1598" s="71"/>
      <c r="I1598" s="75"/>
      <c r="J1598" s="70">
        <f>IFERROR(VLOOKUP(Devis[[#This Row],[Ref Air Flux]],#REF!,3,FALSE),0)</f>
        <v>0</v>
      </c>
      <c r="K1598" s="68"/>
      <c r="L1598" s="68"/>
      <c r="M1598" s="68"/>
      <c r="N1598" s="68"/>
      <c r="O1598" s="68"/>
      <c r="P1598" s="68"/>
      <c r="Q1598" s="68">
        <f>SUM(Devis[[#This Row],[Poste 1]:[Poste 6]])</f>
        <v>0</v>
      </c>
      <c r="R1598" s="71"/>
      <c r="S1598" s="68">
        <f>_xlfn.CEILING.MATH(Devis[[#This Row],[Quantité Totale]],Devis[[#This Row],[Conditionnement]])</f>
        <v>0</v>
      </c>
      <c r="T1598" s="72"/>
      <c r="U1598" s="106"/>
      <c r="V1598" s="74">
        <f>Devis[[#This Row],[Prix de Revient]]*Devis[[#This Row],[Poste 1]]</f>
        <v>0</v>
      </c>
      <c r="W1598" s="74">
        <f>Devis[[#This Row],[Prix de Revient]]*Devis[[#This Row],[Poste 2]]</f>
        <v>0</v>
      </c>
      <c r="X1598" s="74">
        <f>Devis[[#This Row],[Prix de Revient]]*Devis[[#This Row],[Poste 3]]</f>
        <v>0</v>
      </c>
      <c r="Y1598" s="74">
        <f>Devis[[#This Row],[Poste 4]]*Devis[[#This Row],[Prix de Revient]]</f>
        <v>0</v>
      </c>
      <c r="Z1598" s="74">
        <f>Devis[[#This Row],[Poste 5]]*Devis[[#This Row],[Prix de Revient]]</f>
        <v>0</v>
      </c>
      <c r="AA1598" s="74">
        <f>Devis[[#This Row],[Prix de Revient]]*Devis[[#This Row],[Poste 6]]</f>
        <v>0</v>
      </c>
      <c r="AB1598" s="74">
        <f>Devis[[#This Row],[Quantité Totale]]*Devis[[#This Row],[Prix de Revient]]</f>
        <v>0</v>
      </c>
    </row>
    <row r="1599" spans="1:28" ht="14.25" outlineLevel="1" x14ac:dyDescent="0.2">
      <c r="A1599" s="75" t="s">
        <v>3557</v>
      </c>
      <c r="B1599" s="76" t="s">
        <v>1337</v>
      </c>
      <c r="C1599" s="76"/>
      <c r="D1599" s="81" t="str">
        <f t="shared" si="28"/>
        <v>GalvaUnions ff 340</v>
      </c>
      <c r="E1599" s="76" t="s">
        <v>49</v>
      </c>
      <c r="F1599" s="81">
        <v>7</v>
      </c>
      <c r="G1599" s="86" t="s">
        <v>1339</v>
      </c>
      <c r="H1599" s="71"/>
      <c r="I1599" s="75"/>
      <c r="J1599" s="70">
        <f>IFERROR(VLOOKUP(Devis[[#This Row],[Ref Air Flux]],#REF!,3,FALSE),0)</f>
        <v>0</v>
      </c>
      <c r="K1599" s="68"/>
      <c r="L1599" s="68"/>
      <c r="M1599" s="68"/>
      <c r="N1599" s="68"/>
      <c r="O1599" s="68"/>
      <c r="P1599" s="68"/>
      <c r="Q1599" s="68">
        <f>SUM(Devis[[#This Row],[Poste 1]:[Poste 6]])</f>
        <v>0</v>
      </c>
      <c r="R1599" s="71"/>
      <c r="S1599" s="68">
        <f>_xlfn.CEILING.MATH(Devis[[#This Row],[Quantité Totale]],Devis[[#This Row],[Conditionnement]])</f>
        <v>0</v>
      </c>
      <c r="T1599" s="72"/>
      <c r="U1599" s="106"/>
      <c r="V1599" s="74">
        <f>Devis[[#This Row],[Prix de Revient]]*Devis[[#This Row],[Poste 1]]</f>
        <v>0</v>
      </c>
      <c r="W1599" s="74">
        <f>Devis[[#This Row],[Prix de Revient]]*Devis[[#This Row],[Poste 2]]</f>
        <v>0</v>
      </c>
      <c r="X1599" s="74">
        <f>Devis[[#This Row],[Prix de Revient]]*Devis[[#This Row],[Poste 3]]</f>
        <v>0</v>
      </c>
      <c r="Y1599" s="74">
        <f>Devis[[#This Row],[Poste 4]]*Devis[[#This Row],[Prix de Revient]]</f>
        <v>0</v>
      </c>
      <c r="Z1599" s="74">
        <f>Devis[[#This Row],[Poste 5]]*Devis[[#This Row],[Prix de Revient]]</f>
        <v>0</v>
      </c>
      <c r="AA1599" s="74">
        <f>Devis[[#This Row],[Prix de Revient]]*Devis[[#This Row],[Poste 6]]</f>
        <v>0</v>
      </c>
      <c r="AB1599" s="74">
        <f>Devis[[#This Row],[Quantité Totale]]*Devis[[#This Row],[Prix de Revient]]</f>
        <v>0</v>
      </c>
    </row>
    <row r="1600" spans="1:28" ht="14.25" customHeight="1" outlineLevel="1" x14ac:dyDescent="0.2">
      <c r="A1600" s="75" t="s">
        <v>3557</v>
      </c>
      <c r="B1600" s="76" t="s">
        <v>1337</v>
      </c>
      <c r="C1600" s="76"/>
      <c r="D1600" s="81" t="str">
        <f t="shared" si="28"/>
        <v>GalvaUnions ff 340</v>
      </c>
      <c r="E1600" s="76" t="s">
        <v>821</v>
      </c>
      <c r="F1600" s="81">
        <v>8</v>
      </c>
      <c r="G1600" s="86" t="s">
        <v>1338</v>
      </c>
      <c r="H1600" s="71"/>
      <c r="I1600" s="75"/>
      <c r="J1600" s="70">
        <f>IFERROR(VLOOKUP(Devis[[#This Row],[Ref Air Flux]],#REF!,3,FALSE),0)</f>
        <v>0</v>
      </c>
      <c r="K1600" s="68"/>
      <c r="L1600" s="68"/>
      <c r="M1600" s="68"/>
      <c r="N1600" s="68"/>
      <c r="O1600" s="68"/>
      <c r="P1600" s="68"/>
      <c r="Q1600" s="68">
        <f>SUM(Devis[[#This Row],[Poste 1]:[Poste 6]])</f>
        <v>0</v>
      </c>
      <c r="R1600" s="71"/>
      <c r="S1600" s="68">
        <f>_xlfn.CEILING.MATH(Devis[[#This Row],[Quantité Totale]],Devis[[#This Row],[Conditionnement]])</f>
        <v>0</v>
      </c>
      <c r="T1600" s="72"/>
      <c r="U1600" s="106"/>
      <c r="V1600" s="74">
        <f>Devis[[#This Row],[Prix de Revient]]*Devis[[#This Row],[Poste 1]]</f>
        <v>0</v>
      </c>
      <c r="W1600" s="74">
        <f>Devis[[#This Row],[Prix de Revient]]*Devis[[#This Row],[Poste 2]]</f>
        <v>0</v>
      </c>
      <c r="X1600" s="74">
        <f>Devis[[#This Row],[Prix de Revient]]*Devis[[#This Row],[Poste 3]]</f>
        <v>0</v>
      </c>
      <c r="Y1600" s="74">
        <f>Devis[[#This Row],[Poste 4]]*Devis[[#This Row],[Prix de Revient]]</f>
        <v>0</v>
      </c>
      <c r="Z1600" s="74">
        <f>Devis[[#This Row],[Poste 5]]*Devis[[#This Row],[Prix de Revient]]</f>
        <v>0</v>
      </c>
      <c r="AA1600" s="74">
        <f>Devis[[#This Row],[Prix de Revient]]*Devis[[#This Row],[Poste 6]]</f>
        <v>0</v>
      </c>
      <c r="AB1600" s="74">
        <f>Devis[[#This Row],[Quantité Totale]]*Devis[[#This Row],[Prix de Revient]]</f>
        <v>0</v>
      </c>
    </row>
    <row r="1601" spans="1:28" ht="14.25" outlineLevel="1" x14ac:dyDescent="0.2">
      <c r="A1601" s="75" t="s">
        <v>3557</v>
      </c>
      <c r="B1601" s="76" t="s">
        <v>1337</v>
      </c>
      <c r="C1601" s="76"/>
      <c r="D1601" s="81" t="str">
        <f t="shared" si="28"/>
        <v>GalvaUnions ff 340</v>
      </c>
      <c r="E1601" s="80" t="s">
        <v>18</v>
      </c>
      <c r="F1601" s="81">
        <v>9</v>
      </c>
      <c r="G1601" s="86" t="s">
        <v>1344</v>
      </c>
      <c r="H1601" s="71"/>
      <c r="I1601" s="105"/>
      <c r="J1601" s="70">
        <f>IFERROR(VLOOKUP(Devis[[#This Row],[Ref Air Flux]],#REF!,3,FALSE),0)</f>
        <v>0</v>
      </c>
      <c r="K1601" s="68"/>
      <c r="L1601" s="68"/>
      <c r="M1601" s="68"/>
      <c r="N1601" s="68"/>
      <c r="O1601" s="68"/>
      <c r="P1601" s="68"/>
      <c r="Q1601" s="68">
        <f>SUM(Devis[[#This Row],[Poste 1]:[Poste 6]])</f>
        <v>0</v>
      </c>
      <c r="R1601" s="71"/>
      <c r="S1601" s="68">
        <f>_xlfn.CEILING.MATH(Devis[[#This Row],[Quantité Totale]],Devis[[#This Row],[Conditionnement]])</f>
        <v>0</v>
      </c>
      <c r="T1601" s="72"/>
      <c r="U1601" s="106"/>
      <c r="V1601" s="74">
        <f>Devis[[#This Row],[Prix de Revient]]*Devis[[#This Row],[Poste 1]]</f>
        <v>0</v>
      </c>
      <c r="W1601" s="74">
        <f>Devis[[#This Row],[Prix de Revient]]*Devis[[#This Row],[Poste 2]]</f>
        <v>0</v>
      </c>
      <c r="X1601" s="74">
        <f>Devis[[#This Row],[Prix de Revient]]*Devis[[#This Row],[Poste 3]]</f>
        <v>0</v>
      </c>
      <c r="Y1601" s="74">
        <f>Devis[[#This Row],[Poste 4]]*Devis[[#This Row],[Prix de Revient]]</f>
        <v>0</v>
      </c>
      <c r="Z1601" s="74">
        <f>Devis[[#This Row],[Poste 5]]*Devis[[#This Row],[Prix de Revient]]</f>
        <v>0</v>
      </c>
      <c r="AA1601" s="74">
        <f>Devis[[#This Row],[Prix de Revient]]*Devis[[#This Row],[Poste 6]]</f>
        <v>0</v>
      </c>
      <c r="AB1601" s="74">
        <f>Devis[[#This Row],[Quantité Totale]]*Devis[[#This Row],[Prix de Revient]]</f>
        <v>0</v>
      </c>
    </row>
    <row r="1602" spans="1:28" ht="14.25" outlineLevel="1" x14ac:dyDescent="0.2">
      <c r="A1602" s="75" t="s">
        <v>3557</v>
      </c>
      <c r="B1602" s="76" t="s">
        <v>1337</v>
      </c>
      <c r="C1602" s="76"/>
      <c r="D1602" s="81" t="str">
        <f t="shared" si="28"/>
        <v>GalvaUnions ff 340</v>
      </c>
      <c r="E1602" s="80" t="s">
        <v>16</v>
      </c>
      <c r="F1602" s="81">
        <v>10</v>
      </c>
      <c r="G1602" s="86" t="s">
        <v>1346</v>
      </c>
      <c r="H1602" s="71"/>
      <c r="I1602" s="105"/>
      <c r="J1602" s="70">
        <f>IFERROR(VLOOKUP(Devis[[#This Row],[Ref Air Flux]],#REF!,3,FALSE),0)</f>
        <v>0</v>
      </c>
      <c r="K1602" s="68"/>
      <c r="L1602" s="68"/>
      <c r="M1602" s="68"/>
      <c r="N1602" s="68"/>
      <c r="O1602" s="68"/>
      <c r="P1602" s="68"/>
      <c r="Q1602" s="68">
        <f>SUM(Devis[[#This Row],[Poste 1]:[Poste 6]])</f>
        <v>0</v>
      </c>
      <c r="R1602" s="71"/>
      <c r="S1602" s="68">
        <f>_xlfn.CEILING.MATH(Devis[[#This Row],[Quantité Totale]],Devis[[#This Row],[Conditionnement]])</f>
        <v>0</v>
      </c>
      <c r="T1602" s="72"/>
      <c r="U1602" s="106"/>
      <c r="V1602" s="74">
        <f>Devis[[#This Row],[Prix de Revient]]*Devis[[#This Row],[Poste 1]]</f>
        <v>0</v>
      </c>
      <c r="W1602" s="74">
        <f>Devis[[#This Row],[Prix de Revient]]*Devis[[#This Row],[Poste 2]]</f>
        <v>0</v>
      </c>
      <c r="X1602" s="74">
        <f>Devis[[#This Row],[Prix de Revient]]*Devis[[#This Row],[Poste 3]]</f>
        <v>0</v>
      </c>
      <c r="Y1602" s="74">
        <f>Devis[[#This Row],[Poste 4]]*Devis[[#This Row],[Prix de Revient]]</f>
        <v>0</v>
      </c>
      <c r="Z1602" s="74">
        <f>Devis[[#This Row],[Poste 5]]*Devis[[#This Row],[Prix de Revient]]</f>
        <v>0</v>
      </c>
      <c r="AA1602" s="74">
        <f>Devis[[#This Row],[Prix de Revient]]*Devis[[#This Row],[Poste 6]]</f>
        <v>0</v>
      </c>
      <c r="AB1602" s="74">
        <f>Devis[[#This Row],[Quantité Totale]]*Devis[[#This Row],[Prix de Revient]]</f>
        <v>0</v>
      </c>
    </row>
    <row r="1603" spans="1:28" ht="14.25" customHeight="1" x14ac:dyDescent="0.25">
      <c r="A1603" s="65" t="s">
        <v>3557</v>
      </c>
      <c r="B1603" s="65" t="s">
        <v>1348</v>
      </c>
      <c r="C1603" s="76"/>
      <c r="D1603" s="81" t="str">
        <f t="shared" si="28"/>
        <v>GalvaUnions ff coudés 96</v>
      </c>
      <c r="E1603" s="76"/>
      <c r="F1603" s="81">
        <v>0</v>
      </c>
      <c r="G1603" s="86"/>
      <c r="H1603" s="71"/>
      <c r="I1603" s="75"/>
      <c r="J1603" s="70">
        <f>IFERROR(VLOOKUP(Devis[[#This Row],[Ref Air Flux]],#REF!,3,FALSE),0)</f>
        <v>0</v>
      </c>
      <c r="K1603" s="68"/>
      <c r="L1603" s="68"/>
      <c r="M1603" s="68"/>
      <c r="N1603" s="68"/>
      <c r="O1603" s="68"/>
      <c r="P1603" s="68"/>
      <c r="Q1603" s="68">
        <f>SUM(Devis[[#This Row],[Poste 1]:[Poste 6]])</f>
        <v>0</v>
      </c>
      <c r="R1603" s="71"/>
      <c r="S1603" s="68">
        <f>_xlfn.CEILING.MATH(Devis[[#This Row],[Quantité Totale]],Devis[[#This Row],[Conditionnement]])</f>
        <v>0</v>
      </c>
      <c r="T1603" s="72"/>
      <c r="U1603" s="106"/>
      <c r="V1603" s="74">
        <f>Devis[[#This Row],[Prix de Revient]]*Devis[[#This Row],[Poste 1]]</f>
        <v>0</v>
      </c>
      <c r="W1603" s="74">
        <f>Devis[[#This Row],[Prix de Revient]]*Devis[[#This Row],[Poste 2]]</f>
        <v>0</v>
      </c>
      <c r="X1603" s="74">
        <f>Devis[[#This Row],[Prix de Revient]]*Devis[[#This Row],[Poste 3]]</f>
        <v>0</v>
      </c>
      <c r="Y1603" s="74">
        <f>Devis[[#This Row],[Poste 4]]*Devis[[#This Row],[Prix de Revient]]</f>
        <v>0</v>
      </c>
      <c r="Z1603" s="74">
        <f>Devis[[#This Row],[Poste 5]]*Devis[[#This Row],[Prix de Revient]]</f>
        <v>0</v>
      </c>
      <c r="AA1603" s="74">
        <f>Devis[[#This Row],[Prix de Revient]]*Devis[[#This Row],[Poste 6]]</f>
        <v>0</v>
      </c>
      <c r="AB1603" s="74">
        <f>Devis[[#This Row],[Quantité Totale]]*Devis[[#This Row],[Prix de Revient]]</f>
        <v>0</v>
      </c>
    </row>
    <row r="1604" spans="1:28" ht="14.25" customHeight="1" outlineLevel="1" x14ac:dyDescent="0.2">
      <c r="A1604" s="75" t="s">
        <v>3557</v>
      </c>
      <c r="B1604" s="76" t="s">
        <v>1348</v>
      </c>
      <c r="C1604" s="76"/>
      <c r="D1604" s="81" t="str">
        <f t="shared" si="28"/>
        <v>GalvaUnions ff coudés 96</v>
      </c>
      <c r="E1604" s="76" t="s">
        <v>19</v>
      </c>
      <c r="F1604" s="81">
        <v>1</v>
      </c>
      <c r="G1604" s="86" t="s">
        <v>1354</v>
      </c>
      <c r="H1604" s="71"/>
      <c r="I1604" s="75"/>
      <c r="J1604" s="70">
        <f>IFERROR(VLOOKUP(Devis[[#This Row],[Ref Air Flux]],#REF!,3,FALSE),0)</f>
        <v>0</v>
      </c>
      <c r="K1604" s="68"/>
      <c r="L1604" s="68"/>
      <c r="M1604" s="68"/>
      <c r="N1604" s="68"/>
      <c r="O1604" s="68"/>
      <c r="P1604" s="68"/>
      <c r="Q1604" s="68">
        <f>SUM(Devis[[#This Row],[Poste 1]:[Poste 6]])</f>
        <v>0</v>
      </c>
      <c r="R1604" s="71"/>
      <c r="S1604" s="68">
        <f>_xlfn.CEILING.MATH(Devis[[#This Row],[Quantité Totale]],Devis[[#This Row],[Conditionnement]])</f>
        <v>0</v>
      </c>
      <c r="T1604" s="72"/>
      <c r="U1604" s="106"/>
      <c r="V1604" s="74">
        <f>Devis[[#This Row],[Prix de Revient]]*Devis[[#This Row],[Poste 1]]</f>
        <v>0</v>
      </c>
      <c r="W1604" s="74">
        <f>Devis[[#This Row],[Prix de Revient]]*Devis[[#This Row],[Poste 2]]</f>
        <v>0</v>
      </c>
      <c r="X1604" s="74">
        <f>Devis[[#This Row],[Prix de Revient]]*Devis[[#This Row],[Poste 3]]</f>
        <v>0</v>
      </c>
      <c r="Y1604" s="74">
        <f>Devis[[#This Row],[Poste 4]]*Devis[[#This Row],[Prix de Revient]]</f>
        <v>0</v>
      </c>
      <c r="Z1604" s="74">
        <f>Devis[[#This Row],[Poste 5]]*Devis[[#This Row],[Prix de Revient]]</f>
        <v>0</v>
      </c>
      <c r="AA1604" s="74">
        <f>Devis[[#This Row],[Prix de Revient]]*Devis[[#This Row],[Poste 6]]</f>
        <v>0</v>
      </c>
      <c r="AB1604" s="74">
        <f>Devis[[#This Row],[Quantité Totale]]*Devis[[#This Row],[Prix de Revient]]</f>
        <v>0</v>
      </c>
    </row>
    <row r="1605" spans="1:28" ht="14.25" outlineLevel="1" x14ac:dyDescent="0.2">
      <c r="A1605" s="75" t="s">
        <v>3557</v>
      </c>
      <c r="B1605" s="76" t="s">
        <v>1348</v>
      </c>
      <c r="C1605" s="76"/>
      <c r="D1605" s="81" t="str">
        <f t="shared" si="28"/>
        <v>GalvaUnions ff coudés 96</v>
      </c>
      <c r="E1605" s="76" t="s">
        <v>21</v>
      </c>
      <c r="F1605" s="81">
        <v>2</v>
      </c>
      <c r="G1605" s="86" t="s">
        <v>1352</v>
      </c>
      <c r="H1605" s="71"/>
      <c r="I1605" s="75"/>
      <c r="J1605" s="70">
        <f>IFERROR(VLOOKUP(Devis[[#This Row],[Ref Air Flux]],#REF!,3,FALSE),0)</f>
        <v>0</v>
      </c>
      <c r="K1605" s="68"/>
      <c r="L1605" s="68"/>
      <c r="M1605" s="68"/>
      <c r="N1605" s="68"/>
      <c r="O1605" s="68"/>
      <c r="P1605" s="68"/>
      <c r="Q1605" s="68">
        <f>SUM(Devis[[#This Row],[Poste 1]:[Poste 6]])</f>
        <v>0</v>
      </c>
      <c r="R1605" s="71"/>
      <c r="S1605" s="68">
        <f>_xlfn.CEILING.MATH(Devis[[#This Row],[Quantité Totale]],Devis[[#This Row],[Conditionnement]])</f>
        <v>0</v>
      </c>
      <c r="T1605" s="72"/>
      <c r="U1605" s="106"/>
      <c r="V1605" s="74">
        <f>Devis[[#This Row],[Prix de Revient]]*Devis[[#This Row],[Poste 1]]</f>
        <v>0</v>
      </c>
      <c r="W1605" s="74">
        <f>Devis[[#This Row],[Prix de Revient]]*Devis[[#This Row],[Poste 2]]</f>
        <v>0</v>
      </c>
      <c r="X1605" s="74">
        <f>Devis[[#This Row],[Prix de Revient]]*Devis[[#This Row],[Poste 3]]</f>
        <v>0</v>
      </c>
      <c r="Y1605" s="74">
        <f>Devis[[#This Row],[Poste 4]]*Devis[[#This Row],[Prix de Revient]]</f>
        <v>0</v>
      </c>
      <c r="Z1605" s="74">
        <f>Devis[[#This Row],[Poste 5]]*Devis[[#This Row],[Prix de Revient]]</f>
        <v>0</v>
      </c>
      <c r="AA1605" s="74">
        <f>Devis[[#This Row],[Prix de Revient]]*Devis[[#This Row],[Poste 6]]</f>
        <v>0</v>
      </c>
      <c r="AB1605" s="74">
        <f>Devis[[#This Row],[Quantité Totale]]*Devis[[#This Row],[Prix de Revient]]</f>
        <v>0</v>
      </c>
    </row>
    <row r="1606" spans="1:28" ht="14.25" outlineLevel="1" x14ac:dyDescent="0.2">
      <c r="A1606" s="75" t="s">
        <v>3557</v>
      </c>
      <c r="B1606" s="76" t="s">
        <v>1348</v>
      </c>
      <c r="C1606" s="76"/>
      <c r="D1606" s="81" t="str">
        <f t="shared" si="28"/>
        <v>GalvaUnions ff coudés 96</v>
      </c>
      <c r="E1606" s="76" t="s">
        <v>20</v>
      </c>
      <c r="F1606" s="81">
        <v>3</v>
      </c>
      <c r="G1606" s="86" t="s">
        <v>1353</v>
      </c>
      <c r="H1606" s="71"/>
      <c r="I1606" s="75"/>
      <c r="J1606" s="70">
        <f>IFERROR(VLOOKUP(Devis[[#This Row],[Ref Air Flux]],#REF!,3,FALSE),0)</f>
        <v>0</v>
      </c>
      <c r="K1606" s="68"/>
      <c r="L1606" s="68"/>
      <c r="M1606" s="68"/>
      <c r="N1606" s="68"/>
      <c r="O1606" s="68"/>
      <c r="P1606" s="68"/>
      <c r="Q1606" s="68">
        <f>SUM(Devis[[#This Row],[Poste 1]:[Poste 6]])</f>
        <v>0</v>
      </c>
      <c r="R1606" s="71"/>
      <c r="S1606" s="68">
        <f>_xlfn.CEILING.MATH(Devis[[#This Row],[Quantité Totale]],Devis[[#This Row],[Conditionnement]])</f>
        <v>0</v>
      </c>
      <c r="T1606" s="72"/>
      <c r="U1606" s="106"/>
      <c r="V1606" s="74">
        <f>Devis[[#This Row],[Prix de Revient]]*Devis[[#This Row],[Poste 1]]</f>
        <v>0</v>
      </c>
      <c r="W1606" s="74">
        <f>Devis[[#This Row],[Prix de Revient]]*Devis[[#This Row],[Poste 2]]</f>
        <v>0</v>
      </c>
      <c r="X1606" s="74">
        <f>Devis[[#This Row],[Prix de Revient]]*Devis[[#This Row],[Poste 3]]</f>
        <v>0</v>
      </c>
      <c r="Y1606" s="74">
        <f>Devis[[#This Row],[Poste 4]]*Devis[[#This Row],[Prix de Revient]]</f>
        <v>0</v>
      </c>
      <c r="Z1606" s="74">
        <f>Devis[[#This Row],[Poste 5]]*Devis[[#This Row],[Prix de Revient]]</f>
        <v>0</v>
      </c>
      <c r="AA1606" s="74">
        <f>Devis[[#This Row],[Prix de Revient]]*Devis[[#This Row],[Poste 6]]</f>
        <v>0</v>
      </c>
      <c r="AB1606" s="74">
        <f>Devis[[#This Row],[Quantité Totale]]*Devis[[#This Row],[Prix de Revient]]</f>
        <v>0</v>
      </c>
    </row>
    <row r="1607" spans="1:28" ht="14.25" outlineLevel="1" x14ac:dyDescent="0.2">
      <c r="A1607" s="75" t="s">
        <v>3557</v>
      </c>
      <c r="B1607" s="76" t="s">
        <v>1348</v>
      </c>
      <c r="C1607" s="76"/>
      <c r="D1607" s="81" t="str">
        <f t="shared" si="28"/>
        <v>GalvaUnions ff coudés 96</v>
      </c>
      <c r="E1607" s="80" t="s">
        <v>17</v>
      </c>
      <c r="F1607" s="81">
        <v>4</v>
      </c>
      <c r="G1607" s="86" t="s">
        <v>1356</v>
      </c>
      <c r="H1607" s="71"/>
      <c r="I1607" s="75"/>
      <c r="J1607" s="70">
        <f>IFERROR(VLOOKUP(Devis[[#This Row],[Ref Air Flux]],#REF!,3,FALSE),0)</f>
        <v>0</v>
      </c>
      <c r="K1607" s="68"/>
      <c r="L1607" s="68"/>
      <c r="M1607" s="68"/>
      <c r="N1607" s="68"/>
      <c r="O1607" s="68"/>
      <c r="P1607" s="68"/>
      <c r="Q1607" s="68">
        <f>SUM(Devis[[#This Row],[Poste 1]:[Poste 6]])</f>
        <v>0</v>
      </c>
      <c r="R1607" s="71"/>
      <c r="S1607" s="68">
        <f>_xlfn.CEILING.MATH(Devis[[#This Row],[Quantité Totale]],Devis[[#This Row],[Conditionnement]])</f>
        <v>0</v>
      </c>
      <c r="T1607" s="72"/>
      <c r="U1607" s="106"/>
      <c r="V1607" s="74">
        <f>Devis[[#This Row],[Prix de Revient]]*Devis[[#This Row],[Poste 1]]</f>
        <v>0</v>
      </c>
      <c r="W1607" s="74">
        <f>Devis[[#This Row],[Prix de Revient]]*Devis[[#This Row],[Poste 2]]</f>
        <v>0</v>
      </c>
      <c r="X1607" s="74">
        <f>Devis[[#This Row],[Prix de Revient]]*Devis[[#This Row],[Poste 3]]</f>
        <v>0</v>
      </c>
      <c r="Y1607" s="74">
        <f>Devis[[#This Row],[Poste 4]]*Devis[[#This Row],[Prix de Revient]]</f>
        <v>0</v>
      </c>
      <c r="Z1607" s="74">
        <f>Devis[[#This Row],[Poste 5]]*Devis[[#This Row],[Prix de Revient]]</f>
        <v>0</v>
      </c>
      <c r="AA1607" s="74">
        <f>Devis[[#This Row],[Prix de Revient]]*Devis[[#This Row],[Poste 6]]</f>
        <v>0</v>
      </c>
      <c r="AB1607" s="74">
        <f>Devis[[#This Row],[Quantité Totale]]*Devis[[#This Row],[Prix de Revient]]</f>
        <v>0</v>
      </c>
    </row>
    <row r="1608" spans="1:28" ht="14.25" customHeight="1" outlineLevel="1" x14ac:dyDescent="0.2">
      <c r="A1608" s="75" t="s">
        <v>3557</v>
      </c>
      <c r="B1608" s="76" t="s">
        <v>1348</v>
      </c>
      <c r="C1608" s="76"/>
      <c r="D1608" s="81" t="str">
        <f t="shared" si="28"/>
        <v>GalvaUnions ff coudés 96</v>
      </c>
      <c r="E1608" s="76" t="s">
        <v>0</v>
      </c>
      <c r="F1608" s="81">
        <v>5</v>
      </c>
      <c r="G1608" s="86" t="s">
        <v>1351</v>
      </c>
      <c r="H1608" s="71"/>
      <c r="I1608" s="75"/>
      <c r="J1608" s="70">
        <f>IFERROR(VLOOKUP(Devis[[#This Row],[Ref Air Flux]],#REF!,3,FALSE),0)</f>
        <v>0</v>
      </c>
      <c r="K1608" s="68"/>
      <c r="L1608" s="68"/>
      <c r="M1608" s="68"/>
      <c r="N1608" s="68"/>
      <c r="O1608" s="68"/>
      <c r="P1608" s="68"/>
      <c r="Q1608" s="68">
        <f>SUM(Devis[[#This Row],[Poste 1]:[Poste 6]])</f>
        <v>0</v>
      </c>
      <c r="R1608" s="71"/>
      <c r="S1608" s="68">
        <f>_xlfn.CEILING.MATH(Devis[[#This Row],[Quantité Totale]],Devis[[#This Row],[Conditionnement]])</f>
        <v>0</v>
      </c>
      <c r="T1608" s="72"/>
      <c r="U1608" s="106"/>
      <c r="V1608" s="74">
        <f>Devis[[#This Row],[Prix de Revient]]*Devis[[#This Row],[Poste 1]]</f>
        <v>0</v>
      </c>
      <c r="W1608" s="74">
        <f>Devis[[#This Row],[Prix de Revient]]*Devis[[#This Row],[Poste 2]]</f>
        <v>0</v>
      </c>
      <c r="X1608" s="74">
        <f>Devis[[#This Row],[Prix de Revient]]*Devis[[#This Row],[Poste 3]]</f>
        <v>0</v>
      </c>
      <c r="Y1608" s="74">
        <f>Devis[[#This Row],[Poste 4]]*Devis[[#This Row],[Prix de Revient]]</f>
        <v>0</v>
      </c>
      <c r="Z1608" s="74">
        <f>Devis[[#This Row],[Poste 5]]*Devis[[#This Row],[Prix de Revient]]</f>
        <v>0</v>
      </c>
      <c r="AA1608" s="74">
        <f>Devis[[#This Row],[Prix de Revient]]*Devis[[#This Row],[Poste 6]]</f>
        <v>0</v>
      </c>
      <c r="AB1608" s="74">
        <f>Devis[[#This Row],[Quantité Totale]]*Devis[[#This Row],[Prix de Revient]]</f>
        <v>0</v>
      </c>
    </row>
    <row r="1609" spans="1:28" ht="14.25" customHeight="1" outlineLevel="1" x14ac:dyDescent="0.2">
      <c r="A1609" s="75" t="s">
        <v>3557</v>
      </c>
      <c r="B1609" s="76" t="s">
        <v>1348</v>
      </c>
      <c r="C1609" s="76"/>
      <c r="D1609" s="81" t="str">
        <f t="shared" si="28"/>
        <v>GalvaUnions ff coudés 96</v>
      </c>
      <c r="E1609" s="76" t="s">
        <v>49</v>
      </c>
      <c r="F1609" s="81">
        <v>6</v>
      </c>
      <c r="G1609" s="86" t="s">
        <v>1350</v>
      </c>
      <c r="H1609" s="71"/>
      <c r="I1609" s="75"/>
      <c r="J1609" s="70">
        <f>IFERROR(VLOOKUP(Devis[[#This Row],[Ref Air Flux]],#REF!,3,FALSE),0)</f>
        <v>0</v>
      </c>
      <c r="K1609" s="68"/>
      <c r="L1609" s="68"/>
      <c r="M1609" s="68"/>
      <c r="N1609" s="68"/>
      <c r="O1609" s="68"/>
      <c r="P1609" s="68"/>
      <c r="Q1609" s="68">
        <f>SUM(Devis[[#This Row],[Poste 1]:[Poste 6]])</f>
        <v>0</v>
      </c>
      <c r="R1609" s="71"/>
      <c r="S1609" s="68">
        <f>_xlfn.CEILING.MATH(Devis[[#This Row],[Quantité Totale]],Devis[[#This Row],[Conditionnement]])</f>
        <v>0</v>
      </c>
      <c r="T1609" s="72"/>
      <c r="U1609" s="106"/>
      <c r="V1609" s="74">
        <f>Devis[[#This Row],[Prix de Revient]]*Devis[[#This Row],[Poste 1]]</f>
        <v>0</v>
      </c>
      <c r="W1609" s="74">
        <f>Devis[[#This Row],[Prix de Revient]]*Devis[[#This Row],[Poste 2]]</f>
        <v>0</v>
      </c>
      <c r="X1609" s="74">
        <f>Devis[[#This Row],[Prix de Revient]]*Devis[[#This Row],[Poste 3]]</f>
        <v>0</v>
      </c>
      <c r="Y1609" s="74">
        <f>Devis[[#This Row],[Poste 4]]*Devis[[#This Row],[Prix de Revient]]</f>
        <v>0</v>
      </c>
      <c r="Z1609" s="74">
        <f>Devis[[#This Row],[Poste 5]]*Devis[[#This Row],[Prix de Revient]]</f>
        <v>0</v>
      </c>
      <c r="AA1609" s="74">
        <f>Devis[[#This Row],[Prix de Revient]]*Devis[[#This Row],[Poste 6]]</f>
        <v>0</v>
      </c>
      <c r="AB1609" s="74">
        <f>Devis[[#This Row],[Quantité Totale]]*Devis[[#This Row],[Prix de Revient]]</f>
        <v>0</v>
      </c>
    </row>
    <row r="1610" spans="1:28" ht="14.25" outlineLevel="1" x14ac:dyDescent="0.2">
      <c r="A1610" s="75" t="s">
        <v>3557</v>
      </c>
      <c r="B1610" s="76" t="s">
        <v>1348</v>
      </c>
      <c r="C1610" s="76"/>
      <c r="D1610" s="81" t="str">
        <f t="shared" si="28"/>
        <v>GalvaUnions ff coudés 96</v>
      </c>
      <c r="E1610" s="76" t="s">
        <v>22</v>
      </c>
      <c r="F1610" s="81">
        <v>7</v>
      </c>
      <c r="G1610" s="86" t="s">
        <v>1349</v>
      </c>
      <c r="H1610" s="71"/>
      <c r="I1610" s="75"/>
      <c r="J1610" s="70">
        <f>IFERROR(VLOOKUP(Devis[[#This Row],[Ref Air Flux]],#REF!,3,FALSE),0)</f>
        <v>0</v>
      </c>
      <c r="K1610" s="68"/>
      <c r="L1610" s="68"/>
      <c r="M1610" s="68"/>
      <c r="N1610" s="68"/>
      <c r="O1610" s="68"/>
      <c r="P1610" s="68"/>
      <c r="Q1610" s="68">
        <f>SUM(Devis[[#This Row],[Poste 1]:[Poste 6]])</f>
        <v>0</v>
      </c>
      <c r="R1610" s="71"/>
      <c r="S1610" s="68">
        <f>_xlfn.CEILING.MATH(Devis[[#This Row],[Quantité Totale]],Devis[[#This Row],[Conditionnement]])</f>
        <v>0</v>
      </c>
      <c r="T1610" s="72"/>
      <c r="U1610" s="106"/>
      <c r="V1610" s="74">
        <f>Devis[[#This Row],[Prix de Revient]]*Devis[[#This Row],[Poste 1]]</f>
        <v>0</v>
      </c>
      <c r="W1610" s="74">
        <f>Devis[[#This Row],[Prix de Revient]]*Devis[[#This Row],[Poste 2]]</f>
        <v>0</v>
      </c>
      <c r="X1610" s="74">
        <f>Devis[[#This Row],[Prix de Revient]]*Devis[[#This Row],[Poste 3]]</f>
        <v>0</v>
      </c>
      <c r="Y1610" s="74">
        <f>Devis[[#This Row],[Poste 4]]*Devis[[#This Row],[Prix de Revient]]</f>
        <v>0</v>
      </c>
      <c r="Z1610" s="74">
        <f>Devis[[#This Row],[Poste 5]]*Devis[[#This Row],[Prix de Revient]]</f>
        <v>0</v>
      </c>
      <c r="AA1610" s="74">
        <f>Devis[[#This Row],[Prix de Revient]]*Devis[[#This Row],[Poste 6]]</f>
        <v>0</v>
      </c>
      <c r="AB1610" s="74">
        <f>Devis[[#This Row],[Quantité Totale]]*Devis[[#This Row],[Prix de Revient]]</f>
        <v>0</v>
      </c>
    </row>
    <row r="1611" spans="1:28" ht="14.25" outlineLevel="1" x14ac:dyDescent="0.2">
      <c r="A1611" s="75" t="s">
        <v>3557</v>
      </c>
      <c r="B1611" s="76" t="s">
        <v>1348</v>
      </c>
      <c r="C1611" s="76"/>
      <c r="D1611" s="81" t="str">
        <f t="shared" si="28"/>
        <v>GalvaUnions ff coudés 96</v>
      </c>
      <c r="E1611" s="80" t="s">
        <v>18</v>
      </c>
      <c r="F1611" s="81">
        <v>8</v>
      </c>
      <c r="G1611" s="86" t="s">
        <v>1355</v>
      </c>
      <c r="H1611" s="71"/>
      <c r="I1611" s="75"/>
      <c r="J1611" s="70">
        <f>IFERROR(VLOOKUP(Devis[[#This Row],[Ref Air Flux]],#REF!,3,FALSE),0)</f>
        <v>0</v>
      </c>
      <c r="K1611" s="68"/>
      <c r="L1611" s="68"/>
      <c r="M1611" s="68"/>
      <c r="N1611" s="68"/>
      <c r="O1611" s="68"/>
      <c r="P1611" s="68"/>
      <c r="Q1611" s="68">
        <f>SUM(Devis[[#This Row],[Poste 1]:[Poste 6]])</f>
        <v>0</v>
      </c>
      <c r="R1611" s="71"/>
      <c r="S1611" s="68">
        <f>_xlfn.CEILING.MATH(Devis[[#This Row],[Quantité Totale]],Devis[[#This Row],[Conditionnement]])</f>
        <v>0</v>
      </c>
      <c r="T1611" s="72"/>
      <c r="U1611" s="106"/>
      <c r="V1611" s="74">
        <f>Devis[[#This Row],[Prix de Revient]]*Devis[[#This Row],[Poste 1]]</f>
        <v>0</v>
      </c>
      <c r="W1611" s="74">
        <f>Devis[[#This Row],[Prix de Revient]]*Devis[[#This Row],[Poste 2]]</f>
        <v>0</v>
      </c>
      <c r="X1611" s="74">
        <f>Devis[[#This Row],[Prix de Revient]]*Devis[[#This Row],[Poste 3]]</f>
        <v>0</v>
      </c>
      <c r="Y1611" s="74">
        <f>Devis[[#This Row],[Poste 4]]*Devis[[#This Row],[Prix de Revient]]</f>
        <v>0</v>
      </c>
      <c r="Z1611" s="74">
        <f>Devis[[#This Row],[Poste 5]]*Devis[[#This Row],[Prix de Revient]]</f>
        <v>0</v>
      </c>
      <c r="AA1611" s="74">
        <f>Devis[[#This Row],[Prix de Revient]]*Devis[[#This Row],[Poste 6]]</f>
        <v>0</v>
      </c>
      <c r="AB1611" s="74">
        <f>Devis[[#This Row],[Quantité Totale]]*Devis[[#This Row],[Prix de Revient]]</f>
        <v>0</v>
      </c>
    </row>
    <row r="1612" spans="1:28" ht="14.25" customHeight="1" x14ac:dyDescent="0.25">
      <c r="A1612" s="65" t="s">
        <v>3557</v>
      </c>
      <c r="B1612" s="65" t="s">
        <v>1357</v>
      </c>
      <c r="C1612" s="76"/>
      <c r="D1612" s="81" t="str">
        <f t="shared" si="28"/>
        <v>GalvaUnions mf 341</v>
      </c>
      <c r="E1612" s="76"/>
      <c r="F1612" s="81">
        <v>0</v>
      </c>
      <c r="G1612" s="86"/>
      <c r="H1612" s="71"/>
      <c r="I1612" s="75"/>
      <c r="J1612" s="70">
        <f>IFERROR(VLOOKUP(Devis[[#This Row],[Ref Air Flux]],#REF!,3,FALSE),0)</f>
        <v>0</v>
      </c>
      <c r="K1612" s="68"/>
      <c r="L1612" s="68"/>
      <c r="M1612" s="68"/>
      <c r="N1612" s="68"/>
      <c r="O1612" s="68"/>
      <c r="P1612" s="68"/>
      <c r="Q1612" s="68">
        <f>SUM(Devis[[#This Row],[Poste 1]:[Poste 6]])</f>
        <v>0</v>
      </c>
      <c r="R1612" s="71"/>
      <c r="S1612" s="68">
        <f>_xlfn.CEILING.MATH(Devis[[#This Row],[Quantité Totale]],Devis[[#This Row],[Conditionnement]])</f>
        <v>0</v>
      </c>
      <c r="T1612" s="72"/>
      <c r="U1612" s="106"/>
      <c r="V1612" s="74">
        <f>Devis[[#This Row],[Prix de Revient]]*Devis[[#This Row],[Poste 1]]</f>
        <v>0</v>
      </c>
      <c r="W1612" s="74">
        <f>Devis[[#This Row],[Prix de Revient]]*Devis[[#This Row],[Poste 2]]</f>
        <v>0</v>
      </c>
      <c r="X1612" s="74">
        <f>Devis[[#This Row],[Prix de Revient]]*Devis[[#This Row],[Poste 3]]</f>
        <v>0</v>
      </c>
      <c r="Y1612" s="74">
        <f>Devis[[#This Row],[Poste 4]]*Devis[[#This Row],[Prix de Revient]]</f>
        <v>0</v>
      </c>
      <c r="Z1612" s="74">
        <f>Devis[[#This Row],[Poste 5]]*Devis[[#This Row],[Prix de Revient]]</f>
        <v>0</v>
      </c>
      <c r="AA1612" s="74">
        <f>Devis[[#This Row],[Prix de Revient]]*Devis[[#This Row],[Poste 6]]</f>
        <v>0</v>
      </c>
      <c r="AB1612" s="74">
        <f>Devis[[#This Row],[Quantité Totale]]*Devis[[#This Row],[Prix de Revient]]</f>
        <v>0</v>
      </c>
    </row>
    <row r="1613" spans="1:28" ht="15" customHeight="1" outlineLevel="1" x14ac:dyDescent="0.2">
      <c r="A1613" s="75" t="s">
        <v>3557</v>
      </c>
      <c r="B1613" s="76" t="s">
        <v>1357</v>
      </c>
      <c r="C1613" s="76"/>
      <c r="D1613" s="81" t="str">
        <f t="shared" si="28"/>
        <v>GalvaUnions mf 341</v>
      </c>
      <c r="E1613" s="76" t="s">
        <v>19</v>
      </c>
      <c r="F1613" s="81">
        <v>1</v>
      </c>
      <c r="G1613" s="86" t="s">
        <v>1364</v>
      </c>
      <c r="H1613" s="71"/>
      <c r="I1613" s="75"/>
      <c r="J1613" s="70">
        <f>IFERROR(VLOOKUP(Devis[[#This Row],[Ref Air Flux]],#REF!,3,FALSE),0)</f>
        <v>0</v>
      </c>
      <c r="K1613" s="68"/>
      <c r="L1613" s="68"/>
      <c r="M1613" s="68"/>
      <c r="N1613" s="68"/>
      <c r="O1613" s="68"/>
      <c r="P1613" s="68"/>
      <c r="Q1613" s="68">
        <f>SUM(Devis[[#This Row],[Poste 1]:[Poste 6]])</f>
        <v>0</v>
      </c>
      <c r="R1613" s="71"/>
      <c r="S1613" s="68">
        <f>_xlfn.CEILING.MATH(Devis[[#This Row],[Quantité Totale]],Devis[[#This Row],[Conditionnement]])</f>
        <v>0</v>
      </c>
      <c r="T1613" s="72"/>
      <c r="U1613" s="106"/>
      <c r="V1613" s="74">
        <f>Devis[[#This Row],[Prix de Revient]]*Devis[[#This Row],[Poste 1]]</f>
        <v>0</v>
      </c>
      <c r="W1613" s="74">
        <f>Devis[[#This Row],[Prix de Revient]]*Devis[[#This Row],[Poste 2]]</f>
        <v>0</v>
      </c>
      <c r="X1613" s="74">
        <f>Devis[[#This Row],[Prix de Revient]]*Devis[[#This Row],[Poste 3]]</f>
        <v>0</v>
      </c>
      <c r="Y1613" s="74">
        <f>Devis[[#This Row],[Poste 4]]*Devis[[#This Row],[Prix de Revient]]</f>
        <v>0</v>
      </c>
      <c r="Z1613" s="74">
        <f>Devis[[#This Row],[Poste 5]]*Devis[[#This Row],[Prix de Revient]]</f>
        <v>0</v>
      </c>
      <c r="AA1613" s="74">
        <f>Devis[[#This Row],[Prix de Revient]]*Devis[[#This Row],[Poste 6]]</f>
        <v>0</v>
      </c>
      <c r="AB1613" s="74">
        <f>Devis[[#This Row],[Quantité Totale]]*Devis[[#This Row],[Prix de Revient]]</f>
        <v>0</v>
      </c>
    </row>
    <row r="1614" spans="1:28" ht="14.25" outlineLevel="1" x14ac:dyDescent="0.2">
      <c r="A1614" s="75" t="s">
        <v>3557</v>
      </c>
      <c r="B1614" s="76" t="s">
        <v>1357</v>
      </c>
      <c r="C1614" s="76"/>
      <c r="D1614" s="81" t="str">
        <f t="shared" si="28"/>
        <v>GalvaUnions mf 341</v>
      </c>
      <c r="E1614" s="76" t="s">
        <v>21</v>
      </c>
      <c r="F1614" s="81">
        <v>2</v>
      </c>
      <c r="G1614" s="86" t="s">
        <v>1362</v>
      </c>
      <c r="H1614" s="71"/>
      <c r="I1614" s="75"/>
      <c r="J1614" s="70">
        <f>IFERROR(VLOOKUP(Devis[[#This Row],[Ref Air Flux]],#REF!,3,FALSE),0)</f>
        <v>0</v>
      </c>
      <c r="K1614" s="68"/>
      <c r="L1614" s="68"/>
      <c r="M1614" s="68"/>
      <c r="N1614" s="68"/>
      <c r="O1614" s="68"/>
      <c r="P1614" s="68"/>
      <c r="Q1614" s="68">
        <f>SUM(Devis[[#This Row],[Poste 1]:[Poste 6]])</f>
        <v>0</v>
      </c>
      <c r="R1614" s="71"/>
      <c r="S1614" s="68">
        <f>_xlfn.CEILING.MATH(Devis[[#This Row],[Quantité Totale]],Devis[[#This Row],[Conditionnement]])</f>
        <v>0</v>
      </c>
      <c r="T1614" s="72"/>
      <c r="U1614" s="106"/>
      <c r="V1614" s="74">
        <f>Devis[[#This Row],[Prix de Revient]]*Devis[[#This Row],[Poste 1]]</f>
        <v>0</v>
      </c>
      <c r="W1614" s="74">
        <f>Devis[[#This Row],[Prix de Revient]]*Devis[[#This Row],[Poste 2]]</f>
        <v>0</v>
      </c>
      <c r="X1614" s="74">
        <f>Devis[[#This Row],[Prix de Revient]]*Devis[[#This Row],[Poste 3]]</f>
        <v>0</v>
      </c>
      <c r="Y1614" s="74">
        <f>Devis[[#This Row],[Poste 4]]*Devis[[#This Row],[Prix de Revient]]</f>
        <v>0</v>
      </c>
      <c r="Z1614" s="74">
        <f>Devis[[#This Row],[Poste 5]]*Devis[[#This Row],[Prix de Revient]]</f>
        <v>0</v>
      </c>
      <c r="AA1614" s="74">
        <f>Devis[[#This Row],[Prix de Revient]]*Devis[[#This Row],[Poste 6]]</f>
        <v>0</v>
      </c>
      <c r="AB1614" s="74">
        <f>Devis[[#This Row],[Quantité Totale]]*Devis[[#This Row],[Prix de Revient]]</f>
        <v>0</v>
      </c>
    </row>
    <row r="1615" spans="1:28" ht="14.25" outlineLevel="1" x14ac:dyDescent="0.2">
      <c r="A1615" s="75" t="s">
        <v>3557</v>
      </c>
      <c r="B1615" s="76" t="s">
        <v>1357</v>
      </c>
      <c r="C1615" s="76"/>
      <c r="D1615" s="81" t="str">
        <f t="shared" si="28"/>
        <v>GalvaUnions mf 341</v>
      </c>
      <c r="E1615" s="76" t="s">
        <v>20</v>
      </c>
      <c r="F1615" s="81">
        <v>3</v>
      </c>
      <c r="G1615" s="86" t="s">
        <v>1363</v>
      </c>
      <c r="H1615" s="71"/>
      <c r="I1615" s="75"/>
      <c r="J1615" s="70">
        <f>IFERROR(VLOOKUP(Devis[[#This Row],[Ref Air Flux]],#REF!,3,FALSE),0)</f>
        <v>0</v>
      </c>
      <c r="K1615" s="68"/>
      <c r="L1615" s="68"/>
      <c r="M1615" s="68"/>
      <c r="N1615" s="68"/>
      <c r="O1615" s="68"/>
      <c r="P1615" s="68"/>
      <c r="Q1615" s="68">
        <f>SUM(Devis[[#This Row],[Poste 1]:[Poste 6]])</f>
        <v>0</v>
      </c>
      <c r="R1615" s="71"/>
      <c r="S1615" s="68">
        <f>_xlfn.CEILING.MATH(Devis[[#This Row],[Quantité Totale]],Devis[[#This Row],[Conditionnement]])</f>
        <v>0</v>
      </c>
      <c r="T1615" s="72"/>
      <c r="U1615" s="106"/>
      <c r="V1615" s="74">
        <f>Devis[[#This Row],[Prix de Revient]]*Devis[[#This Row],[Poste 1]]</f>
        <v>0</v>
      </c>
      <c r="W1615" s="74">
        <f>Devis[[#This Row],[Prix de Revient]]*Devis[[#This Row],[Poste 2]]</f>
        <v>0</v>
      </c>
      <c r="X1615" s="74">
        <f>Devis[[#This Row],[Prix de Revient]]*Devis[[#This Row],[Poste 3]]</f>
        <v>0</v>
      </c>
      <c r="Y1615" s="74">
        <f>Devis[[#This Row],[Poste 4]]*Devis[[#This Row],[Prix de Revient]]</f>
        <v>0</v>
      </c>
      <c r="Z1615" s="74">
        <f>Devis[[#This Row],[Poste 5]]*Devis[[#This Row],[Prix de Revient]]</f>
        <v>0</v>
      </c>
      <c r="AA1615" s="74">
        <f>Devis[[#This Row],[Prix de Revient]]*Devis[[#This Row],[Poste 6]]</f>
        <v>0</v>
      </c>
      <c r="AB1615" s="74">
        <f>Devis[[#This Row],[Quantité Totale]]*Devis[[#This Row],[Prix de Revient]]</f>
        <v>0</v>
      </c>
    </row>
    <row r="1616" spans="1:28" ht="14.25" outlineLevel="1" x14ac:dyDescent="0.2">
      <c r="A1616" s="75" t="s">
        <v>3557</v>
      </c>
      <c r="B1616" s="76" t="s">
        <v>1357</v>
      </c>
      <c r="C1616" s="76"/>
      <c r="D1616" s="81" t="str">
        <f t="shared" si="28"/>
        <v>GalvaUnions mf 341</v>
      </c>
      <c r="E1616" s="80" t="s">
        <v>17</v>
      </c>
      <c r="F1616" s="81">
        <v>4</v>
      </c>
      <c r="G1616" s="86" t="s">
        <v>1366</v>
      </c>
      <c r="H1616" s="71"/>
      <c r="I1616" s="105"/>
      <c r="J1616" s="70">
        <f>IFERROR(VLOOKUP(Devis[[#This Row],[Ref Air Flux]],#REF!,3,FALSE),0)</f>
        <v>0</v>
      </c>
      <c r="K1616" s="68"/>
      <c r="L1616" s="68"/>
      <c r="M1616" s="68"/>
      <c r="N1616" s="68"/>
      <c r="O1616" s="68"/>
      <c r="P1616" s="68"/>
      <c r="Q1616" s="68">
        <f>SUM(Devis[[#This Row],[Poste 1]:[Poste 6]])</f>
        <v>0</v>
      </c>
      <c r="R1616" s="71"/>
      <c r="S1616" s="68">
        <f>_xlfn.CEILING.MATH(Devis[[#This Row],[Quantité Totale]],Devis[[#This Row],[Conditionnement]])</f>
        <v>0</v>
      </c>
      <c r="T1616" s="72"/>
      <c r="U1616" s="106"/>
      <c r="V1616" s="74">
        <f>Devis[[#This Row],[Prix de Revient]]*Devis[[#This Row],[Poste 1]]</f>
        <v>0</v>
      </c>
      <c r="W1616" s="74">
        <f>Devis[[#This Row],[Prix de Revient]]*Devis[[#This Row],[Poste 2]]</f>
        <v>0</v>
      </c>
      <c r="X1616" s="74">
        <f>Devis[[#This Row],[Prix de Revient]]*Devis[[#This Row],[Poste 3]]</f>
        <v>0</v>
      </c>
      <c r="Y1616" s="74">
        <f>Devis[[#This Row],[Poste 4]]*Devis[[#This Row],[Prix de Revient]]</f>
        <v>0</v>
      </c>
      <c r="Z1616" s="74">
        <f>Devis[[#This Row],[Poste 5]]*Devis[[#This Row],[Prix de Revient]]</f>
        <v>0</v>
      </c>
      <c r="AA1616" s="74">
        <f>Devis[[#This Row],[Prix de Revient]]*Devis[[#This Row],[Poste 6]]</f>
        <v>0</v>
      </c>
      <c r="AB1616" s="74">
        <f>Devis[[#This Row],[Quantité Totale]]*Devis[[#This Row],[Prix de Revient]]</f>
        <v>0</v>
      </c>
    </row>
    <row r="1617" spans="1:28" ht="14.25" customHeight="1" outlineLevel="1" x14ac:dyDescent="0.2">
      <c r="A1617" s="75" t="s">
        <v>3557</v>
      </c>
      <c r="B1617" s="76" t="s">
        <v>1357</v>
      </c>
      <c r="C1617" s="76"/>
      <c r="D1617" s="81" t="str">
        <f t="shared" si="28"/>
        <v>GalvaUnions mf 341</v>
      </c>
      <c r="E1617" s="80" t="s">
        <v>46</v>
      </c>
      <c r="F1617" s="81">
        <v>5</v>
      </c>
      <c r="G1617" s="86" t="s">
        <v>1368</v>
      </c>
      <c r="H1617" s="71"/>
      <c r="I1617" s="105"/>
      <c r="J1617" s="70">
        <f>IFERROR(VLOOKUP(Devis[[#This Row],[Ref Air Flux]],#REF!,3,FALSE),0)</f>
        <v>0</v>
      </c>
      <c r="K1617" s="68"/>
      <c r="L1617" s="68"/>
      <c r="M1617" s="68"/>
      <c r="N1617" s="68"/>
      <c r="O1617" s="68"/>
      <c r="P1617" s="68"/>
      <c r="Q1617" s="68">
        <f>SUM(Devis[[#This Row],[Poste 1]:[Poste 6]])</f>
        <v>0</v>
      </c>
      <c r="R1617" s="71"/>
      <c r="S1617" s="68">
        <f>_xlfn.CEILING.MATH(Devis[[#This Row],[Quantité Totale]],Devis[[#This Row],[Conditionnement]])</f>
        <v>0</v>
      </c>
      <c r="T1617" s="72"/>
      <c r="U1617" s="106"/>
      <c r="V1617" s="74">
        <f>Devis[[#This Row],[Prix de Revient]]*Devis[[#This Row],[Poste 1]]</f>
        <v>0</v>
      </c>
      <c r="W1617" s="74">
        <f>Devis[[#This Row],[Prix de Revient]]*Devis[[#This Row],[Poste 2]]</f>
        <v>0</v>
      </c>
      <c r="X1617" s="74">
        <f>Devis[[#This Row],[Prix de Revient]]*Devis[[#This Row],[Poste 3]]</f>
        <v>0</v>
      </c>
      <c r="Y1617" s="74">
        <f>Devis[[#This Row],[Poste 4]]*Devis[[#This Row],[Prix de Revient]]</f>
        <v>0</v>
      </c>
      <c r="Z1617" s="74">
        <f>Devis[[#This Row],[Poste 5]]*Devis[[#This Row],[Prix de Revient]]</f>
        <v>0</v>
      </c>
      <c r="AA1617" s="74">
        <f>Devis[[#This Row],[Prix de Revient]]*Devis[[#This Row],[Poste 6]]</f>
        <v>0</v>
      </c>
      <c r="AB1617" s="74">
        <f>Devis[[#This Row],[Quantité Totale]]*Devis[[#This Row],[Prix de Revient]]</f>
        <v>0</v>
      </c>
    </row>
    <row r="1618" spans="1:28" ht="14.25" customHeight="1" outlineLevel="1" x14ac:dyDescent="0.2">
      <c r="A1618" s="75" t="s">
        <v>3557</v>
      </c>
      <c r="B1618" s="76" t="s">
        <v>1357</v>
      </c>
      <c r="C1618" s="76"/>
      <c r="D1618" s="81" t="str">
        <f t="shared" si="28"/>
        <v>GalvaUnions mf 341</v>
      </c>
      <c r="E1618" s="76" t="s">
        <v>0</v>
      </c>
      <c r="F1618" s="81">
        <v>6</v>
      </c>
      <c r="G1618" s="86" t="s">
        <v>1361</v>
      </c>
      <c r="H1618" s="71"/>
      <c r="I1618" s="75"/>
      <c r="J1618" s="70">
        <f>IFERROR(VLOOKUP(Devis[[#This Row],[Ref Air Flux]],#REF!,3,FALSE),0)</f>
        <v>0</v>
      </c>
      <c r="K1618" s="68"/>
      <c r="L1618" s="68"/>
      <c r="M1618" s="68"/>
      <c r="N1618" s="68"/>
      <c r="O1618" s="68"/>
      <c r="P1618" s="68"/>
      <c r="Q1618" s="68">
        <f>SUM(Devis[[#This Row],[Poste 1]:[Poste 6]])</f>
        <v>0</v>
      </c>
      <c r="R1618" s="71"/>
      <c r="S1618" s="68">
        <f>_xlfn.CEILING.MATH(Devis[[#This Row],[Quantité Totale]],Devis[[#This Row],[Conditionnement]])</f>
        <v>0</v>
      </c>
      <c r="T1618" s="72"/>
      <c r="U1618" s="106"/>
      <c r="V1618" s="74">
        <f>Devis[[#This Row],[Prix de Revient]]*Devis[[#This Row],[Poste 1]]</f>
        <v>0</v>
      </c>
      <c r="W1618" s="74">
        <f>Devis[[#This Row],[Prix de Revient]]*Devis[[#This Row],[Poste 2]]</f>
        <v>0</v>
      </c>
      <c r="X1618" s="74">
        <f>Devis[[#This Row],[Prix de Revient]]*Devis[[#This Row],[Poste 3]]</f>
        <v>0</v>
      </c>
      <c r="Y1618" s="74">
        <f>Devis[[#This Row],[Poste 4]]*Devis[[#This Row],[Prix de Revient]]</f>
        <v>0</v>
      </c>
      <c r="Z1618" s="74">
        <f>Devis[[#This Row],[Poste 5]]*Devis[[#This Row],[Prix de Revient]]</f>
        <v>0</v>
      </c>
      <c r="AA1618" s="74">
        <f>Devis[[#This Row],[Prix de Revient]]*Devis[[#This Row],[Poste 6]]</f>
        <v>0</v>
      </c>
      <c r="AB1618" s="74">
        <f>Devis[[#This Row],[Quantité Totale]]*Devis[[#This Row],[Prix de Revient]]</f>
        <v>0</v>
      </c>
    </row>
    <row r="1619" spans="1:28" ht="14.25" outlineLevel="1" x14ac:dyDescent="0.2">
      <c r="A1619" s="75" t="s">
        <v>3557</v>
      </c>
      <c r="B1619" s="76" t="s">
        <v>1357</v>
      </c>
      <c r="C1619" s="76"/>
      <c r="D1619" s="81" t="str">
        <f t="shared" ref="D1619:D1682" si="29">A1619&amp;B1619&amp;C1619</f>
        <v>GalvaUnions mf 341</v>
      </c>
      <c r="E1619" s="76" t="s">
        <v>49</v>
      </c>
      <c r="F1619" s="81">
        <v>7</v>
      </c>
      <c r="G1619" s="86" t="s">
        <v>1360</v>
      </c>
      <c r="H1619" s="71"/>
      <c r="I1619" s="75"/>
      <c r="J1619" s="70">
        <f>IFERROR(VLOOKUP(Devis[[#This Row],[Ref Air Flux]],#REF!,3,FALSE),0)</f>
        <v>0</v>
      </c>
      <c r="K1619" s="68"/>
      <c r="L1619" s="68"/>
      <c r="M1619" s="68"/>
      <c r="N1619" s="68"/>
      <c r="O1619" s="68"/>
      <c r="P1619" s="68"/>
      <c r="Q1619" s="68">
        <f>SUM(Devis[[#This Row],[Poste 1]:[Poste 6]])</f>
        <v>0</v>
      </c>
      <c r="R1619" s="71"/>
      <c r="S1619" s="68">
        <f>_xlfn.CEILING.MATH(Devis[[#This Row],[Quantité Totale]],Devis[[#This Row],[Conditionnement]])</f>
        <v>0</v>
      </c>
      <c r="T1619" s="72"/>
      <c r="U1619" s="106"/>
      <c r="V1619" s="74">
        <f>Devis[[#This Row],[Prix de Revient]]*Devis[[#This Row],[Poste 1]]</f>
        <v>0</v>
      </c>
      <c r="W1619" s="74">
        <f>Devis[[#This Row],[Prix de Revient]]*Devis[[#This Row],[Poste 2]]</f>
        <v>0</v>
      </c>
      <c r="X1619" s="74">
        <f>Devis[[#This Row],[Prix de Revient]]*Devis[[#This Row],[Poste 3]]</f>
        <v>0</v>
      </c>
      <c r="Y1619" s="74">
        <f>Devis[[#This Row],[Poste 4]]*Devis[[#This Row],[Prix de Revient]]</f>
        <v>0</v>
      </c>
      <c r="Z1619" s="74">
        <f>Devis[[#This Row],[Poste 5]]*Devis[[#This Row],[Prix de Revient]]</f>
        <v>0</v>
      </c>
      <c r="AA1619" s="74">
        <f>Devis[[#This Row],[Prix de Revient]]*Devis[[#This Row],[Poste 6]]</f>
        <v>0</v>
      </c>
      <c r="AB1619" s="74">
        <f>Devis[[#This Row],[Quantité Totale]]*Devis[[#This Row],[Prix de Revient]]</f>
        <v>0</v>
      </c>
    </row>
    <row r="1620" spans="1:28" ht="14.25" outlineLevel="1" x14ac:dyDescent="0.2">
      <c r="A1620" s="75" t="s">
        <v>3557</v>
      </c>
      <c r="B1620" s="76" t="s">
        <v>1357</v>
      </c>
      <c r="C1620" s="76"/>
      <c r="D1620" s="81" t="str">
        <f t="shared" si="29"/>
        <v>GalvaUnions mf 341</v>
      </c>
      <c r="E1620" s="76" t="s">
        <v>821</v>
      </c>
      <c r="F1620" s="81">
        <v>8</v>
      </c>
      <c r="G1620" s="86" t="s">
        <v>1359</v>
      </c>
      <c r="H1620" s="71"/>
      <c r="I1620" s="75"/>
      <c r="J1620" s="70">
        <f>IFERROR(VLOOKUP(Devis[[#This Row],[Ref Air Flux]],#REF!,3,FALSE),0)</f>
        <v>0</v>
      </c>
      <c r="K1620" s="68"/>
      <c r="L1620" s="68"/>
      <c r="M1620" s="68"/>
      <c r="N1620" s="68"/>
      <c r="O1620" s="68"/>
      <c r="P1620" s="68"/>
      <c r="Q1620" s="68">
        <f>SUM(Devis[[#This Row],[Poste 1]:[Poste 6]])</f>
        <v>0</v>
      </c>
      <c r="R1620" s="71"/>
      <c r="S1620" s="68">
        <f>_xlfn.CEILING.MATH(Devis[[#This Row],[Quantité Totale]],Devis[[#This Row],[Conditionnement]])</f>
        <v>0</v>
      </c>
      <c r="T1620" s="72"/>
      <c r="U1620" s="106"/>
      <c r="V1620" s="74">
        <f>Devis[[#This Row],[Prix de Revient]]*Devis[[#This Row],[Poste 1]]</f>
        <v>0</v>
      </c>
      <c r="W1620" s="74">
        <f>Devis[[#This Row],[Prix de Revient]]*Devis[[#This Row],[Poste 2]]</f>
        <v>0</v>
      </c>
      <c r="X1620" s="74">
        <f>Devis[[#This Row],[Prix de Revient]]*Devis[[#This Row],[Poste 3]]</f>
        <v>0</v>
      </c>
      <c r="Y1620" s="74">
        <f>Devis[[#This Row],[Poste 4]]*Devis[[#This Row],[Prix de Revient]]</f>
        <v>0</v>
      </c>
      <c r="Z1620" s="74">
        <f>Devis[[#This Row],[Poste 5]]*Devis[[#This Row],[Prix de Revient]]</f>
        <v>0</v>
      </c>
      <c r="AA1620" s="74">
        <f>Devis[[#This Row],[Prix de Revient]]*Devis[[#This Row],[Poste 6]]</f>
        <v>0</v>
      </c>
      <c r="AB1620" s="74">
        <f>Devis[[#This Row],[Quantité Totale]]*Devis[[#This Row],[Prix de Revient]]</f>
        <v>0</v>
      </c>
    </row>
    <row r="1621" spans="1:28" ht="14.25" outlineLevel="1" x14ac:dyDescent="0.2">
      <c r="A1621" s="75" t="s">
        <v>3557</v>
      </c>
      <c r="B1621" s="76" t="s">
        <v>1357</v>
      </c>
      <c r="C1621" s="76"/>
      <c r="D1621" s="81" t="str">
        <f t="shared" si="29"/>
        <v>GalvaUnions mf 341</v>
      </c>
      <c r="E1621" s="80" t="s">
        <v>18</v>
      </c>
      <c r="F1621" s="81">
        <v>9</v>
      </c>
      <c r="G1621" s="86" t="s">
        <v>1365</v>
      </c>
      <c r="H1621" s="71"/>
      <c r="I1621" s="105"/>
      <c r="J1621" s="70">
        <f>IFERROR(VLOOKUP(Devis[[#This Row],[Ref Air Flux]],#REF!,3,FALSE),0)</f>
        <v>0</v>
      </c>
      <c r="K1621" s="68"/>
      <c r="L1621" s="68"/>
      <c r="M1621" s="68"/>
      <c r="N1621" s="68"/>
      <c r="O1621" s="68"/>
      <c r="P1621" s="68"/>
      <c r="Q1621" s="68">
        <f>SUM(Devis[[#This Row],[Poste 1]:[Poste 6]])</f>
        <v>0</v>
      </c>
      <c r="R1621" s="71"/>
      <c r="S1621" s="68">
        <f>_xlfn.CEILING.MATH(Devis[[#This Row],[Quantité Totale]],Devis[[#This Row],[Conditionnement]])</f>
        <v>0</v>
      </c>
      <c r="T1621" s="72"/>
      <c r="U1621" s="106"/>
      <c r="V1621" s="74">
        <f>Devis[[#This Row],[Prix de Revient]]*Devis[[#This Row],[Poste 1]]</f>
        <v>0</v>
      </c>
      <c r="W1621" s="74">
        <f>Devis[[#This Row],[Prix de Revient]]*Devis[[#This Row],[Poste 2]]</f>
        <v>0</v>
      </c>
      <c r="X1621" s="74">
        <f>Devis[[#This Row],[Prix de Revient]]*Devis[[#This Row],[Poste 3]]</f>
        <v>0</v>
      </c>
      <c r="Y1621" s="74">
        <f>Devis[[#This Row],[Poste 4]]*Devis[[#This Row],[Prix de Revient]]</f>
        <v>0</v>
      </c>
      <c r="Z1621" s="74">
        <f>Devis[[#This Row],[Poste 5]]*Devis[[#This Row],[Prix de Revient]]</f>
        <v>0</v>
      </c>
      <c r="AA1621" s="74">
        <f>Devis[[#This Row],[Prix de Revient]]*Devis[[#This Row],[Poste 6]]</f>
        <v>0</v>
      </c>
      <c r="AB1621" s="74">
        <f>Devis[[#This Row],[Quantité Totale]]*Devis[[#This Row],[Prix de Revient]]</f>
        <v>0</v>
      </c>
    </row>
    <row r="1622" spans="1:28" ht="14.25" outlineLevel="1" x14ac:dyDescent="0.2">
      <c r="A1622" s="75" t="s">
        <v>3557</v>
      </c>
      <c r="B1622" s="76" t="s">
        <v>1357</v>
      </c>
      <c r="C1622" s="76"/>
      <c r="D1622" s="81" t="str">
        <f t="shared" si="29"/>
        <v>GalvaUnions mf 341</v>
      </c>
      <c r="E1622" s="80" t="s">
        <v>16</v>
      </c>
      <c r="F1622" s="81">
        <v>10</v>
      </c>
      <c r="G1622" s="86" t="s">
        <v>1367</v>
      </c>
      <c r="H1622" s="71"/>
      <c r="I1622" s="105"/>
      <c r="J1622" s="70">
        <f>IFERROR(VLOOKUP(Devis[[#This Row],[Ref Air Flux]],#REF!,3,FALSE),0)</f>
        <v>0</v>
      </c>
      <c r="K1622" s="68"/>
      <c r="L1622" s="68"/>
      <c r="M1622" s="68"/>
      <c r="N1622" s="68"/>
      <c r="O1622" s="68"/>
      <c r="P1622" s="68"/>
      <c r="Q1622" s="68">
        <f>SUM(Devis[[#This Row],[Poste 1]:[Poste 6]])</f>
        <v>0</v>
      </c>
      <c r="R1622" s="71"/>
      <c r="S1622" s="68">
        <f>_xlfn.CEILING.MATH(Devis[[#This Row],[Quantité Totale]],Devis[[#This Row],[Conditionnement]])</f>
        <v>0</v>
      </c>
      <c r="T1622" s="72"/>
      <c r="U1622" s="106"/>
      <c r="V1622" s="74">
        <f>Devis[[#This Row],[Prix de Revient]]*Devis[[#This Row],[Poste 1]]</f>
        <v>0</v>
      </c>
      <c r="W1622" s="74">
        <f>Devis[[#This Row],[Prix de Revient]]*Devis[[#This Row],[Poste 2]]</f>
        <v>0</v>
      </c>
      <c r="X1622" s="74">
        <f>Devis[[#This Row],[Prix de Revient]]*Devis[[#This Row],[Poste 3]]</f>
        <v>0</v>
      </c>
      <c r="Y1622" s="74">
        <f>Devis[[#This Row],[Poste 4]]*Devis[[#This Row],[Prix de Revient]]</f>
        <v>0</v>
      </c>
      <c r="Z1622" s="74">
        <f>Devis[[#This Row],[Poste 5]]*Devis[[#This Row],[Prix de Revient]]</f>
        <v>0</v>
      </c>
      <c r="AA1622" s="74">
        <f>Devis[[#This Row],[Prix de Revient]]*Devis[[#This Row],[Poste 6]]</f>
        <v>0</v>
      </c>
      <c r="AB1622" s="74">
        <f>Devis[[#This Row],[Quantité Totale]]*Devis[[#This Row],[Prix de Revient]]</f>
        <v>0</v>
      </c>
    </row>
    <row r="1623" spans="1:28" ht="14.25" outlineLevel="1" x14ac:dyDescent="0.2">
      <c r="A1623" s="75" t="s">
        <v>3557</v>
      </c>
      <c r="B1623" s="76" t="s">
        <v>1357</v>
      </c>
      <c r="C1623" s="76"/>
      <c r="D1623" s="81" t="str">
        <f t="shared" si="29"/>
        <v>GalvaUnions mf 341</v>
      </c>
      <c r="E1623" s="80" t="s">
        <v>25</v>
      </c>
      <c r="F1623" s="81">
        <v>11</v>
      </c>
      <c r="G1623" s="86" t="s">
        <v>1358</v>
      </c>
      <c r="H1623" s="71"/>
      <c r="I1623" s="105"/>
      <c r="J1623" s="70">
        <f>IFERROR(VLOOKUP(Devis[[#This Row],[Ref Air Flux]],#REF!,3,FALSE),0)</f>
        <v>0</v>
      </c>
      <c r="K1623" s="68"/>
      <c r="L1623" s="68"/>
      <c r="M1623" s="68"/>
      <c r="N1623" s="68"/>
      <c r="O1623" s="68"/>
      <c r="P1623" s="68"/>
      <c r="Q1623" s="68">
        <f>SUM(Devis[[#This Row],[Poste 1]:[Poste 6]])</f>
        <v>0</v>
      </c>
      <c r="R1623" s="71"/>
      <c r="S1623" s="68">
        <f>_xlfn.CEILING.MATH(Devis[[#This Row],[Quantité Totale]],Devis[[#This Row],[Conditionnement]])</f>
        <v>0</v>
      </c>
      <c r="T1623" s="72"/>
      <c r="U1623" s="106"/>
      <c r="V1623" s="74">
        <f>Devis[[#This Row],[Prix de Revient]]*Devis[[#This Row],[Poste 1]]</f>
        <v>0</v>
      </c>
      <c r="W1623" s="74">
        <f>Devis[[#This Row],[Prix de Revient]]*Devis[[#This Row],[Poste 2]]</f>
        <v>0</v>
      </c>
      <c r="X1623" s="74">
        <f>Devis[[#This Row],[Prix de Revient]]*Devis[[#This Row],[Poste 3]]</f>
        <v>0</v>
      </c>
      <c r="Y1623" s="74">
        <f>Devis[[#This Row],[Poste 4]]*Devis[[#This Row],[Prix de Revient]]</f>
        <v>0</v>
      </c>
      <c r="Z1623" s="74">
        <f>Devis[[#This Row],[Poste 5]]*Devis[[#This Row],[Prix de Revient]]</f>
        <v>0</v>
      </c>
      <c r="AA1623" s="74">
        <f>Devis[[#This Row],[Prix de Revient]]*Devis[[#This Row],[Poste 6]]</f>
        <v>0</v>
      </c>
      <c r="AB1623" s="74">
        <f>Devis[[#This Row],[Quantité Totale]]*Devis[[#This Row],[Prix de Revient]]</f>
        <v>0</v>
      </c>
    </row>
    <row r="1624" spans="1:28" ht="14.25" customHeight="1" x14ac:dyDescent="0.25">
      <c r="A1624" s="65" t="s">
        <v>3557</v>
      </c>
      <c r="B1624" s="65" t="s">
        <v>1369</v>
      </c>
      <c r="C1624" s="76"/>
      <c r="D1624" s="81" t="str">
        <f t="shared" si="29"/>
        <v>GalvaUnions mf coudés 98</v>
      </c>
      <c r="E1624" s="80"/>
      <c r="F1624" s="81">
        <v>0</v>
      </c>
      <c r="G1624" s="86"/>
      <c r="H1624" s="71"/>
      <c r="I1624" s="105"/>
      <c r="J1624" s="70">
        <f>IFERROR(VLOOKUP(Devis[[#This Row],[Ref Air Flux]],#REF!,3,FALSE),0)</f>
        <v>0</v>
      </c>
      <c r="K1624" s="68"/>
      <c r="L1624" s="68"/>
      <c r="M1624" s="68"/>
      <c r="N1624" s="68"/>
      <c r="O1624" s="68"/>
      <c r="P1624" s="68"/>
      <c r="Q1624" s="68">
        <f>SUM(Devis[[#This Row],[Poste 1]:[Poste 6]])</f>
        <v>0</v>
      </c>
      <c r="R1624" s="71"/>
      <c r="S1624" s="68">
        <f>_xlfn.CEILING.MATH(Devis[[#This Row],[Quantité Totale]],Devis[[#This Row],[Conditionnement]])</f>
        <v>0</v>
      </c>
      <c r="T1624" s="72"/>
      <c r="U1624" s="106"/>
      <c r="V1624" s="74">
        <f>Devis[[#This Row],[Prix de Revient]]*Devis[[#This Row],[Poste 1]]</f>
        <v>0</v>
      </c>
      <c r="W1624" s="74">
        <f>Devis[[#This Row],[Prix de Revient]]*Devis[[#This Row],[Poste 2]]</f>
        <v>0</v>
      </c>
      <c r="X1624" s="74">
        <f>Devis[[#This Row],[Prix de Revient]]*Devis[[#This Row],[Poste 3]]</f>
        <v>0</v>
      </c>
      <c r="Y1624" s="74">
        <f>Devis[[#This Row],[Poste 4]]*Devis[[#This Row],[Prix de Revient]]</f>
        <v>0</v>
      </c>
      <c r="Z1624" s="74">
        <f>Devis[[#This Row],[Poste 5]]*Devis[[#This Row],[Prix de Revient]]</f>
        <v>0</v>
      </c>
      <c r="AA1624" s="74">
        <f>Devis[[#This Row],[Prix de Revient]]*Devis[[#This Row],[Poste 6]]</f>
        <v>0</v>
      </c>
      <c r="AB1624" s="74">
        <f>Devis[[#This Row],[Quantité Totale]]*Devis[[#This Row],[Prix de Revient]]</f>
        <v>0</v>
      </c>
    </row>
    <row r="1625" spans="1:28" ht="14.25" customHeight="1" outlineLevel="1" x14ac:dyDescent="0.2">
      <c r="A1625" s="75" t="s">
        <v>3557</v>
      </c>
      <c r="B1625" s="76" t="s">
        <v>1369</v>
      </c>
      <c r="C1625" s="76"/>
      <c r="D1625" s="81" t="str">
        <f t="shared" si="29"/>
        <v>GalvaUnions mf coudés 98</v>
      </c>
      <c r="E1625" s="76" t="s">
        <v>19</v>
      </c>
      <c r="F1625" s="81">
        <v>1</v>
      </c>
      <c r="G1625" s="86" t="s">
        <v>1375</v>
      </c>
      <c r="H1625" s="71"/>
      <c r="I1625" s="75"/>
      <c r="J1625" s="70">
        <f>IFERROR(VLOOKUP(Devis[[#This Row],[Ref Air Flux]],#REF!,3,FALSE),0)</f>
        <v>0</v>
      </c>
      <c r="K1625" s="68"/>
      <c r="L1625" s="68"/>
      <c r="M1625" s="68"/>
      <c r="N1625" s="68"/>
      <c r="O1625" s="68"/>
      <c r="P1625" s="68"/>
      <c r="Q1625" s="68">
        <f>SUM(Devis[[#This Row],[Poste 1]:[Poste 6]])</f>
        <v>0</v>
      </c>
      <c r="R1625" s="71"/>
      <c r="S1625" s="68">
        <f>_xlfn.CEILING.MATH(Devis[[#This Row],[Quantité Totale]],Devis[[#This Row],[Conditionnement]])</f>
        <v>0</v>
      </c>
      <c r="T1625" s="72"/>
      <c r="U1625" s="106"/>
      <c r="V1625" s="74">
        <f>Devis[[#This Row],[Prix de Revient]]*Devis[[#This Row],[Poste 1]]</f>
        <v>0</v>
      </c>
      <c r="W1625" s="74">
        <f>Devis[[#This Row],[Prix de Revient]]*Devis[[#This Row],[Poste 2]]</f>
        <v>0</v>
      </c>
      <c r="X1625" s="74">
        <f>Devis[[#This Row],[Prix de Revient]]*Devis[[#This Row],[Poste 3]]</f>
        <v>0</v>
      </c>
      <c r="Y1625" s="74">
        <f>Devis[[#This Row],[Poste 4]]*Devis[[#This Row],[Prix de Revient]]</f>
        <v>0</v>
      </c>
      <c r="Z1625" s="74">
        <f>Devis[[#This Row],[Poste 5]]*Devis[[#This Row],[Prix de Revient]]</f>
        <v>0</v>
      </c>
      <c r="AA1625" s="74">
        <f>Devis[[#This Row],[Prix de Revient]]*Devis[[#This Row],[Poste 6]]</f>
        <v>0</v>
      </c>
      <c r="AB1625" s="74">
        <f>Devis[[#This Row],[Quantité Totale]]*Devis[[#This Row],[Prix de Revient]]</f>
        <v>0</v>
      </c>
    </row>
    <row r="1626" spans="1:28" ht="14.25" customHeight="1" outlineLevel="1" x14ac:dyDescent="0.2">
      <c r="A1626" s="75" t="s">
        <v>3557</v>
      </c>
      <c r="B1626" s="76" t="s">
        <v>1369</v>
      </c>
      <c r="C1626" s="76"/>
      <c r="D1626" s="81" t="str">
        <f t="shared" si="29"/>
        <v>GalvaUnions mf coudés 98</v>
      </c>
      <c r="E1626" s="76" t="s">
        <v>21</v>
      </c>
      <c r="F1626" s="81">
        <v>2</v>
      </c>
      <c r="G1626" s="86" t="s">
        <v>1373</v>
      </c>
      <c r="H1626" s="71"/>
      <c r="I1626" s="75"/>
      <c r="J1626" s="70">
        <f>IFERROR(VLOOKUP(Devis[[#This Row],[Ref Air Flux]],#REF!,3,FALSE),0)</f>
        <v>0</v>
      </c>
      <c r="K1626" s="68"/>
      <c r="L1626" s="68"/>
      <c r="M1626" s="68"/>
      <c r="N1626" s="68"/>
      <c r="O1626" s="68"/>
      <c r="P1626" s="68"/>
      <c r="Q1626" s="68">
        <f>SUM(Devis[[#This Row],[Poste 1]:[Poste 6]])</f>
        <v>0</v>
      </c>
      <c r="R1626" s="71"/>
      <c r="S1626" s="68">
        <f>_xlfn.CEILING.MATH(Devis[[#This Row],[Quantité Totale]],Devis[[#This Row],[Conditionnement]])</f>
        <v>0</v>
      </c>
      <c r="T1626" s="72"/>
      <c r="U1626" s="106"/>
      <c r="V1626" s="74">
        <f>Devis[[#This Row],[Prix de Revient]]*Devis[[#This Row],[Poste 1]]</f>
        <v>0</v>
      </c>
      <c r="W1626" s="74">
        <f>Devis[[#This Row],[Prix de Revient]]*Devis[[#This Row],[Poste 2]]</f>
        <v>0</v>
      </c>
      <c r="X1626" s="74">
        <f>Devis[[#This Row],[Prix de Revient]]*Devis[[#This Row],[Poste 3]]</f>
        <v>0</v>
      </c>
      <c r="Y1626" s="74">
        <f>Devis[[#This Row],[Poste 4]]*Devis[[#This Row],[Prix de Revient]]</f>
        <v>0</v>
      </c>
      <c r="Z1626" s="74">
        <f>Devis[[#This Row],[Poste 5]]*Devis[[#This Row],[Prix de Revient]]</f>
        <v>0</v>
      </c>
      <c r="AA1626" s="74">
        <f>Devis[[#This Row],[Prix de Revient]]*Devis[[#This Row],[Poste 6]]</f>
        <v>0</v>
      </c>
      <c r="AB1626" s="74">
        <f>Devis[[#This Row],[Quantité Totale]]*Devis[[#This Row],[Prix de Revient]]</f>
        <v>0</v>
      </c>
    </row>
    <row r="1627" spans="1:28" ht="14.25" customHeight="1" outlineLevel="1" x14ac:dyDescent="0.2">
      <c r="A1627" s="75" t="s">
        <v>3557</v>
      </c>
      <c r="B1627" s="76" t="s">
        <v>1369</v>
      </c>
      <c r="C1627" s="76"/>
      <c r="D1627" s="81" t="str">
        <f t="shared" si="29"/>
        <v>GalvaUnions mf coudés 98</v>
      </c>
      <c r="E1627" s="76" t="s">
        <v>20</v>
      </c>
      <c r="F1627" s="81">
        <v>3</v>
      </c>
      <c r="G1627" s="86" t="s">
        <v>1374</v>
      </c>
      <c r="H1627" s="71"/>
      <c r="I1627" s="75"/>
      <c r="J1627" s="70">
        <f>IFERROR(VLOOKUP(Devis[[#This Row],[Ref Air Flux]],#REF!,3,FALSE),0)</f>
        <v>0</v>
      </c>
      <c r="K1627" s="68"/>
      <c r="L1627" s="68"/>
      <c r="M1627" s="68"/>
      <c r="N1627" s="68"/>
      <c r="O1627" s="68"/>
      <c r="P1627" s="68"/>
      <c r="Q1627" s="68">
        <f>SUM(Devis[[#This Row],[Poste 1]:[Poste 6]])</f>
        <v>0</v>
      </c>
      <c r="R1627" s="71"/>
      <c r="S1627" s="68">
        <f>_xlfn.CEILING.MATH(Devis[[#This Row],[Quantité Totale]],Devis[[#This Row],[Conditionnement]])</f>
        <v>0</v>
      </c>
      <c r="T1627" s="72"/>
      <c r="U1627" s="106"/>
      <c r="V1627" s="74">
        <f>Devis[[#This Row],[Prix de Revient]]*Devis[[#This Row],[Poste 1]]</f>
        <v>0</v>
      </c>
      <c r="W1627" s="74">
        <f>Devis[[#This Row],[Prix de Revient]]*Devis[[#This Row],[Poste 2]]</f>
        <v>0</v>
      </c>
      <c r="X1627" s="74">
        <f>Devis[[#This Row],[Prix de Revient]]*Devis[[#This Row],[Poste 3]]</f>
        <v>0</v>
      </c>
      <c r="Y1627" s="74">
        <f>Devis[[#This Row],[Poste 4]]*Devis[[#This Row],[Prix de Revient]]</f>
        <v>0</v>
      </c>
      <c r="Z1627" s="74">
        <f>Devis[[#This Row],[Poste 5]]*Devis[[#This Row],[Prix de Revient]]</f>
        <v>0</v>
      </c>
      <c r="AA1627" s="74">
        <f>Devis[[#This Row],[Prix de Revient]]*Devis[[#This Row],[Poste 6]]</f>
        <v>0</v>
      </c>
      <c r="AB1627" s="74">
        <f>Devis[[#This Row],[Quantité Totale]]*Devis[[#This Row],[Prix de Revient]]</f>
        <v>0</v>
      </c>
    </row>
    <row r="1628" spans="1:28" ht="14.25" outlineLevel="1" x14ac:dyDescent="0.2">
      <c r="A1628" s="75" t="s">
        <v>3557</v>
      </c>
      <c r="B1628" s="76" t="s">
        <v>1369</v>
      </c>
      <c r="C1628" s="76"/>
      <c r="D1628" s="81" t="str">
        <f t="shared" si="29"/>
        <v>GalvaUnions mf coudés 98</v>
      </c>
      <c r="E1628" s="80" t="s">
        <v>17</v>
      </c>
      <c r="F1628" s="81">
        <v>4</v>
      </c>
      <c r="G1628" s="86" t="s">
        <v>1377</v>
      </c>
      <c r="H1628" s="71"/>
      <c r="I1628" s="105"/>
      <c r="J1628" s="70">
        <f>IFERROR(VLOOKUP(Devis[[#This Row],[Ref Air Flux]],#REF!,3,FALSE),0)</f>
        <v>0</v>
      </c>
      <c r="K1628" s="68"/>
      <c r="L1628" s="68"/>
      <c r="M1628" s="68"/>
      <c r="N1628" s="68"/>
      <c r="O1628" s="68"/>
      <c r="P1628" s="68"/>
      <c r="Q1628" s="68">
        <f>SUM(Devis[[#This Row],[Poste 1]:[Poste 6]])</f>
        <v>0</v>
      </c>
      <c r="R1628" s="71"/>
      <c r="S1628" s="68">
        <f>_xlfn.CEILING.MATH(Devis[[#This Row],[Quantité Totale]],Devis[[#This Row],[Conditionnement]])</f>
        <v>0</v>
      </c>
      <c r="T1628" s="72"/>
      <c r="U1628" s="106"/>
      <c r="V1628" s="74">
        <f>Devis[[#This Row],[Prix de Revient]]*Devis[[#This Row],[Poste 1]]</f>
        <v>0</v>
      </c>
      <c r="W1628" s="74">
        <f>Devis[[#This Row],[Prix de Revient]]*Devis[[#This Row],[Poste 2]]</f>
        <v>0</v>
      </c>
      <c r="X1628" s="74">
        <f>Devis[[#This Row],[Prix de Revient]]*Devis[[#This Row],[Poste 3]]</f>
        <v>0</v>
      </c>
      <c r="Y1628" s="74">
        <f>Devis[[#This Row],[Poste 4]]*Devis[[#This Row],[Prix de Revient]]</f>
        <v>0</v>
      </c>
      <c r="Z1628" s="74">
        <f>Devis[[#This Row],[Poste 5]]*Devis[[#This Row],[Prix de Revient]]</f>
        <v>0</v>
      </c>
      <c r="AA1628" s="74">
        <f>Devis[[#This Row],[Prix de Revient]]*Devis[[#This Row],[Poste 6]]</f>
        <v>0</v>
      </c>
      <c r="AB1628" s="74">
        <f>Devis[[#This Row],[Quantité Totale]]*Devis[[#This Row],[Prix de Revient]]</f>
        <v>0</v>
      </c>
    </row>
    <row r="1629" spans="1:28" ht="14.25" outlineLevel="1" x14ac:dyDescent="0.2">
      <c r="A1629" s="75" t="s">
        <v>3557</v>
      </c>
      <c r="B1629" s="76" t="s">
        <v>1369</v>
      </c>
      <c r="C1629" s="76"/>
      <c r="D1629" s="81" t="str">
        <f t="shared" si="29"/>
        <v>GalvaUnions mf coudés 98</v>
      </c>
      <c r="E1629" s="76" t="s">
        <v>0</v>
      </c>
      <c r="F1629" s="81">
        <v>5</v>
      </c>
      <c r="G1629" s="86" t="s">
        <v>1372</v>
      </c>
      <c r="H1629" s="71"/>
      <c r="I1629" s="75"/>
      <c r="J1629" s="70">
        <f>IFERROR(VLOOKUP(Devis[[#This Row],[Ref Air Flux]],#REF!,3,FALSE),0)</f>
        <v>0</v>
      </c>
      <c r="K1629" s="68"/>
      <c r="L1629" s="68"/>
      <c r="M1629" s="68"/>
      <c r="N1629" s="68"/>
      <c r="O1629" s="68"/>
      <c r="P1629" s="68"/>
      <c r="Q1629" s="68">
        <f>SUM(Devis[[#This Row],[Poste 1]:[Poste 6]])</f>
        <v>0</v>
      </c>
      <c r="R1629" s="71"/>
      <c r="S1629" s="68">
        <f>_xlfn.CEILING.MATH(Devis[[#This Row],[Quantité Totale]],Devis[[#This Row],[Conditionnement]])</f>
        <v>0</v>
      </c>
      <c r="T1629" s="72"/>
      <c r="U1629" s="106"/>
      <c r="V1629" s="74">
        <f>Devis[[#This Row],[Prix de Revient]]*Devis[[#This Row],[Poste 1]]</f>
        <v>0</v>
      </c>
      <c r="W1629" s="74">
        <f>Devis[[#This Row],[Prix de Revient]]*Devis[[#This Row],[Poste 2]]</f>
        <v>0</v>
      </c>
      <c r="X1629" s="74">
        <f>Devis[[#This Row],[Prix de Revient]]*Devis[[#This Row],[Poste 3]]</f>
        <v>0</v>
      </c>
      <c r="Y1629" s="74">
        <f>Devis[[#This Row],[Poste 4]]*Devis[[#This Row],[Prix de Revient]]</f>
        <v>0</v>
      </c>
      <c r="Z1629" s="74">
        <f>Devis[[#This Row],[Poste 5]]*Devis[[#This Row],[Prix de Revient]]</f>
        <v>0</v>
      </c>
      <c r="AA1629" s="74">
        <f>Devis[[#This Row],[Prix de Revient]]*Devis[[#This Row],[Poste 6]]</f>
        <v>0</v>
      </c>
      <c r="AB1629" s="74">
        <f>Devis[[#This Row],[Quantité Totale]]*Devis[[#This Row],[Prix de Revient]]</f>
        <v>0</v>
      </c>
    </row>
    <row r="1630" spans="1:28" ht="14.25" outlineLevel="1" x14ac:dyDescent="0.2">
      <c r="A1630" s="75" t="s">
        <v>3557</v>
      </c>
      <c r="B1630" s="76" t="s">
        <v>1369</v>
      </c>
      <c r="C1630" s="76"/>
      <c r="D1630" s="81" t="str">
        <f t="shared" si="29"/>
        <v>GalvaUnions mf coudés 98</v>
      </c>
      <c r="E1630" s="76" t="s">
        <v>49</v>
      </c>
      <c r="F1630" s="81">
        <v>6</v>
      </c>
      <c r="G1630" s="86" t="s">
        <v>1371</v>
      </c>
      <c r="H1630" s="71"/>
      <c r="I1630" s="75"/>
      <c r="J1630" s="70">
        <f>IFERROR(VLOOKUP(Devis[[#This Row],[Ref Air Flux]],#REF!,3,FALSE),0)</f>
        <v>0</v>
      </c>
      <c r="K1630" s="68"/>
      <c r="L1630" s="68"/>
      <c r="M1630" s="68"/>
      <c r="N1630" s="68"/>
      <c r="O1630" s="68"/>
      <c r="P1630" s="68"/>
      <c r="Q1630" s="68">
        <f>SUM(Devis[[#This Row],[Poste 1]:[Poste 6]])</f>
        <v>0</v>
      </c>
      <c r="R1630" s="71"/>
      <c r="S1630" s="68">
        <f>_xlfn.CEILING.MATH(Devis[[#This Row],[Quantité Totale]],Devis[[#This Row],[Conditionnement]])</f>
        <v>0</v>
      </c>
      <c r="T1630" s="72"/>
      <c r="U1630" s="106"/>
      <c r="V1630" s="74">
        <f>Devis[[#This Row],[Prix de Revient]]*Devis[[#This Row],[Poste 1]]</f>
        <v>0</v>
      </c>
      <c r="W1630" s="74">
        <f>Devis[[#This Row],[Prix de Revient]]*Devis[[#This Row],[Poste 2]]</f>
        <v>0</v>
      </c>
      <c r="X1630" s="74">
        <f>Devis[[#This Row],[Prix de Revient]]*Devis[[#This Row],[Poste 3]]</f>
        <v>0</v>
      </c>
      <c r="Y1630" s="74">
        <f>Devis[[#This Row],[Poste 4]]*Devis[[#This Row],[Prix de Revient]]</f>
        <v>0</v>
      </c>
      <c r="Z1630" s="74">
        <f>Devis[[#This Row],[Poste 5]]*Devis[[#This Row],[Prix de Revient]]</f>
        <v>0</v>
      </c>
      <c r="AA1630" s="74">
        <f>Devis[[#This Row],[Prix de Revient]]*Devis[[#This Row],[Poste 6]]</f>
        <v>0</v>
      </c>
      <c r="AB1630" s="74">
        <f>Devis[[#This Row],[Quantité Totale]]*Devis[[#This Row],[Prix de Revient]]</f>
        <v>0</v>
      </c>
    </row>
    <row r="1631" spans="1:28" ht="14.25" outlineLevel="1" x14ac:dyDescent="0.2">
      <c r="A1631" s="75" t="s">
        <v>3557</v>
      </c>
      <c r="B1631" s="76" t="s">
        <v>1369</v>
      </c>
      <c r="C1631" s="76"/>
      <c r="D1631" s="81" t="str">
        <f t="shared" si="29"/>
        <v>GalvaUnions mf coudés 98</v>
      </c>
      <c r="E1631" s="76" t="s">
        <v>22</v>
      </c>
      <c r="F1631" s="81">
        <v>7</v>
      </c>
      <c r="G1631" s="86" t="s">
        <v>1370</v>
      </c>
      <c r="H1631" s="71"/>
      <c r="I1631" s="75"/>
      <c r="J1631" s="70">
        <f>IFERROR(VLOOKUP(Devis[[#This Row],[Ref Air Flux]],#REF!,3,FALSE),0)</f>
        <v>0</v>
      </c>
      <c r="K1631" s="68"/>
      <c r="L1631" s="68"/>
      <c r="M1631" s="68"/>
      <c r="N1631" s="68"/>
      <c r="O1631" s="68"/>
      <c r="P1631" s="68"/>
      <c r="Q1631" s="68">
        <f>SUM(Devis[[#This Row],[Poste 1]:[Poste 6]])</f>
        <v>0</v>
      </c>
      <c r="R1631" s="71"/>
      <c r="S1631" s="68">
        <f>_xlfn.CEILING.MATH(Devis[[#This Row],[Quantité Totale]],Devis[[#This Row],[Conditionnement]])</f>
        <v>0</v>
      </c>
      <c r="T1631" s="72"/>
      <c r="U1631" s="106"/>
      <c r="V1631" s="74">
        <f>Devis[[#This Row],[Prix de Revient]]*Devis[[#This Row],[Poste 1]]</f>
        <v>0</v>
      </c>
      <c r="W1631" s="74">
        <f>Devis[[#This Row],[Prix de Revient]]*Devis[[#This Row],[Poste 2]]</f>
        <v>0</v>
      </c>
      <c r="X1631" s="74">
        <f>Devis[[#This Row],[Prix de Revient]]*Devis[[#This Row],[Poste 3]]</f>
        <v>0</v>
      </c>
      <c r="Y1631" s="74">
        <f>Devis[[#This Row],[Poste 4]]*Devis[[#This Row],[Prix de Revient]]</f>
        <v>0</v>
      </c>
      <c r="Z1631" s="74">
        <f>Devis[[#This Row],[Poste 5]]*Devis[[#This Row],[Prix de Revient]]</f>
        <v>0</v>
      </c>
      <c r="AA1631" s="74">
        <f>Devis[[#This Row],[Prix de Revient]]*Devis[[#This Row],[Poste 6]]</f>
        <v>0</v>
      </c>
      <c r="AB1631" s="74">
        <f>Devis[[#This Row],[Quantité Totale]]*Devis[[#This Row],[Prix de Revient]]</f>
        <v>0</v>
      </c>
    </row>
    <row r="1632" spans="1:28" ht="14.25" outlineLevel="1" x14ac:dyDescent="0.2">
      <c r="A1632" s="75" t="s">
        <v>3557</v>
      </c>
      <c r="B1632" s="76" t="s">
        <v>1369</v>
      </c>
      <c r="C1632" s="76"/>
      <c r="D1632" s="81" t="str">
        <f t="shared" si="29"/>
        <v>GalvaUnions mf coudés 98</v>
      </c>
      <c r="E1632" s="80" t="s">
        <v>18</v>
      </c>
      <c r="F1632" s="81">
        <v>8</v>
      </c>
      <c r="G1632" s="86" t="s">
        <v>1376</v>
      </c>
      <c r="H1632" s="71"/>
      <c r="I1632" s="105"/>
      <c r="J1632" s="70">
        <f>IFERROR(VLOOKUP(Devis[[#This Row],[Ref Air Flux]],#REF!,3,FALSE),0)</f>
        <v>0</v>
      </c>
      <c r="K1632" s="68"/>
      <c r="L1632" s="68"/>
      <c r="M1632" s="68"/>
      <c r="N1632" s="68"/>
      <c r="O1632" s="68"/>
      <c r="P1632" s="68"/>
      <c r="Q1632" s="68">
        <f>SUM(Devis[[#This Row],[Poste 1]:[Poste 6]])</f>
        <v>0</v>
      </c>
      <c r="R1632" s="71"/>
      <c r="S1632" s="68">
        <f>_xlfn.CEILING.MATH(Devis[[#This Row],[Quantité Totale]],Devis[[#This Row],[Conditionnement]])</f>
        <v>0</v>
      </c>
      <c r="T1632" s="72"/>
      <c r="U1632" s="106"/>
      <c r="V1632" s="74">
        <f>Devis[[#This Row],[Prix de Revient]]*Devis[[#This Row],[Poste 1]]</f>
        <v>0</v>
      </c>
      <c r="W1632" s="74">
        <f>Devis[[#This Row],[Prix de Revient]]*Devis[[#This Row],[Poste 2]]</f>
        <v>0</v>
      </c>
      <c r="X1632" s="74">
        <f>Devis[[#This Row],[Prix de Revient]]*Devis[[#This Row],[Poste 3]]</f>
        <v>0</v>
      </c>
      <c r="Y1632" s="74">
        <f>Devis[[#This Row],[Poste 4]]*Devis[[#This Row],[Prix de Revient]]</f>
        <v>0</v>
      </c>
      <c r="Z1632" s="74">
        <f>Devis[[#This Row],[Poste 5]]*Devis[[#This Row],[Prix de Revient]]</f>
        <v>0</v>
      </c>
      <c r="AA1632" s="74">
        <f>Devis[[#This Row],[Prix de Revient]]*Devis[[#This Row],[Poste 6]]</f>
        <v>0</v>
      </c>
      <c r="AB1632" s="74">
        <f>Devis[[#This Row],[Quantité Totale]]*Devis[[#This Row],[Prix de Revient]]</f>
        <v>0</v>
      </c>
    </row>
    <row r="1633" spans="1:28" ht="14.25" customHeight="1" x14ac:dyDescent="0.25">
      <c r="A1633" s="65" t="s">
        <v>1378</v>
      </c>
      <c r="B1633" s="65" t="s">
        <v>4712</v>
      </c>
      <c r="C1633" s="76"/>
      <c r="D1633" s="81" t="str">
        <f t="shared" si="29"/>
        <v>Inox Serti CoréenBOUCHON</v>
      </c>
      <c r="E1633" s="76"/>
      <c r="F1633" s="81">
        <v>0</v>
      </c>
      <c r="G1633" s="71"/>
      <c r="H1633" s="71"/>
      <c r="I1633" s="71"/>
      <c r="J1633" s="70">
        <f>IFERROR(VLOOKUP(Devis[[#This Row],[Ref Air Flux]],#REF!,3,FALSE),0)</f>
        <v>0</v>
      </c>
      <c r="K1633" s="68"/>
      <c r="L1633" s="68"/>
      <c r="M1633" s="68"/>
      <c r="N1633" s="68"/>
      <c r="O1633" s="68"/>
      <c r="P1633" s="68"/>
      <c r="Q1633" s="68">
        <f>SUM(Devis[[#This Row],[Poste 1]:[Poste 6]])</f>
        <v>0</v>
      </c>
      <c r="R1633" s="71"/>
      <c r="S1633" s="68">
        <f>_xlfn.CEILING.MATH(Devis[[#This Row],[Quantité Totale]],Devis[[#This Row],[Conditionnement]])</f>
        <v>0</v>
      </c>
      <c r="T1633" s="72"/>
      <c r="U1633" s="73"/>
      <c r="V1633" s="74">
        <f>Devis[[#This Row],[Prix de Revient]]*Devis[[#This Row],[Poste 1]]</f>
        <v>0</v>
      </c>
      <c r="W1633" s="74">
        <f>Devis[[#This Row],[Prix de Revient]]*Devis[[#This Row],[Poste 2]]</f>
        <v>0</v>
      </c>
      <c r="X1633" s="74">
        <f>Devis[[#This Row],[Prix de Revient]]*Devis[[#This Row],[Poste 3]]</f>
        <v>0</v>
      </c>
      <c r="Y1633" s="74">
        <f>Devis[[#This Row],[Poste 4]]*Devis[[#This Row],[Prix de Revient]]</f>
        <v>0</v>
      </c>
      <c r="Z1633" s="74">
        <f>Devis[[#This Row],[Poste 5]]*Devis[[#This Row],[Prix de Revient]]</f>
        <v>0</v>
      </c>
      <c r="AA1633" s="74">
        <f>Devis[[#This Row],[Prix de Revient]]*Devis[[#This Row],[Poste 6]]</f>
        <v>0</v>
      </c>
      <c r="AB1633" s="74">
        <f>Devis[[#This Row],[Quantité Totale]]*Devis[[#This Row],[Prix de Revient]]</f>
        <v>0</v>
      </c>
    </row>
    <row r="1634" spans="1:28" ht="14.25" customHeight="1" outlineLevel="1" x14ac:dyDescent="0.2">
      <c r="A1634" s="75" t="s">
        <v>1378</v>
      </c>
      <c r="B1634" s="76" t="s">
        <v>1379</v>
      </c>
      <c r="C1634" s="71" t="s">
        <v>4713</v>
      </c>
      <c r="D1634" s="81" t="str">
        <f t="shared" si="29"/>
        <v>Inox Serti CoréenBouchonØ16</v>
      </c>
      <c r="E1634" s="73">
        <v>16</v>
      </c>
      <c r="F1634" s="81">
        <v>1</v>
      </c>
      <c r="G1634" s="71" t="s">
        <v>1380</v>
      </c>
      <c r="H1634" s="71"/>
      <c r="I1634" s="71"/>
      <c r="J1634" s="70">
        <f>IFERROR(VLOOKUP(Devis[[#This Row],[Ref Air Flux]],#REF!,3,FALSE),0)</f>
        <v>0</v>
      </c>
      <c r="K1634" s="68"/>
      <c r="L1634" s="68"/>
      <c r="M1634" s="68"/>
      <c r="N1634" s="68"/>
      <c r="O1634" s="68"/>
      <c r="P1634" s="68"/>
      <c r="Q1634" s="68">
        <f>SUM(Devis[[#This Row],[Poste 1]:[Poste 6]])</f>
        <v>0</v>
      </c>
      <c r="R1634" s="71"/>
      <c r="S1634" s="68">
        <f>_xlfn.CEILING.MATH(Devis[[#This Row],[Quantité Totale]],Devis[[#This Row],[Conditionnement]])</f>
        <v>0</v>
      </c>
      <c r="T1634" s="72"/>
      <c r="U1634" s="73"/>
      <c r="V1634" s="74">
        <f>Devis[[#This Row],[Prix de Revient]]*Devis[[#This Row],[Poste 1]]</f>
        <v>0</v>
      </c>
      <c r="W1634" s="74">
        <f>Devis[[#This Row],[Prix de Revient]]*Devis[[#This Row],[Poste 2]]</f>
        <v>0</v>
      </c>
      <c r="X1634" s="74">
        <f>Devis[[#This Row],[Prix de Revient]]*Devis[[#This Row],[Poste 3]]</f>
        <v>0</v>
      </c>
      <c r="Y1634" s="74">
        <f>Devis[[#This Row],[Poste 4]]*Devis[[#This Row],[Prix de Revient]]</f>
        <v>0</v>
      </c>
      <c r="Z1634" s="74">
        <f>Devis[[#This Row],[Poste 5]]*Devis[[#This Row],[Prix de Revient]]</f>
        <v>0</v>
      </c>
      <c r="AA1634" s="74">
        <f>Devis[[#This Row],[Prix de Revient]]*Devis[[#This Row],[Poste 6]]</f>
        <v>0</v>
      </c>
      <c r="AB1634" s="74">
        <f>Devis[[#This Row],[Quantité Totale]]*Devis[[#This Row],[Prix de Revient]]</f>
        <v>0</v>
      </c>
    </row>
    <row r="1635" spans="1:28" ht="14.25" customHeight="1" outlineLevel="1" x14ac:dyDescent="0.2">
      <c r="A1635" s="75" t="s">
        <v>1378</v>
      </c>
      <c r="B1635" s="76" t="s">
        <v>1379</v>
      </c>
      <c r="C1635" s="71" t="s">
        <v>3620</v>
      </c>
      <c r="D1635" s="81" t="str">
        <f t="shared" si="29"/>
        <v>Inox Serti CoréenBouchonØ22</v>
      </c>
      <c r="E1635" s="73">
        <v>22</v>
      </c>
      <c r="F1635" s="81">
        <v>2</v>
      </c>
      <c r="G1635" s="71" t="s">
        <v>1381</v>
      </c>
      <c r="H1635" s="71"/>
      <c r="I1635" s="71"/>
      <c r="J1635" s="70">
        <f>IFERROR(VLOOKUP(Devis[[#This Row],[Ref Air Flux]],#REF!,3,FALSE),0)</f>
        <v>0</v>
      </c>
      <c r="K1635" s="68"/>
      <c r="L1635" s="68"/>
      <c r="M1635" s="68"/>
      <c r="N1635" s="68"/>
      <c r="O1635" s="68"/>
      <c r="P1635" s="68"/>
      <c r="Q1635" s="68">
        <f>SUM(Devis[[#This Row],[Poste 1]:[Poste 6]])</f>
        <v>0</v>
      </c>
      <c r="R1635" s="71"/>
      <c r="S1635" s="68">
        <f>_xlfn.CEILING.MATH(Devis[[#This Row],[Quantité Totale]],Devis[[#This Row],[Conditionnement]])</f>
        <v>0</v>
      </c>
      <c r="T1635" s="72"/>
      <c r="U1635" s="73"/>
      <c r="V1635" s="74">
        <f>Devis[[#This Row],[Prix de Revient]]*Devis[[#This Row],[Poste 1]]</f>
        <v>0</v>
      </c>
      <c r="W1635" s="74">
        <f>Devis[[#This Row],[Prix de Revient]]*Devis[[#This Row],[Poste 2]]</f>
        <v>0</v>
      </c>
      <c r="X1635" s="74">
        <f>Devis[[#This Row],[Prix de Revient]]*Devis[[#This Row],[Poste 3]]</f>
        <v>0</v>
      </c>
      <c r="Y1635" s="74">
        <f>Devis[[#This Row],[Poste 4]]*Devis[[#This Row],[Prix de Revient]]</f>
        <v>0</v>
      </c>
      <c r="Z1635" s="74">
        <f>Devis[[#This Row],[Poste 5]]*Devis[[#This Row],[Prix de Revient]]</f>
        <v>0</v>
      </c>
      <c r="AA1635" s="74">
        <f>Devis[[#This Row],[Prix de Revient]]*Devis[[#This Row],[Poste 6]]</f>
        <v>0</v>
      </c>
      <c r="AB1635" s="74">
        <f>Devis[[#This Row],[Quantité Totale]]*Devis[[#This Row],[Prix de Revient]]</f>
        <v>0</v>
      </c>
    </row>
    <row r="1636" spans="1:28" ht="14.25" customHeight="1" outlineLevel="1" x14ac:dyDescent="0.2">
      <c r="A1636" s="75" t="s">
        <v>1378</v>
      </c>
      <c r="B1636" s="76" t="s">
        <v>1379</v>
      </c>
      <c r="C1636" s="71" t="s">
        <v>3621</v>
      </c>
      <c r="D1636" s="81" t="str">
        <f t="shared" si="29"/>
        <v>Inox Serti CoréenBouchonØ28</v>
      </c>
      <c r="E1636" s="73">
        <v>28</v>
      </c>
      <c r="F1636" s="81">
        <v>3</v>
      </c>
      <c r="G1636" s="71" t="s">
        <v>1382</v>
      </c>
      <c r="H1636" s="71"/>
      <c r="I1636" s="71"/>
      <c r="J1636" s="70">
        <f>IFERROR(VLOOKUP(Devis[[#This Row],[Ref Air Flux]],#REF!,3,FALSE),0)</f>
        <v>0</v>
      </c>
      <c r="K1636" s="68"/>
      <c r="L1636" s="68"/>
      <c r="M1636" s="68"/>
      <c r="N1636" s="68"/>
      <c r="O1636" s="68"/>
      <c r="P1636" s="68"/>
      <c r="Q1636" s="68">
        <f>SUM(Devis[[#This Row],[Poste 1]:[Poste 6]])</f>
        <v>0</v>
      </c>
      <c r="R1636" s="71"/>
      <c r="S1636" s="68">
        <f>_xlfn.CEILING.MATH(Devis[[#This Row],[Quantité Totale]],Devis[[#This Row],[Conditionnement]])</f>
        <v>0</v>
      </c>
      <c r="T1636" s="72"/>
      <c r="U1636" s="73"/>
      <c r="V1636" s="74">
        <f>Devis[[#This Row],[Prix de Revient]]*Devis[[#This Row],[Poste 1]]</f>
        <v>0</v>
      </c>
      <c r="W1636" s="74">
        <f>Devis[[#This Row],[Prix de Revient]]*Devis[[#This Row],[Poste 2]]</f>
        <v>0</v>
      </c>
      <c r="X1636" s="74">
        <f>Devis[[#This Row],[Prix de Revient]]*Devis[[#This Row],[Poste 3]]</f>
        <v>0</v>
      </c>
      <c r="Y1636" s="74">
        <f>Devis[[#This Row],[Poste 4]]*Devis[[#This Row],[Prix de Revient]]</f>
        <v>0</v>
      </c>
      <c r="Z1636" s="74">
        <f>Devis[[#This Row],[Poste 5]]*Devis[[#This Row],[Prix de Revient]]</f>
        <v>0</v>
      </c>
      <c r="AA1636" s="74">
        <f>Devis[[#This Row],[Prix de Revient]]*Devis[[#This Row],[Poste 6]]</f>
        <v>0</v>
      </c>
      <c r="AB1636" s="74">
        <f>Devis[[#This Row],[Quantité Totale]]*Devis[[#This Row],[Prix de Revient]]</f>
        <v>0</v>
      </c>
    </row>
    <row r="1637" spans="1:28" ht="14.25" outlineLevel="1" x14ac:dyDescent="0.2">
      <c r="A1637" s="75" t="s">
        <v>1378</v>
      </c>
      <c r="B1637" s="76" t="s">
        <v>1379</v>
      </c>
      <c r="C1637" s="71" t="s">
        <v>3622</v>
      </c>
      <c r="D1637" s="81" t="str">
        <f t="shared" si="29"/>
        <v>Inox Serti CoréenBouchonØ34</v>
      </c>
      <c r="E1637" s="73">
        <v>34</v>
      </c>
      <c r="F1637" s="81">
        <v>4</v>
      </c>
      <c r="G1637" s="71" t="s">
        <v>1383</v>
      </c>
      <c r="H1637" s="71"/>
      <c r="I1637" s="71"/>
      <c r="J1637" s="70">
        <f>IFERROR(VLOOKUP(Devis[[#This Row],[Ref Air Flux]],#REF!,3,FALSE),0)</f>
        <v>0</v>
      </c>
      <c r="K1637" s="68"/>
      <c r="L1637" s="68"/>
      <c r="M1637" s="68"/>
      <c r="N1637" s="68"/>
      <c r="O1637" s="68"/>
      <c r="P1637" s="68"/>
      <c r="Q1637" s="68">
        <f>SUM(Devis[[#This Row],[Poste 1]:[Poste 6]])</f>
        <v>0</v>
      </c>
      <c r="R1637" s="71"/>
      <c r="S1637" s="68">
        <f>_xlfn.CEILING.MATH(Devis[[#This Row],[Quantité Totale]],Devis[[#This Row],[Conditionnement]])</f>
        <v>0</v>
      </c>
      <c r="T1637" s="72"/>
      <c r="U1637" s="73"/>
      <c r="V1637" s="74">
        <f>Devis[[#This Row],[Prix de Revient]]*Devis[[#This Row],[Poste 1]]</f>
        <v>0</v>
      </c>
      <c r="W1637" s="74">
        <f>Devis[[#This Row],[Prix de Revient]]*Devis[[#This Row],[Poste 2]]</f>
        <v>0</v>
      </c>
      <c r="X1637" s="74">
        <f>Devis[[#This Row],[Prix de Revient]]*Devis[[#This Row],[Poste 3]]</f>
        <v>0</v>
      </c>
      <c r="Y1637" s="74">
        <f>Devis[[#This Row],[Poste 4]]*Devis[[#This Row],[Prix de Revient]]</f>
        <v>0</v>
      </c>
      <c r="Z1637" s="74">
        <f>Devis[[#This Row],[Poste 5]]*Devis[[#This Row],[Prix de Revient]]</f>
        <v>0</v>
      </c>
      <c r="AA1637" s="74">
        <f>Devis[[#This Row],[Prix de Revient]]*Devis[[#This Row],[Poste 6]]</f>
        <v>0</v>
      </c>
      <c r="AB1637" s="74">
        <f>Devis[[#This Row],[Quantité Totale]]*Devis[[#This Row],[Prix de Revient]]</f>
        <v>0</v>
      </c>
    </row>
    <row r="1638" spans="1:28" ht="14.25" outlineLevel="1" x14ac:dyDescent="0.2">
      <c r="A1638" s="75" t="s">
        <v>1378</v>
      </c>
      <c r="B1638" s="76" t="s">
        <v>1379</v>
      </c>
      <c r="C1638" s="71" t="s">
        <v>3623</v>
      </c>
      <c r="D1638" s="81" t="str">
        <f t="shared" si="29"/>
        <v>Inox Serti CoréenBouchonØ42</v>
      </c>
      <c r="E1638" s="73">
        <v>42</v>
      </c>
      <c r="F1638" s="81">
        <v>5</v>
      </c>
      <c r="G1638" s="71" t="s">
        <v>1384</v>
      </c>
      <c r="H1638" s="71"/>
      <c r="I1638" s="71"/>
      <c r="J1638" s="70">
        <f>IFERROR(VLOOKUP(Devis[[#This Row],[Ref Air Flux]],#REF!,3,FALSE),0)</f>
        <v>0</v>
      </c>
      <c r="K1638" s="68"/>
      <c r="L1638" s="68"/>
      <c r="M1638" s="68"/>
      <c r="N1638" s="68"/>
      <c r="O1638" s="68"/>
      <c r="P1638" s="68"/>
      <c r="Q1638" s="68">
        <f>SUM(Devis[[#This Row],[Poste 1]:[Poste 6]])</f>
        <v>0</v>
      </c>
      <c r="R1638" s="71"/>
      <c r="S1638" s="68">
        <f>_xlfn.CEILING.MATH(Devis[[#This Row],[Quantité Totale]],Devis[[#This Row],[Conditionnement]])</f>
        <v>0</v>
      </c>
      <c r="T1638" s="72"/>
      <c r="U1638" s="73"/>
      <c r="V1638" s="74">
        <f>Devis[[#This Row],[Prix de Revient]]*Devis[[#This Row],[Poste 1]]</f>
        <v>0</v>
      </c>
      <c r="W1638" s="74">
        <f>Devis[[#This Row],[Prix de Revient]]*Devis[[#This Row],[Poste 2]]</f>
        <v>0</v>
      </c>
      <c r="X1638" s="74">
        <f>Devis[[#This Row],[Prix de Revient]]*Devis[[#This Row],[Poste 3]]</f>
        <v>0</v>
      </c>
      <c r="Y1638" s="74">
        <f>Devis[[#This Row],[Poste 4]]*Devis[[#This Row],[Prix de Revient]]</f>
        <v>0</v>
      </c>
      <c r="Z1638" s="74">
        <f>Devis[[#This Row],[Poste 5]]*Devis[[#This Row],[Prix de Revient]]</f>
        <v>0</v>
      </c>
      <c r="AA1638" s="74">
        <f>Devis[[#This Row],[Prix de Revient]]*Devis[[#This Row],[Poste 6]]</f>
        <v>0</v>
      </c>
      <c r="AB1638" s="74">
        <f>Devis[[#This Row],[Quantité Totale]]*Devis[[#This Row],[Prix de Revient]]</f>
        <v>0</v>
      </c>
    </row>
    <row r="1639" spans="1:28" ht="14.25" outlineLevel="1" x14ac:dyDescent="0.2">
      <c r="A1639" s="75" t="s">
        <v>1378</v>
      </c>
      <c r="B1639" s="76" t="s">
        <v>1379</v>
      </c>
      <c r="C1639" s="71" t="s">
        <v>3624</v>
      </c>
      <c r="D1639" s="81" t="str">
        <f t="shared" si="29"/>
        <v>Inox Serti CoréenBouchonØ48</v>
      </c>
      <c r="E1639" s="73">
        <v>48</v>
      </c>
      <c r="F1639" s="81">
        <v>6</v>
      </c>
      <c r="G1639" s="71" t="s">
        <v>1385</v>
      </c>
      <c r="H1639" s="71"/>
      <c r="I1639" s="71"/>
      <c r="J1639" s="70">
        <f>IFERROR(VLOOKUP(Devis[[#This Row],[Ref Air Flux]],#REF!,3,FALSE),0)</f>
        <v>0</v>
      </c>
      <c r="K1639" s="68"/>
      <c r="L1639" s="68"/>
      <c r="M1639" s="68"/>
      <c r="N1639" s="68"/>
      <c r="O1639" s="68"/>
      <c r="P1639" s="68"/>
      <c r="Q1639" s="68">
        <f>SUM(Devis[[#This Row],[Poste 1]:[Poste 6]])</f>
        <v>0</v>
      </c>
      <c r="R1639" s="71"/>
      <c r="S1639" s="68">
        <f>_xlfn.CEILING.MATH(Devis[[#This Row],[Quantité Totale]],Devis[[#This Row],[Conditionnement]])</f>
        <v>0</v>
      </c>
      <c r="T1639" s="72"/>
      <c r="U1639" s="73"/>
      <c r="V1639" s="74">
        <f>Devis[[#This Row],[Prix de Revient]]*Devis[[#This Row],[Poste 1]]</f>
        <v>0</v>
      </c>
      <c r="W1639" s="74">
        <f>Devis[[#This Row],[Prix de Revient]]*Devis[[#This Row],[Poste 2]]</f>
        <v>0</v>
      </c>
      <c r="X1639" s="74">
        <f>Devis[[#This Row],[Prix de Revient]]*Devis[[#This Row],[Poste 3]]</f>
        <v>0</v>
      </c>
      <c r="Y1639" s="74">
        <f>Devis[[#This Row],[Poste 4]]*Devis[[#This Row],[Prix de Revient]]</f>
        <v>0</v>
      </c>
      <c r="Z1639" s="74">
        <f>Devis[[#This Row],[Poste 5]]*Devis[[#This Row],[Prix de Revient]]</f>
        <v>0</v>
      </c>
      <c r="AA1639" s="74">
        <f>Devis[[#This Row],[Prix de Revient]]*Devis[[#This Row],[Poste 6]]</f>
        <v>0</v>
      </c>
      <c r="AB1639" s="74">
        <f>Devis[[#This Row],[Quantité Totale]]*Devis[[#This Row],[Prix de Revient]]</f>
        <v>0</v>
      </c>
    </row>
    <row r="1640" spans="1:28" ht="14.25" outlineLevel="1" x14ac:dyDescent="0.2">
      <c r="A1640" s="75" t="s">
        <v>1378</v>
      </c>
      <c r="B1640" s="76" t="s">
        <v>1379</v>
      </c>
      <c r="C1640" s="71" t="s">
        <v>3626</v>
      </c>
      <c r="D1640" s="81" t="str">
        <f t="shared" si="29"/>
        <v>Inox Serti CoréenBouchonØ60</v>
      </c>
      <c r="E1640" s="73">
        <v>60</v>
      </c>
      <c r="F1640" s="81">
        <v>7</v>
      </c>
      <c r="G1640" s="71" t="s">
        <v>1386</v>
      </c>
      <c r="H1640" s="71"/>
      <c r="I1640" s="71"/>
      <c r="J1640" s="70">
        <f>IFERROR(VLOOKUP(Devis[[#This Row],[Ref Air Flux]],#REF!,3,FALSE),0)</f>
        <v>0</v>
      </c>
      <c r="K1640" s="68"/>
      <c r="L1640" s="68"/>
      <c r="M1640" s="68"/>
      <c r="N1640" s="68"/>
      <c r="O1640" s="68"/>
      <c r="P1640" s="68"/>
      <c r="Q1640" s="68">
        <f>SUM(Devis[[#This Row],[Poste 1]:[Poste 6]])</f>
        <v>0</v>
      </c>
      <c r="R1640" s="71"/>
      <c r="S1640" s="68">
        <f>_xlfn.CEILING.MATH(Devis[[#This Row],[Quantité Totale]],Devis[[#This Row],[Conditionnement]])</f>
        <v>0</v>
      </c>
      <c r="T1640" s="72"/>
      <c r="U1640" s="73"/>
      <c r="V1640" s="74">
        <f>Devis[[#This Row],[Prix de Revient]]*Devis[[#This Row],[Poste 1]]</f>
        <v>0</v>
      </c>
      <c r="W1640" s="74">
        <f>Devis[[#This Row],[Prix de Revient]]*Devis[[#This Row],[Poste 2]]</f>
        <v>0</v>
      </c>
      <c r="X1640" s="74">
        <f>Devis[[#This Row],[Prix de Revient]]*Devis[[#This Row],[Poste 3]]</f>
        <v>0</v>
      </c>
      <c r="Y1640" s="74">
        <f>Devis[[#This Row],[Poste 4]]*Devis[[#This Row],[Prix de Revient]]</f>
        <v>0</v>
      </c>
      <c r="Z1640" s="74">
        <f>Devis[[#This Row],[Poste 5]]*Devis[[#This Row],[Prix de Revient]]</f>
        <v>0</v>
      </c>
      <c r="AA1640" s="74">
        <f>Devis[[#This Row],[Prix de Revient]]*Devis[[#This Row],[Poste 6]]</f>
        <v>0</v>
      </c>
      <c r="AB1640" s="74">
        <f>Devis[[#This Row],[Quantité Totale]]*Devis[[#This Row],[Prix de Revient]]</f>
        <v>0</v>
      </c>
    </row>
    <row r="1641" spans="1:28" ht="14.25" outlineLevel="1" x14ac:dyDescent="0.2">
      <c r="A1641" s="75" t="s">
        <v>1378</v>
      </c>
      <c r="B1641" s="76" t="s">
        <v>1379</v>
      </c>
      <c r="C1641" s="71" t="s">
        <v>4714</v>
      </c>
      <c r="D1641" s="81" t="str">
        <f t="shared" si="29"/>
        <v>Inox Serti CoréenBouchonØ80</v>
      </c>
      <c r="E1641" s="73">
        <v>80</v>
      </c>
      <c r="F1641" s="81">
        <v>8</v>
      </c>
      <c r="G1641" s="71" t="s">
        <v>1387</v>
      </c>
      <c r="H1641" s="71"/>
      <c r="I1641" s="71"/>
      <c r="J1641" s="70">
        <f>IFERROR(VLOOKUP(Devis[[#This Row],[Ref Air Flux]],#REF!,3,FALSE),0)</f>
        <v>0</v>
      </c>
      <c r="K1641" s="68"/>
      <c r="L1641" s="68"/>
      <c r="M1641" s="68"/>
      <c r="N1641" s="68"/>
      <c r="O1641" s="68"/>
      <c r="P1641" s="68"/>
      <c r="Q1641" s="68">
        <f>SUM(Devis[[#This Row],[Poste 1]:[Poste 6]])</f>
        <v>0</v>
      </c>
      <c r="R1641" s="71"/>
      <c r="S1641" s="68">
        <f>_xlfn.CEILING.MATH(Devis[[#This Row],[Quantité Totale]],Devis[[#This Row],[Conditionnement]])</f>
        <v>0</v>
      </c>
      <c r="T1641" s="72"/>
      <c r="U1641" s="73"/>
      <c r="V1641" s="74">
        <f>Devis[[#This Row],[Prix de Revient]]*Devis[[#This Row],[Poste 1]]</f>
        <v>0</v>
      </c>
      <c r="W1641" s="74">
        <f>Devis[[#This Row],[Prix de Revient]]*Devis[[#This Row],[Poste 2]]</f>
        <v>0</v>
      </c>
      <c r="X1641" s="74">
        <f>Devis[[#This Row],[Prix de Revient]]*Devis[[#This Row],[Poste 3]]</f>
        <v>0</v>
      </c>
      <c r="Y1641" s="74">
        <f>Devis[[#This Row],[Poste 4]]*Devis[[#This Row],[Prix de Revient]]</f>
        <v>0</v>
      </c>
      <c r="Z1641" s="74">
        <f>Devis[[#This Row],[Poste 5]]*Devis[[#This Row],[Prix de Revient]]</f>
        <v>0</v>
      </c>
      <c r="AA1641" s="74">
        <f>Devis[[#This Row],[Prix de Revient]]*Devis[[#This Row],[Poste 6]]</f>
        <v>0</v>
      </c>
      <c r="AB1641" s="74">
        <f>Devis[[#This Row],[Quantité Totale]]*Devis[[#This Row],[Prix de Revient]]</f>
        <v>0</v>
      </c>
    </row>
    <row r="1642" spans="1:28" ht="14.25" customHeight="1" x14ac:dyDescent="0.25">
      <c r="A1642" s="65" t="s">
        <v>1378</v>
      </c>
      <c r="B1642" s="65" t="s">
        <v>4715</v>
      </c>
      <c r="C1642" s="71"/>
      <c r="D1642" s="81" t="str">
        <f t="shared" si="29"/>
        <v>Inox Serti CoréenCHICANE 45°</v>
      </c>
      <c r="E1642" s="76"/>
      <c r="F1642" s="81">
        <v>0</v>
      </c>
      <c r="G1642" s="71"/>
      <c r="H1642" s="71"/>
      <c r="I1642" s="71"/>
      <c r="J1642" s="70">
        <f>IFERROR(VLOOKUP(Devis[[#This Row],[Ref Air Flux]],#REF!,3,FALSE),0)</f>
        <v>0</v>
      </c>
      <c r="K1642" s="68"/>
      <c r="L1642" s="68"/>
      <c r="M1642" s="68"/>
      <c r="N1642" s="68"/>
      <c r="O1642" s="68"/>
      <c r="P1642" s="68"/>
      <c r="Q1642" s="68">
        <f>SUM(Devis[[#This Row],[Poste 1]:[Poste 6]])</f>
        <v>0</v>
      </c>
      <c r="R1642" s="71"/>
      <c r="S1642" s="68">
        <f>_xlfn.CEILING.MATH(Devis[[#This Row],[Quantité Totale]],Devis[[#This Row],[Conditionnement]])</f>
        <v>0</v>
      </c>
      <c r="T1642" s="72"/>
      <c r="U1642" s="73"/>
      <c r="V1642" s="74">
        <f>Devis[[#This Row],[Prix de Revient]]*Devis[[#This Row],[Poste 1]]</f>
        <v>0</v>
      </c>
      <c r="W1642" s="74">
        <f>Devis[[#This Row],[Prix de Revient]]*Devis[[#This Row],[Poste 2]]</f>
        <v>0</v>
      </c>
      <c r="X1642" s="74">
        <f>Devis[[#This Row],[Prix de Revient]]*Devis[[#This Row],[Poste 3]]</f>
        <v>0</v>
      </c>
      <c r="Y1642" s="74">
        <f>Devis[[#This Row],[Poste 4]]*Devis[[#This Row],[Prix de Revient]]</f>
        <v>0</v>
      </c>
      <c r="Z1642" s="74">
        <f>Devis[[#This Row],[Poste 5]]*Devis[[#This Row],[Prix de Revient]]</f>
        <v>0</v>
      </c>
      <c r="AA1642" s="74">
        <f>Devis[[#This Row],[Prix de Revient]]*Devis[[#This Row],[Poste 6]]</f>
        <v>0</v>
      </c>
      <c r="AB1642" s="74">
        <f>Devis[[#This Row],[Quantité Totale]]*Devis[[#This Row],[Prix de Revient]]</f>
        <v>0</v>
      </c>
    </row>
    <row r="1643" spans="1:28" ht="14.25" outlineLevel="1" x14ac:dyDescent="0.2">
      <c r="A1643" s="75" t="s">
        <v>1378</v>
      </c>
      <c r="B1643" s="76" t="s">
        <v>1388</v>
      </c>
      <c r="C1643" s="71" t="s">
        <v>4713</v>
      </c>
      <c r="D1643" s="81" t="str">
        <f t="shared" si="29"/>
        <v>Inox Serti CoréenChicane 45°Ø16</v>
      </c>
      <c r="E1643" s="76">
        <v>16</v>
      </c>
      <c r="F1643" s="81">
        <v>1</v>
      </c>
      <c r="G1643" s="71" t="s">
        <v>1389</v>
      </c>
      <c r="H1643" s="71"/>
      <c r="I1643" s="71"/>
      <c r="J1643" s="70">
        <f>IFERROR(VLOOKUP(Devis[[#This Row],[Ref Air Flux]],#REF!,3,FALSE),0)</f>
        <v>0</v>
      </c>
      <c r="K1643" s="68"/>
      <c r="L1643" s="68"/>
      <c r="M1643" s="68"/>
      <c r="N1643" s="68"/>
      <c r="O1643" s="68"/>
      <c r="P1643" s="68"/>
      <c r="Q1643" s="68">
        <f>SUM(Devis[[#This Row],[Poste 1]:[Poste 6]])</f>
        <v>0</v>
      </c>
      <c r="R1643" s="71"/>
      <c r="S1643" s="68">
        <f>_xlfn.CEILING.MATH(Devis[[#This Row],[Quantité Totale]],Devis[[#This Row],[Conditionnement]])</f>
        <v>0</v>
      </c>
      <c r="T1643" s="72"/>
      <c r="U1643" s="73"/>
      <c r="V1643" s="74">
        <f>Devis[[#This Row],[Prix de Revient]]*Devis[[#This Row],[Poste 1]]</f>
        <v>0</v>
      </c>
      <c r="W1643" s="74">
        <f>Devis[[#This Row],[Prix de Revient]]*Devis[[#This Row],[Poste 2]]</f>
        <v>0</v>
      </c>
      <c r="X1643" s="74">
        <f>Devis[[#This Row],[Prix de Revient]]*Devis[[#This Row],[Poste 3]]</f>
        <v>0</v>
      </c>
      <c r="Y1643" s="74">
        <f>Devis[[#This Row],[Poste 4]]*Devis[[#This Row],[Prix de Revient]]</f>
        <v>0</v>
      </c>
      <c r="Z1643" s="74">
        <f>Devis[[#This Row],[Poste 5]]*Devis[[#This Row],[Prix de Revient]]</f>
        <v>0</v>
      </c>
      <c r="AA1643" s="74">
        <f>Devis[[#This Row],[Prix de Revient]]*Devis[[#This Row],[Poste 6]]</f>
        <v>0</v>
      </c>
      <c r="AB1643" s="74">
        <f>Devis[[#This Row],[Quantité Totale]]*Devis[[#This Row],[Prix de Revient]]</f>
        <v>0</v>
      </c>
    </row>
    <row r="1644" spans="1:28" ht="14.25" outlineLevel="1" x14ac:dyDescent="0.2">
      <c r="A1644" s="75" t="s">
        <v>1378</v>
      </c>
      <c r="B1644" s="76" t="s">
        <v>1388</v>
      </c>
      <c r="C1644" s="71" t="s">
        <v>3620</v>
      </c>
      <c r="D1644" s="81" t="str">
        <f t="shared" si="29"/>
        <v>Inox Serti CoréenChicane 45°Ø22</v>
      </c>
      <c r="E1644" s="76">
        <v>22</v>
      </c>
      <c r="F1644" s="81">
        <v>2</v>
      </c>
      <c r="G1644" s="71" t="s">
        <v>1390</v>
      </c>
      <c r="H1644" s="71"/>
      <c r="I1644" s="71"/>
      <c r="J1644" s="70">
        <f>IFERROR(VLOOKUP(Devis[[#This Row],[Ref Air Flux]],#REF!,3,FALSE),0)</f>
        <v>0</v>
      </c>
      <c r="K1644" s="68"/>
      <c r="L1644" s="68"/>
      <c r="M1644" s="68"/>
      <c r="N1644" s="68"/>
      <c r="O1644" s="68"/>
      <c r="P1644" s="68"/>
      <c r="Q1644" s="68">
        <f>SUM(Devis[[#This Row],[Poste 1]:[Poste 6]])</f>
        <v>0</v>
      </c>
      <c r="R1644" s="71"/>
      <c r="S1644" s="68">
        <f>_xlfn.CEILING.MATH(Devis[[#This Row],[Quantité Totale]],Devis[[#This Row],[Conditionnement]])</f>
        <v>0</v>
      </c>
      <c r="T1644" s="72"/>
      <c r="U1644" s="73"/>
      <c r="V1644" s="74">
        <f>Devis[[#This Row],[Prix de Revient]]*Devis[[#This Row],[Poste 1]]</f>
        <v>0</v>
      </c>
      <c r="W1644" s="74">
        <f>Devis[[#This Row],[Prix de Revient]]*Devis[[#This Row],[Poste 2]]</f>
        <v>0</v>
      </c>
      <c r="X1644" s="74">
        <f>Devis[[#This Row],[Prix de Revient]]*Devis[[#This Row],[Poste 3]]</f>
        <v>0</v>
      </c>
      <c r="Y1644" s="74">
        <f>Devis[[#This Row],[Poste 4]]*Devis[[#This Row],[Prix de Revient]]</f>
        <v>0</v>
      </c>
      <c r="Z1644" s="74">
        <f>Devis[[#This Row],[Poste 5]]*Devis[[#This Row],[Prix de Revient]]</f>
        <v>0</v>
      </c>
      <c r="AA1644" s="74">
        <f>Devis[[#This Row],[Prix de Revient]]*Devis[[#This Row],[Poste 6]]</f>
        <v>0</v>
      </c>
      <c r="AB1644" s="74">
        <f>Devis[[#This Row],[Quantité Totale]]*Devis[[#This Row],[Prix de Revient]]</f>
        <v>0</v>
      </c>
    </row>
    <row r="1645" spans="1:28" ht="14.25" outlineLevel="1" x14ac:dyDescent="0.2">
      <c r="A1645" s="75" t="s">
        <v>1378</v>
      </c>
      <c r="B1645" s="76" t="s">
        <v>1388</v>
      </c>
      <c r="C1645" s="71" t="s">
        <v>3621</v>
      </c>
      <c r="D1645" s="81" t="str">
        <f t="shared" si="29"/>
        <v>Inox Serti CoréenChicane 45°Ø28</v>
      </c>
      <c r="E1645" s="76">
        <v>28</v>
      </c>
      <c r="F1645" s="81">
        <v>3</v>
      </c>
      <c r="G1645" s="71" t="s">
        <v>1391</v>
      </c>
      <c r="H1645" s="71"/>
      <c r="I1645" s="71"/>
      <c r="J1645" s="70">
        <f>IFERROR(VLOOKUP(Devis[[#This Row],[Ref Air Flux]],#REF!,3,FALSE),0)</f>
        <v>0</v>
      </c>
      <c r="K1645" s="68"/>
      <c r="L1645" s="68"/>
      <c r="M1645" s="68"/>
      <c r="N1645" s="68"/>
      <c r="O1645" s="68"/>
      <c r="P1645" s="68"/>
      <c r="Q1645" s="68">
        <f>SUM(Devis[[#This Row],[Poste 1]:[Poste 6]])</f>
        <v>0</v>
      </c>
      <c r="R1645" s="71"/>
      <c r="S1645" s="68">
        <f>_xlfn.CEILING.MATH(Devis[[#This Row],[Quantité Totale]],Devis[[#This Row],[Conditionnement]])</f>
        <v>0</v>
      </c>
      <c r="T1645" s="72"/>
      <c r="U1645" s="73"/>
      <c r="V1645" s="74">
        <f>Devis[[#This Row],[Prix de Revient]]*Devis[[#This Row],[Poste 1]]</f>
        <v>0</v>
      </c>
      <c r="W1645" s="74">
        <f>Devis[[#This Row],[Prix de Revient]]*Devis[[#This Row],[Poste 2]]</f>
        <v>0</v>
      </c>
      <c r="X1645" s="74">
        <f>Devis[[#This Row],[Prix de Revient]]*Devis[[#This Row],[Poste 3]]</f>
        <v>0</v>
      </c>
      <c r="Y1645" s="74">
        <f>Devis[[#This Row],[Poste 4]]*Devis[[#This Row],[Prix de Revient]]</f>
        <v>0</v>
      </c>
      <c r="Z1645" s="74">
        <f>Devis[[#This Row],[Poste 5]]*Devis[[#This Row],[Prix de Revient]]</f>
        <v>0</v>
      </c>
      <c r="AA1645" s="74">
        <f>Devis[[#This Row],[Prix de Revient]]*Devis[[#This Row],[Poste 6]]</f>
        <v>0</v>
      </c>
      <c r="AB1645" s="74">
        <f>Devis[[#This Row],[Quantité Totale]]*Devis[[#This Row],[Prix de Revient]]</f>
        <v>0</v>
      </c>
    </row>
    <row r="1646" spans="1:28" ht="14.25" customHeight="1" x14ac:dyDescent="0.25">
      <c r="A1646" s="65" t="s">
        <v>1378</v>
      </c>
      <c r="B1646" s="65" t="s">
        <v>1392</v>
      </c>
      <c r="C1646" s="71"/>
      <c r="D1646" s="81" t="str">
        <f t="shared" si="29"/>
        <v>Inox Serti CoréenCourbe 45° FF</v>
      </c>
      <c r="E1646" s="76"/>
      <c r="F1646" s="81">
        <v>0</v>
      </c>
      <c r="G1646" s="71"/>
      <c r="H1646" s="71"/>
      <c r="I1646" s="71"/>
      <c r="J1646" s="70">
        <f>IFERROR(VLOOKUP(Devis[[#This Row],[Ref Air Flux]],#REF!,3,FALSE),0)</f>
        <v>0</v>
      </c>
      <c r="K1646" s="68"/>
      <c r="L1646" s="68"/>
      <c r="M1646" s="68"/>
      <c r="N1646" s="68"/>
      <c r="O1646" s="68"/>
      <c r="P1646" s="68"/>
      <c r="Q1646" s="68">
        <f>SUM(Devis[[#This Row],[Poste 1]:[Poste 6]])</f>
        <v>0</v>
      </c>
      <c r="R1646" s="71"/>
      <c r="S1646" s="68">
        <f>_xlfn.CEILING.MATH(Devis[[#This Row],[Quantité Totale]],Devis[[#This Row],[Conditionnement]])</f>
        <v>0</v>
      </c>
      <c r="T1646" s="72"/>
      <c r="U1646" s="73"/>
      <c r="V1646" s="74">
        <f>Devis[[#This Row],[Prix de Revient]]*Devis[[#This Row],[Poste 1]]</f>
        <v>0</v>
      </c>
      <c r="W1646" s="74">
        <f>Devis[[#This Row],[Prix de Revient]]*Devis[[#This Row],[Poste 2]]</f>
        <v>0</v>
      </c>
      <c r="X1646" s="74">
        <f>Devis[[#This Row],[Prix de Revient]]*Devis[[#This Row],[Poste 3]]</f>
        <v>0</v>
      </c>
      <c r="Y1646" s="74">
        <f>Devis[[#This Row],[Poste 4]]*Devis[[#This Row],[Prix de Revient]]</f>
        <v>0</v>
      </c>
      <c r="Z1646" s="74">
        <f>Devis[[#This Row],[Poste 5]]*Devis[[#This Row],[Prix de Revient]]</f>
        <v>0</v>
      </c>
      <c r="AA1646" s="74">
        <f>Devis[[#This Row],[Prix de Revient]]*Devis[[#This Row],[Poste 6]]</f>
        <v>0</v>
      </c>
      <c r="AB1646" s="74">
        <f>Devis[[#This Row],[Quantité Totale]]*Devis[[#This Row],[Prix de Revient]]</f>
        <v>0</v>
      </c>
    </row>
    <row r="1647" spans="1:28" ht="14.25" outlineLevel="1" x14ac:dyDescent="0.2">
      <c r="A1647" s="75" t="s">
        <v>1378</v>
      </c>
      <c r="B1647" s="76" t="s">
        <v>1392</v>
      </c>
      <c r="C1647" s="71" t="s">
        <v>4713</v>
      </c>
      <c r="D1647" s="81" t="str">
        <f t="shared" si="29"/>
        <v>Inox Serti CoréenCourbe 45° FFØ16</v>
      </c>
      <c r="E1647" s="73">
        <v>16</v>
      </c>
      <c r="F1647" s="81">
        <v>1</v>
      </c>
      <c r="G1647" s="71" t="s">
        <v>1393</v>
      </c>
      <c r="H1647" s="71"/>
      <c r="I1647" s="71"/>
      <c r="J1647" s="70">
        <f>IFERROR(VLOOKUP(Devis[[#This Row],[Ref Air Flux]],#REF!,3,FALSE),0)</f>
        <v>0</v>
      </c>
      <c r="K1647" s="68"/>
      <c r="L1647" s="68"/>
      <c r="M1647" s="68"/>
      <c r="N1647" s="68"/>
      <c r="O1647" s="68"/>
      <c r="P1647" s="68"/>
      <c r="Q1647" s="68">
        <f>SUM(Devis[[#This Row],[Poste 1]:[Poste 6]])</f>
        <v>0</v>
      </c>
      <c r="R1647" s="71"/>
      <c r="S1647" s="68">
        <f>_xlfn.CEILING.MATH(Devis[[#This Row],[Quantité Totale]],Devis[[#This Row],[Conditionnement]])</f>
        <v>0</v>
      </c>
      <c r="T1647" s="72"/>
      <c r="U1647" s="73"/>
      <c r="V1647" s="74">
        <f>Devis[[#This Row],[Prix de Revient]]*Devis[[#This Row],[Poste 1]]</f>
        <v>0</v>
      </c>
      <c r="W1647" s="74">
        <f>Devis[[#This Row],[Prix de Revient]]*Devis[[#This Row],[Poste 2]]</f>
        <v>0</v>
      </c>
      <c r="X1647" s="74">
        <f>Devis[[#This Row],[Prix de Revient]]*Devis[[#This Row],[Poste 3]]</f>
        <v>0</v>
      </c>
      <c r="Y1647" s="74">
        <f>Devis[[#This Row],[Poste 4]]*Devis[[#This Row],[Prix de Revient]]</f>
        <v>0</v>
      </c>
      <c r="Z1647" s="74">
        <f>Devis[[#This Row],[Poste 5]]*Devis[[#This Row],[Prix de Revient]]</f>
        <v>0</v>
      </c>
      <c r="AA1647" s="74">
        <f>Devis[[#This Row],[Prix de Revient]]*Devis[[#This Row],[Poste 6]]</f>
        <v>0</v>
      </c>
      <c r="AB1647" s="74">
        <f>Devis[[#This Row],[Quantité Totale]]*Devis[[#This Row],[Prix de Revient]]</f>
        <v>0</v>
      </c>
    </row>
    <row r="1648" spans="1:28" ht="14.25" outlineLevel="1" x14ac:dyDescent="0.2">
      <c r="A1648" s="75" t="s">
        <v>1378</v>
      </c>
      <c r="B1648" s="76" t="s">
        <v>1392</v>
      </c>
      <c r="C1648" s="71" t="s">
        <v>3620</v>
      </c>
      <c r="D1648" s="81" t="str">
        <f t="shared" si="29"/>
        <v>Inox Serti CoréenCourbe 45° FFØ22</v>
      </c>
      <c r="E1648" s="73">
        <v>22</v>
      </c>
      <c r="F1648" s="81">
        <v>2</v>
      </c>
      <c r="G1648" s="71" t="s">
        <v>1394</v>
      </c>
      <c r="H1648" s="71"/>
      <c r="I1648" s="71"/>
      <c r="J1648" s="70">
        <f>IFERROR(VLOOKUP(Devis[[#This Row],[Ref Air Flux]],#REF!,3,FALSE),0)</f>
        <v>0</v>
      </c>
      <c r="K1648" s="68"/>
      <c r="L1648" s="68"/>
      <c r="M1648" s="68"/>
      <c r="N1648" s="68"/>
      <c r="O1648" s="68"/>
      <c r="P1648" s="68"/>
      <c r="Q1648" s="68">
        <f>SUM(Devis[[#This Row],[Poste 1]:[Poste 6]])</f>
        <v>0</v>
      </c>
      <c r="R1648" s="71"/>
      <c r="S1648" s="68">
        <f>_xlfn.CEILING.MATH(Devis[[#This Row],[Quantité Totale]],Devis[[#This Row],[Conditionnement]])</f>
        <v>0</v>
      </c>
      <c r="T1648" s="72"/>
      <c r="U1648" s="73"/>
      <c r="V1648" s="74">
        <f>Devis[[#This Row],[Prix de Revient]]*Devis[[#This Row],[Poste 1]]</f>
        <v>0</v>
      </c>
      <c r="W1648" s="74">
        <f>Devis[[#This Row],[Prix de Revient]]*Devis[[#This Row],[Poste 2]]</f>
        <v>0</v>
      </c>
      <c r="X1648" s="74">
        <f>Devis[[#This Row],[Prix de Revient]]*Devis[[#This Row],[Poste 3]]</f>
        <v>0</v>
      </c>
      <c r="Y1648" s="74">
        <f>Devis[[#This Row],[Poste 4]]*Devis[[#This Row],[Prix de Revient]]</f>
        <v>0</v>
      </c>
      <c r="Z1648" s="74">
        <f>Devis[[#This Row],[Poste 5]]*Devis[[#This Row],[Prix de Revient]]</f>
        <v>0</v>
      </c>
      <c r="AA1648" s="74">
        <f>Devis[[#This Row],[Prix de Revient]]*Devis[[#This Row],[Poste 6]]</f>
        <v>0</v>
      </c>
      <c r="AB1648" s="74">
        <f>Devis[[#This Row],[Quantité Totale]]*Devis[[#This Row],[Prix de Revient]]</f>
        <v>0</v>
      </c>
    </row>
    <row r="1649" spans="1:28" ht="14.25" outlineLevel="1" x14ac:dyDescent="0.2">
      <c r="A1649" s="75" t="s">
        <v>1378</v>
      </c>
      <c r="B1649" s="76" t="s">
        <v>1392</v>
      </c>
      <c r="C1649" s="71" t="s">
        <v>3621</v>
      </c>
      <c r="D1649" s="81" t="str">
        <f t="shared" si="29"/>
        <v>Inox Serti CoréenCourbe 45° FFØ28</v>
      </c>
      <c r="E1649" s="73">
        <v>28</v>
      </c>
      <c r="F1649" s="81">
        <v>3</v>
      </c>
      <c r="G1649" s="71" t="s">
        <v>1395</v>
      </c>
      <c r="H1649" s="71"/>
      <c r="I1649" s="71"/>
      <c r="J1649" s="70">
        <f>IFERROR(VLOOKUP(Devis[[#This Row],[Ref Air Flux]],#REF!,3,FALSE),0)</f>
        <v>0</v>
      </c>
      <c r="K1649" s="68"/>
      <c r="L1649" s="68"/>
      <c r="M1649" s="68"/>
      <c r="N1649" s="68"/>
      <c r="O1649" s="68"/>
      <c r="P1649" s="68"/>
      <c r="Q1649" s="68">
        <f>SUM(Devis[[#This Row],[Poste 1]:[Poste 6]])</f>
        <v>0</v>
      </c>
      <c r="R1649" s="71"/>
      <c r="S1649" s="68">
        <f>_xlfn.CEILING.MATH(Devis[[#This Row],[Quantité Totale]],Devis[[#This Row],[Conditionnement]])</f>
        <v>0</v>
      </c>
      <c r="T1649" s="72"/>
      <c r="U1649" s="73"/>
      <c r="V1649" s="74">
        <f>Devis[[#This Row],[Prix de Revient]]*Devis[[#This Row],[Poste 1]]</f>
        <v>0</v>
      </c>
      <c r="W1649" s="74">
        <f>Devis[[#This Row],[Prix de Revient]]*Devis[[#This Row],[Poste 2]]</f>
        <v>0</v>
      </c>
      <c r="X1649" s="74">
        <f>Devis[[#This Row],[Prix de Revient]]*Devis[[#This Row],[Poste 3]]</f>
        <v>0</v>
      </c>
      <c r="Y1649" s="74">
        <f>Devis[[#This Row],[Poste 4]]*Devis[[#This Row],[Prix de Revient]]</f>
        <v>0</v>
      </c>
      <c r="Z1649" s="74">
        <f>Devis[[#This Row],[Poste 5]]*Devis[[#This Row],[Prix de Revient]]</f>
        <v>0</v>
      </c>
      <c r="AA1649" s="74">
        <f>Devis[[#This Row],[Prix de Revient]]*Devis[[#This Row],[Poste 6]]</f>
        <v>0</v>
      </c>
      <c r="AB1649" s="74">
        <f>Devis[[#This Row],[Quantité Totale]]*Devis[[#This Row],[Prix de Revient]]</f>
        <v>0</v>
      </c>
    </row>
    <row r="1650" spans="1:28" ht="14.25" outlineLevel="1" x14ac:dyDescent="0.2">
      <c r="A1650" s="75" t="s">
        <v>1378</v>
      </c>
      <c r="B1650" s="76" t="s">
        <v>1392</v>
      </c>
      <c r="C1650" s="71" t="s">
        <v>3622</v>
      </c>
      <c r="D1650" s="81" t="str">
        <f t="shared" si="29"/>
        <v>Inox Serti CoréenCourbe 45° FFØ34</v>
      </c>
      <c r="E1650" s="73">
        <v>34</v>
      </c>
      <c r="F1650" s="81">
        <v>4</v>
      </c>
      <c r="G1650" s="71" t="s">
        <v>1396</v>
      </c>
      <c r="H1650" s="71"/>
      <c r="I1650" s="71"/>
      <c r="J1650" s="70">
        <f>IFERROR(VLOOKUP(Devis[[#This Row],[Ref Air Flux]],#REF!,3,FALSE),0)</f>
        <v>0</v>
      </c>
      <c r="K1650" s="68"/>
      <c r="L1650" s="68"/>
      <c r="M1650" s="68"/>
      <c r="N1650" s="68"/>
      <c r="O1650" s="68"/>
      <c r="P1650" s="68"/>
      <c r="Q1650" s="68">
        <f>SUM(Devis[[#This Row],[Poste 1]:[Poste 6]])</f>
        <v>0</v>
      </c>
      <c r="R1650" s="71"/>
      <c r="S1650" s="68">
        <f>_xlfn.CEILING.MATH(Devis[[#This Row],[Quantité Totale]],Devis[[#This Row],[Conditionnement]])</f>
        <v>0</v>
      </c>
      <c r="T1650" s="72"/>
      <c r="U1650" s="73"/>
      <c r="V1650" s="74">
        <f>Devis[[#This Row],[Prix de Revient]]*Devis[[#This Row],[Poste 1]]</f>
        <v>0</v>
      </c>
      <c r="W1650" s="74">
        <f>Devis[[#This Row],[Prix de Revient]]*Devis[[#This Row],[Poste 2]]</f>
        <v>0</v>
      </c>
      <c r="X1650" s="74">
        <f>Devis[[#This Row],[Prix de Revient]]*Devis[[#This Row],[Poste 3]]</f>
        <v>0</v>
      </c>
      <c r="Y1650" s="74">
        <f>Devis[[#This Row],[Poste 4]]*Devis[[#This Row],[Prix de Revient]]</f>
        <v>0</v>
      </c>
      <c r="Z1650" s="74">
        <f>Devis[[#This Row],[Poste 5]]*Devis[[#This Row],[Prix de Revient]]</f>
        <v>0</v>
      </c>
      <c r="AA1650" s="74">
        <f>Devis[[#This Row],[Prix de Revient]]*Devis[[#This Row],[Poste 6]]</f>
        <v>0</v>
      </c>
      <c r="AB1650" s="74">
        <f>Devis[[#This Row],[Quantité Totale]]*Devis[[#This Row],[Prix de Revient]]</f>
        <v>0</v>
      </c>
    </row>
    <row r="1651" spans="1:28" ht="14.25" outlineLevel="1" x14ac:dyDescent="0.2">
      <c r="A1651" s="75" t="s">
        <v>1378</v>
      </c>
      <c r="B1651" s="76" t="s">
        <v>1392</v>
      </c>
      <c r="C1651" s="71" t="s">
        <v>3623</v>
      </c>
      <c r="D1651" s="81" t="str">
        <f t="shared" si="29"/>
        <v>Inox Serti CoréenCourbe 45° FFØ42</v>
      </c>
      <c r="E1651" s="73">
        <v>42</v>
      </c>
      <c r="F1651" s="81">
        <v>5</v>
      </c>
      <c r="G1651" s="71" t="s">
        <v>1397</v>
      </c>
      <c r="H1651" s="71"/>
      <c r="I1651" s="71"/>
      <c r="J1651" s="70">
        <f>IFERROR(VLOOKUP(Devis[[#This Row],[Ref Air Flux]],#REF!,3,FALSE),0)</f>
        <v>0</v>
      </c>
      <c r="K1651" s="68"/>
      <c r="L1651" s="68"/>
      <c r="M1651" s="68"/>
      <c r="N1651" s="68"/>
      <c r="O1651" s="68"/>
      <c r="P1651" s="68"/>
      <c r="Q1651" s="68">
        <f>SUM(Devis[[#This Row],[Poste 1]:[Poste 6]])</f>
        <v>0</v>
      </c>
      <c r="R1651" s="71"/>
      <c r="S1651" s="68">
        <f>_xlfn.CEILING.MATH(Devis[[#This Row],[Quantité Totale]],Devis[[#This Row],[Conditionnement]])</f>
        <v>0</v>
      </c>
      <c r="T1651" s="72"/>
      <c r="U1651" s="73"/>
      <c r="V1651" s="74">
        <f>Devis[[#This Row],[Prix de Revient]]*Devis[[#This Row],[Poste 1]]</f>
        <v>0</v>
      </c>
      <c r="W1651" s="74">
        <f>Devis[[#This Row],[Prix de Revient]]*Devis[[#This Row],[Poste 2]]</f>
        <v>0</v>
      </c>
      <c r="X1651" s="74">
        <f>Devis[[#This Row],[Prix de Revient]]*Devis[[#This Row],[Poste 3]]</f>
        <v>0</v>
      </c>
      <c r="Y1651" s="74">
        <f>Devis[[#This Row],[Poste 4]]*Devis[[#This Row],[Prix de Revient]]</f>
        <v>0</v>
      </c>
      <c r="Z1651" s="74">
        <f>Devis[[#This Row],[Poste 5]]*Devis[[#This Row],[Prix de Revient]]</f>
        <v>0</v>
      </c>
      <c r="AA1651" s="74">
        <f>Devis[[#This Row],[Prix de Revient]]*Devis[[#This Row],[Poste 6]]</f>
        <v>0</v>
      </c>
      <c r="AB1651" s="74">
        <f>Devis[[#This Row],[Quantité Totale]]*Devis[[#This Row],[Prix de Revient]]</f>
        <v>0</v>
      </c>
    </row>
    <row r="1652" spans="1:28" ht="14.25" outlineLevel="1" x14ac:dyDescent="0.2">
      <c r="A1652" s="75" t="s">
        <v>1378</v>
      </c>
      <c r="B1652" s="76" t="s">
        <v>1392</v>
      </c>
      <c r="C1652" s="71" t="s">
        <v>3624</v>
      </c>
      <c r="D1652" s="81" t="str">
        <f t="shared" si="29"/>
        <v>Inox Serti CoréenCourbe 45° FFØ48</v>
      </c>
      <c r="E1652" s="73">
        <v>48</v>
      </c>
      <c r="F1652" s="81">
        <v>6</v>
      </c>
      <c r="G1652" s="71" t="s">
        <v>1398</v>
      </c>
      <c r="H1652" s="71"/>
      <c r="I1652" s="71"/>
      <c r="J1652" s="70">
        <f>IFERROR(VLOOKUP(Devis[[#This Row],[Ref Air Flux]],#REF!,3,FALSE),0)</f>
        <v>0</v>
      </c>
      <c r="K1652" s="68"/>
      <c r="L1652" s="68"/>
      <c r="M1652" s="68"/>
      <c r="N1652" s="68"/>
      <c r="O1652" s="68"/>
      <c r="P1652" s="68"/>
      <c r="Q1652" s="68">
        <f>SUM(Devis[[#This Row],[Poste 1]:[Poste 6]])</f>
        <v>0</v>
      </c>
      <c r="R1652" s="71"/>
      <c r="S1652" s="68">
        <f>_xlfn.CEILING.MATH(Devis[[#This Row],[Quantité Totale]],Devis[[#This Row],[Conditionnement]])</f>
        <v>0</v>
      </c>
      <c r="T1652" s="72"/>
      <c r="U1652" s="73"/>
      <c r="V1652" s="74">
        <f>Devis[[#This Row],[Prix de Revient]]*Devis[[#This Row],[Poste 1]]</f>
        <v>0</v>
      </c>
      <c r="W1652" s="74">
        <f>Devis[[#This Row],[Prix de Revient]]*Devis[[#This Row],[Poste 2]]</f>
        <v>0</v>
      </c>
      <c r="X1652" s="74">
        <f>Devis[[#This Row],[Prix de Revient]]*Devis[[#This Row],[Poste 3]]</f>
        <v>0</v>
      </c>
      <c r="Y1652" s="74">
        <f>Devis[[#This Row],[Poste 4]]*Devis[[#This Row],[Prix de Revient]]</f>
        <v>0</v>
      </c>
      <c r="Z1652" s="74">
        <f>Devis[[#This Row],[Poste 5]]*Devis[[#This Row],[Prix de Revient]]</f>
        <v>0</v>
      </c>
      <c r="AA1652" s="74">
        <f>Devis[[#This Row],[Prix de Revient]]*Devis[[#This Row],[Poste 6]]</f>
        <v>0</v>
      </c>
      <c r="AB1652" s="74">
        <f>Devis[[#This Row],[Quantité Totale]]*Devis[[#This Row],[Prix de Revient]]</f>
        <v>0</v>
      </c>
    </row>
    <row r="1653" spans="1:28" ht="14.25" outlineLevel="1" x14ac:dyDescent="0.2">
      <c r="A1653" s="75" t="s">
        <v>1378</v>
      </c>
      <c r="B1653" s="76" t="s">
        <v>1392</v>
      </c>
      <c r="C1653" s="71" t="s">
        <v>3626</v>
      </c>
      <c r="D1653" s="81" t="str">
        <f t="shared" si="29"/>
        <v>Inox Serti CoréenCourbe 45° FFØ60</v>
      </c>
      <c r="E1653" s="73">
        <v>60</v>
      </c>
      <c r="F1653" s="81">
        <v>7</v>
      </c>
      <c r="G1653" s="71" t="s">
        <v>1399</v>
      </c>
      <c r="H1653" s="71"/>
      <c r="I1653" s="71"/>
      <c r="J1653" s="70">
        <f>IFERROR(VLOOKUP(Devis[[#This Row],[Ref Air Flux]],#REF!,3,FALSE),0)</f>
        <v>0</v>
      </c>
      <c r="K1653" s="68"/>
      <c r="L1653" s="68"/>
      <c r="M1653" s="68"/>
      <c r="N1653" s="68"/>
      <c r="O1653" s="68"/>
      <c r="P1653" s="68"/>
      <c r="Q1653" s="68">
        <f>SUM(Devis[[#This Row],[Poste 1]:[Poste 6]])</f>
        <v>0</v>
      </c>
      <c r="R1653" s="71"/>
      <c r="S1653" s="68">
        <f>_xlfn.CEILING.MATH(Devis[[#This Row],[Quantité Totale]],Devis[[#This Row],[Conditionnement]])</f>
        <v>0</v>
      </c>
      <c r="T1653" s="72"/>
      <c r="U1653" s="73"/>
      <c r="V1653" s="74">
        <f>Devis[[#This Row],[Prix de Revient]]*Devis[[#This Row],[Poste 1]]</f>
        <v>0</v>
      </c>
      <c r="W1653" s="74">
        <f>Devis[[#This Row],[Prix de Revient]]*Devis[[#This Row],[Poste 2]]</f>
        <v>0</v>
      </c>
      <c r="X1653" s="74">
        <f>Devis[[#This Row],[Prix de Revient]]*Devis[[#This Row],[Poste 3]]</f>
        <v>0</v>
      </c>
      <c r="Y1653" s="74">
        <f>Devis[[#This Row],[Poste 4]]*Devis[[#This Row],[Prix de Revient]]</f>
        <v>0</v>
      </c>
      <c r="Z1653" s="74">
        <f>Devis[[#This Row],[Poste 5]]*Devis[[#This Row],[Prix de Revient]]</f>
        <v>0</v>
      </c>
      <c r="AA1653" s="74">
        <f>Devis[[#This Row],[Prix de Revient]]*Devis[[#This Row],[Poste 6]]</f>
        <v>0</v>
      </c>
      <c r="AB1653" s="74">
        <f>Devis[[#This Row],[Quantité Totale]]*Devis[[#This Row],[Prix de Revient]]</f>
        <v>0</v>
      </c>
    </row>
    <row r="1654" spans="1:28" ht="14.25" outlineLevel="1" x14ac:dyDescent="0.2">
      <c r="A1654" s="75" t="s">
        <v>1378</v>
      </c>
      <c r="B1654" s="76" t="s">
        <v>1392</v>
      </c>
      <c r="C1654" s="71" t="s">
        <v>4714</v>
      </c>
      <c r="D1654" s="81" t="str">
        <f t="shared" si="29"/>
        <v>Inox Serti CoréenCourbe 45° FFØ80</v>
      </c>
      <c r="E1654" s="73">
        <v>80</v>
      </c>
      <c r="F1654" s="81">
        <v>8</v>
      </c>
      <c r="G1654" s="71" t="s">
        <v>1400</v>
      </c>
      <c r="H1654" s="71"/>
      <c r="I1654" s="71"/>
      <c r="J1654" s="70">
        <f>IFERROR(VLOOKUP(Devis[[#This Row],[Ref Air Flux]],#REF!,3,FALSE),0)</f>
        <v>0</v>
      </c>
      <c r="K1654" s="68"/>
      <c r="L1654" s="68"/>
      <c r="M1654" s="68"/>
      <c r="N1654" s="68"/>
      <c r="O1654" s="68"/>
      <c r="P1654" s="68"/>
      <c r="Q1654" s="68">
        <f>SUM(Devis[[#This Row],[Poste 1]:[Poste 6]])</f>
        <v>0</v>
      </c>
      <c r="R1654" s="71"/>
      <c r="S1654" s="68">
        <f>_xlfn.CEILING.MATH(Devis[[#This Row],[Quantité Totale]],Devis[[#This Row],[Conditionnement]])</f>
        <v>0</v>
      </c>
      <c r="T1654" s="72"/>
      <c r="U1654" s="73"/>
      <c r="V1654" s="74">
        <f>Devis[[#This Row],[Prix de Revient]]*Devis[[#This Row],[Poste 1]]</f>
        <v>0</v>
      </c>
      <c r="W1654" s="74">
        <f>Devis[[#This Row],[Prix de Revient]]*Devis[[#This Row],[Poste 2]]</f>
        <v>0</v>
      </c>
      <c r="X1654" s="74">
        <f>Devis[[#This Row],[Prix de Revient]]*Devis[[#This Row],[Poste 3]]</f>
        <v>0</v>
      </c>
      <c r="Y1654" s="74">
        <f>Devis[[#This Row],[Poste 4]]*Devis[[#This Row],[Prix de Revient]]</f>
        <v>0</v>
      </c>
      <c r="Z1654" s="74">
        <f>Devis[[#This Row],[Poste 5]]*Devis[[#This Row],[Prix de Revient]]</f>
        <v>0</v>
      </c>
      <c r="AA1654" s="74">
        <f>Devis[[#This Row],[Prix de Revient]]*Devis[[#This Row],[Poste 6]]</f>
        <v>0</v>
      </c>
      <c r="AB1654" s="74">
        <f>Devis[[#This Row],[Quantité Totale]]*Devis[[#This Row],[Prix de Revient]]</f>
        <v>0</v>
      </c>
    </row>
    <row r="1655" spans="1:28" ht="14.25" customHeight="1" x14ac:dyDescent="0.25">
      <c r="A1655" s="65" t="s">
        <v>1378</v>
      </c>
      <c r="B1655" s="65" t="s">
        <v>5943</v>
      </c>
      <c r="C1655" s="71"/>
      <c r="D1655" s="81" t="str">
        <f t="shared" si="29"/>
        <v>Inox Serti CoréenCourbe 45° MF</v>
      </c>
      <c r="E1655" s="76"/>
      <c r="F1655" s="81">
        <v>0</v>
      </c>
      <c r="G1655" s="71"/>
      <c r="H1655" s="71"/>
      <c r="I1655" s="71"/>
      <c r="J1655" s="70">
        <f>IFERROR(VLOOKUP(Devis[[#This Row],[Ref Air Flux]],#REF!,3,FALSE),0)</f>
        <v>0</v>
      </c>
      <c r="K1655" s="68"/>
      <c r="L1655" s="68"/>
      <c r="M1655" s="68"/>
      <c r="N1655" s="68"/>
      <c r="O1655" s="68"/>
      <c r="P1655" s="68"/>
      <c r="Q1655" s="68">
        <f>SUM(Devis[[#This Row],[Poste 1]:[Poste 6]])</f>
        <v>0</v>
      </c>
      <c r="R1655" s="71"/>
      <c r="S1655" s="68">
        <f>_xlfn.CEILING.MATH(Devis[[#This Row],[Quantité Totale]],Devis[[#This Row],[Conditionnement]])</f>
        <v>0</v>
      </c>
      <c r="T1655" s="72"/>
      <c r="U1655" s="73"/>
      <c r="V1655" s="74">
        <f>Devis[[#This Row],[Prix de Revient]]*Devis[[#This Row],[Poste 1]]</f>
        <v>0</v>
      </c>
      <c r="W1655" s="74">
        <f>Devis[[#This Row],[Prix de Revient]]*Devis[[#This Row],[Poste 2]]</f>
        <v>0</v>
      </c>
      <c r="X1655" s="74">
        <f>Devis[[#This Row],[Prix de Revient]]*Devis[[#This Row],[Poste 3]]</f>
        <v>0</v>
      </c>
      <c r="Y1655" s="74">
        <f>Devis[[#This Row],[Poste 4]]*Devis[[#This Row],[Prix de Revient]]</f>
        <v>0</v>
      </c>
      <c r="Z1655" s="74">
        <f>Devis[[#This Row],[Poste 5]]*Devis[[#This Row],[Prix de Revient]]</f>
        <v>0</v>
      </c>
      <c r="AA1655" s="74">
        <f>Devis[[#This Row],[Prix de Revient]]*Devis[[#This Row],[Poste 6]]</f>
        <v>0</v>
      </c>
      <c r="AB1655" s="74">
        <f>Devis[[#This Row],[Quantité Totale]]*Devis[[#This Row],[Prix de Revient]]</f>
        <v>0</v>
      </c>
    </row>
    <row r="1656" spans="1:28" ht="14.25" customHeight="1" outlineLevel="1" x14ac:dyDescent="0.2">
      <c r="A1656" s="75" t="s">
        <v>1378</v>
      </c>
      <c r="B1656" s="76" t="s">
        <v>5943</v>
      </c>
      <c r="C1656" s="71" t="s">
        <v>4713</v>
      </c>
      <c r="D1656" s="81" t="str">
        <f t="shared" si="29"/>
        <v>Inox Serti CoréenCourbe 45° MFØ16</v>
      </c>
      <c r="E1656" s="73">
        <v>16</v>
      </c>
      <c r="F1656" s="81">
        <v>1</v>
      </c>
      <c r="G1656" s="71" t="s">
        <v>1449</v>
      </c>
      <c r="H1656" s="71"/>
      <c r="I1656" s="71"/>
      <c r="J1656" s="70">
        <f>IFERROR(VLOOKUP(Devis[[#This Row],[Ref Air Flux]],#REF!,3,FALSE),0)</f>
        <v>0</v>
      </c>
      <c r="K1656" s="68"/>
      <c r="L1656" s="68"/>
      <c r="M1656" s="68"/>
      <c r="N1656" s="68"/>
      <c r="O1656" s="68"/>
      <c r="P1656" s="68"/>
      <c r="Q1656" s="68">
        <f>SUM(Devis[[#This Row],[Poste 1]:[Poste 6]])</f>
        <v>0</v>
      </c>
      <c r="R1656" s="71"/>
      <c r="S1656" s="68">
        <f>_xlfn.CEILING.MATH(Devis[[#This Row],[Quantité Totale]],Devis[[#This Row],[Conditionnement]])</f>
        <v>0</v>
      </c>
      <c r="T1656" s="72"/>
      <c r="U1656" s="73"/>
      <c r="V1656" s="74">
        <f>Devis[[#This Row],[Prix de Revient]]*Devis[[#This Row],[Poste 1]]</f>
        <v>0</v>
      </c>
      <c r="W1656" s="74">
        <f>Devis[[#This Row],[Prix de Revient]]*Devis[[#This Row],[Poste 2]]</f>
        <v>0</v>
      </c>
      <c r="X1656" s="74">
        <f>Devis[[#This Row],[Prix de Revient]]*Devis[[#This Row],[Poste 3]]</f>
        <v>0</v>
      </c>
      <c r="Y1656" s="74">
        <f>Devis[[#This Row],[Poste 4]]*Devis[[#This Row],[Prix de Revient]]</f>
        <v>0</v>
      </c>
      <c r="Z1656" s="74">
        <f>Devis[[#This Row],[Poste 5]]*Devis[[#This Row],[Prix de Revient]]</f>
        <v>0</v>
      </c>
      <c r="AA1656" s="74">
        <f>Devis[[#This Row],[Prix de Revient]]*Devis[[#This Row],[Poste 6]]</f>
        <v>0</v>
      </c>
      <c r="AB1656" s="74">
        <f>Devis[[#This Row],[Quantité Totale]]*Devis[[#This Row],[Prix de Revient]]</f>
        <v>0</v>
      </c>
    </row>
    <row r="1657" spans="1:28" ht="14.25" outlineLevel="1" x14ac:dyDescent="0.2">
      <c r="A1657" s="75" t="s">
        <v>1378</v>
      </c>
      <c r="B1657" s="76" t="s">
        <v>5943</v>
      </c>
      <c r="C1657" s="71" t="s">
        <v>3620</v>
      </c>
      <c r="D1657" s="81" t="str">
        <f t="shared" si="29"/>
        <v>Inox Serti CoréenCourbe 45° MFØ22</v>
      </c>
      <c r="E1657" s="73">
        <v>22</v>
      </c>
      <c r="F1657" s="81">
        <v>2</v>
      </c>
      <c r="G1657" s="71" t="s">
        <v>1450</v>
      </c>
      <c r="H1657" s="71"/>
      <c r="I1657" s="71"/>
      <c r="J1657" s="70">
        <f>IFERROR(VLOOKUP(Devis[[#This Row],[Ref Air Flux]],#REF!,3,FALSE),0)</f>
        <v>0</v>
      </c>
      <c r="K1657" s="68"/>
      <c r="L1657" s="68"/>
      <c r="M1657" s="68"/>
      <c r="N1657" s="68"/>
      <c r="O1657" s="68"/>
      <c r="P1657" s="68"/>
      <c r="Q1657" s="68">
        <f>SUM(Devis[[#This Row],[Poste 1]:[Poste 6]])</f>
        <v>0</v>
      </c>
      <c r="R1657" s="71"/>
      <c r="S1657" s="68">
        <f>_xlfn.CEILING.MATH(Devis[[#This Row],[Quantité Totale]],Devis[[#This Row],[Conditionnement]])</f>
        <v>0</v>
      </c>
      <c r="T1657" s="72"/>
      <c r="U1657" s="73"/>
      <c r="V1657" s="74">
        <f>Devis[[#This Row],[Prix de Revient]]*Devis[[#This Row],[Poste 1]]</f>
        <v>0</v>
      </c>
      <c r="W1657" s="74">
        <f>Devis[[#This Row],[Prix de Revient]]*Devis[[#This Row],[Poste 2]]</f>
        <v>0</v>
      </c>
      <c r="X1657" s="74">
        <f>Devis[[#This Row],[Prix de Revient]]*Devis[[#This Row],[Poste 3]]</f>
        <v>0</v>
      </c>
      <c r="Y1657" s="74">
        <f>Devis[[#This Row],[Poste 4]]*Devis[[#This Row],[Prix de Revient]]</f>
        <v>0</v>
      </c>
      <c r="Z1657" s="74">
        <f>Devis[[#This Row],[Poste 5]]*Devis[[#This Row],[Prix de Revient]]</f>
        <v>0</v>
      </c>
      <c r="AA1657" s="74">
        <f>Devis[[#This Row],[Prix de Revient]]*Devis[[#This Row],[Poste 6]]</f>
        <v>0</v>
      </c>
      <c r="AB1657" s="74">
        <f>Devis[[#This Row],[Quantité Totale]]*Devis[[#This Row],[Prix de Revient]]</f>
        <v>0</v>
      </c>
    </row>
    <row r="1658" spans="1:28" ht="14.25" outlineLevel="1" x14ac:dyDescent="0.2">
      <c r="A1658" s="75" t="s">
        <v>1378</v>
      </c>
      <c r="B1658" s="76" t="s">
        <v>5943</v>
      </c>
      <c r="C1658" s="71" t="s">
        <v>3621</v>
      </c>
      <c r="D1658" s="81" t="str">
        <f t="shared" si="29"/>
        <v>Inox Serti CoréenCourbe 45° MFØ28</v>
      </c>
      <c r="E1658" s="73">
        <v>28</v>
      </c>
      <c r="F1658" s="81">
        <v>3</v>
      </c>
      <c r="G1658" s="71" t="s">
        <v>1451</v>
      </c>
      <c r="H1658" s="71"/>
      <c r="I1658" s="71"/>
      <c r="J1658" s="70">
        <f>IFERROR(VLOOKUP(Devis[[#This Row],[Ref Air Flux]],#REF!,3,FALSE),0)</f>
        <v>0</v>
      </c>
      <c r="K1658" s="68"/>
      <c r="L1658" s="68"/>
      <c r="M1658" s="68"/>
      <c r="N1658" s="68"/>
      <c r="O1658" s="68"/>
      <c r="P1658" s="68"/>
      <c r="Q1658" s="68">
        <f>SUM(Devis[[#This Row],[Poste 1]:[Poste 6]])</f>
        <v>0</v>
      </c>
      <c r="R1658" s="71"/>
      <c r="S1658" s="68">
        <f>_xlfn.CEILING.MATH(Devis[[#This Row],[Quantité Totale]],Devis[[#This Row],[Conditionnement]])</f>
        <v>0</v>
      </c>
      <c r="T1658" s="72"/>
      <c r="U1658" s="73"/>
      <c r="V1658" s="74">
        <f>Devis[[#This Row],[Prix de Revient]]*Devis[[#This Row],[Poste 1]]</f>
        <v>0</v>
      </c>
      <c r="W1658" s="74">
        <f>Devis[[#This Row],[Prix de Revient]]*Devis[[#This Row],[Poste 2]]</f>
        <v>0</v>
      </c>
      <c r="X1658" s="74">
        <f>Devis[[#This Row],[Prix de Revient]]*Devis[[#This Row],[Poste 3]]</f>
        <v>0</v>
      </c>
      <c r="Y1658" s="74">
        <f>Devis[[#This Row],[Poste 4]]*Devis[[#This Row],[Prix de Revient]]</f>
        <v>0</v>
      </c>
      <c r="Z1658" s="74">
        <f>Devis[[#This Row],[Poste 5]]*Devis[[#This Row],[Prix de Revient]]</f>
        <v>0</v>
      </c>
      <c r="AA1658" s="74">
        <f>Devis[[#This Row],[Prix de Revient]]*Devis[[#This Row],[Poste 6]]</f>
        <v>0</v>
      </c>
      <c r="AB1658" s="74">
        <f>Devis[[#This Row],[Quantité Totale]]*Devis[[#This Row],[Prix de Revient]]</f>
        <v>0</v>
      </c>
    </row>
    <row r="1659" spans="1:28" ht="14.25" customHeight="1" outlineLevel="1" x14ac:dyDescent="0.2">
      <c r="A1659" s="75" t="s">
        <v>1378</v>
      </c>
      <c r="B1659" s="76" t="s">
        <v>5943</v>
      </c>
      <c r="C1659" s="71" t="s">
        <v>3622</v>
      </c>
      <c r="D1659" s="81" t="str">
        <f t="shared" si="29"/>
        <v>Inox Serti CoréenCourbe 45° MFØ34</v>
      </c>
      <c r="E1659" s="73">
        <v>34</v>
      </c>
      <c r="F1659" s="81">
        <v>4</v>
      </c>
      <c r="G1659" s="71" t="s">
        <v>1452</v>
      </c>
      <c r="H1659" s="71"/>
      <c r="I1659" s="71"/>
      <c r="J1659" s="70">
        <f>IFERROR(VLOOKUP(Devis[[#This Row],[Ref Air Flux]],#REF!,3,FALSE),0)</f>
        <v>0</v>
      </c>
      <c r="K1659" s="68"/>
      <c r="L1659" s="68"/>
      <c r="M1659" s="68"/>
      <c r="N1659" s="68"/>
      <c r="O1659" s="68"/>
      <c r="P1659" s="68"/>
      <c r="Q1659" s="68">
        <f>SUM(Devis[[#This Row],[Poste 1]:[Poste 6]])</f>
        <v>0</v>
      </c>
      <c r="R1659" s="71"/>
      <c r="S1659" s="68">
        <f>_xlfn.CEILING.MATH(Devis[[#This Row],[Quantité Totale]],Devis[[#This Row],[Conditionnement]])</f>
        <v>0</v>
      </c>
      <c r="T1659" s="72"/>
      <c r="U1659" s="73"/>
      <c r="V1659" s="74">
        <f>Devis[[#This Row],[Prix de Revient]]*Devis[[#This Row],[Poste 1]]</f>
        <v>0</v>
      </c>
      <c r="W1659" s="74">
        <f>Devis[[#This Row],[Prix de Revient]]*Devis[[#This Row],[Poste 2]]</f>
        <v>0</v>
      </c>
      <c r="X1659" s="74">
        <f>Devis[[#This Row],[Prix de Revient]]*Devis[[#This Row],[Poste 3]]</f>
        <v>0</v>
      </c>
      <c r="Y1659" s="74">
        <f>Devis[[#This Row],[Poste 4]]*Devis[[#This Row],[Prix de Revient]]</f>
        <v>0</v>
      </c>
      <c r="Z1659" s="74">
        <f>Devis[[#This Row],[Poste 5]]*Devis[[#This Row],[Prix de Revient]]</f>
        <v>0</v>
      </c>
      <c r="AA1659" s="74">
        <f>Devis[[#This Row],[Prix de Revient]]*Devis[[#This Row],[Poste 6]]</f>
        <v>0</v>
      </c>
      <c r="AB1659" s="74">
        <f>Devis[[#This Row],[Quantité Totale]]*Devis[[#This Row],[Prix de Revient]]</f>
        <v>0</v>
      </c>
    </row>
    <row r="1660" spans="1:28" ht="14.25" customHeight="1" outlineLevel="1" x14ac:dyDescent="0.2">
      <c r="A1660" s="75" t="s">
        <v>1378</v>
      </c>
      <c r="B1660" s="76" t="s">
        <v>5943</v>
      </c>
      <c r="C1660" s="71" t="s">
        <v>3623</v>
      </c>
      <c r="D1660" s="81" t="str">
        <f t="shared" si="29"/>
        <v>Inox Serti CoréenCourbe 45° MFØ42</v>
      </c>
      <c r="E1660" s="73">
        <v>42</v>
      </c>
      <c r="F1660" s="81">
        <v>5</v>
      </c>
      <c r="G1660" s="71" t="s">
        <v>1453</v>
      </c>
      <c r="H1660" s="71"/>
      <c r="I1660" s="71"/>
      <c r="J1660" s="70">
        <f>IFERROR(VLOOKUP(Devis[[#This Row],[Ref Air Flux]],#REF!,3,FALSE),0)</f>
        <v>0</v>
      </c>
      <c r="K1660" s="68"/>
      <c r="L1660" s="68"/>
      <c r="M1660" s="68"/>
      <c r="N1660" s="68"/>
      <c r="O1660" s="68"/>
      <c r="P1660" s="68"/>
      <c r="Q1660" s="68">
        <f>SUM(Devis[[#This Row],[Poste 1]:[Poste 6]])</f>
        <v>0</v>
      </c>
      <c r="R1660" s="71"/>
      <c r="S1660" s="68">
        <f>_xlfn.CEILING.MATH(Devis[[#This Row],[Quantité Totale]],Devis[[#This Row],[Conditionnement]])</f>
        <v>0</v>
      </c>
      <c r="T1660" s="72"/>
      <c r="U1660" s="73"/>
      <c r="V1660" s="74">
        <f>Devis[[#This Row],[Prix de Revient]]*Devis[[#This Row],[Poste 1]]</f>
        <v>0</v>
      </c>
      <c r="W1660" s="74">
        <f>Devis[[#This Row],[Prix de Revient]]*Devis[[#This Row],[Poste 2]]</f>
        <v>0</v>
      </c>
      <c r="X1660" s="74">
        <f>Devis[[#This Row],[Prix de Revient]]*Devis[[#This Row],[Poste 3]]</f>
        <v>0</v>
      </c>
      <c r="Y1660" s="74">
        <f>Devis[[#This Row],[Poste 4]]*Devis[[#This Row],[Prix de Revient]]</f>
        <v>0</v>
      </c>
      <c r="Z1660" s="74">
        <f>Devis[[#This Row],[Poste 5]]*Devis[[#This Row],[Prix de Revient]]</f>
        <v>0</v>
      </c>
      <c r="AA1660" s="74">
        <f>Devis[[#This Row],[Prix de Revient]]*Devis[[#This Row],[Poste 6]]</f>
        <v>0</v>
      </c>
      <c r="AB1660" s="74">
        <f>Devis[[#This Row],[Quantité Totale]]*Devis[[#This Row],[Prix de Revient]]</f>
        <v>0</v>
      </c>
    </row>
    <row r="1661" spans="1:28" ht="14.25" outlineLevel="1" x14ac:dyDescent="0.2">
      <c r="A1661" s="75" t="s">
        <v>1378</v>
      </c>
      <c r="B1661" s="76" t="s">
        <v>5943</v>
      </c>
      <c r="C1661" s="71" t="s">
        <v>3624</v>
      </c>
      <c r="D1661" s="81" t="str">
        <f t="shared" si="29"/>
        <v>Inox Serti CoréenCourbe 45° MFØ48</v>
      </c>
      <c r="E1661" s="73">
        <v>48</v>
      </c>
      <c r="F1661" s="81">
        <v>6</v>
      </c>
      <c r="G1661" s="71" t="s">
        <v>1454</v>
      </c>
      <c r="H1661" s="71"/>
      <c r="I1661" s="71"/>
      <c r="J1661" s="70">
        <f>IFERROR(VLOOKUP(Devis[[#This Row],[Ref Air Flux]],#REF!,3,FALSE),0)</f>
        <v>0</v>
      </c>
      <c r="K1661" s="68"/>
      <c r="L1661" s="68"/>
      <c r="M1661" s="68"/>
      <c r="N1661" s="68"/>
      <c r="O1661" s="68"/>
      <c r="P1661" s="68"/>
      <c r="Q1661" s="68">
        <f>SUM(Devis[[#This Row],[Poste 1]:[Poste 6]])</f>
        <v>0</v>
      </c>
      <c r="R1661" s="71"/>
      <c r="S1661" s="68">
        <f>_xlfn.CEILING.MATH(Devis[[#This Row],[Quantité Totale]],Devis[[#This Row],[Conditionnement]])</f>
        <v>0</v>
      </c>
      <c r="T1661" s="72"/>
      <c r="U1661" s="73"/>
      <c r="V1661" s="74">
        <f>Devis[[#This Row],[Prix de Revient]]*Devis[[#This Row],[Poste 1]]</f>
        <v>0</v>
      </c>
      <c r="W1661" s="74">
        <f>Devis[[#This Row],[Prix de Revient]]*Devis[[#This Row],[Poste 2]]</f>
        <v>0</v>
      </c>
      <c r="X1661" s="74">
        <f>Devis[[#This Row],[Prix de Revient]]*Devis[[#This Row],[Poste 3]]</f>
        <v>0</v>
      </c>
      <c r="Y1661" s="74">
        <f>Devis[[#This Row],[Poste 4]]*Devis[[#This Row],[Prix de Revient]]</f>
        <v>0</v>
      </c>
      <c r="Z1661" s="74">
        <f>Devis[[#This Row],[Poste 5]]*Devis[[#This Row],[Prix de Revient]]</f>
        <v>0</v>
      </c>
      <c r="AA1661" s="74">
        <f>Devis[[#This Row],[Prix de Revient]]*Devis[[#This Row],[Poste 6]]</f>
        <v>0</v>
      </c>
      <c r="AB1661" s="74">
        <f>Devis[[#This Row],[Quantité Totale]]*Devis[[#This Row],[Prix de Revient]]</f>
        <v>0</v>
      </c>
    </row>
    <row r="1662" spans="1:28" ht="14.25" outlineLevel="1" x14ac:dyDescent="0.2">
      <c r="A1662" s="75" t="s">
        <v>1378</v>
      </c>
      <c r="B1662" s="76" t="s">
        <v>5943</v>
      </c>
      <c r="C1662" s="71" t="s">
        <v>3626</v>
      </c>
      <c r="D1662" s="81" t="str">
        <f t="shared" si="29"/>
        <v>Inox Serti CoréenCourbe 45° MFØ60</v>
      </c>
      <c r="E1662" s="73">
        <v>60</v>
      </c>
      <c r="F1662" s="81">
        <v>7</v>
      </c>
      <c r="G1662" s="71" t="s">
        <v>1455</v>
      </c>
      <c r="H1662" s="71"/>
      <c r="I1662" s="71"/>
      <c r="J1662" s="70">
        <f>IFERROR(VLOOKUP(Devis[[#This Row],[Ref Air Flux]],#REF!,3,FALSE),0)</f>
        <v>0</v>
      </c>
      <c r="K1662" s="68"/>
      <c r="L1662" s="68"/>
      <c r="M1662" s="68"/>
      <c r="N1662" s="68"/>
      <c r="O1662" s="68"/>
      <c r="P1662" s="68"/>
      <c r="Q1662" s="68">
        <f>SUM(Devis[[#This Row],[Poste 1]:[Poste 6]])</f>
        <v>0</v>
      </c>
      <c r="R1662" s="71"/>
      <c r="S1662" s="68">
        <f>_xlfn.CEILING.MATH(Devis[[#This Row],[Quantité Totale]],Devis[[#This Row],[Conditionnement]])</f>
        <v>0</v>
      </c>
      <c r="T1662" s="72"/>
      <c r="U1662" s="73"/>
      <c r="V1662" s="74">
        <f>Devis[[#This Row],[Prix de Revient]]*Devis[[#This Row],[Poste 1]]</f>
        <v>0</v>
      </c>
      <c r="W1662" s="74">
        <f>Devis[[#This Row],[Prix de Revient]]*Devis[[#This Row],[Poste 2]]</f>
        <v>0</v>
      </c>
      <c r="X1662" s="74">
        <f>Devis[[#This Row],[Prix de Revient]]*Devis[[#This Row],[Poste 3]]</f>
        <v>0</v>
      </c>
      <c r="Y1662" s="74">
        <f>Devis[[#This Row],[Poste 4]]*Devis[[#This Row],[Prix de Revient]]</f>
        <v>0</v>
      </c>
      <c r="Z1662" s="74">
        <f>Devis[[#This Row],[Poste 5]]*Devis[[#This Row],[Prix de Revient]]</f>
        <v>0</v>
      </c>
      <c r="AA1662" s="74">
        <f>Devis[[#This Row],[Prix de Revient]]*Devis[[#This Row],[Poste 6]]</f>
        <v>0</v>
      </c>
      <c r="AB1662" s="74">
        <f>Devis[[#This Row],[Quantité Totale]]*Devis[[#This Row],[Prix de Revient]]</f>
        <v>0</v>
      </c>
    </row>
    <row r="1663" spans="1:28" ht="14.25" customHeight="1" x14ac:dyDescent="0.25">
      <c r="A1663" s="65" t="s">
        <v>1378</v>
      </c>
      <c r="B1663" s="65" t="s">
        <v>1401</v>
      </c>
      <c r="C1663" s="71"/>
      <c r="D1663" s="81" t="str">
        <f t="shared" si="29"/>
        <v>Inox Serti CoréenCourbe 90° FF</v>
      </c>
      <c r="E1663" s="76"/>
      <c r="F1663" s="81">
        <v>0</v>
      </c>
      <c r="G1663" s="71"/>
      <c r="H1663" s="71"/>
      <c r="I1663" s="71"/>
      <c r="J1663" s="70">
        <f>IFERROR(VLOOKUP(Devis[[#This Row],[Ref Air Flux]],#REF!,3,FALSE),0)</f>
        <v>0</v>
      </c>
      <c r="K1663" s="68"/>
      <c r="L1663" s="68"/>
      <c r="M1663" s="68"/>
      <c r="N1663" s="68"/>
      <c r="O1663" s="68"/>
      <c r="P1663" s="68"/>
      <c r="Q1663" s="68">
        <f>SUM(Devis[[#This Row],[Poste 1]:[Poste 6]])</f>
        <v>0</v>
      </c>
      <c r="R1663" s="71"/>
      <c r="S1663" s="68">
        <f>_xlfn.CEILING.MATH(Devis[[#This Row],[Quantité Totale]],Devis[[#This Row],[Conditionnement]])</f>
        <v>0</v>
      </c>
      <c r="T1663" s="72"/>
      <c r="U1663" s="73"/>
      <c r="V1663" s="74">
        <f>Devis[[#This Row],[Prix de Revient]]*Devis[[#This Row],[Poste 1]]</f>
        <v>0</v>
      </c>
      <c r="W1663" s="74">
        <f>Devis[[#This Row],[Prix de Revient]]*Devis[[#This Row],[Poste 2]]</f>
        <v>0</v>
      </c>
      <c r="X1663" s="74">
        <f>Devis[[#This Row],[Prix de Revient]]*Devis[[#This Row],[Poste 3]]</f>
        <v>0</v>
      </c>
      <c r="Y1663" s="74">
        <f>Devis[[#This Row],[Poste 4]]*Devis[[#This Row],[Prix de Revient]]</f>
        <v>0</v>
      </c>
      <c r="Z1663" s="74">
        <f>Devis[[#This Row],[Poste 5]]*Devis[[#This Row],[Prix de Revient]]</f>
        <v>0</v>
      </c>
      <c r="AA1663" s="74">
        <f>Devis[[#This Row],[Prix de Revient]]*Devis[[#This Row],[Poste 6]]</f>
        <v>0</v>
      </c>
      <c r="AB1663" s="74">
        <f>Devis[[#This Row],[Quantité Totale]]*Devis[[#This Row],[Prix de Revient]]</f>
        <v>0</v>
      </c>
    </row>
    <row r="1664" spans="1:28" ht="14.25" outlineLevel="1" x14ac:dyDescent="0.2">
      <c r="A1664" s="75" t="s">
        <v>1378</v>
      </c>
      <c r="B1664" s="76" t="s">
        <v>1401</v>
      </c>
      <c r="C1664" s="71" t="s">
        <v>4713</v>
      </c>
      <c r="D1664" s="81" t="str">
        <f t="shared" si="29"/>
        <v>Inox Serti CoréenCourbe 90° FFØ16</v>
      </c>
      <c r="E1664" s="73">
        <v>16</v>
      </c>
      <c r="F1664" s="81">
        <v>1</v>
      </c>
      <c r="G1664" s="71" t="s">
        <v>1402</v>
      </c>
      <c r="H1664" s="71"/>
      <c r="I1664" s="71"/>
      <c r="J1664" s="70">
        <f>IFERROR(VLOOKUP(Devis[[#This Row],[Ref Air Flux]],#REF!,3,FALSE),0)</f>
        <v>0</v>
      </c>
      <c r="K1664" s="68"/>
      <c r="L1664" s="68"/>
      <c r="M1664" s="68"/>
      <c r="N1664" s="68"/>
      <c r="O1664" s="68"/>
      <c r="P1664" s="68"/>
      <c r="Q1664" s="68">
        <f>SUM(Devis[[#This Row],[Poste 1]:[Poste 6]])</f>
        <v>0</v>
      </c>
      <c r="R1664" s="71"/>
      <c r="S1664" s="68">
        <f>_xlfn.CEILING.MATH(Devis[[#This Row],[Quantité Totale]],Devis[[#This Row],[Conditionnement]])</f>
        <v>0</v>
      </c>
      <c r="T1664" s="72"/>
      <c r="U1664" s="73"/>
      <c r="V1664" s="74">
        <f>Devis[[#This Row],[Prix de Revient]]*Devis[[#This Row],[Poste 1]]</f>
        <v>0</v>
      </c>
      <c r="W1664" s="74">
        <f>Devis[[#This Row],[Prix de Revient]]*Devis[[#This Row],[Poste 2]]</f>
        <v>0</v>
      </c>
      <c r="X1664" s="74">
        <f>Devis[[#This Row],[Prix de Revient]]*Devis[[#This Row],[Poste 3]]</f>
        <v>0</v>
      </c>
      <c r="Y1664" s="74">
        <f>Devis[[#This Row],[Poste 4]]*Devis[[#This Row],[Prix de Revient]]</f>
        <v>0</v>
      </c>
      <c r="Z1664" s="74">
        <f>Devis[[#This Row],[Poste 5]]*Devis[[#This Row],[Prix de Revient]]</f>
        <v>0</v>
      </c>
      <c r="AA1664" s="74">
        <f>Devis[[#This Row],[Prix de Revient]]*Devis[[#This Row],[Poste 6]]</f>
        <v>0</v>
      </c>
      <c r="AB1664" s="74">
        <f>Devis[[#This Row],[Quantité Totale]]*Devis[[#This Row],[Prix de Revient]]</f>
        <v>0</v>
      </c>
    </row>
    <row r="1665" spans="1:28" ht="14.25" customHeight="1" outlineLevel="1" x14ac:dyDescent="0.2">
      <c r="A1665" s="75" t="s">
        <v>1378</v>
      </c>
      <c r="B1665" s="76" t="s">
        <v>1401</v>
      </c>
      <c r="C1665" s="71" t="s">
        <v>3620</v>
      </c>
      <c r="D1665" s="81" t="str">
        <f t="shared" si="29"/>
        <v>Inox Serti CoréenCourbe 90° FFØ22</v>
      </c>
      <c r="E1665" s="73">
        <v>22</v>
      </c>
      <c r="F1665" s="81">
        <v>2</v>
      </c>
      <c r="G1665" s="71" t="s">
        <v>1403</v>
      </c>
      <c r="H1665" s="71"/>
      <c r="I1665" s="71"/>
      <c r="J1665" s="70">
        <f>IFERROR(VLOOKUP(Devis[[#This Row],[Ref Air Flux]],#REF!,3,FALSE),0)</f>
        <v>0</v>
      </c>
      <c r="K1665" s="68"/>
      <c r="L1665" s="68"/>
      <c r="M1665" s="68"/>
      <c r="N1665" s="68"/>
      <c r="O1665" s="68"/>
      <c r="P1665" s="68"/>
      <c r="Q1665" s="68">
        <f>SUM(Devis[[#This Row],[Poste 1]:[Poste 6]])</f>
        <v>0</v>
      </c>
      <c r="R1665" s="71"/>
      <c r="S1665" s="68">
        <f>_xlfn.CEILING.MATH(Devis[[#This Row],[Quantité Totale]],Devis[[#This Row],[Conditionnement]])</f>
        <v>0</v>
      </c>
      <c r="T1665" s="72"/>
      <c r="U1665" s="73"/>
      <c r="V1665" s="74">
        <f>Devis[[#This Row],[Prix de Revient]]*Devis[[#This Row],[Poste 1]]</f>
        <v>0</v>
      </c>
      <c r="W1665" s="74">
        <f>Devis[[#This Row],[Prix de Revient]]*Devis[[#This Row],[Poste 2]]</f>
        <v>0</v>
      </c>
      <c r="X1665" s="74">
        <f>Devis[[#This Row],[Prix de Revient]]*Devis[[#This Row],[Poste 3]]</f>
        <v>0</v>
      </c>
      <c r="Y1665" s="74">
        <f>Devis[[#This Row],[Poste 4]]*Devis[[#This Row],[Prix de Revient]]</f>
        <v>0</v>
      </c>
      <c r="Z1665" s="74">
        <f>Devis[[#This Row],[Poste 5]]*Devis[[#This Row],[Prix de Revient]]</f>
        <v>0</v>
      </c>
      <c r="AA1665" s="74">
        <f>Devis[[#This Row],[Prix de Revient]]*Devis[[#This Row],[Poste 6]]</f>
        <v>0</v>
      </c>
      <c r="AB1665" s="74">
        <f>Devis[[#This Row],[Quantité Totale]]*Devis[[#This Row],[Prix de Revient]]</f>
        <v>0</v>
      </c>
    </row>
    <row r="1666" spans="1:28" ht="14.25" outlineLevel="1" x14ac:dyDescent="0.2">
      <c r="A1666" s="75" t="s">
        <v>1378</v>
      </c>
      <c r="B1666" s="76" t="s">
        <v>1401</v>
      </c>
      <c r="C1666" s="71" t="s">
        <v>3621</v>
      </c>
      <c r="D1666" s="81" t="str">
        <f t="shared" si="29"/>
        <v>Inox Serti CoréenCourbe 90° FFØ28</v>
      </c>
      <c r="E1666" s="73">
        <v>28</v>
      </c>
      <c r="F1666" s="81">
        <v>3</v>
      </c>
      <c r="G1666" s="71" t="s">
        <v>1404</v>
      </c>
      <c r="H1666" s="71"/>
      <c r="I1666" s="71"/>
      <c r="J1666" s="70">
        <f>IFERROR(VLOOKUP(Devis[[#This Row],[Ref Air Flux]],#REF!,3,FALSE),0)</f>
        <v>0</v>
      </c>
      <c r="K1666" s="68"/>
      <c r="L1666" s="68"/>
      <c r="M1666" s="68"/>
      <c r="N1666" s="68"/>
      <c r="O1666" s="68"/>
      <c r="P1666" s="68"/>
      <c r="Q1666" s="68">
        <f>SUM(Devis[[#This Row],[Poste 1]:[Poste 6]])</f>
        <v>0</v>
      </c>
      <c r="R1666" s="71"/>
      <c r="S1666" s="68">
        <f>_xlfn.CEILING.MATH(Devis[[#This Row],[Quantité Totale]],Devis[[#This Row],[Conditionnement]])</f>
        <v>0</v>
      </c>
      <c r="T1666" s="72"/>
      <c r="U1666" s="73"/>
      <c r="V1666" s="74">
        <f>Devis[[#This Row],[Prix de Revient]]*Devis[[#This Row],[Poste 1]]</f>
        <v>0</v>
      </c>
      <c r="W1666" s="74">
        <f>Devis[[#This Row],[Prix de Revient]]*Devis[[#This Row],[Poste 2]]</f>
        <v>0</v>
      </c>
      <c r="X1666" s="74">
        <f>Devis[[#This Row],[Prix de Revient]]*Devis[[#This Row],[Poste 3]]</f>
        <v>0</v>
      </c>
      <c r="Y1666" s="74">
        <f>Devis[[#This Row],[Poste 4]]*Devis[[#This Row],[Prix de Revient]]</f>
        <v>0</v>
      </c>
      <c r="Z1666" s="74">
        <f>Devis[[#This Row],[Poste 5]]*Devis[[#This Row],[Prix de Revient]]</f>
        <v>0</v>
      </c>
      <c r="AA1666" s="74">
        <f>Devis[[#This Row],[Prix de Revient]]*Devis[[#This Row],[Poste 6]]</f>
        <v>0</v>
      </c>
      <c r="AB1666" s="74">
        <f>Devis[[#This Row],[Quantité Totale]]*Devis[[#This Row],[Prix de Revient]]</f>
        <v>0</v>
      </c>
    </row>
    <row r="1667" spans="1:28" ht="14.25" outlineLevel="1" x14ac:dyDescent="0.2">
      <c r="A1667" s="75" t="s">
        <v>1378</v>
      </c>
      <c r="B1667" s="76" t="s">
        <v>1401</v>
      </c>
      <c r="C1667" s="71" t="s">
        <v>3622</v>
      </c>
      <c r="D1667" s="81" t="str">
        <f t="shared" si="29"/>
        <v>Inox Serti CoréenCourbe 90° FFØ34</v>
      </c>
      <c r="E1667" s="73">
        <v>34</v>
      </c>
      <c r="F1667" s="81">
        <v>4</v>
      </c>
      <c r="G1667" s="71" t="s">
        <v>1405</v>
      </c>
      <c r="H1667" s="71"/>
      <c r="I1667" s="71"/>
      <c r="J1667" s="70">
        <f>IFERROR(VLOOKUP(Devis[[#This Row],[Ref Air Flux]],#REF!,3,FALSE),0)</f>
        <v>0</v>
      </c>
      <c r="K1667" s="68"/>
      <c r="L1667" s="68"/>
      <c r="M1667" s="68"/>
      <c r="N1667" s="68"/>
      <c r="O1667" s="68"/>
      <c r="P1667" s="68"/>
      <c r="Q1667" s="68">
        <f>SUM(Devis[[#This Row],[Poste 1]:[Poste 6]])</f>
        <v>0</v>
      </c>
      <c r="R1667" s="71"/>
      <c r="S1667" s="68">
        <f>_xlfn.CEILING.MATH(Devis[[#This Row],[Quantité Totale]],Devis[[#This Row],[Conditionnement]])</f>
        <v>0</v>
      </c>
      <c r="T1667" s="72"/>
      <c r="U1667" s="73"/>
      <c r="V1667" s="74">
        <f>Devis[[#This Row],[Prix de Revient]]*Devis[[#This Row],[Poste 1]]</f>
        <v>0</v>
      </c>
      <c r="W1667" s="74">
        <f>Devis[[#This Row],[Prix de Revient]]*Devis[[#This Row],[Poste 2]]</f>
        <v>0</v>
      </c>
      <c r="X1667" s="74">
        <f>Devis[[#This Row],[Prix de Revient]]*Devis[[#This Row],[Poste 3]]</f>
        <v>0</v>
      </c>
      <c r="Y1667" s="74">
        <f>Devis[[#This Row],[Poste 4]]*Devis[[#This Row],[Prix de Revient]]</f>
        <v>0</v>
      </c>
      <c r="Z1667" s="74">
        <f>Devis[[#This Row],[Poste 5]]*Devis[[#This Row],[Prix de Revient]]</f>
        <v>0</v>
      </c>
      <c r="AA1667" s="74">
        <f>Devis[[#This Row],[Prix de Revient]]*Devis[[#This Row],[Poste 6]]</f>
        <v>0</v>
      </c>
      <c r="AB1667" s="74">
        <f>Devis[[#This Row],[Quantité Totale]]*Devis[[#This Row],[Prix de Revient]]</f>
        <v>0</v>
      </c>
    </row>
    <row r="1668" spans="1:28" ht="14.25" outlineLevel="1" x14ac:dyDescent="0.2">
      <c r="A1668" s="75" t="s">
        <v>1378</v>
      </c>
      <c r="B1668" s="76" t="s">
        <v>1401</v>
      </c>
      <c r="C1668" s="71" t="s">
        <v>3623</v>
      </c>
      <c r="D1668" s="81" t="str">
        <f t="shared" si="29"/>
        <v>Inox Serti CoréenCourbe 90° FFØ42</v>
      </c>
      <c r="E1668" s="73">
        <v>42</v>
      </c>
      <c r="F1668" s="81">
        <v>5</v>
      </c>
      <c r="G1668" s="71" t="s">
        <v>1406</v>
      </c>
      <c r="H1668" s="71"/>
      <c r="I1668" s="71"/>
      <c r="J1668" s="70">
        <f>IFERROR(VLOOKUP(Devis[[#This Row],[Ref Air Flux]],#REF!,3,FALSE),0)</f>
        <v>0</v>
      </c>
      <c r="K1668" s="68"/>
      <c r="L1668" s="68"/>
      <c r="M1668" s="68"/>
      <c r="N1668" s="68"/>
      <c r="O1668" s="68"/>
      <c r="P1668" s="68"/>
      <c r="Q1668" s="68">
        <f>SUM(Devis[[#This Row],[Poste 1]:[Poste 6]])</f>
        <v>0</v>
      </c>
      <c r="R1668" s="71"/>
      <c r="S1668" s="68">
        <f>_xlfn.CEILING.MATH(Devis[[#This Row],[Quantité Totale]],Devis[[#This Row],[Conditionnement]])</f>
        <v>0</v>
      </c>
      <c r="T1668" s="72"/>
      <c r="U1668" s="73"/>
      <c r="V1668" s="74">
        <f>Devis[[#This Row],[Prix de Revient]]*Devis[[#This Row],[Poste 1]]</f>
        <v>0</v>
      </c>
      <c r="W1668" s="74">
        <f>Devis[[#This Row],[Prix de Revient]]*Devis[[#This Row],[Poste 2]]</f>
        <v>0</v>
      </c>
      <c r="X1668" s="74">
        <f>Devis[[#This Row],[Prix de Revient]]*Devis[[#This Row],[Poste 3]]</f>
        <v>0</v>
      </c>
      <c r="Y1668" s="74">
        <f>Devis[[#This Row],[Poste 4]]*Devis[[#This Row],[Prix de Revient]]</f>
        <v>0</v>
      </c>
      <c r="Z1668" s="74">
        <f>Devis[[#This Row],[Poste 5]]*Devis[[#This Row],[Prix de Revient]]</f>
        <v>0</v>
      </c>
      <c r="AA1668" s="74">
        <f>Devis[[#This Row],[Prix de Revient]]*Devis[[#This Row],[Poste 6]]</f>
        <v>0</v>
      </c>
      <c r="AB1668" s="74">
        <f>Devis[[#This Row],[Quantité Totale]]*Devis[[#This Row],[Prix de Revient]]</f>
        <v>0</v>
      </c>
    </row>
    <row r="1669" spans="1:28" ht="14.25" outlineLevel="1" x14ac:dyDescent="0.2">
      <c r="A1669" s="75" t="s">
        <v>1378</v>
      </c>
      <c r="B1669" s="76" t="s">
        <v>1401</v>
      </c>
      <c r="C1669" s="71" t="s">
        <v>3624</v>
      </c>
      <c r="D1669" s="81" t="str">
        <f t="shared" si="29"/>
        <v>Inox Serti CoréenCourbe 90° FFØ48</v>
      </c>
      <c r="E1669" s="73">
        <v>48</v>
      </c>
      <c r="F1669" s="81">
        <v>6</v>
      </c>
      <c r="G1669" s="71" t="s">
        <v>1407</v>
      </c>
      <c r="H1669" s="71"/>
      <c r="I1669" s="71"/>
      <c r="J1669" s="70">
        <f>IFERROR(VLOOKUP(Devis[[#This Row],[Ref Air Flux]],#REF!,3,FALSE),0)</f>
        <v>0</v>
      </c>
      <c r="K1669" s="68"/>
      <c r="L1669" s="68"/>
      <c r="M1669" s="68"/>
      <c r="N1669" s="68"/>
      <c r="O1669" s="68"/>
      <c r="P1669" s="68"/>
      <c r="Q1669" s="68">
        <f>SUM(Devis[[#This Row],[Poste 1]:[Poste 6]])</f>
        <v>0</v>
      </c>
      <c r="R1669" s="71"/>
      <c r="S1669" s="68">
        <f>_xlfn.CEILING.MATH(Devis[[#This Row],[Quantité Totale]],Devis[[#This Row],[Conditionnement]])</f>
        <v>0</v>
      </c>
      <c r="T1669" s="72"/>
      <c r="U1669" s="73"/>
      <c r="V1669" s="74">
        <f>Devis[[#This Row],[Prix de Revient]]*Devis[[#This Row],[Poste 1]]</f>
        <v>0</v>
      </c>
      <c r="W1669" s="74">
        <f>Devis[[#This Row],[Prix de Revient]]*Devis[[#This Row],[Poste 2]]</f>
        <v>0</v>
      </c>
      <c r="X1669" s="74">
        <f>Devis[[#This Row],[Prix de Revient]]*Devis[[#This Row],[Poste 3]]</f>
        <v>0</v>
      </c>
      <c r="Y1669" s="74">
        <f>Devis[[#This Row],[Poste 4]]*Devis[[#This Row],[Prix de Revient]]</f>
        <v>0</v>
      </c>
      <c r="Z1669" s="74">
        <f>Devis[[#This Row],[Poste 5]]*Devis[[#This Row],[Prix de Revient]]</f>
        <v>0</v>
      </c>
      <c r="AA1669" s="74">
        <f>Devis[[#This Row],[Prix de Revient]]*Devis[[#This Row],[Poste 6]]</f>
        <v>0</v>
      </c>
      <c r="AB1669" s="74">
        <f>Devis[[#This Row],[Quantité Totale]]*Devis[[#This Row],[Prix de Revient]]</f>
        <v>0</v>
      </c>
    </row>
    <row r="1670" spans="1:28" ht="14.25" outlineLevel="1" x14ac:dyDescent="0.2">
      <c r="A1670" s="75" t="s">
        <v>1378</v>
      </c>
      <c r="B1670" s="76" t="s">
        <v>1401</v>
      </c>
      <c r="C1670" s="71" t="s">
        <v>3626</v>
      </c>
      <c r="D1670" s="81" t="str">
        <f t="shared" si="29"/>
        <v>Inox Serti CoréenCourbe 90° FFØ60</v>
      </c>
      <c r="E1670" s="73">
        <v>60</v>
      </c>
      <c r="F1670" s="81">
        <v>7</v>
      </c>
      <c r="G1670" s="71" t="s">
        <v>1408</v>
      </c>
      <c r="H1670" s="71"/>
      <c r="I1670" s="71"/>
      <c r="J1670" s="70">
        <f>IFERROR(VLOOKUP(Devis[[#This Row],[Ref Air Flux]],#REF!,3,FALSE),0)</f>
        <v>0</v>
      </c>
      <c r="K1670" s="68"/>
      <c r="L1670" s="68"/>
      <c r="M1670" s="68"/>
      <c r="N1670" s="68"/>
      <c r="O1670" s="68"/>
      <c r="P1670" s="68"/>
      <c r="Q1670" s="68">
        <f>SUM(Devis[[#This Row],[Poste 1]:[Poste 6]])</f>
        <v>0</v>
      </c>
      <c r="R1670" s="71"/>
      <c r="S1670" s="68">
        <f>_xlfn.CEILING.MATH(Devis[[#This Row],[Quantité Totale]],Devis[[#This Row],[Conditionnement]])</f>
        <v>0</v>
      </c>
      <c r="T1670" s="72"/>
      <c r="U1670" s="73"/>
      <c r="V1670" s="74">
        <f>Devis[[#This Row],[Prix de Revient]]*Devis[[#This Row],[Poste 1]]</f>
        <v>0</v>
      </c>
      <c r="W1670" s="74">
        <f>Devis[[#This Row],[Prix de Revient]]*Devis[[#This Row],[Poste 2]]</f>
        <v>0</v>
      </c>
      <c r="X1670" s="74">
        <f>Devis[[#This Row],[Prix de Revient]]*Devis[[#This Row],[Poste 3]]</f>
        <v>0</v>
      </c>
      <c r="Y1670" s="74">
        <f>Devis[[#This Row],[Poste 4]]*Devis[[#This Row],[Prix de Revient]]</f>
        <v>0</v>
      </c>
      <c r="Z1670" s="74">
        <f>Devis[[#This Row],[Poste 5]]*Devis[[#This Row],[Prix de Revient]]</f>
        <v>0</v>
      </c>
      <c r="AA1670" s="74">
        <f>Devis[[#This Row],[Prix de Revient]]*Devis[[#This Row],[Poste 6]]</f>
        <v>0</v>
      </c>
      <c r="AB1670" s="74">
        <f>Devis[[#This Row],[Quantité Totale]]*Devis[[#This Row],[Prix de Revient]]</f>
        <v>0</v>
      </c>
    </row>
    <row r="1671" spans="1:28" ht="14.25" customHeight="1" outlineLevel="1" x14ac:dyDescent="0.2">
      <c r="A1671" s="75" t="s">
        <v>1378</v>
      </c>
      <c r="B1671" s="76" t="s">
        <v>1401</v>
      </c>
      <c r="C1671" s="71" t="s">
        <v>4714</v>
      </c>
      <c r="D1671" s="81" t="str">
        <f t="shared" si="29"/>
        <v>Inox Serti CoréenCourbe 90° FFØ80</v>
      </c>
      <c r="E1671" s="73">
        <v>80</v>
      </c>
      <c r="F1671" s="81">
        <v>8</v>
      </c>
      <c r="G1671" s="71" t="s">
        <v>1409</v>
      </c>
      <c r="H1671" s="71"/>
      <c r="I1671" s="71"/>
      <c r="J1671" s="70">
        <f>IFERROR(VLOOKUP(Devis[[#This Row],[Ref Air Flux]],#REF!,3,FALSE),0)</f>
        <v>0</v>
      </c>
      <c r="K1671" s="68"/>
      <c r="L1671" s="68"/>
      <c r="M1671" s="68"/>
      <c r="N1671" s="68"/>
      <c r="O1671" s="68"/>
      <c r="P1671" s="68"/>
      <c r="Q1671" s="68">
        <f>SUM(Devis[[#This Row],[Poste 1]:[Poste 6]])</f>
        <v>0</v>
      </c>
      <c r="R1671" s="71"/>
      <c r="S1671" s="68">
        <f>_xlfn.CEILING.MATH(Devis[[#This Row],[Quantité Totale]],Devis[[#This Row],[Conditionnement]])</f>
        <v>0</v>
      </c>
      <c r="T1671" s="72"/>
      <c r="U1671" s="73"/>
      <c r="V1671" s="74">
        <f>Devis[[#This Row],[Prix de Revient]]*Devis[[#This Row],[Poste 1]]</f>
        <v>0</v>
      </c>
      <c r="W1671" s="74">
        <f>Devis[[#This Row],[Prix de Revient]]*Devis[[#This Row],[Poste 2]]</f>
        <v>0</v>
      </c>
      <c r="X1671" s="74">
        <f>Devis[[#This Row],[Prix de Revient]]*Devis[[#This Row],[Poste 3]]</f>
        <v>0</v>
      </c>
      <c r="Y1671" s="74">
        <f>Devis[[#This Row],[Poste 4]]*Devis[[#This Row],[Prix de Revient]]</f>
        <v>0</v>
      </c>
      <c r="Z1671" s="74">
        <f>Devis[[#This Row],[Poste 5]]*Devis[[#This Row],[Prix de Revient]]</f>
        <v>0</v>
      </c>
      <c r="AA1671" s="74">
        <f>Devis[[#This Row],[Prix de Revient]]*Devis[[#This Row],[Poste 6]]</f>
        <v>0</v>
      </c>
      <c r="AB1671" s="74">
        <f>Devis[[#This Row],[Quantité Totale]]*Devis[[#This Row],[Prix de Revient]]</f>
        <v>0</v>
      </c>
    </row>
    <row r="1672" spans="1:28" ht="14.25" customHeight="1" x14ac:dyDescent="0.25">
      <c r="A1672" s="65" t="s">
        <v>1378</v>
      </c>
      <c r="B1672" s="65" t="s">
        <v>1410</v>
      </c>
      <c r="C1672" s="71"/>
      <c r="D1672" s="81" t="str">
        <f t="shared" si="29"/>
        <v>Inox Serti CoréenCourbe 90° MF</v>
      </c>
      <c r="E1672" s="76"/>
      <c r="F1672" s="81">
        <v>0</v>
      </c>
      <c r="G1672" s="71"/>
      <c r="H1672" s="71"/>
      <c r="I1672" s="71"/>
      <c r="J1672" s="70">
        <f>IFERROR(VLOOKUP(Devis[[#This Row],[Ref Air Flux]],#REF!,3,FALSE),0)</f>
        <v>0</v>
      </c>
      <c r="K1672" s="68"/>
      <c r="L1672" s="68"/>
      <c r="M1672" s="68"/>
      <c r="N1672" s="68"/>
      <c r="O1672" s="68"/>
      <c r="P1672" s="68"/>
      <c r="Q1672" s="68">
        <f>SUM(Devis[[#This Row],[Poste 1]:[Poste 6]])</f>
        <v>0</v>
      </c>
      <c r="R1672" s="71"/>
      <c r="S1672" s="68">
        <f>_xlfn.CEILING.MATH(Devis[[#This Row],[Quantité Totale]],Devis[[#This Row],[Conditionnement]])</f>
        <v>0</v>
      </c>
      <c r="T1672" s="72"/>
      <c r="U1672" s="73"/>
      <c r="V1672" s="74">
        <f>Devis[[#This Row],[Prix de Revient]]*Devis[[#This Row],[Poste 1]]</f>
        <v>0</v>
      </c>
      <c r="W1672" s="74">
        <f>Devis[[#This Row],[Prix de Revient]]*Devis[[#This Row],[Poste 2]]</f>
        <v>0</v>
      </c>
      <c r="X1672" s="74">
        <f>Devis[[#This Row],[Prix de Revient]]*Devis[[#This Row],[Poste 3]]</f>
        <v>0</v>
      </c>
      <c r="Y1672" s="74">
        <f>Devis[[#This Row],[Poste 4]]*Devis[[#This Row],[Prix de Revient]]</f>
        <v>0</v>
      </c>
      <c r="Z1672" s="74">
        <f>Devis[[#This Row],[Poste 5]]*Devis[[#This Row],[Prix de Revient]]</f>
        <v>0</v>
      </c>
      <c r="AA1672" s="74">
        <f>Devis[[#This Row],[Prix de Revient]]*Devis[[#This Row],[Poste 6]]</f>
        <v>0</v>
      </c>
      <c r="AB1672" s="74">
        <f>Devis[[#This Row],[Quantité Totale]]*Devis[[#This Row],[Prix de Revient]]</f>
        <v>0</v>
      </c>
    </row>
    <row r="1673" spans="1:28" ht="15" customHeight="1" outlineLevel="1" x14ac:dyDescent="0.2">
      <c r="A1673" s="75" t="s">
        <v>1378</v>
      </c>
      <c r="B1673" s="76" t="s">
        <v>1410</v>
      </c>
      <c r="C1673" s="71" t="s">
        <v>4713</v>
      </c>
      <c r="D1673" s="81" t="str">
        <f t="shared" si="29"/>
        <v>Inox Serti CoréenCourbe 90° MFØ16</v>
      </c>
      <c r="E1673" s="73">
        <v>16</v>
      </c>
      <c r="F1673" s="81">
        <v>1</v>
      </c>
      <c r="G1673" s="71" t="s">
        <v>1411</v>
      </c>
      <c r="H1673" s="71"/>
      <c r="I1673" s="71"/>
      <c r="J1673" s="70">
        <f>IFERROR(VLOOKUP(Devis[[#This Row],[Ref Air Flux]],#REF!,3,FALSE),0)</f>
        <v>0</v>
      </c>
      <c r="K1673" s="68"/>
      <c r="L1673" s="68"/>
      <c r="M1673" s="68"/>
      <c r="N1673" s="68"/>
      <c r="O1673" s="68"/>
      <c r="P1673" s="68"/>
      <c r="Q1673" s="68">
        <f>SUM(Devis[[#This Row],[Poste 1]:[Poste 6]])</f>
        <v>0</v>
      </c>
      <c r="R1673" s="71"/>
      <c r="S1673" s="68">
        <f>_xlfn.CEILING.MATH(Devis[[#This Row],[Quantité Totale]],Devis[[#This Row],[Conditionnement]])</f>
        <v>0</v>
      </c>
      <c r="T1673" s="72"/>
      <c r="U1673" s="73"/>
      <c r="V1673" s="74">
        <f>Devis[[#This Row],[Prix de Revient]]*Devis[[#This Row],[Poste 1]]</f>
        <v>0</v>
      </c>
      <c r="W1673" s="74">
        <f>Devis[[#This Row],[Prix de Revient]]*Devis[[#This Row],[Poste 2]]</f>
        <v>0</v>
      </c>
      <c r="X1673" s="74">
        <f>Devis[[#This Row],[Prix de Revient]]*Devis[[#This Row],[Poste 3]]</f>
        <v>0</v>
      </c>
      <c r="Y1673" s="74">
        <f>Devis[[#This Row],[Poste 4]]*Devis[[#This Row],[Prix de Revient]]</f>
        <v>0</v>
      </c>
      <c r="Z1673" s="74">
        <f>Devis[[#This Row],[Poste 5]]*Devis[[#This Row],[Prix de Revient]]</f>
        <v>0</v>
      </c>
      <c r="AA1673" s="74">
        <f>Devis[[#This Row],[Prix de Revient]]*Devis[[#This Row],[Poste 6]]</f>
        <v>0</v>
      </c>
      <c r="AB1673" s="74">
        <f>Devis[[#This Row],[Quantité Totale]]*Devis[[#This Row],[Prix de Revient]]</f>
        <v>0</v>
      </c>
    </row>
    <row r="1674" spans="1:28" ht="14.25" outlineLevel="1" x14ac:dyDescent="0.2">
      <c r="A1674" s="75" t="s">
        <v>1378</v>
      </c>
      <c r="B1674" s="76" t="s">
        <v>1410</v>
      </c>
      <c r="C1674" s="71" t="s">
        <v>3620</v>
      </c>
      <c r="D1674" s="81" t="str">
        <f t="shared" si="29"/>
        <v>Inox Serti CoréenCourbe 90° MFØ22</v>
      </c>
      <c r="E1674" s="73">
        <v>22</v>
      </c>
      <c r="F1674" s="81">
        <v>2</v>
      </c>
      <c r="G1674" s="71" t="s">
        <v>1412</v>
      </c>
      <c r="H1674" s="71"/>
      <c r="I1674" s="71"/>
      <c r="J1674" s="70">
        <f>IFERROR(VLOOKUP(Devis[[#This Row],[Ref Air Flux]],#REF!,3,FALSE),0)</f>
        <v>0</v>
      </c>
      <c r="K1674" s="68"/>
      <c r="L1674" s="68"/>
      <c r="M1674" s="68"/>
      <c r="N1674" s="68"/>
      <c r="O1674" s="68"/>
      <c r="P1674" s="68"/>
      <c r="Q1674" s="68">
        <f>SUM(Devis[[#This Row],[Poste 1]:[Poste 6]])</f>
        <v>0</v>
      </c>
      <c r="R1674" s="71"/>
      <c r="S1674" s="68">
        <f>_xlfn.CEILING.MATH(Devis[[#This Row],[Quantité Totale]],Devis[[#This Row],[Conditionnement]])</f>
        <v>0</v>
      </c>
      <c r="T1674" s="72"/>
      <c r="U1674" s="73"/>
      <c r="V1674" s="74">
        <f>Devis[[#This Row],[Prix de Revient]]*Devis[[#This Row],[Poste 1]]</f>
        <v>0</v>
      </c>
      <c r="W1674" s="74">
        <f>Devis[[#This Row],[Prix de Revient]]*Devis[[#This Row],[Poste 2]]</f>
        <v>0</v>
      </c>
      <c r="X1674" s="74">
        <f>Devis[[#This Row],[Prix de Revient]]*Devis[[#This Row],[Poste 3]]</f>
        <v>0</v>
      </c>
      <c r="Y1674" s="74">
        <f>Devis[[#This Row],[Poste 4]]*Devis[[#This Row],[Prix de Revient]]</f>
        <v>0</v>
      </c>
      <c r="Z1674" s="74">
        <f>Devis[[#This Row],[Poste 5]]*Devis[[#This Row],[Prix de Revient]]</f>
        <v>0</v>
      </c>
      <c r="AA1674" s="74">
        <f>Devis[[#This Row],[Prix de Revient]]*Devis[[#This Row],[Poste 6]]</f>
        <v>0</v>
      </c>
      <c r="AB1674" s="74">
        <f>Devis[[#This Row],[Quantité Totale]]*Devis[[#This Row],[Prix de Revient]]</f>
        <v>0</v>
      </c>
    </row>
    <row r="1675" spans="1:28" ht="14.25" outlineLevel="1" x14ac:dyDescent="0.2">
      <c r="A1675" s="75" t="s">
        <v>1378</v>
      </c>
      <c r="B1675" s="76" t="s">
        <v>1410</v>
      </c>
      <c r="C1675" s="71" t="s">
        <v>3621</v>
      </c>
      <c r="D1675" s="81" t="str">
        <f t="shared" si="29"/>
        <v>Inox Serti CoréenCourbe 90° MFØ28</v>
      </c>
      <c r="E1675" s="73">
        <v>28</v>
      </c>
      <c r="F1675" s="81">
        <v>3</v>
      </c>
      <c r="G1675" s="71" t="s">
        <v>1413</v>
      </c>
      <c r="H1675" s="71"/>
      <c r="I1675" s="71"/>
      <c r="J1675" s="70">
        <f>IFERROR(VLOOKUP(Devis[[#This Row],[Ref Air Flux]],#REF!,3,FALSE),0)</f>
        <v>0</v>
      </c>
      <c r="K1675" s="68"/>
      <c r="L1675" s="68"/>
      <c r="M1675" s="68"/>
      <c r="N1675" s="68"/>
      <c r="O1675" s="68"/>
      <c r="P1675" s="68"/>
      <c r="Q1675" s="68">
        <f>SUM(Devis[[#This Row],[Poste 1]:[Poste 6]])</f>
        <v>0</v>
      </c>
      <c r="R1675" s="71"/>
      <c r="S1675" s="68">
        <f>_xlfn.CEILING.MATH(Devis[[#This Row],[Quantité Totale]],Devis[[#This Row],[Conditionnement]])</f>
        <v>0</v>
      </c>
      <c r="T1675" s="72"/>
      <c r="U1675" s="73"/>
      <c r="V1675" s="74">
        <f>Devis[[#This Row],[Prix de Revient]]*Devis[[#This Row],[Poste 1]]</f>
        <v>0</v>
      </c>
      <c r="W1675" s="74">
        <f>Devis[[#This Row],[Prix de Revient]]*Devis[[#This Row],[Poste 2]]</f>
        <v>0</v>
      </c>
      <c r="X1675" s="74">
        <f>Devis[[#This Row],[Prix de Revient]]*Devis[[#This Row],[Poste 3]]</f>
        <v>0</v>
      </c>
      <c r="Y1675" s="74">
        <f>Devis[[#This Row],[Poste 4]]*Devis[[#This Row],[Prix de Revient]]</f>
        <v>0</v>
      </c>
      <c r="Z1675" s="74">
        <f>Devis[[#This Row],[Poste 5]]*Devis[[#This Row],[Prix de Revient]]</f>
        <v>0</v>
      </c>
      <c r="AA1675" s="74">
        <f>Devis[[#This Row],[Prix de Revient]]*Devis[[#This Row],[Poste 6]]</f>
        <v>0</v>
      </c>
      <c r="AB1675" s="74">
        <f>Devis[[#This Row],[Quantité Totale]]*Devis[[#This Row],[Prix de Revient]]</f>
        <v>0</v>
      </c>
    </row>
    <row r="1676" spans="1:28" ht="14.25" outlineLevel="1" x14ac:dyDescent="0.2">
      <c r="A1676" s="75" t="s">
        <v>1378</v>
      </c>
      <c r="B1676" s="76" t="s">
        <v>1410</v>
      </c>
      <c r="C1676" s="71" t="s">
        <v>3622</v>
      </c>
      <c r="D1676" s="81" t="str">
        <f t="shared" si="29"/>
        <v>Inox Serti CoréenCourbe 90° MFØ34</v>
      </c>
      <c r="E1676" s="73">
        <v>34</v>
      </c>
      <c r="F1676" s="81">
        <v>4</v>
      </c>
      <c r="G1676" s="71" t="s">
        <v>1414</v>
      </c>
      <c r="H1676" s="71"/>
      <c r="I1676" s="71"/>
      <c r="J1676" s="70">
        <f>IFERROR(VLOOKUP(Devis[[#This Row],[Ref Air Flux]],#REF!,3,FALSE),0)</f>
        <v>0</v>
      </c>
      <c r="K1676" s="68"/>
      <c r="L1676" s="68"/>
      <c r="M1676" s="68"/>
      <c r="N1676" s="68"/>
      <c r="O1676" s="68"/>
      <c r="P1676" s="68"/>
      <c r="Q1676" s="68">
        <f>SUM(Devis[[#This Row],[Poste 1]:[Poste 6]])</f>
        <v>0</v>
      </c>
      <c r="R1676" s="71"/>
      <c r="S1676" s="68">
        <f>_xlfn.CEILING.MATH(Devis[[#This Row],[Quantité Totale]],Devis[[#This Row],[Conditionnement]])</f>
        <v>0</v>
      </c>
      <c r="T1676" s="72"/>
      <c r="U1676" s="73"/>
      <c r="V1676" s="74">
        <f>Devis[[#This Row],[Prix de Revient]]*Devis[[#This Row],[Poste 1]]</f>
        <v>0</v>
      </c>
      <c r="W1676" s="74">
        <f>Devis[[#This Row],[Prix de Revient]]*Devis[[#This Row],[Poste 2]]</f>
        <v>0</v>
      </c>
      <c r="X1676" s="74">
        <f>Devis[[#This Row],[Prix de Revient]]*Devis[[#This Row],[Poste 3]]</f>
        <v>0</v>
      </c>
      <c r="Y1676" s="74">
        <f>Devis[[#This Row],[Poste 4]]*Devis[[#This Row],[Prix de Revient]]</f>
        <v>0</v>
      </c>
      <c r="Z1676" s="74">
        <f>Devis[[#This Row],[Poste 5]]*Devis[[#This Row],[Prix de Revient]]</f>
        <v>0</v>
      </c>
      <c r="AA1676" s="74">
        <f>Devis[[#This Row],[Prix de Revient]]*Devis[[#This Row],[Poste 6]]</f>
        <v>0</v>
      </c>
      <c r="AB1676" s="74">
        <f>Devis[[#This Row],[Quantité Totale]]*Devis[[#This Row],[Prix de Revient]]</f>
        <v>0</v>
      </c>
    </row>
    <row r="1677" spans="1:28" ht="14.25" outlineLevel="1" x14ac:dyDescent="0.2">
      <c r="A1677" s="75" t="s">
        <v>1378</v>
      </c>
      <c r="B1677" s="76" t="s">
        <v>1410</v>
      </c>
      <c r="C1677" s="71" t="s">
        <v>3623</v>
      </c>
      <c r="D1677" s="81" t="str">
        <f t="shared" si="29"/>
        <v>Inox Serti CoréenCourbe 90° MFØ42</v>
      </c>
      <c r="E1677" s="73">
        <v>42</v>
      </c>
      <c r="F1677" s="81">
        <v>5</v>
      </c>
      <c r="G1677" s="71" t="s">
        <v>1415</v>
      </c>
      <c r="H1677" s="71"/>
      <c r="I1677" s="71"/>
      <c r="J1677" s="70">
        <f>IFERROR(VLOOKUP(Devis[[#This Row],[Ref Air Flux]],#REF!,3,FALSE),0)</f>
        <v>0</v>
      </c>
      <c r="K1677" s="68"/>
      <c r="L1677" s="68"/>
      <c r="M1677" s="68"/>
      <c r="N1677" s="68"/>
      <c r="O1677" s="68"/>
      <c r="P1677" s="68"/>
      <c r="Q1677" s="68">
        <f>SUM(Devis[[#This Row],[Poste 1]:[Poste 6]])</f>
        <v>0</v>
      </c>
      <c r="R1677" s="71"/>
      <c r="S1677" s="68">
        <f>_xlfn.CEILING.MATH(Devis[[#This Row],[Quantité Totale]],Devis[[#This Row],[Conditionnement]])</f>
        <v>0</v>
      </c>
      <c r="T1677" s="72"/>
      <c r="U1677" s="73"/>
      <c r="V1677" s="74">
        <f>Devis[[#This Row],[Prix de Revient]]*Devis[[#This Row],[Poste 1]]</f>
        <v>0</v>
      </c>
      <c r="W1677" s="74">
        <f>Devis[[#This Row],[Prix de Revient]]*Devis[[#This Row],[Poste 2]]</f>
        <v>0</v>
      </c>
      <c r="X1677" s="74">
        <f>Devis[[#This Row],[Prix de Revient]]*Devis[[#This Row],[Poste 3]]</f>
        <v>0</v>
      </c>
      <c r="Y1677" s="74">
        <f>Devis[[#This Row],[Poste 4]]*Devis[[#This Row],[Prix de Revient]]</f>
        <v>0</v>
      </c>
      <c r="Z1677" s="74">
        <f>Devis[[#This Row],[Poste 5]]*Devis[[#This Row],[Prix de Revient]]</f>
        <v>0</v>
      </c>
      <c r="AA1677" s="74">
        <f>Devis[[#This Row],[Prix de Revient]]*Devis[[#This Row],[Poste 6]]</f>
        <v>0</v>
      </c>
      <c r="AB1677" s="74">
        <f>Devis[[#This Row],[Quantité Totale]]*Devis[[#This Row],[Prix de Revient]]</f>
        <v>0</v>
      </c>
    </row>
    <row r="1678" spans="1:28" ht="14.25" outlineLevel="1" x14ac:dyDescent="0.2">
      <c r="A1678" s="75" t="s">
        <v>1378</v>
      </c>
      <c r="B1678" s="76" t="s">
        <v>1410</v>
      </c>
      <c r="C1678" s="71" t="s">
        <v>3624</v>
      </c>
      <c r="D1678" s="81" t="str">
        <f t="shared" si="29"/>
        <v>Inox Serti CoréenCourbe 90° MFØ48</v>
      </c>
      <c r="E1678" s="73">
        <v>48</v>
      </c>
      <c r="F1678" s="81">
        <v>6</v>
      </c>
      <c r="G1678" s="71" t="s">
        <v>1416</v>
      </c>
      <c r="H1678" s="71"/>
      <c r="I1678" s="71"/>
      <c r="J1678" s="70">
        <f>IFERROR(VLOOKUP(Devis[[#This Row],[Ref Air Flux]],#REF!,3,FALSE),0)</f>
        <v>0</v>
      </c>
      <c r="K1678" s="68"/>
      <c r="L1678" s="68"/>
      <c r="M1678" s="68"/>
      <c r="N1678" s="68"/>
      <c r="O1678" s="68"/>
      <c r="P1678" s="68"/>
      <c r="Q1678" s="68">
        <f>SUM(Devis[[#This Row],[Poste 1]:[Poste 6]])</f>
        <v>0</v>
      </c>
      <c r="R1678" s="71"/>
      <c r="S1678" s="68">
        <f>_xlfn.CEILING.MATH(Devis[[#This Row],[Quantité Totale]],Devis[[#This Row],[Conditionnement]])</f>
        <v>0</v>
      </c>
      <c r="T1678" s="72"/>
      <c r="U1678" s="73"/>
      <c r="V1678" s="74">
        <f>Devis[[#This Row],[Prix de Revient]]*Devis[[#This Row],[Poste 1]]</f>
        <v>0</v>
      </c>
      <c r="W1678" s="74">
        <f>Devis[[#This Row],[Prix de Revient]]*Devis[[#This Row],[Poste 2]]</f>
        <v>0</v>
      </c>
      <c r="X1678" s="74">
        <f>Devis[[#This Row],[Prix de Revient]]*Devis[[#This Row],[Poste 3]]</f>
        <v>0</v>
      </c>
      <c r="Y1678" s="74">
        <f>Devis[[#This Row],[Poste 4]]*Devis[[#This Row],[Prix de Revient]]</f>
        <v>0</v>
      </c>
      <c r="Z1678" s="74">
        <f>Devis[[#This Row],[Poste 5]]*Devis[[#This Row],[Prix de Revient]]</f>
        <v>0</v>
      </c>
      <c r="AA1678" s="74">
        <f>Devis[[#This Row],[Prix de Revient]]*Devis[[#This Row],[Poste 6]]</f>
        <v>0</v>
      </c>
      <c r="AB1678" s="74">
        <f>Devis[[#This Row],[Quantité Totale]]*Devis[[#This Row],[Prix de Revient]]</f>
        <v>0</v>
      </c>
    </row>
    <row r="1679" spans="1:28" ht="14.25" outlineLevel="1" x14ac:dyDescent="0.2">
      <c r="A1679" s="75" t="s">
        <v>1378</v>
      </c>
      <c r="B1679" s="76" t="s">
        <v>1410</v>
      </c>
      <c r="C1679" s="71" t="s">
        <v>3626</v>
      </c>
      <c r="D1679" s="81" t="str">
        <f t="shared" si="29"/>
        <v>Inox Serti CoréenCourbe 90° MFØ60</v>
      </c>
      <c r="E1679" s="73">
        <v>60</v>
      </c>
      <c r="F1679" s="81">
        <v>7</v>
      </c>
      <c r="G1679" s="71" t="s">
        <v>1417</v>
      </c>
      <c r="H1679" s="71"/>
      <c r="I1679" s="71"/>
      <c r="J1679" s="70">
        <f>IFERROR(VLOOKUP(Devis[[#This Row],[Ref Air Flux]],#REF!,3,FALSE),0)</f>
        <v>0</v>
      </c>
      <c r="K1679" s="68"/>
      <c r="L1679" s="68"/>
      <c r="M1679" s="68"/>
      <c r="N1679" s="68"/>
      <c r="O1679" s="68"/>
      <c r="P1679" s="68"/>
      <c r="Q1679" s="68">
        <f>SUM(Devis[[#This Row],[Poste 1]:[Poste 6]])</f>
        <v>0</v>
      </c>
      <c r="R1679" s="71"/>
      <c r="S1679" s="68">
        <f>_xlfn.CEILING.MATH(Devis[[#This Row],[Quantité Totale]],Devis[[#This Row],[Conditionnement]])</f>
        <v>0</v>
      </c>
      <c r="T1679" s="72"/>
      <c r="U1679" s="73"/>
      <c r="V1679" s="74">
        <f>Devis[[#This Row],[Prix de Revient]]*Devis[[#This Row],[Poste 1]]</f>
        <v>0</v>
      </c>
      <c r="W1679" s="74">
        <f>Devis[[#This Row],[Prix de Revient]]*Devis[[#This Row],[Poste 2]]</f>
        <v>0</v>
      </c>
      <c r="X1679" s="74">
        <f>Devis[[#This Row],[Prix de Revient]]*Devis[[#This Row],[Poste 3]]</f>
        <v>0</v>
      </c>
      <c r="Y1679" s="74">
        <f>Devis[[#This Row],[Poste 4]]*Devis[[#This Row],[Prix de Revient]]</f>
        <v>0</v>
      </c>
      <c r="Z1679" s="74">
        <f>Devis[[#This Row],[Poste 5]]*Devis[[#This Row],[Prix de Revient]]</f>
        <v>0</v>
      </c>
      <c r="AA1679" s="74">
        <f>Devis[[#This Row],[Prix de Revient]]*Devis[[#This Row],[Poste 6]]</f>
        <v>0</v>
      </c>
      <c r="AB1679" s="74">
        <f>Devis[[#This Row],[Quantité Totale]]*Devis[[#This Row],[Prix de Revient]]</f>
        <v>0</v>
      </c>
    </row>
    <row r="1680" spans="1:28" ht="14.25" customHeight="1" x14ac:dyDescent="0.25">
      <c r="A1680" s="65" t="s">
        <v>1378</v>
      </c>
      <c r="B1680" s="65" t="s">
        <v>4716</v>
      </c>
      <c r="C1680" s="71"/>
      <c r="D1680" s="81" t="str">
        <f t="shared" si="29"/>
        <v>Inox Serti CoréenCOURBE MIXTE FF</v>
      </c>
      <c r="E1680" s="76"/>
      <c r="F1680" s="81">
        <v>0</v>
      </c>
      <c r="G1680" s="71"/>
      <c r="H1680" s="71"/>
      <c r="I1680" s="71"/>
      <c r="J1680" s="70">
        <f>IFERROR(VLOOKUP(Devis[[#This Row],[Ref Air Flux]],#REF!,3,FALSE),0)</f>
        <v>0</v>
      </c>
      <c r="K1680" s="68"/>
      <c r="L1680" s="68"/>
      <c r="M1680" s="68"/>
      <c r="N1680" s="68"/>
      <c r="O1680" s="68"/>
      <c r="P1680" s="68"/>
      <c r="Q1680" s="68">
        <f>SUM(Devis[[#This Row],[Poste 1]:[Poste 6]])</f>
        <v>0</v>
      </c>
      <c r="R1680" s="71"/>
      <c r="S1680" s="68">
        <f>_xlfn.CEILING.MATH(Devis[[#This Row],[Quantité Totale]],Devis[[#This Row],[Conditionnement]])</f>
        <v>0</v>
      </c>
      <c r="T1680" s="72"/>
      <c r="U1680" s="73"/>
      <c r="V1680" s="74">
        <f>Devis[[#This Row],[Prix de Revient]]*Devis[[#This Row],[Poste 1]]</f>
        <v>0</v>
      </c>
      <c r="W1680" s="74">
        <f>Devis[[#This Row],[Prix de Revient]]*Devis[[#This Row],[Poste 2]]</f>
        <v>0</v>
      </c>
      <c r="X1680" s="74">
        <f>Devis[[#This Row],[Prix de Revient]]*Devis[[#This Row],[Poste 3]]</f>
        <v>0</v>
      </c>
      <c r="Y1680" s="74">
        <f>Devis[[#This Row],[Poste 4]]*Devis[[#This Row],[Prix de Revient]]</f>
        <v>0</v>
      </c>
      <c r="Z1680" s="74">
        <f>Devis[[#This Row],[Poste 5]]*Devis[[#This Row],[Prix de Revient]]</f>
        <v>0</v>
      </c>
      <c r="AA1680" s="74">
        <f>Devis[[#This Row],[Prix de Revient]]*Devis[[#This Row],[Poste 6]]</f>
        <v>0</v>
      </c>
      <c r="AB1680" s="74">
        <f>Devis[[#This Row],[Quantité Totale]]*Devis[[#This Row],[Prix de Revient]]</f>
        <v>0</v>
      </c>
    </row>
    <row r="1681" spans="1:28" ht="15" customHeight="1" outlineLevel="1" x14ac:dyDescent="0.2">
      <c r="A1681" s="75" t="s">
        <v>1378</v>
      </c>
      <c r="B1681" s="76" t="s">
        <v>1418</v>
      </c>
      <c r="C1681" s="71" t="s">
        <v>4717</v>
      </c>
      <c r="D1681" s="81" t="str">
        <f t="shared" si="29"/>
        <v xml:space="preserve">Inox Serti CoréenCourbe mixte FFØ16 </v>
      </c>
      <c r="E1681" s="110">
        <v>16.5</v>
      </c>
      <c r="F1681" s="81">
        <v>1</v>
      </c>
      <c r="G1681" s="71" t="s">
        <v>1419</v>
      </c>
      <c r="H1681" s="71"/>
      <c r="I1681" s="71"/>
      <c r="J1681" s="70">
        <f>IFERROR(VLOOKUP(Devis[[#This Row],[Ref Air Flux]],#REF!,3,FALSE),0)</f>
        <v>0</v>
      </c>
      <c r="K1681" s="68"/>
      <c r="L1681" s="68"/>
      <c r="M1681" s="68"/>
      <c r="N1681" s="68"/>
      <c r="O1681" s="68"/>
      <c r="P1681" s="68"/>
      <c r="Q1681" s="68">
        <f>SUM(Devis[[#This Row],[Poste 1]:[Poste 6]])</f>
        <v>0</v>
      </c>
      <c r="R1681" s="71"/>
      <c r="S1681" s="68">
        <f>_xlfn.CEILING.MATH(Devis[[#This Row],[Quantité Totale]],Devis[[#This Row],[Conditionnement]])</f>
        <v>0</v>
      </c>
      <c r="T1681" s="72"/>
      <c r="U1681" s="73"/>
      <c r="V1681" s="74">
        <f>Devis[[#This Row],[Prix de Revient]]*Devis[[#This Row],[Poste 1]]</f>
        <v>0</v>
      </c>
      <c r="W1681" s="74">
        <f>Devis[[#This Row],[Prix de Revient]]*Devis[[#This Row],[Poste 2]]</f>
        <v>0</v>
      </c>
      <c r="X1681" s="74">
        <f>Devis[[#This Row],[Prix de Revient]]*Devis[[#This Row],[Poste 3]]</f>
        <v>0</v>
      </c>
      <c r="Y1681" s="74">
        <f>Devis[[#This Row],[Poste 4]]*Devis[[#This Row],[Prix de Revient]]</f>
        <v>0</v>
      </c>
      <c r="Z1681" s="74">
        <f>Devis[[#This Row],[Poste 5]]*Devis[[#This Row],[Prix de Revient]]</f>
        <v>0</v>
      </c>
      <c r="AA1681" s="74">
        <f>Devis[[#This Row],[Prix de Revient]]*Devis[[#This Row],[Poste 6]]</f>
        <v>0</v>
      </c>
      <c r="AB1681" s="74">
        <f>Devis[[#This Row],[Quantité Totale]]*Devis[[#This Row],[Prix de Revient]]</f>
        <v>0</v>
      </c>
    </row>
    <row r="1682" spans="1:28" ht="14.25" customHeight="1" outlineLevel="1" x14ac:dyDescent="0.2">
      <c r="A1682" s="75" t="s">
        <v>1378</v>
      </c>
      <c r="B1682" s="76" t="s">
        <v>1418</v>
      </c>
      <c r="C1682" s="71" t="s">
        <v>4713</v>
      </c>
      <c r="D1682" s="81" t="str">
        <f t="shared" si="29"/>
        <v>Inox Serti CoréenCourbe mixte FFØ16</v>
      </c>
      <c r="E1682" s="110">
        <v>16.5</v>
      </c>
      <c r="F1682" s="81">
        <v>2</v>
      </c>
      <c r="G1682" s="71" t="s">
        <v>1420</v>
      </c>
      <c r="H1682" s="71"/>
      <c r="I1682" s="71"/>
      <c r="J1682" s="70">
        <f>IFERROR(VLOOKUP(Devis[[#This Row],[Ref Air Flux]],#REF!,3,FALSE),0)</f>
        <v>0</v>
      </c>
      <c r="K1682" s="68"/>
      <c r="L1682" s="68"/>
      <c r="M1682" s="68"/>
      <c r="N1682" s="68"/>
      <c r="O1682" s="68"/>
      <c r="P1682" s="68"/>
      <c r="Q1682" s="68">
        <f>SUM(Devis[[#This Row],[Poste 1]:[Poste 6]])</f>
        <v>0</v>
      </c>
      <c r="R1682" s="71"/>
      <c r="S1682" s="68">
        <f>_xlfn.CEILING.MATH(Devis[[#This Row],[Quantité Totale]],Devis[[#This Row],[Conditionnement]])</f>
        <v>0</v>
      </c>
      <c r="T1682" s="72"/>
      <c r="U1682" s="73"/>
      <c r="V1682" s="74">
        <f>Devis[[#This Row],[Prix de Revient]]*Devis[[#This Row],[Poste 1]]</f>
        <v>0</v>
      </c>
      <c r="W1682" s="74">
        <f>Devis[[#This Row],[Prix de Revient]]*Devis[[#This Row],[Poste 2]]</f>
        <v>0</v>
      </c>
      <c r="X1682" s="74">
        <f>Devis[[#This Row],[Prix de Revient]]*Devis[[#This Row],[Poste 3]]</f>
        <v>0</v>
      </c>
      <c r="Y1682" s="74">
        <f>Devis[[#This Row],[Poste 4]]*Devis[[#This Row],[Prix de Revient]]</f>
        <v>0</v>
      </c>
      <c r="Z1682" s="74">
        <f>Devis[[#This Row],[Poste 5]]*Devis[[#This Row],[Prix de Revient]]</f>
        <v>0</v>
      </c>
      <c r="AA1682" s="74">
        <f>Devis[[#This Row],[Prix de Revient]]*Devis[[#This Row],[Poste 6]]</f>
        <v>0</v>
      </c>
      <c r="AB1682" s="74">
        <f>Devis[[#This Row],[Quantité Totale]]*Devis[[#This Row],[Prix de Revient]]</f>
        <v>0</v>
      </c>
    </row>
    <row r="1683" spans="1:28" ht="15" customHeight="1" outlineLevel="1" x14ac:dyDescent="0.2">
      <c r="A1683" s="75" t="s">
        <v>1378</v>
      </c>
      <c r="B1683" s="76" t="s">
        <v>1418</v>
      </c>
      <c r="C1683" s="71" t="s">
        <v>3620</v>
      </c>
      <c r="D1683" s="81" t="str">
        <f t="shared" ref="D1683:D1746" si="30">A1683&amp;B1683&amp;C1683</f>
        <v>Inox Serti CoréenCourbe mixte FFØ22</v>
      </c>
      <c r="E1683" s="110">
        <v>22.5</v>
      </c>
      <c r="F1683" s="81">
        <v>3</v>
      </c>
      <c r="G1683" s="71" t="s">
        <v>1421</v>
      </c>
      <c r="H1683" s="71"/>
      <c r="I1683" s="71"/>
      <c r="J1683" s="70">
        <f>IFERROR(VLOOKUP(Devis[[#This Row],[Ref Air Flux]],#REF!,3,FALSE),0)</f>
        <v>0</v>
      </c>
      <c r="K1683" s="68"/>
      <c r="L1683" s="68"/>
      <c r="M1683" s="68"/>
      <c r="N1683" s="68"/>
      <c r="O1683" s="68"/>
      <c r="P1683" s="68"/>
      <c r="Q1683" s="68">
        <f>SUM(Devis[[#This Row],[Poste 1]:[Poste 6]])</f>
        <v>0</v>
      </c>
      <c r="R1683" s="71"/>
      <c r="S1683" s="68">
        <f>_xlfn.CEILING.MATH(Devis[[#This Row],[Quantité Totale]],Devis[[#This Row],[Conditionnement]])</f>
        <v>0</v>
      </c>
      <c r="T1683" s="72"/>
      <c r="U1683" s="73"/>
      <c r="V1683" s="74">
        <f>Devis[[#This Row],[Prix de Revient]]*Devis[[#This Row],[Poste 1]]</f>
        <v>0</v>
      </c>
      <c r="W1683" s="74">
        <f>Devis[[#This Row],[Prix de Revient]]*Devis[[#This Row],[Poste 2]]</f>
        <v>0</v>
      </c>
      <c r="X1683" s="74">
        <f>Devis[[#This Row],[Prix de Revient]]*Devis[[#This Row],[Poste 3]]</f>
        <v>0</v>
      </c>
      <c r="Y1683" s="74">
        <f>Devis[[#This Row],[Poste 4]]*Devis[[#This Row],[Prix de Revient]]</f>
        <v>0</v>
      </c>
      <c r="Z1683" s="74">
        <f>Devis[[#This Row],[Poste 5]]*Devis[[#This Row],[Prix de Revient]]</f>
        <v>0</v>
      </c>
      <c r="AA1683" s="74">
        <f>Devis[[#This Row],[Prix de Revient]]*Devis[[#This Row],[Poste 6]]</f>
        <v>0</v>
      </c>
      <c r="AB1683" s="74">
        <f>Devis[[#This Row],[Quantité Totale]]*Devis[[#This Row],[Prix de Revient]]</f>
        <v>0</v>
      </c>
    </row>
    <row r="1684" spans="1:28" ht="14.25" outlineLevel="1" x14ac:dyDescent="0.2">
      <c r="A1684" s="75" t="s">
        <v>1378</v>
      </c>
      <c r="B1684" s="76" t="s">
        <v>1418</v>
      </c>
      <c r="C1684" s="71" t="s">
        <v>3620</v>
      </c>
      <c r="D1684" s="81" t="str">
        <f t="shared" si="30"/>
        <v>Inox Serti CoréenCourbe mixte FFØ22</v>
      </c>
      <c r="E1684" s="110">
        <v>28.5</v>
      </c>
      <c r="F1684" s="81">
        <v>4</v>
      </c>
      <c r="G1684" s="71" t="s">
        <v>1422</v>
      </c>
      <c r="H1684" s="71"/>
      <c r="I1684" s="71"/>
      <c r="J1684" s="70">
        <f>IFERROR(VLOOKUP(Devis[[#This Row],[Ref Air Flux]],#REF!,3,FALSE),0)</f>
        <v>0</v>
      </c>
      <c r="K1684" s="68"/>
      <c r="L1684" s="68"/>
      <c r="M1684" s="68"/>
      <c r="N1684" s="68"/>
      <c r="O1684" s="68"/>
      <c r="P1684" s="68"/>
      <c r="Q1684" s="68">
        <f>SUM(Devis[[#This Row],[Poste 1]:[Poste 6]])</f>
        <v>0</v>
      </c>
      <c r="R1684" s="71"/>
      <c r="S1684" s="68">
        <f>_xlfn.CEILING.MATH(Devis[[#This Row],[Quantité Totale]],Devis[[#This Row],[Conditionnement]])</f>
        <v>0</v>
      </c>
      <c r="T1684" s="72"/>
      <c r="U1684" s="73"/>
      <c r="V1684" s="74">
        <f>Devis[[#This Row],[Prix de Revient]]*Devis[[#This Row],[Poste 1]]</f>
        <v>0</v>
      </c>
      <c r="W1684" s="74">
        <f>Devis[[#This Row],[Prix de Revient]]*Devis[[#This Row],[Poste 2]]</f>
        <v>0</v>
      </c>
      <c r="X1684" s="74">
        <f>Devis[[#This Row],[Prix de Revient]]*Devis[[#This Row],[Poste 3]]</f>
        <v>0</v>
      </c>
      <c r="Y1684" s="74">
        <f>Devis[[#This Row],[Poste 4]]*Devis[[#This Row],[Prix de Revient]]</f>
        <v>0</v>
      </c>
      <c r="Z1684" s="74">
        <f>Devis[[#This Row],[Poste 5]]*Devis[[#This Row],[Prix de Revient]]</f>
        <v>0</v>
      </c>
      <c r="AA1684" s="74">
        <f>Devis[[#This Row],[Prix de Revient]]*Devis[[#This Row],[Poste 6]]</f>
        <v>0</v>
      </c>
      <c r="AB1684" s="74">
        <f>Devis[[#This Row],[Quantité Totale]]*Devis[[#This Row],[Prix de Revient]]</f>
        <v>0</v>
      </c>
    </row>
    <row r="1685" spans="1:28" ht="14.25" outlineLevel="1" x14ac:dyDescent="0.2">
      <c r="A1685" s="75" t="s">
        <v>1378</v>
      </c>
      <c r="B1685" s="76" t="s">
        <v>1418</v>
      </c>
      <c r="C1685" s="71" t="s">
        <v>3621</v>
      </c>
      <c r="D1685" s="81" t="str">
        <f t="shared" si="30"/>
        <v>Inox Serti CoréenCourbe mixte FFØ28</v>
      </c>
      <c r="E1685" s="76" t="s">
        <v>1423</v>
      </c>
      <c r="F1685" s="81">
        <v>5</v>
      </c>
      <c r="G1685" s="71" t="s">
        <v>1424</v>
      </c>
      <c r="H1685" s="71"/>
      <c r="I1685" s="71"/>
      <c r="J1685" s="70">
        <f>IFERROR(VLOOKUP(Devis[[#This Row],[Ref Air Flux]],#REF!,3,FALSE),0)</f>
        <v>0</v>
      </c>
      <c r="K1685" s="68"/>
      <c r="L1685" s="68"/>
      <c r="M1685" s="68"/>
      <c r="N1685" s="68"/>
      <c r="O1685" s="68"/>
      <c r="P1685" s="68"/>
      <c r="Q1685" s="68">
        <f>SUM(Devis[[#This Row],[Poste 1]:[Poste 6]])</f>
        <v>0</v>
      </c>
      <c r="R1685" s="71"/>
      <c r="S1685" s="68">
        <f>_xlfn.CEILING.MATH(Devis[[#This Row],[Quantité Totale]],Devis[[#This Row],[Conditionnement]])</f>
        <v>0</v>
      </c>
      <c r="T1685" s="72"/>
      <c r="U1685" s="73"/>
      <c r="V1685" s="74">
        <f>Devis[[#This Row],[Prix de Revient]]*Devis[[#This Row],[Poste 1]]</f>
        <v>0</v>
      </c>
      <c r="W1685" s="74">
        <f>Devis[[#This Row],[Prix de Revient]]*Devis[[#This Row],[Poste 2]]</f>
        <v>0</v>
      </c>
      <c r="X1685" s="74">
        <f>Devis[[#This Row],[Prix de Revient]]*Devis[[#This Row],[Poste 3]]</f>
        <v>0</v>
      </c>
      <c r="Y1685" s="74">
        <f>Devis[[#This Row],[Poste 4]]*Devis[[#This Row],[Prix de Revient]]</f>
        <v>0</v>
      </c>
      <c r="Z1685" s="74">
        <f>Devis[[#This Row],[Poste 5]]*Devis[[#This Row],[Prix de Revient]]</f>
        <v>0</v>
      </c>
      <c r="AA1685" s="74">
        <f>Devis[[#This Row],[Prix de Revient]]*Devis[[#This Row],[Poste 6]]</f>
        <v>0</v>
      </c>
      <c r="AB1685" s="74">
        <f>Devis[[#This Row],[Quantité Totale]]*Devis[[#This Row],[Prix de Revient]]</f>
        <v>0</v>
      </c>
    </row>
    <row r="1686" spans="1:28" ht="14.25" outlineLevel="1" x14ac:dyDescent="0.2">
      <c r="A1686" s="75" t="s">
        <v>1378</v>
      </c>
      <c r="B1686" s="76" t="s">
        <v>1418</v>
      </c>
      <c r="C1686" s="71" t="s">
        <v>4713</v>
      </c>
      <c r="D1686" s="81" t="str">
        <f t="shared" si="30"/>
        <v>Inox Serti CoréenCourbe mixte FFØ16</v>
      </c>
      <c r="E1686" s="110">
        <v>16.5</v>
      </c>
      <c r="F1686" s="81">
        <v>6</v>
      </c>
      <c r="G1686" s="71" t="s">
        <v>1425</v>
      </c>
      <c r="H1686" s="71"/>
      <c r="I1686" s="71"/>
      <c r="J1686" s="70">
        <f>IFERROR(VLOOKUP(Devis[[#This Row],[Ref Air Flux]],#REF!,3,FALSE),0)</f>
        <v>0</v>
      </c>
      <c r="K1686" s="68"/>
      <c r="L1686" s="68"/>
      <c r="M1686" s="68"/>
      <c r="N1686" s="68"/>
      <c r="O1686" s="68"/>
      <c r="P1686" s="68"/>
      <c r="Q1686" s="68">
        <f>SUM(Devis[[#This Row],[Poste 1]:[Poste 6]])</f>
        <v>0</v>
      </c>
      <c r="R1686" s="71"/>
      <c r="S1686" s="68">
        <f>_xlfn.CEILING.MATH(Devis[[#This Row],[Quantité Totale]],Devis[[#This Row],[Conditionnement]])</f>
        <v>0</v>
      </c>
      <c r="T1686" s="72"/>
      <c r="U1686" s="73"/>
      <c r="V1686" s="74">
        <f>Devis[[#This Row],[Prix de Revient]]*Devis[[#This Row],[Poste 1]]</f>
        <v>0</v>
      </c>
      <c r="W1686" s="74">
        <f>Devis[[#This Row],[Prix de Revient]]*Devis[[#This Row],[Poste 2]]</f>
        <v>0</v>
      </c>
      <c r="X1686" s="74">
        <f>Devis[[#This Row],[Prix de Revient]]*Devis[[#This Row],[Poste 3]]</f>
        <v>0</v>
      </c>
      <c r="Y1686" s="74">
        <f>Devis[[#This Row],[Poste 4]]*Devis[[#This Row],[Prix de Revient]]</f>
        <v>0</v>
      </c>
      <c r="Z1686" s="74">
        <f>Devis[[#This Row],[Poste 5]]*Devis[[#This Row],[Prix de Revient]]</f>
        <v>0</v>
      </c>
      <c r="AA1686" s="74">
        <f>Devis[[#This Row],[Prix de Revient]]*Devis[[#This Row],[Poste 6]]</f>
        <v>0</v>
      </c>
      <c r="AB1686" s="74">
        <f>Devis[[#This Row],[Quantité Totale]]*Devis[[#This Row],[Prix de Revient]]</f>
        <v>0</v>
      </c>
    </row>
    <row r="1687" spans="1:28" ht="14.25" outlineLevel="1" x14ac:dyDescent="0.2">
      <c r="A1687" s="75" t="s">
        <v>1378</v>
      </c>
      <c r="B1687" s="76" t="s">
        <v>1418</v>
      </c>
      <c r="C1687" s="71" t="s">
        <v>3620</v>
      </c>
      <c r="D1687" s="81" t="str">
        <f t="shared" si="30"/>
        <v>Inox Serti CoréenCourbe mixte FFØ22</v>
      </c>
      <c r="E1687" s="110">
        <v>22.75</v>
      </c>
      <c r="F1687" s="81">
        <v>7</v>
      </c>
      <c r="G1687" s="71" t="s">
        <v>1426</v>
      </c>
      <c r="H1687" s="71"/>
      <c r="I1687" s="71"/>
      <c r="J1687" s="70">
        <f>IFERROR(VLOOKUP(Devis[[#This Row],[Ref Air Flux]],#REF!,3,FALSE),0)</f>
        <v>0</v>
      </c>
      <c r="K1687" s="68"/>
      <c r="L1687" s="68"/>
      <c r="M1687" s="68"/>
      <c r="N1687" s="68"/>
      <c r="O1687" s="68"/>
      <c r="P1687" s="68"/>
      <c r="Q1687" s="68">
        <f>SUM(Devis[[#This Row],[Poste 1]:[Poste 6]])</f>
        <v>0</v>
      </c>
      <c r="R1687" s="71"/>
      <c r="S1687" s="68">
        <f>_xlfn.CEILING.MATH(Devis[[#This Row],[Quantité Totale]],Devis[[#This Row],[Conditionnement]])</f>
        <v>0</v>
      </c>
      <c r="T1687" s="72"/>
      <c r="U1687" s="73"/>
      <c r="V1687" s="74">
        <f>Devis[[#This Row],[Prix de Revient]]*Devis[[#This Row],[Poste 1]]</f>
        <v>0</v>
      </c>
      <c r="W1687" s="74">
        <f>Devis[[#This Row],[Prix de Revient]]*Devis[[#This Row],[Poste 2]]</f>
        <v>0</v>
      </c>
      <c r="X1687" s="74">
        <f>Devis[[#This Row],[Prix de Revient]]*Devis[[#This Row],[Poste 3]]</f>
        <v>0</v>
      </c>
      <c r="Y1687" s="74">
        <f>Devis[[#This Row],[Poste 4]]*Devis[[#This Row],[Prix de Revient]]</f>
        <v>0</v>
      </c>
      <c r="Z1687" s="74">
        <f>Devis[[#This Row],[Poste 5]]*Devis[[#This Row],[Prix de Revient]]</f>
        <v>0</v>
      </c>
      <c r="AA1687" s="74">
        <f>Devis[[#This Row],[Prix de Revient]]*Devis[[#This Row],[Poste 6]]</f>
        <v>0</v>
      </c>
      <c r="AB1687" s="74">
        <f>Devis[[#This Row],[Quantité Totale]]*Devis[[#This Row],[Prix de Revient]]</f>
        <v>0</v>
      </c>
    </row>
    <row r="1688" spans="1:28" ht="14.25" outlineLevel="1" x14ac:dyDescent="0.2">
      <c r="A1688" s="75" t="s">
        <v>1378</v>
      </c>
      <c r="B1688" s="76" t="s">
        <v>1418</v>
      </c>
      <c r="C1688" s="71" t="s">
        <v>3621</v>
      </c>
      <c r="D1688" s="81" t="str">
        <f t="shared" si="30"/>
        <v>Inox Serti CoréenCourbe mixte FFØ28</v>
      </c>
      <c r="E1688" s="76" t="s">
        <v>1423</v>
      </c>
      <c r="F1688" s="81">
        <v>8</v>
      </c>
      <c r="G1688" s="71" t="s">
        <v>1427</v>
      </c>
      <c r="H1688" s="71"/>
      <c r="I1688" s="71"/>
      <c r="J1688" s="70">
        <f>IFERROR(VLOOKUP(Devis[[#This Row],[Ref Air Flux]],#REF!,3,FALSE),0)</f>
        <v>0</v>
      </c>
      <c r="K1688" s="68"/>
      <c r="L1688" s="68"/>
      <c r="M1688" s="68"/>
      <c r="N1688" s="68"/>
      <c r="O1688" s="68"/>
      <c r="P1688" s="68"/>
      <c r="Q1688" s="68">
        <f>SUM(Devis[[#This Row],[Poste 1]:[Poste 6]])</f>
        <v>0</v>
      </c>
      <c r="R1688" s="71"/>
      <c r="S1688" s="68">
        <f>_xlfn.CEILING.MATH(Devis[[#This Row],[Quantité Totale]],Devis[[#This Row],[Conditionnement]])</f>
        <v>0</v>
      </c>
      <c r="T1688" s="72"/>
      <c r="U1688" s="73"/>
      <c r="V1688" s="74">
        <f>Devis[[#This Row],[Prix de Revient]]*Devis[[#This Row],[Poste 1]]</f>
        <v>0</v>
      </c>
      <c r="W1688" s="74">
        <f>Devis[[#This Row],[Prix de Revient]]*Devis[[#This Row],[Poste 2]]</f>
        <v>0</v>
      </c>
      <c r="X1688" s="74">
        <f>Devis[[#This Row],[Prix de Revient]]*Devis[[#This Row],[Poste 3]]</f>
        <v>0</v>
      </c>
      <c r="Y1688" s="74">
        <f>Devis[[#This Row],[Poste 4]]*Devis[[#This Row],[Prix de Revient]]</f>
        <v>0</v>
      </c>
      <c r="Z1688" s="74">
        <f>Devis[[#This Row],[Poste 5]]*Devis[[#This Row],[Prix de Revient]]</f>
        <v>0</v>
      </c>
      <c r="AA1688" s="74">
        <f>Devis[[#This Row],[Prix de Revient]]*Devis[[#This Row],[Poste 6]]</f>
        <v>0</v>
      </c>
      <c r="AB1688" s="74">
        <f>Devis[[#This Row],[Quantité Totale]]*Devis[[#This Row],[Prix de Revient]]</f>
        <v>0</v>
      </c>
    </row>
    <row r="1689" spans="1:28" ht="14.25" customHeight="1" outlineLevel="1" x14ac:dyDescent="0.2">
      <c r="A1689" s="75" t="s">
        <v>1378</v>
      </c>
      <c r="B1689" s="76" t="s">
        <v>1418</v>
      </c>
      <c r="C1689" s="71" t="s">
        <v>3622</v>
      </c>
      <c r="D1689" s="81" t="str">
        <f t="shared" si="30"/>
        <v>Inox Serti CoréenCourbe mixte FFØ34</v>
      </c>
      <c r="E1689" s="76" t="s">
        <v>1428</v>
      </c>
      <c r="F1689" s="81">
        <v>9</v>
      </c>
      <c r="G1689" s="71" t="s">
        <v>1429</v>
      </c>
      <c r="H1689" s="71"/>
      <c r="I1689" s="71"/>
      <c r="J1689" s="70">
        <f>IFERROR(VLOOKUP(Devis[[#This Row],[Ref Air Flux]],#REF!,3,FALSE),0)</f>
        <v>0</v>
      </c>
      <c r="K1689" s="68"/>
      <c r="L1689" s="68"/>
      <c r="M1689" s="68"/>
      <c r="N1689" s="68"/>
      <c r="O1689" s="68"/>
      <c r="P1689" s="68"/>
      <c r="Q1689" s="68">
        <f>SUM(Devis[[#This Row],[Poste 1]:[Poste 6]])</f>
        <v>0</v>
      </c>
      <c r="R1689" s="71"/>
      <c r="S1689" s="68">
        <f>_xlfn.CEILING.MATH(Devis[[#This Row],[Quantité Totale]],Devis[[#This Row],[Conditionnement]])</f>
        <v>0</v>
      </c>
      <c r="T1689" s="72"/>
      <c r="U1689" s="73"/>
      <c r="V1689" s="74">
        <f>Devis[[#This Row],[Prix de Revient]]*Devis[[#This Row],[Poste 1]]</f>
        <v>0</v>
      </c>
      <c r="W1689" s="74">
        <f>Devis[[#This Row],[Prix de Revient]]*Devis[[#This Row],[Poste 2]]</f>
        <v>0</v>
      </c>
      <c r="X1689" s="74">
        <f>Devis[[#This Row],[Prix de Revient]]*Devis[[#This Row],[Poste 3]]</f>
        <v>0</v>
      </c>
      <c r="Y1689" s="74">
        <f>Devis[[#This Row],[Poste 4]]*Devis[[#This Row],[Prix de Revient]]</f>
        <v>0</v>
      </c>
      <c r="Z1689" s="74">
        <f>Devis[[#This Row],[Poste 5]]*Devis[[#This Row],[Prix de Revient]]</f>
        <v>0</v>
      </c>
      <c r="AA1689" s="74">
        <f>Devis[[#This Row],[Prix de Revient]]*Devis[[#This Row],[Poste 6]]</f>
        <v>0</v>
      </c>
      <c r="AB1689" s="74">
        <f>Devis[[#This Row],[Quantité Totale]]*Devis[[#This Row],[Prix de Revient]]</f>
        <v>0</v>
      </c>
    </row>
    <row r="1690" spans="1:28" ht="15" customHeight="1" outlineLevel="1" x14ac:dyDescent="0.2">
      <c r="A1690" s="75" t="s">
        <v>1378</v>
      </c>
      <c r="B1690" s="76" t="s">
        <v>1418</v>
      </c>
      <c r="C1690" s="71" t="s">
        <v>3623</v>
      </c>
      <c r="D1690" s="81" t="str">
        <f t="shared" si="30"/>
        <v>Inox Serti CoréenCourbe mixte FFØ42</v>
      </c>
      <c r="E1690" s="76" t="s">
        <v>1430</v>
      </c>
      <c r="F1690" s="81">
        <v>10</v>
      </c>
      <c r="G1690" s="71" t="s">
        <v>1431</v>
      </c>
      <c r="H1690" s="71"/>
      <c r="I1690" s="71"/>
      <c r="J1690" s="70">
        <f>IFERROR(VLOOKUP(Devis[[#This Row],[Ref Air Flux]],#REF!,3,FALSE),0)</f>
        <v>0</v>
      </c>
      <c r="K1690" s="68"/>
      <c r="L1690" s="68"/>
      <c r="M1690" s="68"/>
      <c r="N1690" s="68"/>
      <c r="O1690" s="68"/>
      <c r="P1690" s="68"/>
      <c r="Q1690" s="68">
        <f>SUM(Devis[[#This Row],[Poste 1]:[Poste 6]])</f>
        <v>0</v>
      </c>
      <c r="R1690" s="71"/>
      <c r="S1690" s="68">
        <f>_xlfn.CEILING.MATH(Devis[[#This Row],[Quantité Totale]],Devis[[#This Row],[Conditionnement]])</f>
        <v>0</v>
      </c>
      <c r="T1690" s="72"/>
      <c r="U1690" s="73"/>
      <c r="V1690" s="74">
        <f>Devis[[#This Row],[Prix de Revient]]*Devis[[#This Row],[Poste 1]]</f>
        <v>0</v>
      </c>
      <c r="W1690" s="74">
        <f>Devis[[#This Row],[Prix de Revient]]*Devis[[#This Row],[Poste 2]]</f>
        <v>0</v>
      </c>
      <c r="X1690" s="74">
        <f>Devis[[#This Row],[Prix de Revient]]*Devis[[#This Row],[Poste 3]]</f>
        <v>0</v>
      </c>
      <c r="Y1690" s="74">
        <f>Devis[[#This Row],[Poste 4]]*Devis[[#This Row],[Prix de Revient]]</f>
        <v>0</v>
      </c>
      <c r="Z1690" s="74">
        <f>Devis[[#This Row],[Poste 5]]*Devis[[#This Row],[Prix de Revient]]</f>
        <v>0</v>
      </c>
      <c r="AA1690" s="74">
        <f>Devis[[#This Row],[Prix de Revient]]*Devis[[#This Row],[Poste 6]]</f>
        <v>0</v>
      </c>
      <c r="AB1690" s="74">
        <f>Devis[[#This Row],[Quantité Totale]]*Devis[[#This Row],[Prix de Revient]]</f>
        <v>0</v>
      </c>
    </row>
    <row r="1691" spans="1:28" ht="14.25" customHeight="1" outlineLevel="1" x14ac:dyDescent="0.2">
      <c r="A1691" s="75" t="s">
        <v>1378</v>
      </c>
      <c r="B1691" s="76" t="s">
        <v>1418</v>
      </c>
      <c r="C1691" s="71" t="s">
        <v>3624</v>
      </c>
      <c r="D1691" s="81" t="str">
        <f t="shared" si="30"/>
        <v>Inox Serti CoréenCourbe mixte FFØ48</v>
      </c>
      <c r="E1691" s="76" t="s">
        <v>1432</v>
      </c>
      <c r="F1691" s="81">
        <v>11</v>
      </c>
      <c r="G1691" s="71" t="s">
        <v>1433</v>
      </c>
      <c r="H1691" s="71"/>
      <c r="I1691" s="71"/>
      <c r="J1691" s="70">
        <f>IFERROR(VLOOKUP(Devis[[#This Row],[Ref Air Flux]],#REF!,3,FALSE),0)</f>
        <v>0</v>
      </c>
      <c r="K1691" s="68"/>
      <c r="L1691" s="68"/>
      <c r="M1691" s="68"/>
      <c r="N1691" s="68"/>
      <c r="O1691" s="68"/>
      <c r="P1691" s="68"/>
      <c r="Q1691" s="68">
        <f>SUM(Devis[[#This Row],[Poste 1]:[Poste 6]])</f>
        <v>0</v>
      </c>
      <c r="R1691" s="71"/>
      <c r="S1691" s="68">
        <f>_xlfn.CEILING.MATH(Devis[[#This Row],[Quantité Totale]],Devis[[#This Row],[Conditionnement]])</f>
        <v>0</v>
      </c>
      <c r="T1691" s="72"/>
      <c r="U1691" s="73"/>
      <c r="V1691" s="74">
        <f>Devis[[#This Row],[Prix de Revient]]*Devis[[#This Row],[Poste 1]]</f>
        <v>0</v>
      </c>
      <c r="W1691" s="74">
        <f>Devis[[#This Row],[Prix de Revient]]*Devis[[#This Row],[Poste 2]]</f>
        <v>0</v>
      </c>
      <c r="X1691" s="74">
        <f>Devis[[#This Row],[Prix de Revient]]*Devis[[#This Row],[Poste 3]]</f>
        <v>0</v>
      </c>
      <c r="Y1691" s="74">
        <f>Devis[[#This Row],[Poste 4]]*Devis[[#This Row],[Prix de Revient]]</f>
        <v>0</v>
      </c>
      <c r="Z1691" s="74">
        <f>Devis[[#This Row],[Poste 5]]*Devis[[#This Row],[Prix de Revient]]</f>
        <v>0</v>
      </c>
      <c r="AA1691" s="74">
        <f>Devis[[#This Row],[Prix de Revient]]*Devis[[#This Row],[Poste 6]]</f>
        <v>0</v>
      </c>
      <c r="AB1691" s="74">
        <f>Devis[[#This Row],[Quantité Totale]]*Devis[[#This Row],[Prix de Revient]]</f>
        <v>0</v>
      </c>
    </row>
    <row r="1692" spans="1:28" ht="14.25" outlineLevel="1" x14ac:dyDescent="0.2">
      <c r="A1692" s="75" t="s">
        <v>1378</v>
      </c>
      <c r="B1692" s="76" t="s">
        <v>1418</v>
      </c>
      <c r="C1692" s="71" t="s">
        <v>3626</v>
      </c>
      <c r="D1692" s="81" t="str">
        <f t="shared" si="30"/>
        <v>Inox Serti CoréenCourbe mixte FFØ60</v>
      </c>
      <c r="E1692" s="76" t="s">
        <v>1434</v>
      </c>
      <c r="F1692" s="81">
        <v>12</v>
      </c>
      <c r="G1692" s="71" t="s">
        <v>1435</v>
      </c>
      <c r="H1692" s="71"/>
      <c r="I1692" s="71"/>
      <c r="J1692" s="70">
        <f>IFERROR(VLOOKUP(Devis[[#This Row],[Ref Air Flux]],#REF!,3,FALSE),0)</f>
        <v>0</v>
      </c>
      <c r="K1692" s="68"/>
      <c r="L1692" s="68"/>
      <c r="M1692" s="68"/>
      <c r="N1692" s="68"/>
      <c r="O1692" s="68"/>
      <c r="P1692" s="68"/>
      <c r="Q1692" s="68">
        <f>SUM(Devis[[#This Row],[Poste 1]:[Poste 6]])</f>
        <v>0</v>
      </c>
      <c r="R1692" s="71"/>
      <c r="S1692" s="68">
        <f>_xlfn.CEILING.MATH(Devis[[#This Row],[Quantité Totale]],Devis[[#This Row],[Conditionnement]])</f>
        <v>0</v>
      </c>
      <c r="T1692" s="72"/>
      <c r="U1692" s="73"/>
      <c r="V1692" s="74">
        <f>Devis[[#This Row],[Prix de Revient]]*Devis[[#This Row],[Poste 1]]</f>
        <v>0</v>
      </c>
      <c r="W1692" s="74">
        <f>Devis[[#This Row],[Prix de Revient]]*Devis[[#This Row],[Poste 2]]</f>
        <v>0</v>
      </c>
      <c r="X1692" s="74">
        <f>Devis[[#This Row],[Prix de Revient]]*Devis[[#This Row],[Poste 3]]</f>
        <v>0</v>
      </c>
      <c r="Y1692" s="74">
        <f>Devis[[#This Row],[Poste 4]]*Devis[[#This Row],[Prix de Revient]]</f>
        <v>0</v>
      </c>
      <c r="Z1692" s="74">
        <f>Devis[[#This Row],[Poste 5]]*Devis[[#This Row],[Prix de Revient]]</f>
        <v>0</v>
      </c>
      <c r="AA1692" s="74">
        <f>Devis[[#This Row],[Prix de Revient]]*Devis[[#This Row],[Poste 6]]</f>
        <v>0</v>
      </c>
      <c r="AB1692" s="74">
        <f>Devis[[#This Row],[Quantité Totale]]*Devis[[#This Row],[Prix de Revient]]</f>
        <v>0</v>
      </c>
    </row>
    <row r="1693" spans="1:28" ht="14.25" outlineLevel="1" x14ac:dyDescent="0.2">
      <c r="A1693" s="75" t="s">
        <v>1378</v>
      </c>
      <c r="B1693" s="76" t="s">
        <v>1418</v>
      </c>
      <c r="C1693" s="71" t="s">
        <v>3626</v>
      </c>
      <c r="D1693" s="81" t="str">
        <f t="shared" si="30"/>
        <v>Inox Serti CoréenCourbe mixte FFØ60</v>
      </c>
      <c r="E1693" s="76" t="s">
        <v>1436</v>
      </c>
      <c r="F1693" s="81">
        <v>13</v>
      </c>
      <c r="G1693" s="71" t="s">
        <v>1437</v>
      </c>
      <c r="H1693" s="71"/>
      <c r="I1693" s="71"/>
      <c r="J1693" s="70">
        <f>IFERROR(VLOOKUP(Devis[[#This Row],[Ref Air Flux]],#REF!,3,FALSE),0)</f>
        <v>0</v>
      </c>
      <c r="K1693" s="68"/>
      <c r="L1693" s="68"/>
      <c r="M1693" s="68"/>
      <c r="N1693" s="68"/>
      <c r="O1693" s="68"/>
      <c r="P1693" s="68"/>
      <c r="Q1693" s="68">
        <f>SUM(Devis[[#This Row],[Poste 1]:[Poste 6]])</f>
        <v>0</v>
      </c>
      <c r="R1693" s="71"/>
      <c r="S1693" s="68">
        <f>_xlfn.CEILING.MATH(Devis[[#This Row],[Quantité Totale]],Devis[[#This Row],[Conditionnement]])</f>
        <v>0</v>
      </c>
      <c r="T1693" s="72"/>
      <c r="U1693" s="73"/>
      <c r="V1693" s="74">
        <f>Devis[[#This Row],[Prix de Revient]]*Devis[[#This Row],[Poste 1]]</f>
        <v>0</v>
      </c>
      <c r="W1693" s="74">
        <f>Devis[[#This Row],[Prix de Revient]]*Devis[[#This Row],[Poste 2]]</f>
        <v>0</v>
      </c>
      <c r="X1693" s="74">
        <f>Devis[[#This Row],[Prix de Revient]]*Devis[[#This Row],[Poste 3]]</f>
        <v>0</v>
      </c>
      <c r="Y1693" s="74">
        <f>Devis[[#This Row],[Poste 4]]*Devis[[#This Row],[Prix de Revient]]</f>
        <v>0</v>
      </c>
      <c r="Z1693" s="74">
        <f>Devis[[#This Row],[Poste 5]]*Devis[[#This Row],[Prix de Revient]]</f>
        <v>0</v>
      </c>
      <c r="AA1693" s="74">
        <f>Devis[[#This Row],[Prix de Revient]]*Devis[[#This Row],[Poste 6]]</f>
        <v>0</v>
      </c>
      <c r="AB1693" s="74">
        <f>Devis[[#This Row],[Quantité Totale]]*Devis[[#This Row],[Prix de Revient]]</f>
        <v>0</v>
      </c>
    </row>
    <row r="1694" spans="1:28" ht="14.25" customHeight="1" x14ac:dyDescent="0.25">
      <c r="A1694" s="65" t="s">
        <v>1378</v>
      </c>
      <c r="B1694" s="65" t="s">
        <v>4718</v>
      </c>
      <c r="C1694" s="71"/>
      <c r="D1694" s="81" t="str">
        <f t="shared" si="30"/>
        <v>Inox Serti CoréenCOURBE MIXTE FM</v>
      </c>
      <c r="E1694" s="76"/>
      <c r="F1694" s="81">
        <v>0</v>
      </c>
      <c r="G1694" s="71"/>
      <c r="H1694" s="71"/>
      <c r="I1694" s="71"/>
      <c r="J1694" s="70">
        <f>IFERROR(VLOOKUP(Devis[[#This Row],[Ref Air Flux]],#REF!,3,FALSE),0)</f>
        <v>0</v>
      </c>
      <c r="K1694" s="68"/>
      <c r="L1694" s="68"/>
      <c r="M1694" s="68"/>
      <c r="N1694" s="68"/>
      <c r="O1694" s="68"/>
      <c r="P1694" s="68"/>
      <c r="Q1694" s="68">
        <f>SUM(Devis[[#This Row],[Poste 1]:[Poste 6]])</f>
        <v>0</v>
      </c>
      <c r="R1694" s="71"/>
      <c r="S1694" s="68">
        <f>_xlfn.CEILING.MATH(Devis[[#This Row],[Quantité Totale]],Devis[[#This Row],[Conditionnement]])</f>
        <v>0</v>
      </c>
      <c r="T1694" s="72"/>
      <c r="U1694" s="73"/>
      <c r="V1694" s="74">
        <f>Devis[[#This Row],[Prix de Revient]]*Devis[[#This Row],[Poste 1]]</f>
        <v>0</v>
      </c>
      <c r="W1694" s="74">
        <f>Devis[[#This Row],[Prix de Revient]]*Devis[[#This Row],[Poste 2]]</f>
        <v>0</v>
      </c>
      <c r="X1694" s="74">
        <f>Devis[[#This Row],[Prix de Revient]]*Devis[[#This Row],[Poste 3]]</f>
        <v>0</v>
      </c>
      <c r="Y1694" s="74">
        <f>Devis[[#This Row],[Poste 4]]*Devis[[#This Row],[Prix de Revient]]</f>
        <v>0</v>
      </c>
      <c r="Z1694" s="74">
        <f>Devis[[#This Row],[Poste 5]]*Devis[[#This Row],[Prix de Revient]]</f>
        <v>0</v>
      </c>
      <c r="AA1694" s="74">
        <f>Devis[[#This Row],[Prix de Revient]]*Devis[[#This Row],[Poste 6]]</f>
        <v>0</v>
      </c>
      <c r="AB1694" s="74">
        <f>Devis[[#This Row],[Quantité Totale]]*Devis[[#This Row],[Prix de Revient]]</f>
        <v>0</v>
      </c>
    </row>
    <row r="1695" spans="1:28" ht="14.25" outlineLevel="1" x14ac:dyDescent="0.2">
      <c r="A1695" s="75" t="s">
        <v>1378</v>
      </c>
      <c r="B1695" s="76" t="s">
        <v>1438</v>
      </c>
      <c r="C1695" s="71" t="s">
        <v>4713</v>
      </c>
      <c r="D1695" s="81" t="str">
        <f t="shared" si="30"/>
        <v>Inox Serti CoréenCourbe mixte FMØ16</v>
      </c>
      <c r="E1695" s="110">
        <v>16.5</v>
      </c>
      <c r="F1695" s="81">
        <v>1</v>
      </c>
      <c r="G1695" s="71" t="s">
        <v>1439</v>
      </c>
      <c r="H1695" s="71"/>
      <c r="I1695" s="71"/>
      <c r="J1695" s="70">
        <f>IFERROR(VLOOKUP(Devis[[#This Row],[Ref Air Flux]],#REF!,3,FALSE),0)</f>
        <v>0</v>
      </c>
      <c r="K1695" s="68"/>
      <c r="L1695" s="68"/>
      <c r="M1695" s="68"/>
      <c r="N1695" s="68"/>
      <c r="O1695" s="68"/>
      <c r="P1695" s="68"/>
      <c r="Q1695" s="68">
        <f>SUM(Devis[[#This Row],[Poste 1]:[Poste 6]])</f>
        <v>0</v>
      </c>
      <c r="R1695" s="71"/>
      <c r="S1695" s="68">
        <f>_xlfn.CEILING.MATH(Devis[[#This Row],[Quantité Totale]],Devis[[#This Row],[Conditionnement]])</f>
        <v>0</v>
      </c>
      <c r="T1695" s="72"/>
      <c r="U1695" s="73"/>
      <c r="V1695" s="74">
        <f>Devis[[#This Row],[Prix de Revient]]*Devis[[#This Row],[Poste 1]]</f>
        <v>0</v>
      </c>
      <c r="W1695" s="74">
        <f>Devis[[#This Row],[Prix de Revient]]*Devis[[#This Row],[Poste 2]]</f>
        <v>0</v>
      </c>
      <c r="X1695" s="74">
        <f>Devis[[#This Row],[Prix de Revient]]*Devis[[#This Row],[Poste 3]]</f>
        <v>0</v>
      </c>
      <c r="Y1695" s="74">
        <f>Devis[[#This Row],[Poste 4]]*Devis[[#This Row],[Prix de Revient]]</f>
        <v>0</v>
      </c>
      <c r="Z1695" s="74">
        <f>Devis[[#This Row],[Poste 5]]*Devis[[#This Row],[Prix de Revient]]</f>
        <v>0</v>
      </c>
      <c r="AA1695" s="74">
        <f>Devis[[#This Row],[Prix de Revient]]*Devis[[#This Row],[Poste 6]]</f>
        <v>0</v>
      </c>
      <c r="AB1695" s="74">
        <f>Devis[[#This Row],[Quantité Totale]]*Devis[[#This Row],[Prix de Revient]]</f>
        <v>0</v>
      </c>
    </row>
    <row r="1696" spans="1:28" ht="14.25" outlineLevel="1" x14ac:dyDescent="0.2">
      <c r="A1696" s="75" t="s">
        <v>1378</v>
      </c>
      <c r="B1696" s="76" t="s">
        <v>1438</v>
      </c>
      <c r="C1696" s="71" t="s">
        <v>3620</v>
      </c>
      <c r="D1696" s="81" t="str">
        <f t="shared" si="30"/>
        <v>Inox Serti CoréenCourbe mixte FMØ22</v>
      </c>
      <c r="E1696" s="110">
        <v>22.75</v>
      </c>
      <c r="F1696" s="81">
        <v>2</v>
      </c>
      <c r="G1696" s="71" t="s">
        <v>1440</v>
      </c>
      <c r="H1696" s="71"/>
      <c r="I1696" s="71"/>
      <c r="J1696" s="70">
        <f>IFERROR(VLOOKUP(Devis[[#This Row],[Ref Air Flux]],#REF!,3,FALSE),0)</f>
        <v>0</v>
      </c>
      <c r="K1696" s="68"/>
      <c r="L1696" s="68"/>
      <c r="M1696" s="68"/>
      <c r="N1696" s="68"/>
      <c r="O1696" s="68"/>
      <c r="P1696" s="68"/>
      <c r="Q1696" s="68">
        <f>SUM(Devis[[#This Row],[Poste 1]:[Poste 6]])</f>
        <v>0</v>
      </c>
      <c r="R1696" s="71"/>
      <c r="S1696" s="68">
        <f>_xlfn.CEILING.MATH(Devis[[#This Row],[Quantité Totale]],Devis[[#This Row],[Conditionnement]])</f>
        <v>0</v>
      </c>
      <c r="T1696" s="72"/>
      <c r="U1696" s="73"/>
      <c r="V1696" s="74">
        <f>Devis[[#This Row],[Prix de Revient]]*Devis[[#This Row],[Poste 1]]</f>
        <v>0</v>
      </c>
      <c r="W1696" s="74">
        <f>Devis[[#This Row],[Prix de Revient]]*Devis[[#This Row],[Poste 2]]</f>
        <v>0</v>
      </c>
      <c r="X1696" s="74">
        <f>Devis[[#This Row],[Prix de Revient]]*Devis[[#This Row],[Poste 3]]</f>
        <v>0</v>
      </c>
      <c r="Y1696" s="74">
        <f>Devis[[#This Row],[Poste 4]]*Devis[[#This Row],[Prix de Revient]]</f>
        <v>0</v>
      </c>
      <c r="Z1696" s="74">
        <f>Devis[[#This Row],[Poste 5]]*Devis[[#This Row],[Prix de Revient]]</f>
        <v>0</v>
      </c>
      <c r="AA1696" s="74">
        <f>Devis[[#This Row],[Prix de Revient]]*Devis[[#This Row],[Poste 6]]</f>
        <v>0</v>
      </c>
      <c r="AB1696" s="74">
        <f>Devis[[#This Row],[Quantité Totale]]*Devis[[#This Row],[Prix de Revient]]</f>
        <v>0</v>
      </c>
    </row>
    <row r="1697" spans="1:28" ht="14.25" outlineLevel="1" x14ac:dyDescent="0.2">
      <c r="A1697" s="75" t="s">
        <v>1378</v>
      </c>
      <c r="B1697" s="76" t="s">
        <v>1438</v>
      </c>
      <c r="C1697" s="71" t="s">
        <v>3621</v>
      </c>
      <c r="D1697" s="81" t="str">
        <f t="shared" si="30"/>
        <v>Inox Serti CoréenCourbe mixte FMØ28</v>
      </c>
      <c r="E1697" s="76" t="s">
        <v>1423</v>
      </c>
      <c r="F1697" s="81">
        <v>3</v>
      </c>
      <c r="G1697" s="71" t="s">
        <v>1441</v>
      </c>
      <c r="H1697" s="71"/>
      <c r="I1697" s="71"/>
      <c r="J1697" s="70">
        <f>IFERROR(VLOOKUP(Devis[[#This Row],[Ref Air Flux]],#REF!,3,FALSE),0)</f>
        <v>0</v>
      </c>
      <c r="K1697" s="68"/>
      <c r="L1697" s="68"/>
      <c r="M1697" s="68"/>
      <c r="N1697" s="68"/>
      <c r="O1697" s="68"/>
      <c r="P1697" s="68"/>
      <c r="Q1697" s="68">
        <f>SUM(Devis[[#This Row],[Poste 1]:[Poste 6]])</f>
        <v>0</v>
      </c>
      <c r="R1697" s="71"/>
      <c r="S1697" s="68">
        <f>_xlfn.CEILING.MATH(Devis[[#This Row],[Quantité Totale]],Devis[[#This Row],[Conditionnement]])</f>
        <v>0</v>
      </c>
      <c r="T1697" s="72"/>
      <c r="U1697" s="73"/>
      <c r="V1697" s="74">
        <f>Devis[[#This Row],[Prix de Revient]]*Devis[[#This Row],[Poste 1]]</f>
        <v>0</v>
      </c>
      <c r="W1697" s="74">
        <f>Devis[[#This Row],[Prix de Revient]]*Devis[[#This Row],[Poste 2]]</f>
        <v>0</v>
      </c>
      <c r="X1697" s="74">
        <f>Devis[[#This Row],[Prix de Revient]]*Devis[[#This Row],[Poste 3]]</f>
        <v>0</v>
      </c>
      <c r="Y1697" s="74">
        <f>Devis[[#This Row],[Poste 4]]*Devis[[#This Row],[Prix de Revient]]</f>
        <v>0</v>
      </c>
      <c r="Z1697" s="74">
        <f>Devis[[#This Row],[Poste 5]]*Devis[[#This Row],[Prix de Revient]]</f>
        <v>0</v>
      </c>
      <c r="AA1697" s="74">
        <f>Devis[[#This Row],[Prix de Revient]]*Devis[[#This Row],[Poste 6]]</f>
        <v>0</v>
      </c>
      <c r="AB1697" s="74">
        <f>Devis[[#This Row],[Quantité Totale]]*Devis[[#This Row],[Prix de Revient]]</f>
        <v>0</v>
      </c>
    </row>
    <row r="1698" spans="1:28" ht="14.25" outlineLevel="1" x14ac:dyDescent="0.2">
      <c r="A1698" s="75" t="s">
        <v>1378</v>
      </c>
      <c r="B1698" s="76" t="s">
        <v>1438</v>
      </c>
      <c r="C1698" s="71" t="s">
        <v>3622</v>
      </c>
      <c r="D1698" s="81" t="str">
        <f t="shared" si="30"/>
        <v>Inox Serti CoréenCourbe mixte FMØ34</v>
      </c>
      <c r="E1698" s="76" t="s">
        <v>1428</v>
      </c>
      <c r="F1698" s="81">
        <v>4</v>
      </c>
      <c r="G1698" s="71" t="s">
        <v>1442</v>
      </c>
      <c r="H1698" s="71"/>
      <c r="I1698" s="71"/>
      <c r="J1698" s="70">
        <f>IFERROR(VLOOKUP(Devis[[#This Row],[Ref Air Flux]],#REF!,3,FALSE),0)</f>
        <v>0</v>
      </c>
      <c r="K1698" s="68"/>
      <c r="L1698" s="68"/>
      <c r="M1698" s="68"/>
      <c r="N1698" s="68"/>
      <c r="O1698" s="68"/>
      <c r="P1698" s="68"/>
      <c r="Q1698" s="68">
        <f>SUM(Devis[[#This Row],[Poste 1]:[Poste 6]])</f>
        <v>0</v>
      </c>
      <c r="R1698" s="71"/>
      <c r="S1698" s="68">
        <f>_xlfn.CEILING.MATH(Devis[[#This Row],[Quantité Totale]],Devis[[#This Row],[Conditionnement]])</f>
        <v>0</v>
      </c>
      <c r="T1698" s="72"/>
      <c r="U1698" s="73"/>
      <c r="V1698" s="74">
        <f>Devis[[#This Row],[Prix de Revient]]*Devis[[#This Row],[Poste 1]]</f>
        <v>0</v>
      </c>
      <c r="W1698" s="74">
        <f>Devis[[#This Row],[Prix de Revient]]*Devis[[#This Row],[Poste 2]]</f>
        <v>0</v>
      </c>
      <c r="X1698" s="74">
        <f>Devis[[#This Row],[Prix de Revient]]*Devis[[#This Row],[Poste 3]]</f>
        <v>0</v>
      </c>
      <c r="Y1698" s="74">
        <f>Devis[[#This Row],[Poste 4]]*Devis[[#This Row],[Prix de Revient]]</f>
        <v>0</v>
      </c>
      <c r="Z1698" s="74">
        <f>Devis[[#This Row],[Poste 5]]*Devis[[#This Row],[Prix de Revient]]</f>
        <v>0</v>
      </c>
      <c r="AA1698" s="74">
        <f>Devis[[#This Row],[Prix de Revient]]*Devis[[#This Row],[Poste 6]]</f>
        <v>0</v>
      </c>
      <c r="AB1698" s="74">
        <f>Devis[[#This Row],[Quantité Totale]]*Devis[[#This Row],[Prix de Revient]]</f>
        <v>0</v>
      </c>
    </row>
    <row r="1699" spans="1:28" ht="14.25" outlineLevel="1" x14ac:dyDescent="0.2">
      <c r="A1699" s="75" t="s">
        <v>1378</v>
      </c>
      <c r="B1699" s="76" t="s">
        <v>1438</v>
      </c>
      <c r="C1699" s="71" t="s">
        <v>3623</v>
      </c>
      <c r="D1699" s="81" t="str">
        <f t="shared" si="30"/>
        <v>Inox Serti CoréenCourbe mixte FMØ42</v>
      </c>
      <c r="E1699" s="76" t="s">
        <v>1430</v>
      </c>
      <c r="F1699" s="81">
        <v>5</v>
      </c>
      <c r="G1699" s="71" t="s">
        <v>1443</v>
      </c>
      <c r="H1699" s="71"/>
      <c r="I1699" s="71"/>
      <c r="J1699" s="70">
        <f>IFERROR(VLOOKUP(Devis[[#This Row],[Ref Air Flux]],#REF!,3,FALSE),0)</f>
        <v>0</v>
      </c>
      <c r="K1699" s="68"/>
      <c r="L1699" s="68"/>
      <c r="M1699" s="68"/>
      <c r="N1699" s="68"/>
      <c r="O1699" s="68"/>
      <c r="P1699" s="68"/>
      <c r="Q1699" s="68">
        <f>SUM(Devis[[#This Row],[Poste 1]:[Poste 6]])</f>
        <v>0</v>
      </c>
      <c r="R1699" s="71"/>
      <c r="S1699" s="68">
        <f>_xlfn.CEILING.MATH(Devis[[#This Row],[Quantité Totale]],Devis[[#This Row],[Conditionnement]])</f>
        <v>0</v>
      </c>
      <c r="T1699" s="72"/>
      <c r="U1699" s="73"/>
      <c r="V1699" s="74">
        <f>Devis[[#This Row],[Prix de Revient]]*Devis[[#This Row],[Poste 1]]</f>
        <v>0</v>
      </c>
      <c r="W1699" s="74">
        <f>Devis[[#This Row],[Prix de Revient]]*Devis[[#This Row],[Poste 2]]</f>
        <v>0</v>
      </c>
      <c r="X1699" s="74">
        <f>Devis[[#This Row],[Prix de Revient]]*Devis[[#This Row],[Poste 3]]</f>
        <v>0</v>
      </c>
      <c r="Y1699" s="74">
        <f>Devis[[#This Row],[Poste 4]]*Devis[[#This Row],[Prix de Revient]]</f>
        <v>0</v>
      </c>
      <c r="Z1699" s="74">
        <f>Devis[[#This Row],[Poste 5]]*Devis[[#This Row],[Prix de Revient]]</f>
        <v>0</v>
      </c>
      <c r="AA1699" s="74">
        <f>Devis[[#This Row],[Prix de Revient]]*Devis[[#This Row],[Poste 6]]</f>
        <v>0</v>
      </c>
      <c r="AB1699" s="74">
        <f>Devis[[#This Row],[Quantité Totale]]*Devis[[#This Row],[Prix de Revient]]</f>
        <v>0</v>
      </c>
    </row>
    <row r="1700" spans="1:28" ht="14.25" outlineLevel="1" x14ac:dyDescent="0.2">
      <c r="A1700" s="75" t="s">
        <v>1378</v>
      </c>
      <c r="B1700" s="76" t="s">
        <v>1438</v>
      </c>
      <c r="C1700" s="71" t="s">
        <v>3624</v>
      </c>
      <c r="D1700" s="81" t="str">
        <f t="shared" si="30"/>
        <v>Inox Serti CoréenCourbe mixte FMØ48</v>
      </c>
      <c r="E1700" s="76" t="s">
        <v>1432</v>
      </c>
      <c r="F1700" s="81">
        <v>6</v>
      </c>
      <c r="G1700" s="71" t="s">
        <v>1444</v>
      </c>
      <c r="H1700" s="71"/>
      <c r="I1700" s="71"/>
      <c r="J1700" s="70">
        <f>IFERROR(VLOOKUP(Devis[[#This Row],[Ref Air Flux]],#REF!,3,FALSE),0)</f>
        <v>0</v>
      </c>
      <c r="K1700" s="68"/>
      <c r="L1700" s="68"/>
      <c r="M1700" s="68"/>
      <c r="N1700" s="68"/>
      <c r="O1700" s="68"/>
      <c r="P1700" s="68"/>
      <c r="Q1700" s="68">
        <f>SUM(Devis[[#This Row],[Poste 1]:[Poste 6]])</f>
        <v>0</v>
      </c>
      <c r="R1700" s="71"/>
      <c r="S1700" s="68">
        <f>_xlfn.CEILING.MATH(Devis[[#This Row],[Quantité Totale]],Devis[[#This Row],[Conditionnement]])</f>
        <v>0</v>
      </c>
      <c r="T1700" s="72"/>
      <c r="U1700" s="73"/>
      <c r="V1700" s="74">
        <f>Devis[[#This Row],[Prix de Revient]]*Devis[[#This Row],[Poste 1]]</f>
        <v>0</v>
      </c>
      <c r="W1700" s="74">
        <f>Devis[[#This Row],[Prix de Revient]]*Devis[[#This Row],[Poste 2]]</f>
        <v>0</v>
      </c>
      <c r="X1700" s="74">
        <f>Devis[[#This Row],[Prix de Revient]]*Devis[[#This Row],[Poste 3]]</f>
        <v>0</v>
      </c>
      <c r="Y1700" s="74">
        <f>Devis[[#This Row],[Poste 4]]*Devis[[#This Row],[Prix de Revient]]</f>
        <v>0</v>
      </c>
      <c r="Z1700" s="74">
        <f>Devis[[#This Row],[Poste 5]]*Devis[[#This Row],[Prix de Revient]]</f>
        <v>0</v>
      </c>
      <c r="AA1700" s="74">
        <f>Devis[[#This Row],[Prix de Revient]]*Devis[[#This Row],[Poste 6]]</f>
        <v>0</v>
      </c>
      <c r="AB1700" s="74">
        <f>Devis[[#This Row],[Quantité Totale]]*Devis[[#This Row],[Prix de Revient]]</f>
        <v>0</v>
      </c>
    </row>
    <row r="1701" spans="1:28" ht="15" customHeight="1" outlineLevel="1" x14ac:dyDescent="0.2">
      <c r="A1701" s="75" t="s">
        <v>1378</v>
      </c>
      <c r="B1701" s="76" t="s">
        <v>1438</v>
      </c>
      <c r="C1701" s="71" t="s">
        <v>3626</v>
      </c>
      <c r="D1701" s="81" t="str">
        <f t="shared" si="30"/>
        <v>Inox Serti CoréenCourbe mixte FMØ60</v>
      </c>
      <c r="E1701" s="76" t="s">
        <v>1434</v>
      </c>
      <c r="F1701" s="81">
        <v>7</v>
      </c>
      <c r="G1701" s="71" t="s">
        <v>1445</v>
      </c>
      <c r="H1701" s="71"/>
      <c r="I1701" s="71"/>
      <c r="J1701" s="70">
        <f>IFERROR(VLOOKUP(Devis[[#This Row],[Ref Air Flux]],#REF!,3,FALSE),0)</f>
        <v>0</v>
      </c>
      <c r="K1701" s="68"/>
      <c r="L1701" s="68"/>
      <c r="M1701" s="68"/>
      <c r="N1701" s="68"/>
      <c r="O1701" s="68"/>
      <c r="P1701" s="68"/>
      <c r="Q1701" s="68">
        <f>SUM(Devis[[#This Row],[Poste 1]:[Poste 6]])</f>
        <v>0</v>
      </c>
      <c r="R1701" s="71"/>
      <c r="S1701" s="68">
        <f>_xlfn.CEILING.MATH(Devis[[#This Row],[Quantité Totale]],Devis[[#This Row],[Conditionnement]])</f>
        <v>0</v>
      </c>
      <c r="T1701" s="72"/>
      <c r="U1701" s="73"/>
      <c r="V1701" s="74">
        <f>Devis[[#This Row],[Prix de Revient]]*Devis[[#This Row],[Poste 1]]</f>
        <v>0</v>
      </c>
      <c r="W1701" s="74">
        <f>Devis[[#This Row],[Prix de Revient]]*Devis[[#This Row],[Poste 2]]</f>
        <v>0</v>
      </c>
      <c r="X1701" s="74">
        <f>Devis[[#This Row],[Prix de Revient]]*Devis[[#This Row],[Poste 3]]</f>
        <v>0</v>
      </c>
      <c r="Y1701" s="74">
        <f>Devis[[#This Row],[Poste 4]]*Devis[[#This Row],[Prix de Revient]]</f>
        <v>0</v>
      </c>
      <c r="Z1701" s="74">
        <f>Devis[[#This Row],[Poste 5]]*Devis[[#This Row],[Prix de Revient]]</f>
        <v>0</v>
      </c>
      <c r="AA1701" s="74">
        <f>Devis[[#This Row],[Prix de Revient]]*Devis[[#This Row],[Poste 6]]</f>
        <v>0</v>
      </c>
      <c r="AB1701" s="74">
        <f>Devis[[#This Row],[Quantité Totale]]*Devis[[#This Row],[Prix de Revient]]</f>
        <v>0</v>
      </c>
    </row>
    <row r="1702" spans="1:28" ht="14.25" outlineLevel="1" x14ac:dyDescent="0.2">
      <c r="A1702" s="75" t="s">
        <v>1378</v>
      </c>
      <c r="B1702" s="76" t="s">
        <v>1438</v>
      </c>
      <c r="C1702" s="71" t="s">
        <v>3626</v>
      </c>
      <c r="D1702" s="81" t="str">
        <f t="shared" si="30"/>
        <v>Inox Serti CoréenCourbe mixte FMØ60</v>
      </c>
      <c r="E1702" s="76" t="s">
        <v>1446</v>
      </c>
      <c r="F1702" s="81">
        <v>8</v>
      </c>
      <c r="G1702" s="71" t="s">
        <v>1447</v>
      </c>
      <c r="H1702" s="71"/>
      <c r="I1702" s="71"/>
      <c r="J1702" s="70">
        <f>IFERROR(VLOOKUP(Devis[[#This Row],[Ref Air Flux]],#REF!,3,FALSE),0)</f>
        <v>0</v>
      </c>
      <c r="K1702" s="68"/>
      <c r="L1702" s="68"/>
      <c r="M1702" s="68"/>
      <c r="N1702" s="68"/>
      <c r="O1702" s="68"/>
      <c r="P1702" s="68"/>
      <c r="Q1702" s="68">
        <f>SUM(Devis[[#This Row],[Poste 1]:[Poste 6]])</f>
        <v>0</v>
      </c>
      <c r="R1702" s="71"/>
      <c r="S1702" s="68">
        <f>_xlfn.CEILING.MATH(Devis[[#This Row],[Quantité Totale]],Devis[[#This Row],[Conditionnement]])</f>
        <v>0</v>
      </c>
      <c r="T1702" s="72"/>
      <c r="U1702" s="73"/>
      <c r="V1702" s="74">
        <f>Devis[[#This Row],[Prix de Revient]]*Devis[[#This Row],[Poste 1]]</f>
        <v>0</v>
      </c>
      <c r="W1702" s="74">
        <f>Devis[[#This Row],[Prix de Revient]]*Devis[[#This Row],[Poste 2]]</f>
        <v>0</v>
      </c>
      <c r="X1702" s="74">
        <f>Devis[[#This Row],[Prix de Revient]]*Devis[[#This Row],[Poste 3]]</f>
        <v>0</v>
      </c>
      <c r="Y1702" s="74">
        <f>Devis[[#This Row],[Poste 4]]*Devis[[#This Row],[Prix de Revient]]</f>
        <v>0</v>
      </c>
      <c r="Z1702" s="74">
        <f>Devis[[#This Row],[Poste 5]]*Devis[[#This Row],[Prix de Revient]]</f>
        <v>0</v>
      </c>
      <c r="AA1702" s="74">
        <f>Devis[[#This Row],[Prix de Revient]]*Devis[[#This Row],[Poste 6]]</f>
        <v>0</v>
      </c>
      <c r="AB1702" s="74">
        <f>Devis[[#This Row],[Quantité Totale]]*Devis[[#This Row],[Prix de Revient]]</f>
        <v>0</v>
      </c>
    </row>
    <row r="1703" spans="1:28" ht="14.25" customHeight="1" x14ac:dyDescent="0.25">
      <c r="A1703" s="65" t="s">
        <v>1378</v>
      </c>
      <c r="B1703" s="65" t="s">
        <v>1456</v>
      </c>
      <c r="C1703" s="71"/>
      <c r="D1703" s="81" t="str">
        <f t="shared" si="30"/>
        <v>Inox Serti CoréenEmbout fileté M 3 pieces</v>
      </c>
      <c r="E1703" s="76"/>
      <c r="F1703" s="81">
        <v>0</v>
      </c>
      <c r="G1703" s="71"/>
      <c r="H1703" s="71"/>
      <c r="I1703" s="71"/>
      <c r="J1703" s="70">
        <f>IFERROR(VLOOKUP(Devis[[#This Row],[Ref Air Flux]],#REF!,3,FALSE),0)</f>
        <v>0</v>
      </c>
      <c r="K1703" s="68"/>
      <c r="L1703" s="68"/>
      <c r="M1703" s="68"/>
      <c r="N1703" s="68"/>
      <c r="O1703" s="68"/>
      <c r="P1703" s="68"/>
      <c r="Q1703" s="68">
        <f>SUM(Devis[[#This Row],[Poste 1]:[Poste 6]])</f>
        <v>0</v>
      </c>
      <c r="R1703" s="71"/>
      <c r="S1703" s="68">
        <f>_xlfn.CEILING.MATH(Devis[[#This Row],[Quantité Totale]],Devis[[#This Row],[Conditionnement]])</f>
        <v>0</v>
      </c>
      <c r="T1703" s="72"/>
      <c r="U1703" s="73"/>
      <c r="V1703" s="74">
        <f>Devis[[#This Row],[Prix de Revient]]*Devis[[#This Row],[Poste 1]]</f>
        <v>0</v>
      </c>
      <c r="W1703" s="74">
        <f>Devis[[#This Row],[Prix de Revient]]*Devis[[#This Row],[Poste 2]]</f>
        <v>0</v>
      </c>
      <c r="X1703" s="74">
        <f>Devis[[#This Row],[Prix de Revient]]*Devis[[#This Row],[Poste 3]]</f>
        <v>0</v>
      </c>
      <c r="Y1703" s="74">
        <f>Devis[[#This Row],[Poste 4]]*Devis[[#This Row],[Prix de Revient]]</f>
        <v>0</v>
      </c>
      <c r="Z1703" s="74">
        <f>Devis[[#This Row],[Poste 5]]*Devis[[#This Row],[Prix de Revient]]</f>
        <v>0</v>
      </c>
      <c r="AA1703" s="74">
        <f>Devis[[#This Row],[Prix de Revient]]*Devis[[#This Row],[Poste 6]]</f>
        <v>0</v>
      </c>
      <c r="AB1703" s="74">
        <f>Devis[[#This Row],[Quantité Totale]]*Devis[[#This Row],[Prix de Revient]]</f>
        <v>0</v>
      </c>
    </row>
    <row r="1704" spans="1:28" ht="14.25" outlineLevel="1" x14ac:dyDescent="0.2">
      <c r="A1704" s="75" t="s">
        <v>1378</v>
      </c>
      <c r="B1704" s="76" t="s">
        <v>1456</v>
      </c>
      <c r="C1704" s="71" t="s">
        <v>4713</v>
      </c>
      <c r="D1704" s="81" t="str">
        <f t="shared" si="30"/>
        <v>Inox Serti CoréenEmbout fileté M 3 piecesØ16</v>
      </c>
      <c r="E1704" s="110">
        <v>16.5</v>
      </c>
      <c r="F1704" s="81">
        <v>1</v>
      </c>
      <c r="G1704" s="71" t="s">
        <v>1457</v>
      </c>
      <c r="H1704" s="71"/>
      <c r="I1704" s="71"/>
      <c r="J1704" s="70">
        <f>IFERROR(VLOOKUP(Devis[[#This Row],[Ref Air Flux]],#REF!,3,FALSE),0)</f>
        <v>0</v>
      </c>
      <c r="K1704" s="68"/>
      <c r="L1704" s="68"/>
      <c r="M1704" s="68"/>
      <c r="N1704" s="68"/>
      <c r="O1704" s="68"/>
      <c r="P1704" s="68"/>
      <c r="Q1704" s="68">
        <f>SUM(Devis[[#This Row],[Poste 1]:[Poste 6]])</f>
        <v>0</v>
      </c>
      <c r="R1704" s="71"/>
      <c r="S1704" s="68">
        <f>_xlfn.CEILING.MATH(Devis[[#This Row],[Quantité Totale]],Devis[[#This Row],[Conditionnement]])</f>
        <v>0</v>
      </c>
      <c r="T1704" s="72"/>
      <c r="U1704" s="73"/>
      <c r="V1704" s="74">
        <f>Devis[[#This Row],[Prix de Revient]]*Devis[[#This Row],[Poste 1]]</f>
        <v>0</v>
      </c>
      <c r="W1704" s="74">
        <f>Devis[[#This Row],[Prix de Revient]]*Devis[[#This Row],[Poste 2]]</f>
        <v>0</v>
      </c>
      <c r="X1704" s="74">
        <f>Devis[[#This Row],[Prix de Revient]]*Devis[[#This Row],[Poste 3]]</f>
        <v>0</v>
      </c>
      <c r="Y1704" s="74">
        <f>Devis[[#This Row],[Poste 4]]*Devis[[#This Row],[Prix de Revient]]</f>
        <v>0</v>
      </c>
      <c r="Z1704" s="74">
        <f>Devis[[#This Row],[Poste 5]]*Devis[[#This Row],[Prix de Revient]]</f>
        <v>0</v>
      </c>
      <c r="AA1704" s="74">
        <f>Devis[[#This Row],[Prix de Revient]]*Devis[[#This Row],[Poste 6]]</f>
        <v>0</v>
      </c>
      <c r="AB1704" s="74">
        <f>Devis[[#This Row],[Quantité Totale]]*Devis[[#This Row],[Prix de Revient]]</f>
        <v>0</v>
      </c>
    </row>
    <row r="1705" spans="1:28" ht="14.25" outlineLevel="1" x14ac:dyDescent="0.2">
      <c r="A1705" s="75" t="s">
        <v>1378</v>
      </c>
      <c r="B1705" s="76" t="s">
        <v>1456</v>
      </c>
      <c r="C1705" s="71" t="s">
        <v>3620</v>
      </c>
      <c r="D1705" s="81" t="str">
        <f t="shared" si="30"/>
        <v>Inox Serti CoréenEmbout fileté M 3 piecesØ22</v>
      </c>
      <c r="E1705" s="110">
        <v>22.75</v>
      </c>
      <c r="F1705" s="81">
        <v>2</v>
      </c>
      <c r="G1705" s="71" t="s">
        <v>1458</v>
      </c>
      <c r="H1705" s="71"/>
      <c r="I1705" s="71"/>
      <c r="J1705" s="70">
        <f>IFERROR(VLOOKUP(Devis[[#This Row],[Ref Air Flux]],#REF!,3,FALSE),0)</f>
        <v>0</v>
      </c>
      <c r="K1705" s="68"/>
      <c r="L1705" s="68"/>
      <c r="M1705" s="68"/>
      <c r="N1705" s="68"/>
      <c r="O1705" s="68"/>
      <c r="P1705" s="68"/>
      <c r="Q1705" s="68">
        <f>SUM(Devis[[#This Row],[Poste 1]:[Poste 6]])</f>
        <v>0</v>
      </c>
      <c r="R1705" s="71"/>
      <c r="S1705" s="68">
        <f>_xlfn.CEILING.MATH(Devis[[#This Row],[Quantité Totale]],Devis[[#This Row],[Conditionnement]])</f>
        <v>0</v>
      </c>
      <c r="T1705" s="72"/>
      <c r="U1705" s="73"/>
      <c r="V1705" s="74">
        <f>Devis[[#This Row],[Prix de Revient]]*Devis[[#This Row],[Poste 1]]</f>
        <v>0</v>
      </c>
      <c r="W1705" s="74">
        <f>Devis[[#This Row],[Prix de Revient]]*Devis[[#This Row],[Poste 2]]</f>
        <v>0</v>
      </c>
      <c r="X1705" s="74">
        <f>Devis[[#This Row],[Prix de Revient]]*Devis[[#This Row],[Poste 3]]</f>
        <v>0</v>
      </c>
      <c r="Y1705" s="74">
        <f>Devis[[#This Row],[Poste 4]]*Devis[[#This Row],[Prix de Revient]]</f>
        <v>0</v>
      </c>
      <c r="Z1705" s="74">
        <f>Devis[[#This Row],[Poste 5]]*Devis[[#This Row],[Prix de Revient]]</f>
        <v>0</v>
      </c>
      <c r="AA1705" s="74">
        <f>Devis[[#This Row],[Prix de Revient]]*Devis[[#This Row],[Poste 6]]</f>
        <v>0</v>
      </c>
      <c r="AB1705" s="74">
        <f>Devis[[#This Row],[Quantité Totale]]*Devis[[#This Row],[Prix de Revient]]</f>
        <v>0</v>
      </c>
    </row>
    <row r="1706" spans="1:28" ht="14.25" outlineLevel="1" x14ac:dyDescent="0.2">
      <c r="A1706" s="75" t="s">
        <v>1378</v>
      </c>
      <c r="B1706" s="76" t="s">
        <v>1456</v>
      </c>
      <c r="C1706" s="71" t="s">
        <v>3621</v>
      </c>
      <c r="D1706" s="81" t="str">
        <f t="shared" si="30"/>
        <v>Inox Serti CoréenEmbout fileté M 3 piecesØ28</v>
      </c>
      <c r="E1706" s="76" t="s">
        <v>1423</v>
      </c>
      <c r="F1706" s="81">
        <v>3</v>
      </c>
      <c r="G1706" s="71" t="s">
        <v>1459</v>
      </c>
      <c r="H1706" s="71"/>
      <c r="I1706" s="71"/>
      <c r="J1706" s="70">
        <f>IFERROR(VLOOKUP(Devis[[#This Row],[Ref Air Flux]],#REF!,3,FALSE),0)</f>
        <v>0</v>
      </c>
      <c r="K1706" s="68"/>
      <c r="L1706" s="68"/>
      <c r="M1706" s="68"/>
      <c r="N1706" s="68"/>
      <c r="O1706" s="68"/>
      <c r="P1706" s="68"/>
      <c r="Q1706" s="68">
        <f>SUM(Devis[[#This Row],[Poste 1]:[Poste 6]])</f>
        <v>0</v>
      </c>
      <c r="R1706" s="71"/>
      <c r="S1706" s="68">
        <f>_xlfn.CEILING.MATH(Devis[[#This Row],[Quantité Totale]],Devis[[#This Row],[Conditionnement]])</f>
        <v>0</v>
      </c>
      <c r="T1706" s="72"/>
      <c r="U1706" s="73"/>
      <c r="V1706" s="74">
        <f>Devis[[#This Row],[Prix de Revient]]*Devis[[#This Row],[Poste 1]]</f>
        <v>0</v>
      </c>
      <c r="W1706" s="74">
        <f>Devis[[#This Row],[Prix de Revient]]*Devis[[#This Row],[Poste 2]]</f>
        <v>0</v>
      </c>
      <c r="X1706" s="74">
        <f>Devis[[#This Row],[Prix de Revient]]*Devis[[#This Row],[Poste 3]]</f>
        <v>0</v>
      </c>
      <c r="Y1706" s="74">
        <f>Devis[[#This Row],[Poste 4]]*Devis[[#This Row],[Prix de Revient]]</f>
        <v>0</v>
      </c>
      <c r="Z1706" s="74">
        <f>Devis[[#This Row],[Poste 5]]*Devis[[#This Row],[Prix de Revient]]</f>
        <v>0</v>
      </c>
      <c r="AA1706" s="74">
        <f>Devis[[#This Row],[Prix de Revient]]*Devis[[#This Row],[Poste 6]]</f>
        <v>0</v>
      </c>
      <c r="AB1706" s="74">
        <f>Devis[[#This Row],[Quantité Totale]]*Devis[[#This Row],[Prix de Revient]]</f>
        <v>0</v>
      </c>
    </row>
    <row r="1707" spans="1:28" ht="14.25" outlineLevel="1" x14ac:dyDescent="0.2">
      <c r="A1707" s="75" t="s">
        <v>1378</v>
      </c>
      <c r="B1707" s="76" t="s">
        <v>1456</v>
      </c>
      <c r="C1707" s="71" t="s">
        <v>3622</v>
      </c>
      <c r="D1707" s="81" t="str">
        <f t="shared" si="30"/>
        <v>Inox Serti CoréenEmbout fileté M 3 piecesØ34</v>
      </c>
      <c r="E1707" s="76" t="s">
        <v>1428</v>
      </c>
      <c r="F1707" s="81">
        <v>4</v>
      </c>
      <c r="G1707" s="71" t="s">
        <v>1460</v>
      </c>
      <c r="H1707" s="71"/>
      <c r="I1707" s="71"/>
      <c r="J1707" s="70">
        <f>IFERROR(VLOOKUP(Devis[[#This Row],[Ref Air Flux]],#REF!,3,FALSE),0)</f>
        <v>0</v>
      </c>
      <c r="K1707" s="68"/>
      <c r="L1707" s="68"/>
      <c r="M1707" s="68"/>
      <c r="N1707" s="68"/>
      <c r="O1707" s="68"/>
      <c r="P1707" s="68"/>
      <c r="Q1707" s="68">
        <f>SUM(Devis[[#This Row],[Poste 1]:[Poste 6]])</f>
        <v>0</v>
      </c>
      <c r="R1707" s="71"/>
      <c r="S1707" s="68">
        <f>_xlfn.CEILING.MATH(Devis[[#This Row],[Quantité Totale]],Devis[[#This Row],[Conditionnement]])</f>
        <v>0</v>
      </c>
      <c r="T1707" s="72"/>
      <c r="U1707" s="73"/>
      <c r="V1707" s="74">
        <f>Devis[[#This Row],[Prix de Revient]]*Devis[[#This Row],[Poste 1]]</f>
        <v>0</v>
      </c>
      <c r="W1707" s="74">
        <f>Devis[[#This Row],[Prix de Revient]]*Devis[[#This Row],[Poste 2]]</f>
        <v>0</v>
      </c>
      <c r="X1707" s="74">
        <f>Devis[[#This Row],[Prix de Revient]]*Devis[[#This Row],[Poste 3]]</f>
        <v>0</v>
      </c>
      <c r="Y1707" s="74">
        <f>Devis[[#This Row],[Poste 4]]*Devis[[#This Row],[Prix de Revient]]</f>
        <v>0</v>
      </c>
      <c r="Z1707" s="74">
        <f>Devis[[#This Row],[Poste 5]]*Devis[[#This Row],[Prix de Revient]]</f>
        <v>0</v>
      </c>
      <c r="AA1707" s="74">
        <f>Devis[[#This Row],[Prix de Revient]]*Devis[[#This Row],[Poste 6]]</f>
        <v>0</v>
      </c>
      <c r="AB1707" s="74">
        <f>Devis[[#This Row],[Quantité Totale]]*Devis[[#This Row],[Prix de Revient]]</f>
        <v>0</v>
      </c>
    </row>
    <row r="1708" spans="1:28" ht="14.25" outlineLevel="1" x14ac:dyDescent="0.2">
      <c r="A1708" s="75" t="s">
        <v>1378</v>
      </c>
      <c r="B1708" s="76" t="s">
        <v>1456</v>
      </c>
      <c r="C1708" s="71" t="s">
        <v>3623</v>
      </c>
      <c r="D1708" s="81" t="str">
        <f t="shared" si="30"/>
        <v>Inox Serti CoréenEmbout fileté M 3 piecesØ42</v>
      </c>
      <c r="E1708" s="76" t="s">
        <v>1430</v>
      </c>
      <c r="F1708" s="81">
        <v>5</v>
      </c>
      <c r="G1708" s="71" t="s">
        <v>1461</v>
      </c>
      <c r="H1708" s="71"/>
      <c r="I1708" s="71"/>
      <c r="J1708" s="70">
        <f>IFERROR(VLOOKUP(Devis[[#This Row],[Ref Air Flux]],#REF!,3,FALSE),0)</f>
        <v>0</v>
      </c>
      <c r="K1708" s="68"/>
      <c r="L1708" s="68"/>
      <c r="M1708" s="68"/>
      <c r="N1708" s="68"/>
      <c r="O1708" s="68"/>
      <c r="P1708" s="68"/>
      <c r="Q1708" s="68">
        <f>SUM(Devis[[#This Row],[Poste 1]:[Poste 6]])</f>
        <v>0</v>
      </c>
      <c r="R1708" s="71"/>
      <c r="S1708" s="68">
        <f>_xlfn.CEILING.MATH(Devis[[#This Row],[Quantité Totale]],Devis[[#This Row],[Conditionnement]])</f>
        <v>0</v>
      </c>
      <c r="T1708" s="72"/>
      <c r="U1708" s="73"/>
      <c r="V1708" s="74">
        <f>Devis[[#This Row],[Prix de Revient]]*Devis[[#This Row],[Poste 1]]</f>
        <v>0</v>
      </c>
      <c r="W1708" s="74">
        <f>Devis[[#This Row],[Prix de Revient]]*Devis[[#This Row],[Poste 2]]</f>
        <v>0</v>
      </c>
      <c r="X1708" s="74">
        <f>Devis[[#This Row],[Prix de Revient]]*Devis[[#This Row],[Poste 3]]</f>
        <v>0</v>
      </c>
      <c r="Y1708" s="74">
        <f>Devis[[#This Row],[Poste 4]]*Devis[[#This Row],[Prix de Revient]]</f>
        <v>0</v>
      </c>
      <c r="Z1708" s="74">
        <f>Devis[[#This Row],[Poste 5]]*Devis[[#This Row],[Prix de Revient]]</f>
        <v>0</v>
      </c>
      <c r="AA1708" s="74">
        <f>Devis[[#This Row],[Prix de Revient]]*Devis[[#This Row],[Poste 6]]</f>
        <v>0</v>
      </c>
      <c r="AB1708" s="74">
        <f>Devis[[#This Row],[Quantité Totale]]*Devis[[#This Row],[Prix de Revient]]</f>
        <v>0</v>
      </c>
    </row>
    <row r="1709" spans="1:28" ht="14.25" outlineLevel="1" x14ac:dyDescent="0.2">
      <c r="A1709" s="75" t="s">
        <v>1378</v>
      </c>
      <c r="B1709" s="76" t="s">
        <v>1456</v>
      </c>
      <c r="C1709" s="71" t="s">
        <v>3624</v>
      </c>
      <c r="D1709" s="81" t="str">
        <f t="shared" si="30"/>
        <v>Inox Serti CoréenEmbout fileté M 3 piecesØ48</v>
      </c>
      <c r="E1709" s="76" t="s">
        <v>1432</v>
      </c>
      <c r="F1709" s="81">
        <v>6</v>
      </c>
      <c r="G1709" s="71" t="s">
        <v>1462</v>
      </c>
      <c r="H1709" s="71"/>
      <c r="I1709" s="71"/>
      <c r="J1709" s="70">
        <f>IFERROR(VLOOKUP(Devis[[#This Row],[Ref Air Flux]],#REF!,3,FALSE),0)</f>
        <v>0</v>
      </c>
      <c r="K1709" s="68"/>
      <c r="L1709" s="68"/>
      <c r="M1709" s="68"/>
      <c r="N1709" s="68"/>
      <c r="O1709" s="68"/>
      <c r="P1709" s="68"/>
      <c r="Q1709" s="68">
        <f>SUM(Devis[[#This Row],[Poste 1]:[Poste 6]])</f>
        <v>0</v>
      </c>
      <c r="R1709" s="71"/>
      <c r="S1709" s="68">
        <f>_xlfn.CEILING.MATH(Devis[[#This Row],[Quantité Totale]],Devis[[#This Row],[Conditionnement]])</f>
        <v>0</v>
      </c>
      <c r="T1709" s="72"/>
      <c r="U1709" s="73"/>
      <c r="V1709" s="74">
        <f>Devis[[#This Row],[Prix de Revient]]*Devis[[#This Row],[Poste 1]]</f>
        <v>0</v>
      </c>
      <c r="W1709" s="74">
        <f>Devis[[#This Row],[Prix de Revient]]*Devis[[#This Row],[Poste 2]]</f>
        <v>0</v>
      </c>
      <c r="X1709" s="74">
        <f>Devis[[#This Row],[Prix de Revient]]*Devis[[#This Row],[Poste 3]]</f>
        <v>0</v>
      </c>
      <c r="Y1709" s="74">
        <f>Devis[[#This Row],[Poste 4]]*Devis[[#This Row],[Prix de Revient]]</f>
        <v>0</v>
      </c>
      <c r="Z1709" s="74">
        <f>Devis[[#This Row],[Poste 5]]*Devis[[#This Row],[Prix de Revient]]</f>
        <v>0</v>
      </c>
      <c r="AA1709" s="74">
        <f>Devis[[#This Row],[Prix de Revient]]*Devis[[#This Row],[Poste 6]]</f>
        <v>0</v>
      </c>
      <c r="AB1709" s="74">
        <f>Devis[[#This Row],[Quantité Totale]]*Devis[[#This Row],[Prix de Revient]]</f>
        <v>0</v>
      </c>
    </row>
    <row r="1710" spans="1:28" ht="15" customHeight="1" outlineLevel="1" x14ac:dyDescent="0.2">
      <c r="A1710" s="75" t="s">
        <v>1378</v>
      </c>
      <c r="B1710" s="76" t="s">
        <v>1456</v>
      </c>
      <c r="C1710" s="71" t="s">
        <v>3626</v>
      </c>
      <c r="D1710" s="81" t="str">
        <f t="shared" si="30"/>
        <v>Inox Serti CoréenEmbout fileté M 3 piecesØ60</v>
      </c>
      <c r="E1710" s="76" t="s">
        <v>1434</v>
      </c>
      <c r="F1710" s="81">
        <v>7</v>
      </c>
      <c r="G1710" s="71" t="s">
        <v>1463</v>
      </c>
      <c r="H1710" s="71"/>
      <c r="I1710" s="71"/>
      <c r="J1710" s="70">
        <f>IFERROR(VLOOKUP(Devis[[#This Row],[Ref Air Flux]],#REF!,3,FALSE),0)</f>
        <v>0</v>
      </c>
      <c r="K1710" s="68"/>
      <c r="L1710" s="68"/>
      <c r="M1710" s="68"/>
      <c r="N1710" s="68"/>
      <c r="O1710" s="68"/>
      <c r="P1710" s="68"/>
      <c r="Q1710" s="68">
        <f>SUM(Devis[[#This Row],[Poste 1]:[Poste 6]])</f>
        <v>0</v>
      </c>
      <c r="R1710" s="71"/>
      <c r="S1710" s="68">
        <f>_xlfn.CEILING.MATH(Devis[[#This Row],[Quantité Totale]],Devis[[#This Row],[Conditionnement]])</f>
        <v>0</v>
      </c>
      <c r="T1710" s="72"/>
      <c r="U1710" s="73"/>
      <c r="V1710" s="74">
        <f>Devis[[#This Row],[Prix de Revient]]*Devis[[#This Row],[Poste 1]]</f>
        <v>0</v>
      </c>
      <c r="W1710" s="74">
        <f>Devis[[#This Row],[Prix de Revient]]*Devis[[#This Row],[Poste 2]]</f>
        <v>0</v>
      </c>
      <c r="X1710" s="74">
        <f>Devis[[#This Row],[Prix de Revient]]*Devis[[#This Row],[Poste 3]]</f>
        <v>0</v>
      </c>
      <c r="Y1710" s="74">
        <f>Devis[[#This Row],[Poste 4]]*Devis[[#This Row],[Prix de Revient]]</f>
        <v>0</v>
      </c>
      <c r="Z1710" s="74">
        <f>Devis[[#This Row],[Poste 5]]*Devis[[#This Row],[Prix de Revient]]</f>
        <v>0</v>
      </c>
      <c r="AA1710" s="74">
        <f>Devis[[#This Row],[Prix de Revient]]*Devis[[#This Row],[Poste 6]]</f>
        <v>0</v>
      </c>
      <c r="AB1710" s="74">
        <f>Devis[[#This Row],[Quantité Totale]]*Devis[[#This Row],[Prix de Revient]]</f>
        <v>0</v>
      </c>
    </row>
    <row r="1711" spans="1:28" ht="14.25" customHeight="1" x14ac:dyDescent="0.25">
      <c r="A1711" s="65" t="s">
        <v>1378</v>
      </c>
      <c r="B1711" s="65" t="s">
        <v>4719</v>
      </c>
      <c r="C1711" s="71"/>
      <c r="D1711" s="81" t="str">
        <f t="shared" si="30"/>
        <v>Inox Serti CoréenMANCHON COURT</v>
      </c>
      <c r="E1711" s="76"/>
      <c r="F1711" s="81">
        <v>0</v>
      </c>
      <c r="G1711" s="71"/>
      <c r="H1711" s="71"/>
      <c r="I1711" s="71"/>
      <c r="J1711" s="70">
        <f>IFERROR(VLOOKUP(Devis[[#This Row],[Ref Air Flux]],#REF!,3,FALSE),0)</f>
        <v>0</v>
      </c>
      <c r="K1711" s="68"/>
      <c r="L1711" s="68"/>
      <c r="M1711" s="68"/>
      <c r="N1711" s="68"/>
      <c r="O1711" s="68"/>
      <c r="P1711" s="68"/>
      <c r="Q1711" s="68">
        <f>SUM(Devis[[#This Row],[Poste 1]:[Poste 6]])</f>
        <v>0</v>
      </c>
      <c r="R1711" s="71"/>
      <c r="S1711" s="68">
        <f>_xlfn.CEILING.MATH(Devis[[#This Row],[Quantité Totale]],Devis[[#This Row],[Conditionnement]])</f>
        <v>0</v>
      </c>
      <c r="T1711" s="72"/>
      <c r="U1711" s="73"/>
      <c r="V1711" s="74">
        <f>Devis[[#This Row],[Prix de Revient]]*Devis[[#This Row],[Poste 1]]</f>
        <v>0</v>
      </c>
      <c r="W1711" s="74">
        <f>Devis[[#This Row],[Prix de Revient]]*Devis[[#This Row],[Poste 2]]</f>
        <v>0</v>
      </c>
      <c r="X1711" s="74">
        <f>Devis[[#This Row],[Prix de Revient]]*Devis[[#This Row],[Poste 3]]</f>
        <v>0</v>
      </c>
      <c r="Y1711" s="74">
        <f>Devis[[#This Row],[Poste 4]]*Devis[[#This Row],[Prix de Revient]]</f>
        <v>0</v>
      </c>
      <c r="Z1711" s="74">
        <f>Devis[[#This Row],[Poste 5]]*Devis[[#This Row],[Prix de Revient]]</f>
        <v>0</v>
      </c>
      <c r="AA1711" s="74">
        <f>Devis[[#This Row],[Prix de Revient]]*Devis[[#This Row],[Poste 6]]</f>
        <v>0</v>
      </c>
      <c r="AB1711" s="74">
        <f>Devis[[#This Row],[Quantité Totale]]*Devis[[#This Row],[Prix de Revient]]</f>
        <v>0</v>
      </c>
    </row>
    <row r="1712" spans="1:28" ht="14.25" customHeight="1" outlineLevel="1" x14ac:dyDescent="0.2">
      <c r="A1712" s="75" t="s">
        <v>1378</v>
      </c>
      <c r="B1712" s="76" t="s">
        <v>1464</v>
      </c>
      <c r="C1712" s="71" t="s">
        <v>4713</v>
      </c>
      <c r="D1712" s="81" t="str">
        <f t="shared" si="30"/>
        <v>Inox Serti CoréenManchon courtØ16</v>
      </c>
      <c r="E1712" s="73">
        <v>16</v>
      </c>
      <c r="F1712" s="81">
        <v>1</v>
      </c>
      <c r="G1712" s="71" t="s">
        <v>1465</v>
      </c>
      <c r="H1712" s="71"/>
      <c r="I1712" s="71"/>
      <c r="J1712" s="70">
        <f>IFERROR(VLOOKUP(Devis[[#This Row],[Ref Air Flux]],#REF!,3,FALSE),0)</f>
        <v>0</v>
      </c>
      <c r="K1712" s="68"/>
      <c r="L1712" s="68"/>
      <c r="M1712" s="68"/>
      <c r="N1712" s="68"/>
      <c r="O1712" s="68"/>
      <c r="P1712" s="68"/>
      <c r="Q1712" s="68">
        <f>SUM(Devis[[#This Row],[Poste 1]:[Poste 6]])</f>
        <v>0</v>
      </c>
      <c r="R1712" s="71"/>
      <c r="S1712" s="68">
        <f>_xlfn.CEILING.MATH(Devis[[#This Row],[Quantité Totale]],Devis[[#This Row],[Conditionnement]])</f>
        <v>0</v>
      </c>
      <c r="T1712" s="72"/>
      <c r="U1712" s="73"/>
      <c r="V1712" s="74">
        <f>Devis[[#This Row],[Prix de Revient]]*Devis[[#This Row],[Poste 1]]</f>
        <v>0</v>
      </c>
      <c r="W1712" s="74">
        <f>Devis[[#This Row],[Prix de Revient]]*Devis[[#This Row],[Poste 2]]</f>
        <v>0</v>
      </c>
      <c r="X1712" s="74">
        <f>Devis[[#This Row],[Prix de Revient]]*Devis[[#This Row],[Poste 3]]</f>
        <v>0</v>
      </c>
      <c r="Y1712" s="74">
        <f>Devis[[#This Row],[Poste 4]]*Devis[[#This Row],[Prix de Revient]]</f>
        <v>0</v>
      </c>
      <c r="Z1712" s="74">
        <f>Devis[[#This Row],[Poste 5]]*Devis[[#This Row],[Prix de Revient]]</f>
        <v>0</v>
      </c>
      <c r="AA1712" s="74">
        <f>Devis[[#This Row],[Prix de Revient]]*Devis[[#This Row],[Poste 6]]</f>
        <v>0</v>
      </c>
      <c r="AB1712" s="74">
        <f>Devis[[#This Row],[Quantité Totale]]*Devis[[#This Row],[Prix de Revient]]</f>
        <v>0</v>
      </c>
    </row>
    <row r="1713" spans="1:28" ht="14.25" outlineLevel="1" x14ac:dyDescent="0.2">
      <c r="A1713" s="75" t="s">
        <v>1378</v>
      </c>
      <c r="B1713" s="76" t="s">
        <v>1464</v>
      </c>
      <c r="C1713" s="71" t="s">
        <v>3620</v>
      </c>
      <c r="D1713" s="81" t="str">
        <f t="shared" si="30"/>
        <v>Inox Serti CoréenManchon courtØ22</v>
      </c>
      <c r="E1713" s="73">
        <v>22</v>
      </c>
      <c r="F1713" s="81">
        <v>2</v>
      </c>
      <c r="G1713" s="71" t="s">
        <v>1466</v>
      </c>
      <c r="H1713" s="71"/>
      <c r="I1713" s="71"/>
      <c r="J1713" s="70">
        <f>IFERROR(VLOOKUP(Devis[[#This Row],[Ref Air Flux]],#REF!,3,FALSE),0)</f>
        <v>0</v>
      </c>
      <c r="K1713" s="68"/>
      <c r="L1713" s="68"/>
      <c r="M1713" s="68"/>
      <c r="N1713" s="68"/>
      <c r="O1713" s="68"/>
      <c r="P1713" s="68"/>
      <c r="Q1713" s="68">
        <f>SUM(Devis[[#This Row],[Poste 1]:[Poste 6]])</f>
        <v>0</v>
      </c>
      <c r="R1713" s="71"/>
      <c r="S1713" s="68">
        <f>_xlfn.CEILING.MATH(Devis[[#This Row],[Quantité Totale]],Devis[[#This Row],[Conditionnement]])</f>
        <v>0</v>
      </c>
      <c r="T1713" s="72"/>
      <c r="U1713" s="73"/>
      <c r="V1713" s="74">
        <f>Devis[[#This Row],[Prix de Revient]]*Devis[[#This Row],[Poste 1]]</f>
        <v>0</v>
      </c>
      <c r="W1713" s="74">
        <f>Devis[[#This Row],[Prix de Revient]]*Devis[[#This Row],[Poste 2]]</f>
        <v>0</v>
      </c>
      <c r="X1713" s="74">
        <f>Devis[[#This Row],[Prix de Revient]]*Devis[[#This Row],[Poste 3]]</f>
        <v>0</v>
      </c>
      <c r="Y1713" s="74">
        <f>Devis[[#This Row],[Poste 4]]*Devis[[#This Row],[Prix de Revient]]</f>
        <v>0</v>
      </c>
      <c r="Z1713" s="74">
        <f>Devis[[#This Row],[Poste 5]]*Devis[[#This Row],[Prix de Revient]]</f>
        <v>0</v>
      </c>
      <c r="AA1713" s="74">
        <f>Devis[[#This Row],[Prix de Revient]]*Devis[[#This Row],[Poste 6]]</f>
        <v>0</v>
      </c>
      <c r="AB1713" s="74">
        <f>Devis[[#This Row],[Quantité Totale]]*Devis[[#This Row],[Prix de Revient]]</f>
        <v>0</v>
      </c>
    </row>
    <row r="1714" spans="1:28" ht="15" customHeight="1" outlineLevel="1" x14ac:dyDescent="0.2">
      <c r="A1714" s="75" t="s">
        <v>1378</v>
      </c>
      <c r="B1714" s="76" t="s">
        <v>1464</v>
      </c>
      <c r="C1714" s="71" t="s">
        <v>3621</v>
      </c>
      <c r="D1714" s="81" t="str">
        <f t="shared" si="30"/>
        <v>Inox Serti CoréenManchon courtØ28</v>
      </c>
      <c r="E1714" s="73">
        <v>28</v>
      </c>
      <c r="F1714" s="81">
        <v>3</v>
      </c>
      <c r="G1714" s="71" t="s">
        <v>1467</v>
      </c>
      <c r="H1714" s="71"/>
      <c r="I1714" s="71"/>
      <c r="J1714" s="70">
        <f>IFERROR(VLOOKUP(Devis[[#This Row],[Ref Air Flux]],#REF!,3,FALSE),0)</f>
        <v>0</v>
      </c>
      <c r="K1714" s="68"/>
      <c r="L1714" s="68"/>
      <c r="M1714" s="68"/>
      <c r="N1714" s="68"/>
      <c r="O1714" s="68"/>
      <c r="P1714" s="68"/>
      <c r="Q1714" s="68">
        <f>SUM(Devis[[#This Row],[Poste 1]:[Poste 6]])</f>
        <v>0</v>
      </c>
      <c r="R1714" s="71"/>
      <c r="S1714" s="68">
        <f>_xlfn.CEILING.MATH(Devis[[#This Row],[Quantité Totale]],Devis[[#This Row],[Conditionnement]])</f>
        <v>0</v>
      </c>
      <c r="T1714" s="72"/>
      <c r="U1714" s="73"/>
      <c r="V1714" s="74">
        <f>Devis[[#This Row],[Prix de Revient]]*Devis[[#This Row],[Poste 1]]</f>
        <v>0</v>
      </c>
      <c r="W1714" s="74">
        <f>Devis[[#This Row],[Prix de Revient]]*Devis[[#This Row],[Poste 2]]</f>
        <v>0</v>
      </c>
      <c r="X1714" s="74">
        <f>Devis[[#This Row],[Prix de Revient]]*Devis[[#This Row],[Poste 3]]</f>
        <v>0</v>
      </c>
      <c r="Y1714" s="74">
        <f>Devis[[#This Row],[Poste 4]]*Devis[[#This Row],[Prix de Revient]]</f>
        <v>0</v>
      </c>
      <c r="Z1714" s="74">
        <f>Devis[[#This Row],[Poste 5]]*Devis[[#This Row],[Prix de Revient]]</f>
        <v>0</v>
      </c>
      <c r="AA1714" s="74">
        <f>Devis[[#This Row],[Prix de Revient]]*Devis[[#This Row],[Poste 6]]</f>
        <v>0</v>
      </c>
      <c r="AB1714" s="74">
        <f>Devis[[#This Row],[Quantité Totale]]*Devis[[#This Row],[Prix de Revient]]</f>
        <v>0</v>
      </c>
    </row>
    <row r="1715" spans="1:28" ht="14.25" customHeight="1" outlineLevel="1" x14ac:dyDescent="0.2">
      <c r="A1715" s="75" t="s">
        <v>1378</v>
      </c>
      <c r="B1715" s="76" t="s">
        <v>1464</v>
      </c>
      <c r="C1715" s="71" t="s">
        <v>3622</v>
      </c>
      <c r="D1715" s="81" t="str">
        <f t="shared" si="30"/>
        <v>Inox Serti CoréenManchon courtØ34</v>
      </c>
      <c r="E1715" s="73">
        <v>34</v>
      </c>
      <c r="F1715" s="81">
        <v>4</v>
      </c>
      <c r="G1715" s="71" t="s">
        <v>1468</v>
      </c>
      <c r="H1715" s="71"/>
      <c r="I1715" s="71"/>
      <c r="J1715" s="70">
        <f>IFERROR(VLOOKUP(Devis[[#This Row],[Ref Air Flux]],#REF!,3,FALSE),0)</f>
        <v>0</v>
      </c>
      <c r="K1715" s="68"/>
      <c r="L1715" s="68"/>
      <c r="M1715" s="68"/>
      <c r="N1715" s="68"/>
      <c r="O1715" s="68"/>
      <c r="P1715" s="68"/>
      <c r="Q1715" s="68">
        <f>SUM(Devis[[#This Row],[Poste 1]:[Poste 6]])</f>
        <v>0</v>
      </c>
      <c r="R1715" s="71"/>
      <c r="S1715" s="68">
        <f>_xlfn.CEILING.MATH(Devis[[#This Row],[Quantité Totale]],Devis[[#This Row],[Conditionnement]])</f>
        <v>0</v>
      </c>
      <c r="T1715" s="72"/>
      <c r="U1715" s="73"/>
      <c r="V1715" s="74">
        <f>Devis[[#This Row],[Prix de Revient]]*Devis[[#This Row],[Poste 1]]</f>
        <v>0</v>
      </c>
      <c r="W1715" s="74">
        <f>Devis[[#This Row],[Prix de Revient]]*Devis[[#This Row],[Poste 2]]</f>
        <v>0</v>
      </c>
      <c r="X1715" s="74">
        <f>Devis[[#This Row],[Prix de Revient]]*Devis[[#This Row],[Poste 3]]</f>
        <v>0</v>
      </c>
      <c r="Y1715" s="74">
        <f>Devis[[#This Row],[Poste 4]]*Devis[[#This Row],[Prix de Revient]]</f>
        <v>0</v>
      </c>
      <c r="Z1715" s="74">
        <f>Devis[[#This Row],[Poste 5]]*Devis[[#This Row],[Prix de Revient]]</f>
        <v>0</v>
      </c>
      <c r="AA1715" s="74">
        <f>Devis[[#This Row],[Prix de Revient]]*Devis[[#This Row],[Poste 6]]</f>
        <v>0</v>
      </c>
      <c r="AB1715" s="74">
        <f>Devis[[#This Row],[Quantité Totale]]*Devis[[#This Row],[Prix de Revient]]</f>
        <v>0</v>
      </c>
    </row>
    <row r="1716" spans="1:28" ht="14.25" outlineLevel="1" x14ac:dyDescent="0.2">
      <c r="A1716" s="75" t="s">
        <v>1378</v>
      </c>
      <c r="B1716" s="76" t="s">
        <v>1464</v>
      </c>
      <c r="C1716" s="71" t="s">
        <v>3623</v>
      </c>
      <c r="D1716" s="81" t="str">
        <f t="shared" si="30"/>
        <v>Inox Serti CoréenManchon courtØ42</v>
      </c>
      <c r="E1716" s="73">
        <v>42</v>
      </c>
      <c r="F1716" s="81">
        <v>5</v>
      </c>
      <c r="G1716" s="71" t="s">
        <v>1469</v>
      </c>
      <c r="H1716" s="71"/>
      <c r="I1716" s="71"/>
      <c r="J1716" s="70">
        <f>IFERROR(VLOOKUP(Devis[[#This Row],[Ref Air Flux]],#REF!,3,FALSE),0)</f>
        <v>0</v>
      </c>
      <c r="K1716" s="68"/>
      <c r="L1716" s="68"/>
      <c r="M1716" s="68"/>
      <c r="N1716" s="68"/>
      <c r="O1716" s="68"/>
      <c r="P1716" s="68"/>
      <c r="Q1716" s="68">
        <f>SUM(Devis[[#This Row],[Poste 1]:[Poste 6]])</f>
        <v>0</v>
      </c>
      <c r="R1716" s="71"/>
      <c r="S1716" s="68">
        <f>_xlfn.CEILING.MATH(Devis[[#This Row],[Quantité Totale]],Devis[[#This Row],[Conditionnement]])</f>
        <v>0</v>
      </c>
      <c r="T1716" s="72"/>
      <c r="U1716" s="73"/>
      <c r="V1716" s="74">
        <f>Devis[[#This Row],[Prix de Revient]]*Devis[[#This Row],[Poste 1]]</f>
        <v>0</v>
      </c>
      <c r="W1716" s="74">
        <f>Devis[[#This Row],[Prix de Revient]]*Devis[[#This Row],[Poste 2]]</f>
        <v>0</v>
      </c>
      <c r="X1716" s="74">
        <f>Devis[[#This Row],[Prix de Revient]]*Devis[[#This Row],[Poste 3]]</f>
        <v>0</v>
      </c>
      <c r="Y1716" s="74">
        <f>Devis[[#This Row],[Poste 4]]*Devis[[#This Row],[Prix de Revient]]</f>
        <v>0</v>
      </c>
      <c r="Z1716" s="74">
        <f>Devis[[#This Row],[Poste 5]]*Devis[[#This Row],[Prix de Revient]]</f>
        <v>0</v>
      </c>
      <c r="AA1716" s="74">
        <f>Devis[[#This Row],[Prix de Revient]]*Devis[[#This Row],[Poste 6]]</f>
        <v>0</v>
      </c>
      <c r="AB1716" s="74">
        <f>Devis[[#This Row],[Quantité Totale]]*Devis[[#This Row],[Prix de Revient]]</f>
        <v>0</v>
      </c>
    </row>
    <row r="1717" spans="1:28" ht="14.25" outlineLevel="1" x14ac:dyDescent="0.2">
      <c r="A1717" s="75" t="s">
        <v>1378</v>
      </c>
      <c r="B1717" s="76" t="s">
        <v>1464</v>
      </c>
      <c r="C1717" s="71" t="s">
        <v>3624</v>
      </c>
      <c r="D1717" s="81" t="str">
        <f t="shared" si="30"/>
        <v>Inox Serti CoréenManchon courtØ48</v>
      </c>
      <c r="E1717" s="73">
        <v>48</v>
      </c>
      <c r="F1717" s="81">
        <v>6</v>
      </c>
      <c r="G1717" s="71" t="s">
        <v>1470</v>
      </c>
      <c r="H1717" s="71"/>
      <c r="I1717" s="71"/>
      <c r="J1717" s="70">
        <f>IFERROR(VLOOKUP(Devis[[#This Row],[Ref Air Flux]],#REF!,3,FALSE),0)</f>
        <v>0</v>
      </c>
      <c r="K1717" s="68"/>
      <c r="L1717" s="68"/>
      <c r="M1717" s="68"/>
      <c r="N1717" s="68"/>
      <c r="O1717" s="68"/>
      <c r="P1717" s="68"/>
      <c r="Q1717" s="68">
        <f>SUM(Devis[[#This Row],[Poste 1]:[Poste 6]])</f>
        <v>0</v>
      </c>
      <c r="R1717" s="71"/>
      <c r="S1717" s="68">
        <f>_xlfn.CEILING.MATH(Devis[[#This Row],[Quantité Totale]],Devis[[#This Row],[Conditionnement]])</f>
        <v>0</v>
      </c>
      <c r="T1717" s="72"/>
      <c r="U1717" s="73"/>
      <c r="V1717" s="74">
        <f>Devis[[#This Row],[Prix de Revient]]*Devis[[#This Row],[Poste 1]]</f>
        <v>0</v>
      </c>
      <c r="W1717" s="74">
        <f>Devis[[#This Row],[Prix de Revient]]*Devis[[#This Row],[Poste 2]]</f>
        <v>0</v>
      </c>
      <c r="X1717" s="74">
        <f>Devis[[#This Row],[Prix de Revient]]*Devis[[#This Row],[Poste 3]]</f>
        <v>0</v>
      </c>
      <c r="Y1717" s="74">
        <f>Devis[[#This Row],[Poste 4]]*Devis[[#This Row],[Prix de Revient]]</f>
        <v>0</v>
      </c>
      <c r="Z1717" s="74">
        <f>Devis[[#This Row],[Poste 5]]*Devis[[#This Row],[Prix de Revient]]</f>
        <v>0</v>
      </c>
      <c r="AA1717" s="74">
        <f>Devis[[#This Row],[Prix de Revient]]*Devis[[#This Row],[Poste 6]]</f>
        <v>0</v>
      </c>
      <c r="AB1717" s="74">
        <f>Devis[[#This Row],[Quantité Totale]]*Devis[[#This Row],[Prix de Revient]]</f>
        <v>0</v>
      </c>
    </row>
    <row r="1718" spans="1:28" ht="14.25" outlineLevel="1" x14ac:dyDescent="0.2">
      <c r="A1718" s="75" t="s">
        <v>1378</v>
      </c>
      <c r="B1718" s="76" t="s">
        <v>1464</v>
      </c>
      <c r="C1718" s="71" t="s">
        <v>3626</v>
      </c>
      <c r="D1718" s="81" t="str">
        <f t="shared" si="30"/>
        <v>Inox Serti CoréenManchon courtØ60</v>
      </c>
      <c r="E1718" s="73">
        <v>60</v>
      </c>
      <c r="F1718" s="81">
        <v>7</v>
      </c>
      <c r="G1718" s="71" t="s">
        <v>1471</v>
      </c>
      <c r="H1718" s="71"/>
      <c r="I1718" s="71"/>
      <c r="J1718" s="70">
        <f>IFERROR(VLOOKUP(Devis[[#This Row],[Ref Air Flux]],#REF!,3,FALSE),0)</f>
        <v>0</v>
      </c>
      <c r="K1718" s="68"/>
      <c r="L1718" s="68"/>
      <c r="M1718" s="68"/>
      <c r="N1718" s="68"/>
      <c r="O1718" s="68"/>
      <c r="P1718" s="68"/>
      <c r="Q1718" s="68">
        <f>SUM(Devis[[#This Row],[Poste 1]:[Poste 6]])</f>
        <v>0</v>
      </c>
      <c r="R1718" s="71"/>
      <c r="S1718" s="68">
        <f>_xlfn.CEILING.MATH(Devis[[#This Row],[Quantité Totale]],Devis[[#This Row],[Conditionnement]])</f>
        <v>0</v>
      </c>
      <c r="T1718" s="72"/>
      <c r="U1718" s="73"/>
      <c r="V1718" s="74">
        <f>Devis[[#This Row],[Prix de Revient]]*Devis[[#This Row],[Poste 1]]</f>
        <v>0</v>
      </c>
      <c r="W1718" s="74">
        <f>Devis[[#This Row],[Prix de Revient]]*Devis[[#This Row],[Poste 2]]</f>
        <v>0</v>
      </c>
      <c r="X1718" s="74">
        <f>Devis[[#This Row],[Prix de Revient]]*Devis[[#This Row],[Poste 3]]</f>
        <v>0</v>
      </c>
      <c r="Y1718" s="74">
        <f>Devis[[#This Row],[Poste 4]]*Devis[[#This Row],[Prix de Revient]]</f>
        <v>0</v>
      </c>
      <c r="Z1718" s="74">
        <f>Devis[[#This Row],[Poste 5]]*Devis[[#This Row],[Prix de Revient]]</f>
        <v>0</v>
      </c>
      <c r="AA1718" s="74">
        <f>Devis[[#This Row],[Prix de Revient]]*Devis[[#This Row],[Poste 6]]</f>
        <v>0</v>
      </c>
      <c r="AB1718" s="74">
        <f>Devis[[#This Row],[Quantité Totale]]*Devis[[#This Row],[Prix de Revient]]</f>
        <v>0</v>
      </c>
    </row>
    <row r="1719" spans="1:28" ht="14.25" outlineLevel="1" x14ac:dyDescent="0.2">
      <c r="A1719" s="75" t="s">
        <v>1378</v>
      </c>
      <c r="B1719" s="76" t="s">
        <v>1464</v>
      </c>
      <c r="C1719" s="71" t="s">
        <v>4714</v>
      </c>
      <c r="D1719" s="81" t="str">
        <f t="shared" si="30"/>
        <v>Inox Serti CoréenManchon courtØ80</v>
      </c>
      <c r="E1719" s="73">
        <v>80</v>
      </c>
      <c r="F1719" s="81">
        <v>8</v>
      </c>
      <c r="G1719" s="71" t="s">
        <v>1472</v>
      </c>
      <c r="H1719" s="71"/>
      <c r="I1719" s="71"/>
      <c r="J1719" s="70">
        <f>IFERROR(VLOOKUP(Devis[[#This Row],[Ref Air Flux]],#REF!,3,FALSE),0)</f>
        <v>0</v>
      </c>
      <c r="K1719" s="68"/>
      <c r="L1719" s="68"/>
      <c r="M1719" s="68"/>
      <c r="N1719" s="68"/>
      <c r="O1719" s="68"/>
      <c r="P1719" s="68"/>
      <c r="Q1719" s="68">
        <f>SUM(Devis[[#This Row],[Poste 1]:[Poste 6]])</f>
        <v>0</v>
      </c>
      <c r="R1719" s="71"/>
      <c r="S1719" s="68">
        <f>_xlfn.CEILING.MATH(Devis[[#This Row],[Quantité Totale]],Devis[[#This Row],[Conditionnement]])</f>
        <v>0</v>
      </c>
      <c r="T1719" s="72"/>
      <c r="U1719" s="73"/>
      <c r="V1719" s="74">
        <f>Devis[[#This Row],[Prix de Revient]]*Devis[[#This Row],[Poste 1]]</f>
        <v>0</v>
      </c>
      <c r="W1719" s="74">
        <f>Devis[[#This Row],[Prix de Revient]]*Devis[[#This Row],[Poste 2]]</f>
        <v>0</v>
      </c>
      <c r="X1719" s="74">
        <f>Devis[[#This Row],[Prix de Revient]]*Devis[[#This Row],[Poste 3]]</f>
        <v>0</v>
      </c>
      <c r="Y1719" s="74">
        <f>Devis[[#This Row],[Poste 4]]*Devis[[#This Row],[Prix de Revient]]</f>
        <v>0</v>
      </c>
      <c r="Z1719" s="74">
        <f>Devis[[#This Row],[Poste 5]]*Devis[[#This Row],[Prix de Revient]]</f>
        <v>0</v>
      </c>
      <c r="AA1719" s="74">
        <f>Devis[[#This Row],[Prix de Revient]]*Devis[[#This Row],[Poste 6]]</f>
        <v>0</v>
      </c>
      <c r="AB1719" s="74">
        <f>Devis[[#This Row],[Quantité Totale]]*Devis[[#This Row],[Prix de Revient]]</f>
        <v>0</v>
      </c>
    </row>
    <row r="1720" spans="1:28" ht="14.25" customHeight="1" x14ac:dyDescent="0.25">
      <c r="A1720" s="65" t="s">
        <v>1378</v>
      </c>
      <c r="B1720" s="65" t="s">
        <v>4720</v>
      </c>
      <c r="C1720" s="71"/>
      <c r="D1720" s="81" t="str">
        <f t="shared" si="30"/>
        <v xml:space="preserve">Inox Serti CoréenMANCHON LONG </v>
      </c>
      <c r="E1720" s="76"/>
      <c r="F1720" s="81">
        <v>0</v>
      </c>
      <c r="G1720" s="71"/>
      <c r="H1720" s="71"/>
      <c r="I1720" s="71"/>
      <c r="J1720" s="70">
        <f>IFERROR(VLOOKUP(Devis[[#This Row],[Ref Air Flux]],#REF!,3,FALSE),0)</f>
        <v>0</v>
      </c>
      <c r="K1720" s="68"/>
      <c r="L1720" s="68"/>
      <c r="M1720" s="68"/>
      <c r="N1720" s="68"/>
      <c r="O1720" s="68"/>
      <c r="P1720" s="68"/>
      <c r="Q1720" s="68">
        <f>SUM(Devis[[#This Row],[Poste 1]:[Poste 6]])</f>
        <v>0</v>
      </c>
      <c r="R1720" s="71"/>
      <c r="S1720" s="68">
        <f>_xlfn.CEILING.MATH(Devis[[#This Row],[Quantité Totale]],Devis[[#This Row],[Conditionnement]])</f>
        <v>0</v>
      </c>
      <c r="T1720" s="72"/>
      <c r="U1720" s="73"/>
      <c r="V1720" s="74">
        <f>Devis[[#This Row],[Prix de Revient]]*Devis[[#This Row],[Poste 1]]</f>
        <v>0</v>
      </c>
      <c r="W1720" s="74">
        <f>Devis[[#This Row],[Prix de Revient]]*Devis[[#This Row],[Poste 2]]</f>
        <v>0</v>
      </c>
      <c r="X1720" s="74">
        <f>Devis[[#This Row],[Prix de Revient]]*Devis[[#This Row],[Poste 3]]</f>
        <v>0</v>
      </c>
      <c r="Y1720" s="74">
        <f>Devis[[#This Row],[Poste 4]]*Devis[[#This Row],[Prix de Revient]]</f>
        <v>0</v>
      </c>
      <c r="Z1720" s="74">
        <f>Devis[[#This Row],[Poste 5]]*Devis[[#This Row],[Prix de Revient]]</f>
        <v>0</v>
      </c>
      <c r="AA1720" s="74">
        <f>Devis[[#This Row],[Prix de Revient]]*Devis[[#This Row],[Poste 6]]</f>
        <v>0</v>
      </c>
      <c r="AB1720" s="74">
        <f>Devis[[#This Row],[Quantité Totale]]*Devis[[#This Row],[Prix de Revient]]</f>
        <v>0</v>
      </c>
    </row>
    <row r="1721" spans="1:28" ht="14.25" outlineLevel="1" x14ac:dyDescent="0.2">
      <c r="A1721" s="75" t="s">
        <v>1378</v>
      </c>
      <c r="B1721" s="76" t="s">
        <v>1473</v>
      </c>
      <c r="C1721" s="71" t="s">
        <v>4714</v>
      </c>
      <c r="D1721" s="81" t="str">
        <f t="shared" si="30"/>
        <v>Inox Serti CoréenManchon long Ø80</v>
      </c>
      <c r="E1721" s="76" t="s">
        <v>1474</v>
      </c>
      <c r="F1721" s="81">
        <v>1</v>
      </c>
      <c r="G1721" s="71" t="s">
        <v>1475</v>
      </c>
      <c r="H1721" s="71"/>
      <c r="I1721" s="71"/>
      <c r="J1721" s="70">
        <f>IFERROR(VLOOKUP(Devis[[#This Row],[Ref Air Flux]],#REF!,3,FALSE),0)</f>
        <v>0</v>
      </c>
      <c r="K1721" s="68"/>
      <c r="L1721" s="68"/>
      <c r="M1721" s="68"/>
      <c r="N1721" s="68"/>
      <c r="O1721" s="68"/>
      <c r="P1721" s="68"/>
      <c r="Q1721" s="68">
        <f>SUM(Devis[[#This Row],[Poste 1]:[Poste 6]])</f>
        <v>0</v>
      </c>
      <c r="R1721" s="71"/>
      <c r="S1721" s="68">
        <f>_xlfn.CEILING.MATH(Devis[[#This Row],[Quantité Totale]],Devis[[#This Row],[Conditionnement]])</f>
        <v>0</v>
      </c>
      <c r="T1721" s="72"/>
      <c r="U1721" s="73"/>
      <c r="V1721" s="74">
        <f>Devis[[#This Row],[Prix de Revient]]*Devis[[#This Row],[Poste 1]]</f>
        <v>0</v>
      </c>
      <c r="W1721" s="74">
        <f>Devis[[#This Row],[Prix de Revient]]*Devis[[#This Row],[Poste 2]]</f>
        <v>0</v>
      </c>
      <c r="X1721" s="74">
        <f>Devis[[#This Row],[Prix de Revient]]*Devis[[#This Row],[Poste 3]]</f>
        <v>0</v>
      </c>
      <c r="Y1721" s="74">
        <f>Devis[[#This Row],[Poste 4]]*Devis[[#This Row],[Prix de Revient]]</f>
        <v>0</v>
      </c>
      <c r="Z1721" s="74">
        <f>Devis[[#This Row],[Poste 5]]*Devis[[#This Row],[Prix de Revient]]</f>
        <v>0</v>
      </c>
      <c r="AA1721" s="74">
        <f>Devis[[#This Row],[Prix de Revient]]*Devis[[#This Row],[Poste 6]]</f>
        <v>0</v>
      </c>
      <c r="AB1721" s="74">
        <f>Devis[[#This Row],[Quantité Totale]]*Devis[[#This Row],[Prix de Revient]]</f>
        <v>0</v>
      </c>
    </row>
    <row r="1722" spans="1:28" ht="14.25" outlineLevel="1" x14ac:dyDescent="0.2">
      <c r="A1722" s="75" t="s">
        <v>1378</v>
      </c>
      <c r="B1722" s="76" t="s">
        <v>1473</v>
      </c>
      <c r="C1722" s="71" t="s">
        <v>4713</v>
      </c>
      <c r="D1722" s="81" t="str">
        <f t="shared" si="30"/>
        <v>Inox Serti CoréenManchon long Ø16</v>
      </c>
      <c r="E1722" s="76">
        <v>16</v>
      </c>
      <c r="F1722" s="81">
        <v>2</v>
      </c>
      <c r="G1722" s="71" t="s">
        <v>1476</v>
      </c>
      <c r="H1722" s="71"/>
      <c r="I1722" s="71"/>
      <c r="J1722" s="70">
        <f>IFERROR(VLOOKUP(Devis[[#This Row],[Ref Air Flux]],#REF!,3,FALSE),0)</f>
        <v>0</v>
      </c>
      <c r="K1722" s="68"/>
      <c r="L1722" s="68"/>
      <c r="M1722" s="68"/>
      <c r="N1722" s="68"/>
      <c r="O1722" s="68"/>
      <c r="P1722" s="68"/>
      <c r="Q1722" s="68">
        <f>SUM(Devis[[#This Row],[Poste 1]:[Poste 6]])</f>
        <v>0</v>
      </c>
      <c r="R1722" s="71"/>
      <c r="S1722" s="68">
        <f>_xlfn.CEILING.MATH(Devis[[#This Row],[Quantité Totale]],Devis[[#This Row],[Conditionnement]])</f>
        <v>0</v>
      </c>
      <c r="T1722" s="72"/>
      <c r="U1722" s="73"/>
      <c r="V1722" s="74">
        <f>Devis[[#This Row],[Prix de Revient]]*Devis[[#This Row],[Poste 1]]</f>
        <v>0</v>
      </c>
      <c r="W1722" s="74">
        <f>Devis[[#This Row],[Prix de Revient]]*Devis[[#This Row],[Poste 2]]</f>
        <v>0</v>
      </c>
      <c r="X1722" s="74">
        <f>Devis[[#This Row],[Prix de Revient]]*Devis[[#This Row],[Poste 3]]</f>
        <v>0</v>
      </c>
      <c r="Y1722" s="74">
        <f>Devis[[#This Row],[Poste 4]]*Devis[[#This Row],[Prix de Revient]]</f>
        <v>0</v>
      </c>
      <c r="Z1722" s="74">
        <f>Devis[[#This Row],[Poste 5]]*Devis[[#This Row],[Prix de Revient]]</f>
        <v>0</v>
      </c>
      <c r="AA1722" s="74">
        <f>Devis[[#This Row],[Prix de Revient]]*Devis[[#This Row],[Poste 6]]</f>
        <v>0</v>
      </c>
      <c r="AB1722" s="74">
        <f>Devis[[#This Row],[Quantité Totale]]*Devis[[#This Row],[Prix de Revient]]</f>
        <v>0</v>
      </c>
    </row>
    <row r="1723" spans="1:28" ht="15" customHeight="1" outlineLevel="1" x14ac:dyDescent="0.2">
      <c r="A1723" s="75" t="s">
        <v>1378</v>
      </c>
      <c r="B1723" s="76" t="s">
        <v>1473</v>
      </c>
      <c r="C1723" s="71" t="s">
        <v>3620</v>
      </c>
      <c r="D1723" s="81" t="str">
        <f t="shared" si="30"/>
        <v>Inox Serti CoréenManchon long Ø22</v>
      </c>
      <c r="E1723" s="76">
        <v>22</v>
      </c>
      <c r="F1723" s="81">
        <v>3</v>
      </c>
      <c r="G1723" s="71" t="s">
        <v>1477</v>
      </c>
      <c r="H1723" s="71"/>
      <c r="I1723" s="71"/>
      <c r="J1723" s="70">
        <f>IFERROR(VLOOKUP(Devis[[#This Row],[Ref Air Flux]],#REF!,3,FALSE),0)</f>
        <v>0</v>
      </c>
      <c r="K1723" s="68"/>
      <c r="L1723" s="68"/>
      <c r="M1723" s="68"/>
      <c r="N1723" s="68"/>
      <c r="O1723" s="68"/>
      <c r="P1723" s="68"/>
      <c r="Q1723" s="68">
        <f>SUM(Devis[[#This Row],[Poste 1]:[Poste 6]])</f>
        <v>0</v>
      </c>
      <c r="R1723" s="71"/>
      <c r="S1723" s="68">
        <f>_xlfn.CEILING.MATH(Devis[[#This Row],[Quantité Totale]],Devis[[#This Row],[Conditionnement]])</f>
        <v>0</v>
      </c>
      <c r="T1723" s="72"/>
      <c r="U1723" s="73"/>
      <c r="V1723" s="74">
        <f>Devis[[#This Row],[Prix de Revient]]*Devis[[#This Row],[Poste 1]]</f>
        <v>0</v>
      </c>
      <c r="W1723" s="74">
        <f>Devis[[#This Row],[Prix de Revient]]*Devis[[#This Row],[Poste 2]]</f>
        <v>0</v>
      </c>
      <c r="X1723" s="74">
        <f>Devis[[#This Row],[Prix de Revient]]*Devis[[#This Row],[Poste 3]]</f>
        <v>0</v>
      </c>
      <c r="Y1723" s="74">
        <f>Devis[[#This Row],[Poste 4]]*Devis[[#This Row],[Prix de Revient]]</f>
        <v>0</v>
      </c>
      <c r="Z1723" s="74">
        <f>Devis[[#This Row],[Poste 5]]*Devis[[#This Row],[Prix de Revient]]</f>
        <v>0</v>
      </c>
      <c r="AA1723" s="74">
        <f>Devis[[#This Row],[Prix de Revient]]*Devis[[#This Row],[Poste 6]]</f>
        <v>0</v>
      </c>
      <c r="AB1723" s="74">
        <f>Devis[[#This Row],[Quantité Totale]]*Devis[[#This Row],[Prix de Revient]]</f>
        <v>0</v>
      </c>
    </row>
    <row r="1724" spans="1:28" ht="14.25" outlineLevel="1" x14ac:dyDescent="0.2">
      <c r="A1724" s="75" t="s">
        <v>1378</v>
      </c>
      <c r="B1724" s="76" t="s">
        <v>1473</v>
      </c>
      <c r="C1724" s="71" t="s">
        <v>3621</v>
      </c>
      <c r="D1724" s="81" t="str">
        <f t="shared" si="30"/>
        <v>Inox Serti CoréenManchon long Ø28</v>
      </c>
      <c r="E1724" s="76">
        <v>28</v>
      </c>
      <c r="F1724" s="81">
        <v>4</v>
      </c>
      <c r="G1724" s="71" t="s">
        <v>1478</v>
      </c>
      <c r="H1724" s="71"/>
      <c r="I1724" s="71"/>
      <c r="J1724" s="70">
        <f>IFERROR(VLOOKUP(Devis[[#This Row],[Ref Air Flux]],#REF!,3,FALSE),0)</f>
        <v>0</v>
      </c>
      <c r="K1724" s="68"/>
      <c r="L1724" s="68"/>
      <c r="M1724" s="68"/>
      <c r="N1724" s="68"/>
      <c r="O1724" s="68"/>
      <c r="P1724" s="68"/>
      <c r="Q1724" s="68">
        <f>SUM(Devis[[#This Row],[Poste 1]:[Poste 6]])</f>
        <v>0</v>
      </c>
      <c r="R1724" s="71"/>
      <c r="S1724" s="68">
        <f>_xlfn.CEILING.MATH(Devis[[#This Row],[Quantité Totale]],Devis[[#This Row],[Conditionnement]])</f>
        <v>0</v>
      </c>
      <c r="T1724" s="72"/>
      <c r="U1724" s="73"/>
      <c r="V1724" s="74">
        <f>Devis[[#This Row],[Prix de Revient]]*Devis[[#This Row],[Poste 1]]</f>
        <v>0</v>
      </c>
      <c r="W1724" s="74">
        <f>Devis[[#This Row],[Prix de Revient]]*Devis[[#This Row],[Poste 2]]</f>
        <v>0</v>
      </c>
      <c r="X1724" s="74">
        <f>Devis[[#This Row],[Prix de Revient]]*Devis[[#This Row],[Poste 3]]</f>
        <v>0</v>
      </c>
      <c r="Y1724" s="74">
        <f>Devis[[#This Row],[Poste 4]]*Devis[[#This Row],[Prix de Revient]]</f>
        <v>0</v>
      </c>
      <c r="Z1724" s="74">
        <f>Devis[[#This Row],[Poste 5]]*Devis[[#This Row],[Prix de Revient]]</f>
        <v>0</v>
      </c>
      <c r="AA1724" s="74">
        <f>Devis[[#This Row],[Prix de Revient]]*Devis[[#This Row],[Poste 6]]</f>
        <v>0</v>
      </c>
      <c r="AB1724" s="74">
        <f>Devis[[#This Row],[Quantité Totale]]*Devis[[#This Row],[Prix de Revient]]</f>
        <v>0</v>
      </c>
    </row>
    <row r="1725" spans="1:28" ht="14.25" outlineLevel="1" x14ac:dyDescent="0.2">
      <c r="A1725" s="75" t="s">
        <v>1378</v>
      </c>
      <c r="B1725" s="76" t="s">
        <v>1473</v>
      </c>
      <c r="C1725" s="71" t="s">
        <v>3622</v>
      </c>
      <c r="D1725" s="81" t="str">
        <f t="shared" si="30"/>
        <v>Inox Serti CoréenManchon long Ø34</v>
      </c>
      <c r="E1725" s="76">
        <v>34</v>
      </c>
      <c r="F1725" s="81">
        <v>5</v>
      </c>
      <c r="G1725" s="71" t="s">
        <v>1479</v>
      </c>
      <c r="H1725" s="71"/>
      <c r="I1725" s="71"/>
      <c r="J1725" s="70">
        <f>IFERROR(VLOOKUP(Devis[[#This Row],[Ref Air Flux]],#REF!,3,FALSE),0)</f>
        <v>0</v>
      </c>
      <c r="K1725" s="68"/>
      <c r="L1725" s="68"/>
      <c r="M1725" s="68"/>
      <c r="N1725" s="68"/>
      <c r="O1725" s="68"/>
      <c r="P1725" s="68"/>
      <c r="Q1725" s="68">
        <f>SUM(Devis[[#This Row],[Poste 1]:[Poste 6]])</f>
        <v>0</v>
      </c>
      <c r="R1725" s="71"/>
      <c r="S1725" s="68">
        <f>_xlfn.CEILING.MATH(Devis[[#This Row],[Quantité Totale]],Devis[[#This Row],[Conditionnement]])</f>
        <v>0</v>
      </c>
      <c r="T1725" s="72"/>
      <c r="U1725" s="73"/>
      <c r="V1725" s="74">
        <f>Devis[[#This Row],[Prix de Revient]]*Devis[[#This Row],[Poste 1]]</f>
        <v>0</v>
      </c>
      <c r="W1725" s="74">
        <f>Devis[[#This Row],[Prix de Revient]]*Devis[[#This Row],[Poste 2]]</f>
        <v>0</v>
      </c>
      <c r="X1725" s="74">
        <f>Devis[[#This Row],[Prix de Revient]]*Devis[[#This Row],[Poste 3]]</f>
        <v>0</v>
      </c>
      <c r="Y1725" s="74">
        <f>Devis[[#This Row],[Poste 4]]*Devis[[#This Row],[Prix de Revient]]</f>
        <v>0</v>
      </c>
      <c r="Z1725" s="74">
        <f>Devis[[#This Row],[Poste 5]]*Devis[[#This Row],[Prix de Revient]]</f>
        <v>0</v>
      </c>
      <c r="AA1725" s="74">
        <f>Devis[[#This Row],[Prix de Revient]]*Devis[[#This Row],[Poste 6]]</f>
        <v>0</v>
      </c>
      <c r="AB1725" s="74">
        <f>Devis[[#This Row],[Quantité Totale]]*Devis[[#This Row],[Prix de Revient]]</f>
        <v>0</v>
      </c>
    </row>
    <row r="1726" spans="1:28" ht="14.25" outlineLevel="1" x14ac:dyDescent="0.2">
      <c r="A1726" s="75" t="s">
        <v>1378</v>
      </c>
      <c r="B1726" s="76" t="s">
        <v>1473</v>
      </c>
      <c r="C1726" s="71" t="s">
        <v>3623</v>
      </c>
      <c r="D1726" s="81" t="str">
        <f t="shared" si="30"/>
        <v>Inox Serti CoréenManchon long Ø42</v>
      </c>
      <c r="E1726" s="76">
        <v>42</v>
      </c>
      <c r="F1726" s="81">
        <v>6</v>
      </c>
      <c r="G1726" s="71" t="s">
        <v>1480</v>
      </c>
      <c r="H1726" s="71"/>
      <c r="I1726" s="71"/>
      <c r="J1726" s="70">
        <f>IFERROR(VLOOKUP(Devis[[#This Row],[Ref Air Flux]],#REF!,3,FALSE),0)</f>
        <v>0</v>
      </c>
      <c r="K1726" s="68"/>
      <c r="L1726" s="68"/>
      <c r="M1726" s="68"/>
      <c r="N1726" s="68"/>
      <c r="O1726" s="68"/>
      <c r="P1726" s="68"/>
      <c r="Q1726" s="68">
        <f>SUM(Devis[[#This Row],[Poste 1]:[Poste 6]])</f>
        <v>0</v>
      </c>
      <c r="R1726" s="71"/>
      <c r="S1726" s="68">
        <f>_xlfn.CEILING.MATH(Devis[[#This Row],[Quantité Totale]],Devis[[#This Row],[Conditionnement]])</f>
        <v>0</v>
      </c>
      <c r="T1726" s="72"/>
      <c r="U1726" s="73"/>
      <c r="V1726" s="74">
        <f>Devis[[#This Row],[Prix de Revient]]*Devis[[#This Row],[Poste 1]]</f>
        <v>0</v>
      </c>
      <c r="W1726" s="74">
        <f>Devis[[#This Row],[Prix de Revient]]*Devis[[#This Row],[Poste 2]]</f>
        <v>0</v>
      </c>
      <c r="X1726" s="74">
        <f>Devis[[#This Row],[Prix de Revient]]*Devis[[#This Row],[Poste 3]]</f>
        <v>0</v>
      </c>
      <c r="Y1726" s="74">
        <f>Devis[[#This Row],[Poste 4]]*Devis[[#This Row],[Prix de Revient]]</f>
        <v>0</v>
      </c>
      <c r="Z1726" s="74">
        <f>Devis[[#This Row],[Poste 5]]*Devis[[#This Row],[Prix de Revient]]</f>
        <v>0</v>
      </c>
      <c r="AA1726" s="74">
        <f>Devis[[#This Row],[Prix de Revient]]*Devis[[#This Row],[Poste 6]]</f>
        <v>0</v>
      </c>
      <c r="AB1726" s="74">
        <f>Devis[[#This Row],[Quantité Totale]]*Devis[[#This Row],[Prix de Revient]]</f>
        <v>0</v>
      </c>
    </row>
    <row r="1727" spans="1:28" ht="14.25" customHeight="1" outlineLevel="1" x14ac:dyDescent="0.2">
      <c r="A1727" s="75" t="s">
        <v>1378</v>
      </c>
      <c r="B1727" s="76" t="s">
        <v>1473</v>
      </c>
      <c r="C1727" s="71" t="s">
        <v>3624</v>
      </c>
      <c r="D1727" s="81" t="str">
        <f t="shared" si="30"/>
        <v>Inox Serti CoréenManchon long Ø48</v>
      </c>
      <c r="E1727" s="76">
        <v>48</v>
      </c>
      <c r="F1727" s="81">
        <v>7</v>
      </c>
      <c r="G1727" s="71" t="s">
        <v>1481</v>
      </c>
      <c r="H1727" s="71"/>
      <c r="I1727" s="71"/>
      <c r="J1727" s="70">
        <f>IFERROR(VLOOKUP(Devis[[#This Row],[Ref Air Flux]],#REF!,3,FALSE),0)</f>
        <v>0</v>
      </c>
      <c r="K1727" s="68"/>
      <c r="L1727" s="68"/>
      <c r="M1727" s="68"/>
      <c r="N1727" s="68"/>
      <c r="O1727" s="68"/>
      <c r="P1727" s="68"/>
      <c r="Q1727" s="68">
        <f>SUM(Devis[[#This Row],[Poste 1]:[Poste 6]])</f>
        <v>0</v>
      </c>
      <c r="R1727" s="71"/>
      <c r="S1727" s="68">
        <f>_xlfn.CEILING.MATH(Devis[[#This Row],[Quantité Totale]],Devis[[#This Row],[Conditionnement]])</f>
        <v>0</v>
      </c>
      <c r="T1727" s="72"/>
      <c r="U1727" s="73"/>
      <c r="V1727" s="74">
        <f>Devis[[#This Row],[Prix de Revient]]*Devis[[#This Row],[Poste 1]]</f>
        <v>0</v>
      </c>
      <c r="W1727" s="74">
        <f>Devis[[#This Row],[Prix de Revient]]*Devis[[#This Row],[Poste 2]]</f>
        <v>0</v>
      </c>
      <c r="X1727" s="74">
        <f>Devis[[#This Row],[Prix de Revient]]*Devis[[#This Row],[Poste 3]]</f>
        <v>0</v>
      </c>
      <c r="Y1727" s="74">
        <f>Devis[[#This Row],[Poste 4]]*Devis[[#This Row],[Prix de Revient]]</f>
        <v>0</v>
      </c>
      <c r="Z1727" s="74">
        <f>Devis[[#This Row],[Poste 5]]*Devis[[#This Row],[Prix de Revient]]</f>
        <v>0</v>
      </c>
      <c r="AA1727" s="74">
        <f>Devis[[#This Row],[Prix de Revient]]*Devis[[#This Row],[Poste 6]]</f>
        <v>0</v>
      </c>
      <c r="AB1727" s="74">
        <f>Devis[[#This Row],[Quantité Totale]]*Devis[[#This Row],[Prix de Revient]]</f>
        <v>0</v>
      </c>
    </row>
    <row r="1728" spans="1:28" ht="14.25" outlineLevel="1" x14ac:dyDescent="0.2">
      <c r="A1728" s="75" t="s">
        <v>1378</v>
      </c>
      <c r="B1728" s="76" t="s">
        <v>1473</v>
      </c>
      <c r="C1728" s="71" t="s">
        <v>3626</v>
      </c>
      <c r="D1728" s="81" t="str">
        <f t="shared" si="30"/>
        <v>Inox Serti CoréenManchon long Ø60</v>
      </c>
      <c r="E1728" s="76">
        <v>60</v>
      </c>
      <c r="F1728" s="81">
        <v>8</v>
      </c>
      <c r="G1728" s="71" t="s">
        <v>1482</v>
      </c>
      <c r="H1728" s="71"/>
      <c r="I1728" s="71"/>
      <c r="J1728" s="70">
        <f>IFERROR(VLOOKUP(Devis[[#This Row],[Ref Air Flux]],#REF!,3,FALSE),0)</f>
        <v>0</v>
      </c>
      <c r="K1728" s="68"/>
      <c r="L1728" s="68"/>
      <c r="M1728" s="68"/>
      <c r="N1728" s="68"/>
      <c r="O1728" s="68"/>
      <c r="P1728" s="68"/>
      <c r="Q1728" s="68">
        <f>SUM(Devis[[#This Row],[Poste 1]:[Poste 6]])</f>
        <v>0</v>
      </c>
      <c r="R1728" s="71"/>
      <c r="S1728" s="68">
        <f>_xlfn.CEILING.MATH(Devis[[#This Row],[Quantité Totale]],Devis[[#This Row],[Conditionnement]])</f>
        <v>0</v>
      </c>
      <c r="T1728" s="72"/>
      <c r="U1728" s="73"/>
      <c r="V1728" s="74">
        <f>Devis[[#This Row],[Prix de Revient]]*Devis[[#This Row],[Poste 1]]</f>
        <v>0</v>
      </c>
      <c r="W1728" s="74">
        <f>Devis[[#This Row],[Prix de Revient]]*Devis[[#This Row],[Poste 2]]</f>
        <v>0</v>
      </c>
      <c r="X1728" s="74">
        <f>Devis[[#This Row],[Prix de Revient]]*Devis[[#This Row],[Poste 3]]</f>
        <v>0</v>
      </c>
      <c r="Y1728" s="74">
        <f>Devis[[#This Row],[Poste 4]]*Devis[[#This Row],[Prix de Revient]]</f>
        <v>0</v>
      </c>
      <c r="Z1728" s="74">
        <f>Devis[[#This Row],[Poste 5]]*Devis[[#This Row],[Prix de Revient]]</f>
        <v>0</v>
      </c>
      <c r="AA1728" s="74">
        <f>Devis[[#This Row],[Prix de Revient]]*Devis[[#This Row],[Poste 6]]</f>
        <v>0</v>
      </c>
      <c r="AB1728" s="74">
        <f>Devis[[#This Row],[Quantité Totale]]*Devis[[#This Row],[Prix de Revient]]</f>
        <v>0</v>
      </c>
    </row>
    <row r="1729" spans="1:28" ht="14.25" customHeight="1" x14ac:dyDescent="0.25">
      <c r="A1729" s="65" t="s">
        <v>1378</v>
      </c>
      <c r="B1729" s="65" t="s">
        <v>1483</v>
      </c>
      <c r="C1729" s="71"/>
      <c r="D1729" s="81" t="str">
        <f t="shared" si="30"/>
        <v>Inox Serti CoréenManchon réduit FF</v>
      </c>
      <c r="E1729" s="76"/>
      <c r="F1729" s="81">
        <v>0</v>
      </c>
      <c r="G1729" s="71"/>
      <c r="H1729" s="71"/>
      <c r="I1729" s="71"/>
      <c r="J1729" s="70">
        <f>IFERROR(VLOOKUP(Devis[[#This Row],[Ref Air Flux]],#REF!,3,FALSE),0)</f>
        <v>0</v>
      </c>
      <c r="K1729" s="68"/>
      <c r="L1729" s="68"/>
      <c r="M1729" s="68"/>
      <c r="N1729" s="68"/>
      <c r="O1729" s="68"/>
      <c r="P1729" s="68"/>
      <c r="Q1729" s="68">
        <f>SUM(Devis[[#This Row],[Poste 1]:[Poste 6]])</f>
        <v>0</v>
      </c>
      <c r="R1729" s="71"/>
      <c r="S1729" s="68">
        <f>_xlfn.CEILING.MATH(Devis[[#This Row],[Quantité Totale]],Devis[[#This Row],[Conditionnement]])</f>
        <v>0</v>
      </c>
      <c r="T1729" s="72"/>
      <c r="U1729" s="73"/>
      <c r="V1729" s="74">
        <f>Devis[[#This Row],[Prix de Revient]]*Devis[[#This Row],[Poste 1]]</f>
        <v>0</v>
      </c>
      <c r="W1729" s="74">
        <f>Devis[[#This Row],[Prix de Revient]]*Devis[[#This Row],[Poste 2]]</f>
        <v>0</v>
      </c>
      <c r="X1729" s="74">
        <f>Devis[[#This Row],[Prix de Revient]]*Devis[[#This Row],[Poste 3]]</f>
        <v>0</v>
      </c>
      <c r="Y1729" s="74">
        <f>Devis[[#This Row],[Poste 4]]*Devis[[#This Row],[Prix de Revient]]</f>
        <v>0</v>
      </c>
      <c r="Z1729" s="74">
        <f>Devis[[#This Row],[Poste 5]]*Devis[[#This Row],[Prix de Revient]]</f>
        <v>0</v>
      </c>
      <c r="AA1729" s="74">
        <f>Devis[[#This Row],[Prix de Revient]]*Devis[[#This Row],[Poste 6]]</f>
        <v>0</v>
      </c>
      <c r="AB1729" s="74">
        <f>Devis[[#This Row],[Quantité Totale]]*Devis[[#This Row],[Prix de Revient]]</f>
        <v>0</v>
      </c>
    </row>
    <row r="1730" spans="1:28" ht="14.25" outlineLevel="1" x14ac:dyDescent="0.2">
      <c r="A1730" s="75" t="s">
        <v>1378</v>
      </c>
      <c r="B1730" s="76" t="s">
        <v>1483</v>
      </c>
      <c r="C1730" s="71" t="s">
        <v>3620</v>
      </c>
      <c r="D1730" s="81" t="str">
        <f t="shared" si="30"/>
        <v>Inox Serti CoréenManchon réduit FFØ22</v>
      </c>
      <c r="E1730" s="76" t="s">
        <v>1484</v>
      </c>
      <c r="F1730" s="81">
        <v>1</v>
      </c>
      <c r="G1730" s="71" t="s">
        <v>1485</v>
      </c>
      <c r="H1730" s="71"/>
      <c r="I1730" s="71"/>
      <c r="J1730" s="70">
        <f>IFERROR(VLOOKUP(Devis[[#This Row],[Ref Air Flux]],#REF!,3,FALSE),0)</f>
        <v>0</v>
      </c>
      <c r="K1730" s="68"/>
      <c r="L1730" s="68"/>
      <c r="M1730" s="68"/>
      <c r="N1730" s="68"/>
      <c r="O1730" s="68"/>
      <c r="P1730" s="68"/>
      <c r="Q1730" s="68">
        <f>SUM(Devis[[#This Row],[Poste 1]:[Poste 6]])</f>
        <v>0</v>
      </c>
      <c r="R1730" s="71"/>
      <c r="S1730" s="68">
        <f>_xlfn.CEILING.MATH(Devis[[#This Row],[Quantité Totale]],Devis[[#This Row],[Conditionnement]])</f>
        <v>0</v>
      </c>
      <c r="T1730" s="72"/>
      <c r="U1730" s="73"/>
      <c r="V1730" s="74">
        <f>Devis[[#This Row],[Prix de Revient]]*Devis[[#This Row],[Poste 1]]</f>
        <v>0</v>
      </c>
      <c r="W1730" s="74">
        <f>Devis[[#This Row],[Prix de Revient]]*Devis[[#This Row],[Poste 2]]</f>
        <v>0</v>
      </c>
      <c r="X1730" s="74">
        <f>Devis[[#This Row],[Prix de Revient]]*Devis[[#This Row],[Poste 3]]</f>
        <v>0</v>
      </c>
      <c r="Y1730" s="74">
        <f>Devis[[#This Row],[Poste 4]]*Devis[[#This Row],[Prix de Revient]]</f>
        <v>0</v>
      </c>
      <c r="Z1730" s="74">
        <f>Devis[[#This Row],[Poste 5]]*Devis[[#This Row],[Prix de Revient]]</f>
        <v>0</v>
      </c>
      <c r="AA1730" s="74">
        <f>Devis[[#This Row],[Prix de Revient]]*Devis[[#This Row],[Poste 6]]</f>
        <v>0</v>
      </c>
      <c r="AB1730" s="74">
        <f>Devis[[#This Row],[Quantité Totale]]*Devis[[#This Row],[Prix de Revient]]</f>
        <v>0</v>
      </c>
    </row>
    <row r="1731" spans="1:28" ht="14.25" outlineLevel="1" x14ac:dyDescent="0.2">
      <c r="A1731" s="75" t="s">
        <v>1378</v>
      </c>
      <c r="B1731" s="76" t="s">
        <v>1483</v>
      </c>
      <c r="C1731" s="71" t="s">
        <v>3621</v>
      </c>
      <c r="D1731" s="81" t="str">
        <f t="shared" si="30"/>
        <v>Inox Serti CoréenManchon réduit FFØ28</v>
      </c>
      <c r="E1731" s="76" t="s">
        <v>1486</v>
      </c>
      <c r="F1731" s="81">
        <v>2</v>
      </c>
      <c r="G1731" s="71" t="s">
        <v>1487</v>
      </c>
      <c r="H1731" s="71"/>
      <c r="I1731" s="71"/>
      <c r="J1731" s="70">
        <f>IFERROR(VLOOKUP(Devis[[#This Row],[Ref Air Flux]],#REF!,3,FALSE),0)</f>
        <v>0</v>
      </c>
      <c r="K1731" s="68"/>
      <c r="L1731" s="68"/>
      <c r="M1731" s="68"/>
      <c r="N1731" s="68"/>
      <c r="O1731" s="68"/>
      <c r="P1731" s="68"/>
      <c r="Q1731" s="68">
        <f>SUM(Devis[[#This Row],[Poste 1]:[Poste 6]])</f>
        <v>0</v>
      </c>
      <c r="R1731" s="71"/>
      <c r="S1731" s="68">
        <f>_xlfn.CEILING.MATH(Devis[[#This Row],[Quantité Totale]],Devis[[#This Row],[Conditionnement]])</f>
        <v>0</v>
      </c>
      <c r="T1731" s="72"/>
      <c r="U1731" s="73"/>
      <c r="V1731" s="74">
        <f>Devis[[#This Row],[Prix de Revient]]*Devis[[#This Row],[Poste 1]]</f>
        <v>0</v>
      </c>
      <c r="W1731" s="74">
        <f>Devis[[#This Row],[Prix de Revient]]*Devis[[#This Row],[Poste 2]]</f>
        <v>0</v>
      </c>
      <c r="X1731" s="74">
        <f>Devis[[#This Row],[Prix de Revient]]*Devis[[#This Row],[Poste 3]]</f>
        <v>0</v>
      </c>
      <c r="Y1731" s="74">
        <f>Devis[[#This Row],[Poste 4]]*Devis[[#This Row],[Prix de Revient]]</f>
        <v>0</v>
      </c>
      <c r="Z1731" s="74">
        <f>Devis[[#This Row],[Poste 5]]*Devis[[#This Row],[Prix de Revient]]</f>
        <v>0</v>
      </c>
      <c r="AA1731" s="74">
        <f>Devis[[#This Row],[Prix de Revient]]*Devis[[#This Row],[Poste 6]]</f>
        <v>0</v>
      </c>
      <c r="AB1731" s="74">
        <f>Devis[[#This Row],[Quantité Totale]]*Devis[[#This Row],[Prix de Revient]]</f>
        <v>0</v>
      </c>
    </row>
    <row r="1732" spans="1:28" ht="15" customHeight="1" outlineLevel="1" x14ac:dyDescent="0.2">
      <c r="A1732" s="75" t="s">
        <v>1378</v>
      </c>
      <c r="B1732" s="76" t="s">
        <v>1483</v>
      </c>
      <c r="C1732" s="71" t="s">
        <v>3621</v>
      </c>
      <c r="D1732" s="81" t="str">
        <f t="shared" si="30"/>
        <v>Inox Serti CoréenManchon réduit FFØ28</v>
      </c>
      <c r="E1732" s="76" t="s">
        <v>1488</v>
      </c>
      <c r="F1732" s="81">
        <v>3</v>
      </c>
      <c r="G1732" s="71" t="s">
        <v>1489</v>
      </c>
      <c r="H1732" s="71"/>
      <c r="I1732" s="71"/>
      <c r="J1732" s="70">
        <f>IFERROR(VLOOKUP(Devis[[#This Row],[Ref Air Flux]],#REF!,3,FALSE),0)</f>
        <v>0</v>
      </c>
      <c r="K1732" s="68"/>
      <c r="L1732" s="68"/>
      <c r="M1732" s="68"/>
      <c r="N1732" s="68"/>
      <c r="O1732" s="68"/>
      <c r="P1732" s="68"/>
      <c r="Q1732" s="68">
        <f>SUM(Devis[[#This Row],[Poste 1]:[Poste 6]])</f>
        <v>0</v>
      </c>
      <c r="R1732" s="71"/>
      <c r="S1732" s="68">
        <f>_xlfn.CEILING.MATH(Devis[[#This Row],[Quantité Totale]],Devis[[#This Row],[Conditionnement]])</f>
        <v>0</v>
      </c>
      <c r="T1732" s="72"/>
      <c r="U1732" s="73"/>
      <c r="V1732" s="74">
        <f>Devis[[#This Row],[Prix de Revient]]*Devis[[#This Row],[Poste 1]]</f>
        <v>0</v>
      </c>
      <c r="W1732" s="74">
        <f>Devis[[#This Row],[Prix de Revient]]*Devis[[#This Row],[Poste 2]]</f>
        <v>0</v>
      </c>
      <c r="X1732" s="74">
        <f>Devis[[#This Row],[Prix de Revient]]*Devis[[#This Row],[Poste 3]]</f>
        <v>0</v>
      </c>
      <c r="Y1732" s="74">
        <f>Devis[[#This Row],[Poste 4]]*Devis[[#This Row],[Prix de Revient]]</f>
        <v>0</v>
      </c>
      <c r="Z1732" s="74">
        <f>Devis[[#This Row],[Poste 5]]*Devis[[#This Row],[Prix de Revient]]</f>
        <v>0</v>
      </c>
      <c r="AA1732" s="74">
        <f>Devis[[#This Row],[Prix de Revient]]*Devis[[#This Row],[Poste 6]]</f>
        <v>0</v>
      </c>
      <c r="AB1732" s="74">
        <f>Devis[[#This Row],[Quantité Totale]]*Devis[[#This Row],[Prix de Revient]]</f>
        <v>0</v>
      </c>
    </row>
    <row r="1733" spans="1:28" ht="14.25" outlineLevel="1" x14ac:dyDescent="0.2">
      <c r="A1733" s="75" t="s">
        <v>1378</v>
      </c>
      <c r="B1733" s="76" t="s">
        <v>1483</v>
      </c>
      <c r="C1733" s="71" t="s">
        <v>3622</v>
      </c>
      <c r="D1733" s="81" t="str">
        <f t="shared" si="30"/>
        <v>Inox Serti CoréenManchon réduit FFØ34</v>
      </c>
      <c r="E1733" s="76" t="s">
        <v>1490</v>
      </c>
      <c r="F1733" s="81">
        <v>4</v>
      </c>
      <c r="G1733" s="71" t="s">
        <v>1491</v>
      </c>
      <c r="H1733" s="71"/>
      <c r="I1733" s="71"/>
      <c r="J1733" s="70">
        <f>IFERROR(VLOOKUP(Devis[[#This Row],[Ref Air Flux]],#REF!,3,FALSE),0)</f>
        <v>0</v>
      </c>
      <c r="K1733" s="68"/>
      <c r="L1733" s="68"/>
      <c r="M1733" s="68"/>
      <c r="N1733" s="68"/>
      <c r="O1733" s="68"/>
      <c r="P1733" s="68"/>
      <c r="Q1733" s="68">
        <f>SUM(Devis[[#This Row],[Poste 1]:[Poste 6]])</f>
        <v>0</v>
      </c>
      <c r="R1733" s="71"/>
      <c r="S1733" s="68">
        <f>_xlfn.CEILING.MATH(Devis[[#This Row],[Quantité Totale]],Devis[[#This Row],[Conditionnement]])</f>
        <v>0</v>
      </c>
      <c r="T1733" s="72"/>
      <c r="U1733" s="73"/>
      <c r="V1733" s="74">
        <f>Devis[[#This Row],[Prix de Revient]]*Devis[[#This Row],[Poste 1]]</f>
        <v>0</v>
      </c>
      <c r="W1733" s="74">
        <f>Devis[[#This Row],[Prix de Revient]]*Devis[[#This Row],[Poste 2]]</f>
        <v>0</v>
      </c>
      <c r="X1733" s="74">
        <f>Devis[[#This Row],[Prix de Revient]]*Devis[[#This Row],[Poste 3]]</f>
        <v>0</v>
      </c>
      <c r="Y1733" s="74">
        <f>Devis[[#This Row],[Poste 4]]*Devis[[#This Row],[Prix de Revient]]</f>
        <v>0</v>
      </c>
      <c r="Z1733" s="74">
        <f>Devis[[#This Row],[Poste 5]]*Devis[[#This Row],[Prix de Revient]]</f>
        <v>0</v>
      </c>
      <c r="AA1733" s="74">
        <f>Devis[[#This Row],[Prix de Revient]]*Devis[[#This Row],[Poste 6]]</f>
        <v>0</v>
      </c>
      <c r="AB1733" s="74">
        <f>Devis[[#This Row],[Quantité Totale]]*Devis[[#This Row],[Prix de Revient]]</f>
        <v>0</v>
      </c>
    </row>
    <row r="1734" spans="1:28" ht="14.25" outlineLevel="1" x14ac:dyDescent="0.2">
      <c r="A1734" s="75" t="s">
        <v>1378</v>
      </c>
      <c r="B1734" s="76" t="s">
        <v>1483</v>
      </c>
      <c r="C1734" s="71" t="s">
        <v>3622</v>
      </c>
      <c r="D1734" s="81" t="str">
        <f t="shared" si="30"/>
        <v>Inox Serti CoréenManchon réduit FFØ34</v>
      </c>
      <c r="E1734" s="76" t="s">
        <v>1492</v>
      </c>
      <c r="F1734" s="81">
        <v>5</v>
      </c>
      <c r="G1734" s="71" t="s">
        <v>1493</v>
      </c>
      <c r="H1734" s="71"/>
      <c r="I1734" s="71"/>
      <c r="J1734" s="70">
        <f>IFERROR(VLOOKUP(Devis[[#This Row],[Ref Air Flux]],#REF!,3,FALSE),0)</f>
        <v>0</v>
      </c>
      <c r="K1734" s="68"/>
      <c r="L1734" s="68"/>
      <c r="M1734" s="68"/>
      <c r="N1734" s="68"/>
      <c r="O1734" s="68"/>
      <c r="P1734" s="68"/>
      <c r="Q1734" s="68">
        <f>SUM(Devis[[#This Row],[Poste 1]:[Poste 6]])</f>
        <v>0</v>
      </c>
      <c r="R1734" s="71"/>
      <c r="S1734" s="68">
        <f>_xlfn.CEILING.MATH(Devis[[#This Row],[Quantité Totale]],Devis[[#This Row],[Conditionnement]])</f>
        <v>0</v>
      </c>
      <c r="T1734" s="72"/>
      <c r="U1734" s="73"/>
      <c r="V1734" s="74">
        <f>Devis[[#This Row],[Prix de Revient]]*Devis[[#This Row],[Poste 1]]</f>
        <v>0</v>
      </c>
      <c r="W1734" s="74">
        <f>Devis[[#This Row],[Prix de Revient]]*Devis[[#This Row],[Poste 2]]</f>
        <v>0</v>
      </c>
      <c r="X1734" s="74">
        <f>Devis[[#This Row],[Prix de Revient]]*Devis[[#This Row],[Poste 3]]</f>
        <v>0</v>
      </c>
      <c r="Y1734" s="74">
        <f>Devis[[#This Row],[Poste 4]]*Devis[[#This Row],[Prix de Revient]]</f>
        <v>0</v>
      </c>
      <c r="Z1734" s="74">
        <f>Devis[[#This Row],[Poste 5]]*Devis[[#This Row],[Prix de Revient]]</f>
        <v>0</v>
      </c>
      <c r="AA1734" s="74">
        <f>Devis[[#This Row],[Prix de Revient]]*Devis[[#This Row],[Poste 6]]</f>
        <v>0</v>
      </c>
      <c r="AB1734" s="74">
        <f>Devis[[#This Row],[Quantité Totale]]*Devis[[#This Row],[Prix de Revient]]</f>
        <v>0</v>
      </c>
    </row>
    <row r="1735" spans="1:28" ht="14.25" outlineLevel="1" x14ac:dyDescent="0.2">
      <c r="A1735" s="75" t="s">
        <v>1378</v>
      </c>
      <c r="B1735" s="76" t="s">
        <v>1483</v>
      </c>
      <c r="C1735" s="71" t="s">
        <v>3622</v>
      </c>
      <c r="D1735" s="81" t="str">
        <f t="shared" si="30"/>
        <v>Inox Serti CoréenManchon réduit FFØ34</v>
      </c>
      <c r="E1735" s="76" t="s">
        <v>1494</v>
      </c>
      <c r="F1735" s="81">
        <v>6</v>
      </c>
      <c r="G1735" s="71" t="s">
        <v>1495</v>
      </c>
      <c r="H1735" s="71"/>
      <c r="I1735" s="71"/>
      <c r="J1735" s="70">
        <f>IFERROR(VLOOKUP(Devis[[#This Row],[Ref Air Flux]],#REF!,3,FALSE),0)</f>
        <v>0</v>
      </c>
      <c r="K1735" s="68"/>
      <c r="L1735" s="68"/>
      <c r="M1735" s="68"/>
      <c r="N1735" s="68"/>
      <c r="O1735" s="68"/>
      <c r="P1735" s="68"/>
      <c r="Q1735" s="68">
        <f>SUM(Devis[[#This Row],[Poste 1]:[Poste 6]])</f>
        <v>0</v>
      </c>
      <c r="R1735" s="71"/>
      <c r="S1735" s="68">
        <f>_xlfn.CEILING.MATH(Devis[[#This Row],[Quantité Totale]],Devis[[#This Row],[Conditionnement]])</f>
        <v>0</v>
      </c>
      <c r="T1735" s="72"/>
      <c r="U1735" s="73"/>
      <c r="V1735" s="74">
        <f>Devis[[#This Row],[Prix de Revient]]*Devis[[#This Row],[Poste 1]]</f>
        <v>0</v>
      </c>
      <c r="W1735" s="74">
        <f>Devis[[#This Row],[Prix de Revient]]*Devis[[#This Row],[Poste 2]]</f>
        <v>0</v>
      </c>
      <c r="X1735" s="74">
        <f>Devis[[#This Row],[Prix de Revient]]*Devis[[#This Row],[Poste 3]]</f>
        <v>0</v>
      </c>
      <c r="Y1735" s="74">
        <f>Devis[[#This Row],[Poste 4]]*Devis[[#This Row],[Prix de Revient]]</f>
        <v>0</v>
      </c>
      <c r="Z1735" s="74">
        <f>Devis[[#This Row],[Poste 5]]*Devis[[#This Row],[Prix de Revient]]</f>
        <v>0</v>
      </c>
      <c r="AA1735" s="74">
        <f>Devis[[#This Row],[Prix de Revient]]*Devis[[#This Row],[Poste 6]]</f>
        <v>0</v>
      </c>
      <c r="AB1735" s="74">
        <f>Devis[[#This Row],[Quantité Totale]]*Devis[[#This Row],[Prix de Revient]]</f>
        <v>0</v>
      </c>
    </row>
    <row r="1736" spans="1:28" ht="14.25" customHeight="1" outlineLevel="1" x14ac:dyDescent="0.2">
      <c r="A1736" s="75" t="s">
        <v>1378</v>
      </c>
      <c r="B1736" s="76" t="s">
        <v>1483</v>
      </c>
      <c r="C1736" s="71" t="s">
        <v>3623</v>
      </c>
      <c r="D1736" s="81" t="str">
        <f t="shared" si="30"/>
        <v>Inox Serti CoréenManchon réduit FFØ42</v>
      </c>
      <c r="E1736" s="76" t="s">
        <v>1496</v>
      </c>
      <c r="F1736" s="81">
        <v>7</v>
      </c>
      <c r="G1736" s="71" t="s">
        <v>1497</v>
      </c>
      <c r="H1736" s="71"/>
      <c r="I1736" s="71"/>
      <c r="J1736" s="70">
        <f>IFERROR(VLOOKUP(Devis[[#This Row],[Ref Air Flux]],#REF!,3,FALSE),0)</f>
        <v>0</v>
      </c>
      <c r="K1736" s="68"/>
      <c r="L1736" s="68"/>
      <c r="M1736" s="68"/>
      <c r="N1736" s="68"/>
      <c r="O1736" s="68"/>
      <c r="P1736" s="68"/>
      <c r="Q1736" s="68">
        <f>SUM(Devis[[#This Row],[Poste 1]:[Poste 6]])</f>
        <v>0</v>
      </c>
      <c r="R1736" s="71"/>
      <c r="S1736" s="68">
        <f>_xlfn.CEILING.MATH(Devis[[#This Row],[Quantité Totale]],Devis[[#This Row],[Conditionnement]])</f>
        <v>0</v>
      </c>
      <c r="T1736" s="72"/>
      <c r="U1736" s="73"/>
      <c r="V1736" s="74">
        <f>Devis[[#This Row],[Prix de Revient]]*Devis[[#This Row],[Poste 1]]</f>
        <v>0</v>
      </c>
      <c r="W1736" s="74">
        <f>Devis[[#This Row],[Prix de Revient]]*Devis[[#This Row],[Poste 2]]</f>
        <v>0</v>
      </c>
      <c r="X1736" s="74">
        <f>Devis[[#This Row],[Prix de Revient]]*Devis[[#This Row],[Poste 3]]</f>
        <v>0</v>
      </c>
      <c r="Y1736" s="74">
        <f>Devis[[#This Row],[Poste 4]]*Devis[[#This Row],[Prix de Revient]]</f>
        <v>0</v>
      </c>
      <c r="Z1736" s="74">
        <f>Devis[[#This Row],[Poste 5]]*Devis[[#This Row],[Prix de Revient]]</f>
        <v>0</v>
      </c>
      <c r="AA1736" s="74">
        <f>Devis[[#This Row],[Prix de Revient]]*Devis[[#This Row],[Poste 6]]</f>
        <v>0</v>
      </c>
      <c r="AB1736" s="74">
        <f>Devis[[#This Row],[Quantité Totale]]*Devis[[#This Row],[Prix de Revient]]</f>
        <v>0</v>
      </c>
    </row>
    <row r="1737" spans="1:28" ht="14.25" customHeight="1" outlineLevel="1" x14ac:dyDescent="0.2">
      <c r="A1737" s="75" t="s">
        <v>1378</v>
      </c>
      <c r="B1737" s="76" t="s">
        <v>1483</v>
      </c>
      <c r="C1737" s="71" t="s">
        <v>3623</v>
      </c>
      <c r="D1737" s="81" t="str">
        <f t="shared" si="30"/>
        <v>Inox Serti CoréenManchon réduit FFØ42</v>
      </c>
      <c r="E1737" s="76" t="s">
        <v>1498</v>
      </c>
      <c r="F1737" s="81">
        <v>8</v>
      </c>
      <c r="G1737" s="71" t="s">
        <v>1499</v>
      </c>
      <c r="H1737" s="71"/>
      <c r="I1737" s="71"/>
      <c r="J1737" s="70">
        <f>IFERROR(VLOOKUP(Devis[[#This Row],[Ref Air Flux]],#REF!,3,FALSE),0)</f>
        <v>0</v>
      </c>
      <c r="K1737" s="68"/>
      <c r="L1737" s="68"/>
      <c r="M1737" s="68"/>
      <c r="N1737" s="68"/>
      <c r="O1737" s="68"/>
      <c r="P1737" s="68"/>
      <c r="Q1737" s="68">
        <f>SUM(Devis[[#This Row],[Poste 1]:[Poste 6]])</f>
        <v>0</v>
      </c>
      <c r="R1737" s="71"/>
      <c r="S1737" s="68">
        <f>_xlfn.CEILING.MATH(Devis[[#This Row],[Quantité Totale]],Devis[[#This Row],[Conditionnement]])</f>
        <v>0</v>
      </c>
      <c r="T1737" s="72"/>
      <c r="U1737" s="73"/>
      <c r="V1737" s="74">
        <f>Devis[[#This Row],[Prix de Revient]]*Devis[[#This Row],[Poste 1]]</f>
        <v>0</v>
      </c>
      <c r="W1737" s="74">
        <f>Devis[[#This Row],[Prix de Revient]]*Devis[[#This Row],[Poste 2]]</f>
        <v>0</v>
      </c>
      <c r="X1737" s="74">
        <f>Devis[[#This Row],[Prix de Revient]]*Devis[[#This Row],[Poste 3]]</f>
        <v>0</v>
      </c>
      <c r="Y1737" s="74">
        <f>Devis[[#This Row],[Poste 4]]*Devis[[#This Row],[Prix de Revient]]</f>
        <v>0</v>
      </c>
      <c r="Z1737" s="74">
        <f>Devis[[#This Row],[Poste 5]]*Devis[[#This Row],[Prix de Revient]]</f>
        <v>0</v>
      </c>
      <c r="AA1737" s="74">
        <f>Devis[[#This Row],[Prix de Revient]]*Devis[[#This Row],[Poste 6]]</f>
        <v>0</v>
      </c>
      <c r="AB1737" s="74">
        <f>Devis[[#This Row],[Quantité Totale]]*Devis[[#This Row],[Prix de Revient]]</f>
        <v>0</v>
      </c>
    </row>
    <row r="1738" spans="1:28" ht="14.25" outlineLevel="1" x14ac:dyDescent="0.2">
      <c r="A1738" s="75" t="s">
        <v>1378</v>
      </c>
      <c r="B1738" s="76" t="s">
        <v>1483</v>
      </c>
      <c r="C1738" s="71" t="s">
        <v>3623</v>
      </c>
      <c r="D1738" s="81" t="str">
        <f t="shared" si="30"/>
        <v>Inox Serti CoréenManchon réduit FFØ42</v>
      </c>
      <c r="E1738" s="76" t="s">
        <v>1500</v>
      </c>
      <c r="F1738" s="81">
        <v>9</v>
      </c>
      <c r="G1738" s="71" t="s">
        <v>1501</v>
      </c>
      <c r="H1738" s="71"/>
      <c r="I1738" s="71"/>
      <c r="J1738" s="70">
        <f>IFERROR(VLOOKUP(Devis[[#This Row],[Ref Air Flux]],#REF!,3,FALSE),0)</f>
        <v>0</v>
      </c>
      <c r="K1738" s="68"/>
      <c r="L1738" s="68"/>
      <c r="M1738" s="68"/>
      <c r="N1738" s="68"/>
      <c r="O1738" s="68"/>
      <c r="P1738" s="68"/>
      <c r="Q1738" s="68">
        <f>SUM(Devis[[#This Row],[Poste 1]:[Poste 6]])</f>
        <v>0</v>
      </c>
      <c r="R1738" s="71"/>
      <c r="S1738" s="68">
        <f>_xlfn.CEILING.MATH(Devis[[#This Row],[Quantité Totale]],Devis[[#This Row],[Conditionnement]])</f>
        <v>0</v>
      </c>
      <c r="T1738" s="72"/>
      <c r="U1738" s="73"/>
      <c r="V1738" s="74">
        <f>Devis[[#This Row],[Prix de Revient]]*Devis[[#This Row],[Poste 1]]</f>
        <v>0</v>
      </c>
      <c r="W1738" s="74">
        <f>Devis[[#This Row],[Prix de Revient]]*Devis[[#This Row],[Poste 2]]</f>
        <v>0</v>
      </c>
      <c r="X1738" s="74">
        <f>Devis[[#This Row],[Prix de Revient]]*Devis[[#This Row],[Poste 3]]</f>
        <v>0</v>
      </c>
      <c r="Y1738" s="74">
        <f>Devis[[#This Row],[Poste 4]]*Devis[[#This Row],[Prix de Revient]]</f>
        <v>0</v>
      </c>
      <c r="Z1738" s="74">
        <f>Devis[[#This Row],[Poste 5]]*Devis[[#This Row],[Prix de Revient]]</f>
        <v>0</v>
      </c>
      <c r="AA1738" s="74">
        <f>Devis[[#This Row],[Prix de Revient]]*Devis[[#This Row],[Poste 6]]</f>
        <v>0</v>
      </c>
      <c r="AB1738" s="74">
        <f>Devis[[#This Row],[Quantité Totale]]*Devis[[#This Row],[Prix de Revient]]</f>
        <v>0</v>
      </c>
    </row>
    <row r="1739" spans="1:28" ht="14.25" outlineLevel="1" x14ac:dyDescent="0.2">
      <c r="A1739" s="75" t="s">
        <v>1378</v>
      </c>
      <c r="B1739" s="76" t="s">
        <v>1483</v>
      </c>
      <c r="C1739" s="71" t="s">
        <v>3623</v>
      </c>
      <c r="D1739" s="81" t="str">
        <f t="shared" si="30"/>
        <v>Inox Serti CoréenManchon réduit FFØ42</v>
      </c>
      <c r="E1739" s="76" t="s">
        <v>1502</v>
      </c>
      <c r="F1739" s="81">
        <v>10</v>
      </c>
      <c r="G1739" s="71" t="s">
        <v>1503</v>
      </c>
      <c r="H1739" s="71"/>
      <c r="I1739" s="71"/>
      <c r="J1739" s="70">
        <f>IFERROR(VLOOKUP(Devis[[#This Row],[Ref Air Flux]],#REF!,3,FALSE),0)</f>
        <v>0</v>
      </c>
      <c r="K1739" s="68"/>
      <c r="L1739" s="68"/>
      <c r="M1739" s="68"/>
      <c r="N1739" s="68"/>
      <c r="O1739" s="68"/>
      <c r="P1739" s="68"/>
      <c r="Q1739" s="68">
        <f>SUM(Devis[[#This Row],[Poste 1]:[Poste 6]])</f>
        <v>0</v>
      </c>
      <c r="R1739" s="71"/>
      <c r="S1739" s="68">
        <f>_xlfn.CEILING.MATH(Devis[[#This Row],[Quantité Totale]],Devis[[#This Row],[Conditionnement]])</f>
        <v>0</v>
      </c>
      <c r="T1739" s="72"/>
      <c r="U1739" s="73"/>
      <c r="V1739" s="74">
        <f>Devis[[#This Row],[Prix de Revient]]*Devis[[#This Row],[Poste 1]]</f>
        <v>0</v>
      </c>
      <c r="W1739" s="74">
        <f>Devis[[#This Row],[Prix de Revient]]*Devis[[#This Row],[Poste 2]]</f>
        <v>0</v>
      </c>
      <c r="X1739" s="74">
        <f>Devis[[#This Row],[Prix de Revient]]*Devis[[#This Row],[Poste 3]]</f>
        <v>0</v>
      </c>
      <c r="Y1739" s="74">
        <f>Devis[[#This Row],[Poste 4]]*Devis[[#This Row],[Prix de Revient]]</f>
        <v>0</v>
      </c>
      <c r="Z1739" s="74">
        <f>Devis[[#This Row],[Poste 5]]*Devis[[#This Row],[Prix de Revient]]</f>
        <v>0</v>
      </c>
      <c r="AA1739" s="74">
        <f>Devis[[#This Row],[Prix de Revient]]*Devis[[#This Row],[Poste 6]]</f>
        <v>0</v>
      </c>
      <c r="AB1739" s="74">
        <f>Devis[[#This Row],[Quantité Totale]]*Devis[[#This Row],[Prix de Revient]]</f>
        <v>0</v>
      </c>
    </row>
    <row r="1740" spans="1:28" ht="15" customHeight="1" outlineLevel="1" x14ac:dyDescent="0.2">
      <c r="A1740" s="75" t="s">
        <v>1378</v>
      </c>
      <c r="B1740" s="76" t="s">
        <v>1483</v>
      </c>
      <c r="C1740" s="71" t="s">
        <v>3624</v>
      </c>
      <c r="D1740" s="81" t="str">
        <f t="shared" si="30"/>
        <v>Inox Serti CoréenManchon réduit FFØ48</v>
      </c>
      <c r="E1740" s="76" t="s">
        <v>1504</v>
      </c>
      <c r="F1740" s="81">
        <v>11</v>
      </c>
      <c r="G1740" s="71" t="s">
        <v>1505</v>
      </c>
      <c r="H1740" s="71"/>
      <c r="I1740" s="71"/>
      <c r="J1740" s="70">
        <f>IFERROR(VLOOKUP(Devis[[#This Row],[Ref Air Flux]],#REF!,3,FALSE),0)</f>
        <v>0</v>
      </c>
      <c r="K1740" s="68"/>
      <c r="L1740" s="68"/>
      <c r="M1740" s="68"/>
      <c r="N1740" s="68"/>
      <c r="O1740" s="68"/>
      <c r="P1740" s="68"/>
      <c r="Q1740" s="68">
        <f>SUM(Devis[[#This Row],[Poste 1]:[Poste 6]])</f>
        <v>0</v>
      </c>
      <c r="R1740" s="71"/>
      <c r="S1740" s="68">
        <f>_xlfn.CEILING.MATH(Devis[[#This Row],[Quantité Totale]],Devis[[#This Row],[Conditionnement]])</f>
        <v>0</v>
      </c>
      <c r="T1740" s="72"/>
      <c r="U1740" s="73"/>
      <c r="V1740" s="74">
        <f>Devis[[#This Row],[Prix de Revient]]*Devis[[#This Row],[Poste 1]]</f>
        <v>0</v>
      </c>
      <c r="W1740" s="74">
        <f>Devis[[#This Row],[Prix de Revient]]*Devis[[#This Row],[Poste 2]]</f>
        <v>0</v>
      </c>
      <c r="X1740" s="74">
        <f>Devis[[#This Row],[Prix de Revient]]*Devis[[#This Row],[Poste 3]]</f>
        <v>0</v>
      </c>
      <c r="Y1740" s="74">
        <f>Devis[[#This Row],[Poste 4]]*Devis[[#This Row],[Prix de Revient]]</f>
        <v>0</v>
      </c>
      <c r="Z1740" s="74">
        <f>Devis[[#This Row],[Poste 5]]*Devis[[#This Row],[Prix de Revient]]</f>
        <v>0</v>
      </c>
      <c r="AA1740" s="74">
        <f>Devis[[#This Row],[Prix de Revient]]*Devis[[#This Row],[Poste 6]]</f>
        <v>0</v>
      </c>
      <c r="AB1740" s="74">
        <f>Devis[[#This Row],[Quantité Totale]]*Devis[[#This Row],[Prix de Revient]]</f>
        <v>0</v>
      </c>
    </row>
    <row r="1741" spans="1:28" ht="14.25" outlineLevel="1" x14ac:dyDescent="0.2">
      <c r="A1741" s="75" t="s">
        <v>1378</v>
      </c>
      <c r="B1741" s="76" t="s">
        <v>1483</v>
      </c>
      <c r="C1741" s="71" t="s">
        <v>3624</v>
      </c>
      <c r="D1741" s="81" t="str">
        <f t="shared" si="30"/>
        <v>Inox Serti CoréenManchon réduit FFØ48</v>
      </c>
      <c r="E1741" s="76" t="s">
        <v>1506</v>
      </c>
      <c r="F1741" s="81">
        <v>12</v>
      </c>
      <c r="G1741" s="71" t="s">
        <v>1507</v>
      </c>
      <c r="H1741" s="71"/>
      <c r="I1741" s="71"/>
      <c r="J1741" s="70">
        <f>IFERROR(VLOOKUP(Devis[[#This Row],[Ref Air Flux]],#REF!,3,FALSE),0)</f>
        <v>0</v>
      </c>
      <c r="K1741" s="68"/>
      <c r="L1741" s="68"/>
      <c r="M1741" s="68"/>
      <c r="N1741" s="68"/>
      <c r="O1741" s="68"/>
      <c r="P1741" s="68"/>
      <c r="Q1741" s="68">
        <f>SUM(Devis[[#This Row],[Poste 1]:[Poste 6]])</f>
        <v>0</v>
      </c>
      <c r="R1741" s="71"/>
      <c r="S1741" s="68">
        <f>_xlfn.CEILING.MATH(Devis[[#This Row],[Quantité Totale]],Devis[[#This Row],[Conditionnement]])</f>
        <v>0</v>
      </c>
      <c r="T1741" s="72"/>
      <c r="U1741" s="73"/>
      <c r="V1741" s="74">
        <f>Devis[[#This Row],[Prix de Revient]]*Devis[[#This Row],[Poste 1]]</f>
        <v>0</v>
      </c>
      <c r="W1741" s="74">
        <f>Devis[[#This Row],[Prix de Revient]]*Devis[[#This Row],[Poste 2]]</f>
        <v>0</v>
      </c>
      <c r="X1741" s="74">
        <f>Devis[[#This Row],[Prix de Revient]]*Devis[[#This Row],[Poste 3]]</f>
        <v>0</v>
      </c>
      <c r="Y1741" s="74">
        <f>Devis[[#This Row],[Poste 4]]*Devis[[#This Row],[Prix de Revient]]</f>
        <v>0</v>
      </c>
      <c r="Z1741" s="74">
        <f>Devis[[#This Row],[Poste 5]]*Devis[[#This Row],[Prix de Revient]]</f>
        <v>0</v>
      </c>
      <c r="AA1741" s="74">
        <f>Devis[[#This Row],[Prix de Revient]]*Devis[[#This Row],[Poste 6]]</f>
        <v>0</v>
      </c>
      <c r="AB1741" s="74">
        <f>Devis[[#This Row],[Quantité Totale]]*Devis[[#This Row],[Prix de Revient]]</f>
        <v>0</v>
      </c>
    </row>
    <row r="1742" spans="1:28" ht="14.25" outlineLevel="1" x14ac:dyDescent="0.2">
      <c r="A1742" s="75" t="s">
        <v>1378</v>
      </c>
      <c r="B1742" s="76" t="s">
        <v>1483</v>
      </c>
      <c r="C1742" s="71" t="s">
        <v>3624</v>
      </c>
      <c r="D1742" s="81" t="str">
        <f t="shared" si="30"/>
        <v>Inox Serti CoréenManchon réduit FFØ48</v>
      </c>
      <c r="E1742" s="76" t="s">
        <v>1508</v>
      </c>
      <c r="F1742" s="81">
        <v>13</v>
      </c>
      <c r="G1742" s="71" t="s">
        <v>1509</v>
      </c>
      <c r="H1742" s="71"/>
      <c r="I1742" s="71"/>
      <c r="J1742" s="70">
        <f>IFERROR(VLOOKUP(Devis[[#This Row],[Ref Air Flux]],#REF!,3,FALSE),0)</f>
        <v>0</v>
      </c>
      <c r="K1742" s="68"/>
      <c r="L1742" s="68"/>
      <c r="M1742" s="68"/>
      <c r="N1742" s="68"/>
      <c r="O1742" s="68"/>
      <c r="P1742" s="68"/>
      <c r="Q1742" s="68">
        <f>SUM(Devis[[#This Row],[Poste 1]:[Poste 6]])</f>
        <v>0</v>
      </c>
      <c r="R1742" s="71"/>
      <c r="S1742" s="68">
        <f>_xlfn.CEILING.MATH(Devis[[#This Row],[Quantité Totale]],Devis[[#This Row],[Conditionnement]])</f>
        <v>0</v>
      </c>
      <c r="T1742" s="72"/>
      <c r="U1742" s="73"/>
      <c r="V1742" s="74">
        <f>Devis[[#This Row],[Prix de Revient]]*Devis[[#This Row],[Poste 1]]</f>
        <v>0</v>
      </c>
      <c r="W1742" s="74">
        <f>Devis[[#This Row],[Prix de Revient]]*Devis[[#This Row],[Poste 2]]</f>
        <v>0</v>
      </c>
      <c r="X1742" s="74">
        <f>Devis[[#This Row],[Prix de Revient]]*Devis[[#This Row],[Poste 3]]</f>
        <v>0</v>
      </c>
      <c r="Y1742" s="74">
        <f>Devis[[#This Row],[Poste 4]]*Devis[[#This Row],[Prix de Revient]]</f>
        <v>0</v>
      </c>
      <c r="Z1742" s="74">
        <f>Devis[[#This Row],[Poste 5]]*Devis[[#This Row],[Prix de Revient]]</f>
        <v>0</v>
      </c>
      <c r="AA1742" s="74">
        <f>Devis[[#This Row],[Prix de Revient]]*Devis[[#This Row],[Poste 6]]</f>
        <v>0</v>
      </c>
      <c r="AB1742" s="74">
        <f>Devis[[#This Row],[Quantité Totale]]*Devis[[#This Row],[Prix de Revient]]</f>
        <v>0</v>
      </c>
    </row>
    <row r="1743" spans="1:28" ht="14.25" outlineLevel="1" x14ac:dyDescent="0.2">
      <c r="A1743" s="75" t="s">
        <v>1378</v>
      </c>
      <c r="B1743" s="76" t="s">
        <v>1483</v>
      </c>
      <c r="C1743" s="71" t="s">
        <v>3624</v>
      </c>
      <c r="D1743" s="81" t="str">
        <f t="shared" si="30"/>
        <v>Inox Serti CoréenManchon réduit FFØ48</v>
      </c>
      <c r="E1743" s="76" t="s">
        <v>1510</v>
      </c>
      <c r="F1743" s="81">
        <v>14</v>
      </c>
      <c r="G1743" s="71" t="s">
        <v>1511</v>
      </c>
      <c r="H1743" s="71"/>
      <c r="I1743" s="71"/>
      <c r="J1743" s="70">
        <f>IFERROR(VLOOKUP(Devis[[#This Row],[Ref Air Flux]],#REF!,3,FALSE),0)</f>
        <v>0</v>
      </c>
      <c r="K1743" s="68"/>
      <c r="L1743" s="68"/>
      <c r="M1743" s="68"/>
      <c r="N1743" s="68"/>
      <c r="O1743" s="68"/>
      <c r="P1743" s="68"/>
      <c r="Q1743" s="68">
        <f>SUM(Devis[[#This Row],[Poste 1]:[Poste 6]])</f>
        <v>0</v>
      </c>
      <c r="R1743" s="71"/>
      <c r="S1743" s="68">
        <f>_xlfn.CEILING.MATH(Devis[[#This Row],[Quantité Totale]],Devis[[#This Row],[Conditionnement]])</f>
        <v>0</v>
      </c>
      <c r="T1743" s="72"/>
      <c r="U1743" s="73"/>
      <c r="V1743" s="74">
        <f>Devis[[#This Row],[Prix de Revient]]*Devis[[#This Row],[Poste 1]]</f>
        <v>0</v>
      </c>
      <c r="W1743" s="74">
        <f>Devis[[#This Row],[Prix de Revient]]*Devis[[#This Row],[Poste 2]]</f>
        <v>0</v>
      </c>
      <c r="X1743" s="74">
        <f>Devis[[#This Row],[Prix de Revient]]*Devis[[#This Row],[Poste 3]]</f>
        <v>0</v>
      </c>
      <c r="Y1743" s="74">
        <f>Devis[[#This Row],[Poste 4]]*Devis[[#This Row],[Prix de Revient]]</f>
        <v>0</v>
      </c>
      <c r="Z1743" s="74">
        <f>Devis[[#This Row],[Poste 5]]*Devis[[#This Row],[Prix de Revient]]</f>
        <v>0</v>
      </c>
      <c r="AA1743" s="74">
        <f>Devis[[#This Row],[Prix de Revient]]*Devis[[#This Row],[Poste 6]]</f>
        <v>0</v>
      </c>
      <c r="AB1743" s="74">
        <f>Devis[[#This Row],[Quantité Totale]]*Devis[[#This Row],[Prix de Revient]]</f>
        <v>0</v>
      </c>
    </row>
    <row r="1744" spans="1:28" ht="14.25" outlineLevel="1" x14ac:dyDescent="0.2">
      <c r="A1744" s="75" t="s">
        <v>1378</v>
      </c>
      <c r="B1744" s="76" t="s">
        <v>1483</v>
      </c>
      <c r="C1744" s="71" t="s">
        <v>3624</v>
      </c>
      <c r="D1744" s="81" t="str">
        <f t="shared" si="30"/>
        <v>Inox Serti CoréenManchon réduit FFØ48</v>
      </c>
      <c r="E1744" s="76" t="s">
        <v>1512</v>
      </c>
      <c r="F1744" s="81">
        <v>15</v>
      </c>
      <c r="G1744" s="71" t="s">
        <v>1513</v>
      </c>
      <c r="H1744" s="71"/>
      <c r="I1744" s="71"/>
      <c r="J1744" s="70">
        <f>IFERROR(VLOOKUP(Devis[[#This Row],[Ref Air Flux]],#REF!,3,FALSE),0)</f>
        <v>0</v>
      </c>
      <c r="K1744" s="68"/>
      <c r="L1744" s="68"/>
      <c r="M1744" s="68"/>
      <c r="N1744" s="68"/>
      <c r="O1744" s="68"/>
      <c r="P1744" s="68"/>
      <c r="Q1744" s="68">
        <f>SUM(Devis[[#This Row],[Poste 1]:[Poste 6]])</f>
        <v>0</v>
      </c>
      <c r="R1744" s="71"/>
      <c r="S1744" s="68">
        <f>_xlfn.CEILING.MATH(Devis[[#This Row],[Quantité Totale]],Devis[[#This Row],[Conditionnement]])</f>
        <v>0</v>
      </c>
      <c r="T1744" s="72"/>
      <c r="U1744" s="73"/>
      <c r="V1744" s="74">
        <f>Devis[[#This Row],[Prix de Revient]]*Devis[[#This Row],[Poste 1]]</f>
        <v>0</v>
      </c>
      <c r="W1744" s="74">
        <f>Devis[[#This Row],[Prix de Revient]]*Devis[[#This Row],[Poste 2]]</f>
        <v>0</v>
      </c>
      <c r="X1744" s="74">
        <f>Devis[[#This Row],[Prix de Revient]]*Devis[[#This Row],[Poste 3]]</f>
        <v>0</v>
      </c>
      <c r="Y1744" s="74">
        <f>Devis[[#This Row],[Poste 4]]*Devis[[#This Row],[Prix de Revient]]</f>
        <v>0</v>
      </c>
      <c r="Z1744" s="74">
        <f>Devis[[#This Row],[Poste 5]]*Devis[[#This Row],[Prix de Revient]]</f>
        <v>0</v>
      </c>
      <c r="AA1744" s="74">
        <f>Devis[[#This Row],[Prix de Revient]]*Devis[[#This Row],[Poste 6]]</f>
        <v>0</v>
      </c>
      <c r="AB1744" s="74">
        <f>Devis[[#This Row],[Quantité Totale]]*Devis[[#This Row],[Prix de Revient]]</f>
        <v>0</v>
      </c>
    </row>
    <row r="1745" spans="1:28" ht="14.25" customHeight="1" outlineLevel="1" x14ac:dyDescent="0.2">
      <c r="A1745" s="75" t="s">
        <v>1378</v>
      </c>
      <c r="B1745" s="76" t="s">
        <v>1483</v>
      </c>
      <c r="C1745" s="71" t="s">
        <v>4721</v>
      </c>
      <c r="D1745" s="81" t="str">
        <f t="shared" si="30"/>
        <v>Inox Serti CoréenManchon réduit FFØ62</v>
      </c>
      <c r="E1745" s="76" t="s">
        <v>1514</v>
      </c>
      <c r="F1745" s="81">
        <v>16</v>
      </c>
      <c r="G1745" s="71" t="s">
        <v>1515</v>
      </c>
      <c r="H1745" s="71"/>
      <c r="I1745" s="71"/>
      <c r="J1745" s="70">
        <f>IFERROR(VLOOKUP(Devis[[#This Row],[Ref Air Flux]],#REF!,3,FALSE),0)</f>
        <v>0</v>
      </c>
      <c r="K1745" s="68"/>
      <c r="L1745" s="68"/>
      <c r="M1745" s="68"/>
      <c r="N1745" s="68"/>
      <c r="O1745" s="68"/>
      <c r="P1745" s="68"/>
      <c r="Q1745" s="68">
        <f>SUM(Devis[[#This Row],[Poste 1]:[Poste 6]])</f>
        <v>0</v>
      </c>
      <c r="R1745" s="71"/>
      <c r="S1745" s="68">
        <f>_xlfn.CEILING.MATH(Devis[[#This Row],[Quantité Totale]],Devis[[#This Row],[Conditionnement]])</f>
        <v>0</v>
      </c>
      <c r="T1745" s="72"/>
      <c r="U1745" s="73"/>
      <c r="V1745" s="74">
        <f>Devis[[#This Row],[Prix de Revient]]*Devis[[#This Row],[Poste 1]]</f>
        <v>0</v>
      </c>
      <c r="W1745" s="74">
        <f>Devis[[#This Row],[Prix de Revient]]*Devis[[#This Row],[Poste 2]]</f>
        <v>0</v>
      </c>
      <c r="X1745" s="74">
        <f>Devis[[#This Row],[Prix de Revient]]*Devis[[#This Row],[Poste 3]]</f>
        <v>0</v>
      </c>
      <c r="Y1745" s="74">
        <f>Devis[[#This Row],[Poste 4]]*Devis[[#This Row],[Prix de Revient]]</f>
        <v>0</v>
      </c>
      <c r="Z1745" s="74">
        <f>Devis[[#This Row],[Poste 5]]*Devis[[#This Row],[Prix de Revient]]</f>
        <v>0</v>
      </c>
      <c r="AA1745" s="74">
        <f>Devis[[#This Row],[Prix de Revient]]*Devis[[#This Row],[Poste 6]]</f>
        <v>0</v>
      </c>
      <c r="AB1745" s="74">
        <f>Devis[[#This Row],[Quantité Totale]]*Devis[[#This Row],[Prix de Revient]]</f>
        <v>0</v>
      </c>
    </row>
    <row r="1746" spans="1:28" ht="14.25" customHeight="1" outlineLevel="1" x14ac:dyDescent="0.2">
      <c r="A1746" s="75" t="s">
        <v>1378</v>
      </c>
      <c r="B1746" s="76" t="s">
        <v>1483</v>
      </c>
      <c r="C1746" s="71" t="s">
        <v>4721</v>
      </c>
      <c r="D1746" s="81" t="str">
        <f t="shared" si="30"/>
        <v>Inox Serti CoréenManchon réduit FFØ62</v>
      </c>
      <c r="E1746" s="76" t="s">
        <v>1516</v>
      </c>
      <c r="F1746" s="81">
        <v>17</v>
      </c>
      <c r="G1746" s="71" t="s">
        <v>1517</v>
      </c>
      <c r="H1746" s="71"/>
      <c r="I1746" s="71"/>
      <c r="J1746" s="70">
        <f>IFERROR(VLOOKUP(Devis[[#This Row],[Ref Air Flux]],#REF!,3,FALSE),0)</f>
        <v>0</v>
      </c>
      <c r="K1746" s="68"/>
      <c r="L1746" s="68"/>
      <c r="M1746" s="68"/>
      <c r="N1746" s="68"/>
      <c r="O1746" s="68"/>
      <c r="P1746" s="68"/>
      <c r="Q1746" s="68">
        <f>SUM(Devis[[#This Row],[Poste 1]:[Poste 6]])</f>
        <v>0</v>
      </c>
      <c r="R1746" s="71"/>
      <c r="S1746" s="68">
        <f>_xlfn.CEILING.MATH(Devis[[#This Row],[Quantité Totale]],Devis[[#This Row],[Conditionnement]])</f>
        <v>0</v>
      </c>
      <c r="T1746" s="72"/>
      <c r="U1746" s="73"/>
      <c r="V1746" s="74">
        <f>Devis[[#This Row],[Prix de Revient]]*Devis[[#This Row],[Poste 1]]</f>
        <v>0</v>
      </c>
      <c r="W1746" s="74">
        <f>Devis[[#This Row],[Prix de Revient]]*Devis[[#This Row],[Poste 2]]</f>
        <v>0</v>
      </c>
      <c r="X1746" s="74">
        <f>Devis[[#This Row],[Prix de Revient]]*Devis[[#This Row],[Poste 3]]</f>
        <v>0</v>
      </c>
      <c r="Y1746" s="74">
        <f>Devis[[#This Row],[Poste 4]]*Devis[[#This Row],[Prix de Revient]]</f>
        <v>0</v>
      </c>
      <c r="Z1746" s="74">
        <f>Devis[[#This Row],[Poste 5]]*Devis[[#This Row],[Prix de Revient]]</f>
        <v>0</v>
      </c>
      <c r="AA1746" s="74">
        <f>Devis[[#This Row],[Prix de Revient]]*Devis[[#This Row],[Poste 6]]</f>
        <v>0</v>
      </c>
      <c r="AB1746" s="74">
        <f>Devis[[#This Row],[Quantité Totale]]*Devis[[#This Row],[Prix de Revient]]</f>
        <v>0</v>
      </c>
    </row>
    <row r="1747" spans="1:28" ht="14.25" outlineLevel="1" x14ac:dyDescent="0.2">
      <c r="A1747" s="75" t="s">
        <v>1378</v>
      </c>
      <c r="B1747" s="76" t="s">
        <v>1483</v>
      </c>
      <c r="C1747" s="71" t="s">
        <v>4722</v>
      </c>
      <c r="D1747" s="81" t="str">
        <f t="shared" ref="D1747:D1810" si="31">A1747&amp;B1747&amp;C1747</f>
        <v>Inox Serti CoréenManchon réduit FFØ63</v>
      </c>
      <c r="E1747" s="76" t="s">
        <v>1518</v>
      </c>
      <c r="F1747" s="81">
        <v>18</v>
      </c>
      <c r="G1747" s="71" t="s">
        <v>1519</v>
      </c>
      <c r="H1747" s="71"/>
      <c r="I1747" s="71"/>
      <c r="J1747" s="70">
        <f>IFERROR(VLOOKUP(Devis[[#This Row],[Ref Air Flux]],#REF!,3,FALSE),0)</f>
        <v>0</v>
      </c>
      <c r="K1747" s="68"/>
      <c r="L1747" s="68"/>
      <c r="M1747" s="68"/>
      <c r="N1747" s="68"/>
      <c r="O1747" s="68"/>
      <c r="P1747" s="68"/>
      <c r="Q1747" s="68">
        <f>SUM(Devis[[#This Row],[Poste 1]:[Poste 6]])</f>
        <v>0</v>
      </c>
      <c r="R1747" s="71"/>
      <c r="S1747" s="68">
        <f>_xlfn.CEILING.MATH(Devis[[#This Row],[Quantité Totale]],Devis[[#This Row],[Conditionnement]])</f>
        <v>0</v>
      </c>
      <c r="T1747" s="72"/>
      <c r="U1747" s="73"/>
      <c r="V1747" s="74">
        <f>Devis[[#This Row],[Prix de Revient]]*Devis[[#This Row],[Poste 1]]</f>
        <v>0</v>
      </c>
      <c r="W1747" s="74">
        <f>Devis[[#This Row],[Prix de Revient]]*Devis[[#This Row],[Poste 2]]</f>
        <v>0</v>
      </c>
      <c r="X1747" s="74">
        <f>Devis[[#This Row],[Prix de Revient]]*Devis[[#This Row],[Poste 3]]</f>
        <v>0</v>
      </c>
      <c r="Y1747" s="74">
        <f>Devis[[#This Row],[Poste 4]]*Devis[[#This Row],[Prix de Revient]]</f>
        <v>0</v>
      </c>
      <c r="Z1747" s="74">
        <f>Devis[[#This Row],[Poste 5]]*Devis[[#This Row],[Prix de Revient]]</f>
        <v>0</v>
      </c>
      <c r="AA1747" s="74">
        <f>Devis[[#This Row],[Prix de Revient]]*Devis[[#This Row],[Poste 6]]</f>
        <v>0</v>
      </c>
      <c r="AB1747" s="74">
        <f>Devis[[#This Row],[Quantité Totale]]*Devis[[#This Row],[Prix de Revient]]</f>
        <v>0</v>
      </c>
    </row>
    <row r="1748" spans="1:28" ht="14.25" outlineLevel="1" x14ac:dyDescent="0.2">
      <c r="A1748" s="75" t="s">
        <v>1378</v>
      </c>
      <c r="B1748" s="76" t="s">
        <v>1483</v>
      </c>
      <c r="C1748" s="71" t="s">
        <v>4723</v>
      </c>
      <c r="D1748" s="81" t="str">
        <f t="shared" si="31"/>
        <v>Inox Serti CoréenManchon réduit FFØ64</v>
      </c>
      <c r="E1748" s="76" t="s">
        <v>1520</v>
      </c>
      <c r="F1748" s="81">
        <v>19</v>
      </c>
      <c r="G1748" s="71" t="s">
        <v>1521</v>
      </c>
      <c r="H1748" s="71"/>
      <c r="I1748" s="71"/>
      <c r="J1748" s="70">
        <f>IFERROR(VLOOKUP(Devis[[#This Row],[Ref Air Flux]],#REF!,3,FALSE),0)</f>
        <v>0</v>
      </c>
      <c r="K1748" s="68"/>
      <c r="L1748" s="68"/>
      <c r="M1748" s="68"/>
      <c r="N1748" s="68"/>
      <c r="O1748" s="68"/>
      <c r="P1748" s="68"/>
      <c r="Q1748" s="68">
        <f>SUM(Devis[[#This Row],[Poste 1]:[Poste 6]])</f>
        <v>0</v>
      </c>
      <c r="R1748" s="71"/>
      <c r="S1748" s="68">
        <f>_xlfn.CEILING.MATH(Devis[[#This Row],[Quantité Totale]],Devis[[#This Row],[Conditionnement]])</f>
        <v>0</v>
      </c>
      <c r="T1748" s="72"/>
      <c r="U1748" s="73"/>
      <c r="V1748" s="74">
        <f>Devis[[#This Row],[Prix de Revient]]*Devis[[#This Row],[Poste 1]]</f>
        <v>0</v>
      </c>
      <c r="W1748" s="74">
        <f>Devis[[#This Row],[Prix de Revient]]*Devis[[#This Row],[Poste 2]]</f>
        <v>0</v>
      </c>
      <c r="X1748" s="74">
        <f>Devis[[#This Row],[Prix de Revient]]*Devis[[#This Row],[Poste 3]]</f>
        <v>0</v>
      </c>
      <c r="Y1748" s="74">
        <f>Devis[[#This Row],[Poste 4]]*Devis[[#This Row],[Prix de Revient]]</f>
        <v>0</v>
      </c>
      <c r="Z1748" s="74">
        <f>Devis[[#This Row],[Poste 5]]*Devis[[#This Row],[Prix de Revient]]</f>
        <v>0</v>
      </c>
      <c r="AA1748" s="74">
        <f>Devis[[#This Row],[Prix de Revient]]*Devis[[#This Row],[Poste 6]]</f>
        <v>0</v>
      </c>
      <c r="AB1748" s="74">
        <f>Devis[[#This Row],[Quantité Totale]]*Devis[[#This Row],[Prix de Revient]]</f>
        <v>0</v>
      </c>
    </row>
    <row r="1749" spans="1:28" ht="14.25" outlineLevel="1" x14ac:dyDescent="0.2">
      <c r="A1749" s="75" t="s">
        <v>1378</v>
      </c>
      <c r="B1749" s="76" t="s">
        <v>1483</v>
      </c>
      <c r="C1749" s="71" t="s">
        <v>4723</v>
      </c>
      <c r="D1749" s="81" t="str">
        <f t="shared" si="31"/>
        <v>Inox Serti CoréenManchon réduit FFØ64</v>
      </c>
      <c r="E1749" s="76" t="s">
        <v>1522</v>
      </c>
      <c r="F1749" s="81">
        <v>20</v>
      </c>
      <c r="G1749" s="71" t="s">
        <v>1523</v>
      </c>
      <c r="H1749" s="71"/>
      <c r="I1749" s="71"/>
      <c r="J1749" s="70">
        <f>IFERROR(VLOOKUP(Devis[[#This Row],[Ref Air Flux]],#REF!,3,FALSE),0)</f>
        <v>0</v>
      </c>
      <c r="K1749" s="68"/>
      <c r="L1749" s="68"/>
      <c r="M1749" s="68"/>
      <c r="N1749" s="68"/>
      <c r="O1749" s="68"/>
      <c r="P1749" s="68"/>
      <c r="Q1749" s="68">
        <f>SUM(Devis[[#This Row],[Poste 1]:[Poste 6]])</f>
        <v>0</v>
      </c>
      <c r="R1749" s="71"/>
      <c r="S1749" s="68">
        <f>_xlfn.CEILING.MATH(Devis[[#This Row],[Quantité Totale]],Devis[[#This Row],[Conditionnement]])</f>
        <v>0</v>
      </c>
      <c r="T1749" s="72"/>
      <c r="U1749" s="73"/>
      <c r="V1749" s="74">
        <f>Devis[[#This Row],[Prix de Revient]]*Devis[[#This Row],[Poste 1]]</f>
        <v>0</v>
      </c>
      <c r="W1749" s="74">
        <f>Devis[[#This Row],[Prix de Revient]]*Devis[[#This Row],[Poste 2]]</f>
        <v>0</v>
      </c>
      <c r="X1749" s="74">
        <f>Devis[[#This Row],[Prix de Revient]]*Devis[[#This Row],[Poste 3]]</f>
        <v>0</v>
      </c>
      <c r="Y1749" s="74">
        <f>Devis[[#This Row],[Poste 4]]*Devis[[#This Row],[Prix de Revient]]</f>
        <v>0</v>
      </c>
      <c r="Z1749" s="74">
        <f>Devis[[#This Row],[Poste 5]]*Devis[[#This Row],[Prix de Revient]]</f>
        <v>0</v>
      </c>
      <c r="AA1749" s="74">
        <f>Devis[[#This Row],[Prix de Revient]]*Devis[[#This Row],[Poste 6]]</f>
        <v>0</v>
      </c>
      <c r="AB1749" s="74">
        <f>Devis[[#This Row],[Quantité Totale]]*Devis[[#This Row],[Prix de Revient]]</f>
        <v>0</v>
      </c>
    </row>
    <row r="1750" spans="1:28" ht="14.25" outlineLevel="1" x14ac:dyDescent="0.2">
      <c r="A1750" s="75" t="s">
        <v>1378</v>
      </c>
      <c r="B1750" s="76" t="s">
        <v>1483</v>
      </c>
      <c r="C1750" s="71" t="s">
        <v>4724</v>
      </c>
      <c r="D1750" s="81" t="str">
        <f t="shared" si="31"/>
        <v>Inox Serti CoréenManchon réduit FFØ84</v>
      </c>
      <c r="E1750" s="76" t="s">
        <v>1524</v>
      </c>
      <c r="F1750" s="81">
        <v>21</v>
      </c>
      <c r="G1750" s="71" t="s">
        <v>1525</v>
      </c>
      <c r="H1750" s="71"/>
      <c r="I1750" s="71"/>
      <c r="J1750" s="70">
        <f>IFERROR(VLOOKUP(Devis[[#This Row],[Ref Air Flux]],#REF!,3,FALSE),0)</f>
        <v>0</v>
      </c>
      <c r="K1750" s="68"/>
      <c r="L1750" s="68"/>
      <c r="M1750" s="68"/>
      <c r="N1750" s="68"/>
      <c r="O1750" s="68"/>
      <c r="P1750" s="68"/>
      <c r="Q1750" s="68">
        <f>SUM(Devis[[#This Row],[Poste 1]:[Poste 6]])</f>
        <v>0</v>
      </c>
      <c r="R1750" s="71"/>
      <c r="S1750" s="68">
        <f>_xlfn.CEILING.MATH(Devis[[#This Row],[Quantité Totale]],Devis[[#This Row],[Conditionnement]])</f>
        <v>0</v>
      </c>
      <c r="T1750" s="72"/>
      <c r="U1750" s="73"/>
      <c r="V1750" s="74">
        <f>Devis[[#This Row],[Prix de Revient]]*Devis[[#This Row],[Poste 1]]</f>
        <v>0</v>
      </c>
      <c r="W1750" s="74">
        <f>Devis[[#This Row],[Prix de Revient]]*Devis[[#This Row],[Poste 2]]</f>
        <v>0</v>
      </c>
      <c r="X1750" s="74">
        <f>Devis[[#This Row],[Prix de Revient]]*Devis[[#This Row],[Poste 3]]</f>
        <v>0</v>
      </c>
      <c r="Y1750" s="74">
        <f>Devis[[#This Row],[Poste 4]]*Devis[[#This Row],[Prix de Revient]]</f>
        <v>0</v>
      </c>
      <c r="Z1750" s="74">
        <f>Devis[[#This Row],[Poste 5]]*Devis[[#This Row],[Prix de Revient]]</f>
        <v>0</v>
      </c>
      <c r="AA1750" s="74">
        <f>Devis[[#This Row],[Prix de Revient]]*Devis[[#This Row],[Poste 6]]</f>
        <v>0</v>
      </c>
      <c r="AB1750" s="74">
        <f>Devis[[#This Row],[Quantité Totale]]*Devis[[#This Row],[Prix de Revient]]</f>
        <v>0</v>
      </c>
    </row>
    <row r="1751" spans="1:28" ht="14.25" outlineLevel="1" x14ac:dyDescent="0.2">
      <c r="A1751" s="75" t="s">
        <v>1378</v>
      </c>
      <c r="B1751" s="76" t="s">
        <v>1483</v>
      </c>
      <c r="C1751" s="71" t="s">
        <v>4724</v>
      </c>
      <c r="D1751" s="81" t="str">
        <f t="shared" si="31"/>
        <v>Inox Serti CoréenManchon réduit FFØ84</v>
      </c>
      <c r="E1751" s="76" t="s">
        <v>1526</v>
      </c>
      <c r="F1751" s="81">
        <v>22</v>
      </c>
      <c r="G1751" s="71" t="s">
        <v>1527</v>
      </c>
      <c r="H1751" s="71"/>
      <c r="I1751" s="71"/>
      <c r="J1751" s="70">
        <f>IFERROR(VLOOKUP(Devis[[#This Row],[Ref Air Flux]],#REF!,3,FALSE),0)</f>
        <v>0</v>
      </c>
      <c r="K1751" s="68"/>
      <c r="L1751" s="68"/>
      <c r="M1751" s="68"/>
      <c r="N1751" s="68"/>
      <c r="O1751" s="68"/>
      <c r="P1751" s="68"/>
      <c r="Q1751" s="68">
        <f>SUM(Devis[[#This Row],[Poste 1]:[Poste 6]])</f>
        <v>0</v>
      </c>
      <c r="R1751" s="71"/>
      <c r="S1751" s="68">
        <f>_xlfn.CEILING.MATH(Devis[[#This Row],[Quantité Totale]],Devis[[#This Row],[Conditionnement]])</f>
        <v>0</v>
      </c>
      <c r="T1751" s="72"/>
      <c r="U1751" s="73"/>
      <c r="V1751" s="74">
        <f>Devis[[#This Row],[Prix de Revient]]*Devis[[#This Row],[Poste 1]]</f>
        <v>0</v>
      </c>
      <c r="W1751" s="74">
        <f>Devis[[#This Row],[Prix de Revient]]*Devis[[#This Row],[Poste 2]]</f>
        <v>0</v>
      </c>
      <c r="X1751" s="74">
        <f>Devis[[#This Row],[Prix de Revient]]*Devis[[#This Row],[Poste 3]]</f>
        <v>0</v>
      </c>
      <c r="Y1751" s="74">
        <f>Devis[[#This Row],[Poste 4]]*Devis[[#This Row],[Prix de Revient]]</f>
        <v>0</v>
      </c>
      <c r="Z1751" s="74">
        <f>Devis[[#This Row],[Poste 5]]*Devis[[#This Row],[Prix de Revient]]</f>
        <v>0</v>
      </c>
      <c r="AA1751" s="74">
        <f>Devis[[#This Row],[Prix de Revient]]*Devis[[#This Row],[Poste 6]]</f>
        <v>0</v>
      </c>
      <c r="AB1751" s="74">
        <f>Devis[[#This Row],[Quantité Totale]]*Devis[[#This Row],[Prix de Revient]]</f>
        <v>0</v>
      </c>
    </row>
    <row r="1752" spans="1:28" ht="14.25" outlineLevel="1" x14ac:dyDescent="0.2">
      <c r="A1752" s="75" t="s">
        <v>1378</v>
      </c>
      <c r="B1752" s="76" t="s">
        <v>1483</v>
      </c>
      <c r="C1752" s="71" t="s">
        <v>4725</v>
      </c>
      <c r="D1752" s="81" t="str">
        <f t="shared" si="31"/>
        <v>Inox Serti CoréenManchon réduit FFØ86</v>
      </c>
      <c r="E1752" s="76" t="s">
        <v>1528</v>
      </c>
      <c r="F1752" s="81">
        <v>23</v>
      </c>
      <c r="G1752" s="71" t="s">
        <v>1529</v>
      </c>
      <c r="H1752" s="71"/>
      <c r="I1752" s="71"/>
      <c r="J1752" s="70">
        <f>IFERROR(VLOOKUP(Devis[[#This Row],[Ref Air Flux]],#REF!,3,FALSE),0)</f>
        <v>0</v>
      </c>
      <c r="K1752" s="68"/>
      <c r="L1752" s="68"/>
      <c r="M1752" s="68"/>
      <c r="N1752" s="68"/>
      <c r="O1752" s="68"/>
      <c r="P1752" s="68"/>
      <c r="Q1752" s="68">
        <f>SUM(Devis[[#This Row],[Poste 1]:[Poste 6]])</f>
        <v>0</v>
      </c>
      <c r="R1752" s="71"/>
      <c r="S1752" s="68">
        <f>_xlfn.CEILING.MATH(Devis[[#This Row],[Quantité Totale]],Devis[[#This Row],[Conditionnement]])</f>
        <v>0</v>
      </c>
      <c r="T1752" s="72"/>
      <c r="U1752" s="73"/>
      <c r="V1752" s="74">
        <f>Devis[[#This Row],[Prix de Revient]]*Devis[[#This Row],[Poste 1]]</f>
        <v>0</v>
      </c>
      <c r="W1752" s="74">
        <f>Devis[[#This Row],[Prix de Revient]]*Devis[[#This Row],[Poste 2]]</f>
        <v>0</v>
      </c>
      <c r="X1752" s="74">
        <f>Devis[[#This Row],[Prix de Revient]]*Devis[[#This Row],[Poste 3]]</f>
        <v>0</v>
      </c>
      <c r="Y1752" s="74">
        <f>Devis[[#This Row],[Poste 4]]*Devis[[#This Row],[Prix de Revient]]</f>
        <v>0</v>
      </c>
      <c r="Z1752" s="74">
        <f>Devis[[#This Row],[Poste 5]]*Devis[[#This Row],[Prix de Revient]]</f>
        <v>0</v>
      </c>
      <c r="AA1752" s="74">
        <f>Devis[[#This Row],[Prix de Revient]]*Devis[[#This Row],[Poste 6]]</f>
        <v>0</v>
      </c>
      <c r="AB1752" s="74">
        <f>Devis[[#This Row],[Quantité Totale]]*Devis[[#This Row],[Prix de Revient]]</f>
        <v>0</v>
      </c>
    </row>
    <row r="1753" spans="1:28" ht="14.25" customHeight="1" x14ac:dyDescent="0.25">
      <c r="A1753" s="65" t="s">
        <v>1378</v>
      </c>
      <c r="B1753" s="65" t="s">
        <v>1530</v>
      </c>
      <c r="C1753" s="71"/>
      <c r="D1753" s="81" t="str">
        <f t="shared" si="31"/>
        <v>Inox Serti CoréenManchons à sertir F mixtes F</v>
      </c>
      <c r="E1753" s="76"/>
      <c r="F1753" s="81">
        <v>0</v>
      </c>
      <c r="G1753" s="71"/>
      <c r="H1753" s="71"/>
      <c r="I1753" s="71"/>
      <c r="J1753" s="70">
        <f>IFERROR(VLOOKUP(Devis[[#This Row],[Ref Air Flux]],#REF!,3,FALSE),0)</f>
        <v>0</v>
      </c>
      <c r="K1753" s="68"/>
      <c r="L1753" s="68"/>
      <c r="M1753" s="68"/>
      <c r="N1753" s="68"/>
      <c r="O1753" s="68"/>
      <c r="P1753" s="68"/>
      <c r="Q1753" s="68">
        <f>SUM(Devis[[#This Row],[Poste 1]:[Poste 6]])</f>
        <v>0</v>
      </c>
      <c r="R1753" s="71"/>
      <c r="S1753" s="68">
        <f>_xlfn.CEILING.MATH(Devis[[#This Row],[Quantité Totale]],Devis[[#This Row],[Conditionnement]])</f>
        <v>0</v>
      </c>
      <c r="T1753" s="72"/>
      <c r="U1753" s="73"/>
      <c r="V1753" s="74">
        <f>Devis[[#This Row],[Prix de Revient]]*Devis[[#This Row],[Poste 1]]</f>
        <v>0</v>
      </c>
      <c r="W1753" s="74">
        <f>Devis[[#This Row],[Prix de Revient]]*Devis[[#This Row],[Poste 2]]</f>
        <v>0</v>
      </c>
      <c r="X1753" s="74">
        <f>Devis[[#This Row],[Prix de Revient]]*Devis[[#This Row],[Poste 3]]</f>
        <v>0</v>
      </c>
      <c r="Y1753" s="74">
        <f>Devis[[#This Row],[Poste 4]]*Devis[[#This Row],[Prix de Revient]]</f>
        <v>0</v>
      </c>
      <c r="Z1753" s="74">
        <f>Devis[[#This Row],[Poste 5]]*Devis[[#This Row],[Prix de Revient]]</f>
        <v>0</v>
      </c>
      <c r="AA1753" s="74">
        <f>Devis[[#This Row],[Prix de Revient]]*Devis[[#This Row],[Poste 6]]</f>
        <v>0</v>
      </c>
      <c r="AB1753" s="74">
        <f>Devis[[#This Row],[Quantité Totale]]*Devis[[#This Row],[Prix de Revient]]</f>
        <v>0</v>
      </c>
    </row>
    <row r="1754" spans="1:28" ht="15" customHeight="1" outlineLevel="1" x14ac:dyDescent="0.2">
      <c r="A1754" s="75" t="s">
        <v>1378</v>
      </c>
      <c r="B1754" s="76" t="s">
        <v>1530</v>
      </c>
      <c r="C1754" s="71" t="s">
        <v>4713</v>
      </c>
      <c r="D1754" s="81" t="str">
        <f t="shared" si="31"/>
        <v>Inox Serti CoréenManchons à sertir F mixtes FØ16</v>
      </c>
      <c r="E1754" s="110">
        <v>16.5</v>
      </c>
      <c r="F1754" s="81">
        <v>1</v>
      </c>
      <c r="G1754" s="71" t="s">
        <v>1531</v>
      </c>
      <c r="H1754" s="71"/>
      <c r="I1754" s="71"/>
      <c r="J1754" s="70">
        <f>IFERROR(VLOOKUP(Devis[[#This Row],[Ref Air Flux]],#REF!,3,FALSE),0)</f>
        <v>0</v>
      </c>
      <c r="K1754" s="68"/>
      <c r="L1754" s="68"/>
      <c r="M1754" s="68"/>
      <c r="N1754" s="68"/>
      <c r="O1754" s="68"/>
      <c r="P1754" s="68"/>
      <c r="Q1754" s="68">
        <f>SUM(Devis[[#This Row],[Poste 1]:[Poste 6]])</f>
        <v>0</v>
      </c>
      <c r="R1754" s="71"/>
      <c r="S1754" s="68">
        <f>_xlfn.CEILING.MATH(Devis[[#This Row],[Quantité Totale]],Devis[[#This Row],[Conditionnement]])</f>
        <v>0</v>
      </c>
      <c r="T1754" s="72"/>
      <c r="U1754" s="73"/>
      <c r="V1754" s="74">
        <f>Devis[[#This Row],[Prix de Revient]]*Devis[[#This Row],[Poste 1]]</f>
        <v>0</v>
      </c>
      <c r="W1754" s="74">
        <f>Devis[[#This Row],[Prix de Revient]]*Devis[[#This Row],[Poste 2]]</f>
        <v>0</v>
      </c>
      <c r="X1754" s="74">
        <f>Devis[[#This Row],[Prix de Revient]]*Devis[[#This Row],[Poste 3]]</f>
        <v>0</v>
      </c>
      <c r="Y1754" s="74">
        <f>Devis[[#This Row],[Poste 4]]*Devis[[#This Row],[Prix de Revient]]</f>
        <v>0</v>
      </c>
      <c r="Z1754" s="74">
        <f>Devis[[#This Row],[Poste 5]]*Devis[[#This Row],[Prix de Revient]]</f>
        <v>0</v>
      </c>
      <c r="AA1754" s="74">
        <f>Devis[[#This Row],[Prix de Revient]]*Devis[[#This Row],[Poste 6]]</f>
        <v>0</v>
      </c>
      <c r="AB1754" s="74">
        <f>Devis[[#This Row],[Quantité Totale]]*Devis[[#This Row],[Prix de Revient]]</f>
        <v>0</v>
      </c>
    </row>
    <row r="1755" spans="1:28" ht="14.25" outlineLevel="1" x14ac:dyDescent="0.2">
      <c r="A1755" s="75" t="s">
        <v>1378</v>
      </c>
      <c r="B1755" s="76" t="s">
        <v>1530</v>
      </c>
      <c r="C1755" s="71" t="s">
        <v>3620</v>
      </c>
      <c r="D1755" s="81" t="str">
        <f t="shared" si="31"/>
        <v>Inox Serti CoréenManchons à sertir F mixtes FØ22</v>
      </c>
      <c r="E1755" s="110">
        <v>22.5</v>
      </c>
      <c r="F1755" s="81">
        <v>2</v>
      </c>
      <c r="G1755" s="71" t="s">
        <v>1532</v>
      </c>
      <c r="H1755" s="71"/>
      <c r="I1755" s="71"/>
      <c r="J1755" s="70">
        <f>IFERROR(VLOOKUP(Devis[[#This Row],[Ref Air Flux]],#REF!,3,FALSE),0)</f>
        <v>0</v>
      </c>
      <c r="K1755" s="68"/>
      <c r="L1755" s="68"/>
      <c r="M1755" s="68"/>
      <c r="N1755" s="68"/>
      <c r="O1755" s="68"/>
      <c r="P1755" s="68"/>
      <c r="Q1755" s="68">
        <f>SUM(Devis[[#This Row],[Poste 1]:[Poste 6]])</f>
        <v>0</v>
      </c>
      <c r="R1755" s="71"/>
      <c r="S1755" s="68">
        <f>_xlfn.CEILING.MATH(Devis[[#This Row],[Quantité Totale]],Devis[[#This Row],[Conditionnement]])</f>
        <v>0</v>
      </c>
      <c r="T1755" s="72"/>
      <c r="U1755" s="73"/>
      <c r="V1755" s="74">
        <f>Devis[[#This Row],[Prix de Revient]]*Devis[[#This Row],[Poste 1]]</f>
        <v>0</v>
      </c>
      <c r="W1755" s="74">
        <f>Devis[[#This Row],[Prix de Revient]]*Devis[[#This Row],[Poste 2]]</f>
        <v>0</v>
      </c>
      <c r="X1755" s="74">
        <f>Devis[[#This Row],[Prix de Revient]]*Devis[[#This Row],[Poste 3]]</f>
        <v>0</v>
      </c>
      <c r="Y1755" s="74">
        <f>Devis[[#This Row],[Poste 4]]*Devis[[#This Row],[Prix de Revient]]</f>
        <v>0</v>
      </c>
      <c r="Z1755" s="74">
        <f>Devis[[#This Row],[Poste 5]]*Devis[[#This Row],[Prix de Revient]]</f>
        <v>0</v>
      </c>
      <c r="AA1755" s="74">
        <f>Devis[[#This Row],[Prix de Revient]]*Devis[[#This Row],[Poste 6]]</f>
        <v>0</v>
      </c>
      <c r="AB1755" s="74">
        <f>Devis[[#This Row],[Quantité Totale]]*Devis[[#This Row],[Prix de Revient]]</f>
        <v>0</v>
      </c>
    </row>
    <row r="1756" spans="1:28" ht="14.25" customHeight="1" outlineLevel="1" x14ac:dyDescent="0.2">
      <c r="A1756" s="75" t="s">
        <v>1378</v>
      </c>
      <c r="B1756" s="76" t="s">
        <v>1530</v>
      </c>
      <c r="C1756" s="71" t="s">
        <v>3620</v>
      </c>
      <c r="D1756" s="81" t="str">
        <f t="shared" si="31"/>
        <v>Inox Serti CoréenManchons à sertir F mixtes FØ22</v>
      </c>
      <c r="E1756" s="110">
        <v>22.75</v>
      </c>
      <c r="F1756" s="81">
        <v>3</v>
      </c>
      <c r="G1756" s="71" t="s">
        <v>1533</v>
      </c>
      <c r="H1756" s="71"/>
      <c r="I1756" s="71"/>
      <c r="J1756" s="70">
        <f>IFERROR(VLOOKUP(Devis[[#This Row],[Ref Air Flux]],#REF!,3,FALSE),0)</f>
        <v>0</v>
      </c>
      <c r="K1756" s="68"/>
      <c r="L1756" s="68"/>
      <c r="M1756" s="68"/>
      <c r="N1756" s="68"/>
      <c r="O1756" s="68"/>
      <c r="P1756" s="68"/>
      <c r="Q1756" s="68">
        <f>SUM(Devis[[#This Row],[Poste 1]:[Poste 6]])</f>
        <v>0</v>
      </c>
      <c r="R1756" s="71"/>
      <c r="S1756" s="68">
        <f>_xlfn.CEILING.MATH(Devis[[#This Row],[Quantité Totale]],Devis[[#This Row],[Conditionnement]])</f>
        <v>0</v>
      </c>
      <c r="T1756" s="72"/>
      <c r="U1756" s="73"/>
      <c r="V1756" s="74">
        <f>Devis[[#This Row],[Prix de Revient]]*Devis[[#This Row],[Poste 1]]</f>
        <v>0</v>
      </c>
      <c r="W1756" s="74">
        <f>Devis[[#This Row],[Prix de Revient]]*Devis[[#This Row],[Poste 2]]</f>
        <v>0</v>
      </c>
      <c r="X1756" s="74">
        <f>Devis[[#This Row],[Prix de Revient]]*Devis[[#This Row],[Poste 3]]</f>
        <v>0</v>
      </c>
      <c r="Y1756" s="74">
        <f>Devis[[#This Row],[Poste 4]]*Devis[[#This Row],[Prix de Revient]]</f>
        <v>0</v>
      </c>
      <c r="Z1756" s="74">
        <f>Devis[[#This Row],[Poste 5]]*Devis[[#This Row],[Prix de Revient]]</f>
        <v>0</v>
      </c>
      <c r="AA1756" s="74">
        <f>Devis[[#This Row],[Prix de Revient]]*Devis[[#This Row],[Poste 6]]</f>
        <v>0</v>
      </c>
      <c r="AB1756" s="74">
        <f>Devis[[#This Row],[Quantité Totale]]*Devis[[#This Row],[Prix de Revient]]</f>
        <v>0</v>
      </c>
    </row>
    <row r="1757" spans="1:28" ht="14.25" customHeight="1" outlineLevel="1" x14ac:dyDescent="0.2">
      <c r="A1757" s="75" t="s">
        <v>1378</v>
      </c>
      <c r="B1757" s="76" t="s">
        <v>1530</v>
      </c>
      <c r="C1757" s="71" t="s">
        <v>3621</v>
      </c>
      <c r="D1757" s="81" t="str">
        <f t="shared" si="31"/>
        <v>Inox Serti CoréenManchons à sertir F mixtes FØ28</v>
      </c>
      <c r="E1757" s="110">
        <v>28.5</v>
      </c>
      <c r="F1757" s="81">
        <v>4</v>
      </c>
      <c r="G1757" s="71" t="s">
        <v>1534</v>
      </c>
      <c r="H1757" s="71"/>
      <c r="I1757" s="71"/>
      <c r="J1757" s="70">
        <f>IFERROR(VLOOKUP(Devis[[#This Row],[Ref Air Flux]],#REF!,3,FALSE),0)</f>
        <v>0</v>
      </c>
      <c r="K1757" s="68"/>
      <c r="L1757" s="68"/>
      <c r="M1757" s="68"/>
      <c r="N1757" s="68"/>
      <c r="O1757" s="68"/>
      <c r="P1757" s="68"/>
      <c r="Q1757" s="68">
        <f>SUM(Devis[[#This Row],[Poste 1]:[Poste 6]])</f>
        <v>0</v>
      </c>
      <c r="R1757" s="71"/>
      <c r="S1757" s="68">
        <f>_xlfn.CEILING.MATH(Devis[[#This Row],[Quantité Totale]],Devis[[#This Row],[Conditionnement]])</f>
        <v>0</v>
      </c>
      <c r="T1757" s="72"/>
      <c r="U1757" s="73"/>
      <c r="V1757" s="74">
        <f>Devis[[#This Row],[Prix de Revient]]*Devis[[#This Row],[Poste 1]]</f>
        <v>0</v>
      </c>
      <c r="W1757" s="74">
        <f>Devis[[#This Row],[Prix de Revient]]*Devis[[#This Row],[Poste 2]]</f>
        <v>0</v>
      </c>
      <c r="X1757" s="74">
        <f>Devis[[#This Row],[Prix de Revient]]*Devis[[#This Row],[Poste 3]]</f>
        <v>0</v>
      </c>
      <c r="Y1757" s="74">
        <f>Devis[[#This Row],[Poste 4]]*Devis[[#This Row],[Prix de Revient]]</f>
        <v>0</v>
      </c>
      <c r="Z1757" s="74">
        <f>Devis[[#This Row],[Poste 5]]*Devis[[#This Row],[Prix de Revient]]</f>
        <v>0</v>
      </c>
      <c r="AA1757" s="74">
        <f>Devis[[#This Row],[Prix de Revient]]*Devis[[#This Row],[Poste 6]]</f>
        <v>0</v>
      </c>
      <c r="AB1757" s="74">
        <f>Devis[[#This Row],[Quantité Totale]]*Devis[[#This Row],[Prix de Revient]]</f>
        <v>0</v>
      </c>
    </row>
    <row r="1758" spans="1:28" ht="14.25" outlineLevel="1" x14ac:dyDescent="0.2">
      <c r="A1758" s="75" t="s">
        <v>1378</v>
      </c>
      <c r="B1758" s="76" t="s">
        <v>1530</v>
      </c>
      <c r="C1758" s="71" t="s">
        <v>3621</v>
      </c>
      <c r="D1758" s="81" t="str">
        <f t="shared" si="31"/>
        <v>Inox Serti CoréenManchons à sertir F mixtes FØ28</v>
      </c>
      <c r="E1758" s="76" t="s">
        <v>1423</v>
      </c>
      <c r="F1758" s="81">
        <v>5</v>
      </c>
      <c r="G1758" s="71" t="s">
        <v>1535</v>
      </c>
      <c r="H1758" s="71"/>
      <c r="I1758" s="71"/>
      <c r="J1758" s="70">
        <f>IFERROR(VLOOKUP(Devis[[#This Row],[Ref Air Flux]],#REF!,3,FALSE),0)</f>
        <v>0</v>
      </c>
      <c r="K1758" s="68"/>
      <c r="L1758" s="68"/>
      <c r="M1758" s="68"/>
      <c r="N1758" s="68"/>
      <c r="O1758" s="68"/>
      <c r="P1758" s="68"/>
      <c r="Q1758" s="68">
        <f>SUM(Devis[[#This Row],[Poste 1]:[Poste 6]])</f>
        <v>0</v>
      </c>
      <c r="R1758" s="71"/>
      <c r="S1758" s="68">
        <f>_xlfn.CEILING.MATH(Devis[[#This Row],[Quantité Totale]],Devis[[#This Row],[Conditionnement]])</f>
        <v>0</v>
      </c>
      <c r="T1758" s="72"/>
      <c r="U1758" s="73"/>
      <c r="V1758" s="74">
        <f>Devis[[#This Row],[Prix de Revient]]*Devis[[#This Row],[Poste 1]]</f>
        <v>0</v>
      </c>
      <c r="W1758" s="74">
        <f>Devis[[#This Row],[Prix de Revient]]*Devis[[#This Row],[Poste 2]]</f>
        <v>0</v>
      </c>
      <c r="X1758" s="74">
        <f>Devis[[#This Row],[Prix de Revient]]*Devis[[#This Row],[Poste 3]]</f>
        <v>0</v>
      </c>
      <c r="Y1758" s="74">
        <f>Devis[[#This Row],[Poste 4]]*Devis[[#This Row],[Prix de Revient]]</f>
        <v>0</v>
      </c>
      <c r="Z1758" s="74">
        <f>Devis[[#This Row],[Poste 5]]*Devis[[#This Row],[Prix de Revient]]</f>
        <v>0</v>
      </c>
      <c r="AA1758" s="74">
        <f>Devis[[#This Row],[Prix de Revient]]*Devis[[#This Row],[Poste 6]]</f>
        <v>0</v>
      </c>
      <c r="AB1758" s="74">
        <f>Devis[[#This Row],[Quantité Totale]]*Devis[[#This Row],[Prix de Revient]]</f>
        <v>0</v>
      </c>
    </row>
    <row r="1759" spans="1:28" ht="14.25" outlineLevel="1" x14ac:dyDescent="0.2">
      <c r="A1759" s="75" t="s">
        <v>1378</v>
      </c>
      <c r="B1759" s="76" t="s">
        <v>1530</v>
      </c>
      <c r="C1759" s="71" t="s">
        <v>3621</v>
      </c>
      <c r="D1759" s="81" t="str">
        <f t="shared" si="31"/>
        <v>Inox Serti CoréenManchons à sertir F mixtes FØ28</v>
      </c>
      <c r="E1759" s="110">
        <v>28.75</v>
      </c>
      <c r="F1759" s="81">
        <v>6</v>
      </c>
      <c r="G1759" s="71" t="s">
        <v>1536</v>
      </c>
      <c r="H1759" s="71"/>
      <c r="I1759" s="71"/>
      <c r="J1759" s="70">
        <f>IFERROR(VLOOKUP(Devis[[#This Row],[Ref Air Flux]],#REF!,3,FALSE),0)</f>
        <v>0</v>
      </c>
      <c r="K1759" s="68"/>
      <c r="L1759" s="68"/>
      <c r="M1759" s="68"/>
      <c r="N1759" s="68"/>
      <c r="O1759" s="68"/>
      <c r="P1759" s="68"/>
      <c r="Q1759" s="68">
        <f>SUM(Devis[[#This Row],[Poste 1]:[Poste 6]])</f>
        <v>0</v>
      </c>
      <c r="R1759" s="71"/>
      <c r="S1759" s="68">
        <f>_xlfn.CEILING.MATH(Devis[[#This Row],[Quantité Totale]],Devis[[#This Row],[Conditionnement]])</f>
        <v>0</v>
      </c>
      <c r="T1759" s="72"/>
      <c r="U1759" s="73"/>
      <c r="V1759" s="74">
        <f>Devis[[#This Row],[Prix de Revient]]*Devis[[#This Row],[Poste 1]]</f>
        <v>0</v>
      </c>
      <c r="W1759" s="74">
        <f>Devis[[#This Row],[Prix de Revient]]*Devis[[#This Row],[Poste 2]]</f>
        <v>0</v>
      </c>
      <c r="X1759" s="74">
        <f>Devis[[#This Row],[Prix de Revient]]*Devis[[#This Row],[Poste 3]]</f>
        <v>0</v>
      </c>
      <c r="Y1759" s="74">
        <f>Devis[[#This Row],[Poste 4]]*Devis[[#This Row],[Prix de Revient]]</f>
        <v>0</v>
      </c>
      <c r="Z1759" s="74">
        <f>Devis[[#This Row],[Poste 5]]*Devis[[#This Row],[Prix de Revient]]</f>
        <v>0</v>
      </c>
      <c r="AA1759" s="74">
        <f>Devis[[#This Row],[Prix de Revient]]*Devis[[#This Row],[Poste 6]]</f>
        <v>0</v>
      </c>
      <c r="AB1759" s="74">
        <f>Devis[[#This Row],[Quantité Totale]]*Devis[[#This Row],[Prix de Revient]]</f>
        <v>0</v>
      </c>
    </row>
    <row r="1760" spans="1:28" ht="14.25" outlineLevel="1" x14ac:dyDescent="0.2">
      <c r="A1760" s="75" t="s">
        <v>1378</v>
      </c>
      <c r="B1760" s="76" t="s">
        <v>1530</v>
      </c>
      <c r="C1760" s="71" t="s">
        <v>3622</v>
      </c>
      <c r="D1760" s="81" t="str">
        <f t="shared" si="31"/>
        <v>Inox Serti CoréenManchons à sertir F mixtes FØ34</v>
      </c>
      <c r="E1760" s="76" t="s">
        <v>1428</v>
      </c>
      <c r="F1760" s="81">
        <v>7</v>
      </c>
      <c r="G1760" s="71" t="s">
        <v>1537</v>
      </c>
      <c r="H1760" s="71"/>
      <c r="I1760" s="71"/>
      <c r="J1760" s="70">
        <f>IFERROR(VLOOKUP(Devis[[#This Row],[Ref Air Flux]],#REF!,3,FALSE),0)</f>
        <v>0</v>
      </c>
      <c r="K1760" s="68"/>
      <c r="L1760" s="68"/>
      <c r="M1760" s="68"/>
      <c r="N1760" s="68"/>
      <c r="O1760" s="68"/>
      <c r="P1760" s="68"/>
      <c r="Q1760" s="68">
        <f>SUM(Devis[[#This Row],[Poste 1]:[Poste 6]])</f>
        <v>0</v>
      </c>
      <c r="R1760" s="71"/>
      <c r="S1760" s="68">
        <f>_xlfn.CEILING.MATH(Devis[[#This Row],[Quantité Totale]],Devis[[#This Row],[Conditionnement]])</f>
        <v>0</v>
      </c>
      <c r="T1760" s="72"/>
      <c r="U1760" s="73"/>
      <c r="V1760" s="74">
        <f>Devis[[#This Row],[Prix de Revient]]*Devis[[#This Row],[Poste 1]]</f>
        <v>0</v>
      </c>
      <c r="W1760" s="74">
        <f>Devis[[#This Row],[Prix de Revient]]*Devis[[#This Row],[Poste 2]]</f>
        <v>0</v>
      </c>
      <c r="X1760" s="74">
        <f>Devis[[#This Row],[Prix de Revient]]*Devis[[#This Row],[Poste 3]]</f>
        <v>0</v>
      </c>
      <c r="Y1760" s="74">
        <f>Devis[[#This Row],[Poste 4]]*Devis[[#This Row],[Prix de Revient]]</f>
        <v>0</v>
      </c>
      <c r="Z1760" s="74">
        <f>Devis[[#This Row],[Poste 5]]*Devis[[#This Row],[Prix de Revient]]</f>
        <v>0</v>
      </c>
      <c r="AA1760" s="74">
        <f>Devis[[#This Row],[Prix de Revient]]*Devis[[#This Row],[Poste 6]]</f>
        <v>0</v>
      </c>
      <c r="AB1760" s="74">
        <f>Devis[[#This Row],[Quantité Totale]]*Devis[[#This Row],[Prix de Revient]]</f>
        <v>0</v>
      </c>
    </row>
    <row r="1761" spans="1:28" ht="14.25" outlineLevel="1" x14ac:dyDescent="0.2">
      <c r="A1761" s="75" t="s">
        <v>1378</v>
      </c>
      <c r="B1761" s="76" t="s">
        <v>1530</v>
      </c>
      <c r="C1761" s="71" t="s">
        <v>3623</v>
      </c>
      <c r="D1761" s="81" t="str">
        <f t="shared" si="31"/>
        <v>Inox Serti CoréenManchons à sertir F mixtes FØ42</v>
      </c>
      <c r="E1761" s="76" t="s">
        <v>1430</v>
      </c>
      <c r="F1761" s="81">
        <v>8</v>
      </c>
      <c r="G1761" s="71" t="s">
        <v>1538</v>
      </c>
      <c r="H1761" s="71"/>
      <c r="I1761" s="71"/>
      <c r="J1761" s="70">
        <f>IFERROR(VLOOKUP(Devis[[#This Row],[Ref Air Flux]],#REF!,3,FALSE),0)</f>
        <v>0</v>
      </c>
      <c r="K1761" s="68"/>
      <c r="L1761" s="68"/>
      <c r="M1761" s="68"/>
      <c r="N1761" s="68"/>
      <c r="O1761" s="68"/>
      <c r="P1761" s="68"/>
      <c r="Q1761" s="68">
        <f>SUM(Devis[[#This Row],[Poste 1]:[Poste 6]])</f>
        <v>0</v>
      </c>
      <c r="R1761" s="71"/>
      <c r="S1761" s="68">
        <f>_xlfn.CEILING.MATH(Devis[[#This Row],[Quantité Totale]],Devis[[#This Row],[Conditionnement]])</f>
        <v>0</v>
      </c>
      <c r="T1761" s="72"/>
      <c r="U1761" s="73"/>
      <c r="V1761" s="74">
        <f>Devis[[#This Row],[Prix de Revient]]*Devis[[#This Row],[Poste 1]]</f>
        <v>0</v>
      </c>
      <c r="W1761" s="74">
        <f>Devis[[#This Row],[Prix de Revient]]*Devis[[#This Row],[Poste 2]]</f>
        <v>0</v>
      </c>
      <c r="X1761" s="74">
        <f>Devis[[#This Row],[Prix de Revient]]*Devis[[#This Row],[Poste 3]]</f>
        <v>0</v>
      </c>
      <c r="Y1761" s="74">
        <f>Devis[[#This Row],[Poste 4]]*Devis[[#This Row],[Prix de Revient]]</f>
        <v>0</v>
      </c>
      <c r="Z1761" s="74">
        <f>Devis[[#This Row],[Poste 5]]*Devis[[#This Row],[Prix de Revient]]</f>
        <v>0</v>
      </c>
      <c r="AA1761" s="74">
        <f>Devis[[#This Row],[Prix de Revient]]*Devis[[#This Row],[Poste 6]]</f>
        <v>0</v>
      </c>
      <c r="AB1761" s="74">
        <f>Devis[[#This Row],[Quantité Totale]]*Devis[[#This Row],[Prix de Revient]]</f>
        <v>0</v>
      </c>
    </row>
    <row r="1762" spans="1:28" ht="14.25" outlineLevel="1" x14ac:dyDescent="0.2">
      <c r="A1762" s="75" t="s">
        <v>1378</v>
      </c>
      <c r="B1762" s="76" t="s">
        <v>1530</v>
      </c>
      <c r="C1762" s="71" t="s">
        <v>3624</v>
      </c>
      <c r="D1762" s="81" t="str">
        <f t="shared" si="31"/>
        <v>Inox Serti CoréenManchons à sertir F mixtes FØ48</v>
      </c>
      <c r="E1762" s="76" t="s">
        <v>1432</v>
      </c>
      <c r="F1762" s="81">
        <v>9</v>
      </c>
      <c r="G1762" s="71" t="s">
        <v>1539</v>
      </c>
      <c r="H1762" s="71"/>
      <c r="I1762" s="71"/>
      <c r="J1762" s="70">
        <f>IFERROR(VLOOKUP(Devis[[#This Row],[Ref Air Flux]],#REF!,3,FALSE),0)</f>
        <v>0</v>
      </c>
      <c r="K1762" s="68"/>
      <c r="L1762" s="68"/>
      <c r="M1762" s="68"/>
      <c r="N1762" s="68"/>
      <c r="O1762" s="68"/>
      <c r="P1762" s="68"/>
      <c r="Q1762" s="68">
        <f>SUM(Devis[[#This Row],[Poste 1]:[Poste 6]])</f>
        <v>0</v>
      </c>
      <c r="R1762" s="71"/>
      <c r="S1762" s="68">
        <f>_xlfn.CEILING.MATH(Devis[[#This Row],[Quantité Totale]],Devis[[#This Row],[Conditionnement]])</f>
        <v>0</v>
      </c>
      <c r="T1762" s="72"/>
      <c r="U1762" s="73"/>
      <c r="V1762" s="74">
        <f>Devis[[#This Row],[Prix de Revient]]*Devis[[#This Row],[Poste 1]]</f>
        <v>0</v>
      </c>
      <c r="W1762" s="74">
        <f>Devis[[#This Row],[Prix de Revient]]*Devis[[#This Row],[Poste 2]]</f>
        <v>0</v>
      </c>
      <c r="X1762" s="74">
        <f>Devis[[#This Row],[Prix de Revient]]*Devis[[#This Row],[Poste 3]]</f>
        <v>0</v>
      </c>
      <c r="Y1762" s="74">
        <f>Devis[[#This Row],[Poste 4]]*Devis[[#This Row],[Prix de Revient]]</f>
        <v>0</v>
      </c>
      <c r="Z1762" s="74">
        <f>Devis[[#This Row],[Poste 5]]*Devis[[#This Row],[Prix de Revient]]</f>
        <v>0</v>
      </c>
      <c r="AA1762" s="74">
        <f>Devis[[#This Row],[Prix de Revient]]*Devis[[#This Row],[Poste 6]]</f>
        <v>0</v>
      </c>
      <c r="AB1762" s="74">
        <f>Devis[[#This Row],[Quantité Totale]]*Devis[[#This Row],[Prix de Revient]]</f>
        <v>0</v>
      </c>
    </row>
    <row r="1763" spans="1:28" ht="15" customHeight="1" outlineLevel="1" x14ac:dyDescent="0.2">
      <c r="A1763" s="75" t="s">
        <v>1378</v>
      </c>
      <c r="B1763" s="76" t="s">
        <v>1530</v>
      </c>
      <c r="C1763" s="71" t="s">
        <v>3626</v>
      </c>
      <c r="D1763" s="81" t="str">
        <f t="shared" si="31"/>
        <v>Inox Serti CoréenManchons à sertir F mixtes FØ60</v>
      </c>
      <c r="E1763" s="76" t="s">
        <v>1434</v>
      </c>
      <c r="F1763" s="81">
        <v>10</v>
      </c>
      <c r="G1763" s="71" t="s">
        <v>1540</v>
      </c>
      <c r="H1763" s="71"/>
      <c r="I1763" s="71"/>
      <c r="J1763" s="70">
        <f>IFERROR(VLOOKUP(Devis[[#This Row],[Ref Air Flux]],#REF!,3,FALSE),0)</f>
        <v>0</v>
      </c>
      <c r="K1763" s="68"/>
      <c r="L1763" s="68"/>
      <c r="M1763" s="68"/>
      <c r="N1763" s="68"/>
      <c r="O1763" s="68"/>
      <c r="P1763" s="68"/>
      <c r="Q1763" s="68">
        <f>SUM(Devis[[#This Row],[Poste 1]:[Poste 6]])</f>
        <v>0</v>
      </c>
      <c r="R1763" s="71"/>
      <c r="S1763" s="68">
        <f>_xlfn.CEILING.MATH(Devis[[#This Row],[Quantité Totale]],Devis[[#This Row],[Conditionnement]])</f>
        <v>0</v>
      </c>
      <c r="T1763" s="72"/>
      <c r="U1763" s="73"/>
      <c r="V1763" s="74">
        <f>Devis[[#This Row],[Prix de Revient]]*Devis[[#This Row],[Poste 1]]</f>
        <v>0</v>
      </c>
      <c r="W1763" s="74">
        <f>Devis[[#This Row],[Prix de Revient]]*Devis[[#This Row],[Poste 2]]</f>
        <v>0</v>
      </c>
      <c r="X1763" s="74">
        <f>Devis[[#This Row],[Prix de Revient]]*Devis[[#This Row],[Poste 3]]</f>
        <v>0</v>
      </c>
      <c r="Y1763" s="74">
        <f>Devis[[#This Row],[Poste 4]]*Devis[[#This Row],[Prix de Revient]]</f>
        <v>0</v>
      </c>
      <c r="Z1763" s="74">
        <f>Devis[[#This Row],[Poste 5]]*Devis[[#This Row],[Prix de Revient]]</f>
        <v>0</v>
      </c>
      <c r="AA1763" s="74">
        <f>Devis[[#This Row],[Prix de Revient]]*Devis[[#This Row],[Poste 6]]</f>
        <v>0</v>
      </c>
      <c r="AB1763" s="74">
        <f>Devis[[#This Row],[Quantité Totale]]*Devis[[#This Row],[Prix de Revient]]</f>
        <v>0</v>
      </c>
    </row>
    <row r="1764" spans="1:28" ht="14.25" outlineLevel="1" x14ac:dyDescent="0.2">
      <c r="A1764" s="75" t="s">
        <v>1378</v>
      </c>
      <c r="B1764" s="76" t="s">
        <v>1530</v>
      </c>
      <c r="C1764" s="71" t="s">
        <v>3626</v>
      </c>
      <c r="D1764" s="81" t="str">
        <f t="shared" si="31"/>
        <v>Inox Serti CoréenManchons à sertir F mixtes FØ60</v>
      </c>
      <c r="E1764" s="76" t="s">
        <v>1541</v>
      </c>
      <c r="F1764" s="81">
        <v>11</v>
      </c>
      <c r="G1764" s="71" t="s">
        <v>1542</v>
      </c>
      <c r="H1764" s="71"/>
      <c r="I1764" s="71"/>
      <c r="J1764" s="70">
        <f>IFERROR(VLOOKUP(Devis[[#This Row],[Ref Air Flux]],#REF!,3,FALSE),0)</f>
        <v>0</v>
      </c>
      <c r="K1764" s="68"/>
      <c r="L1764" s="68"/>
      <c r="M1764" s="68"/>
      <c r="N1764" s="68"/>
      <c r="O1764" s="68"/>
      <c r="P1764" s="68"/>
      <c r="Q1764" s="68">
        <f>SUM(Devis[[#This Row],[Poste 1]:[Poste 6]])</f>
        <v>0</v>
      </c>
      <c r="R1764" s="71"/>
      <c r="S1764" s="68">
        <f>_xlfn.CEILING.MATH(Devis[[#This Row],[Quantité Totale]],Devis[[#This Row],[Conditionnement]])</f>
        <v>0</v>
      </c>
      <c r="T1764" s="72"/>
      <c r="U1764" s="73"/>
      <c r="V1764" s="74">
        <f>Devis[[#This Row],[Prix de Revient]]*Devis[[#This Row],[Poste 1]]</f>
        <v>0</v>
      </c>
      <c r="W1764" s="74">
        <f>Devis[[#This Row],[Prix de Revient]]*Devis[[#This Row],[Poste 2]]</f>
        <v>0</v>
      </c>
      <c r="X1764" s="74">
        <f>Devis[[#This Row],[Prix de Revient]]*Devis[[#This Row],[Poste 3]]</f>
        <v>0</v>
      </c>
      <c r="Y1764" s="74">
        <f>Devis[[#This Row],[Poste 4]]*Devis[[#This Row],[Prix de Revient]]</f>
        <v>0</v>
      </c>
      <c r="Z1764" s="74">
        <f>Devis[[#This Row],[Poste 5]]*Devis[[#This Row],[Prix de Revient]]</f>
        <v>0</v>
      </c>
      <c r="AA1764" s="74">
        <f>Devis[[#This Row],[Prix de Revient]]*Devis[[#This Row],[Poste 6]]</f>
        <v>0</v>
      </c>
      <c r="AB1764" s="74">
        <f>Devis[[#This Row],[Quantité Totale]]*Devis[[#This Row],[Prix de Revient]]</f>
        <v>0</v>
      </c>
    </row>
    <row r="1765" spans="1:28" ht="14.25" customHeight="1" x14ac:dyDescent="0.25">
      <c r="A1765" s="65" t="s">
        <v>1378</v>
      </c>
      <c r="B1765" s="65" t="s">
        <v>1543</v>
      </c>
      <c r="C1765" s="71"/>
      <c r="D1765" s="81" t="str">
        <f t="shared" si="31"/>
        <v xml:space="preserve">Inox Serti CoréenManchons à sertir F mixtes M </v>
      </c>
      <c r="E1765" s="76"/>
      <c r="F1765" s="81">
        <v>0</v>
      </c>
      <c r="G1765" s="71"/>
      <c r="H1765" s="71"/>
      <c r="I1765" s="71"/>
      <c r="J1765" s="70">
        <f>IFERROR(VLOOKUP(Devis[[#This Row],[Ref Air Flux]],#REF!,3,FALSE),0)</f>
        <v>0</v>
      </c>
      <c r="K1765" s="68"/>
      <c r="L1765" s="68"/>
      <c r="M1765" s="68"/>
      <c r="N1765" s="68"/>
      <c r="O1765" s="68"/>
      <c r="P1765" s="68"/>
      <c r="Q1765" s="68">
        <f>SUM(Devis[[#This Row],[Poste 1]:[Poste 6]])</f>
        <v>0</v>
      </c>
      <c r="R1765" s="71"/>
      <c r="S1765" s="68">
        <f>_xlfn.CEILING.MATH(Devis[[#This Row],[Quantité Totale]],Devis[[#This Row],[Conditionnement]])</f>
        <v>0</v>
      </c>
      <c r="T1765" s="72"/>
      <c r="U1765" s="73"/>
      <c r="V1765" s="74">
        <f>Devis[[#This Row],[Prix de Revient]]*Devis[[#This Row],[Poste 1]]</f>
        <v>0</v>
      </c>
      <c r="W1765" s="74">
        <f>Devis[[#This Row],[Prix de Revient]]*Devis[[#This Row],[Poste 2]]</f>
        <v>0</v>
      </c>
      <c r="X1765" s="74">
        <f>Devis[[#This Row],[Prix de Revient]]*Devis[[#This Row],[Poste 3]]</f>
        <v>0</v>
      </c>
      <c r="Y1765" s="74">
        <f>Devis[[#This Row],[Poste 4]]*Devis[[#This Row],[Prix de Revient]]</f>
        <v>0</v>
      </c>
      <c r="Z1765" s="74">
        <f>Devis[[#This Row],[Poste 5]]*Devis[[#This Row],[Prix de Revient]]</f>
        <v>0</v>
      </c>
      <c r="AA1765" s="74">
        <f>Devis[[#This Row],[Prix de Revient]]*Devis[[#This Row],[Poste 6]]</f>
        <v>0</v>
      </c>
      <c r="AB1765" s="74">
        <f>Devis[[#This Row],[Quantité Totale]]*Devis[[#This Row],[Prix de Revient]]</f>
        <v>0</v>
      </c>
    </row>
    <row r="1766" spans="1:28" ht="14.25" outlineLevel="1" x14ac:dyDescent="0.2">
      <c r="A1766" s="75" t="s">
        <v>1378</v>
      </c>
      <c r="B1766" s="76" t="s">
        <v>1543</v>
      </c>
      <c r="C1766" s="71" t="s">
        <v>4713</v>
      </c>
      <c r="D1766" s="81" t="str">
        <f t="shared" si="31"/>
        <v>Inox Serti CoréenManchons à sertir F mixtes M Ø16</v>
      </c>
      <c r="E1766" s="110">
        <v>16.5</v>
      </c>
      <c r="F1766" s="81">
        <v>1</v>
      </c>
      <c r="G1766" s="71" t="s">
        <v>1544</v>
      </c>
      <c r="H1766" s="71"/>
      <c r="I1766" s="71"/>
      <c r="J1766" s="70">
        <f>IFERROR(VLOOKUP(Devis[[#This Row],[Ref Air Flux]],#REF!,3,FALSE),0)</f>
        <v>0</v>
      </c>
      <c r="K1766" s="68"/>
      <c r="L1766" s="68"/>
      <c r="M1766" s="68"/>
      <c r="N1766" s="68"/>
      <c r="O1766" s="68"/>
      <c r="P1766" s="68"/>
      <c r="Q1766" s="68">
        <f>SUM(Devis[[#This Row],[Poste 1]:[Poste 6]])</f>
        <v>0</v>
      </c>
      <c r="R1766" s="71"/>
      <c r="S1766" s="68">
        <f>_xlfn.CEILING.MATH(Devis[[#This Row],[Quantité Totale]],Devis[[#This Row],[Conditionnement]])</f>
        <v>0</v>
      </c>
      <c r="T1766" s="72"/>
      <c r="U1766" s="73"/>
      <c r="V1766" s="74">
        <f>Devis[[#This Row],[Prix de Revient]]*Devis[[#This Row],[Poste 1]]</f>
        <v>0</v>
      </c>
      <c r="W1766" s="74">
        <f>Devis[[#This Row],[Prix de Revient]]*Devis[[#This Row],[Poste 2]]</f>
        <v>0</v>
      </c>
      <c r="X1766" s="74">
        <f>Devis[[#This Row],[Prix de Revient]]*Devis[[#This Row],[Poste 3]]</f>
        <v>0</v>
      </c>
      <c r="Y1766" s="74">
        <f>Devis[[#This Row],[Poste 4]]*Devis[[#This Row],[Prix de Revient]]</f>
        <v>0</v>
      </c>
      <c r="Z1766" s="74">
        <f>Devis[[#This Row],[Poste 5]]*Devis[[#This Row],[Prix de Revient]]</f>
        <v>0</v>
      </c>
      <c r="AA1766" s="74">
        <f>Devis[[#This Row],[Prix de Revient]]*Devis[[#This Row],[Poste 6]]</f>
        <v>0</v>
      </c>
      <c r="AB1766" s="74">
        <f>Devis[[#This Row],[Quantité Totale]]*Devis[[#This Row],[Prix de Revient]]</f>
        <v>0</v>
      </c>
    </row>
    <row r="1767" spans="1:28" ht="14.25" customHeight="1" outlineLevel="1" x14ac:dyDescent="0.2">
      <c r="A1767" s="75" t="s">
        <v>1378</v>
      </c>
      <c r="B1767" s="76" t="s">
        <v>1543</v>
      </c>
      <c r="C1767" s="71" t="s">
        <v>3620</v>
      </c>
      <c r="D1767" s="81" t="str">
        <f t="shared" si="31"/>
        <v>Inox Serti CoréenManchons à sertir F mixtes M Ø22</v>
      </c>
      <c r="E1767" s="110">
        <v>22.75</v>
      </c>
      <c r="F1767" s="81">
        <v>2</v>
      </c>
      <c r="G1767" s="71" t="s">
        <v>1545</v>
      </c>
      <c r="H1767" s="71"/>
      <c r="I1767" s="71"/>
      <c r="J1767" s="70">
        <f>IFERROR(VLOOKUP(Devis[[#This Row],[Ref Air Flux]],#REF!,3,FALSE),0)</f>
        <v>0</v>
      </c>
      <c r="K1767" s="68"/>
      <c r="L1767" s="68"/>
      <c r="M1767" s="68"/>
      <c r="N1767" s="68"/>
      <c r="O1767" s="68"/>
      <c r="P1767" s="68"/>
      <c r="Q1767" s="68">
        <f>SUM(Devis[[#This Row],[Poste 1]:[Poste 6]])</f>
        <v>0</v>
      </c>
      <c r="R1767" s="71"/>
      <c r="S1767" s="68">
        <f>_xlfn.CEILING.MATH(Devis[[#This Row],[Quantité Totale]],Devis[[#This Row],[Conditionnement]])</f>
        <v>0</v>
      </c>
      <c r="T1767" s="72"/>
      <c r="U1767" s="73"/>
      <c r="V1767" s="74">
        <f>Devis[[#This Row],[Prix de Revient]]*Devis[[#This Row],[Poste 1]]</f>
        <v>0</v>
      </c>
      <c r="W1767" s="74">
        <f>Devis[[#This Row],[Prix de Revient]]*Devis[[#This Row],[Poste 2]]</f>
        <v>0</v>
      </c>
      <c r="X1767" s="74">
        <f>Devis[[#This Row],[Prix de Revient]]*Devis[[#This Row],[Poste 3]]</f>
        <v>0</v>
      </c>
      <c r="Y1767" s="74">
        <f>Devis[[#This Row],[Poste 4]]*Devis[[#This Row],[Prix de Revient]]</f>
        <v>0</v>
      </c>
      <c r="Z1767" s="74">
        <f>Devis[[#This Row],[Poste 5]]*Devis[[#This Row],[Prix de Revient]]</f>
        <v>0</v>
      </c>
      <c r="AA1767" s="74">
        <f>Devis[[#This Row],[Prix de Revient]]*Devis[[#This Row],[Poste 6]]</f>
        <v>0</v>
      </c>
      <c r="AB1767" s="74">
        <f>Devis[[#This Row],[Quantité Totale]]*Devis[[#This Row],[Prix de Revient]]</f>
        <v>0</v>
      </c>
    </row>
    <row r="1768" spans="1:28" ht="14.25" outlineLevel="1" x14ac:dyDescent="0.2">
      <c r="A1768" s="75" t="s">
        <v>1378</v>
      </c>
      <c r="B1768" s="76" t="s">
        <v>1543</v>
      </c>
      <c r="C1768" s="71" t="s">
        <v>3621</v>
      </c>
      <c r="D1768" s="81" t="str">
        <f t="shared" si="31"/>
        <v>Inox Serti CoréenManchons à sertir F mixtes M Ø28</v>
      </c>
      <c r="E1768" s="76" t="s">
        <v>1423</v>
      </c>
      <c r="F1768" s="81">
        <v>3</v>
      </c>
      <c r="G1768" s="71" t="s">
        <v>1546</v>
      </c>
      <c r="H1768" s="71"/>
      <c r="I1768" s="71"/>
      <c r="J1768" s="70">
        <f>IFERROR(VLOOKUP(Devis[[#This Row],[Ref Air Flux]],#REF!,3,FALSE),0)</f>
        <v>0</v>
      </c>
      <c r="K1768" s="68"/>
      <c r="L1768" s="68"/>
      <c r="M1768" s="68"/>
      <c r="N1768" s="68"/>
      <c r="O1768" s="68"/>
      <c r="P1768" s="68"/>
      <c r="Q1768" s="68">
        <f>SUM(Devis[[#This Row],[Poste 1]:[Poste 6]])</f>
        <v>0</v>
      </c>
      <c r="R1768" s="71"/>
      <c r="S1768" s="68">
        <f>_xlfn.CEILING.MATH(Devis[[#This Row],[Quantité Totale]],Devis[[#This Row],[Conditionnement]])</f>
        <v>0</v>
      </c>
      <c r="T1768" s="72"/>
      <c r="U1768" s="73"/>
      <c r="V1768" s="74">
        <f>Devis[[#This Row],[Prix de Revient]]*Devis[[#This Row],[Poste 1]]</f>
        <v>0</v>
      </c>
      <c r="W1768" s="74">
        <f>Devis[[#This Row],[Prix de Revient]]*Devis[[#This Row],[Poste 2]]</f>
        <v>0</v>
      </c>
      <c r="X1768" s="74">
        <f>Devis[[#This Row],[Prix de Revient]]*Devis[[#This Row],[Poste 3]]</f>
        <v>0</v>
      </c>
      <c r="Y1768" s="74">
        <f>Devis[[#This Row],[Poste 4]]*Devis[[#This Row],[Prix de Revient]]</f>
        <v>0</v>
      </c>
      <c r="Z1768" s="74">
        <f>Devis[[#This Row],[Poste 5]]*Devis[[#This Row],[Prix de Revient]]</f>
        <v>0</v>
      </c>
      <c r="AA1768" s="74">
        <f>Devis[[#This Row],[Prix de Revient]]*Devis[[#This Row],[Poste 6]]</f>
        <v>0</v>
      </c>
      <c r="AB1768" s="74">
        <f>Devis[[#This Row],[Quantité Totale]]*Devis[[#This Row],[Prix de Revient]]</f>
        <v>0</v>
      </c>
    </row>
    <row r="1769" spans="1:28" ht="14.25" outlineLevel="1" x14ac:dyDescent="0.2">
      <c r="A1769" s="75" t="s">
        <v>1378</v>
      </c>
      <c r="B1769" s="76" t="s">
        <v>1543</v>
      </c>
      <c r="C1769" s="71" t="s">
        <v>3622</v>
      </c>
      <c r="D1769" s="81" t="str">
        <f t="shared" si="31"/>
        <v>Inox Serti CoréenManchons à sertir F mixtes M Ø34</v>
      </c>
      <c r="E1769" s="76" t="s">
        <v>1428</v>
      </c>
      <c r="F1769" s="81">
        <v>4</v>
      </c>
      <c r="G1769" s="71" t="s">
        <v>1547</v>
      </c>
      <c r="H1769" s="71"/>
      <c r="I1769" s="71"/>
      <c r="J1769" s="70">
        <f>IFERROR(VLOOKUP(Devis[[#This Row],[Ref Air Flux]],#REF!,3,FALSE),0)</f>
        <v>0</v>
      </c>
      <c r="K1769" s="68"/>
      <c r="L1769" s="68"/>
      <c r="M1769" s="68"/>
      <c r="N1769" s="68"/>
      <c r="O1769" s="68"/>
      <c r="P1769" s="68"/>
      <c r="Q1769" s="68">
        <f>SUM(Devis[[#This Row],[Poste 1]:[Poste 6]])</f>
        <v>0</v>
      </c>
      <c r="R1769" s="71"/>
      <c r="S1769" s="68">
        <f>_xlfn.CEILING.MATH(Devis[[#This Row],[Quantité Totale]],Devis[[#This Row],[Conditionnement]])</f>
        <v>0</v>
      </c>
      <c r="T1769" s="72"/>
      <c r="U1769" s="73"/>
      <c r="V1769" s="74">
        <f>Devis[[#This Row],[Prix de Revient]]*Devis[[#This Row],[Poste 1]]</f>
        <v>0</v>
      </c>
      <c r="W1769" s="74">
        <f>Devis[[#This Row],[Prix de Revient]]*Devis[[#This Row],[Poste 2]]</f>
        <v>0</v>
      </c>
      <c r="X1769" s="74">
        <f>Devis[[#This Row],[Prix de Revient]]*Devis[[#This Row],[Poste 3]]</f>
        <v>0</v>
      </c>
      <c r="Y1769" s="74">
        <f>Devis[[#This Row],[Poste 4]]*Devis[[#This Row],[Prix de Revient]]</f>
        <v>0</v>
      </c>
      <c r="Z1769" s="74">
        <f>Devis[[#This Row],[Poste 5]]*Devis[[#This Row],[Prix de Revient]]</f>
        <v>0</v>
      </c>
      <c r="AA1769" s="74">
        <f>Devis[[#This Row],[Prix de Revient]]*Devis[[#This Row],[Poste 6]]</f>
        <v>0</v>
      </c>
      <c r="AB1769" s="74">
        <f>Devis[[#This Row],[Quantité Totale]]*Devis[[#This Row],[Prix de Revient]]</f>
        <v>0</v>
      </c>
    </row>
    <row r="1770" spans="1:28" ht="14.25" outlineLevel="1" x14ac:dyDescent="0.2">
      <c r="A1770" s="75" t="s">
        <v>1378</v>
      </c>
      <c r="B1770" s="76" t="s">
        <v>1543</v>
      </c>
      <c r="C1770" s="71" t="s">
        <v>3623</v>
      </c>
      <c r="D1770" s="81" t="str">
        <f t="shared" si="31"/>
        <v>Inox Serti CoréenManchons à sertir F mixtes M Ø42</v>
      </c>
      <c r="E1770" s="76" t="s">
        <v>1430</v>
      </c>
      <c r="F1770" s="81">
        <v>5</v>
      </c>
      <c r="G1770" s="71" t="s">
        <v>1548</v>
      </c>
      <c r="H1770" s="71"/>
      <c r="I1770" s="71"/>
      <c r="J1770" s="70">
        <f>IFERROR(VLOOKUP(Devis[[#This Row],[Ref Air Flux]],#REF!,3,FALSE),0)</f>
        <v>0</v>
      </c>
      <c r="K1770" s="68"/>
      <c r="L1770" s="68"/>
      <c r="M1770" s="68"/>
      <c r="N1770" s="68"/>
      <c r="O1770" s="68"/>
      <c r="P1770" s="68"/>
      <c r="Q1770" s="68">
        <f>SUM(Devis[[#This Row],[Poste 1]:[Poste 6]])</f>
        <v>0</v>
      </c>
      <c r="R1770" s="71"/>
      <c r="S1770" s="68">
        <f>_xlfn.CEILING.MATH(Devis[[#This Row],[Quantité Totale]],Devis[[#This Row],[Conditionnement]])</f>
        <v>0</v>
      </c>
      <c r="T1770" s="72"/>
      <c r="U1770" s="73"/>
      <c r="V1770" s="74">
        <f>Devis[[#This Row],[Prix de Revient]]*Devis[[#This Row],[Poste 1]]</f>
        <v>0</v>
      </c>
      <c r="W1770" s="74">
        <f>Devis[[#This Row],[Prix de Revient]]*Devis[[#This Row],[Poste 2]]</f>
        <v>0</v>
      </c>
      <c r="X1770" s="74">
        <f>Devis[[#This Row],[Prix de Revient]]*Devis[[#This Row],[Poste 3]]</f>
        <v>0</v>
      </c>
      <c r="Y1770" s="74">
        <f>Devis[[#This Row],[Poste 4]]*Devis[[#This Row],[Prix de Revient]]</f>
        <v>0</v>
      </c>
      <c r="Z1770" s="74">
        <f>Devis[[#This Row],[Poste 5]]*Devis[[#This Row],[Prix de Revient]]</f>
        <v>0</v>
      </c>
      <c r="AA1770" s="74">
        <f>Devis[[#This Row],[Prix de Revient]]*Devis[[#This Row],[Poste 6]]</f>
        <v>0</v>
      </c>
      <c r="AB1770" s="74">
        <f>Devis[[#This Row],[Quantité Totale]]*Devis[[#This Row],[Prix de Revient]]</f>
        <v>0</v>
      </c>
    </row>
    <row r="1771" spans="1:28" ht="15" customHeight="1" outlineLevel="1" x14ac:dyDescent="0.2">
      <c r="A1771" s="75" t="s">
        <v>1378</v>
      </c>
      <c r="B1771" s="76" t="s">
        <v>1543</v>
      </c>
      <c r="C1771" s="71" t="s">
        <v>3624</v>
      </c>
      <c r="D1771" s="81" t="str">
        <f t="shared" si="31"/>
        <v>Inox Serti CoréenManchons à sertir F mixtes M Ø48</v>
      </c>
      <c r="E1771" s="76" t="s">
        <v>1432</v>
      </c>
      <c r="F1771" s="81">
        <v>6</v>
      </c>
      <c r="G1771" s="71" t="s">
        <v>1549</v>
      </c>
      <c r="H1771" s="71"/>
      <c r="I1771" s="71"/>
      <c r="J1771" s="70">
        <f>IFERROR(VLOOKUP(Devis[[#This Row],[Ref Air Flux]],#REF!,3,FALSE),0)</f>
        <v>0</v>
      </c>
      <c r="K1771" s="68"/>
      <c r="L1771" s="68"/>
      <c r="M1771" s="68"/>
      <c r="N1771" s="68"/>
      <c r="O1771" s="68"/>
      <c r="P1771" s="68"/>
      <c r="Q1771" s="68">
        <f>SUM(Devis[[#This Row],[Poste 1]:[Poste 6]])</f>
        <v>0</v>
      </c>
      <c r="R1771" s="71"/>
      <c r="S1771" s="68">
        <f>_xlfn.CEILING.MATH(Devis[[#This Row],[Quantité Totale]],Devis[[#This Row],[Conditionnement]])</f>
        <v>0</v>
      </c>
      <c r="T1771" s="72"/>
      <c r="U1771" s="73"/>
      <c r="V1771" s="74">
        <f>Devis[[#This Row],[Prix de Revient]]*Devis[[#This Row],[Poste 1]]</f>
        <v>0</v>
      </c>
      <c r="W1771" s="74">
        <f>Devis[[#This Row],[Prix de Revient]]*Devis[[#This Row],[Poste 2]]</f>
        <v>0</v>
      </c>
      <c r="X1771" s="74">
        <f>Devis[[#This Row],[Prix de Revient]]*Devis[[#This Row],[Poste 3]]</f>
        <v>0</v>
      </c>
      <c r="Y1771" s="74">
        <f>Devis[[#This Row],[Poste 4]]*Devis[[#This Row],[Prix de Revient]]</f>
        <v>0</v>
      </c>
      <c r="Z1771" s="74">
        <f>Devis[[#This Row],[Poste 5]]*Devis[[#This Row],[Prix de Revient]]</f>
        <v>0</v>
      </c>
      <c r="AA1771" s="74">
        <f>Devis[[#This Row],[Prix de Revient]]*Devis[[#This Row],[Poste 6]]</f>
        <v>0</v>
      </c>
      <c r="AB1771" s="74">
        <f>Devis[[#This Row],[Quantité Totale]]*Devis[[#This Row],[Prix de Revient]]</f>
        <v>0</v>
      </c>
    </row>
    <row r="1772" spans="1:28" ht="14.25" outlineLevel="1" x14ac:dyDescent="0.2">
      <c r="A1772" s="75" t="s">
        <v>1378</v>
      </c>
      <c r="B1772" s="76" t="s">
        <v>1543</v>
      </c>
      <c r="C1772" s="71" t="s">
        <v>3626</v>
      </c>
      <c r="D1772" s="81" t="str">
        <f t="shared" si="31"/>
        <v>Inox Serti CoréenManchons à sertir F mixtes M Ø60</v>
      </c>
      <c r="E1772" s="76" t="s">
        <v>1434</v>
      </c>
      <c r="F1772" s="81">
        <v>7</v>
      </c>
      <c r="G1772" s="71" t="s">
        <v>1550</v>
      </c>
      <c r="H1772" s="71"/>
      <c r="I1772" s="71"/>
      <c r="J1772" s="70">
        <f>IFERROR(VLOOKUP(Devis[[#This Row],[Ref Air Flux]],#REF!,3,FALSE),0)</f>
        <v>0</v>
      </c>
      <c r="K1772" s="68"/>
      <c r="L1772" s="68"/>
      <c r="M1772" s="68"/>
      <c r="N1772" s="68"/>
      <c r="O1772" s="68"/>
      <c r="P1772" s="68"/>
      <c r="Q1772" s="68">
        <f>SUM(Devis[[#This Row],[Poste 1]:[Poste 6]])</f>
        <v>0</v>
      </c>
      <c r="R1772" s="71"/>
      <c r="S1772" s="68">
        <f>_xlfn.CEILING.MATH(Devis[[#This Row],[Quantité Totale]],Devis[[#This Row],[Conditionnement]])</f>
        <v>0</v>
      </c>
      <c r="T1772" s="72"/>
      <c r="U1772" s="73"/>
      <c r="V1772" s="74">
        <f>Devis[[#This Row],[Prix de Revient]]*Devis[[#This Row],[Poste 1]]</f>
        <v>0</v>
      </c>
      <c r="W1772" s="74">
        <f>Devis[[#This Row],[Prix de Revient]]*Devis[[#This Row],[Poste 2]]</f>
        <v>0</v>
      </c>
      <c r="X1772" s="74">
        <f>Devis[[#This Row],[Prix de Revient]]*Devis[[#This Row],[Poste 3]]</f>
        <v>0</v>
      </c>
      <c r="Y1772" s="74">
        <f>Devis[[#This Row],[Poste 4]]*Devis[[#This Row],[Prix de Revient]]</f>
        <v>0</v>
      </c>
      <c r="Z1772" s="74">
        <f>Devis[[#This Row],[Poste 5]]*Devis[[#This Row],[Prix de Revient]]</f>
        <v>0</v>
      </c>
      <c r="AA1772" s="74">
        <f>Devis[[#This Row],[Prix de Revient]]*Devis[[#This Row],[Poste 6]]</f>
        <v>0</v>
      </c>
      <c r="AB1772" s="74">
        <f>Devis[[#This Row],[Quantité Totale]]*Devis[[#This Row],[Prix de Revient]]</f>
        <v>0</v>
      </c>
    </row>
    <row r="1773" spans="1:28" ht="14.25" outlineLevel="1" x14ac:dyDescent="0.2">
      <c r="A1773" s="75" t="s">
        <v>1378</v>
      </c>
      <c r="B1773" s="76" t="s">
        <v>1543</v>
      </c>
      <c r="C1773" s="71" t="s">
        <v>3626</v>
      </c>
      <c r="D1773" s="81" t="str">
        <f t="shared" si="31"/>
        <v>Inox Serti CoréenManchons à sertir F mixtes M Ø60</v>
      </c>
      <c r="E1773" s="76" t="s">
        <v>1551</v>
      </c>
      <c r="F1773" s="81">
        <v>8</v>
      </c>
      <c r="G1773" s="71" t="s">
        <v>1552</v>
      </c>
      <c r="H1773" s="71"/>
      <c r="I1773" s="71"/>
      <c r="J1773" s="70">
        <f>IFERROR(VLOOKUP(Devis[[#This Row],[Ref Air Flux]],#REF!,3,FALSE),0)</f>
        <v>0</v>
      </c>
      <c r="K1773" s="68"/>
      <c r="L1773" s="68"/>
      <c r="M1773" s="68"/>
      <c r="N1773" s="68"/>
      <c r="O1773" s="68"/>
      <c r="P1773" s="68"/>
      <c r="Q1773" s="68">
        <f>SUM(Devis[[#This Row],[Poste 1]:[Poste 6]])</f>
        <v>0</v>
      </c>
      <c r="R1773" s="71"/>
      <c r="S1773" s="68">
        <f>_xlfn.CEILING.MATH(Devis[[#This Row],[Quantité Totale]],Devis[[#This Row],[Conditionnement]])</f>
        <v>0</v>
      </c>
      <c r="T1773" s="72"/>
      <c r="U1773" s="73"/>
      <c r="V1773" s="74">
        <f>Devis[[#This Row],[Prix de Revient]]*Devis[[#This Row],[Poste 1]]</f>
        <v>0</v>
      </c>
      <c r="W1773" s="74">
        <f>Devis[[#This Row],[Prix de Revient]]*Devis[[#This Row],[Poste 2]]</f>
        <v>0</v>
      </c>
      <c r="X1773" s="74">
        <f>Devis[[#This Row],[Prix de Revient]]*Devis[[#This Row],[Poste 3]]</f>
        <v>0</v>
      </c>
      <c r="Y1773" s="74">
        <f>Devis[[#This Row],[Poste 4]]*Devis[[#This Row],[Prix de Revient]]</f>
        <v>0</v>
      </c>
      <c r="Z1773" s="74">
        <f>Devis[[#This Row],[Poste 5]]*Devis[[#This Row],[Prix de Revient]]</f>
        <v>0</v>
      </c>
      <c r="AA1773" s="74">
        <f>Devis[[#This Row],[Prix de Revient]]*Devis[[#This Row],[Poste 6]]</f>
        <v>0</v>
      </c>
      <c r="AB1773" s="74">
        <f>Devis[[#This Row],[Quantité Totale]]*Devis[[#This Row],[Prix de Revient]]</f>
        <v>0</v>
      </c>
    </row>
    <row r="1774" spans="1:28" ht="14.25" customHeight="1" x14ac:dyDescent="0.25">
      <c r="A1774" s="65" t="s">
        <v>1378</v>
      </c>
      <c r="B1774" s="65" t="s">
        <v>1553</v>
      </c>
      <c r="C1774" s="71"/>
      <c r="D1774" s="81" t="str">
        <f t="shared" si="31"/>
        <v xml:space="preserve">Inox Serti CoréenTé </v>
      </c>
      <c r="E1774" s="76"/>
      <c r="F1774" s="81">
        <v>0</v>
      </c>
      <c r="G1774" s="71"/>
      <c r="H1774" s="71"/>
      <c r="I1774" s="71"/>
      <c r="J1774" s="70">
        <f>IFERROR(VLOOKUP(Devis[[#This Row],[Ref Air Flux]],#REF!,3,FALSE),0)</f>
        <v>0</v>
      </c>
      <c r="K1774" s="68"/>
      <c r="L1774" s="68"/>
      <c r="M1774" s="68"/>
      <c r="N1774" s="68"/>
      <c r="O1774" s="68"/>
      <c r="P1774" s="68"/>
      <c r="Q1774" s="68">
        <f>SUM(Devis[[#This Row],[Poste 1]:[Poste 6]])</f>
        <v>0</v>
      </c>
      <c r="R1774" s="71"/>
      <c r="S1774" s="68">
        <f>_xlfn.CEILING.MATH(Devis[[#This Row],[Quantité Totale]],Devis[[#This Row],[Conditionnement]])</f>
        <v>0</v>
      </c>
      <c r="T1774" s="72"/>
      <c r="U1774" s="73"/>
      <c r="V1774" s="74">
        <f>Devis[[#This Row],[Prix de Revient]]*Devis[[#This Row],[Poste 1]]</f>
        <v>0</v>
      </c>
      <c r="W1774" s="74">
        <f>Devis[[#This Row],[Prix de Revient]]*Devis[[#This Row],[Poste 2]]</f>
        <v>0</v>
      </c>
      <c r="X1774" s="74">
        <f>Devis[[#This Row],[Prix de Revient]]*Devis[[#This Row],[Poste 3]]</f>
        <v>0</v>
      </c>
      <c r="Y1774" s="74">
        <f>Devis[[#This Row],[Poste 4]]*Devis[[#This Row],[Prix de Revient]]</f>
        <v>0</v>
      </c>
      <c r="Z1774" s="74">
        <f>Devis[[#This Row],[Poste 5]]*Devis[[#This Row],[Prix de Revient]]</f>
        <v>0</v>
      </c>
      <c r="AA1774" s="74">
        <f>Devis[[#This Row],[Prix de Revient]]*Devis[[#This Row],[Poste 6]]</f>
        <v>0</v>
      </c>
      <c r="AB1774" s="74">
        <f>Devis[[#This Row],[Quantité Totale]]*Devis[[#This Row],[Prix de Revient]]</f>
        <v>0</v>
      </c>
    </row>
    <row r="1775" spans="1:28" ht="14.25" customHeight="1" outlineLevel="1" x14ac:dyDescent="0.2">
      <c r="A1775" s="75" t="s">
        <v>1378</v>
      </c>
      <c r="B1775" s="76" t="s">
        <v>1553</v>
      </c>
      <c r="C1775" s="71" t="s">
        <v>4713</v>
      </c>
      <c r="D1775" s="81" t="str">
        <f t="shared" si="31"/>
        <v>Inox Serti CoréenTé Ø16</v>
      </c>
      <c r="E1775" s="73">
        <v>16</v>
      </c>
      <c r="F1775" s="81">
        <v>1</v>
      </c>
      <c r="G1775" s="71" t="s">
        <v>1554</v>
      </c>
      <c r="H1775" s="71"/>
      <c r="I1775" s="71"/>
      <c r="J1775" s="70">
        <f>IFERROR(VLOOKUP(Devis[[#This Row],[Ref Air Flux]],#REF!,3,FALSE),0)</f>
        <v>0</v>
      </c>
      <c r="K1775" s="68"/>
      <c r="L1775" s="68"/>
      <c r="M1775" s="68"/>
      <c r="N1775" s="68"/>
      <c r="O1775" s="68"/>
      <c r="P1775" s="68"/>
      <c r="Q1775" s="68">
        <f>SUM(Devis[[#This Row],[Poste 1]:[Poste 6]])</f>
        <v>0</v>
      </c>
      <c r="R1775" s="71"/>
      <c r="S1775" s="68">
        <f>_xlfn.CEILING.MATH(Devis[[#This Row],[Quantité Totale]],Devis[[#This Row],[Conditionnement]])</f>
        <v>0</v>
      </c>
      <c r="T1775" s="72"/>
      <c r="U1775" s="73"/>
      <c r="V1775" s="74">
        <f>Devis[[#This Row],[Prix de Revient]]*Devis[[#This Row],[Poste 1]]</f>
        <v>0</v>
      </c>
      <c r="W1775" s="74">
        <f>Devis[[#This Row],[Prix de Revient]]*Devis[[#This Row],[Poste 2]]</f>
        <v>0</v>
      </c>
      <c r="X1775" s="74">
        <f>Devis[[#This Row],[Prix de Revient]]*Devis[[#This Row],[Poste 3]]</f>
        <v>0</v>
      </c>
      <c r="Y1775" s="74">
        <f>Devis[[#This Row],[Poste 4]]*Devis[[#This Row],[Prix de Revient]]</f>
        <v>0</v>
      </c>
      <c r="Z1775" s="74">
        <f>Devis[[#This Row],[Poste 5]]*Devis[[#This Row],[Prix de Revient]]</f>
        <v>0</v>
      </c>
      <c r="AA1775" s="74">
        <f>Devis[[#This Row],[Prix de Revient]]*Devis[[#This Row],[Poste 6]]</f>
        <v>0</v>
      </c>
      <c r="AB1775" s="74">
        <f>Devis[[#This Row],[Quantité Totale]]*Devis[[#This Row],[Prix de Revient]]</f>
        <v>0</v>
      </c>
    </row>
    <row r="1776" spans="1:28" ht="14.25" customHeight="1" outlineLevel="1" x14ac:dyDescent="0.2">
      <c r="A1776" s="75" t="s">
        <v>1378</v>
      </c>
      <c r="B1776" s="76" t="s">
        <v>1553</v>
      </c>
      <c r="C1776" s="71" t="s">
        <v>3620</v>
      </c>
      <c r="D1776" s="81" t="str">
        <f t="shared" si="31"/>
        <v>Inox Serti CoréenTé Ø22</v>
      </c>
      <c r="E1776" s="73">
        <v>22</v>
      </c>
      <c r="F1776" s="81">
        <v>2</v>
      </c>
      <c r="G1776" s="71" t="s">
        <v>1555</v>
      </c>
      <c r="H1776" s="71"/>
      <c r="I1776" s="71"/>
      <c r="J1776" s="70">
        <f>IFERROR(VLOOKUP(Devis[[#This Row],[Ref Air Flux]],#REF!,3,FALSE),0)</f>
        <v>0</v>
      </c>
      <c r="K1776" s="68"/>
      <c r="L1776" s="68"/>
      <c r="M1776" s="68"/>
      <c r="N1776" s="68"/>
      <c r="O1776" s="68"/>
      <c r="P1776" s="68"/>
      <c r="Q1776" s="68">
        <f>SUM(Devis[[#This Row],[Poste 1]:[Poste 6]])</f>
        <v>0</v>
      </c>
      <c r="R1776" s="71"/>
      <c r="S1776" s="68">
        <f>_xlfn.CEILING.MATH(Devis[[#This Row],[Quantité Totale]],Devis[[#This Row],[Conditionnement]])</f>
        <v>0</v>
      </c>
      <c r="T1776" s="72"/>
      <c r="U1776" s="73"/>
      <c r="V1776" s="74">
        <f>Devis[[#This Row],[Prix de Revient]]*Devis[[#This Row],[Poste 1]]</f>
        <v>0</v>
      </c>
      <c r="W1776" s="74">
        <f>Devis[[#This Row],[Prix de Revient]]*Devis[[#This Row],[Poste 2]]</f>
        <v>0</v>
      </c>
      <c r="X1776" s="74">
        <f>Devis[[#This Row],[Prix de Revient]]*Devis[[#This Row],[Poste 3]]</f>
        <v>0</v>
      </c>
      <c r="Y1776" s="74">
        <f>Devis[[#This Row],[Poste 4]]*Devis[[#This Row],[Prix de Revient]]</f>
        <v>0</v>
      </c>
      <c r="Z1776" s="74">
        <f>Devis[[#This Row],[Poste 5]]*Devis[[#This Row],[Prix de Revient]]</f>
        <v>0</v>
      </c>
      <c r="AA1776" s="74">
        <f>Devis[[#This Row],[Prix de Revient]]*Devis[[#This Row],[Poste 6]]</f>
        <v>0</v>
      </c>
      <c r="AB1776" s="74">
        <f>Devis[[#This Row],[Quantité Totale]]*Devis[[#This Row],[Prix de Revient]]</f>
        <v>0</v>
      </c>
    </row>
    <row r="1777" spans="1:28" ht="14.25" outlineLevel="1" x14ac:dyDescent="0.2">
      <c r="A1777" s="75" t="s">
        <v>1378</v>
      </c>
      <c r="B1777" s="76" t="s">
        <v>1553</v>
      </c>
      <c r="C1777" s="71" t="s">
        <v>3621</v>
      </c>
      <c r="D1777" s="81" t="str">
        <f t="shared" si="31"/>
        <v>Inox Serti CoréenTé Ø28</v>
      </c>
      <c r="E1777" s="73">
        <v>28</v>
      </c>
      <c r="F1777" s="81">
        <v>3</v>
      </c>
      <c r="G1777" s="71" t="s">
        <v>1556</v>
      </c>
      <c r="H1777" s="71"/>
      <c r="I1777" s="71"/>
      <c r="J1777" s="70">
        <f>IFERROR(VLOOKUP(Devis[[#This Row],[Ref Air Flux]],#REF!,3,FALSE),0)</f>
        <v>0</v>
      </c>
      <c r="K1777" s="68"/>
      <c r="L1777" s="68"/>
      <c r="M1777" s="68"/>
      <c r="N1777" s="68"/>
      <c r="O1777" s="68"/>
      <c r="P1777" s="68"/>
      <c r="Q1777" s="68">
        <f>SUM(Devis[[#This Row],[Poste 1]:[Poste 6]])</f>
        <v>0</v>
      </c>
      <c r="R1777" s="71"/>
      <c r="S1777" s="68">
        <f>_xlfn.CEILING.MATH(Devis[[#This Row],[Quantité Totale]],Devis[[#This Row],[Conditionnement]])</f>
        <v>0</v>
      </c>
      <c r="T1777" s="72"/>
      <c r="U1777" s="73"/>
      <c r="V1777" s="74">
        <f>Devis[[#This Row],[Prix de Revient]]*Devis[[#This Row],[Poste 1]]</f>
        <v>0</v>
      </c>
      <c r="W1777" s="74">
        <f>Devis[[#This Row],[Prix de Revient]]*Devis[[#This Row],[Poste 2]]</f>
        <v>0</v>
      </c>
      <c r="X1777" s="74">
        <f>Devis[[#This Row],[Prix de Revient]]*Devis[[#This Row],[Poste 3]]</f>
        <v>0</v>
      </c>
      <c r="Y1777" s="74">
        <f>Devis[[#This Row],[Poste 4]]*Devis[[#This Row],[Prix de Revient]]</f>
        <v>0</v>
      </c>
      <c r="Z1777" s="74">
        <f>Devis[[#This Row],[Poste 5]]*Devis[[#This Row],[Prix de Revient]]</f>
        <v>0</v>
      </c>
      <c r="AA1777" s="74">
        <f>Devis[[#This Row],[Prix de Revient]]*Devis[[#This Row],[Poste 6]]</f>
        <v>0</v>
      </c>
      <c r="AB1777" s="74">
        <f>Devis[[#This Row],[Quantité Totale]]*Devis[[#This Row],[Prix de Revient]]</f>
        <v>0</v>
      </c>
    </row>
    <row r="1778" spans="1:28" ht="14.25" outlineLevel="1" x14ac:dyDescent="0.2">
      <c r="A1778" s="75" t="s">
        <v>1378</v>
      </c>
      <c r="B1778" s="76" t="s">
        <v>1553</v>
      </c>
      <c r="C1778" s="71" t="s">
        <v>3622</v>
      </c>
      <c r="D1778" s="81" t="str">
        <f t="shared" si="31"/>
        <v>Inox Serti CoréenTé Ø34</v>
      </c>
      <c r="E1778" s="73">
        <v>34</v>
      </c>
      <c r="F1778" s="81">
        <v>4</v>
      </c>
      <c r="G1778" s="71" t="s">
        <v>1557</v>
      </c>
      <c r="H1778" s="71"/>
      <c r="I1778" s="71"/>
      <c r="J1778" s="70">
        <f>IFERROR(VLOOKUP(Devis[[#This Row],[Ref Air Flux]],#REF!,3,FALSE),0)</f>
        <v>0</v>
      </c>
      <c r="K1778" s="68"/>
      <c r="L1778" s="68"/>
      <c r="M1778" s="68"/>
      <c r="N1778" s="68"/>
      <c r="O1778" s="68"/>
      <c r="P1778" s="68"/>
      <c r="Q1778" s="68">
        <f>SUM(Devis[[#This Row],[Poste 1]:[Poste 6]])</f>
        <v>0</v>
      </c>
      <c r="R1778" s="71"/>
      <c r="S1778" s="68">
        <f>_xlfn.CEILING.MATH(Devis[[#This Row],[Quantité Totale]],Devis[[#This Row],[Conditionnement]])</f>
        <v>0</v>
      </c>
      <c r="T1778" s="72"/>
      <c r="U1778" s="73"/>
      <c r="V1778" s="74">
        <f>Devis[[#This Row],[Prix de Revient]]*Devis[[#This Row],[Poste 1]]</f>
        <v>0</v>
      </c>
      <c r="W1778" s="74">
        <f>Devis[[#This Row],[Prix de Revient]]*Devis[[#This Row],[Poste 2]]</f>
        <v>0</v>
      </c>
      <c r="X1778" s="74">
        <f>Devis[[#This Row],[Prix de Revient]]*Devis[[#This Row],[Poste 3]]</f>
        <v>0</v>
      </c>
      <c r="Y1778" s="74">
        <f>Devis[[#This Row],[Poste 4]]*Devis[[#This Row],[Prix de Revient]]</f>
        <v>0</v>
      </c>
      <c r="Z1778" s="74">
        <f>Devis[[#This Row],[Poste 5]]*Devis[[#This Row],[Prix de Revient]]</f>
        <v>0</v>
      </c>
      <c r="AA1778" s="74">
        <f>Devis[[#This Row],[Prix de Revient]]*Devis[[#This Row],[Poste 6]]</f>
        <v>0</v>
      </c>
      <c r="AB1778" s="74">
        <f>Devis[[#This Row],[Quantité Totale]]*Devis[[#This Row],[Prix de Revient]]</f>
        <v>0</v>
      </c>
    </row>
    <row r="1779" spans="1:28" ht="15" customHeight="1" outlineLevel="1" x14ac:dyDescent="0.2">
      <c r="A1779" s="75" t="s">
        <v>1378</v>
      </c>
      <c r="B1779" s="76" t="s">
        <v>1553</v>
      </c>
      <c r="C1779" s="71" t="s">
        <v>3623</v>
      </c>
      <c r="D1779" s="81" t="str">
        <f t="shared" si="31"/>
        <v>Inox Serti CoréenTé Ø42</v>
      </c>
      <c r="E1779" s="73">
        <v>42</v>
      </c>
      <c r="F1779" s="81">
        <v>5</v>
      </c>
      <c r="G1779" s="71" t="s">
        <v>1558</v>
      </c>
      <c r="H1779" s="71"/>
      <c r="I1779" s="71"/>
      <c r="J1779" s="70">
        <f>IFERROR(VLOOKUP(Devis[[#This Row],[Ref Air Flux]],#REF!,3,FALSE),0)</f>
        <v>0</v>
      </c>
      <c r="K1779" s="68"/>
      <c r="L1779" s="68"/>
      <c r="M1779" s="68"/>
      <c r="N1779" s="68"/>
      <c r="O1779" s="68"/>
      <c r="P1779" s="68"/>
      <c r="Q1779" s="68">
        <f>SUM(Devis[[#This Row],[Poste 1]:[Poste 6]])</f>
        <v>0</v>
      </c>
      <c r="R1779" s="71"/>
      <c r="S1779" s="68">
        <f>_xlfn.CEILING.MATH(Devis[[#This Row],[Quantité Totale]],Devis[[#This Row],[Conditionnement]])</f>
        <v>0</v>
      </c>
      <c r="T1779" s="72"/>
      <c r="U1779" s="73"/>
      <c r="V1779" s="74">
        <f>Devis[[#This Row],[Prix de Revient]]*Devis[[#This Row],[Poste 1]]</f>
        <v>0</v>
      </c>
      <c r="W1779" s="74">
        <f>Devis[[#This Row],[Prix de Revient]]*Devis[[#This Row],[Poste 2]]</f>
        <v>0</v>
      </c>
      <c r="X1779" s="74">
        <f>Devis[[#This Row],[Prix de Revient]]*Devis[[#This Row],[Poste 3]]</f>
        <v>0</v>
      </c>
      <c r="Y1779" s="74">
        <f>Devis[[#This Row],[Poste 4]]*Devis[[#This Row],[Prix de Revient]]</f>
        <v>0</v>
      </c>
      <c r="Z1779" s="74">
        <f>Devis[[#This Row],[Poste 5]]*Devis[[#This Row],[Prix de Revient]]</f>
        <v>0</v>
      </c>
      <c r="AA1779" s="74">
        <f>Devis[[#This Row],[Prix de Revient]]*Devis[[#This Row],[Poste 6]]</f>
        <v>0</v>
      </c>
      <c r="AB1779" s="74">
        <f>Devis[[#This Row],[Quantité Totale]]*Devis[[#This Row],[Prix de Revient]]</f>
        <v>0</v>
      </c>
    </row>
    <row r="1780" spans="1:28" ht="14.25" customHeight="1" outlineLevel="1" x14ac:dyDescent="0.2">
      <c r="A1780" s="75" t="s">
        <v>1378</v>
      </c>
      <c r="B1780" s="76" t="s">
        <v>1553</v>
      </c>
      <c r="C1780" s="71" t="s">
        <v>3624</v>
      </c>
      <c r="D1780" s="81" t="str">
        <f t="shared" si="31"/>
        <v>Inox Serti CoréenTé Ø48</v>
      </c>
      <c r="E1780" s="73">
        <v>48</v>
      </c>
      <c r="F1780" s="81">
        <v>6</v>
      </c>
      <c r="G1780" s="71" t="s">
        <v>1559</v>
      </c>
      <c r="H1780" s="71"/>
      <c r="I1780" s="71"/>
      <c r="J1780" s="70">
        <f>IFERROR(VLOOKUP(Devis[[#This Row],[Ref Air Flux]],#REF!,3,FALSE),0)</f>
        <v>0</v>
      </c>
      <c r="K1780" s="68"/>
      <c r="L1780" s="68"/>
      <c r="M1780" s="68"/>
      <c r="N1780" s="68"/>
      <c r="O1780" s="68"/>
      <c r="P1780" s="68"/>
      <c r="Q1780" s="68">
        <f>SUM(Devis[[#This Row],[Poste 1]:[Poste 6]])</f>
        <v>0</v>
      </c>
      <c r="R1780" s="71"/>
      <c r="S1780" s="68">
        <f>_xlfn.CEILING.MATH(Devis[[#This Row],[Quantité Totale]],Devis[[#This Row],[Conditionnement]])</f>
        <v>0</v>
      </c>
      <c r="T1780" s="72"/>
      <c r="U1780" s="73"/>
      <c r="V1780" s="74">
        <f>Devis[[#This Row],[Prix de Revient]]*Devis[[#This Row],[Poste 1]]</f>
        <v>0</v>
      </c>
      <c r="W1780" s="74">
        <f>Devis[[#This Row],[Prix de Revient]]*Devis[[#This Row],[Poste 2]]</f>
        <v>0</v>
      </c>
      <c r="X1780" s="74">
        <f>Devis[[#This Row],[Prix de Revient]]*Devis[[#This Row],[Poste 3]]</f>
        <v>0</v>
      </c>
      <c r="Y1780" s="74">
        <f>Devis[[#This Row],[Poste 4]]*Devis[[#This Row],[Prix de Revient]]</f>
        <v>0</v>
      </c>
      <c r="Z1780" s="74">
        <f>Devis[[#This Row],[Poste 5]]*Devis[[#This Row],[Prix de Revient]]</f>
        <v>0</v>
      </c>
      <c r="AA1780" s="74">
        <f>Devis[[#This Row],[Prix de Revient]]*Devis[[#This Row],[Poste 6]]</f>
        <v>0</v>
      </c>
      <c r="AB1780" s="74">
        <f>Devis[[#This Row],[Quantité Totale]]*Devis[[#This Row],[Prix de Revient]]</f>
        <v>0</v>
      </c>
    </row>
    <row r="1781" spans="1:28" ht="14.25" customHeight="1" outlineLevel="1" x14ac:dyDescent="0.2">
      <c r="A1781" s="75" t="s">
        <v>1378</v>
      </c>
      <c r="B1781" s="76" t="s">
        <v>1553</v>
      </c>
      <c r="C1781" s="71" t="s">
        <v>3626</v>
      </c>
      <c r="D1781" s="81" t="str">
        <f t="shared" si="31"/>
        <v>Inox Serti CoréenTé Ø60</v>
      </c>
      <c r="E1781" s="73">
        <v>60</v>
      </c>
      <c r="F1781" s="81">
        <v>7</v>
      </c>
      <c r="G1781" s="71" t="s">
        <v>1560</v>
      </c>
      <c r="H1781" s="71"/>
      <c r="I1781" s="71"/>
      <c r="J1781" s="70">
        <f>IFERROR(VLOOKUP(Devis[[#This Row],[Ref Air Flux]],#REF!,3,FALSE),0)</f>
        <v>0</v>
      </c>
      <c r="K1781" s="68"/>
      <c r="L1781" s="68"/>
      <c r="M1781" s="68"/>
      <c r="N1781" s="68"/>
      <c r="O1781" s="68"/>
      <c r="P1781" s="68"/>
      <c r="Q1781" s="68">
        <f>SUM(Devis[[#This Row],[Poste 1]:[Poste 6]])</f>
        <v>0</v>
      </c>
      <c r="R1781" s="71"/>
      <c r="S1781" s="68">
        <f>_xlfn.CEILING.MATH(Devis[[#This Row],[Quantité Totale]],Devis[[#This Row],[Conditionnement]])</f>
        <v>0</v>
      </c>
      <c r="T1781" s="72"/>
      <c r="U1781" s="73"/>
      <c r="V1781" s="74">
        <f>Devis[[#This Row],[Prix de Revient]]*Devis[[#This Row],[Poste 1]]</f>
        <v>0</v>
      </c>
      <c r="W1781" s="74">
        <f>Devis[[#This Row],[Prix de Revient]]*Devis[[#This Row],[Poste 2]]</f>
        <v>0</v>
      </c>
      <c r="X1781" s="74">
        <f>Devis[[#This Row],[Prix de Revient]]*Devis[[#This Row],[Poste 3]]</f>
        <v>0</v>
      </c>
      <c r="Y1781" s="74">
        <f>Devis[[#This Row],[Poste 4]]*Devis[[#This Row],[Prix de Revient]]</f>
        <v>0</v>
      </c>
      <c r="Z1781" s="74">
        <f>Devis[[#This Row],[Poste 5]]*Devis[[#This Row],[Prix de Revient]]</f>
        <v>0</v>
      </c>
      <c r="AA1781" s="74">
        <f>Devis[[#This Row],[Prix de Revient]]*Devis[[#This Row],[Poste 6]]</f>
        <v>0</v>
      </c>
      <c r="AB1781" s="74">
        <f>Devis[[#This Row],[Quantité Totale]]*Devis[[#This Row],[Prix de Revient]]</f>
        <v>0</v>
      </c>
    </row>
    <row r="1782" spans="1:28" ht="14.25" outlineLevel="1" x14ac:dyDescent="0.2">
      <c r="A1782" s="75" t="s">
        <v>1378</v>
      </c>
      <c r="B1782" s="76" t="s">
        <v>1553</v>
      </c>
      <c r="C1782" s="71" t="s">
        <v>4714</v>
      </c>
      <c r="D1782" s="81" t="str">
        <f t="shared" si="31"/>
        <v>Inox Serti CoréenTé Ø80</v>
      </c>
      <c r="E1782" s="73">
        <v>80</v>
      </c>
      <c r="F1782" s="81">
        <v>8</v>
      </c>
      <c r="G1782" s="71" t="s">
        <v>1561</v>
      </c>
      <c r="H1782" s="71"/>
      <c r="I1782" s="71"/>
      <c r="J1782" s="70">
        <f>IFERROR(VLOOKUP(Devis[[#This Row],[Ref Air Flux]],#REF!,3,FALSE),0)</f>
        <v>0</v>
      </c>
      <c r="K1782" s="68"/>
      <c r="L1782" s="68"/>
      <c r="M1782" s="68"/>
      <c r="N1782" s="68"/>
      <c r="O1782" s="68"/>
      <c r="P1782" s="68"/>
      <c r="Q1782" s="68">
        <f>SUM(Devis[[#This Row],[Poste 1]:[Poste 6]])</f>
        <v>0</v>
      </c>
      <c r="R1782" s="71"/>
      <c r="S1782" s="68">
        <f>_xlfn.CEILING.MATH(Devis[[#This Row],[Quantité Totale]],Devis[[#This Row],[Conditionnement]])</f>
        <v>0</v>
      </c>
      <c r="T1782" s="72"/>
      <c r="U1782" s="73"/>
      <c r="V1782" s="74">
        <f>Devis[[#This Row],[Prix de Revient]]*Devis[[#This Row],[Poste 1]]</f>
        <v>0</v>
      </c>
      <c r="W1782" s="74">
        <f>Devis[[#This Row],[Prix de Revient]]*Devis[[#This Row],[Poste 2]]</f>
        <v>0</v>
      </c>
      <c r="X1782" s="74">
        <f>Devis[[#This Row],[Prix de Revient]]*Devis[[#This Row],[Poste 3]]</f>
        <v>0</v>
      </c>
      <c r="Y1782" s="74">
        <f>Devis[[#This Row],[Poste 4]]*Devis[[#This Row],[Prix de Revient]]</f>
        <v>0</v>
      </c>
      <c r="Z1782" s="74">
        <f>Devis[[#This Row],[Poste 5]]*Devis[[#This Row],[Prix de Revient]]</f>
        <v>0</v>
      </c>
      <c r="AA1782" s="74">
        <f>Devis[[#This Row],[Prix de Revient]]*Devis[[#This Row],[Poste 6]]</f>
        <v>0</v>
      </c>
      <c r="AB1782" s="74">
        <f>Devis[[#This Row],[Quantité Totale]]*Devis[[#This Row],[Prix de Revient]]</f>
        <v>0</v>
      </c>
    </row>
    <row r="1783" spans="1:28" ht="14.25" customHeight="1" x14ac:dyDescent="0.25">
      <c r="A1783" s="65" t="s">
        <v>1378</v>
      </c>
      <c r="B1783" s="65" t="s">
        <v>1562</v>
      </c>
      <c r="C1783" s="71"/>
      <c r="D1783" s="81" t="str">
        <f t="shared" si="31"/>
        <v>Inox Serti CoréenTé mixte F</v>
      </c>
      <c r="E1783" s="76"/>
      <c r="F1783" s="81">
        <v>0</v>
      </c>
      <c r="G1783" s="71"/>
      <c r="H1783" s="71"/>
      <c r="I1783" s="71"/>
      <c r="J1783" s="70">
        <f>IFERROR(VLOOKUP(Devis[[#This Row],[Ref Air Flux]],#REF!,3,FALSE),0)</f>
        <v>0</v>
      </c>
      <c r="K1783" s="68"/>
      <c r="L1783" s="68"/>
      <c r="M1783" s="68"/>
      <c r="N1783" s="68"/>
      <c r="O1783" s="68"/>
      <c r="P1783" s="68"/>
      <c r="Q1783" s="68">
        <f>SUM(Devis[[#This Row],[Poste 1]:[Poste 6]])</f>
        <v>0</v>
      </c>
      <c r="R1783" s="71"/>
      <c r="S1783" s="68">
        <f>_xlfn.CEILING.MATH(Devis[[#This Row],[Quantité Totale]],Devis[[#This Row],[Conditionnement]])</f>
        <v>0</v>
      </c>
      <c r="T1783" s="72"/>
      <c r="U1783" s="73"/>
      <c r="V1783" s="74">
        <f>Devis[[#This Row],[Prix de Revient]]*Devis[[#This Row],[Poste 1]]</f>
        <v>0</v>
      </c>
      <c r="W1783" s="74">
        <f>Devis[[#This Row],[Prix de Revient]]*Devis[[#This Row],[Poste 2]]</f>
        <v>0</v>
      </c>
      <c r="X1783" s="74">
        <f>Devis[[#This Row],[Prix de Revient]]*Devis[[#This Row],[Poste 3]]</f>
        <v>0</v>
      </c>
      <c r="Y1783" s="74">
        <f>Devis[[#This Row],[Poste 4]]*Devis[[#This Row],[Prix de Revient]]</f>
        <v>0</v>
      </c>
      <c r="Z1783" s="74">
        <f>Devis[[#This Row],[Poste 5]]*Devis[[#This Row],[Prix de Revient]]</f>
        <v>0</v>
      </c>
      <c r="AA1783" s="74">
        <f>Devis[[#This Row],[Prix de Revient]]*Devis[[#This Row],[Poste 6]]</f>
        <v>0</v>
      </c>
      <c r="AB1783" s="74">
        <f>Devis[[#This Row],[Quantité Totale]]*Devis[[#This Row],[Prix de Revient]]</f>
        <v>0</v>
      </c>
    </row>
    <row r="1784" spans="1:28" ht="14.25" outlineLevel="1" x14ac:dyDescent="0.2">
      <c r="A1784" s="75" t="s">
        <v>1378</v>
      </c>
      <c r="B1784" s="76" t="s">
        <v>1562</v>
      </c>
      <c r="C1784" s="71" t="s">
        <v>4713</v>
      </c>
      <c r="D1784" s="81" t="str">
        <f t="shared" si="31"/>
        <v>Inox Serti CoréenTé mixte FØ16</v>
      </c>
      <c r="E1784" s="110" t="s">
        <v>1563</v>
      </c>
      <c r="F1784" s="81">
        <v>1</v>
      </c>
      <c r="G1784" s="71" t="s">
        <v>1564</v>
      </c>
      <c r="H1784" s="71"/>
      <c r="I1784" s="71"/>
      <c r="J1784" s="70">
        <f>IFERROR(VLOOKUP(Devis[[#This Row],[Ref Air Flux]],#REF!,3,FALSE),0)</f>
        <v>0</v>
      </c>
      <c r="K1784" s="68"/>
      <c r="L1784" s="68"/>
      <c r="M1784" s="68"/>
      <c r="N1784" s="68"/>
      <c r="O1784" s="68"/>
      <c r="P1784" s="68"/>
      <c r="Q1784" s="68">
        <f>SUM(Devis[[#This Row],[Poste 1]:[Poste 6]])</f>
        <v>0</v>
      </c>
      <c r="R1784" s="71"/>
      <c r="S1784" s="68">
        <f>_xlfn.CEILING.MATH(Devis[[#This Row],[Quantité Totale]],Devis[[#This Row],[Conditionnement]])</f>
        <v>0</v>
      </c>
      <c r="T1784" s="72"/>
      <c r="U1784" s="73"/>
      <c r="V1784" s="74">
        <f>Devis[[#This Row],[Prix de Revient]]*Devis[[#This Row],[Poste 1]]</f>
        <v>0</v>
      </c>
      <c r="W1784" s="74">
        <f>Devis[[#This Row],[Prix de Revient]]*Devis[[#This Row],[Poste 2]]</f>
        <v>0</v>
      </c>
      <c r="X1784" s="74">
        <f>Devis[[#This Row],[Prix de Revient]]*Devis[[#This Row],[Poste 3]]</f>
        <v>0</v>
      </c>
      <c r="Y1784" s="74">
        <f>Devis[[#This Row],[Poste 4]]*Devis[[#This Row],[Prix de Revient]]</f>
        <v>0</v>
      </c>
      <c r="Z1784" s="74">
        <f>Devis[[#This Row],[Poste 5]]*Devis[[#This Row],[Prix de Revient]]</f>
        <v>0</v>
      </c>
      <c r="AA1784" s="74">
        <f>Devis[[#This Row],[Prix de Revient]]*Devis[[#This Row],[Poste 6]]</f>
        <v>0</v>
      </c>
      <c r="AB1784" s="74">
        <f>Devis[[#This Row],[Quantité Totale]]*Devis[[#This Row],[Prix de Revient]]</f>
        <v>0</v>
      </c>
    </row>
    <row r="1785" spans="1:28" ht="14.25" outlineLevel="1" x14ac:dyDescent="0.2">
      <c r="A1785" s="75" t="s">
        <v>1378</v>
      </c>
      <c r="B1785" s="76" t="s">
        <v>1562</v>
      </c>
      <c r="C1785" s="71" t="s">
        <v>3620</v>
      </c>
      <c r="D1785" s="81" t="str">
        <f t="shared" si="31"/>
        <v>Inox Serti CoréenTé mixte FØ22</v>
      </c>
      <c r="E1785" s="110" t="s">
        <v>1565</v>
      </c>
      <c r="F1785" s="81">
        <v>2</v>
      </c>
      <c r="G1785" s="71" t="s">
        <v>1566</v>
      </c>
      <c r="H1785" s="71"/>
      <c r="I1785" s="71"/>
      <c r="J1785" s="70">
        <f>IFERROR(VLOOKUP(Devis[[#This Row],[Ref Air Flux]],#REF!,3,FALSE),0)</f>
        <v>0</v>
      </c>
      <c r="K1785" s="68"/>
      <c r="L1785" s="68"/>
      <c r="M1785" s="68"/>
      <c r="N1785" s="68"/>
      <c r="O1785" s="68"/>
      <c r="P1785" s="68"/>
      <c r="Q1785" s="68">
        <f>SUM(Devis[[#This Row],[Poste 1]:[Poste 6]])</f>
        <v>0</v>
      </c>
      <c r="R1785" s="71"/>
      <c r="S1785" s="68">
        <f>_xlfn.CEILING.MATH(Devis[[#This Row],[Quantité Totale]],Devis[[#This Row],[Conditionnement]])</f>
        <v>0</v>
      </c>
      <c r="T1785" s="72"/>
      <c r="U1785" s="73"/>
      <c r="V1785" s="74">
        <f>Devis[[#This Row],[Prix de Revient]]*Devis[[#This Row],[Poste 1]]</f>
        <v>0</v>
      </c>
      <c r="W1785" s="74">
        <f>Devis[[#This Row],[Prix de Revient]]*Devis[[#This Row],[Poste 2]]</f>
        <v>0</v>
      </c>
      <c r="X1785" s="74">
        <f>Devis[[#This Row],[Prix de Revient]]*Devis[[#This Row],[Poste 3]]</f>
        <v>0</v>
      </c>
      <c r="Y1785" s="74">
        <f>Devis[[#This Row],[Poste 4]]*Devis[[#This Row],[Prix de Revient]]</f>
        <v>0</v>
      </c>
      <c r="Z1785" s="74">
        <f>Devis[[#This Row],[Poste 5]]*Devis[[#This Row],[Prix de Revient]]</f>
        <v>0</v>
      </c>
      <c r="AA1785" s="74">
        <f>Devis[[#This Row],[Prix de Revient]]*Devis[[#This Row],[Poste 6]]</f>
        <v>0</v>
      </c>
      <c r="AB1785" s="74">
        <f>Devis[[#This Row],[Quantité Totale]]*Devis[[#This Row],[Prix de Revient]]</f>
        <v>0</v>
      </c>
    </row>
    <row r="1786" spans="1:28" ht="14.25" outlineLevel="1" x14ac:dyDescent="0.2">
      <c r="A1786" s="75" t="s">
        <v>1378</v>
      </c>
      <c r="B1786" s="76" t="s">
        <v>1562</v>
      </c>
      <c r="C1786" s="71" t="s">
        <v>3620</v>
      </c>
      <c r="D1786" s="81" t="str">
        <f t="shared" si="31"/>
        <v>Inox Serti CoréenTé mixte FØ22</v>
      </c>
      <c r="E1786" s="110" t="s">
        <v>1567</v>
      </c>
      <c r="F1786" s="81">
        <v>3</v>
      </c>
      <c r="G1786" s="71" t="s">
        <v>1568</v>
      </c>
      <c r="H1786" s="71"/>
      <c r="I1786" s="71"/>
      <c r="J1786" s="70">
        <f>IFERROR(VLOOKUP(Devis[[#This Row],[Ref Air Flux]],#REF!,3,FALSE),0)</f>
        <v>0</v>
      </c>
      <c r="K1786" s="68"/>
      <c r="L1786" s="68"/>
      <c r="M1786" s="68"/>
      <c r="N1786" s="68"/>
      <c r="O1786" s="68"/>
      <c r="P1786" s="68"/>
      <c r="Q1786" s="68">
        <f>SUM(Devis[[#This Row],[Poste 1]:[Poste 6]])</f>
        <v>0</v>
      </c>
      <c r="R1786" s="71"/>
      <c r="S1786" s="68">
        <f>_xlfn.CEILING.MATH(Devis[[#This Row],[Quantité Totale]],Devis[[#This Row],[Conditionnement]])</f>
        <v>0</v>
      </c>
      <c r="T1786" s="72"/>
      <c r="U1786" s="73"/>
      <c r="V1786" s="74">
        <f>Devis[[#This Row],[Prix de Revient]]*Devis[[#This Row],[Poste 1]]</f>
        <v>0</v>
      </c>
      <c r="W1786" s="74">
        <f>Devis[[#This Row],[Prix de Revient]]*Devis[[#This Row],[Poste 2]]</f>
        <v>0</v>
      </c>
      <c r="X1786" s="74">
        <f>Devis[[#This Row],[Prix de Revient]]*Devis[[#This Row],[Poste 3]]</f>
        <v>0</v>
      </c>
      <c r="Y1786" s="74">
        <f>Devis[[#This Row],[Poste 4]]*Devis[[#This Row],[Prix de Revient]]</f>
        <v>0</v>
      </c>
      <c r="Z1786" s="74">
        <f>Devis[[#This Row],[Poste 5]]*Devis[[#This Row],[Prix de Revient]]</f>
        <v>0</v>
      </c>
      <c r="AA1786" s="74">
        <f>Devis[[#This Row],[Prix de Revient]]*Devis[[#This Row],[Poste 6]]</f>
        <v>0</v>
      </c>
      <c r="AB1786" s="74">
        <f>Devis[[#This Row],[Quantité Totale]]*Devis[[#This Row],[Prix de Revient]]</f>
        <v>0</v>
      </c>
    </row>
    <row r="1787" spans="1:28" ht="14.25" outlineLevel="1" x14ac:dyDescent="0.2">
      <c r="A1787" s="75" t="s">
        <v>1378</v>
      </c>
      <c r="B1787" s="76" t="s">
        <v>1562</v>
      </c>
      <c r="C1787" s="71" t="s">
        <v>3621</v>
      </c>
      <c r="D1787" s="81" t="str">
        <f t="shared" si="31"/>
        <v>Inox Serti CoréenTé mixte FØ28</v>
      </c>
      <c r="E1787" s="110" t="s">
        <v>1569</v>
      </c>
      <c r="F1787" s="81">
        <v>4</v>
      </c>
      <c r="G1787" s="71" t="s">
        <v>1570</v>
      </c>
      <c r="H1787" s="71"/>
      <c r="I1787" s="71"/>
      <c r="J1787" s="70">
        <f>IFERROR(VLOOKUP(Devis[[#This Row],[Ref Air Flux]],#REF!,3,FALSE),0)</f>
        <v>0</v>
      </c>
      <c r="K1787" s="68"/>
      <c r="L1787" s="68"/>
      <c r="M1787" s="68"/>
      <c r="N1787" s="68"/>
      <c r="O1787" s="68"/>
      <c r="P1787" s="68"/>
      <c r="Q1787" s="68">
        <f>SUM(Devis[[#This Row],[Poste 1]:[Poste 6]])</f>
        <v>0</v>
      </c>
      <c r="R1787" s="71"/>
      <c r="S1787" s="68">
        <f>_xlfn.CEILING.MATH(Devis[[#This Row],[Quantité Totale]],Devis[[#This Row],[Conditionnement]])</f>
        <v>0</v>
      </c>
      <c r="T1787" s="72"/>
      <c r="U1787" s="73"/>
      <c r="V1787" s="74">
        <f>Devis[[#This Row],[Prix de Revient]]*Devis[[#This Row],[Poste 1]]</f>
        <v>0</v>
      </c>
      <c r="W1787" s="74">
        <f>Devis[[#This Row],[Prix de Revient]]*Devis[[#This Row],[Poste 2]]</f>
        <v>0</v>
      </c>
      <c r="X1787" s="74">
        <f>Devis[[#This Row],[Prix de Revient]]*Devis[[#This Row],[Poste 3]]</f>
        <v>0</v>
      </c>
      <c r="Y1787" s="74">
        <f>Devis[[#This Row],[Poste 4]]*Devis[[#This Row],[Prix de Revient]]</f>
        <v>0</v>
      </c>
      <c r="Z1787" s="74">
        <f>Devis[[#This Row],[Poste 5]]*Devis[[#This Row],[Prix de Revient]]</f>
        <v>0</v>
      </c>
      <c r="AA1787" s="74">
        <f>Devis[[#This Row],[Prix de Revient]]*Devis[[#This Row],[Poste 6]]</f>
        <v>0</v>
      </c>
      <c r="AB1787" s="74">
        <f>Devis[[#This Row],[Quantité Totale]]*Devis[[#This Row],[Prix de Revient]]</f>
        <v>0</v>
      </c>
    </row>
    <row r="1788" spans="1:28" ht="15" customHeight="1" outlineLevel="1" x14ac:dyDescent="0.2">
      <c r="A1788" s="75" t="s">
        <v>1378</v>
      </c>
      <c r="B1788" s="76" t="s">
        <v>1562</v>
      </c>
      <c r="C1788" s="71" t="s">
        <v>3621</v>
      </c>
      <c r="D1788" s="81" t="str">
        <f t="shared" si="31"/>
        <v>Inox Serti CoréenTé mixte FØ28</v>
      </c>
      <c r="E1788" s="110" t="s">
        <v>1571</v>
      </c>
      <c r="F1788" s="81">
        <v>5</v>
      </c>
      <c r="G1788" s="71" t="s">
        <v>1572</v>
      </c>
      <c r="H1788" s="71"/>
      <c r="I1788" s="71"/>
      <c r="J1788" s="70">
        <f>IFERROR(VLOOKUP(Devis[[#This Row],[Ref Air Flux]],#REF!,3,FALSE),0)</f>
        <v>0</v>
      </c>
      <c r="K1788" s="68"/>
      <c r="L1788" s="68"/>
      <c r="M1788" s="68"/>
      <c r="N1788" s="68"/>
      <c r="O1788" s="68"/>
      <c r="P1788" s="68"/>
      <c r="Q1788" s="68">
        <f>SUM(Devis[[#This Row],[Poste 1]:[Poste 6]])</f>
        <v>0</v>
      </c>
      <c r="R1788" s="71"/>
      <c r="S1788" s="68">
        <f>_xlfn.CEILING.MATH(Devis[[#This Row],[Quantité Totale]],Devis[[#This Row],[Conditionnement]])</f>
        <v>0</v>
      </c>
      <c r="T1788" s="72"/>
      <c r="U1788" s="73"/>
      <c r="V1788" s="74">
        <f>Devis[[#This Row],[Prix de Revient]]*Devis[[#This Row],[Poste 1]]</f>
        <v>0</v>
      </c>
      <c r="W1788" s="74">
        <f>Devis[[#This Row],[Prix de Revient]]*Devis[[#This Row],[Poste 2]]</f>
        <v>0</v>
      </c>
      <c r="X1788" s="74">
        <f>Devis[[#This Row],[Prix de Revient]]*Devis[[#This Row],[Poste 3]]</f>
        <v>0</v>
      </c>
      <c r="Y1788" s="74">
        <f>Devis[[#This Row],[Poste 4]]*Devis[[#This Row],[Prix de Revient]]</f>
        <v>0</v>
      </c>
      <c r="Z1788" s="74">
        <f>Devis[[#This Row],[Poste 5]]*Devis[[#This Row],[Prix de Revient]]</f>
        <v>0</v>
      </c>
      <c r="AA1788" s="74">
        <f>Devis[[#This Row],[Prix de Revient]]*Devis[[#This Row],[Poste 6]]</f>
        <v>0</v>
      </c>
      <c r="AB1788" s="74">
        <f>Devis[[#This Row],[Quantité Totale]]*Devis[[#This Row],[Prix de Revient]]</f>
        <v>0</v>
      </c>
    </row>
    <row r="1789" spans="1:28" ht="14.25" outlineLevel="1" x14ac:dyDescent="0.2">
      <c r="A1789" s="75" t="s">
        <v>1378</v>
      </c>
      <c r="B1789" s="76" t="s">
        <v>1562</v>
      </c>
      <c r="C1789" s="71" t="s">
        <v>3622</v>
      </c>
      <c r="D1789" s="81" t="str">
        <f t="shared" si="31"/>
        <v>Inox Serti CoréenTé mixte FØ34</v>
      </c>
      <c r="E1789" s="76" t="s">
        <v>1573</v>
      </c>
      <c r="F1789" s="81">
        <v>6</v>
      </c>
      <c r="G1789" s="71" t="s">
        <v>1574</v>
      </c>
      <c r="H1789" s="71"/>
      <c r="I1789" s="71"/>
      <c r="J1789" s="70">
        <f>IFERROR(VLOOKUP(Devis[[#This Row],[Ref Air Flux]],#REF!,3,FALSE),0)</f>
        <v>0</v>
      </c>
      <c r="K1789" s="68"/>
      <c r="L1789" s="68"/>
      <c r="M1789" s="68"/>
      <c r="N1789" s="68"/>
      <c r="O1789" s="68"/>
      <c r="P1789" s="68"/>
      <c r="Q1789" s="68">
        <f>SUM(Devis[[#This Row],[Poste 1]:[Poste 6]])</f>
        <v>0</v>
      </c>
      <c r="R1789" s="71"/>
      <c r="S1789" s="68">
        <f>_xlfn.CEILING.MATH(Devis[[#This Row],[Quantité Totale]],Devis[[#This Row],[Conditionnement]])</f>
        <v>0</v>
      </c>
      <c r="T1789" s="72"/>
      <c r="U1789" s="73"/>
      <c r="V1789" s="74">
        <f>Devis[[#This Row],[Prix de Revient]]*Devis[[#This Row],[Poste 1]]</f>
        <v>0</v>
      </c>
      <c r="W1789" s="74">
        <f>Devis[[#This Row],[Prix de Revient]]*Devis[[#This Row],[Poste 2]]</f>
        <v>0</v>
      </c>
      <c r="X1789" s="74">
        <f>Devis[[#This Row],[Prix de Revient]]*Devis[[#This Row],[Poste 3]]</f>
        <v>0</v>
      </c>
      <c r="Y1789" s="74">
        <f>Devis[[#This Row],[Poste 4]]*Devis[[#This Row],[Prix de Revient]]</f>
        <v>0</v>
      </c>
      <c r="Z1789" s="74">
        <f>Devis[[#This Row],[Poste 5]]*Devis[[#This Row],[Prix de Revient]]</f>
        <v>0</v>
      </c>
      <c r="AA1789" s="74">
        <f>Devis[[#This Row],[Prix de Revient]]*Devis[[#This Row],[Poste 6]]</f>
        <v>0</v>
      </c>
      <c r="AB1789" s="74">
        <f>Devis[[#This Row],[Quantité Totale]]*Devis[[#This Row],[Prix de Revient]]</f>
        <v>0</v>
      </c>
    </row>
    <row r="1790" spans="1:28" ht="14.25" outlineLevel="1" x14ac:dyDescent="0.2">
      <c r="A1790" s="75" t="s">
        <v>1378</v>
      </c>
      <c r="B1790" s="76" t="s">
        <v>1562</v>
      </c>
      <c r="C1790" s="71" t="s">
        <v>3622</v>
      </c>
      <c r="D1790" s="81" t="str">
        <f t="shared" si="31"/>
        <v>Inox Serti CoréenTé mixte FØ34</v>
      </c>
      <c r="E1790" s="80" t="s">
        <v>1575</v>
      </c>
      <c r="F1790" s="81">
        <v>7</v>
      </c>
      <c r="G1790" s="71" t="s">
        <v>1576</v>
      </c>
      <c r="H1790" s="71"/>
      <c r="I1790" s="71"/>
      <c r="J1790" s="70">
        <f>IFERROR(VLOOKUP(Devis[[#This Row],[Ref Air Flux]],#REF!,3,FALSE),0)</f>
        <v>0</v>
      </c>
      <c r="K1790" s="68"/>
      <c r="L1790" s="68"/>
      <c r="M1790" s="68"/>
      <c r="N1790" s="68"/>
      <c r="O1790" s="68"/>
      <c r="P1790" s="68"/>
      <c r="Q1790" s="68">
        <f>SUM(Devis[[#This Row],[Poste 1]:[Poste 6]])</f>
        <v>0</v>
      </c>
      <c r="R1790" s="71"/>
      <c r="S1790" s="68">
        <f>_xlfn.CEILING.MATH(Devis[[#This Row],[Quantité Totale]],Devis[[#This Row],[Conditionnement]])</f>
        <v>0</v>
      </c>
      <c r="T1790" s="72"/>
      <c r="U1790" s="73"/>
      <c r="V1790" s="74">
        <f>Devis[[#This Row],[Prix de Revient]]*Devis[[#This Row],[Poste 1]]</f>
        <v>0</v>
      </c>
      <c r="W1790" s="74">
        <f>Devis[[#This Row],[Prix de Revient]]*Devis[[#This Row],[Poste 2]]</f>
        <v>0</v>
      </c>
      <c r="X1790" s="74">
        <f>Devis[[#This Row],[Prix de Revient]]*Devis[[#This Row],[Poste 3]]</f>
        <v>0</v>
      </c>
      <c r="Y1790" s="74">
        <f>Devis[[#This Row],[Poste 4]]*Devis[[#This Row],[Prix de Revient]]</f>
        <v>0</v>
      </c>
      <c r="Z1790" s="74">
        <f>Devis[[#This Row],[Poste 5]]*Devis[[#This Row],[Prix de Revient]]</f>
        <v>0</v>
      </c>
      <c r="AA1790" s="74">
        <f>Devis[[#This Row],[Prix de Revient]]*Devis[[#This Row],[Poste 6]]</f>
        <v>0</v>
      </c>
      <c r="AB1790" s="74">
        <f>Devis[[#This Row],[Quantité Totale]]*Devis[[#This Row],[Prix de Revient]]</f>
        <v>0</v>
      </c>
    </row>
    <row r="1791" spans="1:28" ht="14.25" customHeight="1" outlineLevel="1" x14ac:dyDescent="0.2">
      <c r="A1791" s="75" t="s">
        <v>1378</v>
      </c>
      <c r="B1791" s="76" t="s">
        <v>1562</v>
      </c>
      <c r="C1791" s="71" t="s">
        <v>3622</v>
      </c>
      <c r="D1791" s="81" t="str">
        <f t="shared" si="31"/>
        <v>Inox Serti CoréenTé mixte FØ34</v>
      </c>
      <c r="E1791" s="76" t="s">
        <v>1577</v>
      </c>
      <c r="F1791" s="81">
        <v>8</v>
      </c>
      <c r="G1791" s="71" t="s">
        <v>1578</v>
      </c>
      <c r="H1791" s="71"/>
      <c r="I1791" s="71"/>
      <c r="J1791" s="70">
        <f>IFERROR(VLOOKUP(Devis[[#This Row],[Ref Air Flux]],#REF!,3,FALSE),0)</f>
        <v>0</v>
      </c>
      <c r="K1791" s="68"/>
      <c r="L1791" s="68"/>
      <c r="M1791" s="68"/>
      <c r="N1791" s="68"/>
      <c r="O1791" s="68"/>
      <c r="P1791" s="68"/>
      <c r="Q1791" s="68">
        <f>SUM(Devis[[#This Row],[Poste 1]:[Poste 6]])</f>
        <v>0</v>
      </c>
      <c r="R1791" s="71"/>
      <c r="S1791" s="68">
        <f>_xlfn.CEILING.MATH(Devis[[#This Row],[Quantité Totale]],Devis[[#This Row],[Conditionnement]])</f>
        <v>0</v>
      </c>
      <c r="T1791" s="72"/>
      <c r="U1791" s="73"/>
      <c r="V1791" s="74">
        <f>Devis[[#This Row],[Prix de Revient]]*Devis[[#This Row],[Poste 1]]</f>
        <v>0</v>
      </c>
      <c r="W1791" s="74">
        <f>Devis[[#This Row],[Prix de Revient]]*Devis[[#This Row],[Poste 2]]</f>
        <v>0</v>
      </c>
      <c r="X1791" s="74">
        <f>Devis[[#This Row],[Prix de Revient]]*Devis[[#This Row],[Poste 3]]</f>
        <v>0</v>
      </c>
      <c r="Y1791" s="74">
        <f>Devis[[#This Row],[Poste 4]]*Devis[[#This Row],[Prix de Revient]]</f>
        <v>0</v>
      </c>
      <c r="Z1791" s="74">
        <f>Devis[[#This Row],[Poste 5]]*Devis[[#This Row],[Prix de Revient]]</f>
        <v>0</v>
      </c>
      <c r="AA1791" s="74">
        <f>Devis[[#This Row],[Prix de Revient]]*Devis[[#This Row],[Poste 6]]</f>
        <v>0</v>
      </c>
      <c r="AB1791" s="74">
        <f>Devis[[#This Row],[Quantité Totale]]*Devis[[#This Row],[Prix de Revient]]</f>
        <v>0</v>
      </c>
    </row>
    <row r="1792" spans="1:28" ht="14.25" customHeight="1" outlineLevel="1" x14ac:dyDescent="0.2">
      <c r="A1792" s="75" t="s">
        <v>1378</v>
      </c>
      <c r="B1792" s="76" t="s">
        <v>1562</v>
      </c>
      <c r="C1792" s="71" t="s">
        <v>3623</v>
      </c>
      <c r="D1792" s="81" t="str">
        <f t="shared" si="31"/>
        <v>Inox Serti CoréenTé mixte FØ42</v>
      </c>
      <c r="E1792" s="76" t="s">
        <v>1579</v>
      </c>
      <c r="F1792" s="81">
        <v>9</v>
      </c>
      <c r="G1792" s="71" t="s">
        <v>1580</v>
      </c>
      <c r="H1792" s="71"/>
      <c r="I1792" s="71"/>
      <c r="J1792" s="70">
        <f>IFERROR(VLOOKUP(Devis[[#This Row],[Ref Air Flux]],#REF!,3,FALSE),0)</f>
        <v>0</v>
      </c>
      <c r="K1792" s="68"/>
      <c r="L1792" s="68"/>
      <c r="M1792" s="68"/>
      <c r="N1792" s="68"/>
      <c r="O1792" s="68"/>
      <c r="P1792" s="68"/>
      <c r="Q1792" s="68">
        <f>SUM(Devis[[#This Row],[Poste 1]:[Poste 6]])</f>
        <v>0</v>
      </c>
      <c r="R1792" s="71"/>
      <c r="S1792" s="68">
        <f>_xlfn.CEILING.MATH(Devis[[#This Row],[Quantité Totale]],Devis[[#This Row],[Conditionnement]])</f>
        <v>0</v>
      </c>
      <c r="T1792" s="72"/>
      <c r="U1792" s="73"/>
      <c r="V1792" s="74">
        <f>Devis[[#This Row],[Prix de Revient]]*Devis[[#This Row],[Poste 1]]</f>
        <v>0</v>
      </c>
      <c r="W1792" s="74">
        <f>Devis[[#This Row],[Prix de Revient]]*Devis[[#This Row],[Poste 2]]</f>
        <v>0</v>
      </c>
      <c r="X1792" s="74">
        <f>Devis[[#This Row],[Prix de Revient]]*Devis[[#This Row],[Poste 3]]</f>
        <v>0</v>
      </c>
      <c r="Y1792" s="74">
        <f>Devis[[#This Row],[Poste 4]]*Devis[[#This Row],[Prix de Revient]]</f>
        <v>0</v>
      </c>
      <c r="Z1792" s="74">
        <f>Devis[[#This Row],[Poste 5]]*Devis[[#This Row],[Prix de Revient]]</f>
        <v>0</v>
      </c>
      <c r="AA1792" s="74">
        <f>Devis[[#This Row],[Prix de Revient]]*Devis[[#This Row],[Poste 6]]</f>
        <v>0</v>
      </c>
      <c r="AB1792" s="74">
        <f>Devis[[#This Row],[Quantité Totale]]*Devis[[#This Row],[Prix de Revient]]</f>
        <v>0</v>
      </c>
    </row>
    <row r="1793" spans="1:28" ht="14.25" outlineLevel="1" x14ac:dyDescent="0.2">
      <c r="A1793" s="75" t="s">
        <v>1378</v>
      </c>
      <c r="B1793" s="76" t="s">
        <v>1562</v>
      </c>
      <c r="C1793" s="71" t="s">
        <v>3623</v>
      </c>
      <c r="D1793" s="81" t="str">
        <f t="shared" si="31"/>
        <v>Inox Serti CoréenTé mixte FØ42</v>
      </c>
      <c r="E1793" s="76" t="s">
        <v>1581</v>
      </c>
      <c r="F1793" s="81">
        <v>10</v>
      </c>
      <c r="G1793" s="71" t="s">
        <v>1582</v>
      </c>
      <c r="H1793" s="71"/>
      <c r="I1793" s="71"/>
      <c r="J1793" s="70">
        <f>IFERROR(VLOOKUP(Devis[[#This Row],[Ref Air Flux]],#REF!,3,FALSE),0)</f>
        <v>0</v>
      </c>
      <c r="K1793" s="68"/>
      <c r="L1793" s="68"/>
      <c r="M1793" s="68"/>
      <c r="N1793" s="68"/>
      <c r="O1793" s="68"/>
      <c r="P1793" s="68"/>
      <c r="Q1793" s="68">
        <f>SUM(Devis[[#This Row],[Poste 1]:[Poste 6]])</f>
        <v>0</v>
      </c>
      <c r="R1793" s="71"/>
      <c r="S1793" s="68">
        <f>_xlfn.CEILING.MATH(Devis[[#This Row],[Quantité Totale]],Devis[[#This Row],[Conditionnement]])</f>
        <v>0</v>
      </c>
      <c r="T1793" s="72"/>
      <c r="U1793" s="73"/>
      <c r="V1793" s="74">
        <f>Devis[[#This Row],[Prix de Revient]]*Devis[[#This Row],[Poste 1]]</f>
        <v>0</v>
      </c>
      <c r="W1793" s="74">
        <f>Devis[[#This Row],[Prix de Revient]]*Devis[[#This Row],[Poste 2]]</f>
        <v>0</v>
      </c>
      <c r="X1793" s="74">
        <f>Devis[[#This Row],[Prix de Revient]]*Devis[[#This Row],[Poste 3]]</f>
        <v>0</v>
      </c>
      <c r="Y1793" s="74">
        <f>Devis[[#This Row],[Poste 4]]*Devis[[#This Row],[Prix de Revient]]</f>
        <v>0</v>
      </c>
      <c r="Z1793" s="74">
        <f>Devis[[#This Row],[Poste 5]]*Devis[[#This Row],[Prix de Revient]]</f>
        <v>0</v>
      </c>
      <c r="AA1793" s="74">
        <f>Devis[[#This Row],[Prix de Revient]]*Devis[[#This Row],[Poste 6]]</f>
        <v>0</v>
      </c>
      <c r="AB1793" s="74">
        <f>Devis[[#This Row],[Quantité Totale]]*Devis[[#This Row],[Prix de Revient]]</f>
        <v>0</v>
      </c>
    </row>
    <row r="1794" spans="1:28" ht="14.25" outlineLevel="1" x14ac:dyDescent="0.2">
      <c r="A1794" s="75" t="s">
        <v>1378</v>
      </c>
      <c r="B1794" s="76" t="s">
        <v>1562</v>
      </c>
      <c r="C1794" s="71" t="s">
        <v>3623</v>
      </c>
      <c r="D1794" s="81" t="str">
        <f t="shared" si="31"/>
        <v>Inox Serti CoréenTé mixte FØ42</v>
      </c>
      <c r="E1794" s="76" t="s">
        <v>1583</v>
      </c>
      <c r="F1794" s="81">
        <v>11</v>
      </c>
      <c r="G1794" s="71" t="s">
        <v>1584</v>
      </c>
      <c r="H1794" s="71"/>
      <c r="I1794" s="71"/>
      <c r="J1794" s="70">
        <f>IFERROR(VLOOKUP(Devis[[#This Row],[Ref Air Flux]],#REF!,3,FALSE),0)</f>
        <v>0</v>
      </c>
      <c r="K1794" s="68"/>
      <c r="L1794" s="68"/>
      <c r="M1794" s="68"/>
      <c r="N1794" s="68"/>
      <c r="O1794" s="68"/>
      <c r="P1794" s="68"/>
      <c r="Q1794" s="68">
        <f>SUM(Devis[[#This Row],[Poste 1]:[Poste 6]])</f>
        <v>0</v>
      </c>
      <c r="R1794" s="71"/>
      <c r="S1794" s="68">
        <f>_xlfn.CEILING.MATH(Devis[[#This Row],[Quantité Totale]],Devis[[#This Row],[Conditionnement]])</f>
        <v>0</v>
      </c>
      <c r="T1794" s="72"/>
      <c r="U1794" s="73"/>
      <c r="V1794" s="74">
        <f>Devis[[#This Row],[Prix de Revient]]*Devis[[#This Row],[Poste 1]]</f>
        <v>0</v>
      </c>
      <c r="W1794" s="74">
        <f>Devis[[#This Row],[Prix de Revient]]*Devis[[#This Row],[Poste 2]]</f>
        <v>0</v>
      </c>
      <c r="X1794" s="74">
        <f>Devis[[#This Row],[Prix de Revient]]*Devis[[#This Row],[Poste 3]]</f>
        <v>0</v>
      </c>
      <c r="Y1794" s="74">
        <f>Devis[[#This Row],[Poste 4]]*Devis[[#This Row],[Prix de Revient]]</f>
        <v>0</v>
      </c>
      <c r="Z1794" s="74">
        <f>Devis[[#This Row],[Poste 5]]*Devis[[#This Row],[Prix de Revient]]</f>
        <v>0</v>
      </c>
      <c r="AA1794" s="74">
        <f>Devis[[#This Row],[Prix de Revient]]*Devis[[#This Row],[Poste 6]]</f>
        <v>0</v>
      </c>
      <c r="AB1794" s="74">
        <f>Devis[[#This Row],[Quantité Totale]]*Devis[[#This Row],[Prix de Revient]]</f>
        <v>0</v>
      </c>
    </row>
    <row r="1795" spans="1:28" ht="14.25" outlineLevel="1" x14ac:dyDescent="0.2">
      <c r="A1795" s="75" t="s">
        <v>1378</v>
      </c>
      <c r="B1795" s="76" t="s">
        <v>1562</v>
      </c>
      <c r="C1795" s="71" t="s">
        <v>3623</v>
      </c>
      <c r="D1795" s="81" t="str">
        <f t="shared" si="31"/>
        <v>Inox Serti CoréenTé mixte FØ42</v>
      </c>
      <c r="E1795" s="76" t="s">
        <v>1585</v>
      </c>
      <c r="F1795" s="81">
        <v>12</v>
      </c>
      <c r="G1795" s="71" t="s">
        <v>1586</v>
      </c>
      <c r="H1795" s="71"/>
      <c r="I1795" s="71"/>
      <c r="J1795" s="70">
        <f>IFERROR(VLOOKUP(Devis[[#This Row],[Ref Air Flux]],#REF!,3,FALSE),0)</f>
        <v>0</v>
      </c>
      <c r="K1795" s="68"/>
      <c r="L1795" s="68"/>
      <c r="M1795" s="68"/>
      <c r="N1795" s="68"/>
      <c r="O1795" s="68"/>
      <c r="P1795" s="68"/>
      <c r="Q1795" s="68">
        <f>SUM(Devis[[#This Row],[Poste 1]:[Poste 6]])</f>
        <v>0</v>
      </c>
      <c r="R1795" s="71"/>
      <c r="S1795" s="68">
        <f>_xlfn.CEILING.MATH(Devis[[#This Row],[Quantité Totale]],Devis[[#This Row],[Conditionnement]])</f>
        <v>0</v>
      </c>
      <c r="T1795" s="72"/>
      <c r="U1795" s="73"/>
      <c r="V1795" s="74">
        <f>Devis[[#This Row],[Prix de Revient]]*Devis[[#This Row],[Poste 1]]</f>
        <v>0</v>
      </c>
      <c r="W1795" s="74">
        <f>Devis[[#This Row],[Prix de Revient]]*Devis[[#This Row],[Poste 2]]</f>
        <v>0</v>
      </c>
      <c r="X1795" s="74">
        <f>Devis[[#This Row],[Prix de Revient]]*Devis[[#This Row],[Poste 3]]</f>
        <v>0</v>
      </c>
      <c r="Y1795" s="74">
        <f>Devis[[#This Row],[Poste 4]]*Devis[[#This Row],[Prix de Revient]]</f>
        <v>0</v>
      </c>
      <c r="Z1795" s="74">
        <f>Devis[[#This Row],[Poste 5]]*Devis[[#This Row],[Prix de Revient]]</f>
        <v>0</v>
      </c>
      <c r="AA1795" s="74">
        <f>Devis[[#This Row],[Prix de Revient]]*Devis[[#This Row],[Poste 6]]</f>
        <v>0</v>
      </c>
      <c r="AB1795" s="74">
        <f>Devis[[#This Row],[Quantité Totale]]*Devis[[#This Row],[Prix de Revient]]</f>
        <v>0</v>
      </c>
    </row>
    <row r="1796" spans="1:28" ht="14.25" outlineLevel="1" x14ac:dyDescent="0.2">
      <c r="A1796" s="75" t="s">
        <v>1378</v>
      </c>
      <c r="B1796" s="76" t="s">
        <v>1562</v>
      </c>
      <c r="C1796" s="71" t="s">
        <v>3624</v>
      </c>
      <c r="D1796" s="81" t="str">
        <f t="shared" si="31"/>
        <v>Inox Serti CoréenTé mixte FØ48</v>
      </c>
      <c r="E1796" s="76" t="s">
        <v>1587</v>
      </c>
      <c r="F1796" s="81">
        <v>13</v>
      </c>
      <c r="G1796" s="71" t="s">
        <v>1588</v>
      </c>
      <c r="H1796" s="71"/>
      <c r="I1796" s="71"/>
      <c r="J1796" s="70">
        <f>IFERROR(VLOOKUP(Devis[[#This Row],[Ref Air Flux]],#REF!,3,FALSE),0)</f>
        <v>0</v>
      </c>
      <c r="K1796" s="68"/>
      <c r="L1796" s="68"/>
      <c r="M1796" s="68"/>
      <c r="N1796" s="68"/>
      <c r="O1796" s="68"/>
      <c r="P1796" s="68"/>
      <c r="Q1796" s="68">
        <f>SUM(Devis[[#This Row],[Poste 1]:[Poste 6]])</f>
        <v>0</v>
      </c>
      <c r="R1796" s="71"/>
      <c r="S1796" s="68">
        <f>_xlfn.CEILING.MATH(Devis[[#This Row],[Quantité Totale]],Devis[[#This Row],[Conditionnement]])</f>
        <v>0</v>
      </c>
      <c r="T1796" s="72"/>
      <c r="U1796" s="73"/>
      <c r="V1796" s="74">
        <f>Devis[[#This Row],[Prix de Revient]]*Devis[[#This Row],[Poste 1]]</f>
        <v>0</v>
      </c>
      <c r="W1796" s="74">
        <f>Devis[[#This Row],[Prix de Revient]]*Devis[[#This Row],[Poste 2]]</f>
        <v>0</v>
      </c>
      <c r="X1796" s="74">
        <f>Devis[[#This Row],[Prix de Revient]]*Devis[[#This Row],[Poste 3]]</f>
        <v>0</v>
      </c>
      <c r="Y1796" s="74">
        <f>Devis[[#This Row],[Poste 4]]*Devis[[#This Row],[Prix de Revient]]</f>
        <v>0</v>
      </c>
      <c r="Z1796" s="74">
        <f>Devis[[#This Row],[Poste 5]]*Devis[[#This Row],[Prix de Revient]]</f>
        <v>0</v>
      </c>
      <c r="AA1796" s="74">
        <f>Devis[[#This Row],[Prix de Revient]]*Devis[[#This Row],[Poste 6]]</f>
        <v>0</v>
      </c>
      <c r="AB1796" s="74">
        <f>Devis[[#This Row],[Quantité Totale]]*Devis[[#This Row],[Prix de Revient]]</f>
        <v>0</v>
      </c>
    </row>
    <row r="1797" spans="1:28" ht="15" customHeight="1" outlineLevel="1" x14ac:dyDescent="0.2">
      <c r="A1797" s="75" t="s">
        <v>1378</v>
      </c>
      <c r="B1797" s="76" t="s">
        <v>1562</v>
      </c>
      <c r="C1797" s="71" t="s">
        <v>3624</v>
      </c>
      <c r="D1797" s="81" t="str">
        <f t="shared" si="31"/>
        <v>Inox Serti CoréenTé mixte FØ48</v>
      </c>
      <c r="E1797" s="76" t="s">
        <v>1589</v>
      </c>
      <c r="F1797" s="81">
        <v>14</v>
      </c>
      <c r="G1797" s="71" t="s">
        <v>1590</v>
      </c>
      <c r="H1797" s="71"/>
      <c r="I1797" s="71"/>
      <c r="J1797" s="70">
        <f>IFERROR(VLOOKUP(Devis[[#This Row],[Ref Air Flux]],#REF!,3,FALSE),0)</f>
        <v>0</v>
      </c>
      <c r="K1797" s="68"/>
      <c r="L1797" s="68"/>
      <c r="M1797" s="68"/>
      <c r="N1797" s="68"/>
      <c r="O1797" s="68"/>
      <c r="P1797" s="68"/>
      <c r="Q1797" s="68">
        <f>SUM(Devis[[#This Row],[Poste 1]:[Poste 6]])</f>
        <v>0</v>
      </c>
      <c r="R1797" s="71"/>
      <c r="S1797" s="68">
        <f>_xlfn.CEILING.MATH(Devis[[#This Row],[Quantité Totale]],Devis[[#This Row],[Conditionnement]])</f>
        <v>0</v>
      </c>
      <c r="T1797" s="72"/>
      <c r="U1797" s="73"/>
      <c r="V1797" s="74">
        <f>Devis[[#This Row],[Prix de Revient]]*Devis[[#This Row],[Poste 1]]</f>
        <v>0</v>
      </c>
      <c r="W1797" s="74">
        <f>Devis[[#This Row],[Prix de Revient]]*Devis[[#This Row],[Poste 2]]</f>
        <v>0</v>
      </c>
      <c r="X1797" s="74">
        <f>Devis[[#This Row],[Prix de Revient]]*Devis[[#This Row],[Poste 3]]</f>
        <v>0</v>
      </c>
      <c r="Y1797" s="74">
        <f>Devis[[#This Row],[Poste 4]]*Devis[[#This Row],[Prix de Revient]]</f>
        <v>0</v>
      </c>
      <c r="Z1797" s="74">
        <f>Devis[[#This Row],[Poste 5]]*Devis[[#This Row],[Prix de Revient]]</f>
        <v>0</v>
      </c>
      <c r="AA1797" s="74">
        <f>Devis[[#This Row],[Prix de Revient]]*Devis[[#This Row],[Poste 6]]</f>
        <v>0</v>
      </c>
      <c r="AB1797" s="74">
        <f>Devis[[#This Row],[Quantité Totale]]*Devis[[#This Row],[Prix de Revient]]</f>
        <v>0</v>
      </c>
    </row>
    <row r="1798" spans="1:28" ht="14.25" outlineLevel="1" x14ac:dyDescent="0.2">
      <c r="A1798" s="75" t="s">
        <v>1378</v>
      </c>
      <c r="B1798" s="76" t="s">
        <v>1562</v>
      </c>
      <c r="C1798" s="71" t="s">
        <v>3624</v>
      </c>
      <c r="D1798" s="81" t="str">
        <f t="shared" si="31"/>
        <v>Inox Serti CoréenTé mixte FØ48</v>
      </c>
      <c r="E1798" s="76" t="s">
        <v>1591</v>
      </c>
      <c r="F1798" s="81">
        <v>15</v>
      </c>
      <c r="G1798" s="71" t="s">
        <v>1592</v>
      </c>
      <c r="H1798" s="71"/>
      <c r="I1798" s="71"/>
      <c r="J1798" s="70">
        <f>IFERROR(VLOOKUP(Devis[[#This Row],[Ref Air Flux]],#REF!,3,FALSE),0)</f>
        <v>0</v>
      </c>
      <c r="K1798" s="68"/>
      <c r="L1798" s="68"/>
      <c r="M1798" s="68"/>
      <c r="N1798" s="68"/>
      <c r="O1798" s="68"/>
      <c r="P1798" s="68"/>
      <c r="Q1798" s="68">
        <f>SUM(Devis[[#This Row],[Poste 1]:[Poste 6]])</f>
        <v>0</v>
      </c>
      <c r="R1798" s="71"/>
      <c r="S1798" s="68">
        <f>_xlfn.CEILING.MATH(Devis[[#This Row],[Quantité Totale]],Devis[[#This Row],[Conditionnement]])</f>
        <v>0</v>
      </c>
      <c r="T1798" s="72"/>
      <c r="U1798" s="73"/>
      <c r="V1798" s="74">
        <f>Devis[[#This Row],[Prix de Revient]]*Devis[[#This Row],[Poste 1]]</f>
        <v>0</v>
      </c>
      <c r="W1798" s="74">
        <f>Devis[[#This Row],[Prix de Revient]]*Devis[[#This Row],[Poste 2]]</f>
        <v>0</v>
      </c>
      <c r="X1798" s="74">
        <f>Devis[[#This Row],[Prix de Revient]]*Devis[[#This Row],[Poste 3]]</f>
        <v>0</v>
      </c>
      <c r="Y1798" s="74">
        <f>Devis[[#This Row],[Poste 4]]*Devis[[#This Row],[Prix de Revient]]</f>
        <v>0</v>
      </c>
      <c r="Z1798" s="74">
        <f>Devis[[#This Row],[Poste 5]]*Devis[[#This Row],[Prix de Revient]]</f>
        <v>0</v>
      </c>
      <c r="AA1798" s="74">
        <f>Devis[[#This Row],[Prix de Revient]]*Devis[[#This Row],[Poste 6]]</f>
        <v>0</v>
      </c>
      <c r="AB1798" s="74">
        <f>Devis[[#This Row],[Quantité Totale]]*Devis[[#This Row],[Prix de Revient]]</f>
        <v>0</v>
      </c>
    </row>
    <row r="1799" spans="1:28" ht="14.25" outlineLevel="1" x14ac:dyDescent="0.2">
      <c r="A1799" s="75" t="s">
        <v>1378</v>
      </c>
      <c r="B1799" s="76" t="s">
        <v>1562</v>
      </c>
      <c r="C1799" s="71" t="s">
        <v>3626</v>
      </c>
      <c r="D1799" s="81" t="str">
        <f t="shared" si="31"/>
        <v>Inox Serti CoréenTé mixte FØ60</v>
      </c>
      <c r="E1799" s="76" t="s">
        <v>1593</v>
      </c>
      <c r="F1799" s="81">
        <v>16</v>
      </c>
      <c r="G1799" s="71" t="s">
        <v>1594</v>
      </c>
      <c r="H1799" s="71"/>
      <c r="I1799" s="71"/>
      <c r="J1799" s="70">
        <f>IFERROR(VLOOKUP(Devis[[#This Row],[Ref Air Flux]],#REF!,3,FALSE),0)</f>
        <v>0</v>
      </c>
      <c r="K1799" s="68"/>
      <c r="L1799" s="68"/>
      <c r="M1799" s="68"/>
      <c r="N1799" s="68"/>
      <c r="O1799" s="68"/>
      <c r="P1799" s="68"/>
      <c r="Q1799" s="68">
        <f>SUM(Devis[[#This Row],[Poste 1]:[Poste 6]])</f>
        <v>0</v>
      </c>
      <c r="R1799" s="71"/>
      <c r="S1799" s="68">
        <f>_xlfn.CEILING.MATH(Devis[[#This Row],[Quantité Totale]],Devis[[#This Row],[Conditionnement]])</f>
        <v>0</v>
      </c>
      <c r="T1799" s="72"/>
      <c r="U1799" s="73"/>
      <c r="V1799" s="74">
        <f>Devis[[#This Row],[Prix de Revient]]*Devis[[#This Row],[Poste 1]]</f>
        <v>0</v>
      </c>
      <c r="W1799" s="74">
        <f>Devis[[#This Row],[Prix de Revient]]*Devis[[#This Row],[Poste 2]]</f>
        <v>0</v>
      </c>
      <c r="X1799" s="74">
        <f>Devis[[#This Row],[Prix de Revient]]*Devis[[#This Row],[Poste 3]]</f>
        <v>0</v>
      </c>
      <c r="Y1799" s="74">
        <f>Devis[[#This Row],[Poste 4]]*Devis[[#This Row],[Prix de Revient]]</f>
        <v>0</v>
      </c>
      <c r="Z1799" s="74">
        <f>Devis[[#This Row],[Poste 5]]*Devis[[#This Row],[Prix de Revient]]</f>
        <v>0</v>
      </c>
      <c r="AA1799" s="74">
        <f>Devis[[#This Row],[Prix de Revient]]*Devis[[#This Row],[Poste 6]]</f>
        <v>0</v>
      </c>
      <c r="AB1799" s="74">
        <f>Devis[[#This Row],[Quantité Totale]]*Devis[[#This Row],[Prix de Revient]]</f>
        <v>0</v>
      </c>
    </row>
    <row r="1800" spans="1:28" ht="14.25" outlineLevel="1" x14ac:dyDescent="0.2">
      <c r="A1800" s="75" t="s">
        <v>1378</v>
      </c>
      <c r="B1800" s="76" t="s">
        <v>1562</v>
      </c>
      <c r="C1800" s="71" t="s">
        <v>3626</v>
      </c>
      <c r="D1800" s="81" t="str">
        <f t="shared" si="31"/>
        <v>Inox Serti CoréenTé mixte FØ60</v>
      </c>
      <c r="E1800" s="76" t="s">
        <v>1595</v>
      </c>
      <c r="F1800" s="81">
        <v>17</v>
      </c>
      <c r="G1800" s="71" t="s">
        <v>1596</v>
      </c>
      <c r="H1800" s="71"/>
      <c r="I1800" s="71"/>
      <c r="J1800" s="70">
        <f>IFERROR(VLOOKUP(Devis[[#This Row],[Ref Air Flux]],#REF!,3,FALSE),0)</f>
        <v>0</v>
      </c>
      <c r="K1800" s="68"/>
      <c r="L1800" s="68"/>
      <c r="M1800" s="68"/>
      <c r="N1800" s="68"/>
      <c r="O1800" s="68"/>
      <c r="P1800" s="68"/>
      <c r="Q1800" s="68">
        <f>SUM(Devis[[#This Row],[Poste 1]:[Poste 6]])</f>
        <v>0</v>
      </c>
      <c r="R1800" s="71"/>
      <c r="S1800" s="68">
        <f>_xlfn.CEILING.MATH(Devis[[#This Row],[Quantité Totale]],Devis[[#This Row],[Conditionnement]])</f>
        <v>0</v>
      </c>
      <c r="T1800" s="72"/>
      <c r="U1800" s="73"/>
      <c r="V1800" s="74">
        <f>Devis[[#This Row],[Prix de Revient]]*Devis[[#This Row],[Poste 1]]</f>
        <v>0</v>
      </c>
      <c r="W1800" s="74">
        <f>Devis[[#This Row],[Prix de Revient]]*Devis[[#This Row],[Poste 2]]</f>
        <v>0</v>
      </c>
      <c r="X1800" s="74">
        <f>Devis[[#This Row],[Prix de Revient]]*Devis[[#This Row],[Poste 3]]</f>
        <v>0</v>
      </c>
      <c r="Y1800" s="74">
        <f>Devis[[#This Row],[Poste 4]]*Devis[[#This Row],[Prix de Revient]]</f>
        <v>0</v>
      </c>
      <c r="Z1800" s="74">
        <f>Devis[[#This Row],[Poste 5]]*Devis[[#This Row],[Prix de Revient]]</f>
        <v>0</v>
      </c>
      <c r="AA1800" s="74">
        <f>Devis[[#This Row],[Prix de Revient]]*Devis[[#This Row],[Poste 6]]</f>
        <v>0</v>
      </c>
      <c r="AB1800" s="74">
        <f>Devis[[#This Row],[Quantité Totale]]*Devis[[#This Row],[Prix de Revient]]</f>
        <v>0</v>
      </c>
    </row>
    <row r="1801" spans="1:28" ht="14.25" customHeight="1" outlineLevel="1" x14ac:dyDescent="0.2">
      <c r="A1801" s="75" t="s">
        <v>1378</v>
      </c>
      <c r="B1801" s="76" t="s">
        <v>1562</v>
      </c>
      <c r="C1801" s="71" t="s">
        <v>3626</v>
      </c>
      <c r="D1801" s="81" t="str">
        <f t="shared" si="31"/>
        <v>Inox Serti CoréenTé mixte FØ60</v>
      </c>
      <c r="E1801" s="76" t="s">
        <v>1597</v>
      </c>
      <c r="F1801" s="81">
        <v>18</v>
      </c>
      <c r="G1801" s="71" t="s">
        <v>1598</v>
      </c>
      <c r="H1801" s="71"/>
      <c r="I1801" s="71"/>
      <c r="J1801" s="70">
        <f>IFERROR(VLOOKUP(Devis[[#This Row],[Ref Air Flux]],#REF!,3,FALSE),0)</f>
        <v>0</v>
      </c>
      <c r="K1801" s="68"/>
      <c r="L1801" s="68"/>
      <c r="M1801" s="68"/>
      <c r="N1801" s="68"/>
      <c r="O1801" s="68"/>
      <c r="P1801" s="68"/>
      <c r="Q1801" s="68">
        <f>SUM(Devis[[#This Row],[Poste 1]:[Poste 6]])</f>
        <v>0</v>
      </c>
      <c r="R1801" s="71"/>
      <c r="S1801" s="68">
        <f>_xlfn.CEILING.MATH(Devis[[#This Row],[Quantité Totale]],Devis[[#This Row],[Conditionnement]])</f>
        <v>0</v>
      </c>
      <c r="T1801" s="72"/>
      <c r="U1801" s="73"/>
      <c r="V1801" s="74">
        <f>Devis[[#This Row],[Prix de Revient]]*Devis[[#This Row],[Poste 1]]</f>
        <v>0</v>
      </c>
      <c r="W1801" s="74">
        <f>Devis[[#This Row],[Prix de Revient]]*Devis[[#This Row],[Poste 2]]</f>
        <v>0</v>
      </c>
      <c r="X1801" s="74">
        <f>Devis[[#This Row],[Prix de Revient]]*Devis[[#This Row],[Poste 3]]</f>
        <v>0</v>
      </c>
      <c r="Y1801" s="74">
        <f>Devis[[#This Row],[Poste 4]]*Devis[[#This Row],[Prix de Revient]]</f>
        <v>0</v>
      </c>
      <c r="Z1801" s="74">
        <f>Devis[[#This Row],[Poste 5]]*Devis[[#This Row],[Prix de Revient]]</f>
        <v>0</v>
      </c>
      <c r="AA1801" s="74">
        <f>Devis[[#This Row],[Prix de Revient]]*Devis[[#This Row],[Poste 6]]</f>
        <v>0</v>
      </c>
      <c r="AB1801" s="74">
        <f>Devis[[#This Row],[Quantité Totale]]*Devis[[#This Row],[Prix de Revient]]</f>
        <v>0</v>
      </c>
    </row>
    <row r="1802" spans="1:28" ht="14.25" customHeight="1" outlineLevel="1" x14ac:dyDescent="0.2">
      <c r="A1802" s="75" t="s">
        <v>1378</v>
      </c>
      <c r="B1802" s="76" t="s">
        <v>1562</v>
      </c>
      <c r="C1802" s="71" t="s">
        <v>4714</v>
      </c>
      <c r="D1802" s="81" t="str">
        <f t="shared" si="31"/>
        <v>Inox Serti CoréenTé mixte FØ80</v>
      </c>
      <c r="E1802" s="76" t="s">
        <v>1599</v>
      </c>
      <c r="F1802" s="81">
        <v>19</v>
      </c>
      <c r="G1802" s="71" t="s">
        <v>1600</v>
      </c>
      <c r="H1802" s="71"/>
      <c r="I1802" s="71"/>
      <c r="J1802" s="70">
        <f>IFERROR(VLOOKUP(Devis[[#This Row],[Ref Air Flux]],#REF!,3,FALSE),0)</f>
        <v>0</v>
      </c>
      <c r="K1802" s="68"/>
      <c r="L1802" s="68"/>
      <c r="M1802" s="68"/>
      <c r="N1802" s="68"/>
      <c r="O1802" s="68"/>
      <c r="P1802" s="68"/>
      <c r="Q1802" s="68">
        <f>SUM(Devis[[#This Row],[Poste 1]:[Poste 6]])</f>
        <v>0</v>
      </c>
      <c r="R1802" s="71"/>
      <c r="S1802" s="68">
        <f>_xlfn.CEILING.MATH(Devis[[#This Row],[Quantité Totale]],Devis[[#This Row],[Conditionnement]])</f>
        <v>0</v>
      </c>
      <c r="T1802" s="72"/>
      <c r="U1802" s="73"/>
      <c r="V1802" s="74">
        <f>Devis[[#This Row],[Prix de Revient]]*Devis[[#This Row],[Poste 1]]</f>
        <v>0</v>
      </c>
      <c r="W1802" s="74">
        <f>Devis[[#This Row],[Prix de Revient]]*Devis[[#This Row],[Poste 2]]</f>
        <v>0</v>
      </c>
      <c r="X1802" s="74">
        <f>Devis[[#This Row],[Prix de Revient]]*Devis[[#This Row],[Poste 3]]</f>
        <v>0</v>
      </c>
      <c r="Y1802" s="74">
        <f>Devis[[#This Row],[Poste 4]]*Devis[[#This Row],[Prix de Revient]]</f>
        <v>0</v>
      </c>
      <c r="Z1802" s="74">
        <f>Devis[[#This Row],[Poste 5]]*Devis[[#This Row],[Prix de Revient]]</f>
        <v>0</v>
      </c>
      <c r="AA1802" s="74">
        <f>Devis[[#This Row],[Prix de Revient]]*Devis[[#This Row],[Poste 6]]</f>
        <v>0</v>
      </c>
      <c r="AB1802" s="74">
        <f>Devis[[#This Row],[Quantité Totale]]*Devis[[#This Row],[Prix de Revient]]</f>
        <v>0</v>
      </c>
    </row>
    <row r="1803" spans="1:28" ht="14.25" outlineLevel="1" x14ac:dyDescent="0.2">
      <c r="A1803" s="75" t="s">
        <v>1378</v>
      </c>
      <c r="B1803" s="76" t="s">
        <v>1562</v>
      </c>
      <c r="C1803" s="71" t="s">
        <v>4714</v>
      </c>
      <c r="D1803" s="81" t="str">
        <f t="shared" si="31"/>
        <v>Inox Serti CoréenTé mixte FØ80</v>
      </c>
      <c r="E1803" s="76" t="s">
        <v>1601</v>
      </c>
      <c r="F1803" s="81">
        <v>20</v>
      </c>
      <c r="G1803" s="71" t="s">
        <v>1602</v>
      </c>
      <c r="H1803" s="71"/>
      <c r="I1803" s="71"/>
      <c r="J1803" s="70">
        <f>IFERROR(VLOOKUP(Devis[[#This Row],[Ref Air Flux]],#REF!,3,FALSE),0)</f>
        <v>0</v>
      </c>
      <c r="K1803" s="68"/>
      <c r="L1803" s="68"/>
      <c r="M1803" s="68"/>
      <c r="N1803" s="68"/>
      <c r="O1803" s="68"/>
      <c r="P1803" s="68"/>
      <c r="Q1803" s="68">
        <f>SUM(Devis[[#This Row],[Poste 1]:[Poste 6]])</f>
        <v>0</v>
      </c>
      <c r="R1803" s="71"/>
      <c r="S1803" s="68">
        <f>_xlfn.CEILING.MATH(Devis[[#This Row],[Quantité Totale]],Devis[[#This Row],[Conditionnement]])</f>
        <v>0</v>
      </c>
      <c r="T1803" s="72"/>
      <c r="U1803" s="73"/>
      <c r="V1803" s="74">
        <f>Devis[[#This Row],[Prix de Revient]]*Devis[[#This Row],[Poste 1]]</f>
        <v>0</v>
      </c>
      <c r="W1803" s="74">
        <f>Devis[[#This Row],[Prix de Revient]]*Devis[[#This Row],[Poste 2]]</f>
        <v>0</v>
      </c>
      <c r="X1803" s="74">
        <f>Devis[[#This Row],[Prix de Revient]]*Devis[[#This Row],[Poste 3]]</f>
        <v>0</v>
      </c>
      <c r="Y1803" s="74">
        <f>Devis[[#This Row],[Poste 4]]*Devis[[#This Row],[Prix de Revient]]</f>
        <v>0</v>
      </c>
      <c r="Z1803" s="74">
        <f>Devis[[#This Row],[Poste 5]]*Devis[[#This Row],[Prix de Revient]]</f>
        <v>0</v>
      </c>
      <c r="AA1803" s="74">
        <f>Devis[[#This Row],[Prix de Revient]]*Devis[[#This Row],[Poste 6]]</f>
        <v>0</v>
      </c>
      <c r="AB1803" s="74">
        <f>Devis[[#This Row],[Quantité Totale]]*Devis[[#This Row],[Prix de Revient]]</f>
        <v>0</v>
      </c>
    </row>
    <row r="1804" spans="1:28" ht="14.25" outlineLevel="1" x14ac:dyDescent="0.2">
      <c r="A1804" s="75" t="s">
        <v>1378</v>
      </c>
      <c r="B1804" s="76" t="s">
        <v>1562</v>
      </c>
      <c r="C1804" s="71" t="s">
        <v>4714</v>
      </c>
      <c r="D1804" s="81" t="str">
        <f t="shared" si="31"/>
        <v>Inox Serti CoréenTé mixte FØ80</v>
      </c>
      <c r="E1804" s="76" t="s">
        <v>1603</v>
      </c>
      <c r="F1804" s="81">
        <v>21</v>
      </c>
      <c r="G1804" s="71" t="s">
        <v>1604</v>
      </c>
      <c r="H1804" s="71"/>
      <c r="I1804" s="71"/>
      <c r="J1804" s="70">
        <f>IFERROR(VLOOKUP(Devis[[#This Row],[Ref Air Flux]],#REF!,3,FALSE),0)</f>
        <v>0</v>
      </c>
      <c r="K1804" s="68"/>
      <c r="L1804" s="68"/>
      <c r="M1804" s="68"/>
      <c r="N1804" s="68"/>
      <c r="O1804" s="68"/>
      <c r="P1804" s="68"/>
      <c r="Q1804" s="68">
        <f>SUM(Devis[[#This Row],[Poste 1]:[Poste 6]])</f>
        <v>0</v>
      </c>
      <c r="R1804" s="71"/>
      <c r="S1804" s="68">
        <f>_xlfn.CEILING.MATH(Devis[[#This Row],[Quantité Totale]],Devis[[#This Row],[Conditionnement]])</f>
        <v>0</v>
      </c>
      <c r="T1804" s="72"/>
      <c r="U1804" s="73"/>
      <c r="V1804" s="74">
        <f>Devis[[#This Row],[Prix de Revient]]*Devis[[#This Row],[Poste 1]]</f>
        <v>0</v>
      </c>
      <c r="W1804" s="74">
        <f>Devis[[#This Row],[Prix de Revient]]*Devis[[#This Row],[Poste 2]]</f>
        <v>0</v>
      </c>
      <c r="X1804" s="74">
        <f>Devis[[#This Row],[Prix de Revient]]*Devis[[#This Row],[Poste 3]]</f>
        <v>0</v>
      </c>
      <c r="Y1804" s="74">
        <f>Devis[[#This Row],[Poste 4]]*Devis[[#This Row],[Prix de Revient]]</f>
        <v>0</v>
      </c>
      <c r="Z1804" s="74">
        <f>Devis[[#This Row],[Poste 5]]*Devis[[#This Row],[Prix de Revient]]</f>
        <v>0</v>
      </c>
      <c r="AA1804" s="74">
        <f>Devis[[#This Row],[Prix de Revient]]*Devis[[#This Row],[Poste 6]]</f>
        <v>0</v>
      </c>
      <c r="AB1804" s="74">
        <f>Devis[[#This Row],[Quantité Totale]]*Devis[[#This Row],[Prix de Revient]]</f>
        <v>0</v>
      </c>
    </row>
    <row r="1805" spans="1:28" ht="14.25" customHeight="1" x14ac:dyDescent="0.25">
      <c r="A1805" s="65" t="s">
        <v>1378</v>
      </c>
      <c r="B1805" s="65" t="s">
        <v>1605</v>
      </c>
      <c r="C1805" s="71"/>
      <c r="D1805" s="81" t="str">
        <f t="shared" si="31"/>
        <v>Inox Serti CoréenTé réduit</v>
      </c>
      <c r="E1805" s="76"/>
      <c r="F1805" s="81">
        <v>0</v>
      </c>
      <c r="G1805" s="71"/>
      <c r="H1805" s="71"/>
      <c r="I1805" s="71"/>
      <c r="J1805" s="70">
        <f>IFERROR(VLOOKUP(Devis[[#This Row],[Ref Air Flux]],#REF!,3,FALSE),0)</f>
        <v>0</v>
      </c>
      <c r="K1805" s="68"/>
      <c r="L1805" s="68"/>
      <c r="M1805" s="68"/>
      <c r="N1805" s="68"/>
      <c r="O1805" s="68"/>
      <c r="P1805" s="68"/>
      <c r="Q1805" s="68">
        <f>SUM(Devis[[#This Row],[Poste 1]:[Poste 6]])</f>
        <v>0</v>
      </c>
      <c r="R1805" s="71"/>
      <c r="S1805" s="68">
        <f>_xlfn.CEILING.MATH(Devis[[#This Row],[Quantité Totale]],Devis[[#This Row],[Conditionnement]])</f>
        <v>0</v>
      </c>
      <c r="T1805" s="72"/>
      <c r="U1805" s="73"/>
      <c r="V1805" s="74">
        <f>Devis[[#This Row],[Prix de Revient]]*Devis[[#This Row],[Poste 1]]</f>
        <v>0</v>
      </c>
      <c r="W1805" s="74">
        <f>Devis[[#This Row],[Prix de Revient]]*Devis[[#This Row],[Poste 2]]</f>
        <v>0</v>
      </c>
      <c r="X1805" s="74">
        <f>Devis[[#This Row],[Prix de Revient]]*Devis[[#This Row],[Poste 3]]</f>
        <v>0</v>
      </c>
      <c r="Y1805" s="74">
        <f>Devis[[#This Row],[Poste 4]]*Devis[[#This Row],[Prix de Revient]]</f>
        <v>0</v>
      </c>
      <c r="Z1805" s="74">
        <f>Devis[[#This Row],[Poste 5]]*Devis[[#This Row],[Prix de Revient]]</f>
        <v>0</v>
      </c>
      <c r="AA1805" s="74">
        <f>Devis[[#This Row],[Prix de Revient]]*Devis[[#This Row],[Poste 6]]</f>
        <v>0</v>
      </c>
      <c r="AB1805" s="74">
        <f>Devis[[#This Row],[Quantité Totale]]*Devis[[#This Row],[Prix de Revient]]</f>
        <v>0</v>
      </c>
    </row>
    <row r="1806" spans="1:28" ht="14.25" outlineLevel="1" x14ac:dyDescent="0.2">
      <c r="A1806" s="75" t="s">
        <v>1378</v>
      </c>
      <c r="B1806" s="76" t="s">
        <v>1605</v>
      </c>
      <c r="C1806" s="71" t="s">
        <v>3620</v>
      </c>
      <c r="D1806" s="81" t="str">
        <f t="shared" si="31"/>
        <v>Inox Serti CoréenTé réduitØ22</v>
      </c>
      <c r="E1806" s="71" t="s">
        <v>4726</v>
      </c>
      <c r="F1806" s="81">
        <v>1</v>
      </c>
      <c r="G1806" s="71" t="s">
        <v>1606</v>
      </c>
      <c r="H1806" s="71"/>
      <c r="I1806" s="71"/>
      <c r="J1806" s="70">
        <f>IFERROR(VLOOKUP(Devis[[#This Row],[Ref Air Flux]],#REF!,3,FALSE),0)</f>
        <v>0</v>
      </c>
      <c r="K1806" s="68"/>
      <c r="L1806" s="68"/>
      <c r="M1806" s="68"/>
      <c r="N1806" s="68"/>
      <c r="O1806" s="68"/>
      <c r="P1806" s="68"/>
      <c r="Q1806" s="68">
        <f>SUM(Devis[[#This Row],[Poste 1]:[Poste 6]])</f>
        <v>0</v>
      </c>
      <c r="R1806" s="71"/>
      <c r="S1806" s="68">
        <f>_xlfn.CEILING.MATH(Devis[[#This Row],[Quantité Totale]],Devis[[#This Row],[Conditionnement]])</f>
        <v>0</v>
      </c>
      <c r="T1806" s="72"/>
      <c r="U1806" s="73"/>
      <c r="V1806" s="74">
        <f>Devis[[#This Row],[Prix de Revient]]*Devis[[#This Row],[Poste 1]]</f>
        <v>0</v>
      </c>
      <c r="W1806" s="74">
        <f>Devis[[#This Row],[Prix de Revient]]*Devis[[#This Row],[Poste 2]]</f>
        <v>0</v>
      </c>
      <c r="X1806" s="74">
        <f>Devis[[#This Row],[Prix de Revient]]*Devis[[#This Row],[Poste 3]]</f>
        <v>0</v>
      </c>
      <c r="Y1806" s="74">
        <f>Devis[[#This Row],[Poste 4]]*Devis[[#This Row],[Prix de Revient]]</f>
        <v>0</v>
      </c>
      <c r="Z1806" s="74">
        <f>Devis[[#This Row],[Poste 5]]*Devis[[#This Row],[Prix de Revient]]</f>
        <v>0</v>
      </c>
      <c r="AA1806" s="74">
        <f>Devis[[#This Row],[Prix de Revient]]*Devis[[#This Row],[Poste 6]]</f>
        <v>0</v>
      </c>
      <c r="AB1806" s="74">
        <f>Devis[[#This Row],[Quantité Totale]]*Devis[[#This Row],[Prix de Revient]]</f>
        <v>0</v>
      </c>
    </row>
    <row r="1807" spans="1:28" ht="14.25" outlineLevel="1" x14ac:dyDescent="0.2">
      <c r="A1807" s="75" t="s">
        <v>1378</v>
      </c>
      <c r="B1807" s="76" t="s">
        <v>1605</v>
      </c>
      <c r="C1807" s="71" t="s">
        <v>3621</v>
      </c>
      <c r="D1807" s="81" t="str">
        <f t="shared" si="31"/>
        <v>Inox Serti CoréenTé réduitØ28</v>
      </c>
      <c r="E1807" s="71" t="s">
        <v>4727</v>
      </c>
      <c r="F1807" s="81">
        <v>2</v>
      </c>
      <c r="G1807" s="71" t="s">
        <v>1607</v>
      </c>
      <c r="H1807" s="71"/>
      <c r="I1807" s="71"/>
      <c r="J1807" s="70">
        <f>IFERROR(VLOOKUP(Devis[[#This Row],[Ref Air Flux]],#REF!,3,FALSE),0)</f>
        <v>0</v>
      </c>
      <c r="K1807" s="68"/>
      <c r="L1807" s="68"/>
      <c r="M1807" s="68"/>
      <c r="N1807" s="68"/>
      <c r="O1807" s="68"/>
      <c r="P1807" s="68"/>
      <c r="Q1807" s="68">
        <f>SUM(Devis[[#This Row],[Poste 1]:[Poste 6]])</f>
        <v>0</v>
      </c>
      <c r="R1807" s="71"/>
      <c r="S1807" s="68">
        <f>_xlfn.CEILING.MATH(Devis[[#This Row],[Quantité Totale]],Devis[[#This Row],[Conditionnement]])</f>
        <v>0</v>
      </c>
      <c r="T1807" s="72"/>
      <c r="U1807" s="73"/>
      <c r="V1807" s="74">
        <f>Devis[[#This Row],[Prix de Revient]]*Devis[[#This Row],[Poste 1]]</f>
        <v>0</v>
      </c>
      <c r="W1807" s="74">
        <f>Devis[[#This Row],[Prix de Revient]]*Devis[[#This Row],[Poste 2]]</f>
        <v>0</v>
      </c>
      <c r="X1807" s="74">
        <f>Devis[[#This Row],[Prix de Revient]]*Devis[[#This Row],[Poste 3]]</f>
        <v>0</v>
      </c>
      <c r="Y1807" s="74">
        <f>Devis[[#This Row],[Poste 4]]*Devis[[#This Row],[Prix de Revient]]</f>
        <v>0</v>
      </c>
      <c r="Z1807" s="74">
        <f>Devis[[#This Row],[Poste 5]]*Devis[[#This Row],[Prix de Revient]]</f>
        <v>0</v>
      </c>
      <c r="AA1807" s="74">
        <f>Devis[[#This Row],[Prix de Revient]]*Devis[[#This Row],[Poste 6]]</f>
        <v>0</v>
      </c>
      <c r="AB1807" s="74">
        <f>Devis[[#This Row],[Quantité Totale]]*Devis[[#This Row],[Prix de Revient]]</f>
        <v>0</v>
      </c>
    </row>
    <row r="1808" spans="1:28" ht="14.25" outlineLevel="1" x14ac:dyDescent="0.2">
      <c r="A1808" s="75" t="s">
        <v>1378</v>
      </c>
      <c r="B1808" s="76" t="s">
        <v>1605</v>
      </c>
      <c r="C1808" s="71" t="s">
        <v>3621</v>
      </c>
      <c r="D1808" s="81" t="str">
        <f t="shared" si="31"/>
        <v>Inox Serti CoréenTé réduitØ28</v>
      </c>
      <c r="E1808" s="71" t="s">
        <v>4728</v>
      </c>
      <c r="F1808" s="81">
        <v>3</v>
      </c>
      <c r="G1808" s="71" t="s">
        <v>1608</v>
      </c>
      <c r="H1808" s="71"/>
      <c r="I1808" s="71"/>
      <c r="J1808" s="70">
        <f>IFERROR(VLOOKUP(Devis[[#This Row],[Ref Air Flux]],#REF!,3,FALSE),0)</f>
        <v>0</v>
      </c>
      <c r="K1808" s="68"/>
      <c r="L1808" s="68"/>
      <c r="M1808" s="68"/>
      <c r="N1808" s="68"/>
      <c r="O1808" s="68"/>
      <c r="P1808" s="68"/>
      <c r="Q1808" s="68">
        <f>SUM(Devis[[#This Row],[Poste 1]:[Poste 6]])</f>
        <v>0</v>
      </c>
      <c r="R1808" s="71"/>
      <c r="S1808" s="68">
        <f>_xlfn.CEILING.MATH(Devis[[#This Row],[Quantité Totale]],Devis[[#This Row],[Conditionnement]])</f>
        <v>0</v>
      </c>
      <c r="T1808" s="72"/>
      <c r="U1808" s="73"/>
      <c r="V1808" s="74">
        <f>Devis[[#This Row],[Prix de Revient]]*Devis[[#This Row],[Poste 1]]</f>
        <v>0</v>
      </c>
      <c r="W1808" s="74">
        <f>Devis[[#This Row],[Prix de Revient]]*Devis[[#This Row],[Poste 2]]</f>
        <v>0</v>
      </c>
      <c r="X1808" s="74">
        <f>Devis[[#This Row],[Prix de Revient]]*Devis[[#This Row],[Poste 3]]</f>
        <v>0</v>
      </c>
      <c r="Y1808" s="74">
        <f>Devis[[#This Row],[Poste 4]]*Devis[[#This Row],[Prix de Revient]]</f>
        <v>0</v>
      </c>
      <c r="Z1808" s="74">
        <f>Devis[[#This Row],[Poste 5]]*Devis[[#This Row],[Prix de Revient]]</f>
        <v>0</v>
      </c>
      <c r="AA1808" s="74">
        <f>Devis[[#This Row],[Prix de Revient]]*Devis[[#This Row],[Poste 6]]</f>
        <v>0</v>
      </c>
      <c r="AB1808" s="74">
        <f>Devis[[#This Row],[Quantité Totale]]*Devis[[#This Row],[Prix de Revient]]</f>
        <v>0</v>
      </c>
    </row>
    <row r="1809" spans="1:28" ht="14.25" outlineLevel="1" x14ac:dyDescent="0.2">
      <c r="A1809" s="75" t="s">
        <v>1378</v>
      </c>
      <c r="B1809" s="76" t="s">
        <v>1605</v>
      </c>
      <c r="C1809" s="71" t="s">
        <v>3622</v>
      </c>
      <c r="D1809" s="81" t="str">
        <f t="shared" si="31"/>
        <v>Inox Serti CoréenTé réduitØ34</v>
      </c>
      <c r="E1809" s="71" t="s">
        <v>4729</v>
      </c>
      <c r="F1809" s="81">
        <v>4</v>
      </c>
      <c r="G1809" s="71" t="s">
        <v>1609</v>
      </c>
      <c r="H1809" s="71"/>
      <c r="I1809" s="71"/>
      <c r="J1809" s="70">
        <f>IFERROR(VLOOKUP(Devis[[#This Row],[Ref Air Flux]],#REF!,3,FALSE),0)</f>
        <v>0</v>
      </c>
      <c r="K1809" s="68"/>
      <c r="L1809" s="68"/>
      <c r="M1809" s="68"/>
      <c r="N1809" s="68"/>
      <c r="O1809" s="68"/>
      <c r="P1809" s="68"/>
      <c r="Q1809" s="68">
        <f>SUM(Devis[[#This Row],[Poste 1]:[Poste 6]])</f>
        <v>0</v>
      </c>
      <c r="R1809" s="71"/>
      <c r="S1809" s="68">
        <f>_xlfn.CEILING.MATH(Devis[[#This Row],[Quantité Totale]],Devis[[#This Row],[Conditionnement]])</f>
        <v>0</v>
      </c>
      <c r="T1809" s="72"/>
      <c r="U1809" s="73"/>
      <c r="V1809" s="74">
        <f>Devis[[#This Row],[Prix de Revient]]*Devis[[#This Row],[Poste 1]]</f>
        <v>0</v>
      </c>
      <c r="W1809" s="74">
        <f>Devis[[#This Row],[Prix de Revient]]*Devis[[#This Row],[Poste 2]]</f>
        <v>0</v>
      </c>
      <c r="X1809" s="74">
        <f>Devis[[#This Row],[Prix de Revient]]*Devis[[#This Row],[Poste 3]]</f>
        <v>0</v>
      </c>
      <c r="Y1809" s="74">
        <f>Devis[[#This Row],[Poste 4]]*Devis[[#This Row],[Prix de Revient]]</f>
        <v>0</v>
      </c>
      <c r="Z1809" s="74">
        <f>Devis[[#This Row],[Poste 5]]*Devis[[#This Row],[Prix de Revient]]</f>
        <v>0</v>
      </c>
      <c r="AA1809" s="74">
        <f>Devis[[#This Row],[Prix de Revient]]*Devis[[#This Row],[Poste 6]]</f>
        <v>0</v>
      </c>
      <c r="AB1809" s="74">
        <f>Devis[[#This Row],[Quantité Totale]]*Devis[[#This Row],[Prix de Revient]]</f>
        <v>0</v>
      </c>
    </row>
    <row r="1810" spans="1:28" ht="14.25" outlineLevel="1" x14ac:dyDescent="0.2">
      <c r="A1810" s="75" t="s">
        <v>1378</v>
      </c>
      <c r="B1810" s="76" t="s">
        <v>1605</v>
      </c>
      <c r="C1810" s="71" t="s">
        <v>3622</v>
      </c>
      <c r="D1810" s="81" t="str">
        <f t="shared" si="31"/>
        <v>Inox Serti CoréenTé réduitØ34</v>
      </c>
      <c r="E1810" s="71" t="s">
        <v>4730</v>
      </c>
      <c r="F1810" s="81">
        <v>5</v>
      </c>
      <c r="G1810" s="71" t="s">
        <v>1610</v>
      </c>
      <c r="H1810" s="71"/>
      <c r="I1810" s="71"/>
      <c r="J1810" s="70">
        <f>IFERROR(VLOOKUP(Devis[[#This Row],[Ref Air Flux]],#REF!,3,FALSE),0)</f>
        <v>0</v>
      </c>
      <c r="K1810" s="68"/>
      <c r="L1810" s="68"/>
      <c r="M1810" s="68"/>
      <c r="N1810" s="68"/>
      <c r="O1810" s="68"/>
      <c r="P1810" s="68"/>
      <c r="Q1810" s="68">
        <f>SUM(Devis[[#This Row],[Poste 1]:[Poste 6]])</f>
        <v>0</v>
      </c>
      <c r="R1810" s="71"/>
      <c r="S1810" s="68">
        <f>_xlfn.CEILING.MATH(Devis[[#This Row],[Quantité Totale]],Devis[[#This Row],[Conditionnement]])</f>
        <v>0</v>
      </c>
      <c r="T1810" s="72"/>
      <c r="U1810" s="73"/>
      <c r="V1810" s="74">
        <f>Devis[[#This Row],[Prix de Revient]]*Devis[[#This Row],[Poste 1]]</f>
        <v>0</v>
      </c>
      <c r="W1810" s="74">
        <f>Devis[[#This Row],[Prix de Revient]]*Devis[[#This Row],[Poste 2]]</f>
        <v>0</v>
      </c>
      <c r="X1810" s="74">
        <f>Devis[[#This Row],[Prix de Revient]]*Devis[[#This Row],[Poste 3]]</f>
        <v>0</v>
      </c>
      <c r="Y1810" s="74">
        <f>Devis[[#This Row],[Poste 4]]*Devis[[#This Row],[Prix de Revient]]</f>
        <v>0</v>
      </c>
      <c r="Z1810" s="74">
        <f>Devis[[#This Row],[Poste 5]]*Devis[[#This Row],[Prix de Revient]]</f>
        <v>0</v>
      </c>
      <c r="AA1810" s="74">
        <f>Devis[[#This Row],[Prix de Revient]]*Devis[[#This Row],[Poste 6]]</f>
        <v>0</v>
      </c>
      <c r="AB1810" s="74">
        <f>Devis[[#This Row],[Quantité Totale]]*Devis[[#This Row],[Prix de Revient]]</f>
        <v>0</v>
      </c>
    </row>
    <row r="1811" spans="1:28" ht="14.25" outlineLevel="1" x14ac:dyDescent="0.2">
      <c r="A1811" s="75" t="s">
        <v>1378</v>
      </c>
      <c r="B1811" s="76" t="s">
        <v>1605</v>
      </c>
      <c r="C1811" s="71" t="s">
        <v>3622</v>
      </c>
      <c r="D1811" s="81" t="str">
        <f t="shared" ref="D1811:D1874" si="32">A1811&amp;B1811&amp;C1811</f>
        <v>Inox Serti CoréenTé réduitØ34</v>
      </c>
      <c r="E1811" s="71" t="s">
        <v>4731</v>
      </c>
      <c r="F1811" s="81">
        <v>6</v>
      </c>
      <c r="G1811" s="71" t="s">
        <v>1611</v>
      </c>
      <c r="H1811" s="71"/>
      <c r="I1811" s="71"/>
      <c r="J1811" s="70">
        <f>IFERROR(VLOOKUP(Devis[[#This Row],[Ref Air Flux]],#REF!,3,FALSE),0)</f>
        <v>0</v>
      </c>
      <c r="K1811" s="68"/>
      <c r="L1811" s="68"/>
      <c r="M1811" s="68"/>
      <c r="N1811" s="68"/>
      <c r="O1811" s="68"/>
      <c r="P1811" s="68"/>
      <c r="Q1811" s="68">
        <f>SUM(Devis[[#This Row],[Poste 1]:[Poste 6]])</f>
        <v>0</v>
      </c>
      <c r="R1811" s="71"/>
      <c r="S1811" s="68">
        <f>_xlfn.CEILING.MATH(Devis[[#This Row],[Quantité Totale]],Devis[[#This Row],[Conditionnement]])</f>
        <v>0</v>
      </c>
      <c r="T1811" s="72"/>
      <c r="U1811" s="73"/>
      <c r="V1811" s="74">
        <f>Devis[[#This Row],[Prix de Revient]]*Devis[[#This Row],[Poste 1]]</f>
        <v>0</v>
      </c>
      <c r="W1811" s="74">
        <f>Devis[[#This Row],[Prix de Revient]]*Devis[[#This Row],[Poste 2]]</f>
        <v>0</v>
      </c>
      <c r="X1811" s="74">
        <f>Devis[[#This Row],[Prix de Revient]]*Devis[[#This Row],[Poste 3]]</f>
        <v>0</v>
      </c>
      <c r="Y1811" s="74">
        <f>Devis[[#This Row],[Poste 4]]*Devis[[#This Row],[Prix de Revient]]</f>
        <v>0</v>
      </c>
      <c r="Z1811" s="74">
        <f>Devis[[#This Row],[Poste 5]]*Devis[[#This Row],[Prix de Revient]]</f>
        <v>0</v>
      </c>
      <c r="AA1811" s="74">
        <f>Devis[[#This Row],[Prix de Revient]]*Devis[[#This Row],[Poste 6]]</f>
        <v>0</v>
      </c>
      <c r="AB1811" s="74">
        <f>Devis[[#This Row],[Quantité Totale]]*Devis[[#This Row],[Prix de Revient]]</f>
        <v>0</v>
      </c>
    </row>
    <row r="1812" spans="1:28" ht="14.25" customHeight="1" outlineLevel="1" x14ac:dyDescent="0.2">
      <c r="A1812" s="75" t="s">
        <v>1378</v>
      </c>
      <c r="B1812" s="76" t="s">
        <v>1605</v>
      </c>
      <c r="C1812" s="71" t="s">
        <v>3623</v>
      </c>
      <c r="D1812" s="81" t="str">
        <f t="shared" si="32"/>
        <v>Inox Serti CoréenTé réduitØ42</v>
      </c>
      <c r="E1812" s="71" t="s">
        <v>4732</v>
      </c>
      <c r="F1812" s="81">
        <v>7</v>
      </c>
      <c r="G1812" s="71" t="s">
        <v>1612</v>
      </c>
      <c r="H1812" s="71"/>
      <c r="I1812" s="71"/>
      <c r="J1812" s="70">
        <f>IFERROR(VLOOKUP(Devis[[#This Row],[Ref Air Flux]],#REF!,3,FALSE),0)</f>
        <v>0</v>
      </c>
      <c r="K1812" s="68"/>
      <c r="L1812" s="68"/>
      <c r="M1812" s="68"/>
      <c r="N1812" s="68"/>
      <c r="O1812" s="68"/>
      <c r="P1812" s="68"/>
      <c r="Q1812" s="68">
        <f>SUM(Devis[[#This Row],[Poste 1]:[Poste 6]])</f>
        <v>0</v>
      </c>
      <c r="R1812" s="71"/>
      <c r="S1812" s="68">
        <f>_xlfn.CEILING.MATH(Devis[[#This Row],[Quantité Totale]],Devis[[#This Row],[Conditionnement]])</f>
        <v>0</v>
      </c>
      <c r="T1812" s="72"/>
      <c r="U1812" s="73"/>
      <c r="V1812" s="74">
        <f>Devis[[#This Row],[Prix de Revient]]*Devis[[#This Row],[Poste 1]]</f>
        <v>0</v>
      </c>
      <c r="W1812" s="74">
        <f>Devis[[#This Row],[Prix de Revient]]*Devis[[#This Row],[Poste 2]]</f>
        <v>0</v>
      </c>
      <c r="X1812" s="74">
        <f>Devis[[#This Row],[Prix de Revient]]*Devis[[#This Row],[Poste 3]]</f>
        <v>0</v>
      </c>
      <c r="Y1812" s="74">
        <f>Devis[[#This Row],[Poste 4]]*Devis[[#This Row],[Prix de Revient]]</f>
        <v>0</v>
      </c>
      <c r="Z1812" s="74">
        <f>Devis[[#This Row],[Poste 5]]*Devis[[#This Row],[Prix de Revient]]</f>
        <v>0</v>
      </c>
      <c r="AA1812" s="74">
        <f>Devis[[#This Row],[Prix de Revient]]*Devis[[#This Row],[Poste 6]]</f>
        <v>0</v>
      </c>
      <c r="AB1812" s="74">
        <f>Devis[[#This Row],[Quantité Totale]]*Devis[[#This Row],[Prix de Revient]]</f>
        <v>0</v>
      </c>
    </row>
    <row r="1813" spans="1:28" ht="14.25" customHeight="1" outlineLevel="1" x14ac:dyDescent="0.2">
      <c r="A1813" s="75" t="s">
        <v>1378</v>
      </c>
      <c r="B1813" s="76" t="s">
        <v>1605</v>
      </c>
      <c r="C1813" s="71" t="s">
        <v>3623</v>
      </c>
      <c r="D1813" s="81" t="str">
        <f t="shared" si="32"/>
        <v>Inox Serti CoréenTé réduitØ42</v>
      </c>
      <c r="E1813" s="71" t="s">
        <v>4733</v>
      </c>
      <c r="F1813" s="81">
        <v>8</v>
      </c>
      <c r="G1813" s="71" t="s">
        <v>1613</v>
      </c>
      <c r="H1813" s="71"/>
      <c r="I1813" s="71"/>
      <c r="J1813" s="70">
        <f>IFERROR(VLOOKUP(Devis[[#This Row],[Ref Air Flux]],#REF!,3,FALSE),0)</f>
        <v>0</v>
      </c>
      <c r="K1813" s="68"/>
      <c r="L1813" s="68"/>
      <c r="M1813" s="68"/>
      <c r="N1813" s="68"/>
      <c r="O1813" s="68"/>
      <c r="P1813" s="68"/>
      <c r="Q1813" s="68">
        <f>SUM(Devis[[#This Row],[Poste 1]:[Poste 6]])</f>
        <v>0</v>
      </c>
      <c r="R1813" s="71"/>
      <c r="S1813" s="68">
        <f>_xlfn.CEILING.MATH(Devis[[#This Row],[Quantité Totale]],Devis[[#This Row],[Conditionnement]])</f>
        <v>0</v>
      </c>
      <c r="T1813" s="72"/>
      <c r="U1813" s="73"/>
      <c r="V1813" s="74">
        <f>Devis[[#This Row],[Prix de Revient]]*Devis[[#This Row],[Poste 1]]</f>
        <v>0</v>
      </c>
      <c r="W1813" s="74">
        <f>Devis[[#This Row],[Prix de Revient]]*Devis[[#This Row],[Poste 2]]</f>
        <v>0</v>
      </c>
      <c r="X1813" s="74">
        <f>Devis[[#This Row],[Prix de Revient]]*Devis[[#This Row],[Poste 3]]</f>
        <v>0</v>
      </c>
      <c r="Y1813" s="74">
        <f>Devis[[#This Row],[Poste 4]]*Devis[[#This Row],[Prix de Revient]]</f>
        <v>0</v>
      </c>
      <c r="Z1813" s="74">
        <f>Devis[[#This Row],[Poste 5]]*Devis[[#This Row],[Prix de Revient]]</f>
        <v>0</v>
      </c>
      <c r="AA1813" s="74">
        <f>Devis[[#This Row],[Prix de Revient]]*Devis[[#This Row],[Poste 6]]</f>
        <v>0</v>
      </c>
      <c r="AB1813" s="74">
        <f>Devis[[#This Row],[Quantité Totale]]*Devis[[#This Row],[Prix de Revient]]</f>
        <v>0</v>
      </c>
    </row>
    <row r="1814" spans="1:28" ht="14.25" outlineLevel="1" x14ac:dyDescent="0.2">
      <c r="A1814" s="75" t="s">
        <v>1378</v>
      </c>
      <c r="B1814" s="76" t="s">
        <v>1605</v>
      </c>
      <c r="C1814" s="71" t="s">
        <v>3623</v>
      </c>
      <c r="D1814" s="81" t="str">
        <f t="shared" si="32"/>
        <v>Inox Serti CoréenTé réduitØ42</v>
      </c>
      <c r="E1814" s="71" t="s">
        <v>4734</v>
      </c>
      <c r="F1814" s="81">
        <v>9</v>
      </c>
      <c r="G1814" s="71" t="s">
        <v>1614</v>
      </c>
      <c r="H1814" s="71"/>
      <c r="I1814" s="71"/>
      <c r="J1814" s="70">
        <f>IFERROR(VLOOKUP(Devis[[#This Row],[Ref Air Flux]],#REF!,3,FALSE),0)</f>
        <v>0</v>
      </c>
      <c r="K1814" s="68"/>
      <c r="L1814" s="68"/>
      <c r="M1814" s="68"/>
      <c r="N1814" s="68"/>
      <c r="O1814" s="68"/>
      <c r="P1814" s="68"/>
      <c r="Q1814" s="68">
        <f>SUM(Devis[[#This Row],[Poste 1]:[Poste 6]])</f>
        <v>0</v>
      </c>
      <c r="R1814" s="71"/>
      <c r="S1814" s="68">
        <f>_xlfn.CEILING.MATH(Devis[[#This Row],[Quantité Totale]],Devis[[#This Row],[Conditionnement]])</f>
        <v>0</v>
      </c>
      <c r="T1814" s="72"/>
      <c r="U1814" s="73"/>
      <c r="V1814" s="74">
        <f>Devis[[#This Row],[Prix de Revient]]*Devis[[#This Row],[Poste 1]]</f>
        <v>0</v>
      </c>
      <c r="W1814" s="74">
        <f>Devis[[#This Row],[Prix de Revient]]*Devis[[#This Row],[Poste 2]]</f>
        <v>0</v>
      </c>
      <c r="X1814" s="74">
        <f>Devis[[#This Row],[Prix de Revient]]*Devis[[#This Row],[Poste 3]]</f>
        <v>0</v>
      </c>
      <c r="Y1814" s="74">
        <f>Devis[[#This Row],[Poste 4]]*Devis[[#This Row],[Prix de Revient]]</f>
        <v>0</v>
      </c>
      <c r="Z1814" s="74">
        <f>Devis[[#This Row],[Poste 5]]*Devis[[#This Row],[Prix de Revient]]</f>
        <v>0</v>
      </c>
      <c r="AA1814" s="74">
        <f>Devis[[#This Row],[Prix de Revient]]*Devis[[#This Row],[Poste 6]]</f>
        <v>0</v>
      </c>
      <c r="AB1814" s="74">
        <f>Devis[[#This Row],[Quantité Totale]]*Devis[[#This Row],[Prix de Revient]]</f>
        <v>0</v>
      </c>
    </row>
    <row r="1815" spans="1:28" ht="14.25" outlineLevel="1" x14ac:dyDescent="0.2">
      <c r="A1815" s="75" t="s">
        <v>1378</v>
      </c>
      <c r="B1815" s="76" t="s">
        <v>1605</v>
      </c>
      <c r="C1815" s="71" t="s">
        <v>3623</v>
      </c>
      <c r="D1815" s="81" t="str">
        <f t="shared" si="32"/>
        <v>Inox Serti CoréenTé réduitØ42</v>
      </c>
      <c r="E1815" s="71" t="s">
        <v>4735</v>
      </c>
      <c r="F1815" s="81">
        <v>10</v>
      </c>
      <c r="G1815" s="71" t="s">
        <v>1615</v>
      </c>
      <c r="H1815" s="71"/>
      <c r="I1815" s="71"/>
      <c r="J1815" s="70">
        <f>IFERROR(VLOOKUP(Devis[[#This Row],[Ref Air Flux]],#REF!,3,FALSE),0)</f>
        <v>0</v>
      </c>
      <c r="K1815" s="68"/>
      <c r="L1815" s="68"/>
      <c r="M1815" s="68"/>
      <c r="N1815" s="68"/>
      <c r="O1815" s="68"/>
      <c r="P1815" s="68"/>
      <c r="Q1815" s="68">
        <f>SUM(Devis[[#This Row],[Poste 1]:[Poste 6]])</f>
        <v>0</v>
      </c>
      <c r="R1815" s="71"/>
      <c r="S1815" s="68">
        <f>_xlfn.CEILING.MATH(Devis[[#This Row],[Quantité Totale]],Devis[[#This Row],[Conditionnement]])</f>
        <v>0</v>
      </c>
      <c r="T1815" s="72"/>
      <c r="U1815" s="73"/>
      <c r="V1815" s="74">
        <f>Devis[[#This Row],[Prix de Revient]]*Devis[[#This Row],[Poste 1]]</f>
        <v>0</v>
      </c>
      <c r="W1815" s="74">
        <f>Devis[[#This Row],[Prix de Revient]]*Devis[[#This Row],[Poste 2]]</f>
        <v>0</v>
      </c>
      <c r="X1815" s="74">
        <f>Devis[[#This Row],[Prix de Revient]]*Devis[[#This Row],[Poste 3]]</f>
        <v>0</v>
      </c>
      <c r="Y1815" s="74">
        <f>Devis[[#This Row],[Poste 4]]*Devis[[#This Row],[Prix de Revient]]</f>
        <v>0</v>
      </c>
      <c r="Z1815" s="74">
        <f>Devis[[#This Row],[Poste 5]]*Devis[[#This Row],[Prix de Revient]]</f>
        <v>0</v>
      </c>
      <c r="AA1815" s="74">
        <f>Devis[[#This Row],[Prix de Revient]]*Devis[[#This Row],[Poste 6]]</f>
        <v>0</v>
      </c>
      <c r="AB1815" s="74">
        <f>Devis[[#This Row],[Quantité Totale]]*Devis[[#This Row],[Prix de Revient]]</f>
        <v>0</v>
      </c>
    </row>
    <row r="1816" spans="1:28" ht="14.25" customHeight="1" outlineLevel="1" x14ac:dyDescent="0.2">
      <c r="A1816" s="75" t="s">
        <v>1378</v>
      </c>
      <c r="B1816" s="76" t="s">
        <v>1605</v>
      </c>
      <c r="C1816" s="71" t="s">
        <v>3624</v>
      </c>
      <c r="D1816" s="81" t="str">
        <f t="shared" si="32"/>
        <v>Inox Serti CoréenTé réduitØ48</v>
      </c>
      <c r="E1816" s="71" t="s">
        <v>4736</v>
      </c>
      <c r="F1816" s="81">
        <v>11</v>
      </c>
      <c r="G1816" s="71" t="s">
        <v>1616</v>
      </c>
      <c r="H1816" s="71"/>
      <c r="I1816" s="71"/>
      <c r="J1816" s="70">
        <f>IFERROR(VLOOKUP(Devis[[#This Row],[Ref Air Flux]],#REF!,3,FALSE),0)</f>
        <v>0</v>
      </c>
      <c r="K1816" s="68"/>
      <c r="L1816" s="68"/>
      <c r="M1816" s="68"/>
      <c r="N1816" s="68"/>
      <c r="O1816" s="68"/>
      <c r="P1816" s="68"/>
      <c r="Q1816" s="68">
        <f>SUM(Devis[[#This Row],[Poste 1]:[Poste 6]])</f>
        <v>0</v>
      </c>
      <c r="R1816" s="71"/>
      <c r="S1816" s="68">
        <f>_xlfn.CEILING.MATH(Devis[[#This Row],[Quantité Totale]],Devis[[#This Row],[Conditionnement]])</f>
        <v>0</v>
      </c>
      <c r="T1816" s="72"/>
      <c r="U1816" s="73"/>
      <c r="V1816" s="74">
        <f>Devis[[#This Row],[Prix de Revient]]*Devis[[#This Row],[Poste 1]]</f>
        <v>0</v>
      </c>
      <c r="W1816" s="74">
        <f>Devis[[#This Row],[Prix de Revient]]*Devis[[#This Row],[Poste 2]]</f>
        <v>0</v>
      </c>
      <c r="X1816" s="74">
        <f>Devis[[#This Row],[Prix de Revient]]*Devis[[#This Row],[Poste 3]]</f>
        <v>0</v>
      </c>
      <c r="Y1816" s="74">
        <f>Devis[[#This Row],[Poste 4]]*Devis[[#This Row],[Prix de Revient]]</f>
        <v>0</v>
      </c>
      <c r="Z1816" s="74">
        <f>Devis[[#This Row],[Poste 5]]*Devis[[#This Row],[Prix de Revient]]</f>
        <v>0</v>
      </c>
      <c r="AA1816" s="74">
        <f>Devis[[#This Row],[Prix de Revient]]*Devis[[#This Row],[Poste 6]]</f>
        <v>0</v>
      </c>
      <c r="AB1816" s="74">
        <f>Devis[[#This Row],[Quantité Totale]]*Devis[[#This Row],[Prix de Revient]]</f>
        <v>0</v>
      </c>
    </row>
    <row r="1817" spans="1:28" ht="14.25" outlineLevel="1" x14ac:dyDescent="0.2">
      <c r="A1817" s="75" t="s">
        <v>1378</v>
      </c>
      <c r="B1817" s="76" t="s">
        <v>1605</v>
      </c>
      <c r="C1817" s="71" t="s">
        <v>3624</v>
      </c>
      <c r="D1817" s="81" t="str">
        <f t="shared" si="32"/>
        <v>Inox Serti CoréenTé réduitØ48</v>
      </c>
      <c r="E1817" s="71" t="s">
        <v>4737</v>
      </c>
      <c r="F1817" s="81">
        <v>12</v>
      </c>
      <c r="G1817" s="71" t="s">
        <v>1617</v>
      </c>
      <c r="H1817" s="71"/>
      <c r="I1817" s="71"/>
      <c r="J1817" s="70">
        <f>IFERROR(VLOOKUP(Devis[[#This Row],[Ref Air Flux]],#REF!,3,FALSE),0)</f>
        <v>0</v>
      </c>
      <c r="K1817" s="68"/>
      <c r="L1817" s="68"/>
      <c r="M1817" s="68"/>
      <c r="N1817" s="68"/>
      <c r="O1817" s="68"/>
      <c r="P1817" s="68"/>
      <c r="Q1817" s="68">
        <f>SUM(Devis[[#This Row],[Poste 1]:[Poste 6]])</f>
        <v>0</v>
      </c>
      <c r="R1817" s="71"/>
      <c r="S1817" s="68">
        <f>_xlfn.CEILING.MATH(Devis[[#This Row],[Quantité Totale]],Devis[[#This Row],[Conditionnement]])</f>
        <v>0</v>
      </c>
      <c r="T1817" s="72"/>
      <c r="U1817" s="73"/>
      <c r="V1817" s="74">
        <f>Devis[[#This Row],[Prix de Revient]]*Devis[[#This Row],[Poste 1]]</f>
        <v>0</v>
      </c>
      <c r="W1817" s="74">
        <f>Devis[[#This Row],[Prix de Revient]]*Devis[[#This Row],[Poste 2]]</f>
        <v>0</v>
      </c>
      <c r="X1817" s="74">
        <f>Devis[[#This Row],[Prix de Revient]]*Devis[[#This Row],[Poste 3]]</f>
        <v>0</v>
      </c>
      <c r="Y1817" s="74">
        <f>Devis[[#This Row],[Poste 4]]*Devis[[#This Row],[Prix de Revient]]</f>
        <v>0</v>
      </c>
      <c r="Z1817" s="74">
        <f>Devis[[#This Row],[Poste 5]]*Devis[[#This Row],[Prix de Revient]]</f>
        <v>0</v>
      </c>
      <c r="AA1817" s="74">
        <f>Devis[[#This Row],[Prix de Revient]]*Devis[[#This Row],[Poste 6]]</f>
        <v>0</v>
      </c>
      <c r="AB1817" s="74">
        <f>Devis[[#This Row],[Quantité Totale]]*Devis[[#This Row],[Prix de Revient]]</f>
        <v>0</v>
      </c>
    </row>
    <row r="1818" spans="1:28" ht="14.25" outlineLevel="1" x14ac:dyDescent="0.2">
      <c r="A1818" s="75" t="s">
        <v>1378</v>
      </c>
      <c r="B1818" s="76" t="s">
        <v>1605</v>
      </c>
      <c r="C1818" s="71" t="s">
        <v>3624</v>
      </c>
      <c r="D1818" s="81" t="str">
        <f t="shared" si="32"/>
        <v>Inox Serti CoréenTé réduitØ48</v>
      </c>
      <c r="E1818" s="71" t="s">
        <v>4738</v>
      </c>
      <c r="F1818" s="81">
        <v>13</v>
      </c>
      <c r="G1818" s="71" t="s">
        <v>1618</v>
      </c>
      <c r="H1818" s="71"/>
      <c r="I1818" s="71"/>
      <c r="J1818" s="70">
        <f>IFERROR(VLOOKUP(Devis[[#This Row],[Ref Air Flux]],#REF!,3,FALSE),0)</f>
        <v>0</v>
      </c>
      <c r="K1818" s="68"/>
      <c r="L1818" s="68"/>
      <c r="M1818" s="68"/>
      <c r="N1818" s="68"/>
      <c r="O1818" s="68"/>
      <c r="P1818" s="68"/>
      <c r="Q1818" s="68">
        <f>SUM(Devis[[#This Row],[Poste 1]:[Poste 6]])</f>
        <v>0</v>
      </c>
      <c r="R1818" s="71"/>
      <c r="S1818" s="68">
        <f>_xlfn.CEILING.MATH(Devis[[#This Row],[Quantité Totale]],Devis[[#This Row],[Conditionnement]])</f>
        <v>0</v>
      </c>
      <c r="T1818" s="72"/>
      <c r="U1818" s="73"/>
      <c r="V1818" s="74">
        <f>Devis[[#This Row],[Prix de Revient]]*Devis[[#This Row],[Poste 1]]</f>
        <v>0</v>
      </c>
      <c r="W1818" s="74">
        <f>Devis[[#This Row],[Prix de Revient]]*Devis[[#This Row],[Poste 2]]</f>
        <v>0</v>
      </c>
      <c r="X1818" s="74">
        <f>Devis[[#This Row],[Prix de Revient]]*Devis[[#This Row],[Poste 3]]</f>
        <v>0</v>
      </c>
      <c r="Y1818" s="74">
        <f>Devis[[#This Row],[Poste 4]]*Devis[[#This Row],[Prix de Revient]]</f>
        <v>0</v>
      </c>
      <c r="Z1818" s="74">
        <f>Devis[[#This Row],[Poste 5]]*Devis[[#This Row],[Prix de Revient]]</f>
        <v>0</v>
      </c>
      <c r="AA1818" s="74">
        <f>Devis[[#This Row],[Prix de Revient]]*Devis[[#This Row],[Poste 6]]</f>
        <v>0</v>
      </c>
      <c r="AB1818" s="74">
        <f>Devis[[#This Row],[Quantité Totale]]*Devis[[#This Row],[Prix de Revient]]</f>
        <v>0</v>
      </c>
    </row>
    <row r="1819" spans="1:28" ht="14.25" outlineLevel="1" x14ac:dyDescent="0.2">
      <c r="A1819" s="75" t="s">
        <v>1378</v>
      </c>
      <c r="B1819" s="76" t="s">
        <v>1605</v>
      </c>
      <c r="C1819" s="71" t="s">
        <v>3624</v>
      </c>
      <c r="D1819" s="81" t="str">
        <f t="shared" si="32"/>
        <v>Inox Serti CoréenTé réduitØ48</v>
      </c>
      <c r="E1819" s="71" t="s">
        <v>4739</v>
      </c>
      <c r="F1819" s="81">
        <v>14</v>
      </c>
      <c r="G1819" s="71" t="s">
        <v>1619</v>
      </c>
      <c r="H1819" s="71"/>
      <c r="I1819" s="71"/>
      <c r="J1819" s="70">
        <f>IFERROR(VLOOKUP(Devis[[#This Row],[Ref Air Flux]],#REF!,3,FALSE),0)</f>
        <v>0</v>
      </c>
      <c r="K1819" s="68"/>
      <c r="L1819" s="68"/>
      <c r="M1819" s="68"/>
      <c r="N1819" s="68"/>
      <c r="O1819" s="68"/>
      <c r="P1819" s="68"/>
      <c r="Q1819" s="68">
        <f>SUM(Devis[[#This Row],[Poste 1]:[Poste 6]])</f>
        <v>0</v>
      </c>
      <c r="R1819" s="71"/>
      <c r="S1819" s="68">
        <f>_xlfn.CEILING.MATH(Devis[[#This Row],[Quantité Totale]],Devis[[#This Row],[Conditionnement]])</f>
        <v>0</v>
      </c>
      <c r="T1819" s="72"/>
      <c r="U1819" s="73"/>
      <c r="V1819" s="74">
        <f>Devis[[#This Row],[Prix de Revient]]*Devis[[#This Row],[Poste 1]]</f>
        <v>0</v>
      </c>
      <c r="W1819" s="74">
        <f>Devis[[#This Row],[Prix de Revient]]*Devis[[#This Row],[Poste 2]]</f>
        <v>0</v>
      </c>
      <c r="X1819" s="74">
        <f>Devis[[#This Row],[Prix de Revient]]*Devis[[#This Row],[Poste 3]]</f>
        <v>0</v>
      </c>
      <c r="Y1819" s="74">
        <f>Devis[[#This Row],[Poste 4]]*Devis[[#This Row],[Prix de Revient]]</f>
        <v>0</v>
      </c>
      <c r="Z1819" s="74">
        <f>Devis[[#This Row],[Poste 5]]*Devis[[#This Row],[Prix de Revient]]</f>
        <v>0</v>
      </c>
      <c r="AA1819" s="74">
        <f>Devis[[#This Row],[Prix de Revient]]*Devis[[#This Row],[Poste 6]]</f>
        <v>0</v>
      </c>
      <c r="AB1819" s="74">
        <f>Devis[[#This Row],[Quantité Totale]]*Devis[[#This Row],[Prix de Revient]]</f>
        <v>0</v>
      </c>
    </row>
    <row r="1820" spans="1:28" ht="14.25" outlineLevel="1" x14ac:dyDescent="0.2">
      <c r="A1820" s="75" t="s">
        <v>1378</v>
      </c>
      <c r="B1820" s="76" t="s">
        <v>1605</v>
      </c>
      <c r="C1820" s="71" t="s">
        <v>3624</v>
      </c>
      <c r="D1820" s="81" t="str">
        <f t="shared" si="32"/>
        <v>Inox Serti CoréenTé réduitØ48</v>
      </c>
      <c r="E1820" s="71" t="s">
        <v>4740</v>
      </c>
      <c r="F1820" s="81">
        <v>15</v>
      </c>
      <c r="G1820" s="71" t="s">
        <v>1620</v>
      </c>
      <c r="H1820" s="71"/>
      <c r="I1820" s="71"/>
      <c r="J1820" s="70">
        <f>IFERROR(VLOOKUP(Devis[[#This Row],[Ref Air Flux]],#REF!,3,FALSE),0)</f>
        <v>0</v>
      </c>
      <c r="K1820" s="68"/>
      <c r="L1820" s="68"/>
      <c r="M1820" s="68"/>
      <c r="N1820" s="68"/>
      <c r="O1820" s="68"/>
      <c r="P1820" s="68"/>
      <c r="Q1820" s="68">
        <f>SUM(Devis[[#This Row],[Poste 1]:[Poste 6]])</f>
        <v>0</v>
      </c>
      <c r="R1820" s="71"/>
      <c r="S1820" s="68">
        <f>_xlfn.CEILING.MATH(Devis[[#This Row],[Quantité Totale]],Devis[[#This Row],[Conditionnement]])</f>
        <v>0</v>
      </c>
      <c r="T1820" s="72"/>
      <c r="U1820" s="73"/>
      <c r="V1820" s="74">
        <f>Devis[[#This Row],[Prix de Revient]]*Devis[[#This Row],[Poste 1]]</f>
        <v>0</v>
      </c>
      <c r="W1820" s="74">
        <f>Devis[[#This Row],[Prix de Revient]]*Devis[[#This Row],[Poste 2]]</f>
        <v>0</v>
      </c>
      <c r="X1820" s="74">
        <f>Devis[[#This Row],[Prix de Revient]]*Devis[[#This Row],[Poste 3]]</f>
        <v>0</v>
      </c>
      <c r="Y1820" s="74">
        <f>Devis[[#This Row],[Poste 4]]*Devis[[#This Row],[Prix de Revient]]</f>
        <v>0</v>
      </c>
      <c r="Z1820" s="74">
        <f>Devis[[#This Row],[Poste 5]]*Devis[[#This Row],[Prix de Revient]]</f>
        <v>0</v>
      </c>
      <c r="AA1820" s="74">
        <f>Devis[[#This Row],[Prix de Revient]]*Devis[[#This Row],[Poste 6]]</f>
        <v>0</v>
      </c>
      <c r="AB1820" s="74">
        <f>Devis[[#This Row],[Quantité Totale]]*Devis[[#This Row],[Prix de Revient]]</f>
        <v>0</v>
      </c>
    </row>
    <row r="1821" spans="1:28" ht="15" customHeight="1" outlineLevel="1" x14ac:dyDescent="0.2">
      <c r="A1821" s="75" t="s">
        <v>1378</v>
      </c>
      <c r="B1821" s="76" t="s">
        <v>1605</v>
      </c>
      <c r="C1821" s="71" t="s">
        <v>3626</v>
      </c>
      <c r="D1821" s="81" t="str">
        <f t="shared" si="32"/>
        <v>Inox Serti CoréenTé réduitØ60</v>
      </c>
      <c r="E1821" s="71" t="s">
        <v>4741</v>
      </c>
      <c r="F1821" s="81">
        <v>16</v>
      </c>
      <c r="G1821" s="71" t="s">
        <v>1621</v>
      </c>
      <c r="H1821" s="71"/>
      <c r="I1821" s="71"/>
      <c r="J1821" s="70">
        <f>IFERROR(VLOOKUP(Devis[[#This Row],[Ref Air Flux]],#REF!,3,FALSE),0)</f>
        <v>0</v>
      </c>
      <c r="K1821" s="68"/>
      <c r="L1821" s="68"/>
      <c r="M1821" s="68"/>
      <c r="N1821" s="68"/>
      <c r="O1821" s="68"/>
      <c r="P1821" s="68"/>
      <c r="Q1821" s="68">
        <f>SUM(Devis[[#This Row],[Poste 1]:[Poste 6]])</f>
        <v>0</v>
      </c>
      <c r="R1821" s="71"/>
      <c r="S1821" s="68">
        <f>_xlfn.CEILING.MATH(Devis[[#This Row],[Quantité Totale]],Devis[[#This Row],[Conditionnement]])</f>
        <v>0</v>
      </c>
      <c r="T1821" s="72"/>
      <c r="U1821" s="73"/>
      <c r="V1821" s="74">
        <f>Devis[[#This Row],[Prix de Revient]]*Devis[[#This Row],[Poste 1]]</f>
        <v>0</v>
      </c>
      <c r="W1821" s="74">
        <f>Devis[[#This Row],[Prix de Revient]]*Devis[[#This Row],[Poste 2]]</f>
        <v>0</v>
      </c>
      <c r="X1821" s="74">
        <f>Devis[[#This Row],[Prix de Revient]]*Devis[[#This Row],[Poste 3]]</f>
        <v>0</v>
      </c>
      <c r="Y1821" s="74">
        <f>Devis[[#This Row],[Poste 4]]*Devis[[#This Row],[Prix de Revient]]</f>
        <v>0</v>
      </c>
      <c r="Z1821" s="74">
        <f>Devis[[#This Row],[Poste 5]]*Devis[[#This Row],[Prix de Revient]]</f>
        <v>0</v>
      </c>
      <c r="AA1821" s="74">
        <f>Devis[[#This Row],[Prix de Revient]]*Devis[[#This Row],[Poste 6]]</f>
        <v>0</v>
      </c>
      <c r="AB1821" s="74">
        <f>Devis[[#This Row],[Quantité Totale]]*Devis[[#This Row],[Prix de Revient]]</f>
        <v>0</v>
      </c>
    </row>
    <row r="1822" spans="1:28" ht="14.25" outlineLevel="1" x14ac:dyDescent="0.2">
      <c r="A1822" s="75" t="s">
        <v>1378</v>
      </c>
      <c r="B1822" s="76" t="s">
        <v>1605</v>
      </c>
      <c r="C1822" s="71" t="s">
        <v>3626</v>
      </c>
      <c r="D1822" s="81" t="str">
        <f t="shared" si="32"/>
        <v>Inox Serti CoréenTé réduitØ60</v>
      </c>
      <c r="E1822" s="71" t="s">
        <v>4742</v>
      </c>
      <c r="F1822" s="81">
        <v>17</v>
      </c>
      <c r="G1822" s="71" t="s">
        <v>1622</v>
      </c>
      <c r="H1822" s="71"/>
      <c r="I1822" s="71"/>
      <c r="J1822" s="70">
        <f>IFERROR(VLOOKUP(Devis[[#This Row],[Ref Air Flux]],#REF!,3,FALSE),0)</f>
        <v>0</v>
      </c>
      <c r="K1822" s="68"/>
      <c r="L1822" s="68"/>
      <c r="M1822" s="68"/>
      <c r="N1822" s="68"/>
      <c r="O1822" s="68"/>
      <c r="P1822" s="68"/>
      <c r="Q1822" s="68">
        <f>SUM(Devis[[#This Row],[Poste 1]:[Poste 6]])</f>
        <v>0</v>
      </c>
      <c r="R1822" s="71"/>
      <c r="S1822" s="68">
        <f>_xlfn.CEILING.MATH(Devis[[#This Row],[Quantité Totale]],Devis[[#This Row],[Conditionnement]])</f>
        <v>0</v>
      </c>
      <c r="T1822" s="72"/>
      <c r="U1822" s="73"/>
      <c r="V1822" s="74">
        <f>Devis[[#This Row],[Prix de Revient]]*Devis[[#This Row],[Poste 1]]</f>
        <v>0</v>
      </c>
      <c r="W1822" s="74">
        <f>Devis[[#This Row],[Prix de Revient]]*Devis[[#This Row],[Poste 2]]</f>
        <v>0</v>
      </c>
      <c r="X1822" s="74">
        <f>Devis[[#This Row],[Prix de Revient]]*Devis[[#This Row],[Poste 3]]</f>
        <v>0</v>
      </c>
      <c r="Y1822" s="74">
        <f>Devis[[#This Row],[Poste 4]]*Devis[[#This Row],[Prix de Revient]]</f>
        <v>0</v>
      </c>
      <c r="Z1822" s="74">
        <f>Devis[[#This Row],[Poste 5]]*Devis[[#This Row],[Prix de Revient]]</f>
        <v>0</v>
      </c>
      <c r="AA1822" s="74">
        <f>Devis[[#This Row],[Prix de Revient]]*Devis[[#This Row],[Poste 6]]</f>
        <v>0</v>
      </c>
      <c r="AB1822" s="74">
        <f>Devis[[#This Row],[Quantité Totale]]*Devis[[#This Row],[Prix de Revient]]</f>
        <v>0</v>
      </c>
    </row>
    <row r="1823" spans="1:28" ht="14.25" customHeight="1" outlineLevel="1" x14ac:dyDescent="0.2">
      <c r="A1823" s="75" t="s">
        <v>1378</v>
      </c>
      <c r="B1823" s="76" t="s">
        <v>1605</v>
      </c>
      <c r="C1823" s="71" t="s">
        <v>3626</v>
      </c>
      <c r="D1823" s="81" t="str">
        <f t="shared" si="32"/>
        <v>Inox Serti CoréenTé réduitØ60</v>
      </c>
      <c r="E1823" s="71" t="s">
        <v>4743</v>
      </c>
      <c r="F1823" s="81">
        <v>18</v>
      </c>
      <c r="G1823" s="71" t="s">
        <v>1623</v>
      </c>
      <c r="H1823" s="71"/>
      <c r="I1823" s="71"/>
      <c r="J1823" s="70">
        <f>IFERROR(VLOOKUP(Devis[[#This Row],[Ref Air Flux]],#REF!,3,FALSE),0)</f>
        <v>0</v>
      </c>
      <c r="K1823" s="68"/>
      <c r="L1823" s="68"/>
      <c r="M1823" s="68"/>
      <c r="N1823" s="68"/>
      <c r="O1823" s="68"/>
      <c r="P1823" s="68"/>
      <c r="Q1823" s="68">
        <f>SUM(Devis[[#This Row],[Poste 1]:[Poste 6]])</f>
        <v>0</v>
      </c>
      <c r="R1823" s="71"/>
      <c r="S1823" s="68">
        <f>_xlfn.CEILING.MATH(Devis[[#This Row],[Quantité Totale]],Devis[[#This Row],[Conditionnement]])</f>
        <v>0</v>
      </c>
      <c r="T1823" s="72"/>
      <c r="U1823" s="73"/>
      <c r="V1823" s="74">
        <f>Devis[[#This Row],[Prix de Revient]]*Devis[[#This Row],[Poste 1]]</f>
        <v>0</v>
      </c>
      <c r="W1823" s="74">
        <f>Devis[[#This Row],[Prix de Revient]]*Devis[[#This Row],[Poste 2]]</f>
        <v>0</v>
      </c>
      <c r="X1823" s="74">
        <f>Devis[[#This Row],[Prix de Revient]]*Devis[[#This Row],[Poste 3]]</f>
        <v>0</v>
      </c>
      <c r="Y1823" s="74">
        <f>Devis[[#This Row],[Poste 4]]*Devis[[#This Row],[Prix de Revient]]</f>
        <v>0</v>
      </c>
      <c r="Z1823" s="74">
        <f>Devis[[#This Row],[Poste 5]]*Devis[[#This Row],[Prix de Revient]]</f>
        <v>0</v>
      </c>
      <c r="AA1823" s="74">
        <f>Devis[[#This Row],[Prix de Revient]]*Devis[[#This Row],[Poste 6]]</f>
        <v>0</v>
      </c>
      <c r="AB1823" s="74">
        <f>Devis[[#This Row],[Quantité Totale]]*Devis[[#This Row],[Prix de Revient]]</f>
        <v>0</v>
      </c>
    </row>
    <row r="1824" spans="1:28" ht="14.25" customHeight="1" outlineLevel="1" x14ac:dyDescent="0.2">
      <c r="A1824" s="75" t="s">
        <v>1378</v>
      </c>
      <c r="B1824" s="76" t="s">
        <v>1605</v>
      </c>
      <c r="C1824" s="71" t="s">
        <v>3626</v>
      </c>
      <c r="D1824" s="81" t="str">
        <f t="shared" si="32"/>
        <v>Inox Serti CoréenTé réduitØ60</v>
      </c>
      <c r="E1824" s="71" t="s">
        <v>4744</v>
      </c>
      <c r="F1824" s="81">
        <v>19</v>
      </c>
      <c r="G1824" s="71" t="s">
        <v>1624</v>
      </c>
      <c r="H1824" s="71"/>
      <c r="I1824" s="71"/>
      <c r="J1824" s="70">
        <f>IFERROR(VLOOKUP(Devis[[#This Row],[Ref Air Flux]],#REF!,3,FALSE),0)</f>
        <v>0</v>
      </c>
      <c r="K1824" s="68"/>
      <c r="L1824" s="68"/>
      <c r="M1824" s="68"/>
      <c r="N1824" s="68"/>
      <c r="O1824" s="68"/>
      <c r="P1824" s="68"/>
      <c r="Q1824" s="68">
        <f>SUM(Devis[[#This Row],[Poste 1]:[Poste 6]])</f>
        <v>0</v>
      </c>
      <c r="R1824" s="71"/>
      <c r="S1824" s="68">
        <f>_xlfn.CEILING.MATH(Devis[[#This Row],[Quantité Totale]],Devis[[#This Row],[Conditionnement]])</f>
        <v>0</v>
      </c>
      <c r="T1824" s="72"/>
      <c r="U1824" s="73"/>
      <c r="V1824" s="74">
        <f>Devis[[#This Row],[Prix de Revient]]*Devis[[#This Row],[Poste 1]]</f>
        <v>0</v>
      </c>
      <c r="W1824" s="74">
        <f>Devis[[#This Row],[Prix de Revient]]*Devis[[#This Row],[Poste 2]]</f>
        <v>0</v>
      </c>
      <c r="X1824" s="74">
        <f>Devis[[#This Row],[Prix de Revient]]*Devis[[#This Row],[Poste 3]]</f>
        <v>0</v>
      </c>
      <c r="Y1824" s="74">
        <f>Devis[[#This Row],[Poste 4]]*Devis[[#This Row],[Prix de Revient]]</f>
        <v>0</v>
      </c>
      <c r="Z1824" s="74">
        <f>Devis[[#This Row],[Poste 5]]*Devis[[#This Row],[Prix de Revient]]</f>
        <v>0</v>
      </c>
      <c r="AA1824" s="74">
        <f>Devis[[#This Row],[Prix de Revient]]*Devis[[#This Row],[Poste 6]]</f>
        <v>0</v>
      </c>
      <c r="AB1824" s="74">
        <f>Devis[[#This Row],[Quantité Totale]]*Devis[[#This Row],[Prix de Revient]]</f>
        <v>0</v>
      </c>
    </row>
    <row r="1825" spans="1:28" ht="14.25" outlineLevel="1" x14ac:dyDescent="0.2">
      <c r="A1825" s="75" t="s">
        <v>1378</v>
      </c>
      <c r="B1825" s="76" t="s">
        <v>1605</v>
      </c>
      <c r="C1825" s="71" t="s">
        <v>3626</v>
      </c>
      <c r="D1825" s="81" t="str">
        <f t="shared" si="32"/>
        <v>Inox Serti CoréenTé réduitØ60</v>
      </c>
      <c r="E1825" s="71" t="s">
        <v>4745</v>
      </c>
      <c r="F1825" s="81">
        <v>20</v>
      </c>
      <c r="G1825" s="71" t="s">
        <v>1625</v>
      </c>
      <c r="H1825" s="71"/>
      <c r="I1825" s="71"/>
      <c r="J1825" s="70">
        <f>IFERROR(VLOOKUP(Devis[[#This Row],[Ref Air Flux]],#REF!,3,FALSE),0)</f>
        <v>0</v>
      </c>
      <c r="K1825" s="68"/>
      <c r="L1825" s="68"/>
      <c r="M1825" s="68"/>
      <c r="N1825" s="68"/>
      <c r="O1825" s="68"/>
      <c r="P1825" s="68"/>
      <c r="Q1825" s="68">
        <f>SUM(Devis[[#This Row],[Poste 1]:[Poste 6]])</f>
        <v>0</v>
      </c>
      <c r="R1825" s="71"/>
      <c r="S1825" s="68">
        <f>_xlfn.CEILING.MATH(Devis[[#This Row],[Quantité Totale]],Devis[[#This Row],[Conditionnement]])</f>
        <v>0</v>
      </c>
      <c r="T1825" s="72"/>
      <c r="U1825" s="73"/>
      <c r="V1825" s="74">
        <f>Devis[[#This Row],[Prix de Revient]]*Devis[[#This Row],[Poste 1]]</f>
        <v>0</v>
      </c>
      <c r="W1825" s="74">
        <f>Devis[[#This Row],[Prix de Revient]]*Devis[[#This Row],[Poste 2]]</f>
        <v>0</v>
      </c>
      <c r="X1825" s="74">
        <f>Devis[[#This Row],[Prix de Revient]]*Devis[[#This Row],[Poste 3]]</f>
        <v>0</v>
      </c>
      <c r="Y1825" s="74">
        <f>Devis[[#This Row],[Poste 4]]*Devis[[#This Row],[Prix de Revient]]</f>
        <v>0</v>
      </c>
      <c r="Z1825" s="74">
        <f>Devis[[#This Row],[Poste 5]]*Devis[[#This Row],[Prix de Revient]]</f>
        <v>0</v>
      </c>
      <c r="AA1825" s="74">
        <f>Devis[[#This Row],[Prix de Revient]]*Devis[[#This Row],[Poste 6]]</f>
        <v>0</v>
      </c>
      <c r="AB1825" s="74">
        <f>Devis[[#This Row],[Quantité Totale]]*Devis[[#This Row],[Prix de Revient]]</f>
        <v>0</v>
      </c>
    </row>
    <row r="1826" spans="1:28" ht="14.25" outlineLevel="1" x14ac:dyDescent="0.2">
      <c r="A1826" s="75" t="s">
        <v>1378</v>
      </c>
      <c r="B1826" s="76" t="s">
        <v>1605</v>
      </c>
      <c r="C1826" s="71" t="s">
        <v>3626</v>
      </c>
      <c r="D1826" s="81" t="str">
        <f t="shared" si="32"/>
        <v>Inox Serti CoréenTé réduitØ60</v>
      </c>
      <c r="E1826" s="71" t="s">
        <v>4746</v>
      </c>
      <c r="F1826" s="81">
        <v>21</v>
      </c>
      <c r="G1826" s="71" t="s">
        <v>1626</v>
      </c>
      <c r="H1826" s="71"/>
      <c r="I1826" s="71"/>
      <c r="J1826" s="70">
        <f>IFERROR(VLOOKUP(Devis[[#This Row],[Ref Air Flux]],#REF!,3,FALSE),0)</f>
        <v>0</v>
      </c>
      <c r="K1826" s="68"/>
      <c r="L1826" s="68"/>
      <c r="M1826" s="68"/>
      <c r="N1826" s="68"/>
      <c r="O1826" s="68"/>
      <c r="P1826" s="68"/>
      <c r="Q1826" s="68">
        <f>SUM(Devis[[#This Row],[Poste 1]:[Poste 6]])</f>
        <v>0</v>
      </c>
      <c r="R1826" s="71"/>
      <c r="S1826" s="68">
        <f>_xlfn.CEILING.MATH(Devis[[#This Row],[Quantité Totale]],Devis[[#This Row],[Conditionnement]])</f>
        <v>0</v>
      </c>
      <c r="T1826" s="72"/>
      <c r="U1826" s="73"/>
      <c r="V1826" s="74">
        <f>Devis[[#This Row],[Prix de Revient]]*Devis[[#This Row],[Poste 1]]</f>
        <v>0</v>
      </c>
      <c r="W1826" s="74">
        <f>Devis[[#This Row],[Prix de Revient]]*Devis[[#This Row],[Poste 2]]</f>
        <v>0</v>
      </c>
      <c r="X1826" s="74">
        <f>Devis[[#This Row],[Prix de Revient]]*Devis[[#This Row],[Poste 3]]</f>
        <v>0</v>
      </c>
      <c r="Y1826" s="74">
        <f>Devis[[#This Row],[Poste 4]]*Devis[[#This Row],[Prix de Revient]]</f>
        <v>0</v>
      </c>
      <c r="Z1826" s="74">
        <f>Devis[[#This Row],[Poste 5]]*Devis[[#This Row],[Prix de Revient]]</f>
        <v>0</v>
      </c>
      <c r="AA1826" s="74">
        <f>Devis[[#This Row],[Prix de Revient]]*Devis[[#This Row],[Poste 6]]</f>
        <v>0</v>
      </c>
      <c r="AB1826" s="74">
        <f>Devis[[#This Row],[Quantité Totale]]*Devis[[#This Row],[Prix de Revient]]</f>
        <v>0</v>
      </c>
    </row>
    <row r="1827" spans="1:28" ht="14.25" outlineLevel="1" x14ac:dyDescent="0.2">
      <c r="A1827" s="75" t="s">
        <v>1378</v>
      </c>
      <c r="B1827" s="76" t="s">
        <v>1605</v>
      </c>
      <c r="C1827" s="71" t="s">
        <v>4714</v>
      </c>
      <c r="D1827" s="81" t="str">
        <f t="shared" si="32"/>
        <v>Inox Serti CoréenTé réduitØ80</v>
      </c>
      <c r="E1827" s="71" t="s">
        <v>4747</v>
      </c>
      <c r="F1827" s="81">
        <v>22</v>
      </c>
      <c r="G1827" s="71" t="s">
        <v>1627</v>
      </c>
      <c r="H1827" s="71"/>
      <c r="I1827" s="71"/>
      <c r="J1827" s="70">
        <f>IFERROR(VLOOKUP(Devis[[#This Row],[Ref Air Flux]],#REF!,3,FALSE),0)</f>
        <v>0</v>
      </c>
      <c r="K1827" s="68"/>
      <c r="L1827" s="68"/>
      <c r="M1827" s="68"/>
      <c r="N1827" s="68"/>
      <c r="O1827" s="68"/>
      <c r="P1827" s="68"/>
      <c r="Q1827" s="68">
        <f>SUM(Devis[[#This Row],[Poste 1]:[Poste 6]])</f>
        <v>0</v>
      </c>
      <c r="R1827" s="71"/>
      <c r="S1827" s="68">
        <f>_xlfn.CEILING.MATH(Devis[[#This Row],[Quantité Totale]],Devis[[#This Row],[Conditionnement]])</f>
        <v>0</v>
      </c>
      <c r="T1827" s="72"/>
      <c r="U1827" s="73"/>
      <c r="V1827" s="74">
        <f>Devis[[#This Row],[Prix de Revient]]*Devis[[#This Row],[Poste 1]]</f>
        <v>0</v>
      </c>
      <c r="W1827" s="74">
        <f>Devis[[#This Row],[Prix de Revient]]*Devis[[#This Row],[Poste 2]]</f>
        <v>0</v>
      </c>
      <c r="X1827" s="74">
        <f>Devis[[#This Row],[Prix de Revient]]*Devis[[#This Row],[Poste 3]]</f>
        <v>0</v>
      </c>
      <c r="Y1827" s="74">
        <f>Devis[[#This Row],[Poste 4]]*Devis[[#This Row],[Prix de Revient]]</f>
        <v>0</v>
      </c>
      <c r="Z1827" s="74">
        <f>Devis[[#This Row],[Poste 5]]*Devis[[#This Row],[Prix de Revient]]</f>
        <v>0</v>
      </c>
      <c r="AA1827" s="74">
        <f>Devis[[#This Row],[Prix de Revient]]*Devis[[#This Row],[Poste 6]]</f>
        <v>0</v>
      </c>
      <c r="AB1827" s="74">
        <f>Devis[[#This Row],[Quantité Totale]]*Devis[[#This Row],[Prix de Revient]]</f>
        <v>0</v>
      </c>
    </row>
    <row r="1828" spans="1:28" ht="14.25" outlineLevel="1" x14ac:dyDescent="0.2">
      <c r="A1828" s="75" t="s">
        <v>1378</v>
      </c>
      <c r="B1828" s="76" t="s">
        <v>1605</v>
      </c>
      <c r="C1828" s="71" t="s">
        <v>4714</v>
      </c>
      <c r="D1828" s="81" t="str">
        <f t="shared" si="32"/>
        <v>Inox Serti CoréenTé réduitØ80</v>
      </c>
      <c r="E1828" s="71" t="s">
        <v>4748</v>
      </c>
      <c r="F1828" s="81">
        <v>23</v>
      </c>
      <c r="G1828" s="71" t="s">
        <v>1628</v>
      </c>
      <c r="H1828" s="71"/>
      <c r="I1828" s="71"/>
      <c r="J1828" s="70">
        <f>IFERROR(VLOOKUP(Devis[[#This Row],[Ref Air Flux]],#REF!,3,FALSE),0)</f>
        <v>0</v>
      </c>
      <c r="K1828" s="68"/>
      <c r="L1828" s="68"/>
      <c r="M1828" s="68"/>
      <c r="N1828" s="68"/>
      <c r="O1828" s="68"/>
      <c r="P1828" s="68"/>
      <c r="Q1828" s="68">
        <f>SUM(Devis[[#This Row],[Poste 1]:[Poste 6]])</f>
        <v>0</v>
      </c>
      <c r="R1828" s="71"/>
      <c r="S1828" s="68">
        <f>_xlfn.CEILING.MATH(Devis[[#This Row],[Quantité Totale]],Devis[[#This Row],[Conditionnement]])</f>
        <v>0</v>
      </c>
      <c r="T1828" s="72"/>
      <c r="U1828" s="73"/>
      <c r="V1828" s="74">
        <f>Devis[[#This Row],[Prix de Revient]]*Devis[[#This Row],[Poste 1]]</f>
        <v>0</v>
      </c>
      <c r="W1828" s="74">
        <f>Devis[[#This Row],[Prix de Revient]]*Devis[[#This Row],[Poste 2]]</f>
        <v>0</v>
      </c>
      <c r="X1828" s="74">
        <f>Devis[[#This Row],[Prix de Revient]]*Devis[[#This Row],[Poste 3]]</f>
        <v>0</v>
      </c>
      <c r="Y1828" s="74">
        <f>Devis[[#This Row],[Poste 4]]*Devis[[#This Row],[Prix de Revient]]</f>
        <v>0</v>
      </c>
      <c r="Z1828" s="74">
        <f>Devis[[#This Row],[Poste 5]]*Devis[[#This Row],[Prix de Revient]]</f>
        <v>0</v>
      </c>
      <c r="AA1828" s="74">
        <f>Devis[[#This Row],[Prix de Revient]]*Devis[[#This Row],[Poste 6]]</f>
        <v>0</v>
      </c>
      <c r="AB1828" s="74">
        <f>Devis[[#This Row],[Quantité Totale]]*Devis[[#This Row],[Prix de Revient]]</f>
        <v>0</v>
      </c>
    </row>
    <row r="1829" spans="1:28" ht="14.25" outlineLevel="1" x14ac:dyDescent="0.2">
      <c r="A1829" s="75" t="s">
        <v>1378</v>
      </c>
      <c r="B1829" s="76" t="s">
        <v>1605</v>
      </c>
      <c r="C1829" s="71" t="s">
        <v>4714</v>
      </c>
      <c r="D1829" s="81" t="str">
        <f t="shared" si="32"/>
        <v>Inox Serti CoréenTé réduitØ80</v>
      </c>
      <c r="E1829" s="71" t="s">
        <v>4749</v>
      </c>
      <c r="F1829" s="81">
        <v>24</v>
      </c>
      <c r="G1829" s="71" t="s">
        <v>1629</v>
      </c>
      <c r="H1829" s="71"/>
      <c r="I1829" s="71"/>
      <c r="J1829" s="70">
        <f>IFERROR(VLOOKUP(Devis[[#This Row],[Ref Air Flux]],#REF!,3,FALSE),0)</f>
        <v>0</v>
      </c>
      <c r="K1829" s="68"/>
      <c r="L1829" s="68"/>
      <c r="M1829" s="68"/>
      <c r="N1829" s="68"/>
      <c r="O1829" s="68"/>
      <c r="P1829" s="68"/>
      <c r="Q1829" s="68">
        <f>SUM(Devis[[#This Row],[Poste 1]:[Poste 6]])</f>
        <v>0</v>
      </c>
      <c r="R1829" s="71"/>
      <c r="S1829" s="68">
        <f>_xlfn.CEILING.MATH(Devis[[#This Row],[Quantité Totale]],Devis[[#This Row],[Conditionnement]])</f>
        <v>0</v>
      </c>
      <c r="T1829" s="72"/>
      <c r="U1829" s="73"/>
      <c r="V1829" s="74">
        <f>Devis[[#This Row],[Prix de Revient]]*Devis[[#This Row],[Poste 1]]</f>
        <v>0</v>
      </c>
      <c r="W1829" s="74">
        <f>Devis[[#This Row],[Prix de Revient]]*Devis[[#This Row],[Poste 2]]</f>
        <v>0</v>
      </c>
      <c r="X1829" s="74">
        <f>Devis[[#This Row],[Prix de Revient]]*Devis[[#This Row],[Poste 3]]</f>
        <v>0</v>
      </c>
      <c r="Y1829" s="74">
        <f>Devis[[#This Row],[Poste 4]]*Devis[[#This Row],[Prix de Revient]]</f>
        <v>0</v>
      </c>
      <c r="Z1829" s="74">
        <f>Devis[[#This Row],[Poste 5]]*Devis[[#This Row],[Prix de Revient]]</f>
        <v>0</v>
      </c>
      <c r="AA1829" s="74">
        <f>Devis[[#This Row],[Prix de Revient]]*Devis[[#This Row],[Poste 6]]</f>
        <v>0</v>
      </c>
      <c r="AB1829" s="74">
        <f>Devis[[#This Row],[Quantité Totale]]*Devis[[#This Row],[Prix de Revient]]</f>
        <v>0</v>
      </c>
    </row>
    <row r="1830" spans="1:28" ht="14.25" customHeight="1" x14ac:dyDescent="0.25">
      <c r="A1830" s="65" t="s">
        <v>1378</v>
      </c>
      <c r="B1830" s="65" t="s">
        <v>1630</v>
      </c>
      <c r="C1830" s="71"/>
      <c r="D1830" s="81" t="str">
        <f t="shared" si="32"/>
        <v>Inox Serti CoréenTube 304 L</v>
      </c>
      <c r="E1830" s="76"/>
      <c r="F1830" s="81">
        <v>0</v>
      </c>
      <c r="G1830" s="71"/>
      <c r="H1830" s="71"/>
      <c r="I1830" s="71"/>
      <c r="J1830" s="70">
        <f>IFERROR(VLOOKUP(Devis[[#This Row],[Ref Air Flux]],#REF!,3,FALSE),0)</f>
        <v>0</v>
      </c>
      <c r="K1830" s="68"/>
      <c r="L1830" s="68"/>
      <c r="M1830" s="68"/>
      <c r="N1830" s="68"/>
      <c r="O1830" s="68"/>
      <c r="P1830" s="68"/>
      <c r="Q1830" s="68">
        <f>SUM(Devis[[#This Row],[Poste 1]:[Poste 6]])</f>
        <v>0</v>
      </c>
      <c r="R1830" s="71"/>
      <c r="S1830" s="68">
        <f>_xlfn.CEILING.MATH(Devis[[#This Row],[Quantité Totale]],Devis[[#This Row],[Conditionnement]])</f>
        <v>0</v>
      </c>
      <c r="T1830" s="72"/>
      <c r="U1830" s="73"/>
      <c r="V1830" s="74">
        <f>Devis[[#This Row],[Prix de Revient]]*Devis[[#This Row],[Poste 1]]</f>
        <v>0</v>
      </c>
      <c r="W1830" s="74">
        <f>Devis[[#This Row],[Prix de Revient]]*Devis[[#This Row],[Poste 2]]</f>
        <v>0</v>
      </c>
      <c r="X1830" s="74">
        <f>Devis[[#This Row],[Prix de Revient]]*Devis[[#This Row],[Poste 3]]</f>
        <v>0</v>
      </c>
      <c r="Y1830" s="74">
        <f>Devis[[#This Row],[Poste 4]]*Devis[[#This Row],[Prix de Revient]]</f>
        <v>0</v>
      </c>
      <c r="Z1830" s="74">
        <f>Devis[[#This Row],[Poste 5]]*Devis[[#This Row],[Prix de Revient]]</f>
        <v>0</v>
      </c>
      <c r="AA1830" s="74">
        <f>Devis[[#This Row],[Prix de Revient]]*Devis[[#This Row],[Poste 6]]</f>
        <v>0</v>
      </c>
      <c r="AB1830" s="74">
        <f>Devis[[#This Row],[Quantité Totale]]*Devis[[#This Row],[Prix de Revient]]</f>
        <v>0</v>
      </c>
    </row>
    <row r="1831" spans="1:28" ht="14.25" customHeight="1" outlineLevel="1" x14ac:dyDescent="0.2">
      <c r="A1831" s="75" t="s">
        <v>1378</v>
      </c>
      <c r="B1831" s="76" t="s">
        <v>1630</v>
      </c>
      <c r="C1831" s="71" t="s">
        <v>4713</v>
      </c>
      <c r="D1831" s="81" t="str">
        <f t="shared" si="32"/>
        <v>Inox Serti CoréenTube 304 LØ16</v>
      </c>
      <c r="E1831" s="76" t="s">
        <v>1631</v>
      </c>
      <c r="F1831" s="81">
        <v>1</v>
      </c>
      <c r="G1831" s="71" t="s">
        <v>1632</v>
      </c>
      <c r="H1831" s="71"/>
      <c r="I1831" s="71"/>
      <c r="J1831" s="70">
        <f>IFERROR(VLOOKUP(Devis[[#This Row],[Ref Air Flux]],#REF!,3,FALSE),0)</f>
        <v>0</v>
      </c>
      <c r="K1831" s="68"/>
      <c r="L1831" s="68"/>
      <c r="M1831" s="68"/>
      <c r="N1831" s="68"/>
      <c r="O1831" s="68"/>
      <c r="P1831" s="68"/>
      <c r="Q1831" s="68">
        <f>SUM(Devis[[#This Row],[Poste 1]:[Poste 6]])</f>
        <v>0</v>
      </c>
      <c r="R1831" s="71"/>
      <c r="S1831" s="68">
        <f>_xlfn.CEILING.MATH(Devis[[#This Row],[Quantité Totale]],Devis[[#This Row],[Conditionnement]])</f>
        <v>0</v>
      </c>
      <c r="T1831" s="72"/>
      <c r="U1831" s="73"/>
      <c r="V1831" s="74">
        <f>Devis[[#This Row],[Prix de Revient]]*Devis[[#This Row],[Poste 1]]</f>
        <v>0</v>
      </c>
      <c r="W1831" s="74">
        <f>Devis[[#This Row],[Prix de Revient]]*Devis[[#This Row],[Poste 2]]</f>
        <v>0</v>
      </c>
      <c r="X1831" s="74">
        <f>Devis[[#This Row],[Prix de Revient]]*Devis[[#This Row],[Poste 3]]</f>
        <v>0</v>
      </c>
      <c r="Y1831" s="74">
        <f>Devis[[#This Row],[Poste 4]]*Devis[[#This Row],[Prix de Revient]]</f>
        <v>0</v>
      </c>
      <c r="Z1831" s="74">
        <f>Devis[[#This Row],[Poste 5]]*Devis[[#This Row],[Prix de Revient]]</f>
        <v>0</v>
      </c>
      <c r="AA1831" s="74">
        <f>Devis[[#This Row],[Prix de Revient]]*Devis[[#This Row],[Poste 6]]</f>
        <v>0</v>
      </c>
      <c r="AB1831" s="74">
        <f>Devis[[#This Row],[Quantité Totale]]*Devis[[#This Row],[Prix de Revient]]</f>
        <v>0</v>
      </c>
    </row>
    <row r="1832" spans="1:28" ht="14.25" outlineLevel="1" x14ac:dyDescent="0.2">
      <c r="A1832" s="75" t="s">
        <v>1378</v>
      </c>
      <c r="B1832" s="76" t="s">
        <v>1630</v>
      </c>
      <c r="C1832" s="71" t="s">
        <v>3620</v>
      </c>
      <c r="D1832" s="81" t="str">
        <f t="shared" si="32"/>
        <v>Inox Serti CoréenTube 304 LØ22</v>
      </c>
      <c r="E1832" s="76" t="s">
        <v>1633</v>
      </c>
      <c r="F1832" s="81">
        <v>2</v>
      </c>
      <c r="G1832" s="71" t="s">
        <v>1634</v>
      </c>
      <c r="H1832" s="71"/>
      <c r="I1832" s="71"/>
      <c r="J1832" s="70">
        <f>IFERROR(VLOOKUP(Devis[[#This Row],[Ref Air Flux]],#REF!,3,FALSE),0)</f>
        <v>0</v>
      </c>
      <c r="K1832" s="68"/>
      <c r="L1832" s="68"/>
      <c r="M1832" s="68"/>
      <c r="N1832" s="68"/>
      <c r="O1832" s="68"/>
      <c r="P1832" s="68"/>
      <c r="Q1832" s="68">
        <f>SUM(Devis[[#This Row],[Poste 1]:[Poste 6]])</f>
        <v>0</v>
      </c>
      <c r="R1832" s="71"/>
      <c r="S1832" s="68">
        <f>_xlfn.CEILING.MATH(Devis[[#This Row],[Quantité Totale]],Devis[[#This Row],[Conditionnement]])</f>
        <v>0</v>
      </c>
      <c r="T1832" s="72"/>
      <c r="U1832" s="73"/>
      <c r="V1832" s="74">
        <f>Devis[[#This Row],[Prix de Revient]]*Devis[[#This Row],[Poste 1]]</f>
        <v>0</v>
      </c>
      <c r="W1832" s="74">
        <f>Devis[[#This Row],[Prix de Revient]]*Devis[[#This Row],[Poste 2]]</f>
        <v>0</v>
      </c>
      <c r="X1832" s="74">
        <f>Devis[[#This Row],[Prix de Revient]]*Devis[[#This Row],[Poste 3]]</f>
        <v>0</v>
      </c>
      <c r="Y1832" s="74">
        <f>Devis[[#This Row],[Poste 4]]*Devis[[#This Row],[Prix de Revient]]</f>
        <v>0</v>
      </c>
      <c r="Z1832" s="74">
        <f>Devis[[#This Row],[Poste 5]]*Devis[[#This Row],[Prix de Revient]]</f>
        <v>0</v>
      </c>
      <c r="AA1832" s="74">
        <f>Devis[[#This Row],[Prix de Revient]]*Devis[[#This Row],[Poste 6]]</f>
        <v>0</v>
      </c>
      <c r="AB1832" s="74">
        <f>Devis[[#This Row],[Quantité Totale]]*Devis[[#This Row],[Prix de Revient]]</f>
        <v>0</v>
      </c>
    </row>
    <row r="1833" spans="1:28" ht="15" customHeight="1" outlineLevel="1" x14ac:dyDescent="0.2">
      <c r="A1833" s="75" t="s">
        <v>1378</v>
      </c>
      <c r="B1833" s="76" t="s">
        <v>1630</v>
      </c>
      <c r="C1833" s="71" t="s">
        <v>3621</v>
      </c>
      <c r="D1833" s="81" t="str">
        <f t="shared" si="32"/>
        <v>Inox Serti CoréenTube 304 LØ28</v>
      </c>
      <c r="E1833" s="76" t="s">
        <v>1635</v>
      </c>
      <c r="F1833" s="81">
        <v>3</v>
      </c>
      <c r="G1833" s="71" t="s">
        <v>1636</v>
      </c>
      <c r="H1833" s="71"/>
      <c r="I1833" s="71"/>
      <c r="J1833" s="70">
        <f>IFERROR(VLOOKUP(Devis[[#This Row],[Ref Air Flux]],#REF!,3,FALSE),0)</f>
        <v>0</v>
      </c>
      <c r="K1833" s="68"/>
      <c r="L1833" s="68"/>
      <c r="M1833" s="68"/>
      <c r="N1833" s="68"/>
      <c r="O1833" s="68"/>
      <c r="P1833" s="68"/>
      <c r="Q1833" s="68">
        <f>SUM(Devis[[#This Row],[Poste 1]:[Poste 6]])</f>
        <v>0</v>
      </c>
      <c r="R1833" s="71"/>
      <c r="S1833" s="68">
        <f>_xlfn.CEILING.MATH(Devis[[#This Row],[Quantité Totale]],Devis[[#This Row],[Conditionnement]])</f>
        <v>0</v>
      </c>
      <c r="T1833" s="72"/>
      <c r="U1833" s="73"/>
      <c r="V1833" s="74">
        <f>Devis[[#This Row],[Prix de Revient]]*Devis[[#This Row],[Poste 1]]</f>
        <v>0</v>
      </c>
      <c r="W1833" s="74">
        <f>Devis[[#This Row],[Prix de Revient]]*Devis[[#This Row],[Poste 2]]</f>
        <v>0</v>
      </c>
      <c r="X1833" s="74">
        <f>Devis[[#This Row],[Prix de Revient]]*Devis[[#This Row],[Poste 3]]</f>
        <v>0</v>
      </c>
      <c r="Y1833" s="74">
        <f>Devis[[#This Row],[Poste 4]]*Devis[[#This Row],[Prix de Revient]]</f>
        <v>0</v>
      </c>
      <c r="Z1833" s="74">
        <f>Devis[[#This Row],[Poste 5]]*Devis[[#This Row],[Prix de Revient]]</f>
        <v>0</v>
      </c>
      <c r="AA1833" s="74">
        <f>Devis[[#This Row],[Prix de Revient]]*Devis[[#This Row],[Poste 6]]</f>
        <v>0</v>
      </c>
      <c r="AB1833" s="74">
        <f>Devis[[#This Row],[Quantité Totale]]*Devis[[#This Row],[Prix de Revient]]</f>
        <v>0</v>
      </c>
    </row>
    <row r="1834" spans="1:28" ht="14.25" customHeight="1" outlineLevel="1" x14ac:dyDescent="0.2">
      <c r="A1834" s="75" t="s">
        <v>1378</v>
      </c>
      <c r="B1834" s="76" t="s">
        <v>1630</v>
      </c>
      <c r="C1834" s="71" t="s">
        <v>3622</v>
      </c>
      <c r="D1834" s="81" t="str">
        <f t="shared" si="32"/>
        <v>Inox Serti CoréenTube 304 LØ34</v>
      </c>
      <c r="E1834" s="76" t="s">
        <v>1637</v>
      </c>
      <c r="F1834" s="81">
        <v>4</v>
      </c>
      <c r="G1834" s="71" t="s">
        <v>1638</v>
      </c>
      <c r="H1834" s="71"/>
      <c r="I1834" s="71"/>
      <c r="J1834" s="70">
        <f>IFERROR(VLOOKUP(Devis[[#This Row],[Ref Air Flux]],#REF!,3,FALSE),0)</f>
        <v>0</v>
      </c>
      <c r="K1834" s="68"/>
      <c r="L1834" s="68"/>
      <c r="M1834" s="68"/>
      <c r="N1834" s="68"/>
      <c r="O1834" s="68"/>
      <c r="P1834" s="68"/>
      <c r="Q1834" s="68">
        <f>SUM(Devis[[#This Row],[Poste 1]:[Poste 6]])</f>
        <v>0</v>
      </c>
      <c r="R1834" s="71"/>
      <c r="S1834" s="68">
        <f>_xlfn.CEILING.MATH(Devis[[#This Row],[Quantité Totale]],Devis[[#This Row],[Conditionnement]])</f>
        <v>0</v>
      </c>
      <c r="T1834" s="72"/>
      <c r="U1834" s="73"/>
      <c r="V1834" s="74">
        <f>Devis[[#This Row],[Prix de Revient]]*Devis[[#This Row],[Poste 1]]</f>
        <v>0</v>
      </c>
      <c r="W1834" s="74">
        <f>Devis[[#This Row],[Prix de Revient]]*Devis[[#This Row],[Poste 2]]</f>
        <v>0</v>
      </c>
      <c r="X1834" s="74">
        <f>Devis[[#This Row],[Prix de Revient]]*Devis[[#This Row],[Poste 3]]</f>
        <v>0</v>
      </c>
      <c r="Y1834" s="74">
        <f>Devis[[#This Row],[Poste 4]]*Devis[[#This Row],[Prix de Revient]]</f>
        <v>0</v>
      </c>
      <c r="Z1834" s="74">
        <f>Devis[[#This Row],[Poste 5]]*Devis[[#This Row],[Prix de Revient]]</f>
        <v>0</v>
      </c>
      <c r="AA1834" s="74">
        <f>Devis[[#This Row],[Prix de Revient]]*Devis[[#This Row],[Poste 6]]</f>
        <v>0</v>
      </c>
      <c r="AB1834" s="74">
        <f>Devis[[#This Row],[Quantité Totale]]*Devis[[#This Row],[Prix de Revient]]</f>
        <v>0</v>
      </c>
    </row>
    <row r="1835" spans="1:28" ht="14.25" customHeight="1" outlineLevel="1" x14ac:dyDescent="0.2">
      <c r="A1835" s="75" t="s">
        <v>1378</v>
      </c>
      <c r="B1835" s="76" t="s">
        <v>1630</v>
      </c>
      <c r="C1835" s="71" t="s">
        <v>3623</v>
      </c>
      <c r="D1835" s="81" t="str">
        <f t="shared" si="32"/>
        <v>Inox Serti CoréenTube 304 LØ42</v>
      </c>
      <c r="E1835" s="76" t="s">
        <v>1639</v>
      </c>
      <c r="F1835" s="81">
        <v>5</v>
      </c>
      <c r="G1835" s="71" t="s">
        <v>1640</v>
      </c>
      <c r="H1835" s="71"/>
      <c r="I1835" s="71"/>
      <c r="J1835" s="70">
        <f>IFERROR(VLOOKUP(Devis[[#This Row],[Ref Air Flux]],#REF!,3,FALSE),0)</f>
        <v>0</v>
      </c>
      <c r="K1835" s="68"/>
      <c r="L1835" s="68"/>
      <c r="M1835" s="68"/>
      <c r="N1835" s="68"/>
      <c r="O1835" s="68"/>
      <c r="P1835" s="68"/>
      <c r="Q1835" s="68">
        <f>SUM(Devis[[#This Row],[Poste 1]:[Poste 6]])</f>
        <v>0</v>
      </c>
      <c r="R1835" s="71"/>
      <c r="S1835" s="68">
        <f>_xlfn.CEILING.MATH(Devis[[#This Row],[Quantité Totale]],Devis[[#This Row],[Conditionnement]])</f>
        <v>0</v>
      </c>
      <c r="T1835" s="72"/>
      <c r="U1835" s="73"/>
      <c r="V1835" s="74">
        <f>Devis[[#This Row],[Prix de Revient]]*Devis[[#This Row],[Poste 1]]</f>
        <v>0</v>
      </c>
      <c r="W1835" s="74">
        <f>Devis[[#This Row],[Prix de Revient]]*Devis[[#This Row],[Poste 2]]</f>
        <v>0</v>
      </c>
      <c r="X1835" s="74">
        <f>Devis[[#This Row],[Prix de Revient]]*Devis[[#This Row],[Poste 3]]</f>
        <v>0</v>
      </c>
      <c r="Y1835" s="74">
        <f>Devis[[#This Row],[Poste 4]]*Devis[[#This Row],[Prix de Revient]]</f>
        <v>0</v>
      </c>
      <c r="Z1835" s="74">
        <f>Devis[[#This Row],[Poste 5]]*Devis[[#This Row],[Prix de Revient]]</f>
        <v>0</v>
      </c>
      <c r="AA1835" s="74">
        <f>Devis[[#This Row],[Prix de Revient]]*Devis[[#This Row],[Poste 6]]</f>
        <v>0</v>
      </c>
      <c r="AB1835" s="74">
        <f>Devis[[#This Row],[Quantité Totale]]*Devis[[#This Row],[Prix de Revient]]</f>
        <v>0</v>
      </c>
    </row>
    <row r="1836" spans="1:28" ht="14.25" customHeight="1" outlineLevel="1" x14ac:dyDescent="0.2">
      <c r="A1836" s="75" t="s">
        <v>1378</v>
      </c>
      <c r="B1836" s="76" t="s">
        <v>1630</v>
      </c>
      <c r="C1836" s="71" t="s">
        <v>3624</v>
      </c>
      <c r="D1836" s="81" t="str">
        <f t="shared" si="32"/>
        <v>Inox Serti CoréenTube 304 LØ48</v>
      </c>
      <c r="E1836" s="76" t="s">
        <v>1641</v>
      </c>
      <c r="F1836" s="81">
        <v>6</v>
      </c>
      <c r="G1836" s="71" t="s">
        <v>1642</v>
      </c>
      <c r="H1836" s="71"/>
      <c r="I1836" s="71"/>
      <c r="J1836" s="70">
        <f>IFERROR(VLOOKUP(Devis[[#This Row],[Ref Air Flux]],#REF!,3,FALSE),0)</f>
        <v>0</v>
      </c>
      <c r="K1836" s="68"/>
      <c r="L1836" s="68"/>
      <c r="M1836" s="68"/>
      <c r="N1836" s="68"/>
      <c r="O1836" s="68"/>
      <c r="P1836" s="68"/>
      <c r="Q1836" s="68">
        <f>SUM(Devis[[#This Row],[Poste 1]:[Poste 6]])</f>
        <v>0</v>
      </c>
      <c r="R1836" s="71"/>
      <c r="S1836" s="68">
        <f>_xlfn.CEILING.MATH(Devis[[#This Row],[Quantité Totale]],Devis[[#This Row],[Conditionnement]])</f>
        <v>0</v>
      </c>
      <c r="T1836" s="72"/>
      <c r="U1836" s="73"/>
      <c r="V1836" s="74">
        <f>Devis[[#This Row],[Prix de Revient]]*Devis[[#This Row],[Poste 1]]</f>
        <v>0</v>
      </c>
      <c r="W1836" s="74">
        <f>Devis[[#This Row],[Prix de Revient]]*Devis[[#This Row],[Poste 2]]</f>
        <v>0</v>
      </c>
      <c r="X1836" s="74">
        <f>Devis[[#This Row],[Prix de Revient]]*Devis[[#This Row],[Poste 3]]</f>
        <v>0</v>
      </c>
      <c r="Y1836" s="74">
        <f>Devis[[#This Row],[Poste 4]]*Devis[[#This Row],[Prix de Revient]]</f>
        <v>0</v>
      </c>
      <c r="Z1836" s="74">
        <f>Devis[[#This Row],[Poste 5]]*Devis[[#This Row],[Prix de Revient]]</f>
        <v>0</v>
      </c>
      <c r="AA1836" s="74">
        <f>Devis[[#This Row],[Prix de Revient]]*Devis[[#This Row],[Poste 6]]</f>
        <v>0</v>
      </c>
      <c r="AB1836" s="74">
        <f>Devis[[#This Row],[Quantité Totale]]*Devis[[#This Row],[Prix de Revient]]</f>
        <v>0</v>
      </c>
    </row>
    <row r="1837" spans="1:28" ht="14.25" outlineLevel="1" x14ac:dyDescent="0.2">
      <c r="A1837" s="75" t="s">
        <v>1378</v>
      </c>
      <c r="B1837" s="76" t="s">
        <v>1630</v>
      </c>
      <c r="C1837" s="71" t="s">
        <v>3626</v>
      </c>
      <c r="D1837" s="81" t="str">
        <f t="shared" si="32"/>
        <v>Inox Serti CoréenTube 304 LØ60</v>
      </c>
      <c r="E1837" s="76" t="s">
        <v>1643</v>
      </c>
      <c r="F1837" s="81">
        <v>7</v>
      </c>
      <c r="G1837" s="71" t="s">
        <v>1644</v>
      </c>
      <c r="H1837" s="71"/>
      <c r="I1837" s="71"/>
      <c r="J1837" s="70">
        <f>IFERROR(VLOOKUP(Devis[[#This Row],[Ref Air Flux]],#REF!,3,FALSE),0)</f>
        <v>0</v>
      </c>
      <c r="K1837" s="68"/>
      <c r="L1837" s="68"/>
      <c r="M1837" s="68"/>
      <c r="N1837" s="68"/>
      <c r="O1837" s="68"/>
      <c r="P1837" s="68"/>
      <c r="Q1837" s="68">
        <f>SUM(Devis[[#This Row],[Poste 1]:[Poste 6]])</f>
        <v>0</v>
      </c>
      <c r="R1837" s="71"/>
      <c r="S1837" s="68">
        <f>_xlfn.CEILING.MATH(Devis[[#This Row],[Quantité Totale]],Devis[[#This Row],[Conditionnement]])</f>
        <v>0</v>
      </c>
      <c r="T1837" s="72"/>
      <c r="U1837" s="73"/>
      <c r="V1837" s="74">
        <f>Devis[[#This Row],[Prix de Revient]]*Devis[[#This Row],[Poste 1]]</f>
        <v>0</v>
      </c>
      <c r="W1837" s="74">
        <f>Devis[[#This Row],[Prix de Revient]]*Devis[[#This Row],[Poste 2]]</f>
        <v>0</v>
      </c>
      <c r="X1837" s="74">
        <f>Devis[[#This Row],[Prix de Revient]]*Devis[[#This Row],[Poste 3]]</f>
        <v>0</v>
      </c>
      <c r="Y1837" s="74">
        <f>Devis[[#This Row],[Poste 4]]*Devis[[#This Row],[Prix de Revient]]</f>
        <v>0</v>
      </c>
      <c r="Z1837" s="74">
        <f>Devis[[#This Row],[Poste 5]]*Devis[[#This Row],[Prix de Revient]]</f>
        <v>0</v>
      </c>
      <c r="AA1837" s="74">
        <f>Devis[[#This Row],[Prix de Revient]]*Devis[[#This Row],[Poste 6]]</f>
        <v>0</v>
      </c>
      <c r="AB1837" s="74">
        <f>Devis[[#This Row],[Quantité Totale]]*Devis[[#This Row],[Prix de Revient]]</f>
        <v>0</v>
      </c>
    </row>
    <row r="1838" spans="1:28" ht="14.25" outlineLevel="1" x14ac:dyDescent="0.2">
      <c r="A1838" s="75" t="s">
        <v>1378</v>
      </c>
      <c r="B1838" s="76" t="s">
        <v>1630</v>
      </c>
      <c r="C1838" s="71" t="s">
        <v>4714</v>
      </c>
      <c r="D1838" s="81" t="str">
        <f t="shared" si="32"/>
        <v>Inox Serti CoréenTube 304 LØ80</v>
      </c>
      <c r="E1838" s="76" t="s">
        <v>1645</v>
      </c>
      <c r="F1838" s="81">
        <v>8</v>
      </c>
      <c r="G1838" s="71" t="s">
        <v>1646</v>
      </c>
      <c r="H1838" s="71"/>
      <c r="I1838" s="71"/>
      <c r="J1838" s="70">
        <f>IFERROR(VLOOKUP(Devis[[#This Row],[Ref Air Flux]],#REF!,3,FALSE),0)</f>
        <v>0</v>
      </c>
      <c r="K1838" s="68"/>
      <c r="L1838" s="68"/>
      <c r="M1838" s="68"/>
      <c r="N1838" s="68"/>
      <c r="O1838" s="68"/>
      <c r="P1838" s="68"/>
      <c r="Q1838" s="68">
        <f>SUM(Devis[[#This Row],[Poste 1]:[Poste 6]])</f>
        <v>0</v>
      </c>
      <c r="R1838" s="71"/>
      <c r="S1838" s="68">
        <f>_xlfn.CEILING.MATH(Devis[[#This Row],[Quantité Totale]],Devis[[#This Row],[Conditionnement]])</f>
        <v>0</v>
      </c>
      <c r="T1838" s="72"/>
      <c r="U1838" s="73"/>
      <c r="V1838" s="74">
        <f>Devis[[#This Row],[Prix de Revient]]*Devis[[#This Row],[Poste 1]]</f>
        <v>0</v>
      </c>
      <c r="W1838" s="74">
        <f>Devis[[#This Row],[Prix de Revient]]*Devis[[#This Row],[Poste 2]]</f>
        <v>0</v>
      </c>
      <c r="X1838" s="74">
        <f>Devis[[#This Row],[Prix de Revient]]*Devis[[#This Row],[Poste 3]]</f>
        <v>0</v>
      </c>
      <c r="Y1838" s="74">
        <f>Devis[[#This Row],[Poste 4]]*Devis[[#This Row],[Prix de Revient]]</f>
        <v>0</v>
      </c>
      <c r="Z1838" s="74">
        <f>Devis[[#This Row],[Poste 5]]*Devis[[#This Row],[Prix de Revient]]</f>
        <v>0</v>
      </c>
      <c r="AA1838" s="74">
        <f>Devis[[#This Row],[Prix de Revient]]*Devis[[#This Row],[Poste 6]]</f>
        <v>0</v>
      </c>
      <c r="AB1838" s="74">
        <f>Devis[[#This Row],[Quantité Totale]]*Devis[[#This Row],[Prix de Revient]]</f>
        <v>0</v>
      </c>
    </row>
    <row r="1839" spans="1:28" ht="14.25" customHeight="1" x14ac:dyDescent="0.25">
      <c r="A1839" s="65" t="s">
        <v>1647</v>
      </c>
      <c r="B1839" s="65" t="s">
        <v>1379</v>
      </c>
      <c r="C1839" s="76" t="s">
        <v>1379</v>
      </c>
      <c r="D1839" s="81" t="str">
        <f t="shared" si="32"/>
        <v>Inox Serti ItalienBouchonBouchon</v>
      </c>
      <c r="E1839" s="76"/>
      <c r="F1839" s="76">
        <v>0</v>
      </c>
      <c r="G1839" s="71"/>
      <c r="H1839" s="71"/>
      <c r="I1839" s="71"/>
      <c r="J1839" s="70">
        <f>IFERROR(VLOOKUP(Devis[[#This Row],[Ref Air Flux]],#REF!,3,FALSE),0)</f>
        <v>0</v>
      </c>
      <c r="K1839" s="68"/>
      <c r="L1839" s="68"/>
      <c r="M1839" s="68"/>
      <c r="N1839" s="68"/>
      <c r="O1839" s="68"/>
      <c r="P1839" s="68"/>
      <c r="Q1839" s="68">
        <f>SUM(Devis[[#This Row],[Poste 1]:[Poste 6]])</f>
        <v>0</v>
      </c>
      <c r="R1839" s="71"/>
      <c r="S1839" s="68">
        <f>_xlfn.CEILING.MATH(Devis[[#This Row],[Quantité Totale]],Devis[[#This Row],[Conditionnement]])</f>
        <v>0</v>
      </c>
      <c r="T1839" s="72"/>
      <c r="U1839" s="73"/>
      <c r="V1839" s="74">
        <f>Devis[[#This Row],[Prix de Revient]]*Devis[[#This Row],[Poste 1]]</f>
        <v>0</v>
      </c>
      <c r="W1839" s="74">
        <f>Devis[[#This Row],[Prix de Revient]]*Devis[[#This Row],[Poste 2]]</f>
        <v>0</v>
      </c>
      <c r="X1839" s="74">
        <f>Devis[[#This Row],[Prix de Revient]]*Devis[[#This Row],[Poste 3]]</f>
        <v>0</v>
      </c>
      <c r="Y1839" s="74">
        <f>Devis[[#This Row],[Poste 4]]*Devis[[#This Row],[Prix de Revient]]</f>
        <v>0</v>
      </c>
      <c r="Z1839" s="74">
        <f>Devis[[#This Row],[Poste 5]]*Devis[[#This Row],[Prix de Revient]]</f>
        <v>0</v>
      </c>
      <c r="AA1839" s="74">
        <f>Devis[[#This Row],[Prix de Revient]]*Devis[[#This Row],[Poste 6]]</f>
        <v>0</v>
      </c>
      <c r="AB1839" s="74">
        <f>Devis[[#This Row],[Quantité Totale]]*Devis[[#This Row],[Prix de Revient]]</f>
        <v>0</v>
      </c>
    </row>
    <row r="1840" spans="1:28" ht="14.25" outlineLevel="1" x14ac:dyDescent="0.2">
      <c r="A1840" s="75" t="s">
        <v>1647</v>
      </c>
      <c r="B1840" s="76" t="s">
        <v>1379</v>
      </c>
      <c r="C1840" s="76" t="s">
        <v>1379</v>
      </c>
      <c r="D1840" s="81" t="str">
        <f t="shared" si="32"/>
        <v>Inox Serti ItalienBouchonBouchon</v>
      </c>
      <c r="E1840" s="76" t="s">
        <v>1648</v>
      </c>
      <c r="F1840" s="76">
        <v>1</v>
      </c>
      <c r="G1840" s="71" t="s">
        <v>1649</v>
      </c>
      <c r="H1840" s="71" t="s">
        <v>459</v>
      </c>
      <c r="I1840" s="71">
        <v>183015003</v>
      </c>
      <c r="J1840" s="70">
        <f>IFERROR(VLOOKUP(Devis[[#This Row],[Ref Air Flux]],#REF!,3,FALSE),0)</f>
        <v>0</v>
      </c>
      <c r="K1840" s="68"/>
      <c r="L1840" s="68"/>
      <c r="M1840" s="68"/>
      <c r="N1840" s="68"/>
      <c r="O1840" s="68"/>
      <c r="P1840" s="68"/>
      <c r="Q1840" s="68">
        <f>SUM(Devis[[#This Row],[Poste 1]:[Poste 6]])</f>
        <v>0</v>
      </c>
      <c r="R1840" s="71">
        <v>20</v>
      </c>
      <c r="S1840" s="68">
        <f>_xlfn.CEILING.MATH(Devis[[#This Row],[Quantité Totale]],Devis[[#This Row],[Conditionnement]])</f>
        <v>0</v>
      </c>
      <c r="T1840" s="72"/>
      <c r="U1840" s="73"/>
      <c r="V1840" s="74">
        <f>Devis[[#This Row],[Prix de Revient]]*Devis[[#This Row],[Poste 1]]</f>
        <v>0</v>
      </c>
      <c r="W1840" s="74">
        <f>Devis[[#This Row],[Prix de Revient]]*Devis[[#This Row],[Poste 2]]</f>
        <v>0</v>
      </c>
      <c r="X1840" s="74">
        <f>Devis[[#This Row],[Prix de Revient]]*Devis[[#This Row],[Poste 3]]</f>
        <v>0</v>
      </c>
      <c r="Y1840" s="74">
        <f>Devis[[#This Row],[Poste 4]]*Devis[[#This Row],[Prix de Revient]]</f>
        <v>0</v>
      </c>
      <c r="Z1840" s="74">
        <f>Devis[[#This Row],[Poste 5]]*Devis[[#This Row],[Prix de Revient]]</f>
        <v>0</v>
      </c>
      <c r="AA1840" s="74">
        <f>Devis[[#This Row],[Prix de Revient]]*Devis[[#This Row],[Poste 6]]</f>
        <v>0</v>
      </c>
      <c r="AB1840" s="74">
        <f>Devis[[#This Row],[Quantité Totale]]*Devis[[#This Row],[Prix de Revient]]</f>
        <v>0</v>
      </c>
    </row>
    <row r="1841" spans="1:28" ht="14.25" outlineLevel="1" x14ac:dyDescent="0.2">
      <c r="A1841" s="75" t="s">
        <v>1647</v>
      </c>
      <c r="B1841" s="76" t="s">
        <v>1379</v>
      </c>
      <c r="C1841" s="76" t="s">
        <v>1379</v>
      </c>
      <c r="D1841" s="81" t="str">
        <f t="shared" si="32"/>
        <v>Inox Serti ItalienBouchonBouchon</v>
      </c>
      <c r="E1841" s="76" t="s">
        <v>1650</v>
      </c>
      <c r="F1841" s="76">
        <v>2</v>
      </c>
      <c r="G1841" s="71" t="s">
        <v>1651</v>
      </c>
      <c r="H1841" s="71" t="s">
        <v>459</v>
      </c>
      <c r="I1841" s="71">
        <v>183018003</v>
      </c>
      <c r="J1841" s="70">
        <f>IFERROR(VLOOKUP(Devis[[#This Row],[Ref Air Flux]],#REF!,3,FALSE),0)</f>
        <v>0</v>
      </c>
      <c r="K1841" s="68"/>
      <c r="L1841" s="68"/>
      <c r="M1841" s="68"/>
      <c r="N1841" s="68"/>
      <c r="O1841" s="68"/>
      <c r="P1841" s="68"/>
      <c r="Q1841" s="68">
        <f>SUM(Devis[[#This Row],[Poste 1]:[Poste 6]])</f>
        <v>0</v>
      </c>
      <c r="R1841" s="71">
        <v>20</v>
      </c>
      <c r="S1841" s="68">
        <f>_xlfn.CEILING.MATH(Devis[[#This Row],[Quantité Totale]],Devis[[#This Row],[Conditionnement]])</f>
        <v>0</v>
      </c>
      <c r="T1841" s="72"/>
      <c r="U1841" s="73"/>
      <c r="V1841" s="74">
        <f>Devis[[#This Row],[Prix de Revient]]*Devis[[#This Row],[Poste 1]]</f>
        <v>0</v>
      </c>
      <c r="W1841" s="74">
        <f>Devis[[#This Row],[Prix de Revient]]*Devis[[#This Row],[Poste 2]]</f>
        <v>0</v>
      </c>
      <c r="X1841" s="74">
        <f>Devis[[#This Row],[Prix de Revient]]*Devis[[#This Row],[Poste 3]]</f>
        <v>0</v>
      </c>
      <c r="Y1841" s="74">
        <f>Devis[[#This Row],[Poste 4]]*Devis[[#This Row],[Prix de Revient]]</f>
        <v>0</v>
      </c>
      <c r="Z1841" s="74">
        <f>Devis[[#This Row],[Poste 5]]*Devis[[#This Row],[Prix de Revient]]</f>
        <v>0</v>
      </c>
      <c r="AA1841" s="74">
        <f>Devis[[#This Row],[Prix de Revient]]*Devis[[#This Row],[Poste 6]]</f>
        <v>0</v>
      </c>
      <c r="AB1841" s="74">
        <f>Devis[[#This Row],[Quantité Totale]]*Devis[[#This Row],[Prix de Revient]]</f>
        <v>0</v>
      </c>
    </row>
    <row r="1842" spans="1:28" ht="15" customHeight="1" outlineLevel="1" x14ac:dyDescent="0.2">
      <c r="A1842" s="75" t="s">
        <v>1647</v>
      </c>
      <c r="B1842" s="76" t="s">
        <v>1379</v>
      </c>
      <c r="C1842" s="76" t="s">
        <v>1379</v>
      </c>
      <c r="D1842" s="81" t="str">
        <f t="shared" si="32"/>
        <v>Inox Serti ItalienBouchonBouchon</v>
      </c>
      <c r="E1842" s="76" t="s">
        <v>1652</v>
      </c>
      <c r="F1842" s="76">
        <v>3</v>
      </c>
      <c r="G1842" s="71" t="s">
        <v>1653</v>
      </c>
      <c r="H1842" s="71" t="s">
        <v>459</v>
      </c>
      <c r="I1842" s="71">
        <v>183022003</v>
      </c>
      <c r="J1842" s="70">
        <f>IFERROR(VLOOKUP(Devis[[#This Row],[Ref Air Flux]],#REF!,3,FALSE),0)</f>
        <v>0</v>
      </c>
      <c r="K1842" s="68"/>
      <c r="L1842" s="68"/>
      <c r="M1842" s="68"/>
      <c r="N1842" s="68"/>
      <c r="O1842" s="68"/>
      <c r="P1842" s="68"/>
      <c r="Q1842" s="68">
        <f>SUM(Devis[[#This Row],[Poste 1]:[Poste 6]])</f>
        <v>0</v>
      </c>
      <c r="R1842" s="71">
        <v>10</v>
      </c>
      <c r="S1842" s="68">
        <f>_xlfn.CEILING.MATH(Devis[[#This Row],[Quantité Totale]],Devis[[#This Row],[Conditionnement]])</f>
        <v>0</v>
      </c>
      <c r="T1842" s="72"/>
      <c r="U1842" s="73"/>
      <c r="V1842" s="74">
        <f>Devis[[#This Row],[Prix de Revient]]*Devis[[#This Row],[Poste 1]]</f>
        <v>0</v>
      </c>
      <c r="W1842" s="74">
        <f>Devis[[#This Row],[Prix de Revient]]*Devis[[#This Row],[Poste 2]]</f>
        <v>0</v>
      </c>
      <c r="X1842" s="74">
        <f>Devis[[#This Row],[Prix de Revient]]*Devis[[#This Row],[Poste 3]]</f>
        <v>0</v>
      </c>
      <c r="Y1842" s="74">
        <f>Devis[[#This Row],[Poste 4]]*Devis[[#This Row],[Prix de Revient]]</f>
        <v>0</v>
      </c>
      <c r="Z1842" s="74">
        <f>Devis[[#This Row],[Poste 5]]*Devis[[#This Row],[Prix de Revient]]</f>
        <v>0</v>
      </c>
      <c r="AA1842" s="74">
        <f>Devis[[#This Row],[Prix de Revient]]*Devis[[#This Row],[Poste 6]]</f>
        <v>0</v>
      </c>
      <c r="AB1842" s="74">
        <f>Devis[[#This Row],[Quantité Totale]]*Devis[[#This Row],[Prix de Revient]]</f>
        <v>0</v>
      </c>
    </row>
    <row r="1843" spans="1:28" ht="14.25" outlineLevel="1" x14ac:dyDescent="0.2">
      <c r="A1843" s="75" t="s">
        <v>1647</v>
      </c>
      <c r="B1843" s="76" t="s">
        <v>1379</v>
      </c>
      <c r="C1843" s="76" t="s">
        <v>1379</v>
      </c>
      <c r="D1843" s="81" t="str">
        <f t="shared" si="32"/>
        <v>Inox Serti ItalienBouchonBouchon</v>
      </c>
      <c r="E1843" s="76" t="s">
        <v>1704</v>
      </c>
      <c r="F1843" s="76">
        <v>4</v>
      </c>
      <c r="G1843" s="71" t="s">
        <v>1654</v>
      </c>
      <c r="H1843" s="71" t="s">
        <v>459</v>
      </c>
      <c r="I1843" s="71">
        <v>183054003</v>
      </c>
      <c r="J1843" s="70">
        <f>IFERROR(VLOOKUP(Devis[[#This Row],[Ref Air Flux]],#REF!,3,FALSE),0)</f>
        <v>0</v>
      </c>
      <c r="K1843" s="68"/>
      <c r="L1843" s="68"/>
      <c r="M1843" s="68"/>
      <c r="N1843" s="68"/>
      <c r="O1843" s="68"/>
      <c r="P1843" s="68"/>
      <c r="Q1843" s="68">
        <f>SUM(Devis[[#This Row],[Poste 1]:[Poste 6]])</f>
        <v>0</v>
      </c>
      <c r="R1843" s="71">
        <v>10</v>
      </c>
      <c r="S1843" s="68">
        <f>_xlfn.CEILING.MATH(Devis[[#This Row],[Quantité Totale]],Devis[[#This Row],[Conditionnement]])</f>
        <v>0</v>
      </c>
      <c r="T1843" s="72"/>
      <c r="U1843" s="73"/>
      <c r="V1843" s="74">
        <f>Devis[[#This Row],[Prix de Revient]]*Devis[[#This Row],[Poste 1]]</f>
        <v>0</v>
      </c>
      <c r="W1843" s="74">
        <f>Devis[[#This Row],[Prix de Revient]]*Devis[[#This Row],[Poste 2]]</f>
        <v>0</v>
      </c>
      <c r="X1843" s="74">
        <f>Devis[[#This Row],[Prix de Revient]]*Devis[[#This Row],[Poste 3]]</f>
        <v>0</v>
      </c>
      <c r="Y1843" s="74">
        <f>Devis[[#This Row],[Poste 4]]*Devis[[#This Row],[Prix de Revient]]</f>
        <v>0</v>
      </c>
      <c r="Z1843" s="74">
        <f>Devis[[#This Row],[Poste 5]]*Devis[[#This Row],[Prix de Revient]]</f>
        <v>0</v>
      </c>
      <c r="AA1843" s="74">
        <f>Devis[[#This Row],[Prix de Revient]]*Devis[[#This Row],[Poste 6]]</f>
        <v>0</v>
      </c>
      <c r="AB1843" s="74">
        <f>Devis[[#This Row],[Quantité Totale]]*Devis[[#This Row],[Prix de Revient]]</f>
        <v>0</v>
      </c>
    </row>
    <row r="1844" spans="1:28" ht="14.25" outlineLevel="1" x14ac:dyDescent="0.2">
      <c r="A1844" s="75" t="s">
        <v>1647</v>
      </c>
      <c r="B1844" s="76" t="s">
        <v>1379</v>
      </c>
      <c r="C1844" s="76" t="s">
        <v>1379</v>
      </c>
      <c r="D1844" s="81" t="str">
        <f t="shared" si="32"/>
        <v>Inox Serti ItalienBouchonBouchon</v>
      </c>
      <c r="E1844" s="76" t="s">
        <v>1655</v>
      </c>
      <c r="F1844" s="76">
        <v>5</v>
      </c>
      <c r="G1844" s="71" t="s">
        <v>1656</v>
      </c>
      <c r="H1844" s="71" t="s">
        <v>459</v>
      </c>
      <c r="I1844" s="71">
        <v>183035003</v>
      </c>
      <c r="J1844" s="70">
        <f>IFERROR(VLOOKUP(Devis[[#This Row],[Ref Air Flux]],#REF!,3,FALSE),0)</f>
        <v>0</v>
      </c>
      <c r="K1844" s="68"/>
      <c r="L1844" s="68"/>
      <c r="M1844" s="68"/>
      <c r="N1844" s="68"/>
      <c r="O1844" s="68"/>
      <c r="P1844" s="68"/>
      <c r="Q1844" s="68">
        <f>SUM(Devis[[#This Row],[Poste 1]:[Poste 6]])</f>
        <v>0</v>
      </c>
      <c r="R1844" s="71">
        <v>5</v>
      </c>
      <c r="S1844" s="68">
        <f>_xlfn.CEILING.MATH(Devis[[#This Row],[Quantité Totale]],Devis[[#This Row],[Conditionnement]])</f>
        <v>0</v>
      </c>
      <c r="T1844" s="72"/>
      <c r="U1844" s="73"/>
      <c r="V1844" s="74">
        <f>Devis[[#This Row],[Prix de Revient]]*Devis[[#This Row],[Poste 1]]</f>
        <v>0</v>
      </c>
      <c r="W1844" s="74">
        <f>Devis[[#This Row],[Prix de Revient]]*Devis[[#This Row],[Poste 2]]</f>
        <v>0</v>
      </c>
      <c r="X1844" s="74">
        <f>Devis[[#This Row],[Prix de Revient]]*Devis[[#This Row],[Poste 3]]</f>
        <v>0</v>
      </c>
      <c r="Y1844" s="74">
        <f>Devis[[#This Row],[Poste 4]]*Devis[[#This Row],[Prix de Revient]]</f>
        <v>0</v>
      </c>
      <c r="Z1844" s="74">
        <f>Devis[[#This Row],[Poste 5]]*Devis[[#This Row],[Prix de Revient]]</f>
        <v>0</v>
      </c>
      <c r="AA1844" s="74">
        <f>Devis[[#This Row],[Prix de Revient]]*Devis[[#This Row],[Poste 6]]</f>
        <v>0</v>
      </c>
      <c r="AB1844" s="74">
        <f>Devis[[#This Row],[Quantité Totale]]*Devis[[#This Row],[Prix de Revient]]</f>
        <v>0</v>
      </c>
    </row>
    <row r="1845" spans="1:28" ht="14.25" customHeight="1" outlineLevel="1" x14ac:dyDescent="0.2">
      <c r="A1845" s="75" t="s">
        <v>1647</v>
      </c>
      <c r="B1845" s="76" t="s">
        <v>1379</v>
      </c>
      <c r="C1845" s="76" t="s">
        <v>1379</v>
      </c>
      <c r="D1845" s="81" t="str">
        <f t="shared" si="32"/>
        <v>Inox Serti ItalienBouchonBouchon</v>
      </c>
      <c r="E1845" s="76" t="s">
        <v>1657</v>
      </c>
      <c r="F1845" s="76">
        <v>6</v>
      </c>
      <c r="G1845" s="71" t="s">
        <v>1658</v>
      </c>
      <c r="H1845" s="71" t="s">
        <v>459</v>
      </c>
      <c r="I1845" s="71">
        <v>183042003</v>
      </c>
      <c r="J1845" s="70">
        <f>IFERROR(VLOOKUP(Devis[[#This Row],[Ref Air Flux]],#REF!,3,FALSE),0)</f>
        <v>0</v>
      </c>
      <c r="K1845" s="68"/>
      <c r="L1845" s="68"/>
      <c r="M1845" s="68"/>
      <c r="N1845" s="68"/>
      <c r="O1845" s="68"/>
      <c r="P1845" s="68"/>
      <c r="Q1845" s="68">
        <f>SUM(Devis[[#This Row],[Poste 1]:[Poste 6]])</f>
        <v>0</v>
      </c>
      <c r="R1845" s="71">
        <v>4</v>
      </c>
      <c r="S1845" s="68">
        <f>_xlfn.CEILING.MATH(Devis[[#This Row],[Quantité Totale]],Devis[[#This Row],[Conditionnement]])</f>
        <v>0</v>
      </c>
      <c r="T1845" s="72"/>
      <c r="U1845" s="73"/>
      <c r="V1845" s="74">
        <f>Devis[[#This Row],[Prix de Revient]]*Devis[[#This Row],[Poste 1]]</f>
        <v>0</v>
      </c>
      <c r="W1845" s="74">
        <f>Devis[[#This Row],[Prix de Revient]]*Devis[[#This Row],[Poste 2]]</f>
        <v>0</v>
      </c>
      <c r="X1845" s="74">
        <f>Devis[[#This Row],[Prix de Revient]]*Devis[[#This Row],[Poste 3]]</f>
        <v>0</v>
      </c>
      <c r="Y1845" s="74">
        <f>Devis[[#This Row],[Poste 4]]*Devis[[#This Row],[Prix de Revient]]</f>
        <v>0</v>
      </c>
      <c r="Z1845" s="74">
        <f>Devis[[#This Row],[Poste 5]]*Devis[[#This Row],[Prix de Revient]]</f>
        <v>0</v>
      </c>
      <c r="AA1845" s="74">
        <f>Devis[[#This Row],[Prix de Revient]]*Devis[[#This Row],[Poste 6]]</f>
        <v>0</v>
      </c>
      <c r="AB1845" s="74">
        <f>Devis[[#This Row],[Quantité Totale]]*Devis[[#This Row],[Prix de Revient]]</f>
        <v>0</v>
      </c>
    </row>
    <row r="1846" spans="1:28" ht="14.25" customHeight="1" outlineLevel="1" x14ac:dyDescent="0.2">
      <c r="A1846" s="75" t="s">
        <v>1647</v>
      </c>
      <c r="B1846" s="76" t="s">
        <v>1379</v>
      </c>
      <c r="C1846" s="76" t="s">
        <v>1379</v>
      </c>
      <c r="D1846" s="81" t="str">
        <f t="shared" si="32"/>
        <v>Inox Serti ItalienBouchonBouchon</v>
      </c>
      <c r="E1846" s="76" t="s">
        <v>1708</v>
      </c>
      <c r="F1846" s="76">
        <v>7</v>
      </c>
      <c r="G1846" s="71" t="s">
        <v>1659</v>
      </c>
      <c r="H1846" s="71" t="s">
        <v>459</v>
      </c>
      <c r="I1846" s="71">
        <v>183054003</v>
      </c>
      <c r="J1846" s="70">
        <f>IFERROR(VLOOKUP(Devis[[#This Row],[Ref Air Flux]],#REF!,3,FALSE),0)</f>
        <v>0</v>
      </c>
      <c r="K1846" s="68"/>
      <c r="L1846" s="68"/>
      <c r="M1846" s="68"/>
      <c r="N1846" s="68"/>
      <c r="O1846" s="68"/>
      <c r="P1846" s="68"/>
      <c r="Q1846" s="68">
        <f>SUM(Devis[[#This Row],[Poste 1]:[Poste 6]])</f>
        <v>0</v>
      </c>
      <c r="R1846" s="71">
        <v>4</v>
      </c>
      <c r="S1846" s="68">
        <f>_xlfn.CEILING.MATH(Devis[[#This Row],[Quantité Totale]],Devis[[#This Row],[Conditionnement]])</f>
        <v>0</v>
      </c>
      <c r="T1846" s="72"/>
      <c r="U1846" s="73"/>
      <c r="V1846" s="74">
        <f>Devis[[#This Row],[Prix de Revient]]*Devis[[#This Row],[Poste 1]]</f>
        <v>0</v>
      </c>
      <c r="W1846" s="74">
        <f>Devis[[#This Row],[Prix de Revient]]*Devis[[#This Row],[Poste 2]]</f>
        <v>0</v>
      </c>
      <c r="X1846" s="74">
        <f>Devis[[#This Row],[Prix de Revient]]*Devis[[#This Row],[Poste 3]]</f>
        <v>0</v>
      </c>
      <c r="Y1846" s="74">
        <f>Devis[[#This Row],[Poste 4]]*Devis[[#This Row],[Prix de Revient]]</f>
        <v>0</v>
      </c>
      <c r="Z1846" s="74">
        <f>Devis[[#This Row],[Poste 5]]*Devis[[#This Row],[Prix de Revient]]</f>
        <v>0</v>
      </c>
      <c r="AA1846" s="74">
        <f>Devis[[#This Row],[Prix de Revient]]*Devis[[#This Row],[Poste 6]]</f>
        <v>0</v>
      </c>
      <c r="AB1846" s="74">
        <f>Devis[[#This Row],[Quantité Totale]]*Devis[[#This Row],[Prix de Revient]]</f>
        <v>0</v>
      </c>
    </row>
    <row r="1847" spans="1:28" ht="14.25" customHeight="1" outlineLevel="1" x14ac:dyDescent="0.2">
      <c r="A1847" s="75" t="s">
        <v>1647</v>
      </c>
      <c r="B1847" s="76" t="s">
        <v>1379</v>
      </c>
      <c r="C1847" s="76" t="s">
        <v>1379</v>
      </c>
      <c r="D1847" s="81" t="str">
        <f t="shared" si="32"/>
        <v>Inox Serti ItalienBouchonBouchon</v>
      </c>
      <c r="E1847" s="76" t="s">
        <v>1710</v>
      </c>
      <c r="F1847" s="76">
        <v>8</v>
      </c>
      <c r="G1847" s="71" t="s">
        <v>1660</v>
      </c>
      <c r="H1847" s="71" t="s">
        <v>459</v>
      </c>
      <c r="I1847" s="71">
        <v>183076003</v>
      </c>
      <c r="J1847" s="70">
        <f>IFERROR(VLOOKUP(Devis[[#This Row],[Ref Air Flux]],#REF!,3,FALSE),0)</f>
        <v>0</v>
      </c>
      <c r="K1847" s="68"/>
      <c r="L1847" s="68"/>
      <c r="M1847" s="68"/>
      <c r="N1847" s="68"/>
      <c r="O1847" s="68"/>
      <c r="P1847" s="68"/>
      <c r="Q1847" s="68">
        <f>SUM(Devis[[#This Row],[Poste 1]:[Poste 6]])</f>
        <v>0</v>
      </c>
      <c r="R1847" s="71">
        <v>2</v>
      </c>
      <c r="S1847" s="68">
        <f>_xlfn.CEILING.MATH(Devis[[#This Row],[Quantité Totale]],Devis[[#This Row],[Conditionnement]])</f>
        <v>0</v>
      </c>
      <c r="T1847" s="72"/>
      <c r="U1847" s="73"/>
      <c r="V1847" s="74">
        <f>Devis[[#This Row],[Prix de Revient]]*Devis[[#This Row],[Poste 1]]</f>
        <v>0</v>
      </c>
      <c r="W1847" s="74">
        <f>Devis[[#This Row],[Prix de Revient]]*Devis[[#This Row],[Poste 2]]</f>
        <v>0</v>
      </c>
      <c r="X1847" s="74">
        <f>Devis[[#This Row],[Prix de Revient]]*Devis[[#This Row],[Poste 3]]</f>
        <v>0</v>
      </c>
      <c r="Y1847" s="74">
        <f>Devis[[#This Row],[Poste 4]]*Devis[[#This Row],[Prix de Revient]]</f>
        <v>0</v>
      </c>
      <c r="Z1847" s="74">
        <f>Devis[[#This Row],[Poste 5]]*Devis[[#This Row],[Prix de Revient]]</f>
        <v>0</v>
      </c>
      <c r="AA1847" s="74">
        <f>Devis[[#This Row],[Prix de Revient]]*Devis[[#This Row],[Poste 6]]</f>
        <v>0</v>
      </c>
      <c r="AB1847" s="74">
        <f>Devis[[#This Row],[Quantité Totale]]*Devis[[#This Row],[Prix de Revient]]</f>
        <v>0</v>
      </c>
    </row>
    <row r="1848" spans="1:28" ht="14.25" outlineLevel="1" x14ac:dyDescent="0.2">
      <c r="A1848" s="75" t="s">
        <v>1647</v>
      </c>
      <c r="B1848" s="76" t="s">
        <v>1379</v>
      </c>
      <c r="C1848" s="76" t="s">
        <v>1379</v>
      </c>
      <c r="D1848" s="81" t="str">
        <f t="shared" si="32"/>
        <v>Inox Serti ItalienBouchonBouchon</v>
      </c>
      <c r="E1848" s="76" t="s">
        <v>1712</v>
      </c>
      <c r="F1848" s="76">
        <v>9</v>
      </c>
      <c r="G1848" s="71" t="s">
        <v>1661</v>
      </c>
      <c r="H1848" s="71" t="s">
        <v>459</v>
      </c>
      <c r="I1848" s="71">
        <v>183088003</v>
      </c>
      <c r="J1848" s="70">
        <f>IFERROR(VLOOKUP(Devis[[#This Row],[Ref Air Flux]],#REF!,3,FALSE),0)</f>
        <v>0</v>
      </c>
      <c r="K1848" s="68"/>
      <c r="L1848" s="68"/>
      <c r="M1848" s="68"/>
      <c r="N1848" s="68"/>
      <c r="O1848" s="68"/>
      <c r="P1848" s="68"/>
      <c r="Q1848" s="68">
        <f>SUM(Devis[[#This Row],[Poste 1]:[Poste 6]])</f>
        <v>0</v>
      </c>
      <c r="R1848" s="71">
        <v>2</v>
      </c>
      <c r="S1848" s="68">
        <f>_xlfn.CEILING.MATH(Devis[[#This Row],[Quantité Totale]],Devis[[#This Row],[Conditionnement]])</f>
        <v>0</v>
      </c>
      <c r="T1848" s="72"/>
      <c r="U1848" s="73"/>
      <c r="V1848" s="74">
        <f>Devis[[#This Row],[Prix de Revient]]*Devis[[#This Row],[Poste 1]]</f>
        <v>0</v>
      </c>
      <c r="W1848" s="74">
        <f>Devis[[#This Row],[Prix de Revient]]*Devis[[#This Row],[Poste 2]]</f>
        <v>0</v>
      </c>
      <c r="X1848" s="74">
        <f>Devis[[#This Row],[Prix de Revient]]*Devis[[#This Row],[Poste 3]]</f>
        <v>0</v>
      </c>
      <c r="Y1848" s="74">
        <f>Devis[[#This Row],[Poste 4]]*Devis[[#This Row],[Prix de Revient]]</f>
        <v>0</v>
      </c>
      <c r="Z1848" s="74">
        <f>Devis[[#This Row],[Poste 5]]*Devis[[#This Row],[Prix de Revient]]</f>
        <v>0</v>
      </c>
      <c r="AA1848" s="74">
        <f>Devis[[#This Row],[Prix de Revient]]*Devis[[#This Row],[Poste 6]]</f>
        <v>0</v>
      </c>
      <c r="AB1848" s="74">
        <f>Devis[[#This Row],[Quantité Totale]]*Devis[[#This Row],[Prix de Revient]]</f>
        <v>0</v>
      </c>
    </row>
    <row r="1849" spans="1:28" ht="14.25" outlineLevel="1" x14ac:dyDescent="0.2">
      <c r="A1849" s="75" t="s">
        <v>1647</v>
      </c>
      <c r="B1849" s="76" t="s">
        <v>1379</v>
      </c>
      <c r="C1849" s="76" t="s">
        <v>1379</v>
      </c>
      <c r="D1849" s="81" t="str">
        <f t="shared" si="32"/>
        <v>Inox Serti ItalienBouchonBouchon</v>
      </c>
      <c r="E1849" s="76" t="s">
        <v>1714</v>
      </c>
      <c r="F1849" s="76">
        <v>10</v>
      </c>
      <c r="G1849" s="71" t="s">
        <v>1662</v>
      </c>
      <c r="H1849" s="71" t="s">
        <v>459</v>
      </c>
      <c r="I1849" s="71">
        <v>183108003</v>
      </c>
      <c r="J1849" s="70">
        <f>IFERROR(VLOOKUP(Devis[[#This Row],[Ref Air Flux]],#REF!,3,FALSE),0)</f>
        <v>0</v>
      </c>
      <c r="K1849" s="68"/>
      <c r="L1849" s="68"/>
      <c r="M1849" s="68"/>
      <c r="N1849" s="68"/>
      <c r="O1849" s="68"/>
      <c r="P1849" s="68"/>
      <c r="Q1849" s="68">
        <f>SUM(Devis[[#This Row],[Poste 1]:[Poste 6]])</f>
        <v>0</v>
      </c>
      <c r="R1849" s="71">
        <v>2</v>
      </c>
      <c r="S1849" s="68">
        <f>_xlfn.CEILING.MATH(Devis[[#This Row],[Quantité Totale]],Devis[[#This Row],[Conditionnement]])</f>
        <v>0</v>
      </c>
      <c r="T1849" s="72"/>
      <c r="U1849" s="73"/>
      <c r="V1849" s="74">
        <f>Devis[[#This Row],[Prix de Revient]]*Devis[[#This Row],[Poste 1]]</f>
        <v>0</v>
      </c>
      <c r="W1849" s="74">
        <f>Devis[[#This Row],[Prix de Revient]]*Devis[[#This Row],[Poste 2]]</f>
        <v>0</v>
      </c>
      <c r="X1849" s="74">
        <f>Devis[[#This Row],[Prix de Revient]]*Devis[[#This Row],[Poste 3]]</f>
        <v>0</v>
      </c>
      <c r="Y1849" s="74">
        <f>Devis[[#This Row],[Poste 4]]*Devis[[#This Row],[Prix de Revient]]</f>
        <v>0</v>
      </c>
      <c r="Z1849" s="74">
        <f>Devis[[#This Row],[Poste 5]]*Devis[[#This Row],[Prix de Revient]]</f>
        <v>0</v>
      </c>
      <c r="AA1849" s="74">
        <f>Devis[[#This Row],[Prix de Revient]]*Devis[[#This Row],[Poste 6]]</f>
        <v>0</v>
      </c>
      <c r="AB1849" s="74">
        <f>Devis[[#This Row],[Quantité Totale]]*Devis[[#This Row],[Prix de Revient]]</f>
        <v>0</v>
      </c>
    </row>
    <row r="1850" spans="1:28" ht="14.25" customHeight="1" x14ac:dyDescent="0.25">
      <c r="A1850" s="65" t="s">
        <v>1647</v>
      </c>
      <c r="B1850" s="65" t="s">
        <v>4002</v>
      </c>
      <c r="C1850" s="76" t="s">
        <v>4002</v>
      </c>
      <c r="D1850" s="81" t="str">
        <f t="shared" si="32"/>
        <v>Inox Serti ItalienBrideBride</v>
      </c>
      <c r="E1850" s="76"/>
      <c r="F1850" s="76">
        <v>0</v>
      </c>
      <c r="G1850" s="71"/>
      <c r="H1850" s="71"/>
      <c r="I1850" s="71"/>
      <c r="J1850" s="70">
        <f>IFERROR(VLOOKUP(Devis[[#This Row],[Ref Air Flux]],#REF!,3,FALSE),0)</f>
        <v>0</v>
      </c>
      <c r="K1850" s="68"/>
      <c r="L1850" s="68"/>
      <c r="M1850" s="68"/>
      <c r="N1850" s="68"/>
      <c r="O1850" s="68"/>
      <c r="P1850" s="68"/>
      <c r="Q1850" s="68">
        <f>SUM(Devis[[#This Row],[Poste 1]:[Poste 6]])</f>
        <v>0</v>
      </c>
      <c r="R1850" s="71"/>
      <c r="S1850" s="68">
        <f>_xlfn.CEILING.MATH(Devis[[#This Row],[Quantité Totale]],Devis[[#This Row],[Conditionnement]])</f>
        <v>0</v>
      </c>
      <c r="T1850" s="72"/>
      <c r="U1850" s="73"/>
      <c r="V1850" s="74">
        <f>Devis[[#This Row],[Prix de Revient]]*Devis[[#This Row],[Poste 1]]</f>
        <v>0</v>
      </c>
      <c r="W1850" s="74">
        <f>Devis[[#This Row],[Prix de Revient]]*Devis[[#This Row],[Poste 2]]</f>
        <v>0</v>
      </c>
      <c r="X1850" s="74">
        <f>Devis[[#This Row],[Prix de Revient]]*Devis[[#This Row],[Poste 3]]</f>
        <v>0</v>
      </c>
      <c r="Y1850" s="74">
        <f>Devis[[#This Row],[Poste 4]]*Devis[[#This Row],[Prix de Revient]]</f>
        <v>0</v>
      </c>
      <c r="Z1850" s="74">
        <f>Devis[[#This Row],[Poste 5]]*Devis[[#This Row],[Prix de Revient]]</f>
        <v>0</v>
      </c>
      <c r="AA1850" s="74">
        <f>Devis[[#This Row],[Prix de Revient]]*Devis[[#This Row],[Poste 6]]</f>
        <v>0</v>
      </c>
      <c r="AB1850" s="74">
        <f>Devis[[#This Row],[Quantité Totale]]*Devis[[#This Row],[Prix de Revient]]</f>
        <v>0</v>
      </c>
    </row>
    <row r="1851" spans="1:28" ht="15" customHeight="1" outlineLevel="1" x14ac:dyDescent="0.2">
      <c r="A1851" s="75" t="s">
        <v>1647</v>
      </c>
      <c r="B1851" s="76" t="s">
        <v>4002</v>
      </c>
      <c r="C1851" s="76" t="s">
        <v>1663</v>
      </c>
      <c r="D1851" s="81" t="str">
        <f t="shared" si="32"/>
        <v>Inox Serti ItalienBrideBride fixe à sertir inox 316L PN16</v>
      </c>
      <c r="E1851" s="76" t="s">
        <v>1664</v>
      </c>
      <c r="F1851" s="76">
        <v>1</v>
      </c>
      <c r="G1851" s="71" t="s">
        <v>1665</v>
      </c>
      <c r="H1851" s="71" t="s">
        <v>459</v>
      </c>
      <c r="I1851" s="71">
        <v>193015000</v>
      </c>
      <c r="J1851" s="70">
        <f>IFERROR(VLOOKUP(Devis[[#This Row],[Ref Air Flux]],#REF!,3,FALSE),0)</f>
        <v>0</v>
      </c>
      <c r="K1851" s="68"/>
      <c r="L1851" s="68"/>
      <c r="M1851" s="68"/>
      <c r="N1851" s="68"/>
      <c r="O1851" s="68"/>
      <c r="P1851" s="68"/>
      <c r="Q1851" s="68">
        <f>SUM(Devis[[#This Row],[Poste 1]:[Poste 6]])</f>
        <v>0</v>
      </c>
      <c r="R1851" s="71">
        <v>2</v>
      </c>
      <c r="S1851" s="68">
        <f>_xlfn.CEILING.MATH(Devis[[#This Row],[Quantité Totale]],Devis[[#This Row],[Conditionnement]])</f>
        <v>0</v>
      </c>
      <c r="T1851" s="72"/>
      <c r="U1851" s="73"/>
      <c r="V1851" s="74">
        <f>Devis[[#This Row],[Prix de Revient]]*Devis[[#This Row],[Poste 1]]</f>
        <v>0</v>
      </c>
      <c r="W1851" s="74">
        <f>Devis[[#This Row],[Prix de Revient]]*Devis[[#This Row],[Poste 2]]</f>
        <v>0</v>
      </c>
      <c r="X1851" s="74">
        <f>Devis[[#This Row],[Prix de Revient]]*Devis[[#This Row],[Poste 3]]</f>
        <v>0</v>
      </c>
      <c r="Y1851" s="74">
        <f>Devis[[#This Row],[Poste 4]]*Devis[[#This Row],[Prix de Revient]]</f>
        <v>0</v>
      </c>
      <c r="Z1851" s="74">
        <f>Devis[[#This Row],[Poste 5]]*Devis[[#This Row],[Prix de Revient]]</f>
        <v>0</v>
      </c>
      <c r="AA1851" s="74">
        <f>Devis[[#This Row],[Prix de Revient]]*Devis[[#This Row],[Poste 6]]</f>
        <v>0</v>
      </c>
      <c r="AB1851" s="74">
        <f>Devis[[#This Row],[Quantité Totale]]*Devis[[#This Row],[Prix de Revient]]</f>
        <v>0</v>
      </c>
    </row>
    <row r="1852" spans="1:28" ht="14.25" outlineLevel="1" x14ac:dyDescent="0.2">
      <c r="A1852" s="75" t="s">
        <v>1647</v>
      </c>
      <c r="B1852" s="76" t="s">
        <v>4002</v>
      </c>
      <c r="C1852" s="76" t="s">
        <v>1663</v>
      </c>
      <c r="D1852" s="81" t="str">
        <f t="shared" si="32"/>
        <v>Inox Serti ItalienBrideBride fixe à sertir inox 316L PN16</v>
      </c>
      <c r="E1852" s="76" t="s">
        <v>1667</v>
      </c>
      <c r="F1852" s="76">
        <v>2</v>
      </c>
      <c r="G1852" s="71" t="s">
        <v>1668</v>
      </c>
      <c r="H1852" s="71" t="s">
        <v>459</v>
      </c>
      <c r="I1852" s="71">
        <v>193018000</v>
      </c>
      <c r="J1852" s="70">
        <f>IFERROR(VLOOKUP(Devis[[#This Row],[Ref Air Flux]],#REF!,3,FALSE),0)</f>
        <v>0</v>
      </c>
      <c r="K1852" s="68"/>
      <c r="L1852" s="68"/>
      <c r="M1852" s="68"/>
      <c r="N1852" s="68"/>
      <c r="O1852" s="68"/>
      <c r="P1852" s="68"/>
      <c r="Q1852" s="68">
        <f>SUM(Devis[[#This Row],[Poste 1]:[Poste 6]])</f>
        <v>0</v>
      </c>
      <c r="R1852" s="71">
        <v>2</v>
      </c>
      <c r="S1852" s="68">
        <f>_xlfn.CEILING.MATH(Devis[[#This Row],[Quantité Totale]],Devis[[#This Row],[Conditionnement]])</f>
        <v>0</v>
      </c>
      <c r="T1852" s="72"/>
      <c r="U1852" s="73"/>
      <c r="V1852" s="74">
        <f>Devis[[#This Row],[Prix de Revient]]*Devis[[#This Row],[Poste 1]]</f>
        <v>0</v>
      </c>
      <c r="W1852" s="74">
        <f>Devis[[#This Row],[Prix de Revient]]*Devis[[#This Row],[Poste 2]]</f>
        <v>0</v>
      </c>
      <c r="X1852" s="74">
        <f>Devis[[#This Row],[Prix de Revient]]*Devis[[#This Row],[Poste 3]]</f>
        <v>0</v>
      </c>
      <c r="Y1852" s="74">
        <f>Devis[[#This Row],[Poste 4]]*Devis[[#This Row],[Prix de Revient]]</f>
        <v>0</v>
      </c>
      <c r="Z1852" s="74">
        <f>Devis[[#This Row],[Poste 5]]*Devis[[#This Row],[Prix de Revient]]</f>
        <v>0</v>
      </c>
      <c r="AA1852" s="74">
        <f>Devis[[#This Row],[Prix de Revient]]*Devis[[#This Row],[Poste 6]]</f>
        <v>0</v>
      </c>
      <c r="AB1852" s="74">
        <f>Devis[[#This Row],[Quantité Totale]]*Devis[[#This Row],[Prix de Revient]]</f>
        <v>0</v>
      </c>
    </row>
    <row r="1853" spans="1:28" ht="14.25" outlineLevel="1" x14ac:dyDescent="0.2">
      <c r="A1853" s="75" t="s">
        <v>1647</v>
      </c>
      <c r="B1853" s="76" t="s">
        <v>4002</v>
      </c>
      <c r="C1853" s="76" t="s">
        <v>1663</v>
      </c>
      <c r="D1853" s="81" t="str">
        <f t="shared" si="32"/>
        <v>Inox Serti ItalienBrideBride fixe à sertir inox 316L PN16</v>
      </c>
      <c r="E1853" s="76" t="s">
        <v>1669</v>
      </c>
      <c r="F1853" s="76">
        <v>3</v>
      </c>
      <c r="G1853" s="71" t="s">
        <v>1670</v>
      </c>
      <c r="H1853" s="71" t="s">
        <v>459</v>
      </c>
      <c r="I1853" s="71">
        <v>193022000</v>
      </c>
      <c r="J1853" s="70">
        <f>IFERROR(VLOOKUP(Devis[[#This Row],[Ref Air Flux]],#REF!,3,FALSE),0)</f>
        <v>0</v>
      </c>
      <c r="K1853" s="68"/>
      <c r="L1853" s="68"/>
      <c r="M1853" s="68"/>
      <c r="N1853" s="68"/>
      <c r="O1853" s="68"/>
      <c r="P1853" s="68"/>
      <c r="Q1853" s="68">
        <f>SUM(Devis[[#This Row],[Poste 1]:[Poste 6]])</f>
        <v>0</v>
      </c>
      <c r="R1853" s="71">
        <v>2</v>
      </c>
      <c r="S1853" s="68">
        <f>_xlfn.CEILING.MATH(Devis[[#This Row],[Quantité Totale]],Devis[[#This Row],[Conditionnement]])</f>
        <v>0</v>
      </c>
      <c r="T1853" s="72"/>
      <c r="U1853" s="73"/>
      <c r="V1853" s="74">
        <f>Devis[[#This Row],[Prix de Revient]]*Devis[[#This Row],[Poste 1]]</f>
        <v>0</v>
      </c>
      <c r="W1853" s="74">
        <f>Devis[[#This Row],[Prix de Revient]]*Devis[[#This Row],[Poste 2]]</f>
        <v>0</v>
      </c>
      <c r="X1853" s="74">
        <f>Devis[[#This Row],[Prix de Revient]]*Devis[[#This Row],[Poste 3]]</f>
        <v>0</v>
      </c>
      <c r="Y1853" s="74">
        <f>Devis[[#This Row],[Poste 4]]*Devis[[#This Row],[Prix de Revient]]</f>
        <v>0</v>
      </c>
      <c r="Z1853" s="74">
        <f>Devis[[#This Row],[Poste 5]]*Devis[[#This Row],[Prix de Revient]]</f>
        <v>0</v>
      </c>
      <c r="AA1853" s="74">
        <f>Devis[[#This Row],[Prix de Revient]]*Devis[[#This Row],[Poste 6]]</f>
        <v>0</v>
      </c>
      <c r="AB1853" s="74">
        <f>Devis[[#This Row],[Quantité Totale]]*Devis[[#This Row],[Prix de Revient]]</f>
        <v>0</v>
      </c>
    </row>
    <row r="1854" spans="1:28" ht="14.25" outlineLevel="1" x14ac:dyDescent="0.2">
      <c r="A1854" s="75" t="s">
        <v>1647</v>
      </c>
      <c r="B1854" s="76" t="s">
        <v>4002</v>
      </c>
      <c r="C1854" s="76" t="s">
        <v>1663</v>
      </c>
      <c r="D1854" s="81" t="str">
        <f t="shared" si="32"/>
        <v>Inox Serti ItalienBrideBride fixe à sertir inox 316L PN16</v>
      </c>
      <c r="E1854" s="76" t="s">
        <v>1672</v>
      </c>
      <c r="F1854" s="76">
        <v>4</v>
      </c>
      <c r="G1854" s="71" t="s">
        <v>1673</v>
      </c>
      <c r="H1854" s="71" t="s">
        <v>459</v>
      </c>
      <c r="I1854" s="71">
        <v>193028000</v>
      </c>
      <c r="J1854" s="70">
        <f>IFERROR(VLOOKUP(Devis[[#This Row],[Ref Air Flux]],#REF!,3,FALSE),0)</f>
        <v>0</v>
      </c>
      <c r="K1854" s="68"/>
      <c r="L1854" s="68"/>
      <c r="M1854" s="68"/>
      <c r="N1854" s="68"/>
      <c r="O1854" s="68"/>
      <c r="P1854" s="68"/>
      <c r="Q1854" s="68">
        <f>SUM(Devis[[#This Row],[Poste 1]:[Poste 6]])</f>
        <v>0</v>
      </c>
      <c r="R1854" s="71">
        <v>2</v>
      </c>
      <c r="S1854" s="68">
        <f>_xlfn.CEILING.MATH(Devis[[#This Row],[Quantité Totale]],Devis[[#This Row],[Conditionnement]])</f>
        <v>0</v>
      </c>
      <c r="T1854" s="72"/>
      <c r="U1854" s="73"/>
      <c r="V1854" s="74">
        <f>Devis[[#This Row],[Prix de Revient]]*Devis[[#This Row],[Poste 1]]</f>
        <v>0</v>
      </c>
      <c r="W1854" s="74">
        <f>Devis[[#This Row],[Prix de Revient]]*Devis[[#This Row],[Poste 2]]</f>
        <v>0</v>
      </c>
      <c r="X1854" s="74">
        <f>Devis[[#This Row],[Prix de Revient]]*Devis[[#This Row],[Poste 3]]</f>
        <v>0</v>
      </c>
      <c r="Y1854" s="74">
        <f>Devis[[#This Row],[Poste 4]]*Devis[[#This Row],[Prix de Revient]]</f>
        <v>0</v>
      </c>
      <c r="Z1854" s="74">
        <f>Devis[[#This Row],[Poste 5]]*Devis[[#This Row],[Prix de Revient]]</f>
        <v>0</v>
      </c>
      <c r="AA1854" s="74">
        <f>Devis[[#This Row],[Prix de Revient]]*Devis[[#This Row],[Poste 6]]</f>
        <v>0</v>
      </c>
      <c r="AB1854" s="74">
        <f>Devis[[#This Row],[Quantité Totale]]*Devis[[#This Row],[Prix de Revient]]</f>
        <v>0</v>
      </c>
    </row>
    <row r="1855" spans="1:28" ht="14.25" outlineLevel="1" x14ac:dyDescent="0.2">
      <c r="A1855" s="75" t="s">
        <v>1647</v>
      </c>
      <c r="B1855" s="76" t="s">
        <v>4002</v>
      </c>
      <c r="C1855" s="76" t="s">
        <v>1663</v>
      </c>
      <c r="D1855" s="81" t="str">
        <f t="shared" si="32"/>
        <v>Inox Serti ItalienBrideBride fixe à sertir inox 316L PN16</v>
      </c>
      <c r="E1855" s="76" t="s">
        <v>1675</v>
      </c>
      <c r="F1855" s="76">
        <v>5</v>
      </c>
      <c r="G1855" s="71" t="s">
        <v>1676</v>
      </c>
      <c r="H1855" s="71" t="s">
        <v>459</v>
      </c>
      <c r="I1855" s="71">
        <v>193035000</v>
      </c>
      <c r="J1855" s="70">
        <f>IFERROR(VLOOKUP(Devis[[#This Row],[Ref Air Flux]],#REF!,3,FALSE),0)</f>
        <v>0</v>
      </c>
      <c r="K1855" s="68"/>
      <c r="L1855" s="68"/>
      <c r="M1855" s="68"/>
      <c r="N1855" s="68"/>
      <c r="O1855" s="68"/>
      <c r="P1855" s="68"/>
      <c r="Q1855" s="68">
        <f>SUM(Devis[[#This Row],[Poste 1]:[Poste 6]])</f>
        <v>0</v>
      </c>
      <c r="R1855" s="71">
        <v>2</v>
      </c>
      <c r="S1855" s="68">
        <f>_xlfn.CEILING.MATH(Devis[[#This Row],[Quantité Totale]],Devis[[#This Row],[Conditionnement]])</f>
        <v>0</v>
      </c>
      <c r="T1855" s="72"/>
      <c r="U1855" s="73"/>
      <c r="V1855" s="74">
        <f>Devis[[#This Row],[Prix de Revient]]*Devis[[#This Row],[Poste 1]]</f>
        <v>0</v>
      </c>
      <c r="W1855" s="74">
        <f>Devis[[#This Row],[Prix de Revient]]*Devis[[#This Row],[Poste 2]]</f>
        <v>0</v>
      </c>
      <c r="X1855" s="74">
        <f>Devis[[#This Row],[Prix de Revient]]*Devis[[#This Row],[Poste 3]]</f>
        <v>0</v>
      </c>
      <c r="Y1855" s="74">
        <f>Devis[[#This Row],[Poste 4]]*Devis[[#This Row],[Prix de Revient]]</f>
        <v>0</v>
      </c>
      <c r="Z1855" s="74">
        <f>Devis[[#This Row],[Poste 5]]*Devis[[#This Row],[Prix de Revient]]</f>
        <v>0</v>
      </c>
      <c r="AA1855" s="74">
        <f>Devis[[#This Row],[Prix de Revient]]*Devis[[#This Row],[Poste 6]]</f>
        <v>0</v>
      </c>
      <c r="AB1855" s="74">
        <f>Devis[[#This Row],[Quantité Totale]]*Devis[[#This Row],[Prix de Revient]]</f>
        <v>0</v>
      </c>
    </row>
    <row r="1856" spans="1:28" ht="14.25" customHeight="1" outlineLevel="1" x14ac:dyDescent="0.2">
      <c r="A1856" s="75" t="s">
        <v>1647</v>
      </c>
      <c r="B1856" s="76" t="s">
        <v>4002</v>
      </c>
      <c r="C1856" s="76" t="s">
        <v>1663</v>
      </c>
      <c r="D1856" s="81" t="str">
        <f t="shared" si="32"/>
        <v>Inox Serti ItalienBrideBride fixe à sertir inox 316L PN16</v>
      </c>
      <c r="E1856" s="76" t="s">
        <v>1678</v>
      </c>
      <c r="F1856" s="76">
        <v>6</v>
      </c>
      <c r="G1856" s="71" t="s">
        <v>1679</v>
      </c>
      <c r="H1856" s="71" t="s">
        <v>459</v>
      </c>
      <c r="I1856" s="71">
        <v>193042000</v>
      </c>
      <c r="J1856" s="70">
        <f>IFERROR(VLOOKUP(Devis[[#This Row],[Ref Air Flux]],#REF!,3,FALSE),0)</f>
        <v>0</v>
      </c>
      <c r="K1856" s="68"/>
      <c r="L1856" s="68"/>
      <c r="M1856" s="68"/>
      <c r="N1856" s="68"/>
      <c r="O1856" s="68"/>
      <c r="P1856" s="68"/>
      <c r="Q1856" s="68">
        <f>SUM(Devis[[#This Row],[Poste 1]:[Poste 6]])</f>
        <v>0</v>
      </c>
      <c r="R1856" s="71">
        <v>2</v>
      </c>
      <c r="S1856" s="68">
        <f>_xlfn.CEILING.MATH(Devis[[#This Row],[Quantité Totale]],Devis[[#This Row],[Conditionnement]])</f>
        <v>0</v>
      </c>
      <c r="T1856" s="72"/>
      <c r="U1856" s="73"/>
      <c r="V1856" s="74">
        <f>Devis[[#This Row],[Prix de Revient]]*Devis[[#This Row],[Poste 1]]</f>
        <v>0</v>
      </c>
      <c r="W1856" s="74">
        <f>Devis[[#This Row],[Prix de Revient]]*Devis[[#This Row],[Poste 2]]</f>
        <v>0</v>
      </c>
      <c r="X1856" s="74">
        <f>Devis[[#This Row],[Prix de Revient]]*Devis[[#This Row],[Poste 3]]</f>
        <v>0</v>
      </c>
      <c r="Y1856" s="74">
        <f>Devis[[#This Row],[Poste 4]]*Devis[[#This Row],[Prix de Revient]]</f>
        <v>0</v>
      </c>
      <c r="Z1856" s="74">
        <f>Devis[[#This Row],[Poste 5]]*Devis[[#This Row],[Prix de Revient]]</f>
        <v>0</v>
      </c>
      <c r="AA1856" s="74">
        <f>Devis[[#This Row],[Prix de Revient]]*Devis[[#This Row],[Poste 6]]</f>
        <v>0</v>
      </c>
      <c r="AB1856" s="74">
        <f>Devis[[#This Row],[Quantité Totale]]*Devis[[#This Row],[Prix de Revient]]</f>
        <v>0</v>
      </c>
    </row>
    <row r="1857" spans="1:28" ht="14.25" customHeight="1" outlineLevel="1" x14ac:dyDescent="0.2">
      <c r="A1857" s="75" t="s">
        <v>1647</v>
      </c>
      <c r="B1857" s="76" t="s">
        <v>4002</v>
      </c>
      <c r="C1857" s="76" t="s">
        <v>1663</v>
      </c>
      <c r="D1857" s="81" t="str">
        <f t="shared" si="32"/>
        <v>Inox Serti ItalienBrideBride fixe à sertir inox 316L PN16</v>
      </c>
      <c r="E1857" s="76" t="s">
        <v>1680</v>
      </c>
      <c r="F1857" s="76">
        <v>7</v>
      </c>
      <c r="G1857" s="71" t="s">
        <v>1681</v>
      </c>
      <c r="H1857" s="71" t="s">
        <v>459</v>
      </c>
      <c r="I1857" s="71">
        <v>193054000</v>
      </c>
      <c r="J1857" s="70">
        <f>IFERROR(VLOOKUP(Devis[[#This Row],[Ref Air Flux]],#REF!,3,FALSE),0)</f>
        <v>0</v>
      </c>
      <c r="K1857" s="68"/>
      <c r="L1857" s="68"/>
      <c r="M1857" s="68"/>
      <c r="N1857" s="68"/>
      <c r="O1857" s="68"/>
      <c r="P1857" s="68"/>
      <c r="Q1857" s="68">
        <f>SUM(Devis[[#This Row],[Poste 1]:[Poste 6]])</f>
        <v>0</v>
      </c>
      <c r="R1857" s="71">
        <v>2</v>
      </c>
      <c r="S1857" s="68">
        <f>_xlfn.CEILING.MATH(Devis[[#This Row],[Quantité Totale]],Devis[[#This Row],[Conditionnement]])</f>
        <v>0</v>
      </c>
      <c r="T1857" s="72"/>
      <c r="U1857" s="73"/>
      <c r="V1857" s="74">
        <f>Devis[[#This Row],[Prix de Revient]]*Devis[[#This Row],[Poste 1]]</f>
        <v>0</v>
      </c>
      <c r="W1857" s="74">
        <f>Devis[[#This Row],[Prix de Revient]]*Devis[[#This Row],[Poste 2]]</f>
        <v>0</v>
      </c>
      <c r="X1857" s="74">
        <f>Devis[[#This Row],[Prix de Revient]]*Devis[[#This Row],[Poste 3]]</f>
        <v>0</v>
      </c>
      <c r="Y1857" s="74">
        <f>Devis[[#This Row],[Poste 4]]*Devis[[#This Row],[Prix de Revient]]</f>
        <v>0</v>
      </c>
      <c r="Z1857" s="74">
        <f>Devis[[#This Row],[Poste 5]]*Devis[[#This Row],[Prix de Revient]]</f>
        <v>0</v>
      </c>
      <c r="AA1857" s="74">
        <f>Devis[[#This Row],[Prix de Revient]]*Devis[[#This Row],[Poste 6]]</f>
        <v>0</v>
      </c>
      <c r="AB1857" s="74">
        <f>Devis[[#This Row],[Quantité Totale]]*Devis[[#This Row],[Prix de Revient]]</f>
        <v>0</v>
      </c>
    </row>
    <row r="1858" spans="1:28" ht="14.25" outlineLevel="1" x14ac:dyDescent="0.2">
      <c r="A1858" s="75" t="s">
        <v>1647</v>
      </c>
      <c r="B1858" s="76" t="s">
        <v>4002</v>
      </c>
      <c r="C1858" s="76" t="s">
        <v>1663</v>
      </c>
      <c r="D1858" s="81" t="str">
        <f t="shared" si="32"/>
        <v>Inox Serti ItalienBrideBride fixe à sertir inox 316L PN16</v>
      </c>
      <c r="E1858" s="76" t="s">
        <v>1683</v>
      </c>
      <c r="F1858" s="76">
        <v>8</v>
      </c>
      <c r="G1858" s="71" t="s">
        <v>1684</v>
      </c>
      <c r="H1858" s="71" t="s">
        <v>459</v>
      </c>
      <c r="I1858" s="71">
        <v>193076000</v>
      </c>
      <c r="J1858" s="70">
        <f>IFERROR(VLOOKUP(Devis[[#This Row],[Ref Air Flux]],#REF!,3,FALSE),0)</f>
        <v>0</v>
      </c>
      <c r="K1858" s="68"/>
      <c r="L1858" s="68"/>
      <c r="M1858" s="68"/>
      <c r="N1858" s="68"/>
      <c r="O1858" s="68"/>
      <c r="P1858" s="68"/>
      <c r="Q1858" s="68">
        <f>SUM(Devis[[#This Row],[Poste 1]:[Poste 6]])</f>
        <v>0</v>
      </c>
      <c r="R1858" s="71">
        <v>2</v>
      </c>
      <c r="S1858" s="68">
        <f>_xlfn.CEILING.MATH(Devis[[#This Row],[Quantité Totale]],Devis[[#This Row],[Conditionnement]])</f>
        <v>0</v>
      </c>
      <c r="T1858" s="72"/>
      <c r="U1858" s="73"/>
      <c r="V1858" s="74">
        <f>Devis[[#This Row],[Prix de Revient]]*Devis[[#This Row],[Poste 1]]</f>
        <v>0</v>
      </c>
      <c r="W1858" s="74">
        <f>Devis[[#This Row],[Prix de Revient]]*Devis[[#This Row],[Poste 2]]</f>
        <v>0</v>
      </c>
      <c r="X1858" s="74">
        <f>Devis[[#This Row],[Prix de Revient]]*Devis[[#This Row],[Poste 3]]</f>
        <v>0</v>
      </c>
      <c r="Y1858" s="74">
        <f>Devis[[#This Row],[Poste 4]]*Devis[[#This Row],[Prix de Revient]]</f>
        <v>0</v>
      </c>
      <c r="Z1858" s="74">
        <f>Devis[[#This Row],[Poste 5]]*Devis[[#This Row],[Prix de Revient]]</f>
        <v>0</v>
      </c>
      <c r="AA1858" s="74">
        <f>Devis[[#This Row],[Prix de Revient]]*Devis[[#This Row],[Poste 6]]</f>
        <v>0</v>
      </c>
      <c r="AB1858" s="74">
        <f>Devis[[#This Row],[Quantité Totale]]*Devis[[#This Row],[Prix de Revient]]</f>
        <v>0</v>
      </c>
    </row>
    <row r="1859" spans="1:28" ht="14.25" outlineLevel="1" x14ac:dyDescent="0.2">
      <c r="A1859" s="75" t="s">
        <v>1647</v>
      </c>
      <c r="B1859" s="76" t="s">
        <v>4002</v>
      </c>
      <c r="C1859" s="76" t="s">
        <v>1663</v>
      </c>
      <c r="D1859" s="81" t="str">
        <f t="shared" si="32"/>
        <v>Inox Serti ItalienBrideBride fixe à sertir inox 316L PN16</v>
      </c>
      <c r="E1859" s="76" t="s">
        <v>1685</v>
      </c>
      <c r="F1859" s="76">
        <v>9</v>
      </c>
      <c r="G1859" s="71" t="s">
        <v>1686</v>
      </c>
      <c r="H1859" s="71" t="s">
        <v>459</v>
      </c>
      <c r="I1859" s="71">
        <v>193088000</v>
      </c>
      <c r="J1859" s="70">
        <f>IFERROR(VLOOKUP(Devis[[#This Row],[Ref Air Flux]],#REF!,3,FALSE),0)</f>
        <v>0</v>
      </c>
      <c r="K1859" s="68"/>
      <c r="L1859" s="68"/>
      <c r="M1859" s="68"/>
      <c r="N1859" s="68"/>
      <c r="O1859" s="68"/>
      <c r="P1859" s="68"/>
      <c r="Q1859" s="68">
        <f>SUM(Devis[[#This Row],[Poste 1]:[Poste 6]])</f>
        <v>0</v>
      </c>
      <c r="R1859" s="71">
        <v>2</v>
      </c>
      <c r="S1859" s="68">
        <f>_xlfn.CEILING.MATH(Devis[[#This Row],[Quantité Totale]],Devis[[#This Row],[Conditionnement]])</f>
        <v>0</v>
      </c>
      <c r="T1859" s="72"/>
      <c r="U1859" s="73"/>
      <c r="V1859" s="74">
        <f>Devis[[#This Row],[Prix de Revient]]*Devis[[#This Row],[Poste 1]]</f>
        <v>0</v>
      </c>
      <c r="W1859" s="74">
        <f>Devis[[#This Row],[Prix de Revient]]*Devis[[#This Row],[Poste 2]]</f>
        <v>0</v>
      </c>
      <c r="X1859" s="74">
        <f>Devis[[#This Row],[Prix de Revient]]*Devis[[#This Row],[Poste 3]]</f>
        <v>0</v>
      </c>
      <c r="Y1859" s="74">
        <f>Devis[[#This Row],[Poste 4]]*Devis[[#This Row],[Prix de Revient]]</f>
        <v>0</v>
      </c>
      <c r="Z1859" s="74">
        <f>Devis[[#This Row],[Poste 5]]*Devis[[#This Row],[Prix de Revient]]</f>
        <v>0</v>
      </c>
      <c r="AA1859" s="74">
        <f>Devis[[#This Row],[Prix de Revient]]*Devis[[#This Row],[Poste 6]]</f>
        <v>0</v>
      </c>
      <c r="AB1859" s="74">
        <f>Devis[[#This Row],[Quantité Totale]]*Devis[[#This Row],[Prix de Revient]]</f>
        <v>0</v>
      </c>
    </row>
    <row r="1860" spans="1:28" ht="14.25" outlineLevel="1" x14ac:dyDescent="0.2">
      <c r="A1860" s="75" t="s">
        <v>1647</v>
      </c>
      <c r="B1860" s="76" t="s">
        <v>4002</v>
      </c>
      <c r="C1860" s="76" t="s">
        <v>1663</v>
      </c>
      <c r="D1860" s="81" t="str">
        <f t="shared" si="32"/>
        <v>Inox Serti ItalienBrideBride fixe à sertir inox 316L PN16</v>
      </c>
      <c r="E1860" s="76" t="s">
        <v>1687</v>
      </c>
      <c r="F1860" s="76">
        <v>10</v>
      </c>
      <c r="G1860" s="71" t="s">
        <v>1688</v>
      </c>
      <c r="H1860" s="71" t="s">
        <v>459</v>
      </c>
      <c r="I1860" s="71">
        <v>193108000</v>
      </c>
      <c r="J1860" s="70">
        <f>IFERROR(VLOOKUP(Devis[[#This Row],[Ref Air Flux]],#REF!,3,FALSE),0)</f>
        <v>0</v>
      </c>
      <c r="K1860" s="68"/>
      <c r="L1860" s="68"/>
      <c r="M1860" s="68"/>
      <c r="N1860" s="68"/>
      <c r="O1860" s="68"/>
      <c r="P1860" s="68"/>
      <c r="Q1860" s="68">
        <f>SUM(Devis[[#This Row],[Poste 1]:[Poste 6]])</f>
        <v>0</v>
      </c>
      <c r="R1860" s="71">
        <v>2</v>
      </c>
      <c r="S1860" s="68">
        <f>_xlfn.CEILING.MATH(Devis[[#This Row],[Quantité Totale]],Devis[[#This Row],[Conditionnement]])</f>
        <v>0</v>
      </c>
      <c r="T1860" s="72"/>
      <c r="U1860" s="73"/>
      <c r="V1860" s="74">
        <f>Devis[[#This Row],[Prix de Revient]]*Devis[[#This Row],[Poste 1]]</f>
        <v>0</v>
      </c>
      <c r="W1860" s="74">
        <f>Devis[[#This Row],[Prix de Revient]]*Devis[[#This Row],[Poste 2]]</f>
        <v>0</v>
      </c>
      <c r="X1860" s="74">
        <f>Devis[[#This Row],[Prix de Revient]]*Devis[[#This Row],[Poste 3]]</f>
        <v>0</v>
      </c>
      <c r="Y1860" s="74">
        <f>Devis[[#This Row],[Poste 4]]*Devis[[#This Row],[Prix de Revient]]</f>
        <v>0</v>
      </c>
      <c r="Z1860" s="74">
        <f>Devis[[#This Row],[Poste 5]]*Devis[[#This Row],[Prix de Revient]]</f>
        <v>0</v>
      </c>
      <c r="AA1860" s="74">
        <f>Devis[[#This Row],[Prix de Revient]]*Devis[[#This Row],[Poste 6]]</f>
        <v>0</v>
      </c>
      <c r="AB1860" s="74">
        <f>Devis[[#This Row],[Quantité Totale]]*Devis[[#This Row],[Prix de Revient]]</f>
        <v>0</v>
      </c>
    </row>
    <row r="1861" spans="1:28" ht="14.25" outlineLevel="1" x14ac:dyDescent="0.2">
      <c r="A1861" s="75" t="s">
        <v>1647</v>
      </c>
      <c r="B1861" s="76" t="s">
        <v>4002</v>
      </c>
      <c r="C1861" s="76"/>
      <c r="D1861" s="81" t="str">
        <f t="shared" si="32"/>
        <v>Inox Serti ItalienBride</v>
      </c>
      <c r="E1861" s="76"/>
      <c r="F1861" s="76">
        <v>11</v>
      </c>
      <c r="G1861" s="71"/>
      <c r="H1861" s="71"/>
      <c r="I1861" s="71"/>
      <c r="J1861" s="70">
        <f>IFERROR(VLOOKUP(Devis[[#This Row],[Ref Air Flux]],#REF!,3,FALSE),0)</f>
        <v>0</v>
      </c>
      <c r="K1861" s="68"/>
      <c r="L1861" s="68"/>
      <c r="M1861" s="68"/>
      <c r="N1861" s="68"/>
      <c r="O1861" s="68"/>
      <c r="P1861" s="68"/>
      <c r="Q1861" s="68">
        <f>SUM(Devis[[#This Row],[Poste 1]:[Poste 6]])</f>
        <v>0</v>
      </c>
      <c r="R1861" s="71"/>
      <c r="S1861" s="68">
        <f>_xlfn.CEILING.MATH(Devis[[#This Row],[Quantité Totale]],Devis[[#This Row],[Conditionnement]])</f>
        <v>0</v>
      </c>
      <c r="T1861" s="72"/>
      <c r="U1861" s="73"/>
      <c r="V1861" s="74">
        <f>Devis[[#This Row],[Prix de Revient]]*Devis[[#This Row],[Poste 1]]</f>
        <v>0</v>
      </c>
      <c r="W1861" s="74">
        <f>Devis[[#This Row],[Prix de Revient]]*Devis[[#This Row],[Poste 2]]</f>
        <v>0</v>
      </c>
      <c r="X1861" s="74">
        <f>Devis[[#This Row],[Prix de Revient]]*Devis[[#This Row],[Poste 3]]</f>
        <v>0</v>
      </c>
      <c r="Y1861" s="74">
        <f>Devis[[#This Row],[Poste 4]]*Devis[[#This Row],[Prix de Revient]]</f>
        <v>0</v>
      </c>
      <c r="Z1861" s="74">
        <f>Devis[[#This Row],[Poste 5]]*Devis[[#This Row],[Prix de Revient]]</f>
        <v>0</v>
      </c>
      <c r="AA1861" s="74">
        <f>Devis[[#This Row],[Prix de Revient]]*Devis[[#This Row],[Poste 6]]</f>
        <v>0</v>
      </c>
      <c r="AB1861" s="74">
        <f>Devis[[#This Row],[Quantité Totale]]*Devis[[#This Row],[Prix de Revient]]</f>
        <v>0</v>
      </c>
    </row>
    <row r="1862" spans="1:28" ht="14.25" outlineLevel="1" x14ac:dyDescent="0.2">
      <c r="A1862" s="75" t="s">
        <v>1647</v>
      </c>
      <c r="B1862" s="76" t="s">
        <v>4002</v>
      </c>
      <c r="C1862" s="76" t="s">
        <v>1689</v>
      </c>
      <c r="D1862" s="81" t="str">
        <f t="shared" si="32"/>
        <v>Inox Serti ItalienBridebride tournante emboutie PN11</v>
      </c>
      <c r="E1862" s="76" t="s">
        <v>1474</v>
      </c>
      <c r="F1862" s="76">
        <v>12</v>
      </c>
      <c r="G1862" s="71" t="s">
        <v>1475</v>
      </c>
      <c r="H1862" s="71" t="s">
        <v>459</v>
      </c>
      <c r="I1862" s="71"/>
      <c r="J1862" s="70">
        <f>IFERROR(VLOOKUP(Devis[[#This Row],[Ref Air Flux]],#REF!,3,FALSE),0)</f>
        <v>0</v>
      </c>
      <c r="K1862" s="68"/>
      <c r="L1862" s="68"/>
      <c r="M1862" s="68"/>
      <c r="N1862" s="68"/>
      <c r="O1862" s="68"/>
      <c r="P1862" s="68"/>
      <c r="Q1862" s="68">
        <f>SUM(Devis[[#This Row],[Poste 1]:[Poste 6]])</f>
        <v>0</v>
      </c>
      <c r="R1862" s="71"/>
      <c r="S1862" s="68">
        <f>_xlfn.CEILING.MATH(Devis[[#This Row],[Quantité Totale]],Devis[[#This Row],[Conditionnement]])</f>
        <v>0</v>
      </c>
      <c r="T1862" s="72"/>
      <c r="U1862" s="73"/>
      <c r="V1862" s="74">
        <f>Devis[[#This Row],[Prix de Revient]]*Devis[[#This Row],[Poste 1]]</f>
        <v>0</v>
      </c>
      <c r="W1862" s="74">
        <f>Devis[[#This Row],[Prix de Revient]]*Devis[[#This Row],[Poste 2]]</f>
        <v>0</v>
      </c>
      <c r="X1862" s="74">
        <f>Devis[[#This Row],[Prix de Revient]]*Devis[[#This Row],[Poste 3]]</f>
        <v>0</v>
      </c>
      <c r="Y1862" s="74">
        <f>Devis[[#This Row],[Poste 4]]*Devis[[#This Row],[Prix de Revient]]</f>
        <v>0</v>
      </c>
      <c r="Z1862" s="74">
        <f>Devis[[#This Row],[Poste 5]]*Devis[[#This Row],[Prix de Revient]]</f>
        <v>0</v>
      </c>
      <c r="AA1862" s="74">
        <f>Devis[[#This Row],[Prix de Revient]]*Devis[[#This Row],[Poste 6]]</f>
        <v>0</v>
      </c>
      <c r="AB1862" s="74">
        <f>Devis[[#This Row],[Quantité Totale]]*Devis[[#This Row],[Prix de Revient]]</f>
        <v>0</v>
      </c>
    </row>
    <row r="1863" spans="1:28" ht="14.25" outlineLevel="1" x14ac:dyDescent="0.2">
      <c r="A1863" s="75" t="s">
        <v>1647</v>
      </c>
      <c r="B1863" s="76" t="s">
        <v>4002</v>
      </c>
      <c r="C1863" s="76"/>
      <c r="D1863" s="81" t="str">
        <f t="shared" si="32"/>
        <v>Inox Serti ItalienBride</v>
      </c>
      <c r="E1863" s="76"/>
      <c r="F1863" s="76">
        <v>13</v>
      </c>
      <c r="G1863" s="71"/>
      <c r="H1863" s="71"/>
      <c r="I1863" s="71"/>
      <c r="J1863" s="70">
        <f>IFERROR(VLOOKUP(Devis[[#This Row],[Ref Air Flux]],#REF!,3,FALSE),0)</f>
        <v>0</v>
      </c>
      <c r="K1863" s="68"/>
      <c r="L1863" s="68"/>
      <c r="M1863" s="68"/>
      <c r="N1863" s="68"/>
      <c r="O1863" s="68"/>
      <c r="P1863" s="68"/>
      <c r="Q1863" s="68">
        <f>SUM(Devis[[#This Row],[Poste 1]:[Poste 6]])</f>
        <v>0</v>
      </c>
      <c r="R1863" s="71"/>
      <c r="S1863" s="68">
        <f>_xlfn.CEILING.MATH(Devis[[#This Row],[Quantité Totale]],Devis[[#This Row],[Conditionnement]])</f>
        <v>0</v>
      </c>
      <c r="T1863" s="72"/>
      <c r="U1863" s="73"/>
      <c r="V1863" s="74">
        <f>Devis[[#This Row],[Prix de Revient]]*Devis[[#This Row],[Poste 1]]</f>
        <v>0</v>
      </c>
      <c r="W1863" s="74">
        <f>Devis[[#This Row],[Prix de Revient]]*Devis[[#This Row],[Poste 2]]</f>
        <v>0</v>
      </c>
      <c r="X1863" s="74">
        <f>Devis[[#This Row],[Prix de Revient]]*Devis[[#This Row],[Poste 3]]</f>
        <v>0</v>
      </c>
      <c r="Y1863" s="74">
        <f>Devis[[#This Row],[Poste 4]]*Devis[[#This Row],[Prix de Revient]]</f>
        <v>0</v>
      </c>
      <c r="Z1863" s="74">
        <f>Devis[[#This Row],[Poste 5]]*Devis[[#This Row],[Prix de Revient]]</f>
        <v>0</v>
      </c>
      <c r="AA1863" s="74">
        <f>Devis[[#This Row],[Prix de Revient]]*Devis[[#This Row],[Poste 6]]</f>
        <v>0</v>
      </c>
      <c r="AB1863" s="74">
        <f>Devis[[#This Row],[Quantité Totale]]*Devis[[#This Row],[Prix de Revient]]</f>
        <v>0</v>
      </c>
    </row>
    <row r="1864" spans="1:28" ht="14.25" outlineLevel="1" x14ac:dyDescent="0.2">
      <c r="A1864" s="75" t="s">
        <v>1647</v>
      </c>
      <c r="B1864" s="76" t="s">
        <v>4002</v>
      </c>
      <c r="C1864" s="76" t="s">
        <v>5323</v>
      </c>
      <c r="D1864" s="81" t="str">
        <f t="shared" si="32"/>
        <v>Inox Serti ItalienBrideBride tournante à sertir emboutie PN10</v>
      </c>
      <c r="E1864" s="76" t="s">
        <v>1690</v>
      </c>
      <c r="F1864" s="76">
        <v>14</v>
      </c>
      <c r="G1864" s="71" t="s">
        <v>1691</v>
      </c>
      <c r="H1864" s="71" t="s">
        <v>459</v>
      </c>
      <c r="I1864" s="71">
        <v>193054001</v>
      </c>
      <c r="J1864" s="70">
        <f>IFERROR(VLOOKUP(Devis[[#This Row],[Ref Air Flux]],#REF!,3,FALSE),0)</f>
        <v>0</v>
      </c>
      <c r="K1864" s="68"/>
      <c r="L1864" s="68"/>
      <c r="M1864" s="68"/>
      <c r="N1864" s="68"/>
      <c r="O1864" s="68"/>
      <c r="P1864" s="68"/>
      <c r="Q1864" s="68">
        <f>SUM(Devis[[#This Row],[Poste 1]:[Poste 6]])</f>
        <v>0</v>
      </c>
      <c r="R1864" s="71">
        <v>2</v>
      </c>
      <c r="S1864" s="68">
        <f>_xlfn.CEILING.MATH(Devis[[#This Row],[Quantité Totale]],Devis[[#This Row],[Conditionnement]])</f>
        <v>0</v>
      </c>
      <c r="T1864" s="72"/>
      <c r="U1864" s="73"/>
      <c r="V1864" s="74">
        <f>Devis[[#This Row],[Prix de Revient]]*Devis[[#This Row],[Poste 1]]</f>
        <v>0</v>
      </c>
      <c r="W1864" s="74">
        <f>Devis[[#This Row],[Prix de Revient]]*Devis[[#This Row],[Poste 2]]</f>
        <v>0</v>
      </c>
      <c r="X1864" s="74">
        <f>Devis[[#This Row],[Prix de Revient]]*Devis[[#This Row],[Poste 3]]</f>
        <v>0</v>
      </c>
      <c r="Y1864" s="74">
        <f>Devis[[#This Row],[Poste 4]]*Devis[[#This Row],[Prix de Revient]]</f>
        <v>0</v>
      </c>
      <c r="Z1864" s="74">
        <f>Devis[[#This Row],[Poste 5]]*Devis[[#This Row],[Prix de Revient]]</f>
        <v>0</v>
      </c>
      <c r="AA1864" s="74">
        <f>Devis[[#This Row],[Prix de Revient]]*Devis[[#This Row],[Poste 6]]</f>
        <v>0</v>
      </c>
      <c r="AB1864" s="74">
        <f>Devis[[#This Row],[Quantité Totale]]*Devis[[#This Row],[Prix de Revient]]</f>
        <v>0</v>
      </c>
    </row>
    <row r="1865" spans="1:28" ht="14.25" outlineLevel="1" x14ac:dyDescent="0.2">
      <c r="A1865" s="75" t="s">
        <v>1647</v>
      </c>
      <c r="B1865" s="76" t="s">
        <v>4002</v>
      </c>
      <c r="C1865" s="76" t="s">
        <v>5323</v>
      </c>
      <c r="D1865" s="81" t="str">
        <f t="shared" si="32"/>
        <v>Inox Serti ItalienBrideBride tournante à sertir emboutie PN10</v>
      </c>
      <c r="E1865" s="76" t="s">
        <v>1692</v>
      </c>
      <c r="F1865" s="76">
        <v>15</v>
      </c>
      <c r="G1865" s="71" t="s">
        <v>1693</v>
      </c>
      <c r="H1865" s="71" t="s">
        <v>459</v>
      </c>
      <c r="I1865" s="71">
        <v>193076001</v>
      </c>
      <c r="J1865" s="70">
        <f>IFERROR(VLOOKUP(Devis[[#This Row],[Ref Air Flux]],#REF!,3,FALSE),0)</f>
        <v>0</v>
      </c>
      <c r="K1865" s="68"/>
      <c r="L1865" s="68"/>
      <c r="M1865" s="68"/>
      <c r="N1865" s="68"/>
      <c r="O1865" s="68"/>
      <c r="P1865" s="68"/>
      <c r="Q1865" s="68">
        <f>SUM(Devis[[#This Row],[Poste 1]:[Poste 6]])</f>
        <v>0</v>
      </c>
      <c r="R1865" s="71">
        <v>2</v>
      </c>
      <c r="S1865" s="68">
        <f>_xlfn.CEILING.MATH(Devis[[#This Row],[Quantité Totale]],Devis[[#This Row],[Conditionnement]])</f>
        <v>0</v>
      </c>
      <c r="T1865" s="72"/>
      <c r="U1865" s="73"/>
      <c r="V1865" s="74">
        <f>Devis[[#This Row],[Prix de Revient]]*Devis[[#This Row],[Poste 1]]</f>
        <v>0</v>
      </c>
      <c r="W1865" s="74">
        <f>Devis[[#This Row],[Prix de Revient]]*Devis[[#This Row],[Poste 2]]</f>
        <v>0</v>
      </c>
      <c r="X1865" s="74">
        <f>Devis[[#This Row],[Prix de Revient]]*Devis[[#This Row],[Poste 3]]</f>
        <v>0</v>
      </c>
      <c r="Y1865" s="74">
        <f>Devis[[#This Row],[Poste 4]]*Devis[[#This Row],[Prix de Revient]]</f>
        <v>0</v>
      </c>
      <c r="Z1865" s="74">
        <f>Devis[[#This Row],[Poste 5]]*Devis[[#This Row],[Prix de Revient]]</f>
        <v>0</v>
      </c>
      <c r="AA1865" s="74">
        <f>Devis[[#This Row],[Prix de Revient]]*Devis[[#This Row],[Poste 6]]</f>
        <v>0</v>
      </c>
      <c r="AB1865" s="74">
        <f>Devis[[#This Row],[Quantité Totale]]*Devis[[#This Row],[Prix de Revient]]</f>
        <v>0</v>
      </c>
    </row>
    <row r="1866" spans="1:28" ht="14.25" customHeight="1" outlineLevel="1" x14ac:dyDescent="0.2">
      <c r="A1866" s="75" t="s">
        <v>1647</v>
      </c>
      <c r="B1866" s="76" t="s">
        <v>4002</v>
      </c>
      <c r="C1866" s="76" t="s">
        <v>5323</v>
      </c>
      <c r="D1866" s="81" t="str">
        <f t="shared" si="32"/>
        <v>Inox Serti ItalienBrideBride tournante à sertir emboutie PN10</v>
      </c>
      <c r="E1866" s="76" t="s">
        <v>1694</v>
      </c>
      <c r="F1866" s="76">
        <v>16</v>
      </c>
      <c r="G1866" s="71" t="s">
        <v>1695</v>
      </c>
      <c r="H1866" s="71" t="s">
        <v>459</v>
      </c>
      <c r="I1866" s="71">
        <v>193088001</v>
      </c>
      <c r="J1866" s="70">
        <f>IFERROR(VLOOKUP(Devis[[#This Row],[Ref Air Flux]],#REF!,3,FALSE),0)</f>
        <v>0</v>
      </c>
      <c r="K1866" s="68"/>
      <c r="L1866" s="68"/>
      <c r="M1866" s="68"/>
      <c r="N1866" s="68"/>
      <c r="O1866" s="68"/>
      <c r="P1866" s="68"/>
      <c r="Q1866" s="68">
        <f>SUM(Devis[[#This Row],[Poste 1]:[Poste 6]])</f>
        <v>0</v>
      </c>
      <c r="R1866" s="71">
        <v>2</v>
      </c>
      <c r="S1866" s="68">
        <f>_xlfn.CEILING.MATH(Devis[[#This Row],[Quantité Totale]],Devis[[#This Row],[Conditionnement]])</f>
        <v>0</v>
      </c>
      <c r="T1866" s="72"/>
      <c r="U1866" s="73"/>
      <c r="V1866" s="74">
        <f>Devis[[#This Row],[Prix de Revient]]*Devis[[#This Row],[Poste 1]]</f>
        <v>0</v>
      </c>
      <c r="W1866" s="74">
        <f>Devis[[#This Row],[Prix de Revient]]*Devis[[#This Row],[Poste 2]]</f>
        <v>0</v>
      </c>
      <c r="X1866" s="74">
        <f>Devis[[#This Row],[Prix de Revient]]*Devis[[#This Row],[Poste 3]]</f>
        <v>0</v>
      </c>
      <c r="Y1866" s="74">
        <f>Devis[[#This Row],[Poste 4]]*Devis[[#This Row],[Prix de Revient]]</f>
        <v>0</v>
      </c>
      <c r="Z1866" s="74">
        <f>Devis[[#This Row],[Poste 5]]*Devis[[#This Row],[Prix de Revient]]</f>
        <v>0</v>
      </c>
      <c r="AA1866" s="74">
        <f>Devis[[#This Row],[Prix de Revient]]*Devis[[#This Row],[Poste 6]]</f>
        <v>0</v>
      </c>
      <c r="AB1866" s="74">
        <f>Devis[[#This Row],[Quantité Totale]]*Devis[[#This Row],[Prix de Revient]]</f>
        <v>0</v>
      </c>
    </row>
    <row r="1867" spans="1:28" ht="14.25" customHeight="1" outlineLevel="1" x14ac:dyDescent="0.2">
      <c r="A1867" s="75" t="s">
        <v>1647</v>
      </c>
      <c r="B1867" s="76" t="s">
        <v>4002</v>
      </c>
      <c r="C1867" s="76" t="s">
        <v>5323</v>
      </c>
      <c r="D1867" s="81" t="str">
        <f t="shared" si="32"/>
        <v>Inox Serti ItalienBrideBride tournante à sertir emboutie PN10</v>
      </c>
      <c r="E1867" s="76" t="s">
        <v>1696</v>
      </c>
      <c r="F1867" s="76">
        <v>17</v>
      </c>
      <c r="G1867" s="71" t="s">
        <v>1697</v>
      </c>
      <c r="H1867" s="71" t="s">
        <v>459</v>
      </c>
      <c r="I1867" s="71">
        <v>193108001</v>
      </c>
      <c r="J1867" s="70">
        <f>IFERROR(VLOOKUP(Devis[[#This Row],[Ref Air Flux]],#REF!,3,FALSE),0)</f>
        <v>0</v>
      </c>
      <c r="K1867" s="68"/>
      <c r="L1867" s="68"/>
      <c r="M1867" s="68"/>
      <c r="N1867" s="68"/>
      <c r="O1867" s="68"/>
      <c r="P1867" s="68"/>
      <c r="Q1867" s="68">
        <f>SUM(Devis[[#This Row],[Poste 1]:[Poste 6]])</f>
        <v>0</v>
      </c>
      <c r="R1867" s="71">
        <v>2</v>
      </c>
      <c r="S1867" s="68">
        <f>_xlfn.CEILING.MATH(Devis[[#This Row],[Quantité Totale]],Devis[[#This Row],[Conditionnement]])</f>
        <v>0</v>
      </c>
      <c r="T1867" s="72"/>
      <c r="U1867" s="73"/>
      <c r="V1867" s="74">
        <f>Devis[[#This Row],[Prix de Revient]]*Devis[[#This Row],[Poste 1]]</f>
        <v>0</v>
      </c>
      <c r="W1867" s="74">
        <f>Devis[[#This Row],[Prix de Revient]]*Devis[[#This Row],[Poste 2]]</f>
        <v>0</v>
      </c>
      <c r="X1867" s="74">
        <f>Devis[[#This Row],[Prix de Revient]]*Devis[[#This Row],[Poste 3]]</f>
        <v>0</v>
      </c>
      <c r="Y1867" s="74">
        <f>Devis[[#This Row],[Poste 4]]*Devis[[#This Row],[Prix de Revient]]</f>
        <v>0</v>
      </c>
      <c r="Z1867" s="74">
        <f>Devis[[#This Row],[Poste 5]]*Devis[[#This Row],[Prix de Revient]]</f>
        <v>0</v>
      </c>
      <c r="AA1867" s="74">
        <f>Devis[[#This Row],[Prix de Revient]]*Devis[[#This Row],[Poste 6]]</f>
        <v>0</v>
      </c>
      <c r="AB1867" s="74">
        <f>Devis[[#This Row],[Quantité Totale]]*Devis[[#This Row],[Prix de Revient]]</f>
        <v>0</v>
      </c>
    </row>
    <row r="1868" spans="1:28" ht="14.25" customHeight="1" outlineLevel="1" x14ac:dyDescent="0.2">
      <c r="A1868" s="75" t="s">
        <v>1647</v>
      </c>
      <c r="B1868" s="76" t="s">
        <v>4002</v>
      </c>
      <c r="C1868" s="76" t="s">
        <v>5323</v>
      </c>
      <c r="D1868" s="81" t="str">
        <f t="shared" si="32"/>
        <v>Inox Serti ItalienBrideBride tournante à sertir emboutie PN10</v>
      </c>
      <c r="E1868" s="76" t="s">
        <v>1698</v>
      </c>
      <c r="F1868" s="76">
        <v>18</v>
      </c>
      <c r="G1868" s="71" t="s">
        <v>1699</v>
      </c>
      <c r="H1868" s="71" t="s">
        <v>459</v>
      </c>
      <c r="I1868" s="71">
        <v>193088000</v>
      </c>
      <c r="J1868" s="70">
        <f>IFERROR(VLOOKUP(Devis[[#This Row],[Ref Air Flux]],#REF!,3,FALSE),0)</f>
        <v>0</v>
      </c>
      <c r="K1868" s="68"/>
      <c r="L1868" s="68"/>
      <c r="M1868" s="68"/>
      <c r="N1868" s="68"/>
      <c r="O1868" s="68"/>
      <c r="P1868" s="68"/>
      <c r="Q1868" s="68">
        <f>SUM(Devis[[#This Row],[Poste 1]:[Poste 6]])</f>
        <v>0</v>
      </c>
      <c r="R1868" s="71">
        <v>2</v>
      </c>
      <c r="S1868" s="68">
        <f>_xlfn.CEILING.MATH(Devis[[#This Row],[Quantité Totale]],Devis[[#This Row],[Conditionnement]])</f>
        <v>0</v>
      </c>
      <c r="T1868" s="72"/>
      <c r="U1868" s="73"/>
      <c r="V1868" s="74">
        <f>Devis[[#This Row],[Prix de Revient]]*Devis[[#This Row],[Poste 1]]</f>
        <v>0</v>
      </c>
      <c r="W1868" s="74">
        <f>Devis[[#This Row],[Prix de Revient]]*Devis[[#This Row],[Poste 2]]</f>
        <v>0</v>
      </c>
      <c r="X1868" s="74">
        <f>Devis[[#This Row],[Prix de Revient]]*Devis[[#This Row],[Poste 3]]</f>
        <v>0</v>
      </c>
      <c r="Y1868" s="74">
        <f>Devis[[#This Row],[Poste 4]]*Devis[[#This Row],[Prix de Revient]]</f>
        <v>0</v>
      </c>
      <c r="Z1868" s="74">
        <f>Devis[[#This Row],[Poste 5]]*Devis[[#This Row],[Prix de Revient]]</f>
        <v>0</v>
      </c>
      <c r="AA1868" s="74">
        <f>Devis[[#This Row],[Prix de Revient]]*Devis[[#This Row],[Poste 6]]</f>
        <v>0</v>
      </c>
      <c r="AB1868" s="74">
        <f>Devis[[#This Row],[Quantité Totale]]*Devis[[#This Row],[Prix de Revient]]</f>
        <v>0</v>
      </c>
    </row>
    <row r="1869" spans="1:28" ht="14.25" customHeight="1" x14ac:dyDescent="0.25">
      <c r="A1869" s="65" t="s">
        <v>1647</v>
      </c>
      <c r="B1869" s="65" t="s">
        <v>4075</v>
      </c>
      <c r="C1869" s="76"/>
      <c r="D1869" s="81" t="str">
        <f t="shared" si="32"/>
        <v>Inox Serti ItalienCol de cygne</v>
      </c>
      <c r="E1869" s="76"/>
      <c r="F1869" s="76">
        <v>0</v>
      </c>
      <c r="G1869" s="71"/>
      <c r="H1869" s="71"/>
      <c r="I1869" s="71"/>
      <c r="J1869" s="70">
        <f>IFERROR(VLOOKUP(Devis[[#This Row],[Ref Air Flux]],#REF!,3,FALSE),0)</f>
        <v>0</v>
      </c>
      <c r="K1869" s="68"/>
      <c r="L1869" s="68"/>
      <c r="M1869" s="68"/>
      <c r="N1869" s="68"/>
      <c r="O1869" s="68"/>
      <c r="P1869" s="68"/>
      <c r="Q1869" s="68">
        <f>SUM(Devis[[#This Row],[Poste 1]:[Poste 6]])</f>
        <v>0</v>
      </c>
      <c r="R1869" s="71"/>
      <c r="S1869" s="68">
        <f>_xlfn.CEILING.MATH(Devis[[#This Row],[Quantité Totale]],Devis[[#This Row],[Conditionnement]])</f>
        <v>0</v>
      </c>
      <c r="T1869" s="72"/>
      <c r="U1869" s="73"/>
      <c r="V1869" s="74">
        <f>Devis[[#This Row],[Prix de Revient]]*Devis[[#This Row],[Poste 1]]</f>
        <v>0</v>
      </c>
      <c r="W1869" s="74">
        <f>Devis[[#This Row],[Prix de Revient]]*Devis[[#This Row],[Poste 2]]</f>
        <v>0</v>
      </c>
      <c r="X1869" s="74">
        <f>Devis[[#This Row],[Prix de Revient]]*Devis[[#This Row],[Poste 3]]</f>
        <v>0</v>
      </c>
      <c r="Y1869" s="74">
        <f>Devis[[#This Row],[Poste 4]]*Devis[[#This Row],[Prix de Revient]]</f>
        <v>0</v>
      </c>
      <c r="Z1869" s="74">
        <f>Devis[[#This Row],[Poste 5]]*Devis[[#This Row],[Prix de Revient]]</f>
        <v>0</v>
      </c>
      <c r="AA1869" s="74">
        <f>Devis[[#This Row],[Prix de Revient]]*Devis[[#This Row],[Poste 6]]</f>
        <v>0</v>
      </c>
      <c r="AB1869" s="74">
        <f>Devis[[#This Row],[Quantité Totale]]*Devis[[#This Row],[Prix de Revient]]</f>
        <v>0</v>
      </c>
    </row>
    <row r="1870" spans="1:28" ht="14.25" outlineLevel="1" x14ac:dyDescent="0.2">
      <c r="A1870" s="75" t="s">
        <v>1647</v>
      </c>
      <c r="B1870" s="76" t="s">
        <v>4075</v>
      </c>
      <c r="C1870" s="76" t="s">
        <v>4075</v>
      </c>
      <c r="D1870" s="81" t="str">
        <f t="shared" si="32"/>
        <v>Inox Serti ItalienCol de cygneCol de cygne</v>
      </c>
      <c r="E1870" s="76" t="s">
        <v>1648</v>
      </c>
      <c r="F1870" s="76">
        <v>1</v>
      </c>
      <c r="G1870" s="71" t="s">
        <v>4076</v>
      </c>
      <c r="H1870" s="71" t="s">
        <v>459</v>
      </c>
      <c r="I1870" s="71">
        <v>178015316</v>
      </c>
      <c r="J1870" s="70">
        <f>IFERROR(VLOOKUP(Devis[[#This Row],[Ref Air Flux]],#REF!,3,FALSE),0)</f>
        <v>0</v>
      </c>
      <c r="K1870" s="68"/>
      <c r="L1870" s="68"/>
      <c r="M1870" s="68"/>
      <c r="N1870" s="68"/>
      <c r="O1870" s="68"/>
      <c r="P1870" s="68"/>
      <c r="Q1870" s="68">
        <f>SUM(Devis[[#This Row],[Poste 1]:[Poste 6]])</f>
        <v>0</v>
      </c>
      <c r="R1870" s="94"/>
      <c r="S1870" s="68">
        <f>_xlfn.CEILING.MATH(Devis[[#This Row],[Quantité Totale]],Devis[[#This Row],[Conditionnement]])</f>
        <v>0</v>
      </c>
      <c r="T1870" s="72"/>
      <c r="U1870" s="73"/>
      <c r="V1870" s="74">
        <f>Devis[[#This Row],[Prix de Revient]]*Devis[[#This Row],[Poste 1]]</f>
        <v>0</v>
      </c>
      <c r="W1870" s="74">
        <f>Devis[[#This Row],[Prix de Revient]]*Devis[[#This Row],[Poste 2]]</f>
        <v>0</v>
      </c>
      <c r="X1870" s="74">
        <f>Devis[[#This Row],[Prix de Revient]]*Devis[[#This Row],[Poste 3]]</f>
        <v>0</v>
      </c>
      <c r="Y1870" s="74">
        <f>Devis[[#This Row],[Poste 4]]*Devis[[#This Row],[Prix de Revient]]</f>
        <v>0</v>
      </c>
      <c r="Z1870" s="74">
        <f>Devis[[#This Row],[Poste 5]]*Devis[[#This Row],[Prix de Revient]]</f>
        <v>0</v>
      </c>
      <c r="AA1870" s="74">
        <f>Devis[[#This Row],[Prix de Revient]]*Devis[[#This Row],[Poste 6]]</f>
        <v>0</v>
      </c>
      <c r="AB1870" s="74">
        <f>Devis[[#This Row],[Quantité Totale]]*Devis[[#This Row],[Prix de Revient]]</f>
        <v>0</v>
      </c>
    </row>
    <row r="1871" spans="1:28" ht="14.25" outlineLevel="1" x14ac:dyDescent="0.2">
      <c r="A1871" s="75" t="s">
        <v>1647</v>
      </c>
      <c r="B1871" s="76" t="s">
        <v>4075</v>
      </c>
      <c r="C1871" s="76" t="s">
        <v>4075</v>
      </c>
      <c r="D1871" s="81" t="str">
        <f t="shared" si="32"/>
        <v>Inox Serti ItalienCol de cygneCol de cygne</v>
      </c>
      <c r="E1871" s="76" t="s">
        <v>1650</v>
      </c>
      <c r="F1871" s="76">
        <v>2</v>
      </c>
      <c r="G1871" s="71" t="s">
        <v>4077</v>
      </c>
      <c r="H1871" s="71" t="s">
        <v>459</v>
      </c>
      <c r="I1871" s="71">
        <v>178018316</v>
      </c>
      <c r="J1871" s="70">
        <f>IFERROR(VLOOKUP(Devis[[#This Row],[Ref Air Flux]],#REF!,3,FALSE),0)</f>
        <v>0</v>
      </c>
      <c r="K1871" s="68"/>
      <c r="L1871" s="68"/>
      <c r="M1871" s="68"/>
      <c r="N1871" s="68"/>
      <c r="O1871" s="68"/>
      <c r="P1871" s="68"/>
      <c r="Q1871" s="68">
        <f>SUM(Devis[[#This Row],[Poste 1]:[Poste 6]])</f>
        <v>0</v>
      </c>
      <c r="R1871" s="94"/>
      <c r="S1871" s="68">
        <f>_xlfn.CEILING.MATH(Devis[[#This Row],[Quantité Totale]],Devis[[#This Row],[Conditionnement]])</f>
        <v>0</v>
      </c>
      <c r="T1871" s="72"/>
      <c r="U1871" s="73"/>
      <c r="V1871" s="74">
        <f>Devis[[#This Row],[Prix de Revient]]*Devis[[#This Row],[Poste 1]]</f>
        <v>0</v>
      </c>
      <c r="W1871" s="74">
        <f>Devis[[#This Row],[Prix de Revient]]*Devis[[#This Row],[Poste 2]]</f>
        <v>0</v>
      </c>
      <c r="X1871" s="74">
        <f>Devis[[#This Row],[Prix de Revient]]*Devis[[#This Row],[Poste 3]]</f>
        <v>0</v>
      </c>
      <c r="Y1871" s="74">
        <f>Devis[[#This Row],[Poste 4]]*Devis[[#This Row],[Prix de Revient]]</f>
        <v>0</v>
      </c>
      <c r="Z1871" s="74">
        <f>Devis[[#This Row],[Poste 5]]*Devis[[#This Row],[Prix de Revient]]</f>
        <v>0</v>
      </c>
      <c r="AA1871" s="74">
        <f>Devis[[#This Row],[Prix de Revient]]*Devis[[#This Row],[Poste 6]]</f>
        <v>0</v>
      </c>
      <c r="AB1871" s="74">
        <f>Devis[[#This Row],[Quantité Totale]]*Devis[[#This Row],[Prix de Revient]]</f>
        <v>0</v>
      </c>
    </row>
    <row r="1872" spans="1:28" ht="14.25" outlineLevel="1" x14ac:dyDescent="0.2">
      <c r="A1872" s="75" t="s">
        <v>1647</v>
      </c>
      <c r="B1872" s="76" t="s">
        <v>4075</v>
      </c>
      <c r="C1872" s="76" t="s">
        <v>4075</v>
      </c>
      <c r="D1872" s="81" t="str">
        <f t="shared" si="32"/>
        <v>Inox Serti ItalienCol de cygneCol de cygne</v>
      </c>
      <c r="E1872" s="76" t="s">
        <v>1652</v>
      </c>
      <c r="F1872" s="76">
        <v>3</v>
      </c>
      <c r="G1872" s="71" t="s">
        <v>4078</v>
      </c>
      <c r="H1872" s="71" t="s">
        <v>459</v>
      </c>
      <c r="I1872" s="71">
        <v>178022316</v>
      </c>
      <c r="J1872" s="70">
        <f>IFERROR(VLOOKUP(Devis[[#This Row],[Ref Air Flux]],#REF!,3,FALSE),0)</f>
        <v>0</v>
      </c>
      <c r="K1872" s="68"/>
      <c r="L1872" s="68"/>
      <c r="M1872" s="68"/>
      <c r="N1872" s="68"/>
      <c r="O1872" s="68"/>
      <c r="P1872" s="68"/>
      <c r="Q1872" s="68">
        <f>SUM(Devis[[#This Row],[Poste 1]:[Poste 6]])</f>
        <v>0</v>
      </c>
      <c r="R1872" s="94"/>
      <c r="S1872" s="68">
        <f>_xlfn.CEILING.MATH(Devis[[#This Row],[Quantité Totale]],Devis[[#This Row],[Conditionnement]])</f>
        <v>0</v>
      </c>
      <c r="T1872" s="72"/>
      <c r="U1872" s="73"/>
      <c r="V1872" s="74">
        <f>Devis[[#This Row],[Prix de Revient]]*Devis[[#This Row],[Poste 1]]</f>
        <v>0</v>
      </c>
      <c r="W1872" s="74">
        <f>Devis[[#This Row],[Prix de Revient]]*Devis[[#This Row],[Poste 2]]</f>
        <v>0</v>
      </c>
      <c r="X1872" s="74">
        <f>Devis[[#This Row],[Prix de Revient]]*Devis[[#This Row],[Poste 3]]</f>
        <v>0</v>
      </c>
      <c r="Y1872" s="74">
        <f>Devis[[#This Row],[Poste 4]]*Devis[[#This Row],[Prix de Revient]]</f>
        <v>0</v>
      </c>
      <c r="Z1872" s="74">
        <f>Devis[[#This Row],[Poste 5]]*Devis[[#This Row],[Prix de Revient]]</f>
        <v>0</v>
      </c>
      <c r="AA1872" s="74">
        <f>Devis[[#This Row],[Prix de Revient]]*Devis[[#This Row],[Poste 6]]</f>
        <v>0</v>
      </c>
      <c r="AB1872" s="74">
        <f>Devis[[#This Row],[Quantité Totale]]*Devis[[#This Row],[Prix de Revient]]</f>
        <v>0</v>
      </c>
    </row>
    <row r="1873" spans="1:28" ht="15" customHeight="1" outlineLevel="1" x14ac:dyDescent="0.2">
      <c r="A1873" s="75" t="s">
        <v>1647</v>
      </c>
      <c r="B1873" s="76" t="s">
        <v>4075</v>
      </c>
      <c r="C1873" s="76" t="s">
        <v>4075</v>
      </c>
      <c r="D1873" s="81" t="str">
        <f t="shared" si="32"/>
        <v>Inox Serti ItalienCol de cygneCol de cygne</v>
      </c>
      <c r="E1873" s="76" t="s">
        <v>1704</v>
      </c>
      <c r="F1873" s="76">
        <v>4</v>
      </c>
      <c r="G1873" s="71" t="s">
        <v>4079</v>
      </c>
      <c r="H1873" s="71" t="s">
        <v>459</v>
      </c>
      <c r="I1873" s="71">
        <v>178028316</v>
      </c>
      <c r="J1873" s="70">
        <f>IFERROR(VLOOKUP(Devis[[#This Row],[Ref Air Flux]],#REF!,3,FALSE),0)</f>
        <v>0</v>
      </c>
      <c r="K1873" s="68"/>
      <c r="L1873" s="68"/>
      <c r="M1873" s="68"/>
      <c r="N1873" s="68"/>
      <c r="O1873" s="68"/>
      <c r="P1873" s="68"/>
      <c r="Q1873" s="68">
        <f>SUM(Devis[[#This Row],[Poste 1]:[Poste 6]])</f>
        <v>0</v>
      </c>
      <c r="R1873" s="94"/>
      <c r="S1873" s="68">
        <f>_xlfn.CEILING.MATH(Devis[[#This Row],[Quantité Totale]],Devis[[#This Row],[Conditionnement]])</f>
        <v>0</v>
      </c>
      <c r="T1873" s="72"/>
      <c r="U1873" s="73"/>
      <c r="V1873" s="74">
        <f>Devis[[#This Row],[Prix de Revient]]*Devis[[#This Row],[Poste 1]]</f>
        <v>0</v>
      </c>
      <c r="W1873" s="74">
        <f>Devis[[#This Row],[Prix de Revient]]*Devis[[#This Row],[Poste 2]]</f>
        <v>0</v>
      </c>
      <c r="X1873" s="74">
        <f>Devis[[#This Row],[Prix de Revient]]*Devis[[#This Row],[Poste 3]]</f>
        <v>0</v>
      </c>
      <c r="Y1873" s="74">
        <f>Devis[[#This Row],[Poste 4]]*Devis[[#This Row],[Prix de Revient]]</f>
        <v>0</v>
      </c>
      <c r="Z1873" s="74">
        <f>Devis[[#This Row],[Poste 5]]*Devis[[#This Row],[Prix de Revient]]</f>
        <v>0</v>
      </c>
      <c r="AA1873" s="74">
        <f>Devis[[#This Row],[Prix de Revient]]*Devis[[#This Row],[Poste 6]]</f>
        <v>0</v>
      </c>
      <c r="AB1873" s="74">
        <f>Devis[[#This Row],[Quantité Totale]]*Devis[[#This Row],[Prix de Revient]]</f>
        <v>0</v>
      </c>
    </row>
    <row r="1874" spans="1:28" ht="14.25" customHeight="1" x14ac:dyDescent="0.25">
      <c r="A1874" s="65" t="s">
        <v>1647</v>
      </c>
      <c r="B1874" s="65" t="s">
        <v>1700</v>
      </c>
      <c r="C1874" s="76" t="s">
        <v>1700</v>
      </c>
      <c r="D1874" s="81" t="str">
        <f t="shared" si="32"/>
        <v>Inox Serti ItalienCoude 30° FF inox serti 316LCoude 30° FF inox serti 316L</v>
      </c>
      <c r="E1874" s="76"/>
      <c r="F1874" s="76">
        <v>0</v>
      </c>
      <c r="G1874" s="71"/>
      <c r="H1874" s="71"/>
      <c r="I1874" s="71"/>
      <c r="J1874" s="70">
        <f>IFERROR(VLOOKUP(Devis[[#This Row],[Ref Air Flux]],#REF!,3,FALSE),0)</f>
        <v>0</v>
      </c>
      <c r="K1874" s="68"/>
      <c r="L1874" s="68"/>
      <c r="M1874" s="68"/>
      <c r="N1874" s="68"/>
      <c r="O1874" s="68"/>
      <c r="P1874" s="68"/>
      <c r="Q1874" s="68">
        <f>SUM(Devis[[#This Row],[Poste 1]:[Poste 6]])</f>
        <v>0</v>
      </c>
      <c r="R1874" s="71"/>
      <c r="S1874" s="68">
        <f>_xlfn.CEILING.MATH(Devis[[#This Row],[Quantité Totale]],Devis[[#This Row],[Conditionnement]])</f>
        <v>0</v>
      </c>
      <c r="T1874" s="72"/>
      <c r="U1874" s="73"/>
      <c r="V1874" s="74">
        <f>Devis[[#This Row],[Prix de Revient]]*Devis[[#This Row],[Poste 1]]</f>
        <v>0</v>
      </c>
      <c r="W1874" s="74">
        <f>Devis[[#This Row],[Prix de Revient]]*Devis[[#This Row],[Poste 2]]</f>
        <v>0</v>
      </c>
      <c r="X1874" s="74">
        <f>Devis[[#This Row],[Prix de Revient]]*Devis[[#This Row],[Poste 3]]</f>
        <v>0</v>
      </c>
      <c r="Y1874" s="74">
        <f>Devis[[#This Row],[Poste 4]]*Devis[[#This Row],[Prix de Revient]]</f>
        <v>0</v>
      </c>
      <c r="Z1874" s="74">
        <f>Devis[[#This Row],[Poste 5]]*Devis[[#This Row],[Prix de Revient]]</f>
        <v>0</v>
      </c>
      <c r="AA1874" s="74">
        <f>Devis[[#This Row],[Prix de Revient]]*Devis[[#This Row],[Poste 6]]</f>
        <v>0</v>
      </c>
      <c r="AB1874" s="74">
        <f>Devis[[#This Row],[Quantité Totale]]*Devis[[#This Row],[Prix de Revient]]</f>
        <v>0</v>
      </c>
    </row>
    <row r="1875" spans="1:28" ht="14.25" outlineLevel="1" x14ac:dyDescent="0.2">
      <c r="A1875" s="75" t="s">
        <v>1647</v>
      </c>
      <c r="B1875" s="76" t="s">
        <v>1700</v>
      </c>
      <c r="C1875" s="76" t="s">
        <v>1700</v>
      </c>
      <c r="D1875" s="81" t="str">
        <f t="shared" ref="D1875:D1938" si="33">A1875&amp;B1875&amp;C1875</f>
        <v>Inox Serti ItalienCoude 30° FF inox serti 316LCoude 30° FF inox serti 316L</v>
      </c>
      <c r="E1875" s="76" t="s">
        <v>1648</v>
      </c>
      <c r="F1875" s="76">
        <v>1</v>
      </c>
      <c r="G1875" s="71" t="s">
        <v>1701</v>
      </c>
      <c r="H1875" s="71" t="s">
        <v>459</v>
      </c>
      <c r="I1875" s="71">
        <v>181015300</v>
      </c>
      <c r="J1875" s="70">
        <f>IFERROR(VLOOKUP(Devis[[#This Row],[Ref Air Flux]],#REF!,3,FALSE),0)</f>
        <v>0</v>
      </c>
      <c r="K1875" s="68"/>
      <c r="L1875" s="68"/>
      <c r="M1875" s="68"/>
      <c r="N1875" s="68"/>
      <c r="O1875" s="68"/>
      <c r="P1875" s="68"/>
      <c r="Q1875" s="68">
        <f>SUM(Devis[[#This Row],[Poste 1]:[Poste 6]])</f>
        <v>0</v>
      </c>
      <c r="R1875" s="71">
        <v>20</v>
      </c>
      <c r="S1875" s="68">
        <f>_xlfn.CEILING.MATH(Devis[[#This Row],[Quantité Totale]],Devis[[#This Row],[Conditionnement]])</f>
        <v>0</v>
      </c>
      <c r="T1875" s="72"/>
      <c r="U1875" s="73"/>
      <c r="V1875" s="74">
        <f>Devis[[#This Row],[Prix de Revient]]*Devis[[#This Row],[Poste 1]]</f>
        <v>0</v>
      </c>
      <c r="W1875" s="74">
        <f>Devis[[#This Row],[Prix de Revient]]*Devis[[#This Row],[Poste 2]]</f>
        <v>0</v>
      </c>
      <c r="X1875" s="74">
        <f>Devis[[#This Row],[Prix de Revient]]*Devis[[#This Row],[Poste 3]]</f>
        <v>0</v>
      </c>
      <c r="Y1875" s="74">
        <f>Devis[[#This Row],[Poste 4]]*Devis[[#This Row],[Prix de Revient]]</f>
        <v>0</v>
      </c>
      <c r="Z1875" s="74">
        <f>Devis[[#This Row],[Poste 5]]*Devis[[#This Row],[Prix de Revient]]</f>
        <v>0</v>
      </c>
      <c r="AA1875" s="74">
        <f>Devis[[#This Row],[Prix de Revient]]*Devis[[#This Row],[Poste 6]]</f>
        <v>0</v>
      </c>
      <c r="AB1875" s="74">
        <f>Devis[[#This Row],[Quantité Totale]]*Devis[[#This Row],[Prix de Revient]]</f>
        <v>0</v>
      </c>
    </row>
    <row r="1876" spans="1:28" ht="14.25" outlineLevel="1" x14ac:dyDescent="0.2">
      <c r="A1876" s="75" t="s">
        <v>1647</v>
      </c>
      <c r="B1876" s="76" t="s">
        <v>1700</v>
      </c>
      <c r="C1876" s="76" t="s">
        <v>1700</v>
      </c>
      <c r="D1876" s="81" t="str">
        <f t="shared" si="33"/>
        <v>Inox Serti ItalienCoude 30° FF inox serti 316LCoude 30° FF inox serti 316L</v>
      </c>
      <c r="E1876" s="76" t="s">
        <v>1650</v>
      </c>
      <c r="F1876" s="76">
        <v>2</v>
      </c>
      <c r="G1876" s="71" t="s">
        <v>1702</v>
      </c>
      <c r="H1876" s="71" t="s">
        <v>459</v>
      </c>
      <c r="I1876" s="71">
        <v>181018300</v>
      </c>
      <c r="J1876" s="70">
        <f>IFERROR(VLOOKUP(Devis[[#This Row],[Ref Air Flux]],#REF!,3,FALSE),0)</f>
        <v>0</v>
      </c>
      <c r="K1876" s="68"/>
      <c r="L1876" s="68"/>
      <c r="M1876" s="68"/>
      <c r="N1876" s="68"/>
      <c r="O1876" s="68"/>
      <c r="P1876" s="68"/>
      <c r="Q1876" s="68">
        <f>SUM(Devis[[#This Row],[Poste 1]:[Poste 6]])</f>
        <v>0</v>
      </c>
      <c r="R1876" s="71">
        <v>20</v>
      </c>
      <c r="S1876" s="68">
        <f>_xlfn.CEILING.MATH(Devis[[#This Row],[Quantité Totale]],Devis[[#This Row],[Conditionnement]])</f>
        <v>0</v>
      </c>
      <c r="T1876" s="72"/>
      <c r="U1876" s="73"/>
      <c r="V1876" s="74">
        <f>Devis[[#This Row],[Prix de Revient]]*Devis[[#This Row],[Poste 1]]</f>
        <v>0</v>
      </c>
      <c r="W1876" s="74">
        <f>Devis[[#This Row],[Prix de Revient]]*Devis[[#This Row],[Poste 2]]</f>
        <v>0</v>
      </c>
      <c r="X1876" s="74">
        <f>Devis[[#This Row],[Prix de Revient]]*Devis[[#This Row],[Poste 3]]</f>
        <v>0</v>
      </c>
      <c r="Y1876" s="74">
        <f>Devis[[#This Row],[Poste 4]]*Devis[[#This Row],[Prix de Revient]]</f>
        <v>0</v>
      </c>
      <c r="Z1876" s="74">
        <f>Devis[[#This Row],[Poste 5]]*Devis[[#This Row],[Prix de Revient]]</f>
        <v>0</v>
      </c>
      <c r="AA1876" s="74">
        <f>Devis[[#This Row],[Prix de Revient]]*Devis[[#This Row],[Poste 6]]</f>
        <v>0</v>
      </c>
      <c r="AB1876" s="74">
        <f>Devis[[#This Row],[Quantité Totale]]*Devis[[#This Row],[Prix de Revient]]</f>
        <v>0</v>
      </c>
    </row>
    <row r="1877" spans="1:28" ht="14.25" customHeight="1" outlineLevel="1" x14ac:dyDescent="0.2">
      <c r="A1877" s="75" t="s">
        <v>1647</v>
      </c>
      <c r="B1877" s="76" t="s">
        <v>1700</v>
      </c>
      <c r="C1877" s="76" t="s">
        <v>1700</v>
      </c>
      <c r="D1877" s="81" t="str">
        <f t="shared" si="33"/>
        <v>Inox Serti ItalienCoude 30° FF inox serti 316LCoude 30° FF inox serti 316L</v>
      </c>
      <c r="E1877" s="76" t="s">
        <v>1652</v>
      </c>
      <c r="F1877" s="76">
        <v>3</v>
      </c>
      <c r="G1877" s="71" t="s">
        <v>1703</v>
      </c>
      <c r="H1877" s="71" t="s">
        <v>459</v>
      </c>
      <c r="I1877" s="71">
        <v>181022300</v>
      </c>
      <c r="J1877" s="70">
        <f>IFERROR(VLOOKUP(Devis[[#This Row],[Ref Air Flux]],#REF!,3,FALSE),0)</f>
        <v>0</v>
      </c>
      <c r="K1877" s="68"/>
      <c r="L1877" s="68"/>
      <c r="M1877" s="68"/>
      <c r="N1877" s="68"/>
      <c r="O1877" s="68"/>
      <c r="P1877" s="68"/>
      <c r="Q1877" s="68">
        <f>SUM(Devis[[#This Row],[Poste 1]:[Poste 6]])</f>
        <v>0</v>
      </c>
      <c r="R1877" s="71">
        <v>20</v>
      </c>
      <c r="S1877" s="68">
        <f>_xlfn.CEILING.MATH(Devis[[#This Row],[Quantité Totale]],Devis[[#This Row],[Conditionnement]])</f>
        <v>0</v>
      </c>
      <c r="T1877" s="72"/>
      <c r="U1877" s="73"/>
      <c r="V1877" s="74">
        <f>Devis[[#This Row],[Prix de Revient]]*Devis[[#This Row],[Poste 1]]</f>
        <v>0</v>
      </c>
      <c r="W1877" s="74">
        <f>Devis[[#This Row],[Prix de Revient]]*Devis[[#This Row],[Poste 2]]</f>
        <v>0</v>
      </c>
      <c r="X1877" s="74">
        <f>Devis[[#This Row],[Prix de Revient]]*Devis[[#This Row],[Poste 3]]</f>
        <v>0</v>
      </c>
      <c r="Y1877" s="74">
        <f>Devis[[#This Row],[Poste 4]]*Devis[[#This Row],[Prix de Revient]]</f>
        <v>0</v>
      </c>
      <c r="Z1877" s="74">
        <f>Devis[[#This Row],[Poste 5]]*Devis[[#This Row],[Prix de Revient]]</f>
        <v>0</v>
      </c>
      <c r="AA1877" s="74">
        <f>Devis[[#This Row],[Prix de Revient]]*Devis[[#This Row],[Poste 6]]</f>
        <v>0</v>
      </c>
      <c r="AB1877" s="74">
        <f>Devis[[#This Row],[Quantité Totale]]*Devis[[#This Row],[Prix de Revient]]</f>
        <v>0</v>
      </c>
    </row>
    <row r="1878" spans="1:28" ht="14.25" customHeight="1" outlineLevel="1" x14ac:dyDescent="0.2">
      <c r="A1878" s="75" t="s">
        <v>1647</v>
      </c>
      <c r="B1878" s="76" t="s">
        <v>1700</v>
      </c>
      <c r="C1878" s="76" t="s">
        <v>1700</v>
      </c>
      <c r="D1878" s="81" t="str">
        <f t="shared" si="33"/>
        <v>Inox Serti ItalienCoude 30° FF inox serti 316LCoude 30° FF inox serti 316L</v>
      </c>
      <c r="E1878" s="76" t="s">
        <v>1704</v>
      </c>
      <c r="F1878" s="76">
        <v>4</v>
      </c>
      <c r="G1878" s="71" t="s">
        <v>1705</v>
      </c>
      <c r="H1878" s="71" t="s">
        <v>459</v>
      </c>
      <c r="I1878" s="71">
        <v>181028300</v>
      </c>
      <c r="J1878" s="70">
        <f>IFERROR(VLOOKUP(Devis[[#This Row],[Ref Air Flux]],#REF!,3,FALSE),0)</f>
        <v>0</v>
      </c>
      <c r="K1878" s="68"/>
      <c r="L1878" s="68"/>
      <c r="M1878" s="68"/>
      <c r="N1878" s="68"/>
      <c r="O1878" s="68"/>
      <c r="P1878" s="68"/>
      <c r="Q1878" s="68">
        <f>SUM(Devis[[#This Row],[Poste 1]:[Poste 6]])</f>
        <v>0</v>
      </c>
      <c r="R1878" s="71">
        <v>10</v>
      </c>
      <c r="S1878" s="68">
        <f>_xlfn.CEILING.MATH(Devis[[#This Row],[Quantité Totale]],Devis[[#This Row],[Conditionnement]])</f>
        <v>0</v>
      </c>
      <c r="T1878" s="72"/>
      <c r="U1878" s="73"/>
      <c r="V1878" s="74">
        <f>Devis[[#This Row],[Prix de Revient]]*Devis[[#This Row],[Poste 1]]</f>
        <v>0</v>
      </c>
      <c r="W1878" s="74">
        <f>Devis[[#This Row],[Prix de Revient]]*Devis[[#This Row],[Poste 2]]</f>
        <v>0</v>
      </c>
      <c r="X1878" s="74">
        <f>Devis[[#This Row],[Prix de Revient]]*Devis[[#This Row],[Poste 3]]</f>
        <v>0</v>
      </c>
      <c r="Y1878" s="74">
        <f>Devis[[#This Row],[Poste 4]]*Devis[[#This Row],[Prix de Revient]]</f>
        <v>0</v>
      </c>
      <c r="Z1878" s="74">
        <f>Devis[[#This Row],[Poste 5]]*Devis[[#This Row],[Prix de Revient]]</f>
        <v>0</v>
      </c>
      <c r="AA1878" s="74">
        <f>Devis[[#This Row],[Prix de Revient]]*Devis[[#This Row],[Poste 6]]</f>
        <v>0</v>
      </c>
      <c r="AB1878" s="74">
        <f>Devis[[#This Row],[Quantité Totale]]*Devis[[#This Row],[Prix de Revient]]</f>
        <v>0</v>
      </c>
    </row>
    <row r="1879" spans="1:28" ht="14.25" customHeight="1" outlineLevel="1" x14ac:dyDescent="0.2">
      <c r="A1879" s="75" t="s">
        <v>1647</v>
      </c>
      <c r="B1879" s="76" t="s">
        <v>1700</v>
      </c>
      <c r="C1879" s="76" t="s">
        <v>1700</v>
      </c>
      <c r="D1879" s="81" t="str">
        <f t="shared" si="33"/>
        <v>Inox Serti ItalienCoude 30° FF inox serti 316LCoude 30° FF inox serti 316L</v>
      </c>
      <c r="E1879" s="76" t="s">
        <v>1655</v>
      </c>
      <c r="F1879" s="76">
        <v>5</v>
      </c>
      <c r="G1879" s="71" t="s">
        <v>1706</v>
      </c>
      <c r="H1879" s="71" t="s">
        <v>459</v>
      </c>
      <c r="I1879" s="71">
        <v>181035300</v>
      </c>
      <c r="J1879" s="70">
        <f>IFERROR(VLOOKUP(Devis[[#This Row],[Ref Air Flux]],#REF!,3,FALSE),0)</f>
        <v>0</v>
      </c>
      <c r="K1879" s="68"/>
      <c r="L1879" s="68"/>
      <c r="M1879" s="68"/>
      <c r="N1879" s="68"/>
      <c r="O1879" s="68"/>
      <c r="P1879" s="68"/>
      <c r="Q1879" s="68">
        <f>SUM(Devis[[#This Row],[Poste 1]:[Poste 6]])</f>
        <v>0</v>
      </c>
      <c r="R1879" s="71">
        <v>10</v>
      </c>
      <c r="S1879" s="68">
        <f>_xlfn.CEILING.MATH(Devis[[#This Row],[Quantité Totale]],Devis[[#This Row],[Conditionnement]])</f>
        <v>0</v>
      </c>
      <c r="T1879" s="72"/>
      <c r="U1879" s="73"/>
      <c r="V1879" s="74">
        <f>Devis[[#This Row],[Prix de Revient]]*Devis[[#This Row],[Poste 1]]</f>
        <v>0</v>
      </c>
      <c r="W1879" s="74">
        <f>Devis[[#This Row],[Prix de Revient]]*Devis[[#This Row],[Poste 2]]</f>
        <v>0</v>
      </c>
      <c r="X1879" s="74">
        <f>Devis[[#This Row],[Prix de Revient]]*Devis[[#This Row],[Poste 3]]</f>
        <v>0</v>
      </c>
      <c r="Y1879" s="74">
        <f>Devis[[#This Row],[Poste 4]]*Devis[[#This Row],[Prix de Revient]]</f>
        <v>0</v>
      </c>
      <c r="Z1879" s="74">
        <f>Devis[[#This Row],[Poste 5]]*Devis[[#This Row],[Prix de Revient]]</f>
        <v>0</v>
      </c>
      <c r="AA1879" s="74">
        <f>Devis[[#This Row],[Prix de Revient]]*Devis[[#This Row],[Poste 6]]</f>
        <v>0</v>
      </c>
      <c r="AB1879" s="74">
        <f>Devis[[#This Row],[Quantité Totale]]*Devis[[#This Row],[Prix de Revient]]</f>
        <v>0</v>
      </c>
    </row>
    <row r="1880" spans="1:28" ht="14.25" outlineLevel="1" x14ac:dyDescent="0.2">
      <c r="A1880" s="75" t="s">
        <v>1647</v>
      </c>
      <c r="B1880" s="76" t="s">
        <v>1700</v>
      </c>
      <c r="C1880" s="76" t="s">
        <v>1700</v>
      </c>
      <c r="D1880" s="81" t="str">
        <f t="shared" si="33"/>
        <v>Inox Serti ItalienCoude 30° FF inox serti 316LCoude 30° FF inox serti 316L</v>
      </c>
      <c r="E1880" s="76" t="s">
        <v>1657</v>
      </c>
      <c r="F1880" s="76">
        <v>6</v>
      </c>
      <c r="G1880" s="71" t="s">
        <v>1707</v>
      </c>
      <c r="H1880" s="71" t="s">
        <v>459</v>
      </c>
      <c r="I1880" s="71">
        <v>181042300</v>
      </c>
      <c r="J1880" s="70">
        <f>IFERROR(VLOOKUP(Devis[[#This Row],[Ref Air Flux]],#REF!,3,FALSE),0)</f>
        <v>0</v>
      </c>
      <c r="K1880" s="68"/>
      <c r="L1880" s="68"/>
      <c r="M1880" s="68"/>
      <c r="N1880" s="68"/>
      <c r="O1880" s="68"/>
      <c r="P1880" s="68"/>
      <c r="Q1880" s="68">
        <f>SUM(Devis[[#This Row],[Poste 1]:[Poste 6]])</f>
        <v>0</v>
      </c>
      <c r="R1880" s="71">
        <v>4</v>
      </c>
      <c r="S1880" s="68">
        <f>_xlfn.CEILING.MATH(Devis[[#This Row],[Quantité Totale]],Devis[[#This Row],[Conditionnement]])</f>
        <v>0</v>
      </c>
      <c r="T1880" s="72"/>
      <c r="U1880" s="73"/>
      <c r="V1880" s="74">
        <f>Devis[[#This Row],[Prix de Revient]]*Devis[[#This Row],[Poste 1]]</f>
        <v>0</v>
      </c>
      <c r="W1880" s="74">
        <f>Devis[[#This Row],[Prix de Revient]]*Devis[[#This Row],[Poste 2]]</f>
        <v>0</v>
      </c>
      <c r="X1880" s="74">
        <f>Devis[[#This Row],[Prix de Revient]]*Devis[[#This Row],[Poste 3]]</f>
        <v>0</v>
      </c>
      <c r="Y1880" s="74">
        <f>Devis[[#This Row],[Poste 4]]*Devis[[#This Row],[Prix de Revient]]</f>
        <v>0</v>
      </c>
      <c r="Z1880" s="74">
        <f>Devis[[#This Row],[Poste 5]]*Devis[[#This Row],[Prix de Revient]]</f>
        <v>0</v>
      </c>
      <c r="AA1880" s="74">
        <f>Devis[[#This Row],[Prix de Revient]]*Devis[[#This Row],[Poste 6]]</f>
        <v>0</v>
      </c>
      <c r="AB1880" s="74">
        <f>Devis[[#This Row],[Quantité Totale]]*Devis[[#This Row],[Prix de Revient]]</f>
        <v>0</v>
      </c>
    </row>
    <row r="1881" spans="1:28" ht="14.25" outlineLevel="1" x14ac:dyDescent="0.2">
      <c r="A1881" s="75" t="s">
        <v>1647</v>
      </c>
      <c r="B1881" s="76" t="s">
        <v>1700</v>
      </c>
      <c r="C1881" s="76" t="s">
        <v>1700</v>
      </c>
      <c r="D1881" s="81" t="str">
        <f t="shared" si="33"/>
        <v>Inox Serti ItalienCoude 30° FF inox serti 316LCoude 30° FF inox serti 316L</v>
      </c>
      <c r="E1881" s="76" t="s">
        <v>1708</v>
      </c>
      <c r="F1881" s="76">
        <v>7</v>
      </c>
      <c r="G1881" s="71" t="s">
        <v>1709</v>
      </c>
      <c r="H1881" s="71" t="s">
        <v>459</v>
      </c>
      <c r="I1881" s="71">
        <v>181054300</v>
      </c>
      <c r="J1881" s="70">
        <f>IFERROR(VLOOKUP(Devis[[#This Row],[Ref Air Flux]],#REF!,3,FALSE),0)</f>
        <v>0</v>
      </c>
      <c r="K1881" s="68"/>
      <c r="L1881" s="68"/>
      <c r="M1881" s="68"/>
      <c r="N1881" s="68"/>
      <c r="O1881" s="68"/>
      <c r="P1881" s="68"/>
      <c r="Q1881" s="68">
        <f>SUM(Devis[[#This Row],[Poste 1]:[Poste 6]])</f>
        <v>0</v>
      </c>
      <c r="R1881" s="71">
        <v>2</v>
      </c>
      <c r="S1881" s="68">
        <f>_xlfn.CEILING.MATH(Devis[[#This Row],[Quantité Totale]],Devis[[#This Row],[Conditionnement]])</f>
        <v>0</v>
      </c>
      <c r="T1881" s="72"/>
      <c r="U1881" s="73"/>
      <c r="V1881" s="74">
        <f>Devis[[#This Row],[Prix de Revient]]*Devis[[#This Row],[Poste 1]]</f>
        <v>0</v>
      </c>
      <c r="W1881" s="74">
        <f>Devis[[#This Row],[Prix de Revient]]*Devis[[#This Row],[Poste 2]]</f>
        <v>0</v>
      </c>
      <c r="X1881" s="74">
        <f>Devis[[#This Row],[Prix de Revient]]*Devis[[#This Row],[Poste 3]]</f>
        <v>0</v>
      </c>
      <c r="Y1881" s="74">
        <f>Devis[[#This Row],[Poste 4]]*Devis[[#This Row],[Prix de Revient]]</f>
        <v>0</v>
      </c>
      <c r="Z1881" s="74">
        <f>Devis[[#This Row],[Poste 5]]*Devis[[#This Row],[Prix de Revient]]</f>
        <v>0</v>
      </c>
      <c r="AA1881" s="74">
        <f>Devis[[#This Row],[Prix de Revient]]*Devis[[#This Row],[Poste 6]]</f>
        <v>0</v>
      </c>
      <c r="AB1881" s="74">
        <f>Devis[[#This Row],[Quantité Totale]]*Devis[[#This Row],[Prix de Revient]]</f>
        <v>0</v>
      </c>
    </row>
    <row r="1882" spans="1:28" ht="14.25" outlineLevel="1" x14ac:dyDescent="0.2">
      <c r="A1882" s="75" t="s">
        <v>1647</v>
      </c>
      <c r="B1882" s="76" t="s">
        <v>1700</v>
      </c>
      <c r="C1882" s="76" t="s">
        <v>1700</v>
      </c>
      <c r="D1882" s="81" t="str">
        <f t="shared" si="33"/>
        <v>Inox Serti ItalienCoude 30° FF inox serti 316LCoude 30° FF inox serti 316L</v>
      </c>
      <c r="E1882" s="76" t="s">
        <v>1710</v>
      </c>
      <c r="F1882" s="76">
        <v>8</v>
      </c>
      <c r="G1882" s="71" t="s">
        <v>1711</v>
      </c>
      <c r="H1882" s="71" t="s">
        <v>459</v>
      </c>
      <c r="I1882" s="71">
        <v>181076300</v>
      </c>
      <c r="J1882" s="70">
        <f>IFERROR(VLOOKUP(Devis[[#This Row],[Ref Air Flux]],#REF!,3,FALSE),0)</f>
        <v>0</v>
      </c>
      <c r="K1882" s="68"/>
      <c r="L1882" s="68"/>
      <c r="M1882" s="68"/>
      <c r="N1882" s="68"/>
      <c r="O1882" s="68"/>
      <c r="P1882" s="68"/>
      <c r="Q1882" s="68">
        <f>SUM(Devis[[#This Row],[Poste 1]:[Poste 6]])</f>
        <v>0</v>
      </c>
      <c r="R1882" s="71">
        <v>2</v>
      </c>
      <c r="S1882" s="68">
        <f>_xlfn.CEILING.MATH(Devis[[#This Row],[Quantité Totale]],Devis[[#This Row],[Conditionnement]])</f>
        <v>0</v>
      </c>
      <c r="T1882" s="72"/>
      <c r="U1882" s="73"/>
      <c r="V1882" s="74">
        <f>Devis[[#This Row],[Prix de Revient]]*Devis[[#This Row],[Poste 1]]</f>
        <v>0</v>
      </c>
      <c r="W1882" s="74">
        <f>Devis[[#This Row],[Prix de Revient]]*Devis[[#This Row],[Poste 2]]</f>
        <v>0</v>
      </c>
      <c r="X1882" s="74">
        <f>Devis[[#This Row],[Prix de Revient]]*Devis[[#This Row],[Poste 3]]</f>
        <v>0</v>
      </c>
      <c r="Y1882" s="74">
        <f>Devis[[#This Row],[Poste 4]]*Devis[[#This Row],[Prix de Revient]]</f>
        <v>0</v>
      </c>
      <c r="Z1882" s="74">
        <f>Devis[[#This Row],[Poste 5]]*Devis[[#This Row],[Prix de Revient]]</f>
        <v>0</v>
      </c>
      <c r="AA1882" s="74">
        <f>Devis[[#This Row],[Prix de Revient]]*Devis[[#This Row],[Poste 6]]</f>
        <v>0</v>
      </c>
      <c r="AB1882" s="74">
        <f>Devis[[#This Row],[Quantité Totale]]*Devis[[#This Row],[Prix de Revient]]</f>
        <v>0</v>
      </c>
    </row>
    <row r="1883" spans="1:28" ht="14.25" outlineLevel="1" x14ac:dyDescent="0.2">
      <c r="A1883" s="75" t="s">
        <v>1647</v>
      </c>
      <c r="B1883" s="76" t="s">
        <v>1700</v>
      </c>
      <c r="C1883" s="76" t="s">
        <v>1700</v>
      </c>
      <c r="D1883" s="81" t="str">
        <f t="shared" si="33"/>
        <v>Inox Serti ItalienCoude 30° FF inox serti 316LCoude 30° FF inox serti 316L</v>
      </c>
      <c r="E1883" s="76" t="s">
        <v>1712</v>
      </c>
      <c r="F1883" s="76">
        <v>9</v>
      </c>
      <c r="G1883" s="71" t="s">
        <v>1713</v>
      </c>
      <c r="H1883" s="71" t="s">
        <v>459</v>
      </c>
      <c r="I1883" s="71">
        <v>181088300</v>
      </c>
      <c r="J1883" s="70">
        <f>IFERROR(VLOOKUP(Devis[[#This Row],[Ref Air Flux]],#REF!,3,FALSE),0)</f>
        <v>0</v>
      </c>
      <c r="K1883" s="68"/>
      <c r="L1883" s="68"/>
      <c r="M1883" s="68"/>
      <c r="N1883" s="68"/>
      <c r="O1883" s="68"/>
      <c r="P1883" s="68"/>
      <c r="Q1883" s="68">
        <f>SUM(Devis[[#This Row],[Poste 1]:[Poste 6]])</f>
        <v>0</v>
      </c>
      <c r="R1883" s="71">
        <v>2</v>
      </c>
      <c r="S1883" s="68">
        <f>_xlfn.CEILING.MATH(Devis[[#This Row],[Quantité Totale]],Devis[[#This Row],[Conditionnement]])</f>
        <v>0</v>
      </c>
      <c r="T1883" s="72"/>
      <c r="U1883" s="73"/>
      <c r="V1883" s="74">
        <f>Devis[[#This Row],[Prix de Revient]]*Devis[[#This Row],[Poste 1]]</f>
        <v>0</v>
      </c>
      <c r="W1883" s="74">
        <f>Devis[[#This Row],[Prix de Revient]]*Devis[[#This Row],[Poste 2]]</f>
        <v>0</v>
      </c>
      <c r="X1883" s="74">
        <f>Devis[[#This Row],[Prix de Revient]]*Devis[[#This Row],[Poste 3]]</f>
        <v>0</v>
      </c>
      <c r="Y1883" s="74">
        <f>Devis[[#This Row],[Poste 4]]*Devis[[#This Row],[Prix de Revient]]</f>
        <v>0</v>
      </c>
      <c r="Z1883" s="74">
        <f>Devis[[#This Row],[Poste 5]]*Devis[[#This Row],[Prix de Revient]]</f>
        <v>0</v>
      </c>
      <c r="AA1883" s="74">
        <f>Devis[[#This Row],[Prix de Revient]]*Devis[[#This Row],[Poste 6]]</f>
        <v>0</v>
      </c>
      <c r="AB1883" s="74">
        <f>Devis[[#This Row],[Quantité Totale]]*Devis[[#This Row],[Prix de Revient]]</f>
        <v>0</v>
      </c>
    </row>
    <row r="1884" spans="1:28" ht="14.25" outlineLevel="1" x14ac:dyDescent="0.2">
      <c r="A1884" s="75" t="s">
        <v>1647</v>
      </c>
      <c r="B1884" s="76" t="s">
        <v>1700</v>
      </c>
      <c r="C1884" s="76" t="s">
        <v>1700</v>
      </c>
      <c r="D1884" s="81" t="str">
        <f t="shared" si="33"/>
        <v>Inox Serti ItalienCoude 30° FF inox serti 316LCoude 30° FF inox serti 316L</v>
      </c>
      <c r="E1884" s="76" t="s">
        <v>1714</v>
      </c>
      <c r="F1884" s="76">
        <v>10</v>
      </c>
      <c r="G1884" s="71" t="s">
        <v>1715</v>
      </c>
      <c r="H1884" s="71" t="s">
        <v>459</v>
      </c>
      <c r="I1884" s="71">
        <v>181108300</v>
      </c>
      <c r="J1884" s="70">
        <f>IFERROR(VLOOKUP(Devis[[#This Row],[Ref Air Flux]],#REF!,3,FALSE),0)</f>
        <v>0</v>
      </c>
      <c r="K1884" s="68"/>
      <c r="L1884" s="68"/>
      <c r="M1884" s="68"/>
      <c r="N1884" s="68"/>
      <c r="O1884" s="68"/>
      <c r="P1884" s="68"/>
      <c r="Q1884" s="68">
        <f>SUM(Devis[[#This Row],[Poste 1]:[Poste 6]])</f>
        <v>0</v>
      </c>
      <c r="R1884" s="71">
        <v>2</v>
      </c>
      <c r="S1884" s="68">
        <f>_xlfn.CEILING.MATH(Devis[[#This Row],[Quantité Totale]],Devis[[#This Row],[Conditionnement]])</f>
        <v>0</v>
      </c>
      <c r="T1884" s="72"/>
      <c r="U1884" s="73"/>
      <c r="V1884" s="74">
        <f>Devis[[#This Row],[Prix de Revient]]*Devis[[#This Row],[Poste 1]]</f>
        <v>0</v>
      </c>
      <c r="W1884" s="74">
        <f>Devis[[#This Row],[Prix de Revient]]*Devis[[#This Row],[Poste 2]]</f>
        <v>0</v>
      </c>
      <c r="X1884" s="74">
        <f>Devis[[#This Row],[Prix de Revient]]*Devis[[#This Row],[Poste 3]]</f>
        <v>0</v>
      </c>
      <c r="Y1884" s="74">
        <f>Devis[[#This Row],[Poste 4]]*Devis[[#This Row],[Prix de Revient]]</f>
        <v>0</v>
      </c>
      <c r="Z1884" s="74">
        <f>Devis[[#This Row],[Poste 5]]*Devis[[#This Row],[Prix de Revient]]</f>
        <v>0</v>
      </c>
      <c r="AA1884" s="74">
        <f>Devis[[#This Row],[Prix de Revient]]*Devis[[#This Row],[Poste 6]]</f>
        <v>0</v>
      </c>
      <c r="AB1884" s="74">
        <f>Devis[[#This Row],[Quantité Totale]]*Devis[[#This Row],[Prix de Revient]]</f>
        <v>0</v>
      </c>
    </row>
    <row r="1885" spans="1:28" ht="14.25" customHeight="1" x14ac:dyDescent="0.25">
      <c r="A1885" s="65" t="s">
        <v>1647</v>
      </c>
      <c r="B1885" s="65" t="s">
        <v>1716</v>
      </c>
      <c r="C1885" s="76" t="s">
        <v>1716</v>
      </c>
      <c r="D1885" s="81" t="str">
        <f t="shared" si="33"/>
        <v>Inox Serti ItalienCoude 30° MF inox serti 316LCoude 30° MF inox serti 316L</v>
      </c>
      <c r="E1885" s="76"/>
      <c r="F1885" s="76">
        <v>0</v>
      </c>
      <c r="G1885" s="71"/>
      <c r="H1885" s="71"/>
      <c r="I1885" s="71"/>
      <c r="J1885" s="70">
        <f>IFERROR(VLOOKUP(Devis[[#This Row],[Ref Air Flux]],#REF!,3,FALSE),0)</f>
        <v>0</v>
      </c>
      <c r="K1885" s="68"/>
      <c r="L1885" s="68"/>
      <c r="M1885" s="68"/>
      <c r="N1885" s="68"/>
      <c r="O1885" s="68"/>
      <c r="P1885" s="68"/>
      <c r="Q1885" s="68">
        <f>SUM(Devis[[#This Row],[Poste 1]:[Poste 6]])</f>
        <v>0</v>
      </c>
      <c r="R1885" s="71"/>
      <c r="S1885" s="68">
        <f>_xlfn.CEILING.MATH(Devis[[#This Row],[Quantité Totale]],Devis[[#This Row],[Conditionnement]])</f>
        <v>0</v>
      </c>
      <c r="T1885" s="72"/>
      <c r="U1885" s="73"/>
      <c r="V1885" s="74">
        <f>Devis[[#This Row],[Prix de Revient]]*Devis[[#This Row],[Poste 1]]</f>
        <v>0</v>
      </c>
      <c r="W1885" s="74">
        <f>Devis[[#This Row],[Prix de Revient]]*Devis[[#This Row],[Poste 2]]</f>
        <v>0</v>
      </c>
      <c r="X1885" s="74">
        <f>Devis[[#This Row],[Prix de Revient]]*Devis[[#This Row],[Poste 3]]</f>
        <v>0</v>
      </c>
      <c r="Y1885" s="74">
        <f>Devis[[#This Row],[Poste 4]]*Devis[[#This Row],[Prix de Revient]]</f>
        <v>0</v>
      </c>
      <c r="Z1885" s="74">
        <f>Devis[[#This Row],[Poste 5]]*Devis[[#This Row],[Prix de Revient]]</f>
        <v>0</v>
      </c>
      <c r="AA1885" s="74">
        <f>Devis[[#This Row],[Prix de Revient]]*Devis[[#This Row],[Poste 6]]</f>
        <v>0</v>
      </c>
      <c r="AB1885" s="74">
        <f>Devis[[#This Row],[Quantité Totale]]*Devis[[#This Row],[Prix de Revient]]</f>
        <v>0</v>
      </c>
    </row>
    <row r="1886" spans="1:28" ht="14.25" outlineLevel="1" x14ac:dyDescent="0.2">
      <c r="A1886" s="75" t="s">
        <v>1647</v>
      </c>
      <c r="B1886" s="76" t="s">
        <v>1716</v>
      </c>
      <c r="C1886" s="76" t="s">
        <v>1716</v>
      </c>
      <c r="D1886" s="81" t="str">
        <f t="shared" si="33"/>
        <v>Inox Serti ItalienCoude 30° MF inox serti 316LCoude 30° MF inox serti 316L</v>
      </c>
      <c r="E1886" s="76" t="s">
        <v>1648</v>
      </c>
      <c r="F1886" s="76">
        <v>1</v>
      </c>
      <c r="G1886" s="71" t="s">
        <v>1717</v>
      </c>
      <c r="H1886" s="71" t="s">
        <v>459</v>
      </c>
      <c r="I1886" s="71">
        <v>181015301</v>
      </c>
      <c r="J1886" s="70">
        <f>IFERROR(VLOOKUP(Devis[[#This Row],[Ref Air Flux]],#REF!,3,FALSE),0)</f>
        <v>0</v>
      </c>
      <c r="K1886" s="68"/>
      <c r="L1886" s="68"/>
      <c r="M1886" s="68"/>
      <c r="N1886" s="68"/>
      <c r="O1886" s="68"/>
      <c r="P1886" s="68"/>
      <c r="Q1886" s="68">
        <f>SUM(Devis[[#This Row],[Poste 1]:[Poste 6]])</f>
        <v>0</v>
      </c>
      <c r="R1886" s="71">
        <v>20</v>
      </c>
      <c r="S1886" s="68">
        <f>_xlfn.CEILING.MATH(Devis[[#This Row],[Quantité Totale]],Devis[[#This Row],[Conditionnement]])</f>
        <v>0</v>
      </c>
      <c r="T1886" s="72"/>
      <c r="U1886" s="73"/>
      <c r="V1886" s="74">
        <f>Devis[[#This Row],[Prix de Revient]]*Devis[[#This Row],[Poste 1]]</f>
        <v>0</v>
      </c>
      <c r="W1886" s="74">
        <f>Devis[[#This Row],[Prix de Revient]]*Devis[[#This Row],[Poste 2]]</f>
        <v>0</v>
      </c>
      <c r="X1886" s="74">
        <f>Devis[[#This Row],[Prix de Revient]]*Devis[[#This Row],[Poste 3]]</f>
        <v>0</v>
      </c>
      <c r="Y1886" s="74">
        <f>Devis[[#This Row],[Poste 4]]*Devis[[#This Row],[Prix de Revient]]</f>
        <v>0</v>
      </c>
      <c r="Z1886" s="74">
        <f>Devis[[#This Row],[Poste 5]]*Devis[[#This Row],[Prix de Revient]]</f>
        <v>0</v>
      </c>
      <c r="AA1886" s="74">
        <f>Devis[[#This Row],[Prix de Revient]]*Devis[[#This Row],[Poste 6]]</f>
        <v>0</v>
      </c>
      <c r="AB1886" s="74">
        <f>Devis[[#This Row],[Quantité Totale]]*Devis[[#This Row],[Prix de Revient]]</f>
        <v>0</v>
      </c>
    </row>
    <row r="1887" spans="1:28" ht="14.25" outlineLevel="1" x14ac:dyDescent="0.2">
      <c r="A1887" s="75" t="s">
        <v>1647</v>
      </c>
      <c r="B1887" s="76" t="s">
        <v>1716</v>
      </c>
      <c r="C1887" s="76" t="s">
        <v>1716</v>
      </c>
      <c r="D1887" s="81" t="str">
        <f t="shared" si="33"/>
        <v>Inox Serti ItalienCoude 30° MF inox serti 316LCoude 30° MF inox serti 316L</v>
      </c>
      <c r="E1887" s="76" t="s">
        <v>1652</v>
      </c>
      <c r="F1887" s="76">
        <v>2</v>
      </c>
      <c r="G1887" s="71" t="s">
        <v>1718</v>
      </c>
      <c r="H1887" s="71" t="s">
        <v>459</v>
      </c>
      <c r="I1887" s="71">
        <v>181022301</v>
      </c>
      <c r="J1887" s="70">
        <f>IFERROR(VLOOKUP(Devis[[#This Row],[Ref Air Flux]],#REF!,3,FALSE),0)</f>
        <v>0</v>
      </c>
      <c r="K1887" s="68"/>
      <c r="L1887" s="68"/>
      <c r="M1887" s="68"/>
      <c r="N1887" s="68"/>
      <c r="O1887" s="68"/>
      <c r="P1887" s="68"/>
      <c r="Q1887" s="68">
        <f>SUM(Devis[[#This Row],[Poste 1]:[Poste 6]])</f>
        <v>0</v>
      </c>
      <c r="R1887" s="71">
        <v>20</v>
      </c>
      <c r="S1887" s="68">
        <f>_xlfn.CEILING.MATH(Devis[[#This Row],[Quantité Totale]],Devis[[#This Row],[Conditionnement]])</f>
        <v>0</v>
      </c>
      <c r="T1887" s="72"/>
      <c r="U1887" s="73"/>
      <c r="V1887" s="74">
        <f>Devis[[#This Row],[Prix de Revient]]*Devis[[#This Row],[Poste 1]]</f>
        <v>0</v>
      </c>
      <c r="W1887" s="74">
        <f>Devis[[#This Row],[Prix de Revient]]*Devis[[#This Row],[Poste 2]]</f>
        <v>0</v>
      </c>
      <c r="X1887" s="74">
        <f>Devis[[#This Row],[Prix de Revient]]*Devis[[#This Row],[Poste 3]]</f>
        <v>0</v>
      </c>
      <c r="Y1887" s="74">
        <f>Devis[[#This Row],[Poste 4]]*Devis[[#This Row],[Prix de Revient]]</f>
        <v>0</v>
      </c>
      <c r="Z1887" s="74">
        <f>Devis[[#This Row],[Poste 5]]*Devis[[#This Row],[Prix de Revient]]</f>
        <v>0</v>
      </c>
      <c r="AA1887" s="74">
        <f>Devis[[#This Row],[Prix de Revient]]*Devis[[#This Row],[Poste 6]]</f>
        <v>0</v>
      </c>
      <c r="AB1887" s="74">
        <f>Devis[[#This Row],[Quantité Totale]]*Devis[[#This Row],[Prix de Revient]]</f>
        <v>0</v>
      </c>
    </row>
    <row r="1888" spans="1:28" ht="14.25" outlineLevel="1" x14ac:dyDescent="0.2">
      <c r="A1888" s="75" t="s">
        <v>1647</v>
      </c>
      <c r="B1888" s="76" t="s">
        <v>1716</v>
      </c>
      <c r="C1888" s="76" t="s">
        <v>1716</v>
      </c>
      <c r="D1888" s="81" t="str">
        <f t="shared" si="33"/>
        <v>Inox Serti ItalienCoude 30° MF inox serti 316LCoude 30° MF inox serti 316L</v>
      </c>
      <c r="E1888" s="76" t="s">
        <v>1704</v>
      </c>
      <c r="F1888" s="76">
        <v>3</v>
      </c>
      <c r="G1888" s="71" t="s">
        <v>1719</v>
      </c>
      <c r="H1888" s="71" t="s">
        <v>459</v>
      </c>
      <c r="I1888" s="71">
        <v>181028301</v>
      </c>
      <c r="J1888" s="70">
        <f>IFERROR(VLOOKUP(Devis[[#This Row],[Ref Air Flux]],#REF!,3,FALSE),0)</f>
        <v>0</v>
      </c>
      <c r="K1888" s="68"/>
      <c r="L1888" s="68"/>
      <c r="M1888" s="68"/>
      <c r="N1888" s="68"/>
      <c r="O1888" s="68"/>
      <c r="P1888" s="68"/>
      <c r="Q1888" s="68">
        <f>SUM(Devis[[#This Row],[Poste 1]:[Poste 6]])</f>
        <v>0</v>
      </c>
      <c r="R1888" s="71">
        <v>10</v>
      </c>
      <c r="S1888" s="68">
        <f>_xlfn.CEILING.MATH(Devis[[#This Row],[Quantité Totale]],Devis[[#This Row],[Conditionnement]])</f>
        <v>0</v>
      </c>
      <c r="T1888" s="72"/>
      <c r="U1888" s="73"/>
      <c r="V1888" s="74">
        <f>Devis[[#This Row],[Prix de Revient]]*Devis[[#This Row],[Poste 1]]</f>
        <v>0</v>
      </c>
      <c r="W1888" s="74">
        <f>Devis[[#This Row],[Prix de Revient]]*Devis[[#This Row],[Poste 2]]</f>
        <v>0</v>
      </c>
      <c r="X1888" s="74">
        <f>Devis[[#This Row],[Prix de Revient]]*Devis[[#This Row],[Poste 3]]</f>
        <v>0</v>
      </c>
      <c r="Y1888" s="74">
        <f>Devis[[#This Row],[Poste 4]]*Devis[[#This Row],[Prix de Revient]]</f>
        <v>0</v>
      </c>
      <c r="Z1888" s="74">
        <f>Devis[[#This Row],[Poste 5]]*Devis[[#This Row],[Prix de Revient]]</f>
        <v>0</v>
      </c>
      <c r="AA1888" s="74">
        <f>Devis[[#This Row],[Prix de Revient]]*Devis[[#This Row],[Poste 6]]</f>
        <v>0</v>
      </c>
      <c r="AB1888" s="74">
        <f>Devis[[#This Row],[Quantité Totale]]*Devis[[#This Row],[Prix de Revient]]</f>
        <v>0</v>
      </c>
    </row>
    <row r="1889" spans="1:28" ht="14.25" customHeight="1" outlineLevel="1" x14ac:dyDescent="0.2">
      <c r="A1889" s="75" t="s">
        <v>1647</v>
      </c>
      <c r="B1889" s="76" t="s">
        <v>1716</v>
      </c>
      <c r="C1889" s="76" t="s">
        <v>1716</v>
      </c>
      <c r="D1889" s="81" t="str">
        <f t="shared" si="33"/>
        <v>Inox Serti ItalienCoude 30° MF inox serti 316LCoude 30° MF inox serti 316L</v>
      </c>
      <c r="E1889" s="76" t="s">
        <v>1655</v>
      </c>
      <c r="F1889" s="76">
        <v>4</v>
      </c>
      <c r="G1889" s="71" t="s">
        <v>1720</v>
      </c>
      <c r="H1889" s="71" t="s">
        <v>459</v>
      </c>
      <c r="I1889" s="71">
        <v>181035301</v>
      </c>
      <c r="J1889" s="70">
        <f>IFERROR(VLOOKUP(Devis[[#This Row],[Ref Air Flux]],#REF!,3,FALSE),0)</f>
        <v>0</v>
      </c>
      <c r="K1889" s="68"/>
      <c r="L1889" s="68"/>
      <c r="M1889" s="68"/>
      <c r="N1889" s="68"/>
      <c r="O1889" s="68"/>
      <c r="P1889" s="68"/>
      <c r="Q1889" s="68">
        <f>SUM(Devis[[#This Row],[Poste 1]:[Poste 6]])</f>
        <v>0</v>
      </c>
      <c r="R1889" s="71">
        <v>10</v>
      </c>
      <c r="S1889" s="68">
        <f>_xlfn.CEILING.MATH(Devis[[#This Row],[Quantité Totale]],Devis[[#This Row],[Conditionnement]])</f>
        <v>0</v>
      </c>
      <c r="T1889" s="72"/>
      <c r="U1889" s="73"/>
      <c r="V1889" s="74">
        <f>Devis[[#This Row],[Prix de Revient]]*Devis[[#This Row],[Poste 1]]</f>
        <v>0</v>
      </c>
      <c r="W1889" s="74">
        <f>Devis[[#This Row],[Prix de Revient]]*Devis[[#This Row],[Poste 2]]</f>
        <v>0</v>
      </c>
      <c r="X1889" s="74">
        <f>Devis[[#This Row],[Prix de Revient]]*Devis[[#This Row],[Poste 3]]</f>
        <v>0</v>
      </c>
      <c r="Y1889" s="74">
        <f>Devis[[#This Row],[Poste 4]]*Devis[[#This Row],[Prix de Revient]]</f>
        <v>0</v>
      </c>
      <c r="Z1889" s="74">
        <f>Devis[[#This Row],[Poste 5]]*Devis[[#This Row],[Prix de Revient]]</f>
        <v>0</v>
      </c>
      <c r="AA1889" s="74">
        <f>Devis[[#This Row],[Prix de Revient]]*Devis[[#This Row],[Poste 6]]</f>
        <v>0</v>
      </c>
      <c r="AB1889" s="74">
        <f>Devis[[#This Row],[Quantité Totale]]*Devis[[#This Row],[Prix de Revient]]</f>
        <v>0</v>
      </c>
    </row>
    <row r="1890" spans="1:28" ht="14.25" customHeight="1" outlineLevel="1" x14ac:dyDescent="0.2">
      <c r="A1890" s="75" t="s">
        <v>1647</v>
      </c>
      <c r="B1890" s="76" t="s">
        <v>1716</v>
      </c>
      <c r="C1890" s="76" t="s">
        <v>1716</v>
      </c>
      <c r="D1890" s="81" t="str">
        <f t="shared" si="33"/>
        <v>Inox Serti ItalienCoude 30° MF inox serti 316LCoude 30° MF inox serti 316L</v>
      </c>
      <c r="E1890" s="76" t="s">
        <v>1657</v>
      </c>
      <c r="F1890" s="76">
        <v>5</v>
      </c>
      <c r="G1890" s="71" t="s">
        <v>1721</v>
      </c>
      <c r="H1890" s="71" t="s">
        <v>459</v>
      </c>
      <c r="I1890" s="71">
        <v>181042301</v>
      </c>
      <c r="J1890" s="70">
        <f>IFERROR(VLOOKUP(Devis[[#This Row],[Ref Air Flux]],#REF!,3,FALSE),0)</f>
        <v>0</v>
      </c>
      <c r="K1890" s="68"/>
      <c r="L1890" s="68"/>
      <c r="M1890" s="68"/>
      <c r="N1890" s="68"/>
      <c r="O1890" s="68"/>
      <c r="P1890" s="68"/>
      <c r="Q1890" s="68">
        <f>SUM(Devis[[#This Row],[Poste 1]:[Poste 6]])</f>
        <v>0</v>
      </c>
      <c r="R1890" s="71">
        <v>4</v>
      </c>
      <c r="S1890" s="68">
        <f>_xlfn.CEILING.MATH(Devis[[#This Row],[Quantité Totale]],Devis[[#This Row],[Conditionnement]])</f>
        <v>0</v>
      </c>
      <c r="T1890" s="72"/>
      <c r="U1890" s="73"/>
      <c r="V1890" s="74">
        <f>Devis[[#This Row],[Prix de Revient]]*Devis[[#This Row],[Poste 1]]</f>
        <v>0</v>
      </c>
      <c r="W1890" s="74">
        <f>Devis[[#This Row],[Prix de Revient]]*Devis[[#This Row],[Poste 2]]</f>
        <v>0</v>
      </c>
      <c r="X1890" s="74">
        <f>Devis[[#This Row],[Prix de Revient]]*Devis[[#This Row],[Poste 3]]</f>
        <v>0</v>
      </c>
      <c r="Y1890" s="74">
        <f>Devis[[#This Row],[Poste 4]]*Devis[[#This Row],[Prix de Revient]]</f>
        <v>0</v>
      </c>
      <c r="Z1890" s="74">
        <f>Devis[[#This Row],[Poste 5]]*Devis[[#This Row],[Prix de Revient]]</f>
        <v>0</v>
      </c>
      <c r="AA1890" s="74">
        <f>Devis[[#This Row],[Prix de Revient]]*Devis[[#This Row],[Poste 6]]</f>
        <v>0</v>
      </c>
      <c r="AB1890" s="74">
        <f>Devis[[#This Row],[Quantité Totale]]*Devis[[#This Row],[Prix de Revient]]</f>
        <v>0</v>
      </c>
    </row>
    <row r="1891" spans="1:28" ht="14.25" outlineLevel="1" x14ac:dyDescent="0.2">
      <c r="A1891" s="75" t="s">
        <v>1647</v>
      </c>
      <c r="B1891" s="76" t="s">
        <v>1716</v>
      </c>
      <c r="C1891" s="76" t="s">
        <v>1716</v>
      </c>
      <c r="D1891" s="81" t="str">
        <f t="shared" si="33"/>
        <v>Inox Serti ItalienCoude 30° MF inox serti 316LCoude 30° MF inox serti 316L</v>
      </c>
      <c r="E1891" s="76" t="s">
        <v>1708</v>
      </c>
      <c r="F1891" s="76">
        <v>6</v>
      </c>
      <c r="G1891" s="71" t="s">
        <v>1722</v>
      </c>
      <c r="H1891" s="71" t="s">
        <v>459</v>
      </c>
      <c r="I1891" s="71">
        <v>181054301</v>
      </c>
      <c r="J1891" s="70">
        <f>IFERROR(VLOOKUP(Devis[[#This Row],[Ref Air Flux]],#REF!,3,FALSE),0)</f>
        <v>0</v>
      </c>
      <c r="K1891" s="68"/>
      <c r="L1891" s="68"/>
      <c r="M1891" s="68"/>
      <c r="N1891" s="68"/>
      <c r="O1891" s="68"/>
      <c r="P1891" s="68"/>
      <c r="Q1891" s="68">
        <f>SUM(Devis[[#This Row],[Poste 1]:[Poste 6]])</f>
        <v>0</v>
      </c>
      <c r="R1891" s="71">
        <v>2</v>
      </c>
      <c r="S1891" s="68">
        <f>_xlfn.CEILING.MATH(Devis[[#This Row],[Quantité Totale]],Devis[[#This Row],[Conditionnement]])</f>
        <v>0</v>
      </c>
      <c r="T1891" s="72"/>
      <c r="U1891" s="73"/>
      <c r="V1891" s="74">
        <f>Devis[[#This Row],[Prix de Revient]]*Devis[[#This Row],[Poste 1]]</f>
        <v>0</v>
      </c>
      <c r="W1891" s="74">
        <f>Devis[[#This Row],[Prix de Revient]]*Devis[[#This Row],[Poste 2]]</f>
        <v>0</v>
      </c>
      <c r="X1891" s="74">
        <f>Devis[[#This Row],[Prix de Revient]]*Devis[[#This Row],[Poste 3]]</f>
        <v>0</v>
      </c>
      <c r="Y1891" s="74">
        <f>Devis[[#This Row],[Poste 4]]*Devis[[#This Row],[Prix de Revient]]</f>
        <v>0</v>
      </c>
      <c r="Z1891" s="74">
        <f>Devis[[#This Row],[Poste 5]]*Devis[[#This Row],[Prix de Revient]]</f>
        <v>0</v>
      </c>
      <c r="AA1891" s="74">
        <f>Devis[[#This Row],[Prix de Revient]]*Devis[[#This Row],[Poste 6]]</f>
        <v>0</v>
      </c>
      <c r="AB1891" s="74">
        <f>Devis[[#This Row],[Quantité Totale]]*Devis[[#This Row],[Prix de Revient]]</f>
        <v>0</v>
      </c>
    </row>
    <row r="1892" spans="1:28" ht="14.25" customHeight="1" outlineLevel="1" x14ac:dyDescent="0.2">
      <c r="A1892" s="75" t="s">
        <v>1647</v>
      </c>
      <c r="B1892" s="76" t="s">
        <v>1716</v>
      </c>
      <c r="C1892" s="76" t="s">
        <v>1716</v>
      </c>
      <c r="D1892" s="81" t="str">
        <f t="shared" si="33"/>
        <v>Inox Serti ItalienCoude 30° MF inox serti 316LCoude 30° MF inox serti 316L</v>
      </c>
      <c r="E1892" s="76" t="s">
        <v>1710</v>
      </c>
      <c r="F1892" s="76">
        <v>7</v>
      </c>
      <c r="G1892" s="71" t="s">
        <v>1723</v>
      </c>
      <c r="H1892" s="71" t="s">
        <v>459</v>
      </c>
      <c r="I1892" s="71">
        <v>181076301</v>
      </c>
      <c r="J1892" s="70">
        <f>IFERROR(VLOOKUP(Devis[[#This Row],[Ref Air Flux]],#REF!,3,FALSE),0)</f>
        <v>0</v>
      </c>
      <c r="K1892" s="68"/>
      <c r="L1892" s="68"/>
      <c r="M1892" s="68"/>
      <c r="N1892" s="68"/>
      <c r="O1892" s="68"/>
      <c r="P1892" s="68"/>
      <c r="Q1892" s="68">
        <f>SUM(Devis[[#This Row],[Poste 1]:[Poste 6]])</f>
        <v>0</v>
      </c>
      <c r="R1892" s="71">
        <v>2</v>
      </c>
      <c r="S1892" s="68">
        <f>_xlfn.CEILING.MATH(Devis[[#This Row],[Quantité Totale]],Devis[[#This Row],[Conditionnement]])</f>
        <v>0</v>
      </c>
      <c r="T1892" s="72"/>
      <c r="U1892" s="73"/>
      <c r="V1892" s="74">
        <f>Devis[[#This Row],[Prix de Revient]]*Devis[[#This Row],[Poste 1]]</f>
        <v>0</v>
      </c>
      <c r="W1892" s="74">
        <f>Devis[[#This Row],[Prix de Revient]]*Devis[[#This Row],[Poste 2]]</f>
        <v>0</v>
      </c>
      <c r="X1892" s="74">
        <f>Devis[[#This Row],[Prix de Revient]]*Devis[[#This Row],[Poste 3]]</f>
        <v>0</v>
      </c>
      <c r="Y1892" s="74">
        <f>Devis[[#This Row],[Poste 4]]*Devis[[#This Row],[Prix de Revient]]</f>
        <v>0</v>
      </c>
      <c r="Z1892" s="74">
        <f>Devis[[#This Row],[Poste 5]]*Devis[[#This Row],[Prix de Revient]]</f>
        <v>0</v>
      </c>
      <c r="AA1892" s="74">
        <f>Devis[[#This Row],[Prix de Revient]]*Devis[[#This Row],[Poste 6]]</f>
        <v>0</v>
      </c>
      <c r="AB1892" s="74">
        <f>Devis[[#This Row],[Quantité Totale]]*Devis[[#This Row],[Prix de Revient]]</f>
        <v>0</v>
      </c>
    </row>
    <row r="1893" spans="1:28" ht="14.25" customHeight="1" outlineLevel="1" x14ac:dyDescent="0.2">
      <c r="A1893" s="75" t="s">
        <v>1647</v>
      </c>
      <c r="B1893" s="76" t="s">
        <v>1716</v>
      </c>
      <c r="C1893" s="76" t="s">
        <v>1716</v>
      </c>
      <c r="D1893" s="81" t="str">
        <f t="shared" si="33"/>
        <v>Inox Serti ItalienCoude 30° MF inox serti 316LCoude 30° MF inox serti 316L</v>
      </c>
      <c r="E1893" s="76" t="s">
        <v>1712</v>
      </c>
      <c r="F1893" s="76">
        <v>8</v>
      </c>
      <c r="G1893" s="71" t="s">
        <v>1724</v>
      </c>
      <c r="H1893" s="71" t="s">
        <v>459</v>
      </c>
      <c r="I1893" s="71">
        <v>181088301</v>
      </c>
      <c r="J1893" s="70">
        <f>IFERROR(VLOOKUP(Devis[[#This Row],[Ref Air Flux]],#REF!,3,FALSE),0)</f>
        <v>0</v>
      </c>
      <c r="K1893" s="68"/>
      <c r="L1893" s="68"/>
      <c r="M1893" s="68"/>
      <c r="N1893" s="68"/>
      <c r="O1893" s="68"/>
      <c r="P1893" s="68"/>
      <c r="Q1893" s="68">
        <f>SUM(Devis[[#This Row],[Poste 1]:[Poste 6]])</f>
        <v>0</v>
      </c>
      <c r="R1893" s="71">
        <v>2</v>
      </c>
      <c r="S1893" s="68">
        <f>_xlfn.CEILING.MATH(Devis[[#This Row],[Quantité Totale]],Devis[[#This Row],[Conditionnement]])</f>
        <v>0</v>
      </c>
      <c r="T1893" s="72"/>
      <c r="U1893" s="73"/>
      <c r="V1893" s="74">
        <f>Devis[[#This Row],[Prix de Revient]]*Devis[[#This Row],[Poste 1]]</f>
        <v>0</v>
      </c>
      <c r="W1893" s="74">
        <f>Devis[[#This Row],[Prix de Revient]]*Devis[[#This Row],[Poste 2]]</f>
        <v>0</v>
      </c>
      <c r="X1893" s="74">
        <f>Devis[[#This Row],[Prix de Revient]]*Devis[[#This Row],[Poste 3]]</f>
        <v>0</v>
      </c>
      <c r="Y1893" s="74">
        <f>Devis[[#This Row],[Poste 4]]*Devis[[#This Row],[Prix de Revient]]</f>
        <v>0</v>
      </c>
      <c r="Z1893" s="74">
        <f>Devis[[#This Row],[Poste 5]]*Devis[[#This Row],[Prix de Revient]]</f>
        <v>0</v>
      </c>
      <c r="AA1893" s="74">
        <f>Devis[[#This Row],[Prix de Revient]]*Devis[[#This Row],[Poste 6]]</f>
        <v>0</v>
      </c>
      <c r="AB1893" s="74">
        <f>Devis[[#This Row],[Quantité Totale]]*Devis[[#This Row],[Prix de Revient]]</f>
        <v>0</v>
      </c>
    </row>
    <row r="1894" spans="1:28" ht="14.25" outlineLevel="1" x14ac:dyDescent="0.2">
      <c r="A1894" s="75" t="s">
        <v>1647</v>
      </c>
      <c r="B1894" s="76" t="s">
        <v>1716</v>
      </c>
      <c r="C1894" s="76" t="s">
        <v>1716</v>
      </c>
      <c r="D1894" s="81" t="str">
        <f t="shared" si="33"/>
        <v>Inox Serti ItalienCoude 30° MF inox serti 316LCoude 30° MF inox serti 316L</v>
      </c>
      <c r="E1894" s="76" t="s">
        <v>1714</v>
      </c>
      <c r="F1894" s="76">
        <v>9</v>
      </c>
      <c r="G1894" s="71" t="s">
        <v>1725</v>
      </c>
      <c r="H1894" s="71" t="s">
        <v>459</v>
      </c>
      <c r="I1894" s="71">
        <v>181108301</v>
      </c>
      <c r="J1894" s="70">
        <f>IFERROR(VLOOKUP(Devis[[#This Row],[Ref Air Flux]],#REF!,3,FALSE),0)</f>
        <v>0</v>
      </c>
      <c r="K1894" s="68"/>
      <c r="L1894" s="68"/>
      <c r="M1894" s="68"/>
      <c r="N1894" s="68"/>
      <c r="O1894" s="68"/>
      <c r="P1894" s="68"/>
      <c r="Q1894" s="68">
        <f>SUM(Devis[[#This Row],[Poste 1]:[Poste 6]])</f>
        <v>0</v>
      </c>
      <c r="R1894" s="71">
        <v>2</v>
      </c>
      <c r="S1894" s="68">
        <f>_xlfn.CEILING.MATH(Devis[[#This Row],[Quantité Totale]],Devis[[#This Row],[Conditionnement]])</f>
        <v>0</v>
      </c>
      <c r="T1894" s="72"/>
      <c r="U1894" s="73"/>
      <c r="V1894" s="74">
        <f>Devis[[#This Row],[Prix de Revient]]*Devis[[#This Row],[Poste 1]]</f>
        <v>0</v>
      </c>
      <c r="W1894" s="74">
        <f>Devis[[#This Row],[Prix de Revient]]*Devis[[#This Row],[Poste 2]]</f>
        <v>0</v>
      </c>
      <c r="X1894" s="74">
        <f>Devis[[#This Row],[Prix de Revient]]*Devis[[#This Row],[Poste 3]]</f>
        <v>0</v>
      </c>
      <c r="Y1894" s="74">
        <f>Devis[[#This Row],[Poste 4]]*Devis[[#This Row],[Prix de Revient]]</f>
        <v>0</v>
      </c>
      <c r="Z1894" s="74">
        <f>Devis[[#This Row],[Poste 5]]*Devis[[#This Row],[Prix de Revient]]</f>
        <v>0</v>
      </c>
      <c r="AA1894" s="74">
        <f>Devis[[#This Row],[Prix de Revient]]*Devis[[#This Row],[Poste 6]]</f>
        <v>0</v>
      </c>
      <c r="AB1894" s="74">
        <f>Devis[[#This Row],[Quantité Totale]]*Devis[[#This Row],[Prix de Revient]]</f>
        <v>0</v>
      </c>
    </row>
    <row r="1895" spans="1:28" ht="14.25" customHeight="1" x14ac:dyDescent="0.25">
      <c r="A1895" s="65" t="s">
        <v>1647</v>
      </c>
      <c r="B1895" s="65" t="s">
        <v>1726</v>
      </c>
      <c r="C1895" s="76" t="s">
        <v>1726</v>
      </c>
      <c r="D1895" s="81" t="str">
        <f t="shared" si="33"/>
        <v>Inox Serti ItalienCoude 60° FF inox serti 316LCoude 60° FF inox serti 316L</v>
      </c>
      <c r="E1895" s="76"/>
      <c r="F1895" s="76">
        <v>0</v>
      </c>
      <c r="G1895" s="71"/>
      <c r="H1895" s="71"/>
      <c r="I1895" s="71"/>
      <c r="J1895" s="70">
        <f>IFERROR(VLOOKUP(Devis[[#This Row],[Ref Air Flux]],#REF!,3,FALSE),0)</f>
        <v>0</v>
      </c>
      <c r="K1895" s="68"/>
      <c r="L1895" s="68"/>
      <c r="M1895" s="68"/>
      <c r="N1895" s="68"/>
      <c r="O1895" s="68"/>
      <c r="P1895" s="68"/>
      <c r="Q1895" s="68">
        <f>SUM(Devis[[#This Row],[Poste 1]:[Poste 6]])</f>
        <v>0</v>
      </c>
      <c r="R1895" s="71"/>
      <c r="S1895" s="68">
        <f>_xlfn.CEILING.MATH(Devis[[#This Row],[Quantité Totale]],Devis[[#This Row],[Conditionnement]])</f>
        <v>0</v>
      </c>
      <c r="T1895" s="72"/>
      <c r="U1895" s="73"/>
      <c r="V1895" s="74">
        <f>Devis[[#This Row],[Prix de Revient]]*Devis[[#This Row],[Poste 1]]</f>
        <v>0</v>
      </c>
      <c r="W1895" s="74">
        <f>Devis[[#This Row],[Prix de Revient]]*Devis[[#This Row],[Poste 2]]</f>
        <v>0</v>
      </c>
      <c r="X1895" s="74">
        <f>Devis[[#This Row],[Prix de Revient]]*Devis[[#This Row],[Poste 3]]</f>
        <v>0</v>
      </c>
      <c r="Y1895" s="74">
        <f>Devis[[#This Row],[Poste 4]]*Devis[[#This Row],[Prix de Revient]]</f>
        <v>0</v>
      </c>
      <c r="Z1895" s="74">
        <f>Devis[[#This Row],[Poste 5]]*Devis[[#This Row],[Prix de Revient]]</f>
        <v>0</v>
      </c>
      <c r="AA1895" s="74">
        <f>Devis[[#This Row],[Prix de Revient]]*Devis[[#This Row],[Poste 6]]</f>
        <v>0</v>
      </c>
      <c r="AB1895" s="74">
        <f>Devis[[#This Row],[Quantité Totale]]*Devis[[#This Row],[Prix de Revient]]</f>
        <v>0</v>
      </c>
    </row>
    <row r="1896" spans="1:28" ht="14.25" outlineLevel="1" x14ac:dyDescent="0.2">
      <c r="A1896" s="75" t="s">
        <v>1647</v>
      </c>
      <c r="B1896" s="76" t="s">
        <v>1726</v>
      </c>
      <c r="C1896" s="76" t="s">
        <v>1726</v>
      </c>
      <c r="D1896" s="81" t="str">
        <f t="shared" si="33"/>
        <v>Inox Serti ItalienCoude 60° FF inox serti 316LCoude 60° FF inox serti 316L</v>
      </c>
      <c r="E1896" s="76" t="s">
        <v>1648</v>
      </c>
      <c r="F1896" s="76">
        <v>1</v>
      </c>
      <c r="G1896" s="71" t="s">
        <v>1727</v>
      </c>
      <c r="H1896" s="71" t="s">
        <v>459</v>
      </c>
      <c r="I1896" s="71">
        <v>181015600</v>
      </c>
      <c r="J1896" s="70">
        <f>IFERROR(VLOOKUP(Devis[[#This Row],[Ref Air Flux]],#REF!,3,FALSE),0)</f>
        <v>0</v>
      </c>
      <c r="K1896" s="68"/>
      <c r="L1896" s="68"/>
      <c r="M1896" s="68"/>
      <c r="N1896" s="68"/>
      <c r="O1896" s="68"/>
      <c r="P1896" s="68"/>
      <c r="Q1896" s="68">
        <f>SUM(Devis[[#This Row],[Poste 1]:[Poste 6]])</f>
        <v>0</v>
      </c>
      <c r="R1896" s="71">
        <v>20</v>
      </c>
      <c r="S1896" s="68">
        <f>_xlfn.CEILING.MATH(Devis[[#This Row],[Quantité Totale]],Devis[[#This Row],[Conditionnement]])</f>
        <v>0</v>
      </c>
      <c r="T1896" s="72"/>
      <c r="U1896" s="73"/>
      <c r="V1896" s="74">
        <f>Devis[[#This Row],[Prix de Revient]]*Devis[[#This Row],[Poste 1]]</f>
        <v>0</v>
      </c>
      <c r="W1896" s="74">
        <f>Devis[[#This Row],[Prix de Revient]]*Devis[[#This Row],[Poste 2]]</f>
        <v>0</v>
      </c>
      <c r="X1896" s="74">
        <f>Devis[[#This Row],[Prix de Revient]]*Devis[[#This Row],[Poste 3]]</f>
        <v>0</v>
      </c>
      <c r="Y1896" s="74">
        <f>Devis[[#This Row],[Poste 4]]*Devis[[#This Row],[Prix de Revient]]</f>
        <v>0</v>
      </c>
      <c r="Z1896" s="74">
        <f>Devis[[#This Row],[Poste 5]]*Devis[[#This Row],[Prix de Revient]]</f>
        <v>0</v>
      </c>
      <c r="AA1896" s="74">
        <f>Devis[[#This Row],[Prix de Revient]]*Devis[[#This Row],[Poste 6]]</f>
        <v>0</v>
      </c>
      <c r="AB1896" s="74">
        <f>Devis[[#This Row],[Quantité Totale]]*Devis[[#This Row],[Prix de Revient]]</f>
        <v>0</v>
      </c>
    </row>
    <row r="1897" spans="1:28" ht="14.25" outlineLevel="1" x14ac:dyDescent="0.2">
      <c r="A1897" s="75" t="s">
        <v>1647</v>
      </c>
      <c r="B1897" s="76" t="s">
        <v>1726</v>
      </c>
      <c r="C1897" s="76" t="s">
        <v>1726</v>
      </c>
      <c r="D1897" s="81" t="str">
        <f t="shared" si="33"/>
        <v>Inox Serti ItalienCoude 60° FF inox serti 316LCoude 60° FF inox serti 316L</v>
      </c>
      <c r="E1897" s="76" t="s">
        <v>1650</v>
      </c>
      <c r="F1897" s="76">
        <v>2</v>
      </c>
      <c r="G1897" s="71" t="s">
        <v>1728</v>
      </c>
      <c r="H1897" s="71" t="s">
        <v>459</v>
      </c>
      <c r="I1897" s="71">
        <v>181018600</v>
      </c>
      <c r="J1897" s="70">
        <f>IFERROR(VLOOKUP(Devis[[#This Row],[Ref Air Flux]],#REF!,3,FALSE),0)</f>
        <v>0</v>
      </c>
      <c r="K1897" s="68"/>
      <c r="L1897" s="68"/>
      <c r="M1897" s="68"/>
      <c r="N1897" s="68"/>
      <c r="O1897" s="68"/>
      <c r="P1897" s="68"/>
      <c r="Q1897" s="68">
        <f>SUM(Devis[[#This Row],[Poste 1]:[Poste 6]])</f>
        <v>0</v>
      </c>
      <c r="R1897" s="71">
        <v>20</v>
      </c>
      <c r="S1897" s="68">
        <f>_xlfn.CEILING.MATH(Devis[[#This Row],[Quantité Totale]],Devis[[#This Row],[Conditionnement]])</f>
        <v>0</v>
      </c>
      <c r="T1897" s="72"/>
      <c r="U1897" s="73"/>
      <c r="V1897" s="74">
        <f>Devis[[#This Row],[Prix de Revient]]*Devis[[#This Row],[Poste 1]]</f>
        <v>0</v>
      </c>
      <c r="W1897" s="74">
        <f>Devis[[#This Row],[Prix de Revient]]*Devis[[#This Row],[Poste 2]]</f>
        <v>0</v>
      </c>
      <c r="X1897" s="74">
        <f>Devis[[#This Row],[Prix de Revient]]*Devis[[#This Row],[Poste 3]]</f>
        <v>0</v>
      </c>
      <c r="Y1897" s="74">
        <f>Devis[[#This Row],[Poste 4]]*Devis[[#This Row],[Prix de Revient]]</f>
        <v>0</v>
      </c>
      <c r="Z1897" s="74">
        <f>Devis[[#This Row],[Poste 5]]*Devis[[#This Row],[Prix de Revient]]</f>
        <v>0</v>
      </c>
      <c r="AA1897" s="74">
        <f>Devis[[#This Row],[Prix de Revient]]*Devis[[#This Row],[Poste 6]]</f>
        <v>0</v>
      </c>
      <c r="AB1897" s="74">
        <f>Devis[[#This Row],[Quantité Totale]]*Devis[[#This Row],[Prix de Revient]]</f>
        <v>0</v>
      </c>
    </row>
    <row r="1898" spans="1:28" ht="15" customHeight="1" outlineLevel="1" x14ac:dyDescent="0.2">
      <c r="A1898" s="75" t="s">
        <v>1647</v>
      </c>
      <c r="B1898" s="76" t="s">
        <v>1726</v>
      </c>
      <c r="C1898" s="76" t="s">
        <v>1726</v>
      </c>
      <c r="D1898" s="81" t="str">
        <f t="shared" si="33"/>
        <v>Inox Serti ItalienCoude 60° FF inox serti 316LCoude 60° FF inox serti 316L</v>
      </c>
      <c r="E1898" s="76" t="s">
        <v>1652</v>
      </c>
      <c r="F1898" s="76">
        <v>3</v>
      </c>
      <c r="G1898" s="71" t="s">
        <v>1729</v>
      </c>
      <c r="H1898" s="71" t="s">
        <v>459</v>
      </c>
      <c r="I1898" s="71">
        <v>181022600</v>
      </c>
      <c r="J1898" s="70">
        <f>IFERROR(VLOOKUP(Devis[[#This Row],[Ref Air Flux]],#REF!,3,FALSE),0)</f>
        <v>0</v>
      </c>
      <c r="K1898" s="68"/>
      <c r="L1898" s="68"/>
      <c r="M1898" s="68"/>
      <c r="N1898" s="68"/>
      <c r="O1898" s="68"/>
      <c r="P1898" s="68"/>
      <c r="Q1898" s="68">
        <f>SUM(Devis[[#This Row],[Poste 1]:[Poste 6]])</f>
        <v>0</v>
      </c>
      <c r="R1898" s="71">
        <v>20</v>
      </c>
      <c r="S1898" s="68">
        <f>_xlfn.CEILING.MATH(Devis[[#This Row],[Quantité Totale]],Devis[[#This Row],[Conditionnement]])</f>
        <v>0</v>
      </c>
      <c r="T1898" s="72"/>
      <c r="U1898" s="73"/>
      <c r="V1898" s="74">
        <f>Devis[[#This Row],[Prix de Revient]]*Devis[[#This Row],[Poste 1]]</f>
        <v>0</v>
      </c>
      <c r="W1898" s="74">
        <f>Devis[[#This Row],[Prix de Revient]]*Devis[[#This Row],[Poste 2]]</f>
        <v>0</v>
      </c>
      <c r="X1898" s="74">
        <f>Devis[[#This Row],[Prix de Revient]]*Devis[[#This Row],[Poste 3]]</f>
        <v>0</v>
      </c>
      <c r="Y1898" s="74">
        <f>Devis[[#This Row],[Poste 4]]*Devis[[#This Row],[Prix de Revient]]</f>
        <v>0</v>
      </c>
      <c r="Z1898" s="74">
        <f>Devis[[#This Row],[Poste 5]]*Devis[[#This Row],[Prix de Revient]]</f>
        <v>0</v>
      </c>
      <c r="AA1898" s="74">
        <f>Devis[[#This Row],[Prix de Revient]]*Devis[[#This Row],[Poste 6]]</f>
        <v>0</v>
      </c>
      <c r="AB1898" s="74">
        <f>Devis[[#This Row],[Quantité Totale]]*Devis[[#This Row],[Prix de Revient]]</f>
        <v>0</v>
      </c>
    </row>
    <row r="1899" spans="1:28" ht="14.25" outlineLevel="1" x14ac:dyDescent="0.2">
      <c r="A1899" s="75" t="s">
        <v>1647</v>
      </c>
      <c r="B1899" s="76" t="s">
        <v>1726</v>
      </c>
      <c r="C1899" s="76" t="s">
        <v>1726</v>
      </c>
      <c r="D1899" s="81" t="str">
        <f t="shared" si="33"/>
        <v>Inox Serti ItalienCoude 60° FF inox serti 316LCoude 60° FF inox serti 316L</v>
      </c>
      <c r="E1899" s="76" t="s">
        <v>1704</v>
      </c>
      <c r="F1899" s="76">
        <v>4</v>
      </c>
      <c r="G1899" s="71" t="s">
        <v>1730</v>
      </c>
      <c r="H1899" s="71" t="s">
        <v>459</v>
      </c>
      <c r="I1899" s="71">
        <v>181028600</v>
      </c>
      <c r="J1899" s="70">
        <f>IFERROR(VLOOKUP(Devis[[#This Row],[Ref Air Flux]],#REF!,3,FALSE),0)</f>
        <v>0</v>
      </c>
      <c r="K1899" s="68"/>
      <c r="L1899" s="68"/>
      <c r="M1899" s="68"/>
      <c r="N1899" s="68"/>
      <c r="O1899" s="68"/>
      <c r="P1899" s="68"/>
      <c r="Q1899" s="68">
        <f>SUM(Devis[[#This Row],[Poste 1]:[Poste 6]])</f>
        <v>0</v>
      </c>
      <c r="R1899" s="71">
        <v>10</v>
      </c>
      <c r="S1899" s="68">
        <f>_xlfn.CEILING.MATH(Devis[[#This Row],[Quantité Totale]],Devis[[#This Row],[Conditionnement]])</f>
        <v>0</v>
      </c>
      <c r="T1899" s="72"/>
      <c r="U1899" s="73"/>
      <c r="V1899" s="74">
        <f>Devis[[#This Row],[Prix de Revient]]*Devis[[#This Row],[Poste 1]]</f>
        <v>0</v>
      </c>
      <c r="W1899" s="74">
        <f>Devis[[#This Row],[Prix de Revient]]*Devis[[#This Row],[Poste 2]]</f>
        <v>0</v>
      </c>
      <c r="X1899" s="74">
        <f>Devis[[#This Row],[Prix de Revient]]*Devis[[#This Row],[Poste 3]]</f>
        <v>0</v>
      </c>
      <c r="Y1899" s="74">
        <f>Devis[[#This Row],[Poste 4]]*Devis[[#This Row],[Prix de Revient]]</f>
        <v>0</v>
      </c>
      <c r="Z1899" s="74">
        <f>Devis[[#This Row],[Poste 5]]*Devis[[#This Row],[Prix de Revient]]</f>
        <v>0</v>
      </c>
      <c r="AA1899" s="74">
        <f>Devis[[#This Row],[Prix de Revient]]*Devis[[#This Row],[Poste 6]]</f>
        <v>0</v>
      </c>
      <c r="AB1899" s="74">
        <f>Devis[[#This Row],[Quantité Totale]]*Devis[[#This Row],[Prix de Revient]]</f>
        <v>0</v>
      </c>
    </row>
    <row r="1900" spans="1:28" ht="14.25" outlineLevel="1" x14ac:dyDescent="0.2">
      <c r="A1900" s="75" t="s">
        <v>1647</v>
      </c>
      <c r="B1900" s="76" t="s">
        <v>1726</v>
      </c>
      <c r="C1900" s="76" t="s">
        <v>1726</v>
      </c>
      <c r="D1900" s="81" t="str">
        <f t="shared" si="33"/>
        <v>Inox Serti ItalienCoude 60° FF inox serti 316LCoude 60° FF inox serti 316L</v>
      </c>
      <c r="E1900" s="76" t="s">
        <v>1655</v>
      </c>
      <c r="F1900" s="76">
        <v>5</v>
      </c>
      <c r="G1900" s="71" t="s">
        <v>1731</v>
      </c>
      <c r="H1900" s="71" t="s">
        <v>459</v>
      </c>
      <c r="I1900" s="71">
        <v>181035600</v>
      </c>
      <c r="J1900" s="70">
        <f>IFERROR(VLOOKUP(Devis[[#This Row],[Ref Air Flux]],#REF!,3,FALSE),0)</f>
        <v>0</v>
      </c>
      <c r="K1900" s="68"/>
      <c r="L1900" s="68"/>
      <c r="M1900" s="68"/>
      <c r="N1900" s="68"/>
      <c r="O1900" s="68"/>
      <c r="P1900" s="68"/>
      <c r="Q1900" s="68">
        <f>SUM(Devis[[#This Row],[Poste 1]:[Poste 6]])</f>
        <v>0</v>
      </c>
      <c r="R1900" s="71">
        <v>10</v>
      </c>
      <c r="S1900" s="68">
        <f>_xlfn.CEILING.MATH(Devis[[#This Row],[Quantité Totale]],Devis[[#This Row],[Conditionnement]])</f>
        <v>0</v>
      </c>
      <c r="T1900" s="72"/>
      <c r="U1900" s="73"/>
      <c r="V1900" s="74">
        <f>Devis[[#This Row],[Prix de Revient]]*Devis[[#This Row],[Poste 1]]</f>
        <v>0</v>
      </c>
      <c r="W1900" s="74">
        <f>Devis[[#This Row],[Prix de Revient]]*Devis[[#This Row],[Poste 2]]</f>
        <v>0</v>
      </c>
      <c r="X1900" s="74">
        <f>Devis[[#This Row],[Prix de Revient]]*Devis[[#This Row],[Poste 3]]</f>
        <v>0</v>
      </c>
      <c r="Y1900" s="74">
        <f>Devis[[#This Row],[Poste 4]]*Devis[[#This Row],[Prix de Revient]]</f>
        <v>0</v>
      </c>
      <c r="Z1900" s="74">
        <f>Devis[[#This Row],[Poste 5]]*Devis[[#This Row],[Prix de Revient]]</f>
        <v>0</v>
      </c>
      <c r="AA1900" s="74">
        <f>Devis[[#This Row],[Prix de Revient]]*Devis[[#This Row],[Poste 6]]</f>
        <v>0</v>
      </c>
      <c r="AB1900" s="74">
        <f>Devis[[#This Row],[Quantité Totale]]*Devis[[#This Row],[Prix de Revient]]</f>
        <v>0</v>
      </c>
    </row>
    <row r="1901" spans="1:28" ht="14.25" customHeight="1" outlineLevel="1" x14ac:dyDescent="0.2">
      <c r="A1901" s="75" t="s">
        <v>1647</v>
      </c>
      <c r="B1901" s="76" t="s">
        <v>1726</v>
      </c>
      <c r="C1901" s="76" t="s">
        <v>1726</v>
      </c>
      <c r="D1901" s="81" t="str">
        <f t="shared" si="33"/>
        <v>Inox Serti ItalienCoude 60° FF inox serti 316LCoude 60° FF inox serti 316L</v>
      </c>
      <c r="E1901" s="76" t="s">
        <v>1657</v>
      </c>
      <c r="F1901" s="76">
        <v>6</v>
      </c>
      <c r="G1901" s="71" t="s">
        <v>1732</v>
      </c>
      <c r="H1901" s="71" t="s">
        <v>459</v>
      </c>
      <c r="I1901" s="71">
        <v>181042600</v>
      </c>
      <c r="J1901" s="70">
        <f>IFERROR(VLOOKUP(Devis[[#This Row],[Ref Air Flux]],#REF!,3,FALSE),0)</f>
        <v>0</v>
      </c>
      <c r="K1901" s="68"/>
      <c r="L1901" s="68"/>
      <c r="M1901" s="68"/>
      <c r="N1901" s="68"/>
      <c r="O1901" s="68"/>
      <c r="P1901" s="68"/>
      <c r="Q1901" s="68">
        <f>SUM(Devis[[#This Row],[Poste 1]:[Poste 6]])</f>
        <v>0</v>
      </c>
      <c r="R1901" s="71">
        <v>4</v>
      </c>
      <c r="S1901" s="68">
        <f>_xlfn.CEILING.MATH(Devis[[#This Row],[Quantité Totale]],Devis[[#This Row],[Conditionnement]])</f>
        <v>0</v>
      </c>
      <c r="T1901" s="72"/>
      <c r="U1901" s="73"/>
      <c r="V1901" s="74">
        <f>Devis[[#This Row],[Prix de Revient]]*Devis[[#This Row],[Poste 1]]</f>
        <v>0</v>
      </c>
      <c r="W1901" s="74">
        <f>Devis[[#This Row],[Prix de Revient]]*Devis[[#This Row],[Poste 2]]</f>
        <v>0</v>
      </c>
      <c r="X1901" s="74">
        <f>Devis[[#This Row],[Prix de Revient]]*Devis[[#This Row],[Poste 3]]</f>
        <v>0</v>
      </c>
      <c r="Y1901" s="74">
        <f>Devis[[#This Row],[Poste 4]]*Devis[[#This Row],[Prix de Revient]]</f>
        <v>0</v>
      </c>
      <c r="Z1901" s="74">
        <f>Devis[[#This Row],[Poste 5]]*Devis[[#This Row],[Prix de Revient]]</f>
        <v>0</v>
      </c>
      <c r="AA1901" s="74">
        <f>Devis[[#This Row],[Prix de Revient]]*Devis[[#This Row],[Poste 6]]</f>
        <v>0</v>
      </c>
      <c r="AB1901" s="74">
        <f>Devis[[#This Row],[Quantité Totale]]*Devis[[#This Row],[Prix de Revient]]</f>
        <v>0</v>
      </c>
    </row>
    <row r="1902" spans="1:28" ht="14.25" outlineLevel="1" x14ac:dyDescent="0.2">
      <c r="A1902" s="75" t="s">
        <v>1647</v>
      </c>
      <c r="B1902" s="76" t="s">
        <v>1726</v>
      </c>
      <c r="C1902" s="76" t="s">
        <v>1726</v>
      </c>
      <c r="D1902" s="81" t="str">
        <f t="shared" si="33"/>
        <v>Inox Serti ItalienCoude 60° FF inox serti 316LCoude 60° FF inox serti 316L</v>
      </c>
      <c r="E1902" s="76" t="s">
        <v>1708</v>
      </c>
      <c r="F1902" s="76">
        <v>7</v>
      </c>
      <c r="G1902" s="71" t="s">
        <v>1733</v>
      </c>
      <c r="H1902" s="71" t="s">
        <v>459</v>
      </c>
      <c r="I1902" s="71">
        <v>181054600</v>
      </c>
      <c r="J1902" s="70">
        <f>IFERROR(VLOOKUP(Devis[[#This Row],[Ref Air Flux]],#REF!,3,FALSE),0)</f>
        <v>0</v>
      </c>
      <c r="K1902" s="68"/>
      <c r="L1902" s="68"/>
      <c r="M1902" s="68"/>
      <c r="N1902" s="68"/>
      <c r="O1902" s="68"/>
      <c r="P1902" s="68"/>
      <c r="Q1902" s="68">
        <f>SUM(Devis[[#This Row],[Poste 1]:[Poste 6]])</f>
        <v>0</v>
      </c>
      <c r="R1902" s="71">
        <v>2</v>
      </c>
      <c r="S1902" s="68">
        <f>_xlfn.CEILING.MATH(Devis[[#This Row],[Quantité Totale]],Devis[[#This Row],[Conditionnement]])</f>
        <v>0</v>
      </c>
      <c r="T1902" s="72"/>
      <c r="U1902" s="73"/>
      <c r="V1902" s="74">
        <f>Devis[[#This Row],[Prix de Revient]]*Devis[[#This Row],[Poste 1]]</f>
        <v>0</v>
      </c>
      <c r="W1902" s="74">
        <f>Devis[[#This Row],[Prix de Revient]]*Devis[[#This Row],[Poste 2]]</f>
        <v>0</v>
      </c>
      <c r="X1902" s="74">
        <f>Devis[[#This Row],[Prix de Revient]]*Devis[[#This Row],[Poste 3]]</f>
        <v>0</v>
      </c>
      <c r="Y1902" s="74">
        <f>Devis[[#This Row],[Poste 4]]*Devis[[#This Row],[Prix de Revient]]</f>
        <v>0</v>
      </c>
      <c r="Z1902" s="74">
        <f>Devis[[#This Row],[Poste 5]]*Devis[[#This Row],[Prix de Revient]]</f>
        <v>0</v>
      </c>
      <c r="AA1902" s="74">
        <f>Devis[[#This Row],[Prix de Revient]]*Devis[[#This Row],[Poste 6]]</f>
        <v>0</v>
      </c>
      <c r="AB1902" s="74">
        <f>Devis[[#This Row],[Quantité Totale]]*Devis[[#This Row],[Prix de Revient]]</f>
        <v>0</v>
      </c>
    </row>
    <row r="1903" spans="1:28" ht="14.25" customHeight="1" outlineLevel="1" x14ac:dyDescent="0.2">
      <c r="A1903" s="75" t="s">
        <v>1647</v>
      </c>
      <c r="B1903" s="76" t="s">
        <v>1726</v>
      </c>
      <c r="C1903" s="76" t="s">
        <v>1726</v>
      </c>
      <c r="D1903" s="81" t="str">
        <f t="shared" si="33"/>
        <v>Inox Serti ItalienCoude 60° FF inox serti 316LCoude 60° FF inox serti 316L</v>
      </c>
      <c r="E1903" s="76" t="s">
        <v>1710</v>
      </c>
      <c r="F1903" s="76">
        <v>8</v>
      </c>
      <c r="G1903" s="71" t="s">
        <v>1734</v>
      </c>
      <c r="H1903" s="71" t="s">
        <v>459</v>
      </c>
      <c r="I1903" s="71">
        <v>181076600</v>
      </c>
      <c r="J1903" s="70">
        <f>IFERROR(VLOOKUP(Devis[[#This Row],[Ref Air Flux]],#REF!,3,FALSE),0)</f>
        <v>0</v>
      </c>
      <c r="K1903" s="68"/>
      <c r="L1903" s="68"/>
      <c r="M1903" s="68"/>
      <c r="N1903" s="68"/>
      <c r="O1903" s="68"/>
      <c r="P1903" s="68"/>
      <c r="Q1903" s="68">
        <f>SUM(Devis[[#This Row],[Poste 1]:[Poste 6]])</f>
        <v>0</v>
      </c>
      <c r="R1903" s="71">
        <v>2</v>
      </c>
      <c r="S1903" s="68">
        <f>_xlfn.CEILING.MATH(Devis[[#This Row],[Quantité Totale]],Devis[[#This Row],[Conditionnement]])</f>
        <v>0</v>
      </c>
      <c r="T1903" s="72"/>
      <c r="U1903" s="73"/>
      <c r="V1903" s="74">
        <f>Devis[[#This Row],[Prix de Revient]]*Devis[[#This Row],[Poste 1]]</f>
        <v>0</v>
      </c>
      <c r="W1903" s="74">
        <f>Devis[[#This Row],[Prix de Revient]]*Devis[[#This Row],[Poste 2]]</f>
        <v>0</v>
      </c>
      <c r="X1903" s="74">
        <f>Devis[[#This Row],[Prix de Revient]]*Devis[[#This Row],[Poste 3]]</f>
        <v>0</v>
      </c>
      <c r="Y1903" s="74">
        <f>Devis[[#This Row],[Poste 4]]*Devis[[#This Row],[Prix de Revient]]</f>
        <v>0</v>
      </c>
      <c r="Z1903" s="74">
        <f>Devis[[#This Row],[Poste 5]]*Devis[[#This Row],[Prix de Revient]]</f>
        <v>0</v>
      </c>
      <c r="AA1903" s="74">
        <f>Devis[[#This Row],[Prix de Revient]]*Devis[[#This Row],[Poste 6]]</f>
        <v>0</v>
      </c>
      <c r="AB1903" s="74">
        <f>Devis[[#This Row],[Quantité Totale]]*Devis[[#This Row],[Prix de Revient]]</f>
        <v>0</v>
      </c>
    </row>
    <row r="1904" spans="1:28" ht="14.25" customHeight="1" outlineLevel="1" x14ac:dyDescent="0.2">
      <c r="A1904" s="75" t="s">
        <v>1647</v>
      </c>
      <c r="B1904" s="76" t="s">
        <v>1726</v>
      </c>
      <c r="C1904" s="76" t="s">
        <v>1726</v>
      </c>
      <c r="D1904" s="81" t="str">
        <f t="shared" si="33"/>
        <v>Inox Serti ItalienCoude 60° FF inox serti 316LCoude 60° FF inox serti 316L</v>
      </c>
      <c r="E1904" s="76" t="s">
        <v>1712</v>
      </c>
      <c r="F1904" s="76">
        <v>9</v>
      </c>
      <c r="G1904" s="71" t="s">
        <v>1735</v>
      </c>
      <c r="H1904" s="71" t="s">
        <v>459</v>
      </c>
      <c r="I1904" s="71">
        <v>181088600</v>
      </c>
      <c r="J1904" s="70">
        <f>IFERROR(VLOOKUP(Devis[[#This Row],[Ref Air Flux]],#REF!,3,FALSE),0)</f>
        <v>0</v>
      </c>
      <c r="K1904" s="68"/>
      <c r="L1904" s="68"/>
      <c r="M1904" s="68"/>
      <c r="N1904" s="68"/>
      <c r="O1904" s="68"/>
      <c r="P1904" s="68"/>
      <c r="Q1904" s="68">
        <f>SUM(Devis[[#This Row],[Poste 1]:[Poste 6]])</f>
        <v>0</v>
      </c>
      <c r="R1904" s="71">
        <v>2</v>
      </c>
      <c r="S1904" s="68">
        <f>_xlfn.CEILING.MATH(Devis[[#This Row],[Quantité Totale]],Devis[[#This Row],[Conditionnement]])</f>
        <v>0</v>
      </c>
      <c r="T1904" s="72"/>
      <c r="U1904" s="73"/>
      <c r="V1904" s="74">
        <f>Devis[[#This Row],[Prix de Revient]]*Devis[[#This Row],[Poste 1]]</f>
        <v>0</v>
      </c>
      <c r="W1904" s="74">
        <f>Devis[[#This Row],[Prix de Revient]]*Devis[[#This Row],[Poste 2]]</f>
        <v>0</v>
      </c>
      <c r="X1904" s="74">
        <f>Devis[[#This Row],[Prix de Revient]]*Devis[[#This Row],[Poste 3]]</f>
        <v>0</v>
      </c>
      <c r="Y1904" s="74">
        <f>Devis[[#This Row],[Poste 4]]*Devis[[#This Row],[Prix de Revient]]</f>
        <v>0</v>
      </c>
      <c r="Z1904" s="74">
        <f>Devis[[#This Row],[Poste 5]]*Devis[[#This Row],[Prix de Revient]]</f>
        <v>0</v>
      </c>
      <c r="AA1904" s="74">
        <f>Devis[[#This Row],[Prix de Revient]]*Devis[[#This Row],[Poste 6]]</f>
        <v>0</v>
      </c>
      <c r="AB1904" s="74">
        <f>Devis[[#This Row],[Quantité Totale]]*Devis[[#This Row],[Prix de Revient]]</f>
        <v>0</v>
      </c>
    </row>
    <row r="1905" spans="1:28" ht="14.25" outlineLevel="1" x14ac:dyDescent="0.2">
      <c r="A1905" s="75" t="s">
        <v>1647</v>
      </c>
      <c r="B1905" s="76" t="s">
        <v>1726</v>
      </c>
      <c r="C1905" s="76" t="s">
        <v>1726</v>
      </c>
      <c r="D1905" s="81" t="str">
        <f t="shared" si="33"/>
        <v>Inox Serti ItalienCoude 60° FF inox serti 316LCoude 60° FF inox serti 316L</v>
      </c>
      <c r="E1905" s="76" t="s">
        <v>1714</v>
      </c>
      <c r="F1905" s="76">
        <v>10</v>
      </c>
      <c r="G1905" s="71" t="s">
        <v>1736</v>
      </c>
      <c r="H1905" s="71" t="s">
        <v>459</v>
      </c>
      <c r="I1905" s="71">
        <v>181108600</v>
      </c>
      <c r="J1905" s="70">
        <f>IFERROR(VLOOKUP(Devis[[#This Row],[Ref Air Flux]],#REF!,3,FALSE),0)</f>
        <v>0</v>
      </c>
      <c r="K1905" s="68"/>
      <c r="L1905" s="68"/>
      <c r="M1905" s="68"/>
      <c r="N1905" s="68"/>
      <c r="O1905" s="68"/>
      <c r="P1905" s="68"/>
      <c r="Q1905" s="68">
        <f>SUM(Devis[[#This Row],[Poste 1]:[Poste 6]])</f>
        <v>0</v>
      </c>
      <c r="R1905" s="71">
        <v>2</v>
      </c>
      <c r="S1905" s="68">
        <f>_xlfn.CEILING.MATH(Devis[[#This Row],[Quantité Totale]],Devis[[#This Row],[Conditionnement]])</f>
        <v>0</v>
      </c>
      <c r="T1905" s="72"/>
      <c r="U1905" s="73"/>
      <c r="V1905" s="74">
        <f>Devis[[#This Row],[Prix de Revient]]*Devis[[#This Row],[Poste 1]]</f>
        <v>0</v>
      </c>
      <c r="W1905" s="74">
        <f>Devis[[#This Row],[Prix de Revient]]*Devis[[#This Row],[Poste 2]]</f>
        <v>0</v>
      </c>
      <c r="X1905" s="74">
        <f>Devis[[#This Row],[Prix de Revient]]*Devis[[#This Row],[Poste 3]]</f>
        <v>0</v>
      </c>
      <c r="Y1905" s="74">
        <f>Devis[[#This Row],[Poste 4]]*Devis[[#This Row],[Prix de Revient]]</f>
        <v>0</v>
      </c>
      <c r="Z1905" s="74">
        <f>Devis[[#This Row],[Poste 5]]*Devis[[#This Row],[Prix de Revient]]</f>
        <v>0</v>
      </c>
      <c r="AA1905" s="74">
        <f>Devis[[#This Row],[Prix de Revient]]*Devis[[#This Row],[Poste 6]]</f>
        <v>0</v>
      </c>
      <c r="AB1905" s="74">
        <f>Devis[[#This Row],[Quantité Totale]]*Devis[[#This Row],[Prix de Revient]]</f>
        <v>0</v>
      </c>
    </row>
    <row r="1906" spans="1:28" ht="14.25" customHeight="1" x14ac:dyDescent="0.25">
      <c r="A1906" s="65" t="s">
        <v>1647</v>
      </c>
      <c r="B1906" s="65" t="s">
        <v>1737</v>
      </c>
      <c r="C1906" s="76" t="s">
        <v>1737</v>
      </c>
      <c r="D1906" s="81" t="str">
        <f t="shared" si="33"/>
        <v>Inox Serti ItalienCoude 60° MF inox serti 316LCoude 60° MF inox serti 316L</v>
      </c>
      <c r="E1906" s="76"/>
      <c r="F1906" s="76">
        <v>0</v>
      </c>
      <c r="G1906" s="71"/>
      <c r="H1906" s="71"/>
      <c r="I1906" s="71"/>
      <c r="J1906" s="70">
        <f>IFERROR(VLOOKUP(Devis[[#This Row],[Ref Air Flux]],#REF!,3,FALSE),0)</f>
        <v>0</v>
      </c>
      <c r="K1906" s="68"/>
      <c r="L1906" s="68"/>
      <c r="M1906" s="68"/>
      <c r="N1906" s="68"/>
      <c r="O1906" s="68"/>
      <c r="P1906" s="68"/>
      <c r="Q1906" s="68">
        <f>SUM(Devis[[#This Row],[Poste 1]:[Poste 6]])</f>
        <v>0</v>
      </c>
      <c r="R1906" s="71"/>
      <c r="S1906" s="68">
        <f>_xlfn.CEILING.MATH(Devis[[#This Row],[Quantité Totale]],Devis[[#This Row],[Conditionnement]])</f>
        <v>0</v>
      </c>
      <c r="T1906" s="72"/>
      <c r="U1906" s="73"/>
      <c r="V1906" s="74">
        <f>Devis[[#This Row],[Prix de Revient]]*Devis[[#This Row],[Poste 1]]</f>
        <v>0</v>
      </c>
      <c r="W1906" s="74">
        <f>Devis[[#This Row],[Prix de Revient]]*Devis[[#This Row],[Poste 2]]</f>
        <v>0</v>
      </c>
      <c r="X1906" s="74">
        <f>Devis[[#This Row],[Prix de Revient]]*Devis[[#This Row],[Poste 3]]</f>
        <v>0</v>
      </c>
      <c r="Y1906" s="74">
        <f>Devis[[#This Row],[Poste 4]]*Devis[[#This Row],[Prix de Revient]]</f>
        <v>0</v>
      </c>
      <c r="Z1906" s="74">
        <f>Devis[[#This Row],[Poste 5]]*Devis[[#This Row],[Prix de Revient]]</f>
        <v>0</v>
      </c>
      <c r="AA1906" s="74">
        <f>Devis[[#This Row],[Prix de Revient]]*Devis[[#This Row],[Poste 6]]</f>
        <v>0</v>
      </c>
      <c r="AB1906" s="74">
        <f>Devis[[#This Row],[Quantité Totale]]*Devis[[#This Row],[Prix de Revient]]</f>
        <v>0</v>
      </c>
    </row>
    <row r="1907" spans="1:28" ht="15" customHeight="1" outlineLevel="1" x14ac:dyDescent="0.2">
      <c r="A1907" s="75" t="s">
        <v>1647</v>
      </c>
      <c r="B1907" s="76" t="s">
        <v>1737</v>
      </c>
      <c r="C1907" s="76" t="s">
        <v>1737</v>
      </c>
      <c r="D1907" s="81" t="str">
        <f t="shared" si="33"/>
        <v>Inox Serti ItalienCoude 60° MF inox serti 316LCoude 60° MF inox serti 316L</v>
      </c>
      <c r="E1907" s="76" t="s">
        <v>1648</v>
      </c>
      <c r="F1907" s="76">
        <v>1</v>
      </c>
      <c r="G1907" s="71" t="s">
        <v>1738</v>
      </c>
      <c r="H1907" s="71" t="s">
        <v>459</v>
      </c>
      <c r="I1907" s="71">
        <v>181015601</v>
      </c>
      <c r="J1907" s="70">
        <f>IFERROR(VLOOKUP(Devis[[#This Row],[Ref Air Flux]],#REF!,3,FALSE),0)</f>
        <v>0</v>
      </c>
      <c r="K1907" s="68"/>
      <c r="L1907" s="68"/>
      <c r="M1907" s="68"/>
      <c r="N1907" s="68"/>
      <c r="O1907" s="68"/>
      <c r="P1907" s="68"/>
      <c r="Q1907" s="68">
        <f>SUM(Devis[[#This Row],[Poste 1]:[Poste 6]])</f>
        <v>0</v>
      </c>
      <c r="R1907" s="71">
        <v>20</v>
      </c>
      <c r="S1907" s="68">
        <f>_xlfn.CEILING.MATH(Devis[[#This Row],[Quantité Totale]],Devis[[#This Row],[Conditionnement]])</f>
        <v>0</v>
      </c>
      <c r="T1907" s="72"/>
      <c r="U1907" s="73"/>
      <c r="V1907" s="74">
        <f>Devis[[#This Row],[Prix de Revient]]*Devis[[#This Row],[Poste 1]]</f>
        <v>0</v>
      </c>
      <c r="W1907" s="74">
        <f>Devis[[#This Row],[Prix de Revient]]*Devis[[#This Row],[Poste 2]]</f>
        <v>0</v>
      </c>
      <c r="X1907" s="74">
        <f>Devis[[#This Row],[Prix de Revient]]*Devis[[#This Row],[Poste 3]]</f>
        <v>0</v>
      </c>
      <c r="Y1907" s="74">
        <f>Devis[[#This Row],[Poste 4]]*Devis[[#This Row],[Prix de Revient]]</f>
        <v>0</v>
      </c>
      <c r="Z1907" s="74">
        <f>Devis[[#This Row],[Poste 5]]*Devis[[#This Row],[Prix de Revient]]</f>
        <v>0</v>
      </c>
      <c r="AA1907" s="74">
        <f>Devis[[#This Row],[Prix de Revient]]*Devis[[#This Row],[Poste 6]]</f>
        <v>0</v>
      </c>
      <c r="AB1907" s="74">
        <f>Devis[[#This Row],[Quantité Totale]]*Devis[[#This Row],[Prix de Revient]]</f>
        <v>0</v>
      </c>
    </row>
    <row r="1908" spans="1:28" ht="14.25" outlineLevel="1" x14ac:dyDescent="0.2">
      <c r="A1908" s="75" t="s">
        <v>1647</v>
      </c>
      <c r="B1908" s="76" t="s">
        <v>1737</v>
      </c>
      <c r="C1908" s="76" t="s">
        <v>1737</v>
      </c>
      <c r="D1908" s="81" t="str">
        <f t="shared" si="33"/>
        <v>Inox Serti ItalienCoude 60° MF inox serti 316LCoude 60° MF inox serti 316L</v>
      </c>
      <c r="E1908" s="76" t="s">
        <v>1650</v>
      </c>
      <c r="F1908" s="76">
        <v>2</v>
      </c>
      <c r="G1908" s="71" t="s">
        <v>1739</v>
      </c>
      <c r="H1908" s="71" t="s">
        <v>459</v>
      </c>
      <c r="I1908" s="71">
        <v>181018601</v>
      </c>
      <c r="J1908" s="70">
        <f>IFERROR(VLOOKUP(Devis[[#This Row],[Ref Air Flux]],#REF!,3,FALSE),0)</f>
        <v>0</v>
      </c>
      <c r="K1908" s="68"/>
      <c r="L1908" s="68"/>
      <c r="M1908" s="68"/>
      <c r="N1908" s="68"/>
      <c r="O1908" s="68"/>
      <c r="P1908" s="68"/>
      <c r="Q1908" s="68">
        <f>SUM(Devis[[#This Row],[Poste 1]:[Poste 6]])</f>
        <v>0</v>
      </c>
      <c r="R1908" s="71">
        <v>20</v>
      </c>
      <c r="S1908" s="68">
        <f>_xlfn.CEILING.MATH(Devis[[#This Row],[Quantité Totale]],Devis[[#This Row],[Conditionnement]])</f>
        <v>0</v>
      </c>
      <c r="T1908" s="72"/>
      <c r="U1908" s="73"/>
      <c r="V1908" s="74">
        <f>Devis[[#This Row],[Prix de Revient]]*Devis[[#This Row],[Poste 1]]</f>
        <v>0</v>
      </c>
      <c r="W1908" s="74">
        <f>Devis[[#This Row],[Prix de Revient]]*Devis[[#This Row],[Poste 2]]</f>
        <v>0</v>
      </c>
      <c r="X1908" s="74">
        <f>Devis[[#This Row],[Prix de Revient]]*Devis[[#This Row],[Poste 3]]</f>
        <v>0</v>
      </c>
      <c r="Y1908" s="74">
        <f>Devis[[#This Row],[Poste 4]]*Devis[[#This Row],[Prix de Revient]]</f>
        <v>0</v>
      </c>
      <c r="Z1908" s="74">
        <f>Devis[[#This Row],[Poste 5]]*Devis[[#This Row],[Prix de Revient]]</f>
        <v>0</v>
      </c>
      <c r="AA1908" s="74">
        <f>Devis[[#This Row],[Prix de Revient]]*Devis[[#This Row],[Poste 6]]</f>
        <v>0</v>
      </c>
      <c r="AB1908" s="74">
        <f>Devis[[#This Row],[Quantité Totale]]*Devis[[#This Row],[Prix de Revient]]</f>
        <v>0</v>
      </c>
    </row>
    <row r="1909" spans="1:28" ht="14.25" outlineLevel="1" x14ac:dyDescent="0.2">
      <c r="A1909" s="75" t="s">
        <v>1647</v>
      </c>
      <c r="B1909" s="76" t="s">
        <v>1737</v>
      </c>
      <c r="C1909" s="76" t="s">
        <v>1737</v>
      </c>
      <c r="D1909" s="81" t="str">
        <f t="shared" si="33"/>
        <v>Inox Serti ItalienCoude 60° MF inox serti 316LCoude 60° MF inox serti 316L</v>
      </c>
      <c r="E1909" s="76" t="s">
        <v>1652</v>
      </c>
      <c r="F1909" s="76">
        <v>3</v>
      </c>
      <c r="G1909" s="71" t="s">
        <v>1740</v>
      </c>
      <c r="H1909" s="71" t="s">
        <v>459</v>
      </c>
      <c r="I1909" s="71">
        <v>181022601</v>
      </c>
      <c r="J1909" s="70">
        <f>IFERROR(VLOOKUP(Devis[[#This Row],[Ref Air Flux]],#REF!,3,FALSE),0)</f>
        <v>0</v>
      </c>
      <c r="K1909" s="68"/>
      <c r="L1909" s="68"/>
      <c r="M1909" s="68"/>
      <c r="N1909" s="68"/>
      <c r="O1909" s="68"/>
      <c r="P1909" s="68"/>
      <c r="Q1909" s="68">
        <f>SUM(Devis[[#This Row],[Poste 1]:[Poste 6]])</f>
        <v>0</v>
      </c>
      <c r="R1909" s="71">
        <v>20</v>
      </c>
      <c r="S1909" s="68">
        <f>_xlfn.CEILING.MATH(Devis[[#This Row],[Quantité Totale]],Devis[[#This Row],[Conditionnement]])</f>
        <v>0</v>
      </c>
      <c r="T1909" s="72"/>
      <c r="U1909" s="73"/>
      <c r="V1909" s="74">
        <f>Devis[[#This Row],[Prix de Revient]]*Devis[[#This Row],[Poste 1]]</f>
        <v>0</v>
      </c>
      <c r="W1909" s="74">
        <f>Devis[[#This Row],[Prix de Revient]]*Devis[[#This Row],[Poste 2]]</f>
        <v>0</v>
      </c>
      <c r="X1909" s="74">
        <f>Devis[[#This Row],[Prix de Revient]]*Devis[[#This Row],[Poste 3]]</f>
        <v>0</v>
      </c>
      <c r="Y1909" s="74">
        <f>Devis[[#This Row],[Poste 4]]*Devis[[#This Row],[Prix de Revient]]</f>
        <v>0</v>
      </c>
      <c r="Z1909" s="74">
        <f>Devis[[#This Row],[Poste 5]]*Devis[[#This Row],[Prix de Revient]]</f>
        <v>0</v>
      </c>
      <c r="AA1909" s="74">
        <f>Devis[[#This Row],[Prix de Revient]]*Devis[[#This Row],[Poste 6]]</f>
        <v>0</v>
      </c>
      <c r="AB1909" s="74">
        <f>Devis[[#This Row],[Quantité Totale]]*Devis[[#This Row],[Prix de Revient]]</f>
        <v>0</v>
      </c>
    </row>
    <row r="1910" spans="1:28" ht="14.25" outlineLevel="1" x14ac:dyDescent="0.2">
      <c r="A1910" s="75" t="s">
        <v>1647</v>
      </c>
      <c r="B1910" s="76" t="s">
        <v>1737</v>
      </c>
      <c r="C1910" s="76" t="s">
        <v>1737</v>
      </c>
      <c r="D1910" s="81" t="str">
        <f t="shared" si="33"/>
        <v>Inox Serti ItalienCoude 60° MF inox serti 316LCoude 60° MF inox serti 316L</v>
      </c>
      <c r="E1910" s="76" t="s">
        <v>1704</v>
      </c>
      <c r="F1910" s="76">
        <v>4</v>
      </c>
      <c r="G1910" s="71" t="s">
        <v>1741</v>
      </c>
      <c r="H1910" s="71" t="s">
        <v>459</v>
      </c>
      <c r="I1910" s="71">
        <v>181028601</v>
      </c>
      <c r="J1910" s="70">
        <f>IFERROR(VLOOKUP(Devis[[#This Row],[Ref Air Flux]],#REF!,3,FALSE),0)</f>
        <v>0</v>
      </c>
      <c r="K1910" s="68"/>
      <c r="L1910" s="68"/>
      <c r="M1910" s="68"/>
      <c r="N1910" s="68"/>
      <c r="O1910" s="68"/>
      <c r="P1910" s="68"/>
      <c r="Q1910" s="68">
        <f>SUM(Devis[[#This Row],[Poste 1]:[Poste 6]])</f>
        <v>0</v>
      </c>
      <c r="R1910" s="71">
        <v>10</v>
      </c>
      <c r="S1910" s="68">
        <f>_xlfn.CEILING.MATH(Devis[[#This Row],[Quantité Totale]],Devis[[#This Row],[Conditionnement]])</f>
        <v>0</v>
      </c>
      <c r="T1910" s="72"/>
      <c r="U1910" s="73"/>
      <c r="V1910" s="74">
        <f>Devis[[#This Row],[Prix de Revient]]*Devis[[#This Row],[Poste 1]]</f>
        <v>0</v>
      </c>
      <c r="W1910" s="74">
        <f>Devis[[#This Row],[Prix de Revient]]*Devis[[#This Row],[Poste 2]]</f>
        <v>0</v>
      </c>
      <c r="X1910" s="74">
        <f>Devis[[#This Row],[Prix de Revient]]*Devis[[#This Row],[Poste 3]]</f>
        <v>0</v>
      </c>
      <c r="Y1910" s="74">
        <f>Devis[[#This Row],[Poste 4]]*Devis[[#This Row],[Prix de Revient]]</f>
        <v>0</v>
      </c>
      <c r="Z1910" s="74">
        <f>Devis[[#This Row],[Poste 5]]*Devis[[#This Row],[Prix de Revient]]</f>
        <v>0</v>
      </c>
      <c r="AA1910" s="74">
        <f>Devis[[#This Row],[Prix de Revient]]*Devis[[#This Row],[Poste 6]]</f>
        <v>0</v>
      </c>
      <c r="AB1910" s="74">
        <f>Devis[[#This Row],[Quantité Totale]]*Devis[[#This Row],[Prix de Revient]]</f>
        <v>0</v>
      </c>
    </row>
    <row r="1911" spans="1:28" ht="14.25" outlineLevel="1" x14ac:dyDescent="0.2">
      <c r="A1911" s="75" t="s">
        <v>1647</v>
      </c>
      <c r="B1911" s="76" t="s">
        <v>1737</v>
      </c>
      <c r="C1911" s="76" t="s">
        <v>1737</v>
      </c>
      <c r="D1911" s="81" t="str">
        <f t="shared" si="33"/>
        <v>Inox Serti ItalienCoude 60° MF inox serti 316LCoude 60° MF inox serti 316L</v>
      </c>
      <c r="E1911" s="76" t="s">
        <v>1655</v>
      </c>
      <c r="F1911" s="76">
        <v>5</v>
      </c>
      <c r="G1911" s="71" t="s">
        <v>1742</v>
      </c>
      <c r="H1911" s="71" t="s">
        <v>459</v>
      </c>
      <c r="I1911" s="71">
        <v>181035601</v>
      </c>
      <c r="J1911" s="70">
        <f>IFERROR(VLOOKUP(Devis[[#This Row],[Ref Air Flux]],#REF!,3,FALSE),0)</f>
        <v>0</v>
      </c>
      <c r="K1911" s="68"/>
      <c r="L1911" s="68"/>
      <c r="M1911" s="68"/>
      <c r="N1911" s="68"/>
      <c r="O1911" s="68"/>
      <c r="P1911" s="68"/>
      <c r="Q1911" s="68">
        <f>SUM(Devis[[#This Row],[Poste 1]:[Poste 6]])</f>
        <v>0</v>
      </c>
      <c r="R1911" s="71">
        <v>10</v>
      </c>
      <c r="S1911" s="68">
        <f>_xlfn.CEILING.MATH(Devis[[#This Row],[Quantité Totale]],Devis[[#This Row],[Conditionnement]])</f>
        <v>0</v>
      </c>
      <c r="T1911" s="72"/>
      <c r="U1911" s="73"/>
      <c r="V1911" s="74">
        <f>Devis[[#This Row],[Prix de Revient]]*Devis[[#This Row],[Poste 1]]</f>
        <v>0</v>
      </c>
      <c r="W1911" s="74">
        <f>Devis[[#This Row],[Prix de Revient]]*Devis[[#This Row],[Poste 2]]</f>
        <v>0</v>
      </c>
      <c r="X1911" s="74">
        <f>Devis[[#This Row],[Prix de Revient]]*Devis[[#This Row],[Poste 3]]</f>
        <v>0</v>
      </c>
      <c r="Y1911" s="74">
        <f>Devis[[#This Row],[Poste 4]]*Devis[[#This Row],[Prix de Revient]]</f>
        <v>0</v>
      </c>
      <c r="Z1911" s="74">
        <f>Devis[[#This Row],[Poste 5]]*Devis[[#This Row],[Prix de Revient]]</f>
        <v>0</v>
      </c>
      <c r="AA1911" s="74">
        <f>Devis[[#This Row],[Prix de Revient]]*Devis[[#This Row],[Poste 6]]</f>
        <v>0</v>
      </c>
      <c r="AB1911" s="74">
        <f>Devis[[#This Row],[Quantité Totale]]*Devis[[#This Row],[Prix de Revient]]</f>
        <v>0</v>
      </c>
    </row>
    <row r="1912" spans="1:28" ht="14.25" customHeight="1" outlineLevel="1" x14ac:dyDescent="0.2">
      <c r="A1912" s="75" t="s">
        <v>1647</v>
      </c>
      <c r="B1912" s="76" t="s">
        <v>1737</v>
      </c>
      <c r="C1912" s="76" t="s">
        <v>1737</v>
      </c>
      <c r="D1912" s="81" t="str">
        <f t="shared" si="33"/>
        <v>Inox Serti ItalienCoude 60° MF inox serti 316LCoude 60° MF inox serti 316L</v>
      </c>
      <c r="E1912" s="76" t="s">
        <v>1657</v>
      </c>
      <c r="F1912" s="76">
        <v>6</v>
      </c>
      <c r="G1912" s="71" t="s">
        <v>1743</v>
      </c>
      <c r="H1912" s="71" t="s">
        <v>459</v>
      </c>
      <c r="I1912" s="71">
        <v>181042601</v>
      </c>
      <c r="J1912" s="70">
        <f>IFERROR(VLOOKUP(Devis[[#This Row],[Ref Air Flux]],#REF!,3,FALSE),0)</f>
        <v>0</v>
      </c>
      <c r="K1912" s="68"/>
      <c r="L1912" s="68"/>
      <c r="M1912" s="68"/>
      <c r="N1912" s="68"/>
      <c r="O1912" s="68"/>
      <c r="P1912" s="68"/>
      <c r="Q1912" s="68">
        <f>SUM(Devis[[#This Row],[Poste 1]:[Poste 6]])</f>
        <v>0</v>
      </c>
      <c r="R1912" s="71">
        <v>4</v>
      </c>
      <c r="S1912" s="68">
        <f>_xlfn.CEILING.MATH(Devis[[#This Row],[Quantité Totale]],Devis[[#This Row],[Conditionnement]])</f>
        <v>0</v>
      </c>
      <c r="T1912" s="72"/>
      <c r="U1912" s="73"/>
      <c r="V1912" s="74">
        <f>Devis[[#This Row],[Prix de Revient]]*Devis[[#This Row],[Poste 1]]</f>
        <v>0</v>
      </c>
      <c r="W1912" s="74">
        <f>Devis[[#This Row],[Prix de Revient]]*Devis[[#This Row],[Poste 2]]</f>
        <v>0</v>
      </c>
      <c r="X1912" s="74">
        <f>Devis[[#This Row],[Prix de Revient]]*Devis[[#This Row],[Poste 3]]</f>
        <v>0</v>
      </c>
      <c r="Y1912" s="74">
        <f>Devis[[#This Row],[Poste 4]]*Devis[[#This Row],[Prix de Revient]]</f>
        <v>0</v>
      </c>
      <c r="Z1912" s="74">
        <f>Devis[[#This Row],[Poste 5]]*Devis[[#This Row],[Prix de Revient]]</f>
        <v>0</v>
      </c>
      <c r="AA1912" s="74">
        <f>Devis[[#This Row],[Prix de Revient]]*Devis[[#This Row],[Poste 6]]</f>
        <v>0</v>
      </c>
      <c r="AB1912" s="74">
        <f>Devis[[#This Row],[Quantité Totale]]*Devis[[#This Row],[Prix de Revient]]</f>
        <v>0</v>
      </c>
    </row>
    <row r="1913" spans="1:28" ht="14.25" outlineLevel="1" x14ac:dyDescent="0.2">
      <c r="A1913" s="75" t="s">
        <v>1647</v>
      </c>
      <c r="B1913" s="76" t="s">
        <v>1737</v>
      </c>
      <c r="C1913" s="76" t="s">
        <v>1737</v>
      </c>
      <c r="D1913" s="81" t="str">
        <f t="shared" si="33"/>
        <v>Inox Serti ItalienCoude 60° MF inox serti 316LCoude 60° MF inox serti 316L</v>
      </c>
      <c r="E1913" s="76" t="s">
        <v>1708</v>
      </c>
      <c r="F1913" s="76">
        <v>7</v>
      </c>
      <c r="G1913" s="71" t="s">
        <v>1744</v>
      </c>
      <c r="H1913" s="71" t="s">
        <v>459</v>
      </c>
      <c r="I1913" s="71">
        <v>181054601</v>
      </c>
      <c r="J1913" s="70">
        <f>IFERROR(VLOOKUP(Devis[[#This Row],[Ref Air Flux]],#REF!,3,FALSE),0)</f>
        <v>0</v>
      </c>
      <c r="K1913" s="68"/>
      <c r="L1913" s="68"/>
      <c r="M1913" s="68"/>
      <c r="N1913" s="68"/>
      <c r="O1913" s="68"/>
      <c r="P1913" s="68"/>
      <c r="Q1913" s="68">
        <f>SUM(Devis[[#This Row],[Poste 1]:[Poste 6]])</f>
        <v>0</v>
      </c>
      <c r="R1913" s="71">
        <v>2</v>
      </c>
      <c r="S1913" s="68">
        <f>_xlfn.CEILING.MATH(Devis[[#This Row],[Quantité Totale]],Devis[[#This Row],[Conditionnement]])</f>
        <v>0</v>
      </c>
      <c r="T1913" s="72"/>
      <c r="U1913" s="73"/>
      <c r="V1913" s="74">
        <f>Devis[[#This Row],[Prix de Revient]]*Devis[[#This Row],[Poste 1]]</f>
        <v>0</v>
      </c>
      <c r="W1913" s="74">
        <f>Devis[[#This Row],[Prix de Revient]]*Devis[[#This Row],[Poste 2]]</f>
        <v>0</v>
      </c>
      <c r="X1913" s="74">
        <f>Devis[[#This Row],[Prix de Revient]]*Devis[[#This Row],[Poste 3]]</f>
        <v>0</v>
      </c>
      <c r="Y1913" s="74">
        <f>Devis[[#This Row],[Poste 4]]*Devis[[#This Row],[Prix de Revient]]</f>
        <v>0</v>
      </c>
      <c r="Z1913" s="74">
        <f>Devis[[#This Row],[Poste 5]]*Devis[[#This Row],[Prix de Revient]]</f>
        <v>0</v>
      </c>
      <c r="AA1913" s="74">
        <f>Devis[[#This Row],[Prix de Revient]]*Devis[[#This Row],[Poste 6]]</f>
        <v>0</v>
      </c>
      <c r="AB1913" s="74">
        <f>Devis[[#This Row],[Quantité Totale]]*Devis[[#This Row],[Prix de Revient]]</f>
        <v>0</v>
      </c>
    </row>
    <row r="1914" spans="1:28" ht="14.25" customHeight="1" outlineLevel="1" x14ac:dyDescent="0.2">
      <c r="A1914" s="75" t="s">
        <v>1647</v>
      </c>
      <c r="B1914" s="76" t="s">
        <v>1737</v>
      </c>
      <c r="C1914" s="76" t="s">
        <v>1737</v>
      </c>
      <c r="D1914" s="81" t="str">
        <f t="shared" si="33"/>
        <v>Inox Serti ItalienCoude 60° MF inox serti 316LCoude 60° MF inox serti 316L</v>
      </c>
      <c r="E1914" s="76" t="s">
        <v>1710</v>
      </c>
      <c r="F1914" s="76">
        <v>8</v>
      </c>
      <c r="G1914" s="71" t="s">
        <v>1745</v>
      </c>
      <c r="H1914" s="71" t="s">
        <v>459</v>
      </c>
      <c r="I1914" s="71">
        <v>181076601</v>
      </c>
      <c r="J1914" s="70">
        <f>IFERROR(VLOOKUP(Devis[[#This Row],[Ref Air Flux]],#REF!,3,FALSE),0)</f>
        <v>0</v>
      </c>
      <c r="K1914" s="68"/>
      <c r="L1914" s="68"/>
      <c r="M1914" s="68"/>
      <c r="N1914" s="68"/>
      <c r="O1914" s="68"/>
      <c r="P1914" s="68"/>
      <c r="Q1914" s="68">
        <f>SUM(Devis[[#This Row],[Poste 1]:[Poste 6]])</f>
        <v>0</v>
      </c>
      <c r="R1914" s="71">
        <v>2</v>
      </c>
      <c r="S1914" s="68">
        <f>_xlfn.CEILING.MATH(Devis[[#This Row],[Quantité Totale]],Devis[[#This Row],[Conditionnement]])</f>
        <v>0</v>
      </c>
      <c r="T1914" s="72"/>
      <c r="U1914" s="73"/>
      <c r="V1914" s="74">
        <f>Devis[[#This Row],[Prix de Revient]]*Devis[[#This Row],[Poste 1]]</f>
        <v>0</v>
      </c>
      <c r="W1914" s="74">
        <f>Devis[[#This Row],[Prix de Revient]]*Devis[[#This Row],[Poste 2]]</f>
        <v>0</v>
      </c>
      <c r="X1914" s="74">
        <f>Devis[[#This Row],[Prix de Revient]]*Devis[[#This Row],[Poste 3]]</f>
        <v>0</v>
      </c>
      <c r="Y1914" s="74">
        <f>Devis[[#This Row],[Poste 4]]*Devis[[#This Row],[Prix de Revient]]</f>
        <v>0</v>
      </c>
      <c r="Z1914" s="74">
        <f>Devis[[#This Row],[Poste 5]]*Devis[[#This Row],[Prix de Revient]]</f>
        <v>0</v>
      </c>
      <c r="AA1914" s="74">
        <f>Devis[[#This Row],[Prix de Revient]]*Devis[[#This Row],[Poste 6]]</f>
        <v>0</v>
      </c>
      <c r="AB1914" s="74">
        <f>Devis[[#This Row],[Quantité Totale]]*Devis[[#This Row],[Prix de Revient]]</f>
        <v>0</v>
      </c>
    </row>
    <row r="1915" spans="1:28" ht="14.25" customHeight="1" outlineLevel="1" x14ac:dyDescent="0.2">
      <c r="A1915" s="75" t="s">
        <v>1647</v>
      </c>
      <c r="B1915" s="76" t="s">
        <v>1737</v>
      </c>
      <c r="C1915" s="76" t="s">
        <v>1737</v>
      </c>
      <c r="D1915" s="81" t="str">
        <f t="shared" si="33"/>
        <v>Inox Serti ItalienCoude 60° MF inox serti 316LCoude 60° MF inox serti 316L</v>
      </c>
      <c r="E1915" s="76" t="s">
        <v>1712</v>
      </c>
      <c r="F1915" s="76">
        <v>9</v>
      </c>
      <c r="G1915" s="71" t="s">
        <v>1746</v>
      </c>
      <c r="H1915" s="71" t="s">
        <v>459</v>
      </c>
      <c r="I1915" s="71">
        <v>181088601</v>
      </c>
      <c r="J1915" s="70">
        <f>IFERROR(VLOOKUP(Devis[[#This Row],[Ref Air Flux]],#REF!,3,FALSE),0)</f>
        <v>0</v>
      </c>
      <c r="K1915" s="68"/>
      <c r="L1915" s="68"/>
      <c r="M1915" s="68"/>
      <c r="N1915" s="68"/>
      <c r="O1915" s="68"/>
      <c r="P1915" s="68"/>
      <c r="Q1915" s="68">
        <f>SUM(Devis[[#This Row],[Poste 1]:[Poste 6]])</f>
        <v>0</v>
      </c>
      <c r="R1915" s="71">
        <v>2</v>
      </c>
      <c r="S1915" s="68">
        <f>_xlfn.CEILING.MATH(Devis[[#This Row],[Quantité Totale]],Devis[[#This Row],[Conditionnement]])</f>
        <v>0</v>
      </c>
      <c r="T1915" s="72"/>
      <c r="U1915" s="73"/>
      <c r="V1915" s="74">
        <f>Devis[[#This Row],[Prix de Revient]]*Devis[[#This Row],[Poste 1]]</f>
        <v>0</v>
      </c>
      <c r="W1915" s="74">
        <f>Devis[[#This Row],[Prix de Revient]]*Devis[[#This Row],[Poste 2]]</f>
        <v>0</v>
      </c>
      <c r="X1915" s="74">
        <f>Devis[[#This Row],[Prix de Revient]]*Devis[[#This Row],[Poste 3]]</f>
        <v>0</v>
      </c>
      <c r="Y1915" s="74">
        <f>Devis[[#This Row],[Poste 4]]*Devis[[#This Row],[Prix de Revient]]</f>
        <v>0</v>
      </c>
      <c r="Z1915" s="74">
        <f>Devis[[#This Row],[Poste 5]]*Devis[[#This Row],[Prix de Revient]]</f>
        <v>0</v>
      </c>
      <c r="AA1915" s="74">
        <f>Devis[[#This Row],[Prix de Revient]]*Devis[[#This Row],[Poste 6]]</f>
        <v>0</v>
      </c>
      <c r="AB1915" s="74">
        <f>Devis[[#This Row],[Quantité Totale]]*Devis[[#This Row],[Prix de Revient]]</f>
        <v>0</v>
      </c>
    </row>
    <row r="1916" spans="1:28" ht="14.25" outlineLevel="1" x14ac:dyDescent="0.2">
      <c r="A1916" s="75" t="s">
        <v>1647</v>
      </c>
      <c r="B1916" s="76" t="s">
        <v>1737</v>
      </c>
      <c r="C1916" s="76" t="s">
        <v>1737</v>
      </c>
      <c r="D1916" s="81" t="str">
        <f t="shared" si="33"/>
        <v>Inox Serti ItalienCoude 60° MF inox serti 316LCoude 60° MF inox serti 316L</v>
      </c>
      <c r="E1916" s="76" t="s">
        <v>1714</v>
      </c>
      <c r="F1916" s="76">
        <v>10</v>
      </c>
      <c r="G1916" s="71" t="s">
        <v>1747</v>
      </c>
      <c r="H1916" s="71" t="s">
        <v>459</v>
      </c>
      <c r="I1916" s="71">
        <v>181108601</v>
      </c>
      <c r="J1916" s="70">
        <f>IFERROR(VLOOKUP(Devis[[#This Row],[Ref Air Flux]],#REF!,3,FALSE),0)</f>
        <v>0</v>
      </c>
      <c r="K1916" s="68"/>
      <c r="L1916" s="68"/>
      <c r="M1916" s="68"/>
      <c r="N1916" s="68"/>
      <c r="O1916" s="68"/>
      <c r="P1916" s="68"/>
      <c r="Q1916" s="68">
        <f>SUM(Devis[[#This Row],[Poste 1]:[Poste 6]])</f>
        <v>0</v>
      </c>
      <c r="R1916" s="71">
        <v>2</v>
      </c>
      <c r="S1916" s="68">
        <f>_xlfn.CEILING.MATH(Devis[[#This Row],[Quantité Totale]],Devis[[#This Row],[Conditionnement]])</f>
        <v>0</v>
      </c>
      <c r="T1916" s="72"/>
      <c r="U1916" s="73"/>
      <c r="V1916" s="74">
        <f>Devis[[#This Row],[Prix de Revient]]*Devis[[#This Row],[Poste 1]]</f>
        <v>0</v>
      </c>
      <c r="W1916" s="74">
        <f>Devis[[#This Row],[Prix de Revient]]*Devis[[#This Row],[Poste 2]]</f>
        <v>0</v>
      </c>
      <c r="X1916" s="74">
        <f>Devis[[#This Row],[Prix de Revient]]*Devis[[#This Row],[Poste 3]]</f>
        <v>0</v>
      </c>
      <c r="Y1916" s="74">
        <f>Devis[[#This Row],[Poste 4]]*Devis[[#This Row],[Prix de Revient]]</f>
        <v>0</v>
      </c>
      <c r="Z1916" s="74">
        <f>Devis[[#This Row],[Poste 5]]*Devis[[#This Row],[Prix de Revient]]</f>
        <v>0</v>
      </c>
      <c r="AA1916" s="74">
        <f>Devis[[#This Row],[Prix de Revient]]*Devis[[#This Row],[Poste 6]]</f>
        <v>0</v>
      </c>
      <c r="AB1916" s="74">
        <f>Devis[[#This Row],[Quantité Totale]]*Devis[[#This Row],[Prix de Revient]]</f>
        <v>0</v>
      </c>
    </row>
    <row r="1917" spans="1:28" ht="14.25" customHeight="1" x14ac:dyDescent="0.25">
      <c r="A1917" s="65" t="s">
        <v>1647</v>
      </c>
      <c r="B1917" s="65" t="s">
        <v>1392</v>
      </c>
      <c r="C1917" s="76" t="s">
        <v>1392</v>
      </c>
      <c r="D1917" s="81" t="str">
        <f t="shared" si="33"/>
        <v>Inox Serti ItalienCourbe 45° FFCourbe 45° FF</v>
      </c>
      <c r="E1917" s="76"/>
      <c r="F1917" s="76">
        <v>0</v>
      </c>
      <c r="G1917" s="71"/>
      <c r="H1917" s="71"/>
      <c r="I1917" s="71"/>
      <c r="J1917" s="70">
        <f>IFERROR(VLOOKUP(Devis[[#This Row],[Ref Air Flux]],#REF!,3,FALSE),0)</f>
        <v>0</v>
      </c>
      <c r="K1917" s="68"/>
      <c r="L1917" s="68"/>
      <c r="M1917" s="68"/>
      <c r="N1917" s="68"/>
      <c r="O1917" s="68"/>
      <c r="P1917" s="68"/>
      <c r="Q1917" s="68">
        <f>SUM(Devis[[#This Row],[Poste 1]:[Poste 6]])</f>
        <v>0</v>
      </c>
      <c r="R1917" s="71"/>
      <c r="S1917" s="68">
        <f>_xlfn.CEILING.MATH(Devis[[#This Row],[Quantité Totale]],Devis[[#This Row],[Conditionnement]])</f>
        <v>0</v>
      </c>
      <c r="T1917" s="72"/>
      <c r="U1917" s="73"/>
      <c r="V1917" s="74">
        <f>Devis[[#This Row],[Prix de Revient]]*Devis[[#This Row],[Poste 1]]</f>
        <v>0</v>
      </c>
      <c r="W1917" s="74">
        <f>Devis[[#This Row],[Prix de Revient]]*Devis[[#This Row],[Poste 2]]</f>
        <v>0</v>
      </c>
      <c r="X1917" s="74">
        <f>Devis[[#This Row],[Prix de Revient]]*Devis[[#This Row],[Poste 3]]</f>
        <v>0</v>
      </c>
      <c r="Y1917" s="74">
        <f>Devis[[#This Row],[Poste 4]]*Devis[[#This Row],[Prix de Revient]]</f>
        <v>0</v>
      </c>
      <c r="Z1917" s="74">
        <f>Devis[[#This Row],[Poste 5]]*Devis[[#This Row],[Prix de Revient]]</f>
        <v>0</v>
      </c>
      <c r="AA1917" s="74">
        <f>Devis[[#This Row],[Prix de Revient]]*Devis[[#This Row],[Poste 6]]</f>
        <v>0</v>
      </c>
      <c r="AB1917" s="74">
        <f>Devis[[#This Row],[Quantité Totale]]*Devis[[#This Row],[Prix de Revient]]</f>
        <v>0</v>
      </c>
    </row>
    <row r="1918" spans="1:28" ht="14.25" outlineLevel="1" x14ac:dyDescent="0.2">
      <c r="A1918" s="75" t="s">
        <v>1647</v>
      </c>
      <c r="B1918" s="76" t="s">
        <v>1392</v>
      </c>
      <c r="C1918" s="76" t="s">
        <v>1392</v>
      </c>
      <c r="D1918" s="81" t="str">
        <f t="shared" si="33"/>
        <v>Inox Serti ItalienCourbe 45° FFCourbe 45° FF</v>
      </c>
      <c r="E1918" s="76" t="s">
        <v>1648</v>
      </c>
      <c r="F1918" s="76">
        <v>1</v>
      </c>
      <c r="G1918" s="71" t="s">
        <v>1748</v>
      </c>
      <c r="H1918" s="71" t="s">
        <v>459</v>
      </c>
      <c r="I1918" s="71">
        <v>181015450</v>
      </c>
      <c r="J1918" s="70">
        <f>IFERROR(VLOOKUP(Devis[[#This Row],[Ref Air Flux]],#REF!,3,FALSE),0)</f>
        <v>0</v>
      </c>
      <c r="K1918" s="68"/>
      <c r="L1918" s="68"/>
      <c r="M1918" s="68"/>
      <c r="N1918" s="68"/>
      <c r="O1918" s="68"/>
      <c r="P1918" s="68"/>
      <c r="Q1918" s="68">
        <f>SUM(Devis[[#This Row],[Poste 1]:[Poste 6]])</f>
        <v>0</v>
      </c>
      <c r="R1918" s="71">
        <v>20</v>
      </c>
      <c r="S1918" s="68">
        <f>_xlfn.CEILING.MATH(Devis[[#This Row],[Quantité Totale]],Devis[[#This Row],[Conditionnement]])</f>
        <v>0</v>
      </c>
      <c r="T1918" s="72"/>
      <c r="U1918" s="73"/>
      <c r="V1918" s="74">
        <f>Devis[[#This Row],[Prix de Revient]]*Devis[[#This Row],[Poste 1]]</f>
        <v>0</v>
      </c>
      <c r="W1918" s="74">
        <f>Devis[[#This Row],[Prix de Revient]]*Devis[[#This Row],[Poste 2]]</f>
        <v>0</v>
      </c>
      <c r="X1918" s="74">
        <f>Devis[[#This Row],[Prix de Revient]]*Devis[[#This Row],[Poste 3]]</f>
        <v>0</v>
      </c>
      <c r="Y1918" s="74">
        <f>Devis[[#This Row],[Poste 4]]*Devis[[#This Row],[Prix de Revient]]</f>
        <v>0</v>
      </c>
      <c r="Z1918" s="74">
        <f>Devis[[#This Row],[Poste 5]]*Devis[[#This Row],[Prix de Revient]]</f>
        <v>0</v>
      </c>
      <c r="AA1918" s="74">
        <f>Devis[[#This Row],[Prix de Revient]]*Devis[[#This Row],[Poste 6]]</f>
        <v>0</v>
      </c>
      <c r="AB1918" s="74">
        <f>Devis[[#This Row],[Quantité Totale]]*Devis[[#This Row],[Prix de Revient]]</f>
        <v>0</v>
      </c>
    </row>
    <row r="1919" spans="1:28" ht="14.25" outlineLevel="1" x14ac:dyDescent="0.2">
      <c r="A1919" s="75" t="s">
        <v>1647</v>
      </c>
      <c r="B1919" s="76" t="s">
        <v>1392</v>
      </c>
      <c r="C1919" s="76" t="s">
        <v>1392</v>
      </c>
      <c r="D1919" s="81" t="str">
        <f t="shared" si="33"/>
        <v>Inox Serti ItalienCourbe 45° FFCourbe 45° FF</v>
      </c>
      <c r="E1919" s="76" t="s">
        <v>1650</v>
      </c>
      <c r="F1919" s="76">
        <v>2</v>
      </c>
      <c r="G1919" s="71" t="s">
        <v>1749</v>
      </c>
      <c r="H1919" s="71" t="s">
        <v>459</v>
      </c>
      <c r="I1919" s="71">
        <v>181018450</v>
      </c>
      <c r="J1919" s="70">
        <f>IFERROR(VLOOKUP(Devis[[#This Row],[Ref Air Flux]],#REF!,3,FALSE),0)</f>
        <v>0</v>
      </c>
      <c r="K1919" s="68"/>
      <c r="L1919" s="68"/>
      <c r="M1919" s="68"/>
      <c r="N1919" s="68"/>
      <c r="O1919" s="68"/>
      <c r="P1919" s="68"/>
      <c r="Q1919" s="68">
        <f>SUM(Devis[[#This Row],[Poste 1]:[Poste 6]])</f>
        <v>0</v>
      </c>
      <c r="R1919" s="71">
        <v>20</v>
      </c>
      <c r="S1919" s="68">
        <f>_xlfn.CEILING.MATH(Devis[[#This Row],[Quantité Totale]],Devis[[#This Row],[Conditionnement]])</f>
        <v>0</v>
      </c>
      <c r="T1919" s="72"/>
      <c r="U1919" s="73"/>
      <c r="V1919" s="74">
        <f>Devis[[#This Row],[Prix de Revient]]*Devis[[#This Row],[Poste 1]]</f>
        <v>0</v>
      </c>
      <c r="W1919" s="74">
        <f>Devis[[#This Row],[Prix de Revient]]*Devis[[#This Row],[Poste 2]]</f>
        <v>0</v>
      </c>
      <c r="X1919" s="74">
        <f>Devis[[#This Row],[Prix de Revient]]*Devis[[#This Row],[Poste 3]]</f>
        <v>0</v>
      </c>
      <c r="Y1919" s="74">
        <f>Devis[[#This Row],[Poste 4]]*Devis[[#This Row],[Prix de Revient]]</f>
        <v>0</v>
      </c>
      <c r="Z1919" s="74">
        <f>Devis[[#This Row],[Poste 5]]*Devis[[#This Row],[Prix de Revient]]</f>
        <v>0</v>
      </c>
      <c r="AA1919" s="74">
        <f>Devis[[#This Row],[Prix de Revient]]*Devis[[#This Row],[Poste 6]]</f>
        <v>0</v>
      </c>
      <c r="AB1919" s="74">
        <f>Devis[[#This Row],[Quantité Totale]]*Devis[[#This Row],[Prix de Revient]]</f>
        <v>0</v>
      </c>
    </row>
    <row r="1920" spans="1:28" ht="14.25" outlineLevel="1" x14ac:dyDescent="0.2">
      <c r="A1920" s="75" t="s">
        <v>1647</v>
      </c>
      <c r="B1920" s="76" t="s">
        <v>1392</v>
      </c>
      <c r="C1920" s="76" t="s">
        <v>1392</v>
      </c>
      <c r="D1920" s="81" t="str">
        <f t="shared" si="33"/>
        <v>Inox Serti ItalienCourbe 45° FFCourbe 45° FF</v>
      </c>
      <c r="E1920" s="76" t="s">
        <v>1652</v>
      </c>
      <c r="F1920" s="76">
        <v>3</v>
      </c>
      <c r="G1920" s="71" t="s">
        <v>1750</v>
      </c>
      <c r="H1920" s="71" t="s">
        <v>459</v>
      </c>
      <c r="I1920" s="71">
        <v>181022450</v>
      </c>
      <c r="J1920" s="70">
        <f>IFERROR(VLOOKUP(Devis[[#This Row],[Ref Air Flux]],#REF!,3,FALSE),0)</f>
        <v>0</v>
      </c>
      <c r="K1920" s="68"/>
      <c r="L1920" s="68"/>
      <c r="M1920" s="68"/>
      <c r="N1920" s="68"/>
      <c r="O1920" s="68"/>
      <c r="P1920" s="68"/>
      <c r="Q1920" s="68">
        <f>SUM(Devis[[#This Row],[Poste 1]:[Poste 6]])</f>
        <v>0</v>
      </c>
      <c r="R1920" s="71">
        <v>20</v>
      </c>
      <c r="S1920" s="68">
        <f>_xlfn.CEILING.MATH(Devis[[#This Row],[Quantité Totale]],Devis[[#This Row],[Conditionnement]])</f>
        <v>0</v>
      </c>
      <c r="T1920" s="72"/>
      <c r="U1920" s="73"/>
      <c r="V1920" s="74">
        <f>Devis[[#This Row],[Prix de Revient]]*Devis[[#This Row],[Poste 1]]</f>
        <v>0</v>
      </c>
      <c r="W1920" s="74">
        <f>Devis[[#This Row],[Prix de Revient]]*Devis[[#This Row],[Poste 2]]</f>
        <v>0</v>
      </c>
      <c r="X1920" s="74">
        <f>Devis[[#This Row],[Prix de Revient]]*Devis[[#This Row],[Poste 3]]</f>
        <v>0</v>
      </c>
      <c r="Y1920" s="74">
        <f>Devis[[#This Row],[Poste 4]]*Devis[[#This Row],[Prix de Revient]]</f>
        <v>0</v>
      </c>
      <c r="Z1920" s="74">
        <f>Devis[[#This Row],[Poste 5]]*Devis[[#This Row],[Prix de Revient]]</f>
        <v>0</v>
      </c>
      <c r="AA1920" s="74">
        <f>Devis[[#This Row],[Prix de Revient]]*Devis[[#This Row],[Poste 6]]</f>
        <v>0</v>
      </c>
      <c r="AB1920" s="74">
        <f>Devis[[#This Row],[Quantité Totale]]*Devis[[#This Row],[Prix de Revient]]</f>
        <v>0</v>
      </c>
    </row>
    <row r="1921" spans="1:28" ht="14.25" outlineLevel="1" x14ac:dyDescent="0.2">
      <c r="A1921" s="75" t="s">
        <v>1647</v>
      </c>
      <c r="B1921" s="76" t="s">
        <v>1392</v>
      </c>
      <c r="C1921" s="76" t="s">
        <v>1392</v>
      </c>
      <c r="D1921" s="81" t="str">
        <f t="shared" si="33"/>
        <v>Inox Serti ItalienCourbe 45° FFCourbe 45° FF</v>
      </c>
      <c r="E1921" s="76" t="s">
        <v>1704</v>
      </c>
      <c r="F1921" s="76">
        <v>4</v>
      </c>
      <c r="G1921" s="71" t="s">
        <v>1751</v>
      </c>
      <c r="H1921" s="71" t="s">
        <v>459</v>
      </c>
      <c r="I1921" s="71">
        <v>181028450</v>
      </c>
      <c r="J1921" s="70">
        <f>IFERROR(VLOOKUP(Devis[[#This Row],[Ref Air Flux]],#REF!,3,FALSE),0)</f>
        <v>0</v>
      </c>
      <c r="K1921" s="68"/>
      <c r="L1921" s="68"/>
      <c r="M1921" s="68"/>
      <c r="N1921" s="68"/>
      <c r="O1921" s="68"/>
      <c r="P1921" s="68"/>
      <c r="Q1921" s="68">
        <f>SUM(Devis[[#This Row],[Poste 1]:[Poste 6]])</f>
        <v>0</v>
      </c>
      <c r="R1921" s="71">
        <v>10</v>
      </c>
      <c r="S1921" s="68">
        <f>_xlfn.CEILING.MATH(Devis[[#This Row],[Quantité Totale]],Devis[[#This Row],[Conditionnement]])</f>
        <v>0</v>
      </c>
      <c r="T1921" s="72"/>
      <c r="U1921" s="73"/>
      <c r="V1921" s="74">
        <f>Devis[[#This Row],[Prix de Revient]]*Devis[[#This Row],[Poste 1]]</f>
        <v>0</v>
      </c>
      <c r="W1921" s="74">
        <f>Devis[[#This Row],[Prix de Revient]]*Devis[[#This Row],[Poste 2]]</f>
        <v>0</v>
      </c>
      <c r="X1921" s="74">
        <f>Devis[[#This Row],[Prix de Revient]]*Devis[[#This Row],[Poste 3]]</f>
        <v>0</v>
      </c>
      <c r="Y1921" s="74">
        <f>Devis[[#This Row],[Poste 4]]*Devis[[#This Row],[Prix de Revient]]</f>
        <v>0</v>
      </c>
      <c r="Z1921" s="74">
        <f>Devis[[#This Row],[Poste 5]]*Devis[[#This Row],[Prix de Revient]]</f>
        <v>0</v>
      </c>
      <c r="AA1921" s="74">
        <f>Devis[[#This Row],[Prix de Revient]]*Devis[[#This Row],[Poste 6]]</f>
        <v>0</v>
      </c>
      <c r="AB1921" s="74">
        <f>Devis[[#This Row],[Quantité Totale]]*Devis[[#This Row],[Prix de Revient]]</f>
        <v>0</v>
      </c>
    </row>
    <row r="1922" spans="1:28" ht="14.25" customHeight="1" outlineLevel="1" x14ac:dyDescent="0.2">
      <c r="A1922" s="75" t="s">
        <v>1647</v>
      </c>
      <c r="B1922" s="76" t="s">
        <v>1392</v>
      </c>
      <c r="C1922" s="76" t="s">
        <v>1392</v>
      </c>
      <c r="D1922" s="81" t="str">
        <f t="shared" si="33"/>
        <v>Inox Serti ItalienCourbe 45° FFCourbe 45° FF</v>
      </c>
      <c r="E1922" s="76" t="s">
        <v>1655</v>
      </c>
      <c r="F1922" s="76">
        <v>5</v>
      </c>
      <c r="G1922" s="71" t="s">
        <v>1752</v>
      </c>
      <c r="H1922" s="71" t="s">
        <v>459</v>
      </c>
      <c r="I1922" s="71">
        <v>181103450</v>
      </c>
      <c r="J1922" s="70">
        <f>IFERROR(VLOOKUP(Devis[[#This Row],[Ref Air Flux]],#REF!,3,FALSE),0)</f>
        <v>0</v>
      </c>
      <c r="K1922" s="68"/>
      <c r="L1922" s="68"/>
      <c r="M1922" s="68"/>
      <c r="N1922" s="68"/>
      <c r="O1922" s="68"/>
      <c r="P1922" s="68"/>
      <c r="Q1922" s="68">
        <f>SUM(Devis[[#This Row],[Poste 1]:[Poste 6]])</f>
        <v>0</v>
      </c>
      <c r="R1922" s="71">
        <v>10</v>
      </c>
      <c r="S1922" s="68">
        <f>_xlfn.CEILING.MATH(Devis[[#This Row],[Quantité Totale]],Devis[[#This Row],[Conditionnement]])</f>
        <v>0</v>
      </c>
      <c r="T1922" s="72"/>
      <c r="U1922" s="73"/>
      <c r="V1922" s="74">
        <f>Devis[[#This Row],[Prix de Revient]]*Devis[[#This Row],[Poste 1]]</f>
        <v>0</v>
      </c>
      <c r="W1922" s="74">
        <f>Devis[[#This Row],[Prix de Revient]]*Devis[[#This Row],[Poste 2]]</f>
        <v>0</v>
      </c>
      <c r="X1922" s="74">
        <f>Devis[[#This Row],[Prix de Revient]]*Devis[[#This Row],[Poste 3]]</f>
        <v>0</v>
      </c>
      <c r="Y1922" s="74">
        <f>Devis[[#This Row],[Poste 4]]*Devis[[#This Row],[Prix de Revient]]</f>
        <v>0</v>
      </c>
      <c r="Z1922" s="74">
        <f>Devis[[#This Row],[Poste 5]]*Devis[[#This Row],[Prix de Revient]]</f>
        <v>0</v>
      </c>
      <c r="AA1922" s="74">
        <f>Devis[[#This Row],[Prix de Revient]]*Devis[[#This Row],[Poste 6]]</f>
        <v>0</v>
      </c>
      <c r="AB1922" s="74">
        <f>Devis[[#This Row],[Quantité Totale]]*Devis[[#This Row],[Prix de Revient]]</f>
        <v>0</v>
      </c>
    </row>
    <row r="1923" spans="1:28" ht="14.25" outlineLevel="1" x14ac:dyDescent="0.2">
      <c r="A1923" s="75" t="s">
        <v>1647</v>
      </c>
      <c r="B1923" s="76" t="s">
        <v>1392</v>
      </c>
      <c r="C1923" s="76" t="s">
        <v>1392</v>
      </c>
      <c r="D1923" s="81" t="str">
        <f t="shared" si="33"/>
        <v>Inox Serti ItalienCourbe 45° FFCourbe 45° FF</v>
      </c>
      <c r="E1923" s="76" t="s">
        <v>1657</v>
      </c>
      <c r="F1923" s="76">
        <v>6</v>
      </c>
      <c r="G1923" s="71" t="s">
        <v>1753</v>
      </c>
      <c r="H1923" s="71" t="s">
        <v>459</v>
      </c>
      <c r="I1923" s="71">
        <v>181042450</v>
      </c>
      <c r="J1923" s="70">
        <f>IFERROR(VLOOKUP(Devis[[#This Row],[Ref Air Flux]],#REF!,3,FALSE),0)</f>
        <v>0</v>
      </c>
      <c r="K1923" s="68"/>
      <c r="L1923" s="68"/>
      <c r="M1923" s="68"/>
      <c r="N1923" s="68"/>
      <c r="O1923" s="68"/>
      <c r="P1923" s="68"/>
      <c r="Q1923" s="68">
        <f>SUM(Devis[[#This Row],[Poste 1]:[Poste 6]])</f>
        <v>0</v>
      </c>
      <c r="R1923" s="71">
        <v>4</v>
      </c>
      <c r="S1923" s="68">
        <f>_xlfn.CEILING.MATH(Devis[[#This Row],[Quantité Totale]],Devis[[#This Row],[Conditionnement]])</f>
        <v>0</v>
      </c>
      <c r="T1923" s="72"/>
      <c r="U1923" s="73"/>
      <c r="V1923" s="74">
        <f>Devis[[#This Row],[Prix de Revient]]*Devis[[#This Row],[Poste 1]]</f>
        <v>0</v>
      </c>
      <c r="W1923" s="74">
        <f>Devis[[#This Row],[Prix de Revient]]*Devis[[#This Row],[Poste 2]]</f>
        <v>0</v>
      </c>
      <c r="X1923" s="74">
        <f>Devis[[#This Row],[Prix de Revient]]*Devis[[#This Row],[Poste 3]]</f>
        <v>0</v>
      </c>
      <c r="Y1923" s="74">
        <f>Devis[[#This Row],[Poste 4]]*Devis[[#This Row],[Prix de Revient]]</f>
        <v>0</v>
      </c>
      <c r="Z1923" s="74">
        <f>Devis[[#This Row],[Poste 5]]*Devis[[#This Row],[Prix de Revient]]</f>
        <v>0</v>
      </c>
      <c r="AA1923" s="74">
        <f>Devis[[#This Row],[Prix de Revient]]*Devis[[#This Row],[Poste 6]]</f>
        <v>0</v>
      </c>
      <c r="AB1923" s="74">
        <f>Devis[[#This Row],[Quantité Totale]]*Devis[[#This Row],[Prix de Revient]]</f>
        <v>0</v>
      </c>
    </row>
    <row r="1924" spans="1:28" ht="14.25" outlineLevel="1" x14ac:dyDescent="0.2">
      <c r="A1924" s="75" t="s">
        <v>1647</v>
      </c>
      <c r="B1924" s="76" t="s">
        <v>1392</v>
      </c>
      <c r="C1924" s="76" t="s">
        <v>1392</v>
      </c>
      <c r="D1924" s="81" t="str">
        <f t="shared" si="33"/>
        <v>Inox Serti ItalienCourbe 45° FFCourbe 45° FF</v>
      </c>
      <c r="E1924" s="76" t="s">
        <v>1708</v>
      </c>
      <c r="F1924" s="76">
        <v>7</v>
      </c>
      <c r="G1924" s="71" t="s">
        <v>1754</v>
      </c>
      <c r="H1924" s="71" t="s">
        <v>459</v>
      </c>
      <c r="I1924" s="71">
        <v>181054450</v>
      </c>
      <c r="J1924" s="70">
        <f>IFERROR(VLOOKUP(Devis[[#This Row],[Ref Air Flux]],#REF!,3,FALSE),0)</f>
        <v>0</v>
      </c>
      <c r="K1924" s="68"/>
      <c r="L1924" s="68"/>
      <c r="M1924" s="68"/>
      <c r="N1924" s="68"/>
      <c r="O1924" s="68"/>
      <c r="P1924" s="68"/>
      <c r="Q1924" s="68">
        <f>SUM(Devis[[#This Row],[Poste 1]:[Poste 6]])</f>
        <v>0</v>
      </c>
      <c r="R1924" s="71">
        <v>2</v>
      </c>
      <c r="S1924" s="68">
        <f>_xlfn.CEILING.MATH(Devis[[#This Row],[Quantité Totale]],Devis[[#This Row],[Conditionnement]])</f>
        <v>0</v>
      </c>
      <c r="T1924" s="72"/>
      <c r="U1924" s="73"/>
      <c r="V1924" s="74">
        <f>Devis[[#This Row],[Prix de Revient]]*Devis[[#This Row],[Poste 1]]</f>
        <v>0</v>
      </c>
      <c r="W1924" s="74">
        <f>Devis[[#This Row],[Prix de Revient]]*Devis[[#This Row],[Poste 2]]</f>
        <v>0</v>
      </c>
      <c r="X1924" s="74">
        <f>Devis[[#This Row],[Prix de Revient]]*Devis[[#This Row],[Poste 3]]</f>
        <v>0</v>
      </c>
      <c r="Y1924" s="74">
        <f>Devis[[#This Row],[Poste 4]]*Devis[[#This Row],[Prix de Revient]]</f>
        <v>0</v>
      </c>
      <c r="Z1924" s="74">
        <f>Devis[[#This Row],[Poste 5]]*Devis[[#This Row],[Prix de Revient]]</f>
        <v>0</v>
      </c>
      <c r="AA1924" s="74">
        <f>Devis[[#This Row],[Prix de Revient]]*Devis[[#This Row],[Poste 6]]</f>
        <v>0</v>
      </c>
      <c r="AB1924" s="74">
        <f>Devis[[#This Row],[Quantité Totale]]*Devis[[#This Row],[Prix de Revient]]</f>
        <v>0</v>
      </c>
    </row>
    <row r="1925" spans="1:28" ht="14.25" outlineLevel="1" x14ac:dyDescent="0.2">
      <c r="A1925" s="75" t="s">
        <v>1647</v>
      </c>
      <c r="B1925" s="76" t="s">
        <v>1392</v>
      </c>
      <c r="C1925" s="76" t="s">
        <v>1392</v>
      </c>
      <c r="D1925" s="81" t="str">
        <f t="shared" si="33"/>
        <v>Inox Serti ItalienCourbe 45° FFCourbe 45° FF</v>
      </c>
      <c r="E1925" s="76" t="s">
        <v>1710</v>
      </c>
      <c r="F1925" s="76">
        <v>8</v>
      </c>
      <c r="G1925" s="71" t="s">
        <v>1755</v>
      </c>
      <c r="H1925" s="71" t="s">
        <v>459</v>
      </c>
      <c r="I1925" s="71">
        <v>181076450</v>
      </c>
      <c r="J1925" s="70">
        <f>IFERROR(VLOOKUP(Devis[[#This Row],[Ref Air Flux]],#REF!,3,FALSE),0)</f>
        <v>0</v>
      </c>
      <c r="K1925" s="68"/>
      <c r="L1925" s="68"/>
      <c r="M1925" s="68"/>
      <c r="N1925" s="68"/>
      <c r="O1925" s="68"/>
      <c r="P1925" s="68"/>
      <c r="Q1925" s="68">
        <f>SUM(Devis[[#This Row],[Poste 1]:[Poste 6]])</f>
        <v>0</v>
      </c>
      <c r="R1925" s="71">
        <v>2</v>
      </c>
      <c r="S1925" s="68">
        <f>_xlfn.CEILING.MATH(Devis[[#This Row],[Quantité Totale]],Devis[[#This Row],[Conditionnement]])</f>
        <v>0</v>
      </c>
      <c r="T1925" s="72"/>
      <c r="U1925" s="73"/>
      <c r="V1925" s="74">
        <f>Devis[[#This Row],[Prix de Revient]]*Devis[[#This Row],[Poste 1]]</f>
        <v>0</v>
      </c>
      <c r="W1925" s="74">
        <f>Devis[[#This Row],[Prix de Revient]]*Devis[[#This Row],[Poste 2]]</f>
        <v>0</v>
      </c>
      <c r="X1925" s="74">
        <f>Devis[[#This Row],[Prix de Revient]]*Devis[[#This Row],[Poste 3]]</f>
        <v>0</v>
      </c>
      <c r="Y1925" s="74">
        <f>Devis[[#This Row],[Poste 4]]*Devis[[#This Row],[Prix de Revient]]</f>
        <v>0</v>
      </c>
      <c r="Z1925" s="74">
        <f>Devis[[#This Row],[Poste 5]]*Devis[[#This Row],[Prix de Revient]]</f>
        <v>0</v>
      </c>
      <c r="AA1925" s="74">
        <f>Devis[[#This Row],[Prix de Revient]]*Devis[[#This Row],[Poste 6]]</f>
        <v>0</v>
      </c>
      <c r="AB1925" s="74">
        <f>Devis[[#This Row],[Quantité Totale]]*Devis[[#This Row],[Prix de Revient]]</f>
        <v>0</v>
      </c>
    </row>
    <row r="1926" spans="1:28" ht="14.25" outlineLevel="1" x14ac:dyDescent="0.2">
      <c r="A1926" s="75" t="s">
        <v>1647</v>
      </c>
      <c r="B1926" s="76" t="s">
        <v>1392</v>
      </c>
      <c r="C1926" s="76" t="s">
        <v>1392</v>
      </c>
      <c r="D1926" s="81" t="str">
        <f t="shared" si="33"/>
        <v>Inox Serti ItalienCourbe 45° FFCourbe 45° FF</v>
      </c>
      <c r="E1926" s="76" t="s">
        <v>1712</v>
      </c>
      <c r="F1926" s="76">
        <v>9</v>
      </c>
      <c r="G1926" s="71" t="s">
        <v>1756</v>
      </c>
      <c r="H1926" s="71" t="s">
        <v>459</v>
      </c>
      <c r="I1926" s="71">
        <v>181088450</v>
      </c>
      <c r="J1926" s="70">
        <f>IFERROR(VLOOKUP(Devis[[#This Row],[Ref Air Flux]],#REF!,3,FALSE),0)</f>
        <v>0</v>
      </c>
      <c r="K1926" s="68"/>
      <c r="L1926" s="68"/>
      <c r="M1926" s="68"/>
      <c r="N1926" s="68"/>
      <c r="O1926" s="68"/>
      <c r="P1926" s="68"/>
      <c r="Q1926" s="68">
        <f>SUM(Devis[[#This Row],[Poste 1]:[Poste 6]])</f>
        <v>0</v>
      </c>
      <c r="R1926" s="71">
        <v>2</v>
      </c>
      <c r="S1926" s="68">
        <f>_xlfn.CEILING.MATH(Devis[[#This Row],[Quantité Totale]],Devis[[#This Row],[Conditionnement]])</f>
        <v>0</v>
      </c>
      <c r="T1926" s="72"/>
      <c r="U1926" s="73"/>
      <c r="V1926" s="74">
        <f>Devis[[#This Row],[Prix de Revient]]*Devis[[#This Row],[Poste 1]]</f>
        <v>0</v>
      </c>
      <c r="W1926" s="74">
        <f>Devis[[#This Row],[Prix de Revient]]*Devis[[#This Row],[Poste 2]]</f>
        <v>0</v>
      </c>
      <c r="X1926" s="74">
        <f>Devis[[#This Row],[Prix de Revient]]*Devis[[#This Row],[Poste 3]]</f>
        <v>0</v>
      </c>
      <c r="Y1926" s="74">
        <f>Devis[[#This Row],[Poste 4]]*Devis[[#This Row],[Prix de Revient]]</f>
        <v>0</v>
      </c>
      <c r="Z1926" s="74">
        <f>Devis[[#This Row],[Poste 5]]*Devis[[#This Row],[Prix de Revient]]</f>
        <v>0</v>
      </c>
      <c r="AA1926" s="74">
        <f>Devis[[#This Row],[Prix de Revient]]*Devis[[#This Row],[Poste 6]]</f>
        <v>0</v>
      </c>
      <c r="AB1926" s="74">
        <f>Devis[[#This Row],[Quantité Totale]]*Devis[[#This Row],[Prix de Revient]]</f>
        <v>0</v>
      </c>
    </row>
    <row r="1927" spans="1:28" ht="14.25" outlineLevel="1" x14ac:dyDescent="0.2">
      <c r="A1927" s="75" t="s">
        <v>1647</v>
      </c>
      <c r="B1927" s="76" t="s">
        <v>1392</v>
      </c>
      <c r="C1927" s="76" t="s">
        <v>1392</v>
      </c>
      <c r="D1927" s="81" t="str">
        <f t="shared" si="33"/>
        <v>Inox Serti ItalienCourbe 45° FFCourbe 45° FF</v>
      </c>
      <c r="E1927" s="76" t="s">
        <v>1714</v>
      </c>
      <c r="F1927" s="76">
        <v>10</v>
      </c>
      <c r="G1927" s="71" t="s">
        <v>1757</v>
      </c>
      <c r="H1927" s="71" t="s">
        <v>459</v>
      </c>
      <c r="I1927" s="71">
        <v>18108450</v>
      </c>
      <c r="J1927" s="70">
        <f>IFERROR(VLOOKUP(Devis[[#This Row],[Ref Air Flux]],#REF!,3,FALSE),0)</f>
        <v>0</v>
      </c>
      <c r="K1927" s="68"/>
      <c r="L1927" s="68"/>
      <c r="M1927" s="68"/>
      <c r="N1927" s="68"/>
      <c r="O1927" s="68"/>
      <c r="P1927" s="68"/>
      <c r="Q1927" s="68">
        <f>SUM(Devis[[#This Row],[Poste 1]:[Poste 6]])</f>
        <v>0</v>
      </c>
      <c r="R1927" s="71">
        <v>2</v>
      </c>
      <c r="S1927" s="68">
        <f>_xlfn.CEILING.MATH(Devis[[#This Row],[Quantité Totale]],Devis[[#This Row],[Conditionnement]])</f>
        <v>0</v>
      </c>
      <c r="T1927" s="72"/>
      <c r="U1927" s="73"/>
      <c r="V1927" s="74">
        <f>Devis[[#This Row],[Prix de Revient]]*Devis[[#This Row],[Poste 1]]</f>
        <v>0</v>
      </c>
      <c r="W1927" s="74">
        <f>Devis[[#This Row],[Prix de Revient]]*Devis[[#This Row],[Poste 2]]</f>
        <v>0</v>
      </c>
      <c r="X1927" s="74">
        <f>Devis[[#This Row],[Prix de Revient]]*Devis[[#This Row],[Poste 3]]</f>
        <v>0</v>
      </c>
      <c r="Y1927" s="74">
        <f>Devis[[#This Row],[Poste 4]]*Devis[[#This Row],[Prix de Revient]]</f>
        <v>0</v>
      </c>
      <c r="Z1927" s="74">
        <f>Devis[[#This Row],[Poste 5]]*Devis[[#This Row],[Prix de Revient]]</f>
        <v>0</v>
      </c>
      <c r="AA1927" s="74">
        <f>Devis[[#This Row],[Prix de Revient]]*Devis[[#This Row],[Poste 6]]</f>
        <v>0</v>
      </c>
      <c r="AB1927" s="74">
        <f>Devis[[#This Row],[Quantité Totale]]*Devis[[#This Row],[Prix de Revient]]</f>
        <v>0</v>
      </c>
    </row>
    <row r="1928" spans="1:28" ht="14.25" customHeight="1" x14ac:dyDescent="0.25">
      <c r="A1928" s="65" t="s">
        <v>1647</v>
      </c>
      <c r="B1928" s="65" t="s">
        <v>1401</v>
      </c>
      <c r="C1928" s="76" t="s">
        <v>1401</v>
      </c>
      <c r="D1928" s="81" t="str">
        <f t="shared" si="33"/>
        <v>Inox Serti ItalienCourbe 90° FFCourbe 90° FF</v>
      </c>
      <c r="E1928" s="76"/>
      <c r="F1928" s="76">
        <v>0</v>
      </c>
      <c r="G1928" s="71"/>
      <c r="H1928" s="71"/>
      <c r="I1928" s="71"/>
      <c r="J1928" s="70">
        <f>IFERROR(VLOOKUP(Devis[[#This Row],[Ref Air Flux]],#REF!,3,FALSE),0)</f>
        <v>0</v>
      </c>
      <c r="K1928" s="68"/>
      <c r="L1928" s="68"/>
      <c r="M1928" s="68"/>
      <c r="N1928" s="68"/>
      <c r="O1928" s="68"/>
      <c r="P1928" s="68"/>
      <c r="Q1928" s="68">
        <f>SUM(Devis[[#This Row],[Poste 1]:[Poste 6]])</f>
        <v>0</v>
      </c>
      <c r="R1928" s="71"/>
      <c r="S1928" s="68">
        <f>_xlfn.CEILING.MATH(Devis[[#This Row],[Quantité Totale]],Devis[[#This Row],[Conditionnement]])</f>
        <v>0</v>
      </c>
      <c r="T1928" s="72"/>
      <c r="U1928" s="73"/>
      <c r="V1928" s="74">
        <f>Devis[[#This Row],[Prix de Revient]]*Devis[[#This Row],[Poste 1]]</f>
        <v>0</v>
      </c>
      <c r="W1928" s="74">
        <f>Devis[[#This Row],[Prix de Revient]]*Devis[[#This Row],[Poste 2]]</f>
        <v>0</v>
      </c>
      <c r="X1928" s="74">
        <f>Devis[[#This Row],[Prix de Revient]]*Devis[[#This Row],[Poste 3]]</f>
        <v>0</v>
      </c>
      <c r="Y1928" s="74">
        <f>Devis[[#This Row],[Poste 4]]*Devis[[#This Row],[Prix de Revient]]</f>
        <v>0</v>
      </c>
      <c r="Z1928" s="74">
        <f>Devis[[#This Row],[Poste 5]]*Devis[[#This Row],[Prix de Revient]]</f>
        <v>0</v>
      </c>
      <c r="AA1928" s="74">
        <f>Devis[[#This Row],[Prix de Revient]]*Devis[[#This Row],[Poste 6]]</f>
        <v>0</v>
      </c>
      <c r="AB1928" s="74">
        <f>Devis[[#This Row],[Quantité Totale]]*Devis[[#This Row],[Prix de Revient]]</f>
        <v>0</v>
      </c>
    </row>
    <row r="1929" spans="1:28" ht="14.25" outlineLevel="1" x14ac:dyDescent="0.2">
      <c r="A1929" s="75" t="s">
        <v>1647</v>
      </c>
      <c r="B1929" s="76" t="s">
        <v>1401</v>
      </c>
      <c r="C1929" s="76" t="s">
        <v>1401</v>
      </c>
      <c r="D1929" s="81" t="str">
        <f t="shared" si="33"/>
        <v>Inox Serti ItalienCourbe 90° FFCourbe 90° FF</v>
      </c>
      <c r="E1929" s="76" t="s">
        <v>1648</v>
      </c>
      <c r="F1929" s="76">
        <v>1</v>
      </c>
      <c r="G1929" s="71" t="s">
        <v>1758</v>
      </c>
      <c r="H1929" s="71" t="s">
        <v>459</v>
      </c>
      <c r="I1929" s="71">
        <v>181015900</v>
      </c>
      <c r="J1929" s="70">
        <f>IFERROR(VLOOKUP(Devis[[#This Row],[Ref Air Flux]],#REF!,3,FALSE),0)</f>
        <v>0</v>
      </c>
      <c r="K1929" s="68"/>
      <c r="L1929" s="68"/>
      <c r="M1929" s="68"/>
      <c r="N1929" s="68"/>
      <c r="O1929" s="68"/>
      <c r="P1929" s="68"/>
      <c r="Q1929" s="68">
        <f>SUM(Devis[[#This Row],[Poste 1]:[Poste 6]])</f>
        <v>0</v>
      </c>
      <c r="R1929" s="71">
        <v>20</v>
      </c>
      <c r="S1929" s="68">
        <f>_xlfn.CEILING.MATH(Devis[[#This Row],[Quantité Totale]],Devis[[#This Row],[Conditionnement]])</f>
        <v>0</v>
      </c>
      <c r="T1929" s="72"/>
      <c r="U1929" s="73"/>
      <c r="V1929" s="74">
        <f>Devis[[#This Row],[Prix de Revient]]*Devis[[#This Row],[Poste 1]]</f>
        <v>0</v>
      </c>
      <c r="W1929" s="74">
        <f>Devis[[#This Row],[Prix de Revient]]*Devis[[#This Row],[Poste 2]]</f>
        <v>0</v>
      </c>
      <c r="X1929" s="74">
        <f>Devis[[#This Row],[Prix de Revient]]*Devis[[#This Row],[Poste 3]]</f>
        <v>0</v>
      </c>
      <c r="Y1929" s="74">
        <f>Devis[[#This Row],[Poste 4]]*Devis[[#This Row],[Prix de Revient]]</f>
        <v>0</v>
      </c>
      <c r="Z1929" s="74">
        <f>Devis[[#This Row],[Poste 5]]*Devis[[#This Row],[Prix de Revient]]</f>
        <v>0</v>
      </c>
      <c r="AA1929" s="74">
        <f>Devis[[#This Row],[Prix de Revient]]*Devis[[#This Row],[Poste 6]]</f>
        <v>0</v>
      </c>
      <c r="AB1929" s="74">
        <f>Devis[[#This Row],[Quantité Totale]]*Devis[[#This Row],[Prix de Revient]]</f>
        <v>0</v>
      </c>
    </row>
    <row r="1930" spans="1:28" ht="14.25" outlineLevel="1" x14ac:dyDescent="0.2">
      <c r="A1930" s="75" t="s">
        <v>1647</v>
      </c>
      <c r="B1930" s="76" t="s">
        <v>1401</v>
      </c>
      <c r="C1930" s="76" t="s">
        <v>1401</v>
      </c>
      <c r="D1930" s="81" t="str">
        <f t="shared" si="33"/>
        <v>Inox Serti ItalienCourbe 90° FFCourbe 90° FF</v>
      </c>
      <c r="E1930" s="76" t="s">
        <v>1650</v>
      </c>
      <c r="F1930" s="76">
        <v>2</v>
      </c>
      <c r="G1930" s="71" t="s">
        <v>6310</v>
      </c>
      <c r="H1930" s="71" t="s">
        <v>459</v>
      </c>
      <c r="I1930" s="71">
        <v>181018900</v>
      </c>
      <c r="J1930" s="70">
        <f>IFERROR(VLOOKUP(Devis[[#This Row],[Ref Air Flux]],#REF!,3,FALSE),0)</f>
        <v>0</v>
      </c>
      <c r="K1930" s="68"/>
      <c r="L1930" s="68"/>
      <c r="M1930" s="68"/>
      <c r="N1930" s="68"/>
      <c r="O1930" s="68"/>
      <c r="P1930" s="68"/>
      <c r="Q1930" s="68">
        <f>SUM(Devis[[#This Row],[Poste 1]:[Poste 6]])</f>
        <v>0</v>
      </c>
      <c r="R1930" s="71">
        <v>20</v>
      </c>
      <c r="S1930" s="68">
        <f>_xlfn.CEILING.MATH(Devis[[#This Row],[Quantité Totale]],Devis[[#This Row],[Conditionnement]])</f>
        <v>0</v>
      </c>
      <c r="T1930" s="72"/>
      <c r="U1930" s="73"/>
      <c r="V1930" s="74">
        <f>Devis[[#This Row],[Prix de Revient]]*Devis[[#This Row],[Poste 1]]</f>
        <v>0</v>
      </c>
      <c r="W1930" s="74">
        <f>Devis[[#This Row],[Prix de Revient]]*Devis[[#This Row],[Poste 2]]</f>
        <v>0</v>
      </c>
      <c r="X1930" s="74">
        <f>Devis[[#This Row],[Prix de Revient]]*Devis[[#This Row],[Poste 3]]</f>
        <v>0</v>
      </c>
      <c r="Y1930" s="74">
        <f>Devis[[#This Row],[Poste 4]]*Devis[[#This Row],[Prix de Revient]]</f>
        <v>0</v>
      </c>
      <c r="Z1930" s="74">
        <f>Devis[[#This Row],[Poste 5]]*Devis[[#This Row],[Prix de Revient]]</f>
        <v>0</v>
      </c>
      <c r="AA1930" s="74">
        <f>Devis[[#This Row],[Prix de Revient]]*Devis[[#This Row],[Poste 6]]</f>
        <v>0</v>
      </c>
      <c r="AB1930" s="74">
        <f>Devis[[#This Row],[Quantité Totale]]*Devis[[#This Row],[Prix de Revient]]</f>
        <v>0</v>
      </c>
    </row>
    <row r="1931" spans="1:28" ht="14.25" outlineLevel="1" x14ac:dyDescent="0.2">
      <c r="A1931" s="75" t="s">
        <v>1647</v>
      </c>
      <c r="B1931" s="76" t="s">
        <v>1401</v>
      </c>
      <c r="C1931" s="76" t="s">
        <v>1401</v>
      </c>
      <c r="D1931" s="81" t="str">
        <f t="shared" si="33"/>
        <v>Inox Serti ItalienCourbe 90° FFCourbe 90° FF</v>
      </c>
      <c r="E1931" s="76" t="s">
        <v>1652</v>
      </c>
      <c r="F1931" s="76">
        <v>3</v>
      </c>
      <c r="G1931" s="71" t="s">
        <v>1760</v>
      </c>
      <c r="H1931" s="71" t="s">
        <v>459</v>
      </c>
      <c r="I1931" s="71">
        <v>181022900</v>
      </c>
      <c r="J1931" s="70">
        <f>IFERROR(VLOOKUP(Devis[[#This Row],[Ref Air Flux]],#REF!,3,FALSE),0)</f>
        <v>0</v>
      </c>
      <c r="K1931" s="68"/>
      <c r="L1931" s="68"/>
      <c r="M1931" s="68"/>
      <c r="N1931" s="68"/>
      <c r="O1931" s="68"/>
      <c r="P1931" s="68"/>
      <c r="Q1931" s="68">
        <f>SUM(Devis[[#This Row],[Poste 1]:[Poste 6]])</f>
        <v>0</v>
      </c>
      <c r="R1931" s="71">
        <v>10</v>
      </c>
      <c r="S1931" s="68">
        <f>_xlfn.CEILING.MATH(Devis[[#This Row],[Quantité Totale]],Devis[[#This Row],[Conditionnement]])</f>
        <v>0</v>
      </c>
      <c r="T1931" s="72"/>
      <c r="U1931" s="73"/>
      <c r="V1931" s="74">
        <f>Devis[[#This Row],[Prix de Revient]]*Devis[[#This Row],[Poste 1]]</f>
        <v>0</v>
      </c>
      <c r="W1931" s="74">
        <f>Devis[[#This Row],[Prix de Revient]]*Devis[[#This Row],[Poste 2]]</f>
        <v>0</v>
      </c>
      <c r="X1931" s="74">
        <f>Devis[[#This Row],[Prix de Revient]]*Devis[[#This Row],[Poste 3]]</f>
        <v>0</v>
      </c>
      <c r="Y1931" s="74">
        <f>Devis[[#This Row],[Poste 4]]*Devis[[#This Row],[Prix de Revient]]</f>
        <v>0</v>
      </c>
      <c r="Z1931" s="74">
        <f>Devis[[#This Row],[Poste 5]]*Devis[[#This Row],[Prix de Revient]]</f>
        <v>0</v>
      </c>
      <c r="AA1931" s="74">
        <f>Devis[[#This Row],[Prix de Revient]]*Devis[[#This Row],[Poste 6]]</f>
        <v>0</v>
      </c>
      <c r="AB1931" s="74">
        <f>Devis[[#This Row],[Quantité Totale]]*Devis[[#This Row],[Prix de Revient]]</f>
        <v>0</v>
      </c>
    </row>
    <row r="1932" spans="1:28" ht="14.25" outlineLevel="1" x14ac:dyDescent="0.2">
      <c r="A1932" s="75" t="s">
        <v>1647</v>
      </c>
      <c r="B1932" s="76" t="s">
        <v>1401</v>
      </c>
      <c r="C1932" s="76" t="s">
        <v>1401</v>
      </c>
      <c r="D1932" s="81" t="str">
        <f t="shared" si="33"/>
        <v>Inox Serti ItalienCourbe 90° FFCourbe 90° FF</v>
      </c>
      <c r="E1932" s="76" t="s">
        <v>1704</v>
      </c>
      <c r="F1932" s="76">
        <v>4</v>
      </c>
      <c r="G1932" s="71" t="s">
        <v>1761</v>
      </c>
      <c r="H1932" s="71" t="s">
        <v>459</v>
      </c>
      <c r="I1932" s="71">
        <v>181028900</v>
      </c>
      <c r="J1932" s="70">
        <f>IFERROR(VLOOKUP(Devis[[#This Row],[Ref Air Flux]],#REF!,3,FALSE),0)</f>
        <v>0</v>
      </c>
      <c r="K1932" s="68"/>
      <c r="L1932" s="68"/>
      <c r="M1932" s="68"/>
      <c r="N1932" s="68"/>
      <c r="O1932" s="68"/>
      <c r="P1932" s="68"/>
      <c r="Q1932" s="68">
        <f>SUM(Devis[[#This Row],[Poste 1]:[Poste 6]])</f>
        <v>0</v>
      </c>
      <c r="R1932" s="71">
        <v>10</v>
      </c>
      <c r="S1932" s="68">
        <f>_xlfn.CEILING.MATH(Devis[[#This Row],[Quantité Totale]],Devis[[#This Row],[Conditionnement]])</f>
        <v>0</v>
      </c>
      <c r="T1932" s="72"/>
      <c r="U1932" s="73"/>
      <c r="V1932" s="74">
        <f>Devis[[#This Row],[Prix de Revient]]*Devis[[#This Row],[Poste 1]]</f>
        <v>0</v>
      </c>
      <c r="W1932" s="74">
        <f>Devis[[#This Row],[Prix de Revient]]*Devis[[#This Row],[Poste 2]]</f>
        <v>0</v>
      </c>
      <c r="X1932" s="74">
        <f>Devis[[#This Row],[Prix de Revient]]*Devis[[#This Row],[Poste 3]]</f>
        <v>0</v>
      </c>
      <c r="Y1932" s="74">
        <f>Devis[[#This Row],[Poste 4]]*Devis[[#This Row],[Prix de Revient]]</f>
        <v>0</v>
      </c>
      <c r="Z1932" s="74">
        <f>Devis[[#This Row],[Poste 5]]*Devis[[#This Row],[Prix de Revient]]</f>
        <v>0</v>
      </c>
      <c r="AA1932" s="74">
        <f>Devis[[#This Row],[Prix de Revient]]*Devis[[#This Row],[Poste 6]]</f>
        <v>0</v>
      </c>
      <c r="AB1932" s="74">
        <f>Devis[[#This Row],[Quantité Totale]]*Devis[[#This Row],[Prix de Revient]]</f>
        <v>0</v>
      </c>
    </row>
    <row r="1933" spans="1:28" ht="14.25" customHeight="1" outlineLevel="1" x14ac:dyDescent="0.2">
      <c r="A1933" s="75" t="s">
        <v>1647</v>
      </c>
      <c r="B1933" s="76" t="s">
        <v>1401</v>
      </c>
      <c r="C1933" s="76" t="s">
        <v>1401</v>
      </c>
      <c r="D1933" s="81" t="str">
        <f t="shared" si="33"/>
        <v>Inox Serti ItalienCourbe 90° FFCourbe 90° FF</v>
      </c>
      <c r="E1933" s="76" t="s">
        <v>1655</v>
      </c>
      <c r="F1933" s="76">
        <v>5</v>
      </c>
      <c r="G1933" s="71" t="s">
        <v>1762</v>
      </c>
      <c r="H1933" s="71" t="s">
        <v>459</v>
      </c>
      <c r="I1933" s="71">
        <v>181035901</v>
      </c>
      <c r="J1933" s="70">
        <f>IFERROR(VLOOKUP(Devis[[#This Row],[Ref Air Flux]],#REF!,3,FALSE),0)</f>
        <v>0</v>
      </c>
      <c r="K1933" s="68"/>
      <c r="L1933" s="68"/>
      <c r="M1933" s="68"/>
      <c r="N1933" s="68"/>
      <c r="O1933" s="68"/>
      <c r="P1933" s="68"/>
      <c r="Q1933" s="68">
        <f>SUM(Devis[[#This Row],[Poste 1]:[Poste 6]])</f>
        <v>0</v>
      </c>
      <c r="R1933" s="71">
        <v>5</v>
      </c>
      <c r="S1933" s="68">
        <f>_xlfn.CEILING.MATH(Devis[[#This Row],[Quantité Totale]],Devis[[#This Row],[Conditionnement]])</f>
        <v>0</v>
      </c>
      <c r="T1933" s="72"/>
      <c r="U1933" s="73"/>
      <c r="V1933" s="74">
        <f>Devis[[#This Row],[Prix de Revient]]*Devis[[#This Row],[Poste 1]]</f>
        <v>0</v>
      </c>
      <c r="W1933" s="74">
        <f>Devis[[#This Row],[Prix de Revient]]*Devis[[#This Row],[Poste 2]]</f>
        <v>0</v>
      </c>
      <c r="X1933" s="74">
        <f>Devis[[#This Row],[Prix de Revient]]*Devis[[#This Row],[Poste 3]]</f>
        <v>0</v>
      </c>
      <c r="Y1933" s="74">
        <f>Devis[[#This Row],[Poste 4]]*Devis[[#This Row],[Prix de Revient]]</f>
        <v>0</v>
      </c>
      <c r="Z1933" s="74">
        <f>Devis[[#This Row],[Poste 5]]*Devis[[#This Row],[Prix de Revient]]</f>
        <v>0</v>
      </c>
      <c r="AA1933" s="74">
        <f>Devis[[#This Row],[Prix de Revient]]*Devis[[#This Row],[Poste 6]]</f>
        <v>0</v>
      </c>
      <c r="AB1933" s="74">
        <f>Devis[[#This Row],[Quantité Totale]]*Devis[[#This Row],[Prix de Revient]]</f>
        <v>0</v>
      </c>
    </row>
    <row r="1934" spans="1:28" ht="14.25" outlineLevel="1" x14ac:dyDescent="0.2">
      <c r="A1934" s="75" t="s">
        <v>1647</v>
      </c>
      <c r="B1934" s="76" t="s">
        <v>1401</v>
      </c>
      <c r="C1934" s="76" t="s">
        <v>1401</v>
      </c>
      <c r="D1934" s="81" t="str">
        <f t="shared" si="33"/>
        <v>Inox Serti ItalienCourbe 90° FFCourbe 90° FF</v>
      </c>
      <c r="E1934" s="76" t="s">
        <v>1657</v>
      </c>
      <c r="F1934" s="76">
        <v>6</v>
      </c>
      <c r="G1934" s="71" t="s">
        <v>1763</v>
      </c>
      <c r="H1934" s="71" t="s">
        <v>459</v>
      </c>
      <c r="I1934" s="71">
        <v>181042900</v>
      </c>
      <c r="J1934" s="70">
        <f>IFERROR(VLOOKUP(Devis[[#This Row],[Ref Air Flux]],#REF!,3,FALSE),0)</f>
        <v>0</v>
      </c>
      <c r="K1934" s="68"/>
      <c r="L1934" s="68"/>
      <c r="M1934" s="68"/>
      <c r="N1934" s="68"/>
      <c r="O1934" s="68"/>
      <c r="P1934" s="68"/>
      <c r="Q1934" s="68">
        <f>SUM(Devis[[#This Row],[Poste 1]:[Poste 6]])</f>
        <v>0</v>
      </c>
      <c r="R1934" s="71">
        <v>2</v>
      </c>
      <c r="S1934" s="68">
        <f>_xlfn.CEILING.MATH(Devis[[#This Row],[Quantité Totale]],Devis[[#This Row],[Conditionnement]])</f>
        <v>0</v>
      </c>
      <c r="T1934" s="72"/>
      <c r="U1934" s="73"/>
      <c r="V1934" s="74">
        <f>Devis[[#This Row],[Prix de Revient]]*Devis[[#This Row],[Poste 1]]</f>
        <v>0</v>
      </c>
      <c r="W1934" s="74">
        <f>Devis[[#This Row],[Prix de Revient]]*Devis[[#This Row],[Poste 2]]</f>
        <v>0</v>
      </c>
      <c r="X1934" s="74">
        <f>Devis[[#This Row],[Prix de Revient]]*Devis[[#This Row],[Poste 3]]</f>
        <v>0</v>
      </c>
      <c r="Y1934" s="74">
        <f>Devis[[#This Row],[Poste 4]]*Devis[[#This Row],[Prix de Revient]]</f>
        <v>0</v>
      </c>
      <c r="Z1934" s="74">
        <f>Devis[[#This Row],[Poste 5]]*Devis[[#This Row],[Prix de Revient]]</f>
        <v>0</v>
      </c>
      <c r="AA1934" s="74">
        <f>Devis[[#This Row],[Prix de Revient]]*Devis[[#This Row],[Poste 6]]</f>
        <v>0</v>
      </c>
      <c r="AB1934" s="74">
        <f>Devis[[#This Row],[Quantité Totale]]*Devis[[#This Row],[Prix de Revient]]</f>
        <v>0</v>
      </c>
    </row>
    <row r="1935" spans="1:28" ht="14.25" outlineLevel="1" x14ac:dyDescent="0.2">
      <c r="A1935" s="75" t="s">
        <v>1647</v>
      </c>
      <c r="B1935" s="76" t="s">
        <v>1401</v>
      </c>
      <c r="C1935" s="76" t="s">
        <v>1401</v>
      </c>
      <c r="D1935" s="81" t="str">
        <f t="shared" si="33"/>
        <v>Inox Serti ItalienCourbe 90° FFCourbe 90° FF</v>
      </c>
      <c r="E1935" s="76" t="s">
        <v>1708</v>
      </c>
      <c r="F1935" s="76">
        <v>7</v>
      </c>
      <c r="G1935" s="71" t="s">
        <v>1764</v>
      </c>
      <c r="H1935" s="71" t="s">
        <v>459</v>
      </c>
      <c r="I1935" s="71">
        <v>181054900</v>
      </c>
      <c r="J1935" s="70">
        <f>IFERROR(VLOOKUP(Devis[[#This Row],[Ref Air Flux]],#REF!,3,FALSE),0)</f>
        <v>0</v>
      </c>
      <c r="K1935" s="68"/>
      <c r="L1935" s="68"/>
      <c r="M1935" s="68"/>
      <c r="N1935" s="68"/>
      <c r="O1935" s="68"/>
      <c r="P1935" s="68"/>
      <c r="Q1935" s="68">
        <f>SUM(Devis[[#This Row],[Poste 1]:[Poste 6]])</f>
        <v>0</v>
      </c>
      <c r="R1935" s="71">
        <v>2</v>
      </c>
      <c r="S1935" s="68">
        <f>_xlfn.CEILING.MATH(Devis[[#This Row],[Quantité Totale]],Devis[[#This Row],[Conditionnement]])</f>
        <v>0</v>
      </c>
      <c r="T1935" s="72"/>
      <c r="U1935" s="73"/>
      <c r="V1935" s="74">
        <f>Devis[[#This Row],[Prix de Revient]]*Devis[[#This Row],[Poste 1]]</f>
        <v>0</v>
      </c>
      <c r="W1935" s="74">
        <f>Devis[[#This Row],[Prix de Revient]]*Devis[[#This Row],[Poste 2]]</f>
        <v>0</v>
      </c>
      <c r="X1935" s="74">
        <f>Devis[[#This Row],[Prix de Revient]]*Devis[[#This Row],[Poste 3]]</f>
        <v>0</v>
      </c>
      <c r="Y1935" s="74">
        <f>Devis[[#This Row],[Poste 4]]*Devis[[#This Row],[Prix de Revient]]</f>
        <v>0</v>
      </c>
      <c r="Z1935" s="74">
        <f>Devis[[#This Row],[Poste 5]]*Devis[[#This Row],[Prix de Revient]]</f>
        <v>0</v>
      </c>
      <c r="AA1935" s="74">
        <f>Devis[[#This Row],[Prix de Revient]]*Devis[[#This Row],[Poste 6]]</f>
        <v>0</v>
      </c>
      <c r="AB1935" s="74">
        <f>Devis[[#This Row],[Quantité Totale]]*Devis[[#This Row],[Prix de Revient]]</f>
        <v>0</v>
      </c>
    </row>
    <row r="1936" spans="1:28" ht="14.25" outlineLevel="1" x14ac:dyDescent="0.2">
      <c r="A1936" s="75" t="s">
        <v>1647</v>
      </c>
      <c r="B1936" s="76" t="s">
        <v>1401</v>
      </c>
      <c r="C1936" s="76" t="s">
        <v>1401</v>
      </c>
      <c r="D1936" s="81" t="str">
        <f t="shared" si="33"/>
        <v>Inox Serti ItalienCourbe 90° FFCourbe 90° FF</v>
      </c>
      <c r="E1936" s="76" t="s">
        <v>1710</v>
      </c>
      <c r="F1936" s="76">
        <v>8</v>
      </c>
      <c r="G1936" s="71" t="s">
        <v>1765</v>
      </c>
      <c r="H1936" s="71" t="s">
        <v>459</v>
      </c>
      <c r="I1936" s="71">
        <v>181107900</v>
      </c>
      <c r="J1936" s="70">
        <f>IFERROR(VLOOKUP(Devis[[#This Row],[Ref Air Flux]],#REF!,3,FALSE),0)</f>
        <v>0</v>
      </c>
      <c r="K1936" s="68"/>
      <c r="L1936" s="68"/>
      <c r="M1936" s="68"/>
      <c r="N1936" s="68"/>
      <c r="O1936" s="68"/>
      <c r="P1936" s="68"/>
      <c r="Q1936" s="68">
        <f>SUM(Devis[[#This Row],[Poste 1]:[Poste 6]])</f>
        <v>0</v>
      </c>
      <c r="R1936" s="71">
        <v>2</v>
      </c>
      <c r="S1936" s="68">
        <f>_xlfn.CEILING.MATH(Devis[[#This Row],[Quantité Totale]],Devis[[#This Row],[Conditionnement]])</f>
        <v>0</v>
      </c>
      <c r="T1936" s="72"/>
      <c r="U1936" s="73"/>
      <c r="V1936" s="74">
        <f>Devis[[#This Row],[Prix de Revient]]*Devis[[#This Row],[Poste 1]]</f>
        <v>0</v>
      </c>
      <c r="W1936" s="74">
        <f>Devis[[#This Row],[Prix de Revient]]*Devis[[#This Row],[Poste 2]]</f>
        <v>0</v>
      </c>
      <c r="X1936" s="74">
        <f>Devis[[#This Row],[Prix de Revient]]*Devis[[#This Row],[Poste 3]]</f>
        <v>0</v>
      </c>
      <c r="Y1936" s="74">
        <f>Devis[[#This Row],[Poste 4]]*Devis[[#This Row],[Prix de Revient]]</f>
        <v>0</v>
      </c>
      <c r="Z1936" s="74">
        <f>Devis[[#This Row],[Poste 5]]*Devis[[#This Row],[Prix de Revient]]</f>
        <v>0</v>
      </c>
      <c r="AA1936" s="74">
        <f>Devis[[#This Row],[Prix de Revient]]*Devis[[#This Row],[Poste 6]]</f>
        <v>0</v>
      </c>
      <c r="AB1936" s="74">
        <f>Devis[[#This Row],[Quantité Totale]]*Devis[[#This Row],[Prix de Revient]]</f>
        <v>0</v>
      </c>
    </row>
    <row r="1937" spans="1:28" ht="14.25" outlineLevel="1" x14ac:dyDescent="0.2">
      <c r="A1937" s="75" t="s">
        <v>1647</v>
      </c>
      <c r="B1937" s="76" t="s">
        <v>1401</v>
      </c>
      <c r="C1937" s="76" t="s">
        <v>1401</v>
      </c>
      <c r="D1937" s="81" t="str">
        <f t="shared" si="33"/>
        <v>Inox Serti ItalienCourbe 90° FFCourbe 90° FF</v>
      </c>
      <c r="E1937" s="76" t="s">
        <v>1712</v>
      </c>
      <c r="F1937" s="76">
        <v>9</v>
      </c>
      <c r="G1937" s="71" t="s">
        <v>1766</v>
      </c>
      <c r="H1937" s="71" t="s">
        <v>459</v>
      </c>
      <c r="I1937" s="71">
        <v>181088900</v>
      </c>
      <c r="J1937" s="70">
        <f>IFERROR(VLOOKUP(Devis[[#This Row],[Ref Air Flux]],#REF!,3,FALSE),0)</f>
        <v>0</v>
      </c>
      <c r="K1937" s="68"/>
      <c r="L1937" s="68"/>
      <c r="M1937" s="68"/>
      <c r="N1937" s="68"/>
      <c r="O1937" s="68"/>
      <c r="P1937" s="68"/>
      <c r="Q1937" s="68">
        <f>SUM(Devis[[#This Row],[Poste 1]:[Poste 6]])</f>
        <v>0</v>
      </c>
      <c r="R1937" s="71">
        <v>2</v>
      </c>
      <c r="S1937" s="68">
        <f>_xlfn.CEILING.MATH(Devis[[#This Row],[Quantité Totale]],Devis[[#This Row],[Conditionnement]])</f>
        <v>0</v>
      </c>
      <c r="T1937" s="72"/>
      <c r="U1937" s="73"/>
      <c r="V1937" s="74">
        <f>Devis[[#This Row],[Prix de Revient]]*Devis[[#This Row],[Poste 1]]</f>
        <v>0</v>
      </c>
      <c r="W1937" s="74">
        <f>Devis[[#This Row],[Prix de Revient]]*Devis[[#This Row],[Poste 2]]</f>
        <v>0</v>
      </c>
      <c r="X1937" s="74">
        <f>Devis[[#This Row],[Prix de Revient]]*Devis[[#This Row],[Poste 3]]</f>
        <v>0</v>
      </c>
      <c r="Y1937" s="74">
        <f>Devis[[#This Row],[Poste 4]]*Devis[[#This Row],[Prix de Revient]]</f>
        <v>0</v>
      </c>
      <c r="Z1937" s="74">
        <f>Devis[[#This Row],[Poste 5]]*Devis[[#This Row],[Prix de Revient]]</f>
        <v>0</v>
      </c>
      <c r="AA1937" s="74">
        <f>Devis[[#This Row],[Prix de Revient]]*Devis[[#This Row],[Poste 6]]</f>
        <v>0</v>
      </c>
      <c r="AB1937" s="74">
        <f>Devis[[#This Row],[Quantité Totale]]*Devis[[#This Row],[Prix de Revient]]</f>
        <v>0</v>
      </c>
    </row>
    <row r="1938" spans="1:28" ht="14.25" outlineLevel="1" x14ac:dyDescent="0.2">
      <c r="A1938" s="75" t="s">
        <v>1647</v>
      </c>
      <c r="B1938" s="76" t="s">
        <v>1401</v>
      </c>
      <c r="C1938" s="76" t="s">
        <v>1401</v>
      </c>
      <c r="D1938" s="81" t="str">
        <f t="shared" si="33"/>
        <v>Inox Serti ItalienCourbe 90° FFCourbe 90° FF</v>
      </c>
      <c r="E1938" s="76" t="s">
        <v>1714</v>
      </c>
      <c r="F1938" s="76">
        <v>10</v>
      </c>
      <c r="G1938" s="71" t="s">
        <v>1767</v>
      </c>
      <c r="H1938" s="71" t="s">
        <v>459</v>
      </c>
      <c r="I1938" s="71">
        <v>181108900</v>
      </c>
      <c r="J1938" s="70">
        <f>IFERROR(VLOOKUP(Devis[[#This Row],[Ref Air Flux]],#REF!,3,FALSE),0)</f>
        <v>0</v>
      </c>
      <c r="K1938" s="68"/>
      <c r="L1938" s="68"/>
      <c r="M1938" s="68"/>
      <c r="N1938" s="68"/>
      <c r="O1938" s="68"/>
      <c r="P1938" s="68"/>
      <c r="Q1938" s="68">
        <f>SUM(Devis[[#This Row],[Poste 1]:[Poste 6]])</f>
        <v>0</v>
      </c>
      <c r="R1938" s="71">
        <v>2</v>
      </c>
      <c r="S1938" s="68">
        <f>_xlfn.CEILING.MATH(Devis[[#This Row],[Quantité Totale]],Devis[[#This Row],[Conditionnement]])</f>
        <v>0</v>
      </c>
      <c r="T1938" s="72"/>
      <c r="U1938" s="73"/>
      <c r="V1938" s="74">
        <f>Devis[[#This Row],[Prix de Revient]]*Devis[[#This Row],[Poste 1]]</f>
        <v>0</v>
      </c>
      <c r="W1938" s="74">
        <f>Devis[[#This Row],[Prix de Revient]]*Devis[[#This Row],[Poste 2]]</f>
        <v>0</v>
      </c>
      <c r="X1938" s="74">
        <f>Devis[[#This Row],[Prix de Revient]]*Devis[[#This Row],[Poste 3]]</f>
        <v>0</v>
      </c>
      <c r="Y1938" s="74">
        <f>Devis[[#This Row],[Poste 4]]*Devis[[#This Row],[Prix de Revient]]</f>
        <v>0</v>
      </c>
      <c r="Z1938" s="74">
        <f>Devis[[#This Row],[Poste 5]]*Devis[[#This Row],[Prix de Revient]]</f>
        <v>0</v>
      </c>
      <c r="AA1938" s="74">
        <f>Devis[[#This Row],[Prix de Revient]]*Devis[[#This Row],[Poste 6]]</f>
        <v>0</v>
      </c>
      <c r="AB1938" s="74">
        <f>Devis[[#This Row],[Quantité Totale]]*Devis[[#This Row],[Prix de Revient]]</f>
        <v>0</v>
      </c>
    </row>
    <row r="1939" spans="1:28" ht="14.25" customHeight="1" x14ac:dyDescent="0.25">
      <c r="A1939" s="65" t="s">
        <v>1647</v>
      </c>
      <c r="B1939" s="65" t="s">
        <v>1410</v>
      </c>
      <c r="C1939" s="76" t="s">
        <v>1410</v>
      </c>
      <c r="D1939" s="81" t="str">
        <f t="shared" ref="D1939:D1984" si="34">A1939&amp;B1939&amp;C1939</f>
        <v>Inox Serti ItalienCourbe 90° MFCourbe 90° MF</v>
      </c>
      <c r="E1939" s="76"/>
      <c r="F1939" s="76">
        <v>0</v>
      </c>
      <c r="G1939" s="71"/>
      <c r="H1939" s="71"/>
      <c r="I1939" s="71"/>
      <c r="J1939" s="70">
        <f>IFERROR(VLOOKUP(Devis[[#This Row],[Ref Air Flux]],#REF!,3,FALSE),0)</f>
        <v>0</v>
      </c>
      <c r="K1939" s="68"/>
      <c r="L1939" s="68"/>
      <c r="M1939" s="68"/>
      <c r="N1939" s="68"/>
      <c r="O1939" s="68"/>
      <c r="P1939" s="68"/>
      <c r="Q1939" s="68">
        <f>SUM(Devis[[#This Row],[Poste 1]:[Poste 6]])</f>
        <v>0</v>
      </c>
      <c r="R1939" s="71"/>
      <c r="S1939" s="68">
        <f>_xlfn.CEILING.MATH(Devis[[#This Row],[Quantité Totale]],Devis[[#This Row],[Conditionnement]])</f>
        <v>0</v>
      </c>
      <c r="T1939" s="72"/>
      <c r="U1939" s="73"/>
      <c r="V1939" s="74">
        <f>Devis[[#This Row],[Prix de Revient]]*Devis[[#This Row],[Poste 1]]</f>
        <v>0</v>
      </c>
      <c r="W1939" s="74">
        <f>Devis[[#This Row],[Prix de Revient]]*Devis[[#This Row],[Poste 2]]</f>
        <v>0</v>
      </c>
      <c r="X1939" s="74">
        <f>Devis[[#This Row],[Prix de Revient]]*Devis[[#This Row],[Poste 3]]</f>
        <v>0</v>
      </c>
      <c r="Y1939" s="74">
        <f>Devis[[#This Row],[Poste 4]]*Devis[[#This Row],[Prix de Revient]]</f>
        <v>0</v>
      </c>
      <c r="Z1939" s="74">
        <f>Devis[[#This Row],[Poste 5]]*Devis[[#This Row],[Prix de Revient]]</f>
        <v>0</v>
      </c>
      <c r="AA1939" s="74">
        <f>Devis[[#This Row],[Prix de Revient]]*Devis[[#This Row],[Poste 6]]</f>
        <v>0</v>
      </c>
      <c r="AB1939" s="74">
        <f>Devis[[#This Row],[Quantité Totale]]*Devis[[#This Row],[Prix de Revient]]</f>
        <v>0</v>
      </c>
    </row>
    <row r="1940" spans="1:28" ht="14.25" outlineLevel="1" x14ac:dyDescent="0.2">
      <c r="A1940" s="75" t="s">
        <v>1647</v>
      </c>
      <c r="B1940" s="76" t="s">
        <v>1410</v>
      </c>
      <c r="C1940" s="76" t="s">
        <v>1410</v>
      </c>
      <c r="D1940" s="81" t="str">
        <f t="shared" si="34"/>
        <v>Inox Serti ItalienCourbe 90° MFCourbe 90° MF</v>
      </c>
      <c r="E1940" s="76" t="s">
        <v>1648</v>
      </c>
      <c r="F1940" s="76">
        <v>1</v>
      </c>
      <c r="G1940" s="71" t="s">
        <v>1768</v>
      </c>
      <c r="H1940" s="71" t="s">
        <v>459</v>
      </c>
      <c r="I1940" s="71">
        <v>181015901</v>
      </c>
      <c r="J1940" s="70">
        <f>IFERROR(VLOOKUP(Devis[[#This Row],[Ref Air Flux]],#REF!,3,FALSE),0)</f>
        <v>0</v>
      </c>
      <c r="K1940" s="68"/>
      <c r="L1940" s="68"/>
      <c r="M1940" s="68"/>
      <c r="N1940" s="68"/>
      <c r="O1940" s="68"/>
      <c r="P1940" s="68"/>
      <c r="Q1940" s="68">
        <f>SUM(Devis[[#This Row],[Poste 1]:[Poste 6]])</f>
        <v>0</v>
      </c>
      <c r="R1940" s="71">
        <v>20</v>
      </c>
      <c r="S1940" s="68">
        <f>_xlfn.CEILING.MATH(Devis[[#This Row],[Quantité Totale]],Devis[[#This Row],[Conditionnement]])</f>
        <v>0</v>
      </c>
      <c r="T1940" s="72"/>
      <c r="U1940" s="73"/>
      <c r="V1940" s="74">
        <f>Devis[[#This Row],[Prix de Revient]]*Devis[[#This Row],[Poste 1]]</f>
        <v>0</v>
      </c>
      <c r="W1940" s="74">
        <f>Devis[[#This Row],[Prix de Revient]]*Devis[[#This Row],[Poste 2]]</f>
        <v>0</v>
      </c>
      <c r="X1940" s="74">
        <f>Devis[[#This Row],[Prix de Revient]]*Devis[[#This Row],[Poste 3]]</f>
        <v>0</v>
      </c>
      <c r="Y1940" s="74">
        <f>Devis[[#This Row],[Poste 4]]*Devis[[#This Row],[Prix de Revient]]</f>
        <v>0</v>
      </c>
      <c r="Z1940" s="74">
        <f>Devis[[#This Row],[Poste 5]]*Devis[[#This Row],[Prix de Revient]]</f>
        <v>0</v>
      </c>
      <c r="AA1940" s="74">
        <f>Devis[[#This Row],[Prix de Revient]]*Devis[[#This Row],[Poste 6]]</f>
        <v>0</v>
      </c>
      <c r="AB1940" s="74">
        <f>Devis[[#This Row],[Quantité Totale]]*Devis[[#This Row],[Prix de Revient]]</f>
        <v>0</v>
      </c>
    </row>
    <row r="1941" spans="1:28" ht="14.25" outlineLevel="1" x14ac:dyDescent="0.2">
      <c r="A1941" s="75" t="s">
        <v>1647</v>
      </c>
      <c r="B1941" s="76" t="s">
        <v>1410</v>
      </c>
      <c r="C1941" s="76" t="s">
        <v>1410</v>
      </c>
      <c r="D1941" s="81" t="str">
        <f t="shared" si="34"/>
        <v>Inox Serti ItalienCourbe 90° MFCourbe 90° MF</v>
      </c>
      <c r="E1941" s="76" t="s">
        <v>1650</v>
      </c>
      <c r="F1941" s="76">
        <v>2</v>
      </c>
      <c r="G1941" s="71" t="s">
        <v>1769</v>
      </c>
      <c r="H1941" s="71" t="s">
        <v>459</v>
      </c>
      <c r="I1941" s="71">
        <v>181018901</v>
      </c>
      <c r="J1941" s="70">
        <f>IFERROR(VLOOKUP(Devis[[#This Row],[Ref Air Flux]],#REF!,3,FALSE),0)</f>
        <v>0</v>
      </c>
      <c r="K1941" s="68"/>
      <c r="L1941" s="68"/>
      <c r="M1941" s="68"/>
      <c r="N1941" s="68"/>
      <c r="O1941" s="68"/>
      <c r="P1941" s="68"/>
      <c r="Q1941" s="68">
        <f>SUM(Devis[[#This Row],[Poste 1]:[Poste 6]])</f>
        <v>0</v>
      </c>
      <c r="R1941" s="71">
        <v>20</v>
      </c>
      <c r="S1941" s="68">
        <f>_xlfn.CEILING.MATH(Devis[[#This Row],[Quantité Totale]],Devis[[#This Row],[Conditionnement]])</f>
        <v>0</v>
      </c>
      <c r="T1941" s="72"/>
      <c r="U1941" s="73"/>
      <c r="V1941" s="74">
        <f>Devis[[#This Row],[Prix de Revient]]*Devis[[#This Row],[Poste 1]]</f>
        <v>0</v>
      </c>
      <c r="W1941" s="74">
        <f>Devis[[#This Row],[Prix de Revient]]*Devis[[#This Row],[Poste 2]]</f>
        <v>0</v>
      </c>
      <c r="X1941" s="74">
        <f>Devis[[#This Row],[Prix de Revient]]*Devis[[#This Row],[Poste 3]]</f>
        <v>0</v>
      </c>
      <c r="Y1941" s="74">
        <f>Devis[[#This Row],[Poste 4]]*Devis[[#This Row],[Prix de Revient]]</f>
        <v>0</v>
      </c>
      <c r="Z1941" s="74">
        <f>Devis[[#This Row],[Poste 5]]*Devis[[#This Row],[Prix de Revient]]</f>
        <v>0</v>
      </c>
      <c r="AA1941" s="74">
        <f>Devis[[#This Row],[Prix de Revient]]*Devis[[#This Row],[Poste 6]]</f>
        <v>0</v>
      </c>
      <c r="AB1941" s="74">
        <f>Devis[[#This Row],[Quantité Totale]]*Devis[[#This Row],[Prix de Revient]]</f>
        <v>0</v>
      </c>
    </row>
    <row r="1942" spans="1:28" ht="14.25" outlineLevel="1" x14ac:dyDescent="0.2">
      <c r="A1942" s="75" t="s">
        <v>1647</v>
      </c>
      <c r="B1942" s="76" t="s">
        <v>1410</v>
      </c>
      <c r="C1942" s="76" t="s">
        <v>1410</v>
      </c>
      <c r="D1942" s="81" t="str">
        <f t="shared" si="34"/>
        <v>Inox Serti ItalienCourbe 90° MFCourbe 90° MF</v>
      </c>
      <c r="E1942" s="76" t="s">
        <v>1652</v>
      </c>
      <c r="F1942" s="76">
        <v>3</v>
      </c>
      <c r="G1942" s="71" t="s">
        <v>1770</v>
      </c>
      <c r="H1942" s="71" t="s">
        <v>459</v>
      </c>
      <c r="I1942" s="71">
        <v>181022901</v>
      </c>
      <c r="J1942" s="70">
        <f>IFERROR(VLOOKUP(Devis[[#This Row],[Ref Air Flux]],#REF!,3,FALSE),0)</f>
        <v>0</v>
      </c>
      <c r="K1942" s="68"/>
      <c r="L1942" s="68"/>
      <c r="M1942" s="68"/>
      <c r="N1942" s="68"/>
      <c r="O1942" s="68"/>
      <c r="P1942" s="68"/>
      <c r="Q1942" s="68">
        <f>SUM(Devis[[#This Row],[Poste 1]:[Poste 6]])</f>
        <v>0</v>
      </c>
      <c r="R1942" s="71">
        <v>10</v>
      </c>
      <c r="S1942" s="68">
        <f>_xlfn.CEILING.MATH(Devis[[#This Row],[Quantité Totale]],Devis[[#This Row],[Conditionnement]])</f>
        <v>0</v>
      </c>
      <c r="T1942" s="72"/>
      <c r="U1942" s="73"/>
      <c r="V1942" s="74">
        <f>Devis[[#This Row],[Prix de Revient]]*Devis[[#This Row],[Poste 1]]</f>
        <v>0</v>
      </c>
      <c r="W1942" s="74">
        <f>Devis[[#This Row],[Prix de Revient]]*Devis[[#This Row],[Poste 2]]</f>
        <v>0</v>
      </c>
      <c r="X1942" s="74">
        <f>Devis[[#This Row],[Prix de Revient]]*Devis[[#This Row],[Poste 3]]</f>
        <v>0</v>
      </c>
      <c r="Y1942" s="74">
        <f>Devis[[#This Row],[Poste 4]]*Devis[[#This Row],[Prix de Revient]]</f>
        <v>0</v>
      </c>
      <c r="Z1942" s="74">
        <f>Devis[[#This Row],[Poste 5]]*Devis[[#This Row],[Prix de Revient]]</f>
        <v>0</v>
      </c>
      <c r="AA1942" s="74">
        <f>Devis[[#This Row],[Prix de Revient]]*Devis[[#This Row],[Poste 6]]</f>
        <v>0</v>
      </c>
      <c r="AB1942" s="74">
        <f>Devis[[#This Row],[Quantité Totale]]*Devis[[#This Row],[Prix de Revient]]</f>
        <v>0</v>
      </c>
    </row>
    <row r="1943" spans="1:28" ht="14.25" outlineLevel="1" x14ac:dyDescent="0.2">
      <c r="A1943" s="75" t="s">
        <v>1647</v>
      </c>
      <c r="B1943" s="76" t="s">
        <v>1410</v>
      </c>
      <c r="C1943" s="76" t="s">
        <v>1410</v>
      </c>
      <c r="D1943" s="81" t="str">
        <f t="shared" si="34"/>
        <v>Inox Serti ItalienCourbe 90° MFCourbe 90° MF</v>
      </c>
      <c r="E1943" s="76" t="s">
        <v>1704</v>
      </c>
      <c r="F1943" s="76">
        <v>4</v>
      </c>
      <c r="G1943" s="71" t="s">
        <v>1771</v>
      </c>
      <c r="H1943" s="71" t="s">
        <v>459</v>
      </c>
      <c r="I1943" s="71">
        <v>181028901</v>
      </c>
      <c r="J1943" s="70">
        <f>IFERROR(VLOOKUP(Devis[[#This Row],[Ref Air Flux]],#REF!,3,FALSE),0)</f>
        <v>0</v>
      </c>
      <c r="K1943" s="68"/>
      <c r="L1943" s="68"/>
      <c r="M1943" s="68"/>
      <c r="N1943" s="68"/>
      <c r="O1943" s="68"/>
      <c r="P1943" s="68"/>
      <c r="Q1943" s="68">
        <f>SUM(Devis[[#This Row],[Poste 1]:[Poste 6]])</f>
        <v>0</v>
      </c>
      <c r="R1943" s="71">
        <v>10</v>
      </c>
      <c r="S1943" s="68">
        <f>_xlfn.CEILING.MATH(Devis[[#This Row],[Quantité Totale]],Devis[[#This Row],[Conditionnement]])</f>
        <v>0</v>
      </c>
      <c r="T1943" s="72"/>
      <c r="U1943" s="73"/>
      <c r="V1943" s="74">
        <f>Devis[[#This Row],[Prix de Revient]]*Devis[[#This Row],[Poste 1]]</f>
        <v>0</v>
      </c>
      <c r="W1943" s="74">
        <f>Devis[[#This Row],[Prix de Revient]]*Devis[[#This Row],[Poste 2]]</f>
        <v>0</v>
      </c>
      <c r="X1943" s="74">
        <f>Devis[[#This Row],[Prix de Revient]]*Devis[[#This Row],[Poste 3]]</f>
        <v>0</v>
      </c>
      <c r="Y1943" s="74">
        <f>Devis[[#This Row],[Poste 4]]*Devis[[#This Row],[Prix de Revient]]</f>
        <v>0</v>
      </c>
      <c r="Z1943" s="74">
        <f>Devis[[#This Row],[Poste 5]]*Devis[[#This Row],[Prix de Revient]]</f>
        <v>0</v>
      </c>
      <c r="AA1943" s="74">
        <f>Devis[[#This Row],[Prix de Revient]]*Devis[[#This Row],[Poste 6]]</f>
        <v>0</v>
      </c>
      <c r="AB1943" s="74">
        <f>Devis[[#This Row],[Quantité Totale]]*Devis[[#This Row],[Prix de Revient]]</f>
        <v>0</v>
      </c>
    </row>
    <row r="1944" spans="1:28" ht="14.25" outlineLevel="1" x14ac:dyDescent="0.2">
      <c r="A1944" s="75" t="s">
        <v>1647</v>
      </c>
      <c r="B1944" s="76" t="s">
        <v>1410</v>
      </c>
      <c r="C1944" s="76" t="s">
        <v>1410</v>
      </c>
      <c r="D1944" s="81" t="str">
        <f t="shared" si="34"/>
        <v>Inox Serti ItalienCourbe 90° MFCourbe 90° MF</v>
      </c>
      <c r="E1944" s="76" t="s">
        <v>1655</v>
      </c>
      <c r="F1944" s="76">
        <v>5</v>
      </c>
      <c r="G1944" s="71" t="s">
        <v>1772</v>
      </c>
      <c r="H1944" s="71" t="s">
        <v>459</v>
      </c>
      <c r="I1944" s="71">
        <v>181035901</v>
      </c>
      <c r="J1944" s="70">
        <f>IFERROR(VLOOKUP(Devis[[#This Row],[Ref Air Flux]],#REF!,3,FALSE),0)</f>
        <v>0</v>
      </c>
      <c r="K1944" s="68"/>
      <c r="L1944" s="68"/>
      <c r="M1944" s="68"/>
      <c r="N1944" s="68"/>
      <c r="O1944" s="68"/>
      <c r="P1944" s="68"/>
      <c r="Q1944" s="68">
        <f>SUM(Devis[[#This Row],[Poste 1]:[Poste 6]])</f>
        <v>0</v>
      </c>
      <c r="R1944" s="71">
        <v>5</v>
      </c>
      <c r="S1944" s="68">
        <f>_xlfn.CEILING.MATH(Devis[[#This Row],[Quantité Totale]],Devis[[#This Row],[Conditionnement]])</f>
        <v>0</v>
      </c>
      <c r="T1944" s="72"/>
      <c r="U1944" s="73"/>
      <c r="V1944" s="74">
        <f>Devis[[#This Row],[Prix de Revient]]*Devis[[#This Row],[Poste 1]]</f>
        <v>0</v>
      </c>
      <c r="W1944" s="74">
        <f>Devis[[#This Row],[Prix de Revient]]*Devis[[#This Row],[Poste 2]]</f>
        <v>0</v>
      </c>
      <c r="X1944" s="74">
        <f>Devis[[#This Row],[Prix de Revient]]*Devis[[#This Row],[Poste 3]]</f>
        <v>0</v>
      </c>
      <c r="Y1944" s="74">
        <f>Devis[[#This Row],[Poste 4]]*Devis[[#This Row],[Prix de Revient]]</f>
        <v>0</v>
      </c>
      <c r="Z1944" s="74">
        <f>Devis[[#This Row],[Poste 5]]*Devis[[#This Row],[Prix de Revient]]</f>
        <v>0</v>
      </c>
      <c r="AA1944" s="74">
        <f>Devis[[#This Row],[Prix de Revient]]*Devis[[#This Row],[Poste 6]]</f>
        <v>0</v>
      </c>
      <c r="AB1944" s="74">
        <f>Devis[[#This Row],[Quantité Totale]]*Devis[[#This Row],[Prix de Revient]]</f>
        <v>0</v>
      </c>
    </row>
    <row r="1945" spans="1:28" ht="14.25" customHeight="1" outlineLevel="1" x14ac:dyDescent="0.2">
      <c r="A1945" s="75" t="s">
        <v>1647</v>
      </c>
      <c r="B1945" s="76" t="s">
        <v>1410</v>
      </c>
      <c r="C1945" s="76" t="s">
        <v>1410</v>
      </c>
      <c r="D1945" s="81" t="str">
        <f t="shared" si="34"/>
        <v>Inox Serti ItalienCourbe 90° MFCourbe 90° MF</v>
      </c>
      <c r="E1945" s="76" t="s">
        <v>1657</v>
      </c>
      <c r="F1945" s="76">
        <v>6</v>
      </c>
      <c r="G1945" s="71" t="s">
        <v>1773</v>
      </c>
      <c r="H1945" s="71" t="s">
        <v>459</v>
      </c>
      <c r="I1945" s="71">
        <v>181042901</v>
      </c>
      <c r="J1945" s="70">
        <f>IFERROR(VLOOKUP(Devis[[#This Row],[Ref Air Flux]],#REF!,3,FALSE),0)</f>
        <v>0</v>
      </c>
      <c r="K1945" s="68"/>
      <c r="L1945" s="68"/>
      <c r="M1945" s="68"/>
      <c r="N1945" s="68"/>
      <c r="O1945" s="68"/>
      <c r="P1945" s="68"/>
      <c r="Q1945" s="68">
        <f>SUM(Devis[[#This Row],[Poste 1]:[Poste 6]])</f>
        <v>0</v>
      </c>
      <c r="R1945" s="71">
        <v>2</v>
      </c>
      <c r="S1945" s="68">
        <f>_xlfn.CEILING.MATH(Devis[[#This Row],[Quantité Totale]],Devis[[#This Row],[Conditionnement]])</f>
        <v>0</v>
      </c>
      <c r="T1945" s="72"/>
      <c r="U1945" s="73"/>
      <c r="V1945" s="74">
        <f>Devis[[#This Row],[Prix de Revient]]*Devis[[#This Row],[Poste 1]]</f>
        <v>0</v>
      </c>
      <c r="W1945" s="74">
        <f>Devis[[#This Row],[Prix de Revient]]*Devis[[#This Row],[Poste 2]]</f>
        <v>0</v>
      </c>
      <c r="X1945" s="74">
        <f>Devis[[#This Row],[Prix de Revient]]*Devis[[#This Row],[Poste 3]]</f>
        <v>0</v>
      </c>
      <c r="Y1945" s="74">
        <f>Devis[[#This Row],[Poste 4]]*Devis[[#This Row],[Prix de Revient]]</f>
        <v>0</v>
      </c>
      <c r="Z1945" s="74">
        <f>Devis[[#This Row],[Poste 5]]*Devis[[#This Row],[Prix de Revient]]</f>
        <v>0</v>
      </c>
      <c r="AA1945" s="74">
        <f>Devis[[#This Row],[Prix de Revient]]*Devis[[#This Row],[Poste 6]]</f>
        <v>0</v>
      </c>
      <c r="AB1945" s="74">
        <f>Devis[[#This Row],[Quantité Totale]]*Devis[[#This Row],[Prix de Revient]]</f>
        <v>0</v>
      </c>
    </row>
    <row r="1946" spans="1:28" ht="14.25" outlineLevel="1" x14ac:dyDescent="0.2">
      <c r="A1946" s="75" t="s">
        <v>1647</v>
      </c>
      <c r="B1946" s="76" t="s">
        <v>1410</v>
      </c>
      <c r="C1946" s="76" t="s">
        <v>1410</v>
      </c>
      <c r="D1946" s="81" t="str">
        <f t="shared" si="34"/>
        <v>Inox Serti ItalienCourbe 90° MFCourbe 90° MF</v>
      </c>
      <c r="E1946" s="76" t="s">
        <v>1708</v>
      </c>
      <c r="F1946" s="76">
        <v>7</v>
      </c>
      <c r="G1946" s="71" t="s">
        <v>1774</v>
      </c>
      <c r="H1946" s="71" t="s">
        <v>459</v>
      </c>
      <c r="I1946" s="71">
        <v>181054901</v>
      </c>
      <c r="J1946" s="70">
        <f>IFERROR(VLOOKUP(Devis[[#This Row],[Ref Air Flux]],#REF!,3,FALSE),0)</f>
        <v>0</v>
      </c>
      <c r="K1946" s="68"/>
      <c r="L1946" s="68"/>
      <c r="M1946" s="68"/>
      <c r="N1946" s="68"/>
      <c r="O1946" s="68"/>
      <c r="P1946" s="68"/>
      <c r="Q1946" s="68">
        <f>SUM(Devis[[#This Row],[Poste 1]:[Poste 6]])</f>
        <v>0</v>
      </c>
      <c r="R1946" s="71">
        <v>2</v>
      </c>
      <c r="S1946" s="68">
        <f>_xlfn.CEILING.MATH(Devis[[#This Row],[Quantité Totale]],Devis[[#This Row],[Conditionnement]])</f>
        <v>0</v>
      </c>
      <c r="T1946" s="72"/>
      <c r="U1946" s="73"/>
      <c r="V1946" s="74">
        <f>Devis[[#This Row],[Prix de Revient]]*Devis[[#This Row],[Poste 1]]</f>
        <v>0</v>
      </c>
      <c r="W1946" s="74">
        <f>Devis[[#This Row],[Prix de Revient]]*Devis[[#This Row],[Poste 2]]</f>
        <v>0</v>
      </c>
      <c r="X1946" s="74">
        <f>Devis[[#This Row],[Prix de Revient]]*Devis[[#This Row],[Poste 3]]</f>
        <v>0</v>
      </c>
      <c r="Y1946" s="74">
        <f>Devis[[#This Row],[Poste 4]]*Devis[[#This Row],[Prix de Revient]]</f>
        <v>0</v>
      </c>
      <c r="Z1946" s="74">
        <f>Devis[[#This Row],[Poste 5]]*Devis[[#This Row],[Prix de Revient]]</f>
        <v>0</v>
      </c>
      <c r="AA1946" s="74">
        <f>Devis[[#This Row],[Prix de Revient]]*Devis[[#This Row],[Poste 6]]</f>
        <v>0</v>
      </c>
      <c r="AB1946" s="74">
        <f>Devis[[#This Row],[Quantité Totale]]*Devis[[#This Row],[Prix de Revient]]</f>
        <v>0</v>
      </c>
    </row>
    <row r="1947" spans="1:28" ht="14.25" outlineLevel="1" x14ac:dyDescent="0.2">
      <c r="A1947" s="75" t="s">
        <v>1647</v>
      </c>
      <c r="B1947" s="76" t="s">
        <v>1410</v>
      </c>
      <c r="C1947" s="76" t="s">
        <v>1410</v>
      </c>
      <c r="D1947" s="81" t="str">
        <f t="shared" si="34"/>
        <v>Inox Serti ItalienCourbe 90° MFCourbe 90° MF</v>
      </c>
      <c r="E1947" s="76" t="s">
        <v>1710</v>
      </c>
      <c r="F1947" s="76">
        <v>8</v>
      </c>
      <c r="G1947" s="71" t="s">
        <v>1775</v>
      </c>
      <c r="H1947" s="71" t="s">
        <v>459</v>
      </c>
      <c r="I1947" s="71">
        <v>181076901</v>
      </c>
      <c r="J1947" s="70">
        <f>IFERROR(VLOOKUP(Devis[[#This Row],[Ref Air Flux]],#REF!,3,FALSE),0)</f>
        <v>0</v>
      </c>
      <c r="K1947" s="68"/>
      <c r="L1947" s="68"/>
      <c r="M1947" s="68"/>
      <c r="N1947" s="68"/>
      <c r="O1947" s="68"/>
      <c r="P1947" s="68"/>
      <c r="Q1947" s="68">
        <f>SUM(Devis[[#This Row],[Poste 1]:[Poste 6]])</f>
        <v>0</v>
      </c>
      <c r="R1947" s="71">
        <v>2</v>
      </c>
      <c r="S1947" s="68">
        <f>_xlfn.CEILING.MATH(Devis[[#This Row],[Quantité Totale]],Devis[[#This Row],[Conditionnement]])</f>
        <v>0</v>
      </c>
      <c r="T1947" s="72"/>
      <c r="U1947" s="73"/>
      <c r="V1947" s="74">
        <f>Devis[[#This Row],[Prix de Revient]]*Devis[[#This Row],[Poste 1]]</f>
        <v>0</v>
      </c>
      <c r="W1947" s="74">
        <f>Devis[[#This Row],[Prix de Revient]]*Devis[[#This Row],[Poste 2]]</f>
        <v>0</v>
      </c>
      <c r="X1947" s="74">
        <f>Devis[[#This Row],[Prix de Revient]]*Devis[[#This Row],[Poste 3]]</f>
        <v>0</v>
      </c>
      <c r="Y1947" s="74">
        <f>Devis[[#This Row],[Poste 4]]*Devis[[#This Row],[Prix de Revient]]</f>
        <v>0</v>
      </c>
      <c r="Z1947" s="74">
        <f>Devis[[#This Row],[Poste 5]]*Devis[[#This Row],[Prix de Revient]]</f>
        <v>0</v>
      </c>
      <c r="AA1947" s="74">
        <f>Devis[[#This Row],[Prix de Revient]]*Devis[[#This Row],[Poste 6]]</f>
        <v>0</v>
      </c>
      <c r="AB1947" s="74">
        <f>Devis[[#This Row],[Quantité Totale]]*Devis[[#This Row],[Prix de Revient]]</f>
        <v>0</v>
      </c>
    </row>
    <row r="1948" spans="1:28" ht="14.25" customHeight="1" outlineLevel="1" x14ac:dyDescent="0.2">
      <c r="A1948" s="75" t="s">
        <v>1647</v>
      </c>
      <c r="B1948" s="76" t="s">
        <v>1410</v>
      </c>
      <c r="C1948" s="76" t="s">
        <v>1410</v>
      </c>
      <c r="D1948" s="81" t="str">
        <f t="shared" si="34"/>
        <v>Inox Serti ItalienCourbe 90° MFCourbe 90° MF</v>
      </c>
      <c r="E1948" s="76" t="s">
        <v>1712</v>
      </c>
      <c r="F1948" s="76">
        <v>9</v>
      </c>
      <c r="G1948" s="71" t="s">
        <v>1776</v>
      </c>
      <c r="H1948" s="71" t="s">
        <v>459</v>
      </c>
      <c r="I1948" s="71">
        <v>1811088901</v>
      </c>
      <c r="J1948" s="70">
        <f>IFERROR(VLOOKUP(Devis[[#This Row],[Ref Air Flux]],#REF!,3,FALSE),0)</f>
        <v>0</v>
      </c>
      <c r="K1948" s="68"/>
      <c r="L1948" s="68"/>
      <c r="M1948" s="68"/>
      <c r="N1948" s="68"/>
      <c r="O1948" s="68"/>
      <c r="P1948" s="68"/>
      <c r="Q1948" s="68">
        <f>SUM(Devis[[#This Row],[Poste 1]:[Poste 6]])</f>
        <v>0</v>
      </c>
      <c r="R1948" s="71">
        <v>2</v>
      </c>
      <c r="S1948" s="68">
        <f>_xlfn.CEILING.MATH(Devis[[#This Row],[Quantité Totale]],Devis[[#This Row],[Conditionnement]])</f>
        <v>0</v>
      </c>
      <c r="T1948" s="72"/>
      <c r="U1948" s="73"/>
      <c r="V1948" s="74">
        <f>Devis[[#This Row],[Prix de Revient]]*Devis[[#This Row],[Poste 1]]</f>
        <v>0</v>
      </c>
      <c r="W1948" s="74">
        <f>Devis[[#This Row],[Prix de Revient]]*Devis[[#This Row],[Poste 2]]</f>
        <v>0</v>
      </c>
      <c r="X1948" s="74">
        <f>Devis[[#This Row],[Prix de Revient]]*Devis[[#This Row],[Poste 3]]</f>
        <v>0</v>
      </c>
      <c r="Y1948" s="74">
        <f>Devis[[#This Row],[Poste 4]]*Devis[[#This Row],[Prix de Revient]]</f>
        <v>0</v>
      </c>
      <c r="Z1948" s="74">
        <f>Devis[[#This Row],[Poste 5]]*Devis[[#This Row],[Prix de Revient]]</f>
        <v>0</v>
      </c>
      <c r="AA1948" s="74">
        <f>Devis[[#This Row],[Prix de Revient]]*Devis[[#This Row],[Poste 6]]</f>
        <v>0</v>
      </c>
      <c r="AB1948" s="74">
        <f>Devis[[#This Row],[Quantité Totale]]*Devis[[#This Row],[Prix de Revient]]</f>
        <v>0</v>
      </c>
    </row>
    <row r="1949" spans="1:28" ht="14.25" outlineLevel="1" x14ac:dyDescent="0.2">
      <c r="A1949" s="75" t="s">
        <v>1647</v>
      </c>
      <c r="B1949" s="76" t="s">
        <v>1410</v>
      </c>
      <c r="C1949" s="76" t="s">
        <v>1410</v>
      </c>
      <c r="D1949" s="81" t="str">
        <f t="shared" si="34"/>
        <v>Inox Serti ItalienCourbe 90° MFCourbe 90° MF</v>
      </c>
      <c r="E1949" s="76" t="s">
        <v>1714</v>
      </c>
      <c r="F1949" s="76">
        <v>10</v>
      </c>
      <c r="G1949" s="71" t="s">
        <v>1777</v>
      </c>
      <c r="H1949" s="71" t="s">
        <v>459</v>
      </c>
      <c r="I1949" s="71">
        <v>1811108901</v>
      </c>
      <c r="J1949" s="70">
        <f>IFERROR(VLOOKUP(Devis[[#This Row],[Ref Air Flux]],#REF!,3,FALSE),0)</f>
        <v>0</v>
      </c>
      <c r="K1949" s="68"/>
      <c r="L1949" s="68"/>
      <c r="M1949" s="68"/>
      <c r="N1949" s="68"/>
      <c r="O1949" s="68"/>
      <c r="P1949" s="68"/>
      <c r="Q1949" s="68">
        <f>SUM(Devis[[#This Row],[Poste 1]:[Poste 6]])</f>
        <v>0</v>
      </c>
      <c r="R1949" s="71">
        <v>2</v>
      </c>
      <c r="S1949" s="68">
        <f>_xlfn.CEILING.MATH(Devis[[#This Row],[Quantité Totale]],Devis[[#This Row],[Conditionnement]])</f>
        <v>0</v>
      </c>
      <c r="T1949" s="72"/>
      <c r="U1949" s="73"/>
      <c r="V1949" s="74">
        <f>Devis[[#This Row],[Prix de Revient]]*Devis[[#This Row],[Poste 1]]</f>
        <v>0</v>
      </c>
      <c r="W1949" s="74">
        <f>Devis[[#This Row],[Prix de Revient]]*Devis[[#This Row],[Poste 2]]</f>
        <v>0</v>
      </c>
      <c r="X1949" s="74">
        <f>Devis[[#This Row],[Prix de Revient]]*Devis[[#This Row],[Poste 3]]</f>
        <v>0</v>
      </c>
      <c r="Y1949" s="74">
        <f>Devis[[#This Row],[Poste 4]]*Devis[[#This Row],[Prix de Revient]]</f>
        <v>0</v>
      </c>
      <c r="Z1949" s="74">
        <f>Devis[[#This Row],[Poste 5]]*Devis[[#This Row],[Prix de Revient]]</f>
        <v>0</v>
      </c>
      <c r="AA1949" s="74">
        <f>Devis[[#This Row],[Prix de Revient]]*Devis[[#This Row],[Poste 6]]</f>
        <v>0</v>
      </c>
      <c r="AB1949" s="74">
        <f>Devis[[#This Row],[Quantité Totale]]*Devis[[#This Row],[Prix de Revient]]</f>
        <v>0</v>
      </c>
    </row>
    <row r="1950" spans="1:28" ht="14.25" customHeight="1" x14ac:dyDescent="0.25">
      <c r="A1950" s="65" t="s">
        <v>1647</v>
      </c>
      <c r="B1950" s="65" t="s">
        <v>1438</v>
      </c>
      <c r="C1950" s="76" t="s">
        <v>1438</v>
      </c>
      <c r="D1950" s="81" t="str">
        <f t="shared" si="34"/>
        <v>Inox Serti ItalienCourbe mixte FMCourbe mixte FM</v>
      </c>
      <c r="E1950" s="76"/>
      <c r="F1950" s="76">
        <v>0</v>
      </c>
      <c r="G1950" s="71"/>
      <c r="H1950" s="71"/>
      <c r="I1950" s="71"/>
      <c r="J1950" s="70">
        <f>IFERROR(VLOOKUP(Devis[[#This Row],[Ref Air Flux]],#REF!,3,FALSE),0)</f>
        <v>0</v>
      </c>
      <c r="K1950" s="68"/>
      <c r="L1950" s="68"/>
      <c r="M1950" s="68"/>
      <c r="N1950" s="68"/>
      <c r="O1950" s="68"/>
      <c r="P1950" s="68"/>
      <c r="Q1950" s="68">
        <f>SUM(Devis[[#This Row],[Poste 1]:[Poste 6]])</f>
        <v>0</v>
      </c>
      <c r="R1950" s="71"/>
      <c r="S1950" s="68">
        <f>_xlfn.CEILING.MATH(Devis[[#This Row],[Quantité Totale]],Devis[[#This Row],[Conditionnement]])</f>
        <v>0</v>
      </c>
      <c r="T1950" s="72"/>
      <c r="U1950" s="73"/>
      <c r="V1950" s="74">
        <f>Devis[[#This Row],[Prix de Revient]]*Devis[[#This Row],[Poste 1]]</f>
        <v>0</v>
      </c>
      <c r="W1950" s="74">
        <f>Devis[[#This Row],[Prix de Revient]]*Devis[[#This Row],[Poste 2]]</f>
        <v>0</v>
      </c>
      <c r="X1950" s="74">
        <f>Devis[[#This Row],[Prix de Revient]]*Devis[[#This Row],[Poste 3]]</f>
        <v>0</v>
      </c>
      <c r="Y1950" s="74">
        <f>Devis[[#This Row],[Poste 4]]*Devis[[#This Row],[Prix de Revient]]</f>
        <v>0</v>
      </c>
      <c r="Z1950" s="74">
        <f>Devis[[#This Row],[Poste 5]]*Devis[[#This Row],[Prix de Revient]]</f>
        <v>0</v>
      </c>
      <c r="AA1950" s="74">
        <f>Devis[[#This Row],[Prix de Revient]]*Devis[[#This Row],[Poste 6]]</f>
        <v>0</v>
      </c>
      <c r="AB1950" s="74">
        <f>Devis[[#This Row],[Quantité Totale]]*Devis[[#This Row],[Prix de Revient]]</f>
        <v>0</v>
      </c>
    </row>
    <row r="1951" spans="1:28" ht="14.25" outlineLevel="1" x14ac:dyDescent="0.2">
      <c r="A1951" s="75" t="s">
        <v>1647</v>
      </c>
      <c r="B1951" s="76" t="s">
        <v>1438</v>
      </c>
      <c r="C1951" s="76" t="s">
        <v>1438</v>
      </c>
      <c r="D1951" s="81" t="str">
        <f t="shared" si="34"/>
        <v>Inox Serti ItalienCourbe mixte FMCourbe mixte FM</v>
      </c>
      <c r="E1951" s="76" t="s">
        <v>1778</v>
      </c>
      <c r="F1951" s="76">
        <v>1</v>
      </c>
      <c r="G1951" s="71" t="s">
        <v>1779</v>
      </c>
      <c r="H1951" s="71" t="s">
        <v>459</v>
      </c>
      <c r="I1951" s="71">
        <v>186102015</v>
      </c>
      <c r="J1951" s="70">
        <f>IFERROR(VLOOKUP(Devis[[#This Row],[Ref Air Flux]],#REF!,3,FALSE),0)</f>
        <v>0</v>
      </c>
      <c r="K1951" s="68"/>
      <c r="L1951" s="68"/>
      <c r="M1951" s="68"/>
      <c r="N1951" s="68"/>
      <c r="O1951" s="68"/>
      <c r="P1951" s="68"/>
      <c r="Q1951" s="68">
        <f>SUM(Devis[[#This Row],[Poste 1]:[Poste 6]])</f>
        <v>0</v>
      </c>
      <c r="R1951" s="71">
        <v>20</v>
      </c>
      <c r="S1951" s="68">
        <f>_xlfn.CEILING.MATH(Devis[[#This Row],[Quantité Totale]],Devis[[#This Row],[Conditionnement]])</f>
        <v>0</v>
      </c>
      <c r="T1951" s="72"/>
      <c r="U1951" s="73"/>
      <c r="V1951" s="74">
        <f>Devis[[#This Row],[Prix de Revient]]*Devis[[#This Row],[Poste 1]]</f>
        <v>0</v>
      </c>
      <c r="W1951" s="74">
        <f>Devis[[#This Row],[Prix de Revient]]*Devis[[#This Row],[Poste 2]]</f>
        <v>0</v>
      </c>
      <c r="X1951" s="74">
        <f>Devis[[#This Row],[Prix de Revient]]*Devis[[#This Row],[Poste 3]]</f>
        <v>0</v>
      </c>
      <c r="Y1951" s="74">
        <f>Devis[[#This Row],[Poste 4]]*Devis[[#This Row],[Prix de Revient]]</f>
        <v>0</v>
      </c>
      <c r="Z1951" s="74">
        <f>Devis[[#This Row],[Poste 5]]*Devis[[#This Row],[Prix de Revient]]</f>
        <v>0</v>
      </c>
      <c r="AA1951" s="74">
        <f>Devis[[#This Row],[Prix de Revient]]*Devis[[#This Row],[Poste 6]]</f>
        <v>0</v>
      </c>
      <c r="AB1951" s="74">
        <f>Devis[[#This Row],[Quantité Totale]]*Devis[[#This Row],[Prix de Revient]]</f>
        <v>0</v>
      </c>
    </row>
    <row r="1952" spans="1:28" ht="15" customHeight="1" outlineLevel="1" x14ac:dyDescent="0.2">
      <c r="A1952" s="75" t="s">
        <v>1647</v>
      </c>
      <c r="B1952" s="76" t="s">
        <v>1438</v>
      </c>
      <c r="C1952" s="76" t="s">
        <v>1438</v>
      </c>
      <c r="D1952" s="81" t="str">
        <f t="shared" si="34"/>
        <v>Inox Serti ItalienCourbe mixte FMCourbe mixte FM</v>
      </c>
      <c r="E1952" s="76" t="s">
        <v>1780</v>
      </c>
      <c r="F1952" s="76">
        <v>2</v>
      </c>
      <c r="G1952" s="71" t="s">
        <v>1781</v>
      </c>
      <c r="H1952" s="71" t="s">
        <v>459</v>
      </c>
      <c r="I1952" s="71">
        <v>186102018</v>
      </c>
      <c r="J1952" s="70">
        <f>IFERROR(VLOOKUP(Devis[[#This Row],[Ref Air Flux]],#REF!,3,FALSE),0)</f>
        <v>0</v>
      </c>
      <c r="K1952" s="68"/>
      <c r="L1952" s="68"/>
      <c r="M1952" s="68"/>
      <c r="N1952" s="68"/>
      <c r="O1952" s="68"/>
      <c r="P1952" s="68"/>
      <c r="Q1952" s="68">
        <f>SUM(Devis[[#This Row],[Poste 1]:[Poste 6]])</f>
        <v>0</v>
      </c>
      <c r="R1952" s="71">
        <v>20</v>
      </c>
      <c r="S1952" s="68">
        <f>_xlfn.CEILING.MATH(Devis[[#This Row],[Quantité Totale]],Devis[[#This Row],[Conditionnement]])</f>
        <v>0</v>
      </c>
      <c r="T1952" s="72"/>
      <c r="U1952" s="73"/>
      <c r="V1952" s="74">
        <f>Devis[[#This Row],[Prix de Revient]]*Devis[[#This Row],[Poste 1]]</f>
        <v>0</v>
      </c>
      <c r="W1952" s="74">
        <f>Devis[[#This Row],[Prix de Revient]]*Devis[[#This Row],[Poste 2]]</f>
        <v>0</v>
      </c>
      <c r="X1952" s="74">
        <f>Devis[[#This Row],[Prix de Revient]]*Devis[[#This Row],[Poste 3]]</f>
        <v>0</v>
      </c>
      <c r="Y1952" s="74">
        <f>Devis[[#This Row],[Poste 4]]*Devis[[#This Row],[Prix de Revient]]</f>
        <v>0</v>
      </c>
      <c r="Z1952" s="74">
        <f>Devis[[#This Row],[Poste 5]]*Devis[[#This Row],[Prix de Revient]]</f>
        <v>0</v>
      </c>
      <c r="AA1952" s="74">
        <f>Devis[[#This Row],[Prix de Revient]]*Devis[[#This Row],[Poste 6]]</f>
        <v>0</v>
      </c>
      <c r="AB1952" s="74">
        <f>Devis[[#This Row],[Quantité Totale]]*Devis[[#This Row],[Prix de Revient]]</f>
        <v>0</v>
      </c>
    </row>
    <row r="1953" spans="1:28" ht="14.25" outlineLevel="1" x14ac:dyDescent="0.2">
      <c r="A1953" s="75" t="s">
        <v>1647</v>
      </c>
      <c r="B1953" s="76" t="s">
        <v>1438</v>
      </c>
      <c r="C1953" s="76" t="s">
        <v>1438</v>
      </c>
      <c r="D1953" s="81" t="str">
        <f t="shared" si="34"/>
        <v>Inox Serti ItalienCourbe mixte FMCourbe mixte FM</v>
      </c>
      <c r="E1953" s="76" t="s">
        <v>1782</v>
      </c>
      <c r="F1953" s="76">
        <v>3</v>
      </c>
      <c r="G1953" s="71" t="s">
        <v>1783</v>
      </c>
      <c r="H1953" s="71" t="s">
        <v>459</v>
      </c>
      <c r="I1953" s="71">
        <v>186304022</v>
      </c>
      <c r="J1953" s="70">
        <f>IFERROR(VLOOKUP(Devis[[#This Row],[Ref Air Flux]],#REF!,3,FALSE),0)</f>
        <v>0</v>
      </c>
      <c r="K1953" s="68"/>
      <c r="L1953" s="68"/>
      <c r="M1953" s="68"/>
      <c r="N1953" s="68"/>
      <c r="O1953" s="68"/>
      <c r="P1953" s="68"/>
      <c r="Q1953" s="68">
        <f>SUM(Devis[[#This Row],[Poste 1]:[Poste 6]])</f>
        <v>0</v>
      </c>
      <c r="R1953" s="71">
        <v>10</v>
      </c>
      <c r="S1953" s="68">
        <f>_xlfn.CEILING.MATH(Devis[[#This Row],[Quantité Totale]],Devis[[#This Row],[Conditionnement]])</f>
        <v>0</v>
      </c>
      <c r="T1953" s="72"/>
      <c r="U1953" s="73"/>
      <c r="V1953" s="74">
        <f>Devis[[#This Row],[Prix de Revient]]*Devis[[#This Row],[Poste 1]]</f>
        <v>0</v>
      </c>
      <c r="W1953" s="74">
        <f>Devis[[#This Row],[Prix de Revient]]*Devis[[#This Row],[Poste 2]]</f>
        <v>0</v>
      </c>
      <c r="X1953" s="74">
        <f>Devis[[#This Row],[Prix de Revient]]*Devis[[#This Row],[Poste 3]]</f>
        <v>0</v>
      </c>
      <c r="Y1953" s="74">
        <f>Devis[[#This Row],[Poste 4]]*Devis[[#This Row],[Prix de Revient]]</f>
        <v>0</v>
      </c>
      <c r="Z1953" s="74">
        <f>Devis[[#This Row],[Poste 5]]*Devis[[#This Row],[Prix de Revient]]</f>
        <v>0</v>
      </c>
      <c r="AA1953" s="74">
        <f>Devis[[#This Row],[Prix de Revient]]*Devis[[#This Row],[Poste 6]]</f>
        <v>0</v>
      </c>
      <c r="AB1953" s="74">
        <f>Devis[[#This Row],[Quantité Totale]]*Devis[[#This Row],[Prix de Revient]]</f>
        <v>0</v>
      </c>
    </row>
    <row r="1954" spans="1:28" ht="14.25" outlineLevel="1" x14ac:dyDescent="0.2">
      <c r="A1954" s="75" t="s">
        <v>1647</v>
      </c>
      <c r="B1954" s="76" t="s">
        <v>1438</v>
      </c>
      <c r="C1954" s="76" t="s">
        <v>1438</v>
      </c>
      <c r="D1954" s="81" t="str">
        <f t="shared" si="34"/>
        <v>Inox Serti ItalienCourbe mixte FMCourbe mixte FM</v>
      </c>
      <c r="E1954" s="76" t="s">
        <v>1784</v>
      </c>
      <c r="F1954" s="76">
        <v>4</v>
      </c>
      <c r="G1954" s="71" t="s">
        <v>1785</v>
      </c>
      <c r="H1954" s="71" t="s">
        <v>459</v>
      </c>
      <c r="I1954" s="71">
        <v>186100028</v>
      </c>
      <c r="J1954" s="70">
        <f>IFERROR(VLOOKUP(Devis[[#This Row],[Ref Air Flux]],#REF!,3,FALSE),0)</f>
        <v>0</v>
      </c>
      <c r="K1954" s="68"/>
      <c r="L1954" s="68"/>
      <c r="M1954" s="68"/>
      <c r="N1954" s="68"/>
      <c r="O1954" s="68"/>
      <c r="P1954" s="68"/>
      <c r="Q1954" s="68">
        <f>SUM(Devis[[#This Row],[Poste 1]:[Poste 6]])</f>
        <v>0</v>
      </c>
      <c r="R1954" s="71">
        <v>10</v>
      </c>
      <c r="S1954" s="68">
        <f>_xlfn.CEILING.MATH(Devis[[#This Row],[Quantité Totale]],Devis[[#This Row],[Conditionnement]])</f>
        <v>0</v>
      </c>
      <c r="T1954" s="72"/>
      <c r="U1954" s="73"/>
      <c r="V1954" s="74">
        <f>Devis[[#This Row],[Prix de Revient]]*Devis[[#This Row],[Poste 1]]</f>
        <v>0</v>
      </c>
      <c r="W1954" s="74">
        <f>Devis[[#This Row],[Prix de Revient]]*Devis[[#This Row],[Poste 2]]</f>
        <v>0</v>
      </c>
      <c r="X1954" s="74">
        <f>Devis[[#This Row],[Prix de Revient]]*Devis[[#This Row],[Poste 3]]</f>
        <v>0</v>
      </c>
      <c r="Y1954" s="74">
        <f>Devis[[#This Row],[Poste 4]]*Devis[[#This Row],[Prix de Revient]]</f>
        <v>0</v>
      </c>
      <c r="Z1954" s="74">
        <f>Devis[[#This Row],[Poste 5]]*Devis[[#This Row],[Prix de Revient]]</f>
        <v>0</v>
      </c>
      <c r="AA1954" s="74">
        <f>Devis[[#This Row],[Prix de Revient]]*Devis[[#This Row],[Poste 6]]</f>
        <v>0</v>
      </c>
      <c r="AB1954" s="74">
        <f>Devis[[#This Row],[Quantité Totale]]*Devis[[#This Row],[Prix de Revient]]</f>
        <v>0</v>
      </c>
    </row>
    <row r="1955" spans="1:28" ht="14.25" outlineLevel="1" x14ac:dyDescent="0.2">
      <c r="A1955" s="75" t="s">
        <v>1647</v>
      </c>
      <c r="B1955" s="76" t="s">
        <v>1438</v>
      </c>
      <c r="C1955" s="76" t="s">
        <v>1438</v>
      </c>
      <c r="D1955" s="81" t="str">
        <f t="shared" si="34"/>
        <v>Inox Serti ItalienCourbe mixte FMCourbe mixte FM</v>
      </c>
      <c r="E1955" s="76" t="s">
        <v>1786</v>
      </c>
      <c r="F1955" s="76">
        <v>5</v>
      </c>
      <c r="G1955" s="71" t="s">
        <v>1787</v>
      </c>
      <c r="H1955" s="71" t="s">
        <v>459</v>
      </c>
      <c r="I1955" s="71">
        <v>186100035</v>
      </c>
      <c r="J1955" s="70">
        <f>IFERROR(VLOOKUP(Devis[[#This Row],[Ref Air Flux]],#REF!,3,FALSE),0)</f>
        <v>0</v>
      </c>
      <c r="K1955" s="68"/>
      <c r="L1955" s="68"/>
      <c r="M1955" s="68"/>
      <c r="N1955" s="68"/>
      <c r="O1955" s="68"/>
      <c r="P1955" s="68"/>
      <c r="Q1955" s="68">
        <f>SUM(Devis[[#This Row],[Poste 1]:[Poste 6]])</f>
        <v>0</v>
      </c>
      <c r="R1955" s="71">
        <v>5</v>
      </c>
      <c r="S1955" s="68">
        <f>_xlfn.CEILING.MATH(Devis[[#This Row],[Quantité Totale]],Devis[[#This Row],[Conditionnement]])</f>
        <v>0</v>
      </c>
      <c r="T1955" s="72"/>
      <c r="U1955" s="73"/>
      <c r="V1955" s="74">
        <f>Devis[[#This Row],[Prix de Revient]]*Devis[[#This Row],[Poste 1]]</f>
        <v>0</v>
      </c>
      <c r="W1955" s="74">
        <f>Devis[[#This Row],[Prix de Revient]]*Devis[[#This Row],[Poste 2]]</f>
        <v>0</v>
      </c>
      <c r="X1955" s="74">
        <f>Devis[[#This Row],[Prix de Revient]]*Devis[[#This Row],[Poste 3]]</f>
        <v>0</v>
      </c>
      <c r="Y1955" s="74">
        <f>Devis[[#This Row],[Poste 4]]*Devis[[#This Row],[Prix de Revient]]</f>
        <v>0</v>
      </c>
      <c r="Z1955" s="74">
        <f>Devis[[#This Row],[Poste 5]]*Devis[[#This Row],[Prix de Revient]]</f>
        <v>0</v>
      </c>
      <c r="AA1955" s="74">
        <f>Devis[[#This Row],[Prix de Revient]]*Devis[[#This Row],[Poste 6]]</f>
        <v>0</v>
      </c>
      <c r="AB1955" s="74">
        <f>Devis[[#This Row],[Quantité Totale]]*Devis[[#This Row],[Prix de Revient]]</f>
        <v>0</v>
      </c>
    </row>
    <row r="1956" spans="1:28" ht="14.25" outlineLevel="1" x14ac:dyDescent="0.2">
      <c r="A1956" s="75" t="s">
        <v>1647</v>
      </c>
      <c r="B1956" s="76" t="s">
        <v>1438</v>
      </c>
      <c r="C1956" s="76" t="s">
        <v>1438</v>
      </c>
      <c r="D1956" s="81" t="str">
        <f t="shared" si="34"/>
        <v>Inox Serti ItalienCourbe mixte FMCourbe mixte FM</v>
      </c>
      <c r="E1956" s="76" t="s">
        <v>5324</v>
      </c>
      <c r="F1956" s="76">
        <v>6</v>
      </c>
      <c r="G1956" s="71" t="s">
        <v>1788</v>
      </c>
      <c r="H1956" s="71" t="s">
        <v>459</v>
      </c>
      <c r="I1956" s="71">
        <v>186114035</v>
      </c>
      <c r="J1956" s="70">
        <f>IFERROR(VLOOKUP(Devis[[#This Row],[Ref Air Flux]],#REF!,3,FALSE),0)</f>
        <v>0</v>
      </c>
      <c r="K1956" s="68"/>
      <c r="L1956" s="68"/>
      <c r="M1956" s="68"/>
      <c r="N1956" s="68"/>
      <c r="O1956" s="68"/>
      <c r="P1956" s="68"/>
      <c r="Q1956" s="68">
        <f>SUM(Devis[[#This Row],[Poste 1]:[Poste 6]])</f>
        <v>0</v>
      </c>
      <c r="R1956" s="71">
        <v>5</v>
      </c>
      <c r="S1956" s="68">
        <f>_xlfn.CEILING.MATH(Devis[[#This Row],[Quantité Totale]],Devis[[#This Row],[Conditionnement]])</f>
        <v>0</v>
      </c>
      <c r="T1956" s="72"/>
      <c r="U1956" s="73"/>
      <c r="V1956" s="74">
        <f>Devis[[#This Row],[Prix de Revient]]*Devis[[#This Row],[Poste 1]]</f>
        <v>0</v>
      </c>
      <c r="W1956" s="74">
        <f>Devis[[#This Row],[Prix de Revient]]*Devis[[#This Row],[Poste 2]]</f>
        <v>0</v>
      </c>
      <c r="X1956" s="74">
        <f>Devis[[#This Row],[Prix de Revient]]*Devis[[#This Row],[Poste 3]]</f>
        <v>0</v>
      </c>
      <c r="Y1956" s="74">
        <f>Devis[[#This Row],[Poste 4]]*Devis[[#This Row],[Prix de Revient]]</f>
        <v>0</v>
      </c>
      <c r="Z1956" s="74">
        <f>Devis[[#This Row],[Poste 5]]*Devis[[#This Row],[Prix de Revient]]</f>
        <v>0</v>
      </c>
      <c r="AA1956" s="74">
        <f>Devis[[#This Row],[Prix de Revient]]*Devis[[#This Row],[Poste 6]]</f>
        <v>0</v>
      </c>
      <c r="AB1956" s="74">
        <f>Devis[[#This Row],[Quantité Totale]]*Devis[[#This Row],[Prix de Revient]]</f>
        <v>0</v>
      </c>
    </row>
    <row r="1957" spans="1:28" ht="14.25" customHeight="1" outlineLevel="1" x14ac:dyDescent="0.2">
      <c r="A1957" s="75" t="s">
        <v>1647</v>
      </c>
      <c r="B1957" s="76" t="s">
        <v>1438</v>
      </c>
      <c r="C1957" s="76" t="s">
        <v>1438</v>
      </c>
      <c r="D1957" s="81" t="str">
        <f t="shared" si="34"/>
        <v>Inox Serti ItalienCourbe mixte FMCourbe mixte FM</v>
      </c>
      <c r="E1957" s="76" t="s">
        <v>1789</v>
      </c>
      <c r="F1957" s="76">
        <v>7</v>
      </c>
      <c r="G1957" s="71" t="s">
        <v>1790</v>
      </c>
      <c r="H1957" s="71" t="s">
        <v>459</v>
      </c>
      <c r="I1957" s="71">
        <v>186114042</v>
      </c>
      <c r="J1957" s="70">
        <f>IFERROR(VLOOKUP(Devis[[#This Row],[Ref Air Flux]],#REF!,3,FALSE),0)</f>
        <v>0</v>
      </c>
      <c r="K1957" s="68"/>
      <c r="L1957" s="68"/>
      <c r="M1957" s="68"/>
      <c r="N1957" s="68"/>
      <c r="O1957" s="68"/>
      <c r="P1957" s="68"/>
      <c r="Q1957" s="68">
        <f>SUM(Devis[[#This Row],[Poste 1]:[Poste 6]])</f>
        <v>0</v>
      </c>
      <c r="R1957" s="71">
        <v>2</v>
      </c>
      <c r="S1957" s="68">
        <f>_xlfn.CEILING.MATH(Devis[[#This Row],[Quantité Totale]],Devis[[#This Row],[Conditionnement]])</f>
        <v>0</v>
      </c>
      <c r="T1957" s="72"/>
      <c r="U1957" s="73"/>
      <c r="V1957" s="74">
        <f>Devis[[#This Row],[Prix de Revient]]*Devis[[#This Row],[Poste 1]]</f>
        <v>0</v>
      </c>
      <c r="W1957" s="74">
        <f>Devis[[#This Row],[Prix de Revient]]*Devis[[#This Row],[Poste 2]]</f>
        <v>0</v>
      </c>
      <c r="X1957" s="74">
        <f>Devis[[#This Row],[Prix de Revient]]*Devis[[#This Row],[Poste 3]]</f>
        <v>0</v>
      </c>
      <c r="Y1957" s="74">
        <f>Devis[[#This Row],[Poste 4]]*Devis[[#This Row],[Prix de Revient]]</f>
        <v>0</v>
      </c>
      <c r="Z1957" s="74">
        <f>Devis[[#This Row],[Poste 5]]*Devis[[#This Row],[Prix de Revient]]</f>
        <v>0</v>
      </c>
      <c r="AA1957" s="74">
        <f>Devis[[#This Row],[Prix de Revient]]*Devis[[#This Row],[Poste 6]]</f>
        <v>0</v>
      </c>
      <c r="AB1957" s="74">
        <f>Devis[[#This Row],[Quantité Totale]]*Devis[[#This Row],[Prix de Revient]]</f>
        <v>0</v>
      </c>
    </row>
    <row r="1958" spans="1:28" ht="14.25" customHeight="1" outlineLevel="1" x14ac:dyDescent="0.2">
      <c r="A1958" s="75" t="s">
        <v>1647</v>
      </c>
      <c r="B1958" s="76" t="s">
        <v>1438</v>
      </c>
      <c r="C1958" s="76" t="s">
        <v>1438</v>
      </c>
      <c r="D1958" s="81" t="str">
        <f t="shared" si="34"/>
        <v>Inox Serti ItalienCourbe mixte FMCourbe mixte FM</v>
      </c>
      <c r="E1958" s="76" t="s">
        <v>1791</v>
      </c>
      <c r="F1958" s="76">
        <v>8</v>
      </c>
      <c r="G1958" s="71" t="s">
        <v>1792</v>
      </c>
      <c r="H1958" s="71" t="s">
        <v>459</v>
      </c>
      <c r="I1958" s="71">
        <v>186112042</v>
      </c>
      <c r="J1958" s="70">
        <f>IFERROR(VLOOKUP(Devis[[#This Row],[Ref Air Flux]],#REF!,3,FALSE),0)</f>
        <v>0</v>
      </c>
      <c r="K1958" s="68"/>
      <c r="L1958" s="68"/>
      <c r="M1958" s="68"/>
      <c r="N1958" s="68"/>
      <c r="O1958" s="68"/>
      <c r="P1958" s="68"/>
      <c r="Q1958" s="68">
        <f>SUM(Devis[[#This Row],[Poste 1]:[Poste 6]])</f>
        <v>0</v>
      </c>
      <c r="R1958" s="71">
        <v>2</v>
      </c>
      <c r="S1958" s="68">
        <f>_xlfn.CEILING.MATH(Devis[[#This Row],[Quantité Totale]],Devis[[#This Row],[Conditionnement]])</f>
        <v>0</v>
      </c>
      <c r="T1958" s="72"/>
      <c r="U1958" s="73"/>
      <c r="V1958" s="74">
        <f>Devis[[#This Row],[Prix de Revient]]*Devis[[#This Row],[Poste 1]]</f>
        <v>0</v>
      </c>
      <c r="W1958" s="74">
        <f>Devis[[#This Row],[Prix de Revient]]*Devis[[#This Row],[Poste 2]]</f>
        <v>0</v>
      </c>
      <c r="X1958" s="74">
        <f>Devis[[#This Row],[Prix de Revient]]*Devis[[#This Row],[Poste 3]]</f>
        <v>0</v>
      </c>
      <c r="Y1958" s="74">
        <f>Devis[[#This Row],[Poste 4]]*Devis[[#This Row],[Prix de Revient]]</f>
        <v>0</v>
      </c>
      <c r="Z1958" s="74">
        <f>Devis[[#This Row],[Poste 5]]*Devis[[#This Row],[Prix de Revient]]</f>
        <v>0</v>
      </c>
      <c r="AA1958" s="74">
        <f>Devis[[#This Row],[Prix de Revient]]*Devis[[#This Row],[Poste 6]]</f>
        <v>0</v>
      </c>
      <c r="AB1958" s="74">
        <f>Devis[[#This Row],[Quantité Totale]]*Devis[[#This Row],[Prix de Revient]]</f>
        <v>0</v>
      </c>
    </row>
    <row r="1959" spans="1:28" ht="14.25" customHeight="1" outlineLevel="1" x14ac:dyDescent="0.2">
      <c r="A1959" s="75" t="s">
        <v>1647</v>
      </c>
      <c r="B1959" s="76" t="s">
        <v>1438</v>
      </c>
      <c r="C1959" s="76" t="s">
        <v>1438</v>
      </c>
      <c r="D1959" s="81" t="str">
        <f t="shared" si="34"/>
        <v>Inox Serti ItalienCourbe mixte FMCourbe mixte FM</v>
      </c>
      <c r="E1959" s="76" t="s">
        <v>1793</v>
      </c>
      <c r="F1959" s="76">
        <v>9</v>
      </c>
      <c r="G1959" s="71" t="s">
        <v>1794</v>
      </c>
      <c r="H1959" s="71" t="s">
        <v>459</v>
      </c>
      <c r="I1959" s="71">
        <v>186200054</v>
      </c>
      <c r="J1959" s="70">
        <f>IFERROR(VLOOKUP(Devis[[#This Row],[Ref Air Flux]],#REF!,3,FALSE),0)</f>
        <v>0</v>
      </c>
      <c r="K1959" s="68"/>
      <c r="L1959" s="68"/>
      <c r="M1959" s="68"/>
      <c r="N1959" s="68"/>
      <c r="O1959" s="68"/>
      <c r="P1959" s="68"/>
      <c r="Q1959" s="68">
        <f>SUM(Devis[[#This Row],[Poste 1]:[Poste 6]])</f>
        <v>0</v>
      </c>
      <c r="R1959" s="71">
        <v>2</v>
      </c>
      <c r="S1959" s="68">
        <f>_xlfn.CEILING.MATH(Devis[[#This Row],[Quantité Totale]],Devis[[#This Row],[Conditionnement]])</f>
        <v>0</v>
      </c>
      <c r="T1959" s="72"/>
      <c r="U1959" s="73"/>
      <c r="V1959" s="74">
        <f>Devis[[#This Row],[Prix de Revient]]*Devis[[#This Row],[Poste 1]]</f>
        <v>0</v>
      </c>
      <c r="W1959" s="74">
        <f>Devis[[#This Row],[Prix de Revient]]*Devis[[#This Row],[Poste 2]]</f>
        <v>0</v>
      </c>
      <c r="X1959" s="74">
        <f>Devis[[#This Row],[Prix de Revient]]*Devis[[#This Row],[Poste 3]]</f>
        <v>0</v>
      </c>
      <c r="Y1959" s="74">
        <f>Devis[[#This Row],[Poste 4]]*Devis[[#This Row],[Prix de Revient]]</f>
        <v>0</v>
      </c>
      <c r="Z1959" s="74">
        <f>Devis[[#This Row],[Poste 5]]*Devis[[#This Row],[Prix de Revient]]</f>
        <v>0</v>
      </c>
      <c r="AA1959" s="74">
        <f>Devis[[#This Row],[Prix de Revient]]*Devis[[#This Row],[Poste 6]]</f>
        <v>0</v>
      </c>
      <c r="AB1959" s="74">
        <f>Devis[[#This Row],[Quantité Totale]]*Devis[[#This Row],[Prix de Revient]]</f>
        <v>0</v>
      </c>
    </row>
    <row r="1960" spans="1:28" ht="14.25" customHeight="1" x14ac:dyDescent="0.25">
      <c r="A1960" s="65" t="s">
        <v>1647</v>
      </c>
      <c r="B1960" s="65" t="s">
        <v>1448</v>
      </c>
      <c r="C1960" s="76" t="s">
        <v>1448</v>
      </c>
      <c r="D1960" s="81" t="str">
        <f t="shared" si="34"/>
        <v>Inox Serti ItalienCourbe45° MFCourbe45° MF</v>
      </c>
      <c r="E1960" s="76"/>
      <c r="F1960" s="76">
        <v>0</v>
      </c>
      <c r="G1960" s="71"/>
      <c r="H1960" s="71"/>
      <c r="I1960" s="71"/>
      <c r="J1960" s="70">
        <f>IFERROR(VLOOKUP(Devis[[#This Row],[Ref Air Flux]],#REF!,3,FALSE),0)</f>
        <v>0</v>
      </c>
      <c r="K1960" s="68"/>
      <c r="L1960" s="68"/>
      <c r="M1960" s="68"/>
      <c r="N1960" s="68"/>
      <c r="O1960" s="68"/>
      <c r="P1960" s="68"/>
      <c r="Q1960" s="68">
        <f>SUM(Devis[[#This Row],[Poste 1]:[Poste 6]])</f>
        <v>0</v>
      </c>
      <c r="R1960" s="71"/>
      <c r="S1960" s="68">
        <f>_xlfn.CEILING.MATH(Devis[[#This Row],[Quantité Totale]],Devis[[#This Row],[Conditionnement]])</f>
        <v>0</v>
      </c>
      <c r="T1960" s="72"/>
      <c r="U1960" s="73"/>
      <c r="V1960" s="74">
        <f>Devis[[#This Row],[Prix de Revient]]*Devis[[#This Row],[Poste 1]]</f>
        <v>0</v>
      </c>
      <c r="W1960" s="74">
        <f>Devis[[#This Row],[Prix de Revient]]*Devis[[#This Row],[Poste 2]]</f>
        <v>0</v>
      </c>
      <c r="X1960" s="74">
        <f>Devis[[#This Row],[Prix de Revient]]*Devis[[#This Row],[Poste 3]]</f>
        <v>0</v>
      </c>
      <c r="Y1960" s="74">
        <f>Devis[[#This Row],[Poste 4]]*Devis[[#This Row],[Prix de Revient]]</f>
        <v>0</v>
      </c>
      <c r="Z1960" s="74">
        <f>Devis[[#This Row],[Poste 5]]*Devis[[#This Row],[Prix de Revient]]</f>
        <v>0</v>
      </c>
      <c r="AA1960" s="74">
        <f>Devis[[#This Row],[Prix de Revient]]*Devis[[#This Row],[Poste 6]]</f>
        <v>0</v>
      </c>
      <c r="AB1960" s="74">
        <f>Devis[[#This Row],[Quantité Totale]]*Devis[[#This Row],[Prix de Revient]]</f>
        <v>0</v>
      </c>
    </row>
    <row r="1961" spans="1:28" ht="14.25" outlineLevel="1" x14ac:dyDescent="0.2">
      <c r="A1961" s="75" t="s">
        <v>1647</v>
      </c>
      <c r="B1961" s="76" t="s">
        <v>1448</v>
      </c>
      <c r="C1961" s="76" t="s">
        <v>1448</v>
      </c>
      <c r="D1961" s="81" t="str">
        <f t="shared" si="34"/>
        <v>Inox Serti ItalienCourbe45° MFCourbe45° MF</v>
      </c>
      <c r="E1961" s="76" t="s">
        <v>1648</v>
      </c>
      <c r="F1961" s="76">
        <v>1</v>
      </c>
      <c r="G1961" s="71" t="s">
        <v>1795</v>
      </c>
      <c r="H1961" s="71" t="s">
        <v>459</v>
      </c>
      <c r="I1961" s="71">
        <v>181015451</v>
      </c>
      <c r="J1961" s="70">
        <f>IFERROR(VLOOKUP(Devis[[#This Row],[Ref Air Flux]],#REF!,3,FALSE),0)</f>
        <v>0</v>
      </c>
      <c r="K1961" s="68"/>
      <c r="L1961" s="68"/>
      <c r="M1961" s="68"/>
      <c r="N1961" s="68"/>
      <c r="O1961" s="68"/>
      <c r="P1961" s="68"/>
      <c r="Q1961" s="68">
        <f>SUM(Devis[[#This Row],[Poste 1]:[Poste 6]])</f>
        <v>0</v>
      </c>
      <c r="R1961" s="71">
        <v>20</v>
      </c>
      <c r="S1961" s="68">
        <f>_xlfn.CEILING.MATH(Devis[[#This Row],[Quantité Totale]],Devis[[#This Row],[Conditionnement]])</f>
        <v>0</v>
      </c>
      <c r="T1961" s="72"/>
      <c r="U1961" s="73"/>
      <c r="V1961" s="74">
        <f>Devis[[#This Row],[Prix de Revient]]*Devis[[#This Row],[Poste 1]]</f>
        <v>0</v>
      </c>
      <c r="W1961" s="74">
        <f>Devis[[#This Row],[Prix de Revient]]*Devis[[#This Row],[Poste 2]]</f>
        <v>0</v>
      </c>
      <c r="X1961" s="74">
        <f>Devis[[#This Row],[Prix de Revient]]*Devis[[#This Row],[Poste 3]]</f>
        <v>0</v>
      </c>
      <c r="Y1961" s="74">
        <f>Devis[[#This Row],[Poste 4]]*Devis[[#This Row],[Prix de Revient]]</f>
        <v>0</v>
      </c>
      <c r="Z1961" s="74">
        <f>Devis[[#This Row],[Poste 5]]*Devis[[#This Row],[Prix de Revient]]</f>
        <v>0</v>
      </c>
      <c r="AA1961" s="74">
        <f>Devis[[#This Row],[Prix de Revient]]*Devis[[#This Row],[Poste 6]]</f>
        <v>0</v>
      </c>
      <c r="AB1961" s="74">
        <f>Devis[[#This Row],[Quantité Totale]]*Devis[[#This Row],[Prix de Revient]]</f>
        <v>0</v>
      </c>
    </row>
    <row r="1962" spans="1:28" ht="14.25" outlineLevel="1" x14ac:dyDescent="0.2">
      <c r="A1962" s="75" t="s">
        <v>1647</v>
      </c>
      <c r="B1962" s="76" t="s">
        <v>1448</v>
      </c>
      <c r="C1962" s="76" t="s">
        <v>1448</v>
      </c>
      <c r="D1962" s="81" t="str">
        <f t="shared" si="34"/>
        <v>Inox Serti ItalienCourbe45° MFCourbe45° MF</v>
      </c>
      <c r="E1962" s="76" t="s">
        <v>1650</v>
      </c>
      <c r="F1962" s="76">
        <v>2</v>
      </c>
      <c r="G1962" s="71" t="s">
        <v>1796</v>
      </c>
      <c r="H1962" s="71" t="s">
        <v>459</v>
      </c>
      <c r="I1962" s="71">
        <v>181018451</v>
      </c>
      <c r="J1962" s="70">
        <f>IFERROR(VLOOKUP(Devis[[#This Row],[Ref Air Flux]],#REF!,3,FALSE),0)</f>
        <v>0</v>
      </c>
      <c r="K1962" s="68"/>
      <c r="L1962" s="68"/>
      <c r="M1962" s="68"/>
      <c r="N1962" s="68"/>
      <c r="O1962" s="68"/>
      <c r="P1962" s="68"/>
      <c r="Q1962" s="68">
        <f>SUM(Devis[[#This Row],[Poste 1]:[Poste 6]])</f>
        <v>0</v>
      </c>
      <c r="R1962" s="71">
        <v>20</v>
      </c>
      <c r="S1962" s="68">
        <f>_xlfn.CEILING.MATH(Devis[[#This Row],[Quantité Totale]],Devis[[#This Row],[Conditionnement]])</f>
        <v>0</v>
      </c>
      <c r="T1962" s="72"/>
      <c r="U1962" s="73"/>
      <c r="V1962" s="74">
        <f>Devis[[#This Row],[Prix de Revient]]*Devis[[#This Row],[Poste 1]]</f>
        <v>0</v>
      </c>
      <c r="W1962" s="74">
        <f>Devis[[#This Row],[Prix de Revient]]*Devis[[#This Row],[Poste 2]]</f>
        <v>0</v>
      </c>
      <c r="X1962" s="74">
        <f>Devis[[#This Row],[Prix de Revient]]*Devis[[#This Row],[Poste 3]]</f>
        <v>0</v>
      </c>
      <c r="Y1962" s="74">
        <f>Devis[[#This Row],[Poste 4]]*Devis[[#This Row],[Prix de Revient]]</f>
        <v>0</v>
      </c>
      <c r="Z1962" s="74">
        <f>Devis[[#This Row],[Poste 5]]*Devis[[#This Row],[Prix de Revient]]</f>
        <v>0</v>
      </c>
      <c r="AA1962" s="74">
        <f>Devis[[#This Row],[Prix de Revient]]*Devis[[#This Row],[Poste 6]]</f>
        <v>0</v>
      </c>
      <c r="AB1962" s="74">
        <f>Devis[[#This Row],[Quantité Totale]]*Devis[[#This Row],[Prix de Revient]]</f>
        <v>0</v>
      </c>
    </row>
    <row r="1963" spans="1:28" ht="14.25" outlineLevel="1" x14ac:dyDescent="0.2">
      <c r="A1963" s="75" t="s">
        <v>1647</v>
      </c>
      <c r="B1963" s="76" t="s">
        <v>1448</v>
      </c>
      <c r="C1963" s="76" t="s">
        <v>1448</v>
      </c>
      <c r="D1963" s="81" t="str">
        <f t="shared" si="34"/>
        <v>Inox Serti ItalienCourbe45° MFCourbe45° MF</v>
      </c>
      <c r="E1963" s="76" t="s">
        <v>1652</v>
      </c>
      <c r="F1963" s="76">
        <v>3</v>
      </c>
      <c r="G1963" s="71" t="s">
        <v>1797</v>
      </c>
      <c r="H1963" s="71" t="s">
        <v>459</v>
      </c>
      <c r="I1963" s="71">
        <v>181022451</v>
      </c>
      <c r="J1963" s="70">
        <f>IFERROR(VLOOKUP(Devis[[#This Row],[Ref Air Flux]],#REF!,3,FALSE),0)</f>
        <v>0</v>
      </c>
      <c r="K1963" s="68"/>
      <c r="L1963" s="68"/>
      <c r="M1963" s="68"/>
      <c r="N1963" s="68"/>
      <c r="O1963" s="68"/>
      <c r="P1963" s="68"/>
      <c r="Q1963" s="68">
        <f>SUM(Devis[[#This Row],[Poste 1]:[Poste 6]])</f>
        <v>0</v>
      </c>
      <c r="R1963" s="71">
        <v>20</v>
      </c>
      <c r="S1963" s="68">
        <f>_xlfn.CEILING.MATH(Devis[[#This Row],[Quantité Totale]],Devis[[#This Row],[Conditionnement]])</f>
        <v>0</v>
      </c>
      <c r="T1963" s="72"/>
      <c r="U1963" s="73"/>
      <c r="V1963" s="74">
        <f>Devis[[#This Row],[Prix de Revient]]*Devis[[#This Row],[Poste 1]]</f>
        <v>0</v>
      </c>
      <c r="W1963" s="74">
        <f>Devis[[#This Row],[Prix de Revient]]*Devis[[#This Row],[Poste 2]]</f>
        <v>0</v>
      </c>
      <c r="X1963" s="74">
        <f>Devis[[#This Row],[Prix de Revient]]*Devis[[#This Row],[Poste 3]]</f>
        <v>0</v>
      </c>
      <c r="Y1963" s="74">
        <f>Devis[[#This Row],[Poste 4]]*Devis[[#This Row],[Prix de Revient]]</f>
        <v>0</v>
      </c>
      <c r="Z1963" s="74">
        <f>Devis[[#This Row],[Poste 5]]*Devis[[#This Row],[Prix de Revient]]</f>
        <v>0</v>
      </c>
      <c r="AA1963" s="74">
        <f>Devis[[#This Row],[Prix de Revient]]*Devis[[#This Row],[Poste 6]]</f>
        <v>0</v>
      </c>
      <c r="AB1963" s="74">
        <f>Devis[[#This Row],[Quantité Totale]]*Devis[[#This Row],[Prix de Revient]]</f>
        <v>0</v>
      </c>
    </row>
    <row r="1964" spans="1:28" ht="14.25" outlineLevel="1" x14ac:dyDescent="0.2">
      <c r="A1964" s="75" t="s">
        <v>1647</v>
      </c>
      <c r="B1964" s="76" t="s">
        <v>1448</v>
      </c>
      <c r="C1964" s="76" t="s">
        <v>1448</v>
      </c>
      <c r="D1964" s="81" t="str">
        <f t="shared" si="34"/>
        <v>Inox Serti ItalienCourbe45° MFCourbe45° MF</v>
      </c>
      <c r="E1964" s="76" t="s">
        <v>1704</v>
      </c>
      <c r="F1964" s="76">
        <v>4</v>
      </c>
      <c r="G1964" s="71" t="s">
        <v>1798</v>
      </c>
      <c r="H1964" s="71" t="s">
        <v>459</v>
      </c>
      <c r="I1964" s="71">
        <v>181028451</v>
      </c>
      <c r="J1964" s="70">
        <f>IFERROR(VLOOKUP(Devis[[#This Row],[Ref Air Flux]],#REF!,3,FALSE),0)</f>
        <v>0</v>
      </c>
      <c r="K1964" s="68"/>
      <c r="L1964" s="68"/>
      <c r="M1964" s="68"/>
      <c r="N1964" s="68"/>
      <c r="O1964" s="68"/>
      <c r="P1964" s="68"/>
      <c r="Q1964" s="68">
        <f>SUM(Devis[[#This Row],[Poste 1]:[Poste 6]])</f>
        <v>0</v>
      </c>
      <c r="R1964" s="71">
        <v>10</v>
      </c>
      <c r="S1964" s="68">
        <f>_xlfn.CEILING.MATH(Devis[[#This Row],[Quantité Totale]],Devis[[#This Row],[Conditionnement]])</f>
        <v>0</v>
      </c>
      <c r="T1964" s="72"/>
      <c r="U1964" s="73"/>
      <c r="V1964" s="74">
        <f>Devis[[#This Row],[Prix de Revient]]*Devis[[#This Row],[Poste 1]]</f>
        <v>0</v>
      </c>
      <c r="W1964" s="74">
        <f>Devis[[#This Row],[Prix de Revient]]*Devis[[#This Row],[Poste 2]]</f>
        <v>0</v>
      </c>
      <c r="X1964" s="74">
        <f>Devis[[#This Row],[Prix de Revient]]*Devis[[#This Row],[Poste 3]]</f>
        <v>0</v>
      </c>
      <c r="Y1964" s="74">
        <f>Devis[[#This Row],[Poste 4]]*Devis[[#This Row],[Prix de Revient]]</f>
        <v>0</v>
      </c>
      <c r="Z1964" s="74">
        <f>Devis[[#This Row],[Poste 5]]*Devis[[#This Row],[Prix de Revient]]</f>
        <v>0</v>
      </c>
      <c r="AA1964" s="74">
        <f>Devis[[#This Row],[Prix de Revient]]*Devis[[#This Row],[Poste 6]]</f>
        <v>0</v>
      </c>
      <c r="AB1964" s="74">
        <f>Devis[[#This Row],[Quantité Totale]]*Devis[[#This Row],[Prix de Revient]]</f>
        <v>0</v>
      </c>
    </row>
    <row r="1965" spans="1:28" ht="14.25" outlineLevel="1" x14ac:dyDescent="0.2">
      <c r="A1965" s="75" t="s">
        <v>1647</v>
      </c>
      <c r="B1965" s="76" t="s">
        <v>1448</v>
      </c>
      <c r="C1965" s="76" t="s">
        <v>1448</v>
      </c>
      <c r="D1965" s="81" t="str">
        <f t="shared" si="34"/>
        <v>Inox Serti ItalienCourbe45° MFCourbe45° MF</v>
      </c>
      <c r="E1965" s="76" t="s">
        <v>1655</v>
      </c>
      <c r="F1965" s="76">
        <v>5</v>
      </c>
      <c r="G1965" s="71" t="s">
        <v>1799</v>
      </c>
      <c r="H1965" s="71" t="s">
        <v>459</v>
      </c>
      <c r="I1965" s="71">
        <v>181035451</v>
      </c>
      <c r="J1965" s="70">
        <f>IFERROR(VLOOKUP(Devis[[#This Row],[Ref Air Flux]],#REF!,3,FALSE),0)</f>
        <v>0</v>
      </c>
      <c r="K1965" s="68"/>
      <c r="L1965" s="68"/>
      <c r="M1965" s="68"/>
      <c r="N1965" s="68"/>
      <c r="O1965" s="68"/>
      <c r="P1965" s="68"/>
      <c r="Q1965" s="68">
        <f>SUM(Devis[[#This Row],[Poste 1]:[Poste 6]])</f>
        <v>0</v>
      </c>
      <c r="R1965" s="71">
        <v>10</v>
      </c>
      <c r="S1965" s="68">
        <f>_xlfn.CEILING.MATH(Devis[[#This Row],[Quantité Totale]],Devis[[#This Row],[Conditionnement]])</f>
        <v>0</v>
      </c>
      <c r="T1965" s="72"/>
      <c r="U1965" s="73"/>
      <c r="V1965" s="74">
        <f>Devis[[#This Row],[Prix de Revient]]*Devis[[#This Row],[Poste 1]]</f>
        <v>0</v>
      </c>
      <c r="W1965" s="74">
        <f>Devis[[#This Row],[Prix de Revient]]*Devis[[#This Row],[Poste 2]]</f>
        <v>0</v>
      </c>
      <c r="X1965" s="74">
        <f>Devis[[#This Row],[Prix de Revient]]*Devis[[#This Row],[Poste 3]]</f>
        <v>0</v>
      </c>
      <c r="Y1965" s="74">
        <f>Devis[[#This Row],[Poste 4]]*Devis[[#This Row],[Prix de Revient]]</f>
        <v>0</v>
      </c>
      <c r="Z1965" s="74">
        <f>Devis[[#This Row],[Poste 5]]*Devis[[#This Row],[Prix de Revient]]</f>
        <v>0</v>
      </c>
      <c r="AA1965" s="74">
        <f>Devis[[#This Row],[Prix de Revient]]*Devis[[#This Row],[Poste 6]]</f>
        <v>0</v>
      </c>
      <c r="AB1965" s="74">
        <f>Devis[[#This Row],[Quantité Totale]]*Devis[[#This Row],[Prix de Revient]]</f>
        <v>0</v>
      </c>
    </row>
    <row r="1966" spans="1:28" ht="14.25" outlineLevel="1" x14ac:dyDescent="0.2">
      <c r="A1966" s="75" t="s">
        <v>1647</v>
      </c>
      <c r="B1966" s="76" t="s">
        <v>1448</v>
      </c>
      <c r="C1966" s="76" t="s">
        <v>1448</v>
      </c>
      <c r="D1966" s="81" t="str">
        <f t="shared" si="34"/>
        <v>Inox Serti ItalienCourbe45° MFCourbe45° MF</v>
      </c>
      <c r="E1966" s="76" t="s">
        <v>1657</v>
      </c>
      <c r="F1966" s="76">
        <v>6</v>
      </c>
      <c r="G1966" s="71" t="s">
        <v>1800</v>
      </c>
      <c r="H1966" s="71" t="s">
        <v>459</v>
      </c>
      <c r="I1966" s="71">
        <v>181042451</v>
      </c>
      <c r="J1966" s="70">
        <f>IFERROR(VLOOKUP(Devis[[#This Row],[Ref Air Flux]],#REF!,3,FALSE),0)</f>
        <v>0</v>
      </c>
      <c r="K1966" s="68"/>
      <c r="L1966" s="68"/>
      <c r="M1966" s="68"/>
      <c r="N1966" s="68"/>
      <c r="O1966" s="68"/>
      <c r="P1966" s="68"/>
      <c r="Q1966" s="68">
        <f>SUM(Devis[[#This Row],[Poste 1]:[Poste 6]])</f>
        <v>0</v>
      </c>
      <c r="R1966" s="71">
        <v>4</v>
      </c>
      <c r="S1966" s="68">
        <f>_xlfn.CEILING.MATH(Devis[[#This Row],[Quantité Totale]],Devis[[#This Row],[Conditionnement]])</f>
        <v>0</v>
      </c>
      <c r="T1966" s="72"/>
      <c r="U1966" s="73"/>
      <c r="V1966" s="74">
        <f>Devis[[#This Row],[Prix de Revient]]*Devis[[#This Row],[Poste 1]]</f>
        <v>0</v>
      </c>
      <c r="W1966" s="74">
        <f>Devis[[#This Row],[Prix de Revient]]*Devis[[#This Row],[Poste 2]]</f>
        <v>0</v>
      </c>
      <c r="X1966" s="74">
        <f>Devis[[#This Row],[Prix de Revient]]*Devis[[#This Row],[Poste 3]]</f>
        <v>0</v>
      </c>
      <c r="Y1966" s="74">
        <f>Devis[[#This Row],[Poste 4]]*Devis[[#This Row],[Prix de Revient]]</f>
        <v>0</v>
      </c>
      <c r="Z1966" s="74">
        <f>Devis[[#This Row],[Poste 5]]*Devis[[#This Row],[Prix de Revient]]</f>
        <v>0</v>
      </c>
      <c r="AA1966" s="74">
        <f>Devis[[#This Row],[Prix de Revient]]*Devis[[#This Row],[Poste 6]]</f>
        <v>0</v>
      </c>
      <c r="AB1966" s="74">
        <f>Devis[[#This Row],[Quantité Totale]]*Devis[[#This Row],[Prix de Revient]]</f>
        <v>0</v>
      </c>
    </row>
    <row r="1967" spans="1:28" ht="14.25" outlineLevel="1" x14ac:dyDescent="0.2">
      <c r="A1967" s="75" t="s">
        <v>1647</v>
      </c>
      <c r="B1967" s="76" t="s">
        <v>1448</v>
      </c>
      <c r="C1967" s="76" t="s">
        <v>1448</v>
      </c>
      <c r="D1967" s="81" t="str">
        <f t="shared" si="34"/>
        <v>Inox Serti ItalienCourbe45° MFCourbe45° MF</v>
      </c>
      <c r="E1967" s="76" t="s">
        <v>1708</v>
      </c>
      <c r="F1967" s="76">
        <v>7</v>
      </c>
      <c r="G1967" s="71" t="s">
        <v>1801</v>
      </c>
      <c r="H1967" s="71" t="s">
        <v>459</v>
      </c>
      <c r="I1967" s="71">
        <v>181054451</v>
      </c>
      <c r="J1967" s="70">
        <f>IFERROR(VLOOKUP(Devis[[#This Row],[Ref Air Flux]],#REF!,3,FALSE),0)</f>
        <v>0</v>
      </c>
      <c r="K1967" s="68"/>
      <c r="L1967" s="68"/>
      <c r="M1967" s="68"/>
      <c r="N1967" s="68"/>
      <c r="O1967" s="68"/>
      <c r="P1967" s="68"/>
      <c r="Q1967" s="68">
        <f>SUM(Devis[[#This Row],[Poste 1]:[Poste 6]])</f>
        <v>0</v>
      </c>
      <c r="R1967" s="71">
        <v>2</v>
      </c>
      <c r="S1967" s="68">
        <f>_xlfn.CEILING.MATH(Devis[[#This Row],[Quantité Totale]],Devis[[#This Row],[Conditionnement]])</f>
        <v>0</v>
      </c>
      <c r="T1967" s="72"/>
      <c r="U1967" s="73"/>
      <c r="V1967" s="74">
        <f>Devis[[#This Row],[Prix de Revient]]*Devis[[#This Row],[Poste 1]]</f>
        <v>0</v>
      </c>
      <c r="W1967" s="74">
        <f>Devis[[#This Row],[Prix de Revient]]*Devis[[#This Row],[Poste 2]]</f>
        <v>0</v>
      </c>
      <c r="X1967" s="74">
        <f>Devis[[#This Row],[Prix de Revient]]*Devis[[#This Row],[Poste 3]]</f>
        <v>0</v>
      </c>
      <c r="Y1967" s="74">
        <f>Devis[[#This Row],[Poste 4]]*Devis[[#This Row],[Prix de Revient]]</f>
        <v>0</v>
      </c>
      <c r="Z1967" s="74">
        <f>Devis[[#This Row],[Poste 5]]*Devis[[#This Row],[Prix de Revient]]</f>
        <v>0</v>
      </c>
      <c r="AA1967" s="74">
        <f>Devis[[#This Row],[Prix de Revient]]*Devis[[#This Row],[Poste 6]]</f>
        <v>0</v>
      </c>
      <c r="AB1967" s="74">
        <f>Devis[[#This Row],[Quantité Totale]]*Devis[[#This Row],[Prix de Revient]]</f>
        <v>0</v>
      </c>
    </row>
    <row r="1968" spans="1:28" ht="15" customHeight="1" outlineLevel="1" x14ac:dyDescent="0.2">
      <c r="A1968" s="75" t="s">
        <v>1647</v>
      </c>
      <c r="B1968" s="76" t="s">
        <v>1448</v>
      </c>
      <c r="C1968" s="76" t="s">
        <v>1448</v>
      </c>
      <c r="D1968" s="81" t="str">
        <f t="shared" si="34"/>
        <v>Inox Serti ItalienCourbe45° MFCourbe45° MF</v>
      </c>
      <c r="E1968" s="76" t="s">
        <v>1710</v>
      </c>
      <c r="F1968" s="76">
        <v>8</v>
      </c>
      <c r="G1968" s="71" t="s">
        <v>1802</v>
      </c>
      <c r="H1968" s="71" t="s">
        <v>459</v>
      </c>
      <c r="I1968" s="71">
        <v>181076451</v>
      </c>
      <c r="J1968" s="70">
        <f>IFERROR(VLOOKUP(Devis[[#This Row],[Ref Air Flux]],#REF!,3,FALSE),0)</f>
        <v>0</v>
      </c>
      <c r="K1968" s="68"/>
      <c r="L1968" s="68"/>
      <c r="M1968" s="68"/>
      <c r="N1968" s="68"/>
      <c r="O1968" s="68"/>
      <c r="P1968" s="68"/>
      <c r="Q1968" s="68">
        <f>SUM(Devis[[#This Row],[Poste 1]:[Poste 6]])</f>
        <v>0</v>
      </c>
      <c r="R1968" s="71">
        <v>2</v>
      </c>
      <c r="S1968" s="68">
        <f>_xlfn.CEILING.MATH(Devis[[#This Row],[Quantité Totale]],Devis[[#This Row],[Conditionnement]])</f>
        <v>0</v>
      </c>
      <c r="T1968" s="72"/>
      <c r="U1968" s="73"/>
      <c r="V1968" s="74">
        <f>Devis[[#This Row],[Prix de Revient]]*Devis[[#This Row],[Poste 1]]</f>
        <v>0</v>
      </c>
      <c r="W1968" s="74">
        <f>Devis[[#This Row],[Prix de Revient]]*Devis[[#This Row],[Poste 2]]</f>
        <v>0</v>
      </c>
      <c r="X1968" s="74">
        <f>Devis[[#This Row],[Prix de Revient]]*Devis[[#This Row],[Poste 3]]</f>
        <v>0</v>
      </c>
      <c r="Y1968" s="74">
        <f>Devis[[#This Row],[Poste 4]]*Devis[[#This Row],[Prix de Revient]]</f>
        <v>0</v>
      </c>
      <c r="Z1968" s="74">
        <f>Devis[[#This Row],[Poste 5]]*Devis[[#This Row],[Prix de Revient]]</f>
        <v>0</v>
      </c>
      <c r="AA1968" s="74">
        <f>Devis[[#This Row],[Prix de Revient]]*Devis[[#This Row],[Poste 6]]</f>
        <v>0</v>
      </c>
      <c r="AB1968" s="74">
        <f>Devis[[#This Row],[Quantité Totale]]*Devis[[#This Row],[Prix de Revient]]</f>
        <v>0</v>
      </c>
    </row>
    <row r="1969" spans="1:28" ht="14.25" outlineLevel="1" x14ac:dyDescent="0.2">
      <c r="A1969" s="75" t="s">
        <v>1647</v>
      </c>
      <c r="B1969" s="76" t="s">
        <v>1448</v>
      </c>
      <c r="C1969" s="76" t="s">
        <v>1448</v>
      </c>
      <c r="D1969" s="81" t="str">
        <f t="shared" si="34"/>
        <v>Inox Serti ItalienCourbe45° MFCourbe45° MF</v>
      </c>
      <c r="E1969" s="76" t="s">
        <v>1712</v>
      </c>
      <c r="F1969" s="76">
        <v>9</v>
      </c>
      <c r="G1969" s="71" t="s">
        <v>1803</v>
      </c>
      <c r="H1969" s="71" t="s">
        <v>459</v>
      </c>
      <c r="I1969" s="71">
        <v>181088451</v>
      </c>
      <c r="J1969" s="70">
        <f>IFERROR(VLOOKUP(Devis[[#This Row],[Ref Air Flux]],#REF!,3,FALSE),0)</f>
        <v>0</v>
      </c>
      <c r="K1969" s="68"/>
      <c r="L1969" s="68"/>
      <c r="M1969" s="68"/>
      <c r="N1969" s="68"/>
      <c r="O1969" s="68"/>
      <c r="P1969" s="68"/>
      <c r="Q1969" s="68">
        <f>SUM(Devis[[#This Row],[Poste 1]:[Poste 6]])</f>
        <v>0</v>
      </c>
      <c r="R1969" s="71">
        <v>2</v>
      </c>
      <c r="S1969" s="68">
        <f>_xlfn.CEILING.MATH(Devis[[#This Row],[Quantité Totale]],Devis[[#This Row],[Conditionnement]])</f>
        <v>0</v>
      </c>
      <c r="T1969" s="72"/>
      <c r="U1969" s="73"/>
      <c r="V1969" s="74">
        <f>Devis[[#This Row],[Prix de Revient]]*Devis[[#This Row],[Poste 1]]</f>
        <v>0</v>
      </c>
      <c r="W1969" s="74">
        <f>Devis[[#This Row],[Prix de Revient]]*Devis[[#This Row],[Poste 2]]</f>
        <v>0</v>
      </c>
      <c r="X1969" s="74">
        <f>Devis[[#This Row],[Prix de Revient]]*Devis[[#This Row],[Poste 3]]</f>
        <v>0</v>
      </c>
      <c r="Y1969" s="74">
        <f>Devis[[#This Row],[Poste 4]]*Devis[[#This Row],[Prix de Revient]]</f>
        <v>0</v>
      </c>
      <c r="Z1969" s="74">
        <f>Devis[[#This Row],[Poste 5]]*Devis[[#This Row],[Prix de Revient]]</f>
        <v>0</v>
      </c>
      <c r="AA1969" s="74">
        <f>Devis[[#This Row],[Prix de Revient]]*Devis[[#This Row],[Poste 6]]</f>
        <v>0</v>
      </c>
      <c r="AB1969" s="74">
        <f>Devis[[#This Row],[Quantité Totale]]*Devis[[#This Row],[Prix de Revient]]</f>
        <v>0</v>
      </c>
    </row>
    <row r="1970" spans="1:28" ht="14.25" customHeight="1" outlineLevel="1" x14ac:dyDescent="0.2">
      <c r="A1970" s="75" t="s">
        <v>1647</v>
      </c>
      <c r="B1970" s="76" t="s">
        <v>1448</v>
      </c>
      <c r="C1970" s="76" t="s">
        <v>1448</v>
      </c>
      <c r="D1970" s="81" t="str">
        <f t="shared" si="34"/>
        <v>Inox Serti ItalienCourbe45° MFCourbe45° MF</v>
      </c>
      <c r="E1970" s="76" t="s">
        <v>1714</v>
      </c>
      <c r="F1970" s="76">
        <v>10</v>
      </c>
      <c r="G1970" s="71" t="s">
        <v>1804</v>
      </c>
      <c r="H1970" s="71" t="s">
        <v>459</v>
      </c>
      <c r="I1970" s="71">
        <v>181108451</v>
      </c>
      <c r="J1970" s="70">
        <f>IFERROR(VLOOKUP(Devis[[#This Row],[Ref Air Flux]],#REF!,3,FALSE),0)</f>
        <v>0</v>
      </c>
      <c r="K1970" s="68"/>
      <c r="L1970" s="68"/>
      <c r="M1970" s="68"/>
      <c r="N1970" s="68"/>
      <c r="O1970" s="68"/>
      <c r="P1970" s="68"/>
      <c r="Q1970" s="68">
        <f>SUM(Devis[[#This Row],[Poste 1]:[Poste 6]])</f>
        <v>0</v>
      </c>
      <c r="R1970" s="71">
        <v>2</v>
      </c>
      <c r="S1970" s="68">
        <f>_xlfn.CEILING.MATH(Devis[[#This Row],[Quantité Totale]],Devis[[#This Row],[Conditionnement]])</f>
        <v>0</v>
      </c>
      <c r="T1970" s="72"/>
      <c r="U1970" s="73"/>
      <c r="V1970" s="74">
        <f>Devis[[#This Row],[Prix de Revient]]*Devis[[#This Row],[Poste 1]]</f>
        <v>0</v>
      </c>
      <c r="W1970" s="74">
        <f>Devis[[#This Row],[Prix de Revient]]*Devis[[#This Row],[Poste 2]]</f>
        <v>0</v>
      </c>
      <c r="X1970" s="74">
        <f>Devis[[#This Row],[Prix de Revient]]*Devis[[#This Row],[Poste 3]]</f>
        <v>0</v>
      </c>
      <c r="Y1970" s="74">
        <f>Devis[[#This Row],[Poste 4]]*Devis[[#This Row],[Prix de Revient]]</f>
        <v>0</v>
      </c>
      <c r="Z1970" s="74">
        <f>Devis[[#This Row],[Poste 5]]*Devis[[#This Row],[Prix de Revient]]</f>
        <v>0</v>
      </c>
      <c r="AA1970" s="74">
        <f>Devis[[#This Row],[Prix de Revient]]*Devis[[#This Row],[Poste 6]]</f>
        <v>0</v>
      </c>
      <c r="AB1970" s="74">
        <f>Devis[[#This Row],[Quantité Totale]]*Devis[[#This Row],[Prix de Revient]]</f>
        <v>0</v>
      </c>
    </row>
    <row r="1971" spans="1:28" ht="14.25" customHeight="1" x14ac:dyDescent="0.25">
      <c r="A1971" s="65" t="s">
        <v>1647</v>
      </c>
      <c r="B1971" s="65" t="s">
        <v>1456</v>
      </c>
      <c r="C1971" s="76" t="s">
        <v>1456</v>
      </c>
      <c r="D1971" s="81" t="str">
        <f t="shared" si="34"/>
        <v>Inox Serti ItalienEmbout fileté M 3 piecesEmbout fileté M 3 pieces</v>
      </c>
      <c r="E1971" s="76"/>
      <c r="F1971" s="76">
        <v>0</v>
      </c>
      <c r="G1971" s="71"/>
      <c r="H1971" s="71"/>
      <c r="I1971" s="71"/>
      <c r="J1971" s="70">
        <f>IFERROR(VLOOKUP(Devis[[#This Row],[Ref Air Flux]],#REF!,3,FALSE),0)</f>
        <v>0</v>
      </c>
      <c r="K1971" s="68"/>
      <c r="L1971" s="68"/>
      <c r="M1971" s="68"/>
      <c r="N1971" s="68"/>
      <c r="O1971" s="68"/>
      <c r="P1971" s="68"/>
      <c r="Q1971" s="68">
        <f>SUM(Devis[[#This Row],[Poste 1]:[Poste 6]])</f>
        <v>0</v>
      </c>
      <c r="R1971" s="71"/>
      <c r="S1971" s="68">
        <f>_xlfn.CEILING.MATH(Devis[[#This Row],[Quantité Totale]],Devis[[#This Row],[Conditionnement]])</f>
        <v>0</v>
      </c>
      <c r="T1971" s="72"/>
      <c r="U1971" s="73"/>
      <c r="V1971" s="74">
        <f>Devis[[#This Row],[Prix de Revient]]*Devis[[#This Row],[Poste 1]]</f>
        <v>0</v>
      </c>
      <c r="W1971" s="74">
        <f>Devis[[#This Row],[Prix de Revient]]*Devis[[#This Row],[Poste 2]]</f>
        <v>0</v>
      </c>
      <c r="X1971" s="74">
        <f>Devis[[#This Row],[Prix de Revient]]*Devis[[#This Row],[Poste 3]]</f>
        <v>0</v>
      </c>
      <c r="Y1971" s="74">
        <f>Devis[[#This Row],[Poste 4]]*Devis[[#This Row],[Prix de Revient]]</f>
        <v>0</v>
      </c>
      <c r="Z1971" s="74">
        <f>Devis[[#This Row],[Poste 5]]*Devis[[#This Row],[Prix de Revient]]</f>
        <v>0</v>
      </c>
      <c r="AA1971" s="74">
        <f>Devis[[#This Row],[Prix de Revient]]*Devis[[#This Row],[Poste 6]]</f>
        <v>0</v>
      </c>
      <c r="AB1971" s="74">
        <f>Devis[[#This Row],[Quantité Totale]]*Devis[[#This Row],[Prix de Revient]]</f>
        <v>0</v>
      </c>
    </row>
    <row r="1972" spans="1:28" ht="14.25" outlineLevel="1" x14ac:dyDescent="0.2">
      <c r="A1972" s="75" t="s">
        <v>1647</v>
      </c>
      <c r="B1972" s="76" t="s">
        <v>1456</v>
      </c>
      <c r="C1972" s="76" t="s">
        <v>1456</v>
      </c>
      <c r="D1972" s="81" t="str">
        <f t="shared" si="34"/>
        <v>Inox Serti ItalienEmbout fileté M 3 piecesEmbout fileté M 3 pieces</v>
      </c>
      <c r="E1972" s="76" t="s">
        <v>1778</v>
      </c>
      <c r="F1972" s="76">
        <v>1</v>
      </c>
      <c r="G1972" s="71" t="s">
        <v>1805</v>
      </c>
      <c r="H1972" s="71" t="s">
        <v>459</v>
      </c>
      <c r="I1972" s="71">
        <v>1840150021</v>
      </c>
      <c r="J1972" s="70">
        <f>IFERROR(VLOOKUP(Devis[[#This Row],[Ref Air Flux]],#REF!,3,FALSE),0)</f>
        <v>0</v>
      </c>
      <c r="K1972" s="68"/>
      <c r="L1972" s="68"/>
      <c r="M1972" s="68"/>
      <c r="N1972" s="68"/>
      <c r="O1972" s="68"/>
      <c r="P1972" s="68"/>
      <c r="Q1972" s="68">
        <f>SUM(Devis[[#This Row],[Poste 1]:[Poste 6]])</f>
        <v>0</v>
      </c>
      <c r="R1972" s="71">
        <v>2</v>
      </c>
      <c r="S1972" s="68">
        <f>_xlfn.CEILING.MATH(Devis[[#This Row],[Quantité Totale]],Devis[[#This Row],[Conditionnement]])</f>
        <v>0</v>
      </c>
      <c r="T1972" s="72"/>
      <c r="U1972" s="73"/>
      <c r="V1972" s="74">
        <f>Devis[[#This Row],[Prix de Revient]]*Devis[[#This Row],[Poste 1]]</f>
        <v>0</v>
      </c>
      <c r="W1972" s="74">
        <f>Devis[[#This Row],[Prix de Revient]]*Devis[[#This Row],[Poste 2]]</f>
        <v>0</v>
      </c>
      <c r="X1972" s="74">
        <f>Devis[[#This Row],[Prix de Revient]]*Devis[[#This Row],[Poste 3]]</f>
        <v>0</v>
      </c>
      <c r="Y1972" s="74">
        <f>Devis[[#This Row],[Poste 4]]*Devis[[#This Row],[Prix de Revient]]</f>
        <v>0</v>
      </c>
      <c r="Z1972" s="74">
        <f>Devis[[#This Row],[Poste 5]]*Devis[[#This Row],[Prix de Revient]]</f>
        <v>0</v>
      </c>
      <c r="AA1972" s="74">
        <f>Devis[[#This Row],[Prix de Revient]]*Devis[[#This Row],[Poste 6]]</f>
        <v>0</v>
      </c>
      <c r="AB1972" s="74">
        <f>Devis[[#This Row],[Quantité Totale]]*Devis[[#This Row],[Prix de Revient]]</f>
        <v>0</v>
      </c>
    </row>
    <row r="1973" spans="1:28" ht="14.25" outlineLevel="1" x14ac:dyDescent="0.2">
      <c r="A1973" s="75" t="s">
        <v>1647</v>
      </c>
      <c r="B1973" s="76" t="s">
        <v>1456</v>
      </c>
      <c r="C1973" s="76" t="s">
        <v>1456</v>
      </c>
      <c r="D1973" s="81" t="str">
        <f t="shared" si="34"/>
        <v>Inox Serti ItalienEmbout fileté M 3 piecesEmbout fileté M 3 pieces</v>
      </c>
      <c r="E1973" s="76" t="s">
        <v>1806</v>
      </c>
      <c r="F1973" s="76">
        <v>2</v>
      </c>
      <c r="G1973" s="71" t="s">
        <v>1807</v>
      </c>
      <c r="H1973" s="71" t="s">
        <v>459</v>
      </c>
      <c r="I1973" s="71">
        <v>1840150121</v>
      </c>
      <c r="J1973" s="70">
        <f>IFERROR(VLOOKUP(Devis[[#This Row],[Ref Air Flux]],#REF!,3,FALSE),0)</f>
        <v>0</v>
      </c>
      <c r="K1973" s="68"/>
      <c r="L1973" s="68"/>
      <c r="M1973" s="68"/>
      <c r="N1973" s="68"/>
      <c r="O1973" s="68"/>
      <c r="P1973" s="68"/>
      <c r="Q1973" s="68">
        <f>SUM(Devis[[#This Row],[Poste 1]:[Poste 6]])</f>
        <v>0</v>
      </c>
      <c r="R1973" s="71">
        <v>2</v>
      </c>
      <c r="S1973" s="68">
        <f>_xlfn.CEILING.MATH(Devis[[#This Row],[Quantité Totale]],Devis[[#This Row],[Conditionnement]])</f>
        <v>0</v>
      </c>
      <c r="T1973" s="72"/>
      <c r="U1973" s="73"/>
      <c r="V1973" s="74">
        <f>Devis[[#This Row],[Prix de Revient]]*Devis[[#This Row],[Poste 1]]</f>
        <v>0</v>
      </c>
      <c r="W1973" s="74">
        <f>Devis[[#This Row],[Prix de Revient]]*Devis[[#This Row],[Poste 2]]</f>
        <v>0</v>
      </c>
      <c r="X1973" s="74">
        <f>Devis[[#This Row],[Prix de Revient]]*Devis[[#This Row],[Poste 3]]</f>
        <v>0</v>
      </c>
      <c r="Y1973" s="74">
        <f>Devis[[#This Row],[Poste 4]]*Devis[[#This Row],[Prix de Revient]]</f>
        <v>0</v>
      </c>
      <c r="Z1973" s="74">
        <f>Devis[[#This Row],[Poste 5]]*Devis[[#This Row],[Prix de Revient]]</f>
        <v>0</v>
      </c>
      <c r="AA1973" s="74">
        <f>Devis[[#This Row],[Prix de Revient]]*Devis[[#This Row],[Poste 6]]</f>
        <v>0</v>
      </c>
      <c r="AB1973" s="74">
        <f>Devis[[#This Row],[Quantité Totale]]*Devis[[#This Row],[Prix de Revient]]</f>
        <v>0</v>
      </c>
    </row>
    <row r="1974" spans="1:28" ht="14.25" outlineLevel="1" x14ac:dyDescent="0.2">
      <c r="A1974" s="75" t="s">
        <v>1647</v>
      </c>
      <c r="B1974" s="76" t="s">
        <v>1456</v>
      </c>
      <c r="C1974" s="76" t="s">
        <v>1456</v>
      </c>
      <c r="D1974" s="81" t="str">
        <f t="shared" si="34"/>
        <v>Inox Serti ItalienEmbout fileté M 3 piecesEmbout fileté M 3 pieces</v>
      </c>
      <c r="E1974" s="76" t="s">
        <v>1780</v>
      </c>
      <c r="F1974" s="76">
        <v>3</v>
      </c>
      <c r="G1974" s="71" t="s">
        <v>1808</v>
      </c>
      <c r="H1974" s="71" t="s">
        <v>459</v>
      </c>
      <c r="I1974" s="71">
        <v>1840180021</v>
      </c>
      <c r="J1974" s="70">
        <f>IFERROR(VLOOKUP(Devis[[#This Row],[Ref Air Flux]],#REF!,3,FALSE),0)</f>
        <v>0</v>
      </c>
      <c r="K1974" s="68"/>
      <c r="L1974" s="68"/>
      <c r="M1974" s="68"/>
      <c r="N1974" s="68"/>
      <c r="O1974" s="68"/>
      <c r="P1974" s="68"/>
      <c r="Q1974" s="68">
        <f>SUM(Devis[[#This Row],[Poste 1]:[Poste 6]])</f>
        <v>0</v>
      </c>
      <c r="R1974" s="71">
        <v>2</v>
      </c>
      <c r="S1974" s="68">
        <f>_xlfn.CEILING.MATH(Devis[[#This Row],[Quantité Totale]],Devis[[#This Row],[Conditionnement]])</f>
        <v>0</v>
      </c>
      <c r="T1974" s="72"/>
      <c r="U1974" s="73"/>
      <c r="V1974" s="74">
        <f>Devis[[#This Row],[Prix de Revient]]*Devis[[#This Row],[Poste 1]]</f>
        <v>0</v>
      </c>
      <c r="W1974" s="74">
        <f>Devis[[#This Row],[Prix de Revient]]*Devis[[#This Row],[Poste 2]]</f>
        <v>0</v>
      </c>
      <c r="X1974" s="74">
        <f>Devis[[#This Row],[Prix de Revient]]*Devis[[#This Row],[Poste 3]]</f>
        <v>0</v>
      </c>
      <c r="Y1974" s="74">
        <f>Devis[[#This Row],[Poste 4]]*Devis[[#This Row],[Prix de Revient]]</f>
        <v>0</v>
      </c>
      <c r="Z1974" s="74">
        <f>Devis[[#This Row],[Poste 5]]*Devis[[#This Row],[Prix de Revient]]</f>
        <v>0</v>
      </c>
      <c r="AA1974" s="74">
        <f>Devis[[#This Row],[Prix de Revient]]*Devis[[#This Row],[Poste 6]]</f>
        <v>0</v>
      </c>
      <c r="AB1974" s="74">
        <f>Devis[[#This Row],[Quantité Totale]]*Devis[[#This Row],[Prix de Revient]]</f>
        <v>0</v>
      </c>
    </row>
    <row r="1975" spans="1:28" ht="14.25" outlineLevel="1" x14ac:dyDescent="0.2">
      <c r="A1975" s="75" t="s">
        <v>1647</v>
      </c>
      <c r="B1975" s="76" t="s">
        <v>1456</v>
      </c>
      <c r="C1975" s="76" t="s">
        <v>1456</v>
      </c>
      <c r="D1975" s="81" t="str">
        <f t="shared" si="34"/>
        <v>Inox Serti ItalienEmbout fileté M 3 piecesEmbout fileté M 3 pieces</v>
      </c>
      <c r="E1975" s="76" t="s">
        <v>1809</v>
      </c>
      <c r="F1975" s="76">
        <v>4</v>
      </c>
      <c r="G1975" s="71" t="s">
        <v>1810</v>
      </c>
      <c r="H1975" s="71" t="s">
        <v>459</v>
      </c>
      <c r="I1975" s="71">
        <v>1840180121</v>
      </c>
      <c r="J1975" s="70">
        <f>IFERROR(VLOOKUP(Devis[[#This Row],[Ref Air Flux]],#REF!,3,FALSE),0)</f>
        <v>0</v>
      </c>
      <c r="K1975" s="68"/>
      <c r="L1975" s="68"/>
      <c r="M1975" s="68"/>
      <c r="N1975" s="68"/>
      <c r="O1975" s="68"/>
      <c r="P1975" s="68"/>
      <c r="Q1975" s="68">
        <f>SUM(Devis[[#This Row],[Poste 1]:[Poste 6]])</f>
        <v>0</v>
      </c>
      <c r="R1975" s="71">
        <v>2</v>
      </c>
      <c r="S1975" s="68">
        <f>_xlfn.CEILING.MATH(Devis[[#This Row],[Quantité Totale]],Devis[[#This Row],[Conditionnement]])</f>
        <v>0</v>
      </c>
      <c r="T1975" s="72"/>
      <c r="U1975" s="73"/>
      <c r="V1975" s="74">
        <f>Devis[[#This Row],[Prix de Revient]]*Devis[[#This Row],[Poste 1]]</f>
        <v>0</v>
      </c>
      <c r="W1975" s="74">
        <f>Devis[[#This Row],[Prix de Revient]]*Devis[[#This Row],[Poste 2]]</f>
        <v>0</v>
      </c>
      <c r="X1975" s="74">
        <f>Devis[[#This Row],[Prix de Revient]]*Devis[[#This Row],[Poste 3]]</f>
        <v>0</v>
      </c>
      <c r="Y1975" s="74">
        <f>Devis[[#This Row],[Poste 4]]*Devis[[#This Row],[Prix de Revient]]</f>
        <v>0</v>
      </c>
      <c r="Z1975" s="74">
        <f>Devis[[#This Row],[Poste 5]]*Devis[[#This Row],[Prix de Revient]]</f>
        <v>0</v>
      </c>
      <c r="AA1975" s="74">
        <f>Devis[[#This Row],[Prix de Revient]]*Devis[[#This Row],[Poste 6]]</f>
        <v>0</v>
      </c>
      <c r="AB1975" s="74">
        <f>Devis[[#This Row],[Quantité Totale]]*Devis[[#This Row],[Prix de Revient]]</f>
        <v>0</v>
      </c>
    </row>
    <row r="1976" spans="1:28" ht="14.25" outlineLevel="1" x14ac:dyDescent="0.2">
      <c r="A1976" s="75" t="s">
        <v>1647</v>
      </c>
      <c r="B1976" s="76" t="s">
        <v>1456</v>
      </c>
      <c r="C1976" s="76" t="s">
        <v>1456</v>
      </c>
      <c r="D1976" s="81" t="str">
        <f t="shared" si="34"/>
        <v>Inox Serti ItalienEmbout fileté M 3 piecesEmbout fileté M 3 pieces</v>
      </c>
      <c r="E1976" s="76" t="s">
        <v>1811</v>
      </c>
      <c r="F1976" s="76">
        <v>5</v>
      </c>
      <c r="G1976" s="71" t="s">
        <v>1812</v>
      </c>
      <c r="H1976" s="71" t="s">
        <v>459</v>
      </c>
      <c r="I1976" s="71">
        <v>1840220121</v>
      </c>
      <c r="J1976" s="70">
        <f>IFERROR(VLOOKUP(Devis[[#This Row],[Ref Air Flux]],#REF!,3,FALSE),0)</f>
        <v>0</v>
      </c>
      <c r="K1976" s="68"/>
      <c r="L1976" s="68"/>
      <c r="M1976" s="68"/>
      <c r="N1976" s="68"/>
      <c r="O1976" s="68"/>
      <c r="P1976" s="68"/>
      <c r="Q1976" s="68">
        <f>SUM(Devis[[#This Row],[Poste 1]:[Poste 6]])</f>
        <v>0</v>
      </c>
      <c r="R1976" s="71">
        <v>2</v>
      </c>
      <c r="S1976" s="68">
        <f>_xlfn.CEILING.MATH(Devis[[#This Row],[Quantité Totale]],Devis[[#This Row],[Conditionnement]])</f>
        <v>0</v>
      </c>
      <c r="T1976" s="72"/>
      <c r="U1976" s="73"/>
      <c r="V1976" s="74">
        <f>Devis[[#This Row],[Prix de Revient]]*Devis[[#This Row],[Poste 1]]</f>
        <v>0</v>
      </c>
      <c r="W1976" s="74">
        <f>Devis[[#This Row],[Prix de Revient]]*Devis[[#This Row],[Poste 2]]</f>
        <v>0</v>
      </c>
      <c r="X1976" s="74">
        <f>Devis[[#This Row],[Prix de Revient]]*Devis[[#This Row],[Poste 3]]</f>
        <v>0</v>
      </c>
      <c r="Y1976" s="74">
        <f>Devis[[#This Row],[Poste 4]]*Devis[[#This Row],[Prix de Revient]]</f>
        <v>0</v>
      </c>
      <c r="Z1976" s="74">
        <f>Devis[[#This Row],[Poste 5]]*Devis[[#This Row],[Prix de Revient]]</f>
        <v>0</v>
      </c>
      <c r="AA1976" s="74">
        <f>Devis[[#This Row],[Prix de Revient]]*Devis[[#This Row],[Poste 6]]</f>
        <v>0</v>
      </c>
      <c r="AB1976" s="74">
        <f>Devis[[#This Row],[Quantité Totale]]*Devis[[#This Row],[Prix de Revient]]</f>
        <v>0</v>
      </c>
    </row>
    <row r="1977" spans="1:28" ht="14.25" outlineLevel="1" x14ac:dyDescent="0.2">
      <c r="A1977" s="75" t="s">
        <v>1647</v>
      </c>
      <c r="B1977" s="76" t="s">
        <v>1456</v>
      </c>
      <c r="C1977" s="76" t="s">
        <v>1456</v>
      </c>
      <c r="D1977" s="81" t="str">
        <f t="shared" si="34"/>
        <v>Inox Serti ItalienEmbout fileté M 3 piecesEmbout fileté M 3 pieces</v>
      </c>
      <c r="E1977" s="76" t="s">
        <v>1782</v>
      </c>
      <c r="F1977" s="76">
        <v>6</v>
      </c>
      <c r="G1977" s="71" t="s">
        <v>1813</v>
      </c>
      <c r="H1977" s="71" t="s">
        <v>459</v>
      </c>
      <c r="I1977" s="71">
        <v>1840220021</v>
      </c>
      <c r="J1977" s="70">
        <f>IFERROR(VLOOKUP(Devis[[#This Row],[Ref Air Flux]],#REF!,3,FALSE),0)</f>
        <v>0</v>
      </c>
      <c r="K1977" s="68"/>
      <c r="L1977" s="68"/>
      <c r="M1977" s="68"/>
      <c r="N1977" s="68"/>
      <c r="O1977" s="68"/>
      <c r="P1977" s="68"/>
      <c r="Q1977" s="68">
        <f>SUM(Devis[[#This Row],[Poste 1]:[Poste 6]])</f>
        <v>0</v>
      </c>
      <c r="R1977" s="71">
        <v>2</v>
      </c>
      <c r="S1977" s="68">
        <f>_xlfn.CEILING.MATH(Devis[[#This Row],[Quantité Totale]],Devis[[#This Row],[Conditionnement]])</f>
        <v>0</v>
      </c>
      <c r="T1977" s="72"/>
      <c r="U1977" s="73"/>
      <c r="V1977" s="74">
        <f>Devis[[#This Row],[Prix de Revient]]*Devis[[#This Row],[Poste 1]]</f>
        <v>0</v>
      </c>
      <c r="W1977" s="74">
        <f>Devis[[#This Row],[Prix de Revient]]*Devis[[#This Row],[Poste 2]]</f>
        <v>0</v>
      </c>
      <c r="X1977" s="74">
        <f>Devis[[#This Row],[Prix de Revient]]*Devis[[#This Row],[Poste 3]]</f>
        <v>0</v>
      </c>
      <c r="Y1977" s="74">
        <f>Devis[[#This Row],[Poste 4]]*Devis[[#This Row],[Prix de Revient]]</f>
        <v>0</v>
      </c>
      <c r="Z1977" s="74">
        <f>Devis[[#This Row],[Poste 5]]*Devis[[#This Row],[Prix de Revient]]</f>
        <v>0</v>
      </c>
      <c r="AA1977" s="74">
        <f>Devis[[#This Row],[Prix de Revient]]*Devis[[#This Row],[Poste 6]]</f>
        <v>0</v>
      </c>
      <c r="AB1977" s="74">
        <f>Devis[[#This Row],[Quantité Totale]]*Devis[[#This Row],[Prix de Revient]]</f>
        <v>0</v>
      </c>
    </row>
    <row r="1978" spans="1:28" ht="14.25" outlineLevel="1" x14ac:dyDescent="0.2">
      <c r="A1978" s="75" t="s">
        <v>1647</v>
      </c>
      <c r="B1978" s="76" t="s">
        <v>1456</v>
      </c>
      <c r="C1978" s="76" t="s">
        <v>1456</v>
      </c>
      <c r="D1978" s="81" t="str">
        <f t="shared" si="34"/>
        <v>Inox Serti ItalienEmbout fileté M 3 piecesEmbout fileté M 3 pieces</v>
      </c>
      <c r="E1978" s="76" t="s">
        <v>1814</v>
      </c>
      <c r="F1978" s="76">
        <v>7</v>
      </c>
      <c r="G1978" s="71" t="s">
        <v>1815</v>
      </c>
      <c r="H1978" s="71" t="s">
        <v>459</v>
      </c>
      <c r="I1978" s="71">
        <v>1840220221</v>
      </c>
      <c r="J1978" s="70">
        <f>IFERROR(VLOOKUP(Devis[[#This Row],[Ref Air Flux]],#REF!,3,FALSE),0)</f>
        <v>0</v>
      </c>
      <c r="K1978" s="68"/>
      <c r="L1978" s="68"/>
      <c r="M1978" s="68"/>
      <c r="N1978" s="68"/>
      <c r="O1978" s="68"/>
      <c r="P1978" s="68"/>
      <c r="Q1978" s="68">
        <f>SUM(Devis[[#This Row],[Poste 1]:[Poste 6]])</f>
        <v>0</v>
      </c>
      <c r="R1978" s="71">
        <v>2</v>
      </c>
      <c r="S1978" s="68">
        <f>_xlfn.CEILING.MATH(Devis[[#This Row],[Quantité Totale]],Devis[[#This Row],[Conditionnement]])</f>
        <v>0</v>
      </c>
      <c r="T1978" s="72"/>
      <c r="U1978" s="73"/>
      <c r="V1978" s="74">
        <f>Devis[[#This Row],[Prix de Revient]]*Devis[[#This Row],[Poste 1]]</f>
        <v>0</v>
      </c>
      <c r="W1978" s="74">
        <f>Devis[[#This Row],[Prix de Revient]]*Devis[[#This Row],[Poste 2]]</f>
        <v>0</v>
      </c>
      <c r="X1978" s="74">
        <f>Devis[[#This Row],[Prix de Revient]]*Devis[[#This Row],[Poste 3]]</f>
        <v>0</v>
      </c>
      <c r="Y1978" s="74">
        <f>Devis[[#This Row],[Poste 4]]*Devis[[#This Row],[Prix de Revient]]</f>
        <v>0</v>
      </c>
      <c r="Z1978" s="74">
        <f>Devis[[#This Row],[Poste 5]]*Devis[[#This Row],[Prix de Revient]]</f>
        <v>0</v>
      </c>
      <c r="AA1978" s="74">
        <f>Devis[[#This Row],[Prix de Revient]]*Devis[[#This Row],[Poste 6]]</f>
        <v>0</v>
      </c>
      <c r="AB1978" s="74">
        <f>Devis[[#This Row],[Quantité Totale]]*Devis[[#This Row],[Prix de Revient]]</f>
        <v>0</v>
      </c>
    </row>
    <row r="1979" spans="1:28" ht="14.25" outlineLevel="1" x14ac:dyDescent="0.2">
      <c r="A1979" s="75" t="s">
        <v>1647</v>
      </c>
      <c r="B1979" s="76" t="s">
        <v>1456</v>
      </c>
      <c r="C1979" s="76" t="s">
        <v>1456</v>
      </c>
      <c r="D1979" s="81" t="str">
        <f t="shared" si="34"/>
        <v>Inox Serti ItalienEmbout fileté M 3 piecesEmbout fileté M 3 pieces</v>
      </c>
      <c r="E1979" s="76" t="s">
        <v>5325</v>
      </c>
      <c r="F1979" s="76">
        <v>8</v>
      </c>
      <c r="G1979" s="71" t="s">
        <v>5326</v>
      </c>
      <c r="H1979" s="71" t="s">
        <v>459</v>
      </c>
      <c r="I1979" s="71">
        <v>1840280221</v>
      </c>
      <c r="J1979" s="70">
        <f>IFERROR(VLOOKUP(Devis[[#This Row],[Ref Air Flux]],#REF!,3,FALSE),0)</f>
        <v>0</v>
      </c>
      <c r="K1979" s="68"/>
      <c r="L1979" s="68"/>
      <c r="M1979" s="68"/>
      <c r="N1979" s="68"/>
      <c r="O1979" s="68"/>
      <c r="P1979" s="68"/>
      <c r="Q1979" s="68">
        <f>SUM(Devis[[#This Row],[Poste 1]:[Poste 6]])</f>
        <v>0</v>
      </c>
      <c r="R1979" s="71">
        <v>2</v>
      </c>
      <c r="S1979" s="68">
        <f>_xlfn.CEILING.MATH(Devis[[#This Row],[Quantité Totale]],Devis[[#This Row],[Conditionnement]])</f>
        <v>0</v>
      </c>
      <c r="T1979" s="72"/>
      <c r="U1979" s="73"/>
      <c r="V1979" s="74">
        <f>Devis[[#This Row],[Prix de Revient]]*Devis[[#This Row],[Poste 1]]</f>
        <v>0</v>
      </c>
      <c r="W1979" s="74">
        <f>Devis[[#This Row],[Prix de Revient]]*Devis[[#This Row],[Poste 2]]</f>
        <v>0</v>
      </c>
      <c r="X1979" s="74">
        <f>Devis[[#This Row],[Prix de Revient]]*Devis[[#This Row],[Poste 3]]</f>
        <v>0</v>
      </c>
      <c r="Y1979" s="74">
        <f>Devis[[#This Row],[Poste 4]]*Devis[[#This Row],[Prix de Revient]]</f>
        <v>0</v>
      </c>
      <c r="Z1979" s="74">
        <f>Devis[[#This Row],[Poste 5]]*Devis[[#This Row],[Prix de Revient]]</f>
        <v>0</v>
      </c>
      <c r="AA1979" s="74">
        <f>Devis[[#This Row],[Prix de Revient]]*Devis[[#This Row],[Poste 6]]</f>
        <v>0</v>
      </c>
      <c r="AB1979" s="74">
        <f>Devis[[#This Row],[Quantité Totale]]*Devis[[#This Row],[Prix de Revient]]</f>
        <v>0</v>
      </c>
    </row>
    <row r="1980" spans="1:28" ht="14.25" outlineLevel="1" x14ac:dyDescent="0.2">
      <c r="A1980" s="75" t="s">
        <v>1647</v>
      </c>
      <c r="B1980" s="76" t="s">
        <v>1456</v>
      </c>
      <c r="C1980" s="76" t="s">
        <v>1456</v>
      </c>
      <c r="D1980" s="81" t="str">
        <f t="shared" si="34"/>
        <v>Inox Serti ItalienEmbout fileté M 3 piecesEmbout fileté M 3 pieces</v>
      </c>
      <c r="E1980" s="76" t="s">
        <v>5324</v>
      </c>
      <c r="F1980" s="76">
        <v>9</v>
      </c>
      <c r="G1980" s="71" t="s">
        <v>1817</v>
      </c>
      <c r="H1980" s="71" t="s">
        <v>459</v>
      </c>
      <c r="I1980" s="71">
        <v>1840350021</v>
      </c>
      <c r="J1980" s="70">
        <f>IFERROR(VLOOKUP(Devis[[#This Row],[Ref Air Flux]],#REF!,3,FALSE),0)</f>
        <v>0</v>
      </c>
      <c r="K1980" s="68"/>
      <c r="L1980" s="68"/>
      <c r="M1980" s="68"/>
      <c r="N1980" s="68"/>
      <c r="O1980" s="68"/>
      <c r="P1980" s="68"/>
      <c r="Q1980" s="68">
        <f>SUM(Devis[[#This Row],[Poste 1]:[Poste 6]])</f>
        <v>0</v>
      </c>
      <c r="R1980" s="71">
        <v>2</v>
      </c>
      <c r="S1980" s="68">
        <f>_xlfn.CEILING.MATH(Devis[[#This Row],[Quantité Totale]],Devis[[#This Row],[Conditionnement]])</f>
        <v>0</v>
      </c>
      <c r="T1980" s="72"/>
      <c r="U1980" s="73"/>
      <c r="V1980" s="74">
        <f>Devis[[#This Row],[Prix de Revient]]*Devis[[#This Row],[Poste 1]]</f>
        <v>0</v>
      </c>
      <c r="W1980" s="74">
        <f>Devis[[#This Row],[Prix de Revient]]*Devis[[#This Row],[Poste 2]]</f>
        <v>0</v>
      </c>
      <c r="X1980" s="74">
        <f>Devis[[#This Row],[Prix de Revient]]*Devis[[#This Row],[Poste 3]]</f>
        <v>0</v>
      </c>
      <c r="Y1980" s="74">
        <f>Devis[[#This Row],[Poste 4]]*Devis[[#This Row],[Prix de Revient]]</f>
        <v>0</v>
      </c>
      <c r="Z1980" s="74">
        <f>Devis[[#This Row],[Poste 5]]*Devis[[#This Row],[Prix de Revient]]</f>
        <v>0</v>
      </c>
      <c r="AA1980" s="74">
        <f>Devis[[#This Row],[Prix de Revient]]*Devis[[#This Row],[Poste 6]]</f>
        <v>0</v>
      </c>
      <c r="AB1980" s="74">
        <f>Devis[[#This Row],[Quantité Totale]]*Devis[[#This Row],[Prix de Revient]]</f>
        <v>0</v>
      </c>
    </row>
    <row r="1981" spans="1:28" ht="14.25" outlineLevel="1" x14ac:dyDescent="0.2">
      <c r="A1981" s="75" t="s">
        <v>1647</v>
      </c>
      <c r="B1981" s="76" t="s">
        <v>1456</v>
      </c>
      <c r="C1981" s="76" t="s">
        <v>1456</v>
      </c>
      <c r="D1981" s="81" t="str">
        <f t="shared" si="34"/>
        <v>Inox Serti ItalienEmbout fileté M 3 piecesEmbout fileté M 3 pieces</v>
      </c>
      <c r="E1981" s="76" t="s">
        <v>1791</v>
      </c>
      <c r="F1981" s="76">
        <v>10</v>
      </c>
      <c r="G1981" s="71" t="s">
        <v>1818</v>
      </c>
      <c r="H1981" s="71" t="s">
        <v>459</v>
      </c>
      <c r="I1981" s="71">
        <v>1840420021</v>
      </c>
      <c r="J1981" s="70">
        <f>IFERROR(VLOOKUP(Devis[[#This Row],[Ref Air Flux]],#REF!,3,FALSE),0)</f>
        <v>0</v>
      </c>
      <c r="K1981" s="68"/>
      <c r="L1981" s="68"/>
      <c r="M1981" s="68"/>
      <c r="N1981" s="68"/>
      <c r="O1981" s="68"/>
      <c r="P1981" s="68"/>
      <c r="Q1981" s="68">
        <f>SUM(Devis[[#This Row],[Poste 1]:[Poste 6]])</f>
        <v>0</v>
      </c>
      <c r="R1981" s="71">
        <v>2</v>
      </c>
      <c r="S1981" s="68">
        <f>_xlfn.CEILING.MATH(Devis[[#This Row],[Quantité Totale]],Devis[[#This Row],[Conditionnement]])</f>
        <v>0</v>
      </c>
      <c r="T1981" s="72"/>
      <c r="U1981" s="73"/>
      <c r="V1981" s="74">
        <f>Devis[[#This Row],[Prix de Revient]]*Devis[[#This Row],[Poste 1]]</f>
        <v>0</v>
      </c>
      <c r="W1981" s="74">
        <f>Devis[[#This Row],[Prix de Revient]]*Devis[[#This Row],[Poste 2]]</f>
        <v>0</v>
      </c>
      <c r="X1981" s="74">
        <f>Devis[[#This Row],[Prix de Revient]]*Devis[[#This Row],[Poste 3]]</f>
        <v>0</v>
      </c>
      <c r="Y1981" s="74">
        <f>Devis[[#This Row],[Poste 4]]*Devis[[#This Row],[Prix de Revient]]</f>
        <v>0</v>
      </c>
      <c r="Z1981" s="74">
        <f>Devis[[#This Row],[Poste 5]]*Devis[[#This Row],[Prix de Revient]]</f>
        <v>0</v>
      </c>
      <c r="AA1981" s="74">
        <f>Devis[[#This Row],[Prix de Revient]]*Devis[[#This Row],[Poste 6]]</f>
        <v>0</v>
      </c>
      <c r="AB1981" s="74">
        <f>Devis[[#This Row],[Quantité Totale]]*Devis[[#This Row],[Prix de Revient]]</f>
        <v>0</v>
      </c>
    </row>
    <row r="1982" spans="1:28" ht="14.25" outlineLevel="1" x14ac:dyDescent="0.2">
      <c r="A1982" s="75" t="s">
        <v>1647</v>
      </c>
      <c r="B1982" s="76" t="s">
        <v>1456</v>
      </c>
      <c r="C1982" s="76" t="s">
        <v>1456</v>
      </c>
      <c r="D1982" s="81" t="str">
        <f t="shared" si="34"/>
        <v>Inox Serti ItalienEmbout fileté M 3 piecesEmbout fileté M 3 pieces</v>
      </c>
      <c r="E1982" s="76" t="s">
        <v>5327</v>
      </c>
      <c r="F1982" s="76">
        <v>11</v>
      </c>
      <c r="G1982" s="71" t="s">
        <v>1819</v>
      </c>
      <c r="H1982" s="71" t="s">
        <v>459</v>
      </c>
      <c r="I1982" s="71">
        <v>1840540021</v>
      </c>
      <c r="J1982" s="70">
        <f>IFERROR(VLOOKUP(Devis[[#This Row],[Ref Air Flux]],#REF!,3,FALSE),0)</f>
        <v>0</v>
      </c>
      <c r="K1982" s="68"/>
      <c r="L1982" s="68"/>
      <c r="M1982" s="68"/>
      <c r="N1982" s="68"/>
      <c r="O1982" s="68"/>
      <c r="P1982" s="68"/>
      <c r="Q1982" s="68">
        <f>SUM(Devis[[#This Row],[Poste 1]:[Poste 6]])</f>
        <v>0</v>
      </c>
      <c r="R1982" s="71">
        <v>2</v>
      </c>
      <c r="S1982" s="68">
        <f>_xlfn.CEILING.MATH(Devis[[#This Row],[Quantité Totale]],Devis[[#This Row],[Conditionnement]])</f>
        <v>0</v>
      </c>
      <c r="T1982" s="72"/>
      <c r="U1982" s="73"/>
      <c r="V1982" s="74">
        <f>Devis[[#This Row],[Prix de Revient]]*Devis[[#This Row],[Poste 1]]</f>
        <v>0</v>
      </c>
      <c r="W1982" s="74">
        <f>Devis[[#This Row],[Prix de Revient]]*Devis[[#This Row],[Poste 2]]</f>
        <v>0</v>
      </c>
      <c r="X1982" s="74">
        <f>Devis[[#This Row],[Prix de Revient]]*Devis[[#This Row],[Poste 3]]</f>
        <v>0</v>
      </c>
      <c r="Y1982" s="74">
        <f>Devis[[#This Row],[Poste 4]]*Devis[[#This Row],[Prix de Revient]]</f>
        <v>0</v>
      </c>
      <c r="Z1982" s="74">
        <f>Devis[[#This Row],[Poste 5]]*Devis[[#This Row],[Prix de Revient]]</f>
        <v>0</v>
      </c>
      <c r="AA1982" s="74">
        <f>Devis[[#This Row],[Prix de Revient]]*Devis[[#This Row],[Poste 6]]</f>
        <v>0</v>
      </c>
      <c r="AB1982" s="74">
        <f>Devis[[#This Row],[Quantité Totale]]*Devis[[#This Row],[Prix de Revient]]</f>
        <v>0</v>
      </c>
    </row>
    <row r="1983" spans="1:28" ht="14.25" customHeight="1" x14ac:dyDescent="0.25">
      <c r="A1983" s="65" t="s">
        <v>1647</v>
      </c>
      <c r="B1983" s="65" t="s">
        <v>3481</v>
      </c>
      <c r="C1983" s="76" t="s">
        <v>3481</v>
      </c>
      <c r="D1983" s="81" t="str">
        <f t="shared" si="34"/>
        <v>Inox Serti ItalienJoint huile FKMJoint huile FKM</v>
      </c>
      <c r="E1983" s="76"/>
      <c r="F1983" s="76">
        <v>0</v>
      </c>
      <c r="G1983" s="71"/>
      <c r="H1983" s="71"/>
      <c r="I1983" s="71"/>
      <c r="J1983" s="70">
        <f>IFERROR(VLOOKUP(Devis[[#This Row],[Ref Air Flux]],#REF!,3,FALSE),0)</f>
        <v>0</v>
      </c>
      <c r="K1983" s="68"/>
      <c r="L1983" s="68"/>
      <c r="M1983" s="68"/>
      <c r="N1983" s="68"/>
      <c r="O1983" s="68"/>
      <c r="P1983" s="68"/>
      <c r="Q1983" s="68">
        <f>SUM(Devis[[#This Row],[Poste 1]:[Poste 6]])</f>
        <v>0</v>
      </c>
      <c r="R1983" s="71"/>
      <c r="S1983" s="68">
        <f>_xlfn.CEILING.MATH(Devis[[#This Row],[Quantité Totale]],Devis[[#This Row],[Conditionnement]])</f>
        <v>0</v>
      </c>
      <c r="T1983" s="72"/>
      <c r="U1983" s="73"/>
      <c r="V1983" s="74">
        <f>Devis[[#This Row],[Prix de Revient]]*Devis[[#This Row],[Poste 1]]</f>
        <v>0</v>
      </c>
      <c r="W1983" s="74">
        <f>Devis[[#This Row],[Prix de Revient]]*Devis[[#This Row],[Poste 2]]</f>
        <v>0</v>
      </c>
      <c r="X1983" s="74">
        <f>Devis[[#This Row],[Prix de Revient]]*Devis[[#This Row],[Poste 3]]</f>
        <v>0</v>
      </c>
      <c r="Y1983" s="74">
        <f>Devis[[#This Row],[Poste 4]]*Devis[[#This Row],[Prix de Revient]]</f>
        <v>0</v>
      </c>
      <c r="Z1983" s="74">
        <f>Devis[[#This Row],[Poste 5]]*Devis[[#This Row],[Prix de Revient]]</f>
        <v>0</v>
      </c>
      <c r="AA1983" s="74">
        <f>Devis[[#This Row],[Prix de Revient]]*Devis[[#This Row],[Poste 6]]</f>
        <v>0</v>
      </c>
      <c r="AB1983" s="74">
        <f>Devis[[#This Row],[Quantité Totale]]*Devis[[#This Row],[Prix de Revient]]</f>
        <v>0</v>
      </c>
    </row>
    <row r="1984" spans="1:28" ht="14.25" outlineLevel="1" x14ac:dyDescent="0.2">
      <c r="A1984" s="75" t="s">
        <v>1647</v>
      </c>
      <c r="B1984" s="76" t="s">
        <v>3481</v>
      </c>
      <c r="C1984" s="76" t="s">
        <v>3481</v>
      </c>
      <c r="D1984" s="81" t="str">
        <f t="shared" si="34"/>
        <v>Inox Serti ItalienJoint huile FKMJoint huile FKM</v>
      </c>
      <c r="E1984" s="76" t="s">
        <v>1655</v>
      </c>
      <c r="F1984" s="76">
        <v>1</v>
      </c>
      <c r="G1984" s="71" t="s">
        <v>3482</v>
      </c>
      <c r="H1984" s="71" t="s">
        <v>3483</v>
      </c>
      <c r="I1984" s="71"/>
      <c r="J1984" s="70">
        <f>IFERROR(VLOOKUP(Devis[[#This Row],[Ref Air Flux]],#REF!,3,FALSE),0)</f>
        <v>0</v>
      </c>
      <c r="K1984" s="68"/>
      <c r="L1984" s="68"/>
      <c r="M1984" s="68"/>
      <c r="N1984" s="68"/>
      <c r="O1984" s="68"/>
      <c r="P1984" s="68"/>
      <c r="Q1984" s="68">
        <f>SUM(Devis[[#This Row],[Poste 1]:[Poste 6]])</f>
        <v>0</v>
      </c>
      <c r="R1984" s="71">
        <v>20</v>
      </c>
      <c r="S1984" s="68">
        <f>_xlfn.CEILING.MATH(Devis[[#This Row],[Quantité Totale]],Devis[[#This Row],[Conditionnement]])</f>
        <v>0</v>
      </c>
      <c r="T1984" s="72"/>
      <c r="U1984" s="73"/>
      <c r="V1984" s="74">
        <f>Devis[[#This Row],[Prix de Revient]]*Devis[[#This Row],[Poste 1]]</f>
        <v>0</v>
      </c>
      <c r="W1984" s="74">
        <f>Devis[[#This Row],[Prix de Revient]]*Devis[[#This Row],[Poste 2]]</f>
        <v>0</v>
      </c>
      <c r="X1984" s="74">
        <f>Devis[[#This Row],[Prix de Revient]]*Devis[[#This Row],[Poste 3]]</f>
        <v>0</v>
      </c>
      <c r="Y1984" s="74">
        <f>Devis[[#This Row],[Poste 4]]*Devis[[#This Row],[Prix de Revient]]</f>
        <v>0</v>
      </c>
      <c r="Z1984" s="74">
        <f>Devis[[#This Row],[Poste 5]]*Devis[[#This Row],[Prix de Revient]]</f>
        <v>0</v>
      </c>
      <c r="AA1984" s="74">
        <f>Devis[[#This Row],[Prix de Revient]]*Devis[[#This Row],[Poste 6]]</f>
        <v>0</v>
      </c>
      <c r="AB1984" s="74">
        <f>Devis[[#This Row],[Quantité Totale]]*Devis[[#This Row],[Prix de Revient]]</f>
        <v>0</v>
      </c>
    </row>
    <row r="1985" spans="1:28" ht="14.25" outlineLevel="1" x14ac:dyDescent="0.2">
      <c r="A1985" s="75" t="s">
        <v>1647</v>
      </c>
      <c r="B1985" s="76" t="s">
        <v>3481</v>
      </c>
      <c r="C1985" s="76" t="s">
        <v>3481</v>
      </c>
      <c r="D1985" s="67" t="str">
        <f>Général!$A2799&amp;Général!$B2799&amp;Général!$C2799</f>
        <v>RaccordsCoupleur RapideCoupleur Rapide</v>
      </c>
      <c r="E1985" s="67" t="s">
        <v>1657</v>
      </c>
      <c r="F1985" s="67">
        <v>2</v>
      </c>
      <c r="G1985" s="71" t="s">
        <v>5540</v>
      </c>
      <c r="H1985" s="71" t="s">
        <v>3483</v>
      </c>
      <c r="I1985" s="69"/>
      <c r="J1985" s="70">
        <f>IFERROR(VLOOKUP(Devis[[#This Row],[Ref Air Flux]],#REF!,3,FALSE),0)</f>
        <v>0</v>
      </c>
      <c r="K1985" s="68"/>
      <c r="L1985" s="68"/>
      <c r="M1985" s="68"/>
      <c r="N1985" s="68"/>
      <c r="O1985" s="68"/>
      <c r="P1985" s="68"/>
      <c r="Q1985" s="68">
        <f>SUM(Devis[[#This Row],[Poste 1]:[Poste 6]])</f>
        <v>0</v>
      </c>
      <c r="R1985" s="71">
        <v>20</v>
      </c>
      <c r="S1985" s="68">
        <f>_xlfn.CEILING.MATH(Devis[[#This Row],[Quantité Totale]],Devis[[#This Row],[Conditionnement]])</f>
        <v>0</v>
      </c>
      <c r="T1985" s="72"/>
      <c r="U1985" s="73"/>
      <c r="V1985" s="74">
        <f>Devis[[#This Row],[Prix de Revient]]*Devis[[#This Row],[Poste 1]]</f>
        <v>0</v>
      </c>
      <c r="W1985" s="74">
        <f>Devis[[#This Row],[Prix de Revient]]*Devis[[#This Row],[Poste 2]]</f>
        <v>0</v>
      </c>
      <c r="X1985" s="74">
        <f>Devis[[#This Row],[Prix de Revient]]*Devis[[#This Row],[Poste 3]]</f>
        <v>0</v>
      </c>
      <c r="Y1985" s="74">
        <f>Devis[[#This Row],[Poste 4]]*Devis[[#This Row],[Prix de Revient]]</f>
        <v>0</v>
      </c>
      <c r="Z1985" s="74">
        <f>Devis[[#This Row],[Poste 5]]*Devis[[#This Row],[Prix de Revient]]</f>
        <v>0</v>
      </c>
      <c r="AA1985" s="74">
        <f>Devis[[#This Row],[Prix de Revient]]*Devis[[#This Row],[Poste 6]]</f>
        <v>0</v>
      </c>
      <c r="AB1985" s="74">
        <f>Devis[[#This Row],[Quantité Totale]]*Devis[[#This Row],[Prix de Revient]]</f>
        <v>0</v>
      </c>
    </row>
    <row r="1986" spans="1:28" ht="14.25" customHeight="1" x14ac:dyDescent="0.25">
      <c r="A1986" s="65" t="s">
        <v>1647</v>
      </c>
      <c r="B1986" s="65" t="s">
        <v>1464</v>
      </c>
      <c r="C1986" s="76" t="s">
        <v>1464</v>
      </c>
      <c r="D1986" s="81" t="str">
        <f t="shared" ref="D1986:D2049" si="35">A1986&amp;B1986&amp;C1986</f>
        <v>Inox Serti ItalienManchon courtManchon court</v>
      </c>
      <c r="E1986" s="76"/>
      <c r="F1986" s="76">
        <v>0</v>
      </c>
      <c r="G1986" s="71"/>
      <c r="H1986" s="71"/>
      <c r="I1986" s="71"/>
      <c r="J1986" s="70">
        <f>IFERROR(VLOOKUP(Devis[[#This Row],[Ref Air Flux]],#REF!,3,FALSE),0)</f>
        <v>0</v>
      </c>
      <c r="K1986" s="68"/>
      <c r="L1986" s="68"/>
      <c r="M1986" s="68"/>
      <c r="N1986" s="68"/>
      <c r="O1986" s="68"/>
      <c r="P1986" s="68"/>
      <c r="Q1986" s="68">
        <f>SUM(Devis[[#This Row],[Poste 1]:[Poste 6]])</f>
        <v>0</v>
      </c>
      <c r="R1986" s="71"/>
      <c r="S1986" s="68">
        <f>_xlfn.CEILING.MATH(Devis[[#This Row],[Quantité Totale]],Devis[[#This Row],[Conditionnement]])</f>
        <v>0</v>
      </c>
      <c r="T1986" s="72"/>
      <c r="U1986" s="73"/>
      <c r="V1986" s="74">
        <f>Devis[[#This Row],[Prix de Revient]]*Devis[[#This Row],[Poste 1]]</f>
        <v>0</v>
      </c>
      <c r="W1986" s="74">
        <f>Devis[[#This Row],[Prix de Revient]]*Devis[[#This Row],[Poste 2]]</f>
        <v>0</v>
      </c>
      <c r="X1986" s="74">
        <f>Devis[[#This Row],[Prix de Revient]]*Devis[[#This Row],[Poste 3]]</f>
        <v>0</v>
      </c>
      <c r="Y1986" s="74">
        <f>Devis[[#This Row],[Poste 4]]*Devis[[#This Row],[Prix de Revient]]</f>
        <v>0</v>
      </c>
      <c r="Z1986" s="74">
        <f>Devis[[#This Row],[Poste 5]]*Devis[[#This Row],[Prix de Revient]]</f>
        <v>0</v>
      </c>
      <c r="AA1986" s="74">
        <f>Devis[[#This Row],[Prix de Revient]]*Devis[[#This Row],[Poste 6]]</f>
        <v>0</v>
      </c>
      <c r="AB1986" s="74">
        <f>Devis[[#This Row],[Quantité Totale]]*Devis[[#This Row],[Prix de Revient]]</f>
        <v>0</v>
      </c>
    </row>
    <row r="1987" spans="1:28" ht="14.25" customHeight="1" outlineLevel="1" x14ac:dyDescent="0.2">
      <c r="A1987" s="75" t="s">
        <v>1647</v>
      </c>
      <c r="B1987" s="76" t="s">
        <v>1464</v>
      </c>
      <c r="C1987" s="76" t="s">
        <v>1464</v>
      </c>
      <c r="D1987" s="81" t="str">
        <f t="shared" si="35"/>
        <v>Inox Serti ItalienManchon courtManchon court</v>
      </c>
      <c r="E1987" s="76" t="s">
        <v>1648</v>
      </c>
      <c r="F1987" s="76">
        <v>1</v>
      </c>
      <c r="G1987" s="71" t="s">
        <v>1820</v>
      </c>
      <c r="H1987" s="71" t="s">
        <v>459</v>
      </c>
      <c r="I1987" s="71">
        <v>183015000</v>
      </c>
      <c r="J1987" s="70">
        <f>IFERROR(VLOOKUP(Devis[[#This Row],[Ref Air Flux]],#REF!,3,FALSE),0)</f>
        <v>0</v>
      </c>
      <c r="K1987" s="68"/>
      <c r="L1987" s="68"/>
      <c r="M1987" s="68"/>
      <c r="N1987" s="68"/>
      <c r="O1987" s="68"/>
      <c r="P1987" s="68"/>
      <c r="Q1987" s="68">
        <f>SUM(Devis[[#This Row],[Poste 1]:[Poste 6]])</f>
        <v>0</v>
      </c>
      <c r="R1987" s="71">
        <v>20</v>
      </c>
      <c r="S1987" s="68">
        <f>_xlfn.CEILING.MATH(Devis[[#This Row],[Quantité Totale]],Devis[[#This Row],[Conditionnement]])</f>
        <v>0</v>
      </c>
      <c r="T1987" s="72"/>
      <c r="U1987" s="73"/>
      <c r="V1987" s="74">
        <f>Devis[[#This Row],[Prix de Revient]]*Devis[[#This Row],[Poste 1]]</f>
        <v>0</v>
      </c>
      <c r="W1987" s="74">
        <f>Devis[[#This Row],[Prix de Revient]]*Devis[[#This Row],[Poste 2]]</f>
        <v>0</v>
      </c>
      <c r="X1987" s="74">
        <f>Devis[[#This Row],[Prix de Revient]]*Devis[[#This Row],[Poste 3]]</f>
        <v>0</v>
      </c>
      <c r="Y1987" s="74">
        <f>Devis[[#This Row],[Poste 4]]*Devis[[#This Row],[Prix de Revient]]</f>
        <v>0</v>
      </c>
      <c r="Z1987" s="74">
        <f>Devis[[#This Row],[Poste 5]]*Devis[[#This Row],[Prix de Revient]]</f>
        <v>0</v>
      </c>
      <c r="AA1987" s="74">
        <f>Devis[[#This Row],[Prix de Revient]]*Devis[[#This Row],[Poste 6]]</f>
        <v>0</v>
      </c>
      <c r="AB1987" s="74">
        <f>Devis[[#This Row],[Quantité Totale]]*Devis[[#This Row],[Prix de Revient]]</f>
        <v>0</v>
      </c>
    </row>
    <row r="1988" spans="1:28" ht="14.25" outlineLevel="1" x14ac:dyDescent="0.2">
      <c r="A1988" s="75" t="s">
        <v>1647</v>
      </c>
      <c r="B1988" s="76" t="s">
        <v>1464</v>
      </c>
      <c r="C1988" s="76" t="s">
        <v>1464</v>
      </c>
      <c r="D1988" s="81" t="str">
        <f t="shared" si="35"/>
        <v>Inox Serti ItalienManchon courtManchon court</v>
      </c>
      <c r="E1988" s="76" t="s">
        <v>1650</v>
      </c>
      <c r="F1988" s="76">
        <v>2</v>
      </c>
      <c r="G1988" s="71" t="s">
        <v>1821</v>
      </c>
      <c r="H1988" s="71" t="s">
        <v>459</v>
      </c>
      <c r="I1988" s="71">
        <v>183018000</v>
      </c>
      <c r="J1988" s="70">
        <f>IFERROR(VLOOKUP(Devis[[#This Row],[Ref Air Flux]],#REF!,3,FALSE),0)</f>
        <v>0</v>
      </c>
      <c r="K1988" s="68"/>
      <c r="L1988" s="68"/>
      <c r="M1988" s="68"/>
      <c r="N1988" s="68"/>
      <c r="O1988" s="68"/>
      <c r="P1988" s="68"/>
      <c r="Q1988" s="68">
        <f>SUM(Devis[[#This Row],[Poste 1]:[Poste 6]])</f>
        <v>0</v>
      </c>
      <c r="R1988" s="71">
        <v>20</v>
      </c>
      <c r="S1988" s="68">
        <f>_xlfn.CEILING.MATH(Devis[[#This Row],[Quantité Totale]],Devis[[#This Row],[Conditionnement]])</f>
        <v>0</v>
      </c>
      <c r="T1988" s="72"/>
      <c r="U1988" s="73"/>
      <c r="V1988" s="74">
        <f>Devis[[#This Row],[Prix de Revient]]*Devis[[#This Row],[Poste 1]]</f>
        <v>0</v>
      </c>
      <c r="W1988" s="74">
        <f>Devis[[#This Row],[Prix de Revient]]*Devis[[#This Row],[Poste 2]]</f>
        <v>0</v>
      </c>
      <c r="X1988" s="74">
        <f>Devis[[#This Row],[Prix de Revient]]*Devis[[#This Row],[Poste 3]]</f>
        <v>0</v>
      </c>
      <c r="Y1988" s="74">
        <f>Devis[[#This Row],[Poste 4]]*Devis[[#This Row],[Prix de Revient]]</f>
        <v>0</v>
      </c>
      <c r="Z1988" s="74">
        <f>Devis[[#This Row],[Poste 5]]*Devis[[#This Row],[Prix de Revient]]</f>
        <v>0</v>
      </c>
      <c r="AA1988" s="74">
        <f>Devis[[#This Row],[Prix de Revient]]*Devis[[#This Row],[Poste 6]]</f>
        <v>0</v>
      </c>
      <c r="AB1988" s="74">
        <f>Devis[[#This Row],[Quantité Totale]]*Devis[[#This Row],[Prix de Revient]]</f>
        <v>0</v>
      </c>
    </row>
    <row r="1989" spans="1:28" ht="14.25" outlineLevel="1" x14ac:dyDescent="0.2">
      <c r="A1989" s="75" t="s">
        <v>1647</v>
      </c>
      <c r="B1989" s="76" t="s">
        <v>1464</v>
      </c>
      <c r="C1989" s="76" t="s">
        <v>1464</v>
      </c>
      <c r="D1989" s="81" t="str">
        <f t="shared" si="35"/>
        <v>Inox Serti ItalienManchon courtManchon court</v>
      </c>
      <c r="E1989" s="76" t="s">
        <v>1652</v>
      </c>
      <c r="F1989" s="76">
        <v>3</v>
      </c>
      <c r="G1989" s="71" t="s">
        <v>1822</v>
      </c>
      <c r="H1989" s="71" t="s">
        <v>459</v>
      </c>
      <c r="I1989" s="71">
        <v>183020000</v>
      </c>
      <c r="J1989" s="70">
        <f>IFERROR(VLOOKUP(Devis[[#This Row],[Ref Air Flux]],#REF!,3,FALSE),0)</f>
        <v>0</v>
      </c>
      <c r="K1989" s="68"/>
      <c r="L1989" s="68"/>
      <c r="M1989" s="68"/>
      <c r="N1989" s="68"/>
      <c r="O1989" s="68"/>
      <c r="P1989" s="68"/>
      <c r="Q1989" s="68">
        <f>SUM(Devis[[#This Row],[Poste 1]:[Poste 6]])</f>
        <v>0</v>
      </c>
      <c r="R1989" s="71">
        <v>20</v>
      </c>
      <c r="S1989" s="68">
        <f>_xlfn.CEILING.MATH(Devis[[#This Row],[Quantité Totale]],Devis[[#This Row],[Conditionnement]])</f>
        <v>0</v>
      </c>
      <c r="T1989" s="72"/>
      <c r="U1989" s="73"/>
      <c r="V1989" s="74">
        <f>Devis[[#This Row],[Prix de Revient]]*Devis[[#This Row],[Poste 1]]</f>
        <v>0</v>
      </c>
      <c r="W1989" s="74">
        <f>Devis[[#This Row],[Prix de Revient]]*Devis[[#This Row],[Poste 2]]</f>
        <v>0</v>
      </c>
      <c r="X1989" s="74">
        <f>Devis[[#This Row],[Prix de Revient]]*Devis[[#This Row],[Poste 3]]</f>
        <v>0</v>
      </c>
      <c r="Y1989" s="74">
        <f>Devis[[#This Row],[Poste 4]]*Devis[[#This Row],[Prix de Revient]]</f>
        <v>0</v>
      </c>
      <c r="Z1989" s="74">
        <f>Devis[[#This Row],[Poste 5]]*Devis[[#This Row],[Prix de Revient]]</f>
        <v>0</v>
      </c>
      <c r="AA1989" s="74">
        <f>Devis[[#This Row],[Prix de Revient]]*Devis[[#This Row],[Poste 6]]</f>
        <v>0</v>
      </c>
      <c r="AB1989" s="74">
        <f>Devis[[#This Row],[Quantité Totale]]*Devis[[#This Row],[Prix de Revient]]</f>
        <v>0</v>
      </c>
    </row>
    <row r="1990" spans="1:28" ht="14.25" outlineLevel="1" x14ac:dyDescent="0.2">
      <c r="A1990" s="75" t="s">
        <v>1647</v>
      </c>
      <c r="B1990" s="76" t="s">
        <v>1464</v>
      </c>
      <c r="C1990" s="76" t="s">
        <v>1464</v>
      </c>
      <c r="D1990" s="81" t="str">
        <f t="shared" si="35"/>
        <v>Inox Serti ItalienManchon courtManchon court</v>
      </c>
      <c r="E1990" s="76" t="s">
        <v>1704</v>
      </c>
      <c r="F1990" s="76">
        <v>4</v>
      </c>
      <c r="G1990" s="71" t="s">
        <v>1823</v>
      </c>
      <c r="H1990" s="71" t="s">
        <v>459</v>
      </c>
      <c r="I1990" s="71">
        <v>183028000</v>
      </c>
      <c r="J1990" s="70">
        <f>IFERROR(VLOOKUP(Devis[[#This Row],[Ref Air Flux]],#REF!,3,FALSE),0)</f>
        <v>0</v>
      </c>
      <c r="K1990" s="68"/>
      <c r="L1990" s="68"/>
      <c r="M1990" s="68"/>
      <c r="N1990" s="68"/>
      <c r="O1990" s="68"/>
      <c r="P1990" s="68"/>
      <c r="Q1990" s="68">
        <f>SUM(Devis[[#This Row],[Poste 1]:[Poste 6]])</f>
        <v>0</v>
      </c>
      <c r="R1990" s="71">
        <v>10</v>
      </c>
      <c r="S1990" s="68">
        <f>_xlfn.CEILING.MATH(Devis[[#This Row],[Quantité Totale]],Devis[[#This Row],[Conditionnement]])</f>
        <v>0</v>
      </c>
      <c r="T1990" s="72"/>
      <c r="U1990" s="73"/>
      <c r="V1990" s="74">
        <f>Devis[[#This Row],[Prix de Revient]]*Devis[[#This Row],[Poste 1]]</f>
        <v>0</v>
      </c>
      <c r="W1990" s="74">
        <f>Devis[[#This Row],[Prix de Revient]]*Devis[[#This Row],[Poste 2]]</f>
        <v>0</v>
      </c>
      <c r="X1990" s="74">
        <f>Devis[[#This Row],[Prix de Revient]]*Devis[[#This Row],[Poste 3]]</f>
        <v>0</v>
      </c>
      <c r="Y1990" s="74">
        <f>Devis[[#This Row],[Poste 4]]*Devis[[#This Row],[Prix de Revient]]</f>
        <v>0</v>
      </c>
      <c r="Z1990" s="74">
        <f>Devis[[#This Row],[Poste 5]]*Devis[[#This Row],[Prix de Revient]]</f>
        <v>0</v>
      </c>
      <c r="AA1990" s="74">
        <f>Devis[[#This Row],[Prix de Revient]]*Devis[[#This Row],[Poste 6]]</f>
        <v>0</v>
      </c>
      <c r="AB1990" s="74">
        <f>Devis[[#This Row],[Quantité Totale]]*Devis[[#This Row],[Prix de Revient]]</f>
        <v>0</v>
      </c>
    </row>
    <row r="1991" spans="1:28" ht="14.25" outlineLevel="1" x14ac:dyDescent="0.2">
      <c r="A1991" s="75" t="s">
        <v>1647</v>
      </c>
      <c r="B1991" s="76" t="s">
        <v>1464</v>
      </c>
      <c r="C1991" s="76" t="s">
        <v>1464</v>
      </c>
      <c r="D1991" s="81" t="str">
        <f t="shared" si="35"/>
        <v>Inox Serti ItalienManchon courtManchon court</v>
      </c>
      <c r="E1991" s="76" t="s">
        <v>1655</v>
      </c>
      <c r="F1991" s="76">
        <v>5</v>
      </c>
      <c r="G1991" s="71" t="s">
        <v>1824</v>
      </c>
      <c r="H1991" s="71" t="s">
        <v>459</v>
      </c>
      <c r="I1991" s="71">
        <v>183035000</v>
      </c>
      <c r="J1991" s="70">
        <f>IFERROR(VLOOKUP(Devis[[#This Row],[Ref Air Flux]],#REF!,3,FALSE),0)</f>
        <v>0</v>
      </c>
      <c r="K1991" s="68"/>
      <c r="L1991" s="68"/>
      <c r="M1991" s="68"/>
      <c r="N1991" s="68"/>
      <c r="O1991" s="68"/>
      <c r="P1991" s="68"/>
      <c r="Q1991" s="68">
        <f>SUM(Devis[[#This Row],[Poste 1]:[Poste 6]])</f>
        <v>0</v>
      </c>
      <c r="R1991" s="71">
        <v>10</v>
      </c>
      <c r="S1991" s="68">
        <f>_xlfn.CEILING.MATH(Devis[[#This Row],[Quantité Totale]],Devis[[#This Row],[Conditionnement]])</f>
        <v>0</v>
      </c>
      <c r="T1991" s="72"/>
      <c r="U1991" s="73"/>
      <c r="V1991" s="74">
        <f>Devis[[#This Row],[Prix de Revient]]*Devis[[#This Row],[Poste 1]]</f>
        <v>0</v>
      </c>
      <c r="W1991" s="74">
        <f>Devis[[#This Row],[Prix de Revient]]*Devis[[#This Row],[Poste 2]]</f>
        <v>0</v>
      </c>
      <c r="X1991" s="74">
        <f>Devis[[#This Row],[Prix de Revient]]*Devis[[#This Row],[Poste 3]]</f>
        <v>0</v>
      </c>
      <c r="Y1991" s="74">
        <f>Devis[[#This Row],[Poste 4]]*Devis[[#This Row],[Prix de Revient]]</f>
        <v>0</v>
      </c>
      <c r="Z1991" s="74">
        <f>Devis[[#This Row],[Poste 5]]*Devis[[#This Row],[Prix de Revient]]</f>
        <v>0</v>
      </c>
      <c r="AA1991" s="74">
        <f>Devis[[#This Row],[Prix de Revient]]*Devis[[#This Row],[Poste 6]]</f>
        <v>0</v>
      </c>
      <c r="AB1991" s="74">
        <f>Devis[[#This Row],[Quantité Totale]]*Devis[[#This Row],[Prix de Revient]]</f>
        <v>0</v>
      </c>
    </row>
    <row r="1992" spans="1:28" ht="14.25" outlineLevel="1" x14ac:dyDescent="0.2">
      <c r="A1992" s="75" t="s">
        <v>1647</v>
      </c>
      <c r="B1992" s="76" t="s">
        <v>1464</v>
      </c>
      <c r="C1992" s="76" t="s">
        <v>1464</v>
      </c>
      <c r="D1992" s="81" t="str">
        <f t="shared" si="35"/>
        <v>Inox Serti ItalienManchon courtManchon court</v>
      </c>
      <c r="E1992" s="76" t="s">
        <v>1657</v>
      </c>
      <c r="F1992" s="76">
        <v>6</v>
      </c>
      <c r="G1992" s="71" t="s">
        <v>1825</v>
      </c>
      <c r="H1992" s="71" t="s">
        <v>459</v>
      </c>
      <c r="I1992" s="71">
        <v>183042000</v>
      </c>
      <c r="J1992" s="70">
        <f>IFERROR(VLOOKUP(Devis[[#This Row],[Ref Air Flux]],#REF!,3,FALSE),0)</f>
        <v>0</v>
      </c>
      <c r="K1992" s="68"/>
      <c r="L1992" s="68"/>
      <c r="M1992" s="68"/>
      <c r="N1992" s="68"/>
      <c r="O1992" s="68"/>
      <c r="P1992" s="68"/>
      <c r="Q1992" s="68">
        <f>SUM(Devis[[#This Row],[Poste 1]:[Poste 6]])</f>
        <v>0</v>
      </c>
      <c r="R1992" s="71">
        <v>4</v>
      </c>
      <c r="S1992" s="68">
        <f>_xlfn.CEILING.MATH(Devis[[#This Row],[Quantité Totale]],Devis[[#This Row],[Conditionnement]])</f>
        <v>0</v>
      </c>
      <c r="T1992" s="72"/>
      <c r="U1992" s="73"/>
      <c r="V1992" s="74">
        <f>Devis[[#This Row],[Prix de Revient]]*Devis[[#This Row],[Poste 1]]</f>
        <v>0</v>
      </c>
      <c r="W1992" s="74">
        <f>Devis[[#This Row],[Prix de Revient]]*Devis[[#This Row],[Poste 2]]</f>
        <v>0</v>
      </c>
      <c r="X1992" s="74">
        <f>Devis[[#This Row],[Prix de Revient]]*Devis[[#This Row],[Poste 3]]</f>
        <v>0</v>
      </c>
      <c r="Y1992" s="74">
        <f>Devis[[#This Row],[Poste 4]]*Devis[[#This Row],[Prix de Revient]]</f>
        <v>0</v>
      </c>
      <c r="Z1992" s="74">
        <f>Devis[[#This Row],[Poste 5]]*Devis[[#This Row],[Prix de Revient]]</f>
        <v>0</v>
      </c>
      <c r="AA1992" s="74">
        <f>Devis[[#This Row],[Prix de Revient]]*Devis[[#This Row],[Poste 6]]</f>
        <v>0</v>
      </c>
      <c r="AB1992" s="74">
        <f>Devis[[#This Row],[Quantité Totale]]*Devis[[#This Row],[Prix de Revient]]</f>
        <v>0</v>
      </c>
    </row>
    <row r="1993" spans="1:28" ht="14.25" outlineLevel="1" x14ac:dyDescent="0.2">
      <c r="A1993" s="75" t="s">
        <v>1647</v>
      </c>
      <c r="B1993" s="76" t="s">
        <v>1464</v>
      </c>
      <c r="C1993" s="76" t="s">
        <v>1464</v>
      </c>
      <c r="D1993" s="81" t="str">
        <f t="shared" si="35"/>
        <v>Inox Serti ItalienManchon courtManchon court</v>
      </c>
      <c r="E1993" s="76" t="s">
        <v>1708</v>
      </c>
      <c r="F1993" s="76">
        <v>7</v>
      </c>
      <c r="G1993" s="71" t="s">
        <v>1826</v>
      </c>
      <c r="H1993" s="71" t="s">
        <v>459</v>
      </c>
      <c r="I1993" s="71">
        <v>183054000</v>
      </c>
      <c r="J1993" s="70">
        <f>IFERROR(VLOOKUP(Devis[[#This Row],[Ref Air Flux]],#REF!,3,FALSE),0)</f>
        <v>0</v>
      </c>
      <c r="K1993" s="68"/>
      <c r="L1993" s="68"/>
      <c r="M1993" s="68"/>
      <c r="N1993" s="68"/>
      <c r="O1993" s="68"/>
      <c r="P1993" s="68"/>
      <c r="Q1993" s="68">
        <f>SUM(Devis[[#This Row],[Poste 1]:[Poste 6]])</f>
        <v>0</v>
      </c>
      <c r="R1993" s="71">
        <v>2</v>
      </c>
      <c r="S1993" s="68">
        <f>_xlfn.CEILING.MATH(Devis[[#This Row],[Quantité Totale]],Devis[[#This Row],[Conditionnement]])</f>
        <v>0</v>
      </c>
      <c r="T1993" s="72"/>
      <c r="U1993" s="73"/>
      <c r="V1993" s="74">
        <f>Devis[[#This Row],[Prix de Revient]]*Devis[[#This Row],[Poste 1]]</f>
        <v>0</v>
      </c>
      <c r="W1993" s="74">
        <f>Devis[[#This Row],[Prix de Revient]]*Devis[[#This Row],[Poste 2]]</f>
        <v>0</v>
      </c>
      <c r="X1993" s="74">
        <f>Devis[[#This Row],[Prix de Revient]]*Devis[[#This Row],[Poste 3]]</f>
        <v>0</v>
      </c>
      <c r="Y1993" s="74">
        <f>Devis[[#This Row],[Poste 4]]*Devis[[#This Row],[Prix de Revient]]</f>
        <v>0</v>
      </c>
      <c r="Z1993" s="74">
        <f>Devis[[#This Row],[Poste 5]]*Devis[[#This Row],[Prix de Revient]]</f>
        <v>0</v>
      </c>
      <c r="AA1993" s="74">
        <f>Devis[[#This Row],[Prix de Revient]]*Devis[[#This Row],[Poste 6]]</f>
        <v>0</v>
      </c>
      <c r="AB1993" s="74">
        <f>Devis[[#This Row],[Quantité Totale]]*Devis[[#This Row],[Prix de Revient]]</f>
        <v>0</v>
      </c>
    </row>
    <row r="1994" spans="1:28" ht="14.25" outlineLevel="1" x14ac:dyDescent="0.2">
      <c r="A1994" s="75" t="s">
        <v>1647</v>
      </c>
      <c r="B1994" s="76" t="s">
        <v>1464</v>
      </c>
      <c r="C1994" s="76" t="s">
        <v>1464</v>
      </c>
      <c r="D1994" s="81" t="str">
        <f t="shared" si="35"/>
        <v>Inox Serti ItalienManchon courtManchon court</v>
      </c>
      <c r="E1994" s="76" t="s">
        <v>1710</v>
      </c>
      <c r="F1994" s="76">
        <v>8</v>
      </c>
      <c r="G1994" s="71" t="s">
        <v>1827</v>
      </c>
      <c r="H1994" s="71" t="s">
        <v>459</v>
      </c>
      <c r="I1994" s="71">
        <v>183076000</v>
      </c>
      <c r="J1994" s="70">
        <f>IFERROR(VLOOKUP(Devis[[#This Row],[Ref Air Flux]],#REF!,3,FALSE),0)</f>
        <v>0</v>
      </c>
      <c r="K1994" s="68"/>
      <c r="L1994" s="68"/>
      <c r="M1994" s="68"/>
      <c r="N1994" s="68"/>
      <c r="O1994" s="68"/>
      <c r="P1994" s="68"/>
      <c r="Q1994" s="68">
        <f>SUM(Devis[[#This Row],[Poste 1]:[Poste 6]])</f>
        <v>0</v>
      </c>
      <c r="R1994" s="71">
        <v>4</v>
      </c>
      <c r="S1994" s="68">
        <f>_xlfn.CEILING.MATH(Devis[[#This Row],[Quantité Totale]],Devis[[#This Row],[Conditionnement]])</f>
        <v>0</v>
      </c>
      <c r="T1994" s="72"/>
      <c r="U1994" s="73"/>
      <c r="V1994" s="74">
        <f>Devis[[#This Row],[Prix de Revient]]*Devis[[#This Row],[Poste 1]]</f>
        <v>0</v>
      </c>
      <c r="W1994" s="74">
        <f>Devis[[#This Row],[Prix de Revient]]*Devis[[#This Row],[Poste 2]]</f>
        <v>0</v>
      </c>
      <c r="X1994" s="74">
        <f>Devis[[#This Row],[Prix de Revient]]*Devis[[#This Row],[Poste 3]]</f>
        <v>0</v>
      </c>
      <c r="Y1994" s="74">
        <f>Devis[[#This Row],[Poste 4]]*Devis[[#This Row],[Prix de Revient]]</f>
        <v>0</v>
      </c>
      <c r="Z1994" s="74">
        <f>Devis[[#This Row],[Poste 5]]*Devis[[#This Row],[Prix de Revient]]</f>
        <v>0</v>
      </c>
      <c r="AA1994" s="74">
        <f>Devis[[#This Row],[Prix de Revient]]*Devis[[#This Row],[Poste 6]]</f>
        <v>0</v>
      </c>
      <c r="AB1994" s="74">
        <f>Devis[[#This Row],[Quantité Totale]]*Devis[[#This Row],[Prix de Revient]]</f>
        <v>0</v>
      </c>
    </row>
    <row r="1995" spans="1:28" ht="14.25" outlineLevel="1" x14ac:dyDescent="0.2">
      <c r="A1995" s="75" t="s">
        <v>1647</v>
      </c>
      <c r="B1995" s="76" t="s">
        <v>1464</v>
      </c>
      <c r="C1995" s="76" t="s">
        <v>1464</v>
      </c>
      <c r="D1995" s="81" t="str">
        <f t="shared" si="35"/>
        <v>Inox Serti ItalienManchon courtManchon court</v>
      </c>
      <c r="E1995" s="76" t="s">
        <v>1712</v>
      </c>
      <c r="F1995" s="76">
        <v>9</v>
      </c>
      <c r="G1995" s="71" t="s">
        <v>1828</v>
      </c>
      <c r="H1995" s="71" t="s">
        <v>459</v>
      </c>
      <c r="I1995" s="71">
        <v>183088000</v>
      </c>
      <c r="J1995" s="70">
        <f>IFERROR(VLOOKUP(Devis[[#This Row],[Ref Air Flux]],#REF!,3,FALSE),0)</f>
        <v>0</v>
      </c>
      <c r="K1995" s="68"/>
      <c r="L1995" s="68"/>
      <c r="M1995" s="68"/>
      <c r="N1995" s="68"/>
      <c r="O1995" s="68"/>
      <c r="P1995" s="68"/>
      <c r="Q1995" s="68">
        <f>SUM(Devis[[#This Row],[Poste 1]:[Poste 6]])</f>
        <v>0</v>
      </c>
      <c r="R1995" s="71">
        <v>4</v>
      </c>
      <c r="S1995" s="68">
        <f>_xlfn.CEILING.MATH(Devis[[#This Row],[Quantité Totale]],Devis[[#This Row],[Conditionnement]])</f>
        <v>0</v>
      </c>
      <c r="T1995" s="72"/>
      <c r="U1995" s="73"/>
      <c r="V1995" s="74">
        <f>Devis[[#This Row],[Prix de Revient]]*Devis[[#This Row],[Poste 1]]</f>
        <v>0</v>
      </c>
      <c r="W1995" s="74">
        <f>Devis[[#This Row],[Prix de Revient]]*Devis[[#This Row],[Poste 2]]</f>
        <v>0</v>
      </c>
      <c r="X1995" s="74">
        <f>Devis[[#This Row],[Prix de Revient]]*Devis[[#This Row],[Poste 3]]</f>
        <v>0</v>
      </c>
      <c r="Y1995" s="74">
        <f>Devis[[#This Row],[Poste 4]]*Devis[[#This Row],[Prix de Revient]]</f>
        <v>0</v>
      </c>
      <c r="Z1995" s="74">
        <f>Devis[[#This Row],[Poste 5]]*Devis[[#This Row],[Prix de Revient]]</f>
        <v>0</v>
      </c>
      <c r="AA1995" s="74">
        <f>Devis[[#This Row],[Prix de Revient]]*Devis[[#This Row],[Poste 6]]</f>
        <v>0</v>
      </c>
      <c r="AB1995" s="74">
        <f>Devis[[#This Row],[Quantité Totale]]*Devis[[#This Row],[Prix de Revient]]</f>
        <v>0</v>
      </c>
    </row>
    <row r="1996" spans="1:28" ht="14.25" outlineLevel="1" x14ac:dyDescent="0.2">
      <c r="A1996" s="75" t="s">
        <v>1647</v>
      </c>
      <c r="B1996" s="76" t="s">
        <v>1464</v>
      </c>
      <c r="C1996" s="76" t="s">
        <v>1464</v>
      </c>
      <c r="D1996" s="81" t="str">
        <f t="shared" si="35"/>
        <v>Inox Serti ItalienManchon courtManchon court</v>
      </c>
      <c r="E1996" s="76" t="s">
        <v>1714</v>
      </c>
      <c r="F1996" s="76">
        <v>10</v>
      </c>
      <c r="G1996" s="71" t="s">
        <v>1829</v>
      </c>
      <c r="H1996" s="71" t="s">
        <v>459</v>
      </c>
      <c r="I1996" s="71">
        <v>183108000</v>
      </c>
      <c r="J1996" s="70">
        <f>IFERROR(VLOOKUP(Devis[[#This Row],[Ref Air Flux]],#REF!,3,FALSE),0)</f>
        <v>0</v>
      </c>
      <c r="K1996" s="68"/>
      <c r="L1996" s="68"/>
      <c r="M1996" s="68"/>
      <c r="N1996" s="68"/>
      <c r="O1996" s="68"/>
      <c r="P1996" s="68"/>
      <c r="Q1996" s="68">
        <f>SUM(Devis[[#This Row],[Poste 1]:[Poste 6]])</f>
        <v>0</v>
      </c>
      <c r="R1996" s="71">
        <v>2</v>
      </c>
      <c r="S1996" s="68">
        <f>_xlfn.CEILING.MATH(Devis[[#This Row],[Quantité Totale]],Devis[[#This Row],[Conditionnement]])</f>
        <v>0</v>
      </c>
      <c r="T1996" s="72"/>
      <c r="U1996" s="73"/>
      <c r="V1996" s="74">
        <f>Devis[[#This Row],[Prix de Revient]]*Devis[[#This Row],[Poste 1]]</f>
        <v>0</v>
      </c>
      <c r="W1996" s="74">
        <f>Devis[[#This Row],[Prix de Revient]]*Devis[[#This Row],[Poste 2]]</f>
        <v>0</v>
      </c>
      <c r="X1996" s="74">
        <f>Devis[[#This Row],[Prix de Revient]]*Devis[[#This Row],[Poste 3]]</f>
        <v>0</v>
      </c>
      <c r="Y1996" s="74">
        <f>Devis[[#This Row],[Poste 4]]*Devis[[#This Row],[Prix de Revient]]</f>
        <v>0</v>
      </c>
      <c r="Z1996" s="74">
        <f>Devis[[#This Row],[Poste 5]]*Devis[[#This Row],[Prix de Revient]]</f>
        <v>0</v>
      </c>
      <c r="AA1996" s="74">
        <f>Devis[[#This Row],[Prix de Revient]]*Devis[[#This Row],[Poste 6]]</f>
        <v>0</v>
      </c>
      <c r="AB1996" s="74">
        <f>Devis[[#This Row],[Quantité Totale]]*Devis[[#This Row],[Prix de Revient]]</f>
        <v>0</v>
      </c>
    </row>
    <row r="1997" spans="1:28" ht="14.25" customHeight="1" x14ac:dyDescent="0.25">
      <c r="A1997" s="65" t="s">
        <v>1647</v>
      </c>
      <c r="B1997" s="65" t="s">
        <v>1473</v>
      </c>
      <c r="C1997" s="76" t="s">
        <v>1473</v>
      </c>
      <c r="D1997" s="81" t="str">
        <f t="shared" si="35"/>
        <v xml:space="preserve">Inox Serti ItalienManchon long Manchon long </v>
      </c>
      <c r="E1997" s="76"/>
      <c r="F1997" s="76">
        <v>0</v>
      </c>
      <c r="G1997" s="71"/>
      <c r="H1997" s="71"/>
      <c r="I1997" s="71"/>
      <c r="J1997" s="70">
        <f>IFERROR(VLOOKUP(Devis[[#This Row],[Ref Air Flux]],#REF!,3,FALSE),0)</f>
        <v>0</v>
      </c>
      <c r="K1997" s="68"/>
      <c r="L1997" s="68"/>
      <c r="M1997" s="68"/>
      <c r="N1997" s="68"/>
      <c r="O1997" s="68"/>
      <c r="P1997" s="68"/>
      <c r="Q1997" s="68">
        <f>SUM(Devis[[#This Row],[Poste 1]:[Poste 6]])</f>
        <v>0</v>
      </c>
      <c r="R1997" s="71"/>
      <c r="S1997" s="68">
        <f>_xlfn.CEILING.MATH(Devis[[#This Row],[Quantité Totale]],Devis[[#This Row],[Conditionnement]])</f>
        <v>0</v>
      </c>
      <c r="T1997" s="72"/>
      <c r="U1997" s="73"/>
      <c r="V1997" s="74">
        <f>Devis[[#This Row],[Prix de Revient]]*Devis[[#This Row],[Poste 1]]</f>
        <v>0</v>
      </c>
      <c r="W1997" s="74">
        <f>Devis[[#This Row],[Prix de Revient]]*Devis[[#This Row],[Poste 2]]</f>
        <v>0</v>
      </c>
      <c r="X1997" s="74">
        <f>Devis[[#This Row],[Prix de Revient]]*Devis[[#This Row],[Poste 3]]</f>
        <v>0</v>
      </c>
      <c r="Y1997" s="74">
        <f>Devis[[#This Row],[Poste 4]]*Devis[[#This Row],[Prix de Revient]]</f>
        <v>0</v>
      </c>
      <c r="Z1997" s="74">
        <f>Devis[[#This Row],[Poste 5]]*Devis[[#This Row],[Prix de Revient]]</f>
        <v>0</v>
      </c>
      <c r="AA1997" s="74">
        <f>Devis[[#This Row],[Prix de Revient]]*Devis[[#This Row],[Poste 6]]</f>
        <v>0</v>
      </c>
      <c r="AB1997" s="74">
        <f>Devis[[#This Row],[Quantité Totale]]*Devis[[#This Row],[Prix de Revient]]</f>
        <v>0</v>
      </c>
    </row>
    <row r="1998" spans="1:28" ht="14.25" customHeight="1" outlineLevel="1" x14ac:dyDescent="0.2">
      <c r="A1998" s="75" t="s">
        <v>1647</v>
      </c>
      <c r="B1998" s="76" t="s">
        <v>1473</v>
      </c>
      <c r="C1998" s="76" t="s">
        <v>1473</v>
      </c>
      <c r="D1998" s="81" t="str">
        <f t="shared" si="35"/>
        <v xml:space="preserve">Inox Serti ItalienManchon long Manchon long </v>
      </c>
      <c r="E1998" s="76" t="s">
        <v>1648</v>
      </c>
      <c r="F1998" s="76">
        <v>1</v>
      </c>
      <c r="G1998" s="71" t="s">
        <v>1830</v>
      </c>
      <c r="H1998" s="71" t="s">
        <v>459</v>
      </c>
      <c r="I1998" s="71">
        <v>183015001</v>
      </c>
      <c r="J1998" s="70">
        <f>IFERROR(VLOOKUP(Devis[[#This Row],[Ref Air Flux]],#REF!,3,FALSE),0)</f>
        <v>0</v>
      </c>
      <c r="K1998" s="68"/>
      <c r="L1998" s="68"/>
      <c r="M1998" s="68"/>
      <c r="N1998" s="68"/>
      <c r="O1998" s="68"/>
      <c r="P1998" s="68"/>
      <c r="Q1998" s="68">
        <f>SUM(Devis[[#This Row],[Poste 1]:[Poste 6]])</f>
        <v>0</v>
      </c>
      <c r="R1998" s="71">
        <v>20</v>
      </c>
      <c r="S1998" s="68">
        <f>_xlfn.CEILING.MATH(Devis[[#This Row],[Quantité Totale]],Devis[[#This Row],[Conditionnement]])</f>
        <v>0</v>
      </c>
      <c r="T1998" s="72"/>
      <c r="U1998" s="73"/>
      <c r="V1998" s="74">
        <f>Devis[[#This Row],[Prix de Revient]]*Devis[[#This Row],[Poste 1]]</f>
        <v>0</v>
      </c>
      <c r="W1998" s="74">
        <f>Devis[[#This Row],[Prix de Revient]]*Devis[[#This Row],[Poste 2]]</f>
        <v>0</v>
      </c>
      <c r="X1998" s="74">
        <f>Devis[[#This Row],[Prix de Revient]]*Devis[[#This Row],[Poste 3]]</f>
        <v>0</v>
      </c>
      <c r="Y1998" s="74">
        <f>Devis[[#This Row],[Poste 4]]*Devis[[#This Row],[Prix de Revient]]</f>
        <v>0</v>
      </c>
      <c r="Z1998" s="74">
        <f>Devis[[#This Row],[Poste 5]]*Devis[[#This Row],[Prix de Revient]]</f>
        <v>0</v>
      </c>
      <c r="AA1998" s="74">
        <f>Devis[[#This Row],[Prix de Revient]]*Devis[[#This Row],[Poste 6]]</f>
        <v>0</v>
      </c>
      <c r="AB1998" s="74">
        <f>Devis[[#This Row],[Quantité Totale]]*Devis[[#This Row],[Prix de Revient]]</f>
        <v>0</v>
      </c>
    </row>
    <row r="1999" spans="1:28" ht="14.25" outlineLevel="1" x14ac:dyDescent="0.2">
      <c r="A1999" s="75" t="s">
        <v>1647</v>
      </c>
      <c r="B1999" s="76" t="s">
        <v>1473</v>
      </c>
      <c r="C1999" s="76" t="s">
        <v>1473</v>
      </c>
      <c r="D1999" s="81" t="str">
        <f t="shared" si="35"/>
        <v xml:space="preserve">Inox Serti ItalienManchon long Manchon long </v>
      </c>
      <c r="E1999" s="76" t="s">
        <v>1650</v>
      </c>
      <c r="F1999" s="76">
        <v>2</v>
      </c>
      <c r="G1999" s="71" t="s">
        <v>1831</v>
      </c>
      <c r="H1999" s="71" t="s">
        <v>459</v>
      </c>
      <c r="I1999" s="71">
        <v>183018001</v>
      </c>
      <c r="J1999" s="70">
        <f>IFERROR(VLOOKUP(Devis[[#This Row],[Ref Air Flux]],#REF!,3,FALSE),0)</f>
        <v>0</v>
      </c>
      <c r="K1999" s="68"/>
      <c r="L1999" s="68"/>
      <c r="M1999" s="68"/>
      <c r="N1999" s="68"/>
      <c r="O1999" s="68"/>
      <c r="P1999" s="68"/>
      <c r="Q1999" s="68">
        <f>SUM(Devis[[#This Row],[Poste 1]:[Poste 6]])</f>
        <v>0</v>
      </c>
      <c r="R1999" s="71">
        <v>20</v>
      </c>
      <c r="S1999" s="68">
        <f>_xlfn.CEILING.MATH(Devis[[#This Row],[Quantité Totale]],Devis[[#This Row],[Conditionnement]])</f>
        <v>0</v>
      </c>
      <c r="T1999" s="72"/>
      <c r="U1999" s="73"/>
      <c r="V1999" s="74">
        <f>Devis[[#This Row],[Prix de Revient]]*Devis[[#This Row],[Poste 1]]</f>
        <v>0</v>
      </c>
      <c r="W1999" s="74">
        <f>Devis[[#This Row],[Prix de Revient]]*Devis[[#This Row],[Poste 2]]</f>
        <v>0</v>
      </c>
      <c r="X1999" s="74">
        <f>Devis[[#This Row],[Prix de Revient]]*Devis[[#This Row],[Poste 3]]</f>
        <v>0</v>
      </c>
      <c r="Y1999" s="74">
        <f>Devis[[#This Row],[Poste 4]]*Devis[[#This Row],[Prix de Revient]]</f>
        <v>0</v>
      </c>
      <c r="Z1999" s="74">
        <f>Devis[[#This Row],[Poste 5]]*Devis[[#This Row],[Prix de Revient]]</f>
        <v>0</v>
      </c>
      <c r="AA1999" s="74">
        <f>Devis[[#This Row],[Prix de Revient]]*Devis[[#This Row],[Poste 6]]</f>
        <v>0</v>
      </c>
      <c r="AB1999" s="74">
        <f>Devis[[#This Row],[Quantité Totale]]*Devis[[#This Row],[Prix de Revient]]</f>
        <v>0</v>
      </c>
    </row>
    <row r="2000" spans="1:28" ht="14.25" outlineLevel="1" x14ac:dyDescent="0.2">
      <c r="A2000" s="75" t="s">
        <v>1647</v>
      </c>
      <c r="B2000" s="76" t="s">
        <v>1473</v>
      </c>
      <c r="C2000" s="76" t="s">
        <v>1473</v>
      </c>
      <c r="D2000" s="81" t="str">
        <f t="shared" si="35"/>
        <v xml:space="preserve">Inox Serti ItalienManchon long Manchon long </v>
      </c>
      <c r="E2000" s="76" t="s">
        <v>1652</v>
      </c>
      <c r="F2000" s="76">
        <v>3</v>
      </c>
      <c r="G2000" s="71" t="s">
        <v>1832</v>
      </c>
      <c r="H2000" s="71" t="s">
        <v>459</v>
      </c>
      <c r="I2000" s="71">
        <v>183022001</v>
      </c>
      <c r="J2000" s="70">
        <f>IFERROR(VLOOKUP(Devis[[#This Row],[Ref Air Flux]],#REF!,3,FALSE),0)</f>
        <v>0</v>
      </c>
      <c r="K2000" s="68"/>
      <c r="L2000" s="68"/>
      <c r="M2000" s="68"/>
      <c r="N2000" s="68"/>
      <c r="O2000" s="68"/>
      <c r="P2000" s="68"/>
      <c r="Q2000" s="68">
        <f>SUM(Devis[[#This Row],[Poste 1]:[Poste 6]])</f>
        <v>0</v>
      </c>
      <c r="R2000" s="71">
        <v>20</v>
      </c>
      <c r="S2000" s="68">
        <f>_xlfn.CEILING.MATH(Devis[[#This Row],[Quantité Totale]],Devis[[#This Row],[Conditionnement]])</f>
        <v>0</v>
      </c>
      <c r="T2000" s="72"/>
      <c r="U2000" s="73"/>
      <c r="V2000" s="74">
        <f>Devis[[#This Row],[Prix de Revient]]*Devis[[#This Row],[Poste 1]]</f>
        <v>0</v>
      </c>
      <c r="W2000" s="74">
        <f>Devis[[#This Row],[Prix de Revient]]*Devis[[#This Row],[Poste 2]]</f>
        <v>0</v>
      </c>
      <c r="X2000" s="74">
        <f>Devis[[#This Row],[Prix de Revient]]*Devis[[#This Row],[Poste 3]]</f>
        <v>0</v>
      </c>
      <c r="Y2000" s="74">
        <f>Devis[[#This Row],[Poste 4]]*Devis[[#This Row],[Prix de Revient]]</f>
        <v>0</v>
      </c>
      <c r="Z2000" s="74">
        <f>Devis[[#This Row],[Poste 5]]*Devis[[#This Row],[Prix de Revient]]</f>
        <v>0</v>
      </c>
      <c r="AA2000" s="74">
        <f>Devis[[#This Row],[Prix de Revient]]*Devis[[#This Row],[Poste 6]]</f>
        <v>0</v>
      </c>
      <c r="AB2000" s="74">
        <f>Devis[[#This Row],[Quantité Totale]]*Devis[[#This Row],[Prix de Revient]]</f>
        <v>0</v>
      </c>
    </row>
    <row r="2001" spans="1:28" ht="14.25" outlineLevel="1" x14ac:dyDescent="0.2">
      <c r="A2001" s="75" t="s">
        <v>1647</v>
      </c>
      <c r="B2001" s="76" t="s">
        <v>1473</v>
      </c>
      <c r="C2001" s="76" t="s">
        <v>1473</v>
      </c>
      <c r="D2001" s="81" t="str">
        <f t="shared" si="35"/>
        <v xml:space="preserve">Inox Serti ItalienManchon long Manchon long </v>
      </c>
      <c r="E2001" s="76" t="s">
        <v>1704</v>
      </c>
      <c r="F2001" s="76">
        <v>4</v>
      </c>
      <c r="G2001" s="71" t="s">
        <v>1833</v>
      </c>
      <c r="H2001" s="71" t="s">
        <v>459</v>
      </c>
      <c r="I2001" s="71">
        <v>183028001</v>
      </c>
      <c r="J2001" s="70">
        <f>IFERROR(VLOOKUP(Devis[[#This Row],[Ref Air Flux]],#REF!,3,FALSE),0)</f>
        <v>0</v>
      </c>
      <c r="K2001" s="68"/>
      <c r="L2001" s="68"/>
      <c r="M2001" s="68"/>
      <c r="N2001" s="68"/>
      <c r="O2001" s="68"/>
      <c r="P2001" s="68"/>
      <c r="Q2001" s="68">
        <f>SUM(Devis[[#This Row],[Poste 1]:[Poste 6]])</f>
        <v>0</v>
      </c>
      <c r="R2001" s="71">
        <v>10</v>
      </c>
      <c r="S2001" s="68">
        <f>_xlfn.CEILING.MATH(Devis[[#This Row],[Quantité Totale]],Devis[[#This Row],[Conditionnement]])</f>
        <v>0</v>
      </c>
      <c r="T2001" s="72"/>
      <c r="U2001" s="73"/>
      <c r="V2001" s="74">
        <f>Devis[[#This Row],[Prix de Revient]]*Devis[[#This Row],[Poste 1]]</f>
        <v>0</v>
      </c>
      <c r="W2001" s="74">
        <f>Devis[[#This Row],[Prix de Revient]]*Devis[[#This Row],[Poste 2]]</f>
        <v>0</v>
      </c>
      <c r="X2001" s="74">
        <f>Devis[[#This Row],[Prix de Revient]]*Devis[[#This Row],[Poste 3]]</f>
        <v>0</v>
      </c>
      <c r="Y2001" s="74">
        <f>Devis[[#This Row],[Poste 4]]*Devis[[#This Row],[Prix de Revient]]</f>
        <v>0</v>
      </c>
      <c r="Z2001" s="74">
        <f>Devis[[#This Row],[Poste 5]]*Devis[[#This Row],[Prix de Revient]]</f>
        <v>0</v>
      </c>
      <c r="AA2001" s="74">
        <f>Devis[[#This Row],[Prix de Revient]]*Devis[[#This Row],[Poste 6]]</f>
        <v>0</v>
      </c>
      <c r="AB2001" s="74">
        <f>Devis[[#This Row],[Quantité Totale]]*Devis[[#This Row],[Prix de Revient]]</f>
        <v>0</v>
      </c>
    </row>
    <row r="2002" spans="1:28" ht="14.25" outlineLevel="1" x14ac:dyDescent="0.2">
      <c r="A2002" s="75" t="s">
        <v>1647</v>
      </c>
      <c r="B2002" s="76" t="s">
        <v>1473</v>
      </c>
      <c r="C2002" s="76" t="s">
        <v>1473</v>
      </c>
      <c r="D2002" s="81" t="str">
        <f t="shared" si="35"/>
        <v xml:space="preserve">Inox Serti ItalienManchon long Manchon long </v>
      </c>
      <c r="E2002" s="76" t="s">
        <v>1655</v>
      </c>
      <c r="F2002" s="76">
        <v>5</v>
      </c>
      <c r="G2002" s="71" t="s">
        <v>1834</v>
      </c>
      <c r="H2002" s="71" t="s">
        <v>459</v>
      </c>
      <c r="I2002" s="71">
        <v>183035001</v>
      </c>
      <c r="J2002" s="70">
        <f>IFERROR(VLOOKUP(Devis[[#This Row],[Ref Air Flux]],#REF!,3,FALSE),0)</f>
        <v>0</v>
      </c>
      <c r="K2002" s="68"/>
      <c r="L2002" s="68"/>
      <c r="M2002" s="68"/>
      <c r="N2002" s="68"/>
      <c r="O2002" s="68"/>
      <c r="P2002" s="68"/>
      <c r="Q2002" s="68">
        <f>SUM(Devis[[#This Row],[Poste 1]:[Poste 6]])</f>
        <v>0</v>
      </c>
      <c r="R2002" s="71">
        <v>10</v>
      </c>
      <c r="S2002" s="68">
        <f>_xlfn.CEILING.MATH(Devis[[#This Row],[Quantité Totale]],Devis[[#This Row],[Conditionnement]])</f>
        <v>0</v>
      </c>
      <c r="T2002" s="72"/>
      <c r="U2002" s="73"/>
      <c r="V2002" s="74">
        <f>Devis[[#This Row],[Prix de Revient]]*Devis[[#This Row],[Poste 1]]</f>
        <v>0</v>
      </c>
      <c r="W2002" s="74">
        <f>Devis[[#This Row],[Prix de Revient]]*Devis[[#This Row],[Poste 2]]</f>
        <v>0</v>
      </c>
      <c r="X2002" s="74">
        <f>Devis[[#This Row],[Prix de Revient]]*Devis[[#This Row],[Poste 3]]</f>
        <v>0</v>
      </c>
      <c r="Y2002" s="74">
        <f>Devis[[#This Row],[Poste 4]]*Devis[[#This Row],[Prix de Revient]]</f>
        <v>0</v>
      </c>
      <c r="Z2002" s="74">
        <f>Devis[[#This Row],[Poste 5]]*Devis[[#This Row],[Prix de Revient]]</f>
        <v>0</v>
      </c>
      <c r="AA2002" s="74">
        <f>Devis[[#This Row],[Prix de Revient]]*Devis[[#This Row],[Poste 6]]</f>
        <v>0</v>
      </c>
      <c r="AB2002" s="74">
        <f>Devis[[#This Row],[Quantité Totale]]*Devis[[#This Row],[Prix de Revient]]</f>
        <v>0</v>
      </c>
    </row>
    <row r="2003" spans="1:28" ht="14.25" outlineLevel="1" x14ac:dyDescent="0.2">
      <c r="A2003" s="75" t="s">
        <v>1647</v>
      </c>
      <c r="B2003" s="76" t="s">
        <v>1473</v>
      </c>
      <c r="C2003" s="76" t="s">
        <v>1473</v>
      </c>
      <c r="D2003" s="81" t="str">
        <f t="shared" si="35"/>
        <v xml:space="preserve">Inox Serti ItalienManchon long Manchon long </v>
      </c>
      <c r="E2003" s="76" t="s">
        <v>1657</v>
      </c>
      <c r="F2003" s="76">
        <v>6</v>
      </c>
      <c r="G2003" s="71" t="s">
        <v>1835</v>
      </c>
      <c r="H2003" s="71" t="s">
        <v>459</v>
      </c>
      <c r="I2003" s="71">
        <v>183042001</v>
      </c>
      <c r="J2003" s="70">
        <f>IFERROR(VLOOKUP(Devis[[#This Row],[Ref Air Flux]],#REF!,3,FALSE),0)</f>
        <v>0</v>
      </c>
      <c r="K2003" s="68"/>
      <c r="L2003" s="68"/>
      <c r="M2003" s="68"/>
      <c r="N2003" s="68"/>
      <c r="O2003" s="68"/>
      <c r="P2003" s="68"/>
      <c r="Q2003" s="68">
        <f>SUM(Devis[[#This Row],[Poste 1]:[Poste 6]])</f>
        <v>0</v>
      </c>
      <c r="R2003" s="71">
        <v>4</v>
      </c>
      <c r="S2003" s="68">
        <f>_xlfn.CEILING.MATH(Devis[[#This Row],[Quantité Totale]],Devis[[#This Row],[Conditionnement]])</f>
        <v>0</v>
      </c>
      <c r="T2003" s="72"/>
      <c r="U2003" s="73"/>
      <c r="V2003" s="74">
        <f>Devis[[#This Row],[Prix de Revient]]*Devis[[#This Row],[Poste 1]]</f>
        <v>0</v>
      </c>
      <c r="W2003" s="74">
        <f>Devis[[#This Row],[Prix de Revient]]*Devis[[#This Row],[Poste 2]]</f>
        <v>0</v>
      </c>
      <c r="X2003" s="74">
        <f>Devis[[#This Row],[Prix de Revient]]*Devis[[#This Row],[Poste 3]]</f>
        <v>0</v>
      </c>
      <c r="Y2003" s="74">
        <f>Devis[[#This Row],[Poste 4]]*Devis[[#This Row],[Prix de Revient]]</f>
        <v>0</v>
      </c>
      <c r="Z2003" s="74">
        <f>Devis[[#This Row],[Poste 5]]*Devis[[#This Row],[Prix de Revient]]</f>
        <v>0</v>
      </c>
      <c r="AA2003" s="74">
        <f>Devis[[#This Row],[Prix de Revient]]*Devis[[#This Row],[Poste 6]]</f>
        <v>0</v>
      </c>
      <c r="AB2003" s="74">
        <f>Devis[[#This Row],[Quantité Totale]]*Devis[[#This Row],[Prix de Revient]]</f>
        <v>0</v>
      </c>
    </row>
    <row r="2004" spans="1:28" ht="14.25" outlineLevel="1" x14ac:dyDescent="0.2">
      <c r="A2004" s="75" t="s">
        <v>1647</v>
      </c>
      <c r="B2004" s="76" t="s">
        <v>1473</v>
      </c>
      <c r="C2004" s="76" t="s">
        <v>1473</v>
      </c>
      <c r="D2004" s="81" t="str">
        <f t="shared" si="35"/>
        <v xml:space="preserve">Inox Serti ItalienManchon long Manchon long </v>
      </c>
      <c r="E2004" s="76" t="s">
        <v>1708</v>
      </c>
      <c r="F2004" s="76">
        <v>7</v>
      </c>
      <c r="G2004" s="71" t="s">
        <v>1836</v>
      </c>
      <c r="H2004" s="71" t="s">
        <v>459</v>
      </c>
      <c r="I2004" s="71">
        <v>183054001</v>
      </c>
      <c r="J2004" s="70">
        <f>IFERROR(VLOOKUP(Devis[[#This Row],[Ref Air Flux]],#REF!,3,FALSE),0)</f>
        <v>0</v>
      </c>
      <c r="K2004" s="68"/>
      <c r="L2004" s="68"/>
      <c r="M2004" s="68"/>
      <c r="N2004" s="68"/>
      <c r="O2004" s="68"/>
      <c r="P2004" s="68"/>
      <c r="Q2004" s="68">
        <f>SUM(Devis[[#This Row],[Poste 1]:[Poste 6]])</f>
        <v>0</v>
      </c>
      <c r="R2004" s="71">
        <v>2</v>
      </c>
      <c r="S2004" s="68">
        <f>_xlfn.CEILING.MATH(Devis[[#This Row],[Quantité Totale]],Devis[[#This Row],[Conditionnement]])</f>
        <v>0</v>
      </c>
      <c r="T2004" s="72"/>
      <c r="U2004" s="73"/>
      <c r="V2004" s="74">
        <f>Devis[[#This Row],[Prix de Revient]]*Devis[[#This Row],[Poste 1]]</f>
        <v>0</v>
      </c>
      <c r="W2004" s="74">
        <f>Devis[[#This Row],[Prix de Revient]]*Devis[[#This Row],[Poste 2]]</f>
        <v>0</v>
      </c>
      <c r="X2004" s="74">
        <f>Devis[[#This Row],[Prix de Revient]]*Devis[[#This Row],[Poste 3]]</f>
        <v>0</v>
      </c>
      <c r="Y2004" s="74">
        <f>Devis[[#This Row],[Poste 4]]*Devis[[#This Row],[Prix de Revient]]</f>
        <v>0</v>
      </c>
      <c r="Z2004" s="74">
        <f>Devis[[#This Row],[Poste 5]]*Devis[[#This Row],[Prix de Revient]]</f>
        <v>0</v>
      </c>
      <c r="AA2004" s="74">
        <f>Devis[[#This Row],[Prix de Revient]]*Devis[[#This Row],[Poste 6]]</f>
        <v>0</v>
      </c>
      <c r="AB2004" s="74">
        <f>Devis[[#This Row],[Quantité Totale]]*Devis[[#This Row],[Prix de Revient]]</f>
        <v>0</v>
      </c>
    </row>
    <row r="2005" spans="1:28" ht="14.25" outlineLevel="1" x14ac:dyDescent="0.2">
      <c r="A2005" s="75" t="s">
        <v>1647</v>
      </c>
      <c r="B2005" s="76" t="s">
        <v>1473</v>
      </c>
      <c r="C2005" s="76" t="s">
        <v>1473</v>
      </c>
      <c r="D2005" s="81" t="str">
        <f t="shared" si="35"/>
        <v xml:space="preserve">Inox Serti ItalienManchon long Manchon long </v>
      </c>
      <c r="E2005" s="76" t="s">
        <v>1710</v>
      </c>
      <c r="F2005" s="76">
        <v>8</v>
      </c>
      <c r="G2005" s="71" t="s">
        <v>1837</v>
      </c>
      <c r="H2005" s="71" t="s">
        <v>459</v>
      </c>
      <c r="I2005" s="71">
        <v>183076001</v>
      </c>
      <c r="J2005" s="70">
        <f>IFERROR(VLOOKUP(Devis[[#This Row],[Ref Air Flux]],#REF!,3,FALSE),0)</f>
        <v>0</v>
      </c>
      <c r="K2005" s="68"/>
      <c r="L2005" s="68"/>
      <c r="M2005" s="68"/>
      <c r="N2005" s="68"/>
      <c r="O2005" s="68"/>
      <c r="P2005" s="68"/>
      <c r="Q2005" s="68">
        <f>SUM(Devis[[#This Row],[Poste 1]:[Poste 6]])</f>
        <v>0</v>
      </c>
      <c r="R2005" s="71">
        <v>2</v>
      </c>
      <c r="S2005" s="68">
        <f>_xlfn.CEILING.MATH(Devis[[#This Row],[Quantité Totale]],Devis[[#This Row],[Conditionnement]])</f>
        <v>0</v>
      </c>
      <c r="T2005" s="72"/>
      <c r="U2005" s="73"/>
      <c r="V2005" s="74">
        <f>Devis[[#This Row],[Prix de Revient]]*Devis[[#This Row],[Poste 1]]</f>
        <v>0</v>
      </c>
      <c r="W2005" s="74">
        <f>Devis[[#This Row],[Prix de Revient]]*Devis[[#This Row],[Poste 2]]</f>
        <v>0</v>
      </c>
      <c r="X2005" s="74">
        <f>Devis[[#This Row],[Prix de Revient]]*Devis[[#This Row],[Poste 3]]</f>
        <v>0</v>
      </c>
      <c r="Y2005" s="74">
        <f>Devis[[#This Row],[Poste 4]]*Devis[[#This Row],[Prix de Revient]]</f>
        <v>0</v>
      </c>
      <c r="Z2005" s="74">
        <f>Devis[[#This Row],[Poste 5]]*Devis[[#This Row],[Prix de Revient]]</f>
        <v>0</v>
      </c>
      <c r="AA2005" s="74">
        <f>Devis[[#This Row],[Prix de Revient]]*Devis[[#This Row],[Poste 6]]</f>
        <v>0</v>
      </c>
      <c r="AB2005" s="74">
        <f>Devis[[#This Row],[Quantité Totale]]*Devis[[#This Row],[Prix de Revient]]</f>
        <v>0</v>
      </c>
    </row>
    <row r="2006" spans="1:28" ht="14.25" outlineLevel="1" x14ac:dyDescent="0.2">
      <c r="A2006" s="75" t="s">
        <v>1647</v>
      </c>
      <c r="B2006" s="76" t="s">
        <v>1473</v>
      </c>
      <c r="C2006" s="76" t="s">
        <v>1473</v>
      </c>
      <c r="D2006" s="81" t="str">
        <f t="shared" si="35"/>
        <v xml:space="preserve">Inox Serti ItalienManchon long Manchon long </v>
      </c>
      <c r="E2006" s="76" t="s">
        <v>1712</v>
      </c>
      <c r="F2006" s="76">
        <v>9</v>
      </c>
      <c r="G2006" s="71" t="s">
        <v>1838</v>
      </c>
      <c r="H2006" s="71" t="s">
        <v>459</v>
      </c>
      <c r="I2006" s="71">
        <v>183088001</v>
      </c>
      <c r="J2006" s="70">
        <f>IFERROR(VLOOKUP(Devis[[#This Row],[Ref Air Flux]],#REF!,3,FALSE),0)</f>
        <v>0</v>
      </c>
      <c r="K2006" s="68"/>
      <c r="L2006" s="68"/>
      <c r="M2006" s="68"/>
      <c r="N2006" s="68"/>
      <c r="O2006" s="68"/>
      <c r="P2006" s="68"/>
      <c r="Q2006" s="68">
        <f>SUM(Devis[[#This Row],[Poste 1]:[Poste 6]])</f>
        <v>0</v>
      </c>
      <c r="R2006" s="71">
        <v>2</v>
      </c>
      <c r="S2006" s="68">
        <f>_xlfn.CEILING.MATH(Devis[[#This Row],[Quantité Totale]],Devis[[#This Row],[Conditionnement]])</f>
        <v>0</v>
      </c>
      <c r="T2006" s="72"/>
      <c r="U2006" s="73"/>
      <c r="V2006" s="74">
        <f>Devis[[#This Row],[Prix de Revient]]*Devis[[#This Row],[Poste 1]]</f>
        <v>0</v>
      </c>
      <c r="W2006" s="74">
        <f>Devis[[#This Row],[Prix de Revient]]*Devis[[#This Row],[Poste 2]]</f>
        <v>0</v>
      </c>
      <c r="X2006" s="74">
        <f>Devis[[#This Row],[Prix de Revient]]*Devis[[#This Row],[Poste 3]]</f>
        <v>0</v>
      </c>
      <c r="Y2006" s="74">
        <f>Devis[[#This Row],[Poste 4]]*Devis[[#This Row],[Prix de Revient]]</f>
        <v>0</v>
      </c>
      <c r="Z2006" s="74">
        <f>Devis[[#This Row],[Poste 5]]*Devis[[#This Row],[Prix de Revient]]</f>
        <v>0</v>
      </c>
      <c r="AA2006" s="74">
        <f>Devis[[#This Row],[Prix de Revient]]*Devis[[#This Row],[Poste 6]]</f>
        <v>0</v>
      </c>
      <c r="AB2006" s="74">
        <f>Devis[[#This Row],[Quantité Totale]]*Devis[[#This Row],[Prix de Revient]]</f>
        <v>0</v>
      </c>
    </row>
    <row r="2007" spans="1:28" ht="14.25" outlineLevel="1" x14ac:dyDescent="0.2">
      <c r="A2007" s="75" t="s">
        <v>1647</v>
      </c>
      <c r="B2007" s="76" t="s">
        <v>1473</v>
      </c>
      <c r="C2007" s="76" t="s">
        <v>1473</v>
      </c>
      <c r="D2007" s="81" t="str">
        <f t="shared" si="35"/>
        <v xml:space="preserve">Inox Serti ItalienManchon long Manchon long </v>
      </c>
      <c r="E2007" s="76" t="s">
        <v>1714</v>
      </c>
      <c r="F2007" s="76">
        <v>10</v>
      </c>
      <c r="G2007" s="71" t="s">
        <v>1839</v>
      </c>
      <c r="H2007" s="71" t="s">
        <v>459</v>
      </c>
      <c r="I2007" s="71">
        <v>183108001</v>
      </c>
      <c r="J2007" s="70">
        <f>IFERROR(VLOOKUP(Devis[[#This Row],[Ref Air Flux]],#REF!,3,FALSE),0)</f>
        <v>0</v>
      </c>
      <c r="K2007" s="68"/>
      <c r="L2007" s="68"/>
      <c r="M2007" s="68"/>
      <c r="N2007" s="68"/>
      <c r="O2007" s="68"/>
      <c r="P2007" s="68"/>
      <c r="Q2007" s="68">
        <f>SUM(Devis[[#This Row],[Poste 1]:[Poste 6]])</f>
        <v>0</v>
      </c>
      <c r="R2007" s="71">
        <v>2</v>
      </c>
      <c r="S2007" s="68">
        <f>_xlfn.CEILING.MATH(Devis[[#This Row],[Quantité Totale]],Devis[[#This Row],[Conditionnement]])</f>
        <v>0</v>
      </c>
      <c r="T2007" s="72"/>
      <c r="U2007" s="73"/>
      <c r="V2007" s="74">
        <f>Devis[[#This Row],[Prix de Revient]]*Devis[[#This Row],[Poste 1]]</f>
        <v>0</v>
      </c>
      <c r="W2007" s="74">
        <f>Devis[[#This Row],[Prix de Revient]]*Devis[[#This Row],[Poste 2]]</f>
        <v>0</v>
      </c>
      <c r="X2007" s="74">
        <f>Devis[[#This Row],[Prix de Revient]]*Devis[[#This Row],[Poste 3]]</f>
        <v>0</v>
      </c>
      <c r="Y2007" s="74">
        <f>Devis[[#This Row],[Poste 4]]*Devis[[#This Row],[Prix de Revient]]</f>
        <v>0</v>
      </c>
      <c r="Z2007" s="74">
        <f>Devis[[#This Row],[Poste 5]]*Devis[[#This Row],[Prix de Revient]]</f>
        <v>0</v>
      </c>
      <c r="AA2007" s="74">
        <f>Devis[[#This Row],[Prix de Revient]]*Devis[[#This Row],[Poste 6]]</f>
        <v>0</v>
      </c>
      <c r="AB2007" s="74">
        <f>Devis[[#This Row],[Quantité Totale]]*Devis[[#This Row],[Prix de Revient]]</f>
        <v>0</v>
      </c>
    </row>
    <row r="2008" spans="1:28" ht="15" x14ac:dyDescent="0.25">
      <c r="A2008" s="65" t="s">
        <v>1647</v>
      </c>
      <c r="B2008" s="65" t="s">
        <v>5328</v>
      </c>
      <c r="C2008" s="76" t="s">
        <v>3474</v>
      </c>
      <c r="D2008" s="81" t="str">
        <f t="shared" si="35"/>
        <v>Inox Serti ItalienManchon MixteManchons à sertir M mixtes F</v>
      </c>
      <c r="E2008" s="76"/>
      <c r="F2008" s="76">
        <v>0</v>
      </c>
      <c r="G2008" s="71"/>
      <c r="H2008" s="71"/>
      <c r="I2008" s="71"/>
      <c r="J2008" s="70">
        <f>IFERROR(VLOOKUP(Devis[[#This Row],[Ref Air Flux]],#REF!,3,FALSE),0)</f>
        <v>0</v>
      </c>
      <c r="K2008" s="68"/>
      <c r="L2008" s="68"/>
      <c r="M2008" s="68"/>
      <c r="N2008" s="68"/>
      <c r="O2008" s="68"/>
      <c r="P2008" s="68"/>
      <c r="Q2008" s="68">
        <f>SUM(Devis[[#This Row],[Poste 1]:[Poste 6]])</f>
        <v>0</v>
      </c>
      <c r="R2008" s="71"/>
      <c r="S2008" s="68">
        <f>_xlfn.CEILING.MATH(Devis[[#This Row],[Quantité Totale]],Devis[[#This Row],[Conditionnement]])</f>
        <v>0</v>
      </c>
      <c r="T2008" s="72"/>
      <c r="U2008" s="73"/>
      <c r="V2008" s="74">
        <f>Devis[[#This Row],[Prix de Revient]]*Devis[[#This Row],[Poste 1]]</f>
        <v>0</v>
      </c>
      <c r="W2008" s="74">
        <f>Devis[[#This Row],[Prix de Revient]]*Devis[[#This Row],[Poste 2]]</f>
        <v>0</v>
      </c>
      <c r="X2008" s="74">
        <f>Devis[[#This Row],[Prix de Revient]]*Devis[[#This Row],[Poste 3]]</f>
        <v>0</v>
      </c>
      <c r="Y2008" s="74">
        <f>Devis[[#This Row],[Poste 4]]*Devis[[#This Row],[Prix de Revient]]</f>
        <v>0</v>
      </c>
      <c r="Z2008" s="74">
        <f>Devis[[#This Row],[Poste 5]]*Devis[[#This Row],[Prix de Revient]]</f>
        <v>0</v>
      </c>
      <c r="AA2008" s="74">
        <f>Devis[[#This Row],[Prix de Revient]]*Devis[[#This Row],[Poste 6]]</f>
        <v>0</v>
      </c>
      <c r="AB2008" s="74">
        <f>Devis[[#This Row],[Quantité Totale]]*Devis[[#This Row],[Prix de Revient]]</f>
        <v>0</v>
      </c>
    </row>
    <row r="2009" spans="1:28" ht="14.25" customHeight="1" outlineLevel="1" x14ac:dyDescent="0.2">
      <c r="A2009" s="75" t="s">
        <v>1647</v>
      </c>
      <c r="B2009" s="76" t="s">
        <v>5328</v>
      </c>
      <c r="C2009" s="76" t="s">
        <v>3474</v>
      </c>
      <c r="D2009" s="81" t="str">
        <f t="shared" si="35"/>
        <v>Inox Serti ItalienManchon MixteManchons à sertir M mixtes F</v>
      </c>
      <c r="E2009" s="76" t="s">
        <v>5342</v>
      </c>
      <c r="F2009" s="76">
        <v>1</v>
      </c>
      <c r="G2009" s="71" t="s">
        <v>3475</v>
      </c>
      <c r="H2009" s="71" t="s">
        <v>459</v>
      </c>
      <c r="I2009" s="71">
        <v>269114035</v>
      </c>
      <c r="J2009" s="70">
        <f>IFERROR(VLOOKUP(Devis[[#This Row],[Ref Air Flux]],#REF!,3,FALSE),0)</f>
        <v>0</v>
      </c>
      <c r="K2009" s="68"/>
      <c r="L2009" s="68"/>
      <c r="M2009" s="68"/>
      <c r="N2009" s="68"/>
      <c r="O2009" s="68"/>
      <c r="P2009" s="68"/>
      <c r="Q2009" s="68">
        <f>SUM(Devis[[#This Row],[Poste 1]:[Poste 6]])</f>
        <v>0</v>
      </c>
      <c r="R2009" s="71"/>
      <c r="S2009" s="68">
        <f>_xlfn.CEILING.MATH(Devis[[#This Row],[Quantité Totale]],Devis[[#This Row],[Conditionnement]])</f>
        <v>0</v>
      </c>
      <c r="T2009" s="72"/>
      <c r="U2009" s="73"/>
      <c r="V2009" s="74">
        <f>Devis[[#This Row],[Prix de Revient]]*Devis[[#This Row],[Poste 1]]</f>
        <v>0</v>
      </c>
      <c r="W2009" s="74">
        <f>Devis[[#This Row],[Prix de Revient]]*Devis[[#This Row],[Poste 2]]</f>
        <v>0</v>
      </c>
      <c r="X2009" s="74">
        <f>Devis[[#This Row],[Prix de Revient]]*Devis[[#This Row],[Poste 3]]</f>
        <v>0</v>
      </c>
      <c r="Y2009" s="74">
        <f>Devis[[#This Row],[Poste 4]]*Devis[[#This Row],[Prix de Revient]]</f>
        <v>0</v>
      </c>
      <c r="Z2009" s="74">
        <f>Devis[[#This Row],[Poste 5]]*Devis[[#This Row],[Prix de Revient]]</f>
        <v>0</v>
      </c>
      <c r="AA2009" s="74">
        <f>Devis[[#This Row],[Prix de Revient]]*Devis[[#This Row],[Poste 6]]</f>
        <v>0</v>
      </c>
      <c r="AB2009" s="74">
        <f>Devis[[#This Row],[Quantité Totale]]*Devis[[#This Row],[Prix de Revient]]</f>
        <v>0</v>
      </c>
    </row>
    <row r="2010" spans="1:28" ht="14.25" customHeight="1" x14ac:dyDescent="0.25">
      <c r="A2010" s="65" t="s">
        <v>1647</v>
      </c>
      <c r="B2010" s="65" t="s">
        <v>6398</v>
      </c>
      <c r="C2010" s="76" t="s">
        <v>1530</v>
      </c>
      <c r="D2010" s="81" t="str">
        <f t="shared" si="35"/>
        <v>Inox Serti ItalienManchon Mixte FManchons à sertir F mixtes F</v>
      </c>
      <c r="E2010" s="76"/>
      <c r="F2010" s="76">
        <v>0</v>
      </c>
      <c r="G2010" s="71"/>
      <c r="H2010" s="71"/>
      <c r="I2010" s="71"/>
      <c r="J2010" s="70">
        <f>IFERROR(VLOOKUP(Devis[[#This Row],[Ref Air Flux]],#REF!,3,FALSE),0)</f>
        <v>0</v>
      </c>
      <c r="K2010" s="68"/>
      <c r="L2010" s="68"/>
      <c r="M2010" s="68"/>
      <c r="N2010" s="68"/>
      <c r="O2010" s="68"/>
      <c r="P2010" s="68"/>
      <c r="Q2010" s="68">
        <f>SUM(Devis[[#This Row],[Poste 1]:[Poste 6]])</f>
        <v>0</v>
      </c>
      <c r="R2010" s="71"/>
      <c r="S2010" s="68">
        <f>_xlfn.CEILING.MATH(Devis[[#This Row],[Quantité Totale]],Devis[[#This Row],[Conditionnement]])</f>
        <v>0</v>
      </c>
      <c r="T2010" s="72"/>
      <c r="U2010" s="73"/>
      <c r="V2010" s="74">
        <f>Devis[[#This Row],[Prix de Revient]]*Devis[[#This Row],[Poste 1]]</f>
        <v>0</v>
      </c>
      <c r="W2010" s="74">
        <f>Devis[[#This Row],[Prix de Revient]]*Devis[[#This Row],[Poste 2]]</f>
        <v>0</v>
      </c>
      <c r="X2010" s="74">
        <f>Devis[[#This Row],[Prix de Revient]]*Devis[[#This Row],[Poste 3]]</f>
        <v>0</v>
      </c>
      <c r="Y2010" s="74">
        <f>Devis[[#This Row],[Poste 4]]*Devis[[#This Row],[Prix de Revient]]</f>
        <v>0</v>
      </c>
      <c r="Z2010" s="74">
        <f>Devis[[#This Row],[Poste 5]]*Devis[[#This Row],[Prix de Revient]]</f>
        <v>0</v>
      </c>
      <c r="AA2010" s="74">
        <f>Devis[[#This Row],[Prix de Revient]]*Devis[[#This Row],[Poste 6]]</f>
        <v>0</v>
      </c>
      <c r="AB2010" s="74">
        <f>Devis[[#This Row],[Quantité Totale]]*Devis[[#This Row],[Prix de Revient]]</f>
        <v>0</v>
      </c>
    </row>
    <row r="2011" spans="1:28" ht="14.25" outlineLevel="1" x14ac:dyDescent="0.2">
      <c r="A2011" s="75" t="s">
        <v>1647</v>
      </c>
      <c r="B2011" s="76" t="s">
        <v>6398</v>
      </c>
      <c r="C2011" s="76" t="s">
        <v>1530</v>
      </c>
      <c r="D2011" s="81" t="str">
        <f t="shared" si="35"/>
        <v>Inox Serti ItalienManchon Mixte FManchons à sertir F mixtes F</v>
      </c>
      <c r="E2011" s="76" t="s">
        <v>5329</v>
      </c>
      <c r="F2011" s="76">
        <v>1</v>
      </c>
      <c r="G2011" s="71" t="s">
        <v>1886</v>
      </c>
      <c r="H2011" s="71" t="s">
        <v>459</v>
      </c>
      <c r="I2011" s="71">
        <v>190102015</v>
      </c>
      <c r="J2011" s="70">
        <f>IFERROR(VLOOKUP(Devis[[#This Row],[Ref Air Flux]],#REF!,3,FALSE),0)</f>
        <v>0</v>
      </c>
      <c r="K2011" s="68"/>
      <c r="L2011" s="68"/>
      <c r="M2011" s="68"/>
      <c r="N2011" s="68"/>
      <c r="O2011" s="68"/>
      <c r="P2011" s="68"/>
      <c r="Q2011" s="68">
        <f>SUM(Devis[[#This Row],[Poste 1]:[Poste 6]])</f>
        <v>0</v>
      </c>
      <c r="R2011" s="71">
        <v>20</v>
      </c>
      <c r="S2011" s="68">
        <f>_xlfn.CEILING.MATH(Devis[[#This Row],[Quantité Totale]],Devis[[#This Row],[Conditionnement]])</f>
        <v>0</v>
      </c>
      <c r="T2011" s="72"/>
      <c r="U2011" s="73"/>
      <c r="V2011" s="74">
        <f>Devis[[#This Row],[Prix de Revient]]*Devis[[#This Row],[Poste 1]]</f>
        <v>0</v>
      </c>
      <c r="W2011" s="74">
        <f>Devis[[#This Row],[Prix de Revient]]*Devis[[#This Row],[Poste 2]]</f>
        <v>0</v>
      </c>
      <c r="X2011" s="74">
        <f>Devis[[#This Row],[Prix de Revient]]*Devis[[#This Row],[Poste 3]]</f>
        <v>0</v>
      </c>
      <c r="Y2011" s="74">
        <f>Devis[[#This Row],[Poste 4]]*Devis[[#This Row],[Prix de Revient]]</f>
        <v>0</v>
      </c>
      <c r="Z2011" s="74">
        <f>Devis[[#This Row],[Poste 5]]*Devis[[#This Row],[Prix de Revient]]</f>
        <v>0</v>
      </c>
      <c r="AA2011" s="74">
        <f>Devis[[#This Row],[Prix de Revient]]*Devis[[#This Row],[Poste 6]]</f>
        <v>0</v>
      </c>
      <c r="AB2011" s="74">
        <f>Devis[[#This Row],[Quantité Totale]]*Devis[[#This Row],[Prix de Revient]]</f>
        <v>0</v>
      </c>
    </row>
    <row r="2012" spans="1:28" ht="14.25" outlineLevel="1" x14ac:dyDescent="0.2">
      <c r="A2012" s="75" t="s">
        <v>1647</v>
      </c>
      <c r="B2012" s="76" t="s">
        <v>6398</v>
      </c>
      <c r="C2012" s="76" t="s">
        <v>1530</v>
      </c>
      <c r="D2012" s="81" t="str">
        <f t="shared" si="35"/>
        <v>Inox Serti ItalienManchon Mixte FManchons à sertir F mixtes F</v>
      </c>
      <c r="E2012" s="76" t="s">
        <v>1806</v>
      </c>
      <c r="F2012" s="76">
        <v>2</v>
      </c>
      <c r="G2012" s="71" t="s">
        <v>1887</v>
      </c>
      <c r="H2012" s="71" t="s">
        <v>459</v>
      </c>
      <c r="I2012" s="71">
        <v>190304015</v>
      </c>
      <c r="J2012" s="70">
        <f>IFERROR(VLOOKUP(Devis[[#This Row],[Ref Air Flux]],#REF!,3,FALSE),0)</f>
        <v>0</v>
      </c>
      <c r="K2012" s="68"/>
      <c r="L2012" s="68"/>
      <c r="M2012" s="68"/>
      <c r="N2012" s="68"/>
      <c r="O2012" s="68"/>
      <c r="P2012" s="68"/>
      <c r="Q2012" s="68">
        <f>SUM(Devis[[#This Row],[Poste 1]:[Poste 6]])</f>
        <v>0</v>
      </c>
      <c r="R2012" s="71">
        <v>20</v>
      </c>
      <c r="S2012" s="68">
        <f>_xlfn.CEILING.MATH(Devis[[#This Row],[Quantité Totale]],Devis[[#This Row],[Conditionnement]])</f>
        <v>0</v>
      </c>
      <c r="T2012" s="72"/>
      <c r="U2012" s="73"/>
      <c r="V2012" s="74">
        <f>Devis[[#This Row],[Prix de Revient]]*Devis[[#This Row],[Poste 1]]</f>
        <v>0</v>
      </c>
      <c r="W2012" s="74">
        <f>Devis[[#This Row],[Prix de Revient]]*Devis[[#This Row],[Poste 2]]</f>
        <v>0</v>
      </c>
      <c r="X2012" s="74">
        <f>Devis[[#This Row],[Prix de Revient]]*Devis[[#This Row],[Poste 3]]</f>
        <v>0</v>
      </c>
      <c r="Y2012" s="74">
        <f>Devis[[#This Row],[Poste 4]]*Devis[[#This Row],[Prix de Revient]]</f>
        <v>0</v>
      </c>
      <c r="Z2012" s="74">
        <f>Devis[[#This Row],[Poste 5]]*Devis[[#This Row],[Prix de Revient]]</f>
        <v>0</v>
      </c>
      <c r="AA2012" s="74">
        <f>Devis[[#This Row],[Prix de Revient]]*Devis[[#This Row],[Poste 6]]</f>
        <v>0</v>
      </c>
      <c r="AB2012" s="74">
        <f>Devis[[#This Row],[Quantité Totale]]*Devis[[#This Row],[Prix de Revient]]</f>
        <v>0</v>
      </c>
    </row>
    <row r="2013" spans="1:28" ht="14.25" outlineLevel="1" x14ac:dyDescent="0.2">
      <c r="A2013" s="75" t="s">
        <v>1647</v>
      </c>
      <c r="B2013" s="76" t="s">
        <v>6398</v>
      </c>
      <c r="C2013" s="76" t="s">
        <v>1530</v>
      </c>
      <c r="D2013" s="81" t="str">
        <f t="shared" si="35"/>
        <v>Inox Serti ItalienManchon Mixte FManchons à sertir F mixtes F</v>
      </c>
      <c r="E2013" s="76" t="s">
        <v>5330</v>
      </c>
      <c r="F2013" s="76">
        <v>3</v>
      </c>
      <c r="G2013" s="71" t="s">
        <v>1888</v>
      </c>
      <c r="H2013" s="71" t="s">
        <v>459</v>
      </c>
      <c r="I2013" s="71">
        <v>190102018</v>
      </c>
      <c r="J2013" s="70">
        <f>IFERROR(VLOOKUP(Devis[[#This Row],[Ref Air Flux]],#REF!,3,FALSE),0)</f>
        <v>0</v>
      </c>
      <c r="K2013" s="68"/>
      <c r="L2013" s="68"/>
      <c r="M2013" s="68"/>
      <c r="N2013" s="68"/>
      <c r="O2013" s="68"/>
      <c r="P2013" s="68"/>
      <c r="Q2013" s="68">
        <f>SUM(Devis[[#This Row],[Poste 1]:[Poste 6]])</f>
        <v>0</v>
      </c>
      <c r="R2013" s="71">
        <v>20</v>
      </c>
      <c r="S2013" s="68">
        <f>_xlfn.CEILING.MATH(Devis[[#This Row],[Quantité Totale]],Devis[[#This Row],[Conditionnement]])</f>
        <v>0</v>
      </c>
      <c r="T2013" s="72"/>
      <c r="U2013" s="73"/>
      <c r="V2013" s="74">
        <f>Devis[[#This Row],[Prix de Revient]]*Devis[[#This Row],[Poste 1]]</f>
        <v>0</v>
      </c>
      <c r="W2013" s="74">
        <f>Devis[[#This Row],[Prix de Revient]]*Devis[[#This Row],[Poste 2]]</f>
        <v>0</v>
      </c>
      <c r="X2013" s="74">
        <f>Devis[[#This Row],[Prix de Revient]]*Devis[[#This Row],[Poste 3]]</f>
        <v>0</v>
      </c>
      <c r="Y2013" s="74">
        <f>Devis[[#This Row],[Poste 4]]*Devis[[#This Row],[Prix de Revient]]</f>
        <v>0</v>
      </c>
      <c r="Z2013" s="74">
        <f>Devis[[#This Row],[Poste 5]]*Devis[[#This Row],[Prix de Revient]]</f>
        <v>0</v>
      </c>
      <c r="AA2013" s="74">
        <f>Devis[[#This Row],[Prix de Revient]]*Devis[[#This Row],[Poste 6]]</f>
        <v>0</v>
      </c>
      <c r="AB2013" s="74">
        <f>Devis[[#This Row],[Quantité Totale]]*Devis[[#This Row],[Prix de Revient]]</f>
        <v>0</v>
      </c>
    </row>
    <row r="2014" spans="1:28" ht="14.25" customHeight="1" outlineLevel="1" x14ac:dyDescent="0.2">
      <c r="A2014" s="75" t="s">
        <v>1647</v>
      </c>
      <c r="B2014" s="76" t="s">
        <v>6398</v>
      </c>
      <c r="C2014" s="76" t="s">
        <v>1530</v>
      </c>
      <c r="D2014" s="81" t="str">
        <f t="shared" si="35"/>
        <v>Inox Serti ItalienManchon Mixte FManchons à sertir F mixtes F</v>
      </c>
      <c r="E2014" s="76" t="s">
        <v>5331</v>
      </c>
      <c r="F2014" s="76">
        <v>4</v>
      </c>
      <c r="G2014" s="71" t="s">
        <v>1889</v>
      </c>
      <c r="H2014" s="71" t="s">
        <v>459</v>
      </c>
      <c r="I2014" s="71">
        <v>190304018</v>
      </c>
      <c r="J2014" s="70">
        <f>IFERROR(VLOOKUP(Devis[[#This Row],[Ref Air Flux]],#REF!,3,FALSE),0)</f>
        <v>0</v>
      </c>
      <c r="K2014" s="68"/>
      <c r="L2014" s="68"/>
      <c r="M2014" s="68"/>
      <c r="N2014" s="68"/>
      <c r="O2014" s="68"/>
      <c r="P2014" s="68"/>
      <c r="Q2014" s="68">
        <f>SUM(Devis[[#This Row],[Poste 1]:[Poste 6]])</f>
        <v>0</v>
      </c>
      <c r="R2014" s="71">
        <v>10</v>
      </c>
      <c r="S2014" s="68">
        <f>_xlfn.CEILING.MATH(Devis[[#This Row],[Quantité Totale]],Devis[[#This Row],[Conditionnement]])</f>
        <v>0</v>
      </c>
      <c r="T2014" s="72"/>
      <c r="U2014" s="73"/>
      <c r="V2014" s="74">
        <f>Devis[[#This Row],[Prix de Revient]]*Devis[[#This Row],[Poste 1]]</f>
        <v>0</v>
      </c>
      <c r="W2014" s="74">
        <f>Devis[[#This Row],[Prix de Revient]]*Devis[[#This Row],[Poste 2]]</f>
        <v>0</v>
      </c>
      <c r="X2014" s="74">
        <f>Devis[[#This Row],[Prix de Revient]]*Devis[[#This Row],[Poste 3]]</f>
        <v>0</v>
      </c>
      <c r="Y2014" s="74">
        <f>Devis[[#This Row],[Poste 4]]*Devis[[#This Row],[Prix de Revient]]</f>
        <v>0</v>
      </c>
      <c r="Z2014" s="74">
        <f>Devis[[#This Row],[Poste 5]]*Devis[[#This Row],[Prix de Revient]]</f>
        <v>0</v>
      </c>
      <c r="AA2014" s="74">
        <f>Devis[[#This Row],[Prix de Revient]]*Devis[[#This Row],[Poste 6]]</f>
        <v>0</v>
      </c>
      <c r="AB2014" s="74">
        <f>Devis[[#This Row],[Quantité Totale]]*Devis[[#This Row],[Prix de Revient]]</f>
        <v>0</v>
      </c>
    </row>
    <row r="2015" spans="1:28" ht="14.25" outlineLevel="1" x14ac:dyDescent="0.2">
      <c r="A2015" s="75" t="s">
        <v>1647</v>
      </c>
      <c r="B2015" s="76" t="s">
        <v>6398</v>
      </c>
      <c r="C2015" s="76" t="s">
        <v>1530</v>
      </c>
      <c r="D2015" s="81" t="str">
        <f t="shared" si="35"/>
        <v>Inox Serti ItalienManchon Mixte FManchons à sertir F mixtes F</v>
      </c>
      <c r="E2015" s="76" t="s">
        <v>5332</v>
      </c>
      <c r="F2015" s="76">
        <v>5</v>
      </c>
      <c r="G2015" s="71" t="s">
        <v>1890</v>
      </c>
      <c r="H2015" s="71" t="s">
        <v>459</v>
      </c>
      <c r="I2015" s="71">
        <v>190102022</v>
      </c>
      <c r="J2015" s="70">
        <f>IFERROR(VLOOKUP(Devis[[#This Row],[Ref Air Flux]],#REF!,3,FALSE),0)</f>
        <v>0</v>
      </c>
      <c r="K2015" s="68"/>
      <c r="L2015" s="68"/>
      <c r="M2015" s="68"/>
      <c r="N2015" s="68"/>
      <c r="O2015" s="68"/>
      <c r="P2015" s="68"/>
      <c r="Q2015" s="68">
        <f>SUM(Devis[[#This Row],[Poste 1]:[Poste 6]])</f>
        <v>0</v>
      </c>
      <c r="R2015" s="71">
        <v>20</v>
      </c>
      <c r="S2015" s="68">
        <f>_xlfn.CEILING.MATH(Devis[[#This Row],[Quantité Totale]],Devis[[#This Row],[Conditionnement]])</f>
        <v>0</v>
      </c>
      <c r="T2015" s="72"/>
      <c r="U2015" s="73"/>
      <c r="V2015" s="74">
        <f>Devis[[#This Row],[Prix de Revient]]*Devis[[#This Row],[Poste 1]]</f>
        <v>0</v>
      </c>
      <c r="W2015" s="74">
        <f>Devis[[#This Row],[Prix de Revient]]*Devis[[#This Row],[Poste 2]]</f>
        <v>0</v>
      </c>
      <c r="X2015" s="74">
        <f>Devis[[#This Row],[Prix de Revient]]*Devis[[#This Row],[Poste 3]]</f>
        <v>0</v>
      </c>
      <c r="Y2015" s="74">
        <f>Devis[[#This Row],[Poste 4]]*Devis[[#This Row],[Prix de Revient]]</f>
        <v>0</v>
      </c>
      <c r="Z2015" s="74">
        <f>Devis[[#This Row],[Poste 5]]*Devis[[#This Row],[Prix de Revient]]</f>
        <v>0</v>
      </c>
      <c r="AA2015" s="74">
        <f>Devis[[#This Row],[Prix de Revient]]*Devis[[#This Row],[Poste 6]]</f>
        <v>0</v>
      </c>
      <c r="AB2015" s="74">
        <f>Devis[[#This Row],[Quantité Totale]]*Devis[[#This Row],[Prix de Revient]]</f>
        <v>0</v>
      </c>
    </row>
    <row r="2016" spans="1:28" ht="14.25" outlineLevel="1" x14ac:dyDescent="0.2">
      <c r="A2016" s="75" t="s">
        <v>1647</v>
      </c>
      <c r="B2016" s="76" t="s">
        <v>6398</v>
      </c>
      <c r="C2016" s="76" t="s">
        <v>1530</v>
      </c>
      <c r="D2016" s="81" t="str">
        <f t="shared" si="35"/>
        <v>Inox Serti ItalienManchon Mixte FManchons à sertir F mixtes F</v>
      </c>
      <c r="E2016" s="76" t="s">
        <v>5333</v>
      </c>
      <c r="F2016" s="76">
        <v>6</v>
      </c>
      <c r="G2016" s="71" t="s">
        <v>1891</v>
      </c>
      <c r="H2016" s="71" t="s">
        <v>459</v>
      </c>
      <c r="I2016" s="71">
        <v>190304022</v>
      </c>
      <c r="J2016" s="70">
        <f>IFERROR(VLOOKUP(Devis[[#This Row],[Ref Air Flux]],#REF!,3,FALSE),0)</f>
        <v>0</v>
      </c>
      <c r="K2016" s="68"/>
      <c r="L2016" s="68"/>
      <c r="M2016" s="68"/>
      <c r="N2016" s="68"/>
      <c r="O2016" s="68"/>
      <c r="P2016" s="68"/>
      <c r="Q2016" s="68">
        <f>SUM(Devis[[#This Row],[Poste 1]:[Poste 6]])</f>
        <v>0</v>
      </c>
      <c r="R2016" s="71">
        <v>10</v>
      </c>
      <c r="S2016" s="68">
        <f>_xlfn.CEILING.MATH(Devis[[#This Row],[Quantité Totale]],Devis[[#This Row],[Conditionnement]])</f>
        <v>0</v>
      </c>
      <c r="T2016" s="72"/>
      <c r="U2016" s="73"/>
      <c r="V2016" s="74">
        <f>Devis[[#This Row],[Prix de Revient]]*Devis[[#This Row],[Poste 1]]</f>
        <v>0</v>
      </c>
      <c r="W2016" s="74">
        <f>Devis[[#This Row],[Prix de Revient]]*Devis[[#This Row],[Poste 2]]</f>
        <v>0</v>
      </c>
      <c r="X2016" s="74">
        <f>Devis[[#This Row],[Prix de Revient]]*Devis[[#This Row],[Poste 3]]</f>
        <v>0</v>
      </c>
      <c r="Y2016" s="74">
        <f>Devis[[#This Row],[Poste 4]]*Devis[[#This Row],[Prix de Revient]]</f>
        <v>0</v>
      </c>
      <c r="Z2016" s="74">
        <f>Devis[[#This Row],[Poste 5]]*Devis[[#This Row],[Prix de Revient]]</f>
        <v>0</v>
      </c>
      <c r="AA2016" s="74">
        <f>Devis[[#This Row],[Prix de Revient]]*Devis[[#This Row],[Poste 6]]</f>
        <v>0</v>
      </c>
      <c r="AB2016" s="74">
        <f>Devis[[#This Row],[Quantité Totale]]*Devis[[#This Row],[Prix de Revient]]</f>
        <v>0</v>
      </c>
    </row>
    <row r="2017" spans="1:28" ht="14.25" outlineLevel="1" x14ac:dyDescent="0.2">
      <c r="A2017" s="75" t="s">
        <v>1647</v>
      </c>
      <c r="B2017" s="76" t="s">
        <v>6398</v>
      </c>
      <c r="C2017" s="76" t="s">
        <v>1530</v>
      </c>
      <c r="D2017" s="81" t="str">
        <f t="shared" si="35"/>
        <v>Inox Serti ItalienManchon Mixte FManchons à sertir F mixtes F</v>
      </c>
      <c r="E2017" s="76" t="s">
        <v>1814</v>
      </c>
      <c r="F2017" s="76">
        <v>7</v>
      </c>
      <c r="G2017" s="71" t="s">
        <v>1892</v>
      </c>
      <c r="H2017" s="71" t="s">
        <v>459</v>
      </c>
      <c r="I2017" s="71">
        <v>190100022</v>
      </c>
      <c r="J2017" s="70">
        <f>IFERROR(VLOOKUP(Devis[[#This Row],[Ref Air Flux]],#REF!,3,FALSE),0)</f>
        <v>0</v>
      </c>
      <c r="K2017" s="68"/>
      <c r="L2017" s="68"/>
      <c r="M2017" s="68"/>
      <c r="N2017" s="68"/>
      <c r="O2017" s="68"/>
      <c r="P2017" s="68"/>
      <c r="Q2017" s="68">
        <f>SUM(Devis[[#This Row],[Poste 1]:[Poste 6]])</f>
        <v>0</v>
      </c>
      <c r="R2017" s="71">
        <v>10</v>
      </c>
      <c r="S2017" s="68">
        <f>_xlfn.CEILING.MATH(Devis[[#This Row],[Quantité Totale]],Devis[[#This Row],[Conditionnement]])</f>
        <v>0</v>
      </c>
      <c r="T2017" s="72"/>
      <c r="U2017" s="73"/>
      <c r="V2017" s="74">
        <f>Devis[[#This Row],[Prix de Revient]]*Devis[[#This Row],[Poste 1]]</f>
        <v>0</v>
      </c>
      <c r="W2017" s="74">
        <f>Devis[[#This Row],[Prix de Revient]]*Devis[[#This Row],[Poste 2]]</f>
        <v>0</v>
      </c>
      <c r="X2017" s="74">
        <f>Devis[[#This Row],[Prix de Revient]]*Devis[[#This Row],[Poste 3]]</f>
        <v>0</v>
      </c>
      <c r="Y2017" s="74">
        <f>Devis[[#This Row],[Poste 4]]*Devis[[#This Row],[Prix de Revient]]</f>
        <v>0</v>
      </c>
      <c r="Z2017" s="74">
        <f>Devis[[#This Row],[Poste 5]]*Devis[[#This Row],[Prix de Revient]]</f>
        <v>0</v>
      </c>
      <c r="AA2017" s="74">
        <f>Devis[[#This Row],[Prix de Revient]]*Devis[[#This Row],[Poste 6]]</f>
        <v>0</v>
      </c>
      <c r="AB2017" s="74">
        <f>Devis[[#This Row],[Quantité Totale]]*Devis[[#This Row],[Prix de Revient]]</f>
        <v>0</v>
      </c>
    </row>
    <row r="2018" spans="1:28" ht="14.25" outlineLevel="1" x14ac:dyDescent="0.2">
      <c r="A2018" s="75" t="s">
        <v>1647</v>
      </c>
      <c r="B2018" s="76" t="s">
        <v>6398</v>
      </c>
      <c r="C2018" s="76" t="s">
        <v>1530</v>
      </c>
      <c r="D2018" s="81" t="str">
        <f t="shared" si="35"/>
        <v>Inox Serti ItalienManchon Mixte FManchons à sertir F mixtes F</v>
      </c>
      <c r="E2018" s="76" t="s">
        <v>5334</v>
      </c>
      <c r="F2018" s="76">
        <v>8</v>
      </c>
      <c r="G2018" s="71" t="s">
        <v>1893</v>
      </c>
      <c r="H2018" s="71" t="s">
        <v>459</v>
      </c>
      <c r="I2018" s="71">
        <v>190102028</v>
      </c>
      <c r="J2018" s="70">
        <f>IFERROR(VLOOKUP(Devis[[#This Row],[Ref Air Flux]],#REF!,3,FALSE),0)</f>
        <v>0</v>
      </c>
      <c r="K2018" s="68"/>
      <c r="L2018" s="68"/>
      <c r="M2018" s="68"/>
      <c r="N2018" s="68"/>
      <c r="O2018" s="68"/>
      <c r="P2018" s="68"/>
      <c r="Q2018" s="68">
        <f>SUM(Devis[[#This Row],[Poste 1]:[Poste 6]])</f>
        <v>0</v>
      </c>
      <c r="R2018" s="71">
        <v>10</v>
      </c>
      <c r="S2018" s="68">
        <f>_xlfn.CEILING.MATH(Devis[[#This Row],[Quantité Totale]],Devis[[#This Row],[Conditionnement]])</f>
        <v>0</v>
      </c>
      <c r="T2018" s="72"/>
      <c r="U2018" s="73"/>
      <c r="V2018" s="74">
        <f>Devis[[#This Row],[Prix de Revient]]*Devis[[#This Row],[Poste 1]]</f>
        <v>0</v>
      </c>
      <c r="W2018" s="74">
        <f>Devis[[#This Row],[Prix de Revient]]*Devis[[#This Row],[Poste 2]]</f>
        <v>0</v>
      </c>
      <c r="X2018" s="74">
        <f>Devis[[#This Row],[Prix de Revient]]*Devis[[#This Row],[Poste 3]]</f>
        <v>0</v>
      </c>
      <c r="Y2018" s="74">
        <f>Devis[[#This Row],[Poste 4]]*Devis[[#This Row],[Prix de Revient]]</f>
        <v>0</v>
      </c>
      <c r="Z2018" s="74">
        <f>Devis[[#This Row],[Poste 5]]*Devis[[#This Row],[Prix de Revient]]</f>
        <v>0</v>
      </c>
      <c r="AA2018" s="74">
        <f>Devis[[#This Row],[Prix de Revient]]*Devis[[#This Row],[Poste 6]]</f>
        <v>0</v>
      </c>
      <c r="AB2018" s="74">
        <f>Devis[[#This Row],[Quantité Totale]]*Devis[[#This Row],[Prix de Revient]]</f>
        <v>0</v>
      </c>
    </row>
    <row r="2019" spans="1:28" ht="14.25" outlineLevel="1" x14ac:dyDescent="0.2">
      <c r="A2019" s="75" t="s">
        <v>1647</v>
      </c>
      <c r="B2019" s="76" t="s">
        <v>6398</v>
      </c>
      <c r="C2019" s="76" t="s">
        <v>1530</v>
      </c>
      <c r="D2019" s="81" t="str">
        <f t="shared" si="35"/>
        <v>Inox Serti ItalienManchon Mixte FManchons à sertir F mixtes F</v>
      </c>
      <c r="E2019" s="76" t="s">
        <v>5335</v>
      </c>
      <c r="F2019" s="76">
        <v>9</v>
      </c>
      <c r="G2019" s="71" t="s">
        <v>1894</v>
      </c>
      <c r="H2019" s="71" t="s">
        <v>459</v>
      </c>
      <c r="I2019" s="71">
        <v>190304028</v>
      </c>
      <c r="J2019" s="70">
        <f>IFERROR(VLOOKUP(Devis[[#This Row],[Ref Air Flux]],#REF!,3,FALSE),0)</f>
        <v>0</v>
      </c>
      <c r="K2019" s="68"/>
      <c r="L2019" s="68"/>
      <c r="M2019" s="68"/>
      <c r="N2019" s="68"/>
      <c r="O2019" s="68"/>
      <c r="P2019" s="68"/>
      <c r="Q2019" s="68">
        <f>SUM(Devis[[#This Row],[Poste 1]:[Poste 6]])</f>
        <v>0</v>
      </c>
      <c r="R2019" s="71">
        <v>10</v>
      </c>
      <c r="S2019" s="68">
        <f>_xlfn.CEILING.MATH(Devis[[#This Row],[Quantité Totale]],Devis[[#This Row],[Conditionnement]])</f>
        <v>0</v>
      </c>
      <c r="T2019" s="72"/>
      <c r="U2019" s="73"/>
      <c r="V2019" s="74">
        <f>Devis[[#This Row],[Prix de Revient]]*Devis[[#This Row],[Poste 1]]</f>
        <v>0</v>
      </c>
      <c r="W2019" s="74">
        <f>Devis[[#This Row],[Prix de Revient]]*Devis[[#This Row],[Poste 2]]</f>
        <v>0</v>
      </c>
      <c r="X2019" s="74">
        <f>Devis[[#This Row],[Prix de Revient]]*Devis[[#This Row],[Poste 3]]</f>
        <v>0</v>
      </c>
      <c r="Y2019" s="74">
        <f>Devis[[#This Row],[Poste 4]]*Devis[[#This Row],[Prix de Revient]]</f>
        <v>0</v>
      </c>
      <c r="Z2019" s="74">
        <f>Devis[[#This Row],[Poste 5]]*Devis[[#This Row],[Prix de Revient]]</f>
        <v>0</v>
      </c>
      <c r="AA2019" s="74">
        <f>Devis[[#This Row],[Prix de Revient]]*Devis[[#This Row],[Poste 6]]</f>
        <v>0</v>
      </c>
      <c r="AB2019" s="74">
        <f>Devis[[#This Row],[Quantité Totale]]*Devis[[#This Row],[Prix de Revient]]</f>
        <v>0</v>
      </c>
    </row>
    <row r="2020" spans="1:28" ht="14.25" outlineLevel="1" x14ac:dyDescent="0.2">
      <c r="A2020" s="75" t="s">
        <v>1647</v>
      </c>
      <c r="B2020" s="76" t="s">
        <v>6398</v>
      </c>
      <c r="C2020" s="76" t="s">
        <v>1530</v>
      </c>
      <c r="D2020" s="81" t="str">
        <f t="shared" si="35"/>
        <v>Inox Serti ItalienManchon Mixte FManchons à sertir F mixtes F</v>
      </c>
      <c r="E2020" s="76" t="s">
        <v>5325</v>
      </c>
      <c r="F2020" s="76">
        <v>10</v>
      </c>
      <c r="G2020" s="71" t="s">
        <v>1895</v>
      </c>
      <c r="H2020" s="71" t="s">
        <v>459</v>
      </c>
      <c r="I2020" s="71">
        <v>190100028</v>
      </c>
      <c r="J2020" s="70">
        <f>IFERROR(VLOOKUP(Devis[[#This Row],[Ref Air Flux]],#REF!,3,FALSE),0)</f>
        <v>0</v>
      </c>
      <c r="K2020" s="68"/>
      <c r="L2020" s="68"/>
      <c r="M2020" s="68"/>
      <c r="N2020" s="68"/>
      <c r="O2020" s="68"/>
      <c r="P2020" s="68"/>
      <c r="Q2020" s="68">
        <f>SUM(Devis[[#This Row],[Poste 1]:[Poste 6]])</f>
        <v>0</v>
      </c>
      <c r="R2020" s="71">
        <v>10</v>
      </c>
      <c r="S2020" s="68">
        <f>_xlfn.CEILING.MATH(Devis[[#This Row],[Quantité Totale]],Devis[[#This Row],[Conditionnement]])</f>
        <v>0</v>
      </c>
      <c r="T2020" s="72"/>
      <c r="U2020" s="73"/>
      <c r="V2020" s="74">
        <f>Devis[[#This Row],[Prix de Revient]]*Devis[[#This Row],[Poste 1]]</f>
        <v>0</v>
      </c>
      <c r="W2020" s="74">
        <f>Devis[[#This Row],[Prix de Revient]]*Devis[[#This Row],[Poste 2]]</f>
        <v>0</v>
      </c>
      <c r="X2020" s="74">
        <f>Devis[[#This Row],[Prix de Revient]]*Devis[[#This Row],[Poste 3]]</f>
        <v>0</v>
      </c>
      <c r="Y2020" s="74">
        <f>Devis[[#This Row],[Poste 4]]*Devis[[#This Row],[Prix de Revient]]</f>
        <v>0</v>
      </c>
      <c r="Z2020" s="74">
        <f>Devis[[#This Row],[Poste 5]]*Devis[[#This Row],[Prix de Revient]]</f>
        <v>0</v>
      </c>
      <c r="AA2020" s="74">
        <f>Devis[[#This Row],[Prix de Revient]]*Devis[[#This Row],[Poste 6]]</f>
        <v>0</v>
      </c>
      <c r="AB2020" s="74">
        <f>Devis[[#This Row],[Quantité Totale]]*Devis[[#This Row],[Prix de Revient]]</f>
        <v>0</v>
      </c>
    </row>
    <row r="2021" spans="1:28" ht="14.25" outlineLevel="1" x14ac:dyDescent="0.2">
      <c r="A2021" s="75" t="s">
        <v>1647</v>
      </c>
      <c r="B2021" s="76" t="s">
        <v>6398</v>
      </c>
      <c r="C2021" s="76" t="s">
        <v>1530</v>
      </c>
      <c r="D2021" s="81" t="str">
        <f t="shared" si="35"/>
        <v>Inox Serti ItalienManchon Mixte FManchons à sertir F mixtes F</v>
      </c>
      <c r="E2021" s="76" t="s">
        <v>1896</v>
      </c>
      <c r="F2021" s="76">
        <v>11</v>
      </c>
      <c r="G2021" s="71" t="s">
        <v>1897</v>
      </c>
      <c r="H2021" s="71" t="s">
        <v>459</v>
      </c>
      <c r="I2021" s="71">
        <v>190114028</v>
      </c>
      <c r="J2021" s="70">
        <f>IFERROR(VLOOKUP(Devis[[#This Row],[Ref Air Flux]],#REF!,3,FALSE),0)</f>
        <v>0</v>
      </c>
      <c r="K2021" s="68"/>
      <c r="L2021" s="68"/>
      <c r="M2021" s="68"/>
      <c r="N2021" s="68"/>
      <c r="O2021" s="68"/>
      <c r="P2021" s="68"/>
      <c r="Q2021" s="68">
        <f>SUM(Devis[[#This Row],[Poste 1]:[Poste 6]])</f>
        <v>0</v>
      </c>
      <c r="R2021" s="71">
        <v>10</v>
      </c>
      <c r="S2021" s="68">
        <f>_xlfn.CEILING.MATH(Devis[[#This Row],[Quantité Totale]],Devis[[#This Row],[Conditionnement]])</f>
        <v>0</v>
      </c>
      <c r="T2021" s="72"/>
      <c r="U2021" s="73"/>
      <c r="V2021" s="74">
        <f>Devis[[#This Row],[Prix de Revient]]*Devis[[#This Row],[Poste 1]]</f>
        <v>0</v>
      </c>
      <c r="W2021" s="74">
        <f>Devis[[#This Row],[Prix de Revient]]*Devis[[#This Row],[Poste 2]]</f>
        <v>0</v>
      </c>
      <c r="X2021" s="74">
        <f>Devis[[#This Row],[Prix de Revient]]*Devis[[#This Row],[Poste 3]]</f>
        <v>0</v>
      </c>
      <c r="Y2021" s="74">
        <f>Devis[[#This Row],[Poste 4]]*Devis[[#This Row],[Prix de Revient]]</f>
        <v>0</v>
      </c>
      <c r="Z2021" s="74">
        <f>Devis[[#This Row],[Poste 5]]*Devis[[#This Row],[Prix de Revient]]</f>
        <v>0</v>
      </c>
      <c r="AA2021" s="74">
        <f>Devis[[#This Row],[Prix de Revient]]*Devis[[#This Row],[Poste 6]]</f>
        <v>0</v>
      </c>
      <c r="AB2021" s="74">
        <f>Devis[[#This Row],[Quantité Totale]]*Devis[[#This Row],[Prix de Revient]]</f>
        <v>0</v>
      </c>
    </row>
    <row r="2022" spans="1:28" ht="14.25" outlineLevel="1" x14ac:dyDescent="0.2">
      <c r="A2022" s="75" t="s">
        <v>1647</v>
      </c>
      <c r="B2022" s="76" t="s">
        <v>6398</v>
      </c>
      <c r="C2022" s="76" t="s">
        <v>1530</v>
      </c>
      <c r="D2022" s="81" t="str">
        <f t="shared" si="35"/>
        <v>Inox Serti ItalienManchon Mixte FManchons à sertir F mixtes F</v>
      </c>
      <c r="E2022" s="76" t="s">
        <v>1786</v>
      </c>
      <c r="F2022" s="76">
        <v>12</v>
      </c>
      <c r="G2022" s="71" t="s">
        <v>1898</v>
      </c>
      <c r="H2022" s="71" t="s">
        <v>459</v>
      </c>
      <c r="I2022" s="71">
        <v>190100035</v>
      </c>
      <c r="J2022" s="70">
        <f>IFERROR(VLOOKUP(Devis[[#This Row],[Ref Air Flux]],#REF!,3,FALSE),0)</f>
        <v>0</v>
      </c>
      <c r="K2022" s="68"/>
      <c r="L2022" s="68"/>
      <c r="M2022" s="68"/>
      <c r="N2022" s="68"/>
      <c r="O2022" s="68"/>
      <c r="P2022" s="68"/>
      <c r="Q2022" s="68">
        <f>SUM(Devis[[#This Row],[Poste 1]:[Poste 6]])</f>
        <v>0</v>
      </c>
      <c r="R2022" s="71">
        <v>5</v>
      </c>
      <c r="S2022" s="68">
        <f>_xlfn.CEILING.MATH(Devis[[#This Row],[Quantité Totale]],Devis[[#This Row],[Conditionnement]])</f>
        <v>0</v>
      </c>
      <c r="T2022" s="72"/>
      <c r="U2022" s="73"/>
      <c r="V2022" s="74">
        <f>Devis[[#This Row],[Prix de Revient]]*Devis[[#This Row],[Poste 1]]</f>
        <v>0</v>
      </c>
      <c r="W2022" s="74">
        <f>Devis[[#This Row],[Prix de Revient]]*Devis[[#This Row],[Poste 2]]</f>
        <v>0</v>
      </c>
      <c r="X2022" s="74">
        <f>Devis[[#This Row],[Prix de Revient]]*Devis[[#This Row],[Poste 3]]</f>
        <v>0</v>
      </c>
      <c r="Y2022" s="74">
        <f>Devis[[#This Row],[Poste 4]]*Devis[[#This Row],[Prix de Revient]]</f>
        <v>0</v>
      </c>
      <c r="Z2022" s="74">
        <f>Devis[[#This Row],[Poste 5]]*Devis[[#This Row],[Prix de Revient]]</f>
        <v>0</v>
      </c>
      <c r="AA2022" s="74">
        <f>Devis[[#This Row],[Prix de Revient]]*Devis[[#This Row],[Poste 6]]</f>
        <v>0</v>
      </c>
      <c r="AB2022" s="74">
        <f>Devis[[#This Row],[Quantité Totale]]*Devis[[#This Row],[Prix de Revient]]</f>
        <v>0</v>
      </c>
    </row>
    <row r="2023" spans="1:28" ht="14.25" customHeight="1" outlineLevel="1" x14ac:dyDescent="0.2">
      <c r="A2023" s="75" t="s">
        <v>1647</v>
      </c>
      <c r="B2023" s="76" t="s">
        <v>6398</v>
      </c>
      <c r="C2023" s="76" t="s">
        <v>1530</v>
      </c>
      <c r="D2023" s="81" t="str">
        <f t="shared" si="35"/>
        <v>Inox Serti ItalienManchon Mixte FManchons à sertir F mixtes F</v>
      </c>
      <c r="E2023" s="76" t="s">
        <v>5324</v>
      </c>
      <c r="F2023" s="76">
        <v>13</v>
      </c>
      <c r="G2023" s="71" t="s">
        <v>1899</v>
      </c>
      <c r="H2023" s="71" t="s">
        <v>459</v>
      </c>
      <c r="I2023" s="71">
        <v>190114035</v>
      </c>
      <c r="J2023" s="70">
        <f>IFERROR(VLOOKUP(Devis[[#This Row],[Ref Air Flux]],#REF!,3,FALSE),0)</f>
        <v>0</v>
      </c>
      <c r="K2023" s="68"/>
      <c r="L2023" s="68"/>
      <c r="M2023" s="68"/>
      <c r="N2023" s="68"/>
      <c r="O2023" s="68"/>
      <c r="P2023" s="68"/>
      <c r="Q2023" s="68">
        <f>SUM(Devis[[#This Row],[Poste 1]:[Poste 6]])</f>
        <v>0</v>
      </c>
      <c r="R2023" s="71">
        <v>5</v>
      </c>
      <c r="S2023" s="68">
        <f>_xlfn.CEILING.MATH(Devis[[#This Row],[Quantité Totale]],Devis[[#This Row],[Conditionnement]])</f>
        <v>0</v>
      </c>
      <c r="T2023" s="72"/>
      <c r="U2023" s="73"/>
      <c r="V2023" s="74">
        <f>Devis[[#This Row],[Prix de Revient]]*Devis[[#This Row],[Poste 1]]</f>
        <v>0</v>
      </c>
      <c r="W2023" s="74">
        <f>Devis[[#This Row],[Prix de Revient]]*Devis[[#This Row],[Poste 2]]</f>
        <v>0</v>
      </c>
      <c r="X2023" s="74">
        <f>Devis[[#This Row],[Prix de Revient]]*Devis[[#This Row],[Poste 3]]</f>
        <v>0</v>
      </c>
      <c r="Y2023" s="74">
        <f>Devis[[#This Row],[Poste 4]]*Devis[[#This Row],[Prix de Revient]]</f>
        <v>0</v>
      </c>
      <c r="Z2023" s="74">
        <f>Devis[[#This Row],[Poste 5]]*Devis[[#This Row],[Prix de Revient]]</f>
        <v>0</v>
      </c>
      <c r="AA2023" s="74">
        <f>Devis[[#This Row],[Prix de Revient]]*Devis[[#This Row],[Poste 6]]</f>
        <v>0</v>
      </c>
      <c r="AB2023" s="74">
        <f>Devis[[#This Row],[Quantité Totale]]*Devis[[#This Row],[Prix de Revient]]</f>
        <v>0</v>
      </c>
    </row>
    <row r="2024" spans="1:28" ht="14.25" customHeight="1" outlineLevel="1" x14ac:dyDescent="0.2">
      <c r="A2024" s="75" t="s">
        <v>1647</v>
      </c>
      <c r="B2024" s="76" t="s">
        <v>6398</v>
      </c>
      <c r="C2024" s="76" t="s">
        <v>1530</v>
      </c>
      <c r="D2024" s="81" t="str">
        <f t="shared" si="35"/>
        <v>Inox Serti ItalienManchon Mixte FManchons à sertir F mixtes F</v>
      </c>
      <c r="E2024" s="76" t="s">
        <v>1900</v>
      </c>
      <c r="F2024" s="76">
        <v>14</v>
      </c>
      <c r="G2024" s="71" t="s">
        <v>1901</v>
      </c>
      <c r="H2024" s="71" t="s">
        <v>459</v>
      </c>
      <c r="I2024" s="71">
        <v>190112035</v>
      </c>
      <c r="J2024" s="70">
        <f>IFERROR(VLOOKUP(Devis[[#This Row],[Ref Air Flux]],#REF!,3,FALSE),0)</f>
        <v>0</v>
      </c>
      <c r="K2024" s="68"/>
      <c r="L2024" s="68"/>
      <c r="M2024" s="68"/>
      <c r="N2024" s="68"/>
      <c r="O2024" s="68"/>
      <c r="P2024" s="68"/>
      <c r="Q2024" s="68">
        <f>SUM(Devis[[#This Row],[Poste 1]:[Poste 6]])</f>
        <v>0</v>
      </c>
      <c r="R2024" s="71">
        <v>4</v>
      </c>
      <c r="S2024" s="68">
        <f>_xlfn.CEILING.MATH(Devis[[#This Row],[Quantité Totale]],Devis[[#This Row],[Conditionnement]])</f>
        <v>0</v>
      </c>
      <c r="T2024" s="72"/>
      <c r="U2024" s="73"/>
      <c r="V2024" s="74">
        <f>Devis[[#This Row],[Prix de Revient]]*Devis[[#This Row],[Poste 1]]</f>
        <v>0</v>
      </c>
      <c r="W2024" s="74">
        <f>Devis[[#This Row],[Prix de Revient]]*Devis[[#This Row],[Poste 2]]</f>
        <v>0</v>
      </c>
      <c r="X2024" s="74">
        <f>Devis[[#This Row],[Prix de Revient]]*Devis[[#This Row],[Poste 3]]</f>
        <v>0</v>
      </c>
      <c r="Y2024" s="74">
        <f>Devis[[#This Row],[Poste 4]]*Devis[[#This Row],[Prix de Revient]]</f>
        <v>0</v>
      </c>
      <c r="Z2024" s="74">
        <f>Devis[[#This Row],[Poste 5]]*Devis[[#This Row],[Prix de Revient]]</f>
        <v>0</v>
      </c>
      <c r="AA2024" s="74">
        <f>Devis[[#This Row],[Prix de Revient]]*Devis[[#This Row],[Poste 6]]</f>
        <v>0</v>
      </c>
      <c r="AB2024" s="74">
        <f>Devis[[#This Row],[Quantité Totale]]*Devis[[#This Row],[Prix de Revient]]</f>
        <v>0</v>
      </c>
    </row>
    <row r="2025" spans="1:28" ht="14.25" outlineLevel="1" x14ac:dyDescent="0.2">
      <c r="A2025" s="75" t="s">
        <v>1647</v>
      </c>
      <c r="B2025" s="76" t="s">
        <v>6398</v>
      </c>
      <c r="C2025" s="76" t="s">
        <v>1530</v>
      </c>
      <c r="D2025" s="81" t="str">
        <f t="shared" si="35"/>
        <v>Inox Serti ItalienManchon Mixte FManchons à sertir F mixtes F</v>
      </c>
      <c r="E2025" s="76" t="s">
        <v>5336</v>
      </c>
      <c r="F2025" s="76">
        <v>15</v>
      </c>
      <c r="G2025" s="71" t="s">
        <v>1902</v>
      </c>
      <c r="H2025" s="71" t="s">
        <v>459</v>
      </c>
      <c r="I2025" s="71">
        <v>190114042</v>
      </c>
      <c r="J2025" s="70">
        <f>IFERROR(VLOOKUP(Devis[[#This Row],[Ref Air Flux]],#REF!,3,FALSE),0)</f>
        <v>0</v>
      </c>
      <c r="K2025" s="68"/>
      <c r="L2025" s="68"/>
      <c r="M2025" s="68"/>
      <c r="N2025" s="68"/>
      <c r="O2025" s="68"/>
      <c r="P2025" s="68"/>
      <c r="Q2025" s="68">
        <f>SUM(Devis[[#This Row],[Poste 1]:[Poste 6]])</f>
        <v>0</v>
      </c>
      <c r="R2025" s="71">
        <v>4</v>
      </c>
      <c r="S2025" s="68">
        <f>_xlfn.CEILING.MATH(Devis[[#This Row],[Quantité Totale]],Devis[[#This Row],[Conditionnement]])</f>
        <v>0</v>
      </c>
      <c r="T2025" s="72"/>
      <c r="U2025" s="73"/>
      <c r="V2025" s="74">
        <f>Devis[[#This Row],[Prix de Revient]]*Devis[[#This Row],[Poste 1]]</f>
        <v>0</v>
      </c>
      <c r="W2025" s="74">
        <f>Devis[[#This Row],[Prix de Revient]]*Devis[[#This Row],[Poste 2]]</f>
        <v>0</v>
      </c>
      <c r="X2025" s="74">
        <f>Devis[[#This Row],[Prix de Revient]]*Devis[[#This Row],[Poste 3]]</f>
        <v>0</v>
      </c>
      <c r="Y2025" s="74">
        <f>Devis[[#This Row],[Poste 4]]*Devis[[#This Row],[Prix de Revient]]</f>
        <v>0</v>
      </c>
      <c r="Z2025" s="74">
        <f>Devis[[#This Row],[Poste 5]]*Devis[[#This Row],[Prix de Revient]]</f>
        <v>0</v>
      </c>
      <c r="AA2025" s="74">
        <f>Devis[[#This Row],[Prix de Revient]]*Devis[[#This Row],[Poste 6]]</f>
        <v>0</v>
      </c>
      <c r="AB2025" s="74">
        <f>Devis[[#This Row],[Quantité Totale]]*Devis[[#This Row],[Prix de Revient]]</f>
        <v>0</v>
      </c>
    </row>
    <row r="2026" spans="1:28" ht="14.25" outlineLevel="1" x14ac:dyDescent="0.2">
      <c r="A2026" s="75" t="s">
        <v>1647</v>
      </c>
      <c r="B2026" s="76" t="s">
        <v>6398</v>
      </c>
      <c r="C2026" s="76" t="s">
        <v>1530</v>
      </c>
      <c r="D2026" s="81" t="str">
        <f t="shared" si="35"/>
        <v>Inox Serti ItalienManchon Mixte FManchons à sertir F mixtes F</v>
      </c>
      <c r="E2026" s="76" t="s">
        <v>1791</v>
      </c>
      <c r="F2026" s="76">
        <v>16</v>
      </c>
      <c r="G2026" s="71" t="s">
        <v>1903</v>
      </c>
      <c r="H2026" s="71" t="s">
        <v>459</v>
      </c>
      <c r="I2026" s="71">
        <v>190112042</v>
      </c>
      <c r="J2026" s="70">
        <f>IFERROR(VLOOKUP(Devis[[#This Row],[Ref Air Flux]],#REF!,3,FALSE),0)</f>
        <v>0</v>
      </c>
      <c r="K2026" s="68"/>
      <c r="L2026" s="68"/>
      <c r="M2026" s="68"/>
      <c r="N2026" s="68"/>
      <c r="O2026" s="68"/>
      <c r="P2026" s="68"/>
      <c r="Q2026" s="68">
        <f>SUM(Devis[[#This Row],[Poste 1]:[Poste 6]])</f>
        <v>0</v>
      </c>
      <c r="R2026" s="71">
        <v>4</v>
      </c>
      <c r="S2026" s="68">
        <f>_xlfn.CEILING.MATH(Devis[[#This Row],[Quantité Totale]],Devis[[#This Row],[Conditionnement]])</f>
        <v>0</v>
      </c>
      <c r="T2026" s="72"/>
      <c r="U2026" s="73"/>
      <c r="V2026" s="74">
        <f>Devis[[#This Row],[Prix de Revient]]*Devis[[#This Row],[Poste 1]]</f>
        <v>0</v>
      </c>
      <c r="W2026" s="74">
        <f>Devis[[#This Row],[Prix de Revient]]*Devis[[#This Row],[Poste 2]]</f>
        <v>0</v>
      </c>
      <c r="X2026" s="74">
        <f>Devis[[#This Row],[Prix de Revient]]*Devis[[#This Row],[Poste 3]]</f>
        <v>0</v>
      </c>
      <c r="Y2026" s="74">
        <f>Devis[[#This Row],[Poste 4]]*Devis[[#This Row],[Prix de Revient]]</f>
        <v>0</v>
      </c>
      <c r="Z2026" s="74">
        <f>Devis[[#This Row],[Poste 5]]*Devis[[#This Row],[Prix de Revient]]</f>
        <v>0</v>
      </c>
      <c r="AA2026" s="74">
        <f>Devis[[#This Row],[Prix de Revient]]*Devis[[#This Row],[Poste 6]]</f>
        <v>0</v>
      </c>
      <c r="AB2026" s="74">
        <f>Devis[[#This Row],[Quantité Totale]]*Devis[[#This Row],[Prix de Revient]]</f>
        <v>0</v>
      </c>
    </row>
    <row r="2027" spans="1:28" ht="14.25" outlineLevel="1" x14ac:dyDescent="0.2">
      <c r="A2027" s="75" t="s">
        <v>1647</v>
      </c>
      <c r="B2027" s="76" t="s">
        <v>6398</v>
      </c>
      <c r="C2027" s="76" t="s">
        <v>1530</v>
      </c>
      <c r="D2027" s="81" t="str">
        <f t="shared" si="35"/>
        <v>Inox Serti ItalienManchon Mixte FManchons à sertir F mixtes F</v>
      </c>
      <c r="E2027" s="76" t="s">
        <v>5337</v>
      </c>
      <c r="F2027" s="76">
        <v>17</v>
      </c>
      <c r="G2027" s="71" t="s">
        <v>1904</v>
      </c>
      <c r="H2027" s="71" t="s">
        <v>459</v>
      </c>
      <c r="I2027" s="71">
        <v>190112054</v>
      </c>
      <c r="J2027" s="70">
        <f>IFERROR(VLOOKUP(Devis[[#This Row],[Ref Air Flux]],#REF!,3,FALSE),0)</f>
        <v>0</v>
      </c>
      <c r="K2027" s="68"/>
      <c r="L2027" s="68"/>
      <c r="M2027" s="68"/>
      <c r="N2027" s="68"/>
      <c r="O2027" s="68"/>
      <c r="P2027" s="68"/>
      <c r="Q2027" s="68">
        <f>SUM(Devis[[#This Row],[Poste 1]:[Poste 6]])</f>
        <v>0</v>
      </c>
      <c r="R2027" s="71">
        <v>4</v>
      </c>
      <c r="S2027" s="68">
        <f>_xlfn.CEILING.MATH(Devis[[#This Row],[Quantité Totale]],Devis[[#This Row],[Conditionnement]])</f>
        <v>0</v>
      </c>
      <c r="T2027" s="72"/>
      <c r="U2027" s="73"/>
      <c r="V2027" s="74">
        <f>Devis[[#This Row],[Prix de Revient]]*Devis[[#This Row],[Poste 1]]</f>
        <v>0</v>
      </c>
      <c r="W2027" s="74">
        <f>Devis[[#This Row],[Prix de Revient]]*Devis[[#This Row],[Poste 2]]</f>
        <v>0</v>
      </c>
      <c r="X2027" s="74">
        <f>Devis[[#This Row],[Prix de Revient]]*Devis[[#This Row],[Poste 3]]</f>
        <v>0</v>
      </c>
      <c r="Y2027" s="74">
        <f>Devis[[#This Row],[Poste 4]]*Devis[[#This Row],[Prix de Revient]]</f>
        <v>0</v>
      </c>
      <c r="Z2027" s="74">
        <f>Devis[[#This Row],[Poste 5]]*Devis[[#This Row],[Prix de Revient]]</f>
        <v>0</v>
      </c>
      <c r="AA2027" s="74">
        <f>Devis[[#This Row],[Prix de Revient]]*Devis[[#This Row],[Poste 6]]</f>
        <v>0</v>
      </c>
      <c r="AB2027" s="74">
        <f>Devis[[#This Row],[Quantité Totale]]*Devis[[#This Row],[Prix de Revient]]</f>
        <v>0</v>
      </c>
    </row>
    <row r="2028" spans="1:28" ht="14.25" outlineLevel="1" x14ac:dyDescent="0.2">
      <c r="A2028" s="75" t="s">
        <v>1647</v>
      </c>
      <c r="B2028" s="76" t="s">
        <v>6398</v>
      </c>
      <c r="C2028" s="76" t="s">
        <v>1530</v>
      </c>
      <c r="D2028" s="81" t="str">
        <f t="shared" si="35"/>
        <v>Inox Serti ItalienManchon Mixte FManchons à sertir F mixtes F</v>
      </c>
      <c r="E2028" s="76" t="s">
        <v>5338</v>
      </c>
      <c r="F2028" s="76">
        <v>18</v>
      </c>
      <c r="G2028" s="71" t="s">
        <v>1905</v>
      </c>
      <c r="H2028" s="71" t="s">
        <v>459</v>
      </c>
      <c r="I2028" s="71">
        <v>190200054</v>
      </c>
      <c r="J2028" s="70">
        <f>IFERROR(VLOOKUP(Devis[[#This Row],[Ref Air Flux]],#REF!,3,FALSE),0)</f>
        <v>0</v>
      </c>
      <c r="K2028" s="68"/>
      <c r="L2028" s="68"/>
      <c r="M2028" s="68"/>
      <c r="N2028" s="68"/>
      <c r="O2028" s="68"/>
      <c r="P2028" s="68"/>
      <c r="Q2028" s="68">
        <f>SUM(Devis[[#This Row],[Poste 1]:[Poste 6]])</f>
        <v>0</v>
      </c>
      <c r="R2028" s="71">
        <v>4</v>
      </c>
      <c r="S2028" s="68">
        <f>_xlfn.CEILING.MATH(Devis[[#This Row],[Quantité Totale]],Devis[[#This Row],[Conditionnement]])</f>
        <v>0</v>
      </c>
      <c r="T2028" s="72"/>
      <c r="U2028" s="73"/>
      <c r="V2028" s="74">
        <f>Devis[[#This Row],[Prix de Revient]]*Devis[[#This Row],[Poste 1]]</f>
        <v>0</v>
      </c>
      <c r="W2028" s="74">
        <f>Devis[[#This Row],[Prix de Revient]]*Devis[[#This Row],[Poste 2]]</f>
        <v>0</v>
      </c>
      <c r="X2028" s="74">
        <f>Devis[[#This Row],[Prix de Revient]]*Devis[[#This Row],[Poste 3]]</f>
        <v>0</v>
      </c>
      <c r="Y2028" s="74">
        <f>Devis[[#This Row],[Poste 4]]*Devis[[#This Row],[Prix de Revient]]</f>
        <v>0</v>
      </c>
      <c r="Z2028" s="74">
        <f>Devis[[#This Row],[Poste 5]]*Devis[[#This Row],[Prix de Revient]]</f>
        <v>0</v>
      </c>
      <c r="AA2028" s="74">
        <f>Devis[[#This Row],[Prix de Revient]]*Devis[[#This Row],[Poste 6]]</f>
        <v>0</v>
      </c>
      <c r="AB2028" s="74">
        <f>Devis[[#This Row],[Quantité Totale]]*Devis[[#This Row],[Prix de Revient]]</f>
        <v>0</v>
      </c>
    </row>
    <row r="2029" spans="1:28" ht="14.25" customHeight="1" x14ac:dyDescent="0.25">
      <c r="A2029" s="65" t="s">
        <v>1647</v>
      </c>
      <c r="B2029" s="65" t="s">
        <v>6397</v>
      </c>
      <c r="C2029" s="76" t="s">
        <v>1543</v>
      </c>
      <c r="D2029" s="81" t="str">
        <f t="shared" si="35"/>
        <v xml:space="preserve">Inox Serti ItalienManchon Mixte MManchons à sertir F mixtes M </v>
      </c>
      <c r="E2029" s="76"/>
      <c r="F2029" s="76">
        <v>0</v>
      </c>
      <c r="G2029" s="71"/>
      <c r="H2029" s="71"/>
      <c r="I2029" s="71"/>
      <c r="J2029" s="70">
        <f>IFERROR(VLOOKUP(Devis[[#This Row],[Ref Air Flux]],#REF!,3,FALSE),0)</f>
        <v>0</v>
      </c>
      <c r="K2029" s="68"/>
      <c r="L2029" s="68"/>
      <c r="M2029" s="68"/>
      <c r="N2029" s="68"/>
      <c r="O2029" s="68"/>
      <c r="P2029" s="68"/>
      <c r="Q2029" s="68">
        <f>SUM(Devis[[#This Row],[Poste 1]:[Poste 6]])</f>
        <v>0</v>
      </c>
      <c r="R2029" s="71"/>
      <c r="S2029" s="68">
        <f>_xlfn.CEILING.MATH(Devis[[#This Row],[Quantité Totale]],Devis[[#This Row],[Conditionnement]])</f>
        <v>0</v>
      </c>
      <c r="T2029" s="72"/>
      <c r="U2029" s="73"/>
      <c r="V2029" s="74">
        <f>Devis[[#This Row],[Prix de Revient]]*Devis[[#This Row],[Poste 1]]</f>
        <v>0</v>
      </c>
      <c r="W2029" s="74">
        <f>Devis[[#This Row],[Prix de Revient]]*Devis[[#This Row],[Poste 2]]</f>
        <v>0</v>
      </c>
      <c r="X2029" s="74">
        <f>Devis[[#This Row],[Prix de Revient]]*Devis[[#This Row],[Poste 3]]</f>
        <v>0</v>
      </c>
      <c r="Y2029" s="74">
        <f>Devis[[#This Row],[Poste 4]]*Devis[[#This Row],[Prix de Revient]]</f>
        <v>0</v>
      </c>
      <c r="Z2029" s="74">
        <f>Devis[[#This Row],[Poste 5]]*Devis[[#This Row],[Prix de Revient]]</f>
        <v>0</v>
      </c>
      <c r="AA2029" s="74">
        <f>Devis[[#This Row],[Prix de Revient]]*Devis[[#This Row],[Poste 6]]</f>
        <v>0</v>
      </c>
      <c r="AB2029" s="74">
        <f>Devis[[#This Row],[Quantité Totale]]*Devis[[#This Row],[Prix de Revient]]</f>
        <v>0</v>
      </c>
    </row>
    <row r="2030" spans="1:28" ht="14.25" outlineLevel="1" x14ac:dyDescent="0.2">
      <c r="A2030" s="75" t="s">
        <v>1647</v>
      </c>
      <c r="B2030" s="76" t="s">
        <v>6397</v>
      </c>
      <c r="C2030" s="76" t="s">
        <v>1543</v>
      </c>
      <c r="D2030" s="81" t="str">
        <f t="shared" si="35"/>
        <v xml:space="preserve">Inox Serti ItalienManchon Mixte MManchons à sertir F mixtes M </v>
      </c>
      <c r="E2030" s="76" t="s">
        <v>1906</v>
      </c>
      <c r="F2030" s="76">
        <v>1</v>
      </c>
      <c r="G2030" s="71" t="s">
        <v>1907</v>
      </c>
      <c r="H2030" s="71" t="s">
        <v>459</v>
      </c>
      <c r="I2030" s="71">
        <v>187308015</v>
      </c>
      <c r="J2030" s="70">
        <f>IFERROR(VLOOKUP(Devis[[#This Row],[Ref Air Flux]],#REF!,3,FALSE),0)</f>
        <v>0</v>
      </c>
      <c r="K2030" s="68"/>
      <c r="L2030" s="68"/>
      <c r="M2030" s="68"/>
      <c r="N2030" s="68"/>
      <c r="O2030" s="68"/>
      <c r="P2030" s="68"/>
      <c r="Q2030" s="68">
        <f>SUM(Devis[[#This Row],[Poste 1]:[Poste 6]])</f>
        <v>0</v>
      </c>
      <c r="R2030" s="71">
        <v>20</v>
      </c>
      <c r="S2030" s="68">
        <f>_xlfn.CEILING.MATH(Devis[[#This Row],[Quantité Totale]],Devis[[#This Row],[Conditionnement]])</f>
        <v>0</v>
      </c>
      <c r="T2030" s="72"/>
      <c r="U2030" s="73"/>
      <c r="V2030" s="74">
        <f>Devis[[#This Row],[Prix de Revient]]*Devis[[#This Row],[Poste 1]]</f>
        <v>0</v>
      </c>
      <c r="W2030" s="74">
        <f>Devis[[#This Row],[Prix de Revient]]*Devis[[#This Row],[Poste 2]]</f>
        <v>0</v>
      </c>
      <c r="X2030" s="74">
        <f>Devis[[#This Row],[Prix de Revient]]*Devis[[#This Row],[Poste 3]]</f>
        <v>0</v>
      </c>
      <c r="Y2030" s="74">
        <f>Devis[[#This Row],[Poste 4]]*Devis[[#This Row],[Prix de Revient]]</f>
        <v>0</v>
      </c>
      <c r="Z2030" s="74">
        <f>Devis[[#This Row],[Poste 5]]*Devis[[#This Row],[Prix de Revient]]</f>
        <v>0</v>
      </c>
      <c r="AA2030" s="74">
        <f>Devis[[#This Row],[Prix de Revient]]*Devis[[#This Row],[Poste 6]]</f>
        <v>0</v>
      </c>
      <c r="AB2030" s="74">
        <f>Devis[[#This Row],[Quantité Totale]]*Devis[[#This Row],[Prix de Revient]]</f>
        <v>0</v>
      </c>
    </row>
    <row r="2031" spans="1:28" ht="14.25" outlineLevel="1" x14ac:dyDescent="0.2">
      <c r="A2031" s="75" t="s">
        <v>1647</v>
      </c>
      <c r="B2031" s="76" t="s">
        <v>6397</v>
      </c>
      <c r="C2031" s="76" t="s">
        <v>1543</v>
      </c>
      <c r="D2031" s="81" t="str">
        <f t="shared" si="35"/>
        <v xml:space="preserve">Inox Serti ItalienManchon Mixte MManchons à sertir F mixtes M </v>
      </c>
      <c r="E2031" s="76" t="s">
        <v>1778</v>
      </c>
      <c r="F2031" s="76">
        <v>2</v>
      </c>
      <c r="G2031" s="71" t="s">
        <v>1908</v>
      </c>
      <c r="H2031" s="71" t="s">
        <v>459</v>
      </c>
      <c r="I2031" s="71">
        <v>187102015</v>
      </c>
      <c r="J2031" s="70">
        <f>IFERROR(VLOOKUP(Devis[[#This Row],[Ref Air Flux]],#REF!,3,FALSE),0)</f>
        <v>0</v>
      </c>
      <c r="K2031" s="68"/>
      <c r="L2031" s="68"/>
      <c r="M2031" s="68"/>
      <c r="N2031" s="68"/>
      <c r="O2031" s="68"/>
      <c r="P2031" s="68"/>
      <c r="Q2031" s="68">
        <f>SUM(Devis[[#This Row],[Poste 1]:[Poste 6]])</f>
        <v>0</v>
      </c>
      <c r="R2031" s="71">
        <v>20</v>
      </c>
      <c r="S2031" s="68">
        <f>_xlfn.CEILING.MATH(Devis[[#This Row],[Quantité Totale]],Devis[[#This Row],[Conditionnement]])</f>
        <v>0</v>
      </c>
      <c r="T2031" s="72"/>
      <c r="U2031" s="73"/>
      <c r="V2031" s="74">
        <f>Devis[[#This Row],[Prix de Revient]]*Devis[[#This Row],[Poste 1]]</f>
        <v>0</v>
      </c>
      <c r="W2031" s="74">
        <f>Devis[[#This Row],[Prix de Revient]]*Devis[[#This Row],[Poste 2]]</f>
        <v>0</v>
      </c>
      <c r="X2031" s="74">
        <f>Devis[[#This Row],[Prix de Revient]]*Devis[[#This Row],[Poste 3]]</f>
        <v>0</v>
      </c>
      <c r="Y2031" s="74">
        <f>Devis[[#This Row],[Poste 4]]*Devis[[#This Row],[Prix de Revient]]</f>
        <v>0</v>
      </c>
      <c r="Z2031" s="74">
        <f>Devis[[#This Row],[Poste 5]]*Devis[[#This Row],[Prix de Revient]]</f>
        <v>0</v>
      </c>
      <c r="AA2031" s="74">
        <f>Devis[[#This Row],[Prix de Revient]]*Devis[[#This Row],[Poste 6]]</f>
        <v>0</v>
      </c>
      <c r="AB2031" s="74">
        <f>Devis[[#This Row],[Quantité Totale]]*Devis[[#This Row],[Prix de Revient]]</f>
        <v>0</v>
      </c>
    </row>
    <row r="2032" spans="1:28" ht="14.25" outlineLevel="1" x14ac:dyDescent="0.2">
      <c r="A2032" s="75" t="s">
        <v>1647</v>
      </c>
      <c r="B2032" s="76" t="s">
        <v>6397</v>
      </c>
      <c r="C2032" s="76" t="s">
        <v>1543</v>
      </c>
      <c r="D2032" s="81" t="str">
        <f t="shared" si="35"/>
        <v xml:space="preserve">Inox Serti ItalienManchon Mixte MManchons à sertir F mixtes M </v>
      </c>
      <c r="E2032" s="76" t="s">
        <v>1806</v>
      </c>
      <c r="F2032" s="76">
        <v>3</v>
      </c>
      <c r="G2032" s="71" t="s">
        <v>1909</v>
      </c>
      <c r="H2032" s="71" t="s">
        <v>459</v>
      </c>
      <c r="I2032" s="71">
        <v>187304015</v>
      </c>
      <c r="J2032" s="70">
        <f>IFERROR(VLOOKUP(Devis[[#This Row],[Ref Air Flux]],#REF!,3,FALSE),0)</f>
        <v>0</v>
      </c>
      <c r="K2032" s="68"/>
      <c r="L2032" s="68"/>
      <c r="M2032" s="68"/>
      <c r="N2032" s="68"/>
      <c r="O2032" s="68"/>
      <c r="P2032" s="68"/>
      <c r="Q2032" s="68">
        <f>SUM(Devis[[#This Row],[Poste 1]:[Poste 6]])</f>
        <v>0</v>
      </c>
      <c r="R2032" s="71">
        <v>20</v>
      </c>
      <c r="S2032" s="68">
        <f>_xlfn.CEILING.MATH(Devis[[#This Row],[Quantité Totale]],Devis[[#This Row],[Conditionnement]])</f>
        <v>0</v>
      </c>
      <c r="T2032" s="72"/>
      <c r="U2032" s="73"/>
      <c r="V2032" s="74">
        <f>Devis[[#This Row],[Prix de Revient]]*Devis[[#This Row],[Poste 1]]</f>
        <v>0</v>
      </c>
      <c r="W2032" s="74">
        <f>Devis[[#This Row],[Prix de Revient]]*Devis[[#This Row],[Poste 2]]</f>
        <v>0</v>
      </c>
      <c r="X2032" s="74">
        <f>Devis[[#This Row],[Prix de Revient]]*Devis[[#This Row],[Poste 3]]</f>
        <v>0</v>
      </c>
      <c r="Y2032" s="74">
        <f>Devis[[#This Row],[Poste 4]]*Devis[[#This Row],[Prix de Revient]]</f>
        <v>0</v>
      </c>
      <c r="Z2032" s="74">
        <f>Devis[[#This Row],[Poste 5]]*Devis[[#This Row],[Prix de Revient]]</f>
        <v>0</v>
      </c>
      <c r="AA2032" s="74">
        <f>Devis[[#This Row],[Prix de Revient]]*Devis[[#This Row],[Poste 6]]</f>
        <v>0</v>
      </c>
      <c r="AB2032" s="74">
        <f>Devis[[#This Row],[Quantité Totale]]*Devis[[#This Row],[Prix de Revient]]</f>
        <v>0</v>
      </c>
    </row>
    <row r="2033" spans="1:28" ht="14.25" outlineLevel="1" x14ac:dyDescent="0.2">
      <c r="A2033" s="75" t="s">
        <v>1647</v>
      </c>
      <c r="B2033" s="76" t="s">
        <v>6397</v>
      </c>
      <c r="C2033" s="76" t="s">
        <v>1543</v>
      </c>
      <c r="D2033" s="81" t="str">
        <f t="shared" si="35"/>
        <v xml:space="preserve">Inox Serti ItalienManchon Mixte MManchons à sertir F mixtes M </v>
      </c>
      <c r="E2033" s="76" t="s">
        <v>1780</v>
      </c>
      <c r="F2033" s="76">
        <v>4</v>
      </c>
      <c r="G2033" s="71" t="s">
        <v>1910</v>
      </c>
      <c r="H2033" s="71" t="s">
        <v>459</v>
      </c>
      <c r="I2033" s="71">
        <v>187102018</v>
      </c>
      <c r="J2033" s="70">
        <f>IFERROR(VLOOKUP(Devis[[#This Row],[Ref Air Flux]],#REF!,3,FALSE),0)</f>
        <v>0</v>
      </c>
      <c r="K2033" s="68"/>
      <c r="L2033" s="68"/>
      <c r="M2033" s="68"/>
      <c r="N2033" s="68"/>
      <c r="O2033" s="68"/>
      <c r="P2033" s="68"/>
      <c r="Q2033" s="68">
        <f>SUM(Devis[[#This Row],[Poste 1]:[Poste 6]])</f>
        <v>0</v>
      </c>
      <c r="R2033" s="71">
        <v>20</v>
      </c>
      <c r="S2033" s="68">
        <f>_xlfn.CEILING.MATH(Devis[[#This Row],[Quantité Totale]],Devis[[#This Row],[Conditionnement]])</f>
        <v>0</v>
      </c>
      <c r="T2033" s="72"/>
      <c r="U2033" s="73"/>
      <c r="V2033" s="74">
        <f>Devis[[#This Row],[Prix de Revient]]*Devis[[#This Row],[Poste 1]]</f>
        <v>0</v>
      </c>
      <c r="W2033" s="74">
        <f>Devis[[#This Row],[Prix de Revient]]*Devis[[#This Row],[Poste 2]]</f>
        <v>0</v>
      </c>
      <c r="X2033" s="74">
        <f>Devis[[#This Row],[Prix de Revient]]*Devis[[#This Row],[Poste 3]]</f>
        <v>0</v>
      </c>
      <c r="Y2033" s="74">
        <f>Devis[[#This Row],[Poste 4]]*Devis[[#This Row],[Prix de Revient]]</f>
        <v>0</v>
      </c>
      <c r="Z2033" s="74">
        <f>Devis[[#This Row],[Poste 5]]*Devis[[#This Row],[Prix de Revient]]</f>
        <v>0</v>
      </c>
      <c r="AA2033" s="74">
        <f>Devis[[#This Row],[Prix de Revient]]*Devis[[#This Row],[Poste 6]]</f>
        <v>0</v>
      </c>
      <c r="AB2033" s="74">
        <f>Devis[[#This Row],[Quantité Totale]]*Devis[[#This Row],[Prix de Revient]]</f>
        <v>0</v>
      </c>
    </row>
    <row r="2034" spans="1:28" ht="14.25" outlineLevel="1" x14ac:dyDescent="0.2">
      <c r="A2034" s="75" t="s">
        <v>1647</v>
      </c>
      <c r="B2034" s="76" t="s">
        <v>6397</v>
      </c>
      <c r="C2034" s="76" t="s">
        <v>1543</v>
      </c>
      <c r="D2034" s="81" t="str">
        <f t="shared" si="35"/>
        <v xml:space="preserve">Inox Serti ItalienManchon Mixte MManchons à sertir F mixtes M </v>
      </c>
      <c r="E2034" s="76" t="s">
        <v>5331</v>
      </c>
      <c r="F2034" s="76">
        <v>5</v>
      </c>
      <c r="G2034" s="71" t="s">
        <v>1911</v>
      </c>
      <c r="H2034" s="71" t="s">
        <v>459</v>
      </c>
      <c r="I2034" s="71">
        <v>187304018</v>
      </c>
      <c r="J2034" s="70">
        <f>IFERROR(VLOOKUP(Devis[[#This Row],[Ref Air Flux]],#REF!,3,FALSE),0)</f>
        <v>0</v>
      </c>
      <c r="K2034" s="68"/>
      <c r="L2034" s="68"/>
      <c r="M2034" s="68"/>
      <c r="N2034" s="68"/>
      <c r="O2034" s="68"/>
      <c r="P2034" s="68"/>
      <c r="Q2034" s="68">
        <f>SUM(Devis[[#This Row],[Poste 1]:[Poste 6]])</f>
        <v>0</v>
      </c>
      <c r="R2034" s="71">
        <v>20</v>
      </c>
      <c r="S2034" s="68">
        <f>_xlfn.CEILING.MATH(Devis[[#This Row],[Quantité Totale]],Devis[[#This Row],[Conditionnement]])</f>
        <v>0</v>
      </c>
      <c r="T2034" s="72"/>
      <c r="U2034" s="73"/>
      <c r="V2034" s="74">
        <f>Devis[[#This Row],[Prix de Revient]]*Devis[[#This Row],[Poste 1]]</f>
        <v>0</v>
      </c>
      <c r="W2034" s="74">
        <f>Devis[[#This Row],[Prix de Revient]]*Devis[[#This Row],[Poste 2]]</f>
        <v>0</v>
      </c>
      <c r="X2034" s="74">
        <f>Devis[[#This Row],[Prix de Revient]]*Devis[[#This Row],[Poste 3]]</f>
        <v>0</v>
      </c>
      <c r="Y2034" s="74">
        <f>Devis[[#This Row],[Poste 4]]*Devis[[#This Row],[Prix de Revient]]</f>
        <v>0</v>
      </c>
      <c r="Z2034" s="74">
        <f>Devis[[#This Row],[Poste 5]]*Devis[[#This Row],[Prix de Revient]]</f>
        <v>0</v>
      </c>
      <c r="AA2034" s="74">
        <f>Devis[[#This Row],[Prix de Revient]]*Devis[[#This Row],[Poste 6]]</f>
        <v>0</v>
      </c>
      <c r="AB2034" s="74">
        <f>Devis[[#This Row],[Quantité Totale]]*Devis[[#This Row],[Prix de Revient]]</f>
        <v>0</v>
      </c>
    </row>
    <row r="2035" spans="1:28" ht="14.25" outlineLevel="1" x14ac:dyDescent="0.2">
      <c r="A2035" s="75" t="s">
        <v>1647</v>
      </c>
      <c r="B2035" s="76" t="s">
        <v>6397</v>
      </c>
      <c r="C2035" s="76" t="s">
        <v>1543</v>
      </c>
      <c r="D2035" s="81" t="str">
        <f t="shared" si="35"/>
        <v xml:space="preserve">Inox Serti ItalienManchon Mixte MManchons à sertir F mixtes M </v>
      </c>
      <c r="E2035" s="76" t="s">
        <v>1811</v>
      </c>
      <c r="F2035" s="76">
        <v>6</v>
      </c>
      <c r="G2035" s="71" t="s">
        <v>1912</v>
      </c>
      <c r="H2035" s="71" t="s">
        <v>459</v>
      </c>
      <c r="I2035" s="71">
        <v>187102022</v>
      </c>
      <c r="J2035" s="70">
        <f>IFERROR(VLOOKUP(Devis[[#This Row],[Ref Air Flux]],#REF!,3,FALSE),0)</f>
        <v>0</v>
      </c>
      <c r="K2035" s="68"/>
      <c r="L2035" s="68"/>
      <c r="M2035" s="68"/>
      <c r="N2035" s="68"/>
      <c r="O2035" s="68"/>
      <c r="P2035" s="68"/>
      <c r="Q2035" s="68">
        <f>SUM(Devis[[#This Row],[Poste 1]:[Poste 6]])</f>
        <v>0</v>
      </c>
      <c r="R2035" s="71">
        <v>10</v>
      </c>
      <c r="S2035" s="68">
        <f>_xlfn.CEILING.MATH(Devis[[#This Row],[Quantité Totale]],Devis[[#This Row],[Conditionnement]])</f>
        <v>0</v>
      </c>
      <c r="T2035" s="72"/>
      <c r="U2035" s="73"/>
      <c r="V2035" s="74">
        <f>Devis[[#This Row],[Prix de Revient]]*Devis[[#This Row],[Poste 1]]</f>
        <v>0</v>
      </c>
      <c r="W2035" s="74">
        <f>Devis[[#This Row],[Prix de Revient]]*Devis[[#This Row],[Poste 2]]</f>
        <v>0</v>
      </c>
      <c r="X2035" s="74">
        <f>Devis[[#This Row],[Prix de Revient]]*Devis[[#This Row],[Poste 3]]</f>
        <v>0</v>
      </c>
      <c r="Y2035" s="74">
        <f>Devis[[#This Row],[Poste 4]]*Devis[[#This Row],[Prix de Revient]]</f>
        <v>0</v>
      </c>
      <c r="Z2035" s="74">
        <f>Devis[[#This Row],[Poste 5]]*Devis[[#This Row],[Prix de Revient]]</f>
        <v>0</v>
      </c>
      <c r="AA2035" s="74">
        <f>Devis[[#This Row],[Prix de Revient]]*Devis[[#This Row],[Poste 6]]</f>
        <v>0</v>
      </c>
      <c r="AB2035" s="74">
        <f>Devis[[#This Row],[Quantité Totale]]*Devis[[#This Row],[Prix de Revient]]</f>
        <v>0</v>
      </c>
    </row>
    <row r="2036" spans="1:28" ht="14.25" outlineLevel="1" x14ac:dyDescent="0.2">
      <c r="A2036" s="75" t="s">
        <v>1647</v>
      </c>
      <c r="B2036" s="76" t="s">
        <v>6397</v>
      </c>
      <c r="C2036" s="76" t="s">
        <v>1543</v>
      </c>
      <c r="D2036" s="81" t="str">
        <f t="shared" si="35"/>
        <v xml:space="preserve">Inox Serti ItalienManchon Mixte MManchons à sertir F mixtes M </v>
      </c>
      <c r="E2036" s="76" t="s">
        <v>5333</v>
      </c>
      <c r="F2036" s="76">
        <v>7</v>
      </c>
      <c r="G2036" s="71" t="s">
        <v>1913</v>
      </c>
      <c r="H2036" s="71" t="s">
        <v>459</v>
      </c>
      <c r="I2036" s="71">
        <v>187304022</v>
      </c>
      <c r="J2036" s="70">
        <f>IFERROR(VLOOKUP(Devis[[#This Row],[Ref Air Flux]],#REF!,3,FALSE),0)</f>
        <v>0</v>
      </c>
      <c r="K2036" s="68"/>
      <c r="L2036" s="68"/>
      <c r="M2036" s="68"/>
      <c r="N2036" s="68"/>
      <c r="O2036" s="68"/>
      <c r="P2036" s="68"/>
      <c r="Q2036" s="68">
        <f>SUM(Devis[[#This Row],[Poste 1]:[Poste 6]])</f>
        <v>0</v>
      </c>
      <c r="R2036" s="71">
        <v>10</v>
      </c>
      <c r="S2036" s="68">
        <f>_xlfn.CEILING.MATH(Devis[[#This Row],[Quantité Totale]],Devis[[#This Row],[Conditionnement]])</f>
        <v>0</v>
      </c>
      <c r="T2036" s="72"/>
      <c r="U2036" s="73"/>
      <c r="V2036" s="74">
        <f>Devis[[#This Row],[Prix de Revient]]*Devis[[#This Row],[Poste 1]]</f>
        <v>0</v>
      </c>
      <c r="W2036" s="74">
        <f>Devis[[#This Row],[Prix de Revient]]*Devis[[#This Row],[Poste 2]]</f>
        <v>0</v>
      </c>
      <c r="X2036" s="74">
        <f>Devis[[#This Row],[Prix de Revient]]*Devis[[#This Row],[Poste 3]]</f>
        <v>0</v>
      </c>
      <c r="Y2036" s="74">
        <f>Devis[[#This Row],[Poste 4]]*Devis[[#This Row],[Prix de Revient]]</f>
        <v>0</v>
      </c>
      <c r="Z2036" s="74">
        <f>Devis[[#This Row],[Poste 5]]*Devis[[#This Row],[Prix de Revient]]</f>
        <v>0</v>
      </c>
      <c r="AA2036" s="74">
        <f>Devis[[#This Row],[Prix de Revient]]*Devis[[#This Row],[Poste 6]]</f>
        <v>0</v>
      </c>
      <c r="AB2036" s="74">
        <f>Devis[[#This Row],[Quantité Totale]]*Devis[[#This Row],[Prix de Revient]]</f>
        <v>0</v>
      </c>
    </row>
    <row r="2037" spans="1:28" ht="14.25" outlineLevel="1" x14ac:dyDescent="0.2">
      <c r="A2037" s="75" t="s">
        <v>1647</v>
      </c>
      <c r="B2037" s="76" t="s">
        <v>6397</v>
      </c>
      <c r="C2037" s="76" t="s">
        <v>1543</v>
      </c>
      <c r="D2037" s="81" t="str">
        <f t="shared" si="35"/>
        <v xml:space="preserve">Inox Serti ItalienManchon Mixte MManchons à sertir F mixtes M </v>
      </c>
      <c r="E2037" s="76" t="s">
        <v>1814</v>
      </c>
      <c r="F2037" s="76">
        <v>8</v>
      </c>
      <c r="G2037" s="71" t="s">
        <v>1914</v>
      </c>
      <c r="H2037" s="71" t="s">
        <v>459</v>
      </c>
      <c r="I2037" s="71">
        <v>187100022</v>
      </c>
      <c r="J2037" s="70">
        <f>IFERROR(VLOOKUP(Devis[[#This Row],[Ref Air Flux]],#REF!,3,FALSE),0)</f>
        <v>0</v>
      </c>
      <c r="K2037" s="68"/>
      <c r="L2037" s="68"/>
      <c r="M2037" s="68"/>
      <c r="N2037" s="68"/>
      <c r="O2037" s="68"/>
      <c r="P2037" s="68"/>
      <c r="Q2037" s="68">
        <f>SUM(Devis[[#This Row],[Poste 1]:[Poste 6]])</f>
        <v>0</v>
      </c>
      <c r="R2037" s="71">
        <v>10</v>
      </c>
      <c r="S2037" s="68">
        <f>_xlfn.CEILING.MATH(Devis[[#This Row],[Quantité Totale]],Devis[[#This Row],[Conditionnement]])</f>
        <v>0</v>
      </c>
      <c r="T2037" s="72"/>
      <c r="U2037" s="73"/>
      <c r="V2037" s="74">
        <f>Devis[[#This Row],[Prix de Revient]]*Devis[[#This Row],[Poste 1]]</f>
        <v>0</v>
      </c>
      <c r="W2037" s="74">
        <f>Devis[[#This Row],[Prix de Revient]]*Devis[[#This Row],[Poste 2]]</f>
        <v>0</v>
      </c>
      <c r="X2037" s="74">
        <f>Devis[[#This Row],[Prix de Revient]]*Devis[[#This Row],[Poste 3]]</f>
        <v>0</v>
      </c>
      <c r="Y2037" s="74">
        <f>Devis[[#This Row],[Poste 4]]*Devis[[#This Row],[Prix de Revient]]</f>
        <v>0</v>
      </c>
      <c r="Z2037" s="74">
        <f>Devis[[#This Row],[Poste 5]]*Devis[[#This Row],[Prix de Revient]]</f>
        <v>0</v>
      </c>
      <c r="AA2037" s="74">
        <f>Devis[[#This Row],[Prix de Revient]]*Devis[[#This Row],[Poste 6]]</f>
        <v>0</v>
      </c>
      <c r="AB2037" s="74">
        <f>Devis[[#This Row],[Quantité Totale]]*Devis[[#This Row],[Prix de Revient]]</f>
        <v>0</v>
      </c>
    </row>
    <row r="2038" spans="1:28" ht="14.25" outlineLevel="1" x14ac:dyDescent="0.2">
      <c r="A2038" s="75" t="s">
        <v>1647</v>
      </c>
      <c r="B2038" s="76" t="s">
        <v>6397</v>
      </c>
      <c r="C2038" s="76" t="s">
        <v>1543</v>
      </c>
      <c r="D2038" s="81" t="str">
        <f t="shared" si="35"/>
        <v xml:space="preserve">Inox Serti ItalienManchon Mixte MManchons à sertir F mixtes M </v>
      </c>
      <c r="E2038" s="76" t="s">
        <v>1915</v>
      </c>
      <c r="F2038" s="76">
        <v>9</v>
      </c>
      <c r="G2038" s="71" t="s">
        <v>1916</v>
      </c>
      <c r="H2038" s="71" t="s">
        <v>459</v>
      </c>
      <c r="I2038" s="71">
        <v>187102028</v>
      </c>
      <c r="J2038" s="70">
        <f>IFERROR(VLOOKUP(Devis[[#This Row],[Ref Air Flux]],#REF!,3,FALSE),0)</f>
        <v>0</v>
      </c>
      <c r="K2038" s="68"/>
      <c r="L2038" s="68"/>
      <c r="M2038" s="68"/>
      <c r="N2038" s="68"/>
      <c r="O2038" s="68"/>
      <c r="P2038" s="68"/>
      <c r="Q2038" s="68">
        <f>SUM(Devis[[#This Row],[Poste 1]:[Poste 6]])</f>
        <v>0</v>
      </c>
      <c r="R2038" s="71">
        <v>10</v>
      </c>
      <c r="S2038" s="68">
        <f>_xlfn.CEILING.MATH(Devis[[#This Row],[Quantité Totale]],Devis[[#This Row],[Conditionnement]])</f>
        <v>0</v>
      </c>
      <c r="T2038" s="72"/>
      <c r="U2038" s="73"/>
      <c r="V2038" s="74">
        <f>Devis[[#This Row],[Prix de Revient]]*Devis[[#This Row],[Poste 1]]</f>
        <v>0</v>
      </c>
      <c r="W2038" s="74">
        <f>Devis[[#This Row],[Prix de Revient]]*Devis[[#This Row],[Poste 2]]</f>
        <v>0</v>
      </c>
      <c r="X2038" s="74">
        <f>Devis[[#This Row],[Prix de Revient]]*Devis[[#This Row],[Poste 3]]</f>
        <v>0</v>
      </c>
      <c r="Y2038" s="74">
        <f>Devis[[#This Row],[Poste 4]]*Devis[[#This Row],[Prix de Revient]]</f>
        <v>0</v>
      </c>
      <c r="Z2038" s="74">
        <f>Devis[[#This Row],[Poste 5]]*Devis[[#This Row],[Prix de Revient]]</f>
        <v>0</v>
      </c>
      <c r="AA2038" s="74">
        <f>Devis[[#This Row],[Prix de Revient]]*Devis[[#This Row],[Poste 6]]</f>
        <v>0</v>
      </c>
      <c r="AB2038" s="74">
        <f>Devis[[#This Row],[Quantité Totale]]*Devis[[#This Row],[Prix de Revient]]</f>
        <v>0</v>
      </c>
    </row>
    <row r="2039" spans="1:28" ht="14.25" outlineLevel="1" x14ac:dyDescent="0.2">
      <c r="A2039" s="75" t="s">
        <v>1647</v>
      </c>
      <c r="B2039" s="76" t="s">
        <v>6397</v>
      </c>
      <c r="C2039" s="76" t="s">
        <v>1543</v>
      </c>
      <c r="D2039" s="81" t="str">
        <f t="shared" si="35"/>
        <v xml:space="preserve">Inox Serti ItalienManchon Mixte MManchons à sertir F mixtes M </v>
      </c>
      <c r="E2039" s="76" t="s">
        <v>5335</v>
      </c>
      <c r="F2039" s="76">
        <v>10</v>
      </c>
      <c r="G2039" s="71" t="s">
        <v>1917</v>
      </c>
      <c r="H2039" s="71" t="s">
        <v>459</v>
      </c>
      <c r="I2039" s="71">
        <v>187304028</v>
      </c>
      <c r="J2039" s="70">
        <f>IFERROR(VLOOKUP(Devis[[#This Row],[Ref Air Flux]],#REF!,3,FALSE),0)</f>
        <v>0</v>
      </c>
      <c r="K2039" s="68"/>
      <c r="L2039" s="68"/>
      <c r="M2039" s="68"/>
      <c r="N2039" s="68"/>
      <c r="O2039" s="68"/>
      <c r="P2039" s="68"/>
      <c r="Q2039" s="68">
        <f>SUM(Devis[[#This Row],[Poste 1]:[Poste 6]])</f>
        <v>0</v>
      </c>
      <c r="R2039" s="71">
        <v>10</v>
      </c>
      <c r="S2039" s="68">
        <f>_xlfn.CEILING.MATH(Devis[[#This Row],[Quantité Totale]],Devis[[#This Row],[Conditionnement]])</f>
        <v>0</v>
      </c>
      <c r="T2039" s="72"/>
      <c r="U2039" s="73"/>
      <c r="V2039" s="74">
        <f>Devis[[#This Row],[Prix de Revient]]*Devis[[#This Row],[Poste 1]]</f>
        <v>0</v>
      </c>
      <c r="W2039" s="74">
        <f>Devis[[#This Row],[Prix de Revient]]*Devis[[#This Row],[Poste 2]]</f>
        <v>0</v>
      </c>
      <c r="X2039" s="74">
        <f>Devis[[#This Row],[Prix de Revient]]*Devis[[#This Row],[Poste 3]]</f>
        <v>0</v>
      </c>
      <c r="Y2039" s="74">
        <f>Devis[[#This Row],[Poste 4]]*Devis[[#This Row],[Prix de Revient]]</f>
        <v>0</v>
      </c>
      <c r="Z2039" s="74">
        <f>Devis[[#This Row],[Poste 5]]*Devis[[#This Row],[Prix de Revient]]</f>
        <v>0</v>
      </c>
      <c r="AA2039" s="74">
        <f>Devis[[#This Row],[Prix de Revient]]*Devis[[#This Row],[Poste 6]]</f>
        <v>0</v>
      </c>
      <c r="AB2039" s="74">
        <f>Devis[[#This Row],[Quantité Totale]]*Devis[[#This Row],[Prix de Revient]]</f>
        <v>0</v>
      </c>
    </row>
    <row r="2040" spans="1:28" ht="14.25" outlineLevel="1" x14ac:dyDescent="0.2">
      <c r="A2040" s="75" t="s">
        <v>1647</v>
      </c>
      <c r="B2040" s="76" t="s">
        <v>6397</v>
      </c>
      <c r="C2040" s="76" t="s">
        <v>1543</v>
      </c>
      <c r="D2040" s="81" t="str">
        <f t="shared" si="35"/>
        <v xml:space="preserve">Inox Serti ItalienManchon Mixte MManchons à sertir F mixtes M </v>
      </c>
      <c r="E2040" s="76" t="s">
        <v>5325</v>
      </c>
      <c r="F2040" s="76">
        <v>11</v>
      </c>
      <c r="G2040" s="71" t="s">
        <v>1918</v>
      </c>
      <c r="H2040" s="71" t="s">
        <v>459</v>
      </c>
      <c r="I2040" s="71">
        <v>187100028</v>
      </c>
      <c r="J2040" s="70">
        <f>IFERROR(VLOOKUP(Devis[[#This Row],[Ref Air Flux]],#REF!,3,FALSE),0)</f>
        <v>0</v>
      </c>
      <c r="K2040" s="68"/>
      <c r="L2040" s="68"/>
      <c r="M2040" s="68"/>
      <c r="N2040" s="68"/>
      <c r="O2040" s="68"/>
      <c r="P2040" s="68"/>
      <c r="Q2040" s="68">
        <f>SUM(Devis[[#This Row],[Poste 1]:[Poste 6]])</f>
        <v>0</v>
      </c>
      <c r="R2040" s="71">
        <v>10</v>
      </c>
      <c r="S2040" s="68">
        <f>_xlfn.CEILING.MATH(Devis[[#This Row],[Quantité Totale]],Devis[[#This Row],[Conditionnement]])</f>
        <v>0</v>
      </c>
      <c r="T2040" s="72"/>
      <c r="U2040" s="73"/>
      <c r="V2040" s="74">
        <f>Devis[[#This Row],[Prix de Revient]]*Devis[[#This Row],[Poste 1]]</f>
        <v>0</v>
      </c>
      <c r="W2040" s="74">
        <f>Devis[[#This Row],[Prix de Revient]]*Devis[[#This Row],[Poste 2]]</f>
        <v>0</v>
      </c>
      <c r="X2040" s="74">
        <f>Devis[[#This Row],[Prix de Revient]]*Devis[[#This Row],[Poste 3]]</f>
        <v>0</v>
      </c>
      <c r="Y2040" s="74">
        <f>Devis[[#This Row],[Poste 4]]*Devis[[#This Row],[Prix de Revient]]</f>
        <v>0</v>
      </c>
      <c r="Z2040" s="74">
        <f>Devis[[#This Row],[Poste 5]]*Devis[[#This Row],[Prix de Revient]]</f>
        <v>0</v>
      </c>
      <c r="AA2040" s="74">
        <f>Devis[[#This Row],[Prix de Revient]]*Devis[[#This Row],[Poste 6]]</f>
        <v>0</v>
      </c>
      <c r="AB2040" s="74">
        <f>Devis[[#This Row],[Quantité Totale]]*Devis[[#This Row],[Prix de Revient]]</f>
        <v>0</v>
      </c>
    </row>
    <row r="2041" spans="1:28" ht="14.25" outlineLevel="1" x14ac:dyDescent="0.2">
      <c r="A2041" s="75" t="s">
        <v>1647</v>
      </c>
      <c r="B2041" s="76" t="s">
        <v>6397</v>
      </c>
      <c r="C2041" s="76" t="s">
        <v>1543</v>
      </c>
      <c r="D2041" s="81" t="str">
        <f t="shared" si="35"/>
        <v xml:space="preserve">Inox Serti ItalienManchon Mixte MManchons à sertir F mixtes M </v>
      </c>
      <c r="E2041" s="76" t="s">
        <v>1896</v>
      </c>
      <c r="F2041" s="76">
        <v>12</v>
      </c>
      <c r="G2041" s="71" t="s">
        <v>1919</v>
      </c>
      <c r="H2041" s="71" t="s">
        <v>459</v>
      </c>
      <c r="I2041" s="71">
        <v>187114028</v>
      </c>
      <c r="J2041" s="70">
        <f>IFERROR(VLOOKUP(Devis[[#This Row],[Ref Air Flux]],#REF!,3,FALSE),0)</f>
        <v>0</v>
      </c>
      <c r="K2041" s="68"/>
      <c r="L2041" s="68"/>
      <c r="M2041" s="68"/>
      <c r="N2041" s="68"/>
      <c r="O2041" s="68"/>
      <c r="P2041" s="68"/>
      <c r="Q2041" s="68">
        <f>SUM(Devis[[#This Row],[Poste 1]:[Poste 6]])</f>
        <v>0</v>
      </c>
      <c r="R2041" s="71">
        <v>10</v>
      </c>
      <c r="S2041" s="68">
        <f>_xlfn.CEILING.MATH(Devis[[#This Row],[Quantité Totale]],Devis[[#This Row],[Conditionnement]])</f>
        <v>0</v>
      </c>
      <c r="T2041" s="72"/>
      <c r="U2041" s="73"/>
      <c r="V2041" s="74">
        <f>Devis[[#This Row],[Prix de Revient]]*Devis[[#This Row],[Poste 1]]</f>
        <v>0</v>
      </c>
      <c r="W2041" s="74">
        <f>Devis[[#This Row],[Prix de Revient]]*Devis[[#This Row],[Poste 2]]</f>
        <v>0</v>
      </c>
      <c r="X2041" s="74">
        <f>Devis[[#This Row],[Prix de Revient]]*Devis[[#This Row],[Poste 3]]</f>
        <v>0</v>
      </c>
      <c r="Y2041" s="74">
        <f>Devis[[#This Row],[Poste 4]]*Devis[[#This Row],[Prix de Revient]]</f>
        <v>0</v>
      </c>
      <c r="Z2041" s="74">
        <f>Devis[[#This Row],[Poste 5]]*Devis[[#This Row],[Prix de Revient]]</f>
        <v>0</v>
      </c>
      <c r="AA2041" s="74">
        <f>Devis[[#This Row],[Prix de Revient]]*Devis[[#This Row],[Poste 6]]</f>
        <v>0</v>
      </c>
      <c r="AB2041" s="74">
        <f>Devis[[#This Row],[Quantité Totale]]*Devis[[#This Row],[Prix de Revient]]</f>
        <v>0</v>
      </c>
    </row>
    <row r="2042" spans="1:28" ht="14.25" outlineLevel="1" x14ac:dyDescent="0.2">
      <c r="A2042" s="75" t="s">
        <v>1647</v>
      </c>
      <c r="B2042" s="76" t="s">
        <v>6397</v>
      </c>
      <c r="C2042" s="76" t="s">
        <v>1543</v>
      </c>
      <c r="D2042" s="81" t="str">
        <f t="shared" si="35"/>
        <v xml:space="preserve">Inox Serti ItalienManchon Mixte MManchons à sertir F mixtes M </v>
      </c>
      <c r="E2042" s="76" t="s">
        <v>1786</v>
      </c>
      <c r="F2042" s="76">
        <v>13</v>
      </c>
      <c r="G2042" s="71" t="s">
        <v>1920</v>
      </c>
      <c r="H2042" s="71" t="s">
        <v>459</v>
      </c>
      <c r="I2042" s="71">
        <v>187100035</v>
      </c>
      <c r="J2042" s="70">
        <f>IFERROR(VLOOKUP(Devis[[#This Row],[Ref Air Flux]],#REF!,3,FALSE),0)</f>
        <v>0</v>
      </c>
      <c r="K2042" s="68"/>
      <c r="L2042" s="68"/>
      <c r="M2042" s="68"/>
      <c r="N2042" s="68"/>
      <c r="O2042" s="68"/>
      <c r="P2042" s="68"/>
      <c r="Q2042" s="68">
        <f>SUM(Devis[[#This Row],[Poste 1]:[Poste 6]])</f>
        <v>0</v>
      </c>
      <c r="R2042" s="71">
        <v>5</v>
      </c>
      <c r="S2042" s="68">
        <f>_xlfn.CEILING.MATH(Devis[[#This Row],[Quantité Totale]],Devis[[#This Row],[Conditionnement]])</f>
        <v>0</v>
      </c>
      <c r="T2042" s="72"/>
      <c r="U2042" s="73"/>
      <c r="V2042" s="74">
        <f>Devis[[#This Row],[Prix de Revient]]*Devis[[#This Row],[Poste 1]]</f>
        <v>0</v>
      </c>
      <c r="W2042" s="74">
        <f>Devis[[#This Row],[Prix de Revient]]*Devis[[#This Row],[Poste 2]]</f>
        <v>0</v>
      </c>
      <c r="X2042" s="74">
        <f>Devis[[#This Row],[Prix de Revient]]*Devis[[#This Row],[Poste 3]]</f>
        <v>0</v>
      </c>
      <c r="Y2042" s="74">
        <f>Devis[[#This Row],[Poste 4]]*Devis[[#This Row],[Prix de Revient]]</f>
        <v>0</v>
      </c>
      <c r="Z2042" s="74">
        <f>Devis[[#This Row],[Poste 5]]*Devis[[#This Row],[Prix de Revient]]</f>
        <v>0</v>
      </c>
      <c r="AA2042" s="74">
        <f>Devis[[#This Row],[Prix de Revient]]*Devis[[#This Row],[Poste 6]]</f>
        <v>0</v>
      </c>
      <c r="AB2042" s="74">
        <f>Devis[[#This Row],[Quantité Totale]]*Devis[[#This Row],[Prix de Revient]]</f>
        <v>0</v>
      </c>
    </row>
    <row r="2043" spans="1:28" ht="14.25" customHeight="1" outlineLevel="1" x14ac:dyDescent="0.2">
      <c r="A2043" s="75" t="s">
        <v>1647</v>
      </c>
      <c r="B2043" s="76" t="s">
        <v>6397</v>
      </c>
      <c r="C2043" s="76" t="s">
        <v>1543</v>
      </c>
      <c r="D2043" s="81" t="str">
        <f t="shared" si="35"/>
        <v xml:space="preserve">Inox Serti ItalienManchon Mixte MManchons à sertir F mixtes M </v>
      </c>
      <c r="E2043" s="76" t="s">
        <v>1921</v>
      </c>
      <c r="F2043" s="76">
        <v>14</v>
      </c>
      <c r="G2043" s="71" t="s">
        <v>1922</v>
      </c>
      <c r="H2043" s="71" t="s">
        <v>459</v>
      </c>
      <c r="I2043" s="71">
        <v>187114035</v>
      </c>
      <c r="J2043" s="70">
        <f>IFERROR(VLOOKUP(Devis[[#This Row],[Ref Air Flux]],#REF!,3,FALSE),0)</f>
        <v>0</v>
      </c>
      <c r="K2043" s="68"/>
      <c r="L2043" s="68"/>
      <c r="M2043" s="68"/>
      <c r="N2043" s="68"/>
      <c r="O2043" s="68"/>
      <c r="P2043" s="68"/>
      <c r="Q2043" s="68">
        <f>SUM(Devis[[#This Row],[Poste 1]:[Poste 6]])</f>
        <v>0</v>
      </c>
      <c r="R2043" s="71">
        <v>5</v>
      </c>
      <c r="S2043" s="68">
        <f>_xlfn.CEILING.MATH(Devis[[#This Row],[Quantité Totale]],Devis[[#This Row],[Conditionnement]])</f>
        <v>0</v>
      </c>
      <c r="T2043" s="72"/>
      <c r="U2043" s="73"/>
      <c r="V2043" s="74">
        <f>Devis[[#This Row],[Prix de Revient]]*Devis[[#This Row],[Poste 1]]</f>
        <v>0</v>
      </c>
      <c r="W2043" s="74">
        <f>Devis[[#This Row],[Prix de Revient]]*Devis[[#This Row],[Poste 2]]</f>
        <v>0</v>
      </c>
      <c r="X2043" s="74">
        <f>Devis[[#This Row],[Prix de Revient]]*Devis[[#This Row],[Poste 3]]</f>
        <v>0</v>
      </c>
      <c r="Y2043" s="74">
        <f>Devis[[#This Row],[Poste 4]]*Devis[[#This Row],[Prix de Revient]]</f>
        <v>0</v>
      </c>
      <c r="Z2043" s="74">
        <f>Devis[[#This Row],[Poste 5]]*Devis[[#This Row],[Prix de Revient]]</f>
        <v>0</v>
      </c>
      <c r="AA2043" s="74">
        <f>Devis[[#This Row],[Prix de Revient]]*Devis[[#This Row],[Poste 6]]</f>
        <v>0</v>
      </c>
      <c r="AB2043" s="74">
        <f>Devis[[#This Row],[Quantité Totale]]*Devis[[#This Row],[Prix de Revient]]</f>
        <v>0</v>
      </c>
    </row>
    <row r="2044" spans="1:28" ht="14.25" outlineLevel="1" x14ac:dyDescent="0.2">
      <c r="A2044" s="75" t="s">
        <v>1647</v>
      </c>
      <c r="B2044" s="76" t="s">
        <v>6397</v>
      </c>
      <c r="C2044" s="76" t="s">
        <v>1543</v>
      </c>
      <c r="D2044" s="81" t="str">
        <f t="shared" si="35"/>
        <v xml:space="preserve">Inox Serti ItalienManchon Mixte MManchons à sertir F mixtes M </v>
      </c>
      <c r="E2044" s="76" t="s">
        <v>1900</v>
      </c>
      <c r="F2044" s="76">
        <v>15</v>
      </c>
      <c r="G2044" s="71" t="s">
        <v>1923</v>
      </c>
      <c r="H2044" s="71" t="s">
        <v>459</v>
      </c>
      <c r="I2044" s="71">
        <v>187112035</v>
      </c>
      <c r="J2044" s="70">
        <f>IFERROR(VLOOKUP(Devis[[#This Row],[Ref Air Flux]],#REF!,3,FALSE),0)</f>
        <v>0</v>
      </c>
      <c r="K2044" s="68"/>
      <c r="L2044" s="68"/>
      <c r="M2044" s="68"/>
      <c r="N2044" s="68"/>
      <c r="O2044" s="68"/>
      <c r="P2044" s="68"/>
      <c r="Q2044" s="68">
        <f>SUM(Devis[[#This Row],[Poste 1]:[Poste 6]])</f>
        <v>0</v>
      </c>
      <c r="R2044" s="71">
        <v>4</v>
      </c>
      <c r="S2044" s="68">
        <f>_xlfn.CEILING.MATH(Devis[[#This Row],[Quantité Totale]],Devis[[#This Row],[Conditionnement]])</f>
        <v>0</v>
      </c>
      <c r="T2044" s="72"/>
      <c r="U2044" s="73"/>
      <c r="V2044" s="74">
        <f>Devis[[#This Row],[Prix de Revient]]*Devis[[#This Row],[Poste 1]]</f>
        <v>0</v>
      </c>
      <c r="W2044" s="74">
        <f>Devis[[#This Row],[Prix de Revient]]*Devis[[#This Row],[Poste 2]]</f>
        <v>0</v>
      </c>
      <c r="X2044" s="74">
        <f>Devis[[#This Row],[Prix de Revient]]*Devis[[#This Row],[Poste 3]]</f>
        <v>0</v>
      </c>
      <c r="Y2044" s="74">
        <f>Devis[[#This Row],[Poste 4]]*Devis[[#This Row],[Prix de Revient]]</f>
        <v>0</v>
      </c>
      <c r="Z2044" s="74">
        <f>Devis[[#This Row],[Poste 5]]*Devis[[#This Row],[Prix de Revient]]</f>
        <v>0</v>
      </c>
      <c r="AA2044" s="74">
        <f>Devis[[#This Row],[Prix de Revient]]*Devis[[#This Row],[Poste 6]]</f>
        <v>0</v>
      </c>
      <c r="AB2044" s="74">
        <f>Devis[[#This Row],[Quantité Totale]]*Devis[[#This Row],[Prix de Revient]]</f>
        <v>0</v>
      </c>
    </row>
    <row r="2045" spans="1:28" ht="14.25" outlineLevel="1" x14ac:dyDescent="0.2">
      <c r="A2045" s="75" t="s">
        <v>1647</v>
      </c>
      <c r="B2045" s="76" t="s">
        <v>6397</v>
      </c>
      <c r="C2045" s="76" t="s">
        <v>1543</v>
      </c>
      <c r="D2045" s="81" t="str">
        <f t="shared" si="35"/>
        <v xml:space="preserve">Inox Serti ItalienManchon Mixte MManchons à sertir F mixtes M </v>
      </c>
      <c r="E2045" s="76" t="s">
        <v>1789</v>
      </c>
      <c r="F2045" s="76">
        <v>16</v>
      </c>
      <c r="G2045" s="71" t="s">
        <v>1924</v>
      </c>
      <c r="H2045" s="71" t="s">
        <v>459</v>
      </c>
      <c r="I2045" s="71">
        <v>187114042</v>
      </c>
      <c r="J2045" s="70">
        <f>IFERROR(VLOOKUP(Devis[[#This Row],[Ref Air Flux]],#REF!,3,FALSE),0)</f>
        <v>0</v>
      </c>
      <c r="K2045" s="68"/>
      <c r="L2045" s="68"/>
      <c r="M2045" s="68"/>
      <c r="N2045" s="68"/>
      <c r="O2045" s="68"/>
      <c r="P2045" s="68"/>
      <c r="Q2045" s="68">
        <f>SUM(Devis[[#This Row],[Poste 1]:[Poste 6]])</f>
        <v>0</v>
      </c>
      <c r="R2045" s="71">
        <v>4</v>
      </c>
      <c r="S2045" s="68">
        <f>_xlfn.CEILING.MATH(Devis[[#This Row],[Quantité Totale]],Devis[[#This Row],[Conditionnement]])</f>
        <v>0</v>
      </c>
      <c r="T2045" s="72"/>
      <c r="U2045" s="73"/>
      <c r="V2045" s="74">
        <f>Devis[[#This Row],[Prix de Revient]]*Devis[[#This Row],[Poste 1]]</f>
        <v>0</v>
      </c>
      <c r="W2045" s="74">
        <f>Devis[[#This Row],[Prix de Revient]]*Devis[[#This Row],[Poste 2]]</f>
        <v>0</v>
      </c>
      <c r="X2045" s="74">
        <f>Devis[[#This Row],[Prix de Revient]]*Devis[[#This Row],[Poste 3]]</f>
        <v>0</v>
      </c>
      <c r="Y2045" s="74">
        <f>Devis[[#This Row],[Poste 4]]*Devis[[#This Row],[Prix de Revient]]</f>
        <v>0</v>
      </c>
      <c r="Z2045" s="74">
        <f>Devis[[#This Row],[Poste 5]]*Devis[[#This Row],[Prix de Revient]]</f>
        <v>0</v>
      </c>
      <c r="AA2045" s="74">
        <f>Devis[[#This Row],[Prix de Revient]]*Devis[[#This Row],[Poste 6]]</f>
        <v>0</v>
      </c>
      <c r="AB2045" s="74">
        <f>Devis[[#This Row],[Quantité Totale]]*Devis[[#This Row],[Prix de Revient]]</f>
        <v>0</v>
      </c>
    </row>
    <row r="2046" spans="1:28" ht="14.25" outlineLevel="1" x14ac:dyDescent="0.2">
      <c r="A2046" s="75" t="s">
        <v>1647</v>
      </c>
      <c r="B2046" s="76" t="s">
        <v>6397</v>
      </c>
      <c r="C2046" s="76" t="s">
        <v>1543</v>
      </c>
      <c r="D2046" s="81" t="str">
        <f t="shared" si="35"/>
        <v xml:space="preserve">Inox Serti ItalienManchon Mixte MManchons à sertir F mixtes M </v>
      </c>
      <c r="E2046" s="76" t="s">
        <v>1791</v>
      </c>
      <c r="F2046" s="76">
        <v>17</v>
      </c>
      <c r="G2046" s="71" t="s">
        <v>1925</v>
      </c>
      <c r="H2046" s="71" t="s">
        <v>459</v>
      </c>
      <c r="I2046" s="71">
        <v>187112042</v>
      </c>
      <c r="J2046" s="70">
        <f>IFERROR(VLOOKUP(Devis[[#This Row],[Ref Air Flux]],#REF!,3,FALSE),0)</f>
        <v>0</v>
      </c>
      <c r="K2046" s="68"/>
      <c r="L2046" s="68"/>
      <c r="M2046" s="68"/>
      <c r="N2046" s="68"/>
      <c r="O2046" s="68"/>
      <c r="P2046" s="68"/>
      <c r="Q2046" s="68">
        <f>SUM(Devis[[#This Row],[Poste 1]:[Poste 6]])</f>
        <v>0</v>
      </c>
      <c r="R2046" s="71">
        <v>4</v>
      </c>
      <c r="S2046" s="68">
        <f>_xlfn.CEILING.MATH(Devis[[#This Row],[Quantité Totale]],Devis[[#This Row],[Conditionnement]])</f>
        <v>0</v>
      </c>
      <c r="T2046" s="72"/>
      <c r="U2046" s="73"/>
      <c r="V2046" s="74">
        <f>Devis[[#This Row],[Prix de Revient]]*Devis[[#This Row],[Poste 1]]</f>
        <v>0</v>
      </c>
      <c r="W2046" s="74">
        <f>Devis[[#This Row],[Prix de Revient]]*Devis[[#This Row],[Poste 2]]</f>
        <v>0</v>
      </c>
      <c r="X2046" s="74">
        <f>Devis[[#This Row],[Prix de Revient]]*Devis[[#This Row],[Poste 3]]</f>
        <v>0</v>
      </c>
      <c r="Y2046" s="74">
        <f>Devis[[#This Row],[Poste 4]]*Devis[[#This Row],[Prix de Revient]]</f>
        <v>0</v>
      </c>
      <c r="Z2046" s="74">
        <f>Devis[[#This Row],[Poste 5]]*Devis[[#This Row],[Prix de Revient]]</f>
        <v>0</v>
      </c>
      <c r="AA2046" s="74">
        <f>Devis[[#This Row],[Prix de Revient]]*Devis[[#This Row],[Poste 6]]</f>
        <v>0</v>
      </c>
      <c r="AB2046" s="74">
        <f>Devis[[#This Row],[Quantité Totale]]*Devis[[#This Row],[Prix de Revient]]</f>
        <v>0</v>
      </c>
    </row>
    <row r="2047" spans="1:28" ht="14.25" customHeight="1" outlineLevel="1" x14ac:dyDescent="0.2">
      <c r="A2047" s="75" t="s">
        <v>1647</v>
      </c>
      <c r="B2047" s="76" t="s">
        <v>6397</v>
      </c>
      <c r="C2047" s="76" t="s">
        <v>1543</v>
      </c>
      <c r="D2047" s="81" t="str">
        <f t="shared" si="35"/>
        <v xml:space="preserve">Inox Serti ItalienManchon Mixte MManchons à sertir F mixtes M </v>
      </c>
      <c r="E2047" s="76" t="s">
        <v>5337</v>
      </c>
      <c r="F2047" s="76">
        <v>18</v>
      </c>
      <c r="G2047" s="71" t="s">
        <v>1926</v>
      </c>
      <c r="H2047" s="71" t="s">
        <v>459</v>
      </c>
      <c r="I2047" s="71">
        <v>187112054</v>
      </c>
      <c r="J2047" s="70">
        <f>IFERROR(VLOOKUP(Devis[[#This Row],[Ref Air Flux]],#REF!,3,FALSE),0)</f>
        <v>0</v>
      </c>
      <c r="K2047" s="68"/>
      <c r="L2047" s="68"/>
      <c r="M2047" s="68"/>
      <c r="N2047" s="68"/>
      <c r="O2047" s="68"/>
      <c r="P2047" s="68"/>
      <c r="Q2047" s="68">
        <f>SUM(Devis[[#This Row],[Poste 1]:[Poste 6]])</f>
        <v>0</v>
      </c>
      <c r="R2047" s="71">
        <v>4</v>
      </c>
      <c r="S2047" s="68">
        <f>_xlfn.CEILING.MATH(Devis[[#This Row],[Quantité Totale]],Devis[[#This Row],[Conditionnement]])</f>
        <v>0</v>
      </c>
      <c r="T2047" s="72"/>
      <c r="U2047" s="73"/>
      <c r="V2047" s="74">
        <f>Devis[[#This Row],[Prix de Revient]]*Devis[[#This Row],[Poste 1]]</f>
        <v>0</v>
      </c>
      <c r="W2047" s="74">
        <f>Devis[[#This Row],[Prix de Revient]]*Devis[[#This Row],[Poste 2]]</f>
        <v>0</v>
      </c>
      <c r="X2047" s="74">
        <f>Devis[[#This Row],[Prix de Revient]]*Devis[[#This Row],[Poste 3]]</f>
        <v>0</v>
      </c>
      <c r="Y2047" s="74">
        <f>Devis[[#This Row],[Poste 4]]*Devis[[#This Row],[Prix de Revient]]</f>
        <v>0</v>
      </c>
      <c r="Z2047" s="74">
        <f>Devis[[#This Row],[Poste 5]]*Devis[[#This Row],[Prix de Revient]]</f>
        <v>0</v>
      </c>
      <c r="AA2047" s="74">
        <f>Devis[[#This Row],[Prix de Revient]]*Devis[[#This Row],[Poste 6]]</f>
        <v>0</v>
      </c>
      <c r="AB2047" s="74">
        <f>Devis[[#This Row],[Quantité Totale]]*Devis[[#This Row],[Prix de Revient]]</f>
        <v>0</v>
      </c>
    </row>
    <row r="2048" spans="1:28" ht="14.25" outlineLevel="1" x14ac:dyDescent="0.2">
      <c r="A2048" s="75" t="s">
        <v>1647</v>
      </c>
      <c r="B2048" s="76" t="s">
        <v>6397</v>
      </c>
      <c r="C2048" s="76" t="s">
        <v>1543</v>
      </c>
      <c r="D2048" s="81" t="str">
        <f t="shared" si="35"/>
        <v xml:space="preserve">Inox Serti ItalienManchon Mixte MManchons à sertir F mixtes M </v>
      </c>
      <c r="E2048" s="76" t="s">
        <v>5338</v>
      </c>
      <c r="F2048" s="76">
        <v>19</v>
      </c>
      <c r="G2048" s="71" t="s">
        <v>1927</v>
      </c>
      <c r="H2048" s="71" t="s">
        <v>459</v>
      </c>
      <c r="I2048" s="71">
        <v>187200054</v>
      </c>
      <c r="J2048" s="70">
        <f>IFERROR(VLOOKUP(Devis[[#This Row],[Ref Air Flux]],#REF!,3,FALSE),0)</f>
        <v>0</v>
      </c>
      <c r="K2048" s="68"/>
      <c r="L2048" s="68"/>
      <c r="M2048" s="68"/>
      <c r="N2048" s="68"/>
      <c r="O2048" s="68"/>
      <c r="P2048" s="68"/>
      <c r="Q2048" s="68">
        <f>SUM(Devis[[#This Row],[Poste 1]:[Poste 6]])</f>
        <v>0</v>
      </c>
      <c r="R2048" s="71">
        <v>4</v>
      </c>
      <c r="S2048" s="68">
        <f>_xlfn.CEILING.MATH(Devis[[#This Row],[Quantité Totale]],Devis[[#This Row],[Conditionnement]])</f>
        <v>0</v>
      </c>
      <c r="T2048" s="72"/>
      <c r="U2048" s="73"/>
      <c r="V2048" s="74">
        <f>Devis[[#This Row],[Prix de Revient]]*Devis[[#This Row],[Poste 1]]</f>
        <v>0</v>
      </c>
      <c r="W2048" s="74">
        <f>Devis[[#This Row],[Prix de Revient]]*Devis[[#This Row],[Poste 2]]</f>
        <v>0</v>
      </c>
      <c r="X2048" s="74">
        <f>Devis[[#This Row],[Prix de Revient]]*Devis[[#This Row],[Poste 3]]</f>
        <v>0</v>
      </c>
      <c r="Y2048" s="74">
        <f>Devis[[#This Row],[Poste 4]]*Devis[[#This Row],[Prix de Revient]]</f>
        <v>0</v>
      </c>
      <c r="Z2048" s="74">
        <f>Devis[[#This Row],[Poste 5]]*Devis[[#This Row],[Prix de Revient]]</f>
        <v>0</v>
      </c>
      <c r="AA2048" s="74">
        <f>Devis[[#This Row],[Prix de Revient]]*Devis[[#This Row],[Poste 6]]</f>
        <v>0</v>
      </c>
      <c r="AB2048" s="74">
        <f>Devis[[#This Row],[Quantité Totale]]*Devis[[#This Row],[Prix de Revient]]</f>
        <v>0</v>
      </c>
    </row>
    <row r="2049" spans="1:28" ht="14.25" outlineLevel="1" x14ac:dyDescent="0.2">
      <c r="A2049" s="75" t="s">
        <v>1647</v>
      </c>
      <c r="B2049" s="76" t="s">
        <v>6397</v>
      </c>
      <c r="C2049" s="76" t="s">
        <v>1543</v>
      </c>
      <c r="D2049" s="81" t="str">
        <f t="shared" si="35"/>
        <v xml:space="preserve">Inox Serti ItalienManchon Mixte MManchons à sertir F mixtes M </v>
      </c>
      <c r="E2049" s="76" t="s">
        <v>5339</v>
      </c>
      <c r="F2049" s="76">
        <v>20</v>
      </c>
      <c r="G2049" s="71" t="s">
        <v>1928</v>
      </c>
      <c r="H2049" s="71" t="s">
        <v>459</v>
      </c>
      <c r="I2049" s="71">
        <v>187212076</v>
      </c>
      <c r="J2049" s="70">
        <f>IFERROR(VLOOKUP(Devis[[#This Row],[Ref Air Flux]],#REF!,3,FALSE),0)</f>
        <v>0</v>
      </c>
      <c r="K2049" s="68"/>
      <c r="L2049" s="68"/>
      <c r="M2049" s="68"/>
      <c r="N2049" s="68"/>
      <c r="O2049" s="68"/>
      <c r="P2049" s="68"/>
      <c r="Q2049" s="68">
        <f>SUM(Devis[[#This Row],[Poste 1]:[Poste 6]])</f>
        <v>0</v>
      </c>
      <c r="R2049" s="71">
        <v>2</v>
      </c>
      <c r="S2049" s="68">
        <f>_xlfn.CEILING.MATH(Devis[[#This Row],[Quantité Totale]],Devis[[#This Row],[Conditionnement]])</f>
        <v>0</v>
      </c>
      <c r="T2049" s="72"/>
      <c r="U2049" s="73"/>
      <c r="V2049" s="74">
        <f>Devis[[#This Row],[Prix de Revient]]*Devis[[#This Row],[Poste 1]]</f>
        <v>0</v>
      </c>
      <c r="W2049" s="74">
        <f>Devis[[#This Row],[Prix de Revient]]*Devis[[#This Row],[Poste 2]]</f>
        <v>0</v>
      </c>
      <c r="X2049" s="74">
        <f>Devis[[#This Row],[Prix de Revient]]*Devis[[#This Row],[Poste 3]]</f>
        <v>0</v>
      </c>
      <c r="Y2049" s="74">
        <f>Devis[[#This Row],[Poste 4]]*Devis[[#This Row],[Prix de Revient]]</f>
        <v>0</v>
      </c>
      <c r="Z2049" s="74">
        <f>Devis[[#This Row],[Poste 5]]*Devis[[#This Row],[Prix de Revient]]</f>
        <v>0</v>
      </c>
      <c r="AA2049" s="74">
        <f>Devis[[#This Row],[Prix de Revient]]*Devis[[#This Row],[Poste 6]]</f>
        <v>0</v>
      </c>
      <c r="AB2049" s="74">
        <f>Devis[[#This Row],[Quantité Totale]]*Devis[[#This Row],[Prix de Revient]]</f>
        <v>0</v>
      </c>
    </row>
    <row r="2050" spans="1:28" ht="14.25" outlineLevel="1" x14ac:dyDescent="0.2">
      <c r="A2050" s="75" t="s">
        <v>1647</v>
      </c>
      <c r="B2050" s="76" t="s">
        <v>6397</v>
      </c>
      <c r="C2050" s="76" t="s">
        <v>1543</v>
      </c>
      <c r="D2050" s="81" t="str">
        <f t="shared" ref="D2050:D2113" si="36">A2050&amp;B2050&amp;C2050</f>
        <v xml:space="preserve">Inox Serti ItalienManchon Mixte MManchons à sertir F mixtes M </v>
      </c>
      <c r="E2050" s="76" t="s">
        <v>5340</v>
      </c>
      <c r="F2050" s="76">
        <v>21</v>
      </c>
      <c r="G2050" s="71" t="s">
        <v>1929</v>
      </c>
      <c r="H2050" s="71" t="s">
        <v>459</v>
      </c>
      <c r="I2050" s="71">
        <v>187300088</v>
      </c>
      <c r="J2050" s="70">
        <f>IFERROR(VLOOKUP(Devis[[#This Row],[Ref Air Flux]],#REF!,3,FALSE),0)</f>
        <v>0</v>
      </c>
      <c r="K2050" s="68"/>
      <c r="L2050" s="68"/>
      <c r="M2050" s="68"/>
      <c r="N2050" s="68"/>
      <c r="O2050" s="68"/>
      <c r="P2050" s="68"/>
      <c r="Q2050" s="68">
        <f>SUM(Devis[[#This Row],[Poste 1]:[Poste 6]])</f>
        <v>0</v>
      </c>
      <c r="R2050" s="71">
        <v>2</v>
      </c>
      <c r="S2050" s="68">
        <f>_xlfn.CEILING.MATH(Devis[[#This Row],[Quantité Totale]],Devis[[#This Row],[Conditionnement]])</f>
        <v>0</v>
      </c>
      <c r="T2050" s="72"/>
      <c r="U2050" s="73"/>
      <c r="V2050" s="74">
        <f>Devis[[#This Row],[Prix de Revient]]*Devis[[#This Row],[Poste 1]]</f>
        <v>0</v>
      </c>
      <c r="W2050" s="74">
        <f>Devis[[#This Row],[Prix de Revient]]*Devis[[#This Row],[Poste 2]]</f>
        <v>0</v>
      </c>
      <c r="X2050" s="74">
        <f>Devis[[#This Row],[Prix de Revient]]*Devis[[#This Row],[Poste 3]]</f>
        <v>0</v>
      </c>
      <c r="Y2050" s="74">
        <f>Devis[[#This Row],[Poste 4]]*Devis[[#This Row],[Prix de Revient]]</f>
        <v>0</v>
      </c>
      <c r="Z2050" s="74">
        <f>Devis[[#This Row],[Poste 5]]*Devis[[#This Row],[Prix de Revient]]</f>
        <v>0</v>
      </c>
      <c r="AA2050" s="74">
        <f>Devis[[#This Row],[Prix de Revient]]*Devis[[#This Row],[Poste 6]]</f>
        <v>0</v>
      </c>
      <c r="AB2050" s="74">
        <f>Devis[[#This Row],[Quantité Totale]]*Devis[[#This Row],[Prix de Revient]]</f>
        <v>0</v>
      </c>
    </row>
    <row r="2051" spans="1:28" ht="14.25" outlineLevel="1" x14ac:dyDescent="0.2">
      <c r="A2051" s="75" t="s">
        <v>1647</v>
      </c>
      <c r="B2051" s="76" t="s">
        <v>6397</v>
      </c>
      <c r="C2051" s="76" t="s">
        <v>1543</v>
      </c>
      <c r="D2051" s="81" t="str">
        <f t="shared" si="36"/>
        <v xml:space="preserve">Inox Serti ItalienManchon Mixte MManchons à sertir F mixtes M </v>
      </c>
      <c r="E2051" s="76" t="s">
        <v>5341</v>
      </c>
      <c r="F2051" s="76">
        <v>22</v>
      </c>
      <c r="G2051" s="71" t="s">
        <v>1930</v>
      </c>
      <c r="H2051" s="71" t="s">
        <v>459</v>
      </c>
      <c r="I2051" s="71">
        <v>187400108</v>
      </c>
      <c r="J2051" s="70">
        <f>IFERROR(VLOOKUP(Devis[[#This Row],[Ref Air Flux]],#REF!,3,FALSE),0)</f>
        <v>0</v>
      </c>
      <c r="K2051" s="68"/>
      <c r="L2051" s="68"/>
      <c r="M2051" s="68"/>
      <c r="N2051" s="68"/>
      <c r="O2051" s="68"/>
      <c r="P2051" s="68"/>
      <c r="Q2051" s="68">
        <f>SUM(Devis[[#This Row],[Poste 1]:[Poste 6]])</f>
        <v>0</v>
      </c>
      <c r="R2051" s="71">
        <v>2</v>
      </c>
      <c r="S2051" s="68">
        <f>_xlfn.CEILING.MATH(Devis[[#This Row],[Quantité Totale]],Devis[[#This Row],[Conditionnement]])</f>
        <v>0</v>
      </c>
      <c r="T2051" s="72"/>
      <c r="U2051" s="73"/>
      <c r="V2051" s="74">
        <f>Devis[[#This Row],[Prix de Revient]]*Devis[[#This Row],[Poste 1]]</f>
        <v>0</v>
      </c>
      <c r="W2051" s="74">
        <f>Devis[[#This Row],[Prix de Revient]]*Devis[[#This Row],[Poste 2]]</f>
        <v>0</v>
      </c>
      <c r="X2051" s="74">
        <f>Devis[[#This Row],[Prix de Revient]]*Devis[[#This Row],[Poste 3]]</f>
        <v>0</v>
      </c>
      <c r="Y2051" s="74">
        <f>Devis[[#This Row],[Poste 4]]*Devis[[#This Row],[Prix de Revient]]</f>
        <v>0</v>
      </c>
      <c r="Z2051" s="74">
        <f>Devis[[#This Row],[Poste 5]]*Devis[[#This Row],[Prix de Revient]]</f>
        <v>0</v>
      </c>
      <c r="AA2051" s="74">
        <f>Devis[[#This Row],[Prix de Revient]]*Devis[[#This Row],[Poste 6]]</f>
        <v>0</v>
      </c>
      <c r="AB2051" s="74">
        <f>Devis[[#This Row],[Quantité Totale]]*Devis[[#This Row],[Prix de Revient]]</f>
        <v>0</v>
      </c>
    </row>
    <row r="2052" spans="1:28" ht="14.25" customHeight="1" x14ac:dyDescent="0.25">
      <c r="A2052" s="65" t="s">
        <v>1647</v>
      </c>
      <c r="B2052" s="65" t="s">
        <v>1840</v>
      </c>
      <c r="C2052" s="76" t="s">
        <v>1840</v>
      </c>
      <c r="D2052" s="81" t="str">
        <f t="shared" si="36"/>
        <v>Inox Serti ItalienManchon réduit MFManchon réduit MF</v>
      </c>
      <c r="E2052" s="76"/>
      <c r="F2052" s="76">
        <v>0</v>
      </c>
      <c r="G2052" s="71"/>
      <c r="H2052" s="71"/>
      <c r="I2052" s="71"/>
      <c r="J2052" s="70">
        <f>IFERROR(VLOOKUP(Devis[[#This Row],[Ref Air Flux]],#REF!,3,FALSE),0)</f>
        <v>0</v>
      </c>
      <c r="K2052" s="68"/>
      <c r="L2052" s="68"/>
      <c r="M2052" s="68"/>
      <c r="N2052" s="68"/>
      <c r="O2052" s="68"/>
      <c r="P2052" s="68"/>
      <c r="Q2052" s="68">
        <f>SUM(Devis[[#This Row],[Poste 1]:[Poste 6]])</f>
        <v>0</v>
      </c>
      <c r="R2052" s="71"/>
      <c r="S2052" s="68">
        <f>_xlfn.CEILING.MATH(Devis[[#This Row],[Quantité Totale]],Devis[[#This Row],[Conditionnement]])</f>
        <v>0</v>
      </c>
      <c r="T2052" s="72"/>
      <c r="U2052" s="73"/>
      <c r="V2052" s="74">
        <f>Devis[[#This Row],[Prix de Revient]]*Devis[[#This Row],[Poste 1]]</f>
        <v>0</v>
      </c>
      <c r="W2052" s="74">
        <f>Devis[[#This Row],[Prix de Revient]]*Devis[[#This Row],[Poste 2]]</f>
        <v>0</v>
      </c>
      <c r="X2052" s="74">
        <f>Devis[[#This Row],[Prix de Revient]]*Devis[[#This Row],[Poste 3]]</f>
        <v>0</v>
      </c>
      <c r="Y2052" s="74">
        <f>Devis[[#This Row],[Poste 4]]*Devis[[#This Row],[Prix de Revient]]</f>
        <v>0</v>
      </c>
      <c r="Z2052" s="74">
        <f>Devis[[#This Row],[Poste 5]]*Devis[[#This Row],[Prix de Revient]]</f>
        <v>0</v>
      </c>
      <c r="AA2052" s="74">
        <f>Devis[[#This Row],[Prix de Revient]]*Devis[[#This Row],[Poste 6]]</f>
        <v>0</v>
      </c>
      <c r="AB2052" s="74">
        <f>Devis[[#This Row],[Quantité Totale]]*Devis[[#This Row],[Prix de Revient]]</f>
        <v>0</v>
      </c>
    </row>
    <row r="2053" spans="1:28" ht="14.25" outlineLevel="1" x14ac:dyDescent="0.2">
      <c r="A2053" s="75" t="s">
        <v>1647</v>
      </c>
      <c r="B2053" s="76" t="s">
        <v>1840</v>
      </c>
      <c r="C2053" s="76" t="s">
        <v>1840</v>
      </c>
      <c r="D2053" s="81" t="str">
        <f t="shared" si="36"/>
        <v>Inox Serti ItalienManchon réduit MFManchon réduit MF</v>
      </c>
      <c r="E2053" s="76" t="s">
        <v>1841</v>
      </c>
      <c r="F2053" s="76">
        <v>1</v>
      </c>
      <c r="G2053" s="71" t="s">
        <v>1842</v>
      </c>
      <c r="H2053" s="71" t="s">
        <v>459</v>
      </c>
      <c r="I2053" s="71">
        <v>191018015</v>
      </c>
      <c r="J2053" s="70">
        <f>IFERROR(VLOOKUP(Devis[[#This Row],[Ref Air Flux]],#REF!,3,FALSE),0)</f>
        <v>0</v>
      </c>
      <c r="K2053" s="68"/>
      <c r="L2053" s="68"/>
      <c r="M2053" s="68"/>
      <c r="N2053" s="68"/>
      <c r="O2053" s="68"/>
      <c r="P2053" s="68"/>
      <c r="Q2053" s="68">
        <f>SUM(Devis[[#This Row],[Poste 1]:[Poste 6]])</f>
        <v>0</v>
      </c>
      <c r="R2053" s="71">
        <v>20</v>
      </c>
      <c r="S2053" s="68">
        <f>_xlfn.CEILING.MATH(Devis[[#This Row],[Quantité Totale]],Devis[[#This Row],[Conditionnement]])</f>
        <v>0</v>
      </c>
      <c r="T2053" s="72"/>
      <c r="U2053" s="73"/>
      <c r="V2053" s="74">
        <f>Devis[[#This Row],[Prix de Revient]]*Devis[[#This Row],[Poste 1]]</f>
        <v>0</v>
      </c>
      <c r="W2053" s="74">
        <f>Devis[[#This Row],[Prix de Revient]]*Devis[[#This Row],[Poste 2]]</f>
        <v>0</v>
      </c>
      <c r="X2053" s="74">
        <f>Devis[[#This Row],[Prix de Revient]]*Devis[[#This Row],[Poste 3]]</f>
        <v>0</v>
      </c>
      <c r="Y2053" s="74">
        <f>Devis[[#This Row],[Poste 4]]*Devis[[#This Row],[Prix de Revient]]</f>
        <v>0</v>
      </c>
      <c r="Z2053" s="74">
        <f>Devis[[#This Row],[Poste 5]]*Devis[[#This Row],[Prix de Revient]]</f>
        <v>0</v>
      </c>
      <c r="AA2053" s="74">
        <f>Devis[[#This Row],[Prix de Revient]]*Devis[[#This Row],[Poste 6]]</f>
        <v>0</v>
      </c>
      <c r="AB2053" s="74">
        <f>Devis[[#This Row],[Quantité Totale]]*Devis[[#This Row],[Prix de Revient]]</f>
        <v>0</v>
      </c>
    </row>
    <row r="2054" spans="1:28" ht="14.25" outlineLevel="1" x14ac:dyDescent="0.2">
      <c r="A2054" s="75" t="s">
        <v>1647</v>
      </c>
      <c r="B2054" s="76" t="s">
        <v>1840</v>
      </c>
      <c r="C2054" s="76" t="s">
        <v>1840</v>
      </c>
      <c r="D2054" s="81" t="str">
        <f t="shared" si="36"/>
        <v>Inox Serti ItalienManchon réduit MFManchon réduit MF</v>
      </c>
      <c r="E2054" s="76" t="s">
        <v>1972</v>
      </c>
      <c r="F2054" s="76">
        <v>2</v>
      </c>
      <c r="G2054" s="71" t="s">
        <v>1843</v>
      </c>
      <c r="H2054" s="71" t="s">
        <v>459</v>
      </c>
      <c r="I2054" s="71">
        <v>191022015</v>
      </c>
      <c r="J2054" s="70">
        <f>IFERROR(VLOOKUP(Devis[[#This Row],[Ref Air Flux]],#REF!,3,FALSE),0)</f>
        <v>0</v>
      </c>
      <c r="K2054" s="68"/>
      <c r="L2054" s="68"/>
      <c r="M2054" s="68"/>
      <c r="N2054" s="68"/>
      <c r="O2054" s="68"/>
      <c r="P2054" s="68"/>
      <c r="Q2054" s="68">
        <f>SUM(Devis[[#This Row],[Poste 1]:[Poste 6]])</f>
        <v>0</v>
      </c>
      <c r="R2054" s="71">
        <v>20</v>
      </c>
      <c r="S2054" s="68">
        <f>_xlfn.CEILING.MATH(Devis[[#This Row],[Quantité Totale]],Devis[[#This Row],[Conditionnement]])</f>
        <v>0</v>
      </c>
      <c r="T2054" s="72"/>
      <c r="U2054" s="73"/>
      <c r="V2054" s="74">
        <f>Devis[[#This Row],[Prix de Revient]]*Devis[[#This Row],[Poste 1]]</f>
        <v>0</v>
      </c>
      <c r="W2054" s="74">
        <f>Devis[[#This Row],[Prix de Revient]]*Devis[[#This Row],[Poste 2]]</f>
        <v>0</v>
      </c>
      <c r="X2054" s="74">
        <f>Devis[[#This Row],[Prix de Revient]]*Devis[[#This Row],[Poste 3]]</f>
        <v>0</v>
      </c>
      <c r="Y2054" s="74">
        <f>Devis[[#This Row],[Poste 4]]*Devis[[#This Row],[Prix de Revient]]</f>
        <v>0</v>
      </c>
      <c r="Z2054" s="74">
        <f>Devis[[#This Row],[Poste 5]]*Devis[[#This Row],[Prix de Revient]]</f>
        <v>0</v>
      </c>
      <c r="AA2054" s="74">
        <f>Devis[[#This Row],[Prix de Revient]]*Devis[[#This Row],[Poste 6]]</f>
        <v>0</v>
      </c>
      <c r="AB2054" s="74">
        <f>Devis[[#This Row],[Quantité Totale]]*Devis[[#This Row],[Prix de Revient]]</f>
        <v>0</v>
      </c>
    </row>
    <row r="2055" spans="1:28" ht="14.25" outlineLevel="1" x14ac:dyDescent="0.2">
      <c r="A2055" s="75" t="s">
        <v>1647</v>
      </c>
      <c r="B2055" s="76" t="s">
        <v>1840</v>
      </c>
      <c r="C2055" s="76" t="s">
        <v>1840</v>
      </c>
      <c r="D2055" s="81" t="str">
        <f t="shared" si="36"/>
        <v>Inox Serti ItalienManchon réduit MFManchon réduit MF</v>
      </c>
      <c r="E2055" s="76" t="s">
        <v>1974</v>
      </c>
      <c r="F2055" s="76">
        <v>3</v>
      </c>
      <c r="G2055" s="71" t="s">
        <v>1844</v>
      </c>
      <c r="H2055" s="71" t="s">
        <v>459</v>
      </c>
      <c r="I2055" s="71">
        <v>191022018</v>
      </c>
      <c r="J2055" s="70">
        <f>IFERROR(VLOOKUP(Devis[[#This Row],[Ref Air Flux]],#REF!,3,FALSE),0)</f>
        <v>0</v>
      </c>
      <c r="K2055" s="68"/>
      <c r="L2055" s="68"/>
      <c r="M2055" s="68"/>
      <c r="N2055" s="68"/>
      <c r="O2055" s="68"/>
      <c r="P2055" s="68"/>
      <c r="Q2055" s="68">
        <f>SUM(Devis[[#This Row],[Poste 1]:[Poste 6]])</f>
        <v>0</v>
      </c>
      <c r="R2055" s="71">
        <v>20</v>
      </c>
      <c r="S2055" s="68">
        <f>_xlfn.CEILING.MATH(Devis[[#This Row],[Quantité Totale]],Devis[[#This Row],[Conditionnement]])</f>
        <v>0</v>
      </c>
      <c r="T2055" s="72"/>
      <c r="U2055" s="73"/>
      <c r="V2055" s="74">
        <f>Devis[[#This Row],[Prix de Revient]]*Devis[[#This Row],[Poste 1]]</f>
        <v>0</v>
      </c>
      <c r="W2055" s="74">
        <f>Devis[[#This Row],[Prix de Revient]]*Devis[[#This Row],[Poste 2]]</f>
        <v>0</v>
      </c>
      <c r="X2055" s="74">
        <f>Devis[[#This Row],[Prix de Revient]]*Devis[[#This Row],[Poste 3]]</f>
        <v>0</v>
      </c>
      <c r="Y2055" s="74">
        <f>Devis[[#This Row],[Poste 4]]*Devis[[#This Row],[Prix de Revient]]</f>
        <v>0</v>
      </c>
      <c r="Z2055" s="74">
        <f>Devis[[#This Row],[Poste 5]]*Devis[[#This Row],[Prix de Revient]]</f>
        <v>0</v>
      </c>
      <c r="AA2055" s="74">
        <f>Devis[[#This Row],[Prix de Revient]]*Devis[[#This Row],[Poste 6]]</f>
        <v>0</v>
      </c>
      <c r="AB2055" s="74">
        <f>Devis[[#This Row],[Quantité Totale]]*Devis[[#This Row],[Prix de Revient]]</f>
        <v>0</v>
      </c>
    </row>
    <row r="2056" spans="1:28" ht="14.25" outlineLevel="1" x14ac:dyDescent="0.2">
      <c r="A2056" s="75" t="s">
        <v>1647</v>
      </c>
      <c r="B2056" s="76" t="s">
        <v>1840</v>
      </c>
      <c r="C2056" s="76" t="s">
        <v>1840</v>
      </c>
      <c r="D2056" s="81" t="str">
        <f t="shared" si="36"/>
        <v>Inox Serti ItalienManchon réduit MFManchon réduit MF</v>
      </c>
      <c r="E2056" s="76" t="s">
        <v>1845</v>
      </c>
      <c r="F2056" s="76">
        <v>4</v>
      </c>
      <c r="G2056" s="71" t="s">
        <v>1846</v>
      </c>
      <c r="H2056" s="71" t="s">
        <v>459</v>
      </c>
      <c r="I2056" s="71">
        <v>191028015</v>
      </c>
      <c r="J2056" s="70">
        <f>IFERROR(VLOOKUP(Devis[[#This Row],[Ref Air Flux]],#REF!,3,FALSE),0)</f>
        <v>0</v>
      </c>
      <c r="K2056" s="68"/>
      <c r="L2056" s="68"/>
      <c r="M2056" s="68"/>
      <c r="N2056" s="68"/>
      <c r="O2056" s="68"/>
      <c r="P2056" s="68"/>
      <c r="Q2056" s="68">
        <f>SUM(Devis[[#This Row],[Poste 1]:[Poste 6]])</f>
        <v>0</v>
      </c>
      <c r="R2056" s="71">
        <v>20</v>
      </c>
      <c r="S2056" s="68">
        <f>_xlfn.CEILING.MATH(Devis[[#This Row],[Quantité Totale]],Devis[[#This Row],[Conditionnement]])</f>
        <v>0</v>
      </c>
      <c r="T2056" s="72"/>
      <c r="U2056" s="73"/>
      <c r="V2056" s="74">
        <f>Devis[[#This Row],[Prix de Revient]]*Devis[[#This Row],[Poste 1]]</f>
        <v>0</v>
      </c>
      <c r="W2056" s="74">
        <f>Devis[[#This Row],[Prix de Revient]]*Devis[[#This Row],[Poste 2]]</f>
        <v>0</v>
      </c>
      <c r="X2056" s="74">
        <f>Devis[[#This Row],[Prix de Revient]]*Devis[[#This Row],[Poste 3]]</f>
        <v>0</v>
      </c>
      <c r="Y2056" s="74">
        <f>Devis[[#This Row],[Poste 4]]*Devis[[#This Row],[Prix de Revient]]</f>
        <v>0</v>
      </c>
      <c r="Z2056" s="74">
        <f>Devis[[#This Row],[Poste 5]]*Devis[[#This Row],[Prix de Revient]]</f>
        <v>0</v>
      </c>
      <c r="AA2056" s="74">
        <f>Devis[[#This Row],[Prix de Revient]]*Devis[[#This Row],[Poste 6]]</f>
        <v>0</v>
      </c>
      <c r="AB2056" s="74">
        <f>Devis[[#This Row],[Quantité Totale]]*Devis[[#This Row],[Prix de Revient]]</f>
        <v>0</v>
      </c>
    </row>
    <row r="2057" spans="1:28" ht="14.25" outlineLevel="1" x14ac:dyDescent="0.2">
      <c r="A2057" s="75" t="s">
        <v>1647</v>
      </c>
      <c r="B2057" s="76" t="s">
        <v>1840</v>
      </c>
      <c r="C2057" s="76" t="s">
        <v>1840</v>
      </c>
      <c r="D2057" s="81" t="str">
        <f t="shared" si="36"/>
        <v>Inox Serti ItalienManchon réduit MFManchon réduit MF</v>
      </c>
      <c r="E2057" s="76" t="s">
        <v>1977</v>
      </c>
      <c r="F2057" s="76">
        <v>5</v>
      </c>
      <c r="G2057" s="71" t="s">
        <v>1847</v>
      </c>
      <c r="H2057" s="71" t="s">
        <v>459</v>
      </c>
      <c r="I2057" s="71">
        <v>191028018</v>
      </c>
      <c r="J2057" s="70">
        <f>IFERROR(VLOOKUP(Devis[[#This Row],[Ref Air Flux]],#REF!,3,FALSE),0)</f>
        <v>0</v>
      </c>
      <c r="K2057" s="68"/>
      <c r="L2057" s="68"/>
      <c r="M2057" s="68"/>
      <c r="N2057" s="68"/>
      <c r="O2057" s="68"/>
      <c r="P2057" s="68"/>
      <c r="Q2057" s="68">
        <f>SUM(Devis[[#This Row],[Poste 1]:[Poste 6]])</f>
        <v>0</v>
      </c>
      <c r="R2057" s="71">
        <v>20</v>
      </c>
      <c r="S2057" s="68">
        <f>_xlfn.CEILING.MATH(Devis[[#This Row],[Quantité Totale]],Devis[[#This Row],[Conditionnement]])</f>
        <v>0</v>
      </c>
      <c r="T2057" s="72"/>
      <c r="U2057" s="73"/>
      <c r="V2057" s="74">
        <f>Devis[[#This Row],[Prix de Revient]]*Devis[[#This Row],[Poste 1]]</f>
        <v>0</v>
      </c>
      <c r="W2057" s="74">
        <f>Devis[[#This Row],[Prix de Revient]]*Devis[[#This Row],[Poste 2]]</f>
        <v>0</v>
      </c>
      <c r="X2057" s="74">
        <f>Devis[[#This Row],[Prix de Revient]]*Devis[[#This Row],[Poste 3]]</f>
        <v>0</v>
      </c>
      <c r="Y2057" s="74">
        <f>Devis[[#This Row],[Poste 4]]*Devis[[#This Row],[Prix de Revient]]</f>
        <v>0</v>
      </c>
      <c r="Z2057" s="74">
        <f>Devis[[#This Row],[Poste 5]]*Devis[[#This Row],[Prix de Revient]]</f>
        <v>0</v>
      </c>
      <c r="AA2057" s="74">
        <f>Devis[[#This Row],[Prix de Revient]]*Devis[[#This Row],[Poste 6]]</f>
        <v>0</v>
      </c>
      <c r="AB2057" s="74">
        <f>Devis[[#This Row],[Quantité Totale]]*Devis[[#This Row],[Prix de Revient]]</f>
        <v>0</v>
      </c>
    </row>
    <row r="2058" spans="1:28" ht="14.25" outlineLevel="1" x14ac:dyDescent="0.2">
      <c r="A2058" s="75" t="s">
        <v>1647</v>
      </c>
      <c r="B2058" s="76" t="s">
        <v>1840</v>
      </c>
      <c r="C2058" s="76" t="s">
        <v>1840</v>
      </c>
      <c r="D2058" s="81" t="str">
        <f t="shared" si="36"/>
        <v>Inox Serti ItalienManchon réduit MFManchon réduit MF</v>
      </c>
      <c r="E2058" s="76" t="s">
        <v>1848</v>
      </c>
      <c r="F2058" s="76">
        <v>6</v>
      </c>
      <c r="G2058" s="71" t="s">
        <v>1849</v>
      </c>
      <c r="H2058" s="71" t="s">
        <v>459</v>
      </c>
      <c r="I2058" s="71">
        <v>191028022</v>
      </c>
      <c r="J2058" s="70">
        <f>IFERROR(VLOOKUP(Devis[[#This Row],[Ref Air Flux]],#REF!,3,FALSE),0)</f>
        <v>0</v>
      </c>
      <c r="K2058" s="68"/>
      <c r="L2058" s="68"/>
      <c r="M2058" s="68"/>
      <c r="N2058" s="68"/>
      <c r="O2058" s="68"/>
      <c r="P2058" s="68"/>
      <c r="Q2058" s="68">
        <f>SUM(Devis[[#This Row],[Poste 1]:[Poste 6]])</f>
        <v>0</v>
      </c>
      <c r="R2058" s="71">
        <v>20</v>
      </c>
      <c r="S2058" s="68">
        <f>_xlfn.CEILING.MATH(Devis[[#This Row],[Quantité Totale]],Devis[[#This Row],[Conditionnement]])</f>
        <v>0</v>
      </c>
      <c r="T2058" s="72"/>
      <c r="U2058" s="73"/>
      <c r="V2058" s="74">
        <f>Devis[[#This Row],[Prix de Revient]]*Devis[[#This Row],[Poste 1]]</f>
        <v>0</v>
      </c>
      <c r="W2058" s="74">
        <f>Devis[[#This Row],[Prix de Revient]]*Devis[[#This Row],[Poste 2]]</f>
        <v>0</v>
      </c>
      <c r="X2058" s="74">
        <f>Devis[[#This Row],[Prix de Revient]]*Devis[[#This Row],[Poste 3]]</f>
        <v>0</v>
      </c>
      <c r="Y2058" s="74">
        <f>Devis[[#This Row],[Poste 4]]*Devis[[#This Row],[Prix de Revient]]</f>
        <v>0</v>
      </c>
      <c r="Z2058" s="74">
        <f>Devis[[#This Row],[Poste 5]]*Devis[[#This Row],[Prix de Revient]]</f>
        <v>0</v>
      </c>
      <c r="AA2058" s="74">
        <f>Devis[[#This Row],[Prix de Revient]]*Devis[[#This Row],[Poste 6]]</f>
        <v>0</v>
      </c>
      <c r="AB2058" s="74">
        <f>Devis[[#This Row],[Quantité Totale]]*Devis[[#This Row],[Prix de Revient]]</f>
        <v>0</v>
      </c>
    </row>
    <row r="2059" spans="1:28" ht="14.25" outlineLevel="1" x14ac:dyDescent="0.2">
      <c r="A2059" s="75" t="s">
        <v>1647</v>
      </c>
      <c r="B2059" s="76" t="s">
        <v>1840</v>
      </c>
      <c r="C2059" s="76" t="s">
        <v>1840</v>
      </c>
      <c r="D2059" s="81" t="str">
        <f t="shared" si="36"/>
        <v>Inox Serti ItalienManchon réduit MFManchon réduit MF</v>
      </c>
      <c r="E2059" s="76" t="s">
        <v>1850</v>
      </c>
      <c r="F2059" s="76">
        <v>7</v>
      </c>
      <c r="G2059" s="71" t="s">
        <v>1851</v>
      </c>
      <c r="H2059" s="71" t="s">
        <v>459</v>
      </c>
      <c r="I2059" s="71">
        <v>191035015</v>
      </c>
      <c r="J2059" s="70">
        <f>IFERROR(VLOOKUP(Devis[[#This Row],[Ref Air Flux]],#REF!,3,FALSE),0)</f>
        <v>0</v>
      </c>
      <c r="K2059" s="68"/>
      <c r="L2059" s="68"/>
      <c r="M2059" s="68"/>
      <c r="N2059" s="68"/>
      <c r="O2059" s="68"/>
      <c r="P2059" s="68"/>
      <c r="Q2059" s="68">
        <f>SUM(Devis[[#This Row],[Poste 1]:[Poste 6]])</f>
        <v>0</v>
      </c>
      <c r="R2059" s="71">
        <v>10</v>
      </c>
      <c r="S2059" s="68">
        <f>_xlfn.CEILING.MATH(Devis[[#This Row],[Quantité Totale]],Devis[[#This Row],[Conditionnement]])</f>
        <v>0</v>
      </c>
      <c r="T2059" s="72"/>
      <c r="U2059" s="73"/>
      <c r="V2059" s="74">
        <f>Devis[[#This Row],[Prix de Revient]]*Devis[[#This Row],[Poste 1]]</f>
        <v>0</v>
      </c>
      <c r="W2059" s="74">
        <f>Devis[[#This Row],[Prix de Revient]]*Devis[[#This Row],[Poste 2]]</f>
        <v>0</v>
      </c>
      <c r="X2059" s="74">
        <f>Devis[[#This Row],[Prix de Revient]]*Devis[[#This Row],[Poste 3]]</f>
        <v>0</v>
      </c>
      <c r="Y2059" s="74">
        <f>Devis[[#This Row],[Poste 4]]*Devis[[#This Row],[Prix de Revient]]</f>
        <v>0</v>
      </c>
      <c r="Z2059" s="74">
        <f>Devis[[#This Row],[Poste 5]]*Devis[[#This Row],[Prix de Revient]]</f>
        <v>0</v>
      </c>
      <c r="AA2059" s="74">
        <f>Devis[[#This Row],[Prix de Revient]]*Devis[[#This Row],[Poste 6]]</f>
        <v>0</v>
      </c>
      <c r="AB2059" s="74">
        <f>Devis[[#This Row],[Quantité Totale]]*Devis[[#This Row],[Prix de Revient]]</f>
        <v>0</v>
      </c>
    </row>
    <row r="2060" spans="1:28" ht="14.25" outlineLevel="1" x14ac:dyDescent="0.2">
      <c r="A2060" s="75" t="s">
        <v>1647</v>
      </c>
      <c r="B2060" s="76" t="s">
        <v>1840</v>
      </c>
      <c r="C2060" s="76" t="s">
        <v>1840</v>
      </c>
      <c r="D2060" s="81" t="str">
        <f t="shared" si="36"/>
        <v>Inox Serti ItalienManchon réduit MFManchon réduit MF</v>
      </c>
      <c r="E2060" s="76" t="s">
        <v>1852</v>
      </c>
      <c r="F2060" s="76">
        <v>8</v>
      </c>
      <c r="G2060" s="71" t="s">
        <v>1853</v>
      </c>
      <c r="H2060" s="71" t="s">
        <v>459</v>
      </c>
      <c r="I2060" s="71">
        <v>191035018</v>
      </c>
      <c r="J2060" s="70">
        <f>IFERROR(VLOOKUP(Devis[[#This Row],[Ref Air Flux]],#REF!,3,FALSE),0)</f>
        <v>0</v>
      </c>
      <c r="K2060" s="68"/>
      <c r="L2060" s="68"/>
      <c r="M2060" s="68"/>
      <c r="N2060" s="68"/>
      <c r="O2060" s="68"/>
      <c r="P2060" s="68"/>
      <c r="Q2060" s="68">
        <f>SUM(Devis[[#This Row],[Poste 1]:[Poste 6]])</f>
        <v>0</v>
      </c>
      <c r="R2060" s="71">
        <v>10</v>
      </c>
      <c r="S2060" s="68">
        <f>_xlfn.CEILING.MATH(Devis[[#This Row],[Quantité Totale]],Devis[[#This Row],[Conditionnement]])</f>
        <v>0</v>
      </c>
      <c r="T2060" s="72"/>
      <c r="U2060" s="73"/>
      <c r="V2060" s="74">
        <f>Devis[[#This Row],[Prix de Revient]]*Devis[[#This Row],[Poste 1]]</f>
        <v>0</v>
      </c>
      <c r="W2060" s="74">
        <f>Devis[[#This Row],[Prix de Revient]]*Devis[[#This Row],[Poste 2]]</f>
        <v>0</v>
      </c>
      <c r="X2060" s="74">
        <f>Devis[[#This Row],[Prix de Revient]]*Devis[[#This Row],[Poste 3]]</f>
        <v>0</v>
      </c>
      <c r="Y2060" s="74">
        <f>Devis[[#This Row],[Poste 4]]*Devis[[#This Row],[Prix de Revient]]</f>
        <v>0</v>
      </c>
      <c r="Z2060" s="74">
        <f>Devis[[#This Row],[Poste 5]]*Devis[[#This Row],[Prix de Revient]]</f>
        <v>0</v>
      </c>
      <c r="AA2060" s="74">
        <f>Devis[[#This Row],[Prix de Revient]]*Devis[[#This Row],[Poste 6]]</f>
        <v>0</v>
      </c>
      <c r="AB2060" s="74">
        <f>Devis[[#This Row],[Quantité Totale]]*Devis[[#This Row],[Prix de Revient]]</f>
        <v>0</v>
      </c>
    </row>
    <row r="2061" spans="1:28" ht="14.25" customHeight="1" outlineLevel="1" x14ac:dyDescent="0.2">
      <c r="A2061" s="75" t="s">
        <v>1647</v>
      </c>
      <c r="B2061" s="76" t="s">
        <v>1840</v>
      </c>
      <c r="C2061" s="76" t="s">
        <v>1840</v>
      </c>
      <c r="D2061" s="81" t="str">
        <f t="shared" si="36"/>
        <v>Inox Serti ItalienManchon réduit MFManchon réduit MF</v>
      </c>
      <c r="E2061" s="76" t="s">
        <v>1854</v>
      </c>
      <c r="F2061" s="76">
        <v>9</v>
      </c>
      <c r="G2061" s="71" t="s">
        <v>1855</v>
      </c>
      <c r="H2061" s="71" t="s">
        <v>459</v>
      </c>
      <c r="I2061" s="71">
        <v>191035022</v>
      </c>
      <c r="J2061" s="70">
        <f>IFERROR(VLOOKUP(Devis[[#This Row],[Ref Air Flux]],#REF!,3,FALSE),0)</f>
        <v>0</v>
      </c>
      <c r="K2061" s="68"/>
      <c r="L2061" s="68"/>
      <c r="M2061" s="68"/>
      <c r="N2061" s="68"/>
      <c r="O2061" s="68"/>
      <c r="P2061" s="68"/>
      <c r="Q2061" s="68">
        <f>SUM(Devis[[#This Row],[Poste 1]:[Poste 6]])</f>
        <v>0</v>
      </c>
      <c r="R2061" s="71">
        <v>10</v>
      </c>
      <c r="S2061" s="68">
        <f>_xlfn.CEILING.MATH(Devis[[#This Row],[Quantité Totale]],Devis[[#This Row],[Conditionnement]])</f>
        <v>0</v>
      </c>
      <c r="T2061" s="72"/>
      <c r="U2061" s="73"/>
      <c r="V2061" s="74">
        <f>Devis[[#This Row],[Prix de Revient]]*Devis[[#This Row],[Poste 1]]</f>
        <v>0</v>
      </c>
      <c r="W2061" s="74">
        <f>Devis[[#This Row],[Prix de Revient]]*Devis[[#This Row],[Poste 2]]</f>
        <v>0</v>
      </c>
      <c r="X2061" s="74">
        <f>Devis[[#This Row],[Prix de Revient]]*Devis[[#This Row],[Poste 3]]</f>
        <v>0</v>
      </c>
      <c r="Y2061" s="74">
        <f>Devis[[#This Row],[Poste 4]]*Devis[[#This Row],[Prix de Revient]]</f>
        <v>0</v>
      </c>
      <c r="Z2061" s="74">
        <f>Devis[[#This Row],[Poste 5]]*Devis[[#This Row],[Prix de Revient]]</f>
        <v>0</v>
      </c>
      <c r="AA2061" s="74">
        <f>Devis[[#This Row],[Prix de Revient]]*Devis[[#This Row],[Poste 6]]</f>
        <v>0</v>
      </c>
      <c r="AB2061" s="74">
        <f>Devis[[#This Row],[Quantité Totale]]*Devis[[#This Row],[Prix de Revient]]</f>
        <v>0</v>
      </c>
    </row>
    <row r="2062" spans="1:28" ht="14.25" customHeight="1" outlineLevel="1" x14ac:dyDescent="0.2">
      <c r="A2062" s="75" t="s">
        <v>1647</v>
      </c>
      <c r="B2062" s="76" t="s">
        <v>1840</v>
      </c>
      <c r="C2062" s="76" t="s">
        <v>1840</v>
      </c>
      <c r="D2062" s="81" t="str">
        <f t="shared" si="36"/>
        <v>Inox Serti ItalienManchon réduit MFManchon réduit MF</v>
      </c>
      <c r="E2062" s="76" t="s">
        <v>1856</v>
      </c>
      <c r="F2062" s="76">
        <v>10</v>
      </c>
      <c r="G2062" s="71" t="s">
        <v>1857</v>
      </c>
      <c r="H2062" s="71" t="s">
        <v>459</v>
      </c>
      <c r="I2062" s="71">
        <v>191035028</v>
      </c>
      <c r="J2062" s="70">
        <f>IFERROR(VLOOKUP(Devis[[#This Row],[Ref Air Flux]],#REF!,3,FALSE),0)</f>
        <v>0</v>
      </c>
      <c r="K2062" s="68"/>
      <c r="L2062" s="68"/>
      <c r="M2062" s="68"/>
      <c r="N2062" s="68"/>
      <c r="O2062" s="68"/>
      <c r="P2062" s="68"/>
      <c r="Q2062" s="68">
        <f>SUM(Devis[[#This Row],[Poste 1]:[Poste 6]])</f>
        <v>0</v>
      </c>
      <c r="R2062" s="71">
        <v>10</v>
      </c>
      <c r="S2062" s="68">
        <f>_xlfn.CEILING.MATH(Devis[[#This Row],[Quantité Totale]],Devis[[#This Row],[Conditionnement]])</f>
        <v>0</v>
      </c>
      <c r="T2062" s="72"/>
      <c r="U2062" s="73"/>
      <c r="V2062" s="74">
        <f>Devis[[#This Row],[Prix de Revient]]*Devis[[#This Row],[Poste 1]]</f>
        <v>0</v>
      </c>
      <c r="W2062" s="74">
        <f>Devis[[#This Row],[Prix de Revient]]*Devis[[#This Row],[Poste 2]]</f>
        <v>0</v>
      </c>
      <c r="X2062" s="74">
        <f>Devis[[#This Row],[Prix de Revient]]*Devis[[#This Row],[Poste 3]]</f>
        <v>0</v>
      </c>
      <c r="Y2062" s="74">
        <f>Devis[[#This Row],[Poste 4]]*Devis[[#This Row],[Prix de Revient]]</f>
        <v>0</v>
      </c>
      <c r="Z2062" s="74">
        <f>Devis[[#This Row],[Poste 5]]*Devis[[#This Row],[Prix de Revient]]</f>
        <v>0</v>
      </c>
      <c r="AA2062" s="74">
        <f>Devis[[#This Row],[Prix de Revient]]*Devis[[#This Row],[Poste 6]]</f>
        <v>0</v>
      </c>
      <c r="AB2062" s="74">
        <f>Devis[[#This Row],[Quantité Totale]]*Devis[[#This Row],[Prix de Revient]]</f>
        <v>0</v>
      </c>
    </row>
    <row r="2063" spans="1:28" ht="14.25" outlineLevel="1" x14ac:dyDescent="0.2">
      <c r="A2063" s="75" t="s">
        <v>1647</v>
      </c>
      <c r="B2063" s="76" t="s">
        <v>1840</v>
      </c>
      <c r="C2063" s="76" t="s">
        <v>1840</v>
      </c>
      <c r="D2063" s="81" t="str">
        <f t="shared" si="36"/>
        <v>Inox Serti ItalienManchon réduit MFManchon réduit MF</v>
      </c>
      <c r="E2063" s="76" t="s">
        <v>1858</v>
      </c>
      <c r="F2063" s="76">
        <v>11</v>
      </c>
      <c r="G2063" s="71" t="s">
        <v>1859</v>
      </c>
      <c r="H2063" s="71" t="s">
        <v>459</v>
      </c>
      <c r="I2063" s="71">
        <v>191042015</v>
      </c>
      <c r="J2063" s="70">
        <f>IFERROR(VLOOKUP(Devis[[#This Row],[Ref Air Flux]],#REF!,3,FALSE),0)</f>
        <v>0</v>
      </c>
      <c r="K2063" s="68"/>
      <c r="L2063" s="68"/>
      <c r="M2063" s="68"/>
      <c r="N2063" s="68"/>
      <c r="O2063" s="68"/>
      <c r="P2063" s="68"/>
      <c r="Q2063" s="68">
        <f>SUM(Devis[[#This Row],[Poste 1]:[Poste 6]])</f>
        <v>0</v>
      </c>
      <c r="R2063" s="71">
        <v>4</v>
      </c>
      <c r="S2063" s="68">
        <f>_xlfn.CEILING.MATH(Devis[[#This Row],[Quantité Totale]],Devis[[#This Row],[Conditionnement]])</f>
        <v>0</v>
      </c>
      <c r="T2063" s="72"/>
      <c r="U2063" s="73"/>
      <c r="V2063" s="74">
        <f>Devis[[#This Row],[Prix de Revient]]*Devis[[#This Row],[Poste 1]]</f>
        <v>0</v>
      </c>
      <c r="W2063" s="74">
        <f>Devis[[#This Row],[Prix de Revient]]*Devis[[#This Row],[Poste 2]]</f>
        <v>0</v>
      </c>
      <c r="X2063" s="74">
        <f>Devis[[#This Row],[Prix de Revient]]*Devis[[#This Row],[Poste 3]]</f>
        <v>0</v>
      </c>
      <c r="Y2063" s="74">
        <f>Devis[[#This Row],[Poste 4]]*Devis[[#This Row],[Prix de Revient]]</f>
        <v>0</v>
      </c>
      <c r="Z2063" s="74">
        <f>Devis[[#This Row],[Poste 5]]*Devis[[#This Row],[Prix de Revient]]</f>
        <v>0</v>
      </c>
      <c r="AA2063" s="74">
        <f>Devis[[#This Row],[Prix de Revient]]*Devis[[#This Row],[Poste 6]]</f>
        <v>0</v>
      </c>
      <c r="AB2063" s="74">
        <f>Devis[[#This Row],[Quantité Totale]]*Devis[[#This Row],[Prix de Revient]]</f>
        <v>0</v>
      </c>
    </row>
    <row r="2064" spans="1:28" ht="14.25" outlineLevel="1" x14ac:dyDescent="0.2">
      <c r="A2064" s="75" t="s">
        <v>1647</v>
      </c>
      <c r="B2064" s="76" t="s">
        <v>1840</v>
      </c>
      <c r="C2064" s="76" t="s">
        <v>1840</v>
      </c>
      <c r="D2064" s="81" t="str">
        <f t="shared" si="36"/>
        <v>Inox Serti ItalienManchon réduit MFManchon réduit MF</v>
      </c>
      <c r="E2064" s="76" t="s">
        <v>1860</v>
      </c>
      <c r="F2064" s="76">
        <v>12</v>
      </c>
      <c r="G2064" s="71" t="s">
        <v>1861</v>
      </c>
      <c r="H2064" s="71" t="s">
        <v>459</v>
      </c>
      <c r="I2064" s="71">
        <v>191042018</v>
      </c>
      <c r="J2064" s="70">
        <f>IFERROR(VLOOKUP(Devis[[#This Row],[Ref Air Flux]],#REF!,3,FALSE),0)</f>
        <v>0</v>
      </c>
      <c r="K2064" s="68"/>
      <c r="L2064" s="68"/>
      <c r="M2064" s="68"/>
      <c r="N2064" s="68"/>
      <c r="O2064" s="68"/>
      <c r="P2064" s="68"/>
      <c r="Q2064" s="68">
        <f>SUM(Devis[[#This Row],[Poste 1]:[Poste 6]])</f>
        <v>0</v>
      </c>
      <c r="R2064" s="71">
        <v>4</v>
      </c>
      <c r="S2064" s="68">
        <f>_xlfn.CEILING.MATH(Devis[[#This Row],[Quantité Totale]],Devis[[#This Row],[Conditionnement]])</f>
        <v>0</v>
      </c>
      <c r="T2064" s="72"/>
      <c r="U2064" s="73"/>
      <c r="V2064" s="74">
        <f>Devis[[#This Row],[Prix de Revient]]*Devis[[#This Row],[Poste 1]]</f>
        <v>0</v>
      </c>
      <c r="W2064" s="74">
        <f>Devis[[#This Row],[Prix de Revient]]*Devis[[#This Row],[Poste 2]]</f>
        <v>0</v>
      </c>
      <c r="X2064" s="74">
        <f>Devis[[#This Row],[Prix de Revient]]*Devis[[#This Row],[Poste 3]]</f>
        <v>0</v>
      </c>
      <c r="Y2064" s="74">
        <f>Devis[[#This Row],[Poste 4]]*Devis[[#This Row],[Prix de Revient]]</f>
        <v>0</v>
      </c>
      <c r="Z2064" s="74">
        <f>Devis[[#This Row],[Poste 5]]*Devis[[#This Row],[Prix de Revient]]</f>
        <v>0</v>
      </c>
      <c r="AA2064" s="74">
        <f>Devis[[#This Row],[Prix de Revient]]*Devis[[#This Row],[Poste 6]]</f>
        <v>0</v>
      </c>
      <c r="AB2064" s="74">
        <f>Devis[[#This Row],[Quantité Totale]]*Devis[[#This Row],[Prix de Revient]]</f>
        <v>0</v>
      </c>
    </row>
    <row r="2065" spans="1:28" ht="14.25" outlineLevel="1" x14ac:dyDescent="0.2">
      <c r="A2065" s="75" t="s">
        <v>1647</v>
      </c>
      <c r="B2065" s="76" t="s">
        <v>1840</v>
      </c>
      <c r="C2065" s="76" t="s">
        <v>1840</v>
      </c>
      <c r="D2065" s="81" t="str">
        <f t="shared" si="36"/>
        <v>Inox Serti ItalienManchon réduit MFManchon réduit MF</v>
      </c>
      <c r="E2065" s="76" t="s">
        <v>1862</v>
      </c>
      <c r="F2065" s="76">
        <v>13</v>
      </c>
      <c r="G2065" s="71" t="s">
        <v>1863</v>
      </c>
      <c r="H2065" s="71" t="s">
        <v>459</v>
      </c>
      <c r="I2065" s="71">
        <v>191042022</v>
      </c>
      <c r="J2065" s="70">
        <f>IFERROR(VLOOKUP(Devis[[#This Row],[Ref Air Flux]],#REF!,3,FALSE),0)</f>
        <v>0</v>
      </c>
      <c r="K2065" s="68"/>
      <c r="L2065" s="68"/>
      <c r="M2065" s="68"/>
      <c r="N2065" s="68"/>
      <c r="O2065" s="68"/>
      <c r="P2065" s="68"/>
      <c r="Q2065" s="68">
        <f>SUM(Devis[[#This Row],[Poste 1]:[Poste 6]])</f>
        <v>0</v>
      </c>
      <c r="R2065" s="71">
        <v>4</v>
      </c>
      <c r="S2065" s="68">
        <f>_xlfn.CEILING.MATH(Devis[[#This Row],[Quantité Totale]],Devis[[#This Row],[Conditionnement]])</f>
        <v>0</v>
      </c>
      <c r="T2065" s="72"/>
      <c r="U2065" s="73"/>
      <c r="V2065" s="74">
        <f>Devis[[#This Row],[Prix de Revient]]*Devis[[#This Row],[Poste 1]]</f>
        <v>0</v>
      </c>
      <c r="W2065" s="74">
        <f>Devis[[#This Row],[Prix de Revient]]*Devis[[#This Row],[Poste 2]]</f>
        <v>0</v>
      </c>
      <c r="X2065" s="74">
        <f>Devis[[#This Row],[Prix de Revient]]*Devis[[#This Row],[Poste 3]]</f>
        <v>0</v>
      </c>
      <c r="Y2065" s="74">
        <f>Devis[[#This Row],[Poste 4]]*Devis[[#This Row],[Prix de Revient]]</f>
        <v>0</v>
      </c>
      <c r="Z2065" s="74">
        <f>Devis[[#This Row],[Poste 5]]*Devis[[#This Row],[Prix de Revient]]</f>
        <v>0</v>
      </c>
      <c r="AA2065" s="74">
        <f>Devis[[#This Row],[Prix de Revient]]*Devis[[#This Row],[Poste 6]]</f>
        <v>0</v>
      </c>
      <c r="AB2065" s="74">
        <f>Devis[[#This Row],[Quantité Totale]]*Devis[[#This Row],[Prix de Revient]]</f>
        <v>0</v>
      </c>
    </row>
    <row r="2066" spans="1:28" ht="14.25" outlineLevel="1" x14ac:dyDescent="0.2">
      <c r="A2066" s="75" t="s">
        <v>1647</v>
      </c>
      <c r="B2066" s="76" t="s">
        <v>1840</v>
      </c>
      <c r="C2066" s="76" t="s">
        <v>1840</v>
      </c>
      <c r="D2066" s="81" t="str">
        <f t="shared" si="36"/>
        <v>Inox Serti ItalienManchon réduit MFManchon réduit MF</v>
      </c>
      <c r="E2066" s="76" t="s">
        <v>1864</v>
      </c>
      <c r="F2066" s="76">
        <v>14</v>
      </c>
      <c r="G2066" s="71" t="s">
        <v>1865</v>
      </c>
      <c r="H2066" s="71" t="s">
        <v>459</v>
      </c>
      <c r="I2066" s="71">
        <v>191042028</v>
      </c>
      <c r="J2066" s="70">
        <f>IFERROR(VLOOKUP(Devis[[#This Row],[Ref Air Flux]],#REF!,3,FALSE),0)</f>
        <v>0</v>
      </c>
      <c r="K2066" s="68"/>
      <c r="L2066" s="68"/>
      <c r="M2066" s="68"/>
      <c r="N2066" s="68"/>
      <c r="O2066" s="68"/>
      <c r="P2066" s="68"/>
      <c r="Q2066" s="68">
        <f>SUM(Devis[[#This Row],[Poste 1]:[Poste 6]])</f>
        <v>0</v>
      </c>
      <c r="R2066" s="71">
        <v>4</v>
      </c>
      <c r="S2066" s="68">
        <f>_xlfn.CEILING.MATH(Devis[[#This Row],[Quantité Totale]],Devis[[#This Row],[Conditionnement]])</f>
        <v>0</v>
      </c>
      <c r="T2066" s="72"/>
      <c r="U2066" s="73"/>
      <c r="V2066" s="74">
        <f>Devis[[#This Row],[Prix de Revient]]*Devis[[#This Row],[Poste 1]]</f>
        <v>0</v>
      </c>
      <c r="W2066" s="74">
        <f>Devis[[#This Row],[Prix de Revient]]*Devis[[#This Row],[Poste 2]]</f>
        <v>0</v>
      </c>
      <c r="X2066" s="74">
        <f>Devis[[#This Row],[Prix de Revient]]*Devis[[#This Row],[Poste 3]]</f>
        <v>0</v>
      </c>
      <c r="Y2066" s="74">
        <f>Devis[[#This Row],[Poste 4]]*Devis[[#This Row],[Prix de Revient]]</f>
        <v>0</v>
      </c>
      <c r="Z2066" s="74">
        <f>Devis[[#This Row],[Poste 5]]*Devis[[#This Row],[Prix de Revient]]</f>
        <v>0</v>
      </c>
      <c r="AA2066" s="74">
        <f>Devis[[#This Row],[Prix de Revient]]*Devis[[#This Row],[Poste 6]]</f>
        <v>0</v>
      </c>
      <c r="AB2066" s="74">
        <f>Devis[[#This Row],[Quantité Totale]]*Devis[[#This Row],[Prix de Revient]]</f>
        <v>0</v>
      </c>
    </row>
    <row r="2067" spans="1:28" ht="14.25" outlineLevel="1" x14ac:dyDescent="0.2">
      <c r="A2067" s="75" t="s">
        <v>1647</v>
      </c>
      <c r="B2067" s="76" t="s">
        <v>1840</v>
      </c>
      <c r="C2067" s="76" t="s">
        <v>1840</v>
      </c>
      <c r="D2067" s="81" t="str">
        <f t="shared" si="36"/>
        <v>Inox Serti ItalienManchon réduit MFManchon réduit MF</v>
      </c>
      <c r="E2067" s="76" t="s">
        <v>1866</v>
      </c>
      <c r="F2067" s="76">
        <v>15</v>
      </c>
      <c r="G2067" s="71" t="s">
        <v>1867</v>
      </c>
      <c r="H2067" s="71" t="s">
        <v>459</v>
      </c>
      <c r="I2067" s="71">
        <v>191042035</v>
      </c>
      <c r="J2067" s="70">
        <f>IFERROR(VLOOKUP(Devis[[#This Row],[Ref Air Flux]],#REF!,3,FALSE),0)</f>
        <v>0</v>
      </c>
      <c r="K2067" s="68"/>
      <c r="L2067" s="68"/>
      <c r="M2067" s="68"/>
      <c r="N2067" s="68"/>
      <c r="O2067" s="68"/>
      <c r="P2067" s="68"/>
      <c r="Q2067" s="68">
        <f>SUM(Devis[[#This Row],[Poste 1]:[Poste 6]])</f>
        <v>0</v>
      </c>
      <c r="R2067" s="71">
        <v>4</v>
      </c>
      <c r="S2067" s="68">
        <f>_xlfn.CEILING.MATH(Devis[[#This Row],[Quantité Totale]],Devis[[#This Row],[Conditionnement]])</f>
        <v>0</v>
      </c>
      <c r="T2067" s="72"/>
      <c r="U2067" s="73"/>
      <c r="V2067" s="74">
        <f>Devis[[#This Row],[Prix de Revient]]*Devis[[#This Row],[Poste 1]]</f>
        <v>0</v>
      </c>
      <c r="W2067" s="74">
        <f>Devis[[#This Row],[Prix de Revient]]*Devis[[#This Row],[Poste 2]]</f>
        <v>0</v>
      </c>
      <c r="X2067" s="74">
        <f>Devis[[#This Row],[Prix de Revient]]*Devis[[#This Row],[Poste 3]]</f>
        <v>0</v>
      </c>
      <c r="Y2067" s="74">
        <f>Devis[[#This Row],[Poste 4]]*Devis[[#This Row],[Prix de Revient]]</f>
        <v>0</v>
      </c>
      <c r="Z2067" s="74">
        <f>Devis[[#This Row],[Poste 5]]*Devis[[#This Row],[Prix de Revient]]</f>
        <v>0</v>
      </c>
      <c r="AA2067" s="74">
        <f>Devis[[#This Row],[Prix de Revient]]*Devis[[#This Row],[Poste 6]]</f>
        <v>0</v>
      </c>
      <c r="AB2067" s="74">
        <f>Devis[[#This Row],[Quantité Totale]]*Devis[[#This Row],[Prix de Revient]]</f>
        <v>0</v>
      </c>
    </row>
    <row r="2068" spans="1:28" ht="14.25" customHeight="1" outlineLevel="1" x14ac:dyDescent="0.2">
      <c r="A2068" s="75" t="s">
        <v>1647</v>
      </c>
      <c r="B2068" s="76" t="s">
        <v>1840</v>
      </c>
      <c r="C2068" s="76" t="s">
        <v>1840</v>
      </c>
      <c r="D2068" s="81" t="str">
        <f t="shared" si="36"/>
        <v>Inox Serti ItalienManchon réduit MFManchon réduit MF</v>
      </c>
      <c r="E2068" s="76" t="s">
        <v>1868</v>
      </c>
      <c r="F2068" s="76">
        <v>16</v>
      </c>
      <c r="G2068" s="71" t="s">
        <v>1869</v>
      </c>
      <c r="H2068" s="71" t="s">
        <v>459</v>
      </c>
      <c r="I2068" s="71">
        <v>191054015</v>
      </c>
      <c r="J2068" s="70">
        <f>IFERROR(VLOOKUP(Devis[[#This Row],[Ref Air Flux]],#REF!,3,FALSE),0)</f>
        <v>0</v>
      </c>
      <c r="K2068" s="68"/>
      <c r="L2068" s="68"/>
      <c r="M2068" s="68"/>
      <c r="N2068" s="68"/>
      <c r="O2068" s="68"/>
      <c r="P2068" s="68"/>
      <c r="Q2068" s="68">
        <f>SUM(Devis[[#This Row],[Poste 1]:[Poste 6]])</f>
        <v>0</v>
      </c>
      <c r="R2068" s="71">
        <v>4</v>
      </c>
      <c r="S2068" s="68">
        <f>_xlfn.CEILING.MATH(Devis[[#This Row],[Quantité Totale]],Devis[[#This Row],[Conditionnement]])</f>
        <v>0</v>
      </c>
      <c r="T2068" s="72"/>
      <c r="U2068" s="73"/>
      <c r="V2068" s="74">
        <f>Devis[[#This Row],[Prix de Revient]]*Devis[[#This Row],[Poste 1]]</f>
        <v>0</v>
      </c>
      <c r="W2068" s="74">
        <f>Devis[[#This Row],[Prix de Revient]]*Devis[[#This Row],[Poste 2]]</f>
        <v>0</v>
      </c>
      <c r="X2068" s="74">
        <f>Devis[[#This Row],[Prix de Revient]]*Devis[[#This Row],[Poste 3]]</f>
        <v>0</v>
      </c>
      <c r="Y2068" s="74">
        <f>Devis[[#This Row],[Poste 4]]*Devis[[#This Row],[Prix de Revient]]</f>
        <v>0</v>
      </c>
      <c r="Z2068" s="74">
        <f>Devis[[#This Row],[Poste 5]]*Devis[[#This Row],[Prix de Revient]]</f>
        <v>0</v>
      </c>
      <c r="AA2068" s="74">
        <f>Devis[[#This Row],[Prix de Revient]]*Devis[[#This Row],[Poste 6]]</f>
        <v>0</v>
      </c>
      <c r="AB2068" s="74">
        <f>Devis[[#This Row],[Quantité Totale]]*Devis[[#This Row],[Prix de Revient]]</f>
        <v>0</v>
      </c>
    </row>
    <row r="2069" spans="1:28" ht="14.25" outlineLevel="1" x14ac:dyDescent="0.2">
      <c r="A2069" s="75" t="s">
        <v>1647</v>
      </c>
      <c r="B2069" s="76" t="s">
        <v>1840</v>
      </c>
      <c r="C2069" s="76" t="s">
        <v>1840</v>
      </c>
      <c r="D2069" s="81" t="str">
        <f t="shared" si="36"/>
        <v>Inox Serti ItalienManchon réduit MFManchon réduit MF</v>
      </c>
      <c r="E2069" s="76" t="s">
        <v>5343</v>
      </c>
      <c r="F2069" s="76">
        <v>17</v>
      </c>
      <c r="G2069" s="71" t="s">
        <v>1870</v>
      </c>
      <c r="H2069" s="71" t="s">
        <v>459</v>
      </c>
      <c r="I2069" s="71">
        <v>191054018</v>
      </c>
      <c r="J2069" s="70">
        <f>IFERROR(VLOOKUP(Devis[[#This Row],[Ref Air Flux]],#REF!,3,FALSE),0)</f>
        <v>0</v>
      </c>
      <c r="K2069" s="68"/>
      <c r="L2069" s="68"/>
      <c r="M2069" s="68"/>
      <c r="N2069" s="68"/>
      <c r="O2069" s="68"/>
      <c r="P2069" s="68"/>
      <c r="Q2069" s="68">
        <f>SUM(Devis[[#This Row],[Poste 1]:[Poste 6]])</f>
        <v>0</v>
      </c>
      <c r="R2069" s="71">
        <v>4</v>
      </c>
      <c r="S2069" s="68">
        <f>_xlfn.CEILING.MATH(Devis[[#This Row],[Quantité Totale]],Devis[[#This Row],[Conditionnement]])</f>
        <v>0</v>
      </c>
      <c r="T2069" s="72"/>
      <c r="U2069" s="73"/>
      <c r="V2069" s="74">
        <f>Devis[[#This Row],[Prix de Revient]]*Devis[[#This Row],[Poste 1]]</f>
        <v>0</v>
      </c>
      <c r="W2069" s="74">
        <f>Devis[[#This Row],[Prix de Revient]]*Devis[[#This Row],[Poste 2]]</f>
        <v>0</v>
      </c>
      <c r="X2069" s="74">
        <f>Devis[[#This Row],[Prix de Revient]]*Devis[[#This Row],[Poste 3]]</f>
        <v>0</v>
      </c>
      <c r="Y2069" s="74">
        <f>Devis[[#This Row],[Poste 4]]*Devis[[#This Row],[Prix de Revient]]</f>
        <v>0</v>
      </c>
      <c r="Z2069" s="74">
        <f>Devis[[#This Row],[Poste 5]]*Devis[[#This Row],[Prix de Revient]]</f>
        <v>0</v>
      </c>
      <c r="AA2069" s="74">
        <f>Devis[[#This Row],[Prix de Revient]]*Devis[[#This Row],[Poste 6]]</f>
        <v>0</v>
      </c>
      <c r="AB2069" s="74">
        <f>Devis[[#This Row],[Quantité Totale]]*Devis[[#This Row],[Prix de Revient]]</f>
        <v>0</v>
      </c>
    </row>
    <row r="2070" spans="1:28" ht="14.25" outlineLevel="1" x14ac:dyDescent="0.2">
      <c r="A2070" s="75" t="s">
        <v>1647</v>
      </c>
      <c r="B2070" s="76" t="s">
        <v>1840</v>
      </c>
      <c r="C2070" s="76" t="s">
        <v>1840</v>
      </c>
      <c r="D2070" s="81" t="str">
        <f t="shared" si="36"/>
        <v>Inox Serti ItalienManchon réduit MFManchon réduit MF</v>
      </c>
      <c r="E2070" s="76" t="s">
        <v>1871</v>
      </c>
      <c r="F2070" s="76">
        <v>18</v>
      </c>
      <c r="G2070" s="71" t="s">
        <v>1872</v>
      </c>
      <c r="H2070" s="71" t="s">
        <v>459</v>
      </c>
      <c r="I2070" s="71">
        <v>191054022</v>
      </c>
      <c r="J2070" s="70">
        <f>IFERROR(VLOOKUP(Devis[[#This Row],[Ref Air Flux]],#REF!,3,FALSE),0)</f>
        <v>0</v>
      </c>
      <c r="K2070" s="68"/>
      <c r="L2070" s="68"/>
      <c r="M2070" s="68"/>
      <c r="N2070" s="68"/>
      <c r="O2070" s="68"/>
      <c r="P2070" s="68"/>
      <c r="Q2070" s="68">
        <f>SUM(Devis[[#This Row],[Poste 1]:[Poste 6]])</f>
        <v>0</v>
      </c>
      <c r="R2070" s="71">
        <v>4</v>
      </c>
      <c r="S2070" s="68">
        <f>_xlfn.CEILING.MATH(Devis[[#This Row],[Quantité Totale]],Devis[[#This Row],[Conditionnement]])</f>
        <v>0</v>
      </c>
      <c r="T2070" s="72"/>
      <c r="U2070" s="73"/>
      <c r="V2070" s="74">
        <f>Devis[[#This Row],[Prix de Revient]]*Devis[[#This Row],[Poste 1]]</f>
        <v>0</v>
      </c>
      <c r="W2070" s="74">
        <f>Devis[[#This Row],[Prix de Revient]]*Devis[[#This Row],[Poste 2]]</f>
        <v>0</v>
      </c>
      <c r="X2070" s="74">
        <f>Devis[[#This Row],[Prix de Revient]]*Devis[[#This Row],[Poste 3]]</f>
        <v>0</v>
      </c>
      <c r="Y2070" s="74">
        <f>Devis[[#This Row],[Poste 4]]*Devis[[#This Row],[Prix de Revient]]</f>
        <v>0</v>
      </c>
      <c r="Z2070" s="74">
        <f>Devis[[#This Row],[Poste 5]]*Devis[[#This Row],[Prix de Revient]]</f>
        <v>0</v>
      </c>
      <c r="AA2070" s="74">
        <f>Devis[[#This Row],[Prix de Revient]]*Devis[[#This Row],[Poste 6]]</f>
        <v>0</v>
      </c>
      <c r="AB2070" s="74">
        <f>Devis[[#This Row],[Quantité Totale]]*Devis[[#This Row],[Prix de Revient]]</f>
        <v>0</v>
      </c>
    </row>
    <row r="2071" spans="1:28" ht="14.25" outlineLevel="1" x14ac:dyDescent="0.2">
      <c r="A2071" s="75" t="s">
        <v>1647</v>
      </c>
      <c r="B2071" s="76" t="s">
        <v>1840</v>
      </c>
      <c r="C2071" s="76" t="s">
        <v>1840</v>
      </c>
      <c r="D2071" s="81" t="str">
        <f t="shared" si="36"/>
        <v>Inox Serti ItalienManchon réduit MFManchon réduit MF</v>
      </c>
      <c r="E2071" s="76" t="s">
        <v>1873</v>
      </c>
      <c r="F2071" s="76">
        <v>19</v>
      </c>
      <c r="G2071" s="71" t="s">
        <v>1816</v>
      </c>
      <c r="H2071" s="71" t="s">
        <v>459</v>
      </c>
      <c r="I2071" s="71">
        <v>191054028</v>
      </c>
      <c r="J2071" s="70">
        <f>IFERROR(VLOOKUP(Devis[[#This Row],[Ref Air Flux]],#REF!,3,FALSE),0)</f>
        <v>0</v>
      </c>
      <c r="K2071" s="68"/>
      <c r="L2071" s="68"/>
      <c r="M2071" s="68"/>
      <c r="N2071" s="68"/>
      <c r="O2071" s="68"/>
      <c r="P2071" s="68"/>
      <c r="Q2071" s="68">
        <f>SUM(Devis[[#This Row],[Poste 1]:[Poste 6]])</f>
        <v>0</v>
      </c>
      <c r="R2071" s="71">
        <v>4</v>
      </c>
      <c r="S2071" s="68">
        <f>_xlfn.CEILING.MATH(Devis[[#This Row],[Quantité Totale]],Devis[[#This Row],[Conditionnement]])</f>
        <v>0</v>
      </c>
      <c r="T2071" s="72"/>
      <c r="U2071" s="73"/>
      <c r="V2071" s="74">
        <f>Devis[[#This Row],[Prix de Revient]]*Devis[[#This Row],[Poste 1]]</f>
        <v>0</v>
      </c>
      <c r="W2071" s="74">
        <f>Devis[[#This Row],[Prix de Revient]]*Devis[[#This Row],[Poste 2]]</f>
        <v>0</v>
      </c>
      <c r="X2071" s="74">
        <f>Devis[[#This Row],[Prix de Revient]]*Devis[[#This Row],[Poste 3]]</f>
        <v>0</v>
      </c>
      <c r="Y2071" s="74">
        <f>Devis[[#This Row],[Poste 4]]*Devis[[#This Row],[Prix de Revient]]</f>
        <v>0</v>
      </c>
      <c r="Z2071" s="74">
        <f>Devis[[#This Row],[Poste 5]]*Devis[[#This Row],[Prix de Revient]]</f>
        <v>0</v>
      </c>
      <c r="AA2071" s="74">
        <f>Devis[[#This Row],[Prix de Revient]]*Devis[[#This Row],[Poste 6]]</f>
        <v>0</v>
      </c>
      <c r="AB2071" s="74">
        <f>Devis[[#This Row],[Quantité Totale]]*Devis[[#This Row],[Prix de Revient]]</f>
        <v>0</v>
      </c>
    </row>
    <row r="2072" spans="1:28" ht="14.25" outlineLevel="1" x14ac:dyDescent="0.2">
      <c r="A2072" s="75" t="s">
        <v>1647</v>
      </c>
      <c r="B2072" s="76" t="s">
        <v>1840</v>
      </c>
      <c r="C2072" s="76" t="s">
        <v>1840</v>
      </c>
      <c r="D2072" s="81" t="str">
        <f t="shared" si="36"/>
        <v>Inox Serti ItalienManchon réduit MFManchon réduit MF</v>
      </c>
      <c r="E2072" s="76" t="s">
        <v>1874</v>
      </c>
      <c r="F2072" s="76">
        <v>20</v>
      </c>
      <c r="G2072" s="71" t="s">
        <v>1875</v>
      </c>
      <c r="H2072" s="71" t="s">
        <v>459</v>
      </c>
      <c r="I2072" s="71">
        <v>191054035</v>
      </c>
      <c r="J2072" s="70">
        <f>IFERROR(VLOOKUP(Devis[[#This Row],[Ref Air Flux]],#REF!,3,FALSE),0)</f>
        <v>0</v>
      </c>
      <c r="K2072" s="68"/>
      <c r="L2072" s="68"/>
      <c r="M2072" s="68"/>
      <c r="N2072" s="68"/>
      <c r="O2072" s="68"/>
      <c r="P2072" s="68"/>
      <c r="Q2072" s="68">
        <f>SUM(Devis[[#This Row],[Poste 1]:[Poste 6]])</f>
        <v>0</v>
      </c>
      <c r="R2072" s="71">
        <v>4</v>
      </c>
      <c r="S2072" s="68">
        <f>_xlfn.CEILING.MATH(Devis[[#This Row],[Quantité Totale]],Devis[[#This Row],[Conditionnement]])</f>
        <v>0</v>
      </c>
      <c r="T2072" s="72"/>
      <c r="U2072" s="73"/>
      <c r="V2072" s="74">
        <f>Devis[[#This Row],[Prix de Revient]]*Devis[[#This Row],[Poste 1]]</f>
        <v>0</v>
      </c>
      <c r="W2072" s="74">
        <f>Devis[[#This Row],[Prix de Revient]]*Devis[[#This Row],[Poste 2]]</f>
        <v>0</v>
      </c>
      <c r="X2072" s="74">
        <f>Devis[[#This Row],[Prix de Revient]]*Devis[[#This Row],[Poste 3]]</f>
        <v>0</v>
      </c>
      <c r="Y2072" s="74">
        <f>Devis[[#This Row],[Poste 4]]*Devis[[#This Row],[Prix de Revient]]</f>
        <v>0</v>
      </c>
      <c r="Z2072" s="74">
        <f>Devis[[#This Row],[Poste 5]]*Devis[[#This Row],[Prix de Revient]]</f>
        <v>0</v>
      </c>
      <c r="AA2072" s="74">
        <f>Devis[[#This Row],[Prix de Revient]]*Devis[[#This Row],[Poste 6]]</f>
        <v>0</v>
      </c>
      <c r="AB2072" s="74">
        <f>Devis[[#This Row],[Quantité Totale]]*Devis[[#This Row],[Prix de Revient]]</f>
        <v>0</v>
      </c>
    </row>
    <row r="2073" spans="1:28" ht="14.25" outlineLevel="1" x14ac:dyDescent="0.2">
      <c r="A2073" s="75" t="s">
        <v>1647</v>
      </c>
      <c r="B2073" s="76" t="s">
        <v>1840</v>
      </c>
      <c r="C2073" s="76" t="s">
        <v>1840</v>
      </c>
      <c r="D2073" s="81" t="str">
        <f t="shared" si="36"/>
        <v>Inox Serti ItalienManchon réduit MFManchon réduit MF</v>
      </c>
      <c r="E2073" s="76" t="s">
        <v>1876</v>
      </c>
      <c r="F2073" s="76">
        <v>21</v>
      </c>
      <c r="G2073" s="71" t="s">
        <v>1877</v>
      </c>
      <c r="H2073" s="71" t="s">
        <v>459</v>
      </c>
      <c r="I2073" s="71">
        <v>191054042</v>
      </c>
      <c r="J2073" s="70">
        <f>IFERROR(VLOOKUP(Devis[[#This Row],[Ref Air Flux]],#REF!,3,FALSE),0)</f>
        <v>0</v>
      </c>
      <c r="K2073" s="68"/>
      <c r="L2073" s="68"/>
      <c r="M2073" s="68"/>
      <c r="N2073" s="68"/>
      <c r="O2073" s="68"/>
      <c r="P2073" s="68"/>
      <c r="Q2073" s="68">
        <f>SUM(Devis[[#This Row],[Poste 1]:[Poste 6]])</f>
        <v>0</v>
      </c>
      <c r="R2073" s="71">
        <v>4</v>
      </c>
      <c r="S2073" s="68">
        <f>_xlfn.CEILING.MATH(Devis[[#This Row],[Quantité Totale]],Devis[[#This Row],[Conditionnement]])</f>
        <v>0</v>
      </c>
      <c r="T2073" s="72"/>
      <c r="U2073" s="73"/>
      <c r="V2073" s="74">
        <f>Devis[[#This Row],[Prix de Revient]]*Devis[[#This Row],[Poste 1]]</f>
        <v>0</v>
      </c>
      <c r="W2073" s="74">
        <f>Devis[[#This Row],[Prix de Revient]]*Devis[[#This Row],[Poste 2]]</f>
        <v>0</v>
      </c>
      <c r="X2073" s="74">
        <f>Devis[[#This Row],[Prix de Revient]]*Devis[[#This Row],[Poste 3]]</f>
        <v>0</v>
      </c>
      <c r="Y2073" s="74">
        <f>Devis[[#This Row],[Poste 4]]*Devis[[#This Row],[Prix de Revient]]</f>
        <v>0</v>
      </c>
      <c r="Z2073" s="74">
        <f>Devis[[#This Row],[Poste 5]]*Devis[[#This Row],[Prix de Revient]]</f>
        <v>0</v>
      </c>
      <c r="AA2073" s="74">
        <f>Devis[[#This Row],[Prix de Revient]]*Devis[[#This Row],[Poste 6]]</f>
        <v>0</v>
      </c>
      <c r="AB2073" s="74">
        <f>Devis[[#This Row],[Quantité Totale]]*Devis[[#This Row],[Prix de Revient]]</f>
        <v>0</v>
      </c>
    </row>
    <row r="2074" spans="1:28" ht="14.25" outlineLevel="1" x14ac:dyDescent="0.2">
      <c r="A2074" s="75" t="s">
        <v>1647</v>
      </c>
      <c r="B2074" s="76" t="s">
        <v>1840</v>
      </c>
      <c r="C2074" s="76" t="s">
        <v>1840</v>
      </c>
      <c r="D2074" s="81" t="str">
        <f t="shared" si="36"/>
        <v>Inox Serti ItalienManchon réduit MFManchon réduit MF</v>
      </c>
      <c r="E2074" s="76" t="s">
        <v>5344</v>
      </c>
      <c r="F2074" s="76">
        <v>22</v>
      </c>
      <c r="G2074" s="71" t="s">
        <v>1878</v>
      </c>
      <c r="H2074" s="71" t="s">
        <v>459</v>
      </c>
      <c r="I2074" s="71">
        <v>191076043</v>
      </c>
      <c r="J2074" s="70">
        <f>IFERROR(VLOOKUP(Devis[[#This Row],[Ref Air Flux]],#REF!,3,FALSE),0)</f>
        <v>0</v>
      </c>
      <c r="K2074" s="68"/>
      <c r="L2074" s="68"/>
      <c r="M2074" s="68"/>
      <c r="N2074" s="68"/>
      <c r="O2074" s="68"/>
      <c r="P2074" s="68"/>
      <c r="Q2074" s="68">
        <f>SUM(Devis[[#This Row],[Poste 1]:[Poste 6]])</f>
        <v>0</v>
      </c>
      <c r="R2074" s="71">
        <v>4</v>
      </c>
      <c r="S2074" s="68">
        <f>_xlfn.CEILING.MATH(Devis[[#This Row],[Quantité Totale]],Devis[[#This Row],[Conditionnement]])</f>
        <v>0</v>
      </c>
      <c r="T2074" s="72"/>
      <c r="U2074" s="73"/>
      <c r="V2074" s="74">
        <f>Devis[[#This Row],[Prix de Revient]]*Devis[[#This Row],[Poste 1]]</f>
        <v>0</v>
      </c>
      <c r="W2074" s="74">
        <f>Devis[[#This Row],[Prix de Revient]]*Devis[[#This Row],[Poste 2]]</f>
        <v>0</v>
      </c>
      <c r="X2074" s="74">
        <f>Devis[[#This Row],[Prix de Revient]]*Devis[[#This Row],[Poste 3]]</f>
        <v>0</v>
      </c>
      <c r="Y2074" s="74">
        <f>Devis[[#This Row],[Poste 4]]*Devis[[#This Row],[Prix de Revient]]</f>
        <v>0</v>
      </c>
      <c r="Z2074" s="74">
        <f>Devis[[#This Row],[Poste 5]]*Devis[[#This Row],[Prix de Revient]]</f>
        <v>0</v>
      </c>
      <c r="AA2074" s="74">
        <f>Devis[[#This Row],[Prix de Revient]]*Devis[[#This Row],[Poste 6]]</f>
        <v>0</v>
      </c>
      <c r="AB2074" s="74">
        <f>Devis[[#This Row],[Quantité Totale]]*Devis[[#This Row],[Prix de Revient]]</f>
        <v>0</v>
      </c>
    </row>
    <row r="2075" spans="1:28" ht="14.25" outlineLevel="1" x14ac:dyDescent="0.2">
      <c r="A2075" s="75" t="s">
        <v>1647</v>
      </c>
      <c r="B2075" s="76" t="s">
        <v>1840</v>
      </c>
      <c r="C2075" s="76" t="s">
        <v>1840</v>
      </c>
      <c r="D2075" s="81" t="str">
        <f t="shared" si="36"/>
        <v>Inox Serti ItalienManchon réduit MFManchon réduit MF</v>
      </c>
      <c r="E2075" s="76" t="s">
        <v>1879</v>
      </c>
      <c r="F2075" s="76">
        <v>23</v>
      </c>
      <c r="G2075" s="71" t="s">
        <v>1880</v>
      </c>
      <c r="H2075" s="71" t="s">
        <v>459</v>
      </c>
      <c r="I2075" s="71">
        <v>191076054</v>
      </c>
      <c r="J2075" s="70">
        <f>IFERROR(VLOOKUP(Devis[[#This Row],[Ref Air Flux]],#REF!,3,FALSE),0)</f>
        <v>0</v>
      </c>
      <c r="K2075" s="68"/>
      <c r="L2075" s="68"/>
      <c r="M2075" s="68"/>
      <c r="N2075" s="68"/>
      <c r="O2075" s="68"/>
      <c r="P2075" s="68"/>
      <c r="Q2075" s="68">
        <f>SUM(Devis[[#This Row],[Poste 1]:[Poste 6]])</f>
        <v>0</v>
      </c>
      <c r="R2075" s="71">
        <v>4</v>
      </c>
      <c r="S2075" s="68">
        <f>_xlfn.CEILING.MATH(Devis[[#This Row],[Quantité Totale]],Devis[[#This Row],[Conditionnement]])</f>
        <v>0</v>
      </c>
      <c r="T2075" s="72"/>
      <c r="U2075" s="73"/>
      <c r="V2075" s="74">
        <f>Devis[[#This Row],[Prix de Revient]]*Devis[[#This Row],[Poste 1]]</f>
        <v>0</v>
      </c>
      <c r="W2075" s="74">
        <f>Devis[[#This Row],[Prix de Revient]]*Devis[[#This Row],[Poste 2]]</f>
        <v>0</v>
      </c>
      <c r="X2075" s="74">
        <f>Devis[[#This Row],[Prix de Revient]]*Devis[[#This Row],[Poste 3]]</f>
        <v>0</v>
      </c>
      <c r="Y2075" s="74">
        <f>Devis[[#This Row],[Poste 4]]*Devis[[#This Row],[Prix de Revient]]</f>
        <v>0</v>
      </c>
      <c r="Z2075" s="74">
        <f>Devis[[#This Row],[Poste 5]]*Devis[[#This Row],[Prix de Revient]]</f>
        <v>0</v>
      </c>
      <c r="AA2075" s="74">
        <f>Devis[[#This Row],[Prix de Revient]]*Devis[[#This Row],[Poste 6]]</f>
        <v>0</v>
      </c>
      <c r="AB2075" s="74">
        <f>Devis[[#This Row],[Quantité Totale]]*Devis[[#This Row],[Prix de Revient]]</f>
        <v>0</v>
      </c>
    </row>
    <row r="2076" spans="1:28" ht="15" customHeight="1" outlineLevel="1" x14ac:dyDescent="0.2">
      <c r="A2076" s="75" t="s">
        <v>1647</v>
      </c>
      <c r="B2076" s="76" t="s">
        <v>1840</v>
      </c>
      <c r="C2076" s="76" t="s">
        <v>1840</v>
      </c>
      <c r="D2076" s="81" t="str">
        <f t="shared" si="36"/>
        <v>Inox Serti ItalienManchon réduit MFManchon réduit MF</v>
      </c>
      <c r="E2076" s="76" t="s">
        <v>5345</v>
      </c>
      <c r="F2076" s="76">
        <v>24</v>
      </c>
      <c r="G2076" s="71" t="s">
        <v>1881</v>
      </c>
      <c r="H2076" s="71" t="s">
        <v>459</v>
      </c>
      <c r="I2076" s="71">
        <v>191088054</v>
      </c>
      <c r="J2076" s="70">
        <f>IFERROR(VLOOKUP(Devis[[#This Row],[Ref Air Flux]],#REF!,3,FALSE),0)</f>
        <v>0</v>
      </c>
      <c r="K2076" s="68"/>
      <c r="L2076" s="68"/>
      <c r="M2076" s="68"/>
      <c r="N2076" s="68"/>
      <c r="O2076" s="68"/>
      <c r="P2076" s="68"/>
      <c r="Q2076" s="68">
        <f>SUM(Devis[[#This Row],[Poste 1]:[Poste 6]])</f>
        <v>0</v>
      </c>
      <c r="R2076" s="71">
        <v>4</v>
      </c>
      <c r="S2076" s="68">
        <f>_xlfn.CEILING.MATH(Devis[[#This Row],[Quantité Totale]],Devis[[#This Row],[Conditionnement]])</f>
        <v>0</v>
      </c>
      <c r="T2076" s="72"/>
      <c r="U2076" s="73"/>
      <c r="V2076" s="74">
        <f>Devis[[#This Row],[Prix de Revient]]*Devis[[#This Row],[Poste 1]]</f>
        <v>0</v>
      </c>
      <c r="W2076" s="74">
        <f>Devis[[#This Row],[Prix de Revient]]*Devis[[#This Row],[Poste 2]]</f>
        <v>0</v>
      </c>
      <c r="X2076" s="74">
        <f>Devis[[#This Row],[Prix de Revient]]*Devis[[#This Row],[Poste 3]]</f>
        <v>0</v>
      </c>
      <c r="Y2076" s="74">
        <f>Devis[[#This Row],[Poste 4]]*Devis[[#This Row],[Prix de Revient]]</f>
        <v>0</v>
      </c>
      <c r="Z2076" s="74">
        <f>Devis[[#This Row],[Poste 5]]*Devis[[#This Row],[Prix de Revient]]</f>
        <v>0</v>
      </c>
      <c r="AA2076" s="74">
        <f>Devis[[#This Row],[Prix de Revient]]*Devis[[#This Row],[Poste 6]]</f>
        <v>0</v>
      </c>
      <c r="AB2076" s="74">
        <f>Devis[[#This Row],[Quantité Totale]]*Devis[[#This Row],[Prix de Revient]]</f>
        <v>0</v>
      </c>
    </row>
    <row r="2077" spans="1:28" ht="14.25" outlineLevel="1" x14ac:dyDescent="0.2">
      <c r="A2077" s="75" t="s">
        <v>1647</v>
      </c>
      <c r="B2077" s="76" t="s">
        <v>1840</v>
      </c>
      <c r="C2077" s="76" t="s">
        <v>1840</v>
      </c>
      <c r="D2077" s="81" t="str">
        <f t="shared" si="36"/>
        <v>Inox Serti ItalienManchon réduit MFManchon réduit MF</v>
      </c>
      <c r="E2077" s="76" t="s">
        <v>5346</v>
      </c>
      <c r="F2077" s="76">
        <v>25</v>
      </c>
      <c r="G2077" s="71" t="s">
        <v>1882</v>
      </c>
      <c r="H2077" s="71" t="s">
        <v>459</v>
      </c>
      <c r="I2077" s="71">
        <v>191088076</v>
      </c>
      <c r="J2077" s="70">
        <f>IFERROR(VLOOKUP(Devis[[#This Row],[Ref Air Flux]],#REF!,3,FALSE),0)</f>
        <v>0</v>
      </c>
      <c r="K2077" s="68"/>
      <c r="L2077" s="68"/>
      <c r="M2077" s="68"/>
      <c r="N2077" s="68"/>
      <c r="O2077" s="68"/>
      <c r="P2077" s="68"/>
      <c r="Q2077" s="68">
        <f>SUM(Devis[[#This Row],[Poste 1]:[Poste 6]])</f>
        <v>0</v>
      </c>
      <c r="R2077" s="71">
        <v>4</v>
      </c>
      <c r="S2077" s="68">
        <f>_xlfn.CEILING.MATH(Devis[[#This Row],[Quantité Totale]],Devis[[#This Row],[Conditionnement]])</f>
        <v>0</v>
      </c>
      <c r="T2077" s="72"/>
      <c r="U2077" s="73"/>
      <c r="V2077" s="74">
        <f>Devis[[#This Row],[Prix de Revient]]*Devis[[#This Row],[Poste 1]]</f>
        <v>0</v>
      </c>
      <c r="W2077" s="74">
        <f>Devis[[#This Row],[Prix de Revient]]*Devis[[#This Row],[Poste 2]]</f>
        <v>0</v>
      </c>
      <c r="X2077" s="74">
        <f>Devis[[#This Row],[Prix de Revient]]*Devis[[#This Row],[Poste 3]]</f>
        <v>0</v>
      </c>
      <c r="Y2077" s="74">
        <f>Devis[[#This Row],[Poste 4]]*Devis[[#This Row],[Prix de Revient]]</f>
        <v>0</v>
      </c>
      <c r="Z2077" s="74">
        <f>Devis[[#This Row],[Poste 5]]*Devis[[#This Row],[Prix de Revient]]</f>
        <v>0</v>
      </c>
      <c r="AA2077" s="74">
        <f>Devis[[#This Row],[Prix de Revient]]*Devis[[#This Row],[Poste 6]]</f>
        <v>0</v>
      </c>
      <c r="AB2077" s="74">
        <f>Devis[[#This Row],[Quantité Totale]]*Devis[[#This Row],[Prix de Revient]]</f>
        <v>0</v>
      </c>
    </row>
    <row r="2078" spans="1:28" ht="14.25" outlineLevel="1" x14ac:dyDescent="0.2">
      <c r="A2078" s="75" t="s">
        <v>1647</v>
      </c>
      <c r="B2078" s="76" t="s">
        <v>1840</v>
      </c>
      <c r="C2078" s="76" t="s">
        <v>1840</v>
      </c>
      <c r="D2078" s="81" t="str">
        <f t="shared" si="36"/>
        <v>Inox Serti ItalienManchon réduit MFManchon réduit MF</v>
      </c>
      <c r="E2078" s="76" t="s">
        <v>5347</v>
      </c>
      <c r="F2078" s="76">
        <v>26</v>
      </c>
      <c r="G2078" s="71" t="s">
        <v>1883</v>
      </c>
      <c r="H2078" s="71" t="s">
        <v>459</v>
      </c>
      <c r="I2078" s="71">
        <v>191108054</v>
      </c>
      <c r="J2078" s="70">
        <f>IFERROR(VLOOKUP(Devis[[#This Row],[Ref Air Flux]],#REF!,3,FALSE),0)</f>
        <v>0</v>
      </c>
      <c r="K2078" s="68"/>
      <c r="L2078" s="68"/>
      <c r="M2078" s="68"/>
      <c r="N2078" s="68"/>
      <c r="O2078" s="68"/>
      <c r="P2078" s="68"/>
      <c r="Q2078" s="68">
        <f>SUM(Devis[[#This Row],[Poste 1]:[Poste 6]])</f>
        <v>0</v>
      </c>
      <c r="R2078" s="71">
        <v>2</v>
      </c>
      <c r="S2078" s="68">
        <f>_xlfn.CEILING.MATH(Devis[[#This Row],[Quantité Totale]],Devis[[#This Row],[Conditionnement]])</f>
        <v>0</v>
      </c>
      <c r="T2078" s="72"/>
      <c r="U2078" s="73"/>
      <c r="V2078" s="74">
        <f>Devis[[#This Row],[Prix de Revient]]*Devis[[#This Row],[Poste 1]]</f>
        <v>0</v>
      </c>
      <c r="W2078" s="74">
        <f>Devis[[#This Row],[Prix de Revient]]*Devis[[#This Row],[Poste 2]]</f>
        <v>0</v>
      </c>
      <c r="X2078" s="74">
        <f>Devis[[#This Row],[Prix de Revient]]*Devis[[#This Row],[Poste 3]]</f>
        <v>0</v>
      </c>
      <c r="Y2078" s="74">
        <f>Devis[[#This Row],[Poste 4]]*Devis[[#This Row],[Prix de Revient]]</f>
        <v>0</v>
      </c>
      <c r="Z2078" s="74">
        <f>Devis[[#This Row],[Poste 5]]*Devis[[#This Row],[Prix de Revient]]</f>
        <v>0</v>
      </c>
      <c r="AA2078" s="74">
        <f>Devis[[#This Row],[Prix de Revient]]*Devis[[#This Row],[Poste 6]]</f>
        <v>0</v>
      </c>
      <c r="AB2078" s="74">
        <f>Devis[[#This Row],[Quantité Totale]]*Devis[[#This Row],[Prix de Revient]]</f>
        <v>0</v>
      </c>
    </row>
    <row r="2079" spans="1:28" ht="14.25" outlineLevel="1" x14ac:dyDescent="0.2">
      <c r="A2079" s="75" t="s">
        <v>1647</v>
      </c>
      <c r="B2079" s="76" t="s">
        <v>1840</v>
      </c>
      <c r="C2079" s="76" t="s">
        <v>1840</v>
      </c>
      <c r="D2079" s="81" t="str">
        <f t="shared" si="36"/>
        <v>Inox Serti ItalienManchon réduit MFManchon réduit MF</v>
      </c>
      <c r="E2079" s="76" t="s">
        <v>5348</v>
      </c>
      <c r="F2079" s="76">
        <v>27</v>
      </c>
      <c r="G2079" s="71" t="s">
        <v>1884</v>
      </c>
      <c r="H2079" s="71" t="s">
        <v>459</v>
      </c>
      <c r="I2079" s="71">
        <v>191108076</v>
      </c>
      <c r="J2079" s="70">
        <f>IFERROR(VLOOKUP(Devis[[#This Row],[Ref Air Flux]],#REF!,3,FALSE),0)</f>
        <v>0</v>
      </c>
      <c r="K2079" s="68"/>
      <c r="L2079" s="68"/>
      <c r="M2079" s="68"/>
      <c r="N2079" s="68"/>
      <c r="O2079" s="68"/>
      <c r="P2079" s="68"/>
      <c r="Q2079" s="68">
        <f>SUM(Devis[[#This Row],[Poste 1]:[Poste 6]])</f>
        <v>0</v>
      </c>
      <c r="R2079" s="71">
        <v>2</v>
      </c>
      <c r="S2079" s="68">
        <f>_xlfn.CEILING.MATH(Devis[[#This Row],[Quantité Totale]],Devis[[#This Row],[Conditionnement]])</f>
        <v>0</v>
      </c>
      <c r="T2079" s="72"/>
      <c r="U2079" s="73"/>
      <c r="V2079" s="74">
        <f>Devis[[#This Row],[Prix de Revient]]*Devis[[#This Row],[Poste 1]]</f>
        <v>0</v>
      </c>
      <c r="W2079" s="74">
        <f>Devis[[#This Row],[Prix de Revient]]*Devis[[#This Row],[Poste 2]]</f>
        <v>0</v>
      </c>
      <c r="X2079" s="74">
        <f>Devis[[#This Row],[Prix de Revient]]*Devis[[#This Row],[Poste 3]]</f>
        <v>0</v>
      </c>
      <c r="Y2079" s="74">
        <f>Devis[[#This Row],[Poste 4]]*Devis[[#This Row],[Prix de Revient]]</f>
        <v>0</v>
      </c>
      <c r="Z2079" s="74">
        <f>Devis[[#This Row],[Poste 5]]*Devis[[#This Row],[Prix de Revient]]</f>
        <v>0</v>
      </c>
      <c r="AA2079" s="74">
        <f>Devis[[#This Row],[Prix de Revient]]*Devis[[#This Row],[Poste 6]]</f>
        <v>0</v>
      </c>
      <c r="AB2079" s="74">
        <f>Devis[[#This Row],[Quantité Totale]]*Devis[[#This Row],[Prix de Revient]]</f>
        <v>0</v>
      </c>
    </row>
    <row r="2080" spans="1:28" ht="14.25" outlineLevel="1" x14ac:dyDescent="0.2">
      <c r="A2080" s="75" t="s">
        <v>1647</v>
      </c>
      <c r="B2080" s="76" t="s">
        <v>1840</v>
      </c>
      <c r="C2080" s="76" t="s">
        <v>1840</v>
      </c>
      <c r="D2080" s="81" t="str">
        <f t="shared" si="36"/>
        <v>Inox Serti ItalienManchon réduit MFManchon réduit MF</v>
      </c>
      <c r="E2080" s="76" t="s">
        <v>5349</v>
      </c>
      <c r="F2080" s="76">
        <v>28</v>
      </c>
      <c r="G2080" s="71" t="s">
        <v>1885</v>
      </c>
      <c r="H2080" s="71" t="s">
        <v>459</v>
      </c>
      <c r="I2080" s="71">
        <v>191108088</v>
      </c>
      <c r="J2080" s="70">
        <f>IFERROR(VLOOKUP(Devis[[#This Row],[Ref Air Flux]],#REF!,3,FALSE),0)</f>
        <v>0</v>
      </c>
      <c r="K2080" s="68"/>
      <c r="L2080" s="68"/>
      <c r="M2080" s="68"/>
      <c r="N2080" s="68"/>
      <c r="O2080" s="68"/>
      <c r="P2080" s="68"/>
      <c r="Q2080" s="68">
        <f>SUM(Devis[[#This Row],[Poste 1]:[Poste 6]])</f>
        <v>0</v>
      </c>
      <c r="R2080" s="71">
        <v>2</v>
      </c>
      <c r="S2080" s="68">
        <f>_xlfn.CEILING.MATH(Devis[[#This Row],[Quantité Totale]],Devis[[#This Row],[Conditionnement]])</f>
        <v>0</v>
      </c>
      <c r="T2080" s="72"/>
      <c r="U2080" s="73"/>
      <c r="V2080" s="74">
        <f>Devis[[#This Row],[Prix de Revient]]*Devis[[#This Row],[Poste 1]]</f>
        <v>0</v>
      </c>
      <c r="W2080" s="74">
        <f>Devis[[#This Row],[Prix de Revient]]*Devis[[#This Row],[Poste 2]]</f>
        <v>0</v>
      </c>
      <c r="X2080" s="74">
        <f>Devis[[#This Row],[Prix de Revient]]*Devis[[#This Row],[Poste 3]]</f>
        <v>0</v>
      </c>
      <c r="Y2080" s="74">
        <f>Devis[[#This Row],[Poste 4]]*Devis[[#This Row],[Prix de Revient]]</f>
        <v>0</v>
      </c>
      <c r="Z2080" s="74">
        <f>Devis[[#This Row],[Poste 5]]*Devis[[#This Row],[Prix de Revient]]</f>
        <v>0</v>
      </c>
      <c r="AA2080" s="74">
        <f>Devis[[#This Row],[Prix de Revient]]*Devis[[#This Row],[Poste 6]]</f>
        <v>0</v>
      </c>
      <c r="AB2080" s="74">
        <f>Devis[[#This Row],[Quantité Totale]]*Devis[[#This Row],[Prix de Revient]]</f>
        <v>0</v>
      </c>
    </row>
    <row r="2081" spans="1:28" ht="14.25" customHeight="1" x14ac:dyDescent="0.25">
      <c r="A2081" s="65" t="s">
        <v>1647</v>
      </c>
      <c r="B2081" s="65" t="s">
        <v>1553</v>
      </c>
      <c r="C2081" s="76" t="s">
        <v>1553</v>
      </c>
      <c r="D2081" s="81" t="str">
        <f t="shared" si="36"/>
        <v xml:space="preserve">Inox Serti ItalienTé Té </v>
      </c>
      <c r="E2081" s="76"/>
      <c r="F2081" s="76">
        <v>0</v>
      </c>
      <c r="G2081" s="71"/>
      <c r="H2081" s="71"/>
      <c r="I2081" s="71"/>
      <c r="J2081" s="70">
        <f>IFERROR(VLOOKUP(Devis[[#This Row],[Ref Air Flux]],#REF!,3,FALSE),0)</f>
        <v>0</v>
      </c>
      <c r="K2081" s="68"/>
      <c r="L2081" s="68"/>
      <c r="M2081" s="68"/>
      <c r="N2081" s="68"/>
      <c r="O2081" s="68"/>
      <c r="P2081" s="68"/>
      <c r="Q2081" s="68">
        <f>SUM(Devis[[#This Row],[Poste 1]:[Poste 6]])</f>
        <v>0</v>
      </c>
      <c r="R2081" s="71"/>
      <c r="S2081" s="68">
        <f>_xlfn.CEILING.MATH(Devis[[#This Row],[Quantité Totale]],Devis[[#This Row],[Conditionnement]])</f>
        <v>0</v>
      </c>
      <c r="T2081" s="72"/>
      <c r="U2081" s="73"/>
      <c r="V2081" s="74">
        <f>Devis[[#This Row],[Prix de Revient]]*Devis[[#This Row],[Poste 1]]</f>
        <v>0</v>
      </c>
      <c r="W2081" s="74">
        <f>Devis[[#This Row],[Prix de Revient]]*Devis[[#This Row],[Poste 2]]</f>
        <v>0</v>
      </c>
      <c r="X2081" s="74">
        <f>Devis[[#This Row],[Prix de Revient]]*Devis[[#This Row],[Poste 3]]</f>
        <v>0</v>
      </c>
      <c r="Y2081" s="74">
        <f>Devis[[#This Row],[Poste 4]]*Devis[[#This Row],[Prix de Revient]]</f>
        <v>0</v>
      </c>
      <c r="Z2081" s="74">
        <f>Devis[[#This Row],[Poste 5]]*Devis[[#This Row],[Prix de Revient]]</f>
        <v>0</v>
      </c>
      <c r="AA2081" s="74">
        <f>Devis[[#This Row],[Prix de Revient]]*Devis[[#This Row],[Poste 6]]</f>
        <v>0</v>
      </c>
      <c r="AB2081" s="74">
        <f>Devis[[#This Row],[Quantité Totale]]*Devis[[#This Row],[Prix de Revient]]</f>
        <v>0</v>
      </c>
    </row>
    <row r="2082" spans="1:28" ht="14.25" customHeight="1" outlineLevel="1" x14ac:dyDescent="0.2">
      <c r="A2082" s="75" t="s">
        <v>1647</v>
      </c>
      <c r="B2082" s="76" t="s">
        <v>1553</v>
      </c>
      <c r="C2082" s="76" t="s">
        <v>1553</v>
      </c>
      <c r="D2082" s="81" t="str">
        <f t="shared" si="36"/>
        <v xml:space="preserve">Inox Serti ItalienTé Té </v>
      </c>
      <c r="E2082" s="76" t="s">
        <v>1648</v>
      </c>
      <c r="F2082" s="76">
        <v>1</v>
      </c>
      <c r="G2082" s="71" t="s">
        <v>1931</v>
      </c>
      <c r="H2082" s="71" t="s">
        <v>459</v>
      </c>
      <c r="I2082" s="71">
        <v>182015000</v>
      </c>
      <c r="J2082" s="70">
        <f>IFERROR(VLOOKUP(Devis[[#This Row],[Ref Air Flux]],#REF!,3,FALSE),0)</f>
        <v>0</v>
      </c>
      <c r="K2082" s="68"/>
      <c r="L2082" s="68"/>
      <c r="M2082" s="68"/>
      <c r="N2082" s="68"/>
      <c r="O2082" s="68"/>
      <c r="P2082" s="68"/>
      <c r="Q2082" s="68">
        <f>SUM(Devis[[#This Row],[Poste 1]:[Poste 6]])</f>
        <v>0</v>
      </c>
      <c r="R2082" s="71">
        <v>20</v>
      </c>
      <c r="S2082" s="68">
        <f>_xlfn.CEILING.MATH(Devis[[#This Row],[Quantité Totale]],Devis[[#This Row],[Conditionnement]])</f>
        <v>0</v>
      </c>
      <c r="T2082" s="72"/>
      <c r="U2082" s="73"/>
      <c r="V2082" s="74">
        <f>Devis[[#This Row],[Prix de Revient]]*Devis[[#This Row],[Poste 1]]</f>
        <v>0</v>
      </c>
      <c r="W2082" s="74">
        <f>Devis[[#This Row],[Prix de Revient]]*Devis[[#This Row],[Poste 2]]</f>
        <v>0</v>
      </c>
      <c r="X2082" s="74">
        <f>Devis[[#This Row],[Prix de Revient]]*Devis[[#This Row],[Poste 3]]</f>
        <v>0</v>
      </c>
      <c r="Y2082" s="74">
        <f>Devis[[#This Row],[Poste 4]]*Devis[[#This Row],[Prix de Revient]]</f>
        <v>0</v>
      </c>
      <c r="Z2082" s="74">
        <f>Devis[[#This Row],[Poste 5]]*Devis[[#This Row],[Prix de Revient]]</f>
        <v>0</v>
      </c>
      <c r="AA2082" s="74">
        <f>Devis[[#This Row],[Prix de Revient]]*Devis[[#This Row],[Poste 6]]</f>
        <v>0</v>
      </c>
      <c r="AB2082" s="74">
        <f>Devis[[#This Row],[Quantité Totale]]*Devis[[#This Row],[Prix de Revient]]</f>
        <v>0</v>
      </c>
    </row>
    <row r="2083" spans="1:28" ht="14.25" customHeight="1" outlineLevel="1" x14ac:dyDescent="0.2">
      <c r="A2083" s="75" t="s">
        <v>1647</v>
      </c>
      <c r="B2083" s="76" t="s">
        <v>1553</v>
      </c>
      <c r="C2083" s="76" t="s">
        <v>1553</v>
      </c>
      <c r="D2083" s="81" t="str">
        <f t="shared" si="36"/>
        <v xml:space="preserve">Inox Serti ItalienTé Té </v>
      </c>
      <c r="E2083" s="76" t="s">
        <v>1650</v>
      </c>
      <c r="F2083" s="76">
        <v>2</v>
      </c>
      <c r="G2083" s="71" t="s">
        <v>1933</v>
      </c>
      <c r="H2083" s="71" t="s">
        <v>459</v>
      </c>
      <c r="I2083" s="71">
        <v>182018000</v>
      </c>
      <c r="J2083" s="70">
        <f>IFERROR(VLOOKUP(Devis[[#This Row],[Ref Air Flux]],#REF!,3,FALSE),0)</f>
        <v>0</v>
      </c>
      <c r="K2083" s="68"/>
      <c r="L2083" s="68"/>
      <c r="M2083" s="68"/>
      <c r="N2083" s="68"/>
      <c r="O2083" s="68"/>
      <c r="P2083" s="68"/>
      <c r="Q2083" s="68">
        <f>SUM(Devis[[#This Row],[Poste 1]:[Poste 6]])</f>
        <v>0</v>
      </c>
      <c r="R2083" s="71">
        <v>20</v>
      </c>
      <c r="S2083" s="68">
        <f>_xlfn.CEILING.MATH(Devis[[#This Row],[Quantité Totale]],Devis[[#This Row],[Conditionnement]])</f>
        <v>0</v>
      </c>
      <c r="T2083" s="72"/>
      <c r="U2083" s="73"/>
      <c r="V2083" s="74">
        <f>Devis[[#This Row],[Prix de Revient]]*Devis[[#This Row],[Poste 1]]</f>
        <v>0</v>
      </c>
      <c r="W2083" s="74">
        <f>Devis[[#This Row],[Prix de Revient]]*Devis[[#This Row],[Poste 2]]</f>
        <v>0</v>
      </c>
      <c r="X2083" s="74">
        <f>Devis[[#This Row],[Prix de Revient]]*Devis[[#This Row],[Poste 3]]</f>
        <v>0</v>
      </c>
      <c r="Y2083" s="74">
        <f>Devis[[#This Row],[Poste 4]]*Devis[[#This Row],[Prix de Revient]]</f>
        <v>0</v>
      </c>
      <c r="Z2083" s="74">
        <f>Devis[[#This Row],[Poste 5]]*Devis[[#This Row],[Prix de Revient]]</f>
        <v>0</v>
      </c>
      <c r="AA2083" s="74">
        <f>Devis[[#This Row],[Prix de Revient]]*Devis[[#This Row],[Poste 6]]</f>
        <v>0</v>
      </c>
      <c r="AB2083" s="74">
        <f>Devis[[#This Row],[Quantité Totale]]*Devis[[#This Row],[Prix de Revient]]</f>
        <v>0</v>
      </c>
    </row>
    <row r="2084" spans="1:28" ht="14.25" outlineLevel="1" x14ac:dyDescent="0.2">
      <c r="A2084" s="75" t="s">
        <v>1647</v>
      </c>
      <c r="B2084" s="76" t="s">
        <v>1553</v>
      </c>
      <c r="C2084" s="76" t="s">
        <v>1553</v>
      </c>
      <c r="D2084" s="81" t="str">
        <f t="shared" si="36"/>
        <v xml:space="preserve">Inox Serti ItalienTé Té </v>
      </c>
      <c r="E2084" s="76" t="s">
        <v>1652</v>
      </c>
      <c r="F2084" s="76">
        <v>3</v>
      </c>
      <c r="G2084" s="71" t="s">
        <v>1934</v>
      </c>
      <c r="H2084" s="71" t="s">
        <v>459</v>
      </c>
      <c r="I2084" s="71">
        <v>182022000</v>
      </c>
      <c r="J2084" s="70">
        <f>IFERROR(VLOOKUP(Devis[[#This Row],[Ref Air Flux]],#REF!,3,FALSE),0)</f>
        <v>0</v>
      </c>
      <c r="K2084" s="68"/>
      <c r="L2084" s="68"/>
      <c r="M2084" s="68"/>
      <c r="N2084" s="68"/>
      <c r="O2084" s="68"/>
      <c r="P2084" s="68"/>
      <c r="Q2084" s="68">
        <f>SUM(Devis[[#This Row],[Poste 1]:[Poste 6]])</f>
        <v>0</v>
      </c>
      <c r="R2084" s="71">
        <v>10</v>
      </c>
      <c r="S2084" s="68">
        <f>_xlfn.CEILING.MATH(Devis[[#This Row],[Quantité Totale]],Devis[[#This Row],[Conditionnement]])</f>
        <v>0</v>
      </c>
      <c r="T2084" s="72"/>
      <c r="U2084" s="73"/>
      <c r="V2084" s="74">
        <f>Devis[[#This Row],[Prix de Revient]]*Devis[[#This Row],[Poste 1]]</f>
        <v>0</v>
      </c>
      <c r="W2084" s="74">
        <f>Devis[[#This Row],[Prix de Revient]]*Devis[[#This Row],[Poste 2]]</f>
        <v>0</v>
      </c>
      <c r="X2084" s="74">
        <f>Devis[[#This Row],[Prix de Revient]]*Devis[[#This Row],[Poste 3]]</f>
        <v>0</v>
      </c>
      <c r="Y2084" s="74">
        <f>Devis[[#This Row],[Poste 4]]*Devis[[#This Row],[Prix de Revient]]</f>
        <v>0</v>
      </c>
      <c r="Z2084" s="74">
        <f>Devis[[#This Row],[Poste 5]]*Devis[[#This Row],[Prix de Revient]]</f>
        <v>0</v>
      </c>
      <c r="AA2084" s="74">
        <f>Devis[[#This Row],[Prix de Revient]]*Devis[[#This Row],[Poste 6]]</f>
        <v>0</v>
      </c>
      <c r="AB2084" s="74">
        <f>Devis[[#This Row],[Quantité Totale]]*Devis[[#This Row],[Prix de Revient]]</f>
        <v>0</v>
      </c>
    </row>
    <row r="2085" spans="1:28" ht="14.25" outlineLevel="1" x14ac:dyDescent="0.2">
      <c r="A2085" s="75" t="s">
        <v>1647</v>
      </c>
      <c r="B2085" s="76" t="s">
        <v>1553</v>
      </c>
      <c r="C2085" s="76" t="s">
        <v>1553</v>
      </c>
      <c r="D2085" s="81" t="str">
        <f t="shared" si="36"/>
        <v xml:space="preserve">Inox Serti ItalienTé Té </v>
      </c>
      <c r="E2085" s="76" t="s">
        <v>1704</v>
      </c>
      <c r="F2085" s="76">
        <v>4</v>
      </c>
      <c r="G2085" s="71" t="s">
        <v>1935</v>
      </c>
      <c r="H2085" s="71" t="s">
        <v>459</v>
      </c>
      <c r="I2085" s="71">
        <v>182028000</v>
      </c>
      <c r="J2085" s="70">
        <f>IFERROR(VLOOKUP(Devis[[#This Row],[Ref Air Flux]],#REF!,3,FALSE),0)</f>
        <v>0</v>
      </c>
      <c r="K2085" s="68"/>
      <c r="L2085" s="68"/>
      <c r="M2085" s="68"/>
      <c r="N2085" s="68"/>
      <c r="O2085" s="68"/>
      <c r="P2085" s="68"/>
      <c r="Q2085" s="68">
        <f>SUM(Devis[[#This Row],[Poste 1]:[Poste 6]])</f>
        <v>0</v>
      </c>
      <c r="R2085" s="71">
        <v>10</v>
      </c>
      <c r="S2085" s="68">
        <f>_xlfn.CEILING.MATH(Devis[[#This Row],[Quantité Totale]],Devis[[#This Row],[Conditionnement]])</f>
        <v>0</v>
      </c>
      <c r="T2085" s="72"/>
      <c r="U2085" s="73"/>
      <c r="V2085" s="74">
        <f>Devis[[#This Row],[Prix de Revient]]*Devis[[#This Row],[Poste 1]]</f>
        <v>0</v>
      </c>
      <c r="W2085" s="74">
        <f>Devis[[#This Row],[Prix de Revient]]*Devis[[#This Row],[Poste 2]]</f>
        <v>0</v>
      </c>
      <c r="X2085" s="74">
        <f>Devis[[#This Row],[Prix de Revient]]*Devis[[#This Row],[Poste 3]]</f>
        <v>0</v>
      </c>
      <c r="Y2085" s="74">
        <f>Devis[[#This Row],[Poste 4]]*Devis[[#This Row],[Prix de Revient]]</f>
        <v>0</v>
      </c>
      <c r="Z2085" s="74">
        <f>Devis[[#This Row],[Poste 5]]*Devis[[#This Row],[Prix de Revient]]</f>
        <v>0</v>
      </c>
      <c r="AA2085" s="74">
        <f>Devis[[#This Row],[Prix de Revient]]*Devis[[#This Row],[Poste 6]]</f>
        <v>0</v>
      </c>
      <c r="AB2085" s="74">
        <f>Devis[[#This Row],[Quantité Totale]]*Devis[[#This Row],[Prix de Revient]]</f>
        <v>0</v>
      </c>
    </row>
    <row r="2086" spans="1:28" ht="14.25" outlineLevel="1" x14ac:dyDescent="0.2">
      <c r="A2086" s="75" t="s">
        <v>1647</v>
      </c>
      <c r="B2086" s="76" t="s">
        <v>1553</v>
      </c>
      <c r="C2086" s="76" t="s">
        <v>1553</v>
      </c>
      <c r="D2086" s="81" t="str">
        <f t="shared" si="36"/>
        <v xml:space="preserve">Inox Serti ItalienTé Té </v>
      </c>
      <c r="E2086" s="76" t="s">
        <v>1655</v>
      </c>
      <c r="F2086" s="76">
        <v>5</v>
      </c>
      <c r="G2086" s="71" t="s">
        <v>1936</v>
      </c>
      <c r="H2086" s="71" t="s">
        <v>459</v>
      </c>
      <c r="I2086" s="71">
        <v>182035000</v>
      </c>
      <c r="J2086" s="70">
        <f>IFERROR(VLOOKUP(Devis[[#This Row],[Ref Air Flux]],#REF!,3,FALSE),0)</f>
        <v>0</v>
      </c>
      <c r="K2086" s="68"/>
      <c r="L2086" s="68"/>
      <c r="M2086" s="68"/>
      <c r="N2086" s="68"/>
      <c r="O2086" s="68"/>
      <c r="P2086" s="68"/>
      <c r="Q2086" s="68">
        <f>SUM(Devis[[#This Row],[Poste 1]:[Poste 6]])</f>
        <v>0</v>
      </c>
      <c r="R2086" s="71">
        <v>4</v>
      </c>
      <c r="S2086" s="68">
        <f>_xlfn.CEILING.MATH(Devis[[#This Row],[Quantité Totale]],Devis[[#This Row],[Conditionnement]])</f>
        <v>0</v>
      </c>
      <c r="T2086" s="72"/>
      <c r="U2086" s="73"/>
      <c r="V2086" s="74">
        <f>Devis[[#This Row],[Prix de Revient]]*Devis[[#This Row],[Poste 1]]</f>
        <v>0</v>
      </c>
      <c r="W2086" s="74">
        <f>Devis[[#This Row],[Prix de Revient]]*Devis[[#This Row],[Poste 2]]</f>
        <v>0</v>
      </c>
      <c r="X2086" s="74">
        <f>Devis[[#This Row],[Prix de Revient]]*Devis[[#This Row],[Poste 3]]</f>
        <v>0</v>
      </c>
      <c r="Y2086" s="74">
        <f>Devis[[#This Row],[Poste 4]]*Devis[[#This Row],[Prix de Revient]]</f>
        <v>0</v>
      </c>
      <c r="Z2086" s="74">
        <f>Devis[[#This Row],[Poste 5]]*Devis[[#This Row],[Prix de Revient]]</f>
        <v>0</v>
      </c>
      <c r="AA2086" s="74">
        <f>Devis[[#This Row],[Prix de Revient]]*Devis[[#This Row],[Poste 6]]</f>
        <v>0</v>
      </c>
      <c r="AB2086" s="74">
        <f>Devis[[#This Row],[Quantité Totale]]*Devis[[#This Row],[Prix de Revient]]</f>
        <v>0</v>
      </c>
    </row>
    <row r="2087" spans="1:28" ht="14.25" outlineLevel="1" x14ac:dyDescent="0.2">
      <c r="A2087" s="75" t="s">
        <v>1647</v>
      </c>
      <c r="B2087" s="76" t="s">
        <v>1553</v>
      </c>
      <c r="C2087" s="76" t="s">
        <v>1553</v>
      </c>
      <c r="D2087" s="81" t="str">
        <f t="shared" si="36"/>
        <v xml:space="preserve">Inox Serti ItalienTé Té </v>
      </c>
      <c r="E2087" s="76" t="s">
        <v>1657</v>
      </c>
      <c r="F2087" s="76">
        <v>6</v>
      </c>
      <c r="G2087" s="71" t="s">
        <v>1937</v>
      </c>
      <c r="H2087" s="71" t="s">
        <v>459</v>
      </c>
      <c r="I2087" s="71">
        <v>182042000</v>
      </c>
      <c r="J2087" s="70">
        <f>IFERROR(VLOOKUP(Devis[[#This Row],[Ref Air Flux]],#REF!,3,FALSE),0)</f>
        <v>0</v>
      </c>
      <c r="K2087" s="68"/>
      <c r="L2087" s="68"/>
      <c r="M2087" s="68"/>
      <c r="N2087" s="68"/>
      <c r="O2087" s="68"/>
      <c r="P2087" s="68"/>
      <c r="Q2087" s="68">
        <f>SUM(Devis[[#This Row],[Poste 1]:[Poste 6]])</f>
        <v>0</v>
      </c>
      <c r="R2087" s="71">
        <v>4</v>
      </c>
      <c r="S2087" s="68">
        <f>_xlfn.CEILING.MATH(Devis[[#This Row],[Quantité Totale]],Devis[[#This Row],[Conditionnement]])</f>
        <v>0</v>
      </c>
      <c r="T2087" s="72"/>
      <c r="U2087" s="73"/>
      <c r="V2087" s="74">
        <f>Devis[[#This Row],[Prix de Revient]]*Devis[[#This Row],[Poste 1]]</f>
        <v>0</v>
      </c>
      <c r="W2087" s="74">
        <f>Devis[[#This Row],[Prix de Revient]]*Devis[[#This Row],[Poste 2]]</f>
        <v>0</v>
      </c>
      <c r="X2087" s="74">
        <f>Devis[[#This Row],[Prix de Revient]]*Devis[[#This Row],[Poste 3]]</f>
        <v>0</v>
      </c>
      <c r="Y2087" s="74">
        <f>Devis[[#This Row],[Poste 4]]*Devis[[#This Row],[Prix de Revient]]</f>
        <v>0</v>
      </c>
      <c r="Z2087" s="74">
        <f>Devis[[#This Row],[Poste 5]]*Devis[[#This Row],[Prix de Revient]]</f>
        <v>0</v>
      </c>
      <c r="AA2087" s="74">
        <f>Devis[[#This Row],[Prix de Revient]]*Devis[[#This Row],[Poste 6]]</f>
        <v>0</v>
      </c>
      <c r="AB2087" s="74">
        <f>Devis[[#This Row],[Quantité Totale]]*Devis[[#This Row],[Prix de Revient]]</f>
        <v>0</v>
      </c>
    </row>
    <row r="2088" spans="1:28" ht="14.25" outlineLevel="1" x14ac:dyDescent="0.2">
      <c r="A2088" s="75" t="s">
        <v>1647</v>
      </c>
      <c r="B2088" s="76" t="s">
        <v>1553</v>
      </c>
      <c r="C2088" s="76" t="s">
        <v>1553</v>
      </c>
      <c r="D2088" s="81" t="str">
        <f t="shared" si="36"/>
        <v xml:space="preserve">Inox Serti ItalienTé Té </v>
      </c>
      <c r="E2088" s="76" t="s">
        <v>1708</v>
      </c>
      <c r="F2088" s="76">
        <v>7</v>
      </c>
      <c r="G2088" s="71" t="s">
        <v>1938</v>
      </c>
      <c r="H2088" s="71" t="s">
        <v>459</v>
      </c>
      <c r="I2088" s="71">
        <v>182054000</v>
      </c>
      <c r="J2088" s="70">
        <f>IFERROR(VLOOKUP(Devis[[#This Row],[Ref Air Flux]],#REF!,3,FALSE),0)</f>
        <v>0</v>
      </c>
      <c r="K2088" s="68"/>
      <c r="L2088" s="68"/>
      <c r="M2088" s="68"/>
      <c r="N2088" s="68"/>
      <c r="O2088" s="68"/>
      <c r="P2088" s="68"/>
      <c r="Q2088" s="68">
        <f>SUM(Devis[[#This Row],[Poste 1]:[Poste 6]])</f>
        <v>0</v>
      </c>
      <c r="R2088" s="71">
        <v>2</v>
      </c>
      <c r="S2088" s="68">
        <f>_xlfn.CEILING.MATH(Devis[[#This Row],[Quantité Totale]],Devis[[#This Row],[Conditionnement]])</f>
        <v>0</v>
      </c>
      <c r="T2088" s="72"/>
      <c r="U2088" s="73"/>
      <c r="V2088" s="74">
        <f>Devis[[#This Row],[Prix de Revient]]*Devis[[#This Row],[Poste 1]]</f>
        <v>0</v>
      </c>
      <c r="W2088" s="74">
        <f>Devis[[#This Row],[Prix de Revient]]*Devis[[#This Row],[Poste 2]]</f>
        <v>0</v>
      </c>
      <c r="X2088" s="74">
        <f>Devis[[#This Row],[Prix de Revient]]*Devis[[#This Row],[Poste 3]]</f>
        <v>0</v>
      </c>
      <c r="Y2088" s="74">
        <f>Devis[[#This Row],[Poste 4]]*Devis[[#This Row],[Prix de Revient]]</f>
        <v>0</v>
      </c>
      <c r="Z2088" s="74">
        <f>Devis[[#This Row],[Poste 5]]*Devis[[#This Row],[Prix de Revient]]</f>
        <v>0</v>
      </c>
      <c r="AA2088" s="74">
        <f>Devis[[#This Row],[Prix de Revient]]*Devis[[#This Row],[Poste 6]]</f>
        <v>0</v>
      </c>
      <c r="AB2088" s="74">
        <f>Devis[[#This Row],[Quantité Totale]]*Devis[[#This Row],[Prix de Revient]]</f>
        <v>0</v>
      </c>
    </row>
    <row r="2089" spans="1:28" ht="14.25" outlineLevel="1" x14ac:dyDescent="0.2">
      <c r="A2089" s="75" t="s">
        <v>1647</v>
      </c>
      <c r="B2089" s="76" t="s">
        <v>1553</v>
      </c>
      <c r="C2089" s="76" t="s">
        <v>1553</v>
      </c>
      <c r="D2089" s="81" t="str">
        <f t="shared" si="36"/>
        <v xml:space="preserve">Inox Serti ItalienTé Té </v>
      </c>
      <c r="E2089" s="76" t="s">
        <v>1710</v>
      </c>
      <c r="F2089" s="76">
        <v>8</v>
      </c>
      <c r="G2089" s="71" t="s">
        <v>1939</v>
      </c>
      <c r="H2089" s="71" t="s">
        <v>459</v>
      </c>
      <c r="I2089" s="71">
        <v>182076000</v>
      </c>
      <c r="J2089" s="70">
        <f>IFERROR(VLOOKUP(Devis[[#This Row],[Ref Air Flux]],#REF!,3,FALSE),0)</f>
        <v>0</v>
      </c>
      <c r="K2089" s="68"/>
      <c r="L2089" s="68"/>
      <c r="M2089" s="68"/>
      <c r="N2089" s="68"/>
      <c r="O2089" s="68"/>
      <c r="P2089" s="68"/>
      <c r="Q2089" s="68">
        <f>SUM(Devis[[#This Row],[Poste 1]:[Poste 6]])</f>
        <v>0</v>
      </c>
      <c r="R2089" s="71">
        <v>2</v>
      </c>
      <c r="S2089" s="68">
        <f>_xlfn.CEILING.MATH(Devis[[#This Row],[Quantité Totale]],Devis[[#This Row],[Conditionnement]])</f>
        <v>0</v>
      </c>
      <c r="T2089" s="72"/>
      <c r="U2089" s="73"/>
      <c r="V2089" s="74">
        <f>Devis[[#This Row],[Prix de Revient]]*Devis[[#This Row],[Poste 1]]</f>
        <v>0</v>
      </c>
      <c r="W2089" s="74">
        <f>Devis[[#This Row],[Prix de Revient]]*Devis[[#This Row],[Poste 2]]</f>
        <v>0</v>
      </c>
      <c r="X2089" s="74">
        <f>Devis[[#This Row],[Prix de Revient]]*Devis[[#This Row],[Poste 3]]</f>
        <v>0</v>
      </c>
      <c r="Y2089" s="74">
        <f>Devis[[#This Row],[Poste 4]]*Devis[[#This Row],[Prix de Revient]]</f>
        <v>0</v>
      </c>
      <c r="Z2089" s="74">
        <f>Devis[[#This Row],[Poste 5]]*Devis[[#This Row],[Prix de Revient]]</f>
        <v>0</v>
      </c>
      <c r="AA2089" s="74">
        <f>Devis[[#This Row],[Prix de Revient]]*Devis[[#This Row],[Poste 6]]</f>
        <v>0</v>
      </c>
      <c r="AB2089" s="74">
        <f>Devis[[#This Row],[Quantité Totale]]*Devis[[#This Row],[Prix de Revient]]</f>
        <v>0</v>
      </c>
    </row>
    <row r="2090" spans="1:28" ht="14.25" outlineLevel="1" x14ac:dyDescent="0.2">
      <c r="A2090" s="75" t="s">
        <v>1647</v>
      </c>
      <c r="B2090" s="76" t="s">
        <v>1553</v>
      </c>
      <c r="C2090" s="76" t="s">
        <v>1553</v>
      </c>
      <c r="D2090" s="81" t="str">
        <f t="shared" si="36"/>
        <v xml:space="preserve">Inox Serti ItalienTé Té </v>
      </c>
      <c r="E2090" s="76" t="s">
        <v>1712</v>
      </c>
      <c r="F2090" s="76">
        <v>9</v>
      </c>
      <c r="G2090" s="71" t="s">
        <v>1940</v>
      </c>
      <c r="H2090" s="71" t="s">
        <v>459</v>
      </c>
      <c r="I2090" s="71">
        <v>182088000</v>
      </c>
      <c r="J2090" s="70">
        <f>IFERROR(VLOOKUP(Devis[[#This Row],[Ref Air Flux]],#REF!,3,FALSE),0)</f>
        <v>0</v>
      </c>
      <c r="K2090" s="68"/>
      <c r="L2090" s="68"/>
      <c r="M2090" s="68"/>
      <c r="N2090" s="68"/>
      <c r="O2090" s="68"/>
      <c r="P2090" s="68"/>
      <c r="Q2090" s="68">
        <f>SUM(Devis[[#This Row],[Poste 1]:[Poste 6]])</f>
        <v>0</v>
      </c>
      <c r="R2090" s="71">
        <v>2</v>
      </c>
      <c r="S2090" s="68">
        <f>_xlfn.CEILING.MATH(Devis[[#This Row],[Quantité Totale]],Devis[[#This Row],[Conditionnement]])</f>
        <v>0</v>
      </c>
      <c r="T2090" s="72"/>
      <c r="U2090" s="73"/>
      <c r="V2090" s="74">
        <f>Devis[[#This Row],[Prix de Revient]]*Devis[[#This Row],[Poste 1]]</f>
        <v>0</v>
      </c>
      <c r="W2090" s="74">
        <f>Devis[[#This Row],[Prix de Revient]]*Devis[[#This Row],[Poste 2]]</f>
        <v>0</v>
      </c>
      <c r="X2090" s="74">
        <f>Devis[[#This Row],[Prix de Revient]]*Devis[[#This Row],[Poste 3]]</f>
        <v>0</v>
      </c>
      <c r="Y2090" s="74">
        <f>Devis[[#This Row],[Poste 4]]*Devis[[#This Row],[Prix de Revient]]</f>
        <v>0</v>
      </c>
      <c r="Z2090" s="74">
        <f>Devis[[#This Row],[Poste 5]]*Devis[[#This Row],[Prix de Revient]]</f>
        <v>0</v>
      </c>
      <c r="AA2090" s="74">
        <f>Devis[[#This Row],[Prix de Revient]]*Devis[[#This Row],[Poste 6]]</f>
        <v>0</v>
      </c>
      <c r="AB2090" s="74">
        <f>Devis[[#This Row],[Quantité Totale]]*Devis[[#This Row],[Prix de Revient]]</f>
        <v>0</v>
      </c>
    </row>
    <row r="2091" spans="1:28" ht="14.25" outlineLevel="1" x14ac:dyDescent="0.2">
      <c r="A2091" s="75" t="s">
        <v>1647</v>
      </c>
      <c r="B2091" s="76" t="s">
        <v>1553</v>
      </c>
      <c r="C2091" s="76" t="s">
        <v>1553</v>
      </c>
      <c r="D2091" s="81" t="str">
        <f t="shared" si="36"/>
        <v xml:space="preserve">Inox Serti ItalienTé Té </v>
      </c>
      <c r="E2091" s="76" t="s">
        <v>1714</v>
      </c>
      <c r="F2091" s="76">
        <v>10</v>
      </c>
      <c r="G2091" s="71" t="s">
        <v>1941</v>
      </c>
      <c r="H2091" s="71" t="s">
        <v>459</v>
      </c>
      <c r="I2091" s="71">
        <v>182108000</v>
      </c>
      <c r="J2091" s="70">
        <f>IFERROR(VLOOKUP(Devis[[#This Row],[Ref Air Flux]],#REF!,3,FALSE),0)</f>
        <v>0</v>
      </c>
      <c r="K2091" s="68"/>
      <c r="L2091" s="68"/>
      <c r="M2091" s="68"/>
      <c r="N2091" s="68"/>
      <c r="O2091" s="68"/>
      <c r="P2091" s="68"/>
      <c r="Q2091" s="68">
        <f>SUM(Devis[[#This Row],[Poste 1]:[Poste 6]])</f>
        <v>0</v>
      </c>
      <c r="R2091" s="71">
        <v>2</v>
      </c>
      <c r="S2091" s="68">
        <f>_xlfn.CEILING.MATH(Devis[[#This Row],[Quantité Totale]],Devis[[#This Row],[Conditionnement]])</f>
        <v>0</v>
      </c>
      <c r="T2091" s="72"/>
      <c r="U2091" s="73"/>
      <c r="V2091" s="74">
        <f>Devis[[#This Row],[Prix de Revient]]*Devis[[#This Row],[Poste 1]]</f>
        <v>0</v>
      </c>
      <c r="W2091" s="74">
        <f>Devis[[#This Row],[Prix de Revient]]*Devis[[#This Row],[Poste 2]]</f>
        <v>0</v>
      </c>
      <c r="X2091" s="74">
        <f>Devis[[#This Row],[Prix de Revient]]*Devis[[#This Row],[Poste 3]]</f>
        <v>0</v>
      </c>
      <c r="Y2091" s="74">
        <f>Devis[[#This Row],[Poste 4]]*Devis[[#This Row],[Prix de Revient]]</f>
        <v>0</v>
      </c>
      <c r="Z2091" s="74">
        <f>Devis[[#This Row],[Poste 5]]*Devis[[#This Row],[Prix de Revient]]</f>
        <v>0</v>
      </c>
      <c r="AA2091" s="74">
        <f>Devis[[#This Row],[Prix de Revient]]*Devis[[#This Row],[Poste 6]]</f>
        <v>0</v>
      </c>
      <c r="AB2091" s="74">
        <f>Devis[[#This Row],[Quantité Totale]]*Devis[[#This Row],[Prix de Revient]]</f>
        <v>0</v>
      </c>
    </row>
    <row r="2092" spans="1:28" ht="14.25" customHeight="1" x14ac:dyDescent="0.25">
      <c r="A2092" s="65" t="s">
        <v>1647</v>
      </c>
      <c r="B2092" s="65" t="s">
        <v>1562</v>
      </c>
      <c r="C2092" s="76" t="s">
        <v>1562</v>
      </c>
      <c r="D2092" s="81" t="str">
        <f t="shared" si="36"/>
        <v>Inox Serti ItalienTé mixte FTé mixte F</v>
      </c>
      <c r="E2092" s="76"/>
      <c r="F2092" s="76">
        <v>0</v>
      </c>
      <c r="G2092" s="71"/>
      <c r="H2092" s="71"/>
      <c r="I2092" s="71"/>
      <c r="J2092" s="70">
        <f>IFERROR(VLOOKUP(Devis[[#This Row],[Ref Air Flux]],#REF!,3,FALSE),0)</f>
        <v>0</v>
      </c>
      <c r="K2092" s="68"/>
      <c r="L2092" s="68"/>
      <c r="M2092" s="68"/>
      <c r="N2092" s="68"/>
      <c r="O2092" s="68"/>
      <c r="P2092" s="68"/>
      <c r="Q2092" s="68">
        <f>SUM(Devis[[#This Row],[Poste 1]:[Poste 6]])</f>
        <v>0</v>
      </c>
      <c r="R2092" s="71"/>
      <c r="S2092" s="68">
        <f>_xlfn.CEILING.MATH(Devis[[#This Row],[Quantité Totale]],Devis[[#This Row],[Conditionnement]])</f>
        <v>0</v>
      </c>
      <c r="T2092" s="72"/>
      <c r="U2092" s="73"/>
      <c r="V2092" s="74">
        <f>Devis[[#This Row],[Prix de Revient]]*Devis[[#This Row],[Poste 1]]</f>
        <v>0</v>
      </c>
      <c r="W2092" s="74">
        <f>Devis[[#This Row],[Prix de Revient]]*Devis[[#This Row],[Poste 2]]</f>
        <v>0</v>
      </c>
      <c r="X2092" s="74">
        <f>Devis[[#This Row],[Prix de Revient]]*Devis[[#This Row],[Poste 3]]</f>
        <v>0</v>
      </c>
      <c r="Y2092" s="74">
        <f>Devis[[#This Row],[Poste 4]]*Devis[[#This Row],[Prix de Revient]]</f>
        <v>0</v>
      </c>
      <c r="Z2092" s="74">
        <f>Devis[[#This Row],[Poste 5]]*Devis[[#This Row],[Prix de Revient]]</f>
        <v>0</v>
      </c>
      <c r="AA2092" s="74">
        <f>Devis[[#This Row],[Prix de Revient]]*Devis[[#This Row],[Poste 6]]</f>
        <v>0</v>
      </c>
      <c r="AB2092" s="74">
        <f>Devis[[#This Row],[Quantité Totale]]*Devis[[#This Row],[Prix de Revient]]</f>
        <v>0</v>
      </c>
    </row>
    <row r="2093" spans="1:28" ht="14.25" customHeight="1" outlineLevel="1" x14ac:dyDescent="0.2">
      <c r="A2093" s="75" t="s">
        <v>1647</v>
      </c>
      <c r="B2093" s="76" t="s">
        <v>1562</v>
      </c>
      <c r="C2093" s="76" t="s">
        <v>1562</v>
      </c>
      <c r="D2093" s="81" t="str">
        <f t="shared" si="36"/>
        <v>Inox Serti ItalienTé mixte FTé mixte F</v>
      </c>
      <c r="E2093" s="76" t="s">
        <v>1778</v>
      </c>
      <c r="F2093" s="76">
        <v>1</v>
      </c>
      <c r="G2093" s="71" t="s">
        <v>1942</v>
      </c>
      <c r="H2093" s="71" t="s">
        <v>459</v>
      </c>
      <c r="I2093" s="71">
        <v>189102015</v>
      </c>
      <c r="J2093" s="70">
        <f>IFERROR(VLOOKUP(Devis[[#This Row],[Ref Air Flux]],#REF!,3,FALSE),0)</f>
        <v>0</v>
      </c>
      <c r="K2093" s="68"/>
      <c r="L2093" s="68"/>
      <c r="M2093" s="68"/>
      <c r="N2093" s="68"/>
      <c r="O2093" s="68"/>
      <c r="P2093" s="68"/>
      <c r="Q2093" s="68">
        <f>SUM(Devis[[#This Row],[Poste 1]:[Poste 6]])</f>
        <v>0</v>
      </c>
      <c r="R2093" s="71">
        <v>20</v>
      </c>
      <c r="S2093" s="68">
        <f>_xlfn.CEILING.MATH(Devis[[#This Row],[Quantité Totale]],Devis[[#This Row],[Conditionnement]])</f>
        <v>0</v>
      </c>
      <c r="T2093" s="72"/>
      <c r="U2093" s="73"/>
      <c r="V2093" s="74">
        <f>Devis[[#This Row],[Prix de Revient]]*Devis[[#This Row],[Poste 1]]</f>
        <v>0</v>
      </c>
      <c r="W2093" s="74">
        <f>Devis[[#This Row],[Prix de Revient]]*Devis[[#This Row],[Poste 2]]</f>
        <v>0</v>
      </c>
      <c r="X2093" s="74">
        <f>Devis[[#This Row],[Prix de Revient]]*Devis[[#This Row],[Poste 3]]</f>
        <v>0</v>
      </c>
      <c r="Y2093" s="74">
        <f>Devis[[#This Row],[Poste 4]]*Devis[[#This Row],[Prix de Revient]]</f>
        <v>0</v>
      </c>
      <c r="Z2093" s="74">
        <f>Devis[[#This Row],[Poste 5]]*Devis[[#This Row],[Prix de Revient]]</f>
        <v>0</v>
      </c>
      <c r="AA2093" s="74">
        <f>Devis[[#This Row],[Prix de Revient]]*Devis[[#This Row],[Poste 6]]</f>
        <v>0</v>
      </c>
      <c r="AB2093" s="74">
        <f>Devis[[#This Row],[Quantité Totale]]*Devis[[#This Row],[Prix de Revient]]</f>
        <v>0</v>
      </c>
    </row>
    <row r="2094" spans="1:28" ht="15" customHeight="1" outlineLevel="1" x14ac:dyDescent="0.2">
      <c r="A2094" s="75" t="s">
        <v>1647</v>
      </c>
      <c r="B2094" s="76" t="s">
        <v>1562</v>
      </c>
      <c r="C2094" s="76" t="s">
        <v>1562</v>
      </c>
      <c r="D2094" s="81" t="str">
        <f t="shared" si="36"/>
        <v>Inox Serti ItalienTé mixte FTé mixte F</v>
      </c>
      <c r="E2094" s="76" t="s">
        <v>1780</v>
      </c>
      <c r="F2094" s="76">
        <v>2</v>
      </c>
      <c r="G2094" s="71" t="s">
        <v>1944</v>
      </c>
      <c r="H2094" s="71" t="s">
        <v>459</v>
      </c>
      <c r="I2094" s="71">
        <v>189102018</v>
      </c>
      <c r="J2094" s="70">
        <f>IFERROR(VLOOKUP(Devis[[#This Row],[Ref Air Flux]],#REF!,3,FALSE),0)</f>
        <v>0</v>
      </c>
      <c r="K2094" s="68"/>
      <c r="L2094" s="68"/>
      <c r="M2094" s="68"/>
      <c r="N2094" s="68"/>
      <c r="O2094" s="68"/>
      <c r="P2094" s="68"/>
      <c r="Q2094" s="68">
        <f>SUM(Devis[[#This Row],[Poste 1]:[Poste 6]])</f>
        <v>0</v>
      </c>
      <c r="R2094" s="71">
        <v>20</v>
      </c>
      <c r="S2094" s="68">
        <f>_xlfn.CEILING.MATH(Devis[[#This Row],[Quantité Totale]],Devis[[#This Row],[Conditionnement]])</f>
        <v>0</v>
      </c>
      <c r="T2094" s="72"/>
      <c r="U2094" s="73"/>
      <c r="V2094" s="74">
        <f>Devis[[#This Row],[Prix de Revient]]*Devis[[#This Row],[Poste 1]]</f>
        <v>0</v>
      </c>
      <c r="W2094" s="74">
        <f>Devis[[#This Row],[Prix de Revient]]*Devis[[#This Row],[Poste 2]]</f>
        <v>0</v>
      </c>
      <c r="X2094" s="74">
        <f>Devis[[#This Row],[Prix de Revient]]*Devis[[#This Row],[Poste 3]]</f>
        <v>0</v>
      </c>
      <c r="Y2094" s="74">
        <f>Devis[[#This Row],[Poste 4]]*Devis[[#This Row],[Prix de Revient]]</f>
        <v>0</v>
      </c>
      <c r="Z2094" s="74">
        <f>Devis[[#This Row],[Poste 5]]*Devis[[#This Row],[Prix de Revient]]</f>
        <v>0</v>
      </c>
      <c r="AA2094" s="74">
        <f>Devis[[#This Row],[Prix de Revient]]*Devis[[#This Row],[Poste 6]]</f>
        <v>0</v>
      </c>
      <c r="AB2094" s="74">
        <f>Devis[[#This Row],[Quantité Totale]]*Devis[[#This Row],[Prix de Revient]]</f>
        <v>0</v>
      </c>
    </row>
    <row r="2095" spans="1:28" ht="14.25" customHeight="1" outlineLevel="1" x14ac:dyDescent="0.2">
      <c r="A2095" s="75" t="s">
        <v>1647</v>
      </c>
      <c r="B2095" s="76" t="s">
        <v>1562</v>
      </c>
      <c r="C2095" s="76" t="s">
        <v>1562</v>
      </c>
      <c r="D2095" s="81" t="str">
        <f t="shared" si="36"/>
        <v>Inox Serti ItalienTé mixte FTé mixte F</v>
      </c>
      <c r="E2095" s="76" t="s">
        <v>1809</v>
      </c>
      <c r="F2095" s="76">
        <v>3</v>
      </c>
      <c r="G2095" s="71" t="s">
        <v>1945</v>
      </c>
      <c r="H2095" s="71" t="s">
        <v>459</v>
      </c>
      <c r="I2095" s="71">
        <v>189304018</v>
      </c>
      <c r="J2095" s="70">
        <f>IFERROR(VLOOKUP(Devis[[#This Row],[Ref Air Flux]],#REF!,3,FALSE),0)</f>
        <v>0</v>
      </c>
      <c r="K2095" s="68"/>
      <c r="L2095" s="68"/>
      <c r="M2095" s="68"/>
      <c r="N2095" s="68"/>
      <c r="O2095" s="68"/>
      <c r="P2095" s="68"/>
      <c r="Q2095" s="68">
        <f>SUM(Devis[[#This Row],[Poste 1]:[Poste 6]])</f>
        <v>0</v>
      </c>
      <c r="R2095" s="71">
        <v>20</v>
      </c>
      <c r="S2095" s="68">
        <f>_xlfn.CEILING.MATH(Devis[[#This Row],[Quantité Totale]],Devis[[#This Row],[Conditionnement]])</f>
        <v>0</v>
      </c>
      <c r="T2095" s="72"/>
      <c r="U2095" s="73"/>
      <c r="V2095" s="74">
        <f>Devis[[#This Row],[Prix de Revient]]*Devis[[#This Row],[Poste 1]]</f>
        <v>0</v>
      </c>
      <c r="W2095" s="74">
        <f>Devis[[#This Row],[Prix de Revient]]*Devis[[#This Row],[Poste 2]]</f>
        <v>0</v>
      </c>
      <c r="X2095" s="74">
        <f>Devis[[#This Row],[Prix de Revient]]*Devis[[#This Row],[Poste 3]]</f>
        <v>0</v>
      </c>
      <c r="Y2095" s="74">
        <f>Devis[[#This Row],[Poste 4]]*Devis[[#This Row],[Prix de Revient]]</f>
        <v>0</v>
      </c>
      <c r="Z2095" s="74">
        <f>Devis[[#This Row],[Poste 5]]*Devis[[#This Row],[Prix de Revient]]</f>
        <v>0</v>
      </c>
      <c r="AA2095" s="74">
        <f>Devis[[#This Row],[Prix de Revient]]*Devis[[#This Row],[Poste 6]]</f>
        <v>0</v>
      </c>
      <c r="AB2095" s="74">
        <f>Devis[[#This Row],[Quantité Totale]]*Devis[[#This Row],[Prix de Revient]]</f>
        <v>0</v>
      </c>
    </row>
    <row r="2096" spans="1:28" ht="14.25" customHeight="1" outlineLevel="1" x14ac:dyDescent="0.2">
      <c r="A2096" s="75" t="s">
        <v>1647</v>
      </c>
      <c r="B2096" s="76" t="s">
        <v>1562</v>
      </c>
      <c r="C2096" s="76" t="s">
        <v>1562</v>
      </c>
      <c r="D2096" s="81" t="str">
        <f t="shared" si="36"/>
        <v>Inox Serti ItalienTé mixte FTé mixte F</v>
      </c>
      <c r="E2096" s="76" t="s">
        <v>1811</v>
      </c>
      <c r="F2096" s="76">
        <v>4</v>
      </c>
      <c r="G2096" s="71" t="s">
        <v>1946</v>
      </c>
      <c r="H2096" s="71" t="s">
        <v>459</v>
      </c>
      <c r="I2096" s="71">
        <v>189102022</v>
      </c>
      <c r="J2096" s="70">
        <f>IFERROR(VLOOKUP(Devis[[#This Row],[Ref Air Flux]],#REF!,3,FALSE),0)</f>
        <v>0</v>
      </c>
      <c r="K2096" s="68"/>
      <c r="L2096" s="68"/>
      <c r="M2096" s="68"/>
      <c r="N2096" s="68"/>
      <c r="O2096" s="68"/>
      <c r="P2096" s="68"/>
      <c r="Q2096" s="68">
        <f>SUM(Devis[[#This Row],[Poste 1]:[Poste 6]])</f>
        <v>0</v>
      </c>
      <c r="R2096" s="71">
        <v>10</v>
      </c>
      <c r="S2096" s="68">
        <f>_xlfn.CEILING.MATH(Devis[[#This Row],[Quantité Totale]],Devis[[#This Row],[Conditionnement]])</f>
        <v>0</v>
      </c>
      <c r="T2096" s="72"/>
      <c r="U2096" s="73"/>
      <c r="V2096" s="74">
        <f>Devis[[#This Row],[Prix de Revient]]*Devis[[#This Row],[Poste 1]]</f>
        <v>0</v>
      </c>
      <c r="W2096" s="74">
        <f>Devis[[#This Row],[Prix de Revient]]*Devis[[#This Row],[Poste 2]]</f>
        <v>0</v>
      </c>
      <c r="X2096" s="74">
        <f>Devis[[#This Row],[Prix de Revient]]*Devis[[#This Row],[Poste 3]]</f>
        <v>0</v>
      </c>
      <c r="Y2096" s="74">
        <f>Devis[[#This Row],[Poste 4]]*Devis[[#This Row],[Prix de Revient]]</f>
        <v>0</v>
      </c>
      <c r="Z2096" s="74">
        <f>Devis[[#This Row],[Poste 5]]*Devis[[#This Row],[Prix de Revient]]</f>
        <v>0</v>
      </c>
      <c r="AA2096" s="74">
        <f>Devis[[#This Row],[Prix de Revient]]*Devis[[#This Row],[Poste 6]]</f>
        <v>0</v>
      </c>
      <c r="AB2096" s="74">
        <f>Devis[[#This Row],[Quantité Totale]]*Devis[[#This Row],[Prix de Revient]]</f>
        <v>0</v>
      </c>
    </row>
    <row r="2097" spans="1:28" ht="14.25" outlineLevel="1" x14ac:dyDescent="0.2">
      <c r="A2097" s="75" t="s">
        <v>1647</v>
      </c>
      <c r="B2097" s="76" t="s">
        <v>1562</v>
      </c>
      <c r="C2097" s="76" t="s">
        <v>1562</v>
      </c>
      <c r="D2097" s="81" t="str">
        <f t="shared" si="36"/>
        <v>Inox Serti ItalienTé mixte FTé mixte F</v>
      </c>
      <c r="E2097" s="76" t="s">
        <v>1782</v>
      </c>
      <c r="F2097" s="76">
        <v>5</v>
      </c>
      <c r="G2097" s="71" t="s">
        <v>1947</v>
      </c>
      <c r="H2097" s="71" t="s">
        <v>459</v>
      </c>
      <c r="I2097" s="71">
        <v>189304022</v>
      </c>
      <c r="J2097" s="70">
        <f>IFERROR(VLOOKUP(Devis[[#This Row],[Ref Air Flux]],#REF!,3,FALSE),0)</f>
        <v>0</v>
      </c>
      <c r="K2097" s="68"/>
      <c r="L2097" s="68"/>
      <c r="M2097" s="68"/>
      <c r="N2097" s="68"/>
      <c r="O2097" s="68"/>
      <c r="P2097" s="68"/>
      <c r="Q2097" s="68">
        <f>SUM(Devis[[#This Row],[Poste 1]:[Poste 6]])</f>
        <v>0</v>
      </c>
      <c r="R2097" s="71">
        <v>10</v>
      </c>
      <c r="S2097" s="68">
        <f>_xlfn.CEILING.MATH(Devis[[#This Row],[Quantité Totale]],Devis[[#This Row],[Conditionnement]])</f>
        <v>0</v>
      </c>
      <c r="T2097" s="72"/>
      <c r="U2097" s="73"/>
      <c r="V2097" s="74">
        <f>Devis[[#This Row],[Prix de Revient]]*Devis[[#This Row],[Poste 1]]</f>
        <v>0</v>
      </c>
      <c r="W2097" s="74">
        <f>Devis[[#This Row],[Prix de Revient]]*Devis[[#This Row],[Poste 2]]</f>
        <v>0</v>
      </c>
      <c r="X2097" s="74">
        <f>Devis[[#This Row],[Prix de Revient]]*Devis[[#This Row],[Poste 3]]</f>
        <v>0</v>
      </c>
      <c r="Y2097" s="74">
        <f>Devis[[#This Row],[Poste 4]]*Devis[[#This Row],[Prix de Revient]]</f>
        <v>0</v>
      </c>
      <c r="Z2097" s="74">
        <f>Devis[[#This Row],[Poste 5]]*Devis[[#This Row],[Prix de Revient]]</f>
        <v>0</v>
      </c>
      <c r="AA2097" s="74">
        <f>Devis[[#This Row],[Prix de Revient]]*Devis[[#This Row],[Poste 6]]</f>
        <v>0</v>
      </c>
      <c r="AB2097" s="74">
        <f>Devis[[#This Row],[Quantité Totale]]*Devis[[#This Row],[Prix de Revient]]</f>
        <v>0</v>
      </c>
    </row>
    <row r="2098" spans="1:28" ht="14.25" outlineLevel="1" x14ac:dyDescent="0.2">
      <c r="A2098" s="75" t="s">
        <v>1647</v>
      </c>
      <c r="B2098" s="76" t="s">
        <v>1562</v>
      </c>
      <c r="C2098" s="76" t="s">
        <v>1562</v>
      </c>
      <c r="D2098" s="81" t="str">
        <f t="shared" si="36"/>
        <v>Inox Serti ItalienTé mixte FTé mixte F</v>
      </c>
      <c r="E2098" s="76" t="s">
        <v>5334</v>
      </c>
      <c r="F2098" s="76">
        <v>6</v>
      </c>
      <c r="G2098" s="71" t="s">
        <v>1948</v>
      </c>
      <c r="H2098" s="71" t="s">
        <v>459</v>
      </c>
      <c r="I2098" s="71">
        <v>189102028</v>
      </c>
      <c r="J2098" s="70">
        <f>IFERROR(VLOOKUP(Devis[[#This Row],[Ref Air Flux]],#REF!,3,FALSE),0)</f>
        <v>0</v>
      </c>
      <c r="K2098" s="68"/>
      <c r="L2098" s="68"/>
      <c r="M2098" s="68"/>
      <c r="N2098" s="68"/>
      <c r="O2098" s="68"/>
      <c r="P2098" s="68"/>
      <c r="Q2098" s="68">
        <f>SUM(Devis[[#This Row],[Poste 1]:[Poste 6]])</f>
        <v>0</v>
      </c>
      <c r="R2098" s="71">
        <v>10</v>
      </c>
      <c r="S2098" s="68">
        <f>_xlfn.CEILING.MATH(Devis[[#This Row],[Quantité Totale]],Devis[[#This Row],[Conditionnement]])</f>
        <v>0</v>
      </c>
      <c r="T2098" s="72"/>
      <c r="U2098" s="73"/>
      <c r="V2098" s="74">
        <f>Devis[[#This Row],[Prix de Revient]]*Devis[[#This Row],[Poste 1]]</f>
        <v>0</v>
      </c>
      <c r="W2098" s="74">
        <f>Devis[[#This Row],[Prix de Revient]]*Devis[[#This Row],[Poste 2]]</f>
        <v>0</v>
      </c>
      <c r="X2098" s="74">
        <f>Devis[[#This Row],[Prix de Revient]]*Devis[[#This Row],[Poste 3]]</f>
        <v>0</v>
      </c>
      <c r="Y2098" s="74">
        <f>Devis[[#This Row],[Poste 4]]*Devis[[#This Row],[Prix de Revient]]</f>
        <v>0</v>
      </c>
      <c r="Z2098" s="74">
        <f>Devis[[#This Row],[Poste 5]]*Devis[[#This Row],[Prix de Revient]]</f>
        <v>0</v>
      </c>
      <c r="AA2098" s="74">
        <f>Devis[[#This Row],[Prix de Revient]]*Devis[[#This Row],[Poste 6]]</f>
        <v>0</v>
      </c>
      <c r="AB2098" s="74">
        <f>Devis[[#This Row],[Quantité Totale]]*Devis[[#This Row],[Prix de Revient]]</f>
        <v>0</v>
      </c>
    </row>
    <row r="2099" spans="1:28" ht="14.25" outlineLevel="1" x14ac:dyDescent="0.2">
      <c r="A2099" s="75" t="s">
        <v>1647</v>
      </c>
      <c r="B2099" s="76" t="s">
        <v>1562</v>
      </c>
      <c r="C2099" s="76" t="s">
        <v>1562</v>
      </c>
      <c r="D2099" s="81" t="str">
        <f t="shared" si="36"/>
        <v>Inox Serti ItalienTé mixte FTé mixte F</v>
      </c>
      <c r="E2099" s="76" t="s">
        <v>5335</v>
      </c>
      <c r="F2099" s="76">
        <v>7</v>
      </c>
      <c r="G2099" s="71" t="s">
        <v>1949</v>
      </c>
      <c r="H2099" s="71" t="s">
        <v>459</v>
      </c>
      <c r="I2099" s="71">
        <v>189304028</v>
      </c>
      <c r="J2099" s="70">
        <f>IFERROR(VLOOKUP(Devis[[#This Row],[Ref Air Flux]],#REF!,3,FALSE),0)</f>
        <v>0</v>
      </c>
      <c r="K2099" s="68"/>
      <c r="L2099" s="68"/>
      <c r="M2099" s="68"/>
      <c r="N2099" s="68"/>
      <c r="O2099" s="68"/>
      <c r="P2099" s="68"/>
      <c r="Q2099" s="68">
        <f>SUM(Devis[[#This Row],[Poste 1]:[Poste 6]])</f>
        <v>0</v>
      </c>
      <c r="R2099" s="71">
        <v>10</v>
      </c>
      <c r="S2099" s="68">
        <f>_xlfn.CEILING.MATH(Devis[[#This Row],[Quantité Totale]],Devis[[#This Row],[Conditionnement]])</f>
        <v>0</v>
      </c>
      <c r="T2099" s="72"/>
      <c r="U2099" s="73"/>
      <c r="V2099" s="74">
        <f>Devis[[#This Row],[Prix de Revient]]*Devis[[#This Row],[Poste 1]]</f>
        <v>0</v>
      </c>
      <c r="W2099" s="74">
        <f>Devis[[#This Row],[Prix de Revient]]*Devis[[#This Row],[Poste 2]]</f>
        <v>0</v>
      </c>
      <c r="X2099" s="74">
        <f>Devis[[#This Row],[Prix de Revient]]*Devis[[#This Row],[Poste 3]]</f>
        <v>0</v>
      </c>
      <c r="Y2099" s="74">
        <f>Devis[[#This Row],[Poste 4]]*Devis[[#This Row],[Prix de Revient]]</f>
        <v>0</v>
      </c>
      <c r="Z2099" s="74">
        <f>Devis[[#This Row],[Poste 5]]*Devis[[#This Row],[Prix de Revient]]</f>
        <v>0</v>
      </c>
      <c r="AA2099" s="74">
        <f>Devis[[#This Row],[Prix de Revient]]*Devis[[#This Row],[Poste 6]]</f>
        <v>0</v>
      </c>
      <c r="AB2099" s="74">
        <f>Devis[[#This Row],[Quantité Totale]]*Devis[[#This Row],[Prix de Revient]]</f>
        <v>0</v>
      </c>
    </row>
    <row r="2100" spans="1:28" ht="14.25" outlineLevel="1" x14ac:dyDescent="0.2">
      <c r="A2100" s="75" t="s">
        <v>1647</v>
      </c>
      <c r="B2100" s="76" t="s">
        <v>1562</v>
      </c>
      <c r="C2100" s="76" t="s">
        <v>1562</v>
      </c>
      <c r="D2100" s="81" t="str">
        <f t="shared" si="36"/>
        <v>Inox Serti ItalienTé mixte FTé mixte F</v>
      </c>
      <c r="E2100" s="76" t="s">
        <v>5325</v>
      </c>
      <c r="F2100" s="76">
        <v>8</v>
      </c>
      <c r="G2100" s="71" t="s">
        <v>1950</v>
      </c>
      <c r="H2100" s="71" t="s">
        <v>459</v>
      </c>
      <c r="I2100" s="71">
        <v>189100028</v>
      </c>
      <c r="J2100" s="70">
        <f>IFERROR(VLOOKUP(Devis[[#This Row],[Ref Air Flux]],#REF!,3,FALSE),0)</f>
        <v>0</v>
      </c>
      <c r="K2100" s="68"/>
      <c r="L2100" s="68"/>
      <c r="M2100" s="68"/>
      <c r="N2100" s="68"/>
      <c r="O2100" s="68"/>
      <c r="P2100" s="68"/>
      <c r="Q2100" s="68">
        <f>SUM(Devis[[#This Row],[Poste 1]:[Poste 6]])</f>
        <v>0</v>
      </c>
      <c r="R2100" s="71">
        <v>5</v>
      </c>
      <c r="S2100" s="68">
        <f>_xlfn.CEILING.MATH(Devis[[#This Row],[Quantité Totale]],Devis[[#This Row],[Conditionnement]])</f>
        <v>0</v>
      </c>
      <c r="T2100" s="72"/>
      <c r="U2100" s="73"/>
      <c r="V2100" s="74">
        <f>Devis[[#This Row],[Prix de Revient]]*Devis[[#This Row],[Poste 1]]</f>
        <v>0</v>
      </c>
      <c r="W2100" s="74">
        <f>Devis[[#This Row],[Prix de Revient]]*Devis[[#This Row],[Poste 2]]</f>
        <v>0</v>
      </c>
      <c r="X2100" s="74">
        <f>Devis[[#This Row],[Prix de Revient]]*Devis[[#This Row],[Poste 3]]</f>
        <v>0</v>
      </c>
      <c r="Y2100" s="74">
        <f>Devis[[#This Row],[Poste 4]]*Devis[[#This Row],[Prix de Revient]]</f>
        <v>0</v>
      </c>
      <c r="Z2100" s="74">
        <f>Devis[[#This Row],[Poste 5]]*Devis[[#This Row],[Prix de Revient]]</f>
        <v>0</v>
      </c>
      <c r="AA2100" s="74">
        <f>Devis[[#This Row],[Prix de Revient]]*Devis[[#This Row],[Poste 6]]</f>
        <v>0</v>
      </c>
      <c r="AB2100" s="74">
        <f>Devis[[#This Row],[Quantité Totale]]*Devis[[#This Row],[Prix de Revient]]</f>
        <v>0</v>
      </c>
    </row>
    <row r="2101" spans="1:28" ht="14.25" outlineLevel="1" x14ac:dyDescent="0.2">
      <c r="A2101" s="75" t="s">
        <v>1647</v>
      </c>
      <c r="B2101" s="76" t="s">
        <v>1562</v>
      </c>
      <c r="C2101" s="76" t="s">
        <v>1562</v>
      </c>
      <c r="D2101" s="81" t="str">
        <f t="shared" si="36"/>
        <v>Inox Serti ItalienTé mixte FTé mixte F</v>
      </c>
      <c r="E2101" s="76" t="s">
        <v>5350</v>
      </c>
      <c r="F2101" s="76">
        <v>9</v>
      </c>
      <c r="G2101" s="71" t="s">
        <v>1951</v>
      </c>
      <c r="H2101" s="71" t="s">
        <v>459</v>
      </c>
      <c r="I2101" s="71">
        <v>189102035</v>
      </c>
      <c r="J2101" s="70">
        <f>IFERROR(VLOOKUP(Devis[[#This Row],[Ref Air Flux]],#REF!,3,FALSE),0)</f>
        <v>0</v>
      </c>
      <c r="K2101" s="68"/>
      <c r="L2101" s="68"/>
      <c r="M2101" s="68"/>
      <c r="N2101" s="68"/>
      <c r="O2101" s="68"/>
      <c r="P2101" s="68"/>
      <c r="Q2101" s="68">
        <f>SUM(Devis[[#This Row],[Poste 1]:[Poste 6]])</f>
        <v>0</v>
      </c>
      <c r="R2101" s="71">
        <v>5</v>
      </c>
      <c r="S2101" s="68">
        <f>_xlfn.CEILING.MATH(Devis[[#This Row],[Quantité Totale]],Devis[[#This Row],[Conditionnement]])</f>
        <v>0</v>
      </c>
      <c r="T2101" s="72"/>
      <c r="U2101" s="73"/>
      <c r="V2101" s="74">
        <f>Devis[[#This Row],[Prix de Revient]]*Devis[[#This Row],[Poste 1]]</f>
        <v>0</v>
      </c>
      <c r="W2101" s="74">
        <f>Devis[[#This Row],[Prix de Revient]]*Devis[[#This Row],[Poste 2]]</f>
        <v>0</v>
      </c>
      <c r="X2101" s="74">
        <f>Devis[[#This Row],[Prix de Revient]]*Devis[[#This Row],[Poste 3]]</f>
        <v>0</v>
      </c>
      <c r="Y2101" s="74">
        <f>Devis[[#This Row],[Poste 4]]*Devis[[#This Row],[Prix de Revient]]</f>
        <v>0</v>
      </c>
      <c r="Z2101" s="74">
        <f>Devis[[#This Row],[Poste 5]]*Devis[[#This Row],[Prix de Revient]]</f>
        <v>0</v>
      </c>
      <c r="AA2101" s="74">
        <f>Devis[[#This Row],[Prix de Revient]]*Devis[[#This Row],[Poste 6]]</f>
        <v>0</v>
      </c>
      <c r="AB2101" s="74">
        <f>Devis[[#This Row],[Quantité Totale]]*Devis[[#This Row],[Prix de Revient]]</f>
        <v>0</v>
      </c>
    </row>
    <row r="2102" spans="1:28" ht="14.25" outlineLevel="1" x14ac:dyDescent="0.2">
      <c r="A2102" s="75" t="s">
        <v>1647</v>
      </c>
      <c r="B2102" s="76" t="s">
        <v>1562</v>
      </c>
      <c r="C2102" s="76" t="s">
        <v>1562</v>
      </c>
      <c r="D2102" s="81" t="str">
        <f t="shared" si="36"/>
        <v>Inox Serti ItalienTé mixte FTé mixte F</v>
      </c>
      <c r="E2102" s="76" t="s">
        <v>1952</v>
      </c>
      <c r="F2102" s="76">
        <v>10</v>
      </c>
      <c r="G2102" s="71" t="s">
        <v>1953</v>
      </c>
      <c r="H2102" s="71" t="s">
        <v>459</v>
      </c>
      <c r="I2102" s="71">
        <v>189304035</v>
      </c>
      <c r="J2102" s="70">
        <f>IFERROR(VLOOKUP(Devis[[#This Row],[Ref Air Flux]],#REF!,3,FALSE),0)</f>
        <v>0</v>
      </c>
      <c r="K2102" s="68"/>
      <c r="L2102" s="68"/>
      <c r="M2102" s="68"/>
      <c r="N2102" s="68"/>
      <c r="O2102" s="68"/>
      <c r="P2102" s="68"/>
      <c r="Q2102" s="68">
        <f>SUM(Devis[[#This Row],[Poste 1]:[Poste 6]])</f>
        <v>0</v>
      </c>
      <c r="R2102" s="71">
        <v>5</v>
      </c>
      <c r="S2102" s="68">
        <f>_xlfn.CEILING.MATH(Devis[[#This Row],[Quantité Totale]],Devis[[#This Row],[Conditionnement]])</f>
        <v>0</v>
      </c>
      <c r="T2102" s="72"/>
      <c r="U2102" s="73"/>
      <c r="V2102" s="74">
        <f>Devis[[#This Row],[Prix de Revient]]*Devis[[#This Row],[Poste 1]]</f>
        <v>0</v>
      </c>
      <c r="W2102" s="74">
        <f>Devis[[#This Row],[Prix de Revient]]*Devis[[#This Row],[Poste 2]]</f>
        <v>0</v>
      </c>
      <c r="X2102" s="74">
        <f>Devis[[#This Row],[Prix de Revient]]*Devis[[#This Row],[Poste 3]]</f>
        <v>0</v>
      </c>
      <c r="Y2102" s="74">
        <f>Devis[[#This Row],[Poste 4]]*Devis[[#This Row],[Prix de Revient]]</f>
        <v>0</v>
      </c>
      <c r="Z2102" s="74">
        <f>Devis[[#This Row],[Poste 5]]*Devis[[#This Row],[Prix de Revient]]</f>
        <v>0</v>
      </c>
      <c r="AA2102" s="74">
        <f>Devis[[#This Row],[Prix de Revient]]*Devis[[#This Row],[Poste 6]]</f>
        <v>0</v>
      </c>
      <c r="AB2102" s="74">
        <f>Devis[[#This Row],[Quantité Totale]]*Devis[[#This Row],[Prix de Revient]]</f>
        <v>0</v>
      </c>
    </row>
    <row r="2103" spans="1:28" ht="14.25" customHeight="1" outlineLevel="1" x14ac:dyDescent="0.2">
      <c r="A2103" s="75" t="s">
        <v>1647</v>
      </c>
      <c r="B2103" s="76" t="s">
        <v>1562</v>
      </c>
      <c r="C2103" s="76" t="s">
        <v>1562</v>
      </c>
      <c r="D2103" s="81" t="str">
        <f t="shared" si="36"/>
        <v>Inox Serti ItalienTé mixte FTé mixte F</v>
      </c>
      <c r="E2103" s="76" t="s">
        <v>1786</v>
      </c>
      <c r="F2103" s="76">
        <v>11</v>
      </c>
      <c r="G2103" s="71" t="s">
        <v>1954</v>
      </c>
      <c r="H2103" s="71" t="s">
        <v>459</v>
      </c>
      <c r="I2103" s="71">
        <v>189100035</v>
      </c>
      <c r="J2103" s="70">
        <f>IFERROR(VLOOKUP(Devis[[#This Row],[Ref Air Flux]],#REF!,3,FALSE),0)</f>
        <v>0</v>
      </c>
      <c r="K2103" s="68"/>
      <c r="L2103" s="68"/>
      <c r="M2103" s="68"/>
      <c r="N2103" s="68"/>
      <c r="O2103" s="68"/>
      <c r="P2103" s="68"/>
      <c r="Q2103" s="68">
        <f>SUM(Devis[[#This Row],[Poste 1]:[Poste 6]])</f>
        <v>0</v>
      </c>
      <c r="R2103" s="71">
        <v>5</v>
      </c>
      <c r="S2103" s="68">
        <f>_xlfn.CEILING.MATH(Devis[[#This Row],[Quantité Totale]],Devis[[#This Row],[Conditionnement]])</f>
        <v>0</v>
      </c>
      <c r="T2103" s="72"/>
      <c r="U2103" s="73"/>
      <c r="V2103" s="74">
        <f>Devis[[#This Row],[Prix de Revient]]*Devis[[#This Row],[Poste 1]]</f>
        <v>0</v>
      </c>
      <c r="W2103" s="74">
        <f>Devis[[#This Row],[Prix de Revient]]*Devis[[#This Row],[Poste 2]]</f>
        <v>0</v>
      </c>
      <c r="X2103" s="74">
        <f>Devis[[#This Row],[Prix de Revient]]*Devis[[#This Row],[Poste 3]]</f>
        <v>0</v>
      </c>
      <c r="Y2103" s="74">
        <f>Devis[[#This Row],[Poste 4]]*Devis[[#This Row],[Prix de Revient]]</f>
        <v>0</v>
      </c>
      <c r="Z2103" s="74">
        <f>Devis[[#This Row],[Poste 5]]*Devis[[#This Row],[Prix de Revient]]</f>
        <v>0</v>
      </c>
      <c r="AA2103" s="74">
        <f>Devis[[#This Row],[Prix de Revient]]*Devis[[#This Row],[Poste 6]]</f>
        <v>0</v>
      </c>
      <c r="AB2103" s="74">
        <f>Devis[[#This Row],[Quantité Totale]]*Devis[[#This Row],[Prix de Revient]]</f>
        <v>0</v>
      </c>
    </row>
    <row r="2104" spans="1:28" ht="14.25" customHeight="1" outlineLevel="1" x14ac:dyDescent="0.2">
      <c r="A2104" s="75" t="s">
        <v>1647</v>
      </c>
      <c r="B2104" s="76" t="s">
        <v>1562</v>
      </c>
      <c r="C2104" s="76" t="s">
        <v>1562</v>
      </c>
      <c r="D2104" s="81" t="str">
        <f t="shared" si="36"/>
        <v>Inox Serti ItalienTé mixte FTé mixte F</v>
      </c>
      <c r="E2104" s="76" t="s">
        <v>5351</v>
      </c>
      <c r="F2104" s="76">
        <v>12</v>
      </c>
      <c r="G2104" s="71" t="s">
        <v>1955</v>
      </c>
      <c r="H2104" s="71" t="s">
        <v>459</v>
      </c>
      <c r="I2104" s="71">
        <v>189102042</v>
      </c>
      <c r="J2104" s="70">
        <f>IFERROR(VLOOKUP(Devis[[#This Row],[Ref Air Flux]],#REF!,3,FALSE),0)</f>
        <v>0</v>
      </c>
      <c r="K2104" s="68"/>
      <c r="L2104" s="68"/>
      <c r="M2104" s="68"/>
      <c r="N2104" s="68"/>
      <c r="O2104" s="68"/>
      <c r="P2104" s="68"/>
      <c r="Q2104" s="68">
        <f>SUM(Devis[[#This Row],[Poste 1]:[Poste 6]])</f>
        <v>0</v>
      </c>
      <c r="R2104" s="71">
        <v>4</v>
      </c>
      <c r="S2104" s="68">
        <f>_xlfn.CEILING.MATH(Devis[[#This Row],[Quantité Totale]],Devis[[#This Row],[Conditionnement]])</f>
        <v>0</v>
      </c>
      <c r="T2104" s="72"/>
      <c r="U2104" s="73"/>
      <c r="V2104" s="74">
        <f>Devis[[#This Row],[Prix de Revient]]*Devis[[#This Row],[Poste 1]]</f>
        <v>0</v>
      </c>
      <c r="W2104" s="74">
        <f>Devis[[#This Row],[Prix de Revient]]*Devis[[#This Row],[Poste 2]]</f>
        <v>0</v>
      </c>
      <c r="X2104" s="74">
        <f>Devis[[#This Row],[Prix de Revient]]*Devis[[#This Row],[Poste 3]]</f>
        <v>0</v>
      </c>
      <c r="Y2104" s="74">
        <f>Devis[[#This Row],[Poste 4]]*Devis[[#This Row],[Prix de Revient]]</f>
        <v>0</v>
      </c>
      <c r="Z2104" s="74">
        <f>Devis[[#This Row],[Poste 5]]*Devis[[#This Row],[Prix de Revient]]</f>
        <v>0</v>
      </c>
      <c r="AA2104" s="74">
        <f>Devis[[#This Row],[Prix de Revient]]*Devis[[#This Row],[Poste 6]]</f>
        <v>0</v>
      </c>
      <c r="AB2104" s="74">
        <f>Devis[[#This Row],[Quantité Totale]]*Devis[[#This Row],[Prix de Revient]]</f>
        <v>0</v>
      </c>
    </row>
    <row r="2105" spans="1:28" ht="14.25" outlineLevel="1" x14ac:dyDescent="0.2">
      <c r="A2105" s="75" t="s">
        <v>1647</v>
      </c>
      <c r="B2105" s="76" t="s">
        <v>1562</v>
      </c>
      <c r="C2105" s="76" t="s">
        <v>1562</v>
      </c>
      <c r="D2105" s="81" t="str">
        <f t="shared" si="36"/>
        <v>Inox Serti ItalienTé mixte FTé mixte F</v>
      </c>
      <c r="E2105" s="76" t="s">
        <v>1956</v>
      </c>
      <c r="F2105" s="76">
        <v>13</v>
      </c>
      <c r="G2105" s="71" t="s">
        <v>1957</v>
      </c>
      <c r="H2105" s="71" t="s">
        <v>459</v>
      </c>
      <c r="I2105" s="71">
        <v>189304042</v>
      </c>
      <c r="J2105" s="70">
        <f>IFERROR(VLOOKUP(Devis[[#This Row],[Ref Air Flux]],#REF!,3,FALSE),0)</f>
        <v>0</v>
      </c>
      <c r="K2105" s="68"/>
      <c r="L2105" s="68"/>
      <c r="M2105" s="68"/>
      <c r="N2105" s="68"/>
      <c r="O2105" s="68"/>
      <c r="P2105" s="68"/>
      <c r="Q2105" s="68">
        <f>SUM(Devis[[#This Row],[Poste 1]:[Poste 6]])</f>
        <v>0</v>
      </c>
      <c r="R2105" s="71">
        <v>4</v>
      </c>
      <c r="S2105" s="68">
        <f>_xlfn.CEILING.MATH(Devis[[#This Row],[Quantité Totale]],Devis[[#This Row],[Conditionnement]])</f>
        <v>0</v>
      </c>
      <c r="T2105" s="72"/>
      <c r="U2105" s="73"/>
      <c r="V2105" s="74">
        <f>Devis[[#This Row],[Prix de Revient]]*Devis[[#This Row],[Poste 1]]</f>
        <v>0</v>
      </c>
      <c r="W2105" s="74">
        <f>Devis[[#This Row],[Prix de Revient]]*Devis[[#This Row],[Poste 2]]</f>
        <v>0</v>
      </c>
      <c r="X2105" s="74">
        <f>Devis[[#This Row],[Prix de Revient]]*Devis[[#This Row],[Poste 3]]</f>
        <v>0</v>
      </c>
      <c r="Y2105" s="74">
        <f>Devis[[#This Row],[Poste 4]]*Devis[[#This Row],[Prix de Revient]]</f>
        <v>0</v>
      </c>
      <c r="Z2105" s="74">
        <f>Devis[[#This Row],[Poste 5]]*Devis[[#This Row],[Prix de Revient]]</f>
        <v>0</v>
      </c>
      <c r="AA2105" s="74">
        <f>Devis[[#This Row],[Prix de Revient]]*Devis[[#This Row],[Poste 6]]</f>
        <v>0</v>
      </c>
      <c r="AB2105" s="74">
        <f>Devis[[#This Row],[Quantité Totale]]*Devis[[#This Row],[Prix de Revient]]</f>
        <v>0</v>
      </c>
    </row>
    <row r="2106" spans="1:28" ht="14.25" customHeight="1" outlineLevel="1" x14ac:dyDescent="0.2">
      <c r="A2106" s="75" t="s">
        <v>1647</v>
      </c>
      <c r="B2106" s="76" t="s">
        <v>1562</v>
      </c>
      <c r="C2106" s="76" t="s">
        <v>1562</v>
      </c>
      <c r="D2106" s="81" t="str">
        <f t="shared" si="36"/>
        <v>Inox Serti ItalienTé mixte FTé mixte F</v>
      </c>
      <c r="E2106" s="76" t="s">
        <v>1958</v>
      </c>
      <c r="F2106" s="76">
        <v>14</v>
      </c>
      <c r="G2106" s="71" t="s">
        <v>1959</v>
      </c>
      <c r="H2106" s="71" t="s">
        <v>459</v>
      </c>
      <c r="I2106" s="71">
        <v>189100042</v>
      </c>
      <c r="J2106" s="70">
        <f>IFERROR(VLOOKUP(Devis[[#This Row],[Ref Air Flux]],#REF!,3,FALSE),0)</f>
        <v>0</v>
      </c>
      <c r="K2106" s="68"/>
      <c r="L2106" s="68"/>
      <c r="M2106" s="68"/>
      <c r="N2106" s="68"/>
      <c r="O2106" s="68"/>
      <c r="P2106" s="68"/>
      <c r="Q2106" s="68">
        <f>SUM(Devis[[#This Row],[Poste 1]:[Poste 6]])</f>
        <v>0</v>
      </c>
      <c r="R2106" s="71">
        <v>4</v>
      </c>
      <c r="S2106" s="68">
        <f>_xlfn.CEILING.MATH(Devis[[#This Row],[Quantité Totale]],Devis[[#This Row],[Conditionnement]])</f>
        <v>0</v>
      </c>
      <c r="T2106" s="72"/>
      <c r="U2106" s="73"/>
      <c r="V2106" s="74">
        <f>Devis[[#This Row],[Prix de Revient]]*Devis[[#This Row],[Poste 1]]</f>
        <v>0</v>
      </c>
      <c r="W2106" s="74">
        <f>Devis[[#This Row],[Prix de Revient]]*Devis[[#This Row],[Poste 2]]</f>
        <v>0</v>
      </c>
      <c r="X2106" s="74">
        <f>Devis[[#This Row],[Prix de Revient]]*Devis[[#This Row],[Poste 3]]</f>
        <v>0</v>
      </c>
      <c r="Y2106" s="74">
        <f>Devis[[#This Row],[Poste 4]]*Devis[[#This Row],[Prix de Revient]]</f>
        <v>0</v>
      </c>
      <c r="Z2106" s="74">
        <f>Devis[[#This Row],[Poste 5]]*Devis[[#This Row],[Prix de Revient]]</f>
        <v>0</v>
      </c>
      <c r="AA2106" s="74">
        <f>Devis[[#This Row],[Prix de Revient]]*Devis[[#This Row],[Poste 6]]</f>
        <v>0</v>
      </c>
      <c r="AB2106" s="74">
        <f>Devis[[#This Row],[Quantité Totale]]*Devis[[#This Row],[Prix de Revient]]</f>
        <v>0</v>
      </c>
    </row>
    <row r="2107" spans="1:28" ht="14.25" outlineLevel="1" x14ac:dyDescent="0.2">
      <c r="A2107" s="75" t="s">
        <v>1647</v>
      </c>
      <c r="B2107" s="76" t="s">
        <v>1562</v>
      </c>
      <c r="C2107" s="76" t="s">
        <v>1562</v>
      </c>
      <c r="D2107" s="81" t="str">
        <f t="shared" si="36"/>
        <v>Inox Serti ItalienTé mixte FTé mixte F</v>
      </c>
      <c r="E2107" s="76" t="s">
        <v>5352</v>
      </c>
      <c r="F2107" s="76">
        <v>15</v>
      </c>
      <c r="G2107" s="71" t="s">
        <v>1960</v>
      </c>
      <c r="H2107" s="71" t="s">
        <v>459</v>
      </c>
      <c r="I2107" s="71">
        <v>189102054</v>
      </c>
      <c r="J2107" s="70">
        <f>IFERROR(VLOOKUP(Devis[[#This Row],[Ref Air Flux]],#REF!,3,FALSE),0)</f>
        <v>0</v>
      </c>
      <c r="K2107" s="68"/>
      <c r="L2107" s="68"/>
      <c r="M2107" s="68"/>
      <c r="N2107" s="68"/>
      <c r="O2107" s="68"/>
      <c r="P2107" s="68"/>
      <c r="Q2107" s="68">
        <f>SUM(Devis[[#This Row],[Poste 1]:[Poste 6]])</f>
        <v>0</v>
      </c>
      <c r="R2107" s="71">
        <v>2</v>
      </c>
      <c r="S2107" s="68">
        <f>_xlfn.CEILING.MATH(Devis[[#This Row],[Quantité Totale]],Devis[[#This Row],[Conditionnement]])</f>
        <v>0</v>
      </c>
      <c r="T2107" s="72"/>
      <c r="U2107" s="73"/>
      <c r="V2107" s="74">
        <f>Devis[[#This Row],[Prix de Revient]]*Devis[[#This Row],[Poste 1]]</f>
        <v>0</v>
      </c>
      <c r="W2107" s="74">
        <f>Devis[[#This Row],[Prix de Revient]]*Devis[[#This Row],[Poste 2]]</f>
        <v>0</v>
      </c>
      <c r="X2107" s="74">
        <f>Devis[[#This Row],[Prix de Revient]]*Devis[[#This Row],[Poste 3]]</f>
        <v>0</v>
      </c>
      <c r="Y2107" s="74">
        <f>Devis[[#This Row],[Poste 4]]*Devis[[#This Row],[Prix de Revient]]</f>
        <v>0</v>
      </c>
      <c r="Z2107" s="74">
        <f>Devis[[#This Row],[Poste 5]]*Devis[[#This Row],[Prix de Revient]]</f>
        <v>0</v>
      </c>
      <c r="AA2107" s="74">
        <f>Devis[[#This Row],[Prix de Revient]]*Devis[[#This Row],[Poste 6]]</f>
        <v>0</v>
      </c>
      <c r="AB2107" s="74">
        <f>Devis[[#This Row],[Quantité Totale]]*Devis[[#This Row],[Prix de Revient]]</f>
        <v>0</v>
      </c>
    </row>
    <row r="2108" spans="1:28" ht="14.25" outlineLevel="1" x14ac:dyDescent="0.2">
      <c r="A2108" s="75" t="s">
        <v>1647</v>
      </c>
      <c r="B2108" s="76" t="s">
        <v>1562</v>
      </c>
      <c r="C2108" s="76" t="s">
        <v>1562</v>
      </c>
      <c r="D2108" s="81" t="str">
        <f t="shared" si="36"/>
        <v>Inox Serti ItalienTé mixte FTé mixte F</v>
      </c>
      <c r="E2108" s="76" t="s">
        <v>5353</v>
      </c>
      <c r="F2108" s="76">
        <v>16</v>
      </c>
      <c r="G2108" s="71" t="s">
        <v>1961</v>
      </c>
      <c r="H2108" s="71" t="s">
        <v>459</v>
      </c>
      <c r="I2108" s="71">
        <v>189304054</v>
      </c>
      <c r="J2108" s="70">
        <f>IFERROR(VLOOKUP(Devis[[#This Row],[Ref Air Flux]],#REF!,3,FALSE),0)</f>
        <v>0</v>
      </c>
      <c r="K2108" s="68"/>
      <c r="L2108" s="68"/>
      <c r="M2108" s="68"/>
      <c r="N2108" s="68"/>
      <c r="O2108" s="68"/>
      <c r="P2108" s="68"/>
      <c r="Q2108" s="68">
        <f>SUM(Devis[[#This Row],[Poste 1]:[Poste 6]])</f>
        <v>0</v>
      </c>
      <c r="R2108" s="71">
        <v>2</v>
      </c>
      <c r="S2108" s="68">
        <f>_xlfn.CEILING.MATH(Devis[[#This Row],[Quantité Totale]],Devis[[#This Row],[Conditionnement]])</f>
        <v>0</v>
      </c>
      <c r="T2108" s="72"/>
      <c r="U2108" s="73"/>
      <c r="V2108" s="74">
        <f>Devis[[#This Row],[Prix de Revient]]*Devis[[#This Row],[Poste 1]]</f>
        <v>0</v>
      </c>
      <c r="W2108" s="74">
        <f>Devis[[#This Row],[Prix de Revient]]*Devis[[#This Row],[Poste 2]]</f>
        <v>0</v>
      </c>
      <c r="X2108" s="74">
        <f>Devis[[#This Row],[Prix de Revient]]*Devis[[#This Row],[Poste 3]]</f>
        <v>0</v>
      </c>
      <c r="Y2108" s="74">
        <f>Devis[[#This Row],[Poste 4]]*Devis[[#This Row],[Prix de Revient]]</f>
        <v>0</v>
      </c>
      <c r="Z2108" s="74">
        <f>Devis[[#This Row],[Poste 5]]*Devis[[#This Row],[Prix de Revient]]</f>
        <v>0</v>
      </c>
      <c r="AA2108" s="74">
        <f>Devis[[#This Row],[Prix de Revient]]*Devis[[#This Row],[Poste 6]]</f>
        <v>0</v>
      </c>
      <c r="AB2108" s="74">
        <f>Devis[[#This Row],[Quantité Totale]]*Devis[[#This Row],[Prix de Revient]]</f>
        <v>0</v>
      </c>
    </row>
    <row r="2109" spans="1:28" ht="14.25" outlineLevel="1" x14ac:dyDescent="0.2">
      <c r="A2109" s="75" t="s">
        <v>1647</v>
      </c>
      <c r="B2109" s="76" t="s">
        <v>1562</v>
      </c>
      <c r="C2109" s="76" t="s">
        <v>1562</v>
      </c>
      <c r="D2109" s="81" t="str">
        <f t="shared" si="36"/>
        <v>Inox Serti ItalienTé mixte FTé mixte F</v>
      </c>
      <c r="E2109" s="76" t="s">
        <v>5338</v>
      </c>
      <c r="F2109" s="76">
        <v>17</v>
      </c>
      <c r="G2109" s="71" t="s">
        <v>1962</v>
      </c>
      <c r="H2109" s="71" t="s">
        <v>459</v>
      </c>
      <c r="I2109" s="71">
        <v>189200054</v>
      </c>
      <c r="J2109" s="70">
        <f>IFERROR(VLOOKUP(Devis[[#This Row],[Ref Air Flux]],#REF!,3,FALSE),0)</f>
        <v>0</v>
      </c>
      <c r="K2109" s="68"/>
      <c r="L2109" s="68"/>
      <c r="M2109" s="68"/>
      <c r="N2109" s="68"/>
      <c r="O2109" s="68"/>
      <c r="P2109" s="68"/>
      <c r="Q2109" s="68">
        <f>SUM(Devis[[#This Row],[Poste 1]:[Poste 6]])</f>
        <v>0</v>
      </c>
      <c r="R2109" s="71">
        <v>2</v>
      </c>
      <c r="S2109" s="68">
        <f>_xlfn.CEILING.MATH(Devis[[#This Row],[Quantité Totale]],Devis[[#This Row],[Conditionnement]])</f>
        <v>0</v>
      </c>
      <c r="T2109" s="72"/>
      <c r="U2109" s="73"/>
      <c r="V2109" s="74">
        <f>Devis[[#This Row],[Prix de Revient]]*Devis[[#This Row],[Poste 1]]</f>
        <v>0</v>
      </c>
      <c r="W2109" s="74">
        <f>Devis[[#This Row],[Prix de Revient]]*Devis[[#This Row],[Poste 2]]</f>
        <v>0</v>
      </c>
      <c r="X2109" s="74">
        <f>Devis[[#This Row],[Prix de Revient]]*Devis[[#This Row],[Poste 3]]</f>
        <v>0</v>
      </c>
      <c r="Y2109" s="74">
        <f>Devis[[#This Row],[Poste 4]]*Devis[[#This Row],[Prix de Revient]]</f>
        <v>0</v>
      </c>
      <c r="Z2109" s="74">
        <f>Devis[[#This Row],[Poste 5]]*Devis[[#This Row],[Prix de Revient]]</f>
        <v>0</v>
      </c>
      <c r="AA2109" s="74">
        <f>Devis[[#This Row],[Prix de Revient]]*Devis[[#This Row],[Poste 6]]</f>
        <v>0</v>
      </c>
      <c r="AB2109" s="74">
        <f>Devis[[#This Row],[Quantité Totale]]*Devis[[#This Row],[Prix de Revient]]</f>
        <v>0</v>
      </c>
    </row>
    <row r="2110" spans="1:28" ht="14.25" outlineLevel="1" x14ac:dyDescent="0.2">
      <c r="A2110" s="75" t="s">
        <v>1647</v>
      </c>
      <c r="B2110" s="76" t="s">
        <v>1562</v>
      </c>
      <c r="C2110" s="76" t="s">
        <v>1562</v>
      </c>
      <c r="D2110" s="81" t="str">
        <f t="shared" si="36"/>
        <v>Inox Serti ItalienTé mixte FTé mixte F</v>
      </c>
      <c r="E2110" s="76" t="s">
        <v>5354</v>
      </c>
      <c r="F2110" s="76">
        <v>18</v>
      </c>
      <c r="G2110" s="71" t="s">
        <v>1963</v>
      </c>
      <c r="H2110" s="71" t="s">
        <v>459</v>
      </c>
      <c r="I2110" s="71">
        <v>189304076</v>
      </c>
      <c r="J2110" s="70">
        <f>IFERROR(VLOOKUP(Devis[[#This Row],[Ref Air Flux]],#REF!,3,FALSE),0)</f>
        <v>0</v>
      </c>
      <c r="K2110" s="68"/>
      <c r="L2110" s="68"/>
      <c r="M2110" s="68"/>
      <c r="N2110" s="68"/>
      <c r="O2110" s="68"/>
      <c r="P2110" s="68"/>
      <c r="Q2110" s="68">
        <f>SUM(Devis[[#This Row],[Poste 1]:[Poste 6]])</f>
        <v>0</v>
      </c>
      <c r="R2110" s="71">
        <v>2</v>
      </c>
      <c r="S2110" s="68">
        <f>_xlfn.CEILING.MATH(Devis[[#This Row],[Quantité Totale]],Devis[[#This Row],[Conditionnement]])</f>
        <v>0</v>
      </c>
      <c r="T2110" s="72"/>
      <c r="U2110" s="73"/>
      <c r="V2110" s="74">
        <f>Devis[[#This Row],[Prix de Revient]]*Devis[[#This Row],[Poste 1]]</f>
        <v>0</v>
      </c>
      <c r="W2110" s="74">
        <f>Devis[[#This Row],[Prix de Revient]]*Devis[[#This Row],[Poste 2]]</f>
        <v>0</v>
      </c>
      <c r="X2110" s="74">
        <f>Devis[[#This Row],[Prix de Revient]]*Devis[[#This Row],[Poste 3]]</f>
        <v>0</v>
      </c>
      <c r="Y2110" s="74">
        <f>Devis[[#This Row],[Poste 4]]*Devis[[#This Row],[Prix de Revient]]</f>
        <v>0</v>
      </c>
      <c r="Z2110" s="74">
        <f>Devis[[#This Row],[Poste 5]]*Devis[[#This Row],[Prix de Revient]]</f>
        <v>0</v>
      </c>
      <c r="AA2110" s="74">
        <f>Devis[[#This Row],[Prix de Revient]]*Devis[[#This Row],[Poste 6]]</f>
        <v>0</v>
      </c>
      <c r="AB2110" s="74">
        <f>Devis[[#This Row],[Quantité Totale]]*Devis[[#This Row],[Prix de Revient]]</f>
        <v>0</v>
      </c>
    </row>
    <row r="2111" spans="1:28" ht="14.25" outlineLevel="1" x14ac:dyDescent="0.2">
      <c r="A2111" s="75" t="s">
        <v>1647</v>
      </c>
      <c r="B2111" s="76" t="s">
        <v>1562</v>
      </c>
      <c r="C2111" s="76" t="s">
        <v>1562</v>
      </c>
      <c r="D2111" s="81" t="str">
        <f t="shared" si="36"/>
        <v>Inox Serti ItalienTé mixte FTé mixte F</v>
      </c>
      <c r="E2111" s="76" t="s">
        <v>5355</v>
      </c>
      <c r="F2111" s="76">
        <v>19</v>
      </c>
      <c r="G2111" s="71" t="s">
        <v>1964</v>
      </c>
      <c r="H2111" s="71" t="s">
        <v>459</v>
      </c>
      <c r="I2111" s="71">
        <v>189100076</v>
      </c>
      <c r="J2111" s="70">
        <f>IFERROR(VLOOKUP(Devis[[#This Row],[Ref Air Flux]],#REF!,3,FALSE),0)</f>
        <v>0</v>
      </c>
      <c r="K2111" s="68"/>
      <c r="L2111" s="68"/>
      <c r="M2111" s="68"/>
      <c r="N2111" s="68"/>
      <c r="O2111" s="68"/>
      <c r="P2111" s="68"/>
      <c r="Q2111" s="68">
        <f>SUM(Devis[[#This Row],[Poste 1]:[Poste 6]])</f>
        <v>0</v>
      </c>
      <c r="R2111" s="71">
        <v>2</v>
      </c>
      <c r="S2111" s="68">
        <f>_xlfn.CEILING.MATH(Devis[[#This Row],[Quantité Totale]],Devis[[#This Row],[Conditionnement]])</f>
        <v>0</v>
      </c>
      <c r="T2111" s="72"/>
      <c r="U2111" s="73"/>
      <c r="V2111" s="74">
        <f>Devis[[#This Row],[Prix de Revient]]*Devis[[#This Row],[Poste 1]]</f>
        <v>0</v>
      </c>
      <c r="W2111" s="74">
        <f>Devis[[#This Row],[Prix de Revient]]*Devis[[#This Row],[Poste 2]]</f>
        <v>0</v>
      </c>
      <c r="X2111" s="74">
        <f>Devis[[#This Row],[Prix de Revient]]*Devis[[#This Row],[Poste 3]]</f>
        <v>0</v>
      </c>
      <c r="Y2111" s="74">
        <f>Devis[[#This Row],[Poste 4]]*Devis[[#This Row],[Prix de Revient]]</f>
        <v>0</v>
      </c>
      <c r="Z2111" s="74">
        <f>Devis[[#This Row],[Poste 5]]*Devis[[#This Row],[Prix de Revient]]</f>
        <v>0</v>
      </c>
      <c r="AA2111" s="74">
        <f>Devis[[#This Row],[Prix de Revient]]*Devis[[#This Row],[Poste 6]]</f>
        <v>0</v>
      </c>
      <c r="AB2111" s="74">
        <f>Devis[[#This Row],[Quantité Totale]]*Devis[[#This Row],[Prix de Revient]]</f>
        <v>0</v>
      </c>
    </row>
    <row r="2112" spans="1:28" ht="14.25" outlineLevel="1" x14ac:dyDescent="0.2">
      <c r="A2112" s="75" t="s">
        <v>1647</v>
      </c>
      <c r="B2112" s="76" t="s">
        <v>1562</v>
      </c>
      <c r="C2112" s="76" t="s">
        <v>1562</v>
      </c>
      <c r="D2112" s="81" t="str">
        <f t="shared" si="36"/>
        <v>Inox Serti ItalienTé mixte FTé mixte F</v>
      </c>
      <c r="E2112" s="76" t="s">
        <v>5356</v>
      </c>
      <c r="F2112" s="76">
        <v>20</v>
      </c>
      <c r="G2112" s="71" t="s">
        <v>1965</v>
      </c>
      <c r="H2112" s="71" t="s">
        <v>459</v>
      </c>
      <c r="I2112" s="71">
        <v>189200076</v>
      </c>
      <c r="J2112" s="70">
        <f>IFERROR(VLOOKUP(Devis[[#This Row],[Ref Air Flux]],#REF!,3,FALSE),0)</f>
        <v>0</v>
      </c>
      <c r="K2112" s="68"/>
      <c r="L2112" s="68"/>
      <c r="M2112" s="68"/>
      <c r="N2112" s="68"/>
      <c r="O2112" s="68"/>
      <c r="P2112" s="68"/>
      <c r="Q2112" s="68">
        <f>SUM(Devis[[#This Row],[Poste 1]:[Poste 6]])</f>
        <v>0</v>
      </c>
      <c r="R2112" s="71">
        <v>2</v>
      </c>
      <c r="S2112" s="68">
        <f>_xlfn.CEILING.MATH(Devis[[#This Row],[Quantité Totale]],Devis[[#This Row],[Conditionnement]])</f>
        <v>0</v>
      </c>
      <c r="T2112" s="72"/>
      <c r="U2112" s="73"/>
      <c r="V2112" s="74">
        <f>Devis[[#This Row],[Prix de Revient]]*Devis[[#This Row],[Poste 1]]</f>
        <v>0</v>
      </c>
      <c r="W2112" s="74">
        <f>Devis[[#This Row],[Prix de Revient]]*Devis[[#This Row],[Poste 2]]</f>
        <v>0</v>
      </c>
      <c r="X2112" s="74">
        <f>Devis[[#This Row],[Prix de Revient]]*Devis[[#This Row],[Poste 3]]</f>
        <v>0</v>
      </c>
      <c r="Y2112" s="74">
        <f>Devis[[#This Row],[Poste 4]]*Devis[[#This Row],[Prix de Revient]]</f>
        <v>0</v>
      </c>
      <c r="Z2112" s="74">
        <f>Devis[[#This Row],[Poste 5]]*Devis[[#This Row],[Prix de Revient]]</f>
        <v>0</v>
      </c>
      <c r="AA2112" s="74">
        <f>Devis[[#This Row],[Prix de Revient]]*Devis[[#This Row],[Poste 6]]</f>
        <v>0</v>
      </c>
      <c r="AB2112" s="74">
        <f>Devis[[#This Row],[Quantité Totale]]*Devis[[#This Row],[Prix de Revient]]</f>
        <v>0</v>
      </c>
    </row>
    <row r="2113" spans="1:28" ht="14.25" outlineLevel="1" x14ac:dyDescent="0.2">
      <c r="A2113" s="75" t="s">
        <v>1647</v>
      </c>
      <c r="B2113" s="76" t="s">
        <v>1562</v>
      </c>
      <c r="C2113" s="76" t="s">
        <v>1562</v>
      </c>
      <c r="D2113" s="81" t="str">
        <f t="shared" si="36"/>
        <v>Inox Serti ItalienTé mixte FTé mixte F</v>
      </c>
      <c r="E2113" s="76" t="s">
        <v>5357</v>
      </c>
      <c r="F2113" s="76">
        <v>21</v>
      </c>
      <c r="G2113" s="71" t="s">
        <v>1966</v>
      </c>
      <c r="H2113" s="71" t="s">
        <v>459</v>
      </c>
      <c r="I2113" s="71">
        <v>189304088</v>
      </c>
      <c r="J2113" s="70">
        <f>IFERROR(VLOOKUP(Devis[[#This Row],[Ref Air Flux]],#REF!,3,FALSE),0)</f>
        <v>0</v>
      </c>
      <c r="K2113" s="68"/>
      <c r="L2113" s="68"/>
      <c r="M2113" s="68"/>
      <c r="N2113" s="68"/>
      <c r="O2113" s="68"/>
      <c r="P2113" s="68"/>
      <c r="Q2113" s="68">
        <f>SUM(Devis[[#This Row],[Poste 1]:[Poste 6]])</f>
        <v>0</v>
      </c>
      <c r="R2113" s="71">
        <v>2</v>
      </c>
      <c r="S2113" s="68">
        <f>_xlfn.CEILING.MATH(Devis[[#This Row],[Quantité Totale]],Devis[[#This Row],[Conditionnement]])</f>
        <v>0</v>
      </c>
      <c r="T2113" s="72"/>
      <c r="U2113" s="73"/>
      <c r="V2113" s="74">
        <f>Devis[[#This Row],[Prix de Revient]]*Devis[[#This Row],[Poste 1]]</f>
        <v>0</v>
      </c>
      <c r="W2113" s="74">
        <f>Devis[[#This Row],[Prix de Revient]]*Devis[[#This Row],[Poste 2]]</f>
        <v>0</v>
      </c>
      <c r="X2113" s="74">
        <f>Devis[[#This Row],[Prix de Revient]]*Devis[[#This Row],[Poste 3]]</f>
        <v>0</v>
      </c>
      <c r="Y2113" s="74">
        <f>Devis[[#This Row],[Poste 4]]*Devis[[#This Row],[Prix de Revient]]</f>
        <v>0</v>
      </c>
      <c r="Z2113" s="74">
        <f>Devis[[#This Row],[Poste 5]]*Devis[[#This Row],[Prix de Revient]]</f>
        <v>0</v>
      </c>
      <c r="AA2113" s="74">
        <f>Devis[[#This Row],[Prix de Revient]]*Devis[[#This Row],[Poste 6]]</f>
        <v>0</v>
      </c>
      <c r="AB2113" s="74">
        <f>Devis[[#This Row],[Quantité Totale]]*Devis[[#This Row],[Prix de Revient]]</f>
        <v>0</v>
      </c>
    </row>
    <row r="2114" spans="1:28" ht="14.25" customHeight="1" outlineLevel="1" x14ac:dyDescent="0.2">
      <c r="A2114" s="75" t="s">
        <v>1647</v>
      </c>
      <c r="B2114" s="76" t="s">
        <v>1562</v>
      </c>
      <c r="C2114" s="76" t="s">
        <v>1562</v>
      </c>
      <c r="D2114" s="81" t="str">
        <f t="shared" ref="D2114:D2177" si="37">A2114&amp;B2114&amp;C2114</f>
        <v>Inox Serti ItalienTé mixte FTé mixte F</v>
      </c>
      <c r="E2114" s="76" t="s">
        <v>5358</v>
      </c>
      <c r="F2114" s="76">
        <v>22</v>
      </c>
      <c r="G2114" s="71" t="s">
        <v>1967</v>
      </c>
      <c r="H2114" s="71" t="s">
        <v>459</v>
      </c>
      <c r="I2114" s="71">
        <v>189200088</v>
      </c>
      <c r="J2114" s="70">
        <f>IFERROR(VLOOKUP(Devis[[#This Row],[Ref Air Flux]],#REF!,3,FALSE),0)</f>
        <v>0</v>
      </c>
      <c r="K2114" s="68"/>
      <c r="L2114" s="68"/>
      <c r="M2114" s="68"/>
      <c r="N2114" s="68"/>
      <c r="O2114" s="68"/>
      <c r="P2114" s="68"/>
      <c r="Q2114" s="68">
        <f>SUM(Devis[[#This Row],[Poste 1]:[Poste 6]])</f>
        <v>0</v>
      </c>
      <c r="R2114" s="71">
        <v>2</v>
      </c>
      <c r="S2114" s="68">
        <f>_xlfn.CEILING.MATH(Devis[[#This Row],[Quantité Totale]],Devis[[#This Row],[Conditionnement]])</f>
        <v>0</v>
      </c>
      <c r="T2114" s="72"/>
      <c r="U2114" s="73"/>
      <c r="V2114" s="74">
        <f>Devis[[#This Row],[Prix de Revient]]*Devis[[#This Row],[Poste 1]]</f>
        <v>0</v>
      </c>
      <c r="W2114" s="74">
        <f>Devis[[#This Row],[Prix de Revient]]*Devis[[#This Row],[Poste 2]]</f>
        <v>0</v>
      </c>
      <c r="X2114" s="74">
        <f>Devis[[#This Row],[Prix de Revient]]*Devis[[#This Row],[Poste 3]]</f>
        <v>0</v>
      </c>
      <c r="Y2114" s="74">
        <f>Devis[[#This Row],[Poste 4]]*Devis[[#This Row],[Prix de Revient]]</f>
        <v>0</v>
      </c>
      <c r="Z2114" s="74">
        <f>Devis[[#This Row],[Poste 5]]*Devis[[#This Row],[Prix de Revient]]</f>
        <v>0</v>
      </c>
      <c r="AA2114" s="74">
        <f>Devis[[#This Row],[Prix de Revient]]*Devis[[#This Row],[Poste 6]]</f>
        <v>0</v>
      </c>
      <c r="AB2114" s="74">
        <f>Devis[[#This Row],[Quantité Totale]]*Devis[[#This Row],[Prix de Revient]]</f>
        <v>0</v>
      </c>
    </row>
    <row r="2115" spans="1:28" ht="14.25" customHeight="1" outlineLevel="1" x14ac:dyDescent="0.2">
      <c r="A2115" s="75" t="s">
        <v>1647</v>
      </c>
      <c r="B2115" s="76" t="s">
        <v>1562</v>
      </c>
      <c r="C2115" s="76" t="s">
        <v>1562</v>
      </c>
      <c r="D2115" s="81" t="str">
        <f t="shared" si="37"/>
        <v>Inox Serti ItalienTé mixte FTé mixte F</v>
      </c>
      <c r="E2115" s="76" t="s">
        <v>5359</v>
      </c>
      <c r="F2115" s="76">
        <v>23</v>
      </c>
      <c r="G2115" s="71" t="s">
        <v>1968</v>
      </c>
      <c r="H2115" s="71" t="s">
        <v>459</v>
      </c>
      <c r="I2115" s="71">
        <v>189304108</v>
      </c>
      <c r="J2115" s="70">
        <f>IFERROR(VLOOKUP(Devis[[#This Row],[Ref Air Flux]],#REF!,3,FALSE),0)</f>
        <v>0</v>
      </c>
      <c r="K2115" s="68"/>
      <c r="L2115" s="68"/>
      <c r="M2115" s="68"/>
      <c r="N2115" s="68"/>
      <c r="O2115" s="68"/>
      <c r="P2115" s="68"/>
      <c r="Q2115" s="68">
        <f>SUM(Devis[[#This Row],[Poste 1]:[Poste 6]])</f>
        <v>0</v>
      </c>
      <c r="R2115" s="71">
        <v>2</v>
      </c>
      <c r="S2115" s="68">
        <f>_xlfn.CEILING.MATH(Devis[[#This Row],[Quantité Totale]],Devis[[#This Row],[Conditionnement]])</f>
        <v>0</v>
      </c>
      <c r="T2115" s="72"/>
      <c r="U2115" s="73"/>
      <c r="V2115" s="74">
        <f>Devis[[#This Row],[Prix de Revient]]*Devis[[#This Row],[Poste 1]]</f>
        <v>0</v>
      </c>
      <c r="W2115" s="74">
        <f>Devis[[#This Row],[Prix de Revient]]*Devis[[#This Row],[Poste 2]]</f>
        <v>0</v>
      </c>
      <c r="X2115" s="74">
        <f>Devis[[#This Row],[Prix de Revient]]*Devis[[#This Row],[Poste 3]]</f>
        <v>0</v>
      </c>
      <c r="Y2115" s="74">
        <f>Devis[[#This Row],[Poste 4]]*Devis[[#This Row],[Prix de Revient]]</f>
        <v>0</v>
      </c>
      <c r="Z2115" s="74">
        <f>Devis[[#This Row],[Poste 5]]*Devis[[#This Row],[Prix de Revient]]</f>
        <v>0</v>
      </c>
      <c r="AA2115" s="74">
        <f>Devis[[#This Row],[Prix de Revient]]*Devis[[#This Row],[Poste 6]]</f>
        <v>0</v>
      </c>
      <c r="AB2115" s="74">
        <f>Devis[[#This Row],[Quantité Totale]]*Devis[[#This Row],[Prix de Revient]]</f>
        <v>0</v>
      </c>
    </row>
    <row r="2116" spans="1:28" ht="14.25" outlineLevel="1" x14ac:dyDescent="0.2">
      <c r="A2116" s="75" t="s">
        <v>1647</v>
      </c>
      <c r="B2116" s="76" t="s">
        <v>1562</v>
      </c>
      <c r="C2116" s="76" t="s">
        <v>1562</v>
      </c>
      <c r="D2116" s="81" t="str">
        <f t="shared" si="37"/>
        <v>Inox Serti ItalienTé mixte FTé mixte F</v>
      </c>
      <c r="E2116" s="76" t="s">
        <v>5360</v>
      </c>
      <c r="F2116" s="76">
        <v>24</v>
      </c>
      <c r="G2116" s="71" t="s">
        <v>1969</v>
      </c>
      <c r="H2116" s="71" t="s">
        <v>459</v>
      </c>
      <c r="I2116" s="71">
        <v>189200108</v>
      </c>
      <c r="J2116" s="70">
        <f>IFERROR(VLOOKUP(Devis[[#This Row],[Ref Air Flux]],#REF!,3,FALSE),0)</f>
        <v>0</v>
      </c>
      <c r="K2116" s="68"/>
      <c r="L2116" s="68"/>
      <c r="M2116" s="68"/>
      <c r="N2116" s="68"/>
      <c r="O2116" s="68"/>
      <c r="P2116" s="68"/>
      <c r="Q2116" s="68">
        <f>SUM(Devis[[#This Row],[Poste 1]:[Poste 6]])</f>
        <v>0</v>
      </c>
      <c r="R2116" s="71">
        <v>2</v>
      </c>
      <c r="S2116" s="68">
        <f>_xlfn.CEILING.MATH(Devis[[#This Row],[Quantité Totale]],Devis[[#This Row],[Conditionnement]])</f>
        <v>0</v>
      </c>
      <c r="T2116" s="72"/>
      <c r="U2116" s="73"/>
      <c r="V2116" s="74">
        <f>Devis[[#This Row],[Prix de Revient]]*Devis[[#This Row],[Poste 1]]</f>
        <v>0</v>
      </c>
      <c r="W2116" s="74">
        <f>Devis[[#This Row],[Prix de Revient]]*Devis[[#This Row],[Poste 2]]</f>
        <v>0</v>
      </c>
      <c r="X2116" s="74">
        <f>Devis[[#This Row],[Prix de Revient]]*Devis[[#This Row],[Poste 3]]</f>
        <v>0</v>
      </c>
      <c r="Y2116" s="74">
        <f>Devis[[#This Row],[Poste 4]]*Devis[[#This Row],[Prix de Revient]]</f>
        <v>0</v>
      </c>
      <c r="Z2116" s="74">
        <f>Devis[[#This Row],[Poste 5]]*Devis[[#This Row],[Prix de Revient]]</f>
        <v>0</v>
      </c>
      <c r="AA2116" s="74">
        <f>Devis[[#This Row],[Prix de Revient]]*Devis[[#This Row],[Poste 6]]</f>
        <v>0</v>
      </c>
      <c r="AB2116" s="74">
        <f>Devis[[#This Row],[Quantité Totale]]*Devis[[#This Row],[Prix de Revient]]</f>
        <v>0</v>
      </c>
    </row>
    <row r="2117" spans="1:28" ht="14.25" customHeight="1" x14ac:dyDescent="0.25">
      <c r="A2117" s="65" t="s">
        <v>1647</v>
      </c>
      <c r="B2117" s="65" t="s">
        <v>1605</v>
      </c>
      <c r="C2117" s="76" t="s">
        <v>1605</v>
      </c>
      <c r="D2117" s="81" t="str">
        <f t="shared" si="37"/>
        <v>Inox Serti ItalienTé réduitTé réduit</v>
      </c>
      <c r="E2117" s="76"/>
      <c r="F2117" s="76">
        <v>0</v>
      </c>
      <c r="G2117" s="71"/>
      <c r="H2117" s="71"/>
      <c r="I2117" s="71"/>
      <c r="J2117" s="70">
        <f>IFERROR(VLOOKUP(Devis[[#This Row],[Ref Air Flux]],#REF!,3,FALSE),0)</f>
        <v>0</v>
      </c>
      <c r="K2117" s="68"/>
      <c r="L2117" s="68"/>
      <c r="M2117" s="68"/>
      <c r="N2117" s="68"/>
      <c r="O2117" s="68"/>
      <c r="P2117" s="68"/>
      <c r="Q2117" s="68">
        <f>SUM(Devis[[#This Row],[Poste 1]:[Poste 6]])</f>
        <v>0</v>
      </c>
      <c r="R2117" s="71"/>
      <c r="S2117" s="68">
        <f>_xlfn.CEILING.MATH(Devis[[#This Row],[Quantité Totale]],Devis[[#This Row],[Conditionnement]])</f>
        <v>0</v>
      </c>
      <c r="T2117" s="72"/>
      <c r="U2117" s="73"/>
      <c r="V2117" s="74">
        <f>Devis[[#This Row],[Prix de Revient]]*Devis[[#This Row],[Poste 1]]</f>
        <v>0</v>
      </c>
      <c r="W2117" s="74">
        <f>Devis[[#This Row],[Prix de Revient]]*Devis[[#This Row],[Poste 2]]</f>
        <v>0</v>
      </c>
      <c r="X2117" s="74">
        <f>Devis[[#This Row],[Prix de Revient]]*Devis[[#This Row],[Poste 3]]</f>
        <v>0</v>
      </c>
      <c r="Y2117" s="74">
        <f>Devis[[#This Row],[Poste 4]]*Devis[[#This Row],[Prix de Revient]]</f>
        <v>0</v>
      </c>
      <c r="Z2117" s="74">
        <f>Devis[[#This Row],[Poste 5]]*Devis[[#This Row],[Prix de Revient]]</f>
        <v>0</v>
      </c>
      <c r="AA2117" s="74">
        <f>Devis[[#This Row],[Prix de Revient]]*Devis[[#This Row],[Poste 6]]</f>
        <v>0</v>
      </c>
      <c r="AB2117" s="74">
        <f>Devis[[#This Row],[Quantité Totale]]*Devis[[#This Row],[Prix de Revient]]</f>
        <v>0</v>
      </c>
    </row>
    <row r="2118" spans="1:28" ht="14.25" outlineLevel="1" x14ac:dyDescent="0.2">
      <c r="A2118" s="75" t="s">
        <v>1647</v>
      </c>
      <c r="B2118" s="76" t="s">
        <v>1605</v>
      </c>
      <c r="C2118" s="76" t="s">
        <v>1605</v>
      </c>
      <c r="D2118" s="81" t="str">
        <f t="shared" si="37"/>
        <v>Inox Serti ItalienTé réduitTé réduit</v>
      </c>
      <c r="E2118" s="76" t="s">
        <v>1841</v>
      </c>
      <c r="F2118" s="76">
        <v>1</v>
      </c>
      <c r="G2118" s="71" t="s">
        <v>1970</v>
      </c>
      <c r="H2118" s="71" t="s">
        <v>459</v>
      </c>
      <c r="I2118" s="71">
        <v>192018015</v>
      </c>
      <c r="J2118" s="70">
        <f>IFERROR(VLOOKUP(Devis[[#This Row],[Ref Air Flux]],#REF!,3,FALSE),0)</f>
        <v>0</v>
      </c>
      <c r="K2118" s="68"/>
      <c r="L2118" s="68"/>
      <c r="M2118" s="68"/>
      <c r="N2118" s="68"/>
      <c r="O2118" s="68"/>
      <c r="P2118" s="68"/>
      <c r="Q2118" s="68">
        <f>SUM(Devis[[#This Row],[Poste 1]:[Poste 6]])</f>
        <v>0</v>
      </c>
      <c r="R2118" s="71">
        <v>20</v>
      </c>
      <c r="S2118" s="68">
        <f>_xlfn.CEILING.MATH(Devis[[#This Row],[Quantité Totale]],Devis[[#This Row],[Conditionnement]])</f>
        <v>0</v>
      </c>
      <c r="T2118" s="72"/>
      <c r="U2118" s="73"/>
      <c r="V2118" s="74">
        <f>Devis[[#This Row],[Prix de Revient]]*Devis[[#This Row],[Poste 1]]</f>
        <v>0</v>
      </c>
      <c r="W2118" s="74">
        <f>Devis[[#This Row],[Prix de Revient]]*Devis[[#This Row],[Poste 2]]</f>
        <v>0</v>
      </c>
      <c r="X2118" s="74">
        <f>Devis[[#This Row],[Prix de Revient]]*Devis[[#This Row],[Poste 3]]</f>
        <v>0</v>
      </c>
      <c r="Y2118" s="74">
        <f>Devis[[#This Row],[Poste 4]]*Devis[[#This Row],[Prix de Revient]]</f>
        <v>0</v>
      </c>
      <c r="Z2118" s="74">
        <f>Devis[[#This Row],[Poste 5]]*Devis[[#This Row],[Prix de Revient]]</f>
        <v>0</v>
      </c>
      <c r="AA2118" s="74">
        <f>Devis[[#This Row],[Prix de Revient]]*Devis[[#This Row],[Poste 6]]</f>
        <v>0</v>
      </c>
      <c r="AB2118" s="74">
        <f>Devis[[#This Row],[Quantité Totale]]*Devis[[#This Row],[Prix de Revient]]</f>
        <v>0</v>
      </c>
    </row>
    <row r="2119" spans="1:28" ht="14.25" outlineLevel="1" x14ac:dyDescent="0.2">
      <c r="A2119" s="75" t="s">
        <v>1647</v>
      </c>
      <c r="B2119" s="76" t="s">
        <v>1605</v>
      </c>
      <c r="C2119" s="76" t="s">
        <v>1605</v>
      </c>
      <c r="D2119" s="81" t="str">
        <f t="shared" si="37"/>
        <v>Inox Serti ItalienTé réduitTé réduit</v>
      </c>
      <c r="E2119" s="76" t="s">
        <v>1972</v>
      </c>
      <c r="F2119" s="76">
        <v>2</v>
      </c>
      <c r="G2119" s="71" t="s">
        <v>1973</v>
      </c>
      <c r="H2119" s="71" t="s">
        <v>459</v>
      </c>
      <c r="I2119" s="71">
        <v>192022015</v>
      </c>
      <c r="J2119" s="70">
        <f>IFERROR(VLOOKUP(Devis[[#This Row],[Ref Air Flux]],#REF!,3,FALSE),0)</f>
        <v>0</v>
      </c>
      <c r="K2119" s="68"/>
      <c r="L2119" s="68"/>
      <c r="M2119" s="68"/>
      <c r="N2119" s="68"/>
      <c r="O2119" s="68"/>
      <c r="P2119" s="68"/>
      <c r="Q2119" s="68">
        <f>SUM(Devis[[#This Row],[Poste 1]:[Poste 6]])</f>
        <v>0</v>
      </c>
      <c r="R2119" s="71">
        <v>10</v>
      </c>
      <c r="S2119" s="68">
        <f>_xlfn.CEILING.MATH(Devis[[#This Row],[Quantité Totale]],Devis[[#This Row],[Conditionnement]])</f>
        <v>0</v>
      </c>
      <c r="T2119" s="72"/>
      <c r="U2119" s="73"/>
      <c r="V2119" s="74">
        <f>Devis[[#This Row],[Prix de Revient]]*Devis[[#This Row],[Poste 1]]</f>
        <v>0</v>
      </c>
      <c r="W2119" s="74">
        <f>Devis[[#This Row],[Prix de Revient]]*Devis[[#This Row],[Poste 2]]</f>
        <v>0</v>
      </c>
      <c r="X2119" s="74">
        <f>Devis[[#This Row],[Prix de Revient]]*Devis[[#This Row],[Poste 3]]</f>
        <v>0</v>
      </c>
      <c r="Y2119" s="74">
        <f>Devis[[#This Row],[Poste 4]]*Devis[[#This Row],[Prix de Revient]]</f>
        <v>0</v>
      </c>
      <c r="Z2119" s="74">
        <f>Devis[[#This Row],[Poste 5]]*Devis[[#This Row],[Prix de Revient]]</f>
        <v>0</v>
      </c>
      <c r="AA2119" s="74">
        <f>Devis[[#This Row],[Prix de Revient]]*Devis[[#This Row],[Poste 6]]</f>
        <v>0</v>
      </c>
      <c r="AB2119" s="74">
        <f>Devis[[#This Row],[Quantité Totale]]*Devis[[#This Row],[Prix de Revient]]</f>
        <v>0</v>
      </c>
    </row>
    <row r="2120" spans="1:28" ht="14.25" outlineLevel="1" x14ac:dyDescent="0.2">
      <c r="A2120" s="75" t="s">
        <v>1647</v>
      </c>
      <c r="B2120" s="76" t="s">
        <v>1605</v>
      </c>
      <c r="C2120" s="76" t="s">
        <v>1605</v>
      </c>
      <c r="D2120" s="81" t="str">
        <f t="shared" si="37"/>
        <v>Inox Serti ItalienTé réduitTé réduit</v>
      </c>
      <c r="E2120" s="76" t="s">
        <v>1974</v>
      </c>
      <c r="F2120" s="76">
        <v>3</v>
      </c>
      <c r="G2120" s="71" t="s">
        <v>1975</v>
      </c>
      <c r="H2120" s="71" t="s">
        <v>459</v>
      </c>
      <c r="I2120" s="71">
        <v>192022018</v>
      </c>
      <c r="J2120" s="70">
        <f>IFERROR(VLOOKUP(Devis[[#This Row],[Ref Air Flux]],#REF!,3,FALSE),0)</f>
        <v>0</v>
      </c>
      <c r="K2120" s="68"/>
      <c r="L2120" s="68"/>
      <c r="M2120" s="68"/>
      <c r="N2120" s="68"/>
      <c r="O2120" s="68"/>
      <c r="P2120" s="68"/>
      <c r="Q2120" s="68">
        <f>SUM(Devis[[#This Row],[Poste 1]:[Poste 6]])</f>
        <v>0</v>
      </c>
      <c r="R2120" s="71">
        <v>10</v>
      </c>
      <c r="S2120" s="68">
        <f>_xlfn.CEILING.MATH(Devis[[#This Row],[Quantité Totale]],Devis[[#This Row],[Conditionnement]])</f>
        <v>0</v>
      </c>
      <c r="T2120" s="72"/>
      <c r="U2120" s="73"/>
      <c r="V2120" s="74">
        <f>Devis[[#This Row],[Prix de Revient]]*Devis[[#This Row],[Poste 1]]</f>
        <v>0</v>
      </c>
      <c r="W2120" s="74">
        <f>Devis[[#This Row],[Prix de Revient]]*Devis[[#This Row],[Poste 2]]</f>
        <v>0</v>
      </c>
      <c r="X2120" s="74">
        <f>Devis[[#This Row],[Prix de Revient]]*Devis[[#This Row],[Poste 3]]</f>
        <v>0</v>
      </c>
      <c r="Y2120" s="74">
        <f>Devis[[#This Row],[Poste 4]]*Devis[[#This Row],[Prix de Revient]]</f>
        <v>0</v>
      </c>
      <c r="Z2120" s="74">
        <f>Devis[[#This Row],[Poste 5]]*Devis[[#This Row],[Prix de Revient]]</f>
        <v>0</v>
      </c>
      <c r="AA2120" s="74">
        <f>Devis[[#This Row],[Prix de Revient]]*Devis[[#This Row],[Poste 6]]</f>
        <v>0</v>
      </c>
      <c r="AB2120" s="74">
        <f>Devis[[#This Row],[Quantité Totale]]*Devis[[#This Row],[Prix de Revient]]</f>
        <v>0</v>
      </c>
    </row>
    <row r="2121" spans="1:28" ht="14.25" outlineLevel="1" x14ac:dyDescent="0.2">
      <c r="A2121" s="75" t="s">
        <v>1647</v>
      </c>
      <c r="B2121" s="76" t="s">
        <v>1605</v>
      </c>
      <c r="C2121" s="76" t="s">
        <v>1605</v>
      </c>
      <c r="D2121" s="81" t="str">
        <f t="shared" si="37"/>
        <v>Inox Serti ItalienTé réduitTé réduit</v>
      </c>
      <c r="E2121" s="76" t="s">
        <v>1845</v>
      </c>
      <c r="F2121" s="76">
        <v>4</v>
      </c>
      <c r="G2121" s="71" t="s">
        <v>1976</v>
      </c>
      <c r="H2121" s="71" t="s">
        <v>459</v>
      </c>
      <c r="I2121" s="71">
        <v>192028015</v>
      </c>
      <c r="J2121" s="70">
        <f>IFERROR(VLOOKUP(Devis[[#This Row],[Ref Air Flux]],#REF!,3,FALSE),0)</f>
        <v>0</v>
      </c>
      <c r="K2121" s="68"/>
      <c r="L2121" s="68"/>
      <c r="M2121" s="68"/>
      <c r="N2121" s="68"/>
      <c r="O2121" s="68"/>
      <c r="P2121" s="68"/>
      <c r="Q2121" s="68">
        <f>SUM(Devis[[#This Row],[Poste 1]:[Poste 6]])</f>
        <v>0</v>
      </c>
      <c r="R2121" s="71">
        <v>10</v>
      </c>
      <c r="S2121" s="68">
        <f>_xlfn.CEILING.MATH(Devis[[#This Row],[Quantité Totale]],Devis[[#This Row],[Conditionnement]])</f>
        <v>0</v>
      </c>
      <c r="T2121" s="72"/>
      <c r="U2121" s="73"/>
      <c r="V2121" s="74">
        <f>Devis[[#This Row],[Prix de Revient]]*Devis[[#This Row],[Poste 1]]</f>
        <v>0</v>
      </c>
      <c r="W2121" s="74">
        <f>Devis[[#This Row],[Prix de Revient]]*Devis[[#This Row],[Poste 2]]</f>
        <v>0</v>
      </c>
      <c r="X2121" s="74">
        <f>Devis[[#This Row],[Prix de Revient]]*Devis[[#This Row],[Poste 3]]</f>
        <v>0</v>
      </c>
      <c r="Y2121" s="74">
        <f>Devis[[#This Row],[Poste 4]]*Devis[[#This Row],[Prix de Revient]]</f>
        <v>0</v>
      </c>
      <c r="Z2121" s="74">
        <f>Devis[[#This Row],[Poste 5]]*Devis[[#This Row],[Prix de Revient]]</f>
        <v>0</v>
      </c>
      <c r="AA2121" s="74">
        <f>Devis[[#This Row],[Prix de Revient]]*Devis[[#This Row],[Poste 6]]</f>
        <v>0</v>
      </c>
      <c r="AB2121" s="74">
        <f>Devis[[#This Row],[Quantité Totale]]*Devis[[#This Row],[Prix de Revient]]</f>
        <v>0</v>
      </c>
    </row>
    <row r="2122" spans="1:28" ht="14.25" outlineLevel="1" x14ac:dyDescent="0.2">
      <c r="A2122" s="75" t="s">
        <v>1647</v>
      </c>
      <c r="B2122" s="76" t="s">
        <v>1605</v>
      </c>
      <c r="C2122" s="76" t="s">
        <v>1605</v>
      </c>
      <c r="D2122" s="81" t="str">
        <f t="shared" si="37"/>
        <v>Inox Serti ItalienTé réduitTé réduit</v>
      </c>
      <c r="E2122" s="76" t="s">
        <v>1977</v>
      </c>
      <c r="F2122" s="76">
        <v>5</v>
      </c>
      <c r="G2122" s="71" t="s">
        <v>1978</v>
      </c>
      <c r="H2122" s="71" t="s">
        <v>459</v>
      </c>
      <c r="I2122" s="71">
        <v>192028018</v>
      </c>
      <c r="J2122" s="70">
        <f>IFERROR(VLOOKUP(Devis[[#This Row],[Ref Air Flux]],#REF!,3,FALSE),0)</f>
        <v>0</v>
      </c>
      <c r="K2122" s="68"/>
      <c r="L2122" s="68"/>
      <c r="M2122" s="68"/>
      <c r="N2122" s="68"/>
      <c r="O2122" s="68"/>
      <c r="P2122" s="68"/>
      <c r="Q2122" s="68">
        <f>SUM(Devis[[#This Row],[Poste 1]:[Poste 6]])</f>
        <v>0</v>
      </c>
      <c r="R2122" s="71">
        <v>10</v>
      </c>
      <c r="S2122" s="68">
        <f>_xlfn.CEILING.MATH(Devis[[#This Row],[Quantité Totale]],Devis[[#This Row],[Conditionnement]])</f>
        <v>0</v>
      </c>
      <c r="T2122" s="72"/>
      <c r="U2122" s="73"/>
      <c r="V2122" s="74">
        <f>Devis[[#This Row],[Prix de Revient]]*Devis[[#This Row],[Poste 1]]</f>
        <v>0</v>
      </c>
      <c r="W2122" s="74">
        <f>Devis[[#This Row],[Prix de Revient]]*Devis[[#This Row],[Poste 2]]</f>
        <v>0</v>
      </c>
      <c r="X2122" s="74">
        <f>Devis[[#This Row],[Prix de Revient]]*Devis[[#This Row],[Poste 3]]</f>
        <v>0</v>
      </c>
      <c r="Y2122" s="74">
        <f>Devis[[#This Row],[Poste 4]]*Devis[[#This Row],[Prix de Revient]]</f>
        <v>0</v>
      </c>
      <c r="Z2122" s="74">
        <f>Devis[[#This Row],[Poste 5]]*Devis[[#This Row],[Prix de Revient]]</f>
        <v>0</v>
      </c>
      <c r="AA2122" s="74">
        <f>Devis[[#This Row],[Prix de Revient]]*Devis[[#This Row],[Poste 6]]</f>
        <v>0</v>
      </c>
      <c r="AB2122" s="74">
        <f>Devis[[#This Row],[Quantité Totale]]*Devis[[#This Row],[Prix de Revient]]</f>
        <v>0</v>
      </c>
    </row>
    <row r="2123" spans="1:28" ht="14.25" outlineLevel="1" x14ac:dyDescent="0.2">
      <c r="A2123" s="75" t="s">
        <v>1647</v>
      </c>
      <c r="B2123" s="76" t="s">
        <v>1605</v>
      </c>
      <c r="C2123" s="76" t="s">
        <v>1605</v>
      </c>
      <c r="D2123" s="81" t="str">
        <f t="shared" si="37"/>
        <v>Inox Serti ItalienTé réduitTé réduit</v>
      </c>
      <c r="E2123" s="76" t="s">
        <v>1848</v>
      </c>
      <c r="F2123" s="76">
        <v>6</v>
      </c>
      <c r="G2123" s="71" t="s">
        <v>1979</v>
      </c>
      <c r="H2123" s="71" t="s">
        <v>459</v>
      </c>
      <c r="I2123" s="71">
        <v>192028022</v>
      </c>
      <c r="J2123" s="70">
        <f>IFERROR(VLOOKUP(Devis[[#This Row],[Ref Air Flux]],#REF!,3,FALSE),0)</f>
        <v>0</v>
      </c>
      <c r="K2123" s="68"/>
      <c r="L2123" s="68"/>
      <c r="M2123" s="68"/>
      <c r="N2123" s="68"/>
      <c r="O2123" s="68"/>
      <c r="P2123" s="68"/>
      <c r="Q2123" s="68">
        <f>SUM(Devis[[#This Row],[Poste 1]:[Poste 6]])</f>
        <v>0</v>
      </c>
      <c r="R2123" s="71">
        <v>10</v>
      </c>
      <c r="S2123" s="68">
        <f>_xlfn.CEILING.MATH(Devis[[#This Row],[Quantité Totale]],Devis[[#This Row],[Conditionnement]])</f>
        <v>0</v>
      </c>
      <c r="T2123" s="72"/>
      <c r="U2123" s="73"/>
      <c r="V2123" s="74">
        <f>Devis[[#This Row],[Prix de Revient]]*Devis[[#This Row],[Poste 1]]</f>
        <v>0</v>
      </c>
      <c r="W2123" s="74">
        <f>Devis[[#This Row],[Prix de Revient]]*Devis[[#This Row],[Poste 2]]</f>
        <v>0</v>
      </c>
      <c r="X2123" s="74">
        <f>Devis[[#This Row],[Prix de Revient]]*Devis[[#This Row],[Poste 3]]</f>
        <v>0</v>
      </c>
      <c r="Y2123" s="74">
        <f>Devis[[#This Row],[Poste 4]]*Devis[[#This Row],[Prix de Revient]]</f>
        <v>0</v>
      </c>
      <c r="Z2123" s="74">
        <f>Devis[[#This Row],[Poste 5]]*Devis[[#This Row],[Prix de Revient]]</f>
        <v>0</v>
      </c>
      <c r="AA2123" s="74">
        <f>Devis[[#This Row],[Prix de Revient]]*Devis[[#This Row],[Poste 6]]</f>
        <v>0</v>
      </c>
      <c r="AB2123" s="74">
        <f>Devis[[#This Row],[Quantité Totale]]*Devis[[#This Row],[Prix de Revient]]</f>
        <v>0</v>
      </c>
    </row>
    <row r="2124" spans="1:28" ht="14.25" outlineLevel="1" x14ac:dyDescent="0.2">
      <c r="A2124" s="75" t="s">
        <v>1647</v>
      </c>
      <c r="B2124" s="76" t="s">
        <v>1605</v>
      </c>
      <c r="C2124" s="76" t="s">
        <v>1605</v>
      </c>
      <c r="D2124" s="81" t="str">
        <f t="shared" si="37"/>
        <v>Inox Serti ItalienTé réduitTé réduit</v>
      </c>
      <c r="E2124" s="76" t="s">
        <v>1850</v>
      </c>
      <c r="F2124" s="76">
        <v>7</v>
      </c>
      <c r="G2124" s="71" t="s">
        <v>1980</v>
      </c>
      <c r="H2124" s="71" t="s">
        <v>459</v>
      </c>
      <c r="I2124" s="71">
        <v>192035015</v>
      </c>
      <c r="J2124" s="70">
        <f>IFERROR(VLOOKUP(Devis[[#This Row],[Ref Air Flux]],#REF!,3,FALSE),0)</f>
        <v>0</v>
      </c>
      <c r="K2124" s="68"/>
      <c r="L2124" s="68"/>
      <c r="M2124" s="68"/>
      <c r="N2124" s="68"/>
      <c r="O2124" s="68"/>
      <c r="P2124" s="68"/>
      <c r="Q2124" s="68">
        <f>SUM(Devis[[#This Row],[Poste 1]:[Poste 6]])</f>
        <v>0</v>
      </c>
      <c r="R2124" s="71">
        <v>5</v>
      </c>
      <c r="S2124" s="68">
        <f>_xlfn.CEILING.MATH(Devis[[#This Row],[Quantité Totale]],Devis[[#This Row],[Conditionnement]])</f>
        <v>0</v>
      </c>
      <c r="T2124" s="72"/>
      <c r="U2124" s="73"/>
      <c r="V2124" s="74">
        <f>Devis[[#This Row],[Prix de Revient]]*Devis[[#This Row],[Poste 1]]</f>
        <v>0</v>
      </c>
      <c r="W2124" s="74">
        <f>Devis[[#This Row],[Prix de Revient]]*Devis[[#This Row],[Poste 2]]</f>
        <v>0</v>
      </c>
      <c r="X2124" s="74">
        <f>Devis[[#This Row],[Prix de Revient]]*Devis[[#This Row],[Poste 3]]</f>
        <v>0</v>
      </c>
      <c r="Y2124" s="74">
        <f>Devis[[#This Row],[Poste 4]]*Devis[[#This Row],[Prix de Revient]]</f>
        <v>0</v>
      </c>
      <c r="Z2124" s="74">
        <f>Devis[[#This Row],[Poste 5]]*Devis[[#This Row],[Prix de Revient]]</f>
        <v>0</v>
      </c>
      <c r="AA2124" s="74">
        <f>Devis[[#This Row],[Prix de Revient]]*Devis[[#This Row],[Poste 6]]</f>
        <v>0</v>
      </c>
      <c r="AB2124" s="74">
        <f>Devis[[#This Row],[Quantité Totale]]*Devis[[#This Row],[Prix de Revient]]</f>
        <v>0</v>
      </c>
    </row>
    <row r="2125" spans="1:28" ht="14.25" customHeight="1" outlineLevel="1" x14ac:dyDescent="0.2">
      <c r="A2125" s="75" t="s">
        <v>1647</v>
      </c>
      <c r="B2125" s="76" t="s">
        <v>1605</v>
      </c>
      <c r="C2125" s="76" t="s">
        <v>1605</v>
      </c>
      <c r="D2125" s="81" t="str">
        <f t="shared" si="37"/>
        <v>Inox Serti ItalienTé réduitTé réduit</v>
      </c>
      <c r="E2125" s="76" t="s">
        <v>1852</v>
      </c>
      <c r="F2125" s="76">
        <v>8</v>
      </c>
      <c r="G2125" s="71" t="s">
        <v>1981</v>
      </c>
      <c r="H2125" s="71" t="s">
        <v>459</v>
      </c>
      <c r="I2125" s="71">
        <v>192035018</v>
      </c>
      <c r="J2125" s="70">
        <f>IFERROR(VLOOKUP(Devis[[#This Row],[Ref Air Flux]],#REF!,3,FALSE),0)</f>
        <v>0</v>
      </c>
      <c r="K2125" s="68"/>
      <c r="L2125" s="68"/>
      <c r="M2125" s="68"/>
      <c r="N2125" s="68"/>
      <c r="O2125" s="68"/>
      <c r="P2125" s="68"/>
      <c r="Q2125" s="68">
        <f>SUM(Devis[[#This Row],[Poste 1]:[Poste 6]])</f>
        <v>0</v>
      </c>
      <c r="R2125" s="71">
        <v>5</v>
      </c>
      <c r="S2125" s="68">
        <f>_xlfn.CEILING.MATH(Devis[[#This Row],[Quantité Totale]],Devis[[#This Row],[Conditionnement]])</f>
        <v>0</v>
      </c>
      <c r="T2125" s="72"/>
      <c r="U2125" s="73"/>
      <c r="V2125" s="74">
        <f>Devis[[#This Row],[Prix de Revient]]*Devis[[#This Row],[Poste 1]]</f>
        <v>0</v>
      </c>
      <c r="W2125" s="74">
        <f>Devis[[#This Row],[Prix de Revient]]*Devis[[#This Row],[Poste 2]]</f>
        <v>0</v>
      </c>
      <c r="X2125" s="74">
        <f>Devis[[#This Row],[Prix de Revient]]*Devis[[#This Row],[Poste 3]]</f>
        <v>0</v>
      </c>
      <c r="Y2125" s="74">
        <f>Devis[[#This Row],[Poste 4]]*Devis[[#This Row],[Prix de Revient]]</f>
        <v>0</v>
      </c>
      <c r="Z2125" s="74">
        <f>Devis[[#This Row],[Poste 5]]*Devis[[#This Row],[Prix de Revient]]</f>
        <v>0</v>
      </c>
      <c r="AA2125" s="74">
        <f>Devis[[#This Row],[Prix de Revient]]*Devis[[#This Row],[Poste 6]]</f>
        <v>0</v>
      </c>
      <c r="AB2125" s="74">
        <f>Devis[[#This Row],[Quantité Totale]]*Devis[[#This Row],[Prix de Revient]]</f>
        <v>0</v>
      </c>
    </row>
    <row r="2126" spans="1:28" ht="14.25" customHeight="1" outlineLevel="1" x14ac:dyDescent="0.2">
      <c r="A2126" s="75" t="s">
        <v>1647</v>
      </c>
      <c r="B2126" s="76" t="s">
        <v>1605</v>
      </c>
      <c r="C2126" s="76" t="s">
        <v>1605</v>
      </c>
      <c r="D2126" s="81" t="str">
        <f t="shared" si="37"/>
        <v>Inox Serti ItalienTé réduitTé réduit</v>
      </c>
      <c r="E2126" s="76" t="s">
        <v>1854</v>
      </c>
      <c r="F2126" s="76">
        <v>9</v>
      </c>
      <c r="G2126" s="71" t="s">
        <v>1982</v>
      </c>
      <c r="H2126" s="71" t="s">
        <v>459</v>
      </c>
      <c r="I2126" s="71">
        <v>192035022</v>
      </c>
      <c r="J2126" s="70">
        <f>IFERROR(VLOOKUP(Devis[[#This Row],[Ref Air Flux]],#REF!,3,FALSE),0)</f>
        <v>0</v>
      </c>
      <c r="K2126" s="68"/>
      <c r="L2126" s="68"/>
      <c r="M2126" s="68"/>
      <c r="N2126" s="68"/>
      <c r="O2126" s="68"/>
      <c r="P2126" s="68"/>
      <c r="Q2126" s="68">
        <f>SUM(Devis[[#This Row],[Poste 1]:[Poste 6]])</f>
        <v>0</v>
      </c>
      <c r="R2126" s="71">
        <v>5</v>
      </c>
      <c r="S2126" s="68">
        <f>_xlfn.CEILING.MATH(Devis[[#This Row],[Quantité Totale]],Devis[[#This Row],[Conditionnement]])</f>
        <v>0</v>
      </c>
      <c r="T2126" s="72"/>
      <c r="U2126" s="73"/>
      <c r="V2126" s="74">
        <f>Devis[[#This Row],[Prix de Revient]]*Devis[[#This Row],[Poste 1]]</f>
        <v>0</v>
      </c>
      <c r="W2126" s="74">
        <f>Devis[[#This Row],[Prix de Revient]]*Devis[[#This Row],[Poste 2]]</f>
        <v>0</v>
      </c>
      <c r="X2126" s="74">
        <f>Devis[[#This Row],[Prix de Revient]]*Devis[[#This Row],[Poste 3]]</f>
        <v>0</v>
      </c>
      <c r="Y2126" s="74">
        <f>Devis[[#This Row],[Poste 4]]*Devis[[#This Row],[Prix de Revient]]</f>
        <v>0</v>
      </c>
      <c r="Z2126" s="74">
        <f>Devis[[#This Row],[Poste 5]]*Devis[[#This Row],[Prix de Revient]]</f>
        <v>0</v>
      </c>
      <c r="AA2126" s="74">
        <f>Devis[[#This Row],[Prix de Revient]]*Devis[[#This Row],[Poste 6]]</f>
        <v>0</v>
      </c>
      <c r="AB2126" s="74">
        <f>Devis[[#This Row],[Quantité Totale]]*Devis[[#This Row],[Prix de Revient]]</f>
        <v>0</v>
      </c>
    </row>
    <row r="2127" spans="1:28" ht="14.25" outlineLevel="1" x14ac:dyDescent="0.2">
      <c r="A2127" s="75" t="s">
        <v>1647</v>
      </c>
      <c r="B2127" s="76" t="s">
        <v>1605</v>
      </c>
      <c r="C2127" s="76" t="s">
        <v>1605</v>
      </c>
      <c r="D2127" s="81" t="str">
        <f t="shared" si="37"/>
        <v>Inox Serti ItalienTé réduitTé réduit</v>
      </c>
      <c r="E2127" s="76" t="s">
        <v>1856</v>
      </c>
      <c r="F2127" s="76">
        <v>10</v>
      </c>
      <c r="G2127" s="71" t="s">
        <v>1983</v>
      </c>
      <c r="H2127" s="71" t="s">
        <v>459</v>
      </c>
      <c r="I2127" s="71">
        <v>192035028</v>
      </c>
      <c r="J2127" s="70">
        <f>IFERROR(VLOOKUP(Devis[[#This Row],[Ref Air Flux]],#REF!,3,FALSE),0)</f>
        <v>0</v>
      </c>
      <c r="K2127" s="68"/>
      <c r="L2127" s="68"/>
      <c r="M2127" s="68"/>
      <c r="N2127" s="68"/>
      <c r="O2127" s="68"/>
      <c r="P2127" s="68"/>
      <c r="Q2127" s="68">
        <f>SUM(Devis[[#This Row],[Poste 1]:[Poste 6]])</f>
        <v>0</v>
      </c>
      <c r="R2127" s="71">
        <v>5</v>
      </c>
      <c r="S2127" s="68">
        <f>_xlfn.CEILING.MATH(Devis[[#This Row],[Quantité Totale]],Devis[[#This Row],[Conditionnement]])</f>
        <v>0</v>
      </c>
      <c r="T2127" s="72"/>
      <c r="U2127" s="73"/>
      <c r="V2127" s="74">
        <f>Devis[[#This Row],[Prix de Revient]]*Devis[[#This Row],[Poste 1]]</f>
        <v>0</v>
      </c>
      <c r="W2127" s="74">
        <f>Devis[[#This Row],[Prix de Revient]]*Devis[[#This Row],[Poste 2]]</f>
        <v>0</v>
      </c>
      <c r="X2127" s="74">
        <f>Devis[[#This Row],[Prix de Revient]]*Devis[[#This Row],[Poste 3]]</f>
        <v>0</v>
      </c>
      <c r="Y2127" s="74">
        <f>Devis[[#This Row],[Poste 4]]*Devis[[#This Row],[Prix de Revient]]</f>
        <v>0</v>
      </c>
      <c r="Z2127" s="74">
        <f>Devis[[#This Row],[Poste 5]]*Devis[[#This Row],[Prix de Revient]]</f>
        <v>0</v>
      </c>
      <c r="AA2127" s="74">
        <f>Devis[[#This Row],[Prix de Revient]]*Devis[[#This Row],[Poste 6]]</f>
        <v>0</v>
      </c>
      <c r="AB2127" s="74">
        <f>Devis[[#This Row],[Quantité Totale]]*Devis[[#This Row],[Prix de Revient]]</f>
        <v>0</v>
      </c>
    </row>
    <row r="2128" spans="1:28" ht="14.25" outlineLevel="1" x14ac:dyDescent="0.2">
      <c r="A2128" s="75" t="s">
        <v>1647</v>
      </c>
      <c r="B2128" s="76" t="s">
        <v>1605</v>
      </c>
      <c r="C2128" s="76" t="s">
        <v>1605</v>
      </c>
      <c r="D2128" s="81" t="str">
        <f t="shared" si="37"/>
        <v>Inox Serti ItalienTé réduitTé réduit</v>
      </c>
      <c r="E2128" s="76" t="s">
        <v>1860</v>
      </c>
      <c r="F2128" s="76">
        <v>11</v>
      </c>
      <c r="G2128" s="71" t="s">
        <v>1984</v>
      </c>
      <c r="H2128" s="71" t="s">
        <v>459</v>
      </c>
      <c r="I2128" s="71">
        <v>192042018</v>
      </c>
      <c r="J2128" s="70">
        <f>IFERROR(VLOOKUP(Devis[[#This Row],[Ref Air Flux]],#REF!,3,FALSE),0)</f>
        <v>0</v>
      </c>
      <c r="K2128" s="68"/>
      <c r="L2128" s="68"/>
      <c r="M2128" s="68"/>
      <c r="N2128" s="68"/>
      <c r="O2128" s="68"/>
      <c r="P2128" s="68"/>
      <c r="Q2128" s="68">
        <f>SUM(Devis[[#This Row],[Poste 1]:[Poste 6]])</f>
        <v>0</v>
      </c>
      <c r="R2128" s="71">
        <v>4</v>
      </c>
      <c r="S2128" s="68">
        <f>_xlfn.CEILING.MATH(Devis[[#This Row],[Quantité Totale]],Devis[[#This Row],[Conditionnement]])</f>
        <v>0</v>
      </c>
      <c r="T2128" s="72"/>
      <c r="U2128" s="73"/>
      <c r="V2128" s="74">
        <f>Devis[[#This Row],[Prix de Revient]]*Devis[[#This Row],[Poste 1]]</f>
        <v>0</v>
      </c>
      <c r="W2128" s="74">
        <f>Devis[[#This Row],[Prix de Revient]]*Devis[[#This Row],[Poste 2]]</f>
        <v>0</v>
      </c>
      <c r="X2128" s="74">
        <f>Devis[[#This Row],[Prix de Revient]]*Devis[[#This Row],[Poste 3]]</f>
        <v>0</v>
      </c>
      <c r="Y2128" s="74">
        <f>Devis[[#This Row],[Poste 4]]*Devis[[#This Row],[Prix de Revient]]</f>
        <v>0</v>
      </c>
      <c r="Z2128" s="74">
        <f>Devis[[#This Row],[Poste 5]]*Devis[[#This Row],[Prix de Revient]]</f>
        <v>0</v>
      </c>
      <c r="AA2128" s="74">
        <f>Devis[[#This Row],[Prix de Revient]]*Devis[[#This Row],[Poste 6]]</f>
        <v>0</v>
      </c>
      <c r="AB2128" s="74">
        <f>Devis[[#This Row],[Quantité Totale]]*Devis[[#This Row],[Prix de Revient]]</f>
        <v>0</v>
      </c>
    </row>
    <row r="2129" spans="1:28" ht="14.25" outlineLevel="1" x14ac:dyDescent="0.2">
      <c r="A2129" s="75" t="s">
        <v>1647</v>
      </c>
      <c r="B2129" s="76" t="s">
        <v>1605</v>
      </c>
      <c r="C2129" s="76" t="s">
        <v>1605</v>
      </c>
      <c r="D2129" s="81" t="str">
        <f t="shared" si="37"/>
        <v>Inox Serti ItalienTé réduitTé réduit</v>
      </c>
      <c r="E2129" s="76" t="s">
        <v>1862</v>
      </c>
      <c r="F2129" s="76">
        <v>12</v>
      </c>
      <c r="G2129" s="71" t="s">
        <v>1985</v>
      </c>
      <c r="H2129" s="71" t="s">
        <v>459</v>
      </c>
      <c r="I2129" s="71">
        <v>192042022</v>
      </c>
      <c r="J2129" s="70">
        <f>IFERROR(VLOOKUP(Devis[[#This Row],[Ref Air Flux]],#REF!,3,FALSE),0)</f>
        <v>0</v>
      </c>
      <c r="K2129" s="68"/>
      <c r="L2129" s="68"/>
      <c r="M2129" s="68"/>
      <c r="N2129" s="68"/>
      <c r="O2129" s="68"/>
      <c r="P2129" s="68"/>
      <c r="Q2129" s="68">
        <f>SUM(Devis[[#This Row],[Poste 1]:[Poste 6]])</f>
        <v>0</v>
      </c>
      <c r="R2129" s="71">
        <v>4</v>
      </c>
      <c r="S2129" s="68">
        <f>_xlfn.CEILING.MATH(Devis[[#This Row],[Quantité Totale]],Devis[[#This Row],[Conditionnement]])</f>
        <v>0</v>
      </c>
      <c r="T2129" s="72"/>
      <c r="U2129" s="73"/>
      <c r="V2129" s="74">
        <f>Devis[[#This Row],[Prix de Revient]]*Devis[[#This Row],[Poste 1]]</f>
        <v>0</v>
      </c>
      <c r="W2129" s="74">
        <f>Devis[[#This Row],[Prix de Revient]]*Devis[[#This Row],[Poste 2]]</f>
        <v>0</v>
      </c>
      <c r="X2129" s="74">
        <f>Devis[[#This Row],[Prix de Revient]]*Devis[[#This Row],[Poste 3]]</f>
        <v>0</v>
      </c>
      <c r="Y2129" s="74">
        <f>Devis[[#This Row],[Poste 4]]*Devis[[#This Row],[Prix de Revient]]</f>
        <v>0</v>
      </c>
      <c r="Z2129" s="74">
        <f>Devis[[#This Row],[Poste 5]]*Devis[[#This Row],[Prix de Revient]]</f>
        <v>0</v>
      </c>
      <c r="AA2129" s="74">
        <f>Devis[[#This Row],[Prix de Revient]]*Devis[[#This Row],[Poste 6]]</f>
        <v>0</v>
      </c>
      <c r="AB2129" s="74">
        <f>Devis[[#This Row],[Quantité Totale]]*Devis[[#This Row],[Prix de Revient]]</f>
        <v>0</v>
      </c>
    </row>
    <row r="2130" spans="1:28" ht="15" customHeight="1" outlineLevel="1" x14ac:dyDescent="0.2">
      <c r="A2130" s="75" t="s">
        <v>1647</v>
      </c>
      <c r="B2130" s="76" t="s">
        <v>1605</v>
      </c>
      <c r="C2130" s="76" t="s">
        <v>1605</v>
      </c>
      <c r="D2130" s="81" t="str">
        <f t="shared" si="37"/>
        <v>Inox Serti ItalienTé réduitTé réduit</v>
      </c>
      <c r="E2130" s="76" t="s">
        <v>1864</v>
      </c>
      <c r="F2130" s="76">
        <v>13</v>
      </c>
      <c r="G2130" s="71" t="s">
        <v>1986</v>
      </c>
      <c r="H2130" s="71" t="s">
        <v>459</v>
      </c>
      <c r="I2130" s="71">
        <v>192042028</v>
      </c>
      <c r="J2130" s="70">
        <f>IFERROR(VLOOKUP(Devis[[#This Row],[Ref Air Flux]],#REF!,3,FALSE),0)</f>
        <v>0</v>
      </c>
      <c r="K2130" s="68"/>
      <c r="L2130" s="68"/>
      <c r="M2130" s="68"/>
      <c r="N2130" s="68"/>
      <c r="O2130" s="68"/>
      <c r="P2130" s="68"/>
      <c r="Q2130" s="68">
        <f>SUM(Devis[[#This Row],[Poste 1]:[Poste 6]])</f>
        <v>0</v>
      </c>
      <c r="R2130" s="71">
        <v>4</v>
      </c>
      <c r="S2130" s="68">
        <f>_xlfn.CEILING.MATH(Devis[[#This Row],[Quantité Totale]],Devis[[#This Row],[Conditionnement]])</f>
        <v>0</v>
      </c>
      <c r="T2130" s="72"/>
      <c r="U2130" s="73"/>
      <c r="V2130" s="74">
        <f>Devis[[#This Row],[Prix de Revient]]*Devis[[#This Row],[Poste 1]]</f>
        <v>0</v>
      </c>
      <c r="W2130" s="74">
        <f>Devis[[#This Row],[Prix de Revient]]*Devis[[#This Row],[Poste 2]]</f>
        <v>0</v>
      </c>
      <c r="X2130" s="74">
        <f>Devis[[#This Row],[Prix de Revient]]*Devis[[#This Row],[Poste 3]]</f>
        <v>0</v>
      </c>
      <c r="Y2130" s="74">
        <f>Devis[[#This Row],[Poste 4]]*Devis[[#This Row],[Prix de Revient]]</f>
        <v>0</v>
      </c>
      <c r="Z2130" s="74">
        <f>Devis[[#This Row],[Poste 5]]*Devis[[#This Row],[Prix de Revient]]</f>
        <v>0</v>
      </c>
      <c r="AA2130" s="74">
        <f>Devis[[#This Row],[Prix de Revient]]*Devis[[#This Row],[Poste 6]]</f>
        <v>0</v>
      </c>
      <c r="AB2130" s="74">
        <f>Devis[[#This Row],[Quantité Totale]]*Devis[[#This Row],[Prix de Revient]]</f>
        <v>0</v>
      </c>
    </row>
    <row r="2131" spans="1:28" ht="14.25" outlineLevel="1" x14ac:dyDescent="0.2">
      <c r="A2131" s="75" t="s">
        <v>1647</v>
      </c>
      <c r="B2131" s="76" t="s">
        <v>1605</v>
      </c>
      <c r="C2131" s="76" t="s">
        <v>1605</v>
      </c>
      <c r="D2131" s="81" t="str">
        <f t="shared" si="37"/>
        <v>Inox Serti ItalienTé réduitTé réduit</v>
      </c>
      <c r="E2131" s="76" t="s">
        <v>1866</v>
      </c>
      <c r="F2131" s="76">
        <v>14</v>
      </c>
      <c r="G2131" s="71" t="s">
        <v>1987</v>
      </c>
      <c r="H2131" s="71" t="s">
        <v>459</v>
      </c>
      <c r="I2131" s="71">
        <v>192042035</v>
      </c>
      <c r="J2131" s="70">
        <f>IFERROR(VLOOKUP(Devis[[#This Row],[Ref Air Flux]],#REF!,3,FALSE),0)</f>
        <v>0</v>
      </c>
      <c r="K2131" s="68"/>
      <c r="L2131" s="68"/>
      <c r="M2131" s="68"/>
      <c r="N2131" s="68"/>
      <c r="O2131" s="68"/>
      <c r="P2131" s="68"/>
      <c r="Q2131" s="68">
        <f>SUM(Devis[[#This Row],[Poste 1]:[Poste 6]])</f>
        <v>0</v>
      </c>
      <c r="R2131" s="71">
        <v>4</v>
      </c>
      <c r="S2131" s="68">
        <f>_xlfn.CEILING.MATH(Devis[[#This Row],[Quantité Totale]],Devis[[#This Row],[Conditionnement]])</f>
        <v>0</v>
      </c>
      <c r="T2131" s="72"/>
      <c r="U2131" s="73"/>
      <c r="V2131" s="74">
        <f>Devis[[#This Row],[Prix de Revient]]*Devis[[#This Row],[Poste 1]]</f>
        <v>0</v>
      </c>
      <c r="W2131" s="74">
        <f>Devis[[#This Row],[Prix de Revient]]*Devis[[#This Row],[Poste 2]]</f>
        <v>0</v>
      </c>
      <c r="X2131" s="74">
        <f>Devis[[#This Row],[Prix de Revient]]*Devis[[#This Row],[Poste 3]]</f>
        <v>0</v>
      </c>
      <c r="Y2131" s="74">
        <f>Devis[[#This Row],[Poste 4]]*Devis[[#This Row],[Prix de Revient]]</f>
        <v>0</v>
      </c>
      <c r="Z2131" s="74">
        <f>Devis[[#This Row],[Poste 5]]*Devis[[#This Row],[Prix de Revient]]</f>
        <v>0</v>
      </c>
      <c r="AA2131" s="74">
        <f>Devis[[#This Row],[Prix de Revient]]*Devis[[#This Row],[Poste 6]]</f>
        <v>0</v>
      </c>
      <c r="AB2131" s="74">
        <f>Devis[[#This Row],[Quantité Totale]]*Devis[[#This Row],[Prix de Revient]]</f>
        <v>0</v>
      </c>
    </row>
    <row r="2132" spans="1:28" ht="14.25" outlineLevel="1" x14ac:dyDescent="0.2">
      <c r="A2132" s="75" t="s">
        <v>1647</v>
      </c>
      <c r="B2132" s="76" t="s">
        <v>1605</v>
      </c>
      <c r="C2132" s="76" t="s">
        <v>1605</v>
      </c>
      <c r="D2132" s="81" t="str">
        <f t="shared" si="37"/>
        <v>Inox Serti ItalienTé réduitTé réduit</v>
      </c>
      <c r="E2132" s="76" t="s">
        <v>1988</v>
      </c>
      <c r="F2132" s="76">
        <v>15</v>
      </c>
      <c r="G2132" s="71" t="s">
        <v>1989</v>
      </c>
      <c r="H2132" s="71" t="s">
        <v>459</v>
      </c>
      <c r="I2132" s="71">
        <v>192054018</v>
      </c>
      <c r="J2132" s="70">
        <f>IFERROR(VLOOKUP(Devis[[#This Row],[Ref Air Flux]],#REF!,3,FALSE),0)</f>
        <v>0</v>
      </c>
      <c r="K2132" s="68"/>
      <c r="L2132" s="68"/>
      <c r="M2132" s="68"/>
      <c r="N2132" s="68"/>
      <c r="O2132" s="68"/>
      <c r="P2132" s="68"/>
      <c r="Q2132" s="68">
        <f>SUM(Devis[[#This Row],[Poste 1]:[Poste 6]])</f>
        <v>0</v>
      </c>
      <c r="R2132" s="71">
        <v>2</v>
      </c>
      <c r="S2132" s="68">
        <f>_xlfn.CEILING.MATH(Devis[[#This Row],[Quantité Totale]],Devis[[#This Row],[Conditionnement]])</f>
        <v>0</v>
      </c>
      <c r="T2132" s="72"/>
      <c r="U2132" s="73"/>
      <c r="V2132" s="74">
        <f>Devis[[#This Row],[Prix de Revient]]*Devis[[#This Row],[Poste 1]]</f>
        <v>0</v>
      </c>
      <c r="W2132" s="74">
        <f>Devis[[#This Row],[Prix de Revient]]*Devis[[#This Row],[Poste 2]]</f>
        <v>0</v>
      </c>
      <c r="X2132" s="74">
        <f>Devis[[#This Row],[Prix de Revient]]*Devis[[#This Row],[Poste 3]]</f>
        <v>0</v>
      </c>
      <c r="Y2132" s="74">
        <f>Devis[[#This Row],[Poste 4]]*Devis[[#This Row],[Prix de Revient]]</f>
        <v>0</v>
      </c>
      <c r="Z2132" s="74">
        <f>Devis[[#This Row],[Poste 5]]*Devis[[#This Row],[Prix de Revient]]</f>
        <v>0</v>
      </c>
      <c r="AA2132" s="74">
        <f>Devis[[#This Row],[Prix de Revient]]*Devis[[#This Row],[Poste 6]]</f>
        <v>0</v>
      </c>
      <c r="AB2132" s="74">
        <f>Devis[[#This Row],[Quantité Totale]]*Devis[[#This Row],[Prix de Revient]]</f>
        <v>0</v>
      </c>
    </row>
    <row r="2133" spans="1:28" ht="14.25" outlineLevel="1" x14ac:dyDescent="0.2">
      <c r="A2133" s="75" t="s">
        <v>1647</v>
      </c>
      <c r="B2133" s="76" t="s">
        <v>1605</v>
      </c>
      <c r="C2133" s="76" t="s">
        <v>1605</v>
      </c>
      <c r="D2133" s="81" t="str">
        <f t="shared" si="37"/>
        <v>Inox Serti ItalienTé réduitTé réduit</v>
      </c>
      <c r="E2133" s="76" t="s">
        <v>1871</v>
      </c>
      <c r="F2133" s="76">
        <v>16</v>
      </c>
      <c r="G2133" s="71" t="s">
        <v>1990</v>
      </c>
      <c r="H2133" s="71" t="s">
        <v>459</v>
      </c>
      <c r="I2133" s="71">
        <v>192054022</v>
      </c>
      <c r="J2133" s="70">
        <f>IFERROR(VLOOKUP(Devis[[#This Row],[Ref Air Flux]],#REF!,3,FALSE),0)</f>
        <v>0</v>
      </c>
      <c r="K2133" s="68"/>
      <c r="L2133" s="68"/>
      <c r="M2133" s="68"/>
      <c r="N2133" s="68"/>
      <c r="O2133" s="68"/>
      <c r="P2133" s="68"/>
      <c r="Q2133" s="68">
        <f>SUM(Devis[[#This Row],[Poste 1]:[Poste 6]])</f>
        <v>0</v>
      </c>
      <c r="R2133" s="71">
        <v>2</v>
      </c>
      <c r="S2133" s="68">
        <f>_xlfn.CEILING.MATH(Devis[[#This Row],[Quantité Totale]],Devis[[#This Row],[Conditionnement]])</f>
        <v>0</v>
      </c>
      <c r="T2133" s="72"/>
      <c r="U2133" s="73"/>
      <c r="V2133" s="74">
        <f>Devis[[#This Row],[Prix de Revient]]*Devis[[#This Row],[Poste 1]]</f>
        <v>0</v>
      </c>
      <c r="W2133" s="74">
        <f>Devis[[#This Row],[Prix de Revient]]*Devis[[#This Row],[Poste 2]]</f>
        <v>0</v>
      </c>
      <c r="X2133" s="74">
        <f>Devis[[#This Row],[Prix de Revient]]*Devis[[#This Row],[Poste 3]]</f>
        <v>0</v>
      </c>
      <c r="Y2133" s="74">
        <f>Devis[[#This Row],[Poste 4]]*Devis[[#This Row],[Prix de Revient]]</f>
        <v>0</v>
      </c>
      <c r="Z2133" s="74">
        <f>Devis[[#This Row],[Poste 5]]*Devis[[#This Row],[Prix de Revient]]</f>
        <v>0</v>
      </c>
      <c r="AA2133" s="74">
        <f>Devis[[#This Row],[Prix de Revient]]*Devis[[#This Row],[Poste 6]]</f>
        <v>0</v>
      </c>
      <c r="AB2133" s="74">
        <f>Devis[[#This Row],[Quantité Totale]]*Devis[[#This Row],[Prix de Revient]]</f>
        <v>0</v>
      </c>
    </row>
    <row r="2134" spans="1:28" ht="14.25" outlineLevel="1" x14ac:dyDescent="0.2">
      <c r="A2134" s="75" t="s">
        <v>1647</v>
      </c>
      <c r="B2134" s="76" t="s">
        <v>1605</v>
      </c>
      <c r="C2134" s="76" t="s">
        <v>1605</v>
      </c>
      <c r="D2134" s="81" t="str">
        <f t="shared" si="37"/>
        <v>Inox Serti ItalienTé réduitTé réduit</v>
      </c>
      <c r="E2134" s="76" t="s">
        <v>1873</v>
      </c>
      <c r="F2134" s="76">
        <v>17</v>
      </c>
      <c r="G2134" s="71" t="s">
        <v>1991</v>
      </c>
      <c r="H2134" s="71" t="s">
        <v>459</v>
      </c>
      <c r="I2134" s="71">
        <v>192054028</v>
      </c>
      <c r="J2134" s="70">
        <f>IFERROR(VLOOKUP(Devis[[#This Row],[Ref Air Flux]],#REF!,3,FALSE),0)</f>
        <v>0</v>
      </c>
      <c r="K2134" s="68"/>
      <c r="L2134" s="68"/>
      <c r="M2134" s="68"/>
      <c r="N2134" s="68"/>
      <c r="O2134" s="68"/>
      <c r="P2134" s="68"/>
      <c r="Q2134" s="68">
        <f>SUM(Devis[[#This Row],[Poste 1]:[Poste 6]])</f>
        <v>0</v>
      </c>
      <c r="R2134" s="71">
        <v>2</v>
      </c>
      <c r="S2134" s="68">
        <f>_xlfn.CEILING.MATH(Devis[[#This Row],[Quantité Totale]],Devis[[#This Row],[Conditionnement]])</f>
        <v>0</v>
      </c>
      <c r="T2134" s="72"/>
      <c r="U2134" s="73"/>
      <c r="V2134" s="74">
        <f>Devis[[#This Row],[Prix de Revient]]*Devis[[#This Row],[Poste 1]]</f>
        <v>0</v>
      </c>
      <c r="W2134" s="74">
        <f>Devis[[#This Row],[Prix de Revient]]*Devis[[#This Row],[Poste 2]]</f>
        <v>0</v>
      </c>
      <c r="X2134" s="74">
        <f>Devis[[#This Row],[Prix de Revient]]*Devis[[#This Row],[Poste 3]]</f>
        <v>0</v>
      </c>
      <c r="Y2134" s="74">
        <f>Devis[[#This Row],[Poste 4]]*Devis[[#This Row],[Prix de Revient]]</f>
        <v>0</v>
      </c>
      <c r="Z2134" s="74">
        <f>Devis[[#This Row],[Poste 5]]*Devis[[#This Row],[Prix de Revient]]</f>
        <v>0</v>
      </c>
      <c r="AA2134" s="74">
        <f>Devis[[#This Row],[Prix de Revient]]*Devis[[#This Row],[Poste 6]]</f>
        <v>0</v>
      </c>
      <c r="AB2134" s="74">
        <f>Devis[[#This Row],[Quantité Totale]]*Devis[[#This Row],[Prix de Revient]]</f>
        <v>0</v>
      </c>
    </row>
    <row r="2135" spans="1:28" ht="14.25" outlineLevel="1" x14ac:dyDescent="0.2">
      <c r="A2135" s="75" t="s">
        <v>1647</v>
      </c>
      <c r="B2135" s="76" t="s">
        <v>1605</v>
      </c>
      <c r="C2135" s="76" t="s">
        <v>1605</v>
      </c>
      <c r="D2135" s="81" t="str">
        <f t="shared" si="37"/>
        <v>Inox Serti ItalienTé réduitTé réduit</v>
      </c>
      <c r="E2135" s="76" t="s">
        <v>1874</v>
      </c>
      <c r="F2135" s="76">
        <v>18</v>
      </c>
      <c r="G2135" s="71" t="s">
        <v>1992</v>
      </c>
      <c r="H2135" s="71" t="s">
        <v>459</v>
      </c>
      <c r="I2135" s="71">
        <v>192054035</v>
      </c>
      <c r="J2135" s="70">
        <f>IFERROR(VLOOKUP(Devis[[#This Row],[Ref Air Flux]],#REF!,3,FALSE),0)</f>
        <v>0</v>
      </c>
      <c r="K2135" s="68"/>
      <c r="L2135" s="68"/>
      <c r="M2135" s="68"/>
      <c r="N2135" s="68"/>
      <c r="O2135" s="68"/>
      <c r="P2135" s="68"/>
      <c r="Q2135" s="68">
        <f>SUM(Devis[[#This Row],[Poste 1]:[Poste 6]])</f>
        <v>0</v>
      </c>
      <c r="R2135" s="71">
        <v>2</v>
      </c>
      <c r="S2135" s="68">
        <f>_xlfn.CEILING.MATH(Devis[[#This Row],[Quantité Totale]],Devis[[#This Row],[Conditionnement]])</f>
        <v>0</v>
      </c>
      <c r="T2135" s="72"/>
      <c r="U2135" s="73"/>
      <c r="V2135" s="74">
        <f>Devis[[#This Row],[Prix de Revient]]*Devis[[#This Row],[Poste 1]]</f>
        <v>0</v>
      </c>
      <c r="W2135" s="74">
        <f>Devis[[#This Row],[Prix de Revient]]*Devis[[#This Row],[Poste 2]]</f>
        <v>0</v>
      </c>
      <c r="X2135" s="74">
        <f>Devis[[#This Row],[Prix de Revient]]*Devis[[#This Row],[Poste 3]]</f>
        <v>0</v>
      </c>
      <c r="Y2135" s="74">
        <f>Devis[[#This Row],[Poste 4]]*Devis[[#This Row],[Prix de Revient]]</f>
        <v>0</v>
      </c>
      <c r="Z2135" s="74">
        <f>Devis[[#This Row],[Poste 5]]*Devis[[#This Row],[Prix de Revient]]</f>
        <v>0</v>
      </c>
      <c r="AA2135" s="74">
        <f>Devis[[#This Row],[Prix de Revient]]*Devis[[#This Row],[Poste 6]]</f>
        <v>0</v>
      </c>
      <c r="AB2135" s="74">
        <f>Devis[[#This Row],[Quantité Totale]]*Devis[[#This Row],[Prix de Revient]]</f>
        <v>0</v>
      </c>
    </row>
    <row r="2136" spans="1:28" ht="15" customHeight="1" outlineLevel="1" x14ac:dyDescent="0.2">
      <c r="A2136" s="75" t="s">
        <v>1647</v>
      </c>
      <c r="B2136" s="76" t="s">
        <v>1605</v>
      </c>
      <c r="C2136" s="76" t="s">
        <v>1605</v>
      </c>
      <c r="D2136" s="81" t="str">
        <f t="shared" si="37"/>
        <v>Inox Serti ItalienTé réduitTé réduit</v>
      </c>
      <c r="E2136" s="76" t="s">
        <v>1876</v>
      </c>
      <c r="F2136" s="76">
        <v>19</v>
      </c>
      <c r="G2136" s="71" t="s">
        <v>1993</v>
      </c>
      <c r="H2136" s="71" t="s">
        <v>459</v>
      </c>
      <c r="I2136" s="71">
        <v>192054042</v>
      </c>
      <c r="J2136" s="70">
        <f>IFERROR(VLOOKUP(Devis[[#This Row],[Ref Air Flux]],#REF!,3,FALSE),0)</f>
        <v>0</v>
      </c>
      <c r="K2136" s="68"/>
      <c r="L2136" s="68"/>
      <c r="M2136" s="68"/>
      <c r="N2136" s="68"/>
      <c r="O2136" s="68"/>
      <c r="P2136" s="68"/>
      <c r="Q2136" s="68">
        <f>SUM(Devis[[#This Row],[Poste 1]:[Poste 6]])</f>
        <v>0</v>
      </c>
      <c r="R2136" s="71">
        <v>2</v>
      </c>
      <c r="S2136" s="68">
        <f>_xlfn.CEILING.MATH(Devis[[#This Row],[Quantité Totale]],Devis[[#This Row],[Conditionnement]])</f>
        <v>0</v>
      </c>
      <c r="T2136" s="72"/>
      <c r="U2136" s="73"/>
      <c r="V2136" s="74">
        <f>Devis[[#This Row],[Prix de Revient]]*Devis[[#This Row],[Poste 1]]</f>
        <v>0</v>
      </c>
      <c r="W2136" s="74">
        <f>Devis[[#This Row],[Prix de Revient]]*Devis[[#This Row],[Poste 2]]</f>
        <v>0</v>
      </c>
      <c r="X2136" s="74">
        <f>Devis[[#This Row],[Prix de Revient]]*Devis[[#This Row],[Poste 3]]</f>
        <v>0</v>
      </c>
      <c r="Y2136" s="74">
        <f>Devis[[#This Row],[Poste 4]]*Devis[[#This Row],[Prix de Revient]]</f>
        <v>0</v>
      </c>
      <c r="Z2136" s="74">
        <f>Devis[[#This Row],[Poste 5]]*Devis[[#This Row],[Prix de Revient]]</f>
        <v>0</v>
      </c>
      <c r="AA2136" s="74">
        <f>Devis[[#This Row],[Prix de Revient]]*Devis[[#This Row],[Poste 6]]</f>
        <v>0</v>
      </c>
      <c r="AB2136" s="74">
        <f>Devis[[#This Row],[Quantité Totale]]*Devis[[#This Row],[Prix de Revient]]</f>
        <v>0</v>
      </c>
    </row>
    <row r="2137" spans="1:28" ht="14.25" customHeight="1" outlineLevel="1" x14ac:dyDescent="0.2">
      <c r="A2137" s="75" t="s">
        <v>1647</v>
      </c>
      <c r="B2137" s="76" t="s">
        <v>1605</v>
      </c>
      <c r="C2137" s="76" t="s">
        <v>1605</v>
      </c>
      <c r="D2137" s="81" t="str">
        <f t="shared" si="37"/>
        <v>Inox Serti ItalienTé réduitTé réduit</v>
      </c>
      <c r="E2137" s="76" t="s">
        <v>1994</v>
      </c>
      <c r="F2137" s="76">
        <v>20</v>
      </c>
      <c r="G2137" s="71" t="s">
        <v>1995</v>
      </c>
      <c r="H2137" s="71" t="s">
        <v>459</v>
      </c>
      <c r="I2137" s="71">
        <v>192076022</v>
      </c>
      <c r="J2137" s="70">
        <f>IFERROR(VLOOKUP(Devis[[#This Row],[Ref Air Flux]],#REF!,3,FALSE),0)</f>
        <v>0</v>
      </c>
      <c r="K2137" s="68"/>
      <c r="L2137" s="68"/>
      <c r="M2137" s="68"/>
      <c r="N2137" s="68"/>
      <c r="O2137" s="68"/>
      <c r="P2137" s="68"/>
      <c r="Q2137" s="68">
        <f>SUM(Devis[[#This Row],[Poste 1]:[Poste 6]])</f>
        <v>0</v>
      </c>
      <c r="R2137" s="71">
        <v>2</v>
      </c>
      <c r="S2137" s="68">
        <f>_xlfn.CEILING.MATH(Devis[[#This Row],[Quantité Totale]],Devis[[#This Row],[Conditionnement]])</f>
        <v>0</v>
      </c>
      <c r="T2137" s="72"/>
      <c r="U2137" s="73"/>
      <c r="V2137" s="74">
        <f>Devis[[#This Row],[Prix de Revient]]*Devis[[#This Row],[Poste 1]]</f>
        <v>0</v>
      </c>
      <c r="W2137" s="74">
        <f>Devis[[#This Row],[Prix de Revient]]*Devis[[#This Row],[Poste 2]]</f>
        <v>0</v>
      </c>
      <c r="X2137" s="74">
        <f>Devis[[#This Row],[Prix de Revient]]*Devis[[#This Row],[Poste 3]]</f>
        <v>0</v>
      </c>
      <c r="Y2137" s="74">
        <f>Devis[[#This Row],[Poste 4]]*Devis[[#This Row],[Prix de Revient]]</f>
        <v>0</v>
      </c>
      <c r="Z2137" s="74">
        <f>Devis[[#This Row],[Poste 5]]*Devis[[#This Row],[Prix de Revient]]</f>
        <v>0</v>
      </c>
      <c r="AA2137" s="74">
        <f>Devis[[#This Row],[Prix de Revient]]*Devis[[#This Row],[Poste 6]]</f>
        <v>0</v>
      </c>
      <c r="AB2137" s="74">
        <f>Devis[[#This Row],[Quantité Totale]]*Devis[[#This Row],[Prix de Revient]]</f>
        <v>0</v>
      </c>
    </row>
    <row r="2138" spans="1:28" ht="14.25" customHeight="1" outlineLevel="1" x14ac:dyDescent="0.2">
      <c r="A2138" s="75" t="s">
        <v>1647</v>
      </c>
      <c r="B2138" s="76" t="s">
        <v>1605</v>
      </c>
      <c r="C2138" s="76" t="s">
        <v>1605</v>
      </c>
      <c r="D2138" s="81" t="str">
        <f t="shared" si="37"/>
        <v>Inox Serti ItalienTé réduitTé réduit</v>
      </c>
      <c r="E2138" s="76" t="s">
        <v>1996</v>
      </c>
      <c r="F2138" s="76">
        <v>21</v>
      </c>
      <c r="G2138" s="71" t="s">
        <v>1997</v>
      </c>
      <c r="H2138" s="71" t="s">
        <v>459</v>
      </c>
      <c r="I2138" s="71">
        <v>192076028</v>
      </c>
      <c r="J2138" s="70">
        <f>IFERROR(VLOOKUP(Devis[[#This Row],[Ref Air Flux]],#REF!,3,FALSE),0)</f>
        <v>0</v>
      </c>
      <c r="K2138" s="68"/>
      <c r="L2138" s="68"/>
      <c r="M2138" s="68"/>
      <c r="N2138" s="68"/>
      <c r="O2138" s="68"/>
      <c r="P2138" s="68"/>
      <c r="Q2138" s="68">
        <f>SUM(Devis[[#This Row],[Poste 1]:[Poste 6]])</f>
        <v>0</v>
      </c>
      <c r="R2138" s="71">
        <v>2</v>
      </c>
      <c r="S2138" s="68">
        <f>_xlfn.CEILING.MATH(Devis[[#This Row],[Quantité Totale]],Devis[[#This Row],[Conditionnement]])</f>
        <v>0</v>
      </c>
      <c r="T2138" s="72"/>
      <c r="U2138" s="73"/>
      <c r="V2138" s="74">
        <f>Devis[[#This Row],[Prix de Revient]]*Devis[[#This Row],[Poste 1]]</f>
        <v>0</v>
      </c>
      <c r="W2138" s="74">
        <f>Devis[[#This Row],[Prix de Revient]]*Devis[[#This Row],[Poste 2]]</f>
        <v>0</v>
      </c>
      <c r="X2138" s="74">
        <f>Devis[[#This Row],[Prix de Revient]]*Devis[[#This Row],[Poste 3]]</f>
        <v>0</v>
      </c>
      <c r="Y2138" s="74">
        <f>Devis[[#This Row],[Poste 4]]*Devis[[#This Row],[Prix de Revient]]</f>
        <v>0</v>
      </c>
      <c r="Z2138" s="74">
        <f>Devis[[#This Row],[Poste 5]]*Devis[[#This Row],[Prix de Revient]]</f>
        <v>0</v>
      </c>
      <c r="AA2138" s="74">
        <f>Devis[[#This Row],[Prix de Revient]]*Devis[[#This Row],[Poste 6]]</f>
        <v>0</v>
      </c>
      <c r="AB2138" s="74">
        <f>Devis[[#This Row],[Quantité Totale]]*Devis[[#This Row],[Prix de Revient]]</f>
        <v>0</v>
      </c>
    </row>
    <row r="2139" spans="1:28" ht="14.25" outlineLevel="1" x14ac:dyDescent="0.2">
      <c r="A2139" s="75" t="s">
        <v>1647</v>
      </c>
      <c r="B2139" s="76" t="s">
        <v>1605</v>
      </c>
      <c r="C2139" s="76" t="s">
        <v>1605</v>
      </c>
      <c r="D2139" s="81" t="str">
        <f t="shared" si="37"/>
        <v>Inox Serti ItalienTé réduitTé réduit</v>
      </c>
      <c r="E2139" s="76" t="s">
        <v>1998</v>
      </c>
      <c r="F2139" s="76">
        <v>22</v>
      </c>
      <c r="G2139" s="71" t="s">
        <v>1999</v>
      </c>
      <c r="H2139" s="71" t="s">
        <v>459</v>
      </c>
      <c r="I2139" s="71">
        <v>192076035</v>
      </c>
      <c r="J2139" s="70">
        <f>IFERROR(VLOOKUP(Devis[[#This Row],[Ref Air Flux]],#REF!,3,FALSE),0)</f>
        <v>0</v>
      </c>
      <c r="K2139" s="68"/>
      <c r="L2139" s="68"/>
      <c r="M2139" s="68"/>
      <c r="N2139" s="68"/>
      <c r="O2139" s="68"/>
      <c r="P2139" s="68"/>
      <c r="Q2139" s="68">
        <f>SUM(Devis[[#This Row],[Poste 1]:[Poste 6]])</f>
        <v>0</v>
      </c>
      <c r="R2139" s="71">
        <v>2</v>
      </c>
      <c r="S2139" s="68">
        <f>_xlfn.CEILING.MATH(Devis[[#This Row],[Quantité Totale]],Devis[[#This Row],[Conditionnement]])</f>
        <v>0</v>
      </c>
      <c r="T2139" s="72"/>
      <c r="U2139" s="73"/>
      <c r="V2139" s="74">
        <f>Devis[[#This Row],[Prix de Revient]]*Devis[[#This Row],[Poste 1]]</f>
        <v>0</v>
      </c>
      <c r="W2139" s="74">
        <f>Devis[[#This Row],[Prix de Revient]]*Devis[[#This Row],[Poste 2]]</f>
        <v>0</v>
      </c>
      <c r="X2139" s="74">
        <f>Devis[[#This Row],[Prix de Revient]]*Devis[[#This Row],[Poste 3]]</f>
        <v>0</v>
      </c>
      <c r="Y2139" s="74">
        <f>Devis[[#This Row],[Poste 4]]*Devis[[#This Row],[Prix de Revient]]</f>
        <v>0</v>
      </c>
      <c r="Z2139" s="74">
        <f>Devis[[#This Row],[Poste 5]]*Devis[[#This Row],[Prix de Revient]]</f>
        <v>0</v>
      </c>
      <c r="AA2139" s="74">
        <f>Devis[[#This Row],[Prix de Revient]]*Devis[[#This Row],[Poste 6]]</f>
        <v>0</v>
      </c>
      <c r="AB2139" s="74">
        <f>Devis[[#This Row],[Quantité Totale]]*Devis[[#This Row],[Prix de Revient]]</f>
        <v>0</v>
      </c>
    </row>
    <row r="2140" spans="1:28" ht="15" customHeight="1" outlineLevel="1" x14ac:dyDescent="0.2">
      <c r="A2140" s="75" t="s">
        <v>1647</v>
      </c>
      <c r="B2140" s="76" t="s">
        <v>1605</v>
      </c>
      <c r="C2140" s="76" t="s">
        <v>1605</v>
      </c>
      <c r="D2140" s="81" t="str">
        <f t="shared" si="37"/>
        <v>Inox Serti ItalienTé réduitTé réduit</v>
      </c>
      <c r="E2140" s="76" t="s">
        <v>2000</v>
      </c>
      <c r="F2140" s="76">
        <v>23</v>
      </c>
      <c r="G2140" s="71" t="s">
        <v>2001</v>
      </c>
      <c r="H2140" s="71" t="s">
        <v>459</v>
      </c>
      <c r="I2140" s="71">
        <v>192076042</v>
      </c>
      <c r="J2140" s="70">
        <f>IFERROR(VLOOKUP(Devis[[#This Row],[Ref Air Flux]],#REF!,3,FALSE),0)</f>
        <v>0</v>
      </c>
      <c r="K2140" s="68"/>
      <c r="L2140" s="68"/>
      <c r="M2140" s="68"/>
      <c r="N2140" s="68"/>
      <c r="O2140" s="68"/>
      <c r="P2140" s="68"/>
      <c r="Q2140" s="68">
        <f>SUM(Devis[[#This Row],[Poste 1]:[Poste 6]])</f>
        <v>0</v>
      </c>
      <c r="R2140" s="71">
        <v>2</v>
      </c>
      <c r="S2140" s="68">
        <f>_xlfn.CEILING.MATH(Devis[[#This Row],[Quantité Totale]],Devis[[#This Row],[Conditionnement]])</f>
        <v>0</v>
      </c>
      <c r="T2140" s="72"/>
      <c r="U2140" s="73"/>
      <c r="V2140" s="74">
        <f>Devis[[#This Row],[Prix de Revient]]*Devis[[#This Row],[Poste 1]]</f>
        <v>0</v>
      </c>
      <c r="W2140" s="74">
        <f>Devis[[#This Row],[Prix de Revient]]*Devis[[#This Row],[Poste 2]]</f>
        <v>0</v>
      </c>
      <c r="X2140" s="74">
        <f>Devis[[#This Row],[Prix de Revient]]*Devis[[#This Row],[Poste 3]]</f>
        <v>0</v>
      </c>
      <c r="Y2140" s="74">
        <f>Devis[[#This Row],[Poste 4]]*Devis[[#This Row],[Prix de Revient]]</f>
        <v>0</v>
      </c>
      <c r="Z2140" s="74">
        <f>Devis[[#This Row],[Poste 5]]*Devis[[#This Row],[Prix de Revient]]</f>
        <v>0</v>
      </c>
      <c r="AA2140" s="74">
        <f>Devis[[#This Row],[Prix de Revient]]*Devis[[#This Row],[Poste 6]]</f>
        <v>0</v>
      </c>
      <c r="AB2140" s="74">
        <f>Devis[[#This Row],[Quantité Totale]]*Devis[[#This Row],[Prix de Revient]]</f>
        <v>0</v>
      </c>
    </row>
    <row r="2141" spans="1:28" ht="14.25" outlineLevel="1" x14ac:dyDescent="0.2">
      <c r="A2141" s="75" t="s">
        <v>1647</v>
      </c>
      <c r="B2141" s="76" t="s">
        <v>1605</v>
      </c>
      <c r="C2141" s="76" t="s">
        <v>1605</v>
      </c>
      <c r="D2141" s="81" t="str">
        <f t="shared" si="37"/>
        <v>Inox Serti ItalienTé réduitTé réduit</v>
      </c>
      <c r="E2141" s="76" t="s">
        <v>2002</v>
      </c>
      <c r="F2141" s="76">
        <v>24</v>
      </c>
      <c r="G2141" s="71" t="s">
        <v>2003</v>
      </c>
      <c r="H2141" s="71" t="s">
        <v>459</v>
      </c>
      <c r="I2141" s="71">
        <v>192076054</v>
      </c>
      <c r="J2141" s="70">
        <f>IFERROR(VLOOKUP(Devis[[#This Row],[Ref Air Flux]],#REF!,3,FALSE),0)</f>
        <v>0</v>
      </c>
      <c r="K2141" s="68"/>
      <c r="L2141" s="68"/>
      <c r="M2141" s="68"/>
      <c r="N2141" s="68"/>
      <c r="O2141" s="68"/>
      <c r="P2141" s="68"/>
      <c r="Q2141" s="68">
        <f>SUM(Devis[[#This Row],[Poste 1]:[Poste 6]])</f>
        <v>0</v>
      </c>
      <c r="R2141" s="71">
        <v>2</v>
      </c>
      <c r="S2141" s="68">
        <f>_xlfn.CEILING.MATH(Devis[[#This Row],[Quantité Totale]],Devis[[#This Row],[Conditionnement]])</f>
        <v>0</v>
      </c>
      <c r="T2141" s="72"/>
      <c r="U2141" s="73"/>
      <c r="V2141" s="74">
        <f>Devis[[#This Row],[Prix de Revient]]*Devis[[#This Row],[Poste 1]]</f>
        <v>0</v>
      </c>
      <c r="W2141" s="74">
        <f>Devis[[#This Row],[Prix de Revient]]*Devis[[#This Row],[Poste 2]]</f>
        <v>0</v>
      </c>
      <c r="X2141" s="74">
        <f>Devis[[#This Row],[Prix de Revient]]*Devis[[#This Row],[Poste 3]]</f>
        <v>0</v>
      </c>
      <c r="Y2141" s="74">
        <f>Devis[[#This Row],[Poste 4]]*Devis[[#This Row],[Prix de Revient]]</f>
        <v>0</v>
      </c>
      <c r="Z2141" s="74">
        <f>Devis[[#This Row],[Poste 5]]*Devis[[#This Row],[Prix de Revient]]</f>
        <v>0</v>
      </c>
      <c r="AA2141" s="74">
        <f>Devis[[#This Row],[Prix de Revient]]*Devis[[#This Row],[Poste 6]]</f>
        <v>0</v>
      </c>
      <c r="AB2141" s="74">
        <f>Devis[[#This Row],[Quantité Totale]]*Devis[[#This Row],[Prix de Revient]]</f>
        <v>0</v>
      </c>
    </row>
    <row r="2142" spans="1:28" ht="15" customHeight="1" outlineLevel="1" x14ac:dyDescent="0.2">
      <c r="A2142" s="75" t="s">
        <v>1647</v>
      </c>
      <c r="B2142" s="76" t="s">
        <v>1605</v>
      </c>
      <c r="C2142" s="76" t="s">
        <v>1605</v>
      </c>
      <c r="D2142" s="81" t="str">
        <f t="shared" si="37"/>
        <v>Inox Serti ItalienTé réduitTé réduit</v>
      </c>
      <c r="E2142" s="76" t="s">
        <v>2004</v>
      </c>
      <c r="F2142" s="76">
        <v>25</v>
      </c>
      <c r="G2142" s="71" t="s">
        <v>2005</v>
      </c>
      <c r="H2142" s="71" t="s">
        <v>459</v>
      </c>
      <c r="I2142" s="71">
        <v>192088022</v>
      </c>
      <c r="J2142" s="70">
        <f>IFERROR(VLOOKUP(Devis[[#This Row],[Ref Air Flux]],#REF!,3,FALSE),0)</f>
        <v>0</v>
      </c>
      <c r="K2142" s="68"/>
      <c r="L2142" s="68"/>
      <c r="M2142" s="68"/>
      <c r="N2142" s="68"/>
      <c r="O2142" s="68"/>
      <c r="P2142" s="68"/>
      <c r="Q2142" s="68">
        <f>SUM(Devis[[#This Row],[Poste 1]:[Poste 6]])</f>
        <v>0</v>
      </c>
      <c r="R2142" s="71">
        <v>2</v>
      </c>
      <c r="S2142" s="68">
        <f>_xlfn.CEILING.MATH(Devis[[#This Row],[Quantité Totale]],Devis[[#This Row],[Conditionnement]])</f>
        <v>0</v>
      </c>
      <c r="T2142" s="72"/>
      <c r="U2142" s="73"/>
      <c r="V2142" s="74">
        <f>Devis[[#This Row],[Prix de Revient]]*Devis[[#This Row],[Poste 1]]</f>
        <v>0</v>
      </c>
      <c r="W2142" s="74">
        <f>Devis[[#This Row],[Prix de Revient]]*Devis[[#This Row],[Poste 2]]</f>
        <v>0</v>
      </c>
      <c r="X2142" s="74">
        <f>Devis[[#This Row],[Prix de Revient]]*Devis[[#This Row],[Poste 3]]</f>
        <v>0</v>
      </c>
      <c r="Y2142" s="74">
        <f>Devis[[#This Row],[Poste 4]]*Devis[[#This Row],[Prix de Revient]]</f>
        <v>0</v>
      </c>
      <c r="Z2142" s="74">
        <f>Devis[[#This Row],[Poste 5]]*Devis[[#This Row],[Prix de Revient]]</f>
        <v>0</v>
      </c>
      <c r="AA2142" s="74">
        <f>Devis[[#This Row],[Prix de Revient]]*Devis[[#This Row],[Poste 6]]</f>
        <v>0</v>
      </c>
      <c r="AB2142" s="74">
        <f>Devis[[#This Row],[Quantité Totale]]*Devis[[#This Row],[Prix de Revient]]</f>
        <v>0</v>
      </c>
    </row>
    <row r="2143" spans="1:28" ht="14.25" outlineLevel="1" x14ac:dyDescent="0.2">
      <c r="A2143" s="75" t="s">
        <v>1647</v>
      </c>
      <c r="B2143" s="76" t="s">
        <v>1605</v>
      </c>
      <c r="C2143" s="76" t="s">
        <v>1605</v>
      </c>
      <c r="D2143" s="81" t="str">
        <f t="shared" si="37"/>
        <v>Inox Serti ItalienTé réduitTé réduit</v>
      </c>
      <c r="E2143" s="76" t="s">
        <v>2006</v>
      </c>
      <c r="F2143" s="76">
        <v>26</v>
      </c>
      <c r="G2143" s="71" t="s">
        <v>2007</v>
      </c>
      <c r="H2143" s="71" t="s">
        <v>459</v>
      </c>
      <c r="I2143" s="71">
        <v>192088028</v>
      </c>
      <c r="J2143" s="70">
        <f>IFERROR(VLOOKUP(Devis[[#This Row],[Ref Air Flux]],#REF!,3,FALSE),0)</f>
        <v>0</v>
      </c>
      <c r="K2143" s="68"/>
      <c r="L2143" s="68"/>
      <c r="M2143" s="68"/>
      <c r="N2143" s="68"/>
      <c r="O2143" s="68"/>
      <c r="P2143" s="68"/>
      <c r="Q2143" s="68">
        <f>SUM(Devis[[#This Row],[Poste 1]:[Poste 6]])</f>
        <v>0</v>
      </c>
      <c r="R2143" s="71">
        <v>2</v>
      </c>
      <c r="S2143" s="68">
        <f>_xlfn.CEILING.MATH(Devis[[#This Row],[Quantité Totale]],Devis[[#This Row],[Conditionnement]])</f>
        <v>0</v>
      </c>
      <c r="T2143" s="72"/>
      <c r="U2143" s="73"/>
      <c r="V2143" s="74">
        <f>Devis[[#This Row],[Prix de Revient]]*Devis[[#This Row],[Poste 1]]</f>
        <v>0</v>
      </c>
      <c r="W2143" s="74">
        <f>Devis[[#This Row],[Prix de Revient]]*Devis[[#This Row],[Poste 2]]</f>
        <v>0</v>
      </c>
      <c r="X2143" s="74">
        <f>Devis[[#This Row],[Prix de Revient]]*Devis[[#This Row],[Poste 3]]</f>
        <v>0</v>
      </c>
      <c r="Y2143" s="74">
        <f>Devis[[#This Row],[Poste 4]]*Devis[[#This Row],[Prix de Revient]]</f>
        <v>0</v>
      </c>
      <c r="Z2143" s="74">
        <f>Devis[[#This Row],[Poste 5]]*Devis[[#This Row],[Prix de Revient]]</f>
        <v>0</v>
      </c>
      <c r="AA2143" s="74">
        <f>Devis[[#This Row],[Prix de Revient]]*Devis[[#This Row],[Poste 6]]</f>
        <v>0</v>
      </c>
      <c r="AB2143" s="74">
        <f>Devis[[#This Row],[Quantité Totale]]*Devis[[#This Row],[Prix de Revient]]</f>
        <v>0</v>
      </c>
    </row>
    <row r="2144" spans="1:28" ht="14.25" outlineLevel="1" x14ac:dyDescent="0.2">
      <c r="A2144" s="75" t="s">
        <v>1647</v>
      </c>
      <c r="B2144" s="76" t="s">
        <v>1605</v>
      </c>
      <c r="C2144" s="76" t="s">
        <v>1605</v>
      </c>
      <c r="D2144" s="81" t="str">
        <f t="shared" si="37"/>
        <v>Inox Serti ItalienTé réduitTé réduit</v>
      </c>
      <c r="E2144" s="76" t="s">
        <v>2008</v>
      </c>
      <c r="F2144" s="76">
        <v>27</v>
      </c>
      <c r="G2144" s="71" t="s">
        <v>2009</v>
      </c>
      <c r="H2144" s="71" t="s">
        <v>459</v>
      </c>
      <c r="I2144" s="71">
        <v>192088035</v>
      </c>
      <c r="J2144" s="70">
        <f>IFERROR(VLOOKUP(Devis[[#This Row],[Ref Air Flux]],#REF!,3,FALSE),0)</f>
        <v>0</v>
      </c>
      <c r="K2144" s="68"/>
      <c r="L2144" s="68"/>
      <c r="M2144" s="68"/>
      <c r="N2144" s="68"/>
      <c r="O2144" s="68"/>
      <c r="P2144" s="68"/>
      <c r="Q2144" s="68">
        <f>SUM(Devis[[#This Row],[Poste 1]:[Poste 6]])</f>
        <v>0</v>
      </c>
      <c r="R2144" s="71">
        <v>2</v>
      </c>
      <c r="S2144" s="68">
        <f>_xlfn.CEILING.MATH(Devis[[#This Row],[Quantité Totale]],Devis[[#This Row],[Conditionnement]])</f>
        <v>0</v>
      </c>
      <c r="T2144" s="72"/>
      <c r="U2144" s="73"/>
      <c r="V2144" s="74">
        <f>Devis[[#This Row],[Prix de Revient]]*Devis[[#This Row],[Poste 1]]</f>
        <v>0</v>
      </c>
      <c r="W2144" s="74">
        <f>Devis[[#This Row],[Prix de Revient]]*Devis[[#This Row],[Poste 2]]</f>
        <v>0</v>
      </c>
      <c r="X2144" s="74">
        <f>Devis[[#This Row],[Prix de Revient]]*Devis[[#This Row],[Poste 3]]</f>
        <v>0</v>
      </c>
      <c r="Y2144" s="74">
        <f>Devis[[#This Row],[Poste 4]]*Devis[[#This Row],[Prix de Revient]]</f>
        <v>0</v>
      </c>
      <c r="Z2144" s="74">
        <f>Devis[[#This Row],[Poste 5]]*Devis[[#This Row],[Prix de Revient]]</f>
        <v>0</v>
      </c>
      <c r="AA2144" s="74">
        <f>Devis[[#This Row],[Prix de Revient]]*Devis[[#This Row],[Poste 6]]</f>
        <v>0</v>
      </c>
      <c r="AB2144" s="74">
        <f>Devis[[#This Row],[Quantité Totale]]*Devis[[#This Row],[Prix de Revient]]</f>
        <v>0</v>
      </c>
    </row>
    <row r="2145" spans="1:28" ht="14.25" outlineLevel="1" x14ac:dyDescent="0.2">
      <c r="A2145" s="75" t="s">
        <v>1647</v>
      </c>
      <c r="B2145" s="76" t="s">
        <v>1605</v>
      </c>
      <c r="C2145" s="76" t="s">
        <v>1605</v>
      </c>
      <c r="D2145" s="81" t="str">
        <f t="shared" si="37"/>
        <v>Inox Serti ItalienTé réduitTé réduit</v>
      </c>
      <c r="E2145" s="76" t="s">
        <v>2010</v>
      </c>
      <c r="F2145" s="76">
        <v>28</v>
      </c>
      <c r="G2145" s="71" t="s">
        <v>2011</v>
      </c>
      <c r="H2145" s="71" t="s">
        <v>459</v>
      </c>
      <c r="I2145" s="71">
        <v>192088042</v>
      </c>
      <c r="J2145" s="70">
        <f>IFERROR(VLOOKUP(Devis[[#This Row],[Ref Air Flux]],#REF!,3,FALSE),0)</f>
        <v>0</v>
      </c>
      <c r="K2145" s="68"/>
      <c r="L2145" s="68"/>
      <c r="M2145" s="68"/>
      <c r="N2145" s="68"/>
      <c r="O2145" s="68"/>
      <c r="P2145" s="68"/>
      <c r="Q2145" s="68">
        <f>SUM(Devis[[#This Row],[Poste 1]:[Poste 6]])</f>
        <v>0</v>
      </c>
      <c r="R2145" s="71">
        <v>2</v>
      </c>
      <c r="S2145" s="68">
        <f>_xlfn.CEILING.MATH(Devis[[#This Row],[Quantité Totale]],Devis[[#This Row],[Conditionnement]])</f>
        <v>0</v>
      </c>
      <c r="T2145" s="72"/>
      <c r="U2145" s="73"/>
      <c r="V2145" s="74">
        <f>Devis[[#This Row],[Prix de Revient]]*Devis[[#This Row],[Poste 1]]</f>
        <v>0</v>
      </c>
      <c r="W2145" s="74">
        <f>Devis[[#This Row],[Prix de Revient]]*Devis[[#This Row],[Poste 2]]</f>
        <v>0</v>
      </c>
      <c r="X2145" s="74">
        <f>Devis[[#This Row],[Prix de Revient]]*Devis[[#This Row],[Poste 3]]</f>
        <v>0</v>
      </c>
      <c r="Y2145" s="74">
        <f>Devis[[#This Row],[Poste 4]]*Devis[[#This Row],[Prix de Revient]]</f>
        <v>0</v>
      </c>
      <c r="Z2145" s="74">
        <f>Devis[[#This Row],[Poste 5]]*Devis[[#This Row],[Prix de Revient]]</f>
        <v>0</v>
      </c>
      <c r="AA2145" s="74">
        <f>Devis[[#This Row],[Prix de Revient]]*Devis[[#This Row],[Poste 6]]</f>
        <v>0</v>
      </c>
      <c r="AB2145" s="74">
        <f>Devis[[#This Row],[Quantité Totale]]*Devis[[#This Row],[Prix de Revient]]</f>
        <v>0</v>
      </c>
    </row>
    <row r="2146" spans="1:28" ht="14.25" outlineLevel="1" x14ac:dyDescent="0.2">
      <c r="A2146" s="75" t="s">
        <v>1647</v>
      </c>
      <c r="B2146" s="76" t="s">
        <v>1605</v>
      </c>
      <c r="C2146" s="76" t="s">
        <v>1605</v>
      </c>
      <c r="D2146" s="81" t="str">
        <f t="shared" si="37"/>
        <v>Inox Serti ItalienTé réduitTé réduit</v>
      </c>
      <c r="E2146" s="76" t="s">
        <v>2012</v>
      </c>
      <c r="F2146" s="76">
        <v>29</v>
      </c>
      <c r="G2146" s="71" t="s">
        <v>2013</v>
      </c>
      <c r="H2146" s="71" t="s">
        <v>459</v>
      </c>
      <c r="I2146" s="71">
        <v>192088054</v>
      </c>
      <c r="J2146" s="70">
        <f>IFERROR(VLOOKUP(Devis[[#This Row],[Ref Air Flux]],#REF!,3,FALSE),0)</f>
        <v>0</v>
      </c>
      <c r="K2146" s="68"/>
      <c r="L2146" s="68"/>
      <c r="M2146" s="68"/>
      <c r="N2146" s="68"/>
      <c r="O2146" s="68"/>
      <c r="P2146" s="68"/>
      <c r="Q2146" s="68">
        <f>SUM(Devis[[#This Row],[Poste 1]:[Poste 6]])</f>
        <v>0</v>
      </c>
      <c r="R2146" s="71">
        <v>2</v>
      </c>
      <c r="S2146" s="68">
        <f>_xlfn.CEILING.MATH(Devis[[#This Row],[Quantité Totale]],Devis[[#This Row],[Conditionnement]])</f>
        <v>0</v>
      </c>
      <c r="T2146" s="72"/>
      <c r="U2146" s="73"/>
      <c r="V2146" s="74">
        <f>Devis[[#This Row],[Prix de Revient]]*Devis[[#This Row],[Poste 1]]</f>
        <v>0</v>
      </c>
      <c r="W2146" s="74">
        <f>Devis[[#This Row],[Prix de Revient]]*Devis[[#This Row],[Poste 2]]</f>
        <v>0</v>
      </c>
      <c r="X2146" s="74">
        <f>Devis[[#This Row],[Prix de Revient]]*Devis[[#This Row],[Poste 3]]</f>
        <v>0</v>
      </c>
      <c r="Y2146" s="74">
        <f>Devis[[#This Row],[Poste 4]]*Devis[[#This Row],[Prix de Revient]]</f>
        <v>0</v>
      </c>
      <c r="Z2146" s="74">
        <f>Devis[[#This Row],[Poste 5]]*Devis[[#This Row],[Prix de Revient]]</f>
        <v>0</v>
      </c>
      <c r="AA2146" s="74">
        <f>Devis[[#This Row],[Prix de Revient]]*Devis[[#This Row],[Poste 6]]</f>
        <v>0</v>
      </c>
      <c r="AB2146" s="74">
        <f>Devis[[#This Row],[Quantité Totale]]*Devis[[#This Row],[Prix de Revient]]</f>
        <v>0</v>
      </c>
    </row>
    <row r="2147" spans="1:28" ht="15" customHeight="1" outlineLevel="1" x14ac:dyDescent="0.2">
      <c r="A2147" s="75" t="s">
        <v>1647</v>
      </c>
      <c r="B2147" s="76" t="s">
        <v>1605</v>
      </c>
      <c r="C2147" s="76" t="s">
        <v>1605</v>
      </c>
      <c r="D2147" s="81" t="str">
        <f t="shared" si="37"/>
        <v>Inox Serti ItalienTé réduitTé réduit</v>
      </c>
      <c r="E2147" s="76" t="s">
        <v>2014</v>
      </c>
      <c r="F2147" s="76">
        <v>30</v>
      </c>
      <c r="G2147" s="71" t="s">
        <v>2015</v>
      </c>
      <c r="H2147" s="71" t="s">
        <v>459</v>
      </c>
      <c r="I2147" s="71">
        <v>192088076</v>
      </c>
      <c r="J2147" s="70">
        <f>IFERROR(VLOOKUP(Devis[[#This Row],[Ref Air Flux]],#REF!,3,FALSE),0)</f>
        <v>0</v>
      </c>
      <c r="K2147" s="68"/>
      <c r="L2147" s="68"/>
      <c r="M2147" s="68"/>
      <c r="N2147" s="68"/>
      <c r="O2147" s="68"/>
      <c r="P2147" s="68"/>
      <c r="Q2147" s="68">
        <f>SUM(Devis[[#This Row],[Poste 1]:[Poste 6]])</f>
        <v>0</v>
      </c>
      <c r="R2147" s="71">
        <v>2</v>
      </c>
      <c r="S2147" s="68">
        <f>_xlfn.CEILING.MATH(Devis[[#This Row],[Quantité Totale]],Devis[[#This Row],[Conditionnement]])</f>
        <v>0</v>
      </c>
      <c r="T2147" s="72"/>
      <c r="U2147" s="73"/>
      <c r="V2147" s="74">
        <f>Devis[[#This Row],[Prix de Revient]]*Devis[[#This Row],[Poste 1]]</f>
        <v>0</v>
      </c>
      <c r="W2147" s="74">
        <f>Devis[[#This Row],[Prix de Revient]]*Devis[[#This Row],[Poste 2]]</f>
        <v>0</v>
      </c>
      <c r="X2147" s="74">
        <f>Devis[[#This Row],[Prix de Revient]]*Devis[[#This Row],[Poste 3]]</f>
        <v>0</v>
      </c>
      <c r="Y2147" s="74">
        <f>Devis[[#This Row],[Poste 4]]*Devis[[#This Row],[Prix de Revient]]</f>
        <v>0</v>
      </c>
      <c r="Z2147" s="74">
        <f>Devis[[#This Row],[Poste 5]]*Devis[[#This Row],[Prix de Revient]]</f>
        <v>0</v>
      </c>
      <c r="AA2147" s="74">
        <f>Devis[[#This Row],[Prix de Revient]]*Devis[[#This Row],[Poste 6]]</f>
        <v>0</v>
      </c>
      <c r="AB2147" s="74">
        <f>Devis[[#This Row],[Quantité Totale]]*Devis[[#This Row],[Prix de Revient]]</f>
        <v>0</v>
      </c>
    </row>
    <row r="2148" spans="1:28" ht="14.25" outlineLevel="1" x14ac:dyDescent="0.2">
      <c r="A2148" s="75" t="s">
        <v>1647</v>
      </c>
      <c r="B2148" s="76" t="s">
        <v>1605</v>
      </c>
      <c r="C2148" s="76" t="s">
        <v>1605</v>
      </c>
      <c r="D2148" s="81" t="str">
        <f t="shared" si="37"/>
        <v>Inox Serti ItalienTé réduitTé réduit</v>
      </c>
      <c r="E2148" s="76" t="s">
        <v>2016</v>
      </c>
      <c r="F2148" s="76">
        <v>31</v>
      </c>
      <c r="G2148" s="71" t="s">
        <v>2017</v>
      </c>
      <c r="H2148" s="71" t="s">
        <v>459</v>
      </c>
      <c r="I2148" s="71">
        <v>192108022</v>
      </c>
      <c r="J2148" s="70">
        <f>IFERROR(VLOOKUP(Devis[[#This Row],[Ref Air Flux]],#REF!,3,FALSE),0)</f>
        <v>0</v>
      </c>
      <c r="K2148" s="68"/>
      <c r="L2148" s="68"/>
      <c r="M2148" s="68"/>
      <c r="N2148" s="68"/>
      <c r="O2148" s="68"/>
      <c r="P2148" s="68"/>
      <c r="Q2148" s="68">
        <f>SUM(Devis[[#This Row],[Poste 1]:[Poste 6]])</f>
        <v>0</v>
      </c>
      <c r="R2148" s="71">
        <v>2</v>
      </c>
      <c r="S2148" s="68">
        <f>_xlfn.CEILING.MATH(Devis[[#This Row],[Quantité Totale]],Devis[[#This Row],[Conditionnement]])</f>
        <v>0</v>
      </c>
      <c r="T2148" s="72"/>
      <c r="U2148" s="73"/>
      <c r="V2148" s="74">
        <f>Devis[[#This Row],[Prix de Revient]]*Devis[[#This Row],[Poste 1]]</f>
        <v>0</v>
      </c>
      <c r="W2148" s="74">
        <f>Devis[[#This Row],[Prix de Revient]]*Devis[[#This Row],[Poste 2]]</f>
        <v>0</v>
      </c>
      <c r="X2148" s="74">
        <f>Devis[[#This Row],[Prix de Revient]]*Devis[[#This Row],[Poste 3]]</f>
        <v>0</v>
      </c>
      <c r="Y2148" s="74">
        <f>Devis[[#This Row],[Poste 4]]*Devis[[#This Row],[Prix de Revient]]</f>
        <v>0</v>
      </c>
      <c r="Z2148" s="74">
        <f>Devis[[#This Row],[Poste 5]]*Devis[[#This Row],[Prix de Revient]]</f>
        <v>0</v>
      </c>
      <c r="AA2148" s="74">
        <f>Devis[[#This Row],[Prix de Revient]]*Devis[[#This Row],[Poste 6]]</f>
        <v>0</v>
      </c>
      <c r="AB2148" s="74">
        <f>Devis[[#This Row],[Quantité Totale]]*Devis[[#This Row],[Prix de Revient]]</f>
        <v>0</v>
      </c>
    </row>
    <row r="2149" spans="1:28" ht="14.25" customHeight="1" outlineLevel="1" x14ac:dyDescent="0.2">
      <c r="A2149" s="75" t="s">
        <v>1647</v>
      </c>
      <c r="B2149" s="76" t="s">
        <v>1605</v>
      </c>
      <c r="C2149" s="76" t="s">
        <v>1605</v>
      </c>
      <c r="D2149" s="81" t="str">
        <f t="shared" si="37"/>
        <v>Inox Serti ItalienTé réduitTé réduit</v>
      </c>
      <c r="E2149" s="76" t="s">
        <v>2018</v>
      </c>
      <c r="F2149" s="76">
        <v>32</v>
      </c>
      <c r="G2149" s="71" t="s">
        <v>2019</v>
      </c>
      <c r="H2149" s="71" t="s">
        <v>459</v>
      </c>
      <c r="I2149" s="71">
        <v>192108028</v>
      </c>
      <c r="J2149" s="70">
        <f>IFERROR(VLOOKUP(Devis[[#This Row],[Ref Air Flux]],#REF!,3,FALSE),0)</f>
        <v>0</v>
      </c>
      <c r="K2149" s="68"/>
      <c r="L2149" s="68"/>
      <c r="M2149" s="68"/>
      <c r="N2149" s="68"/>
      <c r="O2149" s="68"/>
      <c r="P2149" s="68"/>
      <c r="Q2149" s="68">
        <f>SUM(Devis[[#This Row],[Poste 1]:[Poste 6]])</f>
        <v>0</v>
      </c>
      <c r="R2149" s="71">
        <v>2</v>
      </c>
      <c r="S2149" s="68">
        <f>_xlfn.CEILING.MATH(Devis[[#This Row],[Quantité Totale]],Devis[[#This Row],[Conditionnement]])</f>
        <v>0</v>
      </c>
      <c r="T2149" s="72"/>
      <c r="U2149" s="73"/>
      <c r="V2149" s="74">
        <f>Devis[[#This Row],[Prix de Revient]]*Devis[[#This Row],[Poste 1]]</f>
        <v>0</v>
      </c>
      <c r="W2149" s="74">
        <f>Devis[[#This Row],[Prix de Revient]]*Devis[[#This Row],[Poste 2]]</f>
        <v>0</v>
      </c>
      <c r="X2149" s="74">
        <f>Devis[[#This Row],[Prix de Revient]]*Devis[[#This Row],[Poste 3]]</f>
        <v>0</v>
      </c>
      <c r="Y2149" s="74">
        <f>Devis[[#This Row],[Poste 4]]*Devis[[#This Row],[Prix de Revient]]</f>
        <v>0</v>
      </c>
      <c r="Z2149" s="74">
        <f>Devis[[#This Row],[Poste 5]]*Devis[[#This Row],[Prix de Revient]]</f>
        <v>0</v>
      </c>
      <c r="AA2149" s="74">
        <f>Devis[[#This Row],[Prix de Revient]]*Devis[[#This Row],[Poste 6]]</f>
        <v>0</v>
      </c>
      <c r="AB2149" s="74">
        <f>Devis[[#This Row],[Quantité Totale]]*Devis[[#This Row],[Prix de Revient]]</f>
        <v>0</v>
      </c>
    </row>
    <row r="2150" spans="1:28" ht="14.25" customHeight="1" outlineLevel="1" x14ac:dyDescent="0.2">
      <c r="A2150" s="75" t="s">
        <v>1647</v>
      </c>
      <c r="B2150" s="76" t="s">
        <v>1605</v>
      </c>
      <c r="C2150" s="76" t="s">
        <v>1605</v>
      </c>
      <c r="D2150" s="81" t="str">
        <f t="shared" si="37"/>
        <v>Inox Serti ItalienTé réduitTé réduit</v>
      </c>
      <c r="E2150" s="76" t="s">
        <v>2020</v>
      </c>
      <c r="F2150" s="76">
        <v>33</v>
      </c>
      <c r="G2150" s="71" t="s">
        <v>2021</v>
      </c>
      <c r="H2150" s="71" t="s">
        <v>459</v>
      </c>
      <c r="I2150" s="71">
        <v>192108035</v>
      </c>
      <c r="J2150" s="70">
        <f>IFERROR(VLOOKUP(Devis[[#This Row],[Ref Air Flux]],#REF!,3,FALSE),0)</f>
        <v>0</v>
      </c>
      <c r="K2150" s="68"/>
      <c r="L2150" s="68"/>
      <c r="M2150" s="68"/>
      <c r="N2150" s="68"/>
      <c r="O2150" s="68"/>
      <c r="P2150" s="68"/>
      <c r="Q2150" s="68">
        <f>SUM(Devis[[#This Row],[Poste 1]:[Poste 6]])</f>
        <v>0</v>
      </c>
      <c r="R2150" s="71">
        <v>2</v>
      </c>
      <c r="S2150" s="68">
        <f>_xlfn.CEILING.MATH(Devis[[#This Row],[Quantité Totale]],Devis[[#This Row],[Conditionnement]])</f>
        <v>0</v>
      </c>
      <c r="T2150" s="72"/>
      <c r="U2150" s="73"/>
      <c r="V2150" s="74">
        <f>Devis[[#This Row],[Prix de Revient]]*Devis[[#This Row],[Poste 1]]</f>
        <v>0</v>
      </c>
      <c r="W2150" s="74">
        <f>Devis[[#This Row],[Prix de Revient]]*Devis[[#This Row],[Poste 2]]</f>
        <v>0</v>
      </c>
      <c r="X2150" s="74">
        <f>Devis[[#This Row],[Prix de Revient]]*Devis[[#This Row],[Poste 3]]</f>
        <v>0</v>
      </c>
      <c r="Y2150" s="74">
        <f>Devis[[#This Row],[Poste 4]]*Devis[[#This Row],[Prix de Revient]]</f>
        <v>0</v>
      </c>
      <c r="Z2150" s="74">
        <f>Devis[[#This Row],[Poste 5]]*Devis[[#This Row],[Prix de Revient]]</f>
        <v>0</v>
      </c>
      <c r="AA2150" s="74">
        <f>Devis[[#This Row],[Prix de Revient]]*Devis[[#This Row],[Poste 6]]</f>
        <v>0</v>
      </c>
      <c r="AB2150" s="74">
        <f>Devis[[#This Row],[Quantité Totale]]*Devis[[#This Row],[Prix de Revient]]</f>
        <v>0</v>
      </c>
    </row>
    <row r="2151" spans="1:28" ht="14.25" customHeight="1" outlineLevel="1" x14ac:dyDescent="0.2">
      <c r="A2151" s="75" t="s">
        <v>1647</v>
      </c>
      <c r="B2151" s="76" t="s">
        <v>1605</v>
      </c>
      <c r="C2151" s="76" t="s">
        <v>1605</v>
      </c>
      <c r="D2151" s="81" t="str">
        <f t="shared" si="37"/>
        <v>Inox Serti ItalienTé réduitTé réduit</v>
      </c>
      <c r="E2151" s="76" t="s">
        <v>2022</v>
      </c>
      <c r="F2151" s="76">
        <v>34</v>
      </c>
      <c r="G2151" s="71" t="s">
        <v>2023</v>
      </c>
      <c r="H2151" s="71" t="s">
        <v>459</v>
      </c>
      <c r="I2151" s="71">
        <v>192108042</v>
      </c>
      <c r="J2151" s="70">
        <f>IFERROR(VLOOKUP(Devis[[#This Row],[Ref Air Flux]],#REF!,3,FALSE),0)</f>
        <v>0</v>
      </c>
      <c r="K2151" s="68"/>
      <c r="L2151" s="68"/>
      <c r="M2151" s="68"/>
      <c r="N2151" s="68"/>
      <c r="O2151" s="68"/>
      <c r="P2151" s="68"/>
      <c r="Q2151" s="68">
        <f>SUM(Devis[[#This Row],[Poste 1]:[Poste 6]])</f>
        <v>0</v>
      </c>
      <c r="R2151" s="71">
        <v>2</v>
      </c>
      <c r="S2151" s="68">
        <f>_xlfn.CEILING.MATH(Devis[[#This Row],[Quantité Totale]],Devis[[#This Row],[Conditionnement]])</f>
        <v>0</v>
      </c>
      <c r="T2151" s="72"/>
      <c r="U2151" s="73"/>
      <c r="V2151" s="74">
        <f>Devis[[#This Row],[Prix de Revient]]*Devis[[#This Row],[Poste 1]]</f>
        <v>0</v>
      </c>
      <c r="W2151" s="74">
        <f>Devis[[#This Row],[Prix de Revient]]*Devis[[#This Row],[Poste 2]]</f>
        <v>0</v>
      </c>
      <c r="X2151" s="74">
        <f>Devis[[#This Row],[Prix de Revient]]*Devis[[#This Row],[Poste 3]]</f>
        <v>0</v>
      </c>
      <c r="Y2151" s="74">
        <f>Devis[[#This Row],[Poste 4]]*Devis[[#This Row],[Prix de Revient]]</f>
        <v>0</v>
      </c>
      <c r="Z2151" s="74">
        <f>Devis[[#This Row],[Poste 5]]*Devis[[#This Row],[Prix de Revient]]</f>
        <v>0</v>
      </c>
      <c r="AA2151" s="74">
        <f>Devis[[#This Row],[Prix de Revient]]*Devis[[#This Row],[Poste 6]]</f>
        <v>0</v>
      </c>
      <c r="AB2151" s="74">
        <f>Devis[[#This Row],[Quantité Totale]]*Devis[[#This Row],[Prix de Revient]]</f>
        <v>0</v>
      </c>
    </row>
    <row r="2152" spans="1:28" ht="14.25" outlineLevel="1" x14ac:dyDescent="0.2">
      <c r="A2152" s="75" t="s">
        <v>1647</v>
      </c>
      <c r="B2152" s="76" t="s">
        <v>1605</v>
      </c>
      <c r="C2152" s="76" t="s">
        <v>1605</v>
      </c>
      <c r="D2152" s="81" t="str">
        <f t="shared" si="37"/>
        <v>Inox Serti ItalienTé réduitTé réduit</v>
      </c>
      <c r="E2152" s="76" t="s">
        <v>2024</v>
      </c>
      <c r="F2152" s="76">
        <v>35</v>
      </c>
      <c r="G2152" s="71" t="s">
        <v>2025</v>
      </c>
      <c r="H2152" s="71" t="s">
        <v>459</v>
      </c>
      <c r="I2152" s="71">
        <v>192108054</v>
      </c>
      <c r="J2152" s="70">
        <f>IFERROR(VLOOKUP(Devis[[#This Row],[Ref Air Flux]],#REF!,3,FALSE),0)</f>
        <v>0</v>
      </c>
      <c r="K2152" s="68"/>
      <c r="L2152" s="68"/>
      <c r="M2152" s="68"/>
      <c r="N2152" s="68"/>
      <c r="O2152" s="68"/>
      <c r="P2152" s="68"/>
      <c r="Q2152" s="68">
        <f>SUM(Devis[[#This Row],[Poste 1]:[Poste 6]])</f>
        <v>0</v>
      </c>
      <c r="R2152" s="71">
        <v>2</v>
      </c>
      <c r="S2152" s="68">
        <f>_xlfn.CEILING.MATH(Devis[[#This Row],[Quantité Totale]],Devis[[#This Row],[Conditionnement]])</f>
        <v>0</v>
      </c>
      <c r="T2152" s="72"/>
      <c r="U2152" s="73"/>
      <c r="V2152" s="74">
        <f>Devis[[#This Row],[Prix de Revient]]*Devis[[#This Row],[Poste 1]]</f>
        <v>0</v>
      </c>
      <c r="W2152" s="74">
        <f>Devis[[#This Row],[Prix de Revient]]*Devis[[#This Row],[Poste 2]]</f>
        <v>0</v>
      </c>
      <c r="X2152" s="74">
        <f>Devis[[#This Row],[Prix de Revient]]*Devis[[#This Row],[Poste 3]]</f>
        <v>0</v>
      </c>
      <c r="Y2152" s="74">
        <f>Devis[[#This Row],[Poste 4]]*Devis[[#This Row],[Prix de Revient]]</f>
        <v>0</v>
      </c>
      <c r="Z2152" s="74">
        <f>Devis[[#This Row],[Poste 5]]*Devis[[#This Row],[Prix de Revient]]</f>
        <v>0</v>
      </c>
      <c r="AA2152" s="74">
        <f>Devis[[#This Row],[Prix de Revient]]*Devis[[#This Row],[Poste 6]]</f>
        <v>0</v>
      </c>
      <c r="AB2152" s="74">
        <f>Devis[[#This Row],[Quantité Totale]]*Devis[[#This Row],[Prix de Revient]]</f>
        <v>0</v>
      </c>
    </row>
    <row r="2153" spans="1:28" ht="14.25" outlineLevel="1" x14ac:dyDescent="0.2">
      <c r="A2153" s="75" t="s">
        <v>1647</v>
      </c>
      <c r="B2153" s="76" t="s">
        <v>1605</v>
      </c>
      <c r="C2153" s="76" t="s">
        <v>1605</v>
      </c>
      <c r="D2153" s="81" t="str">
        <f t="shared" si="37"/>
        <v>Inox Serti ItalienTé réduitTé réduit</v>
      </c>
      <c r="E2153" s="76" t="s">
        <v>2026</v>
      </c>
      <c r="F2153" s="76">
        <v>36</v>
      </c>
      <c r="G2153" s="71" t="s">
        <v>2027</v>
      </c>
      <c r="H2153" s="71" t="s">
        <v>459</v>
      </c>
      <c r="I2153" s="71">
        <v>192108076</v>
      </c>
      <c r="J2153" s="70">
        <f>IFERROR(VLOOKUP(Devis[[#This Row],[Ref Air Flux]],#REF!,3,FALSE),0)</f>
        <v>0</v>
      </c>
      <c r="K2153" s="68"/>
      <c r="L2153" s="68"/>
      <c r="M2153" s="68"/>
      <c r="N2153" s="68"/>
      <c r="O2153" s="68"/>
      <c r="P2153" s="68"/>
      <c r="Q2153" s="68">
        <f>SUM(Devis[[#This Row],[Poste 1]:[Poste 6]])</f>
        <v>0</v>
      </c>
      <c r="R2153" s="71">
        <v>2</v>
      </c>
      <c r="S2153" s="68">
        <f>_xlfn.CEILING.MATH(Devis[[#This Row],[Quantité Totale]],Devis[[#This Row],[Conditionnement]])</f>
        <v>0</v>
      </c>
      <c r="T2153" s="72"/>
      <c r="U2153" s="73"/>
      <c r="V2153" s="74">
        <f>Devis[[#This Row],[Prix de Revient]]*Devis[[#This Row],[Poste 1]]</f>
        <v>0</v>
      </c>
      <c r="W2153" s="74">
        <f>Devis[[#This Row],[Prix de Revient]]*Devis[[#This Row],[Poste 2]]</f>
        <v>0</v>
      </c>
      <c r="X2153" s="74">
        <f>Devis[[#This Row],[Prix de Revient]]*Devis[[#This Row],[Poste 3]]</f>
        <v>0</v>
      </c>
      <c r="Y2153" s="74">
        <f>Devis[[#This Row],[Poste 4]]*Devis[[#This Row],[Prix de Revient]]</f>
        <v>0</v>
      </c>
      <c r="Z2153" s="74">
        <f>Devis[[#This Row],[Poste 5]]*Devis[[#This Row],[Prix de Revient]]</f>
        <v>0</v>
      </c>
      <c r="AA2153" s="74">
        <f>Devis[[#This Row],[Prix de Revient]]*Devis[[#This Row],[Poste 6]]</f>
        <v>0</v>
      </c>
      <c r="AB2153" s="74">
        <f>Devis[[#This Row],[Quantité Totale]]*Devis[[#This Row],[Prix de Revient]]</f>
        <v>0</v>
      </c>
    </row>
    <row r="2154" spans="1:28" ht="14.25" outlineLevel="1" x14ac:dyDescent="0.2">
      <c r="A2154" s="75" t="s">
        <v>1647</v>
      </c>
      <c r="B2154" s="76" t="s">
        <v>1605</v>
      </c>
      <c r="C2154" s="76" t="s">
        <v>1605</v>
      </c>
      <c r="D2154" s="81" t="str">
        <f t="shared" si="37"/>
        <v>Inox Serti ItalienTé réduitTé réduit</v>
      </c>
      <c r="E2154" s="76" t="s">
        <v>2028</v>
      </c>
      <c r="F2154" s="76">
        <v>37</v>
      </c>
      <c r="G2154" s="71" t="s">
        <v>2029</v>
      </c>
      <c r="H2154" s="71" t="s">
        <v>459</v>
      </c>
      <c r="I2154" s="71">
        <v>192108088</v>
      </c>
      <c r="J2154" s="70">
        <f>IFERROR(VLOOKUP(Devis[[#This Row],[Ref Air Flux]],#REF!,3,FALSE),0)</f>
        <v>0</v>
      </c>
      <c r="K2154" s="68"/>
      <c r="L2154" s="68"/>
      <c r="M2154" s="68"/>
      <c r="N2154" s="68"/>
      <c r="O2154" s="68"/>
      <c r="P2154" s="68"/>
      <c r="Q2154" s="68">
        <f>SUM(Devis[[#This Row],[Poste 1]:[Poste 6]])</f>
        <v>0</v>
      </c>
      <c r="R2154" s="71">
        <v>2</v>
      </c>
      <c r="S2154" s="68">
        <f>_xlfn.CEILING.MATH(Devis[[#This Row],[Quantité Totale]],Devis[[#This Row],[Conditionnement]])</f>
        <v>0</v>
      </c>
      <c r="T2154" s="72"/>
      <c r="U2154" s="73"/>
      <c r="V2154" s="74">
        <f>Devis[[#This Row],[Prix de Revient]]*Devis[[#This Row],[Poste 1]]</f>
        <v>0</v>
      </c>
      <c r="W2154" s="74">
        <f>Devis[[#This Row],[Prix de Revient]]*Devis[[#This Row],[Poste 2]]</f>
        <v>0</v>
      </c>
      <c r="X2154" s="74">
        <f>Devis[[#This Row],[Prix de Revient]]*Devis[[#This Row],[Poste 3]]</f>
        <v>0</v>
      </c>
      <c r="Y2154" s="74">
        <f>Devis[[#This Row],[Poste 4]]*Devis[[#This Row],[Prix de Revient]]</f>
        <v>0</v>
      </c>
      <c r="Z2154" s="74">
        <f>Devis[[#This Row],[Poste 5]]*Devis[[#This Row],[Prix de Revient]]</f>
        <v>0</v>
      </c>
      <c r="AA2154" s="74">
        <f>Devis[[#This Row],[Prix de Revient]]*Devis[[#This Row],[Poste 6]]</f>
        <v>0</v>
      </c>
      <c r="AB2154" s="74">
        <f>Devis[[#This Row],[Quantité Totale]]*Devis[[#This Row],[Prix de Revient]]</f>
        <v>0</v>
      </c>
    </row>
    <row r="2155" spans="1:28" ht="14.25" customHeight="1" x14ac:dyDescent="0.25">
      <c r="A2155" s="65" t="s">
        <v>1647</v>
      </c>
      <c r="B2155" s="65" t="s">
        <v>66</v>
      </c>
      <c r="C2155" s="76" t="s">
        <v>66</v>
      </c>
      <c r="D2155" s="81" t="str">
        <f t="shared" si="37"/>
        <v>Inox Serti ItalienTubeTube</v>
      </c>
      <c r="E2155" s="76"/>
      <c r="F2155" s="76">
        <v>0</v>
      </c>
      <c r="G2155" s="71"/>
      <c r="H2155" s="71"/>
      <c r="I2155" s="71"/>
      <c r="J2155" s="70">
        <f>IFERROR(VLOOKUP(Devis[[#This Row],[Ref Air Flux]],#REF!,3,FALSE),0)</f>
        <v>0</v>
      </c>
      <c r="K2155" s="68"/>
      <c r="L2155" s="68"/>
      <c r="M2155" s="68"/>
      <c r="N2155" s="68"/>
      <c r="O2155" s="68"/>
      <c r="P2155" s="68"/>
      <c r="Q2155" s="68">
        <f>SUM(Devis[[#This Row],[Poste 1]:[Poste 6]])</f>
        <v>0</v>
      </c>
      <c r="R2155" s="71"/>
      <c r="S2155" s="68">
        <f>_xlfn.CEILING.MATH(Devis[[#This Row],[Quantité Totale]],Devis[[#This Row],[Conditionnement]])</f>
        <v>0</v>
      </c>
      <c r="T2155" s="72"/>
      <c r="U2155" s="73"/>
      <c r="V2155" s="74">
        <f>Devis[[#This Row],[Prix de Revient]]*Devis[[#This Row],[Poste 1]]</f>
        <v>0</v>
      </c>
      <c r="W2155" s="74">
        <f>Devis[[#This Row],[Prix de Revient]]*Devis[[#This Row],[Poste 2]]</f>
        <v>0</v>
      </c>
      <c r="X2155" s="74">
        <f>Devis[[#This Row],[Prix de Revient]]*Devis[[#This Row],[Poste 3]]</f>
        <v>0</v>
      </c>
      <c r="Y2155" s="74">
        <f>Devis[[#This Row],[Poste 4]]*Devis[[#This Row],[Prix de Revient]]</f>
        <v>0</v>
      </c>
      <c r="Z2155" s="74">
        <f>Devis[[#This Row],[Poste 5]]*Devis[[#This Row],[Prix de Revient]]</f>
        <v>0</v>
      </c>
      <c r="AA2155" s="74">
        <f>Devis[[#This Row],[Prix de Revient]]*Devis[[#This Row],[Poste 6]]</f>
        <v>0</v>
      </c>
      <c r="AB2155" s="74">
        <f>Devis[[#This Row],[Quantité Totale]]*Devis[[#This Row],[Prix de Revient]]</f>
        <v>0</v>
      </c>
    </row>
    <row r="2156" spans="1:28" ht="14.25" outlineLevel="1" x14ac:dyDescent="0.2">
      <c r="A2156" s="75" t="s">
        <v>1647</v>
      </c>
      <c r="B2156" s="76" t="s">
        <v>1630</v>
      </c>
      <c r="C2156" s="76" t="s">
        <v>1630</v>
      </c>
      <c r="D2156" s="81" t="str">
        <f t="shared" si="37"/>
        <v>Inox Serti ItalienTube 304 LTube 304 L</v>
      </c>
      <c r="E2156" s="76" t="s">
        <v>5361</v>
      </c>
      <c r="F2156" s="76">
        <v>1</v>
      </c>
      <c r="G2156" s="71" t="s">
        <v>2030</v>
      </c>
      <c r="H2156" s="71" t="s">
        <v>459</v>
      </c>
      <c r="I2156" s="71">
        <v>114015200</v>
      </c>
      <c r="J2156" s="70">
        <f>IFERROR(VLOOKUP(Devis[[#This Row],[Ref Air Flux]],#REF!,3,FALSE),0)</f>
        <v>0</v>
      </c>
      <c r="K2156" s="68"/>
      <c r="L2156" s="68"/>
      <c r="M2156" s="68"/>
      <c r="N2156" s="68"/>
      <c r="O2156" s="68"/>
      <c r="P2156" s="68"/>
      <c r="Q2156" s="68">
        <f>SUM(Devis[[#This Row],[Poste 1]:[Poste 6]])</f>
        <v>0</v>
      </c>
      <c r="R2156" s="71">
        <v>6</v>
      </c>
      <c r="S2156" s="68">
        <f>_xlfn.CEILING.MATH(Devis[[#This Row],[Quantité Totale]],Devis[[#This Row],[Conditionnement]])</f>
        <v>0</v>
      </c>
      <c r="T2156" s="72"/>
      <c r="U2156" s="73"/>
      <c r="V2156" s="74">
        <f>Devis[[#This Row],[Prix de Revient]]*Devis[[#This Row],[Poste 1]]</f>
        <v>0</v>
      </c>
      <c r="W2156" s="74">
        <f>Devis[[#This Row],[Prix de Revient]]*Devis[[#This Row],[Poste 2]]</f>
        <v>0</v>
      </c>
      <c r="X2156" s="74">
        <f>Devis[[#This Row],[Prix de Revient]]*Devis[[#This Row],[Poste 3]]</f>
        <v>0</v>
      </c>
      <c r="Y2156" s="74">
        <f>Devis[[#This Row],[Poste 4]]*Devis[[#This Row],[Prix de Revient]]</f>
        <v>0</v>
      </c>
      <c r="Z2156" s="74">
        <f>Devis[[#This Row],[Poste 5]]*Devis[[#This Row],[Prix de Revient]]</f>
        <v>0</v>
      </c>
      <c r="AA2156" s="74">
        <f>Devis[[#This Row],[Prix de Revient]]*Devis[[#This Row],[Poste 6]]</f>
        <v>0</v>
      </c>
      <c r="AB2156" s="74">
        <f>Devis[[#This Row],[Quantité Totale]]*Devis[[#This Row],[Prix de Revient]]</f>
        <v>0</v>
      </c>
    </row>
    <row r="2157" spans="1:28" ht="14.25" outlineLevel="1" x14ac:dyDescent="0.2">
      <c r="A2157" s="75" t="s">
        <v>1647</v>
      </c>
      <c r="B2157" s="76" t="s">
        <v>1630</v>
      </c>
      <c r="C2157" s="76" t="s">
        <v>1630</v>
      </c>
      <c r="D2157" s="81" t="str">
        <f t="shared" si="37"/>
        <v>Inox Serti ItalienTube 304 LTube 304 L</v>
      </c>
      <c r="E2157" s="76" t="s">
        <v>5362</v>
      </c>
      <c r="F2157" s="76">
        <v>2</v>
      </c>
      <c r="G2157" s="71" t="s">
        <v>2031</v>
      </c>
      <c r="H2157" s="71" t="s">
        <v>459</v>
      </c>
      <c r="I2157" s="71">
        <v>114018200</v>
      </c>
      <c r="J2157" s="70">
        <f>IFERROR(VLOOKUP(Devis[[#This Row],[Ref Air Flux]],#REF!,3,FALSE),0)</f>
        <v>0</v>
      </c>
      <c r="K2157" s="68"/>
      <c r="L2157" s="68"/>
      <c r="M2157" s="68"/>
      <c r="N2157" s="68"/>
      <c r="O2157" s="68"/>
      <c r="P2157" s="68"/>
      <c r="Q2157" s="68">
        <f>SUM(Devis[[#This Row],[Poste 1]:[Poste 6]])</f>
        <v>0</v>
      </c>
      <c r="R2157" s="71">
        <v>6</v>
      </c>
      <c r="S2157" s="68">
        <f>_xlfn.CEILING.MATH(Devis[[#This Row],[Quantité Totale]],Devis[[#This Row],[Conditionnement]])</f>
        <v>0</v>
      </c>
      <c r="T2157" s="72"/>
      <c r="U2157" s="73"/>
      <c r="V2157" s="74">
        <f>Devis[[#This Row],[Prix de Revient]]*Devis[[#This Row],[Poste 1]]</f>
        <v>0</v>
      </c>
      <c r="W2157" s="74">
        <f>Devis[[#This Row],[Prix de Revient]]*Devis[[#This Row],[Poste 2]]</f>
        <v>0</v>
      </c>
      <c r="X2157" s="74">
        <f>Devis[[#This Row],[Prix de Revient]]*Devis[[#This Row],[Poste 3]]</f>
        <v>0</v>
      </c>
      <c r="Y2157" s="74">
        <f>Devis[[#This Row],[Poste 4]]*Devis[[#This Row],[Prix de Revient]]</f>
        <v>0</v>
      </c>
      <c r="Z2157" s="74">
        <f>Devis[[#This Row],[Poste 5]]*Devis[[#This Row],[Prix de Revient]]</f>
        <v>0</v>
      </c>
      <c r="AA2157" s="74">
        <f>Devis[[#This Row],[Prix de Revient]]*Devis[[#This Row],[Poste 6]]</f>
        <v>0</v>
      </c>
      <c r="AB2157" s="74">
        <f>Devis[[#This Row],[Quantité Totale]]*Devis[[#This Row],[Prix de Revient]]</f>
        <v>0</v>
      </c>
    </row>
    <row r="2158" spans="1:28" ht="14.25" outlineLevel="1" x14ac:dyDescent="0.2">
      <c r="A2158" s="75" t="s">
        <v>1647</v>
      </c>
      <c r="B2158" s="76" t="s">
        <v>1630</v>
      </c>
      <c r="C2158" s="76" t="s">
        <v>1630</v>
      </c>
      <c r="D2158" s="81" t="str">
        <f t="shared" si="37"/>
        <v>Inox Serti ItalienTube 304 LTube 304 L</v>
      </c>
      <c r="E2158" s="76" t="s">
        <v>1633</v>
      </c>
      <c r="F2158" s="76">
        <v>3</v>
      </c>
      <c r="G2158" s="71" t="s">
        <v>2032</v>
      </c>
      <c r="H2158" s="71" t="s">
        <v>459</v>
      </c>
      <c r="I2158" s="71">
        <v>114022200</v>
      </c>
      <c r="J2158" s="70">
        <f>IFERROR(VLOOKUP(Devis[[#This Row],[Ref Air Flux]],#REF!,3,FALSE),0)</f>
        <v>0</v>
      </c>
      <c r="K2158" s="68"/>
      <c r="L2158" s="68"/>
      <c r="M2158" s="68"/>
      <c r="N2158" s="68"/>
      <c r="O2158" s="68"/>
      <c r="P2158" s="68"/>
      <c r="Q2158" s="68">
        <f>SUM(Devis[[#This Row],[Poste 1]:[Poste 6]])</f>
        <v>0</v>
      </c>
      <c r="R2158" s="71">
        <v>6</v>
      </c>
      <c r="S2158" s="68">
        <f>_xlfn.CEILING.MATH(Devis[[#This Row],[Quantité Totale]],Devis[[#This Row],[Conditionnement]])</f>
        <v>0</v>
      </c>
      <c r="T2158" s="72"/>
      <c r="U2158" s="73"/>
      <c r="V2158" s="74">
        <f>Devis[[#This Row],[Prix de Revient]]*Devis[[#This Row],[Poste 1]]</f>
        <v>0</v>
      </c>
      <c r="W2158" s="74">
        <f>Devis[[#This Row],[Prix de Revient]]*Devis[[#This Row],[Poste 2]]</f>
        <v>0</v>
      </c>
      <c r="X2158" s="74">
        <f>Devis[[#This Row],[Prix de Revient]]*Devis[[#This Row],[Poste 3]]</f>
        <v>0</v>
      </c>
      <c r="Y2158" s="74">
        <f>Devis[[#This Row],[Poste 4]]*Devis[[#This Row],[Prix de Revient]]</f>
        <v>0</v>
      </c>
      <c r="Z2158" s="74">
        <f>Devis[[#This Row],[Poste 5]]*Devis[[#This Row],[Prix de Revient]]</f>
        <v>0</v>
      </c>
      <c r="AA2158" s="74">
        <f>Devis[[#This Row],[Prix de Revient]]*Devis[[#This Row],[Poste 6]]</f>
        <v>0</v>
      </c>
      <c r="AB2158" s="74">
        <f>Devis[[#This Row],[Quantité Totale]]*Devis[[#This Row],[Prix de Revient]]</f>
        <v>0</v>
      </c>
    </row>
    <row r="2159" spans="1:28" ht="14.25" customHeight="1" outlineLevel="1" x14ac:dyDescent="0.2">
      <c r="A2159" s="75" t="s">
        <v>1647</v>
      </c>
      <c r="B2159" s="76" t="s">
        <v>1630</v>
      </c>
      <c r="C2159" s="76" t="s">
        <v>1630</v>
      </c>
      <c r="D2159" s="81" t="str">
        <f t="shared" si="37"/>
        <v>Inox Serti ItalienTube 304 LTube 304 L</v>
      </c>
      <c r="E2159" s="76" t="s">
        <v>1635</v>
      </c>
      <c r="F2159" s="76">
        <v>4</v>
      </c>
      <c r="G2159" s="71" t="s">
        <v>2033</v>
      </c>
      <c r="H2159" s="71" t="s">
        <v>459</v>
      </c>
      <c r="I2159" s="71">
        <v>114028200</v>
      </c>
      <c r="J2159" s="70">
        <f>IFERROR(VLOOKUP(Devis[[#This Row],[Ref Air Flux]],#REF!,3,FALSE),0)</f>
        <v>0</v>
      </c>
      <c r="K2159" s="68"/>
      <c r="L2159" s="68"/>
      <c r="M2159" s="68"/>
      <c r="N2159" s="68"/>
      <c r="O2159" s="68"/>
      <c r="P2159" s="68"/>
      <c r="Q2159" s="68">
        <f>SUM(Devis[[#This Row],[Poste 1]:[Poste 6]])</f>
        <v>0</v>
      </c>
      <c r="R2159" s="71">
        <v>6</v>
      </c>
      <c r="S2159" s="68">
        <f>_xlfn.CEILING.MATH(Devis[[#This Row],[Quantité Totale]],Devis[[#This Row],[Conditionnement]])</f>
        <v>0</v>
      </c>
      <c r="T2159" s="72"/>
      <c r="U2159" s="73"/>
      <c r="V2159" s="74">
        <f>Devis[[#This Row],[Prix de Revient]]*Devis[[#This Row],[Poste 1]]</f>
        <v>0</v>
      </c>
      <c r="W2159" s="74">
        <f>Devis[[#This Row],[Prix de Revient]]*Devis[[#This Row],[Poste 2]]</f>
        <v>0</v>
      </c>
      <c r="X2159" s="74">
        <f>Devis[[#This Row],[Prix de Revient]]*Devis[[#This Row],[Poste 3]]</f>
        <v>0</v>
      </c>
      <c r="Y2159" s="74">
        <f>Devis[[#This Row],[Poste 4]]*Devis[[#This Row],[Prix de Revient]]</f>
        <v>0</v>
      </c>
      <c r="Z2159" s="74">
        <f>Devis[[#This Row],[Poste 5]]*Devis[[#This Row],[Prix de Revient]]</f>
        <v>0</v>
      </c>
      <c r="AA2159" s="74">
        <f>Devis[[#This Row],[Prix de Revient]]*Devis[[#This Row],[Poste 6]]</f>
        <v>0</v>
      </c>
      <c r="AB2159" s="74">
        <f>Devis[[#This Row],[Quantité Totale]]*Devis[[#This Row],[Prix de Revient]]</f>
        <v>0</v>
      </c>
    </row>
    <row r="2160" spans="1:28" ht="14.25" customHeight="1" outlineLevel="1" x14ac:dyDescent="0.2">
      <c r="A2160" s="75" t="s">
        <v>1647</v>
      </c>
      <c r="B2160" s="76" t="s">
        <v>1630</v>
      </c>
      <c r="C2160" s="76" t="s">
        <v>1630</v>
      </c>
      <c r="D2160" s="81" t="str">
        <f t="shared" si="37"/>
        <v>Inox Serti ItalienTube 304 LTube 304 L</v>
      </c>
      <c r="E2160" s="76" t="s">
        <v>5363</v>
      </c>
      <c r="F2160" s="76">
        <v>5</v>
      </c>
      <c r="G2160" s="71" t="s">
        <v>3427</v>
      </c>
      <c r="H2160" s="71" t="s">
        <v>459</v>
      </c>
      <c r="I2160" s="71">
        <v>114035200</v>
      </c>
      <c r="J2160" s="70">
        <f>IFERROR(VLOOKUP(Devis[[#This Row],[Ref Air Flux]],#REF!,3,FALSE),0)</f>
        <v>0</v>
      </c>
      <c r="K2160" s="68"/>
      <c r="L2160" s="68"/>
      <c r="M2160" s="68"/>
      <c r="N2160" s="68"/>
      <c r="O2160" s="68"/>
      <c r="P2160" s="68"/>
      <c r="Q2160" s="68">
        <f>SUM(Devis[[#This Row],[Poste 1]:[Poste 6]])</f>
        <v>0</v>
      </c>
      <c r="R2160" s="71">
        <v>6</v>
      </c>
      <c r="S2160" s="68">
        <f>_xlfn.CEILING.MATH(Devis[[#This Row],[Quantité Totale]],Devis[[#This Row],[Conditionnement]])</f>
        <v>0</v>
      </c>
      <c r="T2160" s="72"/>
      <c r="U2160" s="73"/>
      <c r="V2160" s="74">
        <f>Devis[[#This Row],[Prix de Revient]]*Devis[[#This Row],[Poste 1]]</f>
        <v>0</v>
      </c>
      <c r="W2160" s="74">
        <f>Devis[[#This Row],[Prix de Revient]]*Devis[[#This Row],[Poste 2]]</f>
        <v>0</v>
      </c>
      <c r="X2160" s="74">
        <f>Devis[[#This Row],[Prix de Revient]]*Devis[[#This Row],[Poste 3]]</f>
        <v>0</v>
      </c>
      <c r="Y2160" s="74">
        <f>Devis[[#This Row],[Poste 4]]*Devis[[#This Row],[Prix de Revient]]</f>
        <v>0</v>
      </c>
      <c r="Z2160" s="74">
        <f>Devis[[#This Row],[Poste 5]]*Devis[[#This Row],[Prix de Revient]]</f>
        <v>0</v>
      </c>
      <c r="AA2160" s="74">
        <f>Devis[[#This Row],[Prix de Revient]]*Devis[[#This Row],[Poste 6]]</f>
        <v>0</v>
      </c>
      <c r="AB2160" s="74">
        <f>Devis[[#This Row],[Quantité Totale]]*Devis[[#This Row],[Prix de Revient]]</f>
        <v>0</v>
      </c>
    </row>
    <row r="2161" spans="1:28" ht="14.25" customHeight="1" outlineLevel="1" x14ac:dyDescent="0.2">
      <c r="A2161" s="75" t="s">
        <v>1647</v>
      </c>
      <c r="B2161" s="76" t="s">
        <v>1630</v>
      </c>
      <c r="C2161" s="76" t="s">
        <v>1630</v>
      </c>
      <c r="D2161" s="81" t="str">
        <f t="shared" si="37"/>
        <v>Inox Serti ItalienTube 304 LTube 304 L</v>
      </c>
      <c r="E2161" s="76" t="s">
        <v>1639</v>
      </c>
      <c r="F2161" s="76">
        <v>6</v>
      </c>
      <c r="G2161" s="71" t="s">
        <v>2034</v>
      </c>
      <c r="H2161" s="71" t="s">
        <v>459</v>
      </c>
      <c r="I2161" s="71">
        <v>114042200</v>
      </c>
      <c r="J2161" s="70">
        <f>IFERROR(VLOOKUP(Devis[[#This Row],[Ref Air Flux]],#REF!,3,FALSE),0)</f>
        <v>0</v>
      </c>
      <c r="K2161" s="68"/>
      <c r="L2161" s="68"/>
      <c r="M2161" s="68"/>
      <c r="N2161" s="68"/>
      <c r="O2161" s="68"/>
      <c r="P2161" s="68"/>
      <c r="Q2161" s="68">
        <f>SUM(Devis[[#This Row],[Poste 1]:[Poste 6]])</f>
        <v>0</v>
      </c>
      <c r="R2161" s="71">
        <v>6</v>
      </c>
      <c r="S2161" s="68">
        <f>_xlfn.CEILING.MATH(Devis[[#This Row],[Quantité Totale]],Devis[[#This Row],[Conditionnement]])</f>
        <v>0</v>
      </c>
      <c r="T2161" s="72"/>
      <c r="U2161" s="73"/>
      <c r="V2161" s="74">
        <f>Devis[[#This Row],[Prix de Revient]]*Devis[[#This Row],[Poste 1]]</f>
        <v>0</v>
      </c>
      <c r="W2161" s="74">
        <f>Devis[[#This Row],[Prix de Revient]]*Devis[[#This Row],[Poste 2]]</f>
        <v>0</v>
      </c>
      <c r="X2161" s="74">
        <f>Devis[[#This Row],[Prix de Revient]]*Devis[[#This Row],[Poste 3]]</f>
        <v>0</v>
      </c>
      <c r="Y2161" s="74">
        <f>Devis[[#This Row],[Poste 4]]*Devis[[#This Row],[Prix de Revient]]</f>
        <v>0</v>
      </c>
      <c r="Z2161" s="74">
        <f>Devis[[#This Row],[Poste 5]]*Devis[[#This Row],[Prix de Revient]]</f>
        <v>0</v>
      </c>
      <c r="AA2161" s="74">
        <f>Devis[[#This Row],[Prix de Revient]]*Devis[[#This Row],[Poste 6]]</f>
        <v>0</v>
      </c>
      <c r="AB2161" s="74">
        <f>Devis[[#This Row],[Quantité Totale]]*Devis[[#This Row],[Prix de Revient]]</f>
        <v>0</v>
      </c>
    </row>
    <row r="2162" spans="1:28" ht="14.25" outlineLevel="1" x14ac:dyDescent="0.2">
      <c r="A2162" s="75" t="s">
        <v>1647</v>
      </c>
      <c r="B2162" s="76" t="s">
        <v>1630</v>
      </c>
      <c r="C2162" s="76" t="s">
        <v>1630</v>
      </c>
      <c r="D2162" s="81" t="str">
        <f t="shared" si="37"/>
        <v>Inox Serti ItalienTube 304 LTube 304 L</v>
      </c>
      <c r="E2162" s="76" t="s">
        <v>2035</v>
      </c>
      <c r="F2162" s="76">
        <v>7</v>
      </c>
      <c r="G2162" s="71" t="s">
        <v>2036</v>
      </c>
      <c r="H2162" s="71" t="s">
        <v>459</v>
      </c>
      <c r="I2162" s="71">
        <v>114054200</v>
      </c>
      <c r="J2162" s="70">
        <f>IFERROR(VLOOKUP(Devis[[#This Row],[Ref Air Flux]],#REF!,3,FALSE),0)</f>
        <v>0</v>
      </c>
      <c r="K2162" s="68"/>
      <c r="L2162" s="68"/>
      <c r="M2162" s="68"/>
      <c r="N2162" s="68"/>
      <c r="O2162" s="68"/>
      <c r="P2162" s="68"/>
      <c r="Q2162" s="68">
        <f>SUM(Devis[[#This Row],[Poste 1]:[Poste 6]])</f>
        <v>0</v>
      </c>
      <c r="R2162" s="71">
        <v>6</v>
      </c>
      <c r="S2162" s="68">
        <f>_xlfn.CEILING.MATH(Devis[[#This Row],[Quantité Totale]],Devis[[#This Row],[Conditionnement]])</f>
        <v>0</v>
      </c>
      <c r="T2162" s="72"/>
      <c r="U2162" s="73"/>
      <c r="V2162" s="74">
        <f>Devis[[#This Row],[Prix de Revient]]*Devis[[#This Row],[Poste 1]]</f>
        <v>0</v>
      </c>
      <c r="W2162" s="74">
        <f>Devis[[#This Row],[Prix de Revient]]*Devis[[#This Row],[Poste 2]]</f>
        <v>0</v>
      </c>
      <c r="X2162" s="74">
        <f>Devis[[#This Row],[Prix de Revient]]*Devis[[#This Row],[Poste 3]]</f>
        <v>0</v>
      </c>
      <c r="Y2162" s="74">
        <f>Devis[[#This Row],[Poste 4]]*Devis[[#This Row],[Prix de Revient]]</f>
        <v>0</v>
      </c>
      <c r="Z2162" s="74">
        <f>Devis[[#This Row],[Poste 5]]*Devis[[#This Row],[Prix de Revient]]</f>
        <v>0</v>
      </c>
      <c r="AA2162" s="74">
        <f>Devis[[#This Row],[Prix de Revient]]*Devis[[#This Row],[Poste 6]]</f>
        <v>0</v>
      </c>
      <c r="AB2162" s="74">
        <f>Devis[[#This Row],[Quantité Totale]]*Devis[[#This Row],[Prix de Revient]]</f>
        <v>0</v>
      </c>
    </row>
    <row r="2163" spans="1:28" ht="14.25" outlineLevel="1" x14ac:dyDescent="0.2">
      <c r="A2163" s="75" t="s">
        <v>1647</v>
      </c>
      <c r="B2163" s="76" t="s">
        <v>1630</v>
      </c>
      <c r="C2163" s="76" t="s">
        <v>1630</v>
      </c>
      <c r="D2163" s="81" t="str">
        <f t="shared" si="37"/>
        <v>Inox Serti ItalienTube 304 LTube 304 L</v>
      </c>
      <c r="E2163" s="76" t="s">
        <v>5364</v>
      </c>
      <c r="F2163" s="76">
        <v>8</v>
      </c>
      <c r="G2163" s="71" t="s">
        <v>2037</v>
      </c>
      <c r="H2163" s="71" t="s">
        <v>459</v>
      </c>
      <c r="I2163" s="71">
        <v>114076200</v>
      </c>
      <c r="J2163" s="70">
        <f>IFERROR(VLOOKUP(Devis[[#This Row],[Ref Air Flux]],#REF!,3,FALSE),0)</f>
        <v>0</v>
      </c>
      <c r="K2163" s="68"/>
      <c r="L2163" s="68"/>
      <c r="M2163" s="68"/>
      <c r="N2163" s="68"/>
      <c r="O2163" s="68"/>
      <c r="P2163" s="68"/>
      <c r="Q2163" s="68">
        <f>SUM(Devis[[#This Row],[Poste 1]:[Poste 6]])</f>
        <v>0</v>
      </c>
      <c r="R2163" s="71">
        <v>6</v>
      </c>
      <c r="S2163" s="68">
        <f>_xlfn.CEILING.MATH(Devis[[#This Row],[Quantité Totale]],Devis[[#This Row],[Conditionnement]])</f>
        <v>0</v>
      </c>
      <c r="T2163" s="72"/>
      <c r="U2163" s="73"/>
      <c r="V2163" s="74">
        <f>Devis[[#This Row],[Prix de Revient]]*Devis[[#This Row],[Poste 1]]</f>
        <v>0</v>
      </c>
      <c r="W2163" s="74">
        <f>Devis[[#This Row],[Prix de Revient]]*Devis[[#This Row],[Poste 2]]</f>
        <v>0</v>
      </c>
      <c r="X2163" s="74">
        <f>Devis[[#This Row],[Prix de Revient]]*Devis[[#This Row],[Poste 3]]</f>
        <v>0</v>
      </c>
      <c r="Y2163" s="74">
        <f>Devis[[#This Row],[Poste 4]]*Devis[[#This Row],[Prix de Revient]]</f>
        <v>0</v>
      </c>
      <c r="Z2163" s="74">
        <f>Devis[[#This Row],[Poste 5]]*Devis[[#This Row],[Prix de Revient]]</f>
        <v>0</v>
      </c>
      <c r="AA2163" s="74">
        <f>Devis[[#This Row],[Prix de Revient]]*Devis[[#This Row],[Poste 6]]</f>
        <v>0</v>
      </c>
      <c r="AB2163" s="74">
        <f>Devis[[#This Row],[Quantité Totale]]*Devis[[#This Row],[Prix de Revient]]</f>
        <v>0</v>
      </c>
    </row>
    <row r="2164" spans="1:28" ht="14.25" outlineLevel="1" x14ac:dyDescent="0.2">
      <c r="A2164" s="75" t="s">
        <v>1647</v>
      </c>
      <c r="B2164" s="76" t="s">
        <v>1630</v>
      </c>
      <c r="C2164" s="76" t="s">
        <v>1630</v>
      </c>
      <c r="D2164" s="81" t="str">
        <f t="shared" si="37"/>
        <v>Inox Serti ItalienTube 304 LTube 304 L</v>
      </c>
      <c r="E2164" s="76" t="s">
        <v>2038</v>
      </c>
      <c r="F2164" s="76">
        <v>9</v>
      </c>
      <c r="G2164" s="71" t="s">
        <v>2039</v>
      </c>
      <c r="H2164" s="71" t="s">
        <v>459</v>
      </c>
      <c r="I2164" s="71">
        <v>114088200</v>
      </c>
      <c r="J2164" s="70">
        <f>IFERROR(VLOOKUP(Devis[[#This Row],[Ref Air Flux]],#REF!,3,FALSE),0)</f>
        <v>0</v>
      </c>
      <c r="K2164" s="68"/>
      <c r="L2164" s="68"/>
      <c r="M2164" s="68"/>
      <c r="N2164" s="68"/>
      <c r="O2164" s="68"/>
      <c r="P2164" s="68"/>
      <c r="Q2164" s="68">
        <f>SUM(Devis[[#This Row],[Poste 1]:[Poste 6]])</f>
        <v>0</v>
      </c>
      <c r="R2164" s="71">
        <v>6</v>
      </c>
      <c r="S2164" s="68">
        <f>_xlfn.CEILING.MATH(Devis[[#This Row],[Quantité Totale]],Devis[[#This Row],[Conditionnement]])</f>
        <v>0</v>
      </c>
      <c r="T2164" s="72"/>
      <c r="U2164" s="73"/>
      <c r="V2164" s="74">
        <f>Devis[[#This Row],[Prix de Revient]]*Devis[[#This Row],[Poste 1]]</f>
        <v>0</v>
      </c>
      <c r="W2164" s="74">
        <f>Devis[[#This Row],[Prix de Revient]]*Devis[[#This Row],[Poste 2]]</f>
        <v>0</v>
      </c>
      <c r="X2164" s="74">
        <f>Devis[[#This Row],[Prix de Revient]]*Devis[[#This Row],[Poste 3]]</f>
        <v>0</v>
      </c>
      <c r="Y2164" s="74">
        <f>Devis[[#This Row],[Poste 4]]*Devis[[#This Row],[Prix de Revient]]</f>
        <v>0</v>
      </c>
      <c r="Z2164" s="74">
        <f>Devis[[#This Row],[Poste 5]]*Devis[[#This Row],[Prix de Revient]]</f>
        <v>0</v>
      </c>
      <c r="AA2164" s="74">
        <f>Devis[[#This Row],[Prix de Revient]]*Devis[[#This Row],[Poste 6]]</f>
        <v>0</v>
      </c>
      <c r="AB2164" s="74">
        <f>Devis[[#This Row],[Quantité Totale]]*Devis[[#This Row],[Prix de Revient]]</f>
        <v>0</v>
      </c>
    </row>
    <row r="2165" spans="1:28" ht="14.25" outlineLevel="1" x14ac:dyDescent="0.2">
      <c r="A2165" s="75" t="s">
        <v>1647</v>
      </c>
      <c r="B2165" s="76" t="s">
        <v>1630</v>
      </c>
      <c r="C2165" s="76" t="s">
        <v>1630</v>
      </c>
      <c r="D2165" s="81" t="str">
        <f t="shared" si="37"/>
        <v>Inox Serti ItalienTube 304 LTube 304 L</v>
      </c>
      <c r="E2165" s="76" t="s">
        <v>2040</v>
      </c>
      <c r="F2165" s="76">
        <v>10</v>
      </c>
      <c r="G2165" s="71" t="s">
        <v>2041</v>
      </c>
      <c r="H2165" s="71" t="s">
        <v>459</v>
      </c>
      <c r="I2165" s="71">
        <v>114108200</v>
      </c>
      <c r="J2165" s="70">
        <f>IFERROR(VLOOKUP(Devis[[#This Row],[Ref Air Flux]],#REF!,3,FALSE),0)</f>
        <v>0</v>
      </c>
      <c r="K2165" s="68"/>
      <c r="L2165" s="68"/>
      <c r="M2165" s="68"/>
      <c r="N2165" s="68"/>
      <c r="O2165" s="68"/>
      <c r="P2165" s="68"/>
      <c r="Q2165" s="68">
        <f>SUM(Devis[[#This Row],[Poste 1]:[Poste 6]])</f>
        <v>0</v>
      </c>
      <c r="R2165" s="71">
        <v>6</v>
      </c>
      <c r="S2165" s="68">
        <f>_xlfn.CEILING.MATH(Devis[[#This Row],[Quantité Totale]],Devis[[#This Row],[Conditionnement]])</f>
        <v>0</v>
      </c>
      <c r="T2165" s="72"/>
      <c r="U2165" s="73"/>
      <c r="V2165" s="74">
        <f>Devis[[#This Row],[Prix de Revient]]*Devis[[#This Row],[Poste 1]]</f>
        <v>0</v>
      </c>
      <c r="W2165" s="74">
        <f>Devis[[#This Row],[Prix de Revient]]*Devis[[#This Row],[Poste 2]]</f>
        <v>0</v>
      </c>
      <c r="X2165" s="74">
        <f>Devis[[#This Row],[Prix de Revient]]*Devis[[#This Row],[Poste 3]]</f>
        <v>0</v>
      </c>
      <c r="Y2165" s="74">
        <f>Devis[[#This Row],[Poste 4]]*Devis[[#This Row],[Prix de Revient]]</f>
        <v>0</v>
      </c>
      <c r="Z2165" s="74">
        <f>Devis[[#This Row],[Poste 5]]*Devis[[#This Row],[Prix de Revient]]</f>
        <v>0</v>
      </c>
      <c r="AA2165" s="74">
        <f>Devis[[#This Row],[Prix de Revient]]*Devis[[#This Row],[Poste 6]]</f>
        <v>0</v>
      </c>
      <c r="AB2165" s="74">
        <f>Devis[[#This Row],[Quantité Totale]]*Devis[[#This Row],[Prix de Revient]]</f>
        <v>0</v>
      </c>
    </row>
    <row r="2166" spans="1:28" ht="14.25" outlineLevel="1" x14ac:dyDescent="0.2">
      <c r="A2166" s="75" t="s">
        <v>1647</v>
      </c>
      <c r="B2166" s="76" t="s">
        <v>2042</v>
      </c>
      <c r="C2166" s="76" t="s">
        <v>2042</v>
      </c>
      <c r="D2166" s="81" t="str">
        <f t="shared" si="37"/>
        <v>Inox Serti ItalienTube 316 LTube 316 L</v>
      </c>
      <c r="E2166" s="76" t="s">
        <v>5361</v>
      </c>
      <c r="F2166" s="76">
        <v>11</v>
      </c>
      <c r="G2166" s="71" t="s">
        <v>2043</v>
      </c>
      <c r="H2166" s="71" t="s">
        <v>459</v>
      </c>
      <c r="I2166" s="71">
        <v>116015200</v>
      </c>
      <c r="J2166" s="70">
        <f>IFERROR(VLOOKUP(Devis[[#This Row],[Ref Air Flux]],#REF!,3,FALSE),0)</f>
        <v>0</v>
      </c>
      <c r="K2166" s="68"/>
      <c r="L2166" s="68"/>
      <c r="M2166" s="68"/>
      <c r="N2166" s="68"/>
      <c r="O2166" s="68"/>
      <c r="P2166" s="68"/>
      <c r="Q2166" s="68">
        <f>SUM(Devis[[#This Row],[Poste 1]:[Poste 6]])</f>
        <v>0</v>
      </c>
      <c r="R2166" s="71">
        <v>3</v>
      </c>
      <c r="S2166" s="68">
        <f>_xlfn.CEILING.MATH(Devis[[#This Row],[Quantité Totale]],Devis[[#This Row],[Conditionnement]])</f>
        <v>0</v>
      </c>
      <c r="T2166" s="72"/>
      <c r="U2166" s="73"/>
      <c r="V2166" s="74">
        <f>Devis[[#This Row],[Prix de Revient]]*Devis[[#This Row],[Poste 1]]</f>
        <v>0</v>
      </c>
      <c r="W2166" s="74">
        <f>Devis[[#This Row],[Prix de Revient]]*Devis[[#This Row],[Poste 2]]</f>
        <v>0</v>
      </c>
      <c r="X2166" s="74">
        <f>Devis[[#This Row],[Prix de Revient]]*Devis[[#This Row],[Poste 3]]</f>
        <v>0</v>
      </c>
      <c r="Y2166" s="74">
        <f>Devis[[#This Row],[Poste 4]]*Devis[[#This Row],[Prix de Revient]]</f>
        <v>0</v>
      </c>
      <c r="Z2166" s="74">
        <f>Devis[[#This Row],[Poste 5]]*Devis[[#This Row],[Prix de Revient]]</f>
        <v>0</v>
      </c>
      <c r="AA2166" s="74">
        <f>Devis[[#This Row],[Prix de Revient]]*Devis[[#This Row],[Poste 6]]</f>
        <v>0</v>
      </c>
      <c r="AB2166" s="74">
        <f>Devis[[#This Row],[Quantité Totale]]*Devis[[#This Row],[Prix de Revient]]</f>
        <v>0</v>
      </c>
    </row>
    <row r="2167" spans="1:28" ht="14.25" outlineLevel="1" x14ac:dyDescent="0.2">
      <c r="A2167" s="75" t="s">
        <v>1647</v>
      </c>
      <c r="B2167" s="76" t="s">
        <v>2042</v>
      </c>
      <c r="C2167" s="76" t="s">
        <v>2042</v>
      </c>
      <c r="D2167" s="81" t="str">
        <f t="shared" si="37"/>
        <v>Inox Serti ItalienTube 316 LTube 316 L</v>
      </c>
      <c r="E2167" s="76" t="s">
        <v>5362</v>
      </c>
      <c r="F2167" s="76">
        <v>12</v>
      </c>
      <c r="G2167" s="71" t="s">
        <v>2044</v>
      </c>
      <c r="H2167" s="71" t="s">
        <v>459</v>
      </c>
      <c r="I2167" s="71">
        <v>116018200</v>
      </c>
      <c r="J2167" s="70">
        <f>IFERROR(VLOOKUP(Devis[[#This Row],[Ref Air Flux]],#REF!,3,FALSE),0)</f>
        <v>0</v>
      </c>
      <c r="K2167" s="68"/>
      <c r="L2167" s="68"/>
      <c r="M2167" s="68"/>
      <c r="N2167" s="68"/>
      <c r="O2167" s="68"/>
      <c r="P2167" s="68"/>
      <c r="Q2167" s="68">
        <f>SUM(Devis[[#This Row],[Poste 1]:[Poste 6]])</f>
        <v>0</v>
      </c>
      <c r="R2167" s="71">
        <v>3</v>
      </c>
      <c r="S2167" s="68">
        <f>_xlfn.CEILING.MATH(Devis[[#This Row],[Quantité Totale]],Devis[[#This Row],[Conditionnement]])</f>
        <v>0</v>
      </c>
      <c r="T2167" s="72"/>
      <c r="U2167" s="73"/>
      <c r="V2167" s="74">
        <f>Devis[[#This Row],[Prix de Revient]]*Devis[[#This Row],[Poste 1]]</f>
        <v>0</v>
      </c>
      <c r="W2167" s="74">
        <f>Devis[[#This Row],[Prix de Revient]]*Devis[[#This Row],[Poste 2]]</f>
        <v>0</v>
      </c>
      <c r="X2167" s="74">
        <f>Devis[[#This Row],[Prix de Revient]]*Devis[[#This Row],[Poste 3]]</f>
        <v>0</v>
      </c>
      <c r="Y2167" s="74">
        <f>Devis[[#This Row],[Poste 4]]*Devis[[#This Row],[Prix de Revient]]</f>
        <v>0</v>
      </c>
      <c r="Z2167" s="74">
        <f>Devis[[#This Row],[Poste 5]]*Devis[[#This Row],[Prix de Revient]]</f>
        <v>0</v>
      </c>
      <c r="AA2167" s="74">
        <f>Devis[[#This Row],[Prix de Revient]]*Devis[[#This Row],[Poste 6]]</f>
        <v>0</v>
      </c>
      <c r="AB2167" s="74">
        <f>Devis[[#This Row],[Quantité Totale]]*Devis[[#This Row],[Prix de Revient]]</f>
        <v>0</v>
      </c>
    </row>
    <row r="2168" spans="1:28" ht="14.25" outlineLevel="1" x14ac:dyDescent="0.2">
      <c r="A2168" s="75" t="s">
        <v>1647</v>
      </c>
      <c r="B2168" s="76" t="s">
        <v>2042</v>
      </c>
      <c r="C2168" s="76" t="s">
        <v>2042</v>
      </c>
      <c r="D2168" s="81" t="str">
        <f t="shared" si="37"/>
        <v>Inox Serti ItalienTube 316 LTube 316 L</v>
      </c>
      <c r="E2168" s="76" t="s">
        <v>1633</v>
      </c>
      <c r="F2168" s="76">
        <v>13</v>
      </c>
      <c r="G2168" s="71" t="s">
        <v>2045</v>
      </c>
      <c r="H2168" s="71" t="s">
        <v>459</v>
      </c>
      <c r="I2168" s="71">
        <v>116022200</v>
      </c>
      <c r="J2168" s="70">
        <f>IFERROR(VLOOKUP(Devis[[#This Row],[Ref Air Flux]],#REF!,3,FALSE),0)</f>
        <v>0</v>
      </c>
      <c r="K2168" s="68"/>
      <c r="L2168" s="68"/>
      <c r="M2168" s="68"/>
      <c r="N2168" s="68"/>
      <c r="O2168" s="68"/>
      <c r="P2168" s="68"/>
      <c r="Q2168" s="68">
        <f>SUM(Devis[[#This Row],[Poste 1]:[Poste 6]])</f>
        <v>0</v>
      </c>
      <c r="R2168" s="71">
        <v>3</v>
      </c>
      <c r="S2168" s="68">
        <f>_xlfn.CEILING.MATH(Devis[[#This Row],[Quantité Totale]],Devis[[#This Row],[Conditionnement]])</f>
        <v>0</v>
      </c>
      <c r="T2168" s="72"/>
      <c r="U2168" s="73"/>
      <c r="V2168" s="74">
        <f>Devis[[#This Row],[Prix de Revient]]*Devis[[#This Row],[Poste 1]]</f>
        <v>0</v>
      </c>
      <c r="W2168" s="74">
        <f>Devis[[#This Row],[Prix de Revient]]*Devis[[#This Row],[Poste 2]]</f>
        <v>0</v>
      </c>
      <c r="X2168" s="74">
        <f>Devis[[#This Row],[Prix de Revient]]*Devis[[#This Row],[Poste 3]]</f>
        <v>0</v>
      </c>
      <c r="Y2168" s="74">
        <f>Devis[[#This Row],[Poste 4]]*Devis[[#This Row],[Prix de Revient]]</f>
        <v>0</v>
      </c>
      <c r="Z2168" s="74">
        <f>Devis[[#This Row],[Poste 5]]*Devis[[#This Row],[Prix de Revient]]</f>
        <v>0</v>
      </c>
      <c r="AA2168" s="74">
        <f>Devis[[#This Row],[Prix de Revient]]*Devis[[#This Row],[Poste 6]]</f>
        <v>0</v>
      </c>
      <c r="AB2168" s="74">
        <f>Devis[[#This Row],[Quantité Totale]]*Devis[[#This Row],[Prix de Revient]]</f>
        <v>0</v>
      </c>
    </row>
    <row r="2169" spans="1:28" ht="14.25" outlineLevel="1" x14ac:dyDescent="0.2">
      <c r="A2169" s="75" t="s">
        <v>1647</v>
      </c>
      <c r="B2169" s="76" t="s">
        <v>2042</v>
      </c>
      <c r="C2169" s="76" t="s">
        <v>2042</v>
      </c>
      <c r="D2169" s="81" t="str">
        <f t="shared" si="37"/>
        <v>Inox Serti ItalienTube 316 LTube 316 L</v>
      </c>
      <c r="E2169" s="76" t="s">
        <v>1635</v>
      </c>
      <c r="F2169" s="76">
        <v>14</v>
      </c>
      <c r="G2169" s="71" t="s">
        <v>2046</v>
      </c>
      <c r="H2169" s="71" t="s">
        <v>459</v>
      </c>
      <c r="I2169" s="71">
        <v>116028200</v>
      </c>
      <c r="J2169" s="70">
        <f>IFERROR(VLOOKUP(Devis[[#This Row],[Ref Air Flux]],#REF!,3,FALSE),0)</f>
        <v>0</v>
      </c>
      <c r="K2169" s="68"/>
      <c r="L2169" s="68"/>
      <c r="M2169" s="68"/>
      <c r="N2169" s="68"/>
      <c r="O2169" s="68"/>
      <c r="P2169" s="68"/>
      <c r="Q2169" s="68">
        <f>SUM(Devis[[#This Row],[Poste 1]:[Poste 6]])</f>
        <v>0</v>
      </c>
      <c r="R2169" s="71">
        <v>3</v>
      </c>
      <c r="S2169" s="68">
        <f>_xlfn.CEILING.MATH(Devis[[#This Row],[Quantité Totale]],Devis[[#This Row],[Conditionnement]])</f>
        <v>0</v>
      </c>
      <c r="T2169" s="72"/>
      <c r="U2169" s="73"/>
      <c r="V2169" s="74">
        <f>Devis[[#This Row],[Prix de Revient]]*Devis[[#This Row],[Poste 1]]</f>
        <v>0</v>
      </c>
      <c r="W2169" s="74">
        <f>Devis[[#This Row],[Prix de Revient]]*Devis[[#This Row],[Poste 2]]</f>
        <v>0</v>
      </c>
      <c r="X2169" s="74">
        <f>Devis[[#This Row],[Prix de Revient]]*Devis[[#This Row],[Poste 3]]</f>
        <v>0</v>
      </c>
      <c r="Y2169" s="74">
        <f>Devis[[#This Row],[Poste 4]]*Devis[[#This Row],[Prix de Revient]]</f>
        <v>0</v>
      </c>
      <c r="Z2169" s="74">
        <f>Devis[[#This Row],[Poste 5]]*Devis[[#This Row],[Prix de Revient]]</f>
        <v>0</v>
      </c>
      <c r="AA2169" s="74">
        <f>Devis[[#This Row],[Prix de Revient]]*Devis[[#This Row],[Poste 6]]</f>
        <v>0</v>
      </c>
      <c r="AB2169" s="74">
        <f>Devis[[#This Row],[Quantité Totale]]*Devis[[#This Row],[Prix de Revient]]</f>
        <v>0</v>
      </c>
    </row>
    <row r="2170" spans="1:28" ht="14.25" customHeight="1" outlineLevel="1" x14ac:dyDescent="0.2">
      <c r="A2170" s="75" t="s">
        <v>1647</v>
      </c>
      <c r="B2170" s="76" t="s">
        <v>2042</v>
      </c>
      <c r="C2170" s="76" t="s">
        <v>2042</v>
      </c>
      <c r="D2170" s="81" t="str">
        <f t="shared" si="37"/>
        <v>Inox Serti ItalienTube 316 LTube 316 L</v>
      </c>
      <c r="E2170" s="76" t="s">
        <v>5363</v>
      </c>
      <c r="F2170" s="76">
        <v>15</v>
      </c>
      <c r="G2170" s="71" t="s">
        <v>2047</v>
      </c>
      <c r="H2170" s="71" t="s">
        <v>459</v>
      </c>
      <c r="I2170" s="71">
        <v>116035200</v>
      </c>
      <c r="J2170" s="70">
        <f>IFERROR(VLOOKUP(Devis[[#This Row],[Ref Air Flux]],#REF!,3,FALSE),0)</f>
        <v>0</v>
      </c>
      <c r="K2170" s="68"/>
      <c r="L2170" s="68"/>
      <c r="M2170" s="68"/>
      <c r="N2170" s="68"/>
      <c r="O2170" s="68"/>
      <c r="P2170" s="68"/>
      <c r="Q2170" s="68">
        <f>SUM(Devis[[#This Row],[Poste 1]:[Poste 6]])</f>
        <v>0</v>
      </c>
      <c r="R2170" s="71">
        <v>3</v>
      </c>
      <c r="S2170" s="68">
        <f>_xlfn.CEILING.MATH(Devis[[#This Row],[Quantité Totale]],Devis[[#This Row],[Conditionnement]])</f>
        <v>0</v>
      </c>
      <c r="T2170" s="72"/>
      <c r="U2170" s="73"/>
      <c r="V2170" s="74">
        <f>Devis[[#This Row],[Prix de Revient]]*Devis[[#This Row],[Poste 1]]</f>
        <v>0</v>
      </c>
      <c r="W2170" s="74">
        <f>Devis[[#This Row],[Prix de Revient]]*Devis[[#This Row],[Poste 2]]</f>
        <v>0</v>
      </c>
      <c r="X2170" s="74">
        <f>Devis[[#This Row],[Prix de Revient]]*Devis[[#This Row],[Poste 3]]</f>
        <v>0</v>
      </c>
      <c r="Y2170" s="74">
        <f>Devis[[#This Row],[Poste 4]]*Devis[[#This Row],[Prix de Revient]]</f>
        <v>0</v>
      </c>
      <c r="Z2170" s="74">
        <f>Devis[[#This Row],[Poste 5]]*Devis[[#This Row],[Prix de Revient]]</f>
        <v>0</v>
      </c>
      <c r="AA2170" s="74">
        <f>Devis[[#This Row],[Prix de Revient]]*Devis[[#This Row],[Poste 6]]</f>
        <v>0</v>
      </c>
      <c r="AB2170" s="74">
        <f>Devis[[#This Row],[Quantité Totale]]*Devis[[#This Row],[Prix de Revient]]</f>
        <v>0</v>
      </c>
    </row>
    <row r="2171" spans="1:28" ht="14.25" outlineLevel="1" x14ac:dyDescent="0.2">
      <c r="A2171" s="75" t="s">
        <v>1647</v>
      </c>
      <c r="B2171" s="76" t="s">
        <v>2042</v>
      </c>
      <c r="C2171" s="76" t="s">
        <v>2042</v>
      </c>
      <c r="D2171" s="81" t="str">
        <f t="shared" si="37"/>
        <v>Inox Serti ItalienTube 316 LTube 316 L</v>
      </c>
      <c r="E2171" s="76" t="s">
        <v>1639</v>
      </c>
      <c r="F2171" s="76">
        <v>16</v>
      </c>
      <c r="G2171" s="71" t="s">
        <v>2048</v>
      </c>
      <c r="H2171" s="71" t="s">
        <v>459</v>
      </c>
      <c r="I2171" s="71">
        <v>116042200</v>
      </c>
      <c r="J2171" s="70">
        <f>IFERROR(VLOOKUP(Devis[[#This Row],[Ref Air Flux]],#REF!,3,FALSE),0)</f>
        <v>0</v>
      </c>
      <c r="K2171" s="68"/>
      <c r="L2171" s="68"/>
      <c r="M2171" s="68"/>
      <c r="N2171" s="68"/>
      <c r="O2171" s="68"/>
      <c r="P2171" s="68"/>
      <c r="Q2171" s="68">
        <f>SUM(Devis[[#This Row],[Poste 1]:[Poste 6]])</f>
        <v>0</v>
      </c>
      <c r="R2171" s="71">
        <v>3</v>
      </c>
      <c r="S2171" s="68">
        <f>_xlfn.CEILING.MATH(Devis[[#This Row],[Quantité Totale]],Devis[[#This Row],[Conditionnement]])</f>
        <v>0</v>
      </c>
      <c r="T2171" s="72"/>
      <c r="U2171" s="73"/>
      <c r="V2171" s="74">
        <f>Devis[[#This Row],[Prix de Revient]]*Devis[[#This Row],[Poste 1]]</f>
        <v>0</v>
      </c>
      <c r="W2171" s="74">
        <f>Devis[[#This Row],[Prix de Revient]]*Devis[[#This Row],[Poste 2]]</f>
        <v>0</v>
      </c>
      <c r="X2171" s="74">
        <f>Devis[[#This Row],[Prix de Revient]]*Devis[[#This Row],[Poste 3]]</f>
        <v>0</v>
      </c>
      <c r="Y2171" s="74">
        <f>Devis[[#This Row],[Poste 4]]*Devis[[#This Row],[Prix de Revient]]</f>
        <v>0</v>
      </c>
      <c r="Z2171" s="74">
        <f>Devis[[#This Row],[Poste 5]]*Devis[[#This Row],[Prix de Revient]]</f>
        <v>0</v>
      </c>
      <c r="AA2171" s="74">
        <f>Devis[[#This Row],[Prix de Revient]]*Devis[[#This Row],[Poste 6]]</f>
        <v>0</v>
      </c>
      <c r="AB2171" s="74">
        <f>Devis[[#This Row],[Quantité Totale]]*Devis[[#This Row],[Prix de Revient]]</f>
        <v>0</v>
      </c>
    </row>
    <row r="2172" spans="1:28" ht="14.25" outlineLevel="1" x14ac:dyDescent="0.2">
      <c r="A2172" s="75" t="s">
        <v>1647</v>
      </c>
      <c r="B2172" s="76" t="s">
        <v>2042</v>
      </c>
      <c r="C2172" s="76" t="s">
        <v>2042</v>
      </c>
      <c r="D2172" s="81" t="str">
        <f t="shared" si="37"/>
        <v>Inox Serti ItalienTube 316 LTube 316 L</v>
      </c>
      <c r="E2172" s="76" t="s">
        <v>2035</v>
      </c>
      <c r="F2172" s="76">
        <v>17</v>
      </c>
      <c r="G2172" s="71" t="s">
        <v>2049</v>
      </c>
      <c r="H2172" s="71" t="s">
        <v>459</v>
      </c>
      <c r="I2172" s="71">
        <v>116054200</v>
      </c>
      <c r="J2172" s="70">
        <f>IFERROR(VLOOKUP(Devis[[#This Row],[Ref Air Flux]],#REF!,3,FALSE),0)</f>
        <v>0</v>
      </c>
      <c r="K2172" s="68"/>
      <c r="L2172" s="68"/>
      <c r="M2172" s="68"/>
      <c r="N2172" s="68"/>
      <c r="O2172" s="68"/>
      <c r="P2172" s="68"/>
      <c r="Q2172" s="68">
        <f>SUM(Devis[[#This Row],[Poste 1]:[Poste 6]])</f>
        <v>0</v>
      </c>
      <c r="R2172" s="71">
        <v>3</v>
      </c>
      <c r="S2172" s="68">
        <f>_xlfn.CEILING.MATH(Devis[[#This Row],[Quantité Totale]],Devis[[#This Row],[Conditionnement]])</f>
        <v>0</v>
      </c>
      <c r="T2172" s="72"/>
      <c r="U2172" s="73"/>
      <c r="V2172" s="74">
        <f>Devis[[#This Row],[Prix de Revient]]*Devis[[#This Row],[Poste 1]]</f>
        <v>0</v>
      </c>
      <c r="W2172" s="74">
        <f>Devis[[#This Row],[Prix de Revient]]*Devis[[#This Row],[Poste 2]]</f>
        <v>0</v>
      </c>
      <c r="X2172" s="74">
        <f>Devis[[#This Row],[Prix de Revient]]*Devis[[#This Row],[Poste 3]]</f>
        <v>0</v>
      </c>
      <c r="Y2172" s="74">
        <f>Devis[[#This Row],[Poste 4]]*Devis[[#This Row],[Prix de Revient]]</f>
        <v>0</v>
      </c>
      <c r="Z2172" s="74">
        <f>Devis[[#This Row],[Poste 5]]*Devis[[#This Row],[Prix de Revient]]</f>
        <v>0</v>
      </c>
      <c r="AA2172" s="74">
        <f>Devis[[#This Row],[Prix de Revient]]*Devis[[#This Row],[Poste 6]]</f>
        <v>0</v>
      </c>
      <c r="AB2172" s="74">
        <f>Devis[[#This Row],[Quantité Totale]]*Devis[[#This Row],[Prix de Revient]]</f>
        <v>0</v>
      </c>
    </row>
    <row r="2173" spans="1:28" ht="14.25" outlineLevel="1" x14ac:dyDescent="0.2">
      <c r="A2173" s="75" t="s">
        <v>1647</v>
      </c>
      <c r="B2173" s="76" t="s">
        <v>2042</v>
      </c>
      <c r="C2173" s="76" t="s">
        <v>2042</v>
      </c>
      <c r="D2173" s="81" t="str">
        <f t="shared" si="37"/>
        <v>Inox Serti ItalienTube 316 LTube 316 L</v>
      </c>
      <c r="E2173" s="76" t="s">
        <v>5364</v>
      </c>
      <c r="F2173" s="76">
        <v>18</v>
      </c>
      <c r="G2173" s="71" t="s">
        <v>2050</v>
      </c>
      <c r="H2173" s="71" t="s">
        <v>459</v>
      </c>
      <c r="I2173" s="71">
        <v>116076200</v>
      </c>
      <c r="J2173" s="70">
        <f>IFERROR(VLOOKUP(Devis[[#This Row],[Ref Air Flux]],#REF!,3,FALSE),0)</f>
        <v>0</v>
      </c>
      <c r="K2173" s="68"/>
      <c r="L2173" s="68"/>
      <c r="M2173" s="68"/>
      <c r="N2173" s="68"/>
      <c r="O2173" s="68"/>
      <c r="P2173" s="68"/>
      <c r="Q2173" s="68">
        <f>SUM(Devis[[#This Row],[Poste 1]:[Poste 6]])</f>
        <v>0</v>
      </c>
      <c r="R2173" s="71">
        <v>3</v>
      </c>
      <c r="S2173" s="68">
        <f>_xlfn.CEILING.MATH(Devis[[#This Row],[Quantité Totale]],Devis[[#This Row],[Conditionnement]])</f>
        <v>0</v>
      </c>
      <c r="T2173" s="72"/>
      <c r="U2173" s="73"/>
      <c r="V2173" s="74">
        <f>Devis[[#This Row],[Prix de Revient]]*Devis[[#This Row],[Poste 1]]</f>
        <v>0</v>
      </c>
      <c r="W2173" s="74">
        <f>Devis[[#This Row],[Prix de Revient]]*Devis[[#This Row],[Poste 2]]</f>
        <v>0</v>
      </c>
      <c r="X2173" s="74">
        <f>Devis[[#This Row],[Prix de Revient]]*Devis[[#This Row],[Poste 3]]</f>
        <v>0</v>
      </c>
      <c r="Y2173" s="74">
        <f>Devis[[#This Row],[Poste 4]]*Devis[[#This Row],[Prix de Revient]]</f>
        <v>0</v>
      </c>
      <c r="Z2173" s="74">
        <f>Devis[[#This Row],[Poste 5]]*Devis[[#This Row],[Prix de Revient]]</f>
        <v>0</v>
      </c>
      <c r="AA2173" s="74">
        <f>Devis[[#This Row],[Prix de Revient]]*Devis[[#This Row],[Poste 6]]</f>
        <v>0</v>
      </c>
      <c r="AB2173" s="74">
        <f>Devis[[#This Row],[Quantité Totale]]*Devis[[#This Row],[Prix de Revient]]</f>
        <v>0</v>
      </c>
    </row>
    <row r="2174" spans="1:28" ht="14.25" outlineLevel="1" x14ac:dyDescent="0.2">
      <c r="A2174" s="75" t="s">
        <v>1647</v>
      </c>
      <c r="B2174" s="76" t="s">
        <v>2042</v>
      </c>
      <c r="C2174" s="76" t="s">
        <v>2042</v>
      </c>
      <c r="D2174" s="81" t="str">
        <f t="shared" si="37"/>
        <v>Inox Serti ItalienTube 316 LTube 316 L</v>
      </c>
      <c r="E2174" s="76" t="s">
        <v>2038</v>
      </c>
      <c r="F2174" s="76">
        <v>19</v>
      </c>
      <c r="G2174" s="71" t="s">
        <v>2051</v>
      </c>
      <c r="H2174" s="71" t="s">
        <v>459</v>
      </c>
      <c r="I2174" s="71">
        <v>116088200</v>
      </c>
      <c r="J2174" s="70">
        <f>IFERROR(VLOOKUP(Devis[[#This Row],[Ref Air Flux]],#REF!,3,FALSE),0)</f>
        <v>0</v>
      </c>
      <c r="K2174" s="68"/>
      <c r="L2174" s="68"/>
      <c r="M2174" s="68"/>
      <c r="N2174" s="68"/>
      <c r="O2174" s="68"/>
      <c r="P2174" s="68"/>
      <c r="Q2174" s="68">
        <f>SUM(Devis[[#This Row],[Poste 1]:[Poste 6]])</f>
        <v>0</v>
      </c>
      <c r="R2174" s="71">
        <v>3</v>
      </c>
      <c r="S2174" s="68">
        <f>_xlfn.CEILING.MATH(Devis[[#This Row],[Quantité Totale]],Devis[[#This Row],[Conditionnement]])</f>
        <v>0</v>
      </c>
      <c r="T2174" s="72"/>
      <c r="U2174" s="73"/>
      <c r="V2174" s="74">
        <f>Devis[[#This Row],[Prix de Revient]]*Devis[[#This Row],[Poste 1]]</f>
        <v>0</v>
      </c>
      <c r="W2174" s="74">
        <f>Devis[[#This Row],[Prix de Revient]]*Devis[[#This Row],[Poste 2]]</f>
        <v>0</v>
      </c>
      <c r="X2174" s="74">
        <f>Devis[[#This Row],[Prix de Revient]]*Devis[[#This Row],[Poste 3]]</f>
        <v>0</v>
      </c>
      <c r="Y2174" s="74">
        <f>Devis[[#This Row],[Poste 4]]*Devis[[#This Row],[Prix de Revient]]</f>
        <v>0</v>
      </c>
      <c r="Z2174" s="74">
        <f>Devis[[#This Row],[Poste 5]]*Devis[[#This Row],[Prix de Revient]]</f>
        <v>0</v>
      </c>
      <c r="AA2174" s="74">
        <f>Devis[[#This Row],[Prix de Revient]]*Devis[[#This Row],[Poste 6]]</f>
        <v>0</v>
      </c>
      <c r="AB2174" s="74">
        <f>Devis[[#This Row],[Quantité Totale]]*Devis[[#This Row],[Prix de Revient]]</f>
        <v>0</v>
      </c>
    </row>
    <row r="2175" spans="1:28" ht="14.25" outlineLevel="1" x14ac:dyDescent="0.2">
      <c r="A2175" s="75" t="s">
        <v>1647</v>
      </c>
      <c r="B2175" s="76" t="s">
        <v>2042</v>
      </c>
      <c r="C2175" s="76" t="s">
        <v>2042</v>
      </c>
      <c r="D2175" s="81" t="str">
        <f t="shared" si="37"/>
        <v>Inox Serti ItalienTube 316 LTube 316 L</v>
      </c>
      <c r="E2175" s="76" t="s">
        <v>2040</v>
      </c>
      <c r="F2175" s="76">
        <v>20</v>
      </c>
      <c r="G2175" s="71" t="s">
        <v>2052</v>
      </c>
      <c r="H2175" s="71" t="s">
        <v>459</v>
      </c>
      <c r="I2175" s="71">
        <v>116108200</v>
      </c>
      <c r="J2175" s="70">
        <f>IFERROR(VLOOKUP(Devis[[#This Row],[Ref Air Flux]],#REF!,3,FALSE),0)</f>
        <v>0</v>
      </c>
      <c r="K2175" s="68"/>
      <c r="L2175" s="68"/>
      <c r="M2175" s="68"/>
      <c r="N2175" s="68"/>
      <c r="O2175" s="68"/>
      <c r="P2175" s="68"/>
      <c r="Q2175" s="68">
        <f>SUM(Devis[[#This Row],[Poste 1]:[Poste 6]])</f>
        <v>0</v>
      </c>
      <c r="R2175" s="71">
        <v>3</v>
      </c>
      <c r="S2175" s="68">
        <f>_xlfn.CEILING.MATH(Devis[[#This Row],[Quantité Totale]],Devis[[#This Row],[Conditionnement]])</f>
        <v>0</v>
      </c>
      <c r="T2175" s="72"/>
      <c r="U2175" s="73"/>
      <c r="V2175" s="74">
        <f>Devis[[#This Row],[Prix de Revient]]*Devis[[#This Row],[Poste 1]]</f>
        <v>0</v>
      </c>
      <c r="W2175" s="74">
        <f>Devis[[#This Row],[Prix de Revient]]*Devis[[#This Row],[Poste 2]]</f>
        <v>0</v>
      </c>
      <c r="X2175" s="74">
        <f>Devis[[#This Row],[Prix de Revient]]*Devis[[#This Row],[Poste 3]]</f>
        <v>0</v>
      </c>
      <c r="Y2175" s="74">
        <f>Devis[[#This Row],[Poste 4]]*Devis[[#This Row],[Prix de Revient]]</f>
        <v>0</v>
      </c>
      <c r="Z2175" s="74">
        <f>Devis[[#This Row],[Poste 5]]*Devis[[#This Row],[Prix de Revient]]</f>
        <v>0</v>
      </c>
      <c r="AA2175" s="74">
        <f>Devis[[#This Row],[Prix de Revient]]*Devis[[#This Row],[Poste 6]]</f>
        <v>0</v>
      </c>
      <c r="AB2175" s="74">
        <f>Devis[[#This Row],[Quantité Totale]]*Devis[[#This Row],[Prix de Revient]]</f>
        <v>0</v>
      </c>
    </row>
    <row r="2176" spans="1:28" ht="14.25" customHeight="1" x14ac:dyDescent="0.25">
      <c r="A2176" s="65" t="s">
        <v>2053</v>
      </c>
      <c r="B2176" s="65" t="s">
        <v>2064</v>
      </c>
      <c r="C2176" s="76"/>
      <c r="D2176" s="81" t="str">
        <f t="shared" si="37"/>
        <v>Inox SoudéBouts filetés inox 316L</v>
      </c>
      <c r="E2176" s="76"/>
      <c r="F2176" s="81">
        <v>0</v>
      </c>
      <c r="G2176" s="86"/>
      <c r="H2176" s="71"/>
      <c r="I2176" s="75"/>
      <c r="J2176" s="70">
        <f>IFERROR(VLOOKUP(Devis[[#This Row],[Ref Air Flux]],#REF!,3,FALSE),0)</f>
        <v>0</v>
      </c>
      <c r="K2176" s="68"/>
      <c r="L2176" s="68"/>
      <c r="M2176" s="68"/>
      <c r="N2176" s="68"/>
      <c r="O2176" s="68"/>
      <c r="P2176" s="68"/>
      <c r="Q2176" s="68">
        <f>SUM(Devis[[#This Row],[Poste 1]:[Poste 6]])</f>
        <v>0</v>
      </c>
      <c r="R2176" s="111"/>
      <c r="S2176" s="68">
        <f>_xlfn.CEILING.MATH(Devis[[#This Row],[Quantité Totale]],Devis[[#This Row],[Conditionnement]])</f>
        <v>0</v>
      </c>
      <c r="T2176" s="72"/>
      <c r="U2176" s="106"/>
      <c r="V2176" s="74">
        <f>Devis[[#This Row],[Prix de Revient]]*Devis[[#This Row],[Poste 1]]</f>
        <v>0</v>
      </c>
      <c r="W2176" s="74">
        <f>Devis[[#This Row],[Prix de Revient]]*Devis[[#This Row],[Poste 2]]</f>
        <v>0</v>
      </c>
      <c r="X2176" s="74">
        <f>Devis[[#This Row],[Prix de Revient]]*Devis[[#This Row],[Poste 3]]</f>
        <v>0</v>
      </c>
      <c r="Y2176" s="74">
        <f>Devis[[#This Row],[Poste 4]]*Devis[[#This Row],[Prix de Revient]]</f>
        <v>0</v>
      </c>
      <c r="Z2176" s="74">
        <f>Devis[[#This Row],[Poste 5]]*Devis[[#This Row],[Prix de Revient]]</f>
        <v>0</v>
      </c>
      <c r="AA2176" s="74">
        <f>Devis[[#This Row],[Prix de Revient]]*Devis[[#This Row],[Poste 6]]</f>
        <v>0</v>
      </c>
      <c r="AB2176" s="74">
        <f>Devis[[#This Row],[Quantité Totale]]*Devis[[#This Row],[Prix de Revient]]</f>
        <v>0</v>
      </c>
    </row>
    <row r="2177" spans="1:28" ht="14.25" outlineLevel="1" x14ac:dyDescent="0.2">
      <c r="A2177" s="75" t="s">
        <v>2053</v>
      </c>
      <c r="B2177" s="76" t="s">
        <v>2064</v>
      </c>
      <c r="C2177" s="76"/>
      <c r="D2177" s="81" t="str">
        <f t="shared" si="37"/>
        <v>Inox SoudéBouts filetés inox 316L</v>
      </c>
      <c r="E2177" s="76" t="s">
        <v>19</v>
      </c>
      <c r="F2177" s="81">
        <v>1</v>
      </c>
      <c r="G2177" s="86" t="s">
        <v>3426</v>
      </c>
      <c r="H2177" s="71"/>
      <c r="I2177" s="75"/>
      <c r="J2177" s="70">
        <f>IFERROR(VLOOKUP(Devis[[#This Row],[Ref Air Flux]],#REF!,3,FALSE),0)</f>
        <v>0</v>
      </c>
      <c r="K2177" s="68"/>
      <c r="L2177" s="68"/>
      <c r="M2177" s="68"/>
      <c r="N2177" s="68"/>
      <c r="O2177" s="68"/>
      <c r="P2177" s="68"/>
      <c r="Q2177" s="68">
        <f>SUM(Devis[[#This Row],[Poste 1]:[Poste 6]])</f>
        <v>0</v>
      </c>
      <c r="R2177" s="111"/>
      <c r="S2177" s="68">
        <f>_xlfn.CEILING.MATH(Devis[[#This Row],[Quantité Totale]],Devis[[#This Row],[Conditionnement]])</f>
        <v>0</v>
      </c>
      <c r="T2177" s="72">
        <v>0.25</v>
      </c>
      <c r="U2177" s="106"/>
      <c r="V2177" s="74">
        <f>Devis[[#This Row],[Prix de Revient]]*Devis[[#This Row],[Poste 1]]</f>
        <v>0</v>
      </c>
      <c r="W2177" s="74">
        <f>Devis[[#This Row],[Prix de Revient]]*Devis[[#This Row],[Poste 2]]</f>
        <v>0</v>
      </c>
      <c r="X2177" s="74">
        <f>Devis[[#This Row],[Prix de Revient]]*Devis[[#This Row],[Poste 3]]</f>
        <v>0</v>
      </c>
      <c r="Y2177" s="74">
        <f>Devis[[#This Row],[Poste 4]]*Devis[[#This Row],[Prix de Revient]]</f>
        <v>0</v>
      </c>
      <c r="Z2177" s="74">
        <f>Devis[[#This Row],[Poste 5]]*Devis[[#This Row],[Prix de Revient]]</f>
        <v>0</v>
      </c>
      <c r="AA2177" s="74">
        <f>Devis[[#This Row],[Prix de Revient]]*Devis[[#This Row],[Poste 6]]</f>
        <v>0</v>
      </c>
      <c r="AB2177" s="74">
        <f>Devis[[#This Row],[Quantité Totale]]*Devis[[#This Row],[Prix de Revient]]</f>
        <v>0</v>
      </c>
    </row>
    <row r="2178" spans="1:28" ht="14.25" outlineLevel="1" x14ac:dyDescent="0.2">
      <c r="A2178" s="75" t="s">
        <v>2053</v>
      </c>
      <c r="B2178" s="76" t="s">
        <v>2064</v>
      </c>
      <c r="C2178" s="76"/>
      <c r="D2178" s="81" t="str">
        <f t="shared" ref="D2178:D2241" si="38">A2178&amp;B2178&amp;C2178</f>
        <v>Inox SoudéBouts filetés inox 316L</v>
      </c>
      <c r="E2178" s="76" t="s">
        <v>21</v>
      </c>
      <c r="F2178" s="81">
        <v>2</v>
      </c>
      <c r="G2178" s="86" t="s">
        <v>2071</v>
      </c>
      <c r="H2178" s="71"/>
      <c r="I2178" s="75"/>
      <c r="J2178" s="70">
        <f>IFERROR(VLOOKUP(Devis[[#This Row],[Ref Air Flux]],#REF!,3,FALSE),0)</f>
        <v>0</v>
      </c>
      <c r="K2178" s="68"/>
      <c r="L2178" s="68"/>
      <c r="M2178" s="68"/>
      <c r="N2178" s="68"/>
      <c r="O2178" s="68"/>
      <c r="P2178" s="68"/>
      <c r="Q2178" s="68">
        <f>SUM(Devis[[#This Row],[Poste 1]:[Poste 6]])</f>
        <v>0</v>
      </c>
      <c r="R2178" s="111"/>
      <c r="S2178" s="68">
        <f>_xlfn.CEILING.MATH(Devis[[#This Row],[Quantité Totale]],Devis[[#This Row],[Conditionnement]])</f>
        <v>0</v>
      </c>
      <c r="T2178" s="72">
        <v>0.35</v>
      </c>
      <c r="U2178" s="106"/>
      <c r="V2178" s="74">
        <f>Devis[[#This Row],[Prix de Revient]]*Devis[[#This Row],[Poste 1]]</f>
        <v>0</v>
      </c>
      <c r="W2178" s="74">
        <f>Devis[[#This Row],[Prix de Revient]]*Devis[[#This Row],[Poste 2]]</f>
        <v>0</v>
      </c>
      <c r="X2178" s="74">
        <f>Devis[[#This Row],[Prix de Revient]]*Devis[[#This Row],[Poste 3]]</f>
        <v>0</v>
      </c>
      <c r="Y2178" s="74">
        <f>Devis[[#This Row],[Poste 4]]*Devis[[#This Row],[Prix de Revient]]</f>
        <v>0</v>
      </c>
      <c r="Z2178" s="74">
        <f>Devis[[#This Row],[Poste 5]]*Devis[[#This Row],[Prix de Revient]]</f>
        <v>0</v>
      </c>
      <c r="AA2178" s="74">
        <f>Devis[[#This Row],[Prix de Revient]]*Devis[[#This Row],[Poste 6]]</f>
        <v>0</v>
      </c>
      <c r="AB2178" s="74">
        <f>Devis[[#This Row],[Quantité Totale]]*Devis[[#This Row],[Prix de Revient]]</f>
        <v>0</v>
      </c>
    </row>
    <row r="2179" spans="1:28" ht="14.25" outlineLevel="1" x14ac:dyDescent="0.2">
      <c r="A2179" s="75" t="s">
        <v>2053</v>
      </c>
      <c r="B2179" s="76" t="s">
        <v>2064</v>
      </c>
      <c r="C2179" s="76"/>
      <c r="D2179" s="81" t="str">
        <f t="shared" si="38"/>
        <v>Inox SoudéBouts filetés inox 316L</v>
      </c>
      <c r="E2179" s="76" t="s">
        <v>20</v>
      </c>
      <c r="F2179" s="81">
        <v>3</v>
      </c>
      <c r="G2179" s="86" t="s">
        <v>2070</v>
      </c>
      <c r="H2179" s="71"/>
      <c r="I2179" s="75"/>
      <c r="J2179" s="70">
        <f>IFERROR(VLOOKUP(Devis[[#This Row],[Ref Air Flux]],#REF!,3,FALSE),0)</f>
        <v>0</v>
      </c>
      <c r="K2179" s="68"/>
      <c r="L2179" s="68"/>
      <c r="M2179" s="68"/>
      <c r="N2179" s="68"/>
      <c r="O2179" s="68"/>
      <c r="P2179" s="68"/>
      <c r="Q2179" s="68">
        <f>SUM(Devis[[#This Row],[Poste 1]:[Poste 6]])</f>
        <v>0</v>
      </c>
      <c r="R2179" s="111"/>
      <c r="S2179" s="68">
        <f>_xlfn.CEILING.MATH(Devis[[#This Row],[Quantité Totale]],Devis[[#This Row],[Conditionnement]])</f>
        <v>0</v>
      </c>
      <c r="T2179" s="72">
        <v>0.3</v>
      </c>
      <c r="U2179" s="106"/>
      <c r="V2179" s="74">
        <f>Devis[[#This Row],[Prix de Revient]]*Devis[[#This Row],[Poste 1]]</f>
        <v>0</v>
      </c>
      <c r="W2179" s="74">
        <f>Devis[[#This Row],[Prix de Revient]]*Devis[[#This Row],[Poste 2]]</f>
        <v>0</v>
      </c>
      <c r="X2179" s="74">
        <f>Devis[[#This Row],[Prix de Revient]]*Devis[[#This Row],[Poste 3]]</f>
        <v>0</v>
      </c>
      <c r="Y2179" s="74">
        <f>Devis[[#This Row],[Poste 4]]*Devis[[#This Row],[Prix de Revient]]</f>
        <v>0</v>
      </c>
      <c r="Z2179" s="74">
        <f>Devis[[#This Row],[Poste 5]]*Devis[[#This Row],[Prix de Revient]]</f>
        <v>0</v>
      </c>
      <c r="AA2179" s="74">
        <f>Devis[[#This Row],[Prix de Revient]]*Devis[[#This Row],[Poste 6]]</f>
        <v>0</v>
      </c>
      <c r="AB2179" s="74">
        <f>Devis[[#This Row],[Quantité Totale]]*Devis[[#This Row],[Prix de Revient]]</f>
        <v>0</v>
      </c>
    </row>
    <row r="2180" spans="1:28" ht="14.25" outlineLevel="1" x14ac:dyDescent="0.2">
      <c r="A2180" s="75" t="s">
        <v>2053</v>
      </c>
      <c r="B2180" s="76" t="s">
        <v>2064</v>
      </c>
      <c r="C2180" s="76"/>
      <c r="D2180" s="81" t="str">
        <f t="shared" si="38"/>
        <v>Inox SoudéBouts filetés inox 316L</v>
      </c>
      <c r="E2180" s="76" t="s">
        <v>1943</v>
      </c>
      <c r="F2180" s="81">
        <v>4</v>
      </c>
      <c r="G2180" s="86" t="s">
        <v>2068</v>
      </c>
      <c r="H2180" s="71"/>
      <c r="I2180" s="75"/>
      <c r="J2180" s="70">
        <f>IFERROR(VLOOKUP(Devis[[#This Row],[Ref Air Flux]],#REF!,3,FALSE),0)</f>
        <v>0</v>
      </c>
      <c r="K2180" s="68"/>
      <c r="L2180" s="68"/>
      <c r="M2180" s="68"/>
      <c r="N2180" s="68"/>
      <c r="O2180" s="68"/>
      <c r="P2180" s="68"/>
      <c r="Q2180" s="68">
        <f>SUM(Devis[[#This Row],[Poste 1]:[Poste 6]])</f>
        <v>0</v>
      </c>
      <c r="R2180" s="111"/>
      <c r="S2180" s="68">
        <f>_xlfn.CEILING.MATH(Devis[[#This Row],[Quantité Totale]],Devis[[#This Row],[Conditionnement]])</f>
        <v>0</v>
      </c>
      <c r="T2180" s="72">
        <v>0.25</v>
      </c>
      <c r="U2180" s="106"/>
      <c r="V2180" s="74">
        <f>Devis[[#This Row],[Prix de Revient]]*Devis[[#This Row],[Poste 1]]</f>
        <v>0</v>
      </c>
      <c r="W2180" s="74">
        <f>Devis[[#This Row],[Prix de Revient]]*Devis[[#This Row],[Poste 2]]</f>
        <v>0</v>
      </c>
      <c r="X2180" s="74">
        <f>Devis[[#This Row],[Prix de Revient]]*Devis[[#This Row],[Poste 3]]</f>
        <v>0</v>
      </c>
      <c r="Y2180" s="74">
        <f>Devis[[#This Row],[Poste 4]]*Devis[[#This Row],[Prix de Revient]]</f>
        <v>0</v>
      </c>
      <c r="Z2180" s="74">
        <f>Devis[[#This Row],[Poste 5]]*Devis[[#This Row],[Prix de Revient]]</f>
        <v>0</v>
      </c>
      <c r="AA2180" s="74">
        <f>Devis[[#This Row],[Prix de Revient]]*Devis[[#This Row],[Poste 6]]</f>
        <v>0</v>
      </c>
      <c r="AB2180" s="74">
        <f>Devis[[#This Row],[Quantité Totale]]*Devis[[#This Row],[Prix de Revient]]</f>
        <v>0</v>
      </c>
    </row>
    <row r="2181" spans="1:28" ht="15" customHeight="1" outlineLevel="1" x14ac:dyDescent="0.2">
      <c r="A2181" s="75" t="s">
        <v>2053</v>
      </c>
      <c r="B2181" s="76" t="s">
        <v>2064</v>
      </c>
      <c r="C2181" s="76"/>
      <c r="D2181" s="81" t="str">
        <f t="shared" si="38"/>
        <v>Inox SoudéBouts filetés inox 316L</v>
      </c>
      <c r="E2181" s="80" t="s">
        <v>1325</v>
      </c>
      <c r="F2181" s="81">
        <v>5</v>
      </c>
      <c r="G2181" s="86" t="s">
        <v>2065</v>
      </c>
      <c r="H2181" s="71"/>
      <c r="I2181" s="75"/>
      <c r="J2181" s="70">
        <f>IFERROR(VLOOKUP(Devis[[#This Row],[Ref Air Flux]],#REF!,3,FALSE),0)</f>
        <v>0</v>
      </c>
      <c r="K2181" s="68"/>
      <c r="L2181" s="68"/>
      <c r="M2181" s="68"/>
      <c r="N2181" s="68"/>
      <c r="O2181" s="68"/>
      <c r="P2181" s="68"/>
      <c r="Q2181" s="68">
        <f>SUM(Devis[[#This Row],[Poste 1]:[Poste 6]])</f>
        <v>0</v>
      </c>
      <c r="R2181" s="111"/>
      <c r="S2181" s="68">
        <f>_xlfn.CEILING.MATH(Devis[[#This Row],[Quantité Totale]],Devis[[#This Row],[Conditionnement]])</f>
        <v>0</v>
      </c>
      <c r="T2181" s="72">
        <v>0.25</v>
      </c>
      <c r="U2181" s="106"/>
      <c r="V2181" s="74">
        <f>Devis[[#This Row],[Prix de Revient]]*Devis[[#This Row],[Poste 1]]</f>
        <v>0</v>
      </c>
      <c r="W2181" s="74">
        <f>Devis[[#This Row],[Prix de Revient]]*Devis[[#This Row],[Poste 2]]</f>
        <v>0</v>
      </c>
      <c r="X2181" s="74">
        <f>Devis[[#This Row],[Prix de Revient]]*Devis[[#This Row],[Poste 3]]</f>
        <v>0</v>
      </c>
      <c r="Y2181" s="74">
        <f>Devis[[#This Row],[Poste 4]]*Devis[[#This Row],[Prix de Revient]]</f>
        <v>0</v>
      </c>
      <c r="Z2181" s="74">
        <f>Devis[[#This Row],[Poste 5]]*Devis[[#This Row],[Prix de Revient]]</f>
        <v>0</v>
      </c>
      <c r="AA2181" s="74">
        <f>Devis[[#This Row],[Prix de Revient]]*Devis[[#This Row],[Poste 6]]</f>
        <v>0</v>
      </c>
      <c r="AB2181" s="74">
        <f>Devis[[#This Row],[Quantité Totale]]*Devis[[#This Row],[Prix de Revient]]</f>
        <v>0</v>
      </c>
    </row>
    <row r="2182" spans="1:28" ht="14.25" outlineLevel="1" x14ac:dyDescent="0.2">
      <c r="A2182" s="75" t="s">
        <v>2053</v>
      </c>
      <c r="B2182" s="76" t="s">
        <v>2064</v>
      </c>
      <c r="C2182" s="76"/>
      <c r="D2182" s="81" t="str">
        <f t="shared" si="38"/>
        <v>Inox SoudéBouts filetés inox 316L</v>
      </c>
      <c r="E2182" s="76" t="s">
        <v>0</v>
      </c>
      <c r="F2182" s="81">
        <v>6</v>
      </c>
      <c r="G2182" s="86" t="s">
        <v>2072</v>
      </c>
      <c r="H2182" s="71"/>
      <c r="I2182" s="75"/>
      <c r="J2182" s="70">
        <f>IFERROR(VLOOKUP(Devis[[#This Row],[Ref Air Flux]],#REF!,3,FALSE),0)</f>
        <v>0</v>
      </c>
      <c r="K2182" s="68"/>
      <c r="L2182" s="68"/>
      <c r="M2182" s="68"/>
      <c r="N2182" s="68"/>
      <c r="O2182" s="68"/>
      <c r="P2182" s="68"/>
      <c r="Q2182" s="68">
        <f>SUM(Devis[[#This Row],[Poste 1]:[Poste 6]])</f>
        <v>0</v>
      </c>
      <c r="R2182" s="111"/>
      <c r="S2182" s="68">
        <f>_xlfn.CEILING.MATH(Devis[[#This Row],[Quantité Totale]],Devis[[#This Row],[Conditionnement]])</f>
        <v>0</v>
      </c>
      <c r="T2182" s="72">
        <v>0.5</v>
      </c>
      <c r="U2182" s="106"/>
      <c r="V2182" s="74">
        <f>Devis[[#This Row],[Prix de Revient]]*Devis[[#This Row],[Poste 1]]</f>
        <v>0</v>
      </c>
      <c r="W2182" s="74">
        <f>Devis[[#This Row],[Prix de Revient]]*Devis[[#This Row],[Poste 2]]</f>
        <v>0</v>
      </c>
      <c r="X2182" s="74">
        <f>Devis[[#This Row],[Prix de Revient]]*Devis[[#This Row],[Poste 3]]</f>
        <v>0</v>
      </c>
      <c r="Y2182" s="74">
        <f>Devis[[#This Row],[Poste 4]]*Devis[[#This Row],[Prix de Revient]]</f>
        <v>0</v>
      </c>
      <c r="Z2182" s="74">
        <f>Devis[[#This Row],[Poste 5]]*Devis[[#This Row],[Prix de Revient]]</f>
        <v>0</v>
      </c>
      <c r="AA2182" s="74">
        <f>Devis[[#This Row],[Prix de Revient]]*Devis[[#This Row],[Poste 6]]</f>
        <v>0</v>
      </c>
      <c r="AB2182" s="74">
        <f>Devis[[#This Row],[Quantité Totale]]*Devis[[#This Row],[Prix de Revient]]</f>
        <v>0</v>
      </c>
    </row>
    <row r="2183" spans="1:28" ht="14.25" outlineLevel="1" x14ac:dyDescent="0.2">
      <c r="A2183" s="75" t="s">
        <v>2053</v>
      </c>
      <c r="B2183" s="76" t="s">
        <v>2064</v>
      </c>
      <c r="C2183" s="76"/>
      <c r="D2183" s="81" t="str">
        <f t="shared" si="38"/>
        <v>Inox SoudéBouts filetés inox 316L</v>
      </c>
      <c r="E2183" s="76" t="s">
        <v>49</v>
      </c>
      <c r="F2183" s="81">
        <v>7</v>
      </c>
      <c r="G2183" s="86" t="s">
        <v>2073</v>
      </c>
      <c r="H2183" s="71"/>
      <c r="I2183" s="75"/>
      <c r="J2183" s="70">
        <f>IFERROR(VLOOKUP(Devis[[#This Row],[Ref Air Flux]],#REF!,3,FALSE),0)</f>
        <v>0</v>
      </c>
      <c r="K2183" s="68"/>
      <c r="L2183" s="68"/>
      <c r="M2183" s="68"/>
      <c r="N2183" s="68"/>
      <c r="O2183" s="68"/>
      <c r="P2183" s="68"/>
      <c r="Q2183" s="68">
        <f>SUM(Devis[[#This Row],[Poste 1]:[Poste 6]])</f>
        <v>0</v>
      </c>
      <c r="R2183" s="111"/>
      <c r="S2183" s="68">
        <f>_xlfn.CEILING.MATH(Devis[[#This Row],[Quantité Totale]],Devis[[#This Row],[Conditionnement]])</f>
        <v>0</v>
      </c>
      <c r="T2183" s="72">
        <v>0.6</v>
      </c>
      <c r="U2183" s="106"/>
      <c r="V2183" s="74">
        <f>Devis[[#This Row],[Prix de Revient]]*Devis[[#This Row],[Poste 1]]</f>
        <v>0</v>
      </c>
      <c r="W2183" s="74">
        <f>Devis[[#This Row],[Prix de Revient]]*Devis[[#This Row],[Poste 2]]</f>
        <v>0</v>
      </c>
      <c r="X2183" s="74">
        <f>Devis[[#This Row],[Prix de Revient]]*Devis[[#This Row],[Poste 3]]</f>
        <v>0</v>
      </c>
      <c r="Y2183" s="74">
        <f>Devis[[#This Row],[Poste 4]]*Devis[[#This Row],[Prix de Revient]]</f>
        <v>0</v>
      </c>
      <c r="Z2183" s="74">
        <f>Devis[[#This Row],[Poste 5]]*Devis[[#This Row],[Prix de Revient]]</f>
        <v>0</v>
      </c>
      <c r="AA2183" s="74">
        <f>Devis[[#This Row],[Prix de Revient]]*Devis[[#This Row],[Poste 6]]</f>
        <v>0</v>
      </c>
      <c r="AB2183" s="74">
        <f>Devis[[#This Row],[Quantité Totale]]*Devis[[#This Row],[Prix de Revient]]</f>
        <v>0</v>
      </c>
    </row>
    <row r="2184" spans="1:28" ht="14.25" outlineLevel="1" x14ac:dyDescent="0.2">
      <c r="A2184" s="75" t="s">
        <v>2053</v>
      </c>
      <c r="B2184" s="76" t="s">
        <v>2064</v>
      </c>
      <c r="C2184" s="76"/>
      <c r="D2184" s="81" t="str">
        <f t="shared" si="38"/>
        <v>Inox SoudéBouts filetés inox 316L</v>
      </c>
      <c r="E2184" s="76" t="s">
        <v>22</v>
      </c>
      <c r="F2184" s="81">
        <v>8</v>
      </c>
      <c r="G2184" s="86" t="s">
        <v>2074</v>
      </c>
      <c r="H2184" s="71"/>
      <c r="I2184" s="75"/>
      <c r="J2184" s="70">
        <f>IFERROR(VLOOKUP(Devis[[#This Row],[Ref Air Flux]],#REF!,3,FALSE),0)</f>
        <v>0</v>
      </c>
      <c r="K2184" s="68"/>
      <c r="L2184" s="68"/>
      <c r="M2184" s="68"/>
      <c r="N2184" s="68"/>
      <c r="O2184" s="68"/>
      <c r="P2184" s="68"/>
      <c r="Q2184" s="68">
        <f>SUM(Devis[[#This Row],[Poste 1]:[Poste 6]])</f>
        <v>0</v>
      </c>
      <c r="R2184" s="111"/>
      <c r="S2184" s="68">
        <f>_xlfn.CEILING.MATH(Devis[[#This Row],[Quantité Totale]],Devis[[#This Row],[Conditionnement]])</f>
        <v>0</v>
      </c>
      <c r="T2184" s="72">
        <v>0.75</v>
      </c>
      <c r="U2184" s="106"/>
      <c r="V2184" s="74">
        <f>Devis[[#This Row],[Prix de Revient]]*Devis[[#This Row],[Poste 1]]</f>
        <v>0</v>
      </c>
      <c r="W2184" s="74">
        <f>Devis[[#This Row],[Prix de Revient]]*Devis[[#This Row],[Poste 2]]</f>
        <v>0</v>
      </c>
      <c r="X2184" s="74">
        <f>Devis[[#This Row],[Prix de Revient]]*Devis[[#This Row],[Poste 3]]</f>
        <v>0</v>
      </c>
      <c r="Y2184" s="74">
        <f>Devis[[#This Row],[Poste 4]]*Devis[[#This Row],[Prix de Revient]]</f>
        <v>0</v>
      </c>
      <c r="Z2184" s="74">
        <f>Devis[[#This Row],[Poste 5]]*Devis[[#This Row],[Prix de Revient]]</f>
        <v>0</v>
      </c>
      <c r="AA2184" s="74">
        <f>Devis[[#This Row],[Prix de Revient]]*Devis[[#This Row],[Poste 6]]</f>
        <v>0</v>
      </c>
      <c r="AB2184" s="74">
        <f>Devis[[#This Row],[Quantité Totale]]*Devis[[#This Row],[Prix de Revient]]</f>
        <v>0</v>
      </c>
    </row>
    <row r="2185" spans="1:28" ht="14.25" outlineLevel="1" x14ac:dyDescent="0.2">
      <c r="A2185" s="75" t="s">
        <v>2053</v>
      </c>
      <c r="B2185" s="76" t="s">
        <v>2064</v>
      </c>
      <c r="C2185" s="76"/>
      <c r="D2185" s="81" t="str">
        <f t="shared" si="38"/>
        <v>Inox SoudéBouts filetés inox 316L</v>
      </c>
      <c r="E2185" s="76" t="s">
        <v>2061</v>
      </c>
      <c r="F2185" s="81">
        <v>9</v>
      </c>
      <c r="G2185" s="86" t="s">
        <v>2069</v>
      </c>
      <c r="H2185" s="71"/>
      <c r="I2185" s="75"/>
      <c r="J2185" s="70">
        <f>IFERROR(VLOOKUP(Devis[[#This Row],[Ref Air Flux]],#REF!,3,FALSE),0)</f>
        <v>0</v>
      </c>
      <c r="K2185" s="68"/>
      <c r="L2185" s="68"/>
      <c r="M2185" s="68"/>
      <c r="N2185" s="68"/>
      <c r="O2185" s="68"/>
      <c r="P2185" s="68"/>
      <c r="Q2185" s="68">
        <f>SUM(Devis[[#This Row],[Poste 1]:[Poste 6]])</f>
        <v>0</v>
      </c>
      <c r="R2185" s="111"/>
      <c r="S2185" s="68">
        <f>_xlfn.CEILING.MATH(Devis[[#This Row],[Quantité Totale]],Devis[[#This Row],[Conditionnement]])</f>
        <v>0</v>
      </c>
      <c r="T2185" s="72">
        <v>0.25</v>
      </c>
      <c r="U2185" s="106"/>
      <c r="V2185" s="74">
        <f>Devis[[#This Row],[Prix de Revient]]*Devis[[#This Row],[Poste 1]]</f>
        <v>0</v>
      </c>
      <c r="W2185" s="74">
        <f>Devis[[#This Row],[Prix de Revient]]*Devis[[#This Row],[Poste 2]]</f>
        <v>0</v>
      </c>
      <c r="X2185" s="74">
        <f>Devis[[#This Row],[Prix de Revient]]*Devis[[#This Row],[Poste 3]]</f>
        <v>0</v>
      </c>
      <c r="Y2185" s="74">
        <f>Devis[[#This Row],[Poste 4]]*Devis[[#This Row],[Prix de Revient]]</f>
        <v>0</v>
      </c>
      <c r="Z2185" s="74">
        <f>Devis[[#This Row],[Poste 5]]*Devis[[#This Row],[Prix de Revient]]</f>
        <v>0</v>
      </c>
      <c r="AA2185" s="74">
        <f>Devis[[#This Row],[Prix de Revient]]*Devis[[#This Row],[Poste 6]]</f>
        <v>0</v>
      </c>
      <c r="AB2185" s="74">
        <f>Devis[[#This Row],[Quantité Totale]]*Devis[[#This Row],[Prix de Revient]]</f>
        <v>0</v>
      </c>
    </row>
    <row r="2186" spans="1:28" ht="14.25" outlineLevel="1" x14ac:dyDescent="0.2">
      <c r="A2186" s="75" t="s">
        <v>2053</v>
      </c>
      <c r="B2186" s="76" t="s">
        <v>2064</v>
      </c>
      <c r="C2186" s="76"/>
      <c r="D2186" s="81" t="str">
        <f t="shared" si="38"/>
        <v>Inox SoudéBouts filetés inox 316L</v>
      </c>
      <c r="E2186" s="80" t="s">
        <v>2066</v>
      </c>
      <c r="F2186" s="81">
        <v>10</v>
      </c>
      <c r="G2186" s="86" t="s">
        <v>2067</v>
      </c>
      <c r="H2186" s="71"/>
      <c r="I2186" s="75"/>
      <c r="J2186" s="70">
        <f>IFERROR(VLOOKUP(Devis[[#This Row],[Ref Air Flux]],#REF!,3,FALSE),0)</f>
        <v>0</v>
      </c>
      <c r="K2186" s="68"/>
      <c r="L2186" s="68"/>
      <c r="M2186" s="68"/>
      <c r="N2186" s="68"/>
      <c r="O2186" s="68"/>
      <c r="P2186" s="68"/>
      <c r="Q2186" s="68">
        <f>SUM(Devis[[#This Row],[Poste 1]:[Poste 6]])</f>
        <v>0</v>
      </c>
      <c r="R2186" s="111"/>
      <c r="S2186" s="68">
        <f>_xlfn.CEILING.MATH(Devis[[#This Row],[Quantité Totale]],Devis[[#This Row],[Conditionnement]])</f>
        <v>0</v>
      </c>
      <c r="T2186" s="72">
        <v>0.25</v>
      </c>
      <c r="U2186" s="106"/>
      <c r="V2186" s="74">
        <f>Devis[[#This Row],[Prix de Revient]]*Devis[[#This Row],[Poste 1]]</f>
        <v>0</v>
      </c>
      <c r="W2186" s="74">
        <f>Devis[[#This Row],[Prix de Revient]]*Devis[[#This Row],[Poste 2]]</f>
        <v>0</v>
      </c>
      <c r="X2186" s="74">
        <f>Devis[[#This Row],[Prix de Revient]]*Devis[[#This Row],[Poste 3]]</f>
        <v>0</v>
      </c>
      <c r="Y2186" s="74">
        <f>Devis[[#This Row],[Poste 4]]*Devis[[#This Row],[Prix de Revient]]</f>
        <v>0</v>
      </c>
      <c r="Z2186" s="74">
        <f>Devis[[#This Row],[Poste 5]]*Devis[[#This Row],[Prix de Revient]]</f>
        <v>0</v>
      </c>
      <c r="AA2186" s="74">
        <f>Devis[[#This Row],[Prix de Revient]]*Devis[[#This Row],[Poste 6]]</f>
        <v>0</v>
      </c>
      <c r="AB2186" s="74">
        <f>Devis[[#This Row],[Quantité Totale]]*Devis[[#This Row],[Prix de Revient]]</f>
        <v>0</v>
      </c>
    </row>
    <row r="2187" spans="1:28" ht="15" customHeight="1" outlineLevel="1" x14ac:dyDescent="0.25">
      <c r="A2187" s="65" t="s">
        <v>2053</v>
      </c>
      <c r="B2187" s="65" t="s">
        <v>3476</v>
      </c>
      <c r="C2187" s="76"/>
      <c r="D2187" s="81" t="str">
        <f t="shared" si="38"/>
        <v>Inox SoudéBouts filetés inox 316L long</v>
      </c>
      <c r="E2187" s="76"/>
      <c r="F2187" s="81">
        <v>0</v>
      </c>
      <c r="G2187" s="86"/>
      <c r="H2187" s="71"/>
      <c r="I2187" s="75"/>
      <c r="J2187" s="70">
        <f>IFERROR(VLOOKUP(Devis[[#This Row],[Ref Air Flux]],#REF!,3,FALSE),0)</f>
        <v>0</v>
      </c>
      <c r="K2187" s="68"/>
      <c r="L2187" s="68"/>
      <c r="M2187" s="68"/>
      <c r="N2187" s="68"/>
      <c r="O2187" s="68"/>
      <c r="P2187" s="68"/>
      <c r="Q2187" s="68">
        <f>SUM(Devis[[#This Row],[Poste 1]:[Poste 6]])</f>
        <v>0</v>
      </c>
      <c r="R2187" s="111"/>
      <c r="S2187" s="68">
        <f>_xlfn.CEILING.MATH(Devis[[#This Row],[Quantité Totale]],Devis[[#This Row],[Conditionnement]])</f>
        <v>0</v>
      </c>
      <c r="T2187" s="72"/>
      <c r="U2187" s="106"/>
      <c r="V2187" s="74">
        <f>Devis[[#This Row],[Prix de Revient]]*Devis[[#This Row],[Poste 1]]</f>
        <v>0</v>
      </c>
      <c r="W2187" s="74">
        <f>Devis[[#This Row],[Prix de Revient]]*Devis[[#This Row],[Poste 2]]</f>
        <v>0</v>
      </c>
      <c r="X2187" s="74">
        <f>Devis[[#This Row],[Prix de Revient]]*Devis[[#This Row],[Poste 3]]</f>
        <v>0</v>
      </c>
      <c r="Y2187" s="74">
        <f>Devis[[#This Row],[Poste 4]]*Devis[[#This Row],[Prix de Revient]]</f>
        <v>0</v>
      </c>
      <c r="Z2187" s="74">
        <f>Devis[[#This Row],[Poste 5]]*Devis[[#This Row],[Prix de Revient]]</f>
        <v>0</v>
      </c>
      <c r="AA2187" s="74">
        <f>Devis[[#This Row],[Prix de Revient]]*Devis[[#This Row],[Poste 6]]</f>
        <v>0</v>
      </c>
      <c r="AB2187" s="74">
        <f>Devis[[#This Row],[Quantité Totale]]*Devis[[#This Row],[Prix de Revient]]</f>
        <v>0</v>
      </c>
    </row>
    <row r="2188" spans="1:28" ht="14.25" outlineLevel="1" x14ac:dyDescent="0.2">
      <c r="A2188" s="75" t="s">
        <v>2053</v>
      </c>
      <c r="B2188" s="76" t="s">
        <v>3476</v>
      </c>
      <c r="C2188" s="76"/>
      <c r="D2188" s="81" t="str">
        <f t="shared" si="38"/>
        <v>Inox SoudéBouts filetés inox 316L long</v>
      </c>
      <c r="E2188" s="76" t="s">
        <v>3477</v>
      </c>
      <c r="F2188" s="81">
        <v>1</v>
      </c>
      <c r="G2188" s="86" t="s">
        <v>3478</v>
      </c>
      <c r="H2188" s="71"/>
      <c r="I2188" s="75"/>
      <c r="J2188" s="70">
        <f>IFERROR(VLOOKUP(Devis[[#This Row],[Ref Air Flux]],#REF!,3,FALSE),0)</f>
        <v>0</v>
      </c>
      <c r="K2188" s="68"/>
      <c r="L2188" s="68"/>
      <c r="M2188" s="68"/>
      <c r="N2188" s="68"/>
      <c r="O2188" s="68"/>
      <c r="P2188" s="68"/>
      <c r="Q2188" s="68">
        <f>SUM(Devis[[#This Row],[Poste 1]:[Poste 6]])</f>
        <v>0</v>
      </c>
      <c r="R2188" s="111"/>
      <c r="S2188" s="68">
        <f>_xlfn.CEILING.MATH(Devis[[#This Row],[Quantité Totale]],Devis[[#This Row],[Conditionnement]])</f>
        <v>0</v>
      </c>
      <c r="T2188" s="72">
        <v>0.25</v>
      </c>
      <c r="U2188" s="106"/>
      <c r="V2188" s="74">
        <f>Devis[[#This Row],[Prix de Revient]]*Devis[[#This Row],[Poste 1]]</f>
        <v>0</v>
      </c>
      <c r="W2188" s="74">
        <f>Devis[[#This Row],[Prix de Revient]]*Devis[[#This Row],[Poste 2]]</f>
        <v>0</v>
      </c>
      <c r="X2188" s="74">
        <f>Devis[[#This Row],[Prix de Revient]]*Devis[[#This Row],[Poste 3]]</f>
        <v>0</v>
      </c>
      <c r="Y2188" s="74">
        <f>Devis[[#This Row],[Poste 4]]*Devis[[#This Row],[Prix de Revient]]</f>
        <v>0</v>
      </c>
      <c r="Z2188" s="74">
        <f>Devis[[#This Row],[Poste 5]]*Devis[[#This Row],[Prix de Revient]]</f>
        <v>0</v>
      </c>
      <c r="AA2188" s="74">
        <f>Devis[[#This Row],[Prix de Revient]]*Devis[[#This Row],[Poste 6]]</f>
        <v>0</v>
      </c>
      <c r="AB2188" s="74">
        <f>Devis[[#This Row],[Quantité Totale]]*Devis[[#This Row],[Prix de Revient]]</f>
        <v>0</v>
      </c>
    </row>
    <row r="2189" spans="1:28" ht="14.25" customHeight="1" x14ac:dyDescent="0.25">
      <c r="A2189" s="65" t="s">
        <v>2053</v>
      </c>
      <c r="B2189" s="65" t="s">
        <v>2075</v>
      </c>
      <c r="C2189" s="76"/>
      <c r="D2189" s="81" t="str">
        <f t="shared" si="38"/>
        <v>Inox SoudéBride  plate tournante inox PN16</v>
      </c>
      <c r="E2189" s="76"/>
      <c r="F2189" s="81">
        <v>0</v>
      </c>
      <c r="G2189" s="86"/>
      <c r="H2189" s="71"/>
      <c r="I2189" s="75"/>
      <c r="J2189" s="70">
        <f>IFERROR(VLOOKUP(Devis[[#This Row],[Ref Air Flux]],#REF!,3,FALSE),0)</f>
        <v>0</v>
      </c>
      <c r="K2189" s="68"/>
      <c r="L2189" s="68"/>
      <c r="M2189" s="68"/>
      <c r="N2189" s="68"/>
      <c r="O2189" s="68"/>
      <c r="P2189" s="68"/>
      <c r="Q2189" s="68">
        <f>SUM(Devis[[#This Row],[Poste 1]:[Poste 6]])</f>
        <v>0</v>
      </c>
      <c r="R2189" s="111"/>
      <c r="S2189" s="68">
        <f>_xlfn.CEILING.MATH(Devis[[#This Row],[Quantité Totale]],Devis[[#This Row],[Conditionnement]])</f>
        <v>0</v>
      </c>
      <c r="T2189" s="72"/>
      <c r="U2189" s="106"/>
      <c r="V2189" s="74">
        <f>Devis[[#This Row],[Prix de Revient]]*Devis[[#This Row],[Poste 1]]</f>
        <v>0</v>
      </c>
      <c r="W2189" s="74">
        <f>Devis[[#This Row],[Prix de Revient]]*Devis[[#This Row],[Poste 2]]</f>
        <v>0</v>
      </c>
      <c r="X2189" s="74">
        <f>Devis[[#This Row],[Prix de Revient]]*Devis[[#This Row],[Poste 3]]</f>
        <v>0</v>
      </c>
      <c r="Y2189" s="74">
        <f>Devis[[#This Row],[Poste 4]]*Devis[[#This Row],[Prix de Revient]]</f>
        <v>0</v>
      </c>
      <c r="Z2189" s="74">
        <f>Devis[[#This Row],[Poste 5]]*Devis[[#This Row],[Prix de Revient]]</f>
        <v>0</v>
      </c>
      <c r="AA2189" s="74">
        <f>Devis[[#This Row],[Prix de Revient]]*Devis[[#This Row],[Poste 6]]</f>
        <v>0</v>
      </c>
      <c r="AB2189" s="74">
        <f>Devis[[#This Row],[Quantité Totale]]*Devis[[#This Row],[Prix de Revient]]</f>
        <v>0</v>
      </c>
    </row>
    <row r="2190" spans="1:28" ht="14.25" outlineLevel="1" x14ac:dyDescent="0.2">
      <c r="A2190" s="75" t="s">
        <v>2053</v>
      </c>
      <c r="B2190" s="76" t="s">
        <v>2075</v>
      </c>
      <c r="C2190" s="76"/>
      <c r="D2190" s="81" t="str">
        <f t="shared" si="38"/>
        <v>Inox SoudéBride  plate tournante inox PN16</v>
      </c>
      <c r="E2190" s="76" t="s">
        <v>2082</v>
      </c>
      <c r="F2190" s="81">
        <v>1</v>
      </c>
      <c r="G2190" s="108" t="s">
        <v>2083</v>
      </c>
      <c r="H2190" s="71"/>
      <c r="I2190" s="75"/>
      <c r="J2190" s="70">
        <f>IFERROR(VLOOKUP(Devis[[#This Row],[Ref Air Flux]],#REF!,3,FALSE),0)</f>
        <v>0</v>
      </c>
      <c r="K2190" s="68"/>
      <c r="L2190" s="68"/>
      <c r="M2190" s="68"/>
      <c r="N2190" s="68"/>
      <c r="O2190" s="68"/>
      <c r="P2190" s="68"/>
      <c r="Q2190" s="68">
        <f>SUM(Devis[[#This Row],[Poste 1]:[Poste 6]])</f>
        <v>0</v>
      </c>
      <c r="R2190" s="111"/>
      <c r="S2190" s="68">
        <f>_xlfn.CEILING.MATH(Devis[[#This Row],[Quantité Totale]],Devis[[#This Row],[Conditionnement]])</f>
        <v>0</v>
      </c>
      <c r="T2190" s="72"/>
      <c r="U2190" s="106"/>
      <c r="V2190" s="74">
        <f>Devis[[#This Row],[Prix de Revient]]*Devis[[#This Row],[Poste 1]]</f>
        <v>0</v>
      </c>
      <c r="W2190" s="74">
        <f>Devis[[#This Row],[Prix de Revient]]*Devis[[#This Row],[Poste 2]]</f>
        <v>0</v>
      </c>
      <c r="X2190" s="74">
        <f>Devis[[#This Row],[Prix de Revient]]*Devis[[#This Row],[Poste 3]]</f>
        <v>0</v>
      </c>
      <c r="Y2190" s="74">
        <f>Devis[[#This Row],[Poste 4]]*Devis[[#This Row],[Prix de Revient]]</f>
        <v>0</v>
      </c>
      <c r="Z2190" s="74">
        <f>Devis[[#This Row],[Poste 5]]*Devis[[#This Row],[Prix de Revient]]</f>
        <v>0</v>
      </c>
      <c r="AA2190" s="74">
        <f>Devis[[#This Row],[Prix de Revient]]*Devis[[#This Row],[Poste 6]]</f>
        <v>0</v>
      </c>
      <c r="AB2190" s="74">
        <f>Devis[[#This Row],[Quantité Totale]]*Devis[[#This Row],[Prix de Revient]]</f>
        <v>0</v>
      </c>
    </row>
    <row r="2191" spans="1:28" ht="15" customHeight="1" outlineLevel="1" x14ac:dyDescent="0.2">
      <c r="A2191" s="75" t="s">
        <v>2053</v>
      </c>
      <c r="B2191" s="76" t="s">
        <v>2075</v>
      </c>
      <c r="C2191" s="76"/>
      <c r="D2191" s="81" t="str">
        <f t="shared" si="38"/>
        <v>Inox SoudéBride  plate tournante inox PN16</v>
      </c>
      <c r="E2191" s="76" t="s">
        <v>2084</v>
      </c>
      <c r="F2191" s="81">
        <v>2</v>
      </c>
      <c r="G2191" s="108" t="s">
        <v>2085</v>
      </c>
      <c r="H2191" s="71"/>
      <c r="I2191" s="75"/>
      <c r="J2191" s="70">
        <f>IFERROR(VLOOKUP(Devis[[#This Row],[Ref Air Flux]],#REF!,3,FALSE),0)</f>
        <v>0</v>
      </c>
      <c r="K2191" s="68"/>
      <c r="L2191" s="68"/>
      <c r="M2191" s="68"/>
      <c r="N2191" s="68"/>
      <c r="O2191" s="68"/>
      <c r="P2191" s="68"/>
      <c r="Q2191" s="68">
        <f>SUM(Devis[[#This Row],[Poste 1]:[Poste 6]])</f>
        <v>0</v>
      </c>
      <c r="R2191" s="111"/>
      <c r="S2191" s="68">
        <f>_xlfn.CEILING.MATH(Devis[[#This Row],[Quantité Totale]],Devis[[#This Row],[Conditionnement]])</f>
        <v>0</v>
      </c>
      <c r="T2191" s="72"/>
      <c r="U2191" s="106"/>
      <c r="V2191" s="74">
        <f>Devis[[#This Row],[Prix de Revient]]*Devis[[#This Row],[Poste 1]]</f>
        <v>0</v>
      </c>
      <c r="W2191" s="74">
        <f>Devis[[#This Row],[Prix de Revient]]*Devis[[#This Row],[Poste 2]]</f>
        <v>0</v>
      </c>
      <c r="X2191" s="74">
        <f>Devis[[#This Row],[Prix de Revient]]*Devis[[#This Row],[Poste 3]]</f>
        <v>0</v>
      </c>
      <c r="Y2191" s="74">
        <f>Devis[[#This Row],[Poste 4]]*Devis[[#This Row],[Prix de Revient]]</f>
        <v>0</v>
      </c>
      <c r="Z2191" s="74">
        <f>Devis[[#This Row],[Poste 5]]*Devis[[#This Row],[Prix de Revient]]</f>
        <v>0</v>
      </c>
      <c r="AA2191" s="74">
        <f>Devis[[#This Row],[Prix de Revient]]*Devis[[#This Row],[Poste 6]]</f>
        <v>0</v>
      </c>
      <c r="AB2191" s="74">
        <f>Devis[[#This Row],[Quantité Totale]]*Devis[[#This Row],[Prix de Revient]]</f>
        <v>0</v>
      </c>
    </row>
    <row r="2192" spans="1:28" ht="14.25" customHeight="1" outlineLevel="1" x14ac:dyDescent="0.2">
      <c r="A2192" s="75" t="s">
        <v>2053</v>
      </c>
      <c r="B2192" s="76" t="s">
        <v>2075</v>
      </c>
      <c r="C2192" s="76"/>
      <c r="D2192" s="81" t="str">
        <f t="shared" si="38"/>
        <v>Inox SoudéBride  plate tournante inox PN16</v>
      </c>
      <c r="E2192" s="76" t="s">
        <v>2087</v>
      </c>
      <c r="F2192" s="81">
        <v>3</v>
      </c>
      <c r="G2192" s="108" t="s">
        <v>2088</v>
      </c>
      <c r="H2192" s="71"/>
      <c r="I2192" s="75"/>
      <c r="J2192" s="70">
        <f>IFERROR(VLOOKUP(Devis[[#This Row],[Ref Air Flux]],#REF!,3,FALSE),0)</f>
        <v>0</v>
      </c>
      <c r="K2192" s="68"/>
      <c r="L2192" s="68"/>
      <c r="M2192" s="68"/>
      <c r="N2192" s="68"/>
      <c r="O2192" s="68"/>
      <c r="P2192" s="68"/>
      <c r="Q2192" s="68">
        <f>SUM(Devis[[#This Row],[Poste 1]:[Poste 6]])</f>
        <v>0</v>
      </c>
      <c r="R2192" s="111"/>
      <c r="S2192" s="68">
        <f>_xlfn.CEILING.MATH(Devis[[#This Row],[Quantité Totale]],Devis[[#This Row],[Conditionnement]])</f>
        <v>0</v>
      </c>
      <c r="T2192" s="72"/>
      <c r="U2192" s="106"/>
      <c r="V2192" s="74">
        <f>Devis[[#This Row],[Prix de Revient]]*Devis[[#This Row],[Poste 1]]</f>
        <v>0</v>
      </c>
      <c r="W2192" s="74">
        <f>Devis[[#This Row],[Prix de Revient]]*Devis[[#This Row],[Poste 2]]</f>
        <v>0</v>
      </c>
      <c r="X2192" s="74">
        <f>Devis[[#This Row],[Prix de Revient]]*Devis[[#This Row],[Poste 3]]</f>
        <v>0</v>
      </c>
      <c r="Y2192" s="74">
        <f>Devis[[#This Row],[Poste 4]]*Devis[[#This Row],[Prix de Revient]]</f>
        <v>0</v>
      </c>
      <c r="Z2192" s="74">
        <f>Devis[[#This Row],[Poste 5]]*Devis[[#This Row],[Prix de Revient]]</f>
        <v>0</v>
      </c>
      <c r="AA2192" s="74">
        <f>Devis[[#This Row],[Prix de Revient]]*Devis[[#This Row],[Poste 6]]</f>
        <v>0</v>
      </c>
      <c r="AB2192" s="74">
        <f>Devis[[#This Row],[Quantité Totale]]*Devis[[#This Row],[Prix de Revient]]</f>
        <v>0</v>
      </c>
    </row>
    <row r="2193" spans="1:28" ht="14.25" outlineLevel="1" x14ac:dyDescent="0.2">
      <c r="A2193" s="75" t="s">
        <v>2053</v>
      </c>
      <c r="B2193" s="76" t="s">
        <v>2075</v>
      </c>
      <c r="C2193" s="76"/>
      <c r="D2193" s="81" t="str">
        <f t="shared" si="38"/>
        <v>Inox SoudéBride  plate tournante inox PN16</v>
      </c>
      <c r="E2193" s="76" t="s">
        <v>2090</v>
      </c>
      <c r="F2193" s="81">
        <v>4</v>
      </c>
      <c r="G2193" s="108" t="s">
        <v>2091</v>
      </c>
      <c r="H2193" s="71"/>
      <c r="I2193" s="75"/>
      <c r="J2193" s="70">
        <f>IFERROR(VLOOKUP(Devis[[#This Row],[Ref Air Flux]],#REF!,3,FALSE),0)</f>
        <v>0</v>
      </c>
      <c r="K2193" s="68"/>
      <c r="L2193" s="68"/>
      <c r="M2193" s="68"/>
      <c r="N2193" s="68"/>
      <c r="O2193" s="68"/>
      <c r="P2193" s="68"/>
      <c r="Q2193" s="68">
        <f>SUM(Devis[[#This Row],[Poste 1]:[Poste 6]])</f>
        <v>0</v>
      </c>
      <c r="R2193" s="111"/>
      <c r="S2193" s="68">
        <f>_xlfn.CEILING.MATH(Devis[[#This Row],[Quantité Totale]],Devis[[#This Row],[Conditionnement]])</f>
        <v>0</v>
      </c>
      <c r="T2193" s="72"/>
      <c r="U2193" s="106"/>
      <c r="V2193" s="74">
        <f>Devis[[#This Row],[Prix de Revient]]*Devis[[#This Row],[Poste 1]]</f>
        <v>0</v>
      </c>
      <c r="W2193" s="74">
        <f>Devis[[#This Row],[Prix de Revient]]*Devis[[#This Row],[Poste 2]]</f>
        <v>0</v>
      </c>
      <c r="X2193" s="74">
        <f>Devis[[#This Row],[Prix de Revient]]*Devis[[#This Row],[Poste 3]]</f>
        <v>0</v>
      </c>
      <c r="Y2193" s="74">
        <f>Devis[[#This Row],[Poste 4]]*Devis[[#This Row],[Prix de Revient]]</f>
        <v>0</v>
      </c>
      <c r="Z2193" s="74">
        <f>Devis[[#This Row],[Poste 5]]*Devis[[#This Row],[Prix de Revient]]</f>
        <v>0</v>
      </c>
      <c r="AA2193" s="74">
        <f>Devis[[#This Row],[Prix de Revient]]*Devis[[#This Row],[Poste 6]]</f>
        <v>0</v>
      </c>
      <c r="AB2193" s="74">
        <f>Devis[[#This Row],[Quantité Totale]]*Devis[[#This Row],[Prix de Revient]]</f>
        <v>0</v>
      </c>
    </row>
    <row r="2194" spans="1:28" ht="14.25" outlineLevel="1" x14ac:dyDescent="0.2">
      <c r="A2194" s="75" t="s">
        <v>2053</v>
      </c>
      <c r="B2194" s="76" t="s">
        <v>2075</v>
      </c>
      <c r="C2194" s="76"/>
      <c r="D2194" s="81" t="str">
        <f t="shared" si="38"/>
        <v>Inox SoudéBride  plate tournante inox PN16</v>
      </c>
      <c r="E2194" s="76" t="s">
        <v>2076</v>
      </c>
      <c r="F2194" s="81">
        <v>5</v>
      </c>
      <c r="G2194" s="108" t="s">
        <v>2077</v>
      </c>
      <c r="H2194" s="71"/>
      <c r="I2194" s="75"/>
      <c r="J2194" s="70">
        <f>IFERROR(VLOOKUP(Devis[[#This Row],[Ref Air Flux]],#REF!,3,FALSE),0)</f>
        <v>0</v>
      </c>
      <c r="K2194" s="68"/>
      <c r="L2194" s="68"/>
      <c r="M2194" s="68"/>
      <c r="N2194" s="68"/>
      <c r="O2194" s="68"/>
      <c r="P2194" s="68"/>
      <c r="Q2194" s="68">
        <f>SUM(Devis[[#This Row],[Poste 1]:[Poste 6]])</f>
        <v>0</v>
      </c>
      <c r="R2194" s="111"/>
      <c r="S2194" s="68">
        <f>_xlfn.CEILING.MATH(Devis[[#This Row],[Quantité Totale]],Devis[[#This Row],[Conditionnement]])</f>
        <v>0</v>
      </c>
      <c r="T2194" s="72"/>
      <c r="U2194" s="106"/>
      <c r="V2194" s="74">
        <f>Devis[[#This Row],[Prix de Revient]]*Devis[[#This Row],[Poste 1]]</f>
        <v>0</v>
      </c>
      <c r="W2194" s="74">
        <f>Devis[[#This Row],[Prix de Revient]]*Devis[[#This Row],[Poste 2]]</f>
        <v>0</v>
      </c>
      <c r="X2194" s="74">
        <f>Devis[[#This Row],[Prix de Revient]]*Devis[[#This Row],[Poste 3]]</f>
        <v>0</v>
      </c>
      <c r="Y2194" s="74">
        <f>Devis[[#This Row],[Poste 4]]*Devis[[#This Row],[Prix de Revient]]</f>
        <v>0</v>
      </c>
      <c r="Z2194" s="74">
        <f>Devis[[#This Row],[Poste 5]]*Devis[[#This Row],[Prix de Revient]]</f>
        <v>0</v>
      </c>
      <c r="AA2194" s="74">
        <f>Devis[[#This Row],[Prix de Revient]]*Devis[[#This Row],[Poste 6]]</f>
        <v>0</v>
      </c>
      <c r="AB2194" s="74">
        <f>Devis[[#This Row],[Quantité Totale]]*Devis[[#This Row],[Prix de Revient]]</f>
        <v>0</v>
      </c>
    </row>
    <row r="2195" spans="1:28" ht="14.25" outlineLevel="1" x14ac:dyDescent="0.2">
      <c r="A2195" s="75" t="s">
        <v>2053</v>
      </c>
      <c r="B2195" s="76" t="s">
        <v>2075</v>
      </c>
      <c r="C2195" s="76"/>
      <c r="D2195" s="81" t="str">
        <f t="shared" si="38"/>
        <v>Inox SoudéBride  plate tournante inox PN16</v>
      </c>
      <c r="E2195" s="76" t="s">
        <v>2078</v>
      </c>
      <c r="F2195" s="81">
        <v>6</v>
      </c>
      <c r="G2195" s="108" t="s">
        <v>2079</v>
      </c>
      <c r="H2195" s="71"/>
      <c r="I2195" s="75"/>
      <c r="J2195" s="70">
        <f>IFERROR(VLOOKUP(Devis[[#This Row],[Ref Air Flux]],#REF!,3,FALSE),0)</f>
        <v>0</v>
      </c>
      <c r="K2195" s="68"/>
      <c r="L2195" s="68"/>
      <c r="M2195" s="68"/>
      <c r="N2195" s="68"/>
      <c r="O2195" s="68"/>
      <c r="P2195" s="68"/>
      <c r="Q2195" s="68">
        <f>SUM(Devis[[#This Row],[Poste 1]:[Poste 6]])</f>
        <v>0</v>
      </c>
      <c r="R2195" s="111"/>
      <c r="S2195" s="68">
        <f>_xlfn.CEILING.MATH(Devis[[#This Row],[Quantité Totale]],Devis[[#This Row],[Conditionnement]])</f>
        <v>0</v>
      </c>
      <c r="T2195" s="72"/>
      <c r="U2195" s="106"/>
      <c r="V2195" s="74">
        <f>Devis[[#This Row],[Prix de Revient]]*Devis[[#This Row],[Poste 1]]</f>
        <v>0</v>
      </c>
      <c r="W2195" s="74">
        <f>Devis[[#This Row],[Prix de Revient]]*Devis[[#This Row],[Poste 2]]</f>
        <v>0</v>
      </c>
      <c r="X2195" s="74">
        <f>Devis[[#This Row],[Prix de Revient]]*Devis[[#This Row],[Poste 3]]</f>
        <v>0</v>
      </c>
      <c r="Y2195" s="74">
        <f>Devis[[#This Row],[Poste 4]]*Devis[[#This Row],[Prix de Revient]]</f>
        <v>0</v>
      </c>
      <c r="Z2195" s="74">
        <f>Devis[[#This Row],[Poste 5]]*Devis[[#This Row],[Prix de Revient]]</f>
        <v>0</v>
      </c>
      <c r="AA2195" s="74">
        <f>Devis[[#This Row],[Prix de Revient]]*Devis[[#This Row],[Poste 6]]</f>
        <v>0</v>
      </c>
      <c r="AB2195" s="74">
        <f>Devis[[#This Row],[Quantité Totale]]*Devis[[#This Row],[Prix de Revient]]</f>
        <v>0</v>
      </c>
    </row>
    <row r="2196" spans="1:28" ht="14.25" outlineLevel="1" x14ac:dyDescent="0.2">
      <c r="A2196" s="75" t="s">
        <v>2053</v>
      </c>
      <c r="B2196" s="76" t="s">
        <v>2075</v>
      </c>
      <c r="C2196" s="76"/>
      <c r="D2196" s="81" t="str">
        <f t="shared" si="38"/>
        <v>Inox SoudéBride  plate tournante inox PN16</v>
      </c>
      <c r="E2196" s="76" t="s">
        <v>2080</v>
      </c>
      <c r="F2196" s="81">
        <v>7</v>
      </c>
      <c r="G2196" s="108" t="s">
        <v>2081</v>
      </c>
      <c r="H2196" s="71"/>
      <c r="I2196" s="75"/>
      <c r="J2196" s="70">
        <f>IFERROR(VLOOKUP(Devis[[#This Row],[Ref Air Flux]],#REF!,3,FALSE),0)</f>
        <v>0</v>
      </c>
      <c r="K2196" s="68"/>
      <c r="L2196" s="68"/>
      <c r="M2196" s="68"/>
      <c r="N2196" s="68"/>
      <c r="O2196" s="68"/>
      <c r="P2196" s="68"/>
      <c r="Q2196" s="68">
        <f>SUM(Devis[[#This Row],[Poste 1]:[Poste 6]])</f>
        <v>0</v>
      </c>
      <c r="R2196" s="111"/>
      <c r="S2196" s="68">
        <f>_xlfn.CEILING.MATH(Devis[[#This Row],[Quantité Totale]],Devis[[#This Row],[Conditionnement]])</f>
        <v>0</v>
      </c>
      <c r="T2196" s="72"/>
      <c r="U2196" s="106"/>
      <c r="V2196" s="74">
        <f>Devis[[#This Row],[Prix de Revient]]*Devis[[#This Row],[Poste 1]]</f>
        <v>0</v>
      </c>
      <c r="W2196" s="74">
        <f>Devis[[#This Row],[Prix de Revient]]*Devis[[#This Row],[Poste 2]]</f>
        <v>0</v>
      </c>
      <c r="X2196" s="74">
        <f>Devis[[#This Row],[Prix de Revient]]*Devis[[#This Row],[Poste 3]]</f>
        <v>0</v>
      </c>
      <c r="Y2196" s="74">
        <f>Devis[[#This Row],[Poste 4]]*Devis[[#This Row],[Prix de Revient]]</f>
        <v>0</v>
      </c>
      <c r="Z2196" s="74">
        <f>Devis[[#This Row],[Poste 5]]*Devis[[#This Row],[Prix de Revient]]</f>
        <v>0</v>
      </c>
      <c r="AA2196" s="74">
        <f>Devis[[#This Row],[Prix de Revient]]*Devis[[#This Row],[Poste 6]]</f>
        <v>0</v>
      </c>
      <c r="AB2196" s="74">
        <f>Devis[[#This Row],[Quantité Totale]]*Devis[[#This Row],[Prix de Revient]]</f>
        <v>0</v>
      </c>
    </row>
    <row r="2197" spans="1:28" ht="14.25" customHeight="1" x14ac:dyDescent="0.25">
      <c r="A2197" s="65" t="s">
        <v>2053</v>
      </c>
      <c r="B2197" s="65" t="s">
        <v>2093</v>
      </c>
      <c r="C2197" s="76"/>
      <c r="D2197" s="81" t="str">
        <f t="shared" si="38"/>
        <v>Inox SoudéBrides COLLERETTE INOX  à souder</v>
      </c>
      <c r="E2197" s="76"/>
      <c r="F2197" s="81">
        <v>0</v>
      </c>
      <c r="G2197" s="86"/>
      <c r="H2197" s="71"/>
      <c r="I2197" s="75"/>
      <c r="J2197" s="70">
        <f>IFERROR(VLOOKUP(Devis[[#This Row],[Ref Air Flux]],#REF!,3,FALSE),0)</f>
        <v>0</v>
      </c>
      <c r="K2197" s="68"/>
      <c r="L2197" s="68"/>
      <c r="M2197" s="68"/>
      <c r="N2197" s="68"/>
      <c r="O2197" s="68"/>
      <c r="P2197" s="68"/>
      <c r="Q2197" s="68">
        <f>SUM(Devis[[#This Row],[Poste 1]:[Poste 6]])</f>
        <v>0</v>
      </c>
      <c r="R2197" s="111"/>
      <c r="S2197" s="68">
        <f>_xlfn.CEILING.MATH(Devis[[#This Row],[Quantité Totale]],Devis[[#This Row],[Conditionnement]])</f>
        <v>0</v>
      </c>
      <c r="T2197" s="72"/>
      <c r="U2197" s="106"/>
      <c r="V2197" s="74">
        <f>Devis[[#This Row],[Prix de Revient]]*Devis[[#This Row],[Poste 1]]</f>
        <v>0</v>
      </c>
      <c r="W2197" s="74">
        <f>Devis[[#This Row],[Prix de Revient]]*Devis[[#This Row],[Poste 2]]</f>
        <v>0</v>
      </c>
      <c r="X2197" s="74">
        <f>Devis[[#This Row],[Prix de Revient]]*Devis[[#This Row],[Poste 3]]</f>
        <v>0</v>
      </c>
      <c r="Y2197" s="74">
        <f>Devis[[#This Row],[Poste 4]]*Devis[[#This Row],[Prix de Revient]]</f>
        <v>0</v>
      </c>
      <c r="Z2197" s="74">
        <f>Devis[[#This Row],[Poste 5]]*Devis[[#This Row],[Prix de Revient]]</f>
        <v>0</v>
      </c>
      <c r="AA2197" s="74">
        <f>Devis[[#This Row],[Prix de Revient]]*Devis[[#This Row],[Poste 6]]</f>
        <v>0</v>
      </c>
      <c r="AB2197" s="74">
        <f>Devis[[#This Row],[Quantité Totale]]*Devis[[#This Row],[Prix de Revient]]</f>
        <v>0</v>
      </c>
    </row>
    <row r="2198" spans="1:28" ht="14.25" outlineLevel="1" x14ac:dyDescent="0.2">
      <c r="A2198" s="75" t="s">
        <v>2053</v>
      </c>
      <c r="B2198" s="76" t="s">
        <v>2093</v>
      </c>
      <c r="C2198" s="76"/>
      <c r="D2198" s="81" t="str">
        <f t="shared" si="38"/>
        <v>Inox SoudéBrides COLLERETTE INOX  à souder</v>
      </c>
      <c r="E2198" s="76" t="s">
        <v>2112</v>
      </c>
      <c r="F2198" s="81">
        <v>1</v>
      </c>
      <c r="G2198" s="108" t="s">
        <v>2113</v>
      </c>
      <c r="H2198" s="71"/>
      <c r="I2198" s="75"/>
      <c r="J2198" s="70">
        <f>IFERROR(VLOOKUP(Devis[[#This Row],[Ref Air Flux]],#REF!,3,FALSE),0)</f>
        <v>0</v>
      </c>
      <c r="K2198" s="68"/>
      <c r="L2198" s="68"/>
      <c r="M2198" s="68"/>
      <c r="N2198" s="68"/>
      <c r="O2198" s="68"/>
      <c r="P2198" s="68"/>
      <c r="Q2198" s="68">
        <f>SUM(Devis[[#This Row],[Poste 1]:[Poste 6]])</f>
        <v>0</v>
      </c>
      <c r="R2198" s="111"/>
      <c r="S2198" s="68">
        <f>_xlfn.CEILING.MATH(Devis[[#This Row],[Quantité Totale]],Devis[[#This Row],[Conditionnement]])</f>
        <v>0</v>
      </c>
      <c r="T2198" s="72">
        <v>2</v>
      </c>
      <c r="U2198" s="106"/>
      <c r="V2198" s="74">
        <f>Devis[[#This Row],[Prix de Revient]]*Devis[[#This Row],[Poste 1]]</f>
        <v>0</v>
      </c>
      <c r="W2198" s="74">
        <f>Devis[[#This Row],[Prix de Revient]]*Devis[[#This Row],[Poste 2]]</f>
        <v>0</v>
      </c>
      <c r="X2198" s="74">
        <f>Devis[[#This Row],[Prix de Revient]]*Devis[[#This Row],[Poste 3]]</f>
        <v>0</v>
      </c>
      <c r="Y2198" s="74">
        <f>Devis[[#This Row],[Poste 4]]*Devis[[#This Row],[Prix de Revient]]</f>
        <v>0</v>
      </c>
      <c r="Z2198" s="74">
        <f>Devis[[#This Row],[Poste 5]]*Devis[[#This Row],[Prix de Revient]]</f>
        <v>0</v>
      </c>
      <c r="AA2198" s="74">
        <f>Devis[[#This Row],[Prix de Revient]]*Devis[[#This Row],[Poste 6]]</f>
        <v>0</v>
      </c>
      <c r="AB2198" s="74">
        <f>Devis[[#This Row],[Quantité Totale]]*Devis[[#This Row],[Prix de Revient]]</f>
        <v>0</v>
      </c>
    </row>
    <row r="2199" spans="1:28" ht="14.25" outlineLevel="1" x14ac:dyDescent="0.2">
      <c r="A2199" s="75" t="s">
        <v>2053</v>
      </c>
      <c r="B2199" s="76" t="s">
        <v>2093</v>
      </c>
      <c r="C2199" s="76"/>
      <c r="D2199" s="81" t="str">
        <f t="shared" si="38"/>
        <v>Inox SoudéBrides COLLERETTE INOX  à souder</v>
      </c>
      <c r="E2199" s="76" t="s">
        <v>2106</v>
      </c>
      <c r="F2199" s="81">
        <v>2</v>
      </c>
      <c r="G2199" s="86" t="s">
        <v>2107</v>
      </c>
      <c r="H2199" s="71"/>
      <c r="I2199" s="75"/>
      <c r="J2199" s="70">
        <f>IFERROR(VLOOKUP(Devis[[#This Row],[Ref Air Flux]],#REF!,3,FALSE),0)</f>
        <v>0</v>
      </c>
      <c r="K2199" s="68"/>
      <c r="L2199" s="68"/>
      <c r="M2199" s="68"/>
      <c r="N2199" s="68"/>
      <c r="O2199" s="68"/>
      <c r="P2199" s="68"/>
      <c r="Q2199" s="68">
        <f>SUM(Devis[[#This Row],[Poste 1]:[Poste 6]])</f>
        <v>0</v>
      </c>
      <c r="R2199" s="111"/>
      <c r="S2199" s="68">
        <f>_xlfn.CEILING.MATH(Devis[[#This Row],[Quantité Totale]],Devis[[#This Row],[Conditionnement]])</f>
        <v>0</v>
      </c>
      <c r="T2199" s="72">
        <v>1</v>
      </c>
      <c r="U2199" s="106"/>
      <c r="V2199" s="74">
        <f>Devis[[#This Row],[Prix de Revient]]*Devis[[#This Row],[Poste 1]]</f>
        <v>0</v>
      </c>
      <c r="W2199" s="74">
        <f>Devis[[#This Row],[Prix de Revient]]*Devis[[#This Row],[Poste 2]]</f>
        <v>0</v>
      </c>
      <c r="X2199" s="74">
        <f>Devis[[#This Row],[Prix de Revient]]*Devis[[#This Row],[Poste 3]]</f>
        <v>0</v>
      </c>
      <c r="Y2199" s="74">
        <f>Devis[[#This Row],[Poste 4]]*Devis[[#This Row],[Prix de Revient]]</f>
        <v>0</v>
      </c>
      <c r="Z2199" s="74">
        <f>Devis[[#This Row],[Poste 5]]*Devis[[#This Row],[Prix de Revient]]</f>
        <v>0</v>
      </c>
      <c r="AA2199" s="74">
        <f>Devis[[#This Row],[Prix de Revient]]*Devis[[#This Row],[Poste 6]]</f>
        <v>0</v>
      </c>
      <c r="AB2199" s="74">
        <f>Devis[[#This Row],[Quantité Totale]]*Devis[[#This Row],[Prix de Revient]]</f>
        <v>0</v>
      </c>
    </row>
    <row r="2200" spans="1:28" ht="15" customHeight="1" outlineLevel="1" x14ac:dyDescent="0.2">
      <c r="A2200" s="75" t="s">
        <v>2053</v>
      </c>
      <c r="B2200" s="76" t="s">
        <v>2093</v>
      </c>
      <c r="C2200" s="76"/>
      <c r="D2200" s="81" t="str">
        <f t="shared" si="38"/>
        <v>Inox SoudéBrides COLLERETTE INOX  à souder</v>
      </c>
      <c r="E2200" s="76" t="s">
        <v>2108</v>
      </c>
      <c r="F2200" s="81">
        <v>3</v>
      </c>
      <c r="G2200" s="108" t="s">
        <v>2109</v>
      </c>
      <c r="H2200" s="71"/>
      <c r="I2200" s="75"/>
      <c r="J2200" s="70">
        <f>IFERROR(VLOOKUP(Devis[[#This Row],[Ref Air Flux]],#REF!,3,FALSE),0)</f>
        <v>0</v>
      </c>
      <c r="K2200" s="68"/>
      <c r="L2200" s="68"/>
      <c r="M2200" s="68"/>
      <c r="N2200" s="68"/>
      <c r="O2200" s="68"/>
      <c r="P2200" s="68"/>
      <c r="Q2200" s="68">
        <f>SUM(Devis[[#This Row],[Poste 1]:[Poste 6]])</f>
        <v>0</v>
      </c>
      <c r="R2200" s="111"/>
      <c r="S2200" s="68">
        <f>_xlfn.CEILING.MATH(Devis[[#This Row],[Quantité Totale]],Devis[[#This Row],[Conditionnement]])</f>
        <v>0</v>
      </c>
      <c r="T2200" s="72">
        <v>1.25</v>
      </c>
      <c r="U2200" s="106"/>
      <c r="V2200" s="74">
        <f>Devis[[#This Row],[Prix de Revient]]*Devis[[#This Row],[Poste 1]]</f>
        <v>0</v>
      </c>
      <c r="W2200" s="74">
        <f>Devis[[#This Row],[Prix de Revient]]*Devis[[#This Row],[Poste 2]]</f>
        <v>0</v>
      </c>
      <c r="X2200" s="74">
        <f>Devis[[#This Row],[Prix de Revient]]*Devis[[#This Row],[Poste 3]]</f>
        <v>0</v>
      </c>
      <c r="Y2200" s="74">
        <f>Devis[[#This Row],[Poste 4]]*Devis[[#This Row],[Prix de Revient]]</f>
        <v>0</v>
      </c>
      <c r="Z2200" s="74">
        <f>Devis[[#This Row],[Poste 5]]*Devis[[#This Row],[Prix de Revient]]</f>
        <v>0</v>
      </c>
      <c r="AA2200" s="74">
        <f>Devis[[#This Row],[Prix de Revient]]*Devis[[#This Row],[Poste 6]]</f>
        <v>0</v>
      </c>
      <c r="AB2200" s="74">
        <f>Devis[[#This Row],[Quantité Totale]]*Devis[[#This Row],[Prix de Revient]]</f>
        <v>0</v>
      </c>
    </row>
    <row r="2201" spans="1:28" ht="14.25" outlineLevel="1" x14ac:dyDescent="0.2">
      <c r="A2201" s="75" t="s">
        <v>2053</v>
      </c>
      <c r="B2201" s="76" t="s">
        <v>2093</v>
      </c>
      <c r="C2201" s="76"/>
      <c r="D2201" s="81" t="str">
        <f t="shared" si="38"/>
        <v>Inox SoudéBrides COLLERETTE INOX  à souder</v>
      </c>
      <c r="E2201" s="76" t="s">
        <v>2110</v>
      </c>
      <c r="F2201" s="81">
        <v>4</v>
      </c>
      <c r="G2201" s="108" t="s">
        <v>2111</v>
      </c>
      <c r="H2201" s="71"/>
      <c r="I2201" s="75"/>
      <c r="J2201" s="70">
        <f>IFERROR(VLOOKUP(Devis[[#This Row],[Ref Air Flux]],#REF!,3,FALSE),0)</f>
        <v>0</v>
      </c>
      <c r="K2201" s="68"/>
      <c r="L2201" s="68"/>
      <c r="M2201" s="68"/>
      <c r="N2201" s="68"/>
      <c r="O2201" s="68"/>
      <c r="P2201" s="68"/>
      <c r="Q2201" s="68">
        <f>SUM(Devis[[#This Row],[Poste 1]:[Poste 6]])</f>
        <v>0</v>
      </c>
      <c r="R2201" s="111"/>
      <c r="S2201" s="68">
        <f>_xlfn.CEILING.MATH(Devis[[#This Row],[Quantité Totale]],Devis[[#This Row],[Conditionnement]])</f>
        <v>0</v>
      </c>
      <c r="T2201" s="72">
        <v>1.5</v>
      </c>
      <c r="U2201" s="106"/>
      <c r="V2201" s="74">
        <f>Devis[[#This Row],[Prix de Revient]]*Devis[[#This Row],[Poste 1]]</f>
        <v>0</v>
      </c>
      <c r="W2201" s="74">
        <f>Devis[[#This Row],[Prix de Revient]]*Devis[[#This Row],[Poste 2]]</f>
        <v>0</v>
      </c>
      <c r="X2201" s="74">
        <f>Devis[[#This Row],[Prix de Revient]]*Devis[[#This Row],[Poste 3]]</f>
        <v>0</v>
      </c>
      <c r="Y2201" s="74">
        <f>Devis[[#This Row],[Poste 4]]*Devis[[#This Row],[Prix de Revient]]</f>
        <v>0</v>
      </c>
      <c r="Z2201" s="74">
        <f>Devis[[#This Row],[Poste 5]]*Devis[[#This Row],[Prix de Revient]]</f>
        <v>0</v>
      </c>
      <c r="AA2201" s="74">
        <f>Devis[[#This Row],[Prix de Revient]]*Devis[[#This Row],[Poste 6]]</f>
        <v>0</v>
      </c>
      <c r="AB2201" s="74">
        <f>Devis[[#This Row],[Quantité Totale]]*Devis[[#This Row],[Prix de Revient]]</f>
        <v>0</v>
      </c>
    </row>
    <row r="2202" spans="1:28" ht="14.25" outlineLevel="1" x14ac:dyDescent="0.2">
      <c r="A2202" s="75" t="s">
        <v>2053</v>
      </c>
      <c r="B2202" s="76" t="s">
        <v>2093</v>
      </c>
      <c r="C2202" s="76"/>
      <c r="D2202" s="81" t="str">
        <f t="shared" si="38"/>
        <v>Inox SoudéBrides COLLERETTE INOX  à souder</v>
      </c>
      <c r="E2202" s="76" t="s">
        <v>2094</v>
      </c>
      <c r="F2202" s="81">
        <v>5</v>
      </c>
      <c r="G2202" s="108" t="s">
        <v>2095</v>
      </c>
      <c r="H2202" s="71"/>
      <c r="I2202" s="75"/>
      <c r="J2202" s="70">
        <f>IFERROR(VLOOKUP(Devis[[#This Row],[Ref Air Flux]],#REF!,3,FALSE),0)</f>
        <v>0</v>
      </c>
      <c r="K2202" s="68"/>
      <c r="L2202" s="68"/>
      <c r="M2202" s="68"/>
      <c r="N2202" s="68"/>
      <c r="O2202" s="68"/>
      <c r="P2202" s="68"/>
      <c r="Q2202" s="68">
        <f>SUM(Devis[[#This Row],[Poste 1]:[Poste 6]])</f>
        <v>0</v>
      </c>
      <c r="R2202" s="111"/>
      <c r="S2202" s="68">
        <f>_xlfn.CEILING.MATH(Devis[[#This Row],[Quantité Totale]],Devis[[#This Row],[Conditionnement]])</f>
        <v>0</v>
      </c>
      <c r="T2202" s="72">
        <v>0.25</v>
      </c>
      <c r="U2202" s="106"/>
      <c r="V2202" s="74">
        <f>Devis[[#This Row],[Prix de Revient]]*Devis[[#This Row],[Poste 1]]</f>
        <v>0</v>
      </c>
      <c r="W2202" s="74">
        <f>Devis[[#This Row],[Prix de Revient]]*Devis[[#This Row],[Poste 2]]</f>
        <v>0</v>
      </c>
      <c r="X2202" s="74">
        <f>Devis[[#This Row],[Prix de Revient]]*Devis[[#This Row],[Poste 3]]</f>
        <v>0</v>
      </c>
      <c r="Y2202" s="74">
        <f>Devis[[#This Row],[Poste 4]]*Devis[[#This Row],[Prix de Revient]]</f>
        <v>0</v>
      </c>
      <c r="Z2202" s="74">
        <f>Devis[[#This Row],[Poste 5]]*Devis[[#This Row],[Prix de Revient]]</f>
        <v>0</v>
      </c>
      <c r="AA2202" s="74">
        <f>Devis[[#This Row],[Prix de Revient]]*Devis[[#This Row],[Poste 6]]</f>
        <v>0</v>
      </c>
      <c r="AB2202" s="74">
        <f>Devis[[#This Row],[Quantité Totale]]*Devis[[#This Row],[Prix de Revient]]</f>
        <v>0</v>
      </c>
    </row>
    <row r="2203" spans="1:28" ht="14.25" customHeight="1" outlineLevel="1" x14ac:dyDescent="0.2">
      <c r="A2203" s="75" t="s">
        <v>2053</v>
      </c>
      <c r="B2203" s="76" t="s">
        <v>2093</v>
      </c>
      <c r="C2203" s="76"/>
      <c r="D2203" s="81" t="str">
        <f t="shared" si="38"/>
        <v>Inox SoudéBrides COLLERETTE INOX  à souder</v>
      </c>
      <c r="E2203" s="76" t="s">
        <v>2096</v>
      </c>
      <c r="F2203" s="81">
        <v>6</v>
      </c>
      <c r="G2203" s="108" t="s">
        <v>2097</v>
      </c>
      <c r="H2203" s="71"/>
      <c r="I2203" s="75"/>
      <c r="J2203" s="70">
        <f>IFERROR(VLOOKUP(Devis[[#This Row],[Ref Air Flux]],#REF!,3,FALSE),0)</f>
        <v>0</v>
      </c>
      <c r="K2203" s="68"/>
      <c r="L2203" s="68"/>
      <c r="M2203" s="68"/>
      <c r="N2203" s="68"/>
      <c r="O2203" s="68"/>
      <c r="P2203" s="68"/>
      <c r="Q2203" s="68">
        <f>SUM(Devis[[#This Row],[Poste 1]:[Poste 6]])</f>
        <v>0</v>
      </c>
      <c r="R2203" s="111"/>
      <c r="S2203" s="68">
        <f>_xlfn.CEILING.MATH(Devis[[#This Row],[Quantité Totale]],Devis[[#This Row],[Conditionnement]])</f>
        <v>0</v>
      </c>
      <c r="T2203" s="72">
        <v>0.3</v>
      </c>
      <c r="U2203" s="106"/>
      <c r="V2203" s="74">
        <f>Devis[[#This Row],[Prix de Revient]]*Devis[[#This Row],[Poste 1]]</f>
        <v>0</v>
      </c>
      <c r="W2203" s="74">
        <f>Devis[[#This Row],[Prix de Revient]]*Devis[[#This Row],[Poste 2]]</f>
        <v>0</v>
      </c>
      <c r="X2203" s="74">
        <f>Devis[[#This Row],[Prix de Revient]]*Devis[[#This Row],[Poste 3]]</f>
        <v>0</v>
      </c>
      <c r="Y2203" s="74">
        <f>Devis[[#This Row],[Poste 4]]*Devis[[#This Row],[Prix de Revient]]</f>
        <v>0</v>
      </c>
      <c r="Z2203" s="74">
        <f>Devis[[#This Row],[Poste 5]]*Devis[[#This Row],[Prix de Revient]]</f>
        <v>0</v>
      </c>
      <c r="AA2203" s="74">
        <f>Devis[[#This Row],[Prix de Revient]]*Devis[[#This Row],[Poste 6]]</f>
        <v>0</v>
      </c>
      <c r="AB2203" s="74">
        <f>Devis[[#This Row],[Quantité Totale]]*Devis[[#This Row],[Prix de Revient]]</f>
        <v>0</v>
      </c>
    </row>
    <row r="2204" spans="1:28" ht="14.25" customHeight="1" outlineLevel="1" x14ac:dyDescent="0.2">
      <c r="A2204" s="75" t="s">
        <v>2053</v>
      </c>
      <c r="B2204" s="76" t="s">
        <v>2093</v>
      </c>
      <c r="C2204" s="76"/>
      <c r="D2204" s="81" t="str">
        <f t="shared" si="38"/>
        <v>Inox SoudéBrides COLLERETTE INOX  à souder</v>
      </c>
      <c r="E2204" s="76" t="s">
        <v>2098</v>
      </c>
      <c r="F2204" s="81">
        <v>7</v>
      </c>
      <c r="G2204" s="108" t="s">
        <v>2099</v>
      </c>
      <c r="H2204" s="71"/>
      <c r="I2204" s="75"/>
      <c r="J2204" s="70">
        <f>IFERROR(VLOOKUP(Devis[[#This Row],[Ref Air Flux]],#REF!,3,FALSE),0)</f>
        <v>0</v>
      </c>
      <c r="K2204" s="68"/>
      <c r="L2204" s="68"/>
      <c r="M2204" s="68"/>
      <c r="N2204" s="68"/>
      <c r="O2204" s="68"/>
      <c r="P2204" s="68"/>
      <c r="Q2204" s="68">
        <f>SUM(Devis[[#This Row],[Poste 1]:[Poste 6]])</f>
        <v>0</v>
      </c>
      <c r="R2204" s="111"/>
      <c r="S2204" s="68">
        <f>_xlfn.CEILING.MATH(Devis[[#This Row],[Quantité Totale]],Devis[[#This Row],[Conditionnement]])</f>
        <v>0</v>
      </c>
      <c r="T2204" s="72">
        <v>0.35</v>
      </c>
      <c r="U2204" s="106"/>
      <c r="V2204" s="74">
        <f>Devis[[#This Row],[Prix de Revient]]*Devis[[#This Row],[Poste 1]]</f>
        <v>0</v>
      </c>
      <c r="W2204" s="74">
        <f>Devis[[#This Row],[Prix de Revient]]*Devis[[#This Row],[Poste 2]]</f>
        <v>0</v>
      </c>
      <c r="X2204" s="74">
        <f>Devis[[#This Row],[Prix de Revient]]*Devis[[#This Row],[Poste 3]]</f>
        <v>0</v>
      </c>
      <c r="Y2204" s="74">
        <f>Devis[[#This Row],[Poste 4]]*Devis[[#This Row],[Prix de Revient]]</f>
        <v>0</v>
      </c>
      <c r="Z2204" s="74">
        <f>Devis[[#This Row],[Poste 5]]*Devis[[#This Row],[Prix de Revient]]</f>
        <v>0</v>
      </c>
      <c r="AA2204" s="74">
        <f>Devis[[#This Row],[Prix de Revient]]*Devis[[#This Row],[Poste 6]]</f>
        <v>0</v>
      </c>
      <c r="AB2204" s="74">
        <f>Devis[[#This Row],[Quantité Totale]]*Devis[[#This Row],[Prix de Revient]]</f>
        <v>0</v>
      </c>
    </row>
    <row r="2205" spans="1:28" ht="14.25" customHeight="1" outlineLevel="1" x14ac:dyDescent="0.2">
      <c r="A2205" s="75" t="s">
        <v>2053</v>
      </c>
      <c r="B2205" s="76" t="s">
        <v>2093</v>
      </c>
      <c r="C2205" s="76"/>
      <c r="D2205" s="81" t="str">
        <f t="shared" si="38"/>
        <v>Inox SoudéBrides COLLERETTE INOX  à souder</v>
      </c>
      <c r="E2205" s="76" t="s">
        <v>2100</v>
      </c>
      <c r="F2205" s="81">
        <v>8</v>
      </c>
      <c r="G2205" s="86" t="s">
        <v>2101</v>
      </c>
      <c r="H2205" s="71"/>
      <c r="I2205" s="75"/>
      <c r="J2205" s="70">
        <f>IFERROR(VLOOKUP(Devis[[#This Row],[Ref Air Flux]],#REF!,3,FALSE),0)</f>
        <v>0</v>
      </c>
      <c r="K2205" s="68"/>
      <c r="L2205" s="68"/>
      <c r="M2205" s="68"/>
      <c r="N2205" s="68"/>
      <c r="O2205" s="68"/>
      <c r="P2205" s="68"/>
      <c r="Q2205" s="68">
        <f>SUM(Devis[[#This Row],[Poste 1]:[Poste 6]])</f>
        <v>0</v>
      </c>
      <c r="R2205" s="111"/>
      <c r="S2205" s="68">
        <f>_xlfn.CEILING.MATH(Devis[[#This Row],[Quantité Totale]],Devis[[#This Row],[Conditionnement]])</f>
        <v>0</v>
      </c>
      <c r="T2205" s="72">
        <v>0.5</v>
      </c>
      <c r="U2205" s="106"/>
      <c r="V2205" s="74">
        <f>Devis[[#This Row],[Prix de Revient]]*Devis[[#This Row],[Poste 1]]</f>
        <v>0</v>
      </c>
      <c r="W2205" s="74">
        <f>Devis[[#This Row],[Prix de Revient]]*Devis[[#This Row],[Poste 2]]</f>
        <v>0</v>
      </c>
      <c r="X2205" s="74">
        <f>Devis[[#This Row],[Prix de Revient]]*Devis[[#This Row],[Poste 3]]</f>
        <v>0</v>
      </c>
      <c r="Y2205" s="74">
        <f>Devis[[#This Row],[Poste 4]]*Devis[[#This Row],[Prix de Revient]]</f>
        <v>0</v>
      </c>
      <c r="Z2205" s="74">
        <f>Devis[[#This Row],[Poste 5]]*Devis[[#This Row],[Prix de Revient]]</f>
        <v>0</v>
      </c>
      <c r="AA2205" s="74">
        <f>Devis[[#This Row],[Prix de Revient]]*Devis[[#This Row],[Poste 6]]</f>
        <v>0</v>
      </c>
      <c r="AB2205" s="74">
        <f>Devis[[#This Row],[Quantité Totale]]*Devis[[#This Row],[Prix de Revient]]</f>
        <v>0</v>
      </c>
    </row>
    <row r="2206" spans="1:28" ht="14.25" outlineLevel="1" x14ac:dyDescent="0.2">
      <c r="A2206" s="75" t="s">
        <v>2053</v>
      </c>
      <c r="B2206" s="76" t="s">
        <v>2093</v>
      </c>
      <c r="C2206" s="76"/>
      <c r="D2206" s="81" t="str">
        <f t="shared" si="38"/>
        <v>Inox SoudéBrides COLLERETTE INOX  à souder</v>
      </c>
      <c r="E2206" s="76" t="s">
        <v>2102</v>
      </c>
      <c r="F2206" s="81">
        <v>9</v>
      </c>
      <c r="G2206" s="108" t="s">
        <v>2103</v>
      </c>
      <c r="H2206" s="71"/>
      <c r="I2206" s="75"/>
      <c r="J2206" s="70">
        <f>IFERROR(VLOOKUP(Devis[[#This Row],[Ref Air Flux]],#REF!,3,FALSE),0)</f>
        <v>0</v>
      </c>
      <c r="K2206" s="68"/>
      <c r="L2206" s="68"/>
      <c r="M2206" s="68"/>
      <c r="N2206" s="68"/>
      <c r="O2206" s="68"/>
      <c r="P2206" s="68"/>
      <c r="Q2206" s="68">
        <f>SUM(Devis[[#This Row],[Poste 1]:[Poste 6]])</f>
        <v>0</v>
      </c>
      <c r="R2206" s="111"/>
      <c r="S2206" s="68">
        <f>_xlfn.CEILING.MATH(Devis[[#This Row],[Quantité Totale]],Devis[[#This Row],[Conditionnement]])</f>
        <v>0</v>
      </c>
      <c r="T2206" s="72">
        <v>0.6</v>
      </c>
      <c r="U2206" s="106"/>
      <c r="V2206" s="74">
        <f>Devis[[#This Row],[Prix de Revient]]*Devis[[#This Row],[Poste 1]]</f>
        <v>0</v>
      </c>
      <c r="W2206" s="74">
        <f>Devis[[#This Row],[Prix de Revient]]*Devis[[#This Row],[Poste 2]]</f>
        <v>0</v>
      </c>
      <c r="X2206" s="74">
        <f>Devis[[#This Row],[Prix de Revient]]*Devis[[#This Row],[Poste 3]]</f>
        <v>0</v>
      </c>
      <c r="Y2206" s="74">
        <f>Devis[[#This Row],[Poste 4]]*Devis[[#This Row],[Prix de Revient]]</f>
        <v>0</v>
      </c>
      <c r="Z2206" s="74">
        <f>Devis[[#This Row],[Poste 5]]*Devis[[#This Row],[Prix de Revient]]</f>
        <v>0</v>
      </c>
      <c r="AA2206" s="74">
        <f>Devis[[#This Row],[Prix de Revient]]*Devis[[#This Row],[Poste 6]]</f>
        <v>0</v>
      </c>
      <c r="AB2206" s="74">
        <f>Devis[[#This Row],[Quantité Totale]]*Devis[[#This Row],[Prix de Revient]]</f>
        <v>0</v>
      </c>
    </row>
    <row r="2207" spans="1:28" ht="14.25" outlineLevel="1" x14ac:dyDescent="0.2">
      <c r="A2207" s="75" t="s">
        <v>2053</v>
      </c>
      <c r="B2207" s="76" t="s">
        <v>2093</v>
      </c>
      <c r="C2207" s="76"/>
      <c r="D2207" s="81" t="str">
        <f t="shared" si="38"/>
        <v>Inox SoudéBrides COLLERETTE INOX  à souder</v>
      </c>
      <c r="E2207" s="76" t="s">
        <v>2104</v>
      </c>
      <c r="F2207" s="81">
        <v>10</v>
      </c>
      <c r="G2207" s="108" t="s">
        <v>2105</v>
      </c>
      <c r="H2207" s="71"/>
      <c r="I2207" s="75"/>
      <c r="J2207" s="70">
        <f>IFERROR(VLOOKUP(Devis[[#This Row],[Ref Air Flux]],#REF!,3,FALSE),0)</f>
        <v>0</v>
      </c>
      <c r="K2207" s="68"/>
      <c r="L2207" s="68"/>
      <c r="M2207" s="68"/>
      <c r="N2207" s="68"/>
      <c r="O2207" s="68"/>
      <c r="P2207" s="68"/>
      <c r="Q2207" s="68">
        <f>SUM(Devis[[#This Row],[Poste 1]:[Poste 6]])</f>
        <v>0</v>
      </c>
      <c r="R2207" s="111"/>
      <c r="S2207" s="68">
        <f>_xlfn.CEILING.MATH(Devis[[#This Row],[Quantité Totale]],Devis[[#This Row],[Conditionnement]])</f>
        <v>0</v>
      </c>
      <c r="T2207" s="72">
        <v>0.75</v>
      </c>
      <c r="U2207" s="106"/>
      <c r="V2207" s="74">
        <f>Devis[[#This Row],[Prix de Revient]]*Devis[[#This Row],[Poste 1]]</f>
        <v>0</v>
      </c>
      <c r="W2207" s="74">
        <f>Devis[[#This Row],[Prix de Revient]]*Devis[[#This Row],[Poste 2]]</f>
        <v>0</v>
      </c>
      <c r="X2207" s="74">
        <f>Devis[[#This Row],[Prix de Revient]]*Devis[[#This Row],[Poste 3]]</f>
        <v>0</v>
      </c>
      <c r="Y2207" s="74">
        <f>Devis[[#This Row],[Poste 4]]*Devis[[#This Row],[Prix de Revient]]</f>
        <v>0</v>
      </c>
      <c r="Z2207" s="74">
        <f>Devis[[#This Row],[Poste 5]]*Devis[[#This Row],[Prix de Revient]]</f>
        <v>0</v>
      </c>
      <c r="AA2207" s="74">
        <f>Devis[[#This Row],[Prix de Revient]]*Devis[[#This Row],[Poste 6]]</f>
        <v>0</v>
      </c>
      <c r="AB2207" s="74">
        <f>Devis[[#This Row],[Quantité Totale]]*Devis[[#This Row],[Prix de Revient]]</f>
        <v>0</v>
      </c>
    </row>
    <row r="2208" spans="1:28" ht="14.25" customHeight="1" x14ac:dyDescent="0.25">
      <c r="A2208" s="65" t="s">
        <v>2053</v>
      </c>
      <c r="B2208" s="65" t="s">
        <v>4089</v>
      </c>
      <c r="C2208" s="76"/>
      <c r="D2208" s="81" t="str">
        <f t="shared" si="38"/>
        <v>Inox SoudéBrides PB TOURNANTE Camier PN10</v>
      </c>
      <c r="E2208" s="76"/>
      <c r="F2208" s="81">
        <v>0</v>
      </c>
      <c r="G2208" s="86"/>
      <c r="H2208" s="71"/>
      <c r="I2208" s="75"/>
      <c r="J2208" s="70">
        <f>IFERROR(VLOOKUP(Devis[[#This Row],[Ref Air Flux]],#REF!,3,FALSE),0)</f>
        <v>0</v>
      </c>
      <c r="K2208" s="68"/>
      <c r="L2208" s="68"/>
      <c r="M2208" s="68"/>
      <c r="N2208" s="68"/>
      <c r="O2208" s="68"/>
      <c r="P2208" s="68"/>
      <c r="Q2208" s="68">
        <f>SUM(Devis[[#This Row],[Poste 1]:[Poste 6]])</f>
        <v>0</v>
      </c>
      <c r="R2208" s="111"/>
      <c r="S2208" s="68">
        <f>_xlfn.CEILING.MATH(Devis[[#This Row],[Quantité Totale]],Devis[[#This Row],[Conditionnement]])</f>
        <v>0</v>
      </c>
      <c r="T2208" s="72"/>
      <c r="U2208" s="106"/>
      <c r="V2208" s="74">
        <f>Devis[[#This Row],[Prix de Revient]]*Devis[[#This Row],[Poste 1]]</f>
        <v>0</v>
      </c>
      <c r="W2208" s="74">
        <f>Devis[[#This Row],[Prix de Revient]]*Devis[[#This Row],[Poste 2]]</f>
        <v>0</v>
      </c>
      <c r="X2208" s="74">
        <f>Devis[[#This Row],[Prix de Revient]]*Devis[[#This Row],[Poste 3]]</f>
        <v>0</v>
      </c>
      <c r="Y2208" s="74">
        <f>Devis[[#This Row],[Poste 4]]*Devis[[#This Row],[Prix de Revient]]</f>
        <v>0</v>
      </c>
      <c r="Z2208" s="74">
        <f>Devis[[#This Row],[Poste 5]]*Devis[[#This Row],[Prix de Revient]]</f>
        <v>0</v>
      </c>
      <c r="AA2208" s="74">
        <f>Devis[[#This Row],[Prix de Revient]]*Devis[[#This Row],[Poste 6]]</f>
        <v>0</v>
      </c>
      <c r="AB2208" s="74">
        <f>Devis[[#This Row],[Quantité Totale]]*Devis[[#This Row],[Prix de Revient]]</f>
        <v>0</v>
      </c>
    </row>
    <row r="2209" spans="1:28" ht="14.25" outlineLevel="1" x14ac:dyDescent="0.2">
      <c r="A2209" s="75" t="s">
        <v>2053</v>
      </c>
      <c r="B2209" s="76" t="s">
        <v>4089</v>
      </c>
      <c r="C2209" s="76"/>
      <c r="D2209" s="81" t="str">
        <f t="shared" si="38"/>
        <v>Inox SoudéBrides PB TOURNANTE Camier PN10</v>
      </c>
      <c r="E2209" s="76" t="s">
        <v>2106</v>
      </c>
      <c r="F2209" s="81">
        <v>1</v>
      </c>
      <c r="G2209" s="86" t="s">
        <v>2120</v>
      </c>
      <c r="H2209" s="71"/>
      <c r="I2209" s="75"/>
      <c r="J2209" s="70">
        <f>IFERROR(VLOOKUP(Devis[[#This Row],[Ref Air Flux]],#REF!,3,FALSE),0)</f>
        <v>0</v>
      </c>
      <c r="K2209" s="68"/>
      <c r="L2209" s="68"/>
      <c r="M2209" s="68"/>
      <c r="N2209" s="68"/>
      <c r="O2209" s="68"/>
      <c r="P2209" s="68"/>
      <c r="Q2209" s="68">
        <f>SUM(Devis[[#This Row],[Poste 1]:[Poste 6]])</f>
        <v>0</v>
      </c>
      <c r="R2209" s="111"/>
      <c r="S2209" s="68">
        <f>_xlfn.CEILING.MATH(Devis[[#This Row],[Quantité Totale]],Devis[[#This Row],[Conditionnement]])</f>
        <v>0</v>
      </c>
      <c r="T2209" s="72">
        <v>0.24</v>
      </c>
      <c r="U2209" s="106"/>
      <c r="V2209" s="74">
        <f>Devis[[#This Row],[Prix de Revient]]*Devis[[#This Row],[Poste 1]]</f>
        <v>0</v>
      </c>
      <c r="W2209" s="74">
        <f>Devis[[#This Row],[Prix de Revient]]*Devis[[#This Row],[Poste 2]]</f>
        <v>0</v>
      </c>
      <c r="X2209" s="74">
        <f>Devis[[#This Row],[Prix de Revient]]*Devis[[#This Row],[Poste 3]]</f>
        <v>0</v>
      </c>
      <c r="Y2209" s="74">
        <f>Devis[[#This Row],[Poste 4]]*Devis[[#This Row],[Prix de Revient]]</f>
        <v>0</v>
      </c>
      <c r="Z2209" s="74">
        <f>Devis[[#This Row],[Poste 5]]*Devis[[#This Row],[Prix de Revient]]</f>
        <v>0</v>
      </c>
      <c r="AA2209" s="74">
        <f>Devis[[#This Row],[Prix de Revient]]*Devis[[#This Row],[Poste 6]]</f>
        <v>0</v>
      </c>
      <c r="AB2209" s="74">
        <f>Devis[[#This Row],[Quantité Totale]]*Devis[[#This Row],[Prix de Revient]]</f>
        <v>0</v>
      </c>
    </row>
    <row r="2210" spans="1:28" ht="15" customHeight="1" outlineLevel="1" x14ac:dyDescent="0.2">
      <c r="A2210" s="75" t="s">
        <v>2053</v>
      </c>
      <c r="B2210" s="76" t="s">
        <v>4089</v>
      </c>
      <c r="C2210" s="76"/>
      <c r="D2210" s="81" t="str">
        <f t="shared" si="38"/>
        <v>Inox SoudéBrides PB TOURNANTE Camier PN10</v>
      </c>
      <c r="E2210" s="76" t="s">
        <v>2108</v>
      </c>
      <c r="F2210" s="81">
        <v>2</v>
      </c>
      <c r="G2210" s="86" t="s">
        <v>2121</v>
      </c>
      <c r="H2210" s="71"/>
      <c r="I2210" s="75"/>
      <c r="J2210" s="70">
        <f>IFERROR(VLOOKUP(Devis[[#This Row],[Ref Air Flux]],#REF!,3,FALSE),0)</f>
        <v>0</v>
      </c>
      <c r="K2210" s="68"/>
      <c r="L2210" s="68"/>
      <c r="M2210" s="68"/>
      <c r="N2210" s="68"/>
      <c r="O2210" s="68"/>
      <c r="P2210" s="68"/>
      <c r="Q2210" s="68">
        <f>SUM(Devis[[#This Row],[Poste 1]:[Poste 6]])</f>
        <v>0</v>
      </c>
      <c r="R2210" s="111"/>
      <c r="S2210" s="68">
        <f>_xlfn.CEILING.MATH(Devis[[#This Row],[Quantité Totale]],Devis[[#This Row],[Conditionnement]])</f>
        <v>0</v>
      </c>
      <c r="T2210" s="72">
        <v>0.24</v>
      </c>
      <c r="U2210" s="106"/>
      <c r="V2210" s="74">
        <f>Devis[[#This Row],[Prix de Revient]]*Devis[[#This Row],[Poste 1]]</f>
        <v>0</v>
      </c>
      <c r="W2210" s="74">
        <f>Devis[[#This Row],[Prix de Revient]]*Devis[[#This Row],[Poste 2]]</f>
        <v>0</v>
      </c>
      <c r="X2210" s="74">
        <f>Devis[[#This Row],[Prix de Revient]]*Devis[[#This Row],[Poste 3]]</f>
        <v>0</v>
      </c>
      <c r="Y2210" s="74">
        <f>Devis[[#This Row],[Poste 4]]*Devis[[#This Row],[Prix de Revient]]</f>
        <v>0</v>
      </c>
      <c r="Z2210" s="74">
        <f>Devis[[#This Row],[Poste 5]]*Devis[[#This Row],[Prix de Revient]]</f>
        <v>0</v>
      </c>
      <c r="AA2210" s="74">
        <f>Devis[[#This Row],[Prix de Revient]]*Devis[[#This Row],[Poste 6]]</f>
        <v>0</v>
      </c>
      <c r="AB2210" s="74">
        <f>Devis[[#This Row],[Quantité Totale]]*Devis[[#This Row],[Prix de Revient]]</f>
        <v>0</v>
      </c>
    </row>
    <row r="2211" spans="1:28" ht="14.25" outlineLevel="1" x14ac:dyDescent="0.2">
      <c r="A2211" s="75" t="s">
        <v>2053</v>
      </c>
      <c r="B2211" s="76" t="s">
        <v>4089</v>
      </c>
      <c r="C2211" s="76"/>
      <c r="D2211" s="81" t="str">
        <f t="shared" si="38"/>
        <v>Inox SoudéBrides PB TOURNANTE Camier PN10</v>
      </c>
      <c r="E2211" s="76" t="s">
        <v>2122</v>
      </c>
      <c r="F2211" s="81">
        <v>3</v>
      </c>
      <c r="G2211" s="86" t="s">
        <v>2123</v>
      </c>
      <c r="H2211" s="71"/>
      <c r="I2211" s="75"/>
      <c r="J2211" s="70">
        <f>IFERROR(VLOOKUP(Devis[[#This Row],[Ref Air Flux]],#REF!,3,FALSE),0)</f>
        <v>0</v>
      </c>
      <c r="K2211" s="68"/>
      <c r="L2211" s="68"/>
      <c r="M2211" s="68"/>
      <c r="N2211" s="68"/>
      <c r="O2211" s="68"/>
      <c r="P2211" s="68"/>
      <c r="Q2211" s="68">
        <f>SUM(Devis[[#This Row],[Poste 1]:[Poste 6]])</f>
        <v>0</v>
      </c>
      <c r="R2211" s="111"/>
      <c r="S2211" s="68">
        <f>_xlfn.CEILING.MATH(Devis[[#This Row],[Quantité Totale]],Devis[[#This Row],[Conditionnement]])</f>
        <v>0</v>
      </c>
      <c r="T2211" s="72">
        <v>0.32</v>
      </c>
      <c r="U2211" s="106"/>
      <c r="V2211" s="74">
        <f>Devis[[#This Row],[Prix de Revient]]*Devis[[#This Row],[Poste 1]]</f>
        <v>0</v>
      </c>
      <c r="W2211" s="74">
        <f>Devis[[#This Row],[Prix de Revient]]*Devis[[#This Row],[Poste 2]]</f>
        <v>0</v>
      </c>
      <c r="X2211" s="74">
        <f>Devis[[#This Row],[Prix de Revient]]*Devis[[#This Row],[Poste 3]]</f>
        <v>0</v>
      </c>
      <c r="Y2211" s="74">
        <f>Devis[[#This Row],[Poste 4]]*Devis[[#This Row],[Prix de Revient]]</f>
        <v>0</v>
      </c>
      <c r="Z2211" s="74">
        <f>Devis[[#This Row],[Poste 5]]*Devis[[#This Row],[Prix de Revient]]</f>
        <v>0</v>
      </c>
      <c r="AA2211" s="74">
        <f>Devis[[#This Row],[Prix de Revient]]*Devis[[#This Row],[Poste 6]]</f>
        <v>0</v>
      </c>
      <c r="AB2211" s="74">
        <f>Devis[[#This Row],[Quantité Totale]]*Devis[[#This Row],[Prix de Revient]]</f>
        <v>0</v>
      </c>
    </row>
    <row r="2212" spans="1:28" ht="14.25" outlineLevel="1" x14ac:dyDescent="0.2">
      <c r="A2212" s="75" t="s">
        <v>2053</v>
      </c>
      <c r="B2212" s="76" t="s">
        <v>4089</v>
      </c>
      <c r="C2212" s="76"/>
      <c r="D2212" s="81" t="str">
        <f t="shared" si="38"/>
        <v>Inox SoudéBrides PB TOURNANTE Camier PN10</v>
      </c>
      <c r="E2212" s="76" t="s">
        <v>2124</v>
      </c>
      <c r="F2212" s="81">
        <v>4</v>
      </c>
      <c r="G2212" s="86" t="s">
        <v>2125</v>
      </c>
      <c r="H2212" s="71"/>
      <c r="I2212" s="75"/>
      <c r="J2212" s="70">
        <f>IFERROR(VLOOKUP(Devis[[#This Row],[Ref Air Flux]],#REF!,3,FALSE),0)</f>
        <v>0</v>
      </c>
      <c r="K2212" s="68"/>
      <c r="L2212" s="68"/>
      <c r="M2212" s="68"/>
      <c r="N2212" s="68"/>
      <c r="O2212" s="68"/>
      <c r="P2212" s="68"/>
      <c r="Q2212" s="68">
        <f>SUM(Devis[[#This Row],[Poste 1]:[Poste 6]])</f>
        <v>0</v>
      </c>
      <c r="R2212" s="111"/>
      <c r="S2212" s="68">
        <f>_xlfn.CEILING.MATH(Devis[[#This Row],[Quantité Totale]],Devis[[#This Row],[Conditionnement]])</f>
        <v>0</v>
      </c>
      <c r="T2212" s="72">
        <v>0.32</v>
      </c>
      <c r="U2212" s="106"/>
      <c r="V2212" s="74">
        <f>Devis[[#This Row],[Prix de Revient]]*Devis[[#This Row],[Poste 1]]</f>
        <v>0</v>
      </c>
      <c r="W2212" s="74">
        <f>Devis[[#This Row],[Prix de Revient]]*Devis[[#This Row],[Poste 2]]</f>
        <v>0</v>
      </c>
      <c r="X2212" s="74">
        <f>Devis[[#This Row],[Prix de Revient]]*Devis[[#This Row],[Poste 3]]</f>
        <v>0</v>
      </c>
      <c r="Y2212" s="74">
        <f>Devis[[#This Row],[Poste 4]]*Devis[[#This Row],[Prix de Revient]]</f>
        <v>0</v>
      </c>
      <c r="Z2212" s="74">
        <f>Devis[[#This Row],[Poste 5]]*Devis[[#This Row],[Prix de Revient]]</f>
        <v>0</v>
      </c>
      <c r="AA2212" s="74">
        <f>Devis[[#This Row],[Prix de Revient]]*Devis[[#This Row],[Poste 6]]</f>
        <v>0</v>
      </c>
      <c r="AB2212" s="74">
        <f>Devis[[#This Row],[Quantité Totale]]*Devis[[#This Row],[Prix de Revient]]</f>
        <v>0</v>
      </c>
    </row>
    <row r="2213" spans="1:28" ht="14.25" outlineLevel="1" x14ac:dyDescent="0.2">
      <c r="A2213" s="75" t="s">
        <v>2053</v>
      </c>
      <c r="B2213" s="76" t="s">
        <v>4089</v>
      </c>
      <c r="C2213" s="76"/>
      <c r="D2213" s="81" t="str">
        <f t="shared" si="38"/>
        <v>Inox SoudéBrides PB TOURNANTE Camier PN10</v>
      </c>
      <c r="E2213" s="76" t="s">
        <v>2094</v>
      </c>
      <c r="F2213" s="81">
        <v>5</v>
      </c>
      <c r="G2213" s="108" t="s">
        <v>2114</v>
      </c>
      <c r="H2213" s="71"/>
      <c r="I2213" s="75"/>
      <c r="J2213" s="70">
        <f>IFERROR(VLOOKUP(Devis[[#This Row],[Ref Air Flux]],#REF!,3,FALSE),0)</f>
        <v>0</v>
      </c>
      <c r="K2213" s="68"/>
      <c r="L2213" s="68"/>
      <c r="M2213" s="68"/>
      <c r="N2213" s="68"/>
      <c r="O2213" s="68"/>
      <c r="P2213" s="68"/>
      <c r="Q2213" s="68">
        <f>SUM(Devis[[#This Row],[Poste 1]:[Poste 6]])</f>
        <v>0</v>
      </c>
      <c r="R2213" s="111"/>
      <c r="S2213" s="68">
        <f>_xlfn.CEILING.MATH(Devis[[#This Row],[Quantité Totale]],Devis[[#This Row],[Conditionnement]])</f>
        <v>0</v>
      </c>
      <c r="T2213" s="72">
        <v>0.12</v>
      </c>
      <c r="U2213" s="106"/>
      <c r="V2213" s="74">
        <f>Devis[[#This Row],[Prix de Revient]]*Devis[[#This Row],[Poste 1]]</f>
        <v>0</v>
      </c>
      <c r="W2213" s="74">
        <f>Devis[[#This Row],[Prix de Revient]]*Devis[[#This Row],[Poste 2]]</f>
        <v>0</v>
      </c>
      <c r="X2213" s="74">
        <f>Devis[[#This Row],[Prix de Revient]]*Devis[[#This Row],[Poste 3]]</f>
        <v>0</v>
      </c>
      <c r="Y2213" s="74">
        <f>Devis[[#This Row],[Poste 4]]*Devis[[#This Row],[Prix de Revient]]</f>
        <v>0</v>
      </c>
      <c r="Z2213" s="74">
        <f>Devis[[#This Row],[Poste 5]]*Devis[[#This Row],[Prix de Revient]]</f>
        <v>0</v>
      </c>
      <c r="AA2213" s="74">
        <f>Devis[[#This Row],[Prix de Revient]]*Devis[[#This Row],[Poste 6]]</f>
        <v>0</v>
      </c>
      <c r="AB2213" s="74">
        <f>Devis[[#This Row],[Quantité Totale]]*Devis[[#This Row],[Prix de Revient]]</f>
        <v>0</v>
      </c>
    </row>
    <row r="2214" spans="1:28" ht="14.25" customHeight="1" outlineLevel="1" x14ac:dyDescent="0.2">
      <c r="A2214" s="75" t="s">
        <v>2053</v>
      </c>
      <c r="B2214" s="76" t="s">
        <v>4089</v>
      </c>
      <c r="C2214" s="76"/>
      <c r="D2214" s="81" t="str">
        <f t="shared" si="38"/>
        <v>Inox SoudéBrides PB TOURNANTE Camier PN10</v>
      </c>
      <c r="E2214" s="76" t="s">
        <v>2096</v>
      </c>
      <c r="F2214" s="81">
        <v>6</v>
      </c>
      <c r="G2214" s="108" t="s">
        <v>2115</v>
      </c>
      <c r="H2214" s="71"/>
      <c r="I2214" s="75"/>
      <c r="J2214" s="70">
        <f>IFERROR(VLOOKUP(Devis[[#This Row],[Ref Air Flux]],#REF!,3,FALSE),0)</f>
        <v>0</v>
      </c>
      <c r="K2214" s="68"/>
      <c r="L2214" s="68"/>
      <c r="M2214" s="68"/>
      <c r="N2214" s="68"/>
      <c r="O2214" s="68"/>
      <c r="P2214" s="68"/>
      <c r="Q2214" s="68">
        <f>SUM(Devis[[#This Row],[Poste 1]:[Poste 6]])</f>
        <v>0</v>
      </c>
      <c r="R2214" s="111"/>
      <c r="S2214" s="68">
        <f>_xlfn.CEILING.MATH(Devis[[#This Row],[Quantité Totale]],Devis[[#This Row],[Conditionnement]])</f>
        <v>0</v>
      </c>
      <c r="T2214" s="72">
        <v>0.12</v>
      </c>
      <c r="U2214" s="106"/>
      <c r="V2214" s="74">
        <f>Devis[[#This Row],[Prix de Revient]]*Devis[[#This Row],[Poste 1]]</f>
        <v>0</v>
      </c>
      <c r="W2214" s="74">
        <f>Devis[[#This Row],[Prix de Revient]]*Devis[[#This Row],[Poste 2]]</f>
        <v>0</v>
      </c>
      <c r="X2214" s="74">
        <f>Devis[[#This Row],[Prix de Revient]]*Devis[[#This Row],[Poste 3]]</f>
        <v>0</v>
      </c>
      <c r="Y2214" s="74">
        <f>Devis[[#This Row],[Poste 4]]*Devis[[#This Row],[Prix de Revient]]</f>
        <v>0</v>
      </c>
      <c r="Z2214" s="74">
        <f>Devis[[#This Row],[Poste 5]]*Devis[[#This Row],[Prix de Revient]]</f>
        <v>0</v>
      </c>
      <c r="AA2214" s="74">
        <f>Devis[[#This Row],[Prix de Revient]]*Devis[[#This Row],[Poste 6]]</f>
        <v>0</v>
      </c>
      <c r="AB2214" s="74">
        <f>Devis[[#This Row],[Quantité Totale]]*Devis[[#This Row],[Prix de Revient]]</f>
        <v>0</v>
      </c>
    </row>
    <row r="2215" spans="1:28" ht="15" customHeight="1" outlineLevel="1" x14ac:dyDescent="0.2">
      <c r="A2215" s="75" t="s">
        <v>2053</v>
      </c>
      <c r="B2215" s="76" t="s">
        <v>4089</v>
      </c>
      <c r="C2215" s="76"/>
      <c r="D2215" s="81" t="str">
        <f t="shared" si="38"/>
        <v>Inox SoudéBrides PB TOURNANTE Camier PN10</v>
      </c>
      <c r="E2215" s="76" t="s">
        <v>2098</v>
      </c>
      <c r="F2215" s="81">
        <v>7</v>
      </c>
      <c r="G2215" s="86" t="s">
        <v>2116</v>
      </c>
      <c r="H2215" s="71"/>
      <c r="I2215" s="75"/>
      <c r="J2215" s="70">
        <f>IFERROR(VLOOKUP(Devis[[#This Row],[Ref Air Flux]],#REF!,3,FALSE),0)</f>
        <v>0</v>
      </c>
      <c r="K2215" s="68"/>
      <c r="L2215" s="68"/>
      <c r="M2215" s="68"/>
      <c r="N2215" s="68"/>
      <c r="O2215" s="68"/>
      <c r="P2215" s="68"/>
      <c r="Q2215" s="68">
        <f>SUM(Devis[[#This Row],[Poste 1]:[Poste 6]])</f>
        <v>0</v>
      </c>
      <c r="R2215" s="111"/>
      <c r="S2215" s="68">
        <f>_xlfn.CEILING.MATH(Devis[[#This Row],[Quantité Totale]],Devis[[#This Row],[Conditionnement]])</f>
        <v>0</v>
      </c>
      <c r="T2215" s="72">
        <v>0.12</v>
      </c>
      <c r="U2215" s="106"/>
      <c r="V2215" s="74">
        <f>Devis[[#This Row],[Prix de Revient]]*Devis[[#This Row],[Poste 1]]</f>
        <v>0</v>
      </c>
      <c r="W2215" s="74">
        <f>Devis[[#This Row],[Prix de Revient]]*Devis[[#This Row],[Poste 2]]</f>
        <v>0</v>
      </c>
      <c r="X2215" s="74">
        <f>Devis[[#This Row],[Prix de Revient]]*Devis[[#This Row],[Poste 3]]</f>
        <v>0</v>
      </c>
      <c r="Y2215" s="74">
        <f>Devis[[#This Row],[Poste 4]]*Devis[[#This Row],[Prix de Revient]]</f>
        <v>0</v>
      </c>
      <c r="Z2215" s="74">
        <f>Devis[[#This Row],[Poste 5]]*Devis[[#This Row],[Prix de Revient]]</f>
        <v>0</v>
      </c>
      <c r="AA2215" s="74">
        <f>Devis[[#This Row],[Prix de Revient]]*Devis[[#This Row],[Poste 6]]</f>
        <v>0</v>
      </c>
      <c r="AB2215" s="74">
        <f>Devis[[#This Row],[Quantité Totale]]*Devis[[#This Row],[Prix de Revient]]</f>
        <v>0</v>
      </c>
    </row>
    <row r="2216" spans="1:28" ht="14.25" customHeight="1" outlineLevel="1" x14ac:dyDescent="0.2">
      <c r="A2216" s="75" t="s">
        <v>2053</v>
      </c>
      <c r="B2216" s="76" t="s">
        <v>4089</v>
      </c>
      <c r="C2216" s="76"/>
      <c r="D2216" s="81" t="str">
        <f t="shared" si="38"/>
        <v>Inox SoudéBrides PB TOURNANTE Camier PN10</v>
      </c>
      <c r="E2216" s="76" t="s">
        <v>2100</v>
      </c>
      <c r="F2216" s="81">
        <v>8</v>
      </c>
      <c r="G2216" s="86" t="s">
        <v>2117</v>
      </c>
      <c r="H2216" s="71"/>
      <c r="I2216" s="75"/>
      <c r="J2216" s="70">
        <f>IFERROR(VLOOKUP(Devis[[#This Row],[Ref Air Flux]],#REF!,3,FALSE),0)</f>
        <v>0</v>
      </c>
      <c r="K2216" s="68"/>
      <c r="L2216" s="68"/>
      <c r="M2216" s="68"/>
      <c r="N2216" s="68"/>
      <c r="O2216" s="68"/>
      <c r="P2216" s="68"/>
      <c r="Q2216" s="68">
        <f>SUM(Devis[[#This Row],[Poste 1]:[Poste 6]])</f>
        <v>0</v>
      </c>
      <c r="R2216" s="111"/>
      <c r="S2216" s="68">
        <f>_xlfn.CEILING.MATH(Devis[[#This Row],[Quantité Totale]],Devis[[#This Row],[Conditionnement]])</f>
        <v>0</v>
      </c>
      <c r="T2216" s="72">
        <v>0.12</v>
      </c>
      <c r="U2216" s="106"/>
      <c r="V2216" s="74">
        <f>Devis[[#This Row],[Prix de Revient]]*Devis[[#This Row],[Poste 1]]</f>
        <v>0</v>
      </c>
      <c r="W2216" s="74">
        <f>Devis[[#This Row],[Prix de Revient]]*Devis[[#This Row],[Poste 2]]</f>
        <v>0</v>
      </c>
      <c r="X2216" s="74">
        <f>Devis[[#This Row],[Prix de Revient]]*Devis[[#This Row],[Poste 3]]</f>
        <v>0</v>
      </c>
      <c r="Y2216" s="74">
        <f>Devis[[#This Row],[Poste 4]]*Devis[[#This Row],[Prix de Revient]]</f>
        <v>0</v>
      </c>
      <c r="Z2216" s="74">
        <f>Devis[[#This Row],[Poste 5]]*Devis[[#This Row],[Prix de Revient]]</f>
        <v>0</v>
      </c>
      <c r="AA2216" s="74">
        <f>Devis[[#This Row],[Prix de Revient]]*Devis[[#This Row],[Poste 6]]</f>
        <v>0</v>
      </c>
      <c r="AB2216" s="74">
        <f>Devis[[#This Row],[Quantité Totale]]*Devis[[#This Row],[Prix de Revient]]</f>
        <v>0</v>
      </c>
    </row>
    <row r="2217" spans="1:28" ht="15" customHeight="1" outlineLevel="1" x14ac:dyDescent="0.2">
      <c r="A2217" s="75" t="s">
        <v>2053</v>
      </c>
      <c r="B2217" s="76" t="s">
        <v>4089</v>
      </c>
      <c r="C2217" s="76"/>
      <c r="D2217" s="81" t="str">
        <f t="shared" si="38"/>
        <v>Inox SoudéBrides PB TOURNANTE Camier PN10</v>
      </c>
      <c r="E2217" s="76" t="s">
        <v>2102</v>
      </c>
      <c r="F2217" s="81">
        <v>9</v>
      </c>
      <c r="G2217" s="86" t="s">
        <v>2118</v>
      </c>
      <c r="H2217" s="71"/>
      <c r="I2217" s="75"/>
      <c r="J2217" s="70">
        <f>IFERROR(VLOOKUP(Devis[[#This Row],[Ref Air Flux]],#REF!,3,FALSE),0)</f>
        <v>0</v>
      </c>
      <c r="K2217" s="68"/>
      <c r="L2217" s="68"/>
      <c r="M2217" s="68"/>
      <c r="N2217" s="68"/>
      <c r="O2217" s="68"/>
      <c r="P2217" s="68"/>
      <c r="Q2217" s="68">
        <f>SUM(Devis[[#This Row],[Poste 1]:[Poste 6]])</f>
        <v>0</v>
      </c>
      <c r="R2217" s="111"/>
      <c r="S2217" s="68">
        <f>_xlfn.CEILING.MATH(Devis[[#This Row],[Quantité Totale]],Devis[[#This Row],[Conditionnement]])</f>
        <v>0</v>
      </c>
      <c r="T2217" s="72">
        <v>0.12</v>
      </c>
      <c r="U2217" s="106"/>
      <c r="V2217" s="74">
        <f>Devis[[#This Row],[Prix de Revient]]*Devis[[#This Row],[Poste 1]]</f>
        <v>0</v>
      </c>
      <c r="W2217" s="74">
        <f>Devis[[#This Row],[Prix de Revient]]*Devis[[#This Row],[Poste 2]]</f>
        <v>0</v>
      </c>
      <c r="X2217" s="74">
        <f>Devis[[#This Row],[Prix de Revient]]*Devis[[#This Row],[Poste 3]]</f>
        <v>0</v>
      </c>
      <c r="Y2217" s="74">
        <f>Devis[[#This Row],[Poste 4]]*Devis[[#This Row],[Prix de Revient]]</f>
        <v>0</v>
      </c>
      <c r="Z2217" s="74">
        <f>Devis[[#This Row],[Poste 5]]*Devis[[#This Row],[Prix de Revient]]</f>
        <v>0</v>
      </c>
      <c r="AA2217" s="74">
        <f>Devis[[#This Row],[Prix de Revient]]*Devis[[#This Row],[Poste 6]]</f>
        <v>0</v>
      </c>
      <c r="AB2217" s="74">
        <f>Devis[[#This Row],[Quantité Totale]]*Devis[[#This Row],[Prix de Revient]]</f>
        <v>0</v>
      </c>
    </row>
    <row r="2218" spans="1:28" ht="14.25" outlineLevel="1" x14ac:dyDescent="0.2">
      <c r="A2218" s="75" t="s">
        <v>2053</v>
      </c>
      <c r="B2218" s="76" t="s">
        <v>4089</v>
      </c>
      <c r="C2218" s="76"/>
      <c r="D2218" s="81" t="str">
        <f t="shared" si="38"/>
        <v>Inox SoudéBrides PB TOURNANTE Camier PN10</v>
      </c>
      <c r="E2218" s="76" t="s">
        <v>2104</v>
      </c>
      <c r="F2218" s="81">
        <v>10</v>
      </c>
      <c r="G2218" s="86" t="s">
        <v>2119</v>
      </c>
      <c r="H2218" s="71"/>
      <c r="I2218" s="75"/>
      <c r="J2218" s="70">
        <f>IFERROR(VLOOKUP(Devis[[#This Row],[Ref Air Flux]],#REF!,3,FALSE),0)</f>
        <v>0</v>
      </c>
      <c r="K2218" s="68"/>
      <c r="L2218" s="68"/>
      <c r="M2218" s="68"/>
      <c r="N2218" s="68"/>
      <c r="O2218" s="68"/>
      <c r="P2218" s="68"/>
      <c r="Q2218" s="68">
        <f>SUM(Devis[[#This Row],[Poste 1]:[Poste 6]])</f>
        <v>0</v>
      </c>
      <c r="R2218" s="111"/>
      <c r="S2218" s="68">
        <f>_xlfn.CEILING.MATH(Devis[[#This Row],[Quantité Totale]],Devis[[#This Row],[Conditionnement]])</f>
        <v>0</v>
      </c>
      <c r="T2218" s="72">
        <v>0.24</v>
      </c>
      <c r="U2218" s="106"/>
      <c r="V2218" s="74">
        <f>Devis[[#This Row],[Prix de Revient]]*Devis[[#This Row],[Poste 1]]</f>
        <v>0</v>
      </c>
      <c r="W2218" s="74">
        <f>Devis[[#This Row],[Prix de Revient]]*Devis[[#This Row],[Poste 2]]</f>
        <v>0</v>
      </c>
      <c r="X2218" s="74">
        <f>Devis[[#This Row],[Prix de Revient]]*Devis[[#This Row],[Poste 3]]</f>
        <v>0</v>
      </c>
      <c r="Y2218" s="74">
        <f>Devis[[#This Row],[Poste 4]]*Devis[[#This Row],[Prix de Revient]]</f>
        <v>0</v>
      </c>
      <c r="Z2218" s="74">
        <f>Devis[[#This Row],[Poste 5]]*Devis[[#This Row],[Prix de Revient]]</f>
        <v>0</v>
      </c>
      <c r="AA2218" s="74">
        <f>Devis[[#This Row],[Prix de Revient]]*Devis[[#This Row],[Poste 6]]</f>
        <v>0</v>
      </c>
      <c r="AB2218" s="74">
        <f>Devis[[#This Row],[Quantité Totale]]*Devis[[#This Row],[Prix de Revient]]</f>
        <v>0</v>
      </c>
    </row>
    <row r="2219" spans="1:28" ht="15" customHeight="1" x14ac:dyDescent="0.25">
      <c r="A2219" s="65" t="s">
        <v>2053</v>
      </c>
      <c r="B2219" s="65" t="s">
        <v>2127</v>
      </c>
      <c r="C2219" s="76"/>
      <c r="D2219" s="81" t="str">
        <f t="shared" si="38"/>
        <v>Inox SoudéCollets 304L</v>
      </c>
      <c r="E2219" s="76"/>
      <c r="F2219" s="81">
        <v>0</v>
      </c>
      <c r="G2219" s="86"/>
      <c r="H2219" s="71"/>
      <c r="I2219" s="75"/>
      <c r="J2219" s="70">
        <f>IFERROR(VLOOKUP(Devis[[#This Row],[Ref Air Flux]],#REF!,3,FALSE),0)</f>
        <v>0</v>
      </c>
      <c r="K2219" s="68"/>
      <c r="L2219" s="68"/>
      <c r="M2219" s="68"/>
      <c r="N2219" s="68"/>
      <c r="O2219" s="68"/>
      <c r="P2219" s="68"/>
      <c r="Q2219" s="68">
        <f>SUM(Devis[[#This Row],[Poste 1]:[Poste 6]])</f>
        <v>0</v>
      </c>
      <c r="R2219" s="111"/>
      <c r="S2219" s="68">
        <f>_xlfn.CEILING.MATH(Devis[[#This Row],[Quantité Totale]],Devis[[#This Row],[Conditionnement]])</f>
        <v>0</v>
      </c>
      <c r="T2219" s="72"/>
      <c r="U2219" s="106"/>
      <c r="V2219" s="74">
        <f>Devis[[#This Row],[Prix de Revient]]*Devis[[#This Row],[Poste 1]]</f>
        <v>0</v>
      </c>
      <c r="W2219" s="74">
        <f>Devis[[#This Row],[Prix de Revient]]*Devis[[#This Row],[Poste 2]]</f>
        <v>0</v>
      </c>
      <c r="X2219" s="74">
        <f>Devis[[#This Row],[Prix de Revient]]*Devis[[#This Row],[Poste 3]]</f>
        <v>0</v>
      </c>
      <c r="Y2219" s="74">
        <f>Devis[[#This Row],[Poste 4]]*Devis[[#This Row],[Prix de Revient]]</f>
        <v>0</v>
      </c>
      <c r="Z2219" s="74">
        <f>Devis[[#This Row],[Poste 5]]*Devis[[#This Row],[Prix de Revient]]</f>
        <v>0</v>
      </c>
      <c r="AA2219" s="74">
        <f>Devis[[#This Row],[Prix de Revient]]*Devis[[#This Row],[Poste 6]]</f>
        <v>0</v>
      </c>
      <c r="AB2219" s="74">
        <f>Devis[[#This Row],[Quantité Totale]]*Devis[[#This Row],[Prix de Revient]]</f>
        <v>0</v>
      </c>
    </row>
    <row r="2220" spans="1:28" ht="14.25" outlineLevel="1" x14ac:dyDescent="0.2">
      <c r="A2220" s="75" t="s">
        <v>2053</v>
      </c>
      <c r="B2220" s="76" t="s">
        <v>2127</v>
      </c>
      <c r="C2220" s="76"/>
      <c r="D2220" s="81" t="str">
        <f t="shared" si="38"/>
        <v>Inox SoudéCollets 304L</v>
      </c>
      <c r="E2220" s="76" t="s">
        <v>0</v>
      </c>
      <c r="F2220" s="81">
        <v>1</v>
      </c>
      <c r="G2220" s="86" t="s">
        <v>2132</v>
      </c>
      <c r="H2220" s="71"/>
      <c r="I2220" s="75"/>
      <c r="J2220" s="70">
        <f>IFERROR(VLOOKUP(Devis[[#This Row],[Ref Air Flux]],#REF!,3,FALSE),0)</f>
        <v>0</v>
      </c>
      <c r="K2220" s="68"/>
      <c r="L2220" s="68"/>
      <c r="M2220" s="68"/>
      <c r="N2220" s="68"/>
      <c r="O2220" s="68"/>
      <c r="P2220" s="68"/>
      <c r="Q2220" s="68">
        <f>SUM(Devis[[#This Row],[Poste 1]:[Poste 6]])</f>
        <v>0</v>
      </c>
      <c r="R2220" s="111"/>
      <c r="S2220" s="68">
        <f>_xlfn.CEILING.MATH(Devis[[#This Row],[Quantité Totale]],Devis[[#This Row],[Conditionnement]])</f>
        <v>0</v>
      </c>
      <c r="T2220" s="72">
        <v>0.5</v>
      </c>
      <c r="U2220" s="106"/>
      <c r="V2220" s="74">
        <f>Devis[[#This Row],[Prix de Revient]]*Devis[[#This Row],[Poste 1]]</f>
        <v>0</v>
      </c>
      <c r="W2220" s="74">
        <f>Devis[[#This Row],[Prix de Revient]]*Devis[[#This Row],[Poste 2]]</f>
        <v>0</v>
      </c>
      <c r="X2220" s="74">
        <f>Devis[[#This Row],[Prix de Revient]]*Devis[[#This Row],[Poste 3]]</f>
        <v>0</v>
      </c>
      <c r="Y2220" s="74">
        <f>Devis[[#This Row],[Poste 4]]*Devis[[#This Row],[Prix de Revient]]</f>
        <v>0</v>
      </c>
      <c r="Z2220" s="74">
        <f>Devis[[#This Row],[Poste 5]]*Devis[[#This Row],[Prix de Revient]]</f>
        <v>0</v>
      </c>
      <c r="AA2220" s="74">
        <f>Devis[[#This Row],[Prix de Revient]]*Devis[[#This Row],[Poste 6]]</f>
        <v>0</v>
      </c>
      <c r="AB2220" s="74">
        <f>Devis[[#This Row],[Quantité Totale]]*Devis[[#This Row],[Prix de Revient]]</f>
        <v>0</v>
      </c>
    </row>
    <row r="2221" spans="1:28" ht="14.25" outlineLevel="1" x14ac:dyDescent="0.2">
      <c r="A2221" s="75" t="s">
        <v>2053</v>
      </c>
      <c r="B2221" s="76" t="s">
        <v>2127</v>
      </c>
      <c r="C2221" s="76"/>
      <c r="D2221" s="81" t="str">
        <f t="shared" si="38"/>
        <v>Inox SoudéCollets 304L</v>
      </c>
      <c r="E2221" s="76" t="s">
        <v>25</v>
      </c>
      <c r="F2221" s="81">
        <v>2</v>
      </c>
      <c r="G2221" s="86" t="s">
        <v>2135</v>
      </c>
      <c r="H2221" s="71"/>
      <c r="I2221" s="75"/>
      <c r="J2221" s="70">
        <f>IFERROR(VLOOKUP(Devis[[#This Row],[Ref Air Flux]],#REF!,3,FALSE),0)</f>
        <v>0</v>
      </c>
      <c r="K2221" s="68"/>
      <c r="L2221" s="68"/>
      <c r="M2221" s="68"/>
      <c r="N2221" s="68"/>
      <c r="O2221" s="68"/>
      <c r="P2221" s="68"/>
      <c r="Q2221" s="68">
        <f>SUM(Devis[[#This Row],[Poste 1]:[Poste 6]])</f>
        <v>0</v>
      </c>
      <c r="R2221" s="111"/>
      <c r="S2221" s="68">
        <f>_xlfn.CEILING.MATH(Devis[[#This Row],[Quantité Totale]],Devis[[#This Row],[Conditionnement]])</f>
        <v>0</v>
      </c>
      <c r="T2221" s="72">
        <v>1</v>
      </c>
      <c r="U2221" s="106"/>
      <c r="V2221" s="74">
        <f>Devis[[#This Row],[Prix de Revient]]*Devis[[#This Row],[Poste 1]]</f>
        <v>0</v>
      </c>
      <c r="W2221" s="74">
        <f>Devis[[#This Row],[Prix de Revient]]*Devis[[#This Row],[Poste 2]]</f>
        <v>0</v>
      </c>
      <c r="X2221" s="74">
        <f>Devis[[#This Row],[Prix de Revient]]*Devis[[#This Row],[Poste 3]]</f>
        <v>0</v>
      </c>
      <c r="Y2221" s="74">
        <f>Devis[[#This Row],[Poste 4]]*Devis[[#This Row],[Prix de Revient]]</f>
        <v>0</v>
      </c>
      <c r="Z2221" s="74">
        <f>Devis[[#This Row],[Poste 5]]*Devis[[#This Row],[Prix de Revient]]</f>
        <v>0</v>
      </c>
      <c r="AA2221" s="74">
        <f>Devis[[#This Row],[Prix de Revient]]*Devis[[#This Row],[Poste 6]]</f>
        <v>0</v>
      </c>
      <c r="AB2221" s="74">
        <f>Devis[[#This Row],[Quantité Totale]]*Devis[[#This Row],[Prix de Revient]]</f>
        <v>0</v>
      </c>
    </row>
    <row r="2222" spans="1:28" ht="14.25" outlineLevel="1" x14ac:dyDescent="0.2">
      <c r="A2222" s="75" t="s">
        <v>2053</v>
      </c>
      <c r="B2222" s="76" t="s">
        <v>2127</v>
      </c>
      <c r="C2222" s="76"/>
      <c r="D2222" s="81" t="str">
        <f t="shared" si="38"/>
        <v>Inox SoudéCollets 304L</v>
      </c>
      <c r="E2222" s="76" t="s">
        <v>2108</v>
      </c>
      <c r="F2222" s="81">
        <v>3</v>
      </c>
      <c r="G2222" s="86" t="s">
        <v>2136</v>
      </c>
      <c r="H2222" s="71"/>
      <c r="I2222" s="75"/>
      <c r="J2222" s="70">
        <f>IFERROR(VLOOKUP(Devis[[#This Row],[Ref Air Flux]],#REF!,3,FALSE),0)</f>
        <v>0</v>
      </c>
      <c r="K2222" s="68"/>
      <c r="L2222" s="68"/>
      <c r="M2222" s="68"/>
      <c r="N2222" s="68"/>
      <c r="O2222" s="68"/>
      <c r="P2222" s="68"/>
      <c r="Q2222" s="68">
        <f>SUM(Devis[[#This Row],[Poste 1]:[Poste 6]])</f>
        <v>0</v>
      </c>
      <c r="R2222" s="111"/>
      <c r="S2222" s="68">
        <f>_xlfn.CEILING.MATH(Devis[[#This Row],[Quantité Totale]],Devis[[#This Row],[Conditionnement]])</f>
        <v>0</v>
      </c>
      <c r="T2222" s="72">
        <v>1.25</v>
      </c>
      <c r="U2222" s="106"/>
      <c r="V2222" s="74">
        <f>Devis[[#This Row],[Prix de Revient]]*Devis[[#This Row],[Poste 1]]</f>
        <v>0</v>
      </c>
      <c r="W2222" s="74">
        <f>Devis[[#This Row],[Prix de Revient]]*Devis[[#This Row],[Poste 2]]</f>
        <v>0</v>
      </c>
      <c r="X2222" s="74">
        <f>Devis[[#This Row],[Prix de Revient]]*Devis[[#This Row],[Poste 3]]</f>
        <v>0</v>
      </c>
      <c r="Y2222" s="74">
        <f>Devis[[#This Row],[Poste 4]]*Devis[[#This Row],[Prix de Revient]]</f>
        <v>0</v>
      </c>
      <c r="Z2222" s="74">
        <f>Devis[[#This Row],[Poste 5]]*Devis[[#This Row],[Prix de Revient]]</f>
        <v>0</v>
      </c>
      <c r="AA2222" s="74">
        <f>Devis[[#This Row],[Prix de Revient]]*Devis[[#This Row],[Poste 6]]</f>
        <v>0</v>
      </c>
      <c r="AB2222" s="74">
        <f>Devis[[#This Row],[Quantité Totale]]*Devis[[#This Row],[Prix de Revient]]</f>
        <v>0</v>
      </c>
    </row>
    <row r="2223" spans="1:28" ht="14.25" outlineLevel="1" x14ac:dyDescent="0.2">
      <c r="A2223" s="75" t="s">
        <v>2053</v>
      </c>
      <c r="B2223" s="76" t="s">
        <v>2127</v>
      </c>
      <c r="C2223" s="76"/>
      <c r="D2223" s="81" t="str">
        <f t="shared" si="38"/>
        <v>Inox SoudéCollets 304L</v>
      </c>
      <c r="E2223" s="76" t="s">
        <v>2122</v>
      </c>
      <c r="F2223" s="81">
        <v>4</v>
      </c>
      <c r="G2223" s="86" t="s">
        <v>2137</v>
      </c>
      <c r="H2223" s="71"/>
      <c r="I2223" s="75"/>
      <c r="J2223" s="70">
        <f>IFERROR(VLOOKUP(Devis[[#This Row],[Ref Air Flux]],#REF!,3,FALSE),0)</f>
        <v>0</v>
      </c>
      <c r="K2223" s="68"/>
      <c r="L2223" s="68"/>
      <c r="M2223" s="68"/>
      <c r="N2223" s="68"/>
      <c r="O2223" s="68"/>
      <c r="P2223" s="68"/>
      <c r="Q2223" s="68">
        <f>SUM(Devis[[#This Row],[Poste 1]:[Poste 6]])</f>
        <v>0</v>
      </c>
      <c r="R2223" s="111"/>
      <c r="S2223" s="68">
        <f>_xlfn.CEILING.MATH(Devis[[#This Row],[Quantité Totale]],Devis[[#This Row],[Conditionnement]])</f>
        <v>0</v>
      </c>
      <c r="T2223" s="72">
        <v>1.5</v>
      </c>
      <c r="U2223" s="106"/>
      <c r="V2223" s="74">
        <f>Devis[[#This Row],[Prix de Revient]]*Devis[[#This Row],[Poste 1]]</f>
        <v>0</v>
      </c>
      <c r="W2223" s="74">
        <f>Devis[[#This Row],[Prix de Revient]]*Devis[[#This Row],[Poste 2]]</f>
        <v>0</v>
      </c>
      <c r="X2223" s="74">
        <f>Devis[[#This Row],[Prix de Revient]]*Devis[[#This Row],[Poste 3]]</f>
        <v>0</v>
      </c>
      <c r="Y2223" s="74">
        <f>Devis[[#This Row],[Poste 4]]*Devis[[#This Row],[Prix de Revient]]</f>
        <v>0</v>
      </c>
      <c r="Z2223" s="74">
        <f>Devis[[#This Row],[Poste 5]]*Devis[[#This Row],[Prix de Revient]]</f>
        <v>0</v>
      </c>
      <c r="AA2223" s="74">
        <f>Devis[[#This Row],[Prix de Revient]]*Devis[[#This Row],[Poste 6]]</f>
        <v>0</v>
      </c>
      <c r="AB2223" s="74">
        <f>Devis[[#This Row],[Quantité Totale]]*Devis[[#This Row],[Prix de Revient]]</f>
        <v>0</v>
      </c>
    </row>
    <row r="2224" spans="1:28" ht="14.25" outlineLevel="1" x14ac:dyDescent="0.2">
      <c r="A2224" s="75" t="s">
        <v>2053</v>
      </c>
      <c r="B2224" s="76" t="s">
        <v>2127</v>
      </c>
      <c r="C2224" s="76"/>
      <c r="D2224" s="81" t="str">
        <f t="shared" si="38"/>
        <v>Inox SoudéCollets 304L</v>
      </c>
      <c r="E2224" s="76" t="s">
        <v>554</v>
      </c>
      <c r="F2224" s="81">
        <v>5</v>
      </c>
      <c r="G2224" s="86" t="s">
        <v>2138</v>
      </c>
      <c r="H2224" s="71"/>
      <c r="I2224" s="75"/>
      <c r="J2224" s="70">
        <f>IFERROR(VLOOKUP(Devis[[#This Row],[Ref Air Flux]],#REF!,3,FALSE),0)</f>
        <v>0</v>
      </c>
      <c r="K2224" s="68"/>
      <c r="L2224" s="68"/>
      <c r="M2224" s="68"/>
      <c r="N2224" s="68"/>
      <c r="O2224" s="68"/>
      <c r="P2224" s="68"/>
      <c r="Q2224" s="68">
        <f>SUM(Devis[[#This Row],[Poste 1]:[Poste 6]])</f>
        <v>0</v>
      </c>
      <c r="R2224" s="111"/>
      <c r="S2224" s="68">
        <f>_xlfn.CEILING.MATH(Devis[[#This Row],[Quantité Totale]],Devis[[#This Row],[Conditionnement]])</f>
        <v>0</v>
      </c>
      <c r="T2224" s="72">
        <v>2</v>
      </c>
      <c r="U2224" s="106"/>
      <c r="V2224" s="74">
        <f>Devis[[#This Row],[Prix de Revient]]*Devis[[#This Row],[Poste 1]]</f>
        <v>0</v>
      </c>
      <c r="W2224" s="74">
        <f>Devis[[#This Row],[Prix de Revient]]*Devis[[#This Row],[Poste 2]]</f>
        <v>0</v>
      </c>
      <c r="X2224" s="74">
        <f>Devis[[#This Row],[Prix de Revient]]*Devis[[#This Row],[Poste 3]]</f>
        <v>0</v>
      </c>
      <c r="Y2224" s="74">
        <f>Devis[[#This Row],[Poste 4]]*Devis[[#This Row],[Prix de Revient]]</f>
        <v>0</v>
      </c>
      <c r="Z2224" s="74">
        <f>Devis[[#This Row],[Poste 5]]*Devis[[#This Row],[Prix de Revient]]</f>
        <v>0</v>
      </c>
      <c r="AA2224" s="74">
        <f>Devis[[#This Row],[Prix de Revient]]*Devis[[#This Row],[Poste 6]]</f>
        <v>0</v>
      </c>
      <c r="AB2224" s="74">
        <f>Devis[[#This Row],[Quantité Totale]]*Devis[[#This Row],[Prix de Revient]]</f>
        <v>0</v>
      </c>
    </row>
    <row r="2225" spans="1:28" ht="15" customHeight="1" outlineLevel="1" x14ac:dyDescent="0.2">
      <c r="A2225" s="75" t="s">
        <v>2053</v>
      </c>
      <c r="B2225" s="76" t="s">
        <v>2127</v>
      </c>
      <c r="C2225" s="76"/>
      <c r="D2225" s="81" t="str">
        <f t="shared" si="38"/>
        <v>Inox SoudéCollets 304L</v>
      </c>
      <c r="E2225" s="76" t="s">
        <v>2128</v>
      </c>
      <c r="F2225" s="81">
        <v>6</v>
      </c>
      <c r="G2225" s="108" t="s">
        <v>2129</v>
      </c>
      <c r="H2225" s="71"/>
      <c r="I2225" s="75"/>
      <c r="J2225" s="70">
        <f>IFERROR(VLOOKUP(Devis[[#This Row],[Ref Air Flux]],#REF!,3,FALSE),0)</f>
        <v>0</v>
      </c>
      <c r="K2225" s="68"/>
      <c r="L2225" s="68"/>
      <c r="M2225" s="68"/>
      <c r="N2225" s="68"/>
      <c r="O2225" s="68"/>
      <c r="P2225" s="68"/>
      <c r="Q2225" s="68">
        <f>SUM(Devis[[#This Row],[Poste 1]:[Poste 6]])</f>
        <v>0</v>
      </c>
      <c r="R2225" s="111"/>
      <c r="S2225" s="68">
        <f>_xlfn.CEILING.MATH(Devis[[#This Row],[Quantité Totale]],Devis[[#This Row],[Conditionnement]])</f>
        <v>0</v>
      </c>
      <c r="T2225" s="72">
        <v>0.25</v>
      </c>
      <c r="U2225" s="106"/>
      <c r="V2225" s="74">
        <f>Devis[[#This Row],[Prix de Revient]]*Devis[[#This Row],[Poste 1]]</f>
        <v>0</v>
      </c>
      <c r="W2225" s="74">
        <f>Devis[[#This Row],[Prix de Revient]]*Devis[[#This Row],[Poste 2]]</f>
        <v>0</v>
      </c>
      <c r="X2225" s="74">
        <f>Devis[[#This Row],[Prix de Revient]]*Devis[[#This Row],[Poste 3]]</f>
        <v>0</v>
      </c>
      <c r="Y2225" s="74">
        <f>Devis[[#This Row],[Poste 4]]*Devis[[#This Row],[Prix de Revient]]</f>
        <v>0</v>
      </c>
      <c r="Z2225" s="74">
        <f>Devis[[#This Row],[Poste 5]]*Devis[[#This Row],[Prix de Revient]]</f>
        <v>0</v>
      </c>
      <c r="AA2225" s="74">
        <f>Devis[[#This Row],[Prix de Revient]]*Devis[[#This Row],[Poste 6]]</f>
        <v>0</v>
      </c>
      <c r="AB2225" s="74">
        <f>Devis[[#This Row],[Quantité Totale]]*Devis[[#This Row],[Prix de Revient]]</f>
        <v>0</v>
      </c>
    </row>
    <row r="2226" spans="1:28" ht="14.25" customHeight="1" outlineLevel="1" x14ac:dyDescent="0.2">
      <c r="A2226" s="75" t="s">
        <v>2053</v>
      </c>
      <c r="B2226" s="76" t="s">
        <v>2127</v>
      </c>
      <c r="C2226" s="76"/>
      <c r="D2226" s="81" t="str">
        <f t="shared" si="38"/>
        <v>Inox SoudéCollets 304L</v>
      </c>
      <c r="E2226" s="76" t="s">
        <v>20</v>
      </c>
      <c r="F2226" s="81">
        <v>7</v>
      </c>
      <c r="G2226" s="86" t="s">
        <v>2130</v>
      </c>
      <c r="H2226" s="71"/>
      <c r="I2226" s="75"/>
      <c r="J2226" s="70">
        <f>IFERROR(VLOOKUP(Devis[[#This Row],[Ref Air Flux]],#REF!,3,FALSE),0)</f>
        <v>0</v>
      </c>
      <c r="K2226" s="68"/>
      <c r="L2226" s="68"/>
      <c r="M2226" s="68"/>
      <c r="N2226" s="68"/>
      <c r="O2226" s="68"/>
      <c r="P2226" s="68"/>
      <c r="Q2226" s="68">
        <f>SUM(Devis[[#This Row],[Poste 1]:[Poste 6]])</f>
        <v>0</v>
      </c>
      <c r="R2226" s="111"/>
      <c r="S2226" s="68">
        <f>_xlfn.CEILING.MATH(Devis[[#This Row],[Quantité Totale]],Devis[[#This Row],[Conditionnement]])</f>
        <v>0</v>
      </c>
      <c r="T2226" s="72">
        <v>0.3</v>
      </c>
      <c r="U2226" s="106"/>
      <c r="V2226" s="74">
        <f>Devis[[#This Row],[Prix de Revient]]*Devis[[#This Row],[Poste 1]]</f>
        <v>0</v>
      </c>
      <c r="W2226" s="74">
        <f>Devis[[#This Row],[Prix de Revient]]*Devis[[#This Row],[Poste 2]]</f>
        <v>0</v>
      </c>
      <c r="X2226" s="74">
        <f>Devis[[#This Row],[Prix de Revient]]*Devis[[#This Row],[Poste 3]]</f>
        <v>0</v>
      </c>
      <c r="Y2226" s="74">
        <f>Devis[[#This Row],[Poste 4]]*Devis[[#This Row],[Prix de Revient]]</f>
        <v>0</v>
      </c>
      <c r="Z2226" s="74">
        <f>Devis[[#This Row],[Poste 5]]*Devis[[#This Row],[Prix de Revient]]</f>
        <v>0</v>
      </c>
      <c r="AA2226" s="74">
        <f>Devis[[#This Row],[Prix de Revient]]*Devis[[#This Row],[Poste 6]]</f>
        <v>0</v>
      </c>
      <c r="AB2226" s="74">
        <f>Devis[[#This Row],[Quantité Totale]]*Devis[[#This Row],[Prix de Revient]]</f>
        <v>0</v>
      </c>
    </row>
    <row r="2227" spans="1:28" ht="14.25" outlineLevel="1" x14ac:dyDescent="0.2">
      <c r="A2227" s="75" t="s">
        <v>2053</v>
      </c>
      <c r="B2227" s="76" t="s">
        <v>2127</v>
      </c>
      <c r="C2227" s="76"/>
      <c r="D2227" s="81" t="str">
        <f t="shared" si="38"/>
        <v>Inox SoudéCollets 304L</v>
      </c>
      <c r="E2227" s="76" t="s">
        <v>21</v>
      </c>
      <c r="F2227" s="81">
        <v>8</v>
      </c>
      <c r="G2227" s="86" t="s">
        <v>2131</v>
      </c>
      <c r="H2227" s="71"/>
      <c r="I2227" s="75"/>
      <c r="J2227" s="70">
        <f>IFERROR(VLOOKUP(Devis[[#This Row],[Ref Air Flux]],#REF!,3,FALSE),0)</f>
        <v>0</v>
      </c>
      <c r="K2227" s="68"/>
      <c r="L2227" s="68"/>
      <c r="M2227" s="68"/>
      <c r="N2227" s="68"/>
      <c r="O2227" s="68"/>
      <c r="P2227" s="68"/>
      <c r="Q2227" s="68">
        <f>SUM(Devis[[#This Row],[Poste 1]:[Poste 6]])</f>
        <v>0</v>
      </c>
      <c r="R2227" s="111"/>
      <c r="S2227" s="68">
        <f>_xlfn.CEILING.MATH(Devis[[#This Row],[Quantité Totale]],Devis[[#This Row],[Conditionnement]])</f>
        <v>0</v>
      </c>
      <c r="T2227" s="72">
        <v>0.35</v>
      </c>
      <c r="U2227" s="106"/>
      <c r="V2227" s="74">
        <f>Devis[[#This Row],[Prix de Revient]]*Devis[[#This Row],[Poste 1]]</f>
        <v>0</v>
      </c>
      <c r="W2227" s="74">
        <f>Devis[[#This Row],[Prix de Revient]]*Devis[[#This Row],[Poste 2]]</f>
        <v>0</v>
      </c>
      <c r="X2227" s="74">
        <f>Devis[[#This Row],[Prix de Revient]]*Devis[[#This Row],[Poste 3]]</f>
        <v>0</v>
      </c>
      <c r="Y2227" s="74">
        <f>Devis[[#This Row],[Poste 4]]*Devis[[#This Row],[Prix de Revient]]</f>
        <v>0</v>
      </c>
      <c r="Z2227" s="74">
        <f>Devis[[#This Row],[Poste 5]]*Devis[[#This Row],[Prix de Revient]]</f>
        <v>0</v>
      </c>
      <c r="AA2227" s="74">
        <f>Devis[[#This Row],[Prix de Revient]]*Devis[[#This Row],[Poste 6]]</f>
        <v>0</v>
      </c>
      <c r="AB2227" s="74">
        <f>Devis[[#This Row],[Quantité Totale]]*Devis[[#This Row],[Prix de Revient]]</f>
        <v>0</v>
      </c>
    </row>
    <row r="2228" spans="1:28" ht="14.25" outlineLevel="1" x14ac:dyDescent="0.2">
      <c r="A2228" s="75" t="s">
        <v>2053</v>
      </c>
      <c r="B2228" s="76" t="s">
        <v>2127</v>
      </c>
      <c r="C2228" s="76"/>
      <c r="D2228" s="81" t="str">
        <f t="shared" si="38"/>
        <v>Inox SoudéCollets 304L</v>
      </c>
      <c r="E2228" s="76" t="s">
        <v>49</v>
      </c>
      <c r="F2228" s="81">
        <v>9</v>
      </c>
      <c r="G2228" s="86" t="s">
        <v>2133</v>
      </c>
      <c r="H2228" s="71"/>
      <c r="I2228" s="75"/>
      <c r="J2228" s="70">
        <f>IFERROR(VLOOKUP(Devis[[#This Row],[Ref Air Flux]],#REF!,3,FALSE),0)</f>
        <v>0</v>
      </c>
      <c r="K2228" s="68"/>
      <c r="L2228" s="68"/>
      <c r="M2228" s="68"/>
      <c r="N2228" s="68"/>
      <c r="O2228" s="68"/>
      <c r="P2228" s="68"/>
      <c r="Q2228" s="68">
        <f>SUM(Devis[[#This Row],[Poste 1]:[Poste 6]])</f>
        <v>0</v>
      </c>
      <c r="R2228" s="111"/>
      <c r="S2228" s="68">
        <f>_xlfn.CEILING.MATH(Devis[[#This Row],[Quantité Totale]],Devis[[#This Row],[Conditionnement]])</f>
        <v>0</v>
      </c>
      <c r="T2228" s="72">
        <v>0.6</v>
      </c>
      <c r="U2228" s="106"/>
      <c r="V2228" s="74">
        <f>Devis[[#This Row],[Prix de Revient]]*Devis[[#This Row],[Poste 1]]</f>
        <v>0</v>
      </c>
      <c r="W2228" s="74">
        <f>Devis[[#This Row],[Prix de Revient]]*Devis[[#This Row],[Poste 2]]</f>
        <v>0</v>
      </c>
      <c r="X2228" s="74">
        <f>Devis[[#This Row],[Prix de Revient]]*Devis[[#This Row],[Poste 3]]</f>
        <v>0</v>
      </c>
      <c r="Y2228" s="74">
        <f>Devis[[#This Row],[Poste 4]]*Devis[[#This Row],[Prix de Revient]]</f>
        <v>0</v>
      </c>
      <c r="Z2228" s="74">
        <f>Devis[[#This Row],[Poste 5]]*Devis[[#This Row],[Prix de Revient]]</f>
        <v>0</v>
      </c>
      <c r="AA2228" s="74">
        <f>Devis[[#This Row],[Prix de Revient]]*Devis[[#This Row],[Poste 6]]</f>
        <v>0</v>
      </c>
      <c r="AB2228" s="74">
        <f>Devis[[#This Row],[Quantité Totale]]*Devis[[#This Row],[Prix de Revient]]</f>
        <v>0</v>
      </c>
    </row>
    <row r="2229" spans="1:28" ht="15" customHeight="1" outlineLevel="1" x14ac:dyDescent="0.2">
      <c r="A2229" s="75" t="s">
        <v>2053</v>
      </c>
      <c r="B2229" s="76" t="s">
        <v>2127</v>
      </c>
      <c r="C2229" s="76"/>
      <c r="D2229" s="81" t="str">
        <f t="shared" si="38"/>
        <v>Inox SoudéCollets 304L</v>
      </c>
      <c r="E2229" s="76" t="s">
        <v>22</v>
      </c>
      <c r="F2229" s="81">
        <v>10</v>
      </c>
      <c r="G2229" s="86" t="s">
        <v>2134</v>
      </c>
      <c r="H2229" s="71"/>
      <c r="I2229" s="75"/>
      <c r="J2229" s="70">
        <f>IFERROR(VLOOKUP(Devis[[#This Row],[Ref Air Flux]],#REF!,3,FALSE),0)</f>
        <v>0</v>
      </c>
      <c r="K2229" s="68"/>
      <c r="L2229" s="68"/>
      <c r="M2229" s="68"/>
      <c r="N2229" s="68"/>
      <c r="O2229" s="68"/>
      <c r="P2229" s="68"/>
      <c r="Q2229" s="68">
        <f>SUM(Devis[[#This Row],[Poste 1]:[Poste 6]])</f>
        <v>0</v>
      </c>
      <c r="R2229" s="111"/>
      <c r="S2229" s="68">
        <f>_xlfn.CEILING.MATH(Devis[[#This Row],[Quantité Totale]],Devis[[#This Row],[Conditionnement]])</f>
        <v>0</v>
      </c>
      <c r="T2229" s="72">
        <v>0.75</v>
      </c>
      <c r="U2229" s="106"/>
      <c r="V2229" s="74">
        <f>Devis[[#This Row],[Prix de Revient]]*Devis[[#This Row],[Poste 1]]</f>
        <v>0</v>
      </c>
      <c r="W2229" s="74">
        <f>Devis[[#This Row],[Prix de Revient]]*Devis[[#This Row],[Poste 2]]</f>
        <v>0</v>
      </c>
      <c r="X2229" s="74">
        <f>Devis[[#This Row],[Prix de Revient]]*Devis[[#This Row],[Poste 3]]</f>
        <v>0</v>
      </c>
      <c r="Y2229" s="74">
        <f>Devis[[#This Row],[Poste 4]]*Devis[[#This Row],[Prix de Revient]]</f>
        <v>0</v>
      </c>
      <c r="Z2229" s="74">
        <f>Devis[[#This Row],[Poste 5]]*Devis[[#This Row],[Prix de Revient]]</f>
        <v>0</v>
      </c>
      <c r="AA2229" s="74">
        <f>Devis[[#This Row],[Prix de Revient]]*Devis[[#This Row],[Poste 6]]</f>
        <v>0</v>
      </c>
      <c r="AB2229" s="74">
        <f>Devis[[#This Row],[Quantité Totale]]*Devis[[#This Row],[Prix de Revient]]</f>
        <v>0</v>
      </c>
    </row>
    <row r="2230" spans="1:28" ht="14.25" customHeight="1" x14ac:dyDescent="0.25">
      <c r="A2230" s="65" t="s">
        <v>2053</v>
      </c>
      <c r="B2230" s="65" t="s">
        <v>2150</v>
      </c>
      <c r="C2230" s="76"/>
      <c r="D2230" s="81" t="str">
        <f t="shared" si="38"/>
        <v>Inox SoudéCoudes  inox 304L -3D</v>
      </c>
      <c r="E2230" s="76"/>
      <c r="F2230" s="81">
        <v>0</v>
      </c>
      <c r="G2230" s="86"/>
      <c r="H2230" s="71"/>
      <c r="I2230" s="75"/>
      <c r="J2230" s="70">
        <f>IFERROR(VLOOKUP(Devis[[#This Row],[Ref Air Flux]],#REF!,3,FALSE),0)</f>
        <v>0</v>
      </c>
      <c r="K2230" s="68"/>
      <c r="L2230" s="68"/>
      <c r="M2230" s="68"/>
      <c r="N2230" s="68"/>
      <c r="O2230" s="68"/>
      <c r="P2230" s="68"/>
      <c r="Q2230" s="68">
        <f>SUM(Devis[[#This Row],[Poste 1]:[Poste 6]])</f>
        <v>0</v>
      </c>
      <c r="R2230" s="111"/>
      <c r="S2230" s="68">
        <f>_xlfn.CEILING.MATH(Devis[[#This Row],[Quantité Totale]],Devis[[#This Row],[Conditionnement]])</f>
        <v>0</v>
      </c>
      <c r="T2230" s="72"/>
      <c r="U2230" s="106"/>
      <c r="V2230" s="74">
        <f>Devis[[#This Row],[Prix de Revient]]*Devis[[#This Row],[Poste 1]]</f>
        <v>0</v>
      </c>
      <c r="W2230" s="74">
        <f>Devis[[#This Row],[Prix de Revient]]*Devis[[#This Row],[Poste 2]]</f>
        <v>0</v>
      </c>
      <c r="X2230" s="74">
        <f>Devis[[#This Row],[Prix de Revient]]*Devis[[#This Row],[Poste 3]]</f>
        <v>0</v>
      </c>
      <c r="Y2230" s="74">
        <f>Devis[[#This Row],[Poste 4]]*Devis[[#This Row],[Prix de Revient]]</f>
        <v>0</v>
      </c>
      <c r="Z2230" s="74">
        <f>Devis[[#This Row],[Poste 5]]*Devis[[#This Row],[Prix de Revient]]</f>
        <v>0</v>
      </c>
      <c r="AA2230" s="74">
        <f>Devis[[#This Row],[Prix de Revient]]*Devis[[#This Row],[Poste 6]]</f>
        <v>0</v>
      </c>
      <c r="AB2230" s="74">
        <f>Devis[[#This Row],[Quantité Totale]]*Devis[[#This Row],[Prix de Revient]]</f>
        <v>0</v>
      </c>
    </row>
    <row r="2231" spans="1:28" ht="14.25" outlineLevel="1" x14ac:dyDescent="0.2">
      <c r="A2231" s="75" t="s">
        <v>2053</v>
      </c>
      <c r="B2231" s="76" t="s">
        <v>2150</v>
      </c>
      <c r="C2231" s="76"/>
      <c r="D2231" s="81" t="str">
        <f t="shared" si="38"/>
        <v>Inox SoudéCoudes  inox 304L -3D</v>
      </c>
      <c r="E2231" s="76" t="s">
        <v>2106</v>
      </c>
      <c r="F2231" s="81">
        <v>1</v>
      </c>
      <c r="G2231" s="86" t="s">
        <v>2161</v>
      </c>
      <c r="H2231" s="71"/>
      <c r="I2231" s="75"/>
      <c r="J2231" s="70">
        <f>IFERROR(VLOOKUP(Devis[[#This Row],[Ref Air Flux]],#REF!,3,FALSE),0)</f>
        <v>0</v>
      </c>
      <c r="K2231" s="68"/>
      <c r="L2231" s="68"/>
      <c r="M2231" s="68"/>
      <c r="N2231" s="68"/>
      <c r="O2231" s="68"/>
      <c r="P2231" s="68"/>
      <c r="Q2231" s="68">
        <f>SUM(Devis[[#This Row],[Poste 1]:[Poste 6]])</f>
        <v>0</v>
      </c>
      <c r="R2231" s="111"/>
      <c r="S2231" s="68">
        <f>_xlfn.CEILING.MATH(Devis[[#This Row],[Quantité Totale]],Devis[[#This Row],[Conditionnement]])</f>
        <v>0</v>
      </c>
      <c r="T2231" s="72">
        <v>2</v>
      </c>
      <c r="U2231" s="106"/>
      <c r="V2231" s="74">
        <f>Devis[[#This Row],[Prix de Revient]]*Devis[[#This Row],[Poste 1]]</f>
        <v>0</v>
      </c>
      <c r="W2231" s="74">
        <f>Devis[[#This Row],[Prix de Revient]]*Devis[[#This Row],[Poste 2]]</f>
        <v>0</v>
      </c>
      <c r="X2231" s="74">
        <f>Devis[[#This Row],[Prix de Revient]]*Devis[[#This Row],[Poste 3]]</f>
        <v>0</v>
      </c>
      <c r="Y2231" s="74">
        <f>Devis[[#This Row],[Poste 4]]*Devis[[#This Row],[Prix de Revient]]</f>
        <v>0</v>
      </c>
      <c r="Z2231" s="74">
        <f>Devis[[#This Row],[Poste 5]]*Devis[[#This Row],[Prix de Revient]]</f>
        <v>0</v>
      </c>
      <c r="AA2231" s="74">
        <f>Devis[[#This Row],[Prix de Revient]]*Devis[[#This Row],[Poste 6]]</f>
        <v>0</v>
      </c>
      <c r="AB2231" s="74">
        <f>Devis[[#This Row],[Quantité Totale]]*Devis[[#This Row],[Prix de Revient]]</f>
        <v>0</v>
      </c>
    </row>
    <row r="2232" spans="1:28" ht="14.25" outlineLevel="1" x14ac:dyDescent="0.2">
      <c r="A2232" s="75" t="s">
        <v>2053</v>
      </c>
      <c r="B2232" s="76" t="s">
        <v>2150</v>
      </c>
      <c r="C2232" s="76"/>
      <c r="D2232" s="81" t="str">
        <f t="shared" si="38"/>
        <v>Inox SoudéCoudes  inox 304L -3D</v>
      </c>
      <c r="E2232" s="76" t="s">
        <v>2108</v>
      </c>
      <c r="F2232" s="81">
        <v>2</v>
      </c>
      <c r="G2232" s="86" t="s">
        <v>2162</v>
      </c>
      <c r="H2232" s="71"/>
      <c r="I2232" s="75"/>
      <c r="J2232" s="70">
        <f>IFERROR(VLOOKUP(Devis[[#This Row],[Ref Air Flux]],#REF!,3,FALSE),0)</f>
        <v>0</v>
      </c>
      <c r="K2232" s="68"/>
      <c r="L2232" s="68"/>
      <c r="M2232" s="68"/>
      <c r="N2232" s="68"/>
      <c r="O2232" s="68"/>
      <c r="P2232" s="68"/>
      <c r="Q2232" s="68">
        <f>SUM(Devis[[#This Row],[Poste 1]:[Poste 6]])</f>
        <v>0</v>
      </c>
      <c r="R2232" s="111"/>
      <c r="S2232" s="68">
        <f>_xlfn.CEILING.MATH(Devis[[#This Row],[Quantité Totale]],Devis[[#This Row],[Conditionnement]])</f>
        <v>0</v>
      </c>
      <c r="T2232" s="72">
        <v>2.5</v>
      </c>
      <c r="U2232" s="106"/>
      <c r="V2232" s="74">
        <f>Devis[[#This Row],[Prix de Revient]]*Devis[[#This Row],[Poste 1]]</f>
        <v>0</v>
      </c>
      <c r="W2232" s="74">
        <f>Devis[[#This Row],[Prix de Revient]]*Devis[[#This Row],[Poste 2]]</f>
        <v>0</v>
      </c>
      <c r="X2232" s="74">
        <f>Devis[[#This Row],[Prix de Revient]]*Devis[[#This Row],[Poste 3]]</f>
        <v>0</v>
      </c>
      <c r="Y2232" s="74">
        <f>Devis[[#This Row],[Poste 4]]*Devis[[#This Row],[Prix de Revient]]</f>
        <v>0</v>
      </c>
      <c r="Z2232" s="74">
        <f>Devis[[#This Row],[Poste 5]]*Devis[[#This Row],[Prix de Revient]]</f>
        <v>0</v>
      </c>
      <c r="AA2232" s="74">
        <f>Devis[[#This Row],[Prix de Revient]]*Devis[[#This Row],[Poste 6]]</f>
        <v>0</v>
      </c>
      <c r="AB2232" s="74">
        <f>Devis[[#This Row],[Quantité Totale]]*Devis[[#This Row],[Prix de Revient]]</f>
        <v>0</v>
      </c>
    </row>
    <row r="2233" spans="1:28" ht="14.25" outlineLevel="1" x14ac:dyDescent="0.2">
      <c r="A2233" s="75" t="s">
        <v>2053</v>
      </c>
      <c r="B2233" s="76" t="s">
        <v>2150</v>
      </c>
      <c r="C2233" s="76"/>
      <c r="D2233" s="81" t="str">
        <f t="shared" si="38"/>
        <v>Inox SoudéCoudes  inox 304L -3D</v>
      </c>
      <c r="E2233" s="76" t="s">
        <v>2122</v>
      </c>
      <c r="F2233" s="81">
        <v>3</v>
      </c>
      <c r="G2233" s="86" t="s">
        <v>2163</v>
      </c>
      <c r="H2233" s="71"/>
      <c r="I2233" s="75"/>
      <c r="J2233" s="70">
        <f>IFERROR(VLOOKUP(Devis[[#This Row],[Ref Air Flux]],#REF!,3,FALSE),0)</f>
        <v>0</v>
      </c>
      <c r="K2233" s="68"/>
      <c r="L2233" s="68"/>
      <c r="M2233" s="68"/>
      <c r="N2233" s="68"/>
      <c r="O2233" s="68"/>
      <c r="P2233" s="68"/>
      <c r="Q2233" s="68">
        <f>SUM(Devis[[#This Row],[Poste 1]:[Poste 6]])</f>
        <v>0</v>
      </c>
      <c r="R2233" s="111"/>
      <c r="S2233" s="68">
        <f>_xlfn.CEILING.MATH(Devis[[#This Row],[Quantité Totale]],Devis[[#This Row],[Conditionnement]])</f>
        <v>0</v>
      </c>
      <c r="T2233" s="72">
        <v>3</v>
      </c>
      <c r="U2233" s="106"/>
      <c r="V2233" s="74">
        <f>Devis[[#This Row],[Prix de Revient]]*Devis[[#This Row],[Poste 1]]</f>
        <v>0</v>
      </c>
      <c r="W2233" s="74">
        <f>Devis[[#This Row],[Prix de Revient]]*Devis[[#This Row],[Poste 2]]</f>
        <v>0</v>
      </c>
      <c r="X2233" s="74">
        <f>Devis[[#This Row],[Prix de Revient]]*Devis[[#This Row],[Poste 3]]</f>
        <v>0</v>
      </c>
      <c r="Y2233" s="74">
        <f>Devis[[#This Row],[Poste 4]]*Devis[[#This Row],[Prix de Revient]]</f>
        <v>0</v>
      </c>
      <c r="Z2233" s="74">
        <f>Devis[[#This Row],[Poste 5]]*Devis[[#This Row],[Prix de Revient]]</f>
        <v>0</v>
      </c>
      <c r="AA2233" s="74">
        <f>Devis[[#This Row],[Prix de Revient]]*Devis[[#This Row],[Poste 6]]</f>
        <v>0</v>
      </c>
      <c r="AB2233" s="74">
        <f>Devis[[#This Row],[Quantité Totale]]*Devis[[#This Row],[Prix de Revient]]</f>
        <v>0</v>
      </c>
    </row>
    <row r="2234" spans="1:28" ht="14.25" outlineLevel="1" x14ac:dyDescent="0.2">
      <c r="A2234" s="75" t="s">
        <v>2053</v>
      </c>
      <c r="B2234" s="76" t="s">
        <v>2150</v>
      </c>
      <c r="C2234" s="76"/>
      <c r="D2234" s="81" t="str">
        <f t="shared" si="38"/>
        <v>Inox SoudéCoudes  inox 304L -3D</v>
      </c>
      <c r="E2234" s="76" t="s">
        <v>554</v>
      </c>
      <c r="F2234" s="81">
        <v>4</v>
      </c>
      <c r="G2234" s="86" t="s">
        <v>2164</v>
      </c>
      <c r="H2234" s="71"/>
      <c r="I2234" s="75"/>
      <c r="J2234" s="70">
        <f>IFERROR(VLOOKUP(Devis[[#This Row],[Ref Air Flux]],#REF!,3,FALSE),0)</f>
        <v>0</v>
      </c>
      <c r="K2234" s="68"/>
      <c r="L2234" s="68"/>
      <c r="M2234" s="68"/>
      <c r="N2234" s="68"/>
      <c r="O2234" s="68"/>
      <c r="P2234" s="68"/>
      <c r="Q2234" s="68">
        <f>SUM(Devis[[#This Row],[Poste 1]:[Poste 6]])</f>
        <v>0</v>
      </c>
      <c r="R2234" s="111"/>
      <c r="S2234" s="68">
        <f>_xlfn.CEILING.MATH(Devis[[#This Row],[Quantité Totale]],Devis[[#This Row],[Conditionnement]])</f>
        <v>0</v>
      </c>
      <c r="T2234" s="72">
        <v>4</v>
      </c>
      <c r="U2234" s="106"/>
      <c r="V2234" s="74">
        <f>Devis[[#This Row],[Prix de Revient]]*Devis[[#This Row],[Poste 1]]</f>
        <v>0</v>
      </c>
      <c r="W2234" s="74">
        <f>Devis[[#This Row],[Prix de Revient]]*Devis[[#This Row],[Poste 2]]</f>
        <v>0</v>
      </c>
      <c r="X2234" s="74">
        <f>Devis[[#This Row],[Prix de Revient]]*Devis[[#This Row],[Poste 3]]</f>
        <v>0</v>
      </c>
      <c r="Y2234" s="74">
        <f>Devis[[#This Row],[Poste 4]]*Devis[[#This Row],[Prix de Revient]]</f>
        <v>0</v>
      </c>
      <c r="Z2234" s="74">
        <f>Devis[[#This Row],[Poste 5]]*Devis[[#This Row],[Prix de Revient]]</f>
        <v>0</v>
      </c>
      <c r="AA2234" s="74">
        <f>Devis[[#This Row],[Prix de Revient]]*Devis[[#This Row],[Poste 6]]</f>
        <v>0</v>
      </c>
      <c r="AB2234" s="74">
        <f>Devis[[#This Row],[Quantité Totale]]*Devis[[#This Row],[Prix de Revient]]</f>
        <v>0</v>
      </c>
    </row>
    <row r="2235" spans="1:28" ht="14.25" outlineLevel="1" x14ac:dyDescent="0.2">
      <c r="A2235" s="75" t="s">
        <v>2053</v>
      </c>
      <c r="B2235" s="76" t="s">
        <v>2150</v>
      </c>
      <c r="C2235" s="76"/>
      <c r="D2235" s="81" t="str">
        <f t="shared" si="38"/>
        <v>Inox SoudéCoudes  inox 304L -3D</v>
      </c>
      <c r="E2235" s="76" t="s">
        <v>2098</v>
      </c>
      <c r="F2235" s="81">
        <v>5</v>
      </c>
      <c r="G2235" s="86" t="s">
        <v>2157</v>
      </c>
      <c r="H2235" s="71"/>
      <c r="I2235" s="75"/>
      <c r="J2235" s="70">
        <f>IFERROR(VLOOKUP(Devis[[#This Row],[Ref Air Flux]],#REF!,3,FALSE),0)</f>
        <v>0</v>
      </c>
      <c r="K2235" s="68"/>
      <c r="L2235" s="68"/>
      <c r="M2235" s="68"/>
      <c r="N2235" s="68"/>
      <c r="O2235" s="68"/>
      <c r="P2235" s="68"/>
      <c r="Q2235" s="68">
        <f>SUM(Devis[[#This Row],[Poste 1]:[Poste 6]])</f>
        <v>0</v>
      </c>
      <c r="R2235" s="111"/>
      <c r="S2235" s="68">
        <f>_xlfn.CEILING.MATH(Devis[[#This Row],[Quantité Totale]],Devis[[#This Row],[Conditionnement]])</f>
        <v>0</v>
      </c>
      <c r="T2235" s="72">
        <v>0.7</v>
      </c>
      <c r="U2235" s="106"/>
      <c r="V2235" s="74">
        <f>Devis[[#This Row],[Prix de Revient]]*Devis[[#This Row],[Poste 1]]</f>
        <v>0</v>
      </c>
      <c r="W2235" s="74">
        <f>Devis[[#This Row],[Prix de Revient]]*Devis[[#This Row],[Poste 2]]</f>
        <v>0</v>
      </c>
      <c r="X2235" s="74">
        <f>Devis[[#This Row],[Prix de Revient]]*Devis[[#This Row],[Poste 3]]</f>
        <v>0</v>
      </c>
      <c r="Y2235" s="74">
        <f>Devis[[#This Row],[Poste 4]]*Devis[[#This Row],[Prix de Revient]]</f>
        <v>0</v>
      </c>
      <c r="Z2235" s="74">
        <f>Devis[[#This Row],[Poste 5]]*Devis[[#This Row],[Prix de Revient]]</f>
        <v>0</v>
      </c>
      <c r="AA2235" s="74">
        <f>Devis[[#This Row],[Prix de Revient]]*Devis[[#This Row],[Poste 6]]</f>
        <v>0</v>
      </c>
      <c r="AB2235" s="74">
        <f>Devis[[#This Row],[Quantité Totale]]*Devis[[#This Row],[Prix de Revient]]</f>
        <v>0</v>
      </c>
    </row>
    <row r="2236" spans="1:28" ht="14.25" customHeight="1" outlineLevel="1" x14ac:dyDescent="0.2">
      <c r="A2236" s="75" t="s">
        <v>2053</v>
      </c>
      <c r="B2236" s="76" t="s">
        <v>2150</v>
      </c>
      <c r="C2236" s="76"/>
      <c r="D2236" s="81" t="str">
        <f t="shared" si="38"/>
        <v>Inox SoudéCoudes  inox 304L -3D</v>
      </c>
      <c r="E2236" s="76" t="s">
        <v>2100</v>
      </c>
      <c r="F2236" s="81">
        <v>6</v>
      </c>
      <c r="G2236" s="86" t="s">
        <v>2158</v>
      </c>
      <c r="H2236" s="71"/>
      <c r="I2236" s="75"/>
      <c r="J2236" s="70">
        <f>IFERROR(VLOOKUP(Devis[[#This Row],[Ref Air Flux]],#REF!,3,FALSE),0)</f>
        <v>0</v>
      </c>
      <c r="K2236" s="68"/>
      <c r="L2236" s="68"/>
      <c r="M2236" s="68"/>
      <c r="N2236" s="68"/>
      <c r="O2236" s="68"/>
      <c r="P2236" s="68"/>
      <c r="Q2236" s="68">
        <f>SUM(Devis[[#This Row],[Poste 1]:[Poste 6]])</f>
        <v>0</v>
      </c>
      <c r="R2236" s="111"/>
      <c r="S2236" s="68">
        <f>_xlfn.CEILING.MATH(Devis[[#This Row],[Quantité Totale]],Devis[[#This Row],[Conditionnement]])</f>
        <v>0</v>
      </c>
      <c r="T2236" s="72">
        <v>1</v>
      </c>
      <c r="U2236" s="106"/>
      <c r="V2236" s="74">
        <f>Devis[[#This Row],[Prix de Revient]]*Devis[[#This Row],[Poste 1]]</f>
        <v>0</v>
      </c>
      <c r="W2236" s="74">
        <f>Devis[[#This Row],[Prix de Revient]]*Devis[[#This Row],[Poste 2]]</f>
        <v>0</v>
      </c>
      <c r="X2236" s="74">
        <f>Devis[[#This Row],[Prix de Revient]]*Devis[[#This Row],[Poste 3]]</f>
        <v>0</v>
      </c>
      <c r="Y2236" s="74">
        <f>Devis[[#This Row],[Poste 4]]*Devis[[#This Row],[Prix de Revient]]</f>
        <v>0</v>
      </c>
      <c r="Z2236" s="74">
        <f>Devis[[#This Row],[Poste 5]]*Devis[[#This Row],[Prix de Revient]]</f>
        <v>0</v>
      </c>
      <c r="AA2236" s="74">
        <f>Devis[[#This Row],[Prix de Revient]]*Devis[[#This Row],[Poste 6]]</f>
        <v>0</v>
      </c>
      <c r="AB2236" s="74">
        <f>Devis[[#This Row],[Quantité Totale]]*Devis[[#This Row],[Prix de Revient]]</f>
        <v>0</v>
      </c>
    </row>
    <row r="2237" spans="1:28" ht="14.25" customHeight="1" outlineLevel="1" x14ac:dyDescent="0.2">
      <c r="A2237" s="75" t="s">
        <v>2053</v>
      </c>
      <c r="B2237" s="76" t="s">
        <v>2150</v>
      </c>
      <c r="C2237" s="76"/>
      <c r="D2237" s="81" t="str">
        <f t="shared" si="38"/>
        <v>Inox SoudéCoudes  inox 304L -3D</v>
      </c>
      <c r="E2237" s="76" t="s">
        <v>2102</v>
      </c>
      <c r="F2237" s="81">
        <v>7</v>
      </c>
      <c r="G2237" s="86" t="s">
        <v>2159</v>
      </c>
      <c r="H2237" s="71"/>
      <c r="I2237" s="75"/>
      <c r="J2237" s="70">
        <f>IFERROR(VLOOKUP(Devis[[#This Row],[Ref Air Flux]],#REF!,3,FALSE),0)</f>
        <v>0</v>
      </c>
      <c r="K2237" s="68"/>
      <c r="L2237" s="68"/>
      <c r="M2237" s="68"/>
      <c r="N2237" s="68"/>
      <c r="O2237" s="68"/>
      <c r="P2237" s="68"/>
      <c r="Q2237" s="68">
        <f>SUM(Devis[[#This Row],[Poste 1]:[Poste 6]])</f>
        <v>0</v>
      </c>
      <c r="R2237" s="111"/>
      <c r="S2237" s="68">
        <f>_xlfn.CEILING.MATH(Devis[[#This Row],[Quantité Totale]],Devis[[#This Row],[Conditionnement]])</f>
        <v>0</v>
      </c>
      <c r="T2237" s="72">
        <v>1.2</v>
      </c>
      <c r="U2237" s="106"/>
      <c r="V2237" s="74">
        <f>Devis[[#This Row],[Prix de Revient]]*Devis[[#This Row],[Poste 1]]</f>
        <v>0</v>
      </c>
      <c r="W2237" s="74">
        <f>Devis[[#This Row],[Prix de Revient]]*Devis[[#This Row],[Poste 2]]</f>
        <v>0</v>
      </c>
      <c r="X2237" s="74">
        <f>Devis[[#This Row],[Prix de Revient]]*Devis[[#This Row],[Poste 3]]</f>
        <v>0</v>
      </c>
      <c r="Y2237" s="74">
        <f>Devis[[#This Row],[Poste 4]]*Devis[[#This Row],[Prix de Revient]]</f>
        <v>0</v>
      </c>
      <c r="Z2237" s="74">
        <f>Devis[[#This Row],[Poste 5]]*Devis[[#This Row],[Prix de Revient]]</f>
        <v>0</v>
      </c>
      <c r="AA2237" s="74">
        <f>Devis[[#This Row],[Prix de Revient]]*Devis[[#This Row],[Poste 6]]</f>
        <v>0</v>
      </c>
      <c r="AB2237" s="74">
        <f>Devis[[#This Row],[Quantité Totale]]*Devis[[#This Row],[Prix de Revient]]</f>
        <v>0</v>
      </c>
    </row>
    <row r="2238" spans="1:28" ht="14.25" outlineLevel="1" x14ac:dyDescent="0.2">
      <c r="A2238" s="75" t="s">
        <v>2053</v>
      </c>
      <c r="B2238" s="76" t="s">
        <v>2150</v>
      </c>
      <c r="C2238" s="76"/>
      <c r="D2238" s="81" t="str">
        <f t="shared" si="38"/>
        <v>Inox SoudéCoudes  inox 304L -3D</v>
      </c>
      <c r="E2238" s="76" t="s">
        <v>2104</v>
      </c>
      <c r="F2238" s="81">
        <v>8</v>
      </c>
      <c r="G2238" s="86" t="s">
        <v>2160</v>
      </c>
      <c r="H2238" s="71"/>
      <c r="I2238" s="75"/>
      <c r="J2238" s="70">
        <f>IFERROR(VLOOKUP(Devis[[#This Row],[Ref Air Flux]],#REF!,3,FALSE),0)</f>
        <v>0</v>
      </c>
      <c r="K2238" s="68"/>
      <c r="L2238" s="68"/>
      <c r="M2238" s="68"/>
      <c r="N2238" s="68"/>
      <c r="O2238" s="68"/>
      <c r="P2238" s="68"/>
      <c r="Q2238" s="68">
        <f>SUM(Devis[[#This Row],[Poste 1]:[Poste 6]])</f>
        <v>0</v>
      </c>
      <c r="R2238" s="111"/>
      <c r="S2238" s="68">
        <f>_xlfn.CEILING.MATH(Devis[[#This Row],[Quantité Totale]],Devis[[#This Row],[Conditionnement]])</f>
        <v>0</v>
      </c>
      <c r="T2238" s="72">
        <v>1.5</v>
      </c>
      <c r="U2238" s="106"/>
      <c r="V2238" s="74">
        <f>Devis[[#This Row],[Prix de Revient]]*Devis[[#This Row],[Poste 1]]</f>
        <v>0</v>
      </c>
      <c r="W2238" s="74">
        <f>Devis[[#This Row],[Prix de Revient]]*Devis[[#This Row],[Poste 2]]</f>
        <v>0</v>
      </c>
      <c r="X2238" s="74">
        <f>Devis[[#This Row],[Prix de Revient]]*Devis[[#This Row],[Poste 3]]</f>
        <v>0</v>
      </c>
      <c r="Y2238" s="74">
        <f>Devis[[#This Row],[Poste 4]]*Devis[[#This Row],[Prix de Revient]]</f>
        <v>0</v>
      </c>
      <c r="Z2238" s="74">
        <f>Devis[[#This Row],[Poste 5]]*Devis[[#This Row],[Prix de Revient]]</f>
        <v>0</v>
      </c>
      <c r="AA2238" s="74">
        <f>Devis[[#This Row],[Prix de Revient]]*Devis[[#This Row],[Poste 6]]</f>
        <v>0</v>
      </c>
      <c r="AB2238" s="74">
        <f>Devis[[#This Row],[Quantité Totale]]*Devis[[#This Row],[Prix de Revient]]</f>
        <v>0</v>
      </c>
    </row>
    <row r="2239" spans="1:28" ht="14.25" outlineLevel="1" x14ac:dyDescent="0.2">
      <c r="A2239" s="75" t="s">
        <v>2053</v>
      </c>
      <c r="B2239" s="76" t="s">
        <v>2150</v>
      </c>
      <c r="C2239" s="76"/>
      <c r="D2239" s="81" t="str">
        <f t="shared" si="38"/>
        <v>Inox SoudéCoudes  inox 304L -3D</v>
      </c>
      <c r="E2239" s="76" t="s">
        <v>2094</v>
      </c>
      <c r="F2239" s="81">
        <v>9</v>
      </c>
      <c r="G2239" s="86" t="s">
        <v>2155</v>
      </c>
      <c r="H2239" s="71"/>
      <c r="I2239" s="75"/>
      <c r="J2239" s="70">
        <f>IFERROR(VLOOKUP(Devis[[#This Row],[Ref Air Flux]],#REF!,3,FALSE),0)</f>
        <v>0</v>
      </c>
      <c r="K2239" s="68"/>
      <c r="L2239" s="68"/>
      <c r="M2239" s="68"/>
      <c r="N2239" s="68"/>
      <c r="O2239" s="68"/>
      <c r="P2239" s="68"/>
      <c r="Q2239" s="68">
        <f>SUM(Devis[[#This Row],[Poste 1]:[Poste 6]])</f>
        <v>0</v>
      </c>
      <c r="R2239" s="111"/>
      <c r="S2239" s="68">
        <f>_xlfn.CEILING.MATH(Devis[[#This Row],[Quantité Totale]],Devis[[#This Row],[Conditionnement]])</f>
        <v>0</v>
      </c>
      <c r="T2239" s="72">
        <v>0.5</v>
      </c>
      <c r="U2239" s="106"/>
      <c r="V2239" s="74">
        <f>Devis[[#This Row],[Prix de Revient]]*Devis[[#This Row],[Poste 1]]</f>
        <v>0</v>
      </c>
      <c r="W2239" s="74">
        <f>Devis[[#This Row],[Prix de Revient]]*Devis[[#This Row],[Poste 2]]</f>
        <v>0</v>
      </c>
      <c r="X2239" s="74">
        <f>Devis[[#This Row],[Prix de Revient]]*Devis[[#This Row],[Poste 3]]</f>
        <v>0</v>
      </c>
      <c r="Y2239" s="74">
        <f>Devis[[#This Row],[Poste 4]]*Devis[[#This Row],[Prix de Revient]]</f>
        <v>0</v>
      </c>
      <c r="Z2239" s="74">
        <f>Devis[[#This Row],[Poste 5]]*Devis[[#This Row],[Prix de Revient]]</f>
        <v>0</v>
      </c>
      <c r="AA2239" s="74">
        <f>Devis[[#This Row],[Prix de Revient]]*Devis[[#This Row],[Poste 6]]</f>
        <v>0</v>
      </c>
      <c r="AB2239" s="74">
        <f>Devis[[#This Row],[Quantité Totale]]*Devis[[#This Row],[Prix de Revient]]</f>
        <v>0</v>
      </c>
    </row>
    <row r="2240" spans="1:28" ht="15" customHeight="1" outlineLevel="1" x14ac:dyDescent="0.2">
      <c r="A2240" s="75" t="s">
        <v>2053</v>
      </c>
      <c r="B2240" s="76" t="s">
        <v>2150</v>
      </c>
      <c r="C2240" s="76"/>
      <c r="D2240" s="81" t="str">
        <f t="shared" si="38"/>
        <v>Inox SoudéCoudes  inox 304L -3D</v>
      </c>
      <c r="E2240" s="76" t="s">
        <v>2096</v>
      </c>
      <c r="F2240" s="81">
        <v>10</v>
      </c>
      <c r="G2240" s="86" t="s">
        <v>2156</v>
      </c>
      <c r="H2240" s="71"/>
      <c r="I2240" s="75"/>
      <c r="J2240" s="70">
        <f>IFERROR(VLOOKUP(Devis[[#This Row],[Ref Air Flux]],#REF!,3,FALSE),0)</f>
        <v>0</v>
      </c>
      <c r="K2240" s="68"/>
      <c r="L2240" s="68"/>
      <c r="M2240" s="68"/>
      <c r="N2240" s="68"/>
      <c r="O2240" s="68"/>
      <c r="P2240" s="68"/>
      <c r="Q2240" s="68">
        <f>SUM(Devis[[#This Row],[Poste 1]:[Poste 6]])</f>
        <v>0</v>
      </c>
      <c r="R2240" s="111"/>
      <c r="S2240" s="68">
        <f>_xlfn.CEILING.MATH(Devis[[#This Row],[Quantité Totale]],Devis[[#This Row],[Conditionnement]])</f>
        <v>0</v>
      </c>
      <c r="T2240" s="72">
        <v>0.6</v>
      </c>
      <c r="U2240" s="106"/>
      <c r="V2240" s="74">
        <f>Devis[[#This Row],[Prix de Revient]]*Devis[[#This Row],[Poste 1]]</f>
        <v>0</v>
      </c>
      <c r="W2240" s="74">
        <f>Devis[[#This Row],[Prix de Revient]]*Devis[[#This Row],[Poste 2]]</f>
        <v>0</v>
      </c>
      <c r="X2240" s="74">
        <f>Devis[[#This Row],[Prix de Revient]]*Devis[[#This Row],[Poste 3]]</f>
        <v>0</v>
      </c>
      <c r="Y2240" s="74">
        <f>Devis[[#This Row],[Poste 4]]*Devis[[#This Row],[Prix de Revient]]</f>
        <v>0</v>
      </c>
      <c r="Z2240" s="74">
        <f>Devis[[#This Row],[Poste 5]]*Devis[[#This Row],[Prix de Revient]]</f>
        <v>0</v>
      </c>
      <c r="AA2240" s="74">
        <f>Devis[[#This Row],[Prix de Revient]]*Devis[[#This Row],[Poste 6]]</f>
        <v>0</v>
      </c>
      <c r="AB2240" s="74">
        <f>Devis[[#This Row],[Quantité Totale]]*Devis[[#This Row],[Prix de Revient]]</f>
        <v>0</v>
      </c>
    </row>
    <row r="2241" spans="1:28" ht="14.25" outlineLevel="1" x14ac:dyDescent="0.2">
      <c r="A2241" s="75" t="s">
        <v>2053</v>
      </c>
      <c r="B2241" s="76" t="s">
        <v>2150</v>
      </c>
      <c r="C2241" s="76"/>
      <c r="D2241" s="81" t="str">
        <f t="shared" si="38"/>
        <v>Inox SoudéCoudes  inox 304L -3D</v>
      </c>
      <c r="E2241" s="76" t="s">
        <v>2151</v>
      </c>
      <c r="F2241" s="81">
        <v>11</v>
      </c>
      <c r="G2241" s="86" t="s">
        <v>2152</v>
      </c>
      <c r="H2241" s="71"/>
      <c r="I2241" s="75"/>
      <c r="J2241" s="70">
        <f>IFERROR(VLOOKUP(Devis[[#This Row],[Ref Air Flux]],#REF!,3,FALSE),0)</f>
        <v>0</v>
      </c>
      <c r="K2241" s="68"/>
      <c r="L2241" s="68"/>
      <c r="M2241" s="68"/>
      <c r="N2241" s="68"/>
      <c r="O2241" s="68"/>
      <c r="P2241" s="68"/>
      <c r="Q2241" s="68">
        <f>SUM(Devis[[#This Row],[Poste 1]:[Poste 6]])</f>
        <v>0</v>
      </c>
      <c r="R2241" s="111"/>
      <c r="S2241" s="68">
        <f>_xlfn.CEILING.MATH(Devis[[#This Row],[Quantité Totale]],Devis[[#This Row],[Conditionnement]])</f>
        <v>0</v>
      </c>
      <c r="T2241" s="72">
        <v>0.5</v>
      </c>
      <c r="U2241" s="106"/>
      <c r="V2241" s="74">
        <f>Devis[[#This Row],[Prix de Revient]]*Devis[[#This Row],[Poste 1]]</f>
        <v>0</v>
      </c>
      <c r="W2241" s="74">
        <f>Devis[[#This Row],[Prix de Revient]]*Devis[[#This Row],[Poste 2]]</f>
        <v>0</v>
      </c>
      <c r="X2241" s="74">
        <f>Devis[[#This Row],[Prix de Revient]]*Devis[[#This Row],[Poste 3]]</f>
        <v>0</v>
      </c>
      <c r="Y2241" s="74">
        <f>Devis[[#This Row],[Poste 4]]*Devis[[#This Row],[Prix de Revient]]</f>
        <v>0</v>
      </c>
      <c r="Z2241" s="74">
        <f>Devis[[#This Row],[Poste 5]]*Devis[[#This Row],[Prix de Revient]]</f>
        <v>0</v>
      </c>
      <c r="AA2241" s="74">
        <f>Devis[[#This Row],[Prix de Revient]]*Devis[[#This Row],[Poste 6]]</f>
        <v>0</v>
      </c>
      <c r="AB2241" s="74">
        <f>Devis[[#This Row],[Quantité Totale]]*Devis[[#This Row],[Prix de Revient]]</f>
        <v>0</v>
      </c>
    </row>
    <row r="2242" spans="1:28" ht="14.25" outlineLevel="1" x14ac:dyDescent="0.2">
      <c r="A2242" s="75" t="s">
        <v>2053</v>
      </c>
      <c r="B2242" s="76" t="s">
        <v>2150</v>
      </c>
      <c r="C2242" s="76"/>
      <c r="D2242" s="81" t="str">
        <f t="shared" ref="D2242:D2305" si="39">A2242&amp;B2242&amp;C2242</f>
        <v>Inox SoudéCoudes  inox 304L -3D</v>
      </c>
      <c r="E2242" s="76" t="s">
        <v>2153</v>
      </c>
      <c r="F2242" s="81">
        <v>12</v>
      </c>
      <c r="G2242" s="86" t="s">
        <v>2154</v>
      </c>
      <c r="H2242" s="71"/>
      <c r="I2242" s="75"/>
      <c r="J2242" s="70">
        <f>IFERROR(VLOOKUP(Devis[[#This Row],[Ref Air Flux]],#REF!,3,FALSE),0)</f>
        <v>0</v>
      </c>
      <c r="K2242" s="68"/>
      <c r="L2242" s="68"/>
      <c r="M2242" s="68"/>
      <c r="N2242" s="68"/>
      <c r="O2242" s="68"/>
      <c r="P2242" s="68"/>
      <c r="Q2242" s="68">
        <f>SUM(Devis[[#This Row],[Poste 1]:[Poste 6]])</f>
        <v>0</v>
      </c>
      <c r="R2242" s="111"/>
      <c r="S2242" s="68">
        <f>_xlfn.CEILING.MATH(Devis[[#This Row],[Quantité Totale]],Devis[[#This Row],[Conditionnement]])</f>
        <v>0</v>
      </c>
      <c r="T2242" s="72">
        <v>0.5</v>
      </c>
      <c r="U2242" s="106"/>
      <c r="V2242" s="74">
        <f>Devis[[#This Row],[Prix de Revient]]*Devis[[#This Row],[Poste 1]]</f>
        <v>0</v>
      </c>
      <c r="W2242" s="74">
        <f>Devis[[#This Row],[Prix de Revient]]*Devis[[#This Row],[Poste 2]]</f>
        <v>0</v>
      </c>
      <c r="X2242" s="74">
        <f>Devis[[#This Row],[Prix de Revient]]*Devis[[#This Row],[Poste 3]]</f>
        <v>0</v>
      </c>
      <c r="Y2242" s="74">
        <f>Devis[[#This Row],[Poste 4]]*Devis[[#This Row],[Prix de Revient]]</f>
        <v>0</v>
      </c>
      <c r="Z2242" s="74">
        <f>Devis[[#This Row],[Poste 5]]*Devis[[#This Row],[Prix de Revient]]</f>
        <v>0</v>
      </c>
      <c r="AA2242" s="74">
        <f>Devis[[#This Row],[Prix de Revient]]*Devis[[#This Row],[Poste 6]]</f>
        <v>0</v>
      </c>
      <c r="AB2242" s="74">
        <f>Devis[[#This Row],[Quantité Totale]]*Devis[[#This Row],[Prix de Revient]]</f>
        <v>0</v>
      </c>
    </row>
    <row r="2243" spans="1:28" ht="14.25" customHeight="1" x14ac:dyDescent="0.25">
      <c r="A2243" s="65" t="s">
        <v>2053</v>
      </c>
      <c r="B2243" s="65" t="s">
        <v>2176</v>
      </c>
      <c r="C2243" s="76"/>
      <c r="D2243" s="81" t="str">
        <f t="shared" si="39"/>
        <v>Inox SoudéFonds bombés 304L</v>
      </c>
      <c r="E2243" s="76"/>
      <c r="F2243" s="81">
        <v>0</v>
      </c>
      <c r="G2243" s="86"/>
      <c r="H2243" s="71"/>
      <c r="I2243" s="75"/>
      <c r="J2243" s="70">
        <f>IFERROR(VLOOKUP(Devis[[#This Row],[Ref Air Flux]],#REF!,3,FALSE),0)</f>
        <v>0</v>
      </c>
      <c r="K2243" s="68"/>
      <c r="L2243" s="68"/>
      <c r="M2243" s="68"/>
      <c r="N2243" s="68"/>
      <c r="O2243" s="68"/>
      <c r="P2243" s="68"/>
      <c r="Q2243" s="68">
        <f>SUM(Devis[[#This Row],[Poste 1]:[Poste 6]])</f>
        <v>0</v>
      </c>
      <c r="R2243" s="111"/>
      <c r="S2243" s="68">
        <f>_xlfn.CEILING.MATH(Devis[[#This Row],[Quantité Totale]],Devis[[#This Row],[Conditionnement]])</f>
        <v>0</v>
      </c>
      <c r="T2243" s="72"/>
      <c r="U2243" s="106"/>
      <c r="V2243" s="74">
        <f>Devis[[#This Row],[Prix de Revient]]*Devis[[#This Row],[Poste 1]]</f>
        <v>0</v>
      </c>
      <c r="W2243" s="74">
        <f>Devis[[#This Row],[Prix de Revient]]*Devis[[#This Row],[Poste 2]]</f>
        <v>0</v>
      </c>
      <c r="X2243" s="74">
        <f>Devis[[#This Row],[Prix de Revient]]*Devis[[#This Row],[Poste 3]]</f>
        <v>0</v>
      </c>
      <c r="Y2243" s="74">
        <f>Devis[[#This Row],[Poste 4]]*Devis[[#This Row],[Prix de Revient]]</f>
        <v>0</v>
      </c>
      <c r="Z2243" s="74">
        <f>Devis[[#This Row],[Poste 5]]*Devis[[#This Row],[Prix de Revient]]</f>
        <v>0</v>
      </c>
      <c r="AA2243" s="74">
        <f>Devis[[#This Row],[Prix de Revient]]*Devis[[#This Row],[Poste 6]]</f>
        <v>0</v>
      </c>
      <c r="AB2243" s="74">
        <f>Devis[[#This Row],[Quantité Totale]]*Devis[[#This Row],[Prix de Revient]]</f>
        <v>0</v>
      </c>
    </row>
    <row r="2244" spans="1:28" ht="14.25" outlineLevel="1" x14ac:dyDescent="0.2">
      <c r="A2244" s="75" t="s">
        <v>2053</v>
      </c>
      <c r="B2244" s="76" t="s">
        <v>2176</v>
      </c>
      <c r="C2244" s="76"/>
      <c r="D2244" s="81" t="str">
        <f t="shared" si="39"/>
        <v>Inox SoudéFonds bombés 304L</v>
      </c>
      <c r="E2244" s="76" t="s">
        <v>4090</v>
      </c>
      <c r="F2244" s="81">
        <v>1</v>
      </c>
      <c r="G2244" s="86" t="s">
        <v>4091</v>
      </c>
      <c r="H2244" s="71"/>
      <c r="I2244" s="75"/>
      <c r="J2244" s="70">
        <f>IFERROR(VLOOKUP(Devis[[#This Row],[Ref Air Flux]],#REF!,3,FALSE),0)</f>
        <v>0</v>
      </c>
      <c r="K2244" s="68"/>
      <c r="L2244" s="68"/>
      <c r="M2244" s="68"/>
      <c r="N2244" s="68"/>
      <c r="O2244" s="68"/>
      <c r="P2244" s="68"/>
      <c r="Q2244" s="68">
        <f>SUM(Devis[[#This Row],[Poste 1]:[Poste 6]])</f>
        <v>0</v>
      </c>
      <c r="R2244" s="111"/>
      <c r="S2244" s="68">
        <f>_xlfn.CEILING.MATH(Devis[[#This Row],[Quantité Totale]],Devis[[#This Row],[Conditionnement]])</f>
        <v>0</v>
      </c>
      <c r="T2244" s="72"/>
      <c r="U2244" s="106"/>
      <c r="V2244" s="74">
        <f>Devis[[#This Row],[Prix de Revient]]*Devis[[#This Row],[Poste 1]]</f>
        <v>0</v>
      </c>
      <c r="W2244" s="74">
        <f>Devis[[#This Row],[Prix de Revient]]*Devis[[#This Row],[Poste 2]]</f>
        <v>0</v>
      </c>
      <c r="X2244" s="74">
        <f>Devis[[#This Row],[Prix de Revient]]*Devis[[#This Row],[Poste 3]]</f>
        <v>0</v>
      </c>
      <c r="Y2244" s="74">
        <f>Devis[[#This Row],[Poste 4]]*Devis[[#This Row],[Prix de Revient]]</f>
        <v>0</v>
      </c>
      <c r="Z2244" s="74">
        <f>Devis[[#This Row],[Poste 5]]*Devis[[#This Row],[Prix de Revient]]</f>
        <v>0</v>
      </c>
      <c r="AA2244" s="74">
        <f>Devis[[#This Row],[Prix de Revient]]*Devis[[#This Row],[Poste 6]]</f>
        <v>0</v>
      </c>
      <c r="AB2244" s="74">
        <f>Devis[[#This Row],[Quantité Totale]]*Devis[[#This Row],[Prix de Revient]]</f>
        <v>0</v>
      </c>
    </row>
    <row r="2245" spans="1:28" ht="14.25" outlineLevel="1" x14ac:dyDescent="0.2">
      <c r="A2245" s="75" t="s">
        <v>2053</v>
      </c>
      <c r="B2245" s="76" t="s">
        <v>2176</v>
      </c>
      <c r="C2245" s="76"/>
      <c r="D2245" s="81" t="str">
        <f t="shared" si="39"/>
        <v>Inox SoudéFonds bombés 304L</v>
      </c>
      <c r="E2245" s="76" t="s">
        <v>4092</v>
      </c>
      <c r="F2245" s="81">
        <v>2</v>
      </c>
      <c r="G2245" s="86" t="s">
        <v>4093</v>
      </c>
      <c r="H2245" s="71"/>
      <c r="I2245" s="75"/>
      <c r="J2245" s="70">
        <f>IFERROR(VLOOKUP(Devis[[#This Row],[Ref Air Flux]],#REF!,3,FALSE),0)</f>
        <v>0</v>
      </c>
      <c r="K2245" s="68"/>
      <c r="L2245" s="68"/>
      <c r="M2245" s="68"/>
      <c r="N2245" s="68"/>
      <c r="O2245" s="68"/>
      <c r="P2245" s="68"/>
      <c r="Q2245" s="68">
        <f>SUM(Devis[[#This Row],[Poste 1]:[Poste 6]])</f>
        <v>0</v>
      </c>
      <c r="R2245" s="111"/>
      <c r="S2245" s="68">
        <f>_xlfn.CEILING.MATH(Devis[[#This Row],[Quantité Totale]],Devis[[#This Row],[Conditionnement]])</f>
        <v>0</v>
      </c>
      <c r="T2245" s="72"/>
      <c r="U2245" s="106"/>
      <c r="V2245" s="74">
        <f>Devis[[#This Row],[Prix de Revient]]*Devis[[#This Row],[Poste 1]]</f>
        <v>0</v>
      </c>
      <c r="W2245" s="74">
        <f>Devis[[#This Row],[Prix de Revient]]*Devis[[#This Row],[Poste 2]]</f>
        <v>0</v>
      </c>
      <c r="X2245" s="74">
        <f>Devis[[#This Row],[Prix de Revient]]*Devis[[#This Row],[Poste 3]]</f>
        <v>0</v>
      </c>
      <c r="Y2245" s="74">
        <f>Devis[[#This Row],[Poste 4]]*Devis[[#This Row],[Prix de Revient]]</f>
        <v>0</v>
      </c>
      <c r="Z2245" s="74">
        <f>Devis[[#This Row],[Poste 5]]*Devis[[#This Row],[Prix de Revient]]</f>
        <v>0</v>
      </c>
      <c r="AA2245" s="74">
        <f>Devis[[#This Row],[Prix de Revient]]*Devis[[#This Row],[Poste 6]]</f>
        <v>0</v>
      </c>
      <c r="AB2245" s="74">
        <f>Devis[[#This Row],[Quantité Totale]]*Devis[[#This Row],[Prix de Revient]]</f>
        <v>0</v>
      </c>
    </row>
    <row r="2246" spans="1:28" ht="14.25" outlineLevel="1" x14ac:dyDescent="0.2">
      <c r="A2246" s="75" t="s">
        <v>2053</v>
      </c>
      <c r="B2246" s="76" t="s">
        <v>2176</v>
      </c>
      <c r="C2246" s="76"/>
      <c r="D2246" s="81" t="str">
        <f t="shared" si="39"/>
        <v>Inox SoudéFonds bombés 304L</v>
      </c>
      <c r="E2246" s="76" t="s">
        <v>4094</v>
      </c>
      <c r="F2246" s="81">
        <v>3</v>
      </c>
      <c r="G2246" s="86" t="s">
        <v>2177</v>
      </c>
      <c r="H2246" s="71"/>
      <c r="I2246" s="75"/>
      <c r="J2246" s="70">
        <f>IFERROR(VLOOKUP(Devis[[#This Row],[Ref Air Flux]],#REF!,3,FALSE),0)</f>
        <v>0</v>
      </c>
      <c r="K2246" s="68"/>
      <c r="L2246" s="68"/>
      <c r="M2246" s="68"/>
      <c r="N2246" s="68"/>
      <c r="O2246" s="68"/>
      <c r="P2246" s="68"/>
      <c r="Q2246" s="68">
        <f>SUM(Devis[[#This Row],[Poste 1]:[Poste 6]])</f>
        <v>0</v>
      </c>
      <c r="R2246" s="111"/>
      <c r="S2246" s="68">
        <f>_xlfn.CEILING.MATH(Devis[[#This Row],[Quantité Totale]],Devis[[#This Row],[Conditionnement]])</f>
        <v>0</v>
      </c>
      <c r="T2246" s="72">
        <v>0.35</v>
      </c>
      <c r="U2246" s="106"/>
      <c r="V2246" s="74">
        <f>Devis[[#This Row],[Prix de Revient]]*Devis[[#This Row],[Poste 1]]</f>
        <v>0</v>
      </c>
      <c r="W2246" s="74">
        <f>Devis[[#This Row],[Prix de Revient]]*Devis[[#This Row],[Poste 2]]</f>
        <v>0</v>
      </c>
      <c r="X2246" s="74">
        <f>Devis[[#This Row],[Prix de Revient]]*Devis[[#This Row],[Poste 3]]</f>
        <v>0</v>
      </c>
      <c r="Y2246" s="74">
        <f>Devis[[#This Row],[Poste 4]]*Devis[[#This Row],[Prix de Revient]]</f>
        <v>0</v>
      </c>
      <c r="Z2246" s="74">
        <f>Devis[[#This Row],[Poste 5]]*Devis[[#This Row],[Prix de Revient]]</f>
        <v>0</v>
      </c>
      <c r="AA2246" s="74">
        <f>Devis[[#This Row],[Prix de Revient]]*Devis[[#This Row],[Poste 6]]</f>
        <v>0</v>
      </c>
      <c r="AB2246" s="74">
        <f>Devis[[#This Row],[Quantité Totale]]*Devis[[#This Row],[Prix de Revient]]</f>
        <v>0</v>
      </c>
    </row>
    <row r="2247" spans="1:28" ht="14.25" customHeight="1" outlineLevel="1" x14ac:dyDescent="0.2">
      <c r="A2247" s="75" t="s">
        <v>2053</v>
      </c>
      <c r="B2247" s="76" t="s">
        <v>2176</v>
      </c>
      <c r="C2247" s="76"/>
      <c r="D2247" s="81" t="str">
        <f t="shared" si="39"/>
        <v>Inox SoudéFonds bombés 304L</v>
      </c>
      <c r="E2247" s="76" t="s">
        <v>4095</v>
      </c>
      <c r="F2247" s="81">
        <v>4</v>
      </c>
      <c r="G2247" s="108" t="s">
        <v>2180</v>
      </c>
      <c r="H2247" s="71"/>
      <c r="I2247" s="75"/>
      <c r="J2247" s="70">
        <f>IFERROR(VLOOKUP(Devis[[#This Row],[Ref Air Flux]],#REF!,3,FALSE),0)</f>
        <v>0</v>
      </c>
      <c r="K2247" s="68"/>
      <c r="L2247" s="68"/>
      <c r="M2247" s="68"/>
      <c r="N2247" s="68"/>
      <c r="O2247" s="68"/>
      <c r="P2247" s="68"/>
      <c r="Q2247" s="68">
        <f>SUM(Devis[[#This Row],[Poste 1]:[Poste 6]])</f>
        <v>0</v>
      </c>
      <c r="R2247" s="111"/>
      <c r="S2247" s="68">
        <f>_xlfn.CEILING.MATH(Devis[[#This Row],[Quantité Totale]],Devis[[#This Row],[Conditionnement]])</f>
        <v>0</v>
      </c>
      <c r="T2247" s="72">
        <v>1</v>
      </c>
      <c r="U2247" s="106"/>
      <c r="V2247" s="74">
        <f>Devis[[#This Row],[Prix de Revient]]*Devis[[#This Row],[Poste 1]]</f>
        <v>0</v>
      </c>
      <c r="W2247" s="74">
        <f>Devis[[#This Row],[Prix de Revient]]*Devis[[#This Row],[Poste 2]]</f>
        <v>0</v>
      </c>
      <c r="X2247" s="74">
        <f>Devis[[#This Row],[Prix de Revient]]*Devis[[#This Row],[Poste 3]]</f>
        <v>0</v>
      </c>
      <c r="Y2247" s="74">
        <f>Devis[[#This Row],[Poste 4]]*Devis[[#This Row],[Prix de Revient]]</f>
        <v>0</v>
      </c>
      <c r="Z2247" s="74">
        <f>Devis[[#This Row],[Poste 5]]*Devis[[#This Row],[Prix de Revient]]</f>
        <v>0</v>
      </c>
      <c r="AA2247" s="74">
        <f>Devis[[#This Row],[Prix de Revient]]*Devis[[#This Row],[Poste 6]]</f>
        <v>0</v>
      </c>
      <c r="AB2247" s="74">
        <f>Devis[[#This Row],[Quantité Totale]]*Devis[[#This Row],[Prix de Revient]]</f>
        <v>0</v>
      </c>
    </row>
    <row r="2248" spans="1:28" ht="14.25" customHeight="1" outlineLevel="1" x14ac:dyDescent="0.2">
      <c r="A2248" s="75" t="s">
        <v>2053</v>
      </c>
      <c r="B2248" s="76" t="s">
        <v>2176</v>
      </c>
      <c r="C2248" s="76"/>
      <c r="D2248" s="81" t="str">
        <f t="shared" si="39"/>
        <v>Inox SoudéFonds bombés 304L</v>
      </c>
      <c r="E2248" s="76" t="s">
        <v>4096</v>
      </c>
      <c r="F2248" s="81">
        <v>5</v>
      </c>
      <c r="G2248" s="108" t="s">
        <v>2181</v>
      </c>
      <c r="H2248" s="71"/>
      <c r="I2248" s="75"/>
      <c r="J2248" s="70">
        <f>IFERROR(VLOOKUP(Devis[[#This Row],[Ref Air Flux]],#REF!,3,FALSE),0)</f>
        <v>0</v>
      </c>
      <c r="K2248" s="68"/>
      <c r="L2248" s="68"/>
      <c r="M2248" s="68"/>
      <c r="N2248" s="68"/>
      <c r="O2248" s="68"/>
      <c r="P2248" s="68"/>
      <c r="Q2248" s="68">
        <f>SUM(Devis[[#This Row],[Poste 1]:[Poste 6]])</f>
        <v>0</v>
      </c>
      <c r="R2248" s="111"/>
      <c r="S2248" s="68">
        <f>_xlfn.CEILING.MATH(Devis[[#This Row],[Quantité Totale]],Devis[[#This Row],[Conditionnement]])</f>
        <v>0</v>
      </c>
      <c r="T2248" s="72">
        <v>1.25</v>
      </c>
      <c r="U2248" s="106"/>
      <c r="V2248" s="74">
        <f>Devis[[#This Row],[Prix de Revient]]*Devis[[#This Row],[Poste 1]]</f>
        <v>0</v>
      </c>
      <c r="W2248" s="74">
        <f>Devis[[#This Row],[Prix de Revient]]*Devis[[#This Row],[Poste 2]]</f>
        <v>0</v>
      </c>
      <c r="X2248" s="74">
        <f>Devis[[#This Row],[Prix de Revient]]*Devis[[#This Row],[Poste 3]]</f>
        <v>0</v>
      </c>
      <c r="Y2248" s="74">
        <f>Devis[[#This Row],[Poste 4]]*Devis[[#This Row],[Prix de Revient]]</f>
        <v>0</v>
      </c>
      <c r="Z2248" s="74">
        <f>Devis[[#This Row],[Poste 5]]*Devis[[#This Row],[Prix de Revient]]</f>
        <v>0</v>
      </c>
      <c r="AA2248" s="74">
        <f>Devis[[#This Row],[Prix de Revient]]*Devis[[#This Row],[Poste 6]]</f>
        <v>0</v>
      </c>
      <c r="AB2248" s="74">
        <f>Devis[[#This Row],[Quantité Totale]]*Devis[[#This Row],[Prix de Revient]]</f>
        <v>0</v>
      </c>
    </row>
    <row r="2249" spans="1:28" ht="14.25" customHeight="1" outlineLevel="1" x14ac:dyDescent="0.2">
      <c r="A2249" s="75" t="s">
        <v>2053</v>
      </c>
      <c r="B2249" s="76" t="s">
        <v>2176</v>
      </c>
      <c r="C2249" s="76"/>
      <c r="D2249" s="81" t="str">
        <f t="shared" si="39"/>
        <v>Inox SoudéFonds bombés 304L</v>
      </c>
      <c r="E2249" s="76" t="s">
        <v>4097</v>
      </c>
      <c r="F2249" s="81">
        <v>6</v>
      </c>
      <c r="G2249" s="108" t="s">
        <v>2182</v>
      </c>
      <c r="H2249" s="71"/>
      <c r="I2249" s="75"/>
      <c r="J2249" s="70">
        <f>IFERROR(VLOOKUP(Devis[[#This Row],[Ref Air Flux]],#REF!,3,FALSE),0)</f>
        <v>0</v>
      </c>
      <c r="K2249" s="68"/>
      <c r="L2249" s="68"/>
      <c r="M2249" s="68"/>
      <c r="N2249" s="68"/>
      <c r="O2249" s="68"/>
      <c r="P2249" s="68"/>
      <c r="Q2249" s="68">
        <f>SUM(Devis[[#This Row],[Poste 1]:[Poste 6]])</f>
        <v>0</v>
      </c>
      <c r="R2249" s="111"/>
      <c r="S2249" s="68">
        <f>_xlfn.CEILING.MATH(Devis[[#This Row],[Quantité Totale]],Devis[[#This Row],[Conditionnement]])</f>
        <v>0</v>
      </c>
      <c r="T2249" s="72">
        <v>1.5</v>
      </c>
      <c r="U2249" s="106"/>
      <c r="V2249" s="74">
        <f>Devis[[#This Row],[Prix de Revient]]*Devis[[#This Row],[Poste 1]]</f>
        <v>0</v>
      </c>
      <c r="W2249" s="74">
        <f>Devis[[#This Row],[Prix de Revient]]*Devis[[#This Row],[Poste 2]]</f>
        <v>0</v>
      </c>
      <c r="X2249" s="74">
        <f>Devis[[#This Row],[Prix de Revient]]*Devis[[#This Row],[Poste 3]]</f>
        <v>0</v>
      </c>
      <c r="Y2249" s="74">
        <f>Devis[[#This Row],[Poste 4]]*Devis[[#This Row],[Prix de Revient]]</f>
        <v>0</v>
      </c>
      <c r="Z2249" s="74">
        <f>Devis[[#This Row],[Poste 5]]*Devis[[#This Row],[Prix de Revient]]</f>
        <v>0</v>
      </c>
      <c r="AA2249" s="74">
        <f>Devis[[#This Row],[Prix de Revient]]*Devis[[#This Row],[Poste 6]]</f>
        <v>0</v>
      </c>
      <c r="AB2249" s="74">
        <f>Devis[[#This Row],[Quantité Totale]]*Devis[[#This Row],[Prix de Revient]]</f>
        <v>0</v>
      </c>
    </row>
    <row r="2250" spans="1:28" ht="14.25" customHeight="1" outlineLevel="1" x14ac:dyDescent="0.2">
      <c r="A2250" s="75" t="s">
        <v>2053</v>
      </c>
      <c r="B2250" s="76" t="s">
        <v>2176</v>
      </c>
      <c r="C2250" s="76"/>
      <c r="D2250" s="81" t="str">
        <f t="shared" si="39"/>
        <v>Inox SoudéFonds bombés 304L</v>
      </c>
      <c r="E2250" s="76" t="s">
        <v>4098</v>
      </c>
      <c r="F2250" s="81">
        <v>7</v>
      </c>
      <c r="G2250" s="108" t="s">
        <v>2183</v>
      </c>
      <c r="H2250" s="71"/>
      <c r="I2250" s="75"/>
      <c r="J2250" s="70">
        <f>IFERROR(VLOOKUP(Devis[[#This Row],[Ref Air Flux]],#REF!,3,FALSE),0)</f>
        <v>0</v>
      </c>
      <c r="K2250" s="68"/>
      <c r="L2250" s="68"/>
      <c r="M2250" s="68"/>
      <c r="N2250" s="68"/>
      <c r="O2250" s="68"/>
      <c r="P2250" s="68"/>
      <c r="Q2250" s="68">
        <f>SUM(Devis[[#This Row],[Poste 1]:[Poste 6]])</f>
        <v>0</v>
      </c>
      <c r="R2250" s="111"/>
      <c r="S2250" s="68">
        <f>_xlfn.CEILING.MATH(Devis[[#This Row],[Quantité Totale]],Devis[[#This Row],[Conditionnement]])</f>
        <v>0</v>
      </c>
      <c r="T2250" s="72">
        <v>2</v>
      </c>
      <c r="U2250" s="106"/>
      <c r="V2250" s="74">
        <f>Devis[[#This Row],[Prix de Revient]]*Devis[[#This Row],[Poste 1]]</f>
        <v>0</v>
      </c>
      <c r="W2250" s="74">
        <f>Devis[[#This Row],[Prix de Revient]]*Devis[[#This Row],[Poste 2]]</f>
        <v>0</v>
      </c>
      <c r="X2250" s="74">
        <f>Devis[[#This Row],[Prix de Revient]]*Devis[[#This Row],[Poste 3]]</f>
        <v>0</v>
      </c>
      <c r="Y2250" s="74">
        <f>Devis[[#This Row],[Poste 4]]*Devis[[#This Row],[Prix de Revient]]</f>
        <v>0</v>
      </c>
      <c r="Z2250" s="74">
        <f>Devis[[#This Row],[Poste 5]]*Devis[[#This Row],[Prix de Revient]]</f>
        <v>0</v>
      </c>
      <c r="AA2250" s="74">
        <f>Devis[[#This Row],[Prix de Revient]]*Devis[[#This Row],[Poste 6]]</f>
        <v>0</v>
      </c>
      <c r="AB2250" s="74">
        <f>Devis[[#This Row],[Quantité Totale]]*Devis[[#This Row],[Prix de Revient]]</f>
        <v>0</v>
      </c>
    </row>
    <row r="2251" spans="1:28" ht="14.25" customHeight="1" outlineLevel="1" x14ac:dyDescent="0.2">
      <c r="A2251" s="75" t="s">
        <v>2053</v>
      </c>
      <c r="B2251" s="76" t="s">
        <v>2176</v>
      </c>
      <c r="C2251" s="76"/>
      <c r="D2251" s="81" t="str">
        <f t="shared" si="39"/>
        <v>Inox SoudéFonds bombés 304L</v>
      </c>
      <c r="E2251" s="76" t="s">
        <v>4099</v>
      </c>
      <c r="F2251" s="81">
        <v>8</v>
      </c>
      <c r="G2251" s="86" t="s">
        <v>2178</v>
      </c>
      <c r="H2251" s="71"/>
      <c r="I2251" s="75"/>
      <c r="J2251" s="70">
        <f>IFERROR(VLOOKUP(Devis[[#This Row],[Ref Air Flux]],#REF!,3,FALSE),0)</f>
        <v>0</v>
      </c>
      <c r="K2251" s="68"/>
      <c r="L2251" s="68"/>
      <c r="M2251" s="68"/>
      <c r="N2251" s="68"/>
      <c r="O2251" s="68"/>
      <c r="P2251" s="68"/>
      <c r="Q2251" s="68">
        <f>SUM(Devis[[#This Row],[Poste 1]:[Poste 6]])</f>
        <v>0</v>
      </c>
      <c r="R2251" s="111"/>
      <c r="S2251" s="68">
        <f>_xlfn.CEILING.MATH(Devis[[#This Row],[Quantité Totale]],Devis[[#This Row],[Conditionnement]])</f>
        <v>0</v>
      </c>
      <c r="T2251" s="72">
        <v>0.6</v>
      </c>
      <c r="U2251" s="106"/>
      <c r="V2251" s="74">
        <f>Devis[[#This Row],[Prix de Revient]]*Devis[[#This Row],[Poste 1]]</f>
        <v>0</v>
      </c>
      <c r="W2251" s="74">
        <f>Devis[[#This Row],[Prix de Revient]]*Devis[[#This Row],[Poste 2]]</f>
        <v>0</v>
      </c>
      <c r="X2251" s="74">
        <f>Devis[[#This Row],[Prix de Revient]]*Devis[[#This Row],[Poste 3]]</f>
        <v>0</v>
      </c>
      <c r="Y2251" s="74">
        <f>Devis[[#This Row],[Poste 4]]*Devis[[#This Row],[Prix de Revient]]</f>
        <v>0</v>
      </c>
      <c r="Z2251" s="74">
        <f>Devis[[#This Row],[Poste 5]]*Devis[[#This Row],[Prix de Revient]]</f>
        <v>0</v>
      </c>
      <c r="AA2251" s="74">
        <f>Devis[[#This Row],[Prix de Revient]]*Devis[[#This Row],[Poste 6]]</f>
        <v>0</v>
      </c>
      <c r="AB2251" s="74">
        <f>Devis[[#This Row],[Quantité Totale]]*Devis[[#This Row],[Prix de Revient]]</f>
        <v>0</v>
      </c>
    </row>
    <row r="2252" spans="1:28" ht="14.25" outlineLevel="1" x14ac:dyDescent="0.2">
      <c r="A2252" s="75" t="s">
        <v>2053</v>
      </c>
      <c r="B2252" s="76" t="s">
        <v>2176</v>
      </c>
      <c r="C2252" s="76"/>
      <c r="D2252" s="81" t="str">
        <f t="shared" si="39"/>
        <v>Inox SoudéFonds bombés 304L</v>
      </c>
      <c r="E2252" s="76" t="s">
        <v>4100</v>
      </c>
      <c r="F2252" s="81">
        <v>9</v>
      </c>
      <c r="G2252" s="86" t="s">
        <v>2179</v>
      </c>
      <c r="H2252" s="71"/>
      <c r="I2252" s="75"/>
      <c r="J2252" s="70">
        <f>IFERROR(VLOOKUP(Devis[[#This Row],[Ref Air Flux]],#REF!,3,FALSE),0)</f>
        <v>0</v>
      </c>
      <c r="K2252" s="68"/>
      <c r="L2252" s="68"/>
      <c r="M2252" s="68"/>
      <c r="N2252" s="68"/>
      <c r="O2252" s="68"/>
      <c r="P2252" s="68"/>
      <c r="Q2252" s="68">
        <f>SUM(Devis[[#This Row],[Poste 1]:[Poste 6]])</f>
        <v>0</v>
      </c>
      <c r="R2252" s="111"/>
      <c r="S2252" s="68">
        <f>_xlfn.CEILING.MATH(Devis[[#This Row],[Quantité Totale]],Devis[[#This Row],[Conditionnement]])</f>
        <v>0</v>
      </c>
      <c r="T2252" s="72">
        <v>0.75</v>
      </c>
      <c r="U2252" s="106"/>
      <c r="V2252" s="74">
        <f>Devis[[#This Row],[Prix de Revient]]*Devis[[#This Row],[Poste 1]]</f>
        <v>0</v>
      </c>
      <c r="W2252" s="74">
        <f>Devis[[#This Row],[Prix de Revient]]*Devis[[#This Row],[Poste 2]]</f>
        <v>0</v>
      </c>
      <c r="X2252" s="74">
        <f>Devis[[#This Row],[Prix de Revient]]*Devis[[#This Row],[Poste 3]]</f>
        <v>0</v>
      </c>
      <c r="Y2252" s="74">
        <f>Devis[[#This Row],[Poste 4]]*Devis[[#This Row],[Prix de Revient]]</f>
        <v>0</v>
      </c>
      <c r="Z2252" s="74">
        <f>Devis[[#This Row],[Poste 5]]*Devis[[#This Row],[Prix de Revient]]</f>
        <v>0</v>
      </c>
      <c r="AA2252" s="74">
        <f>Devis[[#This Row],[Prix de Revient]]*Devis[[#This Row],[Poste 6]]</f>
        <v>0</v>
      </c>
      <c r="AB2252" s="74">
        <f>Devis[[#This Row],[Quantité Totale]]*Devis[[#This Row],[Prix de Revient]]</f>
        <v>0</v>
      </c>
    </row>
    <row r="2253" spans="1:28" ht="14.25" outlineLevel="1" x14ac:dyDescent="0.2">
      <c r="A2253" s="75" t="s">
        <v>2053</v>
      </c>
      <c r="B2253" s="76" t="s">
        <v>2176</v>
      </c>
      <c r="C2253" s="76"/>
      <c r="D2253" s="81" t="str">
        <f t="shared" si="39"/>
        <v>Inox SoudéFonds bombés 304L</v>
      </c>
      <c r="E2253" s="76" t="s">
        <v>4101</v>
      </c>
      <c r="F2253" s="81">
        <v>10</v>
      </c>
      <c r="G2253" s="108" t="s">
        <v>4102</v>
      </c>
      <c r="H2253" s="71"/>
      <c r="I2253" s="75"/>
      <c r="J2253" s="70">
        <f>IFERROR(VLOOKUP(Devis[[#This Row],[Ref Air Flux]],#REF!,3,FALSE),0)</f>
        <v>0</v>
      </c>
      <c r="K2253" s="68"/>
      <c r="L2253" s="68"/>
      <c r="M2253" s="68"/>
      <c r="N2253" s="68"/>
      <c r="O2253" s="68"/>
      <c r="P2253" s="68"/>
      <c r="Q2253" s="68">
        <f>SUM(Devis[[#This Row],[Poste 1]:[Poste 6]])</f>
        <v>0</v>
      </c>
      <c r="R2253" s="111"/>
      <c r="S2253" s="68">
        <f>_xlfn.CEILING.MATH(Devis[[#This Row],[Quantité Totale]],Devis[[#This Row],[Conditionnement]])</f>
        <v>0</v>
      </c>
      <c r="T2253" s="72">
        <v>0.5</v>
      </c>
      <c r="U2253" s="106"/>
      <c r="V2253" s="74">
        <f>Devis[[#This Row],[Prix de Revient]]*Devis[[#This Row],[Poste 1]]</f>
        <v>0</v>
      </c>
      <c r="W2253" s="74">
        <f>Devis[[#This Row],[Prix de Revient]]*Devis[[#This Row],[Poste 2]]</f>
        <v>0</v>
      </c>
      <c r="X2253" s="74">
        <f>Devis[[#This Row],[Prix de Revient]]*Devis[[#This Row],[Poste 3]]</f>
        <v>0</v>
      </c>
      <c r="Y2253" s="74">
        <f>Devis[[#This Row],[Poste 4]]*Devis[[#This Row],[Prix de Revient]]</f>
        <v>0</v>
      </c>
      <c r="Z2253" s="74">
        <f>Devis[[#This Row],[Poste 5]]*Devis[[#This Row],[Prix de Revient]]</f>
        <v>0</v>
      </c>
      <c r="AA2253" s="74">
        <f>Devis[[#This Row],[Prix de Revient]]*Devis[[#This Row],[Poste 6]]</f>
        <v>0</v>
      </c>
      <c r="AB2253" s="74">
        <f>Devis[[#This Row],[Quantité Totale]]*Devis[[#This Row],[Prix de Revient]]</f>
        <v>0</v>
      </c>
    </row>
    <row r="2254" spans="1:28" ht="14.25" customHeight="1" x14ac:dyDescent="0.25">
      <c r="A2254" s="65" t="s">
        <v>2053</v>
      </c>
      <c r="B2254" s="65" t="s">
        <v>2227</v>
      </c>
      <c r="C2254" s="76"/>
      <c r="D2254" s="81" t="str">
        <f t="shared" si="39"/>
        <v>Inox SoudéRéduc concentrique Inox 304L</v>
      </c>
      <c r="E2254" s="76"/>
      <c r="F2254" s="81">
        <v>0</v>
      </c>
      <c r="G2254" s="86"/>
      <c r="H2254" s="71"/>
      <c r="I2254" s="75"/>
      <c r="J2254" s="70">
        <f>IFERROR(VLOOKUP(Devis[[#This Row],[Ref Air Flux]],#REF!,3,FALSE),0)</f>
        <v>0</v>
      </c>
      <c r="K2254" s="68"/>
      <c r="L2254" s="68"/>
      <c r="M2254" s="68"/>
      <c r="N2254" s="68"/>
      <c r="O2254" s="68"/>
      <c r="P2254" s="68"/>
      <c r="Q2254" s="68">
        <f>SUM(Devis[[#This Row],[Poste 1]:[Poste 6]])</f>
        <v>0</v>
      </c>
      <c r="R2254" s="111"/>
      <c r="S2254" s="68">
        <f>_xlfn.CEILING.MATH(Devis[[#This Row],[Quantité Totale]],Devis[[#This Row],[Conditionnement]])</f>
        <v>0</v>
      </c>
      <c r="T2254" s="72"/>
      <c r="U2254" s="106"/>
      <c r="V2254" s="74">
        <f>Devis[[#This Row],[Prix de Revient]]*Devis[[#This Row],[Poste 1]]</f>
        <v>0</v>
      </c>
      <c r="W2254" s="74">
        <f>Devis[[#This Row],[Prix de Revient]]*Devis[[#This Row],[Poste 2]]</f>
        <v>0</v>
      </c>
      <c r="X2254" s="74">
        <f>Devis[[#This Row],[Prix de Revient]]*Devis[[#This Row],[Poste 3]]</f>
        <v>0</v>
      </c>
      <c r="Y2254" s="74">
        <f>Devis[[#This Row],[Poste 4]]*Devis[[#This Row],[Prix de Revient]]</f>
        <v>0</v>
      </c>
      <c r="Z2254" s="74">
        <f>Devis[[#This Row],[Poste 5]]*Devis[[#This Row],[Prix de Revient]]</f>
        <v>0</v>
      </c>
      <c r="AA2254" s="74">
        <f>Devis[[#This Row],[Prix de Revient]]*Devis[[#This Row],[Poste 6]]</f>
        <v>0</v>
      </c>
      <c r="AB2254" s="74">
        <f>Devis[[#This Row],[Quantité Totale]]*Devis[[#This Row],[Prix de Revient]]</f>
        <v>0</v>
      </c>
    </row>
    <row r="2255" spans="1:28" ht="14.25" outlineLevel="1" x14ac:dyDescent="0.2">
      <c r="A2255" s="75" t="s">
        <v>2053</v>
      </c>
      <c r="B2255" s="76" t="s">
        <v>2227</v>
      </c>
      <c r="C2255" s="76"/>
      <c r="D2255" s="81" t="str">
        <f t="shared" si="39"/>
        <v>Inox SoudéRéduc concentrique Inox 304L</v>
      </c>
      <c r="E2255" s="76" t="s">
        <v>3431</v>
      </c>
      <c r="F2255" s="81">
        <v>1</v>
      </c>
      <c r="G2255" s="86" t="s">
        <v>4085</v>
      </c>
      <c r="H2255" s="71"/>
      <c r="I2255" s="75"/>
      <c r="J2255" s="70">
        <f>IFERROR(VLOOKUP(Devis[[#This Row],[Ref Air Flux]],#REF!,3,FALSE),0)</f>
        <v>0</v>
      </c>
      <c r="K2255" s="68"/>
      <c r="L2255" s="68"/>
      <c r="M2255" s="68"/>
      <c r="N2255" s="68"/>
      <c r="O2255" s="68"/>
      <c r="P2255" s="68"/>
      <c r="Q2255" s="68">
        <f>SUM(Devis[[#This Row],[Poste 1]:[Poste 6]])</f>
        <v>0</v>
      </c>
      <c r="R2255" s="71"/>
      <c r="S2255" s="68">
        <f>_xlfn.CEILING.MATH(Devis[[#This Row],[Quantité Totale]],Devis[[#This Row],[Conditionnement]])</f>
        <v>0</v>
      </c>
      <c r="T2255" s="72"/>
      <c r="U2255" s="106"/>
      <c r="V2255" s="74">
        <f>Devis[[#This Row],[Prix de Revient]]*Devis[[#This Row],[Poste 1]]</f>
        <v>0</v>
      </c>
      <c r="W2255" s="74">
        <f>Devis[[#This Row],[Prix de Revient]]*Devis[[#This Row],[Poste 2]]</f>
        <v>0</v>
      </c>
      <c r="X2255" s="74">
        <f>Devis[[#This Row],[Prix de Revient]]*Devis[[#This Row],[Poste 3]]</f>
        <v>0</v>
      </c>
      <c r="Y2255" s="74">
        <f>Devis[[#This Row],[Poste 4]]*Devis[[#This Row],[Prix de Revient]]</f>
        <v>0</v>
      </c>
      <c r="Z2255" s="74">
        <f>Devis[[#This Row],[Poste 5]]*Devis[[#This Row],[Prix de Revient]]</f>
        <v>0</v>
      </c>
      <c r="AA2255" s="74">
        <f>Devis[[#This Row],[Prix de Revient]]*Devis[[#This Row],[Poste 6]]</f>
        <v>0</v>
      </c>
      <c r="AB2255" s="74">
        <f>Devis[[#This Row],[Quantité Totale]]*Devis[[#This Row],[Prix de Revient]]</f>
        <v>0</v>
      </c>
    </row>
    <row r="2256" spans="1:28" ht="14.25" outlineLevel="1" x14ac:dyDescent="0.2">
      <c r="A2256" s="75" t="s">
        <v>2053</v>
      </c>
      <c r="B2256" s="76" t="s">
        <v>2227</v>
      </c>
      <c r="C2256" s="76"/>
      <c r="D2256" s="81" t="str">
        <f t="shared" si="39"/>
        <v>Inox SoudéRéduc concentrique Inox 304L</v>
      </c>
      <c r="E2256" s="76" t="s">
        <v>2275</v>
      </c>
      <c r="F2256" s="81">
        <v>2</v>
      </c>
      <c r="G2256" s="86" t="s">
        <v>2276</v>
      </c>
      <c r="H2256" s="71"/>
      <c r="I2256" s="75"/>
      <c r="J2256" s="70">
        <f>IFERROR(VLOOKUP(Devis[[#This Row],[Ref Air Flux]],#REF!,3,FALSE),0)</f>
        <v>0</v>
      </c>
      <c r="K2256" s="68"/>
      <c r="L2256" s="68"/>
      <c r="M2256" s="68"/>
      <c r="N2256" s="68"/>
      <c r="O2256" s="68"/>
      <c r="P2256" s="68"/>
      <c r="Q2256" s="68">
        <f>SUM(Devis[[#This Row],[Poste 1]:[Poste 6]])</f>
        <v>0</v>
      </c>
      <c r="R2256" s="111"/>
      <c r="S2256" s="68">
        <f>_xlfn.CEILING.MATH(Devis[[#This Row],[Quantité Totale]],Devis[[#This Row],[Conditionnement]])</f>
        <v>0</v>
      </c>
      <c r="T2256" s="72">
        <v>0.6</v>
      </c>
      <c r="U2256" s="106"/>
      <c r="V2256" s="74">
        <f>Devis[[#This Row],[Prix de Revient]]*Devis[[#This Row],[Poste 1]]</f>
        <v>0</v>
      </c>
      <c r="W2256" s="74">
        <f>Devis[[#This Row],[Prix de Revient]]*Devis[[#This Row],[Poste 2]]</f>
        <v>0</v>
      </c>
      <c r="X2256" s="74">
        <f>Devis[[#This Row],[Prix de Revient]]*Devis[[#This Row],[Poste 3]]</f>
        <v>0</v>
      </c>
      <c r="Y2256" s="74">
        <f>Devis[[#This Row],[Poste 4]]*Devis[[#This Row],[Prix de Revient]]</f>
        <v>0</v>
      </c>
      <c r="Z2256" s="74">
        <f>Devis[[#This Row],[Poste 5]]*Devis[[#This Row],[Prix de Revient]]</f>
        <v>0</v>
      </c>
      <c r="AA2256" s="74">
        <f>Devis[[#This Row],[Prix de Revient]]*Devis[[#This Row],[Poste 6]]</f>
        <v>0</v>
      </c>
      <c r="AB2256" s="74">
        <f>Devis[[#This Row],[Quantité Totale]]*Devis[[#This Row],[Prix de Revient]]</f>
        <v>0</v>
      </c>
    </row>
    <row r="2257" spans="1:28" ht="14.25" outlineLevel="1" x14ac:dyDescent="0.2">
      <c r="A2257" s="75" t="s">
        <v>2053</v>
      </c>
      <c r="B2257" s="76" t="s">
        <v>2227</v>
      </c>
      <c r="C2257" s="76"/>
      <c r="D2257" s="81" t="str">
        <f t="shared" si="39"/>
        <v>Inox SoudéRéduc concentrique Inox 304L</v>
      </c>
      <c r="E2257" s="76" t="s">
        <v>2273</v>
      </c>
      <c r="F2257" s="81">
        <v>3</v>
      </c>
      <c r="G2257" s="86" t="s">
        <v>2274</v>
      </c>
      <c r="H2257" s="71"/>
      <c r="I2257" s="75"/>
      <c r="J2257" s="70">
        <f>IFERROR(VLOOKUP(Devis[[#This Row],[Ref Air Flux]],#REF!,3,FALSE),0)</f>
        <v>0</v>
      </c>
      <c r="K2257" s="68"/>
      <c r="L2257" s="68"/>
      <c r="M2257" s="68"/>
      <c r="N2257" s="68"/>
      <c r="O2257" s="68"/>
      <c r="P2257" s="68"/>
      <c r="Q2257" s="68">
        <f>SUM(Devis[[#This Row],[Poste 1]:[Poste 6]])</f>
        <v>0</v>
      </c>
      <c r="R2257" s="111"/>
      <c r="S2257" s="68">
        <f>_xlfn.CEILING.MATH(Devis[[#This Row],[Quantité Totale]],Devis[[#This Row],[Conditionnement]])</f>
        <v>0</v>
      </c>
      <c r="T2257" s="72">
        <v>0.64999999999999991</v>
      </c>
      <c r="U2257" s="106"/>
      <c r="V2257" s="74">
        <f>Devis[[#This Row],[Prix de Revient]]*Devis[[#This Row],[Poste 1]]</f>
        <v>0</v>
      </c>
      <c r="W2257" s="74">
        <f>Devis[[#This Row],[Prix de Revient]]*Devis[[#This Row],[Poste 2]]</f>
        <v>0</v>
      </c>
      <c r="X2257" s="74">
        <f>Devis[[#This Row],[Prix de Revient]]*Devis[[#This Row],[Poste 3]]</f>
        <v>0</v>
      </c>
      <c r="Y2257" s="74">
        <f>Devis[[#This Row],[Poste 4]]*Devis[[#This Row],[Prix de Revient]]</f>
        <v>0</v>
      </c>
      <c r="Z2257" s="74">
        <f>Devis[[#This Row],[Poste 5]]*Devis[[#This Row],[Prix de Revient]]</f>
        <v>0</v>
      </c>
      <c r="AA2257" s="74">
        <f>Devis[[#This Row],[Prix de Revient]]*Devis[[#This Row],[Poste 6]]</f>
        <v>0</v>
      </c>
      <c r="AB2257" s="74">
        <f>Devis[[#This Row],[Quantité Totale]]*Devis[[#This Row],[Prix de Revient]]</f>
        <v>0</v>
      </c>
    </row>
    <row r="2258" spans="1:28" ht="14.25" outlineLevel="1" x14ac:dyDescent="0.2">
      <c r="A2258" s="75" t="s">
        <v>2053</v>
      </c>
      <c r="B2258" s="76" t="s">
        <v>2227</v>
      </c>
      <c r="C2258" s="76"/>
      <c r="D2258" s="81" t="str">
        <f t="shared" si="39"/>
        <v>Inox SoudéRéduc concentrique Inox 304L</v>
      </c>
      <c r="E2258" s="76" t="s">
        <v>2277</v>
      </c>
      <c r="F2258" s="81">
        <v>4</v>
      </c>
      <c r="G2258" s="86" t="s">
        <v>2278</v>
      </c>
      <c r="H2258" s="71"/>
      <c r="I2258" s="75"/>
      <c r="J2258" s="70">
        <f>IFERROR(VLOOKUP(Devis[[#This Row],[Ref Air Flux]],#REF!,3,FALSE),0)</f>
        <v>0</v>
      </c>
      <c r="K2258" s="68"/>
      <c r="L2258" s="68"/>
      <c r="M2258" s="68"/>
      <c r="N2258" s="68"/>
      <c r="O2258" s="68"/>
      <c r="P2258" s="68"/>
      <c r="Q2258" s="68">
        <f>SUM(Devis[[#This Row],[Poste 1]:[Poste 6]])</f>
        <v>0</v>
      </c>
      <c r="R2258" s="111"/>
      <c r="S2258" s="68">
        <f>_xlfn.CEILING.MATH(Devis[[#This Row],[Quantité Totale]],Devis[[#This Row],[Conditionnement]])</f>
        <v>0</v>
      </c>
      <c r="T2258" s="72">
        <v>0.55000000000000004</v>
      </c>
      <c r="U2258" s="106"/>
      <c r="V2258" s="74">
        <f>Devis[[#This Row],[Prix de Revient]]*Devis[[#This Row],[Poste 1]]</f>
        <v>0</v>
      </c>
      <c r="W2258" s="74">
        <f>Devis[[#This Row],[Prix de Revient]]*Devis[[#This Row],[Poste 2]]</f>
        <v>0</v>
      </c>
      <c r="X2258" s="74">
        <f>Devis[[#This Row],[Prix de Revient]]*Devis[[#This Row],[Poste 3]]</f>
        <v>0</v>
      </c>
      <c r="Y2258" s="74">
        <f>Devis[[#This Row],[Poste 4]]*Devis[[#This Row],[Prix de Revient]]</f>
        <v>0</v>
      </c>
      <c r="Z2258" s="74">
        <f>Devis[[#This Row],[Poste 5]]*Devis[[#This Row],[Prix de Revient]]</f>
        <v>0</v>
      </c>
      <c r="AA2258" s="74">
        <f>Devis[[#This Row],[Prix de Revient]]*Devis[[#This Row],[Poste 6]]</f>
        <v>0</v>
      </c>
      <c r="AB2258" s="74">
        <f>Devis[[#This Row],[Quantité Totale]]*Devis[[#This Row],[Prix de Revient]]</f>
        <v>0</v>
      </c>
    </row>
    <row r="2259" spans="1:28" ht="14.25" customHeight="1" outlineLevel="1" x14ac:dyDescent="0.2">
      <c r="A2259" s="75" t="s">
        <v>2053</v>
      </c>
      <c r="B2259" s="76" t="s">
        <v>2227</v>
      </c>
      <c r="C2259" s="76"/>
      <c r="D2259" s="81" t="str">
        <f t="shared" si="39"/>
        <v>Inox SoudéRéduc concentrique Inox 304L</v>
      </c>
      <c r="E2259" s="76" t="s">
        <v>2281</v>
      </c>
      <c r="F2259" s="81">
        <v>5</v>
      </c>
      <c r="G2259" s="86" t="s">
        <v>2282</v>
      </c>
      <c r="H2259" s="71"/>
      <c r="I2259" s="75"/>
      <c r="J2259" s="70">
        <f>IFERROR(VLOOKUP(Devis[[#This Row],[Ref Air Flux]],#REF!,3,FALSE),0)</f>
        <v>0</v>
      </c>
      <c r="K2259" s="68"/>
      <c r="L2259" s="68"/>
      <c r="M2259" s="68"/>
      <c r="N2259" s="68"/>
      <c r="O2259" s="68"/>
      <c r="P2259" s="68"/>
      <c r="Q2259" s="68">
        <f>SUM(Devis[[#This Row],[Poste 1]:[Poste 6]])</f>
        <v>0</v>
      </c>
      <c r="R2259" s="111"/>
      <c r="S2259" s="68">
        <f>_xlfn.CEILING.MATH(Devis[[#This Row],[Quantité Totale]],Devis[[#This Row],[Conditionnement]])</f>
        <v>0</v>
      </c>
      <c r="T2259" s="72">
        <v>0.5</v>
      </c>
      <c r="U2259" s="106"/>
      <c r="V2259" s="74">
        <f>Devis[[#This Row],[Prix de Revient]]*Devis[[#This Row],[Poste 1]]</f>
        <v>0</v>
      </c>
      <c r="W2259" s="74">
        <f>Devis[[#This Row],[Prix de Revient]]*Devis[[#This Row],[Poste 2]]</f>
        <v>0</v>
      </c>
      <c r="X2259" s="74">
        <f>Devis[[#This Row],[Prix de Revient]]*Devis[[#This Row],[Poste 3]]</f>
        <v>0</v>
      </c>
      <c r="Y2259" s="74">
        <f>Devis[[#This Row],[Poste 4]]*Devis[[#This Row],[Prix de Revient]]</f>
        <v>0</v>
      </c>
      <c r="Z2259" s="74">
        <f>Devis[[#This Row],[Poste 5]]*Devis[[#This Row],[Prix de Revient]]</f>
        <v>0</v>
      </c>
      <c r="AA2259" s="74">
        <f>Devis[[#This Row],[Prix de Revient]]*Devis[[#This Row],[Poste 6]]</f>
        <v>0</v>
      </c>
      <c r="AB2259" s="74">
        <f>Devis[[#This Row],[Quantité Totale]]*Devis[[#This Row],[Prix de Revient]]</f>
        <v>0</v>
      </c>
    </row>
    <row r="2260" spans="1:28" ht="14.25" customHeight="1" outlineLevel="1" x14ac:dyDescent="0.2">
      <c r="A2260" s="75" t="s">
        <v>2053</v>
      </c>
      <c r="B2260" s="76" t="s">
        <v>2227</v>
      </c>
      <c r="C2260" s="76"/>
      <c r="D2260" s="81" t="str">
        <f t="shared" si="39"/>
        <v>Inox SoudéRéduc concentrique Inox 304L</v>
      </c>
      <c r="E2260" s="76" t="s">
        <v>2279</v>
      </c>
      <c r="F2260" s="81">
        <v>6</v>
      </c>
      <c r="G2260" s="86" t="s">
        <v>2280</v>
      </c>
      <c r="H2260" s="71"/>
      <c r="I2260" s="75"/>
      <c r="J2260" s="70">
        <f>IFERROR(VLOOKUP(Devis[[#This Row],[Ref Air Flux]],#REF!,3,FALSE),0)</f>
        <v>0</v>
      </c>
      <c r="K2260" s="68"/>
      <c r="L2260" s="68"/>
      <c r="M2260" s="68"/>
      <c r="N2260" s="68"/>
      <c r="O2260" s="68"/>
      <c r="P2260" s="68"/>
      <c r="Q2260" s="68">
        <f>SUM(Devis[[#This Row],[Poste 1]:[Poste 6]])</f>
        <v>0</v>
      </c>
      <c r="R2260" s="111"/>
      <c r="S2260" s="68">
        <f>_xlfn.CEILING.MATH(Devis[[#This Row],[Quantité Totale]],Devis[[#This Row],[Conditionnement]])</f>
        <v>0</v>
      </c>
      <c r="T2260" s="72">
        <v>0.5</v>
      </c>
      <c r="U2260" s="106"/>
      <c r="V2260" s="74">
        <f>Devis[[#This Row],[Prix de Revient]]*Devis[[#This Row],[Poste 1]]</f>
        <v>0</v>
      </c>
      <c r="W2260" s="74">
        <f>Devis[[#This Row],[Prix de Revient]]*Devis[[#This Row],[Poste 2]]</f>
        <v>0</v>
      </c>
      <c r="X2260" s="74">
        <f>Devis[[#This Row],[Prix de Revient]]*Devis[[#This Row],[Poste 3]]</f>
        <v>0</v>
      </c>
      <c r="Y2260" s="74">
        <f>Devis[[#This Row],[Poste 4]]*Devis[[#This Row],[Prix de Revient]]</f>
        <v>0</v>
      </c>
      <c r="Z2260" s="74">
        <f>Devis[[#This Row],[Poste 5]]*Devis[[#This Row],[Prix de Revient]]</f>
        <v>0</v>
      </c>
      <c r="AA2260" s="74">
        <f>Devis[[#This Row],[Prix de Revient]]*Devis[[#This Row],[Poste 6]]</f>
        <v>0</v>
      </c>
      <c r="AB2260" s="74">
        <f>Devis[[#This Row],[Quantité Totale]]*Devis[[#This Row],[Prix de Revient]]</f>
        <v>0</v>
      </c>
    </row>
    <row r="2261" spans="1:28" ht="14.25" customHeight="1" outlineLevel="1" x14ac:dyDescent="0.2">
      <c r="A2261" s="75" t="s">
        <v>2053</v>
      </c>
      <c r="B2261" s="76" t="s">
        <v>2227</v>
      </c>
      <c r="C2261" s="76"/>
      <c r="D2261" s="81" t="str">
        <f t="shared" si="39"/>
        <v>Inox SoudéRéduc concentrique Inox 304L</v>
      </c>
      <c r="E2261" s="76" t="s">
        <v>2283</v>
      </c>
      <c r="F2261" s="81">
        <v>7</v>
      </c>
      <c r="G2261" s="86" t="s">
        <v>2284</v>
      </c>
      <c r="H2261" s="71"/>
      <c r="I2261" s="75"/>
      <c r="J2261" s="70">
        <f>IFERROR(VLOOKUP(Devis[[#This Row],[Ref Air Flux]],#REF!,3,FALSE),0)</f>
        <v>0</v>
      </c>
      <c r="K2261" s="68"/>
      <c r="L2261" s="68"/>
      <c r="M2261" s="68"/>
      <c r="N2261" s="68"/>
      <c r="O2261" s="68"/>
      <c r="P2261" s="68"/>
      <c r="Q2261" s="68">
        <f>SUM(Devis[[#This Row],[Poste 1]:[Poste 6]])</f>
        <v>0</v>
      </c>
      <c r="R2261" s="111"/>
      <c r="S2261" s="68">
        <f>_xlfn.CEILING.MATH(Devis[[#This Row],[Quantité Totale]],Devis[[#This Row],[Conditionnement]])</f>
        <v>0</v>
      </c>
      <c r="T2261" s="72">
        <v>0.5</v>
      </c>
      <c r="U2261" s="106"/>
      <c r="V2261" s="74">
        <f>Devis[[#This Row],[Prix de Revient]]*Devis[[#This Row],[Poste 1]]</f>
        <v>0</v>
      </c>
      <c r="W2261" s="74">
        <f>Devis[[#This Row],[Prix de Revient]]*Devis[[#This Row],[Poste 2]]</f>
        <v>0</v>
      </c>
      <c r="X2261" s="74">
        <f>Devis[[#This Row],[Prix de Revient]]*Devis[[#This Row],[Poste 3]]</f>
        <v>0</v>
      </c>
      <c r="Y2261" s="74">
        <f>Devis[[#This Row],[Poste 4]]*Devis[[#This Row],[Prix de Revient]]</f>
        <v>0</v>
      </c>
      <c r="Z2261" s="74">
        <f>Devis[[#This Row],[Poste 5]]*Devis[[#This Row],[Prix de Revient]]</f>
        <v>0</v>
      </c>
      <c r="AA2261" s="74">
        <f>Devis[[#This Row],[Prix de Revient]]*Devis[[#This Row],[Poste 6]]</f>
        <v>0</v>
      </c>
      <c r="AB2261" s="74">
        <f>Devis[[#This Row],[Quantité Totale]]*Devis[[#This Row],[Prix de Revient]]</f>
        <v>0</v>
      </c>
    </row>
    <row r="2262" spans="1:28" ht="14.25" outlineLevel="1" x14ac:dyDescent="0.2">
      <c r="A2262" s="75" t="s">
        <v>2053</v>
      </c>
      <c r="B2262" s="76" t="s">
        <v>2227</v>
      </c>
      <c r="C2262" s="76"/>
      <c r="D2262" s="81" t="str">
        <f t="shared" si="39"/>
        <v>Inox SoudéRéduc concentrique Inox 304L</v>
      </c>
      <c r="E2262" s="76" t="s">
        <v>2269</v>
      </c>
      <c r="F2262" s="81">
        <v>8</v>
      </c>
      <c r="G2262" s="86" t="s">
        <v>2270</v>
      </c>
      <c r="H2262" s="71"/>
      <c r="I2262" s="75"/>
      <c r="J2262" s="70">
        <f>IFERROR(VLOOKUP(Devis[[#This Row],[Ref Air Flux]],#REF!,3,FALSE),0)</f>
        <v>0</v>
      </c>
      <c r="K2262" s="68"/>
      <c r="L2262" s="68"/>
      <c r="M2262" s="68"/>
      <c r="N2262" s="68"/>
      <c r="O2262" s="68"/>
      <c r="P2262" s="68"/>
      <c r="Q2262" s="68">
        <f>SUM(Devis[[#This Row],[Poste 1]:[Poste 6]])</f>
        <v>0</v>
      </c>
      <c r="R2262" s="111"/>
      <c r="S2262" s="68">
        <f>_xlfn.CEILING.MATH(Devis[[#This Row],[Quantité Totale]],Devis[[#This Row],[Conditionnement]])</f>
        <v>0</v>
      </c>
      <c r="T2262" s="72">
        <v>0.8</v>
      </c>
      <c r="U2262" s="106"/>
      <c r="V2262" s="74">
        <f>Devis[[#This Row],[Prix de Revient]]*Devis[[#This Row],[Poste 1]]</f>
        <v>0</v>
      </c>
      <c r="W2262" s="74">
        <f>Devis[[#This Row],[Prix de Revient]]*Devis[[#This Row],[Poste 2]]</f>
        <v>0</v>
      </c>
      <c r="X2262" s="74">
        <f>Devis[[#This Row],[Prix de Revient]]*Devis[[#This Row],[Poste 3]]</f>
        <v>0</v>
      </c>
      <c r="Y2262" s="74">
        <f>Devis[[#This Row],[Poste 4]]*Devis[[#This Row],[Prix de Revient]]</f>
        <v>0</v>
      </c>
      <c r="Z2262" s="74">
        <f>Devis[[#This Row],[Poste 5]]*Devis[[#This Row],[Prix de Revient]]</f>
        <v>0</v>
      </c>
      <c r="AA2262" s="74">
        <f>Devis[[#This Row],[Prix de Revient]]*Devis[[#This Row],[Poste 6]]</f>
        <v>0</v>
      </c>
      <c r="AB2262" s="74">
        <f>Devis[[#This Row],[Quantité Totale]]*Devis[[#This Row],[Prix de Revient]]</f>
        <v>0</v>
      </c>
    </row>
    <row r="2263" spans="1:28" ht="14.25" outlineLevel="1" x14ac:dyDescent="0.2">
      <c r="A2263" s="75" t="s">
        <v>2053</v>
      </c>
      <c r="B2263" s="76" t="s">
        <v>2227</v>
      </c>
      <c r="C2263" s="76"/>
      <c r="D2263" s="81" t="str">
        <f t="shared" si="39"/>
        <v>Inox SoudéRéduc concentrique Inox 304L</v>
      </c>
      <c r="E2263" s="76" t="s">
        <v>2252</v>
      </c>
      <c r="F2263" s="81">
        <v>9</v>
      </c>
      <c r="G2263" s="86" t="s">
        <v>2253</v>
      </c>
      <c r="H2263" s="71"/>
      <c r="I2263" s="75"/>
      <c r="J2263" s="70">
        <f>IFERROR(VLOOKUP(Devis[[#This Row],[Ref Air Flux]],#REF!,3,FALSE),0)</f>
        <v>0</v>
      </c>
      <c r="K2263" s="68"/>
      <c r="L2263" s="68"/>
      <c r="M2263" s="68"/>
      <c r="N2263" s="68"/>
      <c r="O2263" s="68"/>
      <c r="P2263" s="68"/>
      <c r="Q2263" s="68">
        <f>SUM(Devis[[#This Row],[Poste 1]:[Poste 6]])</f>
        <v>0</v>
      </c>
      <c r="R2263" s="111"/>
      <c r="S2263" s="68">
        <f>_xlfn.CEILING.MATH(Devis[[#This Row],[Quantité Totale]],Devis[[#This Row],[Conditionnement]])</f>
        <v>0</v>
      </c>
      <c r="T2263" s="72">
        <v>1.5</v>
      </c>
      <c r="U2263" s="106"/>
      <c r="V2263" s="74">
        <f>Devis[[#This Row],[Prix de Revient]]*Devis[[#This Row],[Poste 1]]</f>
        <v>0</v>
      </c>
      <c r="W2263" s="74">
        <f>Devis[[#This Row],[Prix de Revient]]*Devis[[#This Row],[Poste 2]]</f>
        <v>0</v>
      </c>
      <c r="X2263" s="74">
        <f>Devis[[#This Row],[Prix de Revient]]*Devis[[#This Row],[Poste 3]]</f>
        <v>0</v>
      </c>
      <c r="Y2263" s="74">
        <f>Devis[[#This Row],[Poste 4]]*Devis[[#This Row],[Prix de Revient]]</f>
        <v>0</v>
      </c>
      <c r="Z2263" s="74">
        <f>Devis[[#This Row],[Poste 5]]*Devis[[#This Row],[Prix de Revient]]</f>
        <v>0</v>
      </c>
      <c r="AA2263" s="74">
        <f>Devis[[#This Row],[Prix de Revient]]*Devis[[#This Row],[Poste 6]]</f>
        <v>0</v>
      </c>
      <c r="AB2263" s="74">
        <f>Devis[[#This Row],[Quantité Totale]]*Devis[[#This Row],[Prix de Revient]]</f>
        <v>0</v>
      </c>
    </row>
    <row r="2264" spans="1:28" ht="14.25" outlineLevel="1" x14ac:dyDescent="0.2">
      <c r="A2264" s="75" t="s">
        <v>2053</v>
      </c>
      <c r="B2264" s="76" t="s">
        <v>2227</v>
      </c>
      <c r="C2264" s="76"/>
      <c r="D2264" s="81" t="str">
        <f t="shared" si="39"/>
        <v>Inox SoudéRéduc concentrique Inox 304L</v>
      </c>
      <c r="E2264" s="76" t="s">
        <v>2250</v>
      </c>
      <c r="F2264" s="81">
        <v>10</v>
      </c>
      <c r="G2264" s="86" t="s">
        <v>2251</v>
      </c>
      <c r="H2264" s="71"/>
      <c r="I2264" s="75"/>
      <c r="J2264" s="70">
        <f>IFERROR(VLOOKUP(Devis[[#This Row],[Ref Air Flux]],#REF!,3,FALSE),0)</f>
        <v>0</v>
      </c>
      <c r="K2264" s="68"/>
      <c r="L2264" s="68"/>
      <c r="M2264" s="68"/>
      <c r="N2264" s="68"/>
      <c r="O2264" s="68"/>
      <c r="P2264" s="68"/>
      <c r="Q2264" s="68">
        <f>SUM(Devis[[#This Row],[Poste 1]:[Poste 6]])</f>
        <v>0</v>
      </c>
      <c r="R2264" s="111"/>
      <c r="S2264" s="68">
        <f>_xlfn.CEILING.MATH(Devis[[#This Row],[Quantité Totale]],Devis[[#This Row],[Conditionnement]])</f>
        <v>0</v>
      </c>
      <c r="T2264" s="72">
        <v>1.6</v>
      </c>
      <c r="U2264" s="106"/>
      <c r="V2264" s="74">
        <f>Devis[[#This Row],[Prix de Revient]]*Devis[[#This Row],[Poste 1]]</f>
        <v>0</v>
      </c>
      <c r="W2264" s="74">
        <f>Devis[[#This Row],[Prix de Revient]]*Devis[[#This Row],[Poste 2]]</f>
        <v>0</v>
      </c>
      <c r="X2264" s="74">
        <f>Devis[[#This Row],[Prix de Revient]]*Devis[[#This Row],[Poste 3]]</f>
        <v>0</v>
      </c>
      <c r="Y2264" s="74">
        <f>Devis[[#This Row],[Poste 4]]*Devis[[#This Row],[Prix de Revient]]</f>
        <v>0</v>
      </c>
      <c r="Z2264" s="74">
        <f>Devis[[#This Row],[Poste 5]]*Devis[[#This Row],[Prix de Revient]]</f>
        <v>0</v>
      </c>
      <c r="AA2264" s="74">
        <f>Devis[[#This Row],[Prix de Revient]]*Devis[[#This Row],[Poste 6]]</f>
        <v>0</v>
      </c>
      <c r="AB2264" s="74">
        <f>Devis[[#This Row],[Quantité Totale]]*Devis[[#This Row],[Prix de Revient]]</f>
        <v>0</v>
      </c>
    </row>
    <row r="2265" spans="1:28" ht="14.25" outlineLevel="1" x14ac:dyDescent="0.2">
      <c r="A2265" s="75" t="s">
        <v>2053</v>
      </c>
      <c r="B2265" s="76" t="s">
        <v>2227</v>
      </c>
      <c r="C2265" s="76"/>
      <c r="D2265" s="81" t="str">
        <f t="shared" si="39"/>
        <v>Inox SoudéRéduc concentrique Inox 304L</v>
      </c>
      <c r="E2265" s="76" t="s">
        <v>2248</v>
      </c>
      <c r="F2265" s="81">
        <v>11</v>
      </c>
      <c r="G2265" s="86" t="s">
        <v>2249</v>
      </c>
      <c r="H2265" s="71"/>
      <c r="I2265" s="75"/>
      <c r="J2265" s="70">
        <f>IFERROR(VLOOKUP(Devis[[#This Row],[Ref Air Flux]],#REF!,3,FALSE),0)</f>
        <v>0</v>
      </c>
      <c r="K2265" s="68"/>
      <c r="L2265" s="68"/>
      <c r="M2265" s="68"/>
      <c r="N2265" s="68"/>
      <c r="O2265" s="68"/>
      <c r="P2265" s="68"/>
      <c r="Q2265" s="68">
        <f>SUM(Devis[[#This Row],[Poste 1]:[Poste 6]])</f>
        <v>0</v>
      </c>
      <c r="R2265" s="111"/>
      <c r="S2265" s="68">
        <f>_xlfn.CEILING.MATH(Devis[[#This Row],[Quantité Totale]],Devis[[#This Row],[Conditionnement]])</f>
        <v>0</v>
      </c>
      <c r="T2265" s="72">
        <v>1.75</v>
      </c>
      <c r="U2265" s="106"/>
      <c r="V2265" s="74">
        <f>Devis[[#This Row],[Prix de Revient]]*Devis[[#This Row],[Poste 1]]</f>
        <v>0</v>
      </c>
      <c r="W2265" s="74">
        <f>Devis[[#This Row],[Prix de Revient]]*Devis[[#This Row],[Poste 2]]</f>
        <v>0</v>
      </c>
      <c r="X2265" s="74">
        <f>Devis[[#This Row],[Prix de Revient]]*Devis[[#This Row],[Poste 3]]</f>
        <v>0</v>
      </c>
      <c r="Y2265" s="74">
        <f>Devis[[#This Row],[Poste 4]]*Devis[[#This Row],[Prix de Revient]]</f>
        <v>0</v>
      </c>
      <c r="Z2265" s="74">
        <f>Devis[[#This Row],[Poste 5]]*Devis[[#This Row],[Prix de Revient]]</f>
        <v>0</v>
      </c>
      <c r="AA2265" s="74">
        <f>Devis[[#This Row],[Prix de Revient]]*Devis[[#This Row],[Poste 6]]</f>
        <v>0</v>
      </c>
      <c r="AB2265" s="74">
        <f>Devis[[#This Row],[Quantité Totale]]*Devis[[#This Row],[Prix de Revient]]</f>
        <v>0</v>
      </c>
    </row>
    <row r="2266" spans="1:28" ht="14.25" outlineLevel="1" x14ac:dyDescent="0.2">
      <c r="A2266" s="75" t="s">
        <v>2053</v>
      </c>
      <c r="B2266" s="76" t="s">
        <v>2227</v>
      </c>
      <c r="C2266" s="76"/>
      <c r="D2266" s="81" t="str">
        <f t="shared" si="39"/>
        <v>Inox SoudéRéduc concentrique Inox 304L</v>
      </c>
      <c r="E2266" s="76" t="s">
        <v>2242</v>
      </c>
      <c r="F2266" s="81">
        <v>12</v>
      </c>
      <c r="G2266" s="86" t="s">
        <v>2243</v>
      </c>
      <c r="H2266" s="71"/>
      <c r="I2266" s="75"/>
      <c r="J2266" s="70">
        <f>IFERROR(VLOOKUP(Devis[[#This Row],[Ref Air Flux]],#REF!,3,FALSE),0)</f>
        <v>0</v>
      </c>
      <c r="K2266" s="68"/>
      <c r="L2266" s="68"/>
      <c r="M2266" s="68"/>
      <c r="N2266" s="68"/>
      <c r="O2266" s="68"/>
      <c r="P2266" s="68"/>
      <c r="Q2266" s="68">
        <f>SUM(Devis[[#This Row],[Poste 1]:[Poste 6]])</f>
        <v>0</v>
      </c>
      <c r="R2266" s="111"/>
      <c r="S2266" s="68">
        <f>_xlfn.CEILING.MATH(Devis[[#This Row],[Quantité Totale]],Devis[[#This Row],[Conditionnement]])</f>
        <v>0</v>
      </c>
      <c r="T2266" s="72">
        <v>2.25</v>
      </c>
      <c r="U2266" s="106"/>
      <c r="V2266" s="74">
        <f>Devis[[#This Row],[Prix de Revient]]*Devis[[#This Row],[Poste 1]]</f>
        <v>0</v>
      </c>
      <c r="W2266" s="74">
        <f>Devis[[#This Row],[Prix de Revient]]*Devis[[#This Row],[Poste 2]]</f>
        <v>0</v>
      </c>
      <c r="X2266" s="74">
        <f>Devis[[#This Row],[Prix de Revient]]*Devis[[#This Row],[Poste 3]]</f>
        <v>0</v>
      </c>
      <c r="Y2266" s="74">
        <f>Devis[[#This Row],[Poste 4]]*Devis[[#This Row],[Prix de Revient]]</f>
        <v>0</v>
      </c>
      <c r="Z2266" s="74">
        <f>Devis[[#This Row],[Poste 5]]*Devis[[#This Row],[Prix de Revient]]</f>
        <v>0</v>
      </c>
      <c r="AA2266" s="74">
        <f>Devis[[#This Row],[Prix de Revient]]*Devis[[#This Row],[Poste 6]]</f>
        <v>0</v>
      </c>
      <c r="AB2266" s="74">
        <f>Devis[[#This Row],[Quantité Totale]]*Devis[[#This Row],[Prix de Revient]]</f>
        <v>0</v>
      </c>
    </row>
    <row r="2267" spans="1:28" ht="14.25" outlineLevel="1" x14ac:dyDescent="0.2">
      <c r="A2267" s="75" t="s">
        <v>2053</v>
      </c>
      <c r="B2267" s="76" t="s">
        <v>2227</v>
      </c>
      <c r="C2267" s="76"/>
      <c r="D2267" s="81" t="str">
        <f t="shared" si="39"/>
        <v>Inox SoudéRéduc concentrique Inox 304L</v>
      </c>
      <c r="E2267" s="76" t="s">
        <v>2246</v>
      </c>
      <c r="F2267" s="81">
        <v>13</v>
      </c>
      <c r="G2267" s="86" t="s">
        <v>2247</v>
      </c>
      <c r="H2267" s="71"/>
      <c r="I2267" s="75"/>
      <c r="J2267" s="70">
        <f>IFERROR(VLOOKUP(Devis[[#This Row],[Ref Air Flux]],#REF!,3,FALSE),0)</f>
        <v>0</v>
      </c>
      <c r="K2267" s="68"/>
      <c r="L2267" s="68"/>
      <c r="M2267" s="68"/>
      <c r="N2267" s="68"/>
      <c r="O2267" s="68"/>
      <c r="P2267" s="68"/>
      <c r="Q2267" s="68">
        <f>SUM(Devis[[#This Row],[Poste 1]:[Poste 6]])</f>
        <v>0</v>
      </c>
      <c r="R2267" s="111"/>
      <c r="S2267" s="68">
        <f>_xlfn.CEILING.MATH(Devis[[#This Row],[Quantité Totale]],Devis[[#This Row],[Conditionnement]])</f>
        <v>0</v>
      </c>
      <c r="T2267" s="72">
        <v>1.75</v>
      </c>
      <c r="U2267" s="106"/>
      <c r="V2267" s="74">
        <f>Devis[[#This Row],[Prix de Revient]]*Devis[[#This Row],[Poste 1]]</f>
        <v>0</v>
      </c>
      <c r="W2267" s="74">
        <f>Devis[[#This Row],[Prix de Revient]]*Devis[[#This Row],[Poste 2]]</f>
        <v>0</v>
      </c>
      <c r="X2267" s="74">
        <f>Devis[[#This Row],[Prix de Revient]]*Devis[[#This Row],[Poste 3]]</f>
        <v>0</v>
      </c>
      <c r="Y2267" s="74">
        <f>Devis[[#This Row],[Poste 4]]*Devis[[#This Row],[Prix de Revient]]</f>
        <v>0</v>
      </c>
      <c r="Z2267" s="74">
        <f>Devis[[#This Row],[Poste 5]]*Devis[[#This Row],[Prix de Revient]]</f>
        <v>0</v>
      </c>
      <c r="AA2267" s="74">
        <f>Devis[[#This Row],[Prix de Revient]]*Devis[[#This Row],[Poste 6]]</f>
        <v>0</v>
      </c>
      <c r="AB2267" s="74">
        <f>Devis[[#This Row],[Quantité Totale]]*Devis[[#This Row],[Prix de Revient]]</f>
        <v>0</v>
      </c>
    </row>
    <row r="2268" spans="1:28" ht="14.25" outlineLevel="1" x14ac:dyDescent="0.2">
      <c r="A2268" s="75" t="s">
        <v>2053</v>
      </c>
      <c r="B2268" s="76" t="s">
        <v>2227</v>
      </c>
      <c r="C2268" s="76"/>
      <c r="D2268" s="81" t="str">
        <f t="shared" si="39"/>
        <v>Inox SoudéRéduc concentrique Inox 304L</v>
      </c>
      <c r="E2268" s="76" t="s">
        <v>2244</v>
      </c>
      <c r="F2268" s="81">
        <v>14</v>
      </c>
      <c r="G2268" s="86" t="s">
        <v>2245</v>
      </c>
      <c r="H2268" s="71"/>
      <c r="I2268" s="75"/>
      <c r="J2268" s="70">
        <f>IFERROR(VLOOKUP(Devis[[#This Row],[Ref Air Flux]],#REF!,3,FALSE),0)</f>
        <v>0</v>
      </c>
      <c r="K2268" s="68"/>
      <c r="L2268" s="68"/>
      <c r="M2268" s="68"/>
      <c r="N2268" s="68"/>
      <c r="O2268" s="68"/>
      <c r="P2268" s="68"/>
      <c r="Q2268" s="68">
        <f>SUM(Devis[[#This Row],[Poste 1]:[Poste 6]])</f>
        <v>0</v>
      </c>
      <c r="R2268" s="111"/>
      <c r="S2268" s="68">
        <f>_xlfn.CEILING.MATH(Devis[[#This Row],[Quantité Totale]],Devis[[#This Row],[Conditionnement]])</f>
        <v>0</v>
      </c>
      <c r="T2268" s="72">
        <v>2</v>
      </c>
      <c r="U2268" s="106"/>
      <c r="V2268" s="74">
        <f>Devis[[#This Row],[Prix de Revient]]*Devis[[#This Row],[Poste 1]]</f>
        <v>0</v>
      </c>
      <c r="W2268" s="74">
        <f>Devis[[#This Row],[Prix de Revient]]*Devis[[#This Row],[Poste 2]]</f>
        <v>0</v>
      </c>
      <c r="X2268" s="74">
        <f>Devis[[#This Row],[Prix de Revient]]*Devis[[#This Row],[Poste 3]]</f>
        <v>0</v>
      </c>
      <c r="Y2268" s="74">
        <f>Devis[[#This Row],[Poste 4]]*Devis[[#This Row],[Prix de Revient]]</f>
        <v>0</v>
      </c>
      <c r="Z2268" s="74">
        <f>Devis[[#This Row],[Poste 5]]*Devis[[#This Row],[Prix de Revient]]</f>
        <v>0</v>
      </c>
      <c r="AA2268" s="74">
        <f>Devis[[#This Row],[Prix de Revient]]*Devis[[#This Row],[Poste 6]]</f>
        <v>0</v>
      </c>
      <c r="AB2268" s="74">
        <f>Devis[[#This Row],[Quantité Totale]]*Devis[[#This Row],[Prix de Revient]]</f>
        <v>0</v>
      </c>
    </row>
    <row r="2269" spans="1:28" ht="14.25" outlineLevel="1" x14ac:dyDescent="0.2">
      <c r="A2269" s="75" t="s">
        <v>2053</v>
      </c>
      <c r="B2269" s="76" t="s">
        <v>2227</v>
      </c>
      <c r="C2269" s="76"/>
      <c r="D2269" s="81" t="str">
        <f t="shared" si="39"/>
        <v>Inox SoudéRéduc concentrique Inox 304L</v>
      </c>
      <c r="E2269" s="76" t="s">
        <v>2238</v>
      </c>
      <c r="F2269" s="81">
        <v>15</v>
      </c>
      <c r="G2269" s="86" t="s">
        <v>2239</v>
      </c>
      <c r="H2269" s="71"/>
      <c r="I2269" s="75"/>
      <c r="J2269" s="70">
        <f>IFERROR(VLOOKUP(Devis[[#This Row],[Ref Air Flux]],#REF!,3,FALSE),0)</f>
        <v>0</v>
      </c>
      <c r="K2269" s="68"/>
      <c r="L2269" s="68"/>
      <c r="M2269" s="68"/>
      <c r="N2269" s="68"/>
      <c r="O2269" s="68"/>
      <c r="P2269" s="68"/>
      <c r="Q2269" s="68">
        <f>SUM(Devis[[#This Row],[Poste 1]:[Poste 6]])</f>
        <v>0</v>
      </c>
      <c r="R2269" s="111"/>
      <c r="S2269" s="68">
        <f>_xlfn.CEILING.MATH(Devis[[#This Row],[Quantité Totale]],Devis[[#This Row],[Conditionnement]])</f>
        <v>0</v>
      </c>
      <c r="T2269" s="72">
        <v>2.5</v>
      </c>
      <c r="U2269" s="106"/>
      <c r="V2269" s="74">
        <f>Devis[[#This Row],[Prix de Revient]]*Devis[[#This Row],[Poste 1]]</f>
        <v>0</v>
      </c>
      <c r="W2269" s="74">
        <f>Devis[[#This Row],[Prix de Revient]]*Devis[[#This Row],[Poste 2]]</f>
        <v>0</v>
      </c>
      <c r="X2269" s="74">
        <f>Devis[[#This Row],[Prix de Revient]]*Devis[[#This Row],[Poste 3]]</f>
        <v>0</v>
      </c>
      <c r="Y2269" s="74">
        <f>Devis[[#This Row],[Poste 4]]*Devis[[#This Row],[Prix de Revient]]</f>
        <v>0</v>
      </c>
      <c r="Z2269" s="74">
        <f>Devis[[#This Row],[Poste 5]]*Devis[[#This Row],[Prix de Revient]]</f>
        <v>0</v>
      </c>
      <c r="AA2269" s="74">
        <f>Devis[[#This Row],[Prix de Revient]]*Devis[[#This Row],[Poste 6]]</f>
        <v>0</v>
      </c>
      <c r="AB2269" s="74">
        <f>Devis[[#This Row],[Quantité Totale]]*Devis[[#This Row],[Prix de Revient]]</f>
        <v>0</v>
      </c>
    </row>
    <row r="2270" spans="1:28" ht="14.25" customHeight="1" outlineLevel="1" x14ac:dyDescent="0.2">
      <c r="A2270" s="75" t="s">
        <v>2053</v>
      </c>
      <c r="B2270" s="76" t="s">
        <v>2227</v>
      </c>
      <c r="C2270" s="76"/>
      <c r="D2270" s="81" t="str">
        <f t="shared" si="39"/>
        <v>Inox SoudéRéduc concentrique Inox 304L</v>
      </c>
      <c r="E2270" s="76" t="s">
        <v>2236</v>
      </c>
      <c r="F2270" s="81">
        <v>16</v>
      </c>
      <c r="G2270" s="86" t="s">
        <v>2237</v>
      </c>
      <c r="H2270" s="71"/>
      <c r="I2270" s="75"/>
      <c r="J2270" s="70">
        <f>IFERROR(VLOOKUP(Devis[[#This Row],[Ref Air Flux]],#REF!,3,FALSE),0)</f>
        <v>0</v>
      </c>
      <c r="K2270" s="68"/>
      <c r="L2270" s="68"/>
      <c r="M2270" s="68"/>
      <c r="N2270" s="68"/>
      <c r="O2270" s="68"/>
      <c r="P2270" s="68"/>
      <c r="Q2270" s="68">
        <f>SUM(Devis[[#This Row],[Poste 1]:[Poste 6]])</f>
        <v>0</v>
      </c>
      <c r="R2270" s="111"/>
      <c r="S2270" s="68">
        <f>_xlfn.CEILING.MATH(Devis[[#This Row],[Quantité Totale]],Devis[[#This Row],[Conditionnement]])</f>
        <v>0</v>
      </c>
      <c r="T2270" s="72">
        <v>2.75</v>
      </c>
      <c r="U2270" s="106"/>
      <c r="V2270" s="74">
        <f>Devis[[#This Row],[Prix de Revient]]*Devis[[#This Row],[Poste 1]]</f>
        <v>0</v>
      </c>
      <c r="W2270" s="74">
        <f>Devis[[#This Row],[Prix de Revient]]*Devis[[#This Row],[Poste 2]]</f>
        <v>0</v>
      </c>
      <c r="X2270" s="74">
        <f>Devis[[#This Row],[Prix de Revient]]*Devis[[#This Row],[Poste 3]]</f>
        <v>0</v>
      </c>
      <c r="Y2270" s="74">
        <f>Devis[[#This Row],[Poste 4]]*Devis[[#This Row],[Prix de Revient]]</f>
        <v>0</v>
      </c>
      <c r="Z2270" s="74">
        <f>Devis[[#This Row],[Poste 5]]*Devis[[#This Row],[Prix de Revient]]</f>
        <v>0</v>
      </c>
      <c r="AA2270" s="74">
        <f>Devis[[#This Row],[Prix de Revient]]*Devis[[#This Row],[Poste 6]]</f>
        <v>0</v>
      </c>
      <c r="AB2270" s="74">
        <f>Devis[[#This Row],[Quantité Totale]]*Devis[[#This Row],[Prix de Revient]]</f>
        <v>0</v>
      </c>
    </row>
    <row r="2271" spans="1:28" ht="14.25" outlineLevel="1" x14ac:dyDescent="0.2">
      <c r="A2271" s="75" t="s">
        <v>2053</v>
      </c>
      <c r="B2271" s="76" t="s">
        <v>2227</v>
      </c>
      <c r="C2271" s="76"/>
      <c r="D2271" s="81" t="str">
        <f t="shared" si="39"/>
        <v>Inox SoudéRéduc concentrique Inox 304L</v>
      </c>
      <c r="E2271" s="76" t="s">
        <v>2240</v>
      </c>
      <c r="F2271" s="81">
        <v>17</v>
      </c>
      <c r="G2271" s="86" t="s">
        <v>2241</v>
      </c>
      <c r="H2271" s="71"/>
      <c r="I2271" s="75"/>
      <c r="J2271" s="70">
        <f>IFERROR(VLOOKUP(Devis[[#This Row],[Ref Air Flux]],#REF!,3,FALSE),0)</f>
        <v>0</v>
      </c>
      <c r="K2271" s="68"/>
      <c r="L2271" s="68"/>
      <c r="M2271" s="68"/>
      <c r="N2271" s="68"/>
      <c r="O2271" s="68"/>
      <c r="P2271" s="68"/>
      <c r="Q2271" s="68">
        <f>SUM(Devis[[#This Row],[Poste 1]:[Poste 6]])</f>
        <v>0</v>
      </c>
      <c r="R2271" s="111"/>
      <c r="S2271" s="68">
        <f>_xlfn.CEILING.MATH(Devis[[#This Row],[Quantité Totale]],Devis[[#This Row],[Conditionnement]])</f>
        <v>0</v>
      </c>
      <c r="T2271" s="72">
        <v>2.25</v>
      </c>
      <c r="U2271" s="106"/>
      <c r="V2271" s="74">
        <f>Devis[[#This Row],[Prix de Revient]]*Devis[[#This Row],[Poste 1]]</f>
        <v>0</v>
      </c>
      <c r="W2271" s="74">
        <f>Devis[[#This Row],[Prix de Revient]]*Devis[[#This Row],[Poste 2]]</f>
        <v>0</v>
      </c>
      <c r="X2271" s="74">
        <f>Devis[[#This Row],[Prix de Revient]]*Devis[[#This Row],[Poste 3]]</f>
        <v>0</v>
      </c>
      <c r="Y2271" s="74">
        <f>Devis[[#This Row],[Poste 4]]*Devis[[#This Row],[Prix de Revient]]</f>
        <v>0</v>
      </c>
      <c r="Z2271" s="74">
        <f>Devis[[#This Row],[Poste 5]]*Devis[[#This Row],[Prix de Revient]]</f>
        <v>0</v>
      </c>
      <c r="AA2271" s="74">
        <f>Devis[[#This Row],[Prix de Revient]]*Devis[[#This Row],[Poste 6]]</f>
        <v>0</v>
      </c>
      <c r="AB2271" s="74">
        <f>Devis[[#This Row],[Quantité Totale]]*Devis[[#This Row],[Prix de Revient]]</f>
        <v>0</v>
      </c>
    </row>
    <row r="2272" spans="1:28" ht="15" customHeight="1" outlineLevel="1" x14ac:dyDescent="0.2">
      <c r="A2272" s="75" t="s">
        <v>2053</v>
      </c>
      <c r="B2272" s="76" t="s">
        <v>2227</v>
      </c>
      <c r="C2272" s="76"/>
      <c r="D2272" s="81" t="str">
        <f t="shared" si="39"/>
        <v>Inox SoudéRéduc concentrique Inox 304L</v>
      </c>
      <c r="E2272" s="76" t="s">
        <v>2232</v>
      </c>
      <c r="F2272" s="81">
        <v>18</v>
      </c>
      <c r="G2272" s="86" t="s">
        <v>2233</v>
      </c>
      <c r="H2272" s="71"/>
      <c r="I2272" s="75"/>
      <c r="J2272" s="70">
        <f>IFERROR(VLOOKUP(Devis[[#This Row],[Ref Air Flux]],#REF!,3,FALSE),0)</f>
        <v>0</v>
      </c>
      <c r="K2272" s="68"/>
      <c r="L2272" s="68"/>
      <c r="M2272" s="68"/>
      <c r="N2272" s="68"/>
      <c r="O2272" s="68"/>
      <c r="P2272" s="68"/>
      <c r="Q2272" s="68">
        <f>SUM(Devis[[#This Row],[Poste 1]:[Poste 6]])</f>
        <v>0</v>
      </c>
      <c r="R2272" s="111"/>
      <c r="S2272" s="68">
        <f>_xlfn.CEILING.MATH(Devis[[#This Row],[Quantité Totale]],Devis[[#This Row],[Conditionnement]])</f>
        <v>0</v>
      </c>
      <c r="T2272" s="72">
        <v>3</v>
      </c>
      <c r="U2272" s="106"/>
      <c r="V2272" s="74">
        <f>Devis[[#This Row],[Prix de Revient]]*Devis[[#This Row],[Poste 1]]</f>
        <v>0</v>
      </c>
      <c r="W2272" s="74">
        <f>Devis[[#This Row],[Prix de Revient]]*Devis[[#This Row],[Poste 2]]</f>
        <v>0</v>
      </c>
      <c r="X2272" s="74">
        <f>Devis[[#This Row],[Prix de Revient]]*Devis[[#This Row],[Poste 3]]</f>
        <v>0</v>
      </c>
      <c r="Y2272" s="74">
        <f>Devis[[#This Row],[Poste 4]]*Devis[[#This Row],[Prix de Revient]]</f>
        <v>0</v>
      </c>
      <c r="Z2272" s="74">
        <f>Devis[[#This Row],[Poste 5]]*Devis[[#This Row],[Prix de Revient]]</f>
        <v>0</v>
      </c>
      <c r="AA2272" s="74">
        <f>Devis[[#This Row],[Prix de Revient]]*Devis[[#This Row],[Poste 6]]</f>
        <v>0</v>
      </c>
      <c r="AB2272" s="74">
        <f>Devis[[#This Row],[Quantité Totale]]*Devis[[#This Row],[Prix de Revient]]</f>
        <v>0</v>
      </c>
    </row>
    <row r="2273" spans="1:28" ht="14.25" customHeight="1" outlineLevel="1" x14ac:dyDescent="0.2">
      <c r="A2273" s="75" t="s">
        <v>2053</v>
      </c>
      <c r="B2273" s="76" t="s">
        <v>2227</v>
      </c>
      <c r="C2273" s="76"/>
      <c r="D2273" s="81" t="str">
        <f t="shared" si="39"/>
        <v>Inox SoudéRéduc concentrique Inox 304L</v>
      </c>
      <c r="E2273" s="76" t="s">
        <v>2230</v>
      </c>
      <c r="F2273" s="81">
        <v>19</v>
      </c>
      <c r="G2273" s="86" t="s">
        <v>2231</v>
      </c>
      <c r="H2273" s="71"/>
      <c r="I2273" s="75"/>
      <c r="J2273" s="70">
        <f>IFERROR(VLOOKUP(Devis[[#This Row],[Ref Air Flux]],#REF!,3,FALSE),0)</f>
        <v>0</v>
      </c>
      <c r="K2273" s="68"/>
      <c r="L2273" s="68"/>
      <c r="M2273" s="68"/>
      <c r="N2273" s="68"/>
      <c r="O2273" s="68"/>
      <c r="P2273" s="68"/>
      <c r="Q2273" s="68">
        <f>SUM(Devis[[#This Row],[Poste 1]:[Poste 6]])</f>
        <v>0</v>
      </c>
      <c r="R2273" s="111"/>
      <c r="S2273" s="68">
        <f>_xlfn.CEILING.MATH(Devis[[#This Row],[Quantité Totale]],Devis[[#This Row],[Conditionnement]])</f>
        <v>0</v>
      </c>
      <c r="T2273" s="72">
        <v>3.25</v>
      </c>
      <c r="U2273" s="106"/>
      <c r="V2273" s="74">
        <f>Devis[[#This Row],[Prix de Revient]]*Devis[[#This Row],[Poste 1]]</f>
        <v>0</v>
      </c>
      <c r="W2273" s="74">
        <f>Devis[[#This Row],[Prix de Revient]]*Devis[[#This Row],[Poste 2]]</f>
        <v>0</v>
      </c>
      <c r="X2273" s="74">
        <f>Devis[[#This Row],[Prix de Revient]]*Devis[[#This Row],[Poste 3]]</f>
        <v>0</v>
      </c>
      <c r="Y2273" s="74">
        <f>Devis[[#This Row],[Poste 4]]*Devis[[#This Row],[Prix de Revient]]</f>
        <v>0</v>
      </c>
      <c r="Z2273" s="74">
        <f>Devis[[#This Row],[Poste 5]]*Devis[[#This Row],[Prix de Revient]]</f>
        <v>0</v>
      </c>
      <c r="AA2273" s="74">
        <f>Devis[[#This Row],[Prix de Revient]]*Devis[[#This Row],[Poste 6]]</f>
        <v>0</v>
      </c>
      <c r="AB2273" s="74">
        <f>Devis[[#This Row],[Quantité Totale]]*Devis[[#This Row],[Prix de Revient]]</f>
        <v>0</v>
      </c>
    </row>
    <row r="2274" spans="1:28" ht="14.25" outlineLevel="1" x14ac:dyDescent="0.2">
      <c r="A2274" s="75" t="s">
        <v>2053</v>
      </c>
      <c r="B2274" s="76" t="s">
        <v>2227</v>
      </c>
      <c r="C2274" s="76"/>
      <c r="D2274" s="81" t="str">
        <f t="shared" si="39"/>
        <v>Inox SoudéRéduc concentrique Inox 304L</v>
      </c>
      <c r="E2274" s="76" t="s">
        <v>2228</v>
      </c>
      <c r="F2274" s="81">
        <v>20</v>
      </c>
      <c r="G2274" s="86" t="s">
        <v>2229</v>
      </c>
      <c r="H2274" s="71"/>
      <c r="I2274" s="75"/>
      <c r="J2274" s="70">
        <f>IFERROR(VLOOKUP(Devis[[#This Row],[Ref Air Flux]],#REF!,3,FALSE),0)</f>
        <v>0</v>
      </c>
      <c r="K2274" s="68"/>
      <c r="L2274" s="68"/>
      <c r="M2274" s="68"/>
      <c r="N2274" s="68"/>
      <c r="O2274" s="68"/>
      <c r="P2274" s="68"/>
      <c r="Q2274" s="68">
        <f>SUM(Devis[[#This Row],[Poste 1]:[Poste 6]])</f>
        <v>0</v>
      </c>
      <c r="R2274" s="111"/>
      <c r="S2274" s="68">
        <f>_xlfn.CEILING.MATH(Devis[[#This Row],[Quantité Totale]],Devis[[#This Row],[Conditionnement]])</f>
        <v>0</v>
      </c>
      <c r="T2274" s="72">
        <v>3.5</v>
      </c>
      <c r="U2274" s="106"/>
      <c r="V2274" s="74">
        <f>Devis[[#This Row],[Prix de Revient]]*Devis[[#This Row],[Poste 1]]</f>
        <v>0</v>
      </c>
      <c r="W2274" s="74">
        <f>Devis[[#This Row],[Prix de Revient]]*Devis[[#This Row],[Poste 2]]</f>
        <v>0</v>
      </c>
      <c r="X2274" s="74">
        <f>Devis[[#This Row],[Prix de Revient]]*Devis[[#This Row],[Poste 3]]</f>
        <v>0</v>
      </c>
      <c r="Y2274" s="74">
        <f>Devis[[#This Row],[Poste 4]]*Devis[[#This Row],[Prix de Revient]]</f>
        <v>0</v>
      </c>
      <c r="Z2274" s="74">
        <f>Devis[[#This Row],[Poste 5]]*Devis[[#This Row],[Prix de Revient]]</f>
        <v>0</v>
      </c>
      <c r="AA2274" s="74">
        <f>Devis[[#This Row],[Prix de Revient]]*Devis[[#This Row],[Poste 6]]</f>
        <v>0</v>
      </c>
      <c r="AB2274" s="74">
        <f>Devis[[#This Row],[Quantité Totale]]*Devis[[#This Row],[Prix de Revient]]</f>
        <v>0</v>
      </c>
    </row>
    <row r="2275" spans="1:28" ht="14.25" outlineLevel="1" x14ac:dyDescent="0.2">
      <c r="A2275" s="75" t="s">
        <v>2053</v>
      </c>
      <c r="B2275" s="76" t="s">
        <v>2227</v>
      </c>
      <c r="C2275" s="76"/>
      <c r="D2275" s="81" t="str">
        <f t="shared" si="39"/>
        <v>Inox SoudéRéduc concentrique Inox 304L</v>
      </c>
      <c r="E2275" s="76" t="s">
        <v>2234</v>
      </c>
      <c r="F2275" s="81">
        <v>21</v>
      </c>
      <c r="G2275" s="108" t="s">
        <v>2235</v>
      </c>
      <c r="H2275" s="71"/>
      <c r="I2275" s="75"/>
      <c r="J2275" s="70">
        <f>IFERROR(VLOOKUP(Devis[[#This Row],[Ref Air Flux]],#REF!,3,FALSE),0)</f>
        <v>0</v>
      </c>
      <c r="K2275" s="68"/>
      <c r="L2275" s="68"/>
      <c r="M2275" s="68"/>
      <c r="N2275" s="68"/>
      <c r="O2275" s="68"/>
      <c r="P2275" s="68"/>
      <c r="Q2275" s="68">
        <f>SUM(Devis[[#This Row],[Poste 1]:[Poste 6]])</f>
        <v>0</v>
      </c>
      <c r="R2275" s="111"/>
      <c r="S2275" s="68">
        <f>_xlfn.CEILING.MATH(Devis[[#This Row],[Quantité Totale]],Devis[[#This Row],[Conditionnement]])</f>
        <v>0</v>
      </c>
      <c r="T2275" s="72">
        <v>2.75</v>
      </c>
      <c r="U2275" s="106"/>
      <c r="V2275" s="74">
        <f>Devis[[#This Row],[Prix de Revient]]*Devis[[#This Row],[Poste 1]]</f>
        <v>0</v>
      </c>
      <c r="W2275" s="74">
        <f>Devis[[#This Row],[Prix de Revient]]*Devis[[#This Row],[Poste 2]]</f>
        <v>0</v>
      </c>
      <c r="X2275" s="74">
        <f>Devis[[#This Row],[Prix de Revient]]*Devis[[#This Row],[Poste 3]]</f>
        <v>0</v>
      </c>
      <c r="Y2275" s="74">
        <f>Devis[[#This Row],[Poste 4]]*Devis[[#This Row],[Prix de Revient]]</f>
        <v>0</v>
      </c>
      <c r="Z2275" s="74">
        <f>Devis[[#This Row],[Poste 5]]*Devis[[#This Row],[Prix de Revient]]</f>
        <v>0</v>
      </c>
      <c r="AA2275" s="74">
        <f>Devis[[#This Row],[Prix de Revient]]*Devis[[#This Row],[Poste 6]]</f>
        <v>0</v>
      </c>
      <c r="AB2275" s="74">
        <f>Devis[[#This Row],[Quantité Totale]]*Devis[[#This Row],[Prix de Revient]]</f>
        <v>0</v>
      </c>
    </row>
    <row r="2276" spans="1:28" ht="14.25" outlineLevel="1" x14ac:dyDescent="0.2">
      <c r="A2276" s="75" t="s">
        <v>2053</v>
      </c>
      <c r="B2276" s="76" t="s">
        <v>2227</v>
      </c>
      <c r="C2276" s="76"/>
      <c r="D2276" s="81" t="str">
        <f t="shared" si="39"/>
        <v>Inox SoudéRéduc concentrique Inox 304L</v>
      </c>
      <c r="E2276" s="76" t="s">
        <v>2271</v>
      </c>
      <c r="F2276" s="81">
        <v>22</v>
      </c>
      <c r="G2276" s="108" t="s">
        <v>2272</v>
      </c>
      <c r="H2276" s="71"/>
      <c r="I2276" s="75"/>
      <c r="J2276" s="70">
        <f>IFERROR(VLOOKUP(Devis[[#This Row],[Ref Air Flux]],#REF!,3,FALSE),0)</f>
        <v>0</v>
      </c>
      <c r="K2276" s="68"/>
      <c r="L2276" s="68"/>
      <c r="M2276" s="68"/>
      <c r="N2276" s="68"/>
      <c r="O2276" s="68"/>
      <c r="P2276" s="68"/>
      <c r="Q2276" s="68">
        <f>SUM(Devis[[#This Row],[Poste 1]:[Poste 6]])</f>
        <v>0</v>
      </c>
      <c r="R2276" s="111"/>
      <c r="S2276" s="68">
        <f>_xlfn.CEILING.MATH(Devis[[#This Row],[Quantité Totale]],Devis[[#This Row],[Conditionnement]])</f>
        <v>0</v>
      </c>
      <c r="T2276" s="72">
        <v>0.8</v>
      </c>
      <c r="U2276" s="106"/>
      <c r="V2276" s="74">
        <f>Devis[[#This Row],[Prix de Revient]]*Devis[[#This Row],[Poste 1]]</f>
        <v>0</v>
      </c>
      <c r="W2276" s="74">
        <f>Devis[[#This Row],[Prix de Revient]]*Devis[[#This Row],[Poste 2]]</f>
        <v>0</v>
      </c>
      <c r="X2276" s="74">
        <f>Devis[[#This Row],[Prix de Revient]]*Devis[[#This Row],[Poste 3]]</f>
        <v>0</v>
      </c>
      <c r="Y2276" s="74">
        <f>Devis[[#This Row],[Poste 4]]*Devis[[#This Row],[Prix de Revient]]</f>
        <v>0</v>
      </c>
      <c r="Z2276" s="74">
        <f>Devis[[#This Row],[Poste 5]]*Devis[[#This Row],[Prix de Revient]]</f>
        <v>0</v>
      </c>
      <c r="AA2276" s="74">
        <f>Devis[[#This Row],[Prix de Revient]]*Devis[[#This Row],[Poste 6]]</f>
        <v>0</v>
      </c>
      <c r="AB2276" s="74">
        <f>Devis[[#This Row],[Quantité Totale]]*Devis[[#This Row],[Prix de Revient]]</f>
        <v>0</v>
      </c>
    </row>
    <row r="2277" spans="1:28" ht="14.25" outlineLevel="1" x14ac:dyDescent="0.2">
      <c r="A2277" s="75" t="s">
        <v>2053</v>
      </c>
      <c r="B2277" s="76" t="s">
        <v>2227</v>
      </c>
      <c r="C2277" s="76"/>
      <c r="D2277" s="81" t="str">
        <f t="shared" si="39"/>
        <v>Inox SoudéRéduc concentrique Inox 304L</v>
      </c>
      <c r="E2277" s="76" t="s">
        <v>2268</v>
      </c>
      <c r="F2277" s="81">
        <v>23</v>
      </c>
      <c r="G2277" s="86" t="s">
        <v>3602</v>
      </c>
      <c r="H2277" s="71"/>
      <c r="I2277" s="75"/>
      <c r="J2277" s="70">
        <f>IFERROR(VLOOKUP(Devis[[#This Row],[Ref Air Flux]],#REF!,3,FALSE),0)</f>
        <v>0</v>
      </c>
      <c r="K2277" s="68"/>
      <c r="L2277" s="68"/>
      <c r="M2277" s="68"/>
      <c r="N2277" s="68"/>
      <c r="O2277" s="68"/>
      <c r="P2277" s="68"/>
      <c r="Q2277" s="68">
        <f>SUM(Devis[[#This Row],[Poste 1]:[Poste 6]])</f>
        <v>0</v>
      </c>
      <c r="R2277" s="111"/>
      <c r="S2277" s="68">
        <f>_xlfn.CEILING.MATH(Devis[[#This Row],[Quantité Totale]],Devis[[#This Row],[Conditionnement]])</f>
        <v>0</v>
      </c>
      <c r="T2277" s="72">
        <v>0.85</v>
      </c>
      <c r="U2277" s="106"/>
      <c r="V2277" s="74">
        <f>Devis[[#This Row],[Prix de Revient]]*Devis[[#This Row],[Poste 1]]</f>
        <v>0</v>
      </c>
      <c r="W2277" s="74">
        <f>Devis[[#This Row],[Prix de Revient]]*Devis[[#This Row],[Poste 2]]</f>
        <v>0</v>
      </c>
      <c r="X2277" s="74">
        <f>Devis[[#This Row],[Prix de Revient]]*Devis[[#This Row],[Poste 3]]</f>
        <v>0</v>
      </c>
      <c r="Y2277" s="74">
        <f>Devis[[#This Row],[Poste 4]]*Devis[[#This Row],[Prix de Revient]]</f>
        <v>0</v>
      </c>
      <c r="Z2277" s="74">
        <f>Devis[[#This Row],[Poste 5]]*Devis[[#This Row],[Prix de Revient]]</f>
        <v>0</v>
      </c>
      <c r="AA2277" s="74">
        <f>Devis[[#This Row],[Prix de Revient]]*Devis[[#This Row],[Poste 6]]</f>
        <v>0</v>
      </c>
      <c r="AB2277" s="74">
        <f>Devis[[#This Row],[Quantité Totale]]*Devis[[#This Row],[Prix de Revient]]</f>
        <v>0</v>
      </c>
    </row>
    <row r="2278" spans="1:28" ht="14.25" outlineLevel="1" x14ac:dyDescent="0.2">
      <c r="A2278" s="75" t="s">
        <v>2053</v>
      </c>
      <c r="B2278" s="76" t="s">
        <v>2227</v>
      </c>
      <c r="C2278" s="76"/>
      <c r="D2278" s="81" t="str">
        <f t="shared" si="39"/>
        <v>Inox SoudéRéduc concentrique Inox 304L</v>
      </c>
      <c r="E2278" s="76" t="s">
        <v>2266</v>
      </c>
      <c r="F2278" s="81">
        <v>24</v>
      </c>
      <c r="G2278" s="108" t="s">
        <v>2267</v>
      </c>
      <c r="H2278" s="71"/>
      <c r="I2278" s="75"/>
      <c r="J2278" s="70">
        <f>IFERROR(VLOOKUP(Devis[[#This Row],[Ref Air Flux]],#REF!,3,FALSE),0)</f>
        <v>0</v>
      </c>
      <c r="K2278" s="68"/>
      <c r="L2278" s="68"/>
      <c r="M2278" s="68"/>
      <c r="N2278" s="68"/>
      <c r="O2278" s="68"/>
      <c r="P2278" s="68"/>
      <c r="Q2278" s="68">
        <f>SUM(Devis[[#This Row],[Poste 1]:[Poste 6]])</f>
        <v>0</v>
      </c>
      <c r="R2278" s="111"/>
      <c r="S2278" s="68">
        <f>_xlfn.CEILING.MATH(Devis[[#This Row],[Quantité Totale]],Devis[[#This Row],[Conditionnement]])</f>
        <v>0</v>
      </c>
      <c r="T2278" s="72">
        <v>0.85</v>
      </c>
      <c r="U2278" s="106"/>
      <c r="V2278" s="74">
        <f>Devis[[#This Row],[Prix de Revient]]*Devis[[#This Row],[Poste 1]]</f>
        <v>0</v>
      </c>
      <c r="W2278" s="74">
        <f>Devis[[#This Row],[Prix de Revient]]*Devis[[#This Row],[Poste 2]]</f>
        <v>0</v>
      </c>
      <c r="X2278" s="74">
        <f>Devis[[#This Row],[Prix de Revient]]*Devis[[#This Row],[Poste 3]]</f>
        <v>0</v>
      </c>
      <c r="Y2278" s="74">
        <f>Devis[[#This Row],[Poste 4]]*Devis[[#This Row],[Prix de Revient]]</f>
        <v>0</v>
      </c>
      <c r="Z2278" s="74">
        <f>Devis[[#This Row],[Poste 5]]*Devis[[#This Row],[Prix de Revient]]</f>
        <v>0</v>
      </c>
      <c r="AA2278" s="74">
        <f>Devis[[#This Row],[Prix de Revient]]*Devis[[#This Row],[Poste 6]]</f>
        <v>0</v>
      </c>
      <c r="AB2278" s="74">
        <f>Devis[[#This Row],[Quantité Totale]]*Devis[[#This Row],[Prix de Revient]]</f>
        <v>0</v>
      </c>
    </row>
    <row r="2279" spans="1:28" ht="14.25" outlineLevel="1" x14ac:dyDescent="0.2">
      <c r="A2279" s="75" t="s">
        <v>2053</v>
      </c>
      <c r="B2279" s="76" t="s">
        <v>2227</v>
      </c>
      <c r="C2279" s="76"/>
      <c r="D2279" s="81" t="str">
        <f t="shared" si="39"/>
        <v>Inox SoudéRéduc concentrique Inox 304L</v>
      </c>
      <c r="E2279" s="76" t="s">
        <v>2264</v>
      </c>
      <c r="F2279" s="81">
        <v>25</v>
      </c>
      <c r="G2279" s="108" t="s">
        <v>2265</v>
      </c>
      <c r="H2279" s="71"/>
      <c r="I2279" s="75"/>
      <c r="J2279" s="70">
        <f>IFERROR(VLOOKUP(Devis[[#This Row],[Ref Air Flux]],#REF!,3,FALSE),0)</f>
        <v>0</v>
      </c>
      <c r="K2279" s="68"/>
      <c r="L2279" s="68"/>
      <c r="M2279" s="68"/>
      <c r="N2279" s="68"/>
      <c r="O2279" s="68"/>
      <c r="P2279" s="68"/>
      <c r="Q2279" s="68">
        <f>SUM(Devis[[#This Row],[Poste 1]:[Poste 6]])</f>
        <v>0</v>
      </c>
      <c r="R2279" s="111"/>
      <c r="S2279" s="68">
        <f>_xlfn.CEILING.MATH(Devis[[#This Row],[Quantité Totale]],Devis[[#This Row],[Conditionnement]])</f>
        <v>0</v>
      </c>
      <c r="T2279" s="72">
        <v>0.89999999999999991</v>
      </c>
      <c r="U2279" s="106"/>
      <c r="V2279" s="74">
        <f>Devis[[#This Row],[Prix de Revient]]*Devis[[#This Row],[Poste 1]]</f>
        <v>0</v>
      </c>
      <c r="W2279" s="74">
        <f>Devis[[#This Row],[Prix de Revient]]*Devis[[#This Row],[Poste 2]]</f>
        <v>0</v>
      </c>
      <c r="X2279" s="74">
        <f>Devis[[#This Row],[Prix de Revient]]*Devis[[#This Row],[Poste 3]]</f>
        <v>0</v>
      </c>
      <c r="Y2279" s="74">
        <f>Devis[[#This Row],[Poste 4]]*Devis[[#This Row],[Prix de Revient]]</f>
        <v>0</v>
      </c>
      <c r="Z2279" s="74">
        <f>Devis[[#This Row],[Poste 5]]*Devis[[#This Row],[Prix de Revient]]</f>
        <v>0</v>
      </c>
      <c r="AA2279" s="74">
        <f>Devis[[#This Row],[Prix de Revient]]*Devis[[#This Row],[Poste 6]]</f>
        <v>0</v>
      </c>
      <c r="AB2279" s="74">
        <f>Devis[[#This Row],[Quantité Totale]]*Devis[[#This Row],[Prix de Revient]]</f>
        <v>0</v>
      </c>
    </row>
    <row r="2280" spans="1:28" ht="14.25" outlineLevel="1" x14ac:dyDescent="0.2">
      <c r="A2280" s="75" t="s">
        <v>2053</v>
      </c>
      <c r="B2280" s="76" t="s">
        <v>2227</v>
      </c>
      <c r="C2280" s="76"/>
      <c r="D2280" s="81" t="str">
        <f t="shared" si="39"/>
        <v>Inox SoudéRéduc concentrique Inox 304L</v>
      </c>
      <c r="E2280" s="76" t="s">
        <v>2262</v>
      </c>
      <c r="F2280" s="81">
        <v>26</v>
      </c>
      <c r="G2280" s="86" t="s">
        <v>2263</v>
      </c>
      <c r="H2280" s="71"/>
      <c r="I2280" s="75"/>
      <c r="J2280" s="70">
        <f>IFERROR(VLOOKUP(Devis[[#This Row],[Ref Air Flux]],#REF!,3,FALSE),0)</f>
        <v>0</v>
      </c>
      <c r="K2280" s="68"/>
      <c r="L2280" s="68"/>
      <c r="M2280" s="68"/>
      <c r="N2280" s="68"/>
      <c r="O2280" s="68"/>
      <c r="P2280" s="68"/>
      <c r="Q2280" s="68">
        <f>SUM(Devis[[#This Row],[Poste 1]:[Poste 6]])</f>
        <v>0</v>
      </c>
      <c r="R2280" s="111"/>
      <c r="S2280" s="68">
        <f>_xlfn.CEILING.MATH(Devis[[#This Row],[Quantité Totale]],Devis[[#This Row],[Conditionnement]])</f>
        <v>0</v>
      </c>
      <c r="T2280" s="72">
        <v>0.95</v>
      </c>
      <c r="U2280" s="106"/>
      <c r="V2280" s="74">
        <f>Devis[[#This Row],[Prix de Revient]]*Devis[[#This Row],[Poste 1]]</f>
        <v>0</v>
      </c>
      <c r="W2280" s="74">
        <f>Devis[[#This Row],[Prix de Revient]]*Devis[[#This Row],[Poste 2]]</f>
        <v>0</v>
      </c>
      <c r="X2280" s="74">
        <f>Devis[[#This Row],[Prix de Revient]]*Devis[[#This Row],[Poste 3]]</f>
        <v>0</v>
      </c>
      <c r="Y2280" s="74">
        <f>Devis[[#This Row],[Poste 4]]*Devis[[#This Row],[Prix de Revient]]</f>
        <v>0</v>
      </c>
      <c r="Z2280" s="74">
        <f>Devis[[#This Row],[Poste 5]]*Devis[[#This Row],[Prix de Revient]]</f>
        <v>0</v>
      </c>
      <c r="AA2280" s="74">
        <f>Devis[[#This Row],[Prix de Revient]]*Devis[[#This Row],[Poste 6]]</f>
        <v>0</v>
      </c>
      <c r="AB2280" s="74">
        <f>Devis[[#This Row],[Quantité Totale]]*Devis[[#This Row],[Prix de Revient]]</f>
        <v>0</v>
      </c>
    </row>
    <row r="2281" spans="1:28" ht="14.25" customHeight="1" outlineLevel="1" x14ac:dyDescent="0.2">
      <c r="A2281" s="75" t="s">
        <v>2053</v>
      </c>
      <c r="B2281" s="76" t="s">
        <v>2227</v>
      </c>
      <c r="C2281" s="76"/>
      <c r="D2281" s="81" t="str">
        <f t="shared" si="39"/>
        <v>Inox SoudéRéduc concentrique Inox 304L</v>
      </c>
      <c r="E2281" s="76" t="s">
        <v>2260</v>
      </c>
      <c r="F2281" s="81">
        <v>27</v>
      </c>
      <c r="G2281" s="86" t="s">
        <v>2261</v>
      </c>
      <c r="H2281" s="71"/>
      <c r="I2281" s="75"/>
      <c r="J2281" s="70">
        <f>IFERROR(VLOOKUP(Devis[[#This Row],[Ref Air Flux]],#REF!,3,FALSE),0)</f>
        <v>0</v>
      </c>
      <c r="K2281" s="68"/>
      <c r="L2281" s="68"/>
      <c r="M2281" s="68"/>
      <c r="N2281" s="68"/>
      <c r="O2281" s="68"/>
      <c r="P2281" s="68"/>
      <c r="Q2281" s="68">
        <f>SUM(Devis[[#This Row],[Poste 1]:[Poste 6]])</f>
        <v>0</v>
      </c>
      <c r="R2281" s="111"/>
      <c r="S2281" s="68">
        <f>_xlfn.CEILING.MATH(Devis[[#This Row],[Quantité Totale]],Devis[[#This Row],[Conditionnement]])</f>
        <v>0</v>
      </c>
      <c r="T2281" s="72">
        <v>1.1000000000000001</v>
      </c>
      <c r="U2281" s="106"/>
      <c r="V2281" s="74">
        <f>Devis[[#This Row],[Prix de Revient]]*Devis[[#This Row],[Poste 1]]</f>
        <v>0</v>
      </c>
      <c r="W2281" s="74">
        <f>Devis[[#This Row],[Prix de Revient]]*Devis[[#This Row],[Poste 2]]</f>
        <v>0</v>
      </c>
      <c r="X2281" s="74">
        <f>Devis[[#This Row],[Prix de Revient]]*Devis[[#This Row],[Poste 3]]</f>
        <v>0</v>
      </c>
      <c r="Y2281" s="74">
        <f>Devis[[#This Row],[Poste 4]]*Devis[[#This Row],[Prix de Revient]]</f>
        <v>0</v>
      </c>
      <c r="Z2281" s="74">
        <f>Devis[[#This Row],[Poste 5]]*Devis[[#This Row],[Prix de Revient]]</f>
        <v>0</v>
      </c>
      <c r="AA2281" s="74">
        <f>Devis[[#This Row],[Prix de Revient]]*Devis[[#This Row],[Poste 6]]</f>
        <v>0</v>
      </c>
      <c r="AB2281" s="74">
        <f>Devis[[#This Row],[Quantité Totale]]*Devis[[#This Row],[Prix de Revient]]</f>
        <v>0</v>
      </c>
    </row>
    <row r="2282" spans="1:28" ht="14.25" outlineLevel="1" x14ac:dyDescent="0.2">
      <c r="A2282" s="75" t="s">
        <v>2053</v>
      </c>
      <c r="B2282" s="76" t="s">
        <v>2227</v>
      </c>
      <c r="C2282" s="76"/>
      <c r="D2282" s="81" t="str">
        <f t="shared" si="39"/>
        <v>Inox SoudéRéduc concentrique Inox 304L</v>
      </c>
      <c r="E2282" s="76" t="s">
        <v>2258</v>
      </c>
      <c r="F2282" s="81">
        <v>28</v>
      </c>
      <c r="G2282" s="86" t="s">
        <v>2259</v>
      </c>
      <c r="H2282" s="71"/>
      <c r="I2282" s="75"/>
      <c r="J2282" s="70">
        <f>IFERROR(VLOOKUP(Devis[[#This Row],[Ref Air Flux]],#REF!,3,FALSE),0)</f>
        <v>0</v>
      </c>
      <c r="K2282" s="68"/>
      <c r="L2282" s="68"/>
      <c r="M2282" s="68"/>
      <c r="N2282" s="68"/>
      <c r="O2282" s="68"/>
      <c r="P2282" s="68"/>
      <c r="Q2282" s="68">
        <f>SUM(Devis[[#This Row],[Poste 1]:[Poste 6]])</f>
        <v>0</v>
      </c>
      <c r="R2282" s="111"/>
      <c r="S2282" s="68">
        <f>_xlfn.CEILING.MATH(Devis[[#This Row],[Quantité Totale]],Devis[[#This Row],[Conditionnement]])</f>
        <v>0</v>
      </c>
      <c r="T2282" s="72">
        <v>1.1000000000000001</v>
      </c>
      <c r="U2282" s="106"/>
      <c r="V2282" s="74">
        <f>Devis[[#This Row],[Prix de Revient]]*Devis[[#This Row],[Poste 1]]</f>
        <v>0</v>
      </c>
      <c r="W2282" s="74">
        <f>Devis[[#This Row],[Prix de Revient]]*Devis[[#This Row],[Poste 2]]</f>
        <v>0</v>
      </c>
      <c r="X2282" s="74">
        <f>Devis[[#This Row],[Prix de Revient]]*Devis[[#This Row],[Poste 3]]</f>
        <v>0</v>
      </c>
      <c r="Y2282" s="74">
        <f>Devis[[#This Row],[Poste 4]]*Devis[[#This Row],[Prix de Revient]]</f>
        <v>0</v>
      </c>
      <c r="Z2282" s="74">
        <f>Devis[[#This Row],[Poste 5]]*Devis[[#This Row],[Prix de Revient]]</f>
        <v>0</v>
      </c>
      <c r="AA2282" s="74">
        <f>Devis[[#This Row],[Prix de Revient]]*Devis[[#This Row],[Poste 6]]</f>
        <v>0</v>
      </c>
      <c r="AB2282" s="74">
        <f>Devis[[#This Row],[Quantité Totale]]*Devis[[#This Row],[Prix de Revient]]</f>
        <v>0</v>
      </c>
    </row>
    <row r="2283" spans="1:28" ht="14.25" outlineLevel="1" x14ac:dyDescent="0.2">
      <c r="A2283" s="75" t="s">
        <v>2053</v>
      </c>
      <c r="B2283" s="76" t="s">
        <v>2227</v>
      </c>
      <c r="C2283" s="76"/>
      <c r="D2283" s="81" t="str">
        <f t="shared" si="39"/>
        <v>Inox SoudéRéduc concentrique Inox 304L</v>
      </c>
      <c r="E2283" s="76" t="s">
        <v>2256</v>
      </c>
      <c r="F2283" s="81">
        <v>29</v>
      </c>
      <c r="G2283" s="86" t="s">
        <v>2257</v>
      </c>
      <c r="H2283" s="71"/>
      <c r="I2283" s="75"/>
      <c r="J2283" s="70">
        <f>IFERROR(VLOOKUP(Devis[[#This Row],[Ref Air Flux]],#REF!,3,FALSE),0)</f>
        <v>0</v>
      </c>
      <c r="K2283" s="68"/>
      <c r="L2283" s="68"/>
      <c r="M2283" s="68"/>
      <c r="N2283" s="68"/>
      <c r="O2283" s="68"/>
      <c r="P2283" s="68"/>
      <c r="Q2283" s="68">
        <f>SUM(Devis[[#This Row],[Poste 1]:[Poste 6]])</f>
        <v>0</v>
      </c>
      <c r="R2283" s="111"/>
      <c r="S2283" s="68">
        <f>_xlfn.CEILING.MATH(Devis[[#This Row],[Quantité Totale]],Devis[[#This Row],[Conditionnement]])</f>
        <v>0</v>
      </c>
      <c r="T2283" s="72">
        <v>1.25</v>
      </c>
      <c r="U2283" s="106"/>
      <c r="V2283" s="74">
        <f>Devis[[#This Row],[Prix de Revient]]*Devis[[#This Row],[Poste 1]]</f>
        <v>0</v>
      </c>
      <c r="W2283" s="74">
        <f>Devis[[#This Row],[Prix de Revient]]*Devis[[#This Row],[Poste 2]]</f>
        <v>0</v>
      </c>
      <c r="X2283" s="74">
        <f>Devis[[#This Row],[Prix de Revient]]*Devis[[#This Row],[Poste 3]]</f>
        <v>0</v>
      </c>
      <c r="Y2283" s="74">
        <f>Devis[[#This Row],[Poste 4]]*Devis[[#This Row],[Prix de Revient]]</f>
        <v>0</v>
      </c>
      <c r="Z2283" s="74">
        <f>Devis[[#This Row],[Poste 5]]*Devis[[#This Row],[Prix de Revient]]</f>
        <v>0</v>
      </c>
      <c r="AA2283" s="74">
        <f>Devis[[#This Row],[Prix de Revient]]*Devis[[#This Row],[Poste 6]]</f>
        <v>0</v>
      </c>
      <c r="AB2283" s="74">
        <f>Devis[[#This Row],[Quantité Totale]]*Devis[[#This Row],[Prix de Revient]]</f>
        <v>0</v>
      </c>
    </row>
    <row r="2284" spans="1:28" ht="14.25" customHeight="1" outlineLevel="1" x14ac:dyDescent="0.2">
      <c r="A2284" s="75" t="s">
        <v>2053</v>
      </c>
      <c r="B2284" s="76" t="s">
        <v>2227</v>
      </c>
      <c r="C2284" s="76"/>
      <c r="D2284" s="81" t="str">
        <f t="shared" si="39"/>
        <v>Inox SoudéRéduc concentrique Inox 304L</v>
      </c>
      <c r="E2284" s="76" t="s">
        <v>2254</v>
      </c>
      <c r="F2284" s="81">
        <v>30</v>
      </c>
      <c r="G2284" s="86" t="s">
        <v>2255</v>
      </c>
      <c r="H2284" s="71"/>
      <c r="I2284" s="75"/>
      <c r="J2284" s="70">
        <f>IFERROR(VLOOKUP(Devis[[#This Row],[Ref Air Flux]],#REF!,3,FALSE),0)</f>
        <v>0</v>
      </c>
      <c r="K2284" s="68"/>
      <c r="L2284" s="68"/>
      <c r="M2284" s="68"/>
      <c r="N2284" s="68"/>
      <c r="O2284" s="68"/>
      <c r="P2284" s="68"/>
      <c r="Q2284" s="68">
        <f>SUM(Devis[[#This Row],[Poste 1]:[Poste 6]])</f>
        <v>0</v>
      </c>
      <c r="R2284" s="111"/>
      <c r="S2284" s="68">
        <f>_xlfn.CEILING.MATH(Devis[[#This Row],[Quantité Totale]],Devis[[#This Row],[Conditionnement]])</f>
        <v>0</v>
      </c>
      <c r="T2284" s="72">
        <v>1.35</v>
      </c>
      <c r="U2284" s="106"/>
      <c r="V2284" s="74">
        <f>Devis[[#This Row],[Prix de Revient]]*Devis[[#This Row],[Poste 1]]</f>
        <v>0</v>
      </c>
      <c r="W2284" s="74">
        <f>Devis[[#This Row],[Prix de Revient]]*Devis[[#This Row],[Poste 2]]</f>
        <v>0</v>
      </c>
      <c r="X2284" s="74">
        <f>Devis[[#This Row],[Prix de Revient]]*Devis[[#This Row],[Poste 3]]</f>
        <v>0</v>
      </c>
      <c r="Y2284" s="74">
        <f>Devis[[#This Row],[Poste 4]]*Devis[[#This Row],[Prix de Revient]]</f>
        <v>0</v>
      </c>
      <c r="Z2284" s="74">
        <f>Devis[[#This Row],[Poste 5]]*Devis[[#This Row],[Prix de Revient]]</f>
        <v>0</v>
      </c>
      <c r="AA2284" s="74">
        <f>Devis[[#This Row],[Prix de Revient]]*Devis[[#This Row],[Poste 6]]</f>
        <v>0</v>
      </c>
      <c r="AB2284" s="74">
        <f>Devis[[#This Row],[Quantité Totale]]*Devis[[#This Row],[Prix de Revient]]</f>
        <v>0</v>
      </c>
    </row>
    <row r="2285" spans="1:28" ht="14.25" customHeight="1" x14ac:dyDescent="0.25">
      <c r="A2285" s="65" t="s">
        <v>2053</v>
      </c>
      <c r="B2285" s="65" t="s">
        <v>2325</v>
      </c>
      <c r="C2285" s="76"/>
      <c r="D2285" s="81" t="str">
        <f t="shared" si="39"/>
        <v>Inox SoudéTé égaux inox 304L</v>
      </c>
      <c r="E2285" s="76"/>
      <c r="F2285" s="81">
        <v>0</v>
      </c>
      <c r="G2285" s="86"/>
      <c r="H2285" s="71"/>
      <c r="I2285" s="75"/>
      <c r="J2285" s="70">
        <f>IFERROR(VLOOKUP(Devis[[#This Row],[Ref Air Flux]],#REF!,3,FALSE),0)</f>
        <v>0</v>
      </c>
      <c r="K2285" s="68"/>
      <c r="L2285" s="68"/>
      <c r="M2285" s="68"/>
      <c r="N2285" s="68"/>
      <c r="O2285" s="68"/>
      <c r="P2285" s="68"/>
      <c r="Q2285" s="68">
        <f>SUM(Devis[[#This Row],[Poste 1]:[Poste 6]])</f>
        <v>0</v>
      </c>
      <c r="R2285" s="111"/>
      <c r="S2285" s="68">
        <f>_xlfn.CEILING.MATH(Devis[[#This Row],[Quantité Totale]],Devis[[#This Row],[Conditionnement]])</f>
        <v>0</v>
      </c>
      <c r="T2285" s="72"/>
      <c r="U2285" s="106"/>
      <c r="V2285" s="74">
        <f>Devis[[#This Row],[Prix de Revient]]*Devis[[#This Row],[Poste 1]]</f>
        <v>0</v>
      </c>
      <c r="W2285" s="74">
        <f>Devis[[#This Row],[Prix de Revient]]*Devis[[#This Row],[Poste 2]]</f>
        <v>0</v>
      </c>
      <c r="X2285" s="74">
        <f>Devis[[#This Row],[Prix de Revient]]*Devis[[#This Row],[Poste 3]]</f>
        <v>0</v>
      </c>
      <c r="Y2285" s="74">
        <f>Devis[[#This Row],[Poste 4]]*Devis[[#This Row],[Prix de Revient]]</f>
        <v>0</v>
      </c>
      <c r="Z2285" s="74">
        <f>Devis[[#This Row],[Poste 5]]*Devis[[#This Row],[Prix de Revient]]</f>
        <v>0</v>
      </c>
      <c r="AA2285" s="74">
        <f>Devis[[#This Row],[Prix de Revient]]*Devis[[#This Row],[Poste 6]]</f>
        <v>0</v>
      </c>
      <c r="AB2285" s="74">
        <f>Devis[[#This Row],[Quantité Totale]]*Devis[[#This Row],[Prix de Revient]]</f>
        <v>0</v>
      </c>
    </row>
    <row r="2286" spans="1:28" ht="14.25" outlineLevel="1" x14ac:dyDescent="0.2">
      <c r="A2286" s="75" t="s">
        <v>2053</v>
      </c>
      <c r="B2286" s="76" t="s">
        <v>2325</v>
      </c>
      <c r="C2286" s="76"/>
      <c r="D2286" s="81" t="str">
        <f t="shared" si="39"/>
        <v>Inox SoudéTé égaux inox 304L</v>
      </c>
      <c r="E2286" s="76" t="s">
        <v>629</v>
      </c>
      <c r="F2286" s="81">
        <v>1</v>
      </c>
      <c r="G2286" s="86" t="s">
        <v>2329</v>
      </c>
      <c r="H2286" s="71"/>
      <c r="I2286" s="75"/>
      <c r="J2286" s="70">
        <f>IFERROR(VLOOKUP(Devis[[#This Row],[Ref Air Flux]],#REF!,3,FALSE),0)</f>
        <v>0</v>
      </c>
      <c r="K2286" s="68"/>
      <c r="L2286" s="68"/>
      <c r="M2286" s="68"/>
      <c r="N2286" s="68"/>
      <c r="O2286" s="68"/>
      <c r="P2286" s="68"/>
      <c r="Q2286" s="68">
        <f>SUM(Devis[[#This Row],[Poste 1]:[Poste 6]])</f>
        <v>0</v>
      </c>
      <c r="R2286" s="111"/>
      <c r="S2286" s="68">
        <f>_xlfn.CEILING.MATH(Devis[[#This Row],[Quantité Totale]],Devis[[#This Row],[Conditionnement]])</f>
        <v>0</v>
      </c>
      <c r="T2286" s="72">
        <v>3</v>
      </c>
      <c r="U2286" s="106"/>
      <c r="V2286" s="74">
        <f>Devis[[#This Row],[Prix de Revient]]*Devis[[#This Row],[Poste 1]]</f>
        <v>0</v>
      </c>
      <c r="W2286" s="74">
        <f>Devis[[#This Row],[Prix de Revient]]*Devis[[#This Row],[Poste 2]]</f>
        <v>0</v>
      </c>
      <c r="X2286" s="74">
        <f>Devis[[#This Row],[Prix de Revient]]*Devis[[#This Row],[Poste 3]]</f>
        <v>0</v>
      </c>
      <c r="Y2286" s="74">
        <f>Devis[[#This Row],[Poste 4]]*Devis[[#This Row],[Prix de Revient]]</f>
        <v>0</v>
      </c>
      <c r="Z2286" s="74">
        <f>Devis[[#This Row],[Poste 5]]*Devis[[#This Row],[Prix de Revient]]</f>
        <v>0</v>
      </c>
      <c r="AA2286" s="74">
        <f>Devis[[#This Row],[Prix de Revient]]*Devis[[#This Row],[Poste 6]]</f>
        <v>0</v>
      </c>
      <c r="AB2286" s="74">
        <f>Devis[[#This Row],[Quantité Totale]]*Devis[[#This Row],[Prix de Revient]]</f>
        <v>0</v>
      </c>
    </row>
    <row r="2287" spans="1:28" ht="14.25" outlineLevel="1" x14ac:dyDescent="0.2">
      <c r="A2287" s="75" t="s">
        <v>2053</v>
      </c>
      <c r="B2287" s="76" t="s">
        <v>2325</v>
      </c>
      <c r="C2287" s="76"/>
      <c r="D2287" s="81" t="str">
        <f t="shared" si="39"/>
        <v>Inox SoudéTé égaux inox 304L</v>
      </c>
      <c r="E2287" s="76" t="s">
        <v>630</v>
      </c>
      <c r="F2287" s="81">
        <v>2</v>
      </c>
      <c r="G2287" s="86" t="s">
        <v>2330</v>
      </c>
      <c r="H2287" s="71"/>
      <c r="I2287" s="75"/>
      <c r="J2287" s="70">
        <f>IFERROR(VLOOKUP(Devis[[#This Row],[Ref Air Flux]],#REF!,3,FALSE),0)</f>
        <v>0</v>
      </c>
      <c r="K2287" s="68"/>
      <c r="L2287" s="68"/>
      <c r="M2287" s="68"/>
      <c r="N2287" s="68"/>
      <c r="O2287" s="68"/>
      <c r="P2287" s="68"/>
      <c r="Q2287" s="68">
        <f>SUM(Devis[[#This Row],[Poste 1]:[Poste 6]])</f>
        <v>0</v>
      </c>
      <c r="R2287" s="111"/>
      <c r="S2287" s="68">
        <f>_xlfn.CEILING.MATH(Devis[[#This Row],[Quantité Totale]],Devis[[#This Row],[Conditionnement]])</f>
        <v>0</v>
      </c>
      <c r="T2287" s="72">
        <v>3.75</v>
      </c>
      <c r="U2287" s="106"/>
      <c r="V2287" s="74">
        <f>Devis[[#This Row],[Prix de Revient]]*Devis[[#This Row],[Poste 1]]</f>
        <v>0</v>
      </c>
      <c r="W2287" s="74">
        <f>Devis[[#This Row],[Prix de Revient]]*Devis[[#This Row],[Poste 2]]</f>
        <v>0</v>
      </c>
      <c r="X2287" s="74">
        <f>Devis[[#This Row],[Prix de Revient]]*Devis[[#This Row],[Poste 3]]</f>
        <v>0</v>
      </c>
      <c r="Y2287" s="74">
        <f>Devis[[#This Row],[Poste 4]]*Devis[[#This Row],[Prix de Revient]]</f>
        <v>0</v>
      </c>
      <c r="Z2287" s="74">
        <f>Devis[[#This Row],[Poste 5]]*Devis[[#This Row],[Prix de Revient]]</f>
        <v>0</v>
      </c>
      <c r="AA2287" s="74">
        <f>Devis[[#This Row],[Prix de Revient]]*Devis[[#This Row],[Poste 6]]</f>
        <v>0</v>
      </c>
      <c r="AB2287" s="74">
        <f>Devis[[#This Row],[Quantité Totale]]*Devis[[#This Row],[Prix de Revient]]</f>
        <v>0</v>
      </c>
    </row>
    <row r="2288" spans="1:28" ht="15" customHeight="1" outlineLevel="1" x14ac:dyDescent="0.2">
      <c r="A2288" s="75" t="s">
        <v>2053</v>
      </c>
      <c r="B2288" s="76" t="s">
        <v>2325</v>
      </c>
      <c r="C2288" s="76"/>
      <c r="D2288" s="81" t="str">
        <f t="shared" si="39"/>
        <v>Inox SoudéTé égaux inox 304L</v>
      </c>
      <c r="E2288" s="76" t="s">
        <v>631</v>
      </c>
      <c r="F2288" s="81">
        <v>3</v>
      </c>
      <c r="G2288" s="86" t="s">
        <v>2331</v>
      </c>
      <c r="H2288" s="71"/>
      <c r="I2288" s="75"/>
      <c r="J2288" s="70">
        <f>IFERROR(VLOOKUP(Devis[[#This Row],[Ref Air Flux]],#REF!,3,FALSE),0)</f>
        <v>0</v>
      </c>
      <c r="K2288" s="68"/>
      <c r="L2288" s="68"/>
      <c r="M2288" s="68"/>
      <c r="N2288" s="68"/>
      <c r="O2288" s="68"/>
      <c r="P2288" s="68"/>
      <c r="Q2288" s="68">
        <f>SUM(Devis[[#This Row],[Poste 1]:[Poste 6]])</f>
        <v>0</v>
      </c>
      <c r="R2288" s="111"/>
      <c r="S2288" s="68">
        <f>_xlfn.CEILING.MATH(Devis[[#This Row],[Quantité Totale]],Devis[[#This Row],[Conditionnement]])</f>
        <v>0</v>
      </c>
      <c r="T2288" s="72">
        <v>4.5</v>
      </c>
      <c r="U2288" s="106"/>
      <c r="V2288" s="74">
        <f>Devis[[#This Row],[Prix de Revient]]*Devis[[#This Row],[Poste 1]]</f>
        <v>0</v>
      </c>
      <c r="W2288" s="74">
        <f>Devis[[#This Row],[Prix de Revient]]*Devis[[#This Row],[Poste 2]]</f>
        <v>0</v>
      </c>
      <c r="X2288" s="74">
        <f>Devis[[#This Row],[Prix de Revient]]*Devis[[#This Row],[Poste 3]]</f>
        <v>0</v>
      </c>
      <c r="Y2288" s="74">
        <f>Devis[[#This Row],[Poste 4]]*Devis[[#This Row],[Prix de Revient]]</f>
        <v>0</v>
      </c>
      <c r="Z2288" s="74">
        <f>Devis[[#This Row],[Poste 5]]*Devis[[#This Row],[Prix de Revient]]</f>
        <v>0</v>
      </c>
      <c r="AA2288" s="74">
        <f>Devis[[#This Row],[Prix de Revient]]*Devis[[#This Row],[Poste 6]]</f>
        <v>0</v>
      </c>
      <c r="AB2288" s="74">
        <f>Devis[[#This Row],[Quantité Totale]]*Devis[[#This Row],[Prix de Revient]]</f>
        <v>0</v>
      </c>
    </row>
    <row r="2289" spans="1:28" ht="14.25" outlineLevel="1" x14ac:dyDescent="0.2">
      <c r="A2289" s="75" t="s">
        <v>2053</v>
      </c>
      <c r="B2289" s="76" t="s">
        <v>2325</v>
      </c>
      <c r="C2289" s="76"/>
      <c r="D2289" s="81" t="str">
        <f t="shared" si="39"/>
        <v>Inox SoudéTé égaux inox 304L</v>
      </c>
      <c r="E2289" s="76" t="s">
        <v>1671</v>
      </c>
      <c r="F2289" s="81">
        <v>4</v>
      </c>
      <c r="G2289" s="108" t="s">
        <v>3428</v>
      </c>
      <c r="H2289" s="71"/>
      <c r="I2289" s="75"/>
      <c r="J2289" s="70">
        <f>IFERROR(VLOOKUP(Devis[[#This Row],[Ref Air Flux]],#REF!,3,FALSE),0)</f>
        <v>0</v>
      </c>
      <c r="K2289" s="68"/>
      <c r="L2289" s="68"/>
      <c r="M2289" s="68"/>
      <c r="N2289" s="68"/>
      <c r="O2289" s="68"/>
      <c r="P2289" s="68"/>
      <c r="Q2289" s="68">
        <f>SUM(Devis[[#This Row],[Poste 1]:[Poste 6]])</f>
        <v>0</v>
      </c>
      <c r="R2289" s="71"/>
      <c r="S2289" s="68">
        <f>_xlfn.CEILING.MATH(Devis[[#This Row],[Quantité Totale]],Devis[[#This Row],[Conditionnement]])</f>
        <v>0</v>
      </c>
      <c r="T2289" s="72"/>
      <c r="U2289" s="106"/>
      <c r="V2289" s="74">
        <f>Devis[[#This Row],[Prix de Revient]]*Devis[[#This Row],[Poste 1]]</f>
        <v>0</v>
      </c>
      <c r="W2289" s="74">
        <f>Devis[[#This Row],[Prix de Revient]]*Devis[[#This Row],[Poste 2]]</f>
        <v>0</v>
      </c>
      <c r="X2289" s="74">
        <f>Devis[[#This Row],[Prix de Revient]]*Devis[[#This Row],[Poste 3]]</f>
        <v>0</v>
      </c>
      <c r="Y2289" s="74">
        <f>Devis[[#This Row],[Poste 4]]*Devis[[#This Row],[Prix de Revient]]</f>
        <v>0</v>
      </c>
      <c r="Z2289" s="74">
        <f>Devis[[#This Row],[Poste 5]]*Devis[[#This Row],[Prix de Revient]]</f>
        <v>0</v>
      </c>
      <c r="AA2289" s="74">
        <f>Devis[[#This Row],[Prix de Revient]]*Devis[[#This Row],[Poste 6]]</f>
        <v>0</v>
      </c>
      <c r="AB2289" s="74">
        <f>Devis[[#This Row],[Quantité Totale]]*Devis[[#This Row],[Prix de Revient]]</f>
        <v>0</v>
      </c>
    </row>
    <row r="2290" spans="1:28" ht="14.25" outlineLevel="1" x14ac:dyDescent="0.2">
      <c r="A2290" s="75" t="s">
        <v>2053</v>
      </c>
      <c r="B2290" s="76" t="s">
        <v>2325</v>
      </c>
      <c r="C2290" s="76"/>
      <c r="D2290" s="81" t="str">
        <f t="shared" si="39"/>
        <v>Inox SoudéTé égaux inox 304L</v>
      </c>
      <c r="E2290" s="76" t="s">
        <v>554</v>
      </c>
      <c r="F2290" s="81">
        <v>5</v>
      </c>
      <c r="G2290" s="86" t="s">
        <v>2332</v>
      </c>
      <c r="H2290" s="71"/>
      <c r="I2290" s="75"/>
      <c r="J2290" s="70">
        <f>IFERROR(VLOOKUP(Devis[[#This Row],[Ref Air Flux]],#REF!,3,FALSE),0)</f>
        <v>0</v>
      </c>
      <c r="K2290" s="68"/>
      <c r="L2290" s="68"/>
      <c r="M2290" s="68"/>
      <c r="N2290" s="68"/>
      <c r="O2290" s="68"/>
      <c r="P2290" s="68"/>
      <c r="Q2290" s="68">
        <f>SUM(Devis[[#This Row],[Poste 1]:[Poste 6]])</f>
        <v>0</v>
      </c>
      <c r="R2290" s="111"/>
      <c r="S2290" s="68">
        <f>_xlfn.CEILING.MATH(Devis[[#This Row],[Quantité Totale]],Devis[[#This Row],[Conditionnement]])</f>
        <v>0</v>
      </c>
      <c r="T2290" s="72">
        <v>6</v>
      </c>
      <c r="U2290" s="106"/>
      <c r="V2290" s="74">
        <f>Devis[[#This Row],[Prix de Revient]]*Devis[[#This Row],[Poste 1]]</f>
        <v>0</v>
      </c>
      <c r="W2290" s="74">
        <f>Devis[[#This Row],[Prix de Revient]]*Devis[[#This Row],[Poste 2]]</f>
        <v>0</v>
      </c>
      <c r="X2290" s="74">
        <f>Devis[[#This Row],[Prix de Revient]]*Devis[[#This Row],[Poste 3]]</f>
        <v>0</v>
      </c>
      <c r="Y2290" s="74">
        <f>Devis[[#This Row],[Poste 4]]*Devis[[#This Row],[Prix de Revient]]</f>
        <v>0</v>
      </c>
      <c r="Z2290" s="74">
        <f>Devis[[#This Row],[Poste 5]]*Devis[[#This Row],[Prix de Revient]]</f>
        <v>0</v>
      </c>
      <c r="AA2290" s="74">
        <f>Devis[[#This Row],[Prix de Revient]]*Devis[[#This Row],[Poste 6]]</f>
        <v>0</v>
      </c>
      <c r="AB2290" s="74">
        <f>Devis[[#This Row],[Quantité Totale]]*Devis[[#This Row],[Prix de Revient]]</f>
        <v>0</v>
      </c>
    </row>
    <row r="2291" spans="1:28" ht="14.25" outlineLevel="1" x14ac:dyDescent="0.2">
      <c r="A2291" s="75" t="s">
        <v>2053</v>
      </c>
      <c r="B2291" s="76" t="s">
        <v>2325</v>
      </c>
      <c r="C2291" s="76"/>
      <c r="D2291" s="81" t="str">
        <f t="shared" si="39"/>
        <v>Inox SoudéTé égaux inox 304L</v>
      </c>
      <c r="E2291" s="76" t="s">
        <v>1666</v>
      </c>
      <c r="F2291" s="81">
        <v>6</v>
      </c>
      <c r="G2291" s="86" t="s">
        <v>4103</v>
      </c>
      <c r="H2291" s="71"/>
      <c r="I2291" s="75"/>
      <c r="J2291" s="70">
        <f>IFERROR(VLOOKUP(Devis[[#This Row],[Ref Air Flux]],#REF!,3,FALSE),0)</f>
        <v>0</v>
      </c>
      <c r="K2291" s="68"/>
      <c r="L2291" s="68"/>
      <c r="M2291" s="68"/>
      <c r="N2291" s="68"/>
      <c r="O2291" s="68"/>
      <c r="P2291" s="68"/>
      <c r="Q2291" s="68">
        <f>SUM(Devis[[#This Row],[Poste 1]:[Poste 6]])</f>
        <v>0</v>
      </c>
      <c r="R2291" s="111"/>
      <c r="S2291" s="68">
        <f>_xlfn.CEILING.MATH(Devis[[#This Row],[Quantité Totale]],Devis[[#This Row],[Conditionnement]])</f>
        <v>0</v>
      </c>
      <c r="T2291" s="72"/>
      <c r="U2291" s="106"/>
      <c r="V2291" s="74">
        <f>Devis[[#This Row],[Prix de Revient]]*Devis[[#This Row],[Poste 1]]</f>
        <v>0</v>
      </c>
      <c r="W2291" s="74">
        <f>Devis[[#This Row],[Prix de Revient]]*Devis[[#This Row],[Poste 2]]</f>
        <v>0</v>
      </c>
      <c r="X2291" s="74">
        <f>Devis[[#This Row],[Prix de Revient]]*Devis[[#This Row],[Poste 3]]</f>
        <v>0</v>
      </c>
      <c r="Y2291" s="74">
        <f>Devis[[#This Row],[Poste 4]]*Devis[[#This Row],[Prix de Revient]]</f>
        <v>0</v>
      </c>
      <c r="Z2291" s="74">
        <f>Devis[[#This Row],[Poste 5]]*Devis[[#This Row],[Prix de Revient]]</f>
        <v>0</v>
      </c>
      <c r="AA2291" s="74">
        <f>Devis[[#This Row],[Prix de Revient]]*Devis[[#This Row],[Poste 6]]</f>
        <v>0</v>
      </c>
      <c r="AB2291" s="74">
        <f>Devis[[#This Row],[Quantité Totale]]*Devis[[#This Row],[Prix de Revient]]</f>
        <v>0</v>
      </c>
    </row>
    <row r="2292" spans="1:28" ht="15" customHeight="1" outlineLevel="1" x14ac:dyDescent="0.2">
      <c r="A2292" s="75" t="s">
        <v>2053</v>
      </c>
      <c r="B2292" s="76" t="s">
        <v>2325</v>
      </c>
      <c r="C2292" s="76"/>
      <c r="D2292" s="81" t="str">
        <f t="shared" si="39"/>
        <v>Inox SoudéTé égaux inox 304L</v>
      </c>
      <c r="E2292" s="76" t="s">
        <v>1674</v>
      </c>
      <c r="F2292" s="81">
        <v>7</v>
      </c>
      <c r="G2292" s="86" t="s">
        <v>3429</v>
      </c>
      <c r="H2292" s="71"/>
      <c r="I2292" s="75"/>
      <c r="J2292" s="70">
        <f>IFERROR(VLOOKUP(Devis[[#This Row],[Ref Air Flux]],#REF!,3,FALSE),0)</f>
        <v>0</v>
      </c>
      <c r="K2292" s="68"/>
      <c r="L2292" s="68"/>
      <c r="M2292" s="68"/>
      <c r="N2292" s="68"/>
      <c r="O2292" s="68"/>
      <c r="P2292" s="68"/>
      <c r="Q2292" s="68">
        <f>SUM(Devis[[#This Row],[Poste 1]:[Poste 6]])</f>
        <v>0</v>
      </c>
      <c r="R2292" s="71"/>
      <c r="S2292" s="68">
        <f>_xlfn.CEILING.MATH(Devis[[#This Row],[Quantité Totale]],Devis[[#This Row],[Conditionnement]])</f>
        <v>0</v>
      </c>
      <c r="T2292" s="72"/>
      <c r="U2292" s="106"/>
      <c r="V2292" s="74">
        <f>Devis[[#This Row],[Prix de Revient]]*Devis[[#This Row],[Poste 1]]</f>
        <v>0</v>
      </c>
      <c r="W2292" s="74">
        <f>Devis[[#This Row],[Prix de Revient]]*Devis[[#This Row],[Poste 2]]</f>
        <v>0</v>
      </c>
      <c r="X2292" s="74">
        <f>Devis[[#This Row],[Prix de Revient]]*Devis[[#This Row],[Poste 3]]</f>
        <v>0</v>
      </c>
      <c r="Y2292" s="74">
        <f>Devis[[#This Row],[Poste 4]]*Devis[[#This Row],[Prix de Revient]]</f>
        <v>0</v>
      </c>
      <c r="Z2292" s="74">
        <f>Devis[[#This Row],[Poste 5]]*Devis[[#This Row],[Prix de Revient]]</f>
        <v>0</v>
      </c>
      <c r="AA2292" s="74">
        <f>Devis[[#This Row],[Prix de Revient]]*Devis[[#This Row],[Poste 6]]</f>
        <v>0</v>
      </c>
      <c r="AB2292" s="74">
        <f>Devis[[#This Row],[Quantité Totale]]*Devis[[#This Row],[Prix de Revient]]</f>
        <v>0</v>
      </c>
    </row>
    <row r="2293" spans="1:28" ht="14.25" outlineLevel="1" x14ac:dyDescent="0.2">
      <c r="A2293" s="75" t="s">
        <v>2053</v>
      </c>
      <c r="B2293" s="76" t="s">
        <v>2325</v>
      </c>
      <c r="C2293" s="76"/>
      <c r="D2293" s="81" t="str">
        <f t="shared" si="39"/>
        <v>Inox SoudéTé égaux inox 304L</v>
      </c>
      <c r="E2293" s="76" t="s">
        <v>340</v>
      </c>
      <c r="F2293" s="81">
        <v>8</v>
      </c>
      <c r="G2293" s="86" t="s">
        <v>4104</v>
      </c>
      <c r="H2293" s="71"/>
      <c r="I2293" s="75"/>
      <c r="J2293" s="70">
        <f>IFERROR(VLOOKUP(Devis[[#This Row],[Ref Air Flux]],#REF!,3,FALSE),0)</f>
        <v>0</v>
      </c>
      <c r="K2293" s="68"/>
      <c r="L2293" s="68"/>
      <c r="M2293" s="68"/>
      <c r="N2293" s="68"/>
      <c r="O2293" s="68"/>
      <c r="P2293" s="68"/>
      <c r="Q2293" s="68">
        <f>SUM(Devis[[#This Row],[Poste 1]:[Poste 6]])</f>
        <v>0</v>
      </c>
      <c r="R2293" s="111"/>
      <c r="S2293" s="68">
        <f>_xlfn.CEILING.MATH(Devis[[#This Row],[Quantité Totale]],Devis[[#This Row],[Conditionnement]])</f>
        <v>0</v>
      </c>
      <c r="T2293" s="72">
        <v>1.0499999999999998</v>
      </c>
      <c r="U2293" s="106"/>
      <c r="V2293" s="74">
        <f>Devis[[#This Row],[Prix de Revient]]*Devis[[#This Row],[Poste 1]]</f>
        <v>0</v>
      </c>
      <c r="W2293" s="74">
        <f>Devis[[#This Row],[Prix de Revient]]*Devis[[#This Row],[Poste 2]]</f>
        <v>0</v>
      </c>
      <c r="X2293" s="74">
        <f>Devis[[#This Row],[Prix de Revient]]*Devis[[#This Row],[Poste 3]]</f>
        <v>0</v>
      </c>
      <c r="Y2293" s="74">
        <f>Devis[[#This Row],[Poste 4]]*Devis[[#This Row],[Prix de Revient]]</f>
        <v>0</v>
      </c>
      <c r="Z2293" s="74">
        <f>Devis[[#This Row],[Poste 5]]*Devis[[#This Row],[Prix de Revient]]</f>
        <v>0</v>
      </c>
      <c r="AA2293" s="74">
        <f>Devis[[#This Row],[Prix de Revient]]*Devis[[#This Row],[Poste 6]]</f>
        <v>0</v>
      </c>
      <c r="AB2293" s="74">
        <f>Devis[[#This Row],[Quantité Totale]]*Devis[[#This Row],[Prix de Revient]]</f>
        <v>0</v>
      </c>
    </row>
    <row r="2294" spans="1:28" ht="14.25" outlineLevel="1" x14ac:dyDescent="0.2">
      <c r="A2294" s="75" t="s">
        <v>2053</v>
      </c>
      <c r="B2294" s="76" t="s">
        <v>2325</v>
      </c>
      <c r="C2294" s="76"/>
      <c r="D2294" s="81" t="str">
        <f t="shared" si="39"/>
        <v>Inox SoudéTé égaux inox 304L</v>
      </c>
      <c r="E2294" s="76" t="s">
        <v>1682</v>
      </c>
      <c r="F2294" s="81">
        <v>9</v>
      </c>
      <c r="G2294" s="86" t="s">
        <v>2326</v>
      </c>
      <c r="H2294" s="71"/>
      <c r="I2294" s="75"/>
      <c r="J2294" s="70">
        <f>IFERROR(VLOOKUP(Devis[[#This Row],[Ref Air Flux]],#REF!,3,FALSE),0)</f>
        <v>0</v>
      </c>
      <c r="K2294" s="68"/>
      <c r="L2294" s="68"/>
      <c r="M2294" s="68"/>
      <c r="N2294" s="68"/>
      <c r="O2294" s="68"/>
      <c r="P2294" s="68"/>
      <c r="Q2294" s="68">
        <f>SUM(Devis[[#This Row],[Poste 1]:[Poste 6]])</f>
        <v>0</v>
      </c>
      <c r="R2294" s="111"/>
      <c r="S2294" s="68">
        <f>_xlfn.CEILING.MATH(Devis[[#This Row],[Quantité Totale]],Devis[[#This Row],[Conditionnement]])</f>
        <v>0</v>
      </c>
      <c r="T2294" s="72">
        <v>1.5</v>
      </c>
      <c r="U2294" s="106"/>
      <c r="V2294" s="74">
        <f>Devis[[#This Row],[Prix de Revient]]*Devis[[#This Row],[Poste 1]]</f>
        <v>0</v>
      </c>
      <c r="W2294" s="74">
        <f>Devis[[#This Row],[Prix de Revient]]*Devis[[#This Row],[Poste 2]]</f>
        <v>0</v>
      </c>
      <c r="X2294" s="74">
        <f>Devis[[#This Row],[Prix de Revient]]*Devis[[#This Row],[Poste 3]]</f>
        <v>0</v>
      </c>
      <c r="Y2294" s="74">
        <f>Devis[[#This Row],[Poste 4]]*Devis[[#This Row],[Prix de Revient]]</f>
        <v>0</v>
      </c>
      <c r="Z2294" s="74">
        <f>Devis[[#This Row],[Poste 5]]*Devis[[#This Row],[Prix de Revient]]</f>
        <v>0</v>
      </c>
      <c r="AA2294" s="74">
        <f>Devis[[#This Row],[Prix de Revient]]*Devis[[#This Row],[Poste 6]]</f>
        <v>0</v>
      </c>
      <c r="AB2294" s="74">
        <f>Devis[[#This Row],[Quantité Totale]]*Devis[[#This Row],[Prix de Revient]]</f>
        <v>0</v>
      </c>
    </row>
    <row r="2295" spans="1:28" ht="14.25" outlineLevel="1" x14ac:dyDescent="0.2">
      <c r="A2295" s="75" t="s">
        <v>2053</v>
      </c>
      <c r="B2295" s="76" t="s">
        <v>2325</v>
      </c>
      <c r="C2295" s="76"/>
      <c r="D2295" s="81" t="str">
        <f t="shared" si="39"/>
        <v>Inox SoudéTé égaux inox 304L</v>
      </c>
      <c r="E2295" s="76" t="s">
        <v>625</v>
      </c>
      <c r="F2295" s="81">
        <v>10</v>
      </c>
      <c r="G2295" s="86" t="s">
        <v>2327</v>
      </c>
      <c r="H2295" s="71"/>
      <c r="I2295" s="75"/>
      <c r="J2295" s="70">
        <f>IFERROR(VLOOKUP(Devis[[#This Row],[Ref Air Flux]],#REF!,3,FALSE),0)</f>
        <v>0</v>
      </c>
      <c r="K2295" s="68"/>
      <c r="L2295" s="68"/>
      <c r="M2295" s="68"/>
      <c r="N2295" s="68"/>
      <c r="O2295" s="68"/>
      <c r="P2295" s="68"/>
      <c r="Q2295" s="68">
        <f>SUM(Devis[[#This Row],[Poste 1]:[Poste 6]])</f>
        <v>0</v>
      </c>
      <c r="R2295" s="111"/>
      <c r="S2295" s="68">
        <f>_xlfn.CEILING.MATH(Devis[[#This Row],[Quantité Totale]],Devis[[#This Row],[Conditionnement]])</f>
        <v>0</v>
      </c>
      <c r="T2295" s="72">
        <v>1.7999999999999998</v>
      </c>
      <c r="U2295" s="106"/>
      <c r="V2295" s="74">
        <f>Devis[[#This Row],[Prix de Revient]]*Devis[[#This Row],[Poste 1]]</f>
        <v>0</v>
      </c>
      <c r="W2295" s="74">
        <f>Devis[[#This Row],[Prix de Revient]]*Devis[[#This Row],[Poste 2]]</f>
        <v>0</v>
      </c>
      <c r="X2295" s="74">
        <f>Devis[[#This Row],[Prix de Revient]]*Devis[[#This Row],[Poste 3]]</f>
        <v>0</v>
      </c>
      <c r="Y2295" s="74">
        <f>Devis[[#This Row],[Poste 4]]*Devis[[#This Row],[Prix de Revient]]</f>
        <v>0</v>
      </c>
      <c r="Z2295" s="74">
        <f>Devis[[#This Row],[Poste 5]]*Devis[[#This Row],[Prix de Revient]]</f>
        <v>0</v>
      </c>
      <c r="AA2295" s="74">
        <f>Devis[[#This Row],[Prix de Revient]]*Devis[[#This Row],[Poste 6]]</f>
        <v>0</v>
      </c>
      <c r="AB2295" s="74">
        <f>Devis[[#This Row],[Quantité Totale]]*Devis[[#This Row],[Prix de Revient]]</f>
        <v>0</v>
      </c>
    </row>
    <row r="2296" spans="1:28" ht="14.25" outlineLevel="1" x14ac:dyDescent="0.2">
      <c r="A2296" s="75" t="s">
        <v>2053</v>
      </c>
      <c r="B2296" s="76" t="s">
        <v>2325</v>
      </c>
      <c r="C2296" s="76"/>
      <c r="D2296" s="81" t="str">
        <f t="shared" si="39"/>
        <v>Inox SoudéTé égaux inox 304L</v>
      </c>
      <c r="E2296" s="76" t="s">
        <v>627</v>
      </c>
      <c r="F2296" s="81">
        <v>11</v>
      </c>
      <c r="G2296" s="86" t="s">
        <v>2328</v>
      </c>
      <c r="H2296" s="71"/>
      <c r="I2296" s="75"/>
      <c r="J2296" s="70">
        <f>IFERROR(VLOOKUP(Devis[[#This Row],[Ref Air Flux]],#REF!,3,FALSE),0)</f>
        <v>0</v>
      </c>
      <c r="K2296" s="68"/>
      <c r="L2296" s="68"/>
      <c r="M2296" s="68"/>
      <c r="N2296" s="68"/>
      <c r="O2296" s="68"/>
      <c r="P2296" s="68"/>
      <c r="Q2296" s="68">
        <f>SUM(Devis[[#This Row],[Poste 1]:[Poste 6]])</f>
        <v>0</v>
      </c>
      <c r="R2296" s="111"/>
      <c r="S2296" s="68">
        <f>_xlfn.CEILING.MATH(Devis[[#This Row],[Quantité Totale]],Devis[[#This Row],[Conditionnement]])</f>
        <v>0</v>
      </c>
      <c r="T2296" s="72">
        <v>2.25</v>
      </c>
      <c r="U2296" s="106"/>
      <c r="V2296" s="74">
        <f>Devis[[#This Row],[Prix de Revient]]*Devis[[#This Row],[Poste 1]]</f>
        <v>0</v>
      </c>
      <c r="W2296" s="74">
        <f>Devis[[#This Row],[Prix de Revient]]*Devis[[#This Row],[Poste 2]]</f>
        <v>0</v>
      </c>
      <c r="X2296" s="74">
        <f>Devis[[#This Row],[Prix de Revient]]*Devis[[#This Row],[Poste 3]]</f>
        <v>0</v>
      </c>
      <c r="Y2296" s="74">
        <f>Devis[[#This Row],[Poste 4]]*Devis[[#This Row],[Prix de Revient]]</f>
        <v>0</v>
      </c>
      <c r="Z2296" s="74">
        <f>Devis[[#This Row],[Poste 5]]*Devis[[#This Row],[Prix de Revient]]</f>
        <v>0</v>
      </c>
      <c r="AA2296" s="74">
        <f>Devis[[#This Row],[Prix de Revient]]*Devis[[#This Row],[Poste 6]]</f>
        <v>0</v>
      </c>
      <c r="AB2296" s="74">
        <f>Devis[[#This Row],[Quantité Totale]]*Devis[[#This Row],[Prix de Revient]]</f>
        <v>0</v>
      </c>
    </row>
    <row r="2297" spans="1:28" ht="14.25" customHeight="1" x14ac:dyDescent="0.25">
      <c r="A2297" s="65" t="s">
        <v>2053</v>
      </c>
      <c r="B2297" s="65" t="s">
        <v>2333</v>
      </c>
      <c r="C2297" s="76"/>
      <c r="D2297" s="81" t="str">
        <f t="shared" si="39"/>
        <v>Inox SoudéTube roulé soudé</v>
      </c>
      <c r="E2297" s="76"/>
      <c r="F2297" s="81">
        <v>0</v>
      </c>
      <c r="G2297" s="86"/>
      <c r="H2297" s="71"/>
      <c r="I2297" s="75"/>
      <c r="J2297" s="70">
        <f>IFERROR(VLOOKUP(Devis[[#This Row],[Ref Air Flux]],#REF!,3,FALSE),0)</f>
        <v>0</v>
      </c>
      <c r="K2297" s="68"/>
      <c r="L2297" s="68"/>
      <c r="M2297" s="68"/>
      <c r="N2297" s="68"/>
      <c r="O2297" s="68"/>
      <c r="P2297" s="68"/>
      <c r="Q2297" s="68">
        <f>SUM(Devis[[#This Row],[Poste 1]:[Poste 6]])</f>
        <v>0</v>
      </c>
      <c r="R2297" s="111"/>
      <c r="S2297" s="68">
        <f>_xlfn.CEILING.MATH(Devis[[#This Row],[Quantité Totale]],Devis[[#This Row],[Conditionnement]])</f>
        <v>0</v>
      </c>
      <c r="T2297" s="72"/>
      <c r="U2297" s="106"/>
      <c r="V2297" s="74">
        <f>Devis[[#This Row],[Prix de Revient]]*Devis[[#This Row],[Poste 1]]</f>
        <v>0</v>
      </c>
      <c r="W2297" s="74">
        <f>Devis[[#This Row],[Prix de Revient]]*Devis[[#This Row],[Poste 2]]</f>
        <v>0</v>
      </c>
      <c r="X2297" s="74">
        <f>Devis[[#This Row],[Prix de Revient]]*Devis[[#This Row],[Poste 3]]</f>
        <v>0</v>
      </c>
      <c r="Y2297" s="74">
        <f>Devis[[#This Row],[Poste 4]]*Devis[[#This Row],[Prix de Revient]]</f>
        <v>0</v>
      </c>
      <c r="Z2297" s="74">
        <f>Devis[[#This Row],[Poste 5]]*Devis[[#This Row],[Prix de Revient]]</f>
        <v>0</v>
      </c>
      <c r="AA2297" s="74">
        <f>Devis[[#This Row],[Prix de Revient]]*Devis[[#This Row],[Poste 6]]</f>
        <v>0</v>
      </c>
      <c r="AB2297" s="74">
        <f>Devis[[#This Row],[Quantité Totale]]*Devis[[#This Row],[Prix de Revient]]</f>
        <v>0</v>
      </c>
    </row>
    <row r="2298" spans="1:28" ht="15" customHeight="1" outlineLevel="1" x14ac:dyDescent="0.2">
      <c r="A2298" s="75" t="s">
        <v>2053</v>
      </c>
      <c r="B2298" s="76" t="s">
        <v>2333</v>
      </c>
      <c r="C2298" s="76"/>
      <c r="D2298" s="81" t="str">
        <f t="shared" si="39"/>
        <v>Inox SoudéTube roulé soudé</v>
      </c>
      <c r="E2298" s="76" t="s">
        <v>2346</v>
      </c>
      <c r="F2298" s="81">
        <v>1</v>
      </c>
      <c r="G2298" s="86" t="s">
        <v>2347</v>
      </c>
      <c r="H2298" s="71"/>
      <c r="I2298" s="75"/>
      <c r="J2298" s="70">
        <f>IFERROR(VLOOKUP(Devis[[#This Row],[Ref Air Flux]],#REF!,3,FALSE),0)</f>
        <v>0</v>
      </c>
      <c r="K2298" s="68"/>
      <c r="L2298" s="68"/>
      <c r="M2298" s="68"/>
      <c r="N2298" s="68"/>
      <c r="O2298" s="68"/>
      <c r="P2298" s="68"/>
      <c r="Q2298" s="68">
        <f>SUM(Devis[[#This Row],[Poste 1]:[Poste 6]])</f>
        <v>0</v>
      </c>
      <c r="R2298" s="111"/>
      <c r="S2298" s="68">
        <f>_xlfn.CEILING.MATH(Devis[[#This Row],[Quantité Totale]],Devis[[#This Row],[Conditionnement]])</f>
        <v>0</v>
      </c>
      <c r="T2298" s="72">
        <v>2.5</v>
      </c>
      <c r="U2298" s="106"/>
      <c r="V2298" s="74">
        <f>Devis[[#This Row],[Prix de Revient]]*Devis[[#This Row],[Poste 1]]</f>
        <v>0</v>
      </c>
      <c r="W2298" s="74">
        <f>Devis[[#This Row],[Prix de Revient]]*Devis[[#This Row],[Poste 2]]</f>
        <v>0</v>
      </c>
      <c r="X2298" s="74">
        <f>Devis[[#This Row],[Prix de Revient]]*Devis[[#This Row],[Poste 3]]</f>
        <v>0</v>
      </c>
      <c r="Y2298" s="74">
        <f>Devis[[#This Row],[Poste 4]]*Devis[[#This Row],[Prix de Revient]]</f>
        <v>0</v>
      </c>
      <c r="Z2298" s="74">
        <f>Devis[[#This Row],[Poste 5]]*Devis[[#This Row],[Prix de Revient]]</f>
        <v>0</v>
      </c>
      <c r="AA2298" s="74">
        <f>Devis[[#This Row],[Prix de Revient]]*Devis[[#This Row],[Poste 6]]</f>
        <v>0</v>
      </c>
      <c r="AB2298" s="74">
        <f>Devis[[#This Row],[Quantité Totale]]*Devis[[#This Row],[Prix de Revient]]</f>
        <v>0</v>
      </c>
    </row>
    <row r="2299" spans="1:28" ht="14.25" outlineLevel="1" x14ac:dyDescent="0.2">
      <c r="A2299" s="75" t="s">
        <v>2053</v>
      </c>
      <c r="B2299" s="76" t="s">
        <v>2333</v>
      </c>
      <c r="C2299" s="76"/>
      <c r="D2299" s="81" t="str">
        <f t="shared" si="39"/>
        <v>Inox SoudéTube roulé soudé</v>
      </c>
      <c r="E2299" s="76" t="s">
        <v>2348</v>
      </c>
      <c r="F2299" s="81">
        <v>2</v>
      </c>
      <c r="G2299" s="86" t="s">
        <v>2349</v>
      </c>
      <c r="H2299" s="71"/>
      <c r="I2299" s="75"/>
      <c r="J2299" s="70">
        <f>IFERROR(VLOOKUP(Devis[[#This Row],[Ref Air Flux]],#REF!,3,FALSE),0)</f>
        <v>0</v>
      </c>
      <c r="K2299" s="68"/>
      <c r="L2299" s="68"/>
      <c r="M2299" s="68"/>
      <c r="N2299" s="68"/>
      <c r="O2299" s="68"/>
      <c r="P2299" s="68"/>
      <c r="Q2299" s="68">
        <f>SUM(Devis[[#This Row],[Poste 1]:[Poste 6]])</f>
        <v>0</v>
      </c>
      <c r="R2299" s="111"/>
      <c r="S2299" s="68">
        <f>_xlfn.CEILING.MATH(Devis[[#This Row],[Quantité Totale]],Devis[[#This Row],[Conditionnement]])</f>
        <v>0</v>
      </c>
      <c r="T2299" s="72">
        <v>2.5</v>
      </c>
      <c r="U2299" s="106"/>
      <c r="V2299" s="74">
        <f>Devis[[#This Row],[Prix de Revient]]*Devis[[#This Row],[Poste 1]]</f>
        <v>0</v>
      </c>
      <c r="W2299" s="74">
        <f>Devis[[#This Row],[Prix de Revient]]*Devis[[#This Row],[Poste 2]]</f>
        <v>0</v>
      </c>
      <c r="X2299" s="74">
        <f>Devis[[#This Row],[Prix de Revient]]*Devis[[#This Row],[Poste 3]]</f>
        <v>0</v>
      </c>
      <c r="Y2299" s="74">
        <f>Devis[[#This Row],[Poste 4]]*Devis[[#This Row],[Prix de Revient]]</f>
        <v>0</v>
      </c>
      <c r="Z2299" s="74">
        <f>Devis[[#This Row],[Poste 5]]*Devis[[#This Row],[Prix de Revient]]</f>
        <v>0</v>
      </c>
      <c r="AA2299" s="74">
        <f>Devis[[#This Row],[Prix de Revient]]*Devis[[#This Row],[Poste 6]]</f>
        <v>0</v>
      </c>
      <c r="AB2299" s="74">
        <f>Devis[[#This Row],[Quantité Totale]]*Devis[[#This Row],[Prix de Revient]]</f>
        <v>0</v>
      </c>
    </row>
    <row r="2300" spans="1:28" ht="14.25" outlineLevel="1" x14ac:dyDescent="0.2">
      <c r="A2300" s="75" t="s">
        <v>2053</v>
      </c>
      <c r="B2300" s="76" t="s">
        <v>2333</v>
      </c>
      <c r="C2300" s="76"/>
      <c r="D2300" s="81" t="str">
        <f t="shared" si="39"/>
        <v>Inox SoudéTube roulé soudé</v>
      </c>
      <c r="E2300" s="76" t="s">
        <v>2350</v>
      </c>
      <c r="F2300" s="81">
        <v>3</v>
      </c>
      <c r="G2300" s="86" t="s">
        <v>2351</v>
      </c>
      <c r="H2300" s="71"/>
      <c r="I2300" s="75"/>
      <c r="J2300" s="70">
        <f>IFERROR(VLOOKUP(Devis[[#This Row],[Ref Air Flux]],#REF!,3,FALSE),0)</f>
        <v>0</v>
      </c>
      <c r="K2300" s="68"/>
      <c r="L2300" s="68"/>
      <c r="M2300" s="68"/>
      <c r="N2300" s="68"/>
      <c r="O2300" s="68"/>
      <c r="P2300" s="68"/>
      <c r="Q2300" s="68">
        <f>SUM(Devis[[#This Row],[Poste 1]:[Poste 6]])</f>
        <v>0</v>
      </c>
      <c r="R2300" s="111"/>
      <c r="S2300" s="68">
        <f>_xlfn.CEILING.MATH(Devis[[#This Row],[Quantité Totale]],Devis[[#This Row],[Conditionnement]])</f>
        <v>0</v>
      </c>
      <c r="T2300" s="72">
        <v>2</v>
      </c>
      <c r="U2300" s="106"/>
      <c r="V2300" s="74">
        <f>Devis[[#This Row],[Prix de Revient]]*Devis[[#This Row],[Poste 1]]</f>
        <v>0</v>
      </c>
      <c r="W2300" s="74">
        <f>Devis[[#This Row],[Prix de Revient]]*Devis[[#This Row],[Poste 2]]</f>
        <v>0</v>
      </c>
      <c r="X2300" s="74">
        <f>Devis[[#This Row],[Prix de Revient]]*Devis[[#This Row],[Poste 3]]</f>
        <v>0</v>
      </c>
      <c r="Y2300" s="74">
        <f>Devis[[#This Row],[Poste 4]]*Devis[[#This Row],[Prix de Revient]]</f>
        <v>0</v>
      </c>
      <c r="Z2300" s="74">
        <f>Devis[[#This Row],[Poste 5]]*Devis[[#This Row],[Prix de Revient]]</f>
        <v>0</v>
      </c>
      <c r="AA2300" s="74">
        <f>Devis[[#This Row],[Prix de Revient]]*Devis[[#This Row],[Poste 6]]</f>
        <v>0</v>
      </c>
      <c r="AB2300" s="74">
        <f>Devis[[#This Row],[Quantité Totale]]*Devis[[#This Row],[Prix de Revient]]</f>
        <v>0</v>
      </c>
    </row>
    <row r="2301" spans="1:28" ht="14.25" outlineLevel="1" x14ac:dyDescent="0.2">
      <c r="A2301" s="75" t="s">
        <v>2053</v>
      </c>
      <c r="B2301" s="76" t="s">
        <v>2333</v>
      </c>
      <c r="C2301" s="76"/>
      <c r="D2301" s="81" t="str">
        <f t="shared" si="39"/>
        <v>Inox SoudéTube roulé soudé</v>
      </c>
      <c r="E2301" s="76" t="s">
        <v>2352</v>
      </c>
      <c r="F2301" s="81">
        <v>4</v>
      </c>
      <c r="G2301" s="86" t="s">
        <v>2353</v>
      </c>
      <c r="H2301" s="71"/>
      <c r="I2301" s="75"/>
      <c r="J2301" s="70">
        <f>IFERROR(VLOOKUP(Devis[[#This Row],[Ref Air Flux]],#REF!,3,FALSE),0)</f>
        <v>0</v>
      </c>
      <c r="K2301" s="68"/>
      <c r="L2301" s="68"/>
      <c r="M2301" s="68"/>
      <c r="N2301" s="68"/>
      <c r="O2301" s="68"/>
      <c r="P2301" s="68"/>
      <c r="Q2301" s="68">
        <f>SUM(Devis[[#This Row],[Poste 1]:[Poste 6]])</f>
        <v>0</v>
      </c>
      <c r="R2301" s="111"/>
      <c r="S2301" s="68">
        <f>_xlfn.CEILING.MATH(Devis[[#This Row],[Quantité Totale]],Devis[[#This Row],[Conditionnement]])</f>
        <v>0</v>
      </c>
      <c r="T2301" s="72">
        <v>2</v>
      </c>
      <c r="U2301" s="106"/>
      <c r="V2301" s="74">
        <f>Devis[[#This Row],[Prix de Revient]]*Devis[[#This Row],[Poste 1]]</f>
        <v>0</v>
      </c>
      <c r="W2301" s="74">
        <f>Devis[[#This Row],[Prix de Revient]]*Devis[[#This Row],[Poste 2]]</f>
        <v>0</v>
      </c>
      <c r="X2301" s="74">
        <f>Devis[[#This Row],[Prix de Revient]]*Devis[[#This Row],[Poste 3]]</f>
        <v>0</v>
      </c>
      <c r="Y2301" s="74">
        <f>Devis[[#This Row],[Poste 4]]*Devis[[#This Row],[Prix de Revient]]</f>
        <v>0</v>
      </c>
      <c r="Z2301" s="74">
        <f>Devis[[#This Row],[Poste 5]]*Devis[[#This Row],[Prix de Revient]]</f>
        <v>0</v>
      </c>
      <c r="AA2301" s="74">
        <f>Devis[[#This Row],[Prix de Revient]]*Devis[[#This Row],[Poste 6]]</f>
        <v>0</v>
      </c>
      <c r="AB2301" s="74">
        <f>Devis[[#This Row],[Quantité Totale]]*Devis[[#This Row],[Prix de Revient]]</f>
        <v>0</v>
      </c>
    </row>
    <row r="2302" spans="1:28" ht="14.25" outlineLevel="1" x14ac:dyDescent="0.2">
      <c r="A2302" s="75" t="s">
        <v>2053</v>
      </c>
      <c r="B2302" s="76" t="s">
        <v>2333</v>
      </c>
      <c r="C2302" s="76"/>
      <c r="D2302" s="81" t="str">
        <f t="shared" si="39"/>
        <v>Inox SoudéTube roulé soudé</v>
      </c>
      <c r="E2302" s="76" t="s">
        <v>2334</v>
      </c>
      <c r="F2302" s="81">
        <v>5</v>
      </c>
      <c r="G2302" s="108" t="s">
        <v>2335</v>
      </c>
      <c r="H2302" s="71"/>
      <c r="I2302" s="75"/>
      <c r="J2302" s="70">
        <f>IFERROR(VLOOKUP(Devis[[#This Row],[Ref Air Flux]],#REF!,3,FALSE),0)</f>
        <v>0</v>
      </c>
      <c r="K2302" s="68"/>
      <c r="L2302" s="68"/>
      <c r="M2302" s="68"/>
      <c r="N2302" s="68"/>
      <c r="O2302" s="68"/>
      <c r="P2302" s="68"/>
      <c r="Q2302" s="68">
        <f>SUM(Devis[[#This Row],[Poste 1]:[Poste 6]])</f>
        <v>0</v>
      </c>
      <c r="R2302" s="111"/>
      <c r="S2302" s="68">
        <f>_xlfn.CEILING.MATH(Devis[[#This Row],[Quantité Totale]],Devis[[#This Row],[Conditionnement]])</f>
        <v>0</v>
      </c>
      <c r="T2302" s="72">
        <v>3</v>
      </c>
      <c r="U2302" s="106"/>
      <c r="V2302" s="74">
        <f>Devis[[#This Row],[Prix de Revient]]*Devis[[#This Row],[Poste 1]]</f>
        <v>0</v>
      </c>
      <c r="W2302" s="74">
        <f>Devis[[#This Row],[Prix de Revient]]*Devis[[#This Row],[Poste 2]]</f>
        <v>0</v>
      </c>
      <c r="X2302" s="74">
        <f>Devis[[#This Row],[Prix de Revient]]*Devis[[#This Row],[Poste 3]]</f>
        <v>0</v>
      </c>
      <c r="Y2302" s="74">
        <f>Devis[[#This Row],[Poste 4]]*Devis[[#This Row],[Prix de Revient]]</f>
        <v>0</v>
      </c>
      <c r="Z2302" s="74">
        <f>Devis[[#This Row],[Poste 5]]*Devis[[#This Row],[Prix de Revient]]</f>
        <v>0</v>
      </c>
      <c r="AA2302" s="74">
        <f>Devis[[#This Row],[Prix de Revient]]*Devis[[#This Row],[Poste 6]]</f>
        <v>0</v>
      </c>
      <c r="AB2302" s="74">
        <f>Devis[[#This Row],[Quantité Totale]]*Devis[[#This Row],[Prix de Revient]]</f>
        <v>0</v>
      </c>
    </row>
    <row r="2303" spans="1:28" ht="14.25" customHeight="1" outlineLevel="1" x14ac:dyDescent="0.2">
      <c r="A2303" s="75" t="s">
        <v>2053</v>
      </c>
      <c r="B2303" s="76" t="s">
        <v>2333</v>
      </c>
      <c r="C2303" s="76"/>
      <c r="D2303" s="81" t="str">
        <f t="shared" si="39"/>
        <v>Inox SoudéTube roulé soudé</v>
      </c>
      <c r="E2303" s="76" t="s">
        <v>2336</v>
      </c>
      <c r="F2303" s="81">
        <v>6</v>
      </c>
      <c r="G2303" s="108" t="s">
        <v>2337</v>
      </c>
      <c r="H2303" s="71"/>
      <c r="I2303" s="75"/>
      <c r="J2303" s="70">
        <f>IFERROR(VLOOKUP(Devis[[#This Row],[Ref Air Flux]],#REF!,3,FALSE),0)</f>
        <v>0</v>
      </c>
      <c r="K2303" s="68"/>
      <c r="L2303" s="68"/>
      <c r="M2303" s="68"/>
      <c r="N2303" s="68"/>
      <c r="O2303" s="68"/>
      <c r="P2303" s="68"/>
      <c r="Q2303" s="68">
        <f>SUM(Devis[[#This Row],[Poste 1]:[Poste 6]])</f>
        <v>0</v>
      </c>
      <c r="R2303" s="111"/>
      <c r="S2303" s="68">
        <f>_xlfn.CEILING.MATH(Devis[[#This Row],[Quantité Totale]],Devis[[#This Row],[Conditionnement]])</f>
        <v>0</v>
      </c>
      <c r="T2303" s="72">
        <v>3</v>
      </c>
      <c r="U2303" s="106"/>
      <c r="V2303" s="74">
        <f>Devis[[#This Row],[Prix de Revient]]*Devis[[#This Row],[Poste 1]]</f>
        <v>0</v>
      </c>
      <c r="W2303" s="74">
        <f>Devis[[#This Row],[Prix de Revient]]*Devis[[#This Row],[Poste 2]]</f>
        <v>0</v>
      </c>
      <c r="X2303" s="74">
        <f>Devis[[#This Row],[Prix de Revient]]*Devis[[#This Row],[Poste 3]]</f>
        <v>0</v>
      </c>
      <c r="Y2303" s="74">
        <f>Devis[[#This Row],[Poste 4]]*Devis[[#This Row],[Prix de Revient]]</f>
        <v>0</v>
      </c>
      <c r="Z2303" s="74">
        <f>Devis[[#This Row],[Poste 5]]*Devis[[#This Row],[Prix de Revient]]</f>
        <v>0</v>
      </c>
      <c r="AA2303" s="74">
        <f>Devis[[#This Row],[Prix de Revient]]*Devis[[#This Row],[Poste 6]]</f>
        <v>0</v>
      </c>
      <c r="AB2303" s="74">
        <f>Devis[[#This Row],[Quantité Totale]]*Devis[[#This Row],[Prix de Revient]]</f>
        <v>0</v>
      </c>
    </row>
    <row r="2304" spans="1:28" ht="14.25" outlineLevel="1" x14ac:dyDescent="0.2">
      <c r="A2304" s="75" t="s">
        <v>2053</v>
      </c>
      <c r="B2304" s="76" t="s">
        <v>2333</v>
      </c>
      <c r="C2304" s="76"/>
      <c r="D2304" s="81" t="str">
        <f t="shared" si="39"/>
        <v>Inox SoudéTube roulé soudé</v>
      </c>
      <c r="E2304" s="76" t="s">
        <v>2338</v>
      </c>
      <c r="F2304" s="81">
        <v>7</v>
      </c>
      <c r="G2304" s="86" t="s">
        <v>2339</v>
      </c>
      <c r="H2304" s="71"/>
      <c r="I2304" s="75"/>
      <c r="J2304" s="70">
        <f>IFERROR(VLOOKUP(Devis[[#This Row],[Ref Air Flux]],#REF!,3,FALSE),0)</f>
        <v>0</v>
      </c>
      <c r="K2304" s="68"/>
      <c r="L2304" s="68"/>
      <c r="M2304" s="68"/>
      <c r="N2304" s="68"/>
      <c r="O2304" s="68"/>
      <c r="P2304" s="68"/>
      <c r="Q2304" s="68">
        <f>SUM(Devis[[#This Row],[Poste 1]:[Poste 6]])</f>
        <v>0</v>
      </c>
      <c r="R2304" s="111"/>
      <c r="S2304" s="68">
        <f>_xlfn.CEILING.MATH(Devis[[#This Row],[Quantité Totale]],Devis[[#This Row],[Conditionnement]])</f>
        <v>0</v>
      </c>
      <c r="T2304" s="72">
        <v>3</v>
      </c>
      <c r="U2304" s="106"/>
      <c r="V2304" s="74">
        <f>Devis[[#This Row],[Prix de Revient]]*Devis[[#This Row],[Poste 1]]</f>
        <v>0</v>
      </c>
      <c r="W2304" s="74">
        <f>Devis[[#This Row],[Prix de Revient]]*Devis[[#This Row],[Poste 2]]</f>
        <v>0</v>
      </c>
      <c r="X2304" s="74">
        <f>Devis[[#This Row],[Prix de Revient]]*Devis[[#This Row],[Poste 3]]</f>
        <v>0</v>
      </c>
      <c r="Y2304" s="74">
        <f>Devis[[#This Row],[Poste 4]]*Devis[[#This Row],[Prix de Revient]]</f>
        <v>0</v>
      </c>
      <c r="Z2304" s="74">
        <f>Devis[[#This Row],[Poste 5]]*Devis[[#This Row],[Prix de Revient]]</f>
        <v>0</v>
      </c>
      <c r="AA2304" s="74">
        <f>Devis[[#This Row],[Prix de Revient]]*Devis[[#This Row],[Poste 6]]</f>
        <v>0</v>
      </c>
      <c r="AB2304" s="74">
        <f>Devis[[#This Row],[Quantité Totale]]*Devis[[#This Row],[Prix de Revient]]</f>
        <v>0</v>
      </c>
    </row>
    <row r="2305" spans="1:28" ht="14.25" outlineLevel="1" x14ac:dyDescent="0.2">
      <c r="A2305" s="75" t="s">
        <v>2053</v>
      </c>
      <c r="B2305" s="76" t="s">
        <v>2333</v>
      </c>
      <c r="C2305" s="76"/>
      <c r="D2305" s="81" t="str">
        <f t="shared" si="39"/>
        <v>Inox SoudéTube roulé soudé</v>
      </c>
      <c r="E2305" s="76" t="s">
        <v>2340</v>
      </c>
      <c r="F2305" s="81">
        <v>8</v>
      </c>
      <c r="G2305" s="86" t="s">
        <v>2341</v>
      </c>
      <c r="H2305" s="71"/>
      <c r="I2305" s="75"/>
      <c r="J2305" s="70">
        <f>IFERROR(VLOOKUP(Devis[[#This Row],[Ref Air Flux]],#REF!,3,FALSE),0)</f>
        <v>0</v>
      </c>
      <c r="K2305" s="68"/>
      <c r="L2305" s="68"/>
      <c r="M2305" s="68"/>
      <c r="N2305" s="68"/>
      <c r="O2305" s="68"/>
      <c r="P2305" s="68"/>
      <c r="Q2305" s="68">
        <f>SUM(Devis[[#This Row],[Poste 1]:[Poste 6]])</f>
        <v>0</v>
      </c>
      <c r="R2305" s="111"/>
      <c r="S2305" s="68">
        <f>_xlfn.CEILING.MATH(Devis[[#This Row],[Quantité Totale]],Devis[[#This Row],[Conditionnement]])</f>
        <v>0</v>
      </c>
      <c r="T2305" s="72">
        <v>3</v>
      </c>
      <c r="U2305" s="106"/>
      <c r="V2305" s="74">
        <f>Devis[[#This Row],[Prix de Revient]]*Devis[[#This Row],[Poste 1]]</f>
        <v>0</v>
      </c>
      <c r="W2305" s="74">
        <f>Devis[[#This Row],[Prix de Revient]]*Devis[[#This Row],[Poste 2]]</f>
        <v>0</v>
      </c>
      <c r="X2305" s="74">
        <f>Devis[[#This Row],[Prix de Revient]]*Devis[[#This Row],[Poste 3]]</f>
        <v>0</v>
      </c>
      <c r="Y2305" s="74">
        <f>Devis[[#This Row],[Poste 4]]*Devis[[#This Row],[Prix de Revient]]</f>
        <v>0</v>
      </c>
      <c r="Z2305" s="74">
        <f>Devis[[#This Row],[Poste 5]]*Devis[[#This Row],[Prix de Revient]]</f>
        <v>0</v>
      </c>
      <c r="AA2305" s="74">
        <f>Devis[[#This Row],[Prix de Revient]]*Devis[[#This Row],[Poste 6]]</f>
        <v>0</v>
      </c>
      <c r="AB2305" s="74">
        <f>Devis[[#This Row],[Quantité Totale]]*Devis[[#This Row],[Prix de Revient]]</f>
        <v>0</v>
      </c>
    </row>
    <row r="2306" spans="1:28" ht="15" customHeight="1" outlineLevel="1" x14ac:dyDescent="0.2">
      <c r="A2306" s="75" t="s">
        <v>2053</v>
      </c>
      <c r="B2306" s="76" t="s">
        <v>2333</v>
      </c>
      <c r="C2306" s="76"/>
      <c r="D2306" s="81" t="str">
        <f t="shared" ref="D2306:D2369" si="40">A2306&amp;B2306&amp;C2306</f>
        <v>Inox SoudéTube roulé soudé</v>
      </c>
      <c r="E2306" s="76" t="s">
        <v>2342</v>
      </c>
      <c r="F2306" s="81">
        <v>9</v>
      </c>
      <c r="G2306" s="86" t="s">
        <v>2343</v>
      </c>
      <c r="H2306" s="71"/>
      <c r="I2306" s="75"/>
      <c r="J2306" s="70">
        <f>IFERROR(VLOOKUP(Devis[[#This Row],[Ref Air Flux]],#REF!,3,FALSE),0)</f>
        <v>0</v>
      </c>
      <c r="K2306" s="68"/>
      <c r="L2306" s="68"/>
      <c r="M2306" s="68"/>
      <c r="N2306" s="68"/>
      <c r="O2306" s="68"/>
      <c r="P2306" s="68"/>
      <c r="Q2306" s="68">
        <f>SUM(Devis[[#This Row],[Poste 1]:[Poste 6]])</f>
        <v>0</v>
      </c>
      <c r="R2306" s="111"/>
      <c r="S2306" s="68">
        <f>_xlfn.CEILING.MATH(Devis[[#This Row],[Quantité Totale]],Devis[[#This Row],[Conditionnement]])</f>
        <v>0</v>
      </c>
      <c r="T2306" s="72">
        <v>3</v>
      </c>
      <c r="U2306" s="106"/>
      <c r="V2306" s="74">
        <f>Devis[[#This Row],[Prix de Revient]]*Devis[[#This Row],[Poste 1]]</f>
        <v>0</v>
      </c>
      <c r="W2306" s="74">
        <f>Devis[[#This Row],[Prix de Revient]]*Devis[[#This Row],[Poste 2]]</f>
        <v>0</v>
      </c>
      <c r="X2306" s="74">
        <f>Devis[[#This Row],[Prix de Revient]]*Devis[[#This Row],[Poste 3]]</f>
        <v>0</v>
      </c>
      <c r="Y2306" s="74">
        <f>Devis[[#This Row],[Poste 4]]*Devis[[#This Row],[Prix de Revient]]</f>
        <v>0</v>
      </c>
      <c r="Z2306" s="74">
        <f>Devis[[#This Row],[Poste 5]]*Devis[[#This Row],[Prix de Revient]]</f>
        <v>0</v>
      </c>
      <c r="AA2306" s="74">
        <f>Devis[[#This Row],[Prix de Revient]]*Devis[[#This Row],[Poste 6]]</f>
        <v>0</v>
      </c>
      <c r="AB2306" s="74">
        <f>Devis[[#This Row],[Quantité Totale]]*Devis[[#This Row],[Prix de Revient]]</f>
        <v>0</v>
      </c>
    </row>
    <row r="2307" spans="1:28" ht="14.25" outlineLevel="1" x14ac:dyDescent="0.2">
      <c r="A2307" s="75" t="s">
        <v>2053</v>
      </c>
      <c r="B2307" s="76" t="s">
        <v>2333</v>
      </c>
      <c r="C2307" s="76"/>
      <c r="D2307" s="81" t="str">
        <f t="shared" si="40"/>
        <v>Inox SoudéTube roulé soudé</v>
      </c>
      <c r="E2307" s="76" t="s">
        <v>2344</v>
      </c>
      <c r="F2307" s="81">
        <v>10</v>
      </c>
      <c r="G2307" s="86" t="s">
        <v>2345</v>
      </c>
      <c r="H2307" s="71"/>
      <c r="I2307" s="75"/>
      <c r="J2307" s="70">
        <f>IFERROR(VLOOKUP(Devis[[#This Row],[Ref Air Flux]],#REF!,3,FALSE),0)</f>
        <v>0</v>
      </c>
      <c r="K2307" s="68"/>
      <c r="L2307" s="68"/>
      <c r="M2307" s="68"/>
      <c r="N2307" s="68"/>
      <c r="O2307" s="68"/>
      <c r="P2307" s="68"/>
      <c r="Q2307" s="68">
        <f>SUM(Devis[[#This Row],[Poste 1]:[Poste 6]])</f>
        <v>0</v>
      </c>
      <c r="R2307" s="111"/>
      <c r="S2307" s="68">
        <f>_xlfn.CEILING.MATH(Devis[[#This Row],[Quantité Totale]],Devis[[#This Row],[Conditionnement]])</f>
        <v>0</v>
      </c>
      <c r="T2307" s="72">
        <v>3</v>
      </c>
      <c r="U2307" s="106"/>
      <c r="V2307" s="74">
        <f>Devis[[#This Row],[Prix de Revient]]*Devis[[#This Row],[Poste 1]]</f>
        <v>0</v>
      </c>
      <c r="W2307" s="74">
        <f>Devis[[#This Row],[Prix de Revient]]*Devis[[#This Row],[Poste 2]]</f>
        <v>0</v>
      </c>
      <c r="X2307" s="74">
        <f>Devis[[#This Row],[Prix de Revient]]*Devis[[#This Row],[Poste 3]]</f>
        <v>0</v>
      </c>
      <c r="Y2307" s="74">
        <f>Devis[[#This Row],[Poste 4]]*Devis[[#This Row],[Prix de Revient]]</f>
        <v>0</v>
      </c>
      <c r="Z2307" s="74">
        <f>Devis[[#This Row],[Poste 5]]*Devis[[#This Row],[Prix de Revient]]</f>
        <v>0</v>
      </c>
      <c r="AA2307" s="74">
        <f>Devis[[#This Row],[Prix de Revient]]*Devis[[#This Row],[Poste 6]]</f>
        <v>0</v>
      </c>
      <c r="AB2307" s="74">
        <f>Devis[[#This Row],[Quantité Totale]]*Devis[[#This Row],[Prix de Revient]]</f>
        <v>0</v>
      </c>
    </row>
    <row r="2308" spans="1:28" ht="14.25" customHeight="1" x14ac:dyDescent="0.25">
      <c r="A2308" s="65" t="s">
        <v>3479</v>
      </c>
      <c r="B2308" s="65" t="s">
        <v>2054</v>
      </c>
      <c r="C2308" s="76"/>
      <c r="D2308" s="81" t="str">
        <f t="shared" si="40"/>
        <v xml:space="preserve">Inox visséBouchon male  inox 316L </v>
      </c>
      <c r="E2308" s="76"/>
      <c r="F2308" s="81">
        <v>0</v>
      </c>
      <c r="G2308" s="86"/>
      <c r="H2308" s="71"/>
      <c r="I2308" s="75"/>
      <c r="J2308" s="70">
        <f>IFERROR(VLOOKUP(Devis[[#This Row],[Ref Air Flux]],#REF!,3,FALSE),0)</f>
        <v>0</v>
      </c>
      <c r="K2308" s="68"/>
      <c r="L2308" s="68"/>
      <c r="M2308" s="68"/>
      <c r="N2308" s="68"/>
      <c r="O2308" s="68"/>
      <c r="P2308" s="68"/>
      <c r="Q2308" s="68">
        <f>SUM(Devis[[#This Row],[Poste 1]:[Poste 6]])</f>
        <v>0</v>
      </c>
      <c r="R2308" s="111"/>
      <c r="S2308" s="68">
        <f>_xlfn.CEILING.MATH(Devis[[#This Row],[Quantité Totale]],Devis[[#This Row],[Conditionnement]])</f>
        <v>0</v>
      </c>
      <c r="T2308" s="72"/>
      <c r="U2308" s="106"/>
      <c r="V2308" s="74">
        <f>Devis[[#This Row],[Prix de Revient]]*Devis[[#This Row],[Poste 1]]</f>
        <v>0</v>
      </c>
      <c r="W2308" s="74">
        <f>Devis[[#This Row],[Prix de Revient]]*Devis[[#This Row],[Poste 2]]</f>
        <v>0</v>
      </c>
      <c r="X2308" s="74">
        <f>Devis[[#This Row],[Prix de Revient]]*Devis[[#This Row],[Poste 3]]</f>
        <v>0</v>
      </c>
      <c r="Y2308" s="74">
        <f>Devis[[#This Row],[Poste 4]]*Devis[[#This Row],[Prix de Revient]]</f>
        <v>0</v>
      </c>
      <c r="Z2308" s="74">
        <f>Devis[[#This Row],[Poste 5]]*Devis[[#This Row],[Prix de Revient]]</f>
        <v>0</v>
      </c>
      <c r="AA2308" s="74">
        <f>Devis[[#This Row],[Prix de Revient]]*Devis[[#This Row],[Poste 6]]</f>
        <v>0</v>
      </c>
      <c r="AB2308" s="74">
        <f>Devis[[#This Row],[Quantité Totale]]*Devis[[#This Row],[Prix de Revient]]</f>
        <v>0</v>
      </c>
    </row>
    <row r="2309" spans="1:28" ht="14.25" outlineLevel="1" x14ac:dyDescent="0.2">
      <c r="A2309" s="75" t="s">
        <v>3479</v>
      </c>
      <c r="B2309" s="76" t="s">
        <v>2054</v>
      </c>
      <c r="C2309" s="76"/>
      <c r="D2309" s="81" t="str">
        <f t="shared" si="40"/>
        <v xml:space="preserve">Inox visséBouchon male  inox 316L </v>
      </c>
      <c r="E2309" s="76" t="s">
        <v>4105</v>
      </c>
      <c r="F2309" s="81">
        <v>1</v>
      </c>
      <c r="G2309" s="86" t="s">
        <v>4106</v>
      </c>
      <c r="H2309" s="71"/>
      <c r="I2309" s="75"/>
      <c r="J2309" s="70">
        <f>IFERROR(VLOOKUP(Devis[[#This Row],[Ref Air Flux]],#REF!,3,FALSE),0)</f>
        <v>0</v>
      </c>
      <c r="K2309" s="68"/>
      <c r="L2309" s="68"/>
      <c r="M2309" s="68"/>
      <c r="N2309" s="68"/>
      <c r="O2309" s="68"/>
      <c r="P2309" s="68"/>
      <c r="Q2309" s="68">
        <f>SUM(Devis[[#This Row],[Poste 1]:[Poste 6]])</f>
        <v>0</v>
      </c>
      <c r="R2309" s="111"/>
      <c r="S2309" s="68">
        <f>_xlfn.CEILING.MATH(Devis[[#This Row],[Quantité Totale]],Devis[[#This Row],[Conditionnement]])</f>
        <v>0</v>
      </c>
      <c r="T2309" s="72"/>
      <c r="U2309" s="106"/>
      <c r="V2309" s="74">
        <f>Devis[[#This Row],[Prix de Revient]]*Devis[[#This Row],[Poste 1]]</f>
        <v>0</v>
      </c>
      <c r="W2309" s="74">
        <f>Devis[[#This Row],[Prix de Revient]]*Devis[[#This Row],[Poste 2]]</f>
        <v>0</v>
      </c>
      <c r="X2309" s="74">
        <f>Devis[[#This Row],[Prix de Revient]]*Devis[[#This Row],[Poste 3]]</f>
        <v>0</v>
      </c>
      <c r="Y2309" s="74">
        <f>Devis[[#This Row],[Poste 4]]*Devis[[#This Row],[Prix de Revient]]</f>
        <v>0</v>
      </c>
      <c r="Z2309" s="74">
        <f>Devis[[#This Row],[Poste 5]]*Devis[[#This Row],[Prix de Revient]]</f>
        <v>0</v>
      </c>
      <c r="AA2309" s="74">
        <f>Devis[[#This Row],[Prix de Revient]]*Devis[[#This Row],[Poste 6]]</f>
        <v>0</v>
      </c>
      <c r="AB2309" s="74">
        <f>Devis[[#This Row],[Quantité Totale]]*Devis[[#This Row],[Prix de Revient]]</f>
        <v>0</v>
      </c>
    </row>
    <row r="2310" spans="1:28" ht="14.25" outlineLevel="1" x14ac:dyDescent="0.2">
      <c r="A2310" s="75" t="s">
        <v>3479</v>
      </c>
      <c r="B2310" s="76" t="s">
        <v>2054</v>
      </c>
      <c r="C2310" s="76"/>
      <c r="D2310" s="81" t="str">
        <f t="shared" si="40"/>
        <v xml:space="preserve">Inox visséBouchon male  inox 316L </v>
      </c>
      <c r="E2310" s="76" t="s">
        <v>4107</v>
      </c>
      <c r="F2310" s="81">
        <v>2</v>
      </c>
      <c r="G2310" s="108" t="s">
        <v>2059</v>
      </c>
      <c r="H2310" s="71"/>
      <c r="I2310" s="75"/>
      <c r="J2310" s="70">
        <f>IFERROR(VLOOKUP(Devis[[#This Row],[Ref Air Flux]],#REF!,3,FALSE),0)</f>
        <v>0</v>
      </c>
      <c r="K2310" s="68"/>
      <c r="L2310" s="68"/>
      <c r="M2310" s="68"/>
      <c r="N2310" s="68"/>
      <c r="O2310" s="68"/>
      <c r="P2310" s="68"/>
      <c r="Q2310" s="68">
        <f>SUM(Devis[[#This Row],[Poste 1]:[Poste 6]])</f>
        <v>0</v>
      </c>
      <c r="R2310" s="111"/>
      <c r="S2310" s="68">
        <f>_xlfn.CEILING.MATH(Devis[[#This Row],[Quantité Totale]],Devis[[#This Row],[Conditionnement]])</f>
        <v>0</v>
      </c>
      <c r="T2310" s="72"/>
      <c r="U2310" s="106"/>
      <c r="V2310" s="74">
        <f>Devis[[#This Row],[Prix de Revient]]*Devis[[#This Row],[Poste 1]]</f>
        <v>0</v>
      </c>
      <c r="W2310" s="74">
        <f>Devis[[#This Row],[Prix de Revient]]*Devis[[#This Row],[Poste 2]]</f>
        <v>0</v>
      </c>
      <c r="X2310" s="74">
        <f>Devis[[#This Row],[Prix de Revient]]*Devis[[#This Row],[Poste 3]]</f>
        <v>0</v>
      </c>
      <c r="Y2310" s="74">
        <f>Devis[[#This Row],[Poste 4]]*Devis[[#This Row],[Prix de Revient]]</f>
        <v>0</v>
      </c>
      <c r="Z2310" s="74">
        <f>Devis[[#This Row],[Poste 5]]*Devis[[#This Row],[Prix de Revient]]</f>
        <v>0</v>
      </c>
      <c r="AA2310" s="74">
        <f>Devis[[#This Row],[Prix de Revient]]*Devis[[#This Row],[Poste 6]]</f>
        <v>0</v>
      </c>
      <c r="AB2310" s="74">
        <f>Devis[[#This Row],[Quantité Totale]]*Devis[[#This Row],[Prix de Revient]]</f>
        <v>0</v>
      </c>
    </row>
    <row r="2311" spans="1:28" ht="15" customHeight="1" outlineLevel="1" x14ac:dyDescent="0.2">
      <c r="A2311" s="75" t="s">
        <v>3479</v>
      </c>
      <c r="B2311" s="76" t="s">
        <v>2054</v>
      </c>
      <c r="C2311" s="76"/>
      <c r="D2311" s="81" t="str">
        <f t="shared" si="40"/>
        <v xml:space="preserve">Inox visséBouchon male  inox 316L </v>
      </c>
      <c r="E2311" s="76" t="s">
        <v>4108</v>
      </c>
      <c r="F2311" s="81">
        <v>3</v>
      </c>
      <c r="G2311" s="86" t="s">
        <v>2057</v>
      </c>
      <c r="H2311" s="71"/>
      <c r="I2311" s="75"/>
      <c r="J2311" s="70">
        <f>IFERROR(VLOOKUP(Devis[[#This Row],[Ref Air Flux]],#REF!,3,FALSE),0)</f>
        <v>0</v>
      </c>
      <c r="K2311" s="68"/>
      <c r="L2311" s="68"/>
      <c r="M2311" s="68"/>
      <c r="N2311" s="68"/>
      <c r="O2311" s="68"/>
      <c r="P2311" s="68"/>
      <c r="Q2311" s="68">
        <f>SUM(Devis[[#This Row],[Poste 1]:[Poste 6]])</f>
        <v>0</v>
      </c>
      <c r="R2311" s="111"/>
      <c r="S2311" s="68">
        <f>_xlfn.CEILING.MATH(Devis[[#This Row],[Quantité Totale]],Devis[[#This Row],[Conditionnement]])</f>
        <v>0</v>
      </c>
      <c r="T2311" s="72"/>
      <c r="U2311" s="106"/>
      <c r="V2311" s="74">
        <f>Devis[[#This Row],[Prix de Revient]]*Devis[[#This Row],[Poste 1]]</f>
        <v>0</v>
      </c>
      <c r="W2311" s="74">
        <f>Devis[[#This Row],[Prix de Revient]]*Devis[[#This Row],[Poste 2]]</f>
        <v>0</v>
      </c>
      <c r="X2311" s="74">
        <f>Devis[[#This Row],[Prix de Revient]]*Devis[[#This Row],[Poste 3]]</f>
        <v>0</v>
      </c>
      <c r="Y2311" s="74">
        <f>Devis[[#This Row],[Poste 4]]*Devis[[#This Row],[Prix de Revient]]</f>
        <v>0</v>
      </c>
      <c r="Z2311" s="74">
        <f>Devis[[#This Row],[Poste 5]]*Devis[[#This Row],[Prix de Revient]]</f>
        <v>0</v>
      </c>
      <c r="AA2311" s="74">
        <f>Devis[[#This Row],[Prix de Revient]]*Devis[[#This Row],[Poste 6]]</f>
        <v>0</v>
      </c>
      <c r="AB2311" s="74">
        <f>Devis[[#This Row],[Quantité Totale]]*Devis[[#This Row],[Prix de Revient]]</f>
        <v>0</v>
      </c>
    </row>
    <row r="2312" spans="1:28" ht="14.25" customHeight="1" outlineLevel="1" x14ac:dyDescent="0.2">
      <c r="A2312" s="75" t="s">
        <v>3479</v>
      </c>
      <c r="B2312" s="76" t="s">
        <v>2054</v>
      </c>
      <c r="C2312" s="76"/>
      <c r="D2312" s="81" t="str">
        <f t="shared" si="40"/>
        <v xml:space="preserve">Inox visséBouchon male  inox 316L </v>
      </c>
      <c r="E2312" s="76" t="s">
        <v>4109</v>
      </c>
      <c r="F2312" s="81">
        <v>4</v>
      </c>
      <c r="G2312" s="86" t="s">
        <v>2058</v>
      </c>
      <c r="H2312" s="71"/>
      <c r="I2312" s="75"/>
      <c r="J2312" s="70">
        <f>IFERROR(VLOOKUP(Devis[[#This Row],[Ref Air Flux]],#REF!,3,FALSE),0)</f>
        <v>0</v>
      </c>
      <c r="K2312" s="68"/>
      <c r="L2312" s="68"/>
      <c r="M2312" s="68"/>
      <c r="N2312" s="68"/>
      <c r="O2312" s="68"/>
      <c r="P2312" s="68"/>
      <c r="Q2312" s="68">
        <f>SUM(Devis[[#This Row],[Poste 1]:[Poste 6]])</f>
        <v>0</v>
      </c>
      <c r="R2312" s="111"/>
      <c r="S2312" s="68">
        <f>_xlfn.CEILING.MATH(Devis[[#This Row],[Quantité Totale]],Devis[[#This Row],[Conditionnement]])</f>
        <v>0</v>
      </c>
      <c r="T2312" s="72"/>
      <c r="U2312" s="106"/>
      <c r="V2312" s="74">
        <f>Devis[[#This Row],[Prix de Revient]]*Devis[[#This Row],[Poste 1]]</f>
        <v>0</v>
      </c>
      <c r="W2312" s="74">
        <f>Devis[[#This Row],[Prix de Revient]]*Devis[[#This Row],[Poste 2]]</f>
        <v>0</v>
      </c>
      <c r="X2312" s="74">
        <f>Devis[[#This Row],[Prix de Revient]]*Devis[[#This Row],[Poste 3]]</f>
        <v>0</v>
      </c>
      <c r="Y2312" s="74">
        <f>Devis[[#This Row],[Poste 4]]*Devis[[#This Row],[Prix de Revient]]</f>
        <v>0</v>
      </c>
      <c r="Z2312" s="74">
        <f>Devis[[#This Row],[Poste 5]]*Devis[[#This Row],[Prix de Revient]]</f>
        <v>0</v>
      </c>
      <c r="AA2312" s="74">
        <f>Devis[[#This Row],[Prix de Revient]]*Devis[[#This Row],[Poste 6]]</f>
        <v>0</v>
      </c>
      <c r="AB2312" s="74">
        <f>Devis[[#This Row],[Quantité Totale]]*Devis[[#This Row],[Prix de Revient]]</f>
        <v>0</v>
      </c>
    </row>
    <row r="2313" spans="1:28" ht="14.25" customHeight="1" outlineLevel="1" x14ac:dyDescent="0.2">
      <c r="A2313" s="75" t="s">
        <v>3479</v>
      </c>
      <c r="B2313" s="76" t="s">
        <v>2054</v>
      </c>
      <c r="C2313" s="76"/>
      <c r="D2313" s="81" t="str">
        <f t="shared" si="40"/>
        <v xml:space="preserve">Inox visséBouchon male  inox 316L </v>
      </c>
      <c r="E2313" s="76" t="s">
        <v>4110</v>
      </c>
      <c r="F2313" s="81">
        <v>5</v>
      </c>
      <c r="G2313" s="86" t="s">
        <v>2062</v>
      </c>
      <c r="H2313" s="71"/>
      <c r="I2313" s="75"/>
      <c r="J2313" s="70">
        <f>IFERROR(VLOOKUP(Devis[[#This Row],[Ref Air Flux]],#REF!,3,FALSE),0)</f>
        <v>0</v>
      </c>
      <c r="K2313" s="68"/>
      <c r="L2313" s="68"/>
      <c r="M2313" s="68"/>
      <c r="N2313" s="68"/>
      <c r="O2313" s="68"/>
      <c r="P2313" s="68"/>
      <c r="Q2313" s="68">
        <f>SUM(Devis[[#This Row],[Poste 1]:[Poste 6]])</f>
        <v>0</v>
      </c>
      <c r="R2313" s="111"/>
      <c r="S2313" s="68">
        <f>_xlfn.CEILING.MATH(Devis[[#This Row],[Quantité Totale]],Devis[[#This Row],[Conditionnement]])</f>
        <v>0</v>
      </c>
      <c r="T2313" s="72"/>
      <c r="U2313" s="106"/>
      <c r="V2313" s="74">
        <f>Devis[[#This Row],[Prix de Revient]]*Devis[[#This Row],[Poste 1]]</f>
        <v>0</v>
      </c>
      <c r="W2313" s="74">
        <f>Devis[[#This Row],[Prix de Revient]]*Devis[[#This Row],[Poste 2]]</f>
        <v>0</v>
      </c>
      <c r="X2313" s="74">
        <f>Devis[[#This Row],[Prix de Revient]]*Devis[[#This Row],[Poste 3]]</f>
        <v>0</v>
      </c>
      <c r="Y2313" s="74">
        <f>Devis[[#This Row],[Poste 4]]*Devis[[#This Row],[Prix de Revient]]</f>
        <v>0</v>
      </c>
      <c r="Z2313" s="74">
        <f>Devis[[#This Row],[Poste 5]]*Devis[[#This Row],[Prix de Revient]]</f>
        <v>0</v>
      </c>
      <c r="AA2313" s="74">
        <f>Devis[[#This Row],[Prix de Revient]]*Devis[[#This Row],[Poste 6]]</f>
        <v>0</v>
      </c>
      <c r="AB2313" s="74">
        <f>Devis[[#This Row],[Quantité Totale]]*Devis[[#This Row],[Prix de Revient]]</f>
        <v>0</v>
      </c>
    </row>
    <row r="2314" spans="1:28" ht="14.25" outlineLevel="1" x14ac:dyDescent="0.2">
      <c r="A2314" s="75" t="s">
        <v>3479</v>
      </c>
      <c r="B2314" s="76" t="s">
        <v>2054</v>
      </c>
      <c r="C2314" s="76"/>
      <c r="D2314" s="81" t="str">
        <f t="shared" si="40"/>
        <v xml:space="preserve">Inox visséBouchon male  inox 316L </v>
      </c>
      <c r="E2314" s="76" t="s">
        <v>4111</v>
      </c>
      <c r="F2314" s="81">
        <v>6</v>
      </c>
      <c r="G2314" s="108" t="s">
        <v>2063</v>
      </c>
      <c r="H2314" s="71"/>
      <c r="I2314" s="75"/>
      <c r="J2314" s="70">
        <f>IFERROR(VLOOKUP(Devis[[#This Row],[Ref Air Flux]],#REF!,3,FALSE),0)</f>
        <v>0</v>
      </c>
      <c r="K2314" s="68"/>
      <c r="L2314" s="68"/>
      <c r="M2314" s="68"/>
      <c r="N2314" s="68"/>
      <c r="O2314" s="68"/>
      <c r="P2314" s="68"/>
      <c r="Q2314" s="68">
        <f>SUM(Devis[[#This Row],[Poste 1]:[Poste 6]])</f>
        <v>0</v>
      </c>
      <c r="R2314" s="111"/>
      <c r="S2314" s="68">
        <f>_xlfn.CEILING.MATH(Devis[[#This Row],[Quantité Totale]],Devis[[#This Row],[Conditionnement]])</f>
        <v>0</v>
      </c>
      <c r="T2314" s="72"/>
      <c r="U2314" s="106"/>
      <c r="V2314" s="74">
        <f>Devis[[#This Row],[Prix de Revient]]*Devis[[#This Row],[Poste 1]]</f>
        <v>0</v>
      </c>
      <c r="W2314" s="74">
        <f>Devis[[#This Row],[Prix de Revient]]*Devis[[#This Row],[Poste 2]]</f>
        <v>0</v>
      </c>
      <c r="X2314" s="74">
        <f>Devis[[#This Row],[Prix de Revient]]*Devis[[#This Row],[Poste 3]]</f>
        <v>0</v>
      </c>
      <c r="Y2314" s="74">
        <f>Devis[[#This Row],[Poste 4]]*Devis[[#This Row],[Prix de Revient]]</f>
        <v>0</v>
      </c>
      <c r="Z2314" s="74">
        <f>Devis[[#This Row],[Poste 5]]*Devis[[#This Row],[Prix de Revient]]</f>
        <v>0</v>
      </c>
      <c r="AA2314" s="74">
        <f>Devis[[#This Row],[Prix de Revient]]*Devis[[#This Row],[Poste 6]]</f>
        <v>0</v>
      </c>
      <c r="AB2314" s="74">
        <f>Devis[[#This Row],[Quantité Totale]]*Devis[[#This Row],[Prix de Revient]]</f>
        <v>0</v>
      </c>
    </row>
    <row r="2315" spans="1:28" ht="15" customHeight="1" outlineLevel="1" x14ac:dyDescent="0.2">
      <c r="A2315" s="75" t="s">
        <v>3479</v>
      </c>
      <c r="B2315" s="76" t="s">
        <v>2054</v>
      </c>
      <c r="C2315" s="76"/>
      <c r="D2315" s="81" t="str">
        <f t="shared" si="40"/>
        <v xml:space="preserve">Inox visséBouchon male  inox 316L </v>
      </c>
      <c r="E2315" s="76" t="s">
        <v>4112</v>
      </c>
      <c r="F2315" s="81">
        <v>7</v>
      </c>
      <c r="G2315" s="86" t="s">
        <v>2056</v>
      </c>
      <c r="H2315" s="71"/>
      <c r="I2315" s="75"/>
      <c r="J2315" s="70">
        <f>IFERROR(VLOOKUP(Devis[[#This Row],[Ref Air Flux]],#REF!,3,FALSE),0)</f>
        <v>0</v>
      </c>
      <c r="K2315" s="68"/>
      <c r="L2315" s="68"/>
      <c r="M2315" s="68"/>
      <c r="N2315" s="68"/>
      <c r="O2315" s="68"/>
      <c r="P2315" s="68"/>
      <c r="Q2315" s="68">
        <f>SUM(Devis[[#This Row],[Poste 1]:[Poste 6]])</f>
        <v>0</v>
      </c>
      <c r="R2315" s="111"/>
      <c r="S2315" s="68">
        <f>_xlfn.CEILING.MATH(Devis[[#This Row],[Quantité Totale]],Devis[[#This Row],[Conditionnement]])</f>
        <v>0</v>
      </c>
      <c r="T2315" s="72"/>
      <c r="U2315" s="106"/>
      <c r="V2315" s="74">
        <f>Devis[[#This Row],[Prix de Revient]]*Devis[[#This Row],[Poste 1]]</f>
        <v>0</v>
      </c>
      <c r="W2315" s="74">
        <f>Devis[[#This Row],[Prix de Revient]]*Devis[[#This Row],[Poste 2]]</f>
        <v>0</v>
      </c>
      <c r="X2315" s="74">
        <f>Devis[[#This Row],[Prix de Revient]]*Devis[[#This Row],[Poste 3]]</f>
        <v>0</v>
      </c>
      <c r="Y2315" s="74">
        <f>Devis[[#This Row],[Poste 4]]*Devis[[#This Row],[Prix de Revient]]</f>
        <v>0</v>
      </c>
      <c r="Z2315" s="74">
        <f>Devis[[#This Row],[Poste 5]]*Devis[[#This Row],[Prix de Revient]]</f>
        <v>0</v>
      </c>
      <c r="AA2315" s="74">
        <f>Devis[[#This Row],[Prix de Revient]]*Devis[[#This Row],[Poste 6]]</f>
        <v>0</v>
      </c>
      <c r="AB2315" s="74">
        <f>Devis[[#This Row],[Quantité Totale]]*Devis[[#This Row],[Prix de Revient]]</f>
        <v>0</v>
      </c>
    </row>
    <row r="2316" spans="1:28" ht="14.25" customHeight="1" outlineLevel="1" x14ac:dyDescent="0.2">
      <c r="A2316" s="75" t="s">
        <v>3479</v>
      </c>
      <c r="B2316" s="76" t="s">
        <v>2054</v>
      </c>
      <c r="C2316" s="76"/>
      <c r="D2316" s="81" t="str">
        <f t="shared" si="40"/>
        <v xml:space="preserve">Inox visséBouchon male  inox 316L </v>
      </c>
      <c r="E2316" s="76" t="s">
        <v>4113</v>
      </c>
      <c r="F2316" s="81">
        <v>8</v>
      </c>
      <c r="G2316" s="108" t="s">
        <v>2055</v>
      </c>
      <c r="H2316" s="71"/>
      <c r="I2316" s="75"/>
      <c r="J2316" s="70">
        <f>IFERROR(VLOOKUP(Devis[[#This Row],[Ref Air Flux]],#REF!,3,FALSE),0)</f>
        <v>0</v>
      </c>
      <c r="K2316" s="68"/>
      <c r="L2316" s="68"/>
      <c r="M2316" s="68"/>
      <c r="N2316" s="68"/>
      <c r="O2316" s="68"/>
      <c r="P2316" s="68"/>
      <c r="Q2316" s="68">
        <f>SUM(Devis[[#This Row],[Poste 1]:[Poste 6]])</f>
        <v>0</v>
      </c>
      <c r="R2316" s="111"/>
      <c r="S2316" s="68">
        <f>_xlfn.CEILING.MATH(Devis[[#This Row],[Quantité Totale]],Devis[[#This Row],[Conditionnement]])</f>
        <v>0</v>
      </c>
      <c r="T2316" s="72"/>
      <c r="U2316" s="106"/>
      <c r="V2316" s="74">
        <f>Devis[[#This Row],[Prix de Revient]]*Devis[[#This Row],[Poste 1]]</f>
        <v>0</v>
      </c>
      <c r="W2316" s="74">
        <f>Devis[[#This Row],[Prix de Revient]]*Devis[[#This Row],[Poste 2]]</f>
        <v>0</v>
      </c>
      <c r="X2316" s="74">
        <f>Devis[[#This Row],[Prix de Revient]]*Devis[[#This Row],[Poste 3]]</f>
        <v>0</v>
      </c>
      <c r="Y2316" s="74">
        <f>Devis[[#This Row],[Poste 4]]*Devis[[#This Row],[Prix de Revient]]</f>
        <v>0</v>
      </c>
      <c r="Z2316" s="74">
        <f>Devis[[#This Row],[Poste 5]]*Devis[[#This Row],[Prix de Revient]]</f>
        <v>0</v>
      </c>
      <c r="AA2316" s="74">
        <f>Devis[[#This Row],[Prix de Revient]]*Devis[[#This Row],[Poste 6]]</f>
        <v>0</v>
      </c>
      <c r="AB2316" s="74">
        <f>Devis[[#This Row],[Quantité Totale]]*Devis[[#This Row],[Prix de Revient]]</f>
        <v>0</v>
      </c>
    </row>
    <row r="2317" spans="1:28" ht="14.25" outlineLevel="1" x14ac:dyDescent="0.2">
      <c r="A2317" s="75" t="s">
        <v>3479</v>
      </c>
      <c r="B2317" s="76" t="s">
        <v>2054</v>
      </c>
      <c r="C2317" s="76"/>
      <c r="D2317" s="81" t="str">
        <f t="shared" si="40"/>
        <v xml:space="preserve">Inox visséBouchon male  inox 316L </v>
      </c>
      <c r="E2317" s="76" t="s">
        <v>4114</v>
      </c>
      <c r="F2317" s="81">
        <v>9</v>
      </c>
      <c r="G2317" s="108" t="s">
        <v>2060</v>
      </c>
      <c r="H2317" s="71"/>
      <c r="I2317" s="75"/>
      <c r="J2317" s="70">
        <f>IFERROR(VLOOKUP(Devis[[#This Row],[Ref Air Flux]],#REF!,3,FALSE),0)</f>
        <v>0</v>
      </c>
      <c r="K2317" s="68"/>
      <c r="L2317" s="68"/>
      <c r="M2317" s="68"/>
      <c r="N2317" s="68"/>
      <c r="O2317" s="68"/>
      <c r="P2317" s="68"/>
      <c r="Q2317" s="68">
        <f>SUM(Devis[[#This Row],[Poste 1]:[Poste 6]])</f>
        <v>0</v>
      </c>
      <c r="R2317" s="111"/>
      <c r="S2317" s="68">
        <f>_xlfn.CEILING.MATH(Devis[[#This Row],[Quantité Totale]],Devis[[#This Row],[Conditionnement]])</f>
        <v>0</v>
      </c>
      <c r="T2317" s="72"/>
      <c r="U2317" s="106"/>
      <c r="V2317" s="74">
        <f>Devis[[#This Row],[Prix de Revient]]*Devis[[#This Row],[Poste 1]]</f>
        <v>0</v>
      </c>
      <c r="W2317" s="74">
        <f>Devis[[#This Row],[Prix de Revient]]*Devis[[#This Row],[Poste 2]]</f>
        <v>0</v>
      </c>
      <c r="X2317" s="74">
        <f>Devis[[#This Row],[Prix de Revient]]*Devis[[#This Row],[Poste 3]]</f>
        <v>0</v>
      </c>
      <c r="Y2317" s="74">
        <f>Devis[[#This Row],[Poste 4]]*Devis[[#This Row],[Prix de Revient]]</f>
        <v>0</v>
      </c>
      <c r="Z2317" s="74">
        <f>Devis[[#This Row],[Poste 5]]*Devis[[#This Row],[Prix de Revient]]</f>
        <v>0</v>
      </c>
      <c r="AA2317" s="74">
        <f>Devis[[#This Row],[Prix de Revient]]*Devis[[#This Row],[Poste 6]]</f>
        <v>0</v>
      </c>
      <c r="AB2317" s="74">
        <f>Devis[[#This Row],[Quantité Totale]]*Devis[[#This Row],[Prix de Revient]]</f>
        <v>0</v>
      </c>
    </row>
    <row r="2318" spans="1:28" ht="14.25" outlineLevel="1" x14ac:dyDescent="0.2">
      <c r="A2318" s="75" t="s">
        <v>3479</v>
      </c>
      <c r="B2318" s="76" t="s">
        <v>4115</v>
      </c>
      <c r="C2318" s="76"/>
      <c r="D2318" s="81" t="str">
        <f t="shared" si="40"/>
        <v>Inox visséClapets anti-retour inox FF</v>
      </c>
      <c r="E2318" s="76" t="s">
        <v>0</v>
      </c>
      <c r="F2318" s="81">
        <v>1</v>
      </c>
      <c r="G2318" s="86" t="s">
        <v>2126</v>
      </c>
      <c r="H2318" s="71"/>
      <c r="I2318" s="75"/>
      <c r="J2318" s="70">
        <f>IFERROR(VLOOKUP(Devis[[#This Row],[Ref Air Flux]],#REF!,3,FALSE),0)</f>
        <v>0</v>
      </c>
      <c r="K2318" s="68"/>
      <c r="L2318" s="68"/>
      <c r="M2318" s="68"/>
      <c r="N2318" s="68"/>
      <c r="O2318" s="68"/>
      <c r="P2318" s="68"/>
      <c r="Q2318" s="68">
        <f>SUM(Devis[[#This Row],[Poste 1]:[Poste 6]])</f>
        <v>0</v>
      </c>
      <c r="R2318" s="111"/>
      <c r="S2318" s="68">
        <f>_xlfn.CEILING.MATH(Devis[[#This Row],[Quantité Totale]],Devis[[#This Row],[Conditionnement]])</f>
        <v>0</v>
      </c>
      <c r="T2318" s="72"/>
      <c r="U2318" s="106"/>
      <c r="V2318" s="74">
        <f>Devis[[#This Row],[Prix de Revient]]*Devis[[#This Row],[Poste 1]]</f>
        <v>0</v>
      </c>
      <c r="W2318" s="74">
        <f>Devis[[#This Row],[Prix de Revient]]*Devis[[#This Row],[Poste 2]]</f>
        <v>0</v>
      </c>
      <c r="X2318" s="74">
        <f>Devis[[#This Row],[Prix de Revient]]*Devis[[#This Row],[Poste 3]]</f>
        <v>0</v>
      </c>
      <c r="Y2318" s="74">
        <f>Devis[[#This Row],[Poste 4]]*Devis[[#This Row],[Prix de Revient]]</f>
        <v>0</v>
      </c>
      <c r="Z2318" s="74">
        <f>Devis[[#This Row],[Poste 5]]*Devis[[#This Row],[Prix de Revient]]</f>
        <v>0</v>
      </c>
      <c r="AA2318" s="74">
        <f>Devis[[#This Row],[Prix de Revient]]*Devis[[#This Row],[Poste 6]]</f>
        <v>0</v>
      </c>
      <c r="AB2318" s="74">
        <f>Devis[[#This Row],[Quantité Totale]]*Devis[[#This Row],[Prix de Revient]]</f>
        <v>0</v>
      </c>
    </row>
    <row r="2319" spans="1:28" ht="14.25" customHeight="1" x14ac:dyDescent="0.25">
      <c r="A2319" s="65" t="s">
        <v>3479</v>
      </c>
      <c r="B2319" s="65" t="s">
        <v>2139</v>
      </c>
      <c r="C2319" s="76"/>
      <c r="D2319" s="81" t="str">
        <f t="shared" si="40"/>
        <v>Inox visséCoude Inox fileté 90 ff 316L</v>
      </c>
      <c r="E2319" s="76"/>
      <c r="F2319" s="81">
        <v>0</v>
      </c>
      <c r="G2319" s="86"/>
      <c r="H2319" s="71"/>
      <c r="I2319" s="75"/>
      <c r="J2319" s="70">
        <f>IFERROR(VLOOKUP(Devis[[#This Row],[Ref Air Flux]],#REF!,3,FALSE),0)</f>
        <v>0</v>
      </c>
      <c r="K2319" s="68"/>
      <c r="L2319" s="68"/>
      <c r="M2319" s="68"/>
      <c r="N2319" s="68"/>
      <c r="O2319" s="68"/>
      <c r="P2319" s="68"/>
      <c r="Q2319" s="68">
        <f>SUM(Devis[[#This Row],[Poste 1]:[Poste 6]])</f>
        <v>0</v>
      </c>
      <c r="R2319" s="111"/>
      <c r="S2319" s="68">
        <f>_xlfn.CEILING.MATH(Devis[[#This Row],[Quantité Totale]],Devis[[#This Row],[Conditionnement]])</f>
        <v>0</v>
      </c>
      <c r="T2319" s="72"/>
      <c r="U2319" s="106"/>
      <c r="V2319" s="74">
        <f>Devis[[#This Row],[Prix de Revient]]*Devis[[#This Row],[Poste 1]]</f>
        <v>0</v>
      </c>
      <c r="W2319" s="74">
        <f>Devis[[#This Row],[Prix de Revient]]*Devis[[#This Row],[Poste 2]]</f>
        <v>0</v>
      </c>
      <c r="X2319" s="74">
        <f>Devis[[#This Row],[Prix de Revient]]*Devis[[#This Row],[Poste 3]]</f>
        <v>0</v>
      </c>
      <c r="Y2319" s="74">
        <f>Devis[[#This Row],[Poste 4]]*Devis[[#This Row],[Prix de Revient]]</f>
        <v>0</v>
      </c>
      <c r="Z2319" s="74">
        <f>Devis[[#This Row],[Poste 5]]*Devis[[#This Row],[Prix de Revient]]</f>
        <v>0</v>
      </c>
      <c r="AA2319" s="74">
        <f>Devis[[#This Row],[Prix de Revient]]*Devis[[#This Row],[Poste 6]]</f>
        <v>0</v>
      </c>
      <c r="AB2319" s="74">
        <f>Devis[[#This Row],[Quantité Totale]]*Devis[[#This Row],[Prix de Revient]]</f>
        <v>0</v>
      </c>
    </row>
    <row r="2320" spans="1:28" ht="14.25" outlineLevel="1" x14ac:dyDescent="0.2">
      <c r="A2320" s="75" t="s">
        <v>3479</v>
      </c>
      <c r="B2320" s="76" t="s">
        <v>2139</v>
      </c>
      <c r="C2320" s="76"/>
      <c r="D2320" s="81" t="str">
        <f t="shared" si="40"/>
        <v>Inox visséCoude Inox fileté 90 ff 316L</v>
      </c>
      <c r="E2320" s="76" t="s">
        <v>19</v>
      </c>
      <c r="F2320" s="81">
        <v>2</v>
      </c>
      <c r="G2320" s="86" t="s">
        <v>2145</v>
      </c>
      <c r="H2320" s="71"/>
      <c r="I2320" s="75"/>
      <c r="J2320" s="70">
        <f>IFERROR(VLOOKUP(Devis[[#This Row],[Ref Air Flux]],#REF!,3,FALSE),0)</f>
        <v>0</v>
      </c>
      <c r="K2320" s="68"/>
      <c r="L2320" s="68"/>
      <c r="M2320" s="68"/>
      <c r="N2320" s="68"/>
      <c r="O2320" s="68"/>
      <c r="P2320" s="68"/>
      <c r="Q2320" s="68">
        <f>SUM(Devis[[#This Row],[Poste 1]:[Poste 6]])</f>
        <v>0</v>
      </c>
      <c r="R2320" s="111"/>
      <c r="S2320" s="68">
        <f>_xlfn.CEILING.MATH(Devis[[#This Row],[Quantité Totale]],Devis[[#This Row],[Conditionnement]])</f>
        <v>0</v>
      </c>
      <c r="T2320" s="72"/>
      <c r="U2320" s="106"/>
      <c r="V2320" s="74">
        <f>Devis[[#This Row],[Prix de Revient]]*Devis[[#This Row],[Poste 1]]</f>
        <v>0</v>
      </c>
      <c r="W2320" s="74">
        <f>Devis[[#This Row],[Prix de Revient]]*Devis[[#This Row],[Poste 2]]</f>
        <v>0</v>
      </c>
      <c r="X2320" s="74">
        <f>Devis[[#This Row],[Prix de Revient]]*Devis[[#This Row],[Poste 3]]</f>
        <v>0</v>
      </c>
      <c r="Y2320" s="74">
        <f>Devis[[#This Row],[Poste 4]]*Devis[[#This Row],[Prix de Revient]]</f>
        <v>0</v>
      </c>
      <c r="Z2320" s="74">
        <f>Devis[[#This Row],[Poste 5]]*Devis[[#This Row],[Prix de Revient]]</f>
        <v>0</v>
      </c>
      <c r="AA2320" s="74">
        <f>Devis[[#This Row],[Prix de Revient]]*Devis[[#This Row],[Poste 6]]</f>
        <v>0</v>
      </c>
      <c r="AB2320" s="74">
        <f>Devis[[#This Row],[Quantité Totale]]*Devis[[#This Row],[Prix de Revient]]</f>
        <v>0</v>
      </c>
    </row>
    <row r="2321" spans="1:28" ht="14.25" outlineLevel="1" x14ac:dyDescent="0.2">
      <c r="A2321" s="75" t="s">
        <v>3479</v>
      </c>
      <c r="B2321" s="76" t="s">
        <v>2139</v>
      </c>
      <c r="C2321" s="76"/>
      <c r="D2321" s="81" t="str">
        <f t="shared" si="40"/>
        <v>Inox visséCoude Inox fileté 90 ff 316L</v>
      </c>
      <c r="E2321" s="76" t="s">
        <v>21</v>
      </c>
      <c r="F2321" s="81">
        <v>3</v>
      </c>
      <c r="G2321" s="86" t="s">
        <v>2143</v>
      </c>
      <c r="H2321" s="71"/>
      <c r="I2321" s="75"/>
      <c r="J2321" s="70">
        <f>IFERROR(VLOOKUP(Devis[[#This Row],[Ref Air Flux]],#REF!,3,FALSE),0)</f>
        <v>0</v>
      </c>
      <c r="K2321" s="68"/>
      <c r="L2321" s="68"/>
      <c r="M2321" s="68"/>
      <c r="N2321" s="68"/>
      <c r="O2321" s="68"/>
      <c r="P2321" s="68"/>
      <c r="Q2321" s="68">
        <f>SUM(Devis[[#This Row],[Poste 1]:[Poste 6]])</f>
        <v>0</v>
      </c>
      <c r="R2321" s="111"/>
      <c r="S2321" s="68">
        <f>_xlfn.CEILING.MATH(Devis[[#This Row],[Quantité Totale]],Devis[[#This Row],[Conditionnement]])</f>
        <v>0</v>
      </c>
      <c r="T2321" s="72"/>
      <c r="U2321" s="106"/>
      <c r="V2321" s="74">
        <f>Devis[[#This Row],[Prix de Revient]]*Devis[[#This Row],[Poste 1]]</f>
        <v>0</v>
      </c>
      <c r="W2321" s="74">
        <f>Devis[[#This Row],[Prix de Revient]]*Devis[[#This Row],[Poste 2]]</f>
        <v>0</v>
      </c>
      <c r="X2321" s="74">
        <f>Devis[[#This Row],[Prix de Revient]]*Devis[[#This Row],[Poste 3]]</f>
        <v>0</v>
      </c>
      <c r="Y2321" s="74">
        <f>Devis[[#This Row],[Poste 4]]*Devis[[#This Row],[Prix de Revient]]</f>
        <v>0</v>
      </c>
      <c r="Z2321" s="74">
        <f>Devis[[#This Row],[Poste 5]]*Devis[[#This Row],[Prix de Revient]]</f>
        <v>0</v>
      </c>
      <c r="AA2321" s="74">
        <f>Devis[[#This Row],[Prix de Revient]]*Devis[[#This Row],[Poste 6]]</f>
        <v>0</v>
      </c>
      <c r="AB2321" s="74">
        <f>Devis[[#This Row],[Quantité Totale]]*Devis[[#This Row],[Prix de Revient]]</f>
        <v>0</v>
      </c>
    </row>
    <row r="2322" spans="1:28" ht="14.25" outlineLevel="1" x14ac:dyDescent="0.2">
      <c r="A2322" s="75" t="s">
        <v>3479</v>
      </c>
      <c r="B2322" s="76" t="s">
        <v>2139</v>
      </c>
      <c r="C2322" s="76"/>
      <c r="D2322" s="81" t="str">
        <f t="shared" si="40"/>
        <v>Inox visséCoude Inox fileté 90 ff 316L</v>
      </c>
      <c r="E2322" s="76" t="s">
        <v>20</v>
      </c>
      <c r="F2322" s="81">
        <v>4</v>
      </c>
      <c r="G2322" s="86" t="s">
        <v>2144</v>
      </c>
      <c r="H2322" s="71"/>
      <c r="I2322" s="75"/>
      <c r="J2322" s="70">
        <f>IFERROR(VLOOKUP(Devis[[#This Row],[Ref Air Flux]],#REF!,3,FALSE),0)</f>
        <v>0</v>
      </c>
      <c r="K2322" s="68"/>
      <c r="L2322" s="68"/>
      <c r="M2322" s="68"/>
      <c r="N2322" s="68"/>
      <c r="O2322" s="68"/>
      <c r="P2322" s="68"/>
      <c r="Q2322" s="68">
        <f>SUM(Devis[[#This Row],[Poste 1]:[Poste 6]])</f>
        <v>0</v>
      </c>
      <c r="R2322" s="111"/>
      <c r="S2322" s="68">
        <f>_xlfn.CEILING.MATH(Devis[[#This Row],[Quantité Totale]],Devis[[#This Row],[Conditionnement]])</f>
        <v>0</v>
      </c>
      <c r="T2322" s="72"/>
      <c r="U2322" s="106"/>
      <c r="V2322" s="74">
        <f>Devis[[#This Row],[Prix de Revient]]*Devis[[#This Row],[Poste 1]]</f>
        <v>0</v>
      </c>
      <c r="W2322" s="74">
        <f>Devis[[#This Row],[Prix de Revient]]*Devis[[#This Row],[Poste 2]]</f>
        <v>0</v>
      </c>
      <c r="X2322" s="74">
        <f>Devis[[#This Row],[Prix de Revient]]*Devis[[#This Row],[Poste 3]]</f>
        <v>0</v>
      </c>
      <c r="Y2322" s="74">
        <f>Devis[[#This Row],[Poste 4]]*Devis[[#This Row],[Prix de Revient]]</f>
        <v>0</v>
      </c>
      <c r="Z2322" s="74">
        <f>Devis[[#This Row],[Poste 5]]*Devis[[#This Row],[Prix de Revient]]</f>
        <v>0</v>
      </c>
      <c r="AA2322" s="74">
        <f>Devis[[#This Row],[Prix de Revient]]*Devis[[#This Row],[Poste 6]]</f>
        <v>0</v>
      </c>
      <c r="AB2322" s="74">
        <f>Devis[[#This Row],[Quantité Totale]]*Devis[[#This Row],[Prix de Revient]]</f>
        <v>0</v>
      </c>
    </row>
    <row r="2323" spans="1:28" ht="15" customHeight="1" outlineLevel="1" x14ac:dyDescent="0.2">
      <c r="A2323" s="75" t="s">
        <v>3479</v>
      </c>
      <c r="B2323" s="76" t="s">
        <v>2139</v>
      </c>
      <c r="C2323" s="76"/>
      <c r="D2323" s="81" t="str">
        <f t="shared" si="40"/>
        <v>Inox visséCoude Inox fileté 90 ff 316L</v>
      </c>
      <c r="E2323" s="80" t="s">
        <v>17</v>
      </c>
      <c r="F2323" s="81">
        <v>5</v>
      </c>
      <c r="G2323" s="86" t="s">
        <v>2147</v>
      </c>
      <c r="H2323" s="71"/>
      <c r="I2323" s="75"/>
      <c r="J2323" s="70">
        <f>IFERROR(VLOOKUP(Devis[[#This Row],[Ref Air Flux]],#REF!,3,FALSE),0)</f>
        <v>0</v>
      </c>
      <c r="K2323" s="68"/>
      <c r="L2323" s="68"/>
      <c r="M2323" s="68"/>
      <c r="N2323" s="68"/>
      <c r="O2323" s="68"/>
      <c r="P2323" s="68"/>
      <c r="Q2323" s="68">
        <f>SUM(Devis[[#This Row],[Poste 1]:[Poste 6]])</f>
        <v>0</v>
      </c>
      <c r="R2323" s="111"/>
      <c r="S2323" s="68">
        <f>_xlfn.CEILING.MATH(Devis[[#This Row],[Quantité Totale]],Devis[[#This Row],[Conditionnement]])</f>
        <v>0</v>
      </c>
      <c r="T2323" s="72"/>
      <c r="U2323" s="106"/>
      <c r="V2323" s="74">
        <f>Devis[[#This Row],[Prix de Revient]]*Devis[[#This Row],[Poste 1]]</f>
        <v>0</v>
      </c>
      <c r="W2323" s="74">
        <f>Devis[[#This Row],[Prix de Revient]]*Devis[[#This Row],[Poste 2]]</f>
        <v>0</v>
      </c>
      <c r="X2323" s="74">
        <f>Devis[[#This Row],[Prix de Revient]]*Devis[[#This Row],[Poste 3]]</f>
        <v>0</v>
      </c>
      <c r="Y2323" s="74">
        <f>Devis[[#This Row],[Poste 4]]*Devis[[#This Row],[Prix de Revient]]</f>
        <v>0</v>
      </c>
      <c r="Z2323" s="74">
        <f>Devis[[#This Row],[Poste 5]]*Devis[[#This Row],[Prix de Revient]]</f>
        <v>0</v>
      </c>
      <c r="AA2323" s="74">
        <f>Devis[[#This Row],[Prix de Revient]]*Devis[[#This Row],[Poste 6]]</f>
        <v>0</v>
      </c>
      <c r="AB2323" s="74">
        <f>Devis[[#This Row],[Quantité Totale]]*Devis[[#This Row],[Prix de Revient]]</f>
        <v>0</v>
      </c>
    </row>
    <row r="2324" spans="1:28" ht="15" customHeight="1" outlineLevel="1" x14ac:dyDescent="0.2">
      <c r="A2324" s="75" t="s">
        <v>3479</v>
      </c>
      <c r="B2324" s="76" t="s">
        <v>2139</v>
      </c>
      <c r="C2324" s="76"/>
      <c r="D2324" s="81" t="str">
        <f t="shared" si="40"/>
        <v>Inox visséCoude Inox fileté 90 ff 316L</v>
      </c>
      <c r="E2324" s="80" t="s">
        <v>46</v>
      </c>
      <c r="F2324" s="81">
        <v>6</v>
      </c>
      <c r="G2324" s="108" t="s">
        <v>2149</v>
      </c>
      <c r="H2324" s="71"/>
      <c r="I2324" s="75"/>
      <c r="J2324" s="70">
        <f>IFERROR(VLOOKUP(Devis[[#This Row],[Ref Air Flux]],#REF!,3,FALSE),0)</f>
        <v>0</v>
      </c>
      <c r="K2324" s="68"/>
      <c r="L2324" s="68"/>
      <c r="M2324" s="68"/>
      <c r="N2324" s="68"/>
      <c r="O2324" s="68"/>
      <c r="P2324" s="68"/>
      <c r="Q2324" s="68">
        <f>SUM(Devis[[#This Row],[Poste 1]:[Poste 6]])</f>
        <v>0</v>
      </c>
      <c r="R2324" s="111"/>
      <c r="S2324" s="68">
        <f>_xlfn.CEILING.MATH(Devis[[#This Row],[Quantité Totale]],Devis[[#This Row],[Conditionnement]])</f>
        <v>0</v>
      </c>
      <c r="T2324" s="72"/>
      <c r="U2324" s="106"/>
      <c r="V2324" s="74">
        <f>Devis[[#This Row],[Prix de Revient]]*Devis[[#This Row],[Poste 1]]</f>
        <v>0</v>
      </c>
      <c r="W2324" s="74">
        <f>Devis[[#This Row],[Prix de Revient]]*Devis[[#This Row],[Poste 2]]</f>
        <v>0</v>
      </c>
      <c r="X2324" s="74">
        <f>Devis[[#This Row],[Prix de Revient]]*Devis[[#This Row],[Poste 3]]</f>
        <v>0</v>
      </c>
      <c r="Y2324" s="74">
        <f>Devis[[#This Row],[Poste 4]]*Devis[[#This Row],[Prix de Revient]]</f>
        <v>0</v>
      </c>
      <c r="Z2324" s="74">
        <f>Devis[[#This Row],[Poste 5]]*Devis[[#This Row],[Prix de Revient]]</f>
        <v>0</v>
      </c>
      <c r="AA2324" s="74">
        <f>Devis[[#This Row],[Prix de Revient]]*Devis[[#This Row],[Poste 6]]</f>
        <v>0</v>
      </c>
      <c r="AB2324" s="74">
        <f>Devis[[#This Row],[Quantité Totale]]*Devis[[#This Row],[Prix de Revient]]</f>
        <v>0</v>
      </c>
    </row>
    <row r="2325" spans="1:28" ht="15" customHeight="1" outlineLevel="1" x14ac:dyDescent="0.2">
      <c r="A2325" s="75" t="s">
        <v>3479</v>
      </c>
      <c r="B2325" s="76" t="s">
        <v>2139</v>
      </c>
      <c r="C2325" s="76"/>
      <c r="D2325" s="81" t="str">
        <f t="shared" si="40"/>
        <v>Inox visséCoude Inox fileté 90 ff 316L</v>
      </c>
      <c r="E2325" s="76" t="s">
        <v>0</v>
      </c>
      <c r="F2325" s="81">
        <v>7</v>
      </c>
      <c r="G2325" s="86" t="s">
        <v>2142</v>
      </c>
      <c r="H2325" s="71"/>
      <c r="I2325" s="75"/>
      <c r="J2325" s="70">
        <f>IFERROR(VLOOKUP(Devis[[#This Row],[Ref Air Flux]],#REF!,3,FALSE),0)</f>
        <v>0</v>
      </c>
      <c r="K2325" s="68"/>
      <c r="L2325" s="68"/>
      <c r="M2325" s="68"/>
      <c r="N2325" s="68"/>
      <c r="O2325" s="68"/>
      <c r="P2325" s="68"/>
      <c r="Q2325" s="68">
        <f>SUM(Devis[[#This Row],[Poste 1]:[Poste 6]])</f>
        <v>0</v>
      </c>
      <c r="R2325" s="111"/>
      <c r="S2325" s="68">
        <f>_xlfn.CEILING.MATH(Devis[[#This Row],[Quantité Totale]],Devis[[#This Row],[Conditionnement]])</f>
        <v>0</v>
      </c>
      <c r="T2325" s="72"/>
      <c r="U2325" s="106"/>
      <c r="V2325" s="74">
        <f>Devis[[#This Row],[Prix de Revient]]*Devis[[#This Row],[Poste 1]]</f>
        <v>0</v>
      </c>
      <c r="W2325" s="74">
        <f>Devis[[#This Row],[Prix de Revient]]*Devis[[#This Row],[Poste 2]]</f>
        <v>0</v>
      </c>
      <c r="X2325" s="74">
        <f>Devis[[#This Row],[Prix de Revient]]*Devis[[#This Row],[Poste 3]]</f>
        <v>0</v>
      </c>
      <c r="Y2325" s="74">
        <f>Devis[[#This Row],[Poste 4]]*Devis[[#This Row],[Prix de Revient]]</f>
        <v>0</v>
      </c>
      <c r="Z2325" s="74">
        <f>Devis[[#This Row],[Poste 5]]*Devis[[#This Row],[Prix de Revient]]</f>
        <v>0</v>
      </c>
      <c r="AA2325" s="74">
        <f>Devis[[#This Row],[Prix de Revient]]*Devis[[#This Row],[Poste 6]]</f>
        <v>0</v>
      </c>
      <c r="AB2325" s="74">
        <f>Devis[[#This Row],[Quantité Totale]]*Devis[[#This Row],[Prix de Revient]]</f>
        <v>0</v>
      </c>
    </row>
    <row r="2326" spans="1:28" ht="15" customHeight="1" outlineLevel="1" x14ac:dyDescent="0.2">
      <c r="A2326" s="75" t="s">
        <v>3479</v>
      </c>
      <c r="B2326" s="76" t="s">
        <v>2139</v>
      </c>
      <c r="C2326" s="76"/>
      <c r="D2326" s="81" t="str">
        <f t="shared" si="40"/>
        <v>Inox visséCoude Inox fileté 90 ff 316L</v>
      </c>
      <c r="E2326" s="76" t="s">
        <v>49</v>
      </c>
      <c r="F2326" s="81">
        <v>8</v>
      </c>
      <c r="G2326" s="108" t="s">
        <v>2141</v>
      </c>
      <c r="H2326" s="71"/>
      <c r="I2326" s="75"/>
      <c r="J2326" s="70">
        <f>IFERROR(VLOOKUP(Devis[[#This Row],[Ref Air Flux]],#REF!,3,FALSE),0)</f>
        <v>0</v>
      </c>
      <c r="K2326" s="68"/>
      <c r="L2326" s="68"/>
      <c r="M2326" s="68"/>
      <c r="N2326" s="68"/>
      <c r="O2326" s="68"/>
      <c r="P2326" s="68"/>
      <c r="Q2326" s="68">
        <f>SUM(Devis[[#This Row],[Poste 1]:[Poste 6]])</f>
        <v>0</v>
      </c>
      <c r="R2326" s="111"/>
      <c r="S2326" s="68">
        <f>_xlfn.CEILING.MATH(Devis[[#This Row],[Quantité Totale]],Devis[[#This Row],[Conditionnement]])</f>
        <v>0</v>
      </c>
      <c r="T2326" s="72"/>
      <c r="U2326" s="106"/>
      <c r="V2326" s="74">
        <f>Devis[[#This Row],[Prix de Revient]]*Devis[[#This Row],[Poste 1]]</f>
        <v>0</v>
      </c>
      <c r="W2326" s="74">
        <f>Devis[[#This Row],[Prix de Revient]]*Devis[[#This Row],[Poste 2]]</f>
        <v>0</v>
      </c>
      <c r="X2326" s="74">
        <f>Devis[[#This Row],[Prix de Revient]]*Devis[[#This Row],[Poste 3]]</f>
        <v>0</v>
      </c>
      <c r="Y2326" s="74">
        <f>Devis[[#This Row],[Poste 4]]*Devis[[#This Row],[Prix de Revient]]</f>
        <v>0</v>
      </c>
      <c r="Z2326" s="74">
        <f>Devis[[#This Row],[Poste 5]]*Devis[[#This Row],[Prix de Revient]]</f>
        <v>0</v>
      </c>
      <c r="AA2326" s="74">
        <f>Devis[[#This Row],[Prix de Revient]]*Devis[[#This Row],[Poste 6]]</f>
        <v>0</v>
      </c>
      <c r="AB2326" s="74">
        <f>Devis[[#This Row],[Quantité Totale]]*Devis[[#This Row],[Prix de Revient]]</f>
        <v>0</v>
      </c>
    </row>
    <row r="2327" spans="1:28" ht="15" customHeight="1" outlineLevel="1" x14ac:dyDescent="0.2">
      <c r="A2327" s="75" t="s">
        <v>3479</v>
      </c>
      <c r="B2327" s="76" t="s">
        <v>2139</v>
      </c>
      <c r="C2327" s="76"/>
      <c r="D2327" s="81" t="str">
        <f t="shared" si="40"/>
        <v>Inox visséCoude Inox fileté 90 ff 316L</v>
      </c>
      <c r="E2327" s="76" t="s">
        <v>821</v>
      </c>
      <c r="F2327" s="81">
        <v>9</v>
      </c>
      <c r="G2327" s="108" t="s">
        <v>2140</v>
      </c>
      <c r="H2327" s="71"/>
      <c r="I2327" s="75"/>
      <c r="J2327" s="70">
        <f>IFERROR(VLOOKUP(Devis[[#This Row],[Ref Air Flux]],#REF!,3,FALSE),0)</f>
        <v>0</v>
      </c>
      <c r="K2327" s="68"/>
      <c r="L2327" s="68"/>
      <c r="M2327" s="68"/>
      <c r="N2327" s="68"/>
      <c r="O2327" s="68"/>
      <c r="P2327" s="68"/>
      <c r="Q2327" s="68">
        <f>SUM(Devis[[#This Row],[Poste 1]:[Poste 6]])</f>
        <v>0</v>
      </c>
      <c r="R2327" s="111"/>
      <c r="S2327" s="68">
        <f>_xlfn.CEILING.MATH(Devis[[#This Row],[Quantité Totale]],Devis[[#This Row],[Conditionnement]])</f>
        <v>0</v>
      </c>
      <c r="T2327" s="72"/>
      <c r="U2327" s="106"/>
      <c r="V2327" s="74">
        <f>Devis[[#This Row],[Prix de Revient]]*Devis[[#This Row],[Poste 1]]</f>
        <v>0</v>
      </c>
      <c r="W2327" s="74">
        <f>Devis[[#This Row],[Prix de Revient]]*Devis[[#This Row],[Poste 2]]</f>
        <v>0</v>
      </c>
      <c r="X2327" s="74">
        <f>Devis[[#This Row],[Prix de Revient]]*Devis[[#This Row],[Poste 3]]</f>
        <v>0</v>
      </c>
      <c r="Y2327" s="74">
        <f>Devis[[#This Row],[Poste 4]]*Devis[[#This Row],[Prix de Revient]]</f>
        <v>0</v>
      </c>
      <c r="Z2327" s="74">
        <f>Devis[[#This Row],[Poste 5]]*Devis[[#This Row],[Prix de Revient]]</f>
        <v>0</v>
      </c>
      <c r="AA2327" s="74">
        <f>Devis[[#This Row],[Prix de Revient]]*Devis[[#This Row],[Poste 6]]</f>
        <v>0</v>
      </c>
      <c r="AB2327" s="74">
        <f>Devis[[#This Row],[Quantité Totale]]*Devis[[#This Row],[Prix de Revient]]</f>
        <v>0</v>
      </c>
    </row>
    <row r="2328" spans="1:28" ht="15" customHeight="1" outlineLevel="1" x14ac:dyDescent="0.2">
      <c r="A2328" s="75" t="s">
        <v>3479</v>
      </c>
      <c r="B2328" s="76" t="s">
        <v>2139</v>
      </c>
      <c r="C2328" s="76"/>
      <c r="D2328" s="81" t="str">
        <f t="shared" si="40"/>
        <v>Inox visséCoude Inox fileté 90 ff 316L</v>
      </c>
      <c r="E2328" s="80" t="s">
        <v>18</v>
      </c>
      <c r="F2328" s="81">
        <v>10</v>
      </c>
      <c r="G2328" s="86" t="s">
        <v>2146</v>
      </c>
      <c r="H2328" s="71"/>
      <c r="I2328" s="75"/>
      <c r="J2328" s="70">
        <f>IFERROR(VLOOKUP(Devis[[#This Row],[Ref Air Flux]],#REF!,3,FALSE),0)</f>
        <v>0</v>
      </c>
      <c r="K2328" s="68"/>
      <c r="L2328" s="68"/>
      <c r="M2328" s="68"/>
      <c r="N2328" s="68"/>
      <c r="O2328" s="68"/>
      <c r="P2328" s="68"/>
      <c r="Q2328" s="68">
        <f>SUM(Devis[[#This Row],[Poste 1]:[Poste 6]])</f>
        <v>0</v>
      </c>
      <c r="R2328" s="111"/>
      <c r="S2328" s="68">
        <f>_xlfn.CEILING.MATH(Devis[[#This Row],[Quantité Totale]],Devis[[#This Row],[Conditionnement]])</f>
        <v>0</v>
      </c>
      <c r="T2328" s="72"/>
      <c r="U2328" s="106"/>
      <c r="V2328" s="74">
        <f>Devis[[#This Row],[Prix de Revient]]*Devis[[#This Row],[Poste 1]]</f>
        <v>0</v>
      </c>
      <c r="W2328" s="74">
        <f>Devis[[#This Row],[Prix de Revient]]*Devis[[#This Row],[Poste 2]]</f>
        <v>0</v>
      </c>
      <c r="X2328" s="74">
        <f>Devis[[#This Row],[Prix de Revient]]*Devis[[#This Row],[Poste 3]]</f>
        <v>0</v>
      </c>
      <c r="Y2328" s="74">
        <f>Devis[[#This Row],[Poste 4]]*Devis[[#This Row],[Prix de Revient]]</f>
        <v>0</v>
      </c>
      <c r="Z2328" s="74">
        <f>Devis[[#This Row],[Poste 5]]*Devis[[#This Row],[Prix de Revient]]</f>
        <v>0</v>
      </c>
      <c r="AA2328" s="74">
        <f>Devis[[#This Row],[Prix de Revient]]*Devis[[#This Row],[Poste 6]]</f>
        <v>0</v>
      </c>
      <c r="AB2328" s="74">
        <f>Devis[[#This Row],[Quantité Totale]]*Devis[[#This Row],[Prix de Revient]]</f>
        <v>0</v>
      </c>
    </row>
    <row r="2329" spans="1:28" ht="14.25" outlineLevel="1" x14ac:dyDescent="0.2">
      <c r="A2329" s="75" t="s">
        <v>3479</v>
      </c>
      <c r="B2329" s="76" t="s">
        <v>2139</v>
      </c>
      <c r="C2329" s="76"/>
      <c r="D2329" s="81" t="str">
        <f t="shared" si="40"/>
        <v>Inox visséCoude Inox fileté 90 ff 316L</v>
      </c>
      <c r="E2329" s="80" t="s">
        <v>16</v>
      </c>
      <c r="F2329" s="81">
        <v>11</v>
      </c>
      <c r="G2329" s="108" t="s">
        <v>2148</v>
      </c>
      <c r="H2329" s="71"/>
      <c r="I2329" s="75"/>
      <c r="J2329" s="70">
        <f>IFERROR(VLOOKUP(Devis[[#This Row],[Ref Air Flux]],#REF!,3,FALSE),0)</f>
        <v>0</v>
      </c>
      <c r="K2329" s="68"/>
      <c r="L2329" s="68"/>
      <c r="M2329" s="68"/>
      <c r="N2329" s="68"/>
      <c r="O2329" s="68"/>
      <c r="P2329" s="68"/>
      <c r="Q2329" s="68">
        <f>SUM(Devis[[#This Row],[Poste 1]:[Poste 6]])</f>
        <v>0</v>
      </c>
      <c r="R2329" s="111"/>
      <c r="S2329" s="68">
        <f>_xlfn.CEILING.MATH(Devis[[#This Row],[Quantité Totale]],Devis[[#This Row],[Conditionnement]])</f>
        <v>0</v>
      </c>
      <c r="T2329" s="72"/>
      <c r="U2329" s="106"/>
      <c r="V2329" s="74">
        <f>Devis[[#This Row],[Prix de Revient]]*Devis[[#This Row],[Poste 1]]</f>
        <v>0</v>
      </c>
      <c r="W2329" s="74">
        <f>Devis[[#This Row],[Prix de Revient]]*Devis[[#This Row],[Poste 2]]</f>
        <v>0</v>
      </c>
      <c r="X2329" s="74">
        <f>Devis[[#This Row],[Prix de Revient]]*Devis[[#This Row],[Poste 3]]</f>
        <v>0</v>
      </c>
      <c r="Y2329" s="74">
        <f>Devis[[#This Row],[Poste 4]]*Devis[[#This Row],[Prix de Revient]]</f>
        <v>0</v>
      </c>
      <c r="Z2329" s="74">
        <f>Devis[[#This Row],[Poste 5]]*Devis[[#This Row],[Prix de Revient]]</f>
        <v>0</v>
      </c>
      <c r="AA2329" s="74">
        <f>Devis[[#This Row],[Prix de Revient]]*Devis[[#This Row],[Poste 6]]</f>
        <v>0</v>
      </c>
      <c r="AB2329" s="74">
        <f>Devis[[#This Row],[Quantité Totale]]*Devis[[#This Row],[Prix de Revient]]</f>
        <v>0</v>
      </c>
    </row>
    <row r="2330" spans="1:28" ht="14.25" customHeight="1" x14ac:dyDescent="0.25">
      <c r="A2330" s="65" t="s">
        <v>3479</v>
      </c>
      <c r="B2330" s="65" t="s">
        <v>2165</v>
      </c>
      <c r="C2330" s="76"/>
      <c r="D2330" s="81" t="str">
        <f t="shared" si="40"/>
        <v>Inox visséCoudes Inox fileté 92 mf 316L</v>
      </c>
      <c r="E2330" s="76"/>
      <c r="F2330" s="81">
        <v>0</v>
      </c>
      <c r="G2330" s="86"/>
      <c r="H2330" s="71"/>
      <c r="I2330" s="75"/>
      <c r="J2330" s="70">
        <f>IFERROR(VLOOKUP(Devis[[#This Row],[Ref Air Flux]],#REF!,3,FALSE),0)</f>
        <v>0</v>
      </c>
      <c r="K2330" s="68"/>
      <c r="L2330" s="68"/>
      <c r="M2330" s="68"/>
      <c r="N2330" s="68"/>
      <c r="O2330" s="68"/>
      <c r="P2330" s="68"/>
      <c r="Q2330" s="68">
        <f>SUM(Devis[[#This Row],[Poste 1]:[Poste 6]])</f>
        <v>0</v>
      </c>
      <c r="R2330" s="111"/>
      <c r="S2330" s="68">
        <f>_xlfn.CEILING.MATH(Devis[[#This Row],[Quantité Totale]],Devis[[#This Row],[Conditionnement]])</f>
        <v>0</v>
      </c>
      <c r="T2330" s="72"/>
      <c r="U2330" s="106"/>
      <c r="V2330" s="74">
        <f>Devis[[#This Row],[Prix de Revient]]*Devis[[#This Row],[Poste 1]]</f>
        <v>0</v>
      </c>
      <c r="W2330" s="74">
        <f>Devis[[#This Row],[Prix de Revient]]*Devis[[#This Row],[Poste 2]]</f>
        <v>0</v>
      </c>
      <c r="X2330" s="74">
        <f>Devis[[#This Row],[Prix de Revient]]*Devis[[#This Row],[Poste 3]]</f>
        <v>0</v>
      </c>
      <c r="Y2330" s="74">
        <f>Devis[[#This Row],[Poste 4]]*Devis[[#This Row],[Prix de Revient]]</f>
        <v>0</v>
      </c>
      <c r="Z2330" s="74">
        <f>Devis[[#This Row],[Poste 5]]*Devis[[#This Row],[Prix de Revient]]</f>
        <v>0</v>
      </c>
      <c r="AA2330" s="74">
        <f>Devis[[#This Row],[Prix de Revient]]*Devis[[#This Row],[Poste 6]]</f>
        <v>0</v>
      </c>
      <c r="AB2330" s="74">
        <f>Devis[[#This Row],[Quantité Totale]]*Devis[[#This Row],[Prix de Revient]]</f>
        <v>0</v>
      </c>
    </row>
    <row r="2331" spans="1:28" ht="14.25" outlineLevel="1" x14ac:dyDescent="0.2">
      <c r="A2331" s="75" t="s">
        <v>3479</v>
      </c>
      <c r="B2331" s="76" t="s">
        <v>2165</v>
      </c>
      <c r="C2331" s="76"/>
      <c r="D2331" s="81" t="str">
        <f t="shared" si="40"/>
        <v>Inox visséCoudes Inox fileté 92 mf 316L</v>
      </c>
      <c r="E2331" s="76" t="s">
        <v>19</v>
      </c>
      <c r="F2331" s="81">
        <v>1</v>
      </c>
      <c r="G2331" s="86" t="s">
        <v>2171</v>
      </c>
      <c r="H2331" s="71"/>
      <c r="I2331" s="75"/>
      <c r="J2331" s="70">
        <f>IFERROR(VLOOKUP(Devis[[#This Row],[Ref Air Flux]],#REF!,3,FALSE),0)</f>
        <v>0</v>
      </c>
      <c r="K2331" s="68"/>
      <c r="L2331" s="68"/>
      <c r="M2331" s="68"/>
      <c r="N2331" s="68"/>
      <c r="O2331" s="68"/>
      <c r="P2331" s="68"/>
      <c r="Q2331" s="68">
        <f>SUM(Devis[[#This Row],[Poste 1]:[Poste 6]])</f>
        <v>0</v>
      </c>
      <c r="R2331" s="111"/>
      <c r="S2331" s="68">
        <f>_xlfn.CEILING.MATH(Devis[[#This Row],[Quantité Totale]],Devis[[#This Row],[Conditionnement]])</f>
        <v>0</v>
      </c>
      <c r="T2331" s="72"/>
      <c r="U2331" s="106"/>
      <c r="V2331" s="74">
        <f>Devis[[#This Row],[Prix de Revient]]*Devis[[#This Row],[Poste 1]]</f>
        <v>0</v>
      </c>
      <c r="W2331" s="74">
        <f>Devis[[#This Row],[Prix de Revient]]*Devis[[#This Row],[Poste 2]]</f>
        <v>0</v>
      </c>
      <c r="X2331" s="74">
        <f>Devis[[#This Row],[Prix de Revient]]*Devis[[#This Row],[Poste 3]]</f>
        <v>0</v>
      </c>
      <c r="Y2331" s="74">
        <f>Devis[[#This Row],[Poste 4]]*Devis[[#This Row],[Prix de Revient]]</f>
        <v>0</v>
      </c>
      <c r="Z2331" s="74">
        <f>Devis[[#This Row],[Poste 5]]*Devis[[#This Row],[Prix de Revient]]</f>
        <v>0</v>
      </c>
      <c r="AA2331" s="74">
        <f>Devis[[#This Row],[Prix de Revient]]*Devis[[#This Row],[Poste 6]]</f>
        <v>0</v>
      </c>
      <c r="AB2331" s="74">
        <f>Devis[[#This Row],[Quantité Totale]]*Devis[[#This Row],[Prix de Revient]]</f>
        <v>0</v>
      </c>
    </row>
    <row r="2332" spans="1:28" ht="14.25" outlineLevel="1" x14ac:dyDescent="0.2">
      <c r="A2332" s="75" t="s">
        <v>3479</v>
      </c>
      <c r="B2332" s="76" t="s">
        <v>2165</v>
      </c>
      <c r="C2332" s="76"/>
      <c r="D2332" s="81" t="str">
        <f t="shared" si="40"/>
        <v>Inox visséCoudes Inox fileté 92 mf 316L</v>
      </c>
      <c r="E2332" s="76" t="s">
        <v>21</v>
      </c>
      <c r="F2332" s="81">
        <v>2</v>
      </c>
      <c r="G2332" s="86" t="s">
        <v>2169</v>
      </c>
      <c r="H2332" s="71"/>
      <c r="I2332" s="75"/>
      <c r="J2332" s="70">
        <f>IFERROR(VLOOKUP(Devis[[#This Row],[Ref Air Flux]],#REF!,3,FALSE),0)</f>
        <v>0</v>
      </c>
      <c r="K2332" s="68"/>
      <c r="L2332" s="68"/>
      <c r="M2332" s="68"/>
      <c r="N2332" s="68"/>
      <c r="O2332" s="68"/>
      <c r="P2332" s="68"/>
      <c r="Q2332" s="68">
        <f>SUM(Devis[[#This Row],[Poste 1]:[Poste 6]])</f>
        <v>0</v>
      </c>
      <c r="R2332" s="111"/>
      <c r="S2332" s="68">
        <f>_xlfn.CEILING.MATH(Devis[[#This Row],[Quantité Totale]],Devis[[#This Row],[Conditionnement]])</f>
        <v>0</v>
      </c>
      <c r="T2332" s="72"/>
      <c r="U2332" s="106"/>
      <c r="V2332" s="74">
        <f>Devis[[#This Row],[Prix de Revient]]*Devis[[#This Row],[Poste 1]]</f>
        <v>0</v>
      </c>
      <c r="W2332" s="74">
        <f>Devis[[#This Row],[Prix de Revient]]*Devis[[#This Row],[Poste 2]]</f>
        <v>0</v>
      </c>
      <c r="X2332" s="74">
        <f>Devis[[#This Row],[Prix de Revient]]*Devis[[#This Row],[Poste 3]]</f>
        <v>0</v>
      </c>
      <c r="Y2332" s="74">
        <f>Devis[[#This Row],[Poste 4]]*Devis[[#This Row],[Prix de Revient]]</f>
        <v>0</v>
      </c>
      <c r="Z2332" s="74">
        <f>Devis[[#This Row],[Poste 5]]*Devis[[#This Row],[Prix de Revient]]</f>
        <v>0</v>
      </c>
      <c r="AA2332" s="74">
        <f>Devis[[#This Row],[Prix de Revient]]*Devis[[#This Row],[Poste 6]]</f>
        <v>0</v>
      </c>
      <c r="AB2332" s="74">
        <f>Devis[[#This Row],[Quantité Totale]]*Devis[[#This Row],[Prix de Revient]]</f>
        <v>0</v>
      </c>
    </row>
    <row r="2333" spans="1:28" ht="14.25" outlineLevel="1" x14ac:dyDescent="0.2">
      <c r="A2333" s="75" t="s">
        <v>3479</v>
      </c>
      <c r="B2333" s="76" t="s">
        <v>2165</v>
      </c>
      <c r="C2333" s="76"/>
      <c r="D2333" s="81" t="str">
        <f t="shared" si="40"/>
        <v>Inox visséCoudes Inox fileté 92 mf 316L</v>
      </c>
      <c r="E2333" s="76" t="s">
        <v>20</v>
      </c>
      <c r="F2333" s="81">
        <v>3</v>
      </c>
      <c r="G2333" s="86" t="s">
        <v>2170</v>
      </c>
      <c r="H2333" s="71"/>
      <c r="I2333" s="75"/>
      <c r="J2333" s="70">
        <f>IFERROR(VLOOKUP(Devis[[#This Row],[Ref Air Flux]],#REF!,3,FALSE),0)</f>
        <v>0</v>
      </c>
      <c r="K2333" s="68"/>
      <c r="L2333" s="68"/>
      <c r="M2333" s="68"/>
      <c r="N2333" s="68"/>
      <c r="O2333" s="68"/>
      <c r="P2333" s="68"/>
      <c r="Q2333" s="68">
        <f>SUM(Devis[[#This Row],[Poste 1]:[Poste 6]])</f>
        <v>0</v>
      </c>
      <c r="R2333" s="111"/>
      <c r="S2333" s="68">
        <f>_xlfn.CEILING.MATH(Devis[[#This Row],[Quantité Totale]],Devis[[#This Row],[Conditionnement]])</f>
        <v>0</v>
      </c>
      <c r="T2333" s="72"/>
      <c r="U2333" s="106"/>
      <c r="V2333" s="74">
        <f>Devis[[#This Row],[Prix de Revient]]*Devis[[#This Row],[Poste 1]]</f>
        <v>0</v>
      </c>
      <c r="W2333" s="74">
        <f>Devis[[#This Row],[Prix de Revient]]*Devis[[#This Row],[Poste 2]]</f>
        <v>0</v>
      </c>
      <c r="X2333" s="74">
        <f>Devis[[#This Row],[Prix de Revient]]*Devis[[#This Row],[Poste 3]]</f>
        <v>0</v>
      </c>
      <c r="Y2333" s="74">
        <f>Devis[[#This Row],[Poste 4]]*Devis[[#This Row],[Prix de Revient]]</f>
        <v>0</v>
      </c>
      <c r="Z2333" s="74">
        <f>Devis[[#This Row],[Poste 5]]*Devis[[#This Row],[Prix de Revient]]</f>
        <v>0</v>
      </c>
      <c r="AA2333" s="74">
        <f>Devis[[#This Row],[Prix de Revient]]*Devis[[#This Row],[Poste 6]]</f>
        <v>0</v>
      </c>
      <c r="AB2333" s="74">
        <f>Devis[[#This Row],[Quantité Totale]]*Devis[[#This Row],[Prix de Revient]]</f>
        <v>0</v>
      </c>
    </row>
    <row r="2334" spans="1:28" ht="14.25" customHeight="1" outlineLevel="1" x14ac:dyDescent="0.2">
      <c r="A2334" s="75" t="s">
        <v>3479</v>
      </c>
      <c r="B2334" s="76" t="s">
        <v>2165</v>
      </c>
      <c r="C2334" s="76"/>
      <c r="D2334" s="81" t="str">
        <f t="shared" si="40"/>
        <v>Inox visséCoudes Inox fileté 92 mf 316L</v>
      </c>
      <c r="E2334" s="80" t="s">
        <v>17</v>
      </c>
      <c r="F2334" s="81">
        <v>4</v>
      </c>
      <c r="G2334" s="86" t="s">
        <v>2173</v>
      </c>
      <c r="H2334" s="71"/>
      <c r="I2334" s="75"/>
      <c r="J2334" s="70">
        <f>IFERROR(VLOOKUP(Devis[[#This Row],[Ref Air Flux]],#REF!,3,FALSE),0)</f>
        <v>0</v>
      </c>
      <c r="K2334" s="68"/>
      <c r="L2334" s="68"/>
      <c r="M2334" s="68"/>
      <c r="N2334" s="68"/>
      <c r="O2334" s="68"/>
      <c r="P2334" s="68"/>
      <c r="Q2334" s="68">
        <f>SUM(Devis[[#This Row],[Poste 1]:[Poste 6]])</f>
        <v>0</v>
      </c>
      <c r="R2334" s="111"/>
      <c r="S2334" s="68">
        <f>_xlfn.CEILING.MATH(Devis[[#This Row],[Quantité Totale]],Devis[[#This Row],[Conditionnement]])</f>
        <v>0</v>
      </c>
      <c r="T2334" s="72"/>
      <c r="U2334" s="106"/>
      <c r="V2334" s="74">
        <f>Devis[[#This Row],[Prix de Revient]]*Devis[[#This Row],[Poste 1]]</f>
        <v>0</v>
      </c>
      <c r="W2334" s="74">
        <f>Devis[[#This Row],[Prix de Revient]]*Devis[[#This Row],[Poste 2]]</f>
        <v>0</v>
      </c>
      <c r="X2334" s="74">
        <f>Devis[[#This Row],[Prix de Revient]]*Devis[[#This Row],[Poste 3]]</f>
        <v>0</v>
      </c>
      <c r="Y2334" s="74">
        <f>Devis[[#This Row],[Poste 4]]*Devis[[#This Row],[Prix de Revient]]</f>
        <v>0</v>
      </c>
      <c r="Z2334" s="74">
        <f>Devis[[#This Row],[Poste 5]]*Devis[[#This Row],[Prix de Revient]]</f>
        <v>0</v>
      </c>
      <c r="AA2334" s="74">
        <f>Devis[[#This Row],[Prix de Revient]]*Devis[[#This Row],[Poste 6]]</f>
        <v>0</v>
      </c>
      <c r="AB2334" s="74">
        <f>Devis[[#This Row],[Quantité Totale]]*Devis[[#This Row],[Prix de Revient]]</f>
        <v>0</v>
      </c>
    </row>
    <row r="2335" spans="1:28" ht="14.25" customHeight="1" outlineLevel="1" x14ac:dyDescent="0.2">
      <c r="A2335" s="75" t="s">
        <v>3479</v>
      </c>
      <c r="B2335" s="76" t="s">
        <v>2165</v>
      </c>
      <c r="C2335" s="76"/>
      <c r="D2335" s="81" t="str">
        <f t="shared" si="40"/>
        <v>Inox visséCoudes Inox fileté 92 mf 316L</v>
      </c>
      <c r="E2335" s="80" t="s">
        <v>46</v>
      </c>
      <c r="F2335" s="81">
        <v>5</v>
      </c>
      <c r="G2335" s="108" t="s">
        <v>2175</v>
      </c>
      <c r="H2335" s="71"/>
      <c r="I2335" s="75"/>
      <c r="J2335" s="70">
        <f>IFERROR(VLOOKUP(Devis[[#This Row],[Ref Air Flux]],#REF!,3,FALSE),0)</f>
        <v>0</v>
      </c>
      <c r="K2335" s="68"/>
      <c r="L2335" s="68"/>
      <c r="M2335" s="68"/>
      <c r="N2335" s="68"/>
      <c r="O2335" s="68"/>
      <c r="P2335" s="68"/>
      <c r="Q2335" s="68">
        <f>SUM(Devis[[#This Row],[Poste 1]:[Poste 6]])</f>
        <v>0</v>
      </c>
      <c r="R2335" s="111"/>
      <c r="S2335" s="68">
        <f>_xlfn.CEILING.MATH(Devis[[#This Row],[Quantité Totale]],Devis[[#This Row],[Conditionnement]])</f>
        <v>0</v>
      </c>
      <c r="T2335" s="72"/>
      <c r="U2335" s="106"/>
      <c r="V2335" s="74">
        <f>Devis[[#This Row],[Prix de Revient]]*Devis[[#This Row],[Poste 1]]</f>
        <v>0</v>
      </c>
      <c r="W2335" s="74">
        <f>Devis[[#This Row],[Prix de Revient]]*Devis[[#This Row],[Poste 2]]</f>
        <v>0</v>
      </c>
      <c r="X2335" s="74">
        <f>Devis[[#This Row],[Prix de Revient]]*Devis[[#This Row],[Poste 3]]</f>
        <v>0</v>
      </c>
      <c r="Y2335" s="74">
        <f>Devis[[#This Row],[Poste 4]]*Devis[[#This Row],[Prix de Revient]]</f>
        <v>0</v>
      </c>
      <c r="Z2335" s="74">
        <f>Devis[[#This Row],[Poste 5]]*Devis[[#This Row],[Prix de Revient]]</f>
        <v>0</v>
      </c>
      <c r="AA2335" s="74">
        <f>Devis[[#This Row],[Prix de Revient]]*Devis[[#This Row],[Poste 6]]</f>
        <v>0</v>
      </c>
      <c r="AB2335" s="74">
        <f>Devis[[#This Row],[Quantité Totale]]*Devis[[#This Row],[Prix de Revient]]</f>
        <v>0</v>
      </c>
    </row>
    <row r="2336" spans="1:28" ht="14.25" outlineLevel="1" x14ac:dyDescent="0.2">
      <c r="A2336" s="75" t="s">
        <v>3479</v>
      </c>
      <c r="B2336" s="76" t="s">
        <v>2165</v>
      </c>
      <c r="C2336" s="76"/>
      <c r="D2336" s="81" t="str">
        <f t="shared" si="40"/>
        <v>Inox visséCoudes Inox fileté 92 mf 316L</v>
      </c>
      <c r="E2336" s="76" t="s">
        <v>0</v>
      </c>
      <c r="F2336" s="81">
        <v>6</v>
      </c>
      <c r="G2336" s="86" t="s">
        <v>2168</v>
      </c>
      <c r="H2336" s="71"/>
      <c r="I2336" s="75"/>
      <c r="J2336" s="70">
        <f>IFERROR(VLOOKUP(Devis[[#This Row],[Ref Air Flux]],#REF!,3,FALSE),0)</f>
        <v>0</v>
      </c>
      <c r="K2336" s="68"/>
      <c r="L2336" s="68"/>
      <c r="M2336" s="68"/>
      <c r="N2336" s="68"/>
      <c r="O2336" s="68"/>
      <c r="P2336" s="68"/>
      <c r="Q2336" s="68">
        <f>SUM(Devis[[#This Row],[Poste 1]:[Poste 6]])</f>
        <v>0</v>
      </c>
      <c r="R2336" s="111"/>
      <c r="S2336" s="68">
        <f>_xlfn.CEILING.MATH(Devis[[#This Row],[Quantité Totale]],Devis[[#This Row],[Conditionnement]])</f>
        <v>0</v>
      </c>
      <c r="T2336" s="72"/>
      <c r="U2336" s="106"/>
      <c r="V2336" s="74">
        <f>Devis[[#This Row],[Prix de Revient]]*Devis[[#This Row],[Poste 1]]</f>
        <v>0</v>
      </c>
      <c r="W2336" s="74">
        <f>Devis[[#This Row],[Prix de Revient]]*Devis[[#This Row],[Poste 2]]</f>
        <v>0</v>
      </c>
      <c r="X2336" s="74">
        <f>Devis[[#This Row],[Prix de Revient]]*Devis[[#This Row],[Poste 3]]</f>
        <v>0</v>
      </c>
      <c r="Y2336" s="74">
        <f>Devis[[#This Row],[Poste 4]]*Devis[[#This Row],[Prix de Revient]]</f>
        <v>0</v>
      </c>
      <c r="Z2336" s="74">
        <f>Devis[[#This Row],[Poste 5]]*Devis[[#This Row],[Prix de Revient]]</f>
        <v>0</v>
      </c>
      <c r="AA2336" s="74">
        <f>Devis[[#This Row],[Prix de Revient]]*Devis[[#This Row],[Poste 6]]</f>
        <v>0</v>
      </c>
      <c r="AB2336" s="74">
        <f>Devis[[#This Row],[Quantité Totale]]*Devis[[#This Row],[Prix de Revient]]</f>
        <v>0</v>
      </c>
    </row>
    <row r="2337" spans="1:28" ht="14.25" outlineLevel="1" x14ac:dyDescent="0.2">
      <c r="A2337" s="75" t="s">
        <v>3479</v>
      </c>
      <c r="B2337" s="76" t="s">
        <v>2165</v>
      </c>
      <c r="C2337" s="76"/>
      <c r="D2337" s="81" t="str">
        <f t="shared" si="40"/>
        <v>Inox visséCoudes Inox fileté 92 mf 316L</v>
      </c>
      <c r="E2337" s="76" t="s">
        <v>49</v>
      </c>
      <c r="F2337" s="81">
        <v>7</v>
      </c>
      <c r="G2337" s="108" t="s">
        <v>2167</v>
      </c>
      <c r="H2337" s="71"/>
      <c r="I2337" s="75"/>
      <c r="J2337" s="70">
        <f>IFERROR(VLOOKUP(Devis[[#This Row],[Ref Air Flux]],#REF!,3,FALSE),0)</f>
        <v>0</v>
      </c>
      <c r="K2337" s="68"/>
      <c r="L2337" s="68"/>
      <c r="M2337" s="68"/>
      <c r="N2337" s="68"/>
      <c r="O2337" s="68"/>
      <c r="P2337" s="68"/>
      <c r="Q2337" s="68">
        <f>SUM(Devis[[#This Row],[Poste 1]:[Poste 6]])</f>
        <v>0</v>
      </c>
      <c r="R2337" s="111"/>
      <c r="S2337" s="68">
        <f>_xlfn.CEILING.MATH(Devis[[#This Row],[Quantité Totale]],Devis[[#This Row],[Conditionnement]])</f>
        <v>0</v>
      </c>
      <c r="T2337" s="72"/>
      <c r="U2337" s="106"/>
      <c r="V2337" s="74">
        <f>Devis[[#This Row],[Prix de Revient]]*Devis[[#This Row],[Poste 1]]</f>
        <v>0</v>
      </c>
      <c r="W2337" s="74">
        <f>Devis[[#This Row],[Prix de Revient]]*Devis[[#This Row],[Poste 2]]</f>
        <v>0</v>
      </c>
      <c r="X2337" s="74">
        <f>Devis[[#This Row],[Prix de Revient]]*Devis[[#This Row],[Poste 3]]</f>
        <v>0</v>
      </c>
      <c r="Y2337" s="74">
        <f>Devis[[#This Row],[Poste 4]]*Devis[[#This Row],[Prix de Revient]]</f>
        <v>0</v>
      </c>
      <c r="Z2337" s="74">
        <f>Devis[[#This Row],[Poste 5]]*Devis[[#This Row],[Prix de Revient]]</f>
        <v>0</v>
      </c>
      <c r="AA2337" s="74">
        <f>Devis[[#This Row],[Prix de Revient]]*Devis[[#This Row],[Poste 6]]</f>
        <v>0</v>
      </c>
      <c r="AB2337" s="74">
        <f>Devis[[#This Row],[Quantité Totale]]*Devis[[#This Row],[Prix de Revient]]</f>
        <v>0</v>
      </c>
    </row>
    <row r="2338" spans="1:28" ht="15" customHeight="1" outlineLevel="1" x14ac:dyDescent="0.2">
      <c r="A2338" s="75" t="s">
        <v>3479</v>
      </c>
      <c r="B2338" s="76" t="s">
        <v>2165</v>
      </c>
      <c r="C2338" s="76"/>
      <c r="D2338" s="81" t="str">
        <f t="shared" si="40"/>
        <v>Inox visséCoudes Inox fileté 92 mf 316L</v>
      </c>
      <c r="E2338" s="76" t="s">
        <v>821</v>
      </c>
      <c r="F2338" s="81">
        <v>8</v>
      </c>
      <c r="G2338" s="108" t="s">
        <v>2166</v>
      </c>
      <c r="H2338" s="71"/>
      <c r="I2338" s="75"/>
      <c r="J2338" s="70">
        <f>IFERROR(VLOOKUP(Devis[[#This Row],[Ref Air Flux]],#REF!,3,FALSE),0)</f>
        <v>0</v>
      </c>
      <c r="K2338" s="68"/>
      <c r="L2338" s="68"/>
      <c r="M2338" s="68"/>
      <c r="N2338" s="68"/>
      <c r="O2338" s="68"/>
      <c r="P2338" s="68"/>
      <c r="Q2338" s="68">
        <f>SUM(Devis[[#This Row],[Poste 1]:[Poste 6]])</f>
        <v>0</v>
      </c>
      <c r="R2338" s="111"/>
      <c r="S2338" s="68">
        <f>_xlfn.CEILING.MATH(Devis[[#This Row],[Quantité Totale]],Devis[[#This Row],[Conditionnement]])</f>
        <v>0</v>
      </c>
      <c r="T2338" s="72"/>
      <c r="U2338" s="106"/>
      <c r="V2338" s="74">
        <f>Devis[[#This Row],[Prix de Revient]]*Devis[[#This Row],[Poste 1]]</f>
        <v>0</v>
      </c>
      <c r="W2338" s="74">
        <f>Devis[[#This Row],[Prix de Revient]]*Devis[[#This Row],[Poste 2]]</f>
        <v>0</v>
      </c>
      <c r="X2338" s="74">
        <f>Devis[[#This Row],[Prix de Revient]]*Devis[[#This Row],[Poste 3]]</f>
        <v>0</v>
      </c>
      <c r="Y2338" s="74">
        <f>Devis[[#This Row],[Poste 4]]*Devis[[#This Row],[Prix de Revient]]</f>
        <v>0</v>
      </c>
      <c r="Z2338" s="74">
        <f>Devis[[#This Row],[Poste 5]]*Devis[[#This Row],[Prix de Revient]]</f>
        <v>0</v>
      </c>
      <c r="AA2338" s="74">
        <f>Devis[[#This Row],[Prix de Revient]]*Devis[[#This Row],[Poste 6]]</f>
        <v>0</v>
      </c>
      <c r="AB2338" s="74">
        <f>Devis[[#This Row],[Quantité Totale]]*Devis[[#This Row],[Prix de Revient]]</f>
        <v>0</v>
      </c>
    </row>
    <row r="2339" spans="1:28" ht="14.25" outlineLevel="1" x14ac:dyDescent="0.2">
      <c r="A2339" s="75" t="s">
        <v>3479</v>
      </c>
      <c r="B2339" s="76" t="s">
        <v>2165</v>
      </c>
      <c r="C2339" s="76"/>
      <c r="D2339" s="81" t="str">
        <f t="shared" si="40"/>
        <v>Inox visséCoudes Inox fileté 92 mf 316L</v>
      </c>
      <c r="E2339" s="80" t="s">
        <v>18</v>
      </c>
      <c r="F2339" s="81">
        <v>9</v>
      </c>
      <c r="G2339" s="86" t="s">
        <v>2172</v>
      </c>
      <c r="H2339" s="71"/>
      <c r="I2339" s="75"/>
      <c r="J2339" s="70">
        <f>IFERROR(VLOOKUP(Devis[[#This Row],[Ref Air Flux]],#REF!,3,FALSE),0)</f>
        <v>0</v>
      </c>
      <c r="K2339" s="68"/>
      <c r="L2339" s="68"/>
      <c r="M2339" s="68"/>
      <c r="N2339" s="68"/>
      <c r="O2339" s="68"/>
      <c r="P2339" s="68"/>
      <c r="Q2339" s="68">
        <f>SUM(Devis[[#This Row],[Poste 1]:[Poste 6]])</f>
        <v>0</v>
      </c>
      <c r="R2339" s="111"/>
      <c r="S2339" s="68">
        <f>_xlfn.CEILING.MATH(Devis[[#This Row],[Quantité Totale]],Devis[[#This Row],[Conditionnement]])</f>
        <v>0</v>
      </c>
      <c r="T2339" s="72"/>
      <c r="U2339" s="106"/>
      <c r="V2339" s="74">
        <f>Devis[[#This Row],[Prix de Revient]]*Devis[[#This Row],[Poste 1]]</f>
        <v>0</v>
      </c>
      <c r="W2339" s="74">
        <f>Devis[[#This Row],[Prix de Revient]]*Devis[[#This Row],[Poste 2]]</f>
        <v>0</v>
      </c>
      <c r="X2339" s="74">
        <f>Devis[[#This Row],[Prix de Revient]]*Devis[[#This Row],[Poste 3]]</f>
        <v>0</v>
      </c>
      <c r="Y2339" s="74">
        <f>Devis[[#This Row],[Poste 4]]*Devis[[#This Row],[Prix de Revient]]</f>
        <v>0</v>
      </c>
      <c r="Z2339" s="74">
        <f>Devis[[#This Row],[Poste 5]]*Devis[[#This Row],[Prix de Revient]]</f>
        <v>0</v>
      </c>
      <c r="AA2339" s="74">
        <f>Devis[[#This Row],[Prix de Revient]]*Devis[[#This Row],[Poste 6]]</f>
        <v>0</v>
      </c>
      <c r="AB2339" s="74">
        <f>Devis[[#This Row],[Quantité Totale]]*Devis[[#This Row],[Prix de Revient]]</f>
        <v>0</v>
      </c>
    </row>
    <row r="2340" spans="1:28" ht="14.25" customHeight="1" outlineLevel="1" x14ac:dyDescent="0.2">
      <c r="A2340" s="75" t="s">
        <v>3479</v>
      </c>
      <c r="B2340" s="76" t="s">
        <v>2165</v>
      </c>
      <c r="C2340" s="76"/>
      <c r="D2340" s="81" t="str">
        <f t="shared" si="40"/>
        <v>Inox visséCoudes Inox fileté 92 mf 316L</v>
      </c>
      <c r="E2340" s="80" t="s">
        <v>16</v>
      </c>
      <c r="F2340" s="81">
        <v>10</v>
      </c>
      <c r="G2340" s="108" t="s">
        <v>2174</v>
      </c>
      <c r="H2340" s="71"/>
      <c r="I2340" s="75"/>
      <c r="J2340" s="70">
        <f>IFERROR(VLOOKUP(Devis[[#This Row],[Ref Air Flux]],#REF!,3,FALSE),0)</f>
        <v>0</v>
      </c>
      <c r="K2340" s="68"/>
      <c r="L2340" s="68"/>
      <c r="M2340" s="68"/>
      <c r="N2340" s="68"/>
      <c r="O2340" s="68"/>
      <c r="P2340" s="68"/>
      <c r="Q2340" s="68">
        <f>SUM(Devis[[#This Row],[Poste 1]:[Poste 6]])</f>
        <v>0</v>
      </c>
      <c r="R2340" s="111"/>
      <c r="S2340" s="68">
        <f>_xlfn.CEILING.MATH(Devis[[#This Row],[Quantité Totale]],Devis[[#This Row],[Conditionnement]])</f>
        <v>0</v>
      </c>
      <c r="T2340" s="72"/>
      <c r="U2340" s="106"/>
      <c r="V2340" s="74">
        <f>Devis[[#This Row],[Prix de Revient]]*Devis[[#This Row],[Poste 1]]</f>
        <v>0</v>
      </c>
      <c r="W2340" s="74">
        <f>Devis[[#This Row],[Prix de Revient]]*Devis[[#This Row],[Poste 2]]</f>
        <v>0</v>
      </c>
      <c r="X2340" s="74">
        <f>Devis[[#This Row],[Prix de Revient]]*Devis[[#This Row],[Poste 3]]</f>
        <v>0</v>
      </c>
      <c r="Y2340" s="74">
        <f>Devis[[#This Row],[Poste 4]]*Devis[[#This Row],[Prix de Revient]]</f>
        <v>0</v>
      </c>
      <c r="Z2340" s="74">
        <f>Devis[[#This Row],[Poste 5]]*Devis[[#This Row],[Prix de Revient]]</f>
        <v>0</v>
      </c>
      <c r="AA2340" s="74">
        <f>Devis[[#This Row],[Prix de Revient]]*Devis[[#This Row],[Poste 6]]</f>
        <v>0</v>
      </c>
      <c r="AB2340" s="74">
        <f>Devis[[#This Row],[Quantité Totale]]*Devis[[#This Row],[Prix de Revient]]</f>
        <v>0</v>
      </c>
    </row>
    <row r="2341" spans="1:28" ht="14.25" customHeight="1" x14ac:dyDescent="0.25">
      <c r="A2341" s="65" t="s">
        <v>3479</v>
      </c>
      <c r="B2341" s="109" t="s">
        <v>4116</v>
      </c>
      <c r="C2341" s="76"/>
      <c r="D2341" s="81" t="str">
        <f t="shared" si="40"/>
        <v>Inox visséMamelons  Inox fileté 316 L / 280I</v>
      </c>
      <c r="E2341" s="76"/>
      <c r="F2341" s="81">
        <v>0</v>
      </c>
      <c r="G2341" s="86"/>
      <c r="H2341" s="71"/>
      <c r="I2341" s="75"/>
      <c r="J2341" s="70">
        <f>IFERROR(VLOOKUP(Devis[[#This Row],[Ref Air Flux]],#REF!,3,FALSE),0)</f>
        <v>0</v>
      </c>
      <c r="K2341" s="68"/>
      <c r="L2341" s="68"/>
      <c r="M2341" s="68"/>
      <c r="N2341" s="68"/>
      <c r="O2341" s="68"/>
      <c r="P2341" s="68"/>
      <c r="Q2341" s="68">
        <f>SUM(Devis[[#This Row],[Poste 1]:[Poste 6]])</f>
        <v>0</v>
      </c>
      <c r="R2341" s="111"/>
      <c r="S2341" s="68">
        <f>_xlfn.CEILING.MATH(Devis[[#This Row],[Quantité Totale]],Devis[[#This Row],[Conditionnement]])</f>
        <v>0</v>
      </c>
      <c r="T2341" s="72"/>
      <c r="U2341" s="106"/>
      <c r="V2341" s="74">
        <f>Devis[[#This Row],[Prix de Revient]]*Devis[[#This Row],[Poste 1]]</f>
        <v>0</v>
      </c>
      <c r="W2341" s="74">
        <f>Devis[[#This Row],[Prix de Revient]]*Devis[[#This Row],[Poste 2]]</f>
        <v>0</v>
      </c>
      <c r="X2341" s="74">
        <f>Devis[[#This Row],[Prix de Revient]]*Devis[[#This Row],[Poste 3]]</f>
        <v>0</v>
      </c>
      <c r="Y2341" s="74">
        <f>Devis[[#This Row],[Poste 4]]*Devis[[#This Row],[Prix de Revient]]</f>
        <v>0</v>
      </c>
      <c r="Z2341" s="74">
        <f>Devis[[#This Row],[Poste 5]]*Devis[[#This Row],[Prix de Revient]]</f>
        <v>0</v>
      </c>
      <c r="AA2341" s="74">
        <f>Devis[[#This Row],[Prix de Revient]]*Devis[[#This Row],[Poste 6]]</f>
        <v>0</v>
      </c>
      <c r="AB2341" s="74">
        <f>Devis[[#This Row],[Quantité Totale]]*Devis[[#This Row],[Prix de Revient]]</f>
        <v>0</v>
      </c>
    </row>
    <row r="2342" spans="1:28" ht="14.25" outlineLevel="1" x14ac:dyDescent="0.2">
      <c r="A2342" s="75" t="s">
        <v>3479</v>
      </c>
      <c r="B2342" s="80" t="s">
        <v>4116</v>
      </c>
      <c r="C2342" s="76"/>
      <c r="D2342" s="81" t="str">
        <f t="shared" si="40"/>
        <v>Inox visséMamelons  Inox fileté 316 L / 280I</v>
      </c>
      <c r="E2342" s="76" t="s">
        <v>4117</v>
      </c>
      <c r="F2342" s="81">
        <v>1</v>
      </c>
      <c r="G2342" s="86" t="s">
        <v>2190</v>
      </c>
      <c r="H2342" s="71"/>
      <c r="I2342" s="75"/>
      <c r="J2342" s="70">
        <f>IFERROR(VLOOKUP(Devis[[#This Row],[Ref Air Flux]],#REF!,3,FALSE),0)</f>
        <v>0</v>
      </c>
      <c r="K2342" s="68"/>
      <c r="L2342" s="68"/>
      <c r="M2342" s="68"/>
      <c r="N2342" s="68"/>
      <c r="O2342" s="68"/>
      <c r="P2342" s="68"/>
      <c r="Q2342" s="68">
        <f>SUM(Devis[[#This Row],[Poste 1]:[Poste 6]])</f>
        <v>0</v>
      </c>
      <c r="R2342" s="111"/>
      <c r="S2342" s="68">
        <f>_xlfn.CEILING.MATH(Devis[[#This Row],[Quantité Totale]],Devis[[#This Row],[Conditionnement]])</f>
        <v>0</v>
      </c>
      <c r="T2342" s="72"/>
      <c r="U2342" s="106"/>
      <c r="V2342" s="74">
        <f>Devis[[#This Row],[Prix de Revient]]*Devis[[#This Row],[Poste 1]]</f>
        <v>0</v>
      </c>
      <c r="W2342" s="74">
        <f>Devis[[#This Row],[Prix de Revient]]*Devis[[#This Row],[Poste 2]]</f>
        <v>0</v>
      </c>
      <c r="X2342" s="74">
        <f>Devis[[#This Row],[Prix de Revient]]*Devis[[#This Row],[Poste 3]]</f>
        <v>0</v>
      </c>
      <c r="Y2342" s="74">
        <f>Devis[[#This Row],[Poste 4]]*Devis[[#This Row],[Prix de Revient]]</f>
        <v>0</v>
      </c>
      <c r="Z2342" s="74">
        <f>Devis[[#This Row],[Poste 5]]*Devis[[#This Row],[Prix de Revient]]</f>
        <v>0</v>
      </c>
      <c r="AA2342" s="74">
        <f>Devis[[#This Row],[Prix de Revient]]*Devis[[#This Row],[Poste 6]]</f>
        <v>0</v>
      </c>
      <c r="AB2342" s="74">
        <f>Devis[[#This Row],[Quantité Totale]]*Devis[[#This Row],[Prix de Revient]]</f>
        <v>0</v>
      </c>
    </row>
    <row r="2343" spans="1:28" ht="14.25" outlineLevel="1" x14ac:dyDescent="0.2">
      <c r="A2343" s="75" t="s">
        <v>3479</v>
      </c>
      <c r="B2343" s="80" t="s">
        <v>4116</v>
      </c>
      <c r="C2343" s="76"/>
      <c r="D2343" s="81" t="str">
        <f t="shared" si="40"/>
        <v>Inox visséMamelons  Inox fileté 316 L / 280I</v>
      </c>
      <c r="E2343" s="76" t="s">
        <v>4118</v>
      </c>
      <c r="F2343" s="81">
        <v>2</v>
      </c>
      <c r="G2343" s="86" t="s">
        <v>2188</v>
      </c>
      <c r="H2343" s="71"/>
      <c r="I2343" s="75"/>
      <c r="J2343" s="70">
        <f>IFERROR(VLOOKUP(Devis[[#This Row],[Ref Air Flux]],#REF!,3,FALSE),0)</f>
        <v>0</v>
      </c>
      <c r="K2343" s="68"/>
      <c r="L2343" s="68"/>
      <c r="M2343" s="68"/>
      <c r="N2343" s="68"/>
      <c r="O2343" s="68"/>
      <c r="P2343" s="68"/>
      <c r="Q2343" s="68">
        <f>SUM(Devis[[#This Row],[Poste 1]:[Poste 6]])</f>
        <v>0</v>
      </c>
      <c r="R2343" s="111"/>
      <c r="S2343" s="68">
        <f>_xlfn.CEILING.MATH(Devis[[#This Row],[Quantité Totale]],Devis[[#This Row],[Conditionnement]])</f>
        <v>0</v>
      </c>
      <c r="T2343" s="72"/>
      <c r="U2343" s="106"/>
      <c r="V2343" s="74">
        <f>Devis[[#This Row],[Prix de Revient]]*Devis[[#This Row],[Poste 1]]</f>
        <v>0</v>
      </c>
      <c r="W2343" s="74">
        <f>Devis[[#This Row],[Prix de Revient]]*Devis[[#This Row],[Poste 2]]</f>
        <v>0</v>
      </c>
      <c r="X2343" s="74">
        <f>Devis[[#This Row],[Prix de Revient]]*Devis[[#This Row],[Poste 3]]</f>
        <v>0</v>
      </c>
      <c r="Y2343" s="74">
        <f>Devis[[#This Row],[Poste 4]]*Devis[[#This Row],[Prix de Revient]]</f>
        <v>0</v>
      </c>
      <c r="Z2343" s="74">
        <f>Devis[[#This Row],[Poste 5]]*Devis[[#This Row],[Prix de Revient]]</f>
        <v>0</v>
      </c>
      <c r="AA2343" s="74">
        <f>Devis[[#This Row],[Prix de Revient]]*Devis[[#This Row],[Poste 6]]</f>
        <v>0</v>
      </c>
      <c r="AB2343" s="74">
        <f>Devis[[#This Row],[Quantité Totale]]*Devis[[#This Row],[Prix de Revient]]</f>
        <v>0</v>
      </c>
    </row>
    <row r="2344" spans="1:28" ht="14.25" customHeight="1" outlineLevel="1" x14ac:dyDescent="0.2">
      <c r="A2344" s="75" t="s">
        <v>3479</v>
      </c>
      <c r="B2344" s="80" t="s">
        <v>4116</v>
      </c>
      <c r="C2344" s="76"/>
      <c r="D2344" s="81" t="str">
        <f t="shared" si="40"/>
        <v>Inox visséMamelons  Inox fileté 316 L / 280I</v>
      </c>
      <c r="E2344" s="76" t="s">
        <v>4119</v>
      </c>
      <c r="F2344" s="81">
        <v>3</v>
      </c>
      <c r="G2344" s="86" t="s">
        <v>2189</v>
      </c>
      <c r="H2344" s="71"/>
      <c r="I2344" s="75"/>
      <c r="J2344" s="70">
        <f>IFERROR(VLOOKUP(Devis[[#This Row],[Ref Air Flux]],#REF!,3,FALSE),0)</f>
        <v>0</v>
      </c>
      <c r="K2344" s="68"/>
      <c r="L2344" s="68"/>
      <c r="M2344" s="68"/>
      <c r="N2344" s="68"/>
      <c r="O2344" s="68"/>
      <c r="P2344" s="68"/>
      <c r="Q2344" s="68">
        <f>SUM(Devis[[#This Row],[Poste 1]:[Poste 6]])</f>
        <v>0</v>
      </c>
      <c r="R2344" s="111"/>
      <c r="S2344" s="68">
        <f>_xlfn.CEILING.MATH(Devis[[#This Row],[Quantité Totale]],Devis[[#This Row],[Conditionnement]])</f>
        <v>0</v>
      </c>
      <c r="T2344" s="72"/>
      <c r="U2344" s="106"/>
      <c r="V2344" s="74">
        <f>Devis[[#This Row],[Prix de Revient]]*Devis[[#This Row],[Poste 1]]</f>
        <v>0</v>
      </c>
      <c r="W2344" s="74">
        <f>Devis[[#This Row],[Prix de Revient]]*Devis[[#This Row],[Poste 2]]</f>
        <v>0</v>
      </c>
      <c r="X2344" s="74">
        <f>Devis[[#This Row],[Prix de Revient]]*Devis[[#This Row],[Poste 3]]</f>
        <v>0</v>
      </c>
      <c r="Y2344" s="74">
        <f>Devis[[#This Row],[Poste 4]]*Devis[[#This Row],[Prix de Revient]]</f>
        <v>0</v>
      </c>
      <c r="Z2344" s="74">
        <f>Devis[[#This Row],[Poste 5]]*Devis[[#This Row],[Prix de Revient]]</f>
        <v>0</v>
      </c>
      <c r="AA2344" s="74">
        <f>Devis[[#This Row],[Prix de Revient]]*Devis[[#This Row],[Poste 6]]</f>
        <v>0</v>
      </c>
      <c r="AB2344" s="74">
        <f>Devis[[#This Row],[Quantité Totale]]*Devis[[#This Row],[Prix de Revient]]</f>
        <v>0</v>
      </c>
    </row>
    <row r="2345" spans="1:28" ht="14.25" outlineLevel="1" x14ac:dyDescent="0.2">
      <c r="A2345" s="75" t="s">
        <v>3479</v>
      </c>
      <c r="B2345" s="80" t="s">
        <v>4116</v>
      </c>
      <c r="C2345" s="80"/>
      <c r="D2345" s="81" t="str">
        <f t="shared" si="40"/>
        <v>Inox visséMamelons  Inox fileté 316 L / 280I</v>
      </c>
      <c r="E2345" s="76" t="s">
        <v>4120</v>
      </c>
      <c r="F2345" s="81">
        <v>4</v>
      </c>
      <c r="G2345" s="86" t="s">
        <v>2192</v>
      </c>
      <c r="H2345" s="71"/>
      <c r="I2345" s="75"/>
      <c r="J2345" s="70">
        <f>IFERROR(VLOOKUP(Devis[[#This Row],[Ref Air Flux]],#REF!,3,FALSE),0)</f>
        <v>0</v>
      </c>
      <c r="K2345" s="68"/>
      <c r="L2345" s="68"/>
      <c r="M2345" s="68"/>
      <c r="N2345" s="68"/>
      <c r="O2345" s="68"/>
      <c r="P2345" s="68"/>
      <c r="Q2345" s="68">
        <f>SUM(Devis[[#This Row],[Poste 1]:[Poste 6]])</f>
        <v>0</v>
      </c>
      <c r="R2345" s="111"/>
      <c r="S2345" s="68">
        <f>_xlfn.CEILING.MATH(Devis[[#This Row],[Quantité Totale]],Devis[[#This Row],[Conditionnement]])</f>
        <v>0</v>
      </c>
      <c r="T2345" s="72"/>
      <c r="U2345" s="106"/>
      <c r="V2345" s="74">
        <f>Devis[[#This Row],[Prix de Revient]]*Devis[[#This Row],[Poste 1]]</f>
        <v>0</v>
      </c>
      <c r="W2345" s="74">
        <f>Devis[[#This Row],[Prix de Revient]]*Devis[[#This Row],[Poste 2]]</f>
        <v>0</v>
      </c>
      <c r="X2345" s="74">
        <f>Devis[[#This Row],[Prix de Revient]]*Devis[[#This Row],[Poste 3]]</f>
        <v>0</v>
      </c>
      <c r="Y2345" s="74">
        <f>Devis[[#This Row],[Poste 4]]*Devis[[#This Row],[Prix de Revient]]</f>
        <v>0</v>
      </c>
      <c r="Z2345" s="74">
        <f>Devis[[#This Row],[Poste 5]]*Devis[[#This Row],[Prix de Revient]]</f>
        <v>0</v>
      </c>
      <c r="AA2345" s="74">
        <f>Devis[[#This Row],[Prix de Revient]]*Devis[[#This Row],[Poste 6]]</f>
        <v>0</v>
      </c>
      <c r="AB2345" s="74">
        <f>Devis[[#This Row],[Quantité Totale]]*Devis[[#This Row],[Prix de Revient]]</f>
        <v>0</v>
      </c>
    </row>
    <row r="2346" spans="1:28" ht="14.25" outlineLevel="1" x14ac:dyDescent="0.2">
      <c r="A2346" s="75" t="s">
        <v>3479</v>
      </c>
      <c r="B2346" s="80" t="s">
        <v>4116</v>
      </c>
      <c r="C2346" s="80"/>
      <c r="D2346" s="81" t="str">
        <f t="shared" si="40"/>
        <v>Inox visséMamelons  Inox fileté 316 L / 280I</v>
      </c>
      <c r="E2346" s="76" t="s">
        <v>4121</v>
      </c>
      <c r="F2346" s="81">
        <v>5</v>
      </c>
      <c r="G2346" s="108" t="s">
        <v>2194</v>
      </c>
      <c r="H2346" s="71"/>
      <c r="I2346" s="75"/>
      <c r="J2346" s="70">
        <f>IFERROR(VLOOKUP(Devis[[#This Row],[Ref Air Flux]],#REF!,3,FALSE),0)</f>
        <v>0</v>
      </c>
      <c r="K2346" s="68"/>
      <c r="L2346" s="68"/>
      <c r="M2346" s="68"/>
      <c r="N2346" s="68"/>
      <c r="O2346" s="68"/>
      <c r="P2346" s="68"/>
      <c r="Q2346" s="68">
        <f>SUM(Devis[[#This Row],[Poste 1]:[Poste 6]])</f>
        <v>0</v>
      </c>
      <c r="R2346" s="111"/>
      <c r="S2346" s="68">
        <f>_xlfn.CEILING.MATH(Devis[[#This Row],[Quantité Totale]],Devis[[#This Row],[Conditionnement]])</f>
        <v>0</v>
      </c>
      <c r="T2346" s="72"/>
      <c r="U2346" s="106"/>
      <c r="V2346" s="74">
        <f>Devis[[#This Row],[Prix de Revient]]*Devis[[#This Row],[Poste 1]]</f>
        <v>0</v>
      </c>
      <c r="W2346" s="74">
        <f>Devis[[#This Row],[Prix de Revient]]*Devis[[#This Row],[Poste 2]]</f>
        <v>0</v>
      </c>
      <c r="X2346" s="74">
        <f>Devis[[#This Row],[Prix de Revient]]*Devis[[#This Row],[Poste 3]]</f>
        <v>0</v>
      </c>
      <c r="Y2346" s="74">
        <f>Devis[[#This Row],[Poste 4]]*Devis[[#This Row],[Prix de Revient]]</f>
        <v>0</v>
      </c>
      <c r="Z2346" s="74">
        <f>Devis[[#This Row],[Poste 5]]*Devis[[#This Row],[Prix de Revient]]</f>
        <v>0</v>
      </c>
      <c r="AA2346" s="74">
        <f>Devis[[#This Row],[Prix de Revient]]*Devis[[#This Row],[Poste 6]]</f>
        <v>0</v>
      </c>
      <c r="AB2346" s="74">
        <f>Devis[[#This Row],[Quantité Totale]]*Devis[[#This Row],[Prix de Revient]]</f>
        <v>0</v>
      </c>
    </row>
    <row r="2347" spans="1:28" ht="14.25" outlineLevel="1" x14ac:dyDescent="0.2">
      <c r="A2347" s="75" t="s">
        <v>3479</v>
      </c>
      <c r="B2347" s="80" t="s">
        <v>4116</v>
      </c>
      <c r="C2347" s="80"/>
      <c r="D2347" s="81" t="str">
        <f t="shared" si="40"/>
        <v>Inox visséMamelons  Inox fileté 316 L / 280I</v>
      </c>
      <c r="E2347" s="76" t="s">
        <v>4122</v>
      </c>
      <c r="F2347" s="81">
        <v>6</v>
      </c>
      <c r="G2347" s="108" t="s">
        <v>2195</v>
      </c>
      <c r="H2347" s="71"/>
      <c r="I2347" s="75"/>
      <c r="J2347" s="70">
        <f>IFERROR(VLOOKUP(Devis[[#This Row],[Ref Air Flux]],#REF!,3,FALSE),0)</f>
        <v>0</v>
      </c>
      <c r="K2347" s="68"/>
      <c r="L2347" s="68"/>
      <c r="M2347" s="68"/>
      <c r="N2347" s="68"/>
      <c r="O2347" s="68"/>
      <c r="P2347" s="68"/>
      <c r="Q2347" s="68">
        <f>SUM(Devis[[#This Row],[Poste 1]:[Poste 6]])</f>
        <v>0</v>
      </c>
      <c r="R2347" s="111"/>
      <c r="S2347" s="68">
        <f>_xlfn.CEILING.MATH(Devis[[#This Row],[Quantité Totale]],Devis[[#This Row],[Conditionnement]])</f>
        <v>0</v>
      </c>
      <c r="T2347" s="72"/>
      <c r="U2347" s="106"/>
      <c r="V2347" s="74">
        <f>Devis[[#This Row],[Prix de Revient]]*Devis[[#This Row],[Poste 1]]</f>
        <v>0</v>
      </c>
      <c r="W2347" s="74">
        <f>Devis[[#This Row],[Prix de Revient]]*Devis[[#This Row],[Poste 2]]</f>
        <v>0</v>
      </c>
      <c r="X2347" s="74">
        <f>Devis[[#This Row],[Prix de Revient]]*Devis[[#This Row],[Poste 3]]</f>
        <v>0</v>
      </c>
      <c r="Y2347" s="74">
        <f>Devis[[#This Row],[Poste 4]]*Devis[[#This Row],[Prix de Revient]]</f>
        <v>0</v>
      </c>
      <c r="Z2347" s="74">
        <f>Devis[[#This Row],[Poste 5]]*Devis[[#This Row],[Prix de Revient]]</f>
        <v>0</v>
      </c>
      <c r="AA2347" s="74">
        <f>Devis[[#This Row],[Prix de Revient]]*Devis[[#This Row],[Poste 6]]</f>
        <v>0</v>
      </c>
      <c r="AB2347" s="74">
        <f>Devis[[#This Row],[Quantité Totale]]*Devis[[#This Row],[Prix de Revient]]</f>
        <v>0</v>
      </c>
    </row>
    <row r="2348" spans="1:28" ht="15" customHeight="1" outlineLevel="1" x14ac:dyDescent="0.2">
      <c r="A2348" s="75" t="s">
        <v>3479</v>
      </c>
      <c r="B2348" s="80" t="s">
        <v>4116</v>
      </c>
      <c r="C2348" s="76"/>
      <c r="D2348" s="81" t="str">
        <f t="shared" si="40"/>
        <v>Inox visséMamelons  Inox fileté 316 L / 280I</v>
      </c>
      <c r="E2348" s="76" t="s">
        <v>4123</v>
      </c>
      <c r="F2348" s="81">
        <v>7</v>
      </c>
      <c r="G2348" s="86" t="s">
        <v>2187</v>
      </c>
      <c r="H2348" s="71"/>
      <c r="I2348" s="75"/>
      <c r="J2348" s="70">
        <f>IFERROR(VLOOKUP(Devis[[#This Row],[Ref Air Flux]],#REF!,3,FALSE),0)</f>
        <v>0</v>
      </c>
      <c r="K2348" s="68"/>
      <c r="L2348" s="68"/>
      <c r="M2348" s="68"/>
      <c r="N2348" s="68"/>
      <c r="O2348" s="68"/>
      <c r="P2348" s="68"/>
      <c r="Q2348" s="68">
        <f>SUM(Devis[[#This Row],[Poste 1]:[Poste 6]])</f>
        <v>0</v>
      </c>
      <c r="R2348" s="111"/>
      <c r="S2348" s="68">
        <f>_xlfn.CEILING.MATH(Devis[[#This Row],[Quantité Totale]],Devis[[#This Row],[Conditionnement]])</f>
        <v>0</v>
      </c>
      <c r="T2348" s="72"/>
      <c r="U2348" s="106"/>
      <c r="V2348" s="74">
        <f>Devis[[#This Row],[Prix de Revient]]*Devis[[#This Row],[Poste 1]]</f>
        <v>0</v>
      </c>
      <c r="W2348" s="74">
        <f>Devis[[#This Row],[Prix de Revient]]*Devis[[#This Row],[Poste 2]]</f>
        <v>0</v>
      </c>
      <c r="X2348" s="74">
        <f>Devis[[#This Row],[Prix de Revient]]*Devis[[#This Row],[Poste 3]]</f>
        <v>0</v>
      </c>
      <c r="Y2348" s="74">
        <f>Devis[[#This Row],[Poste 4]]*Devis[[#This Row],[Prix de Revient]]</f>
        <v>0</v>
      </c>
      <c r="Z2348" s="74">
        <f>Devis[[#This Row],[Poste 5]]*Devis[[#This Row],[Prix de Revient]]</f>
        <v>0</v>
      </c>
      <c r="AA2348" s="74">
        <f>Devis[[#This Row],[Prix de Revient]]*Devis[[#This Row],[Poste 6]]</f>
        <v>0</v>
      </c>
      <c r="AB2348" s="74">
        <f>Devis[[#This Row],[Quantité Totale]]*Devis[[#This Row],[Prix de Revient]]</f>
        <v>0</v>
      </c>
    </row>
    <row r="2349" spans="1:28" ht="14.25" outlineLevel="1" x14ac:dyDescent="0.2">
      <c r="A2349" s="75" t="s">
        <v>3479</v>
      </c>
      <c r="B2349" s="80" t="s">
        <v>4116</v>
      </c>
      <c r="C2349" s="76"/>
      <c r="D2349" s="81" t="str">
        <f t="shared" si="40"/>
        <v>Inox visséMamelons  Inox fileté 316 L / 280I</v>
      </c>
      <c r="E2349" s="76" t="s">
        <v>4124</v>
      </c>
      <c r="F2349" s="81">
        <v>8</v>
      </c>
      <c r="G2349" s="108" t="s">
        <v>2186</v>
      </c>
      <c r="H2349" s="71"/>
      <c r="I2349" s="75"/>
      <c r="J2349" s="70">
        <f>IFERROR(VLOOKUP(Devis[[#This Row],[Ref Air Flux]],#REF!,3,FALSE),0)</f>
        <v>0</v>
      </c>
      <c r="K2349" s="68"/>
      <c r="L2349" s="68"/>
      <c r="M2349" s="68"/>
      <c r="N2349" s="68"/>
      <c r="O2349" s="68"/>
      <c r="P2349" s="68"/>
      <c r="Q2349" s="68">
        <f>SUM(Devis[[#This Row],[Poste 1]:[Poste 6]])</f>
        <v>0</v>
      </c>
      <c r="R2349" s="111"/>
      <c r="S2349" s="68">
        <f>_xlfn.CEILING.MATH(Devis[[#This Row],[Quantité Totale]],Devis[[#This Row],[Conditionnement]])</f>
        <v>0</v>
      </c>
      <c r="T2349" s="72"/>
      <c r="U2349" s="106"/>
      <c r="V2349" s="74">
        <f>Devis[[#This Row],[Prix de Revient]]*Devis[[#This Row],[Poste 1]]</f>
        <v>0</v>
      </c>
      <c r="W2349" s="74">
        <f>Devis[[#This Row],[Prix de Revient]]*Devis[[#This Row],[Poste 2]]</f>
        <v>0</v>
      </c>
      <c r="X2349" s="74">
        <f>Devis[[#This Row],[Prix de Revient]]*Devis[[#This Row],[Poste 3]]</f>
        <v>0</v>
      </c>
      <c r="Y2349" s="74">
        <f>Devis[[#This Row],[Poste 4]]*Devis[[#This Row],[Prix de Revient]]</f>
        <v>0</v>
      </c>
      <c r="Z2349" s="74">
        <f>Devis[[#This Row],[Poste 5]]*Devis[[#This Row],[Prix de Revient]]</f>
        <v>0</v>
      </c>
      <c r="AA2349" s="74">
        <f>Devis[[#This Row],[Prix de Revient]]*Devis[[#This Row],[Poste 6]]</f>
        <v>0</v>
      </c>
      <c r="AB2349" s="74">
        <f>Devis[[#This Row],[Quantité Totale]]*Devis[[#This Row],[Prix de Revient]]</f>
        <v>0</v>
      </c>
    </row>
    <row r="2350" spans="1:28" ht="14.25" outlineLevel="1" x14ac:dyDescent="0.2">
      <c r="A2350" s="75" t="s">
        <v>3479</v>
      </c>
      <c r="B2350" s="80" t="s">
        <v>4116</v>
      </c>
      <c r="C2350" s="76"/>
      <c r="D2350" s="81" t="str">
        <f t="shared" si="40"/>
        <v>Inox visséMamelons  Inox fileté 316 L / 280I</v>
      </c>
      <c r="E2350" s="76" t="s">
        <v>4125</v>
      </c>
      <c r="F2350" s="81">
        <v>9</v>
      </c>
      <c r="G2350" s="108" t="s">
        <v>2185</v>
      </c>
      <c r="H2350" s="71"/>
      <c r="I2350" s="75"/>
      <c r="J2350" s="70">
        <f>IFERROR(VLOOKUP(Devis[[#This Row],[Ref Air Flux]],#REF!,3,FALSE),0)</f>
        <v>0</v>
      </c>
      <c r="K2350" s="68"/>
      <c r="L2350" s="68"/>
      <c r="M2350" s="68"/>
      <c r="N2350" s="68"/>
      <c r="O2350" s="68"/>
      <c r="P2350" s="68"/>
      <c r="Q2350" s="68">
        <f>SUM(Devis[[#This Row],[Poste 1]:[Poste 6]])</f>
        <v>0</v>
      </c>
      <c r="R2350" s="111"/>
      <c r="S2350" s="68">
        <f>_xlfn.CEILING.MATH(Devis[[#This Row],[Quantité Totale]],Devis[[#This Row],[Conditionnement]])</f>
        <v>0</v>
      </c>
      <c r="T2350" s="72"/>
      <c r="U2350" s="106"/>
      <c r="V2350" s="74">
        <f>Devis[[#This Row],[Prix de Revient]]*Devis[[#This Row],[Poste 1]]</f>
        <v>0</v>
      </c>
      <c r="W2350" s="74">
        <f>Devis[[#This Row],[Prix de Revient]]*Devis[[#This Row],[Poste 2]]</f>
        <v>0</v>
      </c>
      <c r="X2350" s="74">
        <f>Devis[[#This Row],[Prix de Revient]]*Devis[[#This Row],[Poste 3]]</f>
        <v>0</v>
      </c>
      <c r="Y2350" s="74">
        <f>Devis[[#This Row],[Poste 4]]*Devis[[#This Row],[Prix de Revient]]</f>
        <v>0</v>
      </c>
      <c r="Z2350" s="74">
        <f>Devis[[#This Row],[Poste 5]]*Devis[[#This Row],[Prix de Revient]]</f>
        <v>0</v>
      </c>
      <c r="AA2350" s="74">
        <f>Devis[[#This Row],[Prix de Revient]]*Devis[[#This Row],[Poste 6]]</f>
        <v>0</v>
      </c>
      <c r="AB2350" s="74">
        <f>Devis[[#This Row],[Quantité Totale]]*Devis[[#This Row],[Prix de Revient]]</f>
        <v>0</v>
      </c>
    </row>
    <row r="2351" spans="1:28" ht="14.25" outlineLevel="1" x14ac:dyDescent="0.2">
      <c r="A2351" s="75" t="s">
        <v>3479</v>
      </c>
      <c r="B2351" s="80" t="s">
        <v>4116</v>
      </c>
      <c r="C2351" s="80"/>
      <c r="D2351" s="81" t="str">
        <f t="shared" si="40"/>
        <v>Inox visséMamelons  Inox fileté 316 L / 280I</v>
      </c>
      <c r="E2351" s="76" t="s">
        <v>4126</v>
      </c>
      <c r="F2351" s="81">
        <v>10</v>
      </c>
      <c r="G2351" s="86" t="s">
        <v>2191</v>
      </c>
      <c r="H2351" s="71"/>
      <c r="I2351" s="75"/>
      <c r="J2351" s="70">
        <f>IFERROR(VLOOKUP(Devis[[#This Row],[Ref Air Flux]],#REF!,3,FALSE),0)</f>
        <v>0</v>
      </c>
      <c r="K2351" s="68"/>
      <c r="L2351" s="68"/>
      <c r="M2351" s="68"/>
      <c r="N2351" s="68"/>
      <c r="O2351" s="68"/>
      <c r="P2351" s="68"/>
      <c r="Q2351" s="68">
        <f>SUM(Devis[[#This Row],[Poste 1]:[Poste 6]])</f>
        <v>0</v>
      </c>
      <c r="R2351" s="111"/>
      <c r="S2351" s="68">
        <f>_xlfn.CEILING.MATH(Devis[[#This Row],[Quantité Totale]],Devis[[#This Row],[Conditionnement]])</f>
        <v>0</v>
      </c>
      <c r="T2351" s="72"/>
      <c r="U2351" s="106"/>
      <c r="V2351" s="74">
        <f>Devis[[#This Row],[Prix de Revient]]*Devis[[#This Row],[Poste 1]]</f>
        <v>0</v>
      </c>
      <c r="W2351" s="74">
        <f>Devis[[#This Row],[Prix de Revient]]*Devis[[#This Row],[Poste 2]]</f>
        <v>0</v>
      </c>
      <c r="X2351" s="74">
        <f>Devis[[#This Row],[Prix de Revient]]*Devis[[#This Row],[Poste 3]]</f>
        <v>0</v>
      </c>
      <c r="Y2351" s="74">
        <f>Devis[[#This Row],[Poste 4]]*Devis[[#This Row],[Prix de Revient]]</f>
        <v>0</v>
      </c>
      <c r="Z2351" s="74">
        <f>Devis[[#This Row],[Poste 5]]*Devis[[#This Row],[Prix de Revient]]</f>
        <v>0</v>
      </c>
      <c r="AA2351" s="74">
        <f>Devis[[#This Row],[Prix de Revient]]*Devis[[#This Row],[Poste 6]]</f>
        <v>0</v>
      </c>
      <c r="AB2351" s="74">
        <f>Devis[[#This Row],[Quantité Totale]]*Devis[[#This Row],[Prix de Revient]]</f>
        <v>0</v>
      </c>
    </row>
    <row r="2352" spans="1:28" ht="14.25" outlineLevel="1" x14ac:dyDescent="0.2">
      <c r="A2352" s="75" t="s">
        <v>3479</v>
      </c>
      <c r="B2352" s="80" t="s">
        <v>4116</v>
      </c>
      <c r="C2352" s="80"/>
      <c r="D2352" s="81" t="str">
        <f t="shared" si="40"/>
        <v>Inox visséMamelons  Inox fileté 316 L / 280I</v>
      </c>
      <c r="E2352" s="76" t="s">
        <v>4127</v>
      </c>
      <c r="F2352" s="81">
        <v>11</v>
      </c>
      <c r="G2352" s="86" t="s">
        <v>2193</v>
      </c>
      <c r="H2352" s="71"/>
      <c r="I2352" s="75"/>
      <c r="J2352" s="70">
        <f>IFERROR(VLOOKUP(Devis[[#This Row],[Ref Air Flux]],#REF!,3,FALSE),0)</f>
        <v>0</v>
      </c>
      <c r="K2352" s="68"/>
      <c r="L2352" s="68"/>
      <c r="M2352" s="68"/>
      <c r="N2352" s="68"/>
      <c r="O2352" s="68"/>
      <c r="P2352" s="68"/>
      <c r="Q2352" s="68">
        <f>SUM(Devis[[#This Row],[Poste 1]:[Poste 6]])</f>
        <v>0</v>
      </c>
      <c r="R2352" s="111"/>
      <c r="S2352" s="68">
        <f>_xlfn.CEILING.MATH(Devis[[#This Row],[Quantité Totale]],Devis[[#This Row],[Conditionnement]])</f>
        <v>0</v>
      </c>
      <c r="T2352" s="72"/>
      <c r="U2352" s="106"/>
      <c r="V2352" s="74">
        <f>Devis[[#This Row],[Prix de Revient]]*Devis[[#This Row],[Poste 1]]</f>
        <v>0</v>
      </c>
      <c r="W2352" s="74">
        <f>Devis[[#This Row],[Prix de Revient]]*Devis[[#This Row],[Poste 2]]</f>
        <v>0</v>
      </c>
      <c r="X2352" s="74">
        <f>Devis[[#This Row],[Prix de Revient]]*Devis[[#This Row],[Poste 3]]</f>
        <v>0</v>
      </c>
      <c r="Y2352" s="74">
        <f>Devis[[#This Row],[Poste 4]]*Devis[[#This Row],[Prix de Revient]]</f>
        <v>0</v>
      </c>
      <c r="Z2352" s="74">
        <f>Devis[[#This Row],[Poste 5]]*Devis[[#This Row],[Prix de Revient]]</f>
        <v>0</v>
      </c>
      <c r="AA2352" s="74">
        <f>Devis[[#This Row],[Prix de Revient]]*Devis[[#This Row],[Poste 6]]</f>
        <v>0</v>
      </c>
      <c r="AB2352" s="74">
        <f>Devis[[#This Row],[Quantité Totale]]*Devis[[#This Row],[Prix de Revient]]</f>
        <v>0</v>
      </c>
    </row>
    <row r="2353" spans="1:28" ht="14.25" outlineLevel="1" x14ac:dyDescent="0.2">
      <c r="A2353" s="75" t="s">
        <v>3479</v>
      </c>
      <c r="B2353" s="80" t="s">
        <v>4116</v>
      </c>
      <c r="C2353" s="76"/>
      <c r="D2353" s="81" t="str">
        <f t="shared" si="40"/>
        <v>Inox visséMamelons  Inox fileté 316 L / 280I</v>
      </c>
      <c r="E2353" s="76" t="s">
        <v>4128</v>
      </c>
      <c r="F2353" s="81">
        <v>12</v>
      </c>
      <c r="G2353" s="108" t="s">
        <v>2184</v>
      </c>
      <c r="H2353" s="71"/>
      <c r="I2353" s="75"/>
      <c r="J2353" s="70">
        <f>IFERROR(VLOOKUP(Devis[[#This Row],[Ref Air Flux]],#REF!,3,FALSE),0)</f>
        <v>0</v>
      </c>
      <c r="K2353" s="68"/>
      <c r="L2353" s="68"/>
      <c r="M2353" s="68"/>
      <c r="N2353" s="68"/>
      <c r="O2353" s="68"/>
      <c r="P2353" s="68"/>
      <c r="Q2353" s="68">
        <f>SUM(Devis[[#This Row],[Poste 1]:[Poste 6]])</f>
        <v>0</v>
      </c>
      <c r="R2353" s="111"/>
      <c r="S2353" s="68">
        <f>_xlfn.CEILING.MATH(Devis[[#This Row],[Quantité Totale]],Devis[[#This Row],[Conditionnement]])</f>
        <v>0</v>
      </c>
      <c r="T2353" s="72"/>
      <c r="U2353" s="106"/>
      <c r="V2353" s="74">
        <f>Devis[[#This Row],[Prix de Revient]]*Devis[[#This Row],[Poste 1]]</f>
        <v>0</v>
      </c>
      <c r="W2353" s="74">
        <f>Devis[[#This Row],[Prix de Revient]]*Devis[[#This Row],[Poste 2]]</f>
        <v>0</v>
      </c>
      <c r="X2353" s="74">
        <f>Devis[[#This Row],[Prix de Revient]]*Devis[[#This Row],[Poste 3]]</f>
        <v>0</v>
      </c>
      <c r="Y2353" s="74">
        <f>Devis[[#This Row],[Poste 4]]*Devis[[#This Row],[Prix de Revient]]</f>
        <v>0</v>
      </c>
      <c r="Z2353" s="74">
        <f>Devis[[#This Row],[Poste 5]]*Devis[[#This Row],[Prix de Revient]]</f>
        <v>0</v>
      </c>
      <c r="AA2353" s="74">
        <f>Devis[[#This Row],[Prix de Revient]]*Devis[[#This Row],[Poste 6]]</f>
        <v>0</v>
      </c>
      <c r="AB2353" s="74">
        <f>Devis[[#This Row],[Quantité Totale]]*Devis[[#This Row],[Prix de Revient]]</f>
        <v>0</v>
      </c>
    </row>
    <row r="2354" spans="1:28" ht="14.25" customHeight="1" x14ac:dyDescent="0.25">
      <c r="A2354" s="65" t="s">
        <v>3479</v>
      </c>
      <c r="B2354" s="109" t="s">
        <v>2197</v>
      </c>
      <c r="C2354" s="76"/>
      <c r="D2354" s="81" t="str">
        <f t="shared" si="40"/>
        <v>Inox visséMamelons réduits inox 316L MM 245</v>
      </c>
      <c r="E2354" s="76"/>
      <c r="F2354" s="81">
        <v>0</v>
      </c>
      <c r="G2354" s="86"/>
      <c r="H2354" s="71"/>
      <c r="I2354" s="75"/>
      <c r="J2354" s="70">
        <f>IFERROR(VLOOKUP(Devis[[#This Row],[Ref Air Flux]],#REF!,3,FALSE),0)</f>
        <v>0</v>
      </c>
      <c r="K2354" s="68"/>
      <c r="L2354" s="68"/>
      <c r="M2354" s="68"/>
      <c r="N2354" s="68"/>
      <c r="O2354" s="68"/>
      <c r="P2354" s="68"/>
      <c r="Q2354" s="68">
        <f>SUM(Devis[[#This Row],[Poste 1]:[Poste 6]])</f>
        <v>0</v>
      </c>
      <c r="R2354" s="111"/>
      <c r="S2354" s="68">
        <f>_xlfn.CEILING.MATH(Devis[[#This Row],[Quantité Totale]],Devis[[#This Row],[Conditionnement]])</f>
        <v>0</v>
      </c>
      <c r="T2354" s="72"/>
      <c r="U2354" s="106"/>
      <c r="V2354" s="74">
        <f>Devis[[#This Row],[Prix de Revient]]*Devis[[#This Row],[Poste 1]]</f>
        <v>0</v>
      </c>
      <c r="W2354" s="74">
        <f>Devis[[#This Row],[Prix de Revient]]*Devis[[#This Row],[Poste 2]]</f>
        <v>0</v>
      </c>
      <c r="X2354" s="74">
        <f>Devis[[#This Row],[Prix de Revient]]*Devis[[#This Row],[Poste 3]]</f>
        <v>0</v>
      </c>
      <c r="Y2354" s="74">
        <f>Devis[[#This Row],[Poste 4]]*Devis[[#This Row],[Prix de Revient]]</f>
        <v>0</v>
      </c>
      <c r="Z2354" s="74">
        <f>Devis[[#This Row],[Poste 5]]*Devis[[#This Row],[Prix de Revient]]</f>
        <v>0</v>
      </c>
      <c r="AA2354" s="74">
        <f>Devis[[#This Row],[Prix de Revient]]*Devis[[#This Row],[Poste 6]]</f>
        <v>0</v>
      </c>
      <c r="AB2354" s="74">
        <f>Devis[[#This Row],[Quantité Totale]]*Devis[[#This Row],[Prix de Revient]]</f>
        <v>0</v>
      </c>
    </row>
    <row r="2355" spans="1:28" ht="14.25" outlineLevel="1" x14ac:dyDescent="0.2">
      <c r="A2355" s="75" t="s">
        <v>3479</v>
      </c>
      <c r="B2355" s="80" t="s">
        <v>2197</v>
      </c>
      <c r="C2355" s="80"/>
      <c r="D2355" s="81" t="str">
        <f t="shared" si="40"/>
        <v>Inox visséMamelons réduits inox 316L MM 245</v>
      </c>
      <c r="E2355" s="80" t="s">
        <v>1091</v>
      </c>
      <c r="F2355" s="81">
        <v>1</v>
      </c>
      <c r="G2355" s="108" t="s">
        <v>2204</v>
      </c>
      <c r="H2355" s="71"/>
      <c r="I2355" s="75"/>
      <c r="J2355" s="70">
        <f>IFERROR(VLOOKUP(Devis[[#This Row],[Ref Air Flux]],#REF!,3,FALSE),0)</f>
        <v>0</v>
      </c>
      <c r="K2355" s="68"/>
      <c r="L2355" s="68"/>
      <c r="M2355" s="68"/>
      <c r="N2355" s="68"/>
      <c r="O2355" s="68"/>
      <c r="P2355" s="68"/>
      <c r="Q2355" s="68">
        <f>SUM(Devis[[#This Row],[Poste 1]:[Poste 6]])</f>
        <v>0</v>
      </c>
      <c r="R2355" s="111"/>
      <c r="S2355" s="68">
        <f>_xlfn.CEILING.MATH(Devis[[#This Row],[Quantité Totale]],Devis[[#This Row],[Conditionnement]])</f>
        <v>0</v>
      </c>
      <c r="T2355" s="72"/>
      <c r="U2355" s="106"/>
      <c r="V2355" s="74">
        <f>Devis[[#This Row],[Prix de Revient]]*Devis[[#This Row],[Poste 1]]</f>
        <v>0</v>
      </c>
      <c r="W2355" s="74">
        <f>Devis[[#This Row],[Prix de Revient]]*Devis[[#This Row],[Poste 2]]</f>
        <v>0</v>
      </c>
      <c r="X2355" s="74">
        <f>Devis[[#This Row],[Prix de Revient]]*Devis[[#This Row],[Poste 3]]</f>
        <v>0</v>
      </c>
      <c r="Y2355" s="74">
        <f>Devis[[#This Row],[Poste 4]]*Devis[[#This Row],[Prix de Revient]]</f>
        <v>0</v>
      </c>
      <c r="Z2355" s="74">
        <f>Devis[[#This Row],[Poste 5]]*Devis[[#This Row],[Prix de Revient]]</f>
        <v>0</v>
      </c>
      <c r="AA2355" s="74">
        <f>Devis[[#This Row],[Prix de Revient]]*Devis[[#This Row],[Poste 6]]</f>
        <v>0</v>
      </c>
      <c r="AB2355" s="74">
        <f>Devis[[#This Row],[Quantité Totale]]*Devis[[#This Row],[Prix de Revient]]</f>
        <v>0</v>
      </c>
    </row>
    <row r="2356" spans="1:28" ht="14.25" outlineLevel="1" x14ac:dyDescent="0.2">
      <c r="A2356" s="75" t="s">
        <v>3479</v>
      </c>
      <c r="B2356" s="80" t="s">
        <v>2197</v>
      </c>
      <c r="C2356" s="80"/>
      <c r="D2356" s="81" t="str">
        <f t="shared" si="40"/>
        <v>Inox visséMamelons réduits inox 316L MM 245</v>
      </c>
      <c r="E2356" s="80" t="s">
        <v>1079</v>
      </c>
      <c r="F2356" s="81">
        <v>2</v>
      </c>
      <c r="G2356" s="108" t="s">
        <v>2200</v>
      </c>
      <c r="H2356" s="71"/>
      <c r="I2356" s="75"/>
      <c r="J2356" s="70">
        <f>IFERROR(VLOOKUP(Devis[[#This Row],[Ref Air Flux]],#REF!,3,FALSE),0)</f>
        <v>0</v>
      </c>
      <c r="K2356" s="68"/>
      <c r="L2356" s="68"/>
      <c r="M2356" s="68"/>
      <c r="N2356" s="68"/>
      <c r="O2356" s="68"/>
      <c r="P2356" s="68"/>
      <c r="Q2356" s="68">
        <f>SUM(Devis[[#This Row],[Poste 1]:[Poste 6]])</f>
        <v>0</v>
      </c>
      <c r="R2356" s="111"/>
      <c r="S2356" s="68">
        <f>_xlfn.CEILING.MATH(Devis[[#This Row],[Quantité Totale]],Devis[[#This Row],[Conditionnement]])</f>
        <v>0</v>
      </c>
      <c r="T2356" s="72"/>
      <c r="U2356" s="106"/>
      <c r="V2356" s="74">
        <f>Devis[[#This Row],[Prix de Revient]]*Devis[[#This Row],[Poste 1]]</f>
        <v>0</v>
      </c>
      <c r="W2356" s="74">
        <f>Devis[[#This Row],[Prix de Revient]]*Devis[[#This Row],[Poste 2]]</f>
        <v>0</v>
      </c>
      <c r="X2356" s="74">
        <f>Devis[[#This Row],[Prix de Revient]]*Devis[[#This Row],[Poste 3]]</f>
        <v>0</v>
      </c>
      <c r="Y2356" s="74">
        <f>Devis[[#This Row],[Poste 4]]*Devis[[#This Row],[Prix de Revient]]</f>
        <v>0</v>
      </c>
      <c r="Z2356" s="74">
        <f>Devis[[#This Row],[Poste 5]]*Devis[[#This Row],[Prix de Revient]]</f>
        <v>0</v>
      </c>
      <c r="AA2356" s="74">
        <f>Devis[[#This Row],[Prix de Revient]]*Devis[[#This Row],[Poste 6]]</f>
        <v>0</v>
      </c>
      <c r="AB2356" s="74">
        <f>Devis[[#This Row],[Quantité Totale]]*Devis[[#This Row],[Prix de Revient]]</f>
        <v>0</v>
      </c>
    </row>
    <row r="2357" spans="1:28" ht="14.25" outlineLevel="1" x14ac:dyDescent="0.2">
      <c r="A2357" s="75" t="s">
        <v>3479</v>
      </c>
      <c r="B2357" s="80" t="s">
        <v>2197</v>
      </c>
      <c r="C2357" s="80"/>
      <c r="D2357" s="81" t="str">
        <f t="shared" si="40"/>
        <v>Inox visséMamelons réduits inox 316L MM 245</v>
      </c>
      <c r="E2357" s="80" t="s">
        <v>1077</v>
      </c>
      <c r="F2357" s="81">
        <v>3</v>
      </c>
      <c r="G2357" s="86" t="s">
        <v>2199</v>
      </c>
      <c r="H2357" s="71"/>
      <c r="I2357" s="75"/>
      <c r="J2357" s="70">
        <f>IFERROR(VLOOKUP(Devis[[#This Row],[Ref Air Flux]],#REF!,3,FALSE),0)</f>
        <v>0</v>
      </c>
      <c r="K2357" s="68"/>
      <c r="L2357" s="68"/>
      <c r="M2357" s="68"/>
      <c r="N2357" s="68"/>
      <c r="O2357" s="68"/>
      <c r="P2357" s="68"/>
      <c r="Q2357" s="68">
        <f>SUM(Devis[[#This Row],[Poste 1]:[Poste 6]])</f>
        <v>0</v>
      </c>
      <c r="R2357" s="111"/>
      <c r="S2357" s="68">
        <f>_xlfn.CEILING.MATH(Devis[[#This Row],[Quantité Totale]],Devis[[#This Row],[Conditionnement]])</f>
        <v>0</v>
      </c>
      <c r="T2357" s="72"/>
      <c r="U2357" s="106"/>
      <c r="V2357" s="74">
        <f>Devis[[#This Row],[Prix de Revient]]*Devis[[#This Row],[Poste 1]]</f>
        <v>0</v>
      </c>
      <c r="W2357" s="74">
        <f>Devis[[#This Row],[Prix de Revient]]*Devis[[#This Row],[Poste 2]]</f>
        <v>0</v>
      </c>
      <c r="X2357" s="74">
        <f>Devis[[#This Row],[Prix de Revient]]*Devis[[#This Row],[Poste 3]]</f>
        <v>0</v>
      </c>
      <c r="Y2357" s="74">
        <f>Devis[[#This Row],[Poste 4]]*Devis[[#This Row],[Prix de Revient]]</f>
        <v>0</v>
      </c>
      <c r="Z2357" s="74">
        <f>Devis[[#This Row],[Poste 5]]*Devis[[#This Row],[Prix de Revient]]</f>
        <v>0</v>
      </c>
      <c r="AA2357" s="74">
        <f>Devis[[#This Row],[Prix de Revient]]*Devis[[#This Row],[Poste 6]]</f>
        <v>0</v>
      </c>
      <c r="AB2357" s="74">
        <f>Devis[[#This Row],[Quantité Totale]]*Devis[[#This Row],[Prix de Revient]]</f>
        <v>0</v>
      </c>
    </row>
    <row r="2358" spans="1:28" ht="15" customHeight="1" outlineLevel="1" x14ac:dyDescent="0.2">
      <c r="A2358" s="75" t="s">
        <v>3479</v>
      </c>
      <c r="B2358" s="80" t="s">
        <v>2197</v>
      </c>
      <c r="C2358" s="80"/>
      <c r="D2358" s="81" t="str">
        <f t="shared" si="40"/>
        <v>Inox visséMamelons réduits inox 316L MM 245</v>
      </c>
      <c r="E2358" s="80" t="s">
        <v>30</v>
      </c>
      <c r="F2358" s="81">
        <v>4</v>
      </c>
      <c r="G2358" s="108" t="s">
        <v>2201</v>
      </c>
      <c r="H2358" s="71"/>
      <c r="I2358" s="75"/>
      <c r="J2358" s="70">
        <f>IFERROR(VLOOKUP(Devis[[#This Row],[Ref Air Flux]],#REF!,3,FALSE),0)</f>
        <v>0</v>
      </c>
      <c r="K2358" s="68"/>
      <c r="L2358" s="68"/>
      <c r="M2358" s="68"/>
      <c r="N2358" s="68"/>
      <c r="O2358" s="68"/>
      <c r="P2358" s="68"/>
      <c r="Q2358" s="68">
        <f>SUM(Devis[[#This Row],[Poste 1]:[Poste 6]])</f>
        <v>0</v>
      </c>
      <c r="R2358" s="111"/>
      <c r="S2358" s="68">
        <f>_xlfn.CEILING.MATH(Devis[[#This Row],[Quantité Totale]],Devis[[#This Row],[Conditionnement]])</f>
        <v>0</v>
      </c>
      <c r="T2358" s="72"/>
      <c r="U2358" s="106"/>
      <c r="V2358" s="74">
        <f>Devis[[#This Row],[Prix de Revient]]*Devis[[#This Row],[Poste 1]]</f>
        <v>0</v>
      </c>
      <c r="W2358" s="74">
        <f>Devis[[#This Row],[Prix de Revient]]*Devis[[#This Row],[Poste 2]]</f>
        <v>0</v>
      </c>
      <c r="X2358" s="74">
        <f>Devis[[#This Row],[Prix de Revient]]*Devis[[#This Row],[Poste 3]]</f>
        <v>0</v>
      </c>
      <c r="Y2358" s="74">
        <f>Devis[[#This Row],[Poste 4]]*Devis[[#This Row],[Prix de Revient]]</f>
        <v>0</v>
      </c>
      <c r="Z2358" s="74">
        <f>Devis[[#This Row],[Poste 5]]*Devis[[#This Row],[Prix de Revient]]</f>
        <v>0</v>
      </c>
      <c r="AA2358" s="74">
        <f>Devis[[#This Row],[Prix de Revient]]*Devis[[#This Row],[Poste 6]]</f>
        <v>0</v>
      </c>
      <c r="AB2358" s="74">
        <f>Devis[[#This Row],[Quantité Totale]]*Devis[[#This Row],[Prix de Revient]]</f>
        <v>0</v>
      </c>
    </row>
    <row r="2359" spans="1:28" ht="14.25" outlineLevel="1" x14ac:dyDescent="0.2">
      <c r="A2359" s="75" t="s">
        <v>3479</v>
      </c>
      <c r="B2359" s="80" t="s">
        <v>2197</v>
      </c>
      <c r="C2359" s="80"/>
      <c r="D2359" s="81" t="str">
        <f t="shared" si="40"/>
        <v>Inox visséMamelons réduits inox 316L MM 245</v>
      </c>
      <c r="E2359" s="80" t="s">
        <v>1086</v>
      </c>
      <c r="F2359" s="81">
        <v>5</v>
      </c>
      <c r="G2359" s="108" t="s">
        <v>2202</v>
      </c>
      <c r="H2359" s="71"/>
      <c r="I2359" s="75"/>
      <c r="J2359" s="70">
        <f>IFERROR(VLOOKUP(Devis[[#This Row],[Ref Air Flux]],#REF!,3,FALSE),0)</f>
        <v>0</v>
      </c>
      <c r="K2359" s="68"/>
      <c r="L2359" s="68"/>
      <c r="M2359" s="68"/>
      <c r="N2359" s="68"/>
      <c r="O2359" s="68"/>
      <c r="P2359" s="68"/>
      <c r="Q2359" s="68">
        <f>SUM(Devis[[#This Row],[Poste 1]:[Poste 6]])</f>
        <v>0</v>
      </c>
      <c r="R2359" s="111"/>
      <c r="S2359" s="68">
        <f>_xlfn.CEILING.MATH(Devis[[#This Row],[Quantité Totale]],Devis[[#This Row],[Conditionnement]])</f>
        <v>0</v>
      </c>
      <c r="T2359" s="72"/>
      <c r="U2359" s="106"/>
      <c r="V2359" s="74">
        <f>Devis[[#This Row],[Prix de Revient]]*Devis[[#This Row],[Poste 1]]</f>
        <v>0</v>
      </c>
      <c r="W2359" s="74">
        <f>Devis[[#This Row],[Prix de Revient]]*Devis[[#This Row],[Poste 2]]</f>
        <v>0</v>
      </c>
      <c r="X2359" s="74">
        <f>Devis[[#This Row],[Prix de Revient]]*Devis[[#This Row],[Poste 3]]</f>
        <v>0</v>
      </c>
      <c r="Y2359" s="74">
        <f>Devis[[#This Row],[Poste 4]]*Devis[[#This Row],[Prix de Revient]]</f>
        <v>0</v>
      </c>
      <c r="Z2359" s="74">
        <f>Devis[[#This Row],[Poste 5]]*Devis[[#This Row],[Prix de Revient]]</f>
        <v>0</v>
      </c>
      <c r="AA2359" s="74">
        <f>Devis[[#This Row],[Prix de Revient]]*Devis[[#This Row],[Poste 6]]</f>
        <v>0</v>
      </c>
      <c r="AB2359" s="74">
        <f>Devis[[#This Row],[Quantité Totale]]*Devis[[#This Row],[Prix de Revient]]</f>
        <v>0</v>
      </c>
    </row>
    <row r="2360" spans="1:28" ht="14.25" outlineLevel="1" x14ac:dyDescent="0.2">
      <c r="A2360" s="75" t="s">
        <v>3479</v>
      </c>
      <c r="B2360" s="80" t="s">
        <v>2197</v>
      </c>
      <c r="C2360" s="80"/>
      <c r="D2360" s="81" t="str">
        <f t="shared" si="40"/>
        <v>Inox visséMamelons réduits inox 316L MM 245</v>
      </c>
      <c r="E2360" s="80" t="s">
        <v>27</v>
      </c>
      <c r="F2360" s="81">
        <v>6</v>
      </c>
      <c r="G2360" s="108" t="s">
        <v>2207</v>
      </c>
      <c r="H2360" s="71"/>
      <c r="I2360" s="75"/>
      <c r="J2360" s="70">
        <f>IFERROR(VLOOKUP(Devis[[#This Row],[Ref Air Flux]],#REF!,3,FALSE),0)</f>
        <v>0</v>
      </c>
      <c r="K2360" s="68"/>
      <c r="L2360" s="68"/>
      <c r="M2360" s="68"/>
      <c r="N2360" s="68"/>
      <c r="O2360" s="68"/>
      <c r="P2360" s="68"/>
      <c r="Q2360" s="68">
        <f>SUM(Devis[[#This Row],[Poste 1]:[Poste 6]])</f>
        <v>0</v>
      </c>
      <c r="R2360" s="111"/>
      <c r="S2360" s="68">
        <f>_xlfn.CEILING.MATH(Devis[[#This Row],[Quantité Totale]],Devis[[#This Row],[Conditionnement]])</f>
        <v>0</v>
      </c>
      <c r="T2360" s="72"/>
      <c r="U2360" s="106"/>
      <c r="V2360" s="74">
        <f>Devis[[#This Row],[Prix de Revient]]*Devis[[#This Row],[Poste 1]]</f>
        <v>0</v>
      </c>
      <c r="W2360" s="74">
        <f>Devis[[#This Row],[Prix de Revient]]*Devis[[#This Row],[Poste 2]]</f>
        <v>0</v>
      </c>
      <c r="X2360" s="74">
        <f>Devis[[#This Row],[Prix de Revient]]*Devis[[#This Row],[Poste 3]]</f>
        <v>0</v>
      </c>
      <c r="Y2360" s="74">
        <f>Devis[[#This Row],[Poste 4]]*Devis[[#This Row],[Prix de Revient]]</f>
        <v>0</v>
      </c>
      <c r="Z2360" s="74">
        <f>Devis[[#This Row],[Poste 5]]*Devis[[#This Row],[Prix de Revient]]</f>
        <v>0</v>
      </c>
      <c r="AA2360" s="74">
        <f>Devis[[#This Row],[Prix de Revient]]*Devis[[#This Row],[Poste 6]]</f>
        <v>0</v>
      </c>
      <c r="AB2360" s="74">
        <f>Devis[[#This Row],[Quantité Totale]]*Devis[[#This Row],[Prix de Revient]]</f>
        <v>0</v>
      </c>
    </row>
    <row r="2361" spans="1:28" ht="14.25" customHeight="1" outlineLevel="1" x14ac:dyDescent="0.2">
      <c r="A2361" s="75" t="s">
        <v>3479</v>
      </c>
      <c r="B2361" s="80" t="s">
        <v>2197</v>
      </c>
      <c r="C2361" s="80"/>
      <c r="D2361" s="81" t="str">
        <f t="shared" si="40"/>
        <v>Inox visséMamelons réduits inox 316L MM 245</v>
      </c>
      <c r="E2361" s="80" t="s">
        <v>29</v>
      </c>
      <c r="F2361" s="81">
        <v>7</v>
      </c>
      <c r="G2361" s="108" t="s">
        <v>2203</v>
      </c>
      <c r="H2361" s="71"/>
      <c r="I2361" s="75"/>
      <c r="J2361" s="70">
        <f>IFERROR(VLOOKUP(Devis[[#This Row],[Ref Air Flux]],#REF!,3,FALSE),0)</f>
        <v>0</v>
      </c>
      <c r="K2361" s="68"/>
      <c r="L2361" s="68"/>
      <c r="M2361" s="68"/>
      <c r="N2361" s="68"/>
      <c r="O2361" s="68"/>
      <c r="P2361" s="68"/>
      <c r="Q2361" s="68">
        <f>SUM(Devis[[#This Row],[Poste 1]:[Poste 6]])</f>
        <v>0</v>
      </c>
      <c r="R2361" s="111"/>
      <c r="S2361" s="68">
        <f>_xlfn.CEILING.MATH(Devis[[#This Row],[Quantité Totale]],Devis[[#This Row],[Conditionnement]])</f>
        <v>0</v>
      </c>
      <c r="T2361" s="72"/>
      <c r="U2361" s="106"/>
      <c r="V2361" s="74">
        <f>Devis[[#This Row],[Prix de Revient]]*Devis[[#This Row],[Poste 1]]</f>
        <v>0</v>
      </c>
      <c r="W2361" s="74">
        <f>Devis[[#This Row],[Prix de Revient]]*Devis[[#This Row],[Poste 2]]</f>
        <v>0</v>
      </c>
      <c r="X2361" s="74">
        <f>Devis[[#This Row],[Prix de Revient]]*Devis[[#This Row],[Poste 3]]</f>
        <v>0</v>
      </c>
      <c r="Y2361" s="74">
        <f>Devis[[#This Row],[Poste 4]]*Devis[[#This Row],[Prix de Revient]]</f>
        <v>0</v>
      </c>
      <c r="Z2361" s="74">
        <f>Devis[[#This Row],[Poste 5]]*Devis[[#This Row],[Prix de Revient]]</f>
        <v>0</v>
      </c>
      <c r="AA2361" s="74">
        <f>Devis[[#This Row],[Prix de Revient]]*Devis[[#This Row],[Poste 6]]</f>
        <v>0</v>
      </c>
      <c r="AB2361" s="74">
        <f>Devis[[#This Row],[Quantité Totale]]*Devis[[#This Row],[Prix de Revient]]</f>
        <v>0</v>
      </c>
    </row>
    <row r="2362" spans="1:28" ht="14.25" customHeight="1" outlineLevel="1" x14ac:dyDescent="0.2">
      <c r="A2362" s="75" t="s">
        <v>3479</v>
      </c>
      <c r="B2362" s="80" t="s">
        <v>2197</v>
      </c>
      <c r="C2362" s="80"/>
      <c r="D2362" s="81" t="str">
        <f t="shared" si="40"/>
        <v>Inox visséMamelons réduits inox 316L MM 245</v>
      </c>
      <c r="E2362" s="80" t="s">
        <v>1069</v>
      </c>
      <c r="F2362" s="81">
        <v>8</v>
      </c>
      <c r="G2362" s="108" t="s">
        <v>2198</v>
      </c>
      <c r="H2362" s="71"/>
      <c r="I2362" s="75"/>
      <c r="J2362" s="70">
        <f>IFERROR(VLOOKUP(Devis[[#This Row],[Ref Air Flux]],#REF!,3,FALSE),0)</f>
        <v>0</v>
      </c>
      <c r="K2362" s="68"/>
      <c r="L2362" s="68"/>
      <c r="M2362" s="68"/>
      <c r="N2362" s="68"/>
      <c r="O2362" s="68"/>
      <c r="P2362" s="68"/>
      <c r="Q2362" s="68">
        <f>SUM(Devis[[#This Row],[Poste 1]:[Poste 6]])</f>
        <v>0</v>
      </c>
      <c r="R2362" s="111"/>
      <c r="S2362" s="68">
        <f>_xlfn.CEILING.MATH(Devis[[#This Row],[Quantité Totale]],Devis[[#This Row],[Conditionnement]])</f>
        <v>0</v>
      </c>
      <c r="T2362" s="72"/>
      <c r="U2362" s="106"/>
      <c r="V2362" s="74">
        <f>Devis[[#This Row],[Prix de Revient]]*Devis[[#This Row],[Poste 1]]</f>
        <v>0</v>
      </c>
      <c r="W2362" s="74">
        <f>Devis[[#This Row],[Prix de Revient]]*Devis[[#This Row],[Poste 2]]</f>
        <v>0</v>
      </c>
      <c r="X2362" s="74">
        <f>Devis[[#This Row],[Prix de Revient]]*Devis[[#This Row],[Poste 3]]</f>
        <v>0</v>
      </c>
      <c r="Y2362" s="74">
        <f>Devis[[#This Row],[Poste 4]]*Devis[[#This Row],[Prix de Revient]]</f>
        <v>0</v>
      </c>
      <c r="Z2362" s="74">
        <f>Devis[[#This Row],[Poste 5]]*Devis[[#This Row],[Prix de Revient]]</f>
        <v>0</v>
      </c>
      <c r="AA2362" s="74">
        <f>Devis[[#This Row],[Prix de Revient]]*Devis[[#This Row],[Poste 6]]</f>
        <v>0</v>
      </c>
      <c r="AB2362" s="74">
        <f>Devis[[#This Row],[Quantité Totale]]*Devis[[#This Row],[Prix de Revient]]</f>
        <v>0</v>
      </c>
    </row>
    <row r="2363" spans="1:28" ht="14.25" customHeight="1" outlineLevel="1" x14ac:dyDescent="0.2">
      <c r="A2363" s="75" t="s">
        <v>3479</v>
      </c>
      <c r="B2363" s="80" t="s">
        <v>2197</v>
      </c>
      <c r="C2363" s="80"/>
      <c r="D2363" s="81" t="str">
        <f t="shared" si="40"/>
        <v>Inox visséMamelons réduits inox 316L MM 245</v>
      </c>
      <c r="E2363" s="80" t="s">
        <v>28</v>
      </c>
      <c r="F2363" s="81">
        <v>9</v>
      </c>
      <c r="G2363" s="108" t="s">
        <v>2205</v>
      </c>
      <c r="H2363" s="71"/>
      <c r="I2363" s="75"/>
      <c r="J2363" s="70">
        <f>IFERROR(VLOOKUP(Devis[[#This Row],[Ref Air Flux]],#REF!,3,FALSE),0)</f>
        <v>0</v>
      </c>
      <c r="K2363" s="68"/>
      <c r="L2363" s="68"/>
      <c r="M2363" s="68"/>
      <c r="N2363" s="68"/>
      <c r="O2363" s="68"/>
      <c r="P2363" s="68"/>
      <c r="Q2363" s="68">
        <f>SUM(Devis[[#This Row],[Poste 1]:[Poste 6]])</f>
        <v>0</v>
      </c>
      <c r="R2363" s="111"/>
      <c r="S2363" s="68">
        <f>_xlfn.CEILING.MATH(Devis[[#This Row],[Quantité Totale]],Devis[[#This Row],[Conditionnement]])</f>
        <v>0</v>
      </c>
      <c r="T2363" s="72"/>
      <c r="U2363" s="106"/>
      <c r="V2363" s="74">
        <f>Devis[[#This Row],[Prix de Revient]]*Devis[[#This Row],[Poste 1]]</f>
        <v>0</v>
      </c>
      <c r="W2363" s="74">
        <f>Devis[[#This Row],[Prix de Revient]]*Devis[[#This Row],[Poste 2]]</f>
        <v>0</v>
      </c>
      <c r="X2363" s="74">
        <f>Devis[[#This Row],[Prix de Revient]]*Devis[[#This Row],[Poste 3]]</f>
        <v>0</v>
      </c>
      <c r="Y2363" s="74">
        <f>Devis[[#This Row],[Poste 4]]*Devis[[#This Row],[Prix de Revient]]</f>
        <v>0</v>
      </c>
      <c r="Z2363" s="74">
        <f>Devis[[#This Row],[Poste 5]]*Devis[[#This Row],[Prix de Revient]]</f>
        <v>0</v>
      </c>
      <c r="AA2363" s="74">
        <f>Devis[[#This Row],[Prix de Revient]]*Devis[[#This Row],[Poste 6]]</f>
        <v>0</v>
      </c>
      <c r="AB2363" s="74">
        <f>Devis[[#This Row],[Quantité Totale]]*Devis[[#This Row],[Prix de Revient]]</f>
        <v>0</v>
      </c>
    </row>
    <row r="2364" spans="1:28" ht="14.25" outlineLevel="1" x14ac:dyDescent="0.2">
      <c r="A2364" s="75" t="s">
        <v>3479</v>
      </c>
      <c r="B2364" s="80" t="s">
        <v>2197</v>
      </c>
      <c r="C2364" s="80"/>
      <c r="D2364" s="81" t="str">
        <f t="shared" si="40"/>
        <v>Inox visséMamelons réduits inox 316L MM 245</v>
      </c>
      <c r="E2364" s="80" t="s">
        <v>1096</v>
      </c>
      <c r="F2364" s="81">
        <v>10</v>
      </c>
      <c r="G2364" s="108" t="s">
        <v>2206</v>
      </c>
      <c r="H2364" s="71"/>
      <c r="I2364" s="75"/>
      <c r="J2364" s="70">
        <f>IFERROR(VLOOKUP(Devis[[#This Row],[Ref Air Flux]],#REF!,3,FALSE),0)</f>
        <v>0</v>
      </c>
      <c r="K2364" s="68"/>
      <c r="L2364" s="68"/>
      <c r="M2364" s="68"/>
      <c r="N2364" s="68"/>
      <c r="O2364" s="68"/>
      <c r="P2364" s="68"/>
      <c r="Q2364" s="68">
        <f>SUM(Devis[[#This Row],[Poste 1]:[Poste 6]])</f>
        <v>0</v>
      </c>
      <c r="R2364" s="111"/>
      <c r="S2364" s="68">
        <f>_xlfn.CEILING.MATH(Devis[[#This Row],[Quantité Totale]],Devis[[#This Row],[Conditionnement]])</f>
        <v>0</v>
      </c>
      <c r="T2364" s="72"/>
      <c r="U2364" s="106"/>
      <c r="V2364" s="74">
        <f>Devis[[#This Row],[Prix de Revient]]*Devis[[#This Row],[Poste 1]]</f>
        <v>0</v>
      </c>
      <c r="W2364" s="74">
        <f>Devis[[#This Row],[Prix de Revient]]*Devis[[#This Row],[Poste 2]]</f>
        <v>0</v>
      </c>
      <c r="X2364" s="74">
        <f>Devis[[#This Row],[Prix de Revient]]*Devis[[#This Row],[Poste 3]]</f>
        <v>0</v>
      </c>
      <c r="Y2364" s="74">
        <f>Devis[[#This Row],[Poste 4]]*Devis[[#This Row],[Prix de Revient]]</f>
        <v>0</v>
      </c>
      <c r="Z2364" s="74">
        <f>Devis[[#This Row],[Poste 5]]*Devis[[#This Row],[Prix de Revient]]</f>
        <v>0</v>
      </c>
      <c r="AA2364" s="74">
        <f>Devis[[#This Row],[Prix de Revient]]*Devis[[#This Row],[Poste 6]]</f>
        <v>0</v>
      </c>
      <c r="AB2364" s="74">
        <f>Devis[[#This Row],[Quantité Totale]]*Devis[[#This Row],[Prix de Revient]]</f>
        <v>0</v>
      </c>
    </row>
    <row r="2365" spans="1:28" ht="14.25" outlineLevel="1" x14ac:dyDescent="0.2">
      <c r="A2365" s="75" t="s">
        <v>3479</v>
      </c>
      <c r="B2365" s="80" t="s">
        <v>2197</v>
      </c>
      <c r="C2365" s="80"/>
      <c r="D2365" s="81" t="str">
        <f t="shared" si="40"/>
        <v>Inox visséMamelons réduits inox 316L MM 245</v>
      </c>
      <c r="E2365" s="76" t="s">
        <v>1105</v>
      </c>
      <c r="F2365" s="81">
        <v>11</v>
      </c>
      <c r="G2365" s="108" t="s">
        <v>2208</v>
      </c>
      <c r="H2365" s="71"/>
      <c r="I2365" s="75"/>
      <c r="J2365" s="70">
        <f>IFERROR(VLOOKUP(Devis[[#This Row],[Ref Air Flux]],#REF!,3,FALSE),0)</f>
        <v>0</v>
      </c>
      <c r="K2365" s="68"/>
      <c r="L2365" s="68"/>
      <c r="M2365" s="68"/>
      <c r="N2365" s="68"/>
      <c r="O2365" s="68"/>
      <c r="P2365" s="68"/>
      <c r="Q2365" s="68">
        <f>SUM(Devis[[#This Row],[Poste 1]:[Poste 6]])</f>
        <v>0</v>
      </c>
      <c r="R2365" s="111"/>
      <c r="S2365" s="68">
        <f>_xlfn.CEILING.MATH(Devis[[#This Row],[Quantité Totale]],Devis[[#This Row],[Conditionnement]])</f>
        <v>0</v>
      </c>
      <c r="T2365" s="72"/>
      <c r="U2365" s="106"/>
      <c r="V2365" s="74">
        <f>Devis[[#This Row],[Prix de Revient]]*Devis[[#This Row],[Poste 1]]</f>
        <v>0</v>
      </c>
      <c r="W2365" s="74">
        <f>Devis[[#This Row],[Prix de Revient]]*Devis[[#This Row],[Poste 2]]</f>
        <v>0</v>
      </c>
      <c r="X2365" s="74">
        <f>Devis[[#This Row],[Prix de Revient]]*Devis[[#This Row],[Poste 3]]</f>
        <v>0</v>
      </c>
      <c r="Y2365" s="74">
        <f>Devis[[#This Row],[Poste 4]]*Devis[[#This Row],[Prix de Revient]]</f>
        <v>0</v>
      </c>
      <c r="Z2365" s="74">
        <f>Devis[[#This Row],[Poste 5]]*Devis[[#This Row],[Prix de Revient]]</f>
        <v>0</v>
      </c>
      <c r="AA2365" s="74">
        <f>Devis[[#This Row],[Prix de Revient]]*Devis[[#This Row],[Poste 6]]</f>
        <v>0</v>
      </c>
      <c r="AB2365" s="74">
        <f>Devis[[#This Row],[Quantité Totale]]*Devis[[#This Row],[Prix de Revient]]</f>
        <v>0</v>
      </c>
    </row>
    <row r="2366" spans="1:28" ht="14.25" customHeight="1" x14ac:dyDescent="0.25">
      <c r="A2366" s="65" t="s">
        <v>3479</v>
      </c>
      <c r="B2366" s="65" t="s">
        <v>2209</v>
      </c>
      <c r="C2366" s="76"/>
      <c r="D2366" s="81" t="str">
        <f t="shared" si="40"/>
        <v>Inox visséManchons  Fileté inox  316L FF 270</v>
      </c>
      <c r="E2366" s="76"/>
      <c r="F2366" s="81">
        <v>0</v>
      </c>
      <c r="G2366" s="86"/>
      <c r="H2366" s="71"/>
      <c r="I2366" s="75"/>
      <c r="J2366" s="70">
        <f>IFERROR(VLOOKUP(Devis[[#This Row],[Ref Air Flux]],#REF!,3,FALSE),0)</f>
        <v>0</v>
      </c>
      <c r="K2366" s="68"/>
      <c r="L2366" s="68"/>
      <c r="M2366" s="68"/>
      <c r="N2366" s="68"/>
      <c r="O2366" s="68"/>
      <c r="P2366" s="68"/>
      <c r="Q2366" s="68">
        <f>SUM(Devis[[#This Row],[Poste 1]:[Poste 6]])</f>
        <v>0</v>
      </c>
      <c r="R2366" s="111"/>
      <c r="S2366" s="68">
        <f>_xlfn.CEILING.MATH(Devis[[#This Row],[Quantité Totale]],Devis[[#This Row],[Conditionnement]])</f>
        <v>0</v>
      </c>
      <c r="T2366" s="72"/>
      <c r="U2366" s="106"/>
      <c r="V2366" s="74">
        <f>Devis[[#This Row],[Prix de Revient]]*Devis[[#This Row],[Poste 1]]</f>
        <v>0</v>
      </c>
      <c r="W2366" s="74">
        <f>Devis[[#This Row],[Prix de Revient]]*Devis[[#This Row],[Poste 2]]</f>
        <v>0</v>
      </c>
      <c r="X2366" s="74">
        <f>Devis[[#This Row],[Prix de Revient]]*Devis[[#This Row],[Poste 3]]</f>
        <v>0</v>
      </c>
      <c r="Y2366" s="74">
        <f>Devis[[#This Row],[Poste 4]]*Devis[[#This Row],[Prix de Revient]]</f>
        <v>0</v>
      </c>
      <c r="Z2366" s="74">
        <f>Devis[[#This Row],[Poste 5]]*Devis[[#This Row],[Prix de Revient]]</f>
        <v>0</v>
      </c>
      <c r="AA2366" s="74">
        <f>Devis[[#This Row],[Prix de Revient]]*Devis[[#This Row],[Poste 6]]</f>
        <v>0</v>
      </c>
      <c r="AB2366" s="74">
        <f>Devis[[#This Row],[Quantité Totale]]*Devis[[#This Row],[Prix de Revient]]</f>
        <v>0</v>
      </c>
    </row>
    <row r="2367" spans="1:28" ht="14.25" customHeight="1" outlineLevel="1" x14ac:dyDescent="0.2">
      <c r="A2367" s="75" t="s">
        <v>3479</v>
      </c>
      <c r="B2367" s="76" t="s">
        <v>2209</v>
      </c>
      <c r="C2367" s="76"/>
      <c r="D2367" s="81" t="str">
        <f t="shared" si="40"/>
        <v>Inox visséManchons  Fileté inox  316L FF 270</v>
      </c>
      <c r="E2367" s="76" t="s">
        <v>49</v>
      </c>
      <c r="F2367" s="81">
        <v>1</v>
      </c>
      <c r="G2367" s="86" t="s">
        <v>2211</v>
      </c>
      <c r="H2367" s="71"/>
      <c r="I2367" s="75"/>
      <c r="J2367" s="70">
        <f>IFERROR(VLOOKUP(Devis[[#This Row],[Ref Air Flux]],#REF!,3,FALSE),0)</f>
        <v>0</v>
      </c>
      <c r="K2367" s="68"/>
      <c r="L2367" s="68"/>
      <c r="M2367" s="68"/>
      <c r="N2367" s="68"/>
      <c r="O2367" s="68"/>
      <c r="P2367" s="68"/>
      <c r="Q2367" s="68">
        <f>SUM(Devis[[#This Row],[Poste 1]:[Poste 6]])</f>
        <v>0</v>
      </c>
      <c r="R2367" s="111"/>
      <c r="S2367" s="68">
        <f>_xlfn.CEILING.MATH(Devis[[#This Row],[Quantité Totale]],Devis[[#This Row],[Conditionnement]])</f>
        <v>0</v>
      </c>
      <c r="T2367" s="72"/>
      <c r="U2367" s="106"/>
      <c r="V2367" s="74">
        <f>Devis[[#This Row],[Prix de Revient]]*Devis[[#This Row],[Poste 1]]</f>
        <v>0</v>
      </c>
      <c r="W2367" s="74">
        <f>Devis[[#This Row],[Prix de Revient]]*Devis[[#This Row],[Poste 2]]</f>
        <v>0</v>
      </c>
      <c r="X2367" s="74">
        <f>Devis[[#This Row],[Prix de Revient]]*Devis[[#This Row],[Poste 3]]</f>
        <v>0</v>
      </c>
      <c r="Y2367" s="74">
        <f>Devis[[#This Row],[Poste 4]]*Devis[[#This Row],[Prix de Revient]]</f>
        <v>0</v>
      </c>
      <c r="Z2367" s="74">
        <f>Devis[[#This Row],[Poste 5]]*Devis[[#This Row],[Prix de Revient]]</f>
        <v>0</v>
      </c>
      <c r="AA2367" s="74">
        <f>Devis[[#This Row],[Prix de Revient]]*Devis[[#This Row],[Poste 6]]</f>
        <v>0</v>
      </c>
      <c r="AB2367" s="74">
        <f>Devis[[#This Row],[Quantité Totale]]*Devis[[#This Row],[Prix de Revient]]</f>
        <v>0</v>
      </c>
    </row>
    <row r="2368" spans="1:28" ht="14.25" customHeight="1" outlineLevel="1" x14ac:dyDescent="0.2">
      <c r="A2368" s="75" t="s">
        <v>3479</v>
      </c>
      <c r="B2368" s="76" t="s">
        <v>2209</v>
      </c>
      <c r="C2368" s="76"/>
      <c r="D2368" s="81" t="str">
        <f t="shared" si="40"/>
        <v>Inox visséManchons  Fileté inox  316L FF 270</v>
      </c>
      <c r="E2368" s="76" t="s">
        <v>821</v>
      </c>
      <c r="F2368" s="81">
        <v>2</v>
      </c>
      <c r="G2368" s="86" t="s">
        <v>2210</v>
      </c>
      <c r="H2368" s="71"/>
      <c r="I2368" s="75"/>
      <c r="J2368" s="70">
        <f>IFERROR(VLOOKUP(Devis[[#This Row],[Ref Air Flux]],#REF!,3,FALSE),0)</f>
        <v>0</v>
      </c>
      <c r="K2368" s="68"/>
      <c r="L2368" s="68"/>
      <c r="M2368" s="68"/>
      <c r="N2368" s="68"/>
      <c r="O2368" s="68"/>
      <c r="P2368" s="68"/>
      <c r="Q2368" s="68">
        <f>SUM(Devis[[#This Row],[Poste 1]:[Poste 6]])</f>
        <v>0</v>
      </c>
      <c r="R2368" s="111"/>
      <c r="S2368" s="68">
        <f>_xlfn.CEILING.MATH(Devis[[#This Row],[Quantité Totale]],Devis[[#This Row],[Conditionnement]])</f>
        <v>0</v>
      </c>
      <c r="T2368" s="72"/>
      <c r="U2368" s="106"/>
      <c r="V2368" s="74">
        <f>Devis[[#This Row],[Prix de Revient]]*Devis[[#This Row],[Poste 1]]</f>
        <v>0</v>
      </c>
      <c r="W2368" s="74">
        <f>Devis[[#This Row],[Prix de Revient]]*Devis[[#This Row],[Poste 2]]</f>
        <v>0</v>
      </c>
      <c r="X2368" s="74">
        <f>Devis[[#This Row],[Prix de Revient]]*Devis[[#This Row],[Poste 3]]</f>
        <v>0</v>
      </c>
      <c r="Y2368" s="74">
        <f>Devis[[#This Row],[Poste 4]]*Devis[[#This Row],[Prix de Revient]]</f>
        <v>0</v>
      </c>
      <c r="Z2368" s="74">
        <f>Devis[[#This Row],[Poste 5]]*Devis[[#This Row],[Prix de Revient]]</f>
        <v>0</v>
      </c>
      <c r="AA2368" s="74">
        <f>Devis[[#This Row],[Prix de Revient]]*Devis[[#This Row],[Poste 6]]</f>
        <v>0</v>
      </c>
      <c r="AB2368" s="74">
        <f>Devis[[#This Row],[Quantité Totale]]*Devis[[#This Row],[Prix de Revient]]</f>
        <v>0</v>
      </c>
    </row>
    <row r="2369" spans="1:28" ht="14.25" outlineLevel="1" x14ac:dyDescent="0.2">
      <c r="A2369" s="75" t="s">
        <v>3479</v>
      </c>
      <c r="B2369" s="76" t="s">
        <v>2209</v>
      </c>
      <c r="C2369" s="76"/>
      <c r="D2369" s="81" t="str">
        <f t="shared" si="40"/>
        <v>Inox visséManchons  Fileté inox  316L FF 270</v>
      </c>
      <c r="E2369" s="76" t="s">
        <v>19</v>
      </c>
      <c r="F2369" s="81">
        <v>3</v>
      </c>
      <c r="G2369" s="86" t="s">
        <v>2217</v>
      </c>
      <c r="H2369" s="71"/>
      <c r="I2369" s="75"/>
      <c r="J2369" s="70">
        <f>IFERROR(VLOOKUP(Devis[[#This Row],[Ref Air Flux]],#REF!,3,FALSE),0)</f>
        <v>0</v>
      </c>
      <c r="K2369" s="68"/>
      <c r="L2369" s="68"/>
      <c r="M2369" s="68"/>
      <c r="N2369" s="68"/>
      <c r="O2369" s="68"/>
      <c r="P2369" s="68"/>
      <c r="Q2369" s="68">
        <f>SUM(Devis[[#This Row],[Poste 1]:[Poste 6]])</f>
        <v>0</v>
      </c>
      <c r="R2369" s="111"/>
      <c r="S2369" s="68">
        <f>_xlfn.CEILING.MATH(Devis[[#This Row],[Quantité Totale]],Devis[[#This Row],[Conditionnement]])</f>
        <v>0</v>
      </c>
      <c r="T2369" s="72"/>
      <c r="U2369" s="106" t="s">
        <v>2218</v>
      </c>
      <c r="V2369" s="74">
        <f>Devis[[#This Row],[Prix de Revient]]*Devis[[#This Row],[Poste 1]]</f>
        <v>0</v>
      </c>
      <c r="W2369" s="74">
        <f>Devis[[#This Row],[Prix de Revient]]*Devis[[#This Row],[Poste 2]]</f>
        <v>0</v>
      </c>
      <c r="X2369" s="74">
        <f>Devis[[#This Row],[Prix de Revient]]*Devis[[#This Row],[Poste 3]]</f>
        <v>0</v>
      </c>
      <c r="Y2369" s="74">
        <f>Devis[[#This Row],[Poste 4]]*Devis[[#This Row],[Prix de Revient]]</f>
        <v>0</v>
      </c>
      <c r="Z2369" s="74">
        <f>Devis[[#This Row],[Poste 5]]*Devis[[#This Row],[Prix de Revient]]</f>
        <v>0</v>
      </c>
      <c r="AA2369" s="74">
        <f>Devis[[#This Row],[Prix de Revient]]*Devis[[#This Row],[Poste 6]]</f>
        <v>0</v>
      </c>
      <c r="AB2369" s="74">
        <f>Devis[[#This Row],[Quantité Totale]]*Devis[[#This Row],[Prix de Revient]]</f>
        <v>0</v>
      </c>
    </row>
    <row r="2370" spans="1:28" ht="14.25" outlineLevel="1" x14ac:dyDescent="0.2">
      <c r="A2370" s="75" t="s">
        <v>3479</v>
      </c>
      <c r="B2370" s="76" t="s">
        <v>2209</v>
      </c>
      <c r="C2370" s="76"/>
      <c r="D2370" s="81" t="str">
        <f t="shared" ref="D2370:D2433" si="41">A2370&amp;B2370&amp;C2370</f>
        <v>Inox visséManchons  Fileté inox  316L FF 270</v>
      </c>
      <c r="E2370" s="76" t="s">
        <v>21</v>
      </c>
      <c r="F2370" s="81">
        <v>4</v>
      </c>
      <c r="G2370" s="86" t="s">
        <v>2214</v>
      </c>
      <c r="H2370" s="71"/>
      <c r="I2370" s="75"/>
      <c r="J2370" s="70">
        <f>IFERROR(VLOOKUP(Devis[[#This Row],[Ref Air Flux]],#REF!,3,FALSE),0)</f>
        <v>0</v>
      </c>
      <c r="K2370" s="68"/>
      <c r="L2370" s="68"/>
      <c r="M2370" s="68"/>
      <c r="N2370" s="68"/>
      <c r="O2370" s="68"/>
      <c r="P2370" s="68"/>
      <c r="Q2370" s="68">
        <f>SUM(Devis[[#This Row],[Poste 1]:[Poste 6]])</f>
        <v>0</v>
      </c>
      <c r="R2370" s="111"/>
      <c r="S2370" s="68">
        <f>_xlfn.CEILING.MATH(Devis[[#This Row],[Quantité Totale]],Devis[[#This Row],[Conditionnement]])</f>
        <v>0</v>
      </c>
      <c r="T2370" s="72"/>
      <c r="U2370" s="106"/>
      <c r="V2370" s="74">
        <f>Devis[[#This Row],[Prix de Revient]]*Devis[[#This Row],[Poste 1]]</f>
        <v>0</v>
      </c>
      <c r="W2370" s="74">
        <f>Devis[[#This Row],[Prix de Revient]]*Devis[[#This Row],[Poste 2]]</f>
        <v>0</v>
      </c>
      <c r="X2370" s="74">
        <f>Devis[[#This Row],[Prix de Revient]]*Devis[[#This Row],[Poste 3]]</f>
        <v>0</v>
      </c>
      <c r="Y2370" s="74">
        <f>Devis[[#This Row],[Poste 4]]*Devis[[#This Row],[Prix de Revient]]</f>
        <v>0</v>
      </c>
      <c r="Z2370" s="74">
        <f>Devis[[#This Row],[Poste 5]]*Devis[[#This Row],[Prix de Revient]]</f>
        <v>0</v>
      </c>
      <c r="AA2370" s="74">
        <f>Devis[[#This Row],[Prix de Revient]]*Devis[[#This Row],[Poste 6]]</f>
        <v>0</v>
      </c>
      <c r="AB2370" s="74">
        <f>Devis[[#This Row],[Quantité Totale]]*Devis[[#This Row],[Prix de Revient]]</f>
        <v>0</v>
      </c>
    </row>
    <row r="2371" spans="1:28" ht="14.25" customHeight="1" outlineLevel="1" x14ac:dyDescent="0.2">
      <c r="A2371" s="75" t="s">
        <v>3479</v>
      </c>
      <c r="B2371" s="76" t="s">
        <v>2209</v>
      </c>
      <c r="C2371" s="76"/>
      <c r="D2371" s="81" t="str">
        <f t="shared" si="41"/>
        <v>Inox visséManchons  Fileté inox  316L FF 270</v>
      </c>
      <c r="E2371" s="76" t="s">
        <v>20</v>
      </c>
      <c r="F2371" s="81">
        <v>5</v>
      </c>
      <c r="G2371" s="86" t="s">
        <v>2215</v>
      </c>
      <c r="H2371" s="71"/>
      <c r="I2371" s="75"/>
      <c r="J2371" s="70">
        <f>IFERROR(VLOOKUP(Devis[[#This Row],[Ref Air Flux]],#REF!,3,FALSE),0)</f>
        <v>0</v>
      </c>
      <c r="K2371" s="68"/>
      <c r="L2371" s="68"/>
      <c r="M2371" s="68"/>
      <c r="N2371" s="68"/>
      <c r="O2371" s="68"/>
      <c r="P2371" s="68"/>
      <c r="Q2371" s="68">
        <f>SUM(Devis[[#This Row],[Poste 1]:[Poste 6]])</f>
        <v>0</v>
      </c>
      <c r="R2371" s="111"/>
      <c r="S2371" s="68">
        <f>_xlfn.CEILING.MATH(Devis[[#This Row],[Quantité Totale]],Devis[[#This Row],[Conditionnement]])</f>
        <v>0</v>
      </c>
      <c r="T2371" s="72"/>
      <c r="U2371" s="106" t="s">
        <v>2216</v>
      </c>
      <c r="V2371" s="74">
        <f>Devis[[#This Row],[Prix de Revient]]*Devis[[#This Row],[Poste 1]]</f>
        <v>0</v>
      </c>
      <c r="W2371" s="74">
        <f>Devis[[#This Row],[Prix de Revient]]*Devis[[#This Row],[Poste 2]]</f>
        <v>0</v>
      </c>
      <c r="X2371" s="74">
        <f>Devis[[#This Row],[Prix de Revient]]*Devis[[#This Row],[Poste 3]]</f>
        <v>0</v>
      </c>
      <c r="Y2371" s="74">
        <f>Devis[[#This Row],[Poste 4]]*Devis[[#This Row],[Prix de Revient]]</f>
        <v>0</v>
      </c>
      <c r="Z2371" s="74">
        <f>Devis[[#This Row],[Poste 5]]*Devis[[#This Row],[Prix de Revient]]</f>
        <v>0</v>
      </c>
      <c r="AA2371" s="74">
        <f>Devis[[#This Row],[Prix de Revient]]*Devis[[#This Row],[Poste 6]]</f>
        <v>0</v>
      </c>
      <c r="AB2371" s="74">
        <f>Devis[[#This Row],[Quantité Totale]]*Devis[[#This Row],[Prix de Revient]]</f>
        <v>0</v>
      </c>
    </row>
    <row r="2372" spans="1:28" ht="14.25" customHeight="1" outlineLevel="1" x14ac:dyDescent="0.2">
      <c r="A2372" s="75" t="s">
        <v>3479</v>
      </c>
      <c r="B2372" s="76" t="s">
        <v>2209</v>
      </c>
      <c r="C2372" s="76"/>
      <c r="D2372" s="81" t="str">
        <f t="shared" si="41"/>
        <v>Inox visséManchons  Fileté inox  316L FF 270</v>
      </c>
      <c r="E2372" s="80" t="s">
        <v>17</v>
      </c>
      <c r="F2372" s="81">
        <v>6</v>
      </c>
      <c r="G2372" s="86" t="s">
        <v>2221</v>
      </c>
      <c r="H2372" s="71"/>
      <c r="I2372" s="75"/>
      <c r="J2372" s="70">
        <f>IFERROR(VLOOKUP(Devis[[#This Row],[Ref Air Flux]],#REF!,3,FALSE),0)</f>
        <v>0</v>
      </c>
      <c r="K2372" s="68"/>
      <c r="L2372" s="68"/>
      <c r="M2372" s="68"/>
      <c r="N2372" s="68"/>
      <c r="O2372" s="68"/>
      <c r="P2372" s="68"/>
      <c r="Q2372" s="68">
        <f>SUM(Devis[[#This Row],[Poste 1]:[Poste 6]])</f>
        <v>0</v>
      </c>
      <c r="R2372" s="111"/>
      <c r="S2372" s="68">
        <f>_xlfn.CEILING.MATH(Devis[[#This Row],[Quantité Totale]],Devis[[#This Row],[Conditionnement]])</f>
        <v>0</v>
      </c>
      <c r="T2372" s="72"/>
      <c r="U2372" s="106" t="s">
        <v>2222</v>
      </c>
      <c r="V2372" s="74">
        <f>Devis[[#This Row],[Prix de Revient]]*Devis[[#This Row],[Poste 1]]</f>
        <v>0</v>
      </c>
      <c r="W2372" s="74">
        <f>Devis[[#This Row],[Prix de Revient]]*Devis[[#This Row],[Poste 2]]</f>
        <v>0</v>
      </c>
      <c r="X2372" s="74">
        <f>Devis[[#This Row],[Prix de Revient]]*Devis[[#This Row],[Poste 3]]</f>
        <v>0</v>
      </c>
      <c r="Y2372" s="74">
        <f>Devis[[#This Row],[Poste 4]]*Devis[[#This Row],[Prix de Revient]]</f>
        <v>0</v>
      </c>
      <c r="Z2372" s="74">
        <f>Devis[[#This Row],[Poste 5]]*Devis[[#This Row],[Prix de Revient]]</f>
        <v>0</v>
      </c>
      <c r="AA2372" s="74">
        <f>Devis[[#This Row],[Prix de Revient]]*Devis[[#This Row],[Poste 6]]</f>
        <v>0</v>
      </c>
      <c r="AB2372" s="74">
        <f>Devis[[#This Row],[Quantité Totale]]*Devis[[#This Row],[Prix de Revient]]</f>
        <v>0</v>
      </c>
    </row>
    <row r="2373" spans="1:28" ht="14.25" outlineLevel="1" x14ac:dyDescent="0.2">
      <c r="A2373" s="75" t="s">
        <v>3479</v>
      </c>
      <c r="B2373" s="76" t="s">
        <v>2209</v>
      </c>
      <c r="C2373" s="76"/>
      <c r="D2373" s="81" t="str">
        <f t="shared" si="41"/>
        <v>Inox visséManchons  Fileté inox  316L FF 270</v>
      </c>
      <c r="E2373" s="80" t="s">
        <v>46</v>
      </c>
      <c r="F2373" s="81">
        <v>7</v>
      </c>
      <c r="G2373" s="86" t="s">
        <v>2224</v>
      </c>
      <c r="H2373" s="71"/>
      <c r="I2373" s="75"/>
      <c r="J2373" s="70">
        <f>IFERROR(VLOOKUP(Devis[[#This Row],[Ref Air Flux]],#REF!,3,FALSE),0)</f>
        <v>0</v>
      </c>
      <c r="K2373" s="68"/>
      <c r="L2373" s="68"/>
      <c r="M2373" s="68"/>
      <c r="N2373" s="68"/>
      <c r="O2373" s="68"/>
      <c r="P2373" s="68"/>
      <c r="Q2373" s="68">
        <f>SUM(Devis[[#This Row],[Poste 1]:[Poste 6]])</f>
        <v>0</v>
      </c>
      <c r="R2373" s="111"/>
      <c r="S2373" s="68">
        <f>_xlfn.CEILING.MATH(Devis[[#This Row],[Quantité Totale]],Devis[[#This Row],[Conditionnement]])</f>
        <v>0</v>
      </c>
      <c r="T2373" s="72"/>
      <c r="U2373" s="106" t="s">
        <v>2225</v>
      </c>
      <c r="V2373" s="74">
        <f>Devis[[#This Row],[Prix de Revient]]*Devis[[#This Row],[Poste 1]]</f>
        <v>0</v>
      </c>
      <c r="W2373" s="74">
        <f>Devis[[#This Row],[Prix de Revient]]*Devis[[#This Row],[Poste 2]]</f>
        <v>0</v>
      </c>
      <c r="X2373" s="74">
        <f>Devis[[#This Row],[Prix de Revient]]*Devis[[#This Row],[Poste 3]]</f>
        <v>0</v>
      </c>
      <c r="Y2373" s="74">
        <f>Devis[[#This Row],[Poste 4]]*Devis[[#This Row],[Prix de Revient]]</f>
        <v>0</v>
      </c>
      <c r="Z2373" s="74">
        <f>Devis[[#This Row],[Poste 5]]*Devis[[#This Row],[Prix de Revient]]</f>
        <v>0</v>
      </c>
      <c r="AA2373" s="74">
        <f>Devis[[#This Row],[Prix de Revient]]*Devis[[#This Row],[Poste 6]]</f>
        <v>0</v>
      </c>
      <c r="AB2373" s="74">
        <f>Devis[[#This Row],[Quantité Totale]]*Devis[[#This Row],[Prix de Revient]]</f>
        <v>0</v>
      </c>
    </row>
    <row r="2374" spans="1:28" ht="15" customHeight="1" outlineLevel="1" x14ac:dyDescent="0.2">
      <c r="A2374" s="75" t="s">
        <v>3479</v>
      </c>
      <c r="B2374" s="76" t="s">
        <v>2209</v>
      </c>
      <c r="C2374" s="76"/>
      <c r="D2374" s="81" t="str">
        <f t="shared" si="41"/>
        <v>Inox visséManchons  Fileté inox  316L FF 270</v>
      </c>
      <c r="E2374" s="80" t="s">
        <v>928</v>
      </c>
      <c r="F2374" s="81">
        <v>8</v>
      </c>
      <c r="G2374" s="108" t="s">
        <v>2226</v>
      </c>
      <c r="H2374" s="71"/>
      <c r="I2374" s="75"/>
      <c r="J2374" s="70">
        <f>IFERROR(VLOOKUP(Devis[[#This Row],[Ref Air Flux]],#REF!,3,FALSE),0)</f>
        <v>0</v>
      </c>
      <c r="K2374" s="68"/>
      <c r="L2374" s="68"/>
      <c r="M2374" s="68"/>
      <c r="N2374" s="68"/>
      <c r="O2374" s="68"/>
      <c r="P2374" s="68"/>
      <c r="Q2374" s="68">
        <f>SUM(Devis[[#This Row],[Poste 1]:[Poste 6]])</f>
        <v>0</v>
      </c>
      <c r="R2374" s="111"/>
      <c r="S2374" s="68">
        <f>_xlfn.CEILING.MATH(Devis[[#This Row],[Quantité Totale]],Devis[[#This Row],[Conditionnement]])</f>
        <v>0</v>
      </c>
      <c r="T2374" s="72"/>
      <c r="U2374" s="106"/>
      <c r="V2374" s="74">
        <f>Devis[[#This Row],[Prix de Revient]]*Devis[[#This Row],[Poste 1]]</f>
        <v>0</v>
      </c>
      <c r="W2374" s="74">
        <f>Devis[[#This Row],[Prix de Revient]]*Devis[[#This Row],[Poste 2]]</f>
        <v>0</v>
      </c>
      <c r="X2374" s="74">
        <f>Devis[[#This Row],[Prix de Revient]]*Devis[[#This Row],[Poste 3]]</f>
        <v>0</v>
      </c>
      <c r="Y2374" s="74">
        <f>Devis[[#This Row],[Poste 4]]*Devis[[#This Row],[Prix de Revient]]</f>
        <v>0</v>
      </c>
      <c r="Z2374" s="74">
        <f>Devis[[#This Row],[Poste 5]]*Devis[[#This Row],[Prix de Revient]]</f>
        <v>0</v>
      </c>
      <c r="AA2374" s="74">
        <f>Devis[[#This Row],[Prix de Revient]]*Devis[[#This Row],[Poste 6]]</f>
        <v>0</v>
      </c>
      <c r="AB2374" s="74">
        <f>Devis[[#This Row],[Quantité Totale]]*Devis[[#This Row],[Prix de Revient]]</f>
        <v>0</v>
      </c>
    </row>
    <row r="2375" spans="1:28" ht="14.25" outlineLevel="1" x14ac:dyDescent="0.2">
      <c r="A2375" s="75" t="s">
        <v>3479</v>
      </c>
      <c r="B2375" s="76" t="s">
        <v>2209</v>
      </c>
      <c r="C2375" s="76"/>
      <c r="D2375" s="81" t="str">
        <f t="shared" si="41"/>
        <v>Inox visséManchons  Fileté inox  316L FF 270</v>
      </c>
      <c r="E2375" s="80" t="s">
        <v>16</v>
      </c>
      <c r="F2375" s="81">
        <v>9</v>
      </c>
      <c r="G2375" s="86" t="s">
        <v>2223</v>
      </c>
      <c r="H2375" s="71"/>
      <c r="I2375" s="75"/>
      <c r="J2375" s="70">
        <f>IFERROR(VLOOKUP(Devis[[#This Row],[Ref Air Flux]],#REF!,3,FALSE),0)</f>
        <v>0</v>
      </c>
      <c r="K2375" s="68"/>
      <c r="L2375" s="68"/>
      <c r="M2375" s="68"/>
      <c r="N2375" s="68"/>
      <c r="O2375" s="68"/>
      <c r="P2375" s="68"/>
      <c r="Q2375" s="68">
        <f>SUM(Devis[[#This Row],[Poste 1]:[Poste 6]])</f>
        <v>0</v>
      </c>
      <c r="R2375" s="111"/>
      <c r="S2375" s="68">
        <f>_xlfn.CEILING.MATH(Devis[[#This Row],[Quantité Totale]],Devis[[#This Row],[Conditionnement]])</f>
        <v>0</v>
      </c>
      <c r="T2375" s="72"/>
      <c r="U2375" s="106"/>
      <c r="V2375" s="74">
        <f>Devis[[#This Row],[Prix de Revient]]*Devis[[#This Row],[Poste 1]]</f>
        <v>0</v>
      </c>
      <c r="W2375" s="74">
        <f>Devis[[#This Row],[Prix de Revient]]*Devis[[#This Row],[Poste 2]]</f>
        <v>0</v>
      </c>
      <c r="X2375" s="74">
        <f>Devis[[#This Row],[Prix de Revient]]*Devis[[#This Row],[Poste 3]]</f>
        <v>0</v>
      </c>
      <c r="Y2375" s="74">
        <f>Devis[[#This Row],[Poste 4]]*Devis[[#This Row],[Prix de Revient]]</f>
        <v>0</v>
      </c>
      <c r="Z2375" s="74">
        <f>Devis[[#This Row],[Poste 5]]*Devis[[#This Row],[Prix de Revient]]</f>
        <v>0</v>
      </c>
      <c r="AA2375" s="74">
        <f>Devis[[#This Row],[Prix de Revient]]*Devis[[#This Row],[Poste 6]]</f>
        <v>0</v>
      </c>
      <c r="AB2375" s="74">
        <f>Devis[[#This Row],[Quantité Totale]]*Devis[[#This Row],[Prix de Revient]]</f>
        <v>0</v>
      </c>
    </row>
    <row r="2376" spans="1:28" ht="14.25" outlineLevel="1" x14ac:dyDescent="0.2">
      <c r="A2376" s="75" t="s">
        <v>3479</v>
      </c>
      <c r="B2376" s="76" t="s">
        <v>2209</v>
      </c>
      <c r="C2376" s="76"/>
      <c r="D2376" s="81" t="str">
        <f t="shared" si="41"/>
        <v>Inox visséManchons  Fileté inox  316L FF 270</v>
      </c>
      <c r="E2376" s="76" t="s">
        <v>0</v>
      </c>
      <c r="F2376" s="81">
        <v>10</v>
      </c>
      <c r="G2376" s="86" t="s">
        <v>2212</v>
      </c>
      <c r="H2376" s="71"/>
      <c r="I2376" s="75"/>
      <c r="J2376" s="70">
        <f>IFERROR(VLOOKUP(Devis[[#This Row],[Ref Air Flux]],#REF!,3,FALSE),0)</f>
        <v>0</v>
      </c>
      <c r="K2376" s="68"/>
      <c r="L2376" s="68"/>
      <c r="M2376" s="68"/>
      <c r="N2376" s="68"/>
      <c r="O2376" s="68"/>
      <c r="P2376" s="68"/>
      <c r="Q2376" s="68">
        <f>SUM(Devis[[#This Row],[Poste 1]:[Poste 6]])</f>
        <v>0</v>
      </c>
      <c r="R2376" s="111"/>
      <c r="S2376" s="68">
        <f>_xlfn.CEILING.MATH(Devis[[#This Row],[Quantité Totale]],Devis[[#This Row],[Conditionnement]])</f>
        <v>0</v>
      </c>
      <c r="T2376" s="72"/>
      <c r="U2376" s="106" t="s">
        <v>2213</v>
      </c>
      <c r="V2376" s="74">
        <f>Devis[[#This Row],[Prix de Revient]]*Devis[[#This Row],[Poste 1]]</f>
        <v>0</v>
      </c>
      <c r="W2376" s="74">
        <f>Devis[[#This Row],[Prix de Revient]]*Devis[[#This Row],[Poste 2]]</f>
        <v>0</v>
      </c>
      <c r="X2376" s="74">
        <f>Devis[[#This Row],[Prix de Revient]]*Devis[[#This Row],[Poste 3]]</f>
        <v>0</v>
      </c>
      <c r="Y2376" s="74">
        <f>Devis[[#This Row],[Poste 4]]*Devis[[#This Row],[Prix de Revient]]</f>
        <v>0</v>
      </c>
      <c r="Z2376" s="74">
        <f>Devis[[#This Row],[Poste 5]]*Devis[[#This Row],[Prix de Revient]]</f>
        <v>0</v>
      </c>
      <c r="AA2376" s="74">
        <f>Devis[[#This Row],[Prix de Revient]]*Devis[[#This Row],[Poste 6]]</f>
        <v>0</v>
      </c>
      <c r="AB2376" s="74">
        <f>Devis[[#This Row],[Quantité Totale]]*Devis[[#This Row],[Prix de Revient]]</f>
        <v>0</v>
      </c>
    </row>
    <row r="2377" spans="1:28" ht="14.25" outlineLevel="1" x14ac:dyDescent="0.2">
      <c r="A2377" s="75" t="s">
        <v>3479</v>
      </c>
      <c r="B2377" s="76" t="s">
        <v>2209</v>
      </c>
      <c r="C2377" s="76"/>
      <c r="D2377" s="81" t="str">
        <f t="shared" si="41"/>
        <v>Inox visséManchons  Fileté inox  316L FF 270</v>
      </c>
      <c r="E2377" s="80" t="s">
        <v>18</v>
      </c>
      <c r="F2377" s="81">
        <v>11</v>
      </c>
      <c r="G2377" s="86" t="s">
        <v>2219</v>
      </c>
      <c r="H2377" s="71"/>
      <c r="I2377" s="75"/>
      <c r="J2377" s="70">
        <f>IFERROR(VLOOKUP(Devis[[#This Row],[Ref Air Flux]],#REF!,3,FALSE),0)</f>
        <v>0</v>
      </c>
      <c r="K2377" s="68"/>
      <c r="L2377" s="68"/>
      <c r="M2377" s="68"/>
      <c r="N2377" s="68"/>
      <c r="O2377" s="68"/>
      <c r="P2377" s="68"/>
      <c r="Q2377" s="68">
        <f>SUM(Devis[[#This Row],[Poste 1]:[Poste 6]])</f>
        <v>0</v>
      </c>
      <c r="R2377" s="111"/>
      <c r="S2377" s="68">
        <f>_xlfn.CEILING.MATH(Devis[[#This Row],[Quantité Totale]],Devis[[#This Row],[Conditionnement]])</f>
        <v>0</v>
      </c>
      <c r="T2377" s="72"/>
      <c r="U2377" s="106" t="s">
        <v>2220</v>
      </c>
      <c r="V2377" s="74">
        <f>Devis[[#This Row],[Prix de Revient]]*Devis[[#This Row],[Poste 1]]</f>
        <v>0</v>
      </c>
      <c r="W2377" s="74">
        <f>Devis[[#This Row],[Prix de Revient]]*Devis[[#This Row],[Poste 2]]</f>
        <v>0</v>
      </c>
      <c r="X2377" s="74">
        <f>Devis[[#This Row],[Prix de Revient]]*Devis[[#This Row],[Poste 3]]</f>
        <v>0</v>
      </c>
      <c r="Y2377" s="74">
        <f>Devis[[#This Row],[Poste 4]]*Devis[[#This Row],[Prix de Revient]]</f>
        <v>0</v>
      </c>
      <c r="Z2377" s="74">
        <f>Devis[[#This Row],[Poste 5]]*Devis[[#This Row],[Prix de Revient]]</f>
        <v>0</v>
      </c>
      <c r="AA2377" s="74">
        <f>Devis[[#This Row],[Prix de Revient]]*Devis[[#This Row],[Poste 6]]</f>
        <v>0</v>
      </c>
      <c r="AB2377" s="74">
        <f>Devis[[#This Row],[Quantité Totale]]*Devis[[#This Row],[Prix de Revient]]</f>
        <v>0</v>
      </c>
    </row>
    <row r="2378" spans="1:28" ht="14.25" customHeight="1" x14ac:dyDescent="0.25">
      <c r="A2378" s="65" t="s">
        <v>3479</v>
      </c>
      <c r="B2378" s="65" t="s">
        <v>2285</v>
      </c>
      <c r="C2378" s="76"/>
      <c r="D2378" s="81" t="str">
        <f t="shared" si="41"/>
        <v xml:space="preserve">Inox visséRéductions   MF inox 316 L filété  241 </v>
      </c>
      <c r="E2378" s="76"/>
      <c r="F2378" s="81">
        <v>0</v>
      </c>
      <c r="G2378" s="86"/>
      <c r="H2378" s="71"/>
      <c r="I2378" s="75"/>
      <c r="J2378" s="70">
        <f>IFERROR(VLOOKUP(Devis[[#This Row],[Ref Air Flux]],#REF!,3,FALSE),0)</f>
        <v>0</v>
      </c>
      <c r="K2378" s="68"/>
      <c r="L2378" s="68"/>
      <c r="M2378" s="68"/>
      <c r="N2378" s="68"/>
      <c r="O2378" s="68"/>
      <c r="P2378" s="68"/>
      <c r="Q2378" s="68">
        <f>SUM(Devis[[#This Row],[Poste 1]:[Poste 6]])</f>
        <v>0</v>
      </c>
      <c r="R2378" s="111"/>
      <c r="S2378" s="68">
        <f>_xlfn.CEILING.MATH(Devis[[#This Row],[Quantité Totale]],Devis[[#This Row],[Conditionnement]])</f>
        <v>0</v>
      </c>
      <c r="T2378" s="72"/>
      <c r="U2378" s="106"/>
      <c r="V2378" s="74">
        <f>Devis[[#This Row],[Prix de Revient]]*Devis[[#This Row],[Poste 1]]</f>
        <v>0</v>
      </c>
      <c r="W2378" s="74">
        <f>Devis[[#This Row],[Prix de Revient]]*Devis[[#This Row],[Poste 2]]</f>
        <v>0</v>
      </c>
      <c r="X2378" s="74">
        <f>Devis[[#This Row],[Prix de Revient]]*Devis[[#This Row],[Poste 3]]</f>
        <v>0</v>
      </c>
      <c r="Y2378" s="74">
        <f>Devis[[#This Row],[Poste 4]]*Devis[[#This Row],[Prix de Revient]]</f>
        <v>0</v>
      </c>
      <c r="Z2378" s="74">
        <f>Devis[[#This Row],[Poste 5]]*Devis[[#This Row],[Prix de Revient]]</f>
        <v>0</v>
      </c>
      <c r="AA2378" s="74">
        <f>Devis[[#This Row],[Prix de Revient]]*Devis[[#This Row],[Poste 6]]</f>
        <v>0</v>
      </c>
      <c r="AB2378" s="74">
        <f>Devis[[#This Row],[Quantité Totale]]*Devis[[#This Row],[Prix de Revient]]</f>
        <v>0</v>
      </c>
    </row>
    <row r="2379" spans="1:28" ht="15" customHeight="1" outlineLevel="1" x14ac:dyDescent="0.2">
      <c r="A2379" s="75" t="s">
        <v>3479</v>
      </c>
      <c r="B2379" s="76" t="s">
        <v>2285</v>
      </c>
      <c r="C2379" s="76"/>
      <c r="D2379" s="81" t="str">
        <f t="shared" si="41"/>
        <v xml:space="preserve">Inox visséRéductions   MF inox 316 L filété  241 </v>
      </c>
      <c r="E2379" s="76" t="s">
        <v>1220</v>
      </c>
      <c r="F2379" s="81">
        <v>1</v>
      </c>
      <c r="G2379" s="86" t="s">
        <v>2294</v>
      </c>
      <c r="H2379" s="71"/>
      <c r="I2379" s="75"/>
      <c r="J2379" s="70">
        <f>IFERROR(VLOOKUP(Devis[[#This Row],[Ref Air Flux]],#REF!,3,FALSE),0)</f>
        <v>0</v>
      </c>
      <c r="K2379" s="68"/>
      <c r="L2379" s="68"/>
      <c r="M2379" s="68"/>
      <c r="N2379" s="68"/>
      <c r="O2379" s="68"/>
      <c r="P2379" s="68"/>
      <c r="Q2379" s="68">
        <f>SUM(Devis[[#This Row],[Poste 1]:[Poste 6]])</f>
        <v>0</v>
      </c>
      <c r="R2379" s="111"/>
      <c r="S2379" s="68">
        <f>_xlfn.CEILING.MATH(Devis[[#This Row],[Quantité Totale]],Devis[[#This Row],[Conditionnement]])</f>
        <v>0</v>
      </c>
      <c r="T2379" s="72"/>
      <c r="U2379" s="106"/>
      <c r="V2379" s="74">
        <f>Devis[[#This Row],[Prix de Revient]]*Devis[[#This Row],[Poste 1]]</f>
        <v>0</v>
      </c>
      <c r="W2379" s="74">
        <f>Devis[[#This Row],[Prix de Revient]]*Devis[[#This Row],[Poste 2]]</f>
        <v>0</v>
      </c>
      <c r="X2379" s="74">
        <f>Devis[[#This Row],[Prix de Revient]]*Devis[[#This Row],[Poste 3]]</f>
        <v>0</v>
      </c>
      <c r="Y2379" s="74">
        <f>Devis[[#This Row],[Poste 4]]*Devis[[#This Row],[Prix de Revient]]</f>
        <v>0</v>
      </c>
      <c r="Z2379" s="74">
        <f>Devis[[#This Row],[Poste 5]]*Devis[[#This Row],[Prix de Revient]]</f>
        <v>0</v>
      </c>
      <c r="AA2379" s="74">
        <f>Devis[[#This Row],[Prix de Revient]]*Devis[[#This Row],[Poste 6]]</f>
        <v>0</v>
      </c>
      <c r="AB2379" s="74">
        <f>Devis[[#This Row],[Quantité Totale]]*Devis[[#This Row],[Prix de Revient]]</f>
        <v>0</v>
      </c>
    </row>
    <row r="2380" spans="1:28" ht="14.25" customHeight="1" outlineLevel="1" x14ac:dyDescent="0.2">
      <c r="A2380" s="75" t="s">
        <v>3479</v>
      </c>
      <c r="B2380" s="76" t="s">
        <v>2285</v>
      </c>
      <c r="C2380" s="76"/>
      <c r="D2380" s="81" t="str">
        <f t="shared" si="41"/>
        <v xml:space="preserve">Inox visséRéductions   MF inox 316 L filété  241 </v>
      </c>
      <c r="E2380" s="76" t="s">
        <v>1218</v>
      </c>
      <c r="F2380" s="81">
        <v>2</v>
      </c>
      <c r="G2380" s="86" t="s">
        <v>2293</v>
      </c>
      <c r="H2380" s="71"/>
      <c r="I2380" s="75"/>
      <c r="J2380" s="70">
        <f>IFERROR(VLOOKUP(Devis[[#This Row],[Ref Air Flux]],#REF!,3,FALSE),0)</f>
        <v>0</v>
      </c>
      <c r="K2380" s="68"/>
      <c r="L2380" s="68"/>
      <c r="M2380" s="68"/>
      <c r="N2380" s="68"/>
      <c r="O2380" s="68"/>
      <c r="P2380" s="68"/>
      <c r="Q2380" s="68">
        <f>SUM(Devis[[#This Row],[Poste 1]:[Poste 6]])</f>
        <v>0</v>
      </c>
      <c r="R2380" s="111"/>
      <c r="S2380" s="68">
        <f>_xlfn.CEILING.MATH(Devis[[#This Row],[Quantité Totale]],Devis[[#This Row],[Conditionnement]])</f>
        <v>0</v>
      </c>
      <c r="T2380" s="72"/>
      <c r="U2380" s="106"/>
      <c r="V2380" s="74">
        <f>Devis[[#This Row],[Prix de Revient]]*Devis[[#This Row],[Poste 1]]</f>
        <v>0</v>
      </c>
      <c r="W2380" s="74">
        <f>Devis[[#This Row],[Prix de Revient]]*Devis[[#This Row],[Poste 2]]</f>
        <v>0</v>
      </c>
      <c r="X2380" s="74">
        <f>Devis[[#This Row],[Prix de Revient]]*Devis[[#This Row],[Poste 3]]</f>
        <v>0</v>
      </c>
      <c r="Y2380" s="74">
        <f>Devis[[#This Row],[Poste 4]]*Devis[[#This Row],[Prix de Revient]]</f>
        <v>0</v>
      </c>
      <c r="Z2380" s="74">
        <f>Devis[[#This Row],[Poste 5]]*Devis[[#This Row],[Prix de Revient]]</f>
        <v>0</v>
      </c>
      <c r="AA2380" s="74">
        <f>Devis[[#This Row],[Prix de Revient]]*Devis[[#This Row],[Poste 6]]</f>
        <v>0</v>
      </c>
      <c r="AB2380" s="74">
        <f>Devis[[#This Row],[Quantité Totale]]*Devis[[#This Row],[Prix de Revient]]</f>
        <v>0</v>
      </c>
    </row>
    <row r="2381" spans="1:28" ht="14.25" outlineLevel="1" x14ac:dyDescent="0.2">
      <c r="A2381" s="75" t="s">
        <v>3479</v>
      </c>
      <c r="B2381" s="76" t="s">
        <v>2285</v>
      </c>
      <c r="C2381" s="76"/>
      <c r="D2381" s="81" t="str">
        <f t="shared" si="41"/>
        <v xml:space="preserve">Inox visséRéductions   MF inox 316 L filété  241 </v>
      </c>
      <c r="E2381" s="76" t="s">
        <v>1224</v>
      </c>
      <c r="F2381" s="81">
        <v>3</v>
      </c>
      <c r="G2381" s="108" t="s">
        <v>2296</v>
      </c>
      <c r="H2381" s="71"/>
      <c r="I2381" s="75"/>
      <c r="J2381" s="70">
        <f>IFERROR(VLOOKUP(Devis[[#This Row],[Ref Air Flux]],#REF!,3,FALSE),0)</f>
        <v>0</v>
      </c>
      <c r="K2381" s="68"/>
      <c r="L2381" s="68"/>
      <c r="M2381" s="68"/>
      <c r="N2381" s="68"/>
      <c r="O2381" s="68"/>
      <c r="P2381" s="68"/>
      <c r="Q2381" s="68">
        <f>SUM(Devis[[#This Row],[Poste 1]:[Poste 6]])</f>
        <v>0</v>
      </c>
      <c r="R2381" s="111"/>
      <c r="S2381" s="68">
        <f>_xlfn.CEILING.MATH(Devis[[#This Row],[Quantité Totale]],Devis[[#This Row],[Conditionnement]])</f>
        <v>0</v>
      </c>
      <c r="T2381" s="72"/>
      <c r="U2381" s="106"/>
      <c r="V2381" s="74">
        <f>Devis[[#This Row],[Prix de Revient]]*Devis[[#This Row],[Poste 1]]</f>
        <v>0</v>
      </c>
      <c r="W2381" s="74">
        <f>Devis[[#This Row],[Prix de Revient]]*Devis[[#This Row],[Poste 2]]</f>
        <v>0</v>
      </c>
      <c r="X2381" s="74">
        <f>Devis[[#This Row],[Prix de Revient]]*Devis[[#This Row],[Poste 3]]</f>
        <v>0</v>
      </c>
      <c r="Y2381" s="74">
        <f>Devis[[#This Row],[Poste 4]]*Devis[[#This Row],[Prix de Revient]]</f>
        <v>0</v>
      </c>
      <c r="Z2381" s="74">
        <f>Devis[[#This Row],[Poste 5]]*Devis[[#This Row],[Prix de Revient]]</f>
        <v>0</v>
      </c>
      <c r="AA2381" s="74">
        <f>Devis[[#This Row],[Prix de Revient]]*Devis[[#This Row],[Poste 6]]</f>
        <v>0</v>
      </c>
      <c r="AB2381" s="74">
        <f>Devis[[#This Row],[Quantité Totale]]*Devis[[#This Row],[Prix de Revient]]</f>
        <v>0</v>
      </c>
    </row>
    <row r="2382" spans="1:28" ht="14.25" outlineLevel="1" x14ac:dyDescent="0.2">
      <c r="A2382" s="75" t="s">
        <v>3479</v>
      </c>
      <c r="B2382" s="76" t="s">
        <v>2285</v>
      </c>
      <c r="C2382" s="76"/>
      <c r="D2382" s="81" t="str">
        <f t="shared" si="41"/>
        <v xml:space="preserve">Inox visséRéductions   MF inox 316 L filété  241 </v>
      </c>
      <c r="E2382" s="76" t="s">
        <v>1222</v>
      </c>
      <c r="F2382" s="81">
        <v>4</v>
      </c>
      <c r="G2382" s="86" t="s">
        <v>2295</v>
      </c>
      <c r="H2382" s="71"/>
      <c r="I2382" s="75"/>
      <c r="J2382" s="70">
        <f>IFERROR(VLOOKUP(Devis[[#This Row],[Ref Air Flux]],#REF!,3,FALSE),0)</f>
        <v>0</v>
      </c>
      <c r="K2382" s="68"/>
      <c r="L2382" s="68"/>
      <c r="M2382" s="68"/>
      <c r="N2382" s="68"/>
      <c r="O2382" s="68"/>
      <c r="P2382" s="68"/>
      <c r="Q2382" s="68">
        <f>SUM(Devis[[#This Row],[Poste 1]:[Poste 6]])</f>
        <v>0</v>
      </c>
      <c r="R2382" s="111"/>
      <c r="S2382" s="68">
        <f>_xlfn.CEILING.MATH(Devis[[#This Row],[Quantité Totale]],Devis[[#This Row],[Conditionnement]])</f>
        <v>0</v>
      </c>
      <c r="T2382" s="72"/>
      <c r="U2382" s="106"/>
      <c r="V2382" s="74">
        <f>Devis[[#This Row],[Prix de Revient]]*Devis[[#This Row],[Poste 1]]</f>
        <v>0</v>
      </c>
      <c r="W2382" s="74">
        <f>Devis[[#This Row],[Prix de Revient]]*Devis[[#This Row],[Poste 2]]</f>
        <v>0</v>
      </c>
      <c r="X2382" s="74">
        <f>Devis[[#This Row],[Prix de Revient]]*Devis[[#This Row],[Poste 3]]</f>
        <v>0</v>
      </c>
      <c r="Y2382" s="74">
        <f>Devis[[#This Row],[Poste 4]]*Devis[[#This Row],[Prix de Revient]]</f>
        <v>0</v>
      </c>
      <c r="Z2382" s="74">
        <f>Devis[[#This Row],[Poste 5]]*Devis[[#This Row],[Prix de Revient]]</f>
        <v>0</v>
      </c>
      <c r="AA2382" s="74">
        <f>Devis[[#This Row],[Prix de Revient]]*Devis[[#This Row],[Poste 6]]</f>
        <v>0</v>
      </c>
      <c r="AB2382" s="74">
        <f>Devis[[#This Row],[Quantité Totale]]*Devis[[#This Row],[Prix de Revient]]</f>
        <v>0</v>
      </c>
    </row>
    <row r="2383" spans="1:28" ht="14.25" outlineLevel="1" x14ac:dyDescent="0.2">
      <c r="A2383" s="75" t="s">
        <v>3479</v>
      </c>
      <c r="B2383" s="76" t="s">
        <v>2285</v>
      </c>
      <c r="C2383" s="76"/>
      <c r="D2383" s="81" t="str">
        <f t="shared" si="41"/>
        <v xml:space="preserve">Inox visséRéductions   MF inox 316 L filété  241 </v>
      </c>
      <c r="E2383" s="80" t="s">
        <v>2303</v>
      </c>
      <c r="F2383" s="81">
        <v>5</v>
      </c>
      <c r="G2383" s="86" t="s">
        <v>2304</v>
      </c>
      <c r="H2383" s="71"/>
      <c r="I2383" s="75"/>
      <c r="J2383" s="70">
        <f>IFERROR(VLOOKUP(Devis[[#This Row],[Ref Air Flux]],#REF!,3,FALSE),0)</f>
        <v>0</v>
      </c>
      <c r="K2383" s="68"/>
      <c r="L2383" s="68"/>
      <c r="M2383" s="68"/>
      <c r="N2383" s="68"/>
      <c r="O2383" s="68"/>
      <c r="P2383" s="68"/>
      <c r="Q2383" s="68">
        <f>SUM(Devis[[#This Row],[Poste 1]:[Poste 6]])</f>
        <v>0</v>
      </c>
      <c r="R2383" s="111"/>
      <c r="S2383" s="68">
        <f>_xlfn.CEILING.MATH(Devis[[#This Row],[Quantité Totale]],Devis[[#This Row],[Conditionnement]])</f>
        <v>0</v>
      </c>
      <c r="T2383" s="72"/>
      <c r="U2383" s="106"/>
      <c r="V2383" s="74">
        <f>Devis[[#This Row],[Prix de Revient]]*Devis[[#This Row],[Poste 1]]</f>
        <v>0</v>
      </c>
      <c r="W2383" s="74">
        <f>Devis[[#This Row],[Prix de Revient]]*Devis[[#This Row],[Poste 2]]</f>
        <v>0</v>
      </c>
      <c r="X2383" s="74">
        <f>Devis[[#This Row],[Prix de Revient]]*Devis[[#This Row],[Poste 3]]</f>
        <v>0</v>
      </c>
      <c r="Y2383" s="74">
        <f>Devis[[#This Row],[Poste 4]]*Devis[[#This Row],[Prix de Revient]]</f>
        <v>0</v>
      </c>
      <c r="Z2383" s="74">
        <f>Devis[[#This Row],[Poste 5]]*Devis[[#This Row],[Prix de Revient]]</f>
        <v>0</v>
      </c>
      <c r="AA2383" s="74">
        <f>Devis[[#This Row],[Prix de Revient]]*Devis[[#This Row],[Poste 6]]</f>
        <v>0</v>
      </c>
      <c r="AB2383" s="74">
        <f>Devis[[#This Row],[Quantité Totale]]*Devis[[#This Row],[Prix de Revient]]</f>
        <v>0</v>
      </c>
    </row>
    <row r="2384" spans="1:28" ht="14.25" customHeight="1" outlineLevel="1" x14ac:dyDescent="0.2">
      <c r="A2384" s="75" t="s">
        <v>3479</v>
      </c>
      <c r="B2384" s="76" t="s">
        <v>2285</v>
      </c>
      <c r="C2384" s="76"/>
      <c r="D2384" s="81" t="str">
        <f t="shared" si="41"/>
        <v xml:space="preserve">Inox visséRéductions   MF inox 316 L filété  241 </v>
      </c>
      <c r="E2384" s="76" t="s">
        <v>1226</v>
      </c>
      <c r="F2384" s="81">
        <v>6</v>
      </c>
      <c r="G2384" s="86" t="s">
        <v>2297</v>
      </c>
      <c r="H2384" s="71"/>
      <c r="I2384" s="75"/>
      <c r="J2384" s="70">
        <f>IFERROR(VLOOKUP(Devis[[#This Row],[Ref Air Flux]],#REF!,3,FALSE),0)</f>
        <v>0</v>
      </c>
      <c r="K2384" s="68"/>
      <c r="L2384" s="68"/>
      <c r="M2384" s="68"/>
      <c r="N2384" s="68"/>
      <c r="O2384" s="68"/>
      <c r="P2384" s="68"/>
      <c r="Q2384" s="68">
        <f>SUM(Devis[[#This Row],[Poste 1]:[Poste 6]])</f>
        <v>0</v>
      </c>
      <c r="R2384" s="111"/>
      <c r="S2384" s="68">
        <f>_xlfn.CEILING.MATH(Devis[[#This Row],[Quantité Totale]],Devis[[#This Row],[Conditionnement]])</f>
        <v>0</v>
      </c>
      <c r="T2384" s="72"/>
      <c r="U2384" s="106"/>
      <c r="V2384" s="74">
        <f>Devis[[#This Row],[Prix de Revient]]*Devis[[#This Row],[Poste 1]]</f>
        <v>0</v>
      </c>
      <c r="W2384" s="74">
        <f>Devis[[#This Row],[Prix de Revient]]*Devis[[#This Row],[Poste 2]]</f>
        <v>0</v>
      </c>
      <c r="X2384" s="74">
        <f>Devis[[#This Row],[Prix de Revient]]*Devis[[#This Row],[Poste 3]]</f>
        <v>0</v>
      </c>
      <c r="Y2384" s="74">
        <f>Devis[[#This Row],[Poste 4]]*Devis[[#This Row],[Prix de Revient]]</f>
        <v>0</v>
      </c>
      <c r="Z2384" s="74">
        <f>Devis[[#This Row],[Poste 5]]*Devis[[#This Row],[Prix de Revient]]</f>
        <v>0</v>
      </c>
      <c r="AA2384" s="74">
        <f>Devis[[#This Row],[Prix de Revient]]*Devis[[#This Row],[Poste 6]]</f>
        <v>0</v>
      </c>
      <c r="AB2384" s="74">
        <f>Devis[[#This Row],[Quantité Totale]]*Devis[[#This Row],[Prix de Revient]]</f>
        <v>0</v>
      </c>
    </row>
    <row r="2385" spans="1:28" ht="14.25" customHeight="1" outlineLevel="1" x14ac:dyDescent="0.2">
      <c r="A2385" s="75" t="s">
        <v>3479</v>
      </c>
      <c r="B2385" s="76" t="s">
        <v>2285</v>
      </c>
      <c r="C2385" s="76"/>
      <c r="D2385" s="81" t="str">
        <f t="shared" si="41"/>
        <v xml:space="preserve">Inox visséRéductions   MF inox 316 L filété  241 </v>
      </c>
      <c r="E2385" s="76" t="s">
        <v>1230</v>
      </c>
      <c r="F2385" s="81">
        <v>7</v>
      </c>
      <c r="G2385" s="108" t="s">
        <v>2299</v>
      </c>
      <c r="H2385" s="71"/>
      <c r="I2385" s="75"/>
      <c r="J2385" s="70">
        <f>IFERROR(VLOOKUP(Devis[[#This Row],[Ref Air Flux]],#REF!,3,FALSE),0)</f>
        <v>0</v>
      </c>
      <c r="K2385" s="68"/>
      <c r="L2385" s="68"/>
      <c r="M2385" s="68"/>
      <c r="N2385" s="68"/>
      <c r="O2385" s="68"/>
      <c r="P2385" s="68"/>
      <c r="Q2385" s="68">
        <f>SUM(Devis[[#This Row],[Poste 1]:[Poste 6]])</f>
        <v>0</v>
      </c>
      <c r="R2385" s="111"/>
      <c r="S2385" s="68">
        <f>_xlfn.CEILING.MATH(Devis[[#This Row],[Quantité Totale]],Devis[[#This Row],[Conditionnement]])</f>
        <v>0</v>
      </c>
      <c r="T2385" s="72"/>
      <c r="U2385" s="106"/>
      <c r="V2385" s="74">
        <f>Devis[[#This Row],[Prix de Revient]]*Devis[[#This Row],[Poste 1]]</f>
        <v>0</v>
      </c>
      <c r="W2385" s="74">
        <f>Devis[[#This Row],[Prix de Revient]]*Devis[[#This Row],[Poste 2]]</f>
        <v>0</v>
      </c>
      <c r="X2385" s="74">
        <f>Devis[[#This Row],[Prix de Revient]]*Devis[[#This Row],[Poste 3]]</f>
        <v>0</v>
      </c>
      <c r="Y2385" s="74">
        <f>Devis[[#This Row],[Poste 4]]*Devis[[#This Row],[Prix de Revient]]</f>
        <v>0</v>
      </c>
      <c r="Z2385" s="74">
        <f>Devis[[#This Row],[Poste 5]]*Devis[[#This Row],[Prix de Revient]]</f>
        <v>0</v>
      </c>
      <c r="AA2385" s="74">
        <f>Devis[[#This Row],[Prix de Revient]]*Devis[[#This Row],[Poste 6]]</f>
        <v>0</v>
      </c>
      <c r="AB2385" s="74">
        <f>Devis[[#This Row],[Quantité Totale]]*Devis[[#This Row],[Prix de Revient]]</f>
        <v>0</v>
      </c>
    </row>
    <row r="2386" spans="1:28" ht="14.25" outlineLevel="1" x14ac:dyDescent="0.2">
      <c r="A2386" s="75" t="s">
        <v>3479</v>
      </c>
      <c r="B2386" s="76" t="s">
        <v>2285</v>
      </c>
      <c r="C2386" s="76"/>
      <c r="D2386" s="81" t="str">
        <f t="shared" si="41"/>
        <v xml:space="preserve">Inox visséRéductions   MF inox 316 L filété  241 </v>
      </c>
      <c r="E2386" s="76" t="s">
        <v>1228</v>
      </c>
      <c r="F2386" s="81">
        <v>8</v>
      </c>
      <c r="G2386" s="86" t="s">
        <v>2298</v>
      </c>
      <c r="H2386" s="71"/>
      <c r="I2386" s="75"/>
      <c r="J2386" s="70">
        <f>IFERROR(VLOOKUP(Devis[[#This Row],[Ref Air Flux]],#REF!,3,FALSE),0)</f>
        <v>0</v>
      </c>
      <c r="K2386" s="68"/>
      <c r="L2386" s="68"/>
      <c r="M2386" s="68"/>
      <c r="N2386" s="68"/>
      <c r="O2386" s="68"/>
      <c r="P2386" s="68"/>
      <c r="Q2386" s="68">
        <f>SUM(Devis[[#This Row],[Poste 1]:[Poste 6]])</f>
        <v>0</v>
      </c>
      <c r="R2386" s="111"/>
      <c r="S2386" s="68">
        <f>_xlfn.CEILING.MATH(Devis[[#This Row],[Quantité Totale]],Devis[[#This Row],[Conditionnement]])</f>
        <v>0</v>
      </c>
      <c r="T2386" s="72"/>
      <c r="U2386" s="106"/>
      <c r="V2386" s="74">
        <f>Devis[[#This Row],[Prix de Revient]]*Devis[[#This Row],[Poste 1]]</f>
        <v>0</v>
      </c>
      <c r="W2386" s="74">
        <f>Devis[[#This Row],[Prix de Revient]]*Devis[[#This Row],[Poste 2]]</f>
        <v>0</v>
      </c>
      <c r="X2386" s="74">
        <f>Devis[[#This Row],[Prix de Revient]]*Devis[[#This Row],[Poste 3]]</f>
        <v>0</v>
      </c>
      <c r="Y2386" s="74">
        <f>Devis[[#This Row],[Poste 4]]*Devis[[#This Row],[Prix de Revient]]</f>
        <v>0</v>
      </c>
      <c r="Z2386" s="74">
        <f>Devis[[#This Row],[Poste 5]]*Devis[[#This Row],[Prix de Revient]]</f>
        <v>0</v>
      </c>
      <c r="AA2386" s="74">
        <f>Devis[[#This Row],[Prix de Revient]]*Devis[[#This Row],[Poste 6]]</f>
        <v>0</v>
      </c>
      <c r="AB2386" s="74">
        <f>Devis[[#This Row],[Quantité Totale]]*Devis[[#This Row],[Prix de Revient]]</f>
        <v>0</v>
      </c>
    </row>
    <row r="2387" spans="1:28" ht="14.25" outlineLevel="1" x14ac:dyDescent="0.2">
      <c r="A2387" s="75" t="s">
        <v>3479</v>
      </c>
      <c r="B2387" s="76" t="s">
        <v>2285</v>
      </c>
      <c r="C2387" s="80"/>
      <c r="D2387" s="81" t="str">
        <f t="shared" si="41"/>
        <v xml:space="preserve">Inox visséRéductions   MF inox 316 L filété  241 </v>
      </c>
      <c r="E2387" s="80" t="s">
        <v>1101</v>
      </c>
      <c r="F2387" s="81">
        <v>9</v>
      </c>
      <c r="G2387" s="86" t="s">
        <v>2309</v>
      </c>
      <c r="H2387" s="71"/>
      <c r="I2387" s="75"/>
      <c r="J2387" s="70">
        <f>IFERROR(VLOOKUP(Devis[[#This Row],[Ref Air Flux]],#REF!,3,FALSE),0)</f>
        <v>0</v>
      </c>
      <c r="K2387" s="68"/>
      <c r="L2387" s="68"/>
      <c r="M2387" s="68"/>
      <c r="N2387" s="68"/>
      <c r="O2387" s="68"/>
      <c r="P2387" s="68"/>
      <c r="Q2387" s="68">
        <f>SUM(Devis[[#This Row],[Poste 1]:[Poste 6]])</f>
        <v>0</v>
      </c>
      <c r="R2387" s="111"/>
      <c r="S2387" s="68">
        <f>_xlfn.CEILING.MATH(Devis[[#This Row],[Quantité Totale]],Devis[[#This Row],[Conditionnement]])</f>
        <v>0</v>
      </c>
      <c r="T2387" s="72"/>
      <c r="U2387" s="106"/>
      <c r="V2387" s="74">
        <f>Devis[[#This Row],[Prix de Revient]]*Devis[[#This Row],[Poste 1]]</f>
        <v>0</v>
      </c>
      <c r="W2387" s="74">
        <f>Devis[[#This Row],[Prix de Revient]]*Devis[[#This Row],[Poste 2]]</f>
        <v>0</v>
      </c>
      <c r="X2387" s="74">
        <f>Devis[[#This Row],[Prix de Revient]]*Devis[[#This Row],[Poste 3]]</f>
        <v>0</v>
      </c>
      <c r="Y2387" s="74">
        <f>Devis[[#This Row],[Poste 4]]*Devis[[#This Row],[Prix de Revient]]</f>
        <v>0</v>
      </c>
      <c r="Z2387" s="74">
        <f>Devis[[#This Row],[Poste 5]]*Devis[[#This Row],[Prix de Revient]]</f>
        <v>0</v>
      </c>
      <c r="AA2387" s="74">
        <f>Devis[[#This Row],[Prix de Revient]]*Devis[[#This Row],[Poste 6]]</f>
        <v>0</v>
      </c>
      <c r="AB2387" s="74">
        <f>Devis[[#This Row],[Quantité Totale]]*Devis[[#This Row],[Prix de Revient]]</f>
        <v>0</v>
      </c>
    </row>
    <row r="2388" spans="1:28" ht="14.25" outlineLevel="1" x14ac:dyDescent="0.2">
      <c r="A2388" s="75" t="s">
        <v>3479</v>
      </c>
      <c r="B2388" s="76" t="s">
        <v>2285</v>
      </c>
      <c r="C2388" s="80"/>
      <c r="D2388" s="81" t="str">
        <f t="shared" si="41"/>
        <v xml:space="preserve">Inox visséRéductions   MF inox 316 L filété  241 </v>
      </c>
      <c r="E2388" s="76" t="s">
        <v>1103</v>
      </c>
      <c r="F2388" s="81">
        <v>10</v>
      </c>
      <c r="G2388" s="108" t="s">
        <v>2310</v>
      </c>
      <c r="H2388" s="71"/>
      <c r="I2388" s="75"/>
      <c r="J2388" s="70">
        <f>IFERROR(VLOOKUP(Devis[[#This Row],[Ref Air Flux]],#REF!,3,FALSE),0)</f>
        <v>0</v>
      </c>
      <c r="K2388" s="68"/>
      <c r="L2388" s="68"/>
      <c r="M2388" s="68"/>
      <c r="N2388" s="68"/>
      <c r="O2388" s="68"/>
      <c r="P2388" s="68"/>
      <c r="Q2388" s="68">
        <f>SUM(Devis[[#This Row],[Poste 1]:[Poste 6]])</f>
        <v>0</v>
      </c>
      <c r="R2388" s="111"/>
      <c r="S2388" s="68">
        <f>_xlfn.CEILING.MATH(Devis[[#This Row],[Quantité Totale]],Devis[[#This Row],[Conditionnement]])</f>
        <v>0</v>
      </c>
      <c r="T2388" s="72"/>
      <c r="U2388" s="106"/>
      <c r="V2388" s="74">
        <f>Devis[[#This Row],[Prix de Revient]]*Devis[[#This Row],[Poste 1]]</f>
        <v>0</v>
      </c>
      <c r="W2388" s="74">
        <f>Devis[[#This Row],[Prix de Revient]]*Devis[[#This Row],[Poste 2]]</f>
        <v>0</v>
      </c>
      <c r="X2388" s="74">
        <f>Devis[[#This Row],[Prix de Revient]]*Devis[[#This Row],[Poste 3]]</f>
        <v>0</v>
      </c>
      <c r="Y2388" s="74">
        <f>Devis[[#This Row],[Poste 4]]*Devis[[#This Row],[Prix de Revient]]</f>
        <v>0</v>
      </c>
      <c r="Z2388" s="74">
        <f>Devis[[#This Row],[Poste 5]]*Devis[[#This Row],[Prix de Revient]]</f>
        <v>0</v>
      </c>
      <c r="AA2388" s="74">
        <f>Devis[[#This Row],[Prix de Revient]]*Devis[[#This Row],[Poste 6]]</f>
        <v>0</v>
      </c>
      <c r="AB2388" s="74">
        <f>Devis[[#This Row],[Quantité Totale]]*Devis[[#This Row],[Prix de Revient]]</f>
        <v>0</v>
      </c>
    </row>
    <row r="2389" spans="1:28" ht="14.25" outlineLevel="1" x14ac:dyDescent="0.2">
      <c r="A2389" s="75" t="s">
        <v>3479</v>
      </c>
      <c r="B2389" s="76" t="s">
        <v>2285</v>
      </c>
      <c r="C2389" s="80"/>
      <c r="D2389" s="81" t="str">
        <f t="shared" si="41"/>
        <v xml:space="preserve">Inox visséRéductions   MF inox 316 L filété  241 </v>
      </c>
      <c r="E2389" s="76" t="s">
        <v>1244</v>
      </c>
      <c r="F2389" s="81">
        <v>11</v>
      </c>
      <c r="G2389" s="86" t="s">
        <v>2308</v>
      </c>
      <c r="H2389" s="71"/>
      <c r="I2389" s="75"/>
      <c r="J2389" s="70">
        <f>IFERROR(VLOOKUP(Devis[[#This Row],[Ref Air Flux]],#REF!,3,FALSE),0)</f>
        <v>0</v>
      </c>
      <c r="K2389" s="68"/>
      <c r="L2389" s="68"/>
      <c r="M2389" s="68"/>
      <c r="N2389" s="68"/>
      <c r="O2389" s="68"/>
      <c r="P2389" s="68"/>
      <c r="Q2389" s="68">
        <f>SUM(Devis[[#This Row],[Poste 1]:[Poste 6]])</f>
        <v>0</v>
      </c>
      <c r="R2389" s="111"/>
      <c r="S2389" s="68">
        <f>_xlfn.CEILING.MATH(Devis[[#This Row],[Quantité Totale]],Devis[[#This Row],[Conditionnement]])</f>
        <v>0</v>
      </c>
      <c r="T2389" s="72"/>
      <c r="U2389" s="106"/>
      <c r="V2389" s="74">
        <f>Devis[[#This Row],[Prix de Revient]]*Devis[[#This Row],[Poste 1]]</f>
        <v>0</v>
      </c>
      <c r="W2389" s="74">
        <f>Devis[[#This Row],[Prix de Revient]]*Devis[[#This Row],[Poste 2]]</f>
        <v>0</v>
      </c>
      <c r="X2389" s="74">
        <f>Devis[[#This Row],[Prix de Revient]]*Devis[[#This Row],[Poste 3]]</f>
        <v>0</v>
      </c>
      <c r="Y2389" s="74">
        <f>Devis[[#This Row],[Poste 4]]*Devis[[#This Row],[Prix de Revient]]</f>
        <v>0</v>
      </c>
      <c r="Z2389" s="74">
        <f>Devis[[#This Row],[Poste 5]]*Devis[[#This Row],[Prix de Revient]]</f>
        <v>0</v>
      </c>
      <c r="AA2389" s="74">
        <f>Devis[[#This Row],[Prix de Revient]]*Devis[[#This Row],[Poste 6]]</f>
        <v>0</v>
      </c>
      <c r="AB2389" s="74">
        <f>Devis[[#This Row],[Quantité Totale]]*Devis[[#This Row],[Prix de Revient]]</f>
        <v>0</v>
      </c>
    </row>
    <row r="2390" spans="1:28" ht="14.25" customHeight="1" outlineLevel="1" x14ac:dyDescent="0.2">
      <c r="A2390" s="75" t="s">
        <v>3479</v>
      </c>
      <c r="B2390" s="76" t="s">
        <v>2285</v>
      </c>
      <c r="C2390" s="76"/>
      <c r="D2390" s="81" t="str">
        <f t="shared" si="41"/>
        <v xml:space="preserve">Inox visséRéductions   MF inox 316 L filété  241 </v>
      </c>
      <c r="E2390" s="76" t="s">
        <v>1232</v>
      </c>
      <c r="F2390" s="81">
        <v>12</v>
      </c>
      <c r="G2390" s="86" t="s">
        <v>2300</v>
      </c>
      <c r="H2390" s="71"/>
      <c r="I2390" s="75"/>
      <c r="J2390" s="70">
        <f>IFERROR(VLOOKUP(Devis[[#This Row],[Ref Air Flux]],#REF!,3,FALSE),0)</f>
        <v>0</v>
      </c>
      <c r="K2390" s="68"/>
      <c r="L2390" s="68"/>
      <c r="M2390" s="68"/>
      <c r="N2390" s="68"/>
      <c r="O2390" s="68"/>
      <c r="P2390" s="68"/>
      <c r="Q2390" s="68">
        <f>SUM(Devis[[#This Row],[Poste 1]:[Poste 6]])</f>
        <v>0</v>
      </c>
      <c r="R2390" s="111"/>
      <c r="S2390" s="68">
        <f>_xlfn.CEILING.MATH(Devis[[#This Row],[Quantité Totale]],Devis[[#This Row],[Conditionnement]])</f>
        <v>0</v>
      </c>
      <c r="T2390" s="72"/>
      <c r="U2390" s="106"/>
      <c r="V2390" s="74">
        <f>Devis[[#This Row],[Prix de Revient]]*Devis[[#This Row],[Poste 1]]</f>
        <v>0</v>
      </c>
      <c r="W2390" s="74">
        <f>Devis[[#This Row],[Prix de Revient]]*Devis[[#This Row],[Poste 2]]</f>
        <v>0</v>
      </c>
      <c r="X2390" s="74">
        <f>Devis[[#This Row],[Prix de Revient]]*Devis[[#This Row],[Poste 3]]</f>
        <v>0</v>
      </c>
      <c r="Y2390" s="74">
        <f>Devis[[#This Row],[Poste 4]]*Devis[[#This Row],[Prix de Revient]]</f>
        <v>0</v>
      </c>
      <c r="Z2390" s="74">
        <f>Devis[[#This Row],[Poste 5]]*Devis[[#This Row],[Prix de Revient]]</f>
        <v>0</v>
      </c>
      <c r="AA2390" s="74">
        <f>Devis[[#This Row],[Prix de Revient]]*Devis[[#This Row],[Poste 6]]</f>
        <v>0</v>
      </c>
      <c r="AB2390" s="74">
        <f>Devis[[#This Row],[Quantité Totale]]*Devis[[#This Row],[Prix de Revient]]</f>
        <v>0</v>
      </c>
    </row>
    <row r="2391" spans="1:28" ht="14.25" outlineLevel="1" x14ac:dyDescent="0.2">
      <c r="A2391" s="75" t="s">
        <v>3479</v>
      </c>
      <c r="B2391" s="76" t="s">
        <v>2285</v>
      </c>
      <c r="C2391" s="76"/>
      <c r="D2391" s="81" t="str">
        <f t="shared" si="41"/>
        <v xml:space="preserve">Inox visséRéductions   MF inox 316 L filété  241 </v>
      </c>
      <c r="E2391" s="80" t="s">
        <v>1236</v>
      </c>
      <c r="F2391" s="81">
        <v>13</v>
      </c>
      <c r="G2391" s="108" t="s">
        <v>2302</v>
      </c>
      <c r="H2391" s="71"/>
      <c r="I2391" s="75"/>
      <c r="J2391" s="70">
        <f>IFERROR(VLOOKUP(Devis[[#This Row],[Ref Air Flux]],#REF!,3,FALSE),0)</f>
        <v>0</v>
      </c>
      <c r="K2391" s="68"/>
      <c r="L2391" s="68"/>
      <c r="M2391" s="68"/>
      <c r="N2391" s="68"/>
      <c r="O2391" s="68"/>
      <c r="P2391" s="68"/>
      <c r="Q2391" s="68">
        <f>SUM(Devis[[#This Row],[Poste 1]:[Poste 6]])</f>
        <v>0</v>
      </c>
      <c r="R2391" s="111"/>
      <c r="S2391" s="68">
        <f>_xlfn.CEILING.MATH(Devis[[#This Row],[Quantité Totale]],Devis[[#This Row],[Conditionnement]])</f>
        <v>0</v>
      </c>
      <c r="T2391" s="72"/>
      <c r="U2391" s="106"/>
      <c r="V2391" s="74">
        <f>Devis[[#This Row],[Prix de Revient]]*Devis[[#This Row],[Poste 1]]</f>
        <v>0</v>
      </c>
      <c r="W2391" s="74">
        <f>Devis[[#This Row],[Prix de Revient]]*Devis[[#This Row],[Poste 2]]</f>
        <v>0</v>
      </c>
      <c r="X2391" s="74">
        <f>Devis[[#This Row],[Prix de Revient]]*Devis[[#This Row],[Poste 3]]</f>
        <v>0</v>
      </c>
      <c r="Y2391" s="74">
        <f>Devis[[#This Row],[Poste 4]]*Devis[[#This Row],[Prix de Revient]]</f>
        <v>0</v>
      </c>
      <c r="Z2391" s="74">
        <f>Devis[[#This Row],[Poste 5]]*Devis[[#This Row],[Prix de Revient]]</f>
        <v>0</v>
      </c>
      <c r="AA2391" s="74">
        <f>Devis[[#This Row],[Prix de Revient]]*Devis[[#This Row],[Poste 6]]</f>
        <v>0</v>
      </c>
      <c r="AB2391" s="74">
        <f>Devis[[#This Row],[Quantité Totale]]*Devis[[#This Row],[Prix de Revient]]</f>
        <v>0</v>
      </c>
    </row>
    <row r="2392" spans="1:28" ht="14.25" outlineLevel="1" x14ac:dyDescent="0.2">
      <c r="A2392" s="75" t="s">
        <v>3479</v>
      </c>
      <c r="B2392" s="76" t="s">
        <v>2285</v>
      </c>
      <c r="C2392" s="76"/>
      <c r="D2392" s="81" t="str">
        <f t="shared" si="41"/>
        <v xml:space="preserve">Inox visséRéductions   MF inox 316 L filété  241 </v>
      </c>
      <c r="E2392" s="76" t="s">
        <v>1192</v>
      </c>
      <c r="F2392" s="81">
        <v>14</v>
      </c>
      <c r="G2392" s="108" t="s">
        <v>2313</v>
      </c>
      <c r="H2392" s="71"/>
      <c r="I2392" s="75"/>
      <c r="J2392" s="70">
        <f>IFERROR(VLOOKUP(Devis[[#This Row],[Ref Air Flux]],#REF!,3,FALSE),0)</f>
        <v>0</v>
      </c>
      <c r="K2392" s="68"/>
      <c r="L2392" s="68"/>
      <c r="M2392" s="68"/>
      <c r="N2392" s="68"/>
      <c r="O2392" s="68"/>
      <c r="P2392" s="68"/>
      <c r="Q2392" s="68">
        <f>SUM(Devis[[#This Row],[Poste 1]:[Poste 6]])</f>
        <v>0</v>
      </c>
      <c r="R2392" s="111"/>
      <c r="S2392" s="68">
        <f>_xlfn.CEILING.MATH(Devis[[#This Row],[Quantité Totale]],Devis[[#This Row],[Conditionnement]])</f>
        <v>0</v>
      </c>
      <c r="T2392" s="72"/>
      <c r="U2392" s="106"/>
      <c r="V2392" s="74">
        <f>Devis[[#This Row],[Prix de Revient]]*Devis[[#This Row],[Poste 1]]</f>
        <v>0</v>
      </c>
      <c r="W2392" s="74">
        <f>Devis[[#This Row],[Prix de Revient]]*Devis[[#This Row],[Poste 2]]</f>
        <v>0</v>
      </c>
      <c r="X2392" s="74">
        <f>Devis[[#This Row],[Prix de Revient]]*Devis[[#This Row],[Poste 3]]</f>
        <v>0</v>
      </c>
      <c r="Y2392" s="74">
        <f>Devis[[#This Row],[Poste 4]]*Devis[[#This Row],[Prix de Revient]]</f>
        <v>0</v>
      </c>
      <c r="Z2392" s="74">
        <f>Devis[[#This Row],[Poste 5]]*Devis[[#This Row],[Prix de Revient]]</f>
        <v>0</v>
      </c>
      <c r="AA2392" s="74">
        <f>Devis[[#This Row],[Prix de Revient]]*Devis[[#This Row],[Poste 6]]</f>
        <v>0</v>
      </c>
      <c r="AB2392" s="74">
        <f>Devis[[#This Row],[Quantité Totale]]*Devis[[#This Row],[Prix de Revient]]</f>
        <v>0</v>
      </c>
    </row>
    <row r="2393" spans="1:28" ht="15" customHeight="1" outlineLevel="1" x14ac:dyDescent="0.2">
      <c r="A2393" s="75" t="s">
        <v>3479</v>
      </c>
      <c r="B2393" s="76" t="s">
        <v>2285</v>
      </c>
      <c r="C2393" s="76"/>
      <c r="D2393" s="81" t="str">
        <f t="shared" si="41"/>
        <v xml:space="preserve">Inox visséRéductions   MF inox 316 L filété  241 </v>
      </c>
      <c r="E2393" s="76" t="s">
        <v>1212</v>
      </c>
      <c r="F2393" s="81">
        <v>15</v>
      </c>
      <c r="G2393" s="108" t="s">
        <v>2290</v>
      </c>
      <c r="H2393" s="71"/>
      <c r="I2393" s="75"/>
      <c r="J2393" s="70">
        <f>IFERROR(VLOOKUP(Devis[[#This Row],[Ref Air Flux]],#REF!,3,FALSE),0)</f>
        <v>0</v>
      </c>
      <c r="K2393" s="68"/>
      <c r="L2393" s="68"/>
      <c r="M2393" s="68"/>
      <c r="N2393" s="68"/>
      <c r="O2393" s="68"/>
      <c r="P2393" s="68"/>
      <c r="Q2393" s="68">
        <f>SUM(Devis[[#This Row],[Poste 1]:[Poste 6]])</f>
        <v>0</v>
      </c>
      <c r="R2393" s="111"/>
      <c r="S2393" s="68">
        <f>_xlfn.CEILING.MATH(Devis[[#This Row],[Quantité Totale]],Devis[[#This Row],[Conditionnement]])</f>
        <v>0</v>
      </c>
      <c r="T2393" s="72"/>
      <c r="U2393" s="106"/>
      <c r="V2393" s="74">
        <f>Devis[[#This Row],[Prix de Revient]]*Devis[[#This Row],[Poste 1]]</f>
        <v>0</v>
      </c>
      <c r="W2393" s="74">
        <f>Devis[[#This Row],[Prix de Revient]]*Devis[[#This Row],[Poste 2]]</f>
        <v>0</v>
      </c>
      <c r="X2393" s="74">
        <f>Devis[[#This Row],[Prix de Revient]]*Devis[[#This Row],[Poste 3]]</f>
        <v>0</v>
      </c>
      <c r="Y2393" s="74">
        <f>Devis[[#This Row],[Poste 4]]*Devis[[#This Row],[Prix de Revient]]</f>
        <v>0</v>
      </c>
      <c r="Z2393" s="74">
        <f>Devis[[#This Row],[Poste 5]]*Devis[[#This Row],[Prix de Revient]]</f>
        <v>0</v>
      </c>
      <c r="AA2393" s="74">
        <f>Devis[[#This Row],[Prix de Revient]]*Devis[[#This Row],[Poste 6]]</f>
        <v>0</v>
      </c>
      <c r="AB2393" s="74">
        <f>Devis[[#This Row],[Quantité Totale]]*Devis[[#This Row],[Prix de Revient]]</f>
        <v>0</v>
      </c>
    </row>
    <row r="2394" spans="1:28" ht="14.25" customHeight="1" outlineLevel="1" x14ac:dyDescent="0.2">
      <c r="A2394" s="75" t="s">
        <v>3479</v>
      </c>
      <c r="B2394" s="76" t="s">
        <v>2285</v>
      </c>
      <c r="C2394" s="76"/>
      <c r="D2394" s="81" t="str">
        <f t="shared" si="41"/>
        <v xml:space="preserve">Inox visséRéductions   MF inox 316 L filété  241 </v>
      </c>
      <c r="E2394" s="76" t="s">
        <v>1208</v>
      </c>
      <c r="F2394" s="81">
        <v>16</v>
      </c>
      <c r="G2394" s="86" t="s">
        <v>2288</v>
      </c>
      <c r="H2394" s="71"/>
      <c r="I2394" s="75"/>
      <c r="J2394" s="70">
        <f>IFERROR(VLOOKUP(Devis[[#This Row],[Ref Air Flux]],#REF!,3,FALSE),0)</f>
        <v>0</v>
      </c>
      <c r="K2394" s="68"/>
      <c r="L2394" s="68"/>
      <c r="M2394" s="68"/>
      <c r="N2394" s="68"/>
      <c r="O2394" s="68"/>
      <c r="P2394" s="68"/>
      <c r="Q2394" s="68">
        <f>SUM(Devis[[#This Row],[Poste 1]:[Poste 6]])</f>
        <v>0</v>
      </c>
      <c r="R2394" s="111"/>
      <c r="S2394" s="68">
        <f>_xlfn.CEILING.MATH(Devis[[#This Row],[Quantité Totale]],Devis[[#This Row],[Conditionnement]])</f>
        <v>0</v>
      </c>
      <c r="T2394" s="72"/>
      <c r="U2394" s="106"/>
      <c r="V2394" s="74">
        <f>Devis[[#This Row],[Prix de Revient]]*Devis[[#This Row],[Poste 1]]</f>
        <v>0</v>
      </c>
      <c r="W2394" s="74">
        <f>Devis[[#This Row],[Prix de Revient]]*Devis[[#This Row],[Poste 2]]</f>
        <v>0</v>
      </c>
      <c r="X2394" s="74">
        <f>Devis[[#This Row],[Prix de Revient]]*Devis[[#This Row],[Poste 3]]</f>
        <v>0</v>
      </c>
      <c r="Y2394" s="74">
        <f>Devis[[#This Row],[Poste 4]]*Devis[[#This Row],[Prix de Revient]]</f>
        <v>0</v>
      </c>
      <c r="Z2394" s="74">
        <f>Devis[[#This Row],[Poste 5]]*Devis[[#This Row],[Prix de Revient]]</f>
        <v>0</v>
      </c>
      <c r="AA2394" s="74">
        <f>Devis[[#This Row],[Prix de Revient]]*Devis[[#This Row],[Poste 6]]</f>
        <v>0</v>
      </c>
      <c r="AB2394" s="74">
        <f>Devis[[#This Row],[Quantité Totale]]*Devis[[#This Row],[Prix de Revient]]</f>
        <v>0</v>
      </c>
    </row>
    <row r="2395" spans="1:28" ht="14.25" customHeight="1" outlineLevel="1" x14ac:dyDescent="0.2">
      <c r="A2395" s="75" t="s">
        <v>3479</v>
      </c>
      <c r="B2395" s="76" t="s">
        <v>2285</v>
      </c>
      <c r="C2395" s="76"/>
      <c r="D2395" s="81" t="str">
        <f t="shared" si="41"/>
        <v xml:space="preserve">Inox visséRéductions   MF inox 316 L filété  241 </v>
      </c>
      <c r="E2395" s="76" t="s">
        <v>1210</v>
      </c>
      <c r="F2395" s="81">
        <v>17</v>
      </c>
      <c r="G2395" s="86" t="s">
        <v>2289</v>
      </c>
      <c r="H2395" s="71"/>
      <c r="I2395" s="75"/>
      <c r="J2395" s="70">
        <f>IFERROR(VLOOKUP(Devis[[#This Row],[Ref Air Flux]],#REF!,3,FALSE),0)</f>
        <v>0</v>
      </c>
      <c r="K2395" s="68"/>
      <c r="L2395" s="68"/>
      <c r="M2395" s="68"/>
      <c r="N2395" s="68"/>
      <c r="O2395" s="68"/>
      <c r="P2395" s="68"/>
      <c r="Q2395" s="68">
        <f>SUM(Devis[[#This Row],[Poste 1]:[Poste 6]])</f>
        <v>0</v>
      </c>
      <c r="R2395" s="111"/>
      <c r="S2395" s="68">
        <f>_xlfn.CEILING.MATH(Devis[[#This Row],[Quantité Totale]],Devis[[#This Row],[Conditionnement]])</f>
        <v>0</v>
      </c>
      <c r="T2395" s="72"/>
      <c r="U2395" s="106"/>
      <c r="V2395" s="74">
        <f>Devis[[#This Row],[Prix de Revient]]*Devis[[#This Row],[Poste 1]]</f>
        <v>0</v>
      </c>
      <c r="W2395" s="74">
        <f>Devis[[#This Row],[Prix de Revient]]*Devis[[#This Row],[Poste 2]]</f>
        <v>0</v>
      </c>
      <c r="X2395" s="74">
        <f>Devis[[#This Row],[Prix de Revient]]*Devis[[#This Row],[Poste 3]]</f>
        <v>0</v>
      </c>
      <c r="Y2395" s="74">
        <f>Devis[[#This Row],[Poste 4]]*Devis[[#This Row],[Prix de Revient]]</f>
        <v>0</v>
      </c>
      <c r="Z2395" s="74">
        <f>Devis[[#This Row],[Poste 5]]*Devis[[#This Row],[Prix de Revient]]</f>
        <v>0</v>
      </c>
      <c r="AA2395" s="74">
        <f>Devis[[#This Row],[Prix de Revient]]*Devis[[#This Row],[Poste 6]]</f>
        <v>0</v>
      </c>
      <c r="AB2395" s="74">
        <f>Devis[[#This Row],[Quantité Totale]]*Devis[[#This Row],[Prix de Revient]]</f>
        <v>0</v>
      </c>
    </row>
    <row r="2396" spans="1:28" ht="14.25" customHeight="1" outlineLevel="1" x14ac:dyDescent="0.2">
      <c r="A2396" s="75" t="s">
        <v>3479</v>
      </c>
      <c r="B2396" s="76" t="s">
        <v>2285</v>
      </c>
      <c r="C2396" s="76"/>
      <c r="D2396" s="81" t="str">
        <f t="shared" si="41"/>
        <v xml:space="preserve">Inox visséRéductions   MF inox 316 L filété  241 </v>
      </c>
      <c r="E2396" s="76" t="s">
        <v>1234</v>
      </c>
      <c r="F2396" s="81">
        <v>18</v>
      </c>
      <c r="G2396" s="86" t="s">
        <v>2301</v>
      </c>
      <c r="H2396" s="71"/>
      <c r="I2396" s="75"/>
      <c r="J2396" s="70">
        <f>IFERROR(VLOOKUP(Devis[[#This Row],[Ref Air Flux]],#REF!,3,FALSE),0)</f>
        <v>0</v>
      </c>
      <c r="K2396" s="68"/>
      <c r="L2396" s="68"/>
      <c r="M2396" s="68"/>
      <c r="N2396" s="68"/>
      <c r="O2396" s="68"/>
      <c r="P2396" s="68"/>
      <c r="Q2396" s="68">
        <f>SUM(Devis[[#This Row],[Poste 1]:[Poste 6]])</f>
        <v>0</v>
      </c>
      <c r="R2396" s="111"/>
      <c r="S2396" s="68">
        <f>_xlfn.CEILING.MATH(Devis[[#This Row],[Quantité Totale]],Devis[[#This Row],[Conditionnement]])</f>
        <v>0</v>
      </c>
      <c r="T2396" s="72"/>
      <c r="U2396" s="106"/>
      <c r="V2396" s="74">
        <f>Devis[[#This Row],[Prix de Revient]]*Devis[[#This Row],[Poste 1]]</f>
        <v>0</v>
      </c>
      <c r="W2396" s="74">
        <f>Devis[[#This Row],[Prix de Revient]]*Devis[[#This Row],[Poste 2]]</f>
        <v>0</v>
      </c>
      <c r="X2396" s="74">
        <f>Devis[[#This Row],[Prix de Revient]]*Devis[[#This Row],[Poste 3]]</f>
        <v>0</v>
      </c>
      <c r="Y2396" s="74">
        <f>Devis[[#This Row],[Poste 4]]*Devis[[#This Row],[Prix de Revient]]</f>
        <v>0</v>
      </c>
      <c r="Z2396" s="74">
        <f>Devis[[#This Row],[Poste 5]]*Devis[[#This Row],[Prix de Revient]]</f>
        <v>0</v>
      </c>
      <c r="AA2396" s="74">
        <f>Devis[[#This Row],[Prix de Revient]]*Devis[[#This Row],[Poste 6]]</f>
        <v>0</v>
      </c>
      <c r="AB2396" s="74">
        <f>Devis[[#This Row],[Quantité Totale]]*Devis[[#This Row],[Prix de Revient]]</f>
        <v>0</v>
      </c>
    </row>
    <row r="2397" spans="1:28" ht="14.25" customHeight="1" outlineLevel="1" x14ac:dyDescent="0.2">
      <c r="A2397" s="75" t="s">
        <v>3479</v>
      </c>
      <c r="B2397" s="76" t="s">
        <v>2285</v>
      </c>
      <c r="C2397" s="76"/>
      <c r="D2397" s="81" t="str">
        <f t="shared" si="41"/>
        <v xml:space="preserve">Inox visséRéductions   MF inox 316 L filété  241 </v>
      </c>
      <c r="E2397" s="76" t="s">
        <v>1216</v>
      </c>
      <c r="F2397" s="81">
        <v>19</v>
      </c>
      <c r="G2397" s="108" t="s">
        <v>2292</v>
      </c>
      <c r="H2397" s="71"/>
      <c r="I2397" s="75"/>
      <c r="J2397" s="70">
        <f>IFERROR(VLOOKUP(Devis[[#This Row],[Ref Air Flux]],#REF!,3,FALSE),0)</f>
        <v>0</v>
      </c>
      <c r="K2397" s="68"/>
      <c r="L2397" s="68"/>
      <c r="M2397" s="68"/>
      <c r="N2397" s="68"/>
      <c r="O2397" s="68"/>
      <c r="P2397" s="68"/>
      <c r="Q2397" s="68">
        <f>SUM(Devis[[#This Row],[Poste 1]:[Poste 6]])</f>
        <v>0</v>
      </c>
      <c r="R2397" s="111"/>
      <c r="S2397" s="68">
        <f>_xlfn.CEILING.MATH(Devis[[#This Row],[Quantité Totale]],Devis[[#This Row],[Conditionnement]])</f>
        <v>0</v>
      </c>
      <c r="T2397" s="72"/>
      <c r="U2397" s="106"/>
      <c r="V2397" s="74">
        <f>Devis[[#This Row],[Prix de Revient]]*Devis[[#This Row],[Poste 1]]</f>
        <v>0</v>
      </c>
      <c r="W2397" s="74">
        <f>Devis[[#This Row],[Prix de Revient]]*Devis[[#This Row],[Poste 2]]</f>
        <v>0</v>
      </c>
      <c r="X2397" s="74">
        <f>Devis[[#This Row],[Prix de Revient]]*Devis[[#This Row],[Poste 3]]</f>
        <v>0</v>
      </c>
      <c r="Y2397" s="74">
        <f>Devis[[#This Row],[Poste 4]]*Devis[[#This Row],[Prix de Revient]]</f>
        <v>0</v>
      </c>
      <c r="Z2397" s="74">
        <f>Devis[[#This Row],[Poste 5]]*Devis[[#This Row],[Prix de Revient]]</f>
        <v>0</v>
      </c>
      <c r="AA2397" s="74">
        <f>Devis[[#This Row],[Prix de Revient]]*Devis[[#This Row],[Poste 6]]</f>
        <v>0</v>
      </c>
      <c r="AB2397" s="74">
        <f>Devis[[#This Row],[Quantité Totale]]*Devis[[#This Row],[Prix de Revient]]</f>
        <v>0</v>
      </c>
    </row>
    <row r="2398" spans="1:28" ht="14.25" customHeight="1" outlineLevel="1" x14ac:dyDescent="0.2">
      <c r="A2398" s="75" t="s">
        <v>3479</v>
      </c>
      <c r="B2398" s="76" t="s">
        <v>2285</v>
      </c>
      <c r="C2398" s="76"/>
      <c r="D2398" s="81" t="str">
        <f t="shared" si="41"/>
        <v xml:space="preserve">Inox visséRéductions   MF inox 316 L filété  241 </v>
      </c>
      <c r="E2398" s="76" t="s">
        <v>1206</v>
      </c>
      <c r="F2398" s="81">
        <v>20</v>
      </c>
      <c r="G2398" s="86" t="s">
        <v>2287</v>
      </c>
      <c r="H2398" s="71"/>
      <c r="I2398" s="75"/>
      <c r="J2398" s="70">
        <f>IFERROR(VLOOKUP(Devis[[#This Row],[Ref Air Flux]],#REF!,3,FALSE),0)</f>
        <v>0</v>
      </c>
      <c r="K2398" s="68"/>
      <c r="L2398" s="68"/>
      <c r="M2398" s="68"/>
      <c r="N2398" s="68"/>
      <c r="O2398" s="68"/>
      <c r="P2398" s="68"/>
      <c r="Q2398" s="68">
        <f>SUM(Devis[[#This Row],[Poste 1]:[Poste 6]])</f>
        <v>0</v>
      </c>
      <c r="R2398" s="111"/>
      <c r="S2398" s="68">
        <f>_xlfn.CEILING.MATH(Devis[[#This Row],[Quantité Totale]],Devis[[#This Row],[Conditionnement]])</f>
        <v>0</v>
      </c>
      <c r="T2398" s="72"/>
      <c r="U2398" s="106"/>
      <c r="V2398" s="74">
        <f>Devis[[#This Row],[Prix de Revient]]*Devis[[#This Row],[Poste 1]]</f>
        <v>0</v>
      </c>
      <c r="W2398" s="74">
        <f>Devis[[#This Row],[Prix de Revient]]*Devis[[#This Row],[Poste 2]]</f>
        <v>0</v>
      </c>
      <c r="X2398" s="74">
        <f>Devis[[#This Row],[Prix de Revient]]*Devis[[#This Row],[Poste 3]]</f>
        <v>0</v>
      </c>
      <c r="Y2398" s="74">
        <f>Devis[[#This Row],[Poste 4]]*Devis[[#This Row],[Prix de Revient]]</f>
        <v>0</v>
      </c>
      <c r="Z2398" s="74">
        <f>Devis[[#This Row],[Poste 5]]*Devis[[#This Row],[Prix de Revient]]</f>
        <v>0</v>
      </c>
      <c r="AA2398" s="74">
        <f>Devis[[#This Row],[Prix de Revient]]*Devis[[#This Row],[Poste 6]]</f>
        <v>0</v>
      </c>
      <c r="AB2398" s="74">
        <f>Devis[[#This Row],[Quantité Totale]]*Devis[[#This Row],[Prix de Revient]]</f>
        <v>0</v>
      </c>
    </row>
    <row r="2399" spans="1:28" ht="14.25" customHeight="1" outlineLevel="1" x14ac:dyDescent="0.2">
      <c r="A2399" s="75" t="s">
        <v>3479</v>
      </c>
      <c r="B2399" s="76" t="s">
        <v>2285</v>
      </c>
      <c r="C2399" s="76"/>
      <c r="D2399" s="81" t="str">
        <f t="shared" si="41"/>
        <v xml:space="preserve">Inox visséRéductions   MF inox 316 L filété  241 </v>
      </c>
      <c r="E2399" s="76" t="s">
        <v>1204</v>
      </c>
      <c r="F2399" s="81">
        <v>21</v>
      </c>
      <c r="G2399" s="108" t="s">
        <v>2286</v>
      </c>
      <c r="H2399" s="71"/>
      <c r="I2399" s="75"/>
      <c r="J2399" s="70">
        <f>IFERROR(VLOOKUP(Devis[[#This Row],[Ref Air Flux]],#REF!,3,FALSE),0)</f>
        <v>0</v>
      </c>
      <c r="K2399" s="68"/>
      <c r="L2399" s="68"/>
      <c r="M2399" s="68"/>
      <c r="N2399" s="68"/>
      <c r="O2399" s="68"/>
      <c r="P2399" s="68"/>
      <c r="Q2399" s="68">
        <f>SUM(Devis[[#This Row],[Poste 1]:[Poste 6]])</f>
        <v>0</v>
      </c>
      <c r="R2399" s="111"/>
      <c r="S2399" s="68">
        <f>_xlfn.CEILING.MATH(Devis[[#This Row],[Quantité Totale]],Devis[[#This Row],[Conditionnement]])</f>
        <v>0</v>
      </c>
      <c r="T2399" s="72"/>
      <c r="U2399" s="106"/>
      <c r="V2399" s="74">
        <f>Devis[[#This Row],[Prix de Revient]]*Devis[[#This Row],[Poste 1]]</f>
        <v>0</v>
      </c>
      <c r="W2399" s="74">
        <f>Devis[[#This Row],[Prix de Revient]]*Devis[[#This Row],[Poste 2]]</f>
        <v>0</v>
      </c>
      <c r="X2399" s="74">
        <f>Devis[[#This Row],[Prix de Revient]]*Devis[[#This Row],[Poste 3]]</f>
        <v>0</v>
      </c>
      <c r="Y2399" s="74">
        <f>Devis[[#This Row],[Poste 4]]*Devis[[#This Row],[Prix de Revient]]</f>
        <v>0</v>
      </c>
      <c r="Z2399" s="74">
        <f>Devis[[#This Row],[Poste 5]]*Devis[[#This Row],[Prix de Revient]]</f>
        <v>0</v>
      </c>
      <c r="AA2399" s="74">
        <f>Devis[[#This Row],[Prix de Revient]]*Devis[[#This Row],[Poste 6]]</f>
        <v>0</v>
      </c>
      <c r="AB2399" s="74">
        <f>Devis[[#This Row],[Quantité Totale]]*Devis[[#This Row],[Prix de Revient]]</f>
        <v>0</v>
      </c>
    </row>
    <row r="2400" spans="1:28" ht="14.25" customHeight="1" outlineLevel="1" x14ac:dyDescent="0.2">
      <c r="A2400" s="75" t="s">
        <v>3479</v>
      </c>
      <c r="B2400" s="76" t="s">
        <v>2285</v>
      </c>
      <c r="C2400" s="76"/>
      <c r="D2400" s="81" t="str">
        <f t="shared" si="41"/>
        <v xml:space="preserve">Inox visséRéductions   MF inox 316 L filété  241 </v>
      </c>
      <c r="E2400" s="76" t="s">
        <v>1214</v>
      </c>
      <c r="F2400" s="81">
        <v>22</v>
      </c>
      <c r="G2400" s="108" t="s">
        <v>2291</v>
      </c>
      <c r="H2400" s="71"/>
      <c r="I2400" s="75"/>
      <c r="J2400" s="70">
        <f>IFERROR(VLOOKUP(Devis[[#This Row],[Ref Air Flux]],#REF!,3,FALSE),0)</f>
        <v>0</v>
      </c>
      <c r="K2400" s="68"/>
      <c r="L2400" s="68"/>
      <c r="M2400" s="68"/>
      <c r="N2400" s="68"/>
      <c r="O2400" s="68"/>
      <c r="P2400" s="68"/>
      <c r="Q2400" s="68">
        <f>SUM(Devis[[#This Row],[Poste 1]:[Poste 6]])</f>
        <v>0</v>
      </c>
      <c r="R2400" s="111"/>
      <c r="S2400" s="68">
        <f>_xlfn.CEILING.MATH(Devis[[#This Row],[Quantité Totale]],Devis[[#This Row],[Conditionnement]])</f>
        <v>0</v>
      </c>
      <c r="T2400" s="72"/>
      <c r="U2400" s="106"/>
      <c r="V2400" s="74">
        <f>Devis[[#This Row],[Prix de Revient]]*Devis[[#This Row],[Poste 1]]</f>
        <v>0</v>
      </c>
      <c r="W2400" s="74">
        <f>Devis[[#This Row],[Prix de Revient]]*Devis[[#This Row],[Poste 2]]</f>
        <v>0</v>
      </c>
      <c r="X2400" s="74">
        <f>Devis[[#This Row],[Prix de Revient]]*Devis[[#This Row],[Poste 3]]</f>
        <v>0</v>
      </c>
      <c r="Y2400" s="74">
        <f>Devis[[#This Row],[Poste 4]]*Devis[[#This Row],[Prix de Revient]]</f>
        <v>0</v>
      </c>
      <c r="Z2400" s="74">
        <f>Devis[[#This Row],[Poste 5]]*Devis[[#This Row],[Prix de Revient]]</f>
        <v>0</v>
      </c>
      <c r="AA2400" s="74">
        <f>Devis[[#This Row],[Prix de Revient]]*Devis[[#This Row],[Poste 6]]</f>
        <v>0</v>
      </c>
      <c r="AB2400" s="74">
        <f>Devis[[#This Row],[Quantité Totale]]*Devis[[#This Row],[Prix de Revient]]</f>
        <v>0</v>
      </c>
    </row>
    <row r="2401" spans="1:28" ht="14.25" outlineLevel="1" x14ac:dyDescent="0.2">
      <c r="A2401" s="75" t="s">
        <v>3479</v>
      </c>
      <c r="B2401" s="76" t="s">
        <v>2285</v>
      </c>
      <c r="C2401" s="76"/>
      <c r="D2401" s="81" t="str">
        <f t="shared" si="41"/>
        <v xml:space="preserve">Inox visséRéductions   MF inox 316 L filété  241 </v>
      </c>
      <c r="E2401" s="80" t="s">
        <v>1238</v>
      </c>
      <c r="F2401" s="81">
        <v>23</v>
      </c>
      <c r="G2401" s="86" t="s">
        <v>2305</v>
      </c>
      <c r="H2401" s="71"/>
      <c r="I2401" s="75"/>
      <c r="J2401" s="70">
        <f>IFERROR(VLOOKUP(Devis[[#This Row],[Ref Air Flux]],#REF!,3,FALSE),0)</f>
        <v>0</v>
      </c>
      <c r="K2401" s="68"/>
      <c r="L2401" s="68"/>
      <c r="M2401" s="68"/>
      <c r="N2401" s="68"/>
      <c r="O2401" s="68"/>
      <c r="P2401" s="68"/>
      <c r="Q2401" s="68">
        <f>SUM(Devis[[#This Row],[Poste 1]:[Poste 6]])</f>
        <v>0</v>
      </c>
      <c r="R2401" s="111"/>
      <c r="S2401" s="68">
        <f>_xlfn.CEILING.MATH(Devis[[#This Row],[Quantité Totale]],Devis[[#This Row],[Conditionnement]])</f>
        <v>0</v>
      </c>
      <c r="T2401" s="72"/>
      <c r="U2401" s="106"/>
      <c r="V2401" s="74">
        <f>Devis[[#This Row],[Prix de Revient]]*Devis[[#This Row],[Poste 1]]</f>
        <v>0</v>
      </c>
      <c r="W2401" s="74">
        <f>Devis[[#This Row],[Prix de Revient]]*Devis[[#This Row],[Poste 2]]</f>
        <v>0</v>
      </c>
      <c r="X2401" s="74">
        <f>Devis[[#This Row],[Prix de Revient]]*Devis[[#This Row],[Poste 3]]</f>
        <v>0</v>
      </c>
      <c r="Y2401" s="74">
        <f>Devis[[#This Row],[Poste 4]]*Devis[[#This Row],[Prix de Revient]]</f>
        <v>0</v>
      </c>
      <c r="Z2401" s="74">
        <f>Devis[[#This Row],[Poste 5]]*Devis[[#This Row],[Prix de Revient]]</f>
        <v>0</v>
      </c>
      <c r="AA2401" s="74">
        <f>Devis[[#This Row],[Prix de Revient]]*Devis[[#This Row],[Poste 6]]</f>
        <v>0</v>
      </c>
      <c r="AB2401" s="74">
        <f>Devis[[#This Row],[Quantité Totale]]*Devis[[#This Row],[Prix de Revient]]</f>
        <v>0</v>
      </c>
    </row>
    <row r="2402" spans="1:28" ht="14.25" outlineLevel="1" x14ac:dyDescent="0.2">
      <c r="A2402" s="75" t="s">
        <v>3479</v>
      </c>
      <c r="B2402" s="76" t="s">
        <v>2285</v>
      </c>
      <c r="C2402" s="76"/>
      <c r="D2402" s="81" t="str">
        <f t="shared" si="41"/>
        <v xml:space="preserve">Inox visséRéductions   MF inox 316 L filété  241 </v>
      </c>
      <c r="E2402" s="76" t="s">
        <v>1242</v>
      </c>
      <c r="F2402" s="81">
        <v>24</v>
      </c>
      <c r="G2402" s="108" t="s">
        <v>2307</v>
      </c>
      <c r="H2402" s="71"/>
      <c r="I2402" s="75"/>
      <c r="J2402" s="70">
        <f>IFERROR(VLOOKUP(Devis[[#This Row],[Ref Air Flux]],#REF!,3,FALSE),0)</f>
        <v>0</v>
      </c>
      <c r="K2402" s="68"/>
      <c r="L2402" s="68"/>
      <c r="M2402" s="68"/>
      <c r="N2402" s="68"/>
      <c r="O2402" s="68"/>
      <c r="P2402" s="68"/>
      <c r="Q2402" s="68">
        <f>SUM(Devis[[#This Row],[Poste 1]:[Poste 6]])</f>
        <v>0</v>
      </c>
      <c r="R2402" s="111"/>
      <c r="S2402" s="68">
        <f>_xlfn.CEILING.MATH(Devis[[#This Row],[Quantité Totale]],Devis[[#This Row],[Conditionnement]])</f>
        <v>0</v>
      </c>
      <c r="T2402" s="72"/>
      <c r="U2402" s="106"/>
      <c r="V2402" s="74">
        <f>Devis[[#This Row],[Prix de Revient]]*Devis[[#This Row],[Poste 1]]</f>
        <v>0</v>
      </c>
      <c r="W2402" s="74">
        <f>Devis[[#This Row],[Prix de Revient]]*Devis[[#This Row],[Poste 2]]</f>
        <v>0</v>
      </c>
      <c r="X2402" s="74">
        <f>Devis[[#This Row],[Prix de Revient]]*Devis[[#This Row],[Poste 3]]</f>
        <v>0</v>
      </c>
      <c r="Y2402" s="74">
        <f>Devis[[#This Row],[Poste 4]]*Devis[[#This Row],[Prix de Revient]]</f>
        <v>0</v>
      </c>
      <c r="Z2402" s="74">
        <f>Devis[[#This Row],[Poste 5]]*Devis[[#This Row],[Prix de Revient]]</f>
        <v>0</v>
      </c>
      <c r="AA2402" s="74">
        <f>Devis[[#This Row],[Prix de Revient]]*Devis[[#This Row],[Poste 6]]</f>
        <v>0</v>
      </c>
      <c r="AB2402" s="74">
        <f>Devis[[#This Row],[Quantité Totale]]*Devis[[#This Row],[Prix de Revient]]</f>
        <v>0</v>
      </c>
    </row>
    <row r="2403" spans="1:28" ht="14.25" outlineLevel="1" x14ac:dyDescent="0.2">
      <c r="A2403" s="75" t="s">
        <v>3479</v>
      </c>
      <c r="B2403" s="76" t="s">
        <v>2285</v>
      </c>
      <c r="C2403" s="76"/>
      <c r="D2403" s="81" t="str">
        <f t="shared" si="41"/>
        <v xml:space="preserve">Inox visséRéductions   MF inox 316 L filété  241 </v>
      </c>
      <c r="E2403" s="76" t="s">
        <v>1240</v>
      </c>
      <c r="F2403" s="81">
        <v>25</v>
      </c>
      <c r="G2403" s="86" t="s">
        <v>2306</v>
      </c>
      <c r="H2403" s="71"/>
      <c r="I2403" s="75"/>
      <c r="J2403" s="70">
        <f>IFERROR(VLOOKUP(Devis[[#This Row],[Ref Air Flux]],#REF!,3,FALSE),0)</f>
        <v>0</v>
      </c>
      <c r="K2403" s="68"/>
      <c r="L2403" s="68"/>
      <c r="M2403" s="68"/>
      <c r="N2403" s="68"/>
      <c r="O2403" s="68"/>
      <c r="P2403" s="68"/>
      <c r="Q2403" s="68">
        <f>SUM(Devis[[#This Row],[Poste 1]:[Poste 6]])</f>
        <v>0</v>
      </c>
      <c r="R2403" s="111"/>
      <c r="S2403" s="68">
        <f>_xlfn.CEILING.MATH(Devis[[#This Row],[Quantité Totale]],Devis[[#This Row],[Conditionnement]])</f>
        <v>0</v>
      </c>
      <c r="T2403" s="72"/>
      <c r="U2403" s="106"/>
      <c r="V2403" s="74">
        <f>Devis[[#This Row],[Prix de Revient]]*Devis[[#This Row],[Poste 1]]</f>
        <v>0</v>
      </c>
      <c r="W2403" s="74">
        <f>Devis[[#This Row],[Prix de Revient]]*Devis[[#This Row],[Poste 2]]</f>
        <v>0</v>
      </c>
      <c r="X2403" s="74">
        <f>Devis[[#This Row],[Prix de Revient]]*Devis[[#This Row],[Poste 3]]</f>
        <v>0</v>
      </c>
      <c r="Y2403" s="74">
        <f>Devis[[#This Row],[Poste 4]]*Devis[[#This Row],[Prix de Revient]]</f>
        <v>0</v>
      </c>
      <c r="Z2403" s="74">
        <f>Devis[[#This Row],[Poste 5]]*Devis[[#This Row],[Prix de Revient]]</f>
        <v>0</v>
      </c>
      <c r="AA2403" s="74">
        <f>Devis[[#This Row],[Prix de Revient]]*Devis[[#This Row],[Poste 6]]</f>
        <v>0</v>
      </c>
      <c r="AB2403" s="74">
        <f>Devis[[#This Row],[Quantité Totale]]*Devis[[#This Row],[Prix de Revient]]</f>
        <v>0</v>
      </c>
    </row>
    <row r="2404" spans="1:28" ht="14.25" customHeight="1" outlineLevel="1" x14ac:dyDescent="0.2">
      <c r="A2404" s="75" t="s">
        <v>3479</v>
      </c>
      <c r="B2404" s="76" t="s">
        <v>2285</v>
      </c>
      <c r="C2404" s="76"/>
      <c r="D2404" s="81" t="str">
        <f t="shared" si="41"/>
        <v xml:space="preserve">Inox visséRéductions   MF inox 316 L filété  241 </v>
      </c>
      <c r="E2404" s="76" t="s">
        <v>1105</v>
      </c>
      <c r="F2404" s="81">
        <v>26</v>
      </c>
      <c r="G2404" s="108" t="s">
        <v>2311</v>
      </c>
      <c r="H2404" s="71"/>
      <c r="I2404" s="75"/>
      <c r="J2404" s="70">
        <f>IFERROR(VLOOKUP(Devis[[#This Row],[Ref Air Flux]],#REF!,3,FALSE),0)</f>
        <v>0</v>
      </c>
      <c r="K2404" s="68"/>
      <c r="L2404" s="68"/>
      <c r="M2404" s="68"/>
      <c r="N2404" s="68"/>
      <c r="O2404" s="68"/>
      <c r="P2404" s="68"/>
      <c r="Q2404" s="68">
        <f>SUM(Devis[[#This Row],[Poste 1]:[Poste 6]])</f>
        <v>0</v>
      </c>
      <c r="R2404" s="111"/>
      <c r="S2404" s="68">
        <f>_xlfn.CEILING.MATH(Devis[[#This Row],[Quantité Totale]],Devis[[#This Row],[Conditionnement]])</f>
        <v>0</v>
      </c>
      <c r="T2404" s="72"/>
      <c r="U2404" s="106"/>
      <c r="V2404" s="74">
        <f>Devis[[#This Row],[Prix de Revient]]*Devis[[#This Row],[Poste 1]]</f>
        <v>0</v>
      </c>
      <c r="W2404" s="74">
        <f>Devis[[#This Row],[Prix de Revient]]*Devis[[#This Row],[Poste 2]]</f>
        <v>0</v>
      </c>
      <c r="X2404" s="74">
        <f>Devis[[#This Row],[Prix de Revient]]*Devis[[#This Row],[Poste 3]]</f>
        <v>0</v>
      </c>
      <c r="Y2404" s="74">
        <f>Devis[[#This Row],[Poste 4]]*Devis[[#This Row],[Prix de Revient]]</f>
        <v>0</v>
      </c>
      <c r="Z2404" s="74">
        <f>Devis[[#This Row],[Poste 5]]*Devis[[#This Row],[Prix de Revient]]</f>
        <v>0</v>
      </c>
      <c r="AA2404" s="74">
        <f>Devis[[#This Row],[Prix de Revient]]*Devis[[#This Row],[Poste 6]]</f>
        <v>0</v>
      </c>
      <c r="AB2404" s="74">
        <f>Devis[[#This Row],[Quantité Totale]]*Devis[[#This Row],[Prix de Revient]]</f>
        <v>0</v>
      </c>
    </row>
    <row r="2405" spans="1:28" ht="14.25" customHeight="1" outlineLevel="1" x14ac:dyDescent="0.2">
      <c r="A2405" s="75" t="s">
        <v>3479</v>
      </c>
      <c r="B2405" s="76" t="s">
        <v>2285</v>
      </c>
      <c r="C2405" s="76"/>
      <c r="D2405" s="81" t="str">
        <f t="shared" si="41"/>
        <v xml:space="preserve">Inox visséRéductions   MF inox 316 L filété  241 </v>
      </c>
      <c r="E2405" s="76" t="s">
        <v>1107</v>
      </c>
      <c r="F2405" s="81">
        <v>27</v>
      </c>
      <c r="G2405" s="108" t="s">
        <v>2312</v>
      </c>
      <c r="H2405" s="71"/>
      <c r="I2405" s="75"/>
      <c r="J2405" s="70">
        <f>IFERROR(VLOOKUP(Devis[[#This Row],[Ref Air Flux]],#REF!,3,FALSE),0)</f>
        <v>0</v>
      </c>
      <c r="K2405" s="68"/>
      <c r="L2405" s="68"/>
      <c r="M2405" s="68"/>
      <c r="N2405" s="68"/>
      <c r="O2405" s="68"/>
      <c r="P2405" s="68"/>
      <c r="Q2405" s="68">
        <f>SUM(Devis[[#This Row],[Poste 1]:[Poste 6]])</f>
        <v>0</v>
      </c>
      <c r="R2405" s="111"/>
      <c r="S2405" s="68">
        <f>_xlfn.CEILING.MATH(Devis[[#This Row],[Quantité Totale]],Devis[[#This Row],[Conditionnement]])</f>
        <v>0</v>
      </c>
      <c r="T2405" s="72"/>
      <c r="U2405" s="106"/>
      <c r="V2405" s="74">
        <f>Devis[[#This Row],[Prix de Revient]]*Devis[[#This Row],[Poste 1]]</f>
        <v>0</v>
      </c>
      <c r="W2405" s="74">
        <f>Devis[[#This Row],[Prix de Revient]]*Devis[[#This Row],[Poste 2]]</f>
        <v>0</v>
      </c>
      <c r="X2405" s="74">
        <f>Devis[[#This Row],[Prix de Revient]]*Devis[[#This Row],[Poste 3]]</f>
        <v>0</v>
      </c>
      <c r="Y2405" s="74">
        <f>Devis[[#This Row],[Poste 4]]*Devis[[#This Row],[Prix de Revient]]</f>
        <v>0</v>
      </c>
      <c r="Z2405" s="74">
        <f>Devis[[#This Row],[Poste 5]]*Devis[[#This Row],[Prix de Revient]]</f>
        <v>0</v>
      </c>
      <c r="AA2405" s="74">
        <f>Devis[[#This Row],[Prix de Revient]]*Devis[[#This Row],[Poste 6]]</f>
        <v>0</v>
      </c>
      <c r="AB2405" s="74">
        <f>Devis[[#This Row],[Quantité Totale]]*Devis[[#This Row],[Prix de Revient]]</f>
        <v>0</v>
      </c>
    </row>
    <row r="2406" spans="1:28" ht="14.25" customHeight="1" x14ac:dyDescent="0.25">
      <c r="A2406" s="65" t="s">
        <v>3479</v>
      </c>
      <c r="B2406" s="65" t="s">
        <v>2314</v>
      </c>
      <c r="C2406" s="76"/>
      <c r="D2406" s="81" t="str">
        <f t="shared" si="41"/>
        <v>Inox visséTé  FFF inox 316L</v>
      </c>
      <c r="E2406" s="76"/>
      <c r="F2406" s="81">
        <v>0</v>
      </c>
      <c r="G2406" s="86"/>
      <c r="H2406" s="71"/>
      <c r="I2406" s="75"/>
      <c r="J2406" s="70">
        <f>IFERROR(VLOOKUP(Devis[[#This Row],[Ref Air Flux]],#REF!,3,FALSE),0)</f>
        <v>0</v>
      </c>
      <c r="K2406" s="68"/>
      <c r="L2406" s="68"/>
      <c r="M2406" s="68"/>
      <c r="N2406" s="68"/>
      <c r="O2406" s="68"/>
      <c r="P2406" s="68"/>
      <c r="Q2406" s="68">
        <f>SUM(Devis[[#This Row],[Poste 1]:[Poste 6]])</f>
        <v>0</v>
      </c>
      <c r="R2406" s="111"/>
      <c r="S2406" s="68">
        <f>_xlfn.CEILING.MATH(Devis[[#This Row],[Quantité Totale]],Devis[[#This Row],[Conditionnement]])</f>
        <v>0</v>
      </c>
      <c r="T2406" s="72"/>
      <c r="U2406" s="106"/>
      <c r="V2406" s="74">
        <f>Devis[[#This Row],[Prix de Revient]]*Devis[[#This Row],[Poste 1]]</f>
        <v>0</v>
      </c>
      <c r="W2406" s="74">
        <f>Devis[[#This Row],[Prix de Revient]]*Devis[[#This Row],[Poste 2]]</f>
        <v>0</v>
      </c>
      <c r="X2406" s="74">
        <f>Devis[[#This Row],[Prix de Revient]]*Devis[[#This Row],[Poste 3]]</f>
        <v>0</v>
      </c>
      <c r="Y2406" s="74">
        <f>Devis[[#This Row],[Poste 4]]*Devis[[#This Row],[Prix de Revient]]</f>
        <v>0</v>
      </c>
      <c r="Z2406" s="74">
        <f>Devis[[#This Row],[Poste 5]]*Devis[[#This Row],[Prix de Revient]]</f>
        <v>0</v>
      </c>
      <c r="AA2406" s="74">
        <f>Devis[[#This Row],[Prix de Revient]]*Devis[[#This Row],[Poste 6]]</f>
        <v>0</v>
      </c>
      <c r="AB2406" s="74">
        <f>Devis[[#This Row],[Quantité Totale]]*Devis[[#This Row],[Prix de Revient]]</f>
        <v>0</v>
      </c>
    </row>
    <row r="2407" spans="1:28" ht="14.25" outlineLevel="1" x14ac:dyDescent="0.2">
      <c r="A2407" s="75" t="s">
        <v>3479</v>
      </c>
      <c r="B2407" s="76" t="s">
        <v>2314</v>
      </c>
      <c r="C2407" s="76"/>
      <c r="D2407" s="81" t="str">
        <f t="shared" si="41"/>
        <v>Inox visséTé  FFF inox 316L</v>
      </c>
      <c r="E2407" s="76" t="s">
        <v>19</v>
      </c>
      <c r="F2407" s="81">
        <v>1</v>
      </c>
      <c r="G2407" s="86" t="s">
        <v>2320</v>
      </c>
      <c r="H2407" s="71"/>
      <c r="I2407" s="75"/>
      <c r="J2407" s="70">
        <f>IFERROR(VLOOKUP(Devis[[#This Row],[Ref Air Flux]],#REF!,3,FALSE),0)</f>
        <v>0</v>
      </c>
      <c r="K2407" s="68"/>
      <c r="L2407" s="68"/>
      <c r="M2407" s="68"/>
      <c r="N2407" s="68"/>
      <c r="O2407" s="68"/>
      <c r="P2407" s="68"/>
      <c r="Q2407" s="68">
        <f>SUM(Devis[[#This Row],[Poste 1]:[Poste 6]])</f>
        <v>0</v>
      </c>
      <c r="R2407" s="111"/>
      <c r="S2407" s="68">
        <f>_xlfn.CEILING.MATH(Devis[[#This Row],[Quantité Totale]],Devis[[#This Row],[Conditionnement]])</f>
        <v>0</v>
      </c>
      <c r="T2407" s="72"/>
      <c r="U2407" s="106"/>
      <c r="V2407" s="74">
        <f>Devis[[#This Row],[Prix de Revient]]*Devis[[#This Row],[Poste 1]]</f>
        <v>0</v>
      </c>
      <c r="W2407" s="74">
        <f>Devis[[#This Row],[Prix de Revient]]*Devis[[#This Row],[Poste 2]]</f>
        <v>0</v>
      </c>
      <c r="X2407" s="74">
        <f>Devis[[#This Row],[Prix de Revient]]*Devis[[#This Row],[Poste 3]]</f>
        <v>0</v>
      </c>
      <c r="Y2407" s="74">
        <f>Devis[[#This Row],[Poste 4]]*Devis[[#This Row],[Prix de Revient]]</f>
        <v>0</v>
      </c>
      <c r="Z2407" s="74">
        <f>Devis[[#This Row],[Poste 5]]*Devis[[#This Row],[Prix de Revient]]</f>
        <v>0</v>
      </c>
      <c r="AA2407" s="74">
        <f>Devis[[#This Row],[Prix de Revient]]*Devis[[#This Row],[Poste 6]]</f>
        <v>0</v>
      </c>
      <c r="AB2407" s="74">
        <f>Devis[[#This Row],[Quantité Totale]]*Devis[[#This Row],[Prix de Revient]]</f>
        <v>0</v>
      </c>
    </row>
    <row r="2408" spans="1:28" ht="14.25" outlineLevel="1" x14ac:dyDescent="0.2">
      <c r="A2408" s="75" t="s">
        <v>3479</v>
      </c>
      <c r="B2408" s="76" t="s">
        <v>2314</v>
      </c>
      <c r="C2408" s="76"/>
      <c r="D2408" s="81" t="str">
        <f t="shared" si="41"/>
        <v>Inox visséTé  FFF inox 316L</v>
      </c>
      <c r="E2408" s="76" t="s">
        <v>21</v>
      </c>
      <c r="F2408" s="81">
        <v>2</v>
      </c>
      <c r="G2408" s="86" t="s">
        <v>2318</v>
      </c>
      <c r="H2408" s="71"/>
      <c r="I2408" s="75"/>
      <c r="J2408" s="70">
        <f>IFERROR(VLOOKUP(Devis[[#This Row],[Ref Air Flux]],#REF!,3,FALSE),0)</f>
        <v>0</v>
      </c>
      <c r="K2408" s="68"/>
      <c r="L2408" s="68"/>
      <c r="M2408" s="68"/>
      <c r="N2408" s="68"/>
      <c r="O2408" s="68"/>
      <c r="P2408" s="68"/>
      <c r="Q2408" s="68">
        <f>SUM(Devis[[#This Row],[Poste 1]:[Poste 6]])</f>
        <v>0</v>
      </c>
      <c r="R2408" s="111"/>
      <c r="S2408" s="68">
        <f>_xlfn.CEILING.MATH(Devis[[#This Row],[Quantité Totale]],Devis[[#This Row],[Conditionnement]])</f>
        <v>0</v>
      </c>
      <c r="T2408" s="72"/>
      <c r="U2408" s="106"/>
      <c r="V2408" s="74">
        <f>Devis[[#This Row],[Prix de Revient]]*Devis[[#This Row],[Poste 1]]</f>
        <v>0</v>
      </c>
      <c r="W2408" s="74">
        <f>Devis[[#This Row],[Prix de Revient]]*Devis[[#This Row],[Poste 2]]</f>
        <v>0</v>
      </c>
      <c r="X2408" s="74">
        <f>Devis[[#This Row],[Prix de Revient]]*Devis[[#This Row],[Poste 3]]</f>
        <v>0</v>
      </c>
      <c r="Y2408" s="74">
        <f>Devis[[#This Row],[Poste 4]]*Devis[[#This Row],[Prix de Revient]]</f>
        <v>0</v>
      </c>
      <c r="Z2408" s="74">
        <f>Devis[[#This Row],[Poste 5]]*Devis[[#This Row],[Prix de Revient]]</f>
        <v>0</v>
      </c>
      <c r="AA2408" s="74">
        <f>Devis[[#This Row],[Prix de Revient]]*Devis[[#This Row],[Poste 6]]</f>
        <v>0</v>
      </c>
      <c r="AB2408" s="74">
        <f>Devis[[#This Row],[Quantité Totale]]*Devis[[#This Row],[Prix de Revient]]</f>
        <v>0</v>
      </c>
    </row>
    <row r="2409" spans="1:28" ht="14.25" outlineLevel="1" x14ac:dyDescent="0.2">
      <c r="A2409" s="75" t="s">
        <v>3479</v>
      </c>
      <c r="B2409" s="76" t="s">
        <v>2314</v>
      </c>
      <c r="C2409" s="76"/>
      <c r="D2409" s="81" t="str">
        <f t="shared" si="41"/>
        <v>Inox visséTé  FFF inox 316L</v>
      </c>
      <c r="E2409" s="76" t="s">
        <v>20</v>
      </c>
      <c r="F2409" s="81">
        <v>3</v>
      </c>
      <c r="G2409" s="86" t="s">
        <v>2319</v>
      </c>
      <c r="H2409" s="71"/>
      <c r="I2409" s="75"/>
      <c r="J2409" s="70">
        <f>IFERROR(VLOOKUP(Devis[[#This Row],[Ref Air Flux]],#REF!,3,FALSE),0)</f>
        <v>0</v>
      </c>
      <c r="K2409" s="68"/>
      <c r="L2409" s="68"/>
      <c r="M2409" s="68"/>
      <c r="N2409" s="68"/>
      <c r="O2409" s="68"/>
      <c r="P2409" s="68"/>
      <c r="Q2409" s="68">
        <f>SUM(Devis[[#This Row],[Poste 1]:[Poste 6]])</f>
        <v>0</v>
      </c>
      <c r="R2409" s="111"/>
      <c r="S2409" s="68">
        <f>_xlfn.CEILING.MATH(Devis[[#This Row],[Quantité Totale]],Devis[[#This Row],[Conditionnement]])</f>
        <v>0</v>
      </c>
      <c r="T2409" s="72"/>
      <c r="U2409" s="106"/>
      <c r="V2409" s="74">
        <f>Devis[[#This Row],[Prix de Revient]]*Devis[[#This Row],[Poste 1]]</f>
        <v>0</v>
      </c>
      <c r="W2409" s="74">
        <f>Devis[[#This Row],[Prix de Revient]]*Devis[[#This Row],[Poste 2]]</f>
        <v>0</v>
      </c>
      <c r="X2409" s="74">
        <f>Devis[[#This Row],[Prix de Revient]]*Devis[[#This Row],[Poste 3]]</f>
        <v>0</v>
      </c>
      <c r="Y2409" s="74">
        <f>Devis[[#This Row],[Poste 4]]*Devis[[#This Row],[Prix de Revient]]</f>
        <v>0</v>
      </c>
      <c r="Z2409" s="74">
        <f>Devis[[#This Row],[Poste 5]]*Devis[[#This Row],[Prix de Revient]]</f>
        <v>0</v>
      </c>
      <c r="AA2409" s="74">
        <f>Devis[[#This Row],[Prix de Revient]]*Devis[[#This Row],[Poste 6]]</f>
        <v>0</v>
      </c>
      <c r="AB2409" s="74">
        <f>Devis[[#This Row],[Quantité Totale]]*Devis[[#This Row],[Prix de Revient]]</f>
        <v>0</v>
      </c>
    </row>
    <row r="2410" spans="1:28" ht="14.25" customHeight="1" outlineLevel="1" x14ac:dyDescent="0.2">
      <c r="A2410" s="75" t="s">
        <v>3479</v>
      </c>
      <c r="B2410" s="76" t="s">
        <v>2314</v>
      </c>
      <c r="C2410" s="76"/>
      <c r="D2410" s="81" t="str">
        <f t="shared" si="41"/>
        <v>Inox visséTé  FFF inox 316L</v>
      </c>
      <c r="E2410" s="80" t="s">
        <v>17</v>
      </c>
      <c r="F2410" s="81">
        <v>4</v>
      </c>
      <c r="G2410" s="86" t="s">
        <v>2322</v>
      </c>
      <c r="H2410" s="71"/>
      <c r="I2410" s="75"/>
      <c r="J2410" s="70">
        <f>IFERROR(VLOOKUP(Devis[[#This Row],[Ref Air Flux]],#REF!,3,FALSE),0)</f>
        <v>0</v>
      </c>
      <c r="K2410" s="68"/>
      <c r="L2410" s="68"/>
      <c r="M2410" s="68"/>
      <c r="N2410" s="68"/>
      <c r="O2410" s="68"/>
      <c r="P2410" s="68"/>
      <c r="Q2410" s="68">
        <f>SUM(Devis[[#This Row],[Poste 1]:[Poste 6]])</f>
        <v>0</v>
      </c>
      <c r="R2410" s="111"/>
      <c r="S2410" s="68">
        <f>_xlfn.CEILING.MATH(Devis[[#This Row],[Quantité Totale]],Devis[[#This Row],[Conditionnement]])</f>
        <v>0</v>
      </c>
      <c r="T2410" s="72"/>
      <c r="U2410" s="106"/>
      <c r="V2410" s="74">
        <f>Devis[[#This Row],[Prix de Revient]]*Devis[[#This Row],[Poste 1]]</f>
        <v>0</v>
      </c>
      <c r="W2410" s="74">
        <f>Devis[[#This Row],[Prix de Revient]]*Devis[[#This Row],[Poste 2]]</f>
        <v>0</v>
      </c>
      <c r="X2410" s="74">
        <f>Devis[[#This Row],[Prix de Revient]]*Devis[[#This Row],[Poste 3]]</f>
        <v>0</v>
      </c>
      <c r="Y2410" s="74">
        <f>Devis[[#This Row],[Poste 4]]*Devis[[#This Row],[Prix de Revient]]</f>
        <v>0</v>
      </c>
      <c r="Z2410" s="74">
        <f>Devis[[#This Row],[Poste 5]]*Devis[[#This Row],[Prix de Revient]]</f>
        <v>0</v>
      </c>
      <c r="AA2410" s="74">
        <f>Devis[[#This Row],[Prix de Revient]]*Devis[[#This Row],[Poste 6]]</f>
        <v>0</v>
      </c>
      <c r="AB2410" s="74">
        <f>Devis[[#This Row],[Quantité Totale]]*Devis[[#This Row],[Prix de Revient]]</f>
        <v>0</v>
      </c>
    </row>
    <row r="2411" spans="1:28" ht="14.25" outlineLevel="1" x14ac:dyDescent="0.2">
      <c r="A2411" s="75" t="s">
        <v>3479</v>
      </c>
      <c r="B2411" s="76" t="s">
        <v>2314</v>
      </c>
      <c r="C2411" s="76"/>
      <c r="D2411" s="81" t="str">
        <f t="shared" si="41"/>
        <v>Inox visséTé  FFF inox 316L</v>
      </c>
      <c r="E2411" s="80" t="s">
        <v>46</v>
      </c>
      <c r="F2411" s="81">
        <v>5</v>
      </c>
      <c r="G2411" s="108" t="s">
        <v>2324</v>
      </c>
      <c r="H2411" s="71"/>
      <c r="I2411" s="75"/>
      <c r="J2411" s="70">
        <f>IFERROR(VLOOKUP(Devis[[#This Row],[Ref Air Flux]],#REF!,3,FALSE),0)</f>
        <v>0</v>
      </c>
      <c r="K2411" s="68"/>
      <c r="L2411" s="68"/>
      <c r="M2411" s="68"/>
      <c r="N2411" s="68"/>
      <c r="O2411" s="68"/>
      <c r="P2411" s="68"/>
      <c r="Q2411" s="68">
        <f>SUM(Devis[[#This Row],[Poste 1]:[Poste 6]])</f>
        <v>0</v>
      </c>
      <c r="R2411" s="111"/>
      <c r="S2411" s="68">
        <f>_xlfn.CEILING.MATH(Devis[[#This Row],[Quantité Totale]],Devis[[#This Row],[Conditionnement]])</f>
        <v>0</v>
      </c>
      <c r="T2411" s="72"/>
      <c r="U2411" s="106"/>
      <c r="V2411" s="74">
        <f>Devis[[#This Row],[Prix de Revient]]*Devis[[#This Row],[Poste 1]]</f>
        <v>0</v>
      </c>
      <c r="W2411" s="74">
        <f>Devis[[#This Row],[Prix de Revient]]*Devis[[#This Row],[Poste 2]]</f>
        <v>0</v>
      </c>
      <c r="X2411" s="74">
        <f>Devis[[#This Row],[Prix de Revient]]*Devis[[#This Row],[Poste 3]]</f>
        <v>0</v>
      </c>
      <c r="Y2411" s="74">
        <f>Devis[[#This Row],[Poste 4]]*Devis[[#This Row],[Prix de Revient]]</f>
        <v>0</v>
      </c>
      <c r="Z2411" s="74">
        <f>Devis[[#This Row],[Poste 5]]*Devis[[#This Row],[Prix de Revient]]</f>
        <v>0</v>
      </c>
      <c r="AA2411" s="74">
        <f>Devis[[#This Row],[Prix de Revient]]*Devis[[#This Row],[Poste 6]]</f>
        <v>0</v>
      </c>
      <c r="AB2411" s="74">
        <f>Devis[[#This Row],[Quantité Totale]]*Devis[[#This Row],[Prix de Revient]]</f>
        <v>0</v>
      </c>
    </row>
    <row r="2412" spans="1:28" ht="14.25" outlineLevel="1" x14ac:dyDescent="0.2">
      <c r="A2412" s="75" t="s">
        <v>3479</v>
      </c>
      <c r="B2412" s="76" t="s">
        <v>2314</v>
      </c>
      <c r="C2412" s="76"/>
      <c r="D2412" s="81" t="str">
        <f t="shared" si="41"/>
        <v>Inox visséTé  FFF inox 316L</v>
      </c>
      <c r="E2412" s="76" t="s">
        <v>0</v>
      </c>
      <c r="F2412" s="81">
        <v>6</v>
      </c>
      <c r="G2412" s="86" t="s">
        <v>2317</v>
      </c>
      <c r="H2412" s="71"/>
      <c r="I2412" s="75"/>
      <c r="J2412" s="70">
        <f>IFERROR(VLOOKUP(Devis[[#This Row],[Ref Air Flux]],#REF!,3,FALSE),0)</f>
        <v>0</v>
      </c>
      <c r="K2412" s="68"/>
      <c r="L2412" s="68"/>
      <c r="M2412" s="68"/>
      <c r="N2412" s="68"/>
      <c r="O2412" s="68"/>
      <c r="P2412" s="68"/>
      <c r="Q2412" s="68">
        <f>SUM(Devis[[#This Row],[Poste 1]:[Poste 6]])</f>
        <v>0</v>
      </c>
      <c r="R2412" s="111"/>
      <c r="S2412" s="68">
        <f>_xlfn.CEILING.MATH(Devis[[#This Row],[Quantité Totale]],Devis[[#This Row],[Conditionnement]])</f>
        <v>0</v>
      </c>
      <c r="T2412" s="72"/>
      <c r="U2412" s="106"/>
      <c r="V2412" s="74">
        <f>Devis[[#This Row],[Prix de Revient]]*Devis[[#This Row],[Poste 1]]</f>
        <v>0</v>
      </c>
      <c r="W2412" s="74">
        <f>Devis[[#This Row],[Prix de Revient]]*Devis[[#This Row],[Poste 2]]</f>
        <v>0</v>
      </c>
      <c r="X2412" s="74">
        <f>Devis[[#This Row],[Prix de Revient]]*Devis[[#This Row],[Poste 3]]</f>
        <v>0</v>
      </c>
      <c r="Y2412" s="74">
        <f>Devis[[#This Row],[Poste 4]]*Devis[[#This Row],[Prix de Revient]]</f>
        <v>0</v>
      </c>
      <c r="Z2412" s="74">
        <f>Devis[[#This Row],[Poste 5]]*Devis[[#This Row],[Prix de Revient]]</f>
        <v>0</v>
      </c>
      <c r="AA2412" s="74">
        <f>Devis[[#This Row],[Prix de Revient]]*Devis[[#This Row],[Poste 6]]</f>
        <v>0</v>
      </c>
      <c r="AB2412" s="74">
        <f>Devis[[#This Row],[Quantité Totale]]*Devis[[#This Row],[Prix de Revient]]</f>
        <v>0</v>
      </c>
    </row>
    <row r="2413" spans="1:28" ht="15" customHeight="1" outlineLevel="1" x14ac:dyDescent="0.2">
      <c r="A2413" s="75" t="s">
        <v>3479</v>
      </c>
      <c r="B2413" s="76" t="s">
        <v>2314</v>
      </c>
      <c r="C2413" s="76"/>
      <c r="D2413" s="81" t="str">
        <f t="shared" si="41"/>
        <v>Inox visséTé  FFF inox 316L</v>
      </c>
      <c r="E2413" s="76" t="s">
        <v>49</v>
      </c>
      <c r="F2413" s="81">
        <v>7</v>
      </c>
      <c r="G2413" s="108" t="s">
        <v>2316</v>
      </c>
      <c r="H2413" s="71"/>
      <c r="I2413" s="75"/>
      <c r="J2413" s="70">
        <f>IFERROR(VLOOKUP(Devis[[#This Row],[Ref Air Flux]],#REF!,3,FALSE),0)</f>
        <v>0</v>
      </c>
      <c r="K2413" s="68"/>
      <c r="L2413" s="68"/>
      <c r="M2413" s="68"/>
      <c r="N2413" s="68"/>
      <c r="O2413" s="68"/>
      <c r="P2413" s="68"/>
      <c r="Q2413" s="68">
        <f>SUM(Devis[[#This Row],[Poste 1]:[Poste 6]])</f>
        <v>0</v>
      </c>
      <c r="R2413" s="111"/>
      <c r="S2413" s="68">
        <f>_xlfn.CEILING.MATH(Devis[[#This Row],[Quantité Totale]],Devis[[#This Row],[Conditionnement]])</f>
        <v>0</v>
      </c>
      <c r="T2413" s="72"/>
      <c r="U2413" s="106"/>
      <c r="V2413" s="74">
        <f>Devis[[#This Row],[Prix de Revient]]*Devis[[#This Row],[Poste 1]]</f>
        <v>0</v>
      </c>
      <c r="W2413" s="74">
        <f>Devis[[#This Row],[Prix de Revient]]*Devis[[#This Row],[Poste 2]]</f>
        <v>0</v>
      </c>
      <c r="X2413" s="74">
        <f>Devis[[#This Row],[Prix de Revient]]*Devis[[#This Row],[Poste 3]]</f>
        <v>0</v>
      </c>
      <c r="Y2413" s="74">
        <f>Devis[[#This Row],[Poste 4]]*Devis[[#This Row],[Prix de Revient]]</f>
        <v>0</v>
      </c>
      <c r="Z2413" s="74">
        <f>Devis[[#This Row],[Poste 5]]*Devis[[#This Row],[Prix de Revient]]</f>
        <v>0</v>
      </c>
      <c r="AA2413" s="74">
        <f>Devis[[#This Row],[Prix de Revient]]*Devis[[#This Row],[Poste 6]]</f>
        <v>0</v>
      </c>
      <c r="AB2413" s="74">
        <f>Devis[[#This Row],[Quantité Totale]]*Devis[[#This Row],[Prix de Revient]]</f>
        <v>0</v>
      </c>
    </row>
    <row r="2414" spans="1:28" ht="14.25" customHeight="1" outlineLevel="1" x14ac:dyDescent="0.2">
      <c r="A2414" s="75" t="s">
        <v>3479</v>
      </c>
      <c r="B2414" s="76" t="s">
        <v>2314</v>
      </c>
      <c r="C2414" s="76"/>
      <c r="D2414" s="81" t="str">
        <f t="shared" si="41"/>
        <v>Inox visséTé  FFF inox 316L</v>
      </c>
      <c r="E2414" s="76" t="s">
        <v>821</v>
      </c>
      <c r="F2414" s="81">
        <v>8</v>
      </c>
      <c r="G2414" s="108" t="s">
        <v>2315</v>
      </c>
      <c r="H2414" s="71"/>
      <c r="I2414" s="75"/>
      <c r="J2414" s="70">
        <f>IFERROR(VLOOKUP(Devis[[#This Row],[Ref Air Flux]],#REF!,3,FALSE),0)</f>
        <v>0</v>
      </c>
      <c r="K2414" s="68"/>
      <c r="L2414" s="68"/>
      <c r="M2414" s="68"/>
      <c r="N2414" s="68"/>
      <c r="O2414" s="68"/>
      <c r="P2414" s="68"/>
      <c r="Q2414" s="68">
        <f>SUM(Devis[[#This Row],[Poste 1]:[Poste 6]])</f>
        <v>0</v>
      </c>
      <c r="R2414" s="111"/>
      <c r="S2414" s="68">
        <f>_xlfn.CEILING.MATH(Devis[[#This Row],[Quantité Totale]],Devis[[#This Row],[Conditionnement]])</f>
        <v>0</v>
      </c>
      <c r="T2414" s="72"/>
      <c r="U2414" s="106"/>
      <c r="V2414" s="74">
        <f>Devis[[#This Row],[Prix de Revient]]*Devis[[#This Row],[Poste 1]]</f>
        <v>0</v>
      </c>
      <c r="W2414" s="74">
        <f>Devis[[#This Row],[Prix de Revient]]*Devis[[#This Row],[Poste 2]]</f>
        <v>0</v>
      </c>
      <c r="X2414" s="74">
        <f>Devis[[#This Row],[Prix de Revient]]*Devis[[#This Row],[Poste 3]]</f>
        <v>0</v>
      </c>
      <c r="Y2414" s="74">
        <f>Devis[[#This Row],[Poste 4]]*Devis[[#This Row],[Prix de Revient]]</f>
        <v>0</v>
      </c>
      <c r="Z2414" s="74">
        <f>Devis[[#This Row],[Poste 5]]*Devis[[#This Row],[Prix de Revient]]</f>
        <v>0</v>
      </c>
      <c r="AA2414" s="74">
        <f>Devis[[#This Row],[Prix de Revient]]*Devis[[#This Row],[Poste 6]]</f>
        <v>0</v>
      </c>
      <c r="AB2414" s="74">
        <f>Devis[[#This Row],[Quantité Totale]]*Devis[[#This Row],[Prix de Revient]]</f>
        <v>0</v>
      </c>
    </row>
    <row r="2415" spans="1:28" ht="14.25" customHeight="1" outlineLevel="1" x14ac:dyDescent="0.2">
      <c r="A2415" s="75" t="s">
        <v>3479</v>
      </c>
      <c r="B2415" s="76" t="s">
        <v>2314</v>
      </c>
      <c r="C2415" s="76"/>
      <c r="D2415" s="81" t="str">
        <f t="shared" si="41"/>
        <v>Inox visséTé  FFF inox 316L</v>
      </c>
      <c r="E2415" s="80" t="s">
        <v>18</v>
      </c>
      <c r="F2415" s="81">
        <v>9</v>
      </c>
      <c r="G2415" s="86" t="s">
        <v>2321</v>
      </c>
      <c r="H2415" s="71"/>
      <c r="I2415" s="75"/>
      <c r="J2415" s="70">
        <f>IFERROR(VLOOKUP(Devis[[#This Row],[Ref Air Flux]],#REF!,3,FALSE),0)</f>
        <v>0</v>
      </c>
      <c r="K2415" s="68"/>
      <c r="L2415" s="68"/>
      <c r="M2415" s="68"/>
      <c r="N2415" s="68"/>
      <c r="O2415" s="68"/>
      <c r="P2415" s="68"/>
      <c r="Q2415" s="68">
        <f>SUM(Devis[[#This Row],[Poste 1]:[Poste 6]])</f>
        <v>0</v>
      </c>
      <c r="R2415" s="111"/>
      <c r="S2415" s="68">
        <f>_xlfn.CEILING.MATH(Devis[[#This Row],[Quantité Totale]],Devis[[#This Row],[Conditionnement]])</f>
        <v>0</v>
      </c>
      <c r="T2415" s="72"/>
      <c r="U2415" s="106"/>
      <c r="V2415" s="74">
        <f>Devis[[#This Row],[Prix de Revient]]*Devis[[#This Row],[Poste 1]]</f>
        <v>0</v>
      </c>
      <c r="W2415" s="74">
        <f>Devis[[#This Row],[Prix de Revient]]*Devis[[#This Row],[Poste 2]]</f>
        <v>0</v>
      </c>
      <c r="X2415" s="74">
        <f>Devis[[#This Row],[Prix de Revient]]*Devis[[#This Row],[Poste 3]]</f>
        <v>0</v>
      </c>
      <c r="Y2415" s="74">
        <f>Devis[[#This Row],[Poste 4]]*Devis[[#This Row],[Prix de Revient]]</f>
        <v>0</v>
      </c>
      <c r="Z2415" s="74">
        <f>Devis[[#This Row],[Poste 5]]*Devis[[#This Row],[Prix de Revient]]</f>
        <v>0</v>
      </c>
      <c r="AA2415" s="74">
        <f>Devis[[#This Row],[Prix de Revient]]*Devis[[#This Row],[Poste 6]]</f>
        <v>0</v>
      </c>
      <c r="AB2415" s="74">
        <f>Devis[[#This Row],[Quantité Totale]]*Devis[[#This Row],[Prix de Revient]]</f>
        <v>0</v>
      </c>
    </row>
    <row r="2416" spans="1:28" ht="14.25" customHeight="1" outlineLevel="1" x14ac:dyDescent="0.2">
      <c r="A2416" s="75" t="s">
        <v>3479</v>
      </c>
      <c r="B2416" s="76" t="s">
        <v>2314</v>
      </c>
      <c r="C2416" s="76"/>
      <c r="D2416" s="81" t="str">
        <f t="shared" si="41"/>
        <v>Inox visséTé  FFF inox 316L</v>
      </c>
      <c r="E2416" s="80" t="s">
        <v>16</v>
      </c>
      <c r="F2416" s="81">
        <v>10</v>
      </c>
      <c r="G2416" s="108" t="s">
        <v>2323</v>
      </c>
      <c r="H2416" s="71"/>
      <c r="I2416" s="75"/>
      <c r="J2416" s="70">
        <f>IFERROR(VLOOKUP(Devis[[#This Row],[Ref Air Flux]],#REF!,3,FALSE),0)</f>
        <v>0</v>
      </c>
      <c r="K2416" s="68"/>
      <c r="L2416" s="68"/>
      <c r="M2416" s="68"/>
      <c r="N2416" s="68"/>
      <c r="O2416" s="68"/>
      <c r="P2416" s="68"/>
      <c r="Q2416" s="68">
        <f>SUM(Devis[[#This Row],[Poste 1]:[Poste 6]])</f>
        <v>0</v>
      </c>
      <c r="R2416" s="111"/>
      <c r="S2416" s="68">
        <f>_xlfn.CEILING.MATH(Devis[[#This Row],[Quantité Totale]],Devis[[#This Row],[Conditionnement]])</f>
        <v>0</v>
      </c>
      <c r="T2416" s="72"/>
      <c r="U2416" s="106"/>
      <c r="V2416" s="74">
        <f>Devis[[#This Row],[Prix de Revient]]*Devis[[#This Row],[Poste 1]]</f>
        <v>0</v>
      </c>
      <c r="W2416" s="74">
        <f>Devis[[#This Row],[Prix de Revient]]*Devis[[#This Row],[Poste 2]]</f>
        <v>0</v>
      </c>
      <c r="X2416" s="74">
        <f>Devis[[#This Row],[Prix de Revient]]*Devis[[#This Row],[Poste 3]]</f>
        <v>0</v>
      </c>
      <c r="Y2416" s="74">
        <f>Devis[[#This Row],[Poste 4]]*Devis[[#This Row],[Prix de Revient]]</f>
        <v>0</v>
      </c>
      <c r="Z2416" s="74">
        <f>Devis[[#This Row],[Poste 5]]*Devis[[#This Row],[Prix de Revient]]</f>
        <v>0</v>
      </c>
      <c r="AA2416" s="74">
        <f>Devis[[#This Row],[Prix de Revient]]*Devis[[#This Row],[Poste 6]]</f>
        <v>0</v>
      </c>
      <c r="AB2416" s="74">
        <f>Devis[[#This Row],[Quantité Totale]]*Devis[[#This Row],[Prix de Revient]]</f>
        <v>0</v>
      </c>
    </row>
    <row r="2417" spans="1:28" ht="14.25" customHeight="1" x14ac:dyDescent="0.25">
      <c r="A2417" s="65" t="s">
        <v>3479</v>
      </c>
      <c r="B2417" s="65" t="s">
        <v>2354</v>
      </c>
      <c r="C2417" s="76"/>
      <c r="D2417" s="81" t="str">
        <f t="shared" si="41"/>
        <v>Inox visséUnions ff  inox (joint plat) 316L</v>
      </c>
      <c r="E2417" s="76"/>
      <c r="F2417" s="81">
        <v>0</v>
      </c>
      <c r="G2417" s="86"/>
      <c r="H2417" s="71"/>
      <c r="I2417" s="75"/>
      <c r="J2417" s="70">
        <f>IFERROR(VLOOKUP(Devis[[#This Row],[Ref Air Flux]],#REF!,3,FALSE),0)</f>
        <v>0</v>
      </c>
      <c r="K2417" s="68"/>
      <c r="L2417" s="68"/>
      <c r="M2417" s="68"/>
      <c r="N2417" s="68"/>
      <c r="O2417" s="68"/>
      <c r="P2417" s="68"/>
      <c r="Q2417" s="68">
        <f>SUM(Devis[[#This Row],[Poste 1]:[Poste 6]])</f>
        <v>0</v>
      </c>
      <c r="R2417" s="111"/>
      <c r="S2417" s="68">
        <f>_xlfn.CEILING.MATH(Devis[[#This Row],[Quantité Totale]],Devis[[#This Row],[Conditionnement]])</f>
        <v>0</v>
      </c>
      <c r="T2417" s="72"/>
      <c r="U2417" s="106"/>
      <c r="V2417" s="74">
        <f>Devis[[#This Row],[Prix de Revient]]*Devis[[#This Row],[Poste 1]]</f>
        <v>0</v>
      </c>
      <c r="W2417" s="74">
        <f>Devis[[#This Row],[Prix de Revient]]*Devis[[#This Row],[Poste 2]]</f>
        <v>0</v>
      </c>
      <c r="X2417" s="74">
        <f>Devis[[#This Row],[Prix de Revient]]*Devis[[#This Row],[Poste 3]]</f>
        <v>0</v>
      </c>
      <c r="Y2417" s="74">
        <f>Devis[[#This Row],[Poste 4]]*Devis[[#This Row],[Prix de Revient]]</f>
        <v>0</v>
      </c>
      <c r="Z2417" s="74">
        <f>Devis[[#This Row],[Poste 5]]*Devis[[#This Row],[Prix de Revient]]</f>
        <v>0</v>
      </c>
      <c r="AA2417" s="74">
        <f>Devis[[#This Row],[Prix de Revient]]*Devis[[#This Row],[Poste 6]]</f>
        <v>0</v>
      </c>
      <c r="AB2417" s="74">
        <f>Devis[[#This Row],[Quantité Totale]]*Devis[[#This Row],[Prix de Revient]]</f>
        <v>0</v>
      </c>
    </row>
    <row r="2418" spans="1:28" ht="14.25" customHeight="1" outlineLevel="1" x14ac:dyDescent="0.2">
      <c r="A2418" s="75" t="s">
        <v>3479</v>
      </c>
      <c r="B2418" s="76" t="s">
        <v>2354</v>
      </c>
      <c r="C2418" s="76"/>
      <c r="D2418" s="81" t="str">
        <f t="shared" si="41"/>
        <v>Inox visséUnions ff  inox (joint plat) 316L</v>
      </c>
      <c r="E2418" s="76" t="s">
        <v>19</v>
      </c>
      <c r="F2418" s="81">
        <v>1</v>
      </c>
      <c r="G2418" s="108" t="s">
        <v>2359</v>
      </c>
      <c r="H2418" s="71"/>
      <c r="I2418" s="75"/>
      <c r="J2418" s="70">
        <f>IFERROR(VLOOKUP(Devis[[#This Row],[Ref Air Flux]],#REF!,3,FALSE),0)</f>
        <v>0</v>
      </c>
      <c r="K2418" s="68"/>
      <c r="L2418" s="68"/>
      <c r="M2418" s="68"/>
      <c r="N2418" s="68"/>
      <c r="O2418" s="68"/>
      <c r="P2418" s="68"/>
      <c r="Q2418" s="68">
        <f>SUM(Devis[[#This Row],[Poste 1]:[Poste 6]])</f>
        <v>0</v>
      </c>
      <c r="R2418" s="111"/>
      <c r="S2418" s="68">
        <f>_xlfn.CEILING.MATH(Devis[[#This Row],[Quantité Totale]],Devis[[#This Row],[Conditionnement]])</f>
        <v>0</v>
      </c>
      <c r="T2418" s="72"/>
      <c r="U2418" s="106"/>
      <c r="V2418" s="74">
        <f>Devis[[#This Row],[Prix de Revient]]*Devis[[#This Row],[Poste 1]]</f>
        <v>0</v>
      </c>
      <c r="W2418" s="74">
        <f>Devis[[#This Row],[Prix de Revient]]*Devis[[#This Row],[Poste 2]]</f>
        <v>0</v>
      </c>
      <c r="X2418" s="74">
        <f>Devis[[#This Row],[Prix de Revient]]*Devis[[#This Row],[Poste 3]]</f>
        <v>0</v>
      </c>
      <c r="Y2418" s="74">
        <f>Devis[[#This Row],[Poste 4]]*Devis[[#This Row],[Prix de Revient]]</f>
        <v>0</v>
      </c>
      <c r="Z2418" s="74">
        <f>Devis[[#This Row],[Poste 5]]*Devis[[#This Row],[Prix de Revient]]</f>
        <v>0</v>
      </c>
      <c r="AA2418" s="74">
        <f>Devis[[#This Row],[Prix de Revient]]*Devis[[#This Row],[Poste 6]]</f>
        <v>0</v>
      </c>
      <c r="AB2418" s="74">
        <f>Devis[[#This Row],[Quantité Totale]]*Devis[[#This Row],[Prix de Revient]]</f>
        <v>0</v>
      </c>
    </row>
    <row r="2419" spans="1:28" ht="14.25" outlineLevel="1" x14ac:dyDescent="0.2">
      <c r="A2419" s="75" t="s">
        <v>3479</v>
      </c>
      <c r="B2419" s="76" t="s">
        <v>2354</v>
      </c>
      <c r="C2419" s="76"/>
      <c r="D2419" s="81" t="str">
        <f t="shared" si="41"/>
        <v>Inox visséUnions ff  inox (joint plat) 316L</v>
      </c>
      <c r="E2419" s="76" t="s">
        <v>21</v>
      </c>
      <c r="F2419" s="81">
        <v>2</v>
      </c>
      <c r="G2419" s="108" t="s">
        <v>2357</v>
      </c>
      <c r="H2419" s="71"/>
      <c r="I2419" s="75"/>
      <c r="J2419" s="70">
        <f>IFERROR(VLOOKUP(Devis[[#This Row],[Ref Air Flux]],#REF!,3,FALSE),0)</f>
        <v>0</v>
      </c>
      <c r="K2419" s="68"/>
      <c r="L2419" s="68"/>
      <c r="M2419" s="68"/>
      <c r="N2419" s="68"/>
      <c r="O2419" s="68"/>
      <c r="P2419" s="68"/>
      <c r="Q2419" s="68">
        <f>SUM(Devis[[#This Row],[Poste 1]:[Poste 6]])</f>
        <v>0</v>
      </c>
      <c r="R2419" s="111"/>
      <c r="S2419" s="68">
        <f>_xlfn.CEILING.MATH(Devis[[#This Row],[Quantité Totale]],Devis[[#This Row],[Conditionnement]])</f>
        <v>0</v>
      </c>
      <c r="T2419" s="72"/>
      <c r="U2419" s="106"/>
      <c r="V2419" s="74">
        <f>Devis[[#This Row],[Prix de Revient]]*Devis[[#This Row],[Poste 1]]</f>
        <v>0</v>
      </c>
      <c r="W2419" s="74">
        <f>Devis[[#This Row],[Prix de Revient]]*Devis[[#This Row],[Poste 2]]</f>
        <v>0</v>
      </c>
      <c r="X2419" s="74">
        <f>Devis[[#This Row],[Prix de Revient]]*Devis[[#This Row],[Poste 3]]</f>
        <v>0</v>
      </c>
      <c r="Y2419" s="74">
        <f>Devis[[#This Row],[Poste 4]]*Devis[[#This Row],[Prix de Revient]]</f>
        <v>0</v>
      </c>
      <c r="Z2419" s="74">
        <f>Devis[[#This Row],[Poste 5]]*Devis[[#This Row],[Prix de Revient]]</f>
        <v>0</v>
      </c>
      <c r="AA2419" s="74">
        <f>Devis[[#This Row],[Prix de Revient]]*Devis[[#This Row],[Poste 6]]</f>
        <v>0</v>
      </c>
      <c r="AB2419" s="74">
        <f>Devis[[#This Row],[Quantité Totale]]*Devis[[#This Row],[Prix de Revient]]</f>
        <v>0</v>
      </c>
    </row>
    <row r="2420" spans="1:28" ht="14.25" outlineLevel="1" x14ac:dyDescent="0.2">
      <c r="A2420" s="75" t="s">
        <v>3479</v>
      </c>
      <c r="B2420" s="76" t="s">
        <v>2354</v>
      </c>
      <c r="C2420" s="76"/>
      <c r="D2420" s="81" t="str">
        <f t="shared" si="41"/>
        <v>Inox visséUnions ff  inox (joint plat) 316L</v>
      </c>
      <c r="E2420" s="76" t="s">
        <v>20</v>
      </c>
      <c r="F2420" s="81">
        <v>3</v>
      </c>
      <c r="G2420" s="108" t="s">
        <v>2358</v>
      </c>
      <c r="H2420" s="71"/>
      <c r="I2420" s="75"/>
      <c r="J2420" s="70">
        <f>IFERROR(VLOOKUP(Devis[[#This Row],[Ref Air Flux]],#REF!,3,FALSE),0)</f>
        <v>0</v>
      </c>
      <c r="K2420" s="68"/>
      <c r="L2420" s="68"/>
      <c r="M2420" s="68"/>
      <c r="N2420" s="68"/>
      <c r="O2420" s="68"/>
      <c r="P2420" s="68"/>
      <c r="Q2420" s="68">
        <f>SUM(Devis[[#This Row],[Poste 1]:[Poste 6]])</f>
        <v>0</v>
      </c>
      <c r="R2420" s="111"/>
      <c r="S2420" s="68">
        <f>_xlfn.CEILING.MATH(Devis[[#This Row],[Quantité Totale]],Devis[[#This Row],[Conditionnement]])</f>
        <v>0</v>
      </c>
      <c r="T2420" s="72"/>
      <c r="U2420" s="106"/>
      <c r="V2420" s="74">
        <f>Devis[[#This Row],[Prix de Revient]]*Devis[[#This Row],[Poste 1]]</f>
        <v>0</v>
      </c>
      <c r="W2420" s="74">
        <f>Devis[[#This Row],[Prix de Revient]]*Devis[[#This Row],[Poste 2]]</f>
        <v>0</v>
      </c>
      <c r="X2420" s="74">
        <f>Devis[[#This Row],[Prix de Revient]]*Devis[[#This Row],[Poste 3]]</f>
        <v>0</v>
      </c>
      <c r="Y2420" s="74">
        <f>Devis[[#This Row],[Poste 4]]*Devis[[#This Row],[Prix de Revient]]</f>
        <v>0</v>
      </c>
      <c r="Z2420" s="74">
        <f>Devis[[#This Row],[Poste 5]]*Devis[[#This Row],[Prix de Revient]]</f>
        <v>0</v>
      </c>
      <c r="AA2420" s="74">
        <f>Devis[[#This Row],[Prix de Revient]]*Devis[[#This Row],[Poste 6]]</f>
        <v>0</v>
      </c>
      <c r="AB2420" s="74">
        <f>Devis[[#This Row],[Quantité Totale]]*Devis[[#This Row],[Prix de Revient]]</f>
        <v>0</v>
      </c>
    </row>
    <row r="2421" spans="1:28" ht="15" customHeight="1" outlineLevel="1" x14ac:dyDescent="0.2">
      <c r="A2421" s="75" t="s">
        <v>3479</v>
      </c>
      <c r="B2421" s="76" t="s">
        <v>2354</v>
      </c>
      <c r="C2421" s="76"/>
      <c r="D2421" s="81" t="str">
        <f t="shared" si="41"/>
        <v>Inox visséUnions ff  inox (joint plat) 316L</v>
      </c>
      <c r="E2421" s="80" t="s">
        <v>17</v>
      </c>
      <c r="F2421" s="81">
        <v>4</v>
      </c>
      <c r="G2421" s="108" t="s">
        <v>2361</v>
      </c>
      <c r="H2421" s="71"/>
      <c r="I2421" s="75"/>
      <c r="J2421" s="70">
        <f>IFERROR(VLOOKUP(Devis[[#This Row],[Ref Air Flux]],#REF!,3,FALSE),0)</f>
        <v>0</v>
      </c>
      <c r="K2421" s="68"/>
      <c r="L2421" s="68"/>
      <c r="M2421" s="68"/>
      <c r="N2421" s="68"/>
      <c r="O2421" s="68"/>
      <c r="P2421" s="68"/>
      <c r="Q2421" s="68">
        <f>SUM(Devis[[#This Row],[Poste 1]:[Poste 6]])</f>
        <v>0</v>
      </c>
      <c r="R2421" s="111"/>
      <c r="S2421" s="68">
        <f>_xlfn.CEILING.MATH(Devis[[#This Row],[Quantité Totale]],Devis[[#This Row],[Conditionnement]])</f>
        <v>0</v>
      </c>
      <c r="T2421" s="72"/>
      <c r="U2421" s="106"/>
      <c r="V2421" s="74">
        <f>Devis[[#This Row],[Prix de Revient]]*Devis[[#This Row],[Poste 1]]</f>
        <v>0</v>
      </c>
      <c r="W2421" s="74">
        <f>Devis[[#This Row],[Prix de Revient]]*Devis[[#This Row],[Poste 2]]</f>
        <v>0</v>
      </c>
      <c r="X2421" s="74">
        <f>Devis[[#This Row],[Prix de Revient]]*Devis[[#This Row],[Poste 3]]</f>
        <v>0</v>
      </c>
      <c r="Y2421" s="74">
        <f>Devis[[#This Row],[Poste 4]]*Devis[[#This Row],[Prix de Revient]]</f>
        <v>0</v>
      </c>
      <c r="Z2421" s="74">
        <f>Devis[[#This Row],[Poste 5]]*Devis[[#This Row],[Prix de Revient]]</f>
        <v>0</v>
      </c>
      <c r="AA2421" s="74">
        <f>Devis[[#This Row],[Prix de Revient]]*Devis[[#This Row],[Poste 6]]</f>
        <v>0</v>
      </c>
      <c r="AB2421" s="74">
        <f>Devis[[#This Row],[Quantité Totale]]*Devis[[#This Row],[Prix de Revient]]</f>
        <v>0</v>
      </c>
    </row>
    <row r="2422" spans="1:28" ht="14.25" outlineLevel="1" x14ac:dyDescent="0.2">
      <c r="A2422" s="75" t="s">
        <v>3479</v>
      </c>
      <c r="B2422" s="76" t="s">
        <v>2354</v>
      </c>
      <c r="C2422" s="76"/>
      <c r="D2422" s="81" t="str">
        <f t="shared" si="41"/>
        <v>Inox visséUnions ff  inox (joint plat) 316L</v>
      </c>
      <c r="E2422" s="80" t="s">
        <v>46</v>
      </c>
      <c r="F2422" s="81">
        <v>5</v>
      </c>
      <c r="G2422" s="108" t="s">
        <v>2363</v>
      </c>
      <c r="H2422" s="71"/>
      <c r="I2422" s="75"/>
      <c r="J2422" s="70">
        <f>IFERROR(VLOOKUP(Devis[[#This Row],[Ref Air Flux]],#REF!,3,FALSE),0)</f>
        <v>0</v>
      </c>
      <c r="K2422" s="68"/>
      <c r="L2422" s="68"/>
      <c r="M2422" s="68"/>
      <c r="N2422" s="68"/>
      <c r="O2422" s="68"/>
      <c r="P2422" s="68"/>
      <c r="Q2422" s="68">
        <f>SUM(Devis[[#This Row],[Poste 1]:[Poste 6]])</f>
        <v>0</v>
      </c>
      <c r="R2422" s="111"/>
      <c r="S2422" s="68">
        <f>_xlfn.CEILING.MATH(Devis[[#This Row],[Quantité Totale]],Devis[[#This Row],[Conditionnement]])</f>
        <v>0</v>
      </c>
      <c r="T2422" s="72"/>
      <c r="U2422" s="106"/>
      <c r="V2422" s="74">
        <f>Devis[[#This Row],[Prix de Revient]]*Devis[[#This Row],[Poste 1]]</f>
        <v>0</v>
      </c>
      <c r="W2422" s="74">
        <f>Devis[[#This Row],[Prix de Revient]]*Devis[[#This Row],[Poste 2]]</f>
        <v>0</v>
      </c>
      <c r="X2422" s="74">
        <f>Devis[[#This Row],[Prix de Revient]]*Devis[[#This Row],[Poste 3]]</f>
        <v>0</v>
      </c>
      <c r="Y2422" s="74">
        <f>Devis[[#This Row],[Poste 4]]*Devis[[#This Row],[Prix de Revient]]</f>
        <v>0</v>
      </c>
      <c r="Z2422" s="74">
        <f>Devis[[#This Row],[Poste 5]]*Devis[[#This Row],[Prix de Revient]]</f>
        <v>0</v>
      </c>
      <c r="AA2422" s="74">
        <f>Devis[[#This Row],[Prix de Revient]]*Devis[[#This Row],[Poste 6]]</f>
        <v>0</v>
      </c>
      <c r="AB2422" s="74">
        <f>Devis[[#This Row],[Quantité Totale]]*Devis[[#This Row],[Prix de Revient]]</f>
        <v>0</v>
      </c>
    </row>
    <row r="2423" spans="1:28" ht="14.25" customHeight="1" outlineLevel="1" x14ac:dyDescent="0.2">
      <c r="A2423" s="75" t="s">
        <v>3479</v>
      </c>
      <c r="B2423" s="76" t="s">
        <v>2354</v>
      </c>
      <c r="C2423" s="76"/>
      <c r="D2423" s="81" t="str">
        <f t="shared" si="41"/>
        <v>Inox visséUnions ff  inox (joint plat) 316L</v>
      </c>
      <c r="E2423" s="76" t="s">
        <v>0</v>
      </c>
      <c r="F2423" s="81">
        <v>6</v>
      </c>
      <c r="G2423" s="108" t="s">
        <v>2356</v>
      </c>
      <c r="H2423" s="71"/>
      <c r="I2423" s="75"/>
      <c r="J2423" s="70">
        <f>IFERROR(VLOOKUP(Devis[[#This Row],[Ref Air Flux]],#REF!,3,FALSE),0)</f>
        <v>0</v>
      </c>
      <c r="K2423" s="68"/>
      <c r="L2423" s="68"/>
      <c r="M2423" s="68"/>
      <c r="N2423" s="68"/>
      <c r="O2423" s="68"/>
      <c r="P2423" s="68"/>
      <c r="Q2423" s="68">
        <f>SUM(Devis[[#This Row],[Poste 1]:[Poste 6]])</f>
        <v>0</v>
      </c>
      <c r="R2423" s="111"/>
      <c r="S2423" s="68">
        <f>_xlfn.CEILING.MATH(Devis[[#This Row],[Quantité Totale]],Devis[[#This Row],[Conditionnement]])</f>
        <v>0</v>
      </c>
      <c r="T2423" s="72"/>
      <c r="U2423" s="106"/>
      <c r="V2423" s="74">
        <f>Devis[[#This Row],[Prix de Revient]]*Devis[[#This Row],[Poste 1]]</f>
        <v>0</v>
      </c>
      <c r="W2423" s="74">
        <f>Devis[[#This Row],[Prix de Revient]]*Devis[[#This Row],[Poste 2]]</f>
        <v>0</v>
      </c>
      <c r="X2423" s="74">
        <f>Devis[[#This Row],[Prix de Revient]]*Devis[[#This Row],[Poste 3]]</f>
        <v>0</v>
      </c>
      <c r="Y2423" s="74">
        <f>Devis[[#This Row],[Poste 4]]*Devis[[#This Row],[Prix de Revient]]</f>
        <v>0</v>
      </c>
      <c r="Z2423" s="74">
        <f>Devis[[#This Row],[Poste 5]]*Devis[[#This Row],[Prix de Revient]]</f>
        <v>0</v>
      </c>
      <c r="AA2423" s="74">
        <f>Devis[[#This Row],[Prix de Revient]]*Devis[[#This Row],[Poste 6]]</f>
        <v>0</v>
      </c>
      <c r="AB2423" s="74">
        <f>Devis[[#This Row],[Quantité Totale]]*Devis[[#This Row],[Prix de Revient]]</f>
        <v>0</v>
      </c>
    </row>
    <row r="2424" spans="1:28" ht="14.25" outlineLevel="1" x14ac:dyDescent="0.2">
      <c r="A2424" s="75" t="s">
        <v>3479</v>
      </c>
      <c r="B2424" s="76" t="s">
        <v>2354</v>
      </c>
      <c r="C2424" s="76"/>
      <c r="D2424" s="81" t="str">
        <f t="shared" si="41"/>
        <v>Inox visséUnions ff  inox (joint plat) 316L</v>
      </c>
      <c r="E2424" s="76" t="s">
        <v>49</v>
      </c>
      <c r="F2424" s="81">
        <v>7</v>
      </c>
      <c r="G2424" s="108" t="s">
        <v>2355</v>
      </c>
      <c r="H2424" s="71"/>
      <c r="I2424" s="75"/>
      <c r="J2424" s="70">
        <f>IFERROR(VLOOKUP(Devis[[#This Row],[Ref Air Flux]],#REF!,3,FALSE),0)</f>
        <v>0</v>
      </c>
      <c r="K2424" s="68"/>
      <c r="L2424" s="68"/>
      <c r="M2424" s="68"/>
      <c r="N2424" s="68"/>
      <c r="O2424" s="68"/>
      <c r="P2424" s="68"/>
      <c r="Q2424" s="68">
        <f>SUM(Devis[[#This Row],[Poste 1]:[Poste 6]])</f>
        <v>0</v>
      </c>
      <c r="R2424" s="111"/>
      <c r="S2424" s="68">
        <f>_xlfn.CEILING.MATH(Devis[[#This Row],[Quantité Totale]],Devis[[#This Row],[Conditionnement]])</f>
        <v>0</v>
      </c>
      <c r="T2424" s="72"/>
      <c r="U2424" s="106"/>
      <c r="V2424" s="74">
        <f>Devis[[#This Row],[Prix de Revient]]*Devis[[#This Row],[Poste 1]]</f>
        <v>0</v>
      </c>
      <c r="W2424" s="74">
        <f>Devis[[#This Row],[Prix de Revient]]*Devis[[#This Row],[Poste 2]]</f>
        <v>0</v>
      </c>
      <c r="X2424" s="74">
        <f>Devis[[#This Row],[Prix de Revient]]*Devis[[#This Row],[Poste 3]]</f>
        <v>0</v>
      </c>
      <c r="Y2424" s="74">
        <f>Devis[[#This Row],[Poste 4]]*Devis[[#This Row],[Prix de Revient]]</f>
        <v>0</v>
      </c>
      <c r="Z2424" s="74">
        <f>Devis[[#This Row],[Poste 5]]*Devis[[#This Row],[Prix de Revient]]</f>
        <v>0</v>
      </c>
      <c r="AA2424" s="74">
        <f>Devis[[#This Row],[Prix de Revient]]*Devis[[#This Row],[Poste 6]]</f>
        <v>0</v>
      </c>
      <c r="AB2424" s="74">
        <f>Devis[[#This Row],[Quantité Totale]]*Devis[[#This Row],[Prix de Revient]]</f>
        <v>0</v>
      </c>
    </row>
    <row r="2425" spans="1:28" ht="14.25" outlineLevel="1" x14ac:dyDescent="0.2">
      <c r="A2425" s="75" t="s">
        <v>3479</v>
      </c>
      <c r="B2425" s="76" t="s">
        <v>2354</v>
      </c>
      <c r="C2425" s="76"/>
      <c r="D2425" s="81" t="str">
        <f t="shared" si="41"/>
        <v>Inox visséUnions ff  inox (joint plat) 316L</v>
      </c>
      <c r="E2425" s="80" t="s">
        <v>18</v>
      </c>
      <c r="F2425" s="81">
        <v>8</v>
      </c>
      <c r="G2425" s="108" t="s">
        <v>2360</v>
      </c>
      <c r="H2425" s="71"/>
      <c r="I2425" s="75"/>
      <c r="J2425" s="70">
        <f>IFERROR(VLOOKUP(Devis[[#This Row],[Ref Air Flux]],#REF!,3,FALSE),0)</f>
        <v>0</v>
      </c>
      <c r="K2425" s="68"/>
      <c r="L2425" s="68"/>
      <c r="M2425" s="68"/>
      <c r="N2425" s="68"/>
      <c r="O2425" s="68"/>
      <c r="P2425" s="68"/>
      <c r="Q2425" s="68">
        <f>SUM(Devis[[#This Row],[Poste 1]:[Poste 6]])</f>
        <v>0</v>
      </c>
      <c r="R2425" s="111"/>
      <c r="S2425" s="68">
        <f>_xlfn.CEILING.MATH(Devis[[#This Row],[Quantité Totale]],Devis[[#This Row],[Conditionnement]])</f>
        <v>0</v>
      </c>
      <c r="T2425" s="72"/>
      <c r="U2425" s="106"/>
      <c r="V2425" s="74">
        <f>Devis[[#This Row],[Prix de Revient]]*Devis[[#This Row],[Poste 1]]</f>
        <v>0</v>
      </c>
      <c r="W2425" s="74">
        <f>Devis[[#This Row],[Prix de Revient]]*Devis[[#This Row],[Poste 2]]</f>
        <v>0</v>
      </c>
      <c r="X2425" s="74">
        <f>Devis[[#This Row],[Prix de Revient]]*Devis[[#This Row],[Poste 3]]</f>
        <v>0</v>
      </c>
      <c r="Y2425" s="74">
        <f>Devis[[#This Row],[Poste 4]]*Devis[[#This Row],[Prix de Revient]]</f>
        <v>0</v>
      </c>
      <c r="Z2425" s="74">
        <f>Devis[[#This Row],[Poste 5]]*Devis[[#This Row],[Prix de Revient]]</f>
        <v>0</v>
      </c>
      <c r="AA2425" s="74">
        <f>Devis[[#This Row],[Prix de Revient]]*Devis[[#This Row],[Poste 6]]</f>
        <v>0</v>
      </c>
      <c r="AB2425" s="74">
        <f>Devis[[#This Row],[Quantité Totale]]*Devis[[#This Row],[Prix de Revient]]</f>
        <v>0</v>
      </c>
    </row>
    <row r="2426" spans="1:28" ht="14.25" outlineLevel="1" x14ac:dyDescent="0.2">
      <c r="A2426" s="75" t="s">
        <v>3479</v>
      </c>
      <c r="B2426" s="76" t="s">
        <v>2354</v>
      </c>
      <c r="C2426" s="76"/>
      <c r="D2426" s="81" t="str">
        <f t="shared" si="41"/>
        <v>Inox visséUnions ff  inox (joint plat) 316L</v>
      </c>
      <c r="E2426" s="80" t="s">
        <v>16</v>
      </c>
      <c r="F2426" s="81">
        <v>9</v>
      </c>
      <c r="G2426" s="108" t="s">
        <v>2362</v>
      </c>
      <c r="H2426" s="71"/>
      <c r="I2426" s="75"/>
      <c r="J2426" s="70">
        <f>IFERROR(VLOOKUP(Devis[[#This Row],[Ref Air Flux]],#REF!,3,FALSE),0)</f>
        <v>0</v>
      </c>
      <c r="K2426" s="68"/>
      <c r="L2426" s="68"/>
      <c r="M2426" s="68"/>
      <c r="N2426" s="68"/>
      <c r="O2426" s="68"/>
      <c r="P2426" s="68"/>
      <c r="Q2426" s="68">
        <f>SUM(Devis[[#This Row],[Poste 1]:[Poste 6]])</f>
        <v>0</v>
      </c>
      <c r="R2426" s="111"/>
      <c r="S2426" s="68">
        <f>_xlfn.CEILING.MATH(Devis[[#This Row],[Quantité Totale]],Devis[[#This Row],[Conditionnement]])</f>
        <v>0</v>
      </c>
      <c r="T2426" s="72"/>
      <c r="U2426" s="106"/>
      <c r="V2426" s="74">
        <f>Devis[[#This Row],[Prix de Revient]]*Devis[[#This Row],[Poste 1]]</f>
        <v>0</v>
      </c>
      <c r="W2426" s="74">
        <f>Devis[[#This Row],[Prix de Revient]]*Devis[[#This Row],[Poste 2]]</f>
        <v>0</v>
      </c>
      <c r="X2426" s="74">
        <f>Devis[[#This Row],[Prix de Revient]]*Devis[[#This Row],[Poste 3]]</f>
        <v>0</v>
      </c>
      <c r="Y2426" s="74">
        <f>Devis[[#This Row],[Poste 4]]*Devis[[#This Row],[Prix de Revient]]</f>
        <v>0</v>
      </c>
      <c r="Z2426" s="74">
        <f>Devis[[#This Row],[Poste 5]]*Devis[[#This Row],[Prix de Revient]]</f>
        <v>0</v>
      </c>
      <c r="AA2426" s="74">
        <f>Devis[[#This Row],[Prix de Revient]]*Devis[[#This Row],[Poste 6]]</f>
        <v>0</v>
      </c>
      <c r="AB2426" s="74">
        <f>Devis[[#This Row],[Quantité Totale]]*Devis[[#This Row],[Prix de Revient]]</f>
        <v>0</v>
      </c>
    </row>
    <row r="2427" spans="1:28" ht="14.25" customHeight="1" outlineLevel="1" x14ac:dyDescent="0.2">
      <c r="A2427" s="75" t="s">
        <v>3479</v>
      </c>
      <c r="B2427" s="76" t="s">
        <v>2354</v>
      </c>
      <c r="C2427" s="76"/>
      <c r="D2427" s="81" t="str">
        <f t="shared" si="41"/>
        <v>Inox visséUnions ff  inox (joint plat) 316L</v>
      </c>
      <c r="E2427" s="76" t="s">
        <v>821</v>
      </c>
      <c r="F2427" s="81">
        <v>10</v>
      </c>
      <c r="G2427" s="86"/>
      <c r="H2427" s="71"/>
      <c r="I2427" s="75"/>
      <c r="J2427" s="70">
        <f>IFERROR(VLOOKUP(Devis[[#This Row],[Ref Air Flux]],#REF!,3,FALSE),0)</f>
        <v>0</v>
      </c>
      <c r="K2427" s="68"/>
      <c r="L2427" s="68"/>
      <c r="M2427" s="68"/>
      <c r="N2427" s="68"/>
      <c r="O2427" s="68"/>
      <c r="P2427" s="68"/>
      <c r="Q2427" s="68">
        <f>SUM(Devis[[#This Row],[Poste 1]:[Poste 6]])</f>
        <v>0</v>
      </c>
      <c r="R2427" s="111"/>
      <c r="S2427" s="68">
        <f>_xlfn.CEILING.MATH(Devis[[#This Row],[Quantité Totale]],Devis[[#This Row],[Conditionnement]])</f>
        <v>0</v>
      </c>
      <c r="T2427" s="72"/>
      <c r="U2427" s="106"/>
      <c r="V2427" s="74">
        <f>Devis[[#This Row],[Prix de Revient]]*Devis[[#This Row],[Poste 1]]</f>
        <v>0</v>
      </c>
      <c r="W2427" s="74">
        <f>Devis[[#This Row],[Prix de Revient]]*Devis[[#This Row],[Poste 2]]</f>
        <v>0</v>
      </c>
      <c r="X2427" s="74">
        <f>Devis[[#This Row],[Prix de Revient]]*Devis[[#This Row],[Poste 3]]</f>
        <v>0</v>
      </c>
      <c r="Y2427" s="74">
        <f>Devis[[#This Row],[Poste 4]]*Devis[[#This Row],[Prix de Revient]]</f>
        <v>0</v>
      </c>
      <c r="Z2427" s="74">
        <f>Devis[[#This Row],[Poste 5]]*Devis[[#This Row],[Prix de Revient]]</f>
        <v>0</v>
      </c>
      <c r="AA2427" s="74">
        <f>Devis[[#This Row],[Prix de Revient]]*Devis[[#This Row],[Poste 6]]</f>
        <v>0</v>
      </c>
      <c r="AB2427" s="74">
        <f>Devis[[#This Row],[Quantité Totale]]*Devis[[#This Row],[Prix de Revient]]</f>
        <v>0</v>
      </c>
    </row>
    <row r="2428" spans="1:28" ht="14.25" customHeight="1" x14ac:dyDescent="0.25">
      <c r="A2428" s="65" t="s">
        <v>3479</v>
      </c>
      <c r="B2428" s="65" t="s">
        <v>2364</v>
      </c>
      <c r="C2428" s="76"/>
      <c r="D2428" s="81" t="str">
        <f t="shared" si="41"/>
        <v>Inox visséUnions mf  inox (joint plat) 316L</v>
      </c>
      <c r="E2428" s="76"/>
      <c r="F2428" s="81">
        <v>0</v>
      </c>
      <c r="G2428" s="86"/>
      <c r="H2428" s="71"/>
      <c r="I2428" s="75"/>
      <c r="J2428" s="70">
        <f>IFERROR(VLOOKUP(Devis[[#This Row],[Ref Air Flux]],#REF!,3,FALSE),0)</f>
        <v>0</v>
      </c>
      <c r="K2428" s="68"/>
      <c r="L2428" s="68"/>
      <c r="M2428" s="68"/>
      <c r="N2428" s="68"/>
      <c r="O2428" s="68"/>
      <c r="P2428" s="68"/>
      <c r="Q2428" s="68">
        <f>SUM(Devis[[#This Row],[Poste 1]:[Poste 6]])</f>
        <v>0</v>
      </c>
      <c r="R2428" s="111"/>
      <c r="S2428" s="68">
        <f>_xlfn.CEILING.MATH(Devis[[#This Row],[Quantité Totale]],Devis[[#This Row],[Conditionnement]])</f>
        <v>0</v>
      </c>
      <c r="T2428" s="72"/>
      <c r="U2428" s="106"/>
      <c r="V2428" s="74">
        <f>Devis[[#This Row],[Prix de Revient]]*Devis[[#This Row],[Poste 1]]</f>
        <v>0</v>
      </c>
      <c r="W2428" s="74">
        <f>Devis[[#This Row],[Prix de Revient]]*Devis[[#This Row],[Poste 2]]</f>
        <v>0</v>
      </c>
      <c r="X2428" s="74">
        <f>Devis[[#This Row],[Prix de Revient]]*Devis[[#This Row],[Poste 3]]</f>
        <v>0</v>
      </c>
      <c r="Y2428" s="74">
        <f>Devis[[#This Row],[Poste 4]]*Devis[[#This Row],[Prix de Revient]]</f>
        <v>0</v>
      </c>
      <c r="Z2428" s="74">
        <f>Devis[[#This Row],[Poste 5]]*Devis[[#This Row],[Prix de Revient]]</f>
        <v>0</v>
      </c>
      <c r="AA2428" s="74">
        <f>Devis[[#This Row],[Prix de Revient]]*Devis[[#This Row],[Poste 6]]</f>
        <v>0</v>
      </c>
      <c r="AB2428" s="74">
        <f>Devis[[#This Row],[Quantité Totale]]*Devis[[#This Row],[Prix de Revient]]</f>
        <v>0</v>
      </c>
    </row>
    <row r="2429" spans="1:28" ht="15" customHeight="1" outlineLevel="1" x14ac:dyDescent="0.2">
      <c r="A2429" s="75" t="s">
        <v>3479</v>
      </c>
      <c r="B2429" s="76" t="s">
        <v>2364</v>
      </c>
      <c r="C2429" s="76"/>
      <c r="D2429" s="81" t="str">
        <f t="shared" si="41"/>
        <v>Inox visséUnions mf  inox (joint plat) 316L</v>
      </c>
      <c r="E2429" s="76" t="s">
        <v>19</v>
      </c>
      <c r="F2429" s="81">
        <v>1</v>
      </c>
      <c r="G2429" s="86" t="s">
        <v>2369</v>
      </c>
      <c r="H2429" s="71"/>
      <c r="I2429" s="75"/>
      <c r="J2429" s="70">
        <f>IFERROR(VLOOKUP(Devis[[#This Row],[Ref Air Flux]],#REF!,3,FALSE),0)</f>
        <v>0</v>
      </c>
      <c r="K2429" s="68"/>
      <c r="L2429" s="68"/>
      <c r="M2429" s="68"/>
      <c r="N2429" s="68"/>
      <c r="O2429" s="68"/>
      <c r="P2429" s="68"/>
      <c r="Q2429" s="68">
        <f>SUM(Devis[[#This Row],[Poste 1]:[Poste 6]])</f>
        <v>0</v>
      </c>
      <c r="R2429" s="111"/>
      <c r="S2429" s="68">
        <f>_xlfn.CEILING.MATH(Devis[[#This Row],[Quantité Totale]],Devis[[#This Row],[Conditionnement]])</f>
        <v>0</v>
      </c>
      <c r="T2429" s="72"/>
      <c r="U2429" s="106"/>
      <c r="V2429" s="74">
        <f>Devis[[#This Row],[Prix de Revient]]*Devis[[#This Row],[Poste 1]]</f>
        <v>0</v>
      </c>
      <c r="W2429" s="74">
        <f>Devis[[#This Row],[Prix de Revient]]*Devis[[#This Row],[Poste 2]]</f>
        <v>0</v>
      </c>
      <c r="X2429" s="74">
        <f>Devis[[#This Row],[Prix de Revient]]*Devis[[#This Row],[Poste 3]]</f>
        <v>0</v>
      </c>
      <c r="Y2429" s="74">
        <f>Devis[[#This Row],[Poste 4]]*Devis[[#This Row],[Prix de Revient]]</f>
        <v>0</v>
      </c>
      <c r="Z2429" s="74">
        <f>Devis[[#This Row],[Poste 5]]*Devis[[#This Row],[Prix de Revient]]</f>
        <v>0</v>
      </c>
      <c r="AA2429" s="74">
        <f>Devis[[#This Row],[Prix de Revient]]*Devis[[#This Row],[Poste 6]]</f>
        <v>0</v>
      </c>
      <c r="AB2429" s="74">
        <f>Devis[[#This Row],[Quantité Totale]]*Devis[[#This Row],[Prix de Revient]]</f>
        <v>0</v>
      </c>
    </row>
    <row r="2430" spans="1:28" ht="14.25" customHeight="1" outlineLevel="1" x14ac:dyDescent="0.2">
      <c r="A2430" s="75" t="s">
        <v>3479</v>
      </c>
      <c r="B2430" s="76" t="s">
        <v>2364</v>
      </c>
      <c r="C2430" s="76"/>
      <c r="D2430" s="81" t="str">
        <f t="shared" si="41"/>
        <v>Inox visséUnions mf  inox (joint plat) 316L</v>
      </c>
      <c r="E2430" s="76" t="s">
        <v>21</v>
      </c>
      <c r="F2430" s="81">
        <v>2</v>
      </c>
      <c r="G2430" s="86" t="s">
        <v>2367</v>
      </c>
      <c r="H2430" s="71"/>
      <c r="I2430" s="75"/>
      <c r="J2430" s="70">
        <f>IFERROR(VLOOKUP(Devis[[#This Row],[Ref Air Flux]],#REF!,3,FALSE),0)</f>
        <v>0</v>
      </c>
      <c r="K2430" s="68"/>
      <c r="L2430" s="68"/>
      <c r="M2430" s="68"/>
      <c r="N2430" s="68"/>
      <c r="O2430" s="68"/>
      <c r="P2430" s="68"/>
      <c r="Q2430" s="68">
        <f>SUM(Devis[[#This Row],[Poste 1]:[Poste 6]])</f>
        <v>0</v>
      </c>
      <c r="R2430" s="111"/>
      <c r="S2430" s="68">
        <f>_xlfn.CEILING.MATH(Devis[[#This Row],[Quantité Totale]],Devis[[#This Row],[Conditionnement]])</f>
        <v>0</v>
      </c>
      <c r="T2430" s="72"/>
      <c r="U2430" s="106"/>
      <c r="V2430" s="74">
        <f>Devis[[#This Row],[Prix de Revient]]*Devis[[#This Row],[Poste 1]]</f>
        <v>0</v>
      </c>
      <c r="W2430" s="74">
        <f>Devis[[#This Row],[Prix de Revient]]*Devis[[#This Row],[Poste 2]]</f>
        <v>0</v>
      </c>
      <c r="X2430" s="74">
        <f>Devis[[#This Row],[Prix de Revient]]*Devis[[#This Row],[Poste 3]]</f>
        <v>0</v>
      </c>
      <c r="Y2430" s="74">
        <f>Devis[[#This Row],[Poste 4]]*Devis[[#This Row],[Prix de Revient]]</f>
        <v>0</v>
      </c>
      <c r="Z2430" s="74">
        <f>Devis[[#This Row],[Poste 5]]*Devis[[#This Row],[Prix de Revient]]</f>
        <v>0</v>
      </c>
      <c r="AA2430" s="74">
        <f>Devis[[#This Row],[Prix de Revient]]*Devis[[#This Row],[Poste 6]]</f>
        <v>0</v>
      </c>
      <c r="AB2430" s="74">
        <f>Devis[[#This Row],[Quantité Totale]]*Devis[[#This Row],[Prix de Revient]]</f>
        <v>0</v>
      </c>
    </row>
    <row r="2431" spans="1:28" ht="14.25" customHeight="1" outlineLevel="1" x14ac:dyDescent="0.2">
      <c r="A2431" s="75" t="s">
        <v>3479</v>
      </c>
      <c r="B2431" s="76" t="s">
        <v>2364</v>
      </c>
      <c r="C2431" s="76"/>
      <c r="D2431" s="81" t="str">
        <f t="shared" si="41"/>
        <v>Inox visséUnions mf  inox (joint plat) 316L</v>
      </c>
      <c r="E2431" s="76" t="s">
        <v>20</v>
      </c>
      <c r="F2431" s="81">
        <v>3</v>
      </c>
      <c r="G2431" s="86" t="s">
        <v>2368</v>
      </c>
      <c r="H2431" s="71"/>
      <c r="I2431" s="75"/>
      <c r="J2431" s="70">
        <f>IFERROR(VLOOKUP(Devis[[#This Row],[Ref Air Flux]],#REF!,3,FALSE),0)</f>
        <v>0</v>
      </c>
      <c r="K2431" s="68"/>
      <c r="L2431" s="68"/>
      <c r="M2431" s="68"/>
      <c r="N2431" s="68"/>
      <c r="O2431" s="68"/>
      <c r="P2431" s="68"/>
      <c r="Q2431" s="68">
        <f>SUM(Devis[[#This Row],[Poste 1]:[Poste 6]])</f>
        <v>0</v>
      </c>
      <c r="R2431" s="111"/>
      <c r="S2431" s="68">
        <f>_xlfn.CEILING.MATH(Devis[[#This Row],[Quantité Totale]],Devis[[#This Row],[Conditionnement]])</f>
        <v>0</v>
      </c>
      <c r="T2431" s="72"/>
      <c r="U2431" s="106"/>
      <c r="V2431" s="74">
        <f>Devis[[#This Row],[Prix de Revient]]*Devis[[#This Row],[Poste 1]]</f>
        <v>0</v>
      </c>
      <c r="W2431" s="74">
        <f>Devis[[#This Row],[Prix de Revient]]*Devis[[#This Row],[Poste 2]]</f>
        <v>0</v>
      </c>
      <c r="X2431" s="74">
        <f>Devis[[#This Row],[Prix de Revient]]*Devis[[#This Row],[Poste 3]]</f>
        <v>0</v>
      </c>
      <c r="Y2431" s="74">
        <f>Devis[[#This Row],[Poste 4]]*Devis[[#This Row],[Prix de Revient]]</f>
        <v>0</v>
      </c>
      <c r="Z2431" s="74">
        <f>Devis[[#This Row],[Poste 5]]*Devis[[#This Row],[Prix de Revient]]</f>
        <v>0</v>
      </c>
      <c r="AA2431" s="74">
        <f>Devis[[#This Row],[Prix de Revient]]*Devis[[#This Row],[Poste 6]]</f>
        <v>0</v>
      </c>
      <c r="AB2431" s="74">
        <f>Devis[[#This Row],[Quantité Totale]]*Devis[[#This Row],[Prix de Revient]]</f>
        <v>0</v>
      </c>
    </row>
    <row r="2432" spans="1:28" ht="14.25" outlineLevel="1" x14ac:dyDescent="0.2">
      <c r="A2432" s="75" t="s">
        <v>3479</v>
      </c>
      <c r="B2432" s="76" t="s">
        <v>2364</v>
      </c>
      <c r="C2432" s="76"/>
      <c r="D2432" s="81" t="str">
        <f t="shared" si="41"/>
        <v>Inox visséUnions mf  inox (joint plat) 316L</v>
      </c>
      <c r="E2432" s="80" t="s">
        <v>17</v>
      </c>
      <c r="F2432" s="81">
        <v>4</v>
      </c>
      <c r="G2432" s="86" t="s">
        <v>2371</v>
      </c>
      <c r="H2432" s="71"/>
      <c r="I2432" s="75"/>
      <c r="J2432" s="70">
        <f>IFERROR(VLOOKUP(Devis[[#This Row],[Ref Air Flux]],#REF!,3,FALSE),0)</f>
        <v>0</v>
      </c>
      <c r="K2432" s="68"/>
      <c r="L2432" s="68"/>
      <c r="M2432" s="68"/>
      <c r="N2432" s="68"/>
      <c r="O2432" s="68"/>
      <c r="P2432" s="68"/>
      <c r="Q2432" s="68">
        <f>SUM(Devis[[#This Row],[Poste 1]:[Poste 6]])</f>
        <v>0</v>
      </c>
      <c r="R2432" s="111"/>
      <c r="S2432" s="68">
        <f>_xlfn.CEILING.MATH(Devis[[#This Row],[Quantité Totale]],Devis[[#This Row],[Conditionnement]])</f>
        <v>0</v>
      </c>
      <c r="T2432" s="72"/>
      <c r="U2432" s="106"/>
      <c r="V2432" s="74">
        <f>Devis[[#This Row],[Prix de Revient]]*Devis[[#This Row],[Poste 1]]</f>
        <v>0</v>
      </c>
      <c r="W2432" s="74">
        <f>Devis[[#This Row],[Prix de Revient]]*Devis[[#This Row],[Poste 2]]</f>
        <v>0</v>
      </c>
      <c r="X2432" s="74">
        <f>Devis[[#This Row],[Prix de Revient]]*Devis[[#This Row],[Poste 3]]</f>
        <v>0</v>
      </c>
      <c r="Y2432" s="74">
        <f>Devis[[#This Row],[Poste 4]]*Devis[[#This Row],[Prix de Revient]]</f>
        <v>0</v>
      </c>
      <c r="Z2432" s="74">
        <f>Devis[[#This Row],[Poste 5]]*Devis[[#This Row],[Prix de Revient]]</f>
        <v>0</v>
      </c>
      <c r="AA2432" s="74">
        <f>Devis[[#This Row],[Prix de Revient]]*Devis[[#This Row],[Poste 6]]</f>
        <v>0</v>
      </c>
      <c r="AB2432" s="74">
        <f>Devis[[#This Row],[Quantité Totale]]*Devis[[#This Row],[Prix de Revient]]</f>
        <v>0</v>
      </c>
    </row>
    <row r="2433" spans="1:28" ht="14.25" outlineLevel="1" x14ac:dyDescent="0.2">
      <c r="A2433" s="75" t="s">
        <v>3479</v>
      </c>
      <c r="B2433" s="76" t="s">
        <v>2364</v>
      </c>
      <c r="C2433" s="76"/>
      <c r="D2433" s="81" t="str">
        <f t="shared" si="41"/>
        <v>Inox visséUnions mf  inox (joint plat) 316L</v>
      </c>
      <c r="E2433" s="80" t="s">
        <v>46</v>
      </c>
      <c r="F2433" s="81">
        <v>5</v>
      </c>
      <c r="G2433" s="108" t="s">
        <v>2373</v>
      </c>
      <c r="H2433" s="71"/>
      <c r="I2433" s="75"/>
      <c r="J2433" s="70">
        <f>IFERROR(VLOOKUP(Devis[[#This Row],[Ref Air Flux]],#REF!,3,FALSE),0)</f>
        <v>0</v>
      </c>
      <c r="K2433" s="68"/>
      <c r="L2433" s="68"/>
      <c r="M2433" s="68"/>
      <c r="N2433" s="68"/>
      <c r="O2433" s="68"/>
      <c r="P2433" s="68"/>
      <c r="Q2433" s="68">
        <f>SUM(Devis[[#This Row],[Poste 1]:[Poste 6]])</f>
        <v>0</v>
      </c>
      <c r="R2433" s="111"/>
      <c r="S2433" s="68">
        <f>_xlfn.CEILING.MATH(Devis[[#This Row],[Quantité Totale]],Devis[[#This Row],[Conditionnement]])</f>
        <v>0</v>
      </c>
      <c r="T2433" s="72"/>
      <c r="U2433" s="106"/>
      <c r="V2433" s="74">
        <f>Devis[[#This Row],[Prix de Revient]]*Devis[[#This Row],[Poste 1]]</f>
        <v>0</v>
      </c>
      <c r="W2433" s="74">
        <f>Devis[[#This Row],[Prix de Revient]]*Devis[[#This Row],[Poste 2]]</f>
        <v>0</v>
      </c>
      <c r="X2433" s="74">
        <f>Devis[[#This Row],[Prix de Revient]]*Devis[[#This Row],[Poste 3]]</f>
        <v>0</v>
      </c>
      <c r="Y2433" s="74">
        <f>Devis[[#This Row],[Poste 4]]*Devis[[#This Row],[Prix de Revient]]</f>
        <v>0</v>
      </c>
      <c r="Z2433" s="74">
        <f>Devis[[#This Row],[Poste 5]]*Devis[[#This Row],[Prix de Revient]]</f>
        <v>0</v>
      </c>
      <c r="AA2433" s="74">
        <f>Devis[[#This Row],[Prix de Revient]]*Devis[[#This Row],[Poste 6]]</f>
        <v>0</v>
      </c>
      <c r="AB2433" s="74">
        <f>Devis[[#This Row],[Quantité Totale]]*Devis[[#This Row],[Prix de Revient]]</f>
        <v>0</v>
      </c>
    </row>
    <row r="2434" spans="1:28" ht="14.25" outlineLevel="1" x14ac:dyDescent="0.2">
      <c r="A2434" s="75" t="s">
        <v>3479</v>
      </c>
      <c r="B2434" s="76" t="s">
        <v>2364</v>
      </c>
      <c r="C2434" s="76"/>
      <c r="D2434" s="81" t="str">
        <f t="shared" ref="D2434:D2497" si="42">A2434&amp;B2434&amp;C2434</f>
        <v>Inox visséUnions mf  inox (joint plat) 316L</v>
      </c>
      <c r="E2434" s="76" t="s">
        <v>0</v>
      </c>
      <c r="F2434" s="81">
        <v>6</v>
      </c>
      <c r="G2434" s="86" t="s">
        <v>2366</v>
      </c>
      <c r="H2434" s="71"/>
      <c r="I2434" s="75"/>
      <c r="J2434" s="70">
        <f>IFERROR(VLOOKUP(Devis[[#This Row],[Ref Air Flux]],#REF!,3,FALSE),0)</f>
        <v>0</v>
      </c>
      <c r="K2434" s="68"/>
      <c r="L2434" s="68"/>
      <c r="M2434" s="68"/>
      <c r="N2434" s="68"/>
      <c r="O2434" s="68"/>
      <c r="P2434" s="68"/>
      <c r="Q2434" s="68">
        <f>SUM(Devis[[#This Row],[Poste 1]:[Poste 6]])</f>
        <v>0</v>
      </c>
      <c r="R2434" s="111"/>
      <c r="S2434" s="68">
        <f>_xlfn.CEILING.MATH(Devis[[#This Row],[Quantité Totale]],Devis[[#This Row],[Conditionnement]])</f>
        <v>0</v>
      </c>
      <c r="T2434" s="72"/>
      <c r="U2434" s="106"/>
      <c r="V2434" s="74">
        <f>Devis[[#This Row],[Prix de Revient]]*Devis[[#This Row],[Poste 1]]</f>
        <v>0</v>
      </c>
      <c r="W2434" s="74">
        <f>Devis[[#This Row],[Prix de Revient]]*Devis[[#This Row],[Poste 2]]</f>
        <v>0</v>
      </c>
      <c r="X2434" s="74">
        <f>Devis[[#This Row],[Prix de Revient]]*Devis[[#This Row],[Poste 3]]</f>
        <v>0</v>
      </c>
      <c r="Y2434" s="74">
        <f>Devis[[#This Row],[Poste 4]]*Devis[[#This Row],[Prix de Revient]]</f>
        <v>0</v>
      </c>
      <c r="Z2434" s="74">
        <f>Devis[[#This Row],[Poste 5]]*Devis[[#This Row],[Prix de Revient]]</f>
        <v>0</v>
      </c>
      <c r="AA2434" s="74">
        <f>Devis[[#This Row],[Prix de Revient]]*Devis[[#This Row],[Poste 6]]</f>
        <v>0</v>
      </c>
      <c r="AB2434" s="74">
        <f>Devis[[#This Row],[Quantité Totale]]*Devis[[#This Row],[Prix de Revient]]</f>
        <v>0</v>
      </c>
    </row>
    <row r="2435" spans="1:28" ht="14.25" customHeight="1" outlineLevel="1" x14ac:dyDescent="0.2">
      <c r="A2435" s="75" t="s">
        <v>3479</v>
      </c>
      <c r="B2435" s="76" t="s">
        <v>2364</v>
      </c>
      <c r="C2435" s="76"/>
      <c r="D2435" s="81" t="str">
        <f t="shared" si="42"/>
        <v>Inox visséUnions mf  inox (joint plat) 316L</v>
      </c>
      <c r="E2435" s="76" t="s">
        <v>49</v>
      </c>
      <c r="F2435" s="81">
        <v>7</v>
      </c>
      <c r="G2435" s="108" t="s">
        <v>2365</v>
      </c>
      <c r="H2435" s="71"/>
      <c r="I2435" s="75"/>
      <c r="J2435" s="70">
        <f>IFERROR(VLOOKUP(Devis[[#This Row],[Ref Air Flux]],#REF!,3,FALSE),0)</f>
        <v>0</v>
      </c>
      <c r="K2435" s="68"/>
      <c r="L2435" s="68"/>
      <c r="M2435" s="68"/>
      <c r="N2435" s="68"/>
      <c r="O2435" s="68"/>
      <c r="P2435" s="68"/>
      <c r="Q2435" s="68">
        <f>SUM(Devis[[#This Row],[Poste 1]:[Poste 6]])</f>
        <v>0</v>
      </c>
      <c r="R2435" s="111"/>
      <c r="S2435" s="68">
        <f>_xlfn.CEILING.MATH(Devis[[#This Row],[Quantité Totale]],Devis[[#This Row],[Conditionnement]])</f>
        <v>0</v>
      </c>
      <c r="T2435" s="72"/>
      <c r="U2435" s="106"/>
      <c r="V2435" s="74">
        <f>Devis[[#This Row],[Prix de Revient]]*Devis[[#This Row],[Poste 1]]</f>
        <v>0</v>
      </c>
      <c r="W2435" s="74">
        <f>Devis[[#This Row],[Prix de Revient]]*Devis[[#This Row],[Poste 2]]</f>
        <v>0</v>
      </c>
      <c r="X2435" s="74">
        <f>Devis[[#This Row],[Prix de Revient]]*Devis[[#This Row],[Poste 3]]</f>
        <v>0</v>
      </c>
      <c r="Y2435" s="74">
        <f>Devis[[#This Row],[Poste 4]]*Devis[[#This Row],[Prix de Revient]]</f>
        <v>0</v>
      </c>
      <c r="Z2435" s="74">
        <f>Devis[[#This Row],[Poste 5]]*Devis[[#This Row],[Prix de Revient]]</f>
        <v>0</v>
      </c>
      <c r="AA2435" s="74">
        <f>Devis[[#This Row],[Prix de Revient]]*Devis[[#This Row],[Poste 6]]</f>
        <v>0</v>
      </c>
      <c r="AB2435" s="74">
        <f>Devis[[#This Row],[Quantité Totale]]*Devis[[#This Row],[Prix de Revient]]</f>
        <v>0</v>
      </c>
    </row>
    <row r="2436" spans="1:28" ht="14.25" customHeight="1" outlineLevel="1" x14ac:dyDescent="0.2">
      <c r="A2436" s="75" t="s">
        <v>3479</v>
      </c>
      <c r="B2436" s="76" t="s">
        <v>2364</v>
      </c>
      <c r="C2436" s="76"/>
      <c r="D2436" s="81" t="str">
        <f t="shared" si="42"/>
        <v>Inox visséUnions mf  inox (joint plat) 316L</v>
      </c>
      <c r="E2436" s="80" t="s">
        <v>18</v>
      </c>
      <c r="F2436" s="81">
        <v>8</v>
      </c>
      <c r="G2436" s="86" t="s">
        <v>2370</v>
      </c>
      <c r="H2436" s="71"/>
      <c r="I2436" s="75"/>
      <c r="J2436" s="70">
        <f>IFERROR(VLOOKUP(Devis[[#This Row],[Ref Air Flux]],#REF!,3,FALSE),0)</f>
        <v>0</v>
      </c>
      <c r="K2436" s="68"/>
      <c r="L2436" s="68"/>
      <c r="M2436" s="68"/>
      <c r="N2436" s="68"/>
      <c r="O2436" s="68"/>
      <c r="P2436" s="68"/>
      <c r="Q2436" s="68">
        <f>SUM(Devis[[#This Row],[Poste 1]:[Poste 6]])</f>
        <v>0</v>
      </c>
      <c r="R2436" s="111"/>
      <c r="S2436" s="68">
        <f>_xlfn.CEILING.MATH(Devis[[#This Row],[Quantité Totale]],Devis[[#This Row],[Conditionnement]])</f>
        <v>0</v>
      </c>
      <c r="T2436" s="72"/>
      <c r="U2436" s="106"/>
      <c r="V2436" s="74">
        <f>Devis[[#This Row],[Prix de Revient]]*Devis[[#This Row],[Poste 1]]</f>
        <v>0</v>
      </c>
      <c r="W2436" s="74">
        <f>Devis[[#This Row],[Prix de Revient]]*Devis[[#This Row],[Poste 2]]</f>
        <v>0</v>
      </c>
      <c r="X2436" s="74">
        <f>Devis[[#This Row],[Prix de Revient]]*Devis[[#This Row],[Poste 3]]</f>
        <v>0</v>
      </c>
      <c r="Y2436" s="74">
        <f>Devis[[#This Row],[Poste 4]]*Devis[[#This Row],[Prix de Revient]]</f>
        <v>0</v>
      </c>
      <c r="Z2436" s="74">
        <f>Devis[[#This Row],[Poste 5]]*Devis[[#This Row],[Prix de Revient]]</f>
        <v>0</v>
      </c>
      <c r="AA2436" s="74">
        <f>Devis[[#This Row],[Prix de Revient]]*Devis[[#This Row],[Poste 6]]</f>
        <v>0</v>
      </c>
      <c r="AB2436" s="74">
        <f>Devis[[#This Row],[Quantité Totale]]*Devis[[#This Row],[Prix de Revient]]</f>
        <v>0</v>
      </c>
    </row>
    <row r="2437" spans="1:28" ht="14.25" outlineLevel="1" x14ac:dyDescent="0.2">
      <c r="A2437" s="75" t="s">
        <v>3479</v>
      </c>
      <c r="B2437" s="76" t="s">
        <v>2364</v>
      </c>
      <c r="C2437" s="76"/>
      <c r="D2437" s="81" t="str">
        <f t="shared" si="42"/>
        <v>Inox visséUnions mf  inox (joint plat) 316L</v>
      </c>
      <c r="E2437" s="80" t="s">
        <v>16</v>
      </c>
      <c r="F2437" s="81">
        <v>9</v>
      </c>
      <c r="G2437" s="108" t="s">
        <v>2372</v>
      </c>
      <c r="H2437" s="71"/>
      <c r="I2437" s="75"/>
      <c r="J2437" s="70">
        <f>IFERROR(VLOOKUP(Devis[[#This Row],[Ref Air Flux]],#REF!,3,FALSE),0)</f>
        <v>0</v>
      </c>
      <c r="K2437" s="68"/>
      <c r="L2437" s="68"/>
      <c r="M2437" s="68"/>
      <c r="N2437" s="68"/>
      <c r="O2437" s="68"/>
      <c r="P2437" s="68"/>
      <c r="Q2437" s="68">
        <f>SUM(Devis[[#This Row],[Poste 1]:[Poste 6]])</f>
        <v>0</v>
      </c>
      <c r="R2437" s="111"/>
      <c r="S2437" s="68">
        <f>_xlfn.CEILING.MATH(Devis[[#This Row],[Quantité Totale]],Devis[[#This Row],[Conditionnement]])</f>
        <v>0</v>
      </c>
      <c r="T2437" s="72"/>
      <c r="U2437" s="106"/>
      <c r="V2437" s="74">
        <f>Devis[[#This Row],[Prix de Revient]]*Devis[[#This Row],[Poste 1]]</f>
        <v>0</v>
      </c>
      <c r="W2437" s="74">
        <f>Devis[[#This Row],[Prix de Revient]]*Devis[[#This Row],[Poste 2]]</f>
        <v>0</v>
      </c>
      <c r="X2437" s="74">
        <f>Devis[[#This Row],[Prix de Revient]]*Devis[[#This Row],[Poste 3]]</f>
        <v>0</v>
      </c>
      <c r="Y2437" s="74">
        <f>Devis[[#This Row],[Poste 4]]*Devis[[#This Row],[Prix de Revient]]</f>
        <v>0</v>
      </c>
      <c r="Z2437" s="74">
        <f>Devis[[#This Row],[Poste 5]]*Devis[[#This Row],[Prix de Revient]]</f>
        <v>0</v>
      </c>
      <c r="AA2437" s="74">
        <f>Devis[[#This Row],[Prix de Revient]]*Devis[[#This Row],[Poste 6]]</f>
        <v>0</v>
      </c>
      <c r="AB2437" s="74">
        <f>Devis[[#This Row],[Quantité Totale]]*Devis[[#This Row],[Prix de Revient]]</f>
        <v>0</v>
      </c>
    </row>
    <row r="2438" spans="1:28" ht="14.25" customHeight="1" x14ac:dyDescent="0.25">
      <c r="A2438" s="65" t="s">
        <v>3484</v>
      </c>
      <c r="B2438" s="65" t="s">
        <v>4685</v>
      </c>
      <c r="C2438" s="76"/>
      <c r="D2438" s="81" t="str">
        <f t="shared" si="42"/>
        <v>JointKLINGERIT</v>
      </c>
      <c r="E2438" s="76"/>
      <c r="F2438" s="81">
        <v>0</v>
      </c>
      <c r="G2438" s="71"/>
      <c r="H2438" s="71"/>
      <c r="I2438" s="71"/>
      <c r="J2438" s="70">
        <f>IFERROR(VLOOKUP(Devis[[#This Row],[Ref Air Flux]],#REF!,3,FALSE),0)</f>
        <v>0</v>
      </c>
      <c r="K2438" s="68"/>
      <c r="L2438" s="68"/>
      <c r="M2438" s="68"/>
      <c r="N2438" s="68"/>
      <c r="O2438" s="68"/>
      <c r="P2438" s="68"/>
      <c r="Q2438" s="68">
        <f>SUM(Devis[[#This Row],[Poste 1]:[Poste 6]])</f>
        <v>0</v>
      </c>
      <c r="R2438" s="71"/>
      <c r="S2438" s="68">
        <f>_xlfn.CEILING.MATH(Devis[[#This Row],[Quantité Totale]],Devis[[#This Row],[Conditionnement]])</f>
        <v>0</v>
      </c>
      <c r="T2438" s="72"/>
      <c r="U2438" s="73"/>
      <c r="V2438" s="74">
        <f>Devis[[#This Row],[Prix de Revient]]*Devis[[#This Row],[Poste 1]]</f>
        <v>0</v>
      </c>
      <c r="W2438" s="74">
        <f>Devis[[#This Row],[Prix de Revient]]*Devis[[#This Row],[Poste 2]]</f>
        <v>0</v>
      </c>
      <c r="X2438" s="74">
        <f>Devis[[#This Row],[Prix de Revient]]*Devis[[#This Row],[Poste 3]]</f>
        <v>0</v>
      </c>
      <c r="Y2438" s="74">
        <f>Devis[[#This Row],[Poste 4]]*Devis[[#This Row],[Prix de Revient]]</f>
        <v>0</v>
      </c>
      <c r="Z2438" s="74">
        <f>Devis[[#This Row],[Poste 5]]*Devis[[#This Row],[Prix de Revient]]</f>
        <v>0</v>
      </c>
      <c r="AA2438" s="74">
        <f>Devis[[#This Row],[Prix de Revient]]*Devis[[#This Row],[Poste 6]]</f>
        <v>0</v>
      </c>
      <c r="AB2438" s="74">
        <f>Devis[[#This Row],[Quantité Totale]]*Devis[[#This Row],[Prix de Revient]]</f>
        <v>0</v>
      </c>
    </row>
    <row r="2439" spans="1:28" ht="14.25" outlineLevel="1" x14ac:dyDescent="0.2">
      <c r="A2439" s="75" t="s">
        <v>3484</v>
      </c>
      <c r="B2439" s="76" t="s">
        <v>4685</v>
      </c>
      <c r="C2439" s="76" t="s">
        <v>4002</v>
      </c>
      <c r="D2439" s="81" t="str">
        <f t="shared" si="42"/>
        <v>JointKLINGERITBride</v>
      </c>
      <c r="E2439" s="76" t="s">
        <v>338</v>
      </c>
      <c r="F2439" s="81">
        <v>1</v>
      </c>
      <c r="G2439" s="71" t="s">
        <v>339</v>
      </c>
      <c r="H2439" s="71"/>
      <c r="I2439" s="71"/>
      <c r="J2439" s="70">
        <f>IFERROR(VLOOKUP(Devis[[#This Row],[Ref Air Flux]],#REF!,3,FALSE),0)</f>
        <v>0</v>
      </c>
      <c r="K2439" s="68"/>
      <c r="L2439" s="68"/>
      <c r="M2439" s="68"/>
      <c r="N2439" s="68"/>
      <c r="O2439" s="68"/>
      <c r="P2439" s="68"/>
      <c r="Q2439" s="68">
        <f>SUM(Devis[[#This Row],[Poste 1]:[Poste 6]])</f>
        <v>0</v>
      </c>
      <c r="R2439" s="71"/>
      <c r="S2439" s="68">
        <f>_xlfn.CEILING.MATH(Devis[[#This Row],[Quantité Totale]],Devis[[#This Row],[Conditionnement]])</f>
        <v>0</v>
      </c>
      <c r="T2439" s="72"/>
      <c r="U2439" s="73"/>
      <c r="V2439" s="74">
        <f>Devis[[#This Row],[Prix de Revient]]*Devis[[#This Row],[Poste 1]]</f>
        <v>0</v>
      </c>
      <c r="W2439" s="74">
        <f>Devis[[#This Row],[Prix de Revient]]*Devis[[#This Row],[Poste 2]]</f>
        <v>0</v>
      </c>
      <c r="X2439" s="74">
        <f>Devis[[#This Row],[Prix de Revient]]*Devis[[#This Row],[Poste 3]]</f>
        <v>0</v>
      </c>
      <c r="Y2439" s="74">
        <f>Devis[[#This Row],[Poste 4]]*Devis[[#This Row],[Prix de Revient]]</f>
        <v>0</v>
      </c>
      <c r="Z2439" s="74">
        <f>Devis[[#This Row],[Poste 5]]*Devis[[#This Row],[Prix de Revient]]</f>
        <v>0</v>
      </c>
      <c r="AA2439" s="74">
        <f>Devis[[#This Row],[Prix de Revient]]*Devis[[#This Row],[Poste 6]]</f>
        <v>0</v>
      </c>
      <c r="AB2439" s="74">
        <f>Devis[[#This Row],[Quantité Totale]]*Devis[[#This Row],[Prix de Revient]]</f>
        <v>0</v>
      </c>
    </row>
    <row r="2440" spans="1:28" ht="14.25" customHeight="1" outlineLevel="1" x14ac:dyDescent="0.2">
      <c r="A2440" s="75" t="s">
        <v>3484</v>
      </c>
      <c r="B2440" s="76" t="s">
        <v>4685</v>
      </c>
      <c r="C2440" s="76" t="s">
        <v>4002</v>
      </c>
      <c r="D2440" s="81" t="str">
        <f t="shared" si="42"/>
        <v>JointKLINGERITBride</v>
      </c>
      <c r="E2440" s="76" t="s">
        <v>340</v>
      </c>
      <c r="F2440" s="81">
        <v>2</v>
      </c>
      <c r="G2440" s="71" t="s">
        <v>341</v>
      </c>
      <c r="H2440" s="71"/>
      <c r="I2440" s="71"/>
      <c r="J2440" s="70">
        <f>IFERROR(VLOOKUP(Devis[[#This Row],[Ref Air Flux]],#REF!,3,FALSE),0)</f>
        <v>0</v>
      </c>
      <c r="K2440" s="68"/>
      <c r="L2440" s="68"/>
      <c r="M2440" s="68"/>
      <c r="N2440" s="68"/>
      <c r="O2440" s="68"/>
      <c r="P2440" s="68"/>
      <c r="Q2440" s="68">
        <f>SUM(Devis[[#This Row],[Poste 1]:[Poste 6]])</f>
        <v>0</v>
      </c>
      <c r="R2440" s="71"/>
      <c r="S2440" s="68">
        <f>_xlfn.CEILING.MATH(Devis[[#This Row],[Quantité Totale]],Devis[[#This Row],[Conditionnement]])</f>
        <v>0</v>
      </c>
      <c r="T2440" s="72"/>
      <c r="U2440" s="73"/>
      <c r="V2440" s="74">
        <f>Devis[[#This Row],[Prix de Revient]]*Devis[[#This Row],[Poste 1]]</f>
        <v>0</v>
      </c>
      <c r="W2440" s="74">
        <f>Devis[[#This Row],[Prix de Revient]]*Devis[[#This Row],[Poste 2]]</f>
        <v>0</v>
      </c>
      <c r="X2440" s="74">
        <f>Devis[[#This Row],[Prix de Revient]]*Devis[[#This Row],[Poste 3]]</f>
        <v>0</v>
      </c>
      <c r="Y2440" s="74">
        <f>Devis[[#This Row],[Poste 4]]*Devis[[#This Row],[Prix de Revient]]</f>
        <v>0</v>
      </c>
      <c r="Z2440" s="74">
        <f>Devis[[#This Row],[Poste 5]]*Devis[[#This Row],[Prix de Revient]]</f>
        <v>0</v>
      </c>
      <c r="AA2440" s="74">
        <f>Devis[[#This Row],[Prix de Revient]]*Devis[[#This Row],[Poste 6]]</f>
        <v>0</v>
      </c>
      <c r="AB2440" s="74">
        <f>Devis[[#This Row],[Quantité Totale]]*Devis[[#This Row],[Prix de Revient]]</f>
        <v>0</v>
      </c>
    </row>
    <row r="2441" spans="1:28" ht="14.25" outlineLevel="1" x14ac:dyDescent="0.2">
      <c r="A2441" s="75" t="s">
        <v>3484</v>
      </c>
      <c r="B2441" s="76" t="s">
        <v>4685</v>
      </c>
      <c r="C2441" s="76" t="s">
        <v>4002</v>
      </c>
      <c r="D2441" s="81" t="str">
        <f t="shared" si="42"/>
        <v>JointKLINGERITBride</v>
      </c>
      <c r="E2441" s="76" t="s">
        <v>342</v>
      </c>
      <c r="F2441" s="81">
        <v>3</v>
      </c>
      <c r="G2441" s="71" t="s">
        <v>343</v>
      </c>
      <c r="H2441" s="71"/>
      <c r="I2441" s="71"/>
      <c r="J2441" s="70">
        <f>IFERROR(VLOOKUP(Devis[[#This Row],[Ref Air Flux]],#REF!,3,FALSE),0)</f>
        <v>0</v>
      </c>
      <c r="K2441" s="68"/>
      <c r="L2441" s="68"/>
      <c r="M2441" s="68"/>
      <c r="N2441" s="68"/>
      <c r="O2441" s="68"/>
      <c r="P2441" s="68"/>
      <c r="Q2441" s="68">
        <f>SUM(Devis[[#This Row],[Poste 1]:[Poste 6]])</f>
        <v>0</v>
      </c>
      <c r="R2441" s="71"/>
      <c r="S2441" s="68">
        <f>_xlfn.CEILING.MATH(Devis[[#This Row],[Quantité Totale]],Devis[[#This Row],[Conditionnement]])</f>
        <v>0</v>
      </c>
      <c r="T2441" s="72"/>
      <c r="U2441" s="73"/>
      <c r="V2441" s="74">
        <f>Devis[[#This Row],[Prix de Revient]]*Devis[[#This Row],[Poste 1]]</f>
        <v>0</v>
      </c>
      <c r="W2441" s="74">
        <f>Devis[[#This Row],[Prix de Revient]]*Devis[[#This Row],[Poste 2]]</f>
        <v>0</v>
      </c>
      <c r="X2441" s="74">
        <f>Devis[[#This Row],[Prix de Revient]]*Devis[[#This Row],[Poste 3]]</f>
        <v>0</v>
      </c>
      <c r="Y2441" s="74">
        <f>Devis[[#This Row],[Poste 4]]*Devis[[#This Row],[Prix de Revient]]</f>
        <v>0</v>
      </c>
      <c r="Z2441" s="74">
        <f>Devis[[#This Row],[Poste 5]]*Devis[[#This Row],[Prix de Revient]]</f>
        <v>0</v>
      </c>
      <c r="AA2441" s="74">
        <f>Devis[[#This Row],[Prix de Revient]]*Devis[[#This Row],[Poste 6]]</f>
        <v>0</v>
      </c>
      <c r="AB2441" s="74">
        <f>Devis[[#This Row],[Quantité Totale]]*Devis[[#This Row],[Prix de Revient]]</f>
        <v>0</v>
      </c>
    </row>
    <row r="2442" spans="1:28" ht="15" customHeight="1" outlineLevel="1" x14ac:dyDescent="0.2">
      <c r="A2442" s="75" t="s">
        <v>3484</v>
      </c>
      <c r="B2442" s="76" t="s">
        <v>4685</v>
      </c>
      <c r="C2442" s="76" t="s">
        <v>4002</v>
      </c>
      <c r="D2442" s="81" t="str">
        <f t="shared" si="42"/>
        <v>JointKLINGERITBride</v>
      </c>
      <c r="E2442" s="76" t="s">
        <v>344</v>
      </c>
      <c r="F2442" s="81">
        <v>4</v>
      </c>
      <c r="G2442" s="71" t="s">
        <v>345</v>
      </c>
      <c r="H2442" s="71"/>
      <c r="I2442" s="71"/>
      <c r="J2442" s="70">
        <f>IFERROR(VLOOKUP(Devis[[#This Row],[Ref Air Flux]],#REF!,3,FALSE),0)</f>
        <v>0</v>
      </c>
      <c r="K2442" s="68"/>
      <c r="L2442" s="68"/>
      <c r="M2442" s="68"/>
      <c r="N2442" s="68"/>
      <c r="O2442" s="68"/>
      <c r="P2442" s="68"/>
      <c r="Q2442" s="68">
        <f>SUM(Devis[[#This Row],[Poste 1]:[Poste 6]])</f>
        <v>0</v>
      </c>
      <c r="R2442" s="71"/>
      <c r="S2442" s="68">
        <f>_xlfn.CEILING.MATH(Devis[[#This Row],[Quantité Totale]],Devis[[#This Row],[Conditionnement]])</f>
        <v>0</v>
      </c>
      <c r="T2442" s="72"/>
      <c r="U2442" s="73"/>
      <c r="V2442" s="74">
        <f>Devis[[#This Row],[Prix de Revient]]*Devis[[#This Row],[Poste 1]]</f>
        <v>0</v>
      </c>
      <c r="W2442" s="74">
        <f>Devis[[#This Row],[Prix de Revient]]*Devis[[#This Row],[Poste 2]]</f>
        <v>0</v>
      </c>
      <c r="X2442" s="74">
        <f>Devis[[#This Row],[Prix de Revient]]*Devis[[#This Row],[Poste 3]]</f>
        <v>0</v>
      </c>
      <c r="Y2442" s="74">
        <f>Devis[[#This Row],[Poste 4]]*Devis[[#This Row],[Prix de Revient]]</f>
        <v>0</v>
      </c>
      <c r="Z2442" s="74">
        <f>Devis[[#This Row],[Poste 5]]*Devis[[#This Row],[Prix de Revient]]</f>
        <v>0</v>
      </c>
      <c r="AA2442" s="74">
        <f>Devis[[#This Row],[Prix de Revient]]*Devis[[#This Row],[Poste 6]]</f>
        <v>0</v>
      </c>
      <c r="AB2442" s="74">
        <f>Devis[[#This Row],[Quantité Totale]]*Devis[[#This Row],[Prix de Revient]]</f>
        <v>0</v>
      </c>
    </row>
    <row r="2443" spans="1:28" ht="14.25" outlineLevel="1" x14ac:dyDescent="0.2">
      <c r="A2443" s="75" t="s">
        <v>3484</v>
      </c>
      <c r="B2443" s="76" t="s">
        <v>4685</v>
      </c>
      <c r="C2443" s="76" t="s">
        <v>4002</v>
      </c>
      <c r="D2443" s="81" t="str">
        <f t="shared" si="42"/>
        <v>JointKLINGERITBride</v>
      </c>
      <c r="E2443" s="76" t="s">
        <v>346</v>
      </c>
      <c r="F2443" s="81">
        <v>5</v>
      </c>
      <c r="G2443" s="71" t="s">
        <v>347</v>
      </c>
      <c r="H2443" s="71"/>
      <c r="I2443" s="71"/>
      <c r="J2443" s="70">
        <f>IFERROR(VLOOKUP(Devis[[#This Row],[Ref Air Flux]],#REF!,3,FALSE),0)</f>
        <v>0</v>
      </c>
      <c r="K2443" s="68"/>
      <c r="L2443" s="68"/>
      <c r="M2443" s="68"/>
      <c r="N2443" s="68"/>
      <c r="O2443" s="68"/>
      <c r="P2443" s="68"/>
      <c r="Q2443" s="68">
        <f>SUM(Devis[[#This Row],[Poste 1]:[Poste 6]])</f>
        <v>0</v>
      </c>
      <c r="R2443" s="71"/>
      <c r="S2443" s="68">
        <f>_xlfn.CEILING.MATH(Devis[[#This Row],[Quantité Totale]],Devis[[#This Row],[Conditionnement]])</f>
        <v>0</v>
      </c>
      <c r="T2443" s="72"/>
      <c r="U2443" s="73"/>
      <c r="V2443" s="74">
        <f>Devis[[#This Row],[Prix de Revient]]*Devis[[#This Row],[Poste 1]]</f>
        <v>0</v>
      </c>
      <c r="W2443" s="74">
        <f>Devis[[#This Row],[Prix de Revient]]*Devis[[#This Row],[Poste 2]]</f>
        <v>0</v>
      </c>
      <c r="X2443" s="74">
        <f>Devis[[#This Row],[Prix de Revient]]*Devis[[#This Row],[Poste 3]]</f>
        <v>0</v>
      </c>
      <c r="Y2443" s="74">
        <f>Devis[[#This Row],[Poste 4]]*Devis[[#This Row],[Prix de Revient]]</f>
        <v>0</v>
      </c>
      <c r="Z2443" s="74">
        <f>Devis[[#This Row],[Poste 5]]*Devis[[#This Row],[Prix de Revient]]</f>
        <v>0</v>
      </c>
      <c r="AA2443" s="74">
        <f>Devis[[#This Row],[Prix de Revient]]*Devis[[#This Row],[Poste 6]]</f>
        <v>0</v>
      </c>
      <c r="AB2443" s="74">
        <f>Devis[[#This Row],[Quantité Totale]]*Devis[[#This Row],[Prix de Revient]]</f>
        <v>0</v>
      </c>
    </row>
    <row r="2444" spans="1:28" ht="15" customHeight="1" outlineLevel="1" x14ac:dyDescent="0.2">
      <c r="A2444" s="75" t="s">
        <v>3484</v>
      </c>
      <c r="B2444" s="76" t="s">
        <v>4685</v>
      </c>
      <c r="C2444" s="76" t="s">
        <v>4002</v>
      </c>
      <c r="D2444" s="81" t="str">
        <f t="shared" si="42"/>
        <v>JointKLINGERITBride</v>
      </c>
      <c r="E2444" s="76" t="s">
        <v>348</v>
      </c>
      <c r="F2444" s="81">
        <v>6</v>
      </c>
      <c r="G2444" s="71" t="s">
        <v>349</v>
      </c>
      <c r="H2444" s="71"/>
      <c r="I2444" s="71"/>
      <c r="J2444" s="70">
        <f>IFERROR(VLOOKUP(Devis[[#This Row],[Ref Air Flux]],#REF!,3,FALSE),0)</f>
        <v>0</v>
      </c>
      <c r="K2444" s="68"/>
      <c r="L2444" s="68"/>
      <c r="M2444" s="68"/>
      <c r="N2444" s="68"/>
      <c r="O2444" s="68"/>
      <c r="P2444" s="68"/>
      <c r="Q2444" s="68">
        <f>SUM(Devis[[#This Row],[Poste 1]:[Poste 6]])</f>
        <v>0</v>
      </c>
      <c r="R2444" s="71"/>
      <c r="S2444" s="68">
        <f>_xlfn.CEILING.MATH(Devis[[#This Row],[Quantité Totale]],Devis[[#This Row],[Conditionnement]])</f>
        <v>0</v>
      </c>
      <c r="T2444" s="72"/>
      <c r="U2444" s="73"/>
      <c r="V2444" s="74">
        <f>Devis[[#This Row],[Prix de Revient]]*Devis[[#This Row],[Poste 1]]</f>
        <v>0</v>
      </c>
      <c r="W2444" s="74">
        <f>Devis[[#This Row],[Prix de Revient]]*Devis[[#This Row],[Poste 2]]</f>
        <v>0</v>
      </c>
      <c r="X2444" s="74">
        <f>Devis[[#This Row],[Prix de Revient]]*Devis[[#This Row],[Poste 3]]</f>
        <v>0</v>
      </c>
      <c r="Y2444" s="74">
        <f>Devis[[#This Row],[Poste 4]]*Devis[[#This Row],[Prix de Revient]]</f>
        <v>0</v>
      </c>
      <c r="Z2444" s="74">
        <f>Devis[[#This Row],[Poste 5]]*Devis[[#This Row],[Prix de Revient]]</f>
        <v>0</v>
      </c>
      <c r="AA2444" s="74">
        <f>Devis[[#This Row],[Prix de Revient]]*Devis[[#This Row],[Poste 6]]</f>
        <v>0</v>
      </c>
      <c r="AB2444" s="74">
        <f>Devis[[#This Row],[Quantité Totale]]*Devis[[#This Row],[Prix de Revient]]</f>
        <v>0</v>
      </c>
    </row>
    <row r="2445" spans="1:28" ht="14.25" outlineLevel="1" x14ac:dyDescent="0.2">
      <c r="A2445" s="75" t="s">
        <v>3484</v>
      </c>
      <c r="B2445" s="76" t="s">
        <v>4685</v>
      </c>
      <c r="C2445" s="76" t="s">
        <v>4002</v>
      </c>
      <c r="D2445" s="81" t="str">
        <f t="shared" si="42"/>
        <v>JointKLINGERITBride</v>
      </c>
      <c r="E2445" s="76" t="s">
        <v>350</v>
      </c>
      <c r="F2445" s="81">
        <v>7</v>
      </c>
      <c r="G2445" s="71" t="s">
        <v>351</v>
      </c>
      <c r="H2445" s="71"/>
      <c r="I2445" s="71"/>
      <c r="J2445" s="70">
        <f>IFERROR(VLOOKUP(Devis[[#This Row],[Ref Air Flux]],#REF!,3,FALSE),0)</f>
        <v>0</v>
      </c>
      <c r="K2445" s="68"/>
      <c r="L2445" s="68"/>
      <c r="M2445" s="68"/>
      <c r="N2445" s="68"/>
      <c r="O2445" s="68"/>
      <c r="P2445" s="68"/>
      <c r="Q2445" s="68">
        <f>SUM(Devis[[#This Row],[Poste 1]:[Poste 6]])</f>
        <v>0</v>
      </c>
      <c r="R2445" s="71"/>
      <c r="S2445" s="68">
        <f>_xlfn.CEILING.MATH(Devis[[#This Row],[Quantité Totale]],Devis[[#This Row],[Conditionnement]])</f>
        <v>0</v>
      </c>
      <c r="T2445" s="72"/>
      <c r="U2445" s="73"/>
      <c r="V2445" s="74">
        <f>Devis[[#This Row],[Prix de Revient]]*Devis[[#This Row],[Poste 1]]</f>
        <v>0</v>
      </c>
      <c r="W2445" s="74">
        <f>Devis[[#This Row],[Prix de Revient]]*Devis[[#This Row],[Poste 2]]</f>
        <v>0</v>
      </c>
      <c r="X2445" s="74">
        <f>Devis[[#This Row],[Prix de Revient]]*Devis[[#This Row],[Poste 3]]</f>
        <v>0</v>
      </c>
      <c r="Y2445" s="74">
        <f>Devis[[#This Row],[Poste 4]]*Devis[[#This Row],[Prix de Revient]]</f>
        <v>0</v>
      </c>
      <c r="Z2445" s="74">
        <f>Devis[[#This Row],[Poste 5]]*Devis[[#This Row],[Prix de Revient]]</f>
        <v>0</v>
      </c>
      <c r="AA2445" s="74">
        <f>Devis[[#This Row],[Prix de Revient]]*Devis[[#This Row],[Poste 6]]</f>
        <v>0</v>
      </c>
      <c r="AB2445" s="74">
        <f>Devis[[#This Row],[Quantité Totale]]*Devis[[#This Row],[Prix de Revient]]</f>
        <v>0</v>
      </c>
    </row>
    <row r="2446" spans="1:28" ht="14.25" outlineLevel="1" x14ac:dyDescent="0.2">
      <c r="A2446" s="75" t="s">
        <v>3484</v>
      </c>
      <c r="B2446" s="76" t="s">
        <v>4685</v>
      </c>
      <c r="C2446" s="76" t="s">
        <v>4002</v>
      </c>
      <c r="D2446" s="81" t="str">
        <f t="shared" si="42"/>
        <v>JointKLINGERITBride</v>
      </c>
      <c r="E2446" s="76" t="s">
        <v>352</v>
      </c>
      <c r="F2446" s="81">
        <v>8</v>
      </c>
      <c r="G2446" s="71" t="s">
        <v>353</v>
      </c>
      <c r="H2446" s="71"/>
      <c r="I2446" s="71"/>
      <c r="J2446" s="70">
        <f>IFERROR(VLOOKUP(Devis[[#This Row],[Ref Air Flux]],#REF!,3,FALSE),0)</f>
        <v>0</v>
      </c>
      <c r="K2446" s="68"/>
      <c r="L2446" s="68"/>
      <c r="M2446" s="68"/>
      <c r="N2446" s="68"/>
      <c r="O2446" s="68"/>
      <c r="P2446" s="68"/>
      <c r="Q2446" s="68">
        <f>SUM(Devis[[#This Row],[Poste 1]:[Poste 6]])</f>
        <v>0</v>
      </c>
      <c r="R2446" s="71"/>
      <c r="S2446" s="68">
        <f>_xlfn.CEILING.MATH(Devis[[#This Row],[Quantité Totale]],Devis[[#This Row],[Conditionnement]])</f>
        <v>0</v>
      </c>
      <c r="T2446" s="72"/>
      <c r="U2446" s="73"/>
      <c r="V2446" s="74">
        <f>Devis[[#This Row],[Prix de Revient]]*Devis[[#This Row],[Poste 1]]</f>
        <v>0</v>
      </c>
      <c r="W2446" s="74">
        <f>Devis[[#This Row],[Prix de Revient]]*Devis[[#This Row],[Poste 2]]</f>
        <v>0</v>
      </c>
      <c r="X2446" s="74">
        <f>Devis[[#This Row],[Prix de Revient]]*Devis[[#This Row],[Poste 3]]</f>
        <v>0</v>
      </c>
      <c r="Y2446" s="74">
        <f>Devis[[#This Row],[Poste 4]]*Devis[[#This Row],[Prix de Revient]]</f>
        <v>0</v>
      </c>
      <c r="Z2446" s="74">
        <f>Devis[[#This Row],[Poste 5]]*Devis[[#This Row],[Prix de Revient]]</f>
        <v>0</v>
      </c>
      <c r="AA2446" s="74">
        <f>Devis[[#This Row],[Prix de Revient]]*Devis[[#This Row],[Poste 6]]</f>
        <v>0</v>
      </c>
      <c r="AB2446" s="74">
        <f>Devis[[#This Row],[Quantité Totale]]*Devis[[#This Row],[Prix de Revient]]</f>
        <v>0</v>
      </c>
    </row>
    <row r="2447" spans="1:28" ht="14.25" outlineLevel="1" x14ac:dyDescent="0.2">
      <c r="A2447" s="75" t="s">
        <v>3484</v>
      </c>
      <c r="B2447" s="76" t="s">
        <v>4685</v>
      </c>
      <c r="C2447" s="76" t="s">
        <v>4002</v>
      </c>
      <c r="D2447" s="81" t="str">
        <f t="shared" si="42"/>
        <v>JointKLINGERITBride</v>
      </c>
      <c r="E2447" s="76" t="s">
        <v>354</v>
      </c>
      <c r="F2447" s="81">
        <v>9</v>
      </c>
      <c r="G2447" s="71" t="s">
        <v>355</v>
      </c>
      <c r="H2447" s="71"/>
      <c r="I2447" s="71"/>
      <c r="J2447" s="70">
        <f>IFERROR(VLOOKUP(Devis[[#This Row],[Ref Air Flux]],#REF!,3,FALSE),0)</f>
        <v>0</v>
      </c>
      <c r="K2447" s="68"/>
      <c r="L2447" s="68"/>
      <c r="M2447" s="68"/>
      <c r="N2447" s="68"/>
      <c r="O2447" s="68"/>
      <c r="P2447" s="68"/>
      <c r="Q2447" s="68">
        <f>SUM(Devis[[#This Row],[Poste 1]:[Poste 6]])</f>
        <v>0</v>
      </c>
      <c r="R2447" s="71"/>
      <c r="S2447" s="68">
        <f>_xlfn.CEILING.MATH(Devis[[#This Row],[Quantité Totale]],Devis[[#This Row],[Conditionnement]])</f>
        <v>0</v>
      </c>
      <c r="T2447" s="72"/>
      <c r="U2447" s="73"/>
      <c r="V2447" s="74">
        <f>Devis[[#This Row],[Prix de Revient]]*Devis[[#This Row],[Poste 1]]</f>
        <v>0</v>
      </c>
      <c r="W2447" s="74">
        <f>Devis[[#This Row],[Prix de Revient]]*Devis[[#This Row],[Poste 2]]</f>
        <v>0</v>
      </c>
      <c r="X2447" s="74">
        <f>Devis[[#This Row],[Prix de Revient]]*Devis[[#This Row],[Poste 3]]</f>
        <v>0</v>
      </c>
      <c r="Y2447" s="74">
        <f>Devis[[#This Row],[Poste 4]]*Devis[[#This Row],[Prix de Revient]]</f>
        <v>0</v>
      </c>
      <c r="Z2447" s="74">
        <f>Devis[[#This Row],[Poste 5]]*Devis[[#This Row],[Prix de Revient]]</f>
        <v>0</v>
      </c>
      <c r="AA2447" s="74">
        <f>Devis[[#This Row],[Prix de Revient]]*Devis[[#This Row],[Poste 6]]</f>
        <v>0</v>
      </c>
      <c r="AB2447" s="74">
        <f>Devis[[#This Row],[Quantité Totale]]*Devis[[#This Row],[Prix de Revient]]</f>
        <v>0</v>
      </c>
    </row>
    <row r="2448" spans="1:28" ht="15" customHeight="1" x14ac:dyDescent="0.25">
      <c r="A2448" s="65" t="s">
        <v>3484</v>
      </c>
      <c r="B2448" s="65" t="s">
        <v>4686</v>
      </c>
      <c r="C2448" s="76"/>
      <c r="D2448" s="81" t="str">
        <f t="shared" si="42"/>
        <v>JointVITON</v>
      </c>
      <c r="E2448" s="76"/>
      <c r="F2448" s="81">
        <v>0</v>
      </c>
      <c r="G2448" s="71"/>
      <c r="H2448" s="71"/>
      <c r="I2448" s="71"/>
      <c r="J2448" s="70">
        <f>IFERROR(VLOOKUP(Devis[[#This Row],[Ref Air Flux]],#REF!,3,FALSE),0)</f>
        <v>0</v>
      </c>
      <c r="K2448" s="68"/>
      <c r="L2448" s="68"/>
      <c r="M2448" s="68"/>
      <c r="N2448" s="68"/>
      <c r="O2448" s="68"/>
      <c r="P2448" s="68"/>
      <c r="Q2448" s="68">
        <f>SUM(Devis[[#This Row],[Poste 1]:[Poste 6]])</f>
        <v>0</v>
      </c>
      <c r="R2448" s="71"/>
      <c r="S2448" s="68">
        <f>_xlfn.CEILING.MATH(Devis[[#This Row],[Quantité Totale]],Devis[[#This Row],[Conditionnement]])</f>
        <v>0</v>
      </c>
      <c r="T2448" s="72"/>
      <c r="U2448" s="73"/>
      <c r="V2448" s="74">
        <f>Devis[[#This Row],[Prix de Revient]]*Devis[[#This Row],[Poste 1]]</f>
        <v>0</v>
      </c>
      <c r="W2448" s="74">
        <f>Devis[[#This Row],[Prix de Revient]]*Devis[[#This Row],[Poste 2]]</f>
        <v>0</v>
      </c>
      <c r="X2448" s="74">
        <f>Devis[[#This Row],[Prix de Revient]]*Devis[[#This Row],[Poste 3]]</f>
        <v>0</v>
      </c>
      <c r="Y2448" s="74">
        <f>Devis[[#This Row],[Poste 4]]*Devis[[#This Row],[Prix de Revient]]</f>
        <v>0</v>
      </c>
      <c r="Z2448" s="74">
        <f>Devis[[#This Row],[Poste 5]]*Devis[[#This Row],[Prix de Revient]]</f>
        <v>0</v>
      </c>
      <c r="AA2448" s="74">
        <f>Devis[[#This Row],[Prix de Revient]]*Devis[[#This Row],[Poste 6]]</f>
        <v>0</v>
      </c>
      <c r="AB2448" s="74">
        <f>Devis[[#This Row],[Quantité Totale]]*Devis[[#This Row],[Prix de Revient]]</f>
        <v>0</v>
      </c>
    </row>
    <row r="2449" spans="1:28" ht="14.25" customHeight="1" outlineLevel="1" x14ac:dyDescent="0.2">
      <c r="A2449" s="75" t="s">
        <v>3484</v>
      </c>
      <c r="B2449" s="76" t="s">
        <v>4686</v>
      </c>
      <c r="C2449" s="76" t="s">
        <v>4687</v>
      </c>
      <c r="D2449" s="81" t="str">
        <f t="shared" si="42"/>
        <v>JointVITONInox sertis coreen</v>
      </c>
      <c r="E2449" s="76" t="s">
        <v>4688</v>
      </c>
      <c r="F2449" s="81">
        <v>1</v>
      </c>
      <c r="G2449" s="71" t="s">
        <v>4689</v>
      </c>
      <c r="H2449" s="71"/>
      <c r="I2449" s="71"/>
      <c r="J2449" s="70">
        <f>IFERROR(VLOOKUP(Devis[[#This Row],[Ref Air Flux]],#REF!,3,FALSE),0)</f>
        <v>0</v>
      </c>
      <c r="K2449" s="68"/>
      <c r="L2449" s="68"/>
      <c r="M2449" s="68"/>
      <c r="N2449" s="68"/>
      <c r="O2449" s="68"/>
      <c r="P2449" s="68"/>
      <c r="Q2449" s="68">
        <f>SUM(Devis[[#This Row],[Poste 1]:[Poste 6]])</f>
        <v>0</v>
      </c>
      <c r="R2449" s="71"/>
      <c r="S2449" s="68">
        <f>_xlfn.CEILING.MATH(Devis[[#This Row],[Quantité Totale]],Devis[[#This Row],[Conditionnement]])</f>
        <v>0</v>
      </c>
      <c r="T2449" s="72"/>
      <c r="U2449" s="73"/>
      <c r="V2449" s="74">
        <f>Devis[[#This Row],[Prix de Revient]]*Devis[[#This Row],[Poste 1]]</f>
        <v>0</v>
      </c>
      <c r="W2449" s="74">
        <f>Devis[[#This Row],[Prix de Revient]]*Devis[[#This Row],[Poste 2]]</f>
        <v>0</v>
      </c>
      <c r="X2449" s="74">
        <f>Devis[[#This Row],[Prix de Revient]]*Devis[[#This Row],[Poste 3]]</f>
        <v>0</v>
      </c>
      <c r="Y2449" s="74">
        <f>Devis[[#This Row],[Poste 4]]*Devis[[#This Row],[Prix de Revient]]</f>
        <v>0</v>
      </c>
      <c r="Z2449" s="74">
        <f>Devis[[#This Row],[Poste 5]]*Devis[[#This Row],[Prix de Revient]]</f>
        <v>0</v>
      </c>
      <c r="AA2449" s="74">
        <f>Devis[[#This Row],[Prix de Revient]]*Devis[[#This Row],[Poste 6]]</f>
        <v>0</v>
      </c>
      <c r="AB2449" s="74">
        <f>Devis[[#This Row],[Quantité Totale]]*Devis[[#This Row],[Prix de Revient]]</f>
        <v>0</v>
      </c>
    </row>
    <row r="2450" spans="1:28" ht="14.25" customHeight="1" outlineLevel="1" x14ac:dyDescent="0.2">
      <c r="A2450" s="75" t="s">
        <v>3484</v>
      </c>
      <c r="B2450" s="76" t="s">
        <v>4686</v>
      </c>
      <c r="C2450" s="76" t="s">
        <v>4687</v>
      </c>
      <c r="D2450" s="81" t="str">
        <f t="shared" si="42"/>
        <v>JointVITONInox sertis coreen</v>
      </c>
      <c r="E2450" s="76" t="s">
        <v>4690</v>
      </c>
      <c r="F2450" s="81">
        <v>2</v>
      </c>
      <c r="G2450" s="71" t="s">
        <v>4691</v>
      </c>
      <c r="H2450" s="71"/>
      <c r="I2450" s="71"/>
      <c r="J2450" s="70">
        <f>IFERROR(VLOOKUP(Devis[[#This Row],[Ref Air Flux]],#REF!,3,FALSE),0)</f>
        <v>0</v>
      </c>
      <c r="K2450" s="68"/>
      <c r="L2450" s="68"/>
      <c r="M2450" s="68"/>
      <c r="N2450" s="68"/>
      <c r="O2450" s="68"/>
      <c r="P2450" s="68"/>
      <c r="Q2450" s="68">
        <f>SUM(Devis[[#This Row],[Poste 1]:[Poste 6]])</f>
        <v>0</v>
      </c>
      <c r="R2450" s="71"/>
      <c r="S2450" s="68">
        <f>_xlfn.CEILING.MATH(Devis[[#This Row],[Quantité Totale]],Devis[[#This Row],[Conditionnement]])</f>
        <v>0</v>
      </c>
      <c r="T2450" s="72"/>
      <c r="U2450" s="73"/>
      <c r="V2450" s="74">
        <f>Devis[[#This Row],[Prix de Revient]]*Devis[[#This Row],[Poste 1]]</f>
        <v>0</v>
      </c>
      <c r="W2450" s="74">
        <f>Devis[[#This Row],[Prix de Revient]]*Devis[[#This Row],[Poste 2]]</f>
        <v>0</v>
      </c>
      <c r="X2450" s="74">
        <f>Devis[[#This Row],[Prix de Revient]]*Devis[[#This Row],[Poste 3]]</f>
        <v>0</v>
      </c>
      <c r="Y2450" s="74">
        <f>Devis[[#This Row],[Poste 4]]*Devis[[#This Row],[Prix de Revient]]</f>
        <v>0</v>
      </c>
      <c r="Z2450" s="74">
        <f>Devis[[#This Row],[Poste 5]]*Devis[[#This Row],[Prix de Revient]]</f>
        <v>0</v>
      </c>
      <c r="AA2450" s="74">
        <f>Devis[[#This Row],[Prix de Revient]]*Devis[[#This Row],[Poste 6]]</f>
        <v>0</v>
      </c>
      <c r="AB2450" s="74">
        <f>Devis[[#This Row],[Quantité Totale]]*Devis[[#This Row],[Prix de Revient]]</f>
        <v>0</v>
      </c>
    </row>
    <row r="2451" spans="1:28" ht="14.25" outlineLevel="1" x14ac:dyDescent="0.2">
      <c r="A2451" s="75" t="s">
        <v>3484</v>
      </c>
      <c r="B2451" s="76" t="s">
        <v>4686</v>
      </c>
      <c r="C2451" s="76" t="s">
        <v>4687</v>
      </c>
      <c r="D2451" s="81" t="str">
        <f t="shared" si="42"/>
        <v>JointVITONInox sertis coreen</v>
      </c>
      <c r="E2451" s="76" t="s">
        <v>4692</v>
      </c>
      <c r="F2451" s="81">
        <v>3</v>
      </c>
      <c r="G2451" s="71" t="s">
        <v>4693</v>
      </c>
      <c r="H2451" s="71"/>
      <c r="I2451" s="71"/>
      <c r="J2451" s="70">
        <f>IFERROR(VLOOKUP(Devis[[#This Row],[Ref Air Flux]],#REF!,3,FALSE),0)</f>
        <v>0</v>
      </c>
      <c r="K2451" s="68"/>
      <c r="L2451" s="68"/>
      <c r="M2451" s="68"/>
      <c r="N2451" s="68"/>
      <c r="O2451" s="68"/>
      <c r="P2451" s="68"/>
      <c r="Q2451" s="68">
        <f>SUM(Devis[[#This Row],[Poste 1]:[Poste 6]])</f>
        <v>0</v>
      </c>
      <c r="R2451" s="71"/>
      <c r="S2451" s="68">
        <f>_xlfn.CEILING.MATH(Devis[[#This Row],[Quantité Totale]],Devis[[#This Row],[Conditionnement]])</f>
        <v>0</v>
      </c>
      <c r="T2451" s="72"/>
      <c r="U2451" s="73"/>
      <c r="V2451" s="74">
        <f>Devis[[#This Row],[Prix de Revient]]*Devis[[#This Row],[Poste 1]]</f>
        <v>0</v>
      </c>
      <c r="W2451" s="74">
        <f>Devis[[#This Row],[Prix de Revient]]*Devis[[#This Row],[Poste 2]]</f>
        <v>0</v>
      </c>
      <c r="X2451" s="74">
        <f>Devis[[#This Row],[Prix de Revient]]*Devis[[#This Row],[Poste 3]]</f>
        <v>0</v>
      </c>
      <c r="Y2451" s="74">
        <f>Devis[[#This Row],[Poste 4]]*Devis[[#This Row],[Prix de Revient]]</f>
        <v>0</v>
      </c>
      <c r="Z2451" s="74">
        <f>Devis[[#This Row],[Poste 5]]*Devis[[#This Row],[Prix de Revient]]</f>
        <v>0</v>
      </c>
      <c r="AA2451" s="74">
        <f>Devis[[#This Row],[Prix de Revient]]*Devis[[#This Row],[Poste 6]]</f>
        <v>0</v>
      </c>
      <c r="AB2451" s="74">
        <f>Devis[[#This Row],[Quantité Totale]]*Devis[[#This Row],[Prix de Revient]]</f>
        <v>0</v>
      </c>
    </row>
    <row r="2452" spans="1:28" ht="14.25" outlineLevel="1" x14ac:dyDescent="0.2">
      <c r="A2452" s="75" t="s">
        <v>3484</v>
      </c>
      <c r="B2452" s="76" t="s">
        <v>4686</v>
      </c>
      <c r="C2452" s="76" t="s">
        <v>4687</v>
      </c>
      <c r="D2452" s="81" t="str">
        <f t="shared" si="42"/>
        <v>JointVITONInox sertis coreen</v>
      </c>
      <c r="E2452" s="76" t="s">
        <v>4694</v>
      </c>
      <c r="F2452" s="81">
        <v>4</v>
      </c>
      <c r="G2452" s="71" t="s">
        <v>4695</v>
      </c>
      <c r="H2452" s="71"/>
      <c r="I2452" s="71"/>
      <c r="J2452" s="70">
        <f>IFERROR(VLOOKUP(Devis[[#This Row],[Ref Air Flux]],#REF!,3,FALSE),0)</f>
        <v>0</v>
      </c>
      <c r="K2452" s="68"/>
      <c r="L2452" s="68"/>
      <c r="M2452" s="68"/>
      <c r="N2452" s="68"/>
      <c r="O2452" s="68"/>
      <c r="P2452" s="68"/>
      <c r="Q2452" s="68">
        <f>SUM(Devis[[#This Row],[Poste 1]:[Poste 6]])</f>
        <v>0</v>
      </c>
      <c r="R2452" s="71"/>
      <c r="S2452" s="68">
        <f>_xlfn.CEILING.MATH(Devis[[#This Row],[Quantité Totale]],Devis[[#This Row],[Conditionnement]])</f>
        <v>0</v>
      </c>
      <c r="T2452" s="72"/>
      <c r="U2452" s="73"/>
      <c r="V2452" s="74">
        <f>Devis[[#This Row],[Prix de Revient]]*Devis[[#This Row],[Poste 1]]</f>
        <v>0</v>
      </c>
      <c r="W2452" s="74">
        <f>Devis[[#This Row],[Prix de Revient]]*Devis[[#This Row],[Poste 2]]</f>
        <v>0</v>
      </c>
      <c r="X2452" s="74">
        <f>Devis[[#This Row],[Prix de Revient]]*Devis[[#This Row],[Poste 3]]</f>
        <v>0</v>
      </c>
      <c r="Y2452" s="74">
        <f>Devis[[#This Row],[Poste 4]]*Devis[[#This Row],[Prix de Revient]]</f>
        <v>0</v>
      </c>
      <c r="Z2452" s="74">
        <f>Devis[[#This Row],[Poste 5]]*Devis[[#This Row],[Prix de Revient]]</f>
        <v>0</v>
      </c>
      <c r="AA2452" s="74">
        <f>Devis[[#This Row],[Prix de Revient]]*Devis[[#This Row],[Poste 6]]</f>
        <v>0</v>
      </c>
      <c r="AB2452" s="74">
        <f>Devis[[#This Row],[Quantité Totale]]*Devis[[#This Row],[Prix de Revient]]</f>
        <v>0</v>
      </c>
    </row>
    <row r="2453" spans="1:28" ht="14.25" outlineLevel="1" x14ac:dyDescent="0.2">
      <c r="A2453" s="75" t="s">
        <v>3484</v>
      </c>
      <c r="B2453" s="76" t="s">
        <v>4686</v>
      </c>
      <c r="C2453" s="76" t="s">
        <v>4687</v>
      </c>
      <c r="D2453" s="81" t="str">
        <f t="shared" si="42"/>
        <v>JointVITONInox sertis coreen</v>
      </c>
      <c r="E2453" s="76" t="s">
        <v>4696</v>
      </c>
      <c r="F2453" s="81">
        <v>5</v>
      </c>
      <c r="G2453" s="71" t="s">
        <v>4697</v>
      </c>
      <c r="H2453" s="71"/>
      <c r="I2453" s="71"/>
      <c r="J2453" s="70">
        <f>IFERROR(VLOOKUP(Devis[[#This Row],[Ref Air Flux]],#REF!,3,FALSE),0)</f>
        <v>0</v>
      </c>
      <c r="K2453" s="68"/>
      <c r="L2453" s="68"/>
      <c r="M2453" s="68"/>
      <c r="N2453" s="68"/>
      <c r="O2453" s="68"/>
      <c r="P2453" s="68"/>
      <c r="Q2453" s="68">
        <f>SUM(Devis[[#This Row],[Poste 1]:[Poste 6]])</f>
        <v>0</v>
      </c>
      <c r="R2453" s="71"/>
      <c r="S2453" s="68">
        <f>_xlfn.CEILING.MATH(Devis[[#This Row],[Quantité Totale]],Devis[[#This Row],[Conditionnement]])</f>
        <v>0</v>
      </c>
      <c r="T2453" s="72"/>
      <c r="U2453" s="73"/>
      <c r="V2453" s="74">
        <f>Devis[[#This Row],[Prix de Revient]]*Devis[[#This Row],[Poste 1]]</f>
        <v>0</v>
      </c>
      <c r="W2453" s="74">
        <f>Devis[[#This Row],[Prix de Revient]]*Devis[[#This Row],[Poste 2]]</f>
        <v>0</v>
      </c>
      <c r="X2453" s="74">
        <f>Devis[[#This Row],[Prix de Revient]]*Devis[[#This Row],[Poste 3]]</f>
        <v>0</v>
      </c>
      <c r="Y2453" s="74">
        <f>Devis[[#This Row],[Poste 4]]*Devis[[#This Row],[Prix de Revient]]</f>
        <v>0</v>
      </c>
      <c r="Z2453" s="74">
        <f>Devis[[#This Row],[Poste 5]]*Devis[[#This Row],[Prix de Revient]]</f>
        <v>0</v>
      </c>
      <c r="AA2453" s="74">
        <f>Devis[[#This Row],[Prix de Revient]]*Devis[[#This Row],[Poste 6]]</f>
        <v>0</v>
      </c>
      <c r="AB2453" s="74">
        <f>Devis[[#This Row],[Quantité Totale]]*Devis[[#This Row],[Prix de Revient]]</f>
        <v>0</v>
      </c>
    </row>
    <row r="2454" spans="1:28" ht="14.25" outlineLevel="1" x14ac:dyDescent="0.2">
      <c r="A2454" s="75" t="s">
        <v>3484</v>
      </c>
      <c r="B2454" s="76" t="s">
        <v>4686</v>
      </c>
      <c r="C2454" s="76" t="s">
        <v>4687</v>
      </c>
      <c r="D2454" s="81" t="str">
        <f t="shared" si="42"/>
        <v>JointVITONInox sertis coreen</v>
      </c>
      <c r="E2454" s="76" t="s">
        <v>4698</v>
      </c>
      <c r="F2454" s="81">
        <v>6</v>
      </c>
      <c r="G2454" s="71" t="s">
        <v>4699</v>
      </c>
      <c r="H2454" s="71"/>
      <c r="I2454" s="71"/>
      <c r="J2454" s="70">
        <f>IFERROR(VLOOKUP(Devis[[#This Row],[Ref Air Flux]],#REF!,3,FALSE),0)</f>
        <v>0</v>
      </c>
      <c r="K2454" s="68"/>
      <c r="L2454" s="68"/>
      <c r="M2454" s="68"/>
      <c r="N2454" s="68"/>
      <c r="O2454" s="68"/>
      <c r="P2454" s="68"/>
      <c r="Q2454" s="68">
        <f>SUM(Devis[[#This Row],[Poste 1]:[Poste 6]])</f>
        <v>0</v>
      </c>
      <c r="R2454" s="71"/>
      <c r="S2454" s="68">
        <f>_xlfn.CEILING.MATH(Devis[[#This Row],[Quantité Totale]],Devis[[#This Row],[Conditionnement]])</f>
        <v>0</v>
      </c>
      <c r="T2454" s="72"/>
      <c r="U2454" s="73"/>
      <c r="V2454" s="74">
        <f>Devis[[#This Row],[Prix de Revient]]*Devis[[#This Row],[Poste 1]]</f>
        <v>0</v>
      </c>
      <c r="W2454" s="74">
        <f>Devis[[#This Row],[Prix de Revient]]*Devis[[#This Row],[Poste 2]]</f>
        <v>0</v>
      </c>
      <c r="X2454" s="74">
        <f>Devis[[#This Row],[Prix de Revient]]*Devis[[#This Row],[Poste 3]]</f>
        <v>0</v>
      </c>
      <c r="Y2454" s="74">
        <f>Devis[[#This Row],[Poste 4]]*Devis[[#This Row],[Prix de Revient]]</f>
        <v>0</v>
      </c>
      <c r="Z2454" s="74">
        <f>Devis[[#This Row],[Poste 5]]*Devis[[#This Row],[Prix de Revient]]</f>
        <v>0</v>
      </c>
      <c r="AA2454" s="74">
        <f>Devis[[#This Row],[Prix de Revient]]*Devis[[#This Row],[Poste 6]]</f>
        <v>0</v>
      </c>
      <c r="AB2454" s="74">
        <f>Devis[[#This Row],[Quantité Totale]]*Devis[[#This Row],[Prix de Revient]]</f>
        <v>0</v>
      </c>
    </row>
    <row r="2455" spans="1:28" ht="15" customHeight="1" outlineLevel="1" x14ac:dyDescent="0.2">
      <c r="A2455" s="75" t="s">
        <v>3484</v>
      </c>
      <c r="B2455" s="76" t="s">
        <v>4686</v>
      </c>
      <c r="C2455" s="76" t="s">
        <v>4687</v>
      </c>
      <c r="D2455" s="81" t="str">
        <f t="shared" si="42"/>
        <v>JointVITONInox sertis coreen</v>
      </c>
      <c r="E2455" s="76" t="s">
        <v>4700</v>
      </c>
      <c r="F2455" s="81">
        <v>7</v>
      </c>
      <c r="G2455" s="71" t="s">
        <v>4701</v>
      </c>
      <c r="H2455" s="71"/>
      <c r="I2455" s="71"/>
      <c r="J2455" s="70">
        <f>IFERROR(VLOOKUP(Devis[[#This Row],[Ref Air Flux]],#REF!,3,FALSE),0)</f>
        <v>0</v>
      </c>
      <c r="K2455" s="68"/>
      <c r="L2455" s="68"/>
      <c r="M2455" s="68"/>
      <c r="N2455" s="68"/>
      <c r="O2455" s="68"/>
      <c r="P2455" s="68"/>
      <c r="Q2455" s="68">
        <f>SUM(Devis[[#This Row],[Poste 1]:[Poste 6]])</f>
        <v>0</v>
      </c>
      <c r="R2455" s="71"/>
      <c r="S2455" s="68">
        <f>_xlfn.CEILING.MATH(Devis[[#This Row],[Quantité Totale]],Devis[[#This Row],[Conditionnement]])</f>
        <v>0</v>
      </c>
      <c r="T2455" s="72"/>
      <c r="U2455" s="73"/>
      <c r="V2455" s="74">
        <f>Devis[[#This Row],[Prix de Revient]]*Devis[[#This Row],[Poste 1]]</f>
        <v>0</v>
      </c>
      <c r="W2455" s="74">
        <f>Devis[[#This Row],[Prix de Revient]]*Devis[[#This Row],[Poste 2]]</f>
        <v>0</v>
      </c>
      <c r="X2455" s="74">
        <f>Devis[[#This Row],[Prix de Revient]]*Devis[[#This Row],[Poste 3]]</f>
        <v>0</v>
      </c>
      <c r="Y2455" s="74">
        <f>Devis[[#This Row],[Poste 4]]*Devis[[#This Row],[Prix de Revient]]</f>
        <v>0</v>
      </c>
      <c r="Z2455" s="74">
        <f>Devis[[#This Row],[Poste 5]]*Devis[[#This Row],[Prix de Revient]]</f>
        <v>0</v>
      </c>
      <c r="AA2455" s="74">
        <f>Devis[[#This Row],[Prix de Revient]]*Devis[[#This Row],[Poste 6]]</f>
        <v>0</v>
      </c>
      <c r="AB2455" s="74">
        <f>Devis[[#This Row],[Quantité Totale]]*Devis[[#This Row],[Prix de Revient]]</f>
        <v>0</v>
      </c>
    </row>
    <row r="2456" spans="1:28" ht="14.25" customHeight="1" x14ac:dyDescent="0.25">
      <c r="A2456" s="65" t="s">
        <v>2374</v>
      </c>
      <c r="B2456" s="65" t="s">
        <v>2375</v>
      </c>
      <c r="C2456" s="76"/>
      <c r="D2456" s="81" t="str">
        <f t="shared" si="42"/>
        <v>Laiton - BronzeBobines 530 LAITON</v>
      </c>
      <c r="E2456" s="76"/>
      <c r="F2456" s="81">
        <v>0</v>
      </c>
      <c r="G2456" s="71"/>
      <c r="H2456" s="71"/>
      <c r="I2456" s="71"/>
      <c r="J2456" s="70">
        <f>IFERROR(VLOOKUP(Devis[[#This Row],[Ref Air Flux]],#REF!,3,FALSE),0)</f>
        <v>0</v>
      </c>
      <c r="K2456" s="68"/>
      <c r="L2456" s="68"/>
      <c r="M2456" s="68"/>
      <c r="N2456" s="68"/>
      <c r="O2456" s="68"/>
      <c r="P2456" s="68"/>
      <c r="Q2456" s="68">
        <f>SUM(Devis[[#This Row],[Poste 1]:[Poste 6]])</f>
        <v>0</v>
      </c>
      <c r="R2456" s="71"/>
      <c r="S2456" s="68">
        <f>_xlfn.CEILING.MATH(Devis[[#This Row],[Quantité Totale]],Devis[[#This Row],[Conditionnement]])</f>
        <v>0</v>
      </c>
      <c r="T2456" s="72"/>
      <c r="U2456" s="73"/>
      <c r="V2456" s="74">
        <f>Devis[[#This Row],[Prix de Revient]]*Devis[[#This Row],[Poste 1]]</f>
        <v>0</v>
      </c>
      <c r="W2456" s="74">
        <f>Devis[[#This Row],[Prix de Revient]]*Devis[[#This Row],[Poste 2]]</f>
        <v>0</v>
      </c>
      <c r="X2456" s="74">
        <f>Devis[[#This Row],[Prix de Revient]]*Devis[[#This Row],[Poste 3]]</f>
        <v>0</v>
      </c>
      <c r="Y2456" s="74">
        <f>Devis[[#This Row],[Poste 4]]*Devis[[#This Row],[Prix de Revient]]</f>
        <v>0</v>
      </c>
      <c r="Z2456" s="74">
        <f>Devis[[#This Row],[Poste 5]]*Devis[[#This Row],[Prix de Revient]]</f>
        <v>0</v>
      </c>
      <c r="AA2456" s="74">
        <f>Devis[[#This Row],[Prix de Revient]]*Devis[[#This Row],[Poste 6]]</f>
        <v>0</v>
      </c>
      <c r="AB2456" s="74">
        <f>Devis[[#This Row],[Quantité Totale]]*Devis[[#This Row],[Prix de Revient]]</f>
        <v>0</v>
      </c>
    </row>
    <row r="2457" spans="1:28" ht="14.25" outlineLevel="1" x14ac:dyDescent="0.2">
      <c r="A2457" s="75" t="s">
        <v>2374</v>
      </c>
      <c r="B2457" s="76" t="s">
        <v>2375</v>
      </c>
      <c r="C2457" s="75"/>
      <c r="D2457" s="81" t="str">
        <f t="shared" si="42"/>
        <v>Laiton - BronzeBobines 530 LAITON</v>
      </c>
      <c r="E2457" s="105" t="s">
        <v>2376</v>
      </c>
      <c r="F2457" s="81">
        <v>1</v>
      </c>
      <c r="G2457" s="71" t="s">
        <v>2377</v>
      </c>
      <c r="H2457" s="71"/>
      <c r="I2457" s="112"/>
      <c r="J2457" s="70">
        <f>IFERROR(VLOOKUP(Devis[[#This Row],[Ref Air Flux]],#REF!,3,FALSE),0)</f>
        <v>0</v>
      </c>
      <c r="K2457" s="68"/>
      <c r="L2457" s="68"/>
      <c r="M2457" s="68"/>
      <c r="N2457" s="68"/>
      <c r="O2457" s="68"/>
      <c r="P2457" s="68"/>
      <c r="Q2457" s="68">
        <f>SUM(Devis[[#This Row],[Poste 1]:[Poste 6]])</f>
        <v>0</v>
      </c>
      <c r="R2457" s="71"/>
      <c r="S2457" s="68">
        <f>_xlfn.CEILING.MATH(Devis[[#This Row],[Quantité Totale]],Devis[[#This Row],[Conditionnement]])</f>
        <v>0</v>
      </c>
      <c r="T2457" s="72"/>
      <c r="U2457" s="73"/>
      <c r="V2457" s="74">
        <f>Devis[[#This Row],[Prix de Revient]]*Devis[[#This Row],[Poste 1]]</f>
        <v>0</v>
      </c>
      <c r="W2457" s="74">
        <f>Devis[[#This Row],[Prix de Revient]]*Devis[[#This Row],[Poste 2]]</f>
        <v>0</v>
      </c>
      <c r="X2457" s="74">
        <f>Devis[[#This Row],[Prix de Revient]]*Devis[[#This Row],[Poste 3]]</f>
        <v>0</v>
      </c>
      <c r="Y2457" s="74">
        <f>Devis[[#This Row],[Poste 4]]*Devis[[#This Row],[Prix de Revient]]</f>
        <v>0</v>
      </c>
      <c r="Z2457" s="74">
        <f>Devis[[#This Row],[Poste 5]]*Devis[[#This Row],[Prix de Revient]]</f>
        <v>0</v>
      </c>
      <c r="AA2457" s="74">
        <f>Devis[[#This Row],[Prix de Revient]]*Devis[[#This Row],[Poste 6]]</f>
        <v>0</v>
      </c>
      <c r="AB2457" s="74">
        <f>Devis[[#This Row],[Quantité Totale]]*Devis[[#This Row],[Prix de Revient]]</f>
        <v>0</v>
      </c>
    </row>
    <row r="2458" spans="1:28" ht="15" customHeight="1" outlineLevel="1" x14ac:dyDescent="0.2">
      <c r="A2458" s="75" t="s">
        <v>2374</v>
      </c>
      <c r="B2458" s="76" t="s">
        <v>2375</v>
      </c>
      <c r="C2458" s="75"/>
      <c r="D2458" s="81" t="str">
        <f t="shared" si="42"/>
        <v>Laiton - BronzeBobines 530 LAITON</v>
      </c>
      <c r="E2458" s="105" t="s">
        <v>2378</v>
      </c>
      <c r="F2458" s="81">
        <v>2</v>
      </c>
      <c r="G2458" s="71" t="s">
        <v>2379</v>
      </c>
      <c r="H2458" s="71"/>
      <c r="I2458" s="112"/>
      <c r="J2458" s="70">
        <f>IFERROR(VLOOKUP(Devis[[#This Row],[Ref Air Flux]],#REF!,3,FALSE),0)</f>
        <v>0</v>
      </c>
      <c r="K2458" s="68"/>
      <c r="L2458" s="68"/>
      <c r="M2458" s="68"/>
      <c r="N2458" s="68"/>
      <c r="O2458" s="68"/>
      <c r="P2458" s="68"/>
      <c r="Q2458" s="68">
        <f>SUM(Devis[[#This Row],[Poste 1]:[Poste 6]])</f>
        <v>0</v>
      </c>
      <c r="R2458" s="71"/>
      <c r="S2458" s="68">
        <f>_xlfn.CEILING.MATH(Devis[[#This Row],[Quantité Totale]],Devis[[#This Row],[Conditionnement]])</f>
        <v>0</v>
      </c>
      <c r="T2458" s="72"/>
      <c r="U2458" s="73"/>
      <c r="V2458" s="74">
        <f>Devis[[#This Row],[Prix de Revient]]*Devis[[#This Row],[Poste 1]]</f>
        <v>0</v>
      </c>
      <c r="W2458" s="74">
        <f>Devis[[#This Row],[Prix de Revient]]*Devis[[#This Row],[Poste 2]]</f>
        <v>0</v>
      </c>
      <c r="X2458" s="74">
        <f>Devis[[#This Row],[Prix de Revient]]*Devis[[#This Row],[Poste 3]]</f>
        <v>0</v>
      </c>
      <c r="Y2458" s="74">
        <f>Devis[[#This Row],[Poste 4]]*Devis[[#This Row],[Prix de Revient]]</f>
        <v>0</v>
      </c>
      <c r="Z2458" s="74">
        <f>Devis[[#This Row],[Poste 5]]*Devis[[#This Row],[Prix de Revient]]</f>
        <v>0</v>
      </c>
      <c r="AA2458" s="74">
        <f>Devis[[#This Row],[Prix de Revient]]*Devis[[#This Row],[Poste 6]]</f>
        <v>0</v>
      </c>
      <c r="AB2458" s="74">
        <f>Devis[[#This Row],[Quantité Totale]]*Devis[[#This Row],[Prix de Revient]]</f>
        <v>0</v>
      </c>
    </row>
    <row r="2459" spans="1:28" ht="14.25" outlineLevel="1" x14ac:dyDescent="0.2">
      <c r="A2459" s="75" t="s">
        <v>2374</v>
      </c>
      <c r="B2459" s="76" t="s">
        <v>2375</v>
      </c>
      <c r="C2459" s="75"/>
      <c r="D2459" s="81" t="str">
        <f t="shared" si="42"/>
        <v>Laiton - BronzeBobines 530 LAITON</v>
      </c>
      <c r="E2459" s="105" t="s">
        <v>2380</v>
      </c>
      <c r="F2459" s="81">
        <v>3</v>
      </c>
      <c r="G2459" s="71" t="s">
        <v>2381</v>
      </c>
      <c r="H2459" s="71"/>
      <c r="I2459" s="112"/>
      <c r="J2459" s="70">
        <f>IFERROR(VLOOKUP(Devis[[#This Row],[Ref Air Flux]],#REF!,3,FALSE),0)</f>
        <v>0</v>
      </c>
      <c r="K2459" s="68"/>
      <c r="L2459" s="68"/>
      <c r="M2459" s="68"/>
      <c r="N2459" s="68"/>
      <c r="O2459" s="68"/>
      <c r="P2459" s="68"/>
      <c r="Q2459" s="68">
        <f>SUM(Devis[[#This Row],[Poste 1]:[Poste 6]])</f>
        <v>0</v>
      </c>
      <c r="R2459" s="71"/>
      <c r="S2459" s="68">
        <f>_xlfn.CEILING.MATH(Devis[[#This Row],[Quantité Totale]],Devis[[#This Row],[Conditionnement]])</f>
        <v>0</v>
      </c>
      <c r="T2459" s="72"/>
      <c r="U2459" s="73"/>
      <c r="V2459" s="74">
        <f>Devis[[#This Row],[Prix de Revient]]*Devis[[#This Row],[Poste 1]]</f>
        <v>0</v>
      </c>
      <c r="W2459" s="74">
        <f>Devis[[#This Row],[Prix de Revient]]*Devis[[#This Row],[Poste 2]]</f>
        <v>0</v>
      </c>
      <c r="X2459" s="74">
        <f>Devis[[#This Row],[Prix de Revient]]*Devis[[#This Row],[Poste 3]]</f>
        <v>0</v>
      </c>
      <c r="Y2459" s="74">
        <f>Devis[[#This Row],[Poste 4]]*Devis[[#This Row],[Prix de Revient]]</f>
        <v>0</v>
      </c>
      <c r="Z2459" s="74">
        <f>Devis[[#This Row],[Poste 5]]*Devis[[#This Row],[Prix de Revient]]</f>
        <v>0</v>
      </c>
      <c r="AA2459" s="74">
        <f>Devis[[#This Row],[Prix de Revient]]*Devis[[#This Row],[Poste 6]]</f>
        <v>0</v>
      </c>
      <c r="AB2459" s="74">
        <f>Devis[[#This Row],[Quantité Totale]]*Devis[[#This Row],[Prix de Revient]]</f>
        <v>0</v>
      </c>
    </row>
    <row r="2460" spans="1:28" ht="14.25" customHeight="1" outlineLevel="1" x14ac:dyDescent="0.2">
      <c r="A2460" s="75" t="s">
        <v>2374</v>
      </c>
      <c r="B2460" s="76" t="s">
        <v>2375</v>
      </c>
      <c r="C2460" s="75"/>
      <c r="D2460" s="81" t="str">
        <f t="shared" si="42"/>
        <v>Laiton - BronzeBobines 530 LAITON</v>
      </c>
      <c r="E2460" s="105" t="s">
        <v>2382</v>
      </c>
      <c r="F2460" s="81">
        <v>4</v>
      </c>
      <c r="G2460" s="71" t="s">
        <v>2383</v>
      </c>
      <c r="H2460" s="71"/>
      <c r="I2460" s="112"/>
      <c r="J2460" s="70">
        <f>IFERROR(VLOOKUP(Devis[[#This Row],[Ref Air Flux]],#REF!,3,FALSE),0)</f>
        <v>0</v>
      </c>
      <c r="K2460" s="68"/>
      <c r="L2460" s="68"/>
      <c r="M2460" s="68"/>
      <c r="N2460" s="68"/>
      <c r="O2460" s="68"/>
      <c r="P2460" s="68"/>
      <c r="Q2460" s="68">
        <f>SUM(Devis[[#This Row],[Poste 1]:[Poste 6]])</f>
        <v>0</v>
      </c>
      <c r="R2460" s="71"/>
      <c r="S2460" s="68">
        <f>_xlfn.CEILING.MATH(Devis[[#This Row],[Quantité Totale]],Devis[[#This Row],[Conditionnement]])</f>
        <v>0</v>
      </c>
      <c r="T2460" s="72"/>
      <c r="U2460" s="73"/>
      <c r="V2460" s="74">
        <f>Devis[[#This Row],[Prix de Revient]]*Devis[[#This Row],[Poste 1]]</f>
        <v>0</v>
      </c>
      <c r="W2460" s="74">
        <f>Devis[[#This Row],[Prix de Revient]]*Devis[[#This Row],[Poste 2]]</f>
        <v>0</v>
      </c>
      <c r="X2460" s="74">
        <f>Devis[[#This Row],[Prix de Revient]]*Devis[[#This Row],[Poste 3]]</f>
        <v>0</v>
      </c>
      <c r="Y2460" s="74">
        <f>Devis[[#This Row],[Poste 4]]*Devis[[#This Row],[Prix de Revient]]</f>
        <v>0</v>
      </c>
      <c r="Z2460" s="74">
        <f>Devis[[#This Row],[Poste 5]]*Devis[[#This Row],[Prix de Revient]]</f>
        <v>0</v>
      </c>
      <c r="AA2460" s="74">
        <f>Devis[[#This Row],[Prix de Revient]]*Devis[[#This Row],[Poste 6]]</f>
        <v>0</v>
      </c>
      <c r="AB2460" s="74">
        <f>Devis[[#This Row],[Quantité Totale]]*Devis[[#This Row],[Prix de Revient]]</f>
        <v>0</v>
      </c>
    </row>
    <row r="2461" spans="1:28" ht="14.25" customHeight="1" x14ac:dyDescent="0.25">
      <c r="A2461" s="65" t="s">
        <v>2374</v>
      </c>
      <c r="B2461" s="65" t="s">
        <v>2384</v>
      </c>
      <c r="C2461" s="76"/>
      <c r="D2461" s="81" t="str">
        <f t="shared" si="42"/>
        <v>Laiton - BronzeBouchons F 300 LAITON</v>
      </c>
      <c r="E2461" s="76"/>
      <c r="F2461" s="81">
        <v>0</v>
      </c>
      <c r="G2461" s="71"/>
      <c r="H2461" s="71"/>
      <c r="I2461" s="71"/>
      <c r="J2461" s="70">
        <f>IFERROR(VLOOKUP(Devis[[#This Row],[Ref Air Flux]],#REF!,3,FALSE),0)</f>
        <v>0</v>
      </c>
      <c r="K2461" s="68"/>
      <c r="L2461" s="68"/>
      <c r="M2461" s="68"/>
      <c r="N2461" s="68"/>
      <c r="O2461" s="68"/>
      <c r="P2461" s="68"/>
      <c r="Q2461" s="68">
        <f>SUM(Devis[[#This Row],[Poste 1]:[Poste 6]])</f>
        <v>0</v>
      </c>
      <c r="R2461" s="71"/>
      <c r="S2461" s="68">
        <f>_xlfn.CEILING.MATH(Devis[[#This Row],[Quantité Totale]],Devis[[#This Row],[Conditionnement]])</f>
        <v>0</v>
      </c>
      <c r="T2461" s="72"/>
      <c r="U2461" s="73"/>
      <c r="V2461" s="74">
        <f>Devis[[#This Row],[Prix de Revient]]*Devis[[#This Row],[Poste 1]]</f>
        <v>0</v>
      </c>
      <c r="W2461" s="74">
        <f>Devis[[#This Row],[Prix de Revient]]*Devis[[#This Row],[Poste 2]]</f>
        <v>0</v>
      </c>
      <c r="X2461" s="74">
        <f>Devis[[#This Row],[Prix de Revient]]*Devis[[#This Row],[Poste 3]]</f>
        <v>0</v>
      </c>
      <c r="Y2461" s="74">
        <f>Devis[[#This Row],[Poste 4]]*Devis[[#This Row],[Prix de Revient]]</f>
        <v>0</v>
      </c>
      <c r="Z2461" s="74">
        <f>Devis[[#This Row],[Poste 5]]*Devis[[#This Row],[Prix de Revient]]</f>
        <v>0</v>
      </c>
      <c r="AA2461" s="74">
        <f>Devis[[#This Row],[Prix de Revient]]*Devis[[#This Row],[Poste 6]]</f>
        <v>0</v>
      </c>
      <c r="AB2461" s="74">
        <f>Devis[[#This Row],[Quantité Totale]]*Devis[[#This Row],[Prix de Revient]]</f>
        <v>0</v>
      </c>
    </row>
    <row r="2462" spans="1:28" ht="14.25" outlineLevel="1" x14ac:dyDescent="0.2">
      <c r="A2462" s="75" t="s">
        <v>2374</v>
      </c>
      <c r="B2462" s="76" t="s">
        <v>2384</v>
      </c>
      <c r="C2462" s="75"/>
      <c r="D2462" s="81" t="str">
        <f t="shared" si="42"/>
        <v>Laiton - BronzeBouchons F 300 LAITON</v>
      </c>
      <c r="E2462" s="75" t="s">
        <v>21</v>
      </c>
      <c r="F2462" s="81">
        <v>1</v>
      </c>
      <c r="G2462" s="71" t="s">
        <v>2385</v>
      </c>
      <c r="H2462" s="71"/>
      <c r="I2462" s="71"/>
      <c r="J2462" s="70">
        <f>IFERROR(VLOOKUP(Devis[[#This Row],[Ref Air Flux]],#REF!,3,FALSE),0)</f>
        <v>0</v>
      </c>
      <c r="K2462" s="68"/>
      <c r="L2462" s="68"/>
      <c r="M2462" s="68"/>
      <c r="N2462" s="68"/>
      <c r="O2462" s="68"/>
      <c r="P2462" s="68"/>
      <c r="Q2462" s="68">
        <f>SUM(Devis[[#This Row],[Poste 1]:[Poste 6]])</f>
        <v>0</v>
      </c>
      <c r="R2462" s="71"/>
      <c r="S2462" s="68">
        <f>_xlfn.CEILING.MATH(Devis[[#This Row],[Quantité Totale]],Devis[[#This Row],[Conditionnement]])</f>
        <v>0</v>
      </c>
      <c r="T2462" s="72"/>
      <c r="U2462" s="73"/>
      <c r="V2462" s="74">
        <f>Devis[[#This Row],[Prix de Revient]]*Devis[[#This Row],[Poste 1]]</f>
        <v>0</v>
      </c>
      <c r="W2462" s="74">
        <f>Devis[[#This Row],[Prix de Revient]]*Devis[[#This Row],[Poste 2]]</f>
        <v>0</v>
      </c>
      <c r="X2462" s="74">
        <f>Devis[[#This Row],[Prix de Revient]]*Devis[[#This Row],[Poste 3]]</f>
        <v>0</v>
      </c>
      <c r="Y2462" s="74">
        <f>Devis[[#This Row],[Poste 4]]*Devis[[#This Row],[Prix de Revient]]</f>
        <v>0</v>
      </c>
      <c r="Z2462" s="74">
        <f>Devis[[#This Row],[Poste 5]]*Devis[[#This Row],[Prix de Revient]]</f>
        <v>0</v>
      </c>
      <c r="AA2462" s="74">
        <f>Devis[[#This Row],[Prix de Revient]]*Devis[[#This Row],[Poste 6]]</f>
        <v>0</v>
      </c>
      <c r="AB2462" s="74">
        <f>Devis[[#This Row],[Quantité Totale]]*Devis[[#This Row],[Prix de Revient]]</f>
        <v>0</v>
      </c>
    </row>
    <row r="2463" spans="1:28" ht="15" customHeight="1" outlineLevel="1" x14ac:dyDescent="0.2">
      <c r="A2463" s="75" t="s">
        <v>2374</v>
      </c>
      <c r="B2463" s="76" t="s">
        <v>2384</v>
      </c>
      <c r="C2463" s="75"/>
      <c r="D2463" s="81" t="str">
        <f t="shared" si="42"/>
        <v>Laiton - BronzeBouchons F 300 LAITON</v>
      </c>
      <c r="E2463" s="75" t="s">
        <v>20</v>
      </c>
      <c r="F2463" s="81">
        <v>2</v>
      </c>
      <c r="G2463" s="71" t="s">
        <v>2386</v>
      </c>
      <c r="H2463" s="71"/>
      <c r="I2463" s="71"/>
      <c r="J2463" s="70">
        <f>IFERROR(VLOOKUP(Devis[[#This Row],[Ref Air Flux]],#REF!,3,FALSE),0)</f>
        <v>0</v>
      </c>
      <c r="K2463" s="68"/>
      <c r="L2463" s="68"/>
      <c r="M2463" s="68"/>
      <c r="N2463" s="68"/>
      <c r="O2463" s="68"/>
      <c r="P2463" s="68"/>
      <c r="Q2463" s="68">
        <f>SUM(Devis[[#This Row],[Poste 1]:[Poste 6]])</f>
        <v>0</v>
      </c>
      <c r="R2463" s="71"/>
      <c r="S2463" s="68">
        <f>_xlfn.CEILING.MATH(Devis[[#This Row],[Quantité Totale]],Devis[[#This Row],[Conditionnement]])</f>
        <v>0</v>
      </c>
      <c r="T2463" s="72"/>
      <c r="U2463" s="73"/>
      <c r="V2463" s="74">
        <f>Devis[[#This Row],[Prix de Revient]]*Devis[[#This Row],[Poste 1]]</f>
        <v>0</v>
      </c>
      <c r="W2463" s="74">
        <f>Devis[[#This Row],[Prix de Revient]]*Devis[[#This Row],[Poste 2]]</f>
        <v>0</v>
      </c>
      <c r="X2463" s="74">
        <f>Devis[[#This Row],[Prix de Revient]]*Devis[[#This Row],[Poste 3]]</f>
        <v>0</v>
      </c>
      <c r="Y2463" s="74">
        <f>Devis[[#This Row],[Poste 4]]*Devis[[#This Row],[Prix de Revient]]</f>
        <v>0</v>
      </c>
      <c r="Z2463" s="74">
        <f>Devis[[#This Row],[Poste 5]]*Devis[[#This Row],[Prix de Revient]]</f>
        <v>0</v>
      </c>
      <c r="AA2463" s="74">
        <f>Devis[[#This Row],[Prix de Revient]]*Devis[[#This Row],[Poste 6]]</f>
        <v>0</v>
      </c>
      <c r="AB2463" s="74">
        <f>Devis[[#This Row],[Quantité Totale]]*Devis[[#This Row],[Prix de Revient]]</f>
        <v>0</v>
      </c>
    </row>
    <row r="2464" spans="1:28" ht="14.25" outlineLevel="1" x14ac:dyDescent="0.2">
      <c r="A2464" s="75" t="s">
        <v>2374</v>
      </c>
      <c r="B2464" s="76" t="s">
        <v>2384</v>
      </c>
      <c r="C2464" s="75"/>
      <c r="D2464" s="81" t="str">
        <f t="shared" si="42"/>
        <v>Laiton - BronzeBouchons F 300 LAITON</v>
      </c>
      <c r="E2464" s="75" t="s">
        <v>19</v>
      </c>
      <c r="F2464" s="81">
        <v>3</v>
      </c>
      <c r="G2464" s="71" t="s">
        <v>2387</v>
      </c>
      <c r="H2464" s="71"/>
      <c r="I2464" s="71"/>
      <c r="J2464" s="70">
        <f>IFERROR(VLOOKUP(Devis[[#This Row],[Ref Air Flux]],#REF!,3,FALSE),0)</f>
        <v>0</v>
      </c>
      <c r="K2464" s="68"/>
      <c r="L2464" s="68"/>
      <c r="M2464" s="68"/>
      <c r="N2464" s="68"/>
      <c r="O2464" s="68"/>
      <c r="P2464" s="68"/>
      <c r="Q2464" s="68">
        <f>SUM(Devis[[#This Row],[Poste 1]:[Poste 6]])</f>
        <v>0</v>
      </c>
      <c r="R2464" s="71"/>
      <c r="S2464" s="68">
        <f>_xlfn.CEILING.MATH(Devis[[#This Row],[Quantité Totale]],Devis[[#This Row],[Conditionnement]])</f>
        <v>0</v>
      </c>
      <c r="T2464" s="72"/>
      <c r="U2464" s="73"/>
      <c r="V2464" s="74">
        <f>Devis[[#This Row],[Prix de Revient]]*Devis[[#This Row],[Poste 1]]</f>
        <v>0</v>
      </c>
      <c r="W2464" s="74">
        <f>Devis[[#This Row],[Prix de Revient]]*Devis[[#This Row],[Poste 2]]</f>
        <v>0</v>
      </c>
      <c r="X2464" s="74">
        <f>Devis[[#This Row],[Prix de Revient]]*Devis[[#This Row],[Poste 3]]</f>
        <v>0</v>
      </c>
      <c r="Y2464" s="74">
        <f>Devis[[#This Row],[Poste 4]]*Devis[[#This Row],[Prix de Revient]]</f>
        <v>0</v>
      </c>
      <c r="Z2464" s="74">
        <f>Devis[[#This Row],[Poste 5]]*Devis[[#This Row],[Prix de Revient]]</f>
        <v>0</v>
      </c>
      <c r="AA2464" s="74">
        <f>Devis[[#This Row],[Prix de Revient]]*Devis[[#This Row],[Poste 6]]</f>
        <v>0</v>
      </c>
      <c r="AB2464" s="74">
        <f>Devis[[#This Row],[Quantité Totale]]*Devis[[#This Row],[Prix de Revient]]</f>
        <v>0</v>
      </c>
    </row>
    <row r="2465" spans="1:28" ht="14.25" customHeight="1" x14ac:dyDescent="0.25">
      <c r="A2465" s="65" t="s">
        <v>2374</v>
      </c>
      <c r="B2465" s="65" t="s">
        <v>2388</v>
      </c>
      <c r="C2465" s="76"/>
      <c r="D2465" s="81" t="str">
        <f t="shared" si="42"/>
        <v>Laiton - BronzeBouchons M 290 LAITON</v>
      </c>
      <c r="E2465" s="76"/>
      <c r="F2465" s="81">
        <v>0</v>
      </c>
      <c r="G2465" s="71"/>
      <c r="H2465" s="71"/>
      <c r="I2465" s="71"/>
      <c r="J2465" s="70">
        <f>IFERROR(VLOOKUP(Devis[[#This Row],[Ref Air Flux]],#REF!,3,FALSE),0)</f>
        <v>0</v>
      </c>
      <c r="K2465" s="68"/>
      <c r="L2465" s="68"/>
      <c r="M2465" s="68"/>
      <c r="N2465" s="68"/>
      <c r="O2465" s="68"/>
      <c r="P2465" s="68"/>
      <c r="Q2465" s="68">
        <f>SUM(Devis[[#This Row],[Poste 1]:[Poste 6]])</f>
        <v>0</v>
      </c>
      <c r="R2465" s="71"/>
      <c r="S2465" s="68">
        <f>_xlfn.CEILING.MATH(Devis[[#This Row],[Quantité Totale]],Devis[[#This Row],[Conditionnement]])</f>
        <v>0</v>
      </c>
      <c r="T2465" s="72"/>
      <c r="U2465" s="73"/>
      <c r="V2465" s="74">
        <f>Devis[[#This Row],[Prix de Revient]]*Devis[[#This Row],[Poste 1]]</f>
        <v>0</v>
      </c>
      <c r="W2465" s="74">
        <f>Devis[[#This Row],[Prix de Revient]]*Devis[[#This Row],[Poste 2]]</f>
        <v>0</v>
      </c>
      <c r="X2465" s="74">
        <f>Devis[[#This Row],[Prix de Revient]]*Devis[[#This Row],[Poste 3]]</f>
        <v>0</v>
      </c>
      <c r="Y2465" s="74">
        <f>Devis[[#This Row],[Poste 4]]*Devis[[#This Row],[Prix de Revient]]</f>
        <v>0</v>
      </c>
      <c r="Z2465" s="74">
        <f>Devis[[#This Row],[Poste 5]]*Devis[[#This Row],[Prix de Revient]]</f>
        <v>0</v>
      </c>
      <c r="AA2465" s="74">
        <f>Devis[[#This Row],[Prix de Revient]]*Devis[[#This Row],[Poste 6]]</f>
        <v>0</v>
      </c>
      <c r="AB2465" s="74">
        <f>Devis[[#This Row],[Quantité Totale]]*Devis[[#This Row],[Prix de Revient]]</f>
        <v>0</v>
      </c>
    </row>
    <row r="2466" spans="1:28" ht="14.25" outlineLevel="1" x14ac:dyDescent="0.2">
      <c r="A2466" s="75" t="s">
        <v>2374</v>
      </c>
      <c r="B2466" s="76" t="s">
        <v>2388</v>
      </c>
      <c r="C2466" s="75"/>
      <c r="D2466" s="81" t="str">
        <f t="shared" si="42"/>
        <v>Laiton - BronzeBouchons M 290 LAITON</v>
      </c>
      <c r="E2466" s="75" t="s">
        <v>0</v>
      </c>
      <c r="F2466" s="81">
        <v>1</v>
      </c>
      <c r="G2466" s="71" t="s">
        <v>2389</v>
      </c>
      <c r="H2466" s="71"/>
      <c r="I2466" s="71"/>
      <c r="J2466" s="70">
        <f>IFERROR(VLOOKUP(Devis[[#This Row],[Ref Air Flux]],#REF!,3,FALSE),0)</f>
        <v>0</v>
      </c>
      <c r="K2466" s="68"/>
      <c r="L2466" s="68"/>
      <c r="M2466" s="68"/>
      <c r="N2466" s="68"/>
      <c r="O2466" s="68"/>
      <c r="P2466" s="68"/>
      <c r="Q2466" s="68">
        <f>SUM(Devis[[#This Row],[Poste 1]:[Poste 6]])</f>
        <v>0</v>
      </c>
      <c r="R2466" s="71"/>
      <c r="S2466" s="68">
        <f>_xlfn.CEILING.MATH(Devis[[#This Row],[Quantité Totale]],Devis[[#This Row],[Conditionnement]])</f>
        <v>0</v>
      </c>
      <c r="T2466" s="72"/>
      <c r="U2466" s="73"/>
      <c r="V2466" s="74">
        <f>Devis[[#This Row],[Prix de Revient]]*Devis[[#This Row],[Poste 1]]</f>
        <v>0</v>
      </c>
      <c r="W2466" s="74">
        <f>Devis[[#This Row],[Prix de Revient]]*Devis[[#This Row],[Poste 2]]</f>
        <v>0</v>
      </c>
      <c r="X2466" s="74">
        <f>Devis[[#This Row],[Prix de Revient]]*Devis[[#This Row],[Poste 3]]</f>
        <v>0</v>
      </c>
      <c r="Y2466" s="74">
        <f>Devis[[#This Row],[Poste 4]]*Devis[[#This Row],[Prix de Revient]]</f>
        <v>0</v>
      </c>
      <c r="Z2466" s="74">
        <f>Devis[[#This Row],[Poste 5]]*Devis[[#This Row],[Prix de Revient]]</f>
        <v>0</v>
      </c>
      <c r="AA2466" s="74">
        <f>Devis[[#This Row],[Prix de Revient]]*Devis[[#This Row],[Poste 6]]</f>
        <v>0</v>
      </c>
      <c r="AB2466" s="74">
        <f>Devis[[#This Row],[Quantité Totale]]*Devis[[#This Row],[Prix de Revient]]</f>
        <v>0</v>
      </c>
    </row>
    <row r="2467" spans="1:28" ht="14.25" outlineLevel="1" x14ac:dyDescent="0.2">
      <c r="A2467" s="75" t="s">
        <v>2374</v>
      </c>
      <c r="B2467" s="76" t="s">
        <v>2388</v>
      </c>
      <c r="C2467" s="75"/>
      <c r="D2467" s="81" t="str">
        <f t="shared" si="42"/>
        <v>Laiton - BronzeBouchons M 290 LAITON</v>
      </c>
      <c r="E2467" s="75" t="s">
        <v>19</v>
      </c>
      <c r="F2467" s="81">
        <v>2</v>
      </c>
      <c r="G2467" s="71" t="s">
        <v>2390</v>
      </c>
      <c r="H2467" s="71"/>
      <c r="I2467" s="71"/>
      <c r="J2467" s="70">
        <f>IFERROR(VLOOKUP(Devis[[#This Row],[Ref Air Flux]],#REF!,3,FALSE),0)</f>
        <v>0</v>
      </c>
      <c r="K2467" s="68"/>
      <c r="L2467" s="68"/>
      <c r="M2467" s="68"/>
      <c r="N2467" s="68"/>
      <c r="O2467" s="68"/>
      <c r="P2467" s="68"/>
      <c r="Q2467" s="68">
        <f>SUM(Devis[[#This Row],[Poste 1]:[Poste 6]])</f>
        <v>0</v>
      </c>
      <c r="R2467" s="71"/>
      <c r="S2467" s="68">
        <f>_xlfn.CEILING.MATH(Devis[[#This Row],[Quantité Totale]],Devis[[#This Row],[Conditionnement]])</f>
        <v>0</v>
      </c>
      <c r="T2467" s="72"/>
      <c r="U2467" s="73"/>
      <c r="V2467" s="74">
        <f>Devis[[#This Row],[Prix de Revient]]*Devis[[#This Row],[Poste 1]]</f>
        <v>0</v>
      </c>
      <c r="W2467" s="74">
        <f>Devis[[#This Row],[Prix de Revient]]*Devis[[#This Row],[Poste 2]]</f>
        <v>0</v>
      </c>
      <c r="X2467" s="74">
        <f>Devis[[#This Row],[Prix de Revient]]*Devis[[#This Row],[Poste 3]]</f>
        <v>0</v>
      </c>
      <c r="Y2467" s="74">
        <f>Devis[[#This Row],[Poste 4]]*Devis[[#This Row],[Prix de Revient]]</f>
        <v>0</v>
      </c>
      <c r="Z2467" s="74">
        <f>Devis[[#This Row],[Poste 5]]*Devis[[#This Row],[Prix de Revient]]</f>
        <v>0</v>
      </c>
      <c r="AA2467" s="74">
        <f>Devis[[#This Row],[Prix de Revient]]*Devis[[#This Row],[Poste 6]]</f>
        <v>0</v>
      </c>
      <c r="AB2467" s="74">
        <f>Devis[[#This Row],[Quantité Totale]]*Devis[[#This Row],[Prix de Revient]]</f>
        <v>0</v>
      </c>
    </row>
    <row r="2468" spans="1:28" ht="14.25" outlineLevel="1" x14ac:dyDescent="0.2">
      <c r="A2468" s="75" t="s">
        <v>2374</v>
      </c>
      <c r="B2468" s="76" t="s">
        <v>2388</v>
      </c>
      <c r="C2468" s="75"/>
      <c r="D2468" s="81" t="str">
        <f t="shared" si="42"/>
        <v>Laiton - BronzeBouchons M 290 LAITON</v>
      </c>
      <c r="E2468" s="105" t="s">
        <v>18</v>
      </c>
      <c r="F2468" s="81">
        <v>3</v>
      </c>
      <c r="G2468" s="71" t="s">
        <v>2391</v>
      </c>
      <c r="H2468" s="71"/>
      <c r="I2468" s="71"/>
      <c r="J2468" s="70">
        <f>IFERROR(VLOOKUP(Devis[[#This Row],[Ref Air Flux]],#REF!,3,FALSE),0)</f>
        <v>0</v>
      </c>
      <c r="K2468" s="68"/>
      <c r="L2468" s="68"/>
      <c r="M2468" s="68"/>
      <c r="N2468" s="68"/>
      <c r="O2468" s="68"/>
      <c r="P2468" s="68"/>
      <c r="Q2468" s="68">
        <f>SUM(Devis[[#This Row],[Poste 1]:[Poste 6]])</f>
        <v>0</v>
      </c>
      <c r="R2468" s="71"/>
      <c r="S2468" s="68">
        <f>_xlfn.CEILING.MATH(Devis[[#This Row],[Quantité Totale]],Devis[[#This Row],[Conditionnement]])</f>
        <v>0</v>
      </c>
      <c r="T2468" s="72"/>
      <c r="U2468" s="73"/>
      <c r="V2468" s="74">
        <f>Devis[[#This Row],[Prix de Revient]]*Devis[[#This Row],[Poste 1]]</f>
        <v>0</v>
      </c>
      <c r="W2468" s="74">
        <f>Devis[[#This Row],[Prix de Revient]]*Devis[[#This Row],[Poste 2]]</f>
        <v>0</v>
      </c>
      <c r="X2468" s="74">
        <f>Devis[[#This Row],[Prix de Revient]]*Devis[[#This Row],[Poste 3]]</f>
        <v>0</v>
      </c>
      <c r="Y2468" s="74">
        <f>Devis[[#This Row],[Poste 4]]*Devis[[#This Row],[Prix de Revient]]</f>
        <v>0</v>
      </c>
      <c r="Z2468" s="74">
        <f>Devis[[#This Row],[Poste 5]]*Devis[[#This Row],[Prix de Revient]]</f>
        <v>0</v>
      </c>
      <c r="AA2468" s="74">
        <f>Devis[[#This Row],[Prix de Revient]]*Devis[[#This Row],[Poste 6]]</f>
        <v>0</v>
      </c>
      <c r="AB2468" s="74">
        <f>Devis[[#This Row],[Quantité Totale]]*Devis[[#This Row],[Prix de Revient]]</f>
        <v>0</v>
      </c>
    </row>
    <row r="2469" spans="1:28" ht="14.25" customHeight="1" outlineLevel="1" x14ac:dyDescent="0.2">
      <c r="A2469" s="75" t="s">
        <v>2374</v>
      </c>
      <c r="B2469" s="76" t="s">
        <v>2388</v>
      </c>
      <c r="C2469" s="75"/>
      <c r="D2469" s="81" t="str">
        <f t="shared" si="42"/>
        <v>Laiton - BronzeBouchons M 290 LAITON</v>
      </c>
      <c r="E2469" s="105" t="s">
        <v>17</v>
      </c>
      <c r="F2469" s="81">
        <v>4</v>
      </c>
      <c r="G2469" s="71" t="s">
        <v>2392</v>
      </c>
      <c r="H2469" s="71"/>
      <c r="I2469" s="71"/>
      <c r="J2469" s="70">
        <f>IFERROR(VLOOKUP(Devis[[#This Row],[Ref Air Flux]],#REF!,3,FALSE),0)</f>
        <v>0</v>
      </c>
      <c r="K2469" s="68"/>
      <c r="L2469" s="68"/>
      <c r="M2469" s="68"/>
      <c r="N2469" s="68"/>
      <c r="O2469" s="68"/>
      <c r="P2469" s="68"/>
      <c r="Q2469" s="68">
        <f>SUM(Devis[[#This Row],[Poste 1]:[Poste 6]])</f>
        <v>0</v>
      </c>
      <c r="R2469" s="71"/>
      <c r="S2469" s="68">
        <f>_xlfn.CEILING.MATH(Devis[[#This Row],[Quantité Totale]],Devis[[#This Row],[Conditionnement]])</f>
        <v>0</v>
      </c>
      <c r="T2469" s="72"/>
      <c r="U2469" s="73"/>
      <c r="V2469" s="74">
        <f>Devis[[#This Row],[Prix de Revient]]*Devis[[#This Row],[Poste 1]]</f>
        <v>0</v>
      </c>
      <c r="W2469" s="74">
        <f>Devis[[#This Row],[Prix de Revient]]*Devis[[#This Row],[Poste 2]]</f>
        <v>0</v>
      </c>
      <c r="X2469" s="74">
        <f>Devis[[#This Row],[Prix de Revient]]*Devis[[#This Row],[Poste 3]]</f>
        <v>0</v>
      </c>
      <c r="Y2469" s="74">
        <f>Devis[[#This Row],[Poste 4]]*Devis[[#This Row],[Prix de Revient]]</f>
        <v>0</v>
      </c>
      <c r="Z2469" s="74">
        <f>Devis[[#This Row],[Poste 5]]*Devis[[#This Row],[Prix de Revient]]</f>
        <v>0</v>
      </c>
      <c r="AA2469" s="74">
        <f>Devis[[#This Row],[Prix de Revient]]*Devis[[#This Row],[Poste 6]]</f>
        <v>0</v>
      </c>
      <c r="AB2469" s="74">
        <f>Devis[[#This Row],[Quantité Totale]]*Devis[[#This Row],[Prix de Revient]]</f>
        <v>0</v>
      </c>
    </row>
    <row r="2470" spans="1:28" ht="14.25" customHeight="1" outlineLevel="1" x14ac:dyDescent="0.2">
      <c r="A2470" s="75" t="s">
        <v>2374</v>
      </c>
      <c r="B2470" s="76" t="s">
        <v>2388</v>
      </c>
      <c r="C2470" s="75"/>
      <c r="D2470" s="81" t="str">
        <f t="shared" si="42"/>
        <v>Laiton - BronzeBouchons M 290 LAITON</v>
      </c>
      <c r="E2470" s="105" t="s">
        <v>16</v>
      </c>
      <c r="F2470" s="81">
        <v>5</v>
      </c>
      <c r="G2470" s="71" t="s">
        <v>2393</v>
      </c>
      <c r="H2470" s="71"/>
      <c r="I2470" s="71"/>
      <c r="J2470" s="70">
        <f>IFERROR(VLOOKUP(Devis[[#This Row],[Ref Air Flux]],#REF!,3,FALSE),0)</f>
        <v>0</v>
      </c>
      <c r="K2470" s="68"/>
      <c r="L2470" s="68"/>
      <c r="M2470" s="68"/>
      <c r="N2470" s="68"/>
      <c r="O2470" s="68"/>
      <c r="P2470" s="68"/>
      <c r="Q2470" s="68">
        <f>SUM(Devis[[#This Row],[Poste 1]:[Poste 6]])</f>
        <v>0</v>
      </c>
      <c r="R2470" s="71"/>
      <c r="S2470" s="68">
        <f>_xlfn.CEILING.MATH(Devis[[#This Row],[Quantité Totale]],Devis[[#This Row],[Conditionnement]])</f>
        <v>0</v>
      </c>
      <c r="T2470" s="72"/>
      <c r="U2470" s="73"/>
      <c r="V2470" s="74">
        <f>Devis[[#This Row],[Prix de Revient]]*Devis[[#This Row],[Poste 1]]</f>
        <v>0</v>
      </c>
      <c r="W2470" s="74">
        <f>Devis[[#This Row],[Prix de Revient]]*Devis[[#This Row],[Poste 2]]</f>
        <v>0</v>
      </c>
      <c r="X2470" s="74">
        <f>Devis[[#This Row],[Prix de Revient]]*Devis[[#This Row],[Poste 3]]</f>
        <v>0</v>
      </c>
      <c r="Y2470" s="74">
        <f>Devis[[#This Row],[Poste 4]]*Devis[[#This Row],[Prix de Revient]]</f>
        <v>0</v>
      </c>
      <c r="Z2470" s="74">
        <f>Devis[[#This Row],[Poste 5]]*Devis[[#This Row],[Prix de Revient]]</f>
        <v>0</v>
      </c>
      <c r="AA2470" s="74">
        <f>Devis[[#This Row],[Prix de Revient]]*Devis[[#This Row],[Poste 6]]</f>
        <v>0</v>
      </c>
      <c r="AB2470" s="74">
        <f>Devis[[#This Row],[Quantité Totale]]*Devis[[#This Row],[Prix de Revient]]</f>
        <v>0</v>
      </c>
    </row>
    <row r="2471" spans="1:28" ht="14.25" outlineLevel="1" x14ac:dyDescent="0.2">
      <c r="A2471" s="75" t="s">
        <v>2374</v>
      </c>
      <c r="B2471" s="76" t="s">
        <v>2388</v>
      </c>
      <c r="C2471" s="75"/>
      <c r="D2471" s="81" t="str">
        <f t="shared" si="42"/>
        <v>Laiton - BronzeBouchons M 290 LAITON</v>
      </c>
      <c r="E2471" s="105" t="s">
        <v>46</v>
      </c>
      <c r="F2471" s="81">
        <v>6</v>
      </c>
      <c r="G2471" s="71" t="s">
        <v>2394</v>
      </c>
      <c r="H2471" s="71"/>
      <c r="I2471" s="71"/>
      <c r="J2471" s="70">
        <f>IFERROR(VLOOKUP(Devis[[#This Row],[Ref Air Flux]],#REF!,3,FALSE),0)</f>
        <v>0</v>
      </c>
      <c r="K2471" s="68"/>
      <c r="L2471" s="68"/>
      <c r="M2471" s="68"/>
      <c r="N2471" s="68"/>
      <c r="O2471" s="68"/>
      <c r="P2471" s="68"/>
      <c r="Q2471" s="68">
        <f>SUM(Devis[[#This Row],[Poste 1]:[Poste 6]])</f>
        <v>0</v>
      </c>
      <c r="R2471" s="71"/>
      <c r="S2471" s="68">
        <f>_xlfn.CEILING.MATH(Devis[[#This Row],[Quantité Totale]],Devis[[#This Row],[Conditionnement]])</f>
        <v>0</v>
      </c>
      <c r="T2471" s="72"/>
      <c r="U2471" s="73"/>
      <c r="V2471" s="74">
        <f>Devis[[#This Row],[Prix de Revient]]*Devis[[#This Row],[Poste 1]]</f>
        <v>0</v>
      </c>
      <c r="W2471" s="74">
        <f>Devis[[#This Row],[Prix de Revient]]*Devis[[#This Row],[Poste 2]]</f>
        <v>0</v>
      </c>
      <c r="X2471" s="74">
        <f>Devis[[#This Row],[Prix de Revient]]*Devis[[#This Row],[Poste 3]]</f>
        <v>0</v>
      </c>
      <c r="Y2471" s="74">
        <f>Devis[[#This Row],[Poste 4]]*Devis[[#This Row],[Prix de Revient]]</f>
        <v>0</v>
      </c>
      <c r="Z2471" s="74">
        <f>Devis[[#This Row],[Poste 5]]*Devis[[#This Row],[Prix de Revient]]</f>
        <v>0</v>
      </c>
      <c r="AA2471" s="74">
        <f>Devis[[#This Row],[Prix de Revient]]*Devis[[#This Row],[Poste 6]]</f>
        <v>0</v>
      </c>
      <c r="AB2471" s="74">
        <f>Devis[[#This Row],[Quantité Totale]]*Devis[[#This Row],[Prix de Revient]]</f>
        <v>0</v>
      </c>
    </row>
    <row r="2472" spans="1:28" ht="15" customHeight="1" outlineLevel="1" x14ac:dyDescent="0.2">
      <c r="A2472" s="75" t="s">
        <v>2374</v>
      </c>
      <c r="B2472" s="76" t="s">
        <v>2388</v>
      </c>
      <c r="C2472" s="75"/>
      <c r="D2472" s="81" t="str">
        <f t="shared" si="42"/>
        <v>Laiton - BronzeBouchons M 290 LAITON</v>
      </c>
      <c r="E2472" s="105" t="s">
        <v>928</v>
      </c>
      <c r="F2472" s="81">
        <v>7</v>
      </c>
      <c r="G2472" s="71" t="s">
        <v>2395</v>
      </c>
      <c r="H2472" s="71"/>
      <c r="I2472" s="71"/>
      <c r="J2472" s="70">
        <f>IFERROR(VLOOKUP(Devis[[#This Row],[Ref Air Flux]],#REF!,3,FALSE),0)</f>
        <v>0</v>
      </c>
      <c r="K2472" s="68"/>
      <c r="L2472" s="68"/>
      <c r="M2472" s="68"/>
      <c r="N2472" s="68"/>
      <c r="O2472" s="68"/>
      <c r="P2472" s="68"/>
      <c r="Q2472" s="68">
        <f>SUM(Devis[[#This Row],[Poste 1]:[Poste 6]])</f>
        <v>0</v>
      </c>
      <c r="R2472" s="71"/>
      <c r="S2472" s="68">
        <f>_xlfn.CEILING.MATH(Devis[[#This Row],[Quantité Totale]],Devis[[#This Row],[Conditionnement]])</f>
        <v>0</v>
      </c>
      <c r="T2472" s="72"/>
      <c r="U2472" s="73"/>
      <c r="V2472" s="74">
        <f>Devis[[#This Row],[Prix de Revient]]*Devis[[#This Row],[Poste 1]]</f>
        <v>0</v>
      </c>
      <c r="W2472" s="74">
        <f>Devis[[#This Row],[Prix de Revient]]*Devis[[#This Row],[Poste 2]]</f>
        <v>0</v>
      </c>
      <c r="X2472" s="74">
        <f>Devis[[#This Row],[Prix de Revient]]*Devis[[#This Row],[Poste 3]]</f>
        <v>0</v>
      </c>
      <c r="Y2472" s="74">
        <f>Devis[[#This Row],[Poste 4]]*Devis[[#This Row],[Prix de Revient]]</f>
        <v>0</v>
      </c>
      <c r="Z2472" s="74">
        <f>Devis[[#This Row],[Poste 5]]*Devis[[#This Row],[Prix de Revient]]</f>
        <v>0</v>
      </c>
      <c r="AA2472" s="74">
        <f>Devis[[#This Row],[Prix de Revient]]*Devis[[#This Row],[Poste 6]]</f>
        <v>0</v>
      </c>
      <c r="AB2472" s="74">
        <f>Devis[[#This Row],[Quantité Totale]]*Devis[[#This Row],[Prix de Revient]]</f>
        <v>0</v>
      </c>
    </row>
    <row r="2473" spans="1:28" ht="14.25" customHeight="1" x14ac:dyDescent="0.25">
      <c r="A2473" s="65" t="s">
        <v>2374</v>
      </c>
      <c r="B2473" s="65" t="s">
        <v>2396</v>
      </c>
      <c r="C2473" s="76"/>
      <c r="D2473" s="81" t="str">
        <f t="shared" si="42"/>
        <v>Laiton - BronzeCollecteur Laiton MF</v>
      </c>
      <c r="E2473" s="76"/>
      <c r="F2473" s="81">
        <v>0</v>
      </c>
      <c r="G2473" s="71"/>
      <c r="H2473" s="71"/>
      <c r="I2473" s="71"/>
      <c r="J2473" s="70">
        <f>IFERROR(VLOOKUP(Devis[[#This Row],[Ref Air Flux]],#REF!,3,FALSE),0)</f>
        <v>0</v>
      </c>
      <c r="K2473" s="68"/>
      <c r="L2473" s="68"/>
      <c r="M2473" s="68"/>
      <c r="N2473" s="68"/>
      <c r="O2473" s="68"/>
      <c r="P2473" s="68"/>
      <c r="Q2473" s="68">
        <f>SUM(Devis[[#This Row],[Poste 1]:[Poste 6]])</f>
        <v>0</v>
      </c>
      <c r="R2473" s="71"/>
      <c r="S2473" s="68">
        <f>_xlfn.CEILING.MATH(Devis[[#This Row],[Quantité Totale]],Devis[[#This Row],[Conditionnement]])</f>
        <v>0</v>
      </c>
      <c r="T2473" s="72"/>
      <c r="U2473" s="73"/>
      <c r="V2473" s="74">
        <f>Devis[[#This Row],[Prix de Revient]]*Devis[[#This Row],[Poste 1]]</f>
        <v>0</v>
      </c>
      <c r="W2473" s="74">
        <f>Devis[[#This Row],[Prix de Revient]]*Devis[[#This Row],[Poste 2]]</f>
        <v>0</v>
      </c>
      <c r="X2473" s="74">
        <f>Devis[[#This Row],[Prix de Revient]]*Devis[[#This Row],[Poste 3]]</f>
        <v>0</v>
      </c>
      <c r="Y2473" s="74">
        <f>Devis[[#This Row],[Poste 4]]*Devis[[#This Row],[Prix de Revient]]</f>
        <v>0</v>
      </c>
      <c r="Z2473" s="74">
        <f>Devis[[#This Row],[Poste 5]]*Devis[[#This Row],[Prix de Revient]]</f>
        <v>0</v>
      </c>
      <c r="AA2473" s="74">
        <f>Devis[[#This Row],[Prix de Revient]]*Devis[[#This Row],[Poste 6]]</f>
        <v>0</v>
      </c>
      <c r="AB2473" s="74">
        <f>Devis[[#This Row],[Quantité Totale]]*Devis[[#This Row],[Prix de Revient]]</f>
        <v>0</v>
      </c>
    </row>
    <row r="2474" spans="1:28" ht="15" customHeight="1" outlineLevel="1" x14ac:dyDescent="0.2">
      <c r="A2474" s="75" t="s">
        <v>2374</v>
      </c>
      <c r="B2474" s="76" t="s">
        <v>2396</v>
      </c>
      <c r="C2474" s="75"/>
      <c r="D2474" s="81" t="str">
        <f t="shared" si="42"/>
        <v>Laiton - BronzeCollecteur Laiton MF</v>
      </c>
      <c r="E2474" s="75" t="s">
        <v>2397</v>
      </c>
      <c r="F2474" s="81">
        <v>1</v>
      </c>
      <c r="G2474" s="71" t="s">
        <v>2398</v>
      </c>
      <c r="H2474" s="71"/>
      <c r="I2474" s="71"/>
      <c r="J2474" s="70">
        <f>IFERROR(VLOOKUP(Devis[[#This Row],[Ref Air Flux]],#REF!,3,FALSE),0)</f>
        <v>0</v>
      </c>
      <c r="K2474" s="68"/>
      <c r="L2474" s="68"/>
      <c r="M2474" s="68"/>
      <c r="N2474" s="68"/>
      <c r="O2474" s="68"/>
      <c r="P2474" s="68"/>
      <c r="Q2474" s="68">
        <f>SUM(Devis[[#This Row],[Poste 1]:[Poste 6]])</f>
        <v>0</v>
      </c>
      <c r="R2474" s="71"/>
      <c r="S2474" s="68">
        <f>_xlfn.CEILING.MATH(Devis[[#This Row],[Quantité Totale]],Devis[[#This Row],[Conditionnement]])</f>
        <v>0</v>
      </c>
      <c r="T2474" s="72"/>
      <c r="U2474" s="73"/>
      <c r="V2474" s="74">
        <f>Devis[[#This Row],[Prix de Revient]]*Devis[[#This Row],[Poste 1]]</f>
        <v>0</v>
      </c>
      <c r="W2474" s="74">
        <f>Devis[[#This Row],[Prix de Revient]]*Devis[[#This Row],[Poste 2]]</f>
        <v>0</v>
      </c>
      <c r="X2474" s="74">
        <f>Devis[[#This Row],[Prix de Revient]]*Devis[[#This Row],[Poste 3]]</f>
        <v>0</v>
      </c>
      <c r="Y2474" s="74">
        <f>Devis[[#This Row],[Poste 4]]*Devis[[#This Row],[Prix de Revient]]</f>
        <v>0</v>
      </c>
      <c r="Z2474" s="74">
        <f>Devis[[#This Row],[Poste 5]]*Devis[[#This Row],[Prix de Revient]]</f>
        <v>0</v>
      </c>
      <c r="AA2474" s="74">
        <f>Devis[[#This Row],[Prix de Revient]]*Devis[[#This Row],[Poste 6]]</f>
        <v>0</v>
      </c>
      <c r="AB2474" s="74">
        <f>Devis[[#This Row],[Quantité Totale]]*Devis[[#This Row],[Prix de Revient]]</f>
        <v>0</v>
      </c>
    </row>
    <row r="2475" spans="1:28" ht="14.25" outlineLevel="1" x14ac:dyDescent="0.2">
      <c r="A2475" s="75" t="s">
        <v>2374</v>
      </c>
      <c r="B2475" s="76" t="s">
        <v>2396</v>
      </c>
      <c r="C2475" s="75"/>
      <c r="D2475" s="81" t="str">
        <f t="shared" si="42"/>
        <v>Laiton - BronzeCollecteur Laiton MF</v>
      </c>
      <c r="E2475" s="75" t="s">
        <v>2399</v>
      </c>
      <c r="F2475" s="81">
        <v>2</v>
      </c>
      <c r="G2475" s="71" t="s">
        <v>2400</v>
      </c>
      <c r="H2475" s="71"/>
      <c r="I2475" s="71"/>
      <c r="J2475" s="70">
        <f>IFERROR(VLOOKUP(Devis[[#This Row],[Ref Air Flux]],#REF!,3,FALSE),0)</f>
        <v>0</v>
      </c>
      <c r="K2475" s="68"/>
      <c r="L2475" s="68"/>
      <c r="M2475" s="68"/>
      <c r="N2475" s="68"/>
      <c r="O2475" s="68"/>
      <c r="P2475" s="68"/>
      <c r="Q2475" s="68">
        <f>SUM(Devis[[#This Row],[Poste 1]:[Poste 6]])</f>
        <v>0</v>
      </c>
      <c r="R2475" s="71"/>
      <c r="S2475" s="68">
        <f>_xlfn.CEILING.MATH(Devis[[#This Row],[Quantité Totale]],Devis[[#This Row],[Conditionnement]])</f>
        <v>0</v>
      </c>
      <c r="T2475" s="72"/>
      <c r="U2475" s="73"/>
      <c r="V2475" s="74">
        <f>Devis[[#This Row],[Prix de Revient]]*Devis[[#This Row],[Poste 1]]</f>
        <v>0</v>
      </c>
      <c r="W2475" s="74">
        <f>Devis[[#This Row],[Prix de Revient]]*Devis[[#This Row],[Poste 2]]</f>
        <v>0</v>
      </c>
      <c r="X2475" s="74">
        <f>Devis[[#This Row],[Prix de Revient]]*Devis[[#This Row],[Poste 3]]</f>
        <v>0</v>
      </c>
      <c r="Y2475" s="74">
        <f>Devis[[#This Row],[Poste 4]]*Devis[[#This Row],[Prix de Revient]]</f>
        <v>0</v>
      </c>
      <c r="Z2475" s="74">
        <f>Devis[[#This Row],[Poste 5]]*Devis[[#This Row],[Prix de Revient]]</f>
        <v>0</v>
      </c>
      <c r="AA2475" s="74">
        <f>Devis[[#This Row],[Prix de Revient]]*Devis[[#This Row],[Poste 6]]</f>
        <v>0</v>
      </c>
      <c r="AB2475" s="74">
        <f>Devis[[#This Row],[Quantité Totale]]*Devis[[#This Row],[Prix de Revient]]</f>
        <v>0</v>
      </c>
    </row>
    <row r="2476" spans="1:28" ht="14.25" outlineLevel="1" x14ac:dyDescent="0.2">
      <c r="A2476" s="75" t="s">
        <v>2374</v>
      </c>
      <c r="B2476" s="76" t="s">
        <v>2396</v>
      </c>
      <c r="C2476" s="75"/>
      <c r="D2476" s="81" t="str">
        <f t="shared" si="42"/>
        <v>Laiton - BronzeCollecteur Laiton MF</v>
      </c>
      <c r="E2476" s="75" t="s">
        <v>2401</v>
      </c>
      <c r="F2476" s="81">
        <v>3</v>
      </c>
      <c r="G2476" s="71" t="s">
        <v>2402</v>
      </c>
      <c r="H2476" s="71"/>
      <c r="I2476" s="71"/>
      <c r="J2476" s="70">
        <f>IFERROR(VLOOKUP(Devis[[#This Row],[Ref Air Flux]],#REF!,3,FALSE),0)</f>
        <v>0</v>
      </c>
      <c r="K2476" s="68"/>
      <c r="L2476" s="68"/>
      <c r="M2476" s="68"/>
      <c r="N2476" s="68"/>
      <c r="O2476" s="68"/>
      <c r="P2476" s="68"/>
      <c r="Q2476" s="68">
        <f>SUM(Devis[[#This Row],[Poste 1]:[Poste 6]])</f>
        <v>0</v>
      </c>
      <c r="R2476" s="71"/>
      <c r="S2476" s="68">
        <f>_xlfn.CEILING.MATH(Devis[[#This Row],[Quantité Totale]],Devis[[#This Row],[Conditionnement]])</f>
        <v>0</v>
      </c>
      <c r="T2476" s="72"/>
      <c r="U2476" s="73"/>
      <c r="V2476" s="74">
        <f>Devis[[#This Row],[Prix de Revient]]*Devis[[#This Row],[Poste 1]]</f>
        <v>0</v>
      </c>
      <c r="W2476" s="74">
        <f>Devis[[#This Row],[Prix de Revient]]*Devis[[#This Row],[Poste 2]]</f>
        <v>0</v>
      </c>
      <c r="X2476" s="74">
        <f>Devis[[#This Row],[Prix de Revient]]*Devis[[#This Row],[Poste 3]]</f>
        <v>0</v>
      </c>
      <c r="Y2476" s="74">
        <f>Devis[[#This Row],[Poste 4]]*Devis[[#This Row],[Prix de Revient]]</f>
        <v>0</v>
      </c>
      <c r="Z2476" s="74">
        <f>Devis[[#This Row],[Poste 5]]*Devis[[#This Row],[Prix de Revient]]</f>
        <v>0</v>
      </c>
      <c r="AA2476" s="74">
        <f>Devis[[#This Row],[Prix de Revient]]*Devis[[#This Row],[Poste 6]]</f>
        <v>0</v>
      </c>
      <c r="AB2476" s="74">
        <f>Devis[[#This Row],[Quantité Totale]]*Devis[[#This Row],[Prix de Revient]]</f>
        <v>0</v>
      </c>
    </row>
    <row r="2477" spans="1:28" ht="14.25" customHeight="1" outlineLevel="1" x14ac:dyDescent="0.2">
      <c r="A2477" s="75" t="s">
        <v>2374</v>
      </c>
      <c r="B2477" s="76" t="s">
        <v>2396</v>
      </c>
      <c r="C2477" s="75"/>
      <c r="D2477" s="81" t="str">
        <f t="shared" si="42"/>
        <v>Laiton - BronzeCollecteur Laiton MF</v>
      </c>
      <c r="E2477" s="75" t="s">
        <v>2403</v>
      </c>
      <c r="F2477" s="81">
        <v>4</v>
      </c>
      <c r="G2477" s="71" t="s">
        <v>2404</v>
      </c>
      <c r="H2477" s="71"/>
      <c r="I2477" s="71"/>
      <c r="J2477" s="70">
        <f>IFERROR(VLOOKUP(Devis[[#This Row],[Ref Air Flux]],#REF!,3,FALSE),0)</f>
        <v>0</v>
      </c>
      <c r="K2477" s="68"/>
      <c r="L2477" s="68"/>
      <c r="M2477" s="68"/>
      <c r="N2477" s="68"/>
      <c r="O2477" s="68"/>
      <c r="P2477" s="68"/>
      <c r="Q2477" s="68">
        <f>SUM(Devis[[#This Row],[Poste 1]:[Poste 6]])</f>
        <v>0</v>
      </c>
      <c r="R2477" s="71"/>
      <c r="S2477" s="68">
        <f>_xlfn.CEILING.MATH(Devis[[#This Row],[Quantité Totale]],Devis[[#This Row],[Conditionnement]])</f>
        <v>0</v>
      </c>
      <c r="T2477" s="72"/>
      <c r="U2477" s="73"/>
      <c r="V2477" s="74">
        <f>Devis[[#This Row],[Prix de Revient]]*Devis[[#This Row],[Poste 1]]</f>
        <v>0</v>
      </c>
      <c r="W2477" s="74">
        <f>Devis[[#This Row],[Prix de Revient]]*Devis[[#This Row],[Poste 2]]</f>
        <v>0</v>
      </c>
      <c r="X2477" s="74">
        <f>Devis[[#This Row],[Prix de Revient]]*Devis[[#This Row],[Poste 3]]</f>
        <v>0</v>
      </c>
      <c r="Y2477" s="74">
        <f>Devis[[#This Row],[Poste 4]]*Devis[[#This Row],[Prix de Revient]]</f>
        <v>0</v>
      </c>
      <c r="Z2477" s="74">
        <f>Devis[[#This Row],[Poste 5]]*Devis[[#This Row],[Prix de Revient]]</f>
        <v>0</v>
      </c>
      <c r="AA2477" s="74">
        <f>Devis[[#This Row],[Prix de Revient]]*Devis[[#This Row],[Poste 6]]</f>
        <v>0</v>
      </c>
      <c r="AB2477" s="74">
        <f>Devis[[#This Row],[Quantité Totale]]*Devis[[#This Row],[Prix de Revient]]</f>
        <v>0</v>
      </c>
    </row>
    <row r="2478" spans="1:28" ht="14.25" customHeight="1" x14ac:dyDescent="0.25">
      <c r="A2478" s="65" t="s">
        <v>2374</v>
      </c>
      <c r="B2478" s="65" t="s">
        <v>2405</v>
      </c>
      <c r="C2478" s="76"/>
      <c r="D2478" s="81" t="str">
        <f t="shared" si="42"/>
        <v>Laiton - BronzeCoude ff 90 LAITON</v>
      </c>
      <c r="E2478" s="76"/>
      <c r="F2478" s="81">
        <v>0</v>
      </c>
      <c r="G2478" s="71"/>
      <c r="H2478" s="71"/>
      <c r="I2478" s="71"/>
      <c r="J2478" s="70">
        <f>IFERROR(VLOOKUP(Devis[[#This Row],[Ref Air Flux]],#REF!,3,FALSE),0)</f>
        <v>0</v>
      </c>
      <c r="K2478" s="68"/>
      <c r="L2478" s="68"/>
      <c r="M2478" s="68"/>
      <c r="N2478" s="68"/>
      <c r="O2478" s="68"/>
      <c r="P2478" s="68"/>
      <c r="Q2478" s="68">
        <f>SUM(Devis[[#This Row],[Poste 1]:[Poste 6]])</f>
        <v>0</v>
      </c>
      <c r="R2478" s="71"/>
      <c r="S2478" s="68">
        <f>_xlfn.CEILING.MATH(Devis[[#This Row],[Quantité Totale]],Devis[[#This Row],[Conditionnement]])</f>
        <v>0</v>
      </c>
      <c r="T2478" s="72"/>
      <c r="U2478" s="73"/>
      <c r="V2478" s="74">
        <f>Devis[[#This Row],[Prix de Revient]]*Devis[[#This Row],[Poste 1]]</f>
        <v>0</v>
      </c>
      <c r="W2478" s="74">
        <f>Devis[[#This Row],[Prix de Revient]]*Devis[[#This Row],[Poste 2]]</f>
        <v>0</v>
      </c>
      <c r="X2478" s="74">
        <f>Devis[[#This Row],[Prix de Revient]]*Devis[[#This Row],[Poste 3]]</f>
        <v>0</v>
      </c>
      <c r="Y2478" s="74">
        <f>Devis[[#This Row],[Poste 4]]*Devis[[#This Row],[Prix de Revient]]</f>
        <v>0</v>
      </c>
      <c r="Z2478" s="74">
        <f>Devis[[#This Row],[Poste 5]]*Devis[[#This Row],[Prix de Revient]]</f>
        <v>0</v>
      </c>
      <c r="AA2478" s="74">
        <f>Devis[[#This Row],[Prix de Revient]]*Devis[[#This Row],[Poste 6]]</f>
        <v>0</v>
      </c>
      <c r="AB2478" s="74">
        <f>Devis[[#This Row],[Quantité Totale]]*Devis[[#This Row],[Prix de Revient]]</f>
        <v>0</v>
      </c>
    </row>
    <row r="2479" spans="1:28" ht="14.25" outlineLevel="1" x14ac:dyDescent="0.2">
      <c r="A2479" s="75" t="s">
        <v>2374</v>
      </c>
      <c r="B2479" s="76" t="s">
        <v>2405</v>
      </c>
      <c r="C2479" s="75"/>
      <c r="D2479" s="81" t="str">
        <f t="shared" si="42"/>
        <v>Laiton - BronzeCoude ff 90 LAITON</v>
      </c>
      <c r="E2479" s="75" t="s">
        <v>0</v>
      </c>
      <c r="F2479" s="81">
        <v>1</v>
      </c>
      <c r="G2479" s="71" t="s">
        <v>2406</v>
      </c>
      <c r="H2479" s="71"/>
      <c r="I2479" s="71"/>
      <c r="J2479" s="70">
        <f>IFERROR(VLOOKUP(Devis[[#This Row],[Ref Air Flux]],#REF!,3,FALSE),0)</f>
        <v>0</v>
      </c>
      <c r="K2479" s="68"/>
      <c r="L2479" s="68"/>
      <c r="M2479" s="68"/>
      <c r="N2479" s="68"/>
      <c r="O2479" s="68"/>
      <c r="P2479" s="68"/>
      <c r="Q2479" s="68">
        <f>SUM(Devis[[#This Row],[Poste 1]:[Poste 6]])</f>
        <v>0</v>
      </c>
      <c r="R2479" s="71"/>
      <c r="S2479" s="68">
        <f>_xlfn.CEILING.MATH(Devis[[#This Row],[Quantité Totale]],Devis[[#This Row],[Conditionnement]])</f>
        <v>0</v>
      </c>
      <c r="T2479" s="72"/>
      <c r="U2479" s="73"/>
      <c r="V2479" s="74">
        <f>Devis[[#This Row],[Prix de Revient]]*Devis[[#This Row],[Poste 1]]</f>
        <v>0</v>
      </c>
      <c r="W2479" s="74">
        <f>Devis[[#This Row],[Prix de Revient]]*Devis[[#This Row],[Poste 2]]</f>
        <v>0</v>
      </c>
      <c r="X2479" s="74">
        <f>Devis[[#This Row],[Prix de Revient]]*Devis[[#This Row],[Poste 3]]</f>
        <v>0</v>
      </c>
      <c r="Y2479" s="74">
        <f>Devis[[#This Row],[Poste 4]]*Devis[[#This Row],[Prix de Revient]]</f>
        <v>0</v>
      </c>
      <c r="Z2479" s="74">
        <f>Devis[[#This Row],[Poste 5]]*Devis[[#This Row],[Prix de Revient]]</f>
        <v>0</v>
      </c>
      <c r="AA2479" s="74">
        <f>Devis[[#This Row],[Prix de Revient]]*Devis[[#This Row],[Poste 6]]</f>
        <v>0</v>
      </c>
      <c r="AB2479" s="74">
        <f>Devis[[#This Row],[Quantité Totale]]*Devis[[#This Row],[Prix de Revient]]</f>
        <v>0</v>
      </c>
    </row>
    <row r="2480" spans="1:28" ht="14.25" outlineLevel="1" x14ac:dyDescent="0.2">
      <c r="A2480" s="75" t="s">
        <v>2374</v>
      </c>
      <c r="B2480" s="76" t="s">
        <v>2405</v>
      </c>
      <c r="C2480" s="75"/>
      <c r="D2480" s="81" t="str">
        <f t="shared" si="42"/>
        <v>Laiton - BronzeCoude ff 90 LAITON</v>
      </c>
      <c r="E2480" s="75" t="s">
        <v>21</v>
      </c>
      <c r="F2480" s="81">
        <v>2</v>
      </c>
      <c r="G2480" s="71" t="s">
        <v>2407</v>
      </c>
      <c r="H2480" s="71"/>
      <c r="I2480" s="71"/>
      <c r="J2480" s="70">
        <f>IFERROR(VLOOKUP(Devis[[#This Row],[Ref Air Flux]],#REF!,3,FALSE),0)</f>
        <v>0</v>
      </c>
      <c r="K2480" s="68"/>
      <c r="L2480" s="68"/>
      <c r="M2480" s="68"/>
      <c r="N2480" s="68"/>
      <c r="O2480" s="68"/>
      <c r="P2480" s="68"/>
      <c r="Q2480" s="68">
        <f>SUM(Devis[[#This Row],[Poste 1]:[Poste 6]])</f>
        <v>0</v>
      </c>
      <c r="R2480" s="71"/>
      <c r="S2480" s="68">
        <f>_xlfn.CEILING.MATH(Devis[[#This Row],[Quantité Totale]],Devis[[#This Row],[Conditionnement]])</f>
        <v>0</v>
      </c>
      <c r="T2480" s="72"/>
      <c r="U2480" s="73"/>
      <c r="V2480" s="74">
        <f>Devis[[#This Row],[Prix de Revient]]*Devis[[#This Row],[Poste 1]]</f>
        <v>0</v>
      </c>
      <c r="W2480" s="74">
        <f>Devis[[#This Row],[Prix de Revient]]*Devis[[#This Row],[Poste 2]]</f>
        <v>0</v>
      </c>
      <c r="X2480" s="74">
        <f>Devis[[#This Row],[Prix de Revient]]*Devis[[#This Row],[Poste 3]]</f>
        <v>0</v>
      </c>
      <c r="Y2480" s="74">
        <f>Devis[[#This Row],[Poste 4]]*Devis[[#This Row],[Prix de Revient]]</f>
        <v>0</v>
      </c>
      <c r="Z2480" s="74">
        <f>Devis[[#This Row],[Poste 5]]*Devis[[#This Row],[Prix de Revient]]</f>
        <v>0</v>
      </c>
      <c r="AA2480" s="74">
        <f>Devis[[#This Row],[Prix de Revient]]*Devis[[#This Row],[Poste 6]]</f>
        <v>0</v>
      </c>
      <c r="AB2480" s="74">
        <f>Devis[[#This Row],[Quantité Totale]]*Devis[[#This Row],[Prix de Revient]]</f>
        <v>0</v>
      </c>
    </row>
    <row r="2481" spans="1:28" ht="14.25" outlineLevel="1" x14ac:dyDescent="0.2">
      <c r="A2481" s="75" t="s">
        <v>2374</v>
      </c>
      <c r="B2481" s="76" t="s">
        <v>2405</v>
      </c>
      <c r="C2481" s="75"/>
      <c r="D2481" s="81" t="str">
        <f t="shared" si="42"/>
        <v>Laiton - BronzeCoude ff 90 LAITON</v>
      </c>
      <c r="E2481" s="75" t="s">
        <v>20</v>
      </c>
      <c r="F2481" s="81">
        <v>3</v>
      </c>
      <c r="G2481" s="71" t="s">
        <v>2408</v>
      </c>
      <c r="H2481" s="71"/>
      <c r="I2481" s="71"/>
      <c r="J2481" s="70">
        <f>IFERROR(VLOOKUP(Devis[[#This Row],[Ref Air Flux]],#REF!,3,FALSE),0)</f>
        <v>0</v>
      </c>
      <c r="K2481" s="68"/>
      <c r="L2481" s="68"/>
      <c r="M2481" s="68"/>
      <c r="N2481" s="68"/>
      <c r="O2481" s="68"/>
      <c r="P2481" s="68"/>
      <c r="Q2481" s="68">
        <f>SUM(Devis[[#This Row],[Poste 1]:[Poste 6]])</f>
        <v>0</v>
      </c>
      <c r="R2481" s="71"/>
      <c r="S2481" s="68">
        <f>_xlfn.CEILING.MATH(Devis[[#This Row],[Quantité Totale]],Devis[[#This Row],[Conditionnement]])</f>
        <v>0</v>
      </c>
      <c r="T2481" s="72"/>
      <c r="U2481" s="73"/>
      <c r="V2481" s="74">
        <f>Devis[[#This Row],[Prix de Revient]]*Devis[[#This Row],[Poste 1]]</f>
        <v>0</v>
      </c>
      <c r="W2481" s="74">
        <f>Devis[[#This Row],[Prix de Revient]]*Devis[[#This Row],[Poste 2]]</f>
        <v>0</v>
      </c>
      <c r="X2481" s="74">
        <f>Devis[[#This Row],[Prix de Revient]]*Devis[[#This Row],[Poste 3]]</f>
        <v>0</v>
      </c>
      <c r="Y2481" s="74">
        <f>Devis[[#This Row],[Poste 4]]*Devis[[#This Row],[Prix de Revient]]</f>
        <v>0</v>
      </c>
      <c r="Z2481" s="74">
        <f>Devis[[#This Row],[Poste 5]]*Devis[[#This Row],[Prix de Revient]]</f>
        <v>0</v>
      </c>
      <c r="AA2481" s="74">
        <f>Devis[[#This Row],[Prix de Revient]]*Devis[[#This Row],[Poste 6]]</f>
        <v>0</v>
      </c>
      <c r="AB2481" s="74">
        <f>Devis[[#This Row],[Quantité Totale]]*Devis[[#This Row],[Prix de Revient]]</f>
        <v>0</v>
      </c>
    </row>
    <row r="2482" spans="1:28" ht="14.25" outlineLevel="1" x14ac:dyDescent="0.2">
      <c r="A2482" s="75" t="s">
        <v>2374</v>
      </c>
      <c r="B2482" s="76" t="s">
        <v>2405</v>
      </c>
      <c r="C2482" s="75"/>
      <c r="D2482" s="81" t="str">
        <f t="shared" si="42"/>
        <v>Laiton - BronzeCoude ff 90 LAITON</v>
      </c>
      <c r="E2482" s="75" t="s">
        <v>19</v>
      </c>
      <c r="F2482" s="81">
        <v>4</v>
      </c>
      <c r="G2482" s="71" t="s">
        <v>2409</v>
      </c>
      <c r="H2482" s="71"/>
      <c r="I2482" s="71"/>
      <c r="J2482" s="70">
        <f>IFERROR(VLOOKUP(Devis[[#This Row],[Ref Air Flux]],#REF!,3,FALSE),0)</f>
        <v>0</v>
      </c>
      <c r="K2482" s="68"/>
      <c r="L2482" s="68"/>
      <c r="M2482" s="68"/>
      <c r="N2482" s="68"/>
      <c r="O2482" s="68"/>
      <c r="P2482" s="68"/>
      <c r="Q2482" s="68">
        <f>SUM(Devis[[#This Row],[Poste 1]:[Poste 6]])</f>
        <v>0</v>
      </c>
      <c r="R2482" s="71"/>
      <c r="S2482" s="68">
        <f>_xlfn.CEILING.MATH(Devis[[#This Row],[Quantité Totale]],Devis[[#This Row],[Conditionnement]])</f>
        <v>0</v>
      </c>
      <c r="T2482" s="72"/>
      <c r="U2482" s="73"/>
      <c r="V2482" s="74">
        <f>Devis[[#This Row],[Prix de Revient]]*Devis[[#This Row],[Poste 1]]</f>
        <v>0</v>
      </c>
      <c r="W2482" s="74">
        <f>Devis[[#This Row],[Prix de Revient]]*Devis[[#This Row],[Poste 2]]</f>
        <v>0</v>
      </c>
      <c r="X2482" s="74">
        <f>Devis[[#This Row],[Prix de Revient]]*Devis[[#This Row],[Poste 3]]</f>
        <v>0</v>
      </c>
      <c r="Y2482" s="74">
        <f>Devis[[#This Row],[Poste 4]]*Devis[[#This Row],[Prix de Revient]]</f>
        <v>0</v>
      </c>
      <c r="Z2482" s="74">
        <f>Devis[[#This Row],[Poste 5]]*Devis[[#This Row],[Prix de Revient]]</f>
        <v>0</v>
      </c>
      <c r="AA2482" s="74">
        <f>Devis[[#This Row],[Prix de Revient]]*Devis[[#This Row],[Poste 6]]</f>
        <v>0</v>
      </c>
      <c r="AB2482" s="74">
        <f>Devis[[#This Row],[Quantité Totale]]*Devis[[#This Row],[Prix de Revient]]</f>
        <v>0</v>
      </c>
    </row>
    <row r="2483" spans="1:28" ht="14.25" outlineLevel="1" x14ac:dyDescent="0.2">
      <c r="A2483" s="75" t="s">
        <v>2374</v>
      </c>
      <c r="B2483" s="76" t="s">
        <v>2405</v>
      </c>
      <c r="C2483" s="75"/>
      <c r="D2483" s="81" t="str">
        <f t="shared" si="42"/>
        <v>Laiton - BronzeCoude ff 90 LAITON</v>
      </c>
      <c r="E2483" s="105" t="s">
        <v>18</v>
      </c>
      <c r="F2483" s="81">
        <v>5</v>
      </c>
      <c r="G2483" s="71" t="s">
        <v>2410</v>
      </c>
      <c r="H2483" s="71"/>
      <c r="I2483" s="71"/>
      <c r="J2483" s="70">
        <f>IFERROR(VLOOKUP(Devis[[#This Row],[Ref Air Flux]],#REF!,3,FALSE),0)</f>
        <v>0</v>
      </c>
      <c r="K2483" s="68"/>
      <c r="L2483" s="68"/>
      <c r="M2483" s="68"/>
      <c r="N2483" s="68"/>
      <c r="O2483" s="68"/>
      <c r="P2483" s="68"/>
      <c r="Q2483" s="68">
        <f>SUM(Devis[[#This Row],[Poste 1]:[Poste 6]])</f>
        <v>0</v>
      </c>
      <c r="R2483" s="71"/>
      <c r="S2483" s="68">
        <f>_xlfn.CEILING.MATH(Devis[[#This Row],[Quantité Totale]],Devis[[#This Row],[Conditionnement]])</f>
        <v>0</v>
      </c>
      <c r="T2483" s="72"/>
      <c r="U2483" s="73"/>
      <c r="V2483" s="74">
        <f>Devis[[#This Row],[Prix de Revient]]*Devis[[#This Row],[Poste 1]]</f>
        <v>0</v>
      </c>
      <c r="W2483" s="74">
        <f>Devis[[#This Row],[Prix de Revient]]*Devis[[#This Row],[Poste 2]]</f>
        <v>0</v>
      </c>
      <c r="X2483" s="74">
        <f>Devis[[#This Row],[Prix de Revient]]*Devis[[#This Row],[Poste 3]]</f>
        <v>0</v>
      </c>
      <c r="Y2483" s="74">
        <f>Devis[[#This Row],[Poste 4]]*Devis[[#This Row],[Prix de Revient]]</f>
        <v>0</v>
      </c>
      <c r="Z2483" s="74">
        <f>Devis[[#This Row],[Poste 5]]*Devis[[#This Row],[Prix de Revient]]</f>
        <v>0</v>
      </c>
      <c r="AA2483" s="74">
        <f>Devis[[#This Row],[Prix de Revient]]*Devis[[#This Row],[Poste 6]]</f>
        <v>0</v>
      </c>
      <c r="AB2483" s="74">
        <f>Devis[[#This Row],[Quantité Totale]]*Devis[[#This Row],[Prix de Revient]]</f>
        <v>0</v>
      </c>
    </row>
    <row r="2484" spans="1:28" ht="14.25" outlineLevel="1" x14ac:dyDescent="0.2">
      <c r="A2484" s="75" t="s">
        <v>2374</v>
      </c>
      <c r="B2484" s="76" t="s">
        <v>2405</v>
      </c>
      <c r="C2484" s="75"/>
      <c r="D2484" s="81" t="str">
        <f t="shared" si="42"/>
        <v>Laiton - BronzeCoude ff 90 LAITON</v>
      </c>
      <c r="E2484" s="105" t="s">
        <v>17</v>
      </c>
      <c r="F2484" s="81">
        <v>6</v>
      </c>
      <c r="G2484" s="71" t="s">
        <v>2411</v>
      </c>
      <c r="H2484" s="71"/>
      <c r="I2484" s="71"/>
      <c r="J2484" s="70">
        <f>IFERROR(VLOOKUP(Devis[[#This Row],[Ref Air Flux]],#REF!,3,FALSE),0)</f>
        <v>0</v>
      </c>
      <c r="K2484" s="68"/>
      <c r="L2484" s="68"/>
      <c r="M2484" s="68"/>
      <c r="N2484" s="68"/>
      <c r="O2484" s="68"/>
      <c r="P2484" s="68"/>
      <c r="Q2484" s="68">
        <f>SUM(Devis[[#This Row],[Poste 1]:[Poste 6]])</f>
        <v>0</v>
      </c>
      <c r="R2484" s="71"/>
      <c r="S2484" s="68">
        <f>_xlfn.CEILING.MATH(Devis[[#This Row],[Quantité Totale]],Devis[[#This Row],[Conditionnement]])</f>
        <v>0</v>
      </c>
      <c r="T2484" s="72"/>
      <c r="U2484" s="73"/>
      <c r="V2484" s="74">
        <f>Devis[[#This Row],[Prix de Revient]]*Devis[[#This Row],[Poste 1]]</f>
        <v>0</v>
      </c>
      <c r="W2484" s="74">
        <f>Devis[[#This Row],[Prix de Revient]]*Devis[[#This Row],[Poste 2]]</f>
        <v>0</v>
      </c>
      <c r="X2484" s="74">
        <f>Devis[[#This Row],[Prix de Revient]]*Devis[[#This Row],[Poste 3]]</f>
        <v>0</v>
      </c>
      <c r="Y2484" s="74">
        <f>Devis[[#This Row],[Poste 4]]*Devis[[#This Row],[Prix de Revient]]</f>
        <v>0</v>
      </c>
      <c r="Z2484" s="74">
        <f>Devis[[#This Row],[Poste 5]]*Devis[[#This Row],[Prix de Revient]]</f>
        <v>0</v>
      </c>
      <c r="AA2484" s="74">
        <f>Devis[[#This Row],[Prix de Revient]]*Devis[[#This Row],[Poste 6]]</f>
        <v>0</v>
      </c>
      <c r="AB2484" s="74">
        <f>Devis[[#This Row],[Quantité Totale]]*Devis[[#This Row],[Prix de Revient]]</f>
        <v>0</v>
      </c>
    </row>
    <row r="2485" spans="1:28" ht="15" customHeight="1" outlineLevel="1" x14ac:dyDescent="0.2">
      <c r="A2485" s="75" t="s">
        <v>2374</v>
      </c>
      <c r="B2485" s="76" t="s">
        <v>2405</v>
      </c>
      <c r="C2485" s="75"/>
      <c r="D2485" s="81" t="str">
        <f t="shared" si="42"/>
        <v>Laiton - BronzeCoude ff 90 LAITON</v>
      </c>
      <c r="E2485" s="105" t="s">
        <v>16</v>
      </c>
      <c r="F2485" s="81">
        <v>7</v>
      </c>
      <c r="G2485" s="71" t="s">
        <v>2412</v>
      </c>
      <c r="H2485" s="71"/>
      <c r="I2485" s="71"/>
      <c r="J2485" s="70">
        <f>IFERROR(VLOOKUP(Devis[[#This Row],[Ref Air Flux]],#REF!,3,FALSE),0)</f>
        <v>0</v>
      </c>
      <c r="K2485" s="68"/>
      <c r="L2485" s="68"/>
      <c r="M2485" s="68"/>
      <c r="N2485" s="68"/>
      <c r="O2485" s="68"/>
      <c r="P2485" s="68"/>
      <c r="Q2485" s="68">
        <f>SUM(Devis[[#This Row],[Poste 1]:[Poste 6]])</f>
        <v>0</v>
      </c>
      <c r="R2485" s="71"/>
      <c r="S2485" s="68">
        <f>_xlfn.CEILING.MATH(Devis[[#This Row],[Quantité Totale]],Devis[[#This Row],[Conditionnement]])</f>
        <v>0</v>
      </c>
      <c r="T2485" s="72"/>
      <c r="U2485" s="73"/>
      <c r="V2485" s="74">
        <f>Devis[[#This Row],[Prix de Revient]]*Devis[[#This Row],[Poste 1]]</f>
        <v>0</v>
      </c>
      <c r="W2485" s="74">
        <f>Devis[[#This Row],[Prix de Revient]]*Devis[[#This Row],[Poste 2]]</f>
        <v>0</v>
      </c>
      <c r="X2485" s="74">
        <f>Devis[[#This Row],[Prix de Revient]]*Devis[[#This Row],[Poste 3]]</f>
        <v>0</v>
      </c>
      <c r="Y2485" s="74">
        <f>Devis[[#This Row],[Poste 4]]*Devis[[#This Row],[Prix de Revient]]</f>
        <v>0</v>
      </c>
      <c r="Z2485" s="74">
        <f>Devis[[#This Row],[Poste 5]]*Devis[[#This Row],[Prix de Revient]]</f>
        <v>0</v>
      </c>
      <c r="AA2485" s="74">
        <f>Devis[[#This Row],[Prix de Revient]]*Devis[[#This Row],[Poste 6]]</f>
        <v>0</v>
      </c>
      <c r="AB2485" s="74">
        <f>Devis[[#This Row],[Quantité Totale]]*Devis[[#This Row],[Prix de Revient]]</f>
        <v>0</v>
      </c>
    </row>
    <row r="2486" spans="1:28" ht="14.25" customHeight="1" outlineLevel="1" x14ac:dyDescent="0.2">
      <c r="A2486" s="75" t="s">
        <v>2374</v>
      </c>
      <c r="B2486" s="76" t="s">
        <v>2405</v>
      </c>
      <c r="C2486" s="75"/>
      <c r="D2486" s="81" t="str">
        <f t="shared" si="42"/>
        <v>Laiton - BronzeCoude ff 90 LAITON</v>
      </c>
      <c r="E2486" s="105" t="s">
        <v>46</v>
      </c>
      <c r="F2486" s="81">
        <v>8</v>
      </c>
      <c r="G2486" s="71" t="s">
        <v>2413</v>
      </c>
      <c r="H2486" s="71"/>
      <c r="I2486" s="71"/>
      <c r="J2486" s="70">
        <f>IFERROR(VLOOKUP(Devis[[#This Row],[Ref Air Flux]],#REF!,3,FALSE),0)</f>
        <v>0</v>
      </c>
      <c r="K2486" s="68"/>
      <c r="L2486" s="68"/>
      <c r="M2486" s="68"/>
      <c r="N2486" s="68"/>
      <c r="O2486" s="68"/>
      <c r="P2486" s="68"/>
      <c r="Q2486" s="68">
        <f>SUM(Devis[[#This Row],[Poste 1]:[Poste 6]])</f>
        <v>0</v>
      </c>
      <c r="R2486" s="71"/>
      <c r="S2486" s="68">
        <f>_xlfn.CEILING.MATH(Devis[[#This Row],[Quantité Totale]],Devis[[#This Row],[Conditionnement]])</f>
        <v>0</v>
      </c>
      <c r="T2486" s="72"/>
      <c r="U2486" s="73"/>
      <c r="V2486" s="74">
        <f>Devis[[#This Row],[Prix de Revient]]*Devis[[#This Row],[Poste 1]]</f>
        <v>0</v>
      </c>
      <c r="W2486" s="74">
        <f>Devis[[#This Row],[Prix de Revient]]*Devis[[#This Row],[Poste 2]]</f>
        <v>0</v>
      </c>
      <c r="X2486" s="74">
        <f>Devis[[#This Row],[Prix de Revient]]*Devis[[#This Row],[Poste 3]]</f>
        <v>0</v>
      </c>
      <c r="Y2486" s="74">
        <f>Devis[[#This Row],[Poste 4]]*Devis[[#This Row],[Prix de Revient]]</f>
        <v>0</v>
      </c>
      <c r="Z2486" s="74">
        <f>Devis[[#This Row],[Poste 5]]*Devis[[#This Row],[Prix de Revient]]</f>
        <v>0</v>
      </c>
      <c r="AA2486" s="74">
        <f>Devis[[#This Row],[Prix de Revient]]*Devis[[#This Row],[Poste 6]]</f>
        <v>0</v>
      </c>
      <c r="AB2486" s="74">
        <f>Devis[[#This Row],[Quantité Totale]]*Devis[[#This Row],[Prix de Revient]]</f>
        <v>0</v>
      </c>
    </row>
    <row r="2487" spans="1:28" ht="15" customHeight="1" outlineLevel="1" x14ac:dyDescent="0.2">
      <c r="A2487" s="75" t="s">
        <v>2374</v>
      </c>
      <c r="B2487" s="76" t="s">
        <v>2405</v>
      </c>
      <c r="C2487" s="75"/>
      <c r="D2487" s="81" t="str">
        <f t="shared" si="42"/>
        <v>Laiton - BronzeCoude ff 90 LAITON</v>
      </c>
      <c r="E2487" s="105" t="s">
        <v>928</v>
      </c>
      <c r="F2487" s="81">
        <v>9</v>
      </c>
      <c r="G2487" s="71" t="s">
        <v>2414</v>
      </c>
      <c r="H2487" s="71"/>
      <c r="I2487" s="71"/>
      <c r="J2487" s="70">
        <f>IFERROR(VLOOKUP(Devis[[#This Row],[Ref Air Flux]],#REF!,3,FALSE),0)</f>
        <v>0</v>
      </c>
      <c r="K2487" s="68"/>
      <c r="L2487" s="68"/>
      <c r="M2487" s="68"/>
      <c r="N2487" s="68"/>
      <c r="O2487" s="68"/>
      <c r="P2487" s="68"/>
      <c r="Q2487" s="68">
        <f>SUM(Devis[[#This Row],[Poste 1]:[Poste 6]])</f>
        <v>0</v>
      </c>
      <c r="R2487" s="71"/>
      <c r="S2487" s="68">
        <f>_xlfn.CEILING.MATH(Devis[[#This Row],[Quantité Totale]],Devis[[#This Row],[Conditionnement]])</f>
        <v>0</v>
      </c>
      <c r="T2487" s="72"/>
      <c r="U2487" s="73"/>
      <c r="V2487" s="74">
        <f>Devis[[#This Row],[Prix de Revient]]*Devis[[#This Row],[Poste 1]]</f>
        <v>0</v>
      </c>
      <c r="W2487" s="74">
        <f>Devis[[#This Row],[Prix de Revient]]*Devis[[#This Row],[Poste 2]]</f>
        <v>0</v>
      </c>
      <c r="X2487" s="74">
        <f>Devis[[#This Row],[Prix de Revient]]*Devis[[#This Row],[Poste 3]]</f>
        <v>0</v>
      </c>
      <c r="Y2487" s="74">
        <f>Devis[[#This Row],[Poste 4]]*Devis[[#This Row],[Prix de Revient]]</f>
        <v>0</v>
      </c>
      <c r="Z2487" s="74">
        <f>Devis[[#This Row],[Poste 5]]*Devis[[#This Row],[Prix de Revient]]</f>
        <v>0</v>
      </c>
      <c r="AA2487" s="74">
        <f>Devis[[#This Row],[Prix de Revient]]*Devis[[#This Row],[Poste 6]]</f>
        <v>0</v>
      </c>
      <c r="AB2487" s="74">
        <f>Devis[[#This Row],[Quantité Totale]]*Devis[[#This Row],[Prix de Revient]]</f>
        <v>0</v>
      </c>
    </row>
    <row r="2488" spans="1:28" ht="14.25" customHeight="1" x14ac:dyDescent="0.25">
      <c r="A2488" s="65" t="s">
        <v>2374</v>
      </c>
      <c r="B2488" s="65" t="s">
        <v>2415</v>
      </c>
      <c r="C2488" s="76"/>
      <c r="D2488" s="81" t="str">
        <f t="shared" si="42"/>
        <v>Laiton - BronzeCoudes mf 92 LAITON</v>
      </c>
      <c r="E2488" s="76"/>
      <c r="F2488" s="81">
        <v>0</v>
      </c>
      <c r="G2488" s="71"/>
      <c r="H2488" s="71"/>
      <c r="I2488" s="71"/>
      <c r="J2488" s="70">
        <f>IFERROR(VLOOKUP(Devis[[#This Row],[Ref Air Flux]],#REF!,3,FALSE),0)</f>
        <v>0</v>
      </c>
      <c r="K2488" s="68"/>
      <c r="L2488" s="68"/>
      <c r="M2488" s="68"/>
      <c r="N2488" s="68"/>
      <c r="O2488" s="68"/>
      <c r="P2488" s="68"/>
      <c r="Q2488" s="68">
        <f>SUM(Devis[[#This Row],[Poste 1]:[Poste 6]])</f>
        <v>0</v>
      </c>
      <c r="R2488" s="71"/>
      <c r="S2488" s="68">
        <f>_xlfn.CEILING.MATH(Devis[[#This Row],[Quantité Totale]],Devis[[#This Row],[Conditionnement]])</f>
        <v>0</v>
      </c>
      <c r="T2488" s="72"/>
      <c r="U2488" s="73"/>
      <c r="V2488" s="74">
        <f>Devis[[#This Row],[Prix de Revient]]*Devis[[#This Row],[Poste 1]]</f>
        <v>0</v>
      </c>
      <c r="W2488" s="74">
        <f>Devis[[#This Row],[Prix de Revient]]*Devis[[#This Row],[Poste 2]]</f>
        <v>0</v>
      </c>
      <c r="X2488" s="74">
        <f>Devis[[#This Row],[Prix de Revient]]*Devis[[#This Row],[Poste 3]]</f>
        <v>0</v>
      </c>
      <c r="Y2488" s="74">
        <f>Devis[[#This Row],[Poste 4]]*Devis[[#This Row],[Prix de Revient]]</f>
        <v>0</v>
      </c>
      <c r="Z2488" s="74">
        <f>Devis[[#This Row],[Poste 5]]*Devis[[#This Row],[Prix de Revient]]</f>
        <v>0</v>
      </c>
      <c r="AA2488" s="74">
        <f>Devis[[#This Row],[Prix de Revient]]*Devis[[#This Row],[Poste 6]]</f>
        <v>0</v>
      </c>
      <c r="AB2488" s="74">
        <f>Devis[[#This Row],[Quantité Totale]]*Devis[[#This Row],[Prix de Revient]]</f>
        <v>0</v>
      </c>
    </row>
    <row r="2489" spans="1:28" ht="14.25" outlineLevel="1" x14ac:dyDescent="0.2">
      <c r="A2489" s="75" t="s">
        <v>2374</v>
      </c>
      <c r="B2489" s="76" t="s">
        <v>2415</v>
      </c>
      <c r="C2489" s="75"/>
      <c r="D2489" s="81" t="str">
        <f t="shared" si="42"/>
        <v>Laiton - BronzeCoudes mf 92 LAITON</v>
      </c>
      <c r="E2489" s="75" t="s">
        <v>0</v>
      </c>
      <c r="F2489" s="81">
        <v>1</v>
      </c>
      <c r="G2489" s="71" t="s">
        <v>2416</v>
      </c>
      <c r="H2489" s="71"/>
      <c r="I2489" s="71"/>
      <c r="J2489" s="70">
        <f>IFERROR(VLOOKUP(Devis[[#This Row],[Ref Air Flux]],#REF!,3,FALSE),0)</f>
        <v>0</v>
      </c>
      <c r="K2489" s="68"/>
      <c r="L2489" s="68"/>
      <c r="M2489" s="68"/>
      <c r="N2489" s="68"/>
      <c r="O2489" s="68"/>
      <c r="P2489" s="68"/>
      <c r="Q2489" s="68">
        <f>SUM(Devis[[#This Row],[Poste 1]:[Poste 6]])</f>
        <v>0</v>
      </c>
      <c r="R2489" s="71"/>
      <c r="S2489" s="68">
        <f>_xlfn.CEILING.MATH(Devis[[#This Row],[Quantité Totale]],Devis[[#This Row],[Conditionnement]])</f>
        <v>0</v>
      </c>
      <c r="T2489" s="72"/>
      <c r="U2489" s="73"/>
      <c r="V2489" s="74">
        <f>Devis[[#This Row],[Prix de Revient]]*Devis[[#This Row],[Poste 1]]</f>
        <v>0</v>
      </c>
      <c r="W2489" s="74">
        <f>Devis[[#This Row],[Prix de Revient]]*Devis[[#This Row],[Poste 2]]</f>
        <v>0</v>
      </c>
      <c r="X2489" s="74">
        <f>Devis[[#This Row],[Prix de Revient]]*Devis[[#This Row],[Poste 3]]</f>
        <v>0</v>
      </c>
      <c r="Y2489" s="74">
        <f>Devis[[#This Row],[Poste 4]]*Devis[[#This Row],[Prix de Revient]]</f>
        <v>0</v>
      </c>
      <c r="Z2489" s="74">
        <f>Devis[[#This Row],[Poste 5]]*Devis[[#This Row],[Prix de Revient]]</f>
        <v>0</v>
      </c>
      <c r="AA2489" s="74">
        <f>Devis[[#This Row],[Prix de Revient]]*Devis[[#This Row],[Poste 6]]</f>
        <v>0</v>
      </c>
      <c r="AB2489" s="74">
        <f>Devis[[#This Row],[Quantité Totale]]*Devis[[#This Row],[Prix de Revient]]</f>
        <v>0</v>
      </c>
    </row>
    <row r="2490" spans="1:28" ht="14.25" outlineLevel="1" x14ac:dyDescent="0.2">
      <c r="A2490" s="75" t="s">
        <v>2374</v>
      </c>
      <c r="B2490" s="76" t="s">
        <v>2415</v>
      </c>
      <c r="C2490" s="75"/>
      <c r="D2490" s="81" t="str">
        <f t="shared" si="42"/>
        <v>Laiton - BronzeCoudes mf 92 LAITON</v>
      </c>
      <c r="E2490" s="75" t="s">
        <v>21</v>
      </c>
      <c r="F2490" s="81">
        <v>2</v>
      </c>
      <c r="G2490" s="71" t="s">
        <v>2417</v>
      </c>
      <c r="H2490" s="71"/>
      <c r="I2490" s="71"/>
      <c r="J2490" s="70">
        <f>IFERROR(VLOOKUP(Devis[[#This Row],[Ref Air Flux]],#REF!,3,FALSE),0)</f>
        <v>0</v>
      </c>
      <c r="K2490" s="68"/>
      <c r="L2490" s="68"/>
      <c r="M2490" s="68"/>
      <c r="N2490" s="68"/>
      <c r="O2490" s="68"/>
      <c r="P2490" s="68"/>
      <c r="Q2490" s="68">
        <f>SUM(Devis[[#This Row],[Poste 1]:[Poste 6]])</f>
        <v>0</v>
      </c>
      <c r="R2490" s="71"/>
      <c r="S2490" s="68">
        <f>_xlfn.CEILING.MATH(Devis[[#This Row],[Quantité Totale]],Devis[[#This Row],[Conditionnement]])</f>
        <v>0</v>
      </c>
      <c r="T2490" s="72"/>
      <c r="U2490" s="73"/>
      <c r="V2490" s="74">
        <f>Devis[[#This Row],[Prix de Revient]]*Devis[[#This Row],[Poste 1]]</f>
        <v>0</v>
      </c>
      <c r="W2490" s="74">
        <f>Devis[[#This Row],[Prix de Revient]]*Devis[[#This Row],[Poste 2]]</f>
        <v>0</v>
      </c>
      <c r="X2490" s="74">
        <f>Devis[[#This Row],[Prix de Revient]]*Devis[[#This Row],[Poste 3]]</f>
        <v>0</v>
      </c>
      <c r="Y2490" s="74">
        <f>Devis[[#This Row],[Poste 4]]*Devis[[#This Row],[Prix de Revient]]</f>
        <v>0</v>
      </c>
      <c r="Z2490" s="74">
        <f>Devis[[#This Row],[Poste 5]]*Devis[[#This Row],[Prix de Revient]]</f>
        <v>0</v>
      </c>
      <c r="AA2490" s="74">
        <f>Devis[[#This Row],[Prix de Revient]]*Devis[[#This Row],[Poste 6]]</f>
        <v>0</v>
      </c>
      <c r="AB2490" s="74">
        <f>Devis[[#This Row],[Quantité Totale]]*Devis[[#This Row],[Prix de Revient]]</f>
        <v>0</v>
      </c>
    </row>
    <row r="2491" spans="1:28" ht="14.25" customHeight="1" outlineLevel="1" x14ac:dyDescent="0.2">
      <c r="A2491" s="75" t="s">
        <v>2374</v>
      </c>
      <c r="B2491" s="76" t="s">
        <v>2415</v>
      </c>
      <c r="C2491" s="75"/>
      <c r="D2491" s="81" t="str">
        <f t="shared" si="42"/>
        <v>Laiton - BronzeCoudes mf 92 LAITON</v>
      </c>
      <c r="E2491" s="75" t="s">
        <v>20</v>
      </c>
      <c r="F2491" s="81">
        <v>3</v>
      </c>
      <c r="G2491" s="71" t="s">
        <v>2418</v>
      </c>
      <c r="H2491" s="71"/>
      <c r="I2491" s="71"/>
      <c r="J2491" s="70">
        <f>IFERROR(VLOOKUP(Devis[[#This Row],[Ref Air Flux]],#REF!,3,FALSE),0)</f>
        <v>0</v>
      </c>
      <c r="K2491" s="68"/>
      <c r="L2491" s="68"/>
      <c r="M2491" s="68"/>
      <c r="N2491" s="68"/>
      <c r="O2491" s="68"/>
      <c r="P2491" s="68"/>
      <c r="Q2491" s="68">
        <f>SUM(Devis[[#This Row],[Poste 1]:[Poste 6]])</f>
        <v>0</v>
      </c>
      <c r="R2491" s="71"/>
      <c r="S2491" s="68">
        <f>_xlfn.CEILING.MATH(Devis[[#This Row],[Quantité Totale]],Devis[[#This Row],[Conditionnement]])</f>
        <v>0</v>
      </c>
      <c r="T2491" s="72"/>
      <c r="U2491" s="73"/>
      <c r="V2491" s="74">
        <f>Devis[[#This Row],[Prix de Revient]]*Devis[[#This Row],[Poste 1]]</f>
        <v>0</v>
      </c>
      <c r="W2491" s="74">
        <f>Devis[[#This Row],[Prix de Revient]]*Devis[[#This Row],[Poste 2]]</f>
        <v>0</v>
      </c>
      <c r="X2491" s="74">
        <f>Devis[[#This Row],[Prix de Revient]]*Devis[[#This Row],[Poste 3]]</f>
        <v>0</v>
      </c>
      <c r="Y2491" s="74">
        <f>Devis[[#This Row],[Poste 4]]*Devis[[#This Row],[Prix de Revient]]</f>
        <v>0</v>
      </c>
      <c r="Z2491" s="74">
        <f>Devis[[#This Row],[Poste 5]]*Devis[[#This Row],[Prix de Revient]]</f>
        <v>0</v>
      </c>
      <c r="AA2491" s="74">
        <f>Devis[[#This Row],[Prix de Revient]]*Devis[[#This Row],[Poste 6]]</f>
        <v>0</v>
      </c>
      <c r="AB2491" s="74">
        <f>Devis[[#This Row],[Quantité Totale]]*Devis[[#This Row],[Prix de Revient]]</f>
        <v>0</v>
      </c>
    </row>
    <row r="2492" spans="1:28" ht="14.25" outlineLevel="1" x14ac:dyDescent="0.2">
      <c r="A2492" s="75" t="s">
        <v>2374</v>
      </c>
      <c r="B2492" s="76" t="s">
        <v>2415</v>
      </c>
      <c r="C2492" s="75"/>
      <c r="D2492" s="81" t="str">
        <f t="shared" si="42"/>
        <v>Laiton - BronzeCoudes mf 92 LAITON</v>
      </c>
      <c r="E2492" s="75" t="s">
        <v>19</v>
      </c>
      <c r="F2492" s="81">
        <v>4</v>
      </c>
      <c r="G2492" s="71" t="s">
        <v>2419</v>
      </c>
      <c r="H2492" s="71"/>
      <c r="I2492" s="71"/>
      <c r="J2492" s="70">
        <f>IFERROR(VLOOKUP(Devis[[#This Row],[Ref Air Flux]],#REF!,3,FALSE),0)</f>
        <v>0</v>
      </c>
      <c r="K2492" s="68"/>
      <c r="L2492" s="68"/>
      <c r="M2492" s="68"/>
      <c r="N2492" s="68"/>
      <c r="O2492" s="68"/>
      <c r="P2492" s="68"/>
      <c r="Q2492" s="68">
        <f>SUM(Devis[[#This Row],[Poste 1]:[Poste 6]])</f>
        <v>0</v>
      </c>
      <c r="R2492" s="71"/>
      <c r="S2492" s="68">
        <f>_xlfn.CEILING.MATH(Devis[[#This Row],[Quantité Totale]],Devis[[#This Row],[Conditionnement]])</f>
        <v>0</v>
      </c>
      <c r="T2492" s="72"/>
      <c r="U2492" s="73"/>
      <c r="V2492" s="74">
        <f>Devis[[#This Row],[Prix de Revient]]*Devis[[#This Row],[Poste 1]]</f>
        <v>0</v>
      </c>
      <c r="W2492" s="74">
        <f>Devis[[#This Row],[Prix de Revient]]*Devis[[#This Row],[Poste 2]]</f>
        <v>0</v>
      </c>
      <c r="X2492" s="74">
        <f>Devis[[#This Row],[Prix de Revient]]*Devis[[#This Row],[Poste 3]]</f>
        <v>0</v>
      </c>
      <c r="Y2492" s="74">
        <f>Devis[[#This Row],[Poste 4]]*Devis[[#This Row],[Prix de Revient]]</f>
        <v>0</v>
      </c>
      <c r="Z2492" s="74">
        <f>Devis[[#This Row],[Poste 5]]*Devis[[#This Row],[Prix de Revient]]</f>
        <v>0</v>
      </c>
      <c r="AA2492" s="74">
        <f>Devis[[#This Row],[Prix de Revient]]*Devis[[#This Row],[Poste 6]]</f>
        <v>0</v>
      </c>
      <c r="AB2492" s="74">
        <f>Devis[[#This Row],[Quantité Totale]]*Devis[[#This Row],[Prix de Revient]]</f>
        <v>0</v>
      </c>
    </row>
    <row r="2493" spans="1:28" ht="14.25" outlineLevel="1" x14ac:dyDescent="0.2">
      <c r="A2493" s="75" t="s">
        <v>2374</v>
      </c>
      <c r="B2493" s="76" t="s">
        <v>2415</v>
      </c>
      <c r="C2493" s="75"/>
      <c r="D2493" s="81" t="str">
        <f t="shared" si="42"/>
        <v>Laiton - BronzeCoudes mf 92 LAITON</v>
      </c>
      <c r="E2493" s="105" t="s">
        <v>18</v>
      </c>
      <c r="F2493" s="81">
        <v>5</v>
      </c>
      <c r="G2493" s="71" t="s">
        <v>2420</v>
      </c>
      <c r="H2493" s="71"/>
      <c r="I2493" s="112"/>
      <c r="J2493" s="70">
        <f>IFERROR(VLOOKUP(Devis[[#This Row],[Ref Air Flux]],#REF!,3,FALSE),0)</f>
        <v>0</v>
      </c>
      <c r="K2493" s="68"/>
      <c r="L2493" s="68"/>
      <c r="M2493" s="68"/>
      <c r="N2493" s="68"/>
      <c r="O2493" s="68"/>
      <c r="P2493" s="68"/>
      <c r="Q2493" s="68">
        <f>SUM(Devis[[#This Row],[Poste 1]:[Poste 6]])</f>
        <v>0</v>
      </c>
      <c r="R2493" s="71"/>
      <c r="S2493" s="68">
        <f>_xlfn.CEILING.MATH(Devis[[#This Row],[Quantité Totale]],Devis[[#This Row],[Conditionnement]])</f>
        <v>0</v>
      </c>
      <c r="T2493" s="72"/>
      <c r="U2493" s="73"/>
      <c r="V2493" s="74">
        <f>Devis[[#This Row],[Prix de Revient]]*Devis[[#This Row],[Poste 1]]</f>
        <v>0</v>
      </c>
      <c r="W2493" s="74">
        <f>Devis[[#This Row],[Prix de Revient]]*Devis[[#This Row],[Poste 2]]</f>
        <v>0</v>
      </c>
      <c r="X2493" s="74">
        <f>Devis[[#This Row],[Prix de Revient]]*Devis[[#This Row],[Poste 3]]</f>
        <v>0</v>
      </c>
      <c r="Y2493" s="74">
        <f>Devis[[#This Row],[Poste 4]]*Devis[[#This Row],[Prix de Revient]]</f>
        <v>0</v>
      </c>
      <c r="Z2493" s="74">
        <f>Devis[[#This Row],[Poste 5]]*Devis[[#This Row],[Prix de Revient]]</f>
        <v>0</v>
      </c>
      <c r="AA2493" s="74">
        <f>Devis[[#This Row],[Prix de Revient]]*Devis[[#This Row],[Poste 6]]</f>
        <v>0</v>
      </c>
      <c r="AB2493" s="74">
        <f>Devis[[#This Row],[Quantité Totale]]*Devis[[#This Row],[Prix de Revient]]</f>
        <v>0</v>
      </c>
    </row>
    <row r="2494" spans="1:28" ht="14.25" outlineLevel="1" x14ac:dyDescent="0.2">
      <c r="A2494" s="75" t="s">
        <v>2374</v>
      </c>
      <c r="B2494" s="76" t="s">
        <v>2415</v>
      </c>
      <c r="C2494" s="75"/>
      <c r="D2494" s="81" t="str">
        <f t="shared" si="42"/>
        <v>Laiton - BronzeCoudes mf 92 LAITON</v>
      </c>
      <c r="E2494" s="105" t="s">
        <v>17</v>
      </c>
      <c r="F2494" s="81">
        <v>6</v>
      </c>
      <c r="G2494" s="71" t="s">
        <v>2421</v>
      </c>
      <c r="H2494" s="71"/>
      <c r="I2494" s="112"/>
      <c r="J2494" s="70">
        <f>IFERROR(VLOOKUP(Devis[[#This Row],[Ref Air Flux]],#REF!,3,FALSE),0)</f>
        <v>0</v>
      </c>
      <c r="K2494" s="68"/>
      <c r="L2494" s="68"/>
      <c r="M2494" s="68"/>
      <c r="N2494" s="68"/>
      <c r="O2494" s="68"/>
      <c r="P2494" s="68"/>
      <c r="Q2494" s="68">
        <f>SUM(Devis[[#This Row],[Poste 1]:[Poste 6]])</f>
        <v>0</v>
      </c>
      <c r="R2494" s="71"/>
      <c r="S2494" s="68">
        <f>_xlfn.CEILING.MATH(Devis[[#This Row],[Quantité Totale]],Devis[[#This Row],[Conditionnement]])</f>
        <v>0</v>
      </c>
      <c r="T2494" s="72"/>
      <c r="U2494" s="73"/>
      <c r="V2494" s="74">
        <f>Devis[[#This Row],[Prix de Revient]]*Devis[[#This Row],[Poste 1]]</f>
        <v>0</v>
      </c>
      <c r="W2494" s="74">
        <f>Devis[[#This Row],[Prix de Revient]]*Devis[[#This Row],[Poste 2]]</f>
        <v>0</v>
      </c>
      <c r="X2494" s="74">
        <f>Devis[[#This Row],[Prix de Revient]]*Devis[[#This Row],[Poste 3]]</f>
        <v>0</v>
      </c>
      <c r="Y2494" s="74">
        <f>Devis[[#This Row],[Poste 4]]*Devis[[#This Row],[Prix de Revient]]</f>
        <v>0</v>
      </c>
      <c r="Z2494" s="74">
        <f>Devis[[#This Row],[Poste 5]]*Devis[[#This Row],[Prix de Revient]]</f>
        <v>0</v>
      </c>
      <c r="AA2494" s="74">
        <f>Devis[[#This Row],[Prix de Revient]]*Devis[[#This Row],[Poste 6]]</f>
        <v>0</v>
      </c>
      <c r="AB2494" s="74">
        <f>Devis[[#This Row],[Quantité Totale]]*Devis[[#This Row],[Prix de Revient]]</f>
        <v>0</v>
      </c>
    </row>
    <row r="2495" spans="1:28" ht="14.25" outlineLevel="1" x14ac:dyDescent="0.2">
      <c r="A2495" s="75" t="s">
        <v>2374</v>
      </c>
      <c r="B2495" s="76" t="s">
        <v>2415</v>
      </c>
      <c r="C2495" s="75"/>
      <c r="D2495" s="81" t="str">
        <f t="shared" si="42"/>
        <v>Laiton - BronzeCoudes mf 92 LAITON</v>
      </c>
      <c r="E2495" s="105" t="s">
        <v>16</v>
      </c>
      <c r="F2495" s="81">
        <v>7</v>
      </c>
      <c r="G2495" s="71" t="s">
        <v>2422</v>
      </c>
      <c r="H2495" s="71"/>
      <c r="I2495" s="112"/>
      <c r="J2495" s="70">
        <f>IFERROR(VLOOKUP(Devis[[#This Row],[Ref Air Flux]],#REF!,3,FALSE),0)</f>
        <v>0</v>
      </c>
      <c r="K2495" s="68"/>
      <c r="L2495" s="68"/>
      <c r="M2495" s="68"/>
      <c r="N2495" s="68"/>
      <c r="O2495" s="68"/>
      <c r="P2495" s="68"/>
      <c r="Q2495" s="68">
        <f>SUM(Devis[[#This Row],[Poste 1]:[Poste 6]])</f>
        <v>0</v>
      </c>
      <c r="R2495" s="71"/>
      <c r="S2495" s="68">
        <f>_xlfn.CEILING.MATH(Devis[[#This Row],[Quantité Totale]],Devis[[#This Row],[Conditionnement]])</f>
        <v>0</v>
      </c>
      <c r="T2495" s="72"/>
      <c r="U2495" s="73"/>
      <c r="V2495" s="74">
        <f>Devis[[#This Row],[Prix de Revient]]*Devis[[#This Row],[Poste 1]]</f>
        <v>0</v>
      </c>
      <c r="W2495" s="74">
        <f>Devis[[#This Row],[Prix de Revient]]*Devis[[#This Row],[Poste 2]]</f>
        <v>0</v>
      </c>
      <c r="X2495" s="74">
        <f>Devis[[#This Row],[Prix de Revient]]*Devis[[#This Row],[Poste 3]]</f>
        <v>0</v>
      </c>
      <c r="Y2495" s="74">
        <f>Devis[[#This Row],[Poste 4]]*Devis[[#This Row],[Prix de Revient]]</f>
        <v>0</v>
      </c>
      <c r="Z2495" s="74">
        <f>Devis[[#This Row],[Poste 5]]*Devis[[#This Row],[Prix de Revient]]</f>
        <v>0</v>
      </c>
      <c r="AA2495" s="74">
        <f>Devis[[#This Row],[Prix de Revient]]*Devis[[#This Row],[Poste 6]]</f>
        <v>0</v>
      </c>
      <c r="AB2495" s="74">
        <f>Devis[[#This Row],[Quantité Totale]]*Devis[[#This Row],[Prix de Revient]]</f>
        <v>0</v>
      </c>
    </row>
    <row r="2496" spans="1:28" ht="14.25" outlineLevel="1" x14ac:dyDescent="0.2">
      <c r="A2496" s="75" t="s">
        <v>2374</v>
      </c>
      <c r="B2496" s="76" t="s">
        <v>2415</v>
      </c>
      <c r="C2496" s="75"/>
      <c r="D2496" s="81" t="str">
        <f t="shared" si="42"/>
        <v>Laiton - BronzeCoudes mf 92 LAITON</v>
      </c>
      <c r="E2496" s="105" t="s">
        <v>46</v>
      </c>
      <c r="F2496" s="81">
        <v>8</v>
      </c>
      <c r="G2496" s="71" t="s">
        <v>2423</v>
      </c>
      <c r="H2496" s="71"/>
      <c r="I2496" s="112"/>
      <c r="J2496" s="70">
        <f>IFERROR(VLOOKUP(Devis[[#This Row],[Ref Air Flux]],#REF!,3,FALSE),0)</f>
        <v>0</v>
      </c>
      <c r="K2496" s="68"/>
      <c r="L2496" s="68"/>
      <c r="M2496" s="68"/>
      <c r="N2496" s="68"/>
      <c r="O2496" s="68"/>
      <c r="P2496" s="68"/>
      <c r="Q2496" s="68">
        <f>SUM(Devis[[#This Row],[Poste 1]:[Poste 6]])</f>
        <v>0</v>
      </c>
      <c r="R2496" s="71"/>
      <c r="S2496" s="68">
        <f>_xlfn.CEILING.MATH(Devis[[#This Row],[Quantité Totale]],Devis[[#This Row],[Conditionnement]])</f>
        <v>0</v>
      </c>
      <c r="T2496" s="72"/>
      <c r="U2496" s="73"/>
      <c r="V2496" s="74">
        <f>Devis[[#This Row],[Prix de Revient]]*Devis[[#This Row],[Poste 1]]</f>
        <v>0</v>
      </c>
      <c r="W2496" s="74">
        <f>Devis[[#This Row],[Prix de Revient]]*Devis[[#This Row],[Poste 2]]</f>
        <v>0</v>
      </c>
      <c r="X2496" s="74">
        <f>Devis[[#This Row],[Prix de Revient]]*Devis[[#This Row],[Poste 3]]</f>
        <v>0</v>
      </c>
      <c r="Y2496" s="74">
        <f>Devis[[#This Row],[Poste 4]]*Devis[[#This Row],[Prix de Revient]]</f>
        <v>0</v>
      </c>
      <c r="Z2496" s="74">
        <f>Devis[[#This Row],[Poste 5]]*Devis[[#This Row],[Prix de Revient]]</f>
        <v>0</v>
      </c>
      <c r="AA2496" s="74">
        <f>Devis[[#This Row],[Prix de Revient]]*Devis[[#This Row],[Poste 6]]</f>
        <v>0</v>
      </c>
      <c r="AB2496" s="74">
        <f>Devis[[#This Row],[Quantité Totale]]*Devis[[#This Row],[Prix de Revient]]</f>
        <v>0</v>
      </c>
    </row>
    <row r="2497" spans="1:28" ht="14.25" outlineLevel="1" x14ac:dyDescent="0.2">
      <c r="A2497" s="75" t="s">
        <v>2374</v>
      </c>
      <c r="B2497" s="76" t="s">
        <v>2415</v>
      </c>
      <c r="C2497" s="75"/>
      <c r="D2497" s="81" t="str">
        <f t="shared" si="42"/>
        <v>Laiton - BronzeCoudes mf 92 LAITON</v>
      </c>
      <c r="E2497" s="105" t="s">
        <v>928</v>
      </c>
      <c r="F2497" s="81">
        <v>9</v>
      </c>
      <c r="G2497" s="71" t="s">
        <v>2424</v>
      </c>
      <c r="H2497" s="71"/>
      <c r="I2497" s="71"/>
      <c r="J2497" s="70">
        <f>IFERROR(VLOOKUP(Devis[[#This Row],[Ref Air Flux]],#REF!,3,FALSE),0)</f>
        <v>0</v>
      </c>
      <c r="K2497" s="68"/>
      <c r="L2497" s="68"/>
      <c r="M2497" s="68"/>
      <c r="N2497" s="68"/>
      <c r="O2497" s="68"/>
      <c r="P2497" s="68"/>
      <c r="Q2497" s="68">
        <f>SUM(Devis[[#This Row],[Poste 1]:[Poste 6]])</f>
        <v>0</v>
      </c>
      <c r="R2497" s="71"/>
      <c r="S2497" s="68">
        <f>_xlfn.CEILING.MATH(Devis[[#This Row],[Quantité Totale]],Devis[[#This Row],[Conditionnement]])</f>
        <v>0</v>
      </c>
      <c r="T2497" s="72"/>
      <c r="U2497" s="73"/>
      <c r="V2497" s="74">
        <f>Devis[[#This Row],[Prix de Revient]]*Devis[[#This Row],[Poste 1]]</f>
        <v>0</v>
      </c>
      <c r="W2497" s="74">
        <f>Devis[[#This Row],[Prix de Revient]]*Devis[[#This Row],[Poste 2]]</f>
        <v>0</v>
      </c>
      <c r="X2497" s="74">
        <f>Devis[[#This Row],[Prix de Revient]]*Devis[[#This Row],[Poste 3]]</f>
        <v>0</v>
      </c>
      <c r="Y2497" s="74">
        <f>Devis[[#This Row],[Poste 4]]*Devis[[#This Row],[Prix de Revient]]</f>
        <v>0</v>
      </c>
      <c r="Z2497" s="74">
        <f>Devis[[#This Row],[Poste 5]]*Devis[[#This Row],[Prix de Revient]]</f>
        <v>0</v>
      </c>
      <c r="AA2497" s="74">
        <f>Devis[[#This Row],[Prix de Revient]]*Devis[[#This Row],[Poste 6]]</f>
        <v>0</v>
      </c>
      <c r="AB2497" s="74">
        <f>Devis[[#This Row],[Quantité Totale]]*Devis[[#This Row],[Prix de Revient]]</f>
        <v>0</v>
      </c>
    </row>
    <row r="2498" spans="1:28" ht="14.25" customHeight="1" x14ac:dyDescent="0.25">
      <c r="A2498" s="65" t="s">
        <v>2374</v>
      </c>
      <c r="B2498" s="109" t="s">
        <v>2425</v>
      </c>
      <c r="C2498" s="76"/>
      <c r="D2498" s="81" t="str">
        <f t="shared" ref="D2498:D2561" si="43">A2498&amp;B2498&amp;C2498</f>
        <v>Laiton - BronzeMamelons  280 LAITON</v>
      </c>
      <c r="E2498" s="76"/>
      <c r="F2498" s="81">
        <v>0</v>
      </c>
      <c r="G2498" s="71"/>
      <c r="H2498" s="71"/>
      <c r="I2498" s="71"/>
      <c r="J2498" s="70">
        <f>IFERROR(VLOOKUP(Devis[[#This Row],[Ref Air Flux]],#REF!,3,FALSE),0)</f>
        <v>0</v>
      </c>
      <c r="K2498" s="68"/>
      <c r="L2498" s="68"/>
      <c r="M2498" s="68"/>
      <c r="N2498" s="68"/>
      <c r="O2498" s="68"/>
      <c r="P2498" s="68"/>
      <c r="Q2498" s="68">
        <f>SUM(Devis[[#This Row],[Poste 1]:[Poste 6]])</f>
        <v>0</v>
      </c>
      <c r="R2498" s="71"/>
      <c r="S2498" s="68">
        <f>_xlfn.CEILING.MATH(Devis[[#This Row],[Quantité Totale]],Devis[[#This Row],[Conditionnement]])</f>
        <v>0</v>
      </c>
      <c r="T2498" s="72"/>
      <c r="U2498" s="73"/>
      <c r="V2498" s="74">
        <f>Devis[[#This Row],[Prix de Revient]]*Devis[[#This Row],[Poste 1]]</f>
        <v>0</v>
      </c>
      <c r="W2498" s="74">
        <f>Devis[[#This Row],[Prix de Revient]]*Devis[[#This Row],[Poste 2]]</f>
        <v>0</v>
      </c>
      <c r="X2498" s="74">
        <f>Devis[[#This Row],[Prix de Revient]]*Devis[[#This Row],[Poste 3]]</f>
        <v>0</v>
      </c>
      <c r="Y2498" s="74">
        <f>Devis[[#This Row],[Poste 4]]*Devis[[#This Row],[Prix de Revient]]</f>
        <v>0</v>
      </c>
      <c r="Z2498" s="74">
        <f>Devis[[#This Row],[Poste 5]]*Devis[[#This Row],[Prix de Revient]]</f>
        <v>0</v>
      </c>
      <c r="AA2498" s="74">
        <f>Devis[[#This Row],[Prix de Revient]]*Devis[[#This Row],[Poste 6]]</f>
        <v>0</v>
      </c>
      <c r="AB2498" s="74">
        <f>Devis[[#This Row],[Quantité Totale]]*Devis[[#This Row],[Prix de Revient]]</f>
        <v>0</v>
      </c>
    </row>
    <row r="2499" spans="1:28" ht="15" customHeight="1" outlineLevel="1" x14ac:dyDescent="0.2">
      <c r="A2499" s="75" t="s">
        <v>2374</v>
      </c>
      <c r="B2499" s="80" t="s">
        <v>2425</v>
      </c>
      <c r="C2499" s="105"/>
      <c r="D2499" s="81" t="str">
        <f t="shared" si="43"/>
        <v>Laiton - BronzeMamelons  280 LAITON</v>
      </c>
      <c r="E2499" s="75" t="s">
        <v>0</v>
      </c>
      <c r="F2499" s="81">
        <v>1</v>
      </c>
      <c r="G2499" s="71" t="s">
        <v>2426</v>
      </c>
      <c r="H2499" s="71"/>
      <c r="I2499" s="71"/>
      <c r="J2499" s="70">
        <f>IFERROR(VLOOKUP(Devis[[#This Row],[Ref Air Flux]],#REF!,3,FALSE),0)</f>
        <v>0</v>
      </c>
      <c r="K2499" s="68"/>
      <c r="L2499" s="68"/>
      <c r="M2499" s="68"/>
      <c r="N2499" s="68"/>
      <c r="O2499" s="68"/>
      <c r="P2499" s="68"/>
      <c r="Q2499" s="68">
        <f>SUM(Devis[[#This Row],[Poste 1]:[Poste 6]])</f>
        <v>0</v>
      </c>
      <c r="R2499" s="71"/>
      <c r="S2499" s="68">
        <f>_xlfn.CEILING.MATH(Devis[[#This Row],[Quantité Totale]],Devis[[#This Row],[Conditionnement]])</f>
        <v>0</v>
      </c>
      <c r="T2499" s="72"/>
      <c r="U2499" s="73"/>
      <c r="V2499" s="74">
        <f>Devis[[#This Row],[Prix de Revient]]*Devis[[#This Row],[Poste 1]]</f>
        <v>0</v>
      </c>
      <c r="W2499" s="74">
        <f>Devis[[#This Row],[Prix de Revient]]*Devis[[#This Row],[Poste 2]]</f>
        <v>0</v>
      </c>
      <c r="X2499" s="74">
        <f>Devis[[#This Row],[Prix de Revient]]*Devis[[#This Row],[Poste 3]]</f>
        <v>0</v>
      </c>
      <c r="Y2499" s="74">
        <f>Devis[[#This Row],[Poste 4]]*Devis[[#This Row],[Prix de Revient]]</f>
        <v>0</v>
      </c>
      <c r="Z2499" s="74">
        <f>Devis[[#This Row],[Poste 5]]*Devis[[#This Row],[Prix de Revient]]</f>
        <v>0</v>
      </c>
      <c r="AA2499" s="74">
        <f>Devis[[#This Row],[Prix de Revient]]*Devis[[#This Row],[Poste 6]]</f>
        <v>0</v>
      </c>
      <c r="AB2499" s="74">
        <f>Devis[[#This Row],[Quantité Totale]]*Devis[[#This Row],[Prix de Revient]]</f>
        <v>0</v>
      </c>
    </row>
    <row r="2500" spans="1:28" ht="14.25" customHeight="1" outlineLevel="1" x14ac:dyDescent="0.2">
      <c r="A2500" s="75" t="s">
        <v>2374</v>
      </c>
      <c r="B2500" s="80" t="s">
        <v>2425</v>
      </c>
      <c r="C2500" s="105"/>
      <c r="D2500" s="81" t="str">
        <f t="shared" si="43"/>
        <v>Laiton - BronzeMamelons  280 LAITON</v>
      </c>
      <c r="E2500" s="75" t="s">
        <v>21</v>
      </c>
      <c r="F2500" s="81">
        <v>2</v>
      </c>
      <c r="G2500" s="71" t="s">
        <v>2427</v>
      </c>
      <c r="H2500" s="71"/>
      <c r="I2500" s="71"/>
      <c r="J2500" s="70">
        <f>IFERROR(VLOOKUP(Devis[[#This Row],[Ref Air Flux]],#REF!,3,FALSE),0)</f>
        <v>0</v>
      </c>
      <c r="K2500" s="68"/>
      <c r="L2500" s="68"/>
      <c r="M2500" s="68"/>
      <c r="N2500" s="68"/>
      <c r="O2500" s="68"/>
      <c r="P2500" s="68"/>
      <c r="Q2500" s="68">
        <f>SUM(Devis[[#This Row],[Poste 1]:[Poste 6]])</f>
        <v>0</v>
      </c>
      <c r="R2500" s="71"/>
      <c r="S2500" s="68">
        <f>_xlfn.CEILING.MATH(Devis[[#This Row],[Quantité Totale]],Devis[[#This Row],[Conditionnement]])</f>
        <v>0</v>
      </c>
      <c r="T2500" s="72"/>
      <c r="U2500" s="73"/>
      <c r="V2500" s="74">
        <f>Devis[[#This Row],[Prix de Revient]]*Devis[[#This Row],[Poste 1]]</f>
        <v>0</v>
      </c>
      <c r="W2500" s="74">
        <f>Devis[[#This Row],[Prix de Revient]]*Devis[[#This Row],[Poste 2]]</f>
        <v>0</v>
      </c>
      <c r="X2500" s="74">
        <f>Devis[[#This Row],[Prix de Revient]]*Devis[[#This Row],[Poste 3]]</f>
        <v>0</v>
      </c>
      <c r="Y2500" s="74">
        <f>Devis[[#This Row],[Poste 4]]*Devis[[#This Row],[Prix de Revient]]</f>
        <v>0</v>
      </c>
      <c r="Z2500" s="74">
        <f>Devis[[#This Row],[Poste 5]]*Devis[[#This Row],[Prix de Revient]]</f>
        <v>0</v>
      </c>
      <c r="AA2500" s="74">
        <f>Devis[[#This Row],[Prix de Revient]]*Devis[[#This Row],[Poste 6]]</f>
        <v>0</v>
      </c>
      <c r="AB2500" s="74">
        <f>Devis[[#This Row],[Quantité Totale]]*Devis[[#This Row],[Prix de Revient]]</f>
        <v>0</v>
      </c>
    </row>
    <row r="2501" spans="1:28" ht="14.25" customHeight="1" outlineLevel="1" x14ac:dyDescent="0.2">
      <c r="A2501" s="75" t="s">
        <v>2374</v>
      </c>
      <c r="B2501" s="80" t="s">
        <v>2425</v>
      </c>
      <c r="C2501" s="105"/>
      <c r="D2501" s="81" t="str">
        <f t="shared" si="43"/>
        <v>Laiton - BronzeMamelons  280 LAITON</v>
      </c>
      <c r="E2501" s="75" t="s">
        <v>20</v>
      </c>
      <c r="F2501" s="81">
        <v>3</v>
      </c>
      <c r="G2501" s="71" t="s">
        <v>2428</v>
      </c>
      <c r="H2501" s="71"/>
      <c r="I2501" s="71"/>
      <c r="J2501" s="70">
        <f>IFERROR(VLOOKUP(Devis[[#This Row],[Ref Air Flux]],#REF!,3,FALSE),0)</f>
        <v>0</v>
      </c>
      <c r="K2501" s="68"/>
      <c r="L2501" s="68"/>
      <c r="M2501" s="68"/>
      <c r="N2501" s="68"/>
      <c r="O2501" s="68"/>
      <c r="P2501" s="68"/>
      <c r="Q2501" s="68">
        <f>SUM(Devis[[#This Row],[Poste 1]:[Poste 6]])</f>
        <v>0</v>
      </c>
      <c r="R2501" s="71"/>
      <c r="S2501" s="68">
        <f>_xlfn.CEILING.MATH(Devis[[#This Row],[Quantité Totale]],Devis[[#This Row],[Conditionnement]])</f>
        <v>0</v>
      </c>
      <c r="T2501" s="72"/>
      <c r="U2501" s="73"/>
      <c r="V2501" s="74">
        <f>Devis[[#This Row],[Prix de Revient]]*Devis[[#This Row],[Poste 1]]</f>
        <v>0</v>
      </c>
      <c r="W2501" s="74">
        <f>Devis[[#This Row],[Prix de Revient]]*Devis[[#This Row],[Poste 2]]</f>
        <v>0</v>
      </c>
      <c r="X2501" s="74">
        <f>Devis[[#This Row],[Prix de Revient]]*Devis[[#This Row],[Poste 3]]</f>
        <v>0</v>
      </c>
      <c r="Y2501" s="74">
        <f>Devis[[#This Row],[Poste 4]]*Devis[[#This Row],[Prix de Revient]]</f>
        <v>0</v>
      </c>
      <c r="Z2501" s="74">
        <f>Devis[[#This Row],[Poste 5]]*Devis[[#This Row],[Prix de Revient]]</f>
        <v>0</v>
      </c>
      <c r="AA2501" s="74">
        <f>Devis[[#This Row],[Prix de Revient]]*Devis[[#This Row],[Poste 6]]</f>
        <v>0</v>
      </c>
      <c r="AB2501" s="74">
        <f>Devis[[#This Row],[Quantité Totale]]*Devis[[#This Row],[Prix de Revient]]</f>
        <v>0</v>
      </c>
    </row>
    <row r="2502" spans="1:28" ht="14.25" outlineLevel="1" x14ac:dyDescent="0.2">
      <c r="A2502" s="75" t="s">
        <v>2374</v>
      </c>
      <c r="B2502" s="80" t="s">
        <v>2425</v>
      </c>
      <c r="C2502" s="105"/>
      <c r="D2502" s="81" t="str">
        <f t="shared" si="43"/>
        <v>Laiton - BronzeMamelons  280 LAITON</v>
      </c>
      <c r="E2502" s="75" t="s">
        <v>19</v>
      </c>
      <c r="F2502" s="81">
        <v>4</v>
      </c>
      <c r="G2502" s="71" t="s">
        <v>2429</v>
      </c>
      <c r="H2502" s="71"/>
      <c r="I2502" s="71"/>
      <c r="J2502" s="70">
        <f>IFERROR(VLOOKUP(Devis[[#This Row],[Ref Air Flux]],#REF!,3,FALSE),0)</f>
        <v>0</v>
      </c>
      <c r="K2502" s="68"/>
      <c r="L2502" s="68"/>
      <c r="M2502" s="68"/>
      <c r="N2502" s="68"/>
      <c r="O2502" s="68"/>
      <c r="P2502" s="68"/>
      <c r="Q2502" s="68">
        <f>SUM(Devis[[#This Row],[Poste 1]:[Poste 6]])</f>
        <v>0</v>
      </c>
      <c r="R2502" s="71"/>
      <c r="S2502" s="68">
        <f>_xlfn.CEILING.MATH(Devis[[#This Row],[Quantité Totale]],Devis[[#This Row],[Conditionnement]])</f>
        <v>0</v>
      </c>
      <c r="T2502" s="72"/>
      <c r="U2502" s="73"/>
      <c r="V2502" s="74">
        <f>Devis[[#This Row],[Prix de Revient]]*Devis[[#This Row],[Poste 1]]</f>
        <v>0</v>
      </c>
      <c r="W2502" s="74">
        <f>Devis[[#This Row],[Prix de Revient]]*Devis[[#This Row],[Poste 2]]</f>
        <v>0</v>
      </c>
      <c r="X2502" s="74">
        <f>Devis[[#This Row],[Prix de Revient]]*Devis[[#This Row],[Poste 3]]</f>
        <v>0</v>
      </c>
      <c r="Y2502" s="74">
        <f>Devis[[#This Row],[Poste 4]]*Devis[[#This Row],[Prix de Revient]]</f>
        <v>0</v>
      </c>
      <c r="Z2502" s="74">
        <f>Devis[[#This Row],[Poste 5]]*Devis[[#This Row],[Prix de Revient]]</f>
        <v>0</v>
      </c>
      <c r="AA2502" s="74">
        <f>Devis[[#This Row],[Prix de Revient]]*Devis[[#This Row],[Poste 6]]</f>
        <v>0</v>
      </c>
      <c r="AB2502" s="74">
        <f>Devis[[#This Row],[Quantité Totale]]*Devis[[#This Row],[Prix de Revient]]</f>
        <v>0</v>
      </c>
    </row>
    <row r="2503" spans="1:28" ht="14.25" customHeight="1" outlineLevel="1" x14ac:dyDescent="0.2">
      <c r="A2503" s="75" t="s">
        <v>2374</v>
      </c>
      <c r="B2503" s="80" t="s">
        <v>2425</v>
      </c>
      <c r="C2503" s="105"/>
      <c r="D2503" s="81" t="str">
        <f t="shared" si="43"/>
        <v>Laiton - BronzeMamelons  280 LAITON</v>
      </c>
      <c r="E2503" s="105" t="s">
        <v>18</v>
      </c>
      <c r="F2503" s="81">
        <v>5</v>
      </c>
      <c r="G2503" s="71" t="s">
        <v>2430</v>
      </c>
      <c r="H2503" s="71"/>
      <c r="I2503" s="71"/>
      <c r="J2503" s="70">
        <f>IFERROR(VLOOKUP(Devis[[#This Row],[Ref Air Flux]],#REF!,3,FALSE),0)</f>
        <v>0</v>
      </c>
      <c r="K2503" s="68"/>
      <c r="L2503" s="68"/>
      <c r="M2503" s="68"/>
      <c r="N2503" s="68"/>
      <c r="O2503" s="68"/>
      <c r="P2503" s="68"/>
      <c r="Q2503" s="68">
        <f>SUM(Devis[[#This Row],[Poste 1]:[Poste 6]])</f>
        <v>0</v>
      </c>
      <c r="R2503" s="71"/>
      <c r="S2503" s="68">
        <f>_xlfn.CEILING.MATH(Devis[[#This Row],[Quantité Totale]],Devis[[#This Row],[Conditionnement]])</f>
        <v>0</v>
      </c>
      <c r="T2503" s="72"/>
      <c r="U2503" s="73"/>
      <c r="V2503" s="74">
        <f>Devis[[#This Row],[Prix de Revient]]*Devis[[#This Row],[Poste 1]]</f>
        <v>0</v>
      </c>
      <c r="W2503" s="74">
        <f>Devis[[#This Row],[Prix de Revient]]*Devis[[#This Row],[Poste 2]]</f>
        <v>0</v>
      </c>
      <c r="X2503" s="74">
        <f>Devis[[#This Row],[Prix de Revient]]*Devis[[#This Row],[Poste 3]]</f>
        <v>0</v>
      </c>
      <c r="Y2503" s="74">
        <f>Devis[[#This Row],[Poste 4]]*Devis[[#This Row],[Prix de Revient]]</f>
        <v>0</v>
      </c>
      <c r="Z2503" s="74">
        <f>Devis[[#This Row],[Poste 5]]*Devis[[#This Row],[Prix de Revient]]</f>
        <v>0</v>
      </c>
      <c r="AA2503" s="74">
        <f>Devis[[#This Row],[Prix de Revient]]*Devis[[#This Row],[Poste 6]]</f>
        <v>0</v>
      </c>
      <c r="AB2503" s="74">
        <f>Devis[[#This Row],[Quantité Totale]]*Devis[[#This Row],[Prix de Revient]]</f>
        <v>0</v>
      </c>
    </row>
    <row r="2504" spans="1:28" ht="14.25" customHeight="1" outlineLevel="1" x14ac:dyDescent="0.2">
      <c r="A2504" s="75" t="s">
        <v>2374</v>
      </c>
      <c r="B2504" s="80" t="s">
        <v>2425</v>
      </c>
      <c r="C2504" s="105"/>
      <c r="D2504" s="81" t="str">
        <f t="shared" si="43"/>
        <v>Laiton - BronzeMamelons  280 LAITON</v>
      </c>
      <c r="E2504" s="105" t="s">
        <v>17</v>
      </c>
      <c r="F2504" s="81">
        <v>6</v>
      </c>
      <c r="G2504" s="71" t="s">
        <v>2431</v>
      </c>
      <c r="H2504" s="71"/>
      <c r="I2504" s="71"/>
      <c r="J2504" s="70">
        <f>IFERROR(VLOOKUP(Devis[[#This Row],[Ref Air Flux]],#REF!,3,FALSE),0)</f>
        <v>0</v>
      </c>
      <c r="K2504" s="68"/>
      <c r="L2504" s="68"/>
      <c r="M2504" s="68"/>
      <c r="N2504" s="68"/>
      <c r="O2504" s="68"/>
      <c r="P2504" s="68"/>
      <c r="Q2504" s="68">
        <f>SUM(Devis[[#This Row],[Poste 1]:[Poste 6]])</f>
        <v>0</v>
      </c>
      <c r="R2504" s="71"/>
      <c r="S2504" s="68">
        <f>_xlfn.CEILING.MATH(Devis[[#This Row],[Quantité Totale]],Devis[[#This Row],[Conditionnement]])</f>
        <v>0</v>
      </c>
      <c r="T2504" s="72"/>
      <c r="U2504" s="73"/>
      <c r="V2504" s="74">
        <f>Devis[[#This Row],[Prix de Revient]]*Devis[[#This Row],[Poste 1]]</f>
        <v>0</v>
      </c>
      <c r="W2504" s="74">
        <f>Devis[[#This Row],[Prix de Revient]]*Devis[[#This Row],[Poste 2]]</f>
        <v>0</v>
      </c>
      <c r="X2504" s="74">
        <f>Devis[[#This Row],[Prix de Revient]]*Devis[[#This Row],[Poste 3]]</f>
        <v>0</v>
      </c>
      <c r="Y2504" s="74">
        <f>Devis[[#This Row],[Poste 4]]*Devis[[#This Row],[Prix de Revient]]</f>
        <v>0</v>
      </c>
      <c r="Z2504" s="74">
        <f>Devis[[#This Row],[Poste 5]]*Devis[[#This Row],[Prix de Revient]]</f>
        <v>0</v>
      </c>
      <c r="AA2504" s="74">
        <f>Devis[[#This Row],[Prix de Revient]]*Devis[[#This Row],[Poste 6]]</f>
        <v>0</v>
      </c>
      <c r="AB2504" s="74">
        <f>Devis[[#This Row],[Quantité Totale]]*Devis[[#This Row],[Prix de Revient]]</f>
        <v>0</v>
      </c>
    </row>
    <row r="2505" spans="1:28" ht="14.25" customHeight="1" outlineLevel="1" x14ac:dyDescent="0.2">
      <c r="A2505" s="75" t="s">
        <v>2374</v>
      </c>
      <c r="B2505" s="80" t="s">
        <v>2425</v>
      </c>
      <c r="C2505" s="105"/>
      <c r="D2505" s="81" t="str">
        <f t="shared" si="43"/>
        <v>Laiton - BronzeMamelons  280 LAITON</v>
      </c>
      <c r="E2505" s="105" t="s">
        <v>16</v>
      </c>
      <c r="F2505" s="81">
        <v>7</v>
      </c>
      <c r="G2505" s="71" t="s">
        <v>2432</v>
      </c>
      <c r="H2505" s="71"/>
      <c r="I2505" s="71"/>
      <c r="J2505" s="70">
        <f>IFERROR(VLOOKUP(Devis[[#This Row],[Ref Air Flux]],#REF!,3,FALSE),0)</f>
        <v>0</v>
      </c>
      <c r="K2505" s="68"/>
      <c r="L2505" s="68"/>
      <c r="M2505" s="68"/>
      <c r="N2505" s="68"/>
      <c r="O2505" s="68"/>
      <c r="P2505" s="68"/>
      <c r="Q2505" s="68">
        <f>SUM(Devis[[#This Row],[Poste 1]:[Poste 6]])</f>
        <v>0</v>
      </c>
      <c r="R2505" s="71"/>
      <c r="S2505" s="68">
        <f>_xlfn.CEILING.MATH(Devis[[#This Row],[Quantité Totale]],Devis[[#This Row],[Conditionnement]])</f>
        <v>0</v>
      </c>
      <c r="T2505" s="72"/>
      <c r="U2505" s="73"/>
      <c r="V2505" s="74">
        <f>Devis[[#This Row],[Prix de Revient]]*Devis[[#This Row],[Poste 1]]</f>
        <v>0</v>
      </c>
      <c r="W2505" s="74">
        <f>Devis[[#This Row],[Prix de Revient]]*Devis[[#This Row],[Poste 2]]</f>
        <v>0</v>
      </c>
      <c r="X2505" s="74">
        <f>Devis[[#This Row],[Prix de Revient]]*Devis[[#This Row],[Poste 3]]</f>
        <v>0</v>
      </c>
      <c r="Y2505" s="74">
        <f>Devis[[#This Row],[Poste 4]]*Devis[[#This Row],[Prix de Revient]]</f>
        <v>0</v>
      </c>
      <c r="Z2505" s="74">
        <f>Devis[[#This Row],[Poste 5]]*Devis[[#This Row],[Prix de Revient]]</f>
        <v>0</v>
      </c>
      <c r="AA2505" s="74">
        <f>Devis[[#This Row],[Prix de Revient]]*Devis[[#This Row],[Poste 6]]</f>
        <v>0</v>
      </c>
      <c r="AB2505" s="74">
        <f>Devis[[#This Row],[Quantité Totale]]*Devis[[#This Row],[Prix de Revient]]</f>
        <v>0</v>
      </c>
    </row>
    <row r="2506" spans="1:28" ht="14.25" outlineLevel="1" x14ac:dyDescent="0.2">
      <c r="A2506" s="75" t="s">
        <v>2374</v>
      </c>
      <c r="B2506" s="80" t="s">
        <v>2425</v>
      </c>
      <c r="C2506" s="105"/>
      <c r="D2506" s="81" t="str">
        <f t="shared" si="43"/>
        <v>Laiton - BronzeMamelons  280 LAITON</v>
      </c>
      <c r="E2506" s="105" t="s">
        <v>46</v>
      </c>
      <c r="F2506" s="81">
        <v>8</v>
      </c>
      <c r="G2506" s="71" t="s">
        <v>2433</v>
      </c>
      <c r="H2506" s="71"/>
      <c r="I2506" s="71"/>
      <c r="J2506" s="70">
        <f>IFERROR(VLOOKUP(Devis[[#This Row],[Ref Air Flux]],#REF!,3,FALSE),0)</f>
        <v>0</v>
      </c>
      <c r="K2506" s="68"/>
      <c r="L2506" s="68"/>
      <c r="M2506" s="68"/>
      <c r="N2506" s="68"/>
      <c r="O2506" s="68"/>
      <c r="P2506" s="68"/>
      <c r="Q2506" s="68">
        <f>SUM(Devis[[#This Row],[Poste 1]:[Poste 6]])</f>
        <v>0</v>
      </c>
      <c r="R2506" s="71"/>
      <c r="S2506" s="68">
        <f>_xlfn.CEILING.MATH(Devis[[#This Row],[Quantité Totale]],Devis[[#This Row],[Conditionnement]])</f>
        <v>0</v>
      </c>
      <c r="T2506" s="72"/>
      <c r="U2506" s="73"/>
      <c r="V2506" s="74">
        <f>Devis[[#This Row],[Prix de Revient]]*Devis[[#This Row],[Poste 1]]</f>
        <v>0</v>
      </c>
      <c r="W2506" s="74">
        <f>Devis[[#This Row],[Prix de Revient]]*Devis[[#This Row],[Poste 2]]</f>
        <v>0</v>
      </c>
      <c r="X2506" s="74">
        <f>Devis[[#This Row],[Prix de Revient]]*Devis[[#This Row],[Poste 3]]</f>
        <v>0</v>
      </c>
      <c r="Y2506" s="74">
        <f>Devis[[#This Row],[Poste 4]]*Devis[[#This Row],[Prix de Revient]]</f>
        <v>0</v>
      </c>
      <c r="Z2506" s="74">
        <f>Devis[[#This Row],[Poste 5]]*Devis[[#This Row],[Prix de Revient]]</f>
        <v>0</v>
      </c>
      <c r="AA2506" s="74">
        <f>Devis[[#This Row],[Prix de Revient]]*Devis[[#This Row],[Poste 6]]</f>
        <v>0</v>
      </c>
      <c r="AB2506" s="74">
        <f>Devis[[#This Row],[Quantité Totale]]*Devis[[#This Row],[Prix de Revient]]</f>
        <v>0</v>
      </c>
    </row>
    <row r="2507" spans="1:28" ht="14.25" outlineLevel="1" x14ac:dyDescent="0.2">
      <c r="A2507" s="75" t="s">
        <v>2374</v>
      </c>
      <c r="B2507" s="80" t="s">
        <v>2425</v>
      </c>
      <c r="C2507" s="105"/>
      <c r="D2507" s="81" t="str">
        <f t="shared" si="43"/>
        <v>Laiton - BronzeMamelons  280 LAITON</v>
      </c>
      <c r="E2507" s="105" t="s">
        <v>928</v>
      </c>
      <c r="F2507" s="81">
        <v>9</v>
      </c>
      <c r="G2507" s="71" t="s">
        <v>2434</v>
      </c>
      <c r="H2507" s="71"/>
      <c r="I2507" s="71"/>
      <c r="J2507" s="70">
        <f>IFERROR(VLOOKUP(Devis[[#This Row],[Ref Air Flux]],#REF!,3,FALSE),0)</f>
        <v>0</v>
      </c>
      <c r="K2507" s="68"/>
      <c r="L2507" s="68"/>
      <c r="M2507" s="68"/>
      <c r="N2507" s="68"/>
      <c r="O2507" s="68"/>
      <c r="P2507" s="68"/>
      <c r="Q2507" s="68">
        <f>SUM(Devis[[#This Row],[Poste 1]:[Poste 6]])</f>
        <v>0</v>
      </c>
      <c r="R2507" s="71"/>
      <c r="S2507" s="68">
        <f>_xlfn.CEILING.MATH(Devis[[#This Row],[Quantité Totale]],Devis[[#This Row],[Conditionnement]])</f>
        <v>0</v>
      </c>
      <c r="T2507" s="72"/>
      <c r="U2507" s="73"/>
      <c r="V2507" s="74">
        <f>Devis[[#This Row],[Prix de Revient]]*Devis[[#This Row],[Poste 1]]</f>
        <v>0</v>
      </c>
      <c r="W2507" s="74">
        <f>Devis[[#This Row],[Prix de Revient]]*Devis[[#This Row],[Poste 2]]</f>
        <v>0</v>
      </c>
      <c r="X2507" s="74">
        <f>Devis[[#This Row],[Prix de Revient]]*Devis[[#This Row],[Poste 3]]</f>
        <v>0</v>
      </c>
      <c r="Y2507" s="74">
        <f>Devis[[#This Row],[Poste 4]]*Devis[[#This Row],[Prix de Revient]]</f>
        <v>0</v>
      </c>
      <c r="Z2507" s="74">
        <f>Devis[[#This Row],[Poste 5]]*Devis[[#This Row],[Prix de Revient]]</f>
        <v>0</v>
      </c>
      <c r="AA2507" s="74">
        <f>Devis[[#This Row],[Prix de Revient]]*Devis[[#This Row],[Poste 6]]</f>
        <v>0</v>
      </c>
      <c r="AB2507" s="74">
        <f>Devis[[#This Row],[Quantité Totale]]*Devis[[#This Row],[Prix de Revient]]</f>
        <v>0</v>
      </c>
    </row>
    <row r="2508" spans="1:28" ht="14.25" customHeight="1" x14ac:dyDescent="0.25">
      <c r="A2508" s="65" t="s">
        <v>2374</v>
      </c>
      <c r="B2508" s="109" t="s">
        <v>2435</v>
      </c>
      <c r="C2508" s="76"/>
      <c r="D2508" s="81" t="str">
        <f t="shared" si="43"/>
        <v>Laiton - BronzeMamelons réduits 245 LAITON</v>
      </c>
      <c r="E2508" s="76"/>
      <c r="F2508" s="81">
        <v>0</v>
      </c>
      <c r="G2508" s="71"/>
      <c r="H2508" s="71"/>
      <c r="I2508" s="71"/>
      <c r="J2508" s="70">
        <f>IFERROR(VLOOKUP(Devis[[#This Row],[Ref Air Flux]],#REF!,3,FALSE),0)</f>
        <v>0</v>
      </c>
      <c r="K2508" s="68"/>
      <c r="L2508" s="68"/>
      <c r="M2508" s="68"/>
      <c r="N2508" s="68"/>
      <c r="O2508" s="68"/>
      <c r="P2508" s="68"/>
      <c r="Q2508" s="68">
        <f>SUM(Devis[[#This Row],[Poste 1]:[Poste 6]])</f>
        <v>0</v>
      </c>
      <c r="R2508" s="71"/>
      <c r="S2508" s="68">
        <f>_xlfn.CEILING.MATH(Devis[[#This Row],[Quantité Totale]],Devis[[#This Row],[Conditionnement]])</f>
        <v>0</v>
      </c>
      <c r="T2508" s="72"/>
      <c r="U2508" s="73"/>
      <c r="V2508" s="74">
        <f>Devis[[#This Row],[Prix de Revient]]*Devis[[#This Row],[Poste 1]]</f>
        <v>0</v>
      </c>
      <c r="W2508" s="74">
        <f>Devis[[#This Row],[Prix de Revient]]*Devis[[#This Row],[Poste 2]]</f>
        <v>0</v>
      </c>
      <c r="X2508" s="74">
        <f>Devis[[#This Row],[Prix de Revient]]*Devis[[#This Row],[Poste 3]]</f>
        <v>0</v>
      </c>
      <c r="Y2508" s="74">
        <f>Devis[[#This Row],[Poste 4]]*Devis[[#This Row],[Prix de Revient]]</f>
        <v>0</v>
      </c>
      <c r="Z2508" s="74">
        <f>Devis[[#This Row],[Poste 5]]*Devis[[#This Row],[Prix de Revient]]</f>
        <v>0</v>
      </c>
      <c r="AA2508" s="74">
        <f>Devis[[#This Row],[Prix de Revient]]*Devis[[#This Row],[Poste 6]]</f>
        <v>0</v>
      </c>
      <c r="AB2508" s="74">
        <f>Devis[[#This Row],[Quantité Totale]]*Devis[[#This Row],[Prix de Revient]]</f>
        <v>0</v>
      </c>
    </row>
    <row r="2509" spans="1:28" ht="14.25" outlineLevel="1" x14ac:dyDescent="0.2">
      <c r="A2509" s="75" t="s">
        <v>2374</v>
      </c>
      <c r="B2509" s="80" t="s">
        <v>2435</v>
      </c>
      <c r="C2509" s="105"/>
      <c r="D2509" s="81" t="str">
        <f t="shared" si="43"/>
        <v>Laiton - BronzeMamelons réduits 245 LAITON</v>
      </c>
      <c r="E2509" s="105" t="s">
        <v>1067</v>
      </c>
      <c r="F2509" s="81">
        <v>1</v>
      </c>
      <c r="G2509" s="71" t="s">
        <v>2436</v>
      </c>
      <c r="H2509" s="71"/>
      <c r="I2509" s="71"/>
      <c r="J2509" s="70">
        <f>IFERROR(VLOOKUP(Devis[[#This Row],[Ref Air Flux]],#REF!,3,FALSE),0)</f>
        <v>0</v>
      </c>
      <c r="K2509" s="68"/>
      <c r="L2509" s="68"/>
      <c r="M2509" s="68"/>
      <c r="N2509" s="68"/>
      <c r="O2509" s="68"/>
      <c r="P2509" s="68"/>
      <c r="Q2509" s="68">
        <f>SUM(Devis[[#This Row],[Poste 1]:[Poste 6]])</f>
        <v>0</v>
      </c>
      <c r="R2509" s="71"/>
      <c r="S2509" s="68">
        <f>_xlfn.CEILING.MATH(Devis[[#This Row],[Quantité Totale]],Devis[[#This Row],[Conditionnement]])</f>
        <v>0</v>
      </c>
      <c r="T2509" s="72"/>
      <c r="U2509" s="73"/>
      <c r="V2509" s="74">
        <f>Devis[[#This Row],[Prix de Revient]]*Devis[[#This Row],[Poste 1]]</f>
        <v>0</v>
      </c>
      <c r="W2509" s="74">
        <f>Devis[[#This Row],[Prix de Revient]]*Devis[[#This Row],[Poste 2]]</f>
        <v>0</v>
      </c>
      <c r="X2509" s="74">
        <f>Devis[[#This Row],[Prix de Revient]]*Devis[[#This Row],[Poste 3]]</f>
        <v>0</v>
      </c>
      <c r="Y2509" s="74">
        <f>Devis[[#This Row],[Poste 4]]*Devis[[#This Row],[Prix de Revient]]</f>
        <v>0</v>
      </c>
      <c r="Z2509" s="74">
        <f>Devis[[#This Row],[Poste 5]]*Devis[[#This Row],[Prix de Revient]]</f>
        <v>0</v>
      </c>
      <c r="AA2509" s="74">
        <f>Devis[[#This Row],[Prix de Revient]]*Devis[[#This Row],[Poste 6]]</f>
        <v>0</v>
      </c>
      <c r="AB2509" s="74">
        <f>Devis[[#This Row],[Quantité Totale]]*Devis[[#This Row],[Prix de Revient]]</f>
        <v>0</v>
      </c>
    </row>
    <row r="2510" spans="1:28" ht="14.25" outlineLevel="1" x14ac:dyDescent="0.2">
      <c r="A2510" s="75" t="s">
        <v>2374</v>
      </c>
      <c r="B2510" s="80" t="s">
        <v>2435</v>
      </c>
      <c r="C2510" s="105"/>
      <c r="D2510" s="81" t="str">
        <f t="shared" si="43"/>
        <v>Laiton - BronzeMamelons réduits 245 LAITON</v>
      </c>
      <c r="E2510" s="105" t="s">
        <v>1069</v>
      </c>
      <c r="F2510" s="81">
        <v>2</v>
      </c>
      <c r="G2510" s="71" t="s">
        <v>2437</v>
      </c>
      <c r="H2510" s="71"/>
      <c r="I2510" s="71"/>
      <c r="J2510" s="70">
        <f>IFERROR(VLOOKUP(Devis[[#This Row],[Ref Air Flux]],#REF!,3,FALSE),0)</f>
        <v>0</v>
      </c>
      <c r="K2510" s="68"/>
      <c r="L2510" s="68"/>
      <c r="M2510" s="68"/>
      <c r="N2510" s="68"/>
      <c r="O2510" s="68"/>
      <c r="P2510" s="68"/>
      <c r="Q2510" s="68">
        <f>SUM(Devis[[#This Row],[Poste 1]:[Poste 6]])</f>
        <v>0</v>
      </c>
      <c r="R2510" s="71"/>
      <c r="S2510" s="68">
        <f>_xlfn.CEILING.MATH(Devis[[#This Row],[Quantité Totale]],Devis[[#This Row],[Conditionnement]])</f>
        <v>0</v>
      </c>
      <c r="T2510" s="72"/>
      <c r="U2510" s="73"/>
      <c r="V2510" s="74">
        <f>Devis[[#This Row],[Prix de Revient]]*Devis[[#This Row],[Poste 1]]</f>
        <v>0</v>
      </c>
      <c r="W2510" s="74">
        <f>Devis[[#This Row],[Prix de Revient]]*Devis[[#This Row],[Poste 2]]</f>
        <v>0</v>
      </c>
      <c r="X2510" s="74">
        <f>Devis[[#This Row],[Prix de Revient]]*Devis[[#This Row],[Poste 3]]</f>
        <v>0</v>
      </c>
      <c r="Y2510" s="74">
        <f>Devis[[#This Row],[Poste 4]]*Devis[[#This Row],[Prix de Revient]]</f>
        <v>0</v>
      </c>
      <c r="Z2510" s="74">
        <f>Devis[[#This Row],[Poste 5]]*Devis[[#This Row],[Prix de Revient]]</f>
        <v>0</v>
      </c>
      <c r="AA2510" s="74">
        <f>Devis[[#This Row],[Prix de Revient]]*Devis[[#This Row],[Poste 6]]</f>
        <v>0</v>
      </c>
      <c r="AB2510" s="74">
        <f>Devis[[#This Row],[Quantité Totale]]*Devis[[#This Row],[Prix de Revient]]</f>
        <v>0</v>
      </c>
    </row>
    <row r="2511" spans="1:28" ht="14.25" customHeight="1" outlineLevel="1" x14ac:dyDescent="0.2">
      <c r="A2511" s="75" t="s">
        <v>2374</v>
      </c>
      <c r="B2511" s="80" t="s">
        <v>2435</v>
      </c>
      <c r="C2511" s="105"/>
      <c r="D2511" s="81" t="str">
        <f t="shared" si="43"/>
        <v>Laiton - BronzeMamelons réduits 245 LAITON</v>
      </c>
      <c r="E2511" s="105" t="s">
        <v>1071</v>
      </c>
      <c r="F2511" s="81">
        <v>3</v>
      </c>
      <c r="G2511" s="71" t="s">
        <v>2438</v>
      </c>
      <c r="H2511" s="71"/>
      <c r="I2511" s="71"/>
      <c r="J2511" s="70">
        <f>IFERROR(VLOOKUP(Devis[[#This Row],[Ref Air Flux]],#REF!,3,FALSE),0)</f>
        <v>0</v>
      </c>
      <c r="K2511" s="68"/>
      <c r="L2511" s="68"/>
      <c r="M2511" s="68"/>
      <c r="N2511" s="68"/>
      <c r="O2511" s="68"/>
      <c r="P2511" s="68"/>
      <c r="Q2511" s="68">
        <f>SUM(Devis[[#This Row],[Poste 1]:[Poste 6]])</f>
        <v>0</v>
      </c>
      <c r="R2511" s="71"/>
      <c r="S2511" s="68">
        <f>_xlfn.CEILING.MATH(Devis[[#This Row],[Quantité Totale]],Devis[[#This Row],[Conditionnement]])</f>
        <v>0</v>
      </c>
      <c r="T2511" s="72"/>
      <c r="U2511" s="73"/>
      <c r="V2511" s="74">
        <f>Devis[[#This Row],[Prix de Revient]]*Devis[[#This Row],[Poste 1]]</f>
        <v>0</v>
      </c>
      <c r="W2511" s="74">
        <f>Devis[[#This Row],[Prix de Revient]]*Devis[[#This Row],[Poste 2]]</f>
        <v>0</v>
      </c>
      <c r="X2511" s="74">
        <f>Devis[[#This Row],[Prix de Revient]]*Devis[[#This Row],[Poste 3]]</f>
        <v>0</v>
      </c>
      <c r="Y2511" s="74">
        <f>Devis[[#This Row],[Poste 4]]*Devis[[#This Row],[Prix de Revient]]</f>
        <v>0</v>
      </c>
      <c r="Z2511" s="74">
        <f>Devis[[#This Row],[Poste 5]]*Devis[[#This Row],[Prix de Revient]]</f>
        <v>0</v>
      </c>
      <c r="AA2511" s="74">
        <f>Devis[[#This Row],[Prix de Revient]]*Devis[[#This Row],[Poste 6]]</f>
        <v>0</v>
      </c>
      <c r="AB2511" s="74">
        <f>Devis[[#This Row],[Quantité Totale]]*Devis[[#This Row],[Prix de Revient]]</f>
        <v>0</v>
      </c>
    </row>
    <row r="2512" spans="1:28" ht="14.25" customHeight="1" outlineLevel="1" x14ac:dyDescent="0.2">
      <c r="A2512" s="75" t="s">
        <v>2374</v>
      </c>
      <c r="B2512" s="80" t="s">
        <v>2435</v>
      </c>
      <c r="C2512" s="105"/>
      <c r="D2512" s="81" t="str">
        <f t="shared" si="43"/>
        <v>Laiton - BronzeMamelons réduits 245 LAITON</v>
      </c>
      <c r="E2512" s="105" t="s">
        <v>1077</v>
      </c>
      <c r="F2512" s="81">
        <v>4</v>
      </c>
      <c r="G2512" s="71" t="s">
        <v>2439</v>
      </c>
      <c r="H2512" s="71"/>
      <c r="I2512" s="71"/>
      <c r="J2512" s="70">
        <f>IFERROR(VLOOKUP(Devis[[#This Row],[Ref Air Flux]],#REF!,3,FALSE),0)</f>
        <v>0</v>
      </c>
      <c r="K2512" s="68"/>
      <c r="L2512" s="68"/>
      <c r="M2512" s="68"/>
      <c r="N2512" s="68"/>
      <c r="O2512" s="68"/>
      <c r="P2512" s="68"/>
      <c r="Q2512" s="68">
        <f>SUM(Devis[[#This Row],[Poste 1]:[Poste 6]])</f>
        <v>0</v>
      </c>
      <c r="R2512" s="71"/>
      <c r="S2512" s="68">
        <f>_xlfn.CEILING.MATH(Devis[[#This Row],[Quantité Totale]],Devis[[#This Row],[Conditionnement]])</f>
        <v>0</v>
      </c>
      <c r="T2512" s="72"/>
      <c r="U2512" s="73"/>
      <c r="V2512" s="74">
        <f>Devis[[#This Row],[Prix de Revient]]*Devis[[#This Row],[Poste 1]]</f>
        <v>0</v>
      </c>
      <c r="W2512" s="74">
        <f>Devis[[#This Row],[Prix de Revient]]*Devis[[#This Row],[Poste 2]]</f>
        <v>0</v>
      </c>
      <c r="X2512" s="74">
        <f>Devis[[#This Row],[Prix de Revient]]*Devis[[#This Row],[Poste 3]]</f>
        <v>0</v>
      </c>
      <c r="Y2512" s="74">
        <f>Devis[[#This Row],[Poste 4]]*Devis[[#This Row],[Prix de Revient]]</f>
        <v>0</v>
      </c>
      <c r="Z2512" s="74">
        <f>Devis[[#This Row],[Poste 5]]*Devis[[#This Row],[Prix de Revient]]</f>
        <v>0</v>
      </c>
      <c r="AA2512" s="74">
        <f>Devis[[#This Row],[Prix de Revient]]*Devis[[#This Row],[Poste 6]]</f>
        <v>0</v>
      </c>
      <c r="AB2512" s="74">
        <f>Devis[[#This Row],[Quantité Totale]]*Devis[[#This Row],[Prix de Revient]]</f>
        <v>0</v>
      </c>
    </row>
    <row r="2513" spans="1:28" ht="14.25" outlineLevel="1" x14ac:dyDescent="0.2">
      <c r="A2513" s="75" t="s">
        <v>2374</v>
      </c>
      <c r="B2513" s="80" t="s">
        <v>2435</v>
      </c>
      <c r="C2513" s="105"/>
      <c r="D2513" s="81" t="str">
        <f t="shared" si="43"/>
        <v>Laiton - BronzeMamelons réduits 245 LAITON</v>
      </c>
      <c r="E2513" s="105" t="s">
        <v>1079</v>
      </c>
      <c r="F2513" s="81">
        <v>5</v>
      </c>
      <c r="G2513" s="71" t="s">
        <v>2440</v>
      </c>
      <c r="H2513" s="71"/>
      <c r="I2513" s="71"/>
      <c r="J2513" s="70">
        <f>IFERROR(VLOOKUP(Devis[[#This Row],[Ref Air Flux]],#REF!,3,FALSE),0)</f>
        <v>0</v>
      </c>
      <c r="K2513" s="68"/>
      <c r="L2513" s="68"/>
      <c r="M2513" s="68"/>
      <c r="N2513" s="68"/>
      <c r="O2513" s="68"/>
      <c r="P2513" s="68"/>
      <c r="Q2513" s="68">
        <f>SUM(Devis[[#This Row],[Poste 1]:[Poste 6]])</f>
        <v>0</v>
      </c>
      <c r="R2513" s="71"/>
      <c r="S2513" s="68">
        <f>_xlfn.CEILING.MATH(Devis[[#This Row],[Quantité Totale]],Devis[[#This Row],[Conditionnement]])</f>
        <v>0</v>
      </c>
      <c r="T2513" s="72"/>
      <c r="U2513" s="73"/>
      <c r="V2513" s="74">
        <f>Devis[[#This Row],[Prix de Revient]]*Devis[[#This Row],[Poste 1]]</f>
        <v>0</v>
      </c>
      <c r="W2513" s="74">
        <f>Devis[[#This Row],[Prix de Revient]]*Devis[[#This Row],[Poste 2]]</f>
        <v>0</v>
      </c>
      <c r="X2513" s="74">
        <f>Devis[[#This Row],[Prix de Revient]]*Devis[[#This Row],[Poste 3]]</f>
        <v>0</v>
      </c>
      <c r="Y2513" s="74">
        <f>Devis[[#This Row],[Poste 4]]*Devis[[#This Row],[Prix de Revient]]</f>
        <v>0</v>
      </c>
      <c r="Z2513" s="74">
        <f>Devis[[#This Row],[Poste 5]]*Devis[[#This Row],[Prix de Revient]]</f>
        <v>0</v>
      </c>
      <c r="AA2513" s="74">
        <f>Devis[[#This Row],[Prix de Revient]]*Devis[[#This Row],[Poste 6]]</f>
        <v>0</v>
      </c>
      <c r="AB2513" s="74">
        <f>Devis[[#This Row],[Quantité Totale]]*Devis[[#This Row],[Prix de Revient]]</f>
        <v>0</v>
      </c>
    </row>
    <row r="2514" spans="1:28" ht="14.25" customHeight="1" outlineLevel="1" x14ac:dyDescent="0.2">
      <c r="A2514" s="75" t="s">
        <v>2374</v>
      </c>
      <c r="B2514" s="80" t="s">
        <v>2435</v>
      </c>
      <c r="C2514" s="105"/>
      <c r="D2514" s="81" t="str">
        <f t="shared" si="43"/>
        <v>Laiton - BronzeMamelons réduits 245 LAITON</v>
      </c>
      <c r="E2514" s="105" t="s">
        <v>30</v>
      </c>
      <c r="F2514" s="81">
        <v>6</v>
      </c>
      <c r="G2514" s="71" t="s">
        <v>2441</v>
      </c>
      <c r="H2514" s="71"/>
      <c r="I2514" s="71"/>
      <c r="J2514" s="70">
        <f>IFERROR(VLOOKUP(Devis[[#This Row],[Ref Air Flux]],#REF!,3,FALSE),0)</f>
        <v>0</v>
      </c>
      <c r="K2514" s="68"/>
      <c r="L2514" s="68"/>
      <c r="M2514" s="68"/>
      <c r="N2514" s="68"/>
      <c r="O2514" s="68"/>
      <c r="P2514" s="68"/>
      <c r="Q2514" s="68">
        <f>SUM(Devis[[#This Row],[Poste 1]:[Poste 6]])</f>
        <v>0</v>
      </c>
      <c r="R2514" s="71"/>
      <c r="S2514" s="68">
        <f>_xlfn.CEILING.MATH(Devis[[#This Row],[Quantité Totale]],Devis[[#This Row],[Conditionnement]])</f>
        <v>0</v>
      </c>
      <c r="T2514" s="72"/>
      <c r="U2514" s="73"/>
      <c r="V2514" s="74">
        <f>Devis[[#This Row],[Prix de Revient]]*Devis[[#This Row],[Poste 1]]</f>
        <v>0</v>
      </c>
      <c r="W2514" s="74">
        <f>Devis[[#This Row],[Prix de Revient]]*Devis[[#This Row],[Poste 2]]</f>
        <v>0</v>
      </c>
      <c r="X2514" s="74">
        <f>Devis[[#This Row],[Prix de Revient]]*Devis[[#This Row],[Poste 3]]</f>
        <v>0</v>
      </c>
      <c r="Y2514" s="74">
        <f>Devis[[#This Row],[Poste 4]]*Devis[[#This Row],[Prix de Revient]]</f>
        <v>0</v>
      </c>
      <c r="Z2514" s="74">
        <f>Devis[[#This Row],[Poste 5]]*Devis[[#This Row],[Prix de Revient]]</f>
        <v>0</v>
      </c>
      <c r="AA2514" s="74">
        <f>Devis[[#This Row],[Prix de Revient]]*Devis[[#This Row],[Poste 6]]</f>
        <v>0</v>
      </c>
      <c r="AB2514" s="74">
        <f>Devis[[#This Row],[Quantité Totale]]*Devis[[#This Row],[Prix de Revient]]</f>
        <v>0</v>
      </c>
    </row>
    <row r="2515" spans="1:28" ht="15" customHeight="1" outlineLevel="1" x14ac:dyDescent="0.2">
      <c r="A2515" s="75" t="s">
        <v>2374</v>
      </c>
      <c r="B2515" s="80" t="s">
        <v>2435</v>
      </c>
      <c r="C2515" s="105"/>
      <c r="D2515" s="81" t="str">
        <f t="shared" si="43"/>
        <v>Laiton - BronzeMamelons réduits 245 LAITON</v>
      </c>
      <c r="E2515" s="105" t="s">
        <v>1086</v>
      </c>
      <c r="F2515" s="81">
        <v>7</v>
      </c>
      <c r="G2515" s="71" t="s">
        <v>2442</v>
      </c>
      <c r="H2515" s="71"/>
      <c r="I2515" s="71"/>
      <c r="J2515" s="70">
        <f>IFERROR(VLOOKUP(Devis[[#This Row],[Ref Air Flux]],#REF!,3,FALSE),0)</f>
        <v>0</v>
      </c>
      <c r="K2515" s="68"/>
      <c r="L2515" s="68"/>
      <c r="M2515" s="68"/>
      <c r="N2515" s="68"/>
      <c r="O2515" s="68"/>
      <c r="P2515" s="68"/>
      <c r="Q2515" s="68">
        <f>SUM(Devis[[#This Row],[Poste 1]:[Poste 6]])</f>
        <v>0</v>
      </c>
      <c r="R2515" s="71"/>
      <c r="S2515" s="68">
        <f>_xlfn.CEILING.MATH(Devis[[#This Row],[Quantité Totale]],Devis[[#This Row],[Conditionnement]])</f>
        <v>0</v>
      </c>
      <c r="T2515" s="72"/>
      <c r="U2515" s="73"/>
      <c r="V2515" s="74">
        <f>Devis[[#This Row],[Prix de Revient]]*Devis[[#This Row],[Poste 1]]</f>
        <v>0</v>
      </c>
      <c r="W2515" s="74">
        <f>Devis[[#This Row],[Prix de Revient]]*Devis[[#This Row],[Poste 2]]</f>
        <v>0</v>
      </c>
      <c r="X2515" s="74">
        <f>Devis[[#This Row],[Prix de Revient]]*Devis[[#This Row],[Poste 3]]</f>
        <v>0</v>
      </c>
      <c r="Y2515" s="74">
        <f>Devis[[#This Row],[Poste 4]]*Devis[[#This Row],[Prix de Revient]]</f>
        <v>0</v>
      </c>
      <c r="Z2515" s="74">
        <f>Devis[[#This Row],[Poste 5]]*Devis[[#This Row],[Prix de Revient]]</f>
        <v>0</v>
      </c>
      <c r="AA2515" s="74">
        <f>Devis[[#This Row],[Prix de Revient]]*Devis[[#This Row],[Poste 6]]</f>
        <v>0</v>
      </c>
      <c r="AB2515" s="74">
        <f>Devis[[#This Row],[Quantité Totale]]*Devis[[#This Row],[Prix de Revient]]</f>
        <v>0</v>
      </c>
    </row>
    <row r="2516" spans="1:28" ht="14.25" outlineLevel="1" x14ac:dyDescent="0.2">
      <c r="A2516" s="75" t="s">
        <v>2374</v>
      </c>
      <c r="B2516" s="80" t="s">
        <v>2435</v>
      </c>
      <c r="C2516" s="105"/>
      <c r="D2516" s="81" t="str">
        <f t="shared" si="43"/>
        <v>Laiton - BronzeMamelons réduits 245 LAITON</v>
      </c>
      <c r="E2516" s="105" t="s">
        <v>29</v>
      </c>
      <c r="F2516" s="81">
        <v>8</v>
      </c>
      <c r="G2516" s="71" t="s">
        <v>2443</v>
      </c>
      <c r="H2516" s="71"/>
      <c r="I2516" s="71"/>
      <c r="J2516" s="70">
        <f>IFERROR(VLOOKUP(Devis[[#This Row],[Ref Air Flux]],#REF!,3,FALSE),0)</f>
        <v>0</v>
      </c>
      <c r="K2516" s="68"/>
      <c r="L2516" s="68"/>
      <c r="M2516" s="68"/>
      <c r="N2516" s="68"/>
      <c r="O2516" s="68"/>
      <c r="P2516" s="68"/>
      <c r="Q2516" s="68">
        <f>SUM(Devis[[#This Row],[Poste 1]:[Poste 6]])</f>
        <v>0</v>
      </c>
      <c r="R2516" s="71"/>
      <c r="S2516" s="68">
        <f>_xlfn.CEILING.MATH(Devis[[#This Row],[Quantité Totale]],Devis[[#This Row],[Conditionnement]])</f>
        <v>0</v>
      </c>
      <c r="T2516" s="72"/>
      <c r="U2516" s="73"/>
      <c r="V2516" s="74">
        <f>Devis[[#This Row],[Prix de Revient]]*Devis[[#This Row],[Poste 1]]</f>
        <v>0</v>
      </c>
      <c r="W2516" s="74">
        <f>Devis[[#This Row],[Prix de Revient]]*Devis[[#This Row],[Poste 2]]</f>
        <v>0</v>
      </c>
      <c r="X2516" s="74">
        <f>Devis[[#This Row],[Prix de Revient]]*Devis[[#This Row],[Poste 3]]</f>
        <v>0</v>
      </c>
      <c r="Y2516" s="74">
        <f>Devis[[#This Row],[Poste 4]]*Devis[[#This Row],[Prix de Revient]]</f>
        <v>0</v>
      </c>
      <c r="Z2516" s="74">
        <f>Devis[[#This Row],[Poste 5]]*Devis[[#This Row],[Prix de Revient]]</f>
        <v>0</v>
      </c>
      <c r="AA2516" s="74">
        <f>Devis[[#This Row],[Prix de Revient]]*Devis[[#This Row],[Poste 6]]</f>
        <v>0</v>
      </c>
      <c r="AB2516" s="74">
        <f>Devis[[#This Row],[Quantité Totale]]*Devis[[#This Row],[Prix de Revient]]</f>
        <v>0</v>
      </c>
    </row>
    <row r="2517" spans="1:28" ht="14.25" outlineLevel="1" x14ac:dyDescent="0.2">
      <c r="A2517" s="75" t="s">
        <v>2374</v>
      </c>
      <c r="B2517" s="80" t="s">
        <v>2435</v>
      </c>
      <c r="C2517" s="105"/>
      <c r="D2517" s="81" t="str">
        <f t="shared" si="43"/>
        <v>Laiton - BronzeMamelons réduits 245 LAITON</v>
      </c>
      <c r="E2517" s="105" t="s">
        <v>1091</v>
      </c>
      <c r="F2517" s="81">
        <v>9</v>
      </c>
      <c r="G2517" s="71" t="s">
        <v>2444</v>
      </c>
      <c r="H2517" s="71"/>
      <c r="I2517" s="71"/>
      <c r="J2517" s="70">
        <f>IFERROR(VLOOKUP(Devis[[#This Row],[Ref Air Flux]],#REF!,3,FALSE),0)</f>
        <v>0</v>
      </c>
      <c r="K2517" s="68"/>
      <c r="L2517" s="68"/>
      <c r="M2517" s="68"/>
      <c r="N2517" s="68"/>
      <c r="O2517" s="68"/>
      <c r="P2517" s="68"/>
      <c r="Q2517" s="68">
        <f>SUM(Devis[[#This Row],[Poste 1]:[Poste 6]])</f>
        <v>0</v>
      </c>
      <c r="R2517" s="71"/>
      <c r="S2517" s="68">
        <f>_xlfn.CEILING.MATH(Devis[[#This Row],[Quantité Totale]],Devis[[#This Row],[Conditionnement]])</f>
        <v>0</v>
      </c>
      <c r="T2517" s="72"/>
      <c r="U2517" s="73"/>
      <c r="V2517" s="74">
        <f>Devis[[#This Row],[Prix de Revient]]*Devis[[#This Row],[Poste 1]]</f>
        <v>0</v>
      </c>
      <c r="W2517" s="74">
        <f>Devis[[#This Row],[Prix de Revient]]*Devis[[#This Row],[Poste 2]]</f>
        <v>0</v>
      </c>
      <c r="X2517" s="74">
        <f>Devis[[#This Row],[Prix de Revient]]*Devis[[#This Row],[Poste 3]]</f>
        <v>0</v>
      </c>
      <c r="Y2517" s="74">
        <f>Devis[[#This Row],[Poste 4]]*Devis[[#This Row],[Prix de Revient]]</f>
        <v>0</v>
      </c>
      <c r="Z2517" s="74">
        <f>Devis[[#This Row],[Poste 5]]*Devis[[#This Row],[Prix de Revient]]</f>
        <v>0</v>
      </c>
      <c r="AA2517" s="74">
        <f>Devis[[#This Row],[Prix de Revient]]*Devis[[#This Row],[Poste 6]]</f>
        <v>0</v>
      </c>
      <c r="AB2517" s="74">
        <f>Devis[[#This Row],[Quantité Totale]]*Devis[[#This Row],[Prix de Revient]]</f>
        <v>0</v>
      </c>
    </row>
    <row r="2518" spans="1:28" ht="14.25" outlineLevel="1" x14ac:dyDescent="0.2">
      <c r="A2518" s="75" t="s">
        <v>2374</v>
      </c>
      <c r="B2518" s="80" t="s">
        <v>2435</v>
      </c>
      <c r="C2518" s="105"/>
      <c r="D2518" s="81" t="str">
        <f t="shared" si="43"/>
        <v>Laiton - BronzeMamelons réduits 245 LAITON</v>
      </c>
      <c r="E2518" s="105" t="s">
        <v>28</v>
      </c>
      <c r="F2518" s="81">
        <v>10</v>
      </c>
      <c r="G2518" s="71" t="s">
        <v>2445</v>
      </c>
      <c r="H2518" s="71"/>
      <c r="I2518" s="71"/>
      <c r="J2518" s="70">
        <f>IFERROR(VLOOKUP(Devis[[#This Row],[Ref Air Flux]],#REF!,3,FALSE),0)</f>
        <v>0</v>
      </c>
      <c r="K2518" s="68"/>
      <c r="L2518" s="68"/>
      <c r="M2518" s="68"/>
      <c r="N2518" s="68"/>
      <c r="O2518" s="68"/>
      <c r="P2518" s="68"/>
      <c r="Q2518" s="68">
        <f>SUM(Devis[[#This Row],[Poste 1]:[Poste 6]])</f>
        <v>0</v>
      </c>
      <c r="R2518" s="71"/>
      <c r="S2518" s="68">
        <f>_xlfn.CEILING.MATH(Devis[[#This Row],[Quantité Totale]],Devis[[#This Row],[Conditionnement]])</f>
        <v>0</v>
      </c>
      <c r="T2518" s="72"/>
      <c r="U2518" s="73"/>
      <c r="V2518" s="74">
        <f>Devis[[#This Row],[Prix de Revient]]*Devis[[#This Row],[Poste 1]]</f>
        <v>0</v>
      </c>
      <c r="W2518" s="74">
        <f>Devis[[#This Row],[Prix de Revient]]*Devis[[#This Row],[Poste 2]]</f>
        <v>0</v>
      </c>
      <c r="X2518" s="74">
        <f>Devis[[#This Row],[Prix de Revient]]*Devis[[#This Row],[Poste 3]]</f>
        <v>0</v>
      </c>
      <c r="Y2518" s="74">
        <f>Devis[[#This Row],[Poste 4]]*Devis[[#This Row],[Prix de Revient]]</f>
        <v>0</v>
      </c>
      <c r="Z2518" s="74">
        <f>Devis[[#This Row],[Poste 5]]*Devis[[#This Row],[Prix de Revient]]</f>
        <v>0</v>
      </c>
      <c r="AA2518" s="74">
        <f>Devis[[#This Row],[Prix de Revient]]*Devis[[#This Row],[Poste 6]]</f>
        <v>0</v>
      </c>
      <c r="AB2518" s="74">
        <f>Devis[[#This Row],[Quantité Totale]]*Devis[[#This Row],[Prix de Revient]]</f>
        <v>0</v>
      </c>
    </row>
    <row r="2519" spans="1:28" ht="14.25" outlineLevel="1" x14ac:dyDescent="0.2">
      <c r="A2519" s="75" t="s">
        <v>2374</v>
      </c>
      <c r="B2519" s="80" t="s">
        <v>2435</v>
      </c>
      <c r="C2519" s="105"/>
      <c r="D2519" s="81" t="str">
        <f t="shared" si="43"/>
        <v>Laiton - BronzeMamelons réduits 245 LAITON</v>
      </c>
      <c r="E2519" s="105" t="s">
        <v>1096</v>
      </c>
      <c r="F2519" s="81">
        <v>11</v>
      </c>
      <c r="G2519" s="71" t="s">
        <v>2446</v>
      </c>
      <c r="H2519" s="71"/>
      <c r="I2519" s="71"/>
      <c r="J2519" s="70">
        <f>IFERROR(VLOOKUP(Devis[[#This Row],[Ref Air Flux]],#REF!,3,FALSE),0)</f>
        <v>0</v>
      </c>
      <c r="K2519" s="68"/>
      <c r="L2519" s="68"/>
      <c r="M2519" s="68"/>
      <c r="N2519" s="68"/>
      <c r="O2519" s="68"/>
      <c r="P2519" s="68"/>
      <c r="Q2519" s="68">
        <f>SUM(Devis[[#This Row],[Poste 1]:[Poste 6]])</f>
        <v>0</v>
      </c>
      <c r="R2519" s="71"/>
      <c r="S2519" s="68">
        <f>_xlfn.CEILING.MATH(Devis[[#This Row],[Quantité Totale]],Devis[[#This Row],[Conditionnement]])</f>
        <v>0</v>
      </c>
      <c r="T2519" s="72"/>
      <c r="U2519" s="73"/>
      <c r="V2519" s="74">
        <f>Devis[[#This Row],[Prix de Revient]]*Devis[[#This Row],[Poste 1]]</f>
        <v>0</v>
      </c>
      <c r="W2519" s="74">
        <f>Devis[[#This Row],[Prix de Revient]]*Devis[[#This Row],[Poste 2]]</f>
        <v>0</v>
      </c>
      <c r="X2519" s="74">
        <f>Devis[[#This Row],[Prix de Revient]]*Devis[[#This Row],[Poste 3]]</f>
        <v>0</v>
      </c>
      <c r="Y2519" s="74">
        <f>Devis[[#This Row],[Poste 4]]*Devis[[#This Row],[Prix de Revient]]</f>
        <v>0</v>
      </c>
      <c r="Z2519" s="74">
        <f>Devis[[#This Row],[Poste 5]]*Devis[[#This Row],[Prix de Revient]]</f>
        <v>0</v>
      </c>
      <c r="AA2519" s="74">
        <f>Devis[[#This Row],[Prix de Revient]]*Devis[[#This Row],[Poste 6]]</f>
        <v>0</v>
      </c>
      <c r="AB2519" s="74">
        <f>Devis[[#This Row],[Quantité Totale]]*Devis[[#This Row],[Prix de Revient]]</f>
        <v>0</v>
      </c>
    </row>
    <row r="2520" spans="1:28" ht="14.25" outlineLevel="1" x14ac:dyDescent="0.2">
      <c r="A2520" s="75" t="s">
        <v>2374</v>
      </c>
      <c r="B2520" s="80" t="s">
        <v>2435</v>
      </c>
      <c r="C2520" s="105"/>
      <c r="D2520" s="81" t="str">
        <f t="shared" si="43"/>
        <v>Laiton - BronzeMamelons réduits 245 LAITON</v>
      </c>
      <c r="E2520" s="105" t="s">
        <v>27</v>
      </c>
      <c r="F2520" s="81">
        <v>12</v>
      </c>
      <c r="G2520" s="71" t="s">
        <v>2447</v>
      </c>
      <c r="H2520" s="71"/>
      <c r="I2520" s="71"/>
      <c r="J2520" s="70">
        <f>IFERROR(VLOOKUP(Devis[[#This Row],[Ref Air Flux]],#REF!,3,FALSE),0)</f>
        <v>0</v>
      </c>
      <c r="K2520" s="68"/>
      <c r="L2520" s="68"/>
      <c r="M2520" s="68"/>
      <c r="N2520" s="68"/>
      <c r="O2520" s="68"/>
      <c r="P2520" s="68"/>
      <c r="Q2520" s="68">
        <f>SUM(Devis[[#This Row],[Poste 1]:[Poste 6]])</f>
        <v>0</v>
      </c>
      <c r="R2520" s="71"/>
      <c r="S2520" s="68">
        <f>_xlfn.CEILING.MATH(Devis[[#This Row],[Quantité Totale]],Devis[[#This Row],[Conditionnement]])</f>
        <v>0</v>
      </c>
      <c r="T2520" s="72"/>
      <c r="U2520" s="73"/>
      <c r="V2520" s="74">
        <f>Devis[[#This Row],[Prix de Revient]]*Devis[[#This Row],[Poste 1]]</f>
        <v>0</v>
      </c>
      <c r="W2520" s="74">
        <f>Devis[[#This Row],[Prix de Revient]]*Devis[[#This Row],[Poste 2]]</f>
        <v>0</v>
      </c>
      <c r="X2520" s="74">
        <f>Devis[[#This Row],[Prix de Revient]]*Devis[[#This Row],[Poste 3]]</f>
        <v>0</v>
      </c>
      <c r="Y2520" s="74">
        <f>Devis[[#This Row],[Poste 4]]*Devis[[#This Row],[Prix de Revient]]</f>
        <v>0</v>
      </c>
      <c r="Z2520" s="74">
        <f>Devis[[#This Row],[Poste 5]]*Devis[[#This Row],[Prix de Revient]]</f>
        <v>0</v>
      </c>
      <c r="AA2520" s="74">
        <f>Devis[[#This Row],[Prix de Revient]]*Devis[[#This Row],[Poste 6]]</f>
        <v>0</v>
      </c>
      <c r="AB2520" s="74">
        <f>Devis[[#This Row],[Quantité Totale]]*Devis[[#This Row],[Prix de Revient]]</f>
        <v>0</v>
      </c>
    </row>
    <row r="2521" spans="1:28" ht="14.25" outlineLevel="1" x14ac:dyDescent="0.2">
      <c r="A2521" s="75" t="s">
        <v>2374</v>
      </c>
      <c r="B2521" s="80" t="s">
        <v>2435</v>
      </c>
      <c r="C2521" s="105"/>
      <c r="D2521" s="81" t="str">
        <f t="shared" si="43"/>
        <v>Laiton - BronzeMamelons réduits 245 LAITON</v>
      </c>
      <c r="E2521" s="105" t="s">
        <v>1101</v>
      </c>
      <c r="F2521" s="81">
        <v>13</v>
      </c>
      <c r="G2521" s="71" t="s">
        <v>2448</v>
      </c>
      <c r="H2521" s="71"/>
      <c r="I2521" s="71"/>
      <c r="J2521" s="70">
        <f>IFERROR(VLOOKUP(Devis[[#This Row],[Ref Air Flux]],#REF!,3,FALSE),0)</f>
        <v>0</v>
      </c>
      <c r="K2521" s="68"/>
      <c r="L2521" s="68"/>
      <c r="M2521" s="68"/>
      <c r="N2521" s="68"/>
      <c r="O2521" s="68"/>
      <c r="P2521" s="68"/>
      <c r="Q2521" s="68">
        <f>SUM(Devis[[#This Row],[Poste 1]:[Poste 6]])</f>
        <v>0</v>
      </c>
      <c r="R2521" s="71"/>
      <c r="S2521" s="68">
        <f>_xlfn.CEILING.MATH(Devis[[#This Row],[Quantité Totale]],Devis[[#This Row],[Conditionnement]])</f>
        <v>0</v>
      </c>
      <c r="T2521" s="72"/>
      <c r="U2521" s="73"/>
      <c r="V2521" s="74">
        <f>Devis[[#This Row],[Prix de Revient]]*Devis[[#This Row],[Poste 1]]</f>
        <v>0</v>
      </c>
      <c r="W2521" s="74">
        <f>Devis[[#This Row],[Prix de Revient]]*Devis[[#This Row],[Poste 2]]</f>
        <v>0</v>
      </c>
      <c r="X2521" s="74">
        <f>Devis[[#This Row],[Prix de Revient]]*Devis[[#This Row],[Poste 3]]</f>
        <v>0</v>
      </c>
      <c r="Y2521" s="74">
        <f>Devis[[#This Row],[Poste 4]]*Devis[[#This Row],[Prix de Revient]]</f>
        <v>0</v>
      </c>
      <c r="Z2521" s="74">
        <f>Devis[[#This Row],[Poste 5]]*Devis[[#This Row],[Prix de Revient]]</f>
        <v>0</v>
      </c>
      <c r="AA2521" s="74">
        <f>Devis[[#This Row],[Prix de Revient]]*Devis[[#This Row],[Poste 6]]</f>
        <v>0</v>
      </c>
      <c r="AB2521" s="74">
        <f>Devis[[#This Row],[Quantité Totale]]*Devis[[#This Row],[Prix de Revient]]</f>
        <v>0</v>
      </c>
    </row>
    <row r="2522" spans="1:28" ht="14.25" customHeight="1" outlineLevel="1" x14ac:dyDescent="0.2">
      <c r="A2522" s="75" t="s">
        <v>2374</v>
      </c>
      <c r="B2522" s="80" t="s">
        <v>2435</v>
      </c>
      <c r="C2522" s="105"/>
      <c r="D2522" s="81" t="str">
        <f t="shared" si="43"/>
        <v>Laiton - BronzeMamelons réduits 245 LAITON</v>
      </c>
      <c r="E2522" s="75" t="s">
        <v>1105</v>
      </c>
      <c r="F2522" s="81">
        <v>14</v>
      </c>
      <c r="G2522" s="71" t="s">
        <v>2449</v>
      </c>
      <c r="H2522" s="71"/>
      <c r="I2522" s="71"/>
      <c r="J2522" s="70">
        <f>IFERROR(VLOOKUP(Devis[[#This Row],[Ref Air Flux]],#REF!,3,FALSE),0)</f>
        <v>0</v>
      </c>
      <c r="K2522" s="68"/>
      <c r="L2522" s="68"/>
      <c r="M2522" s="68"/>
      <c r="N2522" s="68"/>
      <c r="O2522" s="68"/>
      <c r="P2522" s="68"/>
      <c r="Q2522" s="68">
        <f>SUM(Devis[[#This Row],[Poste 1]:[Poste 6]])</f>
        <v>0</v>
      </c>
      <c r="R2522" s="71"/>
      <c r="S2522" s="68">
        <f>_xlfn.CEILING.MATH(Devis[[#This Row],[Quantité Totale]],Devis[[#This Row],[Conditionnement]])</f>
        <v>0</v>
      </c>
      <c r="T2522" s="72"/>
      <c r="U2522" s="73"/>
      <c r="V2522" s="74">
        <f>Devis[[#This Row],[Prix de Revient]]*Devis[[#This Row],[Poste 1]]</f>
        <v>0</v>
      </c>
      <c r="W2522" s="74">
        <f>Devis[[#This Row],[Prix de Revient]]*Devis[[#This Row],[Poste 2]]</f>
        <v>0</v>
      </c>
      <c r="X2522" s="74">
        <f>Devis[[#This Row],[Prix de Revient]]*Devis[[#This Row],[Poste 3]]</f>
        <v>0</v>
      </c>
      <c r="Y2522" s="74">
        <f>Devis[[#This Row],[Poste 4]]*Devis[[#This Row],[Prix de Revient]]</f>
        <v>0</v>
      </c>
      <c r="Z2522" s="74">
        <f>Devis[[#This Row],[Poste 5]]*Devis[[#This Row],[Prix de Revient]]</f>
        <v>0</v>
      </c>
      <c r="AA2522" s="74">
        <f>Devis[[#This Row],[Prix de Revient]]*Devis[[#This Row],[Poste 6]]</f>
        <v>0</v>
      </c>
      <c r="AB2522" s="74">
        <f>Devis[[#This Row],[Quantité Totale]]*Devis[[#This Row],[Prix de Revient]]</f>
        <v>0</v>
      </c>
    </row>
    <row r="2523" spans="1:28" ht="14.25" customHeight="1" outlineLevel="1" x14ac:dyDescent="0.2">
      <c r="A2523" s="75" t="s">
        <v>2374</v>
      </c>
      <c r="B2523" s="80" t="s">
        <v>2435</v>
      </c>
      <c r="C2523" s="105"/>
      <c r="D2523" s="81" t="str">
        <f t="shared" si="43"/>
        <v>Laiton - BronzeMamelons réduits 245 LAITON</v>
      </c>
      <c r="E2523" s="75" t="s">
        <v>2450</v>
      </c>
      <c r="F2523" s="81">
        <v>15</v>
      </c>
      <c r="G2523" s="71" t="s">
        <v>2451</v>
      </c>
      <c r="H2523" s="71"/>
      <c r="I2523" s="71"/>
      <c r="J2523" s="70">
        <f>IFERROR(VLOOKUP(Devis[[#This Row],[Ref Air Flux]],#REF!,3,FALSE),0)</f>
        <v>0</v>
      </c>
      <c r="K2523" s="68"/>
      <c r="L2523" s="68"/>
      <c r="M2523" s="68"/>
      <c r="N2523" s="68"/>
      <c r="O2523" s="68"/>
      <c r="P2523" s="68"/>
      <c r="Q2523" s="68">
        <f>SUM(Devis[[#This Row],[Poste 1]:[Poste 6]])</f>
        <v>0</v>
      </c>
      <c r="R2523" s="71"/>
      <c r="S2523" s="68">
        <f>_xlfn.CEILING.MATH(Devis[[#This Row],[Quantité Totale]],Devis[[#This Row],[Conditionnement]])</f>
        <v>0</v>
      </c>
      <c r="T2523" s="72"/>
      <c r="U2523" s="73"/>
      <c r="V2523" s="74">
        <f>Devis[[#This Row],[Prix de Revient]]*Devis[[#This Row],[Poste 1]]</f>
        <v>0</v>
      </c>
      <c r="W2523" s="74">
        <f>Devis[[#This Row],[Prix de Revient]]*Devis[[#This Row],[Poste 2]]</f>
        <v>0</v>
      </c>
      <c r="X2523" s="74">
        <f>Devis[[#This Row],[Prix de Revient]]*Devis[[#This Row],[Poste 3]]</f>
        <v>0</v>
      </c>
      <c r="Y2523" s="74">
        <f>Devis[[#This Row],[Poste 4]]*Devis[[#This Row],[Prix de Revient]]</f>
        <v>0</v>
      </c>
      <c r="Z2523" s="74">
        <f>Devis[[#This Row],[Poste 5]]*Devis[[#This Row],[Prix de Revient]]</f>
        <v>0</v>
      </c>
      <c r="AA2523" s="74">
        <f>Devis[[#This Row],[Prix de Revient]]*Devis[[#This Row],[Poste 6]]</f>
        <v>0</v>
      </c>
      <c r="AB2523" s="74">
        <f>Devis[[#This Row],[Quantité Totale]]*Devis[[#This Row],[Prix de Revient]]</f>
        <v>0</v>
      </c>
    </row>
    <row r="2524" spans="1:28" ht="14.25" customHeight="1" x14ac:dyDescent="0.25">
      <c r="A2524" s="65" t="s">
        <v>2374</v>
      </c>
      <c r="B2524" s="65" t="s">
        <v>2452</v>
      </c>
      <c r="C2524" s="76"/>
      <c r="D2524" s="81" t="str">
        <f t="shared" si="43"/>
        <v>Laiton - BronzeManchons réduits FF 240 Laiton</v>
      </c>
      <c r="E2524" s="76"/>
      <c r="F2524" s="81">
        <v>0</v>
      </c>
      <c r="G2524" s="71"/>
      <c r="H2524" s="71"/>
      <c r="I2524" s="71"/>
      <c r="J2524" s="70">
        <f>IFERROR(VLOOKUP(Devis[[#This Row],[Ref Air Flux]],#REF!,3,FALSE),0)</f>
        <v>0</v>
      </c>
      <c r="K2524" s="68"/>
      <c r="L2524" s="68"/>
      <c r="M2524" s="68"/>
      <c r="N2524" s="68"/>
      <c r="O2524" s="68"/>
      <c r="P2524" s="68"/>
      <c r="Q2524" s="68">
        <f>SUM(Devis[[#This Row],[Poste 1]:[Poste 6]])</f>
        <v>0</v>
      </c>
      <c r="R2524" s="71"/>
      <c r="S2524" s="68">
        <f>_xlfn.CEILING.MATH(Devis[[#This Row],[Quantité Totale]],Devis[[#This Row],[Conditionnement]])</f>
        <v>0</v>
      </c>
      <c r="T2524" s="72"/>
      <c r="U2524" s="73"/>
      <c r="V2524" s="74">
        <f>Devis[[#This Row],[Prix de Revient]]*Devis[[#This Row],[Poste 1]]</f>
        <v>0</v>
      </c>
      <c r="W2524" s="74">
        <f>Devis[[#This Row],[Prix de Revient]]*Devis[[#This Row],[Poste 2]]</f>
        <v>0</v>
      </c>
      <c r="X2524" s="74">
        <f>Devis[[#This Row],[Prix de Revient]]*Devis[[#This Row],[Poste 3]]</f>
        <v>0</v>
      </c>
      <c r="Y2524" s="74">
        <f>Devis[[#This Row],[Poste 4]]*Devis[[#This Row],[Prix de Revient]]</f>
        <v>0</v>
      </c>
      <c r="Z2524" s="74">
        <f>Devis[[#This Row],[Poste 5]]*Devis[[#This Row],[Prix de Revient]]</f>
        <v>0</v>
      </c>
      <c r="AA2524" s="74">
        <f>Devis[[#This Row],[Prix de Revient]]*Devis[[#This Row],[Poste 6]]</f>
        <v>0</v>
      </c>
      <c r="AB2524" s="74">
        <f>Devis[[#This Row],[Quantité Totale]]*Devis[[#This Row],[Prix de Revient]]</f>
        <v>0</v>
      </c>
    </row>
    <row r="2525" spans="1:28" ht="14.25" customHeight="1" outlineLevel="1" x14ac:dyDescent="0.2">
      <c r="A2525" s="75" t="s">
        <v>2374</v>
      </c>
      <c r="B2525" s="76" t="s">
        <v>2452</v>
      </c>
      <c r="C2525" s="75"/>
      <c r="D2525" s="81" t="str">
        <f t="shared" si="43"/>
        <v>Laiton - BronzeManchons réduits FF 240 Laiton</v>
      </c>
      <c r="E2525" s="105" t="s">
        <v>29</v>
      </c>
      <c r="F2525" s="81">
        <v>1</v>
      </c>
      <c r="G2525" s="71" t="s">
        <v>2453</v>
      </c>
      <c r="H2525" s="71"/>
      <c r="I2525" s="71"/>
      <c r="J2525" s="70">
        <f>IFERROR(VLOOKUP(Devis[[#This Row],[Ref Air Flux]],#REF!,3,FALSE),0)</f>
        <v>0</v>
      </c>
      <c r="K2525" s="68"/>
      <c r="L2525" s="68"/>
      <c r="M2525" s="68"/>
      <c r="N2525" s="68"/>
      <c r="O2525" s="68"/>
      <c r="P2525" s="68"/>
      <c r="Q2525" s="68">
        <f>SUM(Devis[[#This Row],[Poste 1]:[Poste 6]])</f>
        <v>0</v>
      </c>
      <c r="R2525" s="71"/>
      <c r="S2525" s="68">
        <f>_xlfn.CEILING.MATH(Devis[[#This Row],[Quantité Totale]],Devis[[#This Row],[Conditionnement]])</f>
        <v>0</v>
      </c>
      <c r="T2525" s="72"/>
      <c r="U2525" s="73"/>
      <c r="V2525" s="74">
        <f>Devis[[#This Row],[Prix de Revient]]*Devis[[#This Row],[Poste 1]]</f>
        <v>0</v>
      </c>
      <c r="W2525" s="74">
        <f>Devis[[#This Row],[Prix de Revient]]*Devis[[#This Row],[Poste 2]]</f>
        <v>0</v>
      </c>
      <c r="X2525" s="74">
        <f>Devis[[#This Row],[Prix de Revient]]*Devis[[#This Row],[Poste 3]]</f>
        <v>0</v>
      </c>
      <c r="Y2525" s="74">
        <f>Devis[[#This Row],[Poste 4]]*Devis[[#This Row],[Prix de Revient]]</f>
        <v>0</v>
      </c>
      <c r="Z2525" s="74">
        <f>Devis[[#This Row],[Poste 5]]*Devis[[#This Row],[Prix de Revient]]</f>
        <v>0</v>
      </c>
      <c r="AA2525" s="74">
        <f>Devis[[#This Row],[Prix de Revient]]*Devis[[#This Row],[Poste 6]]</f>
        <v>0</v>
      </c>
      <c r="AB2525" s="74">
        <f>Devis[[#This Row],[Quantité Totale]]*Devis[[#This Row],[Prix de Revient]]</f>
        <v>0</v>
      </c>
    </row>
    <row r="2526" spans="1:28" ht="15" customHeight="1" outlineLevel="1" x14ac:dyDescent="0.2">
      <c r="A2526" s="75" t="s">
        <v>2374</v>
      </c>
      <c r="B2526" s="76" t="s">
        <v>2452</v>
      </c>
      <c r="C2526" s="75"/>
      <c r="D2526" s="81" t="str">
        <f t="shared" si="43"/>
        <v>Laiton - BronzeManchons réduits FF 240 Laiton</v>
      </c>
      <c r="E2526" s="105" t="s">
        <v>28</v>
      </c>
      <c r="F2526" s="81">
        <v>2</v>
      </c>
      <c r="G2526" s="71" t="s">
        <v>2454</v>
      </c>
      <c r="H2526" s="71"/>
      <c r="I2526" s="71"/>
      <c r="J2526" s="70">
        <f>IFERROR(VLOOKUP(Devis[[#This Row],[Ref Air Flux]],#REF!,3,FALSE),0)</f>
        <v>0</v>
      </c>
      <c r="K2526" s="68"/>
      <c r="L2526" s="68"/>
      <c r="M2526" s="68"/>
      <c r="N2526" s="68"/>
      <c r="O2526" s="68"/>
      <c r="P2526" s="68"/>
      <c r="Q2526" s="68">
        <f>SUM(Devis[[#This Row],[Poste 1]:[Poste 6]])</f>
        <v>0</v>
      </c>
      <c r="R2526" s="71"/>
      <c r="S2526" s="68">
        <f>_xlfn.CEILING.MATH(Devis[[#This Row],[Quantité Totale]],Devis[[#This Row],[Conditionnement]])</f>
        <v>0</v>
      </c>
      <c r="T2526" s="72"/>
      <c r="U2526" s="73"/>
      <c r="V2526" s="74">
        <f>Devis[[#This Row],[Prix de Revient]]*Devis[[#This Row],[Poste 1]]</f>
        <v>0</v>
      </c>
      <c r="W2526" s="74">
        <f>Devis[[#This Row],[Prix de Revient]]*Devis[[#This Row],[Poste 2]]</f>
        <v>0</v>
      </c>
      <c r="X2526" s="74">
        <f>Devis[[#This Row],[Prix de Revient]]*Devis[[#This Row],[Poste 3]]</f>
        <v>0</v>
      </c>
      <c r="Y2526" s="74">
        <f>Devis[[#This Row],[Poste 4]]*Devis[[#This Row],[Prix de Revient]]</f>
        <v>0</v>
      </c>
      <c r="Z2526" s="74">
        <f>Devis[[#This Row],[Poste 5]]*Devis[[#This Row],[Prix de Revient]]</f>
        <v>0</v>
      </c>
      <c r="AA2526" s="74">
        <f>Devis[[#This Row],[Prix de Revient]]*Devis[[#This Row],[Poste 6]]</f>
        <v>0</v>
      </c>
      <c r="AB2526" s="74">
        <f>Devis[[#This Row],[Quantité Totale]]*Devis[[#This Row],[Prix de Revient]]</f>
        <v>0</v>
      </c>
    </row>
    <row r="2527" spans="1:28" ht="14.25" outlineLevel="1" x14ac:dyDescent="0.2">
      <c r="A2527" s="75" t="s">
        <v>2374</v>
      </c>
      <c r="B2527" s="76" t="s">
        <v>2452</v>
      </c>
      <c r="C2527" s="75"/>
      <c r="D2527" s="81" t="str">
        <f t="shared" si="43"/>
        <v>Laiton - BronzeManchons réduits FF 240 Laiton</v>
      </c>
      <c r="E2527" s="105" t="s">
        <v>27</v>
      </c>
      <c r="F2527" s="81">
        <v>3</v>
      </c>
      <c r="G2527" s="71" t="s">
        <v>2455</v>
      </c>
      <c r="H2527" s="71"/>
      <c r="I2527" s="71"/>
      <c r="J2527" s="70">
        <f>IFERROR(VLOOKUP(Devis[[#This Row],[Ref Air Flux]],#REF!,3,FALSE),0)</f>
        <v>0</v>
      </c>
      <c r="K2527" s="68"/>
      <c r="L2527" s="68"/>
      <c r="M2527" s="68"/>
      <c r="N2527" s="68"/>
      <c r="O2527" s="68"/>
      <c r="P2527" s="68"/>
      <c r="Q2527" s="68">
        <f>SUM(Devis[[#This Row],[Poste 1]:[Poste 6]])</f>
        <v>0</v>
      </c>
      <c r="R2527" s="71"/>
      <c r="S2527" s="68">
        <f>_xlfn.CEILING.MATH(Devis[[#This Row],[Quantité Totale]],Devis[[#This Row],[Conditionnement]])</f>
        <v>0</v>
      </c>
      <c r="T2527" s="72"/>
      <c r="U2527" s="73"/>
      <c r="V2527" s="74">
        <f>Devis[[#This Row],[Prix de Revient]]*Devis[[#This Row],[Poste 1]]</f>
        <v>0</v>
      </c>
      <c r="W2527" s="74">
        <f>Devis[[#This Row],[Prix de Revient]]*Devis[[#This Row],[Poste 2]]</f>
        <v>0</v>
      </c>
      <c r="X2527" s="74">
        <f>Devis[[#This Row],[Prix de Revient]]*Devis[[#This Row],[Poste 3]]</f>
        <v>0</v>
      </c>
      <c r="Y2527" s="74">
        <f>Devis[[#This Row],[Poste 4]]*Devis[[#This Row],[Prix de Revient]]</f>
        <v>0</v>
      </c>
      <c r="Z2527" s="74">
        <f>Devis[[#This Row],[Poste 5]]*Devis[[#This Row],[Prix de Revient]]</f>
        <v>0</v>
      </c>
      <c r="AA2527" s="74">
        <f>Devis[[#This Row],[Prix de Revient]]*Devis[[#This Row],[Poste 6]]</f>
        <v>0</v>
      </c>
      <c r="AB2527" s="74">
        <f>Devis[[#This Row],[Quantité Totale]]*Devis[[#This Row],[Prix de Revient]]</f>
        <v>0</v>
      </c>
    </row>
    <row r="2528" spans="1:28" ht="14.25" outlineLevel="1" x14ac:dyDescent="0.2">
      <c r="A2528" s="75" t="s">
        <v>2374</v>
      </c>
      <c r="B2528" s="76" t="s">
        <v>2452</v>
      </c>
      <c r="C2528" s="75"/>
      <c r="D2528" s="81" t="str">
        <f t="shared" si="43"/>
        <v>Laiton - BronzeManchons réduits FF 240 Laiton</v>
      </c>
      <c r="E2528" s="105" t="s">
        <v>2456</v>
      </c>
      <c r="F2528" s="81">
        <v>4</v>
      </c>
      <c r="G2528" s="71" t="s">
        <v>2457</v>
      </c>
      <c r="H2528" s="71"/>
      <c r="I2528" s="71"/>
      <c r="J2528" s="70">
        <f>IFERROR(VLOOKUP(Devis[[#This Row],[Ref Air Flux]],#REF!,3,FALSE),0)</f>
        <v>0</v>
      </c>
      <c r="K2528" s="68"/>
      <c r="L2528" s="68"/>
      <c r="M2528" s="68"/>
      <c r="N2528" s="68"/>
      <c r="O2528" s="68"/>
      <c r="P2528" s="68"/>
      <c r="Q2528" s="68">
        <f>SUM(Devis[[#This Row],[Poste 1]:[Poste 6]])</f>
        <v>0</v>
      </c>
      <c r="R2528" s="71"/>
      <c r="S2528" s="68">
        <f>_xlfn.CEILING.MATH(Devis[[#This Row],[Quantité Totale]],Devis[[#This Row],[Conditionnement]])</f>
        <v>0</v>
      </c>
      <c r="T2528" s="72"/>
      <c r="U2528" s="73"/>
      <c r="V2528" s="74">
        <f>Devis[[#This Row],[Prix de Revient]]*Devis[[#This Row],[Poste 1]]</f>
        <v>0</v>
      </c>
      <c r="W2528" s="74">
        <f>Devis[[#This Row],[Prix de Revient]]*Devis[[#This Row],[Poste 2]]</f>
        <v>0</v>
      </c>
      <c r="X2528" s="74">
        <f>Devis[[#This Row],[Prix de Revient]]*Devis[[#This Row],[Poste 3]]</f>
        <v>0</v>
      </c>
      <c r="Y2528" s="74">
        <f>Devis[[#This Row],[Poste 4]]*Devis[[#This Row],[Prix de Revient]]</f>
        <v>0</v>
      </c>
      <c r="Z2528" s="74">
        <f>Devis[[#This Row],[Poste 5]]*Devis[[#This Row],[Prix de Revient]]</f>
        <v>0</v>
      </c>
      <c r="AA2528" s="74">
        <f>Devis[[#This Row],[Prix de Revient]]*Devis[[#This Row],[Poste 6]]</f>
        <v>0</v>
      </c>
      <c r="AB2528" s="74">
        <f>Devis[[#This Row],[Quantité Totale]]*Devis[[#This Row],[Prix de Revient]]</f>
        <v>0</v>
      </c>
    </row>
    <row r="2529" spans="1:28" ht="15" customHeight="1" x14ac:dyDescent="0.25">
      <c r="A2529" s="65" t="s">
        <v>2374</v>
      </c>
      <c r="B2529" s="65" t="s">
        <v>2458</v>
      </c>
      <c r="C2529" s="76"/>
      <c r="D2529" s="81" t="str">
        <f t="shared" si="43"/>
        <v>Laiton - BronzeManchons réduits FM 246 LAITON</v>
      </c>
      <c r="E2529" s="76"/>
      <c r="F2529" s="81">
        <v>0</v>
      </c>
      <c r="G2529" s="71"/>
      <c r="H2529" s="71"/>
      <c r="I2529" s="71"/>
      <c r="J2529" s="70">
        <f>IFERROR(VLOOKUP(Devis[[#This Row],[Ref Air Flux]],#REF!,3,FALSE),0)</f>
        <v>0</v>
      </c>
      <c r="K2529" s="68"/>
      <c r="L2529" s="68"/>
      <c r="M2529" s="68"/>
      <c r="N2529" s="68"/>
      <c r="O2529" s="68"/>
      <c r="P2529" s="68"/>
      <c r="Q2529" s="68">
        <f>SUM(Devis[[#This Row],[Poste 1]:[Poste 6]])</f>
        <v>0</v>
      </c>
      <c r="R2529" s="71"/>
      <c r="S2529" s="68">
        <f>_xlfn.CEILING.MATH(Devis[[#This Row],[Quantité Totale]],Devis[[#This Row],[Conditionnement]])</f>
        <v>0</v>
      </c>
      <c r="T2529" s="72"/>
      <c r="U2529" s="73"/>
      <c r="V2529" s="74">
        <f>Devis[[#This Row],[Prix de Revient]]*Devis[[#This Row],[Poste 1]]</f>
        <v>0</v>
      </c>
      <c r="W2529" s="74">
        <f>Devis[[#This Row],[Prix de Revient]]*Devis[[#This Row],[Poste 2]]</f>
        <v>0</v>
      </c>
      <c r="X2529" s="74">
        <f>Devis[[#This Row],[Prix de Revient]]*Devis[[#This Row],[Poste 3]]</f>
        <v>0</v>
      </c>
      <c r="Y2529" s="74">
        <f>Devis[[#This Row],[Poste 4]]*Devis[[#This Row],[Prix de Revient]]</f>
        <v>0</v>
      </c>
      <c r="Z2529" s="74">
        <f>Devis[[#This Row],[Poste 5]]*Devis[[#This Row],[Prix de Revient]]</f>
        <v>0</v>
      </c>
      <c r="AA2529" s="74">
        <f>Devis[[#This Row],[Prix de Revient]]*Devis[[#This Row],[Poste 6]]</f>
        <v>0</v>
      </c>
      <c r="AB2529" s="74">
        <f>Devis[[#This Row],[Quantité Totale]]*Devis[[#This Row],[Prix de Revient]]</f>
        <v>0</v>
      </c>
    </row>
    <row r="2530" spans="1:28" ht="14.25" customHeight="1" outlineLevel="1" x14ac:dyDescent="0.2">
      <c r="A2530" s="75" t="s">
        <v>2374</v>
      </c>
      <c r="B2530" s="76" t="s">
        <v>2458</v>
      </c>
      <c r="C2530" s="75"/>
      <c r="D2530" s="81" t="str">
        <f t="shared" si="43"/>
        <v>Laiton - BronzeManchons réduits FM 246 LAITON</v>
      </c>
      <c r="E2530" s="105" t="s">
        <v>1067</v>
      </c>
      <c r="F2530" s="81">
        <v>1</v>
      </c>
      <c r="G2530" s="71" t="s">
        <v>2459</v>
      </c>
      <c r="H2530" s="71"/>
      <c r="I2530" s="71"/>
      <c r="J2530" s="70">
        <f>IFERROR(VLOOKUP(Devis[[#This Row],[Ref Air Flux]],#REF!,3,FALSE),0)</f>
        <v>0</v>
      </c>
      <c r="K2530" s="68"/>
      <c r="L2530" s="68"/>
      <c r="M2530" s="68"/>
      <c r="N2530" s="68"/>
      <c r="O2530" s="68"/>
      <c r="P2530" s="68"/>
      <c r="Q2530" s="68">
        <f>SUM(Devis[[#This Row],[Poste 1]:[Poste 6]])</f>
        <v>0</v>
      </c>
      <c r="R2530" s="71"/>
      <c r="S2530" s="68">
        <f>_xlfn.CEILING.MATH(Devis[[#This Row],[Quantité Totale]],Devis[[#This Row],[Conditionnement]])</f>
        <v>0</v>
      </c>
      <c r="T2530" s="72"/>
      <c r="U2530" s="73"/>
      <c r="V2530" s="74">
        <f>Devis[[#This Row],[Prix de Revient]]*Devis[[#This Row],[Poste 1]]</f>
        <v>0</v>
      </c>
      <c r="W2530" s="74">
        <f>Devis[[#This Row],[Prix de Revient]]*Devis[[#This Row],[Poste 2]]</f>
        <v>0</v>
      </c>
      <c r="X2530" s="74">
        <f>Devis[[#This Row],[Prix de Revient]]*Devis[[#This Row],[Poste 3]]</f>
        <v>0</v>
      </c>
      <c r="Y2530" s="74">
        <f>Devis[[#This Row],[Poste 4]]*Devis[[#This Row],[Prix de Revient]]</f>
        <v>0</v>
      </c>
      <c r="Z2530" s="74">
        <f>Devis[[#This Row],[Poste 5]]*Devis[[#This Row],[Prix de Revient]]</f>
        <v>0</v>
      </c>
      <c r="AA2530" s="74">
        <f>Devis[[#This Row],[Prix de Revient]]*Devis[[#This Row],[Poste 6]]</f>
        <v>0</v>
      </c>
      <c r="AB2530" s="74">
        <f>Devis[[#This Row],[Quantité Totale]]*Devis[[#This Row],[Prix de Revient]]</f>
        <v>0</v>
      </c>
    </row>
    <row r="2531" spans="1:28" ht="14.25" customHeight="1" outlineLevel="1" x14ac:dyDescent="0.2">
      <c r="A2531" s="75" t="s">
        <v>2374</v>
      </c>
      <c r="B2531" s="76" t="s">
        <v>2458</v>
      </c>
      <c r="C2531" s="75"/>
      <c r="D2531" s="81" t="str">
        <f t="shared" si="43"/>
        <v>Laiton - BronzeManchons réduits FM 246 LAITON</v>
      </c>
      <c r="E2531" s="105" t="s">
        <v>1069</v>
      </c>
      <c r="F2531" s="81">
        <v>2</v>
      </c>
      <c r="G2531" s="71" t="s">
        <v>2460</v>
      </c>
      <c r="H2531" s="71"/>
      <c r="I2531" s="71"/>
      <c r="J2531" s="70">
        <f>IFERROR(VLOOKUP(Devis[[#This Row],[Ref Air Flux]],#REF!,3,FALSE),0)</f>
        <v>0</v>
      </c>
      <c r="K2531" s="68"/>
      <c r="L2531" s="68"/>
      <c r="M2531" s="68"/>
      <c r="N2531" s="68"/>
      <c r="O2531" s="68"/>
      <c r="P2531" s="68"/>
      <c r="Q2531" s="68">
        <f>SUM(Devis[[#This Row],[Poste 1]:[Poste 6]])</f>
        <v>0</v>
      </c>
      <c r="R2531" s="71"/>
      <c r="S2531" s="68">
        <f>_xlfn.CEILING.MATH(Devis[[#This Row],[Quantité Totale]],Devis[[#This Row],[Conditionnement]])</f>
        <v>0</v>
      </c>
      <c r="T2531" s="72"/>
      <c r="U2531" s="73"/>
      <c r="V2531" s="74">
        <f>Devis[[#This Row],[Prix de Revient]]*Devis[[#This Row],[Poste 1]]</f>
        <v>0</v>
      </c>
      <c r="W2531" s="74">
        <f>Devis[[#This Row],[Prix de Revient]]*Devis[[#This Row],[Poste 2]]</f>
        <v>0</v>
      </c>
      <c r="X2531" s="74">
        <f>Devis[[#This Row],[Prix de Revient]]*Devis[[#This Row],[Poste 3]]</f>
        <v>0</v>
      </c>
      <c r="Y2531" s="74">
        <f>Devis[[#This Row],[Poste 4]]*Devis[[#This Row],[Prix de Revient]]</f>
        <v>0</v>
      </c>
      <c r="Z2531" s="74">
        <f>Devis[[#This Row],[Poste 5]]*Devis[[#This Row],[Prix de Revient]]</f>
        <v>0</v>
      </c>
      <c r="AA2531" s="74">
        <f>Devis[[#This Row],[Prix de Revient]]*Devis[[#This Row],[Poste 6]]</f>
        <v>0</v>
      </c>
      <c r="AB2531" s="74">
        <f>Devis[[#This Row],[Quantité Totale]]*Devis[[#This Row],[Prix de Revient]]</f>
        <v>0</v>
      </c>
    </row>
    <row r="2532" spans="1:28" ht="14.25" outlineLevel="1" x14ac:dyDescent="0.2">
      <c r="A2532" s="75" t="s">
        <v>2374</v>
      </c>
      <c r="B2532" s="76" t="s">
        <v>2458</v>
      </c>
      <c r="C2532" s="75"/>
      <c r="D2532" s="81" t="str">
        <f t="shared" si="43"/>
        <v>Laiton - BronzeManchons réduits FM 246 LAITON</v>
      </c>
      <c r="E2532" s="105" t="s">
        <v>1077</v>
      </c>
      <c r="F2532" s="81">
        <v>3</v>
      </c>
      <c r="G2532" s="71" t="s">
        <v>2461</v>
      </c>
      <c r="H2532" s="71"/>
      <c r="I2532" s="71"/>
      <c r="J2532" s="70">
        <f>IFERROR(VLOOKUP(Devis[[#This Row],[Ref Air Flux]],#REF!,3,FALSE),0)</f>
        <v>0</v>
      </c>
      <c r="K2532" s="68"/>
      <c r="L2532" s="68"/>
      <c r="M2532" s="68"/>
      <c r="N2532" s="68"/>
      <c r="O2532" s="68"/>
      <c r="P2532" s="68"/>
      <c r="Q2532" s="68">
        <f>SUM(Devis[[#This Row],[Poste 1]:[Poste 6]])</f>
        <v>0</v>
      </c>
      <c r="R2532" s="71"/>
      <c r="S2532" s="68">
        <f>_xlfn.CEILING.MATH(Devis[[#This Row],[Quantité Totale]],Devis[[#This Row],[Conditionnement]])</f>
        <v>0</v>
      </c>
      <c r="T2532" s="72"/>
      <c r="U2532" s="73"/>
      <c r="V2532" s="74">
        <f>Devis[[#This Row],[Prix de Revient]]*Devis[[#This Row],[Poste 1]]</f>
        <v>0</v>
      </c>
      <c r="W2532" s="74">
        <f>Devis[[#This Row],[Prix de Revient]]*Devis[[#This Row],[Poste 2]]</f>
        <v>0</v>
      </c>
      <c r="X2532" s="74">
        <f>Devis[[#This Row],[Prix de Revient]]*Devis[[#This Row],[Poste 3]]</f>
        <v>0</v>
      </c>
      <c r="Y2532" s="74">
        <f>Devis[[#This Row],[Poste 4]]*Devis[[#This Row],[Prix de Revient]]</f>
        <v>0</v>
      </c>
      <c r="Z2532" s="74">
        <f>Devis[[#This Row],[Poste 5]]*Devis[[#This Row],[Prix de Revient]]</f>
        <v>0</v>
      </c>
      <c r="AA2532" s="74">
        <f>Devis[[#This Row],[Prix de Revient]]*Devis[[#This Row],[Poste 6]]</f>
        <v>0</v>
      </c>
      <c r="AB2532" s="74">
        <f>Devis[[#This Row],[Quantité Totale]]*Devis[[#This Row],[Prix de Revient]]</f>
        <v>0</v>
      </c>
    </row>
    <row r="2533" spans="1:28" ht="14.25" customHeight="1" outlineLevel="1" x14ac:dyDescent="0.2">
      <c r="A2533" s="75" t="s">
        <v>2374</v>
      </c>
      <c r="B2533" s="76" t="s">
        <v>2458</v>
      </c>
      <c r="C2533" s="75"/>
      <c r="D2533" s="81" t="str">
        <f t="shared" si="43"/>
        <v>Laiton - BronzeManchons réduits FM 246 LAITON</v>
      </c>
      <c r="E2533" s="105" t="s">
        <v>1079</v>
      </c>
      <c r="F2533" s="81">
        <v>4</v>
      </c>
      <c r="G2533" s="71" t="s">
        <v>2462</v>
      </c>
      <c r="H2533" s="71"/>
      <c r="I2533" s="71"/>
      <c r="J2533" s="70">
        <f>IFERROR(VLOOKUP(Devis[[#This Row],[Ref Air Flux]],#REF!,3,FALSE),0)</f>
        <v>0</v>
      </c>
      <c r="K2533" s="68"/>
      <c r="L2533" s="68"/>
      <c r="M2533" s="68"/>
      <c r="N2533" s="68"/>
      <c r="O2533" s="68"/>
      <c r="P2533" s="68"/>
      <c r="Q2533" s="68">
        <f>SUM(Devis[[#This Row],[Poste 1]:[Poste 6]])</f>
        <v>0</v>
      </c>
      <c r="R2533" s="71"/>
      <c r="S2533" s="68">
        <f>_xlfn.CEILING.MATH(Devis[[#This Row],[Quantité Totale]],Devis[[#This Row],[Conditionnement]])</f>
        <v>0</v>
      </c>
      <c r="T2533" s="72"/>
      <c r="U2533" s="73"/>
      <c r="V2533" s="74">
        <f>Devis[[#This Row],[Prix de Revient]]*Devis[[#This Row],[Poste 1]]</f>
        <v>0</v>
      </c>
      <c r="W2533" s="74">
        <f>Devis[[#This Row],[Prix de Revient]]*Devis[[#This Row],[Poste 2]]</f>
        <v>0</v>
      </c>
      <c r="X2533" s="74">
        <f>Devis[[#This Row],[Prix de Revient]]*Devis[[#This Row],[Poste 3]]</f>
        <v>0</v>
      </c>
      <c r="Y2533" s="74">
        <f>Devis[[#This Row],[Poste 4]]*Devis[[#This Row],[Prix de Revient]]</f>
        <v>0</v>
      </c>
      <c r="Z2533" s="74">
        <f>Devis[[#This Row],[Poste 5]]*Devis[[#This Row],[Prix de Revient]]</f>
        <v>0</v>
      </c>
      <c r="AA2533" s="74">
        <f>Devis[[#This Row],[Prix de Revient]]*Devis[[#This Row],[Poste 6]]</f>
        <v>0</v>
      </c>
      <c r="AB2533" s="74">
        <f>Devis[[#This Row],[Quantité Totale]]*Devis[[#This Row],[Prix de Revient]]</f>
        <v>0</v>
      </c>
    </row>
    <row r="2534" spans="1:28" ht="14.25" outlineLevel="1" x14ac:dyDescent="0.2">
      <c r="A2534" s="75" t="s">
        <v>2374</v>
      </c>
      <c r="B2534" s="76" t="s">
        <v>2458</v>
      </c>
      <c r="C2534" s="75"/>
      <c r="D2534" s="81" t="str">
        <f t="shared" si="43"/>
        <v>Laiton - BronzeManchons réduits FM 246 LAITON</v>
      </c>
      <c r="E2534" s="105" t="s">
        <v>30</v>
      </c>
      <c r="F2534" s="81">
        <v>5</v>
      </c>
      <c r="G2534" s="71" t="s">
        <v>2463</v>
      </c>
      <c r="H2534" s="71"/>
      <c r="I2534" s="71"/>
      <c r="J2534" s="70">
        <f>IFERROR(VLOOKUP(Devis[[#This Row],[Ref Air Flux]],#REF!,3,FALSE),0)</f>
        <v>0</v>
      </c>
      <c r="K2534" s="68"/>
      <c r="L2534" s="68"/>
      <c r="M2534" s="68"/>
      <c r="N2534" s="68"/>
      <c r="O2534" s="68"/>
      <c r="P2534" s="68"/>
      <c r="Q2534" s="68">
        <f>SUM(Devis[[#This Row],[Poste 1]:[Poste 6]])</f>
        <v>0</v>
      </c>
      <c r="R2534" s="71"/>
      <c r="S2534" s="68">
        <f>_xlfn.CEILING.MATH(Devis[[#This Row],[Quantité Totale]],Devis[[#This Row],[Conditionnement]])</f>
        <v>0</v>
      </c>
      <c r="T2534" s="72"/>
      <c r="U2534" s="73"/>
      <c r="V2534" s="74">
        <f>Devis[[#This Row],[Prix de Revient]]*Devis[[#This Row],[Poste 1]]</f>
        <v>0</v>
      </c>
      <c r="W2534" s="74">
        <f>Devis[[#This Row],[Prix de Revient]]*Devis[[#This Row],[Poste 2]]</f>
        <v>0</v>
      </c>
      <c r="X2534" s="74">
        <f>Devis[[#This Row],[Prix de Revient]]*Devis[[#This Row],[Poste 3]]</f>
        <v>0</v>
      </c>
      <c r="Y2534" s="74">
        <f>Devis[[#This Row],[Poste 4]]*Devis[[#This Row],[Prix de Revient]]</f>
        <v>0</v>
      </c>
      <c r="Z2534" s="74">
        <f>Devis[[#This Row],[Poste 5]]*Devis[[#This Row],[Prix de Revient]]</f>
        <v>0</v>
      </c>
      <c r="AA2534" s="74">
        <f>Devis[[#This Row],[Prix de Revient]]*Devis[[#This Row],[Poste 6]]</f>
        <v>0</v>
      </c>
      <c r="AB2534" s="74">
        <f>Devis[[#This Row],[Quantité Totale]]*Devis[[#This Row],[Prix de Revient]]</f>
        <v>0</v>
      </c>
    </row>
    <row r="2535" spans="1:28" ht="14.25" outlineLevel="1" x14ac:dyDescent="0.2">
      <c r="A2535" s="75" t="s">
        <v>2374</v>
      </c>
      <c r="B2535" s="76" t="s">
        <v>2458</v>
      </c>
      <c r="C2535" s="75"/>
      <c r="D2535" s="81" t="str">
        <f t="shared" si="43"/>
        <v>Laiton - BronzeManchons réduits FM 246 LAITON</v>
      </c>
      <c r="E2535" s="105" t="s">
        <v>1086</v>
      </c>
      <c r="F2535" s="81">
        <v>6</v>
      </c>
      <c r="G2535" s="71" t="s">
        <v>2464</v>
      </c>
      <c r="H2535" s="71"/>
      <c r="I2535" s="71"/>
      <c r="J2535" s="70">
        <f>IFERROR(VLOOKUP(Devis[[#This Row],[Ref Air Flux]],#REF!,3,FALSE),0)</f>
        <v>0</v>
      </c>
      <c r="K2535" s="68"/>
      <c r="L2535" s="68"/>
      <c r="M2535" s="68"/>
      <c r="N2535" s="68"/>
      <c r="O2535" s="68"/>
      <c r="P2535" s="68"/>
      <c r="Q2535" s="68">
        <f>SUM(Devis[[#This Row],[Poste 1]:[Poste 6]])</f>
        <v>0</v>
      </c>
      <c r="R2535" s="71"/>
      <c r="S2535" s="68">
        <f>_xlfn.CEILING.MATH(Devis[[#This Row],[Quantité Totale]],Devis[[#This Row],[Conditionnement]])</f>
        <v>0</v>
      </c>
      <c r="T2535" s="72"/>
      <c r="U2535" s="73"/>
      <c r="V2535" s="74">
        <f>Devis[[#This Row],[Prix de Revient]]*Devis[[#This Row],[Poste 1]]</f>
        <v>0</v>
      </c>
      <c r="W2535" s="74">
        <f>Devis[[#This Row],[Prix de Revient]]*Devis[[#This Row],[Poste 2]]</f>
        <v>0</v>
      </c>
      <c r="X2535" s="74">
        <f>Devis[[#This Row],[Prix de Revient]]*Devis[[#This Row],[Poste 3]]</f>
        <v>0</v>
      </c>
      <c r="Y2535" s="74">
        <f>Devis[[#This Row],[Poste 4]]*Devis[[#This Row],[Prix de Revient]]</f>
        <v>0</v>
      </c>
      <c r="Z2535" s="74">
        <f>Devis[[#This Row],[Poste 5]]*Devis[[#This Row],[Prix de Revient]]</f>
        <v>0</v>
      </c>
      <c r="AA2535" s="74">
        <f>Devis[[#This Row],[Prix de Revient]]*Devis[[#This Row],[Poste 6]]</f>
        <v>0</v>
      </c>
      <c r="AB2535" s="74">
        <f>Devis[[#This Row],[Quantité Totale]]*Devis[[#This Row],[Prix de Revient]]</f>
        <v>0</v>
      </c>
    </row>
    <row r="2536" spans="1:28" ht="14.25" outlineLevel="1" x14ac:dyDescent="0.2">
      <c r="A2536" s="75" t="s">
        <v>2374</v>
      </c>
      <c r="B2536" s="76" t="s">
        <v>2458</v>
      </c>
      <c r="C2536" s="75"/>
      <c r="D2536" s="81" t="str">
        <f t="shared" si="43"/>
        <v>Laiton - BronzeManchons réduits FM 246 LAITON</v>
      </c>
      <c r="E2536" s="105" t="s">
        <v>29</v>
      </c>
      <c r="F2536" s="81">
        <v>7</v>
      </c>
      <c r="G2536" s="71" t="s">
        <v>2465</v>
      </c>
      <c r="H2536" s="71"/>
      <c r="I2536" s="71"/>
      <c r="J2536" s="70">
        <f>IFERROR(VLOOKUP(Devis[[#This Row],[Ref Air Flux]],#REF!,3,FALSE),0)</f>
        <v>0</v>
      </c>
      <c r="K2536" s="68"/>
      <c r="L2536" s="68"/>
      <c r="M2536" s="68"/>
      <c r="N2536" s="68"/>
      <c r="O2536" s="68"/>
      <c r="P2536" s="68"/>
      <c r="Q2536" s="68">
        <f>SUM(Devis[[#This Row],[Poste 1]:[Poste 6]])</f>
        <v>0</v>
      </c>
      <c r="R2536" s="71"/>
      <c r="S2536" s="68">
        <f>_xlfn.CEILING.MATH(Devis[[#This Row],[Quantité Totale]],Devis[[#This Row],[Conditionnement]])</f>
        <v>0</v>
      </c>
      <c r="T2536" s="72"/>
      <c r="U2536" s="73"/>
      <c r="V2536" s="74">
        <f>Devis[[#This Row],[Prix de Revient]]*Devis[[#This Row],[Poste 1]]</f>
        <v>0</v>
      </c>
      <c r="W2536" s="74">
        <f>Devis[[#This Row],[Prix de Revient]]*Devis[[#This Row],[Poste 2]]</f>
        <v>0</v>
      </c>
      <c r="X2536" s="74">
        <f>Devis[[#This Row],[Prix de Revient]]*Devis[[#This Row],[Poste 3]]</f>
        <v>0</v>
      </c>
      <c r="Y2536" s="74">
        <f>Devis[[#This Row],[Poste 4]]*Devis[[#This Row],[Prix de Revient]]</f>
        <v>0</v>
      </c>
      <c r="Z2536" s="74">
        <f>Devis[[#This Row],[Poste 5]]*Devis[[#This Row],[Prix de Revient]]</f>
        <v>0</v>
      </c>
      <c r="AA2536" s="74">
        <f>Devis[[#This Row],[Prix de Revient]]*Devis[[#This Row],[Poste 6]]</f>
        <v>0</v>
      </c>
      <c r="AB2536" s="74">
        <f>Devis[[#This Row],[Quantité Totale]]*Devis[[#This Row],[Prix de Revient]]</f>
        <v>0</v>
      </c>
    </row>
    <row r="2537" spans="1:28" ht="14.25" outlineLevel="1" x14ac:dyDescent="0.2">
      <c r="A2537" s="75" t="s">
        <v>2374</v>
      </c>
      <c r="B2537" s="76" t="s">
        <v>2458</v>
      </c>
      <c r="C2537" s="75"/>
      <c r="D2537" s="81" t="str">
        <f t="shared" si="43"/>
        <v>Laiton - BronzeManchons réduits FM 246 LAITON</v>
      </c>
      <c r="E2537" s="105" t="s">
        <v>1091</v>
      </c>
      <c r="F2537" s="81">
        <v>8</v>
      </c>
      <c r="G2537" s="71" t="s">
        <v>2466</v>
      </c>
      <c r="H2537" s="71"/>
      <c r="I2537" s="71"/>
      <c r="J2537" s="70">
        <f>IFERROR(VLOOKUP(Devis[[#This Row],[Ref Air Flux]],#REF!,3,FALSE),0)</f>
        <v>0</v>
      </c>
      <c r="K2537" s="68"/>
      <c r="L2537" s="68"/>
      <c r="M2537" s="68"/>
      <c r="N2537" s="68"/>
      <c r="O2537" s="68"/>
      <c r="P2537" s="68"/>
      <c r="Q2537" s="68">
        <f>SUM(Devis[[#This Row],[Poste 1]:[Poste 6]])</f>
        <v>0</v>
      </c>
      <c r="R2537" s="71"/>
      <c r="S2537" s="68">
        <f>_xlfn.CEILING.MATH(Devis[[#This Row],[Quantité Totale]],Devis[[#This Row],[Conditionnement]])</f>
        <v>0</v>
      </c>
      <c r="T2537" s="72"/>
      <c r="U2537" s="73"/>
      <c r="V2537" s="74">
        <f>Devis[[#This Row],[Prix de Revient]]*Devis[[#This Row],[Poste 1]]</f>
        <v>0</v>
      </c>
      <c r="W2537" s="74">
        <f>Devis[[#This Row],[Prix de Revient]]*Devis[[#This Row],[Poste 2]]</f>
        <v>0</v>
      </c>
      <c r="X2537" s="74">
        <f>Devis[[#This Row],[Prix de Revient]]*Devis[[#This Row],[Poste 3]]</f>
        <v>0</v>
      </c>
      <c r="Y2537" s="74">
        <f>Devis[[#This Row],[Poste 4]]*Devis[[#This Row],[Prix de Revient]]</f>
        <v>0</v>
      </c>
      <c r="Z2537" s="74">
        <f>Devis[[#This Row],[Poste 5]]*Devis[[#This Row],[Prix de Revient]]</f>
        <v>0</v>
      </c>
      <c r="AA2537" s="74">
        <f>Devis[[#This Row],[Prix de Revient]]*Devis[[#This Row],[Poste 6]]</f>
        <v>0</v>
      </c>
      <c r="AB2537" s="74">
        <f>Devis[[#This Row],[Quantité Totale]]*Devis[[#This Row],[Prix de Revient]]</f>
        <v>0</v>
      </c>
    </row>
    <row r="2538" spans="1:28" ht="14.25" outlineLevel="1" x14ac:dyDescent="0.2">
      <c r="A2538" s="75" t="s">
        <v>2374</v>
      </c>
      <c r="B2538" s="76" t="s">
        <v>2458</v>
      </c>
      <c r="C2538" s="75"/>
      <c r="D2538" s="81" t="str">
        <f t="shared" si="43"/>
        <v>Laiton - BronzeManchons réduits FM 246 LAITON</v>
      </c>
      <c r="E2538" s="105" t="s">
        <v>28</v>
      </c>
      <c r="F2538" s="81">
        <v>9</v>
      </c>
      <c r="G2538" s="71" t="s">
        <v>2467</v>
      </c>
      <c r="H2538" s="71"/>
      <c r="I2538" s="71"/>
      <c r="J2538" s="70">
        <f>IFERROR(VLOOKUP(Devis[[#This Row],[Ref Air Flux]],#REF!,3,FALSE),0)</f>
        <v>0</v>
      </c>
      <c r="K2538" s="68"/>
      <c r="L2538" s="68"/>
      <c r="M2538" s="68"/>
      <c r="N2538" s="68"/>
      <c r="O2538" s="68"/>
      <c r="P2538" s="68"/>
      <c r="Q2538" s="68">
        <f>SUM(Devis[[#This Row],[Poste 1]:[Poste 6]])</f>
        <v>0</v>
      </c>
      <c r="R2538" s="71"/>
      <c r="S2538" s="68">
        <f>_xlfn.CEILING.MATH(Devis[[#This Row],[Quantité Totale]],Devis[[#This Row],[Conditionnement]])</f>
        <v>0</v>
      </c>
      <c r="T2538" s="72"/>
      <c r="U2538" s="73"/>
      <c r="V2538" s="74">
        <f>Devis[[#This Row],[Prix de Revient]]*Devis[[#This Row],[Poste 1]]</f>
        <v>0</v>
      </c>
      <c r="W2538" s="74">
        <f>Devis[[#This Row],[Prix de Revient]]*Devis[[#This Row],[Poste 2]]</f>
        <v>0</v>
      </c>
      <c r="X2538" s="74">
        <f>Devis[[#This Row],[Prix de Revient]]*Devis[[#This Row],[Poste 3]]</f>
        <v>0</v>
      </c>
      <c r="Y2538" s="74">
        <f>Devis[[#This Row],[Poste 4]]*Devis[[#This Row],[Prix de Revient]]</f>
        <v>0</v>
      </c>
      <c r="Z2538" s="74">
        <f>Devis[[#This Row],[Poste 5]]*Devis[[#This Row],[Prix de Revient]]</f>
        <v>0</v>
      </c>
      <c r="AA2538" s="74">
        <f>Devis[[#This Row],[Prix de Revient]]*Devis[[#This Row],[Poste 6]]</f>
        <v>0</v>
      </c>
      <c r="AB2538" s="74">
        <f>Devis[[#This Row],[Quantité Totale]]*Devis[[#This Row],[Prix de Revient]]</f>
        <v>0</v>
      </c>
    </row>
    <row r="2539" spans="1:28" ht="14.25" customHeight="1" outlineLevel="1" x14ac:dyDescent="0.2">
      <c r="A2539" s="75" t="s">
        <v>2374</v>
      </c>
      <c r="B2539" s="76" t="s">
        <v>2458</v>
      </c>
      <c r="C2539" s="75"/>
      <c r="D2539" s="81" t="str">
        <f t="shared" si="43"/>
        <v>Laiton - BronzeManchons réduits FM 246 LAITON</v>
      </c>
      <c r="E2539" s="105" t="s">
        <v>1096</v>
      </c>
      <c r="F2539" s="81">
        <v>10</v>
      </c>
      <c r="G2539" s="71" t="s">
        <v>2468</v>
      </c>
      <c r="H2539" s="71"/>
      <c r="I2539" s="71"/>
      <c r="J2539" s="70">
        <f>IFERROR(VLOOKUP(Devis[[#This Row],[Ref Air Flux]],#REF!,3,FALSE),0)</f>
        <v>0</v>
      </c>
      <c r="K2539" s="68"/>
      <c r="L2539" s="68"/>
      <c r="M2539" s="68"/>
      <c r="N2539" s="68"/>
      <c r="O2539" s="68"/>
      <c r="P2539" s="68"/>
      <c r="Q2539" s="68">
        <f>SUM(Devis[[#This Row],[Poste 1]:[Poste 6]])</f>
        <v>0</v>
      </c>
      <c r="R2539" s="71"/>
      <c r="S2539" s="68">
        <f>_xlfn.CEILING.MATH(Devis[[#This Row],[Quantité Totale]],Devis[[#This Row],[Conditionnement]])</f>
        <v>0</v>
      </c>
      <c r="T2539" s="72"/>
      <c r="U2539" s="73"/>
      <c r="V2539" s="74">
        <f>Devis[[#This Row],[Prix de Revient]]*Devis[[#This Row],[Poste 1]]</f>
        <v>0</v>
      </c>
      <c r="W2539" s="74">
        <f>Devis[[#This Row],[Prix de Revient]]*Devis[[#This Row],[Poste 2]]</f>
        <v>0</v>
      </c>
      <c r="X2539" s="74">
        <f>Devis[[#This Row],[Prix de Revient]]*Devis[[#This Row],[Poste 3]]</f>
        <v>0</v>
      </c>
      <c r="Y2539" s="74">
        <f>Devis[[#This Row],[Poste 4]]*Devis[[#This Row],[Prix de Revient]]</f>
        <v>0</v>
      </c>
      <c r="Z2539" s="74">
        <f>Devis[[#This Row],[Poste 5]]*Devis[[#This Row],[Prix de Revient]]</f>
        <v>0</v>
      </c>
      <c r="AA2539" s="74">
        <f>Devis[[#This Row],[Prix de Revient]]*Devis[[#This Row],[Poste 6]]</f>
        <v>0</v>
      </c>
      <c r="AB2539" s="74">
        <f>Devis[[#This Row],[Quantité Totale]]*Devis[[#This Row],[Prix de Revient]]</f>
        <v>0</v>
      </c>
    </row>
    <row r="2540" spans="1:28" ht="14.25" customHeight="1" outlineLevel="1" x14ac:dyDescent="0.2">
      <c r="A2540" s="75" t="s">
        <v>2374</v>
      </c>
      <c r="B2540" s="76" t="s">
        <v>2458</v>
      </c>
      <c r="C2540" s="75"/>
      <c r="D2540" s="81" t="str">
        <f t="shared" si="43"/>
        <v>Laiton - BronzeManchons réduits FM 246 LAITON</v>
      </c>
      <c r="E2540" s="105" t="s">
        <v>27</v>
      </c>
      <c r="F2540" s="81">
        <v>11</v>
      </c>
      <c r="G2540" s="71" t="s">
        <v>2469</v>
      </c>
      <c r="H2540" s="71"/>
      <c r="I2540" s="71"/>
      <c r="J2540" s="70">
        <f>IFERROR(VLOOKUP(Devis[[#This Row],[Ref Air Flux]],#REF!,3,FALSE),0)</f>
        <v>0</v>
      </c>
      <c r="K2540" s="68"/>
      <c r="L2540" s="68"/>
      <c r="M2540" s="68"/>
      <c r="N2540" s="68"/>
      <c r="O2540" s="68"/>
      <c r="P2540" s="68"/>
      <c r="Q2540" s="68">
        <f>SUM(Devis[[#This Row],[Poste 1]:[Poste 6]])</f>
        <v>0</v>
      </c>
      <c r="R2540" s="71"/>
      <c r="S2540" s="68">
        <f>_xlfn.CEILING.MATH(Devis[[#This Row],[Quantité Totale]],Devis[[#This Row],[Conditionnement]])</f>
        <v>0</v>
      </c>
      <c r="T2540" s="72"/>
      <c r="U2540" s="73"/>
      <c r="V2540" s="74">
        <f>Devis[[#This Row],[Prix de Revient]]*Devis[[#This Row],[Poste 1]]</f>
        <v>0</v>
      </c>
      <c r="W2540" s="74">
        <f>Devis[[#This Row],[Prix de Revient]]*Devis[[#This Row],[Poste 2]]</f>
        <v>0</v>
      </c>
      <c r="X2540" s="74">
        <f>Devis[[#This Row],[Prix de Revient]]*Devis[[#This Row],[Poste 3]]</f>
        <v>0</v>
      </c>
      <c r="Y2540" s="74">
        <f>Devis[[#This Row],[Poste 4]]*Devis[[#This Row],[Prix de Revient]]</f>
        <v>0</v>
      </c>
      <c r="Z2540" s="74">
        <f>Devis[[#This Row],[Poste 5]]*Devis[[#This Row],[Prix de Revient]]</f>
        <v>0</v>
      </c>
      <c r="AA2540" s="74">
        <f>Devis[[#This Row],[Prix de Revient]]*Devis[[#This Row],[Poste 6]]</f>
        <v>0</v>
      </c>
      <c r="AB2540" s="74">
        <f>Devis[[#This Row],[Quantité Totale]]*Devis[[#This Row],[Prix de Revient]]</f>
        <v>0</v>
      </c>
    </row>
    <row r="2541" spans="1:28" ht="14.25" customHeight="1" outlineLevel="1" x14ac:dyDescent="0.2">
      <c r="A2541" s="75" t="s">
        <v>2374</v>
      </c>
      <c r="B2541" s="76" t="s">
        <v>2458</v>
      </c>
      <c r="C2541" s="75"/>
      <c r="D2541" s="81" t="str">
        <f t="shared" si="43"/>
        <v>Laiton - BronzeManchons réduits FM 246 LAITON</v>
      </c>
      <c r="E2541" s="105" t="s">
        <v>1101</v>
      </c>
      <c r="F2541" s="81">
        <v>12</v>
      </c>
      <c r="G2541" s="71" t="s">
        <v>2470</v>
      </c>
      <c r="H2541" s="71"/>
      <c r="I2541" s="71"/>
      <c r="J2541" s="70">
        <f>IFERROR(VLOOKUP(Devis[[#This Row],[Ref Air Flux]],#REF!,3,FALSE),0)</f>
        <v>0</v>
      </c>
      <c r="K2541" s="68"/>
      <c r="L2541" s="68"/>
      <c r="M2541" s="68"/>
      <c r="N2541" s="68"/>
      <c r="O2541" s="68"/>
      <c r="P2541" s="68"/>
      <c r="Q2541" s="68">
        <f>SUM(Devis[[#This Row],[Poste 1]:[Poste 6]])</f>
        <v>0</v>
      </c>
      <c r="R2541" s="71"/>
      <c r="S2541" s="68">
        <f>_xlfn.CEILING.MATH(Devis[[#This Row],[Quantité Totale]],Devis[[#This Row],[Conditionnement]])</f>
        <v>0</v>
      </c>
      <c r="T2541" s="72"/>
      <c r="U2541" s="73"/>
      <c r="V2541" s="74">
        <f>Devis[[#This Row],[Prix de Revient]]*Devis[[#This Row],[Poste 1]]</f>
        <v>0</v>
      </c>
      <c r="W2541" s="74">
        <f>Devis[[#This Row],[Prix de Revient]]*Devis[[#This Row],[Poste 2]]</f>
        <v>0</v>
      </c>
      <c r="X2541" s="74">
        <f>Devis[[#This Row],[Prix de Revient]]*Devis[[#This Row],[Poste 3]]</f>
        <v>0</v>
      </c>
      <c r="Y2541" s="74">
        <f>Devis[[#This Row],[Poste 4]]*Devis[[#This Row],[Prix de Revient]]</f>
        <v>0</v>
      </c>
      <c r="Z2541" s="74">
        <f>Devis[[#This Row],[Poste 5]]*Devis[[#This Row],[Prix de Revient]]</f>
        <v>0</v>
      </c>
      <c r="AA2541" s="74">
        <f>Devis[[#This Row],[Prix de Revient]]*Devis[[#This Row],[Poste 6]]</f>
        <v>0</v>
      </c>
      <c r="AB2541" s="74">
        <f>Devis[[#This Row],[Quantité Totale]]*Devis[[#This Row],[Prix de Revient]]</f>
        <v>0</v>
      </c>
    </row>
    <row r="2542" spans="1:28" ht="14.25" outlineLevel="1" x14ac:dyDescent="0.2">
      <c r="A2542" s="75" t="s">
        <v>2374</v>
      </c>
      <c r="B2542" s="76" t="s">
        <v>2458</v>
      </c>
      <c r="C2542" s="75"/>
      <c r="D2542" s="81" t="str">
        <f t="shared" si="43"/>
        <v>Laiton - BronzeManchons réduits FM 246 LAITON</v>
      </c>
      <c r="E2542" s="75" t="s">
        <v>1105</v>
      </c>
      <c r="F2542" s="81">
        <v>13</v>
      </c>
      <c r="G2542" s="71" t="s">
        <v>2471</v>
      </c>
      <c r="H2542" s="71"/>
      <c r="I2542" s="71"/>
      <c r="J2542" s="70">
        <f>IFERROR(VLOOKUP(Devis[[#This Row],[Ref Air Flux]],#REF!,3,FALSE),0)</f>
        <v>0</v>
      </c>
      <c r="K2542" s="68"/>
      <c r="L2542" s="68"/>
      <c r="M2542" s="68"/>
      <c r="N2542" s="68"/>
      <c r="O2542" s="68"/>
      <c r="P2542" s="68"/>
      <c r="Q2542" s="68">
        <f>SUM(Devis[[#This Row],[Poste 1]:[Poste 6]])</f>
        <v>0</v>
      </c>
      <c r="R2542" s="71"/>
      <c r="S2542" s="68">
        <f>_xlfn.CEILING.MATH(Devis[[#This Row],[Quantité Totale]],Devis[[#This Row],[Conditionnement]])</f>
        <v>0</v>
      </c>
      <c r="T2542" s="72"/>
      <c r="U2542" s="73"/>
      <c r="V2542" s="74">
        <f>Devis[[#This Row],[Prix de Revient]]*Devis[[#This Row],[Poste 1]]</f>
        <v>0</v>
      </c>
      <c r="W2542" s="74">
        <f>Devis[[#This Row],[Prix de Revient]]*Devis[[#This Row],[Poste 2]]</f>
        <v>0</v>
      </c>
      <c r="X2542" s="74">
        <f>Devis[[#This Row],[Prix de Revient]]*Devis[[#This Row],[Poste 3]]</f>
        <v>0</v>
      </c>
      <c r="Y2542" s="74">
        <f>Devis[[#This Row],[Poste 4]]*Devis[[#This Row],[Prix de Revient]]</f>
        <v>0</v>
      </c>
      <c r="Z2542" s="74">
        <f>Devis[[#This Row],[Poste 5]]*Devis[[#This Row],[Prix de Revient]]</f>
        <v>0</v>
      </c>
      <c r="AA2542" s="74">
        <f>Devis[[#This Row],[Prix de Revient]]*Devis[[#This Row],[Poste 6]]</f>
        <v>0</v>
      </c>
      <c r="AB2542" s="74">
        <f>Devis[[#This Row],[Quantité Totale]]*Devis[[#This Row],[Prix de Revient]]</f>
        <v>0</v>
      </c>
    </row>
    <row r="2543" spans="1:28" ht="14.25" customHeight="1" x14ac:dyDescent="0.25">
      <c r="A2543" s="65" t="s">
        <v>2374</v>
      </c>
      <c r="B2543" s="65" t="s">
        <v>2472</v>
      </c>
      <c r="C2543" s="76"/>
      <c r="D2543" s="81" t="str">
        <f t="shared" si="43"/>
        <v>Laiton - BronzeRéductions  MF 241 LAITON</v>
      </c>
      <c r="E2543" s="76"/>
      <c r="F2543" s="81">
        <v>0</v>
      </c>
      <c r="G2543" s="71"/>
      <c r="H2543" s="71"/>
      <c r="I2543" s="71"/>
      <c r="J2543" s="70">
        <f>IFERROR(VLOOKUP(Devis[[#This Row],[Ref Air Flux]],#REF!,3,FALSE),0)</f>
        <v>0</v>
      </c>
      <c r="K2543" s="68"/>
      <c r="L2543" s="68"/>
      <c r="M2543" s="68"/>
      <c r="N2543" s="68"/>
      <c r="O2543" s="68"/>
      <c r="P2543" s="68"/>
      <c r="Q2543" s="68">
        <f>SUM(Devis[[#This Row],[Poste 1]:[Poste 6]])</f>
        <v>0</v>
      </c>
      <c r="R2543" s="71"/>
      <c r="S2543" s="68">
        <f>_xlfn.CEILING.MATH(Devis[[#This Row],[Quantité Totale]],Devis[[#This Row],[Conditionnement]])</f>
        <v>0</v>
      </c>
      <c r="T2543" s="72"/>
      <c r="U2543" s="73"/>
      <c r="V2543" s="74">
        <f>Devis[[#This Row],[Prix de Revient]]*Devis[[#This Row],[Poste 1]]</f>
        <v>0</v>
      </c>
      <c r="W2543" s="74">
        <f>Devis[[#This Row],[Prix de Revient]]*Devis[[#This Row],[Poste 2]]</f>
        <v>0</v>
      </c>
      <c r="X2543" s="74">
        <f>Devis[[#This Row],[Prix de Revient]]*Devis[[#This Row],[Poste 3]]</f>
        <v>0</v>
      </c>
      <c r="Y2543" s="74">
        <f>Devis[[#This Row],[Poste 4]]*Devis[[#This Row],[Prix de Revient]]</f>
        <v>0</v>
      </c>
      <c r="Z2543" s="74">
        <f>Devis[[#This Row],[Poste 5]]*Devis[[#This Row],[Prix de Revient]]</f>
        <v>0</v>
      </c>
      <c r="AA2543" s="74">
        <f>Devis[[#This Row],[Prix de Revient]]*Devis[[#This Row],[Poste 6]]</f>
        <v>0</v>
      </c>
      <c r="AB2543" s="74">
        <f>Devis[[#This Row],[Quantité Totale]]*Devis[[#This Row],[Prix de Revient]]</f>
        <v>0</v>
      </c>
    </row>
    <row r="2544" spans="1:28" ht="14.25" outlineLevel="1" x14ac:dyDescent="0.2">
      <c r="A2544" s="75" t="s">
        <v>2374</v>
      </c>
      <c r="B2544" s="76" t="s">
        <v>2472</v>
      </c>
      <c r="C2544" s="75"/>
      <c r="D2544" s="81" t="str">
        <f t="shared" si="43"/>
        <v>Laiton - BronzeRéductions  MF 241 LAITON</v>
      </c>
      <c r="E2544" s="75" t="s">
        <v>1208</v>
      </c>
      <c r="F2544" s="81">
        <v>1</v>
      </c>
      <c r="G2544" s="71" t="s">
        <v>2473</v>
      </c>
      <c r="H2544" s="71"/>
      <c r="I2544" s="71"/>
      <c r="J2544" s="70">
        <f>IFERROR(VLOOKUP(Devis[[#This Row],[Ref Air Flux]],#REF!,3,FALSE),0)</f>
        <v>0</v>
      </c>
      <c r="K2544" s="68"/>
      <c r="L2544" s="68"/>
      <c r="M2544" s="68"/>
      <c r="N2544" s="68"/>
      <c r="O2544" s="68"/>
      <c r="P2544" s="68"/>
      <c r="Q2544" s="68">
        <f>SUM(Devis[[#This Row],[Poste 1]:[Poste 6]])</f>
        <v>0</v>
      </c>
      <c r="R2544" s="71"/>
      <c r="S2544" s="68">
        <f>_xlfn.CEILING.MATH(Devis[[#This Row],[Quantité Totale]],Devis[[#This Row],[Conditionnement]])</f>
        <v>0</v>
      </c>
      <c r="T2544" s="72"/>
      <c r="U2544" s="73"/>
      <c r="V2544" s="74">
        <f>Devis[[#This Row],[Prix de Revient]]*Devis[[#This Row],[Poste 1]]</f>
        <v>0</v>
      </c>
      <c r="W2544" s="74">
        <f>Devis[[#This Row],[Prix de Revient]]*Devis[[#This Row],[Poste 2]]</f>
        <v>0</v>
      </c>
      <c r="X2544" s="74">
        <f>Devis[[#This Row],[Prix de Revient]]*Devis[[#This Row],[Poste 3]]</f>
        <v>0</v>
      </c>
      <c r="Y2544" s="74">
        <f>Devis[[#This Row],[Poste 4]]*Devis[[#This Row],[Prix de Revient]]</f>
        <v>0</v>
      </c>
      <c r="Z2544" s="74">
        <f>Devis[[#This Row],[Poste 5]]*Devis[[#This Row],[Prix de Revient]]</f>
        <v>0</v>
      </c>
      <c r="AA2544" s="74">
        <f>Devis[[#This Row],[Prix de Revient]]*Devis[[#This Row],[Poste 6]]</f>
        <v>0</v>
      </c>
      <c r="AB2544" s="74">
        <f>Devis[[#This Row],[Quantité Totale]]*Devis[[#This Row],[Prix de Revient]]</f>
        <v>0</v>
      </c>
    </row>
    <row r="2545" spans="1:28" ht="14.25" outlineLevel="1" x14ac:dyDescent="0.2">
      <c r="A2545" s="75" t="s">
        <v>2374</v>
      </c>
      <c r="B2545" s="76" t="s">
        <v>2472</v>
      </c>
      <c r="C2545" s="75"/>
      <c r="D2545" s="81" t="str">
        <f t="shared" si="43"/>
        <v>Laiton - BronzeRéductions  MF 241 LAITON</v>
      </c>
      <c r="E2545" s="75" t="s">
        <v>1210</v>
      </c>
      <c r="F2545" s="81">
        <v>2</v>
      </c>
      <c r="G2545" s="71" t="s">
        <v>2474</v>
      </c>
      <c r="H2545" s="71"/>
      <c r="I2545" s="71"/>
      <c r="J2545" s="70">
        <f>IFERROR(VLOOKUP(Devis[[#This Row],[Ref Air Flux]],#REF!,3,FALSE),0)</f>
        <v>0</v>
      </c>
      <c r="K2545" s="68"/>
      <c r="L2545" s="68"/>
      <c r="M2545" s="68"/>
      <c r="N2545" s="68"/>
      <c r="O2545" s="68"/>
      <c r="P2545" s="68"/>
      <c r="Q2545" s="68">
        <f>SUM(Devis[[#This Row],[Poste 1]:[Poste 6]])</f>
        <v>0</v>
      </c>
      <c r="R2545" s="71"/>
      <c r="S2545" s="68">
        <f>_xlfn.CEILING.MATH(Devis[[#This Row],[Quantité Totale]],Devis[[#This Row],[Conditionnement]])</f>
        <v>0</v>
      </c>
      <c r="T2545" s="72"/>
      <c r="U2545" s="73"/>
      <c r="V2545" s="74">
        <f>Devis[[#This Row],[Prix de Revient]]*Devis[[#This Row],[Poste 1]]</f>
        <v>0</v>
      </c>
      <c r="W2545" s="74">
        <f>Devis[[#This Row],[Prix de Revient]]*Devis[[#This Row],[Poste 2]]</f>
        <v>0</v>
      </c>
      <c r="X2545" s="74">
        <f>Devis[[#This Row],[Prix de Revient]]*Devis[[#This Row],[Poste 3]]</f>
        <v>0</v>
      </c>
      <c r="Y2545" s="74">
        <f>Devis[[#This Row],[Poste 4]]*Devis[[#This Row],[Prix de Revient]]</f>
        <v>0</v>
      </c>
      <c r="Z2545" s="74">
        <f>Devis[[#This Row],[Poste 5]]*Devis[[#This Row],[Prix de Revient]]</f>
        <v>0</v>
      </c>
      <c r="AA2545" s="74">
        <f>Devis[[#This Row],[Prix de Revient]]*Devis[[#This Row],[Poste 6]]</f>
        <v>0</v>
      </c>
      <c r="AB2545" s="74">
        <f>Devis[[#This Row],[Quantité Totale]]*Devis[[#This Row],[Prix de Revient]]</f>
        <v>0</v>
      </c>
    </row>
    <row r="2546" spans="1:28" ht="14.25" outlineLevel="1" x14ac:dyDescent="0.2">
      <c r="A2546" s="75" t="s">
        <v>2374</v>
      </c>
      <c r="B2546" s="76" t="s">
        <v>2472</v>
      </c>
      <c r="C2546" s="75"/>
      <c r="D2546" s="81" t="str">
        <f t="shared" si="43"/>
        <v>Laiton - BronzeRéductions  MF 241 LAITON</v>
      </c>
      <c r="E2546" s="75" t="s">
        <v>1212</v>
      </c>
      <c r="F2546" s="81">
        <v>3</v>
      </c>
      <c r="G2546" s="71" t="s">
        <v>2475</v>
      </c>
      <c r="H2546" s="71"/>
      <c r="I2546" s="71"/>
      <c r="J2546" s="70">
        <f>IFERROR(VLOOKUP(Devis[[#This Row],[Ref Air Flux]],#REF!,3,FALSE),0)</f>
        <v>0</v>
      </c>
      <c r="K2546" s="68"/>
      <c r="L2546" s="68"/>
      <c r="M2546" s="68"/>
      <c r="N2546" s="68"/>
      <c r="O2546" s="68"/>
      <c r="P2546" s="68"/>
      <c r="Q2546" s="68">
        <f>SUM(Devis[[#This Row],[Poste 1]:[Poste 6]])</f>
        <v>0</v>
      </c>
      <c r="R2546" s="71"/>
      <c r="S2546" s="68">
        <f>_xlfn.CEILING.MATH(Devis[[#This Row],[Quantité Totale]],Devis[[#This Row],[Conditionnement]])</f>
        <v>0</v>
      </c>
      <c r="T2546" s="72"/>
      <c r="U2546" s="73"/>
      <c r="V2546" s="74">
        <f>Devis[[#This Row],[Prix de Revient]]*Devis[[#This Row],[Poste 1]]</f>
        <v>0</v>
      </c>
      <c r="W2546" s="74">
        <f>Devis[[#This Row],[Prix de Revient]]*Devis[[#This Row],[Poste 2]]</f>
        <v>0</v>
      </c>
      <c r="X2546" s="74">
        <f>Devis[[#This Row],[Prix de Revient]]*Devis[[#This Row],[Poste 3]]</f>
        <v>0</v>
      </c>
      <c r="Y2546" s="74">
        <f>Devis[[#This Row],[Poste 4]]*Devis[[#This Row],[Prix de Revient]]</f>
        <v>0</v>
      </c>
      <c r="Z2546" s="74">
        <f>Devis[[#This Row],[Poste 5]]*Devis[[#This Row],[Prix de Revient]]</f>
        <v>0</v>
      </c>
      <c r="AA2546" s="74">
        <f>Devis[[#This Row],[Prix de Revient]]*Devis[[#This Row],[Poste 6]]</f>
        <v>0</v>
      </c>
      <c r="AB2546" s="74">
        <f>Devis[[#This Row],[Quantité Totale]]*Devis[[#This Row],[Prix de Revient]]</f>
        <v>0</v>
      </c>
    </row>
    <row r="2547" spans="1:28" ht="14.25" outlineLevel="1" x14ac:dyDescent="0.2">
      <c r="A2547" s="75" t="s">
        <v>2374</v>
      </c>
      <c r="B2547" s="76" t="s">
        <v>2472</v>
      </c>
      <c r="C2547" s="75"/>
      <c r="D2547" s="81" t="str">
        <f t="shared" si="43"/>
        <v>Laiton - BronzeRéductions  MF 241 LAITON</v>
      </c>
      <c r="E2547" s="75" t="s">
        <v>1218</v>
      </c>
      <c r="F2547" s="81">
        <v>4</v>
      </c>
      <c r="G2547" s="71" t="s">
        <v>2476</v>
      </c>
      <c r="H2547" s="71"/>
      <c r="I2547" s="71"/>
      <c r="J2547" s="70">
        <f>IFERROR(VLOOKUP(Devis[[#This Row],[Ref Air Flux]],#REF!,3,FALSE),0)</f>
        <v>0</v>
      </c>
      <c r="K2547" s="68"/>
      <c r="L2547" s="68"/>
      <c r="M2547" s="68"/>
      <c r="N2547" s="68"/>
      <c r="O2547" s="68"/>
      <c r="P2547" s="68"/>
      <c r="Q2547" s="68">
        <f>SUM(Devis[[#This Row],[Poste 1]:[Poste 6]])</f>
        <v>0</v>
      </c>
      <c r="R2547" s="71"/>
      <c r="S2547" s="68">
        <f>_xlfn.CEILING.MATH(Devis[[#This Row],[Quantité Totale]],Devis[[#This Row],[Conditionnement]])</f>
        <v>0</v>
      </c>
      <c r="T2547" s="72"/>
      <c r="U2547" s="73"/>
      <c r="V2547" s="74">
        <f>Devis[[#This Row],[Prix de Revient]]*Devis[[#This Row],[Poste 1]]</f>
        <v>0</v>
      </c>
      <c r="W2547" s="74">
        <f>Devis[[#This Row],[Prix de Revient]]*Devis[[#This Row],[Poste 2]]</f>
        <v>0</v>
      </c>
      <c r="X2547" s="74">
        <f>Devis[[#This Row],[Prix de Revient]]*Devis[[#This Row],[Poste 3]]</f>
        <v>0</v>
      </c>
      <c r="Y2547" s="74">
        <f>Devis[[#This Row],[Poste 4]]*Devis[[#This Row],[Prix de Revient]]</f>
        <v>0</v>
      </c>
      <c r="Z2547" s="74">
        <f>Devis[[#This Row],[Poste 5]]*Devis[[#This Row],[Prix de Revient]]</f>
        <v>0</v>
      </c>
      <c r="AA2547" s="74">
        <f>Devis[[#This Row],[Prix de Revient]]*Devis[[#This Row],[Poste 6]]</f>
        <v>0</v>
      </c>
      <c r="AB2547" s="74">
        <f>Devis[[#This Row],[Quantité Totale]]*Devis[[#This Row],[Prix de Revient]]</f>
        <v>0</v>
      </c>
    </row>
    <row r="2548" spans="1:28" ht="14.25" customHeight="1" outlineLevel="1" x14ac:dyDescent="0.2">
      <c r="A2548" s="75" t="s">
        <v>2374</v>
      </c>
      <c r="B2548" s="76" t="s">
        <v>2472</v>
      </c>
      <c r="C2548" s="75"/>
      <c r="D2548" s="81" t="str">
        <f t="shared" si="43"/>
        <v>Laiton - BronzeRéductions  MF 241 LAITON</v>
      </c>
      <c r="E2548" s="75" t="s">
        <v>1220</v>
      </c>
      <c r="F2548" s="81">
        <v>5</v>
      </c>
      <c r="G2548" s="71" t="s">
        <v>2477</v>
      </c>
      <c r="H2548" s="71"/>
      <c r="I2548" s="71"/>
      <c r="J2548" s="70">
        <f>IFERROR(VLOOKUP(Devis[[#This Row],[Ref Air Flux]],#REF!,3,FALSE),0)</f>
        <v>0</v>
      </c>
      <c r="K2548" s="68"/>
      <c r="L2548" s="68"/>
      <c r="M2548" s="68"/>
      <c r="N2548" s="68"/>
      <c r="O2548" s="68"/>
      <c r="P2548" s="68"/>
      <c r="Q2548" s="68">
        <f>SUM(Devis[[#This Row],[Poste 1]:[Poste 6]])</f>
        <v>0</v>
      </c>
      <c r="R2548" s="71"/>
      <c r="S2548" s="68">
        <f>_xlfn.CEILING.MATH(Devis[[#This Row],[Quantité Totale]],Devis[[#This Row],[Conditionnement]])</f>
        <v>0</v>
      </c>
      <c r="T2548" s="72"/>
      <c r="U2548" s="73"/>
      <c r="V2548" s="74">
        <f>Devis[[#This Row],[Prix de Revient]]*Devis[[#This Row],[Poste 1]]</f>
        <v>0</v>
      </c>
      <c r="W2548" s="74">
        <f>Devis[[#This Row],[Prix de Revient]]*Devis[[#This Row],[Poste 2]]</f>
        <v>0</v>
      </c>
      <c r="X2548" s="74">
        <f>Devis[[#This Row],[Prix de Revient]]*Devis[[#This Row],[Poste 3]]</f>
        <v>0</v>
      </c>
      <c r="Y2548" s="74">
        <f>Devis[[#This Row],[Poste 4]]*Devis[[#This Row],[Prix de Revient]]</f>
        <v>0</v>
      </c>
      <c r="Z2548" s="74">
        <f>Devis[[#This Row],[Poste 5]]*Devis[[#This Row],[Prix de Revient]]</f>
        <v>0</v>
      </c>
      <c r="AA2548" s="74">
        <f>Devis[[#This Row],[Prix de Revient]]*Devis[[#This Row],[Poste 6]]</f>
        <v>0</v>
      </c>
      <c r="AB2548" s="74">
        <f>Devis[[#This Row],[Quantité Totale]]*Devis[[#This Row],[Prix de Revient]]</f>
        <v>0</v>
      </c>
    </row>
    <row r="2549" spans="1:28" ht="14.25" customHeight="1" outlineLevel="1" x14ac:dyDescent="0.2">
      <c r="A2549" s="75" t="s">
        <v>2374</v>
      </c>
      <c r="B2549" s="76" t="s">
        <v>2472</v>
      </c>
      <c r="C2549" s="75"/>
      <c r="D2549" s="81" t="str">
        <f t="shared" si="43"/>
        <v>Laiton - BronzeRéductions  MF 241 LAITON</v>
      </c>
      <c r="E2549" s="75" t="s">
        <v>1222</v>
      </c>
      <c r="F2549" s="81">
        <v>6</v>
      </c>
      <c r="G2549" s="71" t="s">
        <v>2478</v>
      </c>
      <c r="H2549" s="71"/>
      <c r="I2549" s="71"/>
      <c r="J2549" s="70">
        <f>IFERROR(VLOOKUP(Devis[[#This Row],[Ref Air Flux]],#REF!,3,FALSE),0)</f>
        <v>0</v>
      </c>
      <c r="K2549" s="68"/>
      <c r="L2549" s="68"/>
      <c r="M2549" s="68"/>
      <c r="N2549" s="68"/>
      <c r="O2549" s="68"/>
      <c r="P2549" s="68"/>
      <c r="Q2549" s="68">
        <f>SUM(Devis[[#This Row],[Poste 1]:[Poste 6]])</f>
        <v>0</v>
      </c>
      <c r="R2549" s="71"/>
      <c r="S2549" s="68">
        <f>_xlfn.CEILING.MATH(Devis[[#This Row],[Quantité Totale]],Devis[[#This Row],[Conditionnement]])</f>
        <v>0</v>
      </c>
      <c r="T2549" s="72"/>
      <c r="U2549" s="73"/>
      <c r="V2549" s="74">
        <f>Devis[[#This Row],[Prix de Revient]]*Devis[[#This Row],[Poste 1]]</f>
        <v>0</v>
      </c>
      <c r="W2549" s="74">
        <f>Devis[[#This Row],[Prix de Revient]]*Devis[[#This Row],[Poste 2]]</f>
        <v>0</v>
      </c>
      <c r="X2549" s="74">
        <f>Devis[[#This Row],[Prix de Revient]]*Devis[[#This Row],[Poste 3]]</f>
        <v>0</v>
      </c>
      <c r="Y2549" s="74">
        <f>Devis[[#This Row],[Poste 4]]*Devis[[#This Row],[Prix de Revient]]</f>
        <v>0</v>
      </c>
      <c r="Z2549" s="74">
        <f>Devis[[#This Row],[Poste 5]]*Devis[[#This Row],[Prix de Revient]]</f>
        <v>0</v>
      </c>
      <c r="AA2549" s="74">
        <f>Devis[[#This Row],[Prix de Revient]]*Devis[[#This Row],[Poste 6]]</f>
        <v>0</v>
      </c>
      <c r="AB2549" s="74">
        <f>Devis[[#This Row],[Quantité Totale]]*Devis[[#This Row],[Prix de Revient]]</f>
        <v>0</v>
      </c>
    </row>
    <row r="2550" spans="1:28" ht="14.25" outlineLevel="1" x14ac:dyDescent="0.2">
      <c r="A2550" s="75" t="s">
        <v>2374</v>
      </c>
      <c r="B2550" s="76" t="s">
        <v>2472</v>
      </c>
      <c r="C2550" s="75"/>
      <c r="D2550" s="81" t="str">
        <f t="shared" si="43"/>
        <v>Laiton - BronzeRéductions  MF 241 LAITON</v>
      </c>
      <c r="E2550" s="75" t="s">
        <v>1226</v>
      </c>
      <c r="F2550" s="81">
        <v>7</v>
      </c>
      <c r="G2550" s="71" t="s">
        <v>2479</v>
      </c>
      <c r="H2550" s="71"/>
      <c r="I2550" s="71"/>
      <c r="J2550" s="70">
        <f>IFERROR(VLOOKUP(Devis[[#This Row],[Ref Air Flux]],#REF!,3,FALSE),0)</f>
        <v>0</v>
      </c>
      <c r="K2550" s="68"/>
      <c r="L2550" s="68"/>
      <c r="M2550" s="68"/>
      <c r="N2550" s="68"/>
      <c r="O2550" s="68"/>
      <c r="P2550" s="68"/>
      <c r="Q2550" s="68">
        <f>SUM(Devis[[#This Row],[Poste 1]:[Poste 6]])</f>
        <v>0</v>
      </c>
      <c r="R2550" s="71"/>
      <c r="S2550" s="68">
        <f>_xlfn.CEILING.MATH(Devis[[#This Row],[Quantité Totale]],Devis[[#This Row],[Conditionnement]])</f>
        <v>0</v>
      </c>
      <c r="T2550" s="72"/>
      <c r="U2550" s="73"/>
      <c r="V2550" s="74">
        <f>Devis[[#This Row],[Prix de Revient]]*Devis[[#This Row],[Poste 1]]</f>
        <v>0</v>
      </c>
      <c r="W2550" s="74">
        <f>Devis[[#This Row],[Prix de Revient]]*Devis[[#This Row],[Poste 2]]</f>
        <v>0</v>
      </c>
      <c r="X2550" s="74">
        <f>Devis[[#This Row],[Prix de Revient]]*Devis[[#This Row],[Poste 3]]</f>
        <v>0</v>
      </c>
      <c r="Y2550" s="74">
        <f>Devis[[#This Row],[Poste 4]]*Devis[[#This Row],[Prix de Revient]]</f>
        <v>0</v>
      </c>
      <c r="Z2550" s="74">
        <f>Devis[[#This Row],[Poste 5]]*Devis[[#This Row],[Prix de Revient]]</f>
        <v>0</v>
      </c>
      <c r="AA2550" s="74">
        <f>Devis[[#This Row],[Prix de Revient]]*Devis[[#This Row],[Poste 6]]</f>
        <v>0</v>
      </c>
      <c r="AB2550" s="74">
        <f>Devis[[#This Row],[Quantité Totale]]*Devis[[#This Row],[Prix de Revient]]</f>
        <v>0</v>
      </c>
    </row>
    <row r="2551" spans="1:28" ht="14.25" outlineLevel="1" x14ac:dyDescent="0.2">
      <c r="A2551" s="75" t="s">
        <v>2374</v>
      </c>
      <c r="B2551" s="76" t="s">
        <v>2472</v>
      </c>
      <c r="C2551" s="75"/>
      <c r="D2551" s="81" t="str">
        <f t="shared" si="43"/>
        <v>Laiton - BronzeRéductions  MF 241 LAITON</v>
      </c>
      <c r="E2551" s="75" t="s">
        <v>1228</v>
      </c>
      <c r="F2551" s="81">
        <v>8</v>
      </c>
      <c r="G2551" s="71" t="s">
        <v>2480</v>
      </c>
      <c r="H2551" s="71"/>
      <c r="I2551" s="71"/>
      <c r="J2551" s="70">
        <f>IFERROR(VLOOKUP(Devis[[#This Row],[Ref Air Flux]],#REF!,3,FALSE),0)</f>
        <v>0</v>
      </c>
      <c r="K2551" s="68"/>
      <c r="L2551" s="68"/>
      <c r="M2551" s="68"/>
      <c r="N2551" s="68"/>
      <c r="O2551" s="68"/>
      <c r="P2551" s="68"/>
      <c r="Q2551" s="68">
        <f>SUM(Devis[[#This Row],[Poste 1]:[Poste 6]])</f>
        <v>0</v>
      </c>
      <c r="R2551" s="71"/>
      <c r="S2551" s="68">
        <f>_xlfn.CEILING.MATH(Devis[[#This Row],[Quantité Totale]],Devis[[#This Row],[Conditionnement]])</f>
        <v>0</v>
      </c>
      <c r="T2551" s="72"/>
      <c r="U2551" s="73"/>
      <c r="V2551" s="74">
        <f>Devis[[#This Row],[Prix de Revient]]*Devis[[#This Row],[Poste 1]]</f>
        <v>0</v>
      </c>
      <c r="W2551" s="74">
        <f>Devis[[#This Row],[Prix de Revient]]*Devis[[#This Row],[Poste 2]]</f>
        <v>0</v>
      </c>
      <c r="X2551" s="74">
        <f>Devis[[#This Row],[Prix de Revient]]*Devis[[#This Row],[Poste 3]]</f>
        <v>0</v>
      </c>
      <c r="Y2551" s="74">
        <f>Devis[[#This Row],[Poste 4]]*Devis[[#This Row],[Prix de Revient]]</f>
        <v>0</v>
      </c>
      <c r="Z2551" s="74">
        <f>Devis[[#This Row],[Poste 5]]*Devis[[#This Row],[Prix de Revient]]</f>
        <v>0</v>
      </c>
      <c r="AA2551" s="74">
        <f>Devis[[#This Row],[Prix de Revient]]*Devis[[#This Row],[Poste 6]]</f>
        <v>0</v>
      </c>
      <c r="AB2551" s="74">
        <f>Devis[[#This Row],[Quantité Totale]]*Devis[[#This Row],[Prix de Revient]]</f>
        <v>0</v>
      </c>
    </row>
    <row r="2552" spans="1:28" ht="14.25" outlineLevel="1" x14ac:dyDescent="0.2">
      <c r="A2552" s="75" t="s">
        <v>2374</v>
      </c>
      <c r="B2552" s="76" t="s">
        <v>2472</v>
      </c>
      <c r="C2552" s="75"/>
      <c r="D2552" s="81" t="str">
        <f t="shared" si="43"/>
        <v>Laiton - BronzeRéductions  MF 241 LAITON</v>
      </c>
      <c r="E2552" s="75" t="s">
        <v>1232</v>
      </c>
      <c r="F2552" s="81">
        <v>9</v>
      </c>
      <c r="G2552" s="71" t="s">
        <v>2481</v>
      </c>
      <c r="H2552" s="71"/>
      <c r="I2552" s="71"/>
      <c r="J2552" s="70">
        <f>IFERROR(VLOOKUP(Devis[[#This Row],[Ref Air Flux]],#REF!,3,FALSE),0)</f>
        <v>0</v>
      </c>
      <c r="K2552" s="68"/>
      <c r="L2552" s="68"/>
      <c r="M2552" s="68"/>
      <c r="N2552" s="68"/>
      <c r="O2552" s="68"/>
      <c r="P2552" s="68"/>
      <c r="Q2552" s="68">
        <f>SUM(Devis[[#This Row],[Poste 1]:[Poste 6]])</f>
        <v>0</v>
      </c>
      <c r="R2552" s="71"/>
      <c r="S2552" s="68">
        <f>_xlfn.CEILING.MATH(Devis[[#This Row],[Quantité Totale]],Devis[[#This Row],[Conditionnement]])</f>
        <v>0</v>
      </c>
      <c r="T2552" s="72"/>
      <c r="U2552" s="73"/>
      <c r="V2552" s="74">
        <f>Devis[[#This Row],[Prix de Revient]]*Devis[[#This Row],[Poste 1]]</f>
        <v>0</v>
      </c>
      <c r="W2552" s="74">
        <f>Devis[[#This Row],[Prix de Revient]]*Devis[[#This Row],[Poste 2]]</f>
        <v>0</v>
      </c>
      <c r="X2552" s="74">
        <f>Devis[[#This Row],[Prix de Revient]]*Devis[[#This Row],[Poste 3]]</f>
        <v>0</v>
      </c>
      <c r="Y2552" s="74">
        <f>Devis[[#This Row],[Poste 4]]*Devis[[#This Row],[Prix de Revient]]</f>
        <v>0</v>
      </c>
      <c r="Z2552" s="74">
        <f>Devis[[#This Row],[Poste 5]]*Devis[[#This Row],[Prix de Revient]]</f>
        <v>0</v>
      </c>
      <c r="AA2552" s="74">
        <f>Devis[[#This Row],[Prix de Revient]]*Devis[[#This Row],[Poste 6]]</f>
        <v>0</v>
      </c>
      <c r="AB2552" s="74">
        <f>Devis[[#This Row],[Quantité Totale]]*Devis[[#This Row],[Prix de Revient]]</f>
        <v>0</v>
      </c>
    </row>
    <row r="2553" spans="1:28" ht="14.25" outlineLevel="1" x14ac:dyDescent="0.2">
      <c r="A2553" s="75" t="s">
        <v>2374</v>
      </c>
      <c r="B2553" s="76" t="s">
        <v>2472</v>
      </c>
      <c r="C2553" s="75"/>
      <c r="D2553" s="81" t="str">
        <f t="shared" si="43"/>
        <v>Laiton - BronzeRéductions  MF 241 LAITON</v>
      </c>
      <c r="E2553" s="75" t="s">
        <v>1234</v>
      </c>
      <c r="F2553" s="81">
        <v>10</v>
      </c>
      <c r="G2553" s="71" t="s">
        <v>2482</v>
      </c>
      <c r="H2553" s="71"/>
      <c r="I2553" s="71"/>
      <c r="J2553" s="70">
        <f>IFERROR(VLOOKUP(Devis[[#This Row],[Ref Air Flux]],#REF!,3,FALSE),0)</f>
        <v>0</v>
      </c>
      <c r="K2553" s="68"/>
      <c r="L2553" s="68"/>
      <c r="M2553" s="68"/>
      <c r="N2553" s="68"/>
      <c r="O2553" s="68"/>
      <c r="P2553" s="68"/>
      <c r="Q2553" s="68">
        <f>SUM(Devis[[#This Row],[Poste 1]:[Poste 6]])</f>
        <v>0</v>
      </c>
      <c r="R2553" s="71"/>
      <c r="S2553" s="68">
        <f>_xlfn.CEILING.MATH(Devis[[#This Row],[Quantité Totale]],Devis[[#This Row],[Conditionnement]])</f>
        <v>0</v>
      </c>
      <c r="T2553" s="72"/>
      <c r="U2553" s="73"/>
      <c r="V2553" s="74">
        <f>Devis[[#This Row],[Prix de Revient]]*Devis[[#This Row],[Poste 1]]</f>
        <v>0</v>
      </c>
      <c r="W2553" s="74">
        <f>Devis[[#This Row],[Prix de Revient]]*Devis[[#This Row],[Poste 2]]</f>
        <v>0</v>
      </c>
      <c r="X2553" s="74">
        <f>Devis[[#This Row],[Prix de Revient]]*Devis[[#This Row],[Poste 3]]</f>
        <v>0</v>
      </c>
      <c r="Y2553" s="74">
        <f>Devis[[#This Row],[Poste 4]]*Devis[[#This Row],[Prix de Revient]]</f>
        <v>0</v>
      </c>
      <c r="Z2553" s="74">
        <f>Devis[[#This Row],[Poste 5]]*Devis[[#This Row],[Prix de Revient]]</f>
        <v>0</v>
      </c>
      <c r="AA2553" s="74">
        <f>Devis[[#This Row],[Prix de Revient]]*Devis[[#This Row],[Poste 6]]</f>
        <v>0</v>
      </c>
      <c r="AB2553" s="74">
        <f>Devis[[#This Row],[Quantité Totale]]*Devis[[#This Row],[Prix de Revient]]</f>
        <v>0</v>
      </c>
    </row>
    <row r="2554" spans="1:28" ht="14.25" customHeight="1" outlineLevel="1" x14ac:dyDescent="0.2">
      <c r="A2554" s="75" t="s">
        <v>2374</v>
      </c>
      <c r="B2554" s="76" t="s">
        <v>2472</v>
      </c>
      <c r="C2554" s="75"/>
      <c r="D2554" s="81" t="str">
        <f t="shared" si="43"/>
        <v>Laiton - BronzeRéductions  MF 241 LAITON</v>
      </c>
      <c r="E2554" s="105" t="s">
        <v>1236</v>
      </c>
      <c r="F2554" s="81">
        <v>11</v>
      </c>
      <c r="G2554" s="71" t="s">
        <v>2483</v>
      </c>
      <c r="H2554" s="71"/>
      <c r="I2554" s="71"/>
      <c r="J2554" s="70">
        <f>IFERROR(VLOOKUP(Devis[[#This Row],[Ref Air Flux]],#REF!,3,FALSE),0)</f>
        <v>0</v>
      </c>
      <c r="K2554" s="68"/>
      <c r="L2554" s="68"/>
      <c r="M2554" s="68"/>
      <c r="N2554" s="68"/>
      <c r="O2554" s="68"/>
      <c r="P2554" s="68"/>
      <c r="Q2554" s="68">
        <f>SUM(Devis[[#This Row],[Poste 1]:[Poste 6]])</f>
        <v>0</v>
      </c>
      <c r="R2554" s="71"/>
      <c r="S2554" s="68">
        <f>_xlfn.CEILING.MATH(Devis[[#This Row],[Quantité Totale]],Devis[[#This Row],[Conditionnement]])</f>
        <v>0</v>
      </c>
      <c r="T2554" s="72"/>
      <c r="U2554" s="73"/>
      <c r="V2554" s="74">
        <f>Devis[[#This Row],[Prix de Revient]]*Devis[[#This Row],[Poste 1]]</f>
        <v>0</v>
      </c>
      <c r="W2554" s="74">
        <f>Devis[[#This Row],[Prix de Revient]]*Devis[[#This Row],[Poste 2]]</f>
        <v>0</v>
      </c>
      <c r="X2554" s="74">
        <f>Devis[[#This Row],[Prix de Revient]]*Devis[[#This Row],[Poste 3]]</f>
        <v>0</v>
      </c>
      <c r="Y2554" s="74">
        <f>Devis[[#This Row],[Poste 4]]*Devis[[#This Row],[Prix de Revient]]</f>
        <v>0</v>
      </c>
      <c r="Z2554" s="74">
        <f>Devis[[#This Row],[Poste 5]]*Devis[[#This Row],[Prix de Revient]]</f>
        <v>0</v>
      </c>
      <c r="AA2554" s="74">
        <f>Devis[[#This Row],[Prix de Revient]]*Devis[[#This Row],[Poste 6]]</f>
        <v>0</v>
      </c>
      <c r="AB2554" s="74">
        <f>Devis[[#This Row],[Quantité Totale]]*Devis[[#This Row],[Prix de Revient]]</f>
        <v>0</v>
      </c>
    </row>
    <row r="2555" spans="1:28" ht="14.25" customHeight="1" outlineLevel="1" x14ac:dyDescent="0.2">
      <c r="A2555" s="75" t="s">
        <v>2374</v>
      </c>
      <c r="B2555" s="76" t="s">
        <v>2472</v>
      </c>
      <c r="C2555" s="75"/>
      <c r="D2555" s="81" t="str">
        <f t="shared" si="43"/>
        <v>Laiton - BronzeRéductions  MF 241 LAITON</v>
      </c>
      <c r="E2555" s="105" t="s">
        <v>1238</v>
      </c>
      <c r="F2555" s="81">
        <v>12</v>
      </c>
      <c r="G2555" s="71" t="s">
        <v>2484</v>
      </c>
      <c r="H2555" s="71"/>
      <c r="I2555" s="71"/>
      <c r="J2555" s="70">
        <f>IFERROR(VLOOKUP(Devis[[#This Row],[Ref Air Flux]],#REF!,3,FALSE),0)</f>
        <v>0</v>
      </c>
      <c r="K2555" s="68"/>
      <c r="L2555" s="68"/>
      <c r="M2555" s="68"/>
      <c r="N2555" s="68"/>
      <c r="O2555" s="68"/>
      <c r="P2555" s="68"/>
      <c r="Q2555" s="68">
        <f>SUM(Devis[[#This Row],[Poste 1]:[Poste 6]])</f>
        <v>0</v>
      </c>
      <c r="R2555" s="71"/>
      <c r="S2555" s="68">
        <f>_xlfn.CEILING.MATH(Devis[[#This Row],[Quantité Totale]],Devis[[#This Row],[Conditionnement]])</f>
        <v>0</v>
      </c>
      <c r="T2555" s="72"/>
      <c r="U2555" s="73"/>
      <c r="V2555" s="74">
        <f>Devis[[#This Row],[Prix de Revient]]*Devis[[#This Row],[Poste 1]]</f>
        <v>0</v>
      </c>
      <c r="W2555" s="74">
        <f>Devis[[#This Row],[Prix de Revient]]*Devis[[#This Row],[Poste 2]]</f>
        <v>0</v>
      </c>
      <c r="X2555" s="74">
        <f>Devis[[#This Row],[Prix de Revient]]*Devis[[#This Row],[Poste 3]]</f>
        <v>0</v>
      </c>
      <c r="Y2555" s="74">
        <f>Devis[[#This Row],[Poste 4]]*Devis[[#This Row],[Prix de Revient]]</f>
        <v>0</v>
      </c>
      <c r="Z2555" s="74">
        <f>Devis[[#This Row],[Poste 5]]*Devis[[#This Row],[Prix de Revient]]</f>
        <v>0</v>
      </c>
      <c r="AA2555" s="74">
        <f>Devis[[#This Row],[Prix de Revient]]*Devis[[#This Row],[Poste 6]]</f>
        <v>0</v>
      </c>
      <c r="AB2555" s="74">
        <f>Devis[[#This Row],[Quantité Totale]]*Devis[[#This Row],[Prix de Revient]]</f>
        <v>0</v>
      </c>
    </row>
    <row r="2556" spans="1:28" ht="14.25" customHeight="1" outlineLevel="1" x14ac:dyDescent="0.2">
      <c r="A2556" s="75" t="s">
        <v>2374</v>
      </c>
      <c r="B2556" s="76" t="s">
        <v>2472</v>
      </c>
      <c r="C2556" s="75"/>
      <c r="D2556" s="81" t="str">
        <f t="shared" si="43"/>
        <v>Laiton - BronzeRéductions  MF 241 LAITON</v>
      </c>
      <c r="E2556" s="75" t="s">
        <v>1240</v>
      </c>
      <c r="F2556" s="81">
        <v>13</v>
      </c>
      <c r="G2556" s="71" t="s">
        <v>2485</v>
      </c>
      <c r="H2556" s="71"/>
      <c r="I2556" s="71"/>
      <c r="J2556" s="70">
        <f>IFERROR(VLOOKUP(Devis[[#This Row],[Ref Air Flux]],#REF!,3,FALSE),0)</f>
        <v>0</v>
      </c>
      <c r="K2556" s="68"/>
      <c r="L2556" s="68"/>
      <c r="M2556" s="68"/>
      <c r="N2556" s="68"/>
      <c r="O2556" s="68"/>
      <c r="P2556" s="68"/>
      <c r="Q2556" s="68">
        <f>SUM(Devis[[#This Row],[Poste 1]:[Poste 6]])</f>
        <v>0</v>
      </c>
      <c r="R2556" s="71"/>
      <c r="S2556" s="68">
        <f>_xlfn.CEILING.MATH(Devis[[#This Row],[Quantité Totale]],Devis[[#This Row],[Conditionnement]])</f>
        <v>0</v>
      </c>
      <c r="T2556" s="72"/>
      <c r="U2556" s="73"/>
      <c r="V2556" s="74">
        <f>Devis[[#This Row],[Prix de Revient]]*Devis[[#This Row],[Poste 1]]</f>
        <v>0</v>
      </c>
      <c r="W2556" s="74">
        <f>Devis[[#This Row],[Prix de Revient]]*Devis[[#This Row],[Poste 2]]</f>
        <v>0</v>
      </c>
      <c r="X2556" s="74">
        <f>Devis[[#This Row],[Prix de Revient]]*Devis[[#This Row],[Poste 3]]</f>
        <v>0</v>
      </c>
      <c r="Y2556" s="74">
        <f>Devis[[#This Row],[Poste 4]]*Devis[[#This Row],[Prix de Revient]]</f>
        <v>0</v>
      </c>
      <c r="Z2556" s="74">
        <f>Devis[[#This Row],[Poste 5]]*Devis[[#This Row],[Prix de Revient]]</f>
        <v>0</v>
      </c>
      <c r="AA2556" s="74">
        <f>Devis[[#This Row],[Prix de Revient]]*Devis[[#This Row],[Poste 6]]</f>
        <v>0</v>
      </c>
      <c r="AB2556" s="74">
        <f>Devis[[#This Row],[Quantité Totale]]*Devis[[#This Row],[Prix de Revient]]</f>
        <v>0</v>
      </c>
    </row>
    <row r="2557" spans="1:28" ht="15" customHeight="1" outlineLevel="1" x14ac:dyDescent="0.2">
      <c r="A2557" s="75" t="s">
        <v>2374</v>
      </c>
      <c r="B2557" s="76" t="s">
        <v>2472</v>
      </c>
      <c r="C2557" s="75"/>
      <c r="D2557" s="81" t="str">
        <f t="shared" si="43"/>
        <v>Laiton - BronzeRéductions  MF 241 LAITON</v>
      </c>
      <c r="E2557" s="75" t="s">
        <v>1242</v>
      </c>
      <c r="F2557" s="81">
        <v>14</v>
      </c>
      <c r="G2557" s="71" t="s">
        <v>2486</v>
      </c>
      <c r="H2557" s="71"/>
      <c r="I2557" s="71"/>
      <c r="J2557" s="70">
        <f>IFERROR(VLOOKUP(Devis[[#This Row],[Ref Air Flux]],#REF!,3,FALSE),0)</f>
        <v>0</v>
      </c>
      <c r="K2557" s="68"/>
      <c r="L2557" s="68"/>
      <c r="M2557" s="68"/>
      <c r="N2557" s="68"/>
      <c r="O2557" s="68"/>
      <c r="P2557" s="68"/>
      <c r="Q2557" s="68">
        <f>SUM(Devis[[#This Row],[Poste 1]:[Poste 6]])</f>
        <v>0</v>
      </c>
      <c r="R2557" s="71"/>
      <c r="S2557" s="68">
        <f>_xlfn.CEILING.MATH(Devis[[#This Row],[Quantité Totale]],Devis[[#This Row],[Conditionnement]])</f>
        <v>0</v>
      </c>
      <c r="T2557" s="72"/>
      <c r="U2557" s="73"/>
      <c r="V2557" s="74">
        <f>Devis[[#This Row],[Prix de Revient]]*Devis[[#This Row],[Poste 1]]</f>
        <v>0</v>
      </c>
      <c r="W2557" s="74">
        <f>Devis[[#This Row],[Prix de Revient]]*Devis[[#This Row],[Poste 2]]</f>
        <v>0</v>
      </c>
      <c r="X2557" s="74">
        <f>Devis[[#This Row],[Prix de Revient]]*Devis[[#This Row],[Poste 3]]</f>
        <v>0</v>
      </c>
      <c r="Y2557" s="74">
        <f>Devis[[#This Row],[Poste 4]]*Devis[[#This Row],[Prix de Revient]]</f>
        <v>0</v>
      </c>
      <c r="Z2557" s="74">
        <f>Devis[[#This Row],[Poste 5]]*Devis[[#This Row],[Prix de Revient]]</f>
        <v>0</v>
      </c>
      <c r="AA2557" s="74">
        <f>Devis[[#This Row],[Prix de Revient]]*Devis[[#This Row],[Poste 6]]</f>
        <v>0</v>
      </c>
      <c r="AB2557" s="74">
        <f>Devis[[#This Row],[Quantité Totale]]*Devis[[#This Row],[Prix de Revient]]</f>
        <v>0</v>
      </c>
    </row>
    <row r="2558" spans="1:28" ht="14.25" outlineLevel="1" x14ac:dyDescent="0.2">
      <c r="A2558" s="75" t="s">
        <v>2374</v>
      </c>
      <c r="B2558" s="76" t="s">
        <v>2472</v>
      </c>
      <c r="C2558" s="75"/>
      <c r="D2558" s="81" t="str">
        <f t="shared" si="43"/>
        <v>Laiton - BronzeRéductions  MF 241 LAITON</v>
      </c>
      <c r="E2558" s="75" t="s">
        <v>1244</v>
      </c>
      <c r="F2558" s="81">
        <v>15</v>
      </c>
      <c r="G2558" s="71" t="s">
        <v>2487</v>
      </c>
      <c r="H2558" s="71"/>
      <c r="I2558" s="71"/>
      <c r="J2558" s="70">
        <f>IFERROR(VLOOKUP(Devis[[#This Row],[Ref Air Flux]],#REF!,3,FALSE),0)</f>
        <v>0</v>
      </c>
      <c r="K2558" s="68"/>
      <c r="L2558" s="68"/>
      <c r="M2558" s="68"/>
      <c r="N2558" s="68"/>
      <c r="O2558" s="68"/>
      <c r="P2558" s="68"/>
      <c r="Q2558" s="68">
        <f>SUM(Devis[[#This Row],[Poste 1]:[Poste 6]])</f>
        <v>0</v>
      </c>
      <c r="R2558" s="71"/>
      <c r="S2558" s="68">
        <f>_xlfn.CEILING.MATH(Devis[[#This Row],[Quantité Totale]],Devis[[#This Row],[Conditionnement]])</f>
        <v>0</v>
      </c>
      <c r="T2558" s="72"/>
      <c r="U2558" s="73"/>
      <c r="V2558" s="74">
        <f>Devis[[#This Row],[Prix de Revient]]*Devis[[#This Row],[Poste 1]]</f>
        <v>0</v>
      </c>
      <c r="W2558" s="74">
        <f>Devis[[#This Row],[Prix de Revient]]*Devis[[#This Row],[Poste 2]]</f>
        <v>0</v>
      </c>
      <c r="X2558" s="74">
        <f>Devis[[#This Row],[Prix de Revient]]*Devis[[#This Row],[Poste 3]]</f>
        <v>0</v>
      </c>
      <c r="Y2558" s="74">
        <f>Devis[[#This Row],[Poste 4]]*Devis[[#This Row],[Prix de Revient]]</f>
        <v>0</v>
      </c>
      <c r="Z2558" s="74">
        <f>Devis[[#This Row],[Poste 5]]*Devis[[#This Row],[Prix de Revient]]</f>
        <v>0</v>
      </c>
      <c r="AA2558" s="74">
        <f>Devis[[#This Row],[Prix de Revient]]*Devis[[#This Row],[Poste 6]]</f>
        <v>0</v>
      </c>
      <c r="AB2558" s="74">
        <f>Devis[[#This Row],[Quantité Totale]]*Devis[[#This Row],[Prix de Revient]]</f>
        <v>0</v>
      </c>
    </row>
    <row r="2559" spans="1:28" ht="14.25" outlineLevel="1" x14ac:dyDescent="0.2">
      <c r="A2559" s="75" t="s">
        <v>2374</v>
      </c>
      <c r="B2559" s="76" t="s">
        <v>2472</v>
      </c>
      <c r="C2559" s="75"/>
      <c r="D2559" s="81" t="str">
        <f t="shared" si="43"/>
        <v>Laiton - BronzeRéductions  MF 241 LAITON</v>
      </c>
      <c r="E2559" s="105" t="s">
        <v>1101</v>
      </c>
      <c r="F2559" s="81">
        <v>16</v>
      </c>
      <c r="G2559" s="71" t="s">
        <v>2488</v>
      </c>
      <c r="H2559" s="71"/>
      <c r="I2559" s="71"/>
      <c r="J2559" s="70">
        <f>IFERROR(VLOOKUP(Devis[[#This Row],[Ref Air Flux]],#REF!,3,FALSE),0)</f>
        <v>0</v>
      </c>
      <c r="K2559" s="68"/>
      <c r="L2559" s="68"/>
      <c r="M2559" s="68"/>
      <c r="N2559" s="68"/>
      <c r="O2559" s="68"/>
      <c r="P2559" s="68"/>
      <c r="Q2559" s="68">
        <f>SUM(Devis[[#This Row],[Poste 1]:[Poste 6]])</f>
        <v>0</v>
      </c>
      <c r="R2559" s="71"/>
      <c r="S2559" s="68">
        <f>_xlfn.CEILING.MATH(Devis[[#This Row],[Quantité Totale]],Devis[[#This Row],[Conditionnement]])</f>
        <v>0</v>
      </c>
      <c r="T2559" s="72"/>
      <c r="U2559" s="73"/>
      <c r="V2559" s="74">
        <f>Devis[[#This Row],[Prix de Revient]]*Devis[[#This Row],[Poste 1]]</f>
        <v>0</v>
      </c>
      <c r="W2559" s="74">
        <f>Devis[[#This Row],[Prix de Revient]]*Devis[[#This Row],[Poste 2]]</f>
        <v>0</v>
      </c>
      <c r="X2559" s="74">
        <f>Devis[[#This Row],[Prix de Revient]]*Devis[[#This Row],[Poste 3]]</f>
        <v>0</v>
      </c>
      <c r="Y2559" s="74">
        <f>Devis[[#This Row],[Poste 4]]*Devis[[#This Row],[Prix de Revient]]</f>
        <v>0</v>
      </c>
      <c r="Z2559" s="74">
        <f>Devis[[#This Row],[Poste 5]]*Devis[[#This Row],[Prix de Revient]]</f>
        <v>0</v>
      </c>
      <c r="AA2559" s="74">
        <f>Devis[[#This Row],[Prix de Revient]]*Devis[[#This Row],[Poste 6]]</f>
        <v>0</v>
      </c>
      <c r="AB2559" s="74">
        <f>Devis[[#This Row],[Quantité Totale]]*Devis[[#This Row],[Prix de Revient]]</f>
        <v>0</v>
      </c>
    </row>
    <row r="2560" spans="1:28" ht="14.25" outlineLevel="1" x14ac:dyDescent="0.2">
      <c r="A2560" s="75" t="s">
        <v>2374</v>
      </c>
      <c r="B2560" s="76" t="s">
        <v>2472</v>
      </c>
      <c r="C2560" s="75"/>
      <c r="D2560" s="81" t="str">
        <f t="shared" si="43"/>
        <v>Laiton - BronzeRéductions  MF 241 LAITON</v>
      </c>
      <c r="E2560" s="75" t="s">
        <v>1103</v>
      </c>
      <c r="F2560" s="81">
        <v>17</v>
      </c>
      <c r="G2560" s="71" t="s">
        <v>2489</v>
      </c>
      <c r="H2560" s="71"/>
      <c r="I2560" s="71"/>
      <c r="J2560" s="70">
        <f>IFERROR(VLOOKUP(Devis[[#This Row],[Ref Air Flux]],#REF!,3,FALSE),0)</f>
        <v>0</v>
      </c>
      <c r="K2560" s="68"/>
      <c r="L2560" s="68"/>
      <c r="M2560" s="68"/>
      <c r="N2560" s="68"/>
      <c r="O2560" s="68"/>
      <c r="P2560" s="68"/>
      <c r="Q2560" s="68">
        <f>SUM(Devis[[#This Row],[Poste 1]:[Poste 6]])</f>
        <v>0</v>
      </c>
      <c r="R2560" s="71"/>
      <c r="S2560" s="68">
        <f>_xlfn.CEILING.MATH(Devis[[#This Row],[Quantité Totale]],Devis[[#This Row],[Conditionnement]])</f>
        <v>0</v>
      </c>
      <c r="T2560" s="72"/>
      <c r="U2560" s="73"/>
      <c r="V2560" s="74">
        <f>Devis[[#This Row],[Prix de Revient]]*Devis[[#This Row],[Poste 1]]</f>
        <v>0</v>
      </c>
      <c r="W2560" s="74">
        <f>Devis[[#This Row],[Prix de Revient]]*Devis[[#This Row],[Poste 2]]</f>
        <v>0</v>
      </c>
      <c r="X2560" s="74">
        <f>Devis[[#This Row],[Prix de Revient]]*Devis[[#This Row],[Poste 3]]</f>
        <v>0</v>
      </c>
      <c r="Y2560" s="74">
        <f>Devis[[#This Row],[Poste 4]]*Devis[[#This Row],[Prix de Revient]]</f>
        <v>0</v>
      </c>
      <c r="Z2560" s="74">
        <f>Devis[[#This Row],[Poste 5]]*Devis[[#This Row],[Prix de Revient]]</f>
        <v>0</v>
      </c>
      <c r="AA2560" s="74">
        <f>Devis[[#This Row],[Prix de Revient]]*Devis[[#This Row],[Poste 6]]</f>
        <v>0</v>
      </c>
      <c r="AB2560" s="74">
        <f>Devis[[#This Row],[Quantité Totale]]*Devis[[#This Row],[Prix de Revient]]</f>
        <v>0</v>
      </c>
    </row>
    <row r="2561" spans="1:28" ht="14.25" customHeight="1" outlineLevel="1" x14ac:dyDescent="0.2">
      <c r="A2561" s="75" t="s">
        <v>2374</v>
      </c>
      <c r="B2561" s="76" t="s">
        <v>2472</v>
      </c>
      <c r="C2561" s="75"/>
      <c r="D2561" s="81" t="str">
        <f t="shared" si="43"/>
        <v>Laiton - BronzeRéductions  MF 241 LAITON</v>
      </c>
      <c r="E2561" s="75" t="s">
        <v>1105</v>
      </c>
      <c r="F2561" s="81">
        <v>18</v>
      </c>
      <c r="G2561" s="71" t="s">
        <v>2490</v>
      </c>
      <c r="H2561" s="71"/>
      <c r="I2561" s="71"/>
      <c r="J2561" s="70">
        <f>IFERROR(VLOOKUP(Devis[[#This Row],[Ref Air Flux]],#REF!,3,FALSE),0)</f>
        <v>0</v>
      </c>
      <c r="K2561" s="68"/>
      <c r="L2561" s="68"/>
      <c r="M2561" s="68"/>
      <c r="N2561" s="68"/>
      <c r="O2561" s="68"/>
      <c r="P2561" s="68"/>
      <c r="Q2561" s="68">
        <f>SUM(Devis[[#This Row],[Poste 1]:[Poste 6]])</f>
        <v>0</v>
      </c>
      <c r="R2561" s="71"/>
      <c r="S2561" s="68">
        <f>_xlfn.CEILING.MATH(Devis[[#This Row],[Quantité Totale]],Devis[[#This Row],[Conditionnement]])</f>
        <v>0</v>
      </c>
      <c r="T2561" s="72"/>
      <c r="U2561" s="73"/>
      <c r="V2561" s="74">
        <f>Devis[[#This Row],[Prix de Revient]]*Devis[[#This Row],[Poste 1]]</f>
        <v>0</v>
      </c>
      <c r="W2561" s="74">
        <f>Devis[[#This Row],[Prix de Revient]]*Devis[[#This Row],[Poste 2]]</f>
        <v>0</v>
      </c>
      <c r="X2561" s="74">
        <f>Devis[[#This Row],[Prix de Revient]]*Devis[[#This Row],[Poste 3]]</f>
        <v>0</v>
      </c>
      <c r="Y2561" s="74">
        <f>Devis[[#This Row],[Poste 4]]*Devis[[#This Row],[Prix de Revient]]</f>
        <v>0</v>
      </c>
      <c r="Z2561" s="74">
        <f>Devis[[#This Row],[Poste 5]]*Devis[[#This Row],[Prix de Revient]]</f>
        <v>0</v>
      </c>
      <c r="AA2561" s="74">
        <f>Devis[[#This Row],[Prix de Revient]]*Devis[[#This Row],[Poste 6]]</f>
        <v>0</v>
      </c>
      <c r="AB2561" s="74">
        <f>Devis[[#This Row],[Quantité Totale]]*Devis[[#This Row],[Prix de Revient]]</f>
        <v>0</v>
      </c>
    </row>
    <row r="2562" spans="1:28" ht="14.25" customHeight="1" outlineLevel="1" x14ac:dyDescent="0.2">
      <c r="A2562" s="75" t="s">
        <v>2374</v>
      </c>
      <c r="B2562" s="76" t="s">
        <v>2472</v>
      </c>
      <c r="C2562" s="75"/>
      <c r="D2562" s="81" t="str">
        <f t="shared" ref="D2562:D2593" si="44">A2562&amp;B2562&amp;C2562</f>
        <v>Laiton - BronzeRéductions  MF 241 LAITON</v>
      </c>
      <c r="E2562" s="75" t="s">
        <v>1107</v>
      </c>
      <c r="F2562" s="81">
        <v>19</v>
      </c>
      <c r="G2562" s="71" t="s">
        <v>2491</v>
      </c>
      <c r="H2562" s="71"/>
      <c r="I2562" s="71"/>
      <c r="J2562" s="70">
        <f>IFERROR(VLOOKUP(Devis[[#This Row],[Ref Air Flux]],#REF!,3,FALSE),0)</f>
        <v>0</v>
      </c>
      <c r="K2562" s="68"/>
      <c r="L2562" s="68"/>
      <c r="M2562" s="68"/>
      <c r="N2562" s="68"/>
      <c r="O2562" s="68"/>
      <c r="P2562" s="68"/>
      <c r="Q2562" s="68">
        <f>SUM(Devis[[#This Row],[Poste 1]:[Poste 6]])</f>
        <v>0</v>
      </c>
      <c r="R2562" s="71"/>
      <c r="S2562" s="68">
        <f>_xlfn.CEILING.MATH(Devis[[#This Row],[Quantité Totale]],Devis[[#This Row],[Conditionnement]])</f>
        <v>0</v>
      </c>
      <c r="T2562" s="72"/>
      <c r="U2562" s="73"/>
      <c r="V2562" s="74">
        <f>Devis[[#This Row],[Prix de Revient]]*Devis[[#This Row],[Poste 1]]</f>
        <v>0</v>
      </c>
      <c r="W2562" s="74">
        <f>Devis[[#This Row],[Prix de Revient]]*Devis[[#This Row],[Poste 2]]</f>
        <v>0</v>
      </c>
      <c r="X2562" s="74">
        <f>Devis[[#This Row],[Prix de Revient]]*Devis[[#This Row],[Poste 3]]</f>
        <v>0</v>
      </c>
      <c r="Y2562" s="74">
        <f>Devis[[#This Row],[Poste 4]]*Devis[[#This Row],[Prix de Revient]]</f>
        <v>0</v>
      </c>
      <c r="Z2562" s="74">
        <f>Devis[[#This Row],[Poste 5]]*Devis[[#This Row],[Prix de Revient]]</f>
        <v>0</v>
      </c>
      <c r="AA2562" s="74">
        <f>Devis[[#This Row],[Prix de Revient]]*Devis[[#This Row],[Poste 6]]</f>
        <v>0</v>
      </c>
      <c r="AB2562" s="74">
        <f>Devis[[#This Row],[Quantité Totale]]*Devis[[#This Row],[Prix de Revient]]</f>
        <v>0</v>
      </c>
    </row>
    <row r="2563" spans="1:28" ht="14.25" customHeight="1" x14ac:dyDescent="0.25">
      <c r="A2563" s="65" t="s">
        <v>2374</v>
      </c>
      <c r="B2563" s="65" t="s">
        <v>2492</v>
      </c>
      <c r="C2563" s="76"/>
      <c r="D2563" s="81" t="str">
        <f t="shared" si="44"/>
        <v xml:space="preserve">Laiton - BronzeTé 130 Laiton </v>
      </c>
      <c r="E2563" s="76"/>
      <c r="F2563" s="81">
        <v>0</v>
      </c>
      <c r="G2563" s="71"/>
      <c r="H2563" s="71"/>
      <c r="I2563" s="71"/>
      <c r="J2563" s="70">
        <f>IFERROR(VLOOKUP(Devis[[#This Row],[Ref Air Flux]],#REF!,3,FALSE),0)</f>
        <v>0</v>
      </c>
      <c r="K2563" s="68"/>
      <c r="L2563" s="68"/>
      <c r="M2563" s="68"/>
      <c r="N2563" s="68"/>
      <c r="O2563" s="68"/>
      <c r="P2563" s="68"/>
      <c r="Q2563" s="68">
        <f>SUM(Devis[[#This Row],[Poste 1]:[Poste 6]])</f>
        <v>0</v>
      </c>
      <c r="R2563" s="71"/>
      <c r="S2563" s="68">
        <f>_xlfn.CEILING.MATH(Devis[[#This Row],[Quantité Totale]],Devis[[#This Row],[Conditionnement]])</f>
        <v>0</v>
      </c>
      <c r="T2563" s="72"/>
      <c r="U2563" s="73"/>
      <c r="V2563" s="74">
        <f>Devis[[#This Row],[Prix de Revient]]*Devis[[#This Row],[Poste 1]]</f>
        <v>0</v>
      </c>
      <c r="W2563" s="74">
        <f>Devis[[#This Row],[Prix de Revient]]*Devis[[#This Row],[Poste 2]]</f>
        <v>0</v>
      </c>
      <c r="X2563" s="74">
        <f>Devis[[#This Row],[Prix de Revient]]*Devis[[#This Row],[Poste 3]]</f>
        <v>0</v>
      </c>
      <c r="Y2563" s="74">
        <f>Devis[[#This Row],[Poste 4]]*Devis[[#This Row],[Prix de Revient]]</f>
        <v>0</v>
      </c>
      <c r="Z2563" s="74">
        <f>Devis[[#This Row],[Poste 5]]*Devis[[#This Row],[Prix de Revient]]</f>
        <v>0</v>
      </c>
      <c r="AA2563" s="74">
        <f>Devis[[#This Row],[Prix de Revient]]*Devis[[#This Row],[Poste 6]]</f>
        <v>0</v>
      </c>
      <c r="AB2563" s="74">
        <f>Devis[[#This Row],[Quantité Totale]]*Devis[[#This Row],[Prix de Revient]]</f>
        <v>0</v>
      </c>
    </row>
    <row r="2564" spans="1:28" ht="14.25" customHeight="1" outlineLevel="1" x14ac:dyDescent="0.2">
      <c r="A2564" s="75" t="s">
        <v>2374</v>
      </c>
      <c r="B2564" s="76" t="s">
        <v>2492</v>
      </c>
      <c r="C2564" s="75"/>
      <c r="D2564" s="81" t="str">
        <f t="shared" si="44"/>
        <v xml:space="preserve">Laiton - BronzeTé 130 Laiton </v>
      </c>
      <c r="E2564" s="75" t="s">
        <v>0</v>
      </c>
      <c r="F2564" s="81">
        <v>1</v>
      </c>
      <c r="G2564" s="71" t="s">
        <v>2493</v>
      </c>
      <c r="H2564" s="71"/>
      <c r="I2564" s="71"/>
      <c r="J2564" s="70">
        <f>IFERROR(VLOOKUP(Devis[[#This Row],[Ref Air Flux]],#REF!,3,FALSE),0)</f>
        <v>0</v>
      </c>
      <c r="K2564" s="68"/>
      <c r="L2564" s="68"/>
      <c r="M2564" s="68"/>
      <c r="N2564" s="68"/>
      <c r="O2564" s="68"/>
      <c r="P2564" s="68"/>
      <c r="Q2564" s="68">
        <f>SUM(Devis[[#This Row],[Poste 1]:[Poste 6]])</f>
        <v>0</v>
      </c>
      <c r="R2564" s="71"/>
      <c r="S2564" s="68">
        <f>_xlfn.CEILING.MATH(Devis[[#This Row],[Quantité Totale]],Devis[[#This Row],[Conditionnement]])</f>
        <v>0</v>
      </c>
      <c r="T2564" s="72"/>
      <c r="U2564" s="73"/>
      <c r="V2564" s="74">
        <f>Devis[[#This Row],[Prix de Revient]]*Devis[[#This Row],[Poste 1]]</f>
        <v>0</v>
      </c>
      <c r="W2564" s="74">
        <f>Devis[[#This Row],[Prix de Revient]]*Devis[[#This Row],[Poste 2]]</f>
        <v>0</v>
      </c>
      <c r="X2564" s="74">
        <f>Devis[[#This Row],[Prix de Revient]]*Devis[[#This Row],[Poste 3]]</f>
        <v>0</v>
      </c>
      <c r="Y2564" s="74">
        <f>Devis[[#This Row],[Poste 4]]*Devis[[#This Row],[Prix de Revient]]</f>
        <v>0</v>
      </c>
      <c r="Z2564" s="74">
        <f>Devis[[#This Row],[Poste 5]]*Devis[[#This Row],[Prix de Revient]]</f>
        <v>0</v>
      </c>
      <c r="AA2564" s="74">
        <f>Devis[[#This Row],[Prix de Revient]]*Devis[[#This Row],[Poste 6]]</f>
        <v>0</v>
      </c>
      <c r="AB2564" s="74">
        <f>Devis[[#This Row],[Quantité Totale]]*Devis[[#This Row],[Prix de Revient]]</f>
        <v>0</v>
      </c>
    </row>
    <row r="2565" spans="1:28" ht="14.25" customHeight="1" outlineLevel="1" x14ac:dyDescent="0.2">
      <c r="A2565" s="75" t="s">
        <v>2374</v>
      </c>
      <c r="B2565" s="76" t="s">
        <v>2492</v>
      </c>
      <c r="C2565" s="75"/>
      <c r="D2565" s="81" t="str">
        <f t="shared" si="44"/>
        <v xml:space="preserve">Laiton - BronzeTé 130 Laiton </v>
      </c>
      <c r="E2565" s="75" t="s">
        <v>21</v>
      </c>
      <c r="F2565" s="81">
        <v>2</v>
      </c>
      <c r="G2565" s="71" t="s">
        <v>2494</v>
      </c>
      <c r="H2565" s="71"/>
      <c r="I2565" s="71"/>
      <c r="J2565" s="70">
        <f>IFERROR(VLOOKUP(Devis[[#This Row],[Ref Air Flux]],#REF!,3,FALSE),0)</f>
        <v>0</v>
      </c>
      <c r="K2565" s="68"/>
      <c r="L2565" s="68"/>
      <c r="M2565" s="68"/>
      <c r="N2565" s="68"/>
      <c r="O2565" s="68"/>
      <c r="P2565" s="68"/>
      <c r="Q2565" s="68">
        <f>SUM(Devis[[#This Row],[Poste 1]:[Poste 6]])</f>
        <v>0</v>
      </c>
      <c r="R2565" s="71"/>
      <c r="S2565" s="68">
        <f>_xlfn.CEILING.MATH(Devis[[#This Row],[Quantité Totale]],Devis[[#This Row],[Conditionnement]])</f>
        <v>0</v>
      </c>
      <c r="T2565" s="72"/>
      <c r="U2565" s="73"/>
      <c r="V2565" s="74">
        <f>Devis[[#This Row],[Prix de Revient]]*Devis[[#This Row],[Poste 1]]</f>
        <v>0</v>
      </c>
      <c r="W2565" s="74">
        <f>Devis[[#This Row],[Prix de Revient]]*Devis[[#This Row],[Poste 2]]</f>
        <v>0</v>
      </c>
      <c r="X2565" s="74">
        <f>Devis[[#This Row],[Prix de Revient]]*Devis[[#This Row],[Poste 3]]</f>
        <v>0</v>
      </c>
      <c r="Y2565" s="74">
        <f>Devis[[#This Row],[Poste 4]]*Devis[[#This Row],[Prix de Revient]]</f>
        <v>0</v>
      </c>
      <c r="Z2565" s="74">
        <f>Devis[[#This Row],[Poste 5]]*Devis[[#This Row],[Prix de Revient]]</f>
        <v>0</v>
      </c>
      <c r="AA2565" s="74">
        <f>Devis[[#This Row],[Prix de Revient]]*Devis[[#This Row],[Poste 6]]</f>
        <v>0</v>
      </c>
      <c r="AB2565" s="74">
        <f>Devis[[#This Row],[Quantité Totale]]*Devis[[#This Row],[Prix de Revient]]</f>
        <v>0</v>
      </c>
    </row>
    <row r="2566" spans="1:28" ht="14.25" outlineLevel="1" x14ac:dyDescent="0.2">
      <c r="A2566" s="75" t="s">
        <v>2374</v>
      </c>
      <c r="B2566" s="76" t="s">
        <v>2492</v>
      </c>
      <c r="C2566" s="75"/>
      <c r="D2566" s="81" t="str">
        <f t="shared" si="44"/>
        <v xml:space="preserve">Laiton - BronzeTé 130 Laiton </v>
      </c>
      <c r="E2566" s="75" t="s">
        <v>20</v>
      </c>
      <c r="F2566" s="81">
        <v>3</v>
      </c>
      <c r="G2566" s="71" t="s">
        <v>2495</v>
      </c>
      <c r="H2566" s="71"/>
      <c r="I2566" s="71"/>
      <c r="J2566" s="70">
        <f>IFERROR(VLOOKUP(Devis[[#This Row],[Ref Air Flux]],#REF!,3,FALSE),0)</f>
        <v>0</v>
      </c>
      <c r="K2566" s="68"/>
      <c r="L2566" s="68"/>
      <c r="M2566" s="68"/>
      <c r="N2566" s="68"/>
      <c r="O2566" s="68"/>
      <c r="P2566" s="68"/>
      <c r="Q2566" s="68">
        <f>SUM(Devis[[#This Row],[Poste 1]:[Poste 6]])</f>
        <v>0</v>
      </c>
      <c r="R2566" s="71"/>
      <c r="S2566" s="68">
        <f>_xlfn.CEILING.MATH(Devis[[#This Row],[Quantité Totale]],Devis[[#This Row],[Conditionnement]])</f>
        <v>0</v>
      </c>
      <c r="T2566" s="72"/>
      <c r="U2566" s="73"/>
      <c r="V2566" s="74">
        <f>Devis[[#This Row],[Prix de Revient]]*Devis[[#This Row],[Poste 1]]</f>
        <v>0</v>
      </c>
      <c r="W2566" s="74">
        <f>Devis[[#This Row],[Prix de Revient]]*Devis[[#This Row],[Poste 2]]</f>
        <v>0</v>
      </c>
      <c r="X2566" s="74">
        <f>Devis[[#This Row],[Prix de Revient]]*Devis[[#This Row],[Poste 3]]</f>
        <v>0</v>
      </c>
      <c r="Y2566" s="74">
        <f>Devis[[#This Row],[Poste 4]]*Devis[[#This Row],[Prix de Revient]]</f>
        <v>0</v>
      </c>
      <c r="Z2566" s="74">
        <f>Devis[[#This Row],[Poste 5]]*Devis[[#This Row],[Prix de Revient]]</f>
        <v>0</v>
      </c>
      <c r="AA2566" s="74">
        <f>Devis[[#This Row],[Prix de Revient]]*Devis[[#This Row],[Poste 6]]</f>
        <v>0</v>
      </c>
      <c r="AB2566" s="74">
        <f>Devis[[#This Row],[Quantité Totale]]*Devis[[#This Row],[Prix de Revient]]</f>
        <v>0</v>
      </c>
    </row>
    <row r="2567" spans="1:28" ht="14.25" outlineLevel="1" x14ac:dyDescent="0.2">
      <c r="A2567" s="75" t="s">
        <v>2374</v>
      </c>
      <c r="B2567" s="76" t="s">
        <v>2492</v>
      </c>
      <c r="C2567" s="75"/>
      <c r="D2567" s="81" t="str">
        <f t="shared" si="44"/>
        <v xml:space="preserve">Laiton - BronzeTé 130 Laiton </v>
      </c>
      <c r="E2567" s="75" t="s">
        <v>19</v>
      </c>
      <c r="F2567" s="81">
        <v>4</v>
      </c>
      <c r="G2567" s="71" t="s">
        <v>2496</v>
      </c>
      <c r="H2567" s="71"/>
      <c r="I2567" s="71"/>
      <c r="J2567" s="70">
        <f>IFERROR(VLOOKUP(Devis[[#This Row],[Ref Air Flux]],#REF!,3,FALSE),0)</f>
        <v>0</v>
      </c>
      <c r="K2567" s="68"/>
      <c r="L2567" s="68"/>
      <c r="M2567" s="68"/>
      <c r="N2567" s="68"/>
      <c r="O2567" s="68"/>
      <c r="P2567" s="68"/>
      <c r="Q2567" s="68">
        <f>SUM(Devis[[#This Row],[Poste 1]:[Poste 6]])</f>
        <v>0</v>
      </c>
      <c r="R2567" s="71"/>
      <c r="S2567" s="68">
        <f>_xlfn.CEILING.MATH(Devis[[#This Row],[Quantité Totale]],Devis[[#This Row],[Conditionnement]])</f>
        <v>0</v>
      </c>
      <c r="T2567" s="72"/>
      <c r="U2567" s="73"/>
      <c r="V2567" s="74">
        <f>Devis[[#This Row],[Prix de Revient]]*Devis[[#This Row],[Poste 1]]</f>
        <v>0</v>
      </c>
      <c r="W2567" s="74">
        <f>Devis[[#This Row],[Prix de Revient]]*Devis[[#This Row],[Poste 2]]</f>
        <v>0</v>
      </c>
      <c r="X2567" s="74">
        <f>Devis[[#This Row],[Prix de Revient]]*Devis[[#This Row],[Poste 3]]</f>
        <v>0</v>
      </c>
      <c r="Y2567" s="74">
        <f>Devis[[#This Row],[Poste 4]]*Devis[[#This Row],[Prix de Revient]]</f>
        <v>0</v>
      </c>
      <c r="Z2567" s="74">
        <f>Devis[[#This Row],[Poste 5]]*Devis[[#This Row],[Prix de Revient]]</f>
        <v>0</v>
      </c>
      <c r="AA2567" s="74">
        <f>Devis[[#This Row],[Prix de Revient]]*Devis[[#This Row],[Poste 6]]</f>
        <v>0</v>
      </c>
      <c r="AB2567" s="74">
        <f>Devis[[#This Row],[Quantité Totale]]*Devis[[#This Row],[Prix de Revient]]</f>
        <v>0</v>
      </c>
    </row>
    <row r="2568" spans="1:28" ht="14.25" customHeight="1" outlineLevel="1" x14ac:dyDescent="0.2">
      <c r="A2568" s="75" t="s">
        <v>2374</v>
      </c>
      <c r="B2568" s="76" t="s">
        <v>2492</v>
      </c>
      <c r="C2568" s="75"/>
      <c r="D2568" s="81" t="str">
        <f t="shared" si="44"/>
        <v xml:space="preserve">Laiton - BronzeTé 130 Laiton </v>
      </c>
      <c r="E2568" s="105" t="s">
        <v>18</v>
      </c>
      <c r="F2568" s="81">
        <v>5</v>
      </c>
      <c r="G2568" s="71" t="s">
        <v>2497</v>
      </c>
      <c r="H2568" s="71"/>
      <c r="I2568" s="71"/>
      <c r="J2568" s="70">
        <f>IFERROR(VLOOKUP(Devis[[#This Row],[Ref Air Flux]],#REF!,3,FALSE),0)</f>
        <v>0</v>
      </c>
      <c r="K2568" s="68"/>
      <c r="L2568" s="68"/>
      <c r="M2568" s="68"/>
      <c r="N2568" s="68"/>
      <c r="O2568" s="68"/>
      <c r="P2568" s="68"/>
      <c r="Q2568" s="68">
        <f>SUM(Devis[[#This Row],[Poste 1]:[Poste 6]])</f>
        <v>0</v>
      </c>
      <c r="R2568" s="71"/>
      <c r="S2568" s="68">
        <f>_xlfn.CEILING.MATH(Devis[[#This Row],[Quantité Totale]],Devis[[#This Row],[Conditionnement]])</f>
        <v>0</v>
      </c>
      <c r="T2568" s="72"/>
      <c r="U2568" s="73"/>
      <c r="V2568" s="74">
        <f>Devis[[#This Row],[Prix de Revient]]*Devis[[#This Row],[Poste 1]]</f>
        <v>0</v>
      </c>
      <c r="W2568" s="74">
        <f>Devis[[#This Row],[Prix de Revient]]*Devis[[#This Row],[Poste 2]]</f>
        <v>0</v>
      </c>
      <c r="X2568" s="74">
        <f>Devis[[#This Row],[Prix de Revient]]*Devis[[#This Row],[Poste 3]]</f>
        <v>0</v>
      </c>
      <c r="Y2568" s="74">
        <f>Devis[[#This Row],[Poste 4]]*Devis[[#This Row],[Prix de Revient]]</f>
        <v>0</v>
      </c>
      <c r="Z2568" s="74">
        <f>Devis[[#This Row],[Poste 5]]*Devis[[#This Row],[Prix de Revient]]</f>
        <v>0</v>
      </c>
      <c r="AA2568" s="74">
        <f>Devis[[#This Row],[Prix de Revient]]*Devis[[#This Row],[Poste 6]]</f>
        <v>0</v>
      </c>
      <c r="AB2568" s="74">
        <f>Devis[[#This Row],[Quantité Totale]]*Devis[[#This Row],[Prix de Revient]]</f>
        <v>0</v>
      </c>
    </row>
    <row r="2569" spans="1:28" ht="14.25" customHeight="1" outlineLevel="1" x14ac:dyDescent="0.2">
      <c r="A2569" s="75" t="s">
        <v>2374</v>
      </c>
      <c r="B2569" s="76" t="s">
        <v>2492</v>
      </c>
      <c r="C2569" s="75"/>
      <c r="D2569" s="81" t="str">
        <f t="shared" si="44"/>
        <v xml:space="preserve">Laiton - BronzeTé 130 Laiton </v>
      </c>
      <c r="E2569" s="105" t="s">
        <v>17</v>
      </c>
      <c r="F2569" s="81">
        <v>6</v>
      </c>
      <c r="G2569" s="71" t="s">
        <v>2498</v>
      </c>
      <c r="H2569" s="71"/>
      <c r="I2569" s="71"/>
      <c r="J2569" s="70">
        <f>IFERROR(VLOOKUP(Devis[[#This Row],[Ref Air Flux]],#REF!,3,FALSE),0)</f>
        <v>0</v>
      </c>
      <c r="K2569" s="68"/>
      <c r="L2569" s="68"/>
      <c r="M2569" s="68"/>
      <c r="N2569" s="68"/>
      <c r="O2569" s="68"/>
      <c r="P2569" s="68"/>
      <c r="Q2569" s="68">
        <f>SUM(Devis[[#This Row],[Poste 1]:[Poste 6]])</f>
        <v>0</v>
      </c>
      <c r="R2569" s="71"/>
      <c r="S2569" s="68">
        <f>_xlfn.CEILING.MATH(Devis[[#This Row],[Quantité Totale]],Devis[[#This Row],[Conditionnement]])</f>
        <v>0</v>
      </c>
      <c r="T2569" s="72"/>
      <c r="U2569" s="73"/>
      <c r="V2569" s="74">
        <f>Devis[[#This Row],[Prix de Revient]]*Devis[[#This Row],[Poste 1]]</f>
        <v>0</v>
      </c>
      <c r="W2569" s="74">
        <f>Devis[[#This Row],[Prix de Revient]]*Devis[[#This Row],[Poste 2]]</f>
        <v>0</v>
      </c>
      <c r="X2569" s="74">
        <f>Devis[[#This Row],[Prix de Revient]]*Devis[[#This Row],[Poste 3]]</f>
        <v>0</v>
      </c>
      <c r="Y2569" s="74">
        <f>Devis[[#This Row],[Poste 4]]*Devis[[#This Row],[Prix de Revient]]</f>
        <v>0</v>
      </c>
      <c r="Z2569" s="74">
        <f>Devis[[#This Row],[Poste 5]]*Devis[[#This Row],[Prix de Revient]]</f>
        <v>0</v>
      </c>
      <c r="AA2569" s="74">
        <f>Devis[[#This Row],[Prix de Revient]]*Devis[[#This Row],[Poste 6]]</f>
        <v>0</v>
      </c>
      <c r="AB2569" s="74">
        <f>Devis[[#This Row],[Quantité Totale]]*Devis[[#This Row],[Prix de Revient]]</f>
        <v>0</v>
      </c>
    </row>
    <row r="2570" spans="1:28" ht="14.25" outlineLevel="1" x14ac:dyDescent="0.2">
      <c r="A2570" s="75" t="s">
        <v>2374</v>
      </c>
      <c r="B2570" s="76" t="s">
        <v>2492</v>
      </c>
      <c r="C2570" s="75"/>
      <c r="D2570" s="81" t="str">
        <f t="shared" si="44"/>
        <v xml:space="preserve">Laiton - BronzeTé 130 Laiton </v>
      </c>
      <c r="E2570" s="105" t="s">
        <v>16</v>
      </c>
      <c r="F2570" s="81">
        <v>7</v>
      </c>
      <c r="G2570" s="71" t="s">
        <v>2499</v>
      </c>
      <c r="H2570" s="71"/>
      <c r="I2570" s="71"/>
      <c r="J2570" s="70">
        <f>IFERROR(VLOOKUP(Devis[[#This Row],[Ref Air Flux]],#REF!,3,FALSE),0)</f>
        <v>0</v>
      </c>
      <c r="K2570" s="68"/>
      <c r="L2570" s="68"/>
      <c r="M2570" s="68"/>
      <c r="N2570" s="68"/>
      <c r="O2570" s="68"/>
      <c r="P2570" s="68"/>
      <c r="Q2570" s="68">
        <f>SUM(Devis[[#This Row],[Poste 1]:[Poste 6]])</f>
        <v>0</v>
      </c>
      <c r="R2570" s="71"/>
      <c r="S2570" s="68">
        <f>_xlfn.CEILING.MATH(Devis[[#This Row],[Quantité Totale]],Devis[[#This Row],[Conditionnement]])</f>
        <v>0</v>
      </c>
      <c r="T2570" s="72"/>
      <c r="U2570" s="73"/>
      <c r="V2570" s="74">
        <f>Devis[[#This Row],[Prix de Revient]]*Devis[[#This Row],[Poste 1]]</f>
        <v>0</v>
      </c>
      <c r="W2570" s="74">
        <f>Devis[[#This Row],[Prix de Revient]]*Devis[[#This Row],[Poste 2]]</f>
        <v>0</v>
      </c>
      <c r="X2570" s="74">
        <f>Devis[[#This Row],[Prix de Revient]]*Devis[[#This Row],[Poste 3]]</f>
        <v>0</v>
      </c>
      <c r="Y2570" s="74">
        <f>Devis[[#This Row],[Poste 4]]*Devis[[#This Row],[Prix de Revient]]</f>
        <v>0</v>
      </c>
      <c r="Z2570" s="74">
        <f>Devis[[#This Row],[Poste 5]]*Devis[[#This Row],[Prix de Revient]]</f>
        <v>0</v>
      </c>
      <c r="AA2570" s="74">
        <f>Devis[[#This Row],[Prix de Revient]]*Devis[[#This Row],[Poste 6]]</f>
        <v>0</v>
      </c>
      <c r="AB2570" s="74">
        <f>Devis[[#This Row],[Quantité Totale]]*Devis[[#This Row],[Prix de Revient]]</f>
        <v>0</v>
      </c>
    </row>
    <row r="2571" spans="1:28" ht="14.25" customHeight="1" x14ac:dyDescent="0.25">
      <c r="A2571" s="65" t="s">
        <v>2374</v>
      </c>
      <c r="B2571" s="65" t="s">
        <v>2500</v>
      </c>
      <c r="C2571" s="76"/>
      <c r="D2571" s="81" t="str">
        <f t="shared" si="44"/>
        <v>Laiton - BronzeUnions ff 340 bronze</v>
      </c>
      <c r="E2571" s="76"/>
      <c r="F2571" s="81">
        <v>0</v>
      </c>
      <c r="G2571" s="71"/>
      <c r="H2571" s="71"/>
      <c r="I2571" s="71"/>
      <c r="J2571" s="70">
        <f>IFERROR(VLOOKUP(Devis[[#This Row],[Ref Air Flux]],#REF!,3,FALSE),0)</f>
        <v>0</v>
      </c>
      <c r="K2571" s="68"/>
      <c r="L2571" s="68"/>
      <c r="M2571" s="68"/>
      <c r="N2571" s="68"/>
      <c r="O2571" s="68"/>
      <c r="P2571" s="68"/>
      <c r="Q2571" s="68">
        <f>SUM(Devis[[#This Row],[Poste 1]:[Poste 6]])</f>
        <v>0</v>
      </c>
      <c r="R2571" s="71"/>
      <c r="S2571" s="68">
        <f>_xlfn.CEILING.MATH(Devis[[#This Row],[Quantité Totale]],Devis[[#This Row],[Conditionnement]])</f>
        <v>0</v>
      </c>
      <c r="T2571" s="72"/>
      <c r="U2571" s="73"/>
      <c r="V2571" s="74">
        <f>Devis[[#This Row],[Prix de Revient]]*Devis[[#This Row],[Poste 1]]</f>
        <v>0</v>
      </c>
      <c r="W2571" s="74">
        <f>Devis[[#This Row],[Prix de Revient]]*Devis[[#This Row],[Poste 2]]</f>
        <v>0</v>
      </c>
      <c r="X2571" s="74">
        <f>Devis[[#This Row],[Prix de Revient]]*Devis[[#This Row],[Poste 3]]</f>
        <v>0</v>
      </c>
      <c r="Y2571" s="74">
        <f>Devis[[#This Row],[Poste 4]]*Devis[[#This Row],[Prix de Revient]]</f>
        <v>0</v>
      </c>
      <c r="Z2571" s="74">
        <f>Devis[[#This Row],[Poste 5]]*Devis[[#This Row],[Prix de Revient]]</f>
        <v>0</v>
      </c>
      <c r="AA2571" s="74">
        <f>Devis[[#This Row],[Prix de Revient]]*Devis[[#This Row],[Poste 6]]</f>
        <v>0</v>
      </c>
      <c r="AB2571" s="74">
        <f>Devis[[#This Row],[Quantité Totale]]*Devis[[#This Row],[Prix de Revient]]</f>
        <v>0</v>
      </c>
    </row>
    <row r="2572" spans="1:28" ht="14.25" customHeight="1" outlineLevel="1" x14ac:dyDescent="0.2">
      <c r="A2572" s="75" t="s">
        <v>2374</v>
      </c>
      <c r="B2572" s="76" t="s">
        <v>2500</v>
      </c>
      <c r="C2572" s="75"/>
      <c r="D2572" s="81" t="str">
        <f t="shared" si="44"/>
        <v>Laiton - BronzeUnions ff 340 bronze</v>
      </c>
      <c r="E2572" s="75" t="s">
        <v>0</v>
      </c>
      <c r="F2572" s="81">
        <v>1</v>
      </c>
      <c r="G2572" s="71" t="s">
        <v>2501</v>
      </c>
      <c r="H2572" s="71"/>
      <c r="I2572" s="71"/>
      <c r="J2572" s="70">
        <f>IFERROR(VLOOKUP(Devis[[#This Row],[Ref Air Flux]],#REF!,3,FALSE),0)</f>
        <v>0</v>
      </c>
      <c r="K2572" s="68"/>
      <c r="L2572" s="68"/>
      <c r="M2572" s="68"/>
      <c r="N2572" s="68"/>
      <c r="O2572" s="68"/>
      <c r="P2572" s="68"/>
      <c r="Q2572" s="68">
        <f>SUM(Devis[[#This Row],[Poste 1]:[Poste 6]])</f>
        <v>0</v>
      </c>
      <c r="R2572" s="71"/>
      <c r="S2572" s="68">
        <f>_xlfn.CEILING.MATH(Devis[[#This Row],[Quantité Totale]],Devis[[#This Row],[Conditionnement]])</f>
        <v>0</v>
      </c>
      <c r="T2572" s="72"/>
      <c r="U2572" s="73"/>
      <c r="V2572" s="74">
        <f>Devis[[#This Row],[Prix de Revient]]*Devis[[#This Row],[Poste 1]]</f>
        <v>0</v>
      </c>
      <c r="W2572" s="74">
        <f>Devis[[#This Row],[Prix de Revient]]*Devis[[#This Row],[Poste 2]]</f>
        <v>0</v>
      </c>
      <c r="X2572" s="74">
        <f>Devis[[#This Row],[Prix de Revient]]*Devis[[#This Row],[Poste 3]]</f>
        <v>0</v>
      </c>
      <c r="Y2572" s="74">
        <f>Devis[[#This Row],[Poste 4]]*Devis[[#This Row],[Prix de Revient]]</f>
        <v>0</v>
      </c>
      <c r="Z2572" s="74">
        <f>Devis[[#This Row],[Poste 5]]*Devis[[#This Row],[Prix de Revient]]</f>
        <v>0</v>
      </c>
      <c r="AA2572" s="74">
        <f>Devis[[#This Row],[Prix de Revient]]*Devis[[#This Row],[Poste 6]]</f>
        <v>0</v>
      </c>
      <c r="AB2572" s="74">
        <f>Devis[[#This Row],[Quantité Totale]]*Devis[[#This Row],[Prix de Revient]]</f>
        <v>0</v>
      </c>
    </row>
    <row r="2573" spans="1:28" ht="14.25" outlineLevel="1" x14ac:dyDescent="0.2">
      <c r="A2573" s="75" t="s">
        <v>2374</v>
      </c>
      <c r="B2573" s="76" t="s">
        <v>2500</v>
      </c>
      <c r="C2573" s="75"/>
      <c r="D2573" s="81" t="str">
        <f t="shared" si="44"/>
        <v>Laiton - BronzeUnions ff 340 bronze</v>
      </c>
      <c r="E2573" s="75" t="s">
        <v>21</v>
      </c>
      <c r="F2573" s="81">
        <v>2</v>
      </c>
      <c r="G2573" s="71" t="s">
        <v>2502</v>
      </c>
      <c r="H2573" s="71"/>
      <c r="I2573" s="71"/>
      <c r="J2573" s="70">
        <f>IFERROR(VLOOKUP(Devis[[#This Row],[Ref Air Flux]],#REF!,3,FALSE),0)</f>
        <v>0</v>
      </c>
      <c r="K2573" s="68"/>
      <c r="L2573" s="68"/>
      <c r="M2573" s="68"/>
      <c r="N2573" s="68"/>
      <c r="O2573" s="68"/>
      <c r="P2573" s="68"/>
      <c r="Q2573" s="68">
        <f>SUM(Devis[[#This Row],[Poste 1]:[Poste 6]])</f>
        <v>0</v>
      </c>
      <c r="R2573" s="71"/>
      <c r="S2573" s="68">
        <f>_xlfn.CEILING.MATH(Devis[[#This Row],[Quantité Totale]],Devis[[#This Row],[Conditionnement]])</f>
        <v>0</v>
      </c>
      <c r="T2573" s="72"/>
      <c r="U2573" s="73"/>
      <c r="V2573" s="74">
        <f>Devis[[#This Row],[Prix de Revient]]*Devis[[#This Row],[Poste 1]]</f>
        <v>0</v>
      </c>
      <c r="W2573" s="74">
        <f>Devis[[#This Row],[Prix de Revient]]*Devis[[#This Row],[Poste 2]]</f>
        <v>0</v>
      </c>
      <c r="X2573" s="74">
        <f>Devis[[#This Row],[Prix de Revient]]*Devis[[#This Row],[Poste 3]]</f>
        <v>0</v>
      </c>
      <c r="Y2573" s="74">
        <f>Devis[[#This Row],[Poste 4]]*Devis[[#This Row],[Prix de Revient]]</f>
        <v>0</v>
      </c>
      <c r="Z2573" s="74">
        <f>Devis[[#This Row],[Poste 5]]*Devis[[#This Row],[Prix de Revient]]</f>
        <v>0</v>
      </c>
      <c r="AA2573" s="74">
        <f>Devis[[#This Row],[Prix de Revient]]*Devis[[#This Row],[Poste 6]]</f>
        <v>0</v>
      </c>
      <c r="AB2573" s="74">
        <f>Devis[[#This Row],[Quantité Totale]]*Devis[[#This Row],[Prix de Revient]]</f>
        <v>0</v>
      </c>
    </row>
    <row r="2574" spans="1:28" ht="14.25" outlineLevel="1" x14ac:dyDescent="0.2">
      <c r="A2574" s="75" t="s">
        <v>2374</v>
      </c>
      <c r="B2574" s="76" t="s">
        <v>2500</v>
      </c>
      <c r="C2574" s="75"/>
      <c r="D2574" s="81" t="str">
        <f t="shared" si="44"/>
        <v>Laiton - BronzeUnions ff 340 bronze</v>
      </c>
      <c r="E2574" s="75" t="s">
        <v>20</v>
      </c>
      <c r="F2574" s="81">
        <v>3</v>
      </c>
      <c r="G2574" s="71" t="s">
        <v>2503</v>
      </c>
      <c r="H2574" s="71"/>
      <c r="I2574" s="71"/>
      <c r="J2574" s="70">
        <f>IFERROR(VLOOKUP(Devis[[#This Row],[Ref Air Flux]],#REF!,3,FALSE),0)</f>
        <v>0</v>
      </c>
      <c r="K2574" s="68"/>
      <c r="L2574" s="68"/>
      <c r="M2574" s="68"/>
      <c r="N2574" s="68"/>
      <c r="O2574" s="68"/>
      <c r="P2574" s="68"/>
      <c r="Q2574" s="68">
        <f>SUM(Devis[[#This Row],[Poste 1]:[Poste 6]])</f>
        <v>0</v>
      </c>
      <c r="R2574" s="71"/>
      <c r="S2574" s="68">
        <f>_xlfn.CEILING.MATH(Devis[[#This Row],[Quantité Totale]],Devis[[#This Row],[Conditionnement]])</f>
        <v>0</v>
      </c>
      <c r="T2574" s="72"/>
      <c r="U2574" s="73"/>
      <c r="V2574" s="74">
        <f>Devis[[#This Row],[Prix de Revient]]*Devis[[#This Row],[Poste 1]]</f>
        <v>0</v>
      </c>
      <c r="W2574" s="74">
        <f>Devis[[#This Row],[Prix de Revient]]*Devis[[#This Row],[Poste 2]]</f>
        <v>0</v>
      </c>
      <c r="X2574" s="74">
        <f>Devis[[#This Row],[Prix de Revient]]*Devis[[#This Row],[Poste 3]]</f>
        <v>0</v>
      </c>
      <c r="Y2574" s="74">
        <f>Devis[[#This Row],[Poste 4]]*Devis[[#This Row],[Prix de Revient]]</f>
        <v>0</v>
      </c>
      <c r="Z2574" s="74">
        <f>Devis[[#This Row],[Poste 5]]*Devis[[#This Row],[Prix de Revient]]</f>
        <v>0</v>
      </c>
      <c r="AA2574" s="74">
        <f>Devis[[#This Row],[Prix de Revient]]*Devis[[#This Row],[Poste 6]]</f>
        <v>0</v>
      </c>
      <c r="AB2574" s="74">
        <f>Devis[[#This Row],[Quantité Totale]]*Devis[[#This Row],[Prix de Revient]]</f>
        <v>0</v>
      </c>
    </row>
    <row r="2575" spans="1:28" ht="14.25" outlineLevel="1" x14ac:dyDescent="0.2">
      <c r="A2575" s="75" t="s">
        <v>2374</v>
      </c>
      <c r="B2575" s="76" t="s">
        <v>2500</v>
      </c>
      <c r="C2575" s="75"/>
      <c r="D2575" s="81" t="str">
        <f t="shared" si="44"/>
        <v>Laiton - BronzeUnions ff 340 bronze</v>
      </c>
      <c r="E2575" s="75" t="s">
        <v>19</v>
      </c>
      <c r="F2575" s="81">
        <v>4</v>
      </c>
      <c r="G2575" s="71" t="s">
        <v>2504</v>
      </c>
      <c r="H2575" s="71"/>
      <c r="I2575" s="71"/>
      <c r="J2575" s="70">
        <f>IFERROR(VLOOKUP(Devis[[#This Row],[Ref Air Flux]],#REF!,3,FALSE),0)</f>
        <v>0</v>
      </c>
      <c r="K2575" s="68"/>
      <c r="L2575" s="68"/>
      <c r="M2575" s="68"/>
      <c r="N2575" s="68"/>
      <c r="O2575" s="68"/>
      <c r="P2575" s="68"/>
      <c r="Q2575" s="68">
        <f>SUM(Devis[[#This Row],[Poste 1]:[Poste 6]])</f>
        <v>0</v>
      </c>
      <c r="R2575" s="71"/>
      <c r="S2575" s="68">
        <f>_xlfn.CEILING.MATH(Devis[[#This Row],[Quantité Totale]],Devis[[#This Row],[Conditionnement]])</f>
        <v>0</v>
      </c>
      <c r="T2575" s="72"/>
      <c r="U2575" s="73"/>
      <c r="V2575" s="74">
        <f>Devis[[#This Row],[Prix de Revient]]*Devis[[#This Row],[Poste 1]]</f>
        <v>0</v>
      </c>
      <c r="W2575" s="74">
        <f>Devis[[#This Row],[Prix de Revient]]*Devis[[#This Row],[Poste 2]]</f>
        <v>0</v>
      </c>
      <c r="X2575" s="74">
        <f>Devis[[#This Row],[Prix de Revient]]*Devis[[#This Row],[Poste 3]]</f>
        <v>0</v>
      </c>
      <c r="Y2575" s="74">
        <f>Devis[[#This Row],[Poste 4]]*Devis[[#This Row],[Prix de Revient]]</f>
        <v>0</v>
      </c>
      <c r="Z2575" s="74">
        <f>Devis[[#This Row],[Poste 5]]*Devis[[#This Row],[Prix de Revient]]</f>
        <v>0</v>
      </c>
      <c r="AA2575" s="74">
        <f>Devis[[#This Row],[Prix de Revient]]*Devis[[#This Row],[Poste 6]]</f>
        <v>0</v>
      </c>
      <c r="AB2575" s="74">
        <f>Devis[[#This Row],[Quantité Totale]]*Devis[[#This Row],[Prix de Revient]]</f>
        <v>0</v>
      </c>
    </row>
    <row r="2576" spans="1:28" ht="14.25" outlineLevel="1" x14ac:dyDescent="0.2">
      <c r="A2576" s="75" t="s">
        <v>2374</v>
      </c>
      <c r="B2576" s="76" t="s">
        <v>2500</v>
      </c>
      <c r="C2576" s="75"/>
      <c r="D2576" s="81" t="str">
        <f t="shared" si="44"/>
        <v>Laiton - BronzeUnions ff 340 bronze</v>
      </c>
      <c r="E2576" s="105" t="s">
        <v>18</v>
      </c>
      <c r="F2576" s="81">
        <v>5</v>
      </c>
      <c r="G2576" s="71" t="s">
        <v>2505</v>
      </c>
      <c r="H2576" s="71"/>
      <c r="I2576" s="112"/>
      <c r="J2576" s="70">
        <f>IFERROR(VLOOKUP(Devis[[#This Row],[Ref Air Flux]],#REF!,3,FALSE),0)</f>
        <v>0</v>
      </c>
      <c r="K2576" s="68"/>
      <c r="L2576" s="68"/>
      <c r="M2576" s="68"/>
      <c r="N2576" s="68"/>
      <c r="O2576" s="68"/>
      <c r="P2576" s="68"/>
      <c r="Q2576" s="68">
        <f>SUM(Devis[[#This Row],[Poste 1]:[Poste 6]])</f>
        <v>0</v>
      </c>
      <c r="R2576" s="71"/>
      <c r="S2576" s="68">
        <f>_xlfn.CEILING.MATH(Devis[[#This Row],[Quantité Totale]],Devis[[#This Row],[Conditionnement]])</f>
        <v>0</v>
      </c>
      <c r="T2576" s="72"/>
      <c r="U2576" s="73"/>
      <c r="V2576" s="74">
        <f>Devis[[#This Row],[Prix de Revient]]*Devis[[#This Row],[Poste 1]]</f>
        <v>0</v>
      </c>
      <c r="W2576" s="74">
        <f>Devis[[#This Row],[Prix de Revient]]*Devis[[#This Row],[Poste 2]]</f>
        <v>0</v>
      </c>
      <c r="X2576" s="74">
        <f>Devis[[#This Row],[Prix de Revient]]*Devis[[#This Row],[Poste 3]]</f>
        <v>0</v>
      </c>
      <c r="Y2576" s="74">
        <f>Devis[[#This Row],[Poste 4]]*Devis[[#This Row],[Prix de Revient]]</f>
        <v>0</v>
      </c>
      <c r="Z2576" s="74">
        <f>Devis[[#This Row],[Poste 5]]*Devis[[#This Row],[Prix de Revient]]</f>
        <v>0</v>
      </c>
      <c r="AA2576" s="74">
        <f>Devis[[#This Row],[Prix de Revient]]*Devis[[#This Row],[Poste 6]]</f>
        <v>0</v>
      </c>
      <c r="AB2576" s="74">
        <f>Devis[[#This Row],[Quantité Totale]]*Devis[[#This Row],[Prix de Revient]]</f>
        <v>0</v>
      </c>
    </row>
    <row r="2577" spans="1:28" ht="14.25" outlineLevel="1" x14ac:dyDescent="0.2">
      <c r="A2577" s="75" t="s">
        <v>2374</v>
      </c>
      <c r="B2577" s="76" t="s">
        <v>2500</v>
      </c>
      <c r="C2577" s="75"/>
      <c r="D2577" s="81" t="str">
        <f t="shared" si="44"/>
        <v>Laiton - BronzeUnions ff 340 bronze</v>
      </c>
      <c r="E2577" s="105" t="s">
        <v>17</v>
      </c>
      <c r="F2577" s="81">
        <v>6</v>
      </c>
      <c r="G2577" s="71" t="s">
        <v>2506</v>
      </c>
      <c r="H2577" s="71"/>
      <c r="I2577" s="112"/>
      <c r="J2577" s="70">
        <f>IFERROR(VLOOKUP(Devis[[#This Row],[Ref Air Flux]],#REF!,3,FALSE),0)</f>
        <v>0</v>
      </c>
      <c r="K2577" s="68"/>
      <c r="L2577" s="68"/>
      <c r="M2577" s="68"/>
      <c r="N2577" s="68"/>
      <c r="O2577" s="68"/>
      <c r="P2577" s="68"/>
      <c r="Q2577" s="68">
        <f>SUM(Devis[[#This Row],[Poste 1]:[Poste 6]])</f>
        <v>0</v>
      </c>
      <c r="R2577" s="71"/>
      <c r="S2577" s="68">
        <f>_xlfn.CEILING.MATH(Devis[[#This Row],[Quantité Totale]],Devis[[#This Row],[Conditionnement]])</f>
        <v>0</v>
      </c>
      <c r="T2577" s="72"/>
      <c r="U2577" s="73"/>
      <c r="V2577" s="74">
        <f>Devis[[#This Row],[Prix de Revient]]*Devis[[#This Row],[Poste 1]]</f>
        <v>0</v>
      </c>
      <c r="W2577" s="74">
        <f>Devis[[#This Row],[Prix de Revient]]*Devis[[#This Row],[Poste 2]]</f>
        <v>0</v>
      </c>
      <c r="X2577" s="74">
        <f>Devis[[#This Row],[Prix de Revient]]*Devis[[#This Row],[Poste 3]]</f>
        <v>0</v>
      </c>
      <c r="Y2577" s="74">
        <f>Devis[[#This Row],[Poste 4]]*Devis[[#This Row],[Prix de Revient]]</f>
        <v>0</v>
      </c>
      <c r="Z2577" s="74">
        <f>Devis[[#This Row],[Poste 5]]*Devis[[#This Row],[Prix de Revient]]</f>
        <v>0</v>
      </c>
      <c r="AA2577" s="74">
        <f>Devis[[#This Row],[Prix de Revient]]*Devis[[#This Row],[Poste 6]]</f>
        <v>0</v>
      </c>
      <c r="AB2577" s="74">
        <f>Devis[[#This Row],[Quantité Totale]]*Devis[[#This Row],[Prix de Revient]]</f>
        <v>0</v>
      </c>
    </row>
    <row r="2578" spans="1:28" ht="15" customHeight="1" outlineLevel="1" x14ac:dyDescent="0.2">
      <c r="A2578" s="75" t="s">
        <v>2374</v>
      </c>
      <c r="B2578" s="76" t="s">
        <v>2500</v>
      </c>
      <c r="C2578" s="75"/>
      <c r="D2578" s="81" t="str">
        <f t="shared" si="44"/>
        <v>Laiton - BronzeUnions ff 340 bronze</v>
      </c>
      <c r="E2578" s="105" t="s">
        <v>16</v>
      </c>
      <c r="F2578" s="81">
        <v>7</v>
      </c>
      <c r="G2578" s="71" t="s">
        <v>2507</v>
      </c>
      <c r="H2578" s="71"/>
      <c r="I2578" s="112"/>
      <c r="J2578" s="70">
        <f>IFERROR(VLOOKUP(Devis[[#This Row],[Ref Air Flux]],#REF!,3,FALSE),0)</f>
        <v>0</v>
      </c>
      <c r="K2578" s="68"/>
      <c r="L2578" s="68"/>
      <c r="M2578" s="68"/>
      <c r="N2578" s="68"/>
      <c r="O2578" s="68"/>
      <c r="P2578" s="68"/>
      <c r="Q2578" s="68">
        <f>SUM(Devis[[#This Row],[Poste 1]:[Poste 6]])</f>
        <v>0</v>
      </c>
      <c r="R2578" s="71"/>
      <c r="S2578" s="68">
        <f>_xlfn.CEILING.MATH(Devis[[#This Row],[Quantité Totale]],Devis[[#This Row],[Conditionnement]])</f>
        <v>0</v>
      </c>
      <c r="T2578" s="72"/>
      <c r="U2578" s="73"/>
      <c r="V2578" s="74">
        <f>Devis[[#This Row],[Prix de Revient]]*Devis[[#This Row],[Poste 1]]</f>
        <v>0</v>
      </c>
      <c r="W2578" s="74">
        <f>Devis[[#This Row],[Prix de Revient]]*Devis[[#This Row],[Poste 2]]</f>
        <v>0</v>
      </c>
      <c r="X2578" s="74">
        <f>Devis[[#This Row],[Prix de Revient]]*Devis[[#This Row],[Poste 3]]</f>
        <v>0</v>
      </c>
      <c r="Y2578" s="74">
        <f>Devis[[#This Row],[Poste 4]]*Devis[[#This Row],[Prix de Revient]]</f>
        <v>0</v>
      </c>
      <c r="Z2578" s="74">
        <f>Devis[[#This Row],[Poste 5]]*Devis[[#This Row],[Prix de Revient]]</f>
        <v>0</v>
      </c>
      <c r="AA2578" s="74">
        <f>Devis[[#This Row],[Prix de Revient]]*Devis[[#This Row],[Poste 6]]</f>
        <v>0</v>
      </c>
      <c r="AB2578" s="74">
        <f>Devis[[#This Row],[Quantité Totale]]*Devis[[#This Row],[Prix de Revient]]</f>
        <v>0</v>
      </c>
    </row>
    <row r="2579" spans="1:28" ht="14.25" customHeight="1" x14ac:dyDescent="0.25">
      <c r="A2579" s="65" t="s">
        <v>2374</v>
      </c>
      <c r="B2579" s="65" t="s">
        <v>2508</v>
      </c>
      <c r="C2579" s="76"/>
      <c r="D2579" s="81" t="str">
        <f t="shared" si="44"/>
        <v>Laiton - BronzeUnions mf 341 Bronze</v>
      </c>
      <c r="E2579" s="76"/>
      <c r="F2579" s="81">
        <v>0</v>
      </c>
      <c r="G2579" s="71"/>
      <c r="H2579" s="71"/>
      <c r="I2579" s="71"/>
      <c r="J2579" s="70">
        <f>IFERROR(VLOOKUP(Devis[[#This Row],[Ref Air Flux]],#REF!,3,FALSE),0)</f>
        <v>0</v>
      </c>
      <c r="K2579" s="68"/>
      <c r="L2579" s="68"/>
      <c r="M2579" s="68"/>
      <c r="N2579" s="68"/>
      <c r="O2579" s="68"/>
      <c r="P2579" s="68"/>
      <c r="Q2579" s="68">
        <f>SUM(Devis[[#This Row],[Poste 1]:[Poste 6]])</f>
        <v>0</v>
      </c>
      <c r="R2579" s="71"/>
      <c r="S2579" s="68">
        <f>_xlfn.CEILING.MATH(Devis[[#This Row],[Quantité Totale]],Devis[[#This Row],[Conditionnement]])</f>
        <v>0</v>
      </c>
      <c r="T2579" s="72"/>
      <c r="U2579" s="73"/>
      <c r="V2579" s="74">
        <f>Devis[[#This Row],[Prix de Revient]]*Devis[[#This Row],[Poste 1]]</f>
        <v>0</v>
      </c>
      <c r="W2579" s="74">
        <f>Devis[[#This Row],[Prix de Revient]]*Devis[[#This Row],[Poste 2]]</f>
        <v>0</v>
      </c>
      <c r="X2579" s="74">
        <f>Devis[[#This Row],[Prix de Revient]]*Devis[[#This Row],[Poste 3]]</f>
        <v>0</v>
      </c>
      <c r="Y2579" s="74">
        <f>Devis[[#This Row],[Poste 4]]*Devis[[#This Row],[Prix de Revient]]</f>
        <v>0</v>
      </c>
      <c r="Z2579" s="74">
        <f>Devis[[#This Row],[Poste 5]]*Devis[[#This Row],[Prix de Revient]]</f>
        <v>0</v>
      </c>
      <c r="AA2579" s="74">
        <f>Devis[[#This Row],[Prix de Revient]]*Devis[[#This Row],[Poste 6]]</f>
        <v>0</v>
      </c>
      <c r="AB2579" s="74">
        <f>Devis[[#This Row],[Quantité Totale]]*Devis[[#This Row],[Prix de Revient]]</f>
        <v>0</v>
      </c>
    </row>
    <row r="2580" spans="1:28" ht="14.25" customHeight="1" outlineLevel="1" x14ac:dyDescent="0.2">
      <c r="A2580" s="75" t="s">
        <v>2374</v>
      </c>
      <c r="B2580" s="76" t="s">
        <v>2508</v>
      </c>
      <c r="C2580" s="75"/>
      <c r="D2580" s="81" t="str">
        <f t="shared" si="44"/>
        <v>Laiton - BronzeUnions mf 341 Bronze</v>
      </c>
      <c r="E2580" s="75" t="s">
        <v>0</v>
      </c>
      <c r="F2580" s="81">
        <v>1</v>
      </c>
      <c r="G2580" s="71" t="s">
        <v>2509</v>
      </c>
      <c r="H2580" s="71"/>
      <c r="I2580" s="71"/>
      <c r="J2580" s="70">
        <f>IFERROR(VLOOKUP(Devis[[#This Row],[Ref Air Flux]],#REF!,3,FALSE),0)</f>
        <v>0</v>
      </c>
      <c r="K2580" s="68"/>
      <c r="L2580" s="68"/>
      <c r="M2580" s="68"/>
      <c r="N2580" s="68"/>
      <c r="O2580" s="68"/>
      <c r="P2580" s="68"/>
      <c r="Q2580" s="68">
        <f>SUM(Devis[[#This Row],[Poste 1]:[Poste 6]])</f>
        <v>0</v>
      </c>
      <c r="R2580" s="71"/>
      <c r="S2580" s="68">
        <f>_xlfn.CEILING.MATH(Devis[[#This Row],[Quantité Totale]],Devis[[#This Row],[Conditionnement]])</f>
        <v>0</v>
      </c>
      <c r="T2580" s="72"/>
      <c r="U2580" s="73"/>
      <c r="V2580" s="74">
        <f>Devis[[#This Row],[Prix de Revient]]*Devis[[#This Row],[Poste 1]]</f>
        <v>0</v>
      </c>
      <c r="W2580" s="74">
        <f>Devis[[#This Row],[Prix de Revient]]*Devis[[#This Row],[Poste 2]]</f>
        <v>0</v>
      </c>
      <c r="X2580" s="74">
        <f>Devis[[#This Row],[Prix de Revient]]*Devis[[#This Row],[Poste 3]]</f>
        <v>0</v>
      </c>
      <c r="Y2580" s="74">
        <f>Devis[[#This Row],[Poste 4]]*Devis[[#This Row],[Prix de Revient]]</f>
        <v>0</v>
      </c>
      <c r="Z2580" s="74">
        <f>Devis[[#This Row],[Poste 5]]*Devis[[#This Row],[Prix de Revient]]</f>
        <v>0</v>
      </c>
      <c r="AA2580" s="74">
        <f>Devis[[#This Row],[Prix de Revient]]*Devis[[#This Row],[Poste 6]]</f>
        <v>0</v>
      </c>
      <c r="AB2580" s="74">
        <f>Devis[[#This Row],[Quantité Totale]]*Devis[[#This Row],[Prix de Revient]]</f>
        <v>0</v>
      </c>
    </row>
    <row r="2581" spans="1:28" ht="14.25" customHeight="1" outlineLevel="1" x14ac:dyDescent="0.2">
      <c r="A2581" s="75" t="s">
        <v>2374</v>
      </c>
      <c r="B2581" s="76" t="s">
        <v>2508</v>
      </c>
      <c r="C2581" s="75"/>
      <c r="D2581" s="81" t="str">
        <f t="shared" si="44"/>
        <v>Laiton - BronzeUnions mf 341 Bronze</v>
      </c>
      <c r="E2581" s="75" t="s">
        <v>21</v>
      </c>
      <c r="F2581" s="81">
        <v>2</v>
      </c>
      <c r="G2581" s="71" t="s">
        <v>2510</v>
      </c>
      <c r="H2581" s="71"/>
      <c r="I2581" s="71"/>
      <c r="J2581" s="70">
        <f>IFERROR(VLOOKUP(Devis[[#This Row],[Ref Air Flux]],#REF!,3,FALSE),0)</f>
        <v>0</v>
      </c>
      <c r="K2581" s="68"/>
      <c r="L2581" s="68"/>
      <c r="M2581" s="68"/>
      <c r="N2581" s="68"/>
      <c r="O2581" s="68"/>
      <c r="P2581" s="68"/>
      <c r="Q2581" s="68">
        <f>SUM(Devis[[#This Row],[Poste 1]:[Poste 6]])</f>
        <v>0</v>
      </c>
      <c r="R2581" s="71"/>
      <c r="S2581" s="68">
        <f>_xlfn.CEILING.MATH(Devis[[#This Row],[Quantité Totale]],Devis[[#This Row],[Conditionnement]])</f>
        <v>0</v>
      </c>
      <c r="T2581" s="72"/>
      <c r="U2581" s="73"/>
      <c r="V2581" s="74">
        <f>Devis[[#This Row],[Prix de Revient]]*Devis[[#This Row],[Poste 1]]</f>
        <v>0</v>
      </c>
      <c r="W2581" s="74">
        <f>Devis[[#This Row],[Prix de Revient]]*Devis[[#This Row],[Poste 2]]</f>
        <v>0</v>
      </c>
      <c r="X2581" s="74">
        <f>Devis[[#This Row],[Prix de Revient]]*Devis[[#This Row],[Poste 3]]</f>
        <v>0</v>
      </c>
      <c r="Y2581" s="74">
        <f>Devis[[#This Row],[Poste 4]]*Devis[[#This Row],[Prix de Revient]]</f>
        <v>0</v>
      </c>
      <c r="Z2581" s="74">
        <f>Devis[[#This Row],[Poste 5]]*Devis[[#This Row],[Prix de Revient]]</f>
        <v>0</v>
      </c>
      <c r="AA2581" s="74">
        <f>Devis[[#This Row],[Prix de Revient]]*Devis[[#This Row],[Poste 6]]</f>
        <v>0</v>
      </c>
      <c r="AB2581" s="74">
        <f>Devis[[#This Row],[Quantité Totale]]*Devis[[#This Row],[Prix de Revient]]</f>
        <v>0</v>
      </c>
    </row>
    <row r="2582" spans="1:28" ht="14.25" outlineLevel="1" x14ac:dyDescent="0.2">
      <c r="A2582" s="75" t="s">
        <v>2374</v>
      </c>
      <c r="B2582" s="76" t="s">
        <v>2508</v>
      </c>
      <c r="C2582" s="75"/>
      <c r="D2582" s="81" t="str">
        <f t="shared" si="44"/>
        <v>Laiton - BronzeUnions mf 341 Bronze</v>
      </c>
      <c r="E2582" s="75" t="s">
        <v>20</v>
      </c>
      <c r="F2582" s="81">
        <v>3</v>
      </c>
      <c r="G2582" s="71" t="s">
        <v>2511</v>
      </c>
      <c r="H2582" s="71"/>
      <c r="I2582" s="71"/>
      <c r="J2582" s="70">
        <f>IFERROR(VLOOKUP(Devis[[#This Row],[Ref Air Flux]],#REF!,3,FALSE),0)</f>
        <v>0</v>
      </c>
      <c r="K2582" s="68"/>
      <c r="L2582" s="68"/>
      <c r="M2582" s="68"/>
      <c r="N2582" s="68"/>
      <c r="O2582" s="68"/>
      <c r="P2582" s="68"/>
      <c r="Q2582" s="68">
        <f>SUM(Devis[[#This Row],[Poste 1]:[Poste 6]])</f>
        <v>0</v>
      </c>
      <c r="R2582" s="71"/>
      <c r="S2582" s="68">
        <f>_xlfn.CEILING.MATH(Devis[[#This Row],[Quantité Totale]],Devis[[#This Row],[Conditionnement]])</f>
        <v>0</v>
      </c>
      <c r="T2582" s="72"/>
      <c r="U2582" s="73"/>
      <c r="V2582" s="74">
        <f>Devis[[#This Row],[Prix de Revient]]*Devis[[#This Row],[Poste 1]]</f>
        <v>0</v>
      </c>
      <c r="W2582" s="74">
        <f>Devis[[#This Row],[Prix de Revient]]*Devis[[#This Row],[Poste 2]]</f>
        <v>0</v>
      </c>
      <c r="X2582" s="74">
        <f>Devis[[#This Row],[Prix de Revient]]*Devis[[#This Row],[Poste 3]]</f>
        <v>0</v>
      </c>
      <c r="Y2582" s="74">
        <f>Devis[[#This Row],[Poste 4]]*Devis[[#This Row],[Prix de Revient]]</f>
        <v>0</v>
      </c>
      <c r="Z2582" s="74">
        <f>Devis[[#This Row],[Poste 5]]*Devis[[#This Row],[Prix de Revient]]</f>
        <v>0</v>
      </c>
      <c r="AA2582" s="74">
        <f>Devis[[#This Row],[Prix de Revient]]*Devis[[#This Row],[Poste 6]]</f>
        <v>0</v>
      </c>
      <c r="AB2582" s="74">
        <f>Devis[[#This Row],[Quantité Totale]]*Devis[[#This Row],[Prix de Revient]]</f>
        <v>0</v>
      </c>
    </row>
    <row r="2583" spans="1:28" ht="14.25" outlineLevel="1" x14ac:dyDescent="0.2">
      <c r="A2583" s="75" t="s">
        <v>2374</v>
      </c>
      <c r="B2583" s="76" t="s">
        <v>2508</v>
      </c>
      <c r="C2583" s="75"/>
      <c r="D2583" s="81" t="str">
        <f t="shared" si="44"/>
        <v>Laiton - BronzeUnions mf 341 Bronze</v>
      </c>
      <c r="E2583" s="75" t="s">
        <v>19</v>
      </c>
      <c r="F2583" s="81">
        <v>4</v>
      </c>
      <c r="G2583" s="71" t="s">
        <v>2512</v>
      </c>
      <c r="H2583" s="71"/>
      <c r="I2583" s="71"/>
      <c r="J2583" s="70">
        <f>IFERROR(VLOOKUP(Devis[[#This Row],[Ref Air Flux]],#REF!,3,FALSE),0)</f>
        <v>0</v>
      </c>
      <c r="K2583" s="68"/>
      <c r="L2583" s="68"/>
      <c r="M2583" s="68"/>
      <c r="N2583" s="68"/>
      <c r="O2583" s="68"/>
      <c r="P2583" s="68"/>
      <c r="Q2583" s="68">
        <f>SUM(Devis[[#This Row],[Poste 1]:[Poste 6]])</f>
        <v>0</v>
      </c>
      <c r="R2583" s="71"/>
      <c r="S2583" s="68">
        <f>_xlfn.CEILING.MATH(Devis[[#This Row],[Quantité Totale]],Devis[[#This Row],[Conditionnement]])</f>
        <v>0</v>
      </c>
      <c r="T2583" s="72"/>
      <c r="U2583" s="73"/>
      <c r="V2583" s="74">
        <f>Devis[[#This Row],[Prix de Revient]]*Devis[[#This Row],[Poste 1]]</f>
        <v>0</v>
      </c>
      <c r="W2583" s="74">
        <f>Devis[[#This Row],[Prix de Revient]]*Devis[[#This Row],[Poste 2]]</f>
        <v>0</v>
      </c>
      <c r="X2583" s="74">
        <f>Devis[[#This Row],[Prix de Revient]]*Devis[[#This Row],[Poste 3]]</f>
        <v>0</v>
      </c>
      <c r="Y2583" s="74">
        <f>Devis[[#This Row],[Poste 4]]*Devis[[#This Row],[Prix de Revient]]</f>
        <v>0</v>
      </c>
      <c r="Z2583" s="74">
        <f>Devis[[#This Row],[Poste 5]]*Devis[[#This Row],[Prix de Revient]]</f>
        <v>0</v>
      </c>
      <c r="AA2583" s="74">
        <f>Devis[[#This Row],[Prix de Revient]]*Devis[[#This Row],[Poste 6]]</f>
        <v>0</v>
      </c>
      <c r="AB2583" s="74">
        <f>Devis[[#This Row],[Quantité Totale]]*Devis[[#This Row],[Prix de Revient]]</f>
        <v>0</v>
      </c>
    </row>
    <row r="2584" spans="1:28" ht="14.25" outlineLevel="1" x14ac:dyDescent="0.2">
      <c r="A2584" s="75" t="s">
        <v>2374</v>
      </c>
      <c r="B2584" s="76" t="s">
        <v>2508</v>
      </c>
      <c r="C2584" s="75"/>
      <c r="D2584" s="81" t="str">
        <f t="shared" si="44"/>
        <v>Laiton - BronzeUnions mf 341 Bronze</v>
      </c>
      <c r="E2584" s="105" t="s">
        <v>18</v>
      </c>
      <c r="F2584" s="81">
        <v>5</v>
      </c>
      <c r="G2584" s="71" t="s">
        <v>2513</v>
      </c>
      <c r="H2584" s="71"/>
      <c r="I2584" s="112"/>
      <c r="J2584" s="70">
        <f>IFERROR(VLOOKUP(Devis[[#This Row],[Ref Air Flux]],#REF!,3,FALSE),0)</f>
        <v>0</v>
      </c>
      <c r="K2584" s="68"/>
      <c r="L2584" s="68"/>
      <c r="M2584" s="68"/>
      <c r="N2584" s="68"/>
      <c r="O2584" s="68"/>
      <c r="P2584" s="68"/>
      <c r="Q2584" s="68">
        <f>SUM(Devis[[#This Row],[Poste 1]:[Poste 6]])</f>
        <v>0</v>
      </c>
      <c r="R2584" s="71"/>
      <c r="S2584" s="68">
        <f>_xlfn.CEILING.MATH(Devis[[#This Row],[Quantité Totale]],Devis[[#This Row],[Conditionnement]])</f>
        <v>0</v>
      </c>
      <c r="T2584" s="72"/>
      <c r="U2584" s="73"/>
      <c r="V2584" s="74">
        <f>Devis[[#This Row],[Prix de Revient]]*Devis[[#This Row],[Poste 1]]</f>
        <v>0</v>
      </c>
      <c r="W2584" s="74">
        <f>Devis[[#This Row],[Prix de Revient]]*Devis[[#This Row],[Poste 2]]</f>
        <v>0</v>
      </c>
      <c r="X2584" s="74">
        <f>Devis[[#This Row],[Prix de Revient]]*Devis[[#This Row],[Poste 3]]</f>
        <v>0</v>
      </c>
      <c r="Y2584" s="74">
        <f>Devis[[#This Row],[Poste 4]]*Devis[[#This Row],[Prix de Revient]]</f>
        <v>0</v>
      </c>
      <c r="Z2584" s="74">
        <f>Devis[[#This Row],[Poste 5]]*Devis[[#This Row],[Prix de Revient]]</f>
        <v>0</v>
      </c>
      <c r="AA2584" s="74">
        <f>Devis[[#This Row],[Prix de Revient]]*Devis[[#This Row],[Poste 6]]</f>
        <v>0</v>
      </c>
      <c r="AB2584" s="74">
        <f>Devis[[#This Row],[Quantité Totale]]*Devis[[#This Row],[Prix de Revient]]</f>
        <v>0</v>
      </c>
    </row>
    <row r="2585" spans="1:28" ht="14.25" outlineLevel="1" x14ac:dyDescent="0.2">
      <c r="A2585" s="75" t="s">
        <v>2374</v>
      </c>
      <c r="B2585" s="76" t="s">
        <v>2508</v>
      </c>
      <c r="C2585" s="75"/>
      <c r="D2585" s="81" t="str">
        <f t="shared" si="44"/>
        <v>Laiton - BronzeUnions mf 341 Bronze</v>
      </c>
      <c r="E2585" s="105" t="s">
        <v>17</v>
      </c>
      <c r="F2585" s="81">
        <v>6</v>
      </c>
      <c r="G2585" s="71" t="s">
        <v>2514</v>
      </c>
      <c r="H2585" s="71"/>
      <c r="I2585" s="112"/>
      <c r="J2585" s="70">
        <f>IFERROR(VLOOKUP(Devis[[#This Row],[Ref Air Flux]],#REF!,3,FALSE),0)</f>
        <v>0</v>
      </c>
      <c r="K2585" s="68"/>
      <c r="L2585" s="68"/>
      <c r="M2585" s="68"/>
      <c r="N2585" s="68"/>
      <c r="O2585" s="68"/>
      <c r="P2585" s="68"/>
      <c r="Q2585" s="68">
        <f>SUM(Devis[[#This Row],[Poste 1]:[Poste 6]])</f>
        <v>0</v>
      </c>
      <c r="R2585" s="71"/>
      <c r="S2585" s="68">
        <f>_xlfn.CEILING.MATH(Devis[[#This Row],[Quantité Totale]],Devis[[#This Row],[Conditionnement]])</f>
        <v>0</v>
      </c>
      <c r="T2585" s="72"/>
      <c r="U2585" s="73"/>
      <c r="V2585" s="74">
        <f>Devis[[#This Row],[Prix de Revient]]*Devis[[#This Row],[Poste 1]]</f>
        <v>0</v>
      </c>
      <c r="W2585" s="74">
        <f>Devis[[#This Row],[Prix de Revient]]*Devis[[#This Row],[Poste 2]]</f>
        <v>0</v>
      </c>
      <c r="X2585" s="74">
        <f>Devis[[#This Row],[Prix de Revient]]*Devis[[#This Row],[Poste 3]]</f>
        <v>0</v>
      </c>
      <c r="Y2585" s="74">
        <f>Devis[[#This Row],[Poste 4]]*Devis[[#This Row],[Prix de Revient]]</f>
        <v>0</v>
      </c>
      <c r="Z2585" s="74">
        <f>Devis[[#This Row],[Poste 5]]*Devis[[#This Row],[Prix de Revient]]</f>
        <v>0</v>
      </c>
      <c r="AA2585" s="74">
        <f>Devis[[#This Row],[Prix de Revient]]*Devis[[#This Row],[Poste 6]]</f>
        <v>0</v>
      </c>
      <c r="AB2585" s="74">
        <f>Devis[[#This Row],[Quantité Totale]]*Devis[[#This Row],[Prix de Revient]]</f>
        <v>0</v>
      </c>
    </row>
    <row r="2586" spans="1:28" ht="14.25" outlineLevel="1" x14ac:dyDescent="0.2">
      <c r="A2586" s="75" t="s">
        <v>2374</v>
      </c>
      <c r="B2586" s="76" t="s">
        <v>2508</v>
      </c>
      <c r="C2586" s="75"/>
      <c r="D2586" s="81" t="str">
        <f t="shared" si="44"/>
        <v>Laiton - BronzeUnions mf 341 Bronze</v>
      </c>
      <c r="E2586" s="105" t="s">
        <v>16</v>
      </c>
      <c r="F2586" s="81">
        <v>7</v>
      </c>
      <c r="G2586" s="71" t="s">
        <v>2515</v>
      </c>
      <c r="H2586" s="71"/>
      <c r="I2586" s="112"/>
      <c r="J2586" s="70">
        <f>IFERROR(VLOOKUP(Devis[[#This Row],[Ref Air Flux]],#REF!,3,FALSE),0)</f>
        <v>0</v>
      </c>
      <c r="K2586" s="68"/>
      <c r="L2586" s="68"/>
      <c r="M2586" s="68"/>
      <c r="N2586" s="68"/>
      <c r="O2586" s="68"/>
      <c r="P2586" s="68"/>
      <c r="Q2586" s="68">
        <f>SUM(Devis[[#This Row],[Poste 1]:[Poste 6]])</f>
        <v>0</v>
      </c>
      <c r="R2586" s="71"/>
      <c r="S2586" s="68">
        <f>_xlfn.CEILING.MATH(Devis[[#This Row],[Quantité Totale]],Devis[[#This Row],[Conditionnement]])</f>
        <v>0</v>
      </c>
      <c r="T2586" s="72"/>
      <c r="U2586" s="73"/>
      <c r="V2586" s="74">
        <f>Devis[[#This Row],[Prix de Revient]]*Devis[[#This Row],[Poste 1]]</f>
        <v>0</v>
      </c>
      <c r="W2586" s="74">
        <f>Devis[[#This Row],[Prix de Revient]]*Devis[[#This Row],[Poste 2]]</f>
        <v>0</v>
      </c>
      <c r="X2586" s="74">
        <f>Devis[[#This Row],[Prix de Revient]]*Devis[[#This Row],[Poste 3]]</f>
        <v>0</v>
      </c>
      <c r="Y2586" s="74">
        <f>Devis[[#This Row],[Poste 4]]*Devis[[#This Row],[Prix de Revient]]</f>
        <v>0</v>
      </c>
      <c r="Z2586" s="74">
        <f>Devis[[#This Row],[Poste 5]]*Devis[[#This Row],[Prix de Revient]]</f>
        <v>0</v>
      </c>
      <c r="AA2586" s="74">
        <f>Devis[[#This Row],[Prix de Revient]]*Devis[[#This Row],[Poste 6]]</f>
        <v>0</v>
      </c>
      <c r="AB2586" s="74">
        <f>Devis[[#This Row],[Quantité Totale]]*Devis[[#This Row],[Prix de Revient]]</f>
        <v>0</v>
      </c>
    </row>
    <row r="2587" spans="1:28" ht="15" customHeight="1" outlineLevel="1" x14ac:dyDescent="0.2">
      <c r="A2587" s="75" t="s">
        <v>2374</v>
      </c>
      <c r="B2587" s="76" t="s">
        <v>2516</v>
      </c>
      <c r="C2587" s="75"/>
      <c r="D2587" s="81" t="str">
        <f t="shared" si="44"/>
        <v>Laiton - BronzeUnions mf 341 Laiton</v>
      </c>
      <c r="E2587" s="75" t="s">
        <v>0</v>
      </c>
      <c r="F2587" s="81">
        <v>8</v>
      </c>
      <c r="G2587" s="71" t="s">
        <v>2517</v>
      </c>
      <c r="H2587" s="71"/>
      <c r="I2587" s="71"/>
      <c r="J2587" s="70">
        <f>IFERROR(VLOOKUP(Devis[[#This Row],[Ref Air Flux]],#REF!,3,FALSE),0)</f>
        <v>0</v>
      </c>
      <c r="K2587" s="68"/>
      <c r="L2587" s="68"/>
      <c r="M2587" s="68"/>
      <c r="N2587" s="68"/>
      <c r="O2587" s="68"/>
      <c r="P2587" s="68"/>
      <c r="Q2587" s="68">
        <f>SUM(Devis[[#This Row],[Poste 1]:[Poste 6]])</f>
        <v>0</v>
      </c>
      <c r="R2587" s="71"/>
      <c r="S2587" s="68">
        <f>_xlfn.CEILING.MATH(Devis[[#This Row],[Quantité Totale]],Devis[[#This Row],[Conditionnement]])</f>
        <v>0</v>
      </c>
      <c r="T2587" s="72"/>
      <c r="U2587" s="73"/>
      <c r="V2587" s="74">
        <f>Devis[[#This Row],[Prix de Revient]]*Devis[[#This Row],[Poste 1]]</f>
        <v>0</v>
      </c>
      <c r="W2587" s="74">
        <f>Devis[[#This Row],[Prix de Revient]]*Devis[[#This Row],[Poste 2]]</f>
        <v>0</v>
      </c>
      <c r="X2587" s="74">
        <f>Devis[[#This Row],[Prix de Revient]]*Devis[[#This Row],[Poste 3]]</f>
        <v>0</v>
      </c>
      <c r="Y2587" s="74">
        <f>Devis[[#This Row],[Poste 4]]*Devis[[#This Row],[Prix de Revient]]</f>
        <v>0</v>
      </c>
      <c r="Z2587" s="74">
        <f>Devis[[#This Row],[Poste 5]]*Devis[[#This Row],[Prix de Revient]]</f>
        <v>0</v>
      </c>
      <c r="AA2587" s="74">
        <f>Devis[[#This Row],[Prix de Revient]]*Devis[[#This Row],[Poste 6]]</f>
        <v>0</v>
      </c>
      <c r="AB2587" s="74">
        <f>Devis[[#This Row],[Quantité Totale]]*Devis[[#This Row],[Prix de Revient]]</f>
        <v>0</v>
      </c>
    </row>
    <row r="2588" spans="1:28" ht="14.25" outlineLevel="1" x14ac:dyDescent="0.2">
      <c r="A2588" s="75" t="s">
        <v>2374</v>
      </c>
      <c r="B2588" s="76" t="s">
        <v>2516</v>
      </c>
      <c r="C2588" s="75"/>
      <c r="D2588" s="81" t="str">
        <f t="shared" si="44"/>
        <v>Laiton - BronzeUnions mf 341 Laiton</v>
      </c>
      <c r="E2588" s="75" t="s">
        <v>21</v>
      </c>
      <c r="F2588" s="81">
        <v>9</v>
      </c>
      <c r="G2588" s="71" t="s">
        <v>2518</v>
      </c>
      <c r="H2588" s="71"/>
      <c r="I2588" s="71"/>
      <c r="J2588" s="70">
        <f>IFERROR(VLOOKUP(Devis[[#This Row],[Ref Air Flux]],#REF!,3,FALSE),0)</f>
        <v>0</v>
      </c>
      <c r="K2588" s="68"/>
      <c r="L2588" s="68"/>
      <c r="M2588" s="68"/>
      <c r="N2588" s="68"/>
      <c r="O2588" s="68"/>
      <c r="P2588" s="68"/>
      <c r="Q2588" s="68">
        <f>SUM(Devis[[#This Row],[Poste 1]:[Poste 6]])</f>
        <v>0</v>
      </c>
      <c r="R2588" s="71"/>
      <c r="S2588" s="68">
        <f>_xlfn.CEILING.MATH(Devis[[#This Row],[Quantité Totale]],Devis[[#This Row],[Conditionnement]])</f>
        <v>0</v>
      </c>
      <c r="T2588" s="72"/>
      <c r="U2588" s="73"/>
      <c r="V2588" s="74">
        <f>Devis[[#This Row],[Prix de Revient]]*Devis[[#This Row],[Poste 1]]</f>
        <v>0</v>
      </c>
      <c r="W2588" s="74">
        <f>Devis[[#This Row],[Prix de Revient]]*Devis[[#This Row],[Poste 2]]</f>
        <v>0</v>
      </c>
      <c r="X2588" s="74">
        <f>Devis[[#This Row],[Prix de Revient]]*Devis[[#This Row],[Poste 3]]</f>
        <v>0</v>
      </c>
      <c r="Y2588" s="74">
        <f>Devis[[#This Row],[Poste 4]]*Devis[[#This Row],[Prix de Revient]]</f>
        <v>0</v>
      </c>
      <c r="Z2588" s="74">
        <f>Devis[[#This Row],[Poste 5]]*Devis[[#This Row],[Prix de Revient]]</f>
        <v>0</v>
      </c>
      <c r="AA2588" s="74">
        <f>Devis[[#This Row],[Prix de Revient]]*Devis[[#This Row],[Poste 6]]</f>
        <v>0</v>
      </c>
      <c r="AB2588" s="74">
        <f>Devis[[#This Row],[Quantité Totale]]*Devis[[#This Row],[Prix de Revient]]</f>
        <v>0</v>
      </c>
    </row>
    <row r="2589" spans="1:28" ht="14.25" outlineLevel="1" x14ac:dyDescent="0.2">
      <c r="A2589" s="75" t="s">
        <v>2374</v>
      </c>
      <c r="B2589" s="76" t="s">
        <v>2516</v>
      </c>
      <c r="C2589" s="75"/>
      <c r="D2589" s="81" t="str">
        <f t="shared" si="44"/>
        <v>Laiton - BronzeUnions mf 341 Laiton</v>
      </c>
      <c r="E2589" s="75" t="s">
        <v>20</v>
      </c>
      <c r="F2589" s="81">
        <v>10</v>
      </c>
      <c r="G2589" s="71" t="s">
        <v>2519</v>
      </c>
      <c r="H2589" s="71"/>
      <c r="I2589" s="71"/>
      <c r="J2589" s="70">
        <f>IFERROR(VLOOKUP(Devis[[#This Row],[Ref Air Flux]],#REF!,3,FALSE),0)</f>
        <v>0</v>
      </c>
      <c r="K2589" s="68"/>
      <c r="L2589" s="68"/>
      <c r="M2589" s="68"/>
      <c r="N2589" s="68"/>
      <c r="O2589" s="68"/>
      <c r="P2589" s="68"/>
      <c r="Q2589" s="68">
        <f>SUM(Devis[[#This Row],[Poste 1]:[Poste 6]])</f>
        <v>0</v>
      </c>
      <c r="R2589" s="71"/>
      <c r="S2589" s="68">
        <f>_xlfn.CEILING.MATH(Devis[[#This Row],[Quantité Totale]],Devis[[#This Row],[Conditionnement]])</f>
        <v>0</v>
      </c>
      <c r="T2589" s="72"/>
      <c r="U2589" s="73"/>
      <c r="V2589" s="74">
        <f>Devis[[#This Row],[Prix de Revient]]*Devis[[#This Row],[Poste 1]]</f>
        <v>0</v>
      </c>
      <c r="W2589" s="74">
        <f>Devis[[#This Row],[Prix de Revient]]*Devis[[#This Row],[Poste 2]]</f>
        <v>0</v>
      </c>
      <c r="X2589" s="74">
        <f>Devis[[#This Row],[Prix de Revient]]*Devis[[#This Row],[Poste 3]]</f>
        <v>0</v>
      </c>
      <c r="Y2589" s="74">
        <f>Devis[[#This Row],[Poste 4]]*Devis[[#This Row],[Prix de Revient]]</f>
        <v>0</v>
      </c>
      <c r="Z2589" s="74">
        <f>Devis[[#This Row],[Poste 5]]*Devis[[#This Row],[Prix de Revient]]</f>
        <v>0</v>
      </c>
      <c r="AA2589" s="74">
        <f>Devis[[#This Row],[Prix de Revient]]*Devis[[#This Row],[Poste 6]]</f>
        <v>0</v>
      </c>
      <c r="AB2589" s="74">
        <f>Devis[[#This Row],[Quantité Totale]]*Devis[[#This Row],[Prix de Revient]]</f>
        <v>0</v>
      </c>
    </row>
    <row r="2590" spans="1:28" ht="14.25" customHeight="1" outlineLevel="1" x14ac:dyDescent="0.2">
      <c r="A2590" s="75" t="s">
        <v>2374</v>
      </c>
      <c r="B2590" s="76" t="s">
        <v>2516</v>
      </c>
      <c r="C2590" s="75"/>
      <c r="D2590" s="81" t="str">
        <f t="shared" si="44"/>
        <v>Laiton - BronzeUnions mf 341 Laiton</v>
      </c>
      <c r="E2590" s="75" t="s">
        <v>19</v>
      </c>
      <c r="F2590" s="81">
        <v>11</v>
      </c>
      <c r="G2590" s="71" t="s">
        <v>2520</v>
      </c>
      <c r="H2590" s="71"/>
      <c r="I2590" s="71"/>
      <c r="J2590" s="70">
        <f>IFERROR(VLOOKUP(Devis[[#This Row],[Ref Air Flux]],#REF!,3,FALSE),0)</f>
        <v>0</v>
      </c>
      <c r="K2590" s="68"/>
      <c r="L2590" s="68"/>
      <c r="M2590" s="68"/>
      <c r="N2590" s="68"/>
      <c r="O2590" s="68"/>
      <c r="P2590" s="68"/>
      <c r="Q2590" s="68">
        <f>SUM(Devis[[#This Row],[Poste 1]:[Poste 6]])</f>
        <v>0</v>
      </c>
      <c r="R2590" s="71"/>
      <c r="S2590" s="68">
        <f>_xlfn.CEILING.MATH(Devis[[#This Row],[Quantité Totale]],Devis[[#This Row],[Conditionnement]])</f>
        <v>0</v>
      </c>
      <c r="T2590" s="72"/>
      <c r="U2590" s="73"/>
      <c r="V2590" s="74">
        <f>Devis[[#This Row],[Prix de Revient]]*Devis[[#This Row],[Poste 1]]</f>
        <v>0</v>
      </c>
      <c r="W2590" s="74">
        <f>Devis[[#This Row],[Prix de Revient]]*Devis[[#This Row],[Poste 2]]</f>
        <v>0</v>
      </c>
      <c r="X2590" s="74">
        <f>Devis[[#This Row],[Prix de Revient]]*Devis[[#This Row],[Poste 3]]</f>
        <v>0</v>
      </c>
      <c r="Y2590" s="74">
        <f>Devis[[#This Row],[Poste 4]]*Devis[[#This Row],[Prix de Revient]]</f>
        <v>0</v>
      </c>
      <c r="Z2590" s="74">
        <f>Devis[[#This Row],[Poste 5]]*Devis[[#This Row],[Prix de Revient]]</f>
        <v>0</v>
      </c>
      <c r="AA2590" s="74">
        <f>Devis[[#This Row],[Prix de Revient]]*Devis[[#This Row],[Poste 6]]</f>
        <v>0</v>
      </c>
      <c r="AB2590" s="74">
        <f>Devis[[#This Row],[Quantité Totale]]*Devis[[#This Row],[Prix de Revient]]</f>
        <v>0</v>
      </c>
    </row>
    <row r="2591" spans="1:28" ht="14.25" outlineLevel="1" x14ac:dyDescent="0.2">
      <c r="A2591" s="75" t="s">
        <v>2374</v>
      </c>
      <c r="B2591" s="76" t="s">
        <v>2516</v>
      </c>
      <c r="C2591" s="75"/>
      <c r="D2591" s="81" t="str">
        <f t="shared" si="44"/>
        <v>Laiton - BronzeUnions mf 341 Laiton</v>
      </c>
      <c r="E2591" s="105" t="s">
        <v>18</v>
      </c>
      <c r="F2591" s="81">
        <v>12</v>
      </c>
      <c r="G2591" s="71" t="s">
        <v>2521</v>
      </c>
      <c r="H2591" s="71"/>
      <c r="I2591" s="112"/>
      <c r="J2591" s="70">
        <f>IFERROR(VLOOKUP(Devis[[#This Row],[Ref Air Flux]],#REF!,3,FALSE),0)</f>
        <v>0</v>
      </c>
      <c r="K2591" s="68"/>
      <c r="L2591" s="68"/>
      <c r="M2591" s="68"/>
      <c r="N2591" s="68"/>
      <c r="O2591" s="68"/>
      <c r="P2591" s="68"/>
      <c r="Q2591" s="68">
        <f>SUM(Devis[[#This Row],[Poste 1]:[Poste 6]])</f>
        <v>0</v>
      </c>
      <c r="R2591" s="71"/>
      <c r="S2591" s="68">
        <f>_xlfn.CEILING.MATH(Devis[[#This Row],[Quantité Totale]],Devis[[#This Row],[Conditionnement]])</f>
        <v>0</v>
      </c>
      <c r="T2591" s="72"/>
      <c r="U2591" s="73"/>
      <c r="V2591" s="74">
        <f>Devis[[#This Row],[Prix de Revient]]*Devis[[#This Row],[Poste 1]]</f>
        <v>0</v>
      </c>
      <c r="W2591" s="74">
        <f>Devis[[#This Row],[Prix de Revient]]*Devis[[#This Row],[Poste 2]]</f>
        <v>0</v>
      </c>
      <c r="X2591" s="74">
        <f>Devis[[#This Row],[Prix de Revient]]*Devis[[#This Row],[Poste 3]]</f>
        <v>0</v>
      </c>
      <c r="Y2591" s="74">
        <f>Devis[[#This Row],[Poste 4]]*Devis[[#This Row],[Prix de Revient]]</f>
        <v>0</v>
      </c>
      <c r="Z2591" s="74">
        <f>Devis[[#This Row],[Poste 5]]*Devis[[#This Row],[Prix de Revient]]</f>
        <v>0</v>
      </c>
      <c r="AA2591" s="74">
        <f>Devis[[#This Row],[Prix de Revient]]*Devis[[#This Row],[Poste 6]]</f>
        <v>0</v>
      </c>
      <c r="AB2591" s="74">
        <f>Devis[[#This Row],[Quantité Totale]]*Devis[[#This Row],[Prix de Revient]]</f>
        <v>0</v>
      </c>
    </row>
    <row r="2592" spans="1:28" ht="14.25" customHeight="1" outlineLevel="1" x14ac:dyDescent="0.25">
      <c r="A2592" s="65" t="s">
        <v>2374</v>
      </c>
      <c r="B2592" s="65" t="s">
        <v>2522</v>
      </c>
      <c r="C2592" s="76"/>
      <c r="D2592" s="81" t="str">
        <f t="shared" si="44"/>
        <v>Laiton - BronzeUnions mf coudés 98 LAITON</v>
      </c>
      <c r="E2592" s="76"/>
      <c r="F2592" s="81">
        <v>0</v>
      </c>
      <c r="G2592" s="71"/>
      <c r="H2592" s="71"/>
      <c r="I2592" s="71"/>
      <c r="J2592" s="70">
        <f>IFERROR(VLOOKUP(Devis[[#This Row],[Ref Air Flux]],#REF!,3,FALSE),0)</f>
        <v>0</v>
      </c>
      <c r="K2592" s="68"/>
      <c r="L2592" s="68"/>
      <c r="M2592" s="68"/>
      <c r="N2592" s="68"/>
      <c r="O2592" s="68"/>
      <c r="P2592" s="68"/>
      <c r="Q2592" s="68">
        <f>SUM(Devis[[#This Row],[Poste 1]:[Poste 6]])</f>
        <v>0</v>
      </c>
      <c r="R2592" s="71"/>
      <c r="S2592" s="68">
        <f>_xlfn.CEILING.MATH(Devis[[#This Row],[Quantité Totale]],Devis[[#This Row],[Conditionnement]])</f>
        <v>0</v>
      </c>
      <c r="T2592" s="72"/>
      <c r="U2592" s="73"/>
      <c r="V2592" s="74">
        <f>Devis[[#This Row],[Prix de Revient]]*Devis[[#This Row],[Poste 1]]</f>
        <v>0</v>
      </c>
      <c r="W2592" s="74">
        <f>Devis[[#This Row],[Prix de Revient]]*Devis[[#This Row],[Poste 2]]</f>
        <v>0</v>
      </c>
      <c r="X2592" s="74">
        <f>Devis[[#This Row],[Prix de Revient]]*Devis[[#This Row],[Poste 3]]</f>
        <v>0</v>
      </c>
      <c r="Y2592" s="74">
        <f>Devis[[#This Row],[Poste 4]]*Devis[[#This Row],[Prix de Revient]]</f>
        <v>0</v>
      </c>
      <c r="Z2592" s="74">
        <f>Devis[[#This Row],[Poste 5]]*Devis[[#This Row],[Prix de Revient]]</f>
        <v>0</v>
      </c>
      <c r="AA2592" s="74">
        <f>Devis[[#This Row],[Prix de Revient]]*Devis[[#This Row],[Poste 6]]</f>
        <v>0</v>
      </c>
      <c r="AB2592" s="74">
        <f>Devis[[#This Row],[Quantité Totale]]*Devis[[#This Row],[Prix de Revient]]</f>
        <v>0</v>
      </c>
    </row>
    <row r="2593" spans="1:28" ht="14.25" outlineLevel="1" x14ac:dyDescent="0.2">
      <c r="A2593" s="75" t="s">
        <v>2374</v>
      </c>
      <c r="B2593" s="76" t="s">
        <v>2522</v>
      </c>
      <c r="C2593" s="75"/>
      <c r="D2593" s="81" t="str">
        <f t="shared" si="44"/>
        <v>Laiton - BronzeUnions mf coudés 98 LAITON</v>
      </c>
      <c r="E2593" s="105" t="s">
        <v>18</v>
      </c>
      <c r="F2593" s="81">
        <v>1</v>
      </c>
      <c r="G2593" s="71" t="s">
        <v>2523</v>
      </c>
      <c r="H2593" s="71"/>
      <c r="I2593" s="112"/>
      <c r="J2593" s="70">
        <f>IFERROR(VLOOKUP(Devis[[#This Row],[Ref Air Flux]],#REF!,3,FALSE),0)</f>
        <v>0</v>
      </c>
      <c r="K2593" s="68"/>
      <c r="L2593" s="68"/>
      <c r="M2593" s="68"/>
      <c r="N2593" s="68"/>
      <c r="O2593" s="68"/>
      <c r="P2593" s="68"/>
      <c r="Q2593" s="68">
        <f>SUM(Devis[[#This Row],[Poste 1]:[Poste 6]])</f>
        <v>0</v>
      </c>
      <c r="R2593" s="71"/>
      <c r="S2593" s="68">
        <f>_xlfn.CEILING.MATH(Devis[[#This Row],[Quantité Totale]],Devis[[#This Row],[Conditionnement]])</f>
        <v>0</v>
      </c>
      <c r="T2593" s="72"/>
      <c r="U2593" s="73"/>
      <c r="V2593" s="74">
        <f>Devis[[#This Row],[Prix de Revient]]*Devis[[#This Row],[Poste 1]]</f>
        <v>0</v>
      </c>
      <c r="W2593" s="74">
        <f>Devis[[#This Row],[Prix de Revient]]*Devis[[#This Row],[Poste 2]]</f>
        <v>0</v>
      </c>
      <c r="X2593" s="74">
        <f>Devis[[#This Row],[Prix de Revient]]*Devis[[#This Row],[Poste 3]]</f>
        <v>0</v>
      </c>
      <c r="Y2593" s="74">
        <f>Devis[[#This Row],[Poste 4]]*Devis[[#This Row],[Prix de Revient]]</f>
        <v>0</v>
      </c>
      <c r="Z2593" s="74">
        <f>Devis[[#This Row],[Poste 5]]*Devis[[#This Row],[Prix de Revient]]</f>
        <v>0</v>
      </c>
      <c r="AA2593" s="74">
        <f>Devis[[#This Row],[Prix de Revient]]*Devis[[#This Row],[Poste 6]]</f>
        <v>0</v>
      </c>
      <c r="AB2593" s="74">
        <f>Devis[[#This Row],[Quantité Totale]]*Devis[[#This Row],[Prix de Revient]]</f>
        <v>0</v>
      </c>
    </row>
    <row r="2594" spans="1:28" ht="14.25" customHeight="1" x14ac:dyDescent="0.25">
      <c r="A2594" s="65" t="s">
        <v>2524</v>
      </c>
      <c r="B2594" s="66" t="s">
        <v>3406</v>
      </c>
      <c r="C2594" s="67"/>
      <c r="D2594" s="67" t="str">
        <f>Général!$A3466&amp;Général!$B3466&amp;Général!$C3466</f>
        <v>TransairPrises murales</v>
      </c>
      <c r="E2594" s="67"/>
      <c r="F2594" s="67">
        <v>0</v>
      </c>
      <c r="G2594" s="68"/>
      <c r="H2594" s="68"/>
      <c r="I2594" s="69"/>
      <c r="J2594" s="70">
        <f>IFERROR(VLOOKUP(Devis[[#This Row],[Ref Air Flux]],#REF!,3,FALSE),0)</f>
        <v>0</v>
      </c>
      <c r="K2594" s="68"/>
      <c r="L2594" s="68"/>
      <c r="M2594" s="68"/>
      <c r="N2594" s="68"/>
      <c r="O2594" s="68"/>
      <c r="P2594" s="68"/>
      <c r="Q2594" s="68">
        <f>SUM(Devis[[#This Row],[Poste 1]:[Poste 6]])</f>
        <v>0</v>
      </c>
      <c r="R2594" s="71"/>
      <c r="S2594" s="68">
        <f>_xlfn.CEILING.MATH(Devis[[#This Row],[Quantité Totale]],Devis[[#This Row],[Conditionnement]])</f>
        <v>0</v>
      </c>
      <c r="T2594" s="72"/>
      <c r="U2594" s="73"/>
      <c r="V2594" s="74">
        <f>Devis[[#This Row],[Prix de Revient]]*Devis[[#This Row],[Poste 1]]</f>
        <v>0</v>
      </c>
      <c r="W2594" s="74">
        <f>Devis[[#This Row],[Prix de Revient]]*Devis[[#This Row],[Poste 2]]</f>
        <v>0</v>
      </c>
      <c r="X2594" s="74">
        <f>Devis[[#This Row],[Prix de Revient]]*Devis[[#This Row],[Poste 3]]</f>
        <v>0</v>
      </c>
      <c r="Y2594" s="74">
        <f>Devis[[#This Row],[Poste 4]]*Devis[[#This Row],[Prix de Revient]]</f>
        <v>0</v>
      </c>
      <c r="Z2594" s="74">
        <f>Devis[[#This Row],[Poste 5]]*Devis[[#This Row],[Prix de Revient]]</f>
        <v>0</v>
      </c>
      <c r="AA2594" s="74">
        <f>Devis[[#This Row],[Prix de Revient]]*Devis[[#This Row],[Poste 6]]</f>
        <v>0</v>
      </c>
      <c r="AB2594" s="74">
        <f>Devis[[#This Row],[Quantité Totale]]*Devis[[#This Row],[Prix de Revient]]</f>
        <v>0</v>
      </c>
    </row>
    <row r="2595" spans="1:28" ht="14.25" outlineLevel="1" x14ac:dyDescent="0.2">
      <c r="A2595" s="75" t="s">
        <v>2524</v>
      </c>
      <c r="B2595" s="67" t="s">
        <v>3406</v>
      </c>
      <c r="C2595" s="67"/>
      <c r="D2595" s="67" t="s">
        <v>5522</v>
      </c>
      <c r="E2595" s="67" t="s">
        <v>5521</v>
      </c>
      <c r="F2595" s="67">
        <v>1</v>
      </c>
      <c r="G2595" s="67" t="s">
        <v>5521</v>
      </c>
      <c r="H2595" s="68"/>
      <c r="I2595" s="69"/>
      <c r="J2595" s="70">
        <f>IFERROR(VLOOKUP(Devis[[#This Row],[Ref Air Flux]],#REF!,3,FALSE),0)</f>
        <v>0</v>
      </c>
      <c r="K2595" s="68"/>
      <c r="L2595" s="68"/>
      <c r="M2595" s="68"/>
      <c r="N2595" s="68"/>
      <c r="O2595" s="68"/>
      <c r="P2595" s="68"/>
      <c r="Q2595" s="68">
        <f>SUM(Devis[[#This Row],[Poste 1]:[Poste 6]])</f>
        <v>0</v>
      </c>
      <c r="R2595" s="71"/>
      <c r="S2595" s="68">
        <f>_xlfn.CEILING.MATH(Devis[[#This Row],[Quantité Totale]],Devis[[#This Row],[Conditionnement]])</f>
        <v>0</v>
      </c>
      <c r="T2595" s="72"/>
      <c r="U2595" s="73"/>
      <c r="V2595" s="74">
        <f>Devis[[#This Row],[Prix de Revient]]*Devis[[#This Row],[Poste 1]]</f>
        <v>0</v>
      </c>
      <c r="W2595" s="74">
        <f>Devis[[#This Row],[Prix de Revient]]*Devis[[#This Row],[Poste 2]]</f>
        <v>0</v>
      </c>
      <c r="X2595" s="74">
        <f>Devis[[#This Row],[Prix de Revient]]*Devis[[#This Row],[Poste 3]]</f>
        <v>0</v>
      </c>
      <c r="Y2595" s="74">
        <f>Devis[[#This Row],[Poste 4]]*Devis[[#This Row],[Prix de Revient]]</f>
        <v>0</v>
      </c>
      <c r="Z2595" s="74">
        <f>Devis[[#This Row],[Poste 5]]*Devis[[#This Row],[Prix de Revient]]</f>
        <v>0</v>
      </c>
      <c r="AA2595" s="74">
        <f>Devis[[#This Row],[Prix de Revient]]*Devis[[#This Row],[Poste 6]]</f>
        <v>0</v>
      </c>
      <c r="AB2595" s="74">
        <f>Devis[[#This Row],[Quantité Totale]]*Devis[[#This Row],[Prix de Revient]]</f>
        <v>0</v>
      </c>
    </row>
    <row r="2596" spans="1:28" ht="15" customHeight="1" outlineLevel="1" x14ac:dyDescent="0.2">
      <c r="A2596" s="75" t="s">
        <v>2524</v>
      </c>
      <c r="B2596" s="67" t="s">
        <v>3406</v>
      </c>
      <c r="C2596" s="67"/>
      <c r="D2596" s="67" t="s">
        <v>5523</v>
      </c>
      <c r="E2596" s="67" t="s">
        <v>5520</v>
      </c>
      <c r="F2596" s="67">
        <v>2</v>
      </c>
      <c r="G2596" s="67" t="s">
        <v>5520</v>
      </c>
      <c r="H2596" s="68"/>
      <c r="I2596" s="69"/>
      <c r="J2596" s="70">
        <f>IFERROR(VLOOKUP(Devis[[#This Row],[Ref Air Flux]],#REF!,3,FALSE),0)</f>
        <v>0</v>
      </c>
      <c r="K2596" s="68"/>
      <c r="L2596" s="68"/>
      <c r="M2596" s="68"/>
      <c r="N2596" s="68"/>
      <c r="O2596" s="68"/>
      <c r="P2596" s="68"/>
      <c r="Q2596" s="68">
        <f>SUM(Devis[[#This Row],[Poste 1]:[Poste 6]])</f>
        <v>0</v>
      </c>
      <c r="R2596" s="71"/>
      <c r="S2596" s="68">
        <f>_xlfn.CEILING.MATH(Devis[[#This Row],[Quantité Totale]],Devis[[#This Row],[Conditionnement]])</f>
        <v>0</v>
      </c>
      <c r="T2596" s="72"/>
      <c r="U2596" s="73"/>
      <c r="V2596" s="74">
        <f>Devis[[#This Row],[Prix de Revient]]*Devis[[#This Row],[Poste 1]]</f>
        <v>0</v>
      </c>
      <c r="W2596" s="74">
        <f>Devis[[#This Row],[Prix de Revient]]*Devis[[#This Row],[Poste 2]]</f>
        <v>0</v>
      </c>
      <c r="X2596" s="74">
        <f>Devis[[#This Row],[Prix de Revient]]*Devis[[#This Row],[Poste 3]]</f>
        <v>0</v>
      </c>
      <c r="Y2596" s="74">
        <f>Devis[[#This Row],[Poste 4]]*Devis[[#This Row],[Prix de Revient]]</f>
        <v>0</v>
      </c>
      <c r="Z2596" s="74">
        <f>Devis[[#This Row],[Poste 5]]*Devis[[#This Row],[Prix de Revient]]</f>
        <v>0</v>
      </c>
      <c r="AA2596" s="74">
        <f>Devis[[#This Row],[Prix de Revient]]*Devis[[#This Row],[Poste 6]]</f>
        <v>0</v>
      </c>
      <c r="AB2596" s="74">
        <f>Devis[[#This Row],[Quantité Totale]]*Devis[[#This Row],[Prix de Revient]]</f>
        <v>0</v>
      </c>
    </row>
    <row r="2597" spans="1:28" ht="14.25" customHeight="1" x14ac:dyDescent="0.25">
      <c r="A2597" s="65" t="s">
        <v>2524</v>
      </c>
      <c r="B2597" s="66" t="s">
        <v>3391</v>
      </c>
      <c r="C2597" s="67"/>
      <c r="D2597" s="67" t="str">
        <f>Général!$A3469&amp;Général!$B3469&amp;Général!$C3469</f>
        <v>TransairPrises murales</v>
      </c>
      <c r="E2597" s="67"/>
      <c r="F2597" s="67">
        <v>0</v>
      </c>
      <c r="G2597" s="67"/>
      <c r="H2597" s="68"/>
      <c r="I2597" s="69"/>
      <c r="J2597" s="70">
        <f>IFERROR(VLOOKUP(Devis[[#This Row],[Ref Air Flux]],#REF!,3,FALSE),0)</f>
        <v>0</v>
      </c>
      <c r="K2597" s="68"/>
      <c r="L2597" s="68"/>
      <c r="M2597" s="68"/>
      <c r="N2597" s="68"/>
      <c r="O2597" s="68"/>
      <c r="P2597" s="68"/>
      <c r="Q2597" s="68">
        <f>SUM(Devis[[#This Row],[Poste 1]:[Poste 6]])</f>
        <v>0</v>
      </c>
      <c r="R2597" s="71"/>
      <c r="S2597" s="68">
        <f>_xlfn.CEILING.MATH(Devis[[#This Row],[Quantité Totale]],Devis[[#This Row],[Conditionnement]])</f>
        <v>0</v>
      </c>
      <c r="T2597" s="72"/>
      <c r="U2597" s="73"/>
      <c r="V2597" s="74">
        <f>Devis[[#This Row],[Prix de Revient]]*Devis[[#This Row],[Poste 1]]</f>
        <v>0</v>
      </c>
      <c r="W2597" s="74">
        <f>Devis[[#This Row],[Prix de Revient]]*Devis[[#This Row],[Poste 2]]</f>
        <v>0</v>
      </c>
      <c r="X2597" s="74">
        <f>Devis[[#This Row],[Prix de Revient]]*Devis[[#This Row],[Poste 3]]</f>
        <v>0</v>
      </c>
      <c r="Y2597" s="74">
        <f>Devis[[#This Row],[Poste 4]]*Devis[[#This Row],[Prix de Revient]]</f>
        <v>0</v>
      </c>
      <c r="Z2597" s="74">
        <f>Devis[[#This Row],[Poste 5]]*Devis[[#This Row],[Prix de Revient]]</f>
        <v>0</v>
      </c>
      <c r="AA2597" s="74">
        <f>Devis[[#This Row],[Prix de Revient]]*Devis[[#This Row],[Poste 6]]</f>
        <v>0</v>
      </c>
      <c r="AB2597" s="74">
        <f>Devis[[#This Row],[Quantité Totale]]*Devis[[#This Row],[Prix de Revient]]</f>
        <v>0</v>
      </c>
    </row>
    <row r="2598" spans="1:28" ht="14.25" customHeight="1" outlineLevel="1" x14ac:dyDescent="0.2">
      <c r="A2598" s="75" t="s">
        <v>2524</v>
      </c>
      <c r="B2598" s="67" t="s">
        <v>3391</v>
      </c>
      <c r="C2598" s="67"/>
      <c r="D2598" s="67" t="s">
        <v>5530</v>
      </c>
      <c r="E2598" s="67" t="s">
        <v>5518</v>
      </c>
      <c r="F2598" s="67">
        <v>1</v>
      </c>
      <c r="G2598" s="67" t="s">
        <v>5518</v>
      </c>
      <c r="H2598" s="68"/>
      <c r="I2598" s="69"/>
      <c r="J2598" s="70">
        <f>IFERROR(VLOOKUP(Devis[[#This Row],[Ref Air Flux]],#REF!,3,FALSE),0)</f>
        <v>0</v>
      </c>
      <c r="K2598" s="68"/>
      <c r="L2598" s="68"/>
      <c r="M2598" s="68"/>
      <c r="N2598" s="68"/>
      <c r="O2598" s="68"/>
      <c r="P2598" s="68"/>
      <c r="Q2598" s="68">
        <f>SUM(Devis[[#This Row],[Poste 1]:[Poste 6]])</f>
        <v>0</v>
      </c>
      <c r="R2598" s="71"/>
      <c r="S2598" s="68">
        <f>_xlfn.CEILING.MATH(Devis[[#This Row],[Quantité Totale]],Devis[[#This Row],[Conditionnement]])</f>
        <v>0</v>
      </c>
      <c r="T2598" s="72"/>
      <c r="U2598" s="73"/>
      <c r="V2598" s="74">
        <f>Devis[[#This Row],[Prix de Revient]]*Devis[[#This Row],[Poste 1]]</f>
        <v>0</v>
      </c>
      <c r="W2598" s="74">
        <f>Devis[[#This Row],[Prix de Revient]]*Devis[[#This Row],[Poste 2]]</f>
        <v>0</v>
      </c>
      <c r="X2598" s="74">
        <f>Devis[[#This Row],[Prix de Revient]]*Devis[[#This Row],[Poste 3]]</f>
        <v>0</v>
      </c>
      <c r="Y2598" s="74">
        <f>Devis[[#This Row],[Poste 4]]*Devis[[#This Row],[Prix de Revient]]</f>
        <v>0</v>
      </c>
      <c r="Z2598" s="74">
        <f>Devis[[#This Row],[Poste 5]]*Devis[[#This Row],[Prix de Revient]]</f>
        <v>0</v>
      </c>
      <c r="AA2598" s="74">
        <f>Devis[[#This Row],[Prix de Revient]]*Devis[[#This Row],[Poste 6]]</f>
        <v>0</v>
      </c>
      <c r="AB2598" s="74">
        <f>Devis[[#This Row],[Quantité Totale]]*Devis[[#This Row],[Prix de Revient]]</f>
        <v>0</v>
      </c>
    </row>
    <row r="2599" spans="1:28" ht="14.25" outlineLevel="1" x14ac:dyDescent="0.2">
      <c r="A2599" s="75" t="s">
        <v>2524</v>
      </c>
      <c r="B2599" s="67" t="s">
        <v>3391</v>
      </c>
      <c r="C2599" s="67"/>
      <c r="D2599" s="67" t="s">
        <v>5526</v>
      </c>
      <c r="E2599" s="67" t="s">
        <v>5527</v>
      </c>
      <c r="F2599" s="67">
        <v>2</v>
      </c>
      <c r="G2599" s="67" t="s">
        <v>5527</v>
      </c>
      <c r="H2599" s="68"/>
      <c r="I2599" s="69"/>
      <c r="J2599" s="70">
        <f>IFERROR(VLOOKUP(Devis[[#This Row],[Ref Air Flux]],#REF!,3,FALSE),0)</f>
        <v>0</v>
      </c>
      <c r="K2599" s="68"/>
      <c r="L2599" s="68"/>
      <c r="M2599" s="68"/>
      <c r="N2599" s="68"/>
      <c r="O2599" s="68"/>
      <c r="P2599" s="68"/>
      <c r="Q2599" s="68">
        <f>SUM(Devis[[#This Row],[Poste 1]:[Poste 6]])</f>
        <v>0</v>
      </c>
      <c r="R2599" s="71"/>
      <c r="S2599" s="68">
        <f>_xlfn.CEILING.MATH(Devis[[#This Row],[Quantité Totale]],Devis[[#This Row],[Conditionnement]])</f>
        <v>0</v>
      </c>
      <c r="T2599" s="72"/>
      <c r="U2599" s="73"/>
      <c r="V2599" s="74">
        <f>Devis[[#This Row],[Prix de Revient]]*Devis[[#This Row],[Poste 1]]</f>
        <v>0</v>
      </c>
      <c r="W2599" s="74">
        <f>Devis[[#This Row],[Prix de Revient]]*Devis[[#This Row],[Poste 2]]</f>
        <v>0</v>
      </c>
      <c r="X2599" s="74">
        <f>Devis[[#This Row],[Prix de Revient]]*Devis[[#This Row],[Poste 3]]</f>
        <v>0</v>
      </c>
      <c r="Y2599" s="74">
        <f>Devis[[#This Row],[Poste 4]]*Devis[[#This Row],[Prix de Revient]]</f>
        <v>0</v>
      </c>
      <c r="Z2599" s="74">
        <f>Devis[[#This Row],[Poste 5]]*Devis[[#This Row],[Prix de Revient]]</f>
        <v>0</v>
      </c>
      <c r="AA2599" s="74">
        <f>Devis[[#This Row],[Prix de Revient]]*Devis[[#This Row],[Poste 6]]</f>
        <v>0</v>
      </c>
      <c r="AB2599" s="74">
        <f>Devis[[#This Row],[Quantité Totale]]*Devis[[#This Row],[Prix de Revient]]</f>
        <v>0</v>
      </c>
    </row>
    <row r="2600" spans="1:28" ht="14.25" outlineLevel="1" x14ac:dyDescent="0.2">
      <c r="A2600" s="75" t="s">
        <v>2524</v>
      </c>
      <c r="B2600" s="67" t="s">
        <v>3391</v>
      </c>
      <c r="C2600" s="67"/>
      <c r="D2600" s="67" t="s">
        <v>5528</v>
      </c>
      <c r="E2600" s="67" t="s">
        <v>5529</v>
      </c>
      <c r="F2600" s="67">
        <v>3</v>
      </c>
      <c r="G2600" s="67" t="s">
        <v>5529</v>
      </c>
      <c r="H2600" s="68"/>
      <c r="I2600" s="69"/>
      <c r="J2600" s="70">
        <f>IFERROR(VLOOKUP(Devis[[#This Row],[Ref Air Flux]],#REF!,3,FALSE),0)</f>
        <v>0</v>
      </c>
      <c r="K2600" s="68"/>
      <c r="L2600" s="68"/>
      <c r="M2600" s="68"/>
      <c r="N2600" s="68"/>
      <c r="O2600" s="68"/>
      <c r="P2600" s="68"/>
      <c r="Q2600" s="68">
        <f>SUM(Devis[[#This Row],[Poste 1]:[Poste 6]])</f>
        <v>0</v>
      </c>
      <c r="R2600" s="71"/>
      <c r="S2600" s="68">
        <f>_xlfn.CEILING.MATH(Devis[[#This Row],[Quantité Totale]],Devis[[#This Row],[Conditionnement]])</f>
        <v>0</v>
      </c>
      <c r="T2600" s="72"/>
      <c r="U2600" s="73"/>
      <c r="V2600" s="74">
        <f>Devis[[#This Row],[Prix de Revient]]*Devis[[#This Row],[Poste 1]]</f>
        <v>0</v>
      </c>
      <c r="W2600" s="74">
        <f>Devis[[#This Row],[Prix de Revient]]*Devis[[#This Row],[Poste 2]]</f>
        <v>0</v>
      </c>
      <c r="X2600" s="74">
        <f>Devis[[#This Row],[Prix de Revient]]*Devis[[#This Row],[Poste 3]]</f>
        <v>0</v>
      </c>
      <c r="Y2600" s="74">
        <f>Devis[[#This Row],[Poste 4]]*Devis[[#This Row],[Prix de Revient]]</f>
        <v>0</v>
      </c>
      <c r="Z2600" s="74">
        <f>Devis[[#This Row],[Poste 5]]*Devis[[#This Row],[Prix de Revient]]</f>
        <v>0</v>
      </c>
      <c r="AA2600" s="74">
        <f>Devis[[#This Row],[Prix de Revient]]*Devis[[#This Row],[Poste 6]]</f>
        <v>0</v>
      </c>
      <c r="AB2600" s="74">
        <f>Devis[[#This Row],[Quantité Totale]]*Devis[[#This Row],[Prix de Revient]]</f>
        <v>0</v>
      </c>
    </row>
    <row r="2601" spans="1:28" ht="14.25" outlineLevel="1" x14ac:dyDescent="0.2">
      <c r="A2601" s="75" t="s">
        <v>2524</v>
      </c>
      <c r="B2601" s="67" t="s">
        <v>3391</v>
      </c>
      <c r="C2601" s="67"/>
      <c r="D2601" s="67" t="s">
        <v>5524</v>
      </c>
      <c r="E2601" s="67" t="s">
        <v>5525</v>
      </c>
      <c r="F2601" s="67">
        <v>4</v>
      </c>
      <c r="G2601" s="67" t="s">
        <v>5525</v>
      </c>
      <c r="H2601" s="68"/>
      <c r="I2601" s="69"/>
      <c r="J2601" s="70">
        <f>IFERROR(VLOOKUP(Devis[[#This Row],[Ref Air Flux]],#REF!,3,FALSE),0)</f>
        <v>0</v>
      </c>
      <c r="K2601" s="68"/>
      <c r="L2601" s="68"/>
      <c r="M2601" s="68"/>
      <c r="N2601" s="68"/>
      <c r="O2601" s="68"/>
      <c r="P2601" s="68"/>
      <c r="Q2601" s="68">
        <f>SUM(Devis[[#This Row],[Poste 1]:[Poste 6]])</f>
        <v>0</v>
      </c>
      <c r="R2601" s="71"/>
      <c r="S2601" s="68">
        <f>_xlfn.CEILING.MATH(Devis[[#This Row],[Quantité Totale]],Devis[[#This Row],[Conditionnement]])</f>
        <v>0</v>
      </c>
      <c r="T2601" s="72"/>
      <c r="U2601" s="73"/>
      <c r="V2601" s="74">
        <f>Devis[[#This Row],[Prix de Revient]]*Devis[[#This Row],[Poste 1]]</f>
        <v>0</v>
      </c>
      <c r="W2601" s="74">
        <f>Devis[[#This Row],[Prix de Revient]]*Devis[[#This Row],[Poste 2]]</f>
        <v>0</v>
      </c>
      <c r="X2601" s="74">
        <f>Devis[[#This Row],[Prix de Revient]]*Devis[[#This Row],[Poste 3]]</f>
        <v>0</v>
      </c>
      <c r="Y2601" s="74">
        <f>Devis[[#This Row],[Poste 4]]*Devis[[#This Row],[Prix de Revient]]</f>
        <v>0</v>
      </c>
      <c r="Z2601" s="74">
        <f>Devis[[#This Row],[Poste 5]]*Devis[[#This Row],[Prix de Revient]]</f>
        <v>0</v>
      </c>
      <c r="AA2601" s="74">
        <f>Devis[[#This Row],[Prix de Revient]]*Devis[[#This Row],[Poste 6]]</f>
        <v>0</v>
      </c>
      <c r="AB2601" s="74">
        <f>Devis[[#This Row],[Quantité Totale]]*Devis[[#This Row],[Prix de Revient]]</f>
        <v>0</v>
      </c>
    </row>
    <row r="2602" spans="1:28" ht="14.25" customHeight="1" outlineLevel="1" x14ac:dyDescent="0.2">
      <c r="A2602" s="75" t="s">
        <v>2524</v>
      </c>
      <c r="B2602" s="67" t="s">
        <v>3391</v>
      </c>
      <c r="C2602" s="67"/>
      <c r="D2602" s="67" t="s">
        <v>5531</v>
      </c>
      <c r="E2602" s="67" t="s">
        <v>5532</v>
      </c>
      <c r="F2602" s="67">
        <v>5</v>
      </c>
      <c r="G2602" s="67" t="s">
        <v>5532</v>
      </c>
      <c r="H2602" s="68"/>
      <c r="I2602" s="69"/>
      <c r="J2602" s="70">
        <f>IFERROR(VLOOKUP(Devis[[#This Row],[Ref Air Flux]],#REF!,3,FALSE),0)</f>
        <v>0</v>
      </c>
      <c r="K2602" s="68"/>
      <c r="L2602" s="68"/>
      <c r="M2602" s="68"/>
      <c r="N2602" s="68"/>
      <c r="O2602" s="68"/>
      <c r="P2602" s="68"/>
      <c r="Q2602" s="68">
        <f>SUM(Devis[[#This Row],[Poste 1]:[Poste 6]])</f>
        <v>0</v>
      </c>
      <c r="R2602" s="71"/>
      <c r="S2602" s="68">
        <f>_xlfn.CEILING.MATH(Devis[[#This Row],[Quantité Totale]],Devis[[#This Row],[Conditionnement]])</f>
        <v>0</v>
      </c>
      <c r="T2602" s="72"/>
      <c r="U2602" s="73"/>
      <c r="V2602" s="74">
        <f>Devis[[#This Row],[Prix de Revient]]*Devis[[#This Row],[Poste 1]]</f>
        <v>0</v>
      </c>
      <c r="W2602" s="74">
        <f>Devis[[#This Row],[Prix de Revient]]*Devis[[#This Row],[Poste 2]]</f>
        <v>0</v>
      </c>
      <c r="X2602" s="74">
        <f>Devis[[#This Row],[Prix de Revient]]*Devis[[#This Row],[Poste 3]]</f>
        <v>0</v>
      </c>
      <c r="Y2602" s="74">
        <f>Devis[[#This Row],[Poste 4]]*Devis[[#This Row],[Prix de Revient]]</f>
        <v>0</v>
      </c>
      <c r="Z2602" s="74">
        <f>Devis[[#This Row],[Poste 5]]*Devis[[#This Row],[Prix de Revient]]</f>
        <v>0</v>
      </c>
      <c r="AA2602" s="74">
        <f>Devis[[#This Row],[Prix de Revient]]*Devis[[#This Row],[Poste 6]]</f>
        <v>0</v>
      </c>
      <c r="AB2602" s="74">
        <f>Devis[[#This Row],[Quantité Totale]]*Devis[[#This Row],[Prix de Revient]]</f>
        <v>0</v>
      </c>
    </row>
    <row r="2603" spans="1:28" ht="14.25" customHeight="1" outlineLevel="1" x14ac:dyDescent="0.2">
      <c r="A2603" s="75" t="s">
        <v>2524</v>
      </c>
      <c r="B2603" s="67" t="s">
        <v>3391</v>
      </c>
      <c r="C2603" s="67"/>
      <c r="D2603" s="67" t="s">
        <v>5533</v>
      </c>
      <c r="E2603" s="67" t="s">
        <v>5534</v>
      </c>
      <c r="F2603" s="67">
        <v>6</v>
      </c>
      <c r="G2603" s="67" t="s">
        <v>5534</v>
      </c>
      <c r="H2603" s="68"/>
      <c r="I2603" s="69"/>
      <c r="J2603" s="70">
        <f>IFERROR(VLOOKUP(Devis[[#This Row],[Ref Air Flux]],#REF!,3,FALSE),0)</f>
        <v>0</v>
      </c>
      <c r="K2603" s="68"/>
      <c r="L2603" s="68"/>
      <c r="M2603" s="68"/>
      <c r="N2603" s="68"/>
      <c r="O2603" s="68"/>
      <c r="P2603" s="68"/>
      <c r="Q2603" s="68">
        <f>SUM(Devis[[#This Row],[Poste 1]:[Poste 6]])</f>
        <v>0</v>
      </c>
      <c r="R2603" s="71"/>
      <c r="S2603" s="68">
        <f>_xlfn.CEILING.MATH(Devis[[#This Row],[Quantité Totale]],Devis[[#This Row],[Conditionnement]])</f>
        <v>0</v>
      </c>
      <c r="T2603" s="72"/>
      <c r="U2603" s="73"/>
      <c r="V2603" s="74">
        <f>Devis[[#This Row],[Prix de Revient]]*Devis[[#This Row],[Poste 1]]</f>
        <v>0</v>
      </c>
      <c r="W2603" s="74">
        <f>Devis[[#This Row],[Prix de Revient]]*Devis[[#This Row],[Poste 2]]</f>
        <v>0</v>
      </c>
      <c r="X2603" s="74">
        <f>Devis[[#This Row],[Prix de Revient]]*Devis[[#This Row],[Poste 3]]</f>
        <v>0</v>
      </c>
      <c r="Y2603" s="74">
        <f>Devis[[#This Row],[Poste 4]]*Devis[[#This Row],[Prix de Revient]]</f>
        <v>0</v>
      </c>
      <c r="Z2603" s="74">
        <f>Devis[[#This Row],[Poste 5]]*Devis[[#This Row],[Prix de Revient]]</f>
        <v>0</v>
      </c>
      <c r="AA2603" s="74">
        <f>Devis[[#This Row],[Prix de Revient]]*Devis[[#This Row],[Poste 6]]</f>
        <v>0</v>
      </c>
      <c r="AB2603" s="74">
        <f>Devis[[#This Row],[Quantité Totale]]*Devis[[#This Row],[Prix de Revient]]</f>
        <v>0</v>
      </c>
    </row>
    <row r="2604" spans="1:28" ht="14.25" outlineLevel="1" x14ac:dyDescent="0.2">
      <c r="A2604" s="75" t="s">
        <v>2524</v>
      </c>
      <c r="B2604" s="67" t="s">
        <v>3391</v>
      </c>
      <c r="C2604" s="67"/>
      <c r="D2604" s="67" t="s">
        <v>5535</v>
      </c>
      <c r="E2604" s="67" t="s">
        <v>5536</v>
      </c>
      <c r="F2604" s="67">
        <v>7</v>
      </c>
      <c r="G2604" s="67" t="s">
        <v>5536</v>
      </c>
      <c r="H2604" s="68"/>
      <c r="I2604" s="69"/>
      <c r="J2604" s="70">
        <f>IFERROR(VLOOKUP(Devis[[#This Row],[Ref Air Flux]],#REF!,3,FALSE),0)</f>
        <v>0</v>
      </c>
      <c r="K2604" s="68"/>
      <c r="L2604" s="68"/>
      <c r="M2604" s="68"/>
      <c r="N2604" s="68"/>
      <c r="O2604" s="68"/>
      <c r="P2604" s="68"/>
      <c r="Q2604" s="68">
        <f>SUM(Devis[[#This Row],[Poste 1]:[Poste 6]])</f>
        <v>0</v>
      </c>
      <c r="R2604" s="71"/>
      <c r="S2604" s="68">
        <f>_xlfn.CEILING.MATH(Devis[[#This Row],[Quantité Totale]],Devis[[#This Row],[Conditionnement]])</f>
        <v>0</v>
      </c>
      <c r="T2604" s="72"/>
      <c r="U2604" s="73"/>
      <c r="V2604" s="74">
        <f>Devis[[#This Row],[Prix de Revient]]*Devis[[#This Row],[Poste 1]]</f>
        <v>0</v>
      </c>
      <c r="W2604" s="74">
        <f>Devis[[#This Row],[Prix de Revient]]*Devis[[#This Row],[Poste 2]]</f>
        <v>0</v>
      </c>
      <c r="X2604" s="74">
        <f>Devis[[#This Row],[Prix de Revient]]*Devis[[#This Row],[Poste 3]]</f>
        <v>0</v>
      </c>
      <c r="Y2604" s="74">
        <f>Devis[[#This Row],[Poste 4]]*Devis[[#This Row],[Prix de Revient]]</f>
        <v>0</v>
      </c>
      <c r="Z2604" s="74">
        <f>Devis[[#This Row],[Poste 5]]*Devis[[#This Row],[Prix de Revient]]</f>
        <v>0</v>
      </c>
      <c r="AA2604" s="74">
        <f>Devis[[#This Row],[Prix de Revient]]*Devis[[#This Row],[Poste 6]]</f>
        <v>0</v>
      </c>
      <c r="AB2604" s="74">
        <f>Devis[[#This Row],[Quantité Totale]]*Devis[[#This Row],[Prix de Revient]]</f>
        <v>0</v>
      </c>
    </row>
    <row r="2605" spans="1:28" ht="14.25" customHeight="1" x14ac:dyDescent="0.25">
      <c r="A2605" s="65" t="s">
        <v>2524</v>
      </c>
      <c r="B2605" s="66" t="s">
        <v>2525</v>
      </c>
      <c r="C2605" s="67"/>
      <c r="D2605" s="67" t="str">
        <f>Général!$A3477&amp;Général!$B3477&amp;Général!$C3477</f>
        <v>TransairTé EgalEgal</v>
      </c>
      <c r="E2605" s="67"/>
      <c r="F2605" s="67">
        <v>0</v>
      </c>
      <c r="G2605" s="67"/>
      <c r="H2605" s="68"/>
      <c r="I2605" s="69"/>
      <c r="J2605" s="70">
        <f>IFERROR(VLOOKUP(Devis[[#This Row],[Ref Air Flux]],#REF!,3,FALSE),0)</f>
        <v>0</v>
      </c>
      <c r="K2605" s="68"/>
      <c r="L2605" s="68"/>
      <c r="M2605" s="68"/>
      <c r="N2605" s="68"/>
      <c r="O2605" s="68"/>
      <c r="P2605" s="68"/>
      <c r="Q2605" s="68">
        <f>SUM(Devis[[#This Row],[Poste 1]:[Poste 6]])</f>
        <v>0</v>
      </c>
      <c r="R2605" s="71"/>
      <c r="S2605" s="68">
        <f>_xlfn.CEILING.MATH(Devis[[#This Row],[Quantité Totale]],Devis[[#This Row],[Conditionnement]])</f>
        <v>0</v>
      </c>
      <c r="T2605" s="72"/>
      <c r="U2605" s="73"/>
      <c r="V2605" s="74">
        <f>Devis[[#This Row],[Prix de Revient]]*Devis[[#This Row],[Poste 1]]</f>
        <v>0</v>
      </c>
      <c r="W2605" s="74">
        <f>Devis[[#This Row],[Prix de Revient]]*Devis[[#This Row],[Poste 2]]</f>
        <v>0</v>
      </c>
      <c r="X2605" s="74">
        <f>Devis[[#This Row],[Prix de Revient]]*Devis[[#This Row],[Poste 3]]</f>
        <v>0</v>
      </c>
      <c r="Y2605" s="74">
        <f>Devis[[#This Row],[Poste 4]]*Devis[[#This Row],[Prix de Revient]]</f>
        <v>0</v>
      </c>
      <c r="Z2605" s="74">
        <f>Devis[[#This Row],[Poste 5]]*Devis[[#This Row],[Prix de Revient]]</f>
        <v>0</v>
      </c>
      <c r="AA2605" s="74">
        <f>Devis[[#This Row],[Prix de Revient]]*Devis[[#This Row],[Poste 6]]</f>
        <v>0</v>
      </c>
      <c r="AB2605" s="74">
        <f>Devis[[#This Row],[Quantité Totale]]*Devis[[#This Row],[Prix de Revient]]</f>
        <v>0</v>
      </c>
    </row>
    <row r="2606" spans="1:28" ht="14.25" customHeight="1" outlineLevel="1" x14ac:dyDescent="0.2">
      <c r="A2606" s="75" t="s">
        <v>2524</v>
      </c>
      <c r="B2606" s="67" t="s">
        <v>2525</v>
      </c>
      <c r="C2606" s="67"/>
      <c r="D2606" s="67" t="s">
        <v>5537</v>
      </c>
      <c r="E2606" s="67" t="s">
        <v>5519</v>
      </c>
      <c r="F2606" s="67">
        <v>1</v>
      </c>
      <c r="G2606" s="67" t="s">
        <v>5519</v>
      </c>
      <c r="H2606" s="68"/>
      <c r="I2606" s="69"/>
      <c r="J2606" s="70">
        <f>IFERROR(VLOOKUP(Devis[[#This Row],[Ref Air Flux]],#REF!,3,FALSE),0)</f>
        <v>0</v>
      </c>
      <c r="K2606" s="68"/>
      <c r="L2606" s="68"/>
      <c r="M2606" s="68"/>
      <c r="N2606" s="68"/>
      <c r="O2606" s="68"/>
      <c r="P2606" s="68"/>
      <c r="Q2606" s="68">
        <f>SUM(Devis[[#This Row],[Poste 1]:[Poste 6]])</f>
        <v>0</v>
      </c>
      <c r="R2606" s="71"/>
      <c r="S2606" s="68">
        <f>_xlfn.CEILING.MATH(Devis[[#This Row],[Quantité Totale]],Devis[[#This Row],[Conditionnement]])</f>
        <v>0</v>
      </c>
      <c r="T2606" s="72"/>
      <c r="U2606" s="73"/>
      <c r="V2606" s="74">
        <f>Devis[[#This Row],[Prix de Revient]]*Devis[[#This Row],[Poste 1]]</f>
        <v>0</v>
      </c>
      <c r="W2606" s="74">
        <f>Devis[[#This Row],[Prix de Revient]]*Devis[[#This Row],[Poste 2]]</f>
        <v>0</v>
      </c>
      <c r="X2606" s="74">
        <f>Devis[[#This Row],[Prix de Revient]]*Devis[[#This Row],[Poste 3]]</f>
        <v>0</v>
      </c>
      <c r="Y2606" s="74">
        <f>Devis[[#This Row],[Poste 4]]*Devis[[#This Row],[Prix de Revient]]</f>
        <v>0</v>
      </c>
      <c r="Z2606" s="74">
        <f>Devis[[#This Row],[Poste 5]]*Devis[[#This Row],[Prix de Revient]]</f>
        <v>0</v>
      </c>
      <c r="AA2606" s="74">
        <f>Devis[[#This Row],[Prix de Revient]]*Devis[[#This Row],[Poste 6]]</f>
        <v>0</v>
      </c>
      <c r="AB2606" s="74">
        <f>Devis[[#This Row],[Quantité Totale]]*Devis[[#This Row],[Prix de Revient]]</f>
        <v>0</v>
      </c>
    </row>
    <row r="2607" spans="1:28" ht="14.25" outlineLevel="1" x14ac:dyDescent="0.2">
      <c r="A2607" s="75" t="s">
        <v>2524</v>
      </c>
      <c r="B2607" s="67" t="s">
        <v>2525</v>
      </c>
      <c r="C2607" s="67"/>
      <c r="D2607" s="67" t="s">
        <v>5538</v>
      </c>
      <c r="E2607" s="67" t="s">
        <v>5539</v>
      </c>
      <c r="F2607" s="67">
        <v>2</v>
      </c>
      <c r="G2607" s="67" t="s">
        <v>5539</v>
      </c>
      <c r="H2607" s="68"/>
      <c r="I2607" s="69"/>
      <c r="J2607" s="70">
        <f>IFERROR(VLOOKUP(Devis[[#This Row],[Ref Air Flux]],#REF!,3,FALSE),0)</f>
        <v>0</v>
      </c>
      <c r="K2607" s="68"/>
      <c r="L2607" s="68"/>
      <c r="M2607" s="68"/>
      <c r="N2607" s="68"/>
      <c r="O2607" s="68"/>
      <c r="P2607" s="68"/>
      <c r="Q2607" s="68">
        <f>SUM(Devis[[#This Row],[Poste 1]:[Poste 6]])</f>
        <v>0</v>
      </c>
      <c r="R2607" s="71"/>
      <c r="S2607" s="68">
        <f>_xlfn.CEILING.MATH(Devis[[#This Row],[Quantité Totale]],Devis[[#This Row],[Conditionnement]])</f>
        <v>0</v>
      </c>
      <c r="T2607" s="72"/>
      <c r="U2607" s="73"/>
      <c r="V2607" s="74">
        <f>Devis[[#This Row],[Prix de Revient]]*Devis[[#This Row],[Poste 1]]</f>
        <v>0</v>
      </c>
      <c r="W2607" s="74">
        <f>Devis[[#This Row],[Prix de Revient]]*Devis[[#This Row],[Poste 2]]</f>
        <v>0</v>
      </c>
      <c r="X2607" s="74">
        <f>Devis[[#This Row],[Prix de Revient]]*Devis[[#This Row],[Poste 3]]</f>
        <v>0</v>
      </c>
      <c r="Y2607" s="74">
        <f>Devis[[#This Row],[Poste 4]]*Devis[[#This Row],[Prix de Revient]]</f>
        <v>0</v>
      </c>
      <c r="Z2607" s="74">
        <f>Devis[[#This Row],[Poste 5]]*Devis[[#This Row],[Prix de Revient]]</f>
        <v>0</v>
      </c>
      <c r="AA2607" s="74">
        <f>Devis[[#This Row],[Prix de Revient]]*Devis[[#This Row],[Poste 6]]</f>
        <v>0</v>
      </c>
      <c r="AB2607" s="74">
        <f>Devis[[#This Row],[Quantité Totale]]*Devis[[#This Row],[Prix de Revient]]</f>
        <v>0</v>
      </c>
    </row>
    <row r="2608" spans="1:28" ht="14.25" customHeight="1" x14ac:dyDescent="0.25">
      <c r="A2608" s="65" t="s">
        <v>2526</v>
      </c>
      <c r="B2608" s="65" t="s">
        <v>2527</v>
      </c>
      <c r="C2608" s="76" t="s">
        <v>2527</v>
      </c>
      <c r="D2608" s="81" t="str">
        <f t="shared" ref="D2608:D2671" si="45">A2608&amp;B2608&amp;C2608</f>
        <v>Raccord Acier à souderBouts filetésBouts filetés</v>
      </c>
      <c r="E2608" s="76"/>
      <c r="F2608" s="76">
        <v>0</v>
      </c>
      <c r="G2608" s="71"/>
      <c r="H2608" s="71"/>
      <c r="I2608" s="71"/>
      <c r="J2608" s="70">
        <f>IFERROR(VLOOKUP(Devis[[#This Row],[Ref Air Flux]],#REF!,3,FALSE),0)</f>
        <v>0</v>
      </c>
      <c r="K2608" s="68"/>
      <c r="L2608" s="68"/>
      <c r="M2608" s="68"/>
      <c r="N2608" s="68"/>
      <c r="O2608" s="68"/>
      <c r="P2608" s="68"/>
      <c r="Q2608" s="68">
        <f>SUM(Devis[[#This Row],[Poste 1]:[Poste 6]])</f>
        <v>0</v>
      </c>
      <c r="R2608" s="71"/>
      <c r="S2608" s="68">
        <f>_xlfn.CEILING.MATH(Devis[[#This Row],[Quantité Totale]],Devis[[#This Row],[Conditionnement]])</f>
        <v>0</v>
      </c>
      <c r="T2608" s="72"/>
      <c r="U2608" s="73"/>
      <c r="V2608" s="74">
        <f>Devis[[#This Row],[Prix de Revient]]*Devis[[#This Row],[Poste 1]]</f>
        <v>0</v>
      </c>
      <c r="W2608" s="74">
        <f>Devis[[#This Row],[Prix de Revient]]*Devis[[#This Row],[Poste 2]]</f>
        <v>0</v>
      </c>
      <c r="X2608" s="74">
        <f>Devis[[#This Row],[Prix de Revient]]*Devis[[#This Row],[Poste 3]]</f>
        <v>0</v>
      </c>
      <c r="Y2608" s="74">
        <f>Devis[[#This Row],[Poste 4]]*Devis[[#This Row],[Prix de Revient]]</f>
        <v>0</v>
      </c>
      <c r="Z2608" s="74">
        <f>Devis[[#This Row],[Poste 5]]*Devis[[#This Row],[Prix de Revient]]</f>
        <v>0</v>
      </c>
      <c r="AA2608" s="74">
        <f>Devis[[#This Row],[Prix de Revient]]*Devis[[#This Row],[Poste 6]]</f>
        <v>0</v>
      </c>
      <c r="AB2608" s="74">
        <f>Devis[[#This Row],[Quantité Totale]]*Devis[[#This Row],[Prix de Revient]]</f>
        <v>0</v>
      </c>
    </row>
    <row r="2609" spans="1:28" ht="14.25" outlineLevel="1" x14ac:dyDescent="0.2">
      <c r="A2609" s="75" t="s">
        <v>2526</v>
      </c>
      <c r="B2609" s="76" t="s">
        <v>2527</v>
      </c>
      <c r="C2609" s="76" t="s">
        <v>2527</v>
      </c>
      <c r="D2609" s="81" t="str">
        <f t="shared" si="45"/>
        <v>Raccord Acier à souderBouts filetésBouts filetés</v>
      </c>
      <c r="E2609" s="76" t="s">
        <v>2128</v>
      </c>
      <c r="F2609" s="76">
        <v>1</v>
      </c>
      <c r="G2609" s="71" t="s">
        <v>2528</v>
      </c>
      <c r="H2609" s="71"/>
      <c r="I2609" s="71"/>
      <c r="J2609" s="70">
        <f>IFERROR(VLOOKUP(Devis[[#This Row],[Ref Air Flux]],#REF!,3,FALSE),0)</f>
        <v>0</v>
      </c>
      <c r="K2609" s="68"/>
      <c r="L2609" s="68"/>
      <c r="M2609" s="68"/>
      <c r="N2609" s="68"/>
      <c r="O2609" s="68"/>
      <c r="P2609" s="68"/>
      <c r="Q2609" s="68">
        <f>SUM(Devis[[#This Row],[Poste 1]:[Poste 6]])</f>
        <v>0</v>
      </c>
      <c r="R2609" s="71"/>
      <c r="S2609" s="68">
        <f>_xlfn.CEILING.MATH(Devis[[#This Row],[Quantité Totale]],Devis[[#This Row],[Conditionnement]])</f>
        <v>0</v>
      </c>
      <c r="T2609" s="72"/>
      <c r="U2609" s="73"/>
      <c r="V2609" s="74">
        <f>Devis[[#This Row],[Prix de Revient]]*Devis[[#This Row],[Poste 1]]</f>
        <v>0</v>
      </c>
      <c r="W2609" s="74">
        <f>Devis[[#This Row],[Prix de Revient]]*Devis[[#This Row],[Poste 2]]</f>
        <v>0</v>
      </c>
      <c r="X2609" s="74">
        <f>Devis[[#This Row],[Prix de Revient]]*Devis[[#This Row],[Poste 3]]</f>
        <v>0</v>
      </c>
      <c r="Y2609" s="74">
        <f>Devis[[#This Row],[Poste 4]]*Devis[[#This Row],[Prix de Revient]]</f>
        <v>0</v>
      </c>
      <c r="Z2609" s="74">
        <f>Devis[[#This Row],[Poste 5]]*Devis[[#This Row],[Prix de Revient]]</f>
        <v>0</v>
      </c>
      <c r="AA2609" s="74">
        <f>Devis[[#This Row],[Prix de Revient]]*Devis[[#This Row],[Poste 6]]</f>
        <v>0</v>
      </c>
      <c r="AB2609" s="74">
        <f>Devis[[#This Row],[Quantité Totale]]*Devis[[#This Row],[Prix de Revient]]</f>
        <v>0</v>
      </c>
    </row>
    <row r="2610" spans="1:28" ht="14.25" customHeight="1" outlineLevel="1" x14ac:dyDescent="0.2">
      <c r="A2610" s="75" t="s">
        <v>2526</v>
      </c>
      <c r="B2610" s="76" t="s">
        <v>2527</v>
      </c>
      <c r="C2610" s="76" t="s">
        <v>2527</v>
      </c>
      <c r="D2610" s="81" t="str">
        <f t="shared" si="45"/>
        <v>Raccord Acier à souderBouts filetésBouts filetés</v>
      </c>
      <c r="E2610" s="76" t="s">
        <v>20</v>
      </c>
      <c r="F2610" s="76">
        <v>2</v>
      </c>
      <c r="G2610" s="71" t="s">
        <v>2529</v>
      </c>
      <c r="H2610" s="71"/>
      <c r="I2610" s="71"/>
      <c r="J2610" s="70">
        <f>IFERROR(VLOOKUP(Devis[[#This Row],[Ref Air Flux]],#REF!,3,FALSE),0)</f>
        <v>0</v>
      </c>
      <c r="K2610" s="68"/>
      <c r="L2610" s="68"/>
      <c r="M2610" s="68"/>
      <c r="N2610" s="68"/>
      <c r="O2610" s="68"/>
      <c r="P2610" s="68"/>
      <c r="Q2610" s="68">
        <f>SUM(Devis[[#This Row],[Poste 1]:[Poste 6]])</f>
        <v>0</v>
      </c>
      <c r="R2610" s="71"/>
      <c r="S2610" s="68">
        <f>_xlfn.CEILING.MATH(Devis[[#This Row],[Quantité Totale]],Devis[[#This Row],[Conditionnement]])</f>
        <v>0</v>
      </c>
      <c r="T2610" s="72"/>
      <c r="U2610" s="73"/>
      <c r="V2610" s="74">
        <f>Devis[[#This Row],[Prix de Revient]]*Devis[[#This Row],[Poste 1]]</f>
        <v>0</v>
      </c>
      <c r="W2610" s="74">
        <f>Devis[[#This Row],[Prix de Revient]]*Devis[[#This Row],[Poste 2]]</f>
        <v>0</v>
      </c>
      <c r="X2610" s="74">
        <f>Devis[[#This Row],[Prix de Revient]]*Devis[[#This Row],[Poste 3]]</f>
        <v>0</v>
      </c>
      <c r="Y2610" s="74">
        <f>Devis[[#This Row],[Poste 4]]*Devis[[#This Row],[Prix de Revient]]</f>
        <v>0</v>
      </c>
      <c r="Z2610" s="74">
        <f>Devis[[#This Row],[Poste 5]]*Devis[[#This Row],[Prix de Revient]]</f>
        <v>0</v>
      </c>
      <c r="AA2610" s="74">
        <f>Devis[[#This Row],[Prix de Revient]]*Devis[[#This Row],[Poste 6]]</f>
        <v>0</v>
      </c>
      <c r="AB2610" s="74">
        <f>Devis[[#This Row],[Quantité Totale]]*Devis[[#This Row],[Prix de Revient]]</f>
        <v>0</v>
      </c>
    </row>
    <row r="2611" spans="1:28" ht="14.25" outlineLevel="1" x14ac:dyDescent="0.2">
      <c r="A2611" s="75" t="s">
        <v>2526</v>
      </c>
      <c r="B2611" s="76" t="s">
        <v>2527</v>
      </c>
      <c r="C2611" s="76" t="s">
        <v>2527</v>
      </c>
      <c r="D2611" s="81" t="str">
        <f t="shared" si="45"/>
        <v>Raccord Acier à souderBouts filetésBouts filetés</v>
      </c>
      <c r="E2611" s="76" t="s">
        <v>21</v>
      </c>
      <c r="F2611" s="76">
        <v>3</v>
      </c>
      <c r="G2611" s="71" t="s">
        <v>2530</v>
      </c>
      <c r="H2611" s="71"/>
      <c r="I2611" s="71"/>
      <c r="J2611" s="70">
        <f>IFERROR(VLOOKUP(Devis[[#This Row],[Ref Air Flux]],#REF!,3,FALSE),0)</f>
        <v>0</v>
      </c>
      <c r="K2611" s="68"/>
      <c r="L2611" s="68"/>
      <c r="M2611" s="68"/>
      <c r="N2611" s="68"/>
      <c r="O2611" s="68"/>
      <c r="P2611" s="68"/>
      <c r="Q2611" s="68">
        <f>SUM(Devis[[#This Row],[Poste 1]:[Poste 6]])</f>
        <v>0</v>
      </c>
      <c r="R2611" s="71"/>
      <c r="S2611" s="68">
        <f>_xlfn.CEILING.MATH(Devis[[#This Row],[Quantité Totale]],Devis[[#This Row],[Conditionnement]])</f>
        <v>0</v>
      </c>
      <c r="T2611" s="72"/>
      <c r="U2611" s="73"/>
      <c r="V2611" s="74">
        <f>Devis[[#This Row],[Prix de Revient]]*Devis[[#This Row],[Poste 1]]</f>
        <v>0</v>
      </c>
      <c r="W2611" s="74">
        <f>Devis[[#This Row],[Prix de Revient]]*Devis[[#This Row],[Poste 2]]</f>
        <v>0</v>
      </c>
      <c r="X2611" s="74">
        <f>Devis[[#This Row],[Prix de Revient]]*Devis[[#This Row],[Poste 3]]</f>
        <v>0</v>
      </c>
      <c r="Y2611" s="74">
        <f>Devis[[#This Row],[Poste 4]]*Devis[[#This Row],[Prix de Revient]]</f>
        <v>0</v>
      </c>
      <c r="Z2611" s="74">
        <f>Devis[[#This Row],[Poste 5]]*Devis[[#This Row],[Prix de Revient]]</f>
        <v>0</v>
      </c>
      <c r="AA2611" s="74">
        <f>Devis[[#This Row],[Prix de Revient]]*Devis[[#This Row],[Poste 6]]</f>
        <v>0</v>
      </c>
      <c r="AB2611" s="74">
        <f>Devis[[#This Row],[Quantité Totale]]*Devis[[#This Row],[Prix de Revient]]</f>
        <v>0</v>
      </c>
    </row>
    <row r="2612" spans="1:28" ht="14.25" outlineLevel="1" x14ac:dyDescent="0.2">
      <c r="A2612" s="75" t="s">
        <v>2526</v>
      </c>
      <c r="B2612" s="76" t="s">
        <v>2527</v>
      </c>
      <c r="C2612" s="76" t="s">
        <v>2527</v>
      </c>
      <c r="D2612" s="81" t="str">
        <f t="shared" si="45"/>
        <v>Raccord Acier à souderBouts filetésBouts filetés</v>
      </c>
      <c r="E2612" s="76" t="s">
        <v>0</v>
      </c>
      <c r="F2612" s="76">
        <v>3</v>
      </c>
      <c r="G2612" s="71" t="s">
        <v>2531</v>
      </c>
      <c r="H2612" s="71"/>
      <c r="I2612" s="71"/>
      <c r="J2612" s="70">
        <f>IFERROR(VLOOKUP(Devis[[#This Row],[Ref Air Flux]],#REF!,3,FALSE),0)</f>
        <v>0</v>
      </c>
      <c r="K2612" s="68"/>
      <c r="L2612" s="68"/>
      <c r="M2612" s="68"/>
      <c r="N2612" s="68"/>
      <c r="O2612" s="68"/>
      <c r="P2612" s="68"/>
      <c r="Q2612" s="68">
        <f>SUM(Devis[[#This Row],[Poste 1]:[Poste 6]])</f>
        <v>0</v>
      </c>
      <c r="R2612" s="71"/>
      <c r="S2612" s="68">
        <f>_xlfn.CEILING.MATH(Devis[[#This Row],[Quantité Totale]],Devis[[#This Row],[Conditionnement]])</f>
        <v>0</v>
      </c>
      <c r="T2612" s="72"/>
      <c r="U2612" s="73"/>
      <c r="V2612" s="74">
        <f>Devis[[#This Row],[Prix de Revient]]*Devis[[#This Row],[Poste 1]]</f>
        <v>0</v>
      </c>
      <c r="W2612" s="74">
        <f>Devis[[#This Row],[Prix de Revient]]*Devis[[#This Row],[Poste 2]]</f>
        <v>0</v>
      </c>
      <c r="X2612" s="74">
        <f>Devis[[#This Row],[Prix de Revient]]*Devis[[#This Row],[Poste 3]]</f>
        <v>0</v>
      </c>
      <c r="Y2612" s="74">
        <f>Devis[[#This Row],[Poste 4]]*Devis[[#This Row],[Prix de Revient]]</f>
        <v>0</v>
      </c>
      <c r="Z2612" s="74">
        <f>Devis[[#This Row],[Poste 5]]*Devis[[#This Row],[Prix de Revient]]</f>
        <v>0</v>
      </c>
      <c r="AA2612" s="74">
        <f>Devis[[#This Row],[Prix de Revient]]*Devis[[#This Row],[Poste 6]]</f>
        <v>0</v>
      </c>
      <c r="AB2612" s="74">
        <f>Devis[[#This Row],[Quantité Totale]]*Devis[[#This Row],[Prix de Revient]]</f>
        <v>0</v>
      </c>
    </row>
    <row r="2613" spans="1:28" ht="14.25" outlineLevel="1" x14ac:dyDescent="0.2">
      <c r="A2613" s="75" t="s">
        <v>2526</v>
      </c>
      <c r="B2613" s="76" t="s">
        <v>2527</v>
      </c>
      <c r="C2613" s="76" t="s">
        <v>2527</v>
      </c>
      <c r="D2613" s="81" t="str">
        <f t="shared" si="45"/>
        <v>Raccord Acier à souderBouts filetésBouts filetés</v>
      </c>
      <c r="E2613" s="76" t="s">
        <v>49</v>
      </c>
      <c r="F2613" s="76">
        <v>4</v>
      </c>
      <c r="G2613" s="71" t="s">
        <v>820</v>
      </c>
      <c r="H2613" s="71"/>
      <c r="I2613" s="71"/>
      <c r="J2613" s="70">
        <f>IFERROR(VLOOKUP(Devis[[#This Row],[Ref Air Flux]],#REF!,3,FALSE),0)</f>
        <v>0</v>
      </c>
      <c r="K2613" s="68"/>
      <c r="L2613" s="68"/>
      <c r="M2613" s="68"/>
      <c r="N2613" s="68"/>
      <c r="O2613" s="68"/>
      <c r="P2613" s="68"/>
      <c r="Q2613" s="68">
        <f>SUM(Devis[[#This Row],[Poste 1]:[Poste 6]])</f>
        <v>0</v>
      </c>
      <c r="R2613" s="71"/>
      <c r="S2613" s="68">
        <f>_xlfn.CEILING.MATH(Devis[[#This Row],[Quantité Totale]],Devis[[#This Row],[Conditionnement]])</f>
        <v>0</v>
      </c>
      <c r="T2613" s="72"/>
      <c r="U2613" s="73"/>
      <c r="V2613" s="74">
        <f>Devis[[#This Row],[Prix de Revient]]*Devis[[#This Row],[Poste 1]]</f>
        <v>0</v>
      </c>
      <c r="W2613" s="74">
        <f>Devis[[#This Row],[Prix de Revient]]*Devis[[#This Row],[Poste 2]]</f>
        <v>0</v>
      </c>
      <c r="X2613" s="74">
        <f>Devis[[#This Row],[Prix de Revient]]*Devis[[#This Row],[Poste 3]]</f>
        <v>0</v>
      </c>
      <c r="Y2613" s="74">
        <f>Devis[[#This Row],[Poste 4]]*Devis[[#This Row],[Prix de Revient]]</f>
        <v>0</v>
      </c>
      <c r="Z2613" s="74">
        <f>Devis[[#This Row],[Poste 5]]*Devis[[#This Row],[Prix de Revient]]</f>
        <v>0</v>
      </c>
      <c r="AA2613" s="74">
        <f>Devis[[#This Row],[Prix de Revient]]*Devis[[#This Row],[Poste 6]]</f>
        <v>0</v>
      </c>
      <c r="AB2613" s="74">
        <f>Devis[[#This Row],[Quantité Totale]]*Devis[[#This Row],[Prix de Revient]]</f>
        <v>0</v>
      </c>
    </row>
    <row r="2614" spans="1:28" ht="14.25" outlineLevel="1" x14ac:dyDescent="0.2">
      <c r="A2614" s="75" t="s">
        <v>2526</v>
      </c>
      <c r="B2614" s="76" t="s">
        <v>2527</v>
      </c>
      <c r="C2614" s="76" t="s">
        <v>2527</v>
      </c>
      <c r="D2614" s="81" t="str">
        <f t="shared" si="45"/>
        <v>Raccord Acier à souderBouts filetésBouts filetés</v>
      </c>
      <c r="E2614" s="76" t="s">
        <v>22</v>
      </c>
      <c r="F2614" s="76">
        <v>4</v>
      </c>
      <c r="G2614" s="71" t="s">
        <v>2532</v>
      </c>
      <c r="H2614" s="71"/>
      <c r="I2614" s="71"/>
      <c r="J2614" s="70">
        <f>IFERROR(VLOOKUP(Devis[[#This Row],[Ref Air Flux]],#REF!,3,FALSE),0)</f>
        <v>0</v>
      </c>
      <c r="K2614" s="68"/>
      <c r="L2614" s="68"/>
      <c r="M2614" s="68"/>
      <c r="N2614" s="68"/>
      <c r="O2614" s="68"/>
      <c r="P2614" s="68"/>
      <c r="Q2614" s="68">
        <f>SUM(Devis[[#This Row],[Poste 1]:[Poste 6]])</f>
        <v>0</v>
      </c>
      <c r="R2614" s="71"/>
      <c r="S2614" s="68">
        <f>_xlfn.CEILING.MATH(Devis[[#This Row],[Quantité Totale]],Devis[[#This Row],[Conditionnement]])</f>
        <v>0</v>
      </c>
      <c r="T2614" s="72"/>
      <c r="U2614" s="73"/>
      <c r="V2614" s="74">
        <f>Devis[[#This Row],[Prix de Revient]]*Devis[[#This Row],[Poste 1]]</f>
        <v>0</v>
      </c>
      <c r="W2614" s="74">
        <f>Devis[[#This Row],[Prix de Revient]]*Devis[[#This Row],[Poste 2]]</f>
        <v>0</v>
      </c>
      <c r="X2614" s="74">
        <f>Devis[[#This Row],[Prix de Revient]]*Devis[[#This Row],[Poste 3]]</f>
        <v>0</v>
      </c>
      <c r="Y2614" s="74">
        <f>Devis[[#This Row],[Poste 4]]*Devis[[#This Row],[Prix de Revient]]</f>
        <v>0</v>
      </c>
      <c r="Z2614" s="74">
        <f>Devis[[#This Row],[Poste 5]]*Devis[[#This Row],[Prix de Revient]]</f>
        <v>0</v>
      </c>
      <c r="AA2614" s="74">
        <f>Devis[[#This Row],[Prix de Revient]]*Devis[[#This Row],[Poste 6]]</f>
        <v>0</v>
      </c>
      <c r="AB2614" s="74">
        <f>Devis[[#This Row],[Quantité Totale]]*Devis[[#This Row],[Prix de Revient]]</f>
        <v>0</v>
      </c>
    </row>
    <row r="2615" spans="1:28" ht="14.25" outlineLevel="1" x14ac:dyDescent="0.2">
      <c r="A2615" s="75" t="s">
        <v>2526</v>
      </c>
      <c r="B2615" s="76" t="s">
        <v>2527</v>
      </c>
      <c r="C2615" s="76" t="s">
        <v>2527</v>
      </c>
      <c r="D2615" s="81" t="str">
        <f t="shared" si="45"/>
        <v>Raccord Acier à souderBouts filetésBouts filetés</v>
      </c>
      <c r="E2615" s="76" t="s">
        <v>25</v>
      </c>
      <c r="F2615" s="76">
        <v>6</v>
      </c>
      <c r="G2615" s="71" t="s">
        <v>819</v>
      </c>
      <c r="H2615" s="71"/>
      <c r="I2615" s="71"/>
      <c r="J2615" s="70">
        <f>IFERROR(VLOOKUP(Devis[[#This Row],[Ref Air Flux]],#REF!,3,FALSE),0)</f>
        <v>0</v>
      </c>
      <c r="K2615" s="68"/>
      <c r="L2615" s="68"/>
      <c r="M2615" s="68"/>
      <c r="N2615" s="68"/>
      <c r="O2615" s="68"/>
      <c r="P2615" s="68"/>
      <c r="Q2615" s="68">
        <f>SUM(Devis[[#This Row],[Poste 1]:[Poste 6]])</f>
        <v>0</v>
      </c>
      <c r="R2615" s="71"/>
      <c r="S2615" s="68">
        <f>_xlfn.CEILING.MATH(Devis[[#This Row],[Quantité Totale]],Devis[[#This Row],[Conditionnement]])</f>
        <v>0</v>
      </c>
      <c r="T2615" s="72"/>
      <c r="U2615" s="73"/>
      <c r="V2615" s="74">
        <f>Devis[[#This Row],[Prix de Revient]]*Devis[[#This Row],[Poste 1]]</f>
        <v>0</v>
      </c>
      <c r="W2615" s="74">
        <f>Devis[[#This Row],[Prix de Revient]]*Devis[[#This Row],[Poste 2]]</f>
        <v>0</v>
      </c>
      <c r="X2615" s="74">
        <f>Devis[[#This Row],[Prix de Revient]]*Devis[[#This Row],[Poste 3]]</f>
        <v>0</v>
      </c>
      <c r="Y2615" s="74">
        <f>Devis[[#This Row],[Poste 4]]*Devis[[#This Row],[Prix de Revient]]</f>
        <v>0</v>
      </c>
      <c r="Z2615" s="74">
        <f>Devis[[#This Row],[Poste 5]]*Devis[[#This Row],[Prix de Revient]]</f>
        <v>0</v>
      </c>
      <c r="AA2615" s="74">
        <f>Devis[[#This Row],[Prix de Revient]]*Devis[[#This Row],[Poste 6]]</f>
        <v>0</v>
      </c>
      <c r="AB2615" s="74">
        <f>Devis[[#This Row],[Quantité Totale]]*Devis[[#This Row],[Prix de Revient]]</f>
        <v>0</v>
      </c>
    </row>
    <row r="2616" spans="1:28" ht="14.25" customHeight="1" x14ac:dyDescent="0.25">
      <c r="A2616" s="65" t="s">
        <v>2526</v>
      </c>
      <c r="B2616" s="65" t="s">
        <v>2533</v>
      </c>
      <c r="C2616" s="76" t="s">
        <v>2533</v>
      </c>
      <c r="D2616" s="81" t="str">
        <f t="shared" si="45"/>
        <v xml:space="preserve">Raccord Acier à souderBrides à collerette à souder Brides à collerette à souder </v>
      </c>
      <c r="E2616" s="76"/>
      <c r="F2616" s="76">
        <v>0</v>
      </c>
      <c r="G2616" s="71"/>
      <c r="H2616" s="71"/>
      <c r="I2616" s="71"/>
      <c r="J2616" s="70">
        <f>IFERROR(VLOOKUP(Devis[[#This Row],[Ref Air Flux]],#REF!,3,FALSE),0)</f>
        <v>0</v>
      </c>
      <c r="K2616" s="68"/>
      <c r="L2616" s="68"/>
      <c r="M2616" s="68"/>
      <c r="N2616" s="68"/>
      <c r="O2616" s="68"/>
      <c r="P2616" s="68"/>
      <c r="Q2616" s="68">
        <f>SUM(Devis[[#This Row],[Poste 1]:[Poste 6]])</f>
        <v>0</v>
      </c>
      <c r="R2616" s="71"/>
      <c r="S2616" s="68">
        <f>_xlfn.CEILING.MATH(Devis[[#This Row],[Quantité Totale]],Devis[[#This Row],[Conditionnement]])</f>
        <v>0</v>
      </c>
      <c r="T2616" s="72"/>
      <c r="U2616" s="73"/>
      <c r="V2616" s="74">
        <f>Devis[[#This Row],[Prix de Revient]]*Devis[[#This Row],[Poste 1]]</f>
        <v>0</v>
      </c>
      <c r="W2616" s="74">
        <f>Devis[[#This Row],[Prix de Revient]]*Devis[[#This Row],[Poste 2]]</f>
        <v>0</v>
      </c>
      <c r="X2616" s="74">
        <f>Devis[[#This Row],[Prix de Revient]]*Devis[[#This Row],[Poste 3]]</f>
        <v>0</v>
      </c>
      <c r="Y2616" s="74">
        <f>Devis[[#This Row],[Poste 4]]*Devis[[#This Row],[Prix de Revient]]</f>
        <v>0</v>
      </c>
      <c r="Z2616" s="74">
        <f>Devis[[#This Row],[Poste 5]]*Devis[[#This Row],[Prix de Revient]]</f>
        <v>0</v>
      </c>
      <c r="AA2616" s="74">
        <f>Devis[[#This Row],[Prix de Revient]]*Devis[[#This Row],[Poste 6]]</f>
        <v>0</v>
      </c>
      <c r="AB2616" s="74">
        <f>Devis[[#This Row],[Quantité Totale]]*Devis[[#This Row],[Prix de Revient]]</f>
        <v>0</v>
      </c>
    </row>
    <row r="2617" spans="1:28" ht="14.25" outlineLevel="1" x14ac:dyDescent="0.2">
      <c r="A2617" s="75" t="s">
        <v>2526</v>
      </c>
      <c r="B2617" s="76" t="s">
        <v>2533</v>
      </c>
      <c r="C2617" s="76" t="s">
        <v>2533</v>
      </c>
      <c r="D2617" s="81" t="str">
        <f t="shared" si="45"/>
        <v xml:space="preserve">Raccord Acier à souderBrides à collerette à souder Brides à collerette à souder </v>
      </c>
      <c r="E2617" s="76" t="s">
        <v>5365</v>
      </c>
      <c r="F2617" s="76">
        <v>1</v>
      </c>
      <c r="G2617" s="71" t="s">
        <v>5366</v>
      </c>
      <c r="H2617" s="71"/>
      <c r="I2617" s="71"/>
      <c r="J2617" s="70">
        <f>IFERROR(VLOOKUP(Devis[[#This Row],[Ref Air Flux]],#REF!,3,FALSE),0)</f>
        <v>0</v>
      </c>
      <c r="K2617" s="68"/>
      <c r="L2617" s="68"/>
      <c r="M2617" s="68"/>
      <c r="N2617" s="68"/>
      <c r="O2617" s="68"/>
      <c r="P2617" s="68"/>
      <c r="Q2617" s="68">
        <f>SUM(Devis[[#This Row],[Poste 1]:[Poste 6]])</f>
        <v>0</v>
      </c>
      <c r="R2617" s="71"/>
      <c r="S2617" s="68">
        <f>_xlfn.CEILING.MATH(Devis[[#This Row],[Quantité Totale]],Devis[[#This Row],[Conditionnement]])</f>
        <v>0</v>
      </c>
      <c r="T2617" s="72"/>
      <c r="U2617" s="73"/>
      <c r="V2617" s="74">
        <f>Devis[[#This Row],[Prix de Revient]]*Devis[[#This Row],[Poste 1]]</f>
        <v>0</v>
      </c>
      <c r="W2617" s="74">
        <f>Devis[[#This Row],[Prix de Revient]]*Devis[[#This Row],[Poste 2]]</f>
        <v>0</v>
      </c>
      <c r="X2617" s="74">
        <f>Devis[[#This Row],[Prix de Revient]]*Devis[[#This Row],[Poste 3]]</f>
        <v>0</v>
      </c>
      <c r="Y2617" s="74">
        <f>Devis[[#This Row],[Poste 4]]*Devis[[#This Row],[Prix de Revient]]</f>
        <v>0</v>
      </c>
      <c r="Z2617" s="74">
        <f>Devis[[#This Row],[Poste 5]]*Devis[[#This Row],[Prix de Revient]]</f>
        <v>0</v>
      </c>
      <c r="AA2617" s="74">
        <f>Devis[[#This Row],[Prix de Revient]]*Devis[[#This Row],[Poste 6]]</f>
        <v>0</v>
      </c>
      <c r="AB2617" s="74">
        <f>Devis[[#This Row],[Quantité Totale]]*Devis[[#This Row],[Prix de Revient]]</f>
        <v>0</v>
      </c>
    </row>
    <row r="2618" spans="1:28" ht="15" customHeight="1" outlineLevel="1" x14ac:dyDescent="0.2">
      <c r="A2618" s="75" t="s">
        <v>2526</v>
      </c>
      <c r="B2618" s="76" t="s">
        <v>2533</v>
      </c>
      <c r="C2618" s="76" t="s">
        <v>2533</v>
      </c>
      <c r="D2618" s="81" t="str">
        <f t="shared" si="45"/>
        <v xml:space="preserve">Raccord Acier à souderBrides à collerette à souder Brides à collerette à souder </v>
      </c>
      <c r="E2618" s="76" t="s">
        <v>2534</v>
      </c>
      <c r="F2618" s="76">
        <v>2</v>
      </c>
      <c r="G2618" s="71" t="s">
        <v>2535</v>
      </c>
      <c r="H2618" s="71"/>
      <c r="I2618" s="71"/>
      <c r="J2618" s="70">
        <f>IFERROR(VLOOKUP(Devis[[#This Row],[Ref Air Flux]],#REF!,3,FALSE),0)</f>
        <v>0</v>
      </c>
      <c r="K2618" s="68"/>
      <c r="L2618" s="68"/>
      <c r="M2618" s="68"/>
      <c r="N2618" s="68"/>
      <c r="O2618" s="68"/>
      <c r="P2618" s="68"/>
      <c r="Q2618" s="68">
        <f>SUM(Devis[[#This Row],[Poste 1]:[Poste 6]])</f>
        <v>0</v>
      </c>
      <c r="R2618" s="71"/>
      <c r="S2618" s="68">
        <f>_xlfn.CEILING.MATH(Devis[[#This Row],[Quantité Totale]],Devis[[#This Row],[Conditionnement]])</f>
        <v>0</v>
      </c>
      <c r="T2618" s="72"/>
      <c r="U2618" s="73"/>
      <c r="V2618" s="74">
        <f>Devis[[#This Row],[Prix de Revient]]*Devis[[#This Row],[Poste 1]]</f>
        <v>0</v>
      </c>
      <c r="W2618" s="74">
        <f>Devis[[#This Row],[Prix de Revient]]*Devis[[#This Row],[Poste 2]]</f>
        <v>0</v>
      </c>
      <c r="X2618" s="74">
        <f>Devis[[#This Row],[Prix de Revient]]*Devis[[#This Row],[Poste 3]]</f>
        <v>0</v>
      </c>
      <c r="Y2618" s="74">
        <f>Devis[[#This Row],[Poste 4]]*Devis[[#This Row],[Prix de Revient]]</f>
        <v>0</v>
      </c>
      <c r="Z2618" s="74">
        <f>Devis[[#This Row],[Poste 5]]*Devis[[#This Row],[Prix de Revient]]</f>
        <v>0</v>
      </c>
      <c r="AA2618" s="74">
        <f>Devis[[#This Row],[Prix de Revient]]*Devis[[#This Row],[Poste 6]]</f>
        <v>0</v>
      </c>
      <c r="AB2618" s="74">
        <f>Devis[[#This Row],[Quantité Totale]]*Devis[[#This Row],[Prix de Revient]]</f>
        <v>0</v>
      </c>
    </row>
    <row r="2619" spans="1:28" ht="14.25" outlineLevel="1" x14ac:dyDescent="0.2">
      <c r="A2619" s="75" t="s">
        <v>2526</v>
      </c>
      <c r="B2619" s="76" t="s">
        <v>2533</v>
      </c>
      <c r="C2619" s="76" t="s">
        <v>2533</v>
      </c>
      <c r="D2619" s="81" t="str">
        <f t="shared" si="45"/>
        <v xml:space="preserve">Raccord Acier à souderBrides à collerette à souder Brides à collerette à souder </v>
      </c>
      <c r="E2619" s="76" t="s">
        <v>2536</v>
      </c>
      <c r="F2619" s="76">
        <v>3</v>
      </c>
      <c r="G2619" s="71" t="s">
        <v>2537</v>
      </c>
      <c r="H2619" s="71"/>
      <c r="I2619" s="71"/>
      <c r="J2619" s="70">
        <f>IFERROR(VLOOKUP(Devis[[#This Row],[Ref Air Flux]],#REF!,3,FALSE),0)</f>
        <v>0</v>
      </c>
      <c r="K2619" s="68"/>
      <c r="L2619" s="68"/>
      <c r="M2619" s="68"/>
      <c r="N2619" s="68"/>
      <c r="O2619" s="68"/>
      <c r="P2619" s="68"/>
      <c r="Q2619" s="68">
        <f>SUM(Devis[[#This Row],[Poste 1]:[Poste 6]])</f>
        <v>0</v>
      </c>
      <c r="R2619" s="71"/>
      <c r="S2619" s="68">
        <f>_xlfn.CEILING.MATH(Devis[[#This Row],[Quantité Totale]],Devis[[#This Row],[Conditionnement]])</f>
        <v>0</v>
      </c>
      <c r="T2619" s="72"/>
      <c r="U2619" s="73"/>
      <c r="V2619" s="74">
        <f>Devis[[#This Row],[Prix de Revient]]*Devis[[#This Row],[Poste 1]]</f>
        <v>0</v>
      </c>
      <c r="W2619" s="74">
        <f>Devis[[#This Row],[Prix de Revient]]*Devis[[#This Row],[Poste 2]]</f>
        <v>0</v>
      </c>
      <c r="X2619" s="74">
        <f>Devis[[#This Row],[Prix de Revient]]*Devis[[#This Row],[Poste 3]]</f>
        <v>0</v>
      </c>
      <c r="Y2619" s="74">
        <f>Devis[[#This Row],[Poste 4]]*Devis[[#This Row],[Prix de Revient]]</f>
        <v>0</v>
      </c>
      <c r="Z2619" s="74">
        <f>Devis[[#This Row],[Poste 5]]*Devis[[#This Row],[Prix de Revient]]</f>
        <v>0</v>
      </c>
      <c r="AA2619" s="74">
        <f>Devis[[#This Row],[Prix de Revient]]*Devis[[#This Row],[Poste 6]]</f>
        <v>0</v>
      </c>
      <c r="AB2619" s="74">
        <f>Devis[[#This Row],[Quantité Totale]]*Devis[[#This Row],[Prix de Revient]]</f>
        <v>0</v>
      </c>
    </row>
    <row r="2620" spans="1:28" ht="14.25" outlineLevel="1" x14ac:dyDescent="0.2">
      <c r="A2620" s="75" t="s">
        <v>2526</v>
      </c>
      <c r="B2620" s="76" t="s">
        <v>2533</v>
      </c>
      <c r="C2620" s="76" t="s">
        <v>2533</v>
      </c>
      <c r="D2620" s="81" t="str">
        <f t="shared" si="45"/>
        <v xml:space="preserve">Raccord Acier à souderBrides à collerette à souder Brides à collerette à souder </v>
      </c>
      <c r="E2620" s="76" t="s">
        <v>2538</v>
      </c>
      <c r="F2620" s="76">
        <v>4</v>
      </c>
      <c r="G2620" s="71" t="s">
        <v>2539</v>
      </c>
      <c r="H2620" s="71"/>
      <c r="I2620" s="71"/>
      <c r="J2620" s="70">
        <f>IFERROR(VLOOKUP(Devis[[#This Row],[Ref Air Flux]],#REF!,3,FALSE),0)</f>
        <v>0</v>
      </c>
      <c r="K2620" s="68"/>
      <c r="L2620" s="68"/>
      <c r="M2620" s="68"/>
      <c r="N2620" s="68"/>
      <c r="O2620" s="68"/>
      <c r="P2620" s="68"/>
      <c r="Q2620" s="68">
        <f>SUM(Devis[[#This Row],[Poste 1]:[Poste 6]])</f>
        <v>0</v>
      </c>
      <c r="R2620" s="71"/>
      <c r="S2620" s="68">
        <f>_xlfn.CEILING.MATH(Devis[[#This Row],[Quantité Totale]],Devis[[#This Row],[Conditionnement]])</f>
        <v>0</v>
      </c>
      <c r="T2620" s="72"/>
      <c r="U2620" s="73"/>
      <c r="V2620" s="74">
        <f>Devis[[#This Row],[Prix de Revient]]*Devis[[#This Row],[Poste 1]]</f>
        <v>0</v>
      </c>
      <c r="W2620" s="74">
        <f>Devis[[#This Row],[Prix de Revient]]*Devis[[#This Row],[Poste 2]]</f>
        <v>0</v>
      </c>
      <c r="X2620" s="74">
        <f>Devis[[#This Row],[Prix de Revient]]*Devis[[#This Row],[Poste 3]]</f>
        <v>0</v>
      </c>
      <c r="Y2620" s="74">
        <f>Devis[[#This Row],[Poste 4]]*Devis[[#This Row],[Prix de Revient]]</f>
        <v>0</v>
      </c>
      <c r="Z2620" s="74">
        <f>Devis[[#This Row],[Poste 5]]*Devis[[#This Row],[Prix de Revient]]</f>
        <v>0</v>
      </c>
      <c r="AA2620" s="74">
        <f>Devis[[#This Row],[Prix de Revient]]*Devis[[#This Row],[Poste 6]]</f>
        <v>0</v>
      </c>
      <c r="AB2620" s="74">
        <f>Devis[[#This Row],[Quantité Totale]]*Devis[[#This Row],[Prix de Revient]]</f>
        <v>0</v>
      </c>
    </row>
    <row r="2621" spans="1:28" ht="14.25" customHeight="1" outlineLevel="1" x14ac:dyDescent="0.2">
      <c r="A2621" s="75" t="s">
        <v>2526</v>
      </c>
      <c r="B2621" s="76" t="s">
        <v>2533</v>
      </c>
      <c r="C2621" s="76" t="s">
        <v>2533</v>
      </c>
      <c r="D2621" s="81" t="str">
        <f t="shared" si="45"/>
        <v xml:space="preserve">Raccord Acier à souderBrides à collerette à souder Brides à collerette à souder </v>
      </c>
      <c r="E2621" s="76" t="s">
        <v>2540</v>
      </c>
      <c r="F2621" s="76">
        <v>5</v>
      </c>
      <c r="G2621" s="71" t="s">
        <v>2541</v>
      </c>
      <c r="H2621" s="71"/>
      <c r="I2621" s="71"/>
      <c r="J2621" s="70">
        <f>IFERROR(VLOOKUP(Devis[[#This Row],[Ref Air Flux]],#REF!,3,FALSE),0)</f>
        <v>0</v>
      </c>
      <c r="K2621" s="68"/>
      <c r="L2621" s="68"/>
      <c r="M2621" s="68"/>
      <c r="N2621" s="68"/>
      <c r="O2621" s="68"/>
      <c r="P2621" s="68"/>
      <c r="Q2621" s="68">
        <f>SUM(Devis[[#This Row],[Poste 1]:[Poste 6]])</f>
        <v>0</v>
      </c>
      <c r="R2621" s="71"/>
      <c r="S2621" s="68">
        <f>_xlfn.CEILING.MATH(Devis[[#This Row],[Quantité Totale]],Devis[[#This Row],[Conditionnement]])</f>
        <v>0</v>
      </c>
      <c r="T2621" s="72"/>
      <c r="U2621" s="73"/>
      <c r="V2621" s="74">
        <f>Devis[[#This Row],[Prix de Revient]]*Devis[[#This Row],[Poste 1]]</f>
        <v>0</v>
      </c>
      <c r="W2621" s="74">
        <f>Devis[[#This Row],[Prix de Revient]]*Devis[[#This Row],[Poste 2]]</f>
        <v>0</v>
      </c>
      <c r="X2621" s="74">
        <f>Devis[[#This Row],[Prix de Revient]]*Devis[[#This Row],[Poste 3]]</f>
        <v>0</v>
      </c>
      <c r="Y2621" s="74">
        <f>Devis[[#This Row],[Poste 4]]*Devis[[#This Row],[Prix de Revient]]</f>
        <v>0</v>
      </c>
      <c r="Z2621" s="74">
        <f>Devis[[#This Row],[Poste 5]]*Devis[[#This Row],[Prix de Revient]]</f>
        <v>0</v>
      </c>
      <c r="AA2621" s="74">
        <f>Devis[[#This Row],[Prix de Revient]]*Devis[[#This Row],[Poste 6]]</f>
        <v>0</v>
      </c>
      <c r="AB2621" s="74">
        <f>Devis[[#This Row],[Quantité Totale]]*Devis[[#This Row],[Prix de Revient]]</f>
        <v>0</v>
      </c>
    </row>
    <row r="2622" spans="1:28" ht="14.25" outlineLevel="1" x14ac:dyDescent="0.2">
      <c r="A2622" s="75" t="s">
        <v>2526</v>
      </c>
      <c r="B2622" s="76" t="s">
        <v>2533</v>
      </c>
      <c r="C2622" s="76" t="s">
        <v>2533</v>
      </c>
      <c r="D2622" s="81" t="str">
        <f t="shared" si="45"/>
        <v xml:space="preserve">Raccord Acier à souderBrides à collerette à souder Brides à collerette à souder </v>
      </c>
      <c r="E2622" s="76" t="s">
        <v>2542</v>
      </c>
      <c r="F2622" s="76">
        <v>6</v>
      </c>
      <c r="G2622" s="71" t="s">
        <v>2543</v>
      </c>
      <c r="H2622" s="71"/>
      <c r="I2622" s="71"/>
      <c r="J2622" s="70">
        <f>IFERROR(VLOOKUP(Devis[[#This Row],[Ref Air Flux]],#REF!,3,FALSE),0)</f>
        <v>0</v>
      </c>
      <c r="K2622" s="68"/>
      <c r="L2622" s="68"/>
      <c r="M2622" s="68"/>
      <c r="N2622" s="68"/>
      <c r="O2622" s="68"/>
      <c r="P2622" s="68"/>
      <c r="Q2622" s="68">
        <f>SUM(Devis[[#This Row],[Poste 1]:[Poste 6]])</f>
        <v>0</v>
      </c>
      <c r="R2622" s="71"/>
      <c r="S2622" s="68">
        <f>_xlfn.CEILING.MATH(Devis[[#This Row],[Quantité Totale]],Devis[[#This Row],[Conditionnement]])</f>
        <v>0</v>
      </c>
      <c r="T2622" s="72"/>
      <c r="U2622" s="73"/>
      <c r="V2622" s="74">
        <f>Devis[[#This Row],[Prix de Revient]]*Devis[[#This Row],[Poste 1]]</f>
        <v>0</v>
      </c>
      <c r="W2622" s="74">
        <f>Devis[[#This Row],[Prix de Revient]]*Devis[[#This Row],[Poste 2]]</f>
        <v>0</v>
      </c>
      <c r="X2622" s="74">
        <f>Devis[[#This Row],[Prix de Revient]]*Devis[[#This Row],[Poste 3]]</f>
        <v>0</v>
      </c>
      <c r="Y2622" s="74">
        <f>Devis[[#This Row],[Poste 4]]*Devis[[#This Row],[Prix de Revient]]</f>
        <v>0</v>
      </c>
      <c r="Z2622" s="74">
        <f>Devis[[#This Row],[Poste 5]]*Devis[[#This Row],[Prix de Revient]]</f>
        <v>0</v>
      </c>
      <c r="AA2622" s="74">
        <f>Devis[[#This Row],[Prix de Revient]]*Devis[[#This Row],[Poste 6]]</f>
        <v>0</v>
      </c>
      <c r="AB2622" s="74">
        <f>Devis[[#This Row],[Quantité Totale]]*Devis[[#This Row],[Prix de Revient]]</f>
        <v>0</v>
      </c>
    </row>
    <row r="2623" spans="1:28" ht="14.25" outlineLevel="1" x14ac:dyDescent="0.2">
      <c r="A2623" s="75" t="s">
        <v>2526</v>
      </c>
      <c r="B2623" s="76" t="s">
        <v>2533</v>
      </c>
      <c r="C2623" s="76" t="s">
        <v>2533</v>
      </c>
      <c r="D2623" s="81" t="str">
        <f t="shared" si="45"/>
        <v xml:space="preserve">Raccord Acier à souderBrides à collerette à souder Brides à collerette à souder </v>
      </c>
      <c r="E2623" s="76" t="s">
        <v>2544</v>
      </c>
      <c r="F2623" s="76">
        <v>7</v>
      </c>
      <c r="G2623" s="71" t="s">
        <v>2545</v>
      </c>
      <c r="H2623" s="71"/>
      <c r="I2623" s="71"/>
      <c r="J2623" s="70">
        <f>IFERROR(VLOOKUP(Devis[[#This Row],[Ref Air Flux]],#REF!,3,FALSE),0)</f>
        <v>0</v>
      </c>
      <c r="K2623" s="68"/>
      <c r="L2623" s="68"/>
      <c r="M2623" s="68"/>
      <c r="N2623" s="68"/>
      <c r="O2623" s="68"/>
      <c r="P2623" s="68"/>
      <c r="Q2623" s="68">
        <f>SUM(Devis[[#This Row],[Poste 1]:[Poste 6]])</f>
        <v>0</v>
      </c>
      <c r="R2623" s="71"/>
      <c r="S2623" s="68">
        <f>_xlfn.CEILING.MATH(Devis[[#This Row],[Quantité Totale]],Devis[[#This Row],[Conditionnement]])</f>
        <v>0</v>
      </c>
      <c r="T2623" s="72"/>
      <c r="U2623" s="73"/>
      <c r="V2623" s="74">
        <f>Devis[[#This Row],[Prix de Revient]]*Devis[[#This Row],[Poste 1]]</f>
        <v>0</v>
      </c>
      <c r="W2623" s="74">
        <f>Devis[[#This Row],[Prix de Revient]]*Devis[[#This Row],[Poste 2]]</f>
        <v>0</v>
      </c>
      <c r="X2623" s="74">
        <f>Devis[[#This Row],[Prix de Revient]]*Devis[[#This Row],[Poste 3]]</f>
        <v>0</v>
      </c>
      <c r="Y2623" s="74">
        <f>Devis[[#This Row],[Poste 4]]*Devis[[#This Row],[Prix de Revient]]</f>
        <v>0</v>
      </c>
      <c r="Z2623" s="74">
        <f>Devis[[#This Row],[Poste 5]]*Devis[[#This Row],[Prix de Revient]]</f>
        <v>0</v>
      </c>
      <c r="AA2623" s="74">
        <f>Devis[[#This Row],[Prix de Revient]]*Devis[[#This Row],[Poste 6]]</f>
        <v>0</v>
      </c>
      <c r="AB2623" s="74">
        <f>Devis[[#This Row],[Quantité Totale]]*Devis[[#This Row],[Prix de Revient]]</f>
        <v>0</v>
      </c>
    </row>
    <row r="2624" spans="1:28" ht="14.25" customHeight="1" x14ac:dyDescent="0.25">
      <c r="A2624" s="65" t="s">
        <v>2526</v>
      </c>
      <c r="B2624" s="65" t="s">
        <v>2547</v>
      </c>
      <c r="C2624" s="76" t="s">
        <v>2547</v>
      </c>
      <c r="D2624" s="81" t="str">
        <f t="shared" si="45"/>
        <v>Raccord Acier à souderBrides à collerette taraudéesBrides à collerette taraudées</v>
      </c>
      <c r="E2624" s="76"/>
      <c r="F2624" s="76">
        <v>0</v>
      </c>
      <c r="G2624" s="71"/>
      <c r="H2624" s="71"/>
      <c r="I2624" s="71"/>
      <c r="J2624" s="70">
        <f>IFERROR(VLOOKUP(Devis[[#This Row],[Ref Air Flux]],#REF!,3,FALSE),0)</f>
        <v>0</v>
      </c>
      <c r="K2624" s="68"/>
      <c r="L2624" s="68"/>
      <c r="M2624" s="68"/>
      <c r="N2624" s="68"/>
      <c r="O2624" s="68"/>
      <c r="P2624" s="68"/>
      <c r="Q2624" s="68">
        <f>SUM(Devis[[#This Row],[Poste 1]:[Poste 6]])</f>
        <v>0</v>
      </c>
      <c r="R2624" s="71"/>
      <c r="S2624" s="68">
        <f>_xlfn.CEILING.MATH(Devis[[#This Row],[Quantité Totale]],Devis[[#This Row],[Conditionnement]])</f>
        <v>0</v>
      </c>
      <c r="T2624" s="72"/>
      <c r="U2624" s="73"/>
      <c r="V2624" s="74">
        <f>Devis[[#This Row],[Prix de Revient]]*Devis[[#This Row],[Poste 1]]</f>
        <v>0</v>
      </c>
      <c r="W2624" s="74">
        <f>Devis[[#This Row],[Prix de Revient]]*Devis[[#This Row],[Poste 2]]</f>
        <v>0</v>
      </c>
      <c r="X2624" s="74">
        <f>Devis[[#This Row],[Prix de Revient]]*Devis[[#This Row],[Poste 3]]</f>
        <v>0</v>
      </c>
      <c r="Y2624" s="74">
        <f>Devis[[#This Row],[Poste 4]]*Devis[[#This Row],[Prix de Revient]]</f>
        <v>0</v>
      </c>
      <c r="Z2624" s="74">
        <f>Devis[[#This Row],[Poste 5]]*Devis[[#This Row],[Prix de Revient]]</f>
        <v>0</v>
      </c>
      <c r="AA2624" s="74">
        <f>Devis[[#This Row],[Prix de Revient]]*Devis[[#This Row],[Poste 6]]</f>
        <v>0</v>
      </c>
      <c r="AB2624" s="74">
        <f>Devis[[#This Row],[Quantité Totale]]*Devis[[#This Row],[Prix de Revient]]</f>
        <v>0</v>
      </c>
    </row>
    <row r="2625" spans="1:28" ht="14.25" outlineLevel="1" x14ac:dyDescent="0.2">
      <c r="A2625" s="75" t="s">
        <v>2526</v>
      </c>
      <c r="B2625" s="76" t="s">
        <v>2547</v>
      </c>
      <c r="C2625" s="76" t="s">
        <v>2547</v>
      </c>
      <c r="D2625" s="81" t="str">
        <f t="shared" si="45"/>
        <v>Raccord Acier à souderBrides à collerette taraudéesBrides à collerette taraudées</v>
      </c>
      <c r="E2625" s="76" t="s">
        <v>5365</v>
      </c>
      <c r="F2625" s="76">
        <v>1</v>
      </c>
      <c r="G2625" s="71" t="s">
        <v>5367</v>
      </c>
      <c r="H2625" s="71"/>
      <c r="I2625" s="71"/>
      <c r="J2625" s="70">
        <f>IFERROR(VLOOKUP(Devis[[#This Row],[Ref Air Flux]],#REF!,3,FALSE),0)</f>
        <v>0</v>
      </c>
      <c r="K2625" s="68"/>
      <c r="L2625" s="68"/>
      <c r="M2625" s="68"/>
      <c r="N2625" s="68"/>
      <c r="O2625" s="68"/>
      <c r="P2625" s="68"/>
      <c r="Q2625" s="68">
        <f>SUM(Devis[[#This Row],[Poste 1]:[Poste 6]])</f>
        <v>0</v>
      </c>
      <c r="R2625" s="71"/>
      <c r="S2625" s="68">
        <f>_xlfn.CEILING.MATH(Devis[[#This Row],[Quantité Totale]],Devis[[#This Row],[Conditionnement]])</f>
        <v>0</v>
      </c>
      <c r="T2625" s="72"/>
      <c r="U2625" s="73"/>
      <c r="V2625" s="74">
        <f>Devis[[#This Row],[Prix de Revient]]*Devis[[#This Row],[Poste 1]]</f>
        <v>0</v>
      </c>
      <c r="W2625" s="74">
        <f>Devis[[#This Row],[Prix de Revient]]*Devis[[#This Row],[Poste 2]]</f>
        <v>0</v>
      </c>
      <c r="X2625" s="74">
        <f>Devis[[#This Row],[Prix de Revient]]*Devis[[#This Row],[Poste 3]]</f>
        <v>0</v>
      </c>
      <c r="Y2625" s="74">
        <f>Devis[[#This Row],[Poste 4]]*Devis[[#This Row],[Prix de Revient]]</f>
        <v>0</v>
      </c>
      <c r="Z2625" s="74">
        <f>Devis[[#This Row],[Poste 5]]*Devis[[#This Row],[Prix de Revient]]</f>
        <v>0</v>
      </c>
      <c r="AA2625" s="74">
        <f>Devis[[#This Row],[Prix de Revient]]*Devis[[#This Row],[Poste 6]]</f>
        <v>0</v>
      </c>
      <c r="AB2625" s="74">
        <f>Devis[[#This Row],[Quantité Totale]]*Devis[[#This Row],[Prix de Revient]]</f>
        <v>0</v>
      </c>
    </row>
    <row r="2626" spans="1:28" ht="14.25" outlineLevel="1" x14ac:dyDescent="0.2">
      <c r="A2626" s="75" t="s">
        <v>2526</v>
      </c>
      <c r="B2626" s="76" t="s">
        <v>2547</v>
      </c>
      <c r="C2626" s="76" t="s">
        <v>2547</v>
      </c>
      <c r="D2626" s="81" t="str">
        <f t="shared" si="45"/>
        <v>Raccord Acier à souderBrides à collerette taraudéesBrides à collerette taraudées</v>
      </c>
      <c r="E2626" s="76" t="s">
        <v>4090</v>
      </c>
      <c r="F2626" s="76">
        <v>2</v>
      </c>
      <c r="G2626" s="71" t="s">
        <v>5368</v>
      </c>
      <c r="H2626" s="71"/>
      <c r="I2626" s="71"/>
      <c r="J2626" s="70">
        <f>IFERROR(VLOOKUP(Devis[[#This Row],[Ref Air Flux]],#REF!,3,FALSE),0)</f>
        <v>0</v>
      </c>
      <c r="K2626" s="68"/>
      <c r="L2626" s="68"/>
      <c r="M2626" s="68"/>
      <c r="N2626" s="68"/>
      <c r="O2626" s="68"/>
      <c r="P2626" s="68"/>
      <c r="Q2626" s="68">
        <f>SUM(Devis[[#This Row],[Poste 1]:[Poste 6]])</f>
        <v>0</v>
      </c>
      <c r="R2626" s="71"/>
      <c r="S2626" s="68">
        <f>_xlfn.CEILING.MATH(Devis[[#This Row],[Quantité Totale]],Devis[[#This Row],[Conditionnement]])</f>
        <v>0</v>
      </c>
      <c r="T2626" s="72"/>
      <c r="U2626" s="73"/>
      <c r="V2626" s="74">
        <f>Devis[[#This Row],[Prix de Revient]]*Devis[[#This Row],[Poste 1]]</f>
        <v>0</v>
      </c>
      <c r="W2626" s="74">
        <f>Devis[[#This Row],[Prix de Revient]]*Devis[[#This Row],[Poste 2]]</f>
        <v>0</v>
      </c>
      <c r="X2626" s="74">
        <f>Devis[[#This Row],[Prix de Revient]]*Devis[[#This Row],[Poste 3]]</f>
        <v>0</v>
      </c>
      <c r="Y2626" s="74">
        <f>Devis[[#This Row],[Poste 4]]*Devis[[#This Row],[Prix de Revient]]</f>
        <v>0</v>
      </c>
      <c r="Z2626" s="74">
        <f>Devis[[#This Row],[Poste 5]]*Devis[[#This Row],[Prix de Revient]]</f>
        <v>0</v>
      </c>
      <c r="AA2626" s="74">
        <f>Devis[[#This Row],[Prix de Revient]]*Devis[[#This Row],[Poste 6]]</f>
        <v>0</v>
      </c>
      <c r="AB2626" s="74">
        <f>Devis[[#This Row],[Quantité Totale]]*Devis[[#This Row],[Prix de Revient]]</f>
        <v>0</v>
      </c>
    </row>
    <row r="2627" spans="1:28" ht="14.25" outlineLevel="1" x14ac:dyDescent="0.2">
      <c r="A2627" s="75" t="s">
        <v>2526</v>
      </c>
      <c r="B2627" s="76" t="s">
        <v>2547</v>
      </c>
      <c r="C2627" s="76" t="s">
        <v>2547</v>
      </c>
      <c r="D2627" s="81" t="str">
        <f t="shared" si="45"/>
        <v>Raccord Acier à souderBrides à collerette taraudéesBrides à collerette taraudées</v>
      </c>
      <c r="E2627" s="76" t="s">
        <v>3485</v>
      </c>
      <c r="F2627" s="76">
        <v>3</v>
      </c>
      <c r="G2627" s="71" t="s">
        <v>3486</v>
      </c>
      <c r="H2627" s="71"/>
      <c r="I2627" s="71"/>
      <c r="J2627" s="70">
        <f>IFERROR(VLOOKUP(Devis[[#This Row],[Ref Air Flux]],#REF!,3,FALSE),0)</f>
        <v>0</v>
      </c>
      <c r="K2627" s="68"/>
      <c r="L2627" s="68"/>
      <c r="M2627" s="68"/>
      <c r="N2627" s="68"/>
      <c r="O2627" s="68"/>
      <c r="P2627" s="68"/>
      <c r="Q2627" s="68">
        <f>SUM(Devis[[#This Row],[Poste 1]:[Poste 6]])</f>
        <v>0</v>
      </c>
      <c r="R2627" s="71"/>
      <c r="S2627" s="68">
        <f>_xlfn.CEILING.MATH(Devis[[#This Row],[Quantité Totale]],Devis[[#This Row],[Conditionnement]])</f>
        <v>0</v>
      </c>
      <c r="T2627" s="72"/>
      <c r="U2627" s="73"/>
      <c r="V2627" s="74">
        <f>Devis[[#This Row],[Prix de Revient]]*Devis[[#This Row],[Poste 1]]</f>
        <v>0</v>
      </c>
      <c r="W2627" s="74">
        <f>Devis[[#This Row],[Prix de Revient]]*Devis[[#This Row],[Poste 2]]</f>
        <v>0</v>
      </c>
      <c r="X2627" s="74">
        <f>Devis[[#This Row],[Prix de Revient]]*Devis[[#This Row],[Poste 3]]</f>
        <v>0</v>
      </c>
      <c r="Y2627" s="74">
        <f>Devis[[#This Row],[Poste 4]]*Devis[[#This Row],[Prix de Revient]]</f>
        <v>0</v>
      </c>
      <c r="Z2627" s="74">
        <f>Devis[[#This Row],[Poste 5]]*Devis[[#This Row],[Prix de Revient]]</f>
        <v>0</v>
      </c>
      <c r="AA2627" s="74">
        <f>Devis[[#This Row],[Prix de Revient]]*Devis[[#This Row],[Poste 6]]</f>
        <v>0</v>
      </c>
      <c r="AB2627" s="74">
        <f>Devis[[#This Row],[Quantité Totale]]*Devis[[#This Row],[Prix de Revient]]</f>
        <v>0</v>
      </c>
    </row>
    <row r="2628" spans="1:28" ht="14.25" outlineLevel="1" x14ac:dyDescent="0.2">
      <c r="A2628" s="75" t="s">
        <v>2526</v>
      </c>
      <c r="B2628" s="76" t="s">
        <v>2547</v>
      </c>
      <c r="C2628" s="76" t="s">
        <v>2547</v>
      </c>
      <c r="D2628" s="81" t="str">
        <f t="shared" si="45"/>
        <v>Raccord Acier à souderBrides à collerette taraudéesBrides à collerette taraudées</v>
      </c>
      <c r="E2628" s="76" t="s">
        <v>2548</v>
      </c>
      <c r="F2628" s="76">
        <v>4</v>
      </c>
      <c r="G2628" s="71" t="s">
        <v>2549</v>
      </c>
      <c r="H2628" s="71"/>
      <c r="I2628" s="71"/>
      <c r="J2628" s="70">
        <f>IFERROR(VLOOKUP(Devis[[#This Row],[Ref Air Flux]],#REF!,3,FALSE),0)</f>
        <v>0</v>
      </c>
      <c r="K2628" s="68"/>
      <c r="L2628" s="68"/>
      <c r="M2628" s="68"/>
      <c r="N2628" s="68"/>
      <c r="O2628" s="68"/>
      <c r="P2628" s="68"/>
      <c r="Q2628" s="68">
        <f>SUM(Devis[[#This Row],[Poste 1]:[Poste 6]])</f>
        <v>0</v>
      </c>
      <c r="R2628" s="71"/>
      <c r="S2628" s="68">
        <f>_xlfn.CEILING.MATH(Devis[[#This Row],[Quantité Totale]],Devis[[#This Row],[Conditionnement]])</f>
        <v>0</v>
      </c>
      <c r="T2628" s="72"/>
      <c r="U2628" s="73"/>
      <c r="V2628" s="74">
        <f>Devis[[#This Row],[Prix de Revient]]*Devis[[#This Row],[Poste 1]]</f>
        <v>0</v>
      </c>
      <c r="W2628" s="74">
        <f>Devis[[#This Row],[Prix de Revient]]*Devis[[#This Row],[Poste 2]]</f>
        <v>0</v>
      </c>
      <c r="X2628" s="74">
        <f>Devis[[#This Row],[Prix de Revient]]*Devis[[#This Row],[Poste 3]]</f>
        <v>0</v>
      </c>
      <c r="Y2628" s="74">
        <f>Devis[[#This Row],[Poste 4]]*Devis[[#This Row],[Prix de Revient]]</f>
        <v>0</v>
      </c>
      <c r="Z2628" s="74">
        <f>Devis[[#This Row],[Poste 5]]*Devis[[#This Row],[Prix de Revient]]</f>
        <v>0</v>
      </c>
      <c r="AA2628" s="74">
        <f>Devis[[#This Row],[Prix de Revient]]*Devis[[#This Row],[Poste 6]]</f>
        <v>0</v>
      </c>
      <c r="AB2628" s="74">
        <f>Devis[[#This Row],[Quantité Totale]]*Devis[[#This Row],[Prix de Revient]]</f>
        <v>0</v>
      </c>
    </row>
    <row r="2629" spans="1:28" ht="15" customHeight="1" outlineLevel="1" x14ac:dyDescent="0.2">
      <c r="A2629" s="75" t="s">
        <v>2526</v>
      </c>
      <c r="B2629" s="76" t="s">
        <v>2547</v>
      </c>
      <c r="C2629" s="76" t="s">
        <v>2547</v>
      </c>
      <c r="D2629" s="81" t="str">
        <f t="shared" si="45"/>
        <v>Raccord Acier à souderBrides à collerette taraudéesBrides à collerette taraudées</v>
      </c>
      <c r="E2629" s="76" t="s">
        <v>2534</v>
      </c>
      <c r="F2629" s="76">
        <v>5</v>
      </c>
      <c r="G2629" s="71" t="s">
        <v>2550</v>
      </c>
      <c r="H2629" s="71"/>
      <c r="I2629" s="71"/>
      <c r="J2629" s="70">
        <f>IFERROR(VLOOKUP(Devis[[#This Row],[Ref Air Flux]],#REF!,3,FALSE),0)</f>
        <v>0</v>
      </c>
      <c r="K2629" s="68"/>
      <c r="L2629" s="68"/>
      <c r="M2629" s="68"/>
      <c r="N2629" s="68"/>
      <c r="O2629" s="68"/>
      <c r="P2629" s="68"/>
      <c r="Q2629" s="68">
        <f>SUM(Devis[[#This Row],[Poste 1]:[Poste 6]])</f>
        <v>0</v>
      </c>
      <c r="R2629" s="71"/>
      <c r="S2629" s="68">
        <f>_xlfn.CEILING.MATH(Devis[[#This Row],[Quantité Totale]],Devis[[#This Row],[Conditionnement]])</f>
        <v>0</v>
      </c>
      <c r="T2629" s="72"/>
      <c r="U2629" s="73"/>
      <c r="V2629" s="74">
        <f>Devis[[#This Row],[Prix de Revient]]*Devis[[#This Row],[Poste 1]]</f>
        <v>0</v>
      </c>
      <c r="W2629" s="74">
        <f>Devis[[#This Row],[Prix de Revient]]*Devis[[#This Row],[Poste 2]]</f>
        <v>0</v>
      </c>
      <c r="X2629" s="74">
        <f>Devis[[#This Row],[Prix de Revient]]*Devis[[#This Row],[Poste 3]]</f>
        <v>0</v>
      </c>
      <c r="Y2629" s="74">
        <f>Devis[[#This Row],[Poste 4]]*Devis[[#This Row],[Prix de Revient]]</f>
        <v>0</v>
      </c>
      <c r="Z2629" s="74">
        <f>Devis[[#This Row],[Poste 5]]*Devis[[#This Row],[Prix de Revient]]</f>
        <v>0</v>
      </c>
      <c r="AA2629" s="74">
        <f>Devis[[#This Row],[Prix de Revient]]*Devis[[#This Row],[Poste 6]]</f>
        <v>0</v>
      </c>
      <c r="AB2629" s="74">
        <f>Devis[[#This Row],[Quantité Totale]]*Devis[[#This Row],[Prix de Revient]]</f>
        <v>0</v>
      </c>
    </row>
    <row r="2630" spans="1:28" ht="14.25" customHeight="1" outlineLevel="1" x14ac:dyDescent="0.2">
      <c r="A2630" s="75" t="s">
        <v>2526</v>
      </c>
      <c r="B2630" s="76" t="s">
        <v>2547</v>
      </c>
      <c r="C2630" s="76" t="s">
        <v>2547</v>
      </c>
      <c r="D2630" s="81" t="str">
        <f t="shared" si="45"/>
        <v>Raccord Acier à souderBrides à collerette taraudéesBrides à collerette taraudées</v>
      </c>
      <c r="E2630" s="76" t="s">
        <v>2536</v>
      </c>
      <c r="F2630" s="76">
        <v>6</v>
      </c>
      <c r="G2630" s="71" t="s">
        <v>2551</v>
      </c>
      <c r="H2630" s="71"/>
      <c r="I2630" s="71"/>
      <c r="J2630" s="70">
        <f>IFERROR(VLOOKUP(Devis[[#This Row],[Ref Air Flux]],#REF!,3,FALSE),0)</f>
        <v>0</v>
      </c>
      <c r="K2630" s="68"/>
      <c r="L2630" s="68"/>
      <c r="M2630" s="68"/>
      <c r="N2630" s="68"/>
      <c r="O2630" s="68"/>
      <c r="P2630" s="68"/>
      <c r="Q2630" s="68">
        <f>SUM(Devis[[#This Row],[Poste 1]:[Poste 6]])</f>
        <v>0</v>
      </c>
      <c r="R2630" s="71"/>
      <c r="S2630" s="68">
        <f>_xlfn.CEILING.MATH(Devis[[#This Row],[Quantité Totale]],Devis[[#This Row],[Conditionnement]])</f>
        <v>0</v>
      </c>
      <c r="T2630" s="72"/>
      <c r="U2630" s="73"/>
      <c r="V2630" s="74">
        <f>Devis[[#This Row],[Prix de Revient]]*Devis[[#This Row],[Poste 1]]</f>
        <v>0</v>
      </c>
      <c r="W2630" s="74">
        <f>Devis[[#This Row],[Prix de Revient]]*Devis[[#This Row],[Poste 2]]</f>
        <v>0</v>
      </c>
      <c r="X2630" s="74">
        <f>Devis[[#This Row],[Prix de Revient]]*Devis[[#This Row],[Poste 3]]</f>
        <v>0</v>
      </c>
      <c r="Y2630" s="74">
        <f>Devis[[#This Row],[Poste 4]]*Devis[[#This Row],[Prix de Revient]]</f>
        <v>0</v>
      </c>
      <c r="Z2630" s="74">
        <f>Devis[[#This Row],[Poste 5]]*Devis[[#This Row],[Prix de Revient]]</f>
        <v>0</v>
      </c>
      <c r="AA2630" s="74">
        <f>Devis[[#This Row],[Prix de Revient]]*Devis[[#This Row],[Poste 6]]</f>
        <v>0</v>
      </c>
      <c r="AB2630" s="74">
        <f>Devis[[#This Row],[Quantité Totale]]*Devis[[#This Row],[Prix de Revient]]</f>
        <v>0</v>
      </c>
    </row>
    <row r="2631" spans="1:28" ht="14.25" customHeight="1" outlineLevel="1" x14ac:dyDescent="0.2">
      <c r="A2631" s="75" t="s">
        <v>2526</v>
      </c>
      <c r="B2631" s="76" t="s">
        <v>2547</v>
      </c>
      <c r="C2631" s="76" t="s">
        <v>2547</v>
      </c>
      <c r="D2631" s="81" t="str">
        <f t="shared" si="45"/>
        <v>Raccord Acier à souderBrides à collerette taraudéesBrides à collerette taraudées</v>
      </c>
      <c r="E2631" s="76" t="s">
        <v>2538</v>
      </c>
      <c r="F2631" s="76">
        <v>7</v>
      </c>
      <c r="G2631" s="71" t="s">
        <v>2552</v>
      </c>
      <c r="H2631" s="71"/>
      <c r="I2631" s="71"/>
      <c r="J2631" s="70">
        <f>IFERROR(VLOOKUP(Devis[[#This Row],[Ref Air Flux]],#REF!,3,FALSE),0)</f>
        <v>0</v>
      </c>
      <c r="K2631" s="68"/>
      <c r="L2631" s="68"/>
      <c r="M2631" s="68"/>
      <c r="N2631" s="68"/>
      <c r="O2631" s="68"/>
      <c r="P2631" s="68"/>
      <c r="Q2631" s="68">
        <f>SUM(Devis[[#This Row],[Poste 1]:[Poste 6]])</f>
        <v>0</v>
      </c>
      <c r="R2631" s="71"/>
      <c r="S2631" s="68">
        <f>_xlfn.CEILING.MATH(Devis[[#This Row],[Quantité Totale]],Devis[[#This Row],[Conditionnement]])</f>
        <v>0</v>
      </c>
      <c r="T2631" s="72"/>
      <c r="U2631" s="73"/>
      <c r="V2631" s="74">
        <f>Devis[[#This Row],[Prix de Revient]]*Devis[[#This Row],[Poste 1]]</f>
        <v>0</v>
      </c>
      <c r="W2631" s="74">
        <f>Devis[[#This Row],[Prix de Revient]]*Devis[[#This Row],[Poste 2]]</f>
        <v>0</v>
      </c>
      <c r="X2631" s="74">
        <f>Devis[[#This Row],[Prix de Revient]]*Devis[[#This Row],[Poste 3]]</f>
        <v>0</v>
      </c>
      <c r="Y2631" s="74">
        <f>Devis[[#This Row],[Poste 4]]*Devis[[#This Row],[Prix de Revient]]</f>
        <v>0</v>
      </c>
      <c r="Z2631" s="74">
        <f>Devis[[#This Row],[Poste 5]]*Devis[[#This Row],[Prix de Revient]]</f>
        <v>0</v>
      </c>
      <c r="AA2631" s="74">
        <f>Devis[[#This Row],[Prix de Revient]]*Devis[[#This Row],[Poste 6]]</f>
        <v>0</v>
      </c>
      <c r="AB2631" s="74">
        <f>Devis[[#This Row],[Quantité Totale]]*Devis[[#This Row],[Prix de Revient]]</f>
        <v>0</v>
      </c>
    </row>
    <row r="2632" spans="1:28" ht="14.25" customHeight="1" outlineLevel="1" x14ac:dyDescent="0.2">
      <c r="A2632" s="75" t="s">
        <v>2526</v>
      </c>
      <c r="B2632" s="76" t="s">
        <v>2547</v>
      </c>
      <c r="C2632" s="76" t="s">
        <v>2547</v>
      </c>
      <c r="D2632" s="81" t="str">
        <f t="shared" si="45"/>
        <v>Raccord Acier à souderBrides à collerette taraudéesBrides à collerette taraudées</v>
      </c>
      <c r="E2632" s="76" t="s">
        <v>2540</v>
      </c>
      <c r="F2632" s="76">
        <v>8</v>
      </c>
      <c r="G2632" s="71" t="s">
        <v>2553</v>
      </c>
      <c r="H2632" s="71"/>
      <c r="I2632" s="71"/>
      <c r="J2632" s="70">
        <f>IFERROR(VLOOKUP(Devis[[#This Row],[Ref Air Flux]],#REF!,3,FALSE),0)</f>
        <v>0</v>
      </c>
      <c r="K2632" s="68"/>
      <c r="L2632" s="68"/>
      <c r="M2632" s="68"/>
      <c r="N2632" s="68"/>
      <c r="O2632" s="68"/>
      <c r="P2632" s="68"/>
      <c r="Q2632" s="68">
        <f>SUM(Devis[[#This Row],[Poste 1]:[Poste 6]])</f>
        <v>0</v>
      </c>
      <c r="R2632" s="71"/>
      <c r="S2632" s="68">
        <f>_xlfn.CEILING.MATH(Devis[[#This Row],[Quantité Totale]],Devis[[#This Row],[Conditionnement]])</f>
        <v>0</v>
      </c>
      <c r="T2632" s="72"/>
      <c r="U2632" s="73"/>
      <c r="V2632" s="74">
        <f>Devis[[#This Row],[Prix de Revient]]*Devis[[#This Row],[Poste 1]]</f>
        <v>0</v>
      </c>
      <c r="W2632" s="74">
        <f>Devis[[#This Row],[Prix de Revient]]*Devis[[#This Row],[Poste 2]]</f>
        <v>0</v>
      </c>
      <c r="X2632" s="74">
        <f>Devis[[#This Row],[Prix de Revient]]*Devis[[#This Row],[Poste 3]]</f>
        <v>0</v>
      </c>
      <c r="Y2632" s="74">
        <f>Devis[[#This Row],[Poste 4]]*Devis[[#This Row],[Prix de Revient]]</f>
        <v>0</v>
      </c>
      <c r="Z2632" s="74">
        <f>Devis[[#This Row],[Poste 5]]*Devis[[#This Row],[Prix de Revient]]</f>
        <v>0</v>
      </c>
      <c r="AA2632" s="74">
        <f>Devis[[#This Row],[Prix de Revient]]*Devis[[#This Row],[Poste 6]]</f>
        <v>0</v>
      </c>
      <c r="AB2632" s="74">
        <f>Devis[[#This Row],[Quantité Totale]]*Devis[[#This Row],[Prix de Revient]]</f>
        <v>0</v>
      </c>
    </row>
    <row r="2633" spans="1:28" ht="14.25" customHeight="1" x14ac:dyDescent="0.25">
      <c r="A2633" s="65" t="s">
        <v>2526</v>
      </c>
      <c r="B2633" s="65" t="s">
        <v>2554</v>
      </c>
      <c r="C2633" s="76" t="s">
        <v>2554</v>
      </c>
      <c r="D2633" s="81" t="str">
        <f t="shared" si="45"/>
        <v>Raccord Acier à souderBrides plates à souderBrides plates à souder</v>
      </c>
      <c r="E2633" s="76"/>
      <c r="F2633" s="76">
        <v>0</v>
      </c>
      <c r="G2633" s="71"/>
      <c r="H2633" s="71"/>
      <c r="I2633" s="71"/>
      <c r="J2633" s="70">
        <f>IFERROR(VLOOKUP(Devis[[#This Row],[Ref Air Flux]],#REF!,3,FALSE),0)</f>
        <v>0</v>
      </c>
      <c r="K2633" s="68"/>
      <c r="L2633" s="68"/>
      <c r="M2633" s="68"/>
      <c r="N2633" s="68"/>
      <c r="O2633" s="68"/>
      <c r="P2633" s="68"/>
      <c r="Q2633" s="68">
        <f>SUM(Devis[[#This Row],[Poste 1]:[Poste 6]])</f>
        <v>0</v>
      </c>
      <c r="R2633" s="71"/>
      <c r="S2633" s="68">
        <f>_xlfn.CEILING.MATH(Devis[[#This Row],[Quantité Totale]],Devis[[#This Row],[Conditionnement]])</f>
        <v>0</v>
      </c>
      <c r="T2633" s="72"/>
      <c r="U2633" s="73"/>
      <c r="V2633" s="74">
        <f>Devis[[#This Row],[Prix de Revient]]*Devis[[#This Row],[Poste 1]]</f>
        <v>0</v>
      </c>
      <c r="W2633" s="74">
        <f>Devis[[#This Row],[Prix de Revient]]*Devis[[#This Row],[Poste 2]]</f>
        <v>0</v>
      </c>
      <c r="X2633" s="74">
        <f>Devis[[#This Row],[Prix de Revient]]*Devis[[#This Row],[Poste 3]]</f>
        <v>0</v>
      </c>
      <c r="Y2633" s="74">
        <f>Devis[[#This Row],[Poste 4]]*Devis[[#This Row],[Prix de Revient]]</f>
        <v>0</v>
      </c>
      <c r="Z2633" s="74">
        <f>Devis[[#This Row],[Poste 5]]*Devis[[#This Row],[Prix de Revient]]</f>
        <v>0</v>
      </c>
      <c r="AA2633" s="74">
        <f>Devis[[#This Row],[Prix de Revient]]*Devis[[#This Row],[Poste 6]]</f>
        <v>0</v>
      </c>
      <c r="AB2633" s="74">
        <f>Devis[[#This Row],[Quantité Totale]]*Devis[[#This Row],[Prix de Revient]]</f>
        <v>0</v>
      </c>
    </row>
    <row r="2634" spans="1:28" ht="14.25" outlineLevel="1" x14ac:dyDescent="0.2">
      <c r="A2634" s="75" t="s">
        <v>2526</v>
      </c>
      <c r="B2634" s="76" t="s">
        <v>2554</v>
      </c>
      <c r="C2634" s="76" t="s">
        <v>2554</v>
      </c>
      <c r="D2634" s="81" t="str">
        <f t="shared" si="45"/>
        <v>Raccord Acier à souderBrides plates à souderBrides plates à souder</v>
      </c>
      <c r="E2634" s="76" t="s">
        <v>2534</v>
      </c>
      <c r="F2634" s="76">
        <v>1</v>
      </c>
      <c r="G2634" s="71" t="s">
        <v>2555</v>
      </c>
      <c r="H2634" s="71"/>
      <c r="I2634" s="71"/>
      <c r="J2634" s="70">
        <f>IFERROR(VLOOKUP(Devis[[#This Row],[Ref Air Flux]],#REF!,3,FALSE),0)</f>
        <v>0</v>
      </c>
      <c r="K2634" s="68"/>
      <c r="L2634" s="68"/>
      <c r="M2634" s="68"/>
      <c r="N2634" s="68"/>
      <c r="O2634" s="68"/>
      <c r="P2634" s="68"/>
      <c r="Q2634" s="68">
        <f>SUM(Devis[[#This Row],[Poste 1]:[Poste 6]])</f>
        <v>0</v>
      </c>
      <c r="R2634" s="71"/>
      <c r="S2634" s="68">
        <f>_xlfn.CEILING.MATH(Devis[[#This Row],[Quantité Totale]],Devis[[#This Row],[Conditionnement]])</f>
        <v>0</v>
      </c>
      <c r="T2634" s="72"/>
      <c r="U2634" s="73"/>
      <c r="V2634" s="74">
        <f>Devis[[#This Row],[Prix de Revient]]*Devis[[#This Row],[Poste 1]]</f>
        <v>0</v>
      </c>
      <c r="W2634" s="74">
        <f>Devis[[#This Row],[Prix de Revient]]*Devis[[#This Row],[Poste 2]]</f>
        <v>0</v>
      </c>
      <c r="X2634" s="74">
        <f>Devis[[#This Row],[Prix de Revient]]*Devis[[#This Row],[Poste 3]]</f>
        <v>0</v>
      </c>
      <c r="Y2634" s="74">
        <f>Devis[[#This Row],[Poste 4]]*Devis[[#This Row],[Prix de Revient]]</f>
        <v>0</v>
      </c>
      <c r="Z2634" s="74">
        <f>Devis[[#This Row],[Poste 5]]*Devis[[#This Row],[Prix de Revient]]</f>
        <v>0</v>
      </c>
      <c r="AA2634" s="74">
        <f>Devis[[#This Row],[Prix de Revient]]*Devis[[#This Row],[Poste 6]]</f>
        <v>0</v>
      </c>
      <c r="AB2634" s="74">
        <f>Devis[[#This Row],[Quantité Totale]]*Devis[[#This Row],[Prix de Revient]]</f>
        <v>0</v>
      </c>
    </row>
    <row r="2635" spans="1:28" ht="14.25" outlineLevel="1" x14ac:dyDescent="0.2">
      <c r="A2635" s="75" t="s">
        <v>2526</v>
      </c>
      <c r="B2635" s="76" t="s">
        <v>2554</v>
      </c>
      <c r="C2635" s="76" t="s">
        <v>2554</v>
      </c>
      <c r="D2635" s="81" t="str">
        <f t="shared" si="45"/>
        <v>Raccord Acier à souderBrides plates à souderBrides plates à souder</v>
      </c>
      <c r="E2635" s="76" t="s">
        <v>2536</v>
      </c>
      <c r="F2635" s="76">
        <v>2</v>
      </c>
      <c r="G2635" s="71" t="s">
        <v>2556</v>
      </c>
      <c r="H2635" s="71"/>
      <c r="I2635" s="71"/>
      <c r="J2635" s="70">
        <f>IFERROR(VLOOKUP(Devis[[#This Row],[Ref Air Flux]],#REF!,3,FALSE),0)</f>
        <v>0</v>
      </c>
      <c r="K2635" s="68"/>
      <c r="L2635" s="68"/>
      <c r="M2635" s="68"/>
      <c r="N2635" s="68"/>
      <c r="O2635" s="68"/>
      <c r="P2635" s="68"/>
      <c r="Q2635" s="68">
        <f>SUM(Devis[[#This Row],[Poste 1]:[Poste 6]])</f>
        <v>0</v>
      </c>
      <c r="R2635" s="71"/>
      <c r="S2635" s="68">
        <f>_xlfn.CEILING.MATH(Devis[[#This Row],[Quantité Totale]],Devis[[#This Row],[Conditionnement]])</f>
        <v>0</v>
      </c>
      <c r="T2635" s="72"/>
      <c r="U2635" s="73"/>
      <c r="V2635" s="74">
        <f>Devis[[#This Row],[Prix de Revient]]*Devis[[#This Row],[Poste 1]]</f>
        <v>0</v>
      </c>
      <c r="W2635" s="74">
        <f>Devis[[#This Row],[Prix de Revient]]*Devis[[#This Row],[Poste 2]]</f>
        <v>0</v>
      </c>
      <c r="X2635" s="74">
        <f>Devis[[#This Row],[Prix de Revient]]*Devis[[#This Row],[Poste 3]]</f>
        <v>0</v>
      </c>
      <c r="Y2635" s="74">
        <f>Devis[[#This Row],[Poste 4]]*Devis[[#This Row],[Prix de Revient]]</f>
        <v>0</v>
      </c>
      <c r="Z2635" s="74">
        <f>Devis[[#This Row],[Poste 5]]*Devis[[#This Row],[Prix de Revient]]</f>
        <v>0</v>
      </c>
      <c r="AA2635" s="74">
        <f>Devis[[#This Row],[Prix de Revient]]*Devis[[#This Row],[Poste 6]]</f>
        <v>0</v>
      </c>
      <c r="AB2635" s="74">
        <f>Devis[[#This Row],[Quantité Totale]]*Devis[[#This Row],[Prix de Revient]]</f>
        <v>0</v>
      </c>
    </row>
    <row r="2636" spans="1:28" ht="14.25" outlineLevel="1" x14ac:dyDescent="0.2">
      <c r="A2636" s="75" t="s">
        <v>2526</v>
      </c>
      <c r="B2636" s="76" t="s">
        <v>2554</v>
      </c>
      <c r="C2636" s="76" t="s">
        <v>2554</v>
      </c>
      <c r="D2636" s="81" t="str">
        <f t="shared" si="45"/>
        <v>Raccord Acier à souderBrides plates à souderBrides plates à souder</v>
      </c>
      <c r="E2636" s="76" t="s">
        <v>2538</v>
      </c>
      <c r="F2636" s="76">
        <v>3</v>
      </c>
      <c r="G2636" s="71" t="s">
        <v>2557</v>
      </c>
      <c r="H2636" s="71"/>
      <c r="I2636" s="71"/>
      <c r="J2636" s="70">
        <f>IFERROR(VLOOKUP(Devis[[#This Row],[Ref Air Flux]],#REF!,3,FALSE),0)</f>
        <v>0</v>
      </c>
      <c r="K2636" s="68"/>
      <c r="L2636" s="68"/>
      <c r="M2636" s="68"/>
      <c r="N2636" s="68"/>
      <c r="O2636" s="68"/>
      <c r="P2636" s="68"/>
      <c r="Q2636" s="68">
        <f>SUM(Devis[[#This Row],[Poste 1]:[Poste 6]])</f>
        <v>0</v>
      </c>
      <c r="R2636" s="71"/>
      <c r="S2636" s="68">
        <f>_xlfn.CEILING.MATH(Devis[[#This Row],[Quantité Totale]],Devis[[#This Row],[Conditionnement]])</f>
        <v>0</v>
      </c>
      <c r="T2636" s="72"/>
      <c r="U2636" s="73"/>
      <c r="V2636" s="74">
        <f>Devis[[#This Row],[Prix de Revient]]*Devis[[#This Row],[Poste 1]]</f>
        <v>0</v>
      </c>
      <c r="W2636" s="74">
        <f>Devis[[#This Row],[Prix de Revient]]*Devis[[#This Row],[Poste 2]]</f>
        <v>0</v>
      </c>
      <c r="X2636" s="74">
        <f>Devis[[#This Row],[Prix de Revient]]*Devis[[#This Row],[Poste 3]]</f>
        <v>0</v>
      </c>
      <c r="Y2636" s="74">
        <f>Devis[[#This Row],[Poste 4]]*Devis[[#This Row],[Prix de Revient]]</f>
        <v>0</v>
      </c>
      <c r="Z2636" s="74">
        <f>Devis[[#This Row],[Poste 5]]*Devis[[#This Row],[Prix de Revient]]</f>
        <v>0</v>
      </c>
      <c r="AA2636" s="74">
        <f>Devis[[#This Row],[Prix de Revient]]*Devis[[#This Row],[Poste 6]]</f>
        <v>0</v>
      </c>
      <c r="AB2636" s="74">
        <f>Devis[[#This Row],[Quantité Totale]]*Devis[[#This Row],[Prix de Revient]]</f>
        <v>0</v>
      </c>
    </row>
    <row r="2637" spans="1:28" ht="14.25" outlineLevel="1" x14ac:dyDescent="0.2">
      <c r="A2637" s="75" t="s">
        <v>2526</v>
      </c>
      <c r="B2637" s="76" t="s">
        <v>2554</v>
      </c>
      <c r="C2637" s="76" t="s">
        <v>2554</v>
      </c>
      <c r="D2637" s="81" t="str">
        <f t="shared" si="45"/>
        <v>Raccord Acier à souderBrides plates à souderBrides plates à souder</v>
      </c>
      <c r="E2637" s="76" t="s">
        <v>2540</v>
      </c>
      <c r="F2637" s="76">
        <v>4</v>
      </c>
      <c r="G2637" s="71" t="s">
        <v>2558</v>
      </c>
      <c r="H2637" s="71"/>
      <c r="I2637" s="71"/>
      <c r="J2637" s="70">
        <f>IFERROR(VLOOKUP(Devis[[#This Row],[Ref Air Flux]],#REF!,3,FALSE),0)</f>
        <v>0</v>
      </c>
      <c r="K2637" s="68"/>
      <c r="L2637" s="68"/>
      <c r="M2637" s="68"/>
      <c r="N2637" s="68"/>
      <c r="O2637" s="68"/>
      <c r="P2637" s="68"/>
      <c r="Q2637" s="68">
        <f>SUM(Devis[[#This Row],[Poste 1]:[Poste 6]])</f>
        <v>0</v>
      </c>
      <c r="R2637" s="71"/>
      <c r="S2637" s="68">
        <f>_xlfn.CEILING.MATH(Devis[[#This Row],[Quantité Totale]],Devis[[#This Row],[Conditionnement]])</f>
        <v>0</v>
      </c>
      <c r="T2637" s="72"/>
      <c r="U2637" s="73"/>
      <c r="V2637" s="74">
        <f>Devis[[#This Row],[Prix de Revient]]*Devis[[#This Row],[Poste 1]]</f>
        <v>0</v>
      </c>
      <c r="W2637" s="74">
        <f>Devis[[#This Row],[Prix de Revient]]*Devis[[#This Row],[Poste 2]]</f>
        <v>0</v>
      </c>
      <c r="X2637" s="74">
        <f>Devis[[#This Row],[Prix de Revient]]*Devis[[#This Row],[Poste 3]]</f>
        <v>0</v>
      </c>
      <c r="Y2637" s="74">
        <f>Devis[[#This Row],[Poste 4]]*Devis[[#This Row],[Prix de Revient]]</f>
        <v>0</v>
      </c>
      <c r="Z2637" s="74">
        <f>Devis[[#This Row],[Poste 5]]*Devis[[#This Row],[Prix de Revient]]</f>
        <v>0</v>
      </c>
      <c r="AA2637" s="74">
        <f>Devis[[#This Row],[Prix de Revient]]*Devis[[#This Row],[Poste 6]]</f>
        <v>0</v>
      </c>
      <c r="AB2637" s="74">
        <f>Devis[[#This Row],[Quantité Totale]]*Devis[[#This Row],[Prix de Revient]]</f>
        <v>0</v>
      </c>
    </row>
    <row r="2638" spans="1:28" ht="14.25" outlineLevel="1" x14ac:dyDescent="0.2">
      <c r="A2638" s="75" t="s">
        <v>2526</v>
      </c>
      <c r="B2638" s="76" t="s">
        <v>2554</v>
      </c>
      <c r="C2638" s="76" t="s">
        <v>2554</v>
      </c>
      <c r="D2638" s="81" t="str">
        <f t="shared" si="45"/>
        <v>Raccord Acier à souderBrides plates à souderBrides plates à souder</v>
      </c>
      <c r="E2638" s="76" t="s">
        <v>2542</v>
      </c>
      <c r="F2638" s="76">
        <v>5</v>
      </c>
      <c r="G2638" s="71" t="s">
        <v>2559</v>
      </c>
      <c r="H2638" s="71"/>
      <c r="I2638" s="71"/>
      <c r="J2638" s="70">
        <f>IFERROR(VLOOKUP(Devis[[#This Row],[Ref Air Flux]],#REF!,3,FALSE),0)</f>
        <v>0</v>
      </c>
      <c r="K2638" s="68"/>
      <c r="L2638" s="68"/>
      <c r="M2638" s="68"/>
      <c r="N2638" s="68"/>
      <c r="O2638" s="68"/>
      <c r="P2638" s="68"/>
      <c r="Q2638" s="68">
        <f>SUM(Devis[[#This Row],[Poste 1]:[Poste 6]])</f>
        <v>0</v>
      </c>
      <c r="R2638" s="71"/>
      <c r="S2638" s="68">
        <f>_xlfn.CEILING.MATH(Devis[[#This Row],[Quantité Totale]],Devis[[#This Row],[Conditionnement]])</f>
        <v>0</v>
      </c>
      <c r="T2638" s="72"/>
      <c r="U2638" s="73"/>
      <c r="V2638" s="74">
        <f>Devis[[#This Row],[Prix de Revient]]*Devis[[#This Row],[Poste 1]]</f>
        <v>0</v>
      </c>
      <c r="W2638" s="74">
        <f>Devis[[#This Row],[Prix de Revient]]*Devis[[#This Row],[Poste 2]]</f>
        <v>0</v>
      </c>
      <c r="X2638" s="74">
        <f>Devis[[#This Row],[Prix de Revient]]*Devis[[#This Row],[Poste 3]]</f>
        <v>0</v>
      </c>
      <c r="Y2638" s="74">
        <f>Devis[[#This Row],[Poste 4]]*Devis[[#This Row],[Prix de Revient]]</f>
        <v>0</v>
      </c>
      <c r="Z2638" s="74">
        <f>Devis[[#This Row],[Poste 5]]*Devis[[#This Row],[Prix de Revient]]</f>
        <v>0</v>
      </c>
      <c r="AA2638" s="74">
        <f>Devis[[#This Row],[Prix de Revient]]*Devis[[#This Row],[Poste 6]]</f>
        <v>0</v>
      </c>
      <c r="AB2638" s="74">
        <f>Devis[[#This Row],[Quantité Totale]]*Devis[[#This Row],[Prix de Revient]]</f>
        <v>0</v>
      </c>
    </row>
    <row r="2639" spans="1:28" ht="14.25" customHeight="1" outlineLevel="1" x14ac:dyDescent="0.2">
      <c r="A2639" s="75" t="s">
        <v>2526</v>
      </c>
      <c r="B2639" s="76" t="s">
        <v>2554</v>
      </c>
      <c r="C2639" s="76" t="s">
        <v>2554</v>
      </c>
      <c r="D2639" s="81" t="str">
        <f t="shared" si="45"/>
        <v>Raccord Acier à souderBrides plates à souderBrides plates à souder</v>
      </c>
      <c r="E2639" s="76" t="s">
        <v>2544</v>
      </c>
      <c r="F2639" s="76">
        <v>6</v>
      </c>
      <c r="G2639" s="71" t="s">
        <v>2560</v>
      </c>
      <c r="H2639" s="71"/>
      <c r="I2639" s="71"/>
      <c r="J2639" s="70">
        <f>IFERROR(VLOOKUP(Devis[[#This Row],[Ref Air Flux]],#REF!,3,FALSE),0)</f>
        <v>0</v>
      </c>
      <c r="K2639" s="68"/>
      <c r="L2639" s="68"/>
      <c r="M2639" s="68"/>
      <c r="N2639" s="68"/>
      <c r="O2639" s="68"/>
      <c r="P2639" s="68"/>
      <c r="Q2639" s="68">
        <f>SUM(Devis[[#This Row],[Poste 1]:[Poste 6]])</f>
        <v>0</v>
      </c>
      <c r="R2639" s="71"/>
      <c r="S2639" s="68">
        <f>_xlfn.CEILING.MATH(Devis[[#This Row],[Quantité Totale]],Devis[[#This Row],[Conditionnement]])</f>
        <v>0</v>
      </c>
      <c r="T2639" s="72"/>
      <c r="U2639" s="73"/>
      <c r="V2639" s="74">
        <f>Devis[[#This Row],[Prix de Revient]]*Devis[[#This Row],[Poste 1]]</f>
        <v>0</v>
      </c>
      <c r="W2639" s="74">
        <f>Devis[[#This Row],[Prix de Revient]]*Devis[[#This Row],[Poste 2]]</f>
        <v>0</v>
      </c>
      <c r="X2639" s="74">
        <f>Devis[[#This Row],[Prix de Revient]]*Devis[[#This Row],[Poste 3]]</f>
        <v>0</v>
      </c>
      <c r="Y2639" s="74">
        <f>Devis[[#This Row],[Poste 4]]*Devis[[#This Row],[Prix de Revient]]</f>
        <v>0</v>
      </c>
      <c r="Z2639" s="74">
        <f>Devis[[#This Row],[Poste 5]]*Devis[[#This Row],[Prix de Revient]]</f>
        <v>0</v>
      </c>
      <c r="AA2639" s="74">
        <f>Devis[[#This Row],[Prix de Revient]]*Devis[[#This Row],[Poste 6]]</f>
        <v>0</v>
      </c>
      <c r="AB2639" s="74">
        <f>Devis[[#This Row],[Quantité Totale]]*Devis[[#This Row],[Prix de Revient]]</f>
        <v>0</v>
      </c>
    </row>
    <row r="2640" spans="1:28" ht="14.25" outlineLevel="1" x14ac:dyDescent="0.2">
      <c r="A2640" s="75" t="s">
        <v>2526</v>
      </c>
      <c r="B2640" s="76" t="s">
        <v>2554</v>
      </c>
      <c r="C2640" s="76" t="s">
        <v>2554</v>
      </c>
      <c r="D2640" s="81" t="str">
        <f t="shared" si="45"/>
        <v>Raccord Acier à souderBrides plates à souderBrides plates à souder</v>
      </c>
      <c r="E2640" s="76" t="s">
        <v>2546</v>
      </c>
      <c r="F2640" s="76">
        <v>7</v>
      </c>
      <c r="G2640" s="71" t="s">
        <v>5369</v>
      </c>
      <c r="H2640" s="71"/>
      <c r="I2640" s="71"/>
      <c r="J2640" s="70">
        <f>IFERROR(VLOOKUP(Devis[[#This Row],[Ref Air Flux]],#REF!,3,FALSE),0)</f>
        <v>0</v>
      </c>
      <c r="K2640" s="68"/>
      <c r="L2640" s="68"/>
      <c r="M2640" s="68"/>
      <c r="N2640" s="68"/>
      <c r="O2640" s="68"/>
      <c r="P2640" s="68"/>
      <c r="Q2640" s="68">
        <f>SUM(Devis[[#This Row],[Poste 1]:[Poste 6]])</f>
        <v>0</v>
      </c>
      <c r="R2640" s="71"/>
      <c r="S2640" s="68">
        <f>_xlfn.CEILING.MATH(Devis[[#This Row],[Quantité Totale]],Devis[[#This Row],[Conditionnement]])</f>
        <v>0</v>
      </c>
      <c r="T2640" s="72"/>
      <c r="U2640" s="73"/>
      <c r="V2640" s="74">
        <f>Devis[[#This Row],[Prix de Revient]]*Devis[[#This Row],[Poste 1]]</f>
        <v>0</v>
      </c>
      <c r="W2640" s="74">
        <f>Devis[[#This Row],[Prix de Revient]]*Devis[[#This Row],[Poste 2]]</f>
        <v>0</v>
      </c>
      <c r="X2640" s="74">
        <f>Devis[[#This Row],[Prix de Revient]]*Devis[[#This Row],[Poste 3]]</f>
        <v>0</v>
      </c>
      <c r="Y2640" s="74">
        <f>Devis[[#This Row],[Poste 4]]*Devis[[#This Row],[Prix de Revient]]</f>
        <v>0</v>
      </c>
      <c r="Z2640" s="74">
        <f>Devis[[#This Row],[Poste 5]]*Devis[[#This Row],[Prix de Revient]]</f>
        <v>0</v>
      </c>
      <c r="AA2640" s="74">
        <f>Devis[[#This Row],[Prix de Revient]]*Devis[[#This Row],[Poste 6]]</f>
        <v>0</v>
      </c>
      <c r="AB2640" s="74">
        <f>Devis[[#This Row],[Quantité Totale]]*Devis[[#This Row],[Prix de Revient]]</f>
        <v>0</v>
      </c>
    </row>
    <row r="2641" spans="1:28" ht="14.25" outlineLevel="1" x14ac:dyDescent="0.2">
      <c r="A2641" s="75" t="s">
        <v>2526</v>
      </c>
      <c r="B2641" s="76" t="s">
        <v>2554</v>
      </c>
      <c r="C2641" s="76" t="s">
        <v>2554</v>
      </c>
      <c r="D2641" s="81" t="str">
        <f t="shared" si="45"/>
        <v>Raccord Acier à souderBrides plates à souderBrides plates à souder</v>
      </c>
      <c r="E2641" s="76" t="s">
        <v>5370</v>
      </c>
      <c r="F2641" s="76">
        <v>8</v>
      </c>
      <c r="G2641" s="71" t="s">
        <v>5371</v>
      </c>
      <c r="H2641" s="71"/>
      <c r="I2641" s="71"/>
      <c r="J2641" s="70">
        <f>IFERROR(VLOOKUP(Devis[[#This Row],[Ref Air Flux]],#REF!,3,FALSE),0)</f>
        <v>0</v>
      </c>
      <c r="K2641" s="68"/>
      <c r="L2641" s="68"/>
      <c r="M2641" s="68"/>
      <c r="N2641" s="68"/>
      <c r="O2641" s="68"/>
      <c r="P2641" s="68"/>
      <c r="Q2641" s="68">
        <f>SUM(Devis[[#This Row],[Poste 1]:[Poste 6]])</f>
        <v>0</v>
      </c>
      <c r="R2641" s="71"/>
      <c r="S2641" s="68">
        <f>_xlfn.CEILING.MATH(Devis[[#This Row],[Quantité Totale]],Devis[[#This Row],[Conditionnement]])</f>
        <v>0</v>
      </c>
      <c r="T2641" s="72"/>
      <c r="U2641" s="73"/>
      <c r="V2641" s="74">
        <f>Devis[[#This Row],[Prix de Revient]]*Devis[[#This Row],[Poste 1]]</f>
        <v>0</v>
      </c>
      <c r="W2641" s="74">
        <f>Devis[[#This Row],[Prix de Revient]]*Devis[[#This Row],[Poste 2]]</f>
        <v>0</v>
      </c>
      <c r="X2641" s="74">
        <f>Devis[[#This Row],[Prix de Revient]]*Devis[[#This Row],[Poste 3]]</f>
        <v>0</v>
      </c>
      <c r="Y2641" s="74">
        <f>Devis[[#This Row],[Poste 4]]*Devis[[#This Row],[Prix de Revient]]</f>
        <v>0</v>
      </c>
      <c r="Z2641" s="74">
        <f>Devis[[#This Row],[Poste 5]]*Devis[[#This Row],[Prix de Revient]]</f>
        <v>0</v>
      </c>
      <c r="AA2641" s="74">
        <f>Devis[[#This Row],[Prix de Revient]]*Devis[[#This Row],[Poste 6]]</f>
        <v>0</v>
      </c>
      <c r="AB2641" s="74">
        <f>Devis[[#This Row],[Quantité Totale]]*Devis[[#This Row],[Prix de Revient]]</f>
        <v>0</v>
      </c>
    </row>
    <row r="2642" spans="1:28" ht="14.25" customHeight="1" x14ac:dyDescent="0.25">
      <c r="A2642" s="65" t="s">
        <v>2526</v>
      </c>
      <c r="B2642" s="65" t="s">
        <v>2561</v>
      </c>
      <c r="C2642" s="76" t="s">
        <v>2561</v>
      </c>
      <c r="D2642" s="81" t="str">
        <f t="shared" si="45"/>
        <v>Raccord Acier à souderCoudes à souder 3D galvaCoudes à souder 3D galva</v>
      </c>
      <c r="E2642" s="76"/>
      <c r="F2642" s="76">
        <v>0</v>
      </c>
      <c r="G2642" s="71"/>
      <c r="H2642" s="71"/>
      <c r="I2642" s="71"/>
      <c r="J2642" s="70">
        <f>IFERROR(VLOOKUP(Devis[[#This Row],[Ref Air Flux]],#REF!,3,FALSE),0)</f>
        <v>0</v>
      </c>
      <c r="K2642" s="68"/>
      <c r="L2642" s="68"/>
      <c r="M2642" s="68"/>
      <c r="N2642" s="68"/>
      <c r="O2642" s="68"/>
      <c r="P2642" s="68"/>
      <c r="Q2642" s="68">
        <f>SUM(Devis[[#This Row],[Poste 1]:[Poste 6]])</f>
        <v>0</v>
      </c>
      <c r="R2642" s="71"/>
      <c r="S2642" s="68">
        <f>_xlfn.CEILING.MATH(Devis[[#This Row],[Quantité Totale]],Devis[[#This Row],[Conditionnement]])</f>
        <v>0</v>
      </c>
      <c r="T2642" s="72"/>
      <c r="U2642" s="73"/>
      <c r="V2642" s="74">
        <f>Devis[[#This Row],[Prix de Revient]]*Devis[[#This Row],[Poste 1]]</f>
        <v>0</v>
      </c>
      <c r="W2642" s="74">
        <f>Devis[[#This Row],[Prix de Revient]]*Devis[[#This Row],[Poste 2]]</f>
        <v>0</v>
      </c>
      <c r="X2642" s="74">
        <f>Devis[[#This Row],[Prix de Revient]]*Devis[[#This Row],[Poste 3]]</f>
        <v>0</v>
      </c>
      <c r="Y2642" s="74">
        <f>Devis[[#This Row],[Poste 4]]*Devis[[#This Row],[Prix de Revient]]</f>
        <v>0</v>
      </c>
      <c r="Z2642" s="74">
        <f>Devis[[#This Row],[Poste 5]]*Devis[[#This Row],[Prix de Revient]]</f>
        <v>0</v>
      </c>
      <c r="AA2642" s="74">
        <f>Devis[[#This Row],[Prix de Revient]]*Devis[[#This Row],[Poste 6]]</f>
        <v>0</v>
      </c>
      <c r="AB2642" s="74">
        <f>Devis[[#This Row],[Quantité Totale]]*Devis[[#This Row],[Prix de Revient]]</f>
        <v>0</v>
      </c>
    </row>
    <row r="2643" spans="1:28" ht="14.25" outlineLevel="1" x14ac:dyDescent="0.2">
      <c r="A2643" s="75" t="s">
        <v>2526</v>
      </c>
      <c r="B2643" s="76" t="s">
        <v>2561</v>
      </c>
      <c r="C2643" s="76" t="s">
        <v>2561</v>
      </c>
      <c r="D2643" s="81" t="str">
        <f t="shared" si="45"/>
        <v>Raccord Acier à souderCoudes à souder 3D galvaCoudes à souder 3D galva</v>
      </c>
      <c r="E2643" s="76" t="s">
        <v>20</v>
      </c>
      <c r="F2643" s="76">
        <v>1</v>
      </c>
      <c r="G2643" s="71" t="s">
        <v>5372</v>
      </c>
      <c r="H2643" s="71"/>
      <c r="I2643" s="71"/>
      <c r="J2643" s="70">
        <f>IFERROR(VLOOKUP(Devis[[#This Row],[Ref Air Flux]],#REF!,3,FALSE),0)</f>
        <v>0</v>
      </c>
      <c r="K2643" s="68"/>
      <c r="L2643" s="68"/>
      <c r="M2643" s="68"/>
      <c r="N2643" s="68"/>
      <c r="O2643" s="68"/>
      <c r="P2643" s="68"/>
      <c r="Q2643" s="68">
        <f>SUM(Devis[[#This Row],[Poste 1]:[Poste 6]])</f>
        <v>0</v>
      </c>
      <c r="R2643" s="71"/>
      <c r="S2643" s="68">
        <f>_xlfn.CEILING.MATH(Devis[[#This Row],[Quantité Totale]],Devis[[#This Row],[Conditionnement]])</f>
        <v>0</v>
      </c>
      <c r="T2643" s="72"/>
      <c r="U2643" s="73"/>
      <c r="V2643" s="74">
        <f>Devis[[#This Row],[Prix de Revient]]*Devis[[#This Row],[Poste 1]]</f>
        <v>0</v>
      </c>
      <c r="W2643" s="74">
        <f>Devis[[#This Row],[Prix de Revient]]*Devis[[#This Row],[Poste 2]]</f>
        <v>0</v>
      </c>
      <c r="X2643" s="74">
        <f>Devis[[#This Row],[Prix de Revient]]*Devis[[#This Row],[Poste 3]]</f>
        <v>0</v>
      </c>
      <c r="Y2643" s="74">
        <f>Devis[[#This Row],[Poste 4]]*Devis[[#This Row],[Prix de Revient]]</f>
        <v>0</v>
      </c>
      <c r="Z2643" s="74">
        <f>Devis[[#This Row],[Poste 5]]*Devis[[#This Row],[Prix de Revient]]</f>
        <v>0</v>
      </c>
      <c r="AA2643" s="74">
        <f>Devis[[#This Row],[Prix de Revient]]*Devis[[#This Row],[Poste 6]]</f>
        <v>0</v>
      </c>
      <c r="AB2643" s="74">
        <f>Devis[[#This Row],[Quantité Totale]]*Devis[[#This Row],[Prix de Revient]]</f>
        <v>0</v>
      </c>
    </row>
    <row r="2644" spans="1:28" ht="14.25" customHeight="1" outlineLevel="1" x14ac:dyDescent="0.2">
      <c r="A2644" s="75" t="s">
        <v>2526</v>
      </c>
      <c r="B2644" s="76" t="s">
        <v>2561</v>
      </c>
      <c r="C2644" s="76" t="s">
        <v>2561</v>
      </c>
      <c r="D2644" s="81" t="str">
        <f t="shared" si="45"/>
        <v>Raccord Acier à souderCoudes à souder 3D galvaCoudes à souder 3D galva</v>
      </c>
      <c r="E2644" s="76" t="s">
        <v>0</v>
      </c>
      <c r="F2644" s="76">
        <v>2</v>
      </c>
      <c r="G2644" s="71" t="s">
        <v>2562</v>
      </c>
      <c r="H2644" s="71"/>
      <c r="I2644" s="71"/>
      <c r="J2644" s="70">
        <f>IFERROR(VLOOKUP(Devis[[#This Row],[Ref Air Flux]],#REF!,3,FALSE),0)</f>
        <v>0</v>
      </c>
      <c r="K2644" s="68"/>
      <c r="L2644" s="68"/>
      <c r="M2644" s="68"/>
      <c r="N2644" s="68"/>
      <c r="O2644" s="68"/>
      <c r="P2644" s="68"/>
      <c r="Q2644" s="68">
        <f>SUM(Devis[[#This Row],[Poste 1]:[Poste 6]])</f>
        <v>0</v>
      </c>
      <c r="R2644" s="71"/>
      <c r="S2644" s="68">
        <f>_xlfn.CEILING.MATH(Devis[[#This Row],[Quantité Totale]],Devis[[#This Row],[Conditionnement]])</f>
        <v>0</v>
      </c>
      <c r="T2644" s="72"/>
      <c r="U2644" s="73"/>
      <c r="V2644" s="74">
        <f>Devis[[#This Row],[Prix de Revient]]*Devis[[#This Row],[Poste 1]]</f>
        <v>0</v>
      </c>
      <c r="W2644" s="74">
        <f>Devis[[#This Row],[Prix de Revient]]*Devis[[#This Row],[Poste 2]]</f>
        <v>0</v>
      </c>
      <c r="X2644" s="74">
        <f>Devis[[#This Row],[Prix de Revient]]*Devis[[#This Row],[Poste 3]]</f>
        <v>0</v>
      </c>
      <c r="Y2644" s="74">
        <f>Devis[[#This Row],[Poste 4]]*Devis[[#This Row],[Prix de Revient]]</f>
        <v>0</v>
      </c>
      <c r="Z2644" s="74">
        <f>Devis[[#This Row],[Poste 5]]*Devis[[#This Row],[Prix de Revient]]</f>
        <v>0</v>
      </c>
      <c r="AA2644" s="74">
        <f>Devis[[#This Row],[Prix de Revient]]*Devis[[#This Row],[Poste 6]]</f>
        <v>0</v>
      </c>
      <c r="AB2644" s="74">
        <f>Devis[[#This Row],[Quantité Totale]]*Devis[[#This Row],[Prix de Revient]]</f>
        <v>0</v>
      </c>
    </row>
    <row r="2645" spans="1:28" ht="14.25" outlineLevel="1" x14ac:dyDescent="0.2">
      <c r="A2645" s="75" t="s">
        <v>2526</v>
      </c>
      <c r="B2645" s="76" t="s">
        <v>2561</v>
      </c>
      <c r="C2645" s="76" t="s">
        <v>2561</v>
      </c>
      <c r="D2645" s="81" t="str">
        <f t="shared" si="45"/>
        <v>Raccord Acier à souderCoudes à souder 3D galvaCoudes à souder 3D galva</v>
      </c>
      <c r="E2645" s="76" t="s">
        <v>49</v>
      </c>
      <c r="F2645" s="76">
        <v>3</v>
      </c>
      <c r="G2645" s="71" t="s">
        <v>2563</v>
      </c>
      <c r="H2645" s="71"/>
      <c r="I2645" s="71"/>
      <c r="J2645" s="70">
        <f>IFERROR(VLOOKUP(Devis[[#This Row],[Ref Air Flux]],#REF!,3,FALSE),0)</f>
        <v>0</v>
      </c>
      <c r="K2645" s="68"/>
      <c r="L2645" s="68"/>
      <c r="M2645" s="68"/>
      <c r="N2645" s="68"/>
      <c r="O2645" s="68"/>
      <c r="P2645" s="68"/>
      <c r="Q2645" s="68">
        <f>SUM(Devis[[#This Row],[Poste 1]:[Poste 6]])</f>
        <v>0</v>
      </c>
      <c r="R2645" s="71"/>
      <c r="S2645" s="68">
        <f>_xlfn.CEILING.MATH(Devis[[#This Row],[Quantité Totale]],Devis[[#This Row],[Conditionnement]])</f>
        <v>0</v>
      </c>
      <c r="T2645" s="72"/>
      <c r="U2645" s="73"/>
      <c r="V2645" s="74">
        <f>Devis[[#This Row],[Prix de Revient]]*Devis[[#This Row],[Poste 1]]</f>
        <v>0</v>
      </c>
      <c r="W2645" s="74">
        <f>Devis[[#This Row],[Prix de Revient]]*Devis[[#This Row],[Poste 2]]</f>
        <v>0</v>
      </c>
      <c r="X2645" s="74">
        <f>Devis[[#This Row],[Prix de Revient]]*Devis[[#This Row],[Poste 3]]</f>
        <v>0</v>
      </c>
      <c r="Y2645" s="74">
        <f>Devis[[#This Row],[Poste 4]]*Devis[[#This Row],[Prix de Revient]]</f>
        <v>0</v>
      </c>
      <c r="Z2645" s="74">
        <f>Devis[[#This Row],[Poste 5]]*Devis[[#This Row],[Prix de Revient]]</f>
        <v>0</v>
      </c>
      <c r="AA2645" s="74">
        <f>Devis[[#This Row],[Prix de Revient]]*Devis[[#This Row],[Poste 6]]</f>
        <v>0</v>
      </c>
      <c r="AB2645" s="74">
        <f>Devis[[#This Row],[Quantité Totale]]*Devis[[#This Row],[Prix de Revient]]</f>
        <v>0</v>
      </c>
    </row>
    <row r="2646" spans="1:28" ht="14.25" outlineLevel="1" x14ac:dyDescent="0.2">
      <c r="A2646" s="75" t="s">
        <v>2526</v>
      </c>
      <c r="B2646" s="76" t="s">
        <v>2561</v>
      </c>
      <c r="C2646" s="76" t="s">
        <v>2561</v>
      </c>
      <c r="D2646" s="81" t="str">
        <f t="shared" si="45"/>
        <v>Raccord Acier à souderCoudes à souder 3D galvaCoudes à souder 3D galva</v>
      </c>
      <c r="E2646" s="76" t="s">
        <v>22</v>
      </c>
      <c r="F2646" s="76">
        <v>4</v>
      </c>
      <c r="G2646" s="71" t="s">
        <v>2564</v>
      </c>
      <c r="H2646" s="71"/>
      <c r="I2646" s="71"/>
      <c r="J2646" s="70">
        <f>IFERROR(VLOOKUP(Devis[[#This Row],[Ref Air Flux]],#REF!,3,FALSE),0)</f>
        <v>0</v>
      </c>
      <c r="K2646" s="68"/>
      <c r="L2646" s="68"/>
      <c r="M2646" s="68"/>
      <c r="N2646" s="68"/>
      <c r="O2646" s="68"/>
      <c r="P2646" s="68"/>
      <c r="Q2646" s="68">
        <f>SUM(Devis[[#This Row],[Poste 1]:[Poste 6]])</f>
        <v>0</v>
      </c>
      <c r="R2646" s="71"/>
      <c r="S2646" s="68">
        <f>_xlfn.CEILING.MATH(Devis[[#This Row],[Quantité Totale]],Devis[[#This Row],[Conditionnement]])</f>
        <v>0</v>
      </c>
      <c r="T2646" s="72"/>
      <c r="U2646" s="73"/>
      <c r="V2646" s="74">
        <f>Devis[[#This Row],[Prix de Revient]]*Devis[[#This Row],[Poste 1]]</f>
        <v>0</v>
      </c>
      <c r="W2646" s="74">
        <f>Devis[[#This Row],[Prix de Revient]]*Devis[[#This Row],[Poste 2]]</f>
        <v>0</v>
      </c>
      <c r="X2646" s="74">
        <f>Devis[[#This Row],[Prix de Revient]]*Devis[[#This Row],[Poste 3]]</f>
        <v>0</v>
      </c>
      <c r="Y2646" s="74">
        <f>Devis[[#This Row],[Poste 4]]*Devis[[#This Row],[Prix de Revient]]</f>
        <v>0</v>
      </c>
      <c r="Z2646" s="74">
        <f>Devis[[#This Row],[Poste 5]]*Devis[[#This Row],[Prix de Revient]]</f>
        <v>0</v>
      </c>
      <c r="AA2646" s="74">
        <f>Devis[[#This Row],[Prix de Revient]]*Devis[[#This Row],[Poste 6]]</f>
        <v>0</v>
      </c>
      <c r="AB2646" s="74">
        <f>Devis[[#This Row],[Quantité Totale]]*Devis[[#This Row],[Prix de Revient]]</f>
        <v>0</v>
      </c>
    </row>
    <row r="2647" spans="1:28" ht="14.25" customHeight="1" outlineLevel="1" x14ac:dyDescent="0.2">
      <c r="A2647" s="75" t="s">
        <v>2526</v>
      </c>
      <c r="B2647" s="76" t="s">
        <v>2561</v>
      </c>
      <c r="C2647" s="76" t="s">
        <v>2561</v>
      </c>
      <c r="D2647" s="81" t="str">
        <f t="shared" si="45"/>
        <v>Raccord Acier à souderCoudes à souder 3D galvaCoudes à souder 3D galva</v>
      </c>
      <c r="E2647" s="76" t="s">
        <v>25</v>
      </c>
      <c r="F2647" s="76">
        <v>5</v>
      </c>
      <c r="G2647" s="71" t="s">
        <v>2565</v>
      </c>
      <c r="H2647" s="71"/>
      <c r="I2647" s="71"/>
      <c r="J2647" s="70">
        <f>IFERROR(VLOOKUP(Devis[[#This Row],[Ref Air Flux]],#REF!,3,FALSE),0)</f>
        <v>0</v>
      </c>
      <c r="K2647" s="68"/>
      <c r="L2647" s="68"/>
      <c r="M2647" s="68"/>
      <c r="N2647" s="68"/>
      <c r="O2647" s="68"/>
      <c r="P2647" s="68"/>
      <c r="Q2647" s="68">
        <f>SUM(Devis[[#This Row],[Poste 1]:[Poste 6]])</f>
        <v>0</v>
      </c>
      <c r="R2647" s="71"/>
      <c r="S2647" s="68">
        <f>_xlfn.CEILING.MATH(Devis[[#This Row],[Quantité Totale]],Devis[[#This Row],[Conditionnement]])</f>
        <v>0</v>
      </c>
      <c r="T2647" s="72"/>
      <c r="U2647" s="73"/>
      <c r="V2647" s="74">
        <f>Devis[[#This Row],[Prix de Revient]]*Devis[[#This Row],[Poste 1]]</f>
        <v>0</v>
      </c>
      <c r="W2647" s="74">
        <f>Devis[[#This Row],[Prix de Revient]]*Devis[[#This Row],[Poste 2]]</f>
        <v>0</v>
      </c>
      <c r="X2647" s="74">
        <f>Devis[[#This Row],[Prix de Revient]]*Devis[[#This Row],[Poste 3]]</f>
        <v>0</v>
      </c>
      <c r="Y2647" s="74">
        <f>Devis[[#This Row],[Poste 4]]*Devis[[#This Row],[Prix de Revient]]</f>
        <v>0</v>
      </c>
      <c r="Z2647" s="74">
        <f>Devis[[#This Row],[Poste 5]]*Devis[[#This Row],[Prix de Revient]]</f>
        <v>0</v>
      </c>
      <c r="AA2647" s="74">
        <f>Devis[[#This Row],[Prix de Revient]]*Devis[[#This Row],[Poste 6]]</f>
        <v>0</v>
      </c>
      <c r="AB2647" s="74">
        <f>Devis[[#This Row],[Quantité Totale]]*Devis[[#This Row],[Prix de Revient]]</f>
        <v>0</v>
      </c>
    </row>
    <row r="2648" spans="1:28" ht="14.25" customHeight="1" x14ac:dyDescent="0.25">
      <c r="A2648" s="65" t="s">
        <v>2526</v>
      </c>
      <c r="B2648" s="65" t="s">
        <v>2566</v>
      </c>
      <c r="C2648" s="76" t="s">
        <v>2566</v>
      </c>
      <c r="D2648" s="81" t="str">
        <f t="shared" si="45"/>
        <v>Raccord Acier à souderCoudes à souder 3D noirCoudes à souder 3D noir</v>
      </c>
      <c r="E2648" s="76"/>
      <c r="F2648" s="76">
        <v>0</v>
      </c>
      <c r="G2648" s="71"/>
      <c r="H2648" s="71"/>
      <c r="I2648" s="71"/>
      <c r="J2648" s="70">
        <f>IFERROR(VLOOKUP(Devis[[#This Row],[Ref Air Flux]],#REF!,3,FALSE),0)</f>
        <v>0</v>
      </c>
      <c r="K2648" s="68"/>
      <c r="L2648" s="68"/>
      <c r="M2648" s="68"/>
      <c r="N2648" s="68"/>
      <c r="O2648" s="68"/>
      <c r="P2648" s="68"/>
      <c r="Q2648" s="68">
        <f>SUM(Devis[[#This Row],[Poste 1]:[Poste 6]])</f>
        <v>0</v>
      </c>
      <c r="R2648" s="71"/>
      <c r="S2648" s="68">
        <f>_xlfn.CEILING.MATH(Devis[[#This Row],[Quantité Totale]],Devis[[#This Row],[Conditionnement]])</f>
        <v>0</v>
      </c>
      <c r="T2648" s="72"/>
      <c r="U2648" s="73"/>
      <c r="V2648" s="74">
        <f>Devis[[#This Row],[Prix de Revient]]*Devis[[#This Row],[Poste 1]]</f>
        <v>0</v>
      </c>
      <c r="W2648" s="74">
        <f>Devis[[#This Row],[Prix de Revient]]*Devis[[#This Row],[Poste 2]]</f>
        <v>0</v>
      </c>
      <c r="X2648" s="74">
        <f>Devis[[#This Row],[Prix de Revient]]*Devis[[#This Row],[Poste 3]]</f>
        <v>0</v>
      </c>
      <c r="Y2648" s="74">
        <f>Devis[[#This Row],[Poste 4]]*Devis[[#This Row],[Prix de Revient]]</f>
        <v>0</v>
      </c>
      <c r="Z2648" s="74">
        <f>Devis[[#This Row],[Poste 5]]*Devis[[#This Row],[Prix de Revient]]</f>
        <v>0</v>
      </c>
      <c r="AA2648" s="74">
        <f>Devis[[#This Row],[Prix de Revient]]*Devis[[#This Row],[Poste 6]]</f>
        <v>0</v>
      </c>
      <c r="AB2648" s="74">
        <f>Devis[[#This Row],[Quantité Totale]]*Devis[[#This Row],[Prix de Revient]]</f>
        <v>0</v>
      </c>
    </row>
    <row r="2649" spans="1:28" ht="14.25" customHeight="1" outlineLevel="1" x14ac:dyDescent="0.2">
      <c r="A2649" s="75" t="s">
        <v>2526</v>
      </c>
      <c r="B2649" s="76" t="s">
        <v>2566</v>
      </c>
      <c r="C2649" s="76" t="s">
        <v>2566</v>
      </c>
      <c r="D2649" s="81" t="str">
        <f t="shared" si="45"/>
        <v>Raccord Acier à souderCoudes à souder 3D noirCoudes à souder 3D noir</v>
      </c>
      <c r="E2649" s="76" t="s">
        <v>21</v>
      </c>
      <c r="F2649" s="76">
        <v>1</v>
      </c>
      <c r="G2649" s="71" t="s">
        <v>5373</v>
      </c>
      <c r="H2649" s="71"/>
      <c r="I2649" s="71"/>
      <c r="J2649" s="70">
        <f>IFERROR(VLOOKUP(Devis[[#This Row],[Ref Air Flux]],#REF!,3,FALSE),0)</f>
        <v>0</v>
      </c>
      <c r="K2649" s="68"/>
      <c r="L2649" s="68"/>
      <c r="M2649" s="68"/>
      <c r="N2649" s="68"/>
      <c r="O2649" s="68"/>
      <c r="P2649" s="68"/>
      <c r="Q2649" s="68">
        <f>SUM(Devis[[#This Row],[Poste 1]:[Poste 6]])</f>
        <v>0</v>
      </c>
      <c r="R2649" s="71"/>
      <c r="S2649" s="68">
        <f>_xlfn.CEILING.MATH(Devis[[#This Row],[Quantité Totale]],Devis[[#This Row],[Conditionnement]])</f>
        <v>0</v>
      </c>
      <c r="T2649" s="72"/>
      <c r="U2649" s="73"/>
      <c r="V2649" s="74">
        <f>Devis[[#This Row],[Prix de Revient]]*Devis[[#This Row],[Poste 1]]</f>
        <v>0</v>
      </c>
      <c r="W2649" s="74">
        <f>Devis[[#This Row],[Prix de Revient]]*Devis[[#This Row],[Poste 2]]</f>
        <v>0</v>
      </c>
      <c r="X2649" s="74">
        <f>Devis[[#This Row],[Prix de Revient]]*Devis[[#This Row],[Poste 3]]</f>
        <v>0</v>
      </c>
      <c r="Y2649" s="74">
        <f>Devis[[#This Row],[Poste 4]]*Devis[[#This Row],[Prix de Revient]]</f>
        <v>0</v>
      </c>
      <c r="Z2649" s="74">
        <f>Devis[[#This Row],[Poste 5]]*Devis[[#This Row],[Prix de Revient]]</f>
        <v>0</v>
      </c>
      <c r="AA2649" s="74">
        <f>Devis[[#This Row],[Prix de Revient]]*Devis[[#This Row],[Poste 6]]</f>
        <v>0</v>
      </c>
      <c r="AB2649" s="74">
        <f>Devis[[#This Row],[Quantité Totale]]*Devis[[#This Row],[Prix de Revient]]</f>
        <v>0</v>
      </c>
    </row>
    <row r="2650" spans="1:28" ht="15" customHeight="1" outlineLevel="1" x14ac:dyDescent="0.2">
      <c r="A2650" s="75" t="s">
        <v>2526</v>
      </c>
      <c r="B2650" s="76" t="s">
        <v>2566</v>
      </c>
      <c r="C2650" s="76" t="s">
        <v>2566</v>
      </c>
      <c r="D2650" s="81" t="str">
        <f t="shared" si="45"/>
        <v>Raccord Acier à souderCoudes à souder 3D noirCoudes à souder 3D noir</v>
      </c>
      <c r="E2650" s="76" t="s">
        <v>0</v>
      </c>
      <c r="F2650" s="76">
        <v>2</v>
      </c>
      <c r="G2650" s="71" t="s">
        <v>2567</v>
      </c>
      <c r="H2650" s="71"/>
      <c r="I2650" s="71"/>
      <c r="J2650" s="70">
        <f>IFERROR(VLOOKUP(Devis[[#This Row],[Ref Air Flux]],#REF!,3,FALSE),0)</f>
        <v>0</v>
      </c>
      <c r="K2650" s="68"/>
      <c r="L2650" s="68"/>
      <c r="M2650" s="68"/>
      <c r="N2650" s="68"/>
      <c r="O2650" s="68"/>
      <c r="P2650" s="68"/>
      <c r="Q2650" s="68">
        <f>SUM(Devis[[#This Row],[Poste 1]:[Poste 6]])</f>
        <v>0</v>
      </c>
      <c r="R2650" s="71"/>
      <c r="S2650" s="68">
        <f>_xlfn.CEILING.MATH(Devis[[#This Row],[Quantité Totale]],Devis[[#This Row],[Conditionnement]])</f>
        <v>0</v>
      </c>
      <c r="T2650" s="72"/>
      <c r="U2650" s="73"/>
      <c r="V2650" s="74">
        <f>Devis[[#This Row],[Prix de Revient]]*Devis[[#This Row],[Poste 1]]</f>
        <v>0</v>
      </c>
      <c r="W2650" s="74">
        <f>Devis[[#This Row],[Prix de Revient]]*Devis[[#This Row],[Poste 2]]</f>
        <v>0</v>
      </c>
      <c r="X2650" s="74">
        <f>Devis[[#This Row],[Prix de Revient]]*Devis[[#This Row],[Poste 3]]</f>
        <v>0</v>
      </c>
      <c r="Y2650" s="74">
        <f>Devis[[#This Row],[Poste 4]]*Devis[[#This Row],[Prix de Revient]]</f>
        <v>0</v>
      </c>
      <c r="Z2650" s="74">
        <f>Devis[[#This Row],[Poste 5]]*Devis[[#This Row],[Prix de Revient]]</f>
        <v>0</v>
      </c>
      <c r="AA2650" s="74">
        <f>Devis[[#This Row],[Prix de Revient]]*Devis[[#This Row],[Poste 6]]</f>
        <v>0</v>
      </c>
      <c r="AB2650" s="74">
        <f>Devis[[#This Row],[Quantité Totale]]*Devis[[#This Row],[Prix de Revient]]</f>
        <v>0</v>
      </c>
    </row>
    <row r="2651" spans="1:28" ht="14.25" outlineLevel="1" x14ac:dyDescent="0.2">
      <c r="A2651" s="75" t="s">
        <v>2526</v>
      </c>
      <c r="B2651" s="76" t="s">
        <v>2566</v>
      </c>
      <c r="C2651" s="76" t="s">
        <v>2566</v>
      </c>
      <c r="D2651" s="81" t="str">
        <f t="shared" si="45"/>
        <v>Raccord Acier à souderCoudes à souder 3D noirCoudes à souder 3D noir</v>
      </c>
      <c r="E2651" s="76" t="s">
        <v>49</v>
      </c>
      <c r="F2651" s="76">
        <v>3</v>
      </c>
      <c r="G2651" s="71" t="s">
        <v>2568</v>
      </c>
      <c r="H2651" s="71"/>
      <c r="I2651" s="71"/>
      <c r="J2651" s="70">
        <f>IFERROR(VLOOKUP(Devis[[#This Row],[Ref Air Flux]],#REF!,3,FALSE),0)</f>
        <v>0</v>
      </c>
      <c r="K2651" s="68"/>
      <c r="L2651" s="68"/>
      <c r="M2651" s="68"/>
      <c r="N2651" s="68"/>
      <c r="O2651" s="68"/>
      <c r="P2651" s="68"/>
      <c r="Q2651" s="68">
        <f>SUM(Devis[[#This Row],[Poste 1]:[Poste 6]])</f>
        <v>0</v>
      </c>
      <c r="R2651" s="71"/>
      <c r="S2651" s="68">
        <f>_xlfn.CEILING.MATH(Devis[[#This Row],[Quantité Totale]],Devis[[#This Row],[Conditionnement]])</f>
        <v>0</v>
      </c>
      <c r="T2651" s="72"/>
      <c r="U2651" s="73"/>
      <c r="V2651" s="74">
        <f>Devis[[#This Row],[Prix de Revient]]*Devis[[#This Row],[Poste 1]]</f>
        <v>0</v>
      </c>
      <c r="W2651" s="74">
        <f>Devis[[#This Row],[Prix de Revient]]*Devis[[#This Row],[Poste 2]]</f>
        <v>0</v>
      </c>
      <c r="X2651" s="74">
        <f>Devis[[#This Row],[Prix de Revient]]*Devis[[#This Row],[Poste 3]]</f>
        <v>0</v>
      </c>
      <c r="Y2651" s="74">
        <f>Devis[[#This Row],[Poste 4]]*Devis[[#This Row],[Prix de Revient]]</f>
        <v>0</v>
      </c>
      <c r="Z2651" s="74">
        <f>Devis[[#This Row],[Poste 5]]*Devis[[#This Row],[Prix de Revient]]</f>
        <v>0</v>
      </c>
      <c r="AA2651" s="74">
        <f>Devis[[#This Row],[Prix de Revient]]*Devis[[#This Row],[Poste 6]]</f>
        <v>0</v>
      </c>
      <c r="AB2651" s="74">
        <f>Devis[[#This Row],[Quantité Totale]]*Devis[[#This Row],[Prix de Revient]]</f>
        <v>0</v>
      </c>
    </row>
    <row r="2652" spans="1:28" ht="14.25" outlineLevel="1" x14ac:dyDescent="0.2">
      <c r="A2652" s="75" t="s">
        <v>2526</v>
      </c>
      <c r="B2652" s="76" t="s">
        <v>2566</v>
      </c>
      <c r="C2652" s="76" t="s">
        <v>2566</v>
      </c>
      <c r="D2652" s="81" t="str">
        <f t="shared" si="45"/>
        <v>Raccord Acier à souderCoudes à souder 3D noirCoudes à souder 3D noir</v>
      </c>
      <c r="E2652" s="76" t="s">
        <v>22</v>
      </c>
      <c r="F2652" s="76">
        <v>4</v>
      </c>
      <c r="G2652" s="71" t="s">
        <v>2569</v>
      </c>
      <c r="H2652" s="71"/>
      <c r="I2652" s="71"/>
      <c r="J2652" s="70">
        <f>IFERROR(VLOOKUP(Devis[[#This Row],[Ref Air Flux]],#REF!,3,FALSE),0)</f>
        <v>0</v>
      </c>
      <c r="K2652" s="68"/>
      <c r="L2652" s="68"/>
      <c r="M2652" s="68"/>
      <c r="N2652" s="68"/>
      <c r="O2652" s="68"/>
      <c r="P2652" s="68"/>
      <c r="Q2652" s="68">
        <f>SUM(Devis[[#This Row],[Poste 1]:[Poste 6]])</f>
        <v>0</v>
      </c>
      <c r="R2652" s="71"/>
      <c r="S2652" s="68">
        <f>_xlfn.CEILING.MATH(Devis[[#This Row],[Quantité Totale]],Devis[[#This Row],[Conditionnement]])</f>
        <v>0</v>
      </c>
      <c r="T2652" s="72"/>
      <c r="U2652" s="73"/>
      <c r="V2652" s="74">
        <f>Devis[[#This Row],[Prix de Revient]]*Devis[[#This Row],[Poste 1]]</f>
        <v>0</v>
      </c>
      <c r="W2652" s="74">
        <f>Devis[[#This Row],[Prix de Revient]]*Devis[[#This Row],[Poste 2]]</f>
        <v>0</v>
      </c>
      <c r="X2652" s="74">
        <f>Devis[[#This Row],[Prix de Revient]]*Devis[[#This Row],[Poste 3]]</f>
        <v>0</v>
      </c>
      <c r="Y2652" s="74">
        <f>Devis[[#This Row],[Poste 4]]*Devis[[#This Row],[Prix de Revient]]</f>
        <v>0</v>
      </c>
      <c r="Z2652" s="74">
        <f>Devis[[#This Row],[Poste 5]]*Devis[[#This Row],[Prix de Revient]]</f>
        <v>0</v>
      </c>
      <c r="AA2652" s="74">
        <f>Devis[[#This Row],[Prix de Revient]]*Devis[[#This Row],[Poste 6]]</f>
        <v>0</v>
      </c>
      <c r="AB2652" s="74">
        <f>Devis[[#This Row],[Quantité Totale]]*Devis[[#This Row],[Prix de Revient]]</f>
        <v>0</v>
      </c>
    </row>
    <row r="2653" spans="1:28" ht="14.25" outlineLevel="1" x14ac:dyDescent="0.2">
      <c r="A2653" s="75" t="s">
        <v>2526</v>
      </c>
      <c r="B2653" s="76" t="s">
        <v>2566</v>
      </c>
      <c r="C2653" s="76" t="s">
        <v>2566</v>
      </c>
      <c r="D2653" s="81" t="str">
        <f t="shared" si="45"/>
        <v>Raccord Acier à souderCoudes à souder 3D noirCoudes à souder 3D noir</v>
      </c>
      <c r="E2653" s="76" t="s">
        <v>25</v>
      </c>
      <c r="F2653" s="76">
        <v>5</v>
      </c>
      <c r="G2653" s="71" t="s">
        <v>2570</v>
      </c>
      <c r="H2653" s="71"/>
      <c r="I2653" s="71"/>
      <c r="J2653" s="70">
        <f>IFERROR(VLOOKUP(Devis[[#This Row],[Ref Air Flux]],#REF!,3,FALSE),0)</f>
        <v>0</v>
      </c>
      <c r="K2653" s="68"/>
      <c r="L2653" s="68"/>
      <c r="M2653" s="68"/>
      <c r="N2653" s="68"/>
      <c r="O2653" s="68"/>
      <c r="P2653" s="68"/>
      <c r="Q2653" s="68">
        <f>SUM(Devis[[#This Row],[Poste 1]:[Poste 6]])</f>
        <v>0</v>
      </c>
      <c r="R2653" s="71"/>
      <c r="S2653" s="68">
        <f>_xlfn.CEILING.MATH(Devis[[#This Row],[Quantité Totale]],Devis[[#This Row],[Conditionnement]])</f>
        <v>0</v>
      </c>
      <c r="T2653" s="72"/>
      <c r="U2653" s="73"/>
      <c r="V2653" s="74">
        <f>Devis[[#This Row],[Prix de Revient]]*Devis[[#This Row],[Poste 1]]</f>
        <v>0</v>
      </c>
      <c r="W2653" s="74">
        <f>Devis[[#This Row],[Prix de Revient]]*Devis[[#This Row],[Poste 2]]</f>
        <v>0</v>
      </c>
      <c r="X2653" s="74">
        <f>Devis[[#This Row],[Prix de Revient]]*Devis[[#This Row],[Poste 3]]</f>
        <v>0</v>
      </c>
      <c r="Y2653" s="74">
        <f>Devis[[#This Row],[Poste 4]]*Devis[[#This Row],[Prix de Revient]]</f>
        <v>0</v>
      </c>
      <c r="Z2653" s="74">
        <f>Devis[[#This Row],[Poste 5]]*Devis[[#This Row],[Prix de Revient]]</f>
        <v>0</v>
      </c>
      <c r="AA2653" s="74">
        <f>Devis[[#This Row],[Prix de Revient]]*Devis[[#This Row],[Poste 6]]</f>
        <v>0</v>
      </c>
      <c r="AB2653" s="74">
        <f>Devis[[#This Row],[Quantité Totale]]*Devis[[#This Row],[Prix de Revient]]</f>
        <v>0</v>
      </c>
    </row>
    <row r="2654" spans="1:28" ht="14.25" outlineLevel="1" x14ac:dyDescent="0.2">
      <c r="A2654" s="75" t="s">
        <v>2526</v>
      </c>
      <c r="B2654" s="76" t="s">
        <v>2566</v>
      </c>
      <c r="C2654" s="76" t="s">
        <v>2566</v>
      </c>
      <c r="D2654" s="81" t="str">
        <f t="shared" si="45"/>
        <v>Raccord Acier à souderCoudes à souder 3D noirCoudes à souder 3D noir</v>
      </c>
      <c r="E2654" s="76" t="s">
        <v>2086</v>
      </c>
      <c r="F2654" s="76">
        <v>6</v>
      </c>
      <c r="G2654" s="71" t="s">
        <v>2571</v>
      </c>
      <c r="H2654" s="71"/>
      <c r="I2654" s="71"/>
      <c r="J2654" s="70">
        <f>IFERROR(VLOOKUP(Devis[[#This Row],[Ref Air Flux]],#REF!,3,FALSE),0)</f>
        <v>0</v>
      </c>
      <c r="K2654" s="68"/>
      <c r="L2654" s="68"/>
      <c r="M2654" s="68"/>
      <c r="N2654" s="68"/>
      <c r="O2654" s="68"/>
      <c r="P2654" s="68"/>
      <c r="Q2654" s="68">
        <f>SUM(Devis[[#This Row],[Poste 1]:[Poste 6]])</f>
        <v>0</v>
      </c>
      <c r="R2654" s="71"/>
      <c r="S2654" s="68">
        <f>_xlfn.CEILING.MATH(Devis[[#This Row],[Quantité Totale]],Devis[[#This Row],[Conditionnement]])</f>
        <v>0</v>
      </c>
      <c r="T2654" s="72"/>
      <c r="U2654" s="73"/>
      <c r="V2654" s="74">
        <f>Devis[[#This Row],[Prix de Revient]]*Devis[[#This Row],[Poste 1]]</f>
        <v>0</v>
      </c>
      <c r="W2654" s="74">
        <f>Devis[[#This Row],[Prix de Revient]]*Devis[[#This Row],[Poste 2]]</f>
        <v>0</v>
      </c>
      <c r="X2654" s="74">
        <f>Devis[[#This Row],[Prix de Revient]]*Devis[[#This Row],[Poste 3]]</f>
        <v>0</v>
      </c>
      <c r="Y2654" s="74">
        <f>Devis[[#This Row],[Poste 4]]*Devis[[#This Row],[Prix de Revient]]</f>
        <v>0</v>
      </c>
      <c r="Z2654" s="74">
        <f>Devis[[#This Row],[Poste 5]]*Devis[[#This Row],[Prix de Revient]]</f>
        <v>0</v>
      </c>
      <c r="AA2654" s="74">
        <f>Devis[[#This Row],[Prix de Revient]]*Devis[[#This Row],[Poste 6]]</f>
        <v>0</v>
      </c>
      <c r="AB2654" s="74">
        <f>Devis[[#This Row],[Quantité Totale]]*Devis[[#This Row],[Prix de Revient]]</f>
        <v>0</v>
      </c>
    </row>
    <row r="2655" spans="1:28" ht="14.25" customHeight="1" x14ac:dyDescent="0.25">
      <c r="A2655" s="65" t="s">
        <v>2526</v>
      </c>
      <c r="B2655" s="65" t="s">
        <v>2572</v>
      </c>
      <c r="C2655" s="76" t="s">
        <v>2572</v>
      </c>
      <c r="D2655" s="81" t="str">
        <f t="shared" si="45"/>
        <v>Raccord Acier à souderCourbes à souder 5D noirCourbes à souder 5D noir</v>
      </c>
      <c r="E2655" s="76"/>
      <c r="F2655" s="76">
        <v>0</v>
      </c>
      <c r="G2655" s="71"/>
      <c r="H2655" s="71"/>
      <c r="I2655" s="71"/>
      <c r="J2655" s="70">
        <f>IFERROR(VLOOKUP(Devis[[#This Row],[Ref Air Flux]],#REF!,3,FALSE),0)</f>
        <v>0</v>
      </c>
      <c r="K2655" s="68"/>
      <c r="L2655" s="68"/>
      <c r="M2655" s="68"/>
      <c r="N2655" s="68"/>
      <c r="O2655" s="68"/>
      <c r="P2655" s="68"/>
      <c r="Q2655" s="68">
        <f>SUM(Devis[[#This Row],[Poste 1]:[Poste 6]])</f>
        <v>0</v>
      </c>
      <c r="R2655" s="71"/>
      <c r="S2655" s="68">
        <f>_xlfn.CEILING.MATH(Devis[[#This Row],[Quantité Totale]],Devis[[#This Row],[Conditionnement]])</f>
        <v>0</v>
      </c>
      <c r="T2655" s="72"/>
      <c r="U2655" s="73"/>
      <c r="V2655" s="74">
        <f>Devis[[#This Row],[Prix de Revient]]*Devis[[#This Row],[Poste 1]]</f>
        <v>0</v>
      </c>
      <c r="W2655" s="74">
        <f>Devis[[#This Row],[Prix de Revient]]*Devis[[#This Row],[Poste 2]]</f>
        <v>0</v>
      </c>
      <c r="X2655" s="74">
        <f>Devis[[#This Row],[Prix de Revient]]*Devis[[#This Row],[Poste 3]]</f>
        <v>0</v>
      </c>
      <c r="Y2655" s="74">
        <f>Devis[[#This Row],[Poste 4]]*Devis[[#This Row],[Prix de Revient]]</f>
        <v>0</v>
      </c>
      <c r="Z2655" s="74">
        <f>Devis[[#This Row],[Poste 5]]*Devis[[#This Row],[Prix de Revient]]</f>
        <v>0</v>
      </c>
      <c r="AA2655" s="74">
        <f>Devis[[#This Row],[Prix de Revient]]*Devis[[#This Row],[Poste 6]]</f>
        <v>0</v>
      </c>
      <c r="AB2655" s="74">
        <f>Devis[[#This Row],[Quantité Totale]]*Devis[[#This Row],[Prix de Revient]]</f>
        <v>0</v>
      </c>
    </row>
    <row r="2656" spans="1:28" ht="14.25" customHeight="1" outlineLevel="1" x14ac:dyDescent="0.2">
      <c r="A2656" s="75" t="s">
        <v>2526</v>
      </c>
      <c r="B2656" s="76" t="s">
        <v>2572</v>
      </c>
      <c r="C2656" s="76" t="s">
        <v>2572</v>
      </c>
      <c r="D2656" s="81" t="str">
        <f t="shared" si="45"/>
        <v>Raccord Acier à souderCourbes à souder 5D noirCourbes à souder 5D noir</v>
      </c>
      <c r="E2656" s="76" t="s">
        <v>49</v>
      </c>
      <c r="F2656" s="76">
        <v>1</v>
      </c>
      <c r="G2656" s="71" t="s">
        <v>2573</v>
      </c>
      <c r="H2656" s="71"/>
      <c r="I2656" s="71"/>
      <c r="J2656" s="70">
        <f>IFERROR(VLOOKUP(Devis[[#This Row],[Ref Air Flux]],#REF!,3,FALSE),0)</f>
        <v>0</v>
      </c>
      <c r="K2656" s="68"/>
      <c r="L2656" s="68"/>
      <c r="M2656" s="68"/>
      <c r="N2656" s="68"/>
      <c r="O2656" s="68"/>
      <c r="P2656" s="68"/>
      <c r="Q2656" s="68">
        <f>SUM(Devis[[#This Row],[Poste 1]:[Poste 6]])</f>
        <v>0</v>
      </c>
      <c r="R2656" s="71"/>
      <c r="S2656" s="68">
        <f>_xlfn.CEILING.MATH(Devis[[#This Row],[Quantité Totale]],Devis[[#This Row],[Conditionnement]])</f>
        <v>0</v>
      </c>
      <c r="T2656" s="72"/>
      <c r="U2656" s="73"/>
      <c r="V2656" s="74">
        <f>Devis[[#This Row],[Prix de Revient]]*Devis[[#This Row],[Poste 1]]</f>
        <v>0</v>
      </c>
      <c r="W2656" s="74">
        <f>Devis[[#This Row],[Prix de Revient]]*Devis[[#This Row],[Poste 2]]</f>
        <v>0</v>
      </c>
      <c r="X2656" s="74">
        <f>Devis[[#This Row],[Prix de Revient]]*Devis[[#This Row],[Poste 3]]</f>
        <v>0</v>
      </c>
      <c r="Y2656" s="74">
        <f>Devis[[#This Row],[Poste 4]]*Devis[[#This Row],[Prix de Revient]]</f>
        <v>0</v>
      </c>
      <c r="Z2656" s="74">
        <f>Devis[[#This Row],[Poste 5]]*Devis[[#This Row],[Prix de Revient]]</f>
        <v>0</v>
      </c>
      <c r="AA2656" s="74">
        <f>Devis[[#This Row],[Prix de Revient]]*Devis[[#This Row],[Poste 6]]</f>
        <v>0</v>
      </c>
      <c r="AB2656" s="74">
        <f>Devis[[#This Row],[Quantité Totale]]*Devis[[#This Row],[Prix de Revient]]</f>
        <v>0</v>
      </c>
    </row>
    <row r="2657" spans="1:28" ht="14.25" outlineLevel="1" x14ac:dyDescent="0.2">
      <c r="A2657" s="75" t="s">
        <v>2526</v>
      </c>
      <c r="B2657" s="76" t="s">
        <v>2572</v>
      </c>
      <c r="C2657" s="76" t="s">
        <v>2572</v>
      </c>
      <c r="D2657" s="81" t="str">
        <f t="shared" si="45"/>
        <v>Raccord Acier à souderCourbes à souder 5D noirCourbes à souder 5D noir</v>
      </c>
      <c r="E2657" s="76" t="s">
        <v>22</v>
      </c>
      <c r="F2657" s="76">
        <v>2</v>
      </c>
      <c r="G2657" s="71" t="s">
        <v>2574</v>
      </c>
      <c r="H2657" s="71"/>
      <c r="I2657" s="71"/>
      <c r="J2657" s="70">
        <f>IFERROR(VLOOKUP(Devis[[#This Row],[Ref Air Flux]],#REF!,3,FALSE),0)</f>
        <v>0</v>
      </c>
      <c r="K2657" s="68"/>
      <c r="L2657" s="68"/>
      <c r="M2657" s="68"/>
      <c r="N2657" s="68"/>
      <c r="O2657" s="68"/>
      <c r="P2657" s="68"/>
      <c r="Q2657" s="68">
        <f>SUM(Devis[[#This Row],[Poste 1]:[Poste 6]])</f>
        <v>0</v>
      </c>
      <c r="R2657" s="71"/>
      <c r="S2657" s="68">
        <f>_xlfn.CEILING.MATH(Devis[[#This Row],[Quantité Totale]],Devis[[#This Row],[Conditionnement]])</f>
        <v>0</v>
      </c>
      <c r="T2657" s="72"/>
      <c r="U2657" s="73"/>
      <c r="V2657" s="74">
        <f>Devis[[#This Row],[Prix de Revient]]*Devis[[#This Row],[Poste 1]]</f>
        <v>0</v>
      </c>
      <c r="W2657" s="74">
        <f>Devis[[#This Row],[Prix de Revient]]*Devis[[#This Row],[Poste 2]]</f>
        <v>0</v>
      </c>
      <c r="X2657" s="74">
        <f>Devis[[#This Row],[Prix de Revient]]*Devis[[#This Row],[Poste 3]]</f>
        <v>0</v>
      </c>
      <c r="Y2657" s="74">
        <f>Devis[[#This Row],[Poste 4]]*Devis[[#This Row],[Prix de Revient]]</f>
        <v>0</v>
      </c>
      <c r="Z2657" s="74">
        <f>Devis[[#This Row],[Poste 5]]*Devis[[#This Row],[Prix de Revient]]</f>
        <v>0</v>
      </c>
      <c r="AA2657" s="74">
        <f>Devis[[#This Row],[Prix de Revient]]*Devis[[#This Row],[Poste 6]]</f>
        <v>0</v>
      </c>
      <c r="AB2657" s="74">
        <f>Devis[[#This Row],[Quantité Totale]]*Devis[[#This Row],[Prix de Revient]]</f>
        <v>0</v>
      </c>
    </row>
    <row r="2658" spans="1:28" ht="14.25" customHeight="1" x14ac:dyDescent="0.25">
      <c r="A2658" s="65" t="s">
        <v>2526</v>
      </c>
      <c r="B2658" s="65" t="s">
        <v>2575</v>
      </c>
      <c r="C2658" s="76" t="s">
        <v>2575</v>
      </c>
      <c r="D2658" s="81" t="str">
        <f t="shared" si="45"/>
        <v>Raccord Acier à souderFonds à souderFonds à souder</v>
      </c>
      <c r="E2658" s="76"/>
      <c r="F2658" s="76">
        <v>0</v>
      </c>
      <c r="G2658" s="71"/>
      <c r="H2658" s="71"/>
      <c r="I2658" s="71"/>
      <c r="J2658" s="70">
        <f>IFERROR(VLOOKUP(Devis[[#This Row],[Ref Air Flux]],#REF!,3,FALSE),0)</f>
        <v>0</v>
      </c>
      <c r="K2658" s="68"/>
      <c r="L2658" s="68"/>
      <c r="M2658" s="68"/>
      <c r="N2658" s="68"/>
      <c r="O2658" s="68"/>
      <c r="P2658" s="68"/>
      <c r="Q2658" s="68">
        <f>SUM(Devis[[#This Row],[Poste 1]:[Poste 6]])</f>
        <v>0</v>
      </c>
      <c r="R2658" s="71"/>
      <c r="S2658" s="68">
        <f>_xlfn.CEILING.MATH(Devis[[#This Row],[Quantité Totale]],Devis[[#This Row],[Conditionnement]])</f>
        <v>0</v>
      </c>
      <c r="T2658" s="72"/>
      <c r="U2658" s="73"/>
      <c r="V2658" s="74">
        <f>Devis[[#This Row],[Prix de Revient]]*Devis[[#This Row],[Poste 1]]</f>
        <v>0</v>
      </c>
      <c r="W2658" s="74">
        <f>Devis[[#This Row],[Prix de Revient]]*Devis[[#This Row],[Poste 2]]</f>
        <v>0</v>
      </c>
      <c r="X2658" s="74">
        <f>Devis[[#This Row],[Prix de Revient]]*Devis[[#This Row],[Poste 3]]</f>
        <v>0</v>
      </c>
      <c r="Y2658" s="74">
        <f>Devis[[#This Row],[Poste 4]]*Devis[[#This Row],[Prix de Revient]]</f>
        <v>0</v>
      </c>
      <c r="Z2658" s="74">
        <f>Devis[[#This Row],[Poste 5]]*Devis[[#This Row],[Prix de Revient]]</f>
        <v>0</v>
      </c>
      <c r="AA2658" s="74">
        <f>Devis[[#This Row],[Prix de Revient]]*Devis[[#This Row],[Poste 6]]</f>
        <v>0</v>
      </c>
      <c r="AB2658" s="74">
        <f>Devis[[#This Row],[Quantité Totale]]*Devis[[#This Row],[Prix de Revient]]</f>
        <v>0</v>
      </c>
    </row>
    <row r="2659" spans="1:28" ht="14.25" customHeight="1" outlineLevel="1" x14ac:dyDescent="0.2">
      <c r="A2659" s="75" t="s">
        <v>2526</v>
      </c>
      <c r="B2659" s="76" t="s">
        <v>2575</v>
      </c>
      <c r="C2659" s="76" t="s">
        <v>2575</v>
      </c>
      <c r="D2659" s="81" t="str">
        <f t="shared" si="45"/>
        <v>Raccord Acier à souderFonds à souderFonds à souder</v>
      </c>
      <c r="E2659" s="76" t="s">
        <v>22</v>
      </c>
      <c r="F2659" s="76">
        <v>1</v>
      </c>
      <c r="G2659" s="71" t="s">
        <v>2576</v>
      </c>
      <c r="H2659" s="71"/>
      <c r="I2659" s="71"/>
      <c r="J2659" s="70">
        <f>IFERROR(VLOOKUP(Devis[[#This Row],[Ref Air Flux]],#REF!,3,FALSE),0)</f>
        <v>0</v>
      </c>
      <c r="K2659" s="68"/>
      <c r="L2659" s="68"/>
      <c r="M2659" s="68"/>
      <c r="N2659" s="68"/>
      <c r="O2659" s="68"/>
      <c r="P2659" s="68"/>
      <c r="Q2659" s="68">
        <f>SUM(Devis[[#This Row],[Poste 1]:[Poste 6]])</f>
        <v>0</v>
      </c>
      <c r="R2659" s="71"/>
      <c r="S2659" s="68">
        <f>_xlfn.CEILING.MATH(Devis[[#This Row],[Quantité Totale]],Devis[[#This Row],[Conditionnement]])</f>
        <v>0</v>
      </c>
      <c r="T2659" s="72"/>
      <c r="U2659" s="73"/>
      <c r="V2659" s="74">
        <f>Devis[[#This Row],[Prix de Revient]]*Devis[[#This Row],[Poste 1]]</f>
        <v>0</v>
      </c>
      <c r="W2659" s="74">
        <f>Devis[[#This Row],[Prix de Revient]]*Devis[[#This Row],[Poste 2]]</f>
        <v>0</v>
      </c>
      <c r="X2659" s="74">
        <f>Devis[[#This Row],[Prix de Revient]]*Devis[[#This Row],[Poste 3]]</f>
        <v>0</v>
      </c>
      <c r="Y2659" s="74">
        <f>Devis[[#This Row],[Poste 4]]*Devis[[#This Row],[Prix de Revient]]</f>
        <v>0</v>
      </c>
      <c r="Z2659" s="74">
        <f>Devis[[#This Row],[Poste 5]]*Devis[[#This Row],[Prix de Revient]]</f>
        <v>0</v>
      </c>
      <c r="AA2659" s="74">
        <f>Devis[[#This Row],[Prix de Revient]]*Devis[[#This Row],[Poste 6]]</f>
        <v>0</v>
      </c>
      <c r="AB2659" s="74">
        <f>Devis[[#This Row],[Quantité Totale]]*Devis[[#This Row],[Prix de Revient]]</f>
        <v>0</v>
      </c>
    </row>
    <row r="2660" spans="1:28" ht="14.25" customHeight="1" outlineLevel="1" x14ac:dyDescent="0.2">
      <c r="A2660" s="75" t="s">
        <v>2526</v>
      </c>
      <c r="B2660" s="76" t="s">
        <v>2575</v>
      </c>
      <c r="C2660" s="76" t="s">
        <v>2575</v>
      </c>
      <c r="D2660" s="81" t="str">
        <f t="shared" si="45"/>
        <v>Raccord Acier à souderFonds à souderFonds à souder</v>
      </c>
      <c r="E2660" s="76" t="s">
        <v>2086</v>
      </c>
      <c r="F2660" s="76">
        <v>2</v>
      </c>
      <c r="G2660" s="71" t="s">
        <v>2577</v>
      </c>
      <c r="H2660" s="71"/>
      <c r="I2660" s="71"/>
      <c r="J2660" s="70">
        <f>IFERROR(VLOOKUP(Devis[[#This Row],[Ref Air Flux]],#REF!,3,FALSE),0)</f>
        <v>0</v>
      </c>
      <c r="K2660" s="68"/>
      <c r="L2660" s="68"/>
      <c r="M2660" s="68"/>
      <c r="N2660" s="68"/>
      <c r="O2660" s="68"/>
      <c r="P2660" s="68"/>
      <c r="Q2660" s="68">
        <f>SUM(Devis[[#This Row],[Poste 1]:[Poste 6]])</f>
        <v>0</v>
      </c>
      <c r="R2660" s="71"/>
      <c r="S2660" s="68">
        <f>_xlfn.CEILING.MATH(Devis[[#This Row],[Quantité Totale]],Devis[[#This Row],[Conditionnement]])</f>
        <v>0</v>
      </c>
      <c r="T2660" s="72"/>
      <c r="U2660" s="73"/>
      <c r="V2660" s="74">
        <f>Devis[[#This Row],[Prix de Revient]]*Devis[[#This Row],[Poste 1]]</f>
        <v>0</v>
      </c>
      <c r="W2660" s="74">
        <f>Devis[[#This Row],[Prix de Revient]]*Devis[[#This Row],[Poste 2]]</f>
        <v>0</v>
      </c>
      <c r="X2660" s="74">
        <f>Devis[[#This Row],[Prix de Revient]]*Devis[[#This Row],[Poste 3]]</f>
        <v>0</v>
      </c>
      <c r="Y2660" s="74">
        <f>Devis[[#This Row],[Poste 4]]*Devis[[#This Row],[Prix de Revient]]</f>
        <v>0</v>
      </c>
      <c r="Z2660" s="74">
        <f>Devis[[#This Row],[Poste 5]]*Devis[[#This Row],[Prix de Revient]]</f>
        <v>0</v>
      </c>
      <c r="AA2660" s="74">
        <f>Devis[[#This Row],[Prix de Revient]]*Devis[[#This Row],[Poste 6]]</f>
        <v>0</v>
      </c>
      <c r="AB2660" s="74">
        <f>Devis[[#This Row],[Quantité Totale]]*Devis[[#This Row],[Prix de Revient]]</f>
        <v>0</v>
      </c>
    </row>
    <row r="2661" spans="1:28" ht="14.25" outlineLevel="1" x14ac:dyDescent="0.2">
      <c r="A2661" s="75" t="s">
        <v>2526</v>
      </c>
      <c r="B2661" s="76" t="s">
        <v>2575</v>
      </c>
      <c r="C2661" s="76" t="s">
        <v>2575</v>
      </c>
      <c r="D2661" s="81" t="str">
        <f t="shared" si="45"/>
        <v>Raccord Acier à souderFonds à souderFonds à souder</v>
      </c>
      <c r="E2661" s="76" t="s">
        <v>2089</v>
      </c>
      <c r="F2661" s="76">
        <v>3</v>
      </c>
      <c r="G2661" s="71" t="s">
        <v>2578</v>
      </c>
      <c r="H2661" s="71"/>
      <c r="I2661" s="71"/>
      <c r="J2661" s="70">
        <f>IFERROR(VLOOKUP(Devis[[#This Row],[Ref Air Flux]],#REF!,3,FALSE),0)</f>
        <v>0</v>
      </c>
      <c r="K2661" s="68"/>
      <c r="L2661" s="68"/>
      <c r="M2661" s="68"/>
      <c r="N2661" s="68"/>
      <c r="O2661" s="68"/>
      <c r="P2661" s="68"/>
      <c r="Q2661" s="68">
        <f>SUM(Devis[[#This Row],[Poste 1]:[Poste 6]])</f>
        <v>0</v>
      </c>
      <c r="R2661" s="71"/>
      <c r="S2661" s="68">
        <f>_xlfn.CEILING.MATH(Devis[[#This Row],[Quantité Totale]],Devis[[#This Row],[Conditionnement]])</f>
        <v>0</v>
      </c>
      <c r="T2661" s="72"/>
      <c r="U2661" s="73"/>
      <c r="V2661" s="74">
        <f>Devis[[#This Row],[Prix de Revient]]*Devis[[#This Row],[Poste 1]]</f>
        <v>0</v>
      </c>
      <c r="W2661" s="74">
        <f>Devis[[#This Row],[Prix de Revient]]*Devis[[#This Row],[Poste 2]]</f>
        <v>0</v>
      </c>
      <c r="X2661" s="74">
        <f>Devis[[#This Row],[Prix de Revient]]*Devis[[#This Row],[Poste 3]]</f>
        <v>0</v>
      </c>
      <c r="Y2661" s="74">
        <f>Devis[[#This Row],[Poste 4]]*Devis[[#This Row],[Prix de Revient]]</f>
        <v>0</v>
      </c>
      <c r="Z2661" s="74">
        <f>Devis[[#This Row],[Poste 5]]*Devis[[#This Row],[Prix de Revient]]</f>
        <v>0</v>
      </c>
      <c r="AA2661" s="74">
        <f>Devis[[#This Row],[Prix de Revient]]*Devis[[#This Row],[Poste 6]]</f>
        <v>0</v>
      </c>
      <c r="AB2661" s="74">
        <f>Devis[[#This Row],[Quantité Totale]]*Devis[[#This Row],[Prix de Revient]]</f>
        <v>0</v>
      </c>
    </row>
    <row r="2662" spans="1:28" ht="15" customHeight="1" x14ac:dyDescent="0.25">
      <c r="A2662" s="65" t="s">
        <v>2526</v>
      </c>
      <c r="B2662" s="65" t="s">
        <v>2579</v>
      </c>
      <c r="C2662" s="76" t="s">
        <v>2579</v>
      </c>
      <c r="D2662" s="81" t="str">
        <f t="shared" si="45"/>
        <v>Raccord Acier à souderPlateaux ( bride pleine)Plateaux ( bride pleine)</v>
      </c>
      <c r="E2662" s="76"/>
      <c r="F2662" s="76">
        <v>0</v>
      </c>
      <c r="G2662" s="71"/>
      <c r="H2662" s="71"/>
      <c r="I2662" s="71"/>
      <c r="J2662" s="70">
        <f>IFERROR(VLOOKUP(Devis[[#This Row],[Ref Air Flux]],#REF!,3,FALSE),0)</f>
        <v>0</v>
      </c>
      <c r="K2662" s="68"/>
      <c r="L2662" s="68"/>
      <c r="M2662" s="68"/>
      <c r="N2662" s="68"/>
      <c r="O2662" s="68"/>
      <c r="P2662" s="68"/>
      <c r="Q2662" s="68">
        <f>SUM(Devis[[#This Row],[Poste 1]:[Poste 6]])</f>
        <v>0</v>
      </c>
      <c r="R2662" s="71"/>
      <c r="S2662" s="68">
        <f>_xlfn.CEILING.MATH(Devis[[#This Row],[Quantité Totale]],Devis[[#This Row],[Conditionnement]])</f>
        <v>0</v>
      </c>
      <c r="T2662" s="72"/>
      <c r="U2662" s="73"/>
      <c r="V2662" s="74">
        <f>Devis[[#This Row],[Prix de Revient]]*Devis[[#This Row],[Poste 1]]</f>
        <v>0</v>
      </c>
      <c r="W2662" s="74">
        <f>Devis[[#This Row],[Prix de Revient]]*Devis[[#This Row],[Poste 2]]</f>
        <v>0</v>
      </c>
      <c r="X2662" s="74">
        <f>Devis[[#This Row],[Prix de Revient]]*Devis[[#This Row],[Poste 3]]</f>
        <v>0</v>
      </c>
      <c r="Y2662" s="74">
        <f>Devis[[#This Row],[Poste 4]]*Devis[[#This Row],[Prix de Revient]]</f>
        <v>0</v>
      </c>
      <c r="Z2662" s="74">
        <f>Devis[[#This Row],[Poste 5]]*Devis[[#This Row],[Prix de Revient]]</f>
        <v>0</v>
      </c>
      <c r="AA2662" s="74">
        <f>Devis[[#This Row],[Prix de Revient]]*Devis[[#This Row],[Poste 6]]</f>
        <v>0</v>
      </c>
      <c r="AB2662" s="74">
        <f>Devis[[#This Row],[Quantité Totale]]*Devis[[#This Row],[Prix de Revient]]</f>
        <v>0</v>
      </c>
    </row>
    <row r="2663" spans="1:28" ht="15" customHeight="1" outlineLevel="1" x14ac:dyDescent="0.2">
      <c r="A2663" s="75" t="s">
        <v>2526</v>
      </c>
      <c r="B2663" s="76" t="s">
        <v>2579</v>
      </c>
      <c r="C2663" s="76" t="s">
        <v>2579</v>
      </c>
      <c r="D2663" s="81" t="str">
        <f t="shared" si="45"/>
        <v>Raccord Acier à souderPlateaux ( bride pleine)Plateaux ( bride pleine)</v>
      </c>
      <c r="E2663" s="76" t="s">
        <v>21</v>
      </c>
      <c r="F2663" s="76">
        <v>1</v>
      </c>
      <c r="G2663" s="71" t="s">
        <v>5374</v>
      </c>
      <c r="H2663" s="71"/>
      <c r="I2663" s="71"/>
      <c r="J2663" s="70">
        <f>IFERROR(VLOOKUP(Devis[[#This Row],[Ref Air Flux]],#REF!,3,FALSE),0)</f>
        <v>0</v>
      </c>
      <c r="K2663" s="68"/>
      <c r="L2663" s="68"/>
      <c r="M2663" s="68"/>
      <c r="N2663" s="68"/>
      <c r="O2663" s="68"/>
      <c r="P2663" s="68"/>
      <c r="Q2663" s="68">
        <f>SUM(Devis[[#This Row],[Poste 1]:[Poste 6]])</f>
        <v>0</v>
      </c>
      <c r="R2663" s="71"/>
      <c r="S2663" s="68">
        <f>_xlfn.CEILING.MATH(Devis[[#This Row],[Quantité Totale]],Devis[[#This Row],[Conditionnement]])</f>
        <v>0</v>
      </c>
      <c r="T2663" s="72"/>
      <c r="U2663" s="73"/>
      <c r="V2663" s="74">
        <f>Devis[[#This Row],[Prix de Revient]]*Devis[[#This Row],[Poste 1]]</f>
        <v>0</v>
      </c>
      <c r="W2663" s="74">
        <f>Devis[[#This Row],[Prix de Revient]]*Devis[[#This Row],[Poste 2]]</f>
        <v>0</v>
      </c>
      <c r="X2663" s="74">
        <f>Devis[[#This Row],[Prix de Revient]]*Devis[[#This Row],[Poste 3]]</f>
        <v>0</v>
      </c>
      <c r="Y2663" s="74">
        <f>Devis[[#This Row],[Poste 4]]*Devis[[#This Row],[Prix de Revient]]</f>
        <v>0</v>
      </c>
      <c r="Z2663" s="74">
        <f>Devis[[#This Row],[Poste 5]]*Devis[[#This Row],[Prix de Revient]]</f>
        <v>0</v>
      </c>
      <c r="AA2663" s="74">
        <f>Devis[[#This Row],[Prix de Revient]]*Devis[[#This Row],[Poste 6]]</f>
        <v>0</v>
      </c>
      <c r="AB2663" s="74">
        <f>Devis[[#This Row],[Quantité Totale]]*Devis[[#This Row],[Prix de Revient]]</f>
        <v>0</v>
      </c>
    </row>
    <row r="2664" spans="1:28" ht="14.25" outlineLevel="1" x14ac:dyDescent="0.2">
      <c r="A2664" s="75" t="s">
        <v>2526</v>
      </c>
      <c r="B2664" s="76" t="s">
        <v>2579</v>
      </c>
      <c r="C2664" s="76" t="s">
        <v>2579</v>
      </c>
      <c r="D2664" s="81" t="str">
        <f t="shared" si="45"/>
        <v>Raccord Acier à souderPlateaux ( bride pleine)Plateaux ( bride pleine)</v>
      </c>
      <c r="E2664" s="76" t="s">
        <v>0</v>
      </c>
      <c r="F2664" s="76">
        <v>2</v>
      </c>
      <c r="G2664" s="71" t="s">
        <v>2580</v>
      </c>
      <c r="H2664" s="71"/>
      <c r="I2664" s="71"/>
      <c r="J2664" s="70">
        <f>IFERROR(VLOOKUP(Devis[[#This Row],[Ref Air Flux]],#REF!,3,FALSE),0)</f>
        <v>0</v>
      </c>
      <c r="K2664" s="68"/>
      <c r="L2664" s="68"/>
      <c r="M2664" s="68"/>
      <c r="N2664" s="68"/>
      <c r="O2664" s="68"/>
      <c r="P2664" s="68"/>
      <c r="Q2664" s="68">
        <f>SUM(Devis[[#This Row],[Poste 1]:[Poste 6]])</f>
        <v>0</v>
      </c>
      <c r="R2664" s="71"/>
      <c r="S2664" s="68">
        <f>_xlfn.CEILING.MATH(Devis[[#This Row],[Quantité Totale]],Devis[[#This Row],[Conditionnement]])</f>
        <v>0</v>
      </c>
      <c r="T2664" s="72"/>
      <c r="U2664" s="73"/>
      <c r="V2664" s="74">
        <f>Devis[[#This Row],[Prix de Revient]]*Devis[[#This Row],[Poste 1]]</f>
        <v>0</v>
      </c>
      <c r="W2664" s="74">
        <f>Devis[[#This Row],[Prix de Revient]]*Devis[[#This Row],[Poste 2]]</f>
        <v>0</v>
      </c>
      <c r="X2664" s="74">
        <f>Devis[[#This Row],[Prix de Revient]]*Devis[[#This Row],[Poste 3]]</f>
        <v>0</v>
      </c>
      <c r="Y2664" s="74">
        <f>Devis[[#This Row],[Poste 4]]*Devis[[#This Row],[Prix de Revient]]</f>
        <v>0</v>
      </c>
      <c r="Z2664" s="74">
        <f>Devis[[#This Row],[Poste 5]]*Devis[[#This Row],[Prix de Revient]]</f>
        <v>0</v>
      </c>
      <c r="AA2664" s="74">
        <f>Devis[[#This Row],[Prix de Revient]]*Devis[[#This Row],[Poste 6]]</f>
        <v>0</v>
      </c>
      <c r="AB2664" s="74">
        <f>Devis[[#This Row],[Quantité Totale]]*Devis[[#This Row],[Prix de Revient]]</f>
        <v>0</v>
      </c>
    </row>
    <row r="2665" spans="1:28" ht="14.25" customHeight="1" outlineLevel="1" x14ac:dyDescent="0.2">
      <c r="A2665" s="75" t="s">
        <v>2526</v>
      </c>
      <c r="B2665" s="76" t="s">
        <v>2579</v>
      </c>
      <c r="C2665" s="76" t="s">
        <v>2579</v>
      </c>
      <c r="D2665" s="81" t="str">
        <f t="shared" si="45"/>
        <v>Raccord Acier à souderPlateaux ( bride pleine)Plateaux ( bride pleine)</v>
      </c>
      <c r="E2665" s="76" t="s">
        <v>49</v>
      </c>
      <c r="F2665" s="76">
        <v>3</v>
      </c>
      <c r="G2665" s="71" t="s">
        <v>2581</v>
      </c>
      <c r="H2665" s="71"/>
      <c r="I2665" s="71"/>
      <c r="J2665" s="70">
        <f>IFERROR(VLOOKUP(Devis[[#This Row],[Ref Air Flux]],#REF!,3,FALSE),0)</f>
        <v>0</v>
      </c>
      <c r="K2665" s="68"/>
      <c r="L2665" s="68"/>
      <c r="M2665" s="68"/>
      <c r="N2665" s="68"/>
      <c r="O2665" s="68"/>
      <c r="P2665" s="68"/>
      <c r="Q2665" s="68">
        <f>SUM(Devis[[#This Row],[Poste 1]:[Poste 6]])</f>
        <v>0</v>
      </c>
      <c r="R2665" s="71"/>
      <c r="S2665" s="68">
        <f>_xlfn.CEILING.MATH(Devis[[#This Row],[Quantité Totale]],Devis[[#This Row],[Conditionnement]])</f>
        <v>0</v>
      </c>
      <c r="T2665" s="72"/>
      <c r="U2665" s="73"/>
      <c r="V2665" s="74">
        <f>Devis[[#This Row],[Prix de Revient]]*Devis[[#This Row],[Poste 1]]</f>
        <v>0</v>
      </c>
      <c r="W2665" s="74">
        <f>Devis[[#This Row],[Prix de Revient]]*Devis[[#This Row],[Poste 2]]</f>
        <v>0</v>
      </c>
      <c r="X2665" s="74">
        <f>Devis[[#This Row],[Prix de Revient]]*Devis[[#This Row],[Poste 3]]</f>
        <v>0</v>
      </c>
      <c r="Y2665" s="74">
        <f>Devis[[#This Row],[Poste 4]]*Devis[[#This Row],[Prix de Revient]]</f>
        <v>0</v>
      </c>
      <c r="Z2665" s="74">
        <f>Devis[[#This Row],[Poste 5]]*Devis[[#This Row],[Prix de Revient]]</f>
        <v>0</v>
      </c>
      <c r="AA2665" s="74">
        <f>Devis[[#This Row],[Prix de Revient]]*Devis[[#This Row],[Poste 6]]</f>
        <v>0</v>
      </c>
      <c r="AB2665" s="74">
        <f>Devis[[#This Row],[Quantité Totale]]*Devis[[#This Row],[Prix de Revient]]</f>
        <v>0</v>
      </c>
    </row>
    <row r="2666" spans="1:28" ht="14.25" outlineLevel="1" x14ac:dyDescent="0.2">
      <c r="A2666" s="75" t="s">
        <v>2526</v>
      </c>
      <c r="B2666" s="76" t="s">
        <v>2579</v>
      </c>
      <c r="C2666" s="76" t="s">
        <v>2579</v>
      </c>
      <c r="D2666" s="81" t="str">
        <f t="shared" si="45"/>
        <v>Raccord Acier à souderPlateaux ( bride pleine)Plateaux ( bride pleine)</v>
      </c>
      <c r="E2666" s="76" t="s">
        <v>22</v>
      </c>
      <c r="F2666" s="76">
        <v>4</v>
      </c>
      <c r="G2666" s="71" t="s">
        <v>2582</v>
      </c>
      <c r="H2666" s="71"/>
      <c r="I2666" s="71"/>
      <c r="J2666" s="70">
        <f>IFERROR(VLOOKUP(Devis[[#This Row],[Ref Air Flux]],#REF!,3,FALSE),0)</f>
        <v>0</v>
      </c>
      <c r="K2666" s="68"/>
      <c r="L2666" s="68"/>
      <c r="M2666" s="68"/>
      <c r="N2666" s="68"/>
      <c r="O2666" s="68"/>
      <c r="P2666" s="68"/>
      <c r="Q2666" s="68">
        <f>SUM(Devis[[#This Row],[Poste 1]:[Poste 6]])</f>
        <v>0</v>
      </c>
      <c r="R2666" s="71"/>
      <c r="S2666" s="68">
        <f>_xlfn.CEILING.MATH(Devis[[#This Row],[Quantité Totale]],Devis[[#This Row],[Conditionnement]])</f>
        <v>0</v>
      </c>
      <c r="T2666" s="72"/>
      <c r="U2666" s="73"/>
      <c r="V2666" s="74">
        <f>Devis[[#This Row],[Prix de Revient]]*Devis[[#This Row],[Poste 1]]</f>
        <v>0</v>
      </c>
      <c r="W2666" s="74">
        <f>Devis[[#This Row],[Prix de Revient]]*Devis[[#This Row],[Poste 2]]</f>
        <v>0</v>
      </c>
      <c r="X2666" s="74">
        <f>Devis[[#This Row],[Prix de Revient]]*Devis[[#This Row],[Poste 3]]</f>
        <v>0</v>
      </c>
      <c r="Y2666" s="74">
        <f>Devis[[#This Row],[Poste 4]]*Devis[[#This Row],[Prix de Revient]]</f>
        <v>0</v>
      </c>
      <c r="Z2666" s="74">
        <f>Devis[[#This Row],[Poste 5]]*Devis[[#This Row],[Prix de Revient]]</f>
        <v>0</v>
      </c>
      <c r="AA2666" s="74">
        <f>Devis[[#This Row],[Prix de Revient]]*Devis[[#This Row],[Poste 6]]</f>
        <v>0</v>
      </c>
      <c r="AB2666" s="74">
        <f>Devis[[#This Row],[Quantité Totale]]*Devis[[#This Row],[Prix de Revient]]</f>
        <v>0</v>
      </c>
    </row>
    <row r="2667" spans="1:28" ht="14.25" outlineLevel="1" x14ac:dyDescent="0.2">
      <c r="A2667" s="75" t="s">
        <v>2526</v>
      </c>
      <c r="B2667" s="76" t="s">
        <v>2579</v>
      </c>
      <c r="C2667" s="76" t="s">
        <v>2579</v>
      </c>
      <c r="D2667" s="81" t="str">
        <f t="shared" si="45"/>
        <v>Raccord Acier à souderPlateaux ( bride pleine)Plateaux ( bride pleine)</v>
      </c>
      <c r="E2667" s="76" t="s">
        <v>25</v>
      </c>
      <c r="F2667" s="76">
        <v>5</v>
      </c>
      <c r="G2667" s="71" t="s">
        <v>2583</v>
      </c>
      <c r="H2667" s="71"/>
      <c r="I2667" s="71"/>
      <c r="J2667" s="70">
        <f>IFERROR(VLOOKUP(Devis[[#This Row],[Ref Air Flux]],#REF!,3,FALSE),0)</f>
        <v>0</v>
      </c>
      <c r="K2667" s="68"/>
      <c r="L2667" s="68"/>
      <c r="M2667" s="68"/>
      <c r="N2667" s="68"/>
      <c r="O2667" s="68"/>
      <c r="P2667" s="68"/>
      <c r="Q2667" s="68">
        <f>SUM(Devis[[#This Row],[Poste 1]:[Poste 6]])</f>
        <v>0</v>
      </c>
      <c r="R2667" s="71"/>
      <c r="S2667" s="68">
        <f>_xlfn.CEILING.MATH(Devis[[#This Row],[Quantité Totale]],Devis[[#This Row],[Conditionnement]])</f>
        <v>0</v>
      </c>
      <c r="T2667" s="72"/>
      <c r="U2667" s="73"/>
      <c r="V2667" s="74">
        <f>Devis[[#This Row],[Prix de Revient]]*Devis[[#This Row],[Poste 1]]</f>
        <v>0</v>
      </c>
      <c r="W2667" s="74">
        <f>Devis[[#This Row],[Prix de Revient]]*Devis[[#This Row],[Poste 2]]</f>
        <v>0</v>
      </c>
      <c r="X2667" s="74">
        <f>Devis[[#This Row],[Prix de Revient]]*Devis[[#This Row],[Poste 3]]</f>
        <v>0</v>
      </c>
      <c r="Y2667" s="74">
        <f>Devis[[#This Row],[Poste 4]]*Devis[[#This Row],[Prix de Revient]]</f>
        <v>0</v>
      </c>
      <c r="Z2667" s="74">
        <f>Devis[[#This Row],[Poste 5]]*Devis[[#This Row],[Prix de Revient]]</f>
        <v>0</v>
      </c>
      <c r="AA2667" s="74">
        <f>Devis[[#This Row],[Prix de Revient]]*Devis[[#This Row],[Poste 6]]</f>
        <v>0</v>
      </c>
      <c r="AB2667" s="74">
        <f>Devis[[#This Row],[Quantité Totale]]*Devis[[#This Row],[Prix de Revient]]</f>
        <v>0</v>
      </c>
    </row>
    <row r="2668" spans="1:28" ht="14.25" outlineLevel="1" x14ac:dyDescent="0.2">
      <c r="A2668" s="75" t="s">
        <v>2526</v>
      </c>
      <c r="B2668" s="76" t="s">
        <v>2579</v>
      </c>
      <c r="C2668" s="76" t="s">
        <v>2579</v>
      </c>
      <c r="D2668" s="81" t="str">
        <f t="shared" si="45"/>
        <v>Raccord Acier à souderPlateaux ( bride pleine)Plateaux ( bride pleine)</v>
      </c>
      <c r="E2668" s="76" t="s">
        <v>2086</v>
      </c>
      <c r="F2668" s="76">
        <v>6</v>
      </c>
      <c r="G2668" s="71" t="s">
        <v>2584</v>
      </c>
      <c r="H2668" s="71"/>
      <c r="I2668" s="71"/>
      <c r="J2668" s="70">
        <f>IFERROR(VLOOKUP(Devis[[#This Row],[Ref Air Flux]],#REF!,3,FALSE),0)</f>
        <v>0</v>
      </c>
      <c r="K2668" s="68"/>
      <c r="L2668" s="68"/>
      <c r="M2668" s="68"/>
      <c r="N2668" s="68"/>
      <c r="O2668" s="68"/>
      <c r="P2668" s="68"/>
      <c r="Q2668" s="68">
        <f>SUM(Devis[[#This Row],[Poste 1]:[Poste 6]])</f>
        <v>0</v>
      </c>
      <c r="R2668" s="71"/>
      <c r="S2668" s="68">
        <f>_xlfn.CEILING.MATH(Devis[[#This Row],[Quantité Totale]],Devis[[#This Row],[Conditionnement]])</f>
        <v>0</v>
      </c>
      <c r="T2668" s="72"/>
      <c r="U2668" s="73"/>
      <c r="V2668" s="74">
        <f>Devis[[#This Row],[Prix de Revient]]*Devis[[#This Row],[Poste 1]]</f>
        <v>0</v>
      </c>
      <c r="W2668" s="74">
        <f>Devis[[#This Row],[Prix de Revient]]*Devis[[#This Row],[Poste 2]]</f>
        <v>0</v>
      </c>
      <c r="X2668" s="74">
        <f>Devis[[#This Row],[Prix de Revient]]*Devis[[#This Row],[Poste 3]]</f>
        <v>0</v>
      </c>
      <c r="Y2668" s="74">
        <f>Devis[[#This Row],[Poste 4]]*Devis[[#This Row],[Prix de Revient]]</f>
        <v>0</v>
      </c>
      <c r="Z2668" s="74">
        <f>Devis[[#This Row],[Poste 5]]*Devis[[#This Row],[Prix de Revient]]</f>
        <v>0</v>
      </c>
      <c r="AA2668" s="74">
        <f>Devis[[#This Row],[Prix de Revient]]*Devis[[#This Row],[Poste 6]]</f>
        <v>0</v>
      </c>
      <c r="AB2668" s="74">
        <f>Devis[[#This Row],[Quantité Totale]]*Devis[[#This Row],[Prix de Revient]]</f>
        <v>0</v>
      </c>
    </row>
    <row r="2669" spans="1:28" ht="14.25" outlineLevel="1" x14ac:dyDescent="0.2">
      <c r="A2669" s="75" t="s">
        <v>2526</v>
      </c>
      <c r="B2669" s="76" t="s">
        <v>2579</v>
      </c>
      <c r="C2669" s="76" t="s">
        <v>2579</v>
      </c>
      <c r="D2669" s="81" t="str">
        <f t="shared" si="45"/>
        <v>Raccord Acier à souderPlateaux ( bride pleine)Plateaux ( bride pleine)</v>
      </c>
      <c r="E2669" s="76" t="s">
        <v>2089</v>
      </c>
      <c r="F2669" s="76">
        <v>7</v>
      </c>
      <c r="G2669" s="71" t="s">
        <v>2585</v>
      </c>
      <c r="H2669" s="71"/>
      <c r="I2669" s="71"/>
      <c r="J2669" s="70">
        <f>IFERROR(VLOOKUP(Devis[[#This Row],[Ref Air Flux]],#REF!,3,FALSE),0)</f>
        <v>0</v>
      </c>
      <c r="K2669" s="68"/>
      <c r="L2669" s="68"/>
      <c r="M2669" s="68"/>
      <c r="N2669" s="68"/>
      <c r="O2669" s="68"/>
      <c r="P2669" s="68"/>
      <c r="Q2669" s="68">
        <f>SUM(Devis[[#This Row],[Poste 1]:[Poste 6]])</f>
        <v>0</v>
      </c>
      <c r="R2669" s="71"/>
      <c r="S2669" s="68">
        <f>_xlfn.CEILING.MATH(Devis[[#This Row],[Quantité Totale]],Devis[[#This Row],[Conditionnement]])</f>
        <v>0</v>
      </c>
      <c r="T2669" s="72"/>
      <c r="U2669" s="73"/>
      <c r="V2669" s="74">
        <f>Devis[[#This Row],[Prix de Revient]]*Devis[[#This Row],[Poste 1]]</f>
        <v>0</v>
      </c>
      <c r="W2669" s="74">
        <f>Devis[[#This Row],[Prix de Revient]]*Devis[[#This Row],[Poste 2]]</f>
        <v>0</v>
      </c>
      <c r="X2669" s="74">
        <f>Devis[[#This Row],[Prix de Revient]]*Devis[[#This Row],[Poste 3]]</f>
        <v>0</v>
      </c>
      <c r="Y2669" s="74">
        <f>Devis[[#This Row],[Poste 4]]*Devis[[#This Row],[Prix de Revient]]</f>
        <v>0</v>
      </c>
      <c r="Z2669" s="74">
        <f>Devis[[#This Row],[Poste 5]]*Devis[[#This Row],[Prix de Revient]]</f>
        <v>0</v>
      </c>
      <c r="AA2669" s="74">
        <f>Devis[[#This Row],[Prix de Revient]]*Devis[[#This Row],[Poste 6]]</f>
        <v>0</v>
      </c>
      <c r="AB2669" s="74">
        <f>Devis[[#This Row],[Quantité Totale]]*Devis[[#This Row],[Prix de Revient]]</f>
        <v>0</v>
      </c>
    </row>
    <row r="2670" spans="1:28" ht="14.25" outlineLevel="1" x14ac:dyDescent="0.2">
      <c r="A2670" s="75" t="s">
        <v>2526</v>
      </c>
      <c r="B2670" s="76" t="s">
        <v>2579</v>
      </c>
      <c r="C2670" s="76" t="s">
        <v>2579</v>
      </c>
      <c r="D2670" s="81" t="str">
        <f t="shared" si="45"/>
        <v>Raccord Acier à souderPlateaux ( bride pleine)Plateaux ( bride pleine)</v>
      </c>
      <c r="E2670" s="76" t="s">
        <v>2092</v>
      </c>
      <c r="F2670" s="76">
        <v>8</v>
      </c>
      <c r="G2670" s="71" t="s">
        <v>5375</v>
      </c>
      <c r="H2670" s="71"/>
      <c r="I2670" s="71"/>
      <c r="J2670" s="70">
        <f>IFERROR(VLOOKUP(Devis[[#This Row],[Ref Air Flux]],#REF!,3,FALSE),0)</f>
        <v>0</v>
      </c>
      <c r="K2670" s="68"/>
      <c r="L2670" s="68"/>
      <c r="M2670" s="68"/>
      <c r="N2670" s="68"/>
      <c r="O2670" s="68"/>
      <c r="P2670" s="68"/>
      <c r="Q2670" s="68">
        <f>SUM(Devis[[#This Row],[Poste 1]:[Poste 6]])</f>
        <v>0</v>
      </c>
      <c r="R2670" s="71"/>
      <c r="S2670" s="68">
        <f>_xlfn.CEILING.MATH(Devis[[#This Row],[Quantité Totale]],Devis[[#This Row],[Conditionnement]])</f>
        <v>0</v>
      </c>
      <c r="T2670" s="72"/>
      <c r="U2670" s="73"/>
      <c r="V2670" s="74">
        <f>Devis[[#This Row],[Prix de Revient]]*Devis[[#This Row],[Poste 1]]</f>
        <v>0</v>
      </c>
      <c r="W2670" s="74">
        <f>Devis[[#This Row],[Prix de Revient]]*Devis[[#This Row],[Poste 2]]</f>
        <v>0</v>
      </c>
      <c r="X2670" s="74">
        <f>Devis[[#This Row],[Prix de Revient]]*Devis[[#This Row],[Poste 3]]</f>
        <v>0</v>
      </c>
      <c r="Y2670" s="74">
        <f>Devis[[#This Row],[Poste 4]]*Devis[[#This Row],[Prix de Revient]]</f>
        <v>0</v>
      </c>
      <c r="Z2670" s="74">
        <f>Devis[[#This Row],[Poste 5]]*Devis[[#This Row],[Prix de Revient]]</f>
        <v>0</v>
      </c>
      <c r="AA2670" s="74">
        <f>Devis[[#This Row],[Prix de Revient]]*Devis[[#This Row],[Poste 6]]</f>
        <v>0</v>
      </c>
      <c r="AB2670" s="74">
        <f>Devis[[#This Row],[Quantité Totale]]*Devis[[#This Row],[Prix de Revient]]</f>
        <v>0</v>
      </c>
    </row>
    <row r="2671" spans="1:28" ht="14.25" outlineLevel="1" x14ac:dyDescent="0.2">
      <c r="A2671" s="75" t="s">
        <v>2526</v>
      </c>
      <c r="B2671" s="76" t="s">
        <v>2579</v>
      </c>
      <c r="C2671" s="76" t="s">
        <v>2579</v>
      </c>
      <c r="D2671" s="81" t="str">
        <f t="shared" si="45"/>
        <v>Raccord Acier à souderPlateaux ( bride pleine)Plateaux ( bride pleine)</v>
      </c>
      <c r="E2671" s="76" t="s">
        <v>5376</v>
      </c>
      <c r="F2671" s="76">
        <v>9</v>
      </c>
      <c r="G2671" s="71" t="s">
        <v>5377</v>
      </c>
      <c r="H2671" s="71"/>
      <c r="I2671" s="71"/>
      <c r="J2671" s="70">
        <f>IFERROR(VLOOKUP(Devis[[#This Row],[Ref Air Flux]],#REF!,3,FALSE),0)</f>
        <v>0</v>
      </c>
      <c r="K2671" s="68"/>
      <c r="L2671" s="68"/>
      <c r="M2671" s="68"/>
      <c r="N2671" s="68"/>
      <c r="O2671" s="68"/>
      <c r="P2671" s="68"/>
      <c r="Q2671" s="68">
        <f>SUM(Devis[[#This Row],[Poste 1]:[Poste 6]])</f>
        <v>0</v>
      </c>
      <c r="R2671" s="71"/>
      <c r="S2671" s="68">
        <f>_xlfn.CEILING.MATH(Devis[[#This Row],[Quantité Totale]],Devis[[#This Row],[Conditionnement]])</f>
        <v>0</v>
      </c>
      <c r="T2671" s="72"/>
      <c r="U2671" s="73"/>
      <c r="V2671" s="74">
        <f>Devis[[#This Row],[Prix de Revient]]*Devis[[#This Row],[Poste 1]]</f>
        <v>0</v>
      </c>
      <c r="W2671" s="74">
        <f>Devis[[#This Row],[Prix de Revient]]*Devis[[#This Row],[Poste 2]]</f>
        <v>0</v>
      </c>
      <c r="X2671" s="74">
        <f>Devis[[#This Row],[Prix de Revient]]*Devis[[#This Row],[Poste 3]]</f>
        <v>0</v>
      </c>
      <c r="Y2671" s="74">
        <f>Devis[[#This Row],[Poste 4]]*Devis[[#This Row],[Prix de Revient]]</f>
        <v>0</v>
      </c>
      <c r="Z2671" s="74">
        <f>Devis[[#This Row],[Poste 5]]*Devis[[#This Row],[Prix de Revient]]</f>
        <v>0</v>
      </c>
      <c r="AA2671" s="74">
        <f>Devis[[#This Row],[Prix de Revient]]*Devis[[#This Row],[Poste 6]]</f>
        <v>0</v>
      </c>
      <c r="AB2671" s="74">
        <f>Devis[[#This Row],[Quantité Totale]]*Devis[[#This Row],[Prix de Revient]]</f>
        <v>0</v>
      </c>
    </row>
    <row r="2672" spans="1:28" ht="14.25" customHeight="1" outlineLevel="1" x14ac:dyDescent="0.2">
      <c r="A2672" s="75" t="s">
        <v>2526</v>
      </c>
      <c r="B2672" s="76" t="s">
        <v>2579</v>
      </c>
      <c r="C2672" s="76" t="s">
        <v>2579</v>
      </c>
      <c r="D2672" s="81" t="str">
        <f t="shared" ref="D2672:D2735" si="46">A2672&amp;B2672&amp;C2672</f>
        <v>Raccord Acier à souderPlateaux ( bride pleine)Plateaux ( bride pleine)</v>
      </c>
      <c r="E2672" s="76" t="s">
        <v>5378</v>
      </c>
      <c r="F2672" s="76">
        <v>10</v>
      </c>
      <c r="G2672" s="71" t="s">
        <v>5379</v>
      </c>
      <c r="H2672" s="71"/>
      <c r="I2672" s="71"/>
      <c r="J2672" s="70">
        <f>IFERROR(VLOOKUP(Devis[[#This Row],[Ref Air Flux]],#REF!,3,FALSE),0)</f>
        <v>0</v>
      </c>
      <c r="K2672" s="68"/>
      <c r="L2672" s="68"/>
      <c r="M2672" s="68"/>
      <c r="N2672" s="68"/>
      <c r="O2672" s="68"/>
      <c r="P2672" s="68"/>
      <c r="Q2672" s="68">
        <f>SUM(Devis[[#This Row],[Poste 1]:[Poste 6]])</f>
        <v>0</v>
      </c>
      <c r="R2672" s="71"/>
      <c r="S2672" s="68">
        <f>_xlfn.CEILING.MATH(Devis[[#This Row],[Quantité Totale]],Devis[[#This Row],[Conditionnement]])</f>
        <v>0</v>
      </c>
      <c r="T2672" s="72"/>
      <c r="U2672" s="73"/>
      <c r="V2672" s="74">
        <f>Devis[[#This Row],[Prix de Revient]]*Devis[[#This Row],[Poste 1]]</f>
        <v>0</v>
      </c>
      <c r="W2672" s="74">
        <f>Devis[[#This Row],[Prix de Revient]]*Devis[[#This Row],[Poste 2]]</f>
        <v>0</v>
      </c>
      <c r="X2672" s="74">
        <f>Devis[[#This Row],[Prix de Revient]]*Devis[[#This Row],[Poste 3]]</f>
        <v>0</v>
      </c>
      <c r="Y2672" s="74">
        <f>Devis[[#This Row],[Poste 4]]*Devis[[#This Row],[Prix de Revient]]</f>
        <v>0</v>
      </c>
      <c r="Z2672" s="74">
        <f>Devis[[#This Row],[Poste 5]]*Devis[[#This Row],[Prix de Revient]]</f>
        <v>0</v>
      </c>
      <c r="AA2672" s="74">
        <f>Devis[[#This Row],[Prix de Revient]]*Devis[[#This Row],[Poste 6]]</f>
        <v>0</v>
      </c>
      <c r="AB2672" s="74">
        <f>Devis[[#This Row],[Quantité Totale]]*Devis[[#This Row],[Prix de Revient]]</f>
        <v>0</v>
      </c>
    </row>
    <row r="2673" spans="1:28" ht="14.25" customHeight="1" x14ac:dyDescent="0.25">
      <c r="A2673" s="65" t="s">
        <v>2526</v>
      </c>
      <c r="B2673" s="65" t="s">
        <v>2586</v>
      </c>
      <c r="C2673" s="76" t="s">
        <v>2586</v>
      </c>
      <c r="D2673" s="81" t="str">
        <f t="shared" si="46"/>
        <v>Raccord Acier à souderRéductions concentriquesRéductions concentriques</v>
      </c>
      <c r="E2673" s="76"/>
      <c r="F2673" s="76">
        <v>0</v>
      </c>
      <c r="G2673" s="71"/>
      <c r="H2673" s="71"/>
      <c r="I2673" s="71"/>
      <c r="J2673" s="70">
        <f>IFERROR(VLOOKUP(Devis[[#This Row],[Ref Air Flux]],#REF!,3,FALSE),0)</f>
        <v>0</v>
      </c>
      <c r="K2673" s="68"/>
      <c r="L2673" s="68"/>
      <c r="M2673" s="68"/>
      <c r="N2673" s="68"/>
      <c r="O2673" s="68"/>
      <c r="P2673" s="68"/>
      <c r="Q2673" s="68">
        <f>SUM(Devis[[#This Row],[Poste 1]:[Poste 6]])</f>
        <v>0</v>
      </c>
      <c r="R2673" s="71"/>
      <c r="S2673" s="68">
        <f>_xlfn.CEILING.MATH(Devis[[#This Row],[Quantité Totale]],Devis[[#This Row],[Conditionnement]])</f>
        <v>0</v>
      </c>
      <c r="T2673" s="72"/>
      <c r="U2673" s="73"/>
      <c r="V2673" s="74">
        <f>Devis[[#This Row],[Prix de Revient]]*Devis[[#This Row],[Poste 1]]</f>
        <v>0</v>
      </c>
      <c r="W2673" s="74">
        <f>Devis[[#This Row],[Prix de Revient]]*Devis[[#This Row],[Poste 2]]</f>
        <v>0</v>
      </c>
      <c r="X2673" s="74">
        <f>Devis[[#This Row],[Prix de Revient]]*Devis[[#This Row],[Poste 3]]</f>
        <v>0</v>
      </c>
      <c r="Y2673" s="74">
        <f>Devis[[#This Row],[Poste 4]]*Devis[[#This Row],[Prix de Revient]]</f>
        <v>0</v>
      </c>
      <c r="Z2673" s="74">
        <f>Devis[[#This Row],[Poste 5]]*Devis[[#This Row],[Prix de Revient]]</f>
        <v>0</v>
      </c>
      <c r="AA2673" s="74">
        <f>Devis[[#This Row],[Prix de Revient]]*Devis[[#This Row],[Poste 6]]</f>
        <v>0</v>
      </c>
      <c r="AB2673" s="74">
        <f>Devis[[#This Row],[Quantité Totale]]*Devis[[#This Row],[Prix de Revient]]</f>
        <v>0</v>
      </c>
    </row>
    <row r="2674" spans="1:28" ht="14.25" customHeight="1" outlineLevel="1" x14ac:dyDescent="0.2">
      <c r="A2674" s="75" t="s">
        <v>2526</v>
      </c>
      <c r="B2674" s="76" t="s">
        <v>2586</v>
      </c>
      <c r="C2674" s="76" t="s">
        <v>2586</v>
      </c>
      <c r="D2674" s="81" t="str">
        <f t="shared" si="46"/>
        <v>Raccord Acier à souderRéductions concentriquesRéductions concentriques</v>
      </c>
      <c r="E2674" s="76" t="s">
        <v>5380</v>
      </c>
      <c r="F2674" s="76">
        <v>1</v>
      </c>
      <c r="G2674" s="71" t="s">
        <v>2611</v>
      </c>
      <c r="H2674" s="71"/>
      <c r="I2674" s="71"/>
      <c r="J2674" s="70">
        <f>IFERROR(VLOOKUP(Devis[[#This Row],[Ref Air Flux]],#REF!,3,FALSE),0)</f>
        <v>0</v>
      </c>
      <c r="K2674" s="68"/>
      <c r="L2674" s="68"/>
      <c r="M2674" s="68"/>
      <c r="N2674" s="68"/>
      <c r="O2674" s="68"/>
      <c r="P2674" s="68"/>
      <c r="Q2674" s="68">
        <f>SUM(Devis[[#This Row],[Poste 1]:[Poste 6]])</f>
        <v>0</v>
      </c>
      <c r="R2674" s="71"/>
      <c r="S2674" s="68">
        <f>_xlfn.CEILING.MATH(Devis[[#This Row],[Quantité Totale]],Devis[[#This Row],[Conditionnement]])</f>
        <v>0</v>
      </c>
      <c r="T2674" s="72"/>
      <c r="U2674" s="73"/>
      <c r="V2674" s="74">
        <f>Devis[[#This Row],[Prix de Revient]]*Devis[[#This Row],[Poste 1]]</f>
        <v>0</v>
      </c>
      <c r="W2674" s="74">
        <f>Devis[[#This Row],[Prix de Revient]]*Devis[[#This Row],[Poste 2]]</f>
        <v>0</v>
      </c>
      <c r="X2674" s="74">
        <f>Devis[[#This Row],[Prix de Revient]]*Devis[[#This Row],[Poste 3]]</f>
        <v>0</v>
      </c>
      <c r="Y2674" s="74">
        <f>Devis[[#This Row],[Poste 4]]*Devis[[#This Row],[Prix de Revient]]</f>
        <v>0</v>
      </c>
      <c r="Z2674" s="74">
        <f>Devis[[#This Row],[Poste 5]]*Devis[[#This Row],[Prix de Revient]]</f>
        <v>0</v>
      </c>
      <c r="AA2674" s="74">
        <f>Devis[[#This Row],[Prix de Revient]]*Devis[[#This Row],[Poste 6]]</f>
        <v>0</v>
      </c>
      <c r="AB2674" s="74">
        <f>Devis[[#This Row],[Quantité Totale]]*Devis[[#This Row],[Prix de Revient]]</f>
        <v>0</v>
      </c>
    </row>
    <row r="2675" spans="1:28" ht="14.25" customHeight="1" outlineLevel="1" x14ac:dyDescent="0.2">
      <c r="A2675" s="75" t="s">
        <v>2526</v>
      </c>
      <c r="B2675" s="76" t="s">
        <v>2586</v>
      </c>
      <c r="C2675" s="76" t="s">
        <v>2586</v>
      </c>
      <c r="D2675" s="81" t="str">
        <f t="shared" si="46"/>
        <v>Raccord Acier à souderRéductions concentriquesRéductions concentriques</v>
      </c>
      <c r="E2675" s="76" t="s">
        <v>1226</v>
      </c>
      <c r="F2675" s="76">
        <v>2</v>
      </c>
      <c r="G2675" s="71" t="s">
        <v>5381</v>
      </c>
      <c r="H2675" s="71"/>
      <c r="I2675" s="71"/>
      <c r="J2675" s="70">
        <f>IFERROR(VLOOKUP(Devis[[#This Row],[Ref Air Flux]],#REF!,3,FALSE),0)</f>
        <v>0</v>
      </c>
      <c r="K2675" s="68"/>
      <c r="L2675" s="68"/>
      <c r="M2675" s="68"/>
      <c r="N2675" s="68"/>
      <c r="O2675" s="68"/>
      <c r="P2675" s="68"/>
      <c r="Q2675" s="68">
        <f>SUM(Devis[[#This Row],[Poste 1]:[Poste 6]])</f>
        <v>0</v>
      </c>
      <c r="R2675" s="71"/>
      <c r="S2675" s="68">
        <f>_xlfn.CEILING.MATH(Devis[[#This Row],[Quantité Totale]],Devis[[#This Row],[Conditionnement]])</f>
        <v>0</v>
      </c>
      <c r="T2675" s="72"/>
      <c r="U2675" s="73"/>
      <c r="V2675" s="74">
        <f>Devis[[#This Row],[Prix de Revient]]*Devis[[#This Row],[Poste 1]]</f>
        <v>0</v>
      </c>
      <c r="W2675" s="74">
        <f>Devis[[#This Row],[Prix de Revient]]*Devis[[#This Row],[Poste 2]]</f>
        <v>0</v>
      </c>
      <c r="X2675" s="74">
        <f>Devis[[#This Row],[Prix de Revient]]*Devis[[#This Row],[Poste 3]]</f>
        <v>0</v>
      </c>
      <c r="Y2675" s="74">
        <f>Devis[[#This Row],[Poste 4]]*Devis[[#This Row],[Prix de Revient]]</f>
        <v>0</v>
      </c>
      <c r="Z2675" s="74">
        <f>Devis[[#This Row],[Poste 5]]*Devis[[#This Row],[Prix de Revient]]</f>
        <v>0</v>
      </c>
      <c r="AA2675" s="74">
        <f>Devis[[#This Row],[Prix de Revient]]*Devis[[#This Row],[Poste 6]]</f>
        <v>0</v>
      </c>
      <c r="AB2675" s="74">
        <f>Devis[[#This Row],[Quantité Totale]]*Devis[[#This Row],[Prix de Revient]]</f>
        <v>0</v>
      </c>
    </row>
    <row r="2676" spans="1:28" ht="14.25" outlineLevel="1" x14ac:dyDescent="0.2">
      <c r="A2676" s="75" t="s">
        <v>2526</v>
      </c>
      <c r="B2676" s="76" t="s">
        <v>2586</v>
      </c>
      <c r="C2676" s="76" t="s">
        <v>2586</v>
      </c>
      <c r="D2676" s="81" t="str">
        <f t="shared" si="46"/>
        <v>Raccord Acier à souderRéductions concentriquesRéductions concentriques</v>
      </c>
      <c r="E2676" s="76" t="s">
        <v>1220</v>
      </c>
      <c r="F2676" s="76">
        <v>3</v>
      </c>
      <c r="G2676" s="71" t="s">
        <v>2610</v>
      </c>
      <c r="H2676" s="71"/>
      <c r="I2676" s="71"/>
      <c r="J2676" s="70">
        <f>IFERROR(VLOOKUP(Devis[[#This Row],[Ref Air Flux]],#REF!,3,FALSE),0)</f>
        <v>0</v>
      </c>
      <c r="K2676" s="68"/>
      <c r="L2676" s="68"/>
      <c r="M2676" s="68"/>
      <c r="N2676" s="68"/>
      <c r="O2676" s="68"/>
      <c r="P2676" s="68"/>
      <c r="Q2676" s="68">
        <f>SUM(Devis[[#This Row],[Poste 1]:[Poste 6]])</f>
        <v>0</v>
      </c>
      <c r="R2676" s="71"/>
      <c r="S2676" s="68">
        <f>_xlfn.CEILING.MATH(Devis[[#This Row],[Quantité Totale]],Devis[[#This Row],[Conditionnement]])</f>
        <v>0</v>
      </c>
      <c r="T2676" s="72"/>
      <c r="U2676" s="73"/>
      <c r="V2676" s="74">
        <f>Devis[[#This Row],[Prix de Revient]]*Devis[[#This Row],[Poste 1]]</f>
        <v>0</v>
      </c>
      <c r="W2676" s="74">
        <f>Devis[[#This Row],[Prix de Revient]]*Devis[[#This Row],[Poste 2]]</f>
        <v>0</v>
      </c>
      <c r="X2676" s="74">
        <f>Devis[[#This Row],[Prix de Revient]]*Devis[[#This Row],[Poste 3]]</f>
        <v>0</v>
      </c>
      <c r="Y2676" s="74">
        <f>Devis[[#This Row],[Poste 4]]*Devis[[#This Row],[Prix de Revient]]</f>
        <v>0</v>
      </c>
      <c r="Z2676" s="74">
        <f>Devis[[#This Row],[Poste 5]]*Devis[[#This Row],[Prix de Revient]]</f>
        <v>0</v>
      </c>
      <c r="AA2676" s="74">
        <f>Devis[[#This Row],[Prix de Revient]]*Devis[[#This Row],[Poste 6]]</f>
        <v>0</v>
      </c>
      <c r="AB2676" s="74">
        <f>Devis[[#This Row],[Quantité Totale]]*Devis[[#This Row],[Prix de Revient]]</f>
        <v>0</v>
      </c>
    </row>
    <row r="2677" spans="1:28" ht="14.25" customHeight="1" outlineLevel="1" x14ac:dyDescent="0.2">
      <c r="A2677" s="75" t="s">
        <v>2526</v>
      </c>
      <c r="B2677" s="76" t="s">
        <v>2586</v>
      </c>
      <c r="C2677" s="76" t="s">
        <v>2586</v>
      </c>
      <c r="D2677" s="81" t="str">
        <f t="shared" si="46"/>
        <v>Raccord Acier à souderRéductions concentriquesRéductions concentriques</v>
      </c>
      <c r="E2677" s="76" t="s">
        <v>1212</v>
      </c>
      <c r="F2677" s="76">
        <v>4</v>
      </c>
      <c r="G2677" s="71" t="s">
        <v>2609</v>
      </c>
      <c r="H2677" s="71"/>
      <c r="I2677" s="71"/>
      <c r="J2677" s="70">
        <f>IFERROR(VLOOKUP(Devis[[#This Row],[Ref Air Flux]],#REF!,3,FALSE),0)</f>
        <v>0</v>
      </c>
      <c r="K2677" s="68"/>
      <c r="L2677" s="68"/>
      <c r="M2677" s="68"/>
      <c r="N2677" s="68"/>
      <c r="O2677" s="68"/>
      <c r="P2677" s="68"/>
      <c r="Q2677" s="68">
        <f>SUM(Devis[[#This Row],[Poste 1]:[Poste 6]])</f>
        <v>0</v>
      </c>
      <c r="R2677" s="71"/>
      <c r="S2677" s="68">
        <f>_xlfn.CEILING.MATH(Devis[[#This Row],[Quantité Totale]],Devis[[#This Row],[Conditionnement]])</f>
        <v>0</v>
      </c>
      <c r="T2677" s="72"/>
      <c r="U2677" s="73"/>
      <c r="V2677" s="74">
        <f>Devis[[#This Row],[Prix de Revient]]*Devis[[#This Row],[Poste 1]]</f>
        <v>0</v>
      </c>
      <c r="W2677" s="74">
        <f>Devis[[#This Row],[Prix de Revient]]*Devis[[#This Row],[Poste 2]]</f>
        <v>0</v>
      </c>
      <c r="X2677" s="74">
        <f>Devis[[#This Row],[Prix de Revient]]*Devis[[#This Row],[Poste 3]]</f>
        <v>0</v>
      </c>
      <c r="Y2677" s="74">
        <f>Devis[[#This Row],[Poste 4]]*Devis[[#This Row],[Prix de Revient]]</f>
        <v>0</v>
      </c>
      <c r="Z2677" s="74">
        <f>Devis[[#This Row],[Poste 5]]*Devis[[#This Row],[Prix de Revient]]</f>
        <v>0</v>
      </c>
      <c r="AA2677" s="74">
        <f>Devis[[#This Row],[Prix de Revient]]*Devis[[#This Row],[Poste 6]]</f>
        <v>0</v>
      </c>
      <c r="AB2677" s="74">
        <f>Devis[[#This Row],[Quantité Totale]]*Devis[[#This Row],[Prix de Revient]]</f>
        <v>0</v>
      </c>
    </row>
    <row r="2678" spans="1:28" ht="14.25" outlineLevel="1" x14ac:dyDescent="0.2">
      <c r="A2678" s="75" t="s">
        <v>2526</v>
      </c>
      <c r="B2678" s="76" t="s">
        <v>2586</v>
      </c>
      <c r="C2678" s="76" t="s">
        <v>2586</v>
      </c>
      <c r="D2678" s="81" t="str">
        <f t="shared" si="46"/>
        <v>Raccord Acier à souderRéductions concentriquesRéductions concentriques</v>
      </c>
      <c r="E2678" s="76" t="s">
        <v>1210</v>
      </c>
      <c r="F2678" s="76">
        <v>5</v>
      </c>
      <c r="G2678" s="71" t="s">
        <v>2608</v>
      </c>
      <c r="H2678" s="71"/>
      <c r="I2678" s="71"/>
      <c r="J2678" s="70">
        <f>IFERROR(VLOOKUP(Devis[[#This Row],[Ref Air Flux]],#REF!,3,FALSE),0)</f>
        <v>0</v>
      </c>
      <c r="K2678" s="68"/>
      <c r="L2678" s="68"/>
      <c r="M2678" s="68"/>
      <c r="N2678" s="68"/>
      <c r="O2678" s="68"/>
      <c r="P2678" s="68"/>
      <c r="Q2678" s="68">
        <f>SUM(Devis[[#This Row],[Poste 1]:[Poste 6]])</f>
        <v>0</v>
      </c>
      <c r="R2678" s="71"/>
      <c r="S2678" s="68">
        <f>_xlfn.CEILING.MATH(Devis[[#This Row],[Quantité Totale]],Devis[[#This Row],[Conditionnement]])</f>
        <v>0</v>
      </c>
      <c r="T2678" s="72"/>
      <c r="U2678" s="73"/>
      <c r="V2678" s="74">
        <f>Devis[[#This Row],[Prix de Revient]]*Devis[[#This Row],[Poste 1]]</f>
        <v>0</v>
      </c>
      <c r="W2678" s="74">
        <f>Devis[[#This Row],[Prix de Revient]]*Devis[[#This Row],[Poste 2]]</f>
        <v>0</v>
      </c>
      <c r="X2678" s="74">
        <f>Devis[[#This Row],[Prix de Revient]]*Devis[[#This Row],[Poste 3]]</f>
        <v>0</v>
      </c>
      <c r="Y2678" s="74">
        <f>Devis[[#This Row],[Poste 4]]*Devis[[#This Row],[Prix de Revient]]</f>
        <v>0</v>
      </c>
      <c r="Z2678" s="74">
        <f>Devis[[#This Row],[Poste 5]]*Devis[[#This Row],[Prix de Revient]]</f>
        <v>0</v>
      </c>
      <c r="AA2678" s="74">
        <f>Devis[[#This Row],[Prix de Revient]]*Devis[[#This Row],[Poste 6]]</f>
        <v>0</v>
      </c>
      <c r="AB2678" s="74">
        <f>Devis[[#This Row],[Quantité Totale]]*Devis[[#This Row],[Prix de Revient]]</f>
        <v>0</v>
      </c>
    </row>
    <row r="2679" spans="1:28" ht="14.25" outlineLevel="1" x14ac:dyDescent="0.2">
      <c r="A2679" s="75" t="s">
        <v>2526</v>
      </c>
      <c r="B2679" s="76" t="s">
        <v>2586</v>
      </c>
      <c r="C2679" s="76" t="s">
        <v>2586</v>
      </c>
      <c r="D2679" s="81" t="str">
        <f t="shared" si="46"/>
        <v>Raccord Acier à souderRéductions concentriquesRéductions concentriques</v>
      </c>
      <c r="E2679" s="76" t="s">
        <v>2606</v>
      </c>
      <c r="F2679" s="76">
        <v>6</v>
      </c>
      <c r="G2679" s="71" t="s">
        <v>2607</v>
      </c>
      <c r="H2679" s="71"/>
      <c r="I2679" s="71"/>
      <c r="J2679" s="70">
        <f>IFERROR(VLOOKUP(Devis[[#This Row],[Ref Air Flux]],#REF!,3,FALSE),0)</f>
        <v>0</v>
      </c>
      <c r="K2679" s="68"/>
      <c r="L2679" s="68"/>
      <c r="M2679" s="68"/>
      <c r="N2679" s="68"/>
      <c r="O2679" s="68"/>
      <c r="P2679" s="68"/>
      <c r="Q2679" s="68">
        <f>SUM(Devis[[#This Row],[Poste 1]:[Poste 6]])</f>
        <v>0</v>
      </c>
      <c r="R2679" s="71"/>
      <c r="S2679" s="68">
        <f>_xlfn.CEILING.MATH(Devis[[#This Row],[Quantité Totale]],Devis[[#This Row],[Conditionnement]])</f>
        <v>0</v>
      </c>
      <c r="T2679" s="72"/>
      <c r="U2679" s="73"/>
      <c r="V2679" s="74">
        <f>Devis[[#This Row],[Prix de Revient]]*Devis[[#This Row],[Poste 1]]</f>
        <v>0</v>
      </c>
      <c r="W2679" s="74">
        <f>Devis[[#This Row],[Prix de Revient]]*Devis[[#This Row],[Poste 2]]</f>
        <v>0</v>
      </c>
      <c r="X2679" s="74">
        <f>Devis[[#This Row],[Prix de Revient]]*Devis[[#This Row],[Poste 3]]</f>
        <v>0</v>
      </c>
      <c r="Y2679" s="74">
        <f>Devis[[#This Row],[Poste 4]]*Devis[[#This Row],[Prix de Revient]]</f>
        <v>0</v>
      </c>
      <c r="Z2679" s="74">
        <f>Devis[[#This Row],[Poste 5]]*Devis[[#This Row],[Prix de Revient]]</f>
        <v>0</v>
      </c>
      <c r="AA2679" s="74">
        <f>Devis[[#This Row],[Prix de Revient]]*Devis[[#This Row],[Poste 6]]</f>
        <v>0</v>
      </c>
      <c r="AB2679" s="74">
        <f>Devis[[#This Row],[Quantité Totale]]*Devis[[#This Row],[Prix de Revient]]</f>
        <v>0</v>
      </c>
    </row>
    <row r="2680" spans="1:28" ht="14.25" outlineLevel="1" x14ac:dyDescent="0.2">
      <c r="A2680" s="75" t="s">
        <v>2526</v>
      </c>
      <c r="B2680" s="76" t="s">
        <v>2586</v>
      </c>
      <c r="C2680" s="76" t="s">
        <v>2586</v>
      </c>
      <c r="D2680" s="81" t="str">
        <f t="shared" si="46"/>
        <v>Raccord Acier à souderRéductions concentriquesRéductions concentriques</v>
      </c>
      <c r="E2680" s="76" t="s">
        <v>2604</v>
      </c>
      <c r="F2680" s="76">
        <v>7</v>
      </c>
      <c r="G2680" s="71" t="s">
        <v>2605</v>
      </c>
      <c r="H2680" s="71"/>
      <c r="I2680" s="71"/>
      <c r="J2680" s="70">
        <f>IFERROR(VLOOKUP(Devis[[#This Row],[Ref Air Flux]],#REF!,3,FALSE),0)</f>
        <v>0</v>
      </c>
      <c r="K2680" s="68"/>
      <c r="L2680" s="68"/>
      <c r="M2680" s="68"/>
      <c r="N2680" s="68"/>
      <c r="O2680" s="68"/>
      <c r="P2680" s="68"/>
      <c r="Q2680" s="68">
        <f>SUM(Devis[[#This Row],[Poste 1]:[Poste 6]])</f>
        <v>0</v>
      </c>
      <c r="R2680" s="71"/>
      <c r="S2680" s="68">
        <f>_xlfn.CEILING.MATH(Devis[[#This Row],[Quantité Totale]],Devis[[#This Row],[Conditionnement]])</f>
        <v>0</v>
      </c>
      <c r="T2680" s="72"/>
      <c r="U2680" s="73"/>
      <c r="V2680" s="74">
        <f>Devis[[#This Row],[Prix de Revient]]*Devis[[#This Row],[Poste 1]]</f>
        <v>0</v>
      </c>
      <c r="W2680" s="74">
        <f>Devis[[#This Row],[Prix de Revient]]*Devis[[#This Row],[Poste 2]]</f>
        <v>0</v>
      </c>
      <c r="X2680" s="74">
        <f>Devis[[#This Row],[Prix de Revient]]*Devis[[#This Row],[Poste 3]]</f>
        <v>0</v>
      </c>
      <c r="Y2680" s="74">
        <f>Devis[[#This Row],[Poste 4]]*Devis[[#This Row],[Prix de Revient]]</f>
        <v>0</v>
      </c>
      <c r="Z2680" s="74">
        <f>Devis[[#This Row],[Poste 5]]*Devis[[#This Row],[Prix de Revient]]</f>
        <v>0</v>
      </c>
      <c r="AA2680" s="74">
        <f>Devis[[#This Row],[Prix de Revient]]*Devis[[#This Row],[Poste 6]]</f>
        <v>0</v>
      </c>
      <c r="AB2680" s="74">
        <f>Devis[[#This Row],[Quantité Totale]]*Devis[[#This Row],[Prix de Revient]]</f>
        <v>0</v>
      </c>
    </row>
    <row r="2681" spans="1:28" ht="14.25" outlineLevel="1" x14ac:dyDescent="0.2">
      <c r="A2681" s="75" t="s">
        <v>2526</v>
      </c>
      <c r="B2681" s="76" t="s">
        <v>2586</v>
      </c>
      <c r="C2681" s="76" t="s">
        <v>2586</v>
      </c>
      <c r="D2681" s="81" t="str">
        <f t="shared" si="46"/>
        <v>Raccord Acier à souderRéductions concentriquesRéductions concentriques</v>
      </c>
      <c r="E2681" s="76" t="s">
        <v>2602</v>
      </c>
      <c r="F2681" s="76">
        <v>8</v>
      </c>
      <c r="G2681" s="71" t="s">
        <v>2603</v>
      </c>
      <c r="H2681" s="71"/>
      <c r="I2681" s="71"/>
      <c r="J2681" s="70">
        <f>IFERROR(VLOOKUP(Devis[[#This Row],[Ref Air Flux]],#REF!,3,FALSE),0)</f>
        <v>0</v>
      </c>
      <c r="K2681" s="68"/>
      <c r="L2681" s="68"/>
      <c r="M2681" s="68"/>
      <c r="N2681" s="68"/>
      <c r="O2681" s="68"/>
      <c r="P2681" s="68"/>
      <c r="Q2681" s="68">
        <f>SUM(Devis[[#This Row],[Poste 1]:[Poste 6]])</f>
        <v>0</v>
      </c>
      <c r="R2681" s="71"/>
      <c r="S2681" s="68">
        <f>_xlfn.CEILING.MATH(Devis[[#This Row],[Quantité Totale]],Devis[[#This Row],[Conditionnement]])</f>
        <v>0</v>
      </c>
      <c r="T2681" s="72"/>
      <c r="U2681" s="73"/>
      <c r="V2681" s="74">
        <f>Devis[[#This Row],[Prix de Revient]]*Devis[[#This Row],[Poste 1]]</f>
        <v>0</v>
      </c>
      <c r="W2681" s="74">
        <f>Devis[[#This Row],[Prix de Revient]]*Devis[[#This Row],[Poste 2]]</f>
        <v>0</v>
      </c>
      <c r="X2681" s="74">
        <f>Devis[[#This Row],[Prix de Revient]]*Devis[[#This Row],[Poste 3]]</f>
        <v>0</v>
      </c>
      <c r="Y2681" s="74">
        <f>Devis[[#This Row],[Poste 4]]*Devis[[#This Row],[Prix de Revient]]</f>
        <v>0</v>
      </c>
      <c r="Z2681" s="74">
        <f>Devis[[#This Row],[Poste 5]]*Devis[[#This Row],[Prix de Revient]]</f>
        <v>0</v>
      </c>
      <c r="AA2681" s="74">
        <f>Devis[[#This Row],[Prix de Revient]]*Devis[[#This Row],[Poste 6]]</f>
        <v>0</v>
      </c>
      <c r="AB2681" s="74">
        <f>Devis[[#This Row],[Quantité Totale]]*Devis[[#This Row],[Prix de Revient]]</f>
        <v>0</v>
      </c>
    </row>
    <row r="2682" spans="1:28" ht="14.25" customHeight="1" outlineLevel="1" x14ac:dyDescent="0.2">
      <c r="A2682" s="75" t="s">
        <v>2526</v>
      </c>
      <c r="B2682" s="76" t="s">
        <v>2586</v>
      </c>
      <c r="C2682" s="76" t="s">
        <v>2586</v>
      </c>
      <c r="D2682" s="81" t="str">
        <f t="shared" si="46"/>
        <v>Raccord Acier à souderRéductions concentriquesRéductions concentriques</v>
      </c>
      <c r="E2682" s="76" t="s">
        <v>2600</v>
      </c>
      <c r="F2682" s="76">
        <v>9</v>
      </c>
      <c r="G2682" s="71" t="s">
        <v>2601</v>
      </c>
      <c r="H2682" s="71"/>
      <c r="I2682" s="71"/>
      <c r="J2682" s="70">
        <f>IFERROR(VLOOKUP(Devis[[#This Row],[Ref Air Flux]],#REF!,3,FALSE),0)</f>
        <v>0</v>
      </c>
      <c r="K2682" s="68"/>
      <c r="L2682" s="68"/>
      <c r="M2682" s="68"/>
      <c r="N2682" s="68"/>
      <c r="O2682" s="68"/>
      <c r="P2682" s="68"/>
      <c r="Q2682" s="68">
        <f>SUM(Devis[[#This Row],[Poste 1]:[Poste 6]])</f>
        <v>0</v>
      </c>
      <c r="R2682" s="71"/>
      <c r="S2682" s="68">
        <f>_xlfn.CEILING.MATH(Devis[[#This Row],[Quantité Totale]],Devis[[#This Row],[Conditionnement]])</f>
        <v>0</v>
      </c>
      <c r="T2682" s="72"/>
      <c r="U2682" s="73"/>
      <c r="V2682" s="74">
        <f>Devis[[#This Row],[Prix de Revient]]*Devis[[#This Row],[Poste 1]]</f>
        <v>0</v>
      </c>
      <c r="W2682" s="74">
        <f>Devis[[#This Row],[Prix de Revient]]*Devis[[#This Row],[Poste 2]]</f>
        <v>0</v>
      </c>
      <c r="X2682" s="74">
        <f>Devis[[#This Row],[Prix de Revient]]*Devis[[#This Row],[Poste 3]]</f>
        <v>0</v>
      </c>
      <c r="Y2682" s="74">
        <f>Devis[[#This Row],[Poste 4]]*Devis[[#This Row],[Prix de Revient]]</f>
        <v>0</v>
      </c>
      <c r="Z2682" s="74">
        <f>Devis[[#This Row],[Poste 5]]*Devis[[#This Row],[Prix de Revient]]</f>
        <v>0</v>
      </c>
      <c r="AA2682" s="74">
        <f>Devis[[#This Row],[Prix de Revient]]*Devis[[#This Row],[Poste 6]]</f>
        <v>0</v>
      </c>
      <c r="AB2682" s="74">
        <f>Devis[[#This Row],[Quantité Totale]]*Devis[[#This Row],[Prix de Revient]]</f>
        <v>0</v>
      </c>
    </row>
    <row r="2683" spans="1:28" ht="14.25" customHeight="1" outlineLevel="1" x14ac:dyDescent="0.2">
      <c r="A2683" s="75" t="s">
        <v>2526</v>
      </c>
      <c r="B2683" s="76" t="s">
        <v>2586</v>
      </c>
      <c r="C2683" s="76" t="s">
        <v>2586</v>
      </c>
      <c r="D2683" s="81" t="str">
        <f t="shared" si="46"/>
        <v>Raccord Acier à souderRéductions concentriquesRéductions concentriques</v>
      </c>
      <c r="E2683" s="76" t="s">
        <v>1195</v>
      </c>
      <c r="F2683" s="76">
        <v>10</v>
      </c>
      <c r="G2683" s="71" t="s">
        <v>2599</v>
      </c>
      <c r="H2683" s="71"/>
      <c r="I2683" s="71"/>
      <c r="J2683" s="70">
        <f>IFERROR(VLOOKUP(Devis[[#This Row],[Ref Air Flux]],#REF!,3,FALSE),0)</f>
        <v>0</v>
      </c>
      <c r="K2683" s="68"/>
      <c r="L2683" s="68"/>
      <c r="M2683" s="68"/>
      <c r="N2683" s="68"/>
      <c r="O2683" s="68"/>
      <c r="P2683" s="68"/>
      <c r="Q2683" s="68">
        <f>SUM(Devis[[#This Row],[Poste 1]:[Poste 6]])</f>
        <v>0</v>
      </c>
      <c r="R2683" s="71"/>
      <c r="S2683" s="68">
        <f>_xlfn.CEILING.MATH(Devis[[#This Row],[Quantité Totale]],Devis[[#This Row],[Conditionnement]])</f>
        <v>0</v>
      </c>
      <c r="T2683" s="72"/>
      <c r="U2683" s="73"/>
      <c r="V2683" s="74">
        <f>Devis[[#This Row],[Prix de Revient]]*Devis[[#This Row],[Poste 1]]</f>
        <v>0</v>
      </c>
      <c r="W2683" s="74">
        <f>Devis[[#This Row],[Prix de Revient]]*Devis[[#This Row],[Poste 2]]</f>
        <v>0</v>
      </c>
      <c r="X2683" s="74">
        <f>Devis[[#This Row],[Prix de Revient]]*Devis[[#This Row],[Poste 3]]</f>
        <v>0</v>
      </c>
      <c r="Y2683" s="74">
        <f>Devis[[#This Row],[Poste 4]]*Devis[[#This Row],[Prix de Revient]]</f>
        <v>0</v>
      </c>
      <c r="Z2683" s="74">
        <f>Devis[[#This Row],[Poste 5]]*Devis[[#This Row],[Prix de Revient]]</f>
        <v>0</v>
      </c>
      <c r="AA2683" s="74">
        <f>Devis[[#This Row],[Prix de Revient]]*Devis[[#This Row],[Poste 6]]</f>
        <v>0</v>
      </c>
      <c r="AB2683" s="74">
        <f>Devis[[#This Row],[Quantité Totale]]*Devis[[#This Row],[Prix de Revient]]</f>
        <v>0</v>
      </c>
    </row>
    <row r="2684" spans="1:28" ht="14.25" outlineLevel="1" x14ac:dyDescent="0.2">
      <c r="A2684" s="75" t="s">
        <v>2526</v>
      </c>
      <c r="B2684" s="76" t="s">
        <v>2586</v>
      </c>
      <c r="C2684" s="76" t="s">
        <v>2586</v>
      </c>
      <c r="D2684" s="81" t="str">
        <f t="shared" si="46"/>
        <v>Raccord Acier à souderRéductions concentriquesRéductions concentriques</v>
      </c>
      <c r="E2684" s="76" t="s">
        <v>2597</v>
      </c>
      <c r="F2684" s="76">
        <v>11</v>
      </c>
      <c r="G2684" s="71" t="s">
        <v>2598</v>
      </c>
      <c r="H2684" s="71"/>
      <c r="I2684" s="71"/>
      <c r="J2684" s="70">
        <f>IFERROR(VLOOKUP(Devis[[#This Row],[Ref Air Flux]],#REF!,3,FALSE),0)</f>
        <v>0</v>
      </c>
      <c r="K2684" s="68"/>
      <c r="L2684" s="68"/>
      <c r="M2684" s="68"/>
      <c r="N2684" s="68"/>
      <c r="O2684" s="68"/>
      <c r="P2684" s="68"/>
      <c r="Q2684" s="68">
        <f>SUM(Devis[[#This Row],[Poste 1]:[Poste 6]])</f>
        <v>0</v>
      </c>
      <c r="R2684" s="71"/>
      <c r="S2684" s="68">
        <f>_xlfn.CEILING.MATH(Devis[[#This Row],[Quantité Totale]],Devis[[#This Row],[Conditionnement]])</f>
        <v>0</v>
      </c>
      <c r="T2684" s="72"/>
      <c r="U2684" s="73"/>
      <c r="V2684" s="74">
        <f>Devis[[#This Row],[Prix de Revient]]*Devis[[#This Row],[Poste 1]]</f>
        <v>0</v>
      </c>
      <c r="W2684" s="74">
        <f>Devis[[#This Row],[Prix de Revient]]*Devis[[#This Row],[Poste 2]]</f>
        <v>0</v>
      </c>
      <c r="X2684" s="74">
        <f>Devis[[#This Row],[Prix de Revient]]*Devis[[#This Row],[Poste 3]]</f>
        <v>0</v>
      </c>
      <c r="Y2684" s="74">
        <f>Devis[[#This Row],[Poste 4]]*Devis[[#This Row],[Prix de Revient]]</f>
        <v>0</v>
      </c>
      <c r="Z2684" s="74">
        <f>Devis[[#This Row],[Poste 5]]*Devis[[#This Row],[Prix de Revient]]</f>
        <v>0</v>
      </c>
      <c r="AA2684" s="74">
        <f>Devis[[#This Row],[Prix de Revient]]*Devis[[#This Row],[Poste 6]]</f>
        <v>0</v>
      </c>
      <c r="AB2684" s="74">
        <f>Devis[[#This Row],[Quantité Totale]]*Devis[[#This Row],[Prix de Revient]]</f>
        <v>0</v>
      </c>
    </row>
    <row r="2685" spans="1:28" ht="14.25" outlineLevel="1" x14ac:dyDescent="0.2">
      <c r="A2685" s="75" t="s">
        <v>2526</v>
      </c>
      <c r="B2685" s="76" t="s">
        <v>2586</v>
      </c>
      <c r="C2685" s="76" t="s">
        <v>2586</v>
      </c>
      <c r="D2685" s="81" t="str">
        <f t="shared" si="46"/>
        <v>Raccord Acier à souderRéductions concentriquesRéductions concentriques</v>
      </c>
      <c r="E2685" s="76" t="s">
        <v>2595</v>
      </c>
      <c r="F2685" s="76">
        <v>12</v>
      </c>
      <c r="G2685" s="71" t="s">
        <v>2596</v>
      </c>
      <c r="H2685" s="71"/>
      <c r="I2685" s="71"/>
      <c r="J2685" s="70">
        <f>IFERROR(VLOOKUP(Devis[[#This Row],[Ref Air Flux]],#REF!,3,FALSE),0)</f>
        <v>0</v>
      </c>
      <c r="K2685" s="68"/>
      <c r="L2685" s="68"/>
      <c r="M2685" s="68"/>
      <c r="N2685" s="68"/>
      <c r="O2685" s="68"/>
      <c r="P2685" s="68"/>
      <c r="Q2685" s="68">
        <f>SUM(Devis[[#This Row],[Poste 1]:[Poste 6]])</f>
        <v>0</v>
      </c>
      <c r="R2685" s="71"/>
      <c r="S2685" s="68">
        <f>_xlfn.CEILING.MATH(Devis[[#This Row],[Quantité Totale]],Devis[[#This Row],[Conditionnement]])</f>
        <v>0</v>
      </c>
      <c r="T2685" s="72"/>
      <c r="U2685" s="73"/>
      <c r="V2685" s="74">
        <f>Devis[[#This Row],[Prix de Revient]]*Devis[[#This Row],[Poste 1]]</f>
        <v>0</v>
      </c>
      <c r="W2685" s="74">
        <f>Devis[[#This Row],[Prix de Revient]]*Devis[[#This Row],[Poste 2]]</f>
        <v>0</v>
      </c>
      <c r="X2685" s="74">
        <f>Devis[[#This Row],[Prix de Revient]]*Devis[[#This Row],[Poste 3]]</f>
        <v>0</v>
      </c>
      <c r="Y2685" s="74">
        <f>Devis[[#This Row],[Poste 4]]*Devis[[#This Row],[Prix de Revient]]</f>
        <v>0</v>
      </c>
      <c r="Z2685" s="74">
        <f>Devis[[#This Row],[Poste 5]]*Devis[[#This Row],[Prix de Revient]]</f>
        <v>0</v>
      </c>
      <c r="AA2685" s="74">
        <f>Devis[[#This Row],[Prix de Revient]]*Devis[[#This Row],[Poste 6]]</f>
        <v>0</v>
      </c>
      <c r="AB2685" s="74">
        <f>Devis[[#This Row],[Quantité Totale]]*Devis[[#This Row],[Prix de Revient]]</f>
        <v>0</v>
      </c>
    </row>
    <row r="2686" spans="1:28" ht="14.25" customHeight="1" outlineLevel="1" x14ac:dyDescent="0.2">
      <c r="A2686" s="75" t="s">
        <v>2526</v>
      </c>
      <c r="B2686" s="76" t="s">
        <v>2586</v>
      </c>
      <c r="C2686" s="76" t="s">
        <v>2586</v>
      </c>
      <c r="D2686" s="81" t="str">
        <f t="shared" si="46"/>
        <v>Raccord Acier à souderRéductions concentriquesRéductions concentriques</v>
      </c>
      <c r="E2686" s="76" t="s">
        <v>2593</v>
      </c>
      <c r="F2686" s="76">
        <v>13</v>
      </c>
      <c r="G2686" s="71" t="s">
        <v>2594</v>
      </c>
      <c r="H2686" s="71"/>
      <c r="I2686" s="71"/>
      <c r="J2686" s="70">
        <f>IFERROR(VLOOKUP(Devis[[#This Row],[Ref Air Flux]],#REF!,3,FALSE),0)</f>
        <v>0</v>
      </c>
      <c r="K2686" s="68"/>
      <c r="L2686" s="68"/>
      <c r="M2686" s="68"/>
      <c r="N2686" s="68"/>
      <c r="O2686" s="68"/>
      <c r="P2686" s="68"/>
      <c r="Q2686" s="68">
        <f>SUM(Devis[[#This Row],[Poste 1]:[Poste 6]])</f>
        <v>0</v>
      </c>
      <c r="R2686" s="71"/>
      <c r="S2686" s="68">
        <f>_xlfn.CEILING.MATH(Devis[[#This Row],[Quantité Totale]],Devis[[#This Row],[Conditionnement]])</f>
        <v>0</v>
      </c>
      <c r="T2686" s="72"/>
      <c r="U2686" s="73"/>
      <c r="V2686" s="74">
        <f>Devis[[#This Row],[Prix de Revient]]*Devis[[#This Row],[Poste 1]]</f>
        <v>0</v>
      </c>
      <c r="W2686" s="74">
        <f>Devis[[#This Row],[Prix de Revient]]*Devis[[#This Row],[Poste 2]]</f>
        <v>0</v>
      </c>
      <c r="X2686" s="74">
        <f>Devis[[#This Row],[Prix de Revient]]*Devis[[#This Row],[Poste 3]]</f>
        <v>0</v>
      </c>
      <c r="Y2686" s="74">
        <f>Devis[[#This Row],[Poste 4]]*Devis[[#This Row],[Prix de Revient]]</f>
        <v>0</v>
      </c>
      <c r="Z2686" s="74">
        <f>Devis[[#This Row],[Poste 5]]*Devis[[#This Row],[Prix de Revient]]</f>
        <v>0</v>
      </c>
      <c r="AA2686" s="74">
        <f>Devis[[#This Row],[Prix de Revient]]*Devis[[#This Row],[Poste 6]]</f>
        <v>0</v>
      </c>
      <c r="AB2686" s="74">
        <f>Devis[[#This Row],[Quantité Totale]]*Devis[[#This Row],[Prix de Revient]]</f>
        <v>0</v>
      </c>
    </row>
    <row r="2687" spans="1:28" ht="15" customHeight="1" outlineLevel="1" x14ac:dyDescent="0.2">
      <c r="A2687" s="75" t="s">
        <v>2526</v>
      </c>
      <c r="B2687" s="76" t="s">
        <v>2586</v>
      </c>
      <c r="C2687" s="76" t="s">
        <v>2586</v>
      </c>
      <c r="D2687" s="81" t="str">
        <f t="shared" si="46"/>
        <v>Raccord Acier à souderRéductions concentriquesRéductions concentriques</v>
      </c>
      <c r="E2687" s="76" t="s">
        <v>2591</v>
      </c>
      <c r="F2687" s="76">
        <v>14</v>
      </c>
      <c r="G2687" s="71" t="s">
        <v>2592</v>
      </c>
      <c r="H2687" s="71"/>
      <c r="I2687" s="71"/>
      <c r="J2687" s="70">
        <f>IFERROR(VLOOKUP(Devis[[#This Row],[Ref Air Flux]],#REF!,3,FALSE),0)</f>
        <v>0</v>
      </c>
      <c r="K2687" s="68"/>
      <c r="L2687" s="68"/>
      <c r="M2687" s="68"/>
      <c r="N2687" s="68"/>
      <c r="O2687" s="68"/>
      <c r="P2687" s="68"/>
      <c r="Q2687" s="68">
        <f>SUM(Devis[[#This Row],[Poste 1]:[Poste 6]])</f>
        <v>0</v>
      </c>
      <c r="R2687" s="71"/>
      <c r="S2687" s="68">
        <f>_xlfn.CEILING.MATH(Devis[[#This Row],[Quantité Totale]],Devis[[#This Row],[Conditionnement]])</f>
        <v>0</v>
      </c>
      <c r="T2687" s="72"/>
      <c r="U2687" s="73"/>
      <c r="V2687" s="74">
        <f>Devis[[#This Row],[Prix de Revient]]*Devis[[#This Row],[Poste 1]]</f>
        <v>0</v>
      </c>
      <c r="W2687" s="74">
        <f>Devis[[#This Row],[Prix de Revient]]*Devis[[#This Row],[Poste 2]]</f>
        <v>0</v>
      </c>
      <c r="X2687" s="74">
        <f>Devis[[#This Row],[Prix de Revient]]*Devis[[#This Row],[Poste 3]]</f>
        <v>0</v>
      </c>
      <c r="Y2687" s="74">
        <f>Devis[[#This Row],[Poste 4]]*Devis[[#This Row],[Prix de Revient]]</f>
        <v>0</v>
      </c>
      <c r="Z2687" s="74">
        <f>Devis[[#This Row],[Poste 5]]*Devis[[#This Row],[Prix de Revient]]</f>
        <v>0</v>
      </c>
      <c r="AA2687" s="74">
        <f>Devis[[#This Row],[Prix de Revient]]*Devis[[#This Row],[Poste 6]]</f>
        <v>0</v>
      </c>
      <c r="AB2687" s="74">
        <f>Devis[[#This Row],[Quantité Totale]]*Devis[[#This Row],[Prix de Revient]]</f>
        <v>0</v>
      </c>
    </row>
    <row r="2688" spans="1:28" ht="15" customHeight="1" outlineLevel="1" x14ac:dyDescent="0.2">
      <c r="A2688" s="75" t="s">
        <v>2526</v>
      </c>
      <c r="B2688" s="76" t="s">
        <v>2586</v>
      </c>
      <c r="C2688" s="76" t="s">
        <v>2586</v>
      </c>
      <c r="D2688" s="81" t="str">
        <f t="shared" si="46"/>
        <v>Raccord Acier à souderRéductions concentriquesRéductions concentriques</v>
      </c>
      <c r="E2688" s="76" t="s">
        <v>2589</v>
      </c>
      <c r="F2688" s="76">
        <v>15</v>
      </c>
      <c r="G2688" s="71" t="s">
        <v>2590</v>
      </c>
      <c r="H2688" s="71"/>
      <c r="I2688" s="71"/>
      <c r="J2688" s="70">
        <f>IFERROR(VLOOKUP(Devis[[#This Row],[Ref Air Flux]],#REF!,3,FALSE),0)</f>
        <v>0</v>
      </c>
      <c r="K2688" s="68"/>
      <c r="L2688" s="68"/>
      <c r="M2688" s="68"/>
      <c r="N2688" s="68"/>
      <c r="O2688" s="68"/>
      <c r="P2688" s="68"/>
      <c r="Q2688" s="68">
        <f>SUM(Devis[[#This Row],[Poste 1]:[Poste 6]])</f>
        <v>0</v>
      </c>
      <c r="R2688" s="71"/>
      <c r="S2688" s="68">
        <f>_xlfn.CEILING.MATH(Devis[[#This Row],[Quantité Totale]],Devis[[#This Row],[Conditionnement]])</f>
        <v>0</v>
      </c>
      <c r="T2688" s="72"/>
      <c r="U2688" s="73"/>
      <c r="V2688" s="74">
        <f>Devis[[#This Row],[Prix de Revient]]*Devis[[#This Row],[Poste 1]]</f>
        <v>0</v>
      </c>
      <c r="W2688" s="74">
        <f>Devis[[#This Row],[Prix de Revient]]*Devis[[#This Row],[Poste 2]]</f>
        <v>0</v>
      </c>
      <c r="X2688" s="74">
        <f>Devis[[#This Row],[Prix de Revient]]*Devis[[#This Row],[Poste 3]]</f>
        <v>0</v>
      </c>
      <c r="Y2688" s="74">
        <f>Devis[[#This Row],[Poste 4]]*Devis[[#This Row],[Prix de Revient]]</f>
        <v>0</v>
      </c>
      <c r="Z2688" s="74">
        <f>Devis[[#This Row],[Poste 5]]*Devis[[#This Row],[Prix de Revient]]</f>
        <v>0</v>
      </c>
      <c r="AA2688" s="74">
        <f>Devis[[#This Row],[Prix de Revient]]*Devis[[#This Row],[Poste 6]]</f>
        <v>0</v>
      </c>
      <c r="AB2688" s="74">
        <f>Devis[[#This Row],[Quantité Totale]]*Devis[[#This Row],[Prix de Revient]]</f>
        <v>0</v>
      </c>
    </row>
    <row r="2689" spans="1:28" ht="14.25" outlineLevel="1" x14ac:dyDescent="0.2">
      <c r="A2689" s="75" t="s">
        <v>2526</v>
      </c>
      <c r="B2689" s="76" t="s">
        <v>2586</v>
      </c>
      <c r="C2689" s="76" t="s">
        <v>2586</v>
      </c>
      <c r="D2689" s="81" t="str">
        <f t="shared" si="46"/>
        <v>Raccord Acier à souderRéductions concentriquesRéductions concentriques</v>
      </c>
      <c r="E2689" s="76" t="s">
        <v>2587</v>
      </c>
      <c r="F2689" s="76">
        <v>16</v>
      </c>
      <c r="G2689" s="71" t="s">
        <v>2588</v>
      </c>
      <c r="H2689" s="71"/>
      <c r="I2689" s="71"/>
      <c r="J2689" s="70">
        <f>IFERROR(VLOOKUP(Devis[[#This Row],[Ref Air Flux]],#REF!,3,FALSE),0)</f>
        <v>0</v>
      </c>
      <c r="K2689" s="68"/>
      <c r="L2689" s="68"/>
      <c r="M2689" s="68"/>
      <c r="N2689" s="68"/>
      <c r="O2689" s="68"/>
      <c r="P2689" s="68"/>
      <c r="Q2689" s="68">
        <f>SUM(Devis[[#This Row],[Poste 1]:[Poste 6]])</f>
        <v>0</v>
      </c>
      <c r="R2689" s="71"/>
      <c r="S2689" s="68">
        <f>_xlfn.CEILING.MATH(Devis[[#This Row],[Quantité Totale]],Devis[[#This Row],[Conditionnement]])</f>
        <v>0</v>
      </c>
      <c r="T2689" s="72"/>
      <c r="U2689" s="73"/>
      <c r="V2689" s="74">
        <f>Devis[[#This Row],[Prix de Revient]]*Devis[[#This Row],[Poste 1]]</f>
        <v>0</v>
      </c>
      <c r="W2689" s="74">
        <f>Devis[[#This Row],[Prix de Revient]]*Devis[[#This Row],[Poste 2]]</f>
        <v>0</v>
      </c>
      <c r="X2689" s="74">
        <f>Devis[[#This Row],[Prix de Revient]]*Devis[[#This Row],[Poste 3]]</f>
        <v>0</v>
      </c>
      <c r="Y2689" s="74">
        <f>Devis[[#This Row],[Poste 4]]*Devis[[#This Row],[Prix de Revient]]</f>
        <v>0</v>
      </c>
      <c r="Z2689" s="74">
        <f>Devis[[#This Row],[Poste 5]]*Devis[[#This Row],[Prix de Revient]]</f>
        <v>0</v>
      </c>
      <c r="AA2689" s="74">
        <f>Devis[[#This Row],[Prix de Revient]]*Devis[[#This Row],[Poste 6]]</f>
        <v>0</v>
      </c>
      <c r="AB2689" s="74">
        <f>Devis[[#This Row],[Quantité Totale]]*Devis[[#This Row],[Prix de Revient]]</f>
        <v>0</v>
      </c>
    </row>
    <row r="2690" spans="1:28" ht="14.25" outlineLevel="1" x14ac:dyDescent="0.2">
      <c r="A2690" s="75" t="s">
        <v>2526</v>
      </c>
      <c r="B2690" s="76" t="s">
        <v>2586</v>
      </c>
      <c r="C2690" s="76" t="s">
        <v>2586</v>
      </c>
      <c r="D2690" s="81" t="str">
        <f t="shared" si="46"/>
        <v>Raccord Acier à souderRéductions concentriquesRéductions concentriques</v>
      </c>
      <c r="E2690" s="76" t="s">
        <v>5382</v>
      </c>
      <c r="F2690" s="76">
        <v>17</v>
      </c>
      <c r="G2690" s="71" t="s">
        <v>5383</v>
      </c>
      <c r="H2690" s="71"/>
      <c r="I2690" s="71"/>
      <c r="J2690" s="70">
        <f>IFERROR(VLOOKUP(Devis[[#This Row],[Ref Air Flux]],#REF!,3,FALSE),0)</f>
        <v>0</v>
      </c>
      <c r="K2690" s="68"/>
      <c r="L2690" s="68"/>
      <c r="M2690" s="68"/>
      <c r="N2690" s="68"/>
      <c r="O2690" s="68"/>
      <c r="P2690" s="68"/>
      <c r="Q2690" s="68">
        <f>SUM(Devis[[#This Row],[Poste 1]:[Poste 6]])</f>
        <v>0</v>
      </c>
      <c r="R2690" s="71"/>
      <c r="S2690" s="68">
        <f>_xlfn.CEILING.MATH(Devis[[#This Row],[Quantité Totale]],Devis[[#This Row],[Conditionnement]])</f>
        <v>0</v>
      </c>
      <c r="T2690" s="72"/>
      <c r="U2690" s="73"/>
      <c r="V2690" s="74">
        <f>Devis[[#This Row],[Prix de Revient]]*Devis[[#This Row],[Poste 1]]</f>
        <v>0</v>
      </c>
      <c r="W2690" s="74">
        <f>Devis[[#This Row],[Prix de Revient]]*Devis[[#This Row],[Poste 2]]</f>
        <v>0</v>
      </c>
      <c r="X2690" s="74">
        <f>Devis[[#This Row],[Prix de Revient]]*Devis[[#This Row],[Poste 3]]</f>
        <v>0</v>
      </c>
      <c r="Y2690" s="74">
        <f>Devis[[#This Row],[Poste 4]]*Devis[[#This Row],[Prix de Revient]]</f>
        <v>0</v>
      </c>
      <c r="Z2690" s="74">
        <f>Devis[[#This Row],[Poste 5]]*Devis[[#This Row],[Prix de Revient]]</f>
        <v>0</v>
      </c>
      <c r="AA2690" s="74">
        <f>Devis[[#This Row],[Prix de Revient]]*Devis[[#This Row],[Poste 6]]</f>
        <v>0</v>
      </c>
      <c r="AB2690" s="74">
        <f>Devis[[#This Row],[Quantité Totale]]*Devis[[#This Row],[Prix de Revient]]</f>
        <v>0</v>
      </c>
    </row>
    <row r="2691" spans="1:28" ht="14.25" customHeight="1" x14ac:dyDescent="0.25">
      <c r="A2691" s="65" t="s">
        <v>2526</v>
      </c>
      <c r="B2691" s="65" t="s">
        <v>2612</v>
      </c>
      <c r="C2691" s="76" t="s">
        <v>2612</v>
      </c>
      <c r="D2691" s="81" t="str">
        <f t="shared" si="46"/>
        <v xml:space="preserve">Raccord Acier à souderTube T10 Tube T10 </v>
      </c>
      <c r="E2691" s="76"/>
      <c r="F2691" s="76">
        <v>0</v>
      </c>
      <c r="G2691" s="71"/>
      <c r="H2691" s="71"/>
      <c r="I2691" s="71"/>
      <c r="J2691" s="70">
        <f>IFERROR(VLOOKUP(Devis[[#This Row],[Ref Air Flux]],#REF!,3,FALSE),0)</f>
        <v>0</v>
      </c>
      <c r="K2691" s="68"/>
      <c r="L2691" s="68"/>
      <c r="M2691" s="68"/>
      <c r="N2691" s="68"/>
      <c r="O2691" s="68"/>
      <c r="P2691" s="68"/>
      <c r="Q2691" s="68">
        <f>SUM(Devis[[#This Row],[Poste 1]:[Poste 6]])</f>
        <v>0</v>
      </c>
      <c r="R2691" s="71"/>
      <c r="S2691" s="68">
        <f>_xlfn.CEILING.MATH(Devis[[#This Row],[Quantité Totale]],Devis[[#This Row],[Conditionnement]])</f>
        <v>0</v>
      </c>
      <c r="T2691" s="72"/>
      <c r="U2691" s="73"/>
      <c r="V2691" s="74">
        <f>Devis[[#This Row],[Prix de Revient]]*Devis[[#This Row],[Poste 1]]</f>
        <v>0</v>
      </c>
      <c r="W2691" s="74">
        <f>Devis[[#This Row],[Prix de Revient]]*Devis[[#This Row],[Poste 2]]</f>
        <v>0</v>
      </c>
      <c r="X2691" s="74">
        <f>Devis[[#This Row],[Prix de Revient]]*Devis[[#This Row],[Poste 3]]</f>
        <v>0</v>
      </c>
      <c r="Y2691" s="74">
        <f>Devis[[#This Row],[Poste 4]]*Devis[[#This Row],[Prix de Revient]]</f>
        <v>0</v>
      </c>
      <c r="Z2691" s="74">
        <f>Devis[[#This Row],[Poste 5]]*Devis[[#This Row],[Prix de Revient]]</f>
        <v>0</v>
      </c>
      <c r="AA2691" s="74">
        <f>Devis[[#This Row],[Prix de Revient]]*Devis[[#This Row],[Poste 6]]</f>
        <v>0</v>
      </c>
      <c r="AB2691" s="74">
        <f>Devis[[#This Row],[Quantité Totale]]*Devis[[#This Row],[Prix de Revient]]</f>
        <v>0</v>
      </c>
    </row>
    <row r="2692" spans="1:28" ht="14.25" outlineLevel="1" x14ac:dyDescent="0.2">
      <c r="A2692" s="75" t="s">
        <v>2526</v>
      </c>
      <c r="B2692" s="76" t="s">
        <v>2612</v>
      </c>
      <c r="C2692" s="76" t="s">
        <v>2612</v>
      </c>
      <c r="D2692" s="81" t="str">
        <f t="shared" si="46"/>
        <v xml:space="preserve">Raccord Acier à souderTube T10 Tube T10 </v>
      </c>
      <c r="E2692" s="76" t="s">
        <v>49</v>
      </c>
      <c r="F2692" s="76">
        <v>1</v>
      </c>
      <c r="G2692" s="71" t="s">
        <v>2613</v>
      </c>
      <c r="H2692" s="71"/>
      <c r="I2692" s="71"/>
      <c r="J2692" s="70">
        <f>IFERROR(VLOOKUP(Devis[[#This Row],[Ref Air Flux]],#REF!,3,FALSE),0)</f>
        <v>0</v>
      </c>
      <c r="K2692" s="68"/>
      <c r="L2692" s="68"/>
      <c r="M2692" s="68"/>
      <c r="N2692" s="68"/>
      <c r="O2692" s="68"/>
      <c r="P2692" s="68"/>
      <c r="Q2692" s="68">
        <f>SUM(Devis[[#This Row],[Poste 1]:[Poste 6]])</f>
        <v>0</v>
      </c>
      <c r="R2692" s="71"/>
      <c r="S2692" s="68">
        <f>_xlfn.CEILING.MATH(Devis[[#This Row],[Quantité Totale]],Devis[[#This Row],[Conditionnement]])</f>
        <v>0</v>
      </c>
      <c r="T2692" s="72"/>
      <c r="U2692" s="73"/>
      <c r="V2692" s="74">
        <f>Devis[[#This Row],[Prix de Revient]]*Devis[[#This Row],[Poste 1]]</f>
        <v>0</v>
      </c>
      <c r="W2692" s="74">
        <f>Devis[[#This Row],[Prix de Revient]]*Devis[[#This Row],[Poste 2]]</f>
        <v>0</v>
      </c>
      <c r="X2692" s="74">
        <f>Devis[[#This Row],[Prix de Revient]]*Devis[[#This Row],[Poste 3]]</f>
        <v>0</v>
      </c>
      <c r="Y2692" s="74">
        <f>Devis[[#This Row],[Poste 4]]*Devis[[#This Row],[Prix de Revient]]</f>
        <v>0</v>
      </c>
      <c r="Z2692" s="74">
        <f>Devis[[#This Row],[Poste 5]]*Devis[[#This Row],[Prix de Revient]]</f>
        <v>0</v>
      </c>
      <c r="AA2692" s="74">
        <f>Devis[[#This Row],[Prix de Revient]]*Devis[[#This Row],[Poste 6]]</f>
        <v>0</v>
      </c>
      <c r="AB2692" s="74">
        <f>Devis[[#This Row],[Quantité Totale]]*Devis[[#This Row],[Prix de Revient]]</f>
        <v>0</v>
      </c>
    </row>
    <row r="2693" spans="1:28" ht="14.25" outlineLevel="1" x14ac:dyDescent="0.2">
      <c r="A2693" s="75" t="s">
        <v>2526</v>
      </c>
      <c r="B2693" s="76" t="s">
        <v>2612</v>
      </c>
      <c r="C2693" s="76" t="s">
        <v>2612</v>
      </c>
      <c r="D2693" s="81" t="str">
        <f t="shared" si="46"/>
        <v xml:space="preserve">Raccord Acier à souderTube T10 Tube T10 </v>
      </c>
      <c r="E2693" s="76" t="s">
        <v>22</v>
      </c>
      <c r="F2693" s="76">
        <v>2</v>
      </c>
      <c r="G2693" s="71" t="s">
        <v>2614</v>
      </c>
      <c r="H2693" s="71"/>
      <c r="I2693" s="71"/>
      <c r="J2693" s="70">
        <f>IFERROR(VLOOKUP(Devis[[#This Row],[Ref Air Flux]],#REF!,3,FALSE),0)</f>
        <v>0</v>
      </c>
      <c r="K2693" s="68"/>
      <c r="L2693" s="68"/>
      <c r="M2693" s="68"/>
      <c r="N2693" s="68"/>
      <c r="O2693" s="68"/>
      <c r="P2693" s="68"/>
      <c r="Q2693" s="68">
        <f>SUM(Devis[[#This Row],[Poste 1]:[Poste 6]])</f>
        <v>0</v>
      </c>
      <c r="R2693" s="71"/>
      <c r="S2693" s="68">
        <f>_xlfn.CEILING.MATH(Devis[[#This Row],[Quantité Totale]],Devis[[#This Row],[Conditionnement]])</f>
        <v>0</v>
      </c>
      <c r="T2693" s="72"/>
      <c r="U2693" s="73"/>
      <c r="V2693" s="74">
        <f>Devis[[#This Row],[Prix de Revient]]*Devis[[#This Row],[Poste 1]]</f>
        <v>0</v>
      </c>
      <c r="W2693" s="74">
        <f>Devis[[#This Row],[Prix de Revient]]*Devis[[#This Row],[Poste 2]]</f>
        <v>0</v>
      </c>
      <c r="X2693" s="74">
        <f>Devis[[#This Row],[Prix de Revient]]*Devis[[#This Row],[Poste 3]]</f>
        <v>0</v>
      </c>
      <c r="Y2693" s="74">
        <f>Devis[[#This Row],[Poste 4]]*Devis[[#This Row],[Prix de Revient]]</f>
        <v>0</v>
      </c>
      <c r="Z2693" s="74">
        <f>Devis[[#This Row],[Poste 5]]*Devis[[#This Row],[Prix de Revient]]</f>
        <v>0</v>
      </c>
      <c r="AA2693" s="74">
        <f>Devis[[#This Row],[Prix de Revient]]*Devis[[#This Row],[Poste 6]]</f>
        <v>0</v>
      </c>
      <c r="AB2693" s="74">
        <f>Devis[[#This Row],[Quantité Totale]]*Devis[[#This Row],[Prix de Revient]]</f>
        <v>0</v>
      </c>
    </row>
    <row r="2694" spans="1:28" ht="14.25" outlineLevel="1" x14ac:dyDescent="0.2">
      <c r="A2694" s="75" t="s">
        <v>2526</v>
      </c>
      <c r="B2694" s="76" t="s">
        <v>2612</v>
      </c>
      <c r="C2694" s="76" t="s">
        <v>2612</v>
      </c>
      <c r="D2694" s="81" t="str">
        <f t="shared" si="46"/>
        <v xml:space="preserve">Raccord Acier à souderTube T10 Tube T10 </v>
      </c>
      <c r="E2694" s="76" t="s">
        <v>25</v>
      </c>
      <c r="F2694" s="76">
        <v>3</v>
      </c>
      <c r="G2694" s="71" t="s">
        <v>2615</v>
      </c>
      <c r="H2694" s="71"/>
      <c r="I2694" s="71"/>
      <c r="J2694" s="70">
        <f>IFERROR(VLOOKUP(Devis[[#This Row],[Ref Air Flux]],#REF!,3,FALSE),0)</f>
        <v>0</v>
      </c>
      <c r="K2694" s="68"/>
      <c r="L2694" s="68"/>
      <c r="M2694" s="68"/>
      <c r="N2694" s="68"/>
      <c r="O2694" s="68"/>
      <c r="P2694" s="68"/>
      <c r="Q2694" s="68">
        <f>SUM(Devis[[#This Row],[Poste 1]:[Poste 6]])</f>
        <v>0</v>
      </c>
      <c r="R2694" s="71"/>
      <c r="S2694" s="68">
        <f>_xlfn.CEILING.MATH(Devis[[#This Row],[Quantité Totale]],Devis[[#This Row],[Conditionnement]])</f>
        <v>0</v>
      </c>
      <c r="T2694" s="72"/>
      <c r="U2694" s="73"/>
      <c r="V2694" s="74">
        <f>Devis[[#This Row],[Prix de Revient]]*Devis[[#This Row],[Poste 1]]</f>
        <v>0</v>
      </c>
      <c r="W2694" s="74">
        <f>Devis[[#This Row],[Prix de Revient]]*Devis[[#This Row],[Poste 2]]</f>
        <v>0</v>
      </c>
      <c r="X2694" s="74">
        <f>Devis[[#This Row],[Prix de Revient]]*Devis[[#This Row],[Poste 3]]</f>
        <v>0</v>
      </c>
      <c r="Y2694" s="74">
        <f>Devis[[#This Row],[Poste 4]]*Devis[[#This Row],[Prix de Revient]]</f>
        <v>0</v>
      </c>
      <c r="Z2694" s="74">
        <f>Devis[[#This Row],[Poste 5]]*Devis[[#This Row],[Prix de Revient]]</f>
        <v>0</v>
      </c>
      <c r="AA2694" s="74">
        <f>Devis[[#This Row],[Prix de Revient]]*Devis[[#This Row],[Poste 6]]</f>
        <v>0</v>
      </c>
      <c r="AB2694" s="74">
        <f>Devis[[#This Row],[Quantité Totale]]*Devis[[#This Row],[Prix de Revient]]</f>
        <v>0</v>
      </c>
    </row>
    <row r="2695" spans="1:28" ht="14.25" customHeight="1" outlineLevel="1" x14ac:dyDescent="0.2">
      <c r="A2695" s="75" t="s">
        <v>2526</v>
      </c>
      <c r="B2695" s="76" t="s">
        <v>2612</v>
      </c>
      <c r="C2695" s="76" t="s">
        <v>2612</v>
      </c>
      <c r="D2695" s="81" t="str">
        <f t="shared" si="46"/>
        <v xml:space="preserve">Raccord Acier à souderTube T10 Tube T10 </v>
      </c>
      <c r="E2695" s="76" t="s">
        <v>2086</v>
      </c>
      <c r="F2695" s="76">
        <v>4</v>
      </c>
      <c r="G2695" s="71" t="s">
        <v>2616</v>
      </c>
      <c r="H2695" s="71"/>
      <c r="I2695" s="71"/>
      <c r="J2695" s="70">
        <f>IFERROR(VLOOKUP(Devis[[#This Row],[Ref Air Flux]],#REF!,3,FALSE),0)</f>
        <v>0</v>
      </c>
      <c r="K2695" s="68"/>
      <c r="L2695" s="68"/>
      <c r="M2695" s="68"/>
      <c r="N2695" s="68"/>
      <c r="O2695" s="68"/>
      <c r="P2695" s="68"/>
      <c r="Q2695" s="68">
        <f>SUM(Devis[[#This Row],[Poste 1]:[Poste 6]])</f>
        <v>0</v>
      </c>
      <c r="R2695" s="71"/>
      <c r="S2695" s="68">
        <f>_xlfn.CEILING.MATH(Devis[[#This Row],[Quantité Totale]],Devis[[#This Row],[Conditionnement]])</f>
        <v>0</v>
      </c>
      <c r="T2695" s="72"/>
      <c r="U2695" s="73"/>
      <c r="V2695" s="74">
        <f>Devis[[#This Row],[Prix de Revient]]*Devis[[#This Row],[Poste 1]]</f>
        <v>0</v>
      </c>
      <c r="W2695" s="74">
        <f>Devis[[#This Row],[Prix de Revient]]*Devis[[#This Row],[Poste 2]]</f>
        <v>0</v>
      </c>
      <c r="X2695" s="74">
        <f>Devis[[#This Row],[Prix de Revient]]*Devis[[#This Row],[Poste 3]]</f>
        <v>0</v>
      </c>
      <c r="Y2695" s="74">
        <f>Devis[[#This Row],[Poste 4]]*Devis[[#This Row],[Prix de Revient]]</f>
        <v>0</v>
      </c>
      <c r="Z2695" s="74">
        <f>Devis[[#This Row],[Poste 5]]*Devis[[#This Row],[Prix de Revient]]</f>
        <v>0</v>
      </c>
      <c r="AA2695" s="74">
        <f>Devis[[#This Row],[Prix de Revient]]*Devis[[#This Row],[Poste 6]]</f>
        <v>0</v>
      </c>
      <c r="AB2695" s="74">
        <f>Devis[[#This Row],[Quantité Totale]]*Devis[[#This Row],[Prix de Revient]]</f>
        <v>0</v>
      </c>
    </row>
    <row r="2696" spans="1:28" ht="14.25" customHeight="1" x14ac:dyDescent="0.25">
      <c r="A2696" s="65" t="s">
        <v>2617</v>
      </c>
      <c r="B2696" s="65" t="s">
        <v>2619</v>
      </c>
      <c r="C2696" s="113" t="s">
        <v>2619</v>
      </c>
      <c r="D2696" s="81" t="str">
        <f t="shared" si="46"/>
        <v>RaccordsAdaptateur raccord tournant MaleAdaptateur raccord tournant Male</v>
      </c>
      <c r="E2696" s="76"/>
      <c r="F2696" s="76">
        <v>0</v>
      </c>
      <c r="G2696" s="71"/>
      <c r="H2696" s="71"/>
      <c r="I2696" s="71"/>
      <c r="J2696" s="70">
        <f>IFERROR(VLOOKUP(Devis[[#This Row],[Ref Air Flux]],#REF!,3,FALSE),0)</f>
        <v>0</v>
      </c>
      <c r="K2696" s="68"/>
      <c r="L2696" s="68"/>
      <c r="M2696" s="68"/>
      <c r="N2696" s="68"/>
      <c r="O2696" s="68"/>
      <c r="P2696" s="68"/>
      <c r="Q2696" s="68">
        <f>SUM(Devis[[#This Row],[Poste 1]:[Poste 6]])</f>
        <v>0</v>
      </c>
      <c r="R2696" s="71"/>
      <c r="S2696" s="68">
        <f>_xlfn.CEILING.MATH(Devis[[#This Row],[Quantité Totale]],Devis[[#This Row],[Conditionnement]])</f>
        <v>0</v>
      </c>
      <c r="T2696" s="72"/>
      <c r="U2696" s="73"/>
      <c r="V2696" s="74">
        <f>Devis[[#This Row],[Prix de Revient]]*Devis[[#This Row],[Poste 1]]</f>
        <v>0</v>
      </c>
      <c r="W2696" s="74">
        <f>Devis[[#This Row],[Prix de Revient]]*Devis[[#This Row],[Poste 2]]</f>
        <v>0</v>
      </c>
      <c r="X2696" s="74">
        <f>Devis[[#This Row],[Prix de Revient]]*Devis[[#This Row],[Poste 3]]</f>
        <v>0</v>
      </c>
      <c r="Y2696" s="74">
        <f>Devis[[#This Row],[Poste 4]]*Devis[[#This Row],[Prix de Revient]]</f>
        <v>0</v>
      </c>
      <c r="Z2696" s="74">
        <f>Devis[[#This Row],[Poste 5]]*Devis[[#This Row],[Prix de Revient]]</f>
        <v>0</v>
      </c>
      <c r="AA2696" s="74">
        <f>Devis[[#This Row],[Prix de Revient]]*Devis[[#This Row],[Poste 6]]</f>
        <v>0</v>
      </c>
      <c r="AB2696" s="74">
        <f>Devis[[#This Row],[Quantité Totale]]*Devis[[#This Row],[Prix de Revient]]</f>
        <v>0</v>
      </c>
    </row>
    <row r="2697" spans="1:28" ht="14.25" outlineLevel="1" x14ac:dyDescent="0.2">
      <c r="A2697" s="75" t="s">
        <v>2617</v>
      </c>
      <c r="B2697" s="76" t="s">
        <v>2619</v>
      </c>
      <c r="C2697" s="76" t="s">
        <v>2619</v>
      </c>
      <c r="D2697" s="81" t="str">
        <f t="shared" si="46"/>
        <v>RaccordsAdaptateur raccord tournant MaleAdaptateur raccord tournant Male</v>
      </c>
      <c r="E2697" s="76" t="s">
        <v>2066</v>
      </c>
      <c r="F2697" s="76">
        <v>1</v>
      </c>
      <c r="G2697" s="71" t="s">
        <v>2620</v>
      </c>
      <c r="H2697" s="71"/>
      <c r="I2697" s="71"/>
      <c r="J2697" s="70">
        <f>IFERROR(VLOOKUP(Devis[[#This Row],[Ref Air Flux]],#REF!,3,FALSE),0)</f>
        <v>0</v>
      </c>
      <c r="K2697" s="68"/>
      <c r="L2697" s="68"/>
      <c r="M2697" s="68"/>
      <c r="N2697" s="68"/>
      <c r="O2697" s="68"/>
      <c r="P2697" s="68"/>
      <c r="Q2697" s="68">
        <f>SUM(Devis[[#This Row],[Poste 1]:[Poste 6]])</f>
        <v>0</v>
      </c>
      <c r="R2697" s="71"/>
      <c r="S2697" s="68">
        <f>_xlfn.CEILING.MATH(Devis[[#This Row],[Quantité Totale]],Devis[[#This Row],[Conditionnement]])</f>
        <v>0</v>
      </c>
      <c r="T2697" s="72"/>
      <c r="U2697" s="73"/>
      <c r="V2697" s="74">
        <f>Devis[[#This Row],[Prix de Revient]]*Devis[[#This Row],[Poste 1]]</f>
        <v>0</v>
      </c>
      <c r="W2697" s="74">
        <f>Devis[[#This Row],[Prix de Revient]]*Devis[[#This Row],[Poste 2]]</f>
        <v>0</v>
      </c>
      <c r="X2697" s="74">
        <f>Devis[[#This Row],[Prix de Revient]]*Devis[[#This Row],[Poste 3]]</f>
        <v>0</v>
      </c>
      <c r="Y2697" s="74">
        <f>Devis[[#This Row],[Poste 4]]*Devis[[#This Row],[Prix de Revient]]</f>
        <v>0</v>
      </c>
      <c r="Z2697" s="74">
        <f>Devis[[#This Row],[Poste 5]]*Devis[[#This Row],[Prix de Revient]]</f>
        <v>0</v>
      </c>
      <c r="AA2697" s="74">
        <f>Devis[[#This Row],[Prix de Revient]]*Devis[[#This Row],[Poste 6]]</f>
        <v>0</v>
      </c>
      <c r="AB2697" s="74">
        <f>Devis[[#This Row],[Quantité Totale]]*Devis[[#This Row],[Prix de Revient]]</f>
        <v>0</v>
      </c>
    </row>
    <row r="2698" spans="1:28" ht="14.25" outlineLevel="1" x14ac:dyDescent="0.2">
      <c r="A2698" s="75" t="s">
        <v>2617</v>
      </c>
      <c r="B2698" s="76" t="s">
        <v>2619</v>
      </c>
      <c r="C2698" s="76" t="s">
        <v>2619</v>
      </c>
      <c r="D2698" s="81" t="str">
        <f t="shared" si="46"/>
        <v>RaccordsAdaptateur raccord tournant MaleAdaptateur raccord tournant Male</v>
      </c>
      <c r="E2698" s="76" t="s">
        <v>1943</v>
      </c>
      <c r="F2698" s="76">
        <v>2</v>
      </c>
      <c r="G2698" s="71" t="s">
        <v>2621</v>
      </c>
      <c r="H2698" s="71"/>
      <c r="I2698" s="71"/>
      <c r="J2698" s="70">
        <f>IFERROR(VLOOKUP(Devis[[#This Row],[Ref Air Flux]],#REF!,3,FALSE),0)</f>
        <v>0</v>
      </c>
      <c r="K2698" s="68"/>
      <c r="L2698" s="68"/>
      <c r="M2698" s="68"/>
      <c r="N2698" s="68"/>
      <c r="O2698" s="68"/>
      <c r="P2698" s="68"/>
      <c r="Q2698" s="68">
        <f>SUM(Devis[[#This Row],[Poste 1]:[Poste 6]])</f>
        <v>0</v>
      </c>
      <c r="R2698" s="71"/>
      <c r="S2698" s="68">
        <f>_xlfn.CEILING.MATH(Devis[[#This Row],[Quantité Totale]],Devis[[#This Row],[Conditionnement]])</f>
        <v>0</v>
      </c>
      <c r="T2698" s="72"/>
      <c r="U2698" s="73"/>
      <c r="V2698" s="74">
        <f>Devis[[#This Row],[Prix de Revient]]*Devis[[#This Row],[Poste 1]]</f>
        <v>0</v>
      </c>
      <c r="W2698" s="74">
        <f>Devis[[#This Row],[Prix de Revient]]*Devis[[#This Row],[Poste 2]]</f>
        <v>0</v>
      </c>
      <c r="X2698" s="74">
        <f>Devis[[#This Row],[Prix de Revient]]*Devis[[#This Row],[Poste 3]]</f>
        <v>0</v>
      </c>
      <c r="Y2698" s="74">
        <f>Devis[[#This Row],[Poste 4]]*Devis[[#This Row],[Prix de Revient]]</f>
        <v>0</v>
      </c>
      <c r="Z2698" s="74">
        <f>Devis[[#This Row],[Poste 5]]*Devis[[#This Row],[Prix de Revient]]</f>
        <v>0</v>
      </c>
      <c r="AA2698" s="74">
        <f>Devis[[#This Row],[Prix de Revient]]*Devis[[#This Row],[Poste 6]]</f>
        <v>0</v>
      </c>
      <c r="AB2698" s="74">
        <f>Devis[[#This Row],[Quantité Totale]]*Devis[[#This Row],[Prix de Revient]]</f>
        <v>0</v>
      </c>
    </row>
    <row r="2699" spans="1:28" ht="15" customHeight="1" x14ac:dyDescent="0.25">
      <c r="A2699" s="65" t="s">
        <v>2617</v>
      </c>
      <c r="B2699" s="65" t="s">
        <v>5384</v>
      </c>
      <c r="C2699" s="113" t="s">
        <v>5384</v>
      </c>
      <c r="D2699" s="81" t="str">
        <f t="shared" si="46"/>
        <v>RaccordsBiconesBicones</v>
      </c>
      <c r="E2699" s="76"/>
      <c r="F2699" s="76">
        <v>0</v>
      </c>
      <c r="G2699" s="71"/>
      <c r="H2699" s="71"/>
      <c r="I2699" s="71"/>
      <c r="J2699" s="70">
        <f>IFERROR(VLOOKUP(Devis[[#This Row],[Ref Air Flux]],#REF!,3,FALSE),0)</f>
        <v>0</v>
      </c>
      <c r="K2699" s="68"/>
      <c r="L2699" s="68"/>
      <c r="M2699" s="68"/>
      <c r="N2699" s="68"/>
      <c r="O2699" s="68"/>
      <c r="P2699" s="68"/>
      <c r="Q2699" s="68">
        <f>SUM(Devis[[#This Row],[Poste 1]:[Poste 6]])</f>
        <v>0</v>
      </c>
      <c r="R2699" s="71"/>
      <c r="S2699" s="68">
        <f>_xlfn.CEILING.MATH(Devis[[#This Row],[Quantité Totale]],Devis[[#This Row],[Conditionnement]])</f>
        <v>0</v>
      </c>
      <c r="T2699" s="72"/>
      <c r="U2699" s="73"/>
      <c r="V2699" s="74">
        <f>Devis[[#This Row],[Prix de Revient]]*Devis[[#This Row],[Poste 1]]</f>
        <v>0</v>
      </c>
      <c r="W2699" s="74">
        <f>Devis[[#This Row],[Prix de Revient]]*Devis[[#This Row],[Poste 2]]</f>
        <v>0</v>
      </c>
      <c r="X2699" s="74">
        <f>Devis[[#This Row],[Prix de Revient]]*Devis[[#This Row],[Poste 3]]</f>
        <v>0</v>
      </c>
      <c r="Y2699" s="74">
        <f>Devis[[#This Row],[Poste 4]]*Devis[[#This Row],[Prix de Revient]]</f>
        <v>0</v>
      </c>
      <c r="Z2699" s="74">
        <f>Devis[[#This Row],[Poste 5]]*Devis[[#This Row],[Prix de Revient]]</f>
        <v>0</v>
      </c>
      <c r="AA2699" s="74">
        <f>Devis[[#This Row],[Prix de Revient]]*Devis[[#This Row],[Poste 6]]</f>
        <v>0</v>
      </c>
      <c r="AB2699" s="74">
        <f>Devis[[#This Row],[Quantité Totale]]*Devis[[#This Row],[Prix de Revient]]</f>
        <v>0</v>
      </c>
    </row>
    <row r="2700" spans="1:28" ht="14.25" customHeight="1" outlineLevel="1" x14ac:dyDescent="0.2">
      <c r="A2700" s="75" t="s">
        <v>2617</v>
      </c>
      <c r="B2700" s="76" t="s">
        <v>5384</v>
      </c>
      <c r="C2700" s="76" t="s">
        <v>2622</v>
      </c>
      <c r="D2700" s="81" t="str">
        <f t="shared" si="46"/>
        <v>RaccordsBiconesBicones coudés</v>
      </c>
      <c r="E2700" s="76" t="s">
        <v>2623</v>
      </c>
      <c r="F2700" s="76">
        <v>1</v>
      </c>
      <c r="G2700" s="71" t="s">
        <v>2624</v>
      </c>
      <c r="H2700" s="71"/>
      <c r="I2700" s="71"/>
      <c r="J2700" s="70">
        <f>IFERROR(VLOOKUP(Devis[[#This Row],[Ref Air Flux]],#REF!,3,FALSE),0)</f>
        <v>0</v>
      </c>
      <c r="K2700" s="68"/>
      <c r="L2700" s="68"/>
      <c r="M2700" s="68"/>
      <c r="N2700" s="68"/>
      <c r="O2700" s="68"/>
      <c r="P2700" s="68"/>
      <c r="Q2700" s="68">
        <f>SUM(Devis[[#This Row],[Poste 1]:[Poste 6]])</f>
        <v>0</v>
      </c>
      <c r="R2700" s="71"/>
      <c r="S2700" s="68">
        <f>_xlfn.CEILING.MATH(Devis[[#This Row],[Quantité Totale]],Devis[[#This Row],[Conditionnement]])</f>
        <v>0</v>
      </c>
      <c r="T2700" s="72"/>
      <c r="U2700" s="73"/>
      <c r="V2700" s="74">
        <f>Devis[[#This Row],[Prix de Revient]]*Devis[[#This Row],[Poste 1]]</f>
        <v>0</v>
      </c>
      <c r="W2700" s="74">
        <f>Devis[[#This Row],[Prix de Revient]]*Devis[[#This Row],[Poste 2]]</f>
        <v>0</v>
      </c>
      <c r="X2700" s="74">
        <f>Devis[[#This Row],[Prix de Revient]]*Devis[[#This Row],[Poste 3]]</f>
        <v>0</v>
      </c>
      <c r="Y2700" s="74">
        <f>Devis[[#This Row],[Poste 4]]*Devis[[#This Row],[Prix de Revient]]</f>
        <v>0</v>
      </c>
      <c r="Z2700" s="74">
        <f>Devis[[#This Row],[Poste 5]]*Devis[[#This Row],[Prix de Revient]]</f>
        <v>0</v>
      </c>
      <c r="AA2700" s="74">
        <f>Devis[[#This Row],[Prix de Revient]]*Devis[[#This Row],[Poste 6]]</f>
        <v>0</v>
      </c>
      <c r="AB2700" s="74">
        <f>Devis[[#This Row],[Quantité Totale]]*Devis[[#This Row],[Prix de Revient]]</f>
        <v>0</v>
      </c>
    </row>
    <row r="2701" spans="1:28" ht="14.25" outlineLevel="1" x14ac:dyDescent="0.2">
      <c r="A2701" s="75" t="s">
        <v>2617</v>
      </c>
      <c r="B2701" s="76" t="s">
        <v>5384</v>
      </c>
      <c r="C2701" s="76" t="s">
        <v>2622</v>
      </c>
      <c r="D2701" s="81" t="str">
        <f t="shared" si="46"/>
        <v>RaccordsBiconesBicones coudés</v>
      </c>
      <c r="E2701" s="76" t="s">
        <v>2625</v>
      </c>
      <c r="F2701" s="76">
        <v>2</v>
      </c>
      <c r="G2701" s="71" t="s">
        <v>2626</v>
      </c>
      <c r="H2701" s="71"/>
      <c r="I2701" s="71"/>
      <c r="J2701" s="70">
        <f>IFERROR(VLOOKUP(Devis[[#This Row],[Ref Air Flux]],#REF!,3,FALSE),0)</f>
        <v>0</v>
      </c>
      <c r="K2701" s="68"/>
      <c r="L2701" s="68"/>
      <c r="M2701" s="68"/>
      <c r="N2701" s="68"/>
      <c r="O2701" s="68"/>
      <c r="P2701" s="68"/>
      <c r="Q2701" s="68">
        <f>SUM(Devis[[#This Row],[Poste 1]:[Poste 6]])</f>
        <v>0</v>
      </c>
      <c r="R2701" s="71"/>
      <c r="S2701" s="68">
        <f>_xlfn.CEILING.MATH(Devis[[#This Row],[Quantité Totale]],Devis[[#This Row],[Conditionnement]])</f>
        <v>0</v>
      </c>
      <c r="T2701" s="72"/>
      <c r="U2701" s="73"/>
      <c r="V2701" s="74">
        <f>Devis[[#This Row],[Prix de Revient]]*Devis[[#This Row],[Poste 1]]</f>
        <v>0</v>
      </c>
      <c r="W2701" s="74">
        <f>Devis[[#This Row],[Prix de Revient]]*Devis[[#This Row],[Poste 2]]</f>
        <v>0</v>
      </c>
      <c r="X2701" s="74">
        <f>Devis[[#This Row],[Prix de Revient]]*Devis[[#This Row],[Poste 3]]</f>
        <v>0</v>
      </c>
      <c r="Y2701" s="74">
        <f>Devis[[#This Row],[Poste 4]]*Devis[[#This Row],[Prix de Revient]]</f>
        <v>0</v>
      </c>
      <c r="Z2701" s="74">
        <f>Devis[[#This Row],[Poste 5]]*Devis[[#This Row],[Prix de Revient]]</f>
        <v>0</v>
      </c>
      <c r="AA2701" s="74">
        <f>Devis[[#This Row],[Prix de Revient]]*Devis[[#This Row],[Poste 6]]</f>
        <v>0</v>
      </c>
      <c r="AB2701" s="74">
        <f>Devis[[#This Row],[Quantité Totale]]*Devis[[#This Row],[Prix de Revient]]</f>
        <v>0</v>
      </c>
    </row>
    <row r="2702" spans="1:28" ht="14.25" outlineLevel="1" x14ac:dyDescent="0.2">
      <c r="A2702" s="75" t="s">
        <v>2617</v>
      </c>
      <c r="B2702" s="76" t="s">
        <v>5384</v>
      </c>
      <c r="C2702" s="76" t="s">
        <v>2622</v>
      </c>
      <c r="D2702" s="81" t="str">
        <f t="shared" si="46"/>
        <v>RaccordsBiconesBicones coudés</v>
      </c>
      <c r="E2702" s="76" t="s">
        <v>2627</v>
      </c>
      <c r="F2702" s="76">
        <v>3</v>
      </c>
      <c r="G2702" s="71" t="s">
        <v>2628</v>
      </c>
      <c r="H2702" s="71"/>
      <c r="I2702" s="71"/>
      <c r="J2702" s="70">
        <f>IFERROR(VLOOKUP(Devis[[#This Row],[Ref Air Flux]],#REF!,3,FALSE),0)</f>
        <v>0</v>
      </c>
      <c r="K2702" s="68"/>
      <c r="L2702" s="68"/>
      <c r="M2702" s="68"/>
      <c r="N2702" s="68"/>
      <c r="O2702" s="68"/>
      <c r="P2702" s="68"/>
      <c r="Q2702" s="68">
        <f>SUM(Devis[[#This Row],[Poste 1]:[Poste 6]])</f>
        <v>0</v>
      </c>
      <c r="R2702" s="71"/>
      <c r="S2702" s="68">
        <f>_xlfn.CEILING.MATH(Devis[[#This Row],[Quantité Totale]],Devis[[#This Row],[Conditionnement]])</f>
        <v>0</v>
      </c>
      <c r="T2702" s="72"/>
      <c r="U2702" s="73"/>
      <c r="V2702" s="74">
        <f>Devis[[#This Row],[Prix de Revient]]*Devis[[#This Row],[Poste 1]]</f>
        <v>0</v>
      </c>
      <c r="W2702" s="74">
        <f>Devis[[#This Row],[Prix de Revient]]*Devis[[#This Row],[Poste 2]]</f>
        <v>0</v>
      </c>
      <c r="X2702" s="74">
        <f>Devis[[#This Row],[Prix de Revient]]*Devis[[#This Row],[Poste 3]]</f>
        <v>0</v>
      </c>
      <c r="Y2702" s="74">
        <f>Devis[[#This Row],[Poste 4]]*Devis[[#This Row],[Prix de Revient]]</f>
        <v>0</v>
      </c>
      <c r="Z2702" s="74">
        <f>Devis[[#This Row],[Poste 5]]*Devis[[#This Row],[Prix de Revient]]</f>
        <v>0</v>
      </c>
      <c r="AA2702" s="74">
        <f>Devis[[#This Row],[Prix de Revient]]*Devis[[#This Row],[Poste 6]]</f>
        <v>0</v>
      </c>
      <c r="AB2702" s="74">
        <f>Devis[[#This Row],[Quantité Totale]]*Devis[[#This Row],[Prix de Revient]]</f>
        <v>0</v>
      </c>
    </row>
    <row r="2703" spans="1:28" ht="14.25" customHeight="1" outlineLevel="1" x14ac:dyDescent="0.2">
      <c r="A2703" s="75" t="s">
        <v>2617</v>
      </c>
      <c r="B2703" s="76" t="s">
        <v>5384</v>
      </c>
      <c r="C2703" s="76" t="s">
        <v>2622</v>
      </c>
      <c r="D2703" s="81" t="str">
        <f t="shared" si="46"/>
        <v>RaccordsBiconesBicones coudés</v>
      </c>
      <c r="E2703" s="76" t="s">
        <v>2629</v>
      </c>
      <c r="F2703" s="76">
        <v>4</v>
      </c>
      <c r="G2703" s="71" t="s">
        <v>2630</v>
      </c>
      <c r="H2703" s="71"/>
      <c r="I2703" s="71"/>
      <c r="J2703" s="70">
        <f>IFERROR(VLOOKUP(Devis[[#This Row],[Ref Air Flux]],#REF!,3,FALSE),0)</f>
        <v>0</v>
      </c>
      <c r="K2703" s="68"/>
      <c r="L2703" s="68"/>
      <c r="M2703" s="68"/>
      <c r="N2703" s="68"/>
      <c r="O2703" s="68"/>
      <c r="P2703" s="68"/>
      <c r="Q2703" s="68">
        <f>SUM(Devis[[#This Row],[Poste 1]:[Poste 6]])</f>
        <v>0</v>
      </c>
      <c r="R2703" s="71"/>
      <c r="S2703" s="68">
        <f>_xlfn.CEILING.MATH(Devis[[#This Row],[Quantité Totale]],Devis[[#This Row],[Conditionnement]])</f>
        <v>0</v>
      </c>
      <c r="T2703" s="72"/>
      <c r="U2703" s="73"/>
      <c r="V2703" s="74">
        <f>Devis[[#This Row],[Prix de Revient]]*Devis[[#This Row],[Poste 1]]</f>
        <v>0</v>
      </c>
      <c r="W2703" s="74">
        <f>Devis[[#This Row],[Prix de Revient]]*Devis[[#This Row],[Poste 2]]</f>
        <v>0</v>
      </c>
      <c r="X2703" s="74">
        <f>Devis[[#This Row],[Prix de Revient]]*Devis[[#This Row],[Poste 3]]</f>
        <v>0</v>
      </c>
      <c r="Y2703" s="74">
        <f>Devis[[#This Row],[Poste 4]]*Devis[[#This Row],[Prix de Revient]]</f>
        <v>0</v>
      </c>
      <c r="Z2703" s="74">
        <f>Devis[[#This Row],[Poste 5]]*Devis[[#This Row],[Prix de Revient]]</f>
        <v>0</v>
      </c>
      <c r="AA2703" s="74">
        <f>Devis[[#This Row],[Prix de Revient]]*Devis[[#This Row],[Poste 6]]</f>
        <v>0</v>
      </c>
      <c r="AB2703" s="74">
        <f>Devis[[#This Row],[Quantité Totale]]*Devis[[#This Row],[Prix de Revient]]</f>
        <v>0</v>
      </c>
    </row>
    <row r="2704" spans="1:28" ht="14.25" outlineLevel="1" x14ac:dyDescent="0.2">
      <c r="A2704" s="75" t="s">
        <v>2617</v>
      </c>
      <c r="B2704" s="76" t="s">
        <v>5384</v>
      </c>
      <c r="C2704" s="76" t="s">
        <v>2622</v>
      </c>
      <c r="D2704" s="81" t="str">
        <f t="shared" si="46"/>
        <v>RaccordsBiconesBicones coudés</v>
      </c>
      <c r="E2704" s="76" t="s">
        <v>2631</v>
      </c>
      <c r="F2704" s="76">
        <v>5</v>
      </c>
      <c r="G2704" s="71" t="s">
        <v>2632</v>
      </c>
      <c r="H2704" s="71"/>
      <c r="I2704" s="71"/>
      <c r="J2704" s="70">
        <f>IFERROR(VLOOKUP(Devis[[#This Row],[Ref Air Flux]],#REF!,3,FALSE),0)</f>
        <v>0</v>
      </c>
      <c r="K2704" s="68"/>
      <c r="L2704" s="68"/>
      <c r="M2704" s="68"/>
      <c r="N2704" s="68"/>
      <c r="O2704" s="68"/>
      <c r="P2704" s="68"/>
      <c r="Q2704" s="68">
        <f>SUM(Devis[[#This Row],[Poste 1]:[Poste 6]])</f>
        <v>0</v>
      </c>
      <c r="R2704" s="71"/>
      <c r="S2704" s="68">
        <f>_xlfn.CEILING.MATH(Devis[[#This Row],[Quantité Totale]],Devis[[#This Row],[Conditionnement]])</f>
        <v>0</v>
      </c>
      <c r="T2704" s="72"/>
      <c r="U2704" s="73"/>
      <c r="V2704" s="74">
        <f>Devis[[#This Row],[Prix de Revient]]*Devis[[#This Row],[Poste 1]]</f>
        <v>0</v>
      </c>
      <c r="W2704" s="74">
        <f>Devis[[#This Row],[Prix de Revient]]*Devis[[#This Row],[Poste 2]]</f>
        <v>0</v>
      </c>
      <c r="X2704" s="74">
        <f>Devis[[#This Row],[Prix de Revient]]*Devis[[#This Row],[Poste 3]]</f>
        <v>0</v>
      </c>
      <c r="Y2704" s="74">
        <f>Devis[[#This Row],[Poste 4]]*Devis[[#This Row],[Prix de Revient]]</f>
        <v>0</v>
      </c>
      <c r="Z2704" s="74">
        <f>Devis[[#This Row],[Poste 5]]*Devis[[#This Row],[Prix de Revient]]</f>
        <v>0</v>
      </c>
      <c r="AA2704" s="74">
        <f>Devis[[#This Row],[Prix de Revient]]*Devis[[#This Row],[Poste 6]]</f>
        <v>0</v>
      </c>
      <c r="AB2704" s="74">
        <f>Devis[[#This Row],[Quantité Totale]]*Devis[[#This Row],[Prix de Revient]]</f>
        <v>0</v>
      </c>
    </row>
    <row r="2705" spans="1:28" ht="14.25" outlineLevel="1" x14ac:dyDescent="0.2">
      <c r="A2705" s="75" t="s">
        <v>2617</v>
      </c>
      <c r="B2705" s="76" t="s">
        <v>5384</v>
      </c>
      <c r="C2705" s="76" t="s">
        <v>2622</v>
      </c>
      <c r="D2705" s="81" t="str">
        <f t="shared" si="46"/>
        <v>RaccordsBiconesBicones coudés</v>
      </c>
      <c r="E2705" s="76" t="s">
        <v>2633</v>
      </c>
      <c r="F2705" s="76">
        <v>6</v>
      </c>
      <c r="G2705" s="71" t="s">
        <v>2634</v>
      </c>
      <c r="H2705" s="71"/>
      <c r="I2705" s="71"/>
      <c r="J2705" s="70">
        <f>IFERROR(VLOOKUP(Devis[[#This Row],[Ref Air Flux]],#REF!,3,FALSE),0)</f>
        <v>0</v>
      </c>
      <c r="K2705" s="68"/>
      <c r="L2705" s="68"/>
      <c r="M2705" s="68"/>
      <c r="N2705" s="68"/>
      <c r="O2705" s="68"/>
      <c r="P2705" s="68"/>
      <c r="Q2705" s="68">
        <f>SUM(Devis[[#This Row],[Poste 1]:[Poste 6]])</f>
        <v>0</v>
      </c>
      <c r="R2705" s="71"/>
      <c r="S2705" s="68">
        <f>_xlfn.CEILING.MATH(Devis[[#This Row],[Quantité Totale]],Devis[[#This Row],[Conditionnement]])</f>
        <v>0</v>
      </c>
      <c r="T2705" s="72"/>
      <c r="U2705" s="73"/>
      <c r="V2705" s="74">
        <f>Devis[[#This Row],[Prix de Revient]]*Devis[[#This Row],[Poste 1]]</f>
        <v>0</v>
      </c>
      <c r="W2705" s="74">
        <f>Devis[[#This Row],[Prix de Revient]]*Devis[[#This Row],[Poste 2]]</f>
        <v>0</v>
      </c>
      <c r="X2705" s="74">
        <f>Devis[[#This Row],[Prix de Revient]]*Devis[[#This Row],[Poste 3]]</f>
        <v>0</v>
      </c>
      <c r="Y2705" s="74">
        <f>Devis[[#This Row],[Poste 4]]*Devis[[#This Row],[Prix de Revient]]</f>
        <v>0</v>
      </c>
      <c r="Z2705" s="74">
        <f>Devis[[#This Row],[Poste 5]]*Devis[[#This Row],[Prix de Revient]]</f>
        <v>0</v>
      </c>
      <c r="AA2705" s="74">
        <f>Devis[[#This Row],[Prix de Revient]]*Devis[[#This Row],[Poste 6]]</f>
        <v>0</v>
      </c>
      <c r="AB2705" s="74">
        <f>Devis[[#This Row],[Quantité Totale]]*Devis[[#This Row],[Prix de Revient]]</f>
        <v>0</v>
      </c>
    </row>
    <row r="2706" spans="1:28" ht="14.25" outlineLevel="1" x14ac:dyDescent="0.2">
      <c r="A2706" s="75" t="s">
        <v>2617</v>
      </c>
      <c r="B2706" s="76" t="s">
        <v>5384</v>
      </c>
      <c r="C2706" s="76" t="s">
        <v>2622</v>
      </c>
      <c r="D2706" s="81" t="str">
        <f t="shared" si="46"/>
        <v>RaccordsBiconesBicones coudés</v>
      </c>
      <c r="E2706" s="76" t="s">
        <v>2635</v>
      </c>
      <c r="F2706" s="76">
        <v>7</v>
      </c>
      <c r="G2706" s="71" t="s">
        <v>2636</v>
      </c>
      <c r="H2706" s="71"/>
      <c r="I2706" s="71"/>
      <c r="J2706" s="70">
        <f>IFERROR(VLOOKUP(Devis[[#This Row],[Ref Air Flux]],#REF!,3,FALSE),0)</f>
        <v>0</v>
      </c>
      <c r="K2706" s="68"/>
      <c r="L2706" s="68"/>
      <c r="M2706" s="68"/>
      <c r="N2706" s="68"/>
      <c r="O2706" s="68"/>
      <c r="P2706" s="68"/>
      <c r="Q2706" s="68">
        <f>SUM(Devis[[#This Row],[Poste 1]:[Poste 6]])</f>
        <v>0</v>
      </c>
      <c r="R2706" s="71"/>
      <c r="S2706" s="68">
        <f>_xlfn.CEILING.MATH(Devis[[#This Row],[Quantité Totale]],Devis[[#This Row],[Conditionnement]])</f>
        <v>0</v>
      </c>
      <c r="T2706" s="72"/>
      <c r="U2706" s="73"/>
      <c r="V2706" s="74">
        <f>Devis[[#This Row],[Prix de Revient]]*Devis[[#This Row],[Poste 1]]</f>
        <v>0</v>
      </c>
      <c r="W2706" s="74">
        <f>Devis[[#This Row],[Prix de Revient]]*Devis[[#This Row],[Poste 2]]</f>
        <v>0</v>
      </c>
      <c r="X2706" s="74">
        <f>Devis[[#This Row],[Prix de Revient]]*Devis[[#This Row],[Poste 3]]</f>
        <v>0</v>
      </c>
      <c r="Y2706" s="74">
        <f>Devis[[#This Row],[Poste 4]]*Devis[[#This Row],[Prix de Revient]]</f>
        <v>0</v>
      </c>
      <c r="Z2706" s="74">
        <f>Devis[[#This Row],[Poste 5]]*Devis[[#This Row],[Prix de Revient]]</f>
        <v>0</v>
      </c>
      <c r="AA2706" s="74">
        <f>Devis[[#This Row],[Prix de Revient]]*Devis[[#This Row],[Poste 6]]</f>
        <v>0</v>
      </c>
      <c r="AB2706" s="74">
        <f>Devis[[#This Row],[Quantité Totale]]*Devis[[#This Row],[Prix de Revient]]</f>
        <v>0</v>
      </c>
    </row>
    <row r="2707" spans="1:28" ht="14.25" outlineLevel="1" x14ac:dyDescent="0.2">
      <c r="A2707" s="75" t="s">
        <v>2617</v>
      </c>
      <c r="B2707" s="76" t="s">
        <v>5384</v>
      </c>
      <c r="C2707" s="76" t="s">
        <v>2622</v>
      </c>
      <c r="D2707" s="81" t="str">
        <f t="shared" si="46"/>
        <v>RaccordsBiconesBicones coudés</v>
      </c>
      <c r="E2707" s="76" t="s">
        <v>2637</v>
      </c>
      <c r="F2707" s="76">
        <v>8</v>
      </c>
      <c r="G2707" s="71" t="s">
        <v>2638</v>
      </c>
      <c r="H2707" s="71"/>
      <c r="I2707" s="71"/>
      <c r="J2707" s="70">
        <f>IFERROR(VLOOKUP(Devis[[#This Row],[Ref Air Flux]],#REF!,3,FALSE),0)</f>
        <v>0</v>
      </c>
      <c r="K2707" s="68"/>
      <c r="L2707" s="68"/>
      <c r="M2707" s="68"/>
      <c r="N2707" s="68"/>
      <c r="O2707" s="68"/>
      <c r="P2707" s="68"/>
      <c r="Q2707" s="68">
        <f>SUM(Devis[[#This Row],[Poste 1]:[Poste 6]])</f>
        <v>0</v>
      </c>
      <c r="R2707" s="71"/>
      <c r="S2707" s="68">
        <f>_xlfn.CEILING.MATH(Devis[[#This Row],[Quantité Totale]],Devis[[#This Row],[Conditionnement]])</f>
        <v>0</v>
      </c>
      <c r="T2707" s="72"/>
      <c r="U2707" s="73"/>
      <c r="V2707" s="74">
        <f>Devis[[#This Row],[Prix de Revient]]*Devis[[#This Row],[Poste 1]]</f>
        <v>0</v>
      </c>
      <c r="W2707" s="74">
        <f>Devis[[#This Row],[Prix de Revient]]*Devis[[#This Row],[Poste 2]]</f>
        <v>0</v>
      </c>
      <c r="X2707" s="74">
        <f>Devis[[#This Row],[Prix de Revient]]*Devis[[#This Row],[Poste 3]]</f>
        <v>0</v>
      </c>
      <c r="Y2707" s="74">
        <f>Devis[[#This Row],[Poste 4]]*Devis[[#This Row],[Prix de Revient]]</f>
        <v>0</v>
      </c>
      <c r="Z2707" s="74">
        <f>Devis[[#This Row],[Poste 5]]*Devis[[#This Row],[Prix de Revient]]</f>
        <v>0</v>
      </c>
      <c r="AA2707" s="74">
        <f>Devis[[#This Row],[Prix de Revient]]*Devis[[#This Row],[Poste 6]]</f>
        <v>0</v>
      </c>
      <c r="AB2707" s="74">
        <f>Devis[[#This Row],[Quantité Totale]]*Devis[[#This Row],[Prix de Revient]]</f>
        <v>0</v>
      </c>
    </row>
    <row r="2708" spans="1:28" ht="14.25" outlineLevel="1" x14ac:dyDescent="0.2">
      <c r="A2708" s="75" t="s">
        <v>2617</v>
      </c>
      <c r="B2708" s="76" t="s">
        <v>5384</v>
      </c>
      <c r="C2708" s="76" t="s">
        <v>2622</v>
      </c>
      <c r="D2708" s="81" t="str">
        <f t="shared" si="46"/>
        <v>RaccordsBiconesBicones coudés</v>
      </c>
      <c r="E2708" s="76" t="s">
        <v>2639</v>
      </c>
      <c r="F2708" s="76">
        <v>9</v>
      </c>
      <c r="G2708" s="71" t="s">
        <v>2640</v>
      </c>
      <c r="H2708" s="71"/>
      <c r="I2708" s="71"/>
      <c r="J2708" s="70">
        <f>IFERROR(VLOOKUP(Devis[[#This Row],[Ref Air Flux]],#REF!,3,FALSE),0)</f>
        <v>0</v>
      </c>
      <c r="K2708" s="68"/>
      <c r="L2708" s="68"/>
      <c r="M2708" s="68"/>
      <c r="N2708" s="68"/>
      <c r="O2708" s="68"/>
      <c r="P2708" s="68"/>
      <c r="Q2708" s="68">
        <f>SUM(Devis[[#This Row],[Poste 1]:[Poste 6]])</f>
        <v>0</v>
      </c>
      <c r="R2708" s="71"/>
      <c r="S2708" s="68">
        <f>_xlfn.CEILING.MATH(Devis[[#This Row],[Quantité Totale]],Devis[[#This Row],[Conditionnement]])</f>
        <v>0</v>
      </c>
      <c r="T2708" s="72"/>
      <c r="U2708" s="73"/>
      <c r="V2708" s="74">
        <f>Devis[[#This Row],[Prix de Revient]]*Devis[[#This Row],[Poste 1]]</f>
        <v>0</v>
      </c>
      <c r="W2708" s="74">
        <f>Devis[[#This Row],[Prix de Revient]]*Devis[[#This Row],[Poste 2]]</f>
        <v>0</v>
      </c>
      <c r="X2708" s="74">
        <f>Devis[[#This Row],[Prix de Revient]]*Devis[[#This Row],[Poste 3]]</f>
        <v>0</v>
      </c>
      <c r="Y2708" s="74">
        <f>Devis[[#This Row],[Poste 4]]*Devis[[#This Row],[Prix de Revient]]</f>
        <v>0</v>
      </c>
      <c r="Z2708" s="74">
        <f>Devis[[#This Row],[Poste 5]]*Devis[[#This Row],[Prix de Revient]]</f>
        <v>0</v>
      </c>
      <c r="AA2708" s="74">
        <f>Devis[[#This Row],[Prix de Revient]]*Devis[[#This Row],[Poste 6]]</f>
        <v>0</v>
      </c>
      <c r="AB2708" s="74">
        <f>Devis[[#This Row],[Quantité Totale]]*Devis[[#This Row],[Prix de Revient]]</f>
        <v>0</v>
      </c>
    </row>
    <row r="2709" spans="1:28" ht="15" customHeight="1" outlineLevel="1" x14ac:dyDescent="0.2">
      <c r="A2709" s="75" t="s">
        <v>2617</v>
      </c>
      <c r="B2709" s="76" t="s">
        <v>5384</v>
      </c>
      <c r="C2709" s="76" t="s">
        <v>2622</v>
      </c>
      <c r="D2709" s="81" t="str">
        <f t="shared" si="46"/>
        <v>RaccordsBiconesBicones coudés</v>
      </c>
      <c r="E2709" s="76" t="s">
        <v>2641</v>
      </c>
      <c r="F2709" s="76">
        <v>10</v>
      </c>
      <c r="G2709" s="71" t="s">
        <v>2642</v>
      </c>
      <c r="H2709" s="71"/>
      <c r="I2709" s="71"/>
      <c r="J2709" s="70">
        <f>IFERROR(VLOOKUP(Devis[[#This Row],[Ref Air Flux]],#REF!,3,FALSE),0)</f>
        <v>0</v>
      </c>
      <c r="K2709" s="68"/>
      <c r="L2709" s="68"/>
      <c r="M2709" s="68"/>
      <c r="N2709" s="68"/>
      <c r="O2709" s="68"/>
      <c r="P2709" s="68"/>
      <c r="Q2709" s="68">
        <f>SUM(Devis[[#This Row],[Poste 1]:[Poste 6]])</f>
        <v>0</v>
      </c>
      <c r="R2709" s="71"/>
      <c r="S2709" s="68">
        <f>_xlfn.CEILING.MATH(Devis[[#This Row],[Quantité Totale]],Devis[[#This Row],[Conditionnement]])</f>
        <v>0</v>
      </c>
      <c r="T2709" s="72"/>
      <c r="U2709" s="73"/>
      <c r="V2709" s="74">
        <f>Devis[[#This Row],[Prix de Revient]]*Devis[[#This Row],[Poste 1]]</f>
        <v>0</v>
      </c>
      <c r="W2709" s="74">
        <f>Devis[[#This Row],[Prix de Revient]]*Devis[[#This Row],[Poste 2]]</f>
        <v>0</v>
      </c>
      <c r="X2709" s="74">
        <f>Devis[[#This Row],[Prix de Revient]]*Devis[[#This Row],[Poste 3]]</f>
        <v>0</v>
      </c>
      <c r="Y2709" s="74">
        <f>Devis[[#This Row],[Poste 4]]*Devis[[#This Row],[Prix de Revient]]</f>
        <v>0</v>
      </c>
      <c r="Z2709" s="74">
        <f>Devis[[#This Row],[Poste 5]]*Devis[[#This Row],[Prix de Revient]]</f>
        <v>0</v>
      </c>
      <c r="AA2709" s="74">
        <f>Devis[[#This Row],[Prix de Revient]]*Devis[[#This Row],[Poste 6]]</f>
        <v>0</v>
      </c>
      <c r="AB2709" s="74">
        <f>Devis[[#This Row],[Quantité Totale]]*Devis[[#This Row],[Prix de Revient]]</f>
        <v>0</v>
      </c>
    </row>
    <row r="2710" spans="1:28" ht="14.25" outlineLevel="1" x14ac:dyDescent="0.2">
      <c r="A2710" s="75" t="s">
        <v>2617</v>
      </c>
      <c r="B2710" s="76" t="s">
        <v>5384</v>
      </c>
      <c r="C2710" s="76" t="s">
        <v>2643</v>
      </c>
      <c r="D2710" s="81" t="str">
        <f t="shared" si="46"/>
        <v>RaccordsBiconesBicones doubles</v>
      </c>
      <c r="E2710" s="76">
        <v>4</v>
      </c>
      <c r="F2710" s="76">
        <v>12</v>
      </c>
      <c r="G2710" s="71" t="s">
        <v>2644</v>
      </c>
      <c r="H2710" s="71"/>
      <c r="I2710" s="71"/>
      <c r="J2710" s="70">
        <f>IFERROR(VLOOKUP(Devis[[#This Row],[Ref Air Flux]],#REF!,3,FALSE),0)</f>
        <v>0</v>
      </c>
      <c r="K2710" s="68"/>
      <c r="L2710" s="68"/>
      <c r="M2710" s="68"/>
      <c r="N2710" s="68"/>
      <c r="O2710" s="68"/>
      <c r="P2710" s="68"/>
      <c r="Q2710" s="68">
        <f>SUM(Devis[[#This Row],[Poste 1]:[Poste 6]])</f>
        <v>0</v>
      </c>
      <c r="R2710" s="71"/>
      <c r="S2710" s="68">
        <f>_xlfn.CEILING.MATH(Devis[[#This Row],[Quantité Totale]],Devis[[#This Row],[Conditionnement]])</f>
        <v>0</v>
      </c>
      <c r="T2710" s="72"/>
      <c r="U2710" s="73"/>
      <c r="V2710" s="74">
        <f>Devis[[#This Row],[Prix de Revient]]*Devis[[#This Row],[Poste 1]]</f>
        <v>0</v>
      </c>
      <c r="W2710" s="74">
        <f>Devis[[#This Row],[Prix de Revient]]*Devis[[#This Row],[Poste 2]]</f>
        <v>0</v>
      </c>
      <c r="X2710" s="74">
        <f>Devis[[#This Row],[Prix de Revient]]*Devis[[#This Row],[Poste 3]]</f>
        <v>0</v>
      </c>
      <c r="Y2710" s="74">
        <f>Devis[[#This Row],[Poste 4]]*Devis[[#This Row],[Prix de Revient]]</f>
        <v>0</v>
      </c>
      <c r="Z2710" s="74">
        <f>Devis[[#This Row],[Poste 5]]*Devis[[#This Row],[Prix de Revient]]</f>
        <v>0</v>
      </c>
      <c r="AA2710" s="74">
        <f>Devis[[#This Row],[Prix de Revient]]*Devis[[#This Row],[Poste 6]]</f>
        <v>0</v>
      </c>
      <c r="AB2710" s="74">
        <f>Devis[[#This Row],[Quantité Totale]]*Devis[[#This Row],[Prix de Revient]]</f>
        <v>0</v>
      </c>
    </row>
    <row r="2711" spans="1:28" ht="14.25" outlineLevel="1" x14ac:dyDescent="0.2">
      <c r="A2711" s="75" t="s">
        <v>2617</v>
      </c>
      <c r="B2711" s="76" t="s">
        <v>5384</v>
      </c>
      <c r="C2711" s="76" t="s">
        <v>2643</v>
      </c>
      <c r="D2711" s="81" t="str">
        <f t="shared" si="46"/>
        <v>RaccordsBiconesBicones doubles</v>
      </c>
      <c r="E2711" s="76">
        <v>6</v>
      </c>
      <c r="F2711" s="76">
        <v>13</v>
      </c>
      <c r="G2711" s="71" t="s">
        <v>2645</v>
      </c>
      <c r="H2711" s="71"/>
      <c r="I2711" s="71"/>
      <c r="J2711" s="70">
        <f>IFERROR(VLOOKUP(Devis[[#This Row],[Ref Air Flux]],#REF!,3,FALSE),0)</f>
        <v>0</v>
      </c>
      <c r="K2711" s="68"/>
      <c r="L2711" s="68"/>
      <c r="M2711" s="68"/>
      <c r="N2711" s="68"/>
      <c r="O2711" s="68"/>
      <c r="P2711" s="68"/>
      <c r="Q2711" s="68">
        <f>SUM(Devis[[#This Row],[Poste 1]:[Poste 6]])</f>
        <v>0</v>
      </c>
      <c r="R2711" s="71"/>
      <c r="S2711" s="68">
        <f>_xlfn.CEILING.MATH(Devis[[#This Row],[Quantité Totale]],Devis[[#This Row],[Conditionnement]])</f>
        <v>0</v>
      </c>
      <c r="T2711" s="72"/>
      <c r="U2711" s="73"/>
      <c r="V2711" s="74">
        <f>Devis[[#This Row],[Prix de Revient]]*Devis[[#This Row],[Poste 1]]</f>
        <v>0</v>
      </c>
      <c r="W2711" s="74">
        <f>Devis[[#This Row],[Prix de Revient]]*Devis[[#This Row],[Poste 2]]</f>
        <v>0</v>
      </c>
      <c r="X2711" s="74">
        <f>Devis[[#This Row],[Prix de Revient]]*Devis[[#This Row],[Poste 3]]</f>
        <v>0</v>
      </c>
      <c r="Y2711" s="74">
        <f>Devis[[#This Row],[Poste 4]]*Devis[[#This Row],[Prix de Revient]]</f>
        <v>0</v>
      </c>
      <c r="Z2711" s="74">
        <f>Devis[[#This Row],[Poste 5]]*Devis[[#This Row],[Prix de Revient]]</f>
        <v>0</v>
      </c>
      <c r="AA2711" s="74">
        <f>Devis[[#This Row],[Prix de Revient]]*Devis[[#This Row],[Poste 6]]</f>
        <v>0</v>
      </c>
      <c r="AB2711" s="74">
        <f>Devis[[#This Row],[Quantité Totale]]*Devis[[#This Row],[Prix de Revient]]</f>
        <v>0</v>
      </c>
    </row>
    <row r="2712" spans="1:28" ht="14.25" outlineLevel="1" x14ac:dyDescent="0.2">
      <c r="A2712" s="75" t="s">
        <v>2617</v>
      </c>
      <c r="B2712" s="76" t="s">
        <v>5384</v>
      </c>
      <c r="C2712" s="76" t="s">
        <v>2643</v>
      </c>
      <c r="D2712" s="81" t="str">
        <f t="shared" si="46"/>
        <v>RaccordsBiconesBicones doubles</v>
      </c>
      <c r="E2712" s="76">
        <v>8</v>
      </c>
      <c r="F2712" s="76">
        <v>14</v>
      </c>
      <c r="G2712" s="71" t="s">
        <v>2646</v>
      </c>
      <c r="H2712" s="71"/>
      <c r="I2712" s="71"/>
      <c r="J2712" s="70">
        <f>IFERROR(VLOOKUP(Devis[[#This Row],[Ref Air Flux]],#REF!,3,FALSE),0)</f>
        <v>0</v>
      </c>
      <c r="K2712" s="68"/>
      <c r="L2712" s="68"/>
      <c r="M2712" s="68"/>
      <c r="N2712" s="68"/>
      <c r="O2712" s="68"/>
      <c r="P2712" s="68"/>
      <c r="Q2712" s="68">
        <f>SUM(Devis[[#This Row],[Poste 1]:[Poste 6]])</f>
        <v>0</v>
      </c>
      <c r="R2712" s="71"/>
      <c r="S2712" s="68">
        <f>_xlfn.CEILING.MATH(Devis[[#This Row],[Quantité Totale]],Devis[[#This Row],[Conditionnement]])</f>
        <v>0</v>
      </c>
      <c r="T2712" s="72"/>
      <c r="U2712" s="73"/>
      <c r="V2712" s="74">
        <f>Devis[[#This Row],[Prix de Revient]]*Devis[[#This Row],[Poste 1]]</f>
        <v>0</v>
      </c>
      <c r="W2712" s="74">
        <f>Devis[[#This Row],[Prix de Revient]]*Devis[[#This Row],[Poste 2]]</f>
        <v>0</v>
      </c>
      <c r="X2712" s="74">
        <f>Devis[[#This Row],[Prix de Revient]]*Devis[[#This Row],[Poste 3]]</f>
        <v>0</v>
      </c>
      <c r="Y2712" s="74">
        <f>Devis[[#This Row],[Poste 4]]*Devis[[#This Row],[Prix de Revient]]</f>
        <v>0</v>
      </c>
      <c r="Z2712" s="74">
        <f>Devis[[#This Row],[Poste 5]]*Devis[[#This Row],[Prix de Revient]]</f>
        <v>0</v>
      </c>
      <c r="AA2712" s="74">
        <f>Devis[[#This Row],[Prix de Revient]]*Devis[[#This Row],[Poste 6]]</f>
        <v>0</v>
      </c>
      <c r="AB2712" s="74">
        <f>Devis[[#This Row],[Quantité Totale]]*Devis[[#This Row],[Prix de Revient]]</f>
        <v>0</v>
      </c>
    </row>
    <row r="2713" spans="1:28" ht="14.25" outlineLevel="1" x14ac:dyDescent="0.2">
      <c r="A2713" s="75" t="s">
        <v>2617</v>
      </c>
      <c r="B2713" s="76" t="s">
        <v>5384</v>
      </c>
      <c r="C2713" s="76" t="s">
        <v>2643</v>
      </c>
      <c r="D2713" s="81" t="str">
        <f t="shared" si="46"/>
        <v>RaccordsBiconesBicones doubles</v>
      </c>
      <c r="E2713" s="76">
        <v>10</v>
      </c>
      <c r="F2713" s="76">
        <v>15</v>
      </c>
      <c r="G2713" s="71" t="s">
        <v>2647</v>
      </c>
      <c r="H2713" s="71"/>
      <c r="I2713" s="71"/>
      <c r="J2713" s="70">
        <f>IFERROR(VLOOKUP(Devis[[#This Row],[Ref Air Flux]],#REF!,3,FALSE),0)</f>
        <v>0</v>
      </c>
      <c r="K2713" s="68"/>
      <c r="L2713" s="68"/>
      <c r="M2713" s="68"/>
      <c r="N2713" s="68"/>
      <c r="O2713" s="68"/>
      <c r="P2713" s="68"/>
      <c r="Q2713" s="68">
        <f>SUM(Devis[[#This Row],[Poste 1]:[Poste 6]])</f>
        <v>0</v>
      </c>
      <c r="R2713" s="71"/>
      <c r="S2713" s="68">
        <f>_xlfn.CEILING.MATH(Devis[[#This Row],[Quantité Totale]],Devis[[#This Row],[Conditionnement]])</f>
        <v>0</v>
      </c>
      <c r="T2713" s="72"/>
      <c r="U2713" s="73"/>
      <c r="V2713" s="74">
        <f>Devis[[#This Row],[Prix de Revient]]*Devis[[#This Row],[Poste 1]]</f>
        <v>0</v>
      </c>
      <c r="W2713" s="74">
        <f>Devis[[#This Row],[Prix de Revient]]*Devis[[#This Row],[Poste 2]]</f>
        <v>0</v>
      </c>
      <c r="X2713" s="74">
        <f>Devis[[#This Row],[Prix de Revient]]*Devis[[#This Row],[Poste 3]]</f>
        <v>0</v>
      </c>
      <c r="Y2713" s="74">
        <f>Devis[[#This Row],[Poste 4]]*Devis[[#This Row],[Prix de Revient]]</f>
        <v>0</v>
      </c>
      <c r="Z2713" s="74">
        <f>Devis[[#This Row],[Poste 5]]*Devis[[#This Row],[Prix de Revient]]</f>
        <v>0</v>
      </c>
      <c r="AA2713" s="74">
        <f>Devis[[#This Row],[Prix de Revient]]*Devis[[#This Row],[Poste 6]]</f>
        <v>0</v>
      </c>
      <c r="AB2713" s="74">
        <f>Devis[[#This Row],[Quantité Totale]]*Devis[[#This Row],[Prix de Revient]]</f>
        <v>0</v>
      </c>
    </row>
    <row r="2714" spans="1:28" ht="14.25" outlineLevel="1" x14ac:dyDescent="0.2">
      <c r="A2714" s="75" t="s">
        <v>2617</v>
      </c>
      <c r="B2714" s="76" t="s">
        <v>5384</v>
      </c>
      <c r="C2714" s="76" t="s">
        <v>2643</v>
      </c>
      <c r="D2714" s="81" t="str">
        <f t="shared" si="46"/>
        <v>RaccordsBiconesBicones doubles</v>
      </c>
      <c r="E2714" s="76">
        <v>12</v>
      </c>
      <c r="F2714" s="76">
        <v>16</v>
      </c>
      <c r="G2714" s="71" t="s">
        <v>2648</v>
      </c>
      <c r="H2714" s="71"/>
      <c r="I2714" s="71"/>
      <c r="J2714" s="70">
        <f>IFERROR(VLOOKUP(Devis[[#This Row],[Ref Air Flux]],#REF!,3,FALSE),0)</f>
        <v>0</v>
      </c>
      <c r="K2714" s="68"/>
      <c r="L2714" s="68"/>
      <c r="M2714" s="68"/>
      <c r="N2714" s="68"/>
      <c r="O2714" s="68"/>
      <c r="P2714" s="68"/>
      <c r="Q2714" s="68">
        <f>SUM(Devis[[#This Row],[Poste 1]:[Poste 6]])</f>
        <v>0</v>
      </c>
      <c r="R2714" s="71"/>
      <c r="S2714" s="68">
        <f>_xlfn.CEILING.MATH(Devis[[#This Row],[Quantité Totale]],Devis[[#This Row],[Conditionnement]])</f>
        <v>0</v>
      </c>
      <c r="T2714" s="72"/>
      <c r="U2714" s="73"/>
      <c r="V2714" s="74">
        <f>Devis[[#This Row],[Prix de Revient]]*Devis[[#This Row],[Poste 1]]</f>
        <v>0</v>
      </c>
      <c r="W2714" s="74">
        <f>Devis[[#This Row],[Prix de Revient]]*Devis[[#This Row],[Poste 2]]</f>
        <v>0</v>
      </c>
      <c r="X2714" s="74">
        <f>Devis[[#This Row],[Prix de Revient]]*Devis[[#This Row],[Poste 3]]</f>
        <v>0</v>
      </c>
      <c r="Y2714" s="74">
        <f>Devis[[#This Row],[Poste 4]]*Devis[[#This Row],[Prix de Revient]]</f>
        <v>0</v>
      </c>
      <c r="Z2714" s="74">
        <f>Devis[[#This Row],[Poste 5]]*Devis[[#This Row],[Prix de Revient]]</f>
        <v>0</v>
      </c>
      <c r="AA2714" s="74">
        <f>Devis[[#This Row],[Prix de Revient]]*Devis[[#This Row],[Poste 6]]</f>
        <v>0</v>
      </c>
      <c r="AB2714" s="74">
        <f>Devis[[#This Row],[Quantité Totale]]*Devis[[#This Row],[Prix de Revient]]</f>
        <v>0</v>
      </c>
    </row>
    <row r="2715" spans="1:28" ht="14.25" outlineLevel="1" x14ac:dyDescent="0.2">
      <c r="A2715" s="75" t="s">
        <v>2617</v>
      </c>
      <c r="B2715" s="76" t="s">
        <v>5384</v>
      </c>
      <c r="C2715" s="76" t="s">
        <v>2649</v>
      </c>
      <c r="D2715" s="81" t="str">
        <f t="shared" si="46"/>
        <v>RaccordsBiconesBicones droits</v>
      </c>
      <c r="E2715" s="76" t="s">
        <v>2623</v>
      </c>
      <c r="F2715" s="76">
        <v>18</v>
      </c>
      <c r="G2715" s="71" t="s">
        <v>2650</v>
      </c>
      <c r="H2715" s="71"/>
      <c r="I2715" s="71"/>
      <c r="J2715" s="70">
        <f>IFERROR(VLOOKUP(Devis[[#This Row],[Ref Air Flux]],#REF!,3,FALSE),0)</f>
        <v>0</v>
      </c>
      <c r="K2715" s="68"/>
      <c r="L2715" s="68"/>
      <c r="M2715" s="68"/>
      <c r="N2715" s="68"/>
      <c r="O2715" s="68"/>
      <c r="P2715" s="68"/>
      <c r="Q2715" s="68">
        <f>SUM(Devis[[#This Row],[Poste 1]:[Poste 6]])</f>
        <v>0</v>
      </c>
      <c r="R2715" s="71"/>
      <c r="S2715" s="68">
        <f>_xlfn.CEILING.MATH(Devis[[#This Row],[Quantité Totale]],Devis[[#This Row],[Conditionnement]])</f>
        <v>0</v>
      </c>
      <c r="T2715" s="72"/>
      <c r="U2715" s="73"/>
      <c r="V2715" s="74">
        <f>Devis[[#This Row],[Prix de Revient]]*Devis[[#This Row],[Poste 1]]</f>
        <v>0</v>
      </c>
      <c r="W2715" s="74">
        <f>Devis[[#This Row],[Prix de Revient]]*Devis[[#This Row],[Poste 2]]</f>
        <v>0</v>
      </c>
      <c r="X2715" s="74">
        <f>Devis[[#This Row],[Prix de Revient]]*Devis[[#This Row],[Poste 3]]</f>
        <v>0</v>
      </c>
      <c r="Y2715" s="74">
        <f>Devis[[#This Row],[Poste 4]]*Devis[[#This Row],[Prix de Revient]]</f>
        <v>0</v>
      </c>
      <c r="Z2715" s="74">
        <f>Devis[[#This Row],[Poste 5]]*Devis[[#This Row],[Prix de Revient]]</f>
        <v>0</v>
      </c>
      <c r="AA2715" s="74">
        <f>Devis[[#This Row],[Prix de Revient]]*Devis[[#This Row],[Poste 6]]</f>
        <v>0</v>
      </c>
      <c r="AB2715" s="74">
        <f>Devis[[#This Row],[Quantité Totale]]*Devis[[#This Row],[Prix de Revient]]</f>
        <v>0</v>
      </c>
    </row>
    <row r="2716" spans="1:28" ht="14.25" customHeight="1" outlineLevel="1" x14ac:dyDescent="0.2">
      <c r="A2716" s="75" t="s">
        <v>2617</v>
      </c>
      <c r="B2716" s="76" t="s">
        <v>5384</v>
      </c>
      <c r="C2716" s="76" t="s">
        <v>2649</v>
      </c>
      <c r="D2716" s="81" t="str">
        <f t="shared" si="46"/>
        <v>RaccordsBiconesBicones droits</v>
      </c>
      <c r="E2716" s="76" t="s">
        <v>2627</v>
      </c>
      <c r="F2716" s="76">
        <v>19</v>
      </c>
      <c r="G2716" s="71" t="s">
        <v>2651</v>
      </c>
      <c r="H2716" s="71"/>
      <c r="I2716" s="71"/>
      <c r="J2716" s="70">
        <f>IFERROR(VLOOKUP(Devis[[#This Row],[Ref Air Flux]],#REF!,3,FALSE),0)</f>
        <v>0</v>
      </c>
      <c r="K2716" s="68"/>
      <c r="L2716" s="68"/>
      <c r="M2716" s="68"/>
      <c r="N2716" s="68"/>
      <c r="O2716" s="68"/>
      <c r="P2716" s="68"/>
      <c r="Q2716" s="68">
        <f>SUM(Devis[[#This Row],[Poste 1]:[Poste 6]])</f>
        <v>0</v>
      </c>
      <c r="R2716" s="71"/>
      <c r="S2716" s="68">
        <f>_xlfn.CEILING.MATH(Devis[[#This Row],[Quantité Totale]],Devis[[#This Row],[Conditionnement]])</f>
        <v>0</v>
      </c>
      <c r="T2716" s="72"/>
      <c r="U2716" s="73"/>
      <c r="V2716" s="74">
        <f>Devis[[#This Row],[Prix de Revient]]*Devis[[#This Row],[Poste 1]]</f>
        <v>0</v>
      </c>
      <c r="W2716" s="74">
        <f>Devis[[#This Row],[Prix de Revient]]*Devis[[#This Row],[Poste 2]]</f>
        <v>0</v>
      </c>
      <c r="X2716" s="74">
        <f>Devis[[#This Row],[Prix de Revient]]*Devis[[#This Row],[Poste 3]]</f>
        <v>0</v>
      </c>
      <c r="Y2716" s="74">
        <f>Devis[[#This Row],[Poste 4]]*Devis[[#This Row],[Prix de Revient]]</f>
        <v>0</v>
      </c>
      <c r="Z2716" s="74">
        <f>Devis[[#This Row],[Poste 5]]*Devis[[#This Row],[Prix de Revient]]</f>
        <v>0</v>
      </c>
      <c r="AA2716" s="74">
        <f>Devis[[#This Row],[Prix de Revient]]*Devis[[#This Row],[Poste 6]]</f>
        <v>0</v>
      </c>
      <c r="AB2716" s="74">
        <f>Devis[[#This Row],[Quantité Totale]]*Devis[[#This Row],[Prix de Revient]]</f>
        <v>0</v>
      </c>
    </row>
    <row r="2717" spans="1:28" ht="14.25" outlineLevel="1" x14ac:dyDescent="0.2">
      <c r="A2717" s="75" t="s">
        <v>2617</v>
      </c>
      <c r="B2717" s="76" t="s">
        <v>5384</v>
      </c>
      <c r="C2717" s="76" t="s">
        <v>2649</v>
      </c>
      <c r="D2717" s="81" t="str">
        <f t="shared" si="46"/>
        <v>RaccordsBiconesBicones droits</v>
      </c>
      <c r="E2717" s="76" t="s">
        <v>2629</v>
      </c>
      <c r="F2717" s="76">
        <v>20</v>
      </c>
      <c r="G2717" s="71" t="s">
        <v>2652</v>
      </c>
      <c r="H2717" s="71"/>
      <c r="I2717" s="71"/>
      <c r="J2717" s="70">
        <f>IFERROR(VLOOKUP(Devis[[#This Row],[Ref Air Flux]],#REF!,3,FALSE),0)</f>
        <v>0</v>
      </c>
      <c r="K2717" s="68"/>
      <c r="L2717" s="68"/>
      <c r="M2717" s="68"/>
      <c r="N2717" s="68"/>
      <c r="O2717" s="68"/>
      <c r="P2717" s="68"/>
      <c r="Q2717" s="68">
        <f>SUM(Devis[[#This Row],[Poste 1]:[Poste 6]])</f>
        <v>0</v>
      </c>
      <c r="R2717" s="71"/>
      <c r="S2717" s="68">
        <f>_xlfn.CEILING.MATH(Devis[[#This Row],[Quantité Totale]],Devis[[#This Row],[Conditionnement]])</f>
        <v>0</v>
      </c>
      <c r="T2717" s="72"/>
      <c r="U2717" s="73"/>
      <c r="V2717" s="74">
        <f>Devis[[#This Row],[Prix de Revient]]*Devis[[#This Row],[Poste 1]]</f>
        <v>0</v>
      </c>
      <c r="W2717" s="74">
        <f>Devis[[#This Row],[Prix de Revient]]*Devis[[#This Row],[Poste 2]]</f>
        <v>0</v>
      </c>
      <c r="X2717" s="74">
        <f>Devis[[#This Row],[Prix de Revient]]*Devis[[#This Row],[Poste 3]]</f>
        <v>0</v>
      </c>
      <c r="Y2717" s="74">
        <f>Devis[[#This Row],[Poste 4]]*Devis[[#This Row],[Prix de Revient]]</f>
        <v>0</v>
      </c>
      <c r="Z2717" s="74">
        <f>Devis[[#This Row],[Poste 5]]*Devis[[#This Row],[Prix de Revient]]</f>
        <v>0</v>
      </c>
      <c r="AA2717" s="74">
        <f>Devis[[#This Row],[Prix de Revient]]*Devis[[#This Row],[Poste 6]]</f>
        <v>0</v>
      </c>
      <c r="AB2717" s="74">
        <f>Devis[[#This Row],[Quantité Totale]]*Devis[[#This Row],[Prix de Revient]]</f>
        <v>0</v>
      </c>
    </row>
    <row r="2718" spans="1:28" ht="14.25" outlineLevel="1" x14ac:dyDescent="0.2">
      <c r="A2718" s="75" t="s">
        <v>2617</v>
      </c>
      <c r="B2718" s="76" t="s">
        <v>5384</v>
      </c>
      <c r="C2718" s="76" t="s">
        <v>2649</v>
      </c>
      <c r="D2718" s="81" t="str">
        <f t="shared" si="46"/>
        <v>RaccordsBiconesBicones droits</v>
      </c>
      <c r="E2718" s="76" t="s">
        <v>2631</v>
      </c>
      <c r="F2718" s="76">
        <v>21</v>
      </c>
      <c r="G2718" s="71" t="s">
        <v>2653</v>
      </c>
      <c r="H2718" s="71"/>
      <c r="I2718" s="71"/>
      <c r="J2718" s="70">
        <f>IFERROR(VLOOKUP(Devis[[#This Row],[Ref Air Flux]],#REF!,3,FALSE),0)</f>
        <v>0</v>
      </c>
      <c r="K2718" s="68"/>
      <c r="L2718" s="68"/>
      <c r="M2718" s="68"/>
      <c r="N2718" s="68"/>
      <c r="O2718" s="68"/>
      <c r="P2718" s="68"/>
      <c r="Q2718" s="68">
        <f>SUM(Devis[[#This Row],[Poste 1]:[Poste 6]])</f>
        <v>0</v>
      </c>
      <c r="R2718" s="71"/>
      <c r="S2718" s="68">
        <f>_xlfn.CEILING.MATH(Devis[[#This Row],[Quantité Totale]],Devis[[#This Row],[Conditionnement]])</f>
        <v>0</v>
      </c>
      <c r="T2718" s="72"/>
      <c r="U2718" s="73"/>
      <c r="V2718" s="74">
        <f>Devis[[#This Row],[Prix de Revient]]*Devis[[#This Row],[Poste 1]]</f>
        <v>0</v>
      </c>
      <c r="W2718" s="74">
        <f>Devis[[#This Row],[Prix de Revient]]*Devis[[#This Row],[Poste 2]]</f>
        <v>0</v>
      </c>
      <c r="X2718" s="74">
        <f>Devis[[#This Row],[Prix de Revient]]*Devis[[#This Row],[Poste 3]]</f>
        <v>0</v>
      </c>
      <c r="Y2718" s="74">
        <f>Devis[[#This Row],[Poste 4]]*Devis[[#This Row],[Prix de Revient]]</f>
        <v>0</v>
      </c>
      <c r="Z2718" s="74">
        <f>Devis[[#This Row],[Poste 5]]*Devis[[#This Row],[Prix de Revient]]</f>
        <v>0</v>
      </c>
      <c r="AA2718" s="74">
        <f>Devis[[#This Row],[Prix de Revient]]*Devis[[#This Row],[Poste 6]]</f>
        <v>0</v>
      </c>
      <c r="AB2718" s="74">
        <f>Devis[[#This Row],[Quantité Totale]]*Devis[[#This Row],[Prix de Revient]]</f>
        <v>0</v>
      </c>
    </row>
    <row r="2719" spans="1:28" ht="14.25" outlineLevel="1" x14ac:dyDescent="0.2">
      <c r="A2719" s="75" t="s">
        <v>2617</v>
      </c>
      <c r="B2719" s="76" t="s">
        <v>5384</v>
      </c>
      <c r="C2719" s="76" t="s">
        <v>2649</v>
      </c>
      <c r="D2719" s="81" t="str">
        <f t="shared" si="46"/>
        <v>RaccordsBiconesBicones droits</v>
      </c>
      <c r="E2719" s="76" t="s">
        <v>2635</v>
      </c>
      <c r="F2719" s="76">
        <v>22</v>
      </c>
      <c r="G2719" s="71" t="s">
        <v>2654</v>
      </c>
      <c r="H2719" s="71"/>
      <c r="I2719" s="71"/>
      <c r="J2719" s="70">
        <f>IFERROR(VLOOKUP(Devis[[#This Row],[Ref Air Flux]],#REF!,3,FALSE),0)</f>
        <v>0</v>
      </c>
      <c r="K2719" s="68"/>
      <c r="L2719" s="68"/>
      <c r="M2719" s="68"/>
      <c r="N2719" s="68"/>
      <c r="O2719" s="68"/>
      <c r="P2719" s="68"/>
      <c r="Q2719" s="68">
        <f>SUM(Devis[[#This Row],[Poste 1]:[Poste 6]])</f>
        <v>0</v>
      </c>
      <c r="R2719" s="71"/>
      <c r="S2719" s="68">
        <f>_xlfn.CEILING.MATH(Devis[[#This Row],[Quantité Totale]],Devis[[#This Row],[Conditionnement]])</f>
        <v>0</v>
      </c>
      <c r="T2719" s="72"/>
      <c r="U2719" s="73"/>
      <c r="V2719" s="74">
        <f>Devis[[#This Row],[Prix de Revient]]*Devis[[#This Row],[Poste 1]]</f>
        <v>0</v>
      </c>
      <c r="W2719" s="74">
        <f>Devis[[#This Row],[Prix de Revient]]*Devis[[#This Row],[Poste 2]]</f>
        <v>0</v>
      </c>
      <c r="X2719" s="74">
        <f>Devis[[#This Row],[Prix de Revient]]*Devis[[#This Row],[Poste 3]]</f>
        <v>0</v>
      </c>
      <c r="Y2719" s="74">
        <f>Devis[[#This Row],[Poste 4]]*Devis[[#This Row],[Prix de Revient]]</f>
        <v>0</v>
      </c>
      <c r="Z2719" s="74">
        <f>Devis[[#This Row],[Poste 5]]*Devis[[#This Row],[Prix de Revient]]</f>
        <v>0</v>
      </c>
      <c r="AA2719" s="74">
        <f>Devis[[#This Row],[Prix de Revient]]*Devis[[#This Row],[Poste 6]]</f>
        <v>0</v>
      </c>
      <c r="AB2719" s="74">
        <f>Devis[[#This Row],[Quantité Totale]]*Devis[[#This Row],[Prix de Revient]]</f>
        <v>0</v>
      </c>
    </row>
    <row r="2720" spans="1:28" ht="15" customHeight="1" outlineLevel="1" x14ac:dyDescent="0.2">
      <c r="A2720" s="75" t="s">
        <v>2617</v>
      </c>
      <c r="B2720" s="76" t="s">
        <v>5384</v>
      </c>
      <c r="C2720" s="76" t="s">
        <v>2649</v>
      </c>
      <c r="D2720" s="81" t="str">
        <f t="shared" si="46"/>
        <v>RaccordsBiconesBicones droits</v>
      </c>
      <c r="E2720" s="76" t="s">
        <v>2637</v>
      </c>
      <c r="F2720" s="76">
        <v>23</v>
      </c>
      <c r="G2720" s="71" t="s">
        <v>2655</v>
      </c>
      <c r="H2720" s="71"/>
      <c r="I2720" s="71"/>
      <c r="J2720" s="70">
        <f>IFERROR(VLOOKUP(Devis[[#This Row],[Ref Air Flux]],#REF!,3,FALSE),0)</f>
        <v>0</v>
      </c>
      <c r="K2720" s="68"/>
      <c r="L2720" s="68"/>
      <c r="M2720" s="68"/>
      <c r="N2720" s="68"/>
      <c r="O2720" s="68"/>
      <c r="P2720" s="68"/>
      <c r="Q2720" s="68">
        <f>SUM(Devis[[#This Row],[Poste 1]:[Poste 6]])</f>
        <v>0</v>
      </c>
      <c r="R2720" s="71"/>
      <c r="S2720" s="68">
        <f>_xlfn.CEILING.MATH(Devis[[#This Row],[Quantité Totale]],Devis[[#This Row],[Conditionnement]])</f>
        <v>0</v>
      </c>
      <c r="T2720" s="72"/>
      <c r="U2720" s="73"/>
      <c r="V2720" s="74">
        <f>Devis[[#This Row],[Prix de Revient]]*Devis[[#This Row],[Poste 1]]</f>
        <v>0</v>
      </c>
      <c r="W2720" s="74">
        <f>Devis[[#This Row],[Prix de Revient]]*Devis[[#This Row],[Poste 2]]</f>
        <v>0</v>
      </c>
      <c r="X2720" s="74">
        <f>Devis[[#This Row],[Prix de Revient]]*Devis[[#This Row],[Poste 3]]</f>
        <v>0</v>
      </c>
      <c r="Y2720" s="74">
        <f>Devis[[#This Row],[Poste 4]]*Devis[[#This Row],[Prix de Revient]]</f>
        <v>0</v>
      </c>
      <c r="Z2720" s="74">
        <f>Devis[[#This Row],[Poste 5]]*Devis[[#This Row],[Prix de Revient]]</f>
        <v>0</v>
      </c>
      <c r="AA2720" s="74">
        <f>Devis[[#This Row],[Prix de Revient]]*Devis[[#This Row],[Poste 6]]</f>
        <v>0</v>
      </c>
      <c r="AB2720" s="74">
        <f>Devis[[#This Row],[Quantité Totale]]*Devis[[#This Row],[Prix de Revient]]</f>
        <v>0</v>
      </c>
    </row>
    <row r="2721" spans="1:28" ht="14.25" outlineLevel="1" x14ac:dyDescent="0.2">
      <c r="A2721" s="75" t="s">
        <v>2617</v>
      </c>
      <c r="B2721" s="76" t="s">
        <v>5384</v>
      </c>
      <c r="C2721" s="76" t="s">
        <v>2649</v>
      </c>
      <c r="D2721" s="81" t="str">
        <f t="shared" si="46"/>
        <v>RaccordsBiconesBicones droits</v>
      </c>
      <c r="E2721" s="76" t="s">
        <v>2639</v>
      </c>
      <c r="F2721" s="76">
        <v>24</v>
      </c>
      <c r="G2721" s="71" t="s">
        <v>2656</v>
      </c>
      <c r="H2721" s="71"/>
      <c r="I2721" s="71"/>
      <c r="J2721" s="70">
        <f>IFERROR(VLOOKUP(Devis[[#This Row],[Ref Air Flux]],#REF!,3,FALSE),0)</f>
        <v>0</v>
      </c>
      <c r="K2721" s="68"/>
      <c r="L2721" s="68"/>
      <c r="M2721" s="68"/>
      <c r="N2721" s="68"/>
      <c r="O2721" s="68"/>
      <c r="P2721" s="68"/>
      <c r="Q2721" s="68">
        <f>SUM(Devis[[#This Row],[Poste 1]:[Poste 6]])</f>
        <v>0</v>
      </c>
      <c r="R2721" s="71"/>
      <c r="S2721" s="68">
        <f>_xlfn.CEILING.MATH(Devis[[#This Row],[Quantité Totale]],Devis[[#This Row],[Conditionnement]])</f>
        <v>0</v>
      </c>
      <c r="T2721" s="72"/>
      <c r="U2721" s="73"/>
      <c r="V2721" s="74">
        <f>Devis[[#This Row],[Prix de Revient]]*Devis[[#This Row],[Poste 1]]</f>
        <v>0</v>
      </c>
      <c r="W2721" s="74">
        <f>Devis[[#This Row],[Prix de Revient]]*Devis[[#This Row],[Poste 2]]</f>
        <v>0</v>
      </c>
      <c r="X2721" s="74">
        <f>Devis[[#This Row],[Prix de Revient]]*Devis[[#This Row],[Poste 3]]</f>
        <v>0</v>
      </c>
      <c r="Y2721" s="74">
        <f>Devis[[#This Row],[Poste 4]]*Devis[[#This Row],[Prix de Revient]]</f>
        <v>0</v>
      </c>
      <c r="Z2721" s="74">
        <f>Devis[[#This Row],[Poste 5]]*Devis[[#This Row],[Prix de Revient]]</f>
        <v>0</v>
      </c>
      <c r="AA2721" s="74">
        <f>Devis[[#This Row],[Prix de Revient]]*Devis[[#This Row],[Poste 6]]</f>
        <v>0</v>
      </c>
      <c r="AB2721" s="74">
        <f>Devis[[#This Row],[Quantité Totale]]*Devis[[#This Row],[Prix de Revient]]</f>
        <v>0</v>
      </c>
    </row>
    <row r="2722" spans="1:28" ht="14.25" outlineLevel="1" x14ac:dyDescent="0.2">
      <c r="A2722" s="75" t="s">
        <v>2617</v>
      </c>
      <c r="B2722" s="76" t="s">
        <v>5384</v>
      </c>
      <c r="C2722" s="76" t="s">
        <v>2649</v>
      </c>
      <c r="D2722" s="81" t="str">
        <f t="shared" si="46"/>
        <v>RaccordsBiconesBicones droits</v>
      </c>
      <c r="E2722" s="76" t="s">
        <v>2657</v>
      </c>
      <c r="F2722" s="76">
        <v>25</v>
      </c>
      <c r="G2722" s="71" t="s">
        <v>2658</v>
      </c>
      <c r="H2722" s="71"/>
      <c r="I2722" s="71"/>
      <c r="J2722" s="70">
        <f>IFERROR(VLOOKUP(Devis[[#This Row],[Ref Air Flux]],#REF!,3,FALSE),0)</f>
        <v>0</v>
      </c>
      <c r="K2722" s="68"/>
      <c r="L2722" s="68"/>
      <c r="M2722" s="68"/>
      <c r="N2722" s="68"/>
      <c r="O2722" s="68"/>
      <c r="P2722" s="68"/>
      <c r="Q2722" s="68">
        <f>SUM(Devis[[#This Row],[Poste 1]:[Poste 6]])</f>
        <v>0</v>
      </c>
      <c r="R2722" s="71"/>
      <c r="S2722" s="68">
        <f>_xlfn.CEILING.MATH(Devis[[#This Row],[Quantité Totale]],Devis[[#This Row],[Conditionnement]])</f>
        <v>0</v>
      </c>
      <c r="T2722" s="72"/>
      <c r="U2722" s="73"/>
      <c r="V2722" s="74">
        <f>Devis[[#This Row],[Prix de Revient]]*Devis[[#This Row],[Poste 1]]</f>
        <v>0</v>
      </c>
      <c r="W2722" s="74">
        <f>Devis[[#This Row],[Prix de Revient]]*Devis[[#This Row],[Poste 2]]</f>
        <v>0</v>
      </c>
      <c r="X2722" s="74">
        <f>Devis[[#This Row],[Prix de Revient]]*Devis[[#This Row],[Poste 3]]</f>
        <v>0</v>
      </c>
      <c r="Y2722" s="74">
        <f>Devis[[#This Row],[Poste 4]]*Devis[[#This Row],[Prix de Revient]]</f>
        <v>0</v>
      </c>
      <c r="Z2722" s="74">
        <f>Devis[[#This Row],[Poste 5]]*Devis[[#This Row],[Prix de Revient]]</f>
        <v>0</v>
      </c>
      <c r="AA2722" s="74">
        <f>Devis[[#This Row],[Prix de Revient]]*Devis[[#This Row],[Poste 6]]</f>
        <v>0</v>
      </c>
      <c r="AB2722" s="74">
        <f>Devis[[#This Row],[Quantité Totale]]*Devis[[#This Row],[Prix de Revient]]</f>
        <v>0</v>
      </c>
    </row>
    <row r="2723" spans="1:28" ht="14.25" outlineLevel="1" x14ac:dyDescent="0.2">
      <c r="A2723" s="75" t="s">
        <v>2617</v>
      </c>
      <c r="B2723" s="76" t="s">
        <v>5384</v>
      </c>
      <c r="C2723" s="76" t="s">
        <v>2649</v>
      </c>
      <c r="D2723" s="81" t="str">
        <f t="shared" si="46"/>
        <v>RaccordsBiconesBicones droits</v>
      </c>
      <c r="E2723" s="76" t="s">
        <v>2641</v>
      </c>
      <c r="F2723" s="76">
        <v>26</v>
      </c>
      <c r="G2723" s="71" t="s">
        <v>2659</v>
      </c>
      <c r="H2723" s="71"/>
      <c r="I2723" s="71"/>
      <c r="J2723" s="70">
        <f>IFERROR(VLOOKUP(Devis[[#This Row],[Ref Air Flux]],#REF!,3,FALSE),0)</f>
        <v>0</v>
      </c>
      <c r="K2723" s="68"/>
      <c r="L2723" s="68"/>
      <c r="M2723" s="68"/>
      <c r="N2723" s="68"/>
      <c r="O2723" s="68"/>
      <c r="P2723" s="68"/>
      <c r="Q2723" s="68">
        <f>SUM(Devis[[#This Row],[Poste 1]:[Poste 6]])</f>
        <v>0</v>
      </c>
      <c r="R2723" s="71"/>
      <c r="S2723" s="68">
        <f>_xlfn.CEILING.MATH(Devis[[#This Row],[Quantité Totale]],Devis[[#This Row],[Conditionnement]])</f>
        <v>0</v>
      </c>
      <c r="T2723" s="72"/>
      <c r="U2723" s="73"/>
      <c r="V2723" s="74">
        <f>Devis[[#This Row],[Prix de Revient]]*Devis[[#This Row],[Poste 1]]</f>
        <v>0</v>
      </c>
      <c r="W2723" s="74">
        <f>Devis[[#This Row],[Prix de Revient]]*Devis[[#This Row],[Poste 2]]</f>
        <v>0</v>
      </c>
      <c r="X2723" s="74">
        <f>Devis[[#This Row],[Prix de Revient]]*Devis[[#This Row],[Poste 3]]</f>
        <v>0</v>
      </c>
      <c r="Y2723" s="74">
        <f>Devis[[#This Row],[Poste 4]]*Devis[[#This Row],[Prix de Revient]]</f>
        <v>0</v>
      </c>
      <c r="Z2723" s="74">
        <f>Devis[[#This Row],[Poste 5]]*Devis[[#This Row],[Prix de Revient]]</f>
        <v>0</v>
      </c>
      <c r="AA2723" s="74">
        <f>Devis[[#This Row],[Prix de Revient]]*Devis[[#This Row],[Poste 6]]</f>
        <v>0</v>
      </c>
      <c r="AB2723" s="74">
        <f>Devis[[#This Row],[Quantité Totale]]*Devis[[#This Row],[Prix de Revient]]</f>
        <v>0</v>
      </c>
    </row>
    <row r="2724" spans="1:28" ht="14.25" customHeight="1" x14ac:dyDescent="0.25">
      <c r="A2724" s="65" t="s">
        <v>2617</v>
      </c>
      <c r="B2724" s="65" t="s">
        <v>5385</v>
      </c>
      <c r="C2724" s="113" t="s">
        <v>5385</v>
      </c>
      <c r="D2724" s="81" t="str">
        <f t="shared" si="46"/>
        <v>RaccordsCannelés filetés Flexible HydrauliqueCannelés filetés Flexible Hydraulique</v>
      </c>
      <c r="E2724" s="76"/>
      <c r="F2724" s="76">
        <v>0</v>
      </c>
      <c r="G2724" s="71"/>
      <c r="H2724" s="71"/>
      <c r="I2724" s="71"/>
      <c r="J2724" s="70">
        <f>IFERROR(VLOOKUP(Devis[[#This Row],[Ref Air Flux]],#REF!,3,FALSE),0)</f>
        <v>0</v>
      </c>
      <c r="K2724" s="68"/>
      <c r="L2724" s="68"/>
      <c r="M2724" s="68"/>
      <c r="N2724" s="68"/>
      <c r="O2724" s="68"/>
      <c r="P2724" s="68"/>
      <c r="Q2724" s="68">
        <f>SUM(Devis[[#This Row],[Poste 1]:[Poste 6]])</f>
        <v>0</v>
      </c>
      <c r="R2724" s="71"/>
      <c r="S2724" s="68">
        <f>_xlfn.CEILING.MATH(Devis[[#This Row],[Quantité Totale]],Devis[[#This Row],[Conditionnement]])</f>
        <v>0</v>
      </c>
      <c r="T2724" s="72"/>
      <c r="U2724" s="73"/>
      <c r="V2724" s="74">
        <f>Devis[[#This Row],[Prix de Revient]]*Devis[[#This Row],[Poste 1]]</f>
        <v>0</v>
      </c>
      <c r="W2724" s="74">
        <f>Devis[[#This Row],[Prix de Revient]]*Devis[[#This Row],[Poste 2]]</f>
        <v>0</v>
      </c>
      <c r="X2724" s="74">
        <f>Devis[[#This Row],[Prix de Revient]]*Devis[[#This Row],[Poste 3]]</f>
        <v>0</v>
      </c>
      <c r="Y2724" s="74">
        <f>Devis[[#This Row],[Poste 4]]*Devis[[#This Row],[Prix de Revient]]</f>
        <v>0</v>
      </c>
      <c r="Z2724" s="74">
        <f>Devis[[#This Row],[Poste 5]]*Devis[[#This Row],[Prix de Revient]]</f>
        <v>0</v>
      </c>
      <c r="AA2724" s="74">
        <f>Devis[[#This Row],[Prix de Revient]]*Devis[[#This Row],[Poste 6]]</f>
        <v>0</v>
      </c>
      <c r="AB2724" s="74">
        <f>Devis[[#This Row],[Quantité Totale]]*Devis[[#This Row],[Prix de Revient]]</f>
        <v>0</v>
      </c>
    </row>
    <row r="2725" spans="1:28" ht="14.25" outlineLevel="1" x14ac:dyDescent="0.2">
      <c r="A2725" s="75" t="s">
        <v>2617</v>
      </c>
      <c r="B2725" s="76" t="s">
        <v>5385</v>
      </c>
      <c r="C2725" s="76" t="s">
        <v>4045</v>
      </c>
      <c r="D2725" s="81" t="str">
        <f t="shared" si="46"/>
        <v>RaccordsCannelés filetés Flexible HydrauliqueFlexible Hydraulique</v>
      </c>
      <c r="E2725" s="76" t="s">
        <v>2629</v>
      </c>
      <c r="F2725" s="76">
        <v>1</v>
      </c>
      <c r="G2725" s="71" t="s">
        <v>2660</v>
      </c>
      <c r="H2725" s="71" t="s">
        <v>4046</v>
      </c>
      <c r="I2725" s="71"/>
      <c r="J2725" s="70">
        <f>IFERROR(VLOOKUP(Devis[[#This Row],[Ref Air Flux]],#REF!,3,FALSE),0)</f>
        <v>0</v>
      </c>
      <c r="K2725" s="68"/>
      <c r="L2725" s="68"/>
      <c r="M2725" s="68"/>
      <c r="N2725" s="68"/>
      <c r="O2725" s="68"/>
      <c r="P2725" s="68"/>
      <c r="Q2725" s="68">
        <f>SUM(Devis[[#This Row],[Poste 1]:[Poste 6]])</f>
        <v>0</v>
      </c>
      <c r="R2725" s="71"/>
      <c r="S2725" s="68">
        <f>_xlfn.CEILING.MATH(Devis[[#This Row],[Quantité Totale]],Devis[[#This Row],[Conditionnement]])</f>
        <v>0</v>
      </c>
      <c r="T2725" s="72"/>
      <c r="U2725" s="73"/>
      <c r="V2725" s="74">
        <f>Devis[[#This Row],[Prix de Revient]]*Devis[[#This Row],[Poste 1]]</f>
        <v>0</v>
      </c>
      <c r="W2725" s="74">
        <f>Devis[[#This Row],[Prix de Revient]]*Devis[[#This Row],[Poste 2]]</f>
        <v>0</v>
      </c>
      <c r="X2725" s="74">
        <f>Devis[[#This Row],[Prix de Revient]]*Devis[[#This Row],[Poste 3]]</f>
        <v>0</v>
      </c>
      <c r="Y2725" s="74">
        <f>Devis[[#This Row],[Poste 4]]*Devis[[#This Row],[Prix de Revient]]</f>
        <v>0</v>
      </c>
      <c r="Z2725" s="74">
        <f>Devis[[#This Row],[Poste 5]]*Devis[[#This Row],[Prix de Revient]]</f>
        <v>0</v>
      </c>
      <c r="AA2725" s="74">
        <f>Devis[[#This Row],[Prix de Revient]]*Devis[[#This Row],[Poste 6]]</f>
        <v>0</v>
      </c>
      <c r="AB2725" s="74">
        <f>Devis[[#This Row],[Quantité Totale]]*Devis[[#This Row],[Prix de Revient]]</f>
        <v>0</v>
      </c>
    </row>
    <row r="2726" spans="1:28" ht="14.25" outlineLevel="1" x14ac:dyDescent="0.2">
      <c r="A2726" s="75" t="s">
        <v>2617</v>
      </c>
      <c r="B2726" s="76" t="s">
        <v>5385</v>
      </c>
      <c r="C2726" s="76" t="s">
        <v>4045</v>
      </c>
      <c r="D2726" s="81" t="str">
        <f t="shared" si="46"/>
        <v>RaccordsCannelés filetés Flexible HydrauliqueFlexible Hydraulique</v>
      </c>
      <c r="E2726" s="76" t="s">
        <v>2631</v>
      </c>
      <c r="F2726" s="76">
        <v>2</v>
      </c>
      <c r="G2726" s="71" t="s">
        <v>2661</v>
      </c>
      <c r="H2726" s="71" t="s">
        <v>4046</v>
      </c>
      <c r="I2726" s="71"/>
      <c r="J2726" s="70">
        <f>IFERROR(VLOOKUP(Devis[[#This Row],[Ref Air Flux]],#REF!,3,FALSE),0)</f>
        <v>0</v>
      </c>
      <c r="K2726" s="68"/>
      <c r="L2726" s="68"/>
      <c r="M2726" s="68"/>
      <c r="N2726" s="68"/>
      <c r="O2726" s="68"/>
      <c r="P2726" s="68"/>
      <c r="Q2726" s="68">
        <f>SUM(Devis[[#This Row],[Poste 1]:[Poste 6]])</f>
        <v>0</v>
      </c>
      <c r="R2726" s="71"/>
      <c r="S2726" s="68">
        <f>_xlfn.CEILING.MATH(Devis[[#This Row],[Quantité Totale]],Devis[[#This Row],[Conditionnement]])</f>
        <v>0</v>
      </c>
      <c r="T2726" s="72"/>
      <c r="U2726" s="73"/>
      <c r="V2726" s="74">
        <f>Devis[[#This Row],[Prix de Revient]]*Devis[[#This Row],[Poste 1]]</f>
        <v>0</v>
      </c>
      <c r="W2726" s="74">
        <f>Devis[[#This Row],[Prix de Revient]]*Devis[[#This Row],[Poste 2]]</f>
        <v>0</v>
      </c>
      <c r="X2726" s="74">
        <f>Devis[[#This Row],[Prix de Revient]]*Devis[[#This Row],[Poste 3]]</f>
        <v>0</v>
      </c>
      <c r="Y2726" s="74">
        <f>Devis[[#This Row],[Poste 4]]*Devis[[#This Row],[Prix de Revient]]</f>
        <v>0</v>
      </c>
      <c r="Z2726" s="74">
        <f>Devis[[#This Row],[Poste 5]]*Devis[[#This Row],[Prix de Revient]]</f>
        <v>0</v>
      </c>
      <c r="AA2726" s="74">
        <f>Devis[[#This Row],[Prix de Revient]]*Devis[[#This Row],[Poste 6]]</f>
        <v>0</v>
      </c>
      <c r="AB2726" s="74">
        <f>Devis[[#This Row],[Quantité Totale]]*Devis[[#This Row],[Prix de Revient]]</f>
        <v>0</v>
      </c>
    </row>
    <row r="2727" spans="1:28" ht="14.25" outlineLevel="1" x14ac:dyDescent="0.2">
      <c r="A2727" s="75" t="s">
        <v>2617</v>
      </c>
      <c r="B2727" s="76" t="s">
        <v>5385</v>
      </c>
      <c r="C2727" s="76" t="s">
        <v>4045</v>
      </c>
      <c r="D2727" s="81" t="str">
        <f t="shared" si="46"/>
        <v>RaccordsCannelés filetés Flexible HydrauliqueFlexible Hydraulique</v>
      </c>
      <c r="E2727" s="76" t="s">
        <v>2662</v>
      </c>
      <c r="F2727" s="76">
        <v>3</v>
      </c>
      <c r="G2727" s="71" t="s">
        <v>2663</v>
      </c>
      <c r="H2727" s="71" t="s">
        <v>4046</v>
      </c>
      <c r="I2727" s="71"/>
      <c r="J2727" s="70">
        <f>IFERROR(VLOOKUP(Devis[[#This Row],[Ref Air Flux]],#REF!,3,FALSE),0)</f>
        <v>0</v>
      </c>
      <c r="K2727" s="68"/>
      <c r="L2727" s="68"/>
      <c r="M2727" s="68"/>
      <c r="N2727" s="68"/>
      <c r="O2727" s="68"/>
      <c r="P2727" s="68"/>
      <c r="Q2727" s="68">
        <f>SUM(Devis[[#This Row],[Poste 1]:[Poste 6]])</f>
        <v>0</v>
      </c>
      <c r="R2727" s="71"/>
      <c r="S2727" s="68">
        <f>_xlfn.CEILING.MATH(Devis[[#This Row],[Quantité Totale]],Devis[[#This Row],[Conditionnement]])</f>
        <v>0</v>
      </c>
      <c r="T2727" s="72"/>
      <c r="U2727" s="73"/>
      <c r="V2727" s="74">
        <f>Devis[[#This Row],[Prix de Revient]]*Devis[[#This Row],[Poste 1]]</f>
        <v>0</v>
      </c>
      <c r="W2727" s="74">
        <f>Devis[[#This Row],[Prix de Revient]]*Devis[[#This Row],[Poste 2]]</f>
        <v>0</v>
      </c>
      <c r="X2727" s="74">
        <f>Devis[[#This Row],[Prix de Revient]]*Devis[[#This Row],[Poste 3]]</f>
        <v>0</v>
      </c>
      <c r="Y2727" s="74">
        <f>Devis[[#This Row],[Poste 4]]*Devis[[#This Row],[Prix de Revient]]</f>
        <v>0</v>
      </c>
      <c r="Z2727" s="74">
        <f>Devis[[#This Row],[Poste 5]]*Devis[[#This Row],[Prix de Revient]]</f>
        <v>0</v>
      </c>
      <c r="AA2727" s="74">
        <f>Devis[[#This Row],[Prix de Revient]]*Devis[[#This Row],[Poste 6]]</f>
        <v>0</v>
      </c>
      <c r="AB2727" s="74">
        <f>Devis[[#This Row],[Quantité Totale]]*Devis[[#This Row],[Prix de Revient]]</f>
        <v>0</v>
      </c>
    </row>
    <row r="2728" spans="1:28" ht="14.25" customHeight="1" outlineLevel="1" x14ac:dyDescent="0.2">
      <c r="A2728" s="75" t="s">
        <v>2617</v>
      </c>
      <c r="B2728" s="76" t="s">
        <v>5385</v>
      </c>
      <c r="C2728" s="76" t="s">
        <v>4045</v>
      </c>
      <c r="D2728" s="81" t="str">
        <f t="shared" si="46"/>
        <v>RaccordsCannelés filetés Flexible HydrauliqueFlexible Hydraulique</v>
      </c>
      <c r="E2728" s="76" t="s">
        <v>2635</v>
      </c>
      <c r="F2728" s="76">
        <v>4</v>
      </c>
      <c r="G2728" s="71" t="s">
        <v>2664</v>
      </c>
      <c r="H2728" s="71" t="s">
        <v>4046</v>
      </c>
      <c r="I2728" s="71"/>
      <c r="J2728" s="70">
        <f>IFERROR(VLOOKUP(Devis[[#This Row],[Ref Air Flux]],#REF!,3,FALSE),0)</f>
        <v>0</v>
      </c>
      <c r="K2728" s="68"/>
      <c r="L2728" s="68"/>
      <c r="M2728" s="68"/>
      <c r="N2728" s="68"/>
      <c r="O2728" s="68"/>
      <c r="P2728" s="68"/>
      <c r="Q2728" s="68">
        <f>SUM(Devis[[#This Row],[Poste 1]:[Poste 6]])</f>
        <v>0</v>
      </c>
      <c r="R2728" s="71"/>
      <c r="S2728" s="68">
        <f>_xlfn.CEILING.MATH(Devis[[#This Row],[Quantité Totale]],Devis[[#This Row],[Conditionnement]])</f>
        <v>0</v>
      </c>
      <c r="T2728" s="72"/>
      <c r="U2728" s="73"/>
      <c r="V2728" s="74">
        <f>Devis[[#This Row],[Prix de Revient]]*Devis[[#This Row],[Poste 1]]</f>
        <v>0</v>
      </c>
      <c r="W2728" s="74">
        <f>Devis[[#This Row],[Prix de Revient]]*Devis[[#This Row],[Poste 2]]</f>
        <v>0</v>
      </c>
      <c r="X2728" s="74">
        <f>Devis[[#This Row],[Prix de Revient]]*Devis[[#This Row],[Poste 3]]</f>
        <v>0</v>
      </c>
      <c r="Y2728" s="74">
        <f>Devis[[#This Row],[Poste 4]]*Devis[[#This Row],[Prix de Revient]]</f>
        <v>0</v>
      </c>
      <c r="Z2728" s="74">
        <f>Devis[[#This Row],[Poste 5]]*Devis[[#This Row],[Prix de Revient]]</f>
        <v>0</v>
      </c>
      <c r="AA2728" s="74">
        <f>Devis[[#This Row],[Prix de Revient]]*Devis[[#This Row],[Poste 6]]</f>
        <v>0</v>
      </c>
      <c r="AB2728" s="74">
        <f>Devis[[#This Row],[Quantité Totale]]*Devis[[#This Row],[Prix de Revient]]</f>
        <v>0</v>
      </c>
    </row>
    <row r="2729" spans="1:28" ht="14.25" outlineLevel="1" x14ac:dyDescent="0.2">
      <c r="A2729" s="75" t="s">
        <v>2617</v>
      </c>
      <c r="B2729" s="76" t="s">
        <v>5385</v>
      </c>
      <c r="C2729" s="76" t="s">
        <v>4045</v>
      </c>
      <c r="D2729" s="81" t="str">
        <f t="shared" si="46"/>
        <v>RaccordsCannelés filetés Flexible HydrauliqueFlexible Hydraulique</v>
      </c>
      <c r="E2729" s="76" t="s">
        <v>2637</v>
      </c>
      <c r="F2729" s="76">
        <v>5</v>
      </c>
      <c r="G2729" s="71" t="s">
        <v>2665</v>
      </c>
      <c r="H2729" s="71" t="s">
        <v>4046</v>
      </c>
      <c r="I2729" s="71"/>
      <c r="J2729" s="70">
        <f>IFERROR(VLOOKUP(Devis[[#This Row],[Ref Air Flux]],#REF!,3,FALSE),0)</f>
        <v>0</v>
      </c>
      <c r="K2729" s="68"/>
      <c r="L2729" s="68"/>
      <c r="M2729" s="68"/>
      <c r="N2729" s="68"/>
      <c r="O2729" s="68"/>
      <c r="P2729" s="68"/>
      <c r="Q2729" s="68">
        <f>SUM(Devis[[#This Row],[Poste 1]:[Poste 6]])</f>
        <v>0</v>
      </c>
      <c r="R2729" s="71"/>
      <c r="S2729" s="68">
        <f>_xlfn.CEILING.MATH(Devis[[#This Row],[Quantité Totale]],Devis[[#This Row],[Conditionnement]])</f>
        <v>0</v>
      </c>
      <c r="T2729" s="72"/>
      <c r="U2729" s="73"/>
      <c r="V2729" s="74">
        <f>Devis[[#This Row],[Prix de Revient]]*Devis[[#This Row],[Poste 1]]</f>
        <v>0</v>
      </c>
      <c r="W2729" s="74">
        <f>Devis[[#This Row],[Prix de Revient]]*Devis[[#This Row],[Poste 2]]</f>
        <v>0</v>
      </c>
      <c r="X2729" s="74">
        <f>Devis[[#This Row],[Prix de Revient]]*Devis[[#This Row],[Poste 3]]</f>
        <v>0</v>
      </c>
      <c r="Y2729" s="74">
        <f>Devis[[#This Row],[Poste 4]]*Devis[[#This Row],[Prix de Revient]]</f>
        <v>0</v>
      </c>
      <c r="Z2729" s="74">
        <f>Devis[[#This Row],[Poste 5]]*Devis[[#This Row],[Prix de Revient]]</f>
        <v>0</v>
      </c>
      <c r="AA2729" s="74">
        <f>Devis[[#This Row],[Prix de Revient]]*Devis[[#This Row],[Poste 6]]</f>
        <v>0</v>
      </c>
      <c r="AB2729" s="74">
        <f>Devis[[#This Row],[Quantité Totale]]*Devis[[#This Row],[Prix de Revient]]</f>
        <v>0</v>
      </c>
    </row>
    <row r="2730" spans="1:28" ht="14.25" outlineLevel="1" x14ac:dyDescent="0.2">
      <c r="A2730" s="75" t="s">
        <v>2617</v>
      </c>
      <c r="B2730" s="76" t="s">
        <v>5385</v>
      </c>
      <c r="C2730" s="76" t="s">
        <v>4045</v>
      </c>
      <c r="D2730" s="81" t="str">
        <f t="shared" si="46"/>
        <v>RaccordsCannelés filetés Flexible HydrauliqueFlexible Hydraulique</v>
      </c>
      <c r="E2730" s="76" t="s">
        <v>2666</v>
      </c>
      <c r="F2730" s="76">
        <v>6</v>
      </c>
      <c r="G2730" s="71" t="s">
        <v>2667</v>
      </c>
      <c r="H2730" s="71" t="s">
        <v>4046</v>
      </c>
      <c r="I2730" s="71"/>
      <c r="J2730" s="70">
        <f>IFERROR(VLOOKUP(Devis[[#This Row],[Ref Air Flux]],#REF!,3,FALSE),0)</f>
        <v>0</v>
      </c>
      <c r="K2730" s="68"/>
      <c r="L2730" s="68"/>
      <c r="M2730" s="68"/>
      <c r="N2730" s="68"/>
      <c r="O2730" s="68"/>
      <c r="P2730" s="68"/>
      <c r="Q2730" s="68">
        <f>SUM(Devis[[#This Row],[Poste 1]:[Poste 6]])</f>
        <v>0</v>
      </c>
      <c r="R2730" s="71"/>
      <c r="S2730" s="68">
        <f>_xlfn.CEILING.MATH(Devis[[#This Row],[Quantité Totale]],Devis[[#This Row],[Conditionnement]])</f>
        <v>0</v>
      </c>
      <c r="T2730" s="72"/>
      <c r="U2730" s="73"/>
      <c r="V2730" s="74">
        <f>Devis[[#This Row],[Prix de Revient]]*Devis[[#This Row],[Poste 1]]</f>
        <v>0</v>
      </c>
      <c r="W2730" s="74">
        <f>Devis[[#This Row],[Prix de Revient]]*Devis[[#This Row],[Poste 2]]</f>
        <v>0</v>
      </c>
      <c r="X2730" s="74">
        <f>Devis[[#This Row],[Prix de Revient]]*Devis[[#This Row],[Poste 3]]</f>
        <v>0</v>
      </c>
      <c r="Y2730" s="74">
        <f>Devis[[#This Row],[Poste 4]]*Devis[[#This Row],[Prix de Revient]]</f>
        <v>0</v>
      </c>
      <c r="Z2730" s="74">
        <f>Devis[[#This Row],[Poste 5]]*Devis[[#This Row],[Prix de Revient]]</f>
        <v>0</v>
      </c>
      <c r="AA2730" s="74">
        <f>Devis[[#This Row],[Prix de Revient]]*Devis[[#This Row],[Poste 6]]</f>
        <v>0</v>
      </c>
      <c r="AB2730" s="74">
        <f>Devis[[#This Row],[Quantité Totale]]*Devis[[#This Row],[Prix de Revient]]</f>
        <v>0</v>
      </c>
    </row>
    <row r="2731" spans="1:28" ht="15" customHeight="1" outlineLevel="1" x14ac:dyDescent="0.2">
      <c r="A2731" s="75" t="s">
        <v>2617</v>
      </c>
      <c r="B2731" s="76" t="s">
        <v>5385</v>
      </c>
      <c r="C2731" s="76" t="s">
        <v>4045</v>
      </c>
      <c r="D2731" s="81" t="str">
        <f t="shared" si="46"/>
        <v>RaccordsCannelés filetés Flexible HydrauliqueFlexible Hydraulique</v>
      </c>
      <c r="E2731" s="76" t="s">
        <v>2657</v>
      </c>
      <c r="F2731" s="76">
        <v>7</v>
      </c>
      <c r="G2731" s="71" t="s">
        <v>2668</v>
      </c>
      <c r="H2731" s="71" t="s">
        <v>4046</v>
      </c>
      <c r="I2731" s="71"/>
      <c r="J2731" s="70">
        <f>IFERROR(VLOOKUP(Devis[[#This Row],[Ref Air Flux]],#REF!,3,FALSE),0)</f>
        <v>0</v>
      </c>
      <c r="K2731" s="68"/>
      <c r="L2731" s="68"/>
      <c r="M2731" s="68"/>
      <c r="N2731" s="68"/>
      <c r="O2731" s="68"/>
      <c r="P2731" s="68"/>
      <c r="Q2731" s="68">
        <f>SUM(Devis[[#This Row],[Poste 1]:[Poste 6]])</f>
        <v>0</v>
      </c>
      <c r="R2731" s="71"/>
      <c r="S2731" s="68">
        <f>_xlfn.CEILING.MATH(Devis[[#This Row],[Quantité Totale]],Devis[[#This Row],[Conditionnement]])</f>
        <v>0</v>
      </c>
      <c r="T2731" s="72"/>
      <c r="U2731" s="73"/>
      <c r="V2731" s="74">
        <f>Devis[[#This Row],[Prix de Revient]]*Devis[[#This Row],[Poste 1]]</f>
        <v>0</v>
      </c>
      <c r="W2731" s="74">
        <f>Devis[[#This Row],[Prix de Revient]]*Devis[[#This Row],[Poste 2]]</f>
        <v>0</v>
      </c>
      <c r="X2731" s="74">
        <f>Devis[[#This Row],[Prix de Revient]]*Devis[[#This Row],[Poste 3]]</f>
        <v>0</v>
      </c>
      <c r="Y2731" s="74">
        <f>Devis[[#This Row],[Poste 4]]*Devis[[#This Row],[Prix de Revient]]</f>
        <v>0</v>
      </c>
      <c r="Z2731" s="74">
        <f>Devis[[#This Row],[Poste 5]]*Devis[[#This Row],[Prix de Revient]]</f>
        <v>0</v>
      </c>
      <c r="AA2731" s="74">
        <f>Devis[[#This Row],[Prix de Revient]]*Devis[[#This Row],[Poste 6]]</f>
        <v>0</v>
      </c>
      <c r="AB2731" s="74">
        <f>Devis[[#This Row],[Quantité Totale]]*Devis[[#This Row],[Prix de Revient]]</f>
        <v>0</v>
      </c>
    </row>
    <row r="2732" spans="1:28" ht="14.25" outlineLevel="1" x14ac:dyDescent="0.2">
      <c r="A2732" s="75" t="s">
        <v>2617</v>
      </c>
      <c r="B2732" s="76" t="s">
        <v>5385</v>
      </c>
      <c r="C2732" s="76" t="s">
        <v>4045</v>
      </c>
      <c r="D2732" s="81" t="str">
        <f t="shared" si="46"/>
        <v>RaccordsCannelés filetés Flexible HydrauliqueFlexible Hydraulique</v>
      </c>
      <c r="E2732" s="76" t="s">
        <v>2669</v>
      </c>
      <c r="F2732" s="76">
        <v>8</v>
      </c>
      <c r="G2732" s="71" t="s">
        <v>2670</v>
      </c>
      <c r="H2732" s="71" t="s">
        <v>4046</v>
      </c>
      <c r="I2732" s="71"/>
      <c r="J2732" s="70">
        <f>IFERROR(VLOOKUP(Devis[[#This Row],[Ref Air Flux]],#REF!,3,FALSE),0)</f>
        <v>0</v>
      </c>
      <c r="K2732" s="68"/>
      <c r="L2732" s="68"/>
      <c r="M2732" s="68"/>
      <c r="N2732" s="68"/>
      <c r="O2732" s="68"/>
      <c r="P2732" s="68"/>
      <c r="Q2732" s="68">
        <f>SUM(Devis[[#This Row],[Poste 1]:[Poste 6]])</f>
        <v>0</v>
      </c>
      <c r="R2732" s="71"/>
      <c r="S2732" s="68">
        <f>_xlfn.CEILING.MATH(Devis[[#This Row],[Quantité Totale]],Devis[[#This Row],[Conditionnement]])</f>
        <v>0</v>
      </c>
      <c r="T2732" s="72"/>
      <c r="U2732" s="73"/>
      <c r="V2732" s="74">
        <f>Devis[[#This Row],[Prix de Revient]]*Devis[[#This Row],[Poste 1]]</f>
        <v>0</v>
      </c>
      <c r="W2732" s="74">
        <f>Devis[[#This Row],[Prix de Revient]]*Devis[[#This Row],[Poste 2]]</f>
        <v>0</v>
      </c>
      <c r="X2732" s="74">
        <f>Devis[[#This Row],[Prix de Revient]]*Devis[[#This Row],[Poste 3]]</f>
        <v>0</v>
      </c>
      <c r="Y2732" s="74">
        <f>Devis[[#This Row],[Poste 4]]*Devis[[#This Row],[Prix de Revient]]</f>
        <v>0</v>
      </c>
      <c r="Z2732" s="74">
        <f>Devis[[#This Row],[Poste 5]]*Devis[[#This Row],[Prix de Revient]]</f>
        <v>0</v>
      </c>
      <c r="AA2732" s="74">
        <f>Devis[[#This Row],[Prix de Revient]]*Devis[[#This Row],[Poste 6]]</f>
        <v>0</v>
      </c>
      <c r="AB2732" s="74">
        <f>Devis[[#This Row],[Quantité Totale]]*Devis[[#This Row],[Prix de Revient]]</f>
        <v>0</v>
      </c>
    </row>
    <row r="2733" spans="1:28" ht="14.25" outlineLevel="1" x14ac:dyDescent="0.2">
      <c r="A2733" s="75" t="s">
        <v>2617</v>
      </c>
      <c r="B2733" s="76" t="s">
        <v>5385</v>
      </c>
      <c r="C2733" s="76" t="s">
        <v>4045</v>
      </c>
      <c r="D2733" s="81" t="str">
        <f t="shared" si="46"/>
        <v>RaccordsCannelés filetés Flexible HydrauliqueFlexible Hydraulique</v>
      </c>
      <c r="E2733" s="76" t="s">
        <v>2671</v>
      </c>
      <c r="F2733" s="76">
        <v>9</v>
      </c>
      <c r="G2733" s="71" t="s">
        <v>2672</v>
      </c>
      <c r="H2733" s="71" t="s">
        <v>4046</v>
      </c>
      <c r="I2733" s="71"/>
      <c r="J2733" s="70">
        <f>IFERROR(VLOOKUP(Devis[[#This Row],[Ref Air Flux]],#REF!,3,FALSE),0)</f>
        <v>0</v>
      </c>
      <c r="K2733" s="68"/>
      <c r="L2733" s="68"/>
      <c r="M2733" s="68"/>
      <c r="N2733" s="68"/>
      <c r="O2733" s="68"/>
      <c r="P2733" s="68"/>
      <c r="Q2733" s="68">
        <f>SUM(Devis[[#This Row],[Poste 1]:[Poste 6]])</f>
        <v>0</v>
      </c>
      <c r="R2733" s="71"/>
      <c r="S2733" s="68">
        <f>_xlfn.CEILING.MATH(Devis[[#This Row],[Quantité Totale]],Devis[[#This Row],[Conditionnement]])</f>
        <v>0</v>
      </c>
      <c r="T2733" s="72"/>
      <c r="U2733" s="73"/>
      <c r="V2733" s="74">
        <f>Devis[[#This Row],[Prix de Revient]]*Devis[[#This Row],[Poste 1]]</f>
        <v>0</v>
      </c>
      <c r="W2733" s="74">
        <f>Devis[[#This Row],[Prix de Revient]]*Devis[[#This Row],[Poste 2]]</f>
        <v>0</v>
      </c>
      <c r="X2733" s="74">
        <f>Devis[[#This Row],[Prix de Revient]]*Devis[[#This Row],[Poste 3]]</f>
        <v>0</v>
      </c>
      <c r="Y2733" s="74">
        <f>Devis[[#This Row],[Poste 4]]*Devis[[#This Row],[Prix de Revient]]</f>
        <v>0</v>
      </c>
      <c r="Z2733" s="74">
        <f>Devis[[#This Row],[Poste 5]]*Devis[[#This Row],[Prix de Revient]]</f>
        <v>0</v>
      </c>
      <c r="AA2733" s="74">
        <f>Devis[[#This Row],[Prix de Revient]]*Devis[[#This Row],[Poste 6]]</f>
        <v>0</v>
      </c>
      <c r="AB2733" s="74">
        <f>Devis[[#This Row],[Quantité Totale]]*Devis[[#This Row],[Prix de Revient]]</f>
        <v>0</v>
      </c>
    </row>
    <row r="2734" spans="1:28" ht="14.25" outlineLevel="1" x14ac:dyDescent="0.2">
      <c r="A2734" s="75" t="s">
        <v>2617</v>
      </c>
      <c r="B2734" s="76" t="s">
        <v>5385</v>
      </c>
      <c r="C2734" s="76" t="s">
        <v>4045</v>
      </c>
      <c r="D2734" s="81" t="str">
        <f t="shared" si="46"/>
        <v>RaccordsCannelés filetés Flexible HydrauliqueFlexible Hydraulique</v>
      </c>
      <c r="E2734" s="76" t="s">
        <v>2673</v>
      </c>
      <c r="F2734" s="76">
        <v>10</v>
      </c>
      <c r="G2734" s="71" t="s">
        <v>2674</v>
      </c>
      <c r="H2734" s="71" t="s">
        <v>4046</v>
      </c>
      <c r="I2734" s="71"/>
      <c r="J2734" s="70">
        <f>IFERROR(VLOOKUP(Devis[[#This Row],[Ref Air Flux]],#REF!,3,FALSE),0)</f>
        <v>0</v>
      </c>
      <c r="K2734" s="68"/>
      <c r="L2734" s="68"/>
      <c r="M2734" s="68"/>
      <c r="N2734" s="68"/>
      <c r="O2734" s="68"/>
      <c r="P2734" s="68"/>
      <c r="Q2734" s="68">
        <f>SUM(Devis[[#This Row],[Poste 1]:[Poste 6]])</f>
        <v>0</v>
      </c>
      <c r="R2734" s="71"/>
      <c r="S2734" s="68">
        <f>_xlfn.CEILING.MATH(Devis[[#This Row],[Quantité Totale]],Devis[[#This Row],[Conditionnement]])</f>
        <v>0</v>
      </c>
      <c r="T2734" s="72"/>
      <c r="U2734" s="73"/>
      <c r="V2734" s="74">
        <f>Devis[[#This Row],[Prix de Revient]]*Devis[[#This Row],[Poste 1]]</f>
        <v>0</v>
      </c>
      <c r="W2734" s="74">
        <f>Devis[[#This Row],[Prix de Revient]]*Devis[[#This Row],[Poste 2]]</f>
        <v>0</v>
      </c>
      <c r="X2734" s="74">
        <f>Devis[[#This Row],[Prix de Revient]]*Devis[[#This Row],[Poste 3]]</f>
        <v>0</v>
      </c>
      <c r="Y2734" s="74">
        <f>Devis[[#This Row],[Poste 4]]*Devis[[#This Row],[Prix de Revient]]</f>
        <v>0</v>
      </c>
      <c r="Z2734" s="74">
        <f>Devis[[#This Row],[Poste 5]]*Devis[[#This Row],[Prix de Revient]]</f>
        <v>0</v>
      </c>
      <c r="AA2734" s="74">
        <f>Devis[[#This Row],[Prix de Revient]]*Devis[[#This Row],[Poste 6]]</f>
        <v>0</v>
      </c>
      <c r="AB2734" s="74">
        <f>Devis[[#This Row],[Quantité Totale]]*Devis[[#This Row],[Prix de Revient]]</f>
        <v>0</v>
      </c>
    </row>
    <row r="2735" spans="1:28" ht="14.25" outlineLevel="1" x14ac:dyDescent="0.2">
      <c r="A2735" s="75" t="s">
        <v>2617</v>
      </c>
      <c r="B2735" s="76" t="s">
        <v>5385</v>
      </c>
      <c r="C2735" s="76" t="s">
        <v>4045</v>
      </c>
      <c r="D2735" s="81" t="str">
        <f t="shared" si="46"/>
        <v>RaccordsCannelés filetés Flexible HydrauliqueFlexible Hydraulique</v>
      </c>
      <c r="E2735" s="76" t="s">
        <v>2675</v>
      </c>
      <c r="F2735" s="76">
        <v>11</v>
      </c>
      <c r="G2735" s="71" t="s">
        <v>2676</v>
      </c>
      <c r="H2735" s="71" t="s">
        <v>4046</v>
      </c>
      <c r="I2735" s="71"/>
      <c r="J2735" s="70">
        <f>IFERROR(VLOOKUP(Devis[[#This Row],[Ref Air Flux]],#REF!,3,FALSE),0)</f>
        <v>0</v>
      </c>
      <c r="K2735" s="68"/>
      <c r="L2735" s="68"/>
      <c r="M2735" s="68"/>
      <c r="N2735" s="68"/>
      <c r="O2735" s="68"/>
      <c r="P2735" s="68"/>
      <c r="Q2735" s="68">
        <f>SUM(Devis[[#This Row],[Poste 1]:[Poste 6]])</f>
        <v>0</v>
      </c>
      <c r="R2735" s="71"/>
      <c r="S2735" s="68">
        <f>_xlfn.CEILING.MATH(Devis[[#This Row],[Quantité Totale]],Devis[[#This Row],[Conditionnement]])</f>
        <v>0</v>
      </c>
      <c r="T2735" s="72"/>
      <c r="U2735" s="73"/>
      <c r="V2735" s="74">
        <f>Devis[[#This Row],[Prix de Revient]]*Devis[[#This Row],[Poste 1]]</f>
        <v>0</v>
      </c>
      <c r="W2735" s="74">
        <f>Devis[[#This Row],[Prix de Revient]]*Devis[[#This Row],[Poste 2]]</f>
        <v>0</v>
      </c>
      <c r="X2735" s="74">
        <f>Devis[[#This Row],[Prix de Revient]]*Devis[[#This Row],[Poste 3]]</f>
        <v>0</v>
      </c>
      <c r="Y2735" s="74">
        <f>Devis[[#This Row],[Poste 4]]*Devis[[#This Row],[Prix de Revient]]</f>
        <v>0</v>
      </c>
      <c r="Z2735" s="74">
        <f>Devis[[#This Row],[Poste 5]]*Devis[[#This Row],[Prix de Revient]]</f>
        <v>0</v>
      </c>
      <c r="AA2735" s="74">
        <f>Devis[[#This Row],[Prix de Revient]]*Devis[[#This Row],[Poste 6]]</f>
        <v>0</v>
      </c>
      <c r="AB2735" s="74">
        <f>Devis[[#This Row],[Quantité Totale]]*Devis[[#This Row],[Prix de Revient]]</f>
        <v>0</v>
      </c>
    </row>
    <row r="2736" spans="1:28" ht="14.25" outlineLevel="1" x14ac:dyDescent="0.2">
      <c r="A2736" s="75" t="s">
        <v>2617</v>
      </c>
      <c r="B2736" s="76" t="s">
        <v>5385</v>
      </c>
      <c r="C2736" s="76" t="s">
        <v>4045</v>
      </c>
      <c r="D2736" s="81" t="str">
        <f t="shared" ref="D2736:D2799" si="47">A2736&amp;B2736&amp;C2736</f>
        <v>RaccordsCannelés filetés Flexible HydrauliqueFlexible Hydraulique</v>
      </c>
      <c r="E2736" s="76" t="s">
        <v>2677</v>
      </c>
      <c r="F2736" s="76">
        <v>12</v>
      </c>
      <c r="G2736" s="71" t="s">
        <v>2678</v>
      </c>
      <c r="H2736" s="71" t="s">
        <v>4046</v>
      </c>
      <c r="I2736" s="71"/>
      <c r="J2736" s="70">
        <f>IFERROR(VLOOKUP(Devis[[#This Row],[Ref Air Flux]],#REF!,3,FALSE),0)</f>
        <v>0</v>
      </c>
      <c r="K2736" s="68"/>
      <c r="L2736" s="68"/>
      <c r="M2736" s="68"/>
      <c r="N2736" s="68"/>
      <c r="O2736" s="68"/>
      <c r="P2736" s="68"/>
      <c r="Q2736" s="68">
        <f>SUM(Devis[[#This Row],[Poste 1]:[Poste 6]])</f>
        <v>0</v>
      </c>
      <c r="R2736" s="71"/>
      <c r="S2736" s="68">
        <f>_xlfn.CEILING.MATH(Devis[[#This Row],[Quantité Totale]],Devis[[#This Row],[Conditionnement]])</f>
        <v>0</v>
      </c>
      <c r="T2736" s="72"/>
      <c r="U2736" s="73"/>
      <c r="V2736" s="74">
        <f>Devis[[#This Row],[Prix de Revient]]*Devis[[#This Row],[Poste 1]]</f>
        <v>0</v>
      </c>
      <c r="W2736" s="74">
        <f>Devis[[#This Row],[Prix de Revient]]*Devis[[#This Row],[Poste 2]]</f>
        <v>0</v>
      </c>
      <c r="X2736" s="74">
        <f>Devis[[#This Row],[Prix de Revient]]*Devis[[#This Row],[Poste 3]]</f>
        <v>0</v>
      </c>
      <c r="Y2736" s="74">
        <f>Devis[[#This Row],[Poste 4]]*Devis[[#This Row],[Prix de Revient]]</f>
        <v>0</v>
      </c>
      <c r="Z2736" s="74">
        <f>Devis[[#This Row],[Poste 5]]*Devis[[#This Row],[Prix de Revient]]</f>
        <v>0</v>
      </c>
      <c r="AA2736" s="74">
        <f>Devis[[#This Row],[Prix de Revient]]*Devis[[#This Row],[Poste 6]]</f>
        <v>0</v>
      </c>
      <c r="AB2736" s="74">
        <f>Devis[[#This Row],[Quantité Totale]]*Devis[[#This Row],[Prix de Revient]]</f>
        <v>0</v>
      </c>
    </row>
    <row r="2737" spans="1:28" ht="14.25" outlineLevel="1" x14ac:dyDescent="0.2">
      <c r="A2737" s="75" t="s">
        <v>2617</v>
      </c>
      <c r="B2737" s="76" t="s">
        <v>5385</v>
      </c>
      <c r="C2737" s="76" t="s">
        <v>4045</v>
      </c>
      <c r="D2737" s="81" t="str">
        <f t="shared" si="47"/>
        <v>RaccordsCannelés filetés Flexible HydrauliqueFlexible Hydraulique</v>
      </c>
      <c r="E2737" s="76" t="s">
        <v>2679</v>
      </c>
      <c r="F2737" s="76">
        <v>13</v>
      </c>
      <c r="G2737" s="71" t="s">
        <v>2680</v>
      </c>
      <c r="H2737" s="71" t="s">
        <v>4046</v>
      </c>
      <c r="I2737" s="71"/>
      <c r="J2737" s="70">
        <f>IFERROR(VLOOKUP(Devis[[#This Row],[Ref Air Flux]],#REF!,3,FALSE),0)</f>
        <v>0</v>
      </c>
      <c r="K2737" s="68"/>
      <c r="L2737" s="68"/>
      <c r="M2737" s="68"/>
      <c r="N2737" s="68"/>
      <c r="O2737" s="68"/>
      <c r="P2737" s="68"/>
      <c r="Q2737" s="68">
        <f>SUM(Devis[[#This Row],[Poste 1]:[Poste 6]])</f>
        <v>0</v>
      </c>
      <c r="R2737" s="71"/>
      <c r="S2737" s="68">
        <f>_xlfn.CEILING.MATH(Devis[[#This Row],[Quantité Totale]],Devis[[#This Row],[Conditionnement]])</f>
        <v>0</v>
      </c>
      <c r="T2737" s="72"/>
      <c r="U2737" s="73"/>
      <c r="V2737" s="74">
        <f>Devis[[#This Row],[Prix de Revient]]*Devis[[#This Row],[Poste 1]]</f>
        <v>0</v>
      </c>
      <c r="W2737" s="74">
        <f>Devis[[#This Row],[Prix de Revient]]*Devis[[#This Row],[Poste 2]]</f>
        <v>0</v>
      </c>
      <c r="X2737" s="74">
        <f>Devis[[#This Row],[Prix de Revient]]*Devis[[#This Row],[Poste 3]]</f>
        <v>0</v>
      </c>
      <c r="Y2737" s="74">
        <f>Devis[[#This Row],[Poste 4]]*Devis[[#This Row],[Prix de Revient]]</f>
        <v>0</v>
      </c>
      <c r="Z2737" s="74">
        <f>Devis[[#This Row],[Poste 5]]*Devis[[#This Row],[Prix de Revient]]</f>
        <v>0</v>
      </c>
      <c r="AA2737" s="74">
        <f>Devis[[#This Row],[Prix de Revient]]*Devis[[#This Row],[Poste 6]]</f>
        <v>0</v>
      </c>
      <c r="AB2737" s="74">
        <f>Devis[[#This Row],[Quantité Totale]]*Devis[[#This Row],[Prix de Revient]]</f>
        <v>0</v>
      </c>
    </row>
    <row r="2738" spans="1:28" ht="14.25" customHeight="1" x14ac:dyDescent="0.25">
      <c r="A2738" s="65" t="s">
        <v>2617</v>
      </c>
      <c r="B2738" s="65" t="s">
        <v>5386</v>
      </c>
      <c r="C2738" s="113" t="s">
        <v>5386</v>
      </c>
      <c r="D2738" s="81" t="str">
        <f t="shared" si="47"/>
        <v>RaccordsCannelés filetés Flexible TricoclairCannelés filetés Flexible Tricoclair</v>
      </c>
      <c r="E2738" s="76"/>
      <c r="F2738" s="76">
        <v>0</v>
      </c>
      <c r="G2738" s="71"/>
      <c r="H2738" s="71"/>
      <c r="I2738" s="71"/>
      <c r="J2738" s="70">
        <f>IFERROR(VLOOKUP(Devis[[#This Row],[Ref Air Flux]],#REF!,3,FALSE),0)</f>
        <v>0</v>
      </c>
      <c r="K2738" s="68"/>
      <c r="L2738" s="68"/>
      <c r="M2738" s="68"/>
      <c r="N2738" s="68"/>
      <c r="O2738" s="68"/>
      <c r="P2738" s="68"/>
      <c r="Q2738" s="68">
        <f>SUM(Devis[[#This Row],[Poste 1]:[Poste 6]])</f>
        <v>0</v>
      </c>
      <c r="R2738" s="71"/>
      <c r="S2738" s="68">
        <f>_xlfn.CEILING.MATH(Devis[[#This Row],[Quantité Totale]],Devis[[#This Row],[Conditionnement]])</f>
        <v>0</v>
      </c>
      <c r="T2738" s="72"/>
      <c r="U2738" s="73"/>
      <c r="V2738" s="74">
        <f>Devis[[#This Row],[Prix de Revient]]*Devis[[#This Row],[Poste 1]]</f>
        <v>0</v>
      </c>
      <c r="W2738" s="74">
        <f>Devis[[#This Row],[Prix de Revient]]*Devis[[#This Row],[Poste 2]]</f>
        <v>0</v>
      </c>
      <c r="X2738" s="74">
        <f>Devis[[#This Row],[Prix de Revient]]*Devis[[#This Row],[Poste 3]]</f>
        <v>0</v>
      </c>
      <c r="Y2738" s="74">
        <f>Devis[[#This Row],[Poste 4]]*Devis[[#This Row],[Prix de Revient]]</f>
        <v>0</v>
      </c>
      <c r="Z2738" s="74">
        <f>Devis[[#This Row],[Poste 5]]*Devis[[#This Row],[Prix de Revient]]</f>
        <v>0</v>
      </c>
      <c r="AA2738" s="74">
        <f>Devis[[#This Row],[Prix de Revient]]*Devis[[#This Row],[Poste 6]]</f>
        <v>0</v>
      </c>
      <c r="AB2738" s="74">
        <f>Devis[[#This Row],[Quantité Totale]]*Devis[[#This Row],[Prix de Revient]]</f>
        <v>0</v>
      </c>
    </row>
    <row r="2739" spans="1:28" ht="14.25" outlineLevel="1" x14ac:dyDescent="0.2">
      <c r="A2739" s="75" t="s">
        <v>2617</v>
      </c>
      <c r="B2739" s="76" t="s">
        <v>5386</v>
      </c>
      <c r="C2739" s="76" t="s">
        <v>4048</v>
      </c>
      <c r="D2739" s="81" t="str">
        <f t="shared" si="47"/>
        <v>RaccordsCannelés filetés Flexible TricoclairPour flexible Tricoclair</v>
      </c>
      <c r="E2739" s="76" t="s">
        <v>4074</v>
      </c>
      <c r="F2739" s="76">
        <v>1</v>
      </c>
      <c r="G2739" s="71">
        <v>304088</v>
      </c>
      <c r="H2739" s="71" t="s">
        <v>4050</v>
      </c>
      <c r="I2739" s="71">
        <v>304088</v>
      </c>
      <c r="J2739" s="70">
        <f>IFERROR(VLOOKUP(Devis[[#This Row],[Ref Air Flux]],#REF!,3,FALSE),0)</f>
        <v>0</v>
      </c>
      <c r="K2739" s="68"/>
      <c r="L2739" s="68"/>
      <c r="M2739" s="68"/>
      <c r="N2739" s="68"/>
      <c r="O2739" s="68"/>
      <c r="P2739" s="68"/>
      <c r="Q2739" s="68">
        <f>SUM(Devis[[#This Row],[Poste 1]:[Poste 6]])</f>
        <v>0</v>
      </c>
      <c r="R2739" s="94"/>
      <c r="S2739" s="68">
        <f>_xlfn.CEILING.MATH(Devis[[#This Row],[Quantité Totale]],Devis[[#This Row],[Conditionnement]])</f>
        <v>0</v>
      </c>
      <c r="T2739" s="72"/>
      <c r="U2739" s="73"/>
      <c r="V2739" s="74">
        <f>Devis[[#This Row],[Prix de Revient]]*Devis[[#This Row],[Poste 1]]</f>
        <v>0</v>
      </c>
      <c r="W2739" s="74">
        <f>Devis[[#This Row],[Prix de Revient]]*Devis[[#This Row],[Poste 2]]</f>
        <v>0</v>
      </c>
      <c r="X2739" s="74">
        <f>Devis[[#This Row],[Prix de Revient]]*Devis[[#This Row],[Poste 3]]</f>
        <v>0</v>
      </c>
      <c r="Y2739" s="74">
        <f>Devis[[#This Row],[Poste 4]]*Devis[[#This Row],[Prix de Revient]]</f>
        <v>0</v>
      </c>
      <c r="Z2739" s="74">
        <f>Devis[[#This Row],[Poste 5]]*Devis[[#This Row],[Prix de Revient]]</f>
        <v>0</v>
      </c>
      <c r="AA2739" s="74">
        <f>Devis[[#This Row],[Prix de Revient]]*Devis[[#This Row],[Poste 6]]</f>
        <v>0</v>
      </c>
      <c r="AB2739" s="74">
        <f>Devis[[#This Row],[Quantité Totale]]*Devis[[#This Row],[Prix de Revient]]</f>
        <v>0</v>
      </c>
    </row>
    <row r="2740" spans="1:28" ht="14.25" outlineLevel="1" x14ac:dyDescent="0.2">
      <c r="A2740" s="75" t="s">
        <v>2617</v>
      </c>
      <c r="B2740" s="76" t="s">
        <v>5386</v>
      </c>
      <c r="C2740" s="76" t="s">
        <v>4048</v>
      </c>
      <c r="D2740" s="81" t="str">
        <f t="shared" si="47"/>
        <v>RaccordsCannelés filetés Flexible TricoclairPour flexible Tricoclair</v>
      </c>
      <c r="E2740" s="76" t="s">
        <v>4072</v>
      </c>
      <c r="F2740" s="76">
        <v>2</v>
      </c>
      <c r="G2740" s="71">
        <v>304046</v>
      </c>
      <c r="H2740" s="71" t="s">
        <v>4050</v>
      </c>
      <c r="I2740" s="71">
        <v>304046</v>
      </c>
      <c r="J2740" s="70">
        <f>IFERROR(VLOOKUP(Devis[[#This Row],[Ref Air Flux]],#REF!,3,FALSE),0)</f>
        <v>0</v>
      </c>
      <c r="K2740" s="68"/>
      <c r="L2740" s="68"/>
      <c r="M2740" s="68"/>
      <c r="N2740" s="68"/>
      <c r="O2740" s="68"/>
      <c r="P2740" s="68"/>
      <c r="Q2740" s="68">
        <f>SUM(Devis[[#This Row],[Poste 1]:[Poste 6]])</f>
        <v>0</v>
      </c>
      <c r="R2740" s="94"/>
      <c r="S2740" s="68">
        <f>_xlfn.CEILING.MATH(Devis[[#This Row],[Quantité Totale]],Devis[[#This Row],[Conditionnement]])</f>
        <v>0</v>
      </c>
      <c r="T2740" s="72"/>
      <c r="U2740" s="73"/>
      <c r="V2740" s="74">
        <f>Devis[[#This Row],[Prix de Revient]]*Devis[[#This Row],[Poste 1]]</f>
        <v>0</v>
      </c>
      <c r="W2740" s="74">
        <f>Devis[[#This Row],[Prix de Revient]]*Devis[[#This Row],[Poste 2]]</f>
        <v>0</v>
      </c>
      <c r="X2740" s="74">
        <f>Devis[[#This Row],[Prix de Revient]]*Devis[[#This Row],[Poste 3]]</f>
        <v>0</v>
      </c>
      <c r="Y2740" s="74">
        <f>Devis[[#This Row],[Poste 4]]*Devis[[#This Row],[Prix de Revient]]</f>
        <v>0</v>
      </c>
      <c r="Z2740" s="74">
        <f>Devis[[#This Row],[Poste 5]]*Devis[[#This Row],[Prix de Revient]]</f>
        <v>0</v>
      </c>
      <c r="AA2740" s="74">
        <f>Devis[[#This Row],[Prix de Revient]]*Devis[[#This Row],[Poste 6]]</f>
        <v>0</v>
      </c>
      <c r="AB2740" s="74">
        <f>Devis[[#This Row],[Quantité Totale]]*Devis[[#This Row],[Prix de Revient]]</f>
        <v>0</v>
      </c>
    </row>
    <row r="2741" spans="1:28" ht="14.25" outlineLevel="1" x14ac:dyDescent="0.2">
      <c r="A2741" s="75" t="s">
        <v>2617</v>
      </c>
      <c r="B2741" s="76" t="s">
        <v>5386</v>
      </c>
      <c r="C2741" s="76" t="s">
        <v>4048</v>
      </c>
      <c r="D2741" s="81" t="str">
        <f t="shared" si="47"/>
        <v>RaccordsCannelés filetés Flexible TricoclairPour flexible Tricoclair</v>
      </c>
      <c r="E2741" s="76" t="s">
        <v>4073</v>
      </c>
      <c r="F2741" s="76">
        <v>3</v>
      </c>
      <c r="G2741" s="71">
        <v>304049</v>
      </c>
      <c r="H2741" s="71" t="s">
        <v>4050</v>
      </c>
      <c r="I2741" s="71">
        <v>304049</v>
      </c>
      <c r="J2741" s="70">
        <f>IFERROR(VLOOKUP(Devis[[#This Row],[Ref Air Flux]],#REF!,3,FALSE),0)</f>
        <v>0</v>
      </c>
      <c r="K2741" s="68"/>
      <c r="L2741" s="68"/>
      <c r="M2741" s="68"/>
      <c r="N2741" s="68"/>
      <c r="O2741" s="68"/>
      <c r="P2741" s="68"/>
      <c r="Q2741" s="68">
        <f>SUM(Devis[[#This Row],[Poste 1]:[Poste 6]])</f>
        <v>0</v>
      </c>
      <c r="R2741" s="94"/>
      <c r="S2741" s="68">
        <f>_xlfn.CEILING.MATH(Devis[[#This Row],[Quantité Totale]],Devis[[#This Row],[Conditionnement]])</f>
        <v>0</v>
      </c>
      <c r="T2741" s="72"/>
      <c r="U2741" s="73" t="s">
        <v>6198</v>
      </c>
      <c r="V2741" s="74">
        <f>Devis[[#This Row],[Prix de Revient]]*Devis[[#This Row],[Poste 1]]</f>
        <v>0</v>
      </c>
      <c r="W2741" s="74">
        <f>Devis[[#This Row],[Prix de Revient]]*Devis[[#This Row],[Poste 2]]</f>
        <v>0</v>
      </c>
      <c r="X2741" s="74">
        <f>Devis[[#This Row],[Prix de Revient]]*Devis[[#This Row],[Poste 3]]</f>
        <v>0</v>
      </c>
      <c r="Y2741" s="74">
        <f>Devis[[#This Row],[Poste 4]]*Devis[[#This Row],[Prix de Revient]]</f>
        <v>0</v>
      </c>
      <c r="Z2741" s="74">
        <f>Devis[[#This Row],[Poste 5]]*Devis[[#This Row],[Prix de Revient]]</f>
        <v>0</v>
      </c>
      <c r="AA2741" s="74">
        <f>Devis[[#This Row],[Prix de Revient]]*Devis[[#This Row],[Poste 6]]</f>
        <v>0</v>
      </c>
      <c r="AB2741" s="74">
        <f>Devis[[#This Row],[Quantité Totale]]*Devis[[#This Row],[Prix de Revient]]</f>
        <v>0</v>
      </c>
    </row>
    <row r="2742" spans="1:28" ht="15" customHeight="1" outlineLevel="1" x14ac:dyDescent="0.2">
      <c r="A2742" s="75" t="s">
        <v>2617</v>
      </c>
      <c r="B2742" s="76" t="s">
        <v>5386</v>
      </c>
      <c r="C2742" s="76" t="s">
        <v>4048</v>
      </c>
      <c r="D2742" s="81" t="str">
        <f t="shared" si="47"/>
        <v>RaccordsCannelés filetés Flexible TricoclairPour flexible Tricoclair</v>
      </c>
      <c r="E2742" s="76" t="s">
        <v>6201</v>
      </c>
      <c r="F2742" s="76">
        <v>4</v>
      </c>
      <c r="G2742" s="71" t="s">
        <v>6202</v>
      </c>
      <c r="H2742" s="71" t="s">
        <v>6203</v>
      </c>
      <c r="I2742" s="71" t="s">
        <v>6202</v>
      </c>
      <c r="J2742" s="70">
        <f>IFERROR(VLOOKUP(Devis[[#This Row],[Ref Air Flux]],#REF!,3,FALSE),0)</f>
        <v>0</v>
      </c>
      <c r="K2742" s="68"/>
      <c r="L2742" s="68"/>
      <c r="M2742" s="68"/>
      <c r="N2742" s="68"/>
      <c r="O2742" s="68"/>
      <c r="P2742" s="68"/>
      <c r="Q2742" s="68">
        <f>SUM(Devis[[#This Row],[Poste 1]:[Poste 6]])</f>
        <v>0</v>
      </c>
      <c r="R2742" s="94"/>
      <c r="S2742" s="68">
        <f>_xlfn.CEILING.MATH(Devis[[#This Row],[Quantité Totale]],Devis[[#This Row],[Conditionnement]])</f>
        <v>0</v>
      </c>
      <c r="T2742" s="72"/>
      <c r="U2742" s="73"/>
      <c r="V2742" s="74">
        <f>Devis[[#This Row],[Prix de Revient]]*Devis[[#This Row],[Poste 1]]</f>
        <v>0</v>
      </c>
      <c r="W2742" s="74">
        <f>Devis[[#This Row],[Prix de Revient]]*Devis[[#This Row],[Poste 2]]</f>
        <v>0</v>
      </c>
      <c r="X2742" s="74">
        <f>Devis[[#This Row],[Prix de Revient]]*Devis[[#This Row],[Poste 3]]</f>
        <v>0</v>
      </c>
      <c r="Y2742" s="74">
        <f>Devis[[#This Row],[Poste 4]]*Devis[[#This Row],[Prix de Revient]]</f>
        <v>0</v>
      </c>
      <c r="Z2742" s="74">
        <f>Devis[[#This Row],[Poste 5]]*Devis[[#This Row],[Prix de Revient]]</f>
        <v>0</v>
      </c>
      <c r="AA2742" s="74">
        <f>Devis[[#This Row],[Prix de Revient]]*Devis[[#This Row],[Poste 6]]</f>
        <v>0</v>
      </c>
      <c r="AB2742" s="74">
        <f>Devis[[#This Row],[Quantité Totale]]*Devis[[#This Row],[Prix de Revient]]</f>
        <v>0</v>
      </c>
    </row>
    <row r="2743" spans="1:28" ht="14.25" outlineLevel="1" x14ac:dyDescent="0.2">
      <c r="A2743" s="75" t="s">
        <v>2617</v>
      </c>
      <c r="B2743" s="76" t="s">
        <v>5386</v>
      </c>
      <c r="C2743" s="76" t="s">
        <v>4048</v>
      </c>
      <c r="D2743" s="81" t="str">
        <f t="shared" si="47"/>
        <v>RaccordsCannelés filetés Flexible TricoclairPour flexible Tricoclair</v>
      </c>
      <c r="E2743" s="76" t="s">
        <v>4071</v>
      </c>
      <c r="F2743" s="76">
        <v>5</v>
      </c>
      <c r="G2743" s="71">
        <v>304043</v>
      </c>
      <c r="H2743" s="71" t="s">
        <v>4050</v>
      </c>
      <c r="I2743" s="71">
        <v>304043</v>
      </c>
      <c r="J2743" s="70">
        <f>IFERROR(VLOOKUP(Devis[[#This Row],[Ref Air Flux]],#REF!,3,FALSE),0)</f>
        <v>0</v>
      </c>
      <c r="K2743" s="68"/>
      <c r="L2743" s="68"/>
      <c r="M2743" s="68"/>
      <c r="N2743" s="68"/>
      <c r="O2743" s="68"/>
      <c r="P2743" s="68"/>
      <c r="Q2743" s="68">
        <f>SUM(Devis[[#This Row],[Poste 1]:[Poste 6]])</f>
        <v>0</v>
      </c>
      <c r="R2743" s="94"/>
      <c r="S2743" s="68">
        <f>_xlfn.CEILING.MATH(Devis[[#This Row],[Quantité Totale]],Devis[[#This Row],[Conditionnement]])</f>
        <v>0</v>
      </c>
      <c r="T2743" s="72"/>
      <c r="U2743" s="73"/>
      <c r="V2743" s="74">
        <f>Devis[[#This Row],[Prix de Revient]]*Devis[[#This Row],[Poste 1]]</f>
        <v>0</v>
      </c>
      <c r="W2743" s="74">
        <f>Devis[[#This Row],[Prix de Revient]]*Devis[[#This Row],[Poste 2]]</f>
        <v>0</v>
      </c>
      <c r="X2743" s="74">
        <f>Devis[[#This Row],[Prix de Revient]]*Devis[[#This Row],[Poste 3]]</f>
        <v>0</v>
      </c>
      <c r="Y2743" s="74">
        <f>Devis[[#This Row],[Poste 4]]*Devis[[#This Row],[Prix de Revient]]</f>
        <v>0</v>
      </c>
      <c r="Z2743" s="74">
        <f>Devis[[#This Row],[Poste 5]]*Devis[[#This Row],[Prix de Revient]]</f>
        <v>0</v>
      </c>
      <c r="AA2743" s="74">
        <f>Devis[[#This Row],[Prix de Revient]]*Devis[[#This Row],[Poste 6]]</f>
        <v>0</v>
      </c>
      <c r="AB2743" s="74">
        <f>Devis[[#This Row],[Quantité Totale]]*Devis[[#This Row],[Prix de Revient]]</f>
        <v>0</v>
      </c>
    </row>
    <row r="2744" spans="1:28" ht="14.25" outlineLevel="1" x14ac:dyDescent="0.2">
      <c r="A2744" s="75" t="s">
        <v>2617</v>
      </c>
      <c r="B2744" s="76" t="s">
        <v>5386</v>
      </c>
      <c r="C2744" s="76" t="s">
        <v>4048</v>
      </c>
      <c r="D2744" s="81" t="str">
        <f t="shared" si="47"/>
        <v>RaccordsCannelés filetés Flexible TricoclairPour flexible Tricoclair</v>
      </c>
      <c r="E2744" s="76" t="s">
        <v>4070</v>
      </c>
      <c r="F2744" s="76">
        <v>6</v>
      </c>
      <c r="G2744" s="71">
        <v>304042</v>
      </c>
      <c r="H2744" s="71" t="s">
        <v>4050</v>
      </c>
      <c r="I2744" s="71">
        <v>304042</v>
      </c>
      <c r="J2744" s="70">
        <f>IFERROR(VLOOKUP(Devis[[#This Row],[Ref Air Flux]],#REF!,3,FALSE),0)</f>
        <v>0</v>
      </c>
      <c r="K2744" s="68"/>
      <c r="L2744" s="68"/>
      <c r="M2744" s="68"/>
      <c r="N2744" s="68"/>
      <c r="O2744" s="68"/>
      <c r="P2744" s="68"/>
      <c r="Q2744" s="68">
        <f>SUM(Devis[[#This Row],[Poste 1]:[Poste 6]])</f>
        <v>0</v>
      </c>
      <c r="R2744" s="94"/>
      <c r="S2744" s="68">
        <f>_xlfn.CEILING.MATH(Devis[[#This Row],[Quantité Totale]],Devis[[#This Row],[Conditionnement]])</f>
        <v>0</v>
      </c>
      <c r="T2744" s="72"/>
      <c r="U2744" s="73" t="s">
        <v>6208</v>
      </c>
      <c r="V2744" s="74">
        <f>Devis[[#This Row],[Prix de Revient]]*Devis[[#This Row],[Poste 1]]</f>
        <v>0</v>
      </c>
      <c r="W2744" s="74">
        <f>Devis[[#This Row],[Prix de Revient]]*Devis[[#This Row],[Poste 2]]</f>
        <v>0</v>
      </c>
      <c r="X2744" s="74">
        <f>Devis[[#This Row],[Prix de Revient]]*Devis[[#This Row],[Poste 3]]</f>
        <v>0</v>
      </c>
      <c r="Y2744" s="74">
        <f>Devis[[#This Row],[Poste 4]]*Devis[[#This Row],[Prix de Revient]]</f>
        <v>0</v>
      </c>
      <c r="Z2744" s="74">
        <f>Devis[[#This Row],[Poste 5]]*Devis[[#This Row],[Prix de Revient]]</f>
        <v>0</v>
      </c>
      <c r="AA2744" s="74">
        <f>Devis[[#This Row],[Prix de Revient]]*Devis[[#This Row],[Poste 6]]</f>
        <v>0</v>
      </c>
      <c r="AB2744" s="74">
        <f>Devis[[#This Row],[Quantité Totale]]*Devis[[#This Row],[Prix de Revient]]</f>
        <v>0</v>
      </c>
    </row>
    <row r="2745" spans="1:28" ht="14.25" outlineLevel="1" x14ac:dyDescent="0.2">
      <c r="A2745" s="75" t="s">
        <v>2617</v>
      </c>
      <c r="B2745" s="76" t="s">
        <v>5386</v>
      </c>
      <c r="C2745" s="76" t="s">
        <v>4048</v>
      </c>
      <c r="D2745" s="81" t="str">
        <f t="shared" si="47"/>
        <v>RaccordsCannelés filetés Flexible TricoclairPour flexible Tricoclair</v>
      </c>
      <c r="E2745" s="76" t="s">
        <v>4069</v>
      </c>
      <c r="F2745" s="76">
        <v>7</v>
      </c>
      <c r="G2745" s="71">
        <v>304039</v>
      </c>
      <c r="H2745" s="71" t="s">
        <v>4050</v>
      </c>
      <c r="I2745" s="71">
        <v>304039</v>
      </c>
      <c r="J2745" s="70">
        <f>IFERROR(VLOOKUP(Devis[[#This Row],[Ref Air Flux]],#REF!,3,FALSE),0)</f>
        <v>0</v>
      </c>
      <c r="K2745" s="68"/>
      <c r="L2745" s="68"/>
      <c r="M2745" s="68"/>
      <c r="N2745" s="68"/>
      <c r="O2745" s="68"/>
      <c r="P2745" s="68"/>
      <c r="Q2745" s="68">
        <f>SUM(Devis[[#This Row],[Poste 1]:[Poste 6]])</f>
        <v>0</v>
      </c>
      <c r="R2745" s="94"/>
      <c r="S2745" s="68">
        <f>_xlfn.CEILING.MATH(Devis[[#This Row],[Quantité Totale]],Devis[[#This Row],[Conditionnement]])</f>
        <v>0</v>
      </c>
      <c r="T2745" s="72"/>
      <c r="U2745" s="73" t="s">
        <v>6199</v>
      </c>
      <c r="V2745" s="74">
        <f>Devis[[#This Row],[Prix de Revient]]*Devis[[#This Row],[Poste 1]]</f>
        <v>0</v>
      </c>
      <c r="W2745" s="74">
        <f>Devis[[#This Row],[Prix de Revient]]*Devis[[#This Row],[Poste 2]]</f>
        <v>0</v>
      </c>
      <c r="X2745" s="74">
        <f>Devis[[#This Row],[Prix de Revient]]*Devis[[#This Row],[Poste 3]]</f>
        <v>0</v>
      </c>
      <c r="Y2745" s="74">
        <f>Devis[[#This Row],[Poste 4]]*Devis[[#This Row],[Prix de Revient]]</f>
        <v>0</v>
      </c>
      <c r="Z2745" s="74">
        <f>Devis[[#This Row],[Poste 5]]*Devis[[#This Row],[Prix de Revient]]</f>
        <v>0</v>
      </c>
      <c r="AA2745" s="74">
        <f>Devis[[#This Row],[Prix de Revient]]*Devis[[#This Row],[Poste 6]]</f>
        <v>0</v>
      </c>
      <c r="AB2745" s="74">
        <f>Devis[[#This Row],[Quantité Totale]]*Devis[[#This Row],[Prix de Revient]]</f>
        <v>0</v>
      </c>
    </row>
    <row r="2746" spans="1:28" ht="14.25" outlineLevel="1" x14ac:dyDescent="0.2">
      <c r="A2746" s="75" t="s">
        <v>2617</v>
      </c>
      <c r="B2746" s="76" t="s">
        <v>5386</v>
      </c>
      <c r="C2746" s="76" t="s">
        <v>4048</v>
      </c>
      <c r="D2746" s="81" t="str">
        <f t="shared" si="47"/>
        <v>RaccordsCannelés filetés Flexible TricoclairPour flexible Tricoclair</v>
      </c>
      <c r="E2746" s="76" t="s">
        <v>4064</v>
      </c>
      <c r="F2746" s="76">
        <v>8</v>
      </c>
      <c r="G2746" s="71">
        <v>304031</v>
      </c>
      <c r="H2746" s="71" t="s">
        <v>4050</v>
      </c>
      <c r="I2746" s="71">
        <v>304031</v>
      </c>
      <c r="J2746" s="70">
        <f>IFERROR(VLOOKUP(Devis[[#This Row],[Ref Air Flux]],#REF!,3,FALSE),0)</f>
        <v>0</v>
      </c>
      <c r="K2746" s="68"/>
      <c r="L2746" s="68"/>
      <c r="M2746" s="68"/>
      <c r="N2746" s="68"/>
      <c r="O2746" s="68"/>
      <c r="P2746" s="68"/>
      <c r="Q2746" s="68">
        <f>SUM(Devis[[#This Row],[Poste 1]:[Poste 6]])</f>
        <v>0</v>
      </c>
      <c r="R2746" s="94"/>
      <c r="S2746" s="68">
        <f>_xlfn.CEILING.MATH(Devis[[#This Row],[Quantité Totale]],Devis[[#This Row],[Conditionnement]])</f>
        <v>0</v>
      </c>
      <c r="T2746" s="72"/>
      <c r="U2746" s="73"/>
      <c r="V2746" s="74">
        <f>Devis[[#This Row],[Prix de Revient]]*Devis[[#This Row],[Poste 1]]</f>
        <v>0</v>
      </c>
      <c r="W2746" s="74">
        <f>Devis[[#This Row],[Prix de Revient]]*Devis[[#This Row],[Poste 2]]</f>
        <v>0</v>
      </c>
      <c r="X2746" s="74">
        <f>Devis[[#This Row],[Prix de Revient]]*Devis[[#This Row],[Poste 3]]</f>
        <v>0</v>
      </c>
      <c r="Y2746" s="74">
        <f>Devis[[#This Row],[Poste 4]]*Devis[[#This Row],[Prix de Revient]]</f>
        <v>0</v>
      </c>
      <c r="Z2746" s="74">
        <f>Devis[[#This Row],[Poste 5]]*Devis[[#This Row],[Prix de Revient]]</f>
        <v>0</v>
      </c>
      <c r="AA2746" s="74">
        <f>Devis[[#This Row],[Prix de Revient]]*Devis[[#This Row],[Poste 6]]</f>
        <v>0</v>
      </c>
      <c r="AB2746" s="74">
        <f>Devis[[#This Row],[Quantité Totale]]*Devis[[#This Row],[Prix de Revient]]</f>
        <v>0</v>
      </c>
    </row>
    <row r="2747" spans="1:28" ht="14.25" customHeight="1" outlineLevel="1" x14ac:dyDescent="0.2">
      <c r="A2747" s="75" t="s">
        <v>2617</v>
      </c>
      <c r="B2747" s="76" t="s">
        <v>5386</v>
      </c>
      <c r="C2747" s="76" t="s">
        <v>4048</v>
      </c>
      <c r="D2747" s="81" t="str">
        <f t="shared" si="47"/>
        <v>RaccordsCannelés filetés Flexible TricoclairPour flexible Tricoclair</v>
      </c>
      <c r="E2747" s="76" t="s">
        <v>4066</v>
      </c>
      <c r="F2747" s="76">
        <v>9</v>
      </c>
      <c r="G2747" s="71">
        <v>304033</v>
      </c>
      <c r="H2747" s="71" t="s">
        <v>4050</v>
      </c>
      <c r="I2747" s="71">
        <v>304033</v>
      </c>
      <c r="J2747" s="70">
        <f>IFERROR(VLOOKUP(Devis[[#This Row],[Ref Air Flux]],#REF!,3,FALSE),0)</f>
        <v>0</v>
      </c>
      <c r="K2747" s="68"/>
      <c r="L2747" s="68"/>
      <c r="M2747" s="68"/>
      <c r="N2747" s="68"/>
      <c r="O2747" s="68"/>
      <c r="P2747" s="68"/>
      <c r="Q2747" s="68">
        <f>SUM(Devis[[#This Row],[Poste 1]:[Poste 6]])</f>
        <v>0</v>
      </c>
      <c r="R2747" s="94"/>
      <c r="S2747" s="68">
        <f>_xlfn.CEILING.MATH(Devis[[#This Row],[Quantité Totale]],Devis[[#This Row],[Conditionnement]])</f>
        <v>0</v>
      </c>
      <c r="T2747" s="72"/>
      <c r="U2747" s="73" t="s">
        <v>6209</v>
      </c>
      <c r="V2747" s="74">
        <f>Devis[[#This Row],[Prix de Revient]]*Devis[[#This Row],[Poste 1]]</f>
        <v>0</v>
      </c>
      <c r="W2747" s="74">
        <f>Devis[[#This Row],[Prix de Revient]]*Devis[[#This Row],[Poste 2]]</f>
        <v>0</v>
      </c>
      <c r="X2747" s="74">
        <f>Devis[[#This Row],[Prix de Revient]]*Devis[[#This Row],[Poste 3]]</f>
        <v>0</v>
      </c>
      <c r="Y2747" s="74">
        <f>Devis[[#This Row],[Poste 4]]*Devis[[#This Row],[Prix de Revient]]</f>
        <v>0</v>
      </c>
      <c r="Z2747" s="74">
        <f>Devis[[#This Row],[Poste 5]]*Devis[[#This Row],[Prix de Revient]]</f>
        <v>0</v>
      </c>
      <c r="AA2747" s="74">
        <f>Devis[[#This Row],[Prix de Revient]]*Devis[[#This Row],[Poste 6]]</f>
        <v>0</v>
      </c>
      <c r="AB2747" s="74">
        <f>Devis[[#This Row],[Quantité Totale]]*Devis[[#This Row],[Prix de Revient]]</f>
        <v>0</v>
      </c>
    </row>
    <row r="2748" spans="1:28" ht="14.25" customHeight="1" outlineLevel="1" x14ac:dyDescent="0.2">
      <c r="A2748" s="75" t="s">
        <v>2617</v>
      </c>
      <c r="B2748" s="76" t="s">
        <v>5386</v>
      </c>
      <c r="C2748" s="76" t="s">
        <v>4048</v>
      </c>
      <c r="D2748" s="81" t="str">
        <f t="shared" si="47"/>
        <v>RaccordsCannelés filetés Flexible TricoclairPour flexible Tricoclair</v>
      </c>
      <c r="E2748" s="76" t="s">
        <v>4067</v>
      </c>
      <c r="F2748" s="76">
        <v>10</v>
      </c>
      <c r="G2748" s="71">
        <v>304034</v>
      </c>
      <c r="H2748" s="71" t="s">
        <v>4050</v>
      </c>
      <c r="I2748" s="71">
        <v>304034</v>
      </c>
      <c r="J2748" s="70">
        <f>IFERROR(VLOOKUP(Devis[[#This Row],[Ref Air Flux]],#REF!,3,FALSE),0)</f>
        <v>0</v>
      </c>
      <c r="K2748" s="68"/>
      <c r="L2748" s="68"/>
      <c r="M2748" s="68"/>
      <c r="N2748" s="68"/>
      <c r="O2748" s="68"/>
      <c r="P2748" s="68"/>
      <c r="Q2748" s="68">
        <f>SUM(Devis[[#This Row],[Poste 1]:[Poste 6]])</f>
        <v>0</v>
      </c>
      <c r="R2748" s="94"/>
      <c r="S2748" s="68">
        <f>_xlfn.CEILING.MATH(Devis[[#This Row],[Quantité Totale]],Devis[[#This Row],[Conditionnement]])</f>
        <v>0</v>
      </c>
      <c r="T2748" s="72"/>
      <c r="U2748" s="73"/>
      <c r="V2748" s="74">
        <f>Devis[[#This Row],[Prix de Revient]]*Devis[[#This Row],[Poste 1]]</f>
        <v>0</v>
      </c>
      <c r="W2748" s="74">
        <f>Devis[[#This Row],[Prix de Revient]]*Devis[[#This Row],[Poste 2]]</f>
        <v>0</v>
      </c>
      <c r="X2748" s="74">
        <f>Devis[[#This Row],[Prix de Revient]]*Devis[[#This Row],[Poste 3]]</f>
        <v>0</v>
      </c>
      <c r="Y2748" s="74">
        <f>Devis[[#This Row],[Poste 4]]*Devis[[#This Row],[Prix de Revient]]</f>
        <v>0</v>
      </c>
      <c r="Z2748" s="74">
        <f>Devis[[#This Row],[Poste 5]]*Devis[[#This Row],[Prix de Revient]]</f>
        <v>0</v>
      </c>
      <c r="AA2748" s="74">
        <f>Devis[[#This Row],[Prix de Revient]]*Devis[[#This Row],[Poste 6]]</f>
        <v>0</v>
      </c>
      <c r="AB2748" s="74">
        <f>Devis[[#This Row],[Quantité Totale]]*Devis[[#This Row],[Prix de Revient]]</f>
        <v>0</v>
      </c>
    </row>
    <row r="2749" spans="1:28" ht="14.25" outlineLevel="1" x14ac:dyDescent="0.2">
      <c r="A2749" s="75" t="s">
        <v>2617</v>
      </c>
      <c r="B2749" s="76" t="s">
        <v>5386</v>
      </c>
      <c r="C2749" s="76" t="s">
        <v>4048</v>
      </c>
      <c r="D2749" s="81" t="str">
        <f t="shared" si="47"/>
        <v>RaccordsCannelés filetés Flexible TricoclairPour flexible Tricoclair</v>
      </c>
      <c r="E2749" s="76" t="s">
        <v>4065</v>
      </c>
      <c r="F2749" s="76">
        <v>11</v>
      </c>
      <c r="G2749" s="71">
        <v>304032</v>
      </c>
      <c r="H2749" s="71" t="s">
        <v>4050</v>
      </c>
      <c r="I2749" s="71">
        <v>304032</v>
      </c>
      <c r="J2749" s="70">
        <f>IFERROR(VLOOKUP(Devis[[#This Row],[Ref Air Flux]],#REF!,3,FALSE),0)</f>
        <v>0</v>
      </c>
      <c r="K2749" s="68"/>
      <c r="L2749" s="68"/>
      <c r="M2749" s="68"/>
      <c r="N2749" s="68"/>
      <c r="O2749" s="68"/>
      <c r="P2749" s="68"/>
      <c r="Q2749" s="68">
        <f>SUM(Devis[[#This Row],[Poste 1]:[Poste 6]])</f>
        <v>0</v>
      </c>
      <c r="R2749" s="94"/>
      <c r="S2749" s="68">
        <f>_xlfn.CEILING.MATH(Devis[[#This Row],[Quantité Totale]],Devis[[#This Row],[Conditionnement]])</f>
        <v>0</v>
      </c>
      <c r="T2749" s="72"/>
      <c r="U2749" s="73"/>
      <c r="V2749" s="74">
        <f>Devis[[#This Row],[Prix de Revient]]*Devis[[#This Row],[Poste 1]]</f>
        <v>0</v>
      </c>
      <c r="W2749" s="74">
        <f>Devis[[#This Row],[Prix de Revient]]*Devis[[#This Row],[Poste 2]]</f>
        <v>0</v>
      </c>
      <c r="X2749" s="74">
        <f>Devis[[#This Row],[Prix de Revient]]*Devis[[#This Row],[Poste 3]]</f>
        <v>0</v>
      </c>
      <c r="Y2749" s="74">
        <f>Devis[[#This Row],[Poste 4]]*Devis[[#This Row],[Prix de Revient]]</f>
        <v>0</v>
      </c>
      <c r="Z2749" s="74">
        <f>Devis[[#This Row],[Poste 5]]*Devis[[#This Row],[Prix de Revient]]</f>
        <v>0</v>
      </c>
      <c r="AA2749" s="74">
        <f>Devis[[#This Row],[Prix de Revient]]*Devis[[#This Row],[Poste 6]]</f>
        <v>0</v>
      </c>
      <c r="AB2749" s="74">
        <f>Devis[[#This Row],[Quantité Totale]]*Devis[[#This Row],[Prix de Revient]]</f>
        <v>0</v>
      </c>
    </row>
    <row r="2750" spans="1:28" ht="14.25" outlineLevel="1" x14ac:dyDescent="0.2">
      <c r="A2750" s="75" t="s">
        <v>2617</v>
      </c>
      <c r="B2750" s="76" t="s">
        <v>5386</v>
      </c>
      <c r="C2750" s="76" t="s">
        <v>4048</v>
      </c>
      <c r="D2750" s="81" t="str">
        <f t="shared" si="47"/>
        <v>RaccordsCannelés filetés Flexible TricoclairPour flexible Tricoclair</v>
      </c>
      <c r="E2750" s="76" t="s">
        <v>4068</v>
      </c>
      <c r="F2750" s="76">
        <v>12</v>
      </c>
      <c r="G2750" s="71">
        <v>304035</v>
      </c>
      <c r="H2750" s="71" t="s">
        <v>4050</v>
      </c>
      <c r="I2750" s="71">
        <v>304035</v>
      </c>
      <c r="J2750" s="70">
        <f>IFERROR(VLOOKUP(Devis[[#This Row],[Ref Air Flux]],#REF!,3,FALSE),0)</f>
        <v>0</v>
      </c>
      <c r="K2750" s="68"/>
      <c r="L2750" s="68"/>
      <c r="M2750" s="68"/>
      <c r="N2750" s="68"/>
      <c r="O2750" s="68"/>
      <c r="P2750" s="68"/>
      <c r="Q2750" s="68">
        <f>SUM(Devis[[#This Row],[Poste 1]:[Poste 6]])</f>
        <v>0</v>
      </c>
      <c r="R2750" s="94"/>
      <c r="S2750" s="68">
        <f>_xlfn.CEILING.MATH(Devis[[#This Row],[Quantité Totale]],Devis[[#This Row],[Conditionnement]])</f>
        <v>0</v>
      </c>
      <c r="T2750" s="72"/>
      <c r="U2750" s="73"/>
      <c r="V2750" s="74">
        <f>Devis[[#This Row],[Prix de Revient]]*Devis[[#This Row],[Poste 1]]</f>
        <v>0</v>
      </c>
      <c r="W2750" s="74">
        <f>Devis[[#This Row],[Prix de Revient]]*Devis[[#This Row],[Poste 2]]</f>
        <v>0</v>
      </c>
      <c r="X2750" s="74">
        <f>Devis[[#This Row],[Prix de Revient]]*Devis[[#This Row],[Poste 3]]</f>
        <v>0</v>
      </c>
      <c r="Y2750" s="74">
        <f>Devis[[#This Row],[Poste 4]]*Devis[[#This Row],[Prix de Revient]]</f>
        <v>0</v>
      </c>
      <c r="Z2750" s="74">
        <f>Devis[[#This Row],[Poste 5]]*Devis[[#This Row],[Prix de Revient]]</f>
        <v>0</v>
      </c>
      <c r="AA2750" s="74">
        <f>Devis[[#This Row],[Prix de Revient]]*Devis[[#This Row],[Poste 6]]</f>
        <v>0</v>
      </c>
      <c r="AB2750" s="74">
        <f>Devis[[#This Row],[Quantité Totale]]*Devis[[#This Row],[Prix de Revient]]</f>
        <v>0</v>
      </c>
    </row>
    <row r="2751" spans="1:28" ht="14.25" outlineLevel="1" x14ac:dyDescent="0.2">
      <c r="A2751" s="75" t="s">
        <v>2617</v>
      </c>
      <c r="B2751" s="76" t="s">
        <v>5386</v>
      </c>
      <c r="C2751" s="76" t="s">
        <v>4048</v>
      </c>
      <c r="D2751" s="81" t="str">
        <f t="shared" si="47"/>
        <v>RaccordsCannelés filetés Flexible TricoclairPour flexible Tricoclair</v>
      </c>
      <c r="E2751" s="76" t="s">
        <v>4063</v>
      </c>
      <c r="F2751" s="76">
        <v>13</v>
      </c>
      <c r="G2751" s="71">
        <v>304030</v>
      </c>
      <c r="H2751" s="71" t="s">
        <v>4050</v>
      </c>
      <c r="I2751" s="71">
        <v>304030</v>
      </c>
      <c r="J2751" s="70">
        <f>IFERROR(VLOOKUP(Devis[[#This Row],[Ref Air Flux]],#REF!,3,FALSE),0)</f>
        <v>0</v>
      </c>
      <c r="K2751" s="68"/>
      <c r="L2751" s="68"/>
      <c r="M2751" s="68"/>
      <c r="N2751" s="68"/>
      <c r="O2751" s="68"/>
      <c r="P2751" s="68"/>
      <c r="Q2751" s="68">
        <f>SUM(Devis[[#This Row],[Poste 1]:[Poste 6]])</f>
        <v>0</v>
      </c>
      <c r="R2751" s="94"/>
      <c r="S2751" s="68">
        <f>_xlfn.CEILING.MATH(Devis[[#This Row],[Quantité Totale]],Devis[[#This Row],[Conditionnement]])</f>
        <v>0</v>
      </c>
      <c r="T2751" s="72"/>
      <c r="U2751" s="73"/>
      <c r="V2751" s="74">
        <f>Devis[[#This Row],[Prix de Revient]]*Devis[[#This Row],[Poste 1]]</f>
        <v>0</v>
      </c>
      <c r="W2751" s="74">
        <f>Devis[[#This Row],[Prix de Revient]]*Devis[[#This Row],[Poste 2]]</f>
        <v>0</v>
      </c>
      <c r="X2751" s="74">
        <f>Devis[[#This Row],[Prix de Revient]]*Devis[[#This Row],[Poste 3]]</f>
        <v>0</v>
      </c>
      <c r="Y2751" s="74">
        <f>Devis[[#This Row],[Poste 4]]*Devis[[#This Row],[Prix de Revient]]</f>
        <v>0</v>
      </c>
      <c r="Z2751" s="74">
        <f>Devis[[#This Row],[Poste 5]]*Devis[[#This Row],[Prix de Revient]]</f>
        <v>0</v>
      </c>
      <c r="AA2751" s="74">
        <f>Devis[[#This Row],[Prix de Revient]]*Devis[[#This Row],[Poste 6]]</f>
        <v>0</v>
      </c>
      <c r="AB2751" s="74">
        <f>Devis[[#This Row],[Quantité Totale]]*Devis[[#This Row],[Prix de Revient]]</f>
        <v>0</v>
      </c>
    </row>
    <row r="2752" spans="1:28" ht="14.25" outlineLevel="1" x14ac:dyDescent="0.2">
      <c r="A2752" s="75" t="s">
        <v>2617</v>
      </c>
      <c r="B2752" s="76" t="s">
        <v>5386</v>
      </c>
      <c r="C2752" s="76" t="s">
        <v>4048</v>
      </c>
      <c r="D2752" s="81" t="str">
        <f t="shared" si="47"/>
        <v>RaccordsCannelés filetés Flexible TricoclairPour flexible Tricoclair</v>
      </c>
      <c r="E2752" s="76" t="s">
        <v>4062</v>
      </c>
      <c r="F2752" s="76">
        <v>14</v>
      </c>
      <c r="G2752" s="71">
        <v>304028</v>
      </c>
      <c r="H2752" s="71" t="s">
        <v>4050</v>
      </c>
      <c r="I2752" s="71">
        <v>304028</v>
      </c>
      <c r="J2752" s="70">
        <f>IFERROR(VLOOKUP(Devis[[#This Row],[Ref Air Flux]],#REF!,3,FALSE),0)</f>
        <v>0</v>
      </c>
      <c r="K2752" s="68"/>
      <c r="L2752" s="68"/>
      <c r="M2752" s="68"/>
      <c r="N2752" s="68"/>
      <c r="O2752" s="68"/>
      <c r="P2752" s="68"/>
      <c r="Q2752" s="68">
        <f>SUM(Devis[[#This Row],[Poste 1]:[Poste 6]])</f>
        <v>0</v>
      </c>
      <c r="R2752" s="94"/>
      <c r="S2752" s="68">
        <f>_xlfn.CEILING.MATH(Devis[[#This Row],[Quantité Totale]],Devis[[#This Row],[Conditionnement]])</f>
        <v>0</v>
      </c>
      <c r="T2752" s="72"/>
      <c r="U2752" s="73" t="s">
        <v>6200</v>
      </c>
      <c r="V2752" s="74">
        <f>Devis[[#This Row],[Prix de Revient]]*Devis[[#This Row],[Poste 1]]</f>
        <v>0</v>
      </c>
      <c r="W2752" s="74">
        <f>Devis[[#This Row],[Prix de Revient]]*Devis[[#This Row],[Poste 2]]</f>
        <v>0</v>
      </c>
      <c r="X2752" s="74">
        <f>Devis[[#This Row],[Prix de Revient]]*Devis[[#This Row],[Poste 3]]</f>
        <v>0</v>
      </c>
      <c r="Y2752" s="74">
        <f>Devis[[#This Row],[Poste 4]]*Devis[[#This Row],[Prix de Revient]]</f>
        <v>0</v>
      </c>
      <c r="Z2752" s="74">
        <f>Devis[[#This Row],[Poste 5]]*Devis[[#This Row],[Prix de Revient]]</f>
        <v>0</v>
      </c>
      <c r="AA2752" s="74">
        <f>Devis[[#This Row],[Prix de Revient]]*Devis[[#This Row],[Poste 6]]</f>
        <v>0</v>
      </c>
      <c r="AB2752" s="74">
        <f>Devis[[#This Row],[Quantité Totale]]*Devis[[#This Row],[Prix de Revient]]</f>
        <v>0</v>
      </c>
    </row>
    <row r="2753" spans="1:28" ht="15" customHeight="1" outlineLevel="1" x14ac:dyDescent="0.2">
      <c r="A2753" s="75" t="s">
        <v>2617</v>
      </c>
      <c r="B2753" s="76" t="s">
        <v>5386</v>
      </c>
      <c r="C2753" s="76" t="s">
        <v>4048</v>
      </c>
      <c r="D2753" s="81" t="str">
        <f t="shared" si="47"/>
        <v>RaccordsCannelés filetés Flexible TricoclairPour flexible Tricoclair</v>
      </c>
      <c r="E2753" s="76" t="s">
        <v>4057</v>
      </c>
      <c r="F2753" s="76">
        <v>15</v>
      </c>
      <c r="G2753" s="71">
        <v>304020</v>
      </c>
      <c r="H2753" s="71" t="s">
        <v>4050</v>
      </c>
      <c r="I2753" s="71">
        <v>304020</v>
      </c>
      <c r="J2753" s="70">
        <f>IFERROR(VLOOKUP(Devis[[#This Row],[Ref Air Flux]],#REF!,3,FALSE),0)</f>
        <v>0</v>
      </c>
      <c r="K2753" s="68"/>
      <c r="L2753" s="68"/>
      <c r="M2753" s="68"/>
      <c r="N2753" s="68"/>
      <c r="O2753" s="68"/>
      <c r="P2753" s="68"/>
      <c r="Q2753" s="68">
        <f>SUM(Devis[[#This Row],[Poste 1]:[Poste 6]])</f>
        <v>0</v>
      </c>
      <c r="R2753" s="94"/>
      <c r="S2753" s="68">
        <f>_xlfn.CEILING.MATH(Devis[[#This Row],[Quantité Totale]],Devis[[#This Row],[Conditionnement]])</f>
        <v>0</v>
      </c>
      <c r="T2753" s="72"/>
      <c r="U2753" s="73" t="s">
        <v>6204</v>
      </c>
      <c r="V2753" s="74">
        <f>Devis[[#This Row],[Prix de Revient]]*Devis[[#This Row],[Poste 1]]</f>
        <v>0</v>
      </c>
      <c r="W2753" s="74">
        <f>Devis[[#This Row],[Prix de Revient]]*Devis[[#This Row],[Poste 2]]</f>
        <v>0</v>
      </c>
      <c r="X2753" s="74">
        <f>Devis[[#This Row],[Prix de Revient]]*Devis[[#This Row],[Poste 3]]</f>
        <v>0</v>
      </c>
      <c r="Y2753" s="74">
        <f>Devis[[#This Row],[Poste 4]]*Devis[[#This Row],[Prix de Revient]]</f>
        <v>0</v>
      </c>
      <c r="Z2753" s="74">
        <f>Devis[[#This Row],[Poste 5]]*Devis[[#This Row],[Prix de Revient]]</f>
        <v>0</v>
      </c>
      <c r="AA2753" s="74">
        <f>Devis[[#This Row],[Prix de Revient]]*Devis[[#This Row],[Poste 6]]</f>
        <v>0</v>
      </c>
      <c r="AB2753" s="74">
        <f>Devis[[#This Row],[Quantité Totale]]*Devis[[#This Row],[Prix de Revient]]</f>
        <v>0</v>
      </c>
    </row>
    <row r="2754" spans="1:28" ht="14.25" outlineLevel="1" x14ac:dyDescent="0.2">
      <c r="A2754" s="75" t="s">
        <v>2617</v>
      </c>
      <c r="B2754" s="76" t="s">
        <v>5386</v>
      </c>
      <c r="C2754" s="76" t="s">
        <v>4048</v>
      </c>
      <c r="D2754" s="81" t="str">
        <f t="shared" si="47"/>
        <v>RaccordsCannelés filetés Flexible TricoclairPour flexible Tricoclair</v>
      </c>
      <c r="E2754" s="76" t="s">
        <v>6210</v>
      </c>
      <c r="F2754" s="76">
        <v>16</v>
      </c>
      <c r="G2754" s="71" t="s">
        <v>6211</v>
      </c>
      <c r="H2754" s="71" t="s">
        <v>6203</v>
      </c>
      <c r="I2754" s="71" t="s">
        <v>6211</v>
      </c>
      <c r="J2754" s="70">
        <f>IFERROR(VLOOKUP(Devis[[#This Row],[Ref Air Flux]],#REF!,3,FALSE),0)</f>
        <v>0</v>
      </c>
      <c r="K2754" s="68"/>
      <c r="L2754" s="68"/>
      <c r="M2754" s="68"/>
      <c r="N2754" s="68"/>
      <c r="O2754" s="68"/>
      <c r="P2754" s="68"/>
      <c r="Q2754" s="68">
        <f>SUM(Devis[[#This Row],[Poste 1]:[Poste 6]])</f>
        <v>0</v>
      </c>
      <c r="R2754" s="94"/>
      <c r="S2754" s="68">
        <f>_xlfn.CEILING.MATH(Devis[[#This Row],[Quantité Totale]],Devis[[#This Row],[Conditionnement]])</f>
        <v>0</v>
      </c>
      <c r="T2754" s="72"/>
      <c r="U2754" s="73"/>
      <c r="V2754" s="74">
        <f>Devis[[#This Row],[Prix de Revient]]*Devis[[#This Row],[Poste 1]]</f>
        <v>0</v>
      </c>
      <c r="W2754" s="74">
        <f>Devis[[#This Row],[Prix de Revient]]*Devis[[#This Row],[Poste 2]]</f>
        <v>0</v>
      </c>
      <c r="X2754" s="74">
        <f>Devis[[#This Row],[Prix de Revient]]*Devis[[#This Row],[Poste 3]]</f>
        <v>0</v>
      </c>
      <c r="Y2754" s="74">
        <f>Devis[[#This Row],[Poste 4]]*Devis[[#This Row],[Prix de Revient]]</f>
        <v>0</v>
      </c>
      <c r="Z2754" s="74">
        <f>Devis[[#This Row],[Poste 5]]*Devis[[#This Row],[Prix de Revient]]</f>
        <v>0</v>
      </c>
      <c r="AA2754" s="74">
        <f>Devis[[#This Row],[Prix de Revient]]*Devis[[#This Row],[Poste 6]]</f>
        <v>0</v>
      </c>
      <c r="AB2754" s="74">
        <f>Devis[[#This Row],[Quantité Totale]]*Devis[[#This Row],[Prix de Revient]]</f>
        <v>0</v>
      </c>
    </row>
    <row r="2755" spans="1:28" ht="14.25" outlineLevel="1" x14ac:dyDescent="0.2">
      <c r="A2755" s="75" t="s">
        <v>2617</v>
      </c>
      <c r="B2755" s="76" t="s">
        <v>5386</v>
      </c>
      <c r="C2755" s="76" t="s">
        <v>4048</v>
      </c>
      <c r="D2755" s="81" t="str">
        <f t="shared" si="47"/>
        <v>RaccordsCannelés filetés Flexible TricoclairPour flexible Tricoclair</v>
      </c>
      <c r="E2755" s="76" t="s">
        <v>4059</v>
      </c>
      <c r="F2755" s="76">
        <v>17</v>
      </c>
      <c r="G2755" s="71">
        <v>304023</v>
      </c>
      <c r="H2755" s="71" t="s">
        <v>4050</v>
      </c>
      <c r="I2755" s="71">
        <v>304023</v>
      </c>
      <c r="J2755" s="70">
        <f>IFERROR(VLOOKUP(Devis[[#This Row],[Ref Air Flux]],#REF!,3,FALSE),0)</f>
        <v>0</v>
      </c>
      <c r="K2755" s="68"/>
      <c r="L2755" s="68"/>
      <c r="M2755" s="68"/>
      <c r="N2755" s="68"/>
      <c r="O2755" s="68"/>
      <c r="P2755" s="68"/>
      <c r="Q2755" s="68">
        <f>SUM(Devis[[#This Row],[Poste 1]:[Poste 6]])</f>
        <v>0</v>
      </c>
      <c r="R2755" s="94"/>
      <c r="S2755" s="68">
        <f>_xlfn.CEILING.MATH(Devis[[#This Row],[Quantité Totale]],Devis[[#This Row],[Conditionnement]])</f>
        <v>0</v>
      </c>
      <c r="T2755" s="72"/>
      <c r="U2755" s="73"/>
      <c r="V2755" s="74">
        <f>Devis[[#This Row],[Prix de Revient]]*Devis[[#This Row],[Poste 1]]</f>
        <v>0</v>
      </c>
      <c r="W2755" s="74">
        <f>Devis[[#This Row],[Prix de Revient]]*Devis[[#This Row],[Poste 2]]</f>
        <v>0</v>
      </c>
      <c r="X2755" s="74">
        <f>Devis[[#This Row],[Prix de Revient]]*Devis[[#This Row],[Poste 3]]</f>
        <v>0</v>
      </c>
      <c r="Y2755" s="74">
        <f>Devis[[#This Row],[Poste 4]]*Devis[[#This Row],[Prix de Revient]]</f>
        <v>0</v>
      </c>
      <c r="Z2755" s="74">
        <f>Devis[[#This Row],[Poste 5]]*Devis[[#This Row],[Prix de Revient]]</f>
        <v>0</v>
      </c>
      <c r="AA2755" s="74">
        <f>Devis[[#This Row],[Prix de Revient]]*Devis[[#This Row],[Poste 6]]</f>
        <v>0</v>
      </c>
      <c r="AB2755" s="74">
        <f>Devis[[#This Row],[Quantité Totale]]*Devis[[#This Row],[Prix de Revient]]</f>
        <v>0</v>
      </c>
    </row>
    <row r="2756" spans="1:28" ht="14.25" outlineLevel="1" x14ac:dyDescent="0.2">
      <c r="A2756" s="75" t="s">
        <v>2617</v>
      </c>
      <c r="B2756" s="76" t="s">
        <v>5386</v>
      </c>
      <c r="C2756" s="76" t="s">
        <v>4048</v>
      </c>
      <c r="D2756" s="81" t="str">
        <f t="shared" si="47"/>
        <v>RaccordsCannelés filetés Flexible TricoclairPour flexible Tricoclair</v>
      </c>
      <c r="E2756" s="76" t="s">
        <v>4058</v>
      </c>
      <c r="F2756" s="76">
        <v>18</v>
      </c>
      <c r="G2756" s="71">
        <v>304022</v>
      </c>
      <c r="H2756" s="71" t="s">
        <v>4050</v>
      </c>
      <c r="I2756" s="71">
        <v>304022</v>
      </c>
      <c r="J2756" s="70">
        <f>IFERROR(VLOOKUP(Devis[[#This Row],[Ref Air Flux]],#REF!,3,FALSE),0)</f>
        <v>0</v>
      </c>
      <c r="K2756" s="68"/>
      <c r="L2756" s="68"/>
      <c r="M2756" s="68"/>
      <c r="N2756" s="68"/>
      <c r="O2756" s="68"/>
      <c r="P2756" s="68"/>
      <c r="Q2756" s="68">
        <f>SUM(Devis[[#This Row],[Poste 1]:[Poste 6]])</f>
        <v>0</v>
      </c>
      <c r="R2756" s="94"/>
      <c r="S2756" s="68">
        <f>_xlfn.CEILING.MATH(Devis[[#This Row],[Quantité Totale]],Devis[[#This Row],[Conditionnement]])</f>
        <v>0</v>
      </c>
      <c r="T2756" s="72"/>
      <c r="U2756" s="73" t="s">
        <v>6205</v>
      </c>
      <c r="V2756" s="74">
        <f>Devis[[#This Row],[Prix de Revient]]*Devis[[#This Row],[Poste 1]]</f>
        <v>0</v>
      </c>
      <c r="W2756" s="74">
        <f>Devis[[#This Row],[Prix de Revient]]*Devis[[#This Row],[Poste 2]]</f>
        <v>0</v>
      </c>
      <c r="X2756" s="74">
        <f>Devis[[#This Row],[Prix de Revient]]*Devis[[#This Row],[Poste 3]]</f>
        <v>0</v>
      </c>
      <c r="Y2756" s="74">
        <f>Devis[[#This Row],[Poste 4]]*Devis[[#This Row],[Prix de Revient]]</f>
        <v>0</v>
      </c>
      <c r="Z2756" s="74">
        <f>Devis[[#This Row],[Poste 5]]*Devis[[#This Row],[Prix de Revient]]</f>
        <v>0</v>
      </c>
      <c r="AA2756" s="74">
        <f>Devis[[#This Row],[Prix de Revient]]*Devis[[#This Row],[Poste 6]]</f>
        <v>0</v>
      </c>
      <c r="AB2756" s="74">
        <f>Devis[[#This Row],[Quantité Totale]]*Devis[[#This Row],[Prix de Revient]]</f>
        <v>0</v>
      </c>
    </row>
    <row r="2757" spans="1:28" ht="14.25" outlineLevel="1" x14ac:dyDescent="0.2">
      <c r="A2757" s="75" t="s">
        <v>2617</v>
      </c>
      <c r="B2757" s="76" t="s">
        <v>5386</v>
      </c>
      <c r="C2757" s="76" t="s">
        <v>4048</v>
      </c>
      <c r="D2757" s="81" t="str">
        <f t="shared" si="47"/>
        <v>RaccordsCannelés filetés Flexible TricoclairPour flexible Tricoclair</v>
      </c>
      <c r="E2757" s="76" t="s">
        <v>6212</v>
      </c>
      <c r="F2757" s="76">
        <v>19</v>
      </c>
      <c r="G2757" s="71" t="s">
        <v>6213</v>
      </c>
      <c r="H2757" s="71" t="s">
        <v>6203</v>
      </c>
      <c r="I2757" s="71" t="s">
        <v>6213</v>
      </c>
      <c r="J2757" s="70">
        <f>IFERROR(VLOOKUP(Devis[[#This Row],[Ref Air Flux]],#REF!,3,FALSE),0)</f>
        <v>0</v>
      </c>
      <c r="K2757" s="68"/>
      <c r="L2757" s="68"/>
      <c r="M2757" s="68"/>
      <c r="N2757" s="68"/>
      <c r="O2757" s="68"/>
      <c r="P2757" s="68"/>
      <c r="Q2757" s="68">
        <f>SUM(Devis[[#This Row],[Poste 1]:[Poste 6]])</f>
        <v>0</v>
      </c>
      <c r="R2757" s="94"/>
      <c r="S2757" s="68">
        <f>_xlfn.CEILING.MATH(Devis[[#This Row],[Quantité Totale]],Devis[[#This Row],[Conditionnement]])</f>
        <v>0</v>
      </c>
      <c r="T2757" s="72"/>
      <c r="U2757" s="73"/>
      <c r="V2757" s="74">
        <f>Devis[[#This Row],[Prix de Revient]]*Devis[[#This Row],[Poste 1]]</f>
        <v>0</v>
      </c>
      <c r="W2757" s="74">
        <f>Devis[[#This Row],[Prix de Revient]]*Devis[[#This Row],[Poste 2]]</f>
        <v>0</v>
      </c>
      <c r="X2757" s="74">
        <f>Devis[[#This Row],[Prix de Revient]]*Devis[[#This Row],[Poste 3]]</f>
        <v>0</v>
      </c>
      <c r="Y2757" s="74">
        <f>Devis[[#This Row],[Poste 4]]*Devis[[#This Row],[Prix de Revient]]</f>
        <v>0</v>
      </c>
      <c r="Z2757" s="74">
        <f>Devis[[#This Row],[Poste 5]]*Devis[[#This Row],[Prix de Revient]]</f>
        <v>0</v>
      </c>
      <c r="AA2757" s="74">
        <f>Devis[[#This Row],[Prix de Revient]]*Devis[[#This Row],[Poste 6]]</f>
        <v>0</v>
      </c>
      <c r="AB2757" s="74">
        <f>Devis[[#This Row],[Quantité Totale]]*Devis[[#This Row],[Prix de Revient]]</f>
        <v>0</v>
      </c>
    </row>
    <row r="2758" spans="1:28" ht="14.25" outlineLevel="1" x14ac:dyDescent="0.2">
      <c r="A2758" s="75" t="s">
        <v>2617</v>
      </c>
      <c r="B2758" s="76" t="s">
        <v>5386</v>
      </c>
      <c r="C2758" s="76" t="s">
        <v>4048</v>
      </c>
      <c r="D2758" s="81" t="str">
        <f t="shared" si="47"/>
        <v>RaccordsCannelés filetés Flexible TricoclairPour flexible Tricoclair</v>
      </c>
      <c r="E2758" s="76" t="s">
        <v>4060</v>
      </c>
      <c r="F2758" s="76">
        <v>20</v>
      </c>
      <c r="G2758" s="71">
        <v>304025</v>
      </c>
      <c r="H2758" s="71" t="s">
        <v>4050</v>
      </c>
      <c r="I2758" s="71">
        <v>304025</v>
      </c>
      <c r="J2758" s="70">
        <f>IFERROR(VLOOKUP(Devis[[#This Row],[Ref Air Flux]],#REF!,3,FALSE),0)</f>
        <v>0</v>
      </c>
      <c r="K2758" s="68"/>
      <c r="L2758" s="68"/>
      <c r="M2758" s="68"/>
      <c r="N2758" s="68"/>
      <c r="O2758" s="68"/>
      <c r="P2758" s="68"/>
      <c r="Q2758" s="68">
        <f>SUM(Devis[[#This Row],[Poste 1]:[Poste 6]])</f>
        <v>0</v>
      </c>
      <c r="R2758" s="94"/>
      <c r="S2758" s="68">
        <f>_xlfn.CEILING.MATH(Devis[[#This Row],[Quantité Totale]],Devis[[#This Row],[Conditionnement]])</f>
        <v>0</v>
      </c>
      <c r="T2758" s="72"/>
      <c r="U2758" s="73" t="s">
        <v>6206</v>
      </c>
      <c r="V2758" s="74">
        <f>Devis[[#This Row],[Prix de Revient]]*Devis[[#This Row],[Poste 1]]</f>
        <v>0</v>
      </c>
      <c r="W2758" s="74">
        <f>Devis[[#This Row],[Prix de Revient]]*Devis[[#This Row],[Poste 2]]</f>
        <v>0</v>
      </c>
      <c r="X2758" s="74">
        <f>Devis[[#This Row],[Prix de Revient]]*Devis[[#This Row],[Poste 3]]</f>
        <v>0</v>
      </c>
      <c r="Y2758" s="74">
        <f>Devis[[#This Row],[Poste 4]]*Devis[[#This Row],[Prix de Revient]]</f>
        <v>0</v>
      </c>
      <c r="Z2758" s="74">
        <f>Devis[[#This Row],[Poste 5]]*Devis[[#This Row],[Prix de Revient]]</f>
        <v>0</v>
      </c>
      <c r="AA2758" s="74">
        <f>Devis[[#This Row],[Prix de Revient]]*Devis[[#This Row],[Poste 6]]</f>
        <v>0</v>
      </c>
      <c r="AB2758" s="74">
        <f>Devis[[#This Row],[Quantité Totale]]*Devis[[#This Row],[Prix de Revient]]</f>
        <v>0</v>
      </c>
    </row>
    <row r="2759" spans="1:28" ht="14.25" outlineLevel="1" x14ac:dyDescent="0.2">
      <c r="A2759" s="75" t="s">
        <v>2617</v>
      </c>
      <c r="B2759" s="76" t="s">
        <v>5386</v>
      </c>
      <c r="C2759" s="76" t="s">
        <v>4048</v>
      </c>
      <c r="D2759" s="81" t="str">
        <f t="shared" si="47"/>
        <v>RaccordsCannelés filetés Flexible TricoclairPour flexible Tricoclair</v>
      </c>
      <c r="E2759" s="76" t="s">
        <v>4061</v>
      </c>
      <c r="F2759" s="76">
        <v>21</v>
      </c>
      <c r="G2759" s="71">
        <v>304027</v>
      </c>
      <c r="H2759" s="71" t="s">
        <v>4050</v>
      </c>
      <c r="I2759" s="71">
        <v>304027</v>
      </c>
      <c r="J2759" s="70">
        <f>IFERROR(VLOOKUP(Devis[[#This Row],[Ref Air Flux]],#REF!,3,FALSE),0)</f>
        <v>0</v>
      </c>
      <c r="K2759" s="68"/>
      <c r="L2759" s="68"/>
      <c r="M2759" s="68"/>
      <c r="N2759" s="68"/>
      <c r="O2759" s="68"/>
      <c r="P2759" s="68"/>
      <c r="Q2759" s="68">
        <f>SUM(Devis[[#This Row],[Poste 1]:[Poste 6]])</f>
        <v>0</v>
      </c>
      <c r="R2759" s="94"/>
      <c r="S2759" s="68">
        <f>_xlfn.CEILING.MATH(Devis[[#This Row],[Quantité Totale]],Devis[[#This Row],[Conditionnement]])</f>
        <v>0</v>
      </c>
      <c r="T2759" s="72"/>
      <c r="U2759" s="73" t="s">
        <v>6207</v>
      </c>
      <c r="V2759" s="74">
        <f>Devis[[#This Row],[Prix de Revient]]*Devis[[#This Row],[Poste 1]]</f>
        <v>0</v>
      </c>
      <c r="W2759" s="74">
        <f>Devis[[#This Row],[Prix de Revient]]*Devis[[#This Row],[Poste 2]]</f>
        <v>0</v>
      </c>
      <c r="X2759" s="74">
        <f>Devis[[#This Row],[Prix de Revient]]*Devis[[#This Row],[Poste 3]]</f>
        <v>0</v>
      </c>
      <c r="Y2759" s="74">
        <f>Devis[[#This Row],[Poste 4]]*Devis[[#This Row],[Prix de Revient]]</f>
        <v>0</v>
      </c>
      <c r="Z2759" s="74">
        <f>Devis[[#This Row],[Poste 5]]*Devis[[#This Row],[Prix de Revient]]</f>
        <v>0</v>
      </c>
      <c r="AA2759" s="74">
        <f>Devis[[#This Row],[Prix de Revient]]*Devis[[#This Row],[Poste 6]]</f>
        <v>0</v>
      </c>
      <c r="AB2759" s="74">
        <f>Devis[[#This Row],[Quantité Totale]]*Devis[[#This Row],[Prix de Revient]]</f>
        <v>0</v>
      </c>
    </row>
    <row r="2760" spans="1:28" ht="14.25" outlineLevel="1" x14ac:dyDescent="0.2">
      <c r="A2760" s="75" t="s">
        <v>2617</v>
      </c>
      <c r="B2760" s="76" t="s">
        <v>5386</v>
      </c>
      <c r="C2760" s="76" t="s">
        <v>4048</v>
      </c>
      <c r="D2760" s="81" t="str">
        <f t="shared" si="47"/>
        <v>RaccordsCannelés filetés Flexible TricoclairPour flexible Tricoclair</v>
      </c>
      <c r="E2760" s="76" t="s">
        <v>4054</v>
      </c>
      <c r="F2760" s="76">
        <v>22</v>
      </c>
      <c r="G2760" s="71">
        <v>304015</v>
      </c>
      <c r="H2760" s="71" t="s">
        <v>4050</v>
      </c>
      <c r="I2760" s="71">
        <v>304015</v>
      </c>
      <c r="J2760" s="70">
        <f>IFERROR(VLOOKUP(Devis[[#This Row],[Ref Air Flux]],#REF!,3,FALSE),0)</f>
        <v>0</v>
      </c>
      <c r="K2760" s="68"/>
      <c r="L2760" s="68"/>
      <c r="M2760" s="68"/>
      <c r="N2760" s="68"/>
      <c r="O2760" s="68"/>
      <c r="P2760" s="68"/>
      <c r="Q2760" s="68">
        <f>SUM(Devis[[#This Row],[Poste 1]:[Poste 6]])</f>
        <v>0</v>
      </c>
      <c r="R2760" s="94"/>
      <c r="S2760" s="68">
        <f>_xlfn.CEILING.MATH(Devis[[#This Row],[Quantité Totale]],Devis[[#This Row],[Conditionnement]])</f>
        <v>0</v>
      </c>
      <c r="T2760" s="72"/>
      <c r="U2760" s="73" t="s">
        <v>6214</v>
      </c>
      <c r="V2760" s="74">
        <f>Devis[[#This Row],[Prix de Revient]]*Devis[[#This Row],[Poste 1]]</f>
        <v>0</v>
      </c>
      <c r="W2760" s="74">
        <f>Devis[[#This Row],[Prix de Revient]]*Devis[[#This Row],[Poste 2]]</f>
        <v>0</v>
      </c>
      <c r="X2760" s="74">
        <f>Devis[[#This Row],[Prix de Revient]]*Devis[[#This Row],[Poste 3]]</f>
        <v>0</v>
      </c>
      <c r="Y2760" s="74">
        <f>Devis[[#This Row],[Poste 4]]*Devis[[#This Row],[Prix de Revient]]</f>
        <v>0</v>
      </c>
      <c r="Z2760" s="74">
        <f>Devis[[#This Row],[Poste 5]]*Devis[[#This Row],[Prix de Revient]]</f>
        <v>0</v>
      </c>
      <c r="AA2760" s="74">
        <f>Devis[[#This Row],[Prix de Revient]]*Devis[[#This Row],[Poste 6]]</f>
        <v>0</v>
      </c>
      <c r="AB2760" s="74">
        <f>Devis[[#This Row],[Quantité Totale]]*Devis[[#This Row],[Prix de Revient]]</f>
        <v>0</v>
      </c>
    </row>
    <row r="2761" spans="1:28" ht="14.25" outlineLevel="1" x14ac:dyDescent="0.2">
      <c r="A2761" s="75" t="s">
        <v>2617</v>
      </c>
      <c r="B2761" s="76" t="s">
        <v>5386</v>
      </c>
      <c r="C2761" s="76" t="s">
        <v>4048</v>
      </c>
      <c r="D2761" s="81" t="str">
        <f t="shared" si="47"/>
        <v>RaccordsCannelés filetés Flexible TricoclairPour flexible Tricoclair</v>
      </c>
      <c r="E2761" s="76" t="s">
        <v>4055</v>
      </c>
      <c r="F2761" s="76">
        <v>23</v>
      </c>
      <c r="G2761" s="71">
        <v>304018</v>
      </c>
      <c r="H2761" s="71" t="s">
        <v>4050</v>
      </c>
      <c r="I2761" s="71">
        <v>304018</v>
      </c>
      <c r="J2761" s="70">
        <f>IFERROR(VLOOKUP(Devis[[#This Row],[Ref Air Flux]],#REF!,3,FALSE),0)</f>
        <v>0</v>
      </c>
      <c r="K2761" s="68"/>
      <c r="L2761" s="68"/>
      <c r="M2761" s="68"/>
      <c r="N2761" s="68"/>
      <c r="O2761" s="68"/>
      <c r="P2761" s="68"/>
      <c r="Q2761" s="68">
        <f>SUM(Devis[[#This Row],[Poste 1]:[Poste 6]])</f>
        <v>0</v>
      </c>
      <c r="R2761" s="94"/>
      <c r="S2761" s="68">
        <f>_xlfn.CEILING.MATH(Devis[[#This Row],[Quantité Totale]],Devis[[#This Row],[Conditionnement]])</f>
        <v>0</v>
      </c>
      <c r="T2761" s="72"/>
      <c r="U2761" s="73"/>
      <c r="V2761" s="74">
        <f>Devis[[#This Row],[Prix de Revient]]*Devis[[#This Row],[Poste 1]]</f>
        <v>0</v>
      </c>
      <c r="W2761" s="74">
        <f>Devis[[#This Row],[Prix de Revient]]*Devis[[#This Row],[Poste 2]]</f>
        <v>0</v>
      </c>
      <c r="X2761" s="74">
        <f>Devis[[#This Row],[Prix de Revient]]*Devis[[#This Row],[Poste 3]]</f>
        <v>0</v>
      </c>
      <c r="Y2761" s="74">
        <f>Devis[[#This Row],[Poste 4]]*Devis[[#This Row],[Prix de Revient]]</f>
        <v>0</v>
      </c>
      <c r="Z2761" s="74">
        <f>Devis[[#This Row],[Poste 5]]*Devis[[#This Row],[Prix de Revient]]</f>
        <v>0</v>
      </c>
      <c r="AA2761" s="74">
        <f>Devis[[#This Row],[Prix de Revient]]*Devis[[#This Row],[Poste 6]]</f>
        <v>0</v>
      </c>
      <c r="AB2761" s="74">
        <f>Devis[[#This Row],[Quantité Totale]]*Devis[[#This Row],[Prix de Revient]]</f>
        <v>0</v>
      </c>
    </row>
    <row r="2762" spans="1:28" ht="14.25" customHeight="1" outlineLevel="1" x14ac:dyDescent="0.2">
      <c r="A2762" s="75" t="s">
        <v>2617</v>
      </c>
      <c r="B2762" s="76" t="s">
        <v>5386</v>
      </c>
      <c r="C2762" s="76" t="s">
        <v>4048</v>
      </c>
      <c r="D2762" s="81" t="str">
        <f t="shared" si="47"/>
        <v>RaccordsCannelés filetés Flexible TricoclairPour flexible Tricoclair</v>
      </c>
      <c r="E2762" s="76" t="s">
        <v>6215</v>
      </c>
      <c r="F2762" s="76">
        <v>24</v>
      </c>
      <c r="G2762" s="71" t="s">
        <v>6216</v>
      </c>
      <c r="H2762" s="71" t="s">
        <v>6203</v>
      </c>
      <c r="I2762" s="71" t="s">
        <v>6216</v>
      </c>
      <c r="J2762" s="70">
        <f>IFERROR(VLOOKUP(Devis[[#This Row],[Ref Air Flux]],#REF!,3,FALSE),0)</f>
        <v>0</v>
      </c>
      <c r="K2762" s="68"/>
      <c r="L2762" s="68"/>
      <c r="M2762" s="68"/>
      <c r="N2762" s="68"/>
      <c r="O2762" s="68"/>
      <c r="P2762" s="68"/>
      <c r="Q2762" s="68">
        <f>SUM(Devis[[#This Row],[Poste 1]:[Poste 6]])</f>
        <v>0</v>
      </c>
      <c r="R2762" s="94"/>
      <c r="S2762" s="68">
        <f>_xlfn.CEILING.MATH(Devis[[#This Row],[Quantité Totale]],Devis[[#This Row],[Conditionnement]])</f>
        <v>0</v>
      </c>
      <c r="T2762" s="72"/>
      <c r="U2762" s="73"/>
      <c r="V2762" s="74">
        <f>Devis[[#This Row],[Prix de Revient]]*Devis[[#This Row],[Poste 1]]</f>
        <v>0</v>
      </c>
      <c r="W2762" s="74">
        <f>Devis[[#This Row],[Prix de Revient]]*Devis[[#This Row],[Poste 2]]</f>
        <v>0</v>
      </c>
      <c r="X2762" s="74">
        <f>Devis[[#This Row],[Prix de Revient]]*Devis[[#This Row],[Poste 3]]</f>
        <v>0</v>
      </c>
      <c r="Y2762" s="74">
        <f>Devis[[#This Row],[Poste 4]]*Devis[[#This Row],[Prix de Revient]]</f>
        <v>0</v>
      </c>
      <c r="Z2762" s="74">
        <f>Devis[[#This Row],[Poste 5]]*Devis[[#This Row],[Prix de Revient]]</f>
        <v>0</v>
      </c>
      <c r="AA2762" s="74">
        <f>Devis[[#This Row],[Prix de Revient]]*Devis[[#This Row],[Poste 6]]</f>
        <v>0</v>
      </c>
      <c r="AB2762" s="74">
        <f>Devis[[#This Row],[Quantité Totale]]*Devis[[#This Row],[Prix de Revient]]</f>
        <v>0</v>
      </c>
    </row>
    <row r="2763" spans="1:28" ht="14.25" customHeight="1" outlineLevel="1" x14ac:dyDescent="0.2">
      <c r="A2763" s="75" t="s">
        <v>2617</v>
      </c>
      <c r="B2763" s="76" t="s">
        <v>5386</v>
      </c>
      <c r="C2763" s="76" t="s">
        <v>4048</v>
      </c>
      <c r="D2763" s="81" t="str">
        <f t="shared" si="47"/>
        <v>RaccordsCannelés filetés Flexible TricoclairPour flexible Tricoclair</v>
      </c>
      <c r="E2763" s="76" t="s">
        <v>4052</v>
      </c>
      <c r="F2763" s="76">
        <v>25</v>
      </c>
      <c r="G2763" s="71">
        <v>304012</v>
      </c>
      <c r="H2763" s="71" t="s">
        <v>4050</v>
      </c>
      <c r="I2763" s="71">
        <v>304012</v>
      </c>
      <c r="J2763" s="70">
        <f>IFERROR(VLOOKUP(Devis[[#This Row],[Ref Air Flux]],#REF!,3,FALSE),0)</f>
        <v>0</v>
      </c>
      <c r="K2763" s="68"/>
      <c r="L2763" s="68"/>
      <c r="M2763" s="68"/>
      <c r="N2763" s="68"/>
      <c r="O2763" s="68"/>
      <c r="P2763" s="68"/>
      <c r="Q2763" s="68">
        <f>SUM(Devis[[#This Row],[Poste 1]:[Poste 6]])</f>
        <v>0</v>
      </c>
      <c r="R2763" s="94"/>
      <c r="S2763" s="68">
        <f>_xlfn.CEILING.MATH(Devis[[#This Row],[Quantité Totale]],Devis[[#This Row],[Conditionnement]])</f>
        <v>0</v>
      </c>
      <c r="T2763" s="72"/>
      <c r="U2763" s="73"/>
      <c r="V2763" s="74">
        <f>Devis[[#This Row],[Prix de Revient]]*Devis[[#This Row],[Poste 1]]</f>
        <v>0</v>
      </c>
      <c r="W2763" s="74">
        <f>Devis[[#This Row],[Prix de Revient]]*Devis[[#This Row],[Poste 2]]</f>
        <v>0</v>
      </c>
      <c r="X2763" s="74">
        <f>Devis[[#This Row],[Prix de Revient]]*Devis[[#This Row],[Poste 3]]</f>
        <v>0</v>
      </c>
      <c r="Y2763" s="74">
        <f>Devis[[#This Row],[Poste 4]]*Devis[[#This Row],[Prix de Revient]]</f>
        <v>0</v>
      </c>
      <c r="Z2763" s="74">
        <f>Devis[[#This Row],[Poste 5]]*Devis[[#This Row],[Prix de Revient]]</f>
        <v>0</v>
      </c>
      <c r="AA2763" s="74">
        <f>Devis[[#This Row],[Prix de Revient]]*Devis[[#This Row],[Poste 6]]</f>
        <v>0</v>
      </c>
      <c r="AB2763" s="74">
        <f>Devis[[#This Row],[Quantité Totale]]*Devis[[#This Row],[Prix de Revient]]</f>
        <v>0</v>
      </c>
    </row>
    <row r="2764" spans="1:28" ht="15" customHeight="1" outlineLevel="1" x14ac:dyDescent="0.2">
      <c r="A2764" s="75" t="s">
        <v>2617</v>
      </c>
      <c r="B2764" s="76" t="s">
        <v>5386</v>
      </c>
      <c r="C2764" s="76" t="s">
        <v>4048</v>
      </c>
      <c r="D2764" s="81" t="str">
        <f t="shared" si="47"/>
        <v>RaccordsCannelés filetés Flexible TricoclairPour flexible Tricoclair</v>
      </c>
      <c r="E2764" s="76" t="s">
        <v>4053</v>
      </c>
      <c r="F2764" s="76">
        <v>26</v>
      </c>
      <c r="G2764" s="71">
        <v>304013</v>
      </c>
      <c r="H2764" s="71" t="s">
        <v>4050</v>
      </c>
      <c r="I2764" s="71">
        <v>304013</v>
      </c>
      <c r="J2764" s="70">
        <f>IFERROR(VLOOKUP(Devis[[#This Row],[Ref Air Flux]],#REF!,3,FALSE),0)</f>
        <v>0</v>
      </c>
      <c r="K2764" s="68"/>
      <c r="L2764" s="68"/>
      <c r="M2764" s="68"/>
      <c r="N2764" s="68"/>
      <c r="O2764" s="68"/>
      <c r="P2764" s="68"/>
      <c r="Q2764" s="68">
        <f>SUM(Devis[[#This Row],[Poste 1]:[Poste 6]])</f>
        <v>0</v>
      </c>
      <c r="R2764" s="94"/>
      <c r="S2764" s="68">
        <f>_xlfn.CEILING.MATH(Devis[[#This Row],[Quantité Totale]],Devis[[#This Row],[Conditionnement]])</f>
        <v>0</v>
      </c>
      <c r="T2764" s="72"/>
      <c r="U2764" s="73"/>
      <c r="V2764" s="74">
        <f>Devis[[#This Row],[Prix de Revient]]*Devis[[#This Row],[Poste 1]]</f>
        <v>0</v>
      </c>
      <c r="W2764" s="74">
        <f>Devis[[#This Row],[Prix de Revient]]*Devis[[#This Row],[Poste 2]]</f>
        <v>0</v>
      </c>
      <c r="X2764" s="74">
        <f>Devis[[#This Row],[Prix de Revient]]*Devis[[#This Row],[Poste 3]]</f>
        <v>0</v>
      </c>
      <c r="Y2764" s="74">
        <f>Devis[[#This Row],[Poste 4]]*Devis[[#This Row],[Prix de Revient]]</f>
        <v>0</v>
      </c>
      <c r="Z2764" s="74">
        <f>Devis[[#This Row],[Poste 5]]*Devis[[#This Row],[Prix de Revient]]</f>
        <v>0</v>
      </c>
      <c r="AA2764" s="74">
        <f>Devis[[#This Row],[Prix de Revient]]*Devis[[#This Row],[Poste 6]]</f>
        <v>0</v>
      </c>
      <c r="AB2764" s="74">
        <f>Devis[[#This Row],[Quantité Totale]]*Devis[[#This Row],[Prix de Revient]]</f>
        <v>0</v>
      </c>
    </row>
    <row r="2765" spans="1:28" ht="14.25" customHeight="1" outlineLevel="1" x14ac:dyDescent="0.2">
      <c r="A2765" s="75" t="s">
        <v>2617</v>
      </c>
      <c r="B2765" s="76" t="s">
        <v>5386</v>
      </c>
      <c r="C2765" s="76" t="s">
        <v>4048</v>
      </c>
      <c r="D2765" s="81" t="str">
        <f t="shared" si="47"/>
        <v>RaccordsCannelés filetés Flexible TricoclairPour flexible Tricoclair</v>
      </c>
      <c r="E2765" s="76" t="s">
        <v>4056</v>
      </c>
      <c r="F2765" s="76">
        <v>27</v>
      </c>
      <c r="G2765" s="71">
        <v>304019</v>
      </c>
      <c r="H2765" s="71" t="s">
        <v>4050</v>
      </c>
      <c r="I2765" s="71">
        <v>304019</v>
      </c>
      <c r="J2765" s="70">
        <f>IFERROR(VLOOKUP(Devis[[#This Row],[Ref Air Flux]],#REF!,3,FALSE),0)</f>
        <v>0</v>
      </c>
      <c r="K2765" s="68"/>
      <c r="L2765" s="68"/>
      <c r="M2765" s="68"/>
      <c r="N2765" s="68"/>
      <c r="O2765" s="68"/>
      <c r="P2765" s="68"/>
      <c r="Q2765" s="68">
        <f>SUM(Devis[[#This Row],[Poste 1]:[Poste 6]])</f>
        <v>0</v>
      </c>
      <c r="R2765" s="94"/>
      <c r="S2765" s="68">
        <f>_xlfn.CEILING.MATH(Devis[[#This Row],[Quantité Totale]],Devis[[#This Row],[Conditionnement]])</f>
        <v>0</v>
      </c>
      <c r="T2765" s="72"/>
      <c r="U2765" s="73"/>
      <c r="V2765" s="74">
        <f>Devis[[#This Row],[Prix de Revient]]*Devis[[#This Row],[Poste 1]]</f>
        <v>0</v>
      </c>
      <c r="W2765" s="74">
        <f>Devis[[#This Row],[Prix de Revient]]*Devis[[#This Row],[Poste 2]]</f>
        <v>0</v>
      </c>
      <c r="X2765" s="74">
        <f>Devis[[#This Row],[Prix de Revient]]*Devis[[#This Row],[Poste 3]]</f>
        <v>0</v>
      </c>
      <c r="Y2765" s="74">
        <f>Devis[[#This Row],[Poste 4]]*Devis[[#This Row],[Prix de Revient]]</f>
        <v>0</v>
      </c>
      <c r="Z2765" s="74">
        <f>Devis[[#This Row],[Poste 5]]*Devis[[#This Row],[Prix de Revient]]</f>
        <v>0</v>
      </c>
      <c r="AA2765" s="74">
        <f>Devis[[#This Row],[Prix de Revient]]*Devis[[#This Row],[Poste 6]]</f>
        <v>0</v>
      </c>
      <c r="AB2765" s="74">
        <f>Devis[[#This Row],[Quantité Totale]]*Devis[[#This Row],[Prix de Revient]]</f>
        <v>0</v>
      </c>
    </row>
    <row r="2766" spans="1:28" ht="14.25" customHeight="1" outlineLevel="1" x14ac:dyDescent="0.2">
      <c r="A2766" s="75" t="s">
        <v>2617</v>
      </c>
      <c r="B2766" s="76" t="s">
        <v>5386</v>
      </c>
      <c r="C2766" s="76" t="s">
        <v>4048</v>
      </c>
      <c r="D2766" s="81" t="str">
        <f t="shared" si="47"/>
        <v>RaccordsCannelés filetés Flexible TricoclairPour flexible Tricoclair</v>
      </c>
      <c r="E2766" s="76" t="s">
        <v>4049</v>
      </c>
      <c r="F2766" s="76">
        <v>28</v>
      </c>
      <c r="G2766" s="71">
        <v>304005</v>
      </c>
      <c r="H2766" s="71" t="s">
        <v>4050</v>
      </c>
      <c r="I2766" s="71">
        <v>304005</v>
      </c>
      <c r="J2766" s="70">
        <f>IFERROR(VLOOKUP(Devis[[#This Row],[Ref Air Flux]],#REF!,3,FALSE),0)</f>
        <v>0</v>
      </c>
      <c r="K2766" s="68"/>
      <c r="L2766" s="68"/>
      <c r="M2766" s="68"/>
      <c r="N2766" s="68"/>
      <c r="O2766" s="68"/>
      <c r="P2766" s="68"/>
      <c r="Q2766" s="68">
        <f>SUM(Devis[[#This Row],[Poste 1]:[Poste 6]])</f>
        <v>0</v>
      </c>
      <c r="R2766" s="94"/>
      <c r="S2766" s="68">
        <f>_xlfn.CEILING.MATH(Devis[[#This Row],[Quantité Totale]],Devis[[#This Row],[Conditionnement]])</f>
        <v>0</v>
      </c>
      <c r="T2766" s="72"/>
      <c r="U2766" s="73" t="s">
        <v>6217</v>
      </c>
      <c r="V2766" s="74">
        <f>Devis[[#This Row],[Prix de Revient]]*Devis[[#This Row],[Poste 1]]</f>
        <v>0</v>
      </c>
      <c r="W2766" s="74">
        <f>Devis[[#This Row],[Prix de Revient]]*Devis[[#This Row],[Poste 2]]</f>
        <v>0</v>
      </c>
      <c r="X2766" s="74">
        <f>Devis[[#This Row],[Prix de Revient]]*Devis[[#This Row],[Poste 3]]</f>
        <v>0</v>
      </c>
      <c r="Y2766" s="74">
        <f>Devis[[#This Row],[Poste 4]]*Devis[[#This Row],[Prix de Revient]]</f>
        <v>0</v>
      </c>
      <c r="Z2766" s="74">
        <f>Devis[[#This Row],[Poste 5]]*Devis[[#This Row],[Prix de Revient]]</f>
        <v>0</v>
      </c>
      <c r="AA2766" s="74">
        <f>Devis[[#This Row],[Prix de Revient]]*Devis[[#This Row],[Poste 6]]</f>
        <v>0</v>
      </c>
      <c r="AB2766" s="74">
        <f>Devis[[#This Row],[Quantité Totale]]*Devis[[#This Row],[Prix de Revient]]</f>
        <v>0</v>
      </c>
    </row>
    <row r="2767" spans="1:28" ht="14.25" outlineLevel="1" x14ac:dyDescent="0.2">
      <c r="A2767" s="75" t="s">
        <v>2617</v>
      </c>
      <c r="B2767" s="76" t="s">
        <v>5386</v>
      </c>
      <c r="C2767" s="76" t="s">
        <v>4048</v>
      </c>
      <c r="D2767" s="81" t="str">
        <f t="shared" si="47"/>
        <v>RaccordsCannelés filetés Flexible TricoclairPour flexible Tricoclair</v>
      </c>
      <c r="E2767" s="76" t="s">
        <v>4051</v>
      </c>
      <c r="F2767" s="76">
        <v>29</v>
      </c>
      <c r="G2767" s="71">
        <v>304009</v>
      </c>
      <c r="H2767" s="71" t="s">
        <v>4050</v>
      </c>
      <c r="I2767" s="71">
        <v>304009</v>
      </c>
      <c r="J2767" s="70">
        <f>IFERROR(VLOOKUP(Devis[[#This Row],[Ref Air Flux]],#REF!,3,FALSE),0)</f>
        <v>0</v>
      </c>
      <c r="K2767" s="68"/>
      <c r="L2767" s="68"/>
      <c r="M2767" s="68"/>
      <c r="N2767" s="68"/>
      <c r="O2767" s="68"/>
      <c r="P2767" s="68"/>
      <c r="Q2767" s="68">
        <f>SUM(Devis[[#This Row],[Poste 1]:[Poste 6]])</f>
        <v>0</v>
      </c>
      <c r="R2767" s="94"/>
      <c r="S2767" s="68">
        <f>_xlfn.CEILING.MATH(Devis[[#This Row],[Quantité Totale]],Devis[[#This Row],[Conditionnement]])</f>
        <v>0</v>
      </c>
      <c r="T2767" s="72"/>
      <c r="U2767" s="73"/>
      <c r="V2767" s="74">
        <f>Devis[[#This Row],[Prix de Revient]]*Devis[[#This Row],[Poste 1]]</f>
        <v>0</v>
      </c>
      <c r="W2767" s="74">
        <f>Devis[[#This Row],[Prix de Revient]]*Devis[[#This Row],[Poste 2]]</f>
        <v>0</v>
      </c>
      <c r="X2767" s="74">
        <f>Devis[[#This Row],[Prix de Revient]]*Devis[[#This Row],[Poste 3]]</f>
        <v>0</v>
      </c>
      <c r="Y2767" s="74">
        <f>Devis[[#This Row],[Poste 4]]*Devis[[#This Row],[Prix de Revient]]</f>
        <v>0</v>
      </c>
      <c r="Z2767" s="74">
        <f>Devis[[#This Row],[Poste 5]]*Devis[[#This Row],[Prix de Revient]]</f>
        <v>0</v>
      </c>
      <c r="AA2767" s="74">
        <f>Devis[[#This Row],[Prix de Revient]]*Devis[[#This Row],[Poste 6]]</f>
        <v>0</v>
      </c>
      <c r="AB2767" s="74">
        <f>Devis[[#This Row],[Quantité Totale]]*Devis[[#This Row],[Prix de Revient]]</f>
        <v>0</v>
      </c>
    </row>
    <row r="2768" spans="1:28" ht="14.25" customHeight="1" x14ac:dyDescent="0.25">
      <c r="A2768" s="65" t="s">
        <v>2617</v>
      </c>
      <c r="B2768" s="65" t="s">
        <v>5387</v>
      </c>
      <c r="C2768" s="113" t="s">
        <v>5387</v>
      </c>
      <c r="D2768" s="81" t="str">
        <f t="shared" si="47"/>
        <v>RaccordsColliers à griffe (Maxair)Colliers à griffe (Maxair)</v>
      </c>
      <c r="E2768" s="76"/>
      <c r="F2768" s="76">
        <v>0</v>
      </c>
      <c r="G2768" s="71"/>
      <c r="H2768" s="71"/>
      <c r="I2768" s="71"/>
      <c r="J2768" s="70">
        <f>IFERROR(VLOOKUP(Devis[[#This Row],[Ref Air Flux]],#REF!,3,FALSE),0)</f>
        <v>0</v>
      </c>
      <c r="K2768" s="68"/>
      <c r="L2768" s="68"/>
      <c r="M2768" s="68"/>
      <c r="N2768" s="68"/>
      <c r="O2768" s="68"/>
      <c r="P2768" s="68"/>
      <c r="Q2768" s="68">
        <f>SUM(Devis[[#This Row],[Poste 1]:[Poste 6]])</f>
        <v>0</v>
      </c>
      <c r="R2768" s="71"/>
      <c r="S2768" s="68">
        <f>_xlfn.CEILING.MATH(Devis[[#This Row],[Quantité Totale]],Devis[[#This Row],[Conditionnement]])</f>
        <v>0</v>
      </c>
      <c r="T2768" s="72"/>
      <c r="U2768" s="73"/>
      <c r="V2768" s="74">
        <f>Devis[[#This Row],[Prix de Revient]]*Devis[[#This Row],[Poste 1]]</f>
        <v>0</v>
      </c>
      <c r="W2768" s="74">
        <f>Devis[[#This Row],[Prix de Revient]]*Devis[[#This Row],[Poste 2]]</f>
        <v>0</v>
      </c>
      <c r="X2768" s="74">
        <f>Devis[[#This Row],[Prix de Revient]]*Devis[[#This Row],[Poste 3]]</f>
        <v>0</v>
      </c>
      <c r="Y2768" s="74">
        <f>Devis[[#This Row],[Poste 4]]*Devis[[#This Row],[Prix de Revient]]</f>
        <v>0</v>
      </c>
      <c r="Z2768" s="74">
        <f>Devis[[#This Row],[Poste 5]]*Devis[[#This Row],[Prix de Revient]]</f>
        <v>0</v>
      </c>
      <c r="AA2768" s="74">
        <f>Devis[[#This Row],[Prix de Revient]]*Devis[[#This Row],[Poste 6]]</f>
        <v>0</v>
      </c>
      <c r="AB2768" s="74">
        <f>Devis[[#This Row],[Quantité Totale]]*Devis[[#This Row],[Prix de Revient]]</f>
        <v>0</v>
      </c>
    </row>
    <row r="2769" spans="1:28" ht="14.25" outlineLevel="1" x14ac:dyDescent="0.2">
      <c r="A2769" s="75" t="s">
        <v>2617</v>
      </c>
      <c r="B2769" s="76" t="s">
        <v>5387</v>
      </c>
      <c r="C2769" s="76" t="s">
        <v>5387</v>
      </c>
      <c r="D2769" s="81" t="str">
        <f t="shared" si="47"/>
        <v>RaccordsColliers à griffe (Maxair)Colliers à griffe (Maxair)</v>
      </c>
      <c r="E2769" s="76" t="s">
        <v>420</v>
      </c>
      <c r="F2769" s="76">
        <v>1</v>
      </c>
      <c r="G2769" s="71" t="s">
        <v>421</v>
      </c>
      <c r="H2769" s="71"/>
      <c r="I2769" s="71"/>
      <c r="J2769" s="70">
        <f>IFERROR(VLOOKUP(Devis[[#This Row],[Ref Air Flux]],#REF!,3,FALSE),0)</f>
        <v>0</v>
      </c>
      <c r="K2769" s="68"/>
      <c r="L2769" s="68"/>
      <c r="M2769" s="68"/>
      <c r="N2769" s="68"/>
      <c r="O2769" s="68"/>
      <c r="P2769" s="68"/>
      <c r="Q2769" s="68">
        <f>SUM(Devis[[#This Row],[Poste 1]:[Poste 6]])</f>
        <v>0</v>
      </c>
      <c r="R2769" s="71"/>
      <c r="S2769" s="68">
        <f>_xlfn.CEILING.MATH(Devis[[#This Row],[Quantité Totale]],Devis[[#This Row],[Conditionnement]])</f>
        <v>0</v>
      </c>
      <c r="T2769" s="72"/>
      <c r="U2769" s="73"/>
      <c r="V2769" s="74">
        <f>Devis[[#This Row],[Prix de Revient]]*Devis[[#This Row],[Poste 1]]</f>
        <v>0</v>
      </c>
      <c r="W2769" s="74">
        <f>Devis[[#This Row],[Prix de Revient]]*Devis[[#This Row],[Poste 2]]</f>
        <v>0</v>
      </c>
      <c r="X2769" s="74">
        <f>Devis[[#This Row],[Prix de Revient]]*Devis[[#This Row],[Poste 3]]</f>
        <v>0</v>
      </c>
      <c r="Y2769" s="74">
        <f>Devis[[#This Row],[Poste 4]]*Devis[[#This Row],[Prix de Revient]]</f>
        <v>0</v>
      </c>
      <c r="Z2769" s="74">
        <f>Devis[[#This Row],[Poste 5]]*Devis[[#This Row],[Prix de Revient]]</f>
        <v>0</v>
      </c>
      <c r="AA2769" s="74">
        <f>Devis[[#This Row],[Prix de Revient]]*Devis[[#This Row],[Poste 6]]</f>
        <v>0</v>
      </c>
      <c r="AB2769" s="74">
        <f>Devis[[#This Row],[Quantité Totale]]*Devis[[#This Row],[Prix de Revient]]</f>
        <v>0</v>
      </c>
    </row>
    <row r="2770" spans="1:28" ht="14.25" outlineLevel="1" x14ac:dyDescent="0.2">
      <c r="A2770" s="75" t="s">
        <v>2617</v>
      </c>
      <c r="B2770" s="76" t="s">
        <v>5387</v>
      </c>
      <c r="C2770" s="76" t="s">
        <v>5387</v>
      </c>
      <c r="D2770" s="81" t="str">
        <f t="shared" si="47"/>
        <v>RaccordsColliers à griffe (Maxair)Colliers à griffe (Maxair)</v>
      </c>
      <c r="E2770" s="76" t="s">
        <v>422</v>
      </c>
      <c r="F2770" s="76">
        <v>2</v>
      </c>
      <c r="G2770" s="71" t="s">
        <v>423</v>
      </c>
      <c r="H2770" s="71"/>
      <c r="I2770" s="71"/>
      <c r="J2770" s="70">
        <f>IFERROR(VLOOKUP(Devis[[#This Row],[Ref Air Flux]],#REF!,3,FALSE),0)</f>
        <v>0</v>
      </c>
      <c r="K2770" s="68"/>
      <c r="L2770" s="68"/>
      <c r="M2770" s="68"/>
      <c r="N2770" s="68"/>
      <c r="O2770" s="68"/>
      <c r="P2770" s="68"/>
      <c r="Q2770" s="68">
        <f>SUM(Devis[[#This Row],[Poste 1]:[Poste 6]])</f>
        <v>0</v>
      </c>
      <c r="R2770" s="71"/>
      <c r="S2770" s="68">
        <f>_xlfn.CEILING.MATH(Devis[[#This Row],[Quantité Totale]],Devis[[#This Row],[Conditionnement]])</f>
        <v>0</v>
      </c>
      <c r="T2770" s="72"/>
      <c r="U2770" s="73"/>
      <c r="V2770" s="74">
        <f>Devis[[#This Row],[Prix de Revient]]*Devis[[#This Row],[Poste 1]]</f>
        <v>0</v>
      </c>
      <c r="W2770" s="74">
        <f>Devis[[#This Row],[Prix de Revient]]*Devis[[#This Row],[Poste 2]]</f>
        <v>0</v>
      </c>
      <c r="X2770" s="74">
        <f>Devis[[#This Row],[Prix de Revient]]*Devis[[#This Row],[Poste 3]]</f>
        <v>0</v>
      </c>
      <c r="Y2770" s="74">
        <f>Devis[[#This Row],[Poste 4]]*Devis[[#This Row],[Prix de Revient]]</f>
        <v>0</v>
      </c>
      <c r="Z2770" s="74">
        <f>Devis[[#This Row],[Poste 5]]*Devis[[#This Row],[Prix de Revient]]</f>
        <v>0</v>
      </c>
      <c r="AA2770" s="74">
        <f>Devis[[#This Row],[Prix de Revient]]*Devis[[#This Row],[Poste 6]]</f>
        <v>0</v>
      </c>
      <c r="AB2770" s="74">
        <f>Devis[[#This Row],[Quantité Totale]]*Devis[[#This Row],[Prix de Revient]]</f>
        <v>0</v>
      </c>
    </row>
    <row r="2771" spans="1:28" ht="14.25" outlineLevel="1" x14ac:dyDescent="0.2">
      <c r="A2771" s="75" t="s">
        <v>2617</v>
      </c>
      <c r="B2771" s="76" t="s">
        <v>5387</v>
      </c>
      <c r="C2771" s="76" t="s">
        <v>5387</v>
      </c>
      <c r="D2771" s="81" t="str">
        <f t="shared" si="47"/>
        <v>RaccordsColliers à griffe (Maxair)Colliers à griffe (Maxair)</v>
      </c>
      <c r="E2771" s="76" t="s">
        <v>424</v>
      </c>
      <c r="F2771" s="76">
        <v>3</v>
      </c>
      <c r="G2771" s="71" t="s">
        <v>425</v>
      </c>
      <c r="H2771" s="71"/>
      <c r="I2771" s="71"/>
      <c r="J2771" s="70">
        <f>IFERROR(VLOOKUP(Devis[[#This Row],[Ref Air Flux]],#REF!,3,FALSE),0)</f>
        <v>0</v>
      </c>
      <c r="K2771" s="68"/>
      <c r="L2771" s="68"/>
      <c r="M2771" s="68"/>
      <c r="N2771" s="68"/>
      <c r="O2771" s="68"/>
      <c r="P2771" s="68"/>
      <c r="Q2771" s="68">
        <f>SUM(Devis[[#This Row],[Poste 1]:[Poste 6]])</f>
        <v>0</v>
      </c>
      <c r="R2771" s="71"/>
      <c r="S2771" s="68">
        <f>_xlfn.CEILING.MATH(Devis[[#This Row],[Quantité Totale]],Devis[[#This Row],[Conditionnement]])</f>
        <v>0</v>
      </c>
      <c r="T2771" s="72"/>
      <c r="U2771" s="73"/>
      <c r="V2771" s="74">
        <f>Devis[[#This Row],[Prix de Revient]]*Devis[[#This Row],[Poste 1]]</f>
        <v>0</v>
      </c>
      <c r="W2771" s="74">
        <f>Devis[[#This Row],[Prix de Revient]]*Devis[[#This Row],[Poste 2]]</f>
        <v>0</v>
      </c>
      <c r="X2771" s="74">
        <f>Devis[[#This Row],[Prix de Revient]]*Devis[[#This Row],[Poste 3]]</f>
        <v>0</v>
      </c>
      <c r="Y2771" s="74">
        <f>Devis[[#This Row],[Poste 4]]*Devis[[#This Row],[Prix de Revient]]</f>
        <v>0</v>
      </c>
      <c r="Z2771" s="74">
        <f>Devis[[#This Row],[Poste 5]]*Devis[[#This Row],[Prix de Revient]]</f>
        <v>0</v>
      </c>
      <c r="AA2771" s="74">
        <f>Devis[[#This Row],[Prix de Revient]]*Devis[[#This Row],[Poste 6]]</f>
        <v>0</v>
      </c>
      <c r="AB2771" s="74">
        <f>Devis[[#This Row],[Quantité Totale]]*Devis[[#This Row],[Prix de Revient]]</f>
        <v>0</v>
      </c>
    </row>
    <row r="2772" spans="1:28" ht="14.25" outlineLevel="1" x14ac:dyDescent="0.2">
      <c r="A2772" s="75" t="s">
        <v>2617</v>
      </c>
      <c r="B2772" s="76" t="s">
        <v>5387</v>
      </c>
      <c r="C2772" s="76" t="s">
        <v>5387</v>
      </c>
      <c r="D2772" s="81" t="str">
        <f t="shared" si="47"/>
        <v>RaccordsColliers à griffe (Maxair)Colliers à griffe (Maxair)</v>
      </c>
      <c r="E2772" s="76" t="s">
        <v>426</v>
      </c>
      <c r="F2772" s="76">
        <v>4</v>
      </c>
      <c r="G2772" s="71" t="s">
        <v>427</v>
      </c>
      <c r="H2772" s="71"/>
      <c r="I2772" s="71"/>
      <c r="J2772" s="70">
        <f>IFERROR(VLOOKUP(Devis[[#This Row],[Ref Air Flux]],#REF!,3,FALSE),0)</f>
        <v>0</v>
      </c>
      <c r="K2772" s="68"/>
      <c r="L2772" s="68"/>
      <c r="M2772" s="68"/>
      <c r="N2772" s="68"/>
      <c r="O2772" s="68"/>
      <c r="P2772" s="68"/>
      <c r="Q2772" s="68">
        <f>SUM(Devis[[#This Row],[Poste 1]:[Poste 6]])</f>
        <v>0</v>
      </c>
      <c r="R2772" s="71"/>
      <c r="S2772" s="68">
        <f>_xlfn.CEILING.MATH(Devis[[#This Row],[Quantité Totale]],Devis[[#This Row],[Conditionnement]])</f>
        <v>0</v>
      </c>
      <c r="T2772" s="72"/>
      <c r="U2772" s="73"/>
      <c r="V2772" s="74">
        <f>Devis[[#This Row],[Prix de Revient]]*Devis[[#This Row],[Poste 1]]</f>
        <v>0</v>
      </c>
      <c r="W2772" s="74">
        <f>Devis[[#This Row],[Prix de Revient]]*Devis[[#This Row],[Poste 2]]</f>
        <v>0</v>
      </c>
      <c r="X2772" s="74">
        <f>Devis[[#This Row],[Prix de Revient]]*Devis[[#This Row],[Poste 3]]</f>
        <v>0</v>
      </c>
      <c r="Y2772" s="74">
        <f>Devis[[#This Row],[Poste 4]]*Devis[[#This Row],[Prix de Revient]]</f>
        <v>0</v>
      </c>
      <c r="Z2772" s="74">
        <f>Devis[[#This Row],[Poste 5]]*Devis[[#This Row],[Prix de Revient]]</f>
        <v>0</v>
      </c>
      <c r="AA2772" s="74">
        <f>Devis[[#This Row],[Prix de Revient]]*Devis[[#This Row],[Poste 6]]</f>
        <v>0</v>
      </c>
      <c r="AB2772" s="74">
        <f>Devis[[#This Row],[Quantité Totale]]*Devis[[#This Row],[Prix de Revient]]</f>
        <v>0</v>
      </c>
    </row>
    <row r="2773" spans="1:28" ht="14.25" customHeight="1" outlineLevel="1" x14ac:dyDescent="0.2">
      <c r="A2773" s="75" t="s">
        <v>2617</v>
      </c>
      <c r="B2773" s="76" t="s">
        <v>5387</v>
      </c>
      <c r="C2773" s="76" t="s">
        <v>5387</v>
      </c>
      <c r="D2773" s="81" t="str">
        <f t="shared" si="47"/>
        <v>RaccordsColliers à griffe (Maxair)Colliers à griffe (Maxair)</v>
      </c>
      <c r="E2773" s="76" t="s">
        <v>428</v>
      </c>
      <c r="F2773" s="76">
        <v>5</v>
      </c>
      <c r="G2773" s="71" t="s">
        <v>429</v>
      </c>
      <c r="H2773" s="71"/>
      <c r="I2773" s="71"/>
      <c r="J2773" s="70">
        <f>IFERROR(VLOOKUP(Devis[[#This Row],[Ref Air Flux]],#REF!,3,FALSE),0)</f>
        <v>0</v>
      </c>
      <c r="K2773" s="68"/>
      <c r="L2773" s="68"/>
      <c r="M2773" s="68"/>
      <c r="N2773" s="68"/>
      <c r="O2773" s="68"/>
      <c r="P2773" s="68"/>
      <c r="Q2773" s="68">
        <f>SUM(Devis[[#This Row],[Poste 1]:[Poste 6]])</f>
        <v>0</v>
      </c>
      <c r="R2773" s="71"/>
      <c r="S2773" s="68">
        <f>_xlfn.CEILING.MATH(Devis[[#This Row],[Quantité Totale]],Devis[[#This Row],[Conditionnement]])</f>
        <v>0</v>
      </c>
      <c r="T2773" s="72"/>
      <c r="U2773" s="73"/>
      <c r="V2773" s="74">
        <f>Devis[[#This Row],[Prix de Revient]]*Devis[[#This Row],[Poste 1]]</f>
        <v>0</v>
      </c>
      <c r="W2773" s="74">
        <f>Devis[[#This Row],[Prix de Revient]]*Devis[[#This Row],[Poste 2]]</f>
        <v>0</v>
      </c>
      <c r="X2773" s="74">
        <f>Devis[[#This Row],[Prix de Revient]]*Devis[[#This Row],[Poste 3]]</f>
        <v>0</v>
      </c>
      <c r="Y2773" s="74">
        <f>Devis[[#This Row],[Poste 4]]*Devis[[#This Row],[Prix de Revient]]</f>
        <v>0</v>
      </c>
      <c r="Z2773" s="74">
        <f>Devis[[#This Row],[Poste 5]]*Devis[[#This Row],[Prix de Revient]]</f>
        <v>0</v>
      </c>
      <c r="AA2773" s="74">
        <f>Devis[[#This Row],[Prix de Revient]]*Devis[[#This Row],[Poste 6]]</f>
        <v>0</v>
      </c>
      <c r="AB2773" s="74">
        <f>Devis[[#This Row],[Quantité Totale]]*Devis[[#This Row],[Prix de Revient]]</f>
        <v>0</v>
      </c>
    </row>
    <row r="2774" spans="1:28" ht="15" customHeight="1" outlineLevel="1" x14ac:dyDescent="0.2">
      <c r="A2774" s="75" t="s">
        <v>2617</v>
      </c>
      <c r="B2774" s="76" t="s">
        <v>5387</v>
      </c>
      <c r="C2774" s="76" t="s">
        <v>5387</v>
      </c>
      <c r="D2774" s="81" t="str">
        <f t="shared" si="47"/>
        <v>RaccordsColliers à griffe (Maxair)Colliers à griffe (Maxair)</v>
      </c>
      <c r="E2774" s="76" t="s">
        <v>430</v>
      </c>
      <c r="F2774" s="76">
        <v>6</v>
      </c>
      <c r="G2774" s="71" t="s">
        <v>2681</v>
      </c>
      <c r="H2774" s="71"/>
      <c r="I2774" s="71"/>
      <c r="J2774" s="70">
        <f>IFERROR(VLOOKUP(Devis[[#This Row],[Ref Air Flux]],#REF!,3,FALSE),0)</f>
        <v>0</v>
      </c>
      <c r="K2774" s="68"/>
      <c r="L2774" s="68"/>
      <c r="M2774" s="68"/>
      <c r="N2774" s="68"/>
      <c r="O2774" s="68"/>
      <c r="P2774" s="68"/>
      <c r="Q2774" s="68">
        <f>SUM(Devis[[#This Row],[Poste 1]:[Poste 6]])</f>
        <v>0</v>
      </c>
      <c r="R2774" s="71"/>
      <c r="S2774" s="68">
        <f>_xlfn.CEILING.MATH(Devis[[#This Row],[Quantité Totale]],Devis[[#This Row],[Conditionnement]])</f>
        <v>0</v>
      </c>
      <c r="T2774" s="72"/>
      <c r="U2774" s="73"/>
      <c r="V2774" s="74">
        <f>Devis[[#This Row],[Prix de Revient]]*Devis[[#This Row],[Poste 1]]</f>
        <v>0</v>
      </c>
      <c r="W2774" s="74">
        <f>Devis[[#This Row],[Prix de Revient]]*Devis[[#This Row],[Poste 2]]</f>
        <v>0</v>
      </c>
      <c r="X2774" s="74">
        <f>Devis[[#This Row],[Prix de Revient]]*Devis[[#This Row],[Poste 3]]</f>
        <v>0</v>
      </c>
      <c r="Y2774" s="74">
        <f>Devis[[#This Row],[Poste 4]]*Devis[[#This Row],[Prix de Revient]]</f>
        <v>0</v>
      </c>
      <c r="Z2774" s="74">
        <f>Devis[[#This Row],[Poste 5]]*Devis[[#This Row],[Prix de Revient]]</f>
        <v>0</v>
      </c>
      <c r="AA2774" s="74">
        <f>Devis[[#This Row],[Prix de Revient]]*Devis[[#This Row],[Poste 6]]</f>
        <v>0</v>
      </c>
      <c r="AB2774" s="74">
        <f>Devis[[#This Row],[Quantité Totale]]*Devis[[#This Row],[Prix de Revient]]</f>
        <v>0</v>
      </c>
    </row>
    <row r="2775" spans="1:28" ht="14.25" outlineLevel="1" x14ac:dyDescent="0.2">
      <c r="A2775" s="75" t="s">
        <v>2617</v>
      </c>
      <c r="B2775" s="76" t="s">
        <v>5387</v>
      </c>
      <c r="C2775" s="76" t="s">
        <v>5387</v>
      </c>
      <c r="D2775" s="81" t="str">
        <f t="shared" si="47"/>
        <v>RaccordsColliers à griffe (Maxair)Colliers à griffe (Maxair)</v>
      </c>
      <c r="E2775" s="76" t="s">
        <v>432</v>
      </c>
      <c r="F2775" s="76">
        <v>7</v>
      </c>
      <c r="G2775" s="71" t="s">
        <v>2682</v>
      </c>
      <c r="H2775" s="71"/>
      <c r="I2775" s="71"/>
      <c r="J2775" s="70">
        <f>IFERROR(VLOOKUP(Devis[[#This Row],[Ref Air Flux]],#REF!,3,FALSE),0)</f>
        <v>0</v>
      </c>
      <c r="K2775" s="68"/>
      <c r="L2775" s="68"/>
      <c r="M2775" s="68"/>
      <c r="N2775" s="68"/>
      <c r="O2775" s="68"/>
      <c r="P2775" s="68"/>
      <c r="Q2775" s="68">
        <f>SUM(Devis[[#This Row],[Poste 1]:[Poste 6]])</f>
        <v>0</v>
      </c>
      <c r="R2775" s="71"/>
      <c r="S2775" s="68">
        <f>_xlfn.CEILING.MATH(Devis[[#This Row],[Quantité Totale]],Devis[[#This Row],[Conditionnement]])</f>
        <v>0</v>
      </c>
      <c r="T2775" s="72"/>
      <c r="U2775" s="73"/>
      <c r="V2775" s="74">
        <f>Devis[[#This Row],[Prix de Revient]]*Devis[[#This Row],[Poste 1]]</f>
        <v>0</v>
      </c>
      <c r="W2775" s="74">
        <f>Devis[[#This Row],[Prix de Revient]]*Devis[[#This Row],[Poste 2]]</f>
        <v>0</v>
      </c>
      <c r="X2775" s="74">
        <f>Devis[[#This Row],[Prix de Revient]]*Devis[[#This Row],[Poste 3]]</f>
        <v>0</v>
      </c>
      <c r="Y2775" s="74">
        <f>Devis[[#This Row],[Poste 4]]*Devis[[#This Row],[Prix de Revient]]</f>
        <v>0</v>
      </c>
      <c r="Z2775" s="74">
        <f>Devis[[#This Row],[Poste 5]]*Devis[[#This Row],[Prix de Revient]]</f>
        <v>0</v>
      </c>
      <c r="AA2775" s="74">
        <f>Devis[[#This Row],[Prix de Revient]]*Devis[[#This Row],[Poste 6]]</f>
        <v>0</v>
      </c>
      <c r="AB2775" s="74">
        <f>Devis[[#This Row],[Quantité Totale]]*Devis[[#This Row],[Prix de Revient]]</f>
        <v>0</v>
      </c>
    </row>
    <row r="2776" spans="1:28" ht="14.25" customHeight="1" x14ac:dyDescent="0.25">
      <c r="A2776" s="65" t="s">
        <v>2617</v>
      </c>
      <c r="B2776" s="65" t="s">
        <v>5388</v>
      </c>
      <c r="C2776" s="113" t="s">
        <v>5388</v>
      </c>
      <c r="D2776" s="81" t="str">
        <f t="shared" si="47"/>
        <v>RaccordsCoupleur RapideCoupleur Rapide</v>
      </c>
      <c r="E2776" s="76"/>
      <c r="F2776" s="76">
        <v>0</v>
      </c>
      <c r="G2776" s="71"/>
      <c r="H2776" s="71"/>
      <c r="I2776" s="71"/>
      <c r="J2776" s="70">
        <f>IFERROR(VLOOKUP(Devis[[#This Row],[Ref Air Flux]],#REF!,3,FALSE),0)</f>
        <v>0</v>
      </c>
      <c r="K2776" s="68"/>
      <c r="L2776" s="68"/>
      <c r="M2776" s="68"/>
      <c r="N2776" s="68"/>
      <c r="O2776" s="68"/>
      <c r="P2776" s="68"/>
      <c r="Q2776" s="68">
        <f>SUM(Devis[[#This Row],[Poste 1]:[Poste 6]])</f>
        <v>0</v>
      </c>
      <c r="R2776" s="71"/>
      <c r="S2776" s="68">
        <f>_xlfn.CEILING.MATH(Devis[[#This Row],[Quantité Totale]],Devis[[#This Row],[Conditionnement]])</f>
        <v>0</v>
      </c>
      <c r="T2776" s="72"/>
      <c r="U2776" s="73"/>
      <c r="V2776" s="74">
        <f>Devis[[#This Row],[Prix de Revient]]*Devis[[#This Row],[Poste 1]]</f>
        <v>0</v>
      </c>
      <c r="W2776" s="74">
        <f>Devis[[#This Row],[Prix de Revient]]*Devis[[#This Row],[Poste 2]]</f>
        <v>0</v>
      </c>
      <c r="X2776" s="74">
        <f>Devis[[#This Row],[Prix de Revient]]*Devis[[#This Row],[Poste 3]]</f>
        <v>0</v>
      </c>
      <c r="Y2776" s="74">
        <f>Devis[[#This Row],[Poste 4]]*Devis[[#This Row],[Prix de Revient]]</f>
        <v>0</v>
      </c>
      <c r="Z2776" s="74">
        <f>Devis[[#This Row],[Poste 5]]*Devis[[#This Row],[Prix de Revient]]</f>
        <v>0</v>
      </c>
      <c r="AA2776" s="74">
        <f>Devis[[#This Row],[Prix de Revient]]*Devis[[#This Row],[Poste 6]]</f>
        <v>0</v>
      </c>
      <c r="AB2776" s="74">
        <f>Devis[[#This Row],[Quantité Totale]]*Devis[[#This Row],[Prix de Revient]]</f>
        <v>0</v>
      </c>
    </row>
    <row r="2777" spans="1:28" ht="14.25" outlineLevel="1" x14ac:dyDescent="0.2">
      <c r="A2777" s="75" t="s">
        <v>2617</v>
      </c>
      <c r="B2777" s="76" t="s">
        <v>5388</v>
      </c>
      <c r="C2777" s="76" t="s">
        <v>5388</v>
      </c>
      <c r="D2777" s="81" t="str">
        <f t="shared" si="47"/>
        <v>RaccordsCoupleur RapideCoupleur Rapide</v>
      </c>
      <c r="E2777" s="76" t="s">
        <v>5389</v>
      </c>
      <c r="F2777" s="76">
        <v>1</v>
      </c>
      <c r="G2777" s="71" t="s">
        <v>5390</v>
      </c>
      <c r="H2777" s="71" t="s">
        <v>4047</v>
      </c>
      <c r="I2777" s="71">
        <v>102911003</v>
      </c>
      <c r="J2777" s="70">
        <f>IFERROR(VLOOKUP(Devis[[#This Row],[Ref Air Flux]],#REF!,3,FALSE),0)</f>
        <v>0</v>
      </c>
      <c r="K2777" s="68"/>
      <c r="L2777" s="68"/>
      <c r="M2777" s="68"/>
      <c r="N2777" s="68"/>
      <c r="O2777" s="68"/>
      <c r="P2777" s="68"/>
      <c r="Q2777" s="68">
        <f>SUM(Devis[[#This Row],[Poste 1]:[Poste 6]])</f>
        <v>0</v>
      </c>
      <c r="R2777" s="71"/>
      <c r="S2777" s="68">
        <f>_xlfn.CEILING.MATH(Devis[[#This Row],[Quantité Totale]],Devis[[#This Row],[Conditionnement]])</f>
        <v>0</v>
      </c>
      <c r="T2777" s="72"/>
      <c r="U2777" s="73"/>
      <c r="V2777" s="74">
        <f>Devis[[#This Row],[Prix de Revient]]*Devis[[#This Row],[Poste 1]]</f>
        <v>0</v>
      </c>
      <c r="W2777" s="74">
        <f>Devis[[#This Row],[Prix de Revient]]*Devis[[#This Row],[Poste 2]]</f>
        <v>0</v>
      </c>
      <c r="X2777" s="74">
        <f>Devis[[#This Row],[Prix de Revient]]*Devis[[#This Row],[Poste 3]]</f>
        <v>0</v>
      </c>
      <c r="Y2777" s="74">
        <f>Devis[[#This Row],[Poste 4]]*Devis[[#This Row],[Prix de Revient]]</f>
        <v>0</v>
      </c>
      <c r="Z2777" s="74">
        <f>Devis[[#This Row],[Poste 5]]*Devis[[#This Row],[Prix de Revient]]</f>
        <v>0</v>
      </c>
      <c r="AA2777" s="74">
        <f>Devis[[#This Row],[Prix de Revient]]*Devis[[#This Row],[Poste 6]]</f>
        <v>0</v>
      </c>
      <c r="AB2777" s="74">
        <f>Devis[[#This Row],[Quantité Totale]]*Devis[[#This Row],[Prix de Revient]]</f>
        <v>0</v>
      </c>
    </row>
    <row r="2778" spans="1:28" ht="14.25" outlineLevel="1" x14ac:dyDescent="0.2">
      <c r="A2778" s="75" t="s">
        <v>2617</v>
      </c>
      <c r="B2778" s="76" t="s">
        <v>5388</v>
      </c>
      <c r="C2778" s="76" t="s">
        <v>5388</v>
      </c>
      <c r="D2778" s="81" t="str">
        <f t="shared" si="47"/>
        <v>RaccordsCoupleur RapideCoupleur Rapide</v>
      </c>
      <c r="E2778" s="76" t="s">
        <v>5391</v>
      </c>
      <c r="F2778" s="76">
        <v>2</v>
      </c>
      <c r="G2778" s="71" t="s">
        <v>5392</v>
      </c>
      <c r="H2778" s="71" t="s">
        <v>4047</v>
      </c>
      <c r="I2778" s="71">
        <v>102911004</v>
      </c>
      <c r="J2778" s="70">
        <f>IFERROR(VLOOKUP(Devis[[#This Row],[Ref Air Flux]],#REF!,3,FALSE),0)</f>
        <v>0</v>
      </c>
      <c r="K2778" s="68"/>
      <c r="L2778" s="68"/>
      <c r="M2778" s="68"/>
      <c r="N2778" s="68"/>
      <c r="O2778" s="68"/>
      <c r="P2778" s="68"/>
      <c r="Q2778" s="68">
        <f>SUM(Devis[[#This Row],[Poste 1]:[Poste 6]])</f>
        <v>0</v>
      </c>
      <c r="R2778" s="71"/>
      <c r="S2778" s="68">
        <f>_xlfn.CEILING.MATH(Devis[[#This Row],[Quantité Totale]],Devis[[#This Row],[Conditionnement]])</f>
        <v>0</v>
      </c>
      <c r="T2778" s="72"/>
      <c r="U2778" s="73"/>
      <c r="V2778" s="74">
        <f>Devis[[#This Row],[Prix de Revient]]*Devis[[#This Row],[Poste 1]]</f>
        <v>0</v>
      </c>
      <c r="W2778" s="74">
        <f>Devis[[#This Row],[Prix de Revient]]*Devis[[#This Row],[Poste 2]]</f>
        <v>0</v>
      </c>
      <c r="X2778" s="74">
        <f>Devis[[#This Row],[Prix de Revient]]*Devis[[#This Row],[Poste 3]]</f>
        <v>0</v>
      </c>
      <c r="Y2778" s="74">
        <f>Devis[[#This Row],[Poste 4]]*Devis[[#This Row],[Prix de Revient]]</f>
        <v>0</v>
      </c>
      <c r="Z2778" s="74">
        <f>Devis[[#This Row],[Poste 5]]*Devis[[#This Row],[Prix de Revient]]</f>
        <v>0</v>
      </c>
      <c r="AA2778" s="74">
        <f>Devis[[#This Row],[Prix de Revient]]*Devis[[#This Row],[Poste 6]]</f>
        <v>0</v>
      </c>
      <c r="AB2778" s="74">
        <f>Devis[[#This Row],[Quantité Totale]]*Devis[[#This Row],[Prix de Revient]]</f>
        <v>0</v>
      </c>
    </row>
    <row r="2779" spans="1:28" ht="14.25" outlineLevel="1" x14ac:dyDescent="0.2">
      <c r="A2779" s="75" t="s">
        <v>2617</v>
      </c>
      <c r="B2779" s="76" t="s">
        <v>5388</v>
      </c>
      <c r="C2779" s="76" t="s">
        <v>5388</v>
      </c>
      <c r="D2779" s="81" t="str">
        <f t="shared" si="47"/>
        <v>RaccordsCoupleur RapideCoupleur Rapide</v>
      </c>
      <c r="E2779" s="76" t="s">
        <v>5393</v>
      </c>
      <c r="F2779" s="76">
        <v>3</v>
      </c>
      <c r="G2779" s="71" t="s">
        <v>5394</v>
      </c>
      <c r="H2779" s="71" t="s">
        <v>4047</v>
      </c>
      <c r="I2779" s="71">
        <v>102911154</v>
      </c>
      <c r="J2779" s="70">
        <f>IFERROR(VLOOKUP(Devis[[#This Row],[Ref Air Flux]],#REF!,3,FALSE),0)</f>
        <v>0</v>
      </c>
      <c r="K2779" s="68"/>
      <c r="L2779" s="68"/>
      <c r="M2779" s="68"/>
      <c r="N2779" s="68"/>
      <c r="O2779" s="68"/>
      <c r="P2779" s="68"/>
      <c r="Q2779" s="68">
        <f>SUM(Devis[[#This Row],[Poste 1]:[Poste 6]])</f>
        <v>0</v>
      </c>
      <c r="R2779" s="71"/>
      <c r="S2779" s="68">
        <f>_xlfn.CEILING.MATH(Devis[[#This Row],[Quantité Totale]],Devis[[#This Row],[Conditionnement]])</f>
        <v>0</v>
      </c>
      <c r="T2779" s="72"/>
      <c r="U2779" s="73"/>
      <c r="V2779" s="74">
        <f>Devis[[#This Row],[Prix de Revient]]*Devis[[#This Row],[Poste 1]]</f>
        <v>0</v>
      </c>
      <c r="W2779" s="74">
        <f>Devis[[#This Row],[Prix de Revient]]*Devis[[#This Row],[Poste 2]]</f>
        <v>0</v>
      </c>
      <c r="X2779" s="74">
        <f>Devis[[#This Row],[Prix de Revient]]*Devis[[#This Row],[Poste 3]]</f>
        <v>0</v>
      </c>
      <c r="Y2779" s="74">
        <f>Devis[[#This Row],[Poste 4]]*Devis[[#This Row],[Prix de Revient]]</f>
        <v>0</v>
      </c>
      <c r="Z2779" s="74">
        <f>Devis[[#This Row],[Poste 5]]*Devis[[#This Row],[Prix de Revient]]</f>
        <v>0</v>
      </c>
      <c r="AA2779" s="74">
        <f>Devis[[#This Row],[Prix de Revient]]*Devis[[#This Row],[Poste 6]]</f>
        <v>0</v>
      </c>
      <c r="AB2779" s="74">
        <f>Devis[[#This Row],[Quantité Totale]]*Devis[[#This Row],[Prix de Revient]]</f>
        <v>0</v>
      </c>
    </row>
    <row r="2780" spans="1:28" ht="14.25" outlineLevel="1" x14ac:dyDescent="0.2">
      <c r="A2780" s="75" t="s">
        <v>2617</v>
      </c>
      <c r="B2780" s="76" t="s">
        <v>5388</v>
      </c>
      <c r="C2780" s="76" t="s">
        <v>5388</v>
      </c>
      <c r="D2780" s="81" t="str">
        <f t="shared" si="47"/>
        <v>RaccordsCoupleur RapideCoupleur Rapide</v>
      </c>
      <c r="E2780" s="76" t="s">
        <v>5395</v>
      </c>
      <c r="F2780" s="76">
        <v>4</v>
      </c>
      <c r="G2780" s="71" t="s">
        <v>5396</v>
      </c>
      <c r="H2780" s="71" t="s">
        <v>4047</v>
      </c>
      <c r="I2780" s="71">
        <v>102911202</v>
      </c>
      <c r="J2780" s="70">
        <f>IFERROR(VLOOKUP(Devis[[#This Row],[Ref Air Flux]],#REF!,3,FALSE),0)</f>
        <v>0</v>
      </c>
      <c r="K2780" s="68"/>
      <c r="L2780" s="68"/>
      <c r="M2780" s="68"/>
      <c r="N2780" s="68"/>
      <c r="O2780" s="68"/>
      <c r="P2780" s="68"/>
      <c r="Q2780" s="68">
        <f>SUM(Devis[[#This Row],[Poste 1]:[Poste 6]])</f>
        <v>0</v>
      </c>
      <c r="R2780" s="71"/>
      <c r="S2780" s="68">
        <f>_xlfn.CEILING.MATH(Devis[[#This Row],[Quantité Totale]],Devis[[#This Row],[Conditionnement]])</f>
        <v>0</v>
      </c>
      <c r="T2780" s="72"/>
      <c r="U2780" s="73"/>
      <c r="V2780" s="74">
        <f>Devis[[#This Row],[Prix de Revient]]*Devis[[#This Row],[Poste 1]]</f>
        <v>0</v>
      </c>
      <c r="W2780" s="74">
        <f>Devis[[#This Row],[Prix de Revient]]*Devis[[#This Row],[Poste 2]]</f>
        <v>0</v>
      </c>
      <c r="X2780" s="74">
        <f>Devis[[#This Row],[Prix de Revient]]*Devis[[#This Row],[Poste 3]]</f>
        <v>0</v>
      </c>
      <c r="Y2780" s="74">
        <f>Devis[[#This Row],[Poste 4]]*Devis[[#This Row],[Prix de Revient]]</f>
        <v>0</v>
      </c>
      <c r="Z2780" s="74">
        <f>Devis[[#This Row],[Poste 5]]*Devis[[#This Row],[Prix de Revient]]</f>
        <v>0</v>
      </c>
      <c r="AA2780" s="74">
        <f>Devis[[#This Row],[Prix de Revient]]*Devis[[#This Row],[Poste 6]]</f>
        <v>0</v>
      </c>
      <c r="AB2780" s="74">
        <f>Devis[[#This Row],[Quantité Totale]]*Devis[[#This Row],[Prix de Revient]]</f>
        <v>0</v>
      </c>
    </row>
    <row r="2781" spans="1:28" ht="14.25" customHeight="1" outlineLevel="1" x14ac:dyDescent="0.2">
      <c r="A2781" s="75" t="s">
        <v>2617</v>
      </c>
      <c r="B2781" s="76" t="s">
        <v>5388</v>
      </c>
      <c r="C2781" s="76" t="s">
        <v>5388</v>
      </c>
      <c r="D2781" s="81" t="str">
        <f t="shared" si="47"/>
        <v>RaccordsCoupleur RapideCoupleur Rapide</v>
      </c>
      <c r="E2781" s="76" t="s">
        <v>5397</v>
      </c>
      <c r="F2781" s="76">
        <v>5</v>
      </c>
      <c r="G2781" s="71" t="s">
        <v>5398</v>
      </c>
      <c r="H2781" s="71" t="s">
        <v>4047</v>
      </c>
      <c r="I2781" s="71">
        <v>102911204</v>
      </c>
      <c r="J2781" s="70">
        <f>IFERROR(VLOOKUP(Devis[[#This Row],[Ref Air Flux]],#REF!,3,FALSE),0)</f>
        <v>0</v>
      </c>
      <c r="K2781" s="68"/>
      <c r="L2781" s="68"/>
      <c r="M2781" s="68"/>
      <c r="N2781" s="68"/>
      <c r="O2781" s="68"/>
      <c r="P2781" s="68"/>
      <c r="Q2781" s="68">
        <f>SUM(Devis[[#This Row],[Poste 1]:[Poste 6]])</f>
        <v>0</v>
      </c>
      <c r="R2781" s="71"/>
      <c r="S2781" s="68">
        <f>_xlfn.CEILING.MATH(Devis[[#This Row],[Quantité Totale]],Devis[[#This Row],[Conditionnement]])</f>
        <v>0</v>
      </c>
      <c r="T2781" s="72"/>
      <c r="U2781" s="73"/>
      <c r="V2781" s="74">
        <f>Devis[[#This Row],[Prix de Revient]]*Devis[[#This Row],[Poste 1]]</f>
        <v>0</v>
      </c>
      <c r="W2781" s="74">
        <f>Devis[[#This Row],[Prix de Revient]]*Devis[[#This Row],[Poste 2]]</f>
        <v>0</v>
      </c>
      <c r="X2781" s="74">
        <f>Devis[[#This Row],[Prix de Revient]]*Devis[[#This Row],[Poste 3]]</f>
        <v>0</v>
      </c>
      <c r="Y2781" s="74">
        <f>Devis[[#This Row],[Poste 4]]*Devis[[#This Row],[Prix de Revient]]</f>
        <v>0</v>
      </c>
      <c r="Z2781" s="74">
        <f>Devis[[#This Row],[Poste 5]]*Devis[[#This Row],[Prix de Revient]]</f>
        <v>0</v>
      </c>
      <c r="AA2781" s="74">
        <f>Devis[[#This Row],[Prix de Revient]]*Devis[[#This Row],[Poste 6]]</f>
        <v>0</v>
      </c>
      <c r="AB2781" s="74">
        <f>Devis[[#This Row],[Quantité Totale]]*Devis[[#This Row],[Prix de Revient]]</f>
        <v>0</v>
      </c>
    </row>
    <row r="2782" spans="1:28" ht="14.25" customHeight="1" outlineLevel="1" x14ac:dyDescent="0.2">
      <c r="A2782" s="75" t="s">
        <v>2617</v>
      </c>
      <c r="B2782" s="76" t="s">
        <v>5388</v>
      </c>
      <c r="C2782" s="76" t="s">
        <v>5388</v>
      </c>
      <c r="D2782" s="81" t="str">
        <f t="shared" si="47"/>
        <v>RaccordsCoupleur RapideCoupleur Rapide</v>
      </c>
      <c r="E2782" s="76" t="s">
        <v>5399</v>
      </c>
      <c r="F2782" s="76">
        <v>6</v>
      </c>
      <c r="G2782" s="71" t="s">
        <v>5400</v>
      </c>
      <c r="H2782" s="71" t="s">
        <v>4047</v>
      </c>
      <c r="I2782" s="71">
        <v>102915003</v>
      </c>
      <c r="J2782" s="70">
        <f>IFERROR(VLOOKUP(Devis[[#This Row],[Ref Air Flux]],#REF!,3,FALSE),0)</f>
        <v>0</v>
      </c>
      <c r="K2782" s="68"/>
      <c r="L2782" s="68"/>
      <c r="M2782" s="68"/>
      <c r="N2782" s="68"/>
      <c r="O2782" s="68"/>
      <c r="P2782" s="68"/>
      <c r="Q2782" s="68">
        <f>SUM(Devis[[#This Row],[Poste 1]:[Poste 6]])</f>
        <v>0</v>
      </c>
      <c r="R2782" s="71"/>
      <c r="S2782" s="68">
        <f>_xlfn.CEILING.MATH(Devis[[#This Row],[Quantité Totale]],Devis[[#This Row],[Conditionnement]])</f>
        <v>0</v>
      </c>
      <c r="T2782" s="72"/>
      <c r="U2782" s="73"/>
      <c r="V2782" s="74">
        <f>Devis[[#This Row],[Prix de Revient]]*Devis[[#This Row],[Poste 1]]</f>
        <v>0</v>
      </c>
      <c r="W2782" s="74">
        <f>Devis[[#This Row],[Prix de Revient]]*Devis[[#This Row],[Poste 2]]</f>
        <v>0</v>
      </c>
      <c r="X2782" s="74">
        <f>Devis[[#This Row],[Prix de Revient]]*Devis[[#This Row],[Poste 3]]</f>
        <v>0</v>
      </c>
      <c r="Y2782" s="74">
        <f>Devis[[#This Row],[Poste 4]]*Devis[[#This Row],[Prix de Revient]]</f>
        <v>0</v>
      </c>
      <c r="Z2782" s="74">
        <f>Devis[[#This Row],[Poste 5]]*Devis[[#This Row],[Prix de Revient]]</f>
        <v>0</v>
      </c>
      <c r="AA2782" s="74">
        <f>Devis[[#This Row],[Prix de Revient]]*Devis[[#This Row],[Poste 6]]</f>
        <v>0</v>
      </c>
      <c r="AB2782" s="74">
        <f>Devis[[#This Row],[Quantité Totale]]*Devis[[#This Row],[Prix de Revient]]</f>
        <v>0</v>
      </c>
    </row>
    <row r="2783" spans="1:28" ht="14.25" outlineLevel="1" x14ac:dyDescent="0.2">
      <c r="A2783" s="75" t="s">
        <v>2617</v>
      </c>
      <c r="B2783" s="76" t="s">
        <v>5388</v>
      </c>
      <c r="C2783" s="76" t="s">
        <v>5388</v>
      </c>
      <c r="D2783" s="81" t="str">
        <f t="shared" si="47"/>
        <v>RaccordsCoupleur RapideCoupleur Rapide</v>
      </c>
      <c r="E2783" s="76"/>
      <c r="F2783" s="76">
        <v>7</v>
      </c>
      <c r="G2783" s="71"/>
      <c r="H2783" s="71"/>
      <c r="I2783" s="71"/>
      <c r="J2783" s="70">
        <f>IFERROR(VLOOKUP(Devis[[#This Row],[Ref Air Flux]],#REF!,3,FALSE),0)</f>
        <v>0</v>
      </c>
      <c r="K2783" s="68"/>
      <c r="L2783" s="68"/>
      <c r="M2783" s="68"/>
      <c r="N2783" s="68"/>
      <c r="O2783" s="68"/>
      <c r="P2783" s="68"/>
      <c r="Q2783" s="68">
        <f>SUM(Devis[[#This Row],[Poste 1]:[Poste 6]])</f>
        <v>0</v>
      </c>
      <c r="R2783" s="71"/>
      <c r="S2783" s="68">
        <f>_xlfn.CEILING.MATH(Devis[[#This Row],[Quantité Totale]],Devis[[#This Row],[Conditionnement]])</f>
        <v>0</v>
      </c>
      <c r="T2783" s="72"/>
      <c r="U2783" s="73"/>
      <c r="V2783" s="74">
        <f>Devis[[#This Row],[Prix de Revient]]*Devis[[#This Row],[Poste 1]]</f>
        <v>0</v>
      </c>
      <c r="W2783" s="74">
        <f>Devis[[#This Row],[Prix de Revient]]*Devis[[#This Row],[Poste 2]]</f>
        <v>0</v>
      </c>
      <c r="X2783" s="74">
        <f>Devis[[#This Row],[Prix de Revient]]*Devis[[#This Row],[Poste 3]]</f>
        <v>0</v>
      </c>
      <c r="Y2783" s="74">
        <f>Devis[[#This Row],[Poste 4]]*Devis[[#This Row],[Prix de Revient]]</f>
        <v>0</v>
      </c>
      <c r="Z2783" s="74">
        <f>Devis[[#This Row],[Poste 5]]*Devis[[#This Row],[Prix de Revient]]</f>
        <v>0</v>
      </c>
      <c r="AA2783" s="74">
        <f>Devis[[#This Row],[Prix de Revient]]*Devis[[#This Row],[Poste 6]]</f>
        <v>0</v>
      </c>
      <c r="AB2783" s="74">
        <f>Devis[[#This Row],[Quantité Totale]]*Devis[[#This Row],[Prix de Revient]]</f>
        <v>0</v>
      </c>
    </row>
    <row r="2784" spans="1:28" ht="14.25" outlineLevel="1" x14ac:dyDescent="0.2">
      <c r="A2784" s="75" t="s">
        <v>2617</v>
      </c>
      <c r="B2784" s="76" t="s">
        <v>5388</v>
      </c>
      <c r="C2784" s="76" t="s">
        <v>5388</v>
      </c>
      <c r="D2784" s="81" t="str">
        <f t="shared" si="47"/>
        <v>RaccordsCoupleur RapideCoupleur Rapide</v>
      </c>
      <c r="E2784" s="76" t="s">
        <v>5401</v>
      </c>
      <c r="F2784" s="76">
        <v>8</v>
      </c>
      <c r="G2784" s="71">
        <v>3101002</v>
      </c>
      <c r="H2784" s="71" t="s">
        <v>4047</v>
      </c>
      <c r="I2784" s="71">
        <v>103101002</v>
      </c>
      <c r="J2784" s="70">
        <f>IFERROR(VLOOKUP(Devis[[#This Row],[Ref Air Flux]],#REF!,3,FALSE),0)</f>
        <v>0</v>
      </c>
      <c r="K2784" s="68"/>
      <c r="L2784" s="68"/>
      <c r="M2784" s="68"/>
      <c r="N2784" s="68"/>
      <c r="O2784" s="68"/>
      <c r="P2784" s="68"/>
      <c r="Q2784" s="68">
        <f>SUM(Devis[[#This Row],[Poste 1]:[Poste 6]])</f>
        <v>0</v>
      </c>
      <c r="R2784" s="71"/>
      <c r="S2784" s="68">
        <f>_xlfn.CEILING.MATH(Devis[[#This Row],[Quantité Totale]],Devis[[#This Row],[Conditionnement]])</f>
        <v>0</v>
      </c>
      <c r="T2784" s="72"/>
      <c r="U2784" s="73" t="s">
        <v>5402</v>
      </c>
      <c r="V2784" s="74">
        <f>Devis[[#This Row],[Prix de Revient]]*Devis[[#This Row],[Poste 1]]</f>
        <v>0</v>
      </c>
      <c r="W2784" s="74">
        <f>Devis[[#This Row],[Prix de Revient]]*Devis[[#This Row],[Poste 2]]</f>
        <v>0</v>
      </c>
      <c r="X2784" s="74">
        <f>Devis[[#This Row],[Prix de Revient]]*Devis[[#This Row],[Poste 3]]</f>
        <v>0</v>
      </c>
      <c r="Y2784" s="74">
        <f>Devis[[#This Row],[Poste 4]]*Devis[[#This Row],[Prix de Revient]]</f>
        <v>0</v>
      </c>
      <c r="Z2784" s="74">
        <f>Devis[[#This Row],[Poste 5]]*Devis[[#This Row],[Prix de Revient]]</f>
        <v>0</v>
      </c>
      <c r="AA2784" s="74">
        <f>Devis[[#This Row],[Prix de Revient]]*Devis[[#This Row],[Poste 6]]</f>
        <v>0</v>
      </c>
      <c r="AB2784" s="74">
        <f>Devis[[#This Row],[Quantité Totale]]*Devis[[#This Row],[Prix de Revient]]</f>
        <v>0</v>
      </c>
    </row>
    <row r="2785" spans="1:28" ht="15" customHeight="1" outlineLevel="1" x14ac:dyDescent="0.2">
      <c r="A2785" s="75" t="s">
        <v>2617</v>
      </c>
      <c r="B2785" s="76" t="s">
        <v>5388</v>
      </c>
      <c r="C2785" s="76" t="s">
        <v>5388</v>
      </c>
      <c r="D2785" s="81" t="str">
        <f t="shared" si="47"/>
        <v>RaccordsCoupleur RapideCoupleur Rapide</v>
      </c>
      <c r="E2785" s="76" t="s">
        <v>5403</v>
      </c>
      <c r="F2785" s="76">
        <v>9</v>
      </c>
      <c r="G2785" s="71">
        <v>3101003</v>
      </c>
      <c r="H2785" s="71" t="s">
        <v>4047</v>
      </c>
      <c r="I2785" s="71">
        <v>103101003</v>
      </c>
      <c r="J2785" s="70">
        <f>IFERROR(VLOOKUP(Devis[[#This Row],[Ref Air Flux]],#REF!,3,FALSE),0)</f>
        <v>0</v>
      </c>
      <c r="K2785" s="68"/>
      <c r="L2785" s="68"/>
      <c r="M2785" s="68"/>
      <c r="N2785" s="68"/>
      <c r="O2785" s="68"/>
      <c r="P2785" s="68"/>
      <c r="Q2785" s="68">
        <f>SUM(Devis[[#This Row],[Poste 1]:[Poste 6]])</f>
        <v>0</v>
      </c>
      <c r="R2785" s="71"/>
      <c r="S2785" s="68">
        <f>_xlfn.CEILING.MATH(Devis[[#This Row],[Quantité Totale]],Devis[[#This Row],[Conditionnement]])</f>
        <v>0</v>
      </c>
      <c r="T2785" s="72"/>
      <c r="U2785" s="73" t="s">
        <v>5404</v>
      </c>
      <c r="V2785" s="74">
        <f>Devis[[#This Row],[Prix de Revient]]*Devis[[#This Row],[Poste 1]]</f>
        <v>0</v>
      </c>
      <c r="W2785" s="74">
        <f>Devis[[#This Row],[Prix de Revient]]*Devis[[#This Row],[Poste 2]]</f>
        <v>0</v>
      </c>
      <c r="X2785" s="74">
        <f>Devis[[#This Row],[Prix de Revient]]*Devis[[#This Row],[Poste 3]]</f>
        <v>0</v>
      </c>
      <c r="Y2785" s="74">
        <f>Devis[[#This Row],[Poste 4]]*Devis[[#This Row],[Prix de Revient]]</f>
        <v>0</v>
      </c>
      <c r="Z2785" s="74">
        <f>Devis[[#This Row],[Poste 5]]*Devis[[#This Row],[Prix de Revient]]</f>
        <v>0</v>
      </c>
      <c r="AA2785" s="74">
        <f>Devis[[#This Row],[Prix de Revient]]*Devis[[#This Row],[Poste 6]]</f>
        <v>0</v>
      </c>
      <c r="AB2785" s="74">
        <f>Devis[[#This Row],[Quantité Totale]]*Devis[[#This Row],[Prix de Revient]]</f>
        <v>0</v>
      </c>
    </row>
    <row r="2786" spans="1:28" ht="14.25" outlineLevel="1" x14ac:dyDescent="0.2">
      <c r="A2786" s="75" t="s">
        <v>2617</v>
      </c>
      <c r="B2786" s="76" t="s">
        <v>5388</v>
      </c>
      <c r="C2786" s="76" t="s">
        <v>5388</v>
      </c>
      <c r="D2786" s="81" t="str">
        <f t="shared" si="47"/>
        <v>RaccordsCoupleur RapideCoupleur Rapide</v>
      </c>
      <c r="E2786" s="76" t="s">
        <v>5405</v>
      </c>
      <c r="F2786" s="76">
        <v>10</v>
      </c>
      <c r="G2786" s="71">
        <v>3101004</v>
      </c>
      <c r="H2786" s="71" t="s">
        <v>4047</v>
      </c>
      <c r="I2786" s="71">
        <v>103101004</v>
      </c>
      <c r="J2786" s="70">
        <f>IFERROR(VLOOKUP(Devis[[#This Row],[Ref Air Flux]],#REF!,3,FALSE),0)</f>
        <v>0</v>
      </c>
      <c r="K2786" s="68"/>
      <c r="L2786" s="68"/>
      <c r="M2786" s="68"/>
      <c r="N2786" s="68"/>
      <c r="O2786" s="68"/>
      <c r="P2786" s="68"/>
      <c r="Q2786" s="68">
        <f>SUM(Devis[[#This Row],[Poste 1]:[Poste 6]])</f>
        <v>0</v>
      </c>
      <c r="R2786" s="71"/>
      <c r="S2786" s="68">
        <f>_xlfn.CEILING.MATH(Devis[[#This Row],[Quantité Totale]],Devis[[#This Row],[Conditionnement]])</f>
        <v>0</v>
      </c>
      <c r="T2786" s="72"/>
      <c r="U2786" s="73" t="s">
        <v>5406</v>
      </c>
      <c r="V2786" s="74">
        <f>Devis[[#This Row],[Prix de Revient]]*Devis[[#This Row],[Poste 1]]</f>
        <v>0</v>
      </c>
      <c r="W2786" s="74">
        <f>Devis[[#This Row],[Prix de Revient]]*Devis[[#This Row],[Poste 2]]</f>
        <v>0</v>
      </c>
      <c r="X2786" s="74">
        <f>Devis[[#This Row],[Prix de Revient]]*Devis[[#This Row],[Poste 3]]</f>
        <v>0</v>
      </c>
      <c r="Y2786" s="74">
        <f>Devis[[#This Row],[Poste 4]]*Devis[[#This Row],[Prix de Revient]]</f>
        <v>0</v>
      </c>
      <c r="Z2786" s="74">
        <f>Devis[[#This Row],[Poste 5]]*Devis[[#This Row],[Prix de Revient]]</f>
        <v>0</v>
      </c>
      <c r="AA2786" s="74">
        <f>Devis[[#This Row],[Prix de Revient]]*Devis[[#This Row],[Poste 6]]</f>
        <v>0</v>
      </c>
      <c r="AB2786" s="74">
        <f>Devis[[#This Row],[Quantité Totale]]*Devis[[#This Row],[Prix de Revient]]</f>
        <v>0</v>
      </c>
    </row>
    <row r="2787" spans="1:28" ht="14.25" outlineLevel="1" x14ac:dyDescent="0.2">
      <c r="A2787" s="75" t="s">
        <v>2617</v>
      </c>
      <c r="B2787" s="76" t="s">
        <v>5388</v>
      </c>
      <c r="C2787" s="76" t="s">
        <v>5388</v>
      </c>
      <c r="D2787" s="81" t="str">
        <f t="shared" si="47"/>
        <v>RaccordsCoupleur RapideCoupleur Rapide</v>
      </c>
      <c r="E2787" s="76" t="s">
        <v>5407</v>
      </c>
      <c r="F2787" s="76">
        <v>11</v>
      </c>
      <c r="G2787" s="71">
        <v>3101005</v>
      </c>
      <c r="H2787" s="71" t="s">
        <v>4047</v>
      </c>
      <c r="I2787" s="71">
        <v>103101005</v>
      </c>
      <c r="J2787" s="70">
        <f>IFERROR(VLOOKUP(Devis[[#This Row],[Ref Air Flux]],#REF!,3,FALSE),0)</f>
        <v>0</v>
      </c>
      <c r="K2787" s="68"/>
      <c r="L2787" s="68"/>
      <c r="M2787" s="68"/>
      <c r="N2787" s="68"/>
      <c r="O2787" s="68"/>
      <c r="P2787" s="68"/>
      <c r="Q2787" s="68">
        <f>SUM(Devis[[#This Row],[Poste 1]:[Poste 6]])</f>
        <v>0</v>
      </c>
      <c r="R2787" s="71"/>
      <c r="S2787" s="68">
        <f>_xlfn.CEILING.MATH(Devis[[#This Row],[Quantité Totale]],Devis[[#This Row],[Conditionnement]])</f>
        <v>0</v>
      </c>
      <c r="T2787" s="72"/>
      <c r="U2787" s="73" t="s">
        <v>5408</v>
      </c>
      <c r="V2787" s="74">
        <f>Devis[[#This Row],[Prix de Revient]]*Devis[[#This Row],[Poste 1]]</f>
        <v>0</v>
      </c>
      <c r="W2787" s="74">
        <f>Devis[[#This Row],[Prix de Revient]]*Devis[[#This Row],[Poste 2]]</f>
        <v>0</v>
      </c>
      <c r="X2787" s="74">
        <f>Devis[[#This Row],[Prix de Revient]]*Devis[[#This Row],[Poste 3]]</f>
        <v>0</v>
      </c>
      <c r="Y2787" s="74">
        <f>Devis[[#This Row],[Poste 4]]*Devis[[#This Row],[Prix de Revient]]</f>
        <v>0</v>
      </c>
      <c r="Z2787" s="74">
        <f>Devis[[#This Row],[Poste 5]]*Devis[[#This Row],[Prix de Revient]]</f>
        <v>0</v>
      </c>
      <c r="AA2787" s="74">
        <f>Devis[[#This Row],[Prix de Revient]]*Devis[[#This Row],[Poste 6]]</f>
        <v>0</v>
      </c>
      <c r="AB2787" s="74">
        <f>Devis[[#This Row],[Quantité Totale]]*Devis[[#This Row],[Prix de Revient]]</f>
        <v>0</v>
      </c>
    </row>
    <row r="2788" spans="1:28" ht="14.25" outlineLevel="1" x14ac:dyDescent="0.2">
      <c r="A2788" s="75" t="s">
        <v>2617</v>
      </c>
      <c r="B2788" s="76" t="s">
        <v>5388</v>
      </c>
      <c r="C2788" s="76" t="s">
        <v>5388</v>
      </c>
      <c r="D2788" s="81" t="str">
        <f t="shared" si="47"/>
        <v>RaccordsCoupleur RapideCoupleur Rapide</v>
      </c>
      <c r="E2788" s="76" t="s">
        <v>5409</v>
      </c>
      <c r="F2788" s="76">
        <v>12</v>
      </c>
      <c r="G2788" s="71">
        <v>3101152</v>
      </c>
      <c r="H2788" s="71" t="s">
        <v>4047</v>
      </c>
      <c r="I2788" s="71">
        <v>103101152</v>
      </c>
      <c r="J2788" s="70">
        <f>IFERROR(VLOOKUP(Devis[[#This Row],[Ref Air Flux]],#REF!,3,FALSE),0)</f>
        <v>0</v>
      </c>
      <c r="K2788" s="68"/>
      <c r="L2788" s="68"/>
      <c r="M2788" s="68"/>
      <c r="N2788" s="68"/>
      <c r="O2788" s="68"/>
      <c r="P2788" s="68"/>
      <c r="Q2788" s="68">
        <f>SUM(Devis[[#This Row],[Poste 1]:[Poste 6]])</f>
        <v>0</v>
      </c>
      <c r="R2788" s="71"/>
      <c r="S2788" s="68">
        <f>_xlfn.CEILING.MATH(Devis[[#This Row],[Quantité Totale]],Devis[[#This Row],[Conditionnement]])</f>
        <v>0</v>
      </c>
      <c r="T2788" s="72"/>
      <c r="U2788" s="73" t="s">
        <v>5410</v>
      </c>
      <c r="V2788" s="74">
        <f>Devis[[#This Row],[Prix de Revient]]*Devis[[#This Row],[Poste 1]]</f>
        <v>0</v>
      </c>
      <c r="W2788" s="74">
        <f>Devis[[#This Row],[Prix de Revient]]*Devis[[#This Row],[Poste 2]]</f>
        <v>0</v>
      </c>
      <c r="X2788" s="74">
        <f>Devis[[#This Row],[Prix de Revient]]*Devis[[#This Row],[Poste 3]]</f>
        <v>0</v>
      </c>
      <c r="Y2788" s="74">
        <f>Devis[[#This Row],[Poste 4]]*Devis[[#This Row],[Prix de Revient]]</f>
        <v>0</v>
      </c>
      <c r="Z2788" s="74">
        <f>Devis[[#This Row],[Poste 5]]*Devis[[#This Row],[Prix de Revient]]</f>
        <v>0</v>
      </c>
      <c r="AA2788" s="74">
        <f>Devis[[#This Row],[Prix de Revient]]*Devis[[#This Row],[Poste 6]]</f>
        <v>0</v>
      </c>
      <c r="AB2788" s="74">
        <f>Devis[[#This Row],[Quantité Totale]]*Devis[[#This Row],[Prix de Revient]]</f>
        <v>0</v>
      </c>
    </row>
    <row r="2789" spans="1:28" ht="14.25" customHeight="1" outlineLevel="1" x14ac:dyDescent="0.2">
      <c r="A2789" s="75" t="s">
        <v>2617</v>
      </c>
      <c r="B2789" s="76" t="s">
        <v>5388</v>
      </c>
      <c r="C2789" s="76" t="s">
        <v>5388</v>
      </c>
      <c r="D2789" s="81" t="str">
        <f t="shared" si="47"/>
        <v>RaccordsCoupleur RapideCoupleur Rapide</v>
      </c>
      <c r="E2789" s="76" t="s">
        <v>5411</v>
      </c>
      <c r="F2789" s="76">
        <v>13</v>
      </c>
      <c r="G2789" s="71">
        <v>3101154</v>
      </c>
      <c r="H2789" s="71" t="s">
        <v>4047</v>
      </c>
      <c r="I2789" s="71">
        <v>103101154</v>
      </c>
      <c r="J2789" s="70">
        <f>IFERROR(VLOOKUP(Devis[[#This Row],[Ref Air Flux]],#REF!,3,FALSE),0)</f>
        <v>0</v>
      </c>
      <c r="K2789" s="68"/>
      <c r="L2789" s="68"/>
      <c r="M2789" s="68"/>
      <c r="N2789" s="68"/>
      <c r="O2789" s="68"/>
      <c r="P2789" s="68"/>
      <c r="Q2789" s="68">
        <f>SUM(Devis[[#This Row],[Poste 1]:[Poste 6]])</f>
        <v>0</v>
      </c>
      <c r="R2789" s="71"/>
      <c r="S2789" s="68">
        <f>_xlfn.CEILING.MATH(Devis[[#This Row],[Quantité Totale]],Devis[[#This Row],[Conditionnement]])</f>
        <v>0</v>
      </c>
      <c r="T2789" s="72"/>
      <c r="U2789" s="73" t="s">
        <v>5412</v>
      </c>
      <c r="V2789" s="74">
        <f>Devis[[#This Row],[Prix de Revient]]*Devis[[#This Row],[Poste 1]]</f>
        <v>0</v>
      </c>
      <c r="W2789" s="74">
        <f>Devis[[#This Row],[Prix de Revient]]*Devis[[#This Row],[Poste 2]]</f>
        <v>0</v>
      </c>
      <c r="X2789" s="74">
        <f>Devis[[#This Row],[Prix de Revient]]*Devis[[#This Row],[Poste 3]]</f>
        <v>0</v>
      </c>
      <c r="Y2789" s="74">
        <f>Devis[[#This Row],[Poste 4]]*Devis[[#This Row],[Prix de Revient]]</f>
        <v>0</v>
      </c>
      <c r="Z2789" s="74">
        <f>Devis[[#This Row],[Poste 5]]*Devis[[#This Row],[Prix de Revient]]</f>
        <v>0</v>
      </c>
      <c r="AA2789" s="74">
        <f>Devis[[#This Row],[Prix de Revient]]*Devis[[#This Row],[Poste 6]]</f>
        <v>0</v>
      </c>
      <c r="AB2789" s="74">
        <f>Devis[[#This Row],[Quantité Totale]]*Devis[[#This Row],[Prix de Revient]]</f>
        <v>0</v>
      </c>
    </row>
    <row r="2790" spans="1:28" ht="14.25" outlineLevel="1" x14ac:dyDescent="0.2">
      <c r="A2790" s="75" t="s">
        <v>2617</v>
      </c>
      <c r="B2790" s="76" t="s">
        <v>5388</v>
      </c>
      <c r="C2790" s="76" t="s">
        <v>5388</v>
      </c>
      <c r="D2790" s="81" t="str">
        <f t="shared" si="47"/>
        <v>RaccordsCoupleur RapideCoupleur Rapide</v>
      </c>
      <c r="E2790" s="76" t="s">
        <v>5413</v>
      </c>
      <c r="F2790" s="76">
        <v>14</v>
      </c>
      <c r="G2790" s="71" t="s">
        <v>5414</v>
      </c>
      <c r="H2790" s="71" t="s">
        <v>4047</v>
      </c>
      <c r="I2790" s="71">
        <v>103101155</v>
      </c>
      <c r="J2790" s="70">
        <f>IFERROR(VLOOKUP(Devis[[#This Row],[Ref Air Flux]],#REF!,3,FALSE),0)</f>
        <v>0</v>
      </c>
      <c r="K2790" s="68"/>
      <c r="L2790" s="68"/>
      <c r="M2790" s="68"/>
      <c r="N2790" s="68"/>
      <c r="O2790" s="68"/>
      <c r="P2790" s="68"/>
      <c r="Q2790" s="68">
        <f>SUM(Devis[[#This Row],[Poste 1]:[Poste 6]])</f>
        <v>0</v>
      </c>
      <c r="R2790" s="71"/>
      <c r="S2790" s="68">
        <f>_xlfn.CEILING.MATH(Devis[[#This Row],[Quantité Totale]],Devis[[#This Row],[Conditionnement]])</f>
        <v>0</v>
      </c>
      <c r="T2790" s="72"/>
      <c r="U2790" s="73"/>
      <c r="V2790" s="74">
        <f>Devis[[#This Row],[Prix de Revient]]*Devis[[#This Row],[Poste 1]]</f>
        <v>0</v>
      </c>
      <c r="W2790" s="74">
        <f>Devis[[#This Row],[Prix de Revient]]*Devis[[#This Row],[Poste 2]]</f>
        <v>0</v>
      </c>
      <c r="X2790" s="74">
        <f>Devis[[#This Row],[Prix de Revient]]*Devis[[#This Row],[Poste 3]]</f>
        <v>0</v>
      </c>
      <c r="Y2790" s="74">
        <f>Devis[[#This Row],[Poste 4]]*Devis[[#This Row],[Prix de Revient]]</f>
        <v>0</v>
      </c>
      <c r="Z2790" s="74">
        <f>Devis[[#This Row],[Poste 5]]*Devis[[#This Row],[Prix de Revient]]</f>
        <v>0</v>
      </c>
      <c r="AA2790" s="74">
        <f>Devis[[#This Row],[Prix de Revient]]*Devis[[#This Row],[Poste 6]]</f>
        <v>0</v>
      </c>
      <c r="AB2790" s="74">
        <f>Devis[[#This Row],[Quantité Totale]]*Devis[[#This Row],[Prix de Revient]]</f>
        <v>0</v>
      </c>
    </row>
    <row r="2791" spans="1:28" ht="14.25" outlineLevel="1" x14ac:dyDescent="0.2">
      <c r="A2791" s="75" t="s">
        <v>2617</v>
      </c>
      <c r="B2791" s="76" t="s">
        <v>5388</v>
      </c>
      <c r="C2791" s="76" t="s">
        <v>5388</v>
      </c>
      <c r="D2791" s="81" t="str">
        <f t="shared" si="47"/>
        <v>RaccordsCoupleur RapideCoupleur Rapide</v>
      </c>
      <c r="E2791" s="76" t="s">
        <v>5415</v>
      </c>
      <c r="F2791" s="76">
        <v>15</v>
      </c>
      <c r="G2791" s="71">
        <v>3101202</v>
      </c>
      <c r="H2791" s="71" t="s">
        <v>4047</v>
      </c>
      <c r="I2791" s="71">
        <v>103101202</v>
      </c>
      <c r="J2791" s="70">
        <f>IFERROR(VLOOKUP(Devis[[#This Row],[Ref Air Flux]],#REF!,3,FALSE),0)</f>
        <v>0</v>
      </c>
      <c r="K2791" s="68"/>
      <c r="L2791" s="68"/>
      <c r="M2791" s="68"/>
      <c r="N2791" s="68"/>
      <c r="O2791" s="68"/>
      <c r="P2791" s="68"/>
      <c r="Q2791" s="68">
        <f>SUM(Devis[[#This Row],[Poste 1]:[Poste 6]])</f>
        <v>0</v>
      </c>
      <c r="R2791" s="71"/>
      <c r="S2791" s="68">
        <f>_xlfn.CEILING.MATH(Devis[[#This Row],[Quantité Totale]],Devis[[#This Row],[Conditionnement]])</f>
        <v>0</v>
      </c>
      <c r="T2791" s="72"/>
      <c r="U2791" s="73" t="s">
        <v>5416</v>
      </c>
      <c r="V2791" s="74">
        <f>Devis[[#This Row],[Prix de Revient]]*Devis[[#This Row],[Poste 1]]</f>
        <v>0</v>
      </c>
      <c r="W2791" s="74">
        <f>Devis[[#This Row],[Prix de Revient]]*Devis[[#This Row],[Poste 2]]</f>
        <v>0</v>
      </c>
      <c r="X2791" s="74">
        <f>Devis[[#This Row],[Prix de Revient]]*Devis[[#This Row],[Poste 3]]</f>
        <v>0</v>
      </c>
      <c r="Y2791" s="74">
        <f>Devis[[#This Row],[Poste 4]]*Devis[[#This Row],[Prix de Revient]]</f>
        <v>0</v>
      </c>
      <c r="Z2791" s="74">
        <f>Devis[[#This Row],[Poste 5]]*Devis[[#This Row],[Prix de Revient]]</f>
        <v>0</v>
      </c>
      <c r="AA2791" s="74">
        <f>Devis[[#This Row],[Prix de Revient]]*Devis[[#This Row],[Poste 6]]</f>
        <v>0</v>
      </c>
      <c r="AB2791" s="74">
        <f>Devis[[#This Row],[Quantité Totale]]*Devis[[#This Row],[Prix de Revient]]</f>
        <v>0</v>
      </c>
    </row>
    <row r="2792" spans="1:28" ht="14.25" customHeight="1" outlineLevel="1" x14ac:dyDescent="0.2">
      <c r="A2792" s="75" t="s">
        <v>2617</v>
      </c>
      <c r="B2792" s="76" t="s">
        <v>5388</v>
      </c>
      <c r="C2792" s="76" t="s">
        <v>5388</v>
      </c>
      <c r="D2792" s="81" t="str">
        <f t="shared" si="47"/>
        <v>RaccordsCoupleur RapideCoupleur Rapide</v>
      </c>
      <c r="E2792" s="76" t="s">
        <v>5417</v>
      </c>
      <c r="F2792" s="76">
        <v>16</v>
      </c>
      <c r="G2792" s="71">
        <v>3101204</v>
      </c>
      <c r="H2792" s="71" t="s">
        <v>4047</v>
      </c>
      <c r="I2792" s="71">
        <v>103101204</v>
      </c>
      <c r="J2792" s="70">
        <f>IFERROR(VLOOKUP(Devis[[#This Row],[Ref Air Flux]],#REF!,3,FALSE),0)</f>
        <v>0</v>
      </c>
      <c r="K2792" s="68"/>
      <c r="L2792" s="68"/>
      <c r="M2792" s="68"/>
      <c r="N2792" s="68"/>
      <c r="O2792" s="68"/>
      <c r="P2792" s="68"/>
      <c r="Q2792" s="68">
        <f>SUM(Devis[[#This Row],[Poste 1]:[Poste 6]])</f>
        <v>0</v>
      </c>
      <c r="R2792" s="71"/>
      <c r="S2792" s="68">
        <f>_xlfn.CEILING.MATH(Devis[[#This Row],[Quantité Totale]],Devis[[#This Row],[Conditionnement]])</f>
        <v>0</v>
      </c>
      <c r="T2792" s="72"/>
      <c r="U2792" s="73" t="s">
        <v>5418</v>
      </c>
      <c r="V2792" s="74">
        <f>Devis[[#This Row],[Prix de Revient]]*Devis[[#This Row],[Poste 1]]</f>
        <v>0</v>
      </c>
      <c r="W2792" s="74">
        <f>Devis[[#This Row],[Prix de Revient]]*Devis[[#This Row],[Poste 2]]</f>
        <v>0</v>
      </c>
      <c r="X2792" s="74">
        <f>Devis[[#This Row],[Prix de Revient]]*Devis[[#This Row],[Poste 3]]</f>
        <v>0</v>
      </c>
      <c r="Y2792" s="74">
        <f>Devis[[#This Row],[Poste 4]]*Devis[[#This Row],[Prix de Revient]]</f>
        <v>0</v>
      </c>
      <c r="Z2792" s="74">
        <f>Devis[[#This Row],[Poste 5]]*Devis[[#This Row],[Prix de Revient]]</f>
        <v>0</v>
      </c>
      <c r="AA2792" s="74">
        <f>Devis[[#This Row],[Prix de Revient]]*Devis[[#This Row],[Poste 6]]</f>
        <v>0</v>
      </c>
      <c r="AB2792" s="74">
        <f>Devis[[#This Row],[Quantité Totale]]*Devis[[#This Row],[Prix de Revient]]</f>
        <v>0</v>
      </c>
    </row>
    <row r="2793" spans="1:28" ht="14.25" customHeight="1" outlineLevel="1" x14ac:dyDescent="0.2">
      <c r="A2793" s="75" t="s">
        <v>2617</v>
      </c>
      <c r="B2793" s="76" t="s">
        <v>5388</v>
      </c>
      <c r="C2793" s="76" t="s">
        <v>5388</v>
      </c>
      <c r="D2793" s="81" t="str">
        <f t="shared" si="47"/>
        <v>RaccordsCoupleur RapideCoupleur Rapide</v>
      </c>
      <c r="E2793" s="76" t="s">
        <v>5419</v>
      </c>
      <c r="F2793" s="76">
        <v>17</v>
      </c>
      <c r="G2793" s="71">
        <v>3101205</v>
      </c>
      <c r="H2793" s="71" t="s">
        <v>4047</v>
      </c>
      <c r="I2793" s="71">
        <v>103101205</v>
      </c>
      <c r="J2793" s="70">
        <f>IFERROR(VLOOKUP(Devis[[#This Row],[Ref Air Flux]],#REF!,3,FALSE),0)</f>
        <v>0</v>
      </c>
      <c r="K2793" s="68"/>
      <c r="L2793" s="68"/>
      <c r="M2793" s="68"/>
      <c r="N2793" s="68"/>
      <c r="O2793" s="68"/>
      <c r="P2793" s="68"/>
      <c r="Q2793" s="68">
        <f>SUM(Devis[[#This Row],[Poste 1]:[Poste 6]])</f>
        <v>0</v>
      </c>
      <c r="R2793" s="71"/>
      <c r="S2793" s="68">
        <f>_xlfn.CEILING.MATH(Devis[[#This Row],[Quantité Totale]],Devis[[#This Row],[Conditionnement]])</f>
        <v>0</v>
      </c>
      <c r="T2793" s="72"/>
      <c r="U2793" s="73" t="s">
        <v>5420</v>
      </c>
      <c r="V2793" s="74">
        <f>Devis[[#This Row],[Prix de Revient]]*Devis[[#This Row],[Poste 1]]</f>
        <v>0</v>
      </c>
      <c r="W2793" s="74">
        <f>Devis[[#This Row],[Prix de Revient]]*Devis[[#This Row],[Poste 2]]</f>
        <v>0</v>
      </c>
      <c r="X2793" s="74">
        <f>Devis[[#This Row],[Prix de Revient]]*Devis[[#This Row],[Poste 3]]</f>
        <v>0</v>
      </c>
      <c r="Y2793" s="74">
        <f>Devis[[#This Row],[Poste 4]]*Devis[[#This Row],[Prix de Revient]]</f>
        <v>0</v>
      </c>
      <c r="Z2793" s="74">
        <f>Devis[[#This Row],[Poste 5]]*Devis[[#This Row],[Prix de Revient]]</f>
        <v>0</v>
      </c>
      <c r="AA2793" s="74">
        <f>Devis[[#This Row],[Prix de Revient]]*Devis[[#This Row],[Poste 6]]</f>
        <v>0</v>
      </c>
      <c r="AB2793" s="74">
        <f>Devis[[#This Row],[Quantité Totale]]*Devis[[#This Row],[Prix de Revient]]</f>
        <v>0</v>
      </c>
    </row>
    <row r="2794" spans="1:28" ht="14.25" outlineLevel="1" x14ac:dyDescent="0.2">
      <c r="A2794" s="75" t="s">
        <v>2617</v>
      </c>
      <c r="B2794" s="76" t="s">
        <v>5388</v>
      </c>
      <c r="C2794" s="76" t="s">
        <v>5388</v>
      </c>
      <c r="D2794" s="81" t="str">
        <f t="shared" si="47"/>
        <v>RaccordsCoupleur RapideCoupleur Rapide</v>
      </c>
      <c r="E2794" s="76" t="s">
        <v>5421</v>
      </c>
      <c r="F2794" s="76">
        <v>18</v>
      </c>
      <c r="G2794" s="71" t="s">
        <v>5422</v>
      </c>
      <c r="H2794" s="71" t="s">
        <v>4047</v>
      </c>
      <c r="I2794" s="71">
        <v>103102003</v>
      </c>
      <c r="J2794" s="70">
        <f>IFERROR(VLOOKUP(Devis[[#This Row],[Ref Air Flux]],#REF!,3,FALSE),0)</f>
        <v>0</v>
      </c>
      <c r="K2794" s="68"/>
      <c r="L2794" s="68"/>
      <c r="M2794" s="68"/>
      <c r="N2794" s="68"/>
      <c r="O2794" s="68"/>
      <c r="P2794" s="68"/>
      <c r="Q2794" s="68">
        <f>SUM(Devis[[#This Row],[Poste 1]:[Poste 6]])</f>
        <v>0</v>
      </c>
      <c r="R2794" s="71"/>
      <c r="S2794" s="68">
        <f>_xlfn.CEILING.MATH(Devis[[#This Row],[Quantité Totale]],Devis[[#This Row],[Conditionnement]])</f>
        <v>0</v>
      </c>
      <c r="T2794" s="72"/>
      <c r="U2794" s="73"/>
      <c r="V2794" s="74">
        <f>Devis[[#This Row],[Prix de Revient]]*Devis[[#This Row],[Poste 1]]</f>
        <v>0</v>
      </c>
      <c r="W2794" s="74">
        <f>Devis[[#This Row],[Prix de Revient]]*Devis[[#This Row],[Poste 2]]</f>
        <v>0</v>
      </c>
      <c r="X2794" s="74">
        <f>Devis[[#This Row],[Prix de Revient]]*Devis[[#This Row],[Poste 3]]</f>
        <v>0</v>
      </c>
      <c r="Y2794" s="74">
        <f>Devis[[#This Row],[Poste 4]]*Devis[[#This Row],[Prix de Revient]]</f>
        <v>0</v>
      </c>
      <c r="Z2794" s="74">
        <f>Devis[[#This Row],[Poste 5]]*Devis[[#This Row],[Prix de Revient]]</f>
        <v>0</v>
      </c>
      <c r="AA2794" s="74">
        <f>Devis[[#This Row],[Prix de Revient]]*Devis[[#This Row],[Poste 6]]</f>
        <v>0</v>
      </c>
      <c r="AB2794" s="74">
        <f>Devis[[#This Row],[Quantité Totale]]*Devis[[#This Row],[Prix de Revient]]</f>
        <v>0</v>
      </c>
    </row>
    <row r="2795" spans="1:28" ht="14.25" outlineLevel="1" x14ac:dyDescent="0.2">
      <c r="A2795" s="75" t="s">
        <v>2617</v>
      </c>
      <c r="B2795" s="76" t="s">
        <v>5388</v>
      </c>
      <c r="C2795" s="76" t="s">
        <v>5388</v>
      </c>
      <c r="D2795" s="81" t="str">
        <f t="shared" si="47"/>
        <v>RaccordsCoupleur RapideCoupleur Rapide</v>
      </c>
      <c r="E2795" s="76" t="s">
        <v>5423</v>
      </c>
      <c r="F2795" s="76">
        <v>19</v>
      </c>
      <c r="G2795" s="71">
        <v>3102005</v>
      </c>
      <c r="H2795" s="71" t="s">
        <v>4047</v>
      </c>
      <c r="I2795" s="71">
        <v>103102005</v>
      </c>
      <c r="J2795" s="70">
        <f>IFERROR(VLOOKUP(Devis[[#This Row],[Ref Air Flux]],#REF!,3,FALSE),0)</f>
        <v>0</v>
      </c>
      <c r="K2795" s="68"/>
      <c r="L2795" s="68"/>
      <c r="M2795" s="68"/>
      <c r="N2795" s="68"/>
      <c r="O2795" s="68"/>
      <c r="P2795" s="68"/>
      <c r="Q2795" s="68">
        <f>SUM(Devis[[#This Row],[Poste 1]:[Poste 6]])</f>
        <v>0</v>
      </c>
      <c r="R2795" s="71"/>
      <c r="S2795" s="68">
        <f>_xlfn.CEILING.MATH(Devis[[#This Row],[Quantité Totale]],Devis[[#This Row],[Conditionnement]])</f>
        <v>0</v>
      </c>
      <c r="T2795" s="72"/>
      <c r="U2795" s="73"/>
      <c r="V2795" s="74">
        <f>Devis[[#This Row],[Prix de Revient]]*Devis[[#This Row],[Poste 1]]</f>
        <v>0</v>
      </c>
      <c r="W2795" s="74">
        <f>Devis[[#This Row],[Prix de Revient]]*Devis[[#This Row],[Poste 2]]</f>
        <v>0</v>
      </c>
      <c r="X2795" s="74">
        <f>Devis[[#This Row],[Prix de Revient]]*Devis[[#This Row],[Poste 3]]</f>
        <v>0</v>
      </c>
      <c r="Y2795" s="74">
        <f>Devis[[#This Row],[Poste 4]]*Devis[[#This Row],[Prix de Revient]]</f>
        <v>0</v>
      </c>
      <c r="Z2795" s="74">
        <f>Devis[[#This Row],[Poste 5]]*Devis[[#This Row],[Prix de Revient]]</f>
        <v>0</v>
      </c>
      <c r="AA2795" s="74">
        <f>Devis[[#This Row],[Prix de Revient]]*Devis[[#This Row],[Poste 6]]</f>
        <v>0</v>
      </c>
      <c r="AB2795" s="74">
        <f>Devis[[#This Row],[Quantité Totale]]*Devis[[#This Row],[Prix de Revient]]</f>
        <v>0</v>
      </c>
    </row>
    <row r="2796" spans="1:28" ht="14.25" outlineLevel="1" x14ac:dyDescent="0.2">
      <c r="A2796" s="75" t="s">
        <v>2617</v>
      </c>
      <c r="B2796" s="76" t="s">
        <v>5388</v>
      </c>
      <c r="C2796" s="76" t="s">
        <v>5388</v>
      </c>
      <c r="D2796" s="81" t="str">
        <f t="shared" si="47"/>
        <v>RaccordsCoupleur RapideCoupleur Rapide</v>
      </c>
      <c r="E2796" s="76" t="s">
        <v>5424</v>
      </c>
      <c r="F2796" s="76">
        <v>20</v>
      </c>
      <c r="G2796" s="71">
        <v>3103154</v>
      </c>
      <c r="H2796" s="71" t="s">
        <v>4047</v>
      </c>
      <c r="I2796" s="71">
        <v>103102154</v>
      </c>
      <c r="J2796" s="70">
        <f>IFERROR(VLOOKUP(Devis[[#This Row],[Ref Air Flux]],#REF!,3,FALSE),0)</f>
        <v>0</v>
      </c>
      <c r="K2796" s="68"/>
      <c r="L2796" s="68"/>
      <c r="M2796" s="68"/>
      <c r="N2796" s="68"/>
      <c r="O2796" s="68"/>
      <c r="P2796" s="68"/>
      <c r="Q2796" s="68">
        <f>SUM(Devis[[#This Row],[Poste 1]:[Poste 6]])</f>
        <v>0</v>
      </c>
      <c r="R2796" s="71"/>
      <c r="S2796" s="68">
        <f>_xlfn.CEILING.MATH(Devis[[#This Row],[Quantité Totale]],Devis[[#This Row],[Conditionnement]])</f>
        <v>0</v>
      </c>
      <c r="T2796" s="72"/>
      <c r="U2796" s="73"/>
      <c r="V2796" s="74">
        <f>Devis[[#This Row],[Prix de Revient]]*Devis[[#This Row],[Poste 1]]</f>
        <v>0</v>
      </c>
      <c r="W2796" s="74">
        <f>Devis[[#This Row],[Prix de Revient]]*Devis[[#This Row],[Poste 2]]</f>
        <v>0</v>
      </c>
      <c r="X2796" s="74">
        <f>Devis[[#This Row],[Prix de Revient]]*Devis[[#This Row],[Poste 3]]</f>
        <v>0</v>
      </c>
      <c r="Y2796" s="74">
        <f>Devis[[#This Row],[Poste 4]]*Devis[[#This Row],[Prix de Revient]]</f>
        <v>0</v>
      </c>
      <c r="Z2796" s="74">
        <f>Devis[[#This Row],[Poste 5]]*Devis[[#This Row],[Prix de Revient]]</f>
        <v>0</v>
      </c>
      <c r="AA2796" s="74">
        <f>Devis[[#This Row],[Prix de Revient]]*Devis[[#This Row],[Poste 6]]</f>
        <v>0</v>
      </c>
      <c r="AB2796" s="74">
        <f>Devis[[#This Row],[Quantité Totale]]*Devis[[#This Row],[Prix de Revient]]</f>
        <v>0</v>
      </c>
    </row>
    <row r="2797" spans="1:28" ht="15" customHeight="1" outlineLevel="1" x14ac:dyDescent="0.2">
      <c r="A2797" s="75" t="s">
        <v>2617</v>
      </c>
      <c r="B2797" s="76" t="s">
        <v>5388</v>
      </c>
      <c r="C2797" s="76" t="s">
        <v>5388</v>
      </c>
      <c r="D2797" s="81" t="str">
        <f t="shared" si="47"/>
        <v>RaccordsCoupleur RapideCoupleur Rapide</v>
      </c>
      <c r="E2797" s="76" t="s">
        <v>5425</v>
      </c>
      <c r="F2797" s="76">
        <v>21</v>
      </c>
      <c r="G2797" s="71">
        <v>3102155</v>
      </c>
      <c r="H2797" s="71" t="s">
        <v>4047</v>
      </c>
      <c r="I2797" s="71">
        <v>103102155</v>
      </c>
      <c r="J2797" s="70">
        <f>IFERROR(VLOOKUP(Devis[[#This Row],[Ref Air Flux]],#REF!,3,FALSE),0)</f>
        <v>0</v>
      </c>
      <c r="K2797" s="68"/>
      <c r="L2797" s="68"/>
      <c r="M2797" s="68"/>
      <c r="N2797" s="68"/>
      <c r="O2797" s="68"/>
      <c r="P2797" s="68"/>
      <c r="Q2797" s="68">
        <f>SUM(Devis[[#This Row],[Poste 1]:[Poste 6]])</f>
        <v>0</v>
      </c>
      <c r="R2797" s="71"/>
      <c r="S2797" s="68">
        <f>_xlfn.CEILING.MATH(Devis[[#This Row],[Quantité Totale]],Devis[[#This Row],[Conditionnement]])</f>
        <v>0</v>
      </c>
      <c r="T2797" s="72"/>
      <c r="U2797" s="73"/>
      <c r="V2797" s="74">
        <f>Devis[[#This Row],[Prix de Revient]]*Devis[[#This Row],[Poste 1]]</f>
        <v>0</v>
      </c>
      <c r="W2797" s="74">
        <f>Devis[[#This Row],[Prix de Revient]]*Devis[[#This Row],[Poste 2]]</f>
        <v>0</v>
      </c>
      <c r="X2797" s="74">
        <f>Devis[[#This Row],[Prix de Revient]]*Devis[[#This Row],[Poste 3]]</f>
        <v>0</v>
      </c>
      <c r="Y2797" s="74">
        <f>Devis[[#This Row],[Poste 4]]*Devis[[#This Row],[Prix de Revient]]</f>
        <v>0</v>
      </c>
      <c r="Z2797" s="74">
        <f>Devis[[#This Row],[Poste 5]]*Devis[[#This Row],[Prix de Revient]]</f>
        <v>0</v>
      </c>
      <c r="AA2797" s="74">
        <f>Devis[[#This Row],[Prix de Revient]]*Devis[[#This Row],[Poste 6]]</f>
        <v>0</v>
      </c>
      <c r="AB2797" s="74">
        <f>Devis[[#This Row],[Quantité Totale]]*Devis[[#This Row],[Prix de Revient]]</f>
        <v>0</v>
      </c>
    </row>
    <row r="2798" spans="1:28" ht="14.25" outlineLevel="1" x14ac:dyDescent="0.2">
      <c r="A2798" s="75" t="s">
        <v>2617</v>
      </c>
      <c r="B2798" s="76" t="s">
        <v>5388</v>
      </c>
      <c r="C2798" s="76" t="s">
        <v>5388</v>
      </c>
      <c r="D2798" s="81" t="str">
        <f t="shared" si="47"/>
        <v>RaccordsCoupleur RapideCoupleur Rapide</v>
      </c>
      <c r="E2798" s="76" t="s">
        <v>5426</v>
      </c>
      <c r="F2798" s="76">
        <v>22</v>
      </c>
      <c r="G2798" s="71">
        <v>3102202</v>
      </c>
      <c r="H2798" s="71" t="s">
        <v>4047</v>
      </c>
      <c r="I2798" s="71">
        <v>103102202</v>
      </c>
      <c r="J2798" s="70">
        <f>IFERROR(VLOOKUP(Devis[[#This Row],[Ref Air Flux]],#REF!,3,FALSE),0)</f>
        <v>0</v>
      </c>
      <c r="K2798" s="68"/>
      <c r="L2798" s="68"/>
      <c r="M2798" s="68"/>
      <c r="N2798" s="68"/>
      <c r="O2798" s="68"/>
      <c r="P2798" s="68"/>
      <c r="Q2798" s="68">
        <f>SUM(Devis[[#This Row],[Poste 1]:[Poste 6]])</f>
        <v>0</v>
      </c>
      <c r="R2798" s="71"/>
      <c r="S2798" s="68">
        <f>_xlfn.CEILING.MATH(Devis[[#This Row],[Quantité Totale]],Devis[[#This Row],[Conditionnement]])</f>
        <v>0</v>
      </c>
      <c r="T2798" s="72"/>
      <c r="U2798" s="73"/>
      <c r="V2798" s="74">
        <f>Devis[[#This Row],[Prix de Revient]]*Devis[[#This Row],[Poste 1]]</f>
        <v>0</v>
      </c>
      <c r="W2798" s="74">
        <f>Devis[[#This Row],[Prix de Revient]]*Devis[[#This Row],[Poste 2]]</f>
        <v>0</v>
      </c>
      <c r="X2798" s="74">
        <f>Devis[[#This Row],[Prix de Revient]]*Devis[[#This Row],[Poste 3]]</f>
        <v>0</v>
      </c>
      <c r="Y2798" s="74">
        <f>Devis[[#This Row],[Poste 4]]*Devis[[#This Row],[Prix de Revient]]</f>
        <v>0</v>
      </c>
      <c r="Z2798" s="74">
        <f>Devis[[#This Row],[Poste 5]]*Devis[[#This Row],[Prix de Revient]]</f>
        <v>0</v>
      </c>
      <c r="AA2798" s="74">
        <f>Devis[[#This Row],[Prix de Revient]]*Devis[[#This Row],[Poste 6]]</f>
        <v>0</v>
      </c>
      <c r="AB2798" s="74">
        <f>Devis[[#This Row],[Quantité Totale]]*Devis[[#This Row],[Prix de Revient]]</f>
        <v>0</v>
      </c>
    </row>
    <row r="2799" spans="1:28" ht="14.25" outlineLevel="1" x14ac:dyDescent="0.2">
      <c r="A2799" s="75" t="s">
        <v>2617</v>
      </c>
      <c r="B2799" s="76" t="s">
        <v>5388</v>
      </c>
      <c r="C2799" s="76" t="s">
        <v>5388</v>
      </c>
      <c r="D2799" s="81" t="str">
        <f t="shared" si="47"/>
        <v>RaccordsCoupleur RapideCoupleur Rapide</v>
      </c>
      <c r="E2799" s="76" t="s">
        <v>5427</v>
      </c>
      <c r="F2799" s="76">
        <v>23</v>
      </c>
      <c r="G2799" s="71">
        <v>3102204</v>
      </c>
      <c r="H2799" s="71" t="s">
        <v>4047</v>
      </c>
      <c r="I2799" s="71">
        <v>103102204</v>
      </c>
      <c r="J2799" s="70">
        <f>IFERROR(VLOOKUP(Devis[[#This Row],[Ref Air Flux]],#REF!,3,FALSE),0)</f>
        <v>0</v>
      </c>
      <c r="K2799" s="68"/>
      <c r="L2799" s="68"/>
      <c r="M2799" s="68"/>
      <c r="N2799" s="68"/>
      <c r="O2799" s="68"/>
      <c r="P2799" s="68"/>
      <c r="Q2799" s="68">
        <f>SUM(Devis[[#This Row],[Poste 1]:[Poste 6]])</f>
        <v>0</v>
      </c>
      <c r="R2799" s="71"/>
      <c r="S2799" s="68">
        <f>_xlfn.CEILING.MATH(Devis[[#This Row],[Quantité Totale]],Devis[[#This Row],[Conditionnement]])</f>
        <v>0</v>
      </c>
      <c r="T2799" s="72"/>
      <c r="U2799" s="73"/>
      <c r="V2799" s="74">
        <f>Devis[[#This Row],[Prix de Revient]]*Devis[[#This Row],[Poste 1]]</f>
        <v>0</v>
      </c>
      <c r="W2799" s="74">
        <f>Devis[[#This Row],[Prix de Revient]]*Devis[[#This Row],[Poste 2]]</f>
        <v>0</v>
      </c>
      <c r="X2799" s="74">
        <f>Devis[[#This Row],[Prix de Revient]]*Devis[[#This Row],[Poste 3]]</f>
        <v>0</v>
      </c>
      <c r="Y2799" s="74">
        <f>Devis[[#This Row],[Poste 4]]*Devis[[#This Row],[Prix de Revient]]</f>
        <v>0</v>
      </c>
      <c r="Z2799" s="74">
        <f>Devis[[#This Row],[Poste 5]]*Devis[[#This Row],[Prix de Revient]]</f>
        <v>0</v>
      </c>
      <c r="AA2799" s="74">
        <f>Devis[[#This Row],[Prix de Revient]]*Devis[[#This Row],[Poste 6]]</f>
        <v>0</v>
      </c>
      <c r="AB2799" s="74">
        <f>Devis[[#This Row],[Quantité Totale]]*Devis[[#This Row],[Prix de Revient]]</f>
        <v>0</v>
      </c>
    </row>
    <row r="2800" spans="1:28" ht="15" customHeight="1" outlineLevel="1" x14ac:dyDescent="0.2">
      <c r="A2800" s="75" t="s">
        <v>2617</v>
      </c>
      <c r="B2800" s="76" t="s">
        <v>5388</v>
      </c>
      <c r="C2800" s="76" t="s">
        <v>5388</v>
      </c>
      <c r="D2800" s="81" t="str">
        <f t="shared" ref="D2800:D2863" si="48">A2800&amp;B2800&amp;C2800</f>
        <v>RaccordsCoupleur RapideCoupleur Rapide</v>
      </c>
      <c r="E2800" s="76" t="s">
        <v>5428</v>
      </c>
      <c r="F2800" s="76">
        <v>24</v>
      </c>
      <c r="G2800" s="71">
        <v>3102205</v>
      </c>
      <c r="H2800" s="71" t="s">
        <v>4047</v>
      </c>
      <c r="I2800" s="71">
        <v>103102205</v>
      </c>
      <c r="J2800" s="70">
        <f>IFERROR(VLOOKUP(Devis[[#This Row],[Ref Air Flux]],#REF!,3,FALSE),0)</f>
        <v>0</v>
      </c>
      <c r="K2800" s="68"/>
      <c r="L2800" s="68"/>
      <c r="M2800" s="68"/>
      <c r="N2800" s="68"/>
      <c r="O2800" s="68"/>
      <c r="P2800" s="68"/>
      <c r="Q2800" s="68">
        <f>SUM(Devis[[#This Row],[Poste 1]:[Poste 6]])</f>
        <v>0</v>
      </c>
      <c r="R2800" s="71"/>
      <c r="S2800" s="68">
        <f>_xlfn.CEILING.MATH(Devis[[#This Row],[Quantité Totale]],Devis[[#This Row],[Conditionnement]])</f>
        <v>0</v>
      </c>
      <c r="T2800" s="72"/>
      <c r="U2800" s="73"/>
      <c r="V2800" s="74">
        <f>Devis[[#This Row],[Prix de Revient]]*Devis[[#This Row],[Poste 1]]</f>
        <v>0</v>
      </c>
      <c r="W2800" s="74">
        <f>Devis[[#This Row],[Prix de Revient]]*Devis[[#This Row],[Poste 2]]</f>
        <v>0</v>
      </c>
      <c r="X2800" s="74">
        <f>Devis[[#This Row],[Prix de Revient]]*Devis[[#This Row],[Poste 3]]</f>
        <v>0</v>
      </c>
      <c r="Y2800" s="74">
        <f>Devis[[#This Row],[Poste 4]]*Devis[[#This Row],[Prix de Revient]]</f>
        <v>0</v>
      </c>
      <c r="Z2800" s="74">
        <f>Devis[[#This Row],[Poste 5]]*Devis[[#This Row],[Prix de Revient]]</f>
        <v>0</v>
      </c>
      <c r="AA2800" s="74">
        <f>Devis[[#This Row],[Prix de Revient]]*Devis[[#This Row],[Poste 6]]</f>
        <v>0</v>
      </c>
      <c r="AB2800" s="74">
        <f>Devis[[#This Row],[Quantité Totale]]*Devis[[#This Row],[Prix de Revient]]</f>
        <v>0</v>
      </c>
    </row>
    <row r="2801" spans="1:28" ht="14.25" outlineLevel="1" x14ac:dyDescent="0.2">
      <c r="A2801" s="75" t="s">
        <v>2617</v>
      </c>
      <c r="B2801" s="76" t="s">
        <v>5388</v>
      </c>
      <c r="C2801" s="76" t="s">
        <v>5388</v>
      </c>
      <c r="D2801" s="81" t="str">
        <f t="shared" si="48"/>
        <v>RaccordsCoupleur RapideCoupleur Rapide</v>
      </c>
      <c r="E2801" s="76" t="s">
        <v>5429</v>
      </c>
      <c r="F2801" s="76">
        <v>25</v>
      </c>
      <c r="G2801" s="71">
        <v>3105002</v>
      </c>
      <c r="H2801" s="71" t="s">
        <v>4047</v>
      </c>
      <c r="I2801" s="71">
        <v>103105002</v>
      </c>
      <c r="J2801" s="70">
        <f>IFERROR(VLOOKUP(Devis[[#This Row],[Ref Air Flux]],#REF!,3,FALSE),0)</f>
        <v>0</v>
      </c>
      <c r="K2801" s="68"/>
      <c r="L2801" s="68"/>
      <c r="M2801" s="68"/>
      <c r="N2801" s="68"/>
      <c r="O2801" s="68"/>
      <c r="P2801" s="68"/>
      <c r="Q2801" s="68">
        <f>SUM(Devis[[#This Row],[Poste 1]:[Poste 6]])</f>
        <v>0</v>
      </c>
      <c r="R2801" s="71"/>
      <c r="S2801" s="68">
        <f>_xlfn.CEILING.MATH(Devis[[#This Row],[Quantité Totale]],Devis[[#This Row],[Conditionnement]])</f>
        <v>0</v>
      </c>
      <c r="T2801" s="72"/>
      <c r="U2801" s="73" t="s">
        <v>5430</v>
      </c>
      <c r="V2801" s="74">
        <f>Devis[[#This Row],[Prix de Revient]]*Devis[[#This Row],[Poste 1]]</f>
        <v>0</v>
      </c>
      <c r="W2801" s="74">
        <f>Devis[[#This Row],[Prix de Revient]]*Devis[[#This Row],[Poste 2]]</f>
        <v>0</v>
      </c>
      <c r="X2801" s="74">
        <f>Devis[[#This Row],[Prix de Revient]]*Devis[[#This Row],[Poste 3]]</f>
        <v>0</v>
      </c>
      <c r="Y2801" s="74">
        <f>Devis[[#This Row],[Poste 4]]*Devis[[#This Row],[Prix de Revient]]</f>
        <v>0</v>
      </c>
      <c r="Z2801" s="74">
        <f>Devis[[#This Row],[Poste 5]]*Devis[[#This Row],[Prix de Revient]]</f>
        <v>0</v>
      </c>
      <c r="AA2801" s="74">
        <f>Devis[[#This Row],[Prix de Revient]]*Devis[[#This Row],[Poste 6]]</f>
        <v>0</v>
      </c>
      <c r="AB2801" s="74">
        <f>Devis[[#This Row],[Quantité Totale]]*Devis[[#This Row],[Prix de Revient]]</f>
        <v>0</v>
      </c>
    </row>
    <row r="2802" spans="1:28" ht="14.25" outlineLevel="1" x14ac:dyDescent="0.2">
      <c r="A2802" s="75" t="s">
        <v>2617</v>
      </c>
      <c r="B2802" s="76" t="s">
        <v>5388</v>
      </c>
      <c r="C2802" s="76" t="s">
        <v>5388</v>
      </c>
      <c r="D2802" s="81" t="str">
        <f t="shared" si="48"/>
        <v>RaccordsCoupleur RapideCoupleur Rapide</v>
      </c>
      <c r="E2802" s="76" t="s">
        <v>5431</v>
      </c>
      <c r="F2802" s="76">
        <v>26</v>
      </c>
      <c r="G2802" s="71">
        <v>3105003</v>
      </c>
      <c r="H2802" s="71" t="s">
        <v>4047</v>
      </c>
      <c r="I2802" s="71">
        <v>103105003</v>
      </c>
      <c r="J2802" s="70">
        <f>IFERROR(VLOOKUP(Devis[[#This Row],[Ref Air Flux]],#REF!,3,FALSE),0)</f>
        <v>0</v>
      </c>
      <c r="K2802" s="68"/>
      <c r="L2802" s="68"/>
      <c r="M2802" s="68"/>
      <c r="N2802" s="68"/>
      <c r="O2802" s="68"/>
      <c r="P2802" s="68"/>
      <c r="Q2802" s="68">
        <f>SUM(Devis[[#This Row],[Poste 1]:[Poste 6]])</f>
        <v>0</v>
      </c>
      <c r="R2802" s="71"/>
      <c r="S2802" s="68">
        <f>_xlfn.CEILING.MATH(Devis[[#This Row],[Quantité Totale]],Devis[[#This Row],[Conditionnement]])</f>
        <v>0</v>
      </c>
      <c r="T2802" s="72"/>
      <c r="U2802" s="73" t="s">
        <v>5432</v>
      </c>
      <c r="V2802" s="74">
        <f>Devis[[#This Row],[Prix de Revient]]*Devis[[#This Row],[Poste 1]]</f>
        <v>0</v>
      </c>
      <c r="W2802" s="74">
        <f>Devis[[#This Row],[Prix de Revient]]*Devis[[#This Row],[Poste 2]]</f>
        <v>0</v>
      </c>
      <c r="X2802" s="74">
        <f>Devis[[#This Row],[Prix de Revient]]*Devis[[#This Row],[Poste 3]]</f>
        <v>0</v>
      </c>
      <c r="Y2802" s="74">
        <f>Devis[[#This Row],[Poste 4]]*Devis[[#This Row],[Prix de Revient]]</f>
        <v>0</v>
      </c>
      <c r="Z2802" s="74">
        <f>Devis[[#This Row],[Poste 5]]*Devis[[#This Row],[Prix de Revient]]</f>
        <v>0</v>
      </c>
      <c r="AA2802" s="74">
        <f>Devis[[#This Row],[Prix de Revient]]*Devis[[#This Row],[Poste 6]]</f>
        <v>0</v>
      </c>
      <c r="AB2802" s="74">
        <f>Devis[[#This Row],[Quantité Totale]]*Devis[[#This Row],[Prix de Revient]]</f>
        <v>0</v>
      </c>
    </row>
    <row r="2803" spans="1:28" ht="14.25" outlineLevel="1" x14ac:dyDescent="0.2">
      <c r="A2803" s="75" t="s">
        <v>2617</v>
      </c>
      <c r="B2803" s="76" t="s">
        <v>5388</v>
      </c>
      <c r="C2803" s="76" t="s">
        <v>5388</v>
      </c>
      <c r="D2803" s="81" t="str">
        <f t="shared" si="48"/>
        <v>RaccordsCoupleur RapideCoupleur Rapide</v>
      </c>
      <c r="E2803" s="76" t="s">
        <v>5433</v>
      </c>
      <c r="F2803" s="76">
        <v>27</v>
      </c>
      <c r="G2803" s="71">
        <v>3105004</v>
      </c>
      <c r="H2803" s="71" t="s">
        <v>4047</v>
      </c>
      <c r="I2803" s="71">
        <v>103105004</v>
      </c>
      <c r="J2803" s="70">
        <f>IFERROR(VLOOKUP(Devis[[#This Row],[Ref Air Flux]],#REF!,3,FALSE),0)</f>
        <v>0</v>
      </c>
      <c r="K2803" s="68"/>
      <c r="L2803" s="68"/>
      <c r="M2803" s="68"/>
      <c r="N2803" s="68"/>
      <c r="O2803" s="68"/>
      <c r="P2803" s="68"/>
      <c r="Q2803" s="68">
        <f>SUM(Devis[[#This Row],[Poste 1]:[Poste 6]])</f>
        <v>0</v>
      </c>
      <c r="R2803" s="71"/>
      <c r="S2803" s="68">
        <f>_xlfn.CEILING.MATH(Devis[[#This Row],[Quantité Totale]],Devis[[#This Row],[Conditionnement]])</f>
        <v>0</v>
      </c>
      <c r="T2803" s="72"/>
      <c r="U2803" s="73" t="s">
        <v>5434</v>
      </c>
      <c r="V2803" s="74">
        <f>Devis[[#This Row],[Prix de Revient]]*Devis[[#This Row],[Poste 1]]</f>
        <v>0</v>
      </c>
      <c r="W2803" s="74">
        <f>Devis[[#This Row],[Prix de Revient]]*Devis[[#This Row],[Poste 2]]</f>
        <v>0</v>
      </c>
      <c r="X2803" s="74">
        <f>Devis[[#This Row],[Prix de Revient]]*Devis[[#This Row],[Poste 3]]</f>
        <v>0</v>
      </c>
      <c r="Y2803" s="74">
        <f>Devis[[#This Row],[Poste 4]]*Devis[[#This Row],[Prix de Revient]]</f>
        <v>0</v>
      </c>
      <c r="Z2803" s="74">
        <f>Devis[[#This Row],[Poste 5]]*Devis[[#This Row],[Prix de Revient]]</f>
        <v>0</v>
      </c>
      <c r="AA2803" s="74">
        <f>Devis[[#This Row],[Prix de Revient]]*Devis[[#This Row],[Poste 6]]</f>
        <v>0</v>
      </c>
      <c r="AB2803" s="74">
        <f>Devis[[#This Row],[Quantité Totale]]*Devis[[#This Row],[Prix de Revient]]</f>
        <v>0</v>
      </c>
    </row>
    <row r="2804" spans="1:28" ht="14.25" customHeight="1" outlineLevel="1" x14ac:dyDescent="0.2">
      <c r="A2804" s="75" t="s">
        <v>2617</v>
      </c>
      <c r="B2804" s="76" t="s">
        <v>5388</v>
      </c>
      <c r="C2804" s="76" t="s">
        <v>5388</v>
      </c>
      <c r="D2804" s="81" t="str">
        <f t="shared" si="48"/>
        <v>RaccordsCoupleur RapideCoupleur Rapide</v>
      </c>
      <c r="E2804" s="76" t="s">
        <v>5435</v>
      </c>
      <c r="F2804" s="76">
        <v>28</v>
      </c>
      <c r="G2804" s="71">
        <v>3105005</v>
      </c>
      <c r="H2804" s="71" t="s">
        <v>4047</v>
      </c>
      <c r="I2804" s="71">
        <v>103105005</v>
      </c>
      <c r="J2804" s="70">
        <f>IFERROR(VLOOKUP(Devis[[#This Row],[Ref Air Flux]],#REF!,3,FALSE),0)</f>
        <v>0</v>
      </c>
      <c r="K2804" s="68"/>
      <c r="L2804" s="68"/>
      <c r="M2804" s="68"/>
      <c r="N2804" s="68"/>
      <c r="O2804" s="68"/>
      <c r="P2804" s="68"/>
      <c r="Q2804" s="68">
        <f>SUM(Devis[[#This Row],[Poste 1]:[Poste 6]])</f>
        <v>0</v>
      </c>
      <c r="R2804" s="71"/>
      <c r="S2804" s="68">
        <f>_xlfn.CEILING.MATH(Devis[[#This Row],[Quantité Totale]],Devis[[#This Row],[Conditionnement]])</f>
        <v>0</v>
      </c>
      <c r="T2804" s="72"/>
      <c r="U2804" s="73"/>
      <c r="V2804" s="74">
        <f>Devis[[#This Row],[Prix de Revient]]*Devis[[#This Row],[Poste 1]]</f>
        <v>0</v>
      </c>
      <c r="W2804" s="74">
        <f>Devis[[#This Row],[Prix de Revient]]*Devis[[#This Row],[Poste 2]]</f>
        <v>0</v>
      </c>
      <c r="X2804" s="74">
        <f>Devis[[#This Row],[Prix de Revient]]*Devis[[#This Row],[Poste 3]]</f>
        <v>0</v>
      </c>
      <c r="Y2804" s="74">
        <f>Devis[[#This Row],[Poste 4]]*Devis[[#This Row],[Prix de Revient]]</f>
        <v>0</v>
      </c>
      <c r="Z2804" s="74">
        <f>Devis[[#This Row],[Poste 5]]*Devis[[#This Row],[Prix de Revient]]</f>
        <v>0</v>
      </c>
      <c r="AA2804" s="74">
        <f>Devis[[#This Row],[Prix de Revient]]*Devis[[#This Row],[Poste 6]]</f>
        <v>0</v>
      </c>
      <c r="AB2804" s="74">
        <f>Devis[[#This Row],[Quantité Totale]]*Devis[[#This Row],[Prix de Revient]]</f>
        <v>0</v>
      </c>
    </row>
    <row r="2805" spans="1:28" ht="14.25" outlineLevel="1" x14ac:dyDescent="0.2">
      <c r="A2805" s="75" t="s">
        <v>2617</v>
      </c>
      <c r="B2805" s="76" t="s">
        <v>5388</v>
      </c>
      <c r="C2805" s="76" t="s">
        <v>5388</v>
      </c>
      <c r="D2805" s="81" t="str">
        <f t="shared" si="48"/>
        <v>RaccordsCoupleur RapideCoupleur Rapide</v>
      </c>
      <c r="E2805" s="76" t="s">
        <v>5436</v>
      </c>
      <c r="F2805" s="76">
        <v>29</v>
      </c>
      <c r="G2805" s="71">
        <v>3105151</v>
      </c>
      <c r="H2805" s="71" t="s">
        <v>4047</v>
      </c>
      <c r="I2805" s="71">
        <v>103105151</v>
      </c>
      <c r="J2805" s="70">
        <f>IFERROR(VLOOKUP(Devis[[#This Row],[Ref Air Flux]],#REF!,3,FALSE),0)</f>
        <v>0</v>
      </c>
      <c r="K2805" s="68"/>
      <c r="L2805" s="68"/>
      <c r="M2805" s="68"/>
      <c r="N2805" s="68"/>
      <c r="O2805" s="68"/>
      <c r="P2805" s="68"/>
      <c r="Q2805" s="68">
        <f>SUM(Devis[[#This Row],[Poste 1]:[Poste 6]])</f>
        <v>0</v>
      </c>
      <c r="R2805" s="71"/>
      <c r="S2805" s="68">
        <f>_xlfn.CEILING.MATH(Devis[[#This Row],[Quantité Totale]],Devis[[#This Row],[Conditionnement]])</f>
        <v>0</v>
      </c>
      <c r="T2805" s="72"/>
      <c r="U2805" s="73"/>
      <c r="V2805" s="74">
        <f>Devis[[#This Row],[Prix de Revient]]*Devis[[#This Row],[Poste 1]]</f>
        <v>0</v>
      </c>
      <c r="W2805" s="74">
        <f>Devis[[#This Row],[Prix de Revient]]*Devis[[#This Row],[Poste 2]]</f>
        <v>0</v>
      </c>
      <c r="X2805" s="74">
        <f>Devis[[#This Row],[Prix de Revient]]*Devis[[#This Row],[Poste 3]]</f>
        <v>0</v>
      </c>
      <c r="Y2805" s="74">
        <f>Devis[[#This Row],[Poste 4]]*Devis[[#This Row],[Prix de Revient]]</f>
        <v>0</v>
      </c>
      <c r="Z2805" s="74">
        <f>Devis[[#This Row],[Poste 5]]*Devis[[#This Row],[Prix de Revient]]</f>
        <v>0</v>
      </c>
      <c r="AA2805" s="74">
        <f>Devis[[#This Row],[Prix de Revient]]*Devis[[#This Row],[Poste 6]]</f>
        <v>0</v>
      </c>
      <c r="AB2805" s="74">
        <f>Devis[[#This Row],[Quantité Totale]]*Devis[[#This Row],[Prix de Revient]]</f>
        <v>0</v>
      </c>
    </row>
    <row r="2806" spans="1:28" ht="14.25" outlineLevel="1" x14ac:dyDescent="0.2">
      <c r="A2806" s="75" t="s">
        <v>2617</v>
      </c>
      <c r="B2806" s="76" t="s">
        <v>5388</v>
      </c>
      <c r="C2806" s="76" t="s">
        <v>5388</v>
      </c>
      <c r="D2806" s="81" t="str">
        <f t="shared" si="48"/>
        <v>RaccordsCoupleur RapideCoupleur Rapide</v>
      </c>
      <c r="E2806" s="76" t="s">
        <v>5437</v>
      </c>
      <c r="F2806" s="76">
        <v>30</v>
      </c>
      <c r="G2806" s="71">
        <v>3105152</v>
      </c>
      <c r="H2806" s="71" t="s">
        <v>4047</v>
      </c>
      <c r="I2806" s="71">
        <v>103105152</v>
      </c>
      <c r="J2806" s="70">
        <f>IFERROR(VLOOKUP(Devis[[#This Row],[Ref Air Flux]],#REF!,3,FALSE),0)</f>
        <v>0</v>
      </c>
      <c r="K2806" s="68"/>
      <c r="L2806" s="68"/>
      <c r="M2806" s="68"/>
      <c r="N2806" s="68"/>
      <c r="O2806" s="68"/>
      <c r="P2806" s="68"/>
      <c r="Q2806" s="68">
        <f>SUM(Devis[[#This Row],[Poste 1]:[Poste 6]])</f>
        <v>0</v>
      </c>
      <c r="R2806" s="71"/>
      <c r="S2806" s="68">
        <f>_xlfn.CEILING.MATH(Devis[[#This Row],[Quantité Totale]],Devis[[#This Row],[Conditionnement]])</f>
        <v>0</v>
      </c>
      <c r="T2806" s="72"/>
      <c r="U2806" s="73" t="s">
        <v>5438</v>
      </c>
      <c r="V2806" s="74">
        <f>Devis[[#This Row],[Prix de Revient]]*Devis[[#This Row],[Poste 1]]</f>
        <v>0</v>
      </c>
      <c r="W2806" s="74">
        <f>Devis[[#This Row],[Prix de Revient]]*Devis[[#This Row],[Poste 2]]</f>
        <v>0</v>
      </c>
      <c r="X2806" s="74">
        <f>Devis[[#This Row],[Prix de Revient]]*Devis[[#This Row],[Poste 3]]</f>
        <v>0</v>
      </c>
      <c r="Y2806" s="74">
        <f>Devis[[#This Row],[Poste 4]]*Devis[[#This Row],[Prix de Revient]]</f>
        <v>0</v>
      </c>
      <c r="Z2806" s="74">
        <f>Devis[[#This Row],[Poste 5]]*Devis[[#This Row],[Prix de Revient]]</f>
        <v>0</v>
      </c>
      <c r="AA2806" s="74">
        <f>Devis[[#This Row],[Prix de Revient]]*Devis[[#This Row],[Poste 6]]</f>
        <v>0</v>
      </c>
      <c r="AB2806" s="74">
        <f>Devis[[#This Row],[Quantité Totale]]*Devis[[#This Row],[Prix de Revient]]</f>
        <v>0</v>
      </c>
    </row>
    <row r="2807" spans="1:28" ht="14.25" customHeight="1" outlineLevel="1" x14ac:dyDescent="0.2">
      <c r="A2807" s="75" t="s">
        <v>2617</v>
      </c>
      <c r="B2807" s="76" t="s">
        <v>5388</v>
      </c>
      <c r="C2807" s="76" t="s">
        <v>5388</v>
      </c>
      <c r="D2807" s="81" t="str">
        <f t="shared" si="48"/>
        <v>RaccordsCoupleur RapideCoupleur Rapide</v>
      </c>
      <c r="E2807" s="76" t="s">
        <v>5439</v>
      </c>
      <c r="F2807" s="76">
        <v>31</v>
      </c>
      <c r="G2807" s="71">
        <v>3105154</v>
      </c>
      <c r="H2807" s="71" t="s">
        <v>4047</v>
      </c>
      <c r="I2807" s="71">
        <v>103105154</v>
      </c>
      <c r="J2807" s="70">
        <f>IFERROR(VLOOKUP(Devis[[#This Row],[Ref Air Flux]],#REF!,3,FALSE),0)</f>
        <v>0</v>
      </c>
      <c r="K2807" s="68"/>
      <c r="L2807" s="68"/>
      <c r="M2807" s="68"/>
      <c r="N2807" s="68"/>
      <c r="O2807" s="68"/>
      <c r="P2807" s="68"/>
      <c r="Q2807" s="68">
        <f>SUM(Devis[[#This Row],[Poste 1]:[Poste 6]])</f>
        <v>0</v>
      </c>
      <c r="R2807" s="71"/>
      <c r="S2807" s="68">
        <f>_xlfn.CEILING.MATH(Devis[[#This Row],[Quantité Totale]],Devis[[#This Row],[Conditionnement]])</f>
        <v>0</v>
      </c>
      <c r="T2807" s="72"/>
      <c r="U2807" s="73" t="s">
        <v>5440</v>
      </c>
      <c r="V2807" s="74">
        <f>Devis[[#This Row],[Prix de Revient]]*Devis[[#This Row],[Poste 1]]</f>
        <v>0</v>
      </c>
      <c r="W2807" s="74">
        <f>Devis[[#This Row],[Prix de Revient]]*Devis[[#This Row],[Poste 2]]</f>
        <v>0</v>
      </c>
      <c r="X2807" s="74">
        <f>Devis[[#This Row],[Prix de Revient]]*Devis[[#This Row],[Poste 3]]</f>
        <v>0</v>
      </c>
      <c r="Y2807" s="74">
        <f>Devis[[#This Row],[Poste 4]]*Devis[[#This Row],[Prix de Revient]]</f>
        <v>0</v>
      </c>
      <c r="Z2807" s="74">
        <f>Devis[[#This Row],[Poste 5]]*Devis[[#This Row],[Prix de Revient]]</f>
        <v>0</v>
      </c>
      <c r="AA2807" s="74">
        <f>Devis[[#This Row],[Prix de Revient]]*Devis[[#This Row],[Poste 6]]</f>
        <v>0</v>
      </c>
      <c r="AB2807" s="74">
        <f>Devis[[#This Row],[Quantité Totale]]*Devis[[#This Row],[Prix de Revient]]</f>
        <v>0</v>
      </c>
    </row>
    <row r="2808" spans="1:28" ht="14.25" customHeight="1" outlineLevel="1" x14ac:dyDescent="0.2">
      <c r="A2808" s="75" t="s">
        <v>2617</v>
      </c>
      <c r="B2808" s="76" t="s">
        <v>5388</v>
      </c>
      <c r="C2808" s="76" t="s">
        <v>5388</v>
      </c>
      <c r="D2808" s="81" t="str">
        <f t="shared" si="48"/>
        <v>RaccordsCoupleur RapideCoupleur Rapide</v>
      </c>
      <c r="E2808" s="76" t="s">
        <v>5437</v>
      </c>
      <c r="F2808" s="76">
        <v>32</v>
      </c>
      <c r="G2808" s="71">
        <v>3105252</v>
      </c>
      <c r="H2808" s="71" t="s">
        <v>4047</v>
      </c>
      <c r="I2808" s="71">
        <v>103105252</v>
      </c>
      <c r="J2808" s="70">
        <f>IFERROR(VLOOKUP(Devis[[#This Row],[Ref Air Flux]],#REF!,3,FALSE),0)</f>
        <v>0</v>
      </c>
      <c r="K2808" s="68"/>
      <c r="L2808" s="68"/>
      <c r="M2808" s="68"/>
      <c r="N2808" s="68"/>
      <c r="O2808" s="68"/>
      <c r="P2808" s="68"/>
      <c r="Q2808" s="68">
        <f>SUM(Devis[[#This Row],[Poste 1]:[Poste 6]])</f>
        <v>0</v>
      </c>
      <c r="R2808" s="71"/>
      <c r="S2808" s="68">
        <f>_xlfn.CEILING.MATH(Devis[[#This Row],[Quantité Totale]],Devis[[#This Row],[Conditionnement]])</f>
        <v>0</v>
      </c>
      <c r="T2808" s="72"/>
      <c r="U2808" s="73"/>
      <c r="V2808" s="74">
        <f>Devis[[#This Row],[Prix de Revient]]*Devis[[#This Row],[Poste 1]]</f>
        <v>0</v>
      </c>
      <c r="W2808" s="74">
        <f>Devis[[#This Row],[Prix de Revient]]*Devis[[#This Row],[Poste 2]]</f>
        <v>0</v>
      </c>
      <c r="X2808" s="74">
        <f>Devis[[#This Row],[Prix de Revient]]*Devis[[#This Row],[Poste 3]]</f>
        <v>0</v>
      </c>
      <c r="Y2808" s="74">
        <f>Devis[[#This Row],[Poste 4]]*Devis[[#This Row],[Prix de Revient]]</f>
        <v>0</v>
      </c>
      <c r="Z2808" s="74">
        <f>Devis[[#This Row],[Poste 5]]*Devis[[#This Row],[Prix de Revient]]</f>
        <v>0</v>
      </c>
      <c r="AA2808" s="74">
        <f>Devis[[#This Row],[Prix de Revient]]*Devis[[#This Row],[Poste 6]]</f>
        <v>0</v>
      </c>
      <c r="AB2808" s="74">
        <f>Devis[[#This Row],[Quantité Totale]]*Devis[[#This Row],[Prix de Revient]]</f>
        <v>0</v>
      </c>
    </row>
    <row r="2809" spans="1:28" ht="14.25" customHeight="1" outlineLevel="1" x14ac:dyDescent="0.2">
      <c r="A2809" s="75" t="s">
        <v>2617</v>
      </c>
      <c r="B2809" s="76" t="s">
        <v>5388</v>
      </c>
      <c r="C2809" s="76" t="s">
        <v>5388</v>
      </c>
      <c r="D2809" s="81" t="str">
        <f t="shared" si="48"/>
        <v>RaccordsCoupleur RapideCoupleur Rapide</v>
      </c>
      <c r="E2809" s="76" t="s">
        <v>5441</v>
      </c>
      <c r="F2809" s="76">
        <v>33</v>
      </c>
      <c r="G2809" s="71">
        <v>3105201</v>
      </c>
      <c r="H2809" s="71" t="s">
        <v>4047</v>
      </c>
      <c r="I2809" s="71">
        <v>103105201</v>
      </c>
      <c r="J2809" s="70">
        <f>IFERROR(VLOOKUP(Devis[[#This Row],[Ref Air Flux]],#REF!,3,FALSE),0)</f>
        <v>0</v>
      </c>
      <c r="K2809" s="68"/>
      <c r="L2809" s="68"/>
      <c r="M2809" s="68"/>
      <c r="N2809" s="68"/>
      <c r="O2809" s="68"/>
      <c r="P2809" s="68"/>
      <c r="Q2809" s="68">
        <f>SUM(Devis[[#This Row],[Poste 1]:[Poste 6]])</f>
        <v>0</v>
      </c>
      <c r="R2809" s="71"/>
      <c r="S2809" s="68">
        <f>_xlfn.CEILING.MATH(Devis[[#This Row],[Quantité Totale]],Devis[[#This Row],[Conditionnement]])</f>
        <v>0</v>
      </c>
      <c r="T2809" s="72"/>
      <c r="U2809" s="73"/>
      <c r="V2809" s="74">
        <f>Devis[[#This Row],[Prix de Revient]]*Devis[[#This Row],[Poste 1]]</f>
        <v>0</v>
      </c>
      <c r="W2809" s="74">
        <f>Devis[[#This Row],[Prix de Revient]]*Devis[[#This Row],[Poste 2]]</f>
        <v>0</v>
      </c>
      <c r="X2809" s="74">
        <f>Devis[[#This Row],[Prix de Revient]]*Devis[[#This Row],[Poste 3]]</f>
        <v>0</v>
      </c>
      <c r="Y2809" s="74">
        <f>Devis[[#This Row],[Poste 4]]*Devis[[#This Row],[Prix de Revient]]</f>
        <v>0</v>
      </c>
      <c r="Z2809" s="74">
        <f>Devis[[#This Row],[Poste 5]]*Devis[[#This Row],[Prix de Revient]]</f>
        <v>0</v>
      </c>
      <c r="AA2809" s="74">
        <f>Devis[[#This Row],[Prix de Revient]]*Devis[[#This Row],[Poste 6]]</f>
        <v>0</v>
      </c>
      <c r="AB2809" s="74">
        <f>Devis[[#This Row],[Quantité Totale]]*Devis[[#This Row],[Prix de Revient]]</f>
        <v>0</v>
      </c>
    </row>
    <row r="2810" spans="1:28" ht="14.25" outlineLevel="1" x14ac:dyDescent="0.2">
      <c r="A2810" s="75" t="s">
        <v>2617</v>
      </c>
      <c r="B2810" s="76" t="s">
        <v>5388</v>
      </c>
      <c r="C2810" s="76" t="s">
        <v>5388</v>
      </c>
      <c r="D2810" s="81" t="str">
        <f t="shared" si="48"/>
        <v>RaccordsCoupleur RapideCoupleur Rapide</v>
      </c>
      <c r="E2810" s="76" t="s">
        <v>5442</v>
      </c>
      <c r="F2810" s="76">
        <v>34</v>
      </c>
      <c r="G2810" s="71">
        <v>3105202</v>
      </c>
      <c r="H2810" s="71" t="s">
        <v>4047</v>
      </c>
      <c r="I2810" s="71">
        <v>103105202</v>
      </c>
      <c r="J2810" s="70">
        <f>IFERROR(VLOOKUP(Devis[[#This Row],[Ref Air Flux]],#REF!,3,FALSE),0)</f>
        <v>0</v>
      </c>
      <c r="K2810" s="68"/>
      <c r="L2810" s="68"/>
      <c r="M2810" s="68"/>
      <c r="N2810" s="68"/>
      <c r="O2810" s="68"/>
      <c r="P2810" s="68"/>
      <c r="Q2810" s="68">
        <f>SUM(Devis[[#This Row],[Poste 1]:[Poste 6]])</f>
        <v>0</v>
      </c>
      <c r="R2810" s="71"/>
      <c r="S2810" s="68">
        <f>_xlfn.CEILING.MATH(Devis[[#This Row],[Quantité Totale]],Devis[[#This Row],[Conditionnement]])</f>
        <v>0</v>
      </c>
      <c r="T2810" s="72"/>
      <c r="U2810" s="73" t="s">
        <v>5443</v>
      </c>
      <c r="V2810" s="74">
        <f>Devis[[#This Row],[Prix de Revient]]*Devis[[#This Row],[Poste 1]]</f>
        <v>0</v>
      </c>
      <c r="W2810" s="74">
        <f>Devis[[#This Row],[Prix de Revient]]*Devis[[#This Row],[Poste 2]]</f>
        <v>0</v>
      </c>
      <c r="X2810" s="74">
        <f>Devis[[#This Row],[Prix de Revient]]*Devis[[#This Row],[Poste 3]]</f>
        <v>0</v>
      </c>
      <c r="Y2810" s="74">
        <f>Devis[[#This Row],[Poste 4]]*Devis[[#This Row],[Prix de Revient]]</f>
        <v>0</v>
      </c>
      <c r="Z2810" s="74">
        <f>Devis[[#This Row],[Poste 5]]*Devis[[#This Row],[Prix de Revient]]</f>
        <v>0</v>
      </c>
      <c r="AA2810" s="74">
        <f>Devis[[#This Row],[Prix de Revient]]*Devis[[#This Row],[Poste 6]]</f>
        <v>0</v>
      </c>
      <c r="AB2810" s="74">
        <f>Devis[[#This Row],[Quantité Totale]]*Devis[[#This Row],[Prix de Revient]]</f>
        <v>0</v>
      </c>
    </row>
    <row r="2811" spans="1:28" ht="15" customHeight="1" outlineLevel="1" x14ac:dyDescent="0.2">
      <c r="A2811" s="75" t="s">
        <v>2617</v>
      </c>
      <c r="B2811" s="76" t="s">
        <v>5388</v>
      </c>
      <c r="C2811" s="76" t="s">
        <v>5388</v>
      </c>
      <c r="D2811" s="81" t="str">
        <f t="shared" si="48"/>
        <v>RaccordsCoupleur RapideCoupleur Rapide</v>
      </c>
      <c r="E2811" s="76" t="s">
        <v>5444</v>
      </c>
      <c r="F2811" s="76">
        <v>35</v>
      </c>
      <c r="G2811" s="71">
        <v>3105204</v>
      </c>
      <c r="H2811" s="71" t="s">
        <v>4047</v>
      </c>
      <c r="I2811" s="71">
        <v>103105204</v>
      </c>
      <c r="J2811" s="70">
        <f>IFERROR(VLOOKUP(Devis[[#This Row],[Ref Air Flux]],#REF!,3,FALSE),0)</f>
        <v>0</v>
      </c>
      <c r="K2811" s="68"/>
      <c r="L2811" s="68"/>
      <c r="M2811" s="68"/>
      <c r="N2811" s="68"/>
      <c r="O2811" s="68"/>
      <c r="P2811" s="68"/>
      <c r="Q2811" s="68">
        <f>SUM(Devis[[#This Row],[Poste 1]:[Poste 6]])</f>
        <v>0</v>
      </c>
      <c r="R2811" s="71"/>
      <c r="S2811" s="68">
        <f>_xlfn.CEILING.MATH(Devis[[#This Row],[Quantité Totale]],Devis[[#This Row],[Conditionnement]])</f>
        <v>0</v>
      </c>
      <c r="T2811" s="72"/>
      <c r="U2811" s="73" t="s">
        <v>5445</v>
      </c>
      <c r="V2811" s="74">
        <f>Devis[[#This Row],[Prix de Revient]]*Devis[[#This Row],[Poste 1]]</f>
        <v>0</v>
      </c>
      <c r="W2811" s="74">
        <f>Devis[[#This Row],[Prix de Revient]]*Devis[[#This Row],[Poste 2]]</f>
        <v>0</v>
      </c>
      <c r="X2811" s="74">
        <f>Devis[[#This Row],[Prix de Revient]]*Devis[[#This Row],[Poste 3]]</f>
        <v>0</v>
      </c>
      <c r="Y2811" s="74">
        <f>Devis[[#This Row],[Poste 4]]*Devis[[#This Row],[Prix de Revient]]</f>
        <v>0</v>
      </c>
      <c r="Z2811" s="74">
        <f>Devis[[#This Row],[Poste 5]]*Devis[[#This Row],[Prix de Revient]]</f>
        <v>0</v>
      </c>
      <c r="AA2811" s="74">
        <f>Devis[[#This Row],[Prix de Revient]]*Devis[[#This Row],[Poste 6]]</f>
        <v>0</v>
      </c>
      <c r="AB2811" s="74">
        <f>Devis[[#This Row],[Quantité Totale]]*Devis[[#This Row],[Prix de Revient]]</f>
        <v>0</v>
      </c>
    </row>
    <row r="2812" spans="1:28" ht="14.25" outlineLevel="1" x14ac:dyDescent="0.2">
      <c r="A2812" s="75" t="s">
        <v>2617</v>
      </c>
      <c r="B2812" s="76" t="s">
        <v>5388</v>
      </c>
      <c r="C2812" s="76" t="s">
        <v>5388</v>
      </c>
      <c r="D2812" s="81" t="str">
        <f t="shared" si="48"/>
        <v>RaccordsCoupleur RapideCoupleur Rapide</v>
      </c>
      <c r="E2812" s="76"/>
      <c r="F2812" s="76">
        <v>36</v>
      </c>
      <c r="G2812" s="71"/>
      <c r="H2812" s="71"/>
      <c r="I2812" s="71"/>
      <c r="J2812" s="70">
        <f>IFERROR(VLOOKUP(Devis[[#This Row],[Ref Air Flux]],#REF!,3,FALSE),0)</f>
        <v>0</v>
      </c>
      <c r="K2812" s="68"/>
      <c r="L2812" s="68"/>
      <c r="M2812" s="68"/>
      <c r="N2812" s="68"/>
      <c r="O2812" s="68"/>
      <c r="P2812" s="68"/>
      <c r="Q2812" s="68">
        <f>SUM(Devis[[#This Row],[Poste 1]:[Poste 6]])</f>
        <v>0</v>
      </c>
      <c r="R2812" s="71"/>
      <c r="S2812" s="68">
        <f>_xlfn.CEILING.MATH(Devis[[#This Row],[Quantité Totale]],Devis[[#This Row],[Conditionnement]])</f>
        <v>0</v>
      </c>
      <c r="T2812" s="72"/>
      <c r="U2812" s="73"/>
      <c r="V2812" s="74">
        <f>Devis[[#This Row],[Prix de Revient]]*Devis[[#This Row],[Poste 1]]</f>
        <v>0</v>
      </c>
      <c r="W2812" s="74">
        <f>Devis[[#This Row],[Prix de Revient]]*Devis[[#This Row],[Poste 2]]</f>
        <v>0</v>
      </c>
      <c r="X2812" s="74">
        <f>Devis[[#This Row],[Prix de Revient]]*Devis[[#This Row],[Poste 3]]</f>
        <v>0</v>
      </c>
      <c r="Y2812" s="74">
        <f>Devis[[#This Row],[Poste 4]]*Devis[[#This Row],[Prix de Revient]]</f>
        <v>0</v>
      </c>
      <c r="Z2812" s="74">
        <f>Devis[[#This Row],[Poste 5]]*Devis[[#This Row],[Prix de Revient]]</f>
        <v>0</v>
      </c>
      <c r="AA2812" s="74">
        <f>Devis[[#This Row],[Prix de Revient]]*Devis[[#This Row],[Poste 6]]</f>
        <v>0</v>
      </c>
      <c r="AB2812" s="74">
        <f>Devis[[#This Row],[Quantité Totale]]*Devis[[#This Row],[Prix de Revient]]</f>
        <v>0</v>
      </c>
    </row>
    <row r="2813" spans="1:28" ht="14.25" outlineLevel="1" x14ac:dyDescent="0.2">
      <c r="A2813" s="75" t="s">
        <v>2617</v>
      </c>
      <c r="B2813" s="76" t="s">
        <v>5388</v>
      </c>
      <c r="C2813" s="76" t="s">
        <v>5388</v>
      </c>
      <c r="D2813" s="81" t="str">
        <f t="shared" si="48"/>
        <v>RaccordsCoupleur RapideCoupleur Rapide</v>
      </c>
      <c r="E2813" s="76" t="s">
        <v>5446</v>
      </c>
      <c r="F2813" s="76">
        <v>37</v>
      </c>
      <c r="G2813" s="71" t="s">
        <v>5447</v>
      </c>
      <c r="H2813" s="71" t="s">
        <v>4047</v>
      </c>
      <c r="I2813" s="71">
        <v>103202152</v>
      </c>
      <c r="J2813" s="70">
        <f>IFERROR(VLOOKUP(Devis[[#This Row],[Ref Air Flux]],#REF!,3,FALSE),0)</f>
        <v>0</v>
      </c>
      <c r="K2813" s="68"/>
      <c r="L2813" s="68"/>
      <c r="M2813" s="68"/>
      <c r="N2813" s="68"/>
      <c r="O2813" s="68"/>
      <c r="P2813" s="68"/>
      <c r="Q2813" s="68">
        <f>SUM(Devis[[#This Row],[Poste 1]:[Poste 6]])</f>
        <v>0</v>
      </c>
      <c r="R2813" s="71"/>
      <c r="S2813" s="68">
        <f>_xlfn.CEILING.MATH(Devis[[#This Row],[Quantité Totale]],Devis[[#This Row],[Conditionnement]])</f>
        <v>0</v>
      </c>
      <c r="T2813" s="72"/>
      <c r="U2813" s="73"/>
      <c r="V2813" s="74">
        <f>Devis[[#This Row],[Prix de Revient]]*Devis[[#This Row],[Poste 1]]</f>
        <v>0</v>
      </c>
      <c r="W2813" s="74">
        <f>Devis[[#This Row],[Prix de Revient]]*Devis[[#This Row],[Poste 2]]</f>
        <v>0</v>
      </c>
      <c r="X2813" s="74">
        <f>Devis[[#This Row],[Prix de Revient]]*Devis[[#This Row],[Poste 3]]</f>
        <v>0</v>
      </c>
      <c r="Y2813" s="74">
        <f>Devis[[#This Row],[Poste 4]]*Devis[[#This Row],[Prix de Revient]]</f>
        <v>0</v>
      </c>
      <c r="Z2813" s="74">
        <f>Devis[[#This Row],[Poste 5]]*Devis[[#This Row],[Prix de Revient]]</f>
        <v>0</v>
      </c>
      <c r="AA2813" s="74">
        <f>Devis[[#This Row],[Prix de Revient]]*Devis[[#This Row],[Poste 6]]</f>
        <v>0</v>
      </c>
      <c r="AB2813" s="74">
        <f>Devis[[#This Row],[Quantité Totale]]*Devis[[#This Row],[Prix de Revient]]</f>
        <v>0</v>
      </c>
    </row>
    <row r="2814" spans="1:28" ht="14.25" outlineLevel="1" x14ac:dyDescent="0.2">
      <c r="A2814" s="75" t="s">
        <v>2617</v>
      </c>
      <c r="B2814" s="76" t="s">
        <v>5388</v>
      </c>
      <c r="C2814" s="76" t="s">
        <v>5388</v>
      </c>
      <c r="D2814" s="81" t="str">
        <f t="shared" si="48"/>
        <v>RaccordsCoupleur RapideCoupleur Rapide</v>
      </c>
      <c r="E2814" s="76" t="s">
        <v>5448</v>
      </c>
      <c r="F2814" s="76">
        <v>38</v>
      </c>
      <c r="G2814" s="71" t="s">
        <v>5449</v>
      </c>
      <c r="H2814" s="71" t="s">
        <v>4047</v>
      </c>
      <c r="I2814" s="71">
        <v>103205003</v>
      </c>
      <c r="J2814" s="70">
        <f>IFERROR(VLOOKUP(Devis[[#This Row],[Ref Air Flux]],#REF!,3,FALSE),0)</f>
        <v>0</v>
      </c>
      <c r="K2814" s="68"/>
      <c r="L2814" s="68"/>
      <c r="M2814" s="68"/>
      <c r="N2814" s="68"/>
      <c r="O2814" s="68"/>
      <c r="P2814" s="68"/>
      <c r="Q2814" s="68">
        <f>SUM(Devis[[#This Row],[Poste 1]:[Poste 6]])</f>
        <v>0</v>
      </c>
      <c r="R2814" s="71"/>
      <c r="S2814" s="68">
        <f>_xlfn.CEILING.MATH(Devis[[#This Row],[Quantité Totale]],Devis[[#This Row],[Conditionnement]])</f>
        <v>0</v>
      </c>
      <c r="T2814" s="72"/>
      <c r="U2814" s="73"/>
      <c r="V2814" s="74">
        <f>Devis[[#This Row],[Prix de Revient]]*Devis[[#This Row],[Poste 1]]</f>
        <v>0</v>
      </c>
      <c r="W2814" s="74">
        <f>Devis[[#This Row],[Prix de Revient]]*Devis[[#This Row],[Poste 2]]</f>
        <v>0</v>
      </c>
      <c r="X2814" s="74">
        <f>Devis[[#This Row],[Prix de Revient]]*Devis[[#This Row],[Poste 3]]</f>
        <v>0</v>
      </c>
      <c r="Y2814" s="74">
        <f>Devis[[#This Row],[Poste 4]]*Devis[[#This Row],[Prix de Revient]]</f>
        <v>0</v>
      </c>
      <c r="Z2814" s="74">
        <f>Devis[[#This Row],[Poste 5]]*Devis[[#This Row],[Prix de Revient]]</f>
        <v>0</v>
      </c>
      <c r="AA2814" s="74">
        <f>Devis[[#This Row],[Prix de Revient]]*Devis[[#This Row],[Poste 6]]</f>
        <v>0</v>
      </c>
      <c r="AB2814" s="74">
        <f>Devis[[#This Row],[Quantité Totale]]*Devis[[#This Row],[Prix de Revient]]</f>
        <v>0</v>
      </c>
    </row>
    <row r="2815" spans="1:28" ht="14.25" customHeight="1" outlineLevel="1" x14ac:dyDescent="0.2">
      <c r="A2815" s="75" t="s">
        <v>2617</v>
      </c>
      <c r="B2815" s="76" t="s">
        <v>5388</v>
      </c>
      <c r="C2815" s="76" t="s">
        <v>5388</v>
      </c>
      <c r="D2815" s="81" t="str">
        <f t="shared" si="48"/>
        <v>RaccordsCoupleur RapideCoupleur Rapide</v>
      </c>
      <c r="E2815" s="76" t="s">
        <v>5450</v>
      </c>
      <c r="F2815" s="76">
        <v>39</v>
      </c>
      <c r="G2815" s="71" t="s">
        <v>5451</v>
      </c>
      <c r="H2815" s="71" t="s">
        <v>4047</v>
      </c>
      <c r="I2815" s="71">
        <v>103205152</v>
      </c>
      <c r="J2815" s="70">
        <f>IFERROR(VLOOKUP(Devis[[#This Row],[Ref Air Flux]],#REF!,3,FALSE),0)</f>
        <v>0</v>
      </c>
      <c r="K2815" s="68"/>
      <c r="L2815" s="68"/>
      <c r="M2815" s="68"/>
      <c r="N2815" s="68"/>
      <c r="O2815" s="68"/>
      <c r="P2815" s="68"/>
      <c r="Q2815" s="68">
        <f>SUM(Devis[[#This Row],[Poste 1]:[Poste 6]])</f>
        <v>0</v>
      </c>
      <c r="R2815" s="71"/>
      <c r="S2815" s="68">
        <f>_xlfn.CEILING.MATH(Devis[[#This Row],[Quantité Totale]],Devis[[#This Row],[Conditionnement]])</f>
        <v>0</v>
      </c>
      <c r="T2815" s="72"/>
      <c r="U2815" s="73"/>
      <c r="V2815" s="74">
        <f>Devis[[#This Row],[Prix de Revient]]*Devis[[#This Row],[Poste 1]]</f>
        <v>0</v>
      </c>
      <c r="W2815" s="74">
        <f>Devis[[#This Row],[Prix de Revient]]*Devis[[#This Row],[Poste 2]]</f>
        <v>0</v>
      </c>
      <c r="X2815" s="74">
        <f>Devis[[#This Row],[Prix de Revient]]*Devis[[#This Row],[Poste 3]]</f>
        <v>0</v>
      </c>
      <c r="Y2815" s="74">
        <f>Devis[[#This Row],[Poste 4]]*Devis[[#This Row],[Prix de Revient]]</f>
        <v>0</v>
      </c>
      <c r="Z2815" s="74">
        <f>Devis[[#This Row],[Poste 5]]*Devis[[#This Row],[Prix de Revient]]</f>
        <v>0</v>
      </c>
      <c r="AA2815" s="74">
        <f>Devis[[#This Row],[Prix de Revient]]*Devis[[#This Row],[Poste 6]]</f>
        <v>0</v>
      </c>
      <c r="AB2815" s="74">
        <f>Devis[[#This Row],[Quantité Totale]]*Devis[[#This Row],[Prix de Revient]]</f>
        <v>0</v>
      </c>
    </row>
    <row r="2816" spans="1:28" ht="14.25" outlineLevel="1" x14ac:dyDescent="0.2">
      <c r="A2816" s="75" t="s">
        <v>2617</v>
      </c>
      <c r="B2816" s="76" t="s">
        <v>5388</v>
      </c>
      <c r="C2816" s="76" t="s">
        <v>5388</v>
      </c>
      <c r="D2816" s="81" t="str">
        <f t="shared" si="48"/>
        <v>RaccordsCoupleur RapideCoupleur Rapide</v>
      </c>
      <c r="E2816" s="76" t="s">
        <v>5452</v>
      </c>
      <c r="F2816" s="76">
        <v>40</v>
      </c>
      <c r="G2816" s="71" t="s">
        <v>5453</v>
      </c>
      <c r="H2816" s="71" t="s">
        <v>4047</v>
      </c>
      <c r="I2816" s="71">
        <v>103205202</v>
      </c>
      <c r="J2816" s="70">
        <f>IFERROR(VLOOKUP(Devis[[#This Row],[Ref Air Flux]],#REF!,3,FALSE),0)</f>
        <v>0</v>
      </c>
      <c r="K2816" s="68"/>
      <c r="L2816" s="68"/>
      <c r="M2816" s="68"/>
      <c r="N2816" s="68"/>
      <c r="O2816" s="68"/>
      <c r="P2816" s="68"/>
      <c r="Q2816" s="68">
        <f>SUM(Devis[[#This Row],[Poste 1]:[Poste 6]])</f>
        <v>0</v>
      </c>
      <c r="R2816" s="71"/>
      <c r="S2816" s="68">
        <f>_xlfn.CEILING.MATH(Devis[[#This Row],[Quantité Totale]],Devis[[#This Row],[Conditionnement]])</f>
        <v>0</v>
      </c>
      <c r="T2816" s="72"/>
      <c r="U2816" s="73"/>
      <c r="V2816" s="74">
        <f>Devis[[#This Row],[Prix de Revient]]*Devis[[#This Row],[Poste 1]]</f>
        <v>0</v>
      </c>
      <c r="W2816" s="74">
        <f>Devis[[#This Row],[Prix de Revient]]*Devis[[#This Row],[Poste 2]]</f>
        <v>0</v>
      </c>
      <c r="X2816" s="74">
        <f>Devis[[#This Row],[Prix de Revient]]*Devis[[#This Row],[Poste 3]]</f>
        <v>0</v>
      </c>
      <c r="Y2816" s="74">
        <f>Devis[[#This Row],[Poste 4]]*Devis[[#This Row],[Prix de Revient]]</f>
        <v>0</v>
      </c>
      <c r="Z2816" s="74">
        <f>Devis[[#This Row],[Poste 5]]*Devis[[#This Row],[Prix de Revient]]</f>
        <v>0</v>
      </c>
      <c r="AA2816" s="74">
        <f>Devis[[#This Row],[Prix de Revient]]*Devis[[#This Row],[Poste 6]]</f>
        <v>0</v>
      </c>
      <c r="AB2816" s="74">
        <f>Devis[[#This Row],[Quantité Totale]]*Devis[[#This Row],[Prix de Revient]]</f>
        <v>0</v>
      </c>
    </row>
    <row r="2817" spans="1:28" ht="14.25" outlineLevel="1" x14ac:dyDescent="0.2">
      <c r="A2817" s="75" t="s">
        <v>2617</v>
      </c>
      <c r="B2817" s="76" t="s">
        <v>5388</v>
      </c>
      <c r="C2817" s="76" t="s">
        <v>5388</v>
      </c>
      <c r="D2817" s="81" t="str">
        <f t="shared" si="48"/>
        <v>RaccordsCoupleur RapideCoupleur Rapide</v>
      </c>
      <c r="E2817" s="76"/>
      <c r="F2817" s="76">
        <v>41</v>
      </c>
      <c r="G2817" s="71"/>
      <c r="H2817" s="71"/>
      <c r="I2817" s="71"/>
      <c r="J2817" s="70">
        <f>IFERROR(VLOOKUP(Devis[[#This Row],[Ref Air Flux]],#REF!,3,FALSE),0)</f>
        <v>0</v>
      </c>
      <c r="K2817" s="68"/>
      <c r="L2817" s="68"/>
      <c r="M2817" s="68"/>
      <c r="N2817" s="68"/>
      <c r="O2817" s="68"/>
      <c r="P2817" s="68"/>
      <c r="Q2817" s="68">
        <f>SUM(Devis[[#This Row],[Poste 1]:[Poste 6]])</f>
        <v>0</v>
      </c>
      <c r="R2817" s="71"/>
      <c r="S2817" s="68">
        <f>_xlfn.CEILING.MATH(Devis[[#This Row],[Quantité Totale]],Devis[[#This Row],[Conditionnement]])</f>
        <v>0</v>
      </c>
      <c r="T2817" s="72"/>
      <c r="U2817" s="73"/>
      <c r="V2817" s="74">
        <f>Devis[[#This Row],[Prix de Revient]]*Devis[[#This Row],[Poste 1]]</f>
        <v>0</v>
      </c>
      <c r="W2817" s="74">
        <f>Devis[[#This Row],[Prix de Revient]]*Devis[[#This Row],[Poste 2]]</f>
        <v>0</v>
      </c>
      <c r="X2817" s="74">
        <f>Devis[[#This Row],[Prix de Revient]]*Devis[[#This Row],[Poste 3]]</f>
        <v>0</v>
      </c>
      <c r="Y2817" s="74">
        <f>Devis[[#This Row],[Poste 4]]*Devis[[#This Row],[Prix de Revient]]</f>
        <v>0</v>
      </c>
      <c r="Z2817" s="74">
        <f>Devis[[#This Row],[Poste 5]]*Devis[[#This Row],[Prix de Revient]]</f>
        <v>0</v>
      </c>
      <c r="AA2817" s="74">
        <f>Devis[[#This Row],[Prix de Revient]]*Devis[[#This Row],[Poste 6]]</f>
        <v>0</v>
      </c>
      <c r="AB2817" s="74">
        <f>Devis[[#This Row],[Quantité Totale]]*Devis[[#This Row],[Prix de Revient]]</f>
        <v>0</v>
      </c>
    </row>
    <row r="2818" spans="1:28" ht="14.25" customHeight="1" outlineLevel="1" x14ac:dyDescent="0.2">
      <c r="A2818" s="75" t="s">
        <v>2617</v>
      </c>
      <c r="B2818" s="76" t="s">
        <v>5388</v>
      </c>
      <c r="C2818" s="76" t="s">
        <v>5388</v>
      </c>
      <c r="D2818" s="81" t="str">
        <f t="shared" si="48"/>
        <v>RaccordsCoupleur RapideCoupleur Rapide</v>
      </c>
      <c r="E2818" s="76" t="s">
        <v>5454</v>
      </c>
      <c r="F2818" s="76">
        <v>42</v>
      </c>
      <c r="G2818" s="71" t="s">
        <v>5455</v>
      </c>
      <c r="H2818" s="71" t="s">
        <v>4047</v>
      </c>
      <c r="I2818" s="71">
        <v>103411004</v>
      </c>
      <c r="J2818" s="70">
        <f>IFERROR(VLOOKUP(Devis[[#This Row],[Ref Air Flux]],#REF!,3,FALSE),0)</f>
        <v>0</v>
      </c>
      <c r="K2818" s="68"/>
      <c r="L2818" s="68"/>
      <c r="M2818" s="68"/>
      <c r="N2818" s="68"/>
      <c r="O2818" s="68"/>
      <c r="P2818" s="68"/>
      <c r="Q2818" s="68">
        <f>SUM(Devis[[#This Row],[Poste 1]:[Poste 6]])</f>
        <v>0</v>
      </c>
      <c r="R2818" s="71"/>
      <c r="S2818" s="68">
        <f>_xlfn.CEILING.MATH(Devis[[#This Row],[Quantité Totale]],Devis[[#This Row],[Conditionnement]])</f>
        <v>0</v>
      </c>
      <c r="T2818" s="72"/>
      <c r="U2818" s="73"/>
      <c r="V2818" s="74">
        <f>Devis[[#This Row],[Prix de Revient]]*Devis[[#This Row],[Poste 1]]</f>
        <v>0</v>
      </c>
      <c r="W2818" s="74">
        <f>Devis[[#This Row],[Prix de Revient]]*Devis[[#This Row],[Poste 2]]</f>
        <v>0</v>
      </c>
      <c r="X2818" s="74">
        <f>Devis[[#This Row],[Prix de Revient]]*Devis[[#This Row],[Poste 3]]</f>
        <v>0</v>
      </c>
      <c r="Y2818" s="74">
        <f>Devis[[#This Row],[Poste 4]]*Devis[[#This Row],[Prix de Revient]]</f>
        <v>0</v>
      </c>
      <c r="Z2818" s="74">
        <f>Devis[[#This Row],[Poste 5]]*Devis[[#This Row],[Prix de Revient]]</f>
        <v>0</v>
      </c>
      <c r="AA2818" s="74">
        <f>Devis[[#This Row],[Prix de Revient]]*Devis[[#This Row],[Poste 6]]</f>
        <v>0</v>
      </c>
      <c r="AB2818" s="74">
        <f>Devis[[#This Row],[Quantité Totale]]*Devis[[#This Row],[Prix de Revient]]</f>
        <v>0</v>
      </c>
    </row>
    <row r="2819" spans="1:28" ht="14.25" customHeight="1" outlineLevel="1" x14ac:dyDescent="0.2">
      <c r="A2819" s="75" t="s">
        <v>2617</v>
      </c>
      <c r="B2819" s="76" t="s">
        <v>5388</v>
      </c>
      <c r="C2819" s="76" t="s">
        <v>5388</v>
      </c>
      <c r="D2819" s="81" t="str">
        <f t="shared" si="48"/>
        <v>RaccordsCoupleur RapideCoupleur Rapide</v>
      </c>
      <c r="E2819" s="76" t="s">
        <v>5456</v>
      </c>
      <c r="F2819" s="76">
        <v>43</v>
      </c>
      <c r="G2819" s="71" t="s">
        <v>5457</v>
      </c>
      <c r="H2819" s="71" t="s">
        <v>4047</v>
      </c>
      <c r="I2819" s="71">
        <v>103415004</v>
      </c>
      <c r="J2819" s="70">
        <f>IFERROR(VLOOKUP(Devis[[#This Row],[Ref Air Flux]],#REF!,3,FALSE),0)</f>
        <v>0</v>
      </c>
      <c r="K2819" s="68"/>
      <c r="L2819" s="68"/>
      <c r="M2819" s="68"/>
      <c r="N2819" s="68"/>
      <c r="O2819" s="68"/>
      <c r="P2819" s="68"/>
      <c r="Q2819" s="68">
        <f>SUM(Devis[[#This Row],[Poste 1]:[Poste 6]])</f>
        <v>0</v>
      </c>
      <c r="R2819" s="71"/>
      <c r="S2819" s="68">
        <f>_xlfn.CEILING.MATH(Devis[[#This Row],[Quantité Totale]],Devis[[#This Row],[Conditionnement]])</f>
        <v>0</v>
      </c>
      <c r="T2819" s="72"/>
      <c r="U2819" s="73"/>
      <c r="V2819" s="74">
        <f>Devis[[#This Row],[Prix de Revient]]*Devis[[#This Row],[Poste 1]]</f>
        <v>0</v>
      </c>
      <c r="W2819" s="74">
        <f>Devis[[#This Row],[Prix de Revient]]*Devis[[#This Row],[Poste 2]]</f>
        <v>0</v>
      </c>
      <c r="X2819" s="74">
        <f>Devis[[#This Row],[Prix de Revient]]*Devis[[#This Row],[Poste 3]]</f>
        <v>0</v>
      </c>
      <c r="Y2819" s="74">
        <f>Devis[[#This Row],[Poste 4]]*Devis[[#This Row],[Prix de Revient]]</f>
        <v>0</v>
      </c>
      <c r="Z2819" s="74">
        <f>Devis[[#This Row],[Poste 5]]*Devis[[#This Row],[Prix de Revient]]</f>
        <v>0</v>
      </c>
      <c r="AA2819" s="74">
        <f>Devis[[#This Row],[Prix de Revient]]*Devis[[#This Row],[Poste 6]]</f>
        <v>0</v>
      </c>
      <c r="AB2819" s="74">
        <f>Devis[[#This Row],[Quantité Totale]]*Devis[[#This Row],[Prix de Revient]]</f>
        <v>0</v>
      </c>
    </row>
    <row r="2820" spans="1:28" ht="14.25" outlineLevel="1" x14ac:dyDescent="0.2">
      <c r="A2820" s="75" t="s">
        <v>2617</v>
      </c>
      <c r="B2820" s="76" t="s">
        <v>5388</v>
      </c>
      <c r="C2820" s="76" t="s">
        <v>5388</v>
      </c>
      <c r="D2820" s="81" t="str">
        <f t="shared" si="48"/>
        <v>RaccordsCoupleur RapideCoupleur Rapide</v>
      </c>
      <c r="E2820" s="76"/>
      <c r="F2820" s="76">
        <v>44</v>
      </c>
      <c r="G2820" s="71"/>
      <c r="H2820" s="71"/>
      <c r="I2820" s="71"/>
      <c r="J2820" s="70">
        <f>IFERROR(VLOOKUP(Devis[[#This Row],[Ref Air Flux]],#REF!,3,FALSE),0)</f>
        <v>0</v>
      </c>
      <c r="K2820" s="68"/>
      <c r="L2820" s="68"/>
      <c r="M2820" s="68"/>
      <c r="N2820" s="68"/>
      <c r="O2820" s="68"/>
      <c r="P2820" s="68"/>
      <c r="Q2820" s="68">
        <f>SUM(Devis[[#This Row],[Poste 1]:[Poste 6]])</f>
        <v>0</v>
      </c>
      <c r="R2820" s="71"/>
      <c r="S2820" s="68">
        <f>_xlfn.CEILING.MATH(Devis[[#This Row],[Quantité Totale]],Devis[[#This Row],[Conditionnement]])</f>
        <v>0</v>
      </c>
      <c r="T2820" s="72"/>
      <c r="U2820" s="73"/>
      <c r="V2820" s="74">
        <f>Devis[[#This Row],[Prix de Revient]]*Devis[[#This Row],[Poste 1]]</f>
        <v>0</v>
      </c>
      <c r="W2820" s="74">
        <f>Devis[[#This Row],[Prix de Revient]]*Devis[[#This Row],[Poste 2]]</f>
        <v>0</v>
      </c>
      <c r="X2820" s="74">
        <f>Devis[[#This Row],[Prix de Revient]]*Devis[[#This Row],[Poste 3]]</f>
        <v>0</v>
      </c>
      <c r="Y2820" s="74">
        <f>Devis[[#This Row],[Poste 4]]*Devis[[#This Row],[Prix de Revient]]</f>
        <v>0</v>
      </c>
      <c r="Z2820" s="74">
        <f>Devis[[#This Row],[Poste 5]]*Devis[[#This Row],[Prix de Revient]]</f>
        <v>0</v>
      </c>
      <c r="AA2820" s="74">
        <f>Devis[[#This Row],[Prix de Revient]]*Devis[[#This Row],[Poste 6]]</f>
        <v>0</v>
      </c>
      <c r="AB2820" s="74">
        <f>Devis[[#This Row],[Quantité Totale]]*Devis[[#This Row],[Prix de Revient]]</f>
        <v>0</v>
      </c>
    </row>
    <row r="2821" spans="1:28" ht="14.25" outlineLevel="1" x14ac:dyDescent="0.2">
      <c r="A2821" s="75" t="s">
        <v>2617</v>
      </c>
      <c r="B2821" s="76" t="s">
        <v>5388</v>
      </c>
      <c r="C2821" s="76" t="s">
        <v>5388</v>
      </c>
      <c r="D2821" s="81" t="str">
        <f t="shared" si="48"/>
        <v>RaccordsCoupleur RapideCoupleur Rapide</v>
      </c>
      <c r="E2821" s="76" t="s">
        <v>5458</v>
      </c>
      <c r="F2821" s="76">
        <v>45</v>
      </c>
      <c r="G2821" s="71" t="s">
        <v>5459</v>
      </c>
      <c r="H2821" s="71" t="s">
        <v>4047</v>
      </c>
      <c r="I2821" s="71">
        <v>103421004</v>
      </c>
      <c r="J2821" s="70">
        <f>IFERROR(VLOOKUP(Devis[[#This Row],[Ref Air Flux]],#REF!,3,FALSE),0)</f>
        <v>0</v>
      </c>
      <c r="K2821" s="68"/>
      <c r="L2821" s="68"/>
      <c r="M2821" s="68"/>
      <c r="N2821" s="68"/>
      <c r="O2821" s="68"/>
      <c r="P2821" s="68"/>
      <c r="Q2821" s="68">
        <f>SUM(Devis[[#This Row],[Poste 1]:[Poste 6]])</f>
        <v>0</v>
      </c>
      <c r="R2821" s="71"/>
      <c r="S2821" s="68">
        <f>_xlfn.CEILING.MATH(Devis[[#This Row],[Quantité Totale]],Devis[[#This Row],[Conditionnement]])</f>
        <v>0</v>
      </c>
      <c r="T2821" s="72"/>
      <c r="U2821" s="73"/>
      <c r="V2821" s="74">
        <f>Devis[[#This Row],[Prix de Revient]]*Devis[[#This Row],[Poste 1]]</f>
        <v>0</v>
      </c>
      <c r="W2821" s="74">
        <f>Devis[[#This Row],[Prix de Revient]]*Devis[[#This Row],[Poste 2]]</f>
        <v>0</v>
      </c>
      <c r="X2821" s="74">
        <f>Devis[[#This Row],[Prix de Revient]]*Devis[[#This Row],[Poste 3]]</f>
        <v>0</v>
      </c>
      <c r="Y2821" s="74">
        <f>Devis[[#This Row],[Poste 4]]*Devis[[#This Row],[Prix de Revient]]</f>
        <v>0</v>
      </c>
      <c r="Z2821" s="74">
        <f>Devis[[#This Row],[Poste 5]]*Devis[[#This Row],[Prix de Revient]]</f>
        <v>0</v>
      </c>
      <c r="AA2821" s="74">
        <f>Devis[[#This Row],[Prix de Revient]]*Devis[[#This Row],[Poste 6]]</f>
        <v>0</v>
      </c>
      <c r="AB2821" s="74">
        <f>Devis[[#This Row],[Quantité Totale]]*Devis[[#This Row],[Prix de Revient]]</f>
        <v>0</v>
      </c>
    </row>
    <row r="2822" spans="1:28" ht="15" customHeight="1" outlineLevel="1" x14ac:dyDescent="0.2">
      <c r="A2822" s="75" t="s">
        <v>2617</v>
      </c>
      <c r="B2822" s="76" t="s">
        <v>5388</v>
      </c>
      <c r="C2822" s="76" t="s">
        <v>5388</v>
      </c>
      <c r="D2822" s="81" t="str">
        <f t="shared" si="48"/>
        <v>RaccordsCoupleur RapideCoupleur Rapide</v>
      </c>
      <c r="E2822" s="76" t="s">
        <v>5460</v>
      </c>
      <c r="F2822" s="76">
        <v>46</v>
      </c>
      <c r="G2822" s="71" t="s">
        <v>5461</v>
      </c>
      <c r="H2822" s="71" t="s">
        <v>4047</v>
      </c>
      <c r="I2822" s="71">
        <v>103421154</v>
      </c>
      <c r="J2822" s="70">
        <f>IFERROR(VLOOKUP(Devis[[#This Row],[Ref Air Flux]],#REF!,3,FALSE),0)</f>
        <v>0</v>
      </c>
      <c r="K2822" s="68"/>
      <c r="L2822" s="68"/>
      <c r="M2822" s="68"/>
      <c r="N2822" s="68"/>
      <c r="O2822" s="68"/>
      <c r="P2822" s="68"/>
      <c r="Q2822" s="68">
        <f>SUM(Devis[[#This Row],[Poste 1]:[Poste 6]])</f>
        <v>0</v>
      </c>
      <c r="R2822" s="71"/>
      <c r="S2822" s="68">
        <f>_xlfn.CEILING.MATH(Devis[[#This Row],[Quantité Totale]],Devis[[#This Row],[Conditionnement]])</f>
        <v>0</v>
      </c>
      <c r="T2822" s="72"/>
      <c r="U2822" s="73"/>
      <c r="V2822" s="74">
        <f>Devis[[#This Row],[Prix de Revient]]*Devis[[#This Row],[Poste 1]]</f>
        <v>0</v>
      </c>
      <c r="W2822" s="74">
        <f>Devis[[#This Row],[Prix de Revient]]*Devis[[#This Row],[Poste 2]]</f>
        <v>0</v>
      </c>
      <c r="X2822" s="74">
        <f>Devis[[#This Row],[Prix de Revient]]*Devis[[#This Row],[Poste 3]]</f>
        <v>0</v>
      </c>
      <c r="Y2822" s="74">
        <f>Devis[[#This Row],[Poste 4]]*Devis[[#This Row],[Prix de Revient]]</f>
        <v>0</v>
      </c>
      <c r="Z2822" s="74">
        <f>Devis[[#This Row],[Poste 5]]*Devis[[#This Row],[Prix de Revient]]</f>
        <v>0</v>
      </c>
      <c r="AA2822" s="74">
        <f>Devis[[#This Row],[Prix de Revient]]*Devis[[#This Row],[Poste 6]]</f>
        <v>0</v>
      </c>
      <c r="AB2822" s="74">
        <f>Devis[[#This Row],[Quantité Totale]]*Devis[[#This Row],[Prix de Revient]]</f>
        <v>0</v>
      </c>
    </row>
    <row r="2823" spans="1:28" ht="14.25" customHeight="1" outlineLevel="1" x14ac:dyDescent="0.2">
      <c r="A2823" s="75" t="s">
        <v>2617</v>
      </c>
      <c r="B2823" s="76" t="s">
        <v>5388</v>
      </c>
      <c r="C2823" s="76" t="s">
        <v>5388</v>
      </c>
      <c r="D2823" s="81" t="str">
        <f t="shared" si="48"/>
        <v>RaccordsCoupleur RapideCoupleur Rapide</v>
      </c>
      <c r="E2823" s="76" t="s">
        <v>5462</v>
      </c>
      <c r="F2823" s="76">
        <v>47</v>
      </c>
      <c r="G2823" s="71" t="s">
        <v>5463</v>
      </c>
      <c r="H2823" s="71" t="s">
        <v>4047</v>
      </c>
      <c r="I2823" s="71">
        <v>103425004</v>
      </c>
      <c r="J2823" s="70">
        <f>IFERROR(VLOOKUP(Devis[[#This Row],[Ref Air Flux]],#REF!,3,FALSE),0)</f>
        <v>0</v>
      </c>
      <c r="K2823" s="68"/>
      <c r="L2823" s="68"/>
      <c r="M2823" s="68"/>
      <c r="N2823" s="68"/>
      <c r="O2823" s="68"/>
      <c r="P2823" s="68"/>
      <c r="Q2823" s="68">
        <f>SUM(Devis[[#This Row],[Poste 1]:[Poste 6]])</f>
        <v>0</v>
      </c>
      <c r="R2823" s="71"/>
      <c r="S2823" s="68">
        <f>_xlfn.CEILING.MATH(Devis[[#This Row],[Quantité Totale]],Devis[[#This Row],[Conditionnement]])</f>
        <v>0</v>
      </c>
      <c r="T2823" s="72"/>
      <c r="U2823" s="73"/>
      <c r="V2823" s="74">
        <f>Devis[[#This Row],[Prix de Revient]]*Devis[[#This Row],[Poste 1]]</f>
        <v>0</v>
      </c>
      <c r="W2823" s="74">
        <f>Devis[[#This Row],[Prix de Revient]]*Devis[[#This Row],[Poste 2]]</f>
        <v>0</v>
      </c>
      <c r="X2823" s="74">
        <f>Devis[[#This Row],[Prix de Revient]]*Devis[[#This Row],[Poste 3]]</f>
        <v>0</v>
      </c>
      <c r="Y2823" s="74">
        <f>Devis[[#This Row],[Poste 4]]*Devis[[#This Row],[Prix de Revient]]</f>
        <v>0</v>
      </c>
      <c r="Z2823" s="74">
        <f>Devis[[#This Row],[Poste 5]]*Devis[[#This Row],[Prix de Revient]]</f>
        <v>0</v>
      </c>
      <c r="AA2823" s="74">
        <f>Devis[[#This Row],[Prix de Revient]]*Devis[[#This Row],[Poste 6]]</f>
        <v>0</v>
      </c>
      <c r="AB2823" s="74">
        <f>Devis[[#This Row],[Quantité Totale]]*Devis[[#This Row],[Prix de Revient]]</f>
        <v>0</v>
      </c>
    </row>
    <row r="2824" spans="1:28" ht="14.25" customHeight="1" outlineLevel="1" x14ac:dyDescent="0.2">
      <c r="A2824" s="75" t="s">
        <v>2617</v>
      </c>
      <c r="B2824" s="76" t="s">
        <v>5388</v>
      </c>
      <c r="C2824" s="76" t="s">
        <v>5388</v>
      </c>
      <c r="D2824" s="81" t="str">
        <f t="shared" si="48"/>
        <v>RaccordsCoupleur RapideCoupleur Rapide</v>
      </c>
      <c r="E2824" s="76" t="s">
        <v>5464</v>
      </c>
      <c r="F2824" s="76">
        <v>48</v>
      </c>
      <c r="G2824" s="71" t="s">
        <v>5465</v>
      </c>
      <c r="H2824" s="71" t="s">
        <v>4047</v>
      </c>
      <c r="I2824" s="71">
        <v>103425152</v>
      </c>
      <c r="J2824" s="70">
        <f>IFERROR(VLOOKUP(Devis[[#This Row],[Ref Air Flux]],#REF!,3,FALSE),0)</f>
        <v>0</v>
      </c>
      <c r="K2824" s="68"/>
      <c r="L2824" s="68"/>
      <c r="M2824" s="68"/>
      <c r="N2824" s="68"/>
      <c r="O2824" s="68"/>
      <c r="P2824" s="68"/>
      <c r="Q2824" s="68">
        <f>SUM(Devis[[#This Row],[Poste 1]:[Poste 6]])</f>
        <v>0</v>
      </c>
      <c r="R2824" s="71"/>
      <c r="S2824" s="68">
        <f>_xlfn.CEILING.MATH(Devis[[#This Row],[Quantité Totale]],Devis[[#This Row],[Conditionnement]])</f>
        <v>0</v>
      </c>
      <c r="T2824" s="72"/>
      <c r="U2824" s="73"/>
      <c r="V2824" s="74">
        <f>Devis[[#This Row],[Prix de Revient]]*Devis[[#This Row],[Poste 1]]</f>
        <v>0</v>
      </c>
      <c r="W2824" s="74">
        <f>Devis[[#This Row],[Prix de Revient]]*Devis[[#This Row],[Poste 2]]</f>
        <v>0</v>
      </c>
      <c r="X2824" s="74">
        <f>Devis[[#This Row],[Prix de Revient]]*Devis[[#This Row],[Poste 3]]</f>
        <v>0</v>
      </c>
      <c r="Y2824" s="74">
        <f>Devis[[#This Row],[Poste 4]]*Devis[[#This Row],[Prix de Revient]]</f>
        <v>0</v>
      </c>
      <c r="Z2824" s="74">
        <f>Devis[[#This Row],[Poste 5]]*Devis[[#This Row],[Prix de Revient]]</f>
        <v>0</v>
      </c>
      <c r="AA2824" s="74">
        <f>Devis[[#This Row],[Prix de Revient]]*Devis[[#This Row],[Poste 6]]</f>
        <v>0</v>
      </c>
      <c r="AB2824" s="74">
        <f>Devis[[#This Row],[Quantité Totale]]*Devis[[#This Row],[Prix de Revient]]</f>
        <v>0</v>
      </c>
    </row>
    <row r="2825" spans="1:28" ht="14.25" customHeight="1" outlineLevel="1" x14ac:dyDescent="0.2">
      <c r="A2825" s="75" t="s">
        <v>2617</v>
      </c>
      <c r="B2825" s="76" t="s">
        <v>5388</v>
      </c>
      <c r="C2825" s="76" t="s">
        <v>5388</v>
      </c>
      <c r="D2825" s="81" t="str">
        <f t="shared" si="48"/>
        <v>RaccordsCoupleur RapideCoupleur Rapide</v>
      </c>
      <c r="E2825" s="76"/>
      <c r="F2825" s="76">
        <v>49</v>
      </c>
      <c r="G2825" s="71"/>
      <c r="H2825" s="71"/>
      <c r="I2825" s="71"/>
      <c r="J2825" s="70">
        <f>IFERROR(VLOOKUP(Devis[[#This Row],[Ref Air Flux]],#REF!,3,FALSE),0)</f>
        <v>0</v>
      </c>
      <c r="K2825" s="68"/>
      <c r="L2825" s="68"/>
      <c r="M2825" s="68"/>
      <c r="N2825" s="68"/>
      <c r="O2825" s="68"/>
      <c r="P2825" s="68"/>
      <c r="Q2825" s="68">
        <f>SUM(Devis[[#This Row],[Poste 1]:[Poste 6]])</f>
        <v>0</v>
      </c>
      <c r="R2825" s="71"/>
      <c r="S2825" s="68">
        <f>_xlfn.CEILING.MATH(Devis[[#This Row],[Quantité Totale]],Devis[[#This Row],[Conditionnement]])</f>
        <v>0</v>
      </c>
      <c r="T2825" s="72"/>
      <c r="U2825" s="73"/>
      <c r="V2825" s="74">
        <f>Devis[[#This Row],[Prix de Revient]]*Devis[[#This Row],[Poste 1]]</f>
        <v>0</v>
      </c>
      <c r="W2825" s="74">
        <f>Devis[[#This Row],[Prix de Revient]]*Devis[[#This Row],[Poste 2]]</f>
        <v>0</v>
      </c>
      <c r="X2825" s="74">
        <f>Devis[[#This Row],[Prix de Revient]]*Devis[[#This Row],[Poste 3]]</f>
        <v>0</v>
      </c>
      <c r="Y2825" s="74">
        <f>Devis[[#This Row],[Poste 4]]*Devis[[#This Row],[Prix de Revient]]</f>
        <v>0</v>
      </c>
      <c r="Z2825" s="74">
        <f>Devis[[#This Row],[Poste 5]]*Devis[[#This Row],[Prix de Revient]]</f>
        <v>0</v>
      </c>
      <c r="AA2825" s="74">
        <f>Devis[[#This Row],[Prix de Revient]]*Devis[[#This Row],[Poste 6]]</f>
        <v>0</v>
      </c>
      <c r="AB2825" s="74">
        <f>Devis[[#This Row],[Quantité Totale]]*Devis[[#This Row],[Prix de Revient]]</f>
        <v>0</v>
      </c>
    </row>
    <row r="2826" spans="1:28" ht="14.25" outlineLevel="1" x14ac:dyDescent="0.2">
      <c r="A2826" s="75" t="s">
        <v>2617</v>
      </c>
      <c r="B2826" s="76" t="s">
        <v>5388</v>
      </c>
      <c r="C2826" s="76" t="s">
        <v>5388</v>
      </c>
      <c r="D2826" s="81" t="str">
        <f t="shared" si="48"/>
        <v>RaccordsCoupleur RapideCoupleur Rapide</v>
      </c>
      <c r="E2826" s="76" t="s">
        <v>5466</v>
      </c>
      <c r="F2826" s="76">
        <v>50</v>
      </c>
      <c r="G2826" s="71" t="s">
        <v>5467</v>
      </c>
      <c r="H2826" s="71" t="s">
        <v>4047</v>
      </c>
      <c r="I2826" s="71">
        <v>104105004</v>
      </c>
      <c r="J2826" s="70">
        <f>IFERROR(VLOOKUP(Devis[[#This Row],[Ref Air Flux]],#REF!,3,FALSE),0)</f>
        <v>0</v>
      </c>
      <c r="K2826" s="68"/>
      <c r="L2826" s="68"/>
      <c r="M2826" s="68"/>
      <c r="N2826" s="68"/>
      <c r="O2826" s="68"/>
      <c r="P2826" s="68"/>
      <c r="Q2826" s="68">
        <f>SUM(Devis[[#This Row],[Poste 1]:[Poste 6]])</f>
        <v>0</v>
      </c>
      <c r="R2826" s="71"/>
      <c r="S2826" s="68">
        <f>_xlfn.CEILING.MATH(Devis[[#This Row],[Quantité Totale]],Devis[[#This Row],[Conditionnement]])</f>
        <v>0</v>
      </c>
      <c r="T2826" s="72"/>
      <c r="U2826" s="73"/>
      <c r="V2826" s="74">
        <f>Devis[[#This Row],[Prix de Revient]]*Devis[[#This Row],[Poste 1]]</f>
        <v>0</v>
      </c>
      <c r="W2826" s="74">
        <f>Devis[[#This Row],[Prix de Revient]]*Devis[[#This Row],[Poste 2]]</f>
        <v>0</v>
      </c>
      <c r="X2826" s="74">
        <f>Devis[[#This Row],[Prix de Revient]]*Devis[[#This Row],[Poste 3]]</f>
        <v>0</v>
      </c>
      <c r="Y2826" s="74">
        <f>Devis[[#This Row],[Poste 4]]*Devis[[#This Row],[Prix de Revient]]</f>
        <v>0</v>
      </c>
      <c r="Z2826" s="74">
        <f>Devis[[#This Row],[Poste 5]]*Devis[[#This Row],[Prix de Revient]]</f>
        <v>0</v>
      </c>
      <c r="AA2826" s="74">
        <f>Devis[[#This Row],[Prix de Revient]]*Devis[[#This Row],[Poste 6]]</f>
        <v>0</v>
      </c>
      <c r="AB2826" s="74">
        <f>Devis[[#This Row],[Quantité Totale]]*Devis[[#This Row],[Prix de Revient]]</f>
        <v>0</v>
      </c>
    </row>
    <row r="2827" spans="1:28" ht="14.25" outlineLevel="1" x14ac:dyDescent="0.2">
      <c r="A2827" s="75" t="s">
        <v>2617</v>
      </c>
      <c r="B2827" s="76" t="s">
        <v>5388</v>
      </c>
      <c r="C2827" s="76" t="s">
        <v>5388</v>
      </c>
      <c r="D2827" s="81" t="str">
        <f t="shared" si="48"/>
        <v>RaccordsCoupleur RapideCoupleur Rapide</v>
      </c>
      <c r="E2827" s="76" t="s">
        <v>5468</v>
      </c>
      <c r="F2827" s="76">
        <v>51</v>
      </c>
      <c r="G2827" s="71" t="s">
        <v>5469</v>
      </c>
      <c r="H2827" s="71" t="s">
        <v>4047</v>
      </c>
      <c r="I2827" s="71">
        <v>104105152</v>
      </c>
      <c r="J2827" s="70">
        <f>IFERROR(VLOOKUP(Devis[[#This Row],[Ref Air Flux]],#REF!,3,FALSE),0)</f>
        <v>0</v>
      </c>
      <c r="K2827" s="68"/>
      <c r="L2827" s="68"/>
      <c r="M2827" s="68"/>
      <c r="N2827" s="68"/>
      <c r="O2827" s="68"/>
      <c r="P2827" s="68"/>
      <c r="Q2827" s="68">
        <f>SUM(Devis[[#This Row],[Poste 1]:[Poste 6]])</f>
        <v>0</v>
      </c>
      <c r="R2827" s="71"/>
      <c r="S2827" s="68">
        <f>_xlfn.CEILING.MATH(Devis[[#This Row],[Quantité Totale]],Devis[[#This Row],[Conditionnement]])</f>
        <v>0</v>
      </c>
      <c r="T2827" s="72"/>
      <c r="U2827" s="73"/>
      <c r="V2827" s="74">
        <f>Devis[[#This Row],[Prix de Revient]]*Devis[[#This Row],[Poste 1]]</f>
        <v>0</v>
      </c>
      <c r="W2827" s="74">
        <f>Devis[[#This Row],[Prix de Revient]]*Devis[[#This Row],[Poste 2]]</f>
        <v>0</v>
      </c>
      <c r="X2827" s="74">
        <f>Devis[[#This Row],[Prix de Revient]]*Devis[[#This Row],[Poste 3]]</f>
        <v>0</v>
      </c>
      <c r="Y2827" s="74">
        <f>Devis[[#This Row],[Poste 4]]*Devis[[#This Row],[Prix de Revient]]</f>
        <v>0</v>
      </c>
      <c r="Z2827" s="74">
        <f>Devis[[#This Row],[Poste 5]]*Devis[[#This Row],[Prix de Revient]]</f>
        <v>0</v>
      </c>
      <c r="AA2827" s="74">
        <f>Devis[[#This Row],[Prix de Revient]]*Devis[[#This Row],[Poste 6]]</f>
        <v>0</v>
      </c>
      <c r="AB2827" s="74">
        <f>Devis[[#This Row],[Quantité Totale]]*Devis[[#This Row],[Prix de Revient]]</f>
        <v>0</v>
      </c>
    </row>
    <row r="2828" spans="1:28" ht="14.25" outlineLevel="1" x14ac:dyDescent="0.2">
      <c r="A2828" s="75" t="s">
        <v>2617</v>
      </c>
      <c r="B2828" s="76" t="s">
        <v>5388</v>
      </c>
      <c r="C2828" s="76" t="s">
        <v>5388</v>
      </c>
      <c r="D2828" s="81" t="str">
        <f t="shared" si="48"/>
        <v>RaccordsCoupleur RapideCoupleur Rapide</v>
      </c>
      <c r="E2828" s="76"/>
      <c r="F2828" s="76">
        <v>52</v>
      </c>
      <c r="G2828" s="71"/>
      <c r="H2828" s="71"/>
      <c r="I2828" s="71"/>
      <c r="J2828" s="70">
        <f>IFERROR(VLOOKUP(Devis[[#This Row],[Ref Air Flux]],#REF!,3,FALSE),0)</f>
        <v>0</v>
      </c>
      <c r="K2828" s="68"/>
      <c r="L2828" s="68"/>
      <c r="M2828" s="68"/>
      <c r="N2828" s="68"/>
      <c r="O2828" s="68"/>
      <c r="P2828" s="68"/>
      <c r="Q2828" s="68">
        <f>SUM(Devis[[#This Row],[Poste 1]:[Poste 6]])</f>
        <v>0</v>
      </c>
      <c r="R2828" s="71"/>
      <c r="S2828" s="68">
        <f>_xlfn.CEILING.MATH(Devis[[#This Row],[Quantité Totale]],Devis[[#This Row],[Conditionnement]])</f>
        <v>0</v>
      </c>
      <c r="T2828" s="72"/>
      <c r="U2828" s="73"/>
      <c r="V2828" s="74">
        <f>Devis[[#This Row],[Prix de Revient]]*Devis[[#This Row],[Poste 1]]</f>
        <v>0</v>
      </c>
      <c r="W2828" s="74">
        <f>Devis[[#This Row],[Prix de Revient]]*Devis[[#This Row],[Poste 2]]</f>
        <v>0</v>
      </c>
      <c r="X2828" s="74">
        <f>Devis[[#This Row],[Prix de Revient]]*Devis[[#This Row],[Poste 3]]</f>
        <v>0</v>
      </c>
      <c r="Y2828" s="74">
        <f>Devis[[#This Row],[Poste 4]]*Devis[[#This Row],[Prix de Revient]]</f>
        <v>0</v>
      </c>
      <c r="Z2828" s="74">
        <f>Devis[[#This Row],[Poste 5]]*Devis[[#This Row],[Prix de Revient]]</f>
        <v>0</v>
      </c>
      <c r="AA2828" s="74">
        <f>Devis[[#This Row],[Prix de Revient]]*Devis[[#This Row],[Poste 6]]</f>
        <v>0</v>
      </c>
      <c r="AB2828" s="74">
        <f>Devis[[#This Row],[Quantité Totale]]*Devis[[#This Row],[Prix de Revient]]</f>
        <v>0</v>
      </c>
    </row>
    <row r="2829" spans="1:28" ht="14.25" outlineLevel="1" x14ac:dyDescent="0.2">
      <c r="A2829" s="75" t="s">
        <v>2617</v>
      </c>
      <c r="B2829" s="76" t="s">
        <v>5388</v>
      </c>
      <c r="C2829" s="76" t="s">
        <v>5388</v>
      </c>
      <c r="D2829" s="81" t="str">
        <f t="shared" si="48"/>
        <v>RaccordsCoupleur RapideCoupleur Rapide</v>
      </c>
      <c r="E2829" s="76" t="s">
        <v>5470</v>
      </c>
      <c r="F2829" s="76">
        <v>53</v>
      </c>
      <c r="G2829" s="71" t="s">
        <v>5471</v>
      </c>
      <c r="H2829" s="71" t="s">
        <v>4047</v>
      </c>
      <c r="I2829" s="71">
        <v>104301155</v>
      </c>
      <c r="J2829" s="70">
        <f>IFERROR(VLOOKUP(Devis[[#This Row],[Ref Air Flux]],#REF!,3,FALSE),0)</f>
        <v>0</v>
      </c>
      <c r="K2829" s="68"/>
      <c r="L2829" s="68"/>
      <c r="M2829" s="68"/>
      <c r="N2829" s="68"/>
      <c r="O2829" s="68"/>
      <c r="P2829" s="68"/>
      <c r="Q2829" s="68">
        <f>SUM(Devis[[#This Row],[Poste 1]:[Poste 6]])</f>
        <v>0</v>
      </c>
      <c r="R2829" s="71"/>
      <c r="S2829" s="68">
        <f>_xlfn.CEILING.MATH(Devis[[#This Row],[Quantité Totale]],Devis[[#This Row],[Conditionnement]])</f>
        <v>0</v>
      </c>
      <c r="T2829" s="72"/>
      <c r="U2829" s="73"/>
      <c r="V2829" s="74">
        <f>Devis[[#This Row],[Prix de Revient]]*Devis[[#This Row],[Poste 1]]</f>
        <v>0</v>
      </c>
      <c r="W2829" s="74">
        <f>Devis[[#This Row],[Prix de Revient]]*Devis[[#This Row],[Poste 2]]</f>
        <v>0</v>
      </c>
      <c r="X2829" s="74">
        <f>Devis[[#This Row],[Prix de Revient]]*Devis[[#This Row],[Poste 3]]</f>
        <v>0</v>
      </c>
      <c r="Y2829" s="74">
        <f>Devis[[#This Row],[Poste 4]]*Devis[[#This Row],[Prix de Revient]]</f>
        <v>0</v>
      </c>
      <c r="Z2829" s="74">
        <f>Devis[[#This Row],[Poste 5]]*Devis[[#This Row],[Prix de Revient]]</f>
        <v>0</v>
      </c>
      <c r="AA2829" s="74">
        <f>Devis[[#This Row],[Prix de Revient]]*Devis[[#This Row],[Poste 6]]</f>
        <v>0</v>
      </c>
      <c r="AB2829" s="74">
        <f>Devis[[#This Row],[Quantité Totale]]*Devis[[#This Row],[Prix de Revient]]</f>
        <v>0</v>
      </c>
    </row>
    <row r="2830" spans="1:28" ht="14.25" outlineLevel="1" x14ac:dyDescent="0.2">
      <c r="A2830" s="75" t="s">
        <v>2617</v>
      </c>
      <c r="B2830" s="76" t="s">
        <v>5388</v>
      </c>
      <c r="C2830" s="76" t="s">
        <v>5388</v>
      </c>
      <c r="D2830" s="81" t="str">
        <f t="shared" si="48"/>
        <v>RaccordsCoupleur RapideCoupleur Rapide</v>
      </c>
      <c r="E2830" s="76" t="s">
        <v>5472</v>
      </c>
      <c r="F2830" s="76">
        <v>54</v>
      </c>
      <c r="G2830" s="71" t="s">
        <v>5473</v>
      </c>
      <c r="H2830" s="71" t="s">
        <v>4047</v>
      </c>
      <c r="I2830" s="71">
        <v>104305003</v>
      </c>
      <c r="J2830" s="70">
        <f>IFERROR(VLOOKUP(Devis[[#This Row],[Ref Air Flux]],#REF!,3,FALSE),0)</f>
        <v>0</v>
      </c>
      <c r="K2830" s="68"/>
      <c r="L2830" s="68"/>
      <c r="M2830" s="68"/>
      <c r="N2830" s="68"/>
      <c r="O2830" s="68"/>
      <c r="P2830" s="68"/>
      <c r="Q2830" s="68">
        <f>SUM(Devis[[#This Row],[Poste 1]:[Poste 6]])</f>
        <v>0</v>
      </c>
      <c r="R2830" s="71"/>
      <c r="S2830" s="68">
        <f>_xlfn.CEILING.MATH(Devis[[#This Row],[Quantité Totale]],Devis[[#This Row],[Conditionnement]])</f>
        <v>0</v>
      </c>
      <c r="T2830" s="72"/>
      <c r="U2830" s="73"/>
      <c r="V2830" s="74">
        <f>Devis[[#This Row],[Prix de Revient]]*Devis[[#This Row],[Poste 1]]</f>
        <v>0</v>
      </c>
      <c r="W2830" s="74">
        <f>Devis[[#This Row],[Prix de Revient]]*Devis[[#This Row],[Poste 2]]</f>
        <v>0</v>
      </c>
      <c r="X2830" s="74">
        <f>Devis[[#This Row],[Prix de Revient]]*Devis[[#This Row],[Poste 3]]</f>
        <v>0</v>
      </c>
      <c r="Y2830" s="74">
        <f>Devis[[#This Row],[Poste 4]]*Devis[[#This Row],[Prix de Revient]]</f>
        <v>0</v>
      </c>
      <c r="Z2830" s="74">
        <f>Devis[[#This Row],[Poste 5]]*Devis[[#This Row],[Prix de Revient]]</f>
        <v>0</v>
      </c>
      <c r="AA2830" s="74">
        <f>Devis[[#This Row],[Prix de Revient]]*Devis[[#This Row],[Poste 6]]</f>
        <v>0</v>
      </c>
      <c r="AB2830" s="74">
        <f>Devis[[#This Row],[Quantité Totale]]*Devis[[#This Row],[Prix de Revient]]</f>
        <v>0</v>
      </c>
    </row>
    <row r="2831" spans="1:28" ht="14.25" outlineLevel="1" x14ac:dyDescent="0.2">
      <c r="A2831" s="75" t="s">
        <v>2617</v>
      </c>
      <c r="B2831" s="76" t="s">
        <v>5388</v>
      </c>
      <c r="C2831" s="76" t="s">
        <v>5388</v>
      </c>
      <c r="D2831" s="81" t="str">
        <f t="shared" si="48"/>
        <v>RaccordsCoupleur RapideCoupleur Rapide</v>
      </c>
      <c r="E2831" s="76" t="s">
        <v>5474</v>
      </c>
      <c r="F2831" s="76">
        <v>55</v>
      </c>
      <c r="G2831" s="71" t="s">
        <v>5475</v>
      </c>
      <c r="H2831" s="71" t="s">
        <v>4047</v>
      </c>
      <c r="I2831" s="71">
        <v>104305004</v>
      </c>
      <c r="J2831" s="70">
        <f>IFERROR(VLOOKUP(Devis[[#This Row],[Ref Air Flux]],#REF!,3,FALSE),0)</f>
        <v>0</v>
      </c>
      <c r="K2831" s="68"/>
      <c r="L2831" s="68"/>
      <c r="M2831" s="68"/>
      <c r="N2831" s="68"/>
      <c r="O2831" s="68"/>
      <c r="P2831" s="68"/>
      <c r="Q2831" s="68">
        <f>SUM(Devis[[#This Row],[Poste 1]:[Poste 6]])</f>
        <v>0</v>
      </c>
      <c r="R2831" s="71"/>
      <c r="S2831" s="68">
        <f>_xlfn.CEILING.MATH(Devis[[#This Row],[Quantité Totale]],Devis[[#This Row],[Conditionnement]])</f>
        <v>0</v>
      </c>
      <c r="T2831" s="72"/>
      <c r="U2831" s="73"/>
      <c r="V2831" s="74">
        <f>Devis[[#This Row],[Prix de Revient]]*Devis[[#This Row],[Poste 1]]</f>
        <v>0</v>
      </c>
      <c r="W2831" s="74">
        <f>Devis[[#This Row],[Prix de Revient]]*Devis[[#This Row],[Poste 2]]</f>
        <v>0</v>
      </c>
      <c r="X2831" s="74">
        <f>Devis[[#This Row],[Prix de Revient]]*Devis[[#This Row],[Poste 3]]</f>
        <v>0</v>
      </c>
      <c r="Y2831" s="74">
        <f>Devis[[#This Row],[Poste 4]]*Devis[[#This Row],[Prix de Revient]]</f>
        <v>0</v>
      </c>
      <c r="Z2831" s="74">
        <f>Devis[[#This Row],[Poste 5]]*Devis[[#This Row],[Prix de Revient]]</f>
        <v>0</v>
      </c>
      <c r="AA2831" s="74">
        <f>Devis[[#This Row],[Prix de Revient]]*Devis[[#This Row],[Poste 6]]</f>
        <v>0</v>
      </c>
      <c r="AB2831" s="74">
        <f>Devis[[#This Row],[Quantité Totale]]*Devis[[#This Row],[Prix de Revient]]</f>
        <v>0</v>
      </c>
    </row>
    <row r="2832" spans="1:28" ht="14.25" outlineLevel="1" x14ac:dyDescent="0.2">
      <c r="A2832" s="75" t="s">
        <v>2617</v>
      </c>
      <c r="B2832" s="76" t="s">
        <v>5388</v>
      </c>
      <c r="C2832" s="76" t="s">
        <v>5388</v>
      </c>
      <c r="D2832" s="81" t="str">
        <f t="shared" si="48"/>
        <v>RaccordsCoupleur RapideCoupleur Rapide</v>
      </c>
      <c r="E2832" s="76"/>
      <c r="F2832" s="76">
        <v>56</v>
      </c>
      <c r="G2832" s="71"/>
      <c r="H2832" s="71"/>
      <c r="I2832" s="71"/>
      <c r="J2832" s="70">
        <f>IFERROR(VLOOKUP(Devis[[#This Row],[Ref Air Flux]],#REF!,3,FALSE),0)</f>
        <v>0</v>
      </c>
      <c r="K2832" s="68"/>
      <c r="L2832" s="68"/>
      <c r="M2832" s="68"/>
      <c r="N2832" s="68"/>
      <c r="O2832" s="68"/>
      <c r="P2832" s="68"/>
      <c r="Q2832" s="68">
        <f>SUM(Devis[[#This Row],[Poste 1]:[Poste 6]])</f>
        <v>0</v>
      </c>
      <c r="R2832" s="71"/>
      <c r="S2832" s="68">
        <f>_xlfn.CEILING.MATH(Devis[[#This Row],[Quantité Totale]],Devis[[#This Row],[Conditionnement]])</f>
        <v>0</v>
      </c>
      <c r="T2832" s="72"/>
      <c r="U2832" s="73"/>
      <c r="V2832" s="74">
        <f>Devis[[#This Row],[Prix de Revient]]*Devis[[#This Row],[Poste 1]]</f>
        <v>0</v>
      </c>
      <c r="W2832" s="74">
        <f>Devis[[#This Row],[Prix de Revient]]*Devis[[#This Row],[Poste 2]]</f>
        <v>0</v>
      </c>
      <c r="X2832" s="74">
        <f>Devis[[#This Row],[Prix de Revient]]*Devis[[#This Row],[Poste 3]]</f>
        <v>0</v>
      </c>
      <c r="Y2832" s="74">
        <f>Devis[[#This Row],[Poste 4]]*Devis[[#This Row],[Prix de Revient]]</f>
        <v>0</v>
      </c>
      <c r="Z2832" s="74">
        <f>Devis[[#This Row],[Poste 5]]*Devis[[#This Row],[Prix de Revient]]</f>
        <v>0</v>
      </c>
      <c r="AA2832" s="74">
        <f>Devis[[#This Row],[Prix de Revient]]*Devis[[#This Row],[Poste 6]]</f>
        <v>0</v>
      </c>
      <c r="AB2832" s="74">
        <f>Devis[[#This Row],[Quantité Totale]]*Devis[[#This Row],[Prix de Revient]]</f>
        <v>0</v>
      </c>
    </row>
    <row r="2833" spans="1:28" ht="14.25" outlineLevel="1" x14ac:dyDescent="0.2">
      <c r="A2833" s="75" t="s">
        <v>2617</v>
      </c>
      <c r="B2833" s="76" t="s">
        <v>5388</v>
      </c>
      <c r="C2833" s="76" t="s">
        <v>5388</v>
      </c>
      <c r="D2833" s="81" t="str">
        <f t="shared" si="48"/>
        <v>RaccordsCoupleur RapideCoupleur Rapide</v>
      </c>
      <c r="E2833" s="76" t="s">
        <v>5476</v>
      </c>
      <c r="F2833" s="76">
        <v>57</v>
      </c>
      <c r="G2833" s="71">
        <v>5501007</v>
      </c>
      <c r="H2833" s="71" t="s">
        <v>4047</v>
      </c>
      <c r="I2833" s="71">
        <v>105501007</v>
      </c>
      <c r="J2833" s="70">
        <f>IFERROR(VLOOKUP(Devis[[#This Row],[Ref Air Flux]],#REF!,3,FALSE),0)</f>
        <v>0</v>
      </c>
      <c r="K2833" s="68"/>
      <c r="L2833" s="68"/>
      <c r="M2833" s="68"/>
      <c r="N2833" s="68"/>
      <c r="O2833" s="68"/>
      <c r="P2833" s="68"/>
      <c r="Q2833" s="68">
        <f>SUM(Devis[[#This Row],[Poste 1]:[Poste 6]])</f>
        <v>0</v>
      </c>
      <c r="R2833" s="71"/>
      <c r="S2833" s="68">
        <f>_xlfn.CEILING.MATH(Devis[[#This Row],[Quantité Totale]],Devis[[#This Row],[Conditionnement]])</f>
        <v>0</v>
      </c>
      <c r="T2833" s="72"/>
      <c r="U2833" s="73"/>
      <c r="V2833" s="74">
        <f>Devis[[#This Row],[Prix de Revient]]*Devis[[#This Row],[Poste 1]]</f>
        <v>0</v>
      </c>
      <c r="W2833" s="74">
        <f>Devis[[#This Row],[Prix de Revient]]*Devis[[#This Row],[Poste 2]]</f>
        <v>0</v>
      </c>
      <c r="X2833" s="74">
        <f>Devis[[#This Row],[Prix de Revient]]*Devis[[#This Row],[Poste 3]]</f>
        <v>0</v>
      </c>
      <c r="Y2833" s="74">
        <f>Devis[[#This Row],[Poste 4]]*Devis[[#This Row],[Prix de Revient]]</f>
        <v>0</v>
      </c>
      <c r="Z2833" s="74">
        <f>Devis[[#This Row],[Poste 5]]*Devis[[#This Row],[Prix de Revient]]</f>
        <v>0</v>
      </c>
      <c r="AA2833" s="74">
        <f>Devis[[#This Row],[Prix de Revient]]*Devis[[#This Row],[Poste 6]]</f>
        <v>0</v>
      </c>
      <c r="AB2833" s="74">
        <f>Devis[[#This Row],[Quantité Totale]]*Devis[[#This Row],[Prix de Revient]]</f>
        <v>0</v>
      </c>
    </row>
    <row r="2834" spans="1:28" ht="14.25" customHeight="1" outlineLevel="1" x14ac:dyDescent="0.2">
      <c r="A2834" s="75" t="s">
        <v>2617</v>
      </c>
      <c r="B2834" s="76" t="s">
        <v>5388</v>
      </c>
      <c r="C2834" s="76" t="s">
        <v>5388</v>
      </c>
      <c r="D2834" s="81" t="str">
        <f t="shared" si="48"/>
        <v>RaccordsCoupleur RapideCoupleur Rapide</v>
      </c>
      <c r="E2834" s="76" t="s">
        <v>5477</v>
      </c>
      <c r="F2834" s="76">
        <v>58</v>
      </c>
      <c r="G2834" s="71">
        <v>5501155</v>
      </c>
      <c r="H2834" s="71" t="s">
        <v>4047</v>
      </c>
      <c r="I2834" s="71">
        <v>105501155</v>
      </c>
      <c r="J2834" s="70">
        <f>IFERROR(VLOOKUP(Devis[[#This Row],[Ref Air Flux]],#REF!,3,FALSE),0)</f>
        <v>0</v>
      </c>
      <c r="K2834" s="68"/>
      <c r="L2834" s="68"/>
      <c r="M2834" s="68"/>
      <c r="N2834" s="68"/>
      <c r="O2834" s="68"/>
      <c r="P2834" s="68"/>
      <c r="Q2834" s="68">
        <f>SUM(Devis[[#This Row],[Poste 1]:[Poste 6]])</f>
        <v>0</v>
      </c>
      <c r="R2834" s="71"/>
      <c r="S2834" s="68">
        <f>_xlfn.CEILING.MATH(Devis[[#This Row],[Quantité Totale]],Devis[[#This Row],[Conditionnement]])</f>
        <v>0</v>
      </c>
      <c r="T2834" s="72"/>
      <c r="U2834" s="73" t="s">
        <v>5478</v>
      </c>
      <c r="V2834" s="74">
        <f>Devis[[#This Row],[Prix de Revient]]*Devis[[#This Row],[Poste 1]]</f>
        <v>0</v>
      </c>
      <c r="W2834" s="74">
        <f>Devis[[#This Row],[Prix de Revient]]*Devis[[#This Row],[Poste 2]]</f>
        <v>0</v>
      </c>
      <c r="X2834" s="74">
        <f>Devis[[#This Row],[Prix de Revient]]*Devis[[#This Row],[Poste 3]]</f>
        <v>0</v>
      </c>
      <c r="Y2834" s="74">
        <f>Devis[[#This Row],[Poste 4]]*Devis[[#This Row],[Prix de Revient]]</f>
        <v>0</v>
      </c>
      <c r="Z2834" s="74">
        <f>Devis[[#This Row],[Poste 5]]*Devis[[#This Row],[Prix de Revient]]</f>
        <v>0</v>
      </c>
      <c r="AA2834" s="74">
        <f>Devis[[#This Row],[Prix de Revient]]*Devis[[#This Row],[Poste 6]]</f>
        <v>0</v>
      </c>
      <c r="AB2834" s="74">
        <f>Devis[[#This Row],[Quantité Totale]]*Devis[[#This Row],[Prix de Revient]]</f>
        <v>0</v>
      </c>
    </row>
    <row r="2835" spans="1:28" ht="14.25" customHeight="1" outlineLevel="1" x14ac:dyDescent="0.2">
      <c r="A2835" s="75" t="s">
        <v>2617</v>
      </c>
      <c r="B2835" s="76" t="s">
        <v>5388</v>
      </c>
      <c r="C2835" s="76" t="s">
        <v>5388</v>
      </c>
      <c r="D2835" s="81" t="str">
        <f t="shared" si="48"/>
        <v>RaccordsCoupleur RapideCoupleur Rapide</v>
      </c>
      <c r="E2835" s="76" t="s">
        <v>5479</v>
      </c>
      <c r="F2835" s="76">
        <v>59</v>
      </c>
      <c r="G2835" s="71" t="s">
        <v>5480</v>
      </c>
      <c r="H2835" s="71" t="s">
        <v>4047</v>
      </c>
      <c r="I2835" s="71">
        <v>105501157</v>
      </c>
      <c r="J2835" s="70">
        <f>IFERROR(VLOOKUP(Devis[[#This Row],[Ref Air Flux]],#REF!,3,FALSE),0)</f>
        <v>0</v>
      </c>
      <c r="K2835" s="68"/>
      <c r="L2835" s="68"/>
      <c r="M2835" s="68"/>
      <c r="N2835" s="68"/>
      <c r="O2835" s="68"/>
      <c r="P2835" s="68"/>
      <c r="Q2835" s="68">
        <f>SUM(Devis[[#This Row],[Poste 1]:[Poste 6]])</f>
        <v>0</v>
      </c>
      <c r="R2835" s="71"/>
      <c r="S2835" s="68">
        <f>_xlfn.CEILING.MATH(Devis[[#This Row],[Quantité Totale]],Devis[[#This Row],[Conditionnement]])</f>
        <v>0</v>
      </c>
      <c r="T2835" s="72"/>
      <c r="U2835" s="73" t="s">
        <v>5481</v>
      </c>
      <c r="V2835" s="74">
        <f>Devis[[#This Row],[Prix de Revient]]*Devis[[#This Row],[Poste 1]]</f>
        <v>0</v>
      </c>
      <c r="W2835" s="74">
        <f>Devis[[#This Row],[Prix de Revient]]*Devis[[#This Row],[Poste 2]]</f>
        <v>0</v>
      </c>
      <c r="X2835" s="74">
        <f>Devis[[#This Row],[Prix de Revient]]*Devis[[#This Row],[Poste 3]]</f>
        <v>0</v>
      </c>
      <c r="Y2835" s="74">
        <f>Devis[[#This Row],[Poste 4]]*Devis[[#This Row],[Prix de Revient]]</f>
        <v>0</v>
      </c>
      <c r="Z2835" s="74">
        <f>Devis[[#This Row],[Poste 5]]*Devis[[#This Row],[Prix de Revient]]</f>
        <v>0</v>
      </c>
      <c r="AA2835" s="74">
        <f>Devis[[#This Row],[Prix de Revient]]*Devis[[#This Row],[Poste 6]]</f>
        <v>0</v>
      </c>
      <c r="AB2835" s="74">
        <f>Devis[[#This Row],[Quantité Totale]]*Devis[[#This Row],[Prix de Revient]]</f>
        <v>0</v>
      </c>
    </row>
    <row r="2836" spans="1:28" ht="14.25" outlineLevel="1" x14ac:dyDescent="0.2">
      <c r="A2836" s="75" t="s">
        <v>2617</v>
      </c>
      <c r="B2836" s="76" t="s">
        <v>5388</v>
      </c>
      <c r="C2836" s="76" t="s">
        <v>5388</v>
      </c>
      <c r="D2836" s="81" t="str">
        <f t="shared" si="48"/>
        <v>RaccordsCoupleur RapideCoupleur Rapide</v>
      </c>
      <c r="E2836" s="76" t="s">
        <v>5482</v>
      </c>
      <c r="F2836" s="76">
        <v>60</v>
      </c>
      <c r="G2836" s="71" t="s">
        <v>5483</v>
      </c>
      <c r="H2836" s="71" t="s">
        <v>4047</v>
      </c>
      <c r="I2836" s="71">
        <v>105505005</v>
      </c>
      <c r="J2836" s="70">
        <f>IFERROR(VLOOKUP(Devis[[#This Row],[Ref Air Flux]],#REF!,3,FALSE),0)</f>
        <v>0</v>
      </c>
      <c r="K2836" s="68"/>
      <c r="L2836" s="68"/>
      <c r="M2836" s="68"/>
      <c r="N2836" s="68"/>
      <c r="O2836" s="68"/>
      <c r="P2836" s="68"/>
      <c r="Q2836" s="68">
        <f>SUM(Devis[[#This Row],[Poste 1]:[Poste 6]])</f>
        <v>0</v>
      </c>
      <c r="R2836" s="71"/>
      <c r="S2836" s="68">
        <f>_xlfn.CEILING.MATH(Devis[[#This Row],[Quantité Totale]],Devis[[#This Row],[Conditionnement]])</f>
        <v>0</v>
      </c>
      <c r="T2836" s="72"/>
      <c r="U2836" s="73"/>
      <c r="V2836" s="74">
        <f>Devis[[#This Row],[Prix de Revient]]*Devis[[#This Row],[Poste 1]]</f>
        <v>0</v>
      </c>
      <c r="W2836" s="74">
        <f>Devis[[#This Row],[Prix de Revient]]*Devis[[#This Row],[Poste 2]]</f>
        <v>0</v>
      </c>
      <c r="X2836" s="74">
        <f>Devis[[#This Row],[Prix de Revient]]*Devis[[#This Row],[Poste 3]]</f>
        <v>0</v>
      </c>
      <c r="Y2836" s="74">
        <f>Devis[[#This Row],[Poste 4]]*Devis[[#This Row],[Prix de Revient]]</f>
        <v>0</v>
      </c>
      <c r="Z2836" s="74">
        <f>Devis[[#This Row],[Poste 5]]*Devis[[#This Row],[Prix de Revient]]</f>
        <v>0</v>
      </c>
      <c r="AA2836" s="74">
        <f>Devis[[#This Row],[Prix de Revient]]*Devis[[#This Row],[Poste 6]]</f>
        <v>0</v>
      </c>
      <c r="AB2836" s="74">
        <f>Devis[[#This Row],[Quantité Totale]]*Devis[[#This Row],[Prix de Revient]]</f>
        <v>0</v>
      </c>
    </row>
    <row r="2837" spans="1:28" ht="14.25" outlineLevel="1" x14ac:dyDescent="0.2">
      <c r="A2837" s="75" t="s">
        <v>2617</v>
      </c>
      <c r="B2837" s="76" t="s">
        <v>5388</v>
      </c>
      <c r="C2837" s="76" t="s">
        <v>5388</v>
      </c>
      <c r="D2837" s="81" t="str">
        <f t="shared" si="48"/>
        <v>RaccordsCoupleur RapideCoupleur Rapide</v>
      </c>
      <c r="E2837" s="76" t="s">
        <v>5484</v>
      </c>
      <c r="F2837" s="76">
        <v>61</v>
      </c>
      <c r="G2837" s="71" t="s">
        <v>5485</v>
      </c>
      <c r="H2837" s="71" t="s">
        <v>4047</v>
      </c>
      <c r="I2837" s="71">
        <v>105505007</v>
      </c>
      <c r="J2837" s="70">
        <f>IFERROR(VLOOKUP(Devis[[#This Row],[Ref Air Flux]],#REF!,3,FALSE),0)</f>
        <v>0</v>
      </c>
      <c r="K2837" s="68"/>
      <c r="L2837" s="68"/>
      <c r="M2837" s="68"/>
      <c r="N2837" s="68"/>
      <c r="O2837" s="68"/>
      <c r="P2837" s="68"/>
      <c r="Q2837" s="68">
        <f>SUM(Devis[[#This Row],[Poste 1]:[Poste 6]])</f>
        <v>0</v>
      </c>
      <c r="R2837" s="71"/>
      <c r="S2837" s="68">
        <f>_xlfn.CEILING.MATH(Devis[[#This Row],[Quantité Totale]],Devis[[#This Row],[Conditionnement]])</f>
        <v>0</v>
      </c>
      <c r="T2837" s="72"/>
      <c r="U2837" s="73"/>
      <c r="V2837" s="74">
        <f>Devis[[#This Row],[Prix de Revient]]*Devis[[#This Row],[Poste 1]]</f>
        <v>0</v>
      </c>
      <c r="W2837" s="74">
        <f>Devis[[#This Row],[Prix de Revient]]*Devis[[#This Row],[Poste 2]]</f>
        <v>0</v>
      </c>
      <c r="X2837" s="74">
        <f>Devis[[#This Row],[Prix de Revient]]*Devis[[#This Row],[Poste 3]]</f>
        <v>0</v>
      </c>
      <c r="Y2837" s="74">
        <f>Devis[[#This Row],[Poste 4]]*Devis[[#This Row],[Prix de Revient]]</f>
        <v>0</v>
      </c>
      <c r="Z2837" s="74">
        <f>Devis[[#This Row],[Poste 5]]*Devis[[#This Row],[Prix de Revient]]</f>
        <v>0</v>
      </c>
      <c r="AA2837" s="74">
        <f>Devis[[#This Row],[Prix de Revient]]*Devis[[#This Row],[Poste 6]]</f>
        <v>0</v>
      </c>
      <c r="AB2837" s="74">
        <f>Devis[[#This Row],[Quantité Totale]]*Devis[[#This Row],[Prix de Revient]]</f>
        <v>0</v>
      </c>
    </row>
    <row r="2838" spans="1:28" ht="14.25" outlineLevel="1" x14ac:dyDescent="0.2">
      <c r="A2838" s="75" t="s">
        <v>2617</v>
      </c>
      <c r="B2838" s="76" t="s">
        <v>5388</v>
      </c>
      <c r="C2838" s="76" t="s">
        <v>5388</v>
      </c>
      <c r="D2838" s="81" t="str">
        <f t="shared" si="48"/>
        <v>RaccordsCoupleur RapideCoupleur Rapide</v>
      </c>
      <c r="E2838" s="76" t="s">
        <v>5486</v>
      </c>
      <c r="F2838" s="76">
        <v>62</v>
      </c>
      <c r="G2838" s="71" t="s">
        <v>5487</v>
      </c>
      <c r="H2838" s="71" t="s">
        <v>4047</v>
      </c>
      <c r="I2838" s="71">
        <v>105505154</v>
      </c>
      <c r="J2838" s="70">
        <f>IFERROR(VLOOKUP(Devis[[#This Row],[Ref Air Flux]],#REF!,3,FALSE),0)</f>
        <v>0</v>
      </c>
      <c r="K2838" s="68"/>
      <c r="L2838" s="68"/>
      <c r="M2838" s="68"/>
      <c r="N2838" s="68"/>
      <c r="O2838" s="68"/>
      <c r="P2838" s="68"/>
      <c r="Q2838" s="68">
        <f>SUM(Devis[[#This Row],[Poste 1]:[Poste 6]])</f>
        <v>0</v>
      </c>
      <c r="R2838" s="71"/>
      <c r="S2838" s="68">
        <f>_xlfn.CEILING.MATH(Devis[[#This Row],[Quantité Totale]],Devis[[#This Row],[Conditionnement]])</f>
        <v>0</v>
      </c>
      <c r="T2838" s="72"/>
      <c r="U2838" s="73"/>
      <c r="V2838" s="74">
        <f>Devis[[#This Row],[Prix de Revient]]*Devis[[#This Row],[Poste 1]]</f>
        <v>0</v>
      </c>
      <c r="W2838" s="74">
        <f>Devis[[#This Row],[Prix de Revient]]*Devis[[#This Row],[Poste 2]]</f>
        <v>0</v>
      </c>
      <c r="X2838" s="74">
        <f>Devis[[#This Row],[Prix de Revient]]*Devis[[#This Row],[Poste 3]]</f>
        <v>0</v>
      </c>
      <c r="Y2838" s="74">
        <f>Devis[[#This Row],[Poste 4]]*Devis[[#This Row],[Prix de Revient]]</f>
        <v>0</v>
      </c>
      <c r="Z2838" s="74">
        <f>Devis[[#This Row],[Poste 5]]*Devis[[#This Row],[Prix de Revient]]</f>
        <v>0</v>
      </c>
      <c r="AA2838" s="74">
        <f>Devis[[#This Row],[Prix de Revient]]*Devis[[#This Row],[Poste 6]]</f>
        <v>0</v>
      </c>
      <c r="AB2838" s="74">
        <f>Devis[[#This Row],[Quantité Totale]]*Devis[[#This Row],[Prix de Revient]]</f>
        <v>0</v>
      </c>
    </row>
    <row r="2839" spans="1:28" ht="14.25" outlineLevel="1" x14ac:dyDescent="0.2">
      <c r="A2839" s="75" t="s">
        <v>2617</v>
      </c>
      <c r="B2839" s="76" t="s">
        <v>5388</v>
      </c>
      <c r="C2839" s="76" t="s">
        <v>5388</v>
      </c>
      <c r="D2839" s="81" t="str">
        <f t="shared" si="48"/>
        <v>RaccordsCoupleur RapideCoupleur Rapide</v>
      </c>
      <c r="E2839" s="76" t="s">
        <v>5488</v>
      </c>
      <c r="F2839" s="76">
        <v>63</v>
      </c>
      <c r="G2839" s="71" t="s">
        <v>5489</v>
      </c>
      <c r="H2839" s="71" t="s">
        <v>4047</v>
      </c>
      <c r="I2839" s="71">
        <v>105505155</v>
      </c>
      <c r="J2839" s="70">
        <f>IFERROR(VLOOKUP(Devis[[#This Row],[Ref Air Flux]],#REF!,3,FALSE),0)</f>
        <v>0</v>
      </c>
      <c r="K2839" s="68"/>
      <c r="L2839" s="68"/>
      <c r="M2839" s="68"/>
      <c r="N2839" s="68"/>
      <c r="O2839" s="68"/>
      <c r="P2839" s="68"/>
      <c r="Q2839" s="68">
        <f>SUM(Devis[[#This Row],[Poste 1]:[Poste 6]])</f>
        <v>0</v>
      </c>
      <c r="R2839" s="71"/>
      <c r="S2839" s="68">
        <f>_xlfn.CEILING.MATH(Devis[[#This Row],[Quantité Totale]],Devis[[#This Row],[Conditionnement]])</f>
        <v>0</v>
      </c>
      <c r="T2839" s="72"/>
      <c r="U2839" s="73"/>
      <c r="V2839" s="74">
        <f>Devis[[#This Row],[Prix de Revient]]*Devis[[#This Row],[Poste 1]]</f>
        <v>0</v>
      </c>
      <c r="W2839" s="74">
        <f>Devis[[#This Row],[Prix de Revient]]*Devis[[#This Row],[Poste 2]]</f>
        <v>0</v>
      </c>
      <c r="X2839" s="74">
        <f>Devis[[#This Row],[Prix de Revient]]*Devis[[#This Row],[Poste 3]]</f>
        <v>0</v>
      </c>
      <c r="Y2839" s="74">
        <f>Devis[[#This Row],[Poste 4]]*Devis[[#This Row],[Prix de Revient]]</f>
        <v>0</v>
      </c>
      <c r="Z2839" s="74">
        <f>Devis[[#This Row],[Poste 5]]*Devis[[#This Row],[Prix de Revient]]</f>
        <v>0</v>
      </c>
      <c r="AA2839" s="74">
        <f>Devis[[#This Row],[Prix de Revient]]*Devis[[#This Row],[Poste 6]]</f>
        <v>0</v>
      </c>
      <c r="AB2839" s="74">
        <f>Devis[[#This Row],[Quantité Totale]]*Devis[[#This Row],[Prix de Revient]]</f>
        <v>0</v>
      </c>
    </row>
    <row r="2840" spans="1:28" ht="14.25" customHeight="1" outlineLevel="1" x14ac:dyDescent="0.2">
      <c r="A2840" s="75" t="s">
        <v>2617</v>
      </c>
      <c r="B2840" s="76" t="s">
        <v>5388</v>
      </c>
      <c r="C2840" s="76" t="s">
        <v>5388</v>
      </c>
      <c r="D2840" s="81" t="str">
        <f t="shared" si="48"/>
        <v>RaccordsCoupleur RapideCoupleur Rapide</v>
      </c>
      <c r="E2840" s="76" t="s">
        <v>5490</v>
      </c>
      <c r="F2840" s="76">
        <v>64</v>
      </c>
      <c r="G2840" s="71">
        <v>5505157</v>
      </c>
      <c r="H2840" s="71" t="s">
        <v>4047</v>
      </c>
      <c r="I2840" s="71">
        <v>105505157</v>
      </c>
      <c r="J2840" s="70">
        <f>IFERROR(VLOOKUP(Devis[[#This Row],[Ref Air Flux]],#REF!,3,FALSE),0)</f>
        <v>0</v>
      </c>
      <c r="K2840" s="68"/>
      <c r="L2840" s="68"/>
      <c r="M2840" s="68"/>
      <c r="N2840" s="68"/>
      <c r="O2840" s="68"/>
      <c r="P2840" s="68"/>
      <c r="Q2840" s="68">
        <f>SUM(Devis[[#This Row],[Poste 1]:[Poste 6]])</f>
        <v>0</v>
      </c>
      <c r="R2840" s="71"/>
      <c r="S2840" s="68">
        <f>_xlfn.CEILING.MATH(Devis[[#This Row],[Quantité Totale]],Devis[[#This Row],[Conditionnement]])</f>
        <v>0</v>
      </c>
      <c r="T2840" s="72"/>
      <c r="U2840" s="73"/>
      <c r="V2840" s="74">
        <f>Devis[[#This Row],[Prix de Revient]]*Devis[[#This Row],[Poste 1]]</f>
        <v>0</v>
      </c>
      <c r="W2840" s="74">
        <f>Devis[[#This Row],[Prix de Revient]]*Devis[[#This Row],[Poste 2]]</f>
        <v>0</v>
      </c>
      <c r="X2840" s="74">
        <f>Devis[[#This Row],[Prix de Revient]]*Devis[[#This Row],[Poste 3]]</f>
        <v>0</v>
      </c>
      <c r="Y2840" s="74">
        <f>Devis[[#This Row],[Poste 4]]*Devis[[#This Row],[Prix de Revient]]</f>
        <v>0</v>
      </c>
      <c r="Z2840" s="74">
        <f>Devis[[#This Row],[Poste 5]]*Devis[[#This Row],[Prix de Revient]]</f>
        <v>0</v>
      </c>
      <c r="AA2840" s="74">
        <f>Devis[[#This Row],[Prix de Revient]]*Devis[[#This Row],[Poste 6]]</f>
        <v>0</v>
      </c>
      <c r="AB2840" s="74">
        <f>Devis[[#This Row],[Quantité Totale]]*Devis[[#This Row],[Prix de Revient]]</f>
        <v>0</v>
      </c>
    </row>
    <row r="2841" spans="1:28" ht="14.25" customHeight="1" x14ac:dyDescent="0.25">
      <c r="A2841" s="65" t="s">
        <v>2617</v>
      </c>
      <c r="B2841" s="65" t="s">
        <v>2683</v>
      </c>
      <c r="C2841" s="113" t="s">
        <v>2683</v>
      </c>
      <c r="D2841" s="81" t="str">
        <f t="shared" si="48"/>
        <v>RaccordsPVC purgesPVC purges</v>
      </c>
      <c r="E2841" s="76"/>
      <c r="F2841" s="76">
        <v>0</v>
      </c>
      <c r="G2841" s="71"/>
      <c r="H2841" s="71"/>
      <c r="I2841" s="71"/>
      <c r="J2841" s="70">
        <f>IFERROR(VLOOKUP(Devis[[#This Row],[Ref Air Flux]],#REF!,3,FALSE),0)</f>
        <v>0</v>
      </c>
      <c r="K2841" s="68"/>
      <c r="L2841" s="68"/>
      <c r="M2841" s="68"/>
      <c r="N2841" s="68"/>
      <c r="O2841" s="68"/>
      <c r="P2841" s="68"/>
      <c r="Q2841" s="68">
        <f>SUM(Devis[[#This Row],[Poste 1]:[Poste 6]])</f>
        <v>0</v>
      </c>
      <c r="R2841" s="71"/>
      <c r="S2841" s="68">
        <f>_xlfn.CEILING.MATH(Devis[[#This Row],[Quantité Totale]],Devis[[#This Row],[Conditionnement]])</f>
        <v>0</v>
      </c>
      <c r="T2841" s="72"/>
      <c r="U2841" s="73"/>
      <c r="V2841" s="74">
        <f>Devis[[#This Row],[Prix de Revient]]*Devis[[#This Row],[Poste 1]]</f>
        <v>0</v>
      </c>
      <c r="W2841" s="74">
        <f>Devis[[#This Row],[Prix de Revient]]*Devis[[#This Row],[Poste 2]]</f>
        <v>0</v>
      </c>
      <c r="X2841" s="74">
        <f>Devis[[#This Row],[Prix de Revient]]*Devis[[#This Row],[Poste 3]]</f>
        <v>0</v>
      </c>
      <c r="Y2841" s="74">
        <f>Devis[[#This Row],[Poste 4]]*Devis[[#This Row],[Prix de Revient]]</f>
        <v>0</v>
      </c>
      <c r="Z2841" s="74">
        <f>Devis[[#This Row],[Poste 5]]*Devis[[#This Row],[Prix de Revient]]</f>
        <v>0</v>
      </c>
      <c r="AA2841" s="74">
        <f>Devis[[#This Row],[Prix de Revient]]*Devis[[#This Row],[Poste 6]]</f>
        <v>0</v>
      </c>
      <c r="AB2841" s="74">
        <f>Devis[[#This Row],[Quantité Totale]]*Devis[[#This Row],[Prix de Revient]]</f>
        <v>0</v>
      </c>
    </row>
    <row r="2842" spans="1:28" ht="14.25" outlineLevel="1" x14ac:dyDescent="0.2">
      <c r="A2842" s="75" t="s">
        <v>2617</v>
      </c>
      <c r="B2842" s="76" t="s">
        <v>2683</v>
      </c>
      <c r="C2842" s="76" t="s">
        <v>2683</v>
      </c>
      <c r="D2842" s="81" t="str">
        <f t="shared" si="48"/>
        <v>RaccordsPVC purgesPVC purges</v>
      </c>
      <c r="E2842" s="76" t="s">
        <v>2684</v>
      </c>
      <c r="F2842" s="76">
        <v>1</v>
      </c>
      <c r="G2842" s="71" t="s">
        <v>2685</v>
      </c>
      <c r="H2842" s="71"/>
      <c r="I2842" s="71"/>
      <c r="J2842" s="70">
        <f>IFERROR(VLOOKUP(Devis[[#This Row],[Ref Air Flux]],#REF!,3,FALSE),0)</f>
        <v>0</v>
      </c>
      <c r="K2842" s="68"/>
      <c r="L2842" s="68"/>
      <c r="M2842" s="68"/>
      <c r="N2842" s="68"/>
      <c r="O2842" s="68"/>
      <c r="P2842" s="68"/>
      <c r="Q2842" s="68">
        <f>SUM(Devis[[#This Row],[Poste 1]:[Poste 6]])</f>
        <v>0</v>
      </c>
      <c r="R2842" s="71"/>
      <c r="S2842" s="68">
        <f>_xlfn.CEILING.MATH(Devis[[#This Row],[Quantité Totale]],Devis[[#This Row],[Conditionnement]])</f>
        <v>0</v>
      </c>
      <c r="T2842" s="72"/>
      <c r="U2842" s="73"/>
      <c r="V2842" s="74">
        <f>Devis[[#This Row],[Prix de Revient]]*Devis[[#This Row],[Poste 1]]</f>
        <v>0</v>
      </c>
      <c r="W2842" s="74">
        <f>Devis[[#This Row],[Prix de Revient]]*Devis[[#This Row],[Poste 2]]</f>
        <v>0</v>
      </c>
      <c r="X2842" s="74">
        <f>Devis[[#This Row],[Prix de Revient]]*Devis[[#This Row],[Poste 3]]</f>
        <v>0</v>
      </c>
      <c r="Y2842" s="74">
        <f>Devis[[#This Row],[Poste 4]]*Devis[[#This Row],[Prix de Revient]]</f>
        <v>0</v>
      </c>
      <c r="Z2842" s="74">
        <f>Devis[[#This Row],[Poste 5]]*Devis[[#This Row],[Prix de Revient]]</f>
        <v>0</v>
      </c>
      <c r="AA2842" s="74">
        <f>Devis[[#This Row],[Prix de Revient]]*Devis[[#This Row],[Poste 6]]</f>
        <v>0</v>
      </c>
      <c r="AB2842" s="74">
        <f>Devis[[#This Row],[Quantité Totale]]*Devis[[#This Row],[Prix de Revient]]</f>
        <v>0</v>
      </c>
    </row>
    <row r="2843" spans="1:28" ht="14.25" outlineLevel="1" x14ac:dyDescent="0.2">
      <c r="A2843" s="75" t="s">
        <v>2617</v>
      </c>
      <c r="B2843" s="76" t="s">
        <v>2683</v>
      </c>
      <c r="C2843" s="76" t="s">
        <v>2683</v>
      </c>
      <c r="D2843" s="81" t="str">
        <f t="shared" si="48"/>
        <v>RaccordsPVC purgesPVC purges</v>
      </c>
      <c r="E2843" s="76" t="s">
        <v>2686</v>
      </c>
      <c r="F2843" s="76">
        <v>2</v>
      </c>
      <c r="G2843" s="71" t="s">
        <v>2687</v>
      </c>
      <c r="H2843" s="71"/>
      <c r="I2843" s="71"/>
      <c r="J2843" s="70">
        <f>IFERROR(VLOOKUP(Devis[[#This Row],[Ref Air Flux]],#REF!,3,FALSE),0)</f>
        <v>0</v>
      </c>
      <c r="K2843" s="68"/>
      <c r="L2843" s="68"/>
      <c r="M2843" s="68"/>
      <c r="N2843" s="68"/>
      <c r="O2843" s="68"/>
      <c r="P2843" s="68"/>
      <c r="Q2843" s="68">
        <f>SUM(Devis[[#This Row],[Poste 1]:[Poste 6]])</f>
        <v>0</v>
      </c>
      <c r="R2843" s="71"/>
      <c r="S2843" s="68">
        <f>_xlfn.CEILING.MATH(Devis[[#This Row],[Quantité Totale]],Devis[[#This Row],[Conditionnement]])</f>
        <v>0</v>
      </c>
      <c r="T2843" s="72"/>
      <c r="U2843" s="73"/>
      <c r="V2843" s="74">
        <f>Devis[[#This Row],[Prix de Revient]]*Devis[[#This Row],[Poste 1]]</f>
        <v>0</v>
      </c>
      <c r="W2843" s="74">
        <f>Devis[[#This Row],[Prix de Revient]]*Devis[[#This Row],[Poste 2]]</f>
        <v>0</v>
      </c>
      <c r="X2843" s="74">
        <f>Devis[[#This Row],[Prix de Revient]]*Devis[[#This Row],[Poste 3]]</f>
        <v>0</v>
      </c>
      <c r="Y2843" s="74">
        <f>Devis[[#This Row],[Poste 4]]*Devis[[#This Row],[Prix de Revient]]</f>
        <v>0</v>
      </c>
      <c r="Z2843" s="74">
        <f>Devis[[#This Row],[Poste 5]]*Devis[[#This Row],[Prix de Revient]]</f>
        <v>0</v>
      </c>
      <c r="AA2843" s="74">
        <f>Devis[[#This Row],[Prix de Revient]]*Devis[[#This Row],[Poste 6]]</f>
        <v>0</v>
      </c>
      <c r="AB2843" s="74">
        <f>Devis[[#This Row],[Quantité Totale]]*Devis[[#This Row],[Prix de Revient]]</f>
        <v>0</v>
      </c>
    </row>
    <row r="2844" spans="1:28" ht="14.25" outlineLevel="1" x14ac:dyDescent="0.2">
      <c r="A2844" s="75" t="s">
        <v>2617</v>
      </c>
      <c r="B2844" s="76" t="s">
        <v>2683</v>
      </c>
      <c r="C2844" s="76" t="s">
        <v>2683</v>
      </c>
      <c r="D2844" s="81" t="str">
        <f t="shared" si="48"/>
        <v>RaccordsPVC purgesPVC purges</v>
      </c>
      <c r="E2844" s="76" t="s">
        <v>2688</v>
      </c>
      <c r="F2844" s="76">
        <v>3</v>
      </c>
      <c r="G2844" s="71" t="s">
        <v>2689</v>
      </c>
      <c r="H2844" s="71"/>
      <c r="I2844" s="71"/>
      <c r="J2844" s="70">
        <f>IFERROR(VLOOKUP(Devis[[#This Row],[Ref Air Flux]],#REF!,3,FALSE),0)</f>
        <v>0</v>
      </c>
      <c r="K2844" s="68"/>
      <c r="L2844" s="68"/>
      <c r="M2844" s="68"/>
      <c r="N2844" s="68"/>
      <c r="O2844" s="68"/>
      <c r="P2844" s="68"/>
      <c r="Q2844" s="68">
        <f>SUM(Devis[[#This Row],[Poste 1]:[Poste 6]])</f>
        <v>0</v>
      </c>
      <c r="R2844" s="71"/>
      <c r="S2844" s="68">
        <f>_xlfn.CEILING.MATH(Devis[[#This Row],[Quantité Totale]],Devis[[#This Row],[Conditionnement]])</f>
        <v>0</v>
      </c>
      <c r="T2844" s="72"/>
      <c r="U2844" s="73"/>
      <c r="V2844" s="74">
        <f>Devis[[#This Row],[Prix de Revient]]*Devis[[#This Row],[Poste 1]]</f>
        <v>0</v>
      </c>
      <c r="W2844" s="74">
        <f>Devis[[#This Row],[Prix de Revient]]*Devis[[#This Row],[Poste 2]]</f>
        <v>0</v>
      </c>
      <c r="X2844" s="74">
        <f>Devis[[#This Row],[Prix de Revient]]*Devis[[#This Row],[Poste 3]]</f>
        <v>0</v>
      </c>
      <c r="Y2844" s="74">
        <f>Devis[[#This Row],[Poste 4]]*Devis[[#This Row],[Prix de Revient]]</f>
        <v>0</v>
      </c>
      <c r="Z2844" s="74">
        <f>Devis[[#This Row],[Poste 5]]*Devis[[#This Row],[Prix de Revient]]</f>
        <v>0</v>
      </c>
      <c r="AA2844" s="74">
        <f>Devis[[#This Row],[Prix de Revient]]*Devis[[#This Row],[Poste 6]]</f>
        <v>0</v>
      </c>
      <c r="AB2844" s="74">
        <f>Devis[[#This Row],[Quantité Totale]]*Devis[[#This Row],[Prix de Revient]]</f>
        <v>0</v>
      </c>
    </row>
    <row r="2845" spans="1:28" ht="14.25" outlineLevel="1" x14ac:dyDescent="0.2">
      <c r="A2845" s="75" t="s">
        <v>2617</v>
      </c>
      <c r="B2845" s="76" t="s">
        <v>2683</v>
      </c>
      <c r="C2845" s="76" t="s">
        <v>2683</v>
      </c>
      <c r="D2845" s="81" t="str">
        <f t="shared" si="48"/>
        <v>RaccordsPVC purgesPVC purges</v>
      </c>
      <c r="E2845" s="76" t="s">
        <v>2690</v>
      </c>
      <c r="F2845" s="76">
        <v>4</v>
      </c>
      <c r="G2845" s="71" t="s">
        <v>2691</v>
      </c>
      <c r="H2845" s="71"/>
      <c r="I2845" s="71"/>
      <c r="J2845" s="70">
        <f>IFERROR(VLOOKUP(Devis[[#This Row],[Ref Air Flux]],#REF!,3,FALSE),0)</f>
        <v>0</v>
      </c>
      <c r="K2845" s="68"/>
      <c r="L2845" s="68"/>
      <c r="M2845" s="68"/>
      <c r="N2845" s="68"/>
      <c r="O2845" s="68"/>
      <c r="P2845" s="68"/>
      <c r="Q2845" s="68">
        <f>SUM(Devis[[#This Row],[Poste 1]:[Poste 6]])</f>
        <v>0</v>
      </c>
      <c r="R2845" s="71"/>
      <c r="S2845" s="68">
        <f>_xlfn.CEILING.MATH(Devis[[#This Row],[Quantité Totale]],Devis[[#This Row],[Conditionnement]])</f>
        <v>0</v>
      </c>
      <c r="T2845" s="72"/>
      <c r="U2845" s="73"/>
      <c r="V2845" s="74">
        <f>Devis[[#This Row],[Prix de Revient]]*Devis[[#This Row],[Poste 1]]</f>
        <v>0</v>
      </c>
      <c r="W2845" s="74">
        <f>Devis[[#This Row],[Prix de Revient]]*Devis[[#This Row],[Poste 2]]</f>
        <v>0</v>
      </c>
      <c r="X2845" s="74">
        <f>Devis[[#This Row],[Prix de Revient]]*Devis[[#This Row],[Poste 3]]</f>
        <v>0</v>
      </c>
      <c r="Y2845" s="74">
        <f>Devis[[#This Row],[Poste 4]]*Devis[[#This Row],[Prix de Revient]]</f>
        <v>0</v>
      </c>
      <c r="Z2845" s="74">
        <f>Devis[[#This Row],[Poste 5]]*Devis[[#This Row],[Prix de Revient]]</f>
        <v>0</v>
      </c>
      <c r="AA2845" s="74">
        <f>Devis[[#This Row],[Prix de Revient]]*Devis[[#This Row],[Poste 6]]</f>
        <v>0</v>
      </c>
      <c r="AB2845" s="74">
        <f>Devis[[#This Row],[Quantité Totale]]*Devis[[#This Row],[Prix de Revient]]</f>
        <v>0</v>
      </c>
    </row>
    <row r="2846" spans="1:28" ht="14.25" outlineLevel="1" x14ac:dyDescent="0.2">
      <c r="A2846" s="75" t="s">
        <v>2617</v>
      </c>
      <c r="B2846" s="76" t="s">
        <v>2683</v>
      </c>
      <c r="C2846" s="76" t="s">
        <v>2683</v>
      </c>
      <c r="D2846" s="81" t="str">
        <f t="shared" si="48"/>
        <v>RaccordsPVC purgesPVC purges</v>
      </c>
      <c r="E2846" s="76" t="s">
        <v>2692</v>
      </c>
      <c r="F2846" s="76">
        <v>5</v>
      </c>
      <c r="G2846" s="71" t="s">
        <v>2693</v>
      </c>
      <c r="H2846" s="71"/>
      <c r="I2846" s="71"/>
      <c r="J2846" s="70">
        <f>IFERROR(VLOOKUP(Devis[[#This Row],[Ref Air Flux]],#REF!,3,FALSE),0)</f>
        <v>0</v>
      </c>
      <c r="K2846" s="68"/>
      <c r="L2846" s="68"/>
      <c r="M2846" s="68"/>
      <c r="N2846" s="68"/>
      <c r="O2846" s="68"/>
      <c r="P2846" s="68"/>
      <c r="Q2846" s="68">
        <f>SUM(Devis[[#This Row],[Poste 1]:[Poste 6]])</f>
        <v>0</v>
      </c>
      <c r="R2846" s="71"/>
      <c r="S2846" s="68">
        <f>_xlfn.CEILING.MATH(Devis[[#This Row],[Quantité Totale]],Devis[[#This Row],[Conditionnement]])</f>
        <v>0</v>
      </c>
      <c r="T2846" s="72"/>
      <c r="U2846" s="73"/>
      <c r="V2846" s="74">
        <f>Devis[[#This Row],[Prix de Revient]]*Devis[[#This Row],[Poste 1]]</f>
        <v>0</v>
      </c>
      <c r="W2846" s="74">
        <f>Devis[[#This Row],[Prix de Revient]]*Devis[[#This Row],[Poste 2]]</f>
        <v>0</v>
      </c>
      <c r="X2846" s="74">
        <f>Devis[[#This Row],[Prix de Revient]]*Devis[[#This Row],[Poste 3]]</f>
        <v>0</v>
      </c>
      <c r="Y2846" s="74">
        <f>Devis[[#This Row],[Poste 4]]*Devis[[#This Row],[Prix de Revient]]</f>
        <v>0</v>
      </c>
      <c r="Z2846" s="74">
        <f>Devis[[#This Row],[Poste 5]]*Devis[[#This Row],[Prix de Revient]]</f>
        <v>0</v>
      </c>
      <c r="AA2846" s="74">
        <f>Devis[[#This Row],[Prix de Revient]]*Devis[[#This Row],[Poste 6]]</f>
        <v>0</v>
      </c>
      <c r="AB2846" s="74">
        <f>Devis[[#This Row],[Quantité Totale]]*Devis[[#This Row],[Prix de Revient]]</f>
        <v>0</v>
      </c>
    </row>
    <row r="2847" spans="1:28" ht="14.25" customHeight="1" outlineLevel="1" x14ac:dyDescent="0.2">
      <c r="A2847" s="75" t="s">
        <v>2617</v>
      </c>
      <c r="B2847" s="76" t="s">
        <v>2683</v>
      </c>
      <c r="C2847" s="76" t="s">
        <v>2683</v>
      </c>
      <c r="D2847" s="81" t="str">
        <f t="shared" si="48"/>
        <v>RaccordsPVC purgesPVC purges</v>
      </c>
      <c r="E2847" s="76" t="s">
        <v>2694</v>
      </c>
      <c r="F2847" s="76">
        <v>6</v>
      </c>
      <c r="G2847" s="71" t="s">
        <v>2695</v>
      </c>
      <c r="H2847" s="71"/>
      <c r="I2847" s="71"/>
      <c r="J2847" s="70">
        <f>IFERROR(VLOOKUP(Devis[[#This Row],[Ref Air Flux]],#REF!,3,FALSE),0)</f>
        <v>0</v>
      </c>
      <c r="K2847" s="68"/>
      <c r="L2847" s="68"/>
      <c r="M2847" s="68"/>
      <c r="N2847" s="68"/>
      <c r="O2847" s="68"/>
      <c r="P2847" s="68"/>
      <c r="Q2847" s="68">
        <f>SUM(Devis[[#This Row],[Poste 1]:[Poste 6]])</f>
        <v>0</v>
      </c>
      <c r="R2847" s="71"/>
      <c r="S2847" s="68">
        <f>_xlfn.CEILING.MATH(Devis[[#This Row],[Quantité Totale]],Devis[[#This Row],[Conditionnement]])</f>
        <v>0</v>
      </c>
      <c r="T2847" s="72"/>
      <c r="U2847" s="73"/>
      <c r="V2847" s="74">
        <f>Devis[[#This Row],[Prix de Revient]]*Devis[[#This Row],[Poste 1]]</f>
        <v>0</v>
      </c>
      <c r="W2847" s="74">
        <f>Devis[[#This Row],[Prix de Revient]]*Devis[[#This Row],[Poste 2]]</f>
        <v>0</v>
      </c>
      <c r="X2847" s="74">
        <f>Devis[[#This Row],[Prix de Revient]]*Devis[[#This Row],[Poste 3]]</f>
        <v>0</v>
      </c>
      <c r="Y2847" s="74">
        <f>Devis[[#This Row],[Poste 4]]*Devis[[#This Row],[Prix de Revient]]</f>
        <v>0</v>
      </c>
      <c r="Z2847" s="74">
        <f>Devis[[#This Row],[Poste 5]]*Devis[[#This Row],[Prix de Revient]]</f>
        <v>0</v>
      </c>
      <c r="AA2847" s="74">
        <f>Devis[[#This Row],[Prix de Revient]]*Devis[[#This Row],[Poste 6]]</f>
        <v>0</v>
      </c>
      <c r="AB2847" s="74">
        <f>Devis[[#This Row],[Quantité Totale]]*Devis[[#This Row],[Prix de Revient]]</f>
        <v>0</v>
      </c>
    </row>
    <row r="2848" spans="1:28" ht="14.25" outlineLevel="1" x14ac:dyDescent="0.2">
      <c r="A2848" s="75" t="s">
        <v>2617</v>
      </c>
      <c r="B2848" s="76" t="s">
        <v>2683</v>
      </c>
      <c r="C2848" s="76" t="s">
        <v>2683</v>
      </c>
      <c r="D2848" s="81" t="str">
        <f t="shared" si="48"/>
        <v>RaccordsPVC purgesPVC purges</v>
      </c>
      <c r="E2848" s="76" t="s">
        <v>2696</v>
      </c>
      <c r="F2848" s="76">
        <v>7</v>
      </c>
      <c r="G2848" s="71"/>
      <c r="H2848" s="71"/>
      <c r="I2848" s="71"/>
      <c r="J2848" s="70">
        <f>IFERROR(VLOOKUP(Devis[[#This Row],[Ref Air Flux]],#REF!,3,FALSE),0)</f>
        <v>0</v>
      </c>
      <c r="K2848" s="68"/>
      <c r="L2848" s="68"/>
      <c r="M2848" s="68"/>
      <c r="N2848" s="68"/>
      <c r="O2848" s="68"/>
      <c r="P2848" s="68"/>
      <c r="Q2848" s="68">
        <f>SUM(Devis[[#This Row],[Poste 1]:[Poste 6]])</f>
        <v>0</v>
      </c>
      <c r="R2848" s="71"/>
      <c r="S2848" s="68">
        <f>_xlfn.CEILING.MATH(Devis[[#This Row],[Quantité Totale]],Devis[[#This Row],[Conditionnement]])</f>
        <v>0</v>
      </c>
      <c r="T2848" s="72"/>
      <c r="U2848" s="73"/>
      <c r="V2848" s="74">
        <f>Devis[[#This Row],[Prix de Revient]]*Devis[[#This Row],[Poste 1]]</f>
        <v>0</v>
      </c>
      <c r="W2848" s="74">
        <f>Devis[[#This Row],[Prix de Revient]]*Devis[[#This Row],[Poste 2]]</f>
        <v>0</v>
      </c>
      <c r="X2848" s="74">
        <f>Devis[[#This Row],[Prix de Revient]]*Devis[[#This Row],[Poste 3]]</f>
        <v>0</v>
      </c>
      <c r="Y2848" s="74">
        <f>Devis[[#This Row],[Poste 4]]*Devis[[#This Row],[Prix de Revient]]</f>
        <v>0</v>
      </c>
      <c r="Z2848" s="74">
        <f>Devis[[#This Row],[Poste 5]]*Devis[[#This Row],[Prix de Revient]]</f>
        <v>0</v>
      </c>
      <c r="AA2848" s="74">
        <f>Devis[[#This Row],[Prix de Revient]]*Devis[[#This Row],[Poste 6]]</f>
        <v>0</v>
      </c>
      <c r="AB2848" s="74">
        <f>Devis[[#This Row],[Quantité Totale]]*Devis[[#This Row],[Prix de Revient]]</f>
        <v>0</v>
      </c>
    </row>
    <row r="2849" spans="1:28" ht="14.25" outlineLevel="1" x14ac:dyDescent="0.2">
      <c r="A2849" s="75" t="s">
        <v>2617</v>
      </c>
      <c r="B2849" s="76" t="s">
        <v>2683</v>
      </c>
      <c r="C2849" s="76" t="s">
        <v>2683</v>
      </c>
      <c r="D2849" s="81" t="str">
        <f t="shared" si="48"/>
        <v>RaccordsPVC purgesPVC purges</v>
      </c>
      <c r="E2849" s="76" t="s">
        <v>2697</v>
      </c>
      <c r="F2849" s="76">
        <v>8</v>
      </c>
      <c r="G2849" s="71" t="s">
        <v>2698</v>
      </c>
      <c r="H2849" s="71"/>
      <c r="I2849" s="71"/>
      <c r="J2849" s="70">
        <f>IFERROR(VLOOKUP(Devis[[#This Row],[Ref Air Flux]],#REF!,3,FALSE),0)</f>
        <v>0</v>
      </c>
      <c r="K2849" s="68"/>
      <c r="L2849" s="68"/>
      <c r="M2849" s="68"/>
      <c r="N2849" s="68"/>
      <c r="O2849" s="68"/>
      <c r="P2849" s="68"/>
      <c r="Q2849" s="68">
        <f>SUM(Devis[[#This Row],[Poste 1]:[Poste 6]])</f>
        <v>0</v>
      </c>
      <c r="R2849" s="71"/>
      <c r="S2849" s="68">
        <f>_xlfn.CEILING.MATH(Devis[[#This Row],[Quantité Totale]],Devis[[#This Row],[Conditionnement]])</f>
        <v>0</v>
      </c>
      <c r="T2849" s="72"/>
      <c r="U2849" s="73"/>
      <c r="V2849" s="74">
        <f>Devis[[#This Row],[Prix de Revient]]*Devis[[#This Row],[Poste 1]]</f>
        <v>0</v>
      </c>
      <c r="W2849" s="74">
        <f>Devis[[#This Row],[Prix de Revient]]*Devis[[#This Row],[Poste 2]]</f>
        <v>0</v>
      </c>
      <c r="X2849" s="74">
        <f>Devis[[#This Row],[Prix de Revient]]*Devis[[#This Row],[Poste 3]]</f>
        <v>0</v>
      </c>
      <c r="Y2849" s="74">
        <f>Devis[[#This Row],[Poste 4]]*Devis[[#This Row],[Prix de Revient]]</f>
        <v>0</v>
      </c>
      <c r="Z2849" s="74">
        <f>Devis[[#This Row],[Poste 5]]*Devis[[#This Row],[Prix de Revient]]</f>
        <v>0</v>
      </c>
      <c r="AA2849" s="74">
        <f>Devis[[#This Row],[Prix de Revient]]*Devis[[#This Row],[Poste 6]]</f>
        <v>0</v>
      </c>
      <c r="AB2849" s="74">
        <f>Devis[[#This Row],[Quantité Totale]]*Devis[[#This Row],[Prix de Revient]]</f>
        <v>0</v>
      </c>
    </row>
    <row r="2850" spans="1:28" ht="14.25" customHeight="1" outlineLevel="1" x14ac:dyDescent="0.2">
      <c r="A2850" s="75" t="s">
        <v>2617</v>
      </c>
      <c r="B2850" s="76" t="s">
        <v>2683</v>
      </c>
      <c r="C2850" s="76" t="s">
        <v>2683</v>
      </c>
      <c r="D2850" s="81" t="str">
        <f t="shared" si="48"/>
        <v>RaccordsPVC purgesPVC purges</v>
      </c>
      <c r="E2850" s="76" t="s">
        <v>2699</v>
      </c>
      <c r="F2850" s="76">
        <v>9</v>
      </c>
      <c r="G2850" s="71" t="s">
        <v>2700</v>
      </c>
      <c r="H2850" s="71"/>
      <c r="I2850" s="71"/>
      <c r="J2850" s="70">
        <f>IFERROR(VLOOKUP(Devis[[#This Row],[Ref Air Flux]],#REF!,3,FALSE),0)</f>
        <v>0</v>
      </c>
      <c r="K2850" s="68"/>
      <c r="L2850" s="68"/>
      <c r="M2850" s="68"/>
      <c r="N2850" s="68"/>
      <c r="O2850" s="68"/>
      <c r="P2850" s="68"/>
      <c r="Q2850" s="68">
        <f>SUM(Devis[[#This Row],[Poste 1]:[Poste 6]])</f>
        <v>0</v>
      </c>
      <c r="R2850" s="71"/>
      <c r="S2850" s="68">
        <f>_xlfn.CEILING.MATH(Devis[[#This Row],[Quantité Totale]],Devis[[#This Row],[Conditionnement]])</f>
        <v>0</v>
      </c>
      <c r="T2850" s="72"/>
      <c r="U2850" s="73"/>
      <c r="V2850" s="74">
        <f>Devis[[#This Row],[Prix de Revient]]*Devis[[#This Row],[Poste 1]]</f>
        <v>0</v>
      </c>
      <c r="W2850" s="74">
        <f>Devis[[#This Row],[Prix de Revient]]*Devis[[#This Row],[Poste 2]]</f>
        <v>0</v>
      </c>
      <c r="X2850" s="74">
        <f>Devis[[#This Row],[Prix de Revient]]*Devis[[#This Row],[Poste 3]]</f>
        <v>0</v>
      </c>
      <c r="Y2850" s="74">
        <f>Devis[[#This Row],[Poste 4]]*Devis[[#This Row],[Prix de Revient]]</f>
        <v>0</v>
      </c>
      <c r="Z2850" s="74">
        <f>Devis[[#This Row],[Poste 5]]*Devis[[#This Row],[Prix de Revient]]</f>
        <v>0</v>
      </c>
      <c r="AA2850" s="74">
        <f>Devis[[#This Row],[Prix de Revient]]*Devis[[#This Row],[Poste 6]]</f>
        <v>0</v>
      </c>
      <c r="AB2850" s="74">
        <f>Devis[[#This Row],[Quantité Totale]]*Devis[[#This Row],[Prix de Revient]]</f>
        <v>0</v>
      </c>
    </row>
    <row r="2851" spans="1:28" ht="14.25" customHeight="1" outlineLevel="1" x14ac:dyDescent="0.2">
      <c r="A2851" s="75" t="s">
        <v>2617</v>
      </c>
      <c r="B2851" s="76" t="s">
        <v>2683</v>
      </c>
      <c r="C2851" s="76" t="s">
        <v>2683</v>
      </c>
      <c r="D2851" s="81" t="str">
        <f t="shared" si="48"/>
        <v>RaccordsPVC purgesPVC purges</v>
      </c>
      <c r="E2851" s="76" t="s">
        <v>2701</v>
      </c>
      <c r="F2851" s="76">
        <v>10</v>
      </c>
      <c r="G2851" s="71"/>
      <c r="H2851" s="71"/>
      <c r="I2851" s="71"/>
      <c r="J2851" s="70">
        <f>IFERROR(VLOOKUP(Devis[[#This Row],[Ref Air Flux]],#REF!,3,FALSE),0)</f>
        <v>0</v>
      </c>
      <c r="K2851" s="68"/>
      <c r="L2851" s="68"/>
      <c r="M2851" s="68"/>
      <c r="N2851" s="68"/>
      <c r="O2851" s="68"/>
      <c r="P2851" s="68"/>
      <c r="Q2851" s="68">
        <f>SUM(Devis[[#This Row],[Poste 1]:[Poste 6]])</f>
        <v>0</v>
      </c>
      <c r="R2851" s="71"/>
      <c r="S2851" s="68">
        <f>_xlfn.CEILING.MATH(Devis[[#This Row],[Quantité Totale]],Devis[[#This Row],[Conditionnement]])</f>
        <v>0</v>
      </c>
      <c r="T2851" s="72"/>
      <c r="U2851" s="73"/>
      <c r="V2851" s="74">
        <f>Devis[[#This Row],[Prix de Revient]]*Devis[[#This Row],[Poste 1]]</f>
        <v>0</v>
      </c>
      <c r="W2851" s="74">
        <f>Devis[[#This Row],[Prix de Revient]]*Devis[[#This Row],[Poste 2]]</f>
        <v>0</v>
      </c>
      <c r="X2851" s="74">
        <f>Devis[[#This Row],[Prix de Revient]]*Devis[[#This Row],[Poste 3]]</f>
        <v>0</v>
      </c>
      <c r="Y2851" s="74">
        <f>Devis[[#This Row],[Poste 4]]*Devis[[#This Row],[Prix de Revient]]</f>
        <v>0</v>
      </c>
      <c r="Z2851" s="74">
        <f>Devis[[#This Row],[Poste 5]]*Devis[[#This Row],[Prix de Revient]]</f>
        <v>0</v>
      </c>
      <c r="AA2851" s="74">
        <f>Devis[[#This Row],[Prix de Revient]]*Devis[[#This Row],[Poste 6]]</f>
        <v>0</v>
      </c>
      <c r="AB2851" s="74">
        <f>Devis[[#This Row],[Quantité Totale]]*Devis[[#This Row],[Prix de Revient]]</f>
        <v>0</v>
      </c>
    </row>
    <row r="2852" spans="1:28" ht="14.25" customHeight="1" outlineLevel="1" x14ac:dyDescent="0.2">
      <c r="A2852" s="75" t="s">
        <v>2617</v>
      </c>
      <c r="B2852" s="76" t="s">
        <v>2683</v>
      </c>
      <c r="C2852" s="76" t="s">
        <v>2683</v>
      </c>
      <c r="D2852" s="81" t="str">
        <f t="shared" si="48"/>
        <v>RaccordsPVC purgesPVC purges</v>
      </c>
      <c r="E2852" s="76" t="s">
        <v>2702</v>
      </c>
      <c r="F2852" s="76">
        <v>11</v>
      </c>
      <c r="G2852" s="71" t="s">
        <v>2703</v>
      </c>
      <c r="H2852" s="71"/>
      <c r="I2852" s="71"/>
      <c r="J2852" s="70">
        <f>IFERROR(VLOOKUP(Devis[[#This Row],[Ref Air Flux]],#REF!,3,FALSE),0)</f>
        <v>0</v>
      </c>
      <c r="K2852" s="68"/>
      <c r="L2852" s="68"/>
      <c r="M2852" s="68"/>
      <c r="N2852" s="68"/>
      <c r="O2852" s="68"/>
      <c r="P2852" s="68"/>
      <c r="Q2852" s="68">
        <f>SUM(Devis[[#This Row],[Poste 1]:[Poste 6]])</f>
        <v>0</v>
      </c>
      <c r="R2852" s="71"/>
      <c r="S2852" s="68">
        <f>_xlfn.CEILING.MATH(Devis[[#This Row],[Quantité Totale]],Devis[[#This Row],[Conditionnement]])</f>
        <v>0</v>
      </c>
      <c r="T2852" s="72"/>
      <c r="U2852" s="73"/>
      <c r="V2852" s="74">
        <f>Devis[[#This Row],[Prix de Revient]]*Devis[[#This Row],[Poste 1]]</f>
        <v>0</v>
      </c>
      <c r="W2852" s="74">
        <f>Devis[[#This Row],[Prix de Revient]]*Devis[[#This Row],[Poste 2]]</f>
        <v>0</v>
      </c>
      <c r="X2852" s="74">
        <f>Devis[[#This Row],[Prix de Revient]]*Devis[[#This Row],[Poste 3]]</f>
        <v>0</v>
      </c>
      <c r="Y2852" s="74">
        <f>Devis[[#This Row],[Poste 4]]*Devis[[#This Row],[Prix de Revient]]</f>
        <v>0</v>
      </c>
      <c r="Z2852" s="74">
        <f>Devis[[#This Row],[Poste 5]]*Devis[[#This Row],[Prix de Revient]]</f>
        <v>0</v>
      </c>
      <c r="AA2852" s="74">
        <f>Devis[[#This Row],[Prix de Revient]]*Devis[[#This Row],[Poste 6]]</f>
        <v>0</v>
      </c>
      <c r="AB2852" s="74">
        <f>Devis[[#This Row],[Quantité Totale]]*Devis[[#This Row],[Prix de Revient]]</f>
        <v>0</v>
      </c>
    </row>
    <row r="2853" spans="1:28" ht="14.25" outlineLevel="1" x14ac:dyDescent="0.2">
      <c r="A2853" s="75" t="s">
        <v>2617</v>
      </c>
      <c r="B2853" s="76" t="s">
        <v>2683</v>
      </c>
      <c r="C2853" s="76" t="s">
        <v>2683</v>
      </c>
      <c r="D2853" s="81" t="str">
        <f t="shared" si="48"/>
        <v>RaccordsPVC purgesPVC purges</v>
      </c>
      <c r="E2853" s="76" t="s">
        <v>2618</v>
      </c>
      <c r="F2853" s="76">
        <v>12</v>
      </c>
      <c r="G2853" s="71">
        <v>9528</v>
      </c>
      <c r="H2853" s="71"/>
      <c r="I2853" s="71"/>
      <c r="J2853" s="70">
        <f>IFERROR(VLOOKUP(Devis[[#This Row],[Ref Air Flux]],#REF!,3,FALSE),0)</f>
        <v>0</v>
      </c>
      <c r="K2853" s="68"/>
      <c r="L2853" s="68"/>
      <c r="M2853" s="68"/>
      <c r="N2853" s="68"/>
      <c r="O2853" s="68"/>
      <c r="P2853" s="68"/>
      <c r="Q2853" s="68">
        <f>SUM(Devis[[#This Row],[Poste 1]:[Poste 6]])</f>
        <v>0</v>
      </c>
      <c r="R2853" s="71"/>
      <c r="S2853" s="68">
        <f>_xlfn.CEILING.MATH(Devis[[#This Row],[Quantité Totale]],Devis[[#This Row],[Conditionnement]])</f>
        <v>0</v>
      </c>
      <c r="T2853" s="72"/>
      <c r="U2853" s="73"/>
      <c r="V2853" s="74">
        <f>Devis[[#This Row],[Prix de Revient]]*Devis[[#This Row],[Poste 1]]</f>
        <v>0</v>
      </c>
      <c r="W2853" s="74">
        <f>Devis[[#This Row],[Prix de Revient]]*Devis[[#This Row],[Poste 2]]</f>
        <v>0</v>
      </c>
      <c r="X2853" s="74">
        <f>Devis[[#This Row],[Prix de Revient]]*Devis[[#This Row],[Poste 3]]</f>
        <v>0</v>
      </c>
      <c r="Y2853" s="74">
        <f>Devis[[#This Row],[Poste 4]]*Devis[[#This Row],[Prix de Revient]]</f>
        <v>0</v>
      </c>
      <c r="Z2853" s="74">
        <f>Devis[[#This Row],[Poste 5]]*Devis[[#This Row],[Prix de Revient]]</f>
        <v>0</v>
      </c>
      <c r="AA2853" s="74">
        <f>Devis[[#This Row],[Prix de Revient]]*Devis[[#This Row],[Poste 6]]</f>
        <v>0</v>
      </c>
      <c r="AB2853" s="74">
        <f>Devis[[#This Row],[Quantité Totale]]*Devis[[#This Row],[Prix de Revient]]</f>
        <v>0</v>
      </c>
    </row>
    <row r="2854" spans="1:28" ht="14.25" customHeight="1" outlineLevel="1" x14ac:dyDescent="0.2">
      <c r="A2854" s="75" t="s">
        <v>2617</v>
      </c>
      <c r="B2854" s="76" t="s">
        <v>2683</v>
      </c>
      <c r="C2854" s="76" t="s">
        <v>2683</v>
      </c>
      <c r="D2854" s="81" t="str">
        <f t="shared" si="48"/>
        <v>RaccordsPVC purgesPVC purges</v>
      </c>
      <c r="E2854" s="76" t="s">
        <v>2694</v>
      </c>
      <c r="F2854" s="76">
        <v>13</v>
      </c>
      <c r="G2854" s="71"/>
      <c r="H2854" s="71"/>
      <c r="I2854" s="71"/>
      <c r="J2854" s="70">
        <f>IFERROR(VLOOKUP(Devis[[#This Row],[Ref Air Flux]],#REF!,3,FALSE),0)</f>
        <v>0</v>
      </c>
      <c r="K2854" s="68"/>
      <c r="L2854" s="68"/>
      <c r="M2854" s="68"/>
      <c r="N2854" s="68"/>
      <c r="O2854" s="68"/>
      <c r="P2854" s="68"/>
      <c r="Q2854" s="68">
        <f>SUM(Devis[[#This Row],[Poste 1]:[Poste 6]])</f>
        <v>0</v>
      </c>
      <c r="R2854" s="71"/>
      <c r="S2854" s="68">
        <f>_xlfn.CEILING.MATH(Devis[[#This Row],[Quantité Totale]],Devis[[#This Row],[Conditionnement]])</f>
        <v>0</v>
      </c>
      <c r="T2854" s="72"/>
      <c r="U2854" s="73"/>
      <c r="V2854" s="74">
        <f>Devis[[#This Row],[Prix de Revient]]*Devis[[#This Row],[Poste 1]]</f>
        <v>0</v>
      </c>
      <c r="W2854" s="74">
        <f>Devis[[#This Row],[Prix de Revient]]*Devis[[#This Row],[Poste 2]]</f>
        <v>0</v>
      </c>
      <c r="X2854" s="74">
        <f>Devis[[#This Row],[Prix de Revient]]*Devis[[#This Row],[Poste 3]]</f>
        <v>0</v>
      </c>
      <c r="Y2854" s="74">
        <f>Devis[[#This Row],[Poste 4]]*Devis[[#This Row],[Prix de Revient]]</f>
        <v>0</v>
      </c>
      <c r="Z2854" s="74">
        <f>Devis[[#This Row],[Poste 5]]*Devis[[#This Row],[Prix de Revient]]</f>
        <v>0</v>
      </c>
      <c r="AA2854" s="74">
        <f>Devis[[#This Row],[Prix de Revient]]*Devis[[#This Row],[Poste 6]]</f>
        <v>0</v>
      </c>
      <c r="AB2854" s="74">
        <f>Devis[[#This Row],[Quantité Totale]]*Devis[[#This Row],[Prix de Revient]]</f>
        <v>0</v>
      </c>
    </row>
    <row r="2855" spans="1:28" ht="14.25" customHeight="1" outlineLevel="1" x14ac:dyDescent="0.2">
      <c r="A2855" s="75" t="s">
        <v>2617</v>
      </c>
      <c r="B2855" s="76" t="s">
        <v>2683</v>
      </c>
      <c r="C2855" s="76" t="s">
        <v>2683</v>
      </c>
      <c r="D2855" s="81" t="str">
        <f t="shared" si="48"/>
        <v>RaccordsPVC purgesPVC purges</v>
      </c>
      <c r="E2855" s="76" t="s">
        <v>2704</v>
      </c>
      <c r="F2855" s="76">
        <v>14</v>
      </c>
      <c r="G2855" s="71" t="s">
        <v>2705</v>
      </c>
      <c r="H2855" s="71"/>
      <c r="I2855" s="71"/>
      <c r="J2855" s="70">
        <f>IFERROR(VLOOKUP(Devis[[#This Row],[Ref Air Flux]],#REF!,3,FALSE),0)</f>
        <v>0</v>
      </c>
      <c r="K2855" s="68"/>
      <c r="L2855" s="68"/>
      <c r="M2855" s="68"/>
      <c r="N2855" s="68"/>
      <c r="O2855" s="68"/>
      <c r="P2855" s="68"/>
      <c r="Q2855" s="68">
        <f>SUM(Devis[[#This Row],[Poste 1]:[Poste 6]])</f>
        <v>0</v>
      </c>
      <c r="R2855" s="71"/>
      <c r="S2855" s="68">
        <f>_xlfn.CEILING.MATH(Devis[[#This Row],[Quantité Totale]],Devis[[#This Row],[Conditionnement]])</f>
        <v>0</v>
      </c>
      <c r="T2855" s="72"/>
      <c r="U2855" s="73"/>
      <c r="V2855" s="74">
        <f>Devis[[#This Row],[Prix de Revient]]*Devis[[#This Row],[Poste 1]]</f>
        <v>0</v>
      </c>
      <c r="W2855" s="74">
        <f>Devis[[#This Row],[Prix de Revient]]*Devis[[#This Row],[Poste 2]]</f>
        <v>0</v>
      </c>
      <c r="X2855" s="74">
        <f>Devis[[#This Row],[Prix de Revient]]*Devis[[#This Row],[Poste 3]]</f>
        <v>0</v>
      </c>
      <c r="Y2855" s="74">
        <f>Devis[[#This Row],[Poste 4]]*Devis[[#This Row],[Prix de Revient]]</f>
        <v>0</v>
      </c>
      <c r="Z2855" s="74">
        <f>Devis[[#This Row],[Poste 5]]*Devis[[#This Row],[Prix de Revient]]</f>
        <v>0</v>
      </c>
      <c r="AA2855" s="74">
        <f>Devis[[#This Row],[Prix de Revient]]*Devis[[#This Row],[Poste 6]]</f>
        <v>0</v>
      </c>
      <c r="AB2855" s="74">
        <f>Devis[[#This Row],[Quantité Totale]]*Devis[[#This Row],[Prix de Revient]]</f>
        <v>0</v>
      </c>
    </row>
    <row r="2856" spans="1:28" ht="14.25" customHeight="1" x14ac:dyDescent="0.25">
      <c r="A2856" s="65" t="s">
        <v>2617</v>
      </c>
      <c r="B2856" s="65" t="s">
        <v>5491</v>
      </c>
      <c r="C2856" s="113" t="s">
        <v>5491</v>
      </c>
      <c r="D2856" s="81" t="str">
        <f t="shared" si="48"/>
        <v>RaccordsRaccords pompier canelésRaccords pompier canelés</v>
      </c>
      <c r="E2856" s="76"/>
      <c r="F2856" s="76">
        <v>0</v>
      </c>
      <c r="G2856" s="71"/>
      <c r="H2856" s="71"/>
      <c r="I2856" s="71"/>
      <c r="J2856" s="70">
        <f>IFERROR(VLOOKUP(Devis[[#This Row],[Ref Air Flux]],#REF!,3,FALSE),0)</f>
        <v>0</v>
      </c>
      <c r="K2856" s="68"/>
      <c r="L2856" s="68"/>
      <c r="M2856" s="68"/>
      <c r="N2856" s="68"/>
      <c r="O2856" s="68"/>
      <c r="P2856" s="68"/>
      <c r="Q2856" s="68">
        <f>SUM(Devis[[#This Row],[Poste 1]:[Poste 6]])</f>
        <v>0</v>
      </c>
      <c r="R2856" s="71"/>
      <c r="S2856" s="68">
        <f>_xlfn.CEILING.MATH(Devis[[#This Row],[Quantité Totale]],Devis[[#This Row],[Conditionnement]])</f>
        <v>0</v>
      </c>
      <c r="T2856" s="72"/>
      <c r="U2856" s="73"/>
      <c r="V2856" s="74">
        <f>Devis[[#This Row],[Prix de Revient]]*Devis[[#This Row],[Poste 1]]</f>
        <v>0</v>
      </c>
      <c r="W2856" s="74">
        <f>Devis[[#This Row],[Prix de Revient]]*Devis[[#This Row],[Poste 2]]</f>
        <v>0</v>
      </c>
      <c r="X2856" s="74">
        <f>Devis[[#This Row],[Prix de Revient]]*Devis[[#This Row],[Poste 3]]</f>
        <v>0</v>
      </c>
      <c r="Y2856" s="74">
        <f>Devis[[#This Row],[Poste 4]]*Devis[[#This Row],[Prix de Revient]]</f>
        <v>0</v>
      </c>
      <c r="Z2856" s="74">
        <f>Devis[[#This Row],[Poste 5]]*Devis[[#This Row],[Prix de Revient]]</f>
        <v>0</v>
      </c>
      <c r="AA2856" s="74">
        <f>Devis[[#This Row],[Prix de Revient]]*Devis[[#This Row],[Poste 6]]</f>
        <v>0</v>
      </c>
      <c r="AB2856" s="74">
        <f>Devis[[#This Row],[Quantité Totale]]*Devis[[#This Row],[Prix de Revient]]</f>
        <v>0</v>
      </c>
    </row>
    <row r="2857" spans="1:28" ht="14.25" outlineLevel="1" x14ac:dyDescent="0.2">
      <c r="A2857" s="75" t="s">
        <v>2617</v>
      </c>
      <c r="B2857" s="76" t="s">
        <v>5491</v>
      </c>
      <c r="C2857" s="76" t="s">
        <v>5491</v>
      </c>
      <c r="D2857" s="81" t="str">
        <f t="shared" si="48"/>
        <v>RaccordsRaccords pompier canelésRaccords pompier canelés</v>
      </c>
      <c r="E2857" s="76">
        <v>8</v>
      </c>
      <c r="F2857" s="76">
        <v>1</v>
      </c>
      <c r="G2857" s="71" t="s">
        <v>2706</v>
      </c>
      <c r="H2857" s="71"/>
      <c r="I2857" s="71"/>
      <c r="J2857" s="70">
        <f>IFERROR(VLOOKUP(Devis[[#This Row],[Ref Air Flux]],#REF!,3,FALSE),0)</f>
        <v>0</v>
      </c>
      <c r="K2857" s="68"/>
      <c r="L2857" s="68"/>
      <c r="M2857" s="68"/>
      <c r="N2857" s="68"/>
      <c r="O2857" s="68"/>
      <c r="P2857" s="68"/>
      <c r="Q2857" s="68">
        <f>SUM(Devis[[#This Row],[Poste 1]:[Poste 6]])</f>
        <v>0</v>
      </c>
      <c r="R2857" s="71"/>
      <c r="S2857" s="68">
        <f>_xlfn.CEILING.MATH(Devis[[#This Row],[Quantité Totale]],Devis[[#This Row],[Conditionnement]])</f>
        <v>0</v>
      </c>
      <c r="T2857" s="72"/>
      <c r="U2857" s="73"/>
      <c r="V2857" s="74">
        <f>Devis[[#This Row],[Prix de Revient]]*Devis[[#This Row],[Poste 1]]</f>
        <v>0</v>
      </c>
      <c r="W2857" s="74">
        <f>Devis[[#This Row],[Prix de Revient]]*Devis[[#This Row],[Poste 2]]</f>
        <v>0</v>
      </c>
      <c r="X2857" s="74">
        <f>Devis[[#This Row],[Prix de Revient]]*Devis[[#This Row],[Poste 3]]</f>
        <v>0</v>
      </c>
      <c r="Y2857" s="74">
        <f>Devis[[#This Row],[Poste 4]]*Devis[[#This Row],[Prix de Revient]]</f>
        <v>0</v>
      </c>
      <c r="Z2857" s="74">
        <f>Devis[[#This Row],[Poste 5]]*Devis[[#This Row],[Prix de Revient]]</f>
        <v>0</v>
      </c>
      <c r="AA2857" s="74">
        <f>Devis[[#This Row],[Prix de Revient]]*Devis[[#This Row],[Poste 6]]</f>
        <v>0</v>
      </c>
      <c r="AB2857" s="74">
        <f>Devis[[#This Row],[Quantité Totale]]*Devis[[#This Row],[Prix de Revient]]</f>
        <v>0</v>
      </c>
    </row>
    <row r="2858" spans="1:28" ht="14.25" outlineLevel="1" x14ac:dyDescent="0.2">
      <c r="A2858" s="75" t="s">
        <v>2617</v>
      </c>
      <c r="B2858" s="76" t="s">
        <v>5491</v>
      </c>
      <c r="C2858" s="76" t="s">
        <v>5491</v>
      </c>
      <c r="D2858" s="81" t="str">
        <f t="shared" si="48"/>
        <v>RaccordsRaccords pompier canelésRaccords pompier canelés</v>
      </c>
      <c r="E2858" s="76">
        <v>9</v>
      </c>
      <c r="F2858" s="76">
        <v>2</v>
      </c>
      <c r="G2858" s="71" t="s">
        <v>5492</v>
      </c>
      <c r="H2858" s="71"/>
      <c r="I2858" s="71"/>
      <c r="J2858" s="70">
        <f>IFERROR(VLOOKUP(Devis[[#This Row],[Ref Air Flux]],#REF!,3,FALSE),0)</f>
        <v>0</v>
      </c>
      <c r="K2858" s="68"/>
      <c r="L2858" s="68"/>
      <c r="M2858" s="68"/>
      <c r="N2858" s="68"/>
      <c r="O2858" s="68"/>
      <c r="P2858" s="68"/>
      <c r="Q2858" s="68">
        <f>SUM(Devis[[#This Row],[Poste 1]:[Poste 6]])</f>
        <v>0</v>
      </c>
      <c r="R2858" s="71"/>
      <c r="S2858" s="68">
        <f>_xlfn.CEILING.MATH(Devis[[#This Row],[Quantité Totale]],Devis[[#This Row],[Conditionnement]])</f>
        <v>0</v>
      </c>
      <c r="T2858" s="72"/>
      <c r="U2858" s="73"/>
      <c r="V2858" s="74">
        <f>Devis[[#This Row],[Prix de Revient]]*Devis[[#This Row],[Poste 1]]</f>
        <v>0</v>
      </c>
      <c r="W2858" s="74">
        <f>Devis[[#This Row],[Prix de Revient]]*Devis[[#This Row],[Poste 2]]</f>
        <v>0</v>
      </c>
      <c r="X2858" s="74">
        <f>Devis[[#This Row],[Prix de Revient]]*Devis[[#This Row],[Poste 3]]</f>
        <v>0</v>
      </c>
      <c r="Y2858" s="74">
        <f>Devis[[#This Row],[Poste 4]]*Devis[[#This Row],[Prix de Revient]]</f>
        <v>0</v>
      </c>
      <c r="Z2858" s="74">
        <f>Devis[[#This Row],[Poste 5]]*Devis[[#This Row],[Prix de Revient]]</f>
        <v>0</v>
      </c>
      <c r="AA2858" s="74">
        <f>Devis[[#This Row],[Prix de Revient]]*Devis[[#This Row],[Poste 6]]</f>
        <v>0</v>
      </c>
      <c r="AB2858" s="74">
        <f>Devis[[#This Row],[Quantité Totale]]*Devis[[#This Row],[Prix de Revient]]</f>
        <v>0</v>
      </c>
    </row>
    <row r="2859" spans="1:28" ht="14.25" customHeight="1" x14ac:dyDescent="0.25">
      <c r="A2859" s="65" t="s">
        <v>2617</v>
      </c>
      <c r="B2859" s="65" t="s">
        <v>5493</v>
      </c>
      <c r="C2859" s="113" t="s">
        <v>5493</v>
      </c>
      <c r="D2859" s="81" t="str">
        <f t="shared" si="48"/>
        <v>RaccordsRaccords pompier FRaccords pompier F</v>
      </c>
      <c r="E2859" s="76"/>
      <c r="F2859" s="76">
        <v>0</v>
      </c>
      <c r="G2859" s="71"/>
      <c r="H2859" s="71"/>
      <c r="I2859" s="71"/>
      <c r="J2859" s="70">
        <f>IFERROR(VLOOKUP(Devis[[#This Row],[Ref Air Flux]],#REF!,3,FALSE),0)</f>
        <v>0</v>
      </c>
      <c r="K2859" s="68"/>
      <c r="L2859" s="68"/>
      <c r="M2859" s="68"/>
      <c r="N2859" s="68"/>
      <c r="O2859" s="68"/>
      <c r="P2859" s="68"/>
      <c r="Q2859" s="68">
        <f>SUM(Devis[[#This Row],[Poste 1]:[Poste 6]])</f>
        <v>0</v>
      </c>
      <c r="R2859" s="71"/>
      <c r="S2859" s="68">
        <f>_xlfn.CEILING.MATH(Devis[[#This Row],[Quantité Totale]],Devis[[#This Row],[Conditionnement]])</f>
        <v>0</v>
      </c>
      <c r="T2859" s="72"/>
      <c r="U2859" s="73"/>
      <c r="V2859" s="74">
        <f>Devis[[#This Row],[Prix de Revient]]*Devis[[#This Row],[Poste 1]]</f>
        <v>0</v>
      </c>
      <c r="W2859" s="74">
        <f>Devis[[#This Row],[Prix de Revient]]*Devis[[#This Row],[Poste 2]]</f>
        <v>0</v>
      </c>
      <c r="X2859" s="74">
        <f>Devis[[#This Row],[Prix de Revient]]*Devis[[#This Row],[Poste 3]]</f>
        <v>0</v>
      </c>
      <c r="Y2859" s="74">
        <f>Devis[[#This Row],[Poste 4]]*Devis[[#This Row],[Prix de Revient]]</f>
        <v>0</v>
      </c>
      <c r="Z2859" s="74">
        <f>Devis[[#This Row],[Poste 5]]*Devis[[#This Row],[Prix de Revient]]</f>
        <v>0</v>
      </c>
      <c r="AA2859" s="74">
        <f>Devis[[#This Row],[Prix de Revient]]*Devis[[#This Row],[Poste 6]]</f>
        <v>0</v>
      </c>
      <c r="AB2859" s="74">
        <f>Devis[[#This Row],[Quantité Totale]]*Devis[[#This Row],[Prix de Revient]]</f>
        <v>0</v>
      </c>
    </row>
    <row r="2860" spans="1:28" ht="14.25" customHeight="1" outlineLevel="1" x14ac:dyDescent="0.2">
      <c r="A2860" s="75" t="s">
        <v>2617</v>
      </c>
      <c r="B2860" s="76" t="s">
        <v>5493</v>
      </c>
      <c r="C2860" s="76" t="s">
        <v>5493</v>
      </c>
      <c r="D2860" s="81" t="str">
        <f t="shared" si="48"/>
        <v>RaccordsRaccords pompier FRaccords pompier F</v>
      </c>
      <c r="E2860" s="76" t="s">
        <v>2066</v>
      </c>
      <c r="F2860" s="76">
        <v>1</v>
      </c>
      <c r="G2860" s="71" t="s">
        <v>2709</v>
      </c>
      <c r="H2860" s="71"/>
      <c r="I2860" s="71"/>
      <c r="J2860" s="70">
        <f>IFERROR(VLOOKUP(Devis[[#This Row],[Ref Air Flux]],#REF!,3,FALSE),0)</f>
        <v>0</v>
      </c>
      <c r="K2860" s="68"/>
      <c r="L2860" s="68"/>
      <c r="M2860" s="68"/>
      <c r="N2860" s="68"/>
      <c r="O2860" s="68"/>
      <c r="P2860" s="68"/>
      <c r="Q2860" s="68">
        <f>SUM(Devis[[#This Row],[Poste 1]:[Poste 6]])</f>
        <v>0</v>
      </c>
      <c r="R2860" s="71"/>
      <c r="S2860" s="68">
        <f>_xlfn.CEILING.MATH(Devis[[#This Row],[Quantité Totale]],Devis[[#This Row],[Conditionnement]])</f>
        <v>0</v>
      </c>
      <c r="T2860" s="72"/>
      <c r="U2860" s="73"/>
      <c r="V2860" s="74">
        <f>Devis[[#This Row],[Prix de Revient]]*Devis[[#This Row],[Poste 1]]</f>
        <v>0</v>
      </c>
      <c r="W2860" s="74">
        <f>Devis[[#This Row],[Prix de Revient]]*Devis[[#This Row],[Poste 2]]</f>
        <v>0</v>
      </c>
      <c r="X2860" s="74">
        <f>Devis[[#This Row],[Prix de Revient]]*Devis[[#This Row],[Poste 3]]</f>
        <v>0</v>
      </c>
      <c r="Y2860" s="74">
        <f>Devis[[#This Row],[Poste 4]]*Devis[[#This Row],[Prix de Revient]]</f>
        <v>0</v>
      </c>
      <c r="Z2860" s="74">
        <f>Devis[[#This Row],[Poste 5]]*Devis[[#This Row],[Prix de Revient]]</f>
        <v>0</v>
      </c>
      <c r="AA2860" s="74">
        <f>Devis[[#This Row],[Prix de Revient]]*Devis[[#This Row],[Poste 6]]</f>
        <v>0</v>
      </c>
      <c r="AB2860" s="74">
        <f>Devis[[#This Row],[Quantité Totale]]*Devis[[#This Row],[Prix de Revient]]</f>
        <v>0</v>
      </c>
    </row>
    <row r="2861" spans="1:28" ht="14.25" outlineLevel="1" x14ac:dyDescent="0.2">
      <c r="A2861" s="75" t="s">
        <v>2617</v>
      </c>
      <c r="B2861" s="76" t="s">
        <v>5493</v>
      </c>
      <c r="C2861" s="76" t="s">
        <v>5493</v>
      </c>
      <c r="D2861" s="81" t="str">
        <f t="shared" si="48"/>
        <v>RaccordsRaccords pompier FRaccords pompier F</v>
      </c>
      <c r="E2861" s="76" t="s">
        <v>1943</v>
      </c>
      <c r="F2861" s="76">
        <v>2</v>
      </c>
      <c r="G2861" s="71" t="s">
        <v>2707</v>
      </c>
      <c r="H2861" s="71"/>
      <c r="I2861" s="71"/>
      <c r="J2861" s="70">
        <f>IFERROR(VLOOKUP(Devis[[#This Row],[Ref Air Flux]],#REF!,3,FALSE),0)</f>
        <v>0</v>
      </c>
      <c r="K2861" s="68"/>
      <c r="L2861" s="68"/>
      <c r="M2861" s="68"/>
      <c r="N2861" s="68"/>
      <c r="O2861" s="68"/>
      <c r="P2861" s="68"/>
      <c r="Q2861" s="68">
        <f>SUM(Devis[[#This Row],[Poste 1]:[Poste 6]])</f>
        <v>0</v>
      </c>
      <c r="R2861" s="71"/>
      <c r="S2861" s="68">
        <f>_xlfn.CEILING.MATH(Devis[[#This Row],[Quantité Totale]],Devis[[#This Row],[Conditionnement]])</f>
        <v>0</v>
      </c>
      <c r="T2861" s="72"/>
      <c r="U2861" s="73"/>
      <c r="V2861" s="74">
        <f>Devis[[#This Row],[Prix de Revient]]*Devis[[#This Row],[Poste 1]]</f>
        <v>0</v>
      </c>
      <c r="W2861" s="74">
        <f>Devis[[#This Row],[Prix de Revient]]*Devis[[#This Row],[Poste 2]]</f>
        <v>0</v>
      </c>
      <c r="X2861" s="74">
        <f>Devis[[#This Row],[Prix de Revient]]*Devis[[#This Row],[Poste 3]]</f>
        <v>0</v>
      </c>
      <c r="Y2861" s="74">
        <f>Devis[[#This Row],[Poste 4]]*Devis[[#This Row],[Prix de Revient]]</f>
        <v>0</v>
      </c>
      <c r="Z2861" s="74">
        <f>Devis[[#This Row],[Poste 5]]*Devis[[#This Row],[Prix de Revient]]</f>
        <v>0</v>
      </c>
      <c r="AA2861" s="74">
        <f>Devis[[#This Row],[Prix de Revient]]*Devis[[#This Row],[Poste 6]]</f>
        <v>0</v>
      </c>
      <c r="AB2861" s="74">
        <f>Devis[[#This Row],[Quantité Totale]]*Devis[[#This Row],[Prix de Revient]]</f>
        <v>0</v>
      </c>
    </row>
    <row r="2862" spans="1:28" ht="14.25" customHeight="1" outlineLevel="1" x14ac:dyDescent="0.2">
      <c r="A2862" s="75" t="s">
        <v>2617</v>
      </c>
      <c r="B2862" s="76" t="s">
        <v>5493</v>
      </c>
      <c r="C2862" s="76" t="s">
        <v>5493</v>
      </c>
      <c r="D2862" s="81" t="str">
        <f t="shared" si="48"/>
        <v>RaccordsRaccords pompier FRaccords pompier F</v>
      </c>
      <c r="E2862" s="76" t="s">
        <v>2061</v>
      </c>
      <c r="F2862" s="76">
        <v>3</v>
      </c>
      <c r="G2862" s="71" t="s">
        <v>2710</v>
      </c>
      <c r="H2862" s="71"/>
      <c r="I2862" s="71"/>
      <c r="J2862" s="70">
        <f>IFERROR(VLOOKUP(Devis[[#This Row],[Ref Air Flux]],#REF!,3,FALSE),0)</f>
        <v>0</v>
      </c>
      <c r="K2862" s="68"/>
      <c r="L2862" s="68"/>
      <c r="M2862" s="68"/>
      <c r="N2862" s="68"/>
      <c r="O2862" s="68"/>
      <c r="P2862" s="68"/>
      <c r="Q2862" s="68">
        <f>SUM(Devis[[#This Row],[Poste 1]:[Poste 6]])</f>
        <v>0</v>
      </c>
      <c r="R2862" s="71"/>
      <c r="S2862" s="68">
        <f>_xlfn.CEILING.MATH(Devis[[#This Row],[Quantité Totale]],Devis[[#This Row],[Conditionnement]])</f>
        <v>0</v>
      </c>
      <c r="T2862" s="72"/>
      <c r="U2862" s="73"/>
      <c r="V2862" s="74">
        <f>Devis[[#This Row],[Prix de Revient]]*Devis[[#This Row],[Poste 1]]</f>
        <v>0</v>
      </c>
      <c r="W2862" s="74">
        <f>Devis[[#This Row],[Prix de Revient]]*Devis[[#This Row],[Poste 2]]</f>
        <v>0</v>
      </c>
      <c r="X2862" s="74">
        <f>Devis[[#This Row],[Prix de Revient]]*Devis[[#This Row],[Poste 3]]</f>
        <v>0</v>
      </c>
      <c r="Y2862" s="74">
        <f>Devis[[#This Row],[Poste 4]]*Devis[[#This Row],[Prix de Revient]]</f>
        <v>0</v>
      </c>
      <c r="Z2862" s="74">
        <f>Devis[[#This Row],[Poste 5]]*Devis[[#This Row],[Prix de Revient]]</f>
        <v>0</v>
      </c>
      <c r="AA2862" s="74">
        <f>Devis[[#This Row],[Prix de Revient]]*Devis[[#This Row],[Poste 6]]</f>
        <v>0</v>
      </c>
      <c r="AB2862" s="74">
        <f>Devis[[#This Row],[Quantité Totale]]*Devis[[#This Row],[Prix de Revient]]</f>
        <v>0</v>
      </c>
    </row>
    <row r="2863" spans="1:28" ht="14.25" customHeight="1" outlineLevel="1" x14ac:dyDescent="0.2">
      <c r="A2863" s="75" t="s">
        <v>2617</v>
      </c>
      <c r="B2863" s="76" t="s">
        <v>5493</v>
      </c>
      <c r="C2863" s="76" t="s">
        <v>5493</v>
      </c>
      <c r="D2863" s="81" t="str">
        <f t="shared" si="48"/>
        <v>RaccordsRaccords pompier FRaccords pompier F</v>
      </c>
      <c r="E2863" s="76" t="s">
        <v>26</v>
      </c>
      <c r="F2863" s="76">
        <v>4</v>
      </c>
      <c r="G2863" s="71" t="s">
        <v>2708</v>
      </c>
      <c r="H2863" s="71"/>
      <c r="I2863" s="71"/>
      <c r="J2863" s="70">
        <f>IFERROR(VLOOKUP(Devis[[#This Row],[Ref Air Flux]],#REF!,3,FALSE),0)</f>
        <v>0</v>
      </c>
      <c r="K2863" s="68"/>
      <c r="L2863" s="68"/>
      <c r="M2863" s="68"/>
      <c r="N2863" s="68"/>
      <c r="O2863" s="68"/>
      <c r="P2863" s="68"/>
      <c r="Q2863" s="68">
        <f>SUM(Devis[[#This Row],[Poste 1]:[Poste 6]])</f>
        <v>0</v>
      </c>
      <c r="R2863" s="71"/>
      <c r="S2863" s="68">
        <f>_xlfn.CEILING.MATH(Devis[[#This Row],[Quantité Totale]],Devis[[#This Row],[Conditionnement]])</f>
        <v>0</v>
      </c>
      <c r="T2863" s="72"/>
      <c r="U2863" s="73"/>
      <c r="V2863" s="74">
        <f>Devis[[#This Row],[Prix de Revient]]*Devis[[#This Row],[Poste 1]]</f>
        <v>0</v>
      </c>
      <c r="W2863" s="74">
        <f>Devis[[#This Row],[Prix de Revient]]*Devis[[#This Row],[Poste 2]]</f>
        <v>0</v>
      </c>
      <c r="X2863" s="74">
        <f>Devis[[#This Row],[Prix de Revient]]*Devis[[#This Row],[Poste 3]]</f>
        <v>0</v>
      </c>
      <c r="Y2863" s="74">
        <f>Devis[[#This Row],[Poste 4]]*Devis[[#This Row],[Prix de Revient]]</f>
        <v>0</v>
      </c>
      <c r="Z2863" s="74">
        <f>Devis[[#This Row],[Poste 5]]*Devis[[#This Row],[Prix de Revient]]</f>
        <v>0</v>
      </c>
      <c r="AA2863" s="74">
        <f>Devis[[#This Row],[Prix de Revient]]*Devis[[#This Row],[Poste 6]]</f>
        <v>0</v>
      </c>
      <c r="AB2863" s="74">
        <f>Devis[[#This Row],[Quantité Totale]]*Devis[[#This Row],[Prix de Revient]]</f>
        <v>0</v>
      </c>
    </row>
    <row r="2864" spans="1:28" ht="14.25" customHeight="1" outlineLevel="1" x14ac:dyDescent="0.2">
      <c r="A2864" s="75" t="s">
        <v>2617</v>
      </c>
      <c r="B2864" s="76" t="s">
        <v>5493</v>
      </c>
      <c r="C2864" s="76" t="s">
        <v>5493</v>
      </c>
      <c r="D2864" s="81" t="str">
        <f t="shared" ref="D2864:D2927" si="49">A2864&amp;B2864&amp;C2864</f>
        <v>RaccordsRaccords pompier FRaccords pompier F</v>
      </c>
      <c r="E2864" s="76" t="s">
        <v>20</v>
      </c>
      <c r="F2864" s="76">
        <v>5</v>
      </c>
      <c r="G2864" s="71" t="s">
        <v>2711</v>
      </c>
      <c r="H2864" s="71"/>
      <c r="I2864" s="71"/>
      <c r="J2864" s="70">
        <f>IFERROR(VLOOKUP(Devis[[#This Row],[Ref Air Flux]],#REF!,3,FALSE),0)</f>
        <v>0</v>
      </c>
      <c r="K2864" s="68"/>
      <c r="L2864" s="68"/>
      <c r="M2864" s="68"/>
      <c r="N2864" s="68"/>
      <c r="O2864" s="68"/>
      <c r="P2864" s="68"/>
      <c r="Q2864" s="68">
        <f>SUM(Devis[[#This Row],[Poste 1]:[Poste 6]])</f>
        <v>0</v>
      </c>
      <c r="R2864" s="71"/>
      <c r="S2864" s="68">
        <f>_xlfn.CEILING.MATH(Devis[[#This Row],[Quantité Totale]],Devis[[#This Row],[Conditionnement]])</f>
        <v>0</v>
      </c>
      <c r="T2864" s="72"/>
      <c r="U2864" s="73"/>
      <c r="V2864" s="74">
        <f>Devis[[#This Row],[Prix de Revient]]*Devis[[#This Row],[Poste 1]]</f>
        <v>0</v>
      </c>
      <c r="W2864" s="74">
        <f>Devis[[#This Row],[Prix de Revient]]*Devis[[#This Row],[Poste 2]]</f>
        <v>0</v>
      </c>
      <c r="X2864" s="74">
        <f>Devis[[#This Row],[Prix de Revient]]*Devis[[#This Row],[Poste 3]]</f>
        <v>0</v>
      </c>
      <c r="Y2864" s="74">
        <f>Devis[[#This Row],[Poste 4]]*Devis[[#This Row],[Prix de Revient]]</f>
        <v>0</v>
      </c>
      <c r="Z2864" s="74">
        <f>Devis[[#This Row],[Poste 5]]*Devis[[#This Row],[Prix de Revient]]</f>
        <v>0</v>
      </c>
      <c r="AA2864" s="74">
        <f>Devis[[#This Row],[Prix de Revient]]*Devis[[#This Row],[Poste 6]]</f>
        <v>0</v>
      </c>
      <c r="AB2864" s="74">
        <f>Devis[[#This Row],[Quantité Totale]]*Devis[[#This Row],[Prix de Revient]]</f>
        <v>0</v>
      </c>
    </row>
    <row r="2865" spans="1:28" ht="14.25" customHeight="1" outlineLevel="1" x14ac:dyDescent="0.2">
      <c r="A2865" s="75" t="s">
        <v>2617</v>
      </c>
      <c r="B2865" s="76" t="s">
        <v>5493</v>
      </c>
      <c r="C2865" s="76" t="s">
        <v>5493</v>
      </c>
      <c r="D2865" s="81" t="str">
        <f t="shared" si="49"/>
        <v>RaccordsRaccords pompier FRaccords pompier F</v>
      </c>
      <c r="E2865" s="76" t="s">
        <v>21</v>
      </c>
      <c r="F2865" s="76">
        <v>6</v>
      </c>
      <c r="G2865" s="71" t="s">
        <v>2712</v>
      </c>
      <c r="H2865" s="71"/>
      <c r="I2865" s="71"/>
      <c r="J2865" s="70">
        <f>IFERROR(VLOOKUP(Devis[[#This Row],[Ref Air Flux]],#REF!,3,FALSE),0)</f>
        <v>0</v>
      </c>
      <c r="K2865" s="68"/>
      <c r="L2865" s="68"/>
      <c r="M2865" s="68"/>
      <c r="N2865" s="68"/>
      <c r="O2865" s="68"/>
      <c r="P2865" s="68"/>
      <c r="Q2865" s="68">
        <f>SUM(Devis[[#This Row],[Poste 1]:[Poste 6]])</f>
        <v>0</v>
      </c>
      <c r="R2865" s="71"/>
      <c r="S2865" s="68">
        <f>_xlfn.CEILING.MATH(Devis[[#This Row],[Quantité Totale]],Devis[[#This Row],[Conditionnement]])</f>
        <v>0</v>
      </c>
      <c r="T2865" s="72"/>
      <c r="U2865" s="73"/>
      <c r="V2865" s="74">
        <f>Devis[[#This Row],[Prix de Revient]]*Devis[[#This Row],[Poste 1]]</f>
        <v>0</v>
      </c>
      <c r="W2865" s="74">
        <f>Devis[[#This Row],[Prix de Revient]]*Devis[[#This Row],[Poste 2]]</f>
        <v>0</v>
      </c>
      <c r="X2865" s="74">
        <f>Devis[[#This Row],[Prix de Revient]]*Devis[[#This Row],[Poste 3]]</f>
        <v>0</v>
      </c>
      <c r="Y2865" s="74">
        <f>Devis[[#This Row],[Poste 4]]*Devis[[#This Row],[Prix de Revient]]</f>
        <v>0</v>
      </c>
      <c r="Z2865" s="74">
        <f>Devis[[#This Row],[Poste 5]]*Devis[[#This Row],[Prix de Revient]]</f>
        <v>0</v>
      </c>
      <c r="AA2865" s="74">
        <f>Devis[[#This Row],[Prix de Revient]]*Devis[[#This Row],[Poste 6]]</f>
        <v>0</v>
      </c>
      <c r="AB2865" s="74">
        <f>Devis[[#This Row],[Quantité Totale]]*Devis[[#This Row],[Prix de Revient]]</f>
        <v>0</v>
      </c>
    </row>
    <row r="2866" spans="1:28" ht="14.25" customHeight="1" outlineLevel="1" x14ac:dyDescent="0.2">
      <c r="A2866" s="75" t="s">
        <v>2617</v>
      </c>
      <c r="B2866" s="76" t="s">
        <v>5493</v>
      </c>
      <c r="C2866" s="76" t="s">
        <v>5493</v>
      </c>
      <c r="D2866" s="81" t="str">
        <f t="shared" si="49"/>
        <v>RaccordsRaccords pompier FRaccords pompier F</v>
      </c>
      <c r="E2866" s="76" t="s">
        <v>0</v>
      </c>
      <c r="F2866" s="76">
        <v>7</v>
      </c>
      <c r="G2866" s="71" t="s">
        <v>5494</v>
      </c>
      <c r="H2866" s="71"/>
      <c r="I2866" s="71"/>
      <c r="J2866" s="70">
        <f>IFERROR(VLOOKUP(Devis[[#This Row],[Ref Air Flux]],#REF!,3,FALSE),0)</f>
        <v>0</v>
      </c>
      <c r="K2866" s="68"/>
      <c r="L2866" s="68"/>
      <c r="M2866" s="68"/>
      <c r="N2866" s="68"/>
      <c r="O2866" s="68"/>
      <c r="P2866" s="68"/>
      <c r="Q2866" s="68">
        <f>SUM(Devis[[#This Row],[Poste 1]:[Poste 6]])</f>
        <v>0</v>
      </c>
      <c r="R2866" s="71"/>
      <c r="S2866" s="68">
        <f>_xlfn.CEILING.MATH(Devis[[#This Row],[Quantité Totale]],Devis[[#This Row],[Conditionnement]])</f>
        <v>0</v>
      </c>
      <c r="T2866" s="72"/>
      <c r="U2866" s="73"/>
      <c r="V2866" s="74">
        <f>Devis[[#This Row],[Prix de Revient]]*Devis[[#This Row],[Poste 1]]</f>
        <v>0</v>
      </c>
      <c r="W2866" s="74">
        <f>Devis[[#This Row],[Prix de Revient]]*Devis[[#This Row],[Poste 2]]</f>
        <v>0</v>
      </c>
      <c r="X2866" s="74">
        <f>Devis[[#This Row],[Prix de Revient]]*Devis[[#This Row],[Poste 3]]</f>
        <v>0</v>
      </c>
      <c r="Y2866" s="74">
        <f>Devis[[#This Row],[Poste 4]]*Devis[[#This Row],[Prix de Revient]]</f>
        <v>0</v>
      </c>
      <c r="Z2866" s="74">
        <f>Devis[[#This Row],[Poste 5]]*Devis[[#This Row],[Prix de Revient]]</f>
        <v>0</v>
      </c>
      <c r="AA2866" s="74">
        <f>Devis[[#This Row],[Prix de Revient]]*Devis[[#This Row],[Poste 6]]</f>
        <v>0</v>
      </c>
      <c r="AB2866" s="74">
        <f>Devis[[#This Row],[Quantité Totale]]*Devis[[#This Row],[Prix de Revient]]</f>
        <v>0</v>
      </c>
    </row>
    <row r="2867" spans="1:28" ht="14.25" customHeight="1" x14ac:dyDescent="0.25">
      <c r="A2867" s="65" t="s">
        <v>2617</v>
      </c>
      <c r="B2867" s="65" t="s">
        <v>5495</v>
      </c>
      <c r="C2867" s="113" t="s">
        <v>5495</v>
      </c>
      <c r="D2867" s="81" t="str">
        <f t="shared" si="49"/>
        <v>RaccordsRaccords pompier MRaccords pompier M</v>
      </c>
      <c r="E2867" s="76"/>
      <c r="F2867" s="76">
        <v>0</v>
      </c>
      <c r="G2867" s="71"/>
      <c r="H2867" s="71"/>
      <c r="I2867" s="71"/>
      <c r="J2867" s="70">
        <f>IFERROR(VLOOKUP(Devis[[#This Row],[Ref Air Flux]],#REF!,3,FALSE),0)</f>
        <v>0</v>
      </c>
      <c r="K2867" s="68"/>
      <c r="L2867" s="68"/>
      <c r="M2867" s="68"/>
      <c r="N2867" s="68"/>
      <c r="O2867" s="68"/>
      <c r="P2867" s="68"/>
      <c r="Q2867" s="68">
        <f>SUM(Devis[[#This Row],[Poste 1]:[Poste 6]])</f>
        <v>0</v>
      </c>
      <c r="R2867" s="71"/>
      <c r="S2867" s="68">
        <f>_xlfn.CEILING.MATH(Devis[[#This Row],[Quantité Totale]],Devis[[#This Row],[Conditionnement]])</f>
        <v>0</v>
      </c>
      <c r="T2867" s="72"/>
      <c r="U2867" s="73"/>
      <c r="V2867" s="74">
        <f>Devis[[#This Row],[Prix de Revient]]*Devis[[#This Row],[Poste 1]]</f>
        <v>0</v>
      </c>
      <c r="W2867" s="74">
        <f>Devis[[#This Row],[Prix de Revient]]*Devis[[#This Row],[Poste 2]]</f>
        <v>0</v>
      </c>
      <c r="X2867" s="74">
        <f>Devis[[#This Row],[Prix de Revient]]*Devis[[#This Row],[Poste 3]]</f>
        <v>0</v>
      </c>
      <c r="Y2867" s="74">
        <f>Devis[[#This Row],[Poste 4]]*Devis[[#This Row],[Prix de Revient]]</f>
        <v>0</v>
      </c>
      <c r="Z2867" s="74">
        <f>Devis[[#This Row],[Poste 5]]*Devis[[#This Row],[Prix de Revient]]</f>
        <v>0</v>
      </c>
      <c r="AA2867" s="74">
        <f>Devis[[#This Row],[Prix de Revient]]*Devis[[#This Row],[Poste 6]]</f>
        <v>0</v>
      </c>
      <c r="AB2867" s="74">
        <f>Devis[[#This Row],[Quantité Totale]]*Devis[[#This Row],[Prix de Revient]]</f>
        <v>0</v>
      </c>
    </row>
    <row r="2868" spans="1:28" ht="15" customHeight="1" outlineLevel="1" x14ac:dyDescent="0.2">
      <c r="A2868" s="75" t="s">
        <v>2617</v>
      </c>
      <c r="B2868" s="76" t="s">
        <v>5495</v>
      </c>
      <c r="C2868" s="76" t="s">
        <v>5495</v>
      </c>
      <c r="D2868" s="81" t="str">
        <f t="shared" si="49"/>
        <v>RaccordsRaccords pompier MRaccords pompier M</v>
      </c>
      <c r="E2868" s="76" t="s">
        <v>2066</v>
      </c>
      <c r="F2868" s="76">
        <v>1</v>
      </c>
      <c r="G2868" s="71" t="s">
        <v>2715</v>
      </c>
      <c r="H2868" s="71"/>
      <c r="I2868" s="71"/>
      <c r="J2868" s="70">
        <f>IFERROR(VLOOKUP(Devis[[#This Row],[Ref Air Flux]],#REF!,3,FALSE),0)</f>
        <v>0</v>
      </c>
      <c r="K2868" s="68"/>
      <c r="L2868" s="68"/>
      <c r="M2868" s="68"/>
      <c r="N2868" s="68"/>
      <c r="O2868" s="68"/>
      <c r="P2868" s="68"/>
      <c r="Q2868" s="68">
        <f>SUM(Devis[[#This Row],[Poste 1]:[Poste 6]])</f>
        <v>0</v>
      </c>
      <c r="R2868" s="71"/>
      <c r="S2868" s="68">
        <f>_xlfn.CEILING.MATH(Devis[[#This Row],[Quantité Totale]],Devis[[#This Row],[Conditionnement]])</f>
        <v>0</v>
      </c>
      <c r="T2868" s="72"/>
      <c r="U2868" s="73"/>
      <c r="V2868" s="74">
        <f>Devis[[#This Row],[Prix de Revient]]*Devis[[#This Row],[Poste 1]]</f>
        <v>0</v>
      </c>
      <c r="W2868" s="74">
        <f>Devis[[#This Row],[Prix de Revient]]*Devis[[#This Row],[Poste 2]]</f>
        <v>0</v>
      </c>
      <c r="X2868" s="74">
        <f>Devis[[#This Row],[Prix de Revient]]*Devis[[#This Row],[Poste 3]]</f>
        <v>0</v>
      </c>
      <c r="Y2868" s="74">
        <f>Devis[[#This Row],[Poste 4]]*Devis[[#This Row],[Prix de Revient]]</f>
        <v>0</v>
      </c>
      <c r="Z2868" s="74">
        <f>Devis[[#This Row],[Poste 5]]*Devis[[#This Row],[Prix de Revient]]</f>
        <v>0</v>
      </c>
      <c r="AA2868" s="74">
        <f>Devis[[#This Row],[Prix de Revient]]*Devis[[#This Row],[Poste 6]]</f>
        <v>0</v>
      </c>
      <c r="AB2868" s="74">
        <f>Devis[[#This Row],[Quantité Totale]]*Devis[[#This Row],[Prix de Revient]]</f>
        <v>0</v>
      </c>
    </row>
    <row r="2869" spans="1:28" ht="14.25" customHeight="1" outlineLevel="1" x14ac:dyDescent="0.2">
      <c r="A2869" s="75" t="s">
        <v>2617</v>
      </c>
      <c r="B2869" s="76" t="s">
        <v>5495</v>
      </c>
      <c r="C2869" s="76" t="s">
        <v>5495</v>
      </c>
      <c r="D2869" s="81" t="str">
        <f t="shared" si="49"/>
        <v>RaccordsRaccords pompier MRaccords pompier M</v>
      </c>
      <c r="E2869" s="76" t="s">
        <v>1943</v>
      </c>
      <c r="F2869" s="76">
        <v>2</v>
      </c>
      <c r="G2869" s="71" t="s">
        <v>2713</v>
      </c>
      <c r="H2869" s="71"/>
      <c r="I2869" s="71"/>
      <c r="J2869" s="70">
        <f>IFERROR(VLOOKUP(Devis[[#This Row],[Ref Air Flux]],#REF!,3,FALSE),0)</f>
        <v>0</v>
      </c>
      <c r="K2869" s="68"/>
      <c r="L2869" s="68"/>
      <c r="M2869" s="68"/>
      <c r="N2869" s="68"/>
      <c r="O2869" s="68"/>
      <c r="P2869" s="68"/>
      <c r="Q2869" s="68">
        <f>SUM(Devis[[#This Row],[Poste 1]:[Poste 6]])</f>
        <v>0</v>
      </c>
      <c r="R2869" s="71"/>
      <c r="S2869" s="68">
        <f>_xlfn.CEILING.MATH(Devis[[#This Row],[Quantité Totale]],Devis[[#This Row],[Conditionnement]])</f>
        <v>0</v>
      </c>
      <c r="T2869" s="72"/>
      <c r="U2869" s="73"/>
      <c r="V2869" s="74">
        <f>Devis[[#This Row],[Prix de Revient]]*Devis[[#This Row],[Poste 1]]</f>
        <v>0</v>
      </c>
      <c r="W2869" s="74">
        <f>Devis[[#This Row],[Prix de Revient]]*Devis[[#This Row],[Poste 2]]</f>
        <v>0</v>
      </c>
      <c r="X2869" s="74">
        <f>Devis[[#This Row],[Prix de Revient]]*Devis[[#This Row],[Poste 3]]</f>
        <v>0</v>
      </c>
      <c r="Y2869" s="74">
        <f>Devis[[#This Row],[Poste 4]]*Devis[[#This Row],[Prix de Revient]]</f>
        <v>0</v>
      </c>
      <c r="Z2869" s="74">
        <f>Devis[[#This Row],[Poste 5]]*Devis[[#This Row],[Prix de Revient]]</f>
        <v>0</v>
      </c>
      <c r="AA2869" s="74">
        <f>Devis[[#This Row],[Prix de Revient]]*Devis[[#This Row],[Poste 6]]</f>
        <v>0</v>
      </c>
      <c r="AB2869" s="74">
        <f>Devis[[#This Row],[Quantité Totale]]*Devis[[#This Row],[Prix de Revient]]</f>
        <v>0</v>
      </c>
    </row>
    <row r="2870" spans="1:28" ht="14.25" customHeight="1" outlineLevel="1" x14ac:dyDescent="0.2">
      <c r="A2870" s="75" t="s">
        <v>2617</v>
      </c>
      <c r="B2870" s="76" t="s">
        <v>5495</v>
      </c>
      <c r="C2870" s="76" t="s">
        <v>5495</v>
      </c>
      <c r="D2870" s="81" t="str">
        <f t="shared" si="49"/>
        <v>RaccordsRaccords pompier MRaccords pompier M</v>
      </c>
      <c r="E2870" s="76" t="s">
        <v>2061</v>
      </c>
      <c r="F2870" s="76">
        <v>3</v>
      </c>
      <c r="G2870" s="71" t="s">
        <v>2716</v>
      </c>
      <c r="H2870" s="71"/>
      <c r="I2870" s="71"/>
      <c r="J2870" s="70">
        <f>IFERROR(VLOOKUP(Devis[[#This Row],[Ref Air Flux]],#REF!,3,FALSE),0)</f>
        <v>0</v>
      </c>
      <c r="K2870" s="68"/>
      <c r="L2870" s="68"/>
      <c r="M2870" s="68"/>
      <c r="N2870" s="68"/>
      <c r="O2870" s="68"/>
      <c r="P2870" s="68"/>
      <c r="Q2870" s="68">
        <f>SUM(Devis[[#This Row],[Poste 1]:[Poste 6]])</f>
        <v>0</v>
      </c>
      <c r="R2870" s="71"/>
      <c r="S2870" s="68">
        <f>_xlfn.CEILING.MATH(Devis[[#This Row],[Quantité Totale]],Devis[[#This Row],[Conditionnement]])</f>
        <v>0</v>
      </c>
      <c r="T2870" s="72"/>
      <c r="U2870" s="73"/>
      <c r="V2870" s="74">
        <f>Devis[[#This Row],[Prix de Revient]]*Devis[[#This Row],[Poste 1]]</f>
        <v>0</v>
      </c>
      <c r="W2870" s="74">
        <f>Devis[[#This Row],[Prix de Revient]]*Devis[[#This Row],[Poste 2]]</f>
        <v>0</v>
      </c>
      <c r="X2870" s="74">
        <f>Devis[[#This Row],[Prix de Revient]]*Devis[[#This Row],[Poste 3]]</f>
        <v>0</v>
      </c>
      <c r="Y2870" s="74">
        <f>Devis[[#This Row],[Poste 4]]*Devis[[#This Row],[Prix de Revient]]</f>
        <v>0</v>
      </c>
      <c r="Z2870" s="74">
        <f>Devis[[#This Row],[Poste 5]]*Devis[[#This Row],[Prix de Revient]]</f>
        <v>0</v>
      </c>
      <c r="AA2870" s="74">
        <f>Devis[[#This Row],[Prix de Revient]]*Devis[[#This Row],[Poste 6]]</f>
        <v>0</v>
      </c>
      <c r="AB2870" s="74">
        <f>Devis[[#This Row],[Quantité Totale]]*Devis[[#This Row],[Prix de Revient]]</f>
        <v>0</v>
      </c>
    </row>
    <row r="2871" spans="1:28" ht="14.25" outlineLevel="1" x14ac:dyDescent="0.2">
      <c r="A2871" s="75" t="s">
        <v>2617</v>
      </c>
      <c r="B2871" s="76" t="s">
        <v>5495</v>
      </c>
      <c r="C2871" s="76" t="s">
        <v>5495</v>
      </c>
      <c r="D2871" s="81" t="str">
        <f t="shared" si="49"/>
        <v>RaccordsRaccords pompier MRaccords pompier M</v>
      </c>
      <c r="E2871" s="76" t="s">
        <v>26</v>
      </c>
      <c r="F2871" s="76">
        <v>4</v>
      </c>
      <c r="G2871" s="71" t="s">
        <v>2714</v>
      </c>
      <c r="H2871" s="71"/>
      <c r="I2871" s="71"/>
      <c r="J2871" s="70">
        <f>IFERROR(VLOOKUP(Devis[[#This Row],[Ref Air Flux]],#REF!,3,FALSE),0)</f>
        <v>0</v>
      </c>
      <c r="K2871" s="68"/>
      <c r="L2871" s="68"/>
      <c r="M2871" s="68"/>
      <c r="N2871" s="68"/>
      <c r="O2871" s="68"/>
      <c r="P2871" s="68"/>
      <c r="Q2871" s="68">
        <f>SUM(Devis[[#This Row],[Poste 1]:[Poste 6]])</f>
        <v>0</v>
      </c>
      <c r="R2871" s="71"/>
      <c r="S2871" s="68">
        <f>_xlfn.CEILING.MATH(Devis[[#This Row],[Quantité Totale]],Devis[[#This Row],[Conditionnement]])</f>
        <v>0</v>
      </c>
      <c r="T2871" s="72"/>
      <c r="U2871" s="73"/>
      <c r="V2871" s="74">
        <f>Devis[[#This Row],[Prix de Revient]]*Devis[[#This Row],[Poste 1]]</f>
        <v>0</v>
      </c>
      <c r="W2871" s="74">
        <f>Devis[[#This Row],[Prix de Revient]]*Devis[[#This Row],[Poste 2]]</f>
        <v>0</v>
      </c>
      <c r="X2871" s="74">
        <f>Devis[[#This Row],[Prix de Revient]]*Devis[[#This Row],[Poste 3]]</f>
        <v>0</v>
      </c>
      <c r="Y2871" s="74">
        <f>Devis[[#This Row],[Poste 4]]*Devis[[#This Row],[Prix de Revient]]</f>
        <v>0</v>
      </c>
      <c r="Z2871" s="74">
        <f>Devis[[#This Row],[Poste 5]]*Devis[[#This Row],[Prix de Revient]]</f>
        <v>0</v>
      </c>
      <c r="AA2871" s="74">
        <f>Devis[[#This Row],[Prix de Revient]]*Devis[[#This Row],[Poste 6]]</f>
        <v>0</v>
      </c>
      <c r="AB2871" s="74">
        <f>Devis[[#This Row],[Quantité Totale]]*Devis[[#This Row],[Prix de Revient]]</f>
        <v>0</v>
      </c>
    </row>
    <row r="2872" spans="1:28" ht="14.25" outlineLevel="1" x14ac:dyDescent="0.2">
      <c r="A2872" s="75" t="s">
        <v>2617</v>
      </c>
      <c r="B2872" s="76" t="s">
        <v>5495</v>
      </c>
      <c r="C2872" s="76" t="s">
        <v>5495</v>
      </c>
      <c r="D2872" s="81" t="str">
        <f t="shared" si="49"/>
        <v>RaccordsRaccords pompier MRaccords pompier M</v>
      </c>
      <c r="E2872" s="76" t="s">
        <v>20</v>
      </c>
      <c r="F2872" s="76">
        <v>5</v>
      </c>
      <c r="G2872" s="71" t="s">
        <v>2717</v>
      </c>
      <c r="H2872" s="71"/>
      <c r="I2872" s="71"/>
      <c r="J2872" s="70">
        <f>IFERROR(VLOOKUP(Devis[[#This Row],[Ref Air Flux]],#REF!,3,FALSE),0)</f>
        <v>0</v>
      </c>
      <c r="K2872" s="68"/>
      <c r="L2872" s="68"/>
      <c r="M2872" s="68"/>
      <c r="N2872" s="68"/>
      <c r="O2872" s="68"/>
      <c r="P2872" s="68"/>
      <c r="Q2872" s="68">
        <f>SUM(Devis[[#This Row],[Poste 1]:[Poste 6]])</f>
        <v>0</v>
      </c>
      <c r="R2872" s="71"/>
      <c r="S2872" s="68">
        <f>_xlfn.CEILING.MATH(Devis[[#This Row],[Quantité Totale]],Devis[[#This Row],[Conditionnement]])</f>
        <v>0</v>
      </c>
      <c r="T2872" s="72"/>
      <c r="U2872" s="73"/>
      <c r="V2872" s="74">
        <f>Devis[[#This Row],[Prix de Revient]]*Devis[[#This Row],[Poste 1]]</f>
        <v>0</v>
      </c>
      <c r="W2872" s="74">
        <f>Devis[[#This Row],[Prix de Revient]]*Devis[[#This Row],[Poste 2]]</f>
        <v>0</v>
      </c>
      <c r="X2872" s="74">
        <f>Devis[[#This Row],[Prix de Revient]]*Devis[[#This Row],[Poste 3]]</f>
        <v>0</v>
      </c>
      <c r="Y2872" s="74">
        <f>Devis[[#This Row],[Poste 4]]*Devis[[#This Row],[Prix de Revient]]</f>
        <v>0</v>
      </c>
      <c r="Z2872" s="74">
        <f>Devis[[#This Row],[Poste 5]]*Devis[[#This Row],[Prix de Revient]]</f>
        <v>0</v>
      </c>
      <c r="AA2872" s="74">
        <f>Devis[[#This Row],[Prix de Revient]]*Devis[[#This Row],[Poste 6]]</f>
        <v>0</v>
      </c>
      <c r="AB2872" s="74">
        <f>Devis[[#This Row],[Quantité Totale]]*Devis[[#This Row],[Prix de Revient]]</f>
        <v>0</v>
      </c>
    </row>
    <row r="2873" spans="1:28" ht="14.25" outlineLevel="1" x14ac:dyDescent="0.2">
      <c r="A2873" s="75" t="s">
        <v>2617</v>
      </c>
      <c r="B2873" s="76" t="s">
        <v>5495</v>
      </c>
      <c r="C2873" s="76" t="s">
        <v>5495</v>
      </c>
      <c r="D2873" s="81" t="str">
        <f t="shared" si="49"/>
        <v>RaccordsRaccords pompier MRaccords pompier M</v>
      </c>
      <c r="E2873" s="76" t="s">
        <v>21</v>
      </c>
      <c r="F2873" s="76">
        <v>6</v>
      </c>
      <c r="G2873" s="71" t="s">
        <v>2718</v>
      </c>
      <c r="H2873" s="71"/>
      <c r="I2873" s="71"/>
      <c r="J2873" s="70">
        <f>IFERROR(VLOOKUP(Devis[[#This Row],[Ref Air Flux]],#REF!,3,FALSE),0)</f>
        <v>0</v>
      </c>
      <c r="K2873" s="68"/>
      <c r="L2873" s="68"/>
      <c r="M2873" s="68"/>
      <c r="N2873" s="68"/>
      <c r="O2873" s="68"/>
      <c r="P2873" s="68"/>
      <c r="Q2873" s="68">
        <f>SUM(Devis[[#This Row],[Poste 1]:[Poste 6]])</f>
        <v>0</v>
      </c>
      <c r="R2873" s="71"/>
      <c r="S2873" s="68">
        <f>_xlfn.CEILING.MATH(Devis[[#This Row],[Quantité Totale]],Devis[[#This Row],[Conditionnement]])</f>
        <v>0</v>
      </c>
      <c r="T2873" s="72"/>
      <c r="U2873" s="73"/>
      <c r="V2873" s="74">
        <f>Devis[[#This Row],[Prix de Revient]]*Devis[[#This Row],[Poste 1]]</f>
        <v>0</v>
      </c>
      <c r="W2873" s="74">
        <f>Devis[[#This Row],[Prix de Revient]]*Devis[[#This Row],[Poste 2]]</f>
        <v>0</v>
      </c>
      <c r="X2873" s="74">
        <f>Devis[[#This Row],[Prix de Revient]]*Devis[[#This Row],[Poste 3]]</f>
        <v>0</v>
      </c>
      <c r="Y2873" s="74">
        <f>Devis[[#This Row],[Poste 4]]*Devis[[#This Row],[Prix de Revient]]</f>
        <v>0</v>
      </c>
      <c r="Z2873" s="74">
        <f>Devis[[#This Row],[Poste 5]]*Devis[[#This Row],[Prix de Revient]]</f>
        <v>0</v>
      </c>
      <c r="AA2873" s="74">
        <f>Devis[[#This Row],[Prix de Revient]]*Devis[[#This Row],[Poste 6]]</f>
        <v>0</v>
      </c>
      <c r="AB2873" s="74">
        <f>Devis[[#This Row],[Quantité Totale]]*Devis[[#This Row],[Prix de Revient]]</f>
        <v>0</v>
      </c>
    </row>
    <row r="2874" spans="1:28" ht="14.25" outlineLevel="1" x14ac:dyDescent="0.2">
      <c r="A2874" s="75" t="s">
        <v>2617</v>
      </c>
      <c r="B2874" s="76" t="s">
        <v>5495</v>
      </c>
      <c r="C2874" s="76" t="s">
        <v>5495</v>
      </c>
      <c r="D2874" s="81" t="str">
        <f t="shared" si="49"/>
        <v>RaccordsRaccords pompier MRaccords pompier M</v>
      </c>
      <c r="E2874" s="76" t="s">
        <v>0</v>
      </c>
      <c r="F2874" s="76">
        <v>7</v>
      </c>
      <c r="G2874" s="71" t="s">
        <v>5496</v>
      </c>
      <c r="H2874" s="71"/>
      <c r="I2874" s="71"/>
      <c r="J2874" s="70">
        <f>IFERROR(VLOOKUP(Devis[[#This Row],[Ref Air Flux]],#REF!,3,FALSE),0)</f>
        <v>0</v>
      </c>
      <c r="K2874" s="68"/>
      <c r="L2874" s="68"/>
      <c r="M2874" s="68"/>
      <c r="N2874" s="68"/>
      <c r="O2874" s="68"/>
      <c r="P2874" s="68"/>
      <c r="Q2874" s="68">
        <f>SUM(Devis[[#This Row],[Poste 1]:[Poste 6]])</f>
        <v>0</v>
      </c>
      <c r="R2874" s="71"/>
      <c r="S2874" s="68">
        <f>_xlfn.CEILING.MATH(Devis[[#This Row],[Quantité Totale]],Devis[[#This Row],[Conditionnement]])</f>
        <v>0</v>
      </c>
      <c r="T2874" s="72"/>
      <c r="U2874" s="73"/>
      <c r="V2874" s="74">
        <f>Devis[[#This Row],[Prix de Revient]]*Devis[[#This Row],[Poste 1]]</f>
        <v>0</v>
      </c>
      <c r="W2874" s="74">
        <f>Devis[[#This Row],[Prix de Revient]]*Devis[[#This Row],[Poste 2]]</f>
        <v>0</v>
      </c>
      <c r="X2874" s="74">
        <f>Devis[[#This Row],[Prix de Revient]]*Devis[[#This Row],[Poste 3]]</f>
        <v>0</v>
      </c>
      <c r="Y2874" s="74">
        <f>Devis[[#This Row],[Poste 4]]*Devis[[#This Row],[Prix de Revient]]</f>
        <v>0</v>
      </c>
      <c r="Z2874" s="74">
        <f>Devis[[#This Row],[Poste 5]]*Devis[[#This Row],[Prix de Revient]]</f>
        <v>0</v>
      </c>
      <c r="AA2874" s="74">
        <f>Devis[[#This Row],[Prix de Revient]]*Devis[[#This Row],[Poste 6]]</f>
        <v>0</v>
      </c>
      <c r="AB2874" s="74">
        <f>Devis[[#This Row],[Quantité Totale]]*Devis[[#This Row],[Prix de Revient]]</f>
        <v>0</v>
      </c>
    </row>
    <row r="2875" spans="1:28" ht="14.25" customHeight="1" x14ac:dyDescent="0.25">
      <c r="A2875" s="65" t="s">
        <v>2617</v>
      </c>
      <c r="B2875" s="65" t="s">
        <v>5497</v>
      </c>
      <c r="C2875" s="113" t="s">
        <v>5497</v>
      </c>
      <c r="D2875" s="81" t="str">
        <f t="shared" si="49"/>
        <v>RaccordsRI  coudésRI  coudés</v>
      </c>
      <c r="E2875" s="76"/>
      <c r="F2875" s="76">
        <v>0</v>
      </c>
      <c r="G2875" s="71"/>
      <c r="H2875" s="71"/>
      <c r="I2875" s="71"/>
      <c r="J2875" s="70">
        <f>IFERROR(VLOOKUP(Devis[[#This Row],[Ref Air Flux]],#REF!,3,FALSE),0)</f>
        <v>0</v>
      </c>
      <c r="K2875" s="68"/>
      <c r="L2875" s="68"/>
      <c r="M2875" s="68"/>
      <c r="N2875" s="68"/>
      <c r="O2875" s="68"/>
      <c r="P2875" s="68"/>
      <c r="Q2875" s="68">
        <f>SUM(Devis[[#This Row],[Poste 1]:[Poste 6]])</f>
        <v>0</v>
      </c>
      <c r="R2875" s="71"/>
      <c r="S2875" s="68">
        <f>_xlfn.CEILING.MATH(Devis[[#This Row],[Quantité Totale]],Devis[[#This Row],[Conditionnement]])</f>
        <v>0</v>
      </c>
      <c r="T2875" s="72"/>
      <c r="U2875" s="73"/>
      <c r="V2875" s="74">
        <f>Devis[[#This Row],[Prix de Revient]]*Devis[[#This Row],[Poste 1]]</f>
        <v>0</v>
      </c>
      <c r="W2875" s="74">
        <f>Devis[[#This Row],[Prix de Revient]]*Devis[[#This Row],[Poste 2]]</f>
        <v>0</v>
      </c>
      <c r="X2875" s="74">
        <f>Devis[[#This Row],[Prix de Revient]]*Devis[[#This Row],[Poste 3]]</f>
        <v>0</v>
      </c>
      <c r="Y2875" s="74">
        <f>Devis[[#This Row],[Poste 4]]*Devis[[#This Row],[Prix de Revient]]</f>
        <v>0</v>
      </c>
      <c r="Z2875" s="74">
        <f>Devis[[#This Row],[Poste 5]]*Devis[[#This Row],[Prix de Revient]]</f>
        <v>0</v>
      </c>
      <c r="AA2875" s="74">
        <f>Devis[[#This Row],[Prix de Revient]]*Devis[[#This Row],[Poste 6]]</f>
        <v>0</v>
      </c>
      <c r="AB2875" s="74">
        <f>Devis[[#This Row],[Quantité Totale]]*Devis[[#This Row],[Prix de Revient]]</f>
        <v>0</v>
      </c>
    </row>
    <row r="2876" spans="1:28" ht="14.25" customHeight="1" outlineLevel="1" x14ac:dyDescent="0.2">
      <c r="A2876" s="75" t="s">
        <v>2617</v>
      </c>
      <c r="B2876" s="76" t="s">
        <v>5497</v>
      </c>
      <c r="C2876" s="76" t="s">
        <v>5497</v>
      </c>
      <c r="D2876" s="81" t="str">
        <f t="shared" si="49"/>
        <v>RaccordsRI  coudésRI  coudés</v>
      </c>
      <c r="E2876" s="76" t="s">
        <v>2719</v>
      </c>
      <c r="F2876" s="76">
        <v>1</v>
      </c>
      <c r="G2876" s="71" t="s">
        <v>2720</v>
      </c>
      <c r="H2876" s="71"/>
      <c r="I2876" s="71"/>
      <c r="J2876" s="70">
        <f>IFERROR(VLOOKUP(Devis[[#This Row],[Ref Air Flux]],#REF!,3,FALSE),0)</f>
        <v>0</v>
      </c>
      <c r="K2876" s="68"/>
      <c r="L2876" s="68"/>
      <c r="M2876" s="68"/>
      <c r="N2876" s="68"/>
      <c r="O2876" s="68"/>
      <c r="P2876" s="68"/>
      <c r="Q2876" s="68">
        <f>SUM(Devis[[#This Row],[Poste 1]:[Poste 6]])</f>
        <v>0</v>
      </c>
      <c r="R2876" s="71"/>
      <c r="S2876" s="68">
        <f>_xlfn.CEILING.MATH(Devis[[#This Row],[Quantité Totale]],Devis[[#This Row],[Conditionnement]])</f>
        <v>0</v>
      </c>
      <c r="T2876" s="72"/>
      <c r="U2876" s="73"/>
      <c r="V2876" s="74">
        <f>Devis[[#This Row],[Prix de Revient]]*Devis[[#This Row],[Poste 1]]</f>
        <v>0</v>
      </c>
      <c r="W2876" s="74">
        <f>Devis[[#This Row],[Prix de Revient]]*Devis[[#This Row],[Poste 2]]</f>
        <v>0</v>
      </c>
      <c r="X2876" s="74">
        <f>Devis[[#This Row],[Prix de Revient]]*Devis[[#This Row],[Poste 3]]</f>
        <v>0</v>
      </c>
      <c r="Y2876" s="74">
        <f>Devis[[#This Row],[Poste 4]]*Devis[[#This Row],[Prix de Revient]]</f>
        <v>0</v>
      </c>
      <c r="Z2876" s="74">
        <f>Devis[[#This Row],[Poste 5]]*Devis[[#This Row],[Prix de Revient]]</f>
        <v>0</v>
      </c>
      <c r="AA2876" s="74">
        <f>Devis[[#This Row],[Prix de Revient]]*Devis[[#This Row],[Poste 6]]</f>
        <v>0</v>
      </c>
      <c r="AB2876" s="74">
        <f>Devis[[#This Row],[Quantité Totale]]*Devis[[#This Row],[Prix de Revient]]</f>
        <v>0</v>
      </c>
    </row>
    <row r="2877" spans="1:28" ht="14.25" outlineLevel="1" x14ac:dyDescent="0.2">
      <c r="A2877" s="75" t="s">
        <v>2617</v>
      </c>
      <c r="B2877" s="76" t="s">
        <v>5497</v>
      </c>
      <c r="C2877" s="76" t="s">
        <v>5497</v>
      </c>
      <c r="D2877" s="81" t="str">
        <f t="shared" si="49"/>
        <v>RaccordsRI  coudésRI  coudés</v>
      </c>
      <c r="E2877" s="76" t="s">
        <v>2623</v>
      </c>
      <c r="F2877" s="76">
        <v>2</v>
      </c>
      <c r="G2877" s="71" t="s">
        <v>2721</v>
      </c>
      <c r="H2877" s="71"/>
      <c r="I2877" s="71"/>
      <c r="J2877" s="70">
        <f>IFERROR(VLOOKUP(Devis[[#This Row],[Ref Air Flux]],#REF!,3,FALSE),0)</f>
        <v>0</v>
      </c>
      <c r="K2877" s="68"/>
      <c r="L2877" s="68"/>
      <c r="M2877" s="68"/>
      <c r="N2877" s="68"/>
      <c r="O2877" s="68"/>
      <c r="P2877" s="68"/>
      <c r="Q2877" s="68">
        <f>SUM(Devis[[#This Row],[Poste 1]:[Poste 6]])</f>
        <v>0</v>
      </c>
      <c r="R2877" s="71"/>
      <c r="S2877" s="68">
        <f>_xlfn.CEILING.MATH(Devis[[#This Row],[Quantité Totale]],Devis[[#This Row],[Conditionnement]])</f>
        <v>0</v>
      </c>
      <c r="T2877" s="72"/>
      <c r="U2877" s="73"/>
      <c r="V2877" s="74">
        <f>Devis[[#This Row],[Prix de Revient]]*Devis[[#This Row],[Poste 1]]</f>
        <v>0</v>
      </c>
      <c r="W2877" s="74">
        <f>Devis[[#This Row],[Prix de Revient]]*Devis[[#This Row],[Poste 2]]</f>
        <v>0</v>
      </c>
      <c r="X2877" s="74">
        <f>Devis[[#This Row],[Prix de Revient]]*Devis[[#This Row],[Poste 3]]</f>
        <v>0</v>
      </c>
      <c r="Y2877" s="74">
        <f>Devis[[#This Row],[Poste 4]]*Devis[[#This Row],[Prix de Revient]]</f>
        <v>0</v>
      </c>
      <c r="Z2877" s="74">
        <f>Devis[[#This Row],[Poste 5]]*Devis[[#This Row],[Prix de Revient]]</f>
        <v>0</v>
      </c>
      <c r="AA2877" s="74">
        <f>Devis[[#This Row],[Prix de Revient]]*Devis[[#This Row],[Poste 6]]</f>
        <v>0</v>
      </c>
      <c r="AB2877" s="74">
        <f>Devis[[#This Row],[Quantité Totale]]*Devis[[#This Row],[Prix de Revient]]</f>
        <v>0</v>
      </c>
    </row>
    <row r="2878" spans="1:28" ht="14.25" customHeight="1" outlineLevel="1" x14ac:dyDescent="0.2">
      <c r="A2878" s="75" t="s">
        <v>2617</v>
      </c>
      <c r="B2878" s="76" t="s">
        <v>5497</v>
      </c>
      <c r="C2878" s="76" t="s">
        <v>5497</v>
      </c>
      <c r="D2878" s="81" t="str">
        <f t="shared" si="49"/>
        <v>RaccordsRI  coudésRI  coudés</v>
      </c>
      <c r="E2878" s="76" t="s">
        <v>2625</v>
      </c>
      <c r="F2878" s="76">
        <v>3</v>
      </c>
      <c r="G2878" s="71" t="s">
        <v>2722</v>
      </c>
      <c r="H2878" s="71"/>
      <c r="I2878" s="71"/>
      <c r="J2878" s="70">
        <f>IFERROR(VLOOKUP(Devis[[#This Row],[Ref Air Flux]],#REF!,3,FALSE),0)</f>
        <v>0</v>
      </c>
      <c r="K2878" s="68"/>
      <c r="L2878" s="68"/>
      <c r="M2878" s="68"/>
      <c r="N2878" s="68"/>
      <c r="O2878" s="68"/>
      <c r="P2878" s="68"/>
      <c r="Q2878" s="68">
        <f>SUM(Devis[[#This Row],[Poste 1]:[Poste 6]])</f>
        <v>0</v>
      </c>
      <c r="R2878" s="71"/>
      <c r="S2878" s="68">
        <f>_xlfn.CEILING.MATH(Devis[[#This Row],[Quantité Totale]],Devis[[#This Row],[Conditionnement]])</f>
        <v>0</v>
      </c>
      <c r="T2878" s="72"/>
      <c r="U2878" s="73"/>
      <c r="V2878" s="74">
        <f>Devis[[#This Row],[Prix de Revient]]*Devis[[#This Row],[Poste 1]]</f>
        <v>0</v>
      </c>
      <c r="W2878" s="74">
        <f>Devis[[#This Row],[Prix de Revient]]*Devis[[#This Row],[Poste 2]]</f>
        <v>0</v>
      </c>
      <c r="X2878" s="74">
        <f>Devis[[#This Row],[Prix de Revient]]*Devis[[#This Row],[Poste 3]]</f>
        <v>0</v>
      </c>
      <c r="Y2878" s="74">
        <f>Devis[[#This Row],[Poste 4]]*Devis[[#This Row],[Prix de Revient]]</f>
        <v>0</v>
      </c>
      <c r="Z2878" s="74">
        <f>Devis[[#This Row],[Poste 5]]*Devis[[#This Row],[Prix de Revient]]</f>
        <v>0</v>
      </c>
      <c r="AA2878" s="74">
        <f>Devis[[#This Row],[Prix de Revient]]*Devis[[#This Row],[Poste 6]]</f>
        <v>0</v>
      </c>
      <c r="AB2878" s="74">
        <f>Devis[[#This Row],[Quantité Totale]]*Devis[[#This Row],[Prix de Revient]]</f>
        <v>0</v>
      </c>
    </row>
    <row r="2879" spans="1:28" ht="14.25" outlineLevel="1" x14ac:dyDescent="0.2">
      <c r="A2879" s="75" t="s">
        <v>2617</v>
      </c>
      <c r="B2879" s="76" t="s">
        <v>5497</v>
      </c>
      <c r="C2879" s="76" t="s">
        <v>5497</v>
      </c>
      <c r="D2879" s="81" t="str">
        <f t="shared" si="49"/>
        <v>RaccordsRI  coudésRI  coudés</v>
      </c>
      <c r="E2879" s="76" t="s">
        <v>2627</v>
      </c>
      <c r="F2879" s="76">
        <v>4</v>
      </c>
      <c r="G2879" s="71" t="s">
        <v>2723</v>
      </c>
      <c r="H2879" s="71"/>
      <c r="I2879" s="71"/>
      <c r="J2879" s="70">
        <f>IFERROR(VLOOKUP(Devis[[#This Row],[Ref Air Flux]],#REF!,3,FALSE),0)</f>
        <v>0</v>
      </c>
      <c r="K2879" s="68"/>
      <c r="L2879" s="68"/>
      <c r="M2879" s="68"/>
      <c r="N2879" s="68"/>
      <c r="O2879" s="68"/>
      <c r="P2879" s="68"/>
      <c r="Q2879" s="68">
        <f>SUM(Devis[[#This Row],[Poste 1]:[Poste 6]])</f>
        <v>0</v>
      </c>
      <c r="R2879" s="71"/>
      <c r="S2879" s="68">
        <f>_xlfn.CEILING.MATH(Devis[[#This Row],[Quantité Totale]],Devis[[#This Row],[Conditionnement]])</f>
        <v>0</v>
      </c>
      <c r="T2879" s="72"/>
      <c r="U2879" s="73"/>
      <c r="V2879" s="74">
        <f>Devis[[#This Row],[Prix de Revient]]*Devis[[#This Row],[Poste 1]]</f>
        <v>0</v>
      </c>
      <c r="W2879" s="74">
        <f>Devis[[#This Row],[Prix de Revient]]*Devis[[#This Row],[Poste 2]]</f>
        <v>0</v>
      </c>
      <c r="X2879" s="74">
        <f>Devis[[#This Row],[Prix de Revient]]*Devis[[#This Row],[Poste 3]]</f>
        <v>0</v>
      </c>
      <c r="Y2879" s="74">
        <f>Devis[[#This Row],[Poste 4]]*Devis[[#This Row],[Prix de Revient]]</f>
        <v>0</v>
      </c>
      <c r="Z2879" s="74">
        <f>Devis[[#This Row],[Poste 5]]*Devis[[#This Row],[Prix de Revient]]</f>
        <v>0</v>
      </c>
      <c r="AA2879" s="74">
        <f>Devis[[#This Row],[Prix de Revient]]*Devis[[#This Row],[Poste 6]]</f>
        <v>0</v>
      </c>
      <c r="AB2879" s="74">
        <f>Devis[[#This Row],[Quantité Totale]]*Devis[[#This Row],[Prix de Revient]]</f>
        <v>0</v>
      </c>
    </row>
    <row r="2880" spans="1:28" ht="14.25" outlineLevel="1" x14ac:dyDescent="0.2">
      <c r="A2880" s="75" t="s">
        <v>2617</v>
      </c>
      <c r="B2880" s="76" t="s">
        <v>5497</v>
      </c>
      <c r="C2880" s="76" t="s">
        <v>5497</v>
      </c>
      <c r="D2880" s="81" t="str">
        <f t="shared" si="49"/>
        <v>RaccordsRI  coudésRI  coudés</v>
      </c>
      <c r="E2880" s="76" t="s">
        <v>2629</v>
      </c>
      <c r="F2880" s="76">
        <v>5</v>
      </c>
      <c r="G2880" s="71" t="s">
        <v>2724</v>
      </c>
      <c r="H2880" s="71"/>
      <c r="I2880" s="71"/>
      <c r="J2880" s="70">
        <f>IFERROR(VLOOKUP(Devis[[#This Row],[Ref Air Flux]],#REF!,3,FALSE),0)</f>
        <v>0</v>
      </c>
      <c r="K2880" s="68"/>
      <c r="L2880" s="68"/>
      <c r="M2880" s="68"/>
      <c r="N2880" s="68"/>
      <c r="O2880" s="68"/>
      <c r="P2880" s="68"/>
      <c r="Q2880" s="68">
        <f>SUM(Devis[[#This Row],[Poste 1]:[Poste 6]])</f>
        <v>0</v>
      </c>
      <c r="R2880" s="71"/>
      <c r="S2880" s="68">
        <f>_xlfn.CEILING.MATH(Devis[[#This Row],[Quantité Totale]],Devis[[#This Row],[Conditionnement]])</f>
        <v>0</v>
      </c>
      <c r="T2880" s="72"/>
      <c r="U2880" s="73"/>
      <c r="V2880" s="74">
        <f>Devis[[#This Row],[Prix de Revient]]*Devis[[#This Row],[Poste 1]]</f>
        <v>0</v>
      </c>
      <c r="W2880" s="74">
        <f>Devis[[#This Row],[Prix de Revient]]*Devis[[#This Row],[Poste 2]]</f>
        <v>0</v>
      </c>
      <c r="X2880" s="74">
        <f>Devis[[#This Row],[Prix de Revient]]*Devis[[#This Row],[Poste 3]]</f>
        <v>0</v>
      </c>
      <c r="Y2880" s="74">
        <f>Devis[[#This Row],[Poste 4]]*Devis[[#This Row],[Prix de Revient]]</f>
        <v>0</v>
      </c>
      <c r="Z2880" s="74">
        <f>Devis[[#This Row],[Poste 5]]*Devis[[#This Row],[Prix de Revient]]</f>
        <v>0</v>
      </c>
      <c r="AA2880" s="74">
        <f>Devis[[#This Row],[Prix de Revient]]*Devis[[#This Row],[Poste 6]]</f>
        <v>0</v>
      </c>
      <c r="AB2880" s="74">
        <f>Devis[[#This Row],[Quantité Totale]]*Devis[[#This Row],[Prix de Revient]]</f>
        <v>0</v>
      </c>
    </row>
    <row r="2881" spans="1:28" ht="14.25" customHeight="1" outlineLevel="1" x14ac:dyDescent="0.2">
      <c r="A2881" s="75" t="s">
        <v>2617</v>
      </c>
      <c r="B2881" s="76" t="s">
        <v>5497</v>
      </c>
      <c r="C2881" s="76" t="s">
        <v>5497</v>
      </c>
      <c r="D2881" s="81" t="str">
        <f t="shared" si="49"/>
        <v>RaccordsRI  coudésRI  coudés</v>
      </c>
      <c r="E2881" s="76" t="s">
        <v>2631</v>
      </c>
      <c r="F2881" s="76">
        <v>6</v>
      </c>
      <c r="G2881" s="71" t="s">
        <v>2725</v>
      </c>
      <c r="H2881" s="71"/>
      <c r="I2881" s="71"/>
      <c r="J2881" s="70">
        <f>IFERROR(VLOOKUP(Devis[[#This Row],[Ref Air Flux]],#REF!,3,FALSE),0)</f>
        <v>0</v>
      </c>
      <c r="K2881" s="68"/>
      <c r="L2881" s="68"/>
      <c r="M2881" s="68"/>
      <c r="N2881" s="68"/>
      <c r="O2881" s="68"/>
      <c r="P2881" s="68"/>
      <c r="Q2881" s="68">
        <f>SUM(Devis[[#This Row],[Poste 1]:[Poste 6]])</f>
        <v>0</v>
      </c>
      <c r="R2881" s="71"/>
      <c r="S2881" s="68">
        <f>_xlfn.CEILING.MATH(Devis[[#This Row],[Quantité Totale]],Devis[[#This Row],[Conditionnement]])</f>
        <v>0</v>
      </c>
      <c r="T2881" s="72"/>
      <c r="U2881" s="73"/>
      <c r="V2881" s="74">
        <f>Devis[[#This Row],[Prix de Revient]]*Devis[[#This Row],[Poste 1]]</f>
        <v>0</v>
      </c>
      <c r="W2881" s="74">
        <f>Devis[[#This Row],[Prix de Revient]]*Devis[[#This Row],[Poste 2]]</f>
        <v>0</v>
      </c>
      <c r="X2881" s="74">
        <f>Devis[[#This Row],[Prix de Revient]]*Devis[[#This Row],[Poste 3]]</f>
        <v>0</v>
      </c>
      <c r="Y2881" s="74">
        <f>Devis[[#This Row],[Poste 4]]*Devis[[#This Row],[Prix de Revient]]</f>
        <v>0</v>
      </c>
      <c r="Z2881" s="74">
        <f>Devis[[#This Row],[Poste 5]]*Devis[[#This Row],[Prix de Revient]]</f>
        <v>0</v>
      </c>
      <c r="AA2881" s="74">
        <f>Devis[[#This Row],[Prix de Revient]]*Devis[[#This Row],[Poste 6]]</f>
        <v>0</v>
      </c>
      <c r="AB2881" s="74">
        <f>Devis[[#This Row],[Quantité Totale]]*Devis[[#This Row],[Prix de Revient]]</f>
        <v>0</v>
      </c>
    </row>
    <row r="2882" spans="1:28" ht="14.25" customHeight="1" outlineLevel="1" x14ac:dyDescent="0.2">
      <c r="A2882" s="75" t="s">
        <v>2617</v>
      </c>
      <c r="B2882" s="76" t="s">
        <v>5497</v>
      </c>
      <c r="C2882" s="76" t="s">
        <v>5497</v>
      </c>
      <c r="D2882" s="81" t="str">
        <f t="shared" si="49"/>
        <v>RaccordsRI  coudésRI  coudés</v>
      </c>
      <c r="E2882" s="76" t="s">
        <v>2635</v>
      </c>
      <c r="F2882" s="76">
        <v>7</v>
      </c>
      <c r="G2882" s="71" t="s">
        <v>2726</v>
      </c>
      <c r="H2882" s="71"/>
      <c r="I2882" s="71"/>
      <c r="J2882" s="70">
        <f>IFERROR(VLOOKUP(Devis[[#This Row],[Ref Air Flux]],#REF!,3,FALSE),0)</f>
        <v>0</v>
      </c>
      <c r="K2882" s="68"/>
      <c r="L2882" s="68"/>
      <c r="M2882" s="68"/>
      <c r="N2882" s="68"/>
      <c r="O2882" s="68"/>
      <c r="P2882" s="68"/>
      <c r="Q2882" s="68">
        <f>SUM(Devis[[#This Row],[Poste 1]:[Poste 6]])</f>
        <v>0</v>
      </c>
      <c r="R2882" s="71"/>
      <c r="S2882" s="68">
        <f>_xlfn.CEILING.MATH(Devis[[#This Row],[Quantité Totale]],Devis[[#This Row],[Conditionnement]])</f>
        <v>0</v>
      </c>
      <c r="T2882" s="72"/>
      <c r="U2882" s="73"/>
      <c r="V2882" s="74">
        <f>Devis[[#This Row],[Prix de Revient]]*Devis[[#This Row],[Poste 1]]</f>
        <v>0</v>
      </c>
      <c r="W2882" s="74">
        <f>Devis[[#This Row],[Prix de Revient]]*Devis[[#This Row],[Poste 2]]</f>
        <v>0</v>
      </c>
      <c r="X2882" s="74">
        <f>Devis[[#This Row],[Prix de Revient]]*Devis[[#This Row],[Poste 3]]</f>
        <v>0</v>
      </c>
      <c r="Y2882" s="74">
        <f>Devis[[#This Row],[Poste 4]]*Devis[[#This Row],[Prix de Revient]]</f>
        <v>0</v>
      </c>
      <c r="Z2882" s="74">
        <f>Devis[[#This Row],[Poste 5]]*Devis[[#This Row],[Prix de Revient]]</f>
        <v>0</v>
      </c>
      <c r="AA2882" s="74">
        <f>Devis[[#This Row],[Prix de Revient]]*Devis[[#This Row],[Poste 6]]</f>
        <v>0</v>
      </c>
      <c r="AB2882" s="74">
        <f>Devis[[#This Row],[Quantité Totale]]*Devis[[#This Row],[Prix de Revient]]</f>
        <v>0</v>
      </c>
    </row>
    <row r="2883" spans="1:28" ht="14.25" outlineLevel="1" x14ac:dyDescent="0.2">
      <c r="A2883" s="75" t="s">
        <v>2617</v>
      </c>
      <c r="B2883" s="76" t="s">
        <v>5497</v>
      </c>
      <c r="C2883" s="76" t="s">
        <v>5497</v>
      </c>
      <c r="D2883" s="81" t="str">
        <f t="shared" si="49"/>
        <v>RaccordsRI  coudésRI  coudés</v>
      </c>
      <c r="E2883" s="76" t="s">
        <v>2637</v>
      </c>
      <c r="F2883" s="76">
        <v>8</v>
      </c>
      <c r="G2883" s="71" t="s">
        <v>2727</v>
      </c>
      <c r="H2883" s="71"/>
      <c r="I2883" s="71"/>
      <c r="J2883" s="70">
        <f>IFERROR(VLOOKUP(Devis[[#This Row],[Ref Air Flux]],#REF!,3,FALSE),0)</f>
        <v>0</v>
      </c>
      <c r="K2883" s="68"/>
      <c r="L2883" s="68"/>
      <c r="M2883" s="68"/>
      <c r="N2883" s="68"/>
      <c r="O2883" s="68"/>
      <c r="P2883" s="68"/>
      <c r="Q2883" s="68">
        <f>SUM(Devis[[#This Row],[Poste 1]:[Poste 6]])</f>
        <v>0</v>
      </c>
      <c r="R2883" s="71"/>
      <c r="S2883" s="68">
        <f>_xlfn.CEILING.MATH(Devis[[#This Row],[Quantité Totale]],Devis[[#This Row],[Conditionnement]])</f>
        <v>0</v>
      </c>
      <c r="T2883" s="72"/>
      <c r="U2883" s="73"/>
      <c r="V2883" s="74">
        <f>Devis[[#This Row],[Prix de Revient]]*Devis[[#This Row],[Poste 1]]</f>
        <v>0</v>
      </c>
      <c r="W2883" s="74">
        <f>Devis[[#This Row],[Prix de Revient]]*Devis[[#This Row],[Poste 2]]</f>
        <v>0</v>
      </c>
      <c r="X2883" s="74">
        <f>Devis[[#This Row],[Prix de Revient]]*Devis[[#This Row],[Poste 3]]</f>
        <v>0</v>
      </c>
      <c r="Y2883" s="74">
        <f>Devis[[#This Row],[Poste 4]]*Devis[[#This Row],[Prix de Revient]]</f>
        <v>0</v>
      </c>
      <c r="Z2883" s="74">
        <f>Devis[[#This Row],[Poste 5]]*Devis[[#This Row],[Prix de Revient]]</f>
        <v>0</v>
      </c>
      <c r="AA2883" s="74">
        <f>Devis[[#This Row],[Prix de Revient]]*Devis[[#This Row],[Poste 6]]</f>
        <v>0</v>
      </c>
      <c r="AB2883" s="74">
        <f>Devis[[#This Row],[Quantité Totale]]*Devis[[#This Row],[Prix de Revient]]</f>
        <v>0</v>
      </c>
    </row>
    <row r="2884" spans="1:28" ht="14.25" outlineLevel="1" x14ac:dyDescent="0.2">
      <c r="A2884" s="75" t="s">
        <v>2617</v>
      </c>
      <c r="B2884" s="76" t="s">
        <v>5497</v>
      </c>
      <c r="C2884" s="76" t="s">
        <v>5497</v>
      </c>
      <c r="D2884" s="81" t="str">
        <f t="shared" si="49"/>
        <v>RaccordsRI  coudésRI  coudés</v>
      </c>
      <c r="E2884" s="76" t="s">
        <v>2639</v>
      </c>
      <c r="F2884" s="76">
        <v>9</v>
      </c>
      <c r="G2884" s="71" t="s">
        <v>2728</v>
      </c>
      <c r="H2884" s="71"/>
      <c r="I2884" s="71"/>
      <c r="J2884" s="70">
        <f>IFERROR(VLOOKUP(Devis[[#This Row],[Ref Air Flux]],#REF!,3,FALSE),0)</f>
        <v>0</v>
      </c>
      <c r="K2884" s="68"/>
      <c r="L2884" s="68"/>
      <c r="M2884" s="68"/>
      <c r="N2884" s="68"/>
      <c r="O2884" s="68"/>
      <c r="P2884" s="68"/>
      <c r="Q2884" s="68">
        <f>SUM(Devis[[#This Row],[Poste 1]:[Poste 6]])</f>
        <v>0</v>
      </c>
      <c r="R2884" s="71"/>
      <c r="S2884" s="68">
        <f>_xlfn.CEILING.MATH(Devis[[#This Row],[Quantité Totale]],Devis[[#This Row],[Conditionnement]])</f>
        <v>0</v>
      </c>
      <c r="T2884" s="72"/>
      <c r="U2884" s="73"/>
      <c r="V2884" s="74">
        <f>Devis[[#This Row],[Prix de Revient]]*Devis[[#This Row],[Poste 1]]</f>
        <v>0</v>
      </c>
      <c r="W2884" s="74">
        <f>Devis[[#This Row],[Prix de Revient]]*Devis[[#This Row],[Poste 2]]</f>
        <v>0</v>
      </c>
      <c r="X2884" s="74">
        <f>Devis[[#This Row],[Prix de Revient]]*Devis[[#This Row],[Poste 3]]</f>
        <v>0</v>
      </c>
      <c r="Y2884" s="74">
        <f>Devis[[#This Row],[Poste 4]]*Devis[[#This Row],[Prix de Revient]]</f>
        <v>0</v>
      </c>
      <c r="Z2884" s="74">
        <f>Devis[[#This Row],[Poste 5]]*Devis[[#This Row],[Prix de Revient]]</f>
        <v>0</v>
      </c>
      <c r="AA2884" s="74">
        <f>Devis[[#This Row],[Prix de Revient]]*Devis[[#This Row],[Poste 6]]</f>
        <v>0</v>
      </c>
      <c r="AB2884" s="74">
        <f>Devis[[#This Row],[Quantité Totale]]*Devis[[#This Row],[Prix de Revient]]</f>
        <v>0</v>
      </c>
    </row>
    <row r="2885" spans="1:28" ht="14.25" outlineLevel="1" x14ac:dyDescent="0.2">
      <c r="A2885" s="75" t="s">
        <v>2617</v>
      </c>
      <c r="B2885" s="76" t="s">
        <v>5497</v>
      </c>
      <c r="C2885" s="76" t="s">
        <v>5497</v>
      </c>
      <c r="D2885" s="81" t="str">
        <f t="shared" si="49"/>
        <v>RaccordsRI  coudésRI  coudés</v>
      </c>
      <c r="E2885" s="76" t="s">
        <v>2641</v>
      </c>
      <c r="F2885" s="76">
        <v>10</v>
      </c>
      <c r="G2885" s="71" t="s">
        <v>2729</v>
      </c>
      <c r="H2885" s="71"/>
      <c r="I2885" s="71"/>
      <c r="J2885" s="70">
        <f>IFERROR(VLOOKUP(Devis[[#This Row],[Ref Air Flux]],#REF!,3,FALSE),0)</f>
        <v>0</v>
      </c>
      <c r="K2885" s="68"/>
      <c r="L2885" s="68"/>
      <c r="M2885" s="68"/>
      <c r="N2885" s="68"/>
      <c r="O2885" s="68"/>
      <c r="P2885" s="68"/>
      <c r="Q2885" s="68">
        <f>SUM(Devis[[#This Row],[Poste 1]:[Poste 6]])</f>
        <v>0</v>
      </c>
      <c r="R2885" s="71"/>
      <c r="S2885" s="68">
        <f>_xlfn.CEILING.MATH(Devis[[#This Row],[Quantité Totale]],Devis[[#This Row],[Conditionnement]])</f>
        <v>0</v>
      </c>
      <c r="T2885" s="72"/>
      <c r="U2885" s="73"/>
      <c r="V2885" s="74">
        <f>Devis[[#This Row],[Prix de Revient]]*Devis[[#This Row],[Poste 1]]</f>
        <v>0</v>
      </c>
      <c r="W2885" s="74">
        <f>Devis[[#This Row],[Prix de Revient]]*Devis[[#This Row],[Poste 2]]</f>
        <v>0</v>
      </c>
      <c r="X2885" s="74">
        <f>Devis[[#This Row],[Prix de Revient]]*Devis[[#This Row],[Poste 3]]</f>
        <v>0</v>
      </c>
      <c r="Y2885" s="74">
        <f>Devis[[#This Row],[Poste 4]]*Devis[[#This Row],[Prix de Revient]]</f>
        <v>0</v>
      </c>
      <c r="Z2885" s="74">
        <f>Devis[[#This Row],[Poste 5]]*Devis[[#This Row],[Prix de Revient]]</f>
        <v>0</v>
      </c>
      <c r="AA2885" s="74">
        <f>Devis[[#This Row],[Prix de Revient]]*Devis[[#This Row],[Poste 6]]</f>
        <v>0</v>
      </c>
      <c r="AB2885" s="74">
        <f>Devis[[#This Row],[Quantité Totale]]*Devis[[#This Row],[Prix de Revient]]</f>
        <v>0</v>
      </c>
    </row>
    <row r="2886" spans="1:28" ht="14.25" customHeight="1" x14ac:dyDescent="0.25">
      <c r="A2886" s="65" t="s">
        <v>2617</v>
      </c>
      <c r="B2886" s="65" t="s">
        <v>5498</v>
      </c>
      <c r="C2886" s="113" t="s">
        <v>5498</v>
      </c>
      <c r="D2886" s="81" t="str">
        <f t="shared" si="49"/>
        <v>RaccordsRI  droitsRI  droits</v>
      </c>
      <c r="E2886" s="76"/>
      <c r="F2886" s="76">
        <v>0</v>
      </c>
      <c r="G2886" s="71"/>
      <c r="H2886" s="71"/>
      <c r="I2886" s="71"/>
      <c r="J2886" s="70">
        <f>IFERROR(VLOOKUP(Devis[[#This Row],[Ref Air Flux]],#REF!,3,FALSE),0)</f>
        <v>0</v>
      </c>
      <c r="K2886" s="68"/>
      <c r="L2886" s="68"/>
      <c r="M2886" s="68"/>
      <c r="N2886" s="68"/>
      <c r="O2886" s="68"/>
      <c r="P2886" s="68"/>
      <c r="Q2886" s="68">
        <f>SUM(Devis[[#This Row],[Poste 1]:[Poste 6]])</f>
        <v>0</v>
      </c>
      <c r="R2886" s="71"/>
      <c r="S2886" s="68">
        <f>_xlfn.CEILING.MATH(Devis[[#This Row],[Quantité Totale]],Devis[[#This Row],[Conditionnement]])</f>
        <v>0</v>
      </c>
      <c r="T2886" s="72"/>
      <c r="U2886" s="73"/>
      <c r="V2886" s="74">
        <f>Devis[[#This Row],[Prix de Revient]]*Devis[[#This Row],[Poste 1]]</f>
        <v>0</v>
      </c>
      <c r="W2886" s="74">
        <f>Devis[[#This Row],[Prix de Revient]]*Devis[[#This Row],[Poste 2]]</f>
        <v>0</v>
      </c>
      <c r="X2886" s="74">
        <f>Devis[[#This Row],[Prix de Revient]]*Devis[[#This Row],[Poste 3]]</f>
        <v>0</v>
      </c>
      <c r="Y2886" s="74">
        <f>Devis[[#This Row],[Poste 4]]*Devis[[#This Row],[Prix de Revient]]</f>
        <v>0</v>
      </c>
      <c r="Z2886" s="74">
        <f>Devis[[#This Row],[Poste 5]]*Devis[[#This Row],[Prix de Revient]]</f>
        <v>0</v>
      </c>
      <c r="AA2886" s="74">
        <f>Devis[[#This Row],[Prix de Revient]]*Devis[[#This Row],[Poste 6]]</f>
        <v>0</v>
      </c>
      <c r="AB2886" s="74">
        <f>Devis[[#This Row],[Quantité Totale]]*Devis[[#This Row],[Prix de Revient]]</f>
        <v>0</v>
      </c>
    </row>
    <row r="2887" spans="1:28" ht="14.25" outlineLevel="1" x14ac:dyDescent="0.2">
      <c r="A2887" s="75" t="s">
        <v>2617</v>
      </c>
      <c r="B2887" s="76" t="s">
        <v>5498</v>
      </c>
      <c r="C2887" s="76" t="s">
        <v>5498</v>
      </c>
      <c r="D2887" s="81" t="str">
        <f t="shared" si="49"/>
        <v>RaccordsRI  droitsRI  droits</v>
      </c>
      <c r="E2887" s="76" t="s">
        <v>2719</v>
      </c>
      <c r="F2887" s="76">
        <v>1</v>
      </c>
      <c r="G2887" s="71" t="s">
        <v>2730</v>
      </c>
      <c r="H2887" s="71"/>
      <c r="I2887" s="71"/>
      <c r="J2887" s="70">
        <f>IFERROR(VLOOKUP(Devis[[#This Row],[Ref Air Flux]],#REF!,3,FALSE),0)</f>
        <v>0</v>
      </c>
      <c r="K2887" s="68"/>
      <c r="L2887" s="68"/>
      <c r="M2887" s="68"/>
      <c r="N2887" s="68"/>
      <c r="O2887" s="68"/>
      <c r="P2887" s="68"/>
      <c r="Q2887" s="68">
        <f>SUM(Devis[[#This Row],[Poste 1]:[Poste 6]])</f>
        <v>0</v>
      </c>
      <c r="R2887" s="71"/>
      <c r="S2887" s="68">
        <f>_xlfn.CEILING.MATH(Devis[[#This Row],[Quantité Totale]],Devis[[#This Row],[Conditionnement]])</f>
        <v>0</v>
      </c>
      <c r="T2887" s="72"/>
      <c r="U2887" s="73"/>
      <c r="V2887" s="74">
        <f>Devis[[#This Row],[Prix de Revient]]*Devis[[#This Row],[Poste 1]]</f>
        <v>0</v>
      </c>
      <c r="W2887" s="74">
        <f>Devis[[#This Row],[Prix de Revient]]*Devis[[#This Row],[Poste 2]]</f>
        <v>0</v>
      </c>
      <c r="X2887" s="74">
        <f>Devis[[#This Row],[Prix de Revient]]*Devis[[#This Row],[Poste 3]]</f>
        <v>0</v>
      </c>
      <c r="Y2887" s="74">
        <f>Devis[[#This Row],[Poste 4]]*Devis[[#This Row],[Prix de Revient]]</f>
        <v>0</v>
      </c>
      <c r="Z2887" s="74">
        <f>Devis[[#This Row],[Poste 5]]*Devis[[#This Row],[Prix de Revient]]</f>
        <v>0</v>
      </c>
      <c r="AA2887" s="74">
        <f>Devis[[#This Row],[Prix de Revient]]*Devis[[#This Row],[Poste 6]]</f>
        <v>0</v>
      </c>
      <c r="AB2887" s="74">
        <f>Devis[[#This Row],[Quantité Totale]]*Devis[[#This Row],[Prix de Revient]]</f>
        <v>0</v>
      </c>
    </row>
    <row r="2888" spans="1:28" ht="14.25" outlineLevel="1" x14ac:dyDescent="0.2">
      <c r="A2888" s="75" t="s">
        <v>2617</v>
      </c>
      <c r="B2888" s="76" t="s">
        <v>5498</v>
      </c>
      <c r="C2888" s="76" t="s">
        <v>5498</v>
      </c>
      <c r="D2888" s="81" t="str">
        <f t="shared" si="49"/>
        <v>RaccordsRI  droitsRI  droits</v>
      </c>
      <c r="E2888" s="76" t="s">
        <v>2623</v>
      </c>
      <c r="F2888" s="76">
        <v>2</v>
      </c>
      <c r="G2888" s="71" t="s">
        <v>2731</v>
      </c>
      <c r="H2888" s="71"/>
      <c r="I2888" s="71"/>
      <c r="J2888" s="70">
        <f>IFERROR(VLOOKUP(Devis[[#This Row],[Ref Air Flux]],#REF!,3,FALSE),0)</f>
        <v>0</v>
      </c>
      <c r="K2888" s="68"/>
      <c r="L2888" s="68"/>
      <c r="M2888" s="68"/>
      <c r="N2888" s="68"/>
      <c r="O2888" s="68"/>
      <c r="P2888" s="68"/>
      <c r="Q2888" s="68">
        <f>SUM(Devis[[#This Row],[Poste 1]:[Poste 6]])</f>
        <v>0</v>
      </c>
      <c r="R2888" s="71"/>
      <c r="S2888" s="68">
        <f>_xlfn.CEILING.MATH(Devis[[#This Row],[Quantité Totale]],Devis[[#This Row],[Conditionnement]])</f>
        <v>0</v>
      </c>
      <c r="T2888" s="72"/>
      <c r="U2888" s="73"/>
      <c r="V2888" s="74">
        <f>Devis[[#This Row],[Prix de Revient]]*Devis[[#This Row],[Poste 1]]</f>
        <v>0</v>
      </c>
      <c r="W2888" s="74">
        <f>Devis[[#This Row],[Prix de Revient]]*Devis[[#This Row],[Poste 2]]</f>
        <v>0</v>
      </c>
      <c r="X2888" s="74">
        <f>Devis[[#This Row],[Prix de Revient]]*Devis[[#This Row],[Poste 3]]</f>
        <v>0</v>
      </c>
      <c r="Y2888" s="74">
        <f>Devis[[#This Row],[Poste 4]]*Devis[[#This Row],[Prix de Revient]]</f>
        <v>0</v>
      </c>
      <c r="Z2888" s="74">
        <f>Devis[[#This Row],[Poste 5]]*Devis[[#This Row],[Prix de Revient]]</f>
        <v>0</v>
      </c>
      <c r="AA2888" s="74">
        <f>Devis[[#This Row],[Prix de Revient]]*Devis[[#This Row],[Poste 6]]</f>
        <v>0</v>
      </c>
      <c r="AB2888" s="74">
        <f>Devis[[#This Row],[Quantité Totale]]*Devis[[#This Row],[Prix de Revient]]</f>
        <v>0</v>
      </c>
    </row>
    <row r="2889" spans="1:28" ht="14.25" customHeight="1" outlineLevel="1" x14ac:dyDescent="0.2">
      <c r="A2889" s="75" t="s">
        <v>2617</v>
      </c>
      <c r="B2889" s="76" t="s">
        <v>5498</v>
      </c>
      <c r="C2889" s="76" t="s">
        <v>5498</v>
      </c>
      <c r="D2889" s="81" t="str">
        <f t="shared" si="49"/>
        <v>RaccordsRI  droitsRI  droits</v>
      </c>
      <c r="E2889" s="76" t="s">
        <v>2625</v>
      </c>
      <c r="F2889" s="76">
        <v>3</v>
      </c>
      <c r="G2889" s="71" t="s">
        <v>2732</v>
      </c>
      <c r="H2889" s="71"/>
      <c r="I2889" s="71"/>
      <c r="J2889" s="70">
        <f>IFERROR(VLOOKUP(Devis[[#This Row],[Ref Air Flux]],#REF!,3,FALSE),0)</f>
        <v>0</v>
      </c>
      <c r="K2889" s="68"/>
      <c r="L2889" s="68"/>
      <c r="M2889" s="68"/>
      <c r="N2889" s="68"/>
      <c r="O2889" s="68"/>
      <c r="P2889" s="68"/>
      <c r="Q2889" s="68">
        <f>SUM(Devis[[#This Row],[Poste 1]:[Poste 6]])</f>
        <v>0</v>
      </c>
      <c r="R2889" s="71"/>
      <c r="S2889" s="68">
        <f>_xlfn.CEILING.MATH(Devis[[#This Row],[Quantité Totale]],Devis[[#This Row],[Conditionnement]])</f>
        <v>0</v>
      </c>
      <c r="T2889" s="72"/>
      <c r="U2889" s="73"/>
      <c r="V2889" s="74">
        <f>Devis[[#This Row],[Prix de Revient]]*Devis[[#This Row],[Poste 1]]</f>
        <v>0</v>
      </c>
      <c r="W2889" s="74">
        <f>Devis[[#This Row],[Prix de Revient]]*Devis[[#This Row],[Poste 2]]</f>
        <v>0</v>
      </c>
      <c r="X2889" s="74">
        <f>Devis[[#This Row],[Prix de Revient]]*Devis[[#This Row],[Poste 3]]</f>
        <v>0</v>
      </c>
      <c r="Y2889" s="74">
        <f>Devis[[#This Row],[Poste 4]]*Devis[[#This Row],[Prix de Revient]]</f>
        <v>0</v>
      </c>
      <c r="Z2889" s="74">
        <f>Devis[[#This Row],[Poste 5]]*Devis[[#This Row],[Prix de Revient]]</f>
        <v>0</v>
      </c>
      <c r="AA2889" s="74">
        <f>Devis[[#This Row],[Prix de Revient]]*Devis[[#This Row],[Poste 6]]</f>
        <v>0</v>
      </c>
      <c r="AB2889" s="74">
        <f>Devis[[#This Row],[Quantité Totale]]*Devis[[#This Row],[Prix de Revient]]</f>
        <v>0</v>
      </c>
    </row>
    <row r="2890" spans="1:28" ht="14.25" customHeight="1" outlineLevel="1" x14ac:dyDescent="0.2">
      <c r="A2890" s="75" t="s">
        <v>2617</v>
      </c>
      <c r="B2890" s="76" t="s">
        <v>5498</v>
      </c>
      <c r="C2890" s="76" t="s">
        <v>5498</v>
      </c>
      <c r="D2890" s="81" t="str">
        <f t="shared" si="49"/>
        <v>RaccordsRI  droitsRI  droits</v>
      </c>
      <c r="E2890" s="76" t="s">
        <v>2733</v>
      </c>
      <c r="F2890" s="76">
        <v>4</v>
      </c>
      <c r="G2890" s="71" t="s">
        <v>2734</v>
      </c>
      <c r="H2890" s="71"/>
      <c r="I2890" s="71"/>
      <c r="J2890" s="70">
        <f>IFERROR(VLOOKUP(Devis[[#This Row],[Ref Air Flux]],#REF!,3,FALSE),0)</f>
        <v>0</v>
      </c>
      <c r="K2890" s="68"/>
      <c r="L2890" s="68"/>
      <c r="M2890" s="68"/>
      <c r="N2890" s="68"/>
      <c r="O2890" s="68"/>
      <c r="P2890" s="68"/>
      <c r="Q2890" s="68">
        <f>SUM(Devis[[#This Row],[Poste 1]:[Poste 6]])</f>
        <v>0</v>
      </c>
      <c r="R2890" s="71"/>
      <c r="S2890" s="68">
        <f>_xlfn.CEILING.MATH(Devis[[#This Row],[Quantité Totale]],Devis[[#This Row],[Conditionnement]])</f>
        <v>0</v>
      </c>
      <c r="T2890" s="72"/>
      <c r="U2890" s="73"/>
      <c r="V2890" s="74">
        <f>Devis[[#This Row],[Prix de Revient]]*Devis[[#This Row],[Poste 1]]</f>
        <v>0</v>
      </c>
      <c r="W2890" s="74">
        <f>Devis[[#This Row],[Prix de Revient]]*Devis[[#This Row],[Poste 2]]</f>
        <v>0</v>
      </c>
      <c r="X2890" s="74">
        <f>Devis[[#This Row],[Prix de Revient]]*Devis[[#This Row],[Poste 3]]</f>
        <v>0</v>
      </c>
      <c r="Y2890" s="74">
        <f>Devis[[#This Row],[Poste 4]]*Devis[[#This Row],[Prix de Revient]]</f>
        <v>0</v>
      </c>
      <c r="Z2890" s="74">
        <f>Devis[[#This Row],[Poste 5]]*Devis[[#This Row],[Prix de Revient]]</f>
        <v>0</v>
      </c>
      <c r="AA2890" s="74">
        <f>Devis[[#This Row],[Prix de Revient]]*Devis[[#This Row],[Poste 6]]</f>
        <v>0</v>
      </c>
      <c r="AB2890" s="74">
        <f>Devis[[#This Row],[Quantité Totale]]*Devis[[#This Row],[Prix de Revient]]</f>
        <v>0</v>
      </c>
    </row>
    <row r="2891" spans="1:28" ht="14.25" customHeight="1" outlineLevel="1" x14ac:dyDescent="0.2">
      <c r="A2891" s="75" t="s">
        <v>2617</v>
      </c>
      <c r="B2891" s="76" t="s">
        <v>5498</v>
      </c>
      <c r="C2891" s="76" t="s">
        <v>5498</v>
      </c>
      <c r="D2891" s="81" t="str">
        <f t="shared" si="49"/>
        <v>RaccordsRI  droitsRI  droits</v>
      </c>
      <c r="E2891" s="76" t="s">
        <v>2627</v>
      </c>
      <c r="F2891" s="76">
        <v>5</v>
      </c>
      <c r="G2891" s="71" t="s">
        <v>2735</v>
      </c>
      <c r="H2891" s="71"/>
      <c r="I2891" s="71"/>
      <c r="J2891" s="70">
        <f>IFERROR(VLOOKUP(Devis[[#This Row],[Ref Air Flux]],#REF!,3,FALSE),0)</f>
        <v>0</v>
      </c>
      <c r="K2891" s="68"/>
      <c r="L2891" s="68"/>
      <c r="M2891" s="68"/>
      <c r="N2891" s="68"/>
      <c r="O2891" s="68"/>
      <c r="P2891" s="68"/>
      <c r="Q2891" s="68">
        <f>SUM(Devis[[#This Row],[Poste 1]:[Poste 6]])</f>
        <v>0</v>
      </c>
      <c r="R2891" s="71"/>
      <c r="S2891" s="68">
        <f>_xlfn.CEILING.MATH(Devis[[#This Row],[Quantité Totale]],Devis[[#This Row],[Conditionnement]])</f>
        <v>0</v>
      </c>
      <c r="T2891" s="72"/>
      <c r="U2891" s="73"/>
      <c r="V2891" s="74">
        <f>Devis[[#This Row],[Prix de Revient]]*Devis[[#This Row],[Poste 1]]</f>
        <v>0</v>
      </c>
      <c r="W2891" s="74">
        <f>Devis[[#This Row],[Prix de Revient]]*Devis[[#This Row],[Poste 2]]</f>
        <v>0</v>
      </c>
      <c r="X2891" s="74">
        <f>Devis[[#This Row],[Prix de Revient]]*Devis[[#This Row],[Poste 3]]</f>
        <v>0</v>
      </c>
      <c r="Y2891" s="74">
        <f>Devis[[#This Row],[Poste 4]]*Devis[[#This Row],[Prix de Revient]]</f>
        <v>0</v>
      </c>
      <c r="Z2891" s="74">
        <f>Devis[[#This Row],[Poste 5]]*Devis[[#This Row],[Prix de Revient]]</f>
        <v>0</v>
      </c>
      <c r="AA2891" s="74">
        <f>Devis[[#This Row],[Prix de Revient]]*Devis[[#This Row],[Poste 6]]</f>
        <v>0</v>
      </c>
      <c r="AB2891" s="74">
        <f>Devis[[#This Row],[Quantité Totale]]*Devis[[#This Row],[Prix de Revient]]</f>
        <v>0</v>
      </c>
    </row>
    <row r="2892" spans="1:28" ht="14.25" customHeight="1" outlineLevel="1" x14ac:dyDescent="0.2">
      <c r="A2892" s="75" t="s">
        <v>2617</v>
      </c>
      <c r="B2892" s="76" t="s">
        <v>5498</v>
      </c>
      <c r="C2892" s="76" t="s">
        <v>5498</v>
      </c>
      <c r="D2892" s="81" t="str">
        <f t="shared" si="49"/>
        <v>RaccordsRI  droitsRI  droits</v>
      </c>
      <c r="E2892" s="76" t="s">
        <v>2629</v>
      </c>
      <c r="F2892" s="76">
        <v>6</v>
      </c>
      <c r="G2892" s="71" t="s">
        <v>2736</v>
      </c>
      <c r="H2892" s="71"/>
      <c r="I2892" s="71"/>
      <c r="J2892" s="70">
        <f>IFERROR(VLOOKUP(Devis[[#This Row],[Ref Air Flux]],#REF!,3,FALSE),0)</f>
        <v>0</v>
      </c>
      <c r="K2892" s="68"/>
      <c r="L2892" s="68"/>
      <c r="M2892" s="68"/>
      <c r="N2892" s="68"/>
      <c r="O2892" s="68"/>
      <c r="P2892" s="68"/>
      <c r="Q2892" s="68">
        <f>SUM(Devis[[#This Row],[Poste 1]:[Poste 6]])</f>
        <v>0</v>
      </c>
      <c r="R2892" s="71"/>
      <c r="S2892" s="68">
        <f>_xlfn.CEILING.MATH(Devis[[#This Row],[Quantité Totale]],Devis[[#This Row],[Conditionnement]])</f>
        <v>0</v>
      </c>
      <c r="T2892" s="72"/>
      <c r="U2892" s="73"/>
      <c r="V2892" s="74">
        <f>Devis[[#This Row],[Prix de Revient]]*Devis[[#This Row],[Poste 1]]</f>
        <v>0</v>
      </c>
      <c r="W2892" s="74">
        <f>Devis[[#This Row],[Prix de Revient]]*Devis[[#This Row],[Poste 2]]</f>
        <v>0</v>
      </c>
      <c r="X2892" s="74">
        <f>Devis[[#This Row],[Prix de Revient]]*Devis[[#This Row],[Poste 3]]</f>
        <v>0</v>
      </c>
      <c r="Y2892" s="74">
        <f>Devis[[#This Row],[Poste 4]]*Devis[[#This Row],[Prix de Revient]]</f>
        <v>0</v>
      </c>
      <c r="Z2892" s="74">
        <f>Devis[[#This Row],[Poste 5]]*Devis[[#This Row],[Prix de Revient]]</f>
        <v>0</v>
      </c>
      <c r="AA2892" s="74">
        <f>Devis[[#This Row],[Prix de Revient]]*Devis[[#This Row],[Poste 6]]</f>
        <v>0</v>
      </c>
      <c r="AB2892" s="74">
        <f>Devis[[#This Row],[Quantité Totale]]*Devis[[#This Row],[Prix de Revient]]</f>
        <v>0</v>
      </c>
    </row>
    <row r="2893" spans="1:28" ht="14.25" customHeight="1" outlineLevel="1" x14ac:dyDescent="0.2">
      <c r="A2893" s="75" t="s">
        <v>2617</v>
      </c>
      <c r="B2893" s="76" t="s">
        <v>5498</v>
      </c>
      <c r="C2893" s="76" t="s">
        <v>5498</v>
      </c>
      <c r="D2893" s="81" t="str">
        <f t="shared" si="49"/>
        <v>RaccordsRI  droitsRI  droits</v>
      </c>
      <c r="E2893" s="76" t="s">
        <v>2631</v>
      </c>
      <c r="F2893" s="76">
        <v>7</v>
      </c>
      <c r="G2893" s="71" t="s">
        <v>2737</v>
      </c>
      <c r="H2893" s="71"/>
      <c r="I2893" s="71"/>
      <c r="J2893" s="70">
        <f>IFERROR(VLOOKUP(Devis[[#This Row],[Ref Air Flux]],#REF!,3,FALSE),0)</f>
        <v>0</v>
      </c>
      <c r="K2893" s="68"/>
      <c r="L2893" s="68"/>
      <c r="M2893" s="68"/>
      <c r="N2893" s="68"/>
      <c r="O2893" s="68"/>
      <c r="P2893" s="68"/>
      <c r="Q2893" s="68">
        <f>SUM(Devis[[#This Row],[Poste 1]:[Poste 6]])</f>
        <v>0</v>
      </c>
      <c r="R2893" s="71"/>
      <c r="S2893" s="68">
        <f>_xlfn.CEILING.MATH(Devis[[#This Row],[Quantité Totale]],Devis[[#This Row],[Conditionnement]])</f>
        <v>0</v>
      </c>
      <c r="T2893" s="72"/>
      <c r="U2893" s="73"/>
      <c r="V2893" s="74">
        <f>Devis[[#This Row],[Prix de Revient]]*Devis[[#This Row],[Poste 1]]</f>
        <v>0</v>
      </c>
      <c r="W2893" s="74">
        <f>Devis[[#This Row],[Prix de Revient]]*Devis[[#This Row],[Poste 2]]</f>
        <v>0</v>
      </c>
      <c r="X2893" s="74">
        <f>Devis[[#This Row],[Prix de Revient]]*Devis[[#This Row],[Poste 3]]</f>
        <v>0</v>
      </c>
      <c r="Y2893" s="74">
        <f>Devis[[#This Row],[Poste 4]]*Devis[[#This Row],[Prix de Revient]]</f>
        <v>0</v>
      </c>
      <c r="Z2893" s="74">
        <f>Devis[[#This Row],[Poste 5]]*Devis[[#This Row],[Prix de Revient]]</f>
        <v>0</v>
      </c>
      <c r="AA2893" s="74">
        <f>Devis[[#This Row],[Prix de Revient]]*Devis[[#This Row],[Poste 6]]</f>
        <v>0</v>
      </c>
      <c r="AB2893" s="74">
        <f>Devis[[#This Row],[Quantité Totale]]*Devis[[#This Row],[Prix de Revient]]</f>
        <v>0</v>
      </c>
    </row>
    <row r="2894" spans="1:28" ht="14.25" outlineLevel="1" x14ac:dyDescent="0.2">
      <c r="A2894" s="75" t="s">
        <v>2617</v>
      </c>
      <c r="B2894" s="76" t="s">
        <v>5498</v>
      </c>
      <c r="C2894" s="76" t="s">
        <v>5498</v>
      </c>
      <c r="D2894" s="81" t="str">
        <f t="shared" si="49"/>
        <v>RaccordsRI  droitsRI  droits</v>
      </c>
      <c r="E2894" s="76" t="s">
        <v>2738</v>
      </c>
      <c r="F2894" s="76">
        <v>8</v>
      </c>
      <c r="G2894" s="71" t="s">
        <v>2739</v>
      </c>
      <c r="H2894" s="71"/>
      <c r="I2894" s="71"/>
      <c r="J2894" s="70">
        <f>IFERROR(VLOOKUP(Devis[[#This Row],[Ref Air Flux]],#REF!,3,FALSE),0)</f>
        <v>0</v>
      </c>
      <c r="K2894" s="68"/>
      <c r="L2894" s="68"/>
      <c r="M2894" s="68"/>
      <c r="N2894" s="68"/>
      <c r="O2894" s="68"/>
      <c r="P2894" s="68"/>
      <c r="Q2894" s="68">
        <f>SUM(Devis[[#This Row],[Poste 1]:[Poste 6]])</f>
        <v>0</v>
      </c>
      <c r="R2894" s="71"/>
      <c r="S2894" s="68">
        <f>_xlfn.CEILING.MATH(Devis[[#This Row],[Quantité Totale]],Devis[[#This Row],[Conditionnement]])</f>
        <v>0</v>
      </c>
      <c r="T2894" s="72"/>
      <c r="U2894" s="73"/>
      <c r="V2894" s="74">
        <f>Devis[[#This Row],[Prix de Revient]]*Devis[[#This Row],[Poste 1]]</f>
        <v>0</v>
      </c>
      <c r="W2894" s="74">
        <f>Devis[[#This Row],[Prix de Revient]]*Devis[[#This Row],[Poste 2]]</f>
        <v>0</v>
      </c>
      <c r="X2894" s="74">
        <f>Devis[[#This Row],[Prix de Revient]]*Devis[[#This Row],[Poste 3]]</f>
        <v>0</v>
      </c>
      <c r="Y2894" s="74">
        <f>Devis[[#This Row],[Poste 4]]*Devis[[#This Row],[Prix de Revient]]</f>
        <v>0</v>
      </c>
      <c r="Z2894" s="74">
        <f>Devis[[#This Row],[Poste 5]]*Devis[[#This Row],[Prix de Revient]]</f>
        <v>0</v>
      </c>
      <c r="AA2894" s="74">
        <f>Devis[[#This Row],[Prix de Revient]]*Devis[[#This Row],[Poste 6]]</f>
        <v>0</v>
      </c>
      <c r="AB2894" s="74">
        <f>Devis[[#This Row],[Quantité Totale]]*Devis[[#This Row],[Prix de Revient]]</f>
        <v>0</v>
      </c>
    </row>
    <row r="2895" spans="1:28" ht="14.25" outlineLevel="1" x14ac:dyDescent="0.2">
      <c r="A2895" s="75" t="s">
        <v>2617</v>
      </c>
      <c r="B2895" s="76" t="s">
        <v>5498</v>
      </c>
      <c r="C2895" s="76" t="s">
        <v>5498</v>
      </c>
      <c r="D2895" s="81" t="str">
        <f t="shared" si="49"/>
        <v>RaccordsRI  droitsRI  droits</v>
      </c>
      <c r="E2895" s="76" t="s">
        <v>2635</v>
      </c>
      <c r="F2895" s="76">
        <v>9</v>
      </c>
      <c r="G2895" s="71" t="s">
        <v>2740</v>
      </c>
      <c r="H2895" s="71"/>
      <c r="I2895" s="71"/>
      <c r="J2895" s="70">
        <f>IFERROR(VLOOKUP(Devis[[#This Row],[Ref Air Flux]],#REF!,3,FALSE),0)</f>
        <v>0</v>
      </c>
      <c r="K2895" s="68"/>
      <c r="L2895" s="68"/>
      <c r="M2895" s="68"/>
      <c r="N2895" s="68"/>
      <c r="O2895" s="68"/>
      <c r="P2895" s="68"/>
      <c r="Q2895" s="68">
        <f>SUM(Devis[[#This Row],[Poste 1]:[Poste 6]])</f>
        <v>0</v>
      </c>
      <c r="R2895" s="71"/>
      <c r="S2895" s="68">
        <f>_xlfn.CEILING.MATH(Devis[[#This Row],[Quantité Totale]],Devis[[#This Row],[Conditionnement]])</f>
        <v>0</v>
      </c>
      <c r="T2895" s="72"/>
      <c r="U2895" s="73"/>
      <c r="V2895" s="74">
        <f>Devis[[#This Row],[Prix de Revient]]*Devis[[#This Row],[Poste 1]]</f>
        <v>0</v>
      </c>
      <c r="W2895" s="74">
        <f>Devis[[#This Row],[Prix de Revient]]*Devis[[#This Row],[Poste 2]]</f>
        <v>0</v>
      </c>
      <c r="X2895" s="74">
        <f>Devis[[#This Row],[Prix de Revient]]*Devis[[#This Row],[Poste 3]]</f>
        <v>0</v>
      </c>
      <c r="Y2895" s="74">
        <f>Devis[[#This Row],[Poste 4]]*Devis[[#This Row],[Prix de Revient]]</f>
        <v>0</v>
      </c>
      <c r="Z2895" s="74">
        <f>Devis[[#This Row],[Poste 5]]*Devis[[#This Row],[Prix de Revient]]</f>
        <v>0</v>
      </c>
      <c r="AA2895" s="74">
        <f>Devis[[#This Row],[Prix de Revient]]*Devis[[#This Row],[Poste 6]]</f>
        <v>0</v>
      </c>
      <c r="AB2895" s="74">
        <f>Devis[[#This Row],[Quantité Totale]]*Devis[[#This Row],[Prix de Revient]]</f>
        <v>0</v>
      </c>
    </row>
    <row r="2896" spans="1:28" ht="14.25" customHeight="1" outlineLevel="1" x14ac:dyDescent="0.2">
      <c r="A2896" s="75" t="s">
        <v>2617</v>
      </c>
      <c r="B2896" s="76" t="s">
        <v>5498</v>
      </c>
      <c r="C2896" s="76" t="s">
        <v>5498</v>
      </c>
      <c r="D2896" s="81" t="str">
        <f t="shared" si="49"/>
        <v>RaccordsRI  droitsRI  droits</v>
      </c>
      <c r="E2896" s="76" t="s">
        <v>2637</v>
      </c>
      <c r="F2896" s="76">
        <v>10</v>
      </c>
      <c r="G2896" s="71" t="s">
        <v>2741</v>
      </c>
      <c r="H2896" s="71"/>
      <c r="I2896" s="71"/>
      <c r="J2896" s="70">
        <f>IFERROR(VLOOKUP(Devis[[#This Row],[Ref Air Flux]],#REF!,3,FALSE),0)</f>
        <v>0</v>
      </c>
      <c r="K2896" s="68"/>
      <c r="L2896" s="68"/>
      <c r="M2896" s="68"/>
      <c r="N2896" s="68"/>
      <c r="O2896" s="68"/>
      <c r="P2896" s="68"/>
      <c r="Q2896" s="68">
        <f>SUM(Devis[[#This Row],[Poste 1]:[Poste 6]])</f>
        <v>0</v>
      </c>
      <c r="R2896" s="71"/>
      <c r="S2896" s="68">
        <f>_xlfn.CEILING.MATH(Devis[[#This Row],[Quantité Totale]],Devis[[#This Row],[Conditionnement]])</f>
        <v>0</v>
      </c>
      <c r="T2896" s="72"/>
      <c r="U2896" s="73"/>
      <c r="V2896" s="74">
        <f>Devis[[#This Row],[Prix de Revient]]*Devis[[#This Row],[Poste 1]]</f>
        <v>0</v>
      </c>
      <c r="W2896" s="74">
        <f>Devis[[#This Row],[Prix de Revient]]*Devis[[#This Row],[Poste 2]]</f>
        <v>0</v>
      </c>
      <c r="X2896" s="74">
        <f>Devis[[#This Row],[Prix de Revient]]*Devis[[#This Row],[Poste 3]]</f>
        <v>0</v>
      </c>
      <c r="Y2896" s="74">
        <f>Devis[[#This Row],[Poste 4]]*Devis[[#This Row],[Prix de Revient]]</f>
        <v>0</v>
      </c>
      <c r="Z2896" s="74">
        <f>Devis[[#This Row],[Poste 5]]*Devis[[#This Row],[Prix de Revient]]</f>
        <v>0</v>
      </c>
      <c r="AA2896" s="74">
        <f>Devis[[#This Row],[Prix de Revient]]*Devis[[#This Row],[Poste 6]]</f>
        <v>0</v>
      </c>
      <c r="AB2896" s="74">
        <f>Devis[[#This Row],[Quantité Totale]]*Devis[[#This Row],[Prix de Revient]]</f>
        <v>0</v>
      </c>
    </row>
    <row r="2897" spans="1:28" ht="14.25" outlineLevel="1" x14ac:dyDescent="0.2">
      <c r="A2897" s="75" t="s">
        <v>2617</v>
      </c>
      <c r="B2897" s="76" t="s">
        <v>5498</v>
      </c>
      <c r="C2897" s="76" t="s">
        <v>5498</v>
      </c>
      <c r="D2897" s="81" t="str">
        <f t="shared" si="49"/>
        <v>RaccordsRI  droitsRI  droits</v>
      </c>
      <c r="E2897" s="76" t="s">
        <v>2639</v>
      </c>
      <c r="F2897" s="76">
        <v>11</v>
      </c>
      <c r="G2897" s="71" t="s">
        <v>2742</v>
      </c>
      <c r="H2897" s="71"/>
      <c r="I2897" s="71"/>
      <c r="J2897" s="70">
        <f>IFERROR(VLOOKUP(Devis[[#This Row],[Ref Air Flux]],#REF!,3,FALSE),0)</f>
        <v>0</v>
      </c>
      <c r="K2897" s="68"/>
      <c r="L2897" s="68"/>
      <c r="M2897" s="68"/>
      <c r="N2897" s="68"/>
      <c r="O2897" s="68"/>
      <c r="P2897" s="68"/>
      <c r="Q2897" s="68">
        <f>SUM(Devis[[#This Row],[Poste 1]:[Poste 6]])</f>
        <v>0</v>
      </c>
      <c r="R2897" s="71"/>
      <c r="S2897" s="68">
        <f>_xlfn.CEILING.MATH(Devis[[#This Row],[Quantité Totale]],Devis[[#This Row],[Conditionnement]])</f>
        <v>0</v>
      </c>
      <c r="T2897" s="72"/>
      <c r="U2897" s="73"/>
      <c r="V2897" s="74">
        <f>Devis[[#This Row],[Prix de Revient]]*Devis[[#This Row],[Poste 1]]</f>
        <v>0</v>
      </c>
      <c r="W2897" s="74">
        <f>Devis[[#This Row],[Prix de Revient]]*Devis[[#This Row],[Poste 2]]</f>
        <v>0</v>
      </c>
      <c r="X2897" s="74">
        <f>Devis[[#This Row],[Prix de Revient]]*Devis[[#This Row],[Poste 3]]</f>
        <v>0</v>
      </c>
      <c r="Y2897" s="74">
        <f>Devis[[#This Row],[Poste 4]]*Devis[[#This Row],[Prix de Revient]]</f>
        <v>0</v>
      </c>
      <c r="Z2897" s="74">
        <f>Devis[[#This Row],[Poste 5]]*Devis[[#This Row],[Prix de Revient]]</f>
        <v>0</v>
      </c>
      <c r="AA2897" s="74">
        <f>Devis[[#This Row],[Prix de Revient]]*Devis[[#This Row],[Poste 6]]</f>
        <v>0</v>
      </c>
      <c r="AB2897" s="74">
        <f>Devis[[#This Row],[Quantité Totale]]*Devis[[#This Row],[Prix de Revient]]</f>
        <v>0</v>
      </c>
    </row>
    <row r="2898" spans="1:28" ht="14.25" outlineLevel="1" x14ac:dyDescent="0.2">
      <c r="A2898" s="75" t="s">
        <v>2617</v>
      </c>
      <c r="B2898" s="76" t="s">
        <v>5498</v>
      </c>
      <c r="C2898" s="76" t="s">
        <v>5498</v>
      </c>
      <c r="D2898" s="81" t="str">
        <f t="shared" si="49"/>
        <v>RaccordsRI  droitsRI  droits</v>
      </c>
      <c r="E2898" s="76" t="s">
        <v>2743</v>
      </c>
      <c r="F2898" s="76">
        <v>12</v>
      </c>
      <c r="G2898" s="71" t="s">
        <v>2744</v>
      </c>
      <c r="H2898" s="71"/>
      <c r="I2898" s="71"/>
      <c r="J2898" s="70">
        <f>IFERROR(VLOOKUP(Devis[[#This Row],[Ref Air Flux]],#REF!,3,FALSE),0)</f>
        <v>0</v>
      </c>
      <c r="K2898" s="68"/>
      <c r="L2898" s="68"/>
      <c r="M2898" s="68"/>
      <c r="N2898" s="68"/>
      <c r="O2898" s="68"/>
      <c r="P2898" s="68"/>
      <c r="Q2898" s="68">
        <f>SUM(Devis[[#This Row],[Poste 1]:[Poste 6]])</f>
        <v>0</v>
      </c>
      <c r="R2898" s="71"/>
      <c r="S2898" s="68">
        <f>_xlfn.CEILING.MATH(Devis[[#This Row],[Quantité Totale]],Devis[[#This Row],[Conditionnement]])</f>
        <v>0</v>
      </c>
      <c r="T2898" s="72"/>
      <c r="U2898" s="73"/>
      <c r="V2898" s="74">
        <f>Devis[[#This Row],[Prix de Revient]]*Devis[[#This Row],[Poste 1]]</f>
        <v>0</v>
      </c>
      <c r="W2898" s="74">
        <f>Devis[[#This Row],[Prix de Revient]]*Devis[[#This Row],[Poste 2]]</f>
        <v>0</v>
      </c>
      <c r="X2898" s="74">
        <f>Devis[[#This Row],[Prix de Revient]]*Devis[[#This Row],[Poste 3]]</f>
        <v>0</v>
      </c>
      <c r="Y2898" s="74">
        <f>Devis[[#This Row],[Poste 4]]*Devis[[#This Row],[Prix de Revient]]</f>
        <v>0</v>
      </c>
      <c r="Z2898" s="74">
        <f>Devis[[#This Row],[Poste 5]]*Devis[[#This Row],[Prix de Revient]]</f>
        <v>0</v>
      </c>
      <c r="AA2898" s="74">
        <f>Devis[[#This Row],[Prix de Revient]]*Devis[[#This Row],[Poste 6]]</f>
        <v>0</v>
      </c>
      <c r="AB2898" s="74">
        <f>Devis[[#This Row],[Quantité Totale]]*Devis[[#This Row],[Prix de Revient]]</f>
        <v>0</v>
      </c>
    </row>
    <row r="2899" spans="1:28" ht="14.25" outlineLevel="1" x14ac:dyDescent="0.2">
      <c r="A2899" s="75" t="s">
        <v>2617</v>
      </c>
      <c r="B2899" s="76" t="s">
        <v>5498</v>
      </c>
      <c r="C2899" s="76" t="s">
        <v>5498</v>
      </c>
      <c r="D2899" s="81" t="str">
        <f t="shared" si="49"/>
        <v>RaccordsRI  droitsRI  droits</v>
      </c>
      <c r="E2899" s="76" t="s">
        <v>2657</v>
      </c>
      <c r="F2899" s="76">
        <v>13</v>
      </c>
      <c r="G2899" s="71" t="s">
        <v>2745</v>
      </c>
      <c r="H2899" s="71"/>
      <c r="I2899" s="71"/>
      <c r="J2899" s="70">
        <f>IFERROR(VLOOKUP(Devis[[#This Row],[Ref Air Flux]],#REF!,3,FALSE),0)</f>
        <v>0</v>
      </c>
      <c r="K2899" s="68"/>
      <c r="L2899" s="68"/>
      <c r="M2899" s="68"/>
      <c r="N2899" s="68"/>
      <c r="O2899" s="68"/>
      <c r="P2899" s="68"/>
      <c r="Q2899" s="68">
        <f>SUM(Devis[[#This Row],[Poste 1]:[Poste 6]])</f>
        <v>0</v>
      </c>
      <c r="R2899" s="71"/>
      <c r="S2899" s="68">
        <f>_xlfn.CEILING.MATH(Devis[[#This Row],[Quantité Totale]],Devis[[#This Row],[Conditionnement]])</f>
        <v>0</v>
      </c>
      <c r="T2899" s="72"/>
      <c r="U2899" s="73"/>
      <c r="V2899" s="74">
        <f>Devis[[#This Row],[Prix de Revient]]*Devis[[#This Row],[Poste 1]]</f>
        <v>0</v>
      </c>
      <c r="W2899" s="74">
        <f>Devis[[#This Row],[Prix de Revient]]*Devis[[#This Row],[Poste 2]]</f>
        <v>0</v>
      </c>
      <c r="X2899" s="74">
        <f>Devis[[#This Row],[Prix de Revient]]*Devis[[#This Row],[Poste 3]]</f>
        <v>0</v>
      </c>
      <c r="Y2899" s="74">
        <f>Devis[[#This Row],[Poste 4]]*Devis[[#This Row],[Prix de Revient]]</f>
        <v>0</v>
      </c>
      <c r="Z2899" s="74">
        <f>Devis[[#This Row],[Poste 5]]*Devis[[#This Row],[Prix de Revient]]</f>
        <v>0</v>
      </c>
      <c r="AA2899" s="74">
        <f>Devis[[#This Row],[Prix de Revient]]*Devis[[#This Row],[Poste 6]]</f>
        <v>0</v>
      </c>
      <c r="AB2899" s="74">
        <f>Devis[[#This Row],[Quantité Totale]]*Devis[[#This Row],[Prix de Revient]]</f>
        <v>0</v>
      </c>
    </row>
    <row r="2900" spans="1:28" ht="14.25" outlineLevel="1" x14ac:dyDescent="0.2">
      <c r="A2900" s="75" t="s">
        <v>2617</v>
      </c>
      <c r="B2900" s="76" t="s">
        <v>5498</v>
      </c>
      <c r="C2900" s="76" t="s">
        <v>5498</v>
      </c>
      <c r="D2900" s="81" t="str">
        <f t="shared" si="49"/>
        <v>RaccordsRI  droitsRI  droits</v>
      </c>
      <c r="E2900" s="76" t="s">
        <v>2641</v>
      </c>
      <c r="F2900" s="76">
        <v>14</v>
      </c>
      <c r="G2900" s="71" t="s">
        <v>2746</v>
      </c>
      <c r="H2900" s="71"/>
      <c r="I2900" s="71"/>
      <c r="J2900" s="70">
        <f>IFERROR(VLOOKUP(Devis[[#This Row],[Ref Air Flux]],#REF!,3,FALSE),0)</f>
        <v>0</v>
      </c>
      <c r="K2900" s="68"/>
      <c r="L2900" s="68"/>
      <c r="M2900" s="68"/>
      <c r="N2900" s="68"/>
      <c r="O2900" s="68"/>
      <c r="P2900" s="68"/>
      <c r="Q2900" s="68">
        <f>SUM(Devis[[#This Row],[Poste 1]:[Poste 6]])</f>
        <v>0</v>
      </c>
      <c r="R2900" s="71"/>
      <c r="S2900" s="68">
        <f>_xlfn.CEILING.MATH(Devis[[#This Row],[Quantité Totale]],Devis[[#This Row],[Conditionnement]])</f>
        <v>0</v>
      </c>
      <c r="T2900" s="72"/>
      <c r="U2900" s="73"/>
      <c r="V2900" s="74">
        <f>Devis[[#This Row],[Prix de Revient]]*Devis[[#This Row],[Poste 1]]</f>
        <v>0</v>
      </c>
      <c r="W2900" s="74">
        <f>Devis[[#This Row],[Prix de Revient]]*Devis[[#This Row],[Poste 2]]</f>
        <v>0</v>
      </c>
      <c r="X2900" s="74">
        <f>Devis[[#This Row],[Prix de Revient]]*Devis[[#This Row],[Poste 3]]</f>
        <v>0</v>
      </c>
      <c r="Y2900" s="74">
        <f>Devis[[#This Row],[Poste 4]]*Devis[[#This Row],[Prix de Revient]]</f>
        <v>0</v>
      </c>
      <c r="Z2900" s="74">
        <f>Devis[[#This Row],[Poste 5]]*Devis[[#This Row],[Prix de Revient]]</f>
        <v>0</v>
      </c>
      <c r="AA2900" s="74">
        <f>Devis[[#This Row],[Prix de Revient]]*Devis[[#This Row],[Poste 6]]</f>
        <v>0</v>
      </c>
      <c r="AB2900" s="74">
        <f>Devis[[#This Row],[Quantité Totale]]*Devis[[#This Row],[Prix de Revient]]</f>
        <v>0</v>
      </c>
    </row>
    <row r="2901" spans="1:28" ht="15" customHeight="1" outlineLevel="1" x14ac:dyDescent="0.2">
      <c r="A2901" s="75" t="s">
        <v>2617</v>
      </c>
      <c r="B2901" s="76" t="s">
        <v>5498</v>
      </c>
      <c r="C2901" s="76" t="s">
        <v>5498</v>
      </c>
      <c r="D2901" s="81" t="str">
        <f t="shared" si="49"/>
        <v>RaccordsRI  droitsRI  droits</v>
      </c>
      <c r="E2901" s="76" t="s">
        <v>2747</v>
      </c>
      <c r="F2901" s="76">
        <v>15</v>
      </c>
      <c r="G2901" s="71" t="s">
        <v>2748</v>
      </c>
      <c r="H2901" s="71"/>
      <c r="I2901" s="71"/>
      <c r="J2901" s="70">
        <f>IFERROR(VLOOKUP(Devis[[#This Row],[Ref Air Flux]],#REF!,3,FALSE),0)</f>
        <v>0</v>
      </c>
      <c r="K2901" s="68"/>
      <c r="L2901" s="68"/>
      <c r="M2901" s="68"/>
      <c r="N2901" s="68"/>
      <c r="O2901" s="68"/>
      <c r="P2901" s="68"/>
      <c r="Q2901" s="68">
        <f>SUM(Devis[[#This Row],[Poste 1]:[Poste 6]])</f>
        <v>0</v>
      </c>
      <c r="R2901" s="71"/>
      <c r="S2901" s="68">
        <f>_xlfn.CEILING.MATH(Devis[[#This Row],[Quantité Totale]],Devis[[#This Row],[Conditionnement]])</f>
        <v>0</v>
      </c>
      <c r="T2901" s="72"/>
      <c r="U2901" s="73"/>
      <c r="V2901" s="74">
        <f>Devis[[#This Row],[Prix de Revient]]*Devis[[#This Row],[Poste 1]]</f>
        <v>0</v>
      </c>
      <c r="W2901" s="74">
        <f>Devis[[#This Row],[Prix de Revient]]*Devis[[#This Row],[Poste 2]]</f>
        <v>0</v>
      </c>
      <c r="X2901" s="74">
        <f>Devis[[#This Row],[Prix de Revient]]*Devis[[#This Row],[Poste 3]]</f>
        <v>0</v>
      </c>
      <c r="Y2901" s="74">
        <f>Devis[[#This Row],[Poste 4]]*Devis[[#This Row],[Prix de Revient]]</f>
        <v>0</v>
      </c>
      <c r="Z2901" s="74">
        <f>Devis[[#This Row],[Poste 5]]*Devis[[#This Row],[Prix de Revient]]</f>
        <v>0</v>
      </c>
      <c r="AA2901" s="74">
        <f>Devis[[#This Row],[Prix de Revient]]*Devis[[#This Row],[Poste 6]]</f>
        <v>0</v>
      </c>
      <c r="AB2901" s="74">
        <f>Devis[[#This Row],[Quantité Totale]]*Devis[[#This Row],[Prix de Revient]]</f>
        <v>0</v>
      </c>
    </row>
    <row r="2902" spans="1:28" ht="14.25" customHeight="1" x14ac:dyDescent="0.25">
      <c r="A2902" s="65" t="s">
        <v>2617</v>
      </c>
      <c r="B2902" s="65" t="s">
        <v>5499</v>
      </c>
      <c r="C2902" s="113" t="s">
        <v>5499</v>
      </c>
      <c r="D2902" s="81" t="str">
        <f t="shared" si="49"/>
        <v>RaccordsRI  gaz femelle droitRI  gaz femelle droit</v>
      </c>
      <c r="E2902" s="76"/>
      <c r="F2902" s="76">
        <v>0</v>
      </c>
      <c r="G2902" s="71"/>
      <c r="H2902" s="71"/>
      <c r="I2902" s="71"/>
      <c r="J2902" s="70">
        <f>IFERROR(VLOOKUP(Devis[[#This Row],[Ref Air Flux]],#REF!,3,FALSE),0)</f>
        <v>0</v>
      </c>
      <c r="K2902" s="68"/>
      <c r="L2902" s="68"/>
      <c r="M2902" s="68"/>
      <c r="N2902" s="68"/>
      <c r="O2902" s="68"/>
      <c r="P2902" s="68"/>
      <c r="Q2902" s="68">
        <f>SUM(Devis[[#This Row],[Poste 1]:[Poste 6]])</f>
        <v>0</v>
      </c>
      <c r="R2902" s="71"/>
      <c r="S2902" s="68">
        <f>_xlfn.CEILING.MATH(Devis[[#This Row],[Quantité Totale]],Devis[[#This Row],[Conditionnement]])</f>
        <v>0</v>
      </c>
      <c r="T2902" s="72"/>
      <c r="U2902" s="73"/>
      <c r="V2902" s="74">
        <f>Devis[[#This Row],[Prix de Revient]]*Devis[[#This Row],[Poste 1]]</f>
        <v>0</v>
      </c>
      <c r="W2902" s="74">
        <f>Devis[[#This Row],[Prix de Revient]]*Devis[[#This Row],[Poste 2]]</f>
        <v>0</v>
      </c>
      <c r="X2902" s="74">
        <f>Devis[[#This Row],[Prix de Revient]]*Devis[[#This Row],[Poste 3]]</f>
        <v>0</v>
      </c>
      <c r="Y2902" s="74">
        <f>Devis[[#This Row],[Poste 4]]*Devis[[#This Row],[Prix de Revient]]</f>
        <v>0</v>
      </c>
      <c r="Z2902" s="74">
        <f>Devis[[#This Row],[Poste 5]]*Devis[[#This Row],[Prix de Revient]]</f>
        <v>0</v>
      </c>
      <c r="AA2902" s="74">
        <f>Devis[[#This Row],[Prix de Revient]]*Devis[[#This Row],[Poste 6]]</f>
        <v>0</v>
      </c>
      <c r="AB2902" s="74">
        <f>Devis[[#This Row],[Quantité Totale]]*Devis[[#This Row],[Prix de Revient]]</f>
        <v>0</v>
      </c>
    </row>
    <row r="2903" spans="1:28" ht="14.25" customHeight="1" outlineLevel="1" x14ac:dyDescent="0.2">
      <c r="A2903" s="75" t="s">
        <v>2617</v>
      </c>
      <c r="B2903" s="76" t="s">
        <v>5499</v>
      </c>
      <c r="C2903" s="76" t="s">
        <v>5499</v>
      </c>
      <c r="D2903" s="81" t="str">
        <f t="shared" si="49"/>
        <v>RaccordsRI  gaz femelle droitRI  gaz femelle droit</v>
      </c>
      <c r="E2903" s="76" t="s">
        <v>2749</v>
      </c>
      <c r="F2903" s="76">
        <v>1</v>
      </c>
      <c r="G2903" s="71" t="s">
        <v>2750</v>
      </c>
      <c r="H2903" s="71"/>
      <c r="I2903" s="71"/>
      <c r="J2903" s="70">
        <f>IFERROR(VLOOKUP(Devis[[#This Row],[Ref Air Flux]],#REF!,3,FALSE),0)</f>
        <v>0</v>
      </c>
      <c r="K2903" s="68"/>
      <c r="L2903" s="68"/>
      <c r="M2903" s="68"/>
      <c r="N2903" s="68"/>
      <c r="O2903" s="68"/>
      <c r="P2903" s="68"/>
      <c r="Q2903" s="68">
        <f>SUM(Devis[[#This Row],[Poste 1]:[Poste 6]])</f>
        <v>0</v>
      </c>
      <c r="R2903" s="71"/>
      <c r="S2903" s="68">
        <f>_xlfn.CEILING.MATH(Devis[[#This Row],[Quantité Totale]],Devis[[#This Row],[Conditionnement]])</f>
        <v>0</v>
      </c>
      <c r="T2903" s="72"/>
      <c r="U2903" s="73"/>
      <c r="V2903" s="74">
        <f>Devis[[#This Row],[Prix de Revient]]*Devis[[#This Row],[Poste 1]]</f>
        <v>0</v>
      </c>
      <c r="W2903" s="74">
        <f>Devis[[#This Row],[Prix de Revient]]*Devis[[#This Row],[Poste 2]]</f>
        <v>0</v>
      </c>
      <c r="X2903" s="74">
        <f>Devis[[#This Row],[Prix de Revient]]*Devis[[#This Row],[Poste 3]]</f>
        <v>0</v>
      </c>
      <c r="Y2903" s="74">
        <f>Devis[[#This Row],[Poste 4]]*Devis[[#This Row],[Prix de Revient]]</f>
        <v>0</v>
      </c>
      <c r="Z2903" s="74">
        <f>Devis[[#This Row],[Poste 5]]*Devis[[#This Row],[Prix de Revient]]</f>
        <v>0</v>
      </c>
      <c r="AA2903" s="74">
        <f>Devis[[#This Row],[Prix de Revient]]*Devis[[#This Row],[Poste 6]]</f>
        <v>0</v>
      </c>
      <c r="AB2903" s="74">
        <f>Devis[[#This Row],[Quantité Totale]]*Devis[[#This Row],[Prix de Revient]]</f>
        <v>0</v>
      </c>
    </row>
    <row r="2904" spans="1:28" ht="14.25" customHeight="1" outlineLevel="1" x14ac:dyDescent="0.2">
      <c r="A2904" s="75" t="s">
        <v>2617</v>
      </c>
      <c r="B2904" s="76" t="s">
        <v>5499</v>
      </c>
      <c r="C2904" s="76" t="s">
        <v>5499</v>
      </c>
      <c r="D2904" s="81" t="str">
        <f t="shared" si="49"/>
        <v>RaccordsRI  gaz femelle droitRI  gaz femelle droit</v>
      </c>
      <c r="E2904" s="76" t="s">
        <v>2751</v>
      </c>
      <c r="F2904" s="76">
        <v>2</v>
      </c>
      <c r="G2904" s="71" t="s">
        <v>2752</v>
      </c>
      <c r="H2904" s="71"/>
      <c r="I2904" s="71"/>
      <c r="J2904" s="70">
        <f>IFERROR(VLOOKUP(Devis[[#This Row],[Ref Air Flux]],#REF!,3,FALSE),0)</f>
        <v>0</v>
      </c>
      <c r="K2904" s="68"/>
      <c r="L2904" s="68"/>
      <c r="M2904" s="68"/>
      <c r="N2904" s="68"/>
      <c r="O2904" s="68"/>
      <c r="P2904" s="68"/>
      <c r="Q2904" s="68">
        <f>SUM(Devis[[#This Row],[Poste 1]:[Poste 6]])</f>
        <v>0</v>
      </c>
      <c r="R2904" s="71"/>
      <c r="S2904" s="68">
        <f>_xlfn.CEILING.MATH(Devis[[#This Row],[Quantité Totale]],Devis[[#This Row],[Conditionnement]])</f>
        <v>0</v>
      </c>
      <c r="T2904" s="72"/>
      <c r="U2904" s="73"/>
      <c r="V2904" s="74">
        <f>Devis[[#This Row],[Prix de Revient]]*Devis[[#This Row],[Poste 1]]</f>
        <v>0</v>
      </c>
      <c r="W2904" s="74">
        <f>Devis[[#This Row],[Prix de Revient]]*Devis[[#This Row],[Poste 2]]</f>
        <v>0</v>
      </c>
      <c r="X2904" s="74">
        <f>Devis[[#This Row],[Prix de Revient]]*Devis[[#This Row],[Poste 3]]</f>
        <v>0</v>
      </c>
      <c r="Y2904" s="74">
        <f>Devis[[#This Row],[Poste 4]]*Devis[[#This Row],[Prix de Revient]]</f>
        <v>0</v>
      </c>
      <c r="Z2904" s="74">
        <f>Devis[[#This Row],[Poste 5]]*Devis[[#This Row],[Prix de Revient]]</f>
        <v>0</v>
      </c>
      <c r="AA2904" s="74">
        <f>Devis[[#This Row],[Prix de Revient]]*Devis[[#This Row],[Poste 6]]</f>
        <v>0</v>
      </c>
      <c r="AB2904" s="74">
        <f>Devis[[#This Row],[Quantité Totale]]*Devis[[#This Row],[Prix de Revient]]</f>
        <v>0</v>
      </c>
    </row>
    <row r="2905" spans="1:28" ht="14.25" customHeight="1" outlineLevel="1" x14ac:dyDescent="0.2">
      <c r="A2905" s="75" t="s">
        <v>2617</v>
      </c>
      <c r="B2905" s="76" t="s">
        <v>5499</v>
      </c>
      <c r="C2905" s="76" t="s">
        <v>5499</v>
      </c>
      <c r="D2905" s="81" t="str">
        <f t="shared" si="49"/>
        <v>RaccordsRI  gaz femelle droitRI  gaz femelle droit</v>
      </c>
      <c r="E2905" s="76" t="s">
        <v>2753</v>
      </c>
      <c r="F2905" s="76">
        <v>3</v>
      </c>
      <c r="G2905" s="71" t="s">
        <v>2754</v>
      </c>
      <c r="H2905" s="71"/>
      <c r="I2905" s="71"/>
      <c r="J2905" s="70">
        <f>IFERROR(VLOOKUP(Devis[[#This Row],[Ref Air Flux]],#REF!,3,FALSE),0)</f>
        <v>0</v>
      </c>
      <c r="K2905" s="68"/>
      <c r="L2905" s="68"/>
      <c r="M2905" s="68"/>
      <c r="N2905" s="68"/>
      <c r="O2905" s="68"/>
      <c r="P2905" s="68"/>
      <c r="Q2905" s="68">
        <f>SUM(Devis[[#This Row],[Poste 1]:[Poste 6]])</f>
        <v>0</v>
      </c>
      <c r="R2905" s="71"/>
      <c r="S2905" s="68">
        <f>_xlfn.CEILING.MATH(Devis[[#This Row],[Quantité Totale]],Devis[[#This Row],[Conditionnement]])</f>
        <v>0</v>
      </c>
      <c r="T2905" s="72"/>
      <c r="U2905" s="73"/>
      <c r="V2905" s="74">
        <f>Devis[[#This Row],[Prix de Revient]]*Devis[[#This Row],[Poste 1]]</f>
        <v>0</v>
      </c>
      <c r="W2905" s="74">
        <f>Devis[[#This Row],[Prix de Revient]]*Devis[[#This Row],[Poste 2]]</f>
        <v>0</v>
      </c>
      <c r="X2905" s="74">
        <f>Devis[[#This Row],[Prix de Revient]]*Devis[[#This Row],[Poste 3]]</f>
        <v>0</v>
      </c>
      <c r="Y2905" s="74">
        <f>Devis[[#This Row],[Poste 4]]*Devis[[#This Row],[Prix de Revient]]</f>
        <v>0</v>
      </c>
      <c r="Z2905" s="74">
        <f>Devis[[#This Row],[Poste 5]]*Devis[[#This Row],[Prix de Revient]]</f>
        <v>0</v>
      </c>
      <c r="AA2905" s="74">
        <f>Devis[[#This Row],[Prix de Revient]]*Devis[[#This Row],[Poste 6]]</f>
        <v>0</v>
      </c>
      <c r="AB2905" s="74">
        <f>Devis[[#This Row],[Quantité Totale]]*Devis[[#This Row],[Prix de Revient]]</f>
        <v>0</v>
      </c>
    </row>
    <row r="2906" spans="1:28" ht="14.25" outlineLevel="1" x14ac:dyDescent="0.2">
      <c r="A2906" s="75" t="s">
        <v>2617</v>
      </c>
      <c r="B2906" s="76" t="s">
        <v>5499</v>
      </c>
      <c r="C2906" s="76" t="s">
        <v>5499</v>
      </c>
      <c r="D2906" s="81" t="str">
        <f t="shared" si="49"/>
        <v>RaccordsRI  gaz femelle droitRI  gaz femelle droit</v>
      </c>
      <c r="E2906" s="76" t="s">
        <v>2755</v>
      </c>
      <c r="F2906" s="76">
        <v>4</v>
      </c>
      <c r="G2906" s="71" t="s">
        <v>2756</v>
      </c>
      <c r="H2906" s="71"/>
      <c r="I2906" s="71"/>
      <c r="J2906" s="70">
        <f>IFERROR(VLOOKUP(Devis[[#This Row],[Ref Air Flux]],#REF!,3,FALSE),0)</f>
        <v>0</v>
      </c>
      <c r="K2906" s="68"/>
      <c r="L2906" s="68"/>
      <c r="M2906" s="68"/>
      <c r="N2906" s="68"/>
      <c r="O2906" s="68"/>
      <c r="P2906" s="68"/>
      <c r="Q2906" s="68">
        <f>SUM(Devis[[#This Row],[Poste 1]:[Poste 6]])</f>
        <v>0</v>
      </c>
      <c r="R2906" s="71"/>
      <c r="S2906" s="68">
        <f>_xlfn.CEILING.MATH(Devis[[#This Row],[Quantité Totale]],Devis[[#This Row],[Conditionnement]])</f>
        <v>0</v>
      </c>
      <c r="T2906" s="72"/>
      <c r="U2906" s="73"/>
      <c r="V2906" s="74">
        <f>Devis[[#This Row],[Prix de Revient]]*Devis[[#This Row],[Poste 1]]</f>
        <v>0</v>
      </c>
      <c r="W2906" s="74">
        <f>Devis[[#This Row],[Prix de Revient]]*Devis[[#This Row],[Poste 2]]</f>
        <v>0</v>
      </c>
      <c r="X2906" s="74">
        <f>Devis[[#This Row],[Prix de Revient]]*Devis[[#This Row],[Poste 3]]</f>
        <v>0</v>
      </c>
      <c r="Y2906" s="74">
        <f>Devis[[#This Row],[Poste 4]]*Devis[[#This Row],[Prix de Revient]]</f>
        <v>0</v>
      </c>
      <c r="Z2906" s="74">
        <f>Devis[[#This Row],[Poste 5]]*Devis[[#This Row],[Prix de Revient]]</f>
        <v>0</v>
      </c>
      <c r="AA2906" s="74">
        <f>Devis[[#This Row],[Prix de Revient]]*Devis[[#This Row],[Poste 6]]</f>
        <v>0</v>
      </c>
      <c r="AB2906" s="74">
        <f>Devis[[#This Row],[Quantité Totale]]*Devis[[#This Row],[Prix de Revient]]</f>
        <v>0</v>
      </c>
    </row>
    <row r="2907" spans="1:28" ht="14.25" outlineLevel="1" x14ac:dyDescent="0.2">
      <c r="A2907" s="75" t="s">
        <v>2617</v>
      </c>
      <c r="B2907" s="76" t="s">
        <v>5499</v>
      </c>
      <c r="C2907" s="76" t="s">
        <v>5499</v>
      </c>
      <c r="D2907" s="81" t="str">
        <f t="shared" si="49"/>
        <v>RaccordsRI  gaz femelle droitRI  gaz femelle droit</v>
      </c>
      <c r="E2907" s="76" t="s">
        <v>2757</v>
      </c>
      <c r="F2907" s="76">
        <v>5</v>
      </c>
      <c r="G2907" s="71" t="s">
        <v>2758</v>
      </c>
      <c r="H2907" s="71"/>
      <c r="I2907" s="71"/>
      <c r="J2907" s="70">
        <f>IFERROR(VLOOKUP(Devis[[#This Row],[Ref Air Flux]],#REF!,3,FALSE),0)</f>
        <v>0</v>
      </c>
      <c r="K2907" s="68"/>
      <c r="L2907" s="68"/>
      <c r="M2907" s="68"/>
      <c r="N2907" s="68"/>
      <c r="O2907" s="68"/>
      <c r="P2907" s="68"/>
      <c r="Q2907" s="68">
        <f>SUM(Devis[[#This Row],[Poste 1]:[Poste 6]])</f>
        <v>0</v>
      </c>
      <c r="R2907" s="71"/>
      <c r="S2907" s="68">
        <f>_xlfn.CEILING.MATH(Devis[[#This Row],[Quantité Totale]],Devis[[#This Row],[Conditionnement]])</f>
        <v>0</v>
      </c>
      <c r="T2907" s="72"/>
      <c r="U2907" s="73"/>
      <c r="V2907" s="74">
        <f>Devis[[#This Row],[Prix de Revient]]*Devis[[#This Row],[Poste 1]]</f>
        <v>0</v>
      </c>
      <c r="W2907" s="74">
        <f>Devis[[#This Row],[Prix de Revient]]*Devis[[#This Row],[Poste 2]]</f>
        <v>0</v>
      </c>
      <c r="X2907" s="74">
        <f>Devis[[#This Row],[Prix de Revient]]*Devis[[#This Row],[Poste 3]]</f>
        <v>0</v>
      </c>
      <c r="Y2907" s="74">
        <f>Devis[[#This Row],[Poste 4]]*Devis[[#This Row],[Prix de Revient]]</f>
        <v>0</v>
      </c>
      <c r="Z2907" s="74">
        <f>Devis[[#This Row],[Poste 5]]*Devis[[#This Row],[Prix de Revient]]</f>
        <v>0</v>
      </c>
      <c r="AA2907" s="74">
        <f>Devis[[#This Row],[Prix de Revient]]*Devis[[#This Row],[Poste 6]]</f>
        <v>0</v>
      </c>
      <c r="AB2907" s="74">
        <f>Devis[[#This Row],[Quantité Totale]]*Devis[[#This Row],[Prix de Revient]]</f>
        <v>0</v>
      </c>
    </row>
    <row r="2908" spans="1:28" ht="14.25" customHeight="1" outlineLevel="1" x14ac:dyDescent="0.2">
      <c r="A2908" s="75" t="s">
        <v>2617</v>
      </c>
      <c r="B2908" s="76" t="s">
        <v>5499</v>
      </c>
      <c r="C2908" s="76" t="s">
        <v>5499</v>
      </c>
      <c r="D2908" s="81" t="str">
        <f t="shared" si="49"/>
        <v>RaccordsRI  gaz femelle droitRI  gaz femelle droit</v>
      </c>
      <c r="E2908" s="76" t="s">
        <v>2759</v>
      </c>
      <c r="F2908" s="76">
        <v>6</v>
      </c>
      <c r="G2908" s="71" t="s">
        <v>2760</v>
      </c>
      <c r="H2908" s="71"/>
      <c r="I2908" s="71"/>
      <c r="J2908" s="70">
        <f>IFERROR(VLOOKUP(Devis[[#This Row],[Ref Air Flux]],#REF!,3,FALSE),0)</f>
        <v>0</v>
      </c>
      <c r="K2908" s="68"/>
      <c r="L2908" s="68"/>
      <c r="M2908" s="68"/>
      <c r="N2908" s="68"/>
      <c r="O2908" s="68"/>
      <c r="P2908" s="68"/>
      <c r="Q2908" s="68">
        <f>SUM(Devis[[#This Row],[Poste 1]:[Poste 6]])</f>
        <v>0</v>
      </c>
      <c r="R2908" s="71"/>
      <c r="S2908" s="68">
        <f>_xlfn.CEILING.MATH(Devis[[#This Row],[Quantité Totale]],Devis[[#This Row],[Conditionnement]])</f>
        <v>0</v>
      </c>
      <c r="T2908" s="72"/>
      <c r="U2908" s="73"/>
      <c r="V2908" s="74">
        <f>Devis[[#This Row],[Prix de Revient]]*Devis[[#This Row],[Poste 1]]</f>
        <v>0</v>
      </c>
      <c r="W2908" s="74">
        <f>Devis[[#This Row],[Prix de Revient]]*Devis[[#This Row],[Poste 2]]</f>
        <v>0</v>
      </c>
      <c r="X2908" s="74">
        <f>Devis[[#This Row],[Prix de Revient]]*Devis[[#This Row],[Poste 3]]</f>
        <v>0</v>
      </c>
      <c r="Y2908" s="74">
        <f>Devis[[#This Row],[Poste 4]]*Devis[[#This Row],[Prix de Revient]]</f>
        <v>0</v>
      </c>
      <c r="Z2908" s="74">
        <f>Devis[[#This Row],[Poste 5]]*Devis[[#This Row],[Prix de Revient]]</f>
        <v>0</v>
      </c>
      <c r="AA2908" s="74">
        <f>Devis[[#This Row],[Prix de Revient]]*Devis[[#This Row],[Poste 6]]</f>
        <v>0</v>
      </c>
      <c r="AB2908" s="74">
        <f>Devis[[#This Row],[Quantité Totale]]*Devis[[#This Row],[Prix de Revient]]</f>
        <v>0</v>
      </c>
    </row>
    <row r="2909" spans="1:28" ht="14.25" customHeight="1" outlineLevel="1" x14ac:dyDescent="0.2">
      <c r="A2909" s="75" t="s">
        <v>2617</v>
      </c>
      <c r="B2909" s="76" t="s">
        <v>5499</v>
      </c>
      <c r="C2909" s="76" t="s">
        <v>5499</v>
      </c>
      <c r="D2909" s="81" t="str">
        <f t="shared" si="49"/>
        <v>RaccordsRI  gaz femelle droitRI  gaz femelle droit</v>
      </c>
      <c r="E2909" s="76" t="s">
        <v>2761</v>
      </c>
      <c r="F2909" s="76">
        <v>7</v>
      </c>
      <c r="G2909" s="71" t="s">
        <v>2762</v>
      </c>
      <c r="H2909" s="71"/>
      <c r="I2909" s="71"/>
      <c r="J2909" s="70">
        <f>IFERROR(VLOOKUP(Devis[[#This Row],[Ref Air Flux]],#REF!,3,FALSE),0)</f>
        <v>0</v>
      </c>
      <c r="K2909" s="68"/>
      <c r="L2909" s="68"/>
      <c r="M2909" s="68"/>
      <c r="N2909" s="68"/>
      <c r="O2909" s="68"/>
      <c r="P2909" s="68"/>
      <c r="Q2909" s="68">
        <f>SUM(Devis[[#This Row],[Poste 1]:[Poste 6]])</f>
        <v>0</v>
      </c>
      <c r="R2909" s="71"/>
      <c r="S2909" s="68">
        <f>_xlfn.CEILING.MATH(Devis[[#This Row],[Quantité Totale]],Devis[[#This Row],[Conditionnement]])</f>
        <v>0</v>
      </c>
      <c r="T2909" s="72"/>
      <c r="U2909" s="73"/>
      <c r="V2909" s="74">
        <f>Devis[[#This Row],[Prix de Revient]]*Devis[[#This Row],[Poste 1]]</f>
        <v>0</v>
      </c>
      <c r="W2909" s="74">
        <f>Devis[[#This Row],[Prix de Revient]]*Devis[[#This Row],[Poste 2]]</f>
        <v>0</v>
      </c>
      <c r="X2909" s="74">
        <f>Devis[[#This Row],[Prix de Revient]]*Devis[[#This Row],[Poste 3]]</f>
        <v>0</v>
      </c>
      <c r="Y2909" s="74">
        <f>Devis[[#This Row],[Poste 4]]*Devis[[#This Row],[Prix de Revient]]</f>
        <v>0</v>
      </c>
      <c r="Z2909" s="74">
        <f>Devis[[#This Row],[Poste 5]]*Devis[[#This Row],[Prix de Revient]]</f>
        <v>0</v>
      </c>
      <c r="AA2909" s="74">
        <f>Devis[[#This Row],[Prix de Revient]]*Devis[[#This Row],[Poste 6]]</f>
        <v>0</v>
      </c>
      <c r="AB2909" s="74">
        <f>Devis[[#This Row],[Quantité Totale]]*Devis[[#This Row],[Prix de Revient]]</f>
        <v>0</v>
      </c>
    </row>
    <row r="2910" spans="1:28" ht="14.25" outlineLevel="1" x14ac:dyDescent="0.2">
      <c r="A2910" s="75" t="s">
        <v>2617</v>
      </c>
      <c r="B2910" s="76" t="s">
        <v>5499</v>
      </c>
      <c r="C2910" s="76" t="s">
        <v>5499</v>
      </c>
      <c r="D2910" s="81" t="str">
        <f t="shared" si="49"/>
        <v>RaccordsRI  gaz femelle droitRI  gaz femelle droit</v>
      </c>
      <c r="E2910" s="76" t="s">
        <v>2763</v>
      </c>
      <c r="F2910" s="76">
        <v>8</v>
      </c>
      <c r="G2910" s="71" t="s">
        <v>2764</v>
      </c>
      <c r="H2910" s="71"/>
      <c r="I2910" s="71"/>
      <c r="J2910" s="70">
        <f>IFERROR(VLOOKUP(Devis[[#This Row],[Ref Air Flux]],#REF!,3,FALSE),0)</f>
        <v>0</v>
      </c>
      <c r="K2910" s="68"/>
      <c r="L2910" s="68"/>
      <c r="M2910" s="68"/>
      <c r="N2910" s="68"/>
      <c r="O2910" s="68"/>
      <c r="P2910" s="68"/>
      <c r="Q2910" s="68">
        <f>SUM(Devis[[#This Row],[Poste 1]:[Poste 6]])</f>
        <v>0</v>
      </c>
      <c r="R2910" s="71"/>
      <c r="S2910" s="68">
        <f>_xlfn.CEILING.MATH(Devis[[#This Row],[Quantité Totale]],Devis[[#This Row],[Conditionnement]])</f>
        <v>0</v>
      </c>
      <c r="T2910" s="72"/>
      <c r="U2910" s="73"/>
      <c r="V2910" s="74">
        <f>Devis[[#This Row],[Prix de Revient]]*Devis[[#This Row],[Poste 1]]</f>
        <v>0</v>
      </c>
      <c r="W2910" s="74">
        <f>Devis[[#This Row],[Prix de Revient]]*Devis[[#This Row],[Poste 2]]</f>
        <v>0</v>
      </c>
      <c r="X2910" s="74">
        <f>Devis[[#This Row],[Prix de Revient]]*Devis[[#This Row],[Poste 3]]</f>
        <v>0</v>
      </c>
      <c r="Y2910" s="74">
        <f>Devis[[#This Row],[Poste 4]]*Devis[[#This Row],[Prix de Revient]]</f>
        <v>0</v>
      </c>
      <c r="Z2910" s="74">
        <f>Devis[[#This Row],[Poste 5]]*Devis[[#This Row],[Prix de Revient]]</f>
        <v>0</v>
      </c>
      <c r="AA2910" s="74">
        <f>Devis[[#This Row],[Prix de Revient]]*Devis[[#This Row],[Poste 6]]</f>
        <v>0</v>
      </c>
      <c r="AB2910" s="74">
        <f>Devis[[#This Row],[Quantité Totale]]*Devis[[#This Row],[Prix de Revient]]</f>
        <v>0</v>
      </c>
    </row>
    <row r="2911" spans="1:28" ht="14.25" outlineLevel="1" x14ac:dyDescent="0.2">
      <c r="A2911" s="75" t="s">
        <v>2617</v>
      </c>
      <c r="B2911" s="76" t="s">
        <v>5499</v>
      </c>
      <c r="C2911" s="76" t="s">
        <v>5499</v>
      </c>
      <c r="D2911" s="81" t="str">
        <f t="shared" si="49"/>
        <v>RaccordsRI  gaz femelle droitRI  gaz femelle droit</v>
      </c>
      <c r="E2911" s="76" t="s">
        <v>2765</v>
      </c>
      <c r="F2911" s="76">
        <v>9</v>
      </c>
      <c r="G2911" s="71" t="s">
        <v>2766</v>
      </c>
      <c r="H2911" s="71"/>
      <c r="I2911" s="71"/>
      <c r="J2911" s="70">
        <f>IFERROR(VLOOKUP(Devis[[#This Row],[Ref Air Flux]],#REF!,3,FALSE),0)</f>
        <v>0</v>
      </c>
      <c r="K2911" s="68"/>
      <c r="L2911" s="68"/>
      <c r="M2911" s="68"/>
      <c r="N2911" s="68"/>
      <c r="O2911" s="68"/>
      <c r="P2911" s="68"/>
      <c r="Q2911" s="68">
        <f>SUM(Devis[[#This Row],[Poste 1]:[Poste 6]])</f>
        <v>0</v>
      </c>
      <c r="R2911" s="71"/>
      <c r="S2911" s="68">
        <f>_xlfn.CEILING.MATH(Devis[[#This Row],[Quantité Totale]],Devis[[#This Row],[Conditionnement]])</f>
        <v>0</v>
      </c>
      <c r="T2911" s="72"/>
      <c r="U2911" s="73"/>
      <c r="V2911" s="74">
        <f>Devis[[#This Row],[Prix de Revient]]*Devis[[#This Row],[Poste 1]]</f>
        <v>0</v>
      </c>
      <c r="W2911" s="74">
        <f>Devis[[#This Row],[Prix de Revient]]*Devis[[#This Row],[Poste 2]]</f>
        <v>0</v>
      </c>
      <c r="X2911" s="74">
        <f>Devis[[#This Row],[Prix de Revient]]*Devis[[#This Row],[Poste 3]]</f>
        <v>0</v>
      </c>
      <c r="Y2911" s="74">
        <f>Devis[[#This Row],[Poste 4]]*Devis[[#This Row],[Prix de Revient]]</f>
        <v>0</v>
      </c>
      <c r="Z2911" s="74">
        <f>Devis[[#This Row],[Poste 5]]*Devis[[#This Row],[Prix de Revient]]</f>
        <v>0</v>
      </c>
      <c r="AA2911" s="74">
        <f>Devis[[#This Row],[Prix de Revient]]*Devis[[#This Row],[Poste 6]]</f>
        <v>0</v>
      </c>
      <c r="AB2911" s="74">
        <f>Devis[[#This Row],[Quantité Totale]]*Devis[[#This Row],[Prix de Revient]]</f>
        <v>0</v>
      </c>
    </row>
    <row r="2912" spans="1:28" ht="15" customHeight="1" x14ac:dyDescent="0.25">
      <c r="A2912" s="65" t="s">
        <v>2617</v>
      </c>
      <c r="B2912" s="65" t="s">
        <v>5500</v>
      </c>
      <c r="C2912" s="113" t="s">
        <v>5500</v>
      </c>
      <c r="D2912" s="81" t="str">
        <f t="shared" si="49"/>
        <v>RaccordsRI  réductionRI  réduction</v>
      </c>
      <c r="E2912" s="76"/>
      <c r="F2912" s="76">
        <v>0</v>
      </c>
      <c r="G2912" s="71"/>
      <c r="H2912" s="71"/>
      <c r="I2912" s="71"/>
      <c r="J2912" s="70">
        <f>IFERROR(VLOOKUP(Devis[[#This Row],[Ref Air Flux]],#REF!,3,FALSE),0)</f>
        <v>0</v>
      </c>
      <c r="K2912" s="68"/>
      <c r="L2912" s="68"/>
      <c r="M2912" s="68"/>
      <c r="N2912" s="68"/>
      <c r="O2912" s="68"/>
      <c r="P2912" s="68"/>
      <c r="Q2912" s="68">
        <f>SUM(Devis[[#This Row],[Poste 1]:[Poste 6]])</f>
        <v>0</v>
      </c>
      <c r="R2912" s="71"/>
      <c r="S2912" s="68">
        <f>_xlfn.CEILING.MATH(Devis[[#This Row],[Quantité Totale]],Devis[[#This Row],[Conditionnement]])</f>
        <v>0</v>
      </c>
      <c r="T2912" s="72"/>
      <c r="U2912" s="73"/>
      <c r="V2912" s="74">
        <f>Devis[[#This Row],[Prix de Revient]]*Devis[[#This Row],[Poste 1]]</f>
        <v>0</v>
      </c>
      <c r="W2912" s="74">
        <f>Devis[[#This Row],[Prix de Revient]]*Devis[[#This Row],[Poste 2]]</f>
        <v>0</v>
      </c>
      <c r="X2912" s="74">
        <f>Devis[[#This Row],[Prix de Revient]]*Devis[[#This Row],[Poste 3]]</f>
        <v>0</v>
      </c>
      <c r="Y2912" s="74">
        <f>Devis[[#This Row],[Poste 4]]*Devis[[#This Row],[Prix de Revient]]</f>
        <v>0</v>
      </c>
      <c r="Z2912" s="74">
        <f>Devis[[#This Row],[Poste 5]]*Devis[[#This Row],[Prix de Revient]]</f>
        <v>0</v>
      </c>
      <c r="AA2912" s="74">
        <f>Devis[[#This Row],[Prix de Revient]]*Devis[[#This Row],[Poste 6]]</f>
        <v>0</v>
      </c>
      <c r="AB2912" s="74">
        <f>Devis[[#This Row],[Quantité Totale]]*Devis[[#This Row],[Prix de Revient]]</f>
        <v>0</v>
      </c>
    </row>
    <row r="2913" spans="1:28" ht="14.25" outlineLevel="1" x14ac:dyDescent="0.2">
      <c r="A2913" s="75" t="s">
        <v>2617</v>
      </c>
      <c r="B2913" s="76" t="s">
        <v>5500</v>
      </c>
      <c r="C2913" s="76" t="s">
        <v>5500</v>
      </c>
      <c r="D2913" s="81" t="str">
        <f t="shared" si="49"/>
        <v>RaccordsRI  réductionRI  réduction</v>
      </c>
      <c r="E2913" s="76" t="s">
        <v>2767</v>
      </c>
      <c r="F2913" s="76">
        <v>1</v>
      </c>
      <c r="G2913" s="71">
        <v>31660406</v>
      </c>
      <c r="H2913" s="71"/>
      <c r="I2913" s="71"/>
      <c r="J2913" s="70">
        <f>IFERROR(VLOOKUP(Devis[[#This Row],[Ref Air Flux]],#REF!,3,FALSE),0)</f>
        <v>0</v>
      </c>
      <c r="K2913" s="68"/>
      <c r="L2913" s="68"/>
      <c r="M2913" s="68"/>
      <c r="N2913" s="68"/>
      <c r="O2913" s="68"/>
      <c r="P2913" s="68"/>
      <c r="Q2913" s="68">
        <f>SUM(Devis[[#This Row],[Poste 1]:[Poste 6]])</f>
        <v>0</v>
      </c>
      <c r="R2913" s="71"/>
      <c r="S2913" s="68">
        <f>_xlfn.CEILING.MATH(Devis[[#This Row],[Quantité Totale]],Devis[[#This Row],[Conditionnement]])</f>
        <v>0</v>
      </c>
      <c r="T2913" s="72"/>
      <c r="U2913" s="73"/>
      <c r="V2913" s="74">
        <f>Devis[[#This Row],[Prix de Revient]]*Devis[[#This Row],[Poste 1]]</f>
        <v>0</v>
      </c>
      <c r="W2913" s="74">
        <f>Devis[[#This Row],[Prix de Revient]]*Devis[[#This Row],[Poste 2]]</f>
        <v>0</v>
      </c>
      <c r="X2913" s="74">
        <f>Devis[[#This Row],[Prix de Revient]]*Devis[[#This Row],[Poste 3]]</f>
        <v>0</v>
      </c>
      <c r="Y2913" s="74">
        <f>Devis[[#This Row],[Poste 4]]*Devis[[#This Row],[Prix de Revient]]</f>
        <v>0</v>
      </c>
      <c r="Z2913" s="74">
        <f>Devis[[#This Row],[Poste 5]]*Devis[[#This Row],[Prix de Revient]]</f>
        <v>0</v>
      </c>
      <c r="AA2913" s="74">
        <f>Devis[[#This Row],[Prix de Revient]]*Devis[[#This Row],[Poste 6]]</f>
        <v>0</v>
      </c>
      <c r="AB2913" s="74">
        <f>Devis[[#This Row],[Quantité Totale]]*Devis[[#This Row],[Prix de Revient]]</f>
        <v>0</v>
      </c>
    </row>
    <row r="2914" spans="1:28" ht="14.25" outlineLevel="1" x14ac:dyDescent="0.2">
      <c r="A2914" s="75" t="s">
        <v>2617</v>
      </c>
      <c r="B2914" s="76" t="s">
        <v>5500</v>
      </c>
      <c r="C2914" s="76" t="s">
        <v>5500</v>
      </c>
      <c r="D2914" s="81" t="str">
        <f t="shared" si="49"/>
        <v>RaccordsRI  réductionRI  réduction</v>
      </c>
      <c r="E2914" s="76" t="s">
        <v>2768</v>
      </c>
      <c r="F2914" s="76">
        <v>2</v>
      </c>
      <c r="G2914" s="71">
        <v>31660608</v>
      </c>
      <c r="H2914" s="71"/>
      <c r="I2914" s="71"/>
      <c r="J2914" s="70">
        <f>IFERROR(VLOOKUP(Devis[[#This Row],[Ref Air Flux]],#REF!,3,FALSE),0)</f>
        <v>0</v>
      </c>
      <c r="K2914" s="68"/>
      <c r="L2914" s="68"/>
      <c r="M2914" s="68"/>
      <c r="N2914" s="68"/>
      <c r="O2914" s="68"/>
      <c r="P2914" s="68"/>
      <c r="Q2914" s="68">
        <f>SUM(Devis[[#This Row],[Poste 1]:[Poste 6]])</f>
        <v>0</v>
      </c>
      <c r="R2914" s="71"/>
      <c r="S2914" s="68">
        <f>_xlfn.CEILING.MATH(Devis[[#This Row],[Quantité Totale]],Devis[[#This Row],[Conditionnement]])</f>
        <v>0</v>
      </c>
      <c r="T2914" s="72"/>
      <c r="U2914" s="73"/>
      <c r="V2914" s="74">
        <f>Devis[[#This Row],[Prix de Revient]]*Devis[[#This Row],[Poste 1]]</f>
        <v>0</v>
      </c>
      <c r="W2914" s="74">
        <f>Devis[[#This Row],[Prix de Revient]]*Devis[[#This Row],[Poste 2]]</f>
        <v>0</v>
      </c>
      <c r="X2914" s="74">
        <f>Devis[[#This Row],[Prix de Revient]]*Devis[[#This Row],[Poste 3]]</f>
        <v>0</v>
      </c>
      <c r="Y2914" s="74">
        <f>Devis[[#This Row],[Poste 4]]*Devis[[#This Row],[Prix de Revient]]</f>
        <v>0</v>
      </c>
      <c r="Z2914" s="74">
        <f>Devis[[#This Row],[Poste 5]]*Devis[[#This Row],[Prix de Revient]]</f>
        <v>0</v>
      </c>
      <c r="AA2914" s="74">
        <f>Devis[[#This Row],[Prix de Revient]]*Devis[[#This Row],[Poste 6]]</f>
        <v>0</v>
      </c>
      <c r="AB2914" s="74">
        <f>Devis[[#This Row],[Quantité Totale]]*Devis[[#This Row],[Prix de Revient]]</f>
        <v>0</v>
      </c>
    </row>
    <row r="2915" spans="1:28" ht="14.25" outlineLevel="1" x14ac:dyDescent="0.2">
      <c r="A2915" s="75" t="s">
        <v>2617</v>
      </c>
      <c r="B2915" s="76" t="s">
        <v>5500</v>
      </c>
      <c r="C2915" s="76" t="s">
        <v>5500</v>
      </c>
      <c r="D2915" s="81" t="str">
        <f t="shared" si="49"/>
        <v>RaccordsRI  réductionRI  réduction</v>
      </c>
      <c r="E2915" s="76" t="s">
        <v>2769</v>
      </c>
      <c r="F2915" s="76">
        <v>3</v>
      </c>
      <c r="G2915" s="71">
        <v>31660810</v>
      </c>
      <c r="H2915" s="71"/>
      <c r="I2915" s="71"/>
      <c r="J2915" s="70">
        <f>IFERROR(VLOOKUP(Devis[[#This Row],[Ref Air Flux]],#REF!,3,FALSE),0)</f>
        <v>0</v>
      </c>
      <c r="K2915" s="68"/>
      <c r="L2915" s="68"/>
      <c r="M2915" s="68"/>
      <c r="N2915" s="68"/>
      <c r="O2915" s="68"/>
      <c r="P2915" s="68"/>
      <c r="Q2915" s="68">
        <f>SUM(Devis[[#This Row],[Poste 1]:[Poste 6]])</f>
        <v>0</v>
      </c>
      <c r="R2915" s="71"/>
      <c r="S2915" s="68">
        <f>_xlfn.CEILING.MATH(Devis[[#This Row],[Quantité Totale]],Devis[[#This Row],[Conditionnement]])</f>
        <v>0</v>
      </c>
      <c r="T2915" s="72"/>
      <c r="U2915" s="73"/>
      <c r="V2915" s="74">
        <f>Devis[[#This Row],[Prix de Revient]]*Devis[[#This Row],[Poste 1]]</f>
        <v>0</v>
      </c>
      <c r="W2915" s="74">
        <f>Devis[[#This Row],[Prix de Revient]]*Devis[[#This Row],[Poste 2]]</f>
        <v>0</v>
      </c>
      <c r="X2915" s="74">
        <f>Devis[[#This Row],[Prix de Revient]]*Devis[[#This Row],[Poste 3]]</f>
        <v>0</v>
      </c>
      <c r="Y2915" s="74">
        <f>Devis[[#This Row],[Poste 4]]*Devis[[#This Row],[Prix de Revient]]</f>
        <v>0</v>
      </c>
      <c r="Z2915" s="74">
        <f>Devis[[#This Row],[Poste 5]]*Devis[[#This Row],[Prix de Revient]]</f>
        <v>0</v>
      </c>
      <c r="AA2915" s="74">
        <f>Devis[[#This Row],[Prix de Revient]]*Devis[[#This Row],[Poste 6]]</f>
        <v>0</v>
      </c>
      <c r="AB2915" s="74">
        <f>Devis[[#This Row],[Quantité Totale]]*Devis[[#This Row],[Prix de Revient]]</f>
        <v>0</v>
      </c>
    </row>
    <row r="2916" spans="1:28" ht="14.25" outlineLevel="1" x14ac:dyDescent="0.2">
      <c r="A2916" s="75" t="s">
        <v>2617</v>
      </c>
      <c r="B2916" s="76" t="s">
        <v>5500</v>
      </c>
      <c r="C2916" s="76" t="s">
        <v>5500</v>
      </c>
      <c r="D2916" s="81" t="str">
        <f t="shared" si="49"/>
        <v>RaccordsRI  réductionRI  réduction</v>
      </c>
      <c r="E2916" s="76" t="s">
        <v>2770</v>
      </c>
      <c r="F2916" s="76">
        <v>4</v>
      </c>
      <c r="G2916" s="71">
        <v>31660812</v>
      </c>
      <c r="H2916" s="71"/>
      <c r="I2916" s="71"/>
      <c r="J2916" s="70">
        <f>IFERROR(VLOOKUP(Devis[[#This Row],[Ref Air Flux]],#REF!,3,FALSE),0)</f>
        <v>0</v>
      </c>
      <c r="K2916" s="68"/>
      <c r="L2916" s="68"/>
      <c r="M2916" s="68"/>
      <c r="N2916" s="68"/>
      <c r="O2916" s="68"/>
      <c r="P2916" s="68"/>
      <c r="Q2916" s="68">
        <f>SUM(Devis[[#This Row],[Poste 1]:[Poste 6]])</f>
        <v>0</v>
      </c>
      <c r="R2916" s="71"/>
      <c r="S2916" s="68">
        <f>_xlfn.CEILING.MATH(Devis[[#This Row],[Quantité Totale]],Devis[[#This Row],[Conditionnement]])</f>
        <v>0</v>
      </c>
      <c r="T2916" s="72"/>
      <c r="U2916" s="73"/>
      <c r="V2916" s="74">
        <f>Devis[[#This Row],[Prix de Revient]]*Devis[[#This Row],[Poste 1]]</f>
        <v>0</v>
      </c>
      <c r="W2916" s="74">
        <f>Devis[[#This Row],[Prix de Revient]]*Devis[[#This Row],[Poste 2]]</f>
        <v>0</v>
      </c>
      <c r="X2916" s="74">
        <f>Devis[[#This Row],[Prix de Revient]]*Devis[[#This Row],[Poste 3]]</f>
        <v>0</v>
      </c>
      <c r="Y2916" s="74">
        <f>Devis[[#This Row],[Poste 4]]*Devis[[#This Row],[Prix de Revient]]</f>
        <v>0</v>
      </c>
      <c r="Z2916" s="74">
        <f>Devis[[#This Row],[Poste 5]]*Devis[[#This Row],[Prix de Revient]]</f>
        <v>0</v>
      </c>
      <c r="AA2916" s="74">
        <f>Devis[[#This Row],[Prix de Revient]]*Devis[[#This Row],[Poste 6]]</f>
        <v>0</v>
      </c>
      <c r="AB2916" s="74">
        <f>Devis[[#This Row],[Quantité Totale]]*Devis[[#This Row],[Prix de Revient]]</f>
        <v>0</v>
      </c>
    </row>
    <row r="2917" spans="1:28" ht="14.25" outlineLevel="1" x14ac:dyDescent="0.2">
      <c r="A2917" s="75" t="s">
        <v>2617</v>
      </c>
      <c r="B2917" s="76" t="s">
        <v>5500</v>
      </c>
      <c r="C2917" s="76" t="s">
        <v>5500</v>
      </c>
      <c r="D2917" s="81" t="str">
        <f t="shared" si="49"/>
        <v>RaccordsRI  réductionRI  réduction</v>
      </c>
      <c r="E2917" s="76" t="s">
        <v>2771</v>
      </c>
      <c r="F2917" s="76">
        <v>5</v>
      </c>
      <c r="G2917" s="71">
        <v>31661012</v>
      </c>
      <c r="H2917" s="71"/>
      <c r="I2917" s="71"/>
      <c r="J2917" s="70">
        <f>IFERROR(VLOOKUP(Devis[[#This Row],[Ref Air Flux]],#REF!,3,FALSE),0)</f>
        <v>0</v>
      </c>
      <c r="K2917" s="68"/>
      <c r="L2917" s="68"/>
      <c r="M2917" s="68"/>
      <c r="N2917" s="68"/>
      <c r="O2917" s="68"/>
      <c r="P2917" s="68"/>
      <c r="Q2917" s="68">
        <f>SUM(Devis[[#This Row],[Poste 1]:[Poste 6]])</f>
        <v>0</v>
      </c>
      <c r="R2917" s="71"/>
      <c r="S2917" s="68">
        <f>_xlfn.CEILING.MATH(Devis[[#This Row],[Quantité Totale]],Devis[[#This Row],[Conditionnement]])</f>
        <v>0</v>
      </c>
      <c r="T2917" s="72"/>
      <c r="U2917" s="73"/>
      <c r="V2917" s="74">
        <f>Devis[[#This Row],[Prix de Revient]]*Devis[[#This Row],[Poste 1]]</f>
        <v>0</v>
      </c>
      <c r="W2917" s="74">
        <f>Devis[[#This Row],[Prix de Revient]]*Devis[[#This Row],[Poste 2]]</f>
        <v>0</v>
      </c>
      <c r="X2917" s="74">
        <f>Devis[[#This Row],[Prix de Revient]]*Devis[[#This Row],[Poste 3]]</f>
        <v>0</v>
      </c>
      <c r="Y2917" s="74">
        <f>Devis[[#This Row],[Poste 4]]*Devis[[#This Row],[Prix de Revient]]</f>
        <v>0</v>
      </c>
      <c r="Z2917" s="74">
        <f>Devis[[#This Row],[Poste 5]]*Devis[[#This Row],[Prix de Revient]]</f>
        <v>0</v>
      </c>
      <c r="AA2917" s="74">
        <f>Devis[[#This Row],[Prix de Revient]]*Devis[[#This Row],[Poste 6]]</f>
        <v>0</v>
      </c>
      <c r="AB2917" s="74">
        <f>Devis[[#This Row],[Quantité Totale]]*Devis[[#This Row],[Prix de Revient]]</f>
        <v>0</v>
      </c>
    </row>
    <row r="2918" spans="1:28" ht="14.25" customHeight="1" x14ac:dyDescent="0.25">
      <c r="A2918" s="65" t="s">
        <v>2617</v>
      </c>
      <c r="B2918" s="65" t="s">
        <v>5501</v>
      </c>
      <c r="C2918" s="113" t="s">
        <v>5501</v>
      </c>
      <c r="D2918" s="81" t="str">
        <f t="shared" si="49"/>
        <v>RaccordsRI  té au centreRI  té au centre</v>
      </c>
      <c r="E2918" s="76"/>
      <c r="F2918" s="76">
        <v>0</v>
      </c>
      <c r="G2918" s="71"/>
      <c r="H2918" s="71"/>
      <c r="I2918" s="71"/>
      <c r="J2918" s="70">
        <f>IFERROR(VLOOKUP(Devis[[#This Row],[Ref Air Flux]],#REF!,3,FALSE),0)</f>
        <v>0</v>
      </c>
      <c r="K2918" s="68"/>
      <c r="L2918" s="68"/>
      <c r="M2918" s="68"/>
      <c r="N2918" s="68"/>
      <c r="O2918" s="68"/>
      <c r="P2918" s="68"/>
      <c r="Q2918" s="68">
        <f>SUM(Devis[[#This Row],[Poste 1]:[Poste 6]])</f>
        <v>0</v>
      </c>
      <c r="R2918" s="71"/>
      <c r="S2918" s="68">
        <f>_xlfn.CEILING.MATH(Devis[[#This Row],[Quantité Totale]],Devis[[#This Row],[Conditionnement]])</f>
        <v>0</v>
      </c>
      <c r="T2918" s="72"/>
      <c r="U2918" s="73"/>
      <c r="V2918" s="74">
        <f>Devis[[#This Row],[Prix de Revient]]*Devis[[#This Row],[Poste 1]]</f>
        <v>0</v>
      </c>
      <c r="W2918" s="74">
        <f>Devis[[#This Row],[Prix de Revient]]*Devis[[#This Row],[Poste 2]]</f>
        <v>0</v>
      </c>
      <c r="X2918" s="74">
        <f>Devis[[#This Row],[Prix de Revient]]*Devis[[#This Row],[Poste 3]]</f>
        <v>0</v>
      </c>
      <c r="Y2918" s="74">
        <f>Devis[[#This Row],[Poste 4]]*Devis[[#This Row],[Prix de Revient]]</f>
        <v>0</v>
      </c>
      <c r="Z2918" s="74">
        <f>Devis[[#This Row],[Poste 5]]*Devis[[#This Row],[Prix de Revient]]</f>
        <v>0</v>
      </c>
      <c r="AA2918" s="74">
        <f>Devis[[#This Row],[Prix de Revient]]*Devis[[#This Row],[Poste 6]]</f>
        <v>0</v>
      </c>
      <c r="AB2918" s="74">
        <f>Devis[[#This Row],[Quantité Totale]]*Devis[[#This Row],[Prix de Revient]]</f>
        <v>0</v>
      </c>
    </row>
    <row r="2919" spans="1:28" ht="14.25" customHeight="1" outlineLevel="1" x14ac:dyDescent="0.2">
      <c r="A2919" s="75" t="s">
        <v>2617</v>
      </c>
      <c r="B2919" s="76" t="s">
        <v>5501</v>
      </c>
      <c r="C2919" s="76" t="s">
        <v>5501</v>
      </c>
      <c r="D2919" s="81" t="str">
        <f t="shared" si="49"/>
        <v>RaccordsRI  té au centreRI  té au centre</v>
      </c>
      <c r="E2919" s="76" t="s">
        <v>2772</v>
      </c>
      <c r="F2919" s="76">
        <v>1</v>
      </c>
      <c r="G2919" s="71" t="s">
        <v>2773</v>
      </c>
      <c r="H2919" s="71"/>
      <c r="I2919" s="71"/>
      <c r="J2919" s="70">
        <f>IFERROR(VLOOKUP(Devis[[#This Row],[Ref Air Flux]],#REF!,3,FALSE),0)</f>
        <v>0</v>
      </c>
      <c r="K2919" s="68"/>
      <c r="L2919" s="68"/>
      <c r="M2919" s="68"/>
      <c r="N2919" s="68"/>
      <c r="O2919" s="68"/>
      <c r="P2919" s="68"/>
      <c r="Q2919" s="68">
        <f>SUM(Devis[[#This Row],[Poste 1]:[Poste 6]])</f>
        <v>0</v>
      </c>
      <c r="R2919" s="71"/>
      <c r="S2919" s="68">
        <f>_xlfn.CEILING.MATH(Devis[[#This Row],[Quantité Totale]],Devis[[#This Row],[Conditionnement]])</f>
        <v>0</v>
      </c>
      <c r="T2919" s="72"/>
      <c r="U2919" s="73"/>
      <c r="V2919" s="74">
        <f>Devis[[#This Row],[Prix de Revient]]*Devis[[#This Row],[Poste 1]]</f>
        <v>0</v>
      </c>
      <c r="W2919" s="74">
        <f>Devis[[#This Row],[Prix de Revient]]*Devis[[#This Row],[Poste 2]]</f>
        <v>0</v>
      </c>
      <c r="X2919" s="74">
        <f>Devis[[#This Row],[Prix de Revient]]*Devis[[#This Row],[Poste 3]]</f>
        <v>0</v>
      </c>
      <c r="Y2919" s="74">
        <f>Devis[[#This Row],[Poste 4]]*Devis[[#This Row],[Prix de Revient]]</f>
        <v>0</v>
      </c>
      <c r="Z2919" s="74">
        <f>Devis[[#This Row],[Poste 5]]*Devis[[#This Row],[Prix de Revient]]</f>
        <v>0</v>
      </c>
      <c r="AA2919" s="74">
        <f>Devis[[#This Row],[Prix de Revient]]*Devis[[#This Row],[Poste 6]]</f>
        <v>0</v>
      </c>
      <c r="AB2919" s="74">
        <f>Devis[[#This Row],[Quantité Totale]]*Devis[[#This Row],[Prix de Revient]]</f>
        <v>0</v>
      </c>
    </row>
    <row r="2920" spans="1:28" ht="14.25" outlineLevel="1" x14ac:dyDescent="0.2">
      <c r="A2920" s="75" t="s">
        <v>2617</v>
      </c>
      <c r="B2920" s="76" t="s">
        <v>5501</v>
      </c>
      <c r="C2920" s="76" t="s">
        <v>5501</v>
      </c>
      <c r="D2920" s="81" t="str">
        <f t="shared" si="49"/>
        <v>RaccordsRI  té au centreRI  té au centre</v>
      </c>
      <c r="E2920" s="76" t="s">
        <v>2623</v>
      </c>
      <c r="F2920" s="76">
        <v>2</v>
      </c>
      <c r="G2920" s="71" t="s">
        <v>2774</v>
      </c>
      <c r="H2920" s="71"/>
      <c r="I2920" s="71"/>
      <c r="J2920" s="70">
        <f>IFERROR(VLOOKUP(Devis[[#This Row],[Ref Air Flux]],#REF!,3,FALSE),0)</f>
        <v>0</v>
      </c>
      <c r="K2920" s="68"/>
      <c r="L2920" s="68"/>
      <c r="M2920" s="68"/>
      <c r="N2920" s="68"/>
      <c r="O2920" s="68"/>
      <c r="P2920" s="68"/>
      <c r="Q2920" s="68">
        <f>SUM(Devis[[#This Row],[Poste 1]:[Poste 6]])</f>
        <v>0</v>
      </c>
      <c r="R2920" s="71"/>
      <c r="S2920" s="68">
        <f>_xlfn.CEILING.MATH(Devis[[#This Row],[Quantité Totale]],Devis[[#This Row],[Conditionnement]])</f>
        <v>0</v>
      </c>
      <c r="T2920" s="72"/>
      <c r="U2920" s="73"/>
      <c r="V2920" s="74">
        <f>Devis[[#This Row],[Prix de Revient]]*Devis[[#This Row],[Poste 1]]</f>
        <v>0</v>
      </c>
      <c r="W2920" s="74">
        <f>Devis[[#This Row],[Prix de Revient]]*Devis[[#This Row],[Poste 2]]</f>
        <v>0</v>
      </c>
      <c r="X2920" s="74">
        <f>Devis[[#This Row],[Prix de Revient]]*Devis[[#This Row],[Poste 3]]</f>
        <v>0</v>
      </c>
      <c r="Y2920" s="74">
        <f>Devis[[#This Row],[Poste 4]]*Devis[[#This Row],[Prix de Revient]]</f>
        <v>0</v>
      </c>
      <c r="Z2920" s="74">
        <f>Devis[[#This Row],[Poste 5]]*Devis[[#This Row],[Prix de Revient]]</f>
        <v>0</v>
      </c>
      <c r="AA2920" s="74">
        <f>Devis[[#This Row],[Prix de Revient]]*Devis[[#This Row],[Poste 6]]</f>
        <v>0</v>
      </c>
      <c r="AB2920" s="74">
        <f>Devis[[#This Row],[Quantité Totale]]*Devis[[#This Row],[Prix de Revient]]</f>
        <v>0</v>
      </c>
    </row>
    <row r="2921" spans="1:28" ht="14.25" outlineLevel="1" x14ac:dyDescent="0.2">
      <c r="A2921" s="75" t="s">
        <v>2617</v>
      </c>
      <c r="B2921" s="76" t="s">
        <v>5501</v>
      </c>
      <c r="C2921" s="76" t="s">
        <v>5501</v>
      </c>
      <c r="D2921" s="81" t="str">
        <f t="shared" si="49"/>
        <v>RaccordsRI  té au centreRI  té au centre</v>
      </c>
      <c r="E2921" s="76" t="s">
        <v>2625</v>
      </c>
      <c r="F2921" s="76">
        <v>3</v>
      </c>
      <c r="G2921" s="71" t="s">
        <v>2775</v>
      </c>
      <c r="H2921" s="71"/>
      <c r="I2921" s="71"/>
      <c r="J2921" s="70">
        <f>IFERROR(VLOOKUP(Devis[[#This Row],[Ref Air Flux]],#REF!,3,FALSE),0)</f>
        <v>0</v>
      </c>
      <c r="K2921" s="68"/>
      <c r="L2921" s="68"/>
      <c r="M2921" s="68"/>
      <c r="N2921" s="68"/>
      <c r="O2921" s="68"/>
      <c r="P2921" s="68"/>
      <c r="Q2921" s="68">
        <f>SUM(Devis[[#This Row],[Poste 1]:[Poste 6]])</f>
        <v>0</v>
      </c>
      <c r="R2921" s="71"/>
      <c r="S2921" s="68">
        <f>_xlfn.CEILING.MATH(Devis[[#This Row],[Quantité Totale]],Devis[[#This Row],[Conditionnement]])</f>
        <v>0</v>
      </c>
      <c r="T2921" s="72"/>
      <c r="U2921" s="73"/>
      <c r="V2921" s="74">
        <f>Devis[[#This Row],[Prix de Revient]]*Devis[[#This Row],[Poste 1]]</f>
        <v>0</v>
      </c>
      <c r="W2921" s="74">
        <f>Devis[[#This Row],[Prix de Revient]]*Devis[[#This Row],[Poste 2]]</f>
        <v>0</v>
      </c>
      <c r="X2921" s="74">
        <f>Devis[[#This Row],[Prix de Revient]]*Devis[[#This Row],[Poste 3]]</f>
        <v>0</v>
      </c>
      <c r="Y2921" s="74">
        <f>Devis[[#This Row],[Poste 4]]*Devis[[#This Row],[Prix de Revient]]</f>
        <v>0</v>
      </c>
      <c r="Z2921" s="74">
        <f>Devis[[#This Row],[Poste 5]]*Devis[[#This Row],[Prix de Revient]]</f>
        <v>0</v>
      </c>
      <c r="AA2921" s="74">
        <f>Devis[[#This Row],[Prix de Revient]]*Devis[[#This Row],[Poste 6]]</f>
        <v>0</v>
      </c>
      <c r="AB2921" s="74">
        <f>Devis[[#This Row],[Quantité Totale]]*Devis[[#This Row],[Prix de Revient]]</f>
        <v>0</v>
      </c>
    </row>
    <row r="2922" spans="1:28" ht="14.25" outlineLevel="1" x14ac:dyDescent="0.2">
      <c r="A2922" s="75" t="s">
        <v>2617</v>
      </c>
      <c r="B2922" s="76" t="s">
        <v>5501</v>
      </c>
      <c r="C2922" s="76" t="s">
        <v>5501</v>
      </c>
      <c r="D2922" s="81" t="str">
        <f t="shared" si="49"/>
        <v>RaccordsRI  té au centreRI  té au centre</v>
      </c>
      <c r="E2922" s="76" t="s">
        <v>2627</v>
      </c>
      <c r="F2922" s="76">
        <v>4</v>
      </c>
      <c r="G2922" s="71" t="s">
        <v>2776</v>
      </c>
      <c r="H2922" s="71"/>
      <c r="I2922" s="71"/>
      <c r="J2922" s="70">
        <f>IFERROR(VLOOKUP(Devis[[#This Row],[Ref Air Flux]],#REF!,3,FALSE),0)</f>
        <v>0</v>
      </c>
      <c r="K2922" s="68"/>
      <c r="L2922" s="68"/>
      <c r="M2922" s="68"/>
      <c r="N2922" s="68"/>
      <c r="O2922" s="68"/>
      <c r="P2922" s="68"/>
      <c r="Q2922" s="68">
        <f>SUM(Devis[[#This Row],[Poste 1]:[Poste 6]])</f>
        <v>0</v>
      </c>
      <c r="R2922" s="71"/>
      <c r="S2922" s="68">
        <f>_xlfn.CEILING.MATH(Devis[[#This Row],[Quantité Totale]],Devis[[#This Row],[Conditionnement]])</f>
        <v>0</v>
      </c>
      <c r="T2922" s="72"/>
      <c r="U2922" s="73"/>
      <c r="V2922" s="74">
        <f>Devis[[#This Row],[Prix de Revient]]*Devis[[#This Row],[Poste 1]]</f>
        <v>0</v>
      </c>
      <c r="W2922" s="74">
        <f>Devis[[#This Row],[Prix de Revient]]*Devis[[#This Row],[Poste 2]]</f>
        <v>0</v>
      </c>
      <c r="X2922" s="74">
        <f>Devis[[#This Row],[Prix de Revient]]*Devis[[#This Row],[Poste 3]]</f>
        <v>0</v>
      </c>
      <c r="Y2922" s="74">
        <f>Devis[[#This Row],[Poste 4]]*Devis[[#This Row],[Prix de Revient]]</f>
        <v>0</v>
      </c>
      <c r="Z2922" s="74">
        <f>Devis[[#This Row],[Poste 5]]*Devis[[#This Row],[Prix de Revient]]</f>
        <v>0</v>
      </c>
      <c r="AA2922" s="74">
        <f>Devis[[#This Row],[Prix de Revient]]*Devis[[#This Row],[Poste 6]]</f>
        <v>0</v>
      </c>
      <c r="AB2922" s="74">
        <f>Devis[[#This Row],[Quantité Totale]]*Devis[[#This Row],[Prix de Revient]]</f>
        <v>0</v>
      </c>
    </row>
    <row r="2923" spans="1:28" ht="14.25" outlineLevel="1" x14ac:dyDescent="0.2">
      <c r="A2923" s="75" t="s">
        <v>2617</v>
      </c>
      <c r="B2923" s="76" t="s">
        <v>5501</v>
      </c>
      <c r="C2923" s="76" t="s">
        <v>5501</v>
      </c>
      <c r="D2923" s="81" t="str">
        <f t="shared" si="49"/>
        <v>RaccordsRI  té au centreRI  té au centre</v>
      </c>
      <c r="E2923" s="76" t="s">
        <v>2629</v>
      </c>
      <c r="F2923" s="76">
        <v>5</v>
      </c>
      <c r="G2923" s="71" t="s">
        <v>2777</v>
      </c>
      <c r="H2923" s="71"/>
      <c r="I2923" s="71"/>
      <c r="J2923" s="70">
        <f>IFERROR(VLOOKUP(Devis[[#This Row],[Ref Air Flux]],#REF!,3,FALSE),0)</f>
        <v>0</v>
      </c>
      <c r="K2923" s="68"/>
      <c r="L2923" s="68"/>
      <c r="M2923" s="68"/>
      <c r="N2923" s="68"/>
      <c r="O2923" s="68"/>
      <c r="P2923" s="68"/>
      <c r="Q2923" s="68">
        <f>SUM(Devis[[#This Row],[Poste 1]:[Poste 6]])</f>
        <v>0</v>
      </c>
      <c r="R2923" s="71"/>
      <c r="S2923" s="68">
        <f>_xlfn.CEILING.MATH(Devis[[#This Row],[Quantité Totale]],Devis[[#This Row],[Conditionnement]])</f>
        <v>0</v>
      </c>
      <c r="T2923" s="72"/>
      <c r="U2923" s="73"/>
      <c r="V2923" s="74">
        <f>Devis[[#This Row],[Prix de Revient]]*Devis[[#This Row],[Poste 1]]</f>
        <v>0</v>
      </c>
      <c r="W2923" s="74">
        <f>Devis[[#This Row],[Prix de Revient]]*Devis[[#This Row],[Poste 2]]</f>
        <v>0</v>
      </c>
      <c r="X2923" s="74">
        <f>Devis[[#This Row],[Prix de Revient]]*Devis[[#This Row],[Poste 3]]</f>
        <v>0</v>
      </c>
      <c r="Y2923" s="74">
        <f>Devis[[#This Row],[Poste 4]]*Devis[[#This Row],[Prix de Revient]]</f>
        <v>0</v>
      </c>
      <c r="Z2923" s="74">
        <f>Devis[[#This Row],[Poste 5]]*Devis[[#This Row],[Prix de Revient]]</f>
        <v>0</v>
      </c>
      <c r="AA2923" s="74">
        <f>Devis[[#This Row],[Prix de Revient]]*Devis[[#This Row],[Poste 6]]</f>
        <v>0</v>
      </c>
      <c r="AB2923" s="74">
        <f>Devis[[#This Row],[Quantité Totale]]*Devis[[#This Row],[Prix de Revient]]</f>
        <v>0</v>
      </c>
    </row>
    <row r="2924" spans="1:28" ht="14.25" customHeight="1" outlineLevel="1" x14ac:dyDescent="0.2">
      <c r="A2924" s="75" t="s">
        <v>2617</v>
      </c>
      <c r="B2924" s="76" t="s">
        <v>5501</v>
      </c>
      <c r="C2924" s="76" t="s">
        <v>5501</v>
      </c>
      <c r="D2924" s="81" t="str">
        <f t="shared" si="49"/>
        <v>RaccordsRI  té au centreRI  té au centre</v>
      </c>
      <c r="E2924" s="76" t="s">
        <v>2778</v>
      </c>
      <c r="F2924" s="76">
        <v>6</v>
      </c>
      <c r="G2924" s="71" t="s">
        <v>2779</v>
      </c>
      <c r="H2924" s="71"/>
      <c r="I2924" s="71"/>
      <c r="J2924" s="70">
        <f>IFERROR(VLOOKUP(Devis[[#This Row],[Ref Air Flux]],#REF!,3,FALSE),0)</f>
        <v>0</v>
      </c>
      <c r="K2924" s="68"/>
      <c r="L2924" s="68"/>
      <c r="M2924" s="68"/>
      <c r="N2924" s="68"/>
      <c r="O2924" s="68"/>
      <c r="P2924" s="68"/>
      <c r="Q2924" s="68">
        <f>SUM(Devis[[#This Row],[Poste 1]:[Poste 6]])</f>
        <v>0</v>
      </c>
      <c r="R2924" s="71"/>
      <c r="S2924" s="68">
        <f>_xlfn.CEILING.MATH(Devis[[#This Row],[Quantité Totale]],Devis[[#This Row],[Conditionnement]])</f>
        <v>0</v>
      </c>
      <c r="T2924" s="72"/>
      <c r="U2924" s="73"/>
      <c r="V2924" s="74">
        <f>Devis[[#This Row],[Prix de Revient]]*Devis[[#This Row],[Poste 1]]</f>
        <v>0</v>
      </c>
      <c r="W2924" s="74">
        <f>Devis[[#This Row],[Prix de Revient]]*Devis[[#This Row],[Poste 2]]</f>
        <v>0</v>
      </c>
      <c r="X2924" s="74">
        <f>Devis[[#This Row],[Prix de Revient]]*Devis[[#This Row],[Poste 3]]</f>
        <v>0</v>
      </c>
      <c r="Y2924" s="74">
        <f>Devis[[#This Row],[Poste 4]]*Devis[[#This Row],[Prix de Revient]]</f>
        <v>0</v>
      </c>
      <c r="Z2924" s="74">
        <f>Devis[[#This Row],[Poste 5]]*Devis[[#This Row],[Prix de Revient]]</f>
        <v>0</v>
      </c>
      <c r="AA2924" s="74">
        <f>Devis[[#This Row],[Prix de Revient]]*Devis[[#This Row],[Poste 6]]</f>
        <v>0</v>
      </c>
      <c r="AB2924" s="74">
        <f>Devis[[#This Row],[Quantité Totale]]*Devis[[#This Row],[Prix de Revient]]</f>
        <v>0</v>
      </c>
    </row>
    <row r="2925" spans="1:28" ht="14.25" customHeight="1" outlineLevel="1" x14ac:dyDescent="0.2">
      <c r="A2925" s="75" t="s">
        <v>2617</v>
      </c>
      <c r="B2925" s="76" t="s">
        <v>5501</v>
      </c>
      <c r="C2925" s="76" t="s">
        <v>5501</v>
      </c>
      <c r="D2925" s="81" t="str">
        <f t="shared" si="49"/>
        <v>RaccordsRI  té au centreRI  té au centre</v>
      </c>
      <c r="E2925" s="76" t="s">
        <v>2635</v>
      </c>
      <c r="F2925" s="76">
        <v>7</v>
      </c>
      <c r="G2925" s="71" t="s">
        <v>2780</v>
      </c>
      <c r="H2925" s="71"/>
      <c r="I2925" s="71"/>
      <c r="J2925" s="70">
        <f>IFERROR(VLOOKUP(Devis[[#This Row],[Ref Air Flux]],#REF!,3,FALSE),0)</f>
        <v>0</v>
      </c>
      <c r="K2925" s="68"/>
      <c r="L2925" s="68"/>
      <c r="M2925" s="68"/>
      <c r="N2925" s="68"/>
      <c r="O2925" s="68"/>
      <c r="P2925" s="68"/>
      <c r="Q2925" s="68">
        <f>SUM(Devis[[#This Row],[Poste 1]:[Poste 6]])</f>
        <v>0</v>
      </c>
      <c r="R2925" s="71"/>
      <c r="S2925" s="68">
        <f>_xlfn.CEILING.MATH(Devis[[#This Row],[Quantité Totale]],Devis[[#This Row],[Conditionnement]])</f>
        <v>0</v>
      </c>
      <c r="T2925" s="72"/>
      <c r="U2925" s="73"/>
      <c r="V2925" s="74">
        <f>Devis[[#This Row],[Prix de Revient]]*Devis[[#This Row],[Poste 1]]</f>
        <v>0</v>
      </c>
      <c r="W2925" s="74">
        <f>Devis[[#This Row],[Prix de Revient]]*Devis[[#This Row],[Poste 2]]</f>
        <v>0</v>
      </c>
      <c r="X2925" s="74">
        <f>Devis[[#This Row],[Prix de Revient]]*Devis[[#This Row],[Poste 3]]</f>
        <v>0</v>
      </c>
      <c r="Y2925" s="74">
        <f>Devis[[#This Row],[Poste 4]]*Devis[[#This Row],[Prix de Revient]]</f>
        <v>0</v>
      </c>
      <c r="Z2925" s="74">
        <f>Devis[[#This Row],[Poste 5]]*Devis[[#This Row],[Prix de Revient]]</f>
        <v>0</v>
      </c>
      <c r="AA2925" s="74">
        <f>Devis[[#This Row],[Prix de Revient]]*Devis[[#This Row],[Poste 6]]</f>
        <v>0</v>
      </c>
      <c r="AB2925" s="74">
        <f>Devis[[#This Row],[Quantité Totale]]*Devis[[#This Row],[Prix de Revient]]</f>
        <v>0</v>
      </c>
    </row>
    <row r="2926" spans="1:28" ht="14.25" outlineLevel="1" x14ac:dyDescent="0.2">
      <c r="A2926" s="75" t="s">
        <v>2617</v>
      </c>
      <c r="B2926" s="76" t="s">
        <v>5501</v>
      </c>
      <c r="C2926" s="76" t="s">
        <v>5501</v>
      </c>
      <c r="D2926" s="81" t="str">
        <f t="shared" si="49"/>
        <v>RaccordsRI  té au centreRI  té au centre</v>
      </c>
      <c r="E2926" s="76" t="s">
        <v>2637</v>
      </c>
      <c r="F2926" s="76">
        <v>8</v>
      </c>
      <c r="G2926" s="71" t="s">
        <v>2781</v>
      </c>
      <c r="H2926" s="71"/>
      <c r="I2926" s="71"/>
      <c r="J2926" s="70">
        <f>IFERROR(VLOOKUP(Devis[[#This Row],[Ref Air Flux]],#REF!,3,FALSE),0)</f>
        <v>0</v>
      </c>
      <c r="K2926" s="68"/>
      <c r="L2926" s="68"/>
      <c r="M2926" s="68"/>
      <c r="N2926" s="68"/>
      <c r="O2926" s="68"/>
      <c r="P2926" s="68"/>
      <c r="Q2926" s="68">
        <f>SUM(Devis[[#This Row],[Poste 1]:[Poste 6]])</f>
        <v>0</v>
      </c>
      <c r="R2926" s="71"/>
      <c r="S2926" s="68">
        <f>_xlfn.CEILING.MATH(Devis[[#This Row],[Quantité Totale]],Devis[[#This Row],[Conditionnement]])</f>
        <v>0</v>
      </c>
      <c r="T2926" s="72"/>
      <c r="U2926" s="73"/>
      <c r="V2926" s="74">
        <f>Devis[[#This Row],[Prix de Revient]]*Devis[[#This Row],[Poste 1]]</f>
        <v>0</v>
      </c>
      <c r="W2926" s="74">
        <f>Devis[[#This Row],[Prix de Revient]]*Devis[[#This Row],[Poste 2]]</f>
        <v>0</v>
      </c>
      <c r="X2926" s="74">
        <f>Devis[[#This Row],[Prix de Revient]]*Devis[[#This Row],[Poste 3]]</f>
        <v>0</v>
      </c>
      <c r="Y2926" s="74">
        <f>Devis[[#This Row],[Poste 4]]*Devis[[#This Row],[Prix de Revient]]</f>
        <v>0</v>
      </c>
      <c r="Z2926" s="74">
        <f>Devis[[#This Row],[Poste 5]]*Devis[[#This Row],[Prix de Revient]]</f>
        <v>0</v>
      </c>
      <c r="AA2926" s="74">
        <f>Devis[[#This Row],[Prix de Revient]]*Devis[[#This Row],[Poste 6]]</f>
        <v>0</v>
      </c>
      <c r="AB2926" s="74">
        <f>Devis[[#This Row],[Quantité Totale]]*Devis[[#This Row],[Prix de Revient]]</f>
        <v>0</v>
      </c>
    </row>
    <row r="2927" spans="1:28" ht="14.25" outlineLevel="1" x14ac:dyDescent="0.2">
      <c r="A2927" s="75" t="s">
        <v>2617</v>
      </c>
      <c r="B2927" s="76" t="s">
        <v>5501</v>
      </c>
      <c r="C2927" s="76" t="s">
        <v>5501</v>
      </c>
      <c r="D2927" s="81" t="str">
        <f t="shared" si="49"/>
        <v>RaccordsRI  té au centreRI  té au centre</v>
      </c>
      <c r="E2927" s="76" t="s">
        <v>2639</v>
      </c>
      <c r="F2927" s="76">
        <v>9</v>
      </c>
      <c r="G2927" s="71" t="s">
        <v>2782</v>
      </c>
      <c r="H2927" s="71"/>
      <c r="I2927" s="71"/>
      <c r="J2927" s="70">
        <f>IFERROR(VLOOKUP(Devis[[#This Row],[Ref Air Flux]],#REF!,3,FALSE),0)</f>
        <v>0</v>
      </c>
      <c r="K2927" s="68"/>
      <c r="L2927" s="68"/>
      <c r="M2927" s="68"/>
      <c r="N2927" s="68"/>
      <c r="O2927" s="68"/>
      <c r="P2927" s="68"/>
      <c r="Q2927" s="68">
        <f>SUM(Devis[[#This Row],[Poste 1]:[Poste 6]])</f>
        <v>0</v>
      </c>
      <c r="R2927" s="71"/>
      <c r="S2927" s="68">
        <f>_xlfn.CEILING.MATH(Devis[[#This Row],[Quantité Totale]],Devis[[#This Row],[Conditionnement]])</f>
        <v>0</v>
      </c>
      <c r="T2927" s="72"/>
      <c r="U2927" s="73"/>
      <c r="V2927" s="74">
        <f>Devis[[#This Row],[Prix de Revient]]*Devis[[#This Row],[Poste 1]]</f>
        <v>0</v>
      </c>
      <c r="W2927" s="74">
        <f>Devis[[#This Row],[Prix de Revient]]*Devis[[#This Row],[Poste 2]]</f>
        <v>0</v>
      </c>
      <c r="X2927" s="74">
        <f>Devis[[#This Row],[Prix de Revient]]*Devis[[#This Row],[Poste 3]]</f>
        <v>0</v>
      </c>
      <c r="Y2927" s="74">
        <f>Devis[[#This Row],[Poste 4]]*Devis[[#This Row],[Prix de Revient]]</f>
        <v>0</v>
      </c>
      <c r="Z2927" s="74">
        <f>Devis[[#This Row],[Poste 5]]*Devis[[#This Row],[Prix de Revient]]</f>
        <v>0</v>
      </c>
      <c r="AA2927" s="74">
        <f>Devis[[#This Row],[Prix de Revient]]*Devis[[#This Row],[Poste 6]]</f>
        <v>0</v>
      </c>
      <c r="AB2927" s="74">
        <f>Devis[[#This Row],[Quantité Totale]]*Devis[[#This Row],[Prix de Revient]]</f>
        <v>0</v>
      </c>
    </row>
    <row r="2928" spans="1:28" ht="14.25" customHeight="1" x14ac:dyDescent="0.25">
      <c r="A2928" s="65" t="s">
        <v>2617</v>
      </c>
      <c r="B2928" s="65" t="s">
        <v>5502</v>
      </c>
      <c r="C2928" s="113" t="s">
        <v>5502</v>
      </c>
      <c r="D2928" s="81" t="str">
        <f t="shared" ref="D2928:D2947" si="50">A2928&amp;B2928&amp;C2928</f>
        <v>RaccordsRI  té egalRI  té egal</v>
      </c>
      <c r="E2928" s="76"/>
      <c r="F2928" s="76">
        <v>0</v>
      </c>
      <c r="G2928" s="71"/>
      <c r="H2928" s="71"/>
      <c r="I2928" s="71"/>
      <c r="J2928" s="70">
        <f>IFERROR(VLOOKUP(Devis[[#This Row],[Ref Air Flux]],#REF!,3,FALSE),0)</f>
        <v>0</v>
      </c>
      <c r="K2928" s="68"/>
      <c r="L2928" s="68"/>
      <c r="M2928" s="68"/>
      <c r="N2928" s="68"/>
      <c r="O2928" s="68"/>
      <c r="P2928" s="68"/>
      <c r="Q2928" s="68">
        <f>SUM(Devis[[#This Row],[Poste 1]:[Poste 6]])</f>
        <v>0</v>
      </c>
      <c r="R2928" s="71"/>
      <c r="S2928" s="68">
        <f>_xlfn.CEILING.MATH(Devis[[#This Row],[Quantité Totale]],Devis[[#This Row],[Conditionnement]])</f>
        <v>0</v>
      </c>
      <c r="T2928" s="72"/>
      <c r="U2928" s="73"/>
      <c r="V2928" s="74">
        <f>Devis[[#This Row],[Prix de Revient]]*Devis[[#This Row],[Poste 1]]</f>
        <v>0</v>
      </c>
      <c r="W2928" s="74">
        <f>Devis[[#This Row],[Prix de Revient]]*Devis[[#This Row],[Poste 2]]</f>
        <v>0</v>
      </c>
      <c r="X2928" s="74">
        <f>Devis[[#This Row],[Prix de Revient]]*Devis[[#This Row],[Poste 3]]</f>
        <v>0</v>
      </c>
      <c r="Y2928" s="74">
        <f>Devis[[#This Row],[Poste 4]]*Devis[[#This Row],[Prix de Revient]]</f>
        <v>0</v>
      </c>
      <c r="Z2928" s="74">
        <f>Devis[[#This Row],[Poste 5]]*Devis[[#This Row],[Prix de Revient]]</f>
        <v>0</v>
      </c>
      <c r="AA2928" s="74">
        <f>Devis[[#This Row],[Prix de Revient]]*Devis[[#This Row],[Poste 6]]</f>
        <v>0</v>
      </c>
      <c r="AB2928" s="74">
        <f>Devis[[#This Row],[Quantité Totale]]*Devis[[#This Row],[Prix de Revient]]</f>
        <v>0</v>
      </c>
    </row>
    <row r="2929" spans="1:28" ht="14.25" outlineLevel="1" x14ac:dyDescent="0.2">
      <c r="A2929" s="75" t="s">
        <v>2617</v>
      </c>
      <c r="B2929" s="76" t="s">
        <v>5502</v>
      </c>
      <c r="C2929" s="76" t="s">
        <v>5502</v>
      </c>
      <c r="D2929" s="81" t="str">
        <f t="shared" si="50"/>
        <v>RaccordsRI  té egalRI  té egal</v>
      </c>
      <c r="E2929" s="76">
        <v>4</v>
      </c>
      <c r="F2929" s="76">
        <v>1</v>
      </c>
      <c r="G2929" s="71" t="s">
        <v>2783</v>
      </c>
      <c r="H2929" s="71"/>
      <c r="I2929" s="71"/>
      <c r="J2929" s="70">
        <f>IFERROR(VLOOKUP(Devis[[#This Row],[Ref Air Flux]],#REF!,3,FALSE),0)</f>
        <v>0</v>
      </c>
      <c r="K2929" s="68"/>
      <c r="L2929" s="68"/>
      <c r="M2929" s="68"/>
      <c r="N2929" s="68"/>
      <c r="O2929" s="68"/>
      <c r="P2929" s="68"/>
      <c r="Q2929" s="68">
        <f>SUM(Devis[[#This Row],[Poste 1]:[Poste 6]])</f>
        <v>0</v>
      </c>
      <c r="R2929" s="71"/>
      <c r="S2929" s="68">
        <f>_xlfn.CEILING.MATH(Devis[[#This Row],[Quantité Totale]],Devis[[#This Row],[Conditionnement]])</f>
        <v>0</v>
      </c>
      <c r="T2929" s="72"/>
      <c r="U2929" s="73"/>
      <c r="V2929" s="74">
        <f>Devis[[#This Row],[Prix de Revient]]*Devis[[#This Row],[Poste 1]]</f>
        <v>0</v>
      </c>
      <c r="W2929" s="74">
        <f>Devis[[#This Row],[Prix de Revient]]*Devis[[#This Row],[Poste 2]]</f>
        <v>0</v>
      </c>
      <c r="X2929" s="74">
        <f>Devis[[#This Row],[Prix de Revient]]*Devis[[#This Row],[Poste 3]]</f>
        <v>0</v>
      </c>
      <c r="Y2929" s="74">
        <f>Devis[[#This Row],[Poste 4]]*Devis[[#This Row],[Prix de Revient]]</f>
        <v>0</v>
      </c>
      <c r="Z2929" s="74">
        <f>Devis[[#This Row],[Poste 5]]*Devis[[#This Row],[Prix de Revient]]</f>
        <v>0</v>
      </c>
      <c r="AA2929" s="74">
        <f>Devis[[#This Row],[Prix de Revient]]*Devis[[#This Row],[Poste 6]]</f>
        <v>0</v>
      </c>
      <c r="AB2929" s="74">
        <f>Devis[[#This Row],[Quantité Totale]]*Devis[[#This Row],[Prix de Revient]]</f>
        <v>0</v>
      </c>
    </row>
    <row r="2930" spans="1:28" ht="14.25" outlineLevel="1" x14ac:dyDescent="0.2">
      <c r="A2930" s="75" t="s">
        <v>2617</v>
      </c>
      <c r="B2930" s="76" t="s">
        <v>5502</v>
      </c>
      <c r="C2930" s="76" t="s">
        <v>5502</v>
      </c>
      <c r="D2930" s="81" t="str">
        <f t="shared" si="50"/>
        <v>RaccordsRI  té egalRI  té egal</v>
      </c>
      <c r="E2930" s="76">
        <v>6</v>
      </c>
      <c r="F2930" s="76">
        <v>2</v>
      </c>
      <c r="G2930" s="71" t="s">
        <v>2784</v>
      </c>
      <c r="H2930" s="71"/>
      <c r="I2930" s="71"/>
      <c r="J2930" s="70">
        <f>IFERROR(VLOOKUP(Devis[[#This Row],[Ref Air Flux]],#REF!,3,FALSE),0)</f>
        <v>0</v>
      </c>
      <c r="K2930" s="68"/>
      <c r="L2930" s="68"/>
      <c r="M2930" s="68"/>
      <c r="N2930" s="68"/>
      <c r="O2930" s="68"/>
      <c r="P2930" s="68"/>
      <c r="Q2930" s="68">
        <f>SUM(Devis[[#This Row],[Poste 1]:[Poste 6]])</f>
        <v>0</v>
      </c>
      <c r="R2930" s="71"/>
      <c r="S2930" s="68">
        <f>_xlfn.CEILING.MATH(Devis[[#This Row],[Quantité Totale]],Devis[[#This Row],[Conditionnement]])</f>
        <v>0</v>
      </c>
      <c r="T2930" s="72"/>
      <c r="U2930" s="73"/>
      <c r="V2930" s="74">
        <f>Devis[[#This Row],[Prix de Revient]]*Devis[[#This Row],[Poste 1]]</f>
        <v>0</v>
      </c>
      <c r="W2930" s="74">
        <f>Devis[[#This Row],[Prix de Revient]]*Devis[[#This Row],[Poste 2]]</f>
        <v>0</v>
      </c>
      <c r="X2930" s="74">
        <f>Devis[[#This Row],[Prix de Revient]]*Devis[[#This Row],[Poste 3]]</f>
        <v>0</v>
      </c>
      <c r="Y2930" s="74">
        <f>Devis[[#This Row],[Poste 4]]*Devis[[#This Row],[Prix de Revient]]</f>
        <v>0</v>
      </c>
      <c r="Z2930" s="74">
        <f>Devis[[#This Row],[Poste 5]]*Devis[[#This Row],[Prix de Revient]]</f>
        <v>0</v>
      </c>
      <c r="AA2930" s="74">
        <f>Devis[[#This Row],[Prix de Revient]]*Devis[[#This Row],[Poste 6]]</f>
        <v>0</v>
      </c>
      <c r="AB2930" s="74">
        <f>Devis[[#This Row],[Quantité Totale]]*Devis[[#This Row],[Prix de Revient]]</f>
        <v>0</v>
      </c>
    </row>
    <row r="2931" spans="1:28" ht="14.25" outlineLevel="1" x14ac:dyDescent="0.2">
      <c r="A2931" s="75" t="s">
        <v>2617</v>
      </c>
      <c r="B2931" s="76" t="s">
        <v>5502</v>
      </c>
      <c r="C2931" s="76" t="s">
        <v>5502</v>
      </c>
      <c r="D2931" s="81" t="str">
        <f t="shared" si="50"/>
        <v>RaccordsRI  té egalRI  té egal</v>
      </c>
      <c r="E2931" s="76">
        <v>8</v>
      </c>
      <c r="F2931" s="76">
        <v>3</v>
      </c>
      <c r="G2931" s="71" t="s">
        <v>2785</v>
      </c>
      <c r="H2931" s="71"/>
      <c r="I2931" s="71"/>
      <c r="J2931" s="70">
        <f>IFERROR(VLOOKUP(Devis[[#This Row],[Ref Air Flux]],#REF!,3,FALSE),0)</f>
        <v>0</v>
      </c>
      <c r="K2931" s="68"/>
      <c r="L2931" s="68"/>
      <c r="M2931" s="68"/>
      <c r="N2931" s="68"/>
      <c r="O2931" s="68"/>
      <c r="P2931" s="68"/>
      <c r="Q2931" s="68">
        <f>SUM(Devis[[#This Row],[Poste 1]:[Poste 6]])</f>
        <v>0</v>
      </c>
      <c r="R2931" s="71"/>
      <c r="S2931" s="68">
        <f>_xlfn.CEILING.MATH(Devis[[#This Row],[Quantité Totale]],Devis[[#This Row],[Conditionnement]])</f>
        <v>0</v>
      </c>
      <c r="T2931" s="72"/>
      <c r="U2931" s="73"/>
      <c r="V2931" s="74">
        <f>Devis[[#This Row],[Prix de Revient]]*Devis[[#This Row],[Poste 1]]</f>
        <v>0</v>
      </c>
      <c r="W2931" s="74">
        <f>Devis[[#This Row],[Prix de Revient]]*Devis[[#This Row],[Poste 2]]</f>
        <v>0</v>
      </c>
      <c r="X2931" s="74">
        <f>Devis[[#This Row],[Prix de Revient]]*Devis[[#This Row],[Poste 3]]</f>
        <v>0</v>
      </c>
      <c r="Y2931" s="74">
        <f>Devis[[#This Row],[Poste 4]]*Devis[[#This Row],[Prix de Revient]]</f>
        <v>0</v>
      </c>
      <c r="Z2931" s="74">
        <f>Devis[[#This Row],[Poste 5]]*Devis[[#This Row],[Prix de Revient]]</f>
        <v>0</v>
      </c>
      <c r="AA2931" s="74">
        <f>Devis[[#This Row],[Prix de Revient]]*Devis[[#This Row],[Poste 6]]</f>
        <v>0</v>
      </c>
      <c r="AB2931" s="74">
        <f>Devis[[#This Row],[Quantité Totale]]*Devis[[#This Row],[Prix de Revient]]</f>
        <v>0</v>
      </c>
    </row>
    <row r="2932" spans="1:28" ht="14.25" customHeight="1" outlineLevel="1" x14ac:dyDescent="0.2">
      <c r="A2932" s="75" t="s">
        <v>2617</v>
      </c>
      <c r="B2932" s="76" t="s">
        <v>5502</v>
      </c>
      <c r="C2932" s="76" t="s">
        <v>5502</v>
      </c>
      <c r="D2932" s="81" t="str">
        <f t="shared" si="50"/>
        <v>RaccordsRI  té egalRI  té egal</v>
      </c>
      <c r="E2932" s="76">
        <v>10</v>
      </c>
      <c r="F2932" s="76">
        <v>4</v>
      </c>
      <c r="G2932" s="71" t="s">
        <v>2786</v>
      </c>
      <c r="H2932" s="71"/>
      <c r="I2932" s="71"/>
      <c r="J2932" s="70">
        <f>IFERROR(VLOOKUP(Devis[[#This Row],[Ref Air Flux]],#REF!,3,FALSE),0)</f>
        <v>0</v>
      </c>
      <c r="K2932" s="68"/>
      <c r="L2932" s="68"/>
      <c r="M2932" s="68"/>
      <c r="N2932" s="68"/>
      <c r="O2932" s="68"/>
      <c r="P2932" s="68"/>
      <c r="Q2932" s="68">
        <f>SUM(Devis[[#This Row],[Poste 1]:[Poste 6]])</f>
        <v>0</v>
      </c>
      <c r="R2932" s="71"/>
      <c r="S2932" s="68">
        <f>_xlfn.CEILING.MATH(Devis[[#This Row],[Quantité Totale]],Devis[[#This Row],[Conditionnement]])</f>
        <v>0</v>
      </c>
      <c r="T2932" s="72"/>
      <c r="U2932" s="73"/>
      <c r="V2932" s="74">
        <f>Devis[[#This Row],[Prix de Revient]]*Devis[[#This Row],[Poste 1]]</f>
        <v>0</v>
      </c>
      <c r="W2932" s="74">
        <f>Devis[[#This Row],[Prix de Revient]]*Devis[[#This Row],[Poste 2]]</f>
        <v>0</v>
      </c>
      <c r="X2932" s="74">
        <f>Devis[[#This Row],[Prix de Revient]]*Devis[[#This Row],[Poste 3]]</f>
        <v>0</v>
      </c>
      <c r="Y2932" s="74">
        <f>Devis[[#This Row],[Poste 4]]*Devis[[#This Row],[Prix de Revient]]</f>
        <v>0</v>
      </c>
      <c r="Z2932" s="74">
        <f>Devis[[#This Row],[Poste 5]]*Devis[[#This Row],[Prix de Revient]]</f>
        <v>0</v>
      </c>
      <c r="AA2932" s="74">
        <f>Devis[[#This Row],[Prix de Revient]]*Devis[[#This Row],[Poste 6]]</f>
        <v>0</v>
      </c>
      <c r="AB2932" s="74">
        <f>Devis[[#This Row],[Quantité Totale]]*Devis[[#This Row],[Prix de Revient]]</f>
        <v>0</v>
      </c>
    </row>
    <row r="2933" spans="1:28" ht="14.25" outlineLevel="1" x14ac:dyDescent="0.2">
      <c r="A2933" s="75" t="s">
        <v>2617</v>
      </c>
      <c r="B2933" s="76" t="s">
        <v>5502</v>
      </c>
      <c r="C2933" s="76" t="s">
        <v>5502</v>
      </c>
      <c r="D2933" s="81" t="str">
        <f t="shared" si="50"/>
        <v>RaccordsRI  té egalRI  té egal</v>
      </c>
      <c r="E2933" s="76">
        <v>12</v>
      </c>
      <c r="F2933" s="76">
        <v>5</v>
      </c>
      <c r="G2933" s="71" t="s">
        <v>2787</v>
      </c>
      <c r="H2933" s="71"/>
      <c r="I2933" s="71"/>
      <c r="J2933" s="70">
        <f>IFERROR(VLOOKUP(Devis[[#This Row],[Ref Air Flux]],#REF!,3,FALSE),0)</f>
        <v>0</v>
      </c>
      <c r="K2933" s="68"/>
      <c r="L2933" s="68"/>
      <c r="M2933" s="68"/>
      <c r="N2933" s="68"/>
      <c r="O2933" s="68"/>
      <c r="P2933" s="68"/>
      <c r="Q2933" s="68">
        <f>SUM(Devis[[#This Row],[Poste 1]:[Poste 6]])</f>
        <v>0</v>
      </c>
      <c r="R2933" s="71"/>
      <c r="S2933" s="68">
        <f>_xlfn.CEILING.MATH(Devis[[#This Row],[Quantité Totale]],Devis[[#This Row],[Conditionnement]])</f>
        <v>0</v>
      </c>
      <c r="T2933" s="72"/>
      <c r="U2933" s="73"/>
      <c r="V2933" s="74">
        <f>Devis[[#This Row],[Prix de Revient]]*Devis[[#This Row],[Poste 1]]</f>
        <v>0</v>
      </c>
      <c r="W2933" s="74">
        <f>Devis[[#This Row],[Prix de Revient]]*Devis[[#This Row],[Poste 2]]</f>
        <v>0</v>
      </c>
      <c r="X2933" s="74">
        <f>Devis[[#This Row],[Prix de Revient]]*Devis[[#This Row],[Poste 3]]</f>
        <v>0</v>
      </c>
      <c r="Y2933" s="74">
        <f>Devis[[#This Row],[Poste 4]]*Devis[[#This Row],[Prix de Revient]]</f>
        <v>0</v>
      </c>
      <c r="Z2933" s="74">
        <f>Devis[[#This Row],[Poste 5]]*Devis[[#This Row],[Prix de Revient]]</f>
        <v>0</v>
      </c>
      <c r="AA2933" s="74">
        <f>Devis[[#This Row],[Prix de Revient]]*Devis[[#This Row],[Poste 6]]</f>
        <v>0</v>
      </c>
      <c r="AB2933" s="74">
        <f>Devis[[#This Row],[Quantité Totale]]*Devis[[#This Row],[Prix de Revient]]</f>
        <v>0</v>
      </c>
    </row>
    <row r="2934" spans="1:28" ht="14.25" customHeight="1" x14ac:dyDescent="0.25">
      <c r="A2934" s="65" t="s">
        <v>2617</v>
      </c>
      <c r="B2934" s="65" t="s">
        <v>5503</v>
      </c>
      <c r="C2934" s="113" t="s">
        <v>5503</v>
      </c>
      <c r="D2934" s="81" t="str">
        <f t="shared" si="50"/>
        <v>RaccordsRI doubleRI double</v>
      </c>
      <c r="E2934" s="76"/>
      <c r="F2934" s="76">
        <v>0</v>
      </c>
      <c r="G2934" s="71"/>
      <c r="H2934" s="71"/>
      <c r="I2934" s="71"/>
      <c r="J2934" s="70">
        <f>IFERROR(VLOOKUP(Devis[[#This Row],[Ref Air Flux]],#REF!,3,FALSE),0)</f>
        <v>0</v>
      </c>
      <c r="K2934" s="68"/>
      <c r="L2934" s="68"/>
      <c r="M2934" s="68"/>
      <c r="N2934" s="68"/>
      <c r="O2934" s="68"/>
      <c r="P2934" s="68"/>
      <c r="Q2934" s="68">
        <f>SUM(Devis[[#This Row],[Poste 1]:[Poste 6]])</f>
        <v>0</v>
      </c>
      <c r="R2934" s="71"/>
      <c r="S2934" s="68">
        <f>_xlfn.CEILING.MATH(Devis[[#This Row],[Quantité Totale]],Devis[[#This Row],[Conditionnement]])</f>
        <v>0</v>
      </c>
      <c r="T2934" s="72"/>
      <c r="U2934" s="73"/>
      <c r="V2934" s="74">
        <f>Devis[[#This Row],[Prix de Revient]]*Devis[[#This Row],[Poste 1]]</f>
        <v>0</v>
      </c>
      <c r="W2934" s="74">
        <f>Devis[[#This Row],[Prix de Revient]]*Devis[[#This Row],[Poste 2]]</f>
        <v>0</v>
      </c>
      <c r="X2934" s="74">
        <f>Devis[[#This Row],[Prix de Revient]]*Devis[[#This Row],[Poste 3]]</f>
        <v>0</v>
      </c>
      <c r="Y2934" s="74">
        <f>Devis[[#This Row],[Poste 4]]*Devis[[#This Row],[Prix de Revient]]</f>
        <v>0</v>
      </c>
      <c r="Z2934" s="74">
        <f>Devis[[#This Row],[Poste 5]]*Devis[[#This Row],[Prix de Revient]]</f>
        <v>0</v>
      </c>
      <c r="AA2934" s="74">
        <f>Devis[[#This Row],[Prix de Revient]]*Devis[[#This Row],[Poste 6]]</f>
        <v>0</v>
      </c>
      <c r="AB2934" s="74">
        <f>Devis[[#This Row],[Quantité Totale]]*Devis[[#This Row],[Prix de Revient]]</f>
        <v>0</v>
      </c>
    </row>
    <row r="2935" spans="1:28" ht="14.25" customHeight="1" outlineLevel="1" x14ac:dyDescent="0.2">
      <c r="A2935" s="75" t="s">
        <v>2617</v>
      </c>
      <c r="B2935" s="76" t="s">
        <v>5503</v>
      </c>
      <c r="C2935" s="76" t="s">
        <v>5503</v>
      </c>
      <c r="D2935" s="81" t="str">
        <f t="shared" si="50"/>
        <v>RaccordsRI doubleRI double</v>
      </c>
      <c r="E2935" s="76">
        <v>4</v>
      </c>
      <c r="F2935" s="76">
        <v>1</v>
      </c>
      <c r="G2935" s="71" t="s">
        <v>2788</v>
      </c>
      <c r="H2935" s="71"/>
      <c r="I2935" s="71"/>
      <c r="J2935" s="70">
        <f>IFERROR(VLOOKUP(Devis[[#This Row],[Ref Air Flux]],#REF!,3,FALSE),0)</f>
        <v>0</v>
      </c>
      <c r="K2935" s="68"/>
      <c r="L2935" s="68"/>
      <c r="M2935" s="68"/>
      <c r="N2935" s="68"/>
      <c r="O2935" s="68"/>
      <c r="P2935" s="68"/>
      <c r="Q2935" s="68">
        <f>SUM(Devis[[#This Row],[Poste 1]:[Poste 6]])</f>
        <v>0</v>
      </c>
      <c r="R2935" s="71"/>
      <c r="S2935" s="68">
        <f>_xlfn.CEILING.MATH(Devis[[#This Row],[Quantité Totale]],Devis[[#This Row],[Conditionnement]])</f>
        <v>0</v>
      </c>
      <c r="T2935" s="72"/>
      <c r="U2935" s="73"/>
      <c r="V2935" s="74">
        <f>Devis[[#This Row],[Prix de Revient]]*Devis[[#This Row],[Poste 1]]</f>
        <v>0</v>
      </c>
      <c r="W2935" s="74">
        <f>Devis[[#This Row],[Prix de Revient]]*Devis[[#This Row],[Poste 2]]</f>
        <v>0</v>
      </c>
      <c r="X2935" s="74">
        <f>Devis[[#This Row],[Prix de Revient]]*Devis[[#This Row],[Poste 3]]</f>
        <v>0</v>
      </c>
      <c r="Y2935" s="74">
        <f>Devis[[#This Row],[Poste 4]]*Devis[[#This Row],[Prix de Revient]]</f>
        <v>0</v>
      </c>
      <c r="Z2935" s="74">
        <f>Devis[[#This Row],[Poste 5]]*Devis[[#This Row],[Prix de Revient]]</f>
        <v>0</v>
      </c>
      <c r="AA2935" s="74">
        <f>Devis[[#This Row],[Prix de Revient]]*Devis[[#This Row],[Poste 6]]</f>
        <v>0</v>
      </c>
      <c r="AB2935" s="74">
        <f>Devis[[#This Row],[Quantité Totale]]*Devis[[#This Row],[Prix de Revient]]</f>
        <v>0</v>
      </c>
    </row>
    <row r="2936" spans="1:28" ht="14.25" customHeight="1" outlineLevel="1" x14ac:dyDescent="0.2">
      <c r="A2936" s="75" t="s">
        <v>2617</v>
      </c>
      <c r="B2936" s="76" t="s">
        <v>5503</v>
      </c>
      <c r="C2936" s="76" t="s">
        <v>5503</v>
      </c>
      <c r="D2936" s="81" t="str">
        <f t="shared" si="50"/>
        <v>RaccordsRI doubleRI double</v>
      </c>
      <c r="E2936" s="76">
        <v>6</v>
      </c>
      <c r="F2936" s="76">
        <v>2</v>
      </c>
      <c r="G2936" s="71" t="s">
        <v>2789</v>
      </c>
      <c r="H2936" s="71"/>
      <c r="I2936" s="71"/>
      <c r="J2936" s="70">
        <f>IFERROR(VLOOKUP(Devis[[#This Row],[Ref Air Flux]],#REF!,3,FALSE),0)</f>
        <v>0</v>
      </c>
      <c r="K2936" s="68"/>
      <c r="L2936" s="68"/>
      <c r="M2936" s="68"/>
      <c r="N2936" s="68"/>
      <c r="O2936" s="68"/>
      <c r="P2936" s="68"/>
      <c r="Q2936" s="68">
        <f>SUM(Devis[[#This Row],[Poste 1]:[Poste 6]])</f>
        <v>0</v>
      </c>
      <c r="R2936" s="71"/>
      <c r="S2936" s="68">
        <f>_xlfn.CEILING.MATH(Devis[[#This Row],[Quantité Totale]],Devis[[#This Row],[Conditionnement]])</f>
        <v>0</v>
      </c>
      <c r="T2936" s="72"/>
      <c r="U2936" s="73"/>
      <c r="V2936" s="74">
        <f>Devis[[#This Row],[Prix de Revient]]*Devis[[#This Row],[Poste 1]]</f>
        <v>0</v>
      </c>
      <c r="W2936" s="74">
        <f>Devis[[#This Row],[Prix de Revient]]*Devis[[#This Row],[Poste 2]]</f>
        <v>0</v>
      </c>
      <c r="X2936" s="74">
        <f>Devis[[#This Row],[Prix de Revient]]*Devis[[#This Row],[Poste 3]]</f>
        <v>0</v>
      </c>
      <c r="Y2936" s="74">
        <f>Devis[[#This Row],[Poste 4]]*Devis[[#This Row],[Prix de Revient]]</f>
        <v>0</v>
      </c>
      <c r="Z2936" s="74">
        <f>Devis[[#This Row],[Poste 5]]*Devis[[#This Row],[Prix de Revient]]</f>
        <v>0</v>
      </c>
      <c r="AA2936" s="74">
        <f>Devis[[#This Row],[Prix de Revient]]*Devis[[#This Row],[Poste 6]]</f>
        <v>0</v>
      </c>
      <c r="AB2936" s="74">
        <f>Devis[[#This Row],[Quantité Totale]]*Devis[[#This Row],[Prix de Revient]]</f>
        <v>0</v>
      </c>
    </row>
    <row r="2937" spans="1:28" ht="15" customHeight="1" outlineLevel="1" x14ac:dyDescent="0.2">
      <c r="A2937" s="75" t="s">
        <v>2617</v>
      </c>
      <c r="B2937" s="76" t="s">
        <v>5503</v>
      </c>
      <c r="C2937" s="76" t="s">
        <v>5503</v>
      </c>
      <c r="D2937" s="81" t="str">
        <f t="shared" si="50"/>
        <v>RaccordsRI doubleRI double</v>
      </c>
      <c r="E2937" s="76">
        <v>8</v>
      </c>
      <c r="F2937" s="76">
        <v>3</v>
      </c>
      <c r="G2937" s="71" t="s">
        <v>2790</v>
      </c>
      <c r="H2937" s="71"/>
      <c r="I2937" s="71"/>
      <c r="J2937" s="70">
        <f>IFERROR(VLOOKUP(Devis[[#This Row],[Ref Air Flux]],#REF!,3,FALSE),0)</f>
        <v>0</v>
      </c>
      <c r="K2937" s="68"/>
      <c r="L2937" s="68"/>
      <c r="M2937" s="68"/>
      <c r="N2937" s="68"/>
      <c r="O2937" s="68"/>
      <c r="P2937" s="68"/>
      <c r="Q2937" s="68">
        <f>SUM(Devis[[#This Row],[Poste 1]:[Poste 6]])</f>
        <v>0</v>
      </c>
      <c r="R2937" s="71"/>
      <c r="S2937" s="68">
        <f>_xlfn.CEILING.MATH(Devis[[#This Row],[Quantité Totale]],Devis[[#This Row],[Conditionnement]])</f>
        <v>0</v>
      </c>
      <c r="T2937" s="72"/>
      <c r="U2937" s="73"/>
      <c r="V2937" s="74">
        <f>Devis[[#This Row],[Prix de Revient]]*Devis[[#This Row],[Poste 1]]</f>
        <v>0</v>
      </c>
      <c r="W2937" s="74">
        <f>Devis[[#This Row],[Prix de Revient]]*Devis[[#This Row],[Poste 2]]</f>
        <v>0</v>
      </c>
      <c r="X2937" s="74">
        <f>Devis[[#This Row],[Prix de Revient]]*Devis[[#This Row],[Poste 3]]</f>
        <v>0</v>
      </c>
      <c r="Y2937" s="74">
        <f>Devis[[#This Row],[Poste 4]]*Devis[[#This Row],[Prix de Revient]]</f>
        <v>0</v>
      </c>
      <c r="Z2937" s="74">
        <f>Devis[[#This Row],[Poste 5]]*Devis[[#This Row],[Prix de Revient]]</f>
        <v>0</v>
      </c>
      <c r="AA2937" s="74">
        <f>Devis[[#This Row],[Prix de Revient]]*Devis[[#This Row],[Poste 6]]</f>
        <v>0</v>
      </c>
      <c r="AB2937" s="74">
        <f>Devis[[#This Row],[Quantité Totale]]*Devis[[#This Row],[Prix de Revient]]</f>
        <v>0</v>
      </c>
    </row>
    <row r="2938" spans="1:28" ht="14.25" outlineLevel="1" x14ac:dyDescent="0.2">
      <c r="A2938" s="75" t="s">
        <v>2617</v>
      </c>
      <c r="B2938" s="76" t="s">
        <v>5503</v>
      </c>
      <c r="C2938" s="76" t="s">
        <v>5503</v>
      </c>
      <c r="D2938" s="81" t="str">
        <f t="shared" si="50"/>
        <v>RaccordsRI doubleRI double</v>
      </c>
      <c r="E2938" s="76">
        <v>10</v>
      </c>
      <c r="F2938" s="76">
        <v>4</v>
      </c>
      <c r="G2938" s="71" t="s">
        <v>2791</v>
      </c>
      <c r="H2938" s="71"/>
      <c r="I2938" s="71"/>
      <c r="J2938" s="70">
        <f>IFERROR(VLOOKUP(Devis[[#This Row],[Ref Air Flux]],#REF!,3,FALSE),0)</f>
        <v>0</v>
      </c>
      <c r="K2938" s="68"/>
      <c r="L2938" s="68"/>
      <c r="M2938" s="68"/>
      <c r="N2938" s="68"/>
      <c r="O2938" s="68"/>
      <c r="P2938" s="68"/>
      <c r="Q2938" s="68">
        <f>SUM(Devis[[#This Row],[Poste 1]:[Poste 6]])</f>
        <v>0</v>
      </c>
      <c r="R2938" s="71"/>
      <c r="S2938" s="68">
        <f>_xlfn.CEILING.MATH(Devis[[#This Row],[Quantité Totale]],Devis[[#This Row],[Conditionnement]])</f>
        <v>0</v>
      </c>
      <c r="T2938" s="72"/>
      <c r="U2938" s="73"/>
      <c r="V2938" s="74">
        <f>Devis[[#This Row],[Prix de Revient]]*Devis[[#This Row],[Poste 1]]</f>
        <v>0</v>
      </c>
      <c r="W2938" s="74">
        <f>Devis[[#This Row],[Prix de Revient]]*Devis[[#This Row],[Poste 2]]</f>
        <v>0</v>
      </c>
      <c r="X2938" s="74">
        <f>Devis[[#This Row],[Prix de Revient]]*Devis[[#This Row],[Poste 3]]</f>
        <v>0</v>
      </c>
      <c r="Y2938" s="74">
        <f>Devis[[#This Row],[Poste 4]]*Devis[[#This Row],[Prix de Revient]]</f>
        <v>0</v>
      </c>
      <c r="Z2938" s="74">
        <f>Devis[[#This Row],[Poste 5]]*Devis[[#This Row],[Prix de Revient]]</f>
        <v>0</v>
      </c>
      <c r="AA2938" s="74">
        <f>Devis[[#This Row],[Prix de Revient]]*Devis[[#This Row],[Poste 6]]</f>
        <v>0</v>
      </c>
      <c r="AB2938" s="74">
        <f>Devis[[#This Row],[Quantité Totale]]*Devis[[#This Row],[Prix de Revient]]</f>
        <v>0</v>
      </c>
    </row>
    <row r="2939" spans="1:28" ht="14.25" outlineLevel="1" x14ac:dyDescent="0.2">
      <c r="A2939" s="75" t="s">
        <v>2617</v>
      </c>
      <c r="B2939" s="76" t="s">
        <v>5503</v>
      </c>
      <c r="C2939" s="76" t="s">
        <v>5503</v>
      </c>
      <c r="D2939" s="81" t="str">
        <f t="shared" si="50"/>
        <v>RaccordsRI doubleRI double</v>
      </c>
      <c r="E2939" s="76">
        <v>12</v>
      </c>
      <c r="F2939" s="76">
        <v>5</v>
      </c>
      <c r="G2939" s="71" t="s">
        <v>2792</v>
      </c>
      <c r="H2939" s="71"/>
      <c r="I2939" s="71"/>
      <c r="J2939" s="70">
        <f>IFERROR(VLOOKUP(Devis[[#This Row],[Ref Air Flux]],#REF!,3,FALSE),0)</f>
        <v>0</v>
      </c>
      <c r="K2939" s="68"/>
      <c r="L2939" s="68"/>
      <c r="M2939" s="68"/>
      <c r="N2939" s="68"/>
      <c r="O2939" s="68"/>
      <c r="P2939" s="68"/>
      <c r="Q2939" s="68">
        <f>SUM(Devis[[#This Row],[Poste 1]:[Poste 6]])</f>
        <v>0</v>
      </c>
      <c r="R2939" s="71"/>
      <c r="S2939" s="68">
        <f>_xlfn.CEILING.MATH(Devis[[#This Row],[Quantité Totale]],Devis[[#This Row],[Conditionnement]])</f>
        <v>0</v>
      </c>
      <c r="T2939" s="72"/>
      <c r="U2939" s="73"/>
      <c r="V2939" s="74">
        <f>Devis[[#This Row],[Prix de Revient]]*Devis[[#This Row],[Poste 1]]</f>
        <v>0</v>
      </c>
      <c r="W2939" s="74">
        <f>Devis[[#This Row],[Prix de Revient]]*Devis[[#This Row],[Poste 2]]</f>
        <v>0</v>
      </c>
      <c r="X2939" s="74">
        <f>Devis[[#This Row],[Prix de Revient]]*Devis[[#This Row],[Poste 3]]</f>
        <v>0</v>
      </c>
      <c r="Y2939" s="74">
        <f>Devis[[#This Row],[Poste 4]]*Devis[[#This Row],[Prix de Revient]]</f>
        <v>0</v>
      </c>
      <c r="Z2939" s="74">
        <f>Devis[[#This Row],[Poste 5]]*Devis[[#This Row],[Prix de Revient]]</f>
        <v>0</v>
      </c>
      <c r="AA2939" s="74">
        <f>Devis[[#This Row],[Prix de Revient]]*Devis[[#This Row],[Poste 6]]</f>
        <v>0</v>
      </c>
      <c r="AB2939" s="74">
        <f>Devis[[#This Row],[Quantité Totale]]*Devis[[#This Row],[Prix de Revient]]</f>
        <v>0</v>
      </c>
    </row>
    <row r="2940" spans="1:28" ht="14.25" outlineLevel="1" x14ac:dyDescent="0.2">
      <c r="A2940" s="75" t="s">
        <v>2617</v>
      </c>
      <c r="B2940" s="76" t="s">
        <v>5503</v>
      </c>
      <c r="C2940" s="76" t="s">
        <v>5503</v>
      </c>
      <c r="D2940" s="81" t="str">
        <f t="shared" si="50"/>
        <v>RaccordsRI doubleRI double</v>
      </c>
      <c r="E2940" s="76" t="s">
        <v>5504</v>
      </c>
      <c r="F2940" s="76">
        <v>6</v>
      </c>
      <c r="G2940" s="71" t="s">
        <v>2793</v>
      </c>
      <c r="H2940" s="71"/>
      <c r="I2940" s="71"/>
      <c r="J2940" s="70">
        <f>IFERROR(VLOOKUP(Devis[[#This Row],[Ref Air Flux]],#REF!,3,FALSE),0)</f>
        <v>0</v>
      </c>
      <c r="K2940" s="68"/>
      <c r="L2940" s="68"/>
      <c r="M2940" s="68"/>
      <c r="N2940" s="68"/>
      <c r="O2940" s="68"/>
      <c r="P2940" s="68"/>
      <c r="Q2940" s="68">
        <f>SUM(Devis[[#This Row],[Poste 1]:[Poste 6]])</f>
        <v>0</v>
      </c>
      <c r="R2940" s="71"/>
      <c r="S2940" s="68">
        <f>_xlfn.CEILING.MATH(Devis[[#This Row],[Quantité Totale]],Devis[[#This Row],[Conditionnement]])</f>
        <v>0</v>
      </c>
      <c r="T2940" s="72"/>
      <c r="U2940" s="73"/>
      <c r="V2940" s="74">
        <f>Devis[[#This Row],[Prix de Revient]]*Devis[[#This Row],[Poste 1]]</f>
        <v>0</v>
      </c>
      <c r="W2940" s="74">
        <f>Devis[[#This Row],[Prix de Revient]]*Devis[[#This Row],[Poste 2]]</f>
        <v>0</v>
      </c>
      <c r="X2940" s="74">
        <f>Devis[[#This Row],[Prix de Revient]]*Devis[[#This Row],[Poste 3]]</f>
        <v>0</v>
      </c>
      <c r="Y2940" s="74">
        <f>Devis[[#This Row],[Poste 4]]*Devis[[#This Row],[Prix de Revient]]</f>
        <v>0</v>
      </c>
      <c r="Z2940" s="74">
        <f>Devis[[#This Row],[Poste 5]]*Devis[[#This Row],[Prix de Revient]]</f>
        <v>0</v>
      </c>
      <c r="AA2940" s="74">
        <f>Devis[[#This Row],[Prix de Revient]]*Devis[[#This Row],[Poste 6]]</f>
        <v>0</v>
      </c>
      <c r="AB2940" s="74">
        <f>Devis[[#This Row],[Quantité Totale]]*Devis[[#This Row],[Prix de Revient]]</f>
        <v>0</v>
      </c>
    </row>
    <row r="2941" spans="1:28" ht="14.25" customHeight="1" x14ac:dyDescent="0.25">
      <c r="A2941" s="65" t="s">
        <v>2794</v>
      </c>
      <c r="B2941" s="65" t="s">
        <v>5939</v>
      </c>
      <c r="C2941" s="76"/>
      <c r="D2941" s="81" t="str">
        <f t="shared" si="50"/>
        <v xml:space="preserve">Recup CalorieAnti belier </v>
      </c>
      <c r="E2941" s="76"/>
      <c r="F2941" s="81">
        <v>0</v>
      </c>
      <c r="G2941" s="86"/>
      <c r="H2941" s="71"/>
      <c r="I2941" s="102"/>
      <c r="J2941" s="70">
        <f>IFERROR(VLOOKUP(Devis[[#This Row],[Ref Air Flux]],#REF!,3,FALSE),0)</f>
        <v>0</v>
      </c>
      <c r="K2941" s="68"/>
      <c r="L2941" s="68"/>
      <c r="M2941" s="68"/>
      <c r="N2941" s="68"/>
      <c r="O2941" s="68"/>
      <c r="P2941" s="68"/>
      <c r="Q2941" s="68">
        <f>SUM(Devis[[#This Row],[Poste 1]:[Poste 6]])</f>
        <v>0</v>
      </c>
      <c r="R2941" s="71"/>
      <c r="S2941" s="68">
        <f>_xlfn.CEILING.MATH(Devis[[#This Row],[Quantité Totale]],Devis[[#This Row],[Conditionnement]])</f>
        <v>0</v>
      </c>
      <c r="T2941" s="72"/>
      <c r="U2941" s="106"/>
      <c r="V2941" s="74">
        <f>Devis[[#This Row],[Prix de Revient]]*Devis[[#This Row],[Poste 1]]</f>
        <v>0</v>
      </c>
      <c r="W2941" s="74">
        <f>Devis[[#This Row],[Prix de Revient]]*Devis[[#This Row],[Poste 2]]</f>
        <v>0</v>
      </c>
      <c r="X2941" s="74">
        <f>Devis[[#This Row],[Prix de Revient]]*Devis[[#This Row],[Poste 3]]</f>
        <v>0</v>
      </c>
      <c r="Y2941" s="74">
        <f>Devis[[#This Row],[Poste 4]]*Devis[[#This Row],[Prix de Revient]]</f>
        <v>0</v>
      </c>
      <c r="Z2941" s="74">
        <f>Devis[[#This Row],[Poste 5]]*Devis[[#This Row],[Prix de Revient]]</f>
        <v>0</v>
      </c>
      <c r="AA2941" s="74">
        <f>Devis[[#This Row],[Prix de Revient]]*Devis[[#This Row],[Poste 6]]</f>
        <v>0</v>
      </c>
      <c r="AB2941" s="74">
        <f>Devis[[#This Row],[Quantité Totale]]*Devis[[#This Row],[Prix de Revient]]</f>
        <v>0</v>
      </c>
    </row>
    <row r="2942" spans="1:28" ht="14.25" outlineLevel="1" x14ac:dyDescent="0.2">
      <c r="A2942" s="75" t="s">
        <v>2794</v>
      </c>
      <c r="B2942" s="76" t="s">
        <v>5939</v>
      </c>
      <c r="C2942" s="76"/>
      <c r="D2942" s="81" t="str">
        <f t="shared" si="50"/>
        <v xml:space="preserve">Recup CalorieAnti belier </v>
      </c>
      <c r="E2942" s="76" t="s">
        <v>3662</v>
      </c>
      <c r="F2942" s="81">
        <v>1</v>
      </c>
      <c r="G2942" s="86" t="s">
        <v>3665</v>
      </c>
      <c r="H2942" s="71" t="s">
        <v>2936</v>
      </c>
      <c r="I2942" s="102"/>
      <c r="J2942" s="70">
        <f>IFERROR(VLOOKUP(Devis[[#This Row],[Ref Air Flux]],#REF!,3,FALSE),0)</f>
        <v>0</v>
      </c>
      <c r="K2942" s="68"/>
      <c r="L2942" s="68"/>
      <c r="M2942" s="68"/>
      <c r="N2942" s="68"/>
      <c r="O2942" s="68"/>
      <c r="P2942" s="68"/>
      <c r="Q2942" s="68">
        <f>SUM(Devis[[#This Row],[Poste 1]:[Poste 6]])</f>
        <v>0</v>
      </c>
      <c r="R2942" s="71"/>
      <c r="S2942" s="68">
        <f>_xlfn.CEILING.MATH(Devis[[#This Row],[Quantité Totale]],Devis[[#This Row],[Conditionnement]])</f>
        <v>0</v>
      </c>
      <c r="T2942" s="72"/>
      <c r="U2942" s="106"/>
      <c r="V2942" s="74">
        <f>Devis[[#This Row],[Prix de Revient]]*Devis[[#This Row],[Poste 1]]</f>
        <v>0</v>
      </c>
      <c r="W2942" s="74">
        <f>Devis[[#This Row],[Prix de Revient]]*Devis[[#This Row],[Poste 2]]</f>
        <v>0</v>
      </c>
      <c r="X2942" s="74">
        <f>Devis[[#This Row],[Prix de Revient]]*Devis[[#This Row],[Poste 3]]</f>
        <v>0</v>
      </c>
      <c r="Y2942" s="74">
        <f>Devis[[#This Row],[Poste 4]]*Devis[[#This Row],[Prix de Revient]]</f>
        <v>0</v>
      </c>
      <c r="Z2942" s="74">
        <f>Devis[[#This Row],[Poste 5]]*Devis[[#This Row],[Prix de Revient]]</f>
        <v>0</v>
      </c>
      <c r="AA2942" s="74">
        <f>Devis[[#This Row],[Prix de Revient]]*Devis[[#This Row],[Poste 6]]</f>
        <v>0</v>
      </c>
      <c r="AB2942" s="74">
        <f>Devis[[#This Row],[Quantité Totale]]*Devis[[#This Row],[Prix de Revient]]</f>
        <v>0</v>
      </c>
    </row>
    <row r="2943" spans="1:28" ht="14.25" outlineLevel="1" x14ac:dyDescent="0.2">
      <c r="A2943" s="75" t="s">
        <v>2794</v>
      </c>
      <c r="B2943" s="76" t="s">
        <v>5939</v>
      </c>
      <c r="C2943" s="76"/>
      <c r="D2943" s="81" t="str">
        <f t="shared" si="50"/>
        <v xml:space="preserve">Recup CalorieAnti belier </v>
      </c>
      <c r="E2943" s="76" t="s">
        <v>3663</v>
      </c>
      <c r="F2943" s="81">
        <v>2</v>
      </c>
      <c r="G2943" s="86" t="s">
        <v>3666</v>
      </c>
      <c r="H2943" s="71" t="s">
        <v>2936</v>
      </c>
      <c r="I2943" s="102"/>
      <c r="J2943" s="70">
        <f>IFERROR(VLOOKUP(Devis[[#This Row],[Ref Air Flux]],#REF!,3,FALSE),0)</f>
        <v>0</v>
      </c>
      <c r="K2943" s="68"/>
      <c r="L2943" s="68"/>
      <c r="M2943" s="68"/>
      <c r="N2943" s="68"/>
      <c r="O2943" s="68"/>
      <c r="P2943" s="68"/>
      <c r="Q2943" s="68">
        <f>SUM(Devis[[#This Row],[Poste 1]:[Poste 6]])</f>
        <v>0</v>
      </c>
      <c r="R2943" s="71"/>
      <c r="S2943" s="68">
        <f>_xlfn.CEILING.MATH(Devis[[#This Row],[Quantité Totale]],Devis[[#This Row],[Conditionnement]])</f>
        <v>0</v>
      </c>
      <c r="T2943" s="72"/>
      <c r="U2943" s="106"/>
      <c r="V2943" s="74">
        <f>Devis[[#This Row],[Prix de Revient]]*Devis[[#This Row],[Poste 1]]</f>
        <v>0</v>
      </c>
      <c r="W2943" s="74">
        <f>Devis[[#This Row],[Prix de Revient]]*Devis[[#This Row],[Poste 2]]</f>
        <v>0</v>
      </c>
      <c r="X2943" s="74">
        <f>Devis[[#This Row],[Prix de Revient]]*Devis[[#This Row],[Poste 3]]</f>
        <v>0</v>
      </c>
      <c r="Y2943" s="74">
        <f>Devis[[#This Row],[Poste 4]]*Devis[[#This Row],[Prix de Revient]]</f>
        <v>0</v>
      </c>
      <c r="Z2943" s="74">
        <f>Devis[[#This Row],[Poste 5]]*Devis[[#This Row],[Prix de Revient]]</f>
        <v>0</v>
      </c>
      <c r="AA2943" s="74">
        <f>Devis[[#This Row],[Prix de Revient]]*Devis[[#This Row],[Poste 6]]</f>
        <v>0</v>
      </c>
      <c r="AB2943" s="74">
        <f>Devis[[#This Row],[Quantité Totale]]*Devis[[#This Row],[Prix de Revient]]</f>
        <v>0</v>
      </c>
    </row>
    <row r="2944" spans="1:28" ht="14.25" customHeight="1" outlineLevel="1" x14ac:dyDescent="0.2">
      <c r="A2944" s="75" t="s">
        <v>2794</v>
      </c>
      <c r="B2944" s="76" t="s">
        <v>5939</v>
      </c>
      <c r="C2944" s="76"/>
      <c r="D2944" s="81" t="str">
        <f t="shared" si="50"/>
        <v xml:space="preserve">Recup CalorieAnti belier </v>
      </c>
      <c r="E2944" s="76" t="s">
        <v>3664</v>
      </c>
      <c r="F2944" s="81">
        <v>3</v>
      </c>
      <c r="G2944" s="86" t="s">
        <v>3667</v>
      </c>
      <c r="H2944" s="71" t="s">
        <v>2936</v>
      </c>
      <c r="I2944" s="102"/>
      <c r="J2944" s="70">
        <f>IFERROR(VLOOKUP(Devis[[#This Row],[Ref Air Flux]],#REF!,3,FALSE),0)</f>
        <v>0</v>
      </c>
      <c r="K2944" s="68"/>
      <c r="L2944" s="68"/>
      <c r="M2944" s="68"/>
      <c r="N2944" s="68"/>
      <c r="O2944" s="68"/>
      <c r="P2944" s="68"/>
      <c r="Q2944" s="68">
        <f>SUM(Devis[[#This Row],[Poste 1]:[Poste 6]])</f>
        <v>0</v>
      </c>
      <c r="R2944" s="71"/>
      <c r="S2944" s="68">
        <f>_xlfn.CEILING.MATH(Devis[[#This Row],[Quantité Totale]],Devis[[#This Row],[Conditionnement]])</f>
        <v>0</v>
      </c>
      <c r="T2944" s="72"/>
      <c r="U2944" s="106"/>
      <c r="V2944" s="74">
        <f>Devis[[#This Row],[Prix de Revient]]*Devis[[#This Row],[Poste 1]]</f>
        <v>0</v>
      </c>
      <c r="W2944" s="74">
        <f>Devis[[#This Row],[Prix de Revient]]*Devis[[#This Row],[Poste 2]]</f>
        <v>0</v>
      </c>
      <c r="X2944" s="74">
        <f>Devis[[#This Row],[Prix de Revient]]*Devis[[#This Row],[Poste 3]]</f>
        <v>0</v>
      </c>
      <c r="Y2944" s="74">
        <f>Devis[[#This Row],[Poste 4]]*Devis[[#This Row],[Prix de Revient]]</f>
        <v>0</v>
      </c>
      <c r="Z2944" s="74">
        <f>Devis[[#This Row],[Poste 5]]*Devis[[#This Row],[Prix de Revient]]</f>
        <v>0</v>
      </c>
      <c r="AA2944" s="74">
        <f>Devis[[#This Row],[Prix de Revient]]*Devis[[#This Row],[Poste 6]]</f>
        <v>0</v>
      </c>
      <c r="AB2944" s="74">
        <f>Devis[[#This Row],[Quantité Totale]]*Devis[[#This Row],[Prix de Revient]]</f>
        <v>0</v>
      </c>
    </row>
    <row r="2945" spans="1:28" ht="14.25" customHeight="1" x14ac:dyDescent="0.25">
      <c r="A2945" s="65" t="s">
        <v>2794</v>
      </c>
      <c r="B2945" s="65" t="s">
        <v>3605</v>
      </c>
      <c r="C2945" s="76"/>
      <c r="D2945" s="81" t="str">
        <f t="shared" si="50"/>
        <v>Recup CalorieAquasta</v>
      </c>
      <c r="E2945" s="76"/>
      <c r="F2945" s="81">
        <v>0</v>
      </c>
      <c r="G2945" s="86"/>
      <c r="H2945" s="71"/>
      <c r="I2945" s="102"/>
      <c r="J2945" s="70">
        <f>IFERROR(VLOOKUP(Devis[[#This Row],[Ref Air Flux]],#REF!,3,FALSE),0)</f>
        <v>0</v>
      </c>
      <c r="K2945" s="68"/>
      <c r="L2945" s="68"/>
      <c r="M2945" s="68"/>
      <c r="N2945" s="68"/>
      <c r="O2945" s="68"/>
      <c r="P2945" s="68"/>
      <c r="Q2945" s="68">
        <f>SUM(Devis[[#This Row],[Poste 1]:[Poste 6]])</f>
        <v>0</v>
      </c>
      <c r="R2945" s="71"/>
      <c r="S2945" s="68">
        <f>_xlfn.CEILING.MATH(Devis[[#This Row],[Quantité Totale]],Devis[[#This Row],[Conditionnement]])</f>
        <v>0</v>
      </c>
      <c r="T2945" s="72"/>
      <c r="U2945" s="106"/>
      <c r="V2945" s="74">
        <f>Devis[[#This Row],[Prix de Revient]]*Devis[[#This Row],[Poste 1]]</f>
        <v>0</v>
      </c>
      <c r="W2945" s="74">
        <f>Devis[[#This Row],[Prix de Revient]]*Devis[[#This Row],[Poste 2]]</f>
        <v>0</v>
      </c>
      <c r="X2945" s="74">
        <f>Devis[[#This Row],[Prix de Revient]]*Devis[[#This Row],[Poste 3]]</f>
        <v>0</v>
      </c>
      <c r="Y2945" s="74">
        <f>Devis[[#This Row],[Poste 4]]*Devis[[#This Row],[Prix de Revient]]</f>
        <v>0</v>
      </c>
      <c r="Z2945" s="74">
        <f>Devis[[#This Row],[Poste 5]]*Devis[[#This Row],[Prix de Revient]]</f>
        <v>0</v>
      </c>
      <c r="AA2945" s="74">
        <f>Devis[[#This Row],[Prix de Revient]]*Devis[[#This Row],[Poste 6]]</f>
        <v>0</v>
      </c>
      <c r="AB2945" s="74">
        <f>Devis[[#This Row],[Quantité Totale]]*Devis[[#This Row],[Prix de Revient]]</f>
        <v>0</v>
      </c>
    </row>
    <row r="2946" spans="1:28" ht="14.25" outlineLevel="1" x14ac:dyDescent="0.2">
      <c r="A2946" s="75" t="s">
        <v>2794</v>
      </c>
      <c r="B2946" s="76" t="s">
        <v>3605</v>
      </c>
      <c r="C2946" s="76"/>
      <c r="D2946" s="81" t="str">
        <f t="shared" si="50"/>
        <v>Recup CalorieAquasta</v>
      </c>
      <c r="E2946" s="76" t="s">
        <v>2802</v>
      </c>
      <c r="F2946" s="81">
        <v>1</v>
      </c>
      <c r="G2946" s="86" t="s">
        <v>2803</v>
      </c>
      <c r="H2946" s="71" t="s">
        <v>2804</v>
      </c>
      <c r="I2946" s="102"/>
      <c r="J2946" s="70">
        <f>IFERROR(VLOOKUP(Devis[[#This Row],[Ref Air Flux]],#REF!,3,FALSE),0)</f>
        <v>0</v>
      </c>
      <c r="K2946" s="68"/>
      <c r="L2946" s="68"/>
      <c r="M2946" s="68"/>
      <c r="N2946" s="68"/>
      <c r="O2946" s="68"/>
      <c r="P2946" s="68"/>
      <c r="Q2946" s="68">
        <f>SUM(Devis[[#This Row],[Poste 1]:[Poste 6]])</f>
        <v>0</v>
      </c>
      <c r="R2946" s="71"/>
      <c r="S2946" s="68">
        <f>_xlfn.CEILING.MATH(Devis[[#This Row],[Quantité Totale]],Devis[[#This Row],[Conditionnement]])</f>
        <v>0</v>
      </c>
      <c r="T2946" s="72"/>
      <c r="U2946" s="106"/>
      <c r="V2946" s="74">
        <f>Devis[[#This Row],[Prix de Revient]]*Devis[[#This Row],[Poste 1]]</f>
        <v>0</v>
      </c>
      <c r="W2946" s="74">
        <f>Devis[[#This Row],[Prix de Revient]]*Devis[[#This Row],[Poste 2]]</f>
        <v>0</v>
      </c>
      <c r="X2946" s="74">
        <f>Devis[[#This Row],[Prix de Revient]]*Devis[[#This Row],[Poste 3]]</f>
        <v>0</v>
      </c>
      <c r="Y2946" s="74">
        <f>Devis[[#This Row],[Poste 4]]*Devis[[#This Row],[Prix de Revient]]</f>
        <v>0</v>
      </c>
      <c r="Z2946" s="74">
        <f>Devis[[#This Row],[Poste 5]]*Devis[[#This Row],[Prix de Revient]]</f>
        <v>0</v>
      </c>
      <c r="AA2946" s="74">
        <f>Devis[[#This Row],[Prix de Revient]]*Devis[[#This Row],[Poste 6]]</f>
        <v>0</v>
      </c>
      <c r="AB2946" s="74">
        <f>Devis[[#This Row],[Quantité Totale]]*Devis[[#This Row],[Prix de Revient]]</f>
        <v>0</v>
      </c>
    </row>
    <row r="2947" spans="1:28" ht="14.25" outlineLevel="1" x14ac:dyDescent="0.2">
      <c r="A2947" s="75" t="s">
        <v>2794</v>
      </c>
      <c r="B2947" s="76" t="s">
        <v>3605</v>
      </c>
      <c r="C2947" s="76"/>
      <c r="D2947" s="81" t="str">
        <f t="shared" si="50"/>
        <v>Recup CalorieAquasta</v>
      </c>
      <c r="E2947" s="76" t="s">
        <v>3606</v>
      </c>
      <c r="F2947" s="81">
        <v>2</v>
      </c>
      <c r="G2947" s="86" t="s">
        <v>2805</v>
      </c>
      <c r="H2947" s="71"/>
      <c r="I2947" s="102"/>
      <c r="J2947" s="70">
        <f>IFERROR(VLOOKUP(Devis[[#This Row],[Ref Air Flux]],#REF!,3,FALSE),0)</f>
        <v>0</v>
      </c>
      <c r="K2947" s="68"/>
      <c r="L2947" s="68"/>
      <c r="M2947" s="68"/>
      <c r="N2947" s="68"/>
      <c r="O2947" s="68"/>
      <c r="P2947" s="68"/>
      <c r="Q2947" s="68">
        <f>SUM(Devis[[#This Row],[Poste 1]:[Poste 6]])</f>
        <v>0</v>
      </c>
      <c r="R2947" s="71"/>
      <c r="S2947" s="68">
        <f>_xlfn.CEILING.MATH(Devis[[#This Row],[Quantité Totale]],Devis[[#This Row],[Conditionnement]])</f>
        <v>0</v>
      </c>
      <c r="T2947" s="72"/>
      <c r="U2947" s="106"/>
      <c r="V2947" s="74">
        <f>Devis[[#This Row],[Prix de Revient]]*Devis[[#This Row],[Poste 1]]</f>
        <v>0</v>
      </c>
      <c r="W2947" s="74">
        <f>Devis[[#This Row],[Prix de Revient]]*Devis[[#This Row],[Poste 2]]</f>
        <v>0</v>
      </c>
      <c r="X2947" s="74">
        <f>Devis[[#This Row],[Prix de Revient]]*Devis[[#This Row],[Poste 3]]</f>
        <v>0</v>
      </c>
      <c r="Y2947" s="74">
        <f>Devis[[#This Row],[Poste 4]]*Devis[[#This Row],[Prix de Revient]]</f>
        <v>0</v>
      </c>
      <c r="Z2947" s="74">
        <f>Devis[[#This Row],[Poste 5]]*Devis[[#This Row],[Prix de Revient]]</f>
        <v>0</v>
      </c>
      <c r="AA2947" s="74">
        <f>Devis[[#This Row],[Prix de Revient]]*Devis[[#This Row],[Poste 6]]</f>
        <v>0</v>
      </c>
      <c r="AB2947" s="74">
        <f>Devis[[#This Row],[Quantité Totale]]*Devis[[#This Row],[Prix de Revient]]</f>
        <v>0</v>
      </c>
    </row>
    <row r="2948" spans="1:28" ht="14.25" customHeight="1" x14ac:dyDescent="0.25">
      <c r="A2948" s="65" t="s">
        <v>2794</v>
      </c>
      <c r="B2948" s="65" t="s">
        <v>5798</v>
      </c>
      <c r="C2948" s="67"/>
      <c r="D2948" s="67" t="str">
        <f>Général!$A833&amp;Général!$B833&amp;Général!$C833</f>
        <v>DiversSciage, perforation, ponçageFOREUSE DIAMANT</v>
      </c>
      <c r="E2948" s="67"/>
      <c r="F2948" s="81">
        <v>0</v>
      </c>
      <c r="G2948" s="68"/>
      <c r="H2948" s="68"/>
      <c r="I2948" s="69"/>
      <c r="J2948" s="70">
        <f>IFERROR(VLOOKUP(Devis[[#This Row],[Ref Air Flux]],#REF!,3,FALSE),0)</f>
        <v>0</v>
      </c>
      <c r="K2948" s="68"/>
      <c r="L2948" s="68"/>
      <c r="M2948" s="68"/>
      <c r="N2948" s="68"/>
      <c r="O2948" s="68"/>
      <c r="P2948" s="68"/>
      <c r="Q2948" s="68">
        <f>SUM(Devis[[#This Row],[Poste 1]:[Poste 6]])</f>
        <v>0</v>
      </c>
      <c r="R2948" s="71"/>
      <c r="S2948" s="68">
        <f>_xlfn.CEILING.MATH(Devis[[#This Row],[Quantité Totale]],Devis[[#This Row],[Conditionnement]])</f>
        <v>0</v>
      </c>
      <c r="T2948" s="72"/>
      <c r="U2948" s="106"/>
      <c r="V2948" s="74">
        <f>Devis[[#This Row],[Prix de Revient]]*Devis[[#This Row],[Poste 1]]</f>
        <v>0</v>
      </c>
      <c r="W2948" s="74">
        <f>Devis[[#This Row],[Prix de Revient]]*Devis[[#This Row],[Poste 2]]</f>
        <v>0</v>
      </c>
      <c r="X2948" s="74">
        <f>Devis[[#This Row],[Prix de Revient]]*Devis[[#This Row],[Poste 3]]</f>
        <v>0</v>
      </c>
      <c r="Y2948" s="74">
        <f>Devis[[#This Row],[Poste 4]]*Devis[[#This Row],[Prix de Revient]]</f>
        <v>0</v>
      </c>
      <c r="Z2948" s="74">
        <f>Devis[[#This Row],[Poste 5]]*Devis[[#This Row],[Prix de Revient]]</f>
        <v>0</v>
      </c>
      <c r="AA2948" s="74">
        <f>Devis[[#This Row],[Prix de Revient]]*Devis[[#This Row],[Poste 6]]</f>
        <v>0</v>
      </c>
      <c r="AB2948" s="74">
        <f>Devis[[#This Row],[Quantité Totale]]*Devis[[#This Row],[Prix de Revient]]</f>
        <v>0</v>
      </c>
    </row>
    <row r="2949" spans="1:28" ht="14.25" outlineLevel="1" x14ac:dyDescent="0.2">
      <c r="A2949" s="75" t="s">
        <v>2794</v>
      </c>
      <c r="B2949" s="76" t="s">
        <v>5798</v>
      </c>
      <c r="C2949" s="76" t="s">
        <v>5799</v>
      </c>
      <c r="D2949" s="67" t="str">
        <f>Général!$A826&amp;Général!$B826&amp;Général!$C826</f>
        <v>DiversNacelleToucan</v>
      </c>
      <c r="E2949" s="67"/>
      <c r="F2949" s="81">
        <v>1</v>
      </c>
      <c r="G2949" s="71" t="s">
        <v>33</v>
      </c>
      <c r="H2949" s="71" t="s">
        <v>34</v>
      </c>
      <c r="I2949" s="114">
        <v>305003</v>
      </c>
      <c r="J2949" s="70">
        <f>IFERROR(VLOOKUP(Devis[[#This Row],[Ref Air Flux]],#REF!,3,FALSE),0)</f>
        <v>0</v>
      </c>
      <c r="K2949" s="68"/>
      <c r="L2949" s="68"/>
      <c r="M2949" s="68"/>
      <c r="N2949" s="68"/>
      <c r="O2949" s="68"/>
      <c r="P2949" s="68"/>
      <c r="Q2949" s="68">
        <f>SUM(Devis[[#This Row],[Poste 1]:[Poste 6]])</f>
        <v>0</v>
      </c>
      <c r="R2949" s="71"/>
      <c r="S2949" s="68">
        <f>_xlfn.CEILING.MATH(Devis[[#This Row],[Quantité Totale]],Devis[[#This Row],[Conditionnement]])</f>
        <v>0</v>
      </c>
      <c r="T2949" s="72"/>
      <c r="U2949" s="106"/>
      <c r="V2949" s="74">
        <f>Devis[[#This Row],[Prix de Revient]]*Devis[[#This Row],[Poste 1]]</f>
        <v>0</v>
      </c>
      <c r="W2949" s="74">
        <f>Devis[[#This Row],[Prix de Revient]]*Devis[[#This Row],[Poste 2]]</f>
        <v>0</v>
      </c>
      <c r="X2949" s="74">
        <f>Devis[[#This Row],[Prix de Revient]]*Devis[[#This Row],[Poste 3]]</f>
        <v>0</v>
      </c>
      <c r="Y2949" s="74">
        <f>Devis[[#This Row],[Poste 4]]*Devis[[#This Row],[Prix de Revient]]</f>
        <v>0</v>
      </c>
      <c r="Z2949" s="74">
        <f>Devis[[#This Row],[Poste 5]]*Devis[[#This Row],[Prix de Revient]]</f>
        <v>0</v>
      </c>
      <c r="AA2949" s="74">
        <f>Devis[[#This Row],[Prix de Revient]]*Devis[[#This Row],[Poste 6]]</f>
        <v>0</v>
      </c>
      <c r="AB2949" s="74">
        <f>Devis[[#This Row],[Quantité Totale]]*Devis[[#This Row],[Prix de Revient]]</f>
        <v>0</v>
      </c>
    </row>
    <row r="2950" spans="1:28" ht="14.25" outlineLevel="1" x14ac:dyDescent="0.2">
      <c r="A2950" s="75" t="s">
        <v>2794</v>
      </c>
      <c r="B2950" s="76" t="s">
        <v>5798</v>
      </c>
      <c r="C2950" s="76" t="s">
        <v>17</v>
      </c>
      <c r="D2950" s="67" t="str">
        <f>Général!$A827&amp;Général!$B827&amp;Général!$C827</f>
        <v>DiversNacelleToucan</v>
      </c>
      <c r="E2950" s="67"/>
      <c r="F2950" s="81">
        <v>2</v>
      </c>
      <c r="G2950" s="71" t="s">
        <v>35</v>
      </c>
      <c r="H2950" s="71" t="s">
        <v>34</v>
      </c>
      <c r="I2950" s="114">
        <v>305004</v>
      </c>
      <c r="J2950" s="70">
        <f>IFERROR(VLOOKUP(Devis[[#This Row],[Ref Air Flux]],#REF!,3,FALSE),0)</f>
        <v>0</v>
      </c>
      <c r="K2950" s="68"/>
      <c r="L2950" s="68"/>
      <c r="M2950" s="68"/>
      <c r="N2950" s="68"/>
      <c r="O2950" s="68"/>
      <c r="P2950" s="68"/>
      <c r="Q2950" s="68">
        <f>SUM(Devis[[#This Row],[Poste 1]:[Poste 6]])</f>
        <v>0</v>
      </c>
      <c r="R2950" s="71"/>
      <c r="S2950" s="68">
        <f>_xlfn.CEILING.MATH(Devis[[#This Row],[Quantité Totale]],Devis[[#This Row],[Conditionnement]])</f>
        <v>0</v>
      </c>
      <c r="T2950" s="72"/>
      <c r="U2950" s="106"/>
      <c r="V2950" s="74">
        <f>Devis[[#This Row],[Prix de Revient]]*Devis[[#This Row],[Poste 1]]</f>
        <v>0</v>
      </c>
      <c r="W2950" s="74">
        <f>Devis[[#This Row],[Prix de Revient]]*Devis[[#This Row],[Poste 2]]</f>
        <v>0</v>
      </c>
      <c r="X2950" s="74">
        <f>Devis[[#This Row],[Prix de Revient]]*Devis[[#This Row],[Poste 3]]</f>
        <v>0</v>
      </c>
      <c r="Y2950" s="74">
        <f>Devis[[#This Row],[Poste 4]]*Devis[[#This Row],[Prix de Revient]]</f>
        <v>0</v>
      </c>
      <c r="Z2950" s="74">
        <f>Devis[[#This Row],[Poste 5]]*Devis[[#This Row],[Prix de Revient]]</f>
        <v>0</v>
      </c>
      <c r="AA2950" s="74">
        <f>Devis[[#This Row],[Prix de Revient]]*Devis[[#This Row],[Poste 6]]</f>
        <v>0</v>
      </c>
      <c r="AB2950" s="74">
        <f>Devis[[#This Row],[Quantité Totale]]*Devis[[#This Row],[Prix de Revient]]</f>
        <v>0</v>
      </c>
    </row>
    <row r="2951" spans="1:28" ht="14.25" outlineLevel="1" x14ac:dyDescent="0.2">
      <c r="A2951" s="75" t="s">
        <v>2794</v>
      </c>
      <c r="B2951" s="76" t="s">
        <v>5798</v>
      </c>
      <c r="C2951" s="76" t="s">
        <v>18</v>
      </c>
      <c r="D2951" s="67" t="str">
        <f>Général!$A828&amp;Général!$B828&amp;Général!$C828</f>
        <v>DiversSciage, perforation, ponçageSciage, perforation, ponçage</v>
      </c>
      <c r="E2951" s="67"/>
      <c r="F2951" s="81">
        <v>3</v>
      </c>
      <c r="G2951" s="71" t="s">
        <v>36</v>
      </c>
      <c r="H2951" s="71" t="s">
        <v>34</v>
      </c>
      <c r="I2951" s="114">
        <v>305005</v>
      </c>
      <c r="J2951" s="70">
        <f>IFERROR(VLOOKUP(Devis[[#This Row],[Ref Air Flux]],#REF!,3,FALSE),0)</f>
        <v>0</v>
      </c>
      <c r="K2951" s="68"/>
      <c r="L2951" s="68"/>
      <c r="M2951" s="68"/>
      <c r="N2951" s="68"/>
      <c r="O2951" s="68"/>
      <c r="P2951" s="68"/>
      <c r="Q2951" s="68">
        <f>SUM(Devis[[#This Row],[Poste 1]:[Poste 6]])</f>
        <v>0</v>
      </c>
      <c r="R2951" s="71"/>
      <c r="S2951" s="68">
        <f>_xlfn.CEILING.MATH(Devis[[#This Row],[Quantité Totale]],Devis[[#This Row],[Conditionnement]])</f>
        <v>0</v>
      </c>
      <c r="T2951" s="72"/>
      <c r="U2951" s="106"/>
      <c r="V2951" s="74">
        <f>Devis[[#This Row],[Prix de Revient]]*Devis[[#This Row],[Poste 1]]</f>
        <v>0</v>
      </c>
      <c r="W2951" s="74">
        <f>Devis[[#This Row],[Prix de Revient]]*Devis[[#This Row],[Poste 2]]</f>
        <v>0</v>
      </c>
      <c r="X2951" s="74">
        <f>Devis[[#This Row],[Prix de Revient]]*Devis[[#This Row],[Poste 3]]</f>
        <v>0</v>
      </c>
      <c r="Y2951" s="74">
        <f>Devis[[#This Row],[Poste 4]]*Devis[[#This Row],[Prix de Revient]]</f>
        <v>0</v>
      </c>
      <c r="Z2951" s="74">
        <f>Devis[[#This Row],[Poste 5]]*Devis[[#This Row],[Prix de Revient]]</f>
        <v>0</v>
      </c>
      <c r="AA2951" s="74">
        <f>Devis[[#This Row],[Prix de Revient]]*Devis[[#This Row],[Poste 6]]</f>
        <v>0</v>
      </c>
      <c r="AB2951" s="74">
        <f>Devis[[#This Row],[Quantité Totale]]*Devis[[#This Row],[Prix de Revient]]</f>
        <v>0</v>
      </c>
    </row>
    <row r="2952" spans="1:28" ht="14.25" customHeight="1" outlineLevel="1" x14ac:dyDescent="0.2">
      <c r="A2952" s="75" t="s">
        <v>2794</v>
      </c>
      <c r="B2952" s="76" t="s">
        <v>5798</v>
      </c>
      <c r="C2952" s="76" t="s">
        <v>26</v>
      </c>
      <c r="D2952" s="67" t="str">
        <f>Général!$A829&amp;Général!$B829&amp;Général!$C829</f>
        <v>DiversSciage, perforation, ponçageDécoupeuse</v>
      </c>
      <c r="E2952" s="67"/>
      <c r="F2952" s="81">
        <v>4</v>
      </c>
      <c r="G2952" s="71" t="s">
        <v>37</v>
      </c>
      <c r="H2952" s="71" t="s">
        <v>34</v>
      </c>
      <c r="I2952" s="114">
        <v>305006</v>
      </c>
      <c r="J2952" s="70">
        <f>IFERROR(VLOOKUP(Devis[[#This Row],[Ref Air Flux]],#REF!,3,FALSE),0)</f>
        <v>0</v>
      </c>
      <c r="K2952" s="68"/>
      <c r="L2952" s="68"/>
      <c r="M2952" s="68"/>
      <c r="N2952" s="68"/>
      <c r="O2952" s="68"/>
      <c r="P2952" s="68"/>
      <c r="Q2952" s="68">
        <f>SUM(Devis[[#This Row],[Poste 1]:[Poste 6]])</f>
        <v>0</v>
      </c>
      <c r="R2952" s="71"/>
      <c r="S2952" s="68">
        <f>_xlfn.CEILING.MATH(Devis[[#This Row],[Quantité Totale]],Devis[[#This Row],[Conditionnement]])</f>
        <v>0</v>
      </c>
      <c r="T2952" s="72"/>
      <c r="U2952" s="106"/>
      <c r="V2952" s="74">
        <f>Devis[[#This Row],[Prix de Revient]]*Devis[[#This Row],[Poste 1]]</f>
        <v>0</v>
      </c>
      <c r="W2952" s="74">
        <f>Devis[[#This Row],[Prix de Revient]]*Devis[[#This Row],[Poste 2]]</f>
        <v>0</v>
      </c>
      <c r="X2952" s="74">
        <f>Devis[[#This Row],[Prix de Revient]]*Devis[[#This Row],[Poste 3]]</f>
        <v>0</v>
      </c>
      <c r="Y2952" s="74">
        <f>Devis[[#This Row],[Poste 4]]*Devis[[#This Row],[Prix de Revient]]</f>
        <v>0</v>
      </c>
      <c r="Z2952" s="74">
        <f>Devis[[#This Row],[Poste 5]]*Devis[[#This Row],[Prix de Revient]]</f>
        <v>0</v>
      </c>
      <c r="AA2952" s="74">
        <f>Devis[[#This Row],[Prix de Revient]]*Devis[[#This Row],[Poste 6]]</f>
        <v>0</v>
      </c>
      <c r="AB2952" s="74">
        <f>Devis[[#This Row],[Quantité Totale]]*Devis[[#This Row],[Prix de Revient]]</f>
        <v>0</v>
      </c>
    </row>
    <row r="2953" spans="1:28" ht="14.25" outlineLevel="1" x14ac:dyDescent="0.2">
      <c r="A2953" s="75" t="s">
        <v>2794</v>
      </c>
      <c r="B2953" s="76" t="s">
        <v>5798</v>
      </c>
      <c r="C2953" s="76" t="s">
        <v>20</v>
      </c>
      <c r="D2953" s="67" t="str">
        <f>Général!$A830&amp;Général!$B830&amp;Général!$C830</f>
        <v>DiversSciage, perforation, ponçageDécoupeuse</v>
      </c>
      <c r="E2953" s="67"/>
      <c r="F2953" s="81">
        <v>5</v>
      </c>
      <c r="G2953" s="71" t="s">
        <v>38</v>
      </c>
      <c r="H2953" s="71" t="s">
        <v>34</v>
      </c>
      <c r="I2953" s="114">
        <v>305007</v>
      </c>
      <c r="J2953" s="70">
        <f>IFERROR(VLOOKUP(Devis[[#This Row],[Ref Air Flux]],#REF!,3,FALSE),0)</f>
        <v>0</v>
      </c>
      <c r="K2953" s="68"/>
      <c r="L2953" s="68"/>
      <c r="M2953" s="68"/>
      <c r="N2953" s="68"/>
      <c r="O2953" s="68"/>
      <c r="P2953" s="68"/>
      <c r="Q2953" s="68">
        <f>SUM(Devis[[#This Row],[Poste 1]:[Poste 6]])</f>
        <v>0</v>
      </c>
      <c r="R2953" s="71"/>
      <c r="S2953" s="68">
        <f>_xlfn.CEILING.MATH(Devis[[#This Row],[Quantité Totale]],Devis[[#This Row],[Conditionnement]])</f>
        <v>0</v>
      </c>
      <c r="T2953" s="72"/>
      <c r="U2953" s="106"/>
      <c r="V2953" s="74">
        <f>Devis[[#This Row],[Prix de Revient]]*Devis[[#This Row],[Poste 1]]</f>
        <v>0</v>
      </c>
      <c r="W2953" s="74">
        <f>Devis[[#This Row],[Prix de Revient]]*Devis[[#This Row],[Poste 2]]</f>
        <v>0</v>
      </c>
      <c r="X2953" s="74">
        <f>Devis[[#This Row],[Prix de Revient]]*Devis[[#This Row],[Poste 3]]</f>
        <v>0</v>
      </c>
      <c r="Y2953" s="74">
        <f>Devis[[#This Row],[Poste 4]]*Devis[[#This Row],[Prix de Revient]]</f>
        <v>0</v>
      </c>
      <c r="Z2953" s="74">
        <f>Devis[[#This Row],[Poste 5]]*Devis[[#This Row],[Prix de Revient]]</f>
        <v>0</v>
      </c>
      <c r="AA2953" s="74">
        <f>Devis[[#This Row],[Prix de Revient]]*Devis[[#This Row],[Poste 6]]</f>
        <v>0</v>
      </c>
      <c r="AB2953" s="74">
        <f>Devis[[#This Row],[Quantité Totale]]*Devis[[#This Row],[Prix de Revient]]</f>
        <v>0</v>
      </c>
    </row>
    <row r="2954" spans="1:28" ht="14.25" outlineLevel="1" x14ac:dyDescent="0.2">
      <c r="A2954" s="75" t="s">
        <v>2794</v>
      </c>
      <c r="B2954" s="76" t="s">
        <v>5798</v>
      </c>
      <c r="C2954" s="76" t="s">
        <v>21</v>
      </c>
      <c r="D2954" s="67" t="str">
        <f>Général!$A831&amp;Général!$B831&amp;Général!$C831</f>
        <v>DiversSciage, perforation, ponçageFOREUSE DIAMANT</v>
      </c>
      <c r="E2954" s="67"/>
      <c r="F2954" s="81">
        <v>6</v>
      </c>
      <c r="G2954" s="71" t="s">
        <v>39</v>
      </c>
      <c r="H2954" s="71" t="s">
        <v>34</v>
      </c>
      <c r="I2954" s="114">
        <v>305008</v>
      </c>
      <c r="J2954" s="70">
        <f>IFERROR(VLOOKUP(Devis[[#This Row],[Ref Air Flux]],#REF!,3,FALSE),0)</f>
        <v>0</v>
      </c>
      <c r="K2954" s="68"/>
      <c r="L2954" s="68"/>
      <c r="M2954" s="68"/>
      <c r="N2954" s="68"/>
      <c r="O2954" s="68"/>
      <c r="P2954" s="68"/>
      <c r="Q2954" s="68">
        <f>SUM(Devis[[#This Row],[Poste 1]:[Poste 6]])</f>
        <v>0</v>
      </c>
      <c r="R2954" s="71"/>
      <c r="S2954" s="68">
        <f>_xlfn.CEILING.MATH(Devis[[#This Row],[Quantité Totale]],Devis[[#This Row],[Conditionnement]])</f>
        <v>0</v>
      </c>
      <c r="T2954" s="72"/>
      <c r="U2954" s="106"/>
      <c r="V2954" s="74">
        <f>Devis[[#This Row],[Prix de Revient]]*Devis[[#This Row],[Poste 1]]</f>
        <v>0</v>
      </c>
      <c r="W2954" s="74">
        <f>Devis[[#This Row],[Prix de Revient]]*Devis[[#This Row],[Poste 2]]</f>
        <v>0</v>
      </c>
      <c r="X2954" s="74">
        <f>Devis[[#This Row],[Prix de Revient]]*Devis[[#This Row],[Poste 3]]</f>
        <v>0</v>
      </c>
      <c r="Y2954" s="74">
        <f>Devis[[#This Row],[Poste 4]]*Devis[[#This Row],[Prix de Revient]]</f>
        <v>0</v>
      </c>
      <c r="Z2954" s="74">
        <f>Devis[[#This Row],[Poste 5]]*Devis[[#This Row],[Prix de Revient]]</f>
        <v>0</v>
      </c>
      <c r="AA2954" s="74">
        <f>Devis[[#This Row],[Prix de Revient]]*Devis[[#This Row],[Poste 6]]</f>
        <v>0</v>
      </c>
      <c r="AB2954" s="74">
        <f>Devis[[#This Row],[Quantité Totale]]*Devis[[#This Row],[Prix de Revient]]</f>
        <v>0</v>
      </c>
    </row>
    <row r="2955" spans="1:28" ht="14.25" customHeight="1" outlineLevel="1" x14ac:dyDescent="0.2">
      <c r="A2955" s="75" t="s">
        <v>2794</v>
      </c>
      <c r="B2955" s="76" t="s">
        <v>5798</v>
      </c>
      <c r="C2955" s="76" t="s">
        <v>0</v>
      </c>
      <c r="D2955" s="67" t="str">
        <f>Général!$A832&amp;Général!$B832&amp;Général!$C832</f>
        <v>DiversSciage, perforation, ponçageFOREUSE DIAMANT</v>
      </c>
      <c r="E2955" s="67"/>
      <c r="F2955" s="81">
        <v>7</v>
      </c>
      <c r="G2955" s="71" t="s">
        <v>40</v>
      </c>
      <c r="H2955" s="71" t="s">
        <v>34</v>
      </c>
      <c r="I2955" s="114">
        <v>305009</v>
      </c>
      <c r="J2955" s="70">
        <f>IFERROR(VLOOKUP(Devis[[#This Row],[Ref Air Flux]],#REF!,3,FALSE),0)</f>
        <v>0</v>
      </c>
      <c r="K2955" s="68"/>
      <c r="L2955" s="68"/>
      <c r="M2955" s="68"/>
      <c r="N2955" s="68"/>
      <c r="O2955" s="68"/>
      <c r="P2955" s="68"/>
      <c r="Q2955" s="68">
        <f>SUM(Devis[[#This Row],[Poste 1]:[Poste 6]])</f>
        <v>0</v>
      </c>
      <c r="R2955" s="71"/>
      <c r="S2955" s="68">
        <f>_xlfn.CEILING.MATH(Devis[[#This Row],[Quantité Totale]],Devis[[#This Row],[Conditionnement]])</f>
        <v>0</v>
      </c>
      <c r="T2955" s="72"/>
      <c r="U2955" s="106"/>
      <c r="V2955" s="74">
        <f>Devis[[#This Row],[Prix de Revient]]*Devis[[#This Row],[Poste 1]]</f>
        <v>0</v>
      </c>
      <c r="W2955" s="74">
        <f>Devis[[#This Row],[Prix de Revient]]*Devis[[#This Row],[Poste 2]]</f>
        <v>0</v>
      </c>
      <c r="X2955" s="74">
        <f>Devis[[#This Row],[Prix de Revient]]*Devis[[#This Row],[Poste 3]]</f>
        <v>0</v>
      </c>
      <c r="Y2955" s="74">
        <f>Devis[[#This Row],[Poste 4]]*Devis[[#This Row],[Prix de Revient]]</f>
        <v>0</v>
      </c>
      <c r="Z2955" s="74">
        <f>Devis[[#This Row],[Poste 5]]*Devis[[#This Row],[Prix de Revient]]</f>
        <v>0</v>
      </c>
      <c r="AA2955" s="74">
        <f>Devis[[#This Row],[Prix de Revient]]*Devis[[#This Row],[Poste 6]]</f>
        <v>0</v>
      </c>
      <c r="AB2955" s="74">
        <f>Devis[[#This Row],[Quantité Totale]]*Devis[[#This Row],[Prix de Revient]]</f>
        <v>0</v>
      </c>
    </row>
    <row r="2956" spans="1:28" ht="14.25" customHeight="1" x14ac:dyDescent="0.25">
      <c r="A2956" s="65" t="s">
        <v>2794</v>
      </c>
      <c r="B2956" s="66" t="s">
        <v>5934</v>
      </c>
      <c r="C2956" s="67"/>
      <c r="D2956" s="67" t="str">
        <f>Général!$A999&amp;Général!$B999&amp;Général!$C999</f>
        <v>FixationTube ItalienColliers</v>
      </c>
      <c r="E2956" s="67"/>
      <c r="F2956" s="81">
        <v>0</v>
      </c>
      <c r="G2956" s="68"/>
      <c r="H2956" s="68"/>
      <c r="I2956" s="69"/>
      <c r="J2956" s="70">
        <f>IFERROR(VLOOKUP(Devis[[#This Row],[Ref Air Flux]],#REF!,3,FALSE),0)</f>
        <v>0</v>
      </c>
      <c r="K2956" s="68"/>
      <c r="L2956" s="68"/>
      <c r="M2956" s="68"/>
      <c r="N2956" s="68"/>
      <c r="O2956" s="68"/>
      <c r="P2956" s="68"/>
      <c r="Q2956" s="68">
        <f>SUM(Devis[[#This Row],[Poste 1]:[Poste 6]])</f>
        <v>0</v>
      </c>
      <c r="R2956" s="71"/>
      <c r="S2956" s="68">
        <f>_xlfn.CEILING.MATH(Devis[[#This Row],[Quantité Totale]],Devis[[#This Row],[Conditionnement]])</f>
        <v>0</v>
      </c>
      <c r="T2956" s="72"/>
      <c r="U2956" s="106"/>
      <c r="V2956" s="74">
        <f>Devis[[#This Row],[Prix de Revient]]*Devis[[#This Row],[Poste 1]]</f>
        <v>0</v>
      </c>
      <c r="W2956" s="74">
        <f>Devis[[#This Row],[Prix de Revient]]*Devis[[#This Row],[Poste 2]]</f>
        <v>0</v>
      </c>
      <c r="X2956" s="74">
        <f>Devis[[#This Row],[Prix de Revient]]*Devis[[#This Row],[Poste 3]]</f>
        <v>0</v>
      </c>
      <c r="Y2956" s="74">
        <f>Devis[[#This Row],[Poste 4]]*Devis[[#This Row],[Prix de Revient]]</f>
        <v>0</v>
      </c>
      <c r="Z2956" s="74">
        <f>Devis[[#This Row],[Poste 5]]*Devis[[#This Row],[Prix de Revient]]</f>
        <v>0</v>
      </c>
      <c r="AA2956" s="74">
        <f>Devis[[#This Row],[Prix de Revient]]*Devis[[#This Row],[Poste 6]]</f>
        <v>0</v>
      </c>
      <c r="AB2956" s="74">
        <f>Devis[[#This Row],[Quantité Totale]]*Devis[[#This Row],[Prix de Revient]]</f>
        <v>0</v>
      </c>
    </row>
    <row r="2957" spans="1:28" ht="14.25" outlineLevel="1" x14ac:dyDescent="0.2">
      <c r="A2957" s="75" t="s">
        <v>2794</v>
      </c>
      <c r="B2957" s="67" t="s">
        <v>5934</v>
      </c>
      <c r="C2957" s="67"/>
      <c r="D2957" s="67" t="str">
        <f>Général!$A997&amp;Général!$B997&amp;Général!$C997</f>
        <v>FixationTube ItalienColliers</v>
      </c>
      <c r="E2957" s="76" t="s">
        <v>6414</v>
      </c>
      <c r="F2957" s="67">
        <v>1</v>
      </c>
      <c r="G2957" s="71" t="s">
        <v>6362</v>
      </c>
      <c r="H2957" s="71" t="s">
        <v>34</v>
      </c>
      <c r="I2957" s="71">
        <v>1504006</v>
      </c>
      <c r="J2957" s="70">
        <f>IFERROR(VLOOKUP(Devis[[#This Row],[Ref Air Flux]],#REF!,3,FALSE),0)</f>
        <v>0</v>
      </c>
      <c r="K2957" s="68"/>
      <c r="L2957" s="68"/>
      <c r="M2957" s="68"/>
      <c r="N2957" s="68"/>
      <c r="O2957" s="68"/>
      <c r="P2957" s="68"/>
      <c r="Q2957" s="68">
        <f>SUM(Devis[[#This Row],[Poste 1]:[Poste 6]])</f>
        <v>0</v>
      </c>
      <c r="R2957" s="71"/>
      <c r="S2957" s="68">
        <f>_xlfn.CEILING.MATH(Devis[[#This Row],[Quantité Totale]],Devis[[#This Row],[Conditionnement]])</f>
        <v>0</v>
      </c>
      <c r="T2957" s="72"/>
      <c r="U2957" s="106"/>
      <c r="V2957" s="74">
        <f>Devis[[#This Row],[Prix de Revient]]*Devis[[#This Row],[Poste 1]]</f>
        <v>0</v>
      </c>
      <c r="W2957" s="74">
        <f>Devis[[#This Row],[Prix de Revient]]*Devis[[#This Row],[Poste 2]]</f>
        <v>0</v>
      </c>
      <c r="X2957" s="74">
        <f>Devis[[#This Row],[Prix de Revient]]*Devis[[#This Row],[Poste 3]]</f>
        <v>0</v>
      </c>
      <c r="Y2957" s="74">
        <f>Devis[[#This Row],[Poste 4]]*Devis[[#This Row],[Prix de Revient]]</f>
        <v>0</v>
      </c>
      <c r="Z2957" s="74">
        <f>Devis[[#This Row],[Poste 5]]*Devis[[#This Row],[Prix de Revient]]</f>
        <v>0</v>
      </c>
      <c r="AA2957" s="74">
        <f>Devis[[#This Row],[Prix de Revient]]*Devis[[#This Row],[Poste 6]]</f>
        <v>0</v>
      </c>
      <c r="AB2957" s="74">
        <f>Devis[[#This Row],[Quantité Totale]]*Devis[[#This Row],[Prix de Revient]]</f>
        <v>0</v>
      </c>
    </row>
    <row r="2958" spans="1:28" ht="14.25" outlineLevel="1" x14ac:dyDescent="0.2">
      <c r="A2958" s="75" t="s">
        <v>2794</v>
      </c>
      <c r="B2958" s="67" t="s">
        <v>5934</v>
      </c>
      <c r="C2958" s="67"/>
      <c r="D2958" s="163" t="str">
        <f>A2958&amp;B2958&amp;C2958</f>
        <v>Recup CalorieCompensateur / Dilatoflex</v>
      </c>
      <c r="E2958" s="76" t="s">
        <v>6415</v>
      </c>
      <c r="F2958" s="67">
        <v>2</v>
      </c>
      <c r="G2958" s="71" t="s">
        <v>6309</v>
      </c>
      <c r="H2958" s="71" t="s">
        <v>34</v>
      </c>
      <c r="I2958" s="71">
        <v>1504007</v>
      </c>
      <c r="J2958" s="70">
        <f>IFERROR(VLOOKUP(Devis[[#This Row],[Ref Air Flux]],#REF!,3,FALSE),0)</f>
        <v>0</v>
      </c>
      <c r="K2958" s="68"/>
      <c r="L2958" s="68"/>
      <c r="M2958" s="68"/>
      <c r="N2958" s="68"/>
      <c r="O2958" s="68"/>
      <c r="P2958" s="68"/>
      <c r="Q2958" s="68">
        <f>SUM(Devis[[#This Row],[Poste 1]:[Poste 6]])</f>
        <v>0</v>
      </c>
      <c r="R2958" s="71"/>
      <c r="S2958" s="68">
        <f>_xlfn.CEILING.MATH(Devis[[#This Row],[Quantité Totale]],Devis[[#This Row],[Conditionnement]])</f>
        <v>0</v>
      </c>
      <c r="T2958" s="72"/>
      <c r="U2958" s="106"/>
      <c r="V2958" s="74">
        <f>Devis[[#This Row],[Prix de Revient]]*Devis[[#This Row],[Poste 1]]</f>
        <v>0</v>
      </c>
      <c r="W2958" s="74">
        <f>Devis[[#This Row],[Prix de Revient]]*Devis[[#This Row],[Poste 2]]</f>
        <v>0</v>
      </c>
      <c r="X2958" s="74">
        <f>Devis[[#This Row],[Prix de Revient]]*Devis[[#This Row],[Poste 3]]</f>
        <v>0</v>
      </c>
      <c r="Y2958" s="74">
        <f>Devis[[#This Row],[Poste 4]]*Devis[[#This Row],[Prix de Revient]]</f>
        <v>0</v>
      </c>
      <c r="Z2958" s="74">
        <f>Devis[[#This Row],[Poste 5]]*Devis[[#This Row],[Prix de Revient]]</f>
        <v>0</v>
      </c>
      <c r="AA2958" s="74">
        <f>Devis[[#This Row],[Prix de Revient]]*Devis[[#This Row],[Poste 6]]</f>
        <v>0</v>
      </c>
      <c r="AB2958" s="74">
        <f>Devis[[#This Row],[Quantité Totale]]*Devis[[#This Row],[Prix de Revient]]</f>
        <v>0</v>
      </c>
    </row>
    <row r="2959" spans="1:28" ht="14.25" outlineLevel="1" x14ac:dyDescent="0.2">
      <c r="A2959" s="75" t="s">
        <v>2794</v>
      </c>
      <c r="B2959" s="67" t="s">
        <v>5934</v>
      </c>
      <c r="C2959" s="67"/>
      <c r="D2959" s="163" t="str">
        <f>A2959&amp;B2959&amp;C2959</f>
        <v>Recup CalorieCompensateur / Dilatoflex</v>
      </c>
      <c r="E2959" s="76" t="s">
        <v>6467</v>
      </c>
      <c r="F2959" s="67">
        <v>3</v>
      </c>
      <c r="G2959" s="165" t="s">
        <v>6468</v>
      </c>
      <c r="H2959" s="71" t="s">
        <v>34</v>
      </c>
      <c r="I2959" s="71">
        <v>1504009</v>
      </c>
      <c r="J2959" s="70">
        <f>IFERROR(VLOOKUP(Devis[[#This Row],[Ref Air Flux]],#REF!,3,FALSE),0)</f>
        <v>0</v>
      </c>
      <c r="K2959" s="68"/>
      <c r="L2959" s="68"/>
      <c r="M2959" s="68"/>
      <c r="N2959" s="68"/>
      <c r="O2959" s="68"/>
      <c r="P2959" s="68"/>
      <c r="Q2959" s="68">
        <f>SUM(Devis[[#This Row],[Poste 1]:[Poste 6]])</f>
        <v>0</v>
      </c>
      <c r="R2959" s="71"/>
      <c r="S2959" s="68">
        <f>_xlfn.CEILING.MATH(Devis[[#This Row],[Quantité Totale]],Devis[[#This Row],[Conditionnement]])</f>
        <v>0</v>
      </c>
      <c r="T2959" s="72"/>
      <c r="U2959" s="106"/>
      <c r="V2959" s="74">
        <f>Devis[[#This Row],[Prix de Revient]]*Devis[[#This Row],[Poste 1]]</f>
        <v>0</v>
      </c>
      <c r="W2959" s="74">
        <f>Devis[[#This Row],[Prix de Revient]]*Devis[[#This Row],[Poste 2]]</f>
        <v>0</v>
      </c>
      <c r="X2959" s="74">
        <f>Devis[[#This Row],[Prix de Revient]]*Devis[[#This Row],[Poste 3]]</f>
        <v>0</v>
      </c>
      <c r="Y2959" s="74">
        <f>Devis[[#This Row],[Poste 4]]*Devis[[#This Row],[Prix de Revient]]</f>
        <v>0</v>
      </c>
      <c r="Z2959" s="74">
        <f>Devis[[#This Row],[Poste 5]]*Devis[[#This Row],[Prix de Revient]]</f>
        <v>0</v>
      </c>
      <c r="AA2959" s="74">
        <f>Devis[[#This Row],[Prix de Revient]]*Devis[[#This Row],[Poste 6]]</f>
        <v>0</v>
      </c>
      <c r="AB2959" s="74">
        <f>Devis[[#This Row],[Quantité Totale]]*Devis[[#This Row],[Prix de Revient]]</f>
        <v>0</v>
      </c>
    </row>
    <row r="2960" spans="1:28" ht="14.25" outlineLevel="1" x14ac:dyDescent="0.2">
      <c r="A2960" s="75" t="s">
        <v>2794</v>
      </c>
      <c r="B2960" s="67" t="s">
        <v>5934</v>
      </c>
      <c r="C2960" s="67"/>
      <c r="D2960" s="163" t="str">
        <f>A2960&amp;B2960&amp;C2960</f>
        <v>Recup CalorieCompensateur / Dilatoflex</v>
      </c>
      <c r="E2960" s="76"/>
      <c r="F2960" s="67">
        <v>4</v>
      </c>
      <c r="G2960" s="71"/>
      <c r="H2960" s="71"/>
      <c r="I2960" s="71"/>
      <c r="J2960" s="70">
        <f>IFERROR(VLOOKUP(Devis[[#This Row],[Ref Air Flux]],#REF!,3,FALSE),0)</f>
        <v>0</v>
      </c>
      <c r="K2960" s="68"/>
      <c r="L2960" s="68"/>
      <c r="M2960" s="68"/>
      <c r="N2960" s="68"/>
      <c r="O2960" s="68"/>
      <c r="P2960" s="68"/>
      <c r="Q2960" s="68">
        <f>SUM(Devis[[#This Row],[Poste 1]:[Poste 6]])</f>
        <v>0</v>
      </c>
      <c r="R2960" s="71"/>
      <c r="S2960" s="68">
        <f>_xlfn.CEILING.MATH(Devis[[#This Row],[Quantité Totale]],Devis[[#This Row],[Conditionnement]])</f>
        <v>0</v>
      </c>
      <c r="T2960" s="72"/>
      <c r="U2960" s="106"/>
      <c r="V2960" s="74">
        <f>Devis[[#This Row],[Prix de Revient]]*Devis[[#This Row],[Poste 1]]</f>
        <v>0</v>
      </c>
      <c r="W2960" s="74">
        <f>Devis[[#This Row],[Prix de Revient]]*Devis[[#This Row],[Poste 2]]</f>
        <v>0</v>
      </c>
      <c r="X2960" s="74">
        <f>Devis[[#This Row],[Prix de Revient]]*Devis[[#This Row],[Poste 3]]</f>
        <v>0</v>
      </c>
      <c r="Y2960" s="74">
        <f>Devis[[#This Row],[Poste 4]]*Devis[[#This Row],[Prix de Revient]]</f>
        <v>0</v>
      </c>
      <c r="Z2960" s="74">
        <f>Devis[[#This Row],[Poste 5]]*Devis[[#This Row],[Prix de Revient]]</f>
        <v>0</v>
      </c>
      <c r="AA2960" s="74">
        <f>Devis[[#This Row],[Prix de Revient]]*Devis[[#This Row],[Poste 6]]</f>
        <v>0</v>
      </c>
      <c r="AB2960" s="74">
        <f>Devis[[#This Row],[Quantité Totale]]*Devis[[#This Row],[Prix de Revient]]</f>
        <v>0</v>
      </c>
    </row>
    <row r="2961" spans="1:28" ht="14.25" outlineLevel="1" x14ac:dyDescent="0.2">
      <c r="A2961" s="75" t="s">
        <v>2794</v>
      </c>
      <c r="B2961" s="67" t="s">
        <v>5934</v>
      </c>
      <c r="C2961" s="67"/>
      <c r="D2961" s="163" t="str">
        <f>A2961&amp;B2961&amp;C2961</f>
        <v>Recup CalorieCompensateur / Dilatoflex</v>
      </c>
      <c r="E2961" s="76" t="s">
        <v>6416</v>
      </c>
      <c r="F2961" s="67">
        <v>5</v>
      </c>
      <c r="G2961" s="71">
        <v>156065</v>
      </c>
      <c r="H2961" s="71" t="s">
        <v>34</v>
      </c>
      <c r="I2961" s="71">
        <v>156065</v>
      </c>
      <c r="J2961" s="70">
        <f>IFERROR(VLOOKUP(Devis[[#This Row],[Ref Air Flux]],#REF!,3,FALSE),0)</f>
        <v>0</v>
      </c>
      <c r="K2961" s="68"/>
      <c r="L2961" s="68"/>
      <c r="M2961" s="68"/>
      <c r="N2961" s="68"/>
      <c r="O2961" s="68"/>
      <c r="P2961" s="68"/>
      <c r="Q2961" s="68">
        <f>SUM(Devis[[#This Row],[Poste 1]:[Poste 6]])</f>
        <v>0</v>
      </c>
      <c r="R2961" s="71"/>
      <c r="S2961" s="68">
        <f>_xlfn.CEILING.MATH(Devis[[#This Row],[Quantité Totale]],Devis[[#This Row],[Conditionnement]])</f>
        <v>0</v>
      </c>
      <c r="T2961" s="72"/>
      <c r="U2961" s="106"/>
      <c r="V2961" s="74">
        <f>Devis[[#This Row],[Prix de Revient]]*Devis[[#This Row],[Poste 1]]</f>
        <v>0</v>
      </c>
      <c r="W2961" s="74">
        <f>Devis[[#This Row],[Prix de Revient]]*Devis[[#This Row],[Poste 2]]</f>
        <v>0</v>
      </c>
      <c r="X2961" s="74">
        <f>Devis[[#This Row],[Prix de Revient]]*Devis[[#This Row],[Poste 3]]</f>
        <v>0</v>
      </c>
      <c r="Y2961" s="74">
        <f>Devis[[#This Row],[Poste 4]]*Devis[[#This Row],[Prix de Revient]]</f>
        <v>0</v>
      </c>
      <c r="Z2961" s="74">
        <f>Devis[[#This Row],[Poste 5]]*Devis[[#This Row],[Prix de Revient]]</f>
        <v>0</v>
      </c>
      <c r="AA2961" s="74">
        <f>Devis[[#This Row],[Prix de Revient]]*Devis[[#This Row],[Poste 6]]</f>
        <v>0</v>
      </c>
      <c r="AB2961" s="74">
        <f>Devis[[#This Row],[Quantité Totale]]*Devis[[#This Row],[Prix de Revient]]</f>
        <v>0</v>
      </c>
    </row>
    <row r="2962" spans="1:28" ht="14.25" outlineLevel="1" x14ac:dyDescent="0.2">
      <c r="A2962" s="75" t="s">
        <v>2794</v>
      </c>
      <c r="B2962" s="67" t="s">
        <v>5934</v>
      </c>
      <c r="C2962" s="67"/>
      <c r="D2962" s="163" t="str">
        <f>A2962&amp;B2962&amp;C2962</f>
        <v>Recup CalorieCompensateur / Dilatoflex</v>
      </c>
      <c r="E2962" s="76" t="s">
        <v>6466</v>
      </c>
      <c r="F2962" s="67">
        <v>6</v>
      </c>
      <c r="G2962" s="166" t="s">
        <v>6465</v>
      </c>
      <c r="H2962" s="71" t="s">
        <v>34</v>
      </c>
      <c r="I2962" s="71">
        <v>1501080</v>
      </c>
      <c r="J2962" s="70">
        <f>IFERROR(VLOOKUP(Devis[[#This Row],[Ref Air Flux]],#REF!,3,FALSE),0)</f>
        <v>0</v>
      </c>
      <c r="K2962" s="68"/>
      <c r="L2962" s="68"/>
      <c r="M2962" s="68"/>
      <c r="N2962" s="68"/>
      <c r="O2962" s="68"/>
      <c r="P2962" s="68"/>
      <c r="Q2962" s="68">
        <f>SUM(Devis[[#This Row],[Poste 1]:[Poste 6]])</f>
        <v>0</v>
      </c>
      <c r="R2962" s="71"/>
      <c r="S2962" s="68">
        <f>_xlfn.CEILING.MATH(Devis[[#This Row],[Quantité Totale]],Devis[[#This Row],[Conditionnement]])</f>
        <v>0</v>
      </c>
      <c r="T2962" s="72"/>
      <c r="U2962" s="106"/>
      <c r="V2962" s="74">
        <f>Devis[[#This Row],[Prix de Revient]]*Devis[[#This Row],[Poste 1]]</f>
        <v>0</v>
      </c>
      <c r="W2962" s="74">
        <f>Devis[[#This Row],[Prix de Revient]]*Devis[[#This Row],[Poste 2]]</f>
        <v>0</v>
      </c>
      <c r="X2962" s="74">
        <f>Devis[[#This Row],[Prix de Revient]]*Devis[[#This Row],[Poste 3]]</f>
        <v>0</v>
      </c>
      <c r="Y2962" s="74">
        <f>Devis[[#This Row],[Poste 4]]*Devis[[#This Row],[Prix de Revient]]</f>
        <v>0</v>
      </c>
      <c r="Z2962" s="74">
        <f>Devis[[#This Row],[Poste 5]]*Devis[[#This Row],[Prix de Revient]]</f>
        <v>0</v>
      </c>
      <c r="AA2962" s="74">
        <f>Devis[[#This Row],[Prix de Revient]]*Devis[[#This Row],[Poste 6]]</f>
        <v>0</v>
      </c>
      <c r="AB2962" s="74">
        <f>Devis[[#This Row],[Quantité Totale]]*Devis[[#This Row],[Prix de Revient]]</f>
        <v>0</v>
      </c>
    </row>
    <row r="2963" spans="1:28" ht="14.25" outlineLevel="1" x14ac:dyDescent="0.2">
      <c r="A2963" s="75" t="s">
        <v>2794</v>
      </c>
      <c r="B2963" s="67" t="s">
        <v>5934</v>
      </c>
      <c r="C2963" s="67"/>
      <c r="D2963" s="76" t="s">
        <v>5897</v>
      </c>
      <c r="E2963" s="76" t="s">
        <v>5897</v>
      </c>
      <c r="F2963" s="67">
        <v>7</v>
      </c>
      <c r="G2963" s="71">
        <v>1560100</v>
      </c>
      <c r="H2963" s="71" t="s">
        <v>34</v>
      </c>
      <c r="I2963" s="71">
        <v>1560100</v>
      </c>
      <c r="J2963" s="70">
        <f>IFERROR(VLOOKUP(Devis[[#This Row],[Ref Air Flux]],#REF!,3,FALSE),0)</f>
        <v>0</v>
      </c>
      <c r="K2963" s="68"/>
      <c r="L2963" s="68"/>
      <c r="M2963" s="68"/>
      <c r="N2963" s="68"/>
      <c r="O2963" s="68"/>
      <c r="P2963" s="68"/>
      <c r="Q2963" s="68">
        <f>SUM(Devis[[#This Row],[Poste 1]:[Poste 6]])</f>
        <v>0</v>
      </c>
      <c r="R2963" s="71"/>
      <c r="S2963" s="68">
        <f>_xlfn.CEILING.MATH(Devis[[#This Row],[Quantité Totale]],Devis[[#This Row],[Conditionnement]])</f>
        <v>0</v>
      </c>
      <c r="T2963" s="72"/>
      <c r="U2963" s="106"/>
      <c r="V2963" s="74">
        <f>Devis[[#This Row],[Prix de Revient]]*Devis[[#This Row],[Poste 1]]</f>
        <v>0</v>
      </c>
      <c r="W2963" s="74">
        <f>Devis[[#This Row],[Prix de Revient]]*Devis[[#This Row],[Poste 2]]</f>
        <v>0</v>
      </c>
      <c r="X2963" s="74">
        <f>Devis[[#This Row],[Prix de Revient]]*Devis[[#This Row],[Poste 3]]</f>
        <v>0</v>
      </c>
      <c r="Y2963" s="74">
        <f>Devis[[#This Row],[Poste 4]]*Devis[[#This Row],[Prix de Revient]]</f>
        <v>0</v>
      </c>
      <c r="Z2963" s="74">
        <f>Devis[[#This Row],[Poste 5]]*Devis[[#This Row],[Prix de Revient]]</f>
        <v>0</v>
      </c>
      <c r="AA2963" s="74">
        <f>Devis[[#This Row],[Prix de Revient]]*Devis[[#This Row],[Poste 6]]</f>
        <v>0</v>
      </c>
      <c r="AB2963" s="74">
        <f>Devis[[#This Row],[Quantité Totale]]*Devis[[#This Row],[Prix de Revient]]</f>
        <v>0</v>
      </c>
    </row>
    <row r="2964" spans="1:28" ht="14.25" outlineLevel="1" x14ac:dyDescent="0.2">
      <c r="A2964" s="75" t="s">
        <v>2794</v>
      </c>
      <c r="B2964" s="67" t="s">
        <v>5934</v>
      </c>
      <c r="C2964" s="67"/>
      <c r="D2964" s="67" t="str">
        <f>Général!$A998&amp;Général!$B998&amp;Général!$C998</f>
        <v>FixationTube ItalienColliers</v>
      </c>
      <c r="E2964" s="76" t="s">
        <v>5935</v>
      </c>
      <c r="F2964" s="67">
        <v>8</v>
      </c>
      <c r="G2964" s="71">
        <v>1560150</v>
      </c>
      <c r="H2964" s="71" t="s">
        <v>34</v>
      </c>
      <c r="I2964" s="71">
        <v>1560150</v>
      </c>
      <c r="J2964" s="70">
        <f>IFERROR(VLOOKUP(Devis[[#This Row],[Ref Air Flux]],#REF!,3,FALSE),0)</f>
        <v>0</v>
      </c>
      <c r="K2964" s="68"/>
      <c r="L2964" s="68"/>
      <c r="M2964" s="68"/>
      <c r="N2964" s="68"/>
      <c r="O2964" s="68"/>
      <c r="P2964" s="68"/>
      <c r="Q2964" s="68">
        <f>SUM(Devis[[#This Row],[Poste 1]:[Poste 6]])</f>
        <v>0</v>
      </c>
      <c r="R2964" s="71"/>
      <c r="S2964" s="68">
        <f>_xlfn.CEILING.MATH(Devis[[#This Row],[Quantité Totale]],Devis[[#This Row],[Conditionnement]])</f>
        <v>0</v>
      </c>
      <c r="T2964" s="72"/>
      <c r="U2964" s="106"/>
      <c r="V2964" s="74">
        <f>Devis[[#This Row],[Prix de Revient]]*Devis[[#This Row],[Poste 1]]</f>
        <v>0</v>
      </c>
      <c r="W2964" s="74">
        <f>Devis[[#This Row],[Prix de Revient]]*Devis[[#This Row],[Poste 2]]</f>
        <v>0</v>
      </c>
      <c r="X2964" s="74">
        <f>Devis[[#This Row],[Prix de Revient]]*Devis[[#This Row],[Poste 3]]</f>
        <v>0</v>
      </c>
      <c r="Y2964" s="74">
        <f>Devis[[#This Row],[Poste 4]]*Devis[[#This Row],[Prix de Revient]]</f>
        <v>0</v>
      </c>
      <c r="Z2964" s="74">
        <f>Devis[[#This Row],[Poste 5]]*Devis[[#This Row],[Prix de Revient]]</f>
        <v>0</v>
      </c>
      <c r="AA2964" s="74">
        <f>Devis[[#This Row],[Prix de Revient]]*Devis[[#This Row],[Poste 6]]</f>
        <v>0</v>
      </c>
      <c r="AB2964" s="74">
        <f>Devis[[#This Row],[Quantité Totale]]*Devis[[#This Row],[Prix de Revient]]</f>
        <v>0</v>
      </c>
    </row>
    <row r="2965" spans="1:28" ht="14.25" customHeight="1" x14ac:dyDescent="0.25">
      <c r="A2965" s="65" t="s">
        <v>2794</v>
      </c>
      <c r="B2965" s="65" t="s">
        <v>3692</v>
      </c>
      <c r="C2965" s="76"/>
      <c r="D2965" s="81" t="str">
        <f>A2965&amp;B2965&amp;C2965</f>
        <v>Recup CalorieDisconnecteur</v>
      </c>
      <c r="E2965" s="76"/>
      <c r="F2965" s="81">
        <v>0</v>
      </c>
      <c r="G2965" s="86"/>
      <c r="H2965" s="71"/>
      <c r="I2965" s="102"/>
      <c r="J2965" s="70">
        <f>IFERROR(VLOOKUP(Devis[[#This Row],[Ref Air Flux]],#REF!,3,FALSE),0)</f>
        <v>0</v>
      </c>
      <c r="K2965" s="68"/>
      <c r="L2965" s="68"/>
      <c r="M2965" s="68"/>
      <c r="N2965" s="68"/>
      <c r="O2965" s="68"/>
      <c r="P2965" s="68"/>
      <c r="Q2965" s="68">
        <f>SUM(Devis[[#This Row],[Poste 1]:[Poste 6]])</f>
        <v>0</v>
      </c>
      <c r="R2965" s="71"/>
      <c r="S2965" s="68">
        <f>_xlfn.CEILING.MATH(Devis[[#This Row],[Quantité Totale]],Devis[[#This Row],[Conditionnement]])</f>
        <v>0</v>
      </c>
      <c r="T2965" s="72"/>
      <c r="U2965" s="106"/>
      <c r="V2965" s="74">
        <f>Devis[[#This Row],[Prix de Revient]]*Devis[[#This Row],[Poste 1]]</f>
        <v>0</v>
      </c>
      <c r="W2965" s="74">
        <f>Devis[[#This Row],[Prix de Revient]]*Devis[[#This Row],[Poste 2]]</f>
        <v>0</v>
      </c>
      <c r="X2965" s="74">
        <f>Devis[[#This Row],[Prix de Revient]]*Devis[[#This Row],[Poste 3]]</f>
        <v>0</v>
      </c>
      <c r="Y2965" s="74">
        <f>Devis[[#This Row],[Poste 4]]*Devis[[#This Row],[Prix de Revient]]</f>
        <v>0</v>
      </c>
      <c r="Z2965" s="74">
        <f>Devis[[#This Row],[Poste 5]]*Devis[[#This Row],[Prix de Revient]]</f>
        <v>0</v>
      </c>
      <c r="AA2965" s="74">
        <f>Devis[[#This Row],[Prix de Revient]]*Devis[[#This Row],[Poste 6]]</f>
        <v>0</v>
      </c>
      <c r="AB2965" s="74">
        <f>Devis[[#This Row],[Quantité Totale]]*Devis[[#This Row],[Prix de Revient]]</f>
        <v>0</v>
      </c>
    </row>
    <row r="2966" spans="1:28" ht="14.25" customHeight="1" outlineLevel="1" x14ac:dyDescent="0.2">
      <c r="A2966" s="75" t="s">
        <v>2794</v>
      </c>
      <c r="B2966" s="76" t="s">
        <v>3692</v>
      </c>
      <c r="C2966" s="76"/>
      <c r="D2966" s="81" t="str">
        <f>A2966&amp;B2966&amp;C2966</f>
        <v>Recup CalorieDisconnecteur</v>
      </c>
      <c r="E2966" s="76" t="s">
        <v>3698</v>
      </c>
      <c r="F2966" s="81">
        <v>1</v>
      </c>
      <c r="G2966" s="86" t="s">
        <v>3285</v>
      </c>
      <c r="H2966" s="71" t="s">
        <v>34</v>
      </c>
      <c r="I2966" s="86" t="s">
        <v>3285</v>
      </c>
      <c r="J2966" s="70">
        <f>IFERROR(VLOOKUP(Devis[[#This Row],[Ref Air Flux]],#REF!,3,FALSE),0)</f>
        <v>0</v>
      </c>
      <c r="K2966" s="68"/>
      <c r="L2966" s="68"/>
      <c r="M2966" s="68"/>
      <c r="N2966" s="68"/>
      <c r="O2966" s="68"/>
      <c r="P2966" s="68"/>
      <c r="Q2966" s="68">
        <f>SUM(Devis[[#This Row],[Poste 1]:[Poste 6]])</f>
        <v>0</v>
      </c>
      <c r="R2966" s="71"/>
      <c r="S2966" s="68">
        <f>_xlfn.CEILING.MATH(Devis[[#This Row],[Quantité Totale]],Devis[[#This Row],[Conditionnement]])</f>
        <v>0</v>
      </c>
      <c r="T2966" s="72"/>
      <c r="U2966" s="106"/>
      <c r="V2966" s="74">
        <f>Devis[[#This Row],[Prix de Revient]]*Devis[[#This Row],[Poste 1]]</f>
        <v>0</v>
      </c>
      <c r="W2966" s="74">
        <f>Devis[[#This Row],[Prix de Revient]]*Devis[[#This Row],[Poste 2]]</f>
        <v>0</v>
      </c>
      <c r="X2966" s="74">
        <f>Devis[[#This Row],[Prix de Revient]]*Devis[[#This Row],[Poste 3]]</f>
        <v>0</v>
      </c>
      <c r="Y2966" s="74">
        <f>Devis[[#This Row],[Poste 4]]*Devis[[#This Row],[Prix de Revient]]</f>
        <v>0</v>
      </c>
      <c r="Z2966" s="74">
        <f>Devis[[#This Row],[Poste 5]]*Devis[[#This Row],[Prix de Revient]]</f>
        <v>0</v>
      </c>
      <c r="AA2966" s="74">
        <f>Devis[[#This Row],[Prix de Revient]]*Devis[[#This Row],[Poste 6]]</f>
        <v>0</v>
      </c>
      <c r="AB2966" s="74">
        <f>Devis[[#This Row],[Quantité Totale]]*Devis[[#This Row],[Prix de Revient]]</f>
        <v>0</v>
      </c>
    </row>
    <row r="2967" spans="1:28" ht="14.25" outlineLevel="1" x14ac:dyDescent="0.2">
      <c r="A2967" s="75" t="s">
        <v>2794</v>
      </c>
      <c r="B2967" s="76" t="s">
        <v>3692</v>
      </c>
      <c r="C2967" s="67"/>
      <c r="D2967" s="67" t="str">
        <f>Général!$A770&amp;Général!$B770&amp;Général!$C770</f>
        <v>DiversEchaffaudage,echelle,escabeaux Gazelle</v>
      </c>
      <c r="E2967" s="76" t="s">
        <v>5896</v>
      </c>
      <c r="F2967" s="76">
        <v>2</v>
      </c>
      <c r="G2967" s="71" t="s">
        <v>2823</v>
      </c>
      <c r="H2967" s="71" t="s">
        <v>2798</v>
      </c>
      <c r="I2967" s="71" t="s">
        <v>2823</v>
      </c>
      <c r="J2967" s="70">
        <f>IFERROR(VLOOKUP(Devis[[#This Row],[Ref Air Flux]],#REF!,3,FALSE),0)</f>
        <v>0</v>
      </c>
      <c r="K2967" s="68"/>
      <c r="L2967" s="68"/>
      <c r="M2967" s="68"/>
      <c r="N2967" s="68"/>
      <c r="O2967" s="68"/>
      <c r="P2967" s="68"/>
      <c r="Q2967" s="68">
        <f>SUM(Devis[[#This Row],[Poste 1]:[Poste 6]])</f>
        <v>0</v>
      </c>
      <c r="R2967" s="71"/>
      <c r="S2967" s="68">
        <f>_xlfn.CEILING.MATH(Devis[[#This Row],[Quantité Totale]],Devis[[#This Row],[Conditionnement]])</f>
        <v>0</v>
      </c>
      <c r="T2967" s="72"/>
      <c r="U2967" s="106"/>
      <c r="V2967" s="74">
        <f>Devis[[#This Row],[Prix de Revient]]*Devis[[#This Row],[Poste 1]]</f>
        <v>0</v>
      </c>
      <c r="W2967" s="74">
        <f>Devis[[#This Row],[Prix de Revient]]*Devis[[#This Row],[Poste 2]]</f>
        <v>0</v>
      </c>
      <c r="X2967" s="74">
        <f>Devis[[#This Row],[Prix de Revient]]*Devis[[#This Row],[Poste 3]]</f>
        <v>0</v>
      </c>
      <c r="Y2967" s="74">
        <f>Devis[[#This Row],[Poste 4]]*Devis[[#This Row],[Prix de Revient]]</f>
        <v>0</v>
      </c>
      <c r="Z2967" s="74">
        <f>Devis[[#This Row],[Poste 5]]*Devis[[#This Row],[Prix de Revient]]</f>
        <v>0</v>
      </c>
      <c r="AA2967" s="74">
        <f>Devis[[#This Row],[Prix de Revient]]*Devis[[#This Row],[Poste 6]]</f>
        <v>0</v>
      </c>
      <c r="AB2967" s="74">
        <f>Devis[[#This Row],[Quantité Totale]]*Devis[[#This Row],[Prix de Revient]]</f>
        <v>0</v>
      </c>
    </row>
    <row r="2968" spans="1:28" ht="14.25" outlineLevel="1" x14ac:dyDescent="0.2">
      <c r="A2968" s="75" t="s">
        <v>2794</v>
      </c>
      <c r="B2968" s="76" t="s">
        <v>3692</v>
      </c>
      <c r="C2968" s="76"/>
      <c r="D2968" s="81" t="str">
        <f t="shared" ref="D2968:D2997" si="51">A2968&amp;B2968&amp;C2968</f>
        <v>Recup CalorieDisconnecteur</v>
      </c>
      <c r="E2968" s="76" t="s">
        <v>3699</v>
      </c>
      <c r="F2968" s="81">
        <v>3</v>
      </c>
      <c r="G2968" s="86" t="s">
        <v>3701</v>
      </c>
      <c r="H2968" s="71" t="s">
        <v>3700</v>
      </c>
      <c r="I2968" s="86" t="s">
        <v>3701</v>
      </c>
      <c r="J2968" s="70">
        <f>IFERROR(VLOOKUP(Devis[[#This Row],[Ref Air Flux]],#REF!,3,FALSE),0)</f>
        <v>0</v>
      </c>
      <c r="K2968" s="68"/>
      <c r="L2968" s="68"/>
      <c r="M2968" s="68"/>
      <c r="N2968" s="68"/>
      <c r="O2968" s="68"/>
      <c r="P2968" s="68"/>
      <c r="Q2968" s="68">
        <f>SUM(Devis[[#This Row],[Poste 1]:[Poste 6]])</f>
        <v>0</v>
      </c>
      <c r="R2968" s="71"/>
      <c r="S2968" s="68">
        <f>_xlfn.CEILING.MATH(Devis[[#This Row],[Quantité Totale]],Devis[[#This Row],[Conditionnement]])</f>
        <v>0</v>
      </c>
      <c r="T2968" s="72"/>
      <c r="U2968" s="106"/>
      <c r="V2968" s="74">
        <f>Devis[[#This Row],[Prix de Revient]]*Devis[[#This Row],[Poste 1]]</f>
        <v>0</v>
      </c>
      <c r="W2968" s="74">
        <f>Devis[[#This Row],[Prix de Revient]]*Devis[[#This Row],[Poste 2]]</f>
        <v>0</v>
      </c>
      <c r="X2968" s="74">
        <f>Devis[[#This Row],[Prix de Revient]]*Devis[[#This Row],[Poste 3]]</f>
        <v>0</v>
      </c>
      <c r="Y2968" s="74">
        <f>Devis[[#This Row],[Poste 4]]*Devis[[#This Row],[Prix de Revient]]</f>
        <v>0</v>
      </c>
      <c r="Z2968" s="74">
        <f>Devis[[#This Row],[Poste 5]]*Devis[[#This Row],[Prix de Revient]]</f>
        <v>0</v>
      </c>
      <c r="AA2968" s="74">
        <f>Devis[[#This Row],[Prix de Revient]]*Devis[[#This Row],[Poste 6]]</f>
        <v>0</v>
      </c>
      <c r="AB2968" s="74">
        <f>Devis[[#This Row],[Quantité Totale]]*Devis[[#This Row],[Prix de Revient]]</f>
        <v>0</v>
      </c>
    </row>
    <row r="2969" spans="1:28" ht="14.25" customHeight="1" outlineLevel="1" x14ac:dyDescent="0.2">
      <c r="A2969" s="75" t="s">
        <v>2794</v>
      </c>
      <c r="B2969" s="76" t="s">
        <v>3692</v>
      </c>
      <c r="C2969" s="76"/>
      <c r="D2969" s="81" t="str">
        <f t="shared" si="51"/>
        <v>Recup CalorieDisconnecteur</v>
      </c>
      <c r="E2969" s="76" t="s">
        <v>3702</v>
      </c>
      <c r="F2969" s="81">
        <v>4</v>
      </c>
      <c r="G2969" s="86" t="s">
        <v>3703</v>
      </c>
      <c r="H2969" s="71" t="s">
        <v>3700</v>
      </c>
      <c r="I2969" s="86" t="s">
        <v>3703</v>
      </c>
      <c r="J2969" s="70">
        <f>IFERROR(VLOOKUP(Devis[[#This Row],[Ref Air Flux]],#REF!,3,FALSE),0)</f>
        <v>0</v>
      </c>
      <c r="K2969" s="68"/>
      <c r="L2969" s="68"/>
      <c r="M2969" s="68"/>
      <c r="N2969" s="68"/>
      <c r="O2969" s="68"/>
      <c r="P2969" s="68"/>
      <c r="Q2969" s="68">
        <f>SUM(Devis[[#This Row],[Poste 1]:[Poste 6]])</f>
        <v>0</v>
      </c>
      <c r="R2969" s="71"/>
      <c r="S2969" s="68">
        <f>_xlfn.CEILING.MATH(Devis[[#This Row],[Quantité Totale]],Devis[[#This Row],[Conditionnement]])</f>
        <v>0</v>
      </c>
      <c r="T2969" s="72"/>
      <c r="U2969" s="106"/>
      <c r="V2969" s="74">
        <f>Devis[[#This Row],[Prix de Revient]]*Devis[[#This Row],[Poste 1]]</f>
        <v>0</v>
      </c>
      <c r="W2969" s="74">
        <f>Devis[[#This Row],[Prix de Revient]]*Devis[[#This Row],[Poste 2]]</f>
        <v>0</v>
      </c>
      <c r="X2969" s="74">
        <f>Devis[[#This Row],[Prix de Revient]]*Devis[[#This Row],[Poste 3]]</f>
        <v>0</v>
      </c>
      <c r="Y2969" s="74">
        <f>Devis[[#This Row],[Poste 4]]*Devis[[#This Row],[Prix de Revient]]</f>
        <v>0</v>
      </c>
      <c r="Z2969" s="74">
        <f>Devis[[#This Row],[Poste 5]]*Devis[[#This Row],[Prix de Revient]]</f>
        <v>0</v>
      </c>
      <c r="AA2969" s="74">
        <f>Devis[[#This Row],[Prix de Revient]]*Devis[[#This Row],[Poste 6]]</f>
        <v>0</v>
      </c>
      <c r="AB2969" s="74">
        <f>Devis[[#This Row],[Quantité Totale]]*Devis[[#This Row],[Prix de Revient]]</f>
        <v>0</v>
      </c>
    </row>
    <row r="2970" spans="1:28" ht="14.25" customHeight="1" outlineLevel="1" x14ac:dyDescent="0.2">
      <c r="A2970" s="75" t="s">
        <v>2794</v>
      </c>
      <c r="B2970" s="76" t="s">
        <v>3692</v>
      </c>
      <c r="C2970" s="76"/>
      <c r="D2970" s="81" t="str">
        <f>A2970&amp;B2970&amp;C2970</f>
        <v>Recup CalorieDisconnecteur</v>
      </c>
      <c r="E2970" s="76" t="s">
        <v>6411</v>
      </c>
      <c r="F2970" s="76">
        <v>5</v>
      </c>
      <c r="G2970" s="86" t="s">
        <v>6408</v>
      </c>
      <c r="H2970" s="71" t="s">
        <v>3700</v>
      </c>
      <c r="I2970" s="86" t="s">
        <v>6408</v>
      </c>
      <c r="J2970" s="70">
        <f>IFERROR(VLOOKUP(Devis[[#This Row],[Ref Air Flux]],#REF!,3,FALSE),0)</f>
        <v>0</v>
      </c>
      <c r="K2970" s="68"/>
      <c r="L2970" s="68"/>
      <c r="M2970" s="68"/>
      <c r="N2970" s="68"/>
      <c r="O2970" s="68"/>
      <c r="P2970" s="68"/>
      <c r="Q2970" s="68">
        <f>SUM(Devis[[#This Row],[Poste 1]:[Poste 6]])</f>
        <v>0</v>
      </c>
      <c r="R2970" s="71"/>
      <c r="S2970" s="68">
        <f>_xlfn.CEILING.MATH(Devis[[#This Row],[Quantité Totale]],Devis[[#This Row],[Conditionnement]])</f>
        <v>0</v>
      </c>
      <c r="T2970" s="72"/>
      <c r="U2970" s="106"/>
      <c r="V2970" s="74">
        <f>Devis[[#This Row],[Prix de Revient]]*Devis[[#This Row],[Poste 1]]</f>
        <v>0</v>
      </c>
      <c r="W2970" s="74">
        <f>Devis[[#This Row],[Prix de Revient]]*Devis[[#This Row],[Poste 2]]</f>
        <v>0</v>
      </c>
      <c r="X2970" s="74">
        <f>Devis[[#This Row],[Prix de Revient]]*Devis[[#This Row],[Poste 3]]</f>
        <v>0</v>
      </c>
      <c r="Y2970" s="74">
        <f>Devis[[#This Row],[Poste 4]]*Devis[[#This Row],[Prix de Revient]]</f>
        <v>0</v>
      </c>
      <c r="Z2970" s="74">
        <f>Devis[[#This Row],[Poste 5]]*Devis[[#This Row],[Prix de Revient]]</f>
        <v>0</v>
      </c>
      <c r="AA2970" s="74">
        <f>Devis[[#This Row],[Prix de Revient]]*Devis[[#This Row],[Poste 6]]</f>
        <v>0</v>
      </c>
      <c r="AB2970" s="74">
        <f>Devis[[#This Row],[Quantité Totale]]*Devis[[#This Row],[Prix de Revient]]</f>
        <v>0</v>
      </c>
    </row>
    <row r="2971" spans="1:28" ht="14.25" customHeight="1" outlineLevel="1" x14ac:dyDescent="0.2">
      <c r="A2971" s="75" t="s">
        <v>2794</v>
      </c>
      <c r="B2971" s="76" t="s">
        <v>3692</v>
      </c>
      <c r="C2971" s="76"/>
      <c r="D2971" s="81" t="str">
        <f>A2971&amp;B2971&amp;C2971</f>
        <v>Recup CalorieDisconnecteur</v>
      </c>
      <c r="E2971" s="76" t="s">
        <v>6412</v>
      </c>
      <c r="F2971" s="76">
        <v>6</v>
      </c>
      <c r="G2971" s="86" t="s">
        <v>6409</v>
      </c>
      <c r="H2971" s="71" t="s">
        <v>3700</v>
      </c>
      <c r="I2971" s="86" t="s">
        <v>6409</v>
      </c>
      <c r="J2971" s="70">
        <f>IFERROR(VLOOKUP(Devis[[#This Row],[Ref Air Flux]],#REF!,3,FALSE),0)</f>
        <v>0</v>
      </c>
      <c r="K2971" s="68"/>
      <c r="L2971" s="68"/>
      <c r="M2971" s="68"/>
      <c r="N2971" s="68"/>
      <c r="O2971" s="68"/>
      <c r="P2971" s="68"/>
      <c r="Q2971" s="68">
        <f>SUM(Devis[[#This Row],[Poste 1]:[Poste 6]])</f>
        <v>0</v>
      </c>
      <c r="R2971" s="71"/>
      <c r="S2971" s="68">
        <f>_xlfn.CEILING.MATH(Devis[[#This Row],[Quantité Totale]],Devis[[#This Row],[Conditionnement]])</f>
        <v>0</v>
      </c>
      <c r="T2971" s="72"/>
      <c r="U2971" s="106"/>
      <c r="V2971" s="74">
        <f>Devis[[#This Row],[Prix de Revient]]*Devis[[#This Row],[Poste 1]]</f>
        <v>0</v>
      </c>
      <c r="W2971" s="74">
        <f>Devis[[#This Row],[Prix de Revient]]*Devis[[#This Row],[Poste 2]]</f>
        <v>0</v>
      </c>
      <c r="X2971" s="74">
        <f>Devis[[#This Row],[Prix de Revient]]*Devis[[#This Row],[Poste 3]]</f>
        <v>0</v>
      </c>
      <c r="Y2971" s="74">
        <f>Devis[[#This Row],[Poste 4]]*Devis[[#This Row],[Prix de Revient]]</f>
        <v>0</v>
      </c>
      <c r="Z2971" s="74">
        <f>Devis[[#This Row],[Poste 5]]*Devis[[#This Row],[Prix de Revient]]</f>
        <v>0</v>
      </c>
      <c r="AA2971" s="74">
        <f>Devis[[#This Row],[Prix de Revient]]*Devis[[#This Row],[Poste 6]]</f>
        <v>0</v>
      </c>
      <c r="AB2971" s="74">
        <f>Devis[[#This Row],[Quantité Totale]]*Devis[[#This Row],[Prix de Revient]]</f>
        <v>0</v>
      </c>
    </row>
    <row r="2972" spans="1:28" ht="14.25" customHeight="1" outlineLevel="1" x14ac:dyDescent="0.2">
      <c r="A2972" s="75" t="s">
        <v>2794</v>
      </c>
      <c r="B2972" s="76" t="s">
        <v>3692</v>
      </c>
      <c r="C2972" s="76"/>
      <c r="D2972" s="81" t="str">
        <f>A2972&amp;B2972&amp;C2972</f>
        <v>Recup CalorieDisconnecteur</v>
      </c>
      <c r="E2972" s="76" t="s">
        <v>6413</v>
      </c>
      <c r="F2972" s="76">
        <v>7</v>
      </c>
      <c r="G2972" s="86" t="s">
        <v>6410</v>
      </c>
      <c r="H2972" s="71" t="s">
        <v>3700</v>
      </c>
      <c r="I2972" s="86" t="s">
        <v>6410</v>
      </c>
      <c r="J2972" s="70">
        <f>IFERROR(VLOOKUP(Devis[[#This Row],[Ref Air Flux]],#REF!,3,FALSE),0)</f>
        <v>0</v>
      </c>
      <c r="K2972" s="68"/>
      <c r="L2972" s="68"/>
      <c r="M2972" s="68"/>
      <c r="N2972" s="68"/>
      <c r="O2972" s="68"/>
      <c r="P2972" s="68"/>
      <c r="Q2972" s="68">
        <f>SUM(Devis[[#This Row],[Poste 1]:[Poste 6]])</f>
        <v>0</v>
      </c>
      <c r="R2972" s="71"/>
      <c r="S2972" s="68">
        <f>_xlfn.CEILING.MATH(Devis[[#This Row],[Quantité Totale]],Devis[[#This Row],[Conditionnement]])</f>
        <v>0</v>
      </c>
      <c r="T2972" s="72"/>
      <c r="U2972" s="106"/>
      <c r="V2972" s="74">
        <f>Devis[[#This Row],[Prix de Revient]]*Devis[[#This Row],[Poste 1]]</f>
        <v>0</v>
      </c>
      <c r="W2972" s="74">
        <f>Devis[[#This Row],[Prix de Revient]]*Devis[[#This Row],[Poste 2]]</f>
        <v>0</v>
      </c>
      <c r="X2972" s="74">
        <f>Devis[[#This Row],[Prix de Revient]]*Devis[[#This Row],[Poste 3]]</f>
        <v>0</v>
      </c>
      <c r="Y2972" s="74">
        <f>Devis[[#This Row],[Poste 4]]*Devis[[#This Row],[Prix de Revient]]</f>
        <v>0</v>
      </c>
      <c r="Z2972" s="74">
        <f>Devis[[#This Row],[Poste 5]]*Devis[[#This Row],[Prix de Revient]]</f>
        <v>0</v>
      </c>
      <c r="AA2972" s="74">
        <f>Devis[[#This Row],[Prix de Revient]]*Devis[[#This Row],[Poste 6]]</f>
        <v>0</v>
      </c>
      <c r="AB2972" s="74">
        <f>Devis[[#This Row],[Quantité Totale]]*Devis[[#This Row],[Prix de Revient]]</f>
        <v>0</v>
      </c>
    </row>
    <row r="2973" spans="1:28" ht="14.25" outlineLevel="1" x14ac:dyDescent="0.2">
      <c r="A2973" s="75" t="s">
        <v>2794</v>
      </c>
      <c r="B2973" s="76" t="s">
        <v>3692</v>
      </c>
      <c r="C2973" s="76"/>
      <c r="D2973" s="81" t="str">
        <f t="shared" si="51"/>
        <v>Recup CalorieDisconnecteur</v>
      </c>
      <c r="E2973" s="76" t="s">
        <v>3693</v>
      </c>
      <c r="F2973" s="81">
        <v>8</v>
      </c>
      <c r="G2973" s="86" t="s">
        <v>3695</v>
      </c>
      <c r="H2973" s="71" t="s">
        <v>3696</v>
      </c>
      <c r="I2973" s="102" t="s">
        <v>3695</v>
      </c>
      <c r="J2973" s="70">
        <f>IFERROR(VLOOKUP(Devis[[#This Row],[Ref Air Flux]],#REF!,3,FALSE),0)</f>
        <v>0</v>
      </c>
      <c r="K2973" s="68"/>
      <c r="L2973" s="68"/>
      <c r="M2973" s="68"/>
      <c r="N2973" s="68"/>
      <c r="O2973" s="68"/>
      <c r="P2973" s="68"/>
      <c r="Q2973" s="68">
        <f>SUM(Devis[[#This Row],[Poste 1]:[Poste 6]])</f>
        <v>0</v>
      </c>
      <c r="R2973" s="71"/>
      <c r="S2973" s="68">
        <f>_xlfn.CEILING.MATH(Devis[[#This Row],[Quantité Totale]],Devis[[#This Row],[Conditionnement]])</f>
        <v>0</v>
      </c>
      <c r="T2973" s="72"/>
      <c r="U2973" s="106"/>
      <c r="V2973" s="74">
        <f>Devis[[#This Row],[Prix de Revient]]*Devis[[#This Row],[Poste 1]]</f>
        <v>0</v>
      </c>
      <c r="W2973" s="74">
        <f>Devis[[#This Row],[Prix de Revient]]*Devis[[#This Row],[Poste 2]]</f>
        <v>0</v>
      </c>
      <c r="X2973" s="74">
        <f>Devis[[#This Row],[Prix de Revient]]*Devis[[#This Row],[Poste 3]]</f>
        <v>0</v>
      </c>
      <c r="Y2973" s="74">
        <f>Devis[[#This Row],[Poste 4]]*Devis[[#This Row],[Prix de Revient]]</f>
        <v>0</v>
      </c>
      <c r="Z2973" s="74">
        <f>Devis[[#This Row],[Poste 5]]*Devis[[#This Row],[Prix de Revient]]</f>
        <v>0</v>
      </c>
      <c r="AA2973" s="74">
        <f>Devis[[#This Row],[Prix de Revient]]*Devis[[#This Row],[Poste 6]]</f>
        <v>0</v>
      </c>
      <c r="AB2973" s="74">
        <f>Devis[[#This Row],[Quantité Totale]]*Devis[[#This Row],[Prix de Revient]]</f>
        <v>0</v>
      </c>
    </row>
    <row r="2974" spans="1:28" ht="14.25" outlineLevel="1" x14ac:dyDescent="0.2">
      <c r="A2974" s="75" t="s">
        <v>2794</v>
      </c>
      <c r="B2974" s="76" t="s">
        <v>3692</v>
      </c>
      <c r="C2974" s="76"/>
      <c r="D2974" s="81" t="str">
        <f t="shared" si="51"/>
        <v>Recup CalorieDisconnecteur</v>
      </c>
      <c r="E2974" s="76" t="s">
        <v>3694</v>
      </c>
      <c r="F2974" s="81">
        <v>9</v>
      </c>
      <c r="G2974" s="86" t="s">
        <v>3697</v>
      </c>
      <c r="H2974" s="71" t="s">
        <v>3696</v>
      </c>
      <c r="I2974" s="102" t="s">
        <v>3697</v>
      </c>
      <c r="J2974" s="70">
        <f>IFERROR(VLOOKUP(Devis[[#This Row],[Ref Air Flux]],#REF!,3,FALSE),0)</f>
        <v>0</v>
      </c>
      <c r="K2974" s="68"/>
      <c r="L2974" s="68"/>
      <c r="M2974" s="68"/>
      <c r="N2974" s="68"/>
      <c r="O2974" s="68"/>
      <c r="P2974" s="68"/>
      <c r="Q2974" s="68">
        <f>SUM(Devis[[#This Row],[Poste 1]:[Poste 6]])</f>
        <v>0</v>
      </c>
      <c r="R2974" s="71"/>
      <c r="S2974" s="68">
        <f>_xlfn.CEILING.MATH(Devis[[#This Row],[Quantité Totale]],Devis[[#This Row],[Conditionnement]])</f>
        <v>0</v>
      </c>
      <c r="T2974" s="72"/>
      <c r="U2974" s="106"/>
      <c r="V2974" s="74">
        <f>Devis[[#This Row],[Prix de Revient]]*Devis[[#This Row],[Poste 1]]</f>
        <v>0</v>
      </c>
      <c r="W2974" s="74">
        <f>Devis[[#This Row],[Prix de Revient]]*Devis[[#This Row],[Poste 2]]</f>
        <v>0</v>
      </c>
      <c r="X2974" s="74">
        <f>Devis[[#This Row],[Prix de Revient]]*Devis[[#This Row],[Poste 3]]</f>
        <v>0</v>
      </c>
      <c r="Y2974" s="74">
        <f>Devis[[#This Row],[Poste 4]]*Devis[[#This Row],[Prix de Revient]]</f>
        <v>0</v>
      </c>
      <c r="Z2974" s="74">
        <f>Devis[[#This Row],[Poste 5]]*Devis[[#This Row],[Prix de Revient]]</f>
        <v>0</v>
      </c>
      <c r="AA2974" s="74">
        <f>Devis[[#This Row],[Prix de Revient]]*Devis[[#This Row],[Poste 6]]</f>
        <v>0</v>
      </c>
      <c r="AB2974" s="74">
        <f>Devis[[#This Row],[Quantité Totale]]*Devis[[#This Row],[Prix de Revient]]</f>
        <v>0</v>
      </c>
    </row>
    <row r="2975" spans="1:28" ht="14.25" customHeight="1" x14ac:dyDescent="0.25">
      <c r="A2975" s="65" t="s">
        <v>2794</v>
      </c>
      <c r="B2975" s="65" t="s">
        <v>3600</v>
      </c>
      <c r="C2975" s="76"/>
      <c r="D2975" s="81" t="str">
        <f t="shared" si="51"/>
        <v>Recup CalorieDoigt de gant</v>
      </c>
      <c r="E2975" s="76"/>
      <c r="F2975" s="81">
        <v>0</v>
      </c>
      <c r="G2975" s="86"/>
      <c r="H2975" s="71"/>
      <c r="I2975" s="102"/>
      <c r="J2975" s="70">
        <f>IFERROR(VLOOKUP(Devis[[#This Row],[Ref Air Flux]],#REF!,3,FALSE),0)</f>
        <v>0</v>
      </c>
      <c r="K2975" s="68"/>
      <c r="L2975" s="68"/>
      <c r="M2975" s="68"/>
      <c r="N2975" s="68"/>
      <c r="O2975" s="68"/>
      <c r="P2975" s="68"/>
      <c r="Q2975" s="68">
        <f>SUM(Devis[[#This Row],[Poste 1]:[Poste 6]])</f>
        <v>0</v>
      </c>
      <c r="R2975" s="71"/>
      <c r="S2975" s="68">
        <f>_xlfn.CEILING.MATH(Devis[[#This Row],[Quantité Totale]],Devis[[#This Row],[Conditionnement]])</f>
        <v>0</v>
      </c>
      <c r="T2975" s="72"/>
      <c r="U2975" s="106"/>
      <c r="V2975" s="74">
        <f>Devis[[#This Row],[Prix de Revient]]*Devis[[#This Row],[Poste 1]]</f>
        <v>0</v>
      </c>
      <c r="W2975" s="74">
        <f>Devis[[#This Row],[Prix de Revient]]*Devis[[#This Row],[Poste 2]]</f>
        <v>0</v>
      </c>
      <c r="X2975" s="74">
        <f>Devis[[#This Row],[Prix de Revient]]*Devis[[#This Row],[Poste 3]]</f>
        <v>0</v>
      </c>
      <c r="Y2975" s="74">
        <f>Devis[[#This Row],[Poste 4]]*Devis[[#This Row],[Prix de Revient]]</f>
        <v>0</v>
      </c>
      <c r="Z2975" s="74">
        <f>Devis[[#This Row],[Poste 5]]*Devis[[#This Row],[Prix de Revient]]</f>
        <v>0</v>
      </c>
      <c r="AA2975" s="74">
        <f>Devis[[#This Row],[Prix de Revient]]*Devis[[#This Row],[Poste 6]]</f>
        <v>0</v>
      </c>
      <c r="AB2975" s="74">
        <f>Devis[[#This Row],[Quantité Totale]]*Devis[[#This Row],[Prix de Revient]]</f>
        <v>0</v>
      </c>
    </row>
    <row r="2976" spans="1:28" ht="14.25" outlineLevel="1" x14ac:dyDescent="0.2">
      <c r="A2976" s="75" t="s">
        <v>2794</v>
      </c>
      <c r="B2976" s="76" t="s">
        <v>3600</v>
      </c>
      <c r="C2976" s="76" t="s">
        <v>3704</v>
      </c>
      <c r="D2976" s="81" t="str">
        <f t="shared" si="51"/>
        <v>Recup CalorieDoigt de gantLAITON</v>
      </c>
      <c r="E2976" s="76" t="s">
        <v>3599</v>
      </c>
      <c r="F2976" s="81">
        <v>1</v>
      </c>
      <c r="G2976" s="86" t="s">
        <v>3596</v>
      </c>
      <c r="H2976" s="71" t="s">
        <v>3597</v>
      </c>
      <c r="I2976" s="102">
        <v>3726870</v>
      </c>
      <c r="J2976" s="70">
        <f>IFERROR(VLOOKUP(Devis[[#This Row],[Ref Air Flux]],#REF!,3,FALSE),0)</f>
        <v>0</v>
      </c>
      <c r="K2976" s="68"/>
      <c r="L2976" s="68"/>
      <c r="M2976" s="68"/>
      <c r="N2976" s="68"/>
      <c r="O2976" s="68"/>
      <c r="P2976" s="68"/>
      <c r="Q2976" s="68">
        <f>SUM(Devis[[#This Row],[Poste 1]:[Poste 6]])</f>
        <v>0</v>
      </c>
      <c r="R2976" s="71"/>
      <c r="S2976" s="68">
        <f>_xlfn.CEILING.MATH(Devis[[#This Row],[Quantité Totale]],Devis[[#This Row],[Conditionnement]])</f>
        <v>0</v>
      </c>
      <c r="T2976" s="72"/>
      <c r="U2976" s="106"/>
      <c r="V2976" s="74">
        <f>Devis[[#This Row],[Prix de Revient]]*Devis[[#This Row],[Poste 1]]</f>
        <v>0</v>
      </c>
      <c r="W2976" s="74">
        <f>Devis[[#This Row],[Prix de Revient]]*Devis[[#This Row],[Poste 2]]</f>
        <v>0</v>
      </c>
      <c r="X2976" s="74">
        <f>Devis[[#This Row],[Prix de Revient]]*Devis[[#This Row],[Poste 3]]</f>
        <v>0</v>
      </c>
      <c r="Y2976" s="74">
        <f>Devis[[#This Row],[Poste 4]]*Devis[[#This Row],[Prix de Revient]]</f>
        <v>0</v>
      </c>
      <c r="Z2976" s="74">
        <f>Devis[[#This Row],[Poste 5]]*Devis[[#This Row],[Prix de Revient]]</f>
        <v>0</v>
      </c>
      <c r="AA2976" s="74">
        <f>Devis[[#This Row],[Prix de Revient]]*Devis[[#This Row],[Poste 6]]</f>
        <v>0</v>
      </c>
      <c r="AB2976" s="74">
        <f>Devis[[#This Row],[Quantité Totale]]*Devis[[#This Row],[Prix de Revient]]</f>
        <v>0</v>
      </c>
    </row>
    <row r="2977" spans="1:28" ht="14.25" outlineLevel="1" x14ac:dyDescent="0.2">
      <c r="A2977" s="75" t="s">
        <v>2794</v>
      </c>
      <c r="B2977" s="76" t="s">
        <v>3600</v>
      </c>
      <c r="C2977" s="76" t="s">
        <v>3704</v>
      </c>
      <c r="D2977" s="81" t="str">
        <f t="shared" si="51"/>
        <v>Recup CalorieDoigt de gantLAITON</v>
      </c>
      <c r="E2977" s="76" t="s">
        <v>3598</v>
      </c>
      <c r="F2977" s="81">
        <v>2</v>
      </c>
      <c r="G2977" s="86" t="s">
        <v>3595</v>
      </c>
      <c r="H2977" s="71" t="s">
        <v>3597</v>
      </c>
      <c r="I2977" s="102">
        <v>3726869</v>
      </c>
      <c r="J2977" s="70">
        <f>IFERROR(VLOOKUP(Devis[[#This Row],[Ref Air Flux]],#REF!,3,FALSE),0)</f>
        <v>0</v>
      </c>
      <c r="K2977" s="68"/>
      <c r="L2977" s="68"/>
      <c r="M2977" s="68"/>
      <c r="N2977" s="68"/>
      <c r="O2977" s="68"/>
      <c r="P2977" s="68"/>
      <c r="Q2977" s="68">
        <f>SUM(Devis[[#This Row],[Poste 1]:[Poste 6]])</f>
        <v>0</v>
      </c>
      <c r="R2977" s="71"/>
      <c r="S2977" s="68">
        <f>_xlfn.CEILING.MATH(Devis[[#This Row],[Quantité Totale]],Devis[[#This Row],[Conditionnement]])</f>
        <v>0</v>
      </c>
      <c r="T2977" s="72"/>
      <c r="U2977" s="106"/>
      <c r="V2977" s="74">
        <f>Devis[[#This Row],[Prix de Revient]]*Devis[[#This Row],[Poste 1]]</f>
        <v>0</v>
      </c>
      <c r="W2977" s="74">
        <f>Devis[[#This Row],[Prix de Revient]]*Devis[[#This Row],[Poste 2]]</f>
        <v>0</v>
      </c>
      <c r="X2977" s="74">
        <f>Devis[[#This Row],[Prix de Revient]]*Devis[[#This Row],[Poste 3]]</f>
        <v>0</v>
      </c>
      <c r="Y2977" s="74">
        <f>Devis[[#This Row],[Poste 4]]*Devis[[#This Row],[Prix de Revient]]</f>
        <v>0</v>
      </c>
      <c r="Z2977" s="74">
        <f>Devis[[#This Row],[Poste 5]]*Devis[[#This Row],[Prix de Revient]]</f>
        <v>0</v>
      </c>
      <c r="AA2977" s="74">
        <f>Devis[[#This Row],[Prix de Revient]]*Devis[[#This Row],[Poste 6]]</f>
        <v>0</v>
      </c>
      <c r="AB2977" s="74">
        <f>Devis[[#This Row],[Quantité Totale]]*Devis[[#This Row],[Prix de Revient]]</f>
        <v>0</v>
      </c>
    </row>
    <row r="2978" spans="1:28" ht="14.25" outlineLevel="1" x14ac:dyDescent="0.2">
      <c r="A2978" s="75" t="s">
        <v>2794</v>
      </c>
      <c r="B2978" s="76" t="s">
        <v>3600</v>
      </c>
      <c r="C2978" s="76" t="s">
        <v>3705</v>
      </c>
      <c r="D2978" s="81" t="str">
        <f t="shared" si="51"/>
        <v>Recup CalorieDoigt de gantINOX</v>
      </c>
      <c r="E2978" s="76" t="s">
        <v>3706</v>
      </c>
      <c r="F2978" s="81">
        <v>3</v>
      </c>
      <c r="G2978" s="86" t="s">
        <v>3708</v>
      </c>
      <c r="H2978" s="71" t="s">
        <v>3710</v>
      </c>
      <c r="I2978" s="71" t="s">
        <v>3708</v>
      </c>
      <c r="J2978" s="70">
        <f>IFERROR(VLOOKUP(Devis[[#This Row],[Ref Air Flux]],#REF!,3,FALSE),0)</f>
        <v>0</v>
      </c>
      <c r="K2978" s="68"/>
      <c r="L2978" s="68"/>
      <c r="M2978" s="68"/>
      <c r="N2978" s="68"/>
      <c r="O2978" s="68"/>
      <c r="P2978" s="68"/>
      <c r="Q2978" s="68">
        <f>SUM(Devis[[#This Row],[Poste 1]:[Poste 6]])</f>
        <v>0</v>
      </c>
      <c r="R2978" s="71"/>
      <c r="S2978" s="68">
        <f>_xlfn.CEILING.MATH(Devis[[#This Row],[Quantité Totale]],Devis[[#This Row],[Conditionnement]])</f>
        <v>0</v>
      </c>
      <c r="T2978" s="72"/>
      <c r="U2978" s="106"/>
      <c r="V2978" s="74">
        <f>Devis[[#This Row],[Prix de Revient]]*Devis[[#This Row],[Poste 1]]</f>
        <v>0</v>
      </c>
      <c r="W2978" s="74">
        <f>Devis[[#This Row],[Prix de Revient]]*Devis[[#This Row],[Poste 2]]</f>
        <v>0</v>
      </c>
      <c r="X2978" s="74">
        <f>Devis[[#This Row],[Prix de Revient]]*Devis[[#This Row],[Poste 3]]</f>
        <v>0</v>
      </c>
      <c r="Y2978" s="74">
        <f>Devis[[#This Row],[Poste 4]]*Devis[[#This Row],[Prix de Revient]]</f>
        <v>0</v>
      </c>
      <c r="Z2978" s="74">
        <f>Devis[[#This Row],[Poste 5]]*Devis[[#This Row],[Prix de Revient]]</f>
        <v>0</v>
      </c>
      <c r="AA2978" s="74">
        <f>Devis[[#This Row],[Prix de Revient]]*Devis[[#This Row],[Poste 6]]</f>
        <v>0</v>
      </c>
      <c r="AB2978" s="74">
        <f>Devis[[#This Row],[Quantité Totale]]*Devis[[#This Row],[Prix de Revient]]</f>
        <v>0</v>
      </c>
    </row>
    <row r="2979" spans="1:28" ht="14.25" customHeight="1" outlineLevel="1" x14ac:dyDescent="0.2">
      <c r="A2979" s="75" t="s">
        <v>2794</v>
      </c>
      <c r="B2979" s="76" t="s">
        <v>3600</v>
      </c>
      <c r="C2979" s="76" t="s">
        <v>3705</v>
      </c>
      <c r="D2979" s="81" t="str">
        <f t="shared" si="51"/>
        <v>Recup CalorieDoigt de gantINOX</v>
      </c>
      <c r="E2979" s="76" t="s">
        <v>3707</v>
      </c>
      <c r="F2979" s="81">
        <v>4</v>
      </c>
      <c r="G2979" s="86" t="s">
        <v>3709</v>
      </c>
      <c r="H2979" s="71" t="s">
        <v>3710</v>
      </c>
      <c r="I2979" s="71" t="s">
        <v>3709</v>
      </c>
      <c r="J2979" s="70">
        <f>IFERROR(VLOOKUP(Devis[[#This Row],[Ref Air Flux]],#REF!,3,FALSE),0)</f>
        <v>0</v>
      </c>
      <c r="K2979" s="68"/>
      <c r="L2979" s="68"/>
      <c r="M2979" s="68"/>
      <c r="N2979" s="68"/>
      <c r="O2979" s="68"/>
      <c r="P2979" s="68"/>
      <c r="Q2979" s="68">
        <f>SUM(Devis[[#This Row],[Poste 1]:[Poste 6]])</f>
        <v>0</v>
      </c>
      <c r="R2979" s="71"/>
      <c r="S2979" s="68">
        <f>_xlfn.CEILING.MATH(Devis[[#This Row],[Quantité Totale]],Devis[[#This Row],[Conditionnement]])</f>
        <v>0</v>
      </c>
      <c r="T2979" s="72"/>
      <c r="U2979" s="106"/>
      <c r="V2979" s="74">
        <f>Devis[[#This Row],[Prix de Revient]]*Devis[[#This Row],[Poste 1]]</f>
        <v>0</v>
      </c>
      <c r="W2979" s="74">
        <f>Devis[[#This Row],[Prix de Revient]]*Devis[[#This Row],[Poste 2]]</f>
        <v>0</v>
      </c>
      <c r="X2979" s="74">
        <f>Devis[[#This Row],[Prix de Revient]]*Devis[[#This Row],[Poste 3]]</f>
        <v>0</v>
      </c>
      <c r="Y2979" s="74">
        <f>Devis[[#This Row],[Poste 4]]*Devis[[#This Row],[Prix de Revient]]</f>
        <v>0</v>
      </c>
      <c r="Z2979" s="74">
        <f>Devis[[#This Row],[Poste 5]]*Devis[[#This Row],[Prix de Revient]]</f>
        <v>0</v>
      </c>
      <c r="AA2979" s="74">
        <f>Devis[[#This Row],[Prix de Revient]]*Devis[[#This Row],[Poste 6]]</f>
        <v>0</v>
      </c>
      <c r="AB2979" s="74">
        <f>Devis[[#This Row],[Quantité Totale]]*Devis[[#This Row],[Prix de Revient]]</f>
        <v>0</v>
      </c>
    </row>
    <row r="2980" spans="1:28" ht="14.25" outlineLevel="1" x14ac:dyDescent="0.2">
      <c r="A2980" s="75" t="s">
        <v>2794</v>
      </c>
      <c r="B2980" s="76" t="s">
        <v>3600</v>
      </c>
      <c r="C2980" s="76" t="s">
        <v>3705</v>
      </c>
      <c r="D2980" s="81" t="str">
        <f t="shared" si="51"/>
        <v>Recup CalorieDoigt de gantINOX</v>
      </c>
      <c r="E2980" s="76" t="s">
        <v>4129</v>
      </c>
      <c r="F2980" s="81">
        <v>5</v>
      </c>
      <c r="G2980" s="86" t="s">
        <v>4130</v>
      </c>
      <c r="H2980" s="71" t="s">
        <v>3696</v>
      </c>
      <c r="I2980" s="75">
        <v>1316160</v>
      </c>
      <c r="J2980" s="70">
        <f>IFERROR(VLOOKUP(Devis[[#This Row],[Ref Air Flux]],#REF!,3,FALSE),0)</f>
        <v>0</v>
      </c>
      <c r="K2980" s="68"/>
      <c r="L2980" s="68"/>
      <c r="M2980" s="68"/>
      <c r="N2980" s="68"/>
      <c r="O2980" s="68"/>
      <c r="P2980" s="68"/>
      <c r="Q2980" s="68">
        <f>SUM(Devis[[#This Row],[Poste 1]:[Poste 6]])</f>
        <v>0</v>
      </c>
      <c r="R2980" s="71"/>
      <c r="S2980" s="68">
        <f>_xlfn.CEILING.MATH(Devis[[#This Row],[Quantité Totale]],Devis[[#This Row],[Conditionnement]])</f>
        <v>0</v>
      </c>
      <c r="T2980" s="72"/>
      <c r="U2980" s="106"/>
      <c r="V2980" s="74">
        <f>Devis[[#This Row],[Prix de Revient]]*Devis[[#This Row],[Poste 1]]</f>
        <v>0</v>
      </c>
      <c r="W2980" s="74">
        <f>Devis[[#This Row],[Prix de Revient]]*Devis[[#This Row],[Poste 2]]</f>
        <v>0</v>
      </c>
      <c r="X2980" s="74">
        <f>Devis[[#This Row],[Prix de Revient]]*Devis[[#This Row],[Poste 3]]</f>
        <v>0</v>
      </c>
      <c r="Y2980" s="74">
        <f>Devis[[#This Row],[Poste 4]]*Devis[[#This Row],[Prix de Revient]]</f>
        <v>0</v>
      </c>
      <c r="Z2980" s="74">
        <f>Devis[[#This Row],[Poste 5]]*Devis[[#This Row],[Prix de Revient]]</f>
        <v>0</v>
      </c>
      <c r="AA2980" s="74">
        <f>Devis[[#This Row],[Prix de Revient]]*Devis[[#This Row],[Poste 6]]</f>
        <v>0</v>
      </c>
      <c r="AB2980" s="74">
        <f>Devis[[#This Row],[Quantité Totale]]*Devis[[#This Row],[Prix de Revient]]</f>
        <v>0</v>
      </c>
    </row>
    <row r="2981" spans="1:28" ht="15" customHeight="1" x14ac:dyDescent="0.25">
      <c r="A2981" s="65" t="s">
        <v>2794</v>
      </c>
      <c r="B2981" s="65" t="s">
        <v>3608</v>
      </c>
      <c r="C2981" s="76"/>
      <c r="D2981" s="81" t="str">
        <f t="shared" si="51"/>
        <v xml:space="preserve">Recup Calorieecrou  pompe ( 3 pièces) </v>
      </c>
      <c r="E2981" s="76"/>
      <c r="F2981" s="81">
        <v>0</v>
      </c>
      <c r="G2981" s="86"/>
      <c r="H2981" s="71"/>
      <c r="I2981" s="102"/>
      <c r="J2981" s="70">
        <f>IFERROR(VLOOKUP(Devis[[#This Row],[Ref Air Flux]],#REF!,3,FALSE),0)</f>
        <v>0</v>
      </c>
      <c r="K2981" s="68"/>
      <c r="L2981" s="68"/>
      <c r="M2981" s="68"/>
      <c r="N2981" s="68"/>
      <c r="O2981" s="68"/>
      <c r="P2981" s="68"/>
      <c r="Q2981" s="68">
        <f>SUM(Devis[[#This Row],[Poste 1]:[Poste 6]])</f>
        <v>0</v>
      </c>
      <c r="R2981" s="71"/>
      <c r="S2981" s="68">
        <f>_xlfn.CEILING.MATH(Devis[[#This Row],[Quantité Totale]],Devis[[#This Row],[Conditionnement]])</f>
        <v>0</v>
      </c>
      <c r="T2981" s="72"/>
      <c r="U2981" s="106"/>
      <c r="V2981" s="74">
        <f>Devis[[#This Row],[Prix de Revient]]*Devis[[#This Row],[Poste 1]]</f>
        <v>0</v>
      </c>
      <c r="W2981" s="74">
        <f>Devis[[#This Row],[Prix de Revient]]*Devis[[#This Row],[Poste 2]]</f>
        <v>0</v>
      </c>
      <c r="X2981" s="74">
        <f>Devis[[#This Row],[Prix de Revient]]*Devis[[#This Row],[Poste 3]]</f>
        <v>0</v>
      </c>
      <c r="Y2981" s="74">
        <f>Devis[[#This Row],[Poste 4]]*Devis[[#This Row],[Prix de Revient]]</f>
        <v>0</v>
      </c>
      <c r="Z2981" s="74">
        <f>Devis[[#This Row],[Poste 5]]*Devis[[#This Row],[Prix de Revient]]</f>
        <v>0</v>
      </c>
      <c r="AA2981" s="74">
        <f>Devis[[#This Row],[Prix de Revient]]*Devis[[#This Row],[Poste 6]]</f>
        <v>0</v>
      </c>
      <c r="AB2981" s="74">
        <f>Devis[[#This Row],[Quantité Totale]]*Devis[[#This Row],[Prix de Revient]]</f>
        <v>0</v>
      </c>
    </row>
    <row r="2982" spans="1:28" ht="14.25" outlineLevel="1" x14ac:dyDescent="0.2">
      <c r="A2982" s="75" t="s">
        <v>2794</v>
      </c>
      <c r="B2982" s="76" t="s">
        <v>3608</v>
      </c>
      <c r="C2982" s="76"/>
      <c r="D2982" s="81" t="str">
        <f t="shared" si="51"/>
        <v xml:space="preserve">Recup Calorieecrou  pompe ( 3 pièces) </v>
      </c>
      <c r="E2982" s="76" t="s">
        <v>2806</v>
      </c>
      <c r="F2982" s="81">
        <v>1</v>
      </c>
      <c r="G2982" s="86" t="s">
        <v>2807</v>
      </c>
      <c r="H2982" s="71" t="s">
        <v>2798</v>
      </c>
      <c r="I2982" s="102"/>
      <c r="J2982" s="70">
        <f>IFERROR(VLOOKUP(Devis[[#This Row],[Ref Air Flux]],#REF!,3,FALSE),0)</f>
        <v>0</v>
      </c>
      <c r="K2982" s="68"/>
      <c r="L2982" s="68"/>
      <c r="M2982" s="68"/>
      <c r="N2982" s="68"/>
      <c r="O2982" s="68"/>
      <c r="P2982" s="68"/>
      <c r="Q2982" s="68">
        <f>SUM(Devis[[#This Row],[Poste 1]:[Poste 6]])</f>
        <v>0</v>
      </c>
      <c r="R2982" s="71"/>
      <c r="S2982" s="68">
        <f>_xlfn.CEILING.MATH(Devis[[#This Row],[Quantité Totale]],Devis[[#This Row],[Conditionnement]])</f>
        <v>0</v>
      </c>
      <c r="T2982" s="72"/>
      <c r="U2982" s="106"/>
      <c r="V2982" s="74">
        <f>Devis[[#This Row],[Prix de Revient]]*Devis[[#This Row],[Poste 1]]</f>
        <v>0</v>
      </c>
      <c r="W2982" s="74">
        <f>Devis[[#This Row],[Prix de Revient]]*Devis[[#This Row],[Poste 2]]</f>
        <v>0</v>
      </c>
      <c r="X2982" s="74">
        <f>Devis[[#This Row],[Prix de Revient]]*Devis[[#This Row],[Poste 3]]</f>
        <v>0</v>
      </c>
      <c r="Y2982" s="74">
        <f>Devis[[#This Row],[Poste 4]]*Devis[[#This Row],[Prix de Revient]]</f>
        <v>0</v>
      </c>
      <c r="Z2982" s="74">
        <f>Devis[[#This Row],[Poste 5]]*Devis[[#This Row],[Prix de Revient]]</f>
        <v>0</v>
      </c>
      <c r="AA2982" s="74">
        <f>Devis[[#This Row],[Prix de Revient]]*Devis[[#This Row],[Poste 6]]</f>
        <v>0</v>
      </c>
      <c r="AB2982" s="74">
        <f>Devis[[#This Row],[Quantité Totale]]*Devis[[#This Row],[Prix de Revient]]</f>
        <v>0</v>
      </c>
    </row>
    <row r="2983" spans="1:28" ht="14.25" outlineLevel="1" x14ac:dyDescent="0.2">
      <c r="A2983" s="75" t="s">
        <v>2794</v>
      </c>
      <c r="B2983" s="76" t="s">
        <v>3608</v>
      </c>
      <c r="C2983" s="76"/>
      <c r="D2983" s="81" t="str">
        <f t="shared" si="51"/>
        <v xml:space="preserve">Recup Calorieecrou  pompe ( 3 pièces) </v>
      </c>
      <c r="E2983" s="76" t="s">
        <v>3651</v>
      </c>
      <c r="F2983" s="81">
        <v>2</v>
      </c>
      <c r="G2983" s="86" t="s">
        <v>3657</v>
      </c>
      <c r="H2983" s="71" t="s">
        <v>2936</v>
      </c>
      <c r="I2983" s="102"/>
      <c r="J2983" s="70">
        <f>IFERROR(VLOOKUP(Devis[[#This Row],[Ref Air Flux]],#REF!,3,FALSE),0)</f>
        <v>0</v>
      </c>
      <c r="K2983" s="68"/>
      <c r="L2983" s="68"/>
      <c r="M2983" s="68"/>
      <c r="N2983" s="68"/>
      <c r="O2983" s="68"/>
      <c r="P2983" s="68"/>
      <c r="Q2983" s="68">
        <f>SUM(Devis[[#This Row],[Poste 1]:[Poste 6]])</f>
        <v>0</v>
      </c>
      <c r="R2983" s="71"/>
      <c r="S2983" s="68">
        <f>_xlfn.CEILING.MATH(Devis[[#This Row],[Quantité Totale]],Devis[[#This Row],[Conditionnement]])</f>
        <v>0</v>
      </c>
      <c r="T2983" s="72"/>
      <c r="U2983" s="106"/>
      <c r="V2983" s="74">
        <f>Devis[[#This Row],[Prix de Revient]]*Devis[[#This Row],[Poste 1]]</f>
        <v>0</v>
      </c>
      <c r="W2983" s="74">
        <f>Devis[[#This Row],[Prix de Revient]]*Devis[[#This Row],[Poste 2]]</f>
        <v>0</v>
      </c>
      <c r="X2983" s="74">
        <f>Devis[[#This Row],[Prix de Revient]]*Devis[[#This Row],[Poste 3]]</f>
        <v>0</v>
      </c>
      <c r="Y2983" s="74">
        <f>Devis[[#This Row],[Poste 4]]*Devis[[#This Row],[Prix de Revient]]</f>
        <v>0</v>
      </c>
      <c r="Z2983" s="74">
        <f>Devis[[#This Row],[Poste 5]]*Devis[[#This Row],[Prix de Revient]]</f>
        <v>0</v>
      </c>
      <c r="AA2983" s="74">
        <f>Devis[[#This Row],[Prix de Revient]]*Devis[[#This Row],[Poste 6]]</f>
        <v>0</v>
      </c>
      <c r="AB2983" s="74">
        <f>Devis[[#This Row],[Quantité Totale]]*Devis[[#This Row],[Prix de Revient]]</f>
        <v>0</v>
      </c>
    </row>
    <row r="2984" spans="1:28" ht="14.25" outlineLevel="1" x14ac:dyDescent="0.2">
      <c r="A2984" s="75" t="s">
        <v>2794</v>
      </c>
      <c r="B2984" s="76" t="s">
        <v>3608</v>
      </c>
      <c r="C2984" s="76"/>
      <c r="D2984" s="81" t="str">
        <f t="shared" si="51"/>
        <v xml:space="preserve">Recup Calorieecrou  pompe ( 3 pièces) </v>
      </c>
      <c r="E2984" s="76" t="s">
        <v>3652</v>
      </c>
      <c r="F2984" s="81">
        <v>3</v>
      </c>
      <c r="G2984" s="86" t="s">
        <v>3658</v>
      </c>
      <c r="H2984" s="71" t="s">
        <v>2936</v>
      </c>
      <c r="I2984" s="102"/>
      <c r="J2984" s="70">
        <f>IFERROR(VLOOKUP(Devis[[#This Row],[Ref Air Flux]],#REF!,3,FALSE),0)</f>
        <v>0</v>
      </c>
      <c r="K2984" s="68"/>
      <c r="L2984" s="68"/>
      <c r="M2984" s="68"/>
      <c r="N2984" s="68"/>
      <c r="O2984" s="68"/>
      <c r="P2984" s="68"/>
      <c r="Q2984" s="68">
        <f>SUM(Devis[[#This Row],[Poste 1]:[Poste 6]])</f>
        <v>0</v>
      </c>
      <c r="R2984" s="71"/>
      <c r="S2984" s="68">
        <f>_xlfn.CEILING.MATH(Devis[[#This Row],[Quantité Totale]],Devis[[#This Row],[Conditionnement]])</f>
        <v>0</v>
      </c>
      <c r="T2984" s="72"/>
      <c r="U2984" s="106"/>
      <c r="V2984" s="74">
        <f>Devis[[#This Row],[Prix de Revient]]*Devis[[#This Row],[Poste 1]]</f>
        <v>0</v>
      </c>
      <c r="W2984" s="74">
        <f>Devis[[#This Row],[Prix de Revient]]*Devis[[#This Row],[Poste 2]]</f>
        <v>0</v>
      </c>
      <c r="X2984" s="74">
        <f>Devis[[#This Row],[Prix de Revient]]*Devis[[#This Row],[Poste 3]]</f>
        <v>0</v>
      </c>
      <c r="Y2984" s="74">
        <f>Devis[[#This Row],[Poste 4]]*Devis[[#This Row],[Prix de Revient]]</f>
        <v>0</v>
      </c>
      <c r="Z2984" s="74">
        <f>Devis[[#This Row],[Poste 5]]*Devis[[#This Row],[Prix de Revient]]</f>
        <v>0</v>
      </c>
      <c r="AA2984" s="74">
        <f>Devis[[#This Row],[Prix de Revient]]*Devis[[#This Row],[Poste 6]]</f>
        <v>0</v>
      </c>
      <c r="AB2984" s="74">
        <f>Devis[[#This Row],[Quantité Totale]]*Devis[[#This Row],[Prix de Revient]]</f>
        <v>0</v>
      </c>
    </row>
    <row r="2985" spans="1:28" ht="14.25" customHeight="1" outlineLevel="1" x14ac:dyDescent="0.2">
      <c r="A2985" s="75" t="s">
        <v>2794</v>
      </c>
      <c r="B2985" s="76" t="s">
        <v>3608</v>
      </c>
      <c r="C2985" s="76"/>
      <c r="D2985" s="81" t="str">
        <f t="shared" si="51"/>
        <v xml:space="preserve">Recup Calorieecrou  pompe ( 3 pièces) </v>
      </c>
      <c r="E2985" s="76" t="s">
        <v>3653</v>
      </c>
      <c r="F2985" s="81">
        <v>4</v>
      </c>
      <c r="G2985" s="86" t="s">
        <v>3659</v>
      </c>
      <c r="H2985" s="71" t="s">
        <v>2936</v>
      </c>
      <c r="I2985" s="102"/>
      <c r="J2985" s="70">
        <f>IFERROR(VLOOKUP(Devis[[#This Row],[Ref Air Flux]],#REF!,3,FALSE),0)</f>
        <v>0</v>
      </c>
      <c r="K2985" s="68"/>
      <c r="L2985" s="68"/>
      <c r="M2985" s="68"/>
      <c r="N2985" s="68"/>
      <c r="O2985" s="68"/>
      <c r="P2985" s="68"/>
      <c r="Q2985" s="68">
        <f>SUM(Devis[[#This Row],[Poste 1]:[Poste 6]])</f>
        <v>0</v>
      </c>
      <c r="R2985" s="71"/>
      <c r="S2985" s="68">
        <f>_xlfn.CEILING.MATH(Devis[[#This Row],[Quantité Totale]],Devis[[#This Row],[Conditionnement]])</f>
        <v>0</v>
      </c>
      <c r="T2985" s="72"/>
      <c r="U2985" s="106"/>
      <c r="V2985" s="74">
        <f>Devis[[#This Row],[Prix de Revient]]*Devis[[#This Row],[Poste 1]]</f>
        <v>0</v>
      </c>
      <c r="W2985" s="74">
        <f>Devis[[#This Row],[Prix de Revient]]*Devis[[#This Row],[Poste 2]]</f>
        <v>0</v>
      </c>
      <c r="X2985" s="74">
        <f>Devis[[#This Row],[Prix de Revient]]*Devis[[#This Row],[Poste 3]]</f>
        <v>0</v>
      </c>
      <c r="Y2985" s="74">
        <f>Devis[[#This Row],[Poste 4]]*Devis[[#This Row],[Prix de Revient]]</f>
        <v>0</v>
      </c>
      <c r="Z2985" s="74">
        <f>Devis[[#This Row],[Poste 5]]*Devis[[#This Row],[Prix de Revient]]</f>
        <v>0</v>
      </c>
      <c r="AA2985" s="74">
        <f>Devis[[#This Row],[Prix de Revient]]*Devis[[#This Row],[Poste 6]]</f>
        <v>0</v>
      </c>
      <c r="AB2985" s="74">
        <f>Devis[[#This Row],[Quantité Totale]]*Devis[[#This Row],[Prix de Revient]]</f>
        <v>0</v>
      </c>
    </row>
    <row r="2986" spans="1:28" ht="14.25" outlineLevel="1" x14ac:dyDescent="0.2">
      <c r="A2986" s="75" t="s">
        <v>2794</v>
      </c>
      <c r="B2986" s="76" t="s">
        <v>3608</v>
      </c>
      <c r="C2986" s="76"/>
      <c r="D2986" s="81" t="str">
        <f t="shared" si="51"/>
        <v xml:space="preserve">Recup Calorieecrou  pompe ( 3 pièces) </v>
      </c>
      <c r="E2986" s="76" t="s">
        <v>3654</v>
      </c>
      <c r="F2986" s="81">
        <v>5</v>
      </c>
      <c r="G2986" s="86" t="s">
        <v>3660</v>
      </c>
      <c r="H2986" s="71" t="s">
        <v>2936</v>
      </c>
      <c r="I2986" s="102"/>
      <c r="J2986" s="70">
        <f>IFERROR(VLOOKUP(Devis[[#This Row],[Ref Air Flux]],#REF!,3,FALSE),0)</f>
        <v>0</v>
      </c>
      <c r="K2986" s="68"/>
      <c r="L2986" s="68"/>
      <c r="M2986" s="68"/>
      <c r="N2986" s="68"/>
      <c r="O2986" s="68"/>
      <c r="P2986" s="68"/>
      <c r="Q2986" s="68">
        <f>SUM(Devis[[#This Row],[Poste 1]:[Poste 6]])</f>
        <v>0</v>
      </c>
      <c r="R2986" s="71"/>
      <c r="S2986" s="68">
        <f>_xlfn.CEILING.MATH(Devis[[#This Row],[Quantité Totale]],Devis[[#This Row],[Conditionnement]])</f>
        <v>0</v>
      </c>
      <c r="T2986" s="72"/>
      <c r="U2986" s="106"/>
      <c r="V2986" s="74">
        <f>Devis[[#This Row],[Prix de Revient]]*Devis[[#This Row],[Poste 1]]</f>
        <v>0</v>
      </c>
      <c r="W2986" s="74">
        <f>Devis[[#This Row],[Prix de Revient]]*Devis[[#This Row],[Poste 2]]</f>
        <v>0</v>
      </c>
      <c r="X2986" s="74">
        <f>Devis[[#This Row],[Prix de Revient]]*Devis[[#This Row],[Poste 3]]</f>
        <v>0</v>
      </c>
      <c r="Y2986" s="74">
        <f>Devis[[#This Row],[Poste 4]]*Devis[[#This Row],[Prix de Revient]]</f>
        <v>0</v>
      </c>
      <c r="Z2986" s="74">
        <f>Devis[[#This Row],[Poste 5]]*Devis[[#This Row],[Prix de Revient]]</f>
        <v>0</v>
      </c>
      <c r="AA2986" s="74">
        <f>Devis[[#This Row],[Prix de Revient]]*Devis[[#This Row],[Poste 6]]</f>
        <v>0</v>
      </c>
      <c r="AB2986" s="74">
        <f>Devis[[#This Row],[Quantité Totale]]*Devis[[#This Row],[Prix de Revient]]</f>
        <v>0</v>
      </c>
    </row>
    <row r="2987" spans="1:28" ht="14.25" outlineLevel="1" x14ac:dyDescent="0.2">
      <c r="A2987" s="75" t="s">
        <v>2794</v>
      </c>
      <c r="B2987" s="76" t="s">
        <v>3608</v>
      </c>
      <c r="C2987" s="76"/>
      <c r="D2987" s="81" t="str">
        <f t="shared" si="51"/>
        <v xml:space="preserve">Recup Calorieecrou  pompe ( 3 pièces) </v>
      </c>
      <c r="E2987" s="76" t="s">
        <v>3655</v>
      </c>
      <c r="F2987" s="81">
        <v>6</v>
      </c>
      <c r="G2987" s="86" t="s">
        <v>3661</v>
      </c>
      <c r="H2987" s="71" t="s">
        <v>2936</v>
      </c>
      <c r="I2987" s="102"/>
      <c r="J2987" s="70">
        <f>IFERROR(VLOOKUP(Devis[[#This Row],[Ref Air Flux]],#REF!,3,FALSE),0)</f>
        <v>0</v>
      </c>
      <c r="K2987" s="68"/>
      <c r="L2987" s="68"/>
      <c r="M2987" s="68"/>
      <c r="N2987" s="68"/>
      <c r="O2987" s="68"/>
      <c r="P2987" s="68"/>
      <c r="Q2987" s="68">
        <f>SUM(Devis[[#This Row],[Poste 1]:[Poste 6]])</f>
        <v>0</v>
      </c>
      <c r="R2987" s="71"/>
      <c r="S2987" s="68">
        <f>_xlfn.CEILING.MATH(Devis[[#This Row],[Quantité Totale]],Devis[[#This Row],[Conditionnement]])</f>
        <v>0</v>
      </c>
      <c r="T2987" s="72"/>
      <c r="U2987" s="106"/>
      <c r="V2987" s="74">
        <f>Devis[[#This Row],[Prix de Revient]]*Devis[[#This Row],[Poste 1]]</f>
        <v>0</v>
      </c>
      <c r="W2987" s="74">
        <f>Devis[[#This Row],[Prix de Revient]]*Devis[[#This Row],[Poste 2]]</f>
        <v>0</v>
      </c>
      <c r="X2987" s="74">
        <f>Devis[[#This Row],[Prix de Revient]]*Devis[[#This Row],[Poste 3]]</f>
        <v>0</v>
      </c>
      <c r="Y2987" s="74">
        <f>Devis[[#This Row],[Poste 4]]*Devis[[#This Row],[Prix de Revient]]</f>
        <v>0</v>
      </c>
      <c r="Z2987" s="74">
        <f>Devis[[#This Row],[Poste 5]]*Devis[[#This Row],[Prix de Revient]]</f>
        <v>0</v>
      </c>
      <c r="AA2987" s="74">
        <f>Devis[[#This Row],[Prix de Revient]]*Devis[[#This Row],[Poste 6]]</f>
        <v>0</v>
      </c>
      <c r="AB2987" s="74">
        <f>Devis[[#This Row],[Quantité Totale]]*Devis[[#This Row],[Prix de Revient]]</f>
        <v>0</v>
      </c>
    </row>
    <row r="2988" spans="1:28" ht="14.25" outlineLevel="1" x14ac:dyDescent="0.2">
      <c r="A2988" s="75" t="s">
        <v>2794</v>
      </c>
      <c r="B2988" s="76" t="s">
        <v>3608</v>
      </c>
      <c r="C2988" s="76"/>
      <c r="D2988" s="81" t="str">
        <f t="shared" si="51"/>
        <v xml:space="preserve">Recup Calorieecrou  pompe ( 3 pièces) </v>
      </c>
      <c r="E2988" s="76" t="s">
        <v>3656</v>
      </c>
      <c r="F2988" s="81">
        <v>7</v>
      </c>
      <c r="G2988" s="86" t="s">
        <v>2807</v>
      </c>
      <c r="H2988" s="71" t="s">
        <v>2936</v>
      </c>
      <c r="I2988" s="102"/>
      <c r="J2988" s="70">
        <f>IFERROR(VLOOKUP(Devis[[#This Row],[Ref Air Flux]],#REF!,3,FALSE),0)</f>
        <v>0</v>
      </c>
      <c r="K2988" s="68"/>
      <c r="L2988" s="68"/>
      <c r="M2988" s="68"/>
      <c r="N2988" s="68"/>
      <c r="O2988" s="68"/>
      <c r="P2988" s="68"/>
      <c r="Q2988" s="68">
        <f>SUM(Devis[[#This Row],[Poste 1]:[Poste 6]])</f>
        <v>0</v>
      </c>
      <c r="R2988" s="71"/>
      <c r="S2988" s="68">
        <f>_xlfn.CEILING.MATH(Devis[[#This Row],[Quantité Totale]],Devis[[#This Row],[Conditionnement]])</f>
        <v>0</v>
      </c>
      <c r="T2988" s="72"/>
      <c r="U2988" s="106"/>
      <c r="V2988" s="74">
        <f>Devis[[#This Row],[Prix de Revient]]*Devis[[#This Row],[Poste 1]]</f>
        <v>0</v>
      </c>
      <c r="W2988" s="74">
        <f>Devis[[#This Row],[Prix de Revient]]*Devis[[#This Row],[Poste 2]]</f>
        <v>0</v>
      </c>
      <c r="X2988" s="74">
        <f>Devis[[#This Row],[Prix de Revient]]*Devis[[#This Row],[Poste 3]]</f>
        <v>0</v>
      </c>
      <c r="Y2988" s="74">
        <f>Devis[[#This Row],[Poste 4]]*Devis[[#This Row],[Prix de Revient]]</f>
        <v>0</v>
      </c>
      <c r="Z2988" s="74">
        <f>Devis[[#This Row],[Poste 5]]*Devis[[#This Row],[Prix de Revient]]</f>
        <v>0</v>
      </c>
      <c r="AA2988" s="74">
        <f>Devis[[#This Row],[Prix de Revient]]*Devis[[#This Row],[Poste 6]]</f>
        <v>0</v>
      </c>
      <c r="AB2988" s="74">
        <f>Devis[[#This Row],[Quantité Totale]]*Devis[[#This Row],[Prix de Revient]]</f>
        <v>0</v>
      </c>
    </row>
    <row r="2989" spans="1:28" ht="14.25" outlineLevel="1" x14ac:dyDescent="0.2">
      <c r="A2989" s="75" t="s">
        <v>2794</v>
      </c>
      <c r="B2989" s="76" t="s">
        <v>3608</v>
      </c>
      <c r="C2989" s="76"/>
      <c r="D2989" s="81" t="str">
        <f t="shared" si="51"/>
        <v xml:space="preserve">Recup Calorieecrou  pompe ( 3 pièces) </v>
      </c>
      <c r="E2989" s="76" t="s">
        <v>2808</v>
      </c>
      <c r="F2989" s="81">
        <v>8</v>
      </c>
      <c r="G2989" s="86" t="s">
        <v>2809</v>
      </c>
      <c r="H2989" s="71" t="s">
        <v>2798</v>
      </c>
      <c r="I2989" s="102"/>
      <c r="J2989" s="70">
        <f>IFERROR(VLOOKUP(Devis[[#This Row],[Ref Air Flux]],#REF!,3,FALSE),0)</f>
        <v>0</v>
      </c>
      <c r="K2989" s="68"/>
      <c r="L2989" s="68"/>
      <c r="M2989" s="68"/>
      <c r="N2989" s="68"/>
      <c r="O2989" s="68"/>
      <c r="P2989" s="68"/>
      <c r="Q2989" s="68">
        <f>SUM(Devis[[#This Row],[Poste 1]:[Poste 6]])</f>
        <v>0</v>
      </c>
      <c r="R2989" s="71"/>
      <c r="S2989" s="68">
        <f>_xlfn.CEILING.MATH(Devis[[#This Row],[Quantité Totale]],Devis[[#This Row],[Conditionnement]])</f>
        <v>0</v>
      </c>
      <c r="T2989" s="72"/>
      <c r="U2989" s="106"/>
      <c r="V2989" s="74">
        <f>Devis[[#This Row],[Prix de Revient]]*Devis[[#This Row],[Poste 1]]</f>
        <v>0</v>
      </c>
      <c r="W2989" s="74">
        <f>Devis[[#This Row],[Prix de Revient]]*Devis[[#This Row],[Poste 2]]</f>
        <v>0</v>
      </c>
      <c r="X2989" s="74">
        <f>Devis[[#This Row],[Prix de Revient]]*Devis[[#This Row],[Poste 3]]</f>
        <v>0</v>
      </c>
      <c r="Y2989" s="74">
        <f>Devis[[#This Row],[Poste 4]]*Devis[[#This Row],[Prix de Revient]]</f>
        <v>0</v>
      </c>
      <c r="Z2989" s="74">
        <f>Devis[[#This Row],[Poste 5]]*Devis[[#This Row],[Prix de Revient]]</f>
        <v>0</v>
      </c>
      <c r="AA2989" s="74">
        <f>Devis[[#This Row],[Prix de Revient]]*Devis[[#This Row],[Poste 6]]</f>
        <v>0</v>
      </c>
      <c r="AB2989" s="74">
        <f>Devis[[#This Row],[Quantité Totale]]*Devis[[#This Row],[Prix de Revient]]</f>
        <v>0</v>
      </c>
    </row>
    <row r="2990" spans="1:28" ht="14.25" customHeight="1" x14ac:dyDescent="0.25">
      <c r="A2990" s="65" t="s">
        <v>2794</v>
      </c>
      <c r="B2990" s="65" t="s">
        <v>2827</v>
      </c>
      <c r="C2990" s="76"/>
      <c r="D2990" s="81" t="str">
        <f t="shared" si="51"/>
        <v>Recup CalorieFiltre Tamis</v>
      </c>
      <c r="E2990" s="76"/>
      <c r="F2990" s="81">
        <v>0</v>
      </c>
      <c r="G2990" s="86"/>
      <c r="H2990" s="71"/>
      <c r="I2990" s="102"/>
      <c r="J2990" s="70">
        <f>IFERROR(VLOOKUP(Devis[[#This Row],[Ref Air Flux]],#REF!,3,FALSE),0)</f>
        <v>0</v>
      </c>
      <c r="K2990" s="68"/>
      <c r="L2990" s="68"/>
      <c r="M2990" s="68"/>
      <c r="N2990" s="68"/>
      <c r="O2990" s="68"/>
      <c r="P2990" s="68"/>
      <c r="Q2990" s="68">
        <f>SUM(Devis[[#This Row],[Poste 1]:[Poste 6]])</f>
        <v>0</v>
      </c>
      <c r="R2990" s="71"/>
      <c r="S2990" s="68">
        <f>_xlfn.CEILING.MATH(Devis[[#This Row],[Quantité Totale]],Devis[[#This Row],[Conditionnement]])</f>
        <v>0</v>
      </c>
      <c r="T2990" s="72"/>
      <c r="U2990" s="106"/>
      <c r="V2990" s="74">
        <f>Devis[[#This Row],[Prix de Revient]]*Devis[[#This Row],[Poste 1]]</f>
        <v>0</v>
      </c>
      <c r="W2990" s="74">
        <f>Devis[[#This Row],[Prix de Revient]]*Devis[[#This Row],[Poste 2]]</f>
        <v>0</v>
      </c>
      <c r="X2990" s="74">
        <f>Devis[[#This Row],[Prix de Revient]]*Devis[[#This Row],[Poste 3]]</f>
        <v>0</v>
      </c>
      <c r="Y2990" s="74">
        <f>Devis[[#This Row],[Poste 4]]*Devis[[#This Row],[Prix de Revient]]</f>
        <v>0</v>
      </c>
      <c r="Z2990" s="74">
        <f>Devis[[#This Row],[Poste 5]]*Devis[[#This Row],[Prix de Revient]]</f>
        <v>0</v>
      </c>
      <c r="AA2990" s="74">
        <f>Devis[[#This Row],[Prix de Revient]]*Devis[[#This Row],[Poste 6]]</f>
        <v>0</v>
      </c>
      <c r="AB2990" s="74">
        <f>Devis[[#This Row],[Quantité Totale]]*Devis[[#This Row],[Prix de Revient]]</f>
        <v>0</v>
      </c>
    </row>
    <row r="2991" spans="1:28" ht="14.25" outlineLevel="1" x14ac:dyDescent="0.2">
      <c r="A2991" s="75" t="s">
        <v>2794</v>
      </c>
      <c r="B2991" s="76" t="s">
        <v>2827</v>
      </c>
      <c r="C2991" s="76" t="s">
        <v>6287</v>
      </c>
      <c r="D2991" s="81" t="str">
        <f t="shared" si="51"/>
        <v>Recup CalorieFiltre TamisFileté</v>
      </c>
      <c r="E2991" s="76" t="s">
        <v>6295</v>
      </c>
      <c r="F2991" s="81">
        <v>1</v>
      </c>
      <c r="G2991" s="86" t="s">
        <v>6294</v>
      </c>
      <c r="H2991" s="71" t="s">
        <v>3381</v>
      </c>
      <c r="I2991" s="86" t="s">
        <v>6296</v>
      </c>
      <c r="J2991" s="70">
        <f>IFERROR(VLOOKUP(Devis[[#This Row],[Ref Air Flux]],#REF!,3,FALSE),0)</f>
        <v>0</v>
      </c>
      <c r="K2991" s="68"/>
      <c r="L2991" s="68"/>
      <c r="M2991" s="68"/>
      <c r="N2991" s="68"/>
      <c r="O2991" s="68"/>
      <c r="P2991" s="68"/>
      <c r="Q2991" s="68">
        <f>SUM(Devis[[#This Row],[Poste 1]:[Poste 6]])</f>
        <v>0</v>
      </c>
      <c r="R2991" s="71"/>
      <c r="S2991" s="68">
        <f>_xlfn.CEILING.MATH(Devis[[#This Row],[Quantité Totale]],Devis[[#This Row],[Conditionnement]])</f>
        <v>0</v>
      </c>
      <c r="T2991" s="72"/>
      <c r="U2991" s="106"/>
      <c r="V2991" s="74">
        <f>Devis[[#This Row],[Prix de Revient]]*Devis[[#This Row],[Poste 1]]</f>
        <v>0</v>
      </c>
      <c r="W2991" s="74">
        <f>Devis[[#This Row],[Prix de Revient]]*Devis[[#This Row],[Poste 2]]</f>
        <v>0</v>
      </c>
      <c r="X2991" s="74">
        <f>Devis[[#This Row],[Prix de Revient]]*Devis[[#This Row],[Poste 3]]</f>
        <v>0</v>
      </c>
      <c r="Y2991" s="74">
        <f>Devis[[#This Row],[Poste 4]]*Devis[[#This Row],[Prix de Revient]]</f>
        <v>0</v>
      </c>
      <c r="Z2991" s="74">
        <f>Devis[[#This Row],[Poste 5]]*Devis[[#This Row],[Prix de Revient]]</f>
        <v>0</v>
      </c>
      <c r="AA2991" s="74">
        <f>Devis[[#This Row],[Prix de Revient]]*Devis[[#This Row],[Poste 6]]</f>
        <v>0</v>
      </c>
      <c r="AB2991" s="74">
        <f>Devis[[#This Row],[Quantité Totale]]*Devis[[#This Row],[Prix de Revient]]</f>
        <v>0</v>
      </c>
    </row>
    <row r="2992" spans="1:28" ht="14.25" outlineLevel="1" x14ac:dyDescent="0.2">
      <c r="A2992" s="75" t="s">
        <v>2794</v>
      </c>
      <c r="B2992" s="76" t="s">
        <v>2827</v>
      </c>
      <c r="C2992" s="76" t="s">
        <v>6287</v>
      </c>
      <c r="D2992" s="81" t="str">
        <f t="shared" si="51"/>
        <v>Recup CalorieFiltre TamisFileté</v>
      </c>
      <c r="E2992" s="76" t="s">
        <v>6293</v>
      </c>
      <c r="F2992" s="81">
        <v>2</v>
      </c>
      <c r="G2992" s="86" t="s">
        <v>6288</v>
      </c>
      <c r="H2992" s="71" t="s">
        <v>3381</v>
      </c>
      <c r="I2992" s="86" t="s">
        <v>6297</v>
      </c>
      <c r="J2992" s="70">
        <f>IFERROR(VLOOKUP(Devis[[#This Row],[Ref Air Flux]],#REF!,3,FALSE),0)</f>
        <v>0</v>
      </c>
      <c r="K2992" s="68"/>
      <c r="L2992" s="68"/>
      <c r="M2992" s="68"/>
      <c r="N2992" s="68"/>
      <c r="O2992" s="68"/>
      <c r="P2992" s="68"/>
      <c r="Q2992" s="68">
        <f>SUM(Devis[[#This Row],[Poste 1]:[Poste 6]])</f>
        <v>0</v>
      </c>
      <c r="R2992" s="71"/>
      <c r="S2992" s="68">
        <f>_xlfn.CEILING.MATH(Devis[[#This Row],[Quantité Totale]],Devis[[#This Row],[Conditionnement]])</f>
        <v>0</v>
      </c>
      <c r="T2992" s="72"/>
      <c r="U2992" s="106"/>
      <c r="V2992" s="74">
        <f>Devis[[#This Row],[Prix de Revient]]*Devis[[#This Row],[Poste 1]]</f>
        <v>0</v>
      </c>
      <c r="W2992" s="74">
        <f>Devis[[#This Row],[Prix de Revient]]*Devis[[#This Row],[Poste 2]]</f>
        <v>0</v>
      </c>
      <c r="X2992" s="74">
        <f>Devis[[#This Row],[Prix de Revient]]*Devis[[#This Row],[Poste 3]]</f>
        <v>0</v>
      </c>
      <c r="Y2992" s="74">
        <f>Devis[[#This Row],[Poste 4]]*Devis[[#This Row],[Prix de Revient]]</f>
        <v>0</v>
      </c>
      <c r="Z2992" s="74">
        <f>Devis[[#This Row],[Poste 5]]*Devis[[#This Row],[Prix de Revient]]</f>
        <v>0</v>
      </c>
      <c r="AA2992" s="74">
        <f>Devis[[#This Row],[Prix de Revient]]*Devis[[#This Row],[Poste 6]]</f>
        <v>0</v>
      </c>
      <c r="AB2992" s="74">
        <f>Devis[[#This Row],[Quantité Totale]]*Devis[[#This Row],[Prix de Revient]]</f>
        <v>0</v>
      </c>
    </row>
    <row r="2993" spans="1:28" ht="14.25" outlineLevel="1" x14ac:dyDescent="0.2">
      <c r="A2993" s="75" t="s">
        <v>2794</v>
      </c>
      <c r="B2993" s="76" t="s">
        <v>2827</v>
      </c>
      <c r="C2993" s="76" t="s">
        <v>6287</v>
      </c>
      <c r="D2993" s="81" t="str">
        <f t="shared" si="51"/>
        <v>Recup CalorieFiltre TamisFileté</v>
      </c>
      <c r="E2993" s="76" t="s">
        <v>6292</v>
      </c>
      <c r="F2993" s="81">
        <v>3</v>
      </c>
      <c r="G2993" s="86" t="s">
        <v>6289</v>
      </c>
      <c r="H2993" s="71" t="s">
        <v>3381</v>
      </c>
      <c r="I2993" s="86" t="s">
        <v>6290</v>
      </c>
      <c r="J2993" s="70">
        <f>IFERROR(VLOOKUP(Devis[[#This Row],[Ref Air Flux]],#REF!,3,FALSE),0)</f>
        <v>0</v>
      </c>
      <c r="K2993" s="68"/>
      <c r="L2993" s="68"/>
      <c r="M2993" s="68"/>
      <c r="N2993" s="68"/>
      <c r="O2993" s="68"/>
      <c r="P2993" s="68"/>
      <c r="Q2993" s="68">
        <f>SUM(Devis[[#This Row],[Poste 1]:[Poste 6]])</f>
        <v>0</v>
      </c>
      <c r="R2993" s="71"/>
      <c r="S2993" s="68">
        <f>_xlfn.CEILING.MATH(Devis[[#This Row],[Quantité Totale]],Devis[[#This Row],[Conditionnement]])</f>
        <v>0</v>
      </c>
      <c r="T2993" s="72"/>
      <c r="U2993" s="106"/>
      <c r="V2993" s="74">
        <f>Devis[[#This Row],[Prix de Revient]]*Devis[[#This Row],[Poste 1]]</f>
        <v>0</v>
      </c>
      <c r="W2993" s="74">
        <f>Devis[[#This Row],[Prix de Revient]]*Devis[[#This Row],[Poste 2]]</f>
        <v>0</v>
      </c>
      <c r="X2993" s="74">
        <f>Devis[[#This Row],[Prix de Revient]]*Devis[[#This Row],[Poste 3]]</f>
        <v>0</v>
      </c>
      <c r="Y2993" s="74">
        <f>Devis[[#This Row],[Poste 4]]*Devis[[#This Row],[Prix de Revient]]</f>
        <v>0</v>
      </c>
      <c r="Z2993" s="74">
        <f>Devis[[#This Row],[Poste 5]]*Devis[[#This Row],[Prix de Revient]]</f>
        <v>0</v>
      </c>
      <c r="AA2993" s="74">
        <f>Devis[[#This Row],[Prix de Revient]]*Devis[[#This Row],[Poste 6]]</f>
        <v>0</v>
      </c>
      <c r="AB2993" s="74">
        <f>Devis[[#This Row],[Quantité Totale]]*Devis[[#This Row],[Prix de Revient]]</f>
        <v>0</v>
      </c>
    </row>
    <row r="2994" spans="1:28" ht="14.25" customHeight="1" outlineLevel="1" x14ac:dyDescent="0.2">
      <c r="A2994" s="75" t="s">
        <v>2794</v>
      </c>
      <c r="B2994" s="76" t="s">
        <v>2827</v>
      </c>
      <c r="C2994" s="76" t="s">
        <v>6287</v>
      </c>
      <c r="D2994" s="81" t="str">
        <f t="shared" si="51"/>
        <v>Recup CalorieFiltre TamisFileté</v>
      </c>
      <c r="E2994" s="76" t="s">
        <v>6298</v>
      </c>
      <c r="F2994" s="81">
        <v>4</v>
      </c>
      <c r="G2994" s="86" t="s">
        <v>3234</v>
      </c>
      <c r="H2994" s="71" t="s">
        <v>3381</v>
      </c>
      <c r="I2994" s="86" t="s">
        <v>6291</v>
      </c>
      <c r="J2994" s="70">
        <f>IFERROR(VLOOKUP(Devis[[#This Row],[Ref Air Flux]],#REF!,3,FALSE),0)</f>
        <v>0</v>
      </c>
      <c r="K2994" s="68"/>
      <c r="L2994" s="68"/>
      <c r="M2994" s="68"/>
      <c r="N2994" s="68"/>
      <c r="O2994" s="68"/>
      <c r="P2994" s="68"/>
      <c r="Q2994" s="68">
        <f>SUM(Devis[[#This Row],[Poste 1]:[Poste 6]])</f>
        <v>0</v>
      </c>
      <c r="R2994" s="71"/>
      <c r="S2994" s="68">
        <f>_xlfn.CEILING.MATH(Devis[[#This Row],[Quantité Totale]],Devis[[#This Row],[Conditionnement]])</f>
        <v>0</v>
      </c>
      <c r="T2994" s="72"/>
      <c r="U2994" s="106"/>
      <c r="V2994" s="74">
        <f>Devis[[#This Row],[Prix de Revient]]*Devis[[#This Row],[Poste 1]]</f>
        <v>0</v>
      </c>
      <c r="W2994" s="74">
        <f>Devis[[#This Row],[Prix de Revient]]*Devis[[#This Row],[Poste 2]]</f>
        <v>0</v>
      </c>
      <c r="X2994" s="74">
        <f>Devis[[#This Row],[Prix de Revient]]*Devis[[#This Row],[Poste 3]]</f>
        <v>0</v>
      </c>
      <c r="Y2994" s="74">
        <f>Devis[[#This Row],[Poste 4]]*Devis[[#This Row],[Prix de Revient]]</f>
        <v>0</v>
      </c>
      <c r="Z2994" s="74">
        <f>Devis[[#This Row],[Poste 5]]*Devis[[#This Row],[Prix de Revient]]</f>
        <v>0</v>
      </c>
      <c r="AA2994" s="74">
        <f>Devis[[#This Row],[Prix de Revient]]*Devis[[#This Row],[Poste 6]]</f>
        <v>0</v>
      </c>
      <c r="AB2994" s="74">
        <f>Devis[[#This Row],[Quantité Totale]]*Devis[[#This Row],[Prix de Revient]]</f>
        <v>0</v>
      </c>
    </row>
    <row r="2995" spans="1:28" ht="14.25" customHeight="1" outlineLevel="1" x14ac:dyDescent="0.2">
      <c r="A2995" s="75" t="s">
        <v>2794</v>
      </c>
      <c r="B2995" s="76" t="s">
        <v>2827</v>
      </c>
      <c r="C2995" s="76" t="s">
        <v>6287</v>
      </c>
      <c r="D2995" s="81" t="str">
        <f t="shared" si="51"/>
        <v>Recup CalorieFiltre TamisFileté</v>
      </c>
      <c r="E2995" s="76" t="s">
        <v>6299</v>
      </c>
      <c r="F2995" s="81">
        <v>5</v>
      </c>
      <c r="G2995" s="86" t="s">
        <v>3235</v>
      </c>
      <c r="H2995" s="71" t="s">
        <v>3381</v>
      </c>
      <c r="I2995" s="86" t="s">
        <v>6300</v>
      </c>
      <c r="J2995" s="70">
        <f>IFERROR(VLOOKUP(Devis[[#This Row],[Ref Air Flux]],#REF!,3,FALSE),0)</f>
        <v>0</v>
      </c>
      <c r="K2995" s="68"/>
      <c r="L2995" s="68"/>
      <c r="M2995" s="68"/>
      <c r="N2995" s="68"/>
      <c r="O2995" s="68"/>
      <c r="P2995" s="68"/>
      <c r="Q2995" s="68">
        <f>SUM(Devis[[#This Row],[Poste 1]:[Poste 6]])</f>
        <v>0</v>
      </c>
      <c r="R2995" s="71"/>
      <c r="S2995" s="68">
        <f>_xlfn.CEILING.MATH(Devis[[#This Row],[Quantité Totale]],Devis[[#This Row],[Conditionnement]])</f>
        <v>0</v>
      </c>
      <c r="T2995" s="72"/>
      <c r="U2995" s="106"/>
      <c r="V2995" s="74">
        <f>Devis[[#This Row],[Prix de Revient]]*Devis[[#This Row],[Poste 1]]</f>
        <v>0</v>
      </c>
      <c r="W2995" s="74">
        <f>Devis[[#This Row],[Prix de Revient]]*Devis[[#This Row],[Poste 2]]</f>
        <v>0</v>
      </c>
      <c r="X2995" s="74">
        <f>Devis[[#This Row],[Prix de Revient]]*Devis[[#This Row],[Poste 3]]</f>
        <v>0</v>
      </c>
      <c r="Y2995" s="74">
        <f>Devis[[#This Row],[Poste 4]]*Devis[[#This Row],[Prix de Revient]]</f>
        <v>0</v>
      </c>
      <c r="Z2995" s="74">
        <f>Devis[[#This Row],[Poste 5]]*Devis[[#This Row],[Prix de Revient]]</f>
        <v>0</v>
      </c>
      <c r="AA2995" s="74">
        <f>Devis[[#This Row],[Prix de Revient]]*Devis[[#This Row],[Poste 6]]</f>
        <v>0</v>
      </c>
      <c r="AB2995" s="74">
        <f>Devis[[#This Row],[Quantité Totale]]*Devis[[#This Row],[Prix de Revient]]</f>
        <v>0</v>
      </c>
    </row>
    <row r="2996" spans="1:28" ht="14.25" customHeight="1" outlineLevel="1" x14ac:dyDescent="0.2">
      <c r="A2996" s="75" t="s">
        <v>2794</v>
      </c>
      <c r="B2996" s="76" t="s">
        <v>2827</v>
      </c>
      <c r="C2996" s="76" t="s">
        <v>6287</v>
      </c>
      <c r="D2996" s="81" t="str">
        <f t="shared" si="51"/>
        <v>Recup CalorieFiltre TamisFileté</v>
      </c>
      <c r="E2996" s="76" t="s">
        <v>6301</v>
      </c>
      <c r="F2996" s="81">
        <v>6</v>
      </c>
      <c r="G2996" s="86" t="s">
        <v>2828</v>
      </c>
      <c r="H2996" s="71" t="s">
        <v>3381</v>
      </c>
      <c r="I2996" s="86" t="s">
        <v>6302</v>
      </c>
      <c r="J2996" s="70">
        <f>IFERROR(VLOOKUP(Devis[[#This Row],[Ref Air Flux]],#REF!,3,FALSE),0)</f>
        <v>0</v>
      </c>
      <c r="K2996" s="68"/>
      <c r="L2996" s="68"/>
      <c r="M2996" s="68"/>
      <c r="N2996" s="68"/>
      <c r="O2996" s="68"/>
      <c r="P2996" s="68"/>
      <c r="Q2996" s="68">
        <f>SUM(Devis[[#This Row],[Poste 1]:[Poste 6]])</f>
        <v>0</v>
      </c>
      <c r="R2996" s="71"/>
      <c r="S2996" s="68">
        <f>_xlfn.CEILING.MATH(Devis[[#This Row],[Quantité Totale]],Devis[[#This Row],[Conditionnement]])</f>
        <v>0</v>
      </c>
      <c r="T2996" s="72"/>
      <c r="U2996" s="106"/>
      <c r="V2996" s="74">
        <f>Devis[[#This Row],[Prix de Revient]]*Devis[[#This Row],[Poste 1]]</f>
        <v>0</v>
      </c>
      <c r="W2996" s="74">
        <f>Devis[[#This Row],[Prix de Revient]]*Devis[[#This Row],[Poste 2]]</f>
        <v>0</v>
      </c>
      <c r="X2996" s="74">
        <f>Devis[[#This Row],[Prix de Revient]]*Devis[[#This Row],[Poste 3]]</f>
        <v>0</v>
      </c>
      <c r="Y2996" s="74">
        <f>Devis[[#This Row],[Poste 4]]*Devis[[#This Row],[Prix de Revient]]</f>
        <v>0</v>
      </c>
      <c r="Z2996" s="74">
        <f>Devis[[#This Row],[Poste 5]]*Devis[[#This Row],[Prix de Revient]]</f>
        <v>0</v>
      </c>
      <c r="AA2996" s="74">
        <f>Devis[[#This Row],[Prix de Revient]]*Devis[[#This Row],[Poste 6]]</f>
        <v>0</v>
      </c>
      <c r="AB2996" s="74">
        <f>Devis[[#This Row],[Quantité Totale]]*Devis[[#This Row],[Prix de Revient]]</f>
        <v>0</v>
      </c>
    </row>
    <row r="2997" spans="1:28" ht="14.25" customHeight="1" outlineLevel="1" x14ac:dyDescent="0.2">
      <c r="A2997" s="75" t="s">
        <v>2794</v>
      </c>
      <c r="B2997" s="76" t="s">
        <v>2827</v>
      </c>
      <c r="C2997" s="76" t="s">
        <v>4002</v>
      </c>
      <c r="D2997" s="81" t="str">
        <f t="shared" si="51"/>
        <v>Recup CalorieFiltre TamisBride</v>
      </c>
      <c r="E2997" s="76" t="s">
        <v>6303</v>
      </c>
      <c r="F2997" s="76">
        <v>7</v>
      </c>
      <c r="G2997" s="86"/>
      <c r="H2997" s="71"/>
      <c r="I2997" s="86"/>
      <c r="J2997" s="70">
        <f>IFERROR(VLOOKUP(Devis[[#This Row],[Ref Air Flux]],#REF!,3,FALSE),0)</f>
        <v>0</v>
      </c>
      <c r="K2997" s="68"/>
      <c r="L2997" s="68"/>
      <c r="M2997" s="68"/>
      <c r="N2997" s="68"/>
      <c r="O2997" s="68"/>
      <c r="P2997" s="68"/>
      <c r="Q2997" s="68">
        <f>SUM(Devis[[#This Row],[Poste 1]:[Poste 6]])</f>
        <v>0</v>
      </c>
      <c r="R2997" s="71"/>
      <c r="S2997" s="68">
        <f>_xlfn.CEILING.MATH(Devis[[#This Row],[Quantité Totale]],Devis[[#This Row],[Conditionnement]])</f>
        <v>0</v>
      </c>
      <c r="T2997" s="72"/>
      <c r="U2997" s="106"/>
      <c r="V2997" s="74">
        <f>Devis[[#This Row],[Prix de Revient]]*Devis[[#This Row],[Poste 1]]</f>
        <v>0</v>
      </c>
      <c r="W2997" s="74">
        <f>Devis[[#This Row],[Prix de Revient]]*Devis[[#This Row],[Poste 2]]</f>
        <v>0</v>
      </c>
      <c r="X2997" s="74">
        <f>Devis[[#This Row],[Prix de Revient]]*Devis[[#This Row],[Poste 3]]</f>
        <v>0</v>
      </c>
      <c r="Y2997" s="74">
        <f>Devis[[#This Row],[Poste 4]]*Devis[[#This Row],[Prix de Revient]]</f>
        <v>0</v>
      </c>
      <c r="Z2997" s="74">
        <f>Devis[[#This Row],[Poste 5]]*Devis[[#This Row],[Prix de Revient]]</f>
        <v>0</v>
      </c>
      <c r="AA2997" s="74">
        <f>Devis[[#This Row],[Prix de Revient]]*Devis[[#This Row],[Poste 6]]</f>
        <v>0</v>
      </c>
      <c r="AB2997" s="74">
        <f>Devis[[#This Row],[Quantité Totale]]*Devis[[#This Row],[Prix de Revient]]</f>
        <v>0</v>
      </c>
    </row>
    <row r="2998" spans="1:28" ht="14.25" outlineLevel="1" x14ac:dyDescent="0.2">
      <c r="A2998" s="75" t="s">
        <v>2794</v>
      </c>
      <c r="B2998" s="76" t="s">
        <v>2827</v>
      </c>
      <c r="C2998" s="76" t="s">
        <v>4002</v>
      </c>
      <c r="D2998" s="67" t="str">
        <f>Général!$A796&amp;Général!$B796&amp;Général!$C796</f>
        <v>DiversNacelleCiseaux</v>
      </c>
      <c r="E2998" s="76" t="s">
        <v>5902</v>
      </c>
      <c r="F2998" s="67">
        <v>8</v>
      </c>
      <c r="G2998" s="71" t="s">
        <v>5632</v>
      </c>
      <c r="H2998" s="71" t="s">
        <v>3381</v>
      </c>
      <c r="I2998" s="71" t="s">
        <v>5632</v>
      </c>
      <c r="J2998" s="70">
        <f>IFERROR(VLOOKUP(Devis[[#This Row],[Ref Air Flux]],#REF!,3,FALSE),0)</f>
        <v>0</v>
      </c>
      <c r="K2998" s="68"/>
      <c r="L2998" s="68"/>
      <c r="M2998" s="68"/>
      <c r="N2998" s="68"/>
      <c r="O2998" s="68"/>
      <c r="P2998" s="68"/>
      <c r="Q2998" s="68">
        <f>SUM(Devis[[#This Row],[Poste 1]:[Poste 6]])</f>
        <v>0</v>
      </c>
      <c r="R2998" s="71"/>
      <c r="S2998" s="68">
        <f>_xlfn.CEILING.MATH(Devis[[#This Row],[Quantité Totale]],Devis[[#This Row],[Conditionnement]])</f>
        <v>0</v>
      </c>
      <c r="T2998" s="72"/>
      <c r="U2998" s="106"/>
      <c r="V2998" s="74">
        <f>Devis[[#This Row],[Prix de Revient]]*Devis[[#This Row],[Poste 1]]</f>
        <v>0</v>
      </c>
      <c r="W2998" s="74">
        <f>Devis[[#This Row],[Prix de Revient]]*Devis[[#This Row],[Poste 2]]</f>
        <v>0</v>
      </c>
      <c r="X2998" s="74">
        <f>Devis[[#This Row],[Prix de Revient]]*Devis[[#This Row],[Poste 3]]</f>
        <v>0</v>
      </c>
      <c r="Y2998" s="74">
        <f>Devis[[#This Row],[Poste 4]]*Devis[[#This Row],[Prix de Revient]]</f>
        <v>0</v>
      </c>
      <c r="Z2998" s="74">
        <f>Devis[[#This Row],[Poste 5]]*Devis[[#This Row],[Prix de Revient]]</f>
        <v>0</v>
      </c>
      <c r="AA2998" s="74">
        <f>Devis[[#This Row],[Prix de Revient]]*Devis[[#This Row],[Poste 6]]</f>
        <v>0</v>
      </c>
      <c r="AB2998" s="74">
        <f>Devis[[#This Row],[Quantité Totale]]*Devis[[#This Row],[Prix de Revient]]</f>
        <v>0</v>
      </c>
    </row>
    <row r="2999" spans="1:28" ht="14.25" customHeight="1" outlineLevel="1" x14ac:dyDescent="0.2">
      <c r="A2999" s="75" t="s">
        <v>2794</v>
      </c>
      <c r="B2999" s="76" t="s">
        <v>2827</v>
      </c>
      <c r="C2999" s="76" t="s">
        <v>4002</v>
      </c>
      <c r="D2999" s="163" t="str">
        <f>A2999&amp;B2999&amp;C2999</f>
        <v>Recup CalorieFiltre TamisBride</v>
      </c>
      <c r="E2999" s="76" t="s">
        <v>6393</v>
      </c>
      <c r="F2999" s="67">
        <v>9</v>
      </c>
      <c r="G2999" s="86" t="s">
        <v>6394</v>
      </c>
      <c r="H2999" s="71" t="s">
        <v>3381</v>
      </c>
      <c r="I2999" s="86" t="s">
        <v>6394</v>
      </c>
      <c r="J2999" s="70">
        <f>IFERROR(VLOOKUP(Devis[[#This Row],[Ref Air Flux]],#REF!,3,FALSE),0)</f>
        <v>0</v>
      </c>
      <c r="K2999" s="68"/>
      <c r="L2999" s="68"/>
      <c r="M2999" s="68"/>
      <c r="N2999" s="68"/>
      <c r="O2999" s="68"/>
      <c r="P2999" s="68"/>
      <c r="Q2999" s="68">
        <f>SUM(Devis[[#This Row],[Poste 1]:[Poste 6]])</f>
        <v>0</v>
      </c>
      <c r="R2999" s="71"/>
      <c r="S2999" s="68">
        <f>_xlfn.CEILING.MATH(Devis[[#This Row],[Quantité Totale]],Devis[[#This Row],[Conditionnement]])</f>
        <v>0</v>
      </c>
      <c r="T2999" s="72"/>
      <c r="U2999" s="106"/>
      <c r="V2999" s="74">
        <f>Devis[[#This Row],[Prix de Revient]]*Devis[[#This Row],[Poste 1]]</f>
        <v>0</v>
      </c>
      <c r="W2999" s="74">
        <f>Devis[[#This Row],[Prix de Revient]]*Devis[[#This Row],[Poste 2]]</f>
        <v>0</v>
      </c>
      <c r="X2999" s="74">
        <f>Devis[[#This Row],[Prix de Revient]]*Devis[[#This Row],[Poste 3]]</f>
        <v>0</v>
      </c>
      <c r="Y2999" s="74">
        <f>Devis[[#This Row],[Poste 4]]*Devis[[#This Row],[Prix de Revient]]</f>
        <v>0</v>
      </c>
      <c r="Z2999" s="74">
        <f>Devis[[#This Row],[Poste 5]]*Devis[[#This Row],[Prix de Revient]]</f>
        <v>0</v>
      </c>
      <c r="AA2999" s="74">
        <f>Devis[[#This Row],[Prix de Revient]]*Devis[[#This Row],[Poste 6]]</f>
        <v>0</v>
      </c>
      <c r="AB2999" s="74">
        <f>Devis[[#This Row],[Quantité Totale]]*Devis[[#This Row],[Prix de Revient]]</f>
        <v>0</v>
      </c>
    </row>
    <row r="3000" spans="1:28" ht="14.25" customHeight="1" outlineLevel="1" x14ac:dyDescent="0.2">
      <c r="A3000" s="75" t="s">
        <v>2794</v>
      </c>
      <c r="B3000" s="76" t="s">
        <v>2827</v>
      </c>
      <c r="C3000" s="76" t="s">
        <v>4002</v>
      </c>
      <c r="D3000" s="67" t="str">
        <f>Général!$A797&amp;Général!$B797&amp;Général!$C797</f>
        <v>DiversNacelleCiseaux</v>
      </c>
      <c r="E3000" s="76" t="s">
        <v>5903</v>
      </c>
      <c r="F3000" s="67">
        <v>10</v>
      </c>
      <c r="G3000" s="71" t="s">
        <v>5633</v>
      </c>
      <c r="H3000" s="71" t="s">
        <v>3381</v>
      </c>
      <c r="I3000" s="71" t="s">
        <v>5633</v>
      </c>
      <c r="J3000" s="70">
        <f>IFERROR(VLOOKUP(Devis[[#This Row],[Ref Air Flux]],#REF!,3,FALSE),0)</f>
        <v>0</v>
      </c>
      <c r="K3000" s="68"/>
      <c r="L3000" s="68"/>
      <c r="M3000" s="68"/>
      <c r="N3000" s="68"/>
      <c r="O3000" s="68"/>
      <c r="P3000" s="68"/>
      <c r="Q3000" s="68">
        <f>SUM(Devis[[#This Row],[Poste 1]:[Poste 6]])</f>
        <v>0</v>
      </c>
      <c r="R3000" s="71"/>
      <c r="S3000" s="68">
        <f>_xlfn.CEILING.MATH(Devis[[#This Row],[Quantité Totale]],Devis[[#This Row],[Conditionnement]])</f>
        <v>0</v>
      </c>
      <c r="T3000" s="72"/>
      <c r="U3000" s="106"/>
      <c r="V3000" s="74">
        <f>Devis[[#This Row],[Prix de Revient]]*Devis[[#This Row],[Poste 1]]</f>
        <v>0</v>
      </c>
      <c r="W3000" s="74">
        <f>Devis[[#This Row],[Prix de Revient]]*Devis[[#This Row],[Poste 2]]</f>
        <v>0</v>
      </c>
      <c r="X3000" s="74">
        <f>Devis[[#This Row],[Prix de Revient]]*Devis[[#This Row],[Poste 3]]</f>
        <v>0</v>
      </c>
      <c r="Y3000" s="74">
        <f>Devis[[#This Row],[Poste 4]]*Devis[[#This Row],[Prix de Revient]]</f>
        <v>0</v>
      </c>
      <c r="Z3000" s="74">
        <f>Devis[[#This Row],[Poste 5]]*Devis[[#This Row],[Prix de Revient]]</f>
        <v>0</v>
      </c>
      <c r="AA3000" s="74">
        <f>Devis[[#This Row],[Prix de Revient]]*Devis[[#This Row],[Poste 6]]</f>
        <v>0</v>
      </c>
      <c r="AB3000" s="74">
        <f>Devis[[#This Row],[Quantité Totale]]*Devis[[#This Row],[Prix de Revient]]</f>
        <v>0</v>
      </c>
    </row>
    <row r="3001" spans="1:28" ht="14.25" outlineLevel="1" x14ac:dyDescent="0.2">
      <c r="A3001" s="75" t="s">
        <v>2794</v>
      </c>
      <c r="B3001" s="76" t="s">
        <v>2827</v>
      </c>
      <c r="C3001" s="76" t="s">
        <v>4002</v>
      </c>
      <c r="D3001" s="67" t="str">
        <f>Général!$A798&amp;Général!$B798&amp;Général!$C798</f>
        <v>DiversNacelleElévateur articulé tout-terrain</v>
      </c>
      <c r="E3001" s="76" t="s">
        <v>5904</v>
      </c>
      <c r="F3001" s="67">
        <v>11</v>
      </c>
      <c r="G3001" s="71" t="s">
        <v>5634</v>
      </c>
      <c r="H3001" s="71" t="s">
        <v>3381</v>
      </c>
      <c r="I3001" s="71" t="s">
        <v>5634</v>
      </c>
      <c r="J3001" s="70">
        <f>IFERROR(VLOOKUP(Devis[[#This Row],[Ref Air Flux]],#REF!,3,FALSE),0)</f>
        <v>0</v>
      </c>
      <c r="K3001" s="68"/>
      <c r="L3001" s="68"/>
      <c r="M3001" s="68"/>
      <c r="N3001" s="68"/>
      <c r="O3001" s="68"/>
      <c r="P3001" s="68"/>
      <c r="Q3001" s="68">
        <f>SUM(Devis[[#This Row],[Poste 1]:[Poste 6]])</f>
        <v>0</v>
      </c>
      <c r="R3001" s="71"/>
      <c r="S3001" s="68">
        <f>_xlfn.CEILING.MATH(Devis[[#This Row],[Quantité Totale]],Devis[[#This Row],[Conditionnement]])</f>
        <v>0</v>
      </c>
      <c r="T3001" s="72"/>
      <c r="U3001" s="106"/>
      <c r="V3001" s="74">
        <f>Devis[[#This Row],[Prix de Revient]]*Devis[[#This Row],[Poste 1]]</f>
        <v>0</v>
      </c>
      <c r="W3001" s="74">
        <f>Devis[[#This Row],[Prix de Revient]]*Devis[[#This Row],[Poste 2]]</f>
        <v>0</v>
      </c>
      <c r="X3001" s="74">
        <f>Devis[[#This Row],[Prix de Revient]]*Devis[[#This Row],[Poste 3]]</f>
        <v>0</v>
      </c>
      <c r="Y3001" s="74">
        <f>Devis[[#This Row],[Poste 4]]*Devis[[#This Row],[Prix de Revient]]</f>
        <v>0</v>
      </c>
      <c r="Z3001" s="74">
        <f>Devis[[#This Row],[Poste 5]]*Devis[[#This Row],[Prix de Revient]]</f>
        <v>0</v>
      </c>
      <c r="AA3001" s="74">
        <f>Devis[[#This Row],[Prix de Revient]]*Devis[[#This Row],[Poste 6]]</f>
        <v>0</v>
      </c>
      <c r="AB3001" s="74">
        <f>Devis[[#This Row],[Quantité Totale]]*Devis[[#This Row],[Prix de Revient]]</f>
        <v>0</v>
      </c>
    </row>
    <row r="3002" spans="1:28" ht="15" customHeight="1" outlineLevel="1" x14ac:dyDescent="0.2">
      <c r="A3002" s="75" t="s">
        <v>2794</v>
      </c>
      <c r="B3002" s="76" t="s">
        <v>2827</v>
      </c>
      <c r="C3002" s="76" t="s">
        <v>4002</v>
      </c>
      <c r="D3002" s="67" t="str">
        <f>Général!$A799&amp;Général!$B799&amp;Général!$C799</f>
        <v>DiversNacelleElévateur articulé tout-terrain</v>
      </c>
      <c r="E3002" s="76" t="s">
        <v>5905</v>
      </c>
      <c r="F3002" s="67">
        <v>12</v>
      </c>
      <c r="G3002" s="71" t="s">
        <v>5635</v>
      </c>
      <c r="H3002" s="71" t="s">
        <v>3381</v>
      </c>
      <c r="I3002" s="71" t="s">
        <v>5635</v>
      </c>
      <c r="J3002" s="70">
        <f>IFERROR(VLOOKUP(Devis[[#This Row],[Ref Air Flux]],#REF!,3,FALSE),0)</f>
        <v>0</v>
      </c>
      <c r="K3002" s="68"/>
      <c r="L3002" s="68"/>
      <c r="M3002" s="68"/>
      <c r="N3002" s="68"/>
      <c r="O3002" s="68"/>
      <c r="P3002" s="68"/>
      <c r="Q3002" s="68">
        <f>SUM(Devis[[#This Row],[Poste 1]:[Poste 6]])</f>
        <v>0</v>
      </c>
      <c r="R3002" s="71"/>
      <c r="S3002" s="68">
        <f>_xlfn.CEILING.MATH(Devis[[#This Row],[Quantité Totale]],Devis[[#This Row],[Conditionnement]])</f>
        <v>0</v>
      </c>
      <c r="T3002" s="72"/>
      <c r="U3002" s="106"/>
      <c r="V3002" s="74">
        <f>Devis[[#This Row],[Prix de Revient]]*Devis[[#This Row],[Poste 1]]</f>
        <v>0</v>
      </c>
      <c r="W3002" s="74">
        <f>Devis[[#This Row],[Prix de Revient]]*Devis[[#This Row],[Poste 2]]</f>
        <v>0</v>
      </c>
      <c r="X3002" s="74">
        <f>Devis[[#This Row],[Prix de Revient]]*Devis[[#This Row],[Poste 3]]</f>
        <v>0</v>
      </c>
      <c r="Y3002" s="74">
        <f>Devis[[#This Row],[Poste 4]]*Devis[[#This Row],[Prix de Revient]]</f>
        <v>0</v>
      </c>
      <c r="Z3002" s="74">
        <f>Devis[[#This Row],[Poste 5]]*Devis[[#This Row],[Prix de Revient]]</f>
        <v>0</v>
      </c>
      <c r="AA3002" s="74">
        <f>Devis[[#This Row],[Prix de Revient]]*Devis[[#This Row],[Poste 6]]</f>
        <v>0</v>
      </c>
      <c r="AB3002" s="74">
        <f>Devis[[#This Row],[Quantité Totale]]*Devis[[#This Row],[Prix de Revient]]</f>
        <v>0</v>
      </c>
    </row>
    <row r="3003" spans="1:28" ht="14.25" customHeight="1" outlineLevel="1" x14ac:dyDescent="0.2">
      <c r="A3003" s="75" t="s">
        <v>2794</v>
      </c>
      <c r="B3003" s="76" t="s">
        <v>2827</v>
      </c>
      <c r="C3003" s="76" t="s">
        <v>4002</v>
      </c>
      <c r="D3003" s="81" t="str">
        <f t="shared" ref="D3003:D3025" si="52">A3003&amp;B3003&amp;C3003</f>
        <v>Recup CalorieFiltre TamisBride</v>
      </c>
      <c r="E3003" s="76" t="s">
        <v>3236</v>
      </c>
      <c r="F3003" s="81">
        <v>13</v>
      </c>
      <c r="G3003" s="86" t="s">
        <v>3237</v>
      </c>
      <c r="H3003" s="71"/>
      <c r="I3003" s="102"/>
      <c r="J3003" s="70">
        <f>IFERROR(VLOOKUP(Devis[[#This Row],[Ref Air Flux]],#REF!,3,FALSE),0)</f>
        <v>0</v>
      </c>
      <c r="K3003" s="68"/>
      <c r="L3003" s="68"/>
      <c r="M3003" s="68"/>
      <c r="N3003" s="68"/>
      <c r="O3003" s="68"/>
      <c r="P3003" s="68"/>
      <c r="Q3003" s="68">
        <f>SUM(Devis[[#This Row],[Poste 1]:[Poste 6]])</f>
        <v>0</v>
      </c>
      <c r="R3003" s="71"/>
      <c r="S3003" s="68">
        <f>_xlfn.CEILING.MATH(Devis[[#This Row],[Quantité Totale]],Devis[[#This Row],[Conditionnement]])</f>
        <v>0</v>
      </c>
      <c r="T3003" s="72"/>
      <c r="U3003" s="106"/>
      <c r="V3003" s="74">
        <f>Devis[[#This Row],[Prix de Revient]]*Devis[[#This Row],[Poste 1]]</f>
        <v>0</v>
      </c>
      <c r="W3003" s="74">
        <f>Devis[[#This Row],[Prix de Revient]]*Devis[[#This Row],[Poste 2]]</f>
        <v>0</v>
      </c>
      <c r="X3003" s="74">
        <f>Devis[[#This Row],[Prix de Revient]]*Devis[[#This Row],[Poste 3]]</f>
        <v>0</v>
      </c>
      <c r="Y3003" s="74">
        <f>Devis[[#This Row],[Poste 4]]*Devis[[#This Row],[Prix de Revient]]</f>
        <v>0</v>
      </c>
      <c r="Z3003" s="74">
        <f>Devis[[#This Row],[Poste 5]]*Devis[[#This Row],[Prix de Revient]]</f>
        <v>0</v>
      </c>
      <c r="AA3003" s="74">
        <f>Devis[[#This Row],[Prix de Revient]]*Devis[[#This Row],[Poste 6]]</f>
        <v>0</v>
      </c>
      <c r="AB3003" s="74">
        <f>Devis[[#This Row],[Quantité Totale]]*Devis[[#This Row],[Prix de Revient]]</f>
        <v>0</v>
      </c>
    </row>
    <row r="3004" spans="1:28" ht="14.25" customHeight="1" x14ac:dyDescent="0.25">
      <c r="A3004" s="65" t="s">
        <v>2794</v>
      </c>
      <c r="B3004" s="65" t="s">
        <v>2853</v>
      </c>
      <c r="C3004" s="76"/>
      <c r="D3004" s="81" t="str">
        <f t="shared" si="52"/>
        <v>Recup CalorieGlycol</v>
      </c>
      <c r="E3004" s="76"/>
      <c r="F3004" s="81">
        <v>0</v>
      </c>
      <c r="G3004" s="86"/>
      <c r="H3004" s="71"/>
      <c r="I3004" s="102"/>
      <c r="J3004" s="70">
        <f>IFERROR(VLOOKUP(Devis[[#This Row],[Ref Air Flux]],#REF!,3,FALSE),0)</f>
        <v>0</v>
      </c>
      <c r="K3004" s="68"/>
      <c r="L3004" s="68"/>
      <c r="M3004" s="68"/>
      <c r="N3004" s="68"/>
      <c r="O3004" s="68"/>
      <c r="P3004" s="68"/>
      <c r="Q3004" s="68">
        <f>SUM(Devis[[#This Row],[Poste 1]:[Poste 6]])</f>
        <v>0</v>
      </c>
      <c r="R3004" s="71"/>
      <c r="S3004" s="68">
        <f>_xlfn.CEILING.MATH(Devis[[#This Row],[Quantité Totale]],Devis[[#This Row],[Conditionnement]])</f>
        <v>0</v>
      </c>
      <c r="T3004" s="72"/>
      <c r="U3004" s="106"/>
      <c r="V3004" s="74">
        <f>Devis[[#This Row],[Prix de Revient]]*Devis[[#This Row],[Poste 1]]</f>
        <v>0</v>
      </c>
      <c r="W3004" s="74">
        <f>Devis[[#This Row],[Prix de Revient]]*Devis[[#This Row],[Poste 2]]</f>
        <v>0</v>
      </c>
      <c r="X3004" s="74">
        <f>Devis[[#This Row],[Prix de Revient]]*Devis[[#This Row],[Poste 3]]</f>
        <v>0</v>
      </c>
      <c r="Y3004" s="74">
        <f>Devis[[#This Row],[Poste 4]]*Devis[[#This Row],[Prix de Revient]]</f>
        <v>0</v>
      </c>
      <c r="Z3004" s="74">
        <f>Devis[[#This Row],[Poste 5]]*Devis[[#This Row],[Prix de Revient]]</f>
        <v>0</v>
      </c>
      <c r="AA3004" s="74">
        <f>Devis[[#This Row],[Prix de Revient]]*Devis[[#This Row],[Poste 6]]</f>
        <v>0</v>
      </c>
      <c r="AB3004" s="74">
        <f>Devis[[#This Row],[Quantité Totale]]*Devis[[#This Row],[Prix de Revient]]</f>
        <v>0</v>
      </c>
    </row>
    <row r="3005" spans="1:28" ht="14.25" outlineLevel="1" x14ac:dyDescent="0.2">
      <c r="A3005" s="75" t="s">
        <v>2794</v>
      </c>
      <c r="B3005" s="76" t="s">
        <v>2853</v>
      </c>
      <c r="C3005" s="76" t="s">
        <v>3616</v>
      </c>
      <c r="D3005" s="81" t="str">
        <f t="shared" si="52"/>
        <v>Recup CalorieGlycolAlimentaire</v>
      </c>
      <c r="E3005" s="76" t="s">
        <v>2854</v>
      </c>
      <c r="F3005" s="81">
        <v>1</v>
      </c>
      <c r="G3005" s="86" t="s">
        <v>2855</v>
      </c>
      <c r="H3005" s="71" t="s">
        <v>3713</v>
      </c>
      <c r="I3005" s="102"/>
      <c r="J3005" s="70">
        <f>IFERROR(VLOOKUP(Devis[[#This Row],[Ref Air Flux]],#REF!,3,FALSE),0)</f>
        <v>0</v>
      </c>
      <c r="K3005" s="68"/>
      <c r="L3005" s="68"/>
      <c r="M3005" s="68"/>
      <c r="N3005" s="68"/>
      <c r="O3005" s="68"/>
      <c r="P3005" s="68"/>
      <c r="Q3005" s="68">
        <f>SUM(Devis[[#This Row],[Poste 1]:[Poste 6]])</f>
        <v>0</v>
      </c>
      <c r="R3005" s="71"/>
      <c r="S3005" s="68">
        <f>_xlfn.CEILING.MATH(Devis[[#This Row],[Quantité Totale]],Devis[[#This Row],[Conditionnement]])</f>
        <v>0</v>
      </c>
      <c r="T3005" s="72"/>
      <c r="U3005" s="106"/>
      <c r="V3005" s="74">
        <f>Devis[[#This Row],[Prix de Revient]]*Devis[[#This Row],[Poste 1]]</f>
        <v>0</v>
      </c>
      <c r="W3005" s="74">
        <f>Devis[[#This Row],[Prix de Revient]]*Devis[[#This Row],[Poste 2]]</f>
        <v>0</v>
      </c>
      <c r="X3005" s="74">
        <f>Devis[[#This Row],[Prix de Revient]]*Devis[[#This Row],[Poste 3]]</f>
        <v>0</v>
      </c>
      <c r="Y3005" s="74">
        <f>Devis[[#This Row],[Poste 4]]*Devis[[#This Row],[Prix de Revient]]</f>
        <v>0</v>
      </c>
      <c r="Z3005" s="74">
        <f>Devis[[#This Row],[Poste 5]]*Devis[[#This Row],[Prix de Revient]]</f>
        <v>0</v>
      </c>
      <c r="AA3005" s="74">
        <f>Devis[[#This Row],[Prix de Revient]]*Devis[[#This Row],[Poste 6]]</f>
        <v>0</v>
      </c>
      <c r="AB3005" s="74">
        <f>Devis[[#This Row],[Quantité Totale]]*Devis[[#This Row],[Prix de Revient]]</f>
        <v>0</v>
      </c>
    </row>
    <row r="3006" spans="1:28" ht="14.25" outlineLevel="1" x14ac:dyDescent="0.2">
      <c r="A3006" s="75" t="s">
        <v>2794</v>
      </c>
      <c r="B3006" s="76" t="s">
        <v>2853</v>
      </c>
      <c r="C3006" s="76" t="s">
        <v>3616</v>
      </c>
      <c r="D3006" s="81" t="str">
        <f t="shared" si="52"/>
        <v>Recup CalorieGlycolAlimentaire</v>
      </c>
      <c r="E3006" s="76" t="s">
        <v>2857</v>
      </c>
      <c r="F3006" s="81">
        <v>2</v>
      </c>
      <c r="G3006" s="86" t="s">
        <v>2858</v>
      </c>
      <c r="H3006" s="71" t="s">
        <v>2856</v>
      </c>
      <c r="I3006" s="102"/>
      <c r="J3006" s="70">
        <f>IFERROR(VLOOKUP(Devis[[#This Row],[Ref Air Flux]],#REF!,3,FALSE),0)</f>
        <v>0</v>
      </c>
      <c r="K3006" s="68"/>
      <c r="L3006" s="68"/>
      <c r="M3006" s="68"/>
      <c r="N3006" s="68"/>
      <c r="O3006" s="68"/>
      <c r="P3006" s="68"/>
      <c r="Q3006" s="68">
        <f>SUM(Devis[[#This Row],[Poste 1]:[Poste 6]])</f>
        <v>0</v>
      </c>
      <c r="R3006" s="71"/>
      <c r="S3006" s="68">
        <f>_xlfn.CEILING.MATH(Devis[[#This Row],[Quantité Totale]],Devis[[#This Row],[Conditionnement]])</f>
        <v>0</v>
      </c>
      <c r="T3006" s="72"/>
      <c r="U3006" s="106"/>
      <c r="V3006" s="74">
        <f>Devis[[#This Row],[Prix de Revient]]*Devis[[#This Row],[Poste 1]]</f>
        <v>0</v>
      </c>
      <c r="W3006" s="74">
        <f>Devis[[#This Row],[Prix de Revient]]*Devis[[#This Row],[Poste 2]]</f>
        <v>0</v>
      </c>
      <c r="X3006" s="74">
        <f>Devis[[#This Row],[Prix de Revient]]*Devis[[#This Row],[Poste 3]]</f>
        <v>0</v>
      </c>
      <c r="Y3006" s="74">
        <f>Devis[[#This Row],[Poste 4]]*Devis[[#This Row],[Prix de Revient]]</f>
        <v>0</v>
      </c>
      <c r="Z3006" s="74">
        <f>Devis[[#This Row],[Poste 5]]*Devis[[#This Row],[Prix de Revient]]</f>
        <v>0</v>
      </c>
      <c r="AA3006" s="74">
        <f>Devis[[#This Row],[Prix de Revient]]*Devis[[#This Row],[Poste 6]]</f>
        <v>0</v>
      </c>
      <c r="AB3006" s="74">
        <f>Devis[[#This Row],[Quantité Totale]]*Devis[[#This Row],[Prix de Revient]]</f>
        <v>0</v>
      </c>
    </row>
    <row r="3007" spans="1:28" ht="14.25" customHeight="1" outlineLevel="1" x14ac:dyDescent="0.2">
      <c r="A3007" s="75" t="s">
        <v>2794</v>
      </c>
      <c r="B3007" s="76" t="s">
        <v>2853</v>
      </c>
      <c r="C3007" s="76" t="s">
        <v>3617</v>
      </c>
      <c r="D3007" s="81" t="str">
        <f t="shared" si="52"/>
        <v>Recup CalorieGlycolNon Alimentaire</v>
      </c>
      <c r="E3007" s="76" t="s">
        <v>3711</v>
      </c>
      <c r="F3007" s="81">
        <v>3</v>
      </c>
      <c r="G3007" s="86">
        <v>7479</v>
      </c>
      <c r="H3007" s="71" t="s">
        <v>3712</v>
      </c>
      <c r="I3007" s="75"/>
      <c r="J3007" s="70">
        <f>IFERROR(VLOOKUP(Devis[[#This Row],[Ref Air Flux]],#REF!,3,FALSE),0)</f>
        <v>0</v>
      </c>
      <c r="K3007" s="68"/>
      <c r="L3007" s="68"/>
      <c r="M3007" s="68"/>
      <c r="N3007" s="68"/>
      <c r="O3007" s="68"/>
      <c r="P3007" s="68"/>
      <c r="Q3007" s="68">
        <f>SUM(Devis[[#This Row],[Poste 1]:[Poste 6]])</f>
        <v>0</v>
      </c>
      <c r="R3007" s="71"/>
      <c r="S3007" s="68">
        <f>_xlfn.CEILING.MATH(Devis[[#This Row],[Quantité Totale]],Devis[[#This Row],[Conditionnement]])</f>
        <v>0</v>
      </c>
      <c r="T3007" s="72"/>
      <c r="U3007" s="106"/>
      <c r="V3007" s="74">
        <f>Devis[[#This Row],[Prix de Revient]]*Devis[[#This Row],[Poste 1]]</f>
        <v>0</v>
      </c>
      <c r="W3007" s="74">
        <f>Devis[[#This Row],[Prix de Revient]]*Devis[[#This Row],[Poste 2]]</f>
        <v>0</v>
      </c>
      <c r="X3007" s="74">
        <f>Devis[[#This Row],[Prix de Revient]]*Devis[[#This Row],[Poste 3]]</f>
        <v>0</v>
      </c>
      <c r="Y3007" s="74">
        <f>Devis[[#This Row],[Poste 4]]*Devis[[#This Row],[Prix de Revient]]</f>
        <v>0</v>
      </c>
      <c r="Z3007" s="74">
        <f>Devis[[#This Row],[Poste 5]]*Devis[[#This Row],[Prix de Revient]]</f>
        <v>0</v>
      </c>
      <c r="AA3007" s="74">
        <f>Devis[[#This Row],[Prix de Revient]]*Devis[[#This Row],[Poste 6]]</f>
        <v>0</v>
      </c>
      <c r="AB3007" s="74">
        <f>Devis[[#This Row],[Quantité Totale]]*Devis[[#This Row],[Prix de Revient]]</f>
        <v>0</v>
      </c>
    </row>
    <row r="3008" spans="1:28" ht="14.25" customHeight="1" x14ac:dyDescent="0.25">
      <c r="A3008" s="65" t="s">
        <v>2794</v>
      </c>
      <c r="B3008" s="65" t="s">
        <v>4134</v>
      </c>
      <c r="C3008" s="76"/>
      <c r="D3008" s="81" t="str">
        <f t="shared" si="52"/>
        <v xml:space="preserve">Recup CalorieKit vanne 3 voies </v>
      </c>
      <c r="E3008" s="76"/>
      <c r="F3008" s="81">
        <v>0</v>
      </c>
      <c r="G3008" s="86"/>
      <c r="H3008" s="71"/>
      <c r="I3008" s="102"/>
      <c r="J3008" s="70">
        <f>IFERROR(VLOOKUP(Devis[[#This Row],[Ref Air Flux]],#REF!,3,FALSE),0)</f>
        <v>0</v>
      </c>
      <c r="K3008" s="68"/>
      <c r="L3008" s="68"/>
      <c r="M3008" s="68"/>
      <c r="N3008" s="68"/>
      <c r="O3008" s="68"/>
      <c r="P3008" s="68"/>
      <c r="Q3008" s="68">
        <f>SUM(Devis[[#This Row],[Poste 1]:[Poste 6]])</f>
        <v>0</v>
      </c>
      <c r="R3008" s="71"/>
      <c r="S3008" s="68">
        <f>_xlfn.CEILING.MATH(Devis[[#This Row],[Quantité Totale]],Devis[[#This Row],[Conditionnement]])</f>
        <v>0</v>
      </c>
      <c r="T3008" s="72"/>
      <c r="U3008" s="106"/>
      <c r="V3008" s="74">
        <f>Devis[[#This Row],[Prix de Revient]]*Devis[[#This Row],[Poste 1]]</f>
        <v>0</v>
      </c>
      <c r="W3008" s="74">
        <f>Devis[[#This Row],[Prix de Revient]]*Devis[[#This Row],[Poste 2]]</f>
        <v>0</v>
      </c>
      <c r="X3008" s="74">
        <f>Devis[[#This Row],[Prix de Revient]]*Devis[[#This Row],[Poste 3]]</f>
        <v>0</v>
      </c>
      <c r="Y3008" s="74">
        <f>Devis[[#This Row],[Poste 4]]*Devis[[#This Row],[Prix de Revient]]</f>
        <v>0</v>
      </c>
      <c r="Z3008" s="74">
        <f>Devis[[#This Row],[Poste 5]]*Devis[[#This Row],[Prix de Revient]]</f>
        <v>0</v>
      </c>
      <c r="AA3008" s="74">
        <f>Devis[[#This Row],[Prix de Revient]]*Devis[[#This Row],[Poste 6]]</f>
        <v>0</v>
      </c>
      <c r="AB3008" s="74">
        <f>Devis[[#This Row],[Quantité Totale]]*Devis[[#This Row],[Prix de Revient]]</f>
        <v>0</v>
      </c>
    </row>
    <row r="3009" spans="1:28" ht="14.25" outlineLevel="1" x14ac:dyDescent="0.2">
      <c r="A3009" s="75" t="s">
        <v>2794</v>
      </c>
      <c r="B3009" s="76" t="s">
        <v>4134</v>
      </c>
      <c r="C3009" s="76" t="s">
        <v>4131</v>
      </c>
      <c r="D3009" s="81" t="str">
        <f t="shared" si="52"/>
        <v>Recup CalorieKit vanne 3 voies Kit vanne 3 voies 230 Vac</v>
      </c>
      <c r="E3009" s="76" t="s">
        <v>2861</v>
      </c>
      <c r="F3009" s="81">
        <v>1</v>
      </c>
      <c r="G3009" s="86" t="s">
        <v>2862</v>
      </c>
      <c r="H3009" s="71"/>
      <c r="I3009" s="102"/>
      <c r="J3009" s="70">
        <f>IFERROR(VLOOKUP(Devis[[#This Row],[Ref Air Flux]],#REF!,3,FALSE),0)</f>
        <v>0</v>
      </c>
      <c r="K3009" s="68"/>
      <c r="L3009" s="68"/>
      <c r="M3009" s="68"/>
      <c r="N3009" s="68"/>
      <c r="O3009" s="68"/>
      <c r="P3009" s="68"/>
      <c r="Q3009" s="68">
        <f>SUM(Devis[[#This Row],[Poste 1]:[Poste 6]])</f>
        <v>0</v>
      </c>
      <c r="R3009" s="71"/>
      <c r="S3009" s="68">
        <f>_xlfn.CEILING.MATH(Devis[[#This Row],[Quantité Totale]],Devis[[#This Row],[Conditionnement]])</f>
        <v>0</v>
      </c>
      <c r="T3009" s="72"/>
      <c r="U3009" s="106"/>
      <c r="V3009" s="74">
        <f>Devis[[#This Row],[Prix de Revient]]*Devis[[#This Row],[Poste 1]]</f>
        <v>0</v>
      </c>
      <c r="W3009" s="74">
        <f>Devis[[#This Row],[Prix de Revient]]*Devis[[#This Row],[Poste 2]]</f>
        <v>0</v>
      </c>
      <c r="X3009" s="74">
        <f>Devis[[#This Row],[Prix de Revient]]*Devis[[#This Row],[Poste 3]]</f>
        <v>0</v>
      </c>
      <c r="Y3009" s="74">
        <f>Devis[[#This Row],[Poste 4]]*Devis[[#This Row],[Prix de Revient]]</f>
        <v>0</v>
      </c>
      <c r="Z3009" s="74">
        <f>Devis[[#This Row],[Poste 5]]*Devis[[#This Row],[Prix de Revient]]</f>
        <v>0</v>
      </c>
      <c r="AA3009" s="74">
        <f>Devis[[#This Row],[Prix de Revient]]*Devis[[#This Row],[Poste 6]]</f>
        <v>0</v>
      </c>
      <c r="AB3009" s="74">
        <f>Devis[[#This Row],[Quantité Totale]]*Devis[[#This Row],[Prix de Revient]]</f>
        <v>0</v>
      </c>
    </row>
    <row r="3010" spans="1:28" ht="15" customHeight="1" outlineLevel="1" x14ac:dyDescent="0.2">
      <c r="A3010" s="75" t="s">
        <v>2794</v>
      </c>
      <c r="B3010" s="76" t="s">
        <v>4134</v>
      </c>
      <c r="C3010" s="76" t="s">
        <v>4131</v>
      </c>
      <c r="D3010" s="81" t="str">
        <f t="shared" si="52"/>
        <v>Recup CalorieKit vanne 3 voies Kit vanne 3 voies 230 Vac</v>
      </c>
      <c r="E3010" s="76" t="s">
        <v>2865</v>
      </c>
      <c r="F3010" s="81">
        <v>2</v>
      </c>
      <c r="G3010" s="86" t="s">
        <v>2866</v>
      </c>
      <c r="H3010" s="71"/>
      <c r="I3010" s="102"/>
      <c r="J3010" s="70">
        <f>IFERROR(VLOOKUP(Devis[[#This Row],[Ref Air Flux]],#REF!,3,FALSE),0)</f>
        <v>0</v>
      </c>
      <c r="K3010" s="68"/>
      <c r="L3010" s="68"/>
      <c r="M3010" s="68"/>
      <c r="N3010" s="68"/>
      <c r="O3010" s="68"/>
      <c r="P3010" s="68"/>
      <c r="Q3010" s="68">
        <f>SUM(Devis[[#This Row],[Poste 1]:[Poste 6]])</f>
        <v>0</v>
      </c>
      <c r="R3010" s="71"/>
      <c r="S3010" s="68">
        <f>_xlfn.CEILING.MATH(Devis[[#This Row],[Quantité Totale]],Devis[[#This Row],[Conditionnement]])</f>
        <v>0</v>
      </c>
      <c r="T3010" s="72"/>
      <c r="U3010" s="106"/>
      <c r="V3010" s="74">
        <f>Devis[[#This Row],[Prix de Revient]]*Devis[[#This Row],[Poste 1]]</f>
        <v>0</v>
      </c>
      <c r="W3010" s="74">
        <f>Devis[[#This Row],[Prix de Revient]]*Devis[[#This Row],[Poste 2]]</f>
        <v>0</v>
      </c>
      <c r="X3010" s="74">
        <f>Devis[[#This Row],[Prix de Revient]]*Devis[[#This Row],[Poste 3]]</f>
        <v>0</v>
      </c>
      <c r="Y3010" s="74">
        <f>Devis[[#This Row],[Poste 4]]*Devis[[#This Row],[Prix de Revient]]</f>
        <v>0</v>
      </c>
      <c r="Z3010" s="74">
        <f>Devis[[#This Row],[Poste 5]]*Devis[[#This Row],[Prix de Revient]]</f>
        <v>0</v>
      </c>
      <c r="AA3010" s="74">
        <f>Devis[[#This Row],[Prix de Revient]]*Devis[[#This Row],[Poste 6]]</f>
        <v>0</v>
      </c>
      <c r="AB3010" s="74">
        <f>Devis[[#This Row],[Quantité Totale]]*Devis[[#This Row],[Prix de Revient]]</f>
        <v>0</v>
      </c>
    </row>
    <row r="3011" spans="1:28" ht="14.25" outlineLevel="1" x14ac:dyDescent="0.2">
      <c r="A3011" s="75" t="s">
        <v>2794</v>
      </c>
      <c r="B3011" s="76" t="s">
        <v>4134</v>
      </c>
      <c r="C3011" s="76" t="s">
        <v>4131</v>
      </c>
      <c r="D3011" s="81" t="str">
        <f t="shared" si="52"/>
        <v>Recup CalorieKit vanne 3 voies Kit vanne 3 voies 230 Vac</v>
      </c>
      <c r="E3011" s="76" t="s">
        <v>2863</v>
      </c>
      <c r="F3011" s="81">
        <v>3</v>
      </c>
      <c r="G3011" s="86" t="s">
        <v>2864</v>
      </c>
      <c r="H3011" s="71"/>
      <c r="I3011" s="102"/>
      <c r="J3011" s="70">
        <f>IFERROR(VLOOKUP(Devis[[#This Row],[Ref Air Flux]],#REF!,3,FALSE),0)</f>
        <v>0</v>
      </c>
      <c r="K3011" s="68"/>
      <c r="L3011" s="68"/>
      <c r="M3011" s="68"/>
      <c r="N3011" s="68"/>
      <c r="O3011" s="68"/>
      <c r="P3011" s="68"/>
      <c r="Q3011" s="68">
        <f>SUM(Devis[[#This Row],[Poste 1]:[Poste 6]])</f>
        <v>0</v>
      </c>
      <c r="R3011" s="71"/>
      <c r="S3011" s="68">
        <f>_xlfn.CEILING.MATH(Devis[[#This Row],[Quantité Totale]],Devis[[#This Row],[Conditionnement]])</f>
        <v>0</v>
      </c>
      <c r="T3011" s="72"/>
      <c r="U3011" s="106"/>
      <c r="V3011" s="74">
        <f>Devis[[#This Row],[Prix de Revient]]*Devis[[#This Row],[Poste 1]]</f>
        <v>0</v>
      </c>
      <c r="W3011" s="74">
        <f>Devis[[#This Row],[Prix de Revient]]*Devis[[#This Row],[Poste 2]]</f>
        <v>0</v>
      </c>
      <c r="X3011" s="74">
        <f>Devis[[#This Row],[Prix de Revient]]*Devis[[#This Row],[Poste 3]]</f>
        <v>0</v>
      </c>
      <c r="Y3011" s="74">
        <f>Devis[[#This Row],[Poste 4]]*Devis[[#This Row],[Prix de Revient]]</f>
        <v>0</v>
      </c>
      <c r="Z3011" s="74">
        <f>Devis[[#This Row],[Poste 5]]*Devis[[#This Row],[Prix de Revient]]</f>
        <v>0</v>
      </c>
      <c r="AA3011" s="74">
        <f>Devis[[#This Row],[Prix de Revient]]*Devis[[#This Row],[Poste 6]]</f>
        <v>0</v>
      </c>
      <c r="AB3011" s="74">
        <f>Devis[[#This Row],[Quantité Totale]]*Devis[[#This Row],[Prix de Revient]]</f>
        <v>0</v>
      </c>
    </row>
    <row r="3012" spans="1:28" ht="14.25" outlineLevel="1" x14ac:dyDescent="0.2">
      <c r="A3012" s="75" t="s">
        <v>2794</v>
      </c>
      <c r="B3012" s="76" t="s">
        <v>4134</v>
      </c>
      <c r="C3012" s="76" t="s">
        <v>4131</v>
      </c>
      <c r="D3012" s="81" t="str">
        <f t="shared" si="52"/>
        <v>Recup CalorieKit vanne 3 voies Kit vanne 3 voies 230 Vac</v>
      </c>
      <c r="E3012" s="76" t="s">
        <v>2859</v>
      </c>
      <c r="F3012" s="81">
        <v>4</v>
      </c>
      <c r="G3012" s="86" t="s">
        <v>2860</v>
      </c>
      <c r="H3012" s="71"/>
      <c r="I3012" s="102"/>
      <c r="J3012" s="70">
        <f>IFERROR(VLOOKUP(Devis[[#This Row],[Ref Air Flux]],#REF!,3,FALSE),0)</f>
        <v>0</v>
      </c>
      <c r="K3012" s="68"/>
      <c r="L3012" s="68"/>
      <c r="M3012" s="68"/>
      <c r="N3012" s="68"/>
      <c r="O3012" s="68"/>
      <c r="P3012" s="68"/>
      <c r="Q3012" s="68">
        <f>SUM(Devis[[#This Row],[Poste 1]:[Poste 6]])</f>
        <v>0</v>
      </c>
      <c r="R3012" s="71"/>
      <c r="S3012" s="68">
        <f>_xlfn.CEILING.MATH(Devis[[#This Row],[Quantité Totale]],Devis[[#This Row],[Conditionnement]])</f>
        <v>0</v>
      </c>
      <c r="T3012" s="72"/>
      <c r="U3012" s="106"/>
      <c r="V3012" s="74">
        <f>Devis[[#This Row],[Prix de Revient]]*Devis[[#This Row],[Poste 1]]</f>
        <v>0</v>
      </c>
      <c r="W3012" s="74">
        <f>Devis[[#This Row],[Prix de Revient]]*Devis[[#This Row],[Poste 2]]</f>
        <v>0</v>
      </c>
      <c r="X3012" s="74">
        <f>Devis[[#This Row],[Prix de Revient]]*Devis[[#This Row],[Poste 3]]</f>
        <v>0</v>
      </c>
      <c r="Y3012" s="74">
        <f>Devis[[#This Row],[Poste 4]]*Devis[[#This Row],[Prix de Revient]]</f>
        <v>0</v>
      </c>
      <c r="Z3012" s="74">
        <f>Devis[[#This Row],[Poste 5]]*Devis[[#This Row],[Prix de Revient]]</f>
        <v>0</v>
      </c>
      <c r="AA3012" s="74">
        <f>Devis[[#This Row],[Prix de Revient]]*Devis[[#This Row],[Poste 6]]</f>
        <v>0</v>
      </c>
      <c r="AB3012" s="74">
        <f>Devis[[#This Row],[Quantité Totale]]*Devis[[#This Row],[Prix de Revient]]</f>
        <v>0</v>
      </c>
    </row>
    <row r="3013" spans="1:28" ht="14.25" outlineLevel="1" x14ac:dyDescent="0.2">
      <c r="A3013" s="75" t="s">
        <v>2794</v>
      </c>
      <c r="B3013" s="76" t="s">
        <v>4134</v>
      </c>
      <c r="C3013" s="76" t="s">
        <v>4131</v>
      </c>
      <c r="D3013" s="81" t="str">
        <f t="shared" si="52"/>
        <v>Recup CalorieKit vanne 3 voies Kit vanne 3 voies 230 Vac</v>
      </c>
      <c r="E3013" s="76" t="s">
        <v>2867</v>
      </c>
      <c r="F3013" s="81">
        <v>5</v>
      </c>
      <c r="G3013" s="86" t="s">
        <v>2868</v>
      </c>
      <c r="H3013" s="71"/>
      <c r="I3013" s="102"/>
      <c r="J3013" s="70">
        <f>IFERROR(VLOOKUP(Devis[[#This Row],[Ref Air Flux]],#REF!,3,FALSE),0)</f>
        <v>0</v>
      </c>
      <c r="K3013" s="68"/>
      <c r="L3013" s="68"/>
      <c r="M3013" s="68"/>
      <c r="N3013" s="68"/>
      <c r="O3013" s="68"/>
      <c r="P3013" s="68"/>
      <c r="Q3013" s="68">
        <f>SUM(Devis[[#This Row],[Poste 1]:[Poste 6]])</f>
        <v>0</v>
      </c>
      <c r="R3013" s="71"/>
      <c r="S3013" s="68">
        <f>_xlfn.CEILING.MATH(Devis[[#This Row],[Quantité Totale]],Devis[[#This Row],[Conditionnement]])</f>
        <v>0</v>
      </c>
      <c r="T3013" s="72"/>
      <c r="U3013" s="106"/>
      <c r="V3013" s="74">
        <f>Devis[[#This Row],[Prix de Revient]]*Devis[[#This Row],[Poste 1]]</f>
        <v>0</v>
      </c>
      <c r="W3013" s="74">
        <f>Devis[[#This Row],[Prix de Revient]]*Devis[[#This Row],[Poste 2]]</f>
        <v>0</v>
      </c>
      <c r="X3013" s="74">
        <f>Devis[[#This Row],[Prix de Revient]]*Devis[[#This Row],[Poste 3]]</f>
        <v>0</v>
      </c>
      <c r="Y3013" s="74">
        <f>Devis[[#This Row],[Poste 4]]*Devis[[#This Row],[Prix de Revient]]</f>
        <v>0</v>
      </c>
      <c r="Z3013" s="74">
        <f>Devis[[#This Row],[Poste 5]]*Devis[[#This Row],[Prix de Revient]]</f>
        <v>0</v>
      </c>
      <c r="AA3013" s="74">
        <f>Devis[[#This Row],[Prix de Revient]]*Devis[[#This Row],[Poste 6]]</f>
        <v>0</v>
      </c>
      <c r="AB3013" s="74">
        <f>Devis[[#This Row],[Quantité Totale]]*Devis[[#This Row],[Prix de Revient]]</f>
        <v>0</v>
      </c>
    </row>
    <row r="3014" spans="1:28" ht="14.25" outlineLevel="1" x14ac:dyDescent="0.2">
      <c r="A3014" s="75" t="s">
        <v>2794</v>
      </c>
      <c r="B3014" s="76" t="s">
        <v>4134</v>
      </c>
      <c r="C3014" s="76" t="s">
        <v>4132</v>
      </c>
      <c r="D3014" s="81" t="str">
        <f t="shared" si="52"/>
        <v>Recup CalorieKit vanne 3 voies Kit vanne 3 voies 24 Vac</v>
      </c>
      <c r="E3014" s="76" t="s">
        <v>2861</v>
      </c>
      <c r="F3014" s="81">
        <v>6</v>
      </c>
      <c r="G3014" s="86" t="s">
        <v>2870</v>
      </c>
      <c r="H3014" s="71"/>
      <c r="I3014" s="102"/>
      <c r="J3014" s="70">
        <f>IFERROR(VLOOKUP(Devis[[#This Row],[Ref Air Flux]],#REF!,3,FALSE),0)</f>
        <v>0</v>
      </c>
      <c r="K3014" s="68"/>
      <c r="L3014" s="68"/>
      <c r="M3014" s="68"/>
      <c r="N3014" s="68"/>
      <c r="O3014" s="68"/>
      <c r="P3014" s="68"/>
      <c r="Q3014" s="68">
        <f>SUM(Devis[[#This Row],[Poste 1]:[Poste 6]])</f>
        <v>0</v>
      </c>
      <c r="R3014" s="71"/>
      <c r="S3014" s="68">
        <f>_xlfn.CEILING.MATH(Devis[[#This Row],[Quantité Totale]],Devis[[#This Row],[Conditionnement]])</f>
        <v>0</v>
      </c>
      <c r="T3014" s="72"/>
      <c r="U3014" s="106"/>
      <c r="V3014" s="74">
        <f>Devis[[#This Row],[Prix de Revient]]*Devis[[#This Row],[Poste 1]]</f>
        <v>0</v>
      </c>
      <c r="W3014" s="74">
        <f>Devis[[#This Row],[Prix de Revient]]*Devis[[#This Row],[Poste 2]]</f>
        <v>0</v>
      </c>
      <c r="X3014" s="74">
        <f>Devis[[#This Row],[Prix de Revient]]*Devis[[#This Row],[Poste 3]]</f>
        <v>0</v>
      </c>
      <c r="Y3014" s="74">
        <f>Devis[[#This Row],[Poste 4]]*Devis[[#This Row],[Prix de Revient]]</f>
        <v>0</v>
      </c>
      <c r="Z3014" s="74">
        <f>Devis[[#This Row],[Poste 5]]*Devis[[#This Row],[Prix de Revient]]</f>
        <v>0</v>
      </c>
      <c r="AA3014" s="74">
        <f>Devis[[#This Row],[Prix de Revient]]*Devis[[#This Row],[Poste 6]]</f>
        <v>0</v>
      </c>
      <c r="AB3014" s="74">
        <f>Devis[[#This Row],[Quantité Totale]]*Devis[[#This Row],[Prix de Revient]]</f>
        <v>0</v>
      </c>
    </row>
    <row r="3015" spans="1:28" ht="14.25" outlineLevel="1" x14ac:dyDescent="0.2">
      <c r="A3015" s="75" t="s">
        <v>2794</v>
      </c>
      <c r="B3015" s="76" t="s">
        <v>4134</v>
      </c>
      <c r="C3015" s="76" t="s">
        <v>4132</v>
      </c>
      <c r="D3015" s="81" t="str">
        <f t="shared" si="52"/>
        <v>Recup CalorieKit vanne 3 voies Kit vanne 3 voies 24 Vac</v>
      </c>
      <c r="E3015" s="76" t="s">
        <v>2865</v>
      </c>
      <c r="F3015" s="81">
        <v>7</v>
      </c>
      <c r="G3015" s="86" t="s">
        <v>2872</v>
      </c>
      <c r="H3015" s="71"/>
      <c r="I3015" s="102"/>
      <c r="J3015" s="70">
        <f>IFERROR(VLOOKUP(Devis[[#This Row],[Ref Air Flux]],#REF!,3,FALSE),0)</f>
        <v>0</v>
      </c>
      <c r="K3015" s="68"/>
      <c r="L3015" s="68"/>
      <c r="M3015" s="68"/>
      <c r="N3015" s="68"/>
      <c r="O3015" s="68"/>
      <c r="P3015" s="68"/>
      <c r="Q3015" s="68">
        <f>SUM(Devis[[#This Row],[Poste 1]:[Poste 6]])</f>
        <v>0</v>
      </c>
      <c r="R3015" s="71"/>
      <c r="S3015" s="68">
        <f>_xlfn.CEILING.MATH(Devis[[#This Row],[Quantité Totale]],Devis[[#This Row],[Conditionnement]])</f>
        <v>0</v>
      </c>
      <c r="T3015" s="72"/>
      <c r="U3015" s="106"/>
      <c r="V3015" s="74">
        <f>Devis[[#This Row],[Prix de Revient]]*Devis[[#This Row],[Poste 1]]</f>
        <v>0</v>
      </c>
      <c r="W3015" s="74">
        <f>Devis[[#This Row],[Prix de Revient]]*Devis[[#This Row],[Poste 2]]</f>
        <v>0</v>
      </c>
      <c r="X3015" s="74">
        <f>Devis[[#This Row],[Prix de Revient]]*Devis[[#This Row],[Poste 3]]</f>
        <v>0</v>
      </c>
      <c r="Y3015" s="74">
        <f>Devis[[#This Row],[Poste 4]]*Devis[[#This Row],[Prix de Revient]]</f>
        <v>0</v>
      </c>
      <c r="Z3015" s="74">
        <f>Devis[[#This Row],[Poste 5]]*Devis[[#This Row],[Prix de Revient]]</f>
        <v>0</v>
      </c>
      <c r="AA3015" s="74">
        <f>Devis[[#This Row],[Prix de Revient]]*Devis[[#This Row],[Poste 6]]</f>
        <v>0</v>
      </c>
      <c r="AB3015" s="74">
        <f>Devis[[#This Row],[Quantité Totale]]*Devis[[#This Row],[Prix de Revient]]</f>
        <v>0</v>
      </c>
    </row>
    <row r="3016" spans="1:28" ht="14.25" outlineLevel="1" x14ac:dyDescent="0.2">
      <c r="A3016" s="75" t="s">
        <v>2794</v>
      </c>
      <c r="B3016" s="76" t="s">
        <v>4134</v>
      </c>
      <c r="C3016" s="76" t="s">
        <v>4132</v>
      </c>
      <c r="D3016" s="81" t="str">
        <f t="shared" si="52"/>
        <v>Recup CalorieKit vanne 3 voies Kit vanne 3 voies 24 Vac</v>
      </c>
      <c r="E3016" s="76" t="s">
        <v>2863</v>
      </c>
      <c r="F3016" s="81">
        <v>8</v>
      </c>
      <c r="G3016" s="86" t="s">
        <v>2871</v>
      </c>
      <c r="H3016" s="71"/>
      <c r="I3016" s="102"/>
      <c r="J3016" s="70">
        <f>IFERROR(VLOOKUP(Devis[[#This Row],[Ref Air Flux]],#REF!,3,FALSE),0)</f>
        <v>0</v>
      </c>
      <c r="K3016" s="68"/>
      <c r="L3016" s="68"/>
      <c r="M3016" s="68"/>
      <c r="N3016" s="68"/>
      <c r="O3016" s="68"/>
      <c r="P3016" s="68"/>
      <c r="Q3016" s="68">
        <f>SUM(Devis[[#This Row],[Poste 1]:[Poste 6]])</f>
        <v>0</v>
      </c>
      <c r="R3016" s="71"/>
      <c r="S3016" s="68">
        <f>_xlfn.CEILING.MATH(Devis[[#This Row],[Quantité Totale]],Devis[[#This Row],[Conditionnement]])</f>
        <v>0</v>
      </c>
      <c r="T3016" s="72"/>
      <c r="U3016" s="106"/>
      <c r="V3016" s="74">
        <f>Devis[[#This Row],[Prix de Revient]]*Devis[[#This Row],[Poste 1]]</f>
        <v>0</v>
      </c>
      <c r="W3016" s="74">
        <f>Devis[[#This Row],[Prix de Revient]]*Devis[[#This Row],[Poste 2]]</f>
        <v>0</v>
      </c>
      <c r="X3016" s="74">
        <f>Devis[[#This Row],[Prix de Revient]]*Devis[[#This Row],[Poste 3]]</f>
        <v>0</v>
      </c>
      <c r="Y3016" s="74">
        <f>Devis[[#This Row],[Poste 4]]*Devis[[#This Row],[Prix de Revient]]</f>
        <v>0</v>
      </c>
      <c r="Z3016" s="74">
        <f>Devis[[#This Row],[Poste 5]]*Devis[[#This Row],[Prix de Revient]]</f>
        <v>0</v>
      </c>
      <c r="AA3016" s="74">
        <f>Devis[[#This Row],[Prix de Revient]]*Devis[[#This Row],[Poste 6]]</f>
        <v>0</v>
      </c>
      <c r="AB3016" s="74">
        <f>Devis[[#This Row],[Quantité Totale]]*Devis[[#This Row],[Prix de Revient]]</f>
        <v>0</v>
      </c>
    </row>
    <row r="3017" spans="1:28" ht="14.25" outlineLevel="1" x14ac:dyDescent="0.2">
      <c r="A3017" s="75" t="s">
        <v>2794</v>
      </c>
      <c r="B3017" s="76" t="s">
        <v>4134</v>
      </c>
      <c r="C3017" s="76" t="s">
        <v>4132</v>
      </c>
      <c r="D3017" s="81" t="str">
        <f t="shared" si="52"/>
        <v>Recup CalorieKit vanne 3 voies Kit vanne 3 voies 24 Vac</v>
      </c>
      <c r="E3017" s="76" t="s">
        <v>2859</v>
      </c>
      <c r="F3017" s="81">
        <v>9</v>
      </c>
      <c r="G3017" s="86" t="s">
        <v>2869</v>
      </c>
      <c r="H3017" s="71"/>
      <c r="I3017" s="102"/>
      <c r="J3017" s="70">
        <f>IFERROR(VLOOKUP(Devis[[#This Row],[Ref Air Flux]],#REF!,3,FALSE),0)</f>
        <v>0</v>
      </c>
      <c r="K3017" s="68"/>
      <c r="L3017" s="68"/>
      <c r="M3017" s="68"/>
      <c r="N3017" s="68"/>
      <c r="O3017" s="68"/>
      <c r="P3017" s="68"/>
      <c r="Q3017" s="68">
        <f>SUM(Devis[[#This Row],[Poste 1]:[Poste 6]])</f>
        <v>0</v>
      </c>
      <c r="R3017" s="71"/>
      <c r="S3017" s="68">
        <f>_xlfn.CEILING.MATH(Devis[[#This Row],[Quantité Totale]],Devis[[#This Row],[Conditionnement]])</f>
        <v>0</v>
      </c>
      <c r="T3017" s="72"/>
      <c r="U3017" s="106"/>
      <c r="V3017" s="74">
        <f>Devis[[#This Row],[Prix de Revient]]*Devis[[#This Row],[Poste 1]]</f>
        <v>0</v>
      </c>
      <c r="W3017" s="74">
        <f>Devis[[#This Row],[Prix de Revient]]*Devis[[#This Row],[Poste 2]]</f>
        <v>0</v>
      </c>
      <c r="X3017" s="74">
        <f>Devis[[#This Row],[Prix de Revient]]*Devis[[#This Row],[Poste 3]]</f>
        <v>0</v>
      </c>
      <c r="Y3017" s="74">
        <f>Devis[[#This Row],[Poste 4]]*Devis[[#This Row],[Prix de Revient]]</f>
        <v>0</v>
      </c>
      <c r="Z3017" s="74">
        <f>Devis[[#This Row],[Poste 5]]*Devis[[#This Row],[Prix de Revient]]</f>
        <v>0</v>
      </c>
      <c r="AA3017" s="74">
        <f>Devis[[#This Row],[Prix de Revient]]*Devis[[#This Row],[Poste 6]]</f>
        <v>0</v>
      </c>
      <c r="AB3017" s="74">
        <f>Devis[[#This Row],[Quantité Totale]]*Devis[[#This Row],[Prix de Revient]]</f>
        <v>0</v>
      </c>
    </row>
    <row r="3018" spans="1:28" ht="15" customHeight="1" outlineLevel="1" x14ac:dyDescent="0.2">
      <c r="A3018" s="75" t="s">
        <v>2794</v>
      </c>
      <c r="B3018" s="76" t="s">
        <v>4134</v>
      </c>
      <c r="C3018" s="76" t="s">
        <v>4132</v>
      </c>
      <c r="D3018" s="81" t="str">
        <f t="shared" si="52"/>
        <v>Recup CalorieKit vanne 3 voies Kit vanne 3 voies 24 Vac</v>
      </c>
      <c r="E3018" s="76" t="s">
        <v>2867</v>
      </c>
      <c r="F3018" s="81">
        <v>10</v>
      </c>
      <c r="G3018" s="86" t="s">
        <v>2873</v>
      </c>
      <c r="H3018" s="71"/>
      <c r="I3018" s="102"/>
      <c r="J3018" s="70">
        <f>IFERROR(VLOOKUP(Devis[[#This Row],[Ref Air Flux]],#REF!,3,FALSE),0)</f>
        <v>0</v>
      </c>
      <c r="K3018" s="68"/>
      <c r="L3018" s="68"/>
      <c r="M3018" s="68"/>
      <c r="N3018" s="68"/>
      <c r="O3018" s="68"/>
      <c r="P3018" s="68"/>
      <c r="Q3018" s="68">
        <f>SUM(Devis[[#This Row],[Poste 1]:[Poste 6]])</f>
        <v>0</v>
      </c>
      <c r="R3018" s="71"/>
      <c r="S3018" s="68">
        <f>_xlfn.CEILING.MATH(Devis[[#This Row],[Quantité Totale]],Devis[[#This Row],[Conditionnement]])</f>
        <v>0</v>
      </c>
      <c r="T3018" s="72"/>
      <c r="U3018" s="106"/>
      <c r="V3018" s="74">
        <f>Devis[[#This Row],[Prix de Revient]]*Devis[[#This Row],[Poste 1]]</f>
        <v>0</v>
      </c>
      <c r="W3018" s="74">
        <f>Devis[[#This Row],[Prix de Revient]]*Devis[[#This Row],[Poste 2]]</f>
        <v>0</v>
      </c>
      <c r="X3018" s="74">
        <f>Devis[[#This Row],[Prix de Revient]]*Devis[[#This Row],[Poste 3]]</f>
        <v>0</v>
      </c>
      <c r="Y3018" s="74">
        <f>Devis[[#This Row],[Poste 4]]*Devis[[#This Row],[Prix de Revient]]</f>
        <v>0</v>
      </c>
      <c r="Z3018" s="74">
        <f>Devis[[#This Row],[Poste 5]]*Devis[[#This Row],[Prix de Revient]]</f>
        <v>0</v>
      </c>
      <c r="AA3018" s="74">
        <f>Devis[[#This Row],[Prix de Revient]]*Devis[[#This Row],[Poste 6]]</f>
        <v>0</v>
      </c>
      <c r="AB3018" s="74">
        <f>Devis[[#This Row],[Quantité Totale]]*Devis[[#This Row],[Prix de Revient]]</f>
        <v>0</v>
      </c>
    </row>
    <row r="3019" spans="1:28" ht="14.25" outlineLevel="1" x14ac:dyDescent="0.2">
      <c r="A3019" s="75" t="s">
        <v>2794</v>
      </c>
      <c r="B3019" s="76" t="s">
        <v>4134</v>
      </c>
      <c r="C3019" s="76" t="s">
        <v>4133</v>
      </c>
      <c r="D3019" s="81" t="str">
        <f t="shared" si="52"/>
        <v>Recup CalorieKit vanne 3 voies Kit vanne 3 voies 24 Vdc</v>
      </c>
      <c r="E3019" s="76" t="s">
        <v>2861</v>
      </c>
      <c r="F3019" s="81">
        <v>11</v>
      </c>
      <c r="G3019" s="86" t="s">
        <v>2875</v>
      </c>
      <c r="H3019" s="71"/>
      <c r="I3019" s="102"/>
      <c r="J3019" s="70">
        <f>IFERROR(VLOOKUP(Devis[[#This Row],[Ref Air Flux]],#REF!,3,FALSE),0)</f>
        <v>0</v>
      </c>
      <c r="K3019" s="68"/>
      <c r="L3019" s="68"/>
      <c r="M3019" s="68"/>
      <c r="N3019" s="68"/>
      <c r="O3019" s="68"/>
      <c r="P3019" s="68"/>
      <c r="Q3019" s="68">
        <f>SUM(Devis[[#This Row],[Poste 1]:[Poste 6]])</f>
        <v>0</v>
      </c>
      <c r="R3019" s="71"/>
      <c r="S3019" s="68">
        <f>_xlfn.CEILING.MATH(Devis[[#This Row],[Quantité Totale]],Devis[[#This Row],[Conditionnement]])</f>
        <v>0</v>
      </c>
      <c r="T3019" s="72"/>
      <c r="U3019" s="106"/>
      <c r="V3019" s="74">
        <f>Devis[[#This Row],[Prix de Revient]]*Devis[[#This Row],[Poste 1]]</f>
        <v>0</v>
      </c>
      <c r="W3019" s="74">
        <f>Devis[[#This Row],[Prix de Revient]]*Devis[[#This Row],[Poste 2]]</f>
        <v>0</v>
      </c>
      <c r="X3019" s="74">
        <f>Devis[[#This Row],[Prix de Revient]]*Devis[[#This Row],[Poste 3]]</f>
        <v>0</v>
      </c>
      <c r="Y3019" s="74">
        <f>Devis[[#This Row],[Poste 4]]*Devis[[#This Row],[Prix de Revient]]</f>
        <v>0</v>
      </c>
      <c r="Z3019" s="74">
        <f>Devis[[#This Row],[Poste 5]]*Devis[[#This Row],[Prix de Revient]]</f>
        <v>0</v>
      </c>
      <c r="AA3019" s="74">
        <f>Devis[[#This Row],[Prix de Revient]]*Devis[[#This Row],[Poste 6]]</f>
        <v>0</v>
      </c>
      <c r="AB3019" s="74">
        <f>Devis[[#This Row],[Quantité Totale]]*Devis[[#This Row],[Prix de Revient]]</f>
        <v>0</v>
      </c>
    </row>
    <row r="3020" spans="1:28" ht="14.25" outlineLevel="1" x14ac:dyDescent="0.2">
      <c r="A3020" s="75" t="s">
        <v>2794</v>
      </c>
      <c r="B3020" s="76" t="s">
        <v>4134</v>
      </c>
      <c r="C3020" s="76" t="s">
        <v>4133</v>
      </c>
      <c r="D3020" s="81" t="str">
        <f t="shared" si="52"/>
        <v>Recup CalorieKit vanne 3 voies Kit vanne 3 voies 24 Vdc</v>
      </c>
      <c r="E3020" s="76" t="s">
        <v>2865</v>
      </c>
      <c r="F3020" s="81">
        <v>12</v>
      </c>
      <c r="G3020" s="86" t="s">
        <v>2877</v>
      </c>
      <c r="H3020" s="71"/>
      <c r="I3020" s="102"/>
      <c r="J3020" s="70">
        <f>IFERROR(VLOOKUP(Devis[[#This Row],[Ref Air Flux]],#REF!,3,FALSE),0)</f>
        <v>0</v>
      </c>
      <c r="K3020" s="68"/>
      <c r="L3020" s="68"/>
      <c r="M3020" s="68"/>
      <c r="N3020" s="68"/>
      <c r="O3020" s="68"/>
      <c r="P3020" s="68"/>
      <c r="Q3020" s="68">
        <f>SUM(Devis[[#This Row],[Poste 1]:[Poste 6]])</f>
        <v>0</v>
      </c>
      <c r="R3020" s="71"/>
      <c r="S3020" s="68">
        <f>_xlfn.CEILING.MATH(Devis[[#This Row],[Quantité Totale]],Devis[[#This Row],[Conditionnement]])</f>
        <v>0</v>
      </c>
      <c r="T3020" s="72"/>
      <c r="U3020" s="106"/>
      <c r="V3020" s="74">
        <f>Devis[[#This Row],[Prix de Revient]]*Devis[[#This Row],[Poste 1]]</f>
        <v>0</v>
      </c>
      <c r="W3020" s="74">
        <f>Devis[[#This Row],[Prix de Revient]]*Devis[[#This Row],[Poste 2]]</f>
        <v>0</v>
      </c>
      <c r="X3020" s="74">
        <f>Devis[[#This Row],[Prix de Revient]]*Devis[[#This Row],[Poste 3]]</f>
        <v>0</v>
      </c>
      <c r="Y3020" s="74">
        <f>Devis[[#This Row],[Poste 4]]*Devis[[#This Row],[Prix de Revient]]</f>
        <v>0</v>
      </c>
      <c r="Z3020" s="74">
        <f>Devis[[#This Row],[Poste 5]]*Devis[[#This Row],[Prix de Revient]]</f>
        <v>0</v>
      </c>
      <c r="AA3020" s="74">
        <f>Devis[[#This Row],[Prix de Revient]]*Devis[[#This Row],[Poste 6]]</f>
        <v>0</v>
      </c>
      <c r="AB3020" s="74">
        <f>Devis[[#This Row],[Quantité Totale]]*Devis[[#This Row],[Prix de Revient]]</f>
        <v>0</v>
      </c>
    </row>
    <row r="3021" spans="1:28" ht="14.25" outlineLevel="1" x14ac:dyDescent="0.2">
      <c r="A3021" s="75" t="s">
        <v>2794</v>
      </c>
      <c r="B3021" s="76" t="s">
        <v>4134</v>
      </c>
      <c r="C3021" s="76" t="s">
        <v>4133</v>
      </c>
      <c r="D3021" s="81" t="str">
        <f t="shared" si="52"/>
        <v>Recup CalorieKit vanne 3 voies Kit vanne 3 voies 24 Vdc</v>
      </c>
      <c r="E3021" s="76" t="s">
        <v>2863</v>
      </c>
      <c r="F3021" s="81">
        <v>13</v>
      </c>
      <c r="G3021" s="86" t="s">
        <v>2876</v>
      </c>
      <c r="H3021" s="71"/>
      <c r="I3021" s="102"/>
      <c r="J3021" s="70">
        <f>IFERROR(VLOOKUP(Devis[[#This Row],[Ref Air Flux]],#REF!,3,FALSE),0)</f>
        <v>0</v>
      </c>
      <c r="K3021" s="68"/>
      <c r="L3021" s="68"/>
      <c r="M3021" s="68"/>
      <c r="N3021" s="68"/>
      <c r="O3021" s="68"/>
      <c r="P3021" s="68"/>
      <c r="Q3021" s="68">
        <f>SUM(Devis[[#This Row],[Poste 1]:[Poste 6]])</f>
        <v>0</v>
      </c>
      <c r="R3021" s="71"/>
      <c r="S3021" s="68">
        <f>_xlfn.CEILING.MATH(Devis[[#This Row],[Quantité Totale]],Devis[[#This Row],[Conditionnement]])</f>
        <v>0</v>
      </c>
      <c r="T3021" s="72"/>
      <c r="U3021" s="106"/>
      <c r="V3021" s="74">
        <f>Devis[[#This Row],[Prix de Revient]]*Devis[[#This Row],[Poste 1]]</f>
        <v>0</v>
      </c>
      <c r="W3021" s="74">
        <f>Devis[[#This Row],[Prix de Revient]]*Devis[[#This Row],[Poste 2]]</f>
        <v>0</v>
      </c>
      <c r="X3021" s="74">
        <f>Devis[[#This Row],[Prix de Revient]]*Devis[[#This Row],[Poste 3]]</f>
        <v>0</v>
      </c>
      <c r="Y3021" s="74">
        <f>Devis[[#This Row],[Poste 4]]*Devis[[#This Row],[Prix de Revient]]</f>
        <v>0</v>
      </c>
      <c r="Z3021" s="74">
        <f>Devis[[#This Row],[Poste 5]]*Devis[[#This Row],[Prix de Revient]]</f>
        <v>0</v>
      </c>
      <c r="AA3021" s="74">
        <f>Devis[[#This Row],[Prix de Revient]]*Devis[[#This Row],[Poste 6]]</f>
        <v>0</v>
      </c>
      <c r="AB3021" s="74">
        <f>Devis[[#This Row],[Quantité Totale]]*Devis[[#This Row],[Prix de Revient]]</f>
        <v>0</v>
      </c>
    </row>
    <row r="3022" spans="1:28" ht="14.25" customHeight="1" outlineLevel="1" x14ac:dyDescent="0.2">
      <c r="A3022" s="75" t="s">
        <v>2794</v>
      </c>
      <c r="B3022" s="76" t="s">
        <v>4134</v>
      </c>
      <c r="C3022" s="76" t="s">
        <v>4133</v>
      </c>
      <c r="D3022" s="81" t="str">
        <f t="shared" si="52"/>
        <v>Recup CalorieKit vanne 3 voies Kit vanne 3 voies 24 Vdc</v>
      </c>
      <c r="E3022" s="76" t="s">
        <v>2859</v>
      </c>
      <c r="F3022" s="81">
        <v>14</v>
      </c>
      <c r="G3022" s="86" t="s">
        <v>2874</v>
      </c>
      <c r="H3022" s="71"/>
      <c r="I3022" s="102"/>
      <c r="J3022" s="70">
        <f>IFERROR(VLOOKUP(Devis[[#This Row],[Ref Air Flux]],#REF!,3,FALSE),0)</f>
        <v>0</v>
      </c>
      <c r="K3022" s="68"/>
      <c r="L3022" s="68"/>
      <c r="M3022" s="68"/>
      <c r="N3022" s="68"/>
      <c r="O3022" s="68"/>
      <c r="P3022" s="68"/>
      <c r="Q3022" s="68">
        <f>SUM(Devis[[#This Row],[Poste 1]:[Poste 6]])</f>
        <v>0</v>
      </c>
      <c r="R3022" s="71"/>
      <c r="S3022" s="68">
        <f>_xlfn.CEILING.MATH(Devis[[#This Row],[Quantité Totale]],Devis[[#This Row],[Conditionnement]])</f>
        <v>0</v>
      </c>
      <c r="T3022" s="72"/>
      <c r="U3022" s="106"/>
      <c r="V3022" s="74">
        <f>Devis[[#This Row],[Prix de Revient]]*Devis[[#This Row],[Poste 1]]</f>
        <v>0</v>
      </c>
      <c r="W3022" s="74">
        <f>Devis[[#This Row],[Prix de Revient]]*Devis[[#This Row],[Poste 2]]</f>
        <v>0</v>
      </c>
      <c r="X3022" s="74">
        <f>Devis[[#This Row],[Prix de Revient]]*Devis[[#This Row],[Poste 3]]</f>
        <v>0</v>
      </c>
      <c r="Y3022" s="74">
        <f>Devis[[#This Row],[Poste 4]]*Devis[[#This Row],[Prix de Revient]]</f>
        <v>0</v>
      </c>
      <c r="Z3022" s="74">
        <f>Devis[[#This Row],[Poste 5]]*Devis[[#This Row],[Prix de Revient]]</f>
        <v>0</v>
      </c>
      <c r="AA3022" s="74">
        <f>Devis[[#This Row],[Prix de Revient]]*Devis[[#This Row],[Poste 6]]</f>
        <v>0</v>
      </c>
      <c r="AB3022" s="74">
        <f>Devis[[#This Row],[Quantité Totale]]*Devis[[#This Row],[Prix de Revient]]</f>
        <v>0</v>
      </c>
    </row>
    <row r="3023" spans="1:28" ht="14.25" customHeight="1" outlineLevel="1" x14ac:dyDescent="0.2">
      <c r="A3023" s="75" t="s">
        <v>2794</v>
      </c>
      <c r="B3023" s="76" t="s">
        <v>4134</v>
      </c>
      <c r="C3023" s="76" t="s">
        <v>4133</v>
      </c>
      <c r="D3023" s="81" t="str">
        <f t="shared" si="52"/>
        <v>Recup CalorieKit vanne 3 voies Kit vanne 3 voies 24 Vdc</v>
      </c>
      <c r="E3023" s="76" t="s">
        <v>2867</v>
      </c>
      <c r="F3023" s="81">
        <v>15</v>
      </c>
      <c r="G3023" s="86" t="s">
        <v>2878</v>
      </c>
      <c r="H3023" s="71"/>
      <c r="I3023" s="102"/>
      <c r="J3023" s="70">
        <f>IFERROR(VLOOKUP(Devis[[#This Row],[Ref Air Flux]],#REF!,3,FALSE),0)</f>
        <v>0</v>
      </c>
      <c r="K3023" s="68"/>
      <c r="L3023" s="68"/>
      <c r="M3023" s="68"/>
      <c r="N3023" s="68"/>
      <c r="O3023" s="68"/>
      <c r="P3023" s="68"/>
      <c r="Q3023" s="68">
        <f>SUM(Devis[[#This Row],[Poste 1]:[Poste 6]])</f>
        <v>0</v>
      </c>
      <c r="R3023" s="71"/>
      <c r="S3023" s="68">
        <f>_xlfn.CEILING.MATH(Devis[[#This Row],[Quantité Totale]],Devis[[#This Row],[Conditionnement]])</f>
        <v>0</v>
      </c>
      <c r="T3023" s="72"/>
      <c r="U3023" s="106"/>
      <c r="V3023" s="74">
        <f>Devis[[#This Row],[Prix de Revient]]*Devis[[#This Row],[Poste 1]]</f>
        <v>0</v>
      </c>
      <c r="W3023" s="74">
        <f>Devis[[#This Row],[Prix de Revient]]*Devis[[#This Row],[Poste 2]]</f>
        <v>0</v>
      </c>
      <c r="X3023" s="74">
        <f>Devis[[#This Row],[Prix de Revient]]*Devis[[#This Row],[Poste 3]]</f>
        <v>0</v>
      </c>
      <c r="Y3023" s="74">
        <f>Devis[[#This Row],[Poste 4]]*Devis[[#This Row],[Prix de Revient]]</f>
        <v>0</v>
      </c>
      <c r="Z3023" s="74">
        <f>Devis[[#This Row],[Poste 5]]*Devis[[#This Row],[Prix de Revient]]</f>
        <v>0</v>
      </c>
      <c r="AA3023" s="74">
        <f>Devis[[#This Row],[Prix de Revient]]*Devis[[#This Row],[Poste 6]]</f>
        <v>0</v>
      </c>
      <c r="AB3023" s="74">
        <f>Devis[[#This Row],[Quantité Totale]]*Devis[[#This Row],[Prix de Revient]]</f>
        <v>0</v>
      </c>
    </row>
    <row r="3024" spans="1:28" ht="14.25" customHeight="1" x14ac:dyDescent="0.25">
      <c r="A3024" s="65" t="s">
        <v>2794</v>
      </c>
      <c r="B3024" s="65" t="s">
        <v>3450</v>
      </c>
      <c r="C3024" s="76"/>
      <c r="D3024" s="81" t="str">
        <f t="shared" si="52"/>
        <v>Recup CalorieManchon Isolant - Armaflex</v>
      </c>
      <c r="E3024" s="76"/>
      <c r="F3024" s="81">
        <v>0</v>
      </c>
      <c r="G3024" s="86"/>
      <c r="H3024" s="71"/>
      <c r="I3024" s="102"/>
      <c r="J3024" s="70">
        <f>IFERROR(VLOOKUP(Devis[[#This Row],[Ref Air Flux]],#REF!,3,FALSE),0)</f>
        <v>0</v>
      </c>
      <c r="K3024" s="68"/>
      <c r="L3024" s="68"/>
      <c r="M3024" s="68"/>
      <c r="N3024" s="68"/>
      <c r="O3024" s="68"/>
      <c r="P3024" s="68"/>
      <c r="Q3024" s="68">
        <f>SUM(Devis[[#This Row],[Poste 1]:[Poste 6]])</f>
        <v>0</v>
      </c>
      <c r="R3024" s="71"/>
      <c r="S3024" s="68">
        <f>_xlfn.CEILING.MATH(Devis[[#This Row],[Quantité Totale]],Devis[[#This Row],[Conditionnement]])</f>
        <v>0</v>
      </c>
      <c r="T3024" s="72"/>
      <c r="U3024" s="106"/>
      <c r="V3024" s="74">
        <f>Devis[[#This Row],[Prix de Revient]]*Devis[[#This Row],[Poste 1]]</f>
        <v>0</v>
      </c>
      <c r="W3024" s="74">
        <f>Devis[[#This Row],[Prix de Revient]]*Devis[[#This Row],[Poste 2]]</f>
        <v>0</v>
      </c>
      <c r="X3024" s="74">
        <f>Devis[[#This Row],[Prix de Revient]]*Devis[[#This Row],[Poste 3]]</f>
        <v>0</v>
      </c>
      <c r="Y3024" s="74">
        <f>Devis[[#This Row],[Poste 4]]*Devis[[#This Row],[Prix de Revient]]</f>
        <v>0</v>
      </c>
      <c r="Z3024" s="74">
        <f>Devis[[#This Row],[Poste 5]]*Devis[[#This Row],[Prix de Revient]]</f>
        <v>0</v>
      </c>
      <c r="AA3024" s="74">
        <f>Devis[[#This Row],[Prix de Revient]]*Devis[[#This Row],[Poste 6]]</f>
        <v>0</v>
      </c>
      <c r="AB3024" s="74">
        <f>Devis[[#This Row],[Quantité Totale]]*Devis[[#This Row],[Prix de Revient]]</f>
        <v>0</v>
      </c>
    </row>
    <row r="3025" spans="1:28" ht="14.25" customHeight="1" outlineLevel="1" x14ac:dyDescent="0.2">
      <c r="A3025" s="75" t="s">
        <v>2794</v>
      </c>
      <c r="B3025" s="76" t="s">
        <v>3450</v>
      </c>
      <c r="C3025" s="76" t="s">
        <v>3728</v>
      </c>
      <c r="D3025" s="81" t="str">
        <f t="shared" si="52"/>
        <v>Recup CalorieManchon Isolant - ArmaflexRuban adhésif  non isolant</v>
      </c>
      <c r="E3025" s="76" t="s">
        <v>2842</v>
      </c>
      <c r="F3025" s="81">
        <v>1</v>
      </c>
      <c r="G3025" s="86" t="s">
        <v>2843</v>
      </c>
      <c r="H3025" s="71" t="s">
        <v>3449</v>
      </c>
      <c r="I3025" s="102" t="s">
        <v>2844</v>
      </c>
      <c r="J3025" s="70">
        <f>IFERROR(VLOOKUP(Devis[[#This Row],[Ref Air Flux]],#REF!,3,FALSE),0)</f>
        <v>0</v>
      </c>
      <c r="K3025" s="68"/>
      <c r="L3025" s="68"/>
      <c r="M3025" s="68"/>
      <c r="N3025" s="68"/>
      <c r="O3025" s="68"/>
      <c r="P3025" s="68"/>
      <c r="Q3025" s="68">
        <f>SUM(Devis[[#This Row],[Poste 1]:[Poste 6]])</f>
        <v>0</v>
      </c>
      <c r="R3025" s="71"/>
      <c r="S3025" s="68">
        <f>_xlfn.CEILING.MATH(Devis[[#This Row],[Quantité Totale]],Devis[[#This Row],[Conditionnement]])</f>
        <v>0</v>
      </c>
      <c r="T3025" s="72"/>
      <c r="U3025" s="106"/>
      <c r="V3025" s="74">
        <f>Devis[[#This Row],[Prix de Revient]]*Devis[[#This Row],[Poste 1]]</f>
        <v>0</v>
      </c>
      <c r="W3025" s="74">
        <f>Devis[[#This Row],[Prix de Revient]]*Devis[[#This Row],[Poste 2]]</f>
        <v>0</v>
      </c>
      <c r="X3025" s="74">
        <f>Devis[[#This Row],[Prix de Revient]]*Devis[[#This Row],[Poste 3]]</f>
        <v>0</v>
      </c>
      <c r="Y3025" s="74">
        <f>Devis[[#This Row],[Poste 4]]*Devis[[#This Row],[Prix de Revient]]</f>
        <v>0</v>
      </c>
      <c r="Z3025" s="74">
        <f>Devis[[#This Row],[Poste 5]]*Devis[[#This Row],[Prix de Revient]]</f>
        <v>0</v>
      </c>
      <c r="AA3025" s="74">
        <f>Devis[[#This Row],[Prix de Revient]]*Devis[[#This Row],[Poste 6]]</f>
        <v>0</v>
      </c>
      <c r="AB3025" s="74">
        <f>Devis[[#This Row],[Quantité Totale]]*Devis[[#This Row],[Prix de Revient]]</f>
        <v>0</v>
      </c>
    </row>
    <row r="3026" spans="1:28" ht="14.25" outlineLevel="1" x14ac:dyDescent="0.2">
      <c r="A3026" s="75" t="s">
        <v>2794</v>
      </c>
      <c r="B3026" s="76" t="s">
        <v>3450</v>
      </c>
      <c r="C3026" s="76" t="s">
        <v>3727</v>
      </c>
      <c r="D3026" s="67" t="str">
        <f>Général!$A835&amp;Général!$B835&amp;Général!$C835</f>
        <v>DiversSciage, perforation, ponçagePERFO</v>
      </c>
      <c r="E3026" s="76" t="s">
        <v>3730</v>
      </c>
      <c r="F3026" s="67">
        <v>2</v>
      </c>
      <c r="G3026" s="86"/>
      <c r="H3026" s="68"/>
      <c r="I3026" s="69"/>
      <c r="J3026" s="70">
        <f>IFERROR(VLOOKUP(Devis[[#This Row],[Ref Air Flux]],#REF!,3,FALSE),0)</f>
        <v>0</v>
      </c>
      <c r="K3026" s="68"/>
      <c r="L3026" s="68"/>
      <c r="M3026" s="68"/>
      <c r="N3026" s="68"/>
      <c r="O3026" s="68"/>
      <c r="P3026" s="68"/>
      <c r="Q3026" s="68">
        <f>SUM(Devis[[#This Row],[Poste 1]:[Poste 6]])</f>
        <v>0</v>
      </c>
      <c r="R3026" s="71"/>
      <c r="S3026" s="68">
        <f>_xlfn.CEILING.MATH(Devis[[#This Row],[Quantité Totale]],Devis[[#This Row],[Conditionnement]])</f>
        <v>0</v>
      </c>
      <c r="T3026" s="72"/>
      <c r="U3026" s="106"/>
      <c r="V3026" s="74">
        <f>Devis[[#This Row],[Prix de Revient]]*Devis[[#This Row],[Poste 1]]</f>
        <v>0</v>
      </c>
      <c r="W3026" s="74">
        <f>Devis[[#This Row],[Prix de Revient]]*Devis[[#This Row],[Poste 2]]</f>
        <v>0</v>
      </c>
      <c r="X3026" s="74">
        <f>Devis[[#This Row],[Prix de Revient]]*Devis[[#This Row],[Poste 3]]</f>
        <v>0</v>
      </c>
      <c r="Y3026" s="74">
        <f>Devis[[#This Row],[Poste 4]]*Devis[[#This Row],[Prix de Revient]]</f>
        <v>0</v>
      </c>
      <c r="Z3026" s="74">
        <f>Devis[[#This Row],[Poste 5]]*Devis[[#This Row],[Prix de Revient]]</f>
        <v>0</v>
      </c>
      <c r="AA3026" s="74">
        <f>Devis[[#This Row],[Prix de Revient]]*Devis[[#This Row],[Poste 6]]</f>
        <v>0</v>
      </c>
      <c r="AB3026" s="74">
        <f>Devis[[#This Row],[Quantité Totale]]*Devis[[#This Row],[Prix de Revient]]</f>
        <v>0</v>
      </c>
    </row>
    <row r="3027" spans="1:28" ht="15" customHeight="1" outlineLevel="1" x14ac:dyDescent="0.2">
      <c r="A3027" s="75" t="s">
        <v>2794</v>
      </c>
      <c r="B3027" s="76" t="s">
        <v>3450</v>
      </c>
      <c r="C3027" s="76" t="s">
        <v>3729</v>
      </c>
      <c r="D3027" s="81" t="str">
        <f t="shared" ref="D3027:D3045" si="53">A3027&amp;B3027&amp;C3027</f>
        <v>Recup CalorieManchon Isolant - ArmaflexØ15</v>
      </c>
      <c r="E3027" s="76" t="s">
        <v>3715</v>
      </c>
      <c r="F3027" s="81">
        <v>3</v>
      </c>
      <c r="G3027" s="86" t="s">
        <v>3714</v>
      </c>
      <c r="H3027" s="71" t="s">
        <v>3449</v>
      </c>
      <c r="I3027" s="102" t="s">
        <v>2829</v>
      </c>
      <c r="J3027" s="70">
        <f>IFERROR(VLOOKUP(Devis[[#This Row],[Ref Air Flux]],#REF!,3,FALSE),0)</f>
        <v>0</v>
      </c>
      <c r="K3027" s="68"/>
      <c r="L3027" s="68"/>
      <c r="M3027" s="68"/>
      <c r="N3027" s="68"/>
      <c r="O3027" s="68"/>
      <c r="P3027" s="68"/>
      <c r="Q3027" s="68">
        <f>SUM(Devis[[#This Row],[Poste 1]:[Poste 6]])</f>
        <v>0</v>
      </c>
      <c r="R3027" s="71"/>
      <c r="S3027" s="68">
        <f>_xlfn.CEILING.MATH(Devis[[#This Row],[Quantité Totale]],Devis[[#This Row],[Conditionnement]])</f>
        <v>0</v>
      </c>
      <c r="T3027" s="72"/>
      <c r="U3027" s="106"/>
      <c r="V3027" s="74">
        <f>Devis[[#This Row],[Prix de Revient]]*Devis[[#This Row],[Poste 1]]</f>
        <v>0</v>
      </c>
      <c r="W3027" s="74">
        <f>Devis[[#This Row],[Prix de Revient]]*Devis[[#This Row],[Poste 2]]</f>
        <v>0</v>
      </c>
      <c r="X3027" s="74">
        <f>Devis[[#This Row],[Prix de Revient]]*Devis[[#This Row],[Poste 3]]</f>
        <v>0</v>
      </c>
      <c r="Y3027" s="74">
        <f>Devis[[#This Row],[Poste 4]]*Devis[[#This Row],[Prix de Revient]]</f>
        <v>0</v>
      </c>
      <c r="Z3027" s="74">
        <f>Devis[[#This Row],[Poste 5]]*Devis[[#This Row],[Prix de Revient]]</f>
        <v>0</v>
      </c>
      <c r="AA3027" s="74">
        <f>Devis[[#This Row],[Prix de Revient]]*Devis[[#This Row],[Poste 6]]</f>
        <v>0</v>
      </c>
      <c r="AB3027" s="74">
        <f>Devis[[#This Row],[Quantité Totale]]*Devis[[#This Row],[Prix de Revient]]</f>
        <v>0</v>
      </c>
    </row>
    <row r="3028" spans="1:28" ht="14.25" customHeight="1" outlineLevel="1" x14ac:dyDescent="0.2">
      <c r="A3028" s="75" t="s">
        <v>2794</v>
      </c>
      <c r="B3028" s="76" t="s">
        <v>3450</v>
      </c>
      <c r="C3028" s="76" t="s">
        <v>3729</v>
      </c>
      <c r="D3028" s="81" t="str">
        <f t="shared" si="53"/>
        <v>Recup CalorieManchon Isolant - ArmaflexØ15</v>
      </c>
      <c r="E3028" s="76" t="s">
        <v>3716</v>
      </c>
      <c r="F3028" s="81">
        <v>4</v>
      </c>
      <c r="G3028" s="86" t="s">
        <v>3717</v>
      </c>
      <c r="H3028" s="71" t="s">
        <v>3449</v>
      </c>
      <c r="I3028" s="75">
        <v>53470</v>
      </c>
      <c r="J3028" s="70">
        <f>IFERROR(VLOOKUP(Devis[[#This Row],[Ref Air Flux]],#REF!,3,FALSE),0)</f>
        <v>0</v>
      </c>
      <c r="K3028" s="68"/>
      <c r="L3028" s="68"/>
      <c r="M3028" s="68"/>
      <c r="N3028" s="68"/>
      <c r="O3028" s="68"/>
      <c r="P3028" s="68"/>
      <c r="Q3028" s="68">
        <f>SUM(Devis[[#This Row],[Poste 1]:[Poste 6]])</f>
        <v>0</v>
      </c>
      <c r="R3028" s="71"/>
      <c r="S3028" s="68">
        <f>_xlfn.CEILING.MATH(Devis[[#This Row],[Quantité Totale]],Devis[[#This Row],[Conditionnement]])</f>
        <v>0</v>
      </c>
      <c r="T3028" s="72"/>
      <c r="U3028" s="106"/>
      <c r="V3028" s="74">
        <f>Devis[[#This Row],[Prix de Revient]]*Devis[[#This Row],[Poste 1]]</f>
        <v>0</v>
      </c>
      <c r="W3028" s="74">
        <f>Devis[[#This Row],[Prix de Revient]]*Devis[[#This Row],[Poste 2]]</f>
        <v>0</v>
      </c>
      <c r="X3028" s="74">
        <f>Devis[[#This Row],[Prix de Revient]]*Devis[[#This Row],[Poste 3]]</f>
        <v>0</v>
      </c>
      <c r="Y3028" s="74">
        <f>Devis[[#This Row],[Poste 4]]*Devis[[#This Row],[Prix de Revient]]</f>
        <v>0</v>
      </c>
      <c r="Z3028" s="74">
        <f>Devis[[#This Row],[Poste 5]]*Devis[[#This Row],[Prix de Revient]]</f>
        <v>0</v>
      </c>
      <c r="AA3028" s="74">
        <f>Devis[[#This Row],[Prix de Revient]]*Devis[[#This Row],[Poste 6]]</f>
        <v>0</v>
      </c>
      <c r="AB3028" s="74">
        <f>Devis[[#This Row],[Quantité Totale]]*Devis[[#This Row],[Prix de Revient]]</f>
        <v>0</v>
      </c>
    </row>
    <row r="3029" spans="1:28" ht="14.25" customHeight="1" outlineLevel="1" x14ac:dyDescent="0.2">
      <c r="A3029" s="75" t="s">
        <v>2794</v>
      </c>
      <c r="B3029" s="76" t="s">
        <v>3450</v>
      </c>
      <c r="C3029" s="76" t="s">
        <v>3620</v>
      </c>
      <c r="D3029" s="81" t="str">
        <f t="shared" si="53"/>
        <v>Recup CalorieManchon Isolant - ArmaflexØ22</v>
      </c>
      <c r="E3029" s="76" t="s">
        <v>3434</v>
      </c>
      <c r="F3029" s="67">
        <v>5</v>
      </c>
      <c r="G3029" s="86" t="s">
        <v>2830</v>
      </c>
      <c r="H3029" s="71" t="s">
        <v>3449</v>
      </c>
      <c r="I3029" s="102" t="s">
        <v>2831</v>
      </c>
      <c r="J3029" s="70">
        <f>IFERROR(VLOOKUP(Devis[[#This Row],[Ref Air Flux]],#REF!,3,FALSE),0)</f>
        <v>0</v>
      </c>
      <c r="K3029" s="68"/>
      <c r="L3029" s="68"/>
      <c r="M3029" s="68"/>
      <c r="N3029" s="68"/>
      <c r="O3029" s="68"/>
      <c r="P3029" s="68"/>
      <c r="Q3029" s="68">
        <f>SUM(Devis[[#This Row],[Poste 1]:[Poste 6]])</f>
        <v>0</v>
      </c>
      <c r="R3029" s="71"/>
      <c r="S3029" s="68">
        <f>_xlfn.CEILING.MATH(Devis[[#This Row],[Quantité Totale]],Devis[[#This Row],[Conditionnement]])</f>
        <v>0</v>
      </c>
      <c r="T3029" s="72"/>
      <c r="U3029" s="106"/>
      <c r="V3029" s="74">
        <f>Devis[[#This Row],[Prix de Revient]]*Devis[[#This Row],[Poste 1]]</f>
        <v>0</v>
      </c>
      <c r="W3029" s="74">
        <f>Devis[[#This Row],[Prix de Revient]]*Devis[[#This Row],[Poste 2]]</f>
        <v>0</v>
      </c>
      <c r="X3029" s="74">
        <f>Devis[[#This Row],[Prix de Revient]]*Devis[[#This Row],[Poste 3]]</f>
        <v>0</v>
      </c>
      <c r="Y3029" s="74">
        <f>Devis[[#This Row],[Poste 4]]*Devis[[#This Row],[Prix de Revient]]</f>
        <v>0</v>
      </c>
      <c r="Z3029" s="74">
        <f>Devis[[#This Row],[Poste 5]]*Devis[[#This Row],[Prix de Revient]]</f>
        <v>0</v>
      </c>
      <c r="AA3029" s="74">
        <f>Devis[[#This Row],[Prix de Revient]]*Devis[[#This Row],[Poste 6]]</f>
        <v>0</v>
      </c>
      <c r="AB3029" s="74">
        <f>Devis[[#This Row],[Quantité Totale]]*Devis[[#This Row],[Prix de Revient]]</f>
        <v>0</v>
      </c>
    </row>
    <row r="3030" spans="1:28" ht="14.25" outlineLevel="1" x14ac:dyDescent="0.2">
      <c r="A3030" s="75" t="s">
        <v>2794</v>
      </c>
      <c r="B3030" s="76" t="s">
        <v>3450</v>
      </c>
      <c r="C3030" s="76" t="s">
        <v>3620</v>
      </c>
      <c r="D3030" s="81" t="str">
        <f t="shared" si="53"/>
        <v>Recup CalorieManchon Isolant - ArmaflexØ22</v>
      </c>
      <c r="E3030" s="76" t="s">
        <v>3442</v>
      </c>
      <c r="F3030" s="81">
        <v>6</v>
      </c>
      <c r="G3030" s="86" t="s">
        <v>2845</v>
      </c>
      <c r="H3030" s="71"/>
      <c r="I3030" s="102" t="s">
        <v>3723</v>
      </c>
      <c r="J3030" s="70">
        <f>IFERROR(VLOOKUP(Devis[[#This Row],[Ref Air Flux]],#REF!,3,FALSE),0)</f>
        <v>0</v>
      </c>
      <c r="K3030" s="68"/>
      <c r="L3030" s="68"/>
      <c r="M3030" s="68"/>
      <c r="N3030" s="68"/>
      <c r="O3030" s="68"/>
      <c r="P3030" s="68"/>
      <c r="Q3030" s="68">
        <f>SUM(Devis[[#This Row],[Poste 1]:[Poste 6]])</f>
        <v>0</v>
      </c>
      <c r="R3030" s="71"/>
      <c r="S3030" s="68">
        <f>_xlfn.CEILING.MATH(Devis[[#This Row],[Quantité Totale]],Devis[[#This Row],[Conditionnement]])</f>
        <v>0</v>
      </c>
      <c r="T3030" s="72"/>
      <c r="U3030" s="106"/>
      <c r="V3030" s="74">
        <f>Devis[[#This Row],[Prix de Revient]]*Devis[[#This Row],[Poste 1]]</f>
        <v>0</v>
      </c>
      <c r="W3030" s="74">
        <f>Devis[[#This Row],[Prix de Revient]]*Devis[[#This Row],[Poste 2]]</f>
        <v>0</v>
      </c>
      <c r="X3030" s="74">
        <f>Devis[[#This Row],[Prix de Revient]]*Devis[[#This Row],[Poste 3]]</f>
        <v>0</v>
      </c>
      <c r="Y3030" s="74">
        <f>Devis[[#This Row],[Poste 4]]*Devis[[#This Row],[Prix de Revient]]</f>
        <v>0</v>
      </c>
      <c r="Z3030" s="74">
        <f>Devis[[#This Row],[Poste 5]]*Devis[[#This Row],[Prix de Revient]]</f>
        <v>0</v>
      </c>
      <c r="AA3030" s="74">
        <f>Devis[[#This Row],[Prix de Revient]]*Devis[[#This Row],[Poste 6]]</f>
        <v>0</v>
      </c>
      <c r="AB3030" s="74">
        <f>Devis[[#This Row],[Quantité Totale]]*Devis[[#This Row],[Prix de Revient]]</f>
        <v>0</v>
      </c>
    </row>
    <row r="3031" spans="1:28" ht="14.25" outlineLevel="1" x14ac:dyDescent="0.2">
      <c r="A3031" s="75" t="s">
        <v>2794</v>
      </c>
      <c r="B3031" s="76" t="s">
        <v>3450</v>
      </c>
      <c r="C3031" s="76" t="s">
        <v>3621</v>
      </c>
      <c r="D3031" s="81" t="str">
        <f t="shared" si="53"/>
        <v>Recup CalorieManchon Isolant - ArmaflexØ28</v>
      </c>
      <c r="E3031" s="76" t="s">
        <v>3435</v>
      </c>
      <c r="F3031" s="81">
        <v>7</v>
      </c>
      <c r="G3031" s="86" t="s">
        <v>2832</v>
      </c>
      <c r="H3031" s="71" t="s">
        <v>3449</v>
      </c>
      <c r="I3031" s="102" t="s">
        <v>3722</v>
      </c>
      <c r="J3031" s="70">
        <f>IFERROR(VLOOKUP(Devis[[#This Row],[Ref Air Flux]],#REF!,3,FALSE),0)</f>
        <v>0</v>
      </c>
      <c r="K3031" s="68"/>
      <c r="L3031" s="68"/>
      <c r="M3031" s="68"/>
      <c r="N3031" s="68"/>
      <c r="O3031" s="68"/>
      <c r="P3031" s="68"/>
      <c r="Q3031" s="68">
        <f>SUM(Devis[[#This Row],[Poste 1]:[Poste 6]])</f>
        <v>0</v>
      </c>
      <c r="R3031" s="71"/>
      <c r="S3031" s="68">
        <f>_xlfn.CEILING.MATH(Devis[[#This Row],[Quantité Totale]],Devis[[#This Row],[Conditionnement]])</f>
        <v>0</v>
      </c>
      <c r="T3031" s="72"/>
      <c r="U3031" s="106"/>
      <c r="V3031" s="74">
        <f>Devis[[#This Row],[Prix de Revient]]*Devis[[#This Row],[Poste 1]]</f>
        <v>0</v>
      </c>
      <c r="W3031" s="74">
        <f>Devis[[#This Row],[Prix de Revient]]*Devis[[#This Row],[Poste 2]]</f>
        <v>0</v>
      </c>
      <c r="X3031" s="74">
        <f>Devis[[#This Row],[Prix de Revient]]*Devis[[#This Row],[Poste 3]]</f>
        <v>0</v>
      </c>
      <c r="Y3031" s="74">
        <f>Devis[[#This Row],[Poste 4]]*Devis[[#This Row],[Prix de Revient]]</f>
        <v>0</v>
      </c>
      <c r="Z3031" s="74">
        <f>Devis[[#This Row],[Poste 5]]*Devis[[#This Row],[Prix de Revient]]</f>
        <v>0</v>
      </c>
      <c r="AA3031" s="74">
        <f>Devis[[#This Row],[Prix de Revient]]*Devis[[#This Row],[Poste 6]]</f>
        <v>0</v>
      </c>
      <c r="AB3031" s="74">
        <f>Devis[[#This Row],[Quantité Totale]]*Devis[[#This Row],[Prix de Revient]]</f>
        <v>0</v>
      </c>
    </row>
    <row r="3032" spans="1:28" ht="14.25" customHeight="1" outlineLevel="1" x14ac:dyDescent="0.2">
      <c r="A3032" s="75" t="s">
        <v>2794</v>
      </c>
      <c r="B3032" s="76" t="s">
        <v>3450</v>
      </c>
      <c r="C3032" s="76" t="s">
        <v>3621</v>
      </c>
      <c r="D3032" s="81" t="str">
        <f t="shared" si="53"/>
        <v>Recup CalorieManchon Isolant - ArmaflexØ28</v>
      </c>
      <c r="E3032" s="76" t="s">
        <v>3443</v>
      </c>
      <c r="F3032" s="67">
        <v>8</v>
      </c>
      <c r="G3032" s="86" t="s">
        <v>2846</v>
      </c>
      <c r="H3032" s="71"/>
      <c r="I3032" s="102" t="s">
        <v>2847</v>
      </c>
      <c r="J3032" s="70">
        <f>IFERROR(VLOOKUP(Devis[[#This Row],[Ref Air Flux]],#REF!,3,FALSE),0)</f>
        <v>0</v>
      </c>
      <c r="K3032" s="68"/>
      <c r="L3032" s="68"/>
      <c r="M3032" s="68"/>
      <c r="N3032" s="68"/>
      <c r="O3032" s="68"/>
      <c r="P3032" s="68"/>
      <c r="Q3032" s="68">
        <f>SUM(Devis[[#This Row],[Poste 1]:[Poste 6]])</f>
        <v>0</v>
      </c>
      <c r="R3032" s="71"/>
      <c r="S3032" s="68">
        <f>_xlfn.CEILING.MATH(Devis[[#This Row],[Quantité Totale]],Devis[[#This Row],[Conditionnement]])</f>
        <v>0</v>
      </c>
      <c r="T3032" s="72"/>
      <c r="U3032" s="106"/>
      <c r="V3032" s="74">
        <f>Devis[[#This Row],[Prix de Revient]]*Devis[[#This Row],[Poste 1]]</f>
        <v>0</v>
      </c>
      <c r="W3032" s="74">
        <f>Devis[[#This Row],[Prix de Revient]]*Devis[[#This Row],[Poste 2]]</f>
        <v>0</v>
      </c>
      <c r="X3032" s="74">
        <f>Devis[[#This Row],[Prix de Revient]]*Devis[[#This Row],[Poste 3]]</f>
        <v>0</v>
      </c>
      <c r="Y3032" s="74">
        <f>Devis[[#This Row],[Poste 4]]*Devis[[#This Row],[Prix de Revient]]</f>
        <v>0</v>
      </c>
      <c r="Z3032" s="74">
        <f>Devis[[#This Row],[Poste 5]]*Devis[[#This Row],[Prix de Revient]]</f>
        <v>0</v>
      </c>
      <c r="AA3032" s="74">
        <f>Devis[[#This Row],[Prix de Revient]]*Devis[[#This Row],[Poste 6]]</f>
        <v>0</v>
      </c>
      <c r="AB3032" s="74">
        <f>Devis[[#This Row],[Quantité Totale]]*Devis[[#This Row],[Prix de Revient]]</f>
        <v>0</v>
      </c>
    </row>
    <row r="3033" spans="1:28" ht="14.25" outlineLevel="1" x14ac:dyDescent="0.2">
      <c r="A3033" s="75" t="s">
        <v>2794</v>
      </c>
      <c r="B3033" s="76" t="s">
        <v>3450</v>
      </c>
      <c r="C3033" s="76" t="s">
        <v>3622</v>
      </c>
      <c r="D3033" s="81" t="str">
        <f t="shared" si="53"/>
        <v>Recup CalorieManchon Isolant - ArmaflexØ34</v>
      </c>
      <c r="E3033" s="76" t="s">
        <v>3436</v>
      </c>
      <c r="F3033" s="81">
        <v>9</v>
      </c>
      <c r="G3033" s="86" t="s">
        <v>2833</v>
      </c>
      <c r="H3033" s="71" t="s">
        <v>3449</v>
      </c>
      <c r="I3033" s="102" t="s">
        <v>2834</v>
      </c>
      <c r="J3033" s="70">
        <f>IFERROR(VLOOKUP(Devis[[#This Row],[Ref Air Flux]],#REF!,3,FALSE),0)</f>
        <v>0</v>
      </c>
      <c r="K3033" s="68"/>
      <c r="L3033" s="68"/>
      <c r="M3033" s="68"/>
      <c r="N3033" s="68"/>
      <c r="O3033" s="68"/>
      <c r="P3033" s="68"/>
      <c r="Q3033" s="68">
        <f>SUM(Devis[[#This Row],[Poste 1]:[Poste 6]])</f>
        <v>0</v>
      </c>
      <c r="R3033" s="71"/>
      <c r="S3033" s="68">
        <f>_xlfn.CEILING.MATH(Devis[[#This Row],[Quantité Totale]],Devis[[#This Row],[Conditionnement]])</f>
        <v>0</v>
      </c>
      <c r="T3033" s="72"/>
      <c r="U3033" s="106"/>
      <c r="V3033" s="74">
        <f>Devis[[#This Row],[Prix de Revient]]*Devis[[#This Row],[Poste 1]]</f>
        <v>0</v>
      </c>
      <c r="W3033" s="74">
        <f>Devis[[#This Row],[Prix de Revient]]*Devis[[#This Row],[Poste 2]]</f>
        <v>0</v>
      </c>
      <c r="X3033" s="74">
        <f>Devis[[#This Row],[Prix de Revient]]*Devis[[#This Row],[Poste 3]]</f>
        <v>0</v>
      </c>
      <c r="Y3033" s="74">
        <f>Devis[[#This Row],[Poste 4]]*Devis[[#This Row],[Prix de Revient]]</f>
        <v>0</v>
      </c>
      <c r="Z3033" s="74">
        <f>Devis[[#This Row],[Poste 5]]*Devis[[#This Row],[Prix de Revient]]</f>
        <v>0</v>
      </c>
      <c r="AA3033" s="74">
        <f>Devis[[#This Row],[Prix de Revient]]*Devis[[#This Row],[Poste 6]]</f>
        <v>0</v>
      </c>
      <c r="AB3033" s="74">
        <f>Devis[[#This Row],[Quantité Totale]]*Devis[[#This Row],[Prix de Revient]]</f>
        <v>0</v>
      </c>
    </row>
    <row r="3034" spans="1:28" ht="14.25" customHeight="1" outlineLevel="1" x14ac:dyDescent="0.2">
      <c r="A3034" s="75" t="s">
        <v>2794</v>
      </c>
      <c r="B3034" s="76" t="s">
        <v>3450</v>
      </c>
      <c r="C3034" s="76" t="s">
        <v>3622</v>
      </c>
      <c r="D3034" s="81" t="str">
        <f t="shared" si="53"/>
        <v>Recup CalorieManchon Isolant - ArmaflexØ34</v>
      </c>
      <c r="E3034" s="76" t="s">
        <v>3444</v>
      </c>
      <c r="F3034" s="81">
        <v>10</v>
      </c>
      <c r="G3034" s="86" t="s">
        <v>2848</v>
      </c>
      <c r="H3034" s="71"/>
      <c r="I3034" s="102" t="s">
        <v>3721</v>
      </c>
      <c r="J3034" s="70">
        <f>IFERROR(VLOOKUP(Devis[[#This Row],[Ref Air Flux]],#REF!,3,FALSE),0)</f>
        <v>0</v>
      </c>
      <c r="K3034" s="68"/>
      <c r="L3034" s="68"/>
      <c r="M3034" s="68"/>
      <c r="N3034" s="68"/>
      <c r="O3034" s="68"/>
      <c r="P3034" s="68"/>
      <c r="Q3034" s="68">
        <f>SUM(Devis[[#This Row],[Poste 1]:[Poste 6]])</f>
        <v>0</v>
      </c>
      <c r="R3034" s="71"/>
      <c r="S3034" s="68">
        <f>_xlfn.CEILING.MATH(Devis[[#This Row],[Quantité Totale]],Devis[[#This Row],[Conditionnement]])</f>
        <v>0</v>
      </c>
      <c r="T3034" s="72"/>
      <c r="U3034" s="106"/>
      <c r="V3034" s="74">
        <f>Devis[[#This Row],[Prix de Revient]]*Devis[[#This Row],[Poste 1]]</f>
        <v>0</v>
      </c>
      <c r="W3034" s="74">
        <f>Devis[[#This Row],[Prix de Revient]]*Devis[[#This Row],[Poste 2]]</f>
        <v>0</v>
      </c>
      <c r="X3034" s="74">
        <f>Devis[[#This Row],[Prix de Revient]]*Devis[[#This Row],[Poste 3]]</f>
        <v>0</v>
      </c>
      <c r="Y3034" s="74">
        <f>Devis[[#This Row],[Poste 4]]*Devis[[#This Row],[Prix de Revient]]</f>
        <v>0</v>
      </c>
      <c r="Z3034" s="74">
        <f>Devis[[#This Row],[Poste 5]]*Devis[[#This Row],[Prix de Revient]]</f>
        <v>0</v>
      </c>
      <c r="AA3034" s="74">
        <f>Devis[[#This Row],[Prix de Revient]]*Devis[[#This Row],[Poste 6]]</f>
        <v>0</v>
      </c>
      <c r="AB3034" s="74">
        <f>Devis[[#This Row],[Quantité Totale]]*Devis[[#This Row],[Prix de Revient]]</f>
        <v>0</v>
      </c>
    </row>
    <row r="3035" spans="1:28" ht="14.25" customHeight="1" outlineLevel="1" x14ac:dyDescent="0.2">
      <c r="A3035" s="75" t="s">
        <v>2794</v>
      </c>
      <c r="B3035" s="76" t="s">
        <v>3450</v>
      </c>
      <c r="C3035" s="76" t="s">
        <v>3623</v>
      </c>
      <c r="D3035" s="81" t="str">
        <f t="shared" si="53"/>
        <v>Recup CalorieManchon Isolant - ArmaflexØ42</v>
      </c>
      <c r="E3035" s="76" t="s">
        <v>3437</v>
      </c>
      <c r="F3035" s="67">
        <v>11</v>
      </c>
      <c r="G3035" s="86" t="s">
        <v>2835</v>
      </c>
      <c r="H3035" s="71" t="s">
        <v>3449</v>
      </c>
      <c r="I3035" s="102" t="s">
        <v>2836</v>
      </c>
      <c r="J3035" s="70">
        <f>IFERROR(VLOOKUP(Devis[[#This Row],[Ref Air Flux]],#REF!,3,FALSE),0)</f>
        <v>0</v>
      </c>
      <c r="K3035" s="68"/>
      <c r="L3035" s="68"/>
      <c r="M3035" s="68"/>
      <c r="N3035" s="68"/>
      <c r="O3035" s="68"/>
      <c r="P3035" s="68"/>
      <c r="Q3035" s="68">
        <f>SUM(Devis[[#This Row],[Poste 1]:[Poste 6]])</f>
        <v>0</v>
      </c>
      <c r="R3035" s="71"/>
      <c r="S3035" s="68">
        <f>_xlfn.CEILING.MATH(Devis[[#This Row],[Quantité Totale]],Devis[[#This Row],[Conditionnement]])</f>
        <v>0</v>
      </c>
      <c r="T3035" s="72"/>
      <c r="U3035" s="106"/>
      <c r="V3035" s="74">
        <f>Devis[[#This Row],[Prix de Revient]]*Devis[[#This Row],[Poste 1]]</f>
        <v>0</v>
      </c>
      <c r="W3035" s="74">
        <f>Devis[[#This Row],[Prix de Revient]]*Devis[[#This Row],[Poste 2]]</f>
        <v>0</v>
      </c>
      <c r="X3035" s="74">
        <f>Devis[[#This Row],[Prix de Revient]]*Devis[[#This Row],[Poste 3]]</f>
        <v>0</v>
      </c>
      <c r="Y3035" s="74">
        <f>Devis[[#This Row],[Poste 4]]*Devis[[#This Row],[Prix de Revient]]</f>
        <v>0</v>
      </c>
      <c r="Z3035" s="74">
        <f>Devis[[#This Row],[Poste 5]]*Devis[[#This Row],[Prix de Revient]]</f>
        <v>0</v>
      </c>
      <c r="AA3035" s="74">
        <f>Devis[[#This Row],[Prix de Revient]]*Devis[[#This Row],[Poste 6]]</f>
        <v>0</v>
      </c>
      <c r="AB3035" s="74">
        <f>Devis[[#This Row],[Quantité Totale]]*Devis[[#This Row],[Prix de Revient]]</f>
        <v>0</v>
      </c>
    </row>
    <row r="3036" spans="1:28" ht="15" customHeight="1" outlineLevel="1" x14ac:dyDescent="0.2">
      <c r="A3036" s="75" t="s">
        <v>2794</v>
      </c>
      <c r="B3036" s="76" t="s">
        <v>3450</v>
      </c>
      <c r="C3036" s="76" t="s">
        <v>3623</v>
      </c>
      <c r="D3036" s="81" t="str">
        <f t="shared" si="53"/>
        <v>Recup CalorieManchon Isolant - ArmaflexØ42</v>
      </c>
      <c r="E3036" s="76" t="s">
        <v>3445</v>
      </c>
      <c r="F3036" s="81">
        <v>12</v>
      </c>
      <c r="G3036" s="86" t="s">
        <v>2849</v>
      </c>
      <c r="H3036" s="71"/>
      <c r="I3036" s="102" t="s">
        <v>3720</v>
      </c>
      <c r="J3036" s="70">
        <f>IFERROR(VLOOKUP(Devis[[#This Row],[Ref Air Flux]],#REF!,3,FALSE),0)</f>
        <v>0</v>
      </c>
      <c r="K3036" s="68"/>
      <c r="L3036" s="68"/>
      <c r="M3036" s="68"/>
      <c r="N3036" s="68"/>
      <c r="O3036" s="68"/>
      <c r="P3036" s="68"/>
      <c r="Q3036" s="68">
        <f>SUM(Devis[[#This Row],[Poste 1]:[Poste 6]])</f>
        <v>0</v>
      </c>
      <c r="R3036" s="71"/>
      <c r="S3036" s="68">
        <f>_xlfn.CEILING.MATH(Devis[[#This Row],[Quantité Totale]],Devis[[#This Row],[Conditionnement]])</f>
        <v>0</v>
      </c>
      <c r="T3036" s="72"/>
      <c r="U3036" s="106"/>
      <c r="V3036" s="74">
        <f>Devis[[#This Row],[Prix de Revient]]*Devis[[#This Row],[Poste 1]]</f>
        <v>0</v>
      </c>
      <c r="W3036" s="74">
        <f>Devis[[#This Row],[Prix de Revient]]*Devis[[#This Row],[Poste 2]]</f>
        <v>0</v>
      </c>
      <c r="X3036" s="74">
        <f>Devis[[#This Row],[Prix de Revient]]*Devis[[#This Row],[Poste 3]]</f>
        <v>0</v>
      </c>
      <c r="Y3036" s="74">
        <f>Devis[[#This Row],[Poste 4]]*Devis[[#This Row],[Prix de Revient]]</f>
        <v>0</v>
      </c>
      <c r="Z3036" s="74">
        <f>Devis[[#This Row],[Poste 5]]*Devis[[#This Row],[Prix de Revient]]</f>
        <v>0</v>
      </c>
      <c r="AA3036" s="74">
        <f>Devis[[#This Row],[Prix de Revient]]*Devis[[#This Row],[Poste 6]]</f>
        <v>0</v>
      </c>
      <c r="AB3036" s="74">
        <f>Devis[[#This Row],[Quantité Totale]]*Devis[[#This Row],[Prix de Revient]]</f>
        <v>0</v>
      </c>
    </row>
    <row r="3037" spans="1:28" ht="14.25" customHeight="1" outlineLevel="1" x14ac:dyDescent="0.2">
      <c r="A3037" s="75" t="s">
        <v>2794</v>
      </c>
      <c r="B3037" s="76" t="s">
        <v>3450</v>
      </c>
      <c r="C3037" s="76" t="s">
        <v>3624</v>
      </c>
      <c r="D3037" s="81" t="str">
        <f t="shared" si="53"/>
        <v>Recup CalorieManchon Isolant - ArmaflexØ48</v>
      </c>
      <c r="E3037" s="76" t="s">
        <v>3438</v>
      </c>
      <c r="F3037" s="81">
        <v>13</v>
      </c>
      <c r="G3037" s="86" t="s">
        <v>2837</v>
      </c>
      <c r="H3037" s="71" t="s">
        <v>3449</v>
      </c>
      <c r="I3037" s="102" t="s">
        <v>2838</v>
      </c>
      <c r="J3037" s="70">
        <f>IFERROR(VLOOKUP(Devis[[#This Row],[Ref Air Flux]],#REF!,3,FALSE),0)</f>
        <v>0</v>
      </c>
      <c r="K3037" s="68"/>
      <c r="L3037" s="68"/>
      <c r="M3037" s="68"/>
      <c r="N3037" s="68"/>
      <c r="O3037" s="68"/>
      <c r="P3037" s="68"/>
      <c r="Q3037" s="68">
        <f>SUM(Devis[[#This Row],[Poste 1]:[Poste 6]])</f>
        <v>0</v>
      </c>
      <c r="R3037" s="71"/>
      <c r="S3037" s="68">
        <f>_xlfn.CEILING.MATH(Devis[[#This Row],[Quantité Totale]],Devis[[#This Row],[Conditionnement]])</f>
        <v>0</v>
      </c>
      <c r="T3037" s="72"/>
      <c r="U3037" s="106"/>
      <c r="V3037" s="74">
        <f>Devis[[#This Row],[Prix de Revient]]*Devis[[#This Row],[Poste 1]]</f>
        <v>0</v>
      </c>
      <c r="W3037" s="74">
        <f>Devis[[#This Row],[Prix de Revient]]*Devis[[#This Row],[Poste 2]]</f>
        <v>0</v>
      </c>
      <c r="X3037" s="74">
        <f>Devis[[#This Row],[Prix de Revient]]*Devis[[#This Row],[Poste 3]]</f>
        <v>0</v>
      </c>
      <c r="Y3037" s="74">
        <f>Devis[[#This Row],[Poste 4]]*Devis[[#This Row],[Prix de Revient]]</f>
        <v>0</v>
      </c>
      <c r="Z3037" s="74">
        <f>Devis[[#This Row],[Poste 5]]*Devis[[#This Row],[Prix de Revient]]</f>
        <v>0</v>
      </c>
      <c r="AA3037" s="74">
        <f>Devis[[#This Row],[Prix de Revient]]*Devis[[#This Row],[Poste 6]]</f>
        <v>0</v>
      </c>
      <c r="AB3037" s="74">
        <f>Devis[[#This Row],[Quantité Totale]]*Devis[[#This Row],[Prix de Revient]]</f>
        <v>0</v>
      </c>
    </row>
    <row r="3038" spans="1:28" ht="14.25" customHeight="1" outlineLevel="1" x14ac:dyDescent="0.2">
      <c r="A3038" s="75" t="s">
        <v>2794</v>
      </c>
      <c r="B3038" s="76" t="s">
        <v>3450</v>
      </c>
      <c r="C3038" s="76" t="s">
        <v>3624</v>
      </c>
      <c r="D3038" s="81" t="str">
        <f t="shared" si="53"/>
        <v>Recup CalorieManchon Isolant - ArmaflexØ48</v>
      </c>
      <c r="E3038" s="76" t="s">
        <v>3446</v>
      </c>
      <c r="F3038" s="67">
        <v>14</v>
      </c>
      <c r="G3038" s="86" t="s">
        <v>2850</v>
      </c>
      <c r="H3038" s="71"/>
      <c r="I3038" s="102" t="s">
        <v>3724</v>
      </c>
      <c r="J3038" s="70">
        <f>IFERROR(VLOOKUP(Devis[[#This Row],[Ref Air Flux]],#REF!,3,FALSE),0)</f>
        <v>0</v>
      </c>
      <c r="K3038" s="68"/>
      <c r="L3038" s="68"/>
      <c r="M3038" s="68"/>
      <c r="N3038" s="68"/>
      <c r="O3038" s="68"/>
      <c r="P3038" s="68"/>
      <c r="Q3038" s="68">
        <f>SUM(Devis[[#This Row],[Poste 1]:[Poste 6]])</f>
        <v>0</v>
      </c>
      <c r="R3038" s="71"/>
      <c r="S3038" s="68">
        <f>_xlfn.CEILING.MATH(Devis[[#This Row],[Quantité Totale]],Devis[[#This Row],[Conditionnement]])</f>
        <v>0</v>
      </c>
      <c r="T3038" s="72"/>
      <c r="U3038" s="106"/>
      <c r="V3038" s="74">
        <f>Devis[[#This Row],[Prix de Revient]]*Devis[[#This Row],[Poste 1]]</f>
        <v>0</v>
      </c>
      <c r="W3038" s="74">
        <f>Devis[[#This Row],[Prix de Revient]]*Devis[[#This Row],[Poste 2]]</f>
        <v>0</v>
      </c>
      <c r="X3038" s="74">
        <f>Devis[[#This Row],[Prix de Revient]]*Devis[[#This Row],[Poste 3]]</f>
        <v>0</v>
      </c>
      <c r="Y3038" s="74">
        <f>Devis[[#This Row],[Poste 4]]*Devis[[#This Row],[Prix de Revient]]</f>
        <v>0</v>
      </c>
      <c r="Z3038" s="74">
        <f>Devis[[#This Row],[Poste 5]]*Devis[[#This Row],[Prix de Revient]]</f>
        <v>0</v>
      </c>
      <c r="AA3038" s="74">
        <f>Devis[[#This Row],[Prix de Revient]]*Devis[[#This Row],[Poste 6]]</f>
        <v>0</v>
      </c>
      <c r="AB3038" s="74">
        <f>Devis[[#This Row],[Quantité Totale]]*Devis[[#This Row],[Prix de Revient]]</f>
        <v>0</v>
      </c>
    </row>
    <row r="3039" spans="1:28" ht="14.25" outlineLevel="1" x14ac:dyDescent="0.2">
      <c r="A3039" s="75" t="s">
        <v>2794</v>
      </c>
      <c r="B3039" s="76" t="s">
        <v>3450</v>
      </c>
      <c r="C3039" s="76" t="s">
        <v>3625</v>
      </c>
      <c r="D3039" s="81" t="str">
        <f t="shared" si="53"/>
        <v>Recup CalorieManchon Isolant - ArmaflexØ54</v>
      </c>
      <c r="E3039" s="76" t="s">
        <v>3718</v>
      </c>
      <c r="F3039" s="81">
        <v>15</v>
      </c>
      <c r="G3039" s="87" t="s">
        <v>2839</v>
      </c>
      <c r="H3039" s="71" t="s">
        <v>3449</v>
      </c>
      <c r="I3039" s="102" t="s">
        <v>3525</v>
      </c>
      <c r="J3039" s="70">
        <f>IFERROR(VLOOKUP(Devis[[#This Row],[Ref Air Flux]],#REF!,3,FALSE),0)</f>
        <v>0</v>
      </c>
      <c r="K3039" s="68"/>
      <c r="L3039" s="68"/>
      <c r="M3039" s="68"/>
      <c r="N3039" s="68"/>
      <c r="O3039" s="68"/>
      <c r="P3039" s="68"/>
      <c r="Q3039" s="68">
        <f>SUM(Devis[[#This Row],[Poste 1]:[Poste 6]])</f>
        <v>0</v>
      </c>
      <c r="R3039" s="71"/>
      <c r="S3039" s="68">
        <f>_xlfn.CEILING.MATH(Devis[[#This Row],[Quantité Totale]],Devis[[#This Row],[Conditionnement]])</f>
        <v>0</v>
      </c>
      <c r="T3039" s="72"/>
      <c r="U3039" s="106"/>
      <c r="V3039" s="74">
        <f>Devis[[#This Row],[Prix de Revient]]*Devis[[#This Row],[Poste 1]]</f>
        <v>0</v>
      </c>
      <c r="W3039" s="74">
        <f>Devis[[#This Row],[Prix de Revient]]*Devis[[#This Row],[Poste 2]]</f>
        <v>0</v>
      </c>
      <c r="X3039" s="74">
        <f>Devis[[#This Row],[Prix de Revient]]*Devis[[#This Row],[Poste 3]]</f>
        <v>0</v>
      </c>
      <c r="Y3039" s="74">
        <f>Devis[[#This Row],[Poste 4]]*Devis[[#This Row],[Prix de Revient]]</f>
        <v>0</v>
      </c>
      <c r="Z3039" s="74">
        <f>Devis[[#This Row],[Poste 5]]*Devis[[#This Row],[Prix de Revient]]</f>
        <v>0</v>
      </c>
      <c r="AA3039" s="74">
        <f>Devis[[#This Row],[Prix de Revient]]*Devis[[#This Row],[Poste 6]]</f>
        <v>0</v>
      </c>
      <c r="AB3039" s="74">
        <f>Devis[[#This Row],[Quantité Totale]]*Devis[[#This Row],[Prix de Revient]]</f>
        <v>0</v>
      </c>
    </row>
    <row r="3040" spans="1:28" ht="14.25" customHeight="1" outlineLevel="1" x14ac:dyDescent="0.2">
      <c r="A3040" s="75" t="s">
        <v>2794</v>
      </c>
      <c r="B3040" s="76" t="s">
        <v>3450</v>
      </c>
      <c r="C3040" s="76" t="s">
        <v>3625</v>
      </c>
      <c r="D3040" s="81" t="str">
        <f t="shared" si="53"/>
        <v>Recup CalorieManchon Isolant - ArmaflexØ54</v>
      </c>
      <c r="E3040" s="76" t="s">
        <v>3439</v>
      </c>
      <c r="F3040" s="81">
        <v>16</v>
      </c>
      <c r="G3040" s="87" t="s">
        <v>3719</v>
      </c>
      <c r="H3040" s="71" t="s">
        <v>3449</v>
      </c>
      <c r="I3040" s="75">
        <v>53477</v>
      </c>
      <c r="J3040" s="70">
        <f>IFERROR(VLOOKUP(Devis[[#This Row],[Ref Air Flux]],#REF!,3,FALSE),0)</f>
        <v>0</v>
      </c>
      <c r="K3040" s="68"/>
      <c r="L3040" s="68"/>
      <c r="M3040" s="68"/>
      <c r="N3040" s="68"/>
      <c r="O3040" s="68"/>
      <c r="P3040" s="68"/>
      <c r="Q3040" s="68">
        <f>SUM(Devis[[#This Row],[Poste 1]:[Poste 6]])</f>
        <v>0</v>
      </c>
      <c r="R3040" s="71"/>
      <c r="S3040" s="68">
        <f>_xlfn.CEILING.MATH(Devis[[#This Row],[Quantité Totale]],Devis[[#This Row],[Conditionnement]])</f>
        <v>0</v>
      </c>
      <c r="T3040" s="72"/>
      <c r="U3040" s="106"/>
      <c r="V3040" s="74">
        <f>Devis[[#This Row],[Prix de Revient]]*Devis[[#This Row],[Poste 1]]</f>
        <v>0</v>
      </c>
      <c r="W3040" s="74">
        <f>Devis[[#This Row],[Prix de Revient]]*Devis[[#This Row],[Poste 2]]</f>
        <v>0</v>
      </c>
      <c r="X3040" s="74">
        <f>Devis[[#This Row],[Prix de Revient]]*Devis[[#This Row],[Poste 3]]</f>
        <v>0</v>
      </c>
      <c r="Y3040" s="74">
        <f>Devis[[#This Row],[Poste 4]]*Devis[[#This Row],[Prix de Revient]]</f>
        <v>0</v>
      </c>
      <c r="Z3040" s="74">
        <f>Devis[[#This Row],[Poste 5]]*Devis[[#This Row],[Prix de Revient]]</f>
        <v>0</v>
      </c>
      <c r="AA3040" s="74">
        <f>Devis[[#This Row],[Prix de Revient]]*Devis[[#This Row],[Poste 6]]</f>
        <v>0</v>
      </c>
      <c r="AB3040" s="74">
        <f>Devis[[#This Row],[Quantité Totale]]*Devis[[#This Row],[Prix de Revient]]</f>
        <v>0</v>
      </c>
    </row>
    <row r="3041" spans="1:28" ht="14.25" customHeight="1" outlineLevel="1" x14ac:dyDescent="0.2">
      <c r="A3041" s="75" t="s">
        <v>2794</v>
      </c>
      <c r="B3041" s="76" t="s">
        <v>3450</v>
      </c>
      <c r="C3041" s="76" t="s">
        <v>3626</v>
      </c>
      <c r="D3041" s="81" t="str">
        <f t="shared" si="53"/>
        <v>Recup CalorieManchon Isolant - ArmaflexØ60</v>
      </c>
      <c r="E3041" s="76" t="s">
        <v>3440</v>
      </c>
      <c r="F3041" s="67">
        <v>17</v>
      </c>
      <c r="G3041" s="86" t="s">
        <v>2840</v>
      </c>
      <c r="H3041" s="71" t="s">
        <v>3449</v>
      </c>
      <c r="I3041" s="102" t="s">
        <v>2841</v>
      </c>
      <c r="J3041" s="70">
        <f>IFERROR(VLOOKUP(Devis[[#This Row],[Ref Air Flux]],#REF!,3,FALSE),0)</f>
        <v>0</v>
      </c>
      <c r="K3041" s="68"/>
      <c r="L3041" s="68"/>
      <c r="M3041" s="68"/>
      <c r="N3041" s="68"/>
      <c r="O3041" s="68"/>
      <c r="P3041" s="68"/>
      <c r="Q3041" s="68">
        <f>SUM(Devis[[#This Row],[Poste 1]:[Poste 6]])</f>
        <v>0</v>
      </c>
      <c r="R3041" s="71"/>
      <c r="S3041" s="68">
        <f>_xlfn.CEILING.MATH(Devis[[#This Row],[Quantité Totale]],Devis[[#This Row],[Conditionnement]])</f>
        <v>0</v>
      </c>
      <c r="T3041" s="72"/>
      <c r="U3041" s="106"/>
      <c r="V3041" s="74">
        <f>Devis[[#This Row],[Prix de Revient]]*Devis[[#This Row],[Poste 1]]</f>
        <v>0</v>
      </c>
      <c r="W3041" s="74">
        <f>Devis[[#This Row],[Prix de Revient]]*Devis[[#This Row],[Poste 2]]</f>
        <v>0</v>
      </c>
      <c r="X3041" s="74">
        <f>Devis[[#This Row],[Prix de Revient]]*Devis[[#This Row],[Poste 3]]</f>
        <v>0</v>
      </c>
      <c r="Y3041" s="74">
        <f>Devis[[#This Row],[Poste 4]]*Devis[[#This Row],[Prix de Revient]]</f>
        <v>0</v>
      </c>
      <c r="Z3041" s="74">
        <f>Devis[[#This Row],[Poste 5]]*Devis[[#This Row],[Prix de Revient]]</f>
        <v>0</v>
      </c>
      <c r="AA3041" s="74">
        <f>Devis[[#This Row],[Prix de Revient]]*Devis[[#This Row],[Poste 6]]</f>
        <v>0</v>
      </c>
      <c r="AB3041" s="74">
        <f>Devis[[#This Row],[Quantité Totale]]*Devis[[#This Row],[Prix de Revient]]</f>
        <v>0</v>
      </c>
    </row>
    <row r="3042" spans="1:28" ht="15" customHeight="1" outlineLevel="1" x14ac:dyDescent="0.2">
      <c r="A3042" s="75" t="s">
        <v>2794</v>
      </c>
      <c r="B3042" s="76" t="s">
        <v>3450</v>
      </c>
      <c r="C3042" s="76" t="s">
        <v>3626</v>
      </c>
      <c r="D3042" s="81" t="str">
        <f t="shared" si="53"/>
        <v>Recup CalorieManchon Isolant - ArmaflexØ60</v>
      </c>
      <c r="E3042" s="76" t="s">
        <v>3447</v>
      </c>
      <c r="F3042" s="81">
        <v>18</v>
      </c>
      <c r="G3042" s="86" t="s">
        <v>2851</v>
      </c>
      <c r="H3042" s="71"/>
      <c r="I3042" s="102" t="s">
        <v>2852</v>
      </c>
      <c r="J3042" s="70">
        <f>IFERROR(VLOOKUP(Devis[[#This Row],[Ref Air Flux]],#REF!,3,FALSE),0)</f>
        <v>0</v>
      </c>
      <c r="K3042" s="68"/>
      <c r="L3042" s="68"/>
      <c r="M3042" s="68"/>
      <c r="N3042" s="68"/>
      <c r="O3042" s="68"/>
      <c r="P3042" s="68"/>
      <c r="Q3042" s="68">
        <f>SUM(Devis[[#This Row],[Poste 1]:[Poste 6]])</f>
        <v>0</v>
      </c>
      <c r="R3042" s="71"/>
      <c r="S3042" s="68">
        <f>_xlfn.CEILING.MATH(Devis[[#This Row],[Quantité Totale]],Devis[[#This Row],[Conditionnement]])</f>
        <v>0</v>
      </c>
      <c r="T3042" s="72"/>
      <c r="U3042" s="106"/>
      <c r="V3042" s="74">
        <f>Devis[[#This Row],[Prix de Revient]]*Devis[[#This Row],[Poste 1]]</f>
        <v>0</v>
      </c>
      <c r="W3042" s="74">
        <f>Devis[[#This Row],[Prix de Revient]]*Devis[[#This Row],[Poste 2]]</f>
        <v>0</v>
      </c>
      <c r="X3042" s="74">
        <f>Devis[[#This Row],[Prix de Revient]]*Devis[[#This Row],[Poste 3]]</f>
        <v>0</v>
      </c>
      <c r="Y3042" s="74">
        <f>Devis[[#This Row],[Poste 4]]*Devis[[#This Row],[Prix de Revient]]</f>
        <v>0</v>
      </c>
      <c r="Z3042" s="74">
        <f>Devis[[#This Row],[Poste 5]]*Devis[[#This Row],[Prix de Revient]]</f>
        <v>0</v>
      </c>
      <c r="AA3042" s="74">
        <f>Devis[[#This Row],[Prix de Revient]]*Devis[[#This Row],[Poste 6]]</f>
        <v>0</v>
      </c>
      <c r="AB3042" s="74">
        <f>Devis[[#This Row],[Quantité Totale]]*Devis[[#This Row],[Prix de Revient]]</f>
        <v>0</v>
      </c>
    </row>
    <row r="3043" spans="1:28" ht="14.25" outlineLevel="1" x14ac:dyDescent="0.2">
      <c r="A3043" s="75" t="s">
        <v>2794</v>
      </c>
      <c r="B3043" s="76" t="s">
        <v>3450</v>
      </c>
      <c r="C3043" s="76" t="s">
        <v>3627</v>
      </c>
      <c r="D3043" s="81" t="str">
        <f t="shared" si="53"/>
        <v>Recup CalorieManchon Isolant - ArmaflexØ89</v>
      </c>
      <c r="E3043" s="76" t="s">
        <v>3448</v>
      </c>
      <c r="F3043" s="81">
        <v>19</v>
      </c>
      <c r="G3043" s="86" t="s">
        <v>3725</v>
      </c>
      <c r="H3043" s="71"/>
      <c r="I3043" s="102" t="s">
        <v>3726</v>
      </c>
      <c r="J3043" s="70">
        <f>IFERROR(VLOOKUP(Devis[[#This Row],[Ref Air Flux]],#REF!,3,FALSE),0)</f>
        <v>0</v>
      </c>
      <c r="K3043" s="68"/>
      <c r="L3043" s="68"/>
      <c r="M3043" s="68"/>
      <c r="N3043" s="68"/>
      <c r="O3043" s="68"/>
      <c r="P3043" s="68"/>
      <c r="Q3043" s="68">
        <f>SUM(Devis[[#This Row],[Poste 1]:[Poste 6]])</f>
        <v>0</v>
      </c>
      <c r="R3043" s="71"/>
      <c r="S3043" s="68">
        <f>_xlfn.CEILING.MATH(Devis[[#This Row],[Quantité Totale]],Devis[[#This Row],[Conditionnement]])</f>
        <v>0</v>
      </c>
      <c r="T3043" s="72"/>
      <c r="U3043" s="106"/>
      <c r="V3043" s="74">
        <f>Devis[[#This Row],[Prix de Revient]]*Devis[[#This Row],[Poste 1]]</f>
        <v>0</v>
      </c>
      <c r="W3043" s="74">
        <f>Devis[[#This Row],[Prix de Revient]]*Devis[[#This Row],[Poste 2]]</f>
        <v>0</v>
      </c>
      <c r="X3043" s="74">
        <f>Devis[[#This Row],[Prix de Revient]]*Devis[[#This Row],[Poste 3]]</f>
        <v>0</v>
      </c>
      <c r="Y3043" s="74">
        <f>Devis[[#This Row],[Poste 4]]*Devis[[#This Row],[Prix de Revient]]</f>
        <v>0</v>
      </c>
      <c r="Z3043" s="74">
        <f>Devis[[#This Row],[Poste 5]]*Devis[[#This Row],[Prix de Revient]]</f>
        <v>0</v>
      </c>
      <c r="AA3043" s="74">
        <f>Devis[[#This Row],[Prix de Revient]]*Devis[[#This Row],[Poste 6]]</f>
        <v>0</v>
      </c>
      <c r="AB3043" s="74">
        <f>Devis[[#This Row],[Quantité Totale]]*Devis[[#This Row],[Prix de Revient]]</f>
        <v>0</v>
      </c>
    </row>
    <row r="3044" spans="1:28" ht="14.25" outlineLevel="1" x14ac:dyDescent="0.2">
      <c r="A3044" s="75" t="s">
        <v>2794</v>
      </c>
      <c r="B3044" s="76" t="s">
        <v>3450</v>
      </c>
      <c r="C3044" s="76" t="s">
        <v>3627</v>
      </c>
      <c r="D3044" s="81" t="str">
        <f t="shared" si="53"/>
        <v>Recup CalorieManchon Isolant - ArmaflexØ89</v>
      </c>
      <c r="E3044" s="76" t="s">
        <v>3441</v>
      </c>
      <c r="F3044" s="67">
        <v>20</v>
      </c>
      <c r="G3044" s="86" t="s">
        <v>3603</v>
      </c>
      <c r="H3044" s="71" t="s">
        <v>3449</v>
      </c>
      <c r="I3044" s="102" t="s">
        <v>3604</v>
      </c>
      <c r="J3044" s="70">
        <f>IFERROR(VLOOKUP(Devis[[#This Row],[Ref Air Flux]],#REF!,3,FALSE),0)</f>
        <v>0</v>
      </c>
      <c r="K3044" s="68"/>
      <c r="L3044" s="68"/>
      <c r="M3044" s="68"/>
      <c r="N3044" s="68"/>
      <c r="O3044" s="68"/>
      <c r="P3044" s="68"/>
      <c r="Q3044" s="68">
        <f>SUM(Devis[[#This Row],[Poste 1]:[Poste 6]])</f>
        <v>0</v>
      </c>
      <c r="R3044" s="71"/>
      <c r="S3044" s="68">
        <f>_xlfn.CEILING.MATH(Devis[[#This Row],[Quantité Totale]],Devis[[#This Row],[Conditionnement]])</f>
        <v>0</v>
      </c>
      <c r="T3044" s="72"/>
      <c r="U3044" s="106"/>
      <c r="V3044" s="74">
        <f>Devis[[#This Row],[Prix de Revient]]*Devis[[#This Row],[Poste 1]]</f>
        <v>0</v>
      </c>
      <c r="W3044" s="74">
        <f>Devis[[#This Row],[Prix de Revient]]*Devis[[#This Row],[Poste 2]]</f>
        <v>0</v>
      </c>
      <c r="X3044" s="74">
        <f>Devis[[#This Row],[Prix de Revient]]*Devis[[#This Row],[Poste 3]]</f>
        <v>0</v>
      </c>
      <c r="Y3044" s="74">
        <f>Devis[[#This Row],[Poste 4]]*Devis[[#This Row],[Prix de Revient]]</f>
        <v>0</v>
      </c>
      <c r="Z3044" s="74">
        <f>Devis[[#This Row],[Poste 5]]*Devis[[#This Row],[Prix de Revient]]</f>
        <v>0</v>
      </c>
      <c r="AA3044" s="74">
        <f>Devis[[#This Row],[Prix de Revient]]*Devis[[#This Row],[Poste 6]]</f>
        <v>0</v>
      </c>
      <c r="AB3044" s="74">
        <f>Devis[[#This Row],[Quantité Totale]]*Devis[[#This Row],[Prix de Revient]]</f>
        <v>0</v>
      </c>
    </row>
    <row r="3045" spans="1:28" ht="14.25" customHeight="1" x14ac:dyDescent="0.25">
      <c r="A3045" s="65" t="s">
        <v>2794</v>
      </c>
      <c r="B3045" s="65" t="s">
        <v>3586</v>
      </c>
      <c r="C3045" s="76"/>
      <c r="D3045" s="81" t="str">
        <f t="shared" si="53"/>
        <v xml:space="preserve">Recup CalorieManomètre </v>
      </c>
      <c r="E3045" s="76"/>
      <c r="F3045" s="81">
        <v>0</v>
      </c>
      <c r="G3045" s="86"/>
      <c r="H3045" s="71"/>
      <c r="I3045" s="102"/>
      <c r="J3045" s="70">
        <f>IFERROR(VLOOKUP(Devis[[#This Row],[Ref Air Flux]],#REF!,3,FALSE),0)</f>
        <v>0</v>
      </c>
      <c r="K3045" s="68"/>
      <c r="L3045" s="68"/>
      <c r="M3045" s="68"/>
      <c r="N3045" s="68"/>
      <c r="O3045" s="68"/>
      <c r="P3045" s="68"/>
      <c r="Q3045" s="68">
        <f>SUM(Devis[[#This Row],[Poste 1]:[Poste 6]])</f>
        <v>0</v>
      </c>
      <c r="R3045" s="71"/>
      <c r="S3045" s="68">
        <f>_xlfn.CEILING.MATH(Devis[[#This Row],[Quantité Totale]],Devis[[#This Row],[Conditionnement]])</f>
        <v>0</v>
      </c>
      <c r="T3045" s="72"/>
      <c r="U3045" s="106"/>
      <c r="V3045" s="74">
        <f>Devis[[#This Row],[Prix de Revient]]*Devis[[#This Row],[Poste 1]]</f>
        <v>0</v>
      </c>
      <c r="W3045" s="74">
        <f>Devis[[#This Row],[Prix de Revient]]*Devis[[#This Row],[Poste 2]]</f>
        <v>0</v>
      </c>
      <c r="X3045" s="74">
        <f>Devis[[#This Row],[Prix de Revient]]*Devis[[#This Row],[Poste 3]]</f>
        <v>0</v>
      </c>
      <c r="Y3045" s="74">
        <f>Devis[[#This Row],[Poste 4]]*Devis[[#This Row],[Prix de Revient]]</f>
        <v>0</v>
      </c>
      <c r="Z3045" s="74">
        <f>Devis[[#This Row],[Poste 5]]*Devis[[#This Row],[Prix de Revient]]</f>
        <v>0</v>
      </c>
      <c r="AA3045" s="74">
        <f>Devis[[#This Row],[Prix de Revient]]*Devis[[#This Row],[Poste 6]]</f>
        <v>0</v>
      </c>
      <c r="AB3045" s="74">
        <f>Devis[[#This Row],[Quantité Totale]]*Devis[[#This Row],[Prix de Revient]]</f>
        <v>0</v>
      </c>
    </row>
    <row r="3046" spans="1:28" ht="14.25" customHeight="1" outlineLevel="1" x14ac:dyDescent="0.2">
      <c r="A3046" s="75" t="s">
        <v>2794</v>
      </c>
      <c r="B3046" s="76" t="s">
        <v>3586</v>
      </c>
      <c r="C3046" s="67"/>
      <c r="D3046" s="67" t="str">
        <f>Général!$A861&amp;Général!$B861&amp;Général!$C861</f>
        <v>FixationColliers pour flexiblesGriffes</v>
      </c>
      <c r="E3046" s="76" t="s">
        <v>5906</v>
      </c>
      <c r="F3046" s="67">
        <v>1</v>
      </c>
      <c r="G3046" s="71">
        <v>1615006</v>
      </c>
      <c r="H3046" s="71" t="s">
        <v>34</v>
      </c>
      <c r="I3046" s="71">
        <v>1615006</v>
      </c>
      <c r="J3046" s="70">
        <f>IFERROR(VLOOKUP(Devis[[#This Row],[Ref Air Flux]],#REF!,3,FALSE),0)</f>
        <v>0</v>
      </c>
      <c r="K3046" s="68"/>
      <c r="L3046" s="68"/>
      <c r="M3046" s="68"/>
      <c r="N3046" s="68"/>
      <c r="O3046" s="68"/>
      <c r="P3046" s="68"/>
      <c r="Q3046" s="68">
        <f>SUM(Devis[[#This Row],[Poste 1]:[Poste 6]])</f>
        <v>0</v>
      </c>
      <c r="R3046" s="71"/>
      <c r="S3046" s="68">
        <f>_xlfn.CEILING.MATH(Devis[[#This Row],[Quantité Totale]],Devis[[#This Row],[Conditionnement]])</f>
        <v>0</v>
      </c>
      <c r="T3046" s="72"/>
      <c r="U3046" s="106"/>
      <c r="V3046" s="74">
        <f>Devis[[#This Row],[Prix de Revient]]*Devis[[#This Row],[Poste 1]]</f>
        <v>0</v>
      </c>
      <c r="W3046" s="74">
        <f>Devis[[#This Row],[Prix de Revient]]*Devis[[#This Row],[Poste 2]]</f>
        <v>0</v>
      </c>
      <c r="X3046" s="74">
        <f>Devis[[#This Row],[Prix de Revient]]*Devis[[#This Row],[Poste 3]]</f>
        <v>0</v>
      </c>
      <c r="Y3046" s="74">
        <f>Devis[[#This Row],[Poste 4]]*Devis[[#This Row],[Prix de Revient]]</f>
        <v>0</v>
      </c>
      <c r="Z3046" s="74">
        <f>Devis[[#This Row],[Poste 5]]*Devis[[#This Row],[Prix de Revient]]</f>
        <v>0</v>
      </c>
      <c r="AA3046" s="74">
        <f>Devis[[#This Row],[Prix de Revient]]*Devis[[#This Row],[Poste 6]]</f>
        <v>0</v>
      </c>
      <c r="AB3046" s="74">
        <f>Devis[[#This Row],[Quantité Totale]]*Devis[[#This Row],[Prix de Revient]]</f>
        <v>0</v>
      </c>
    </row>
    <row r="3047" spans="1:28" ht="14.25" customHeight="1" outlineLevel="1" x14ac:dyDescent="0.2">
      <c r="A3047" s="75" t="s">
        <v>2794</v>
      </c>
      <c r="B3047" s="76" t="s">
        <v>3586</v>
      </c>
      <c r="C3047" s="67"/>
      <c r="D3047" s="67" t="str">
        <f>Général!$A862&amp;Général!$B862&amp;Général!$C862</f>
        <v>FixationColliers pour flexiblesGriffes</v>
      </c>
      <c r="E3047" s="76" t="s">
        <v>5818</v>
      </c>
      <c r="F3047" s="67">
        <v>2</v>
      </c>
      <c r="G3047" s="71" t="s">
        <v>5583</v>
      </c>
      <c r="H3047" s="71" t="s">
        <v>34</v>
      </c>
      <c r="I3047" s="71">
        <v>1640007</v>
      </c>
      <c r="J3047" s="70">
        <f>IFERROR(VLOOKUP(Devis[[#This Row],[Ref Air Flux]],#REF!,3,FALSE),0)</f>
        <v>0</v>
      </c>
      <c r="K3047" s="68"/>
      <c r="L3047" s="68"/>
      <c r="M3047" s="68"/>
      <c r="N3047" s="68"/>
      <c r="O3047" s="68"/>
      <c r="P3047" s="68"/>
      <c r="Q3047" s="68">
        <f>SUM(Devis[[#This Row],[Poste 1]:[Poste 6]])</f>
        <v>0</v>
      </c>
      <c r="R3047" s="71"/>
      <c r="S3047" s="68">
        <f>_xlfn.CEILING.MATH(Devis[[#This Row],[Quantité Totale]],Devis[[#This Row],[Conditionnement]])</f>
        <v>0</v>
      </c>
      <c r="T3047" s="72"/>
      <c r="U3047" s="106"/>
      <c r="V3047" s="74">
        <f>Devis[[#This Row],[Prix de Revient]]*Devis[[#This Row],[Poste 1]]</f>
        <v>0</v>
      </c>
      <c r="W3047" s="74">
        <f>Devis[[#This Row],[Prix de Revient]]*Devis[[#This Row],[Poste 2]]</f>
        <v>0</v>
      </c>
      <c r="X3047" s="74">
        <f>Devis[[#This Row],[Prix de Revient]]*Devis[[#This Row],[Poste 3]]</f>
        <v>0</v>
      </c>
      <c r="Y3047" s="74">
        <f>Devis[[#This Row],[Poste 4]]*Devis[[#This Row],[Prix de Revient]]</f>
        <v>0</v>
      </c>
      <c r="Z3047" s="74">
        <f>Devis[[#This Row],[Poste 5]]*Devis[[#This Row],[Prix de Revient]]</f>
        <v>0</v>
      </c>
      <c r="AA3047" s="74">
        <f>Devis[[#This Row],[Prix de Revient]]*Devis[[#This Row],[Poste 6]]</f>
        <v>0</v>
      </c>
      <c r="AB3047" s="74">
        <f>Devis[[#This Row],[Quantité Totale]]*Devis[[#This Row],[Prix de Revient]]</f>
        <v>0</v>
      </c>
    </row>
    <row r="3048" spans="1:28" ht="14.25" outlineLevel="1" x14ac:dyDescent="0.2">
      <c r="A3048" s="75" t="s">
        <v>2794</v>
      </c>
      <c r="B3048" s="76" t="s">
        <v>3586</v>
      </c>
      <c r="C3048" s="67"/>
      <c r="D3048" s="67" t="str">
        <f>Général!$A863&amp;Général!$B863&amp;Général!$C863</f>
        <v>FixationColliers pour flexiblesGriffes</v>
      </c>
      <c r="E3048" s="76" t="s">
        <v>5819</v>
      </c>
      <c r="F3048" s="67">
        <v>3</v>
      </c>
      <c r="G3048" s="71" t="s">
        <v>5584</v>
      </c>
      <c r="H3048" s="71" t="s">
        <v>34</v>
      </c>
      <c r="I3048" s="71">
        <v>1640006</v>
      </c>
      <c r="J3048" s="70">
        <f>IFERROR(VLOOKUP(Devis[[#This Row],[Ref Air Flux]],#REF!,3,FALSE),0)</f>
        <v>0</v>
      </c>
      <c r="K3048" s="68"/>
      <c r="L3048" s="68"/>
      <c r="M3048" s="68"/>
      <c r="N3048" s="68"/>
      <c r="O3048" s="68"/>
      <c r="P3048" s="68"/>
      <c r="Q3048" s="68">
        <f>SUM(Devis[[#This Row],[Poste 1]:[Poste 6]])</f>
        <v>0</v>
      </c>
      <c r="R3048" s="71"/>
      <c r="S3048" s="68">
        <f>_xlfn.CEILING.MATH(Devis[[#This Row],[Quantité Totale]],Devis[[#This Row],[Conditionnement]])</f>
        <v>0</v>
      </c>
      <c r="T3048" s="72"/>
      <c r="U3048" s="106"/>
      <c r="V3048" s="74">
        <f>Devis[[#This Row],[Prix de Revient]]*Devis[[#This Row],[Poste 1]]</f>
        <v>0</v>
      </c>
      <c r="W3048" s="74">
        <f>Devis[[#This Row],[Prix de Revient]]*Devis[[#This Row],[Poste 2]]</f>
        <v>0</v>
      </c>
      <c r="X3048" s="74">
        <f>Devis[[#This Row],[Prix de Revient]]*Devis[[#This Row],[Poste 3]]</f>
        <v>0</v>
      </c>
      <c r="Y3048" s="74">
        <f>Devis[[#This Row],[Poste 4]]*Devis[[#This Row],[Prix de Revient]]</f>
        <v>0</v>
      </c>
      <c r="Z3048" s="74">
        <f>Devis[[#This Row],[Poste 5]]*Devis[[#This Row],[Prix de Revient]]</f>
        <v>0</v>
      </c>
      <c r="AA3048" s="74">
        <f>Devis[[#This Row],[Prix de Revient]]*Devis[[#This Row],[Poste 6]]</f>
        <v>0</v>
      </c>
      <c r="AB3048" s="74">
        <f>Devis[[#This Row],[Quantité Totale]]*Devis[[#This Row],[Prix de Revient]]</f>
        <v>0</v>
      </c>
    </row>
    <row r="3049" spans="1:28" ht="15" customHeight="1" outlineLevel="1" x14ac:dyDescent="0.2">
      <c r="A3049" s="75" t="s">
        <v>2794</v>
      </c>
      <c r="B3049" s="76" t="s">
        <v>3586</v>
      </c>
      <c r="C3049" s="67"/>
      <c r="D3049" s="67" t="str">
        <f>Général!$A864&amp;Général!$B864&amp;Général!$C864</f>
        <v>FixationColliers pour flexiblesGriffes</v>
      </c>
      <c r="E3049" s="76" t="s">
        <v>5820</v>
      </c>
      <c r="F3049" s="67">
        <v>4</v>
      </c>
      <c r="G3049" s="71" t="s">
        <v>5585</v>
      </c>
      <c r="H3049" s="71" t="s">
        <v>34</v>
      </c>
      <c r="I3049" s="71">
        <v>1622004</v>
      </c>
      <c r="J3049" s="70">
        <f>IFERROR(VLOOKUP(Devis[[#This Row],[Ref Air Flux]],#REF!,3,FALSE),0)</f>
        <v>0</v>
      </c>
      <c r="K3049" s="68"/>
      <c r="L3049" s="68"/>
      <c r="M3049" s="68"/>
      <c r="N3049" s="68"/>
      <c r="O3049" s="68"/>
      <c r="P3049" s="68"/>
      <c r="Q3049" s="68">
        <f>SUM(Devis[[#This Row],[Poste 1]:[Poste 6]])</f>
        <v>0</v>
      </c>
      <c r="R3049" s="71"/>
      <c r="S3049" s="68">
        <f>_xlfn.CEILING.MATH(Devis[[#This Row],[Quantité Totale]],Devis[[#This Row],[Conditionnement]])</f>
        <v>0</v>
      </c>
      <c r="T3049" s="72"/>
      <c r="U3049" s="106"/>
      <c r="V3049" s="74">
        <f>Devis[[#This Row],[Prix de Revient]]*Devis[[#This Row],[Poste 1]]</f>
        <v>0</v>
      </c>
      <c r="W3049" s="74">
        <f>Devis[[#This Row],[Prix de Revient]]*Devis[[#This Row],[Poste 2]]</f>
        <v>0</v>
      </c>
      <c r="X3049" s="74">
        <f>Devis[[#This Row],[Prix de Revient]]*Devis[[#This Row],[Poste 3]]</f>
        <v>0</v>
      </c>
      <c r="Y3049" s="74">
        <f>Devis[[#This Row],[Poste 4]]*Devis[[#This Row],[Prix de Revient]]</f>
        <v>0</v>
      </c>
      <c r="Z3049" s="74">
        <f>Devis[[#This Row],[Poste 5]]*Devis[[#This Row],[Prix de Revient]]</f>
        <v>0</v>
      </c>
      <c r="AA3049" s="74">
        <f>Devis[[#This Row],[Prix de Revient]]*Devis[[#This Row],[Poste 6]]</f>
        <v>0</v>
      </c>
      <c r="AB3049" s="74">
        <f>Devis[[#This Row],[Quantité Totale]]*Devis[[#This Row],[Prix de Revient]]</f>
        <v>0</v>
      </c>
    </row>
    <row r="3050" spans="1:28" ht="14.25" customHeight="1" outlineLevel="1" x14ac:dyDescent="0.2">
      <c r="A3050" s="75" t="s">
        <v>2794</v>
      </c>
      <c r="B3050" s="76" t="s">
        <v>3586</v>
      </c>
      <c r="C3050" s="67"/>
      <c r="D3050" s="67" t="str">
        <f>Général!$A865&amp;Général!$B865&amp;Général!$C865</f>
        <v>FixationColliers pour flexiblesGriffes</v>
      </c>
      <c r="E3050" s="76" t="s">
        <v>5821</v>
      </c>
      <c r="F3050" s="67">
        <v>5</v>
      </c>
      <c r="G3050" s="71" t="s">
        <v>5586</v>
      </c>
      <c r="H3050" s="71" t="s">
        <v>34</v>
      </c>
      <c r="I3050" s="71">
        <v>1622005</v>
      </c>
      <c r="J3050" s="70">
        <f>IFERROR(VLOOKUP(Devis[[#This Row],[Ref Air Flux]],#REF!,3,FALSE),0)</f>
        <v>0</v>
      </c>
      <c r="K3050" s="68"/>
      <c r="L3050" s="68"/>
      <c r="M3050" s="68"/>
      <c r="N3050" s="68"/>
      <c r="O3050" s="68"/>
      <c r="P3050" s="68"/>
      <c r="Q3050" s="68">
        <f>SUM(Devis[[#This Row],[Poste 1]:[Poste 6]])</f>
        <v>0</v>
      </c>
      <c r="R3050" s="71"/>
      <c r="S3050" s="68">
        <f>_xlfn.CEILING.MATH(Devis[[#This Row],[Quantité Totale]],Devis[[#This Row],[Conditionnement]])</f>
        <v>0</v>
      </c>
      <c r="T3050" s="72"/>
      <c r="U3050" s="106"/>
      <c r="V3050" s="74">
        <f>Devis[[#This Row],[Prix de Revient]]*Devis[[#This Row],[Poste 1]]</f>
        <v>0</v>
      </c>
      <c r="W3050" s="74">
        <f>Devis[[#This Row],[Prix de Revient]]*Devis[[#This Row],[Poste 2]]</f>
        <v>0</v>
      </c>
      <c r="X3050" s="74">
        <f>Devis[[#This Row],[Prix de Revient]]*Devis[[#This Row],[Poste 3]]</f>
        <v>0</v>
      </c>
      <c r="Y3050" s="74">
        <f>Devis[[#This Row],[Poste 4]]*Devis[[#This Row],[Prix de Revient]]</f>
        <v>0</v>
      </c>
      <c r="Z3050" s="74">
        <f>Devis[[#This Row],[Poste 5]]*Devis[[#This Row],[Prix de Revient]]</f>
        <v>0</v>
      </c>
      <c r="AA3050" s="74">
        <f>Devis[[#This Row],[Prix de Revient]]*Devis[[#This Row],[Poste 6]]</f>
        <v>0</v>
      </c>
      <c r="AB3050" s="74">
        <f>Devis[[#This Row],[Quantité Totale]]*Devis[[#This Row],[Prix de Revient]]</f>
        <v>0</v>
      </c>
    </row>
    <row r="3051" spans="1:28" ht="14.25" customHeight="1" outlineLevel="1" x14ac:dyDescent="0.2">
      <c r="A3051" s="75" t="s">
        <v>2794</v>
      </c>
      <c r="B3051" s="76" t="s">
        <v>3586</v>
      </c>
      <c r="C3051" s="67"/>
      <c r="D3051" s="67" t="str">
        <f>Général!$A866&amp;Général!$B866&amp;Général!$C866</f>
        <v>FixationColliers pour flexiblesGriffes</v>
      </c>
      <c r="E3051" s="76" t="s">
        <v>5822</v>
      </c>
      <c r="F3051" s="67">
        <v>6</v>
      </c>
      <c r="G3051" s="71" t="s">
        <v>5587</v>
      </c>
      <c r="H3051" s="71" t="s">
        <v>34</v>
      </c>
      <c r="I3051" s="71">
        <v>1622006</v>
      </c>
      <c r="J3051" s="70">
        <f>IFERROR(VLOOKUP(Devis[[#This Row],[Ref Air Flux]],#REF!,3,FALSE),0)</f>
        <v>0</v>
      </c>
      <c r="K3051" s="68"/>
      <c r="L3051" s="68"/>
      <c r="M3051" s="68"/>
      <c r="N3051" s="68"/>
      <c r="O3051" s="68"/>
      <c r="P3051" s="68"/>
      <c r="Q3051" s="68">
        <f>SUM(Devis[[#This Row],[Poste 1]:[Poste 6]])</f>
        <v>0</v>
      </c>
      <c r="R3051" s="71"/>
      <c r="S3051" s="68">
        <f>_xlfn.CEILING.MATH(Devis[[#This Row],[Quantité Totale]],Devis[[#This Row],[Conditionnement]])</f>
        <v>0</v>
      </c>
      <c r="T3051" s="72"/>
      <c r="U3051" s="106"/>
      <c r="V3051" s="74">
        <f>Devis[[#This Row],[Prix de Revient]]*Devis[[#This Row],[Poste 1]]</f>
        <v>0</v>
      </c>
      <c r="W3051" s="74">
        <f>Devis[[#This Row],[Prix de Revient]]*Devis[[#This Row],[Poste 2]]</f>
        <v>0</v>
      </c>
      <c r="X3051" s="74">
        <f>Devis[[#This Row],[Prix de Revient]]*Devis[[#This Row],[Poste 3]]</f>
        <v>0</v>
      </c>
      <c r="Y3051" s="74">
        <f>Devis[[#This Row],[Poste 4]]*Devis[[#This Row],[Prix de Revient]]</f>
        <v>0</v>
      </c>
      <c r="Z3051" s="74">
        <f>Devis[[#This Row],[Poste 5]]*Devis[[#This Row],[Prix de Revient]]</f>
        <v>0</v>
      </c>
      <c r="AA3051" s="74">
        <f>Devis[[#This Row],[Prix de Revient]]*Devis[[#This Row],[Poste 6]]</f>
        <v>0</v>
      </c>
      <c r="AB3051" s="74">
        <f>Devis[[#This Row],[Quantité Totale]]*Devis[[#This Row],[Prix de Revient]]</f>
        <v>0</v>
      </c>
    </row>
    <row r="3052" spans="1:28" ht="15" customHeight="1" outlineLevel="1" x14ac:dyDescent="0.2">
      <c r="A3052" s="75" t="s">
        <v>2794</v>
      </c>
      <c r="B3052" s="76" t="s">
        <v>3586</v>
      </c>
      <c r="C3052" s="67"/>
      <c r="D3052" s="67" t="str">
        <f>Général!$A867&amp;Général!$B867&amp;Général!$C867</f>
        <v>FixationColliers pour flexiblesGriffes</v>
      </c>
      <c r="E3052" s="76" t="s">
        <v>5823</v>
      </c>
      <c r="F3052" s="67">
        <v>7</v>
      </c>
      <c r="G3052" s="71" t="s">
        <v>5588</v>
      </c>
      <c r="H3052" s="71" t="s">
        <v>34</v>
      </c>
      <c r="I3052" s="71">
        <v>1623002</v>
      </c>
      <c r="J3052" s="70">
        <f>IFERROR(VLOOKUP(Devis[[#This Row],[Ref Air Flux]],#REF!,3,FALSE),0)</f>
        <v>0</v>
      </c>
      <c r="K3052" s="68"/>
      <c r="L3052" s="68"/>
      <c r="M3052" s="68"/>
      <c r="N3052" s="68"/>
      <c r="O3052" s="68"/>
      <c r="P3052" s="68"/>
      <c r="Q3052" s="68">
        <f>SUM(Devis[[#This Row],[Poste 1]:[Poste 6]])</f>
        <v>0</v>
      </c>
      <c r="R3052" s="71"/>
      <c r="S3052" s="68">
        <f>_xlfn.CEILING.MATH(Devis[[#This Row],[Quantité Totale]],Devis[[#This Row],[Conditionnement]])</f>
        <v>0</v>
      </c>
      <c r="T3052" s="72"/>
      <c r="U3052" s="106"/>
      <c r="V3052" s="74">
        <f>Devis[[#This Row],[Prix de Revient]]*Devis[[#This Row],[Poste 1]]</f>
        <v>0</v>
      </c>
      <c r="W3052" s="74">
        <f>Devis[[#This Row],[Prix de Revient]]*Devis[[#This Row],[Poste 2]]</f>
        <v>0</v>
      </c>
      <c r="X3052" s="74">
        <f>Devis[[#This Row],[Prix de Revient]]*Devis[[#This Row],[Poste 3]]</f>
        <v>0</v>
      </c>
      <c r="Y3052" s="74">
        <f>Devis[[#This Row],[Poste 4]]*Devis[[#This Row],[Prix de Revient]]</f>
        <v>0</v>
      </c>
      <c r="Z3052" s="74">
        <f>Devis[[#This Row],[Poste 5]]*Devis[[#This Row],[Prix de Revient]]</f>
        <v>0</v>
      </c>
      <c r="AA3052" s="74">
        <f>Devis[[#This Row],[Prix de Revient]]*Devis[[#This Row],[Poste 6]]</f>
        <v>0</v>
      </c>
      <c r="AB3052" s="74">
        <f>Devis[[#This Row],[Quantité Totale]]*Devis[[#This Row],[Prix de Revient]]</f>
        <v>0</v>
      </c>
    </row>
    <row r="3053" spans="1:28" ht="15" customHeight="1" outlineLevel="1" x14ac:dyDescent="0.2">
      <c r="A3053" s="75" t="s">
        <v>2794</v>
      </c>
      <c r="B3053" s="76" t="s">
        <v>3586</v>
      </c>
      <c r="C3053" s="67"/>
      <c r="D3053" s="67" t="str">
        <f>Général!$A868&amp;Général!$B868&amp;Général!$C868</f>
        <v>FixationColliers pour flexiblesOreilles</v>
      </c>
      <c r="E3053" s="76" t="s">
        <v>5824</v>
      </c>
      <c r="F3053" s="67">
        <v>8</v>
      </c>
      <c r="G3053" s="71" t="s">
        <v>5589</v>
      </c>
      <c r="H3053" s="71" t="s">
        <v>34</v>
      </c>
      <c r="I3053" s="71">
        <v>1623004</v>
      </c>
      <c r="J3053" s="70">
        <f>IFERROR(VLOOKUP(Devis[[#This Row],[Ref Air Flux]],#REF!,3,FALSE),0)</f>
        <v>0</v>
      </c>
      <c r="K3053" s="68"/>
      <c r="L3053" s="68"/>
      <c r="M3053" s="68"/>
      <c r="N3053" s="68"/>
      <c r="O3053" s="68"/>
      <c r="P3053" s="68"/>
      <c r="Q3053" s="68">
        <f>SUM(Devis[[#This Row],[Poste 1]:[Poste 6]])</f>
        <v>0</v>
      </c>
      <c r="R3053" s="71"/>
      <c r="S3053" s="68">
        <f>_xlfn.CEILING.MATH(Devis[[#This Row],[Quantité Totale]],Devis[[#This Row],[Conditionnement]])</f>
        <v>0</v>
      </c>
      <c r="T3053" s="72"/>
      <c r="U3053" s="106"/>
      <c r="V3053" s="74">
        <f>Devis[[#This Row],[Prix de Revient]]*Devis[[#This Row],[Poste 1]]</f>
        <v>0</v>
      </c>
      <c r="W3053" s="74">
        <f>Devis[[#This Row],[Prix de Revient]]*Devis[[#This Row],[Poste 2]]</f>
        <v>0</v>
      </c>
      <c r="X3053" s="74">
        <f>Devis[[#This Row],[Prix de Revient]]*Devis[[#This Row],[Poste 3]]</f>
        <v>0</v>
      </c>
      <c r="Y3053" s="74">
        <f>Devis[[#This Row],[Poste 4]]*Devis[[#This Row],[Prix de Revient]]</f>
        <v>0</v>
      </c>
      <c r="Z3053" s="74">
        <f>Devis[[#This Row],[Poste 5]]*Devis[[#This Row],[Prix de Revient]]</f>
        <v>0</v>
      </c>
      <c r="AA3053" s="74">
        <f>Devis[[#This Row],[Prix de Revient]]*Devis[[#This Row],[Poste 6]]</f>
        <v>0</v>
      </c>
      <c r="AB3053" s="74">
        <f>Devis[[#This Row],[Quantité Totale]]*Devis[[#This Row],[Prix de Revient]]</f>
        <v>0</v>
      </c>
    </row>
    <row r="3054" spans="1:28" ht="15" customHeight="1" outlineLevel="1" x14ac:dyDescent="0.2">
      <c r="A3054" s="75" t="s">
        <v>2794</v>
      </c>
      <c r="B3054" s="76" t="s">
        <v>3586</v>
      </c>
      <c r="C3054" s="67"/>
      <c r="D3054" s="67" t="str">
        <f>Général!$A869&amp;Général!$B869&amp;Général!$C869</f>
        <v>FixationColliers pour flexiblesOreilles</v>
      </c>
      <c r="E3054" s="76" t="s">
        <v>5825</v>
      </c>
      <c r="F3054" s="67">
        <v>9</v>
      </c>
      <c r="G3054" s="71" t="s">
        <v>5590</v>
      </c>
      <c r="H3054" s="71" t="s">
        <v>34</v>
      </c>
      <c r="I3054" s="71">
        <v>1623006</v>
      </c>
      <c r="J3054" s="70">
        <f>IFERROR(VLOOKUP(Devis[[#This Row],[Ref Air Flux]],#REF!,3,FALSE),0)</f>
        <v>0</v>
      </c>
      <c r="K3054" s="68"/>
      <c r="L3054" s="68"/>
      <c r="M3054" s="68"/>
      <c r="N3054" s="68"/>
      <c r="O3054" s="68"/>
      <c r="P3054" s="68"/>
      <c r="Q3054" s="68">
        <f>SUM(Devis[[#This Row],[Poste 1]:[Poste 6]])</f>
        <v>0</v>
      </c>
      <c r="R3054" s="71"/>
      <c r="S3054" s="68">
        <f>_xlfn.CEILING.MATH(Devis[[#This Row],[Quantité Totale]],Devis[[#This Row],[Conditionnement]])</f>
        <v>0</v>
      </c>
      <c r="T3054" s="72"/>
      <c r="U3054" s="106"/>
      <c r="V3054" s="74">
        <f>Devis[[#This Row],[Prix de Revient]]*Devis[[#This Row],[Poste 1]]</f>
        <v>0</v>
      </c>
      <c r="W3054" s="74">
        <f>Devis[[#This Row],[Prix de Revient]]*Devis[[#This Row],[Poste 2]]</f>
        <v>0</v>
      </c>
      <c r="X3054" s="74">
        <f>Devis[[#This Row],[Prix de Revient]]*Devis[[#This Row],[Poste 3]]</f>
        <v>0</v>
      </c>
      <c r="Y3054" s="74">
        <f>Devis[[#This Row],[Poste 4]]*Devis[[#This Row],[Prix de Revient]]</f>
        <v>0</v>
      </c>
      <c r="Z3054" s="74">
        <f>Devis[[#This Row],[Poste 5]]*Devis[[#This Row],[Prix de Revient]]</f>
        <v>0</v>
      </c>
      <c r="AA3054" s="74">
        <f>Devis[[#This Row],[Prix de Revient]]*Devis[[#This Row],[Poste 6]]</f>
        <v>0</v>
      </c>
      <c r="AB3054" s="74">
        <f>Devis[[#This Row],[Quantité Totale]]*Devis[[#This Row],[Prix de Revient]]</f>
        <v>0</v>
      </c>
    </row>
    <row r="3055" spans="1:28" ht="15" customHeight="1" outlineLevel="1" x14ac:dyDescent="0.2">
      <c r="A3055" s="75" t="s">
        <v>2794</v>
      </c>
      <c r="B3055" s="76" t="s">
        <v>3586</v>
      </c>
      <c r="C3055" s="67"/>
      <c r="D3055" s="67" t="str">
        <f>Général!$A870&amp;Général!$B870&amp;Général!$C870</f>
        <v>FixationColliers pour flexiblesOreilles</v>
      </c>
      <c r="E3055" s="76" t="s">
        <v>5826</v>
      </c>
      <c r="F3055" s="67">
        <v>10</v>
      </c>
      <c r="G3055" s="71" t="s">
        <v>5591</v>
      </c>
      <c r="H3055" s="71" t="s">
        <v>34</v>
      </c>
      <c r="I3055" s="71">
        <v>1623007</v>
      </c>
      <c r="J3055" s="70">
        <f>IFERROR(VLOOKUP(Devis[[#This Row],[Ref Air Flux]],#REF!,3,FALSE),0)</f>
        <v>0</v>
      </c>
      <c r="K3055" s="68"/>
      <c r="L3055" s="68"/>
      <c r="M3055" s="68"/>
      <c r="N3055" s="68"/>
      <c r="O3055" s="68"/>
      <c r="P3055" s="68"/>
      <c r="Q3055" s="68">
        <f>SUM(Devis[[#This Row],[Poste 1]:[Poste 6]])</f>
        <v>0</v>
      </c>
      <c r="R3055" s="71"/>
      <c r="S3055" s="68">
        <f>_xlfn.CEILING.MATH(Devis[[#This Row],[Quantité Totale]],Devis[[#This Row],[Conditionnement]])</f>
        <v>0</v>
      </c>
      <c r="T3055" s="72"/>
      <c r="U3055" s="106"/>
      <c r="V3055" s="74">
        <f>Devis[[#This Row],[Prix de Revient]]*Devis[[#This Row],[Poste 1]]</f>
        <v>0</v>
      </c>
      <c r="W3055" s="74">
        <f>Devis[[#This Row],[Prix de Revient]]*Devis[[#This Row],[Poste 2]]</f>
        <v>0</v>
      </c>
      <c r="X3055" s="74">
        <f>Devis[[#This Row],[Prix de Revient]]*Devis[[#This Row],[Poste 3]]</f>
        <v>0</v>
      </c>
      <c r="Y3055" s="74">
        <f>Devis[[#This Row],[Poste 4]]*Devis[[#This Row],[Prix de Revient]]</f>
        <v>0</v>
      </c>
      <c r="Z3055" s="74">
        <f>Devis[[#This Row],[Poste 5]]*Devis[[#This Row],[Prix de Revient]]</f>
        <v>0</v>
      </c>
      <c r="AA3055" s="74">
        <f>Devis[[#This Row],[Prix de Revient]]*Devis[[#This Row],[Poste 6]]</f>
        <v>0</v>
      </c>
      <c r="AB3055" s="74">
        <f>Devis[[#This Row],[Quantité Totale]]*Devis[[#This Row],[Prix de Revient]]</f>
        <v>0</v>
      </c>
    </row>
    <row r="3056" spans="1:28" ht="14.25" customHeight="1" outlineLevel="1" x14ac:dyDescent="0.2">
      <c r="A3056" s="75" t="s">
        <v>2794</v>
      </c>
      <c r="B3056" s="76" t="s">
        <v>3586</v>
      </c>
      <c r="C3056" s="67"/>
      <c r="D3056" s="67" t="str">
        <f>Général!$A871&amp;Général!$B871&amp;Général!$C871</f>
        <v>FixationColliers pour flexiblesOreilles</v>
      </c>
      <c r="E3056" s="76" t="s">
        <v>5827</v>
      </c>
      <c r="F3056" s="67">
        <v>11</v>
      </c>
      <c r="G3056" s="71" t="s">
        <v>5592</v>
      </c>
      <c r="H3056" s="71" t="s">
        <v>34</v>
      </c>
      <c r="I3056" s="71">
        <v>1623008</v>
      </c>
      <c r="J3056" s="70">
        <f>IFERROR(VLOOKUP(Devis[[#This Row],[Ref Air Flux]],#REF!,3,FALSE),0)</f>
        <v>0</v>
      </c>
      <c r="K3056" s="68"/>
      <c r="L3056" s="68"/>
      <c r="M3056" s="68"/>
      <c r="N3056" s="68"/>
      <c r="O3056" s="68"/>
      <c r="P3056" s="68"/>
      <c r="Q3056" s="68">
        <f>SUM(Devis[[#This Row],[Poste 1]:[Poste 6]])</f>
        <v>0</v>
      </c>
      <c r="R3056" s="71"/>
      <c r="S3056" s="68">
        <f>_xlfn.CEILING.MATH(Devis[[#This Row],[Quantité Totale]],Devis[[#This Row],[Conditionnement]])</f>
        <v>0</v>
      </c>
      <c r="T3056" s="72"/>
      <c r="U3056" s="106"/>
      <c r="V3056" s="74">
        <f>Devis[[#This Row],[Prix de Revient]]*Devis[[#This Row],[Poste 1]]</f>
        <v>0</v>
      </c>
      <c r="W3056" s="74">
        <f>Devis[[#This Row],[Prix de Revient]]*Devis[[#This Row],[Poste 2]]</f>
        <v>0</v>
      </c>
      <c r="X3056" s="74">
        <f>Devis[[#This Row],[Prix de Revient]]*Devis[[#This Row],[Poste 3]]</f>
        <v>0</v>
      </c>
      <c r="Y3056" s="74">
        <f>Devis[[#This Row],[Poste 4]]*Devis[[#This Row],[Prix de Revient]]</f>
        <v>0</v>
      </c>
      <c r="Z3056" s="74">
        <f>Devis[[#This Row],[Poste 5]]*Devis[[#This Row],[Prix de Revient]]</f>
        <v>0</v>
      </c>
      <c r="AA3056" s="74">
        <f>Devis[[#This Row],[Prix de Revient]]*Devis[[#This Row],[Poste 6]]</f>
        <v>0</v>
      </c>
      <c r="AB3056" s="74">
        <f>Devis[[#This Row],[Quantité Totale]]*Devis[[#This Row],[Prix de Revient]]</f>
        <v>0</v>
      </c>
    </row>
    <row r="3057" spans="1:28" ht="14.25" customHeight="1" outlineLevel="1" x14ac:dyDescent="0.2">
      <c r="A3057" s="75" t="s">
        <v>2794</v>
      </c>
      <c r="B3057" s="76" t="s">
        <v>3586</v>
      </c>
      <c r="C3057" s="67"/>
      <c r="D3057" s="67" t="str">
        <f>Général!$A872&amp;Général!$B872&amp;Général!$C872</f>
        <v>FixationColliers pour flexiblesOreilles</v>
      </c>
      <c r="E3057" s="76" t="s">
        <v>5828</v>
      </c>
      <c r="F3057" s="67">
        <v>12</v>
      </c>
      <c r="G3057" s="71">
        <v>1623009</v>
      </c>
      <c r="H3057" s="71" t="s">
        <v>34</v>
      </c>
      <c r="I3057" s="71">
        <v>1623009</v>
      </c>
      <c r="J3057" s="70">
        <f>IFERROR(VLOOKUP(Devis[[#This Row],[Ref Air Flux]],#REF!,3,FALSE),0)</f>
        <v>0</v>
      </c>
      <c r="K3057" s="68"/>
      <c r="L3057" s="68"/>
      <c r="M3057" s="68"/>
      <c r="N3057" s="68"/>
      <c r="O3057" s="68"/>
      <c r="P3057" s="68"/>
      <c r="Q3057" s="68">
        <f>SUM(Devis[[#This Row],[Poste 1]:[Poste 6]])</f>
        <v>0</v>
      </c>
      <c r="R3057" s="71"/>
      <c r="S3057" s="68">
        <f>_xlfn.CEILING.MATH(Devis[[#This Row],[Quantité Totale]],Devis[[#This Row],[Conditionnement]])</f>
        <v>0</v>
      </c>
      <c r="T3057" s="72"/>
      <c r="U3057" s="106"/>
      <c r="V3057" s="74">
        <f>Devis[[#This Row],[Prix de Revient]]*Devis[[#This Row],[Poste 1]]</f>
        <v>0</v>
      </c>
      <c r="W3057" s="74">
        <f>Devis[[#This Row],[Prix de Revient]]*Devis[[#This Row],[Poste 2]]</f>
        <v>0</v>
      </c>
      <c r="X3057" s="74">
        <f>Devis[[#This Row],[Prix de Revient]]*Devis[[#This Row],[Poste 3]]</f>
        <v>0</v>
      </c>
      <c r="Y3057" s="74">
        <f>Devis[[#This Row],[Poste 4]]*Devis[[#This Row],[Prix de Revient]]</f>
        <v>0</v>
      </c>
      <c r="Z3057" s="74">
        <f>Devis[[#This Row],[Poste 5]]*Devis[[#This Row],[Prix de Revient]]</f>
        <v>0</v>
      </c>
      <c r="AA3057" s="74">
        <f>Devis[[#This Row],[Prix de Revient]]*Devis[[#This Row],[Poste 6]]</f>
        <v>0</v>
      </c>
      <c r="AB3057" s="74">
        <f>Devis[[#This Row],[Quantité Totale]]*Devis[[#This Row],[Prix de Revient]]</f>
        <v>0</v>
      </c>
    </row>
    <row r="3058" spans="1:28" ht="14.25" outlineLevel="1" x14ac:dyDescent="0.2">
      <c r="A3058" s="75" t="s">
        <v>2794</v>
      </c>
      <c r="B3058" s="76" t="s">
        <v>3586</v>
      </c>
      <c r="C3058" s="67"/>
      <c r="D3058" s="67" t="str">
        <f>Général!$A873&amp;Général!$B873&amp;Général!$C873</f>
        <v>FixationColliers pour flexiblesOreilles</v>
      </c>
      <c r="E3058" s="76" t="s">
        <v>5829</v>
      </c>
      <c r="F3058" s="67">
        <v>13</v>
      </c>
      <c r="G3058" s="71" t="s">
        <v>5593</v>
      </c>
      <c r="H3058" s="71" t="s">
        <v>34</v>
      </c>
      <c r="I3058" s="71">
        <v>1623011</v>
      </c>
      <c r="J3058" s="70">
        <f>IFERROR(VLOOKUP(Devis[[#This Row],[Ref Air Flux]],#REF!,3,FALSE),0)</f>
        <v>0</v>
      </c>
      <c r="K3058" s="68"/>
      <c r="L3058" s="68"/>
      <c r="M3058" s="68"/>
      <c r="N3058" s="68"/>
      <c r="O3058" s="68"/>
      <c r="P3058" s="68"/>
      <c r="Q3058" s="68">
        <f>SUM(Devis[[#This Row],[Poste 1]:[Poste 6]])</f>
        <v>0</v>
      </c>
      <c r="R3058" s="71"/>
      <c r="S3058" s="68">
        <f>_xlfn.CEILING.MATH(Devis[[#This Row],[Quantité Totale]],Devis[[#This Row],[Conditionnement]])</f>
        <v>0</v>
      </c>
      <c r="T3058" s="72"/>
      <c r="U3058" s="106"/>
      <c r="V3058" s="74">
        <f>Devis[[#This Row],[Prix de Revient]]*Devis[[#This Row],[Poste 1]]</f>
        <v>0</v>
      </c>
      <c r="W3058" s="74">
        <f>Devis[[#This Row],[Prix de Revient]]*Devis[[#This Row],[Poste 2]]</f>
        <v>0</v>
      </c>
      <c r="X3058" s="74">
        <f>Devis[[#This Row],[Prix de Revient]]*Devis[[#This Row],[Poste 3]]</f>
        <v>0</v>
      </c>
      <c r="Y3058" s="74">
        <f>Devis[[#This Row],[Poste 4]]*Devis[[#This Row],[Prix de Revient]]</f>
        <v>0</v>
      </c>
      <c r="Z3058" s="74">
        <f>Devis[[#This Row],[Poste 5]]*Devis[[#This Row],[Prix de Revient]]</f>
        <v>0</v>
      </c>
      <c r="AA3058" s="74">
        <f>Devis[[#This Row],[Prix de Revient]]*Devis[[#This Row],[Poste 6]]</f>
        <v>0</v>
      </c>
      <c r="AB3058" s="74">
        <f>Devis[[#This Row],[Quantité Totale]]*Devis[[#This Row],[Prix de Revient]]</f>
        <v>0</v>
      </c>
    </row>
    <row r="3059" spans="1:28" ht="15" customHeight="1" outlineLevel="1" x14ac:dyDescent="0.2">
      <c r="A3059" s="75" t="s">
        <v>2794</v>
      </c>
      <c r="B3059" s="76" t="s">
        <v>3586</v>
      </c>
      <c r="C3059" s="67"/>
      <c r="D3059" s="67" t="str">
        <f>Général!$A874&amp;Général!$B874&amp;Général!$C874</f>
        <v>FixationColliers pour flexiblesOreilles</v>
      </c>
      <c r="E3059" s="76" t="s">
        <v>5830</v>
      </c>
      <c r="F3059" s="67">
        <v>14</v>
      </c>
      <c r="G3059" s="71" t="s">
        <v>5594</v>
      </c>
      <c r="H3059" s="71" t="s">
        <v>34</v>
      </c>
      <c r="I3059" s="71">
        <v>1625006</v>
      </c>
      <c r="J3059" s="70">
        <f>IFERROR(VLOOKUP(Devis[[#This Row],[Ref Air Flux]],#REF!,3,FALSE),0)</f>
        <v>0</v>
      </c>
      <c r="K3059" s="68"/>
      <c r="L3059" s="68"/>
      <c r="M3059" s="68"/>
      <c r="N3059" s="68"/>
      <c r="O3059" s="68"/>
      <c r="P3059" s="68"/>
      <c r="Q3059" s="68">
        <f>SUM(Devis[[#This Row],[Poste 1]:[Poste 6]])</f>
        <v>0</v>
      </c>
      <c r="R3059" s="71"/>
      <c r="S3059" s="68">
        <f>_xlfn.CEILING.MATH(Devis[[#This Row],[Quantité Totale]],Devis[[#This Row],[Conditionnement]])</f>
        <v>0</v>
      </c>
      <c r="T3059" s="72"/>
      <c r="U3059" s="106"/>
      <c r="V3059" s="74">
        <f>Devis[[#This Row],[Prix de Revient]]*Devis[[#This Row],[Poste 1]]</f>
        <v>0</v>
      </c>
      <c r="W3059" s="74">
        <f>Devis[[#This Row],[Prix de Revient]]*Devis[[#This Row],[Poste 2]]</f>
        <v>0</v>
      </c>
      <c r="X3059" s="74">
        <f>Devis[[#This Row],[Prix de Revient]]*Devis[[#This Row],[Poste 3]]</f>
        <v>0</v>
      </c>
      <c r="Y3059" s="74">
        <f>Devis[[#This Row],[Poste 4]]*Devis[[#This Row],[Prix de Revient]]</f>
        <v>0</v>
      </c>
      <c r="Z3059" s="74">
        <f>Devis[[#This Row],[Poste 5]]*Devis[[#This Row],[Prix de Revient]]</f>
        <v>0</v>
      </c>
      <c r="AA3059" s="74">
        <f>Devis[[#This Row],[Prix de Revient]]*Devis[[#This Row],[Poste 6]]</f>
        <v>0</v>
      </c>
      <c r="AB3059" s="74">
        <f>Devis[[#This Row],[Quantité Totale]]*Devis[[#This Row],[Prix de Revient]]</f>
        <v>0</v>
      </c>
    </row>
    <row r="3060" spans="1:28" ht="14.25" customHeight="1" outlineLevel="1" x14ac:dyDescent="0.2">
      <c r="A3060" s="75" t="s">
        <v>2794</v>
      </c>
      <c r="B3060" s="76" t="s">
        <v>3586</v>
      </c>
      <c r="C3060" s="67"/>
      <c r="D3060" s="67" t="str">
        <f>Général!$A875&amp;Général!$B875&amp;Général!$C875</f>
        <v>FixationColliers pour flexiblesOreilles</v>
      </c>
      <c r="E3060" s="76" t="s">
        <v>6399</v>
      </c>
      <c r="F3060" s="67">
        <v>15</v>
      </c>
      <c r="G3060" s="71">
        <v>1626004</v>
      </c>
      <c r="H3060" s="71" t="s">
        <v>34</v>
      </c>
      <c r="I3060" s="71">
        <v>1626004</v>
      </c>
      <c r="J3060" s="70">
        <f>IFERROR(VLOOKUP(Devis[[#This Row],[Ref Air Flux]],#REF!,3,FALSE),0)</f>
        <v>0</v>
      </c>
      <c r="K3060" s="68"/>
      <c r="L3060" s="68"/>
      <c r="M3060" s="68"/>
      <c r="N3060" s="68"/>
      <c r="O3060" s="68"/>
      <c r="P3060" s="68"/>
      <c r="Q3060" s="68">
        <f>SUM(Devis[[#This Row],[Poste 1]:[Poste 6]])</f>
        <v>0</v>
      </c>
      <c r="R3060" s="71"/>
      <c r="S3060" s="68">
        <f>_xlfn.CEILING.MATH(Devis[[#This Row],[Quantité Totale]],Devis[[#This Row],[Conditionnement]])</f>
        <v>0</v>
      </c>
      <c r="T3060" s="72"/>
      <c r="U3060" s="106"/>
      <c r="V3060" s="74">
        <f>Devis[[#This Row],[Prix de Revient]]*Devis[[#This Row],[Poste 1]]</f>
        <v>0</v>
      </c>
      <c r="W3060" s="74">
        <f>Devis[[#This Row],[Prix de Revient]]*Devis[[#This Row],[Poste 2]]</f>
        <v>0</v>
      </c>
      <c r="X3060" s="74">
        <f>Devis[[#This Row],[Prix de Revient]]*Devis[[#This Row],[Poste 3]]</f>
        <v>0</v>
      </c>
      <c r="Y3060" s="74">
        <f>Devis[[#This Row],[Poste 4]]*Devis[[#This Row],[Prix de Revient]]</f>
        <v>0</v>
      </c>
      <c r="Z3060" s="74">
        <f>Devis[[#This Row],[Poste 5]]*Devis[[#This Row],[Prix de Revient]]</f>
        <v>0</v>
      </c>
      <c r="AA3060" s="74">
        <f>Devis[[#This Row],[Prix de Revient]]*Devis[[#This Row],[Poste 6]]</f>
        <v>0</v>
      </c>
      <c r="AB3060" s="74">
        <f>Devis[[#This Row],[Quantité Totale]]*Devis[[#This Row],[Prix de Revient]]</f>
        <v>0</v>
      </c>
    </row>
    <row r="3061" spans="1:28" ht="14.25" customHeight="1" outlineLevel="1" x14ac:dyDescent="0.2">
      <c r="A3061" s="75" t="s">
        <v>2794</v>
      </c>
      <c r="B3061" s="76" t="s">
        <v>3586</v>
      </c>
      <c r="C3061" s="67"/>
      <c r="D3061" s="67" t="str">
        <f>Général!$A876&amp;Général!$B876&amp;Général!$C876</f>
        <v>FixationColliers pour flexiblesOreilles</v>
      </c>
      <c r="E3061" s="76" t="s">
        <v>5831</v>
      </c>
      <c r="F3061" s="67">
        <v>16</v>
      </c>
      <c r="G3061" s="71" t="s">
        <v>5595</v>
      </c>
      <c r="H3061" s="71" t="s">
        <v>34</v>
      </c>
      <c r="I3061" s="71">
        <v>1643006</v>
      </c>
      <c r="J3061" s="70">
        <f>IFERROR(VLOOKUP(Devis[[#This Row],[Ref Air Flux]],#REF!,3,FALSE),0)</f>
        <v>0</v>
      </c>
      <c r="K3061" s="68"/>
      <c r="L3061" s="68"/>
      <c r="M3061" s="68"/>
      <c r="N3061" s="68"/>
      <c r="O3061" s="68"/>
      <c r="P3061" s="68"/>
      <c r="Q3061" s="68">
        <f>SUM(Devis[[#This Row],[Poste 1]:[Poste 6]])</f>
        <v>0</v>
      </c>
      <c r="R3061" s="71"/>
      <c r="S3061" s="68">
        <f>_xlfn.CEILING.MATH(Devis[[#This Row],[Quantité Totale]],Devis[[#This Row],[Conditionnement]])</f>
        <v>0</v>
      </c>
      <c r="T3061" s="72"/>
      <c r="U3061" s="106"/>
      <c r="V3061" s="74">
        <f>Devis[[#This Row],[Prix de Revient]]*Devis[[#This Row],[Poste 1]]</f>
        <v>0</v>
      </c>
      <c r="W3061" s="74">
        <f>Devis[[#This Row],[Prix de Revient]]*Devis[[#This Row],[Poste 2]]</f>
        <v>0</v>
      </c>
      <c r="X3061" s="74">
        <f>Devis[[#This Row],[Prix de Revient]]*Devis[[#This Row],[Poste 3]]</f>
        <v>0</v>
      </c>
      <c r="Y3061" s="74">
        <f>Devis[[#This Row],[Poste 4]]*Devis[[#This Row],[Prix de Revient]]</f>
        <v>0</v>
      </c>
      <c r="Z3061" s="74">
        <f>Devis[[#This Row],[Poste 5]]*Devis[[#This Row],[Prix de Revient]]</f>
        <v>0</v>
      </c>
      <c r="AA3061" s="74">
        <f>Devis[[#This Row],[Prix de Revient]]*Devis[[#This Row],[Poste 6]]</f>
        <v>0</v>
      </c>
      <c r="AB3061" s="74">
        <f>Devis[[#This Row],[Quantité Totale]]*Devis[[#This Row],[Prix de Revient]]</f>
        <v>0</v>
      </c>
    </row>
    <row r="3062" spans="1:28" ht="14.25" customHeight="1" outlineLevel="1" x14ac:dyDescent="0.2">
      <c r="A3062" s="75" t="s">
        <v>2794</v>
      </c>
      <c r="B3062" s="76" t="s">
        <v>3586</v>
      </c>
      <c r="C3062" s="67"/>
      <c r="D3062" s="67" t="str">
        <f>Général!$A877&amp;Général!$B877&amp;Général!$C877</f>
        <v>FixationColliers pour flexiblesOreilles</v>
      </c>
      <c r="E3062" s="76" t="s">
        <v>5832</v>
      </c>
      <c r="F3062" s="67">
        <v>17</v>
      </c>
      <c r="G3062" s="71">
        <v>1643007</v>
      </c>
      <c r="H3062" s="71"/>
      <c r="I3062" s="71">
        <v>1643007</v>
      </c>
      <c r="J3062" s="70">
        <f>IFERROR(VLOOKUP(Devis[[#This Row],[Ref Air Flux]],#REF!,3,FALSE),0)</f>
        <v>0</v>
      </c>
      <c r="K3062" s="68"/>
      <c r="L3062" s="68"/>
      <c r="M3062" s="68"/>
      <c r="N3062" s="68"/>
      <c r="O3062" s="68"/>
      <c r="P3062" s="68"/>
      <c r="Q3062" s="68">
        <f>SUM(Devis[[#This Row],[Poste 1]:[Poste 6]])</f>
        <v>0</v>
      </c>
      <c r="R3062" s="71"/>
      <c r="S3062" s="68">
        <f>_xlfn.CEILING.MATH(Devis[[#This Row],[Quantité Totale]],Devis[[#This Row],[Conditionnement]])</f>
        <v>0</v>
      </c>
      <c r="T3062" s="72"/>
      <c r="U3062" s="106"/>
      <c r="V3062" s="74">
        <f>Devis[[#This Row],[Prix de Revient]]*Devis[[#This Row],[Poste 1]]</f>
        <v>0</v>
      </c>
      <c r="W3062" s="74">
        <f>Devis[[#This Row],[Prix de Revient]]*Devis[[#This Row],[Poste 2]]</f>
        <v>0</v>
      </c>
      <c r="X3062" s="74">
        <f>Devis[[#This Row],[Prix de Revient]]*Devis[[#This Row],[Poste 3]]</f>
        <v>0</v>
      </c>
      <c r="Y3062" s="74">
        <f>Devis[[#This Row],[Poste 4]]*Devis[[#This Row],[Prix de Revient]]</f>
        <v>0</v>
      </c>
      <c r="Z3062" s="74">
        <f>Devis[[#This Row],[Poste 5]]*Devis[[#This Row],[Prix de Revient]]</f>
        <v>0</v>
      </c>
      <c r="AA3062" s="74">
        <f>Devis[[#This Row],[Prix de Revient]]*Devis[[#This Row],[Poste 6]]</f>
        <v>0</v>
      </c>
      <c r="AB3062" s="74">
        <f>Devis[[#This Row],[Quantité Totale]]*Devis[[#This Row],[Prix de Revient]]</f>
        <v>0</v>
      </c>
    </row>
    <row r="3063" spans="1:28" ht="14.25" customHeight="1" outlineLevel="1" x14ac:dyDescent="0.2">
      <c r="A3063" s="75" t="s">
        <v>2794</v>
      </c>
      <c r="B3063" s="76" t="s">
        <v>3586</v>
      </c>
      <c r="C3063" s="67"/>
      <c r="D3063" s="67" t="str">
        <f>Général!$A878&amp;Général!$B878&amp;Général!$C878</f>
        <v>FixationColliers pour flexiblesOreilles</v>
      </c>
      <c r="E3063" s="76" t="s">
        <v>5833</v>
      </c>
      <c r="F3063" s="67">
        <v>18</v>
      </c>
      <c r="G3063" s="86" t="s">
        <v>5596</v>
      </c>
      <c r="H3063" s="71" t="s">
        <v>5834</v>
      </c>
      <c r="I3063" s="86" t="s">
        <v>5596</v>
      </c>
      <c r="J3063" s="70">
        <f>IFERROR(VLOOKUP(Devis[[#This Row],[Ref Air Flux]],#REF!,3,FALSE),0)</f>
        <v>0</v>
      </c>
      <c r="K3063" s="68"/>
      <c r="L3063" s="68"/>
      <c r="M3063" s="68"/>
      <c r="N3063" s="68"/>
      <c r="O3063" s="68"/>
      <c r="P3063" s="68"/>
      <c r="Q3063" s="68">
        <f>SUM(Devis[[#This Row],[Poste 1]:[Poste 6]])</f>
        <v>0</v>
      </c>
      <c r="R3063" s="71"/>
      <c r="S3063" s="68">
        <f>_xlfn.CEILING.MATH(Devis[[#This Row],[Quantité Totale]],Devis[[#This Row],[Conditionnement]])</f>
        <v>0</v>
      </c>
      <c r="T3063" s="72"/>
      <c r="U3063" s="106"/>
      <c r="V3063" s="74">
        <f>Devis[[#This Row],[Prix de Revient]]*Devis[[#This Row],[Poste 1]]</f>
        <v>0</v>
      </c>
      <c r="W3063" s="74">
        <f>Devis[[#This Row],[Prix de Revient]]*Devis[[#This Row],[Poste 2]]</f>
        <v>0</v>
      </c>
      <c r="X3063" s="74">
        <f>Devis[[#This Row],[Prix de Revient]]*Devis[[#This Row],[Poste 3]]</f>
        <v>0</v>
      </c>
      <c r="Y3063" s="74">
        <f>Devis[[#This Row],[Poste 4]]*Devis[[#This Row],[Prix de Revient]]</f>
        <v>0</v>
      </c>
      <c r="Z3063" s="74">
        <f>Devis[[#This Row],[Poste 5]]*Devis[[#This Row],[Prix de Revient]]</f>
        <v>0</v>
      </c>
      <c r="AA3063" s="74">
        <f>Devis[[#This Row],[Prix de Revient]]*Devis[[#This Row],[Poste 6]]</f>
        <v>0</v>
      </c>
      <c r="AB3063" s="74">
        <f>Devis[[#This Row],[Quantité Totale]]*Devis[[#This Row],[Prix de Revient]]</f>
        <v>0</v>
      </c>
    </row>
    <row r="3064" spans="1:28" ht="14.25" customHeight="1" outlineLevel="1" x14ac:dyDescent="0.2">
      <c r="A3064" s="75" t="s">
        <v>2794</v>
      </c>
      <c r="B3064" s="76" t="s">
        <v>3586</v>
      </c>
      <c r="C3064" s="67"/>
      <c r="D3064" s="67" t="str">
        <f>Général!$A879&amp;Général!$B879&amp;Général!$C879</f>
        <v>FixationColliers pour flexiblesOreilles</v>
      </c>
      <c r="E3064" s="76" t="s">
        <v>5835</v>
      </c>
      <c r="F3064" s="67">
        <v>19</v>
      </c>
      <c r="G3064" s="71">
        <v>1613001</v>
      </c>
      <c r="H3064" s="71" t="s">
        <v>34</v>
      </c>
      <c r="I3064" s="71">
        <v>1613001</v>
      </c>
      <c r="J3064" s="70">
        <f>IFERROR(VLOOKUP(Devis[[#This Row],[Ref Air Flux]],#REF!,3,FALSE),0)</f>
        <v>0</v>
      </c>
      <c r="K3064" s="68"/>
      <c r="L3064" s="68"/>
      <c r="M3064" s="68"/>
      <c r="N3064" s="68"/>
      <c r="O3064" s="68"/>
      <c r="P3064" s="68"/>
      <c r="Q3064" s="68">
        <f>SUM(Devis[[#This Row],[Poste 1]:[Poste 6]])</f>
        <v>0</v>
      </c>
      <c r="R3064" s="71"/>
      <c r="S3064" s="68">
        <f>_xlfn.CEILING.MATH(Devis[[#This Row],[Quantité Totale]],Devis[[#This Row],[Conditionnement]])</f>
        <v>0</v>
      </c>
      <c r="T3064" s="72"/>
      <c r="U3064" s="106"/>
      <c r="V3064" s="74">
        <f>Devis[[#This Row],[Prix de Revient]]*Devis[[#This Row],[Poste 1]]</f>
        <v>0</v>
      </c>
      <c r="W3064" s="74">
        <f>Devis[[#This Row],[Prix de Revient]]*Devis[[#This Row],[Poste 2]]</f>
        <v>0</v>
      </c>
      <c r="X3064" s="74">
        <f>Devis[[#This Row],[Prix de Revient]]*Devis[[#This Row],[Poste 3]]</f>
        <v>0</v>
      </c>
      <c r="Y3064" s="74">
        <f>Devis[[#This Row],[Poste 4]]*Devis[[#This Row],[Prix de Revient]]</f>
        <v>0</v>
      </c>
      <c r="Z3064" s="74">
        <f>Devis[[#This Row],[Poste 5]]*Devis[[#This Row],[Prix de Revient]]</f>
        <v>0</v>
      </c>
      <c r="AA3064" s="74">
        <f>Devis[[#This Row],[Prix de Revient]]*Devis[[#This Row],[Poste 6]]</f>
        <v>0</v>
      </c>
      <c r="AB3064" s="74">
        <f>Devis[[#This Row],[Quantité Totale]]*Devis[[#This Row],[Prix de Revient]]</f>
        <v>0</v>
      </c>
    </row>
    <row r="3065" spans="1:28" ht="14.25" customHeight="1" outlineLevel="1" x14ac:dyDescent="0.2">
      <c r="A3065" s="75" t="s">
        <v>2794</v>
      </c>
      <c r="B3065" s="76" t="s">
        <v>3586</v>
      </c>
      <c r="C3065" s="67"/>
      <c r="D3065" s="67" t="str">
        <f>Général!$A880&amp;Général!$B880&amp;Général!$C880</f>
        <v>FixationColliers pour flexiblesSerflex</v>
      </c>
      <c r="E3065" s="76" t="s">
        <v>5836</v>
      </c>
      <c r="F3065" s="67">
        <v>20</v>
      </c>
      <c r="G3065" s="71" t="s">
        <v>5597</v>
      </c>
      <c r="H3065" s="71" t="s">
        <v>34</v>
      </c>
      <c r="I3065" s="71" t="s">
        <v>3278</v>
      </c>
      <c r="J3065" s="70">
        <f>IFERROR(VLOOKUP(Devis[[#This Row],[Ref Air Flux]],#REF!,3,FALSE),0)</f>
        <v>0</v>
      </c>
      <c r="K3065" s="68"/>
      <c r="L3065" s="68"/>
      <c r="M3065" s="68"/>
      <c r="N3065" s="68"/>
      <c r="O3065" s="68"/>
      <c r="P3065" s="68"/>
      <c r="Q3065" s="68">
        <f>SUM(Devis[[#This Row],[Poste 1]:[Poste 6]])</f>
        <v>0</v>
      </c>
      <c r="R3065" s="71"/>
      <c r="S3065" s="68">
        <f>_xlfn.CEILING.MATH(Devis[[#This Row],[Quantité Totale]],Devis[[#This Row],[Conditionnement]])</f>
        <v>0</v>
      </c>
      <c r="T3065" s="72"/>
      <c r="U3065" s="106"/>
      <c r="V3065" s="74">
        <f>Devis[[#This Row],[Prix de Revient]]*Devis[[#This Row],[Poste 1]]</f>
        <v>0</v>
      </c>
      <c r="W3065" s="74">
        <f>Devis[[#This Row],[Prix de Revient]]*Devis[[#This Row],[Poste 2]]</f>
        <v>0</v>
      </c>
      <c r="X3065" s="74">
        <f>Devis[[#This Row],[Prix de Revient]]*Devis[[#This Row],[Poste 3]]</f>
        <v>0</v>
      </c>
      <c r="Y3065" s="74">
        <f>Devis[[#This Row],[Poste 4]]*Devis[[#This Row],[Prix de Revient]]</f>
        <v>0</v>
      </c>
      <c r="Z3065" s="74">
        <f>Devis[[#This Row],[Poste 5]]*Devis[[#This Row],[Prix de Revient]]</f>
        <v>0</v>
      </c>
      <c r="AA3065" s="74">
        <f>Devis[[#This Row],[Prix de Revient]]*Devis[[#This Row],[Poste 6]]</f>
        <v>0</v>
      </c>
      <c r="AB3065" s="74">
        <f>Devis[[#This Row],[Quantité Totale]]*Devis[[#This Row],[Prix de Revient]]</f>
        <v>0</v>
      </c>
    </row>
    <row r="3066" spans="1:28" ht="14.25" customHeight="1" outlineLevel="1" x14ac:dyDescent="0.2">
      <c r="A3066" s="75" t="s">
        <v>2794</v>
      </c>
      <c r="B3066" s="76" t="s">
        <v>3586</v>
      </c>
      <c r="C3066" s="67"/>
      <c r="D3066" s="67" t="str">
        <f>Général!$A881&amp;Général!$B881&amp;Général!$C881</f>
        <v>FixationColliers pour flexiblesSerflex</v>
      </c>
      <c r="E3066" s="76" t="s">
        <v>5837</v>
      </c>
      <c r="F3066" s="67">
        <v>21</v>
      </c>
      <c r="G3066" s="71">
        <v>16130005</v>
      </c>
      <c r="H3066" s="71" t="s">
        <v>34</v>
      </c>
      <c r="I3066" s="71">
        <v>1613005</v>
      </c>
      <c r="J3066" s="70">
        <f>IFERROR(VLOOKUP(Devis[[#This Row],[Ref Air Flux]],#REF!,3,FALSE),0)</f>
        <v>0</v>
      </c>
      <c r="K3066" s="68"/>
      <c r="L3066" s="68"/>
      <c r="M3066" s="68"/>
      <c r="N3066" s="68"/>
      <c r="O3066" s="68"/>
      <c r="P3066" s="68"/>
      <c r="Q3066" s="68">
        <f>SUM(Devis[[#This Row],[Poste 1]:[Poste 6]])</f>
        <v>0</v>
      </c>
      <c r="R3066" s="71"/>
      <c r="S3066" s="68">
        <f>_xlfn.CEILING.MATH(Devis[[#This Row],[Quantité Totale]],Devis[[#This Row],[Conditionnement]])</f>
        <v>0</v>
      </c>
      <c r="T3066" s="72"/>
      <c r="U3066" s="106"/>
      <c r="V3066" s="74">
        <f>Devis[[#This Row],[Prix de Revient]]*Devis[[#This Row],[Poste 1]]</f>
        <v>0</v>
      </c>
      <c r="W3066" s="74">
        <f>Devis[[#This Row],[Prix de Revient]]*Devis[[#This Row],[Poste 2]]</f>
        <v>0</v>
      </c>
      <c r="X3066" s="74">
        <f>Devis[[#This Row],[Prix de Revient]]*Devis[[#This Row],[Poste 3]]</f>
        <v>0</v>
      </c>
      <c r="Y3066" s="74">
        <f>Devis[[#This Row],[Poste 4]]*Devis[[#This Row],[Prix de Revient]]</f>
        <v>0</v>
      </c>
      <c r="Z3066" s="74">
        <f>Devis[[#This Row],[Poste 5]]*Devis[[#This Row],[Prix de Revient]]</f>
        <v>0</v>
      </c>
      <c r="AA3066" s="74">
        <f>Devis[[#This Row],[Prix de Revient]]*Devis[[#This Row],[Poste 6]]</f>
        <v>0</v>
      </c>
      <c r="AB3066" s="74">
        <f>Devis[[#This Row],[Quantité Totale]]*Devis[[#This Row],[Prix de Revient]]</f>
        <v>0</v>
      </c>
    </row>
    <row r="3067" spans="1:28" ht="14.25" outlineLevel="1" x14ac:dyDescent="0.2">
      <c r="A3067" s="75" t="s">
        <v>2794</v>
      </c>
      <c r="B3067" s="76" t="s">
        <v>3586</v>
      </c>
      <c r="C3067" s="67"/>
      <c r="D3067" s="67" t="str">
        <f>Général!$A882&amp;Général!$B882&amp;Général!$C882</f>
        <v>FixationColliers pour flexiblesSerflex</v>
      </c>
      <c r="E3067" s="76" t="s">
        <v>5838</v>
      </c>
      <c r="F3067" s="67">
        <v>22</v>
      </c>
      <c r="G3067" s="71" t="s">
        <v>5598</v>
      </c>
      <c r="H3067" s="71" t="s">
        <v>34</v>
      </c>
      <c r="I3067" s="71" t="s">
        <v>3279</v>
      </c>
      <c r="J3067" s="70">
        <f>IFERROR(VLOOKUP(Devis[[#This Row],[Ref Air Flux]],#REF!,3,FALSE),0)</f>
        <v>0</v>
      </c>
      <c r="K3067" s="68"/>
      <c r="L3067" s="68"/>
      <c r="M3067" s="68"/>
      <c r="N3067" s="68"/>
      <c r="O3067" s="68"/>
      <c r="P3067" s="68"/>
      <c r="Q3067" s="68">
        <f>SUM(Devis[[#This Row],[Poste 1]:[Poste 6]])</f>
        <v>0</v>
      </c>
      <c r="R3067" s="71"/>
      <c r="S3067" s="68">
        <f>_xlfn.CEILING.MATH(Devis[[#This Row],[Quantité Totale]],Devis[[#This Row],[Conditionnement]])</f>
        <v>0</v>
      </c>
      <c r="T3067" s="72"/>
      <c r="U3067" s="106"/>
      <c r="V3067" s="74">
        <f>Devis[[#This Row],[Prix de Revient]]*Devis[[#This Row],[Poste 1]]</f>
        <v>0</v>
      </c>
      <c r="W3067" s="74">
        <f>Devis[[#This Row],[Prix de Revient]]*Devis[[#This Row],[Poste 2]]</f>
        <v>0</v>
      </c>
      <c r="X3067" s="74">
        <f>Devis[[#This Row],[Prix de Revient]]*Devis[[#This Row],[Poste 3]]</f>
        <v>0</v>
      </c>
      <c r="Y3067" s="74">
        <f>Devis[[#This Row],[Poste 4]]*Devis[[#This Row],[Prix de Revient]]</f>
        <v>0</v>
      </c>
      <c r="Z3067" s="74">
        <f>Devis[[#This Row],[Poste 5]]*Devis[[#This Row],[Prix de Revient]]</f>
        <v>0</v>
      </c>
      <c r="AA3067" s="74">
        <f>Devis[[#This Row],[Prix de Revient]]*Devis[[#This Row],[Poste 6]]</f>
        <v>0</v>
      </c>
      <c r="AB3067" s="74">
        <f>Devis[[#This Row],[Quantité Totale]]*Devis[[#This Row],[Prix de Revient]]</f>
        <v>0</v>
      </c>
    </row>
    <row r="3068" spans="1:28" ht="14.25" outlineLevel="1" x14ac:dyDescent="0.2">
      <c r="A3068" s="75" t="s">
        <v>2794</v>
      </c>
      <c r="B3068" s="76" t="s">
        <v>3586</v>
      </c>
      <c r="C3068" s="67"/>
      <c r="D3068" s="67" t="str">
        <f>Général!$A883&amp;Général!$B883&amp;Général!$C883</f>
        <v>FixationColliers pour flexiblesSerflex</v>
      </c>
      <c r="E3068" s="76" t="s">
        <v>5839</v>
      </c>
      <c r="F3068" s="67">
        <v>23</v>
      </c>
      <c r="G3068" s="71" t="s">
        <v>5599</v>
      </c>
      <c r="H3068" s="71" t="s">
        <v>34</v>
      </c>
      <c r="I3068" s="71" t="s">
        <v>3280</v>
      </c>
      <c r="J3068" s="70">
        <f>IFERROR(VLOOKUP(Devis[[#This Row],[Ref Air Flux]],#REF!,3,FALSE),0)</f>
        <v>0</v>
      </c>
      <c r="K3068" s="68"/>
      <c r="L3068" s="68"/>
      <c r="M3068" s="68"/>
      <c r="N3068" s="68"/>
      <c r="O3068" s="68"/>
      <c r="P3068" s="68"/>
      <c r="Q3068" s="68">
        <f>SUM(Devis[[#This Row],[Poste 1]:[Poste 6]])</f>
        <v>0</v>
      </c>
      <c r="R3068" s="71"/>
      <c r="S3068" s="68">
        <f>_xlfn.CEILING.MATH(Devis[[#This Row],[Quantité Totale]],Devis[[#This Row],[Conditionnement]])</f>
        <v>0</v>
      </c>
      <c r="T3068" s="72"/>
      <c r="U3068" s="106"/>
      <c r="V3068" s="74">
        <f>Devis[[#This Row],[Prix de Revient]]*Devis[[#This Row],[Poste 1]]</f>
        <v>0</v>
      </c>
      <c r="W3068" s="74">
        <f>Devis[[#This Row],[Prix de Revient]]*Devis[[#This Row],[Poste 2]]</f>
        <v>0</v>
      </c>
      <c r="X3068" s="74">
        <f>Devis[[#This Row],[Prix de Revient]]*Devis[[#This Row],[Poste 3]]</f>
        <v>0</v>
      </c>
      <c r="Y3068" s="74">
        <f>Devis[[#This Row],[Poste 4]]*Devis[[#This Row],[Prix de Revient]]</f>
        <v>0</v>
      </c>
      <c r="Z3068" s="74">
        <f>Devis[[#This Row],[Poste 5]]*Devis[[#This Row],[Prix de Revient]]</f>
        <v>0</v>
      </c>
      <c r="AA3068" s="74">
        <f>Devis[[#This Row],[Prix de Revient]]*Devis[[#This Row],[Poste 6]]</f>
        <v>0</v>
      </c>
      <c r="AB3068" s="74">
        <f>Devis[[#This Row],[Quantité Totale]]*Devis[[#This Row],[Prix de Revient]]</f>
        <v>0</v>
      </c>
    </row>
    <row r="3069" spans="1:28" ht="14.25" customHeight="1" outlineLevel="1" x14ac:dyDescent="0.2">
      <c r="A3069" s="75" t="s">
        <v>2794</v>
      </c>
      <c r="B3069" s="76" t="s">
        <v>3586</v>
      </c>
      <c r="C3069" s="67"/>
      <c r="D3069" s="67" t="str">
        <f>Général!$A884&amp;Général!$B884&amp;Général!$C884</f>
        <v>FixationColliers pour flexiblesSerflex</v>
      </c>
      <c r="E3069" s="76" t="s">
        <v>5840</v>
      </c>
      <c r="F3069" s="67">
        <v>24</v>
      </c>
      <c r="G3069" s="71" t="s">
        <v>5600</v>
      </c>
      <c r="H3069" s="71" t="s">
        <v>34</v>
      </c>
      <c r="I3069" s="71" t="s">
        <v>3281</v>
      </c>
      <c r="J3069" s="70">
        <f>IFERROR(VLOOKUP(Devis[[#This Row],[Ref Air Flux]],#REF!,3,FALSE),0)</f>
        <v>0</v>
      </c>
      <c r="K3069" s="68"/>
      <c r="L3069" s="68"/>
      <c r="M3069" s="68"/>
      <c r="N3069" s="68"/>
      <c r="O3069" s="68"/>
      <c r="P3069" s="68"/>
      <c r="Q3069" s="68">
        <f>SUM(Devis[[#This Row],[Poste 1]:[Poste 6]])</f>
        <v>0</v>
      </c>
      <c r="R3069" s="71"/>
      <c r="S3069" s="68">
        <f>_xlfn.CEILING.MATH(Devis[[#This Row],[Quantité Totale]],Devis[[#This Row],[Conditionnement]])</f>
        <v>0</v>
      </c>
      <c r="T3069" s="72"/>
      <c r="U3069" s="106"/>
      <c r="V3069" s="74">
        <f>Devis[[#This Row],[Prix de Revient]]*Devis[[#This Row],[Poste 1]]</f>
        <v>0</v>
      </c>
      <c r="W3069" s="74">
        <f>Devis[[#This Row],[Prix de Revient]]*Devis[[#This Row],[Poste 2]]</f>
        <v>0</v>
      </c>
      <c r="X3069" s="74">
        <f>Devis[[#This Row],[Prix de Revient]]*Devis[[#This Row],[Poste 3]]</f>
        <v>0</v>
      </c>
      <c r="Y3069" s="74">
        <f>Devis[[#This Row],[Poste 4]]*Devis[[#This Row],[Prix de Revient]]</f>
        <v>0</v>
      </c>
      <c r="Z3069" s="74">
        <f>Devis[[#This Row],[Poste 5]]*Devis[[#This Row],[Prix de Revient]]</f>
        <v>0</v>
      </c>
      <c r="AA3069" s="74">
        <f>Devis[[#This Row],[Prix de Revient]]*Devis[[#This Row],[Poste 6]]</f>
        <v>0</v>
      </c>
      <c r="AB3069" s="74">
        <f>Devis[[#This Row],[Quantité Totale]]*Devis[[#This Row],[Prix de Revient]]</f>
        <v>0</v>
      </c>
    </row>
    <row r="3070" spans="1:28" ht="15" customHeight="1" outlineLevel="1" x14ac:dyDescent="0.2">
      <c r="A3070" s="75" t="s">
        <v>2794</v>
      </c>
      <c r="B3070" s="76" t="s">
        <v>3586</v>
      </c>
      <c r="C3070" s="67"/>
      <c r="D3070" s="67" t="str">
        <f>Général!$A885&amp;Général!$B885&amp;Général!$C885</f>
        <v>FixationColliers pour flexiblesSerflex</v>
      </c>
      <c r="E3070" s="76" t="s">
        <v>5841</v>
      </c>
      <c r="F3070" s="67">
        <v>25</v>
      </c>
      <c r="G3070" s="71" t="s">
        <v>5601</v>
      </c>
      <c r="H3070" s="71" t="s">
        <v>34</v>
      </c>
      <c r="I3070" s="71" t="s">
        <v>3282</v>
      </c>
      <c r="J3070" s="70">
        <f>IFERROR(VLOOKUP(Devis[[#This Row],[Ref Air Flux]],#REF!,3,FALSE),0)</f>
        <v>0</v>
      </c>
      <c r="K3070" s="68"/>
      <c r="L3070" s="68"/>
      <c r="M3070" s="68"/>
      <c r="N3070" s="68"/>
      <c r="O3070" s="68"/>
      <c r="P3070" s="68"/>
      <c r="Q3070" s="68">
        <f>SUM(Devis[[#This Row],[Poste 1]:[Poste 6]])</f>
        <v>0</v>
      </c>
      <c r="R3070" s="71"/>
      <c r="S3070" s="68">
        <f>_xlfn.CEILING.MATH(Devis[[#This Row],[Quantité Totale]],Devis[[#This Row],[Conditionnement]])</f>
        <v>0</v>
      </c>
      <c r="T3070" s="72"/>
      <c r="U3070" s="106"/>
      <c r="V3070" s="74">
        <f>Devis[[#This Row],[Prix de Revient]]*Devis[[#This Row],[Poste 1]]</f>
        <v>0</v>
      </c>
      <c r="W3070" s="74">
        <f>Devis[[#This Row],[Prix de Revient]]*Devis[[#This Row],[Poste 2]]</f>
        <v>0</v>
      </c>
      <c r="X3070" s="74">
        <f>Devis[[#This Row],[Prix de Revient]]*Devis[[#This Row],[Poste 3]]</f>
        <v>0</v>
      </c>
      <c r="Y3070" s="74">
        <f>Devis[[#This Row],[Poste 4]]*Devis[[#This Row],[Prix de Revient]]</f>
        <v>0</v>
      </c>
      <c r="Z3070" s="74">
        <f>Devis[[#This Row],[Poste 5]]*Devis[[#This Row],[Prix de Revient]]</f>
        <v>0</v>
      </c>
      <c r="AA3070" s="74">
        <f>Devis[[#This Row],[Prix de Revient]]*Devis[[#This Row],[Poste 6]]</f>
        <v>0</v>
      </c>
      <c r="AB3070" s="74">
        <f>Devis[[#This Row],[Quantité Totale]]*Devis[[#This Row],[Prix de Revient]]</f>
        <v>0</v>
      </c>
    </row>
    <row r="3071" spans="1:28" ht="14.25" outlineLevel="1" x14ac:dyDescent="0.2">
      <c r="A3071" s="75" t="s">
        <v>2794</v>
      </c>
      <c r="B3071" s="76" t="s">
        <v>3586</v>
      </c>
      <c r="C3071" s="67"/>
      <c r="D3071" s="67" t="str">
        <f>Général!$A886&amp;Général!$B886&amp;Général!$C886</f>
        <v>FixationColliers pour flexiblesSerflex</v>
      </c>
      <c r="E3071" s="76" t="s">
        <v>5842</v>
      </c>
      <c r="F3071" s="67">
        <v>26</v>
      </c>
      <c r="G3071" s="86" t="s">
        <v>5602</v>
      </c>
      <c r="H3071" s="71" t="s">
        <v>5834</v>
      </c>
      <c r="I3071" s="86" t="s">
        <v>5602</v>
      </c>
      <c r="J3071" s="70">
        <f>IFERROR(VLOOKUP(Devis[[#This Row],[Ref Air Flux]],#REF!,3,FALSE),0)</f>
        <v>0</v>
      </c>
      <c r="K3071" s="68"/>
      <c r="L3071" s="68"/>
      <c r="M3071" s="68"/>
      <c r="N3071" s="68"/>
      <c r="O3071" s="68"/>
      <c r="P3071" s="68"/>
      <c r="Q3071" s="68">
        <f>SUM(Devis[[#This Row],[Poste 1]:[Poste 6]])</f>
        <v>0</v>
      </c>
      <c r="R3071" s="71"/>
      <c r="S3071" s="68">
        <f>_xlfn.CEILING.MATH(Devis[[#This Row],[Quantité Totale]],Devis[[#This Row],[Conditionnement]])</f>
        <v>0</v>
      </c>
      <c r="T3071" s="72"/>
      <c r="U3071" s="106"/>
      <c r="V3071" s="74">
        <f>Devis[[#This Row],[Prix de Revient]]*Devis[[#This Row],[Poste 1]]</f>
        <v>0</v>
      </c>
      <c r="W3071" s="74">
        <f>Devis[[#This Row],[Prix de Revient]]*Devis[[#This Row],[Poste 2]]</f>
        <v>0</v>
      </c>
      <c r="X3071" s="74">
        <f>Devis[[#This Row],[Prix de Revient]]*Devis[[#This Row],[Poste 3]]</f>
        <v>0</v>
      </c>
      <c r="Y3071" s="74">
        <f>Devis[[#This Row],[Poste 4]]*Devis[[#This Row],[Prix de Revient]]</f>
        <v>0</v>
      </c>
      <c r="Z3071" s="74">
        <f>Devis[[#This Row],[Poste 5]]*Devis[[#This Row],[Prix de Revient]]</f>
        <v>0</v>
      </c>
      <c r="AA3071" s="74">
        <f>Devis[[#This Row],[Prix de Revient]]*Devis[[#This Row],[Poste 6]]</f>
        <v>0</v>
      </c>
      <c r="AB3071" s="74">
        <f>Devis[[#This Row],[Quantité Totale]]*Devis[[#This Row],[Prix de Revient]]</f>
        <v>0</v>
      </c>
    </row>
    <row r="3072" spans="1:28" ht="14.25" outlineLevel="1" x14ac:dyDescent="0.2">
      <c r="A3072" s="75" t="s">
        <v>2794</v>
      </c>
      <c r="B3072" s="76" t="s">
        <v>3586</v>
      </c>
      <c r="C3072" s="67"/>
      <c r="D3072" s="67" t="str">
        <f>Général!$A887&amp;Général!$B887&amp;Général!$C887</f>
        <v>FixationColliers pour flexiblesSerflex</v>
      </c>
      <c r="E3072" s="76" t="s">
        <v>5843</v>
      </c>
      <c r="F3072" s="67">
        <v>27</v>
      </c>
      <c r="G3072" s="86" t="s">
        <v>5603</v>
      </c>
      <c r="H3072" s="71" t="s">
        <v>5834</v>
      </c>
      <c r="I3072" s="86" t="s">
        <v>5603</v>
      </c>
      <c r="J3072" s="70">
        <f>IFERROR(VLOOKUP(Devis[[#This Row],[Ref Air Flux]],#REF!,3,FALSE),0)</f>
        <v>0</v>
      </c>
      <c r="K3072" s="68"/>
      <c r="L3072" s="68"/>
      <c r="M3072" s="68"/>
      <c r="N3072" s="68"/>
      <c r="O3072" s="68"/>
      <c r="P3072" s="68"/>
      <c r="Q3072" s="68">
        <f>SUM(Devis[[#This Row],[Poste 1]:[Poste 6]])</f>
        <v>0</v>
      </c>
      <c r="R3072" s="71"/>
      <c r="S3072" s="68">
        <f>_xlfn.CEILING.MATH(Devis[[#This Row],[Quantité Totale]],Devis[[#This Row],[Conditionnement]])</f>
        <v>0</v>
      </c>
      <c r="T3072" s="72"/>
      <c r="U3072" s="106"/>
      <c r="V3072" s="74">
        <f>Devis[[#This Row],[Prix de Revient]]*Devis[[#This Row],[Poste 1]]</f>
        <v>0</v>
      </c>
      <c r="W3072" s="74">
        <f>Devis[[#This Row],[Prix de Revient]]*Devis[[#This Row],[Poste 2]]</f>
        <v>0</v>
      </c>
      <c r="X3072" s="74">
        <f>Devis[[#This Row],[Prix de Revient]]*Devis[[#This Row],[Poste 3]]</f>
        <v>0</v>
      </c>
      <c r="Y3072" s="74">
        <f>Devis[[#This Row],[Poste 4]]*Devis[[#This Row],[Prix de Revient]]</f>
        <v>0</v>
      </c>
      <c r="Z3072" s="74">
        <f>Devis[[#This Row],[Poste 5]]*Devis[[#This Row],[Prix de Revient]]</f>
        <v>0</v>
      </c>
      <c r="AA3072" s="74">
        <f>Devis[[#This Row],[Prix de Revient]]*Devis[[#This Row],[Poste 6]]</f>
        <v>0</v>
      </c>
      <c r="AB3072" s="74">
        <f>Devis[[#This Row],[Quantité Totale]]*Devis[[#This Row],[Prix de Revient]]</f>
        <v>0</v>
      </c>
    </row>
    <row r="3073" spans="1:28" ht="14.25" outlineLevel="1" x14ac:dyDescent="0.2">
      <c r="A3073" s="75" t="s">
        <v>2794</v>
      </c>
      <c r="B3073" s="76" t="s">
        <v>3586</v>
      </c>
      <c r="C3073" s="67"/>
      <c r="D3073" s="67" t="str">
        <f>Général!$A888&amp;Général!$B888&amp;Général!$C888</f>
        <v>FixationColliers pour flexiblesTourillon</v>
      </c>
      <c r="E3073" s="76" t="s">
        <v>5844</v>
      </c>
      <c r="F3073" s="67">
        <v>28</v>
      </c>
      <c r="G3073" s="71" t="s">
        <v>5604</v>
      </c>
      <c r="H3073" s="71" t="s">
        <v>5845</v>
      </c>
      <c r="I3073" s="71" t="s">
        <v>5604</v>
      </c>
      <c r="J3073" s="70">
        <f>IFERROR(VLOOKUP(Devis[[#This Row],[Ref Air Flux]],#REF!,3,FALSE),0)</f>
        <v>0</v>
      </c>
      <c r="K3073" s="68"/>
      <c r="L3073" s="68"/>
      <c r="M3073" s="68"/>
      <c r="N3073" s="68"/>
      <c r="O3073" s="68"/>
      <c r="P3073" s="68"/>
      <c r="Q3073" s="68">
        <f>SUM(Devis[[#This Row],[Poste 1]:[Poste 6]])</f>
        <v>0</v>
      </c>
      <c r="R3073" s="71"/>
      <c r="S3073" s="68">
        <f>_xlfn.CEILING.MATH(Devis[[#This Row],[Quantité Totale]],Devis[[#This Row],[Conditionnement]])</f>
        <v>0</v>
      </c>
      <c r="T3073" s="72"/>
      <c r="U3073" s="106"/>
      <c r="V3073" s="74">
        <f>Devis[[#This Row],[Prix de Revient]]*Devis[[#This Row],[Poste 1]]</f>
        <v>0</v>
      </c>
      <c r="W3073" s="74">
        <f>Devis[[#This Row],[Prix de Revient]]*Devis[[#This Row],[Poste 2]]</f>
        <v>0</v>
      </c>
      <c r="X3073" s="74">
        <f>Devis[[#This Row],[Prix de Revient]]*Devis[[#This Row],[Poste 3]]</f>
        <v>0</v>
      </c>
      <c r="Y3073" s="74">
        <f>Devis[[#This Row],[Poste 4]]*Devis[[#This Row],[Prix de Revient]]</f>
        <v>0</v>
      </c>
      <c r="Z3073" s="74">
        <f>Devis[[#This Row],[Poste 5]]*Devis[[#This Row],[Prix de Revient]]</f>
        <v>0</v>
      </c>
      <c r="AA3073" s="74">
        <f>Devis[[#This Row],[Prix de Revient]]*Devis[[#This Row],[Poste 6]]</f>
        <v>0</v>
      </c>
      <c r="AB3073" s="74">
        <f>Devis[[#This Row],[Quantité Totale]]*Devis[[#This Row],[Prix de Revient]]</f>
        <v>0</v>
      </c>
    </row>
    <row r="3074" spans="1:28" ht="14.25" outlineLevel="1" x14ac:dyDescent="0.2">
      <c r="A3074" s="75" t="s">
        <v>2794</v>
      </c>
      <c r="B3074" s="76" t="s">
        <v>3586</v>
      </c>
      <c r="C3074" s="67"/>
      <c r="D3074" s="67" t="str">
        <f>Général!$A889&amp;Général!$B889&amp;Général!$C889</f>
        <v>FixationColliers pour flexiblesTourillon</v>
      </c>
      <c r="E3074" s="76" t="s">
        <v>5846</v>
      </c>
      <c r="F3074" s="67">
        <v>29</v>
      </c>
      <c r="G3074" s="71" t="s">
        <v>5605</v>
      </c>
      <c r="H3074" s="71" t="s">
        <v>34</v>
      </c>
      <c r="I3074" s="71" t="s">
        <v>3283</v>
      </c>
      <c r="J3074" s="70">
        <f>IFERROR(VLOOKUP(Devis[[#This Row],[Ref Air Flux]],#REF!,3,FALSE),0)</f>
        <v>0</v>
      </c>
      <c r="K3074" s="68"/>
      <c r="L3074" s="68"/>
      <c r="M3074" s="68"/>
      <c r="N3074" s="68"/>
      <c r="O3074" s="68"/>
      <c r="P3074" s="68"/>
      <c r="Q3074" s="68">
        <f>SUM(Devis[[#This Row],[Poste 1]:[Poste 6]])</f>
        <v>0</v>
      </c>
      <c r="R3074" s="71"/>
      <c r="S3074" s="68">
        <f>_xlfn.CEILING.MATH(Devis[[#This Row],[Quantité Totale]],Devis[[#This Row],[Conditionnement]])</f>
        <v>0</v>
      </c>
      <c r="T3074" s="72"/>
      <c r="U3074" s="106"/>
      <c r="V3074" s="74">
        <f>Devis[[#This Row],[Prix de Revient]]*Devis[[#This Row],[Poste 1]]</f>
        <v>0</v>
      </c>
      <c r="W3074" s="74">
        <f>Devis[[#This Row],[Prix de Revient]]*Devis[[#This Row],[Poste 2]]</f>
        <v>0</v>
      </c>
      <c r="X3074" s="74">
        <f>Devis[[#This Row],[Prix de Revient]]*Devis[[#This Row],[Poste 3]]</f>
        <v>0</v>
      </c>
      <c r="Y3074" s="74">
        <f>Devis[[#This Row],[Poste 4]]*Devis[[#This Row],[Prix de Revient]]</f>
        <v>0</v>
      </c>
      <c r="Z3074" s="74">
        <f>Devis[[#This Row],[Poste 5]]*Devis[[#This Row],[Prix de Revient]]</f>
        <v>0</v>
      </c>
      <c r="AA3074" s="74">
        <f>Devis[[#This Row],[Prix de Revient]]*Devis[[#This Row],[Poste 6]]</f>
        <v>0</v>
      </c>
      <c r="AB3074" s="74">
        <f>Devis[[#This Row],[Quantité Totale]]*Devis[[#This Row],[Prix de Revient]]</f>
        <v>0</v>
      </c>
    </row>
    <row r="3075" spans="1:28" ht="14.25" customHeight="1" outlineLevel="1" x14ac:dyDescent="0.2">
      <c r="A3075" s="75" t="s">
        <v>2794</v>
      </c>
      <c r="B3075" s="76" t="s">
        <v>3586</v>
      </c>
      <c r="C3075" s="67"/>
      <c r="D3075" s="67" t="str">
        <f>Général!$A890&amp;Général!$B890&amp;Général!$C890</f>
        <v>FixationColliers pour flexiblesTourillon</v>
      </c>
      <c r="E3075" s="76" t="s">
        <v>5847</v>
      </c>
      <c r="F3075" s="67">
        <v>30</v>
      </c>
      <c r="G3075" s="71" t="s">
        <v>3259</v>
      </c>
      <c r="H3075" s="71" t="s">
        <v>34</v>
      </c>
      <c r="I3075" s="71">
        <v>1615005</v>
      </c>
      <c r="J3075" s="70">
        <f>IFERROR(VLOOKUP(Devis[[#This Row],[Ref Air Flux]],#REF!,3,FALSE),0)</f>
        <v>0</v>
      </c>
      <c r="K3075" s="68"/>
      <c r="L3075" s="68"/>
      <c r="M3075" s="68"/>
      <c r="N3075" s="68"/>
      <c r="O3075" s="68"/>
      <c r="P3075" s="68"/>
      <c r="Q3075" s="68">
        <f>SUM(Devis[[#This Row],[Poste 1]:[Poste 6]])</f>
        <v>0</v>
      </c>
      <c r="R3075" s="71"/>
      <c r="S3075" s="68">
        <f>_xlfn.CEILING.MATH(Devis[[#This Row],[Quantité Totale]],Devis[[#This Row],[Conditionnement]])</f>
        <v>0</v>
      </c>
      <c r="T3075" s="72"/>
      <c r="U3075" s="106"/>
      <c r="V3075" s="74">
        <f>Devis[[#This Row],[Prix de Revient]]*Devis[[#This Row],[Poste 1]]</f>
        <v>0</v>
      </c>
      <c r="W3075" s="74">
        <f>Devis[[#This Row],[Prix de Revient]]*Devis[[#This Row],[Poste 2]]</f>
        <v>0</v>
      </c>
      <c r="X3075" s="74">
        <f>Devis[[#This Row],[Prix de Revient]]*Devis[[#This Row],[Poste 3]]</f>
        <v>0</v>
      </c>
      <c r="Y3075" s="74">
        <f>Devis[[#This Row],[Poste 4]]*Devis[[#This Row],[Prix de Revient]]</f>
        <v>0</v>
      </c>
      <c r="Z3075" s="74">
        <f>Devis[[#This Row],[Poste 5]]*Devis[[#This Row],[Prix de Revient]]</f>
        <v>0</v>
      </c>
      <c r="AA3075" s="74">
        <f>Devis[[#This Row],[Prix de Revient]]*Devis[[#This Row],[Poste 6]]</f>
        <v>0</v>
      </c>
      <c r="AB3075" s="74">
        <f>Devis[[#This Row],[Quantité Totale]]*Devis[[#This Row],[Prix de Revient]]</f>
        <v>0</v>
      </c>
    </row>
    <row r="3076" spans="1:28" ht="14.25" customHeight="1" outlineLevel="1" x14ac:dyDescent="0.2">
      <c r="A3076" s="75" t="s">
        <v>2794</v>
      </c>
      <c r="B3076" s="76" t="s">
        <v>3586</v>
      </c>
      <c r="C3076" s="67"/>
      <c r="D3076" s="67" t="str">
        <f>Général!$A891&amp;Général!$B891&amp;Général!$C891</f>
        <v>FixationColliers pour flexiblesTourillon</v>
      </c>
      <c r="E3076" s="76" t="s">
        <v>5846</v>
      </c>
      <c r="F3076" s="67">
        <v>31</v>
      </c>
      <c r="G3076" s="71" t="s">
        <v>5636</v>
      </c>
      <c r="H3076" s="71" t="s">
        <v>34</v>
      </c>
      <c r="I3076" s="71">
        <v>1615007</v>
      </c>
      <c r="J3076" s="70">
        <f>IFERROR(VLOOKUP(Devis[[#This Row],[Ref Air Flux]],#REF!,3,FALSE),0)</f>
        <v>0</v>
      </c>
      <c r="K3076" s="68"/>
      <c r="L3076" s="68"/>
      <c r="M3076" s="68"/>
      <c r="N3076" s="68"/>
      <c r="O3076" s="68"/>
      <c r="P3076" s="68"/>
      <c r="Q3076" s="68">
        <f>SUM(Devis[[#This Row],[Poste 1]:[Poste 6]])</f>
        <v>0</v>
      </c>
      <c r="R3076" s="71"/>
      <c r="S3076" s="68">
        <f>_xlfn.CEILING.MATH(Devis[[#This Row],[Quantité Totale]],Devis[[#This Row],[Conditionnement]])</f>
        <v>0</v>
      </c>
      <c r="T3076" s="72"/>
      <c r="U3076" s="106"/>
      <c r="V3076" s="74">
        <f>Devis[[#This Row],[Prix de Revient]]*Devis[[#This Row],[Poste 1]]</f>
        <v>0</v>
      </c>
      <c r="W3076" s="74">
        <f>Devis[[#This Row],[Prix de Revient]]*Devis[[#This Row],[Poste 2]]</f>
        <v>0</v>
      </c>
      <c r="X3076" s="74">
        <f>Devis[[#This Row],[Prix de Revient]]*Devis[[#This Row],[Poste 3]]</f>
        <v>0</v>
      </c>
      <c r="Y3076" s="74">
        <f>Devis[[#This Row],[Poste 4]]*Devis[[#This Row],[Prix de Revient]]</f>
        <v>0</v>
      </c>
      <c r="Z3076" s="74">
        <f>Devis[[#This Row],[Poste 5]]*Devis[[#This Row],[Prix de Revient]]</f>
        <v>0</v>
      </c>
      <c r="AA3076" s="74">
        <f>Devis[[#This Row],[Prix de Revient]]*Devis[[#This Row],[Poste 6]]</f>
        <v>0</v>
      </c>
      <c r="AB3076" s="74">
        <f>Devis[[#This Row],[Quantité Totale]]*Devis[[#This Row],[Prix de Revient]]</f>
        <v>0</v>
      </c>
    </row>
    <row r="3077" spans="1:28" ht="14.25" customHeight="1" outlineLevel="1" x14ac:dyDescent="0.2">
      <c r="A3077" s="75" t="s">
        <v>2794</v>
      </c>
      <c r="B3077" s="76" t="s">
        <v>3586</v>
      </c>
      <c r="C3077" s="67"/>
      <c r="D3077" s="67" t="str">
        <f>Général!$A892&amp;Général!$B892&amp;Général!$C892</f>
        <v>FixationColliers pour flexiblesTourillon</v>
      </c>
      <c r="E3077" s="76" t="s">
        <v>5907</v>
      </c>
      <c r="F3077" s="67">
        <v>32</v>
      </c>
      <c r="G3077" s="71" t="s">
        <v>5637</v>
      </c>
      <c r="H3077" s="71" t="s">
        <v>34</v>
      </c>
      <c r="I3077" s="71">
        <v>1615008</v>
      </c>
      <c r="J3077" s="70">
        <f>IFERROR(VLOOKUP(Devis[[#This Row],[Ref Air Flux]],#REF!,3,FALSE),0)</f>
        <v>0</v>
      </c>
      <c r="K3077" s="68"/>
      <c r="L3077" s="68"/>
      <c r="M3077" s="68"/>
      <c r="N3077" s="68"/>
      <c r="O3077" s="68"/>
      <c r="P3077" s="68"/>
      <c r="Q3077" s="68">
        <f>SUM(Devis[[#This Row],[Poste 1]:[Poste 6]])</f>
        <v>0</v>
      </c>
      <c r="R3077" s="71"/>
      <c r="S3077" s="68">
        <f>_xlfn.CEILING.MATH(Devis[[#This Row],[Quantité Totale]],Devis[[#This Row],[Conditionnement]])</f>
        <v>0</v>
      </c>
      <c r="T3077" s="72"/>
      <c r="U3077" s="106"/>
      <c r="V3077" s="74">
        <f>Devis[[#This Row],[Prix de Revient]]*Devis[[#This Row],[Poste 1]]</f>
        <v>0</v>
      </c>
      <c r="W3077" s="74">
        <f>Devis[[#This Row],[Prix de Revient]]*Devis[[#This Row],[Poste 2]]</f>
        <v>0</v>
      </c>
      <c r="X3077" s="74">
        <f>Devis[[#This Row],[Prix de Revient]]*Devis[[#This Row],[Poste 3]]</f>
        <v>0</v>
      </c>
      <c r="Y3077" s="74">
        <f>Devis[[#This Row],[Poste 4]]*Devis[[#This Row],[Prix de Revient]]</f>
        <v>0</v>
      </c>
      <c r="Z3077" s="74">
        <f>Devis[[#This Row],[Poste 5]]*Devis[[#This Row],[Prix de Revient]]</f>
        <v>0</v>
      </c>
      <c r="AA3077" s="74">
        <f>Devis[[#This Row],[Prix de Revient]]*Devis[[#This Row],[Poste 6]]</f>
        <v>0</v>
      </c>
      <c r="AB3077" s="74">
        <f>Devis[[#This Row],[Quantité Totale]]*Devis[[#This Row],[Prix de Revient]]</f>
        <v>0</v>
      </c>
    </row>
    <row r="3078" spans="1:28" ht="14.25" customHeight="1" outlineLevel="1" x14ac:dyDescent="0.2">
      <c r="A3078" s="75" t="s">
        <v>2794</v>
      </c>
      <c r="B3078" s="76" t="s">
        <v>3586</v>
      </c>
      <c r="C3078" s="67"/>
      <c r="D3078" s="67" t="str">
        <f>Général!$A893&amp;Général!$B893&amp;Général!$C893</f>
        <v>FixationColliers pour flexiblesTourillon</v>
      </c>
      <c r="E3078" s="76" t="s">
        <v>5908</v>
      </c>
      <c r="F3078" s="67">
        <v>33</v>
      </c>
      <c r="G3078" s="71">
        <v>1615009</v>
      </c>
      <c r="H3078" s="71" t="s">
        <v>34</v>
      </c>
      <c r="I3078" s="71">
        <v>1615009</v>
      </c>
      <c r="J3078" s="70">
        <f>IFERROR(VLOOKUP(Devis[[#This Row],[Ref Air Flux]],#REF!,3,FALSE),0)</f>
        <v>0</v>
      </c>
      <c r="K3078" s="68"/>
      <c r="L3078" s="68"/>
      <c r="M3078" s="68"/>
      <c r="N3078" s="68"/>
      <c r="O3078" s="68"/>
      <c r="P3078" s="68"/>
      <c r="Q3078" s="68">
        <f>SUM(Devis[[#This Row],[Poste 1]:[Poste 6]])</f>
        <v>0</v>
      </c>
      <c r="R3078" s="71"/>
      <c r="S3078" s="68">
        <f>_xlfn.CEILING.MATH(Devis[[#This Row],[Quantité Totale]],Devis[[#This Row],[Conditionnement]])</f>
        <v>0</v>
      </c>
      <c r="T3078" s="72"/>
      <c r="U3078" s="106"/>
      <c r="V3078" s="74">
        <f>Devis[[#This Row],[Prix de Revient]]*Devis[[#This Row],[Poste 1]]</f>
        <v>0</v>
      </c>
      <c r="W3078" s="74">
        <f>Devis[[#This Row],[Prix de Revient]]*Devis[[#This Row],[Poste 2]]</f>
        <v>0</v>
      </c>
      <c r="X3078" s="74">
        <f>Devis[[#This Row],[Prix de Revient]]*Devis[[#This Row],[Poste 3]]</f>
        <v>0</v>
      </c>
      <c r="Y3078" s="74">
        <f>Devis[[#This Row],[Poste 4]]*Devis[[#This Row],[Prix de Revient]]</f>
        <v>0</v>
      </c>
      <c r="Z3078" s="74">
        <f>Devis[[#This Row],[Poste 5]]*Devis[[#This Row],[Prix de Revient]]</f>
        <v>0</v>
      </c>
      <c r="AA3078" s="74">
        <f>Devis[[#This Row],[Prix de Revient]]*Devis[[#This Row],[Poste 6]]</f>
        <v>0</v>
      </c>
      <c r="AB3078" s="74">
        <f>Devis[[#This Row],[Quantité Totale]]*Devis[[#This Row],[Prix de Revient]]</f>
        <v>0</v>
      </c>
    </row>
    <row r="3079" spans="1:28" ht="14.25" customHeight="1" outlineLevel="1" x14ac:dyDescent="0.2">
      <c r="A3079" s="75" t="s">
        <v>2794</v>
      </c>
      <c r="B3079" s="76" t="s">
        <v>3586</v>
      </c>
      <c r="C3079" s="67"/>
      <c r="D3079" s="67" t="str">
        <f>Général!$A894&amp;Général!$B894&amp;Général!$C894</f>
        <v>FixationConsoles</v>
      </c>
      <c r="E3079" s="76" t="s">
        <v>5909</v>
      </c>
      <c r="F3079" s="67">
        <v>34</v>
      </c>
      <c r="G3079" s="71" t="s">
        <v>5638</v>
      </c>
      <c r="H3079" s="71" t="s">
        <v>34</v>
      </c>
      <c r="I3079" s="71">
        <v>1615010</v>
      </c>
      <c r="J3079" s="70">
        <f>IFERROR(VLOOKUP(Devis[[#This Row],[Ref Air Flux]],#REF!,3,FALSE),0)</f>
        <v>0</v>
      </c>
      <c r="K3079" s="68"/>
      <c r="L3079" s="68"/>
      <c r="M3079" s="68"/>
      <c r="N3079" s="68"/>
      <c r="O3079" s="68"/>
      <c r="P3079" s="68"/>
      <c r="Q3079" s="68">
        <f>SUM(Devis[[#This Row],[Poste 1]:[Poste 6]])</f>
        <v>0</v>
      </c>
      <c r="R3079" s="71"/>
      <c r="S3079" s="68">
        <f>_xlfn.CEILING.MATH(Devis[[#This Row],[Quantité Totale]],Devis[[#This Row],[Conditionnement]])</f>
        <v>0</v>
      </c>
      <c r="T3079" s="72"/>
      <c r="U3079" s="106"/>
      <c r="V3079" s="74">
        <f>Devis[[#This Row],[Prix de Revient]]*Devis[[#This Row],[Poste 1]]</f>
        <v>0</v>
      </c>
      <c r="W3079" s="74">
        <f>Devis[[#This Row],[Prix de Revient]]*Devis[[#This Row],[Poste 2]]</f>
        <v>0</v>
      </c>
      <c r="X3079" s="74">
        <f>Devis[[#This Row],[Prix de Revient]]*Devis[[#This Row],[Poste 3]]</f>
        <v>0</v>
      </c>
      <c r="Y3079" s="74">
        <f>Devis[[#This Row],[Poste 4]]*Devis[[#This Row],[Prix de Revient]]</f>
        <v>0</v>
      </c>
      <c r="Z3079" s="74">
        <f>Devis[[#This Row],[Poste 5]]*Devis[[#This Row],[Prix de Revient]]</f>
        <v>0</v>
      </c>
      <c r="AA3079" s="74">
        <f>Devis[[#This Row],[Prix de Revient]]*Devis[[#This Row],[Poste 6]]</f>
        <v>0</v>
      </c>
      <c r="AB3079" s="74">
        <f>Devis[[#This Row],[Quantité Totale]]*Devis[[#This Row],[Prix de Revient]]</f>
        <v>0</v>
      </c>
    </row>
    <row r="3080" spans="1:28" ht="14.25" customHeight="1" outlineLevel="1" x14ac:dyDescent="0.2">
      <c r="A3080" s="75" t="s">
        <v>2794</v>
      </c>
      <c r="B3080" s="76" t="s">
        <v>3586</v>
      </c>
      <c r="C3080" s="67"/>
      <c r="D3080" s="67" t="str">
        <f>Général!$A895&amp;Général!$B895&amp;Général!$C895</f>
        <v>FixationConsoles</v>
      </c>
      <c r="E3080" s="76" t="s">
        <v>5910</v>
      </c>
      <c r="F3080" s="67">
        <v>35</v>
      </c>
      <c r="G3080" s="71">
        <v>1617007</v>
      </c>
      <c r="H3080" s="71" t="s">
        <v>34</v>
      </c>
      <c r="I3080" s="71">
        <v>1617007</v>
      </c>
      <c r="J3080" s="70">
        <f>IFERROR(VLOOKUP(Devis[[#This Row],[Ref Air Flux]],#REF!,3,FALSE),0)</f>
        <v>0</v>
      </c>
      <c r="K3080" s="68"/>
      <c r="L3080" s="68"/>
      <c r="M3080" s="68"/>
      <c r="N3080" s="68"/>
      <c r="O3080" s="68"/>
      <c r="P3080" s="68"/>
      <c r="Q3080" s="68">
        <f>SUM(Devis[[#This Row],[Poste 1]:[Poste 6]])</f>
        <v>0</v>
      </c>
      <c r="R3080" s="71"/>
      <c r="S3080" s="68">
        <f>_xlfn.CEILING.MATH(Devis[[#This Row],[Quantité Totale]],Devis[[#This Row],[Conditionnement]])</f>
        <v>0</v>
      </c>
      <c r="T3080" s="72"/>
      <c r="U3080" s="106"/>
      <c r="V3080" s="74">
        <f>Devis[[#This Row],[Prix de Revient]]*Devis[[#This Row],[Poste 1]]</f>
        <v>0</v>
      </c>
      <c r="W3080" s="74">
        <f>Devis[[#This Row],[Prix de Revient]]*Devis[[#This Row],[Poste 2]]</f>
        <v>0</v>
      </c>
      <c r="X3080" s="74">
        <f>Devis[[#This Row],[Prix de Revient]]*Devis[[#This Row],[Poste 3]]</f>
        <v>0</v>
      </c>
      <c r="Y3080" s="74">
        <f>Devis[[#This Row],[Poste 4]]*Devis[[#This Row],[Prix de Revient]]</f>
        <v>0</v>
      </c>
      <c r="Z3080" s="74">
        <f>Devis[[#This Row],[Poste 5]]*Devis[[#This Row],[Prix de Revient]]</f>
        <v>0</v>
      </c>
      <c r="AA3080" s="74">
        <f>Devis[[#This Row],[Prix de Revient]]*Devis[[#This Row],[Poste 6]]</f>
        <v>0</v>
      </c>
      <c r="AB3080" s="74">
        <f>Devis[[#This Row],[Quantité Totale]]*Devis[[#This Row],[Prix de Revient]]</f>
        <v>0</v>
      </c>
    </row>
    <row r="3081" spans="1:28" ht="14.25" outlineLevel="1" x14ac:dyDescent="0.2">
      <c r="A3081" s="75" t="s">
        <v>2794</v>
      </c>
      <c r="B3081" s="76" t="s">
        <v>3586</v>
      </c>
      <c r="C3081" s="67"/>
      <c r="D3081" s="67" t="str">
        <f>Général!$A896&amp;Général!$B896&amp;Général!$C896</f>
        <v>FixationConsoles</v>
      </c>
      <c r="E3081" s="76" t="s">
        <v>5911</v>
      </c>
      <c r="F3081" s="67">
        <v>36</v>
      </c>
      <c r="G3081" s="71" t="s">
        <v>5639</v>
      </c>
      <c r="H3081" s="71" t="s">
        <v>34</v>
      </c>
      <c r="I3081" s="71">
        <v>1645007</v>
      </c>
      <c r="J3081" s="70">
        <f>IFERROR(VLOOKUP(Devis[[#This Row],[Ref Air Flux]],#REF!,3,FALSE),0)</f>
        <v>0</v>
      </c>
      <c r="K3081" s="68"/>
      <c r="L3081" s="68"/>
      <c r="M3081" s="68"/>
      <c r="N3081" s="68"/>
      <c r="O3081" s="68"/>
      <c r="P3081" s="68"/>
      <c r="Q3081" s="68">
        <f>SUM(Devis[[#This Row],[Poste 1]:[Poste 6]])</f>
        <v>0</v>
      </c>
      <c r="R3081" s="71"/>
      <c r="S3081" s="68">
        <f>_xlfn.CEILING.MATH(Devis[[#This Row],[Quantité Totale]],Devis[[#This Row],[Conditionnement]])</f>
        <v>0</v>
      </c>
      <c r="T3081" s="72"/>
      <c r="U3081" s="106"/>
      <c r="V3081" s="74">
        <f>Devis[[#This Row],[Prix de Revient]]*Devis[[#This Row],[Poste 1]]</f>
        <v>0</v>
      </c>
      <c r="W3081" s="74">
        <f>Devis[[#This Row],[Prix de Revient]]*Devis[[#This Row],[Poste 2]]</f>
        <v>0</v>
      </c>
      <c r="X3081" s="74">
        <f>Devis[[#This Row],[Prix de Revient]]*Devis[[#This Row],[Poste 3]]</f>
        <v>0</v>
      </c>
      <c r="Y3081" s="74">
        <f>Devis[[#This Row],[Poste 4]]*Devis[[#This Row],[Prix de Revient]]</f>
        <v>0</v>
      </c>
      <c r="Z3081" s="74">
        <f>Devis[[#This Row],[Poste 5]]*Devis[[#This Row],[Prix de Revient]]</f>
        <v>0</v>
      </c>
      <c r="AA3081" s="74">
        <f>Devis[[#This Row],[Prix de Revient]]*Devis[[#This Row],[Poste 6]]</f>
        <v>0</v>
      </c>
      <c r="AB3081" s="74">
        <f>Devis[[#This Row],[Quantité Totale]]*Devis[[#This Row],[Prix de Revient]]</f>
        <v>0</v>
      </c>
    </row>
    <row r="3082" spans="1:28" ht="14.25" customHeight="1" outlineLevel="1" x14ac:dyDescent="0.2">
      <c r="A3082" s="75" t="s">
        <v>2794</v>
      </c>
      <c r="B3082" s="76" t="s">
        <v>3586</v>
      </c>
      <c r="C3082" s="67"/>
      <c r="D3082" s="67" t="str">
        <f>Général!$A897&amp;Général!$B897&amp;Général!$C897</f>
        <v>FixationConsoles</v>
      </c>
      <c r="E3082" s="76" t="s">
        <v>5912</v>
      </c>
      <c r="F3082" s="67">
        <v>37</v>
      </c>
      <c r="G3082" s="71" t="s">
        <v>5640</v>
      </c>
      <c r="H3082" s="71" t="s">
        <v>2798</v>
      </c>
      <c r="I3082" s="71">
        <v>27560</v>
      </c>
      <c r="J3082" s="70">
        <f>IFERROR(VLOOKUP(Devis[[#This Row],[Ref Air Flux]],#REF!,3,FALSE),0)</f>
        <v>0</v>
      </c>
      <c r="K3082" s="68"/>
      <c r="L3082" s="68"/>
      <c r="M3082" s="68"/>
      <c r="N3082" s="68"/>
      <c r="O3082" s="68"/>
      <c r="P3082" s="68"/>
      <c r="Q3082" s="68">
        <f>SUM(Devis[[#This Row],[Poste 1]:[Poste 6]])</f>
        <v>0</v>
      </c>
      <c r="R3082" s="71"/>
      <c r="S3082" s="68">
        <f>_xlfn.CEILING.MATH(Devis[[#This Row],[Quantité Totale]],Devis[[#This Row],[Conditionnement]])</f>
        <v>0</v>
      </c>
      <c r="T3082" s="72"/>
      <c r="U3082" s="106"/>
      <c r="V3082" s="74">
        <f>Devis[[#This Row],[Prix de Revient]]*Devis[[#This Row],[Poste 1]]</f>
        <v>0</v>
      </c>
      <c r="W3082" s="74">
        <f>Devis[[#This Row],[Prix de Revient]]*Devis[[#This Row],[Poste 2]]</f>
        <v>0</v>
      </c>
      <c r="X3082" s="74">
        <f>Devis[[#This Row],[Prix de Revient]]*Devis[[#This Row],[Poste 3]]</f>
        <v>0</v>
      </c>
      <c r="Y3082" s="74">
        <f>Devis[[#This Row],[Poste 4]]*Devis[[#This Row],[Prix de Revient]]</f>
        <v>0</v>
      </c>
      <c r="Z3082" s="74">
        <f>Devis[[#This Row],[Poste 5]]*Devis[[#This Row],[Prix de Revient]]</f>
        <v>0</v>
      </c>
      <c r="AA3082" s="74">
        <f>Devis[[#This Row],[Prix de Revient]]*Devis[[#This Row],[Poste 6]]</f>
        <v>0</v>
      </c>
      <c r="AB3082" s="74">
        <f>Devis[[#This Row],[Quantité Totale]]*Devis[[#This Row],[Prix de Revient]]</f>
        <v>0</v>
      </c>
    </row>
    <row r="3083" spans="1:28" ht="14.25" customHeight="1" outlineLevel="1" x14ac:dyDescent="0.2">
      <c r="A3083" s="75" t="s">
        <v>2794</v>
      </c>
      <c r="B3083" s="76" t="s">
        <v>3586</v>
      </c>
      <c r="C3083" s="67"/>
      <c r="D3083" s="67" t="str">
        <f>Général!$A898&amp;Général!$B898&amp;Général!$C898</f>
        <v>FixationConsoles</v>
      </c>
      <c r="E3083" s="76" t="s">
        <v>5913</v>
      </c>
      <c r="F3083" s="67">
        <v>38</v>
      </c>
      <c r="G3083" s="71" t="s">
        <v>5641</v>
      </c>
      <c r="H3083" s="71" t="s">
        <v>3880</v>
      </c>
      <c r="I3083" s="71" t="s">
        <v>5914</v>
      </c>
      <c r="J3083" s="70">
        <f>IFERROR(VLOOKUP(Devis[[#This Row],[Ref Air Flux]],#REF!,3,FALSE),0)</f>
        <v>0</v>
      </c>
      <c r="K3083" s="68"/>
      <c r="L3083" s="68"/>
      <c r="M3083" s="68"/>
      <c r="N3083" s="68"/>
      <c r="O3083" s="68"/>
      <c r="P3083" s="68"/>
      <c r="Q3083" s="68">
        <f>SUM(Devis[[#This Row],[Poste 1]:[Poste 6]])</f>
        <v>0</v>
      </c>
      <c r="R3083" s="71"/>
      <c r="S3083" s="68">
        <f>_xlfn.CEILING.MATH(Devis[[#This Row],[Quantité Totale]],Devis[[#This Row],[Conditionnement]])</f>
        <v>0</v>
      </c>
      <c r="T3083" s="72"/>
      <c r="U3083" s="106"/>
      <c r="V3083" s="74">
        <f>Devis[[#This Row],[Prix de Revient]]*Devis[[#This Row],[Poste 1]]</f>
        <v>0</v>
      </c>
      <c r="W3083" s="74">
        <f>Devis[[#This Row],[Prix de Revient]]*Devis[[#This Row],[Poste 2]]</f>
        <v>0</v>
      </c>
      <c r="X3083" s="74">
        <f>Devis[[#This Row],[Prix de Revient]]*Devis[[#This Row],[Poste 3]]</f>
        <v>0</v>
      </c>
      <c r="Y3083" s="74">
        <f>Devis[[#This Row],[Poste 4]]*Devis[[#This Row],[Prix de Revient]]</f>
        <v>0</v>
      </c>
      <c r="Z3083" s="74">
        <f>Devis[[#This Row],[Poste 5]]*Devis[[#This Row],[Prix de Revient]]</f>
        <v>0</v>
      </c>
      <c r="AA3083" s="74">
        <f>Devis[[#This Row],[Prix de Revient]]*Devis[[#This Row],[Poste 6]]</f>
        <v>0</v>
      </c>
      <c r="AB3083" s="74">
        <f>Devis[[#This Row],[Quantité Totale]]*Devis[[#This Row],[Prix de Revient]]</f>
        <v>0</v>
      </c>
    </row>
    <row r="3084" spans="1:28" ht="14.25" customHeight="1" outlineLevel="1" x14ac:dyDescent="0.2">
      <c r="A3084" s="75" t="s">
        <v>2794</v>
      </c>
      <c r="B3084" s="76" t="s">
        <v>3586</v>
      </c>
      <c r="C3084" s="67"/>
      <c r="D3084" s="67" t="str">
        <f>Général!$A899&amp;Général!$B899&amp;Général!$C899</f>
        <v>FixationConsoles</v>
      </c>
      <c r="E3084" s="76" t="s">
        <v>5915</v>
      </c>
      <c r="F3084" s="67">
        <v>39</v>
      </c>
      <c r="G3084" s="71" t="s">
        <v>5642</v>
      </c>
      <c r="H3084" s="71" t="s">
        <v>3880</v>
      </c>
      <c r="I3084" s="71" t="s">
        <v>5916</v>
      </c>
      <c r="J3084" s="70">
        <f>IFERROR(VLOOKUP(Devis[[#This Row],[Ref Air Flux]],#REF!,3,FALSE),0)</f>
        <v>0</v>
      </c>
      <c r="K3084" s="68"/>
      <c r="L3084" s="68"/>
      <c r="M3084" s="68"/>
      <c r="N3084" s="68"/>
      <c r="O3084" s="68"/>
      <c r="P3084" s="68"/>
      <c r="Q3084" s="68">
        <f>SUM(Devis[[#This Row],[Poste 1]:[Poste 6]])</f>
        <v>0</v>
      </c>
      <c r="R3084" s="71"/>
      <c r="S3084" s="68">
        <f>_xlfn.CEILING.MATH(Devis[[#This Row],[Quantité Totale]],Devis[[#This Row],[Conditionnement]])</f>
        <v>0</v>
      </c>
      <c r="T3084" s="72"/>
      <c r="U3084" s="106"/>
      <c r="V3084" s="74">
        <f>Devis[[#This Row],[Prix de Revient]]*Devis[[#This Row],[Poste 1]]</f>
        <v>0</v>
      </c>
      <c r="W3084" s="74">
        <f>Devis[[#This Row],[Prix de Revient]]*Devis[[#This Row],[Poste 2]]</f>
        <v>0</v>
      </c>
      <c r="X3084" s="74">
        <f>Devis[[#This Row],[Prix de Revient]]*Devis[[#This Row],[Poste 3]]</f>
        <v>0</v>
      </c>
      <c r="Y3084" s="74">
        <f>Devis[[#This Row],[Poste 4]]*Devis[[#This Row],[Prix de Revient]]</f>
        <v>0</v>
      </c>
      <c r="Z3084" s="74">
        <f>Devis[[#This Row],[Poste 5]]*Devis[[#This Row],[Prix de Revient]]</f>
        <v>0</v>
      </c>
      <c r="AA3084" s="74">
        <f>Devis[[#This Row],[Prix de Revient]]*Devis[[#This Row],[Poste 6]]</f>
        <v>0</v>
      </c>
      <c r="AB3084" s="74">
        <f>Devis[[#This Row],[Quantité Totale]]*Devis[[#This Row],[Prix de Revient]]</f>
        <v>0</v>
      </c>
    </row>
    <row r="3085" spans="1:28" ht="14.25" outlineLevel="1" x14ac:dyDescent="0.2">
      <c r="A3085" s="75" t="s">
        <v>2794</v>
      </c>
      <c r="B3085" s="76" t="s">
        <v>3586</v>
      </c>
      <c r="C3085" s="67"/>
      <c r="D3085" s="67" t="str">
        <f>Général!$A900&amp;Général!$B900&amp;Général!$C900</f>
        <v>FixationCRAPAUD  ou Crampon</v>
      </c>
      <c r="E3085" s="76" t="s">
        <v>5917</v>
      </c>
      <c r="F3085" s="67">
        <v>40</v>
      </c>
      <c r="G3085" s="71" t="s">
        <v>5643</v>
      </c>
      <c r="H3085" s="71"/>
      <c r="I3085" s="71" t="s">
        <v>5918</v>
      </c>
      <c r="J3085" s="70">
        <f>IFERROR(VLOOKUP(Devis[[#This Row],[Ref Air Flux]],#REF!,3,FALSE),0)</f>
        <v>0</v>
      </c>
      <c r="K3085" s="68"/>
      <c r="L3085" s="68"/>
      <c r="M3085" s="68"/>
      <c r="N3085" s="68"/>
      <c r="O3085" s="68"/>
      <c r="P3085" s="68"/>
      <c r="Q3085" s="68">
        <f>SUM(Devis[[#This Row],[Poste 1]:[Poste 6]])</f>
        <v>0</v>
      </c>
      <c r="R3085" s="71"/>
      <c r="S3085" s="68">
        <f>_xlfn.CEILING.MATH(Devis[[#This Row],[Quantité Totale]],Devis[[#This Row],[Conditionnement]])</f>
        <v>0</v>
      </c>
      <c r="T3085" s="72"/>
      <c r="U3085" s="106"/>
      <c r="V3085" s="74">
        <f>Devis[[#This Row],[Prix de Revient]]*Devis[[#This Row],[Poste 1]]</f>
        <v>0</v>
      </c>
      <c r="W3085" s="74">
        <f>Devis[[#This Row],[Prix de Revient]]*Devis[[#This Row],[Poste 2]]</f>
        <v>0</v>
      </c>
      <c r="X3085" s="74">
        <f>Devis[[#This Row],[Prix de Revient]]*Devis[[#This Row],[Poste 3]]</f>
        <v>0</v>
      </c>
      <c r="Y3085" s="74">
        <f>Devis[[#This Row],[Poste 4]]*Devis[[#This Row],[Prix de Revient]]</f>
        <v>0</v>
      </c>
      <c r="Z3085" s="74">
        <f>Devis[[#This Row],[Poste 5]]*Devis[[#This Row],[Prix de Revient]]</f>
        <v>0</v>
      </c>
      <c r="AA3085" s="74">
        <f>Devis[[#This Row],[Prix de Revient]]*Devis[[#This Row],[Poste 6]]</f>
        <v>0</v>
      </c>
      <c r="AB3085" s="74">
        <f>Devis[[#This Row],[Quantité Totale]]*Devis[[#This Row],[Prix de Revient]]</f>
        <v>0</v>
      </c>
    </row>
    <row r="3086" spans="1:28" ht="14.25" outlineLevel="1" x14ac:dyDescent="0.2">
      <c r="A3086" s="75" t="s">
        <v>2794</v>
      </c>
      <c r="B3086" s="76" t="s">
        <v>3586</v>
      </c>
      <c r="C3086" s="67"/>
      <c r="D3086" s="67" t="str">
        <f>Général!$A901&amp;Général!$B901&amp;Général!$C901</f>
        <v>FixationCRAPAUD  ou Crampon</v>
      </c>
      <c r="E3086" s="76" t="s">
        <v>5919</v>
      </c>
      <c r="F3086" s="67">
        <v>41</v>
      </c>
      <c r="G3086" s="71" t="s">
        <v>5644</v>
      </c>
      <c r="H3086" s="71" t="s">
        <v>5920</v>
      </c>
      <c r="I3086" s="71"/>
      <c r="J3086" s="70">
        <f>IFERROR(VLOOKUP(Devis[[#This Row],[Ref Air Flux]],#REF!,3,FALSE),0)</f>
        <v>0</v>
      </c>
      <c r="K3086" s="68"/>
      <c r="L3086" s="68"/>
      <c r="M3086" s="68"/>
      <c r="N3086" s="68"/>
      <c r="O3086" s="68"/>
      <c r="P3086" s="68"/>
      <c r="Q3086" s="68">
        <f>SUM(Devis[[#This Row],[Poste 1]:[Poste 6]])</f>
        <v>0</v>
      </c>
      <c r="R3086" s="71"/>
      <c r="S3086" s="68">
        <f>_xlfn.CEILING.MATH(Devis[[#This Row],[Quantité Totale]],Devis[[#This Row],[Conditionnement]])</f>
        <v>0</v>
      </c>
      <c r="T3086" s="72"/>
      <c r="U3086" s="106"/>
      <c r="V3086" s="74">
        <f>Devis[[#This Row],[Prix de Revient]]*Devis[[#This Row],[Poste 1]]</f>
        <v>0</v>
      </c>
      <c r="W3086" s="74">
        <f>Devis[[#This Row],[Prix de Revient]]*Devis[[#This Row],[Poste 2]]</f>
        <v>0</v>
      </c>
      <c r="X3086" s="74">
        <f>Devis[[#This Row],[Prix de Revient]]*Devis[[#This Row],[Poste 3]]</f>
        <v>0</v>
      </c>
      <c r="Y3086" s="74">
        <f>Devis[[#This Row],[Poste 4]]*Devis[[#This Row],[Prix de Revient]]</f>
        <v>0</v>
      </c>
      <c r="Z3086" s="74">
        <f>Devis[[#This Row],[Poste 5]]*Devis[[#This Row],[Prix de Revient]]</f>
        <v>0</v>
      </c>
      <c r="AA3086" s="74">
        <f>Devis[[#This Row],[Prix de Revient]]*Devis[[#This Row],[Poste 6]]</f>
        <v>0</v>
      </c>
      <c r="AB3086" s="74">
        <f>Devis[[#This Row],[Quantité Totale]]*Devis[[#This Row],[Prix de Revient]]</f>
        <v>0</v>
      </c>
    </row>
    <row r="3087" spans="1:28" ht="14.25" customHeight="1" outlineLevel="1" x14ac:dyDescent="0.2">
      <c r="A3087" s="75" t="s">
        <v>2794</v>
      </c>
      <c r="B3087" s="76" t="s">
        <v>3586</v>
      </c>
      <c r="C3087" s="76"/>
      <c r="D3087" s="81" t="str">
        <f t="shared" ref="D3087:D3118" si="54">A3087&amp;B3087&amp;C3087</f>
        <v xml:space="preserve">Recup CalorieManomètre </v>
      </c>
      <c r="E3087" s="76" t="s">
        <v>3587</v>
      </c>
      <c r="F3087" s="67">
        <v>42</v>
      </c>
      <c r="G3087" s="86" t="s">
        <v>3588</v>
      </c>
      <c r="H3087" s="71" t="s">
        <v>3585</v>
      </c>
      <c r="I3087" s="102">
        <v>3510307</v>
      </c>
      <c r="J3087" s="70">
        <f>IFERROR(VLOOKUP(Devis[[#This Row],[Ref Air Flux]],#REF!,3,FALSE),0)</f>
        <v>0</v>
      </c>
      <c r="K3087" s="68"/>
      <c r="L3087" s="68"/>
      <c r="M3087" s="68"/>
      <c r="N3087" s="68"/>
      <c r="O3087" s="68"/>
      <c r="P3087" s="68"/>
      <c r="Q3087" s="68">
        <f>SUM(Devis[[#This Row],[Poste 1]:[Poste 6]])</f>
        <v>0</v>
      </c>
      <c r="R3087" s="71"/>
      <c r="S3087" s="68">
        <f>_xlfn.CEILING.MATH(Devis[[#This Row],[Quantité Totale]],Devis[[#This Row],[Conditionnement]])</f>
        <v>0</v>
      </c>
      <c r="T3087" s="72"/>
      <c r="U3087" s="106"/>
      <c r="V3087" s="74">
        <f>Devis[[#This Row],[Prix de Revient]]*Devis[[#This Row],[Poste 1]]</f>
        <v>0</v>
      </c>
      <c r="W3087" s="74">
        <f>Devis[[#This Row],[Prix de Revient]]*Devis[[#This Row],[Poste 2]]</f>
        <v>0</v>
      </c>
      <c r="X3087" s="74">
        <f>Devis[[#This Row],[Prix de Revient]]*Devis[[#This Row],[Poste 3]]</f>
        <v>0</v>
      </c>
      <c r="Y3087" s="74">
        <f>Devis[[#This Row],[Poste 4]]*Devis[[#This Row],[Prix de Revient]]</f>
        <v>0</v>
      </c>
      <c r="Z3087" s="74">
        <f>Devis[[#This Row],[Poste 5]]*Devis[[#This Row],[Prix de Revient]]</f>
        <v>0</v>
      </c>
      <c r="AA3087" s="74">
        <f>Devis[[#This Row],[Prix de Revient]]*Devis[[#This Row],[Poste 6]]</f>
        <v>0</v>
      </c>
      <c r="AB3087" s="74">
        <f>Devis[[#This Row],[Quantité Totale]]*Devis[[#This Row],[Prix de Revient]]</f>
        <v>0</v>
      </c>
    </row>
    <row r="3088" spans="1:28" ht="15" customHeight="1" outlineLevel="1" x14ac:dyDescent="0.2">
      <c r="A3088" s="75" t="s">
        <v>2794</v>
      </c>
      <c r="B3088" s="76" t="s">
        <v>3586</v>
      </c>
      <c r="C3088" s="76"/>
      <c r="D3088" s="81" t="str">
        <f t="shared" si="54"/>
        <v xml:space="preserve">Recup CalorieManomètre </v>
      </c>
      <c r="E3088" s="76" t="s">
        <v>2800</v>
      </c>
      <c r="F3088" s="67">
        <v>43</v>
      </c>
      <c r="G3088" s="86" t="s">
        <v>2801</v>
      </c>
      <c r="H3088" s="71" t="s">
        <v>2798</v>
      </c>
      <c r="I3088" s="102"/>
      <c r="J3088" s="70">
        <f>IFERROR(VLOOKUP(Devis[[#This Row],[Ref Air Flux]],#REF!,3,FALSE),0)</f>
        <v>0</v>
      </c>
      <c r="K3088" s="68"/>
      <c r="L3088" s="68"/>
      <c r="M3088" s="68"/>
      <c r="N3088" s="68"/>
      <c r="O3088" s="68"/>
      <c r="P3088" s="68"/>
      <c r="Q3088" s="68">
        <f>SUM(Devis[[#This Row],[Poste 1]:[Poste 6]])</f>
        <v>0</v>
      </c>
      <c r="R3088" s="71"/>
      <c r="S3088" s="68">
        <f>_xlfn.CEILING.MATH(Devis[[#This Row],[Quantité Totale]],Devis[[#This Row],[Conditionnement]])</f>
        <v>0</v>
      </c>
      <c r="T3088" s="72"/>
      <c r="U3088" s="106"/>
      <c r="V3088" s="74">
        <f>Devis[[#This Row],[Prix de Revient]]*Devis[[#This Row],[Poste 1]]</f>
        <v>0</v>
      </c>
      <c r="W3088" s="74">
        <f>Devis[[#This Row],[Prix de Revient]]*Devis[[#This Row],[Poste 2]]</f>
        <v>0</v>
      </c>
      <c r="X3088" s="74">
        <f>Devis[[#This Row],[Prix de Revient]]*Devis[[#This Row],[Poste 3]]</f>
        <v>0</v>
      </c>
      <c r="Y3088" s="74">
        <f>Devis[[#This Row],[Poste 4]]*Devis[[#This Row],[Prix de Revient]]</f>
        <v>0</v>
      </c>
      <c r="Z3088" s="74">
        <f>Devis[[#This Row],[Poste 5]]*Devis[[#This Row],[Prix de Revient]]</f>
        <v>0</v>
      </c>
      <c r="AA3088" s="74">
        <f>Devis[[#This Row],[Prix de Revient]]*Devis[[#This Row],[Poste 6]]</f>
        <v>0</v>
      </c>
      <c r="AB3088" s="74">
        <f>Devis[[#This Row],[Quantité Totale]]*Devis[[#This Row],[Prix de Revient]]</f>
        <v>0</v>
      </c>
    </row>
    <row r="3089" spans="1:28" ht="14.25" customHeight="1" outlineLevel="1" x14ac:dyDescent="0.2">
      <c r="A3089" s="75" t="s">
        <v>2794</v>
      </c>
      <c r="B3089" s="76" t="s">
        <v>3586</v>
      </c>
      <c r="C3089" s="76"/>
      <c r="D3089" s="81" t="str">
        <f t="shared" si="54"/>
        <v xml:space="preserve">Recup CalorieManomètre </v>
      </c>
      <c r="E3089" s="76" t="s">
        <v>4135</v>
      </c>
      <c r="F3089" s="67">
        <v>44</v>
      </c>
      <c r="G3089" s="86" t="s">
        <v>4136</v>
      </c>
      <c r="H3089" s="71" t="s">
        <v>4137</v>
      </c>
      <c r="I3089" s="75" t="s">
        <v>4138</v>
      </c>
      <c r="J3089" s="70">
        <f>IFERROR(VLOOKUP(Devis[[#This Row],[Ref Air Flux]],#REF!,3,FALSE),0)</f>
        <v>0</v>
      </c>
      <c r="K3089" s="68"/>
      <c r="L3089" s="68"/>
      <c r="M3089" s="68"/>
      <c r="N3089" s="68"/>
      <c r="O3089" s="68"/>
      <c r="P3089" s="68"/>
      <c r="Q3089" s="68">
        <f>SUM(Devis[[#This Row],[Poste 1]:[Poste 6]])</f>
        <v>0</v>
      </c>
      <c r="R3089" s="71"/>
      <c r="S3089" s="68">
        <f>_xlfn.CEILING.MATH(Devis[[#This Row],[Quantité Totale]],Devis[[#This Row],[Conditionnement]])</f>
        <v>0</v>
      </c>
      <c r="T3089" s="72"/>
      <c r="U3089" s="106"/>
      <c r="V3089" s="74">
        <f>Devis[[#This Row],[Prix de Revient]]*Devis[[#This Row],[Poste 1]]</f>
        <v>0</v>
      </c>
      <c r="W3089" s="74">
        <f>Devis[[#This Row],[Prix de Revient]]*Devis[[#This Row],[Poste 2]]</f>
        <v>0</v>
      </c>
      <c r="X3089" s="74">
        <f>Devis[[#This Row],[Prix de Revient]]*Devis[[#This Row],[Poste 3]]</f>
        <v>0</v>
      </c>
      <c r="Y3089" s="74">
        <f>Devis[[#This Row],[Poste 4]]*Devis[[#This Row],[Prix de Revient]]</f>
        <v>0</v>
      </c>
      <c r="Z3089" s="74">
        <f>Devis[[#This Row],[Poste 5]]*Devis[[#This Row],[Prix de Revient]]</f>
        <v>0</v>
      </c>
      <c r="AA3089" s="74">
        <f>Devis[[#This Row],[Prix de Revient]]*Devis[[#This Row],[Poste 6]]</f>
        <v>0</v>
      </c>
      <c r="AB3089" s="74">
        <f>Devis[[#This Row],[Quantité Totale]]*Devis[[#This Row],[Prix de Revient]]</f>
        <v>0</v>
      </c>
    </row>
    <row r="3090" spans="1:28" ht="14.25" customHeight="1" x14ac:dyDescent="0.25">
      <c r="A3090" s="65" t="s">
        <v>2794</v>
      </c>
      <c r="B3090" s="65" t="s">
        <v>3250</v>
      </c>
      <c r="C3090" s="76"/>
      <c r="D3090" s="81" t="str">
        <f t="shared" si="54"/>
        <v>Recup CaloriePressostat Manque d'eau</v>
      </c>
      <c r="E3090" s="76"/>
      <c r="F3090" s="81">
        <v>0</v>
      </c>
      <c r="G3090" s="86"/>
      <c r="H3090" s="71"/>
      <c r="I3090" s="102"/>
      <c r="J3090" s="70">
        <f>IFERROR(VLOOKUP(Devis[[#This Row],[Ref Air Flux]],#REF!,3,FALSE),0)</f>
        <v>0</v>
      </c>
      <c r="K3090" s="68"/>
      <c r="L3090" s="68"/>
      <c r="M3090" s="68"/>
      <c r="N3090" s="68"/>
      <c r="O3090" s="68"/>
      <c r="P3090" s="68"/>
      <c r="Q3090" s="68">
        <f>SUM(Devis[[#This Row],[Poste 1]:[Poste 6]])</f>
        <v>0</v>
      </c>
      <c r="R3090" s="71"/>
      <c r="S3090" s="68">
        <f>_xlfn.CEILING.MATH(Devis[[#This Row],[Quantité Totale]],Devis[[#This Row],[Conditionnement]])</f>
        <v>0</v>
      </c>
      <c r="T3090" s="72"/>
      <c r="U3090" s="106"/>
      <c r="V3090" s="74">
        <f>Devis[[#This Row],[Prix de Revient]]*Devis[[#This Row],[Poste 1]]</f>
        <v>0</v>
      </c>
      <c r="W3090" s="74">
        <f>Devis[[#This Row],[Prix de Revient]]*Devis[[#This Row],[Poste 2]]</f>
        <v>0</v>
      </c>
      <c r="X3090" s="74">
        <f>Devis[[#This Row],[Prix de Revient]]*Devis[[#This Row],[Poste 3]]</f>
        <v>0</v>
      </c>
      <c r="Y3090" s="74">
        <f>Devis[[#This Row],[Poste 4]]*Devis[[#This Row],[Prix de Revient]]</f>
        <v>0</v>
      </c>
      <c r="Z3090" s="74">
        <f>Devis[[#This Row],[Poste 5]]*Devis[[#This Row],[Prix de Revient]]</f>
        <v>0</v>
      </c>
      <c r="AA3090" s="74">
        <f>Devis[[#This Row],[Prix de Revient]]*Devis[[#This Row],[Poste 6]]</f>
        <v>0</v>
      </c>
      <c r="AB3090" s="74">
        <f>Devis[[#This Row],[Quantité Totale]]*Devis[[#This Row],[Prix de Revient]]</f>
        <v>0</v>
      </c>
    </row>
    <row r="3091" spans="1:28" ht="14.25" customHeight="1" outlineLevel="1" x14ac:dyDescent="0.25">
      <c r="A3091" s="75" t="s">
        <v>2794</v>
      </c>
      <c r="B3091" s="76" t="s">
        <v>3250</v>
      </c>
      <c r="C3091" s="76"/>
      <c r="D3091" s="81" t="str">
        <f t="shared" si="54"/>
        <v>Recup CaloriePressostat Manque d'eau</v>
      </c>
      <c r="E3091" s="76" t="s">
        <v>3254</v>
      </c>
      <c r="F3091" s="81">
        <v>1</v>
      </c>
      <c r="G3091" s="115" t="s">
        <v>3255</v>
      </c>
      <c r="H3091" s="71" t="s">
        <v>3253</v>
      </c>
      <c r="I3091" s="116" t="s">
        <v>3256</v>
      </c>
      <c r="J3091" s="70">
        <f>IFERROR(VLOOKUP(Devis[[#This Row],[Ref Air Flux]],#REF!,3,FALSE),0)</f>
        <v>0</v>
      </c>
      <c r="K3091" s="68"/>
      <c r="L3091" s="68"/>
      <c r="M3091" s="68"/>
      <c r="N3091" s="68"/>
      <c r="O3091" s="68"/>
      <c r="P3091" s="68"/>
      <c r="Q3091" s="68">
        <f>SUM(Devis[[#This Row],[Poste 1]:[Poste 6]])</f>
        <v>0</v>
      </c>
      <c r="R3091" s="71"/>
      <c r="S3091" s="68">
        <f>_xlfn.CEILING.MATH(Devis[[#This Row],[Quantité Totale]],Devis[[#This Row],[Conditionnement]])</f>
        <v>0</v>
      </c>
      <c r="T3091" s="72"/>
      <c r="U3091" s="106"/>
      <c r="V3091" s="74">
        <f>Devis[[#This Row],[Prix de Revient]]*Devis[[#This Row],[Poste 1]]</f>
        <v>0</v>
      </c>
      <c r="W3091" s="74">
        <f>Devis[[#This Row],[Prix de Revient]]*Devis[[#This Row],[Poste 2]]</f>
        <v>0</v>
      </c>
      <c r="X3091" s="74">
        <f>Devis[[#This Row],[Prix de Revient]]*Devis[[#This Row],[Poste 3]]</f>
        <v>0</v>
      </c>
      <c r="Y3091" s="74">
        <f>Devis[[#This Row],[Poste 4]]*Devis[[#This Row],[Prix de Revient]]</f>
        <v>0</v>
      </c>
      <c r="Z3091" s="74">
        <f>Devis[[#This Row],[Poste 5]]*Devis[[#This Row],[Prix de Revient]]</f>
        <v>0</v>
      </c>
      <c r="AA3091" s="74">
        <f>Devis[[#This Row],[Prix de Revient]]*Devis[[#This Row],[Poste 6]]</f>
        <v>0</v>
      </c>
      <c r="AB3091" s="74">
        <f>Devis[[#This Row],[Quantité Totale]]*Devis[[#This Row],[Prix de Revient]]</f>
        <v>0</v>
      </c>
    </row>
    <row r="3092" spans="1:28" ht="14.25" outlineLevel="1" x14ac:dyDescent="0.2">
      <c r="A3092" s="75" t="s">
        <v>2794</v>
      </c>
      <c r="B3092" s="76" t="s">
        <v>3250</v>
      </c>
      <c r="C3092" s="76"/>
      <c r="D3092" s="81" t="str">
        <f t="shared" si="54"/>
        <v>Recup CaloriePressostat Manque d'eau</v>
      </c>
      <c r="E3092" s="76" t="s">
        <v>3257</v>
      </c>
      <c r="F3092" s="81">
        <v>2</v>
      </c>
      <c r="G3092" s="115" t="s">
        <v>3258</v>
      </c>
      <c r="H3092" s="71" t="s">
        <v>3253</v>
      </c>
      <c r="I3092" s="102"/>
      <c r="J3092" s="70">
        <f>IFERROR(VLOOKUP(Devis[[#This Row],[Ref Air Flux]],#REF!,3,FALSE),0)</f>
        <v>0</v>
      </c>
      <c r="K3092" s="68"/>
      <c r="L3092" s="68"/>
      <c r="M3092" s="68"/>
      <c r="N3092" s="68"/>
      <c r="O3092" s="68"/>
      <c r="P3092" s="68"/>
      <c r="Q3092" s="68">
        <f>SUM(Devis[[#This Row],[Poste 1]:[Poste 6]])</f>
        <v>0</v>
      </c>
      <c r="R3092" s="71"/>
      <c r="S3092" s="68">
        <f>_xlfn.CEILING.MATH(Devis[[#This Row],[Quantité Totale]],Devis[[#This Row],[Conditionnement]])</f>
        <v>0</v>
      </c>
      <c r="T3092" s="72"/>
      <c r="U3092" s="106"/>
      <c r="V3092" s="74">
        <f>Devis[[#This Row],[Prix de Revient]]*Devis[[#This Row],[Poste 1]]</f>
        <v>0</v>
      </c>
      <c r="W3092" s="74">
        <f>Devis[[#This Row],[Prix de Revient]]*Devis[[#This Row],[Poste 2]]</f>
        <v>0</v>
      </c>
      <c r="X3092" s="74">
        <f>Devis[[#This Row],[Prix de Revient]]*Devis[[#This Row],[Poste 3]]</f>
        <v>0</v>
      </c>
      <c r="Y3092" s="74">
        <f>Devis[[#This Row],[Poste 4]]*Devis[[#This Row],[Prix de Revient]]</f>
        <v>0</v>
      </c>
      <c r="Z3092" s="74">
        <f>Devis[[#This Row],[Poste 5]]*Devis[[#This Row],[Prix de Revient]]</f>
        <v>0</v>
      </c>
      <c r="AA3092" s="74">
        <f>Devis[[#This Row],[Prix de Revient]]*Devis[[#This Row],[Poste 6]]</f>
        <v>0</v>
      </c>
      <c r="AB3092" s="74">
        <f>Devis[[#This Row],[Quantité Totale]]*Devis[[#This Row],[Prix de Revient]]</f>
        <v>0</v>
      </c>
    </row>
    <row r="3093" spans="1:28" ht="14.25" customHeight="1" outlineLevel="1" x14ac:dyDescent="0.2">
      <c r="A3093" s="75" t="s">
        <v>2794</v>
      </c>
      <c r="B3093" s="76" t="s">
        <v>3250</v>
      </c>
      <c r="C3093" s="76"/>
      <c r="D3093" s="81" t="str">
        <f t="shared" si="54"/>
        <v>Recup CaloriePressostat Manque d'eau</v>
      </c>
      <c r="E3093" s="76" t="s">
        <v>3251</v>
      </c>
      <c r="F3093" s="81">
        <v>3</v>
      </c>
      <c r="G3093" s="115" t="s">
        <v>3252</v>
      </c>
      <c r="H3093" s="71" t="s">
        <v>3253</v>
      </c>
      <c r="I3093" s="102"/>
      <c r="J3093" s="70">
        <f>IFERROR(VLOOKUP(Devis[[#This Row],[Ref Air Flux]],#REF!,3,FALSE),0)</f>
        <v>0</v>
      </c>
      <c r="K3093" s="68"/>
      <c r="L3093" s="68"/>
      <c r="M3093" s="68"/>
      <c r="N3093" s="68"/>
      <c r="O3093" s="68"/>
      <c r="P3093" s="68"/>
      <c r="Q3093" s="68">
        <f>SUM(Devis[[#This Row],[Poste 1]:[Poste 6]])</f>
        <v>0</v>
      </c>
      <c r="R3093" s="71"/>
      <c r="S3093" s="68">
        <f>_xlfn.CEILING.MATH(Devis[[#This Row],[Quantité Totale]],Devis[[#This Row],[Conditionnement]])</f>
        <v>0</v>
      </c>
      <c r="T3093" s="72"/>
      <c r="U3093" s="106"/>
      <c r="V3093" s="74">
        <f>Devis[[#This Row],[Prix de Revient]]*Devis[[#This Row],[Poste 1]]</f>
        <v>0</v>
      </c>
      <c r="W3093" s="74">
        <f>Devis[[#This Row],[Prix de Revient]]*Devis[[#This Row],[Poste 2]]</f>
        <v>0</v>
      </c>
      <c r="X3093" s="74">
        <f>Devis[[#This Row],[Prix de Revient]]*Devis[[#This Row],[Poste 3]]</f>
        <v>0</v>
      </c>
      <c r="Y3093" s="74">
        <f>Devis[[#This Row],[Poste 4]]*Devis[[#This Row],[Prix de Revient]]</f>
        <v>0</v>
      </c>
      <c r="Z3093" s="74">
        <f>Devis[[#This Row],[Poste 5]]*Devis[[#This Row],[Prix de Revient]]</f>
        <v>0</v>
      </c>
      <c r="AA3093" s="74">
        <f>Devis[[#This Row],[Prix de Revient]]*Devis[[#This Row],[Poste 6]]</f>
        <v>0</v>
      </c>
      <c r="AB3093" s="74">
        <f>Devis[[#This Row],[Quantité Totale]]*Devis[[#This Row],[Prix de Revient]]</f>
        <v>0</v>
      </c>
    </row>
    <row r="3094" spans="1:28" ht="15" customHeight="1" x14ac:dyDescent="0.25">
      <c r="A3094" s="65" t="s">
        <v>2794</v>
      </c>
      <c r="B3094" s="65" t="s">
        <v>3573</v>
      </c>
      <c r="C3094" s="76"/>
      <c r="D3094" s="81" t="str">
        <f t="shared" si="54"/>
        <v xml:space="preserve">Recup CaloriePurgeur automatique </v>
      </c>
      <c r="E3094" s="76"/>
      <c r="F3094" s="81">
        <v>0</v>
      </c>
      <c r="G3094" s="86"/>
      <c r="H3094" s="71"/>
      <c r="I3094" s="102"/>
      <c r="J3094" s="70">
        <f>IFERROR(VLOOKUP(Devis[[#This Row],[Ref Air Flux]],#REF!,3,FALSE),0)</f>
        <v>0</v>
      </c>
      <c r="K3094" s="68"/>
      <c r="L3094" s="68"/>
      <c r="M3094" s="68"/>
      <c r="N3094" s="68"/>
      <c r="O3094" s="68"/>
      <c r="P3094" s="68"/>
      <c r="Q3094" s="68">
        <f>SUM(Devis[[#This Row],[Poste 1]:[Poste 6]])</f>
        <v>0</v>
      </c>
      <c r="R3094" s="71"/>
      <c r="S3094" s="68">
        <f>_xlfn.CEILING.MATH(Devis[[#This Row],[Quantité Totale]],Devis[[#This Row],[Conditionnement]])</f>
        <v>0</v>
      </c>
      <c r="T3094" s="72"/>
      <c r="U3094" s="106"/>
      <c r="V3094" s="74">
        <f>Devis[[#This Row],[Prix de Revient]]*Devis[[#This Row],[Poste 1]]</f>
        <v>0</v>
      </c>
      <c r="W3094" s="74">
        <f>Devis[[#This Row],[Prix de Revient]]*Devis[[#This Row],[Poste 2]]</f>
        <v>0</v>
      </c>
      <c r="X3094" s="74">
        <f>Devis[[#This Row],[Prix de Revient]]*Devis[[#This Row],[Poste 3]]</f>
        <v>0</v>
      </c>
      <c r="Y3094" s="74">
        <f>Devis[[#This Row],[Poste 4]]*Devis[[#This Row],[Prix de Revient]]</f>
        <v>0</v>
      </c>
      <c r="Z3094" s="74">
        <f>Devis[[#This Row],[Poste 5]]*Devis[[#This Row],[Prix de Revient]]</f>
        <v>0</v>
      </c>
      <c r="AA3094" s="74">
        <f>Devis[[#This Row],[Prix de Revient]]*Devis[[#This Row],[Poste 6]]</f>
        <v>0</v>
      </c>
      <c r="AB3094" s="74">
        <f>Devis[[#This Row],[Quantité Totale]]*Devis[[#This Row],[Prix de Revient]]</f>
        <v>0</v>
      </c>
    </row>
    <row r="3095" spans="1:28" ht="15" customHeight="1" outlineLevel="1" x14ac:dyDescent="0.2">
      <c r="A3095" s="75" t="s">
        <v>2794</v>
      </c>
      <c r="B3095" s="76" t="s">
        <v>3573</v>
      </c>
      <c r="C3095" s="76" t="s">
        <v>1943</v>
      </c>
      <c r="D3095" s="81" t="str">
        <f t="shared" si="54"/>
        <v>Recup CaloriePurgeur automatique 1/2"</v>
      </c>
      <c r="E3095" s="76" t="s">
        <v>3628</v>
      </c>
      <c r="F3095" s="81">
        <v>1</v>
      </c>
      <c r="G3095" s="86" t="s">
        <v>3506</v>
      </c>
      <c r="H3095" s="71" t="s">
        <v>3381</v>
      </c>
      <c r="I3095" s="102" t="s">
        <v>3506</v>
      </c>
      <c r="J3095" s="70">
        <f>IFERROR(VLOOKUP(Devis[[#This Row],[Ref Air Flux]],#REF!,3,FALSE),0)</f>
        <v>0</v>
      </c>
      <c r="K3095" s="68"/>
      <c r="L3095" s="68"/>
      <c r="M3095" s="68"/>
      <c r="N3095" s="68"/>
      <c r="O3095" s="68"/>
      <c r="P3095" s="68"/>
      <c r="Q3095" s="68">
        <f>SUM(Devis[[#This Row],[Poste 1]:[Poste 6]])</f>
        <v>0</v>
      </c>
      <c r="R3095" s="71"/>
      <c r="S3095" s="68">
        <f>_xlfn.CEILING.MATH(Devis[[#This Row],[Quantité Totale]],Devis[[#This Row],[Conditionnement]])</f>
        <v>0</v>
      </c>
      <c r="T3095" s="72"/>
      <c r="U3095" s="106"/>
      <c r="V3095" s="74">
        <f>Devis[[#This Row],[Prix de Revient]]*Devis[[#This Row],[Poste 1]]</f>
        <v>0</v>
      </c>
      <c r="W3095" s="74">
        <f>Devis[[#This Row],[Prix de Revient]]*Devis[[#This Row],[Poste 2]]</f>
        <v>0</v>
      </c>
      <c r="X3095" s="74">
        <f>Devis[[#This Row],[Prix de Revient]]*Devis[[#This Row],[Poste 3]]</f>
        <v>0</v>
      </c>
      <c r="Y3095" s="74">
        <f>Devis[[#This Row],[Poste 4]]*Devis[[#This Row],[Prix de Revient]]</f>
        <v>0</v>
      </c>
      <c r="Z3095" s="74">
        <f>Devis[[#This Row],[Poste 5]]*Devis[[#This Row],[Prix de Revient]]</f>
        <v>0</v>
      </c>
      <c r="AA3095" s="74">
        <f>Devis[[#This Row],[Prix de Revient]]*Devis[[#This Row],[Poste 6]]</f>
        <v>0</v>
      </c>
      <c r="AB3095" s="74">
        <f>Devis[[#This Row],[Quantité Totale]]*Devis[[#This Row],[Prix de Revient]]</f>
        <v>0</v>
      </c>
    </row>
    <row r="3096" spans="1:28" ht="14.25" customHeight="1" outlineLevel="1" x14ac:dyDescent="0.2">
      <c r="A3096" s="75" t="s">
        <v>2794</v>
      </c>
      <c r="B3096" s="76" t="s">
        <v>3573</v>
      </c>
      <c r="C3096" s="80" t="s">
        <v>1943</v>
      </c>
      <c r="D3096" s="81" t="str">
        <f t="shared" si="54"/>
        <v>Recup CaloriePurgeur automatique 1/2"</v>
      </c>
      <c r="E3096" s="76" t="s">
        <v>2824</v>
      </c>
      <c r="F3096" s="81">
        <v>2</v>
      </c>
      <c r="G3096" s="86">
        <v>431429</v>
      </c>
      <c r="H3096" s="71" t="s">
        <v>2825</v>
      </c>
      <c r="I3096" s="102">
        <v>43142</v>
      </c>
      <c r="J3096" s="70">
        <f>IFERROR(VLOOKUP(Devis[[#This Row],[Ref Air Flux]],#REF!,3,FALSE),0)</f>
        <v>0</v>
      </c>
      <c r="K3096" s="68"/>
      <c r="L3096" s="68"/>
      <c r="M3096" s="68"/>
      <c r="N3096" s="68"/>
      <c r="O3096" s="68"/>
      <c r="P3096" s="68"/>
      <c r="Q3096" s="68">
        <f>SUM(Devis[[#This Row],[Poste 1]:[Poste 6]])</f>
        <v>0</v>
      </c>
      <c r="R3096" s="71"/>
      <c r="S3096" s="68">
        <f>_xlfn.CEILING.MATH(Devis[[#This Row],[Quantité Totale]],Devis[[#This Row],[Conditionnement]])</f>
        <v>0</v>
      </c>
      <c r="T3096" s="72"/>
      <c r="U3096" s="106"/>
      <c r="V3096" s="74">
        <f>Devis[[#This Row],[Prix de Revient]]*Devis[[#This Row],[Poste 1]]</f>
        <v>0</v>
      </c>
      <c r="W3096" s="74">
        <f>Devis[[#This Row],[Prix de Revient]]*Devis[[#This Row],[Poste 2]]</f>
        <v>0</v>
      </c>
      <c r="X3096" s="74">
        <f>Devis[[#This Row],[Prix de Revient]]*Devis[[#This Row],[Poste 3]]</f>
        <v>0</v>
      </c>
      <c r="Y3096" s="74">
        <f>Devis[[#This Row],[Poste 4]]*Devis[[#This Row],[Prix de Revient]]</f>
        <v>0</v>
      </c>
      <c r="Z3096" s="74">
        <f>Devis[[#This Row],[Poste 5]]*Devis[[#This Row],[Prix de Revient]]</f>
        <v>0</v>
      </c>
      <c r="AA3096" s="74">
        <f>Devis[[#This Row],[Prix de Revient]]*Devis[[#This Row],[Poste 6]]</f>
        <v>0</v>
      </c>
      <c r="AB3096" s="74">
        <f>Devis[[#This Row],[Quantité Totale]]*Devis[[#This Row],[Prix de Revient]]</f>
        <v>0</v>
      </c>
    </row>
    <row r="3097" spans="1:28" ht="14.25" outlineLevel="1" x14ac:dyDescent="0.2">
      <c r="A3097" s="75" t="s">
        <v>2794</v>
      </c>
      <c r="B3097" s="76" t="s">
        <v>3573</v>
      </c>
      <c r="C3097" s="107" t="s">
        <v>3574</v>
      </c>
      <c r="D3097" s="81" t="str">
        <f t="shared" si="54"/>
        <v>Recup CaloriePurgeur automatique 3/8</v>
      </c>
      <c r="E3097" s="76" t="s">
        <v>2810</v>
      </c>
      <c r="F3097" s="81">
        <v>3</v>
      </c>
      <c r="G3097" s="86" t="s">
        <v>2811</v>
      </c>
      <c r="H3097" s="71" t="s">
        <v>2798</v>
      </c>
      <c r="I3097" s="102"/>
      <c r="J3097" s="70">
        <f>IFERROR(VLOOKUP(Devis[[#This Row],[Ref Air Flux]],#REF!,3,FALSE),0)</f>
        <v>0</v>
      </c>
      <c r="K3097" s="68"/>
      <c r="L3097" s="68"/>
      <c r="M3097" s="68"/>
      <c r="N3097" s="68"/>
      <c r="O3097" s="68"/>
      <c r="P3097" s="68"/>
      <c r="Q3097" s="68">
        <f>SUM(Devis[[#This Row],[Poste 1]:[Poste 6]])</f>
        <v>0</v>
      </c>
      <c r="R3097" s="71"/>
      <c r="S3097" s="68">
        <f>_xlfn.CEILING.MATH(Devis[[#This Row],[Quantité Totale]],Devis[[#This Row],[Conditionnement]])</f>
        <v>0</v>
      </c>
      <c r="T3097" s="72"/>
      <c r="U3097" s="106"/>
      <c r="V3097" s="74">
        <f>Devis[[#This Row],[Prix de Revient]]*Devis[[#This Row],[Poste 1]]</f>
        <v>0</v>
      </c>
      <c r="W3097" s="74">
        <f>Devis[[#This Row],[Prix de Revient]]*Devis[[#This Row],[Poste 2]]</f>
        <v>0</v>
      </c>
      <c r="X3097" s="74">
        <f>Devis[[#This Row],[Prix de Revient]]*Devis[[#This Row],[Poste 3]]</f>
        <v>0</v>
      </c>
      <c r="Y3097" s="74">
        <f>Devis[[#This Row],[Poste 4]]*Devis[[#This Row],[Prix de Revient]]</f>
        <v>0</v>
      </c>
      <c r="Z3097" s="74">
        <f>Devis[[#This Row],[Poste 5]]*Devis[[#This Row],[Prix de Revient]]</f>
        <v>0</v>
      </c>
      <c r="AA3097" s="74">
        <f>Devis[[#This Row],[Prix de Revient]]*Devis[[#This Row],[Poste 6]]</f>
        <v>0</v>
      </c>
      <c r="AB3097" s="74">
        <f>Devis[[#This Row],[Quantité Totale]]*Devis[[#This Row],[Prix de Revient]]</f>
        <v>0</v>
      </c>
    </row>
    <row r="3098" spans="1:28" ht="14.25" customHeight="1" x14ac:dyDescent="0.25">
      <c r="A3098" s="65" t="s">
        <v>2794</v>
      </c>
      <c r="B3098" s="65" t="s">
        <v>2879</v>
      </c>
      <c r="C3098" s="76"/>
      <c r="D3098" s="81" t="str">
        <f t="shared" si="54"/>
        <v>Recup CalorieRaccord Hydraulique COUDE ORIENTABLE</v>
      </c>
      <c r="E3098" s="76"/>
      <c r="F3098" s="81">
        <v>0</v>
      </c>
      <c r="G3098" s="86"/>
      <c r="H3098" s="71"/>
      <c r="I3098" s="102"/>
      <c r="J3098" s="70">
        <f>IFERROR(VLOOKUP(Devis[[#This Row],[Ref Air Flux]],#REF!,3,FALSE),0)</f>
        <v>0</v>
      </c>
      <c r="K3098" s="68"/>
      <c r="L3098" s="68"/>
      <c r="M3098" s="68"/>
      <c r="N3098" s="68"/>
      <c r="O3098" s="68"/>
      <c r="P3098" s="68"/>
      <c r="Q3098" s="68">
        <f>SUM(Devis[[#This Row],[Poste 1]:[Poste 6]])</f>
        <v>0</v>
      </c>
      <c r="R3098" s="71"/>
      <c r="S3098" s="68">
        <f>_xlfn.CEILING.MATH(Devis[[#This Row],[Quantité Totale]],Devis[[#This Row],[Conditionnement]])</f>
        <v>0</v>
      </c>
      <c r="T3098" s="72"/>
      <c r="U3098" s="106"/>
      <c r="V3098" s="74">
        <f>Devis[[#This Row],[Prix de Revient]]*Devis[[#This Row],[Poste 1]]</f>
        <v>0</v>
      </c>
      <c r="W3098" s="74">
        <f>Devis[[#This Row],[Prix de Revient]]*Devis[[#This Row],[Poste 2]]</f>
        <v>0</v>
      </c>
      <c r="X3098" s="74">
        <f>Devis[[#This Row],[Prix de Revient]]*Devis[[#This Row],[Poste 3]]</f>
        <v>0</v>
      </c>
      <c r="Y3098" s="74">
        <f>Devis[[#This Row],[Poste 4]]*Devis[[#This Row],[Prix de Revient]]</f>
        <v>0</v>
      </c>
      <c r="Z3098" s="74">
        <f>Devis[[#This Row],[Poste 5]]*Devis[[#This Row],[Prix de Revient]]</f>
        <v>0</v>
      </c>
      <c r="AA3098" s="74">
        <f>Devis[[#This Row],[Prix de Revient]]*Devis[[#This Row],[Poste 6]]</f>
        <v>0</v>
      </c>
      <c r="AB3098" s="74">
        <f>Devis[[#This Row],[Quantité Totale]]*Devis[[#This Row],[Prix de Revient]]</f>
        <v>0</v>
      </c>
    </row>
    <row r="3099" spans="1:28" ht="14.25" outlineLevel="1" x14ac:dyDescent="0.2">
      <c r="A3099" s="75" t="s">
        <v>2794</v>
      </c>
      <c r="B3099" s="76" t="s">
        <v>2879</v>
      </c>
      <c r="C3099" s="76"/>
      <c r="D3099" s="81" t="str">
        <f t="shared" si="54"/>
        <v>Recup CalorieRaccord Hydraulique COUDE ORIENTABLE</v>
      </c>
      <c r="E3099" s="76" t="s">
        <v>4139</v>
      </c>
      <c r="F3099" s="81">
        <v>1</v>
      </c>
      <c r="G3099" s="86" t="s">
        <v>2882</v>
      </c>
      <c r="H3099" s="71"/>
      <c r="I3099" s="102"/>
      <c r="J3099" s="70">
        <f>IFERROR(VLOOKUP(Devis[[#This Row],[Ref Air Flux]],#REF!,3,FALSE),0)</f>
        <v>0</v>
      </c>
      <c r="K3099" s="68"/>
      <c r="L3099" s="68"/>
      <c r="M3099" s="68"/>
      <c r="N3099" s="68"/>
      <c r="O3099" s="68"/>
      <c r="P3099" s="68"/>
      <c r="Q3099" s="68">
        <f>SUM(Devis[[#This Row],[Poste 1]:[Poste 6]])</f>
        <v>0</v>
      </c>
      <c r="R3099" s="71"/>
      <c r="S3099" s="68">
        <f>_xlfn.CEILING.MATH(Devis[[#This Row],[Quantité Totale]],Devis[[#This Row],[Conditionnement]])</f>
        <v>0</v>
      </c>
      <c r="T3099" s="72"/>
      <c r="U3099" s="106"/>
      <c r="V3099" s="74">
        <f>Devis[[#This Row],[Prix de Revient]]*Devis[[#This Row],[Poste 1]]</f>
        <v>0</v>
      </c>
      <c r="W3099" s="74">
        <f>Devis[[#This Row],[Prix de Revient]]*Devis[[#This Row],[Poste 2]]</f>
        <v>0</v>
      </c>
      <c r="X3099" s="74">
        <f>Devis[[#This Row],[Prix de Revient]]*Devis[[#This Row],[Poste 3]]</f>
        <v>0</v>
      </c>
      <c r="Y3099" s="74">
        <f>Devis[[#This Row],[Poste 4]]*Devis[[#This Row],[Prix de Revient]]</f>
        <v>0</v>
      </c>
      <c r="Z3099" s="74">
        <f>Devis[[#This Row],[Poste 5]]*Devis[[#This Row],[Prix de Revient]]</f>
        <v>0</v>
      </c>
      <c r="AA3099" s="74">
        <f>Devis[[#This Row],[Prix de Revient]]*Devis[[#This Row],[Poste 6]]</f>
        <v>0</v>
      </c>
      <c r="AB3099" s="74">
        <f>Devis[[#This Row],[Quantité Totale]]*Devis[[#This Row],[Prix de Revient]]</f>
        <v>0</v>
      </c>
    </row>
    <row r="3100" spans="1:28" ht="15" customHeight="1" outlineLevel="1" x14ac:dyDescent="0.2">
      <c r="A3100" s="75" t="s">
        <v>2794</v>
      </c>
      <c r="B3100" s="76" t="s">
        <v>2879</v>
      </c>
      <c r="C3100" s="76"/>
      <c r="D3100" s="81" t="str">
        <f t="shared" si="54"/>
        <v>Recup CalorieRaccord Hydraulique COUDE ORIENTABLE</v>
      </c>
      <c r="E3100" s="76" t="s">
        <v>4140</v>
      </c>
      <c r="F3100" s="81">
        <v>2</v>
      </c>
      <c r="G3100" s="86" t="s">
        <v>2880</v>
      </c>
      <c r="H3100" s="71"/>
      <c r="I3100" s="102"/>
      <c r="J3100" s="70">
        <f>IFERROR(VLOOKUP(Devis[[#This Row],[Ref Air Flux]],#REF!,3,FALSE),0)</f>
        <v>0</v>
      </c>
      <c r="K3100" s="68"/>
      <c r="L3100" s="68"/>
      <c r="M3100" s="68"/>
      <c r="N3100" s="68"/>
      <c r="O3100" s="68"/>
      <c r="P3100" s="68"/>
      <c r="Q3100" s="68">
        <f>SUM(Devis[[#This Row],[Poste 1]:[Poste 6]])</f>
        <v>0</v>
      </c>
      <c r="R3100" s="71"/>
      <c r="S3100" s="68">
        <f>_xlfn.CEILING.MATH(Devis[[#This Row],[Quantité Totale]],Devis[[#This Row],[Conditionnement]])</f>
        <v>0</v>
      </c>
      <c r="T3100" s="72"/>
      <c r="U3100" s="106"/>
      <c r="V3100" s="74">
        <f>Devis[[#This Row],[Prix de Revient]]*Devis[[#This Row],[Poste 1]]</f>
        <v>0</v>
      </c>
      <c r="W3100" s="74">
        <f>Devis[[#This Row],[Prix de Revient]]*Devis[[#This Row],[Poste 2]]</f>
        <v>0</v>
      </c>
      <c r="X3100" s="74">
        <f>Devis[[#This Row],[Prix de Revient]]*Devis[[#This Row],[Poste 3]]</f>
        <v>0</v>
      </c>
      <c r="Y3100" s="74">
        <f>Devis[[#This Row],[Poste 4]]*Devis[[#This Row],[Prix de Revient]]</f>
        <v>0</v>
      </c>
      <c r="Z3100" s="74">
        <f>Devis[[#This Row],[Poste 5]]*Devis[[#This Row],[Prix de Revient]]</f>
        <v>0</v>
      </c>
      <c r="AA3100" s="74">
        <f>Devis[[#This Row],[Prix de Revient]]*Devis[[#This Row],[Poste 6]]</f>
        <v>0</v>
      </c>
      <c r="AB3100" s="74">
        <f>Devis[[#This Row],[Quantité Totale]]*Devis[[#This Row],[Prix de Revient]]</f>
        <v>0</v>
      </c>
    </row>
    <row r="3101" spans="1:28" ht="15" customHeight="1" outlineLevel="1" x14ac:dyDescent="0.2">
      <c r="A3101" s="75" t="s">
        <v>2794</v>
      </c>
      <c r="B3101" s="76" t="s">
        <v>2879</v>
      </c>
      <c r="C3101" s="76"/>
      <c r="D3101" s="81" t="str">
        <f t="shared" si="54"/>
        <v>Recup CalorieRaccord Hydraulique COUDE ORIENTABLE</v>
      </c>
      <c r="E3101" s="76" t="s">
        <v>4141</v>
      </c>
      <c r="F3101" s="81">
        <v>3</v>
      </c>
      <c r="G3101" s="86" t="s">
        <v>2881</v>
      </c>
      <c r="H3101" s="71"/>
      <c r="I3101" s="102"/>
      <c r="J3101" s="70">
        <f>IFERROR(VLOOKUP(Devis[[#This Row],[Ref Air Flux]],#REF!,3,FALSE),0)</f>
        <v>0</v>
      </c>
      <c r="K3101" s="68"/>
      <c r="L3101" s="68"/>
      <c r="M3101" s="68"/>
      <c r="N3101" s="68"/>
      <c r="O3101" s="68"/>
      <c r="P3101" s="68"/>
      <c r="Q3101" s="68">
        <f>SUM(Devis[[#This Row],[Poste 1]:[Poste 6]])</f>
        <v>0</v>
      </c>
      <c r="R3101" s="71"/>
      <c r="S3101" s="68">
        <f>_xlfn.CEILING.MATH(Devis[[#This Row],[Quantité Totale]],Devis[[#This Row],[Conditionnement]])</f>
        <v>0</v>
      </c>
      <c r="T3101" s="72"/>
      <c r="U3101" s="106"/>
      <c r="V3101" s="74">
        <f>Devis[[#This Row],[Prix de Revient]]*Devis[[#This Row],[Poste 1]]</f>
        <v>0</v>
      </c>
      <c r="W3101" s="74">
        <f>Devis[[#This Row],[Prix de Revient]]*Devis[[#This Row],[Poste 2]]</f>
        <v>0</v>
      </c>
      <c r="X3101" s="74">
        <f>Devis[[#This Row],[Prix de Revient]]*Devis[[#This Row],[Poste 3]]</f>
        <v>0</v>
      </c>
      <c r="Y3101" s="74">
        <f>Devis[[#This Row],[Poste 4]]*Devis[[#This Row],[Prix de Revient]]</f>
        <v>0</v>
      </c>
      <c r="Z3101" s="74">
        <f>Devis[[#This Row],[Poste 5]]*Devis[[#This Row],[Prix de Revient]]</f>
        <v>0</v>
      </c>
      <c r="AA3101" s="74">
        <f>Devis[[#This Row],[Prix de Revient]]*Devis[[#This Row],[Poste 6]]</f>
        <v>0</v>
      </c>
      <c r="AB3101" s="74">
        <f>Devis[[#This Row],[Quantité Totale]]*Devis[[#This Row],[Prix de Revient]]</f>
        <v>0</v>
      </c>
    </row>
    <row r="3102" spans="1:28" ht="14.25" customHeight="1" x14ac:dyDescent="0.25">
      <c r="A3102" s="65" t="s">
        <v>2794</v>
      </c>
      <c r="B3102" s="65" t="s">
        <v>3607</v>
      </c>
      <c r="C3102" s="76"/>
      <c r="D3102" s="81" t="str">
        <f t="shared" si="54"/>
        <v xml:space="preserve">Recup CalorieRaccord Hydraulique FILETE </v>
      </c>
      <c r="E3102" s="76"/>
      <c r="F3102" s="81">
        <v>0</v>
      </c>
      <c r="G3102" s="86"/>
      <c r="H3102" s="71"/>
      <c r="I3102" s="102"/>
      <c r="J3102" s="70">
        <f>IFERROR(VLOOKUP(Devis[[#This Row],[Ref Air Flux]],#REF!,3,FALSE),0)</f>
        <v>0</v>
      </c>
      <c r="K3102" s="68"/>
      <c r="L3102" s="68"/>
      <c r="M3102" s="68"/>
      <c r="N3102" s="68"/>
      <c r="O3102" s="68"/>
      <c r="P3102" s="68"/>
      <c r="Q3102" s="68">
        <f>SUM(Devis[[#This Row],[Poste 1]:[Poste 6]])</f>
        <v>0</v>
      </c>
      <c r="R3102" s="71"/>
      <c r="S3102" s="68">
        <f>_xlfn.CEILING.MATH(Devis[[#This Row],[Quantité Totale]],Devis[[#This Row],[Conditionnement]])</f>
        <v>0</v>
      </c>
      <c r="T3102" s="72"/>
      <c r="U3102" s="106"/>
      <c r="V3102" s="74">
        <f>Devis[[#This Row],[Prix de Revient]]*Devis[[#This Row],[Poste 1]]</f>
        <v>0</v>
      </c>
      <c r="W3102" s="74">
        <f>Devis[[#This Row],[Prix de Revient]]*Devis[[#This Row],[Poste 2]]</f>
        <v>0</v>
      </c>
      <c r="X3102" s="74">
        <f>Devis[[#This Row],[Prix de Revient]]*Devis[[#This Row],[Poste 3]]</f>
        <v>0</v>
      </c>
      <c r="Y3102" s="74">
        <f>Devis[[#This Row],[Poste 4]]*Devis[[#This Row],[Prix de Revient]]</f>
        <v>0</v>
      </c>
      <c r="Z3102" s="74">
        <f>Devis[[#This Row],[Poste 5]]*Devis[[#This Row],[Prix de Revient]]</f>
        <v>0</v>
      </c>
      <c r="AA3102" s="74">
        <f>Devis[[#This Row],[Prix de Revient]]*Devis[[#This Row],[Poste 6]]</f>
        <v>0</v>
      </c>
      <c r="AB3102" s="74">
        <f>Devis[[#This Row],[Quantité Totale]]*Devis[[#This Row],[Prix de Revient]]</f>
        <v>0</v>
      </c>
    </row>
    <row r="3103" spans="1:28" ht="14.25" customHeight="1" outlineLevel="1" x14ac:dyDescent="0.2">
      <c r="A3103" s="75" t="s">
        <v>2794</v>
      </c>
      <c r="B3103" s="76" t="s">
        <v>3607</v>
      </c>
      <c r="C3103" s="76" t="s">
        <v>4142</v>
      </c>
      <c r="D3103" s="81" t="str">
        <f t="shared" si="54"/>
        <v>Recup CalorieRaccord Hydraulique FILETE 1 " (28L)</v>
      </c>
      <c r="E3103" s="76" t="s">
        <v>4143</v>
      </c>
      <c r="F3103" s="81">
        <v>1</v>
      </c>
      <c r="G3103" s="86" t="s">
        <v>2911</v>
      </c>
      <c r="H3103" s="71"/>
      <c r="I3103" s="102"/>
      <c r="J3103" s="70">
        <f>IFERROR(VLOOKUP(Devis[[#This Row],[Ref Air Flux]],#REF!,3,FALSE),0)</f>
        <v>0</v>
      </c>
      <c r="K3103" s="68"/>
      <c r="L3103" s="68"/>
      <c r="M3103" s="68"/>
      <c r="N3103" s="68"/>
      <c r="O3103" s="68"/>
      <c r="P3103" s="68"/>
      <c r="Q3103" s="68">
        <f>SUM(Devis[[#This Row],[Poste 1]:[Poste 6]])</f>
        <v>0</v>
      </c>
      <c r="R3103" s="71"/>
      <c r="S3103" s="68">
        <f>_xlfn.CEILING.MATH(Devis[[#This Row],[Quantité Totale]],Devis[[#This Row],[Conditionnement]])</f>
        <v>0</v>
      </c>
      <c r="T3103" s="72"/>
      <c r="U3103" s="106"/>
      <c r="V3103" s="74">
        <f>Devis[[#This Row],[Prix de Revient]]*Devis[[#This Row],[Poste 1]]</f>
        <v>0</v>
      </c>
      <c r="W3103" s="74">
        <f>Devis[[#This Row],[Prix de Revient]]*Devis[[#This Row],[Poste 2]]</f>
        <v>0</v>
      </c>
      <c r="X3103" s="74">
        <f>Devis[[#This Row],[Prix de Revient]]*Devis[[#This Row],[Poste 3]]</f>
        <v>0</v>
      </c>
      <c r="Y3103" s="74">
        <f>Devis[[#This Row],[Poste 4]]*Devis[[#This Row],[Prix de Revient]]</f>
        <v>0</v>
      </c>
      <c r="Z3103" s="74">
        <f>Devis[[#This Row],[Poste 5]]*Devis[[#This Row],[Prix de Revient]]</f>
        <v>0</v>
      </c>
      <c r="AA3103" s="74">
        <f>Devis[[#This Row],[Prix de Revient]]*Devis[[#This Row],[Poste 6]]</f>
        <v>0</v>
      </c>
      <c r="AB3103" s="74">
        <f>Devis[[#This Row],[Quantité Totale]]*Devis[[#This Row],[Prix de Revient]]</f>
        <v>0</v>
      </c>
    </row>
    <row r="3104" spans="1:28" ht="14.25" customHeight="1" outlineLevel="1" x14ac:dyDescent="0.2">
      <c r="A3104" s="75" t="s">
        <v>2794</v>
      </c>
      <c r="B3104" s="76" t="s">
        <v>3607</v>
      </c>
      <c r="C3104" s="76" t="s">
        <v>4144</v>
      </c>
      <c r="D3104" s="81" t="str">
        <f t="shared" si="54"/>
        <v>Recup CalorieRaccord Hydraulique FILETE 1" (22L)</v>
      </c>
      <c r="E3104" s="76" t="s">
        <v>2910</v>
      </c>
      <c r="F3104" s="81">
        <v>2</v>
      </c>
      <c r="G3104" s="86" t="s">
        <v>2910</v>
      </c>
      <c r="H3104" s="71"/>
      <c r="I3104" s="102"/>
      <c r="J3104" s="70">
        <f>IFERROR(VLOOKUP(Devis[[#This Row],[Ref Air Flux]],#REF!,3,FALSE),0)</f>
        <v>0</v>
      </c>
      <c r="K3104" s="68"/>
      <c r="L3104" s="68"/>
      <c r="M3104" s="68"/>
      <c r="N3104" s="68"/>
      <c r="O3104" s="68"/>
      <c r="P3104" s="68"/>
      <c r="Q3104" s="68">
        <f>SUM(Devis[[#This Row],[Poste 1]:[Poste 6]])</f>
        <v>0</v>
      </c>
      <c r="R3104" s="71"/>
      <c r="S3104" s="68">
        <f>_xlfn.CEILING.MATH(Devis[[#This Row],[Quantité Totale]],Devis[[#This Row],[Conditionnement]])</f>
        <v>0</v>
      </c>
      <c r="T3104" s="72"/>
      <c r="U3104" s="106"/>
      <c r="V3104" s="74">
        <f>Devis[[#This Row],[Prix de Revient]]*Devis[[#This Row],[Poste 1]]</f>
        <v>0</v>
      </c>
      <c r="W3104" s="74">
        <f>Devis[[#This Row],[Prix de Revient]]*Devis[[#This Row],[Poste 2]]</f>
        <v>0</v>
      </c>
      <c r="X3104" s="74">
        <f>Devis[[#This Row],[Prix de Revient]]*Devis[[#This Row],[Poste 3]]</f>
        <v>0</v>
      </c>
      <c r="Y3104" s="74">
        <f>Devis[[#This Row],[Poste 4]]*Devis[[#This Row],[Prix de Revient]]</f>
        <v>0</v>
      </c>
      <c r="Z3104" s="74">
        <f>Devis[[#This Row],[Poste 5]]*Devis[[#This Row],[Prix de Revient]]</f>
        <v>0</v>
      </c>
      <c r="AA3104" s="74">
        <f>Devis[[#This Row],[Prix de Revient]]*Devis[[#This Row],[Poste 6]]</f>
        <v>0</v>
      </c>
      <c r="AB3104" s="74">
        <f>Devis[[#This Row],[Quantité Totale]]*Devis[[#This Row],[Prix de Revient]]</f>
        <v>0</v>
      </c>
    </row>
    <row r="3105" spans="1:28" ht="14.25" outlineLevel="1" x14ac:dyDescent="0.2">
      <c r="A3105" s="75" t="s">
        <v>2794</v>
      </c>
      <c r="B3105" s="76" t="s">
        <v>3607</v>
      </c>
      <c r="C3105" s="76" t="s">
        <v>4144</v>
      </c>
      <c r="D3105" s="81" t="str">
        <f t="shared" si="54"/>
        <v>Recup CalorieRaccord Hydraulique FILETE 1" (22L)</v>
      </c>
      <c r="E3105" s="76" t="s">
        <v>2910</v>
      </c>
      <c r="F3105" s="81">
        <v>3</v>
      </c>
      <c r="G3105" s="86" t="s">
        <v>2917</v>
      </c>
      <c r="H3105" s="71"/>
      <c r="I3105" s="102"/>
      <c r="J3105" s="70">
        <f>IFERROR(VLOOKUP(Devis[[#This Row],[Ref Air Flux]],#REF!,3,FALSE),0)</f>
        <v>0</v>
      </c>
      <c r="K3105" s="68"/>
      <c r="L3105" s="68"/>
      <c r="M3105" s="68"/>
      <c r="N3105" s="68"/>
      <c r="O3105" s="68"/>
      <c r="P3105" s="68"/>
      <c r="Q3105" s="68">
        <f>SUM(Devis[[#This Row],[Poste 1]:[Poste 6]])</f>
        <v>0</v>
      </c>
      <c r="R3105" s="71"/>
      <c r="S3105" s="68">
        <f>_xlfn.CEILING.MATH(Devis[[#This Row],[Quantité Totale]],Devis[[#This Row],[Conditionnement]])</f>
        <v>0</v>
      </c>
      <c r="T3105" s="72"/>
      <c r="U3105" s="106"/>
      <c r="V3105" s="74">
        <f>Devis[[#This Row],[Prix de Revient]]*Devis[[#This Row],[Poste 1]]</f>
        <v>0</v>
      </c>
      <c r="W3105" s="74">
        <f>Devis[[#This Row],[Prix de Revient]]*Devis[[#This Row],[Poste 2]]</f>
        <v>0</v>
      </c>
      <c r="X3105" s="74">
        <f>Devis[[#This Row],[Prix de Revient]]*Devis[[#This Row],[Poste 3]]</f>
        <v>0</v>
      </c>
      <c r="Y3105" s="74">
        <f>Devis[[#This Row],[Poste 4]]*Devis[[#This Row],[Prix de Revient]]</f>
        <v>0</v>
      </c>
      <c r="Z3105" s="74">
        <f>Devis[[#This Row],[Poste 5]]*Devis[[#This Row],[Prix de Revient]]</f>
        <v>0</v>
      </c>
      <c r="AA3105" s="74">
        <f>Devis[[#This Row],[Prix de Revient]]*Devis[[#This Row],[Poste 6]]</f>
        <v>0</v>
      </c>
      <c r="AB3105" s="74">
        <f>Devis[[#This Row],[Quantité Totale]]*Devis[[#This Row],[Prix de Revient]]</f>
        <v>0</v>
      </c>
    </row>
    <row r="3106" spans="1:28" ht="14.25" outlineLevel="1" x14ac:dyDescent="0.2">
      <c r="A3106" s="75" t="s">
        <v>2794</v>
      </c>
      <c r="B3106" s="76" t="s">
        <v>3607</v>
      </c>
      <c r="C3106" s="76" t="s">
        <v>4145</v>
      </c>
      <c r="D3106" s="81" t="str">
        <f t="shared" si="54"/>
        <v>Recup CalorieRaccord Hydraulique FILETE 1" (35L)</v>
      </c>
      <c r="E3106" s="76" t="s">
        <v>4146</v>
      </c>
      <c r="F3106" s="81">
        <v>4</v>
      </c>
      <c r="G3106" s="86" t="s">
        <v>2913</v>
      </c>
      <c r="H3106" s="71"/>
      <c r="I3106" s="102"/>
      <c r="J3106" s="70">
        <f>IFERROR(VLOOKUP(Devis[[#This Row],[Ref Air Flux]],#REF!,3,FALSE),0)</f>
        <v>0</v>
      </c>
      <c r="K3106" s="68"/>
      <c r="L3106" s="68"/>
      <c r="M3106" s="68"/>
      <c r="N3106" s="68"/>
      <c r="O3106" s="68"/>
      <c r="P3106" s="68"/>
      <c r="Q3106" s="68">
        <f>SUM(Devis[[#This Row],[Poste 1]:[Poste 6]])</f>
        <v>0</v>
      </c>
      <c r="R3106" s="71"/>
      <c r="S3106" s="68">
        <f>_xlfn.CEILING.MATH(Devis[[#This Row],[Quantité Totale]],Devis[[#This Row],[Conditionnement]])</f>
        <v>0</v>
      </c>
      <c r="T3106" s="72"/>
      <c r="U3106" s="106"/>
      <c r="V3106" s="74">
        <f>Devis[[#This Row],[Prix de Revient]]*Devis[[#This Row],[Poste 1]]</f>
        <v>0</v>
      </c>
      <c r="W3106" s="74">
        <f>Devis[[#This Row],[Prix de Revient]]*Devis[[#This Row],[Poste 2]]</f>
        <v>0</v>
      </c>
      <c r="X3106" s="74">
        <f>Devis[[#This Row],[Prix de Revient]]*Devis[[#This Row],[Poste 3]]</f>
        <v>0</v>
      </c>
      <c r="Y3106" s="74">
        <f>Devis[[#This Row],[Poste 4]]*Devis[[#This Row],[Prix de Revient]]</f>
        <v>0</v>
      </c>
      <c r="Z3106" s="74">
        <f>Devis[[#This Row],[Poste 5]]*Devis[[#This Row],[Prix de Revient]]</f>
        <v>0</v>
      </c>
      <c r="AA3106" s="74">
        <f>Devis[[#This Row],[Prix de Revient]]*Devis[[#This Row],[Poste 6]]</f>
        <v>0</v>
      </c>
      <c r="AB3106" s="74">
        <f>Devis[[#This Row],[Quantité Totale]]*Devis[[#This Row],[Prix de Revient]]</f>
        <v>0</v>
      </c>
    </row>
    <row r="3107" spans="1:28" ht="14.25" outlineLevel="1" x14ac:dyDescent="0.2">
      <c r="A3107" s="75" t="s">
        <v>2794</v>
      </c>
      <c r="B3107" s="76" t="s">
        <v>3607</v>
      </c>
      <c r="C3107" s="76" t="s">
        <v>4147</v>
      </c>
      <c r="D3107" s="81" t="str">
        <f t="shared" si="54"/>
        <v>Recup CalorieRaccord Hydraulique FILETE 1"1/2 (42L)</v>
      </c>
      <c r="E3107" s="76" t="s">
        <v>4148</v>
      </c>
      <c r="F3107" s="81">
        <v>5</v>
      </c>
      <c r="G3107" s="86" t="s">
        <v>2921</v>
      </c>
      <c r="H3107" s="71"/>
      <c r="I3107" s="102"/>
      <c r="J3107" s="70">
        <f>IFERROR(VLOOKUP(Devis[[#This Row],[Ref Air Flux]],#REF!,3,FALSE),0)</f>
        <v>0</v>
      </c>
      <c r="K3107" s="68"/>
      <c r="L3107" s="68"/>
      <c r="M3107" s="68"/>
      <c r="N3107" s="68"/>
      <c r="O3107" s="68"/>
      <c r="P3107" s="68"/>
      <c r="Q3107" s="68">
        <f>SUM(Devis[[#This Row],[Poste 1]:[Poste 6]])</f>
        <v>0</v>
      </c>
      <c r="R3107" s="71"/>
      <c r="S3107" s="68">
        <f>_xlfn.CEILING.MATH(Devis[[#This Row],[Quantité Totale]],Devis[[#This Row],[Conditionnement]])</f>
        <v>0</v>
      </c>
      <c r="T3107" s="72"/>
      <c r="U3107" s="106"/>
      <c r="V3107" s="74">
        <f>Devis[[#This Row],[Prix de Revient]]*Devis[[#This Row],[Poste 1]]</f>
        <v>0</v>
      </c>
      <c r="W3107" s="74">
        <f>Devis[[#This Row],[Prix de Revient]]*Devis[[#This Row],[Poste 2]]</f>
        <v>0</v>
      </c>
      <c r="X3107" s="74">
        <f>Devis[[#This Row],[Prix de Revient]]*Devis[[#This Row],[Poste 3]]</f>
        <v>0</v>
      </c>
      <c r="Y3107" s="74">
        <f>Devis[[#This Row],[Poste 4]]*Devis[[#This Row],[Prix de Revient]]</f>
        <v>0</v>
      </c>
      <c r="Z3107" s="74">
        <f>Devis[[#This Row],[Poste 5]]*Devis[[#This Row],[Prix de Revient]]</f>
        <v>0</v>
      </c>
      <c r="AA3107" s="74">
        <f>Devis[[#This Row],[Prix de Revient]]*Devis[[#This Row],[Poste 6]]</f>
        <v>0</v>
      </c>
      <c r="AB3107" s="74">
        <f>Devis[[#This Row],[Quantité Totale]]*Devis[[#This Row],[Prix de Revient]]</f>
        <v>0</v>
      </c>
    </row>
    <row r="3108" spans="1:28" ht="14.25" outlineLevel="1" x14ac:dyDescent="0.2">
      <c r="A3108" s="75" t="s">
        <v>2794</v>
      </c>
      <c r="B3108" s="76" t="s">
        <v>3607</v>
      </c>
      <c r="C3108" s="76" t="s">
        <v>4147</v>
      </c>
      <c r="D3108" s="81" t="str">
        <f t="shared" si="54"/>
        <v>Recup CalorieRaccord Hydraulique FILETE 1"1/2 (42L)</v>
      </c>
      <c r="E3108" s="76" t="s">
        <v>4148</v>
      </c>
      <c r="F3108" s="81">
        <v>6</v>
      </c>
      <c r="G3108" s="86" t="s">
        <v>2915</v>
      </c>
      <c r="H3108" s="71"/>
      <c r="I3108" s="102"/>
      <c r="J3108" s="70">
        <f>IFERROR(VLOOKUP(Devis[[#This Row],[Ref Air Flux]],#REF!,3,FALSE),0)</f>
        <v>0</v>
      </c>
      <c r="K3108" s="68"/>
      <c r="L3108" s="68"/>
      <c r="M3108" s="68"/>
      <c r="N3108" s="68"/>
      <c r="O3108" s="68"/>
      <c r="P3108" s="68"/>
      <c r="Q3108" s="68">
        <f>SUM(Devis[[#This Row],[Poste 1]:[Poste 6]])</f>
        <v>0</v>
      </c>
      <c r="R3108" s="71"/>
      <c r="S3108" s="68">
        <f>_xlfn.CEILING.MATH(Devis[[#This Row],[Quantité Totale]],Devis[[#This Row],[Conditionnement]])</f>
        <v>0</v>
      </c>
      <c r="T3108" s="72"/>
      <c r="U3108" s="106"/>
      <c r="V3108" s="74">
        <f>Devis[[#This Row],[Prix de Revient]]*Devis[[#This Row],[Poste 1]]</f>
        <v>0</v>
      </c>
      <c r="W3108" s="74">
        <f>Devis[[#This Row],[Prix de Revient]]*Devis[[#This Row],[Poste 2]]</f>
        <v>0</v>
      </c>
      <c r="X3108" s="74">
        <f>Devis[[#This Row],[Prix de Revient]]*Devis[[#This Row],[Poste 3]]</f>
        <v>0</v>
      </c>
      <c r="Y3108" s="74">
        <f>Devis[[#This Row],[Poste 4]]*Devis[[#This Row],[Prix de Revient]]</f>
        <v>0</v>
      </c>
      <c r="Z3108" s="74">
        <f>Devis[[#This Row],[Poste 5]]*Devis[[#This Row],[Prix de Revient]]</f>
        <v>0</v>
      </c>
      <c r="AA3108" s="74">
        <f>Devis[[#This Row],[Prix de Revient]]*Devis[[#This Row],[Poste 6]]</f>
        <v>0</v>
      </c>
      <c r="AB3108" s="74">
        <f>Devis[[#This Row],[Quantité Totale]]*Devis[[#This Row],[Prix de Revient]]</f>
        <v>0</v>
      </c>
    </row>
    <row r="3109" spans="1:28" ht="14.25" outlineLevel="1" x14ac:dyDescent="0.2">
      <c r="A3109" s="75" t="s">
        <v>2794</v>
      </c>
      <c r="B3109" s="76" t="s">
        <v>3607</v>
      </c>
      <c r="C3109" s="76" t="s">
        <v>4149</v>
      </c>
      <c r="D3109" s="81" t="str">
        <f t="shared" si="54"/>
        <v>Recup CalorieRaccord Hydraulique FILETE 1"1/4 (35L)</v>
      </c>
      <c r="E3109" s="76" t="s">
        <v>4150</v>
      </c>
      <c r="F3109" s="81">
        <v>7</v>
      </c>
      <c r="G3109" s="86" t="s">
        <v>2914</v>
      </c>
      <c r="H3109" s="71"/>
      <c r="I3109" s="102"/>
      <c r="J3109" s="70">
        <f>IFERROR(VLOOKUP(Devis[[#This Row],[Ref Air Flux]],#REF!,3,FALSE),0)</f>
        <v>0</v>
      </c>
      <c r="K3109" s="68"/>
      <c r="L3109" s="68"/>
      <c r="M3109" s="68"/>
      <c r="N3109" s="68"/>
      <c r="O3109" s="68"/>
      <c r="P3109" s="68"/>
      <c r="Q3109" s="68">
        <f>SUM(Devis[[#This Row],[Poste 1]:[Poste 6]])</f>
        <v>0</v>
      </c>
      <c r="R3109" s="71"/>
      <c r="S3109" s="68">
        <f>_xlfn.CEILING.MATH(Devis[[#This Row],[Quantité Totale]],Devis[[#This Row],[Conditionnement]])</f>
        <v>0</v>
      </c>
      <c r="T3109" s="72"/>
      <c r="U3109" s="106"/>
      <c r="V3109" s="74">
        <f>Devis[[#This Row],[Prix de Revient]]*Devis[[#This Row],[Poste 1]]</f>
        <v>0</v>
      </c>
      <c r="W3109" s="74">
        <f>Devis[[#This Row],[Prix de Revient]]*Devis[[#This Row],[Poste 2]]</f>
        <v>0</v>
      </c>
      <c r="X3109" s="74">
        <f>Devis[[#This Row],[Prix de Revient]]*Devis[[#This Row],[Poste 3]]</f>
        <v>0</v>
      </c>
      <c r="Y3109" s="74">
        <f>Devis[[#This Row],[Poste 4]]*Devis[[#This Row],[Prix de Revient]]</f>
        <v>0</v>
      </c>
      <c r="Z3109" s="74">
        <f>Devis[[#This Row],[Poste 5]]*Devis[[#This Row],[Prix de Revient]]</f>
        <v>0</v>
      </c>
      <c r="AA3109" s="74">
        <f>Devis[[#This Row],[Prix de Revient]]*Devis[[#This Row],[Poste 6]]</f>
        <v>0</v>
      </c>
      <c r="AB3109" s="74">
        <f>Devis[[#This Row],[Quantité Totale]]*Devis[[#This Row],[Prix de Revient]]</f>
        <v>0</v>
      </c>
    </row>
    <row r="3110" spans="1:28" ht="14.25" customHeight="1" outlineLevel="1" x14ac:dyDescent="0.2">
      <c r="A3110" s="75" t="s">
        <v>2794</v>
      </c>
      <c r="B3110" s="76" t="s">
        <v>3607</v>
      </c>
      <c r="C3110" s="76" t="s">
        <v>4151</v>
      </c>
      <c r="D3110" s="81" t="str">
        <f t="shared" si="54"/>
        <v>Recup CalorieRaccord Hydraulique FILETE 1"1/4(28L)</v>
      </c>
      <c r="E3110" s="76" t="s">
        <v>2912</v>
      </c>
      <c r="F3110" s="81">
        <v>8</v>
      </c>
      <c r="G3110" s="86" t="s">
        <v>2912</v>
      </c>
      <c r="H3110" s="71"/>
      <c r="I3110" s="102"/>
      <c r="J3110" s="70">
        <f>IFERROR(VLOOKUP(Devis[[#This Row],[Ref Air Flux]],#REF!,3,FALSE),0)</f>
        <v>0</v>
      </c>
      <c r="K3110" s="68"/>
      <c r="L3110" s="68"/>
      <c r="M3110" s="68"/>
      <c r="N3110" s="68"/>
      <c r="O3110" s="68"/>
      <c r="P3110" s="68"/>
      <c r="Q3110" s="68">
        <f>SUM(Devis[[#This Row],[Poste 1]:[Poste 6]])</f>
        <v>0</v>
      </c>
      <c r="R3110" s="71"/>
      <c r="S3110" s="68">
        <f>_xlfn.CEILING.MATH(Devis[[#This Row],[Quantité Totale]],Devis[[#This Row],[Conditionnement]])</f>
        <v>0</v>
      </c>
      <c r="T3110" s="72"/>
      <c r="U3110" s="106"/>
      <c r="V3110" s="74">
        <f>Devis[[#This Row],[Prix de Revient]]*Devis[[#This Row],[Poste 1]]</f>
        <v>0</v>
      </c>
      <c r="W3110" s="74">
        <f>Devis[[#This Row],[Prix de Revient]]*Devis[[#This Row],[Poste 2]]</f>
        <v>0</v>
      </c>
      <c r="X3110" s="74">
        <f>Devis[[#This Row],[Prix de Revient]]*Devis[[#This Row],[Poste 3]]</f>
        <v>0</v>
      </c>
      <c r="Y3110" s="74">
        <f>Devis[[#This Row],[Poste 4]]*Devis[[#This Row],[Prix de Revient]]</f>
        <v>0</v>
      </c>
      <c r="Z3110" s="74">
        <f>Devis[[#This Row],[Poste 5]]*Devis[[#This Row],[Prix de Revient]]</f>
        <v>0</v>
      </c>
      <c r="AA3110" s="74">
        <f>Devis[[#This Row],[Prix de Revient]]*Devis[[#This Row],[Poste 6]]</f>
        <v>0</v>
      </c>
      <c r="AB3110" s="74">
        <f>Devis[[#This Row],[Quantité Totale]]*Devis[[#This Row],[Prix de Revient]]</f>
        <v>0</v>
      </c>
    </row>
    <row r="3111" spans="1:28" ht="14.25" outlineLevel="1" x14ac:dyDescent="0.2">
      <c r="A3111" s="75" t="s">
        <v>2794</v>
      </c>
      <c r="B3111" s="76" t="s">
        <v>3607</v>
      </c>
      <c r="C3111" s="76" t="s">
        <v>4152</v>
      </c>
      <c r="D3111" s="81" t="str">
        <f t="shared" si="54"/>
        <v>Recup CalorieRaccord Hydraulique FILETE 1"1/4(35L)</v>
      </c>
      <c r="E3111" s="76" t="s">
        <v>4150</v>
      </c>
      <c r="F3111" s="81">
        <v>9</v>
      </c>
      <c r="G3111" s="86" t="s">
        <v>2919</v>
      </c>
      <c r="H3111" s="71"/>
      <c r="I3111" s="102"/>
      <c r="J3111" s="70">
        <f>IFERROR(VLOOKUP(Devis[[#This Row],[Ref Air Flux]],#REF!,3,FALSE),0)</f>
        <v>0</v>
      </c>
      <c r="K3111" s="68"/>
      <c r="L3111" s="68"/>
      <c r="M3111" s="68"/>
      <c r="N3111" s="68"/>
      <c r="O3111" s="68"/>
      <c r="P3111" s="68"/>
      <c r="Q3111" s="68">
        <f>SUM(Devis[[#This Row],[Poste 1]:[Poste 6]])</f>
        <v>0</v>
      </c>
      <c r="R3111" s="71"/>
      <c r="S3111" s="68">
        <f>_xlfn.CEILING.MATH(Devis[[#This Row],[Quantité Totale]],Devis[[#This Row],[Conditionnement]])</f>
        <v>0</v>
      </c>
      <c r="T3111" s="72"/>
      <c r="U3111" s="106"/>
      <c r="V3111" s="74">
        <f>Devis[[#This Row],[Prix de Revient]]*Devis[[#This Row],[Poste 1]]</f>
        <v>0</v>
      </c>
      <c r="W3111" s="74">
        <f>Devis[[#This Row],[Prix de Revient]]*Devis[[#This Row],[Poste 2]]</f>
        <v>0</v>
      </c>
      <c r="X3111" s="74">
        <f>Devis[[#This Row],[Prix de Revient]]*Devis[[#This Row],[Poste 3]]</f>
        <v>0</v>
      </c>
      <c r="Y3111" s="74">
        <f>Devis[[#This Row],[Poste 4]]*Devis[[#This Row],[Prix de Revient]]</f>
        <v>0</v>
      </c>
      <c r="Z3111" s="74">
        <f>Devis[[#This Row],[Poste 5]]*Devis[[#This Row],[Prix de Revient]]</f>
        <v>0</v>
      </c>
      <c r="AA3111" s="74">
        <f>Devis[[#This Row],[Prix de Revient]]*Devis[[#This Row],[Poste 6]]</f>
        <v>0</v>
      </c>
      <c r="AB3111" s="74">
        <f>Devis[[#This Row],[Quantité Totale]]*Devis[[#This Row],[Prix de Revient]]</f>
        <v>0</v>
      </c>
    </row>
    <row r="3112" spans="1:28" ht="14.25" customHeight="1" outlineLevel="1" x14ac:dyDescent="0.2">
      <c r="A3112" s="75" t="s">
        <v>2794</v>
      </c>
      <c r="B3112" s="76" t="s">
        <v>3607</v>
      </c>
      <c r="C3112" s="76" t="s">
        <v>4153</v>
      </c>
      <c r="D3112" s="81" t="str">
        <f t="shared" si="54"/>
        <v>Recup CalorieRaccord Hydraulique FILETE 1"1/4(42L)</v>
      </c>
      <c r="E3112" s="76" t="s">
        <v>4154</v>
      </c>
      <c r="F3112" s="81">
        <v>10</v>
      </c>
      <c r="G3112" s="86" t="s">
        <v>2920</v>
      </c>
      <c r="H3112" s="71"/>
      <c r="I3112" s="102"/>
      <c r="J3112" s="70">
        <f>IFERROR(VLOOKUP(Devis[[#This Row],[Ref Air Flux]],#REF!,3,FALSE),0)</f>
        <v>0</v>
      </c>
      <c r="K3112" s="68"/>
      <c r="L3112" s="68"/>
      <c r="M3112" s="68"/>
      <c r="N3112" s="68"/>
      <c r="O3112" s="68"/>
      <c r="P3112" s="68"/>
      <c r="Q3112" s="68">
        <f>SUM(Devis[[#This Row],[Poste 1]:[Poste 6]])</f>
        <v>0</v>
      </c>
      <c r="R3112" s="71"/>
      <c r="S3112" s="68">
        <f>_xlfn.CEILING.MATH(Devis[[#This Row],[Quantité Totale]],Devis[[#This Row],[Conditionnement]])</f>
        <v>0</v>
      </c>
      <c r="T3112" s="72"/>
      <c r="U3112" s="106"/>
      <c r="V3112" s="74">
        <f>Devis[[#This Row],[Prix de Revient]]*Devis[[#This Row],[Poste 1]]</f>
        <v>0</v>
      </c>
      <c r="W3112" s="74">
        <f>Devis[[#This Row],[Prix de Revient]]*Devis[[#This Row],[Poste 2]]</f>
        <v>0</v>
      </c>
      <c r="X3112" s="74">
        <f>Devis[[#This Row],[Prix de Revient]]*Devis[[#This Row],[Poste 3]]</f>
        <v>0</v>
      </c>
      <c r="Y3112" s="74">
        <f>Devis[[#This Row],[Poste 4]]*Devis[[#This Row],[Prix de Revient]]</f>
        <v>0</v>
      </c>
      <c r="Z3112" s="74">
        <f>Devis[[#This Row],[Poste 5]]*Devis[[#This Row],[Prix de Revient]]</f>
        <v>0</v>
      </c>
      <c r="AA3112" s="74">
        <f>Devis[[#This Row],[Prix de Revient]]*Devis[[#This Row],[Poste 6]]</f>
        <v>0</v>
      </c>
      <c r="AB3112" s="74">
        <f>Devis[[#This Row],[Quantité Totale]]*Devis[[#This Row],[Prix de Revient]]</f>
        <v>0</v>
      </c>
    </row>
    <row r="3113" spans="1:28" ht="14.25" customHeight="1" outlineLevel="1" x14ac:dyDescent="0.2">
      <c r="A3113" s="75" t="s">
        <v>2794</v>
      </c>
      <c r="B3113" s="76" t="s">
        <v>3607</v>
      </c>
      <c r="C3113" s="76" t="s">
        <v>4155</v>
      </c>
      <c r="D3113" s="81" t="str">
        <f t="shared" si="54"/>
        <v>Recup CalorieRaccord Hydraulique FILETE 3/4" (15L)</v>
      </c>
      <c r="E3113" s="76" t="s">
        <v>2908</v>
      </c>
      <c r="F3113" s="81">
        <v>11</v>
      </c>
      <c r="G3113" s="86" t="s">
        <v>2908</v>
      </c>
      <c r="H3113" s="71"/>
      <c r="I3113" s="102"/>
      <c r="J3113" s="70">
        <f>IFERROR(VLOOKUP(Devis[[#This Row],[Ref Air Flux]],#REF!,3,FALSE),0)</f>
        <v>0</v>
      </c>
      <c r="K3113" s="68"/>
      <c r="L3113" s="68"/>
      <c r="M3113" s="68"/>
      <c r="N3113" s="68"/>
      <c r="O3113" s="68"/>
      <c r="P3113" s="68"/>
      <c r="Q3113" s="68">
        <f>SUM(Devis[[#This Row],[Poste 1]:[Poste 6]])</f>
        <v>0</v>
      </c>
      <c r="R3113" s="71"/>
      <c r="S3113" s="68">
        <f>_xlfn.CEILING.MATH(Devis[[#This Row],[Quantité Totale]],Devis[[#This Row],[Conditionnement]])</f>
        <v>0</v>
      </c>
      <c r="T3113" s="72"/>
      <c r="U3113" s="106"/>
      <c r="V3113" s="74">
        <f>Devis[[#This Row],[Prix de Revient]]*Devis[[#This Row],[Poste 1]]</f>
        <v>0</v>
      </c>
      <c r="W3113" s="74">
        <f>Devis[[#This Row],[Prix de Revient]]*Devis[[#This Row],[Poste 2]]</f>
        <v>0</v>
      </c>
      <c r="X3113" s="74">
        <f>Devis[[#This Row],[Prix de Revient]]*Devis[[#This Row],[Poste 3]]</f>
        <v>0</v>
      </c>
      <c r="Y3113" s="74">
        <f>Devis[[#This Row],[Poste 4]]*Devis[[#This Row],[Prix de Revient]]</f>
        <v>0</v>
      </c>
      <c r="Z3113" s="74">
        <f>Devis[[#This Row],[Poste 5]]*Devis[[#This Row],[Prix de Revient]]</f>
        <v>0</v>
      </c>
      <c r="AA3113" s="74">
        <f>Devis[[#This Row],[Prix de Revient]]*Devis[[#This Row],[Poste 6]]</f>
        <v>0</v>
      </c>
      <c r="AB3113" s="74">
        <f>Devis[[#This Row],[Quantité Totale]]*Devis[[#This Row],[Prix de Revient]]</f>
        <v>0</v>
      </c>
    </row>
    <row r="3114" spans="1:28" ht="14.25" customHeight="1" outlineLevel="1" x14ac:dyDescent="0.2">
      <c r="A3114" s="75" t="s">
        <v>2794</v>
      </c>
      <c r="B3114" s="76" t="s">
        <v>3607</v>
      </c>
      <c r="C3114" s="76" t="s">
        <v>4156</v>
      </c>
      <c r="D3114" s="81" t="str">
        <f t="shared" si="54"/>
        <v>Recup CalorieRaccord Hydraulique FILETE 3/4" (22L)</v>
      </c>
      <c r="E3114" s="76" t="s">
        <v>4157</v>
      </c>
      <c r="F3114" s="81">
        <v>12</v>
      </c>
      <c r="G3114" s="86" t="s">
        <v>2909</v>
      </c>
      <c r="H3114" s="71"/>
      <c r="I3114" s="102"/>
      <c r="J3114" s="70">
        <f>IFERROR(VLOOKUP(Devis[[#This Row],[Ref Air Flux]],#REF!,3,FALSE),0)</f>
        <v>0</v>
      </c>
      <c r="K3114" s="68"/>
      <c r="L3114" s="68"/>
      <c r="M3114" s="68"/>
      <c r="N3114" s="68"/>
      <c r="O3114" s="68"/>
      <c r="P3114" s="68"/>
      <c r="Q3114" s="68">
        <f>SUM(Devis[[#This Row],[Poste 1]:[Poste 6]])</f>
        <v>0</v>
      </c>
      <c r="R3114" s="71"/>
      <c r="S3114" s="68">
        <f>_xlfn.CEILING.MATH(Devis[[#This Row],[Quantité Totale]],Devis[[#This Row],[Conditionnement]])</f>
        <v>0</v>
      </c>
      <c r="T3114" s="72"/>
      <c r="U3114" s="106"/>
      <c r="V3114" s="74">
        <f>Devis[[#This Row],[Prix de Revient]]*Devis[[#This Row],[Poste 1]]</f>
        <v>0</v>
      </c>
      <c r="W3114" s="74">
        <f>Devis[[#This Row],[Prix de Revient]]*Devis[[#This Row],[Poste 2]]</f>
        <v>0</v>
      </c>
      <c r="X3114" s="74">
        <f>Devis[[#This Row],[Prix de Revient]]*Devis[[#This Row],[Poste 3]]</f>
        <v>0</v>
      </c>
      <c r="Y3114" s="74">
        <f>Devis[[#This Row],[Poste 4]]*Devis[[#This Row],[Prix de Revient]]</f>
        <v>0</v>
      </c>
      <c r="Z3114" s="74">
        <f>Devis[[#This Row],[Poste 5]]*Devis[[#This Row],[Prix de Revient]]</f>
        <v>0</v>
      </c>
      <c r="AA3114" s="74">
        <f>Devis[[#This Row],[Prix de Revient]]*Devis[[#This Row],[Poste 6]]</f>
        <v>0</v>
      </c>
      <c r="AB3114" s="74">
        <f>Devis[[#This Row],[Quantité Totale]]*Devis[[#This Row],[Prix de Revient]]</f>
        <v>0</v>
      </c>
    </row>
    <row r="3115" spans="1:28" ht="14.25" customHeight="1" outlineLevel="1" x14ac:dyDescent="0.2">
      <c r="A3115" s="75" t="s">
        <v>2794</v>
      </c>
      <c r="B3115" s="76" t="s">
        <v>3607</v>
      </c>
      <c r="C3115" s="76" t="s">
        <v>4158</v>
      </c>
      <c r="D3115" s="81" t="str">
        <f t="shared" si="54"/>
        <v>Recup CalorieRaccord Hydraulique FILETE 3/4" (28L)</v>
      </c>
      <c r="E3115" s="76" t="s">
        <v>4159</v>
      </c>
      <c r="F3115" s="81">
        <v>13</v>
      </c>
      <c r="G3115" s="86" t="s">
        <v>2918</v>
      </c>
      <c r="H3115" s="71"/>
      <c r="I3115" s="102"/>
      <c r="J3115" s="70">
        <f>IFERROR(VLOOKUP(Devis[[#This Row],[Ref Air Flux]],#REF!,3,FALSE),0)</f>
        <v>0</v>
      </c>
      <c r="K3115" s="68"/>
      <c r="L3115" s="68"/>
      <c r="M3115" s="68"/>
      <c r="N3115" s="68"/>
      <c r="O3115" s="68"/>
      <c r="P3115" s="68"/>
      <c r="Q3115" s="68">
        <f>SUM(Devis[[#This Row],[Poste 1]:[Poste 6]])</f>
        <v>0</v>
      </c>
      <c r="R3115" s="71"/>
      <c r="S3115" s="68">
        <f>_xlfn.CEILING.MATH(Devis[[#This Row],[Quantité Totale]],Devis[[#This Row],[Conditionnement]])</f>
        <v>0</v>
      </c>
      <c r="T3115" s="72"/>
      <c r="U3115" s="106"/>
      <c r="V3115" s="74">
        <f>Devis[[#This Row],[Prix de Revient]]*Devis[[#This Row],[Poste 1]]</f>
        <v>0</v>
      </c>
      <c r="W3115" s="74">
        <f>Devis[[#This Row],[Prix de Revient]]*Devis[[#This Row],[Poste 2]]</f>
        <v>0</v>
      </c>
      <c r="X3115" s="74">
        <f>Devis[[#This Row],[Prix de Revient]]*Devis[[#This Row],[Poste 3]]</f>
        <v>0</v>
      </c>
      <c r="Y3115" s="74">
        <f>Devis[[#This Row],[Poste 4]]*Devis[[#This Row],[Prix de Revient]]</f>
        <v>0</v>
      </c>
      <c r="Z3115" s="74">
        <f>Devis[[#This Row],[Poste 5]]*Devis[[#This Row],[Prix de Revient]]</f>
        <v>0</v>
      </c>
      <c r="AA3115" s="74">
        <f>Devis[[#This Row],[Prix de Revient]]*Devis[[#This Row],[Poste 6]]</f>
        <v>0</v>
      </c>
      <c r="AB3115" s="74">
        <f>Devis[[#This Row],[Quantité Totale]]*Devis[[#This Row],[Prix de Revient]]</f>
        <v>0</v>
      </c>
    </row>
    <row r="3116" spans="1:28" ht="14.25" outlineLevel="1" x14ac:dyDescent="0.2">
      <c r="A3116" s="75" t="s">
        <v>2794</v>
      </c>
      <c r="B3116" s="76" t="s">
        <v>3607</v>
      </c>
      <c r="C3116" s="76" t="s">
        <v>4160</v>
      </c>
      <c r="D3116" s="81" t="str">
        <f t="shared" si="54"/>
        <v>Recup CalorieRaccord Hydraulique FILETE 3/4"(18L)</v>
      </c>
      <c r="E3116" s="76" t="s">
        <v>4161</v>
      </c>
      <c r="F3116" s="81">
        <v>14</v>
      </c>
      <c r="G3116" s="86" t="s">
        <v>2916</v>
      </c>
      <c r="H3116" s="71"/>
      <c r="I3116" s="102"/>
      <c r="J3116" s="70">
        <f>IFERROR(VLOOKUP(Devis[[#This Row],[Ref Air Flux]],#REF!,3,FALSE),0)</f>
        <v>0</v>
      </c>
      <c r="K3116" s="68"/>
      <c r="L3116" s="68"/>
      <c r="M3116" s="68"/>
      <c r="N3116" s="68"/>
      <c r="O3116" s="68"/>
      <c r="P3116" s="68"/>
      <c r="Q3116" s="68">
        <f>SUM(Devis[[#This Row],[Poste 1]:[Poste 6]])</f>
        <v>0</v>
      </c>
      <c r="R3116" s="71"/>
      <c r="S3116" s="68">
        <f>_xlfn.CEILING.MATH(Devis[[#This Row],[Quantité Totale]],Devis[[#This Row],[Conditionnement]])</f>
        <v>0</v>
      </c>
      <c r="T3116" s="72"/>
      <c r="U3116" s="106"/>
      <c r="V3116" s="74">
        <f>Devis[[#This Row],[Prix de Revient]]*Devis[[#This Row],[Poste 1]]</f>
        <v>0</v>
      </c>
      <c r="W3116" s="74">
        <f>Devis[[#This Row],[Prix de Revient]]*Devis[[#This Row],[Poste 2]]</f>
        <v>0</v>
      </c>
      <c r="X3116" s="74">
        <f>Devis[[#This Row],[Prix de Revient]]*Devis[[#This Row],[Poste 3]]</f>
        <v>0</v>
      </c>
      <c r="Y3116" s="74">
        <f>Devis[[#This Row],[Poste 4]]*Devis[[#This Row],[Prix de Revient]]</f>
        <v>0</v>
      </c>
      <c r="Z3116" s="74">
        <f>Devis[[#This Row],[Poste 5]]*Devis[[#This Row],[Prix de Revient]]</f>
        <v>0</v>
      </c>
      <c r="AA3116" s="74">
        <f>Devis[[#This Row],[Prix de Revient]]*Devis[[#This Row],[Poste 6]]</f>
        <v>0</v>
      </c>
      <c r="AB3116" s="74">
        <f>Devis[[#This Row],[Quantité Totale]]*Devis[[#This Row],[Prix de Revient]]</f>
        <v>0</v>
      </c>
    </row>
    <row r="3117" spans="1:28" ht="14.25" customHeight="1" x14ac:dyDescent="0.25">
      <c r="A3117" s="65" t="s">
        <v>2794</v>
      </c>
      <c r="B3117" s="65" t="s">
        <v>2883</v>
      </c>
      <c r="C3117" s="76"/>
      <c r="D3117" s="81" t="str">
        <f t="shared" si="54"/>
        <v>Recup CalorieRaccord Hydraulique passe cloison</v>
      </c>
      <c r="E3117" s="76"/>
      <c r="F3117" s="81">
        <v>0</v>
      </c>
      <c r="G3117" s="86"/>
      <c r="H3117" s="71"/>
      <c r="I3117" s="102"/>
      <c r="J3117" s="70">
        <f>IFERROR(VLOOKUP(Devis[[#This Row],[Ref Air Flux]],#REF!,3,FALSE),0)</f>
        <v>0</v>
      </c>
      <c r="K3117" s="68"/>
      <c r="L3117" s="68"/>
      <c r="M3117" s="68"/>
      <c r="N3117" s="68"/>
      <c r="O3117" s="68"/>
      <c r="P3117" s="68"/>
      <c r="Q3117" s="68">
        <f>SUM(Devis[[#This Row],[Poste 1]:[Poste 6]])</f>
        <v>0</v>
      </c>
      <c r="R3117" s="71"/>
      <c r="S3117" s="68">
        <f>_xlfn.CEILING.MATH(Devis[[#This Row],[Quantité Totale]],Devis[[#This Row],[Conditionnement]])</f>
        <v>0</v>
      </c>
      <c r="T3117" s="72"/>
      <c r="U3117" s="106"/>
      <c r="V3117" s="74">
        <f>Devis[[#This Row],[Prix de Revient]]*Devis[[#This Row],[Poste 1]]</f>
        <v>0</v>
      </c>
      <c r="W3117" s="74">
        <f>Devis[[#This Row],[Prix de Revient]]*Devis[[#This Row],[Poste 2]]</f>
        <v>0</v>
      </c>
      <c r="X3117" s="74">
        <f>Devis[[#This Row],[Prix de Revient]]*Devis[[#This Row],[Poste 3]]</f>
        <v>0</v>
      </c>
      <c r="Y3117" s="74">
        <f>Devis[[#This Row],[Poste 4]]*Devis[[#This Row],[Prix de Revient]]</f>
        <v>0</v>
      </c>
      <c r="Z3117" s="74">
        <f>Devis[[#This Row],[Poste 5]]*Devis[[#This Row],[Prix de Revient]]</f>
        <v>0</v>
      </c>
      <c r="AA3117" s="74">
        <f>Devis[[#This Row],[Prix de Revient]]*Devis[[#This Row],[Poste 6]]</f>
        <v>0</v>
      </c>
      <c r="AB3117" s="74">
        <f>Devis[[#This Row],[Quantité Totale]]*Devis[[#This Row],[Prix de Revient]]</f>
        <v>0</v>
      </c>
    </row>
    <row r="3118" spans="1:28" ht="14.25" customHeight="1" outlineLevel="1" x14ac:dyDescent="0.2">
      <c r="A3118" s="75" t="s">
        <v>2794</v>
      </c>
      <c r="B3118" s="76" t="s">
        <v>2883</v>
      </c>
      <c r="C3118" s="76" t="s">
        <v>4167</v>
      </c>
      <c r="D3118" s="81" t="str">
        <f t="shared" si="54"/>
        <v>Recup CalorieRaccord Hydraulique passe cloison1/2"(15L)</v>
      </c>
      <c r="E3118" s="76" t="s">
        <v>4168</v>
      </c>
      <c r="F3118" s="81">
        <v>1</v>
      </c>
      <c r="G3118" s="86" t="s">
        <v>2884</v>
      </c>
      <c r="H3118" s="71"/>
      <c r="I3118" s="102"/>
      <c r="J3118" s="70">
        <f>IFERROR(VLOOKUP(Devis[[#This Row],[Ref Air Flux]],#REF!,3,FALSE),0)</f>
        <v>0</v>
      </c>
      <c r="K3118" s="68"/>
      <c r="L3118" s="68"/>
      <c r="M3118" s="68"/>
      <c r="N3118" s="68"/>
      <c r="O3118" s="68"/>
      <c r="P3118" s="68"/>
      <c r="Q3118" s="68">
        <f>SUM(Devis[[#This Row],[Poste 1]:[Poste 6]])</f>
        <v>0</v>
      </c>
      <c r="R3118" s="71"/>
      <c r="S3118" s="68">
        <f>_xlfn.CEILING.MATH(Devis[[#This Row],[Quantité Totale]],Devis[[#This Row],[Conditionnement]])</f>
        <v>0</v>
      </c>
      <c r="T3118" s="72"/>
      <c r="U3118" s="106"/>
      <c r="V3118" s="74">
        <f>Devis[[#This Row],[Prix de Revient]]*Devis[[#This Row],[Poste 1]]</f>
        <v>0</v>
      </c>
      <c r="W3118" s="74">
        <f>Devis[[#This Row],[Prix de Revient]]*Devis[[#This Row],[Poste 2]]</f>
        <v>0</v>
      </c>
      <c r="X3118" s="74">
        <f>Devis[[#This Row],[Prix de Revient]]*Devis[[#This Row],[Poste 3]]</f>
        <v>0</v>
      </c>
      <c r="Y3118" s="74">
        <f>Devis[[#This Row],[Poste 4]]*Devis[[#This Row],[Prix de Revient]]</f>
        <v>0</v>
      </c>
      <c r="Z3118" s="74">
        <f>Devis[[#This Row],[Poste 5]]*Devis[[#This Row],[Prix de Revient]]</f>
        <v>0</v>
      </c>
      <c r="AA3118" s="74">
        <f>Devis[[#This Row],[Prix de Revient]]*Devis[[#This Row],[Poste 6]]</f>
        <v>0</v>
      </c>
      <c r="AB3118" s="74">
        <f>Devis[[#This Row],[Quantité Totale]]*Devis[[#This Row],[Prix de Revient]]</f>
        <v>0</v>
      </c>
    </row>
    <row r="3119" spans="1:28" ht="14.25" outlineLevel="1" x14ac:dyDescent="0.2">
      <c r="A3119" s="75" t="s">
        <v>2794</v>
      </c>
      <c r="B3119" s="76" t="s">
        <v>2883</v>
      </c>
      <c r="C3119" s="76" t="s">
        <v>4169</v>
      </c>
      <c r="D3119" s="81" t="str">
        <f t="shared" ref="D3119:D3150" si="55">A3119&amp;B3119&amp;C3119</f>
        <v>Recup CalorieRaccord Hydraulique passe cloison3/4"(22l)</v>
      </c>
      <c r="E3119" s="76" t="s">
        <v>4170</v>
      </c>
      <c r="F3119" s="81">
        <v>2</v>
      </c>
      <c r="G3119" s="86" t="s">
        <v>2885</v>
      </c>
      <c r="H3119" s="71"/>
      <c r="I3119" s="102"/>
      <c r="J3119" s="70">
        <f>IFERROR(VLOOKUP(Devis[[#This Row],[Ref Air Flux]],#REF!,3,FALSE),0)</f>
        <v>0</v>
      </c>
      <c r="K3119" s="68"/>
      <c r="L3119" s="68"/>
      <c r="M3119" s="68"/>
      <c r="N3119" s="68"/>
      <c r="O3119" s="68"/>
      <c r="P3119" s="68"/>
      <c r="Q3119" s="68">
        <f>SUM(Devis[[#This Row],[Poste 1]:[Poste 6]])</f>
        <v>0</v>
      </c>
      <c r="R3119" s="71"/>
      <c r="S3119" s="68">
        <f>_xlfn.CEILING.MATH(Devis[[#This Row],[Quantité Totale]],Devis[[#This Row],[Conditionnement]])</f>
        <v>0</v>
      </c>
      <c r="T3119" s="72"/>
      <c r="U3119" s="106"/>
      <c r="V3119" s="74">
        <f>Devis[[#This Row],[Prix de Revient]]*Devis[[#This Row],[Poste 1]]</f>
        <v>0</v>
      </c>
      <c r="W3119" s="74">
        <f>Devis[[#This Row],[Prix de Revient]]*Devis[[#This Row],[Poste 2]]</f>
        <v>0</v>
      </c>
      <c r="X3119" s="74">
        <f>Devis[[#This Row],[Prix de Revient]]*Devis[[#This Row],[Poste 3]]</f>
        <v>0</v>
      </c>
      <c r="Y3119" s="74">
        <f>Devis[[#This Row],[Poste 4]]*Devis[[#This Row],[Prix de Revient]]</f>
        <v>0</v>
      </c>
      <c r="Z3119" s="74">
        <f>Devis[[#This Row],[Poste 5]]*Devis[[#This Row],[Prix de Revient]]</f>
        <v>0</v>
      </c>
      <c r="AA3119" s="74">
        <f>Devis[[#This Row],[Prix de Revient]]*Devis[[#This Row],[Poste 6]]</f>
        <v>0</v>
      </c>
      <c r="AB3119" s="74">
        <f>Devis[[#This Row],[Quantité Totale]]*Devis[[#This Row],[Prix de Revient]]</f>
        <v>0</v>
      </c>
    </row>
    <row r="3120" spans="1:28" ht="14.25" outlineLevel="1" x14ac:dyDescent="0.2">
      <c r="A3120" s="75" t="s">
        <v>2794</v>
      </c>
      <c r="B3120" s="76" t="s">
        <v>2883</v>
      </c>
      <c r="C3120" s="76" t="s">
        <v>4162</v>
      </c>
      <c r="D3120" s="81" t="str">
        <f t="shared" si="55"/>
        <v>Recup CalorieRaccord Hydraulique passe cloison1"(28L)</v>
      </c>
      <c r="E3120" s="76" t="s">
        <v>4163</v>
      </c>
      <c r="F3120" s="81">
        <v>3</v>
      </c>
      <c r="G3120" s="86" t="s">
        <v>2886</v>
      </c>
      <c r="H3120" s="71"/>
      <c r="I3120" s="102"/>
      <c r="J3120" s="70">
        <f>IFERROR(VLOOKUP(Devis[[#This Row],[Ref Air Flux]],#REF!,3,FALSE),0)</f>
        <v>0</v>
      </c>
      <c r="K3120" s="68"/>
      <c r="L3120" s="68"/>
      <c r="M3120" s="68"/>
      <c r="N3120" s="68"/>
      <c r="O3120" s="68"/>
      <c r="P3120" s="68"/>
      <c r="Q3120" s="68">
        <f>SUM(Devis[[#This Row],[Poste 1]:[Poste 6]])</f>
        <v>0</v>
      </c>
      <c r="R3120" s="71"/>
      <c r="S3120" s="68">
        <f>_xlfn.CEILING.MATH(Devis[[#This Row],[Quantité Totale]],Devis[[#This Row],[Conditionnement]])</f>
        <v>0</v>
      </c>
      <c r="T3120" s="72"/>
      <c r="U3120" s="106"/>
      <c r="V3120" s="74">
        <f>Devis[[#This Row],[Prix de Revient]]*Devis[[#This Row],[Poste 1]]</f>
        <v>0</v>
      </c>
      <c r="W3120" s="74">
        <f>Devis[[#This Row],[Prix de Revient]]*Devis[[#This Row],[Poste 2]]</f>
        <v>0</v>
      </c>
      <c r="X3120" s="74">
        <f>Devis[[#This Row],[Prix de Revient]]*Devis[[#This Row],[Poste 3]]</f>
        <v>0</v>
      </c>
      <c r="Y3120" s="74">
        <f>Devis[[#This Row],[Poste 4]]*Devis[[#This Row],[Prix de Revient]]</f>
        <v>0</v>
      </c>
      <c r="Z3120" s="74">
        <f>Devis[[#This Row],[Poste 5]]*Devis[[#This Row],[Prix de Revient]]</f>
        <v>0</v>
      </c>
      <c r="AA3120" s="74">
        <f>Devis[[#This Row],[Prix de Revient]]*Devis[[#This Row],[Poste 6]]</f>
        <v>0</v>
      </c>
      <c r="AB3120" s="74">
        <f>Devis[[#This Row],[Quantité Totale]]*Devis[[#This Row],[Prix de Revient]]</f>
        <v>0</v>
      </c>
    </row>
    <row r="3121" spans="1:28" ht="14.25" customHeight="1" outlineLevel="1" x14ac:dyDescent="0.2">
      <c r="A3121" s="75" t="s">
        <v>2794</v>
      </c>
      <c r="B3121" s="76" t="s">
        <v>2883</v>
      </c>
      <c r="C3121" s="76" t="s">
        <v>4152</v>
      </c>
      <c r="D3121" s="81" t="str">
        <f t="shared" si="55"/>
        <v>Recup CalorieRaccord Hydraulique passe cloison1"1/4(35L)</v>
      </c>
      <c r="E3121" s="76" t="s">
        <v>4166</v>
      </c>
      <c r="F3121" s="81">
        <v>4</v>
      </c>
      <c r="G3121" s="86" t="s">
        <v>2887</v>
      </c>
      <c r="H3121" s="71"/>
      <c r="I3121" s="102"/>
      <c r="J3121" s="70">
        <f>IFERROR(VLOOKUP(Devis[[#This Row],[Ref Air Flux]],#REF!,3,FALSE),0)</f>
        <v>0</v>
      </c>
      <c r="K3121" s="68"/>
      <c r="L3121" s="68"/>
      <c r="M3121" s="68"/>
      <c r="N3121" s="68"/>
      <c r="O3121" s="68"/>
      <c r="P3121" s="68"/>
      <c r="Q3121" s="68">
        <f>SUM(Devis[[#This Row],[Poste 1]:[Poste 6]])</f>
        <v>0</v>
      </c>
      <c r="R3121" s="71"/>
      <c r="S3121" s="68">
        <f>_xlfn.CEILING.MATH(Devis[[#This Row],[Quantité Totale]],Devis[[#This Row],[Conditionnement]])</f>
        <v>0</v>
      </c>
      <c r="T3121" s="72"/>
      <c r="U3121" s="106"/>
      <c r="V3121" s="74">
        <f>Devis[[#This Row],[Prix de Revient]]*Devis[[#This Row],[Poste 1]]</f>
        <v>0</v>
      </c>
      <c r="W3121" s="74">
        <f>Devis[[#This Row],[Prix de Revient]]*Devis[[#This Row],[Poste 2]]</f>
        <v>0</v>
      </c>
      <c r="X3121" s="74">
        <f>Devis[[#This Row],[Prix de Revient]]*Devis[[#This Row],[Poste 3]]</f>
        <v>0</v>
      </c>
      <c r="Y3121" s="74">
        <f>Devis[[#This Row],[Poste 4]]*Devis[[#This Row],[Prix de Revient]]</f>
        <v>0</v>
      </c>
      <c r="Z3121" s="74">
        <f>Devis[[#This Row],[Poste 5]]*Devis[[#This Row],[Prix de Revient]]</f>
        <v>0</v>
      </c>
      <c r="AA3121" s="74">
        <f>Devis[[#This Row],[Prix de Revient]]*Devis[[#This Row],[Poste 6]]</f>
        <v>0</v>
      </c>
      <c r="AB3121" s="74">
        <f>Devis[[#This Row],[Quantité Totale]]*Devis[[#This Row],[Prix de Revient]]</f>
        <v>0</v>
      </c>
    </row>
    <row r="3122" spans="1:28" ht="14.25" customHeight="1" outlineLevel="1" x14ac:dyDescent="0.2">
      <c r="A3122" s="75" t="s">
        <v>2794</v>
      </c>
      <c r="B3122" s="76" t="s">
        <v>2883</v>
      </c>
      <c r="C3122" s="76" t="s">
        <v>4164</v>
      </c>
      <c r="D3122" s="81" t="str">
        <f t="shared" si="55"/>
        <v>Recup CalorieRaccord Hydraulique passe cloison1"1/2(42l)</v>
      </c>
      <c r="E3122" s="76" t="s">
        <v>4165</v>
      </c>
      <c r="F3122" s="81">
        <v>5</v>
      </c>
      <c r="G3122" s="86" t="s">
        <v>2888</v>
      </c>
      <c r="H3122" s="71"/>
      <c r="I3122" s="102"/>
      <c r="J3122" s="70">
        <f>IFERROR(VLOOKUP(Devis[[#This Row],[Ref Air Flux]],#REF!,3,FALSE),0)</f>
        <v>0</v>
      </c>
      <c r="K3122" s="68"/>
      <c r="L3122" s="68"/>
      <c r="M3122" s="68"/>
      <c r="N3122" s="68"/>
      <c r="O3122" s="68"/>
      <c r="P3122" s="68"/>
      <c r="Q3122" s="68">
        <f>SUM(Devis[[#This Row],[Poste 1]:[Poste 6]])</f>
        <v>0</v>
      </c>
      <c r="R3122" s="71"/>
      <c r="S3122" s="68">
        <f>_xlfn.CEILING.MATH(Devis[[#This Row],[Quantité Totale]],Devis[[#This Row],[Conditionnement]])</f>
        <v>0</v>
      </c>
      <c r="T3122" s="72"/>
      <c r="U3122" s="106"/>
      <c r="V3122" s="74">
        <f>Devis[[#This Row],[Prix de Revient]]*Devis[[#This Row],[Poste 1]]</f>
        <v>0</v>
      </c>
      <c r="W3122" s="74">
        <f>Devis[[#This Row],[Prix de Revient]]*Devis[[#This Row],[Poste 2]]</f>
        <v>0</v>
      </c>
      <c r="X3122" s="74">
        <f>Devis[[#This Row],[Prix de Revient]]*Devis[[#This Row],[Poste 3]]</f>
        <v>0</v>
      </c>
      <c r="Y3122" s="74">
        <f>Devis[[#This Row],[Poste 4]]*Devis[[#This Row],[Prix de Revient]]</f>
        <v>0</v>
      </c>
      <c r="Z3122" s="74">
        <f>Devis[[#This Row],[Poste 5]]*Devis[[#This Row],[Prix de Revient]]</f>
        <v>0</v>
      </c>
      <c r="AA3122" s="74">
        <f>Devis[[#This Row],[Prix de Revient]]*Devis[[#This Row],[Poste 6]]</f>
        <v>0</v>
      </c>
      <c r="AB3122" s="74">
        <f>Devis[[#This Row],[Quantité Totale]]*Devis[[#This Row],[Prix de Revient]]</f>
        <v>0</v>
      </c>
    </row>
    <row r="3123" spans="1:28" ht="14.25" customHeight="1" x14ac:dyDescent="0.25">
      <c r="A3123" s="65" t="s">
        <v>2794</v>
      </c>
      <c r="B3123" s="65" t="s">
        <v>2889</v>
      </c>
      <c r="C3123" s="76"/>
      <c r="D3123" s="81" t="str">
        <f t="shared" si="55"/>
        <v>Recup CalorieRaccord Hydraulique Raccord union</v>
      </c>
      <c r="E3123" s="76"/>
      <c r="F3123" s="81">
        <v>0</v>
      </c>
      <c r="G3123" s="86"/>
      <c r="H3123" s="71"/>
      <c r="I3123" s="102"/>
      <c r="J3123" s="70">
        <f>IFERROR(VLOOKUP(Devis[[#This Row],[Ref Air Flux]],#REF!,3,FALSE),0)</f>
        <v>0</v>
      </c>
      <c r="K3123" s="68"/>
      <c r="L3123" s="68"/>
      <c r="M3123" s="68"/>
      <c r="N3123" s="68"/>
      <c r="O3123" s="68"/>
      <c r="P3123" s="68"/>
      <c r="Q3123" s="68">
        <f>SUM(Devis[[#This Row],[Poste 1]:[Poste 6]])</f>
        <v>0</v>
      </c>
      <c r="R3123" s="71"/>
      <c r="S3123" s="68">
        <f>_xlfn.CEILING.MATH(Devis[[#This Row],[Quantité Totale]],Devis[[#This Row],[Conditionnement]])</f>
        <v>0</v>
      </c>
      <c r="T3123" s="72"/>
      <c r="U3123" s="106"/>
      <c r="V3123" s="74">
        <f>Devis[[#This Row],[Prix de Revient]]*Devis[[#This Row],[Poste 1]]</f>
        <v>0</v>
      </c>
      <c r="W3123" s="74">
        <f>Devis[[#This Row],[Prix de Revient]]*Devis[[#This Row],[Poste 2]]</f>
        <v>0</v>
      </c>
      <c r="X3123" s="74">
        <f>Devis[[#This Row],[Prix de Revient]]*Devis[[#This Row],[Poste 3]]</f>
        <v>0</v>
      </c>
      <c r="Y3123" s="74">
        <f>Devis[[#This Row],[Poste 4]]*Devis[[#This Row],[Prix de Revient]]</f>
        <v>0</v>
      </c>
      <c r="Z3123" s="74">
        <f>Devis[[#This Row],[Poste 5]]*Devis[[#This Row],[Prix de Revient]]</f>
        <v>0</v>
      </c>
      <c r="AA3123" s="74">
        <f>Devis[[#This Row],[Prix de Revient]]*Devis[[#This Row],[Poste 6]]</f>
        <v>0</v>
      </c>
      <c r="AB3123" s="74">
        <f>Devis[[#This Row],[Quantité Totale]]*Devis[[#This Row],[Prix de Revient]]</f>
        <v>0</v>
      </c>
    </row>
    <row r="3124" spans="1:28" ht="14.25" customHeight="1" outlineLevel="1" x14ac:dyDescent="0.2">
      <c r="A3124" s="75" t="s">
        <v>2794</v>
      </c>
      <c r="B3124" s="76" t="s">
        <v>2889</v>
      </c>
      <c r="C3124" s="76" t="s">
        <v>4175</v>
      </c>
      <c r="D3124" s="81" t="str">
        <f t="shared" si="55"/>
        <v>Recup CalorieRaccord Hydraulique Raccord union1/2" (15L)</v>
      </c>
      <c r="E3124" s="76" t="s">
        <v>4176</v>
      </c>
      <c r="F3124" s="81">
        <v>1</v>
      </c>
      <c r="G3124" s="86" t="s">
        <v>2890</v>
      </c>
      <c r="H3124" s="71"/>
      <c r="I3124" s="102"/>
      <c r="J3124" s="70">
        <f>IFERROR(VLOOKUP(Devis[[#This Row],[Ref Air Flux]],#REF!,3,FALSE),0)</f>
        <v>0</v>
      </c>
      <c r="K3124" s="68"/>
      <c r="L3124" s="68"/>
      <c r="M3124" s="68"/>
      <c r="N3124" s="68"/>
      <c r="O3124" s="68"/>
      <c r="P3124" s="68"/>
      <c r="Q3124" s="68">
        <f>SUM(Devis[[#This Row],[Poste 1]:[Poste 6]])</f>
        <v>0</v>
      </c>
      <c r="R3124" s="71"/>
      <c r="S3124" s="68">
        <f>_xlfn.CEILING.MATH(Devis[[#This Row],[Quantité Totale]],Devis[[#This Row],[Conditionnement]])</f>
        <v>0</v>
      </c>
      <c r="T3124" s="72"/>
      <c r="U3124" s="106"/>
      <c r="V3124" s="74">
        <f>Devis[[#This Row],[Prix de Revient]]*Devis[[#This Row],[Poste 1]]</f>
        <v>0</v>
      </c>
      <c r="W3124" s="74">
        <f>Devis[[#This Row],[Prix de Revient]]*Devis[[#This Row],[Poste 2]]</f>
        <v>0</v>
      </c>
      <c r="X3124" s="74">
        <f>Devis[[#This Row],[Prix de Revient]]*Devis[[#This Row],[Poste 3]]</f>
        <v>0</v>
      </c>
      <c r="Y3124" s="74">
        <f>Devis[[#This Row],[Poste 4]]*Devis[[#This Row],[Prix de Revient]]</f>
        <v>0</v>
      </c>
      <c r="Z3124" s="74">
        <f>Devis[[#This Row],[Poste 5]]*Devis[[#This Row],[Prix de Revient]]</f>
        <v>0</v>
      </c>
      <c r="AA3124" s="74">
        <f>Devis[[#This Row],[Prix de Revient]]*Devis[[#This Row],[Poste 6]]</f>
        <v>0</v>
      </c>
      <c r="AB3124" s="74">
        <f>Devis[[#This Row],[Quantité Totale]]*Devis[[#This Row],[Prix de Revient]]</f>
        <v>0</v>
      </c>
    </row>
    <row r="3125" spans="1:28" ht="14.25" customHeight="1" outlineLevel="1" x14ac:dyDescent="0.2">
      <c r="A3125" s="75" t="s">
        <v>2794</v>
      </c>
      <c r="B3125" s="76" t="s">
        <v>2889</v>
      </c>
      <c r="C3125" s="76" t="s">
        <v>4177</v>
      </c>
      <c r="D3125" s="81" t="str">
        <f t="shared" si="55"/>
        <v>Recup CalorieRaccord Hydraulique Raccord union1/2" (18L)</v>
      </c>
      <c r="E3125" s="76" t="s">
        <v>4178</v>
      </c>
      <c r="F3125" s="81">
        <v>2</v>
      </c>
      <c r="G3125" s="86" t="s">
        <v>2891</v>
      </c>
      <c r="H3125" s="71"/>
      <c r="I3125" s="102"/>
      <c r="J3125" s="70">
        <f>IFERROR(VLOOKUP(Devis[[#This Row],[Ref Air Flux]],#REF!,3,FALSE),0)</f>
        <v>0</v>
      </c>
      <c r="K3125" s="68"/>
      <c r="L3125" s="68"/>
      <c r="M3125" s="68"/>
      <c r="N3125" s="68"/>
      <c r="O3125" s="68"/>
      <c r="P3125" s="68"/>
      <c r="Q3125" s="68">
        <f>SUM(Devis[[#This Row],[Poste 1]:[Poste 6]])</f>
        <v>0</v>
      </c>
      <c r="R3125" s="71"/>
      <c r="S3125" s="68">
        <f>_xlfn.CEILING.MATH(Devis[[#This Row],[Quantité Totale]],Devis[[#This Row],[Conditionnement]])</f>
        <v>0</v>
      </c>
      <c r="T3125" s="72"/>
      <c r="U3125" s="106"/>
      <c r="V3125" s="74">
        <f>Devis[[#This Row],[Prix de Revient]]*Devis[[#This Row],[Poste 1]]</f>
        <v>0</v>
      </c>
      <c r="W3125" s="74">
        <f>Devis[[#This Row],[Prix de Revient]]*Devis[[#This Row],[Poste 2]]</f>
        <v>0</v>
      </c>
      <c r="X3125" s="74">
        <f>Devis[[#This Row],[Prix de Revient]]*Devis[[#This Row],[Poste 3]]</f>
        <v>0</v>
      </c>
      <c r="Y3125" s="74">
        <f>Devis[[#This Row],[Poste 4]]*Devis[[#This Row],[Prix de Revient]]</f>
        <v>0</v>
      </c>
      <c r="Z3125" s="74">
        <f>Devis[[#This Row],[Poste 5]]*Devis[[#This Row],[Prix de Revient]]</f>
        <v>0</v>
      </c>
      <c r="AA3125" s="74">
        <f>Devis[[#This Row],[Prix de Revient]]*Devis[[#This Row],[Poste 6]]</f>
        <v>0</v>
      </c>
      <c r="AB3125" s="74">
        <f>Devis[[#This Row],[Quantité Totale]]*Devis[[#This Row],[Prix de Revient]]</f>
        <v>0</v>
      </c>
    </row>
    <row r="3126" spans="1:28" ht="14.25" customHeight="1" outlineLevel="1" x14ac:dyDescent="0.2">
      <c r="A3126" s="75" t="s">
        <v>2794</v>
      </c>
      <c r="B3126" s="76" t="s">
        <v>2889</v>
      </c>
      <c r="C3126" s="76" t="s">
        <v>4156</v>
      </c>
      <c r="D3126" s="81" t="str">
        <f t="shared" si="55"/>
        <v>Recup CalorieRaccord Hydraulique Raccord union3/4" (22L)</v>
      </c>
      <c r="E3126" s="76" t="s">
        <v>4179</v>
      </c>
      <c r="F3126" s="81">
        <v>3</v>
      </c>
      <c r="G3126" s="86" t="s">
        <v>2892</v>
      </c>
      <c r="H3126" s="71"/>
      <c r="I3126" s="102"/>
      <c r="J3126" s="70">
        <f>IFERROR(VLOOKUP(Devis[[#This Row],[Ref Air Flux]],#REF!,3,FALSE),0)</f>
        <v>0</v>
      </c>
      <c r="K3126" s="68"/>
      <c r="L3126" s="68"/>
      <c r="M3126" s="68"/>
      <c r="N3126" s="68"/>
      <c r="O3126" s="68"/>
      <c r="P3126" s="68"/>
      <c r="Q3126" s="68">
        <f>SUM(Devis[[#This Row],[Poste 1]:[Poste 6]])</f>
        <v>0</v>
      </c>
      <c r="R3126" s="71"/>
      <c r="S3126" s="68">
        <f>_xlfn.CEILING.MATH(Devis[[#This Row],[Quantité Totale]],Devis[[#This Row],[Conditionnement]])</f>
        <v>0</v>
      </c>
      <c r="T3126" s="72"/>
      <c r="U3126" s="106"/>
      <c r="V3126" s="74">
        <f>Devis[[#This Row],[Prix de Revient]]*Devis[[#This Row],[Poste 1]]</f>
        <v>0</v>
      </c>
      <c r="W3126" s="74">
        <f>Devis[[#This Row],[Prix de Revient]]*Devis[[#This Row],[Poste 2]]</f>
        <v>0</v>
      </c>
      <c r="X3126" s="74">
        <f>Devis[[#This Row],[Prix de Revient]]*Devis[[#This Row],[Poste 3]]</f>
        <v>0</v>
      </c>
      <c r="Y3126" s="74">
        <f>Devis[[#This Row],[Poste 4]]*Devis[[#This Row],[Prix de Revient]]</f>
        <v>0</v>
      </c>
      <c r="Z3126" s="74">
        <f>Devis[[#This Row],[Poste 5]]*Devis[[#This Row],[Prix de Revient]]</f>
        <v>0</v>
      </c>
      <c r="AA3126" s="74">
        <f>Devis[[#This Row],[Prix de Revient]]*Devis[[#This Row],[Poste 6]]</f>
        <v>0</v>
      </c>
      <c r="AB3126" s="74">
        <f>Devis[[#This Row],[Quantité Totale]]*Devis[[#This Row],[Prix de Revient]]</f>
        <v>0</v>
      </c>
    </row>
    <row r="3127" spans="1:28" ht="14.25" customHeight="1" outlineLevel="1" x14ac:dyDescent="0.2">
      <c r="A3127" s="75" t="s">
        <v>2794</v>
      </c>
      <c r="B3127" s="76" t="s">
        <v>2889</v>
      </c>
      <c r="C3127" s="76" t="s">
        <v>4171</v>
      </c>
      <c r="D3127" s="81" t="str">
        <f t="shared" si="55"/>
        <v>Recup CalorieRaccord Hydraulique Raccord union1" (28L)</v>
      </c>
      <c r="E3127" s="76" t="s">
        <v>4172</v>
      </c>
      <c r="F3127" s="81">
        <v>4</v>
      </c>
      <c r="G3127" s="86" t="s">
        <v>2893</v>
      </c>
      <c r="H3127" s="71"/>
      <c r="I3127" s="102"/>
      <c r="J3127" s="70">
        <f>IFERROR(VLOOKUP(Devis[[#This Row],[Ref Air Flux]],#REF!,3,FALSE),0)</f>
        <v>0</v>
      </c>
      <c r="K3127" s="68"/>
      <c r="L3127" s="68"/>
      <c r="M3127" s="68"/>
      <c r="N3127" s="68"/>
      <c r="O3127" s="68"/>
      <c r="P3127" s="68"/>
      <c r="Q3127" s="68">
        <f>SUM(Devis[[#This Row],[Poste 1]:[Poste 6]])</f>
        <v>0</v>
      </c>
      <c r="R3127" s="71"/>
      <c r="S3127" s="68">
        <f>_xlfn.CEILING.MATH(Devis[[#This Row],[Quantité Totale]],Devis[[#This Row],[Conditionnement]])</f>
        <v>0</v>
      </c>
      <c r="T3127" s="72"/>
      <c r="U3127" s="106"/>
      <c r="V3127" s="74">
        <f>Devis[[#This Row],[Prix de Revient]]*Devis[[#This Row],[Poste 1]]</f>
        <v>0</v>
      </c>
      <c r="W3127" s="74">
        <f>Devis[[#This Row],[Prix de Revient]]*Devis[[#This Row],[Poste 2]]</f>
        <v>0</v>
      </c>
      <c r="X3127" s="74">
        <f>Devis[[#This Row],[Prix de Revient]]*Devis[[#This Row],[Poste 3]]</f>
        <v>0</v>
      </c>
      <c r="Y3127" s="74">
        <f>Devis[[#This Row],[Poste 4]]*Devis[[#This Row],[Prix de Revient]]</f>
        <v>0</v>
      </c>
      <c r="Z3127" s="74">
        <f>Devis[[#This Row],[Poste 5]]*Devis[[#This Row],[Prix de Revient]]</f>
        <v>0</v>
      </c>
      <c r="AA3127" s="74">
        <f>Devis[[#This Row],[Prix de Revient]]*Devis[[#This Row],[Poste 6]]</f>
        <v>0</v>
      </c>
      <c r="AB3127" s="74">
        <f>Devis[[#This Row],[Quantité Totale]]*Devis[[#This Row],[Prix de Revient]]</f>
        <v>0</v>
      </c>
    </row>
    <row r="3128" spans="1:28" ht="14.25" customHeight="1" outlineLevel="1" x14ac:dyDescent="0.2">
      <c r="A3128" s="75" t="s">
        <v>2794</v>
      </c>
      <c r="B3128" s="76" t="s">
        <v>2889</v>
      </c>
      <c r="C3128" s="76" t="s">
        <v>4173</v>
      </c>
      <c r="D3128" s="81" t="str">
        <f t="shared" si="55"/>
        <v>Recup CalorieRaccord Hydraulique Raccord union1"1/2  (42L)</v>
      </c>
      <c r="E3128" s="76" t="s">
        <v>4174</v>
      </c>
      <c r="F3128" s="81">
        <v>5</v>
      </c>
      <c r="G3128" s="86" t="s">
        <v>2894</v>
      </c>
      <c r="H3128" s="71"/>
      <c r="I3128" s="102"/>
      <c r="J3128" s="70">
        <f>IFERROR(VLOOKUP(Devis[[#This Row],[Ref Air Flux]],#REF!,3,FALSE),0)</f>
        <v>0</v>
      </c>
      <c r="K3128" s="68"/>
      <c r="L3128" s="68"/>
      <c r="M3128" s="68"/>
      <c r="N3128" s="68"/>
      <c r="O3128" s="68"/>
      <c r="P3128" s="68"/>
      <c r="Q3128" s="68">
        <f>SUM(Devis[[#This Row],[Poste 1]:[Poste 6]])</f>
        <v>0</v>
      </c>
      <c r="R3128" s="71"/>
      <c r="S3128" s="68">
        <f>_xlfn.CEILING.MATH(Devis[[#This Row],[Quantité Totale]],Devis[[#This Row],[Conditionnement]])</f>
        <v>0</v>
      </c>
      <c r="T3128" s="72"/>
      <c r="U3128" s="106"/>
      <c r="V3128" s="74">
        <f>Devis[[#This Row],[Prix de Revient]]*Devis[[#This Row],[Poste 1]]</f>
        <v>0</v>
      </c>
      <c r="W3128" s="74">
        <f>Devis[[#This Row],[Prix de Revient]]*Devis[[#This Row],[Poste 2]]</f>
        <v>0</v>
      </c>
      <c r="X3128" s="74">
        <f>Devis[[#This Row],[Prix de Revient]]*Devis[[#This Row],[Poste 3]]</f>
        <v>0</v>
      </c>
      <c r="Y3128" s="74">
        <f>Devis[[#This Row],[Poste 4]]*Devis[[#This Row],[Prix de Revient]]</f>
        <v>0</v>
      </c>
      <c r="Z3128" s="74">
        <f>Devis[[#This Row],[Poste 5]]*Devis[[#This Row],[Prix de Revient]]</f>
        <v>0</v>
      </c>
      <c r="AA3128" s="74">
        <f>Devis[[#This Row],[Prix de Revient]]*Devis[[#This Row],[Poste 6]]</f>
        <v>0</v>
      </c>
      <c r="AB3128" s="74">
        <f>Devis[[#This Row],[Quantité Totale]]*Devis[[#This Row],[Prix de Revient]]</f>
        <v>0</v>
      </c>
    </row>
    <row r="3129" spans="1:28" ht="14.25" customHeight="1" x14ac:dyDescent="0.25">
      <c r="A3129" s="65" t="s">
        <v>2794</v>
      </c>
      <c r="B3129" s="65" t="s">
        <v>3619</v>
      </c>
      <c r="C3129" s="76"/>
      <c r="D3129" s="81" t="str">
        <f t="shared" si="55"/>
        <v>Recup CalorieRaccord Hydraulique reduction(avec ecrou prisonié)</v>
      </c>
      <c r="E3129" s="76"/>
      <c r="F3129" s="81">
        <v>0</v>
      </c>
      <c r="G3129" s="86"/>
      <c r="H3129" s="71"/>
      <c r="I3129" s="102"/>
      <c r="J3129" s="70">
        <f>IFERROR(VLOOKUP(Devis[[#This Row],[Ref Air Flux]],#REF!,3,FALSE),0)</f>
        <v>0</v>
      </c>
      <c r="K3129" s="68"/>
      <c r="L3129" s="68"/>
      <c r="M3129" s="68"/>
      <c r="N3129" s="68"/>
      <c r="O3129" s="68"/>
      <c r="P3129" s="68"/>
      <c r="Q3129" s="68">
        <f>SUM(Devis[[#This Row],[Poste 1]:[Poste 6]])</f>
        <v>0</v>
      </c>
      <c r="R3129" s="71"/>
      <c r="S3129" s="68">
        <f>_xlfn.CEILING.MATH(Devis[[#This Row],[Quantité Totale]],Devis[[#This Row],[Conditionnement]])</f>
        <v>0</v>
      </c>
      <c r="T3129" s="72"/>
      <c r="U3129" s="106"/>
      <c r="V3129" s="74">
        <f>Devis[[#This Row],[Prix de Revient]]*Devis[[#This Row],[Poste 1]]</f>
        <v>0</v>
      </c>
      <c r="W3129" s="74">
        <f>Devis[[#This Row],[Prix de Revient]]*Devis[[#This Row],[Poste 2]]</f>
        <v>0</v>
      </c>
      <c r="X3129" s="74">
        <f>Devis[[#This Row],[Prix de Revient]]*Devis[[#This Row],[Poste 3]]</f>
        <v>0</v>
      </c>
      <c r="Y3129" s="74">
        <f>Devis[[#This Row],[Poste 4]]*Devis[[#This Row],[Prix de Revient]]</f>
        <v>0</v>
      </c>
      <c r="Z3129" s="74">
        <f>Devis[[#This Row],[Poste 5]]*Devis[[#This Row],[Prix de Revient]]</f>
        <v>0</v>
      </c>
      <c r="AA3129" s="74">
        <f>Devis[[#This Row],[Prix de Revient]]*Devis[[#This Row],[Poste 6]]</f>
        <v>0</v>
      </c>
      <c r="AB3129" s="74">
        <f>Devis[[#This Row],[Quantité Totale]]*Devis[[#This Row],[Prix de Revient]]</f>
        <v>0</v>
      </c>
    </row>
    <row r="3130" spans="1:28" ht="14.25" outlineLevel="1" x14ac:dyDescent="0.2">
      <c r="A3130" s="75" t="s">
        <v>2794</v>
      </c>
      <c r="B3130" s="76" t="s">
        <v>3619</v>
      </c>
      <c r="C3130" s="76" t="s">
        <v>4182</v>
      </c>
      <c r="D3130" s="81" t="str">
        <f t="shared" si="55"/>
        <v>Recup CalorieRaccord Hydraulique reduction(avec ecrou prisonié)1"1/4 x1" (35Lx28L)</v>
      </c>
      <c r="E3130" s="76" t="s">
        <v>4183</v>
      </c>
      <c r="F3130" s="81">
        <v>1</v>
      </c>
      <c r="G3130" s="86" t="s">
        <v>2896</v>
      </c>
      <c r="H3130" s="71"/>
      <c r="I3130" s="102"/>
      <c r="J3130" s="70">
        <f>IFERROR(VLOOKUP(Devis[[#This Row],[Ref Air Flux]],#REF!,3,FALSE),0)</f>
        <v>0</v>
      </c>
      <c r="K3130" s="68"/>
      <c r="L3130" s="68"/>
      <c r="M3130" s="68"/>
      <c r="N3130" s="68"/>
      <c r="O3130" s="68"/>
      <c r="P3130" s="68"/>
      <c r="Q3130" s="68">
        <f>SUM(Devis[[#This Row],[Poste 1]:[Poste 6]])</f>
        <v>0</v>
      </c>
      <c r="R3130" s="71"/>
      <c r="S3130" s="68">
        <f>_xlfn.CEILING.MATH(Devis[[#This Row],[Quantité Totale]],Devis[[#This Row],[Conditionnement]])</f>
        <v>0</v>
      </c>
      <c r="T3130" s="72"/>
      <c r="U3130" s="106"/>
      <c r="V3130" s="74">
        <f>Devis[[#This Row],[Prix de Revient]]*Devis[[#This Row],[Poste 1]]</f>
        <v>0</v>
      </c>
      <c r="W3130" s="74">
        <f>Devis[[#This Row],[Prix de Revient]]*Devis[[#This Row],[Poste 2]]</f>
        <v>0</v>
      </c>
      <c r="X3130" s="74">
        <f>Devis[[#This Row],[Prix de Revient]]*Devis[[#This Row],[Poste 3]]</f>
        <v>0</v>
      </c>
      <c r="Y3130" s="74">
        <f>Devis[[#This Row],[Poste 4]]*Devis[[#This Row],[Prix de Revient]]</f>
        <v>0</v>
      </c>
      <c r="Z3130" s="74">
        <f>Devis[[#This Row],[Poste 5]]*Devis[[#This Row],[Prix de Revient]]</f>
        <v>0</v>
      </c>
      <c r="AA3130" s="74">
        <f>Devis[[#This Row],[Prix de Revient]]*Devis[[#This Row],[Poste 6]]</f>
        <v>0</v>
      </c>
      <c r="AB3130" s="74">
        <f>Devis[[#This Row],[Quantité Totale]]*Devis[[#This Row],[Prix de Revient]]</f>
        <v>0</v>
      </c>
    </row>
    <row r="3131" spans="1:28" ht="14.25" outlineLevel="1" x14ac:dyDescent="0.2">
      <c r="A3131" s="75" t="s">
        <v>2794</v>
      </c>
      <c r="B3131" s="76" t="s">
        <v>3619</v>
      </c>
      <c r="C3131" s="76" t="s">
        <v>4180</v>
      </c>
      <c r="D3131" s="81" t="str">
        <f t="shared" si="55"/>
        <v>Recup CalorieRaccord Hydraulique reduction(avec ecrou prisonié)1"1/2x1"1/4 (42Lx35L)</v>
      </c>
      <c r="E3131" s="76" t="s">
        <v>4181</v>
      </c>
      <c r="F3131" s="81">
        <v>2</v>
      </c>
      <c r="G3131" s="86" t="s">
        <v>2895</v>
      </c>
      <c r="H3131" s="71"/>
      <c r="I3131" s="102"/>
      <c r="J3131" s="70">
        <f>IFERROR(VLOOKUP(Devis[[#This Row],[Ref Air Flux]],#REF!,3,FALSE),0)</f>
        <v>0</v>
      </c>
      <c r="K3131" s="68"/>
      <c r="L3131" s="68"/>
      <c r="M3131" s="68"/>
      <c r="N3131" s="68"/>
      <c r="O3131" s="68"/>
      <c r="P3131" s="68"/>
      <c r="Q3131" s="68">
        <f>SUM(Devis[[#This Row],[Poste 1]:[Poste 6]])</f>
        <v>0</v>
      </c>
      <c r="R3131" s="71"/>
      <c r="S3131" s="68">
        <f>_xlfn.CEILING.MATH(Devis[[#This Row],[Quantité Totale]],Devis[[#This Row],[Conditionnement]])</f>
        <v>0</v>
      </c>
      <c r="T3131" s="72"/>
      <c r="U3131" s="106"/>
      <c r="V3131" s="74">
        <f>Devis[[#This Row],[Prix de Revient]]*Devis[[#This Row],[Poste 1]]</f>
        <v>0</v>
      </c>
      <c r="W3131" s="74">
        <f>Devis[[#This Row],[Prix de Revient]]*Devis[[#This Row],[Poste 2]]</f>
        <v>0</v>
      </c>
      <c r="X3131" s="74">
        <f>Devis[[#This Row],[Prix de Revient]]*Devis[[#This Row],[Poste 3]]</f>
        <v>0</v>
      </c>
      <c r="Y3131" s="74">
        <f>Devis[[#This Row],[Poste 4]]*Devis[[#This Row],[Prix de Revient]]</f>
        <v>0</v>
      </c>
      <c r="Z3131" s="74">
        <f>Devis[[#This Row],[Poste 5]]*Devis[[#This Row],[Prix de Revient]]</f>
        <v>0</v>
      </c>
      <c r="AA3131" s="74">
        <f>Devis[[#This Row],[Prix de Revient]]*Devis[[#This Row],[Poste 6]]</f>
        <v>0</v>
      </c>
      <c r="AB3131" s="74">
        <f>Devis[[#This Row],[Quantité Totale]]*Devis[[#This Row],[Prix de Revient]]</f>
        <v>0</v>
      </c>
    </row>
    <row r="3132" spans="1:28" ht="14.25" customHeight="1" x14ac:dyDescent="0.25">
      <c r="A3132" s="65" t="s">
        <v>2794</v>
      </c>
      <c r="B3132" s="65" t="s">
        <v>2899</v>
      </c>
      <c r="C3132" s="76"/>
      <c r="D3132" s="81" t="str">
        <f t="shared" si="55"/>
        <v xml:space="preserve">Recup CalorieRaccord Hydraulique Té Embout lisse </v>
      </c>
      <c r="E3132" s="76"/>
      <c r="F3132" s="81">
        <v>0</v>
      </c>
      <c r="G3132" s="86"/>
      <c r="H3132" s="71"/>
      <c r="I3132" s="102"/>
      <c r="J3132" s="70">
        <f>IFERROR(VLOOKUP(Devis[[#This Row],[Ref Air Flux]],#REF!,3,FALSE),0)</f>
        <v>0</v>
      </c>
      <c r="K3132" s="68"/>
      <c r="L3132" s="68"/>
      <c r="M3132" s="68"/>
      <c r="N3132" s="68"/>
      <c r="O3132" s="68"/>
      <c r="P3132" s="68"/>
      <c r="Q3132" s="68">
        <f>SUM(Devis[[#This Row],[Poste 1]:[Poste 6]])</f>
        <v>0</v>
      </c>
      <c r="R3132" s="71"/>
      <c r="S3132" s="68">
        <f>_xlfn.CEILING.MATH(Devis[[#This Row],[Quantité Totale]],Devis[[#This Row],[Conditionnement]])</f>
        <v>0</v>
      </c>
      <c r="T3132" s="72"/>
      <c r="U3132" s="106"/>
      <c r="V3132" s="74">
        <f>Devis[[#This Row],[Prix de Revient]]*Devis[[#This Row],[Poste 1]]</f>
        <v>0</v>
      </c>
      <c r="W3132" s="74">
        <f>Devis[[#This Row],[Prix de Revient]]*Devis[[#This Row],[Poste 2]]</f>
        <v>0</v>
      </c>
      <c r="X3132" s="74">
        <f>Devis[[#This Row],[Prix de Revient]]*Devis[[#This Row],[Poste 3]]</f>
        <v>0</v>
      </c>
      <c r="Y3132" s="74">
        <f>Devis[[#This Row],[Poste 4]]*Devis[[#This Row],[Prix de Revient]]</f>
        <v>0</v>
      </c>
      <c r="Z3132" s="74">
        <f>Devis[[#This Row],[Poste 5]]*Devis[[#This Row],[Prix de Revient]]</f>
        <v>0</v>
      </c>
      <c r="AA3132" s="74">
        <f>Devis[[#This Row],[Prix de Revient]]*Devis[[#This Row],[Poste 6]]</f>
        <v>0</v>
      </c>
      <c r="AB3132" s="74">
        <f>Devis[[#This Row],[Quantité Totale]]*Devis[[#This Row],[Prix de Revient]]</f>
        <v>0</v>
      </c>
    </row>
    <row r="3133" spans="1:28" ht="14.25" customHeight="1" outlineLevel="1" x14ac:dyDescent="0.2">
      <c r="A3133" s="75" t="s">
        <v>2794</v>
      </c>
      <c r="B3133" s="76" t="s">
        <v>2899</v>
      </c>
      <c r="C3133" s="76" t="s">
        <v>4152</v>
      </c>
      <c r="D3133" s="81" t="str">
        <f t="shared" si="55"/>
        <v>Recup CalorieRaccord Hydraulique Té Embout lisse 1"1/4(35L)</v>
      </c>
      <c r="E3133" s="76" t="s">
        <v>4185</v>
      </c>
      <c r="F3133" s="81">
        <v>1</v>
      </c>
      <c r="G3133" s="86" t="s">
        <v>2900</v>
      </c>
      <c r="H3133" s="71"/>
      <c r="I3133" s="102"/>
      <c r="J3133" s="70">
        <f>IFERROR(VLOOKUP(Devis[[#This Row],[Ref Air Flux]],#REF!,3,FALSE),0)</f>
        <v>0</v>
      </c>
      <c r="K3133" s="68"/>
      <c r="L3133" s="68"/>
      <c r="M3133" s="68"/>
      <c r="N3133" s="68"/>
      <c r="O3133" s="68"/>
      <c r="P3133" s="68"/>
      <c r="Q3133" s="68">
        <f>SUM(Devis[[#This Row],[Poste 1]:[Poste 6]])</f>
        <v>0</v>
      </c>
      <c r="R3133" s="71"/>
      <c r="S3133" s="68">
        <f>_xlfn.CEILING.MATH(Devis[[#This Row],[Quantité Totale]],Devis[[#This Row],[Conditionnement]])</f>
        <v>0</v>
      </c>
      <c r="T3133" s="72"/>
      <c r="U3133" s="106"/>
      <c r="V3133" s="74">
        <f>Devis[[#This Row],[Prix de Revient]]*Devis[[#This Row],[Poste 1]]</f>
        <v>0</v>
      </c>
      <c r="W3133" s="74">
        <f>Devis[[#This Row],[Prix de Revient]]*Devis[[#This Row],[Poste 2]]</f>
        <v>0</v>
      </c>
      <c r="X3133" s="74">
        <f>Devis[[#This Row],[Prix de Revient]]*Devis[[#This Row],[Poste 3]]</f>
        <v>0</v>
      </c>
      <c r="Y3133" s="74">
        <f>Devis[[#This Row],[Poste 4]]*Devis[[#This Row],[Prix de Revient]]</f>
        <v>0</v>
      </c>
      <c r="Z3133" s="74">
        <f>Devis[[#This Row],[Poste 5]]*Devis[[#This Row],[Prix de Revient]]</f>
        <v>0</v>
      </c>
      <c r="AA3133" s="74">
        <f>Devis[[#This Row],[Prix de Revient]]*Devis[[#This Row],[Poste 6]]</f>
        <v>0</v>
      </c>
      <c r="AB3133" s="74">
        <f>Devis[[#This Row],[Quantité Totale]]*Devis[[#This Row],[Prix de Revient]]</f>
        <v>0</v>
      </c>
    </row>
    <row r="3134" spans="1:28" ht="15" customHeight="1" outlineLevel="1" x14ac:dyDescent="0.2">
      <c r="A3134" s="75" t="s">
        <v>2794</v>
      </c>
      <c r="B3134" s="76" t="s">
        <v>2899</v>
      </c>
      <c r="C3134" s="76" t="s">
        <v>4147</v>
      </c>
      <c r="D3134" s="81" t="str">
        <f t="shared" si="55"/>
        <v>Recup CalorieRaccord Hydraulique Té Embout lisse 1"1/2 (42L)</v>
      </c>
      <c r="E3134" s="76" t="s">
        <v>4184</v>
      </c>
      <c r="F3134" s="81">
        <v>2</v>
      </c>
      <c r="G3134" s="86" t="s">
        <v>2901</v>
      </c>
      <c r="H3134" s="71"/>
      <c r="I3134" s="102"/>
      <c r="J3134" s="70">
        <f>IFERROR(VLOOKUP(Devis[[#This Row],[Ref Air Flux]],#REF!,3,FALSE),0)</f>
        <v>0</v>
      </c>
      <c r="K3134" s="68"/>
      <c r="L3134" s="68"/>
      <c r="M3134" s="68"/>
      <c r="N3134" s="68"/>
      <c r="O3134" s="68"/>
      <c r="P3134" s="68"/>
      <c r="Q3134" s="68">
        <f>SUM(Devis[[#This Row],[Poste 1]:[Poste 6]])</f>
        <v>0</v>
      </c>
      <c r="R3134" s="71"/>
      <c r="S3134" s="68">
        <f>_xlfn.CEILING.MATH(Devis[[#This Row],[Quantité Totale]],Devis[[#This Row],[Conditionnement]])</f>
        <v>0</v>
      </c>
      <c r="T3134" s="72"/>
      <c r="U3134" s="106"/>
      <c r="V3134" s="74">
        <f>Devis[[#This Row],[Prix de Revient]]*Devis[[#This Row],[Poste 1]]</f>
        <v>0</v>
      </c>
      <c r="W3134" s="74">
        <f>Devis[[#This Row],[Prix de Revient]]*Devis[[#This Row],[Poste 2]]</f>
        <v>0</v>
      </c>
      <c r="X3134" s="74">
        <f>Devis[[#This Row],[Prix de Revient]]*Devis[[#This Row],[Poste 3]]</f>
        <v>0</v>
      </c>
      <c r="Y3134" s="74">
        <f>Devis[[#This Row],[Poste 4]]*Devis[[#This Row],[Prix de Revient]]</f>
        <v>0</v>
      </c>
      <c r="Z3134" s="74">
        <f>Devis[[#This Row],[Poste 5]]*Devis[[#This Row],[Prix de Revient]]</f>
        <v>0</v>
      </c>
      <c r="AA3134" s="74">
        <f>Devis[[#This Row],[Prix de Revient]]*Devis[[#This Row],[Poste 6]]</f>
        <v>0</v>
      </c>
      <c r="AB3134" s="74">
        <f>Devis[[#This Row],[Quantité Totale]]*Devis[[#This Row],[Prix de Revient]]</f>
        <v>0</v>
      </c>
    </row>
    <row r="3135" spans="1:28" ht="14.25" customHeight="1" x14ac:dyDescent="0.25">
      <c r="A3135" s="65" t="s">
        <v>2794</v>
      </c>
      <c r="B3135" s="65" t="s">
        <v>2902</v>
      </c>
      <c r="C3135" s="76"/>
      <c r="D3135" s="81" t="str">
        <f t="shared" si="55"/>
        <v>Recup CalorieRaccord Hydraulique Té Embout lisse renversé</v>
      </c>
      <c r="E3135" s="76"/>
      <c r="F3135" s="81">
        <v>0</v>
      </c>
      <c r="G3135" s="86"/>
      <c r="H3135" s="71"/>
      <c r="I3135" s="102"/>
      <c r="J3135" s="70">
        <f>IFERROR(VLOOKUP(Devis[[#This Row],[Ref Air Flux]],#REF!,3,FALSE),0)</f>
        <v>0</v>
      </c>
      <c r="K3135" s="68"/>
      <c r="L3135" s="68"/>
      <c r="M3135" s="68"/>
      <c r="N3135" s="68"/>
      <c r="O3135" s="68"/>
      <c r="P3135" s="68"/>
      <c r="Q3135" s="68">
        <f>SUM(Devis[[#This Row],[Poste 1]:[Poste 6]])</f>
        <v>0</v>
      </c>
      <c r="R3135" s="71"/>
      <c r="S3135" s="68">
        <f>_xlfn.CEILING.MATH(Devis[[#This Row],[Quantité Totale]],Devis[[#This Row],[Conditionnement]])</f>
        <v>0</v>
      </c>
      <c r="T3135" s="72"/>
      <c r="U3135" s="106"/>
      <c r="V3135" s="74">
        <f>Devis[[#This Row],[Prix de Revient]]*Devis[[#This Row],[Poste 1]]</f>
        <v>0</v>
      </c>
      <c r="W3135" s="74">
        <f>Devis[[#This Row],[Prix de Revient]]*Devis[[#This Row],[Poste 2]]</f>
        <v>0</v>
      </c>
      <c r="X3135" s="74">
        <f>Devis[[#This Row],[Prix de Revient]]*Devis[[#This Row],[Poste 3]]</f>
        <v>0</v>
      </c>
      <c r="Y3135" s="74">
        <f>Devis[[#This Row],[Poste 4]]*Devis[[#This Row],[Prix de Revient]]</f>
        <v>0</v>
      </c>
      <c r="Z3135" s="74">
        <f>Devis[[#This Row],[Poste 5]]*Devis[[#This Row],[Prix de Revient]]</f>
        <v>0</v>
      </c>
      <c r="AA3135" s="74">
        <f>Devis[[#This Row],[Prix de Revient]]*Devis[[#This Row],[Poste 6]]</f>
        <v>0</v>
      </c>
      <c r="AB3135" s="74">
        <f>Devis[[#This Row],[Quantité Totale]]*Devis[[#This Row],[Prix de Revient]]</f>
        <v>0</v>
      </c>
    </row>
    <row r="3136" spans="1:28" ht="14.25" outlineLevel="1" x14ac:dyDescent="0.2">
      <c r="A3136" s="75" t="s">
        <v>2794</v>
      </c>
      <c r="B3136" s="76" t="s">
        <v>2902</v>
      </c>
      <c r="C3136" s="76" t="s">
        <v>4175</v>
      </c>
      <c r="D3136" s="81" t="str">
        <f t="shared" si="55"/>
        <v>Recup CalorieRaccord Hydraulique Té Embout lisse renversé1/2" (15L)</v>
      </c>
      <c r="E3136" s="76" t="s">
        <v>4188</v>
      </c>
      <c r="F3136" s="81">
        <v>1</v>
      </c>
      <c r="G3136" s="86" t="s">
        <v>2903</v>
      </c>
      <c r="H3136" s="71"/>
      <c r="I3136" s="102"/>
      <c r="J3136" s="70">
        <f>IFERROR(VLOOKUP(Devis[[#This Row],[Ref Air Flux]],#REF!,3,FALSE),0)</f>
        <v>0</v>
      </c>
      <c r="K3136" s="68"/>
      <c r="L3136" s="68"/>
      <c r="M3136" s="68"/>
      <c r="N3136" s="68"/>
      <c r="O3136" s="68"/>
      <c r="P3136" s="68"/>
      <c r="Q3136" s="68">
        <f>SUM(Devis[[#This Row],[Poste 1]:[Poste 6]])</f>
        <v>0</v>
      </c>
      <c r="R3136" s="71"/>
      <c r="S3136" s="68">
        <f>_xlfn.CEILING.MATH(Devis[[#This Row],[Quantité Totale]],Devis[[#This Row],[Conditionnement]])</f>
        <v>0</v>
      </c>
      <c r="T3136" s="72"/>
      <c r="U3136" s="106"/>
      <c r="V3136" s="74">
        <f>Devis[[#This Row],[Prix de Revient]]*Devis[[#This Row],[Poste 1]]</f>
        <v>0</v>
      </c>
      <c r="W3136" s="74">
        <f>Devis[[#This Row],[Prix de Revient]]*Devis[[#This Row],[Poste 2]]</f>
        <v>0</v>
      </c>
      <c r="X3136" s="74">
        <f>Devis[[#This Row],[Prix de Revient]]*Devis[[#This Row],[Poste 3]]</f>
        <v>0</v>
      </c>
      <c r="Y3136" s="74">
        <f>Devis[[#This Row],[Poste 4]]*Devis[[#This Row],[Prix de Revient]]</f>
        <v>0</v>
      </c>
      <c r="Z3136" s="74">
        <f>Devis[[#This Row],[Poste 5]]*Devis[[#This Row],[Prix de Revient]]</f>
        <v>0</v>
      </c>
      <c r="AA3136" s="74">
        <f>Devis[[#This Row],[Prix de Revient]]*Devis[[#This Row],[Poste 6]]</f>
        <v>0</v>
      </c>
      <c r="AB3136" s="74">
        <f>Devis[[#This Row],[Quantité Totale]]*Devis[[#This Row],[Prix de Revient]]</f>
        <v>0</v>
      </c>
    </row>
    <row r="3137" spans="1:28" ht="14.25" outlineLevel="1" x14ac:dyDescent="0.2">
      <c r="A3137" s="75" t="s">
        <v>2794</v>
      </c>
      <c r="B3137" s="76" t="s">
        <v>2902</v>
      </c>
      <c r="C3137" s="76" t="s">
        <v>4156</v>
      </c>
      <c r="D3137" s="81" t="str">
        <f t="shared" si="55"/>
        <v>Recup CalorieRaccord Hydraulique Té Embout lisse renversé3/4" (22L)</v>
      </c>
      <c r="E3137" s="76" t="s">
        <v>4191</v>
      </c>
      <c r="F3137" s="81">
        <v>2</v>
      </c>
      <c r="G3137" s="86" t="s">
        <v>2904</v>
      </c>
      <c r="H3137" s="71"/>
      <c r="I3137" s="102"/>
      <c r="J3137" s="70">
        <f>IFERROR(VLOOKUP(Devis[[#This Row],[Ref Air Flux]],#REF!,3,FALSE),0)</f>
        <v>0</v>
      </c>
      <c r="K3137" s="68"/>
      <c r="L3137" s="68"/>
      <c r="M3137" s="68"/>
      <c r="N3137" s="68"/>
      <c r="O3137" s="68"/>
      <c r="P3137" s="68"/>
      <c r="Q3137" s="68">
        <f>SUM(Devis[[#This Row],[Poste 1]:[Poste 6]])</f>
        <v>0</v>
      </c>
      <c r="R3137" s="71"/>
      <c r="S3137" s="68">
        <f>_xlfn.CEILING.MATH(Devis[[#This Row],[Quantité Totale]],Devis[[#This Row],[Conditionnement]])</f>
        <v>0</v>
      </c>
      <c r="T3137" s="72"/>
      <c r="U3137" s="106"/>
      <c r="V3137" s="74">
        <f>Devis[[#This Row],[Prix de Revient]]*Devis[[#This Row],[Poste 1]]</f>
        <v>0</v>
      </c>
      <c r="W3137" s="74">
        <f>Devis[[#This Row],[Prix de Revient]]*Devis[[#This Row],[Poste 2]]</f>
        <v>0</v>
      </c>
      <c r="X3137" s="74">
        <f>Devis[[#This Row],[Prix de Revient]]*Devis[[#This Row],[Poste 3]]</f>
        <v>0</v>
      </c>
      <c r="Y3137" s="74">
        <f>Devis[[#This Row],[Poste 4]]*Devis[[#This Row],[Prix de Revient]]</f>
        <v>0</v>
      </c>
      <c r="Z3137" s="74">
        <f>Devis[[#This Row],[Poste 5]]*Devis[[#This Row],[Prix de Revient]]</f>
        <v>0</v>
      </c>
      <c r="AA3137" s="74">
        <f>Devis[[#This Row],[Prix de Revient]]*Devis[[#This Row],[Poste 6]]</f>
        <v>0</v>
      </c>
      <c r="AB3137" s="74">
        <f>Devis[[#This Row],[Quantité Totale]]*Devis[[#This Row],[Prix de Revient]]</f>
        <v>0</v>
      </c>
    </row>
    <row r="3138" spans="1:28" ht="14.25" outlineLevel="1" x14ac:dyDescent="0.2">
      <c r="A3138" s="75" t="s">
        <v>2794</v>
      </c>
      <c r="B3138" s="76" t="s">
        <v>2902</v>
      </c>
      <c r="C3138" s="76" t="s">
        <v>4189</v>
      </c>
      <c r="D3138" s="81" t="str">
        <f t="shared" si="55"/>
        <v>Recup CalorieRaccord Hydraulique Té Embout lisse renversé2/2" (28L)</v>
      </c>
      <c r="E3138" s="76" t="s">
        <v>4190</v>
      </c>
      <c r="F3138" s="81">
        <v>3</v>
      </c>
      <c r="G3138" s="86" t="s">
        <v>2905</v>
      </c>
      <c r="H3138" s="71"/>
      <c r="I3138" s="102"/>
      <c r="J3138" s="70">
        <f>IFERROR(VLOOKUP(Devis[[#This Row],[Ref Air Flux]],#REF!,3,FALSE),0)</f>
        <v>0</v>
      </c>
      <c r="K3138" s="68"/>
      <c r="L3138" s="68"/>
      <c r="M3138" s="68"/>
      <c r="N3138" s="68"/>
      <c r="O3138" s="68"/>
      <c r="P3138" s="68"/>
      <c r="Q3138" s="68">
        <f>SUM(Devis[[#This Row],[Poste 1]:[Poste 6]])</f>
        <v>0</v>
      </c>
      <c r="R3138" s="71"/>
      <c r="S3138" s="68">
        <f>_xlfn.CEILING.MATH(Devis[[#This Row],[Quantité Totale]],Devis[[#This Row],[Conditionnement]])</f>
        <v>0</v>
      </c>
      <c r="T3138" s="72"/>
      <c r="U3138" s="106"/>
      <c r="V3138" s="74">
        <f>Devis[[#This Row],[Prix de Revient]]*Devis[[#This Row],[Poste 1]]</f>
        <v>0</v>
      </c>
      <c r="W3138" s="74">
        <f>Devis[[#This Row],[Prix de Revient]]*Devis[[#This Row],[Poste 2]]</f>
        <v>0</v>
      </c>
      <c r="X3138" s="74">
        <f>Devis[[#This Row],[Prix de Revient]]*Devis[[#This Row],[Poste 3]]</f>
        <v>0</v>
      </c>
      <c r="Y3138" s="74">
        <f>Devis[[#This Row],[Poste 4]]*Devis[[#This Row],[Prix de Revient]]</f>
        <v>0</v>
      </c>
      <c r="Z3138" s="74">
        <f>Devis[[#This Row],[Poste 5]]*Devis[[#This Row],[Prix de Revient]]</f>
        <v>0</v>
      </c>
      <c r="AA3138" s="74">
        <f>Devis[[#This Row],[Prix de Revient]]*Devis[[#This Row],[Poste 6]]</f>
        <v>0</v>
      </c>
      <c r="AB3138" s="74">
        <f>Devis[[#This Row],[Quantité Totale]]*Devis[[#This Row],[Prix de Revient]]</f>
        <v>0</v>
      </c>
    </row>
    <row r="3139" spans="1:28" ht="14.25" customHeight="1" outlineLevel="1" x14ac:dyDescent="0.2">
      <c r="A3139" s="75" t="s">
        <v>2794</v>
      </c>
      <c r="B3139" s="76" t="s">
        <v>2902</v>
      </c>
      <c r="C3139" s="76" t="s">
        <v>4152</v>
      </c>
      <c r="D3139" s="81" t="str">
        <f t="shared" si="55"/>
        <v>Recup CalorieRaccord Hydraulique Té Embout lisse renversé1"1/4(35L)</v>
      </c>
      <c r="E3139" s="76" t="s">
        <v>4187</v>
      </c>
      <c r="F3139" s="81">
        <v>4</v>
      </c>
      <c r="G3139" s="86" t="s">
        <v>2906</v>
      </c>
      <c r="H3139" s="71"/>
      <c r="I3139" s="102"/>
      <c r="J3139" s="70">
        <f>IFERROR(VLOOKUP(Devis[[#This Row],[Ref Air Flux]],#REF!,3,FALSE),0)</f>
        <v>0</v>
      </c>
      <c r="K3139" s="68"/>
      <c r="L3139" s="68"/>
      <c r="M3139" s="68"/>
      <c r="N3139" s="68"/>
      <c r="O3139" s="68"/>
      <c r="P3139" s="68"/>
      <c r="Q3139" s="68">
        <f>SUM(Devis[[#This Row],[Poste 1]:[Poste 6]])</f>
        <v>0</v>
      </c>
      <c r="R3139" s="71"/>
      <c r="S3139" s="68">
        <f>_xlfn.CEILING.MATH(Devis[[#This Row],[Quantité Totale]],Devis[[#This Row],[Conditionnement]])</f>
        <v>0</v>
      </c>
      <c r="T3139" s="72"/>
      <c r="U3139" s="106"/>
      <c r="V3139" s="74">
        <f>Devis[[#This Row],[Prix de Revient]]*Devis[[#This Row],[Poste 1]]</f>
        <v>0</v>
      </c>
      <c r="W3139" s="74">
        <f>Devis[[#This Row],[Prix de Revient]]*Devis[[#This Row],[Poste 2]]</f>
        <v>0</v>
      </c>
      <c r="X3139" s="74">
        <f>Devis[[#This Row],[Prix de Revient]]*Devis[[#This Row],[Poste 3]]</f>
        <v>0</v>
      </c>
      <c r="Y3139" s="74">
        <f>Devis[[#This Row],[Poste 4]]*Devis[[#This Row],[Prix de Revient]]</f>
        <v>0</v>
      </c>
      <c r="Z3139" s="74">
        <f>Devis[[#This Row],[Poste 5]]*Devis[[#This Row],[Prix de Revient]]</f>
        <v>0</v>
      </c>
      <c r="AA3139" s="74">
        <f>Devis[[#This Row],[Prix de Revient]]*Devis[[#This Row],[Poste 6]]</f>
        <v>0</v>
      </c>
      <c r="AB3139" s="74">
        <f>Devis[[#This Row],[Quantité Totale]]*Devis[[#This Row],[Prix de Revient]]</f>
        <v>0</v>
      </c>
    </row>
    <row r="3140" spans="1:28" ht="14.25" customHeight="1" outlineLevel="1" x14ac:dyDescent="0.2">
      <c r="A3140" s="75" t="s">
        <v>2794</v>
      </c>
      <c r="B3140" s="76" t="s">
        <v>2902</v>
      </c>
      <c r="C3140" s="76" t="s">
        <v>4147</v>
      </c>
      <c r="D3140" s="81" t="str">
        <f t="shared" si="55"/>
        <v>Recup CalorieRaccord Hydraulique Té Embout lisse renversé1"1/2 (42L)</v>
      </c>
      <c r="E3140" s="76" t="s">
        <v>4186</v>
      </c>
      <c r="F3140" s="81">
        <v>5</v>
      </c>
      <c r="G3140" s="86" t="s">
        <v>2907</v>
      </c>
      <c r="H3140" s="71"/>
      <c r="I3140" s="102"/>
      <c r="J3140" s="70">
        <f>IFERROR(VLOOKUP(Devis[[#This Row],[Ref Air Flux]],#REF!,3,FALSE),0)</f>
        <v>0</v>
      </c>
      <c r="K3140" s="68"/>
      <c r="L3140" s="68"/>
      <c r="M3140" s="68"/>
      <c r="N3140" s="68"/>
      <c r="O3140" s="68"/>
      <c r="P3140" s="68"/>
      <c r="Q3140" s="68">
        <f>SUM(Devis[[#This Row],[Poste 1]:[Poste 6]])</f>
        <v>0</v>
      </c>
      <c r="R3140" s="71"/>
      <c r="S3140" s="68">
        <f>_xlfn.CEILING.MATH(Devis[[#This Row],[Quantité Totale]],Devis[[#This Row],[Conditionnement]])</f>
        <v>0</v>
      </c>
      <c r="T3140" s="72"/>
      <c r="U3140" s="106"/>
      <c r="V3140" s="74">
        <f>Devis[[#This Row],[Prix de Revient]]*Devis[[#This Row],[Poste 1]]</f>
        <v>0</v>
      </c>
      <c r="W3140" s="74">
        <f>Devis[[#This Row],[Prix de Revient]]*Devis[[#This Row],[Poste 2]]</f>
        <v>0</v>
      </c>
      <c r="X3140" s="74">
        <f>Devis[[#This Row],[Prix de Revient]]*Devis[[#This Row],[Poste 3]]</f>
        <v>0</v>
      </c>
      <c r="Y3140" s="74">
        <f>Devis[[#This Row],[Poste 4]]*Devis[[#This Row],[Prix de Revient]]</f>
        <v>0</v>
      </c>
      <c r="Z3140" s="74">
        <f>Devis[[#This Row],[Poste 5]]*Devis[[#This Row],[Prix de Revient]]</f>
        <v>0</v>
      </c>
      <c r="AA3140" s="74">
        <f>Devis[[#This Row],[Prix de Revient]]*Devis[[#This Row],[Poste 6]]</f>
        <v>0</v>
      </c>
      <c r="AB3140" s="74">
        <f>Devis[[#This Row],[Quantité Totale]]*Devis[[#This Row],[Prix de Revient]]</f>
        <v>0</v>
      </c>
    </row>
    <row r="3141" spans="1:28" ht="14.25" customHeight="1" x14ac:dyDescent="0.25">
      <c r="A3141" s="65" t="s">
        <v>2794</v>
      </c>
      <c r="B3141" s="65" t="s">
        <v>3618</v>
      </c>
      <c r="C3141" s="76"/>
      <c r="D3141" s="81" t="str">
        <f t="shared" si="55"/>
        <v>Recup CalorieRaccord Hydraulique union male</v>
      </c>
      <c r="E3141" s="76"/>
      <c r="F3141" s="81">
        <v>0</v>
      </c>
      <c r="G3141" s="86"/>
      <c r="H3141" s="71"/>
      <c r="I3141" s="102"/>
      <c r="J3141" s="70">
        <f>IFERROR(VLOOKUP(Devis[[#This Row],[Ref Air Flux]],#REF!,3,FALSE),0)</f>
        <v>0</v>
      </c>
      <c r="K3141" s="68"/>
      <c r="L3141" s="68"/>
      <c r="M3141" s="68"/>
      <c r="N3141" s="68"/>
      <c r="O3141" s="68"/>
      <c r="P3141" s="68"/>
      <c r="Q3141" s="68">
        <f>SUM(Devis[[#This Row],[Poste 1]:[Poste 6]])</f>
        <v>0</v>
      </c>
      <c r="R3141" s="71"/>
      <c r="S3141" s="68">
        <f>_xlfn.CEILING.MATH(Devis[[#This Row],[Quantité Totale]],Devis[[#This Row],[Conditionnement]])</f>
        <v>0</v>
      </c>
      <c r="T3141" s="72"/>
      <c r="U3141" s="106"/>
      <c r="V3141" s="74">
        <f>Devis[[#This Row],[Prix de Revient]]*Devis[[#This Row],[Poste 1]]</f>
        <v>0</v>
      </c>
      <c r="W3141" s="74">
        <f>Devis[[#This Row],[Prix de Revient]]*Devis[[#This Row],[Poste 2]]</f>
        <v>0</v>
      </c>
      <c r="X3141" s="74">
        <f>Devis[[#This Row],[Prix de Revient]]*Devis[[#This Row],[Poste 3]]</f>
        <v>0</v>
      </c>
      <c r="Y3141" s="74">
        <f>Devis[[#This Row],[Poste 4]]*Devis[[#This Row],[Prix de Revient]]</f>
        <v>0</v>
      </c>
      <c r="Z3141" s="74">
        <f>Devis[[#This Row],[Poste 5]]*Devis[[#This Row],[Prix de Revient]]</f>
        <v>0</v>
      </c>
      <c r="AA3141" s="74">
        <f>Devis[[#This Row],[Prix de Revient]]*Devis[[#This Row],[Poste 6]]</f>
        <v>0</v>
      </c>
      <c r="AB3141" s="74">
        <f>Devis[[#This Row],[Quantité Totale]]*Devis[[#This Row],[Prix de Revient]]</f>
        <v>0</v>
      </c>
    </row>
    <row r="3142" spans="1:28" ht="14.25" customHeight="1" outlineLevel="1" x14ac:dyDescent="0.2">
      <c r="A3142" s="75" t="s">
        <v>2794</v>
      </c>
      <c r="B3142" s="76" t="s">
        <v>3618</v>
      </c>
      <c r="C3142" s="76" t="s">
        <v>4171</v>
      </c>
      <c r="D3142" s="81" t="str">
        <f t="shared" si="55"/>
        <v>Recup CalorieRaccord Hydraulique union male1" (28L)</v>
      </c>
      <c r="E3142" s="76" t="s">
        <v>4192</v>
      </c>
      <c r="F3142" s="81">
        <v>1</v>
      </c>
      <c r="G3142" s="86" t="s">
        <v>2897</v>
      </c>
      <c r="H3142" s="71"/>
      <c r="I3142" s="102"/>
      <c r="J3142" s="70">
        <f>IFERROR(VLOOKUP(Devis[[#This Row],[Ref Air Flux]],#REF!,3,FALSE),0)</f>
        <v>0</v>
      </c>
      <c r="K3142" s="68"/>
      <c r="L3142" s="68"/>
      <c r="M3142" s="68"/>
      <c r="N3142" s="68"/>
      <c r="O3142" s="68"/>
      <c r="P3142" s="68"/>
      <c r="Q3142" s="68">
        <f>SUM(Devis[[#This Row],[Poste 1]:[Poste 6]])</f>
        <v>0</v>
      </c>
      <c r="R3142" s="71"/>
      <c r="S3142" s="68">
        <f>_xlfn.CEILING.MATH(Devis[[#This Row],[Quantité Totale]],Devis[[#This Row],[Conditionnement]])</f>
        <v>0</v>
      </c>
      <c r="T3142" s="72"/>
      <c r="U3142" s="106"/>
      <c r="V3142" s="74">
        <f>Devis[[#This Row],[Prix de Revient]]*Devis[[#This Row],[Poste 1]]</f>
        <v>0</v>
      </c>
      <c r="W3142" s="74">
        <f>Devis[[#This Row],[Prix de Revient]]*Devis[[#This Row],[Poste 2]]</f>
        <v>0</v>
      </c>
      <c r="X3142" s="74">
        <f>Devis[[#This Row],[Prix de Revient]]*Devis[[#This Row],[Poste 3]]</f>
        <v>0</v>
      </c>
      <c r="Y3142" s="74">
        <f>Devis[[#This Row],[Poste 4]]*Devis[[#This Row],[Prix de Revient]]</f>
        <v>0</v>
      </c>
      <c r="Z3142" s="74">
        <f>Devis[[#This Row],[Poste 5]]*Devis[[#This Row],[Prix de Revient]]</f>
        <v>0</v>
      </c>
      <c r="AA3142" s="74">
        <f>Devis[[#This Row],[Prix de Revient]]*Devis[[#This Row],[Poste 6]]</f>
        <v>0</v>
      </c>
      <c r="AB3142" s="74">
        <f>Devis[[#This Row],[Quantité Totale]]*Devis[[#This Row],[Prix de Revient]]</f>
        <v>0</v>
      </c>
    </row>
    <row r="3143" spans="1:28" ht="14.25" outlineLevel="1" x14ac:dyDescent="0.2">
      <c r="A3143" s="75" t="s">
        <v>2794</v>
      </c>
      <c r="B3143" s="76" t="s">
        <v>3618</v>
      </c>
      <c r="C3143" s="76" t="s">
        <v>4152</v>
      </c>
      <c r="D3143" s="81" t="str">
        <f t="shared" si="55"/>
        <v>Recup CalorieRaccord Hydraulique union male1"1/4(35L)</v>
      </c>
      <c r="E3143" s="76" t="s">
        <v>4193</v>
      </c>
      <c r="F3143" s="81">
        <v>2</v>
      </c>
      <c r="G3143" s="86" t="s">
        <v>2898</v>
      </c>
      <c r="H3143" s="71"/>
      <c r="I3143" s="102"/>
      <c r="J3143" s="70">
        <f>IFERROR(VLOOKUP(Devis[[#This Row],[Ref Air Flux]],#REF!,3,FALSE),0)</f>
        <v>0</v>
      </c>
      <c r="K3143" s="68"/>
      <c r="L3143" s="68"/>
      <c r="M3143" s="68"/>
      <c r="N3143" s="68"/>
      <c r="O3143" s="68"/>
      <c r="P3143" s="68"/>
      <c r="Q3143" s="68">
        <f>SUM(Devis[[#This Row],[Poste 1]:[Poste 6]])</f>
        <v>0</v>
      </c>
      <c r="R3143" s="71"/>
      <c r="S3143" s="68">
        <f>_xlfn.CEILING.MATH(Devis[[#This Row],[Quantité Totale]],Devis[[#This Row],[Conditionnement]])</f>
        <v>0</v>
      </c>
      <c r="T3143" s="72"/>
      <c r="U3143" s="106"/>
      <c r="V3143" s="74">
        <f>Devis[[#This Row],[Prix de Revient]]*Devis[[#This Row],[Poste 1]]</f>
        <v>0</v>
      </c>
      <c r="W3143" s="74">
        <f>Devis[[#This Row],[Prix de Revient]]*Devis[[#This Row],[Poste 2]]</f>
        <v>0</v>
      </c>
      <c r="X3143" s="74">
        <f>Devis[[#This Row],[Prix de Revient]]*Devis[[#This Row],[Poste 3]]</f>
        <v>0</v>
      </c>
      <c r="Y3143" s="74">
        <f>Devis[[#This Row],[Poste 4]]*Devis[[#This Row],[Prix de Revient]]</f>
        <v>0</v>
      </c>
      <c r="Z3143" s="74">
        <f>Devis[[#This Row],[Poste 5]]*Devis[[#This Row],[Prix de Revient]]</f>
        <v>0</v>
      </c>
      <c r="AA3143" s="74">
        <f>Devis[[#This Row],[Prix de Revient]]*Devis[[#This Row],[Poste 6]]</f>
        <v>0</v>
      </c>
      <c r="AB3143" s="74">
        <f>Devis[[#This Row],[Quantité Totale]]*Devis[[#This Row],[Prix de Revient]]</f>
        <v>0</v>
      </c>
    </row>
    <row r="3144" spans="1:28" ht="14.25" customHeight="1" x14ac:dyDescent="0.25">
      <c r="A3144" s="65" t="s">
        <v>2794</v>
      </c>
      <c r="B3144" s="65" t="s">
        <v>61</v>
      </c>
      <c r="C3144" s="76"/>
      <c r="D3144" s="81" t="str">
        <f t="shared" si="55"/>
        <v>Recup CalorieSoupape</v>
      </c>
      <c r="E3144" s="76"/>
      <c r="F3144" s="81">
        <v>0</v>
      </c>
      <c r="G3144" s="86"/>
      <c r="H3144" s="71"/>
      <c r="I3144" s="102"/>
      <c r="J3144" s="70">
        <f>IFERROR(VLOOKUP(Devis[[#This Row],[Ref Air Flux]],#REF!,3,FALSE),0)</f>
        <v>0</v>
      </c>
      <c r="K3144" s="68"/>
      <c r="L3144" s="68"/>
      <c r="M3144" s="68"/>
      <c r="N3144" s="68"/>
      <c r="O3144" s="68"/>
      <c r="P3144" s="68"/>
      <c r="Q3144" s="68">
        <f>SUM(Devis[[#This Row],[Poste 1]:[Poste 6]])</f>
        <v>0</v>
      </c>
      <c r="R3144" s="71"/>
      <c r="S3144" s="68">
        <f>_xlfn.CEILING.MATH(Devis[[#This Row],[Quantité Totale]],Devis[[#This Row],[Conditionnement]])</f>
        <v>0</v>
      </c>
      <c r="T3144" s="72"/>
      <c r="U3144" s="106"/>
      <c r="V3144" s="74">
        <f>Devis[[#This Row],[Prix de Revient]]*Devis[[#This Row],[Poste 1]]</f>
        <v>0</v>
      </c>
      <c r="W3144" s="74">
        <f>Devis[[#This Row],[Prix de Revient]]*Devis[[#This Row],[Poste 2]]</f>
        <v>0</v>
      </c>
      <c r="X3144" s="74">
        <f>Devis[[#This Row],[Prix de Revient]]*Devis[[#This Row],[Poste 3]]</f>
        <v>0</v>
      </c>
      <c r="Y3144" s="74">
        <f>Devis[[#This Row],[Poste 4]]*Devis[[#This Row],[Prix de Revient]]</f>
        <v>0</v>
      </c>
      <c r="Z3144" s="74">
        <f>Devis[[#This Row],[Poste 5]]*Devis[[#This Row],[Prix de Revient]]</f>
        <v>0</v>
      </c>
      <c r="AA3144" s="74">
        <f>Devis[[#This Row],[Prix de Revient]]*Devis[[#This Row],[Poste 6]]</f>
        <v>0</v>
      </c>
      <c r="AB3144" s="74">
        <f>Devis[[#This Row],[Quantité Totale]]*Devis[[#This Row],[Prix de Revient]]</f>
        <v>0</v>
      </c>
    </row>
    <row r="3145" spans="1:28" ht="14.25" customHeight="1" outlineLevel="1" x14ac:dyDescent="0.25">
      <c r="A3145" s="75" t="s">
        <v>2794</v>
      </c>
      <c r="B3145" s="76" t="s">
        <v>61</v>
      </c>
      <c r="C3145" s="76" t="s">
        <v>3650</v>
      </c>
      <c r="D3145" s="81" t="str">
        <f t="shared" si="55"/>
        <v>Recup CalorieSoupape1/2" (3 bars)</v>
      </c>
      <c r="E3145" s="76" t="s">
        <v>2818</v>
      </c>
      <c r="F3145" s="81">
        <v>1</v>
      </c>
      <c r="G3145" s="86" t="s">
        <v>2932</v>
      </c>
      <c r="H3145" s="71" t="s">
        <v>2798</v>
      </c>
      <c r="I3145" s="117"/>
      <c r="J3145" s="70">
        <f>IFERROR(VLOOKUP(Devis[[#This Row],[Ref Air Flux]],#REF!,3,FALSE),0)</f>
        <v>0</v>
      </c>
      <c r="K3145" s="68"/>
      <c r="L3145" s="68"/>
      <c r="M3145" s="68"/>
      <c r="N3145" s="68"/>
      <c r="O3145" s="68"/>
      <c r="P3145" s="68"/>
      <c r="Q3145" s="68">
        <f>SUM(Devis[[#This Row],[Poste 1]:[Poste 6]])</f>
        <v>0</v>
      </c>
      <c r="R3145" s="71"/>
      <c r="S3145" s="68">
        <f>_xlfn.CEILING.MATH(Devis[[#This Row],[Quantité Totale]],Devis[[#This Row],[Conditionnement]])</f>
        <v>0</v>
      </c>
      <c r="T3145" s="72"/>
      <c r="U3145" s="106"/>
      <c r="V3145" s="74">
        <f>Devis[[#This Row],[Prix de Revient]]*Devis[[#This Row],[Poste 1]]</f>
        <v>0</v>
      </c>
      <c r="W3145" s="74">
        <f>Devis[[#This Row],[Prix de Revient]]*Devis[[#This Row],[Poste 2]]</f>
        <v>0</v>
      </c>
      <c r="X3145" s="74">
        <f>Devis[[#This Row],[Prix de Revient]]*Devis[[#This Row],[Poste 3]]</f>
        <v>0</v>
      </c>
      <c r="Y3145" s="74">
        <f>Devis[[#This Row],[Poste 4]]*Devis[[#This Row],[Prix de Revient]]</f>
        <v>0</v>
      </c>
      <c r="Z3145" s="74">
        <f>Devis[[#This Row],[Poste 5]]*Devis[[#This Row],[Prix de Revient]]</f>
        <v>0</v>
      </c>
      <c r="AA3145" s="74">
        <f>Devis[[#This Row],[Prix de Revient]]*Devis[[#This Row],[Poste 6]]</f>
        <v>0</v>
      </c>
      <c r="AB3145" s="74">
        <f>Devis[[#This Row],[Quantité Totale]]*Devis[[#This Row],[Prix de Revient]]</f>
        <v>0</v>
      </c>
    </row>
    <row r="3146" spans="1:28" ht="14.25" customHeight="1" outlineLevel="1" x14ac:dyDescent="0.25">
      <c r="A3146" s="75" t="s">
        <v>2794</v>
      </c>
      <c r="B3146" s="76" t="s">
        <v>61</v>
      </c>
      <c r="C3146" s="76" t="s">
        <v>3610</v>
      </c>
      <c r="D3146" s="81" t="str">
        <f t="shared" si="55"/>
        <v>Recup CalorieSoupape1" ( 4 bars)</v>
      </c>
      <c r="E3146" s="76" t="s">
        <v>2924</v>
      </c>
      <c r="F3146" s="81">
        <v>2</v>
      </c>
      <c r="G3146" s="86" t="s">
        <v>2925</v>
      </c>
      <c r="H3146" s="71" t="s">
        <v>2798</v>
      </c>
      <c r="I3146" s="117"/>
      <c r="J3146" s="70">
        <f>IFERROR(VLOOKUP(Devis[[#This Row],[Ref Air Flux]],#REF!,3,FALSE),0)</f>
        <v>0</v>
      </c>
      <c r="K3146" s="68"/>
      <c r="L3146" s="68"/>
      <c r="M3146" s="68"/>
      <c r="N3146" s="68"/>
      <c r="O3146" s="68"/>
      <c r="P3146" s="68"/>
      <c r="Q3146" s="68">
        <f>SUM(Devis[[#This Row],[Poste 1]:[Poste 6]])</f>
        <v>0</v>
      </c>
      <c r="R3146" s="71"/>
      <c r="S3146" s="68">
        <f>_xlfn.CEILING.MATH(Devis[[#This Row],[Quantité Totale]],Devis[[#This Row],[Conditionnement]])</f>
        <v>0</v>
      </c>
      <c r="T3146" s="72"/>
      <c r="U3146" s="106" t="s">
        <v>6218</v>
      </c>
      <c r="V3146" s="74">
        <f>Devis[[#This Row],[Prix de Revient]]*Devis[[#This Row],[Poste 1]]</f>
        <v>0</v>
      </c>
      <c r="W3146" s="74">
        <f>Devis[[#This Row],[Prix de Revient]]*Devis[[#This Row],[Poste 2]]</f>
        <v>0</v>
      </c>
      <c r="X3146" s="74">
        <f>Devis[[#This Row],[Prix de Revient]]*Devis[[#This Row],[Poste 3]]</f>
        <v>0</v>
      </c>
      <c r="Y3146" s="74">
        <f>Devis[[#This Row],[Poste 4]]*Devis[[#This Row],[Prix de Revient]]</f>
        <v>0</v>
      </c>
      <c r="Z3146" s="74">
        <f>Devis[[#This Row],[Poste 5]]*Devis[[#This Row],[Prix de Revient]]</f>
        <v>0</v>
      </c>
      <c r="AA3146" s="74">
        <f>Devis[[#This Row],[Prix de Revient]]*Devis[[#This Row],[Poste 6]]</f>
        <v>0</v>
      </c>
      <c r="AB3146" s="74">
        <f>Devis[[#This Row],[Quantité Totale]]*Devis[[#This Row],[Prix de Revient]]</f>
        <v>0</v>
      </c>
    </row>
    <row r="3147" spans="1:28" ht="14.25" outlineLevel="1" x14ac:dyDescent="0.2">
      <c r="A3147" s="75" t="s">
        <v>2794</v>
      </c>
      <c r="B3147" s="76" t="s">
        <v>61</v>
      </c>
      <c r="C3147" s="76" t="s">
        <v>6219</v>
      </c>
      <c r="D3147" s="81" t="str">
        <f t="shared" si="55"/>
        <v>Recup CalorieSoupape1"1/4 ( 4 bars)</v>
      </c>
      <c r="E3147" s="76" t="s">
        <v>6220</v>
      </c>
      <c r="F3147" s="81">
        <v>3</v>
      </c>
      <c r="G3147" s="86" t="s">
        <v>6221</v>
      </c>
      <c r="H3147" s="71" t="s">
        <v>3381</v>
      </c>
      <c r="I3147" s="86" t="s">
        <v>6221</v>
      </c>
      <c r="J3147" s="70">
        <f>IFERROR(VLOOKUP(Devis[[#This Row],[Ref Air Flux]],#REF!,3,FALSE),0)</f>
        <v>0</v>
      </c>
      <c r="K3147" s="68"/>
      <c r="L3147" s="68"/>
      <c r="M3147" s="68"/>
      <c r="N3147" s="68"/>
      <c r="O3147" s="68"/>
      <c r="P3147" s="68"/>
      <c r="Q3147" s="68">
        <f>SUM(Devis[[#This Row],[Poste 1]:[Poste 6]])</f>
        <v>0</v>
      </c>
      <c r="R3147" s="71"/>
      <c r="S3147" s="68">
        <f>_xlfn.CEILING.MATH(Devis[[#This Row],[Quantité Totale]],Devis[[#This Row],[Conditionnement]])</f>
        <v>0</v>
      </c>
      <c r="T3147" s="72"/>
      <c r="U3147" s="106"/>
      <c r="V3147" s="74">
        <f>Devis[[#This Row],[Prix de Revient]]*Devis[[#This Row],[Poste 1]]</f>
        <v>0</v>
      </c>
      <c r="W3147" s="74">
        <f>Devis[[#This Row],[Prix de Revient]]*Devis[[#This Row],[Poste 2]]</f>
        <v>0</v>
      </c>
      <c r="X3147" s="74">
        <f>Devis[[#This Row],[Prix de Revient]]*Devis[[#This Row],[Poste 3]]</f>
        <v>0</v>
      </c>
      <c r="Y3147" s="74">
        <f>Devis[[#This Row],[Poste 4]]*Devis[[#This Row],[Prix de Revient]]</f>
        <v>0</v>
      </c>
      <c r="Z3147" s="74">
        <f>Devis[[#This Row],[Poste 5]]*Devis[[#This Row],[Prix de Revient]]</f>
        <v>0</v>
      </c>
      <c r="AA3147" s="74">
        <f>Devis[[#This Row],[Prix de Revient]]*Devis[[#This Row],[Poste 6]]</f>
        <v>0</v>
      </c>
      <c r="AB3147" s="74">
        <f>Devis[[#This Row],[Quantité Totale]]*Devis[[#This Row],[Prix de Revient]]</f>
        <v>0</v>
      </c>
    </row>
    <row r="3148" spans="1:28" ht="15" customHeight="1" outlineLevel="1" x14ac:dyDescent="0.2">
      <c r="A3148" s="75" t="s">
        <v>2794</v>
      </c>
      <c r="B3148" s="76" t="s">
        <v>61</v>
      </c>
      <c r="C3148" s="76" t="s">
        <v>6222</v>
      </c>
      <c r="D3148" s="81" t="str">
        <f t="shared" si="55"/>
        <v>Recup CalorieSoupape1"1/2 ( 4 bars)</v>
      </c>
      <c r="E3148" s="76" t="s">
        <v>6223</v>
      </c>
      <c r="F3148" s="81">
        <v>4</v>
      </c>
      <c r="G3148" s="86" t="s">
        <v>6224</v>
      </c>
      <c r="H3148" s="71" t="s">
        <v>3381</v>
      </c>
      <c r="I3148" s="86" t="s">
        <v>6224</v>
      </c>
      <c r="J3148" s="70">
        <f>IFERROR(VLOOKUP(Devis[[#This Row],[Ref Air Flux]],#REF!,3,FALSE),0)</f>
        <v>0</v>
      </c>
      <c r="K3148" s="68"/>
      <c r="L3148" s="68"/>
      <c r="M3148" s="68"/>
      <c r="N3148" s="68"/>
      <c r="O3148" s="68"/>
      <c r="P3148" s="68"/>
      <c r="Q3148" s="68">
        <f>SUM(Devis[[#This Row],[Poste 1]:[Poste 6]])</f>
        <v>0</v>
      </c>
      <c r="R3148" s="71"/>
      <c r="S3148" s="68">
        <f>_xlfn.CEILING.MATH(Devis[[#This Row],[Quantité Totale]],Devis[[#This Row],[Conditionnement]])</f>
        <v>0</v>
      </c>
      <c r="T3148" s="72"/>
      <c r="U3148" s="106"/>
      <c r="V3148" s="74">
        <f>Devis[[#This Row],[Prix de Revient]]*Devis[[#This Row],[Poste 1]]</f>
        <v>0</v>
      </c>
      <c r="W3148" s="74">
        <f>Devis[[#This Row],[Prix de Revient]]*Devis[[#This Row],[Poste 2]]</f>
        <v>0</v>
      </c>
      <c r="X3148" s="74">
        <f>Devis[[#This Row],[Prix de Revient]]*Devis[[#This Row],[Poste 3]]</f>
        <v>0</v>
      </c>
      <c r="Y3148" s="74">
        <f>Devis[[#This Row],[Poste 4]]*Devis[[#This Row],[Prix de Revient]]</f>
        <v>0</v>
      </c>
      <c r="Z3148" s="74">
        <f>Devis[[#This Row],[Poste 5]]*Devis[[#This Row],[Prix de Revient]]</f>
        <v>0</v>
      </c>
      <c r="AA3148" s="74">
        <f>Devis[[#This Row],[Prix de Revient]]*Devis[[#This Row],[Poste 6]]</f>
        <v>0</v>
      </c>
      <c r="AB3148" s="74">
        <f>Devis[[#This Row],[Quantité Totale]]*Devis[[#This Row],[Prix de Revient]]</f>
        <v>0</v>
      </c>
    </row>
    <row r="3149" spans="1:28" ht="14.25" outlineLevel="1" x14ac:dyDescent="0.2">
      <c r="A3149" s="75" t="s">
        <v>2794</v>
      </c>
      <c r="B3149" s="76" t="s">
        <v>61</v>
      </c>
      <c r="C3149" s="76" t="s">
        <v>6225</v>
      </c>
      <c r="D3149" s="81" t="str">
        <f t="shared" si="55"/>
        <v>Recup CalorieSoupape2" ( 4 bars)</v>
      </c>
      <c r="E3149" s="76" t="s">
        <v>6226</v>
      </c>
      <c r="F3149" s="81">
        <v>5</v>
      </c>
      <c r="G3149" s="86" t="s">
        <v>6227</v>
      </c>
      <c r="H3149" s="71" t="s">
        <v>3381</v>
      </c>
      <c r="I3149" s="86" t="s">
        <v>6227</v>
      </c>
      <c r="J3149" s="70">
        <f>IFERROR(VLOOKUP(Devis[[#This Row],[Ref Air Flux]],#REF!,3,FALSE),0)</f>
        <v>0</v>
      </c>
      <c r="K3149" s="68"/>
      <c r="L3149" s="68"/>
      <c r="M3149" s="68"/>
      <c r="N3149" s="68"/>
      <c r="O3149" s="68"/>
      <c r="P3149" s="68"/>
      <c r="Q3149" s="68">
        <f>SUM(Devis[[#This Row],[Poste 1]:[Poste 6]])</f>
        <v>0</v>
      </c>
      <c r="R3149" s="71"/>
      <c r="S3149" s="68">
        <f>_xlfn.CEILING.MATH(Devis[[#This Row],[Quantité Totale]],Devis[[#This Row],[Conditionnement]])</f>
        <v>0</v>
      </c>
      <c r="T3149" s="72"/>
      <c r="U3149" s="106"/>
      <c r="V3149" s="74">
        <f>Devis[[#This Row],[Prix de Revient]]*Devis[[#This Row],[Poste 1]]</f>
        <v>0</v>
      </c>
      <c r="W3149" s="74">
        <f>Devis[[#This Row],[Prix de Revient]]*Devis[[#This Row],[Poste 2]]</f>
        <v>0</v>
      </c>
      <c r="X3149" s="74">
        <f>Devis[[#This Row],[Prix de Revient]]*Devis[[#This Row],[Poste 3]]</f>
        <v>0</v>
      </c>
      <c r="Y3149" s="74">
        <f>Devis[[#This Row],[Poste 4]]*Devis[[#This Row],[Prix de Revient]]</f>
        <v>0</v>
      </c>
      <c r="Z3149" s="74">
        <f>Devis[[#This Row],[Poste 5]]*Devis[[#This Row],[Prix de Revient]]</f>
        <v>0</v>
      </c>
      <c r="AA3149" s="74">
        <f>Devis[[#This Row],[Prix de Revient]]*Devis[[#This Row],[Poste 6]]</f>
        <v>0</v>
      </c>
      <c r="AB3149" s="74">
        <f>Devis[[#This Row],[Quantité Totale]]*Devis[[#This Row],[Prix de Revient]]</f>
        <v>0</v>
      </c>
    </row>
    <row r="3150" spans="1:28" ht="14.25" customHeight="1" outlineLevel="1" x14ac:dyDescent="0.25">
      <c r="A3150" s="75" t="s">
        <v>2794</v>
      </c>
      <c r="B3150" s="76" t="s">
        <v>61</v>
      </c>
      <c r="C3150" s="76" t="s">
        <v>3671</v>
      </c>
      <c r="D3150" s="81" t="str">
        <f t="shared" si="55"/>
        <v>Recup CalorieSoupape1"1/4 (7bars)</v>
      </c>
      <c r="E3150" s="76" t="s">
        <v>2928</v>
      </c>
      <c r="F3150" s="81">
        <v>6</v>
      </c>
      <c r="G3150" s="86" t="s">
        <v>2929</v>
      </c>
      <c r="H3150" s="71" t="s">
        <v>2798</v>
      </c>
      <c r="I3150" s="117"/>
      <c r="J3150" s="70">
        <f>IFERROR(VLOOKUP(Devis[[#This Row],[Ref Air Flux]],#REF!,3,FALSE),0)</f>
        <v>0</v>
      </c>
      <c r="K3150" s="68"/>
      <c r="L3150" s="68"/>
      <c r="M3150" s="68"/>
      <c r="N3150" s="68"/>
      <c r="O3150" s="68"/>
      <c r="P3150" s="68"/>
      <c r="Q3150" s="68">
        <f>SUM(Devis[[#This Row],[Poste 1]:[Poste 6]])</f>
        <v>0</v>
      </c>
      <c r="R3150" s="71"/>
      <c r="S3150" s="68">
        <f>_xlfn.CEILING.MATH(Devis[[#This Row],[Quantité Totale]],Devis[[#This Row],[Conditionnement]])</f>
        <v>0</v>
      </c>
      <c r="T3150" s="72"/>
      <c r="U3150" s="106"/>
      <c r="V3150" s="74">
        <f>Devis[[#This Row],[Prix de Revient]]*Devis[[#This Row],[Poste 1]]</f>
        <v>0</v>
      </c>
      <c r="W3150" s="74">
        <f>Devis[[#This Row],[Prix de Revient]]*Devis[[#This Row],[Poste 2]]</f>
        <v>0</v>
      </c>
      <c r="X3150" s="74">
        <f>Devis[[#This Row],[Prix de Revient]]*Devis[[#This Row],[Poste 3]]</f>
        <v>0</v>
      </c>
      <c r="Y3150" s="74">
        <f>Devis[[#This Row],[Poste 4]]*Devis[[#This Row],[Prix de Revient]]</f>
        <v>0</v>
      </c>
      <c r="Z3150" s="74">
        <f>Devis[[#This Row],[Poste 5]]*Devis[[#This Row],[Prix de Revient]]</f>
        <v>0</v>
      </c>
      <c r="AA3150" s="74">
        <f>Devis[[#This Row],[Prix de Revient]]*Devis[[#This Row],[Poste 6]]</f>
        <v>0</v>
      </c>
      <c r="AB3150" s="74">
        <f>Devis[[#This Row],[Quantité Totale]]*Devis[[#This Row],[Prix de Revient]]</f>
        <v>0</v>
      </c>
    </row>
    <row r="3151" spans="1:28" ht="14.25" customHeight="1" outlineLevel="1" x14ac:dyDescent="0.2">
      <c r="A3151" s="75" t="s">
        <v>2794</v>
      </c>
      <c r="B3151" s="76" t="s">
        <v>61</v>
      </c>
      <c r="C3151" s="76" t="s">
        <v>3612</v>
      </c>
      <c r="D3151" s="81" t="str">
        <f t="shared" ref="D3151:D3182" si="56">A3151&amp;B3151&amp;C3151</f>
        <v>Recup CalorieSoupape1"(7bars)</v>
      </c>
      <c r="E3151" s="76" t="s">
        <v>3672</v>
      </c>
      <c r="F3151" s="81">
        <v>7</v>
      </c>
      <c r="G3151" s="86" t="s">
        <v>3673</v>
      </c>
      <c r="H3151" s="71" t="s">
        <v>2936</v>
      </c>
      <c r="I3151" s="102"/>
      <c r="J3151" s="70">
        <f>IFERROR(VLOOKUP(Devis[[#This Row],[Ref Air Flux]],#REF!,3,FALSE),0)</f>
        <v>0</v>
      </c>
      <c r="K3151" s="68"/>
      <c r="L3151" s="68"/>
      <c r="M3151" s="68"/>
      <c r="N3151" s="68"/>
      <c r="O3151" s="68"/>
      <c r="P3151" s="68"/>
      <c r="Q3151" s="68">
        <f>SUM(Devis[[#This Row],[Poste 1]:[Poste 6]])</f>
        <v>0</v>
      </c>
      <c r="R3151" s="71"/>
      <c r="S3151" s="68">
        <f>_xlfn.CEILING.MATH(Devis[[#This Row],[Quantité Totale]],Devis[[#This Row],[Conditionnement]])</f>
        <v>0</v>
      </c>
      <c r="T3151" s="72"/>
      <c r="U3151" s="106"/>
      <c r="V3151" s="74">
        <f>Devis[[#This Row],[Prix de Revient]]*Devis[[#This Row],[Poste 1]]</f>
        <v>0</v>
      </c>
      <c r="W3151" s="74">
        <f>Devis[[#This Row],[Prix de Revient]]*Devis[[#This Row],[Poste 2]]</f>
        <v>0</v>
      </c>
      <c r="X3151" s="74">
        <f>Devis[[#This Row],[Prix de Revient]]*Devis[[#This Row],[Poste 3]]</f>
        <v>0</v>
      </c>
      <c r="Y3151" s="74">
        <f>Devis[[#This Row],[Poste 4]]*Devis[[#This Row],[Prix de Revient]]</f>
        <v>0</v>
      </c>
      <c r="Z3151" s="74">
        <f>Devis[[#This Row],[Poste 5]]*Devis[[#This Row],[Prix de Revient]]</f>
        <v>0</v>
      </c>
      <c r="AA3151" s="74">
        <f>Devis[[#This Row],[Prix de Revient]]*Devis[[#This Row],[Poste 6]]</f>
        <v>0</v>
      </c>
      <c r="AB3151" s="74">
        <f>Devis[[#This Row],[Quantité Totale]]*Devis[[#This Row],[Prix de Revient]]</f>
        <v>0</v>
      </c>
    </row>
    <row r="3152" spans="1:28" ht="14.25" outlineLevel="1" x14ac:dyDescent="0.2">
      <c r="A3152" s="75" t="s">
        <v>2794</v>
      </c>
      <c r="B3152" s="76" t="s">
        <v>61</v>
      </c>
      <c r="C3152" s="76" t="s">
        <v>20</v>
      </c>
      <c r="D3152" s="81" t="str">
        <f t="shared" si="56"/>
        <v>Recup CalorieSoupape1"1/4</v>
      </c>
      <c r="E3152" s="76" t="s">
        <v>2821</v>
      </c>
      <c r="F3152" s="81">
        <v>8</v>
      </c>
      <c r="G3152" s="86" t="s">
        <v>2822</v>
      </c>
      <c r="H3152" s="71" t="s">
        <v>2798</v>
      </c>
      <c r="I3152" s="102"/>
      <c r="J3152" s="70">
        <f>IFERROR(VLOOKUP(Devis[[#This Row],[Ref Air Flux]],#REF!,3,FALSE),0)</f>
        <v>0</v>
      </c>
      <c r="K3152" s="68"/>
      <c r="L3152" s="68"/>
      <c r="M3152" s="68"/>
      <c r="N3152" s="68"/>
      <c r="O3152" s="68"/>
      <c r="P3152" s="68"/>
      <c r="Q3152" s="68">
        <f>SUM(Devis[[#This Row],[Poste 1]:[Poste 6]])</f>
        <v>0</v>
      </c>
      <c r="R3152" s="71"/>
      <c r="S3152" s="68">
        <f>_xlfn.CEILING.MATH(Devis[[#This Row],[Quantité Totale]],Devis[[#This Row],[Conditionnement]])</f>
        <v>0</v>
      </c>
      <c r="T3152" s="72"/>
      <c r="U3152" s="73"/>
      <c r="V3152" s="74">
        <f>Devis[[#This Row],[Prix de Revient]]*Devis[[#This Row],[Poste 1]]</f>
        <v>0</v>
      </c>
      <c r="W3152" s="74">
        <f>Devis[[#This Row],[Prix de Revient]]*Devis[[#This Row],[Poste 2]]</f>
        <v>0</v>
      </c>
      <c r="X3152" s="74">
        <f>Devis[[#This Row],[Prix de Revient]]*Devis[[#This Row],[Poste 3]]</f>
        <v>0</v>
      </c>
      <c r="Y3152" s="74">
        <f>Devis[[#This Row],[Poste 4]]*Devis[[#This Row],[Prix de Revient]]</f>
        <v>0</v>
      </c>
      <c r="Z3152" s="74">
        <f>Devis[[#This Row],[Poste 5]]*Devis[[#This Row],[Prix de Revient]]</f>
        <v>0</v>
      </c>
      <c r="AA3152" s="74">
        <f>Devis[[#This Row],[Prix de Revient]]*Devis[[#This Row],[Poste 6]]</f>
        <v>0</v>
      </c>
      <c r="AB3152" s="74">
        <f>Devis[[#This Row],[Quantité Totale]]*Devis[[#This Row],[Prix de Revient]]</f>
        <v>0</v>
      </c>
    </row>
    <row r="3153" spans="1:28" ht="14.25" customHeight="1" outlineLevel="1" x14ac:dyDescent="0.25">
      <c r="A3153" s="75" t="s">
        <v>2794</v>
      </c>
      <c r="B3153" s="76" t="s">
        <v>61</v>
      </c>
      <c r="C3153" s="76" t="s">
        <v>3669</v>
      </c>
      <c r="D3153" s="81" t="str">
        <f t="shared" si="56"/>
        <v xml:space="preserve">Recup CalorieSoupape1/2" </v>
      </c>
      <c r="E3153" s="76" t="s">
        <v>2931</v>
      </c>
      <c r="F3153" s="81">
        <v>9</v>
      </c>
      <c r="G3153" s="86">
        <v>27330</v>
      </c>
      <c r="H3153" s="71" t="s">
        <v>2798</v>
      </c>
      <c r="I3153" s="117"/>
      <c r="J3153" s="70">
        <f>IFERROR(VLOOKUP(Devis[[#This Row],[Ref Air Flux]],#REF!,3,FALSE),0)</f>
        <v>0</v>
      </c>
      <c r="K3153" s="68"/>
      <c r="L3153" s="68"/>
      <c r="M3153" s="68"/>
      <c r="N3153" s="68"/>
      <c r="O3153" s="68"/>
      <c r="P3153" s="68"/>
      <c r="Q3153" s="68">
        <f>SUM(Devis[[#This Row],[Poste 1]:[Poste 6]])</f>
        <v>0</v>
      </c>
      <c r="R3153" s="71"/>
      <c r="S3153" s="68">
        <f>_xlfn.CEILING.MATH(Devis[[#This Row],[Quantité Totale]],Devis[[#This Row],[Conditionnement]])</f>
        <v>0</v>
      </c>
      <c r="T3153" s="72"/>
      <c r="U3153" s="106"/>
      <c r="V3153" s="74">
        <f>Devis[[#This Row],[Prix de Revient]]*Devis[[#This Row],[Poste 1]]</f>
        <v>0</v>
      </c>
      <c r="W3153" s="74">
        <f>Devis[[#This Row],[Prix de Revient]]*Devis[[#This Row],[Poste 2]]</f>
        <v>0</v>
      </c>
      <c r="X3153" s="74">
        <f>Devis[[#This Row],[Prix de Revient]]*Devis[[#This Row],[Poste 3]]</f>
        <v>0</v>
      </c>
      <c r="Y3153" s="74">
        <f>Devis[[#This Row],[Poste 4]]*Devis[[#This Row],[Prix de Revient]]</f>
        <v>0</v>
      </c>
      <c r="Z3153" s="74">
        <f>Devis[[#This Row],[Poste 5]]*Devis[[#This Row],[Prix de Revient]]</f>
        <v>0</v>
      </c>
      <c r="AA3153" s="74">
        <f>Devis[[#This Row],[Prix de Revient]]*Devis[[#This Row],[Poste 6]]</f>
        <v>0</v>
      </c>
      <c r="AB3153" s="74">
        <f>Devis[[#This Row],[Quantité Totale]]*Devis[[#This Row],[Prix de Revient]]</f>
        <v>0</v>
      </c>
    </row>
    <row r="3154" spans="1:28" ht="14.25" customHeight="1" outlineLevel="1" x14ac:dyDescent="0.2">
      <c r="A3154" s="75" t="s">
        <v>2794</v>
      </c>
      <c r="B3154" s="76" t="s">
        <v>61</v>
      </c>
      <c r="C3154" s="76" t="s">
        <v>3670</v>
      </c>
      <c r="D3154" s="81" t="str">
        <f t="shared" si="56"/>
        <v>Recup CalorieSoupape1/2(3  Bars)</v>
      </c>
      <c r="E3154" s="76" t="s">
        <v>2818</v>
      </c>
      <c r="F3154" s="81">
        <v>10</v>
      </c>
      <c r="G3154" s="86">
        <v>22769</v>
      </c>
      <c r="H3154" s="71" t="s">
        <v>2798</v>
      </c>
      <c r="I3154" s="102"/>
      <c r="J3154" s="70">
        <f>IFERROR(VLOOKUP(Devis[[#This Row],[Ref Air Flux]],#REF!,3,FALSE),0)</f>
        <v>0</v>
      </c>
      <c r="K3154" s="68"/>
      <c r="L3154" s="68"/>
      <c r="M3154" s="68"/>
      <c r="N3154" s="68"/>
      <c r="O3154" s="68"/>
      <c r="P3154" s="68"/>
      <c r="Q3154" s="68">
        <f>SUM(Devis[[#This Row],[Poste 1]:[Poste 6]])</f>
        <v>0</v>
      </c>
      <c r="R3154" s="71"/>
      <c r="S3154" s="68">
        <f>_xlfn.CEILING.MATH(Devis[[#This Row],[Quantité Totale]],Devis[[#This Row],[Conditionnement]])</f>
        <v>0</v>
      </c>
      <c r="T3154" s="72"/>
      <c r="U3154" s="106"/>
      <c r="V3154" s="74">
        <f>Devis[[#This Row],[Prix de Revient]]*Devis[[#This Row],[Poste 1]]</f>
        <v>0</v>
      </c>
      <c r="W3154" s="74">
        <f>Devis[[#This Row],[Prix de Revient]]*Devis[[#This Row],[Poste 2]]</f>
        <v>0</v>
      </c>
      <c r="X3154" s="74">
        <f>Devis[[#This Row],[Prix de Revient]]*Devis[[#This Row],[Poste 3]]</f>
        <v>0</v>
      </c>
      <c r="Y3154" s="74">
        <f>Devis[[#This Row],[Poste 4]]*Devis[[#This Row],[Prix de Revient]]</f>
        <v>0</v>
      </c>
      <c r="Z3154" s="74">
        <f>Devis[[#This Row],[Poste 5]]*Devis[[#This Row],[Prix de Revient]]</f>
        <v>0</v>
      </c>
      <c r="AA3154" s="74">
        <f>Devis[[#This Row],[Prix de Revient]]*Devis[[#This Row],[Poste 6]]</f>
        <v>0</v>
      </c>
      <c r="AB3154" s="74">
        <f>Devis[[#This Row],[Quantité Totale]]*Devis[[#This Row],[Prix de Revient]]</f>
        <v>0</v>
      </c>
    </row>
    <row r="3155" spans="1:28" ht="14.25" customHeight="1" outlineLevel="1" x14ac:dyDescent="0.25">
      <c r="A3155" s="75" t="s">
        <v>2794</v>
      </c>
      <c r="B3155" s="76" t="s">
        <v>61</v>
      </c>
      <c r="C3155" s="76" t="s">
        <v>2061</v>
      </c>
      <c r="D3155" s="81" t="str">
        <f t="shared" si="56"/>
        <v>Recup CalorieSoupape3/4"</v>
      </c>
      <c r="E3155" s="76" t="s">
        <v>2930</v>
      </c>
      <c r="F3155" s="81">
        <v>11</v>
      </c>
      <c r="G3155" s="86">
        <v>27360</v>
      </c>
      <c r="H3155" s="71" t="s">
        <v>2798</v>
      </c>
      <c r="I3155" s="117"/>
      <c r="J3155" s="70">
        <f>IFERROR(VLOOKUP(Devis[[#This Row],[Ref Air Flux]],#REF!,3,FALSE),0)</f>
        <v>0</v>
      </c>
      <c r="K3155" s="68"/>
      <c r="L3155" s="68"/>
      <c r="M3155" s="68"/>
      <c r="N3155" s="68"/>
      <c r="O3155" s="68"/>
      <c r="P3155" s="68"/>
      <c r="Q3155" s="68">
        <f>SUM(Devis[[#This Row],[Poste 1]:[Poste 6]])</f>
        <v>0</v>
      </c>
      <c r="R3155" s="71"/>
      <c r="S3155" s="68">
        <f>_xlfn.CEILING.MATH(Devis[[#This Row],[Quantité Totale]],Devis[[#This Row],[Conditionnement]])</f>
        <v>0</v>
      </c>
      <c r="T3155" s="72"/>
      <c r="U3155" s="106"/>
      <c r="V3155" s="74">
        <f>Devis[[#This Row],[Prix de Revient]]*Devis[[#This Row],[Poste 1]]</f>
        <v>0</v>
      </c>
      <c r="W3155" s="74">
        <f>Devis[[#This Row],[Prix de Revient]]*Devis[[#This Row],[Poste 2]]</f>
        <v>0</v>
      </c>
      <c r="X3155" s="74">
        <f>Devis[[#This Row],[Prix de Revient]]*Devis[[#This Row],[Poste 3]]</f>
        <v>0</v>
      </c>
      <c r="Y3155" s="74">
        <f>Devis[[#This Row],[Poste 4]]*Devis[[#This Row],[Prix de Revient]]</f>
        <v>0</v>
      </c>
      <c r="Z3155" s="74">
        <f>Devis[[#This Row],[Poste 5]]*Devis[[#This Row],[Prix de Revient]]</f>
        <v>0</v>
      </c>
      <c r="AA3155" s="74">
        <f>Devis[[#This Row],[Prix de Revient]]*Devis[[#This Row],[Poste 6]]</f>
        <v>0</v>
      </c>
      <c r="AB3155" s="74">
        <f>Devis[[#This Row],[Quantité Totale]]*Devis[[#This Row],[Prix de Revient]]</f>
        <v>0</v>
      </c>
    </row>
    <row r="3156" spans="1:28" ht="14.25" customHeight="1" outlineLevel="1" x14ac:dyDescent="0.25">
      <c r="A3156" s="75" t="s">
        <v>2794</v>
      </c>
      <c r="B3156" s="76" t="s">
        <v>61</v>
      </c>
      <c r="C3156" s="76" t="s">
        <v>3609</v>
      </c>
      <c r="D3156" s="81" t="str">
        <f t="shared" si="56"/>
        <v>Recup CalorieSoupape3/4" ( 3bars)</v>
      </c>
      <c r="E3156" s="76" t="s">
        <v>2922</v>
      </c>
      <c r="F3156" s="81">
        <v>12</v>
      </c>
      <c r="G3156" s="86" t="s">
        <v>2923</v>
      </c>
      <c r="H3156" s="71" t="s">
        <v>2798</v>
      </c>
      <c r="I3156" s="117"/>
      <c r="J3156" s="70">
        <f>IFERROR(VLOOKUP(Devis[[#This Row],[Ref Air Flux]],#REF!,3,FALSE),0)</f>
        <v>0</v>
      </c>
      <c r="K3156" s="68"/>
      <c r="L3156" s="68"/>
      <c r="M3156" s="68"/>
      <c r="N3156" s="68"/>
      <c r="O3156" s="68"/>
      <c r="P3156" s="68"/>
      <c r="Q3156" s="68">
        <f>SUM(Devis[[#This Row],[Poste 1]:[Poste 6]])</f>
        <v>0</v>
      </c>
      <c r="R3156" s="71"/>
      <c r="S3156" s="68">
        <f>_xlfn.CEILING.MATH(Devis[[#This Row],[Quantité Totale]],Devis[[#This Row],[Conditionnement]])</f>
        <v>0</v>
      </c>
      <c r="T3156" s="72"/>
      <c r="U3156" s="106"/>
      <c r="V3156" s="74">
        <f>Devis[[#This Row],[Prix de Revient]]*Devis[[#This Row],[Poste 1]]</f>
        <v>0</v>
      </c>
      <c r="W3156" s="74">
        <f>Devis[[#This Row],[Prix de Revient]]*Devis[[#This Row],[Poste 2]]</f>
        <v>0</v>
      </c>
      <c r="X3156" s="74">
        <f>Devis[[#This Row],[Prix de Revient]]*Devis[[#This Row],[Poste 3]]</f>
        <v>0</v>
      </c>
      <c r="Y3156" s="74">
        <f>Devis[[#This Row],[Poste 4]]*Devis[[#This Row],[Prix de Revient]]</f>
        <v>0</v>
      </c>
      <c r="Z3156" s="74">
        <f>Devis[[#This Row],[Poste 5]]*Devis[[#This Row],[Prix de Revient]]</f>
        <v>0</v>
      </c>
      <c r="AA3156" s="74">
        <f>Devis[[#This Row],[Prix de Revient]]*Devis[[#This Row],[Poste 6]]</f>
        <v>0</v>
      </c>
      <c r="AB3156" s="74">
        <f>Devis[[#This Row],[Quantité Totale]]*Devis[[#This Row],[Prix de Revient]]</f>
        <v>0</v>
      </c>
    </row>
    <row r="3157" spans="1:28" ht="14.25" customHeight="1" outlineLevel="1" x14ac:dyDescent="0.25">
      <c r="A3157" s="75" t="s">
        <v>2794</v>
      </c>
      <c r="B3157" s="76" t="s">
        <v>61</v>
      </c>
      <c r="C3157" s="76" t="s">
        <v>3611</v>
      </c>
      <c r="D3157" s="81" t="str">
        <f t="shared" si="56"/>
        <v>Recup CalorieSoupape3/4"(7bars)</v>
      </c>
      <c r="E3157" s="76" t="s">
        <v>2926</v>
      </c>
      <c r="F3157" s="81">
        <v>13</v>
      </c>
      <c r="G3157" s="86" t="s">
        <v>2927</v>
      </c>
      <c r="H3157" s="71" t="s">
        <v>2798</v>
      </c>
      <c r="I3157" s="117"/>
      <c r="J3157" s="70">
        <f>IFERROR(VLOOKUP(Devis[[#This Row],[Ref Air Flux]],#REF!,3,FALSE),0)</f>
        <v>0</v>
      </c>
      <c r="K3157" s="68"/>
      <c r="L3157" s="68"/>
      <c r="M3157" s="68"/>
      <c r="N3157" s="68"/>
      <c r="O3157" s="68"/>
      <c r="P3157" s="68"/>
      <c r="Q3157" s="68">
        <f>SUM(Devis[[#This Row],[Poste 1]:[Poste 6]])</f>
        <v>0</v>
      </c>
      <c r="R3157" s="71"/>
      <c r="S3157" s="68">
        <f>_xlfn.CEILING.MATH(Devis[[#This Row],[Quantité Totale]],Devis[[#This Row],[Conditionnement]])</f>
        <v>0</v>
      </c>
      <c r="T3157" s="72"/>
      <c r="U3157" s="106"/>
      <c r="V3157" s="74">
        <f>Devis[[#This Row],[Prix de Revient]]*Devis[[#This Row],[Poste 1]]</f>
        <v>0</v>
      </c>
      <c r="W3157" s="74">
        <f>Devis[[#This Row],[Prix de Revient]]*Devis[[#This Row],[Poste 2]]</f>
        <v>0</v>
      </c>
      <c r="X3157" s="74">
        <f>Devis[[#This Row],[Prix de Revient]]*Devis[[#This Row],[Poste 3]]</f>
        <v>0</v>
      </c>
      <c r="Y3157" s="74">
        <f>Devis[[#This Row],[Poste 4]]*Devis[[#This Row],[Prix de Revient]]</f>
        <v>0</v>
      </c>
      <c r="Z3157" s="74">
        <f>Devis[[#This Row],[Poste 5]]*Devis[[#This Row],[Prix de Revient]]</f>
        <v>0</v>
      </c>
      <c r="AA3157" s="74">
        <f>Devis[[#This Row],[Prix de Revient]]*Devis[[#This Row],[Poste 6]]</f>
        <v>0</v>
      </c>
      <c r="AB3157" s="74">
        <f>Devis[[#This Row],[Quantité Totale]]*Devis[[#This Row],[Prix de Revient]]</f>
        <v>0</v>
      </c>
    </row>
    <row r="3158" spans="1:28" ht="14.25" outlineLevel="1" x14ac:dyDescent="0.2">
      <c r="A3158" s="75" t="s">
        <v>2794</v>
      </c>
      <c r="B3158" s="76" t="s">
        <v>61</v>
      </c>
      <c r="C3158" s="76" t="s">
        <v>3668</v>
      </c>
      <c r="D3158" s="81" t="str">
        <f t="shared" si="56"/>
        <v>Recup CalorieSoupape3/4(4  Bars)</v>
      </c>
      <c r="E3158" s="76" t="s">
        <v>2819</v>
      </c>
      <c r="F3158" s="81">
        <v>14</v>
      </c>
      <c r="G3158" s="86" t="s">
        <v>2820</v>
      </c>
      <c r="H3158" s="71" t="s">
        <v>2798</v>
      </c>
      <c r="I3158" s="102"/>
      <c r="J3158" s="70">
        <f>IFERROR(VLOOKUP(Devis[[#This Row],[Ref Air Flux]],#REF!,3,FALSE),0)</f>
        <v>0</v>
      </c>
      <c r="K3158" s="68"/>
      <c r="L3158" s="68"/>
      <c r="M3158" s="68"/>
      <c r="N3158" s="68"/>
      <c r="O3158" s="68"/>
      <c r="P3158" s="68"/>
      <c r="Q3158" s="68">
        <f>SUM(Devis[[#This Row],[Poste 1]:[Poste 6]])</f>
        <v>0</v>
      </c>
      <c r="R3158" s="71"/>
      <c r="S3158" s="68">
        <f>_xlfn.CEILING.MATH(Devis[[#This Row],[Quantité Totale]],Devis[[#This Row],[Conditionnement]])</f>
        <v>0</v>
      </c>
      <c r="T3158" s="72"/>
      <c r="U3158" s="106"/>
      <c r="V3158" s="74">
        <f>Devis[[#This Row],[Prix de Revient]]*Devis[[#This Row],[Poste 1]]</f>
        <v>0</v>
      </c>
      <c r="W3158" s="74">
        <f>Devis[[#This Row],[Prix de Revient]]*Devis[[#This Row],[Poste 2]]</f>
        <v>0</v>
      </c>
      <c r="X3158" s="74">
        <f>Devis[[#This Row],[Prix de Revient]]*Devis[[#This Row],[Poste 3]]</f>
        <v>0</v>
      </c>
      <c r="Y3158" s="74">
        <f>Devis[[#This Row],[Poste 4]]*Devis[[#This Row],[Prix de Revient]]</f>
        <v>0</v>
      </c>
      <c r="Z3158" s="74">
        <f>Devis[[#This Row],[Poste 5]]*Devis[[#This Row],[Prix de Revient]]</f>
        <v>0</v>
      </c>
      <c r="AA3158" s="74">
        <f>Devis[[#This Row],[Prix de Revient]]*Devis[[#This Row],[Poste 6]]</f>
        <v>0</v>
      </c>
      <c r="AB3158" s="74">
        <f>Devis[[#This Row],[Quantité Totale]]*Devis[[#This Row],[Prix de Revient]]</f>
        <v>0</v>
      </c>
    </row>
    <row r="3159" spans="1:28" ht="14.25" customHeight="1" x14ac:dyDescent="0.25">
      <c r="A3159" s="65" t="s">
        <v>2794</v>
      </c>
      <c r="B3159" s="65" t="s">
        <v>2795</v>
      </c>
      <c r="C3159" s="76"/>
      <c r="D3159" s="81" t="str">
        <f t="shared" si="56"/>
        <v>Recup CalorieThermomètre</v>
      </c>
      <c r="E3159" s="76"/>
      <c r="F3159" s="81">
        <v>0</v>
      </c>
      <c r="G3159" s="86"/>
      <c r="H3159" s="71"/>
      <c r="I3159" s="102"/>
      <c r="J3159" s="70">
        <f>IFERROR(VLOOKUP(Devis[[#This Row],[Ref Air Flux]],#REF!,3,FALSE),0)</f>
        <v>0</v>
      </c>
      <c r="K3159" s="68"/>
      <c r="L3159" s="68"/>
      <c r="M3159" s="68"/>
      <c r="N3159" s="68"/>
      <c r="O3159" s="68"/>
      <c r="P3159" s="68"/>
      <c r="Q3159" s="68">
        <f>SUM(Devis[[#This Row],[Poste 1]:[Poste 6]])</f>
        <v>0</v>
      </c>
      <c r="R3159" s="71"/>
      <c r="S3159" s="68">
        <f>_xlfn.CEILING.MATH(Devis[[#This Row],[Quantité Totale]],Devis[[#This Row],[Conditionnement]])</f>
        <v>0</v>
      </c>
      <c r="T3159" s="72"/>
      <c r="U3159" s="106"/>
      <c r="V3159" s="74">
        <f>Devis[[#This Row],[Prix de Revient]]*Devis[[#This Row],[Poste 1]]</f>
        <v>0</v>
      </c>
      <c r="W3159" s="74">
        <f>Devis[[#This Row],[Prix de Revient]]*Devis[[#This Row],[Poste 2]]</f>
        <v>0</v>
      </c>
      <c r="X3159" s="74">
        <f>Devis[[#This Row],[Prix de Revient]]*Devis[[#This Row],[Poste 3]]</f>
        <v>0</v>
      </c>
      <c r="Y3159" s="74">
        <f>Devis[[#This Row],[Poste 4]]*Devis[[#This Row],[Prix de Revient]]</f>
        <v>0</v>
      </c>
      <c r="Z3159" s="74">
        <f>Devis[[#This Row],[Poste 5]]*Devis[[#This Row],[Prix de Revient]]</f>
        <v>0</v>
      </c>
      <c r="AA3159" s="74">
        <f>Devis[[#This Row],[Prix de Revient]]*Devis[[#This Row],[Poste 6]]</f>
        <v>0</v>
      </c>
      <c r="AB3159" s="74">
        <f>Devis[[#This Row],[Quantité Totale]]*Devis[[#This Row],[Prix de Revient]]</f>
        <v>0</v>
      </c>
    </row>
    <row r="3160" spans="1:28" ht="14.25" customHeight="1" outlineLevel="1" x14ac:dyDescent="0.2">
      <c r="A3160" s="75" t="s">
        <v>2794</v>
      </c>
      <c r="B3160" s="76" t="s">
        <v>2795</v>
      </c>
      <c r="C3160" s="76" t="s">
        <v>3613</v>
      </c>
      <c r="D3160" s="81" t="str">
        <f t="shared" si="56"/>
        <v>Recup CalorieThermomètre0/+120</v>
      </c>
      <c r="E3160" s="76" t="s">
        <v>3385</v>
      </c>
      <c r="F3160" s="81">
        <v>1</v>
      </c>
      <c r="G3160" s="86" t="s">
        <v>3383</v>
      </c>
      <c r="H3160" s="71" t="s">
        <v>3381</v>
      </c>
      <c r="I3160" s="102" t="s">
        <v>3383</v>
      </c>
      <c r="J3160" s="70">
        <f>IFERROR(VLOOKUP(Devis[[#This Row],[Ref Air Flux]],#REF!,3,FALSE),0)</f>
        <v>0</v>
      </c>
      <c r="K3160" s="68"/>
      <c r="L3160" s="68"/>
      <c r="M3160" s="68"/>
      <c r="N3160" s="68"/>
      <c r="O3160" s="68"/>
      <c r="P3160" s="68"/>
      <c r="Q3160" s="68">
        <f>SUM(Devis[[#This Row],[Poste 1]:[Poste 6]])</f>
        <v>0</v>
      </c>
      <c r="R3160" s="71"/>
      <c r="S3160" s="68">
        <f>_xlfn.CEILING.MATH(Devis[[#This Row],[Quantité Totale]],Devis[[#This Row],[Conditionnement]])</f>
        <v>0</v>
      </c>
      <c r="T3160" s="72"/>
      <c r="U3160" s="106"/>
      <c r="V3160" s="74">
        <f>Devis[[#This Row],[Prix de Revient]]*Devis[[#This Row],[Poste 1]]</f>
        <v>0</v>
      </c>
      <c r="W3160" s="74">
        <f>Devis[[#This Row],[Prix de Revient]]*Devis[[#This Row],[Poste 2]]</f>
        <v>0</v>
      </c>
      <c r="X3160" s="74">
        <f>Devis[[#This Row],[Prix de Revient]]*Devis[[#This Row],[Poste 3]]</f>
        <v>0</v>
      </c>
      <c r="Y3160" s="74">
        <f>Devis[[#This Row],[Poste 4]]*Devis[[#This Row],[Prix de Revient]]</f>
        <v>0</v>
      </c>
      <c r="Z3160" s="74">
        <f>Devis[[#This Row],[Poste 5]]*Devis[[#This Row],[Prix de Revient]]</f>
        <v>0</v>
      </c>
      <c r="AA3160" s="74">
        <f>Devis[[#This Row],[Prix de Revient]]*Devis[[#This Row],[Poste 6]]</f>
        <v>0</v>
      </c>
      <c r="AB3160" s="74">
        <f>Devis[[#This Row],[Quantité Totale]]*Devis[[#This Row],[Prix de Revient]]</f>
        <v>0</v>
      </c>
    </row>
    <row r="3161" spans="1:28" ht="14.25" customHeight="1" outlineLevel="1" x14ac:dyDescent="0.2">
      <c r="A3161" s="75" t="s">
        <v>2794</v>
      </c>
      <c r="B3161" s="76" t="s">
        <v>2795</v>
      </c>
      <c r="C3161" s="76" t="s">
        <v>3613</v>
      </c>
      <c r="D3161" s="81" t="str">
        <f t="shared" si="56"/>
        <v>Recup CalorieThermomètre0/+120</v>
      </c>
      <c r="E3161" s="76" t="s">
        <v>3388</v>
      </c>
      <c r="F3161" s="81">
        <v>2</v>
      </c>
      <c r="G3161" s="86" t="s">
        <v>3389</v>
      </c>
      <c r="H3161" s="71" t="s">
        <v>3381</v>
      </c>
      <c r="I3161" s="102" t="s">
        <v>3389</v>
      </c>
      <c r="J3161" s="70">
        <f>IFERROR(VLOOKUP(Devis[[#This Row],[Ref Air Flux]],#REF!,3,FALSE),0)</f>
        <v>0</v>
      </c>
      <c r="K3161" s="68"/>
      <c r="L3161" s="68"/>
      <c r="M3161" s="68"/>
      <c r="N3161" s="68"/>
      <c r="O3161" s="68"/>
      <c r="P3161" s="68"/>
      <c r="Q3161" s="68">
        <f>SUM(Devis[[#This Row],[Poste 1]:[Poste 6]])</f>
        <v>0</v>
      </c>
      <c r="R3161" s="71"/>
      <c r="S3161" s="68">
        <f>_xlfn.CEILING.MATH(Devis[[#This Row],[Quantité Totale]],Devis[[#This Row],[Conditionnement]])</f>
        <v>0</v>
      </c>
      <c r="T3161" s="72"/>
      <c r="U3161" s="106"/>
      <c r="V3161" s="74">
        <f>Devis[[#This Row],[Prix de Revient]]*Devis[[#This Row],[Poste 1]]</f>
        <v>0</v>
      </c>
      <c r="W3161" s="74">
        <f>Devis[[#This Row],[Prix de Revient]]*Devis[[#This Row],[Poste 2]]</f>
        <v>0</v>
      </c>
      <c r="X3161" s="74">
        <f>Devis[[#This Row],[Prix de Revient]]*Devis[[#This Row],[Poste 3]]</f>
        <v>0</v>
      </c>
      <c r="Y3161" s="74">
        <f>Devis[[#This Row],[Poste 4]]*Devis[[#This Row],[Prix de Revient]]</f>
        <v>0</v>
      </c>
      <c r="Z3161" s="74">
        <f>Devis[[#This Row],[Poste 5]]*Devis[[#This Row],[Prix de Revient]]</f>
        <v>0</v>
      </c>
      <c r="AA3161" s="74">
        <f>Devis[[#This Row],[Prix de Revient]]*Devis[[#This Row],[Poste 6]]</f>
        <v>0</v>
      </c>
      <c r="AB3161" s="74">
        <f>Devis[[#This Row],[Quantité Totale]]*Devis[[#This Row],[Prix de Revient]]</f>
        <v>0</v>
      </c>
    </row>
    <row r="3162" spans="1:28" ht="14.25" customHeight="1" outlineLevel="1" x14ac:dyDescent="0.2">
      <c r="A3162" s="75" t="s">
        <v>2794</v>
      </c>
      <c r="B3162" s="76" t="s">
        <v>2795</v>
      </c>
      <c r="C3162" s="76" t="s">
        <v>3615</v>
      </c>
      <c r="D3162" s="81" t="str">
        <f t="shared" si="56"/>
        <v>Recup CalorieThermomètre0+120</v>
      </c>
      <c r="E3162" s="76" t="s">
        <v>3386</v>
      </c>
      <c r="F3162" s="81">
        <v>3</v>
      </c>
      <c r="G3162" s="86" t="s">
        <v>3387</v>
      </c>
      <c r="H3162" s="71" t="s">
        <v>3381</v>
      </c>
      <c r="I3162" s="102" t="s">
        <v>3387</v>
      </c>
      <c r="J3162" s="70">
        <f>IFERROR(VLOOKUP(Devis[[#This Row],[Ref Air Flux]],#REF!,3,FALSE),0)</f>
        <v>0</v>
      </c>
      <c r="K3162" s="68"/>
      <c r="L3162" s="68"/>
      <c r="M3162" s="68"/>
      <c r="N3162" s="68"/>
      <c r="O3162" s="68"/>
      <c r="P3162" s="68"/>
      <c r="Q3162" s="68">
        <f>SUM(Devis[[#This Row],[Poste 1]:[Poste 6]])</f>
        <v>0</v>
      </c>
      <c r="R3162" s="71"/>
      <c r="S3162" s="68">
        <f>_xlfn.CEILING.MATH(Devis[[#This Row],[Quantité Totale]],Devis[[#This Row],[Conditionnement]])</f>
        <v>0</v>
      </c>
      <c r="T3162" s="72"/>
      <c r="U3162" s="106"/>
      <c r="V3162" s="74">
        <f>Devis[[#This Row],[Prix de Revient]]*Devis[[#This Row],[Poste 1]]</f>
        <v>0</v>
      </c>
      <c r="W3162" s="74">
        <f>Devis[[#This Row],[Prix de Revient]]*Devis[[#This Row],[Poste 2]]</f>
        <v>0</v>
      </c>
      <c r="X3162" s="74">
        <f>Devis[[#This Row],[Prix de Revient]]*Devis[[#This Row],[Poste 3]]</f>
        <v>0</v>
      </c>
      <c r="Y3162" s="74">
        <f>Devis[[#This Row],[Poste 4]]*Devis[[#This Row],[Prix de Revient]]</f>
        <v>0</v>
      </c>
      <c r="Z3162" s="74">
        <f>Devis[[#This Row],[Poste 5]]*Devis[[#This Row],[Prix de Revient]]</f>
        <v>0</v>
      </c>
      <c r="AA3162" s="74">
        <f>Devis[[#This Row],[Prix de Revient]]*Devis[[#This Row],[Poste 6]]</f>
        <v>0</v>
      </c>
      <c r="AB3162" s="74">
        <f>Devis[[#This Row],[Quantité Totale]]*Devis[[#This Row],[Prix de Revient]]</f>
        <v>0</v>
      </c>
    </row>
    <row r="3163" spans="1:28" ht="14.25" customHeight="1" outlineLevel="1" x14ac:dyDescent="0.2">
      <c r="A3163" s="75" t="s">
        <v>2794</v>
      </c>
      <c r="B3163" s="76" t="s">
        <v>2795</v>
      </c>
      <c r="C3163" s="76" t="s">
        <v>3601</v>
      </c>
      <c r="D3163" s="81" t="str">
        <f t="shared" si="56"/>
        <v>Recup CalorieThermomètre1/2 "</v>
      </c>
      <c r="E3163" s="118" t="s">
        <v>2796</v>
      </c>
      <c r="F3163" s="81">
        <v>4</v>
      </c>
      <c r="G3163" s="86" t="s">
        <v>2797</v>
      </c>
      <c r="H3163" s="71" t="s">
        <v>2798</v>
      </c>
      <c r="I3163" s="102" t="s">
        <v>2799</v>
      </c>
      <c r="J3163" s="70">
        <f>IFERROR(VLOOKUP(Devis[[#This Row],[Ref Air Flux]],#REF!,3,FALSE),0)</f>
        <v>0</v>
      </c>
      <c r="K3163" s="68"/>
      <c r="L3163" s="68"/>
      <c r="M3163" s="68"/>
      <c r="N3163" s="68"/>
      <c r="O3163" s="68"/>
      <c r="P3163" s="68"/>
      <c r="Q3163" s="68">
        <f>SUM(Devis[[#This Row],[Poste 1]:[Poste 6]])</f>
        <v>0</v>
      </c>
      <c r="R3163" s="71"/>
      <c r="S3163" s="68">
        <f>_xlfn.CEILING.MATH(Devis[[#This Row],[Quantité Totale]],Devis[[#This Row],[Conditionnement]])</f>
        <v>0</v>
      </c>
      <c r="T3163" s="72"/>
      <c r="U3163" s="106"/>
      <c r="V3163" s="74">
        <f>Devis[[#This Row],[Prix de Revient]]*Devis[[#This Row],[Poste 1]]</f>
        <v>0</v>
      </c>
      <c r="W3163" s="74">
        <f>Devis[[#This Row],[Prix de Revient]]*Devis[[#This Row],[Poste 2]]</f>
        <v>0</v>
      </c>
      <c r="X3163" s="74">
        <f>Devis[[#This Row],[Prix de Revient]]*Devis[[#This Row],[Poste 3]]</f>
        <v>0</v>
      </c>
      <c r="Y3163" s="74">
        <f>Devis[[#This Row],[Poste 4]]*Devis[[#This Row],[Prix de Revient]]</f>
        <v>0</v>
      </c>
      <c r="Z3163" s="74">
        <f>Devis[[#This Row],[Poste 5]]*Devis[[#This Row],[Prix de Revient]]</f>
        <v>0</v>
      </c>
      <c r="AA3163" s="74">
        <f>Devis[[#This Row],[Prix de Revient]]*Devis[[#This Row],[Poste 6]]</f>
        <v>0</v>
      </c>
      <c r="AB3163" s="74">
        <f>Devis[[#This Row],[Quantité Totale]]*Devis[[#This Row],[Prix de Revient]]</f>
        <v>0</v>
      </c>
    </row>
    <row r="3164" spans="1:28" ht="14.25" outlineLevel="1" x14ac:dyDescent="0.2">
      <c r="A3164" s="75" t="s">
        <v>2794</v>
      </c>
      <c r="B3164" s="76" t="s">
        <v>2795</v>
      </c>
      <c r="C3164" s="76" t="s">
        <v>3601</v>
      </c>
      <c r="D3164" s="81" t="str">
        <f t="shared" si="56"/>
        <v>Recup CalorieThermomètre1/2 "</v>
      </c>
      <c r="E3164" s="76" t="s">
        <v>3594</v>
      </c>
      <c r="F3164" s="81">
        <v>5</v>
      </c>
      <c r="G3164" s="86" t="s">
        <v>2826</v>
      </c>
      <c r="H3164" s="71" t="s">
        <v>3585</v>
      </c>
      <c r="I3164" s="102"/>
      <c r="J3164" s="70">
        <f>IFERROR(VLOOKUP(Devis[[#This Row],[Ref Air Flux]],#REF!,3,FALSE),0)</f>
        <v>0</v>
      </c>
      <c r="K3164" s="68"/>
      <c r="L3164" s="68"/>
      <c r="M3164" s="68"/>
      <c r="N3164" s="68"/>
      <c r="O3164" s="68"/>
      <c r="P3164" s="68"/>
      <c r="Q3164" s="68">
        <f>SUM(Devis[[#This Row],[Poste 1]:[Poste 6]])</f>
        <v>0</v>
      </c>
      <c r="R3164" s="71"/>
      <c r="S3164" s="68">
        <f>_xlfn.CEILING.MATH(Devis[[#This Row],[Quantité Totale]],Devis[[#This Row],[Conditionnement]])</f>
        <v>0</v>
      </c>
      <c r="T3164" s="72"/>
      <c r="U3164" s="106"/>
      <c r="V3164" s="74">
        <f>Devis[[#This Row],[Prix de Revient]]*Devis[[#This Row],[Poste 1]]</f>
        <v>0</v>
      </c>
      <c r="W3164" s="74">
        <f>Devis[[#This Row],[Prix de Revient]]*Devis[[#This Row],[Poste 2]]</f>
        <v>0</v>
      </c>
      <c r="X3164" s="74">
        <f>Devis[[#This Row],[Prix de Revient]]*Devis[[#This Row],[Poste 3]]</f>
        <v>0</v>
      </c>
      <c r="Y3164" s="74">
        <f>Devis[[#This Row],[Poste 4]]*Devis[[#This Row],[Prix de Revient]]</f>
        <v>0</v>
      </c>
      <c r="Z3164" s="74">
        <f>Devis[[#This Row],[Poste 5]]*Devis[[#This Row],[Prix de Revient]]</f>
        <v>0</v>
      </c>
      <c r="AA3164" s="74">
        <f>Devis[[#This Row],[Prix de Revient]]*Devis[[#This Row],[Poste 6]]</f>
        <v>0</v>
      </c>
      <c r="AB3164" s="74">
        <f>Devis[[#This Row],[Quantité Totale]]*Devis[[#This Row],[Prix de Revient]]</f>
        <v>0</v>
      </c>
    </row>
    <row r="3165" spans="1:28" ht="14.25" customHeight="1" outlineLevel="1" x14ac:dyDescent="0.2">
      <c r="A3165" s="75" t="s">
        <v>2794</v>
      </c>
      <c r="B3165" s="76" t="s">
        <v>2795</v>
      </c>
      <c r="C3165" s="76" t="s">
        <v>3601</v>
      </c>
      <c r="D3165" s="81" t="str">
        <f t="shared" si="56"/>
        <v>Recup CalorieThermomètre1/2 "</v>
      </c>
      <c r="E3165" s="76" t="s">
        <v>3593</v>
      </c>
      <c r="F3165" s="81">
        <v>6</v>
      </c>
      <c r="G3165" s="86" t="s">
        <v>3592</v>
      </c>
      <c r="H3165" s="71" t="s">
        <v>3585</v>
      </c>
      <c r="I3165" s="102"/>
      <c r="J3165" s="70">
        <f>IFERROR(VLOOKUP(Devis[[#This Row],[Ref Air Flux]],#REF!,3,FALSE),0)</f>
        <v>0</v>
      </c>
      <c r="K3165" s="68"/>
      <c r="L3165" s="68"/>
      <c r="M3165" s="68"/>
      <c r="N3165" s="68"/>
      <c r="O3165" s="68"/>
      <c r="P3165" s="68"/>
      <c r="Q3165" s="68">
        <f>SUM(Devis[[#This Row],[Poste 1]:[Poste 6]])</f>
        <v>0</v>
      </c>
      <c r="R3165" s="71"/>
      <c r="S3165" s="68">
        <f>_xlfn.CEILING.MATH(Devis[[#This Row],[Quantité Totale]],Devis[[#This Row],[Conditionnement]])</f>
        <v>0</v>
      </c>
      <c r="T3165" s="72"/>
      <c r="U3165" s="106"/>
      <c r="V3165" s="74">
        <f>Devis[[#This Row],[Prix de Revient]]*Devis[[#This Row],[Poste 1]]</f>
        <v>0</v>
      </c>
      <c r="W3165" s="74">
        <f>Devis[[#This Row],[Prix de Revient]]*Devis[[#This Row],[Poste 2]]</f>
        <v>0</v>
      </c>
      <c r="X3165" s="74">
        <f>Devis[[#This Row],[Prix de Revient]]*Devis[[#This Row],[Poste 3]]</f>
        <v>0</v>
      </c>
      <c r="Y3165" s="74">
        <f>Devis[[#This Row],[Poste 4]]*Devis[[#This Row],[Prix de Revient]]</f>
        <v>0</v>
      </c>
      <c r="Z3165" s="74">
        <f>Devis[[#This Row],[Poste 5]]*Devis[[#This Row],[Prix de Revient]]</f>
        <v>0</v>
      </c>
      <c r="AA3165" s="74">
        <f>Devis[[#This Row],[Prix de Revient]]*Devis[[#This Row],[Poste 6]]</f>
        <v>0</v>
      </c>
      <c r="AB3165" s="74">
        <f>Devis[[#This Row],[Quantité Totale]]*Devis[[#This Row],[Prix de Revient]]</f>
        <v>0</v>
      </c>
    </row>
    <row r="3166" spans="1:28" ht="14.25" customHeight="1" outlineLevel="1" x14ac:dyDescent="0.2">
      <c r="A3166" s="75" t="s">
        <v>2794</v>
      </c>
      <c r="B3166" s="76" t="s">
        <v>2795</v>
      </c>
      <c r="C3166" s="76" t="s">
        <v>3614</v>
      </c>
      <c r="D3166" s="81" t="str">
        <f t="shared" si="56"/>
        <v>Recup CalorieThermomètre-30/+50</v>
      </c>
      <c r="E3166" s="76" t="s">
        <v>3384</v>
      </c>
      <c r="F3166" s="81">
        <v>7</v>
      </c>
      <c r="G3166" s="86" t="s">
        <v>3382</v>
      </c>
      <c r="H3166" s="71" t="s">
        <v>3381</v>
      </c>
      <c r="I3166" s="102" t="s">
        <v>3382</v>
      </c>
      <c r="J3166" s="70">
        <f>IFERROR(VLOOKUP(Devis[[#This Row],[Ref Air Flux]],#REF!,3,FALSE),0)</f>
        <v>0</v>
      </c>
      <c r="K3166" s="68"/>
      <c r="L3166" s="68"/>
      <c r="M3166" s="68"/>
      <c r="N3166" s="68"/>
      <c r="O3166" s="68"/>
      <c r="P3166" s="68"/>
      <c r="Q3166" s="68">
        <f>SUM(Devis[[#This Row],[Poste 1]:[Poste 6]])</f>
        <v>0</v>
      </c>
      <c r="R3166" s="71"/>
      <c r="S3166" s="68">
        <f>_xlfn.CEILING.MATH(Devis[[#This Row],[Quantité Totale]],Devis[[#This Row],[Conditionnement]])</f>
        <v>0</v>
      </c>
      <c r="T3166" s="72"/>
      <c r="U3166" s="106"/>
      <c r="V3166" s="74">
        <f>Devis[[#This Row],[Prix de Revient]]*Devis[[#This Row],[Poste 1]]</f>
        <v>0</v>
      </c>
      <c r="W3166" s="74">
        <f>Devis[[#This Row],[Prix de Revient]]*Devis[[#This Row],[Poste 2]]</f>
        <v>0</v>
      </c>
      <c r="X3166" s="74">
        <f>Devis[[#This Row],[Prix de Revient]]*Devis[[#This Row],[Poste 3]]</f>
        <v>0</v>
      </c>
      <c r="Y3166" s="74">
        <f>Devis[[#This Row],[Poste 4]]*Devis[[#This Row],[Prix de Revient]]</f>
        <v>0</v>
      </c>
      <c r="Z3166" s="74">
        <f>Devis[[#This Row],[Poste 5]]*Devis[[#This Row],[Prix de Revient]]</f>
        <v>0</v>
      </c>
      <c r="AA3166" s="74">
        <f>Devis[[#This Row],[Prix de Revient]]*Devis[[#This Row],[Poste 6]]</f>
        <v>0</v>
      </c>
      <c r="AB3166" s="74">
        <f>Devis[[#This Row],[Quantité Totale]]*Devis[[#This Row],[Prix de Revient]]</f>
        <v>0</v>
      </c>
    </row>
    <row r="3167" spans="1:28" ht="14.25" outlineLevel="1" x14ac:dyDescent="0.2">
      <c r="A3167" s="75" t="s">
        <v>2794</v>
      </c>
      <c r="B3167" s="76" t="s">
        <v>2795</v>
      </c>
      <c r="C3167" s="76" t="s">
        <v>3614</v>
      </c>
      <c r="D3167" s="81" t="str">
        <f t="shared" si="56"/>
        <v>Recup CalorieThermomètre-30/+50</v>
      </c>
      <c r="E3167" s="76" t="s">
        <v>3246</v>
      </c>
      <c r="F3167" s="81">
        <v>8</v>
      </c>
      <c r="G3167" s="86" t="s">
        <v>3247</v>
      </c>
      <c r="H3167" s="71" t="s">
        <v>34</v>
      </c>
      <c r="I3167" s="102">
        <v>1672002</v>
      </c>
      <c r="J3167" s="70">
        <f>IFERROR(VLOOKUP(Devis[[#This Row],[Ref Air Flux]],#REF!,3,FALSE),0)</f>
        <v>0</v>
      </c>
      <c r="K3167" s="68"/>
      <c r="L3167" s="68"/>
      <c r="M3167" s="68"/>
      <c r="N3167" s="68"/>
      <c r="O3167" s="68"/>
      <c r="P3167" s="68"/>
      <c r="Q3167" s="68">
        <f>SUM(Devis[[#This Row],[Poste 1]:[Poste 6]])</f>
        <v>0</v>
      </c>
      <c r="R3167" s="71"/>
      <c r="S3167" s="68">
        <f>_xlfn.CEILING.MATH(Devis[[#This Row],[Quantité Totale]],Devis[[#This Row],[Conditionnement]])</f>
        <v>0</v>
      </c>
      <c r="T3167" s="72"/>
      <c r="U3167" s="106"/>
      <c r="V3167" s="74">
        <f>Devis[[#This Row],[Prix de Revient]]*Devis[[#This Row],[Poste 1]]</f>
        <v>0</v>
      </c>
      <c r="W3167" s="74">
        <f>Devis[[#This Row],[Prix de Revient]]*Devis[[#This Row],[Poste 2]]</f>
        <v>0</v>
      </c>
      <c r="X3167" s="74">
        <f>Devis[[#This Row],[Prix de Revient]]*Devis[[#This Row],[Poste 3]]</f>
        <v>0</v>
      </c>
      <c r="Y3167" s="74">
        <f>Devis[[#This Row],[Poste 4]]*Devis[[#This Row],[Prix de Revient]]</f>
        <v>0</v>
      </c>
      <c r="Z3167" s="74">
        <f>Devis[[#This Row],[Poste 5]]*Devis[[#This Row],[Prix de Revient]]</f>
        <v>0</v>
      </c>
      <c r="AA3167" s="74">
        <f>Devis[[#This Row],[Prix de Revient]]*Devis[[#This Row],[Poste 6]]</f>
        <v>0</v>
      </c>
      <c r="AB3167" s="74">
        <f>Devis[[#This Row],[Quantité Totale]]*Devis[[#This Row],[Prix de Revient]]</f>
        <v>0</v>
      </c>
    </row>
    <row r="3168" spans="1:28" ht="14.25" customHeight="1" outlineLevel="1" x14ac:dyDescent="0.2">
      <c r="A3168" s="75" t="s">
        <v>2794</v>
      </c>
      <c r="B3168" s="76" t="s">
        <v>2795</v>
      </c>
      <c r="C3168" s="76" t="s">
        <v>3614</v>
      </c>
      <c r="D3168" s="81" t="str">
        <f t="shared" si="56"/>
        <v>Recup CalorieThermomètre-30/+50</v>
      </c>
      <c r="E3168" s="76" t="s">
        <v>3248</v>
      </c>
      <c r="F3168" s="81">
        <v>9</v>
      </c>
      <c r="G3168" s="86" t="s">
        <v>3249</v>
      </c>
      <c r="H3168" s="71" t="s">
        <v>34</v>
      </c>
      <c r="I3168" s="102">
        <v>1677002</v>
      </c>
      <c r="J3168" s="70">
        <f>IFERROR(VLOOKUP(Devis[[#This Row],[Ref Air Flux]],#REF!,3,FALSE),0)</f>
        <v>0</v>
      </c>
      <c r="K3168" s="68"/>
      <c r="L3168" s="68"/>
      <c r="M3168" s="68"/>
      <c r="N3168" s="68"/>
      <c r="O3168" s="68"/>
      <c r="P3168" s="68"/>
      <c r="Q3168" s="68">
        <f>SUM(Devis[[#This Row],[Poste 1]:[Poste 6]])</f>
        <v>0</v>
      </c>
      <c r="R3168" s="71"/>
      <c r="S3168" s="68">
        <f>_xlfn.CEILING.MATH(Devis[[#This Row],[Quantité Totale]],Devis[[#This Row],[Conditionnement]])</f>
        <v>0</v>
      </c>
      <c r="T3168" s="72"/>
      <c r="U3168" s="106"/>
      <c r="V3168" s="74">
        <f>Devis[[#This Row],[Prix de Revient]]*Devis[[#This Row],[Poste 1]]</f>
        <v>0</v>
      </c>
      <c r="W3168" s="74">
        <f>Devis[[#This Row],[Prix de Revient]]*Devis[[#This Row],[Poste 2]]</f>
        <v>0</v>
      </c>
      <c r="X3168" s="74">
        <f>Devis[[#This Row],[Prix de Revient]]*Devis[[#This Row],[Poste 3]]</f>
        <v>0</v>
      </c>
      <c r="Y3168" s="74">
        <f>Devis[[#This Row],[Poste 4]]*Devis[[#This Row],[Prix de Revient]]</f>
        <v>0</v>
      </c>
      <c r="Z3168" s="74">
        <f>Devis[[#This Row],[Poste 5]]*Devis[[#This Row],[Prix de Revient]]</f>
        <v>0</v>
      </c>
      <c r="AA3168" s="74">
        <f>Devis[[#This Row],[Prix de Revient]]*Devis[[#This Row],[Poste 6]]</f>
        <v>0</v>
      </c>
      <c r="AB3168" s="74">
        <f>Devis[[#This Row],[Quantité Totale]]*Devis[[#This Row],[Prix de Revient]]</f>
        <v>0</v>
      </c>
    </row>
    <row r="3169" spans="1:28" ht="14.25" customHeight="1" outlineLevel="1" x14ac:dyDescent="0.2">
      <c r="A3169" s="75" t="s">
        <v>2794</v>
      </c>
      <c r="B3169" s="76" t="s">
        <v>2795</v>
      </c>
      <c r="C3169" s="76" t="s">
        <v>3613</v>
      </c>
      <c r="D3169" s="81" t="str">
        <f t="shared" si="56"/>
        <v>Recup CalorieThermomètre0/+120</v>
      </c>
      <c r="E3169" s="76" t="s">
        <v>4194</v>
      </c>
      <c r="F3169" s="81">
        <v>10</v>
      </c>
      <c r="G3169" s="86" t="s">
        <v>4195</v>
      </c>
      <c r="H3169" s="71" t="s">
        <v>3696</v>
      </c>
      <c r="I3169" s="75" t="s">
        <v>4196</v>
      </c>
      <c r="J3169" s="70">
        <f>IFERROR(VLOOKUP(Devis[[#This Row],[Ref Air Flux]],#REF!,3,FALSE),0)</f>
        <v>0</v>
      </c>
      <c r="K3169" s="68"/>
      <c r="L3169" s="68"/>
      <c r="M3169" s="68"/>
      <c r="N3169" s="68"/>
      <c r="O3169" s="68"/>
      <c r="P3169" s="68"/>
      <c r="Q3169" s="68">
        <f>SUM(Devis[[#This Row],[Poste 1]:[Poste 6]])</f>
        <v>0</v>
      </c>
      <c r="R3169" s="71"/>
      <c r="S3169" s="68">
        <f>_xlfn.CEILING.MATH(Devis[[#This Row],[Quantité Totale]],Devis[[#This Row],[Conditionnement]])</f>
        <v>0</v>
      </c>
      <c r="T3169" s="72"/>
      <c r="U3169" s="106"/>
      <c r="V3169" s="74">
        <f>Devis[[#This Row],[Prix de Revient]]*Devis[[#This Row],[Poste 1]]</f>
        <v>0</v>
      </c>
      <c r="W3169" s="74">
        <f>Devis[[#This Row],[Prix de Revient]]*Devis[[#This Row],[Poste 2]]</f>
        <v>0</v>
      </c>
      <c r="X3169" s="74">
        <f>Devis[[#This Row],[Prix de Revient]]*Devis[[#This Row],[Poste 3]]</f>
        <v>0</v>
      </c>
      <c r="Y3169" s="74">
        <f>Devis[[#This Row],[Poste 4]]*Devis[[#This Row],[Prix de Revient]]</f>
        <v>0</v>
      </c>
      <c r="Z3169" s="74">
        <f>Devis[[#This Row],[Poste 5]]*Devis[[#This Row],[Prix de Revient]]</f>
        <v>0</v>
      </c>
      <c r="AA3169" s="74">
        <f>Devis[[#This Row],[Prix de Revient]]*Devis[[#This Row],[Poste 6]]</f>
        <v>0</v>
      </c>
      <c r="AB3169" s="74">
        <f>Devis[[#This Row],[Quantité Totale]]*Devis[[#This Row],[Prix de Revient]]</f>
        <v>0</v>
      </c>
    </row>
    <row r="3170" spans="1:28" ht="14.25" customHeight="1" x14ac:dyDescent="0.25">
      <c r="A3170" s="65" t="s">
        <v>2794</v>
      </c>
      <c r="B3170" s="65" t="s">
        <v>2933</v>
      </c>
      <c r="C3170" s="76"/>
      <c r="D3170" s="81" t="str">
        <f t="shared" si="56"/>
        <v>Recup CalorieVanne 3 voie thermomix</v>
      </c>
      <c r="E3170" s="76"/>
      <c r="F3170" s="81">
        <v>0</v>
      </c>
      <c r="G3170" s="86"/>
      <c r="H3170" s="71"/>
      <c r="I3170" s="102"/>
      <c r="J3170" s="70">
        <f>IFERROR(VLOOKUP(Devis[[#This Row],[Ref Air Flux]],#REF!,3,FALSE),0)</f>
        <v>0</v>
      </c>
      <c r="K3170" s="68"/>
      <c r="L3170" s="68"/>
      <c r="M3170" s="68"/>
      <c r="N3170" s="68"/>
      <c r="O3170" s="68"/>
      <c r="P3170" s="68"/>
      <c r="Q3170" s="68">
        <f>SUM(Devis[[#This Row],[Poste 1]:[Poste 6]])</f>
        <v>0</v>
      </c>
      <c r="R3170" s="71"/>
      <c r="S3170" s="68">
        <f>_xlfn.CEILING.MATH(Devis[[#This Row],[Quantité Totale]],Devis[[#This Row],[Conditionnement]])</f>
        <v>0</v>
      </c>
      <c r="T3170" s="72"/>
      <c r="U3170" s="106"/>
      <c r="V3170" s="74">
        <f>Devis[[#This Row],[Prix de Revient]]*Devis[[#This Row],[Poste 1]]</f>
        <v>0</v>
      </c>
      <c r="W3170" s="74">
        <f>Devis[[#This Row],[Prix de Revient]]*Devis[[#This Row],[Poste 2]]</f>
        <v>0</v>
      </c>
      <c r="X3170" s="74">
        <f>Devis[[#This Row],[Prix de Revient]]*Devis[[#This Row],[Poste 3]]</f>
        <v>0</v>
      </c>
      <c r="Y3170" s="74">
        <f>Devis[[#This Row],[Poste 4]]*Devis[[#This Row],[Prix de Revient]]</f>
        <v>0</v>
      </c>
      <c r="Z3170" s="74">
        <f>Devis[[#This Row],[Poste 5]]*Devis[[#This Row],[Prix de Revient]]</f>
        <v>0</v>
      </c>
      <c r="AA3170" s="74">
        <f>Devis[[#This Row],[Prix de Revient]]*Devis[[#This Row],[Poste 6]]</f>
        <v>0</v>
      </c>
      <c r="AB3170" s="74">
        <f>Devis[[#This Row],[Quantité Totale]]*Devis[[#This Row],[Prix de Revient]]</f>
        <v>0</v>
      </c>
    </row>
    <row r="3171" spans="1:28" ht="14.25" outlineLevel="1" x14ac:dyDescent="0.2">
      <c r="A3171" s="75" t="s">
        <v>2794</v>
      </c>
      <c r="B3171" s="76" t="s">
        <v>2933</v>
      </c>
      <c r="C3171" s="76"/>
      <c r="D3171" s="81" t="str">
        <f t="shared" si="56"/>
        <v>Recup CalorieVanne 3 voie thermomix</v>
      </c>
      <c r="E3171" s="76" t="s">
        <v>2934</v>
      </c>
      <c r="F3171" s="81">
        <v>1</v>
      </c>
      <c r="G3171" s="86" t="s">
        <v>2935</v>
      </c>
      <c r="H3171" s="71" t="s">
        <v>2936</v>
      </c>
      <c r="I3171" s="102" t="s">
        <v>2937</v>
      </c>
      <c r="J3171" s="70">
        <f>IFERROR(VLOOKUP(Devis[[#This Row],[Ref Air Flux]],#REF!,3,FALSE),0)</f>
        <v>0</v>
      </c>
      <c r="K3171" s="68"/>
      <c r="L3171" s="68"/>
      <c r="M3171" s="68"/>
      <c r="N3171" s="68"/>
      <c r="O3171" s="68"/>
      <c r="P3171" s="68"/>
      <c r="Q3171" s="68">
        <f>SUM(Devis[[#This Row],[Poste 1]:[Poste 6]])</f>
        <v>0</v>
      </c>
      <c r="R3171" s="71"/>
      <c r="S3171" s="68">
        <f>_xlfn.CEILING.MATH(Devis[[#This Row],[Quantité Totale]],Devis[[#This Row],[Conditionnement]])</f>
        <v>0</v>
      </c>
      <c r="T3171" s="72"/>
      <c r="U3171" s="106"/>
      <c r="V3171" s="74">
        <f>Devis[[#This Row],[Prix de Revient]]*Devis[[#This Row],[Poste 1]]</f>
        <v>0</v>
      </c>
      <c r="W3171" s="74">
        <f>Devis[[#This Row],[Prix de Revient]]*Devis[[#This Row],[Poste 2]]</f>
        <v>0</v>
      </c>
      <c r="X3171" s="74">
        <f>Devis[[#This Row],[Prix de Revient]]*Devis[[#This Row],[Poste 3]]</f>
        <v>0</v>
      </c>
      <c r="Y3171" s="74">
        <f>Devis[[#This Row],[Poste 4]]*Devis[[#This Row],[Prix de Revient]]</f>
        <v>0</v>
      </c>
      <c r="Z3171" s="74">
        <f>Devis[[#This Row],[Poste 5]]*Devis[[#This Row],[Prix de Revient]]</f>
        <v>0</v>
      </c>
      <c r="AA3171" s="74">
        <f>Devis[[#This Row],[Prix de Revient]]*Devis[[#This Row],[Poste 6]]</f>
        <v>0</v>
      </c>
      <c r="AB3171" s="74">
        <f>Devis[[#This Row],[Quantité Totale]]*Devis[[#This Row],[Prix de Revient]]</f>
        <v>0</v>
      </c>
    </row>
    <row r="3172" spans="1:28" ht="14.25" customHeight="1" outlineLevel="1" x14ac:dyDescent="0.2">
      <c r="A3172" s="75" t="s">
        <v>2794</v>
      </c>
      <c r="B3172" s="76" t="s">
        <v>2933</v>
      </c>
      <c r="C3172" s="76"/>
      <c r="D3172" s="81" t="str">
        <f t="shared" si="56"/>
        <v>Recup CalorieVanne 3 voie thermomix</v>
      </c>
      <c r="E3172" s="76" t="s">
        <v>2938</v>
      </c>
      <c r="F3172" s="81">
        <v>2</v>
      </c>
      <c r="G3172" s="86" t="s">
        <v>2939</v>
      </c>
      <c r="H3172" s="71" t="s">
        <v>2936</v>
      </c>
      <c r="I3172" s="102" t="s">
        <v>2940</v>
      </c>
      <c r="J3172" s="70">
        <f>IFERROR(VLOOKUP(Devis[[#This Row],[Ref Air Flux]],#REF!,3,FALSE),0)</f>
        <v>0</v>
      </c>
      <c r="K3172" s="68"/>
      <c r="L3172" s="68"/>
      <c r="M3172" s="68"/>
      <c r="N3172" s="68"/>
      <c r="O3172" s="68"/>
      <c r="P3172" s="68"/>
      <c r="Q3172" s="68">
        <f>SUM(Devis[[#This Row],[Poste 1]:[Poste 6]])</f>
        <v>0</v>
      </c>
      <c r="R3172" s="71"/>
      <c r="S3172" s="68">
        <f>_xlfn.CEILING.MATH(Devis[[#This Row],[Quantité Totale]],Devis[[#This Row],[Conditionnement]])</f>
        <v>0</v>
      </c>
      <c r="T3172" s="72"/>
      <c r="U3172" s="106"/>
      <c r="V3172" s="74">
        <f>Devis[[#This Row],[Prix de Revient]]*Devis[[#This Row],[Poste 1]]</f>
        <v>0</v>
      </c>
      <c r="W3172" s="74">
        <f>Devis[[#This Row],[Prix de Revient]]*Devis[[#This Row],[Poste 2]]</f>
        <v>0</v>
      </c>
      <c r="X3172" s="74">
        <f>Devis[[#This Row],[Prix de Revient]]*Devis[[#This Row],[Poste 3]]</f>
        <v>0</v>
      </c>
      <c r="Y3172" s="74">
        <f>Devis[[#This Row],[Poste 4]]*Devis[[#This Row],[Prix de Revient]]</f>
        <v>0</v>
      </c>
      <c r="Z3172" s="74">
        <f>Devis[[#This Row],[Poste 5]]*Devis[[#This Row],[Prix de Revient]]</f>
        <v>0</v>
      </c>
      <c r="AA3172" s="74">
        <f>Devis[[#This Row],[Prix de Revient]]*Devis[[#This Row],[Poste 6]]</f>
        <v>0</v>
      </c>
      <c r="AB3172" s="74">
        <f>Devis[[#This Row],[Quantité Totale]]*Devis[[#This Row],[Prix de Revient]]</f>
        <v>0</v>
      </c>
    </row>
    <row r="3173" spans="1:28" ht="14.25" outlineLevel="1" x14ac:dyDescent="0.2">
      <c r="A3173" s="75" t="s">
        <v>2794</v>
      </c>
      <c r="B3173" s="76" t="s">
        <v>2933</v>
      </c>
      <c r="C3173" s="76"/>
      <c r="D3173" s="81" t="str">
        <f t="shared" si="56"/>
        <v>Recup CalorieVanne 3 voie thermomix</v>
      </c>
      <c r="E3173" s="76" t="s">
        <v>2941</v>
      </c>
      <c r="F3173" s="81">
        <v>3</v>
      </c>
      <c r="G3173" s="86" t="s">
        <v>2942</v>
      </c>
      <c r="H3173" s="71" t="s">
        <v>2936</v>
      </c>
      <c r="I3173" s="102" t="s">
        <v>2943</v>
      </c>
      <c r="J3173" s="70">
        <f>IFERROR(VLOOKUP(Devis[[#This Row],[Ref Air Flux]],#REF!,3,FALSE),0)</f>
        <v>0</v>
      </c>
      <c r="K3173" s="68"/>
      <c r="L3173" s="68"/>
      <c r="M3173" s="68"/>
      <c r="N3173" s="68"/>
      <c r="O3173" s="68"/>
      <c r="P3173" s="68"/>
      <c r="Q3173" s="68">
        <f>SUM(Devis[[#This Row],[Poste 1]:[Poste 6]])</f>
        <v>0</v>
      </c>
      <c r="R3173" s="71"/>
      <c r="S3173" s="68">
        <f>_xlfn.CEILING.MATH(Devis[[#This Row],[Quantité Totale]],Devis[[#This Row],[Conditionnement]])</f>
        <v>0</v>
      </c>
      <c r="T3173" s="72"/>
      <c r="U3173" s="106"/>
      <c r="V3173" s="74">
        <f>Devis[[#This Row],[Prix de Revient]]*Devis[[#This Row],[Poste 1]]</f>
        <v>0</v>
      </c>
      <c r="W3173" s="74">
        <f>Devis[[#This Row],[Prix de Revient]]*Devis[[#This Row],[Poste 2]]</f>
        <v>0</v>
      </c>
      <c r="X3173" s="74">
        <f>Devis[[#This Row],[Prix de Revient]]*Devis[[#This Row],[Poste 3]]</f>
        <v>0</v>
      </c>
      <c r="Y3173" s="74">
        <f>Devis[[#This Row],[Poste 4]]*Devis[[#This Row],[Prix de Revient]]</f>
        <v>0</v>
      </c>
      <c r="Z3173" s="74">
        <f>Devis[[#This Row],[Poste 5]]*Devis[[#This Row],[Prix de Revient]]</f>
        <v>0</v>
      </c>
      <c r="AA3173" s="74">
        <f>Devis[[#This Row],[Prix de Revient]]*Devis[[#This Row],[Poste 6]]</f>
        <v>0</v>
      </c>
      <c r="AB3173" s="74">
        <f>Devis[[#This Row],[Quantité Totale]]*Devis[[#This Row],[Prix de Revient]]</f>
        <v>0</v>
      </c>
    </row>
    <row r="3174" spans="1:28" ht="15" customHeight="1" outlineLevel="1" x14ac:dyDescent="0.2">
      <c r="A3174" s="75" t="s">
        <v>2794</v>
      </c>
      <c r="B3174" s="76" t="s">
        <v>2933</v>
      </c>
      <c r="C3174" s="76"/>
      <c r="D3174" s="81" t="str">
        <f t="shared" si="56"/>
        <v>Recup CalorieVanne 3 voie thermomix</v>
      </c>
      <c r="E3174" s="76" t="s">
        <v>2944</v>
      </c>
      <c r="F3174" s="81">
        <v>4</v>
      </c>
      <c r="G3174" s="86" t="s">
        <v>2945</v>
      </c>
      <c r="H3174" s="71" t="s">
        <v>2936</v>
      </c>
      <c r="I3174" s="102" t="s">
        <v>2946</v>
      </c>
      <c r="J3174" s="70">
        <f>IFERROR(VLOOKUP(Devis[[#This Row],[Ref Air Flux]],#REF!,3,FALSE),0)</f>
        <v>0</v>
      </c>
      <c r="K3174" s="68"/>
      <c r="L3174" s="68"/>
      <c r="M3174" s="68"/>
      <c r="N3174" s="68"/>
      <c r="O3174" s="68"/>
      <c r="P3174" s="68"/>
      <c r="Q3174" s="68">
        <f>SUM(Devis[[#This Row],[Poste 1]:[Poste 6]])</f>
        <v>0</v>
      </c>
      <c r="R3174" s="71"/>
      <c r="S3174" s="68">
        <f>_xlfn.CEILING.MATH(Devis[[#This Row],[Quantité Totale]],Devis[[#This Row],[Conditionnement]])</f>
        <v>0</v>
      </c>
      <c r="T3174" s="72"/>
      <c r="U3174" s="106"/>
      <c r="V3174" s="74">
        <f>Devis[[#This Row],[Prix de Revient]]*Devis[[#This Row],[Poste 1]]</f>
        <v>0</v>
      </c>
      <c r="W3174" s="74">
        <f>Devis[[#This Row],[Prix de Revient]]*Devis[[#This Row],[Poste 2]]</f>
        <v>0</v>
      </c>
      <c r="X3174" s="74">
        <f>Devis[[#This Row],[Prix de Revient]]*Devis[[#This Row],[Poste 3]]</f>
        <v>0</v>
      </c>
      <c r="Y3174" s="74">
        <f>Devis[[#This Row],[Poste 4]]*Devis[[#This Row],[Prix de Revient]]</f>
        <v>0</v>
      </c>
      <c r="Z3174" s="74">
        <f>Devis[[#This Row],[Poste 5]]*Devis[[#This Row],[Prix de Revient]]</f>
        <v>0</v>
      </c>
      <c r="AA3174" s="74">
        <f>Devis[[#This Row],[Prix de Revient]]*Devis[[#This Row],[Poste 6]]</f>
        <v>0</v>
      </c>
      <c r="AB3174" s="74">
        <f>Devis[[#This Row],[Quantité Totale]]*Devis[[#This Row],[Prix de Revient]]</f>
        <v>0</v>
      </c>
    </row>
    <row r="3175" spans="1:28" ht="14.25" outlineLevel="1" x14ac:dyDescent="0.2">
      <c r="A3175" s="75" t="s">
        <v>2794</v>
      </c>
      <c r="B3175" s="76" t="s">
        <v>2933</v>
      </c>
      <c r="C3175" s="76"/>
      <c r="D3175" s="81" t="str">
        <f t="shared" si="56"/>
        <v>Recup CalorieVanne 3 voie thermomix</v>
      </c>
      <c r="E3175" s="76" t="s">
        <v>2947</v>
      </c>
      <c r="F3175" s="81">
        <v>5</v>
      </c>
      <c r="G3175" s="86" t="s">
        <v>2948</v>
      </c>
      <c r="H3175" s="71" t="s">
        <v>2936</v>
      </c>
      <c r="I3175" s="102" t="s">
        <v>2949</v>
      </c>
      <c r="J3175" s="70">
        <f>IFERROR(VLOOKUP(Devis[[#This Row],[Ref Air Flux]],#REF!,3,FALSE),0)</f>
        <v>0</v>
      </c>
      <c r="K3175" s="68"/>
      <c r="L3175" s="68"/>
      <c r="M3175" s="68"/>
      <c r="N3175" s="68"/>
      <c r="O3175" s="68"/>
      <c r="P3175" s="68"/>
      <c r="Q3175" s="68">
        <f>SUM(Devis[[#This Row],[Poste 1]:[Poste 6]])</f>
        <v>0</v>
      </c>
      <c r="R3175" s="71"/>
      <c r="S3175" s="68">
        <f>_xlfn.CEILING.MATH(Devis[[#This Row],[Quantité Totale]],Devis[[#This Row],[Conditionnement]])</f>
        <v>0</v>
      </c>
      <c r="T3175" s="72"/>
      <c r="U3175" s="106"/>
      <c r="V3175" s="74">
        <f>Devis[[#This Row],[Prix de Revient]]*Devis[[#This Row],[Poste 1]]</f>
        <v>0</v>
      </c>
      <c r="W3175" s="74">
        <f>Devis[[#This Row],[Prix de Revient]]*Devis[[#This Row],[Poste 2]]</f>
        <v>0</v>
      </c>
      <c r="X3175" s="74">
        <f>Devis[[#This Row],[Prix de Revient]]*Devis[[#This Row],[Poste 3]]</f>
        <v>0</v>
      </c>
      <c r="Y3175" s="74">
        <f>Devis[[#This Row],[Poste 4]]*Devis[[#This Row],[Prix de Revient]]</f>
        <v>0</v>
      </c>
      <c r="Z3175" s="74">
        <f>Devis[[#This Row],[Poste 5]]*Devis[[#This Row],[Prix de Revient]]</f>
        <v>0</v>
      </c>
      <c r="AA3175" s="74">
        <f>Devis[[#This Row],[Prix de Revient]]*Devis[[#This Row],[Poste 6]]</f>
        <v>0</v>
      </c>
      <c r="AB3175" s="74">
        <f>Devis[[#This Row],[Quantité Totale]]*Devis[[#This Row],[Prix de Revient]]</f>
        <v>0</v>
      </c>
    </row>
    <row r="3176" spans="1:28" ht="14.25" customHeight="1" x14ac:dyDescent="0.25">
      <c r="A3176" s="65" t="s">
        <v>2794</v>
      </c>
      <c r="B3176" s="65" t="s">
        <v>2950</v>
      </c>
      <c r="C3176" s="76"/>
      <c r="D3176" s="81" t="str">
        <f t="shared" si="56"/>
        <v>Recup CalorieVanne motorise</v>
      </c>
      <c r="E3176" s="76"/>
      <c r="F3176" s="81">
        <v>0</v>
      </c>
      <c r="G3176" s="86"/>
      <c r="H3176" s="71"/>
      <c r="I3176" s="102"/>
      <c r="J3176" s="70">
        <f>IFERROR(VLOOKUP(Devis[[#This Row],[Ref Air Flux]],#REF!,3,FALSE),0)</f>
        <v>0</v>
      </c>
      <c r="K3176" s="68"/>
      <c r="L3176" s="68"/>
      <c r="M3176" s="68"/>
      <c r="N3176" s="68"/>
      <c r="O3176" s="68"/>
      <c r="P3176" s="68"/>
      <c r="Q3176" s="68">
        <f>SUM(Devis[[#This Row],[Poste 1]:[Poste 6]])</f>
        <v>0</v>
      </c>
      <c r="R3176" s="71"/>
      <c r="S3176" s="68">
        <f>_xlfn.CEILING.MATH(Devis[[#This Row],[Quantité Totale]],Devis[[#This Row],[Conditionnement]])</f>
        <v>0</v>
      </c>
      <c r="T3176" s="72"/>
      <c r="U3176" s="106"/>
      <c r="V3176" s="74">
        <f>Devis[[#This Row],[Prix de Revient]]*Devis[[#This Row],[Poste 1]]</f>
        <v>0</v>
      </c>
      <c r="W3176" s="74">
        <f>Devis[[#This Row],[Prix de Revient]]*Devis[[#This Row],[Poste 2]]</f>
        <v>0</v>
      </c>
      <c r="X3176" s="74">
        <f>Devis[[#This Row],[Prix de Revient]]*Devis[[#This Row],[Poste 3]]</f>
        <v>0</v>
      </c>
      <c r="Y3176" s="74">
        <f>Devis[[#This Row],[Poste 4]]*Devis[[#This Row],[Prix de Revient]]</f>
        <v>0</v>
      </c>
      <c r="Z3176" s="74">
        <f>Devis[[#This Row],[Poste 5]]*Devis[[#This Row],[Prix de Revient]]</f>
        <v>0</v>
      </c>
      <c r="AA3176" s="74">
        <f>Devis[[#This Row],[Prix de Revient]]*Devis[[#This Row],[Poste 6]]</f>
        <v>0</v>
      </c>
      <c r="AB3176" s="74">
        <f>Devis[[#This Row],[Quantité Totale]]*Devis[[#This Row],[Prix de Revient]]</f>
        <v>0</v>
      </c>
    </row>
    <row r="3177" spans="1:28" ht="14.25" outlineLevel="1" x14ac:dyDescent="0.2">
      <c r="A3177" s="75" t="s">
        <v>2794</v>
      </c>
      <c r="B3177" s="76" t="s">
        <v>2950</v>
      </c>
      <c r="C3177" s="76"/>
      <c r="D3177" s="81" t="str">
        <f t="shared" si="56"/>
        <v>Recup CalorieVanne motorise</v>
      </c>
      <c r="E3177" s="76" t="s">
        <v>2951</v>
      </c>
      <c r="F3177" s="81">
        <v>1</v>
      </c>
      <c r="G3177" s="86" t="s">
        <v>2952</v>
      </c>
      <c r="H3177" s="71" t="s">
        <v>2953</v>
      </c>
      <c r="I3177" s="102" t="s">
        <v>2954</v>
      </c>
      <c r="J3177" s="70">
        <f>IFERROR(VLOOKUP(Devis[[#This Row],[Ref Air Flux]],#REF!,3,FALSE),0)</f>
        <v>0</v>
      </c>
      <c r="K3177" s="68"/>
      <c r="L3177" s="68"/>
      <c r="M3177" s="68"/>
      <c r="N3177" s="68"/>
      <c r="O3177" s="68"/>
      <c r="P3177" s="68"/>
      <c r="Q3177" s="68">
        <f>SUM(Devis[[#This Row],[Poste 1]:[Poste 6]])</f>
        <v>0</v>
      </c>
      <c r="R3177" s="71"/>
      <c r="S3177" s="68">
        <f>_xlfn.CEILING.MATH(Devis[[#This Row],[Quantité Totale]],Devis[[#This Row],[Conditionnement]])</f>
        <v>0</v>
      </c>
      <c r="T3177" s="72"/>
      <c r="U3177" s="106"/>
      <c r="V3177" s="74">
        <f>Devis[[#This Row],[Prix de Revient]]*Devis[[#This Row],[Poste 1]]</f>
        <v>0</v>
      </c>
      <c r="W3177" s="74">
        <f>Devis[[#This Row],[Prix de Revient]]*Devis[[#This Row],[Poste 2]]</f>
        <v>0</v>
      </c>
      <c r="X3177" s="74">
        <f>Devis[[#This Row],[Prix de Revient]]*Devis[[#This Row],[Poste 3]]</f>
        <v>0</v>
      </c>
      <c r="Y3177" s="74">
        <f>Devis[[#This Row],[Poste 4]]*Devis[[#This Row],[Prix de Revient]]</f>
        <v>0</v>
      </c>
      <c r="Z3177" s="74">
        <f>Devis[[#This Row],[Poste 5]]*Devis[[#This Row],[Prix de Revient]]</f>
        <v>0</v>
      </c>
      <c r="AA3177" s="74">
        <f>Devis[[#This Row],[Prix de Revient]]*Devis[[#This Row],[Poste 6]]</f>
        <v>0</v>
      </c>
      <c r="AB3177" s="74">
        <f>Devis[[#This Row],[Quantité Totale]]*Devis[[#This Row],[Prix de Revient]]</f>
        <v>0</v>
      </c>
    </row>
    <row r="3178" spans="1:28" ht="14.25" outlineLevel="1" x14ac:dyDescent="0.2">
      <c r="A3178" s="75" t="s">
        <v>2794</v>
      </c>
      <c r="B3178" s="76" t="s">
        <v>2950</v>
      </c>
      <c r="C3178" s="76"/>
      <c r="D3178" s="81" t="str">
        <f t="shared" si="56"/>
        <v>Recup CalorieVanne motorise</v>
      </c>
      <c r="E3178" s="76" t="s">
        <v>2955</v>
      </c>
      <c r="F3178" s="81">
        <v>2</v>
      </c>
      <c r="G3178" s="86" t="s">
        <v>2956</v>
      </c>
      <c r="H3178" s="71" t="s">
        <v>2953</v>
      </c>
      <c r="I3178" s="102" t="s">
        <v>2957</v>
      </c>
      <c r="J3178" s="70">
        <f>IFERROR(VLOOKUP(Devis[[#This Row],[Ref Air Flux]],#REF!,3,FALSE),0)</f>
        <v>0</v>
      </c>
      <c r="K3178" s="68"/>
      <c r="L3178" s="68"/>
      <c r="M3178" s="68"/>
      <c r="N3178" s="68"/>
      <c r="O3178" s="68"/>
      <c r="P3178" s="68"/>
      <c r="Q3178" s="68">
        <f>SUM(Devis[[#This Row],[Poste 1]:[Poste 6]])</f>
        <v>0</v>
      </c>
      <c r="R3178" s="71"/>
      <c r="S3178" s="68">
        <f>_xlfn.CEILING.MATH(Devis[[#This Row],[Quantité Totale]],Devis[[#This Row],[Conditionnement]])</f>
        <v>0</v>
      </c>
      <c r="T3178" s="72"/>
      <c r="U3178" s="106"/>
      <c r="V3178" s="74">
        <f>Devis[[#This Row],[Prix de Revient]]*Devis[[#This Row],[Poste 1]]</f>
        <v>0</v>
      </c>
      <c r="W3178" s="74">
        <f>Devis[[#This Row],[Prix de Revient]]*Devis[[#This Row],[Poste 2]]</f>
        <v>0</v>
      </c>
      <c r="X3178" s="74">
        <f>Devis[[#This Row],[Prix de Revient]]*Devis[[#This Row],[Poste 3]]</f>
        <v>0</v>
      </c>
      <c r="Y3178" s="74">
        <f>Devis[[#This Row],[Poste 4]]*Devis[[#This Row],[Prix de Revient]]</f>
        <v>0</v>
      </c>
      <c r="Z3178" s="74">
        <f>Devis[[#This Row],[Poste 5]]*Devis[[#This Row],[Prix de Revient]]</f>
        <v>0</v>
      </c>
      <c r="AA3178" s="74">
        <f>Devis[[#This Row],[Prix de Revient]]*Devis[[#This Row],[Poste 6]]</f>
        <v>0</v>
      </c>
      <c r="AB3178" s="74">
        <f>Devis[[#This Row],[Quantité Totale]]*Devis[[#This Row],[Prix de Revient]]</f>
        <v>0</v>
      </c>
    </row>
    <row r="3179" spans="1:28" ht="14.25" outlineLevel="1" x14ac:dyDescent="0.2">
      <c r="A3179" s="75" t="s">
        <v>2794</v>
      </c>
      <c r="B3179" s="76" t="s">
        <v>2950</v>
      </c>
      <c r="C3179" s="76"/>
      <c r="D3179" s="81" t="str">
        <f t="shared" si="56"/>
        <v>Recup CalorieVanne motorise</v>
      </c>
      <c r="E3179" s="76" t="s">
        <v>3260</v>
      </c>
      <c r="F3179" s="81">
        <v>3</v>
      </c>
      <c r="G3179" s="86" t="s">
        <v>3261</v>
      </c>
      <c r="H3179" s="71" t="s">
        <v>2953</v>
      </c>
      <c r="I3179" s="102" t="s">
        <v>3262</v>
      </c>
      <c r="J3179" s="70">
        <f>IFERROR(VLOOKUP(Devis[[#This Row],[Ref Air Flux]],#REF!,3,FALSE),0)</f>
        <v>0</v>
      </c>
      <c r="K3179" s="68"/>
      <c r="L3179" s="68"/>
      <c r="M3179" s="68"/>
      <c r="N3179" s="68"/>
      <c r="O3179" s="68"/>
      <c r="P3179" s="68"/>
      <c r="Q3179" s="68">
        <f>SUM(Devis[[#This Row],[Poste 1]:[Poste 6]])</f>
        <v>0</v>
      </c>
      <c r="R3179" s="71"/>
      <c r="S3179" s="68">
        <f>_xlfn.CEILING.MATH(Devis[[#This Row],[Quantité Totale]],Devis[[#This Row],[Conditionnement]])</f>
        <v>0</v>
      </c>
      <c r="T3179" s="72"/>
      <c r="U3179" s="106"/>
      <c r="V3179" s="74">
        <f>Devis[[#This Row],[Prix de Revient]]*Devis[[#This Row],[Poste 1]]</f>
        <v>0</v>
      </c>
      <c r="W3179" s="74">
        <f>Devis[[#This Row],[Prix de Revient]]*Devis[[#This Row],[Poste 2]]</f>
        <v>0</v>
      </c>
      <c r="X3179" s="74">
        <f>Devis[[#This Row],[Prix de Revient]]*Devis[[#This Row],[Poste 3]]</f>
        <v>0</v>
      </c>
      <c r="Y3179" s="74">
        <f>Devis[[#This Row],[Poste 4]]*Devis[[#This Row],[Prix de Revient]]</f>
        <v>0</v>
      </c>
      <c r="Z3179" s="74">
        <f>Devis[[#This Row],[Poste 5]]*Devis[[#This Row],[Prix de Revient]]</f>
        <v>0</v>
      </c>
      <c r="AA3179" s="74">
        <f>Devis[[#This Row],[Prix de Revient]]*Devis[[#This Row],[Poste 6]]</f>
        <v>0</v>
      </c>
      <c r="AB3179" s="74">
        <f>Devis[[#This Row],[Quantité Totale]]*Devis[[#This Row],[Prix de Revient]]</f>
        <v>0</v>
      </c>
    </row>
    <row r="3180" spans="1:28" ht="14.25" outlineLevel="1" x14ac:dyDescent="0.2">
      <c r="A3180" s="75" t="s">
        <v>2794</v>
      </c>
      <c r="B3180" s="76" t="s">
        <v>2950</v>
      </c>
      <c r="C3180" s="76"/>
      <c r="D3180" s="81" t="str">
        <f t="shared" si="56"/>
        <v>Recup CalorieVanne motorise</v>
      </c>
      <c r="E3180" s="76" t="s">
        <v>3263</v>
      </c>
      <c r="F3180" s="81">
        <v>4</v>
      </c>
      <c r="G3180" s="86" t="s">
        <v>3264</v>
      </c>
      <c r="H3180" s="71" t="s">
        <v>2953</v>
      </c>
      <c r="I3180" s="102" t="s">
        <v>3265</v>
      </c>
      <c r="J3180" s="70">
        <f>IFERROR(VLOOKUP(Devis[[#This Row],[Ref Air Flux]],#REF!,3,FALSE),0)</f>
        <v>0</v>
      </c>
      <c r="K3180" s="68"/>
      <c r="L3180" s="68"/>
      <c r="M3180" s="68"/>
      <c r="N3180" s="68"/>
      <c r="O3180" s="68"/>
      <c r="P3180" s="68"/>
      <c r="Q3180" s="68">
        <f>SUM(Devis[[#This Row],[Poste 1]:[Poste 6]])</f>
        <v>0</v>
      </c>
      <c r="R3180" s="71"/>
      <c r="S3180" s="68">
        <f>_xlfn.CEILING.MATH(Devis[[#This Row],[Quantité Totale]],Devis[[#This Row],[Conditionnement]])</f>
        <v>0</v>
      </c>
      <c r="T3180" s="72"/>
      <c r="U3180" s="106"/>
      <c r="V3180" s="74">
        <f>Devis[[#This Row],[Prix de Revient]]*Devis[[#This Row],[Poste 1]]</f>
        <v>0</v>
      </c>
      <c r="W3180" s="74">
        <f>Devis[[#This Row],[Prix de Revient]]*Devis[[#This Row],[Poste 2]]</f>
        <v>0</v>
      </c>
      <c r="X3180" s="74">
        <f>Devis[[#This Row],[Prix de Revient]]*Devis[[#This Row],[Poste 3]]</f>
        <v>0</v>
      </c>
      <c r="Y3180" s="74">
        <f>Devis[[#This Row],[Poste 4]]*Devis[[#This Row],[Prix de Revient]]</f>
        <v>0</v>
      </c>
      <c r="Z3180" s="74">
        <f>Devis[[#This Row],[Poste 5]]*Devis[[#This Row],[Prix de Revient]]</f>
        <v>0</v>
      </c>
      <c r="AA3180" s="74">
        <f>Devis[[#This Row],[Prix de Revient]]*Devis[[#This Row],[Poste 6]]</f>
        <v>0</v>
      </c>
      <c r="AB3180" s="74">
        <f>Devis[[#This Row],[Quantité Totale]]*Devis[[#This Row],[Prix de Revient]]</f>
        <v>0</v>
      </c>
    </row>
    <row r="3181" spans="1:28" ht="14.25" customHeight="1" x14ac:dyDescent="0.25">
      <c r="A3181" s="65" t="s">
        <v>2794</v>
      </c>
      <c r="B3181" s="65" t="s">
        <v>2958</v>
      </c>
      <c r="C3181" s="76"/>
      <c r="D3181" s="81" t="str">
        <f t="shared" si="56"/>
        <v>Recup CalorieVase d'expansion chauffage</v>
      </c>
      <c r="E3181" s="76"/>
      <c r="F3181" s="81">
        <v>0</v>
      </c>
      <c r="G3181" s="86"/>
      <c r="H3181" s="71"/>
      <c r="I3181" s="117"/>
      <c r="J3181" s="70">
        <f>IFERROR(VLOOKUP(Devis[[#This Row],[Ref Air Flux]],#REF!,3,FALSE),0)</f>
        <v>0</v>
      </c>
      <c r="K3181" s="68"/>
      <c r="L3181" s="68"/>
      <c r="M3181" s="68"/>
      <c r="N3181" s="68"/>
      <c r="O3181" s="68"/>
      <c r="P3181" s="68"/>
      <c r="Q3181" s="68">
        <f>SUM(Devis[[#This Row],[Poste 1]:[Poste 6]])</f>
        <v>0</v>
      </c>
      <c r="R3181" s="71"/>
      <c r="S3181" s="68">
        <f>_xlfn.CEILING.MATH(Devis[[#This Row],[Quantité Totale]],Devis[[#This Row],[Conditionnement]])</f>
        <v>0</v>
      </c>
      <c r="T3181" s="72"/>
      <c r="U3181" s="106"/>
      <c r="V3181" s="74">
        <f>Devis[[#This Row],[Prix de Revient]]*Devis[[#This Row],[Poste 1]]</f>
        <v>0</v>
      </c>
      <c r="W3181" s="74">
        <f>Devis[[#This Row],[Prix de Revient]]*Devis[[#This Row],[Poste 2]]</f>
        <v>0</v>
      </c>
      <c r="X3181" s="74">
        <f>Devis[[#This Row],[Prix de Revient]]*Devis[[#This Row],[Poste 3]]</f>
        <v>0</v>
      </c>
      <c r="Y3181" s="74">
        <f>Devis[[#This Row],[Poste 4]]*Devis[[#This Row],[Prix de Revient]]</f>
        <v>0</v>
      </c>
      <c r="Z3181" s="74">
        <f>Devis[[#This Row],[Poste 5]]*Devis[[#This Row],[Prix de Revient]]</f>
        <v>0</v>
      </c>
      <c r="AA3181" s="74">
        <f>Devis[[#This Row],[Prix de Revient]]*Devis[[#This Row],[Poste 6]]</f>
        <v>0</v>
      </c>
      <c r="AB3181" s="74">
        <f>Devis[[#This Row],[Quantité Totale]]*Devis[[#This Row],[Prix de Revient]]</f>
        <v>0</v>
      </c>
    </row>
    <row r="3182" spans="1:28" ht="15" customHeight="1" outlineLevel="1" x14ac:dyDescent="0.2">
      <c r="A3182" s="75" t="s">
        <v>2794</v>
      </c>
      <c r="B3182" s="76" t="s">
        <v>2958</v>
      </c>
      <c r="C3182" s="76"/>
      <c r="D3182" s="81" t="str">
        <f t="shared" si="56"/>
        <v>Recup CalorieVase d'expansion chauffage</v>
      </c>
      <c r="E3182" s="76" t="s">
        <v>2812</v>
      </c>
      <c r="F3182" s="81">
        <v>1</v>
      </c>
      <c r="G3182" s="71" t="s">
        <v>2813</v>
      </c>
      <c r="H3182" s="71" t="s">
        <v>2798</v>
      </c>
      <c r="I3182" s="102" t="s">
        <v>2813</v>
      </c>
      <c r="J3182" s="70">
        <f>IFERROR(VLOOKUP(Devis[[#This Row],[Ref Air Flux]],#REF!,3,FALSE),0)</f>
        <v>0</v>
      </c>
      <c r="K3182" s="68"/>
      <c r="L3182" s="68"/>
      <c r="M3182" s="68"/>
      <c r="N3182" s="68"/>
      <c r="O3182" s="68"/>
      <c r="P3182" s="68"/>
      <c r="Q3182" s="68">
        <f>SUM(Devis[[#This Row],[Poste 1]:[Poste 6]])</f>
        <v>0</v>
      </c>
      <c r="R3182" s="71"/>
      <c r="S3182" s="68">
        <f>_xlfn.CEILING.MATH(Devis[[#This Row],[Quantité Totale]],Devis[[#This Row],[Conditionnement]])</f>
        <v>0</v>
      </c>
      <c r="T3182" s="72"/>
      <c r="U3182" s="106"/>
      <c r="V3182" s="74">
        <f>Devis[[#This Row],[Prix de Revient]]*Devis[[#This Row],[Poste 1]]</f>
        <v>0</v>
      </c>
      <c r="W3182" s="74">
        <f>Devis[[#This Row],[Prix de Revient]]*Devis[[#This Row],[Poste 2]]</f>
        <v>0</v>
      </c>
      <c r="X3182" s="74">
        <f>Devis[[#This Row],[Prix de Revient]]*Devis[[#This Row],[Poste 3]]</f>
        <v>0</v>
      </c>
      <c r="Y3182" s="74">
        <f>Devis[[#This Row],[Poste 4]]*Devis[[#This Row],[Prix de Revient]]</f>
        <v>0</v>
      </c>
      <c r="Z3182" s="74">
        <f>Devis[[#This Row],[Poste 5]]*Devis[[#This Row],[Prix de Revient]]</f>
        <v>0</v>
      </c>
      <c r="AA3182" s="74">
        <f>Devis[[#This Row],[Prix de Revient]]*Devis[[#This Row],[Poste 6]]</f>
        <v>0</v>
      </c>
      <c r="AB3182" s="74">
        <f>Devis[[#This Row],[Quantité Totale]]*Devis[[#This Row],[Prix de Revient]]</f>
        <v>0</v>
      </c>
    </row>
    <row r="3183" spans="1:28" ht="14.25" customHeight="1" outlineLevel="1" x14ac:dyDescent="0.2">
      <c r="A3183" s="75" t="s">
        <v>2794</v>
      </c>
      <c r="B3183" s="76" t="s">
        <v>2958</v>
      </c>
      <c r="C3183" s="76"/>
      <c r="D3183" s="81" t="str">
        <f t="shared" ref="D3183:D3214" si="57">A3183&amp;B3183&amp;C3183</f>
        <v>Recup CalorieVase d'expansion chauffage</v>
      </c>
      <c r="E3183" s="76" t="s">
        <v>3577</v>
      </c>
      <c r="F3183" s="81">
        <v>2</v>
      </c>
      <c r="G3183" s="86" t="s">
        <v>2962</v>
      </c>
      <c r="H3183" s="71" t="s">
        <v>2798</v>
      </c>
      <c r="I3183" s="102" t="s">
        <v>2814</v>
      </c>
      <c r="J3183" s="70">
        <f>IFERROR(VLOOKUP(Devis[[#This Row],[Ref Air Flux]],#REF!,3,FALSE),0)</f>
        <v>0</v>
      </c>
      <c r="K3183" s="68"/>
      <c r="L3183" s="68"/>
      <c r="M3183" s="68"/>
      <c r="N3183" s="68"/>
      <c r="O3183" s="68"/>
      <c r="P3183" s="68"/>
      <c r="Q3183" s="68">
        <f>SUM(Devis[[#This Row],[Poste 1]:[Poste 6]])</f>
        <v>0</v>
      </c>
      <c r="R3183" s="71"/>
      <c r="S3183" s="68">
        <f>_xlfn.CEILING.MATH(Devis[[#This Row],[Quantité Totale]],Devis[[#This Row],[Conditionnement]])</f>
        <v>0</v>
      </c>
      <c r="T3183" s="72"/>
      <c r="U3183" s="106"/>
      <c r="V3183" s="74">
        <f>Devis[[#This Row],[Prix de Revient]]*Devis[[#This Row],[Poste 1]]</f>
        <v>0</v>
      </c>
      <c r="W3183" s="74">
        <f>Devis[[#This Row],[Prix de Revient]]*Devis[[#This Row],[Poste 2]]</f>
        <v>0</v>
      </c>
      <c r="X3183" s="74">
        <f>Devis[[#This Row],[Prix de Revient]]*Devis[[#This Row],[Poste 3]]</f>
        <v>0</v>
      </c>
      <c r="Y3183" s="74">
        <f>Devis[[#This Row],[Poste 4]]*Devis[[#This Row],[Prix de Revient]]</f>
        <v>0</v>
      </c>
      <c r="Z3183" s="74">
        <f>Devis[[#This Row],[Poste 5]]*Devis[[#This Row],[Prix de Revient]]</f>
        <v>0</v>
      </c>
      <c r="AA3183" s="74">
        <f>Devis[[#This Row],[Prix de Revient]]*Devis[[#This Row],[Poste 6]]</f>
        <v>0</v>
      </c>
      <c r="AB3183" s="74">
        <f>Devis[[#This Row],[Quantité Totale]]*Devis[[#This Row],[Prix de Revient]]</f>
        <v>0</v>
      </c>
    </row>
    <row r="3184" spans="1:28" ht="14.25" outlineLevel="1" x14ac:dyDescent="0.2">
      <c r="A3184" s="75" t="s">
        <v>2794</v>
      </c>
      <c r="B3184" s="76" t="s">
        <v>2958</v>
      </c>
      <c r="C3184" s="76"/>
      <c r="D3184" s="81" t="str">
        <f t="shared" si="57"/>
        <v>Recup CalorieVase d'expansion chauffage</v>
      </c>
      <c r="E3184" s="76" t="s">
        <v>3575</v>
      </c>
      <c r="F3184" s="81">
        <v>3</v>
      </c>
      <c r="G3184" s="86" t="s">
        <v>2961</v>
      </c>
      <c r="H3184" s="71" t="s">
        <v>2798</v>
      </c>
      <c r="I3184" s="102" t="s">
        <v>2815</v>
      </c>
      <c r="J3184" s="70">
        <f>IFERROR(VLOOKUP(Devis[[#This Row],[Ref Air Flux]],#REF!,3,FALSE),0)</f>
        <v>0</v>
      </c>
      <c r="K3184" s="68"/>
      <c r="L3184" s="68"/>
      <c r="M3184" s="68"/>
      <c r="N3184" s="68"/>
      <c r="O3184" s="68"/>
      <c r="P3184" s="68"/>
      <c r="Q3184" s="68">
        <f>SUM(Devis[[#This Row],[Poste 1]:[Poste 6]])</f>
        <v>0</v>
      </c>
      <c r="R3184" s="71"/>
      <c r="S3184" s="68">
        <f>_xlfn.CEILING.MATH(Devis[[#This Row],[Quantité Totale]],Devis[[#This Row],[Conditionnement]])</f>
        <v>0</v>
      </c>
      <c r="T3184" s="72"/>
      <c r="U3184" s="106"/>
      <c r="V3184" s="74">
        <f>Devis[[#This Row],[Prix de Revient]]*Devis[[#This Row],[Poste 1]]</f>
        <v>0</v>
      </c>
      <c r="W3184" s="74">
        <f>Devis[[#This Row],[Prix de Revient]]*Devis[[#This Row],[Poste 2]]</f>
        <v>0</v>
      </c>
      <c r="X3184" s="74">
        <f>Devis[[#This Row],[Prix de Revient]]*Devis[[#This Row],[Poste 3]]</f>
        <v>0</v>
      </c>
      <c r="Y3184" s="74">
        <f>Devis[[#This Row],[Poste 4]]*Devis[[#This Row],[Prix de Revient]]</f>
        <v>0</v>
      </c>
      <c r="Z3184" s="74">
        <f>Devis[[#This Row],[Poste 5]]*Devis[[#This Row],[Prix de Revient]]</f>
        <v>0</v>
      </c>
      <c r="AA3184" s="74">
        <f>Devis[[#This Row],[Prix de Revient]]*Devis[[#This Row],[Poste 6]]</f>
        <v>0</v>
      </c>
      <c r="AB3184" s="74">
        <f>Devis[[#This Row],[Quantité Totale]]*Devis[[#This Row],[Prix de Revient]]</f>
        <v>0</v>
      </c>
    </row>
    <row r="3185" spans="1:28" ht="14.25" outlineLevel="1" x14ac:dyDescent="0.2">
      <c r="A3185" s="75" t="s">
        <v>2794</v>
      </c>
      <c r="B3185" s="76" t="s">
        <v>2958</v>
      </c>
      <c r="C3185" s="76"/>
      <c r="D3185" s="81" t="str">
        <f t="shared" si="57"/>
        <v>Recup CalorieVase d'expansion chauffage</v>
      </c>
      <c r="E3185" s="76" t="s">
        <v>3576</v>
      </c>
      <c r="F3185" s="81">
        <v>4</v>
      </c>
      <c r="G3185" s="86" t="s">
        <v>6248</v>
      </c>
      <c r="H3185" s="71" t="s">
        <v>2798</v>
      </c>
      <c r="I3185" s="102" t="s">
        <v>2816</v>
      </c>
      <c r="J3185" s="70">
        <f>IFERROR(VLOOKUP(Devis[[#This Row],[Ref Air Flux]],#REF!,3,FALSE),0)</f>
        <v>0</v>
      </c>
      <c r="K3185" s="68"/>
      <c r="L3185" s="68"/>
      <c r="M3185" s="68"/>
      <c r="N3185" s="68"/>
      <c r="O3185" s="68"/>
      <c r="P3185" s="68"/>
      <c r="Q3185" s="68">
        <f>SUM(Devis[[#This Row],[Poste 1]:[Poste 6]])</f>
        <v>0</v>
      </c>
      <c r="R3185" s="71"/>
      <c r="S3185" s="68">
        <f>_xlfn.CEILING.MATH(Devis[[#This Row],[Quantité Totale]],Devis[[#This Row],[Conditionnement]])</f>
        <v>0</v>
      </c>
      <c r="T3185" s="72"/>
      <c r="U3185" s="106"/>
      <c r="V3185" s="74">
        <f>Devis[[#This Row],[Prix de Revient]]*Devis[[#This Row],[Poste 1]]</f>
        <v>0</v>
      </c>
      <c r="W3185" s="74">
        <f>Devis[[#This Row],[Prix de Revient]]*Devis[[#This Row],[Poste 2]]</f>
        <v>0</v>
      </c>
      <c r="X3185" s="74">
        <f>Devis[[#This Row],[Prix de Revient]]*Devis[[#This Row],[Poste 3]]</f>
        <v>0</v>
      </c>
      <c r="Y3185" s="74">
        <f>Devis[[#This Row],[Poste 4]]*Devis[[#This Row],[Prix de Revient]]</f>
        <v>0</v>
      </c>
      <c r="Z3185" s="74">
        <f>Devis[[#This Row],[Poste 5]]*Devis[[#This Row],[Prix de Revient]]</f>
        <v>0</v>
      </c>
      <c r="AA3185" s="74">
        <f>Devis[[#This Row],[Prix de Revient]]*Devis[[#This Row],[Poste 6]]</f>
        <v>0</v>
      </c>
      <c r="AB3185" s="74">
        <f>Devis[[#This Row],[Quantité Totale]]*Devis[[#This Row],[Prix de Revient]]</f>
        <v>0</v>
      </c>
    </row>
    <row r="3186" spans="1:28" ht="14.25" customHeight="1" outlineLevel="1" x14ac:dyDescent="0.2">
      <c r="A3186" s="75" t="s">
        <v>2794</v>
      </c>
      <c r="B3186" s="76" t="s">
        <v>2958</v>
      </c>
      <c r="C3186" s="76"/>
      <c r="D3186" s="81" t="str">
        <f t="shared" si="57"/>
        <v>Recup CalorieVase d'expansion chauffage</v>
      </c>
      <c r="E3186" s="76" t="s">
        <v>3578</v>
      </c>
      <c r="F3186" s="81">
        <v>65</v>
      </c>
      <c r="G3186" s="86" t="s">
        <v>6247</v>
      </c>
      <c r="H3186" s="71" t="s">
        <v>2798</v>
      </c>
      <c r="I3186" s="102"/>
      <c r="J3186" s="70">
        <f>IFERROR(VLOOKUP(Devis[[#This Row],[Ref Air Flux]],#REF!,3,FALSE),0)</f>
        <v>0</v>
      </c>
      <c r="K3186" s="68"/>
      <c r="L3186" s="68"/>
      <c r="M3186" s="68"/>
      <c r="N3186" s="68"/>
      <c r="O3186" s="68"/>
      <c r="P3186" s="68"/>
      <c r="Q3186" s="68">
        <f>SUM(Devis[[#This Row],[Poste 1]:[Poste 6]])</f>
        <v>0</v>
      </c>
      <c r="R3186" s="71"/>
      <c r="S3186" s="68">
        <f>_xlfn.CEILING.MATH(Devis[[#This Row],[Quantité Totale]],Devis[[#This Row],[Conditionnement]])</f>
        <v>0</v>
      </c>
      <c r="T3186" s="72"/>
      <c r="U3186" s="106"/>
      <c r="V3186" s="74">
        <f>Devis[[#This Row],[Prix de Revient]]*Devis[[#This Row],[Poste 1]]</f>
        <v>0</v>
      </c>
      <c r="W3186" s="74">
        <f>Devis[[#This Row],[Prix de Revient]]*Devis[[#This Row],[Poste 2]]</f>
        <v>0</v>
      </c>
      <c r="X3186" s="74">
        <f>Devis[[#This Row],[Prix de Revient]]*Devis[[#This Row],[Poste 3]]</f>
        <v>0</v>
      </c>
      <c r="Y3186" s="74">
        <f>Devis[[#This Row],[Poste 4]]*Devis[[#This Row],[Prix de Revient]]</f>
        <v>0</v>
      </c>
      <c r="Z3186" s="74">
        <f>Devis[[#This Row],[Poste 5]]*Devis[[#This Row],[Prix de Revient]]</f>
        <v>0</v>
      </c>
      <c r="AA3186" s="74">
        <f>Devis[[#This Row],[Prix de Revient]]*Devis[[#This Row],[Poste 6]]</f>
        <v>0</v>
      </c>
      <c r="AB3186" s="74">
        <f>Devis[[#This Row],[Quantité Totale]]*Devis[[#This Row],[Prix de Revient]]</f>
        <v>0</v>
      </c>
    </row>
    <row r="3187" spans="1:28" ht="14.25" outlineLevel="1" x14ac:dyDescent="0.2">
      <c r="A3187" s="75" t="s">
        <v>2794</v>
      </c>
      <c r="B3187" s="76" t="s">
        <v>2958</v>
      </c>
      <c r="C3187" s="76"/>
      <c r="D3187" s="81" t="str">
        <f t="shared" si="57"/>
        <v>Recup CalorieVase d'expansion chauffage</v>
      </c>
      <c r="E3187" s="76" t="s">
        <v>6249</v>
      </c>
      <c r="F3187" s="76">
        <v>6</v>
      </c>
      <c r="G3187" s="86" t="s">
        <v>6246</v>
      </c>
      <c r="H3187" s="71" t="s">
        <v>3381</v>
      </c>
      <c r="I3187" s="86" t="s">
        <v>6250</v>
      </c>
      <c r="J3187" s="70">
        <f>IFERROR(VLOOKUP(Devis[[#This Row],[Ref Air Flux]],#REF!,3,FALSE),0)</f>
        <v>0</v>
      </c>
      <c r="K3187" s="68"/>
      <c r="L3187" s="68"/>
      <c r="M3187" s="68"/>
      <c r="N3187" s="68"/>
      <c r="O3187" s="68"/>
      <c r="P3187" s="68"/>
      <c r="Q3187" s="68">
        <f>SUM(Devis[[#This Row],[Poste 1]:[Poste 6]])</f>
        <v>0</v>
      </c>
      <c r="R3187" s="71"/>
      <c r="S3187" s="68">
        <f>_xlfn.CEILING.MATH(Devis[[#This Row],[Quantité Totale]],Devis[[#This Row],[Conditionnement]])</f>
        <v>0</v>
      </c>
      <c r="T3187" s="72"/>
      <c r="U3187" s="106"/>
      <c r="V3187" s="74">
        <f>Devis[[#This Row],[Prix de Revient]]*Devis[[#This Row],[Poste 1]]</f>
        <v>0</v>
      </c>
      <c r="W3187" s="74">
        <f>Devis[[#This Row],[Prix de Revient]]*Devis[[#This Row],[Poste 2]]</f>
        <v>0</v>
      </c>
      <c r="X3187" s="74">
        <f>Devis[[#This Row],[Prix de Revient]]*Devis[[#This Row],[Poste 3]]</f>
        <v>0</v>
      </c>
      <c r="Y3187" s="74">
        <f>Devis[[#This Row],[Poste 4]]*Devis[[#This Row],[Prix de Revient]]</f>
        <v>0</v>
      </c>
      <c r="Z3187" s="74">
        <f>Devis[[#This Row],[Poste 5]]*Devis[[#This Row],[Prix de Revient]]</f>
        <v>0</v>
      </c>
      <c r="AA3187" s="74">
        <f>Devis[[#This Row],[Prix de Revient]]*Devis[[#This Row],[Poste 6]]</f>
        <v>0</v>
      </c>
      <c r="AB3187" s="74">
        <f>Devis[[#This Row],[Quantité Totale]]*Devis[[#This Row],[Prix de Revient]]</f>
        <v>0</v>
      </c>
    </row>
    <row r="3188" spans="1:28" ht="14.25" outlineLevel="1" x14ac:dyDescent="0.2">
      <c r="A3188" s="75" t="s">
        <v>2794</v>
      </c>
      <c r="B3188" s="76" t="s">
        <v>2958</v>
      </c>
      <c r="C3188" s="76"/>
      <c r="D3188" s="81" t="str">
        <f t="shared" si="57"/>
        <v>Recup CalorieVase d'expansion chauffage</v>
      </c>
      <c r="E3188" s="76" t="s">
        <v>3579</v>
      </c>
      <c r="F3188" s="81">
        <v>7</v>
      </c>
      <c r="G3188" s="86" t="s">
        <v>2960</v>
      </c>
      <c r="H3188" s="71" t="s">
        <v>2798</v>
      </c>
      <c r="I3188" s="102" t="s">
        <v>2817</v>
      </c>
      <c r="J3188" s="70">
        <f>IFERROR(VLOOKUP(Devis[[#This Row],[Ref Air Flux]],#REF!,3,FALSE),0)</f>
        <v>0</v>
      </c>
      <c r="K3188" s="68"/>
      <c r="L3188" s="68"/>
      <c r="M3188" s="68"/>
      <c r="N3188" s="68"/>
      <c r="O3188" s="68"/>
      <c r="P3188" s="68"/>
      <c r="Q3188" s="68">
        <f>SUM(Devis[[#This Row],[Poste 1]:[Poste 6]])</f>
        <v>0</v>
      </c>
      <c r="R3188" s="71"/>
      <c r="S3188" s="68">
        <f>_xlfn.CEILING.MATH(Devis[[#This Row],[Quantité Totale]],Devis[[#This Row],[Conditionnement]])</f>
        <v>0</v>
      </c>
      <c r="T3188" s="72"/>
      <c r="U3188" s="106"/>
      <c r="V3188" s="74">
        <f>Devis[[#This Row],[Prix de Revient]]*Devis[[#This Row],[Poste 1]]</f>
        <v>0</v>
      </c>
      <c r="W3188" s="74">
        <f>Devis[[#This Row],[Prix de Revient]]*Devis[[#This Row],[Poste 2]]</f>
        <v>0</v>
      </c>
      <c r="X3188" s="74">
        <f>Devis[[#This Row],[Prix de Revient]]*Devis[[#This Row],[Poste 3]]</f>
        <v>0</v>
      </c>
      <c r="Y3188" s="74">
        <f>Devis[[#This Row],[Poste 4]]*Devis[[#This Row],[Prix de Revient]]</f>
        <v>0</v>
      </c>
      <c r="Z3188" s="74">
        <f>Devis[[#This Row],[Poste 5]]*Devis[[#This Row],[Prix de Revient]]</f>
        <v>0</v>
      </c>
      <c r="AA3188" s="74">
        <f>Devis[[#This Row],[Prix de Revient]]*Devis[[#This Row],[Poste 6]]</f>
        <v>0</v>
      </c>
      <c r="AB3188" s="74">
        <f>Devis[[#This Row],[Quantité Totale]]*Devis[[#This Row],[Prix de Revient]]</f>
        <v>0</v>
      </c>
    </row>
    <row r="3189" spans="1:28" ht="14.25" customHeight="1" outlineLevel="1" x14ac:dyDescent="0.2">
      <c r="A3189" s="75" t="s">
        <v>2794</v>
      </c>
      <c r="B3189" s="76" t="s">
        <v>2958</v>
      </c>
      <c r="C3189" s="76"/>
      <c r="D3189" s="81" t="str">
        <f t="shared" si="57"/>
        <v>Recup CalorieVase d'expansion chauffage</v>
      </c>
      <c r="E3189" s="76" t="s">
        <v>6258</v>
      </c>
      <c r="F3189" s="76">
        <v>8</v>
      </c>
      <c r="G3189" s="86" t="s">
        <v>6257</v>
      </c>
      <c r="H3189" s="71" t="s">
        <v>3381</v>
      </c>
      <c r="I3189" s="86" t="s">
        <v>6259</v>
      </c>
      <c r="J3189" s="70">
        <f>IFERROR(VLOOKUP(Devis[[#This Row],[Ref Air Flux]],#REF!,3,FALSE),0)</f>
        <v>0</v>
      </c>
      <c r="K3189" s="68"/>
      <c r="L3189" s="68"/>
      <c r="M3189" s="68"/>
      <c r="N3189" s="68"/>
      <c r="O3189" s="68"/>
      <c r="P3189" s="68"/>
      <c r="Q3189" s="68">
        <f>SUM(Devis[[#This Row],[Poste 1]:[Poste 6]])</f>
        <v>0</v>
      </c>
      <c r="R3189" s="71"/>
      <c r="S3189" s="68">
        <f>_xlfn.CEILING.MATH(Devis[[#This Row],[Quantité Totale]],Devis[[#This Row],[Conditionnement]])</f>
        <v>0</v>
      </c>
      <c r="T3189" s="72"/>
      <c r="U3189" s="106"/>
      <c r="V3189" s="74">
        <f>Devis[[#This Row],[Prix de Revient]]*Devis[[#This Row],[Poste 1]]</f>
        <v>0</v>
      </c>
      <c r="W3189" s="74">
        <f>Devis[[#This Row],[Prix de Revient]]*Devis[[#This Row],[Poste 2]]</f>
        <v>0</v>
      </c>
      <c r="X3189" s="74">
        <f>Devis[[#This Row],[Prix de Revient]]*Devis[[#This Row],[Poste 3]]</f>
        <v>0</v>
      </c>
      <c r="Y3189" s="74">
        <f>Devis[[#This Row],[Poste 4]]*Devis[[#This Row],[Prix de Revient]]</f>
        <v>0</v>
      </c>
      <c r="Z3189" s="74">
        <f>Devis[[#This Row],[Poste 5]]*Devis[[#This Row],[Prix de Revient]]</f>
        <v>0</v>
      </c>
      <c r="AA3189" s="74">
        <f>Devis[[#This Row],[Prix de Revient]]*Devis[[#This Row],[Poste 6]]</f>
        <v>0</v>
      </c>
      <c r="AB3189" s="74">
        <f>Devis[[#This Row],[Quantité Totale]]*Devis[[#This Row],[Prix de Revient]]</f>
        <v>0</v>
      </c>
    </row>
    <row r="3190" spans="1:28" ht="14.25" outlineLevel="1" x14ac:dyDescent="0.2">
      <c r="A3190" s="75" t="s">
        <v>2794</v>
      </c>
      <c r="B3190" s="76" t="s">
        <v>2958</v>
      </c>
      <c r="C3190" s="76"/>
      <c r="D3190" s="81" t="str">
        <f t="shared" si="57"/>
        <v>Recup CalorieVase d'expansion chauffage</v>
      </c>
      <c r="E3190" s="76" t="s">
        <v>3268</v>
      </c>
      <c r="F3190" s="81">
        <v>24</v>
      </c>
      <c r="G3190" s="86" t="s">
        <v>3269</v>
      </c>
      <c r="H3190" s="71" t="s">
        <v>2798</v>
      </c>
      <c r="I3190" s="102">
        <v>27293</v>
      </c>
      <c r="J3190" s="70">
        <f>IFERROR(VLOOKUP(Devis[[#This Row],[Ref Air Flux]],#REF!,3,FALSE),0)</f>
        <v>0</v>
      </c>
      <c r="K3190" s="68"/>
      <c r="L3190" s="68"/>
      <c r="M3190" s="68"/>
      <c r="N3190" s="68"/>
      <c r="O3190" s="68"/>
      <c r="P3190" s="68"/>
      <c r="Q3190" s="68">
        <f>SUM(Devis[[#This Row],[Poste 1]:[Poste 6]])</f>
        <v>0</v>
      </c>
      <c r="R3190" s="71"/>
      <c r="S3190" s="68">
        <f>_xlfn.CEILING.MATH(Devis[[#This Row],[Quantité Totale]],Devis[[#This Row],[Conditionnement]])</f>
        <v>0</v>
      </c>
      <c r="T3190" s="72"/>
      <c r="U3190" s="106"/>
      <c r="V3190" s="74">
        <f>Devis[[#This Row],[Prix de Revient]]*Devis[[#This Row],[Poste 1]]</f>
        <v>0</v>
      </c>
      <c r="W3190" s="74">
        <f>Devis[[#This Row],[Prix de Revient]]*Devis[[#This Row],[Poste 2]]</f>
        <v>0</v>
      </c>
      <c r="X3190" s="74">
        <f>Devis[[#This Row],[Prix de Revient]]*Devis[[#This Row],[Poste 3]]</f>
        <v>0</v>
      </c>
      <c r="Y3190" s="74">
        <f>Devis[[#This Row],[Poste 4]]*Devis[[#This Row],[Prix de Revient]]</f>
        <v>0</v>
      </c>
      <c r="Z3190" s="74">
        <f>Devis[[#This Row],[Poste 5]]*Devis[[#This Row],[Prix de Revient]]</f>
        <v>0</v>
      </c>
      <c r="AA3190" s="74">
        <f>Devis[[#This Row],[Prix de Revient]]*Devis[[#This Row],[Poste 6]]</f>
        <v>0</v>
      </c>
      <c r="AB3190" s="74">
        <f>Devis[[#This Row],[Quantité Totale]]*Devis[[#This Row],[Prix de Revient]]</f>
        <v>0</v>
      </c>
    </row>
    <row r="3191" spans="1:28" ht="14.25" outlineLevel="1" x14ac:dyDescent="0.2">
      <c r="A3191" s="75" t="s">
        <v>2794</v>
      </c>
      <c r="B3191" s="76" t="s">
        <v>2958</v>
      </c>
      <c r="C3191" s="76"/>
      <c r="D3191" s="81" t="str">
        <f t="shared" si="57"/>
        <v>Recup CalorieVase d'expansion chauffage</v>
      </c>
      <c r="E3191" s="76" t="s">
        <v>3580</v>
      </c>
      <c r="F3191" s="81">
        <v>9</v>
      </c>
      <c r="G3191" s="86" t="s">
        <v>2959</v>
      </c>
      <c r="H3191" s="71" t="s">
        <v>2798</v>
      </c>
      <c r="I3191" s="86"/>
      <c r="J3191" s="70">
        <f>IFERROR(VLOOKUP(Devis[[#This Row],[Ref Air Flux]],#REF!,3,FALSE),0)</f>
        <v>0</v>
      </c>
      <c r="K3191" s="68"/>
      <c r="L3191" s="68"/>
      <c r="M3191" s="68"/>
      <c r="N3191" s="68"/>
      <c r="O3191" s="68"/>
      <c r="P3191" s="68"/>
      <c r="Q3191" s="68">
        <f>SUM(Devis[[#This Row],[Poste 1]:[Poste 6]])</f>
        <v>0</v>
      </c>
      <c r="R3191" s="71"/>
      <c r="S3191" s="68">
        <f>_xlfn.CEILING.MATH(Devis[[#This Row],[Quantité Totale]],Devis[[#This Row],[Conditionnement]])</f>
        <v>0</v>
      </c>
      <c r="T3191" s="72"/>
      <c r="U3191" s="106"/>
      <c r="V3191" s="74">
        <f>Devis[[#This Row],[Prix de Revient]]*Devis[[#This Row],[Poste 1]]</f>
        <v>0</v>
      </c>
      <c r="W3191" s="74">
        <f>Devis[[#This Row],[Prix de Revient]]*Devis[[#This Row],[Poste 2]]</f>
        <v>0</v>
      </c>
      <c r="X3191" s="74">
        <f>Devis[[#This Row],[Prix de Revient]]*Devis[[#This Row],[Poste 3]]</f>
        <v>0</v>
      </c>
      <c r="Y3191" s="74">
        <f>Devis[[#This Row],[Poste 4]]*Devis[[#This Row],[Prix de Revient]]</f>
        <v>0</v>
      </c>
      <c r="Z3191" s="74">
        <f>Devis[[#This Row],[Poste 5]]*Devis[[#This Row],[Prix de Revient]]</f>
        <v>0</v>
      </c>
      <c r="AA3191" s="74">
        <f>Devis[[#This Row],[Prix de Revient]]*Devis[[#This Row],[Poste 6]]</f>
        <v>0</v>
      </c>
      <c r="AB3191" s="74">
        <f>Devis[[#This Row],[Quantité Totale]]*Devis[[#This Row],[Prix de Revient]]</f>
        <v>0</v>
      </c>
    </row>
    <row r="3192" spans="1:28" ht="14.25" outlineLevel="1" x14ac:dyDescent="0.2">
      <c r="A3192" s="75" t="s">
        <v>2794</v>
      </c>
      <c r="B3192" s="76" t="s">
        <v>2958</v>
      </c>
      <c r="C3192" s="76"/>
      <c r="D3192" s="81" t="str">
        <f t="shared" si="57"/>
        <v>Recup CalorieVase d'expansion chauffage</v>
      </c>
      <c r="E3192" s="76" t="s">
        <v>6266</v>
      </c>
      <c r="F3192" s="76">
        <v>10</v>
      </c>
      <c r="G3192" s="86" t="s">
        <v>6267</v>
      </c>
      <c r="H3192" s="71" t="s">
        <v>3381</v>
      </c>
      <c r="I3192" s="86" t="s">
        <v>6268</v>
      </c>
      <c r="J3192" s="70">
        <f>IFERROR(VLOOKUP(Devis[[#This Row],[Ref Air Flux]],#REF!,3,FALSE),0)</f>
        <v>0</v>
      </c>
      <c r="K3192" s="68"/>
      <c r="L3192" s="68"/>
      <c r="M3192" s="68"/>
      <c r="N3192" s="68"/>
      <c r="O3192" s="68"/>
      <c r="P3192" s="68"/>
      <c r="Q3192" s="68">
        <f>SUM(Devis[[#This Row],[Poste 1]:[Poste 6]])</f>
        <v>0</v>
      </c>
      <c r="R3192" s="71"/>
      <c r="S3192" s="68">
        <f>_xlfn.CEILING.MATH(Devis[[#This Row],[Quantité Totale]],Devis[[#This Row],[Conditionnement]])</f>
        <v>0</v>
      </c>
      <c r="T3192" s="72"/>
      <c r="U3192" s="106"/>
      <c r="V3192" s="74">
        <f>Devis[[#This Row],[Prix de Revient]]*Devis[[#This Row],[Poste 1]]</f>
        <v>0</v>
      </c>
      <c r="W3192" s="74">
        <f>Devis[[#This Row],[Prix de Revient]]*Devis[[#This Row],[Poste 2]]</f>
        <v>0</v>
      </c>
      <c r="X3192" s="74">
        <f>Devis[[#This Row],[Prix de Revient]]*Devis[[#This Row],[Poste 3]]</f>
        <v>0</v>
      </c>
      <c r="Y3192" s="74">
        <f>Devis[[#This Row],[Poste 4]]*Devis[[#This Row],[Prix de Revient]]</f>
        <v>0</v>
      </c>
      <c r="Z3192" s="74">
        <f>Devis[[#This Row],[Poste 5]]*Devis[[#This Row],[Prix de Revient]]</f>
        <v>0</v>
      </c>
      <c r="AA3192" s="74">
        <f>Devis[[#This Row],[Prix de Revient]]*Devis[[#This Row],[Poste 6]]</f>
        <v>0</v>
      </c>
      <c r="AB3192" s="74">
        <f>Devis[[#This Row],[Quantité Totale]]*Devis[[#This Row],[Prix de Revient]]</f>
        <v>0</v>
      </c>
    </row>
    <row r="3193" spans="1:28" ht="14.25" outlineLevel="1" x14ac:dyDescent="0.2">
      <c r="A3193" s="75" t="s">
        <v>2794</v>
      </c>
      <c r="B3193" s="76" t="s">
        <v>2958</v>
      </c>
      <c r="C3193" s="76"/>
      <c r="D3193" s="81" t="str">
        <f t="shared" si="57"/>
        <v>Recup CalorieVase d'expansion chauffage</v>
      </c>
      <c r="E3193" s="76" t="s">
        <v>6236</v>
      </c>
      <c r="F3193" s="76">
        <v>11</v>
      </c>
      <c r="G3193" s="86" t="s">
        <v>6230</v>
      </c>
      <c r="H3193" s="71" t="s">
        <v>3381</v>
      </c>
      <c r="I3193" s="86" t="s">
        <v>6231</v>
      </c>
      <c r="J3193" s="70">
        <f>IFERROR(VLOOKUP(Devis[[#This Row],[Ref Air Flux]],#REF!,3,FALSE),0)</f>
        <v>0</v>
      </c>
      <c r="K3193" s="68"/>
      <c r="L3193" s="68"/>
      <c r="M3193" s="68"/>
      <c r="N3193" s="68"/>
      <c r="O3193" s="68"/>
      <c r="P3193" s="68"/>
      <c r="Q3193" s="68">
        <f>SUM(Devis[[#This Row],[Poste 1]:[Poste 6]])</f>
        <v>0</v>
      </c>
      <c r="R3193" s="71"/>
      <c r="S3193" s="68">
        <f>_xlfn.CEILING.MATH(Devis[[#This Row],[Quantité Totale]],Devis[[#This Row],[Conditionnement]])</f>
        <v>0</v>
      </c>
      <c r="T3193" s="72"/>
      <c r="U3193" s="106"/>
      <c r="V3193" s="74">
        <f>Devis[[#This Row],[Prix de Revient]]*Devis[[#This Row],[Poste 1]]</f>
        <v>0</v>
      </c>
      <c r="W3193" s="74">
        <f>Devis[[#This Row],[Prix de Revient]]*Devis[[#This Row],[Poste 2]]</f>
        <v>0</v>
      </c>
      <c r="X3193" s="74">
        <f>Devis[[#This Row],[Prix de Revient]]*Devis[[#This Row],[Poste 3]]</f>
        <v>0</v>
      </c>
      <c r="Y3193" s="74">
        <f>Devis[[#This Row],[Poste 4]]*Devis[[#This Row],[Prix de Revient]]</f>
        <v>0</v>
      </c>
      <c r="Z3193" s="74">
        <f>Devis[[#This Row],[Poste 5]]*Devis[[#This Row],[Prix de Revient]]</f>
        <v>0</v>
      </c>
      <c r="AA3193" s="74">
        <f>Devis[[#This Row],[Prix de Revient]]*Devis[[#This Row],[Poste 6]]</f>
        <v>0</v>
      </c>
      <c r="AB3193" s="74">
        <f>Devis[[#This Row],[Quantité Totale]]*Devis[[#This Row],[Prix de Revient]]</f>
        <v>0</v>
      </c>
    </row>
    <row r="3194" spans="1:28" ht="14.25" customHeight="1" outlineLevel="1" x14ac:dyDescent="0.2">
      <c r="A3194" s="75" t="s">
        <v>2794</v>
      </c>
      <c r="B3194" s="76" t="s">
        <v>2958</v>
      </c>
      <c r="C3194" s="76"/>
      <c r="D3194" s="81" t="str">
        <f t="shared" si="57"/>
        <v>Recup CalorieVase d'expansion chauffage</v>
      </c>
      <c r="E3194" s="76" t="s">
        <v>3266</v>
      </c>
      <c r="F3194" s="81">
        <v>12</v>
      </c>
      <c r="G3194" s="86" t="s">
        <v>3267</v>
      </c>
      <c r="H3194" s="71" t="s">
        <v>2798</v>
      </c>
      <c r="I3194" s="102">
        <v>16117</v>
      </c>
      <c r="J3194" s="70">
        <f>IFERROR(VLOOKUP(Devis[[#This Row],[Ref Air Flux]],#REF!,3,FALSE),0)</f>
        <v>0</v>
      </c>
      <c r="K3194" s="68"/>
      <c r="L3194" s="68"/>
      <c r="M3194" s="68"/>
      <c r="N3194" s="68"/>
      <c r="O3194" s="68"/>
      <c r="P3194" s="68"/>
      <c r="Q3194" s="68">
        <f>SUM(Devis[[#This Row],[Poste 1]:[Poste 6]])</f>
        <v>0</v>
      </c>
      <c r="R3194" s="71"/>
      <c r="S3194" s="68">
        <f>_xlfn.CEILING.MATH(Devis[[#This Row],[Quantité Totale]],Devis[[#This Row],[Conditionnement]])</f>
        <v>0</v>
      </c>
      <c r="T3194" s="72"/>
      <c r="U3194" s="106"/>
      <c r="V3194" s="74">
        <f>Devis[[#This Row],[Prix de Revient]]*Devis[[#This Row],[Poste 1]]</f>
        <v>0</v>
      </c>
      <c r="W3194" s="74">
        <f>Devis[[#This Row],[Prix de Revient]]*Devis[[#This Row],[Poste 2]]</f>
        <v>0</v>
      </c>
      <c r="X3194" s="74">
        <f>Devis[[#This Row],[Prix de Revient]]*Devis[[#This Row],[Poste 3]]</f>
        <v>0</v>
      </c>
      <c r="Y3194" s="74">
        <f>Devis[[#This Row],[Poste 4]]*Devis[[#This Row],[Prix de Revient]]</f>
        <v>0</v>
      </c>
      <c r="Z3194" s="74">
        <f>Devis[[#This Row],[Poste 5]]*Devis[[#This Row],[Prix de Revient]]</f>
        <v>0</v>
      </c>
      <c r="AA3194" s="74">
        <f>Devis[[#This Row],[Prix de Revient]]*Devis[[#This Row],[Poste 6]]</f>
        <v>0</v>
      </c>
      <c r="AB3194" s="74">
        <f>Devis[[#This Row],[Quantité Totale]]*Devis[[#This Row],[Prix de Revient]]</f>
        <v>0</v>
      </c>
    </row>
    <row r="3195" spans="1:28" ht="14.25" customHeight="1" outlineLevel="1" x14ac:dyDescent="0.2">
      <c r="A3195" s="75" t="s">
        <v>2794</v>
      </c>
      <c r="B3195" s="76" t="s">
        <v>2958</v>
      </c>
      <c r="C3195" s="76"/>
      <c r="D3195" s="81" t="str">
        <f t="shared" si="57"/>
        <v>Recup CalorieVase d'expansion chauffage</v>
      </c>
      <c r="E3195" s="76" t="s">
        <v>6237</v>
      </c>
      <c r="F3195" s="76">
        <v>13</v>
      </c>
      <c r="G3195" s="86" t="s">
        <v>6232</v>
      </c>
      <c r="H3195" s="71" t="s">
        <v>3381</v>
      </c>
      <c r="I3195" s="86" t="s">
        <v>6233</v>
      </c>
      <c r="J3195" s="70">
        <f>IFERROR(VLOOKUP(Devis[[#This Row],[Ref Air Flux]],#REF!,3,FALSE),0)</f>
        <v>0</v>
      </c>
      <c r="K3195" s="68"/>
      <c r="L3195" s="68"/>
      <c r="M3195" s="68"/>
      <c r="N3195" s="68"/>
      <c r="O3195" s="68"/>
      <c r="P3195" s="68"/>
      <c r="Q3195" s="68">
        <f>SUM(Devis[[#This Row],[Poste 1]:[Poste 6]])</f>
        <v>0</v>
      </c>
      <c r="R3195" s="71"/>
      <c r="S3195" s="68">
        <f>_xlfn.CEILING.MATH(Devis[[#This Row],[Quantité Totale]],Devis[[#This Row],[Conditionnement]])</f>
        <v>0</v>
      </c>
      <c r="T3195" s="72"/>
      <c r="U3195" s="106"/>
      <c r="V3195" s="74">
        <f>Devis[[#This Row],[Prix de Revient]]*Devis[[#This Row],[Poste 1]]</f>
        <v>0</v>
      </c>
      <c r="W3195" s="74">
        <f>Devis[[#This Row],[Prix de Revient]]*Devis[[#This Row],[Poste 2]]</f>
        <v>0</v>
      </c>
      <c r="X3195" s="74">
        <f>Devis[[#This Row],[Prix de Revient]]*Devis[[#This Row],[Poste 3]]</f>
        <v>0</v>
      </c>
      <c r="Y3195" s="74">
        <f>Devis[[#This Row],[Poste 4]]*Devis[[#This Row],[Prix de Revient]]</f>
        <v>0</v>
      </c>
      <c r="Z3195" s="74">
        <f>Devis[[#This Row],[Poste 5]]*Devis[[#This Row],[Prix de Revient]]</f>
        <v>0</v>
      </c>
      <c r="AA3195" s="74">
        <f>Devis[[#This Row],[Prix de Revient]]*Devis[[#This Row],[Poste 6]]</f>
        <v>0</v>
      </c>
      <c r="AB3195" s="74">
        <f>Devis[[#This Row],[Quantité Totale]]*Devis[[#This Row],[Prix de Revient]]</f>
        <v>0</v>
      </c>
    </row>
    <row r="3196" spans="1:28" ht="14.25" outlineLevel="1" x14ac:dyDescent="0.2">
      <c r="A3196" s="75" t="s">
        <v>2794</v>
      </c>
      <c r="B3196" s="76" t="s">
        <v>2958</v>
      </c>
      <c r="C3196" s="76"/>
      <c r="D3196" s="81" t="str">
        <f t="shared" si="57"/>
        <v>Recup CalorieVase d'expansion chauffage</v>
      </c>
      <c r="E3196" s="76" t="s">
        <v>3581</v>
      </c>
      <c r="F3196" s="81">
        <v>14</v>
      </c>
      <c r="G3196" s="86" t="s">
        <v>3582</v>
      </c>
      <c r="H3196" s="71" t="s">
        <v>2798</v>
      </c>
      <c r="I3196" s="102"/>
      <c r="J3196" s="70">
        <f>IFERROR(VLOOKUP(Devis[[#This Row],[Ref Air Flux]],#REF!,3,FALSE),0)</f>
        <v>0</v>
      </c>
      <c r="K3196" s="68"/>
      <c r="L3196" s="68"/>
      <c r="M3196" s="68"/>
      <c r="N3196" s="68"/>
      <c r="O3196" s="68"/>
      <c r="P3196" s="68"/>
      <c r="Q3196" s="68">
        <f>SUM(Devis[[#This Row],[Poste 1]:[Poste 6]])</f>
        <v>0</v>
      </c>
      <c r="R3196" s="71"/>
      <c r="S3196" s="68">
        <f>_xlfn.CEILING.MATH(Devis[[#This Row],[Quantité Totale]],Devis[[#This Row],[Conditionnement]])</f>
        <v>0</v>
      </c>
      <c r="T3196" s="72"/>
      <c r="U3196" s="106"/>
      <c r="V3196" s="74">
        <f>Devis[[#This Row],[Prix de Revient]]*Devis[[#This Row],[Poste 1]]</f>
        <v>0</v>
      </c>
      <c r="W3196" s="74">
        <f>Devis[[#This Row],[Prix de Revient]]*Devis[[#This Row],[Poste 2]]</f>
        <v>0</v>
      </c>
      <c r="X3196" s="74">
        <f>Devis[[#This Row],[Prix de Revient]]*Devis[[#This Row],[Poste 3]]</f>
        <v>0</v>
      </c>
      <c r="Y3196" s="74">
        <f>Devis[[#This Row],[Poste 4]]*Devis[[#This Row],[Prix de Revient]]</f>
        <v>0</v>
      </c>
      <c r="Z3196" s="74">
        <f>Devis[[#This Row],[Poste 5]]*Devis[[#This Row],[Prix de Revient]]</f>
        <v>0</v>
      </c>
      <c r="AA3196" s="74">
        <f>Devis[[#This Row],[Prix de Revient]]*Devis[[#This Row],[Poste 6]]</f>
        <v>0</v>
      </c>
      <c r="AB3196" s="74">
        <f>Devis[[#This Row],[Quantité Totale]]*Devis[[#This Row],[Prix de Revient]]</f>
        <v>0</v>
      </c>
    </row>
    <row r="3197" spans="1:28" ht="14.25" customHeight="1" outlineLevel="1" x14ac:dyDescent="0.2">
      <c r="A3197" s="75" t="s">
        <v>2794</v>
      </c>
      <c r="B3197" s="76" t="s">
        <v>2958</v>
      </c>
      <c r="C3197" s="76"/>
      <c r="D3197" s="81" t="str">
        <f t="shared" si="57"/>
        <v>Recup CalorieVase d'expansion chauffage</v>
      </c>
      <c r="E3197" s="76" t="s">
        <v>6238</v>
      </c>
      <c r="F3197" s="76">
        <v>15</v>
      </c>
      <c r="G3197" s="86" t="s">
        <v>6234</v>
      </c>
      <c r="H3197" s="71" t="s">
        <v>3381</v>
      </c>
      <c r="I3197" s="86" t="s">
        <v>6239</v>
      </c>
      <c r="J3197" s="70">
        <f>IFERROR(VLOOKUP(Devis[[#This Row],[Ref Air Flux]],#REF!,3,FALSE),0)</f>
        <v>0</v>
      </c>
      <c r="K3197" s="68"/>
      <c r="L3197" s="68"/>
      <c r="M3197" s="68"/>
      <c r="N3197" s="68"/>
      <c r="O3197" s="68"/>
      <c r="P3197" s="68"/>
      <c r="Q3197" s="68">
        <f>SUM(Devis[[#This Row],[Poste 1]:[Poste 6]])</f>
        <v>0</v>
      </c>
      <c r="R3197" s="71"/>
      <c r="S3197" s="68">
        <f>_xlfn.CEILING.MATH(Devis[[#This Row],[Quantité Totale]],Devis[[#This Row],[Conditionnement]])</f>
        <v>0</v>
      </c>
      <c r="T3197" s="72"/>
      <c r="U3197" s="106"/>
      <c r="V3197" s="74">
        <f>Devis[[#This Row],[Prix de Revient]]*Devis[[#This Row],[Poste 1]]</f>
        <v>0</v>
      </c>
      <c r="W3197" s="74">
        <f>Devis[[#This Row],[Prix de Revient]]*Devis[[#This Row],[Poste 2]]</f>
        <v>0</v>
      </c>
      <c r="X3197" s="74">
        <f>Devis[[#This Row],[Prix de Revient]]*Devis[[#This Row],[Poste 3]]</f>
        <v>0</v>
      </c>
      <c r="Y3197" s="74">
        <f>Devis[[#This Row],[Poste 4]]*Devis[[#This Row],[Prix de Revient]]</f>
        <v>0</v>
      </c>
      <c r="Z3197" s="74">
        <f>Devis[[#This Row],[Poste 5]]*Devis[[#This Row],[Prix de Revient]]</f>
        <v>0</v>
      </c>
      <c r="AA3197" s="74">
        <f>Devis[[#This Row],[Prix de Revient]]*Devis[[#This Row],[Poste 6]]</f>
        <v>0</v>
      </c>
      <c r="AB3197" s="74">
        <f>Devis[[#This Row],[Quantité Totale]]*Devis[[#This Row],[Prix de Revient]]</f>
        <v>0</v>
      </c>
    </row>
    <row r="3198" spans="1:28" ht="14.25" customHeight="1" outlineLevel="1" x14ac:dyDescent="0.2">
      <c r="A3198" s="75" t="s">
        <v>2794</v>
      </c>
      <c r="B3198" s="76" t="s">
        <v>2958</v>
      </c>
      <c r="C3198" s="76"/>
      <c r="D3198" s="81" t="str">
        <f t="shared" si="57"/>
        <v>Recup CalorieVase d'expansion chauffage</v>
      </c>
      <c r="E3198" s="76" t="s">
        <v>3583</v>
      </c>
      <c r="F3198" s="81">
        <v>16</v>
      </c>
      <c r="G3198" s="86" t="s">
        <v>3584</v>
      </c>
      <c r="H3198" s="71" t="s">
        <v>3585</v>
      </c>
      <c r="I3198" s="102">
        <v>1330358</v>
      </c>
      <c r="J3198" s="70">
        <f>IFERROR(VLOOKUP(Devis[[#This Row],[Ref Air Flux]],#REF!,3,FALSE),0)</f>
        <v>0</v>
      </c>
      <c r="K3198" s="68"/>
      <c r="L3198" s="68"/>
      <c r="M3198" s="68"/>
      <c r="N3198" s="68"/>
      <c r="O3198" s="68"/>
      <c r="P3198" s="68"/>
      <c r="Q3198" s="68">
        <f>SUM(Devis[[#This Row],[Poste 1]:[Poste 6]])</f>
        <v>0</v>
      </c>
      <c r="R3198" s="71"/>
      <c r="S3198" s="68">
        <f>_xlfn.CEILING.MATH(Devis[[#This Row],[Quantité Totale]],Devis[[#This Row],[Conditionnement]])</f>
        <v>0</v>
      </c>
      <c r="T3198" s="72"/>
      <c r="U3198" s="106"/>
      <c r="V3198" s="74">
        <f>Devis[[#This Row],[Prix de Revient]]*Devis[[#This Row],[Poste 1]]</f>
        <v>0</v>
      </c>
      <c r="W3198" s="74">
        <f>Devis[[#This Row],[Prix de Revient]]*Devis[[#This Row],[Poste 2]]</f>
        <v>0</v>
      </c>
      <c r="X3198" s="74">
        <f>Devis[[#This Row],[Prix de Revient]]*Devis[[#This Row],[Poste 3]]</f>
        <v>0</v>
      </c>
      <c r="Y3198" s="74">
        <f>Devis[[#This Row],[Poste 4]]*Devis[[#This Row],[Prix de Revient]]</f>
        <v>0</v>
      </c>
      <c r="Z3198" s="74">
        <f>Devis[[#This Row],[Poste 5]]*Devis[[#This Row],[Prix de Revient]]</f>
        <v>0</v>
      </c>
      <c r="AA3198" s="74">
        <f>Devis[[#This Row],[Prix de Revient]]*Devis[[#This Row],[Poste 6]]</f>
        <v>0</v>
      </c>
      <c r="AB3198" s="74">
        <f>Devis[[#This Row],[Quantité Totale]]*Devis[[#This Row],[Prix de Revient]]</f>
        <v>0</v>
      </c>
    </row>
    <row r="3199" spans="1:28" ht="14.25" outlineLevel="1" x14ac:dyDescent="0.2">
      <c r="A3199" s="75" t="s">
        <v>2794</v>
      </c>
      <c r="B3199" s="76" t="s">
        <v>2958</v>
      </c>
      <c r="C3199" s="76"/>
      <c r="D3199" s="81" t="str">
        <f t="shared" si="57"/>
        <v>Recup CalorieVase d'expansion chauffage</v>
      </c>
      <c r="E3199" s="76" t="s">
        <v>6240</v>
      </c>
      <c r="F3199" s="76">
        <v>17</v>
      </c>
      <c r="G3199" s="86" t="s">
        <v>6241</v>
      </c>
      <c r="H3199" s="71" t="s">
        <v>3381</v>
      </c>
      <c r="I3199" s="86" t="s">
        <v>6242</v>
      </c>
      <c r="J3199" s="70">
        <f>IFERROR(VLOOKUP(Devis[[#This Row],[Ref Air Flux]],#REF!,3,FALSE),0)</f>
        <v>0</v>
      </c>
      <c r="K3199" s="68"/>
      <c r="L3199" s="68"/>
      <c r="M3199" s="68"/>
      <c r="N3199" s="68"/>
      <c r="O3199" s="68"/>
      <c r="P3199" s="68"/>
      <c r="Q3199" s="68">
        <f>SUM(Devis[[#This Row],[Poste 1]:[Poste 6]])</f>
        <v>0</v>
      </c>
      <c r="R3199" s="71"/>
      <c r="S3199" s="68">
        <f>_xlfn.CEILING.MATH(Devis[[#This Row],[Quantité Totale]],Devis[[#This Row],[Conditionnement]])</f>
        <v>0</v>
      </c>
      <c r="T3199" s="72"/>
      <c r="U3199" s="106"/>
      <c r="V3199" s="74">
        <f>Devis[[#This Row],[Prix de Revient]]*Devis[[#This Row],[Poste 1]]</f>
        <v>0</v>
      </c>
      <c r="W3199" s="74">
        <f>Devis[[#This Row],[Prix de Revient]]*Devis[[#This Row],[Poste 2]]</f>
        <v>0</v>
      </c>
      <c r="X3199" s="74">
        <f>Devis[[#This Row],[Prix de Revient]]*Devis[[#This Row],[Poste 3]]</f>
        <v>0</v>
      </c>
      <c r="Y3199" s="74">
        <f>Devis[[#This Row],[Poste 4]]*Devis[[#This Row],[Prix de Revient]]</f>
        <v>0</v>
      </c>
      <c r="Z3199" s="74">
        <f>Devis[[#This Row],[Poste 5]]*Devis[[#This Row],[Prix de Revient]]</f>
        <v>0</v>
      </c>
      <c r="AA3199" s="74">
        <f>Devis[[#This Row],[Prix de Revient]]*Devis[[#This Row],[Poste 6]]</f>
        <v>0</v>
      </c>
      <c r="AB3199" s="74">
        <f>Devis[[#This Row],[Quantité Totale]]*Devis[[#This Row],[Prix de Revient]]</f>
        <v>0</v>
      </c>
    </row>
    <row r="3200" spans="1:28" ht="14.25" outlineLevel="1" x14ac:dyDescent="0.2">
      <c r="A3200" s="75" t="s">
        <v>2794</v>
      </c>
      <c r="B3200" s="76" t="s">
        <v>2958</v>
      </c>
      <c r="C3200" s="76"/>
      <c r="D3200" s="81" t="str">
        <f t="shared" si="57"/>
        <v>Recup CalorieVase d'expansion chauffage</v>
      </c>
      <c r="E3200" s="76" t="s">
        <v>6243</v>
      </c>
      <c r="F3200" s="76">
        <v>18</v>
      </c>
      <c r="G3200" s="86" t="s">
        <v>6244</v>
      </c>
      <c r="H3200" s="71" t="s">
        <v>3381</v>
      </c>
      <c r="I3200" s="86" t="s">
        <v>6245</v>
      </c>
      <c r="J3200" s="70">
        <f>IFERROR(VLOOKUP(Devis[[#This Row],[Ref Air Flux]],#REF!,3,FALSE),0)</f>
        <v>0</v>
      </c>
      <c r="K3200" s="68"/>
      <c r="L3200" s="68"/>
      <c r="M3200" s="68"/>
      <c r="N3200" s="68"/>
      <c r="O3200" s="68"/>
      <c r="P3200" s="68"/>
      <c r="Q3200" s="68">
        <f>SUM(Devis[[#This Row],[Poste 1]:[Poste 6]])</f>
        <v>0</v>
      </c>
      <c r="R3200" s="71"/>
      <c r="S3200" s="68">
        <f>_xlfn.CEILING.MATH(Devis[[#This Row],[Quantité Totale]],Devis[[#This Row],[Conditionnement]])</f>
        <v>0</v>
      </c>
      <c r="T3200" s="72"/>
      <c r="U3200" s="106"/>
      <c r="V3200" s="74">
        <f>Devis[[#This Row],[Prix de Revient]]*Devis[[#This Row],[Poste 1]]</f>
        <v>0</v>
      </c>
      <c r="W3200" s="74">
        <f>Devis[[#This Row],[Prix de Revient]]*Devis[[#This Row],[Poste 2]]</f>
        <v>0</v>
      </c>
      <c r="X3200" s="74">
        <f>Devis[[#This Row],[Prix de Revient]]*Devis[[#This Row],[Poste 3]]</f>
        <v>0</v>
      </c>
      <c r="Y3200" s="74">
        <f>Devis[[#This Row],[Poste 4]]*Devis[[#This Row],[Prix de Revient]]</f>
        <v>0</v>
      </c>
      <c r="Z3200" s="74">
        <f>Devis[[#This Row],[Poste 5]]*Devis[[#This Row],[Prix de Revient]]</f>
        <v>0</v>
      </c>
      <c r="AA3200" s="74">
        <f>Devis[[#This Row],[Prix de Revient]]*Devis[[#This Row],[Poste 6]]</f>
        <v>0</v>
      </c>
      <c r="AB3200" s="74">
        <f>Devis[[#This Row],[Quantité Totale]]*Devis[[#This Row],[Prix de Revient]]</f>
        <v>0</v>
      </c>
    </row>
    <row r="3201" spans="1:28" ht="14.25" outlineLevel="1" x14ac:dyDescent="0.2">
      <c r="A3201" s="75" t="s">
        <v>2794</v>
      </c>
      <c r="B3201" s="76" t="s">
        <v>2958</v>
      </c>
      <c r="C3201" s="76"/>
      <c r="D3201" s="81" t="str">
        <f t="shared" si="57"/>
        <v>Recup CalorieVase d'expansion chauffage</v>
      </c>
      <c r="E3201" s="76" t="s">
        <v>6251</v>
      </c>
      <c r="F3201" s="76">
        <v>19</v>
      </c>
      <c r="G3201" s="86" t="s">
        <v>6253</v>
      </c>
      <c r="H3201" s="71" t="s">
        <v>3381</v>
      </c>
      <c r="I3201" s="86" t="s">
        <v>6255</v>
      </c>
      <c r="J3201" s="70">
        <f>IFERROR(VLOOKUP(Devis[[#This Row],[Ref Air Flux]],#REF!,3,FALSE),0)</f>
        <v>0</v>
      </c>
      <c r="K3201" s="68"/>
      <c r="L3201" s="68"/>
      <c r="M3201" s="68"/>
      <c r="N3201" s="68"/>
      <c r="O3201" s="68"/>
      <c r="P3201" s="68"/>
      <c r="Q3201" s="68">
        <f>SUM(Devis[[#This Row],[Poste 1]:[Poste 6]])</f>
        <v>0</v>
      </c>
      <c r="R3201" s="71"/>
      <c r="S3201" s="68">
        <f>_xlfn.CEILING.MATH(Devis[[#This Row],[Quantité Totale]],Devis[[#This Row],[Conditionnement]])</f>
        <v>0</v>
      </c>
      <c r="T3201" s="72"/>
      <c r="U3201" s="106"/>
      <c r="V3201" s="74">
        <f>Devis[[#This Row],[Prix de Revient]]*Devis[[#This Row],[Poste 1]]</f>
        <v>0</v>
      </c>
      <c r="W3201" s="74">
        <f>Devis[[#This Row],[Prix de Revient]]*Devis[[#This Row],[Poste 2]]</f>
        <v>0</v>
      </c>
      <c r="X3201" s="74">
        <f>Devis[[#This Row],[Prix de Revient]]*Devis[[#This Row],[Poste 3]]</f>
        <v>0</v>
      </c>
      <c r="Y3201" s="74">
        <f>Devis[[#This Row],[Poste 4]]*Devis[[#This Row],[Prix de Revient]]</f>
        <v>0</v>
      </c>
      <c r="Z3201" s="74">
        <f>Devis[[#This Row],[Poste 5]]*Devis[[#This Row],[Prix de Revient]]</f>
        <v>0</v>
      </c>
      <c r="AA3201" s="74">
        <f>Devis[[#This Row],[Prix de Revient]]*Devis[[#This Row],[Poste 6]]</f>
        <v>0</v>
      </c>
      <c r="AB3201" s="74">
        <f>Devis[[#This Row],[Quantité Totale]]*Devis[[#This Row],[Prix de Revient]]</f>
        <v>0</v>
      </c>
    </row>
    <row r="3202" spans="1:28" ht="14.25" outlineLevel="1" x14ac:dyDescent="0.2">
      <c r="A3202" s="75" t="s">
        <v>2794</v>
      </c>
      <c r="B3202" s="76" t="s">
        <v>2958</v>
      </c>
      <c r="C3202" s="76"/>
      <c r="D3202" s="81" t="str">
        <f t="shared" si="57"/>
        <v>Recup CalorieVase d'expansion chauffage</v>
      </c>
      <c r="E3202" s="76" t="s">
        <v>6252</v>
      </c>
      <c r="F3202" s="76">
        <v>20</v>
      </c>
      <c r="G3202" s="86" t="s">
        <v>6254</v>
      </c>
      <c r="H3202" s="71" t="s">
        <v>3381</v>
      </c>
      <c r="I3202" s="86" t="s">
        <v>6256</v>
      </c>
      <c r="J3202" s="70">
        <f>IFERROR(VLOOKUP(Devis[[#This Row],[Ref Air Flux]],#REF!,3,FALSE),0)</f>
        <v>0</v>
      </c>
      <c r="K3202" s="68"/>
      <c r="L3202" s="68"/>
      <c r="M3202" s="68"/>
      <c r="N3202" s="68"/>
      <c r="O3202" s="68"/>
      <c r="P3202" s="68"/>
      <c r="Q3202" s="68">
        <f>SUM(Devis[[#This Row],[Poste 1]:[Poste 6]])</f>
        <v>0</v>
      </c>
      <c r="R3202" s="71"/>
      <c r="S3202" s="68">
        <f>_xlfn.CEILING.MATH(Devis[[#This Row],[Quantité Totale]],Devis[[#This Row],[Conditionnement]])</f>
        <v>0</v>
      </c>
      <c r="T3202" s="72"/>
      <c r="U3202" s="106"/>
      <c r="V3202" s="74">
        <f>Devis[[#This Row],[Prix de Revient]]*Devis[[#This Row],[Poste 1]]</f>
        <v>0</v>
      </c>
      <c r="W3202" s="74">
        <f>Devis[[#This Row],[Prix de Revient]]*Devis[[#This Row],[Poste 2]]</f>
        <v>0</v>
      </c>
      <c r="X3202" s="74">
        <f>Devis[[#This Row],[Prix de Revient]]*Devis[[#This Row],[Poste 3]]</f>
        <v>0</v>
      </c>
      <c r="Y3202" s="74">
        <f>Devis[[#This Row],[Poste 4]]*Devis[[#This Row],[Prix de Revient]]</f>
        <v>0</v>
      </c>
      <c r="Z3202" s="74">
        <f>Devis[[#This Row],[Poste 5]]*Devis[[#This Row],[Prix de Revient]]</f>
        <v>0</v>
      </c>
      <c r="AA3202" s="74">
        <f>Devis[[#This Row],[Prix de Revient]]*Devis[[#This Row],[Poste 6]]</f>
        <v>0</v>
      </c>
      <c r="AB3202" s="74">
        <f>Devis[[#This Row],[Quantité Totale]]*Devis[[#This Row],[Prix de Revient]]</f>
        <v>0</v>
      </c>
    </row>
    <row r="3203" spans="1:28" ht="14.25" outlineLevel="1" x14ac:dyDescent="0.2">
      <c r="A3203" s="75" t="s">
        <v>2794</v>
      </c>
      <c r="B3203" s="76" t="s">
        <v>2958</v>
      </c>
      <c r="C3203" s="76"/>
      <c r="D3203" s="81" t="str">
        <f t="shared" si="57"/>
        <v>Recup CalorieVase d'expansion chauffage</v>
      </c>
      <c r="E3203" s="76" t="s">
        <v>6260</v>
      </c>
      <c r="F3203" s="76">
        <v>21</v>
      </c>
      <c r="G3203" s="86" t="s">
        <v>6262</v>
      </c>
      <c r="H3203" s="71" t="s">
        <v>3381</v>
      </c>
      <c r="I3203" s="86" t="s">
        <v>6264</v>
      </c>
      <c r="J3203" s="70">
        <f>IFERROR(VLOOKUP(Devis[[#This Row],[Ref Air Flux]],#REF!,3,FALSE),0)</f>
        <v>0</v>
      </c>
      <c r="K3203" s="68"/>
      <c r="L3203" s="68"/>
      <c r="M3203" s="68"/>
      <c r="N3203" s="68"/>
      <c r="O3203" s="68"/>
      <c r="P3203" s="68"/>
      <c r="Q3203" s="68">
        <f>SUM(Devis[[#This Row],[Poste 1]:[Poste 6]])</f>
        <v>0</v>
      </c>
      <c r="R3203" s="71"/>
      <c r="S3203" s="68">
        <f>_xlfn.CEILING.MATH(Devis[[#This Row],[Quantité Totale]],Devis[[#This Row],[Conditionnement]])</f>
        <v>0</v>
      </c>
      <c r="T3203" s="72"/>
      <c r="U3203" s="106"/>
      <c r="V3203" s="74">
        <f>Devis[[#This Row],[Prix de Revient]]*Devis[[#This Row],[Poste 1]]</f>
        <v>0</v>
      </c>
      <c r="W3203" s="74">
        <f>Devis[[#This Row],[Prix de Revient]]*Devis[[#This Row],[Poste 2]]</f>
        <v>0</v>
      </c>
      <c r="X3203" s="74">
        <f>Devis[[#This Row],[Prix de Revient]]*Devis[[#This Row],[Poste 3]]</f>
        <v>0</v>
      </c>
      <c r="Y3203" s="74">
        <f>Devis[[#This Row],[Poste 4]]*Devis[[#This Row],[Prix de Revient]]</f>
        <v>0</v>
      </c>
      <c r="Z3203" s="74">
        <f>Devis[[#This Row],[Poste 5]]*Devis[[#This Row],[Prix de Revient]]</f>
        <v>0</v>
      </c>
      <c r="AA3203" s="74">
        <f>Devis[[#This Row],[Prix de Revient]]*Devis[[#This Row],[Poste 6]]</f>
        <v>0</v>
      </c>
      <c r="AB3203" s="74">
        <f>Devis[[#This Row],[Quantité Totale]]*Devis[[#This Row],[Prix de Revient]]</f>
        <v>0</v>
      </c>
    </row>
    <row r="3204" spans="1:28" ht="14.25" outlineLevel="1" x14ac:dyDescent="0.2">
      <c r="A3204" s="75" t="s">
        <v>2794</v>
      </c>
      <c r="B3204" s="76" t="s">
        <v>2958</v>
      </c>
      <c r="C3204" s="76"/>
      <c r="D3204" s="81" t="str">
        <f t="shared" si="57"/>
        <v>Recup CalorieVase d'expansion chauffage</v>
      </c>
      <c r="E3204" s="76" t="s">
        <v>6261</v>
      </c>
      <c r="F3204" s="76">
        <v>22</v>
      </c>
      <c r="G3204" s="86" t="s">
        <v>6263</v>
      </c>
      <c r="H3204" s="71" t="s">
        <v>3381</v>
      </c>
      <c r="I3204" s="86" t="s">
        <v>6265</v>
      </c>
      <c r="J3204" s="70">
        <f>IFERROR(VLOOKUP(Devis[[#This Row],[Ref Air Flux]],#REF!,3,FALSE),0)</f>
        <v>0</v>
      </c>
      <c r="K3204" s="68"/>
      <c r="L3204" s="68"/>
      <c r="M3204" s="68"/>
      <c r="N3204" s="68"/>
      <c r="O3204" s="68"/>
      <c r="P3204" s="68"/>
      <c r="Q3204" s="68">
        <f>SUM(Devis[[#This Row],[Poste 1]:[Poste 6]])</f>
        <v>0</v>
      </c>
      <c r="R3204" s="71"/>
      <c r="S3204" s="68">
        <f>_xlfn.CEILING.MATH(Devis[[#This Row],[Quantité Totale]],Devis[[#This Row],[Conditionnement]])</f>
        <v>0</v>
      </c>
      <c r="T3204" s="72"/>
      <c r="U3204" s="106"/>
      <c r="V3204" s="74">
        <f>Devis[[#This Row],[Prix de Revient]]*Devis[[#This Row],[Poste 1]]</f>
        <v>0</v>
      </c>
      <c r="W3204" s="74">
        <f>Devis[[#This Row],[Prix de Revient]]*Devis[[#This Row],[Poste 2]]</f>
        <v>0</v>
      </c>
      <c r="X3204" s="74">
        <f>Devis[[#This Row],[Prix de Revient]]*Devis[[#This Row],[Poste 3]]</f>
        <v>0</v>
      </c>
      <c r="Y3204" s="74">
        <f>Devis[[#This Row],[Poste 4]]*Devis[[#This Row],[Prix de Revient]]</f>
        <v>0</v>
      </c>
      <c r="Z3204" s="74">
        <f>Devis[[#This Row],[Poste 5]]*Devis[[#This Row],[Prix de Revient]]</f>
        <v>0</v>
      </c>
      <c r="AA3204" s="74">
        <f>Devis[[#This Row],[Prix de Revient]]*Devis[[#This Row],[Poste 6]]</f>
        <v>0</v>
      </c>
      <c r="AB3204" s="74">
        <f>Devis[[#This Row],[Quantité Totale]]*Devis[[#This Row],[Prix de Revient]]</f>
        <v>0</v>
      </c>
    </row>
    <row r="3205" spans="1:28" ht="14.25" outlineLevel="1" x14ac:dyDescent="0.2">
      <c r="A3205" s="75" t="s">
        <v>2794</v>
      </c>
      <c r="B3205" s="76" t="s">
        <v>2958</v>
      </c>
      <c r="C3205" s="76"/>
      <c r="D3205" s="81" t="str">
        <f t="shared" si="57"/>
        <v>Recup CalorieVase d'expansion chauffage</v>
      </c>
      <c r="E3205" s="76" t="s">
        <v>6235</v>
      </c>
      <c r="F3205" s="76">
        <v>23</v>
      </c>
      <c r="G3205" s="86" t="s">
        <v>6228</v>
      </c>
      <c r="H3205" s="71" t="s">
        <v>3381</v>
      </c>
      <c r="I3205" s="86" t="s">
        <v>6229</v>
      </c>
      <c r="J3205" s="70">
        <f>IFERROR(VLOOKUP(Devis[[#This Row],[Ref Air Flux]],#REF!,3,FALSE),0)</f>
        <v>0</v>
      </c>
      <c r="K3205" s="68"/>
      <c r="L3205" s="68"/>
      <c r="M3205" s="68"/>
      <c r="N3205" s="68"/>
      <c r="O3205" s="68"/>
      <c r="P3205" s="68"/>
      <c r="Q3205" s="68">
        <f>SUM(Devis[[#This Row],[Poste 1]:[Poste 6]])</f>
        <v>0</v>
      </c>
      <c r="R3205" s="71"/>
      <c r="S3205" s="68">
        <f>_xlfn.CEILING.MATH(Devis[[#This Row],[Quantité Totale]],Devis[[#This Row],[Conditionnement]])</f>
        <v>0</v>
      </c>
      <c r="T3205" s="72"/>
      <c r="U3205" s="106"/>
      <c r="V3205" s="74">
        <f>Devis[[#This Row],[Prix de Revient]]*Devis[[#This Row],[Poste 1]]</f>
        <v>0</v>
      </c>
      <c r="W3205" s="74">
        <f>Devis[[#This Row],[Prix de Revient]]*Devis[[#This Row],[Poste 2]]</f>
        <v>0</v>
      </c>
      <c r="X3205" s="74">
        <f>Devis[[#This Row],[Prix de Revient]]*Devis[[#This Row],[Poste 3]]</f>
        <v>0</v>
      </c>
      <c r="Y3205" s="74">
        <f>Devis[[#This Row],[Poste 4]]*Devis[[#This Row],[Prix de Revient]]</f>
        <v>0</v>
      </c>
      <c r="Z3205" s="74">
        <f>Devis[[#This Row],[Poste 5]]*Devis[[#This Row],[Prix de Revient]]</f>
        <v>0</v>
      </c>
      <c r="AA3205" s="74">
        <f>Devis[[#This Row],[Prix de Revient]]*Devis[[#This Row],[Poste 6]]</f>
        <v>0</v>
      </c>
      <c r="AB3205" s="74">
        <f>Devis[[#This Row],[Quantité Totale]]*Devis[[#This Row],[Prix de Revient]]</f>
        <v>0</v>
      </c>
    </row>
    <row r="3206" spans="1:28" ht="14.25" customHeight="1" outlineLevel="1" x14ac:dyDescent="0.25">
      <c r="A3206" s="75" t="s">
        <v>2794</v>
      </c>
      <c r="B3206" s="76" t="s">
        <v>2958</v>
      </c>
      <c r="C3206" s="76"/>
      <c r="D3206" s="81" t="str">
        <f t="shared" si="57"/>
        <v>Recup CalorieVase d'expansion chauffage</v>
      </c>
      <c r="E3206" s="76" t="s">
        <v>2965</v>
      </c>
      <c r="F3206" s="81">
        <v>25</v>
      </c>
      <c r="G3206" s="86" t="s">
        <v>2966</v>
      </c>
      <c r="H3206" s="71" t="s">
        <v>2798</v>
      </c>
      <c r="I3206" s="117"/>
      <c r="J3206" s="70">
        <f>IFERROR(VLOOKUP(Devis[[#This Row],[Ref Air Flux]],#REF!,3,FALSE),0)</f>
        <v>0</v>
      </c>
      <c r="K3206" s="68"/>
      <c r="L3206" s="68"/>
      <c r="M3206" s="68"/>
      <c r="N3206" s="68"/>
      <c r="O3206" s="68"/>
      <c r="P3206" s="68"/>
      <c r="Q3206" s="68">
        <f>SUM(Devis[[#This Row],[Poste 1]:[Poste 6]])</f>
        <v>0</v>
      </c>
      <c r="R3206" s="71"/>
      <c r="S3206" s="68">
        <f>_xlfn.CEILING.MATH(Devis[[#This Row],[Quantité Totale]],Devis[[#This Row],[Conditionnement]])</f>
        <v>0</v>
      </c>
      <c r="T3206" s="72"/>
      <c r="U3206" s="106"/>
      <c r="V3206" s="74">
        <f>Devis[[#This Row],[Prix de Revient]]*Devis[[#This Row],[Poste 1]]</f>
        <v>0</v>
      </c>
      <c r="W3206" s="74">
        <f>Devis[[#This Row],[Prix de Revient]]*Devis[[#This Row],[Poste 2]]</f>
        <v>0</v>
      </c>
      <c r="X3206" s="74">
        <f>Devis[[#This Row],[Prix de Revient]]*Devis[[#This Row],[Poste 3]]</f>
        <v>0</v>
      </c>
      <c r="Y3206" s="74">
        <f>Devis[[#This Row],[Poste 4]]*Devis[[#This Row],[Prix de Revient]]</f>
        <v>0</v>
      </c>
      <c r="Z3206" s="74">
        <f>Devis[[#This Row],[Poste 5]]*Devis[[#This Row],[Prix de Revient]]</f>
        <v>0</v>
      </c>
      <c r="AA3206" s="74">
        <f>Devis[[#This Row],[Prix de Revient]]*Devis[[#This Row],[Poste 6]]</f>
        <v>0</v>
      </c>
      <c r="AB3206" s="74">
        <f>Devis[[#This Row],[Quantité Totale]]*Devis[[#This Row],[Prix de Revient]]</f>
        <v>0</v>
      </c>
    </row>
    <row r="3207" spans="1:28" ht="14.25" outlineLevel="1" x14ac:dyDescent="0.2">
      <c r="A3207" s="75" t="s">
        <v>2794</v>
      </c>
      <c r="B3207" s="76" t="s">
        <v>2958</v>
      </c>
      <c r="C3207" s="76"/>
      <c r="D3207" s="81" t="str">
        <f t="shared" si="57"/>
        <v>Recup CalorieVase d'expansion chauffage</v>
      </c>
      <c r="E3207" s="76" t="s">
        <v>2963</v>
      </c>
      <c r="F3207" s="81">
        <v>26</v>
      </c>
      <c r="G3207" s="86" t="s">
        <v>2964</v>
      </c>
      <c r="H3207" s="71" t="s">
        <v>2798</v>
      </c>
      <c r="I3207" s="102"/>
      <c r="J3207" s="70">
        <f>IFERROR(VLOOKUP(Devis[[#This Row],[Ref Air Flux]],#REF!,3,FALSE),0)</f>
        <v>0</v>
      </c>
      <c r="K3207" s="68"/>
      <c r="L3207" s="68"/>
      <c r="M3207" s="68"/>
      <c r="N3207" s="68"/>
      <c r="O3207" s="68"/>
      <c r="P3207" s="68"/>
      <c r="Q3207" s="68">
        <f>SUM(Devis[[#This Row],[Poste 1]:[Poste 6]])</f>
        <v>0</v>
      </c>
      <c r="R3207" s="71"/>
      <c r="S3207" s="68">
        <f>_xlfn.CEILING.MATH(Devis[[#This Row],[Quantité Totale]],Devis[[#This Row],[Conditionnement]])</f>
        <v>0</v>
      </c>
      <c r="T3207" s="72"/>
      <c r="U3207" s="106"/>
      <c r="V3207" s="74">
        <f>Devis[[#This Row],[Prix de Revient]]*Devis[[#This Row],[Poste 1]]</f>
        <v>0</v>
      </c>
      <c r="W3207" s="74">
        <f>Devis[[#This Row],[Prix de Revient]]*Devis[[#This Row],[Poste 2]]</f>
        <v>0</v>
      </c>
      <c r="X3207" s="74">
        <f>Devis[[#This Row],[Prix de Revient]]*Devis[[#This Row],[Poste 3]]</f>
        <v>0</v>
      </c>
      <c r="Y3207" s="74">
        <f>Devis[[#This Row],[Poste 4]]*Devis[[#This Row],[Prix de Revient]]</f>
        <v>0</v>
      </c>
      <c r="Z3207" s="74">
        <f>Devis[[#This Row],[Poste 5]]*Devis[[#This Row],[Prix de Revient]]</f>
        <v>0</v>
      </c>
      <c r="AA3207" s="74">
        <f>Devis[[#This Row],[Prix de Revient]]*Devis[[#This Row],[Poste 6]]</f>
        <v>0</v>
      </c>
      <c r="AB3207" s="74">
        <f>Devis[[#This Row],[Quantité Totale]]*Devis[[#This Row],[Prix de Revient]]</f>
        <v>0</v>
      </c>
    </row>
    <row r="3208" spans="1:28" ht="14.25" customHeight="1" outlineLevel="1" x14ac:dyDescent="0.25">
      <c r="A3208" s="65" t="s">
        <v>3558</v>
      </c>
      <c r="B3208" s="65" t="s">
        <v>3860</v>
      </c>
      <c r="C3208" s="65" t="s">
        <v>3861</v>
      </c>
      <c r="D3208" s="81" t="str">
        <f t="shared" si="57"/>
        <v>Régulation - Mesure Regulation AIRLEADER</v>
      </c>
      <c r="E3208" s="76"/>
      <c r="F3208" s="81">
        <v>41</v>
      </c>
      <c r="G3208" s="86"/>
      <c r="H3208" s="71"/>
      <c r="I3208" s="75"/>
      <c r="J3208" s="70">
        <f>IFERROR(VLOOKUP(Devis[[#This Row],[Ref Air Flux]],#REF!,3,FALSE),0)</f>
        <v>0</v>
      </c>
      <c r="K3208" s="68"/>
      <c r="L3208" s="68"/>
      <c r="M3208" s="68"/>
      <c r="N3208" s="68"/>
      <c r="O3208" s="68"/>
      <c r="P3208" s="68"/>
      <c r="Q3208" s="68">
        <f>SUM(Devis[[#This Row],[Poste 1]:[Poste 6]])</f>
        <v>0</v>
      </c>
      <c r="R3208" s="71"/>
      <c r="S3208" s="68">
        <f>_xlfn.CEILING.MATH(Devis[[#This Row],[Quantité Totale]],Devis[[#This Row],[Conditionnement]])</f>
        <v>0</v>
      </c>
      <c r="T3208" s="72"/>
      <c r="U3208" s="106"/>
      <c r="V3208" s="74">
        <f>Devis[[#This Row],[Prix de Revient]]*Devis[[#This Row],[Poste 1]]</f>
        <v>0</v>
      </c>
      <c r="W3208" s="74">
        <f>Devis[[#This Row],[Prix de Revient]]*Devis[[#This Row],[Poste 2]]</f>
        <v>0</v>
      </c>
      <c r="X3208" s="74">
        <f>Devis[[#This Row],[Prix de Revient]]*Devis[[#This Row],[Poste 3]]</f>
        <v>0</v>
      </c>
      <c r="Y3208" s="74">
        <f>Devis[[#This Row],[Poste 4]]*Devis[[#This Row],[Prix de Revient]]</f>
        <v>0</v>
      </c>
      <c r="Z3208" s="74">
        <f>Devis[[#This Row],[Poste 5]]*Devis[[#This Row],[Prix de Revient]]</f>
        <v>0</v>
      </c>
      <c r="AA3208" s="74">
        <f>Devis[[#This Row],[Prix de Revient]]*Devis[[#This Row],[Poste 6]]</f>
        <v>0</v>
      </c>
      <c r="AB3208" s="74">
        <f>Devis[[#This Row],[Quantité Totale]]*Devis[[#This Row],[Prix de Revient]]</f>
        <v>0</v>
      </c>
    </row>
    <row r="3209" spans="1:28" ht="14.25" outlineLevel="1" x14ac:dyDescent="0.2">
      <c r="A3209" s="75" t="s">
        <v>3558</v>
      </c>
      <c r="B3209" s="76" t="s">
        <v>3860</v>
      </c>
      <c r="C3209" s="76" t="s">
        <v>3861</v>
      </c>
      <c r="D3209" s="81" t="str">
        <f t="shared" si="57"/>
        <v>Régulation - Mesure Regulation AIRLEADER</v>
      </c>
      <c r="E3209" s="76" t="s">
        <v>3866</v>
      </c>
      <c r="F3209" s="81">
        <v>42</v>
      </c>
      <c r="G3209" s="86" t="s">
        <v>2968</v>
      </c>
      <c r="H3209" s="71" t="s">
        <v>2967</v>
      </c>
      <c r="I3209" s="75"/>
      <c r="J3209" s="70">
        <f>IFERROR(VLOOKUP(Devis[[#This Row],[Ref Air Flux]],#REF!,3,FALSE),0)</f>
        <v>0</v>
      </c>
      <c r="K3209" s="68"/>
      <c r="L3209" s="68"/>
      <c r="M3209" s="68"/>
      <c r="N3209" s="68"/>
      <c r="O3209" s="68"/>
      <c r="P3209" s="68"/>
      <c r="Q3209" s="68">
        <f>SUM(Devis[[#This Row],[Poste 1]:[Poste 6]])</f>
        <v>0</v>
      </c>
      <c r="R3209" s="71"/>
      <c r="S3209" s="68">
        <f>_xlfn.CEILING.MATH(Devis[[#This Row],[Quantité Totale]],Devis[[#This Row],[Conditionnement]])</f>
        <v>0</v>
      </c>
      <c r="T3209" s="72"/>
      <c r="U3209" s="106"/>
      <c r="V3209" s="74">
        <f>Devis[[#This Row],[Prix de Revient]]*Devis[[#This Row],[Poste 1]]</f>
        <v>0</v>
      </c>
      <c r="W3209" s="74">
        <f>Devis[[#This Row],[Prix de Revient]]*Devis[[#This Row],[Poste 2]]</f>
        <v>0</v>
      </c>
      <c r="X3209" s="74">
        <f>Devis[[#This Row],[Prix de Revient]]*Devis[[#This Row],[Poste 3]]</f>
        <v>0</v>
      </c>
      <c r="Y3209" s="74">
        <f>Devis[[#This Row],[Poste 4]]*Devis[[#This Row],[Prix de Revient]]</f>
        <v>0</v>
      </c>
      <c r="Z3209" s="74">
        <f>Devis[[#This Row],[Poste 5]]*Devis[[#This Row],[Prix de Revient]]</f>
        <v>0</v>
      </c>
      <c r="AA3209" s="74">
        <f>Devis[[#This Row],[Prix de Revient]]*Devis[[#This Row],[Poste 6]]</f>
        <v>0</v>
      </c>
      <c r="AB3209" s="74">
        <f>Devis[[#This Row],[Quantité Totale]]*Devis[[#This Row],[Prix de Revient]]</f>
        <v>0</v>
      </c>
    </row>
    <row r="3210" spans="1:28" ht="14.25" outlineLevel="1" x14ac:dyDescent="0.2">
      <c r="A3210" s="75" t="s">
        <v>3558</v>
      </c>
      <c r="B3210" s="76" t="s">
        <v>3860</v>
      </c>
      <c r="C3210" s="76" t="s">
        <v>3861</v>
      </c>
      <c r="D3210" s="81" t="str">
        <f t="shared" si="57"/>
        <v>Régulation - Mesure Regulation AIRLEADER</v>
      </c>
      <c r="E3210" s="119" t="s">
        <v>3867</v>
      </c>
      <c r="F3210" s="81">
        <v>43</v>
      </c>
      <c r="G3210" s="120">
        <v>2416</v>
      </c>
      <c r="H3210" s="71" t="s">
        <v>2967</v>
      </c>
      <c r="I3210" s="75"/>
      <c r="J3210" s="70">
        <f>IFERROR(VLOOKUP(Devis[[#This Row],[Ref Air Flux]],#REF!,3,FALSE),0)</f>
        <v>0</v>
      </c>
      <c r="K3210" s="68"/>
      <c r="L3210" s="68"/>
      <c r="M3210" s="68"/>
      <c r="N3210" s="68"/>
      <c r="O3210" s="68"/>
      <c r="P3210" s="68"/>
      <c r="Q3210" s="68">
        <f>SUM(Devis[[#This Row],[Poste 1]:[Poste 6]])</f>
        <v>0</v>
      </c>
      <c r="R3210" s="71"/>
      <c r="S3210" s="68">
        <f>_xlfn.CEILING.MATH(Devis[[#This Row],[Quantité Totale]],Devis[[#This Row],[Conditionnement]])</f>
        <v>0</v>
      </c>
      <c r="T3210" s="72"/>
      <c r="U3210" s="106"/>
      <c r="V3210" s="74">
        <f>Devis[[#This Row],[Prix de Revient]]*Devis[[#This Row],[Poste 1]]</f>
        <v>0</v>
      </c>
      <c r="W3210" s="74">
        <f>Devis[[#This Row],[Prix de Revient]]*Devis[[#This Row],[Poste 2]]</f>
        <v>0</v>
      </c>
      <c r="X3210" s="74">
        <f>Devis[[#This Row],[Prix de Revient]]*Devis[[#This Row],[Poste 3]]</f>
        <v>0</v>
      </c>
      <c r="Y3210" s="74">
        <f>Devis[[#This Row],[Poste 4]]*Devis[[#This Row],[Prix de Revient]]</f>
        <v>0</v>
      </c>
      <c r="Z3210" s="74">
        <f>Devis[[#This Row],[Poste 5]]*Devis[[#This Row],[Prix de Revient]]</f>
        <v>0</v>
      </c>
      <c r="AA3210" s="74">
        <f>Devis[[#This Row],[Prix de Revient]]*Devis[[#This Row],[Poste 6]]</f>
        <v>0</v>
      </c>
      <c r="AB3210" s="74">
        <f>Devis[[#This Row],[Quantité Totale]]*Devis[[#This Row],[Prix de Revient]]</f>
        <v>0</v>
      </c>
    </row>
    <row r="3211" spans="1:28" ht="14.25" outlineLevel="1" x14ac:dyDescent="0.2">
      <c r="A3211" s="75" t="s">
        <v>3558</v>
      </c>
      <c r="B3211" s="76" t="s">
        <v>3860</v>
      </c>
      <c r="C3211" s="76" t="s">
        <v>3861</v>
      </c>
      <c r="D3211" s="81" t="str">
        <f t="shared" si="57"/>
        <v>Régulation - Mesure Regulation AIRLEADER</v>
      </c>
      <c r="E3211" s="76" t="s">
        <v>3874</v>
      </c>
      <c r="F3211" s="81">
        <v>44</v>
      </c>
      <c r="G3211" s="86" t="s">
        <v>3870</v>
      </c>
      <c r="H3211" s="71" t="s">
        <v>2967</v>
      </c>
      <c r="I3211" s="75"/>
      <c r="J3211" s="70">
        <f>IFERROR(VLOOKUP(Devis[[#This Row],[Ref Air Flux]],#REF!,3,FALSE),0)</f>
        <v>0</v>
      </c>
      <c r="K3211" s="68"/>
      <c r="L3211" s="68"/>
      <c r="M3211" s="68"/>
      <c r="N3211" s="68"/>
      <c r="O3211" s="68"/>
      <c r="P3211" s="68"/>
      <c r="Q3211" s="68">
        <f>SUM(Devis[[#This Row],[Poste 1]:[Poste 6]])</f>
        <v>0</v>
      </c>
      <c r="R3211" s="71"/>
      <c r="S3211" s="68">
        <f>_xlfn.CEILING.MATH(Devis[[#This Row],[Quantité Totale]],Devis[[#This Row],[Conditionnement]])</f>
        <v>0</v>
      </c>
      <c r="T3211" s="72"/>
      <c r="U3211" s="106"/>
      <c r="V3211" s="74">
        <f>Devis[[#This Row],[Prix de Revient]]*Devis[[#This Row],[Poste 1]]</f>
        <v>0</v>
      </c>
      <c r="W3211" s="74">
        <f>Devis[[#This Row],[Prix de Revient]]*Devis[[#This Row],[Poste 2]]</f>
        <v>0</v>
      </c>
      <c r="X3211" s="74">
        <f>Devis[[#This Row],[Prix de Revient]]*Devis[[#This Row],[Poste 3]]</f>
        <v>0</v>
      </c>
      <c r="Y3211" s="74">
        <f>Devis[[#This Row],[Poste 4]]*Devis[[#This Row],[Prix de Revient]]</f>
        <v>0</v>
      </c>
      <c r="Z3211" s="74">
        <f>Devis[[#This Row],[Poste 5]]*Devis[[#This Row],[Prix de Revient]]</f>
        <v>0</v>
      </c>
      <c r="AA3211" s="74">
        <f>Devis[[#This Row],[Prix de Revient]]*Devis[[#This Row],[Poste 6]]</f>
        <v>0</v>
      </c>
      <c r="AB3211" s="74">
        <f>Devis[[#This Row],[Quantité Totale]]*Devis[[#This Row],[Prix de Revient]]</f>
        <v>0</v>
      </c>
    </row>
    <row r="3212" spans="1:28" ht="14.25" outlineLevel="1" x14ac:dyDescent="0.2">
      <c r="A3212" s="75" t="s">
        <v>3558</v>
      </c>
      <c r="B3212" s="76" t="s">
        <v>3860</v>
      </c>
      <c r="C3212" s="76" t="s">
        <v>3861</v>
      </c>
      <c r="D3212" s="81" t="str">
        <f t="shared" si="57"/>
        <v>Régulation - Mesure Regulation AIRLEADER</v>
      </c>
      <c r="E3212" s="119" t="s">
        <v>3872</v>
      </c>
      <c r="F3212" s="81">
        <v>45</v>
      </c>
      <c r="G3212" s="120" t="s">
        <v>3862</v>
      </c>
      <c r="H3212" s="71" t="s">
        <v>2967</v>
      </c>
      <c r="I3212" s="75"/>
      <c r="J3212" s="70">
        <f>IFERROR(VLOOKUP(Devis[[#This Row],[Ref Air Flux]],#REF!,3,FALSE),0)</f>
        <v>0</v>
      </c>
      <c r="K3212" s="68"/>
      <c r="L3212" s="68"/>
      <c r="M3212" s="68"/>
      <c r="N3212" s="68"/>
      <c r="O3212" s="68"/>
      <c r="P3212" s="68"/>
      <c r="Q3212" s="68">
        <f>SUM(Devis[[#This Row],[Poste 1]:[Poste 6]])</f>
        <v>0</v>
      </c>
      <c r="R3212" s="71"/>
      <c r="S3212" s="68">
        <f>_xlfn.CEILING.MATH(Devis[[#This Row],[Quantité Totale]],Devis[[#This Row],[Conditionnement]])</f>
        <v>0</v>
      </c>
      <c r="T3212" s="72"/>
      <c r="U3212" s="106"/>
      <c r="V3212" s="74">
        <f>Devis[[#This Row],[Prix de Revient]]*Devis[[#This Row],[Poste 1]]</f>
        <v>0</v>
      </c>
      <c r="W3212" s="74">
        <f>Devis[[#This Row],[Prix de Revient]]*Devis[[#This Row],[Poste 2]]</f>
        <v>0</v>
      </c>
      <c r="X3212" s="74">
        <f>Devis[[#This Row],[Prix de Revient]]*Devis[[#This Row],[Poste 3]]</f>
        <v>0</v>
      </c>
      <c r="Y3212" s="74">
        <f>Devis[[#This Row],[Poste 4]]*Devis[[#This Row],[Prix de Revient]]</f>
        <v>0</v>
      </c>
      <c r="Z3212" s="74">
        <f>Devis[[#This Row],[Poste 5]]*Devis[[#This Row],[Prix de Revient]]</f>
        <v>0</v>
      </c>
      <c r="AA3212" s="74">
        <f>Devis[[#This Row],[Prix de Revient]]*Devis[[#This Row],[Poste 6]]</f>
        <v>0</v>
      </c>
      <c r="AB3212" s="74">
        <f>Devis[[#This Row],[Quantité Totale]]*Devis[[#This Row],[Prix de Revient]]</f>
        <v>0</v>
      </c>
    </row>
    <row r="3213" spans="1:28" ht="14.25" outlineLevel="1" x14ac:dyDescent="0.2">
      <c r="A3213" s="75" t="s">
        <v>3558</v>
      </c>
      <c r="B3213" s="76" t="s">
        <v>3860</v>
      </c>
      <c r="C3213" s="76" t="s">
        <v>3861</v>
      </c>
      <c r="D3213" s="81" t="str">
        <f t="shared" si="57"/>
        <v>Régulation - Mesure Regulation AIRLEADER</v>
      </c>
      <c r="E3213" s="76" t="s">
        <v>3871</v>
      </c>
      <c r="F3213" s="81">
        <v>46</v>
      </c>
      <c r="G3213" s="86" t="s">
        <v>3873</v>
      </c>
      <c r="H3213" s="71" t="s">
        <v>2967</v>
      </c>
      <c r="I3213" s="75"/>
      <c r="J3213" s="70">
        <f>IFERROR(VLOOKUP(Devis[[#This Row],[Ref Air Flux]],#REF!,3,FALSE),0)</f>
        <v>0</v>
      </c>
      <c r="K3213" s="68"/>
      <c r="L3213" s="68"/>
      <c r="M3213" s="68"/>
      <c r="N3213" s="68"/>
      <c r="O3213" s="68"/>
      <c r="P3213" s="68"/>
      <c r="Q3213" s="68">
        <f>SUM(Devis[[#This Row],[Poste 1]:[Poste 6]])</f>
        <v>0</v>
      </c>
      <c r="R3213" s="71"/>
      <c r="S3213" s="68">
        <f>_xlfn.CEILING.MATH(Devis[[#This Row],[Quantité Totale]],Devis[[#This Row],[Conditionnement]])</f>
        <v>0</v>
      </c>
      <c r="T3213" s="72"/>
      <c r="U3213" s="106"/>
      <c r="V3213" s="74">
        <f>Devis[[#This Row],[Prix de Revient]]*Devis[[#This Row],[Poste 1]]</f>
        <v>0</v>
      </c>
      <c r="W3213" s="74">
        <f>Devis[[#This Row],[Prix de Revient]]*Devis[[#This Row],[Poste 2]]</f>
        <v>0</v>
      </c>
      <c r="X3213" s="74">
        <f>Devis[[#This Row],[Prix de Revient]]*Devis[[#This Row],[Poste 3]]</f>
        <v>0</v>
      </c>
      <c r="Y3213" s="74">
        <f>Devis[[#This Row],[Poste 4]]*Devis[[#This Row],[Prix de Revient]]</f>
        <v>0</v>
      </c>
      <c r="Z3213" s="74">
        <f>Devis[[#This Row],[Poste 5]]*Devis[[#This Row],[Prix de Revient]]</f>
        <v>0</v>
      </c>
      <c r="AA3213" s="74">
        <f>Devis[[#This Row],[Prix de Revient]]*Devis[[#This Row],[Poste 6]]</f>
        <v>0</v>
      </c>
      <c r="AB3213" s="74">
        <f>Devis[[#This Row],[Quantité Totale]]*Devis[[#This Row],[Prix de Revient]]</f>
        <v>0</v>
      </c>
    </row>
    <row r="3214" spans="1:28" ht="14.25" customHeight="1" outlineLevel="1" x14ac:dyDescent="0.2">
      <c r="A3214" s="75" t="s">
        <v>3558</v>
      </c>
      <c r="B3214" s="76" t="s">
        <v>3860</v>
      </c>
      <c r="C3214" s="76" t="s">
        <v>3861</v>
      </c>
      <c r="D3214" s="81" t="str">
        <f t="shared" si="57"/>
        <v>Régulation - Mesure Regulation AIRLEADER</v>
      </c>
      <c r="E3214" s="76" t="s">
        <v>3863</v>
      </c>
      <c r="F3214" s="81">
        <v>47</v>
      </c>
      <c r="G3214" s="86" t="s">
        <v>3864</v>
      </c>
      <c r="H3214" s="71" t="s">
        <v>2967</v>
      </c>
      <c r="I3214" s="75"/>
      <c r="J3214" s="70">
        <f>IFERROR(VLOOKUP(Devis[[#This Row],[Ref Air Flux]],#REF!,3,FALSE),0)</f>
        <v>0</v>
      </c>
      <c r="K3214" s="68"/>
      <c r="L3214" s="68"/>
      <c r="M3214" s="68"/>
      <c r="N3214" s="68"/>
      <c r="O3214" s="68"/>
      <c r="P3214" s="68"/>
      <c r="Q3214" s="68">
        <f>SUM(Devis[[#This Row],[Poste 1]:[Poste 6]])</f>
        <v>0</v>
      </c>
      <c r="R3214" s="71"/>
      <c r="S3214" s="68">
        <f>_xlfn.CEILING.MATH(Devis[[#This Row],[Quantité Totale]],Devis[[#This Row],[Conditionnement]])</f>
        <v>0</v>
      </c>
      <c r="T3214" s="72"/>
      <c r="U3214" s="106"/>
      <c r="V3214" s="74">
        <f>Devis[[#This Row],[Prix de Revient]]*Devis[[#This Row],[Poste 1]]</f>
        <v>0</v>
      </c>
      <c r="W3214" s="74">
        <f>Devis[[#This Row],[Prix de Revient]]*Devis[[#This Row],[Poste 2]]</f>
        <v>0</v>
      </c>
      <c r="X3214" s="74">
        <f>Devis[[#This Row],[Prix de Revient]]*Devis[[#This Row],[Poste 3]]</f>
        <v>0</v>
      </c>
      <c r="Y3214" s="74">
        <f>Devis[[#This Row],[Poste 4]]*Devis[[#This Row],[Prix de Revient]]</f>
        <v>0</v>
      </c>
      <c r="Z3214" s="74">
        <f>Devis[[#This Row],[Poste 5]]*Devis[[#This Row],[Prix de Revient]]</f>
        <v>0</v>
      </c>
      <c r="AA3214" s="74">
        <f>Devis[[#This Row],[Prix de Revient]]*Devis[[#This Row],[Poste 6]]</f>
        <v>0</v>
      </c>
      <c r="AB3214" s="74">
        <f>Devis[[#This Row],[Quantité Totale]]*Devis[[#This Row],[Prix de Revient]]</f>
        <v>0</v>
      </c>
    </row>
    <row r="3215" spans="1:28" ht="14.25" outlineLevel="1" x14ac:dyDescent="0.2">
      <c r="A3215" s="75" t="s">
        <v>3558</v>
      </c>
      <c r="B3215" s="76" t="s">
        <v>3860</v>
      </c>
      <c r="C3215" s="76" t="s">
        <v>3861</v>
      </c>
      <c r="D3215" s="81" t="str">
        <f t="shared" ref="D3215:D3232" si="58">A3215&amp;B3215&amp;C3215</f>
        <v>Régulation - Mesure Regulation AIRLEADER</v>
      </c>
      <c r="E3215" s="76" t="s">
        <v>3865</v>
      </c>
      <c r="F3215" s="81">
        <v>48</v>
      </c>
      <c r="G3215" s="86">
        <v>3201</v>
      </c>
      <c r="H3215" s="71" t="s">
        <v>2967</v>
      </c>
      <c r="I3215" s="75"/>
      <c r="J3215" s="70">
        <f>IFERROR(VLOOKUP(Devis[[#This Row],[Ref Air Flux]],#REF!,3,FALSE),0)</f>
        <v>0</v>
      </c>
      <c r="K3215" s="68"/>
      <c r="L3215" s="68"/>
      <c r="M3215" s="68"/>
      <c r="N3215" s="68"/>
      <c r="O3215" s="68"/>
      <c r="P3215" s="68"/>
      <c r="Q3215" s="68">
        <f>SUM(Devis[[#This Row],[Poste 1]:[Poste 6]])</f>
        <v>0</v>
      </c>
      <c r="R3215" s="71"/>
      <c r="S3215" s="68">
        <f>_xlfn.CEILING.MATH(Devis[[#This Row],[Quantité Totale]],Devis[[#This Row],[Conditionnement]])</f>
        <v>0</v>
      </c>
      <c r="T3215" s="72"/>
      <c r="U3215" s="106"/>
      <c r="V3215" s="74">
        <f>Devis[[#This Row],[Prix de Revient]]*Devis[[#This Row],[Poste 1]]</f>
        <v>0</v>
      </c>
      <c r="W3215" s="74">
        <f>Devis[[#This Row],[Prix de Revient]]*Devis[[#This Row],[Poste 2]]</f>
        <v>0</v>
      </c>
      <c r="X3215" s="74">
        <f>Devis[[#This Row],[Prix de Revient]]*Devis[[#This Row],[Poste 3]]</f>
        <v>0</v>
      </c>
      <c r="Y3215" s="74">
        <f>Devis[[#This Row],[Poste 4]]*Devis[[#This Row],[Prix de Revient]]</f>
        <v>0</v>
      </c>
      <c r="Z3215" s="74">
        <f>Devis[[#This Row],[Poste 5]]*Devis[[#This Row],[Prix de Revient]]</f>
        <v>0</v>
      </c>
      <c r="AA3215" s="74">
        <f>Devis[[#This Row],[Prix de Revient]]*Devis[[#This Row],[Poste 6]]</f>
        <v>0</v>
      </c>
      <c r="AB3215" s="74">
        <f>Devis[[#This Row],[Quantité Totale]]*Devis[[#This Row],[Prix de Revient]]</f>
        <v>0</v>
      </c>
    </row>
    <row r="3216" spans="1:28" ht="14.25" outlineLevel="1" x14ac:dyDescent="0.2">
      <c r="A3216" s="75" t="s">
        <v>3558</v>
      </c>
      <c r="B3216" s="76" t="s">
        <v>3860</v>
      </c>
      <c r="C3216" s="76" t="s">
        <v>3861</v>
      </c>
      <c r="D3216" s="81" t="str">
        <f t="shared" si="58"/>
        <v>Régulation - Mesure Regulation AIRLEADER</v>
      </c>
      <c r="E3216" s="76" t="s">
        <v>3868</v>
      </c>
      <c r="F3216" s="81">
        <v>49</v>
      </c>
      <c r="G3216" s="86">
        <v>9012</v>
      </c>
      <c r="H3216" s="71" t="s">
        <v>2967</v>
      </c>
      <c r="I3216" s="75"/>
      <c r="J3216" s="70">
        <f>IFERROR(VLOOKUP(Devis[[#This Row],[Ref Air Flux]],#REF!,3,FALSE),0)</f>
        <v>0</v>
      </c>
      <c r="K3216" s="68"/>
      <c r="L3216" s="68"/>
      <c r="M3216" s="68"/>
      <c r="N3216" s="68"/>
      <c r="O3216" s="68"/>
      <c r="P3216" s="68"/>
      <c r="Q3216" s="68">
        <f>SUM(Devis[[#This Row],[Poste 1]:[Poste 6]])</f>
        <v>0</v>
      </c>
      <c r="R3216" s="71"/>
      <c r="S3216" s="68">
        <f>_xlfn.CEILING.MATH(Devis[[#This Row],[Quantité Totale]],Devis[[#This Row],[Conditionnement]])</f>
        <v>0</v>
      </c>
      <c r="T3216" s="72"/>
      <c r="U3216" s="106"/>
      <c r="V3216" s="74">
        <f>Devis[[#This Row],[Prix de Revient]]*Devis[[#This Row],[Poste 1]]</f>
        <v>0</v>
      </c>
      <c r="W3216" s="74">
        <f>Devis[[#This Row],[Prix de Revient]]*Devis[[#This Row],[Poste 2]]</f>
        <v>0</v>
      </c>
      <c r="X3216" s="74">
        <f>Devis[[#This Row],[Prix de Revient]]*Devis[[#This Row],[Poste 3]]</f>
        <v>0</v>
      </c>
      <c r="Y3216" s="74">
        <f>Devis[[#This Row],[Poste 4]]*Devis[[#This Row],[Prix de Revient]]</f>
        <v>0</v>
      </c>
      <c r="Z3216" s="74">
        <f>Devis[[#This Row],[Poste 5]]*Devis[[#This Row],[Prix de Revient]]</f>
        <v>0</v>
      </c>
      <c r="AA3216" s="74">
        <f>Devis[[#This Row],[Prix de Revient]]*Devis[[#This Row],[Poste 6]]</f>
        <v>0</v>
      </c>
      <c r="AB3216" s="74">
        <f>Devis[[#This Row],[Quantité Totale]]*Devis[[#This Row],[Prix de Revient]]</f>
        <v>0</v>
      </c>
    </row>
    <row r="3217" spans="1:28" ht="14.25" outlineLevel="1" x14ac:dyDescent="0.2">
      <c r="A3217" s="75" t="s">
        <v>3558</v>
      </c>
      <c r="B3217" s="76" t="s">
        <v>3860</v>
      </c>
      <c r="C3217" s="76" t="s">
        <v>3861</v>
      </c>
      <c r="D3217" s="81" t="str">
        <f t="shared" si="58"/>
        <v>Régulation - Mesure Regulation AIRLEADER</v>
      </c>
      <c r="E3217" s="76" t="s">
        <v>3869</v>
      </c>
      <c r="F3217" s="81">
        <v>50</v>
      </c>
      <c r="G3217" s="86">
        <v>9015</v>
      </c>
      <c r="H3217" s="71" t="s">
        <v>2967</v>
      </c>
      <c r="I3217" s="75"/>
      <c r="J3217" s="70">
        <f>IFERROR(VLOOKUP(Devis[[#This Row],[Ref Air Flux]],#REF!,3,FALSE),0)</f>
        <v>0</v>
      </c>
      <c r="K3217" s="68"/>
      <c r="L3217" s="68"/>
      <c r="M3217" s="68"/>
      <c r="N3217" s="68"/>
      <c r="O3217" s="68"/>
      <c r="P3217" s="68"/>
      <c r="Q3217" s="68">
        <f>SUM(Devis[[#This Row],[Poste 1]:[Poste 6]])</f>
        <v>0</v>
      </c>
      <c r="R3217" s="71"/>
      <c r="S3217" s="68">
        <f>_xlfn.CEILING.MATH(Devis[[#This Row],[Quantité Totale]],Devis[[#This Row],[Conditionnement]])</f>
        <v>0</v>
      </c>
      <c r="T3217" s="72"/>
      <c r="U3217" s="106"/>
      <c r="V3217" s="74">
        <f>Devis[[#This Row],[Prix de Revient]]*Devis[[#This Row],[Poste 1]]</f>
        <v>0</v>
      </c>
      <c r="W3217" s="74">
        <f>Devis[[#This Row],[Prix de Revient]]*Devis[[#This Row],[Poste 2]]</f>
        <v>0</v>
      </c>
      <c r="X3217" s="74">
        <f>Devis[[#This Row],[Prix de Revient]]*Devis[[#This Row],[Poste 3]]</f>
        <v>0</v>
      </c>
      <c r="Y3217" s="74">
        <f>Devis[[#This Row],[Poste 4]]*Devis[[#This Row],[Prix de Revient]]</f>
        <v>0</v>
      </c>
      <c r="Z3217" s="74">
        <f>Devis[[#This Row],[Poste 5]]*Devis[[#This Row],[Prix de Revient]]</f>
        <v>0</v>
      </c>
      <c r="AA3217" s="74">
        <f>Devis[[#This Row],[Prix de Revient]]*Devis[[#This Row],[Poste 6]]</f>
        <v>0</v>
      </c>
      <c r="AB3217" s="74">
        <f>Devis[[#This Row],[Quantité Totale]]*Devis[[#This Row],[Prix de Revient]]</f>
        <v>0</v>
      </c>
    </row>
    <row r="3218" spans="1:28" ht="14.25" outlineLevel="1" x14ac:dyDescent="0.2">
      <c r="A3218" s="75" t="s">
        <v>3558</v>
      </c>
      <c r="B3218" s="76" t="s">
        <v>3860</v>
      </c>
      <c r="C3218" s="76" t="s">
        <v>3861</v>
      </c>
      <c r="D3218" s="81" t="str">
        <f t="shared" si="58"/>
        <v>Régulation - Mesure Regulation AIRLEADER</v>
      </c>
      <c r="E3218" s="76" t="s">
        <v>3875</v>
      </c>
      <c r="F3218" s="81">
        <v>51</v>
      </c>
      <c r="G3218" s="86">
        <v>4702</v>
      </c>
      <c r="H3218" s="71" t="s">
        <v>2967</v>
      </c>
      <c r="I3218" s="75"/>
      <c r="J3218" s="70">
        <f>IFERROR(VLOOKUP(Devis[[#This Row],[Ref Air Flux]],#REF!,3,FALSE),0)</f>
        <v>0</v>
      </c>
      <c r="K3218" s="68"/>
      <c r="L3218" s="68"/>
      <c r="M3218" s="68"/>
      <c r="N3218" s="68"/>
      <c r="O3218" s="68"/>
      <c r="P3218" s="68"/>
      <c r="Q3218" s="68">
        <f>SUM(Devis[[#This Row],[Poste 1]:[Poste 6]])</f>
        <v>0</v>
      </c>
      <c r="R3218" s="71"/>
      <c r="S3218" s="68">
        <f>_xlfn.CEILING.MATH(Devis[[#This Row],[Quantité Totale]],Devis[[#This Row],[Conditionnement]])</f>
        <v>0</v>
      </c>
      <c r="T3218" s="72"/>
      <c r="U3218" s="106"/>
      <c r="V3218" s="74">
        <f>Devis[[#This Row],[Prix de Revient]]*Devis[[#This Row],[Poste 1]]</f>
        <v>0</v>
      </c>
      <c r="W3218" s="74">
        <f>Devis[[#This Row],[Prix de Revient]]*Devis[[#This Row],[Poste 2]]</f>
        <v>0</v>
      </c>
      <c r="X3218" s="74">
        <f>Devis[[#This Row],[Prix de Revient]]*Devis[[#This Row],[Poste 3]]</f>
        <v>0</v>
      </c>
      <c r="Y3218" s="74">
        <f>Devis[[#This Row],[Poste 4]]*Devis[[#This Row],[Prix de Revient]]</f>
        <v>0</v>
      </c>
      <c r="Z3218" s="74">
        <f>Devis[[#This Row],[Poste 5]]*Devis[[#This Row],[Prix de Revient]]</f>
        <v>0</v>
      </c>
      <c r="AA3218" s="74">
        <f>Devis[[#This Row],[Prix de Revient]]*Devis[[#This Row],[Poste 6]]</f>
        <v>0</v>
      </c>
      <c r="AB3218" s="74">
        <f>Devis[[#This Row],[Quantité Totale]]*Devis[[#This Row],[Prix de Revient]]</f>
        <v>0</v>
      </c>
    </row>
    <row r="3219" spans="1:28" ht="14.25" outlineLevel="1" x14ac:dyDescent="0.2">
      <c r="A3219" s="75" t="s">
        <v>3558</v>
      </c>
      <c r="B3219" s="76" t="s">
        <v>3860</v>
      </c>
      <c r="C3219" s="76" t="s">
        <v>3861</v>
      </c>
      <c r="D3219" s="81" t="str">
        <f t="shared" si="58"/>
        <v>Régulation - Mesure Regulation AIRLEADER</v>
      </c>
      <c r="E3219" s="76" t="s">
        <v>3876</v>
      </c>
      <c r="F3219" s="81">
        <v>52</v>
      </c>
      <c r="G3219" s="86" t="s">
        <v>2974</v>
      </c>
      <c r="H3219" s="71" t="s">
        <v>2967</v>
      </c>
      <c r="I3219" s="75"/>
      <c r="J3219" s="70">
        <f>IFERROR(VLOOKUP(Devis[[#This Row],[Ref Air Flux]],#REF!,3,FALSE),0)</f>
        <v>0</v>
      </c>
      <c r="K3219" s="68"/>
      <c r="L3219" s="68"/>
      <c r="M3219" s="68"/>
      <c r="N3219" s="68"/>
      <c r="O3219" s="68"/>
      <c r="P3219" s="68"/>
      <c r="Q3219" s="68">
        <f>SUM(Devis[[#This Row],[Poste 1]:[Poste 6]])</f>
        <v>0</v>
      </c>
      <c r="R3219" s="71"/>
      <c r="S3219" s="68">
        <f>_xlfn.CEILING.MATH(Devis[[#This Row],[Quantité Totale]],Devis[[#This Row],[Conditionnement]])</f>
        <v>0</v>
      </c>
      <c r="T3219" s="72"/>
      <c r="U3219" s="106"/>
      <c r="V3219" s="74">
        <f>Devis[[#This Row],[Prix de Revient]]*Devis[[#This Row],[Poste 1]]</f>
        <v>0</v>
      </c>
      <c r="W3219" s="74">
        <f>Devis[[#This Row],[Prix de Revient]]*Devis[[#This Row],[Poste 2]]</f>
        <v>0</v>
      </c>
      <c r="X3219" s="74">
        <f>Devis[[#This Row],[Prix de Revient]]*Devis[[#This Row],[Poste 3]]</f>
        <v>0</v>
      </c>
      <c r="Y3219" s="74">
        <f>Devis[[#This Row],[Poste 4]]*Devis[[#This Row],[Prix de Revient]]</f>
        <v>0</v>
      </c>
      <c r="Z3219" s="74">
        <f>Devis[[#This Row],[Poste 5]]*Devis[[#This Row],[Prix de Revient]]</f>
        <v>0</v>
      </c>
      <c r="AA3219" s="74">
        <f>Devis[[#This Row],[Prix de Revient]]*Devis[[#This Row],[Poste 6]]</f>
        <v>0</v>
      </c>
      <c r="AB3219" s="74">
        <f>Devis[[#This Row],[Quantité Totale]]*Devis[[#This Row],[Prix de Revient]]</f>
        <v>0</v>
      </c>
    </row>
    <row r="3220" spans="1:28" ht="14.25" customHeight="1" x14ac:dyDescent="0.25">
      <c r="A3220" s="65" t="s">
        <v>3558</v>
      </c>
      <c r="B3220" s="65" t="s">
        <v>3892</v>
      </c>
      <c r="C3220" s="76"/>
      <c r="D3220" s="81" t="str">
        <f t="shared" si="58"/>
        <v>Régulation - MesureCapteur</v>
      </c>
      <c r="E3220" s="76"/>
      <c r="F3220" s="81">
        <v>0</v>
      </c>
      <c r="G3220" s="86"/>
      <c r="H3220" s="71"/>
      <c r="I3220" s="75"/>
      <c r="J3220" s="70">
        <f>IFERROR(VLOOKUP(Devis[[#This Row],[Ref Air Flux]],#REF!,3,FALSE),0)</f>
        <v>0</v>
      </c>
      <c r="K3220" s="68"/>
      <c r="L3220" s="68"/>
      <c r="M3220" s="68"/>
      <c r="N3220" s="68"/>
      <c r="O3220" s="68"/>
      <c r="P3220" s="68"/>
      <c r="Q3220" s="68">
        <f>SUM(Devis[[#This Row],[Poste 1]:[Poste 6]])</f>
        <v>0</v>
      </c>
      <c r="R3220" s="71"/>
      <c r="S3220" s="68">
        <f>_xlfn.CEILING.MATH(Devis[[#This Row],[Quantité Totale]],Devis[[#This Row],[Conditionnement]])</f>
        <v>0</v>
      </c>
      <c r="T3220" s="72"/>
      <c r="U3220" s="106"/>
      <c r="V3220" s="74">
        <f>Devis[[#This Row],[Prix de Revient]]*Devis[[#This Row],[Poste 1]]</f>
        <v>0</v>
      </c>
      <c r="W3220" s="74">
        <f>Devis[[#This Row],[Prix de Revient]]*Devis[[#This Row],[Poste 2]]</f>
        <v>0</v>
      </c>
      <c r="X3220" s="74">
        <f>Devis[[#This Row],[Prix de Revient]]*Devis[[#This Row],[Poste 3]]</f>
        <v>0</v>
      </c>
      <c r="Y3220" s="74">
        <f>Devis[[#This Row],[Poste 4]]*Devis[[#This Row],[Prix de Revient]]</f>
        <v>0</v>
      </c>
      <c r="Z3220" s="74">
        <f>Devis[[#This Row],[Poste 5]]*Devis[[#This Row],[Prix de Revient]]</f>
        <v>0</v>
      </c>
      <c r="AA3220" s="74">
        <f>Devis[[#This Row],[Prix de Revient]]*Devis[[#This Row],[Poste 6]]</f>
        <v>0</v>
      </c>
      <c r="AB3220" s="74">
        <f>Devis[[#This Row],[Quantité Totale]]*Devis[[#This Row],[Prix de Revient]]</f>
        <v>0</v>
      </c>
    </row>
    <row r="3221" spans="1:28" ht="14.25" outlineLevel="1" x14ac:dyDescent="0.2">
      <c r="A3221" s="75" t="s">
        <v>3558</v>
      </c>
      <c r="B3221" s="76" t="s">
        <v>3892</v>
      </c>
      <c r="C3221" s="76" t="s">
        <v>2969</v>
      </c>
      <c r="D3221" s="81" t="str">
        <f t="shared" si="58"/>
        <v>Régulation - MesureCapteurCable regul. 2 sigma</v>
      </c>
      <c r="E3221" s="76" t="s">
        <v>2969</v>
      </c>
      <c r="F3221" s="81">
        <v>1</v>
      </c>
      <c r="G3221" s="86" t="s">
        <v>2970</v>
      </c>
      <c r="H3221" s="71" t="s">
        <v>3501</v>
      </c>
      <c r="I3221" s="75"/>
      <c r="J3221" s="70">
        <f>IFERROR(VLOOKUP(Devis[[#This Row],[Ref Air Flux]],#REF!,3,FALSE),0)</f>
        <v>0</v>
      </c>
      <c r="K3221" s="68"/>
      <c r="L3221" s="68"/>
      <c r="M3221" s="68"/>
      <c r="N3221" s="68"/>
      <c r="O3221" s="68"/>
      <c r="P3221" s="68"/>
      <c r="Q3221" s="68">
        <f>SUM(Devis[[#This Row],[Poste 1]:[Poste 6]])</f>
        <v>0</v>
      </c>
      <c r="R3221" s="71"/>
      <c r="S3221" s="68">
        <f>_xlfn.CEILING.MATH(Devis[[#This Row],[Quantité Totale]],Devis[[#This Row],[Conditionnement]])</f>
        <v>0</v>
      </c>
      <c r="T3221" s="72"/>
      <c r="U3221" s="106"/>
      <c r="V3221" s="74">
        <f>Devis[[#This Row],[Prix de Revient]]*Devis[[#This Row],[Poste 1]]</f>
        <v>0</v>
      </c>
      <c r="W3221" s="74">
        <f>Devis[[#This Row],[Prix de Revient]]*Devis[[#This Row],[Poste 2]]</f>
        <v>0</v>
      </c>
      <c r="X3221" s="74">
        <f>Devis[[#This Row],[Prix de Revient]]*Devis[[#This Row],[Poste 3]]</f>
        <v>0</v>
      </c>
      <c r="Y3221" s="74">
        <f>Devis[[#This Row],[Poste 4]]*Devis[[#This Row],[Prix de Revient]]</f>
        <v>0</v>
      </c>
      <c r="Z3221" s="74">
        <f>Devis[[#This Row],[Poste 5]]*Devis[[#This Row],[Prix de Revient]]</f>
        <v>0</v>
      </c>
      <c r="AA3221" s="74">
        <f>Devis[[#This Row],[Prix de Revient]]*Devis[[#This Row],[Poste 6]]</f>
        <v>0</v>
      </c>
      <c r="AB3221" s="74">
        <f>Devis[[#This Row],[Quantité Totale]]*Devis[[#This Row],[Prix de Revient]]</f>
        <v>0</v>
      </c>
    </row>
    <row r="3222" spans="1:28" ht="14.25" outlineLevel="1" x14ac:dyDescent="0.2">
      <c r="A3222" s="75" t="s">
        <v>3558</v>
      </c>
      <c r="B3222" s="76" t="s">
        <v>3892</v>
      </c>
      <c r="C3222" s="76" t="s">
        <v>3893</v>
      </c>
      <c r="D3222" s="81" t="str">
        <f t="shared" si="58"/>
        <v>Régulation - MesureCapteurPression</v>
      </c>
      <c r="E3222" s="76" t="s">
        <v>3887</v>
      </c>
      <c r="F3222" s="81">
        <v>2</v>
      </c>
      <c r="G3222" s="86" t="s">
        <v>2971</v>
      </c>
      <c r="H3222" s="71" t="s">
        <v>3880</v>
      </c>
      <c r="I3222" s="75"/>
      <c r="J3222" s="70">
        <f>IFERROR(VLOOKUP(Devis[[#This Row],[Ref Air Flux]],#REF!,3,FALSE),0)</f>
        <v>0</v>
      </c>
      <c r="K3222" s="68"/>
      <c r="L3222" s="68"/>
      <c r="M3222" s="68"/>
      <c r="N3222" s="68"/>
      <c r="O3222" s="68"/>
      <c r="P3222" s="68"/>
      <c r="Q3222" s="68">
        <f>SUM(Devis[[#This Row],[Poste 1]:[Poste 6]])</f>
        <v>0</v>
      </c>
      <c r="R3222" s="71"/>
      <c r="S3222" s="68">
        <f>_xlfn.CEILING.MATH(Devis[[#This Row],[Quantité Totale]],Devis[[#This Row],[Conditionnement]])</f>
        <v>0</v>
      </c>
      <c r="T3222" s="72"/>
      <c r="U3222" s="106"/>
      <c r="V3222" s="74">
        <f>Devis[[#This Row],[Prix de Revient]]*Devis[[#This Row],[Poste 1]]</f>
        <v>0</v>
      </c>
      <c r="W3222" s="74">
        <f>Devis[[#This Row],[Prix de Revient]]*Devis[[#This Row],[Poste 2]]</f>
        <v>0</v>
      </c>
      <c r="X3222" s="74">
        <f>Devis[[#This Row],[Prix de Revient]]*Devis[[#This Row],[Poste 3]]</f>
        <v>0</v>
      </c>
      <c r="Y3222" s="74">
        <f>Devis[[#This Row],[Poste 4]]*Devis[[#This Row],[Prix de Revient]]</f>
        <v>0</v>
      </c>
      <c r="Z3222" s="74">
        <f>Devis[[#This Row],[Poste 5]]*Devis[[#This Row],[Prix de Revient]]</f>
        <v>0</v>
      </c>
      <c r="AA3222" s="74">
        <f>Devis[[#This Row],[Prix de Revient]]*Devis[[#This Row],[Poste 6]]</f>
        <v>0</v>
      </c>
      <c r="AB3222" s="74">
        <f>Devis[[#This Row],[Quantité Totale]]*Devis[[#This Row],[Prix de Revient]]</f>
        <v>0</v>
      </c>
    </row>
    <row r="3223" spans="1:28" ht="14.25" customHeight="1" outlineLevel="1" x14ac:dyDescent="0.2">
      <c r="A3223" s="75" t="s">
        <v>3558</v>
      </c>
      <c r="B3223" s="76" t="s">
        <v>3892</v>
      </c>
      <c r="C3223" s="76" t="s">
        <v>3893</v>
      </c>
      <c r="D3223" s="81" t="str">
        <f t="shared" si="58"/>
        <v>Régulation - MesureCapteurPression</v>
      </c>
      <c r="E3223" s="76" t="s">
        <v>3886</v>
      </c>
      <c r="F3223" s="81">
        <v>3</v>
      </c>
      <c r="G3223" s="86" t="s">
        <v>3527</v>
      </c>
      <c r="H3223" s="71" t="s">
        <v>3528</v>
      </c>
      <c r="I3223" s="75"/>
      <c r="J3223" s="70">
        <f>IFERROR(VLOOKUP(Devis[[#This Row],[Ref Air Flux]],#REF!,3,FALSE),0)</f>
        <v>0</v>
      </c>
      <c r="K3223" s="68"/>
      <c r="L3223" s="68"/>
      <c r="M3223" s="68"/>
      <c r="N3223" s="68"/>
      <c r="O3223" s="68"/>
      <c r="P3223" s="68"/>
      <c r="Q3223" s="68">
        <f>SUM(Devis[[#This Row],[Poste 1]:[Poste 6]])</f>
        <v>0</v>
      </c>
      <c r="R3223" s="71"/>
      <c r="S3223" s="68">
        <f>_xlfn.CEILING.MATH(Devis[[#This Row],[Quantité Totale]],Devis[[#This Row],[Conditionnement]])</f>
        <v>0</v>
      </c>
      <c r="T3223" s="72"/>
      <c r="U3223" s="106"/>
      <c r="V3223" s="74">
        <f>Devis[[#This Row],[Prix de Revient]]*Devis[[#This Row],[Poste 1]]</f>
        <v>0</v>
      </c>
      <c r="W3223" s="74">
        <f>Devis[[#This Row],[Prix de Revient]]*Devis[[#This Row],[Poste 2]]</f>
        <v>0</v>
      </c>
      <c r="X3223" s="74">
        <f>Devis[[#This Row],[Prix de Revient]]*Devis[[#This Row],[Poste 3]]</f>
        <v>0</v>
      </c>
      <c r="Y3223" s="74">
        <f>Devis[[#This Row],[Poste 4]]*Devis[[#This Row],[Prix de Revient]]</f>
        <v>0</v>
      </c>
      <c r="Z3223" s="74">
        <f>Devis[[#This Row],[Poste 5]]*Devis[[#This Row],[Prix de Revient]]</f>
        <v>0</v>
      </c>
      <c r="AA3223" s="74">
        <f>Devis[[#This Row],[Prix de Revient]]*Devis[[#This Row],[Poste 6]]</f>
        <v>0</v>
      </c>
      <c r="AB3223" s="74">
        <f>Devis[[#This Row],[Quantité Totale]]*Devis[[#This Row],[Prix de Revient]]</f>
        <v>0</v>
      </c>
    </row>
    <row r="3224" spans="1:28" ht="14.25" outlineLevel="1" x14ac:dyDescent="0.2">
      <c r="A3224" s="75" t="s">
        <v>3558</v>
      </c>
      <c r="B3224" s="76" t="s">
        <v>3892</v>
      </c>
      <c r="C3224" s="76" t="s">
        <v>3893</v>
      </c>
      <c r="D3224" s="81" t="str">
        <f t="shared" si="58"/>
        <v>Régulation - MesureCapteurPression</v>
      </c>
      <c r="E3224" s="76" t="s">
        <v>3888</v>
      </c>
      <c r="F3224" s="81">
        <v>4</v>
      </c>
      <c r="G3224" s="86" t="s">
        <v>2972</v>
      </c>
      <c r="H3224" s="71" t="s">
        <v>3380</v>
      </c>
      <c r="I3224" s="75"/>
      <c r="J3224" s="70">
        <f>IFERROR(VLOOKUP(Devis[[#This Row],[Ref Air Flux]],#REF!,3,FALSE),0)</f>
        <v>0</v>
      </c>
      <c r="K3224" s="68"/>
      <c r="L3224" s="68"/>
      <c r="M3224" s="68"/>
      <c r="N3224" s="68"/>
      <c r="O3224" s="68"/>
      <c r="P3224" s="68"/>
      <c r="Q3224" s="68">
        <f>SUM(Devis[[#This Row],[Poste 1]:[Poste 6]])</f>
        <v>0</v>
      </c>
      <c r="R3224" s="71"/>
      <c r="S3224" s="68">
        <f>_xlfn.CEILING.MATH(Devis[[#This Row],[Quantité Totale]],Devis[[#This Row],[Conditionnement]])</f>
        <v>0</v>
      </c>
      <c r="T3224" s="72"/>
      <c r="U3224" s="106"/>
      <c r="V3224" s="74">
        <f>Devis[[#This Row],[Prix de Revient]]*Devis[[#This Row],[Poste 1]]</f>
        <v>0</v>
      </c>
      <c r="W3224" s="74">
        <f>Devis[[#This Row],[Prix de Revient]]*Devis[[#This Row],[Poste 2]]</f>
        <v>0</v>
      </c>
      <c r="X3224" s="74">
        <f>Devis[[#This Row],[Prix de Revient]]*Devis[[#This Row],[Poste 3]]</f>
        <v>0</v>
      </c>
      <c r="Y3224" s="74">
        <f>Devis[[#This Row],[Poste 4]]*Devis[[#This Row],[Prix de Revient]]</f>
        <v>0</v>
      </c>
      <c r="Z3224" s="74">
        <f>Devis[[#This Row],[Poste 5]]*Devis[[#This Row],[Prix de Revient]]</f>
        <v>0</v>
      </c>
      <c r="AA3224" s="74">
        <f>Devis[[#This Row],[Prix de Revient]]*Devis[[#This Row],[Poste 6]]</f>
        <v>0</v>
      </c>
      <c r="AB3224" s="74">
        <f>Devis[[#This Row],[Quantité Totale]]*Devis[[#This Row],[Prix de Revient]]</f>
        <v>0</v>
      </c>
    </row>
    <row r="3225" spans="1:28" ht="14.25" outlineLevel="1" x14ac:dyDescent="0.2">
      <c r="A3225" s="75" t="s">
        <v>3558</v>
      </c>
      <c r="B3225" s="76" t="s">
        <v>3892</v>
      </c>
      <c r="C3225" s="76" t="s">
        <v>3893</v>
      </c>
      <c r="D3225" s="81" t="str">
        <f t="shared" si="58"/>
        <v>Régulation - MesureCapteurPression</v>
      </c>
      <c r="E3225" s="76" t="s">
        <v>3888</v>
      </c>
      <c r="F3225" s="81">
        <v>5</v>
      </c>
      <c r="G3225" s="86" t="s">
        <v>3877</v>
      </c>
      <c r="H3225" s="71" t="s">
        <v>2967</v>
      </c>
      <c r="I3225" s="75"/>
      <c r="J3225" s="70">
        <f>IFERROR(VLOOKUP(Devis[[#This Row],[Ref Air Flux]],#REF!,3,FALSE),0)</f>
        <v>0</v>
      </c>
      <c r="K3225" s="68"/>
      <c r="L3225" s="68"/>
      <c r="M3225" s="68"/>
      <c r="N3225" s="68"/>
      <c r="O3225" s="68"/>
      <c r="P3225" s="68"/>
      <c r="Q3225" s="68">
        <f>SUM(Devis[[#This Row],[Poste 1]:[Poste 6]])</f>
        <v>0</v>
      </c>
      <c r="R3225" s="71"/>
      <c r="S3225" s="68">
        <f>_xlfn.CEILING.MATH(Devis[[#This Row],[Quantité Totale]],Devis[[#This Row],[Conditionnement]])</f>
        <v>0</v>
      </c>
      <c r="T3225" s="72"/>
      <c r="U3225" s="106"/>
      <c r="V3225" s="74">
        <f>Devis[[#This Row],[Prix de Revient]]*Devis[[#This Row],[Poste 1]]</f>
        <v>0</v>
      </c>
      <c r="W3225" s="74">
        <f>Devis[[#This Row],[Prix de Revient]]*Devis[[#This Row],[Poste 2]]</f>
        <v>0</v>
      </c>
      <c r="X3225" s="74">
        <f>Devis[[#This Row],[Prix de Revient]]*Devis[[#This Row],[Poste 3]]</f>
        <v>0</v>
      </c>
      <c r="Y3225" s="74">
        <f>Devis[[#This Row],[Poste 4]]*Devis[[#This Row],[Prix de Revient]]</f>
        <v>0</v>
      </c>
      <c r="Z3225" s="74">
        <f>Devis[[#This Row],[Poste 5]]*Devis[[#This Row],[Prix de Revient]]</f>
        <v>0</v>
      </c>
      <c r="AA3225" s="74">
        <f>Devis[[#This Row],[Prix de Revient]]*Devis[[#This Row],[Poste 6]]</f>
        <v>0</v>
      </c>
      <c r="AB3225" s="74">
        <f>Devis[[#This Row],[Quantité Totale]]*Devis[[#This Row],[Prix de Revient]]</f>
        <v>0</v>
      </c>
    </row>
    <row r="3226" spans="1:28" ht="14.25" outlineLevel="1" x14ac:dyDescent="0.2">
      <c r="A3226" s="75" t="s">
        <v>3558</v>
      </c>
      <c r="B3226" s="76" t="s">
        <v>3892</v>
      </c>
      <c r="C3226" s="76" t="s">
        <v>3893</v>
      </c>
      <c r="D3226" s="81" t="str">
        <f t="shared" si="58"/>
        <v>Régulation - MesureCapteurPression</v>
      </c>
      <c r="E3226" s="76" t="s">
        <v>3889</v>
      </c>
      <c r="F3226" s="81">
        <v>6</v>
      </c>
      <c r="G3226" s="86" t="s">
        <v>3881</v>
      </c>
      <c r="H3226" s="71" t="s">
        <v>3526</v>
      </c>
      <c r="I3226" s="75"/>
      <c r="J3226" s="70">
        <f>IFERROR(VLOOKUP(Devis[[#This Row],[Ref Air Flux]],#REF!,3,FALSE),0)</f>
        <v>0</v>
      </c>
      <c r="K3226" s="68"/>
      <c r="L3226" s="68"/>
      <c r="M3226" s="68"/>
      <c r="N3226" s="68"/>
      <c r="O3226" s="68"/>
      <c r="P3226" s="68"/>
      <c r="Q3226" s="68">
        <f>SUM(Devis[[#This Row],[Poste 1]:[Poste 6]])</f>
        <v>0</v>
      </c>
      <c r="R3226" s="71"/>
      <c r="S3226" s="68">
        <f>_xlfn.CEILING.MATH(Devis[[#This Row],[Quantité Totale]],Devis[[#This Row],[Conditionnement]])</f>
        <v>0</v>
      </c>
      <c r="T3226" s="72"/>
      <c r="U3226" s="106"/>
      <c r="V3226" s="74">
        <f>Devis[[#This Row],[Prix de Revient]]*Devis[[#This Row],[Poste 1]]</f>
        <v>0</v>
      </c>
      <c r="W3226" s="74">
        <f>Devis[[#This Row],[Prix de Revient]]*Devis[[#This Row],[Poste 2]]</f>
        <v>0</v>
      </c>
      <c r="X3226" s="74">
        <f>Devis[[#This Row],[Prix de Revient]]*Devis[[#This Row],[Poste 3]]</f>
        <v>0</v>
      </c>
      <c r="Y3226" s="74">
        <f>Devis[[#This Row],[Poste 4]]*Devis[[#This Row],[Prix de Revient]]</f>
        <v>0</v>
      </c>
      <c r="Z3226" s="74">
        <f>Devis[[#This Row],[Poste 5]]*Devis[[#This Row],[Prix de Revient]]</f>
        <v>0</v>
      </c>
      <c r="AA3226" s="74">
        <f>Devis[[#This Row],[Prix de Revient]]*Devis[[#This Row],[Poste 6]]</f>
        <v>0</v>
      </c>
      <c r="AB3226" s="74">
        <f>Devis[[#This Row],[Quantité Totale]]*Devis[[#This Row],[Prix de Revient]]</f>
        <v>0</v>
      </c>
    </row>
    <row r="3227" spans="1:28" ht="14.25" outlineLevel="1" x14ac:dyDescent="0.2">
      <c r="A3227" s="75" t="s">
        <v>3558</v>
      </c>
      <c r="B3227" s="76" t="s">
        <v>3892</v>
      </c>
      <c r="C3227" s="76" t="s">
        <v>3893</v>
      </c>
      <c r="D3227" s="81" t="str">
        <f t="shared" si="58"/>
        <v>Régulation - MesureCapteurPression</v>
      </c>
      <c r="E3227" s="76" t="s">
        <v>3890</v>
      </c>
      <c r="F3227" s="81">
        <v>7</v>
      </c>
      <c r="G3227" s="86" t="s">
        <v>3811</v>
      </c>
      <c r="H3227" s="71" t="s">
        <v>3526</v>
      </c>
      <c r="I3227" s="75"/>
      <c r="J3227" s="70">
        <f>IFERROR(VLOOKUP(Devis[[#This Row],[Ref Air Flux]],#REF!,3,FALSE),0)</f>
        <v>0</v>
      </c>
      <c r="K3227" s="68"/>
      <c r="L3227" s="68"/>
      <c r="M3227" s="68"/>
      <c r="N3227" s="68"/>
      <c r="O3227" s="68"/>
      <c r="P3227" s="68"/>
      <c r="Q3227" s="68">
        <f>SUM(Devis[[#This Row],[Poste 1]:[Poste 6]])</f>
        <v>0</v>
      </c>
      <c r="R3227" s="71"/>
      <c r="S3227" s="68">
        <f>_xlfn.CEILING.MATH(Devis[[#This Row],[Quantité Totale]],Devis[[#This Row],[Conditionnement]])</f>
        <v>0</v>
      </c>
      <c r="T3227" s="72"/>
      <c r="U3227" s="106"/>
      <c r="V3227" s="74">
        <f>Devis[[#This Row],[Prix de Revient]]*Devis[[#This Row],[Poste 1]]</f>
        <v>0</v>
      </c>
      <c r="W3227" s="74">
        <f>Devis[[#This Row],[Prix de Revient]]*Devis[[#This Row],[Poste 2]]</f>
        <v>0</v>
      </c>
      <c r="X3227" s="74">
        <f>Devis[[#This Row],[Prix de Revient]]*Devis[[#This Row],[Poste 3]]</f>
        <v>0</v>
      </c>
      <c r="Y3227" s="74">
        <f>Devis[[#This Row],[Poste 4]]*Devis[[#This Row],[Prix de Revient]]</f>
        <v>0</v>
      </c>
      <c r="Z3227" s="74">
        <f>Devis[[#This Row],[Poste 5]]*Devis[[#This Row],[Prix de Revient]]</f>
        <v>0</v>
      </c>
      <c r="AA3227" s="74">
        <f>Devis[[#This Row],[Prix de Revient]]*Devis[[#This Row],[Poste 6]]</f>
        <v>0</v>
      </c>
      <c r="AB3227" s="74">
        <f>Devis[[#This Row],[Quantité Totale]]*Devis[[#This Row],[Prix de Revient]]</f>
        <v>0</v>
      </c>
    </row>
    <row r="3228" spans="1:28" ht="14.25" outlineLevel="1" x14ac:dyDescent="0.2">
      <c r="A3228" s="75" t="s">
        <v>3558</v>
      </c>
      <c r="B3228" s="76" t="s">
        <v>3892</v>
      </c>
      <c r="C3228" s="76" t="s">
        <v>3799</v>
      </c>
      <c r="D3228" s="81" t="str">
        <f t="shared" si="58"/>
        <v>Régulation - MesureCapteurDelta P</v>
      </c>
      <c r="E3228" s="76" t="s">
        <v>3891</v>
      </c>
      <c r="F3228" s="81">
        <v>8</v>
      </c>
      <c r="G3228" s="86" t="s">
        <v>3770</v>
      </c>
      <c r="H3228" s="71" t="s">
        <v>3634</v>
      </c>
      <c r="I3228" s="75"/>
      <c r="J3228" s="70">
        <f>IFERROR(VLOOKUP(Devis[[#This Row],[Ref Air Flux]],#REF!,3,FALSE),0)</f>
        <v>0</v>
      </c>
      <c r="K3228" s="68"/>
      <c r="L3228" s="68"/>
      <c r="M3228" s="68"/>
      <c r="N3228" s="68"/>
      <c r="O3228" s="68"/>
      <c r="P3228" s="68"/>
      <c r="Q3228" s="68">
        <f>SUM(Devis[[#This Row],[Poste 1]:[Poste 6]])</f>
        <v>0</v>
      </c>
      <c r="R3228" s="71"/>
      <c r="S3228" s="68">
        <f>_xlfn.CEILING.MATH(Devis[[#This Row],[Quantité Totale]],Devis[[#This Row],[Conditionnement]])</f>
        <v>0</v>
      </c>
      <c r="T3228" s="72"/>
      <c r="U3228" s="106"/>
      <c r="V3228" s="74">
        <f>Devis[[#This Row],[Prix de Revient]]*Devis[[#This Row],[Poste 1]]</f>
        <v>0</v>
      </c>
      <c r="W3228" s="74">
        <f>Devis[[#This Row],[Prix de Revient]]*Devis[[#This Row],[Poste 2]]</f>
        <v>0</v>
      </c>
      <c r="X3228" s="74">
        <f>Devis[[#This Row],[Prix de Revient]]*Devis[[#This Row],[Poste 3]]</f>
        <v>0</v>
      </c>
      <c r="Y3228" s="74">
        <f>Devis[[#This Row],[Poste 4]]*Devis[[#This Row],[Prix de Revient]]</f>
        <v>0</v>
      </c>
      <c r="Z3228" s="74">
        <f>Devis[[#This Row],[Poste 5]]*Devis[[#This Row],[Prix de Revient]]</f>
        <v>0</v>
      </c>
      <c r="AA3228" s="74">
        <f>Devis[[#This Row],[Prix de Revient]]*Devis[[#This Row],[Poste 6]]</f>
        <v>0</v>
      </c>
      <c r="AB3228" s="74">
        <f>Devis[[#This Row],[Quantité Totale]]*Devis[[#This Row],[Prix de Revient]]</f>
        <v>0</v>
      </c>
    </row>
    <row r="3229" spans="1:28" ht="14.25" outlineLevel="1" x14ac:dyDescent="0.2">
      <c r="A3229" s="75" t="s">
        <v>3558</v>
      </c>
      <c r="B3229" s="76" t="s">
        <v>3892</v>
      </c>
      <c r="C3229" s="76" t="s">
        <v>3773</v>
      </c>
      <c r="D3229" s="81" t="str">
        <f t="shared" si="58"/>
        <v>Régulation - MesureCapteurTempérature</v>
      </c>
      <c r="E3229" s="76" t="s">
        <v>3772</v>
      </c>
      <c r="F3229" s="81">
        <v>9</v>
      </c>
      <c r="G3229" s="86" t="s">
        <v>3771</v>
      </c>
      <c r="H3229" s="71" t="s">
        <v>3634</v>
      </c>
      <c r="I3229" s="75"/>
      <c r="J3229" s="70">
        <f>IFERROR(VLOOKUP(Devis[[#This Row],[Ref Air Flux]],#REF!,3,FALSE),0)</f>
        <v>0</v>
      </c>
      <c r="K3229" s="68"/>
      <c r="L3229" s="68"/>
      <c r="M3229" s="68"/>
      <c r="N3229" s="68"/>
      <c r="O3229" s="68"/>
      <c r="P3229" s="68"/>
      <c r="Q3229" s="68">
        <f>SUM(Devis[[#This Row],[Poste 1]:[Poste 6]])</f>
        <v>0</v>
      </c>
      <c r="R3229" s="71"/>
      <c r="S3229" s="68">
        <f>_xlfn.CEILING.MATH(Devis[[#This Row],[Quantité Totale]],Devis[[#This Row],[Conditionnement]])</f>
        <v>0</v>
      </c>
      <c r="T3229" s="72"/>
      <c r="U3229" s="106"/>
      <c r="V3229" s="74">
        <f>Devis[[#This Row],[Prix de Revient]]*Devis[[#This Row],[Poste 1]]</f>
        <v>0</v>
      </c>
      <c r="W3229" s="74">
        <f>Devis[[#This Row],[Prix de Revient]]*Devis[[#This Row],[Poste 2]]</f>
        <v>0</v>
      </c>
      <c r="X3229" s="74">
        <f>Devis[[#This Row],[Prix de Revient]]*Devis[[#This Row],[Poste 3]]</f>
        <v>0</v>
      </c>
      <c r="Y3229" s="74">
        <f>Devis[[#This Row],[Poste 4]]*Devis[[#This Row],[Prix de Revient]]</f>
        <v>0</v>
      </c>
      <c r="Z3229" s="74">
        <f>Devis[[#This Row],[Poste 5]]*Devis[[#This Row],[Prix de Revient]]</f>
        <v>0</v>
      </c>
      <c r="AA3229" s="74">
        <f>Devis[[#This Row],[Prix de Revient]]*Devis[[#This Row],[Poste 6]]</f>
        <v>0</v>
      </c>
      <c r="AB3229" s="74">
        <f>Devis[[#This Row],[Quantité Totale]]*Devis[[#This Row],[Prix de Revient]]</f>
        <v>0</v>
      </c>
    </row>
    <row r="3230" spans="1:28" ht="14.25" outlineLevel="1" x14ac:dyDescent="0.2">
      <c r="A3230" s="75" t="s">
        <v>3558</v>
      </c>
      <c r="B3230" s="76" t="s">
        <v>3892</v>
      </c>
      <c r="C3230" s="76" t="s">
        <v>3773</v>
      </c>
      <c r="D3230" s="81" t="str">
        <f t="shared" si="58"/>
        <v>Régulation - MesureCapteurTempérature</v>
      </c>
      <c r="E3230" s="76" t="s">
        <v>3801</v>
      </c>
      <c r="F3230" s="81">
        <v>10</v>
      </c>
      <c r="G3230" s="86" t="s">
        <v>3800</v>
      </c>
      <c r="H3230" s="71" t="s">
        <v>3380</v>
      </c>
      <c r="I3230" s="75"/>
      <c r="J3230" s="70">
        <f>IFERROR(VLOOKUP(Devis[[#This Row],[Ref Air Flux]],#REF!,3,FALSE),0)</f>
        <v>0</v>
      </c>
      <c r="K3230" s="68"/>
      <c r="L3230" s="68"/>
      <c r="M3230" s="68"/>
      <c r="N3230" s="68"/>
      <c r="O3230" s="68"/>
      <c r="P3230" s="68"/>
      <c r="Q3230" s="68">
        <f>SUM(Devis[[#This Row],[Poste 1]:[Poste 6]])</f>
        <v>0</v>
      </c>
      <c r="R3230" s="71"/>
      <c r="S3230" s="68">
        <f>_xlfn.CEILING.MATH(Devis[[#This Row],[Quantité Totale]],Devis[[#This Row],[Conditionnement]])</f>
        <v>0</v>
      </c>
      <c r="T3230" s="72"/>
      <c r="U3230" s="106"/>
      <c r="V3230" s="74">
        <f>Devis[[#This Row],[Prix de Revient]]*Devis[[#This Row],[Poste 1]]</f>
        <v>0</v>
      </c>
      <c r="W3230" s="74">
        <f>Devis[[#This Row],[Prix de Revient]]*Devis[[#This Row],[Poste 2]]</f>
        <v>0</v>
      </c>
      <c r="X3230" s="74">
        <f>Devis[[#This Row],[Prix de Revient]]*Devis[[#This Row],[Poste 3]]</f>
        <v>0</v>
      </c>
      <c r="Y3230" s="74">
        <f>Devis[[#This Row],[Poste 4]]*Devis[[#This Row],[Prix de Revient]]</f>
        <v>0</v>
      </c>
      <c r="Z3230" s="74">
        <f>Devis[[#This Row],[Poste 5]]*Devis[[#This Row],[Prix de Revient]]</f>
        <v>0</v>
      </c>
      <c r="AA3230" s="74">
        <f>Devis[[#This Row],[Prix de Revient]]*Devis[[#This Row],[Poste 6]]</f>
        <v>0</v>
      </c>
      <c r="AB3230" s="74">
        <f>Devis[[#This Row],[Quantité Totale]]*Devis[[#This Row],[Prix de Revient]]</f>
        <v>0</v>
      </c>
    </row>
    <row r="3231" spans="1:28" ht="14.25" outlineLevel="1" x14ac:dyDescent="0.2">
      <c r="A3231" s="75" t="s">
        <v>3558</v>
      </c>
      <c r="B3231" s="76" t="s">
        <v>3892</v>
      </c>
      <c r="C3231" s="76" t="s">
        <v>3773</v>
      </c>
      <c r="D3231" s="81" t="str">
        <f>A3231&amp;B3231&amp;C3231</f>
        <v>Régulation - MesureCapteurTempérature</v>
      </c>
      <c r="E3231" s="76" t="s">
        <v>6514</v>
      </c>
      <c r="F3231" s="76">
        <v>11</v>
      </c>
      <c r="G3231" s="86" t="s">
        <v>6511</v>
      </c>
      <c r="H3231" s="71" t="s">
        <v>6512</v>
      </c>
      <c r="I3231" s="71" t="s">
        <v>6513</v>
      </c>
      <c r="J3231" s="70">
        <f>IFERROR(VLOOKUP(Devis[[#This Row],[Ref Air Flux]],#REF!,3,FALSE),0)</f>
        <v>0</v>
      </c>
      <c r="K3231" s="68"/>
      <c r="L3231" s="68"/>
      <c r="M3231" s="68"/>
      <c r="N3231" s="68"/>
      <c r="O3231" s="68"/>
      <c r="P3231" s="68"/>
      <c r="Q3231" s="68">
        <f>SUM(Devis[[#This Row],[Poste 1]:[Poste 6]])</f>
        <v>0</v>
      </c>
      <c r="R3231" s="71"/>
      <c r="S3231" s="68">
        <f>_xlfn.CEILING.MATH(Devis[[#This Row],[Quantité Totale]],Devis[[#This Row],[Conditionnement]])</f>
        <v>0</v>
      </c>
      <c r="T3231" s="72"/>
      <c r="U3231" s="106"/>
      <c r="V3231" s="74">
        <f>Devis[[#This Row],[Prix de Revient]]*Devis[[#This Row],[Poste 1]]</f>
        <v>0</v>
      </c>
      <c r="W3231" s="74">
        <f>Devis[[#This Row],[Prix de Revient]]*Devis[[#This Row],[Poste 2]]</f>
        <v>0</v>
      </c>
      <c r="X3231" s="74">
        <f>Devis[[#This Row],[Prix de Revient]]*Devis[[#This Row],[Poste 3]]</f>
        <v>0</v>
      </c>
      <c r="Y3231" s="74">
        <f>Devis[[#This Row],[Poste 4]]*Devis[[#This Row],[Prix de Revient]]</f>
        <v>0</v>
      </c>
      <c r="Z3231" s="74">
        <f>Devis[[#This Row],[Poste 5]]*Devis[[#This Row],[Prix de Revient]]</f>
        <v>0</v>
      </c>
      <c r="AA3231" s="74">
        <f>Devis[[#This Row],[Prix de Revient]]*Devis[[#This Row],[Poste 6]]</f>
        <v>0</v>
      </c>
      <c r="AB3231" s="74">
        <f>Devis[[#This Row],[Quantité Totale]]*Devis[[#This Row],[Prix de Revient]]</f>
        <v>0</v>
      </c>
    </row>
    <row r="3232" spans="1:28" ht="14.25" outlineLevel="1" x14ac:dyDescent="0.2">
      <c r="A3232" s="75" t="s">
        <v>3558</v>
      </c>
      <c r="B3232" s="76" t="s">
        <v>3892</v>
      </c>
      <c r="C3232" s="76" t="s">
        <v>3882</v>
      </c>
      <c r="D3232" s="81" t="str">
        <f t="shared" si="58"/>
        <v>Régulation - MesureCapteurCapteur capacitif</v>
      </c>
      <c r="E3232" s="76" t="s">
        <v>3884</v>
      </c>
      <c r="F3232" s="81">
        <v>12</v>
      </c>
      <c r="G3232" s="86" t="s">
        <v>3883</v>
      </c>
      <c r="H3232" s="71" t="s">
        <v>3885</v>
      </c>
      <c r="I3232" s="75" t="s">
        <v>3883</v>
      </c>
      <c r="J3232" s="70">
        <f>IFERROR(VLOOKUP(Devis[[#This Row],[Ref Air Flux]],#REF!,3,FALSE),0)</f>
        <v>0</v>
      </c>
      <c r="K3232" s="68"/>
      <c r="L3232" s="68"/>
      <c r="M3232" s="68"/>
      <c r="N3232" s="68"/>
      <c r="O3232" s="68"/>
      <c r="P3232" s="68"/>
      <c r="Q3232" s="68">
        <f>SUM(Devis[[#This Row],[Poste 1]:[Poste 6]])</f>
        <v>0</v>
      </c>
      <c r="R3232" s="71"/>
      <c r="S3232" s="68">
        <f>_xlfn.CEILING.MATH(Devis[[#This Row],[Quantité Totale]],Devis[[#This Row],[Conditionnement]])</f>
        <v>0</v>
      </c>
      <c r="T3232" s="72"/>
      <c r="U3232" s="73"/>
      <c r="V3232" s="74">
        <f>Devis[[#This Row],[Prix de Revient]]*Devis[[#This Row],[Poste 1]]</f>
        <v>0</v>
      </c>
      <c r="W3232" s="74">
        <f>Devis[[#This Row],[Prix de Revient]]*Devis[[#This Row],[Poste 2]]</f>
        <v>0</v>
      </c>
      <c r="X3232" s="74">
        <f>Devis[[#This Row],[Prix de Revient]]*Devis[[#This Row],[Poste 3]]</f>
        <v>0</v>
      </c>
      <c r="Y3232" s="74">
        <f>Devis[[#This Row],[Poste 4]]*Devis[[#This Row],[Prix de Revient]]</f>
        <v>0</v>
      </c>
      <c r="Z3232" s="74">
        <f>Devis[[#This Row],[Poste 5]]*Devis[[#This Row],[Prix de Revient]]</f>
        <v>0</v>
      </c>
      <c r="AA3232" s="74">
        <f>Devis[[#This Row],[Prix de Revient]]*Devis[[#This Row],[Poste 6]]</f>
        <v>0</v>
      </c>
      <c r="AB3232" s="74">
        <f>Devis[[#This Row],[Quantité Totale]]*Devis[[#This Row],[Prix de Revient]]</f>
        <v>0</v>
      </c>
    </row>
    <row r="3233" spans="1:28" ht="14.25" customHeight="1" outlineLevel="1" x14ac:dyDescent="0.2">
      <c r="A3233" s="75" t="s">
        <v>3558</v>
      </c>
      <c r="B3233" s="76" t="s">
        <v>3892</v>
      </c>
      <c r="C3233" s="76" t="s">
        <v>4081</v>
      </c>
      <c r="D3233" s="76" t="s">
        <v>5898</v>
      </c>
      <c r="E3233" s="76" t="s">
        <v>5899</v>
      </c>
      <c r="F3233" s="81">
        <v>13</v>
      </c>
      <c r="G3233" s="71" t="s">
        <v>5629</v>
      </c>
      <c r="H3233" s="71" t="s">
        <v>34</v>
      </c>
      <c r="I3233" s="71" t="s">
        <v>3284</v>
      </c>
      <c r="J3233" s="70">
        <f>IFERROR(VLOOKUP(Devis[[#This Row],[Ref Air Flux]],#REF!,3,FALSE),0)</f>
        <v>0</v>
      </c>
      <c r="K3233" s="68"/>
      <c r="L3233" s="68"/>
      <c r="M3233" s="68"/>
      <c r="N3233" s="68"/>
      <c r="O3233" s="68"/>
      <c r="P3233" s="68"/>
      <c r="Q3233" s="68">
        <f>SUM(Devis[[#This Row],[Poste 1]:[Poste 6]])</f>
        <v>0</v>
      </c>
      <c r="R3233" s="71"/>
      <c r="S3233" s="68">
        <f>_xlfn.CEILING.MATH(Devis[[#This Row],[Quantité Totale]],Devis[[#This Row],[Conditionnement]])</f>
        <v>0</v>
      </c>
      <c r="T3233" s="72"/>
      <c r="U3233" s="73"/>
      <c r="V3233" s="74">
        <f>Devis[[#This Row],[Prix de Revient]]*Devis[[#This Row],[Poste 1]]</f>
        <v>0</v>
      </c>
      <c r="W3233" s="74">
        <f>Devis[[#This Row],[Prix de Revient]]*Devis[[#This Row],[Poste 2]]</f>
        <v>0</v>
      </c>
      <c r="X3233" s="74">
        <f>Devis[[#This Row],[Prix de Revient]]*Devis[[#This Row],[Poste 3]]</f>
        <v>0</v>
      </c>
      <c r="Y3233" s="74">
        <f>Devis[[#This Row],[Poste 4]]*Devis[[#This Row],[Prix de Revient]]</f>
        <v>0</v>
      </c>
      <c r="Z3233" s="74">
        <f>Devis[[#This Row],[Poste 5]]*Devis[[#This Row],[Prix de Revient]]</f>
        <v>0</v>
      </c>
      <c r="AA3233" s="74">
        <f>Devis[[#This Row],[Prix de Revient]]*Devis[[#This Row],[Poste 6]]</f>
        <v>0</v>
      </c>
      <c r="AB3233" s="74">
        <f>Devis[[#This Row],[Quantité Totale]]*Devis[[#This Row],[Prix de Revient]]</f>
        <v>0</v>
      </c>
    </row>
    <row r="3234" spans="1:28" ht="14.25" outlineLevel="1" x14ac:dyDescent="0.2">
      <c r="A3234" s="75" t="s">
        <v>3558</v>
      </c>
      <c r="B3234" s="76" t="s">
        <v>3892</v>
      </c>
      <c r="C3234" s="76" t="s">
        <v>4081</v>
      </c>
      <c r="D3234" s="76" t="s">
        <v>5898</v>
      </c>
      <c r="E3234" s="76" t="s">
        <v>5931</v>
      </c>
      <c r="F3234" s="81">
        <v>14</v>
      </c>
      <c r="G3234" s="71" t="s">
        <v>5630</v>
      </c>
      <c r="H3234" s="71" t="s">
        <v>34</v>
      </c>
      <c r="I3234" s="71" t="s">
        <v>3286</v>
      </c>
      <c r="J3234" s="70">
        <f>IFERROR(VLOOKUP(Devis[[#This Row],[Ref Air Flux]],#REF!,3,FALSE),0)</f>
        <v>0</v>
      </c>
      <c r="K3234" s="68"/>
      <c r="L3234" s="68"/>
      <c r="M3234" s="68"/>
      <c r="N3234" s="68"/>
      <c r="O3234" s="68"/>
      <c r="P3234" s="68"/>
      <c r="Q3234" s="68">
        <f>SUM(Devis[[#This Row],[Poste 1]:[Poste 6]])</f>
        <v>0</v>
      </c>
      <c r="R3234" s="71"/>
      <c r="S3234" s="68">
        <f>_xlfn.CEILING.MATH(Devis[[#This Row],[Quantité Totale]],Devis[[#This Row],[Conditionnement]])</f>
        <v>0</v>
      </c>
      <c r="T3234" s="72"/>
      <c r="U3234" s="73"/>
      <c r="V3234" s="74">
        <f>Devis[[#This Row],[Prix de Revient]]*Devis[[#This Row],[Poste 1]]</f>
        <v>0</v>
      </c>
      <c r="W3234" s="74">
        <f>Devis[[#This Row],[Prix de Revient]]*Devis[[#This Row],[Poste 2]]</f>
        <v>0</v>
      </c>
      <c r="X3234" s="74">
        <f>Devis[[#This Row],[Prix de Revient]]*Devis[[#This Row],[Poste 3]]</f>
        <v>0</v>
      </c>
      <c r="Y3234" s="74">
        <f>Devis[[#This Row],[Poste 4]]*Devis[[#This Row],[Prix de Revient]]</f>
        <v>0</v>
      </c>
      <c r="Z3234" s="74">
        <f>Devis[[#This Row],[Poste 5]]*Devis[[#This Row],[Prix de Revient]]</f>
        <v>0</v>
      </c>
      <c r="AA3234" s="74">
        <f>Devis[[#This Row],[Prix de Revient]]*Devis[[#This Row],[Poste 6]]</f>
        <v>0</v>
      </c>
      <c r="AB3234" s="74">
        <f>Devis[[#This Row],[Quantité Totale]]*Devis[[#This Row],[Prix de Revient]]</f>
        <v>0</v>
      </c>
    </row>
    <row r="3235" spans="1:28" ht="14.25" outlineLevel="1" x14ac:dyDescent="0.2">
      <c r="A3235" s="75" t="s">
        <v>3558</v>
      </c>
      <c r="B3235" s="76" t="s">
        <v>3892</v>
      </c>
      <c r="C3235" s="76" t="s">
        <v>4081</v>
      </c>
      <c r="D3235" s="76" t="s">
        <v>5900</v>
      </c>
      <c r="E3235" s="76" t="s">
        <v>5901</v>
      </c>
      <c r="F3235" s="81">
        <v>15</v>
      </c>
      <c r="G3235" s="71" t="s">
        <v>5631</v>
      </c>
      <c r="H3235" s="71" t="s">
        <v>34</v>
      </c>
      <c r="I3235" s="71" t="s">
        <v>3284</v>
      </c>
      <c r="J3235" s="70">
        <f>IFERROR(VLOOKUP(Devis[[#This Row],[Ref Air Flux]],#REF!,3,FALSE),0)</f>
        <v>0</v>
      </c>
      <c r="K3235" s="68"/>
      <c r="L3235" s="68"/>
      <c r="M3235" s="68"/>
      <c r="N3235" s="68"/>
      <c r="O3235" s="68"/>
      <c r="P3235" s="68"/>
      <c r="Q3235" s="68">
        <f>SUM(Devis[[#This Row],[Poste 1]:[Poste 6]])</f>
        <v>0</v>
      </c>
      <c r="R3235" s="71"/>
      <c r="S3235" s="68">
        <f>_xlfn.CEILING.MATH(Devis[[#This Row],[Quantité Totale]],Devis[[#This Row],[Conditionnement]])</f>
        <v>0</v>
      </c>
      <c r="T3235" s="72"/>
      <c r="U3235" s="73"/>
      <c r="V3235" s="74">
        <f>Devis[[#This Row],[Prix de Revient]]*Devis[[#This Row],[Poste 1]]</f>
        <v>0</v>
      </c>
      <c r="W3235" s="74">
        <f>Devis[[#This Row],[Prix de Revient]]*Devis[[#This Row],[Poste 2]]</f>
        <v>0</v>
      </c>
      <c r="X3235" s="74">
        <f>Devis[[#This Row],[Prix de Revient]]*Devis[[#This Row],[Poste 3]]</f>
        <v>0</v>
      </c>
      <c r="Y3235" s="74">
        <f>Devis[[#This Row],[Poste 4]]*Devis[[#This Row],[Prix de Revient]]</f>
        <v>0</v>
      </c>
      <c r="Z3235" s="74">
        <f>Devis[[#This Row],[Poste 5]]*Devis[[#This Row],[Prix de Revient]]</f>
        <v>0</v>
      </c>
      <c r="AA3235" s="74">
        <f>Devis[[#This Row],[Prix de Revient]]*Devis[[#This Row],[Poste 6]]</f>
        <v>0</v>
      </c>
      <c r="AB3235" s="74">
        <f>Devis[[#This Row],[Quantité Totale]]*Devis[[#This Row],[Prix de Revient]]</f>
        <v>0</v>
      </c>
    </row>
    <row r="3236" spans="1:28" ht="14.25" customHeight="1" x14ac:dyDescent="0.25">
      <c r="A3236" s="65" t="s">
        <v>3558</v>
      </c>
      <c r="B3236" s="65" t="s">
        <v>3630</v>
      </c>
      <c r="C3236" s="113"/>
      <c r="D3236" s="81" t="str">
        <f t="shared" ref="D3236:D3267" si="59">A3236&amp;B3236&amp;C3236</f>
        <v>Régulation - MesureDébit mètre</v>
      </c>
      <c r="E3236" s="76"/>
      <c r="F3236" s="81">
        <v>0</v>
      </c>
      <c r="G3236" s="86"/>
      <c r="H3236" s="71"/>
      <c r="I3236" s="75"/>
      <c r="J3236" s="70">
        <f>IFERROR(VLOOKUP(Devis[[#This Row],[Ref Air Flux]],#REF!,3,FALSE),0)</f>
        <v>0</v>
      </c>
      <c r="K3236" s="68"/>
      <c r="L3236" s="68"/>
      <c r="M3236" s="68"/>
      <c r="N3236" s="68"/>
      <c r="O3236" s="68"/>
      <c r="P3236" s="68"/>
      <c r="Q3236" s="68">
        <f>SUM(Devis[[#This Row],[Poste 1]:[Poste 6]])</f>
        <v>0</v>
      </c>
      <c r="R3236" s="71"/>
      <c r="S3236" s="68">
        <f>_xlfn.CEILING.MATH(Devis[[#This Row],[Quantité Totale]],Devis[[#This Row],[Conditionnement]])</f>
        <v>0</v>
      </c>
      <c r="T3236" s="72"/>
      <c r="U3236" s="106"/>
      <c r="V3236" s="74">
        <f>Devis[[#This Row],[Prix de Revient]]*Devis[[#This Row],[Poste 1]]</f>
        <v>0</v>
      </c>
      <c r="W3236" s="74">
        <f>Devis[[#This Row],[Prix de Revient]]*Devis[[#This Row],[Poste 2]]</f>
        <v>0</v>
      </c>
      <c r="X3236" s="74">
        <f>Devis[[#This Row],[Prix de Revient]]*Devis[[#This Row],[Poste 3]]</f>
        <v>0</v>
      </c>
      <c r="Y3236" s="74">
        <f>Devis[[#This Row],[Poste 4]]*Devis[[#This Row],[Prix de Revient]]</f>
        <v>0</v>
      </c>
      <c r="Z3236" s="74">
        <f>Devis[[#This Row],[Poste 5]]*Devis[[#This Row],[Prix de Revient]]</f>
        <v>0</v>
      </c>
      <c r="AA3236" s="74">
        <f>Devis[[#This Row],[Prix de Revient]]*Devis[[#This Row],[Poste 6]]</f>
        <v>0</v>
      </c>
      <c r="AB3236" s="74">
        <f>Devis[[#This Row],[Quantité Totale]]*Devis[[#This Row],[Prix de Revient]]</f>
        <v>0</v>
      </c>
    </row>
    <row r="3237" spans="1:28" ht="14.25" customHeight="1" outlineLevel="1" x14ac:dyDescent="0.2">
      <c r="A3237" s="75" t="s">
        <v>3558</v>
      </c>
      <c r="B3237" s="76" t="s">
        <v>3630</v>
      </c>
      <c r="C3237" s="76" t="s">
        <v>3631</v>
      </c>
      <c r="D3237" s="81" t="str">
        <f t="shared" si="59"/>
        <v>Régulation - MesureDébit mètreAPICO</v>
      </c>
      <c r="E3237" s="76" t="s">
        <v>3632</v>
      </c>
      <c r="F3237" s="81">
        <v>1</v>
      </c>
      <c r="G3237" s="86" t="s">
        <v>3633</v>
      </c>
      <c r="H3237" s="71" t="s">
        <v>3634</v>
      </c>
      <c r="I3237" s="75" t="s">
        <v>3633</v>
      </c>
      <c r="J3237" s="70">
        <f>IFERROR(VLOOKUP(Devis[[#This Row],[Ref Air Flux]],#REF!,3,FALSE),0)</f>
        <v>0</v>
      </c>
      <c r="K3237" s="68"/>
      <c r="L3237" s="68"/>
      <c r="M3237" s="68"/>
      <c r="N3237" s="68"/>
      <c r="O3237" s="68"/>
      <c r="P3237" s="68"/>
      <c r="Q3237" s="68">
        <f>SUM(Devis[[#This Row],[Poste 1]:[Poste 6]])</f>
        <v>0</v>
      </c>
      <c r="R3237" s="71"/>
      <c r="S3237" s="68">
        <f>_xlfn.CEILING.MATH(Devis[[#This Row],[Quantité Totale]],Devis[[#This Row],[Conditionnement]])</f>
        <v>0</v>
      </c>
      <c r="T3237" s="72"/>
      <c r="U3237" s="106"/>
      <c r="V3237" s="74">
        <f>Devis[[#This Row],[Prix de Revient]]*Devis[[#This Row],[Poste 1]]</f>
        <v>0</v>
      </c>
      <c r="W3237" s="74">
        <f>Devis[[#This Row],[Prix de Revient]]*Devis[[#This Row],[Poste 2]]</f>
        <v>0</v>
      </c>
      <c r="X3237" s="74">
        <f>Devis[[#This Row],[Prix de Revient]]*Devis[[#This Row],[Poste 3]]</f>
        <v>0</v>
      </c>
      <c r="Y3237" s="74">
        <f>Devis[[#This Row],[Poste 4]]*Devis[[#This Row],[Prix de Revient]]</f>
        <v>0</v>
      </c>
      <c r="Z3237" s="74">
        <f>Devis[[#This Row],[Poste 5]]*Devis[[#This Row],[Prix de Revient]]</f>
        <v>0</v>
      </c>
      <c r="AA3237" s="74">
        <f>Devis[[#This Row],[Prix de Revient]]*Devis[[#This Row],[Poste 6]]</f>
        <v>0</v>
      </c>
      <c r="AB3237" s="74">
        <f>Devis[[#This Row],[Quantité Totale]]*Devis[[#This Row],[Prix de Revient]]</f>
        <v>0</v>
      </c>
    </row>
    <row r="3238" spans="1:28" ht="14.25" outlineLevel="1" x14ac:dyDescent="0.2">
      <c r="A3238" s="75" t="s">
        <v>3558</v>
      </c>
      <c r="B3238" s="76" t="s">
        <v>3630</v>
      </c>
      <c r="C3238" s="76" t="s">
        <v>3631</v>
      </c>
      <c r="D3238" s="81" t="str">
        <f t="shared" si="59"/>
        <v>Régulation - MesureDébit mètreAPICO</v>
      </c>
      <c r="E3238" s="76" t="s">
        <v>3636</v>
      </c>
      <c r="F3238" s="81">
        <v>2</v>
      </c>
      <c r="G3238" s="86" t="s">
        <v>3635</v>
      </c>
      <c r="H3238" s="71" t="s">
        <v>3634</v>
      </c>
      <c r="I3238" s="75" t="s">
        <v>3635</v>
      </c>
      <c r="J3238" s="70">
        <f>IFERROR(VLOOKUP(Devis[[#This Row],[Ref Air Flux]],#REF!,3,FALSE),0)</f>
        <v>0</v>
      </c>
      <c r="K3238" s="68"/>
      <c r="L3238" s="68"/>
      <c r="M3238" s="68"/>
      <c r="N3238" s="68"/>
      <c r="O3238" s="68"/>
      <c r="P3238" s="68"/>
      <c r="Q3238" s="68">
        <f>SUM(Devis[[#This Row],[Poste 1]:[Poste 6]])</f>
        <v>0</v>
      </c>
      <c r="R3238" s="71"/>
      <c r="S3238" s="68">
        <f>_xlfn.CEILING.MATH(Devis[[#This Row],[Quantité Totale]],Devis[[#This Row],[Conditionnement]])</f>
        <v>0</v>
      </c>
      <c r="T3238" s="72"/>
      <c r="U3238" s="106"/>
      <c r="V3238" s="74">
        <f>Devis[[#This Row],[Prix de Revient]]*Devis[[#This Row],[Poste 1]]</f>
        <v>0</v>
      </c>
      <c r="W3238" s="74">
        <f>Devis[[#This Row],[Prix de Revient]]*Devis[[#This Row],[Poste 2]]</f>
        <v>0</v>
      </c>
      <c r="X3238" s="74">
        <f>Devis[[#This Row],[Prix de Revient]]*Devis[[#This Row],[Poste 3]]</f>
        <v>0</v>
      </c>
      <c r="Y3238" s="74">
        <f>Devis[[#This Row],[Poste 4]]*Devis[[#This Row],[Prix de Revient]]</f>
        <v>0</v>
      </c>
      <c r="Z3238" s="74">
        <f>Devis[[#This Row],[Poste 5]]*Devis[[#This Row],[Prix de Revient]]</f>
        <v>0</v>
      </c>
      <c r="AA3238" s="74">
        <f>Devis[[#This Row],[Prix de Revient]]*Devis[[#This Row],[Poste 6]]</f>
        <v>0</v>
      </c>
      <c r="AB3238" s="74">
        <f>Devis[[#This Row],[Quantité Totale]]*Devis[[#This Row],[Prix de Revient]]</f>
        <v>0</v>
      </c>
    </row>
    <row r="3239" spans="1:28" ht="14.25" outlineLevel="1" x14ac:dyDescent="0.2">
      <c r="A3239" s="75" t="s">
        <v>3558</v>
      </c>
      <c r="B3239" s="76" t="s">
        <v>3630</v>
      </c>
      <c r="C3239" s="76" t="s">
        <v>3631</v>
      </c>
      <c r="D3239" s="81" t="str">
        <f t="shared" si="59"/>
        <v>Régulation - MesureDébit mètreAPICO</v>
      </c>
      <c r="E3239" s="76" t="s">
        <v>3638</v>
      </c>
      <c r="F3239" s="81">
        <v>3</v>
      </c>
      <c r="G3239" s="86" t="s">
        <v>3637</v>
      </c>
      <c r="H3239" s="71" t="s">
        <v>3634</v>
      </c>
      <c r="I3239" s="75" t="s">
        <v>3637</v>
      </c>
      <c r="J3239" s="70">
        <f>IFERROR(VLOOKUP(Devis[[#This Row],[Ref Air Flux]],#REF!,3,FALSE),0)</f>
        <v>0</v>
      </c>
      <c r="K3239" s="68"/>
      <c r="L3239" s="68"/>
      <c r="M3239" s="68"/>
      <c r="N3239" s="68"/>
      <c r="O3239" s="68"/>
      <c r="P3239" s="68"/>
      <c r="Q3239" s="68">
        <f>SUM(Devis[[#This Row],[Poste 1]:[Poste 6]])</f>
        <v>0</v>
      </c>
      <c r="R3239" s="71"/>
      <c r="S3239" s="68">
        <f>_xlfn.CEILING.MATH(Devis[[#This Row],[Quantité Totale]],Devis[[#This Row],[Conditionnement]])</f>
        <v>0</v>
      </c>
      <c r="T3239" s="72"/>
      <c r="U3239" s="106"/>
      <c r="V3239" s="74">
        <f>Devis[[#This Row],[Prix de Revient]]*Devis[[#This Row],[Poste 1]]</f>
        <v>0</v>
      </c>
      <c r="W3239" s="74">
        <f>Devis[[#This Row],[Prix de Revient]]*Devis[[#This Row],[Poste 2]]</f>
        <v>0</v>
      </c>
      <c r="X3239" s="74">
        <f>Devis[[#This Row],[Prix de Revient]]*Devis[[#This Row],[Poste 3]]</f>
        <v>0</v>
      </c>
      <c r="Y3239" s="74">
        <f>Devis[[#This Row],[Poste 4]]*Devis[[#This Row],[Prix de Revient]]</f>
        <v>0</v>
      </c>
      <c r="Z3239" s="74">
        <f>Devis[[#This Row],[Poste 5]]*Devis[[#This Row],[Prix de Revient]]</f>
        <v>0</v>
      </c>
      <c r="AA3239" s="74">
        <f>Devis[[#This Row],[Prix de Revient]]*Devis[[#This Row],[Poste 6]]</f>
        <v>0</v>
      </c>
      <c r="AB3239" s="74">
        <f>Devis[[#This Row],[Quantité Totale]]*Devis[[#This Row],[Prix de Revient]]</f>
        <v>0</v>
      </c>
    </row>
    <row r="3240" spans="1:28" ht="14.25" outlineLevel="1" x14ac:dyDescent="0.2">
      <c r="A3240" s="75" t="s">
        <v>3558</v>
      </c>
      <c r="B3240" s="76" t="s">
        <v>3630</v>
      </c>
      <c r="C3240" s="76" t="s">
        <v>3631</v>
      </c>
      <c r="D3240" s="81" t="str">
        <f t="shared" si="59"/>
        <v>Régulation - MesureDébit mètreAPICO</v>
      </c>
      <c r="E3240" s="76" t="s">
        <v>3640</v>
      </c>
      <c r="F3240" s="81">
        <v>4</v>
      </c>
      <c r="G3240" s="86" t="s">
        <v>3639</v>
      </c>
      <c r="H3240" s="71" t="s">
        <v>3634</v>
      </c>
      <c r="I3240" s="75" t="s">
        <v>3639</v>
      </c>
      <c r="J3240" s="70">
        <f>IFERROR(VLOOKUP(Devis[[#This Row],[Ref Air Flux]],#REF!,3,FALSE),0)</f>
        <v>0</v>
      </c>
      <c r="K3240" s="68"/>
      <c r="L3240" s="68"/>
      <c r="M3240" s="68"/>
      <c r="N3240" s="68"/>
      <c r="O3240" s="68"/>
      <c r="P3240" s="68"/>
      <c r="Q3240" s="68">
        <f>SUM(Devis[[#This Row],[Poste 1]:[Poste 6]])</f>
        <v>0</v>
      </c>
      <c r="R3240" s="71"/>
      <c r="S3240" s="68">
        <f>_xlfn.CEILING.MATH(Devis[[#This Row],[Quantité Totale]],Devis[[#This Row],[Conditionnement]])</f>
        <v>0</v>
      </c>
      <c r="T3240" s="72"/>
      <c r="U3240" s="106"/>
      <c r="V3240" s="74">
        <f>Devis[[#This Row],[Prix de Revient]]*Devis[[#This Row],[Poste 1]]</f>
        <v>0</v>
      </c>
      <c r="W3240" s="74">
        <f>Devis[[#This Row],[Prix de Revient]]*Devis[[#This Row],[Poste 2]]</f>
        <v>0</v>
      </c>
      <c r="X3240" s="74">
        <f>Devis[[#This Row],[Prix de Revient]]*Devis[[#This Row],[Poste 3]]</f>
        <v>0</v>
      </c>
      <c r="Y3240" s="74">
        <f>Devis[[#This Row],[Poste 4]]*Devis[[#This Row],[Prix de Revient]]</f>
        <v>0</v>
      </c>
      <c r="Z3240" s="74">
        <f>Devis[[#This Row],[Poste 5]]*Devis[[#This Row],[Prix de Revient]]</f>
        <v>0</v>
      </c>
      <c r="AA3240" s="74">
        <f>Devis[[#This Row],[Prix de Revient]]*Devis[[#This Row],[Poste 6]]</f>
        <v>0</v>
      </c>
      <c r="AB3240" s="74">
        <f>Devis[[#This Row],[Quantité Totale]]*Devis[[#This Row],[Prix de Revient]]</f>
        <v>0</v>
      </c>
    </row>
    <row r="3241" spans="1:28" ht="14.25" outlineLevel="1" x14ac:dyDescent="0.2">
      <c r="A3241" s="75" t="s">
        <v>3558</v>
      </c>
      <c r="B3241" s="76" t="s">
        <v>3630</v>
      </c>
      <c r="C3241" s="76" t="s">
        <v>3631</v>
      </c>
      <c r="D3241" s="81" t="str">
        <f t="shared" si="59"/>
        <v>Régulation - MesureDébit mètreAPICO</v>
      </c>
      <c r="E3241" s="76" t="s">
        <v>3644</v>
      </c>
      <c r="F3241" s="81">
        <v>5</v>
      </c>
      <c r="G3241" s="86" t="s">
        <v>3643</v>
      </c>
      <c r="H3241" s="71" t="s">
        <v>3634</v>
      </c>
      <c r="I3241" s="75" t="s">
        <v>3645</v>
      </c>
      <c r="J3241" s="70">
        <f>IFERROR(VLOOKUP(Devis[[#This Row],[Ref Air Flux]],#REF!,3,FALSE),0)</f>
        <v>0</v>
      </c>
      <c r="K3241" s="68"/>
      <c r="L3241" s="68"/>
      <c r="M3241" s="68"/>
      <c r="N3241" s="68"/>
      <c r="O3241" s="68"/>
      <c r="P3241" s="68"/>
      <c r="Q3241" s="68">
        <f>SUM(Devis[[#This Row],[Poste 1]:[Poste 6]])</f>
        <v>0</v>
      </c>
      <c r="R3241" s="71"/>
      <c r="S3241" s="68">
        <f>_xlfn.CEILING.MATH(Devis[[#This Row],[Quantité Totale]],Devis[[#This Row],[Conditionnement]])</f>
        <v>0</v>
      </c>
      <c r="T3241" s="72"/>
      <c r="U3241" s="106"/>
      <c r="V3241" s="74">
        <f>Devis[[#This Row],[Prix de Revient]]*Devis[[#This Row],[Poste 1]]</f>
        <v>0</v>
      </c>
      <c r="W3241" s="74">
        <f>Devis[[#This Row],[Prix de Revient]]*Devis[[#This Row],[Poste 2]]</f>
        <v>0</v>
      </c>
      <c r="X3241" s="74">
        <f>Devis[[#This Row],[Prix de Revient]]*Devis[[#This Row],[Poste 3]]</f>
        <v>0</v>
      </c>
      <c r="Y3241" s="74">
        <f>Devis[[#This Row],[Poste 4]]*Devis[[#This Row],[Prix de Revient]]</f>
        <v>0</v>
      </c>
      <c r="Z3241" s="74">
        <f>Devis[[#This Row],[Poste 5]]*Devis[[#This Row],[Prix de Revient]]</f>
        <v>0</v>
      </c>
      <c r="AA3241" s="74">
        <f>Devis[[#This Row],[Prix de Revient]]*Devis[[#This Row],[Poste 6]]</f>
        <v>0</v>
      </c>
      <c r="AB3241" s="74">
        <f>Devis[[#This Row],[Quantité Totale]]*Devis[[#This Row],[Prix de Revient]]</f>
        <v>0</v>
      </c>
    </row>
    <row r="3242" spans="1:28" ht="14.25" outlineLevel="1" x14ac:dyDescent="0.2">
      <c r="A3242" s="75" t="s">
        <v>3558</v>
      </c>
      <c r="B3242" s="76" t="s">
        <v>3630</v>
      </c>
      <c r="C3242" s="76" t="s">
        <v>3631</v>
      </c>
      <c r="D3242" s="81" t="str">
        <f t="shared" si="59"/>
        <v>Régulation - MesureDébit mètreAPICO</v>
      </c>
      <c r="E3242" s="76" t="s">
        <v>3641</v>
      </c>
      <c r="F3242" s="81">
        <v>6</v>
      </c>
      <c r="G3242" s="86" t="s">
        <v>3642</v>
      </c>
      <c r="H3242" s="71" t="s">
        <v>3634</v>
      </c>
      <c r="I3242" s="75" t="s">
        <v>3642</v>
      </c>
      <c r="J3242" s="70">
        <f>IFERROR(VLOOKUP(Devis[[#This Row],[Ref Air Flux]],#REF!,3,FALSE),0)</f>
        <v>0</v>
      </c>
      <c r="K3242" s="68"/>
      <c r="L3242" s="68"/>
      <c r="M3242" s="68"/>
      <c r="N3242" s="68"/>
      <c r="O3242" s="68"/>
      <c r="P3242" s="68"/>
      <c r="Q3242" s="68">
        <f>SUM(Devis[[#This Row],[Poste 1]:[Poste 6]])</f>
        <v>0</v>
      </c>
      <c r="R3242" s="71"/>
      <c r="S3242" s="68">
        <f>_xlfn.CEILING.MATH(Devis[[#This Row],[Quantité Totale]],Devis[[#This Row],[Conditionnement]])</f>
        <v>0</v>
      </c>
      <c r="T3242" s="72"/>
      <c r="U3242" s="106"/>
      <c r="V3242" s="74">
        <f>Devis[[#This Row],[Prix de Revient]]*Devis[[#This Row],[Poste 1]]</f>
        <v>0</v>
      </c>
      <c r="W3242" s="74">
        <f>Devis[[#This Row],[Prix de Revient]]*Devis[[#This Row],[Poste 2]]</f>
        <v>0</v>
      </c>
      <c r="X3242" s="74">
        <f>Devis[[#This Row],[Prix de Revient]]*Devis[[#This Row],[Poste 3]]</f>
        <v>0</v>
      </c>
      <c r="Y3242" s="74">
        <f>Devis[[#This Row],[Poste 4]]*Devis[[#This Row],[Prix de Revient]]</f>
        <v>0</v>
      </c>
      <c r="Z3242" s="74">
        <f>Devis[[#This Row],[Poste 5]]*Devis[[#This Row],[Prix de Revient]]</f>
        <v>0</v>
      </c>
      <c r="AA3242" s="74">
        <f>Devis[[#This Row],[Prix de Revient]]*Devis[[#This Row],[Poste 6]]</f>
        <v>0</v>
      </c>
      <c r="AB3242" s="74">
        <f>Devis[[#This Row],[Quantité Totale]]*Devis[[#This Row],[Prix de Revient]]</f>
        <v>0</v>
      </c>
    </row>
    <row r="3243" spans="1:28" ht="14.25" outlineLevel="1" x14ac:dyDescent="0.2">
      <c r="A3243" s="75" t="s">
        <v>3558</v>
      </c>
      <c r="B3243" s="76" t="s">
        <v>3630</v>
      </c>
      <c r="C3243" s="76" t="s">
        <v>3631</v>
      </c>
      <c r="D3243" s="81" t="str">
        <f t="shared" si="59"/>
        <v>Régulation - MesureDébit mètreAPICO</v>
      </c>
      <c r="E3243" s="76" t="s">
        <v>3647</v>
      </c>
      <c r="F3243" s="81">
        <v>7</v>
      </c>
      <c r="G3243" s="86" t="s">
        <v>3646</v>
      </c>
      <c r="H3243" s="71" t="s">
        <v>3634</v>
      </c>
      <c r="I3243" s="75" t="s">
        <v>3646</v>
      </c>
      <c r="J3243" s="70">
        <f>IFERROR(VLOOKUP(Devis[[#This Row],[Ref Air Flux]],#REF!,3,FALSE),0)</f>
        <v>0</v>
      </c>
      <c r="K3243" s="68"/>
      <c r="L3243" s="68"/>
      <c r="M3243" s="68"/>
      <c r="N3243" s="68"/>
      <c r="O3243" s="68"/>
      <c r="P3243" s="68"/>
      <c r="Q3243" s="68">
        <f>SUM(Devis[[#This Row],[Poste 1]:[Poste 6]])</f>
        <v>0</v>
      </c>
      <c r="R3243" s="71"/>
      <c r="S3243" s="68">
        <f>_xlfn.CEILING.MATH(Devis[[#This Row],[Quantité Totale]],Devis[[#This Row],[Conditionnement]])</f>
        <v>0</v>
      </c>
      <c r="T3243" s="72"/>
      <c r="U3243" s="106"/>
      <c r="V3243" s="74">
        <f>Devis[[#This Row],[Prix de Revient]]*Devis[[#This Row],[Poste 1]]</f>
        <v>0</v>
      </c>
      <c r="W3243" s="74">
        <f>Devis[[#This Row],[Prix de Revient]]*Devis[[#This Row],[Poste 2]]</f>
        <v>0</v>
      </c>
      <c r="X3243" s="74">
        <f>Devis[[#This Row],[Prix de Revient]]*Devis[[#This Row],[Poste 3]]</f>
        <v>0</v>
      </c>
      <c r="Y3243" s="74">
        <f>Devis[[#This Row],[Poste 4]]*Devis[[#This Row],[Prix de Revient]]</f>
        <v>0</v>
      </c>
      <c r="Z3243" s="74">
        <f>Devis[[#This Row],[Poste 5]]*Devis[[#This Row],[Prix de Revient]]</f>
        <v>0</v>
      </c>
      <c r="AA3243" s="74">
        <f>Devis[[#This Row],[Prix de Revient]]*Devis[[#This Row],[Poste 6]]</f>
        <v>0</v>
      </c>
      <c r="AB3243" s="74">
        <f>Devis[[#This Row],[Quantité Totale]]*Devis[[#This Row],[Prix de Revient]]</f>
        <v>0</v>
      </c>
    </row>
    <row r="3244" spans="1:28" ht="14.25" customHeight="1" outlineLevel="1" x14ac:dyDescent="0.2">
      <c r="A3244" s="75" t="s">
        <v>3558</v>
      </c>
      <c r="B3244" s="76" t="s">
        <v>3630</v>
      </c>
      <c r="C3244" s="76" t="s">
        <v>3631</v>
      </c>
      <c r="D3244" s="81" t="str">
        <f t="shared" si="59"/>
        <v>Régulation - MesureDébit mètreAPICO</v>
      </c>
      <c r="E3244" s="76" t="s">
        <v>3649</v>
      </c>
      <c r="F3244" s="81">
        <v>8</v>
      </c>
      <c r="G3244" s="86" t="s">
        <v>3648</v>
      </c>
      <c r="H3244" s="71" t="s">
        <v>3634</v>
      </c>
      <c r="I3244" s="75" t="s">
        <v>3648</v>
      </c>
      <c r="J3244" s="70">
        <f>IFERROR(VLOOKUP(Devis[[#This Row],[Ref Air Flux]],#REF!,3,FALSE),0)</f>
        <v>0</v>
      </c>
      <c r="K3244" s="68"/>
      <c r="L3244" s="68"/>
      <c r="M3244" s="68"/>
      <c r="N3244" s="68"/>
      <c r="O3244" s="68"/>
      <c r="P3244" s="68"/>
      <c r="Q3244" s="68">
        <f>SUM(Devis[[#This Row],[Poste 1]:[Poste 6]])</f>
        <v>0</v>
      </c>
      <c r="R3244" s="71"/>
      <c r="S3244" s="68">
        <f>_xlfn.CEILING.MATH(Devis[[#This Row],[Quantité Totale]],Devis[[#This Row],[Conditionnement]])</f>
        <v>0</v>
      </c>
      <c r="T3244" s="72"/>
      <c r="U3244" s="106"/>
      <c r="V3244" s="74">
        <f>Devis[[#This Row],[Prix de Revient]]*Devis[[#This Row],[Poste 1]]</f>
        <v>0</v>
      </c>
      <c r="W3244" s="74">
        <f>Devis[[#This Row],[Prix de Revient]]*Devis[[#This Row],[Poste 2]]</f>
        <v>0</v>
      </c>
      <c r="X3244" s="74">
        <f>Devis[[#This Row],[Prix de Revient]]*Devis[[#This Row],[Poste 3]]</f>
        <v>0</v>
      </c>
      <c r="Y3244" s="74">
        <f>Devis[[#This Row],[Poste 4]]*Devis[[#This Row],[Prix de Revient]]</f>
        <v>0</v>
      </c>
      <c r="Z3244" s="74">
        <f>Devis[[#This Row],[Poste 5]]*Devis[[#This Row],[Prix de Revient]]</f>
        <v>0</v>
      </c>
      <c r="AA3244" s="74">
        <f>Devis[[#This Row],[Prix de Revient]]*Devis[[#This Row],[Poste 6]]</f>
        <v>0</v>
      </c>
      <c r="AB3244" s="74">
        <f>Devis[[#This Row],[Quantité Totale]]*Devis[[#This Row],[Prix de Revient]]</f>
        <v>0</v>
      </c>
    </row>
    <row r="3245" spans="1:28" ht="14.25" outlineLevel="1" x14ac:dyDescent="0.2">
      <c r="A3245" s="75" t="s">
        <v>3558</v>
      </c>
      <c r="B3245" s="76" t="s">
        <v>3630</v>
      </c>
      <c r="C3245" s="76" t="s">
        <v>3631</v>
      </c>
      <c r="D3245" s="81" t="str">
        <f t="shared" si="59"/>
        <v>Régulation - MesureDébit mètreAPICO</v>
      </c>
      <c r="E3245" s="76" t="s">
        <v>3731</v>
      </c>
      <c r="F3245" s="81">
        <v>9</v>
      </c>
      <c r="G3245" s="86" t="s">
        <v>3732</v>
      </c>
      <c r="H3245" s="71" t="s">
        <v>3634</v>
      </c>
      <c r="I3245" s="75" t="s">
        <v>3738</v>
      </c>
      <c r="J3245" s="70">
        <f>IFERROR(VLOOKUP(Devis[[#This Row],[Ref Air Flux]],#REF!,3,FALSE),0)</f>
        <v>0</v>
      </c>
      <c r="K3245" s="68"/>
      <c r="L3245" s="68"/>
      <c r="M3245" s="68"/>
      <c r="N3245" s="68"/>
      <c r="O3245" s="68"/>
      <c r="P3245" s="68"/>
      <c r="Q3245" s="68">
        <f>SUM(Devis[[#This Row],[Poste 1]:[Poste 6]])</f>
        <v>0</v>
      </c>
      <c r="R3245" s="71"/>
      <c r="S3245" s="68">
        <f>_xlfn.CEILING.MATH(Devis[[#This Row],[Quantité Totale]],Devis[[#This Row],[Conditionnement]])</f>
        <v>0</v>
      </c>
      <c r="T3245" s="72"/>
      <c r="U3245" s="106"/>
      <c r="V3245" s="74">
        <f>Devis[[#This Row],[Prix de Revient]]*Devis[[#This Row],[Poste 1]]</f>
        <v>0</v>
      </c>
      <c r="W3245" s="74">
        <f>Devis[[#This Row],[Prix de Revient]]*Devis[[#This Row],[Poste 2]]</f>
        <v>0</v>
      </c>
      <c r="X3245" s="74">
        <f>Devis[[#This Row],[Prix de Revient]]*Devis[[#This Row],[Poste 3]]</f>
        <v>0</v>
      </c>
      <c r="Y3245" s="74">
        <f>Devis[[#This Row],[Poste 4]]*Devis[[#This Row],[Prix de Revient]]</f>
        <v>0</v>
      </c>
      <c r="Z3245" s="74">
        <f>Devis[[#This Row],[Poste 5]]*Devis[[#This Row],[Prix de Revient]]</f>
        <v>0</v>
      </c>
      <c r="AA3245" s="74">
        <f>Devis[[#This Row],[Prix de Revient]]*Devis[[#This Row],[Poste 6]]</f>
        <v>0</v>
      </c>
      <c r="AB3245" s="74">
        <f>Devis[[#This Row],[Quantité Totale]]*Devis[[#This Row],[Prix de Revient]]</f>
        <v>0</v>
      </c>
    </row>
    <row r="3246" spans="1:28" ht="14.25" customHeight="1" outlineLevel="1" x14ac:dyDescent="0.2">
      <c r="A3246" s="75" t="s">
        <v>3558</v>
      </c>
      <c r="B3246" s="76" t="s">
        <v>3630</v>
      </c>
      <c r="C3246" s="76" t="s">
        <v>3631</v>
      </c>
      <c r="D3246" s="81" t="str">
        <f t="shared" si="59"/>
        <v>Régulation - MesureDébit mètreAPICO</v>
      </c>
      <c r="E3246" s="76" t="s">
        <v>3733</v>
      </c>
      <c r="F3246" s="81">
        <v>10</v>
      </c>
      <c r="G3246" s="86" t="s">
        <v>3734</v>
      </c>
      <c r="H3246" s="71" t="s">
        <v>3634</v>
      </c>
      <c r="I3246" s="75" t="s">
        <v>3739</v>
      </c>
      <c r="J3246" s="70">
        <f>IFERROR(VLOOKUP(Devis[[#This Row],[Ref Air Flux]],#REF!,3,FALSE),0)</f>
        <v>0</v>
      </c>
      <c r="K3246" s="68"/>
      <c r="L3246" s="68"/>
      <c r="M3246" s="68"/>
      <c r="N3246" s="68"/>
      <c r="O3246" s="68"/>
      <c r="P3246" s="68"/>
      <c r="Q3246" s="68">
        <f>SUM(Devis[[#This Row],[Poste 1]:[Poste 6]])</f>
        <v>0</v>
      </c>
      <c r="R3246" s="71"/>
      <c r="S3246" s="68">
        <f>_xlfn.CEILING.MATH(Devis[[#This Row],[Quantité Totale]],Devis[[#This Row],[Conditionnement]])</f>
        <v>0</v>
      </c>
      <c r="T3246" s="72"/>
      <c r="U3246" s="106"/>
      <c r="V3246" s="74">
        <f>Devis[[#This Row],[Prix de Revient]]*Devis[[#This Row],[Poste 1]]</f>
        <v>0</v>
      </c>
      <c r="W3246" s="74">
        <f>Devis[[#This Row],[Prix de Revient]]*Devis[[#This Row],[Poste 2]]</f>
        <v>0</v>
      </c>
      <c r="X3246" s="74">
        <f>Devis[[#This Row],[Prix de Revient]]*Devis[[#This Row],[Poste 3]]</f>
        <v>0</v>
      </c>
      <c r="Y3246" s="74">
        <f>Devis[[#This Row],[Poste 4]]*Devis[[#This Row],[Prix de Revient]]</f>
        <v>0</v>
      </c>
      <c r="Z3246" s="74">
        <f>Devis[[#This Row],[Poste 5]]*Devis[[#This Row],[Prix de Revient]]</f>
        <v>0</v>
      </c>
      <c r="AA3246" s="74">
        <f>Devis[[#This Row],[Prix de Revient]]*Devis[[#This Row],[Poste 6]]</f>
        <v>0</v>
      </c>
      <c r="AB3246" s="74">
        <f>Devis[[#This Row],[Quantité Totale]]*Devis[[#This Row],[Prix de Revient]]</f>
        <v>0</v>
      </c>
    </row>
    <row r="3247" spans="1:28" ht="14.25" customHeight="1" outlineLevel="1" x14ac:dyDescent="0.2">
      <c r="A3247" s="75" t="s">
        <v>3558</v>
      </c>
      <c r="B3247" s="76" t="s">
        <v>3630</v>
      </c>
      <c r="C3247" s="76" t="s">
        <v>3631</v>
      </c>
      <c r="D3247" s="81" t="str">
        <f t="shared" si="59"/>
        <v>Régulation - MesureDébit mètreAPICO</v>
      </c>
      <c r="E3247" s="76" t="s">
        <v>3735</v>
      </c>
      <c r="F3247" s="81">
        <v>11</v>
      </c>
      <c r="G3247" s="86" t="s">
        <v>3736</v>
      </c>
      <c r="H3247" s="71" t="s">
        <v>3634</v>
      </c>
      <c r="I3247" s="75" t="s">
        <v>3737</v>
      </c>
      <c r="J3247" s="70">
        <f>IFERROR(VLOOKUP(Devis[[#This Row],[Ref Air Flux]],#REF!,3,FALSE),0)</f>
        <v>0</v>
      </c>
      <c r="K3247" s="68"/>
      <c r="L3247" s="68"/>
      <c r="M3247" s="68"/>
      <c r="N3247" s="68"/>
      <c r="O3247" s="68"/>
      <c r="P3247" s="68"/>
      <c r="Q3247" s="68">
        <f>SUM(Devis[[#This Row],[Poste 1]:[Poste 6]])</f>
        <v>0</v>
      </c>
      <c r="R3247" s="71"/>
      <c r="S3247" s="68">
        <f>_xlfn.CEILING.MATH(Devis[[#This Row],[Quantité Totale]],Devis[[#This Row],[Conditionnement]])</f>
        <v>0</v>
      </c>
      <c r="T3247" s="72"/>
      <c r="U3247" s="106"/>
      <c r="V3247" s="74">
        <f>Devis[[#This Row],[Prix de Revient]]*Devis[[#This Row],[Poste 1]]</f>
        <v>0</v>
      </c>
      <c r="W3247" s="74">
        <f>Devis[[#This Row],[Prix de Revient]]*Devis[[#This Row],[Poste 2]]</f>
        <v>0</v>
      </c>
      <c r="X3247" s="74">
        <f>Devis[[#This Row],[Prix de Revient]]*Devis[[#This Row],[Poste 3]]</f>
        <v>0</v>
      </c>
      <c r="Y3247" s="74">
        <f>Devis[[#This Row],[Poste 4]]*Devis[[#This Row],[Prix de Revient]]</f>
        <v>0</v>
      </c>
      <c r="Z3247" s="74">
        <f>Devis[[#This Row],[Poste 5]]*Devis[[#This Row],[Prix de Revient]]</f>
        <v>0</v>
      </c>
      <c r="AA3247" s="74">
        <f>Devis[[#This Row],[Prix de Revient]]*Devis[[#This Row],[Poste 6]]</f>
        <v>0</v>
      </c>
      <c r="AB3247" s="74">
        <f>Devis[[#This Row],[Quantité Totale]]*Devis[[#This Row],[Prix de Revient]]</f>
        <v>0</v>
      </c>
    </row>
    <row r="3248" spans="1:28" ht="15" customHeight="1" outlineLevel="1" x14ac:dyDescent="0.2">
      <c r="A3248" s="75" t="s">
        <v>3558</v>
      </c>
      <c r="B3248" s="76" t="s">
        <v>3630</v>
      </c>
      <c r="C3248" s="76" t="s">
        <v>3631</v>
      </c>
      <c r="D3248" s="81" t="str">
        <f t="shared" si="59"/>
        <v>Régulation - MesureDébit mètreAPICO</v>
      </c>
      <c r="E3248" s="76" t="s">
        <v>3740</v>
      </c>
      <c r="F3248" s="81">
        <v>12</v>
      </c>
      <c r="G3248" s="86" t="s">
        <v>3741</v>
      </c>
      <c r="H3248" s="71" t="s">
        <v>3634</v>
      </c>
      <c r="I3248" s="75" t="s">
        <v>3742</v>
      </c>
      <c r="J3248" s="70">
        <f>IFERROR(VLOOKUP(Devis[[#This Row],[Ref Air Flux]],#REF!,3,FALSE),0)</f>
        <v>0</v>
      </c>
      <c r="K3248" s="68"/>
      <c r="L3248" s="68"/>
      <c r="M3248" s="68"/>
      <c r="N3248" s="68"/>
      <c r="O3248" s="68"/>
      <c r="P3248" s="68"/>
      <c r="Q3248" s="68">
        <f>SUM(Devis[[#This Row],[Poste 1]:[Poste 6]])</f>
        <v>0</v>
      </c>
      <c r="R3248" s="71"/>
      <c r="S3248" s="68">
        <f>_xlfn.CEILING.MATH(Devis[[#This Row],[Quantité Totale]],Devis[[#This Row],[Conditionnement]])</f>
        <v>0</v>
      </c>
      <c r="T3248" s="72"/>
      <c r="U3248" s="106"/>
      <c r="V3248" s="74">
        <f>Devis[[#This Row],[Prix de Revient]]*Devis[[#This Row],[Poste 1]]</f>
        <v>0</v>
      </c>
      <c r="W3248" s="74">
        <f>Devis[[#This Row],[Prix de Revient]]*Devis[[#This Row],[Poste 2]]</f>
        <v>0</v>
      </c>
      <c r="X3248" s="74">
        <f>Devis[[#This Row],[Prix de Revient]]*Devis[[#This Row],[Poste 3]]</f>
        <v>0</v>
      </c>
      <c r="Y3248" s="74">
        <f>Devis[[#This Row],[Poste 4]]*Devis[[#This Row],[Prix de Revient]]</f>
        <v>0</v>
      </c>
      <c r="Z3248" s="74">
        <f>Devis[[#This Row],[Poste 5]]*Devis[[#This Row],[Prix de Revient]]</f>
        <v>0</v>
      </c>
      <c r="AA3248" s="74">
        <f>Devis[[#This Row],[Prix de Revient]]*Devis[[#This Row],[Poste 6]]</f>
        <v>0</v>
      </c>
      <c r="AB3248" s="74">
        <f>Devis[[#This Row],[Quantité Totale]]*Devis[[#This Row],[Prix de Revient]]</f>
        <v>0</v>
      </c>
    </row>
    <row r="3249" spans="1:28" ht="14.25" customHeight="1" outlineLevel="1" x14ac:dyDescent="0.2">
      <c r="A3249" s="75" t="s">
        <v>3558</v>
      </c>
      <c r="B3249" s="76" t="s">
        <v>3630</v>
      </c>
      <c r="C3249" s="76" t="s">
        <v>3631</v>
      </c>
      <c r="D3249" s="81" t="str">
        <f t="shared" si="59"/>
        <v>Régulation - MesureDébit mètreAPICO</v>
      </c>
      <c r="E3249" s="76" t="s">
        <v>3743</v>
      </c>
      <c r="F3249" s="81">
        <v>13</v>
      </c>
      <c r="G3249" s="86" t="s">
        <v>3745</v>
      </c>
      <c r="H3249" s="71" t="s">
        <v>3634</v>
      </c>
      <c r="I3249" s="75" t="s">
        <v>3748</v>
      </c>
      <c r="J3249" s="70">
        <f>IFERROR(VLOOKUP(Devis[[#This Row],[Ref Air Flux]],#REF!,3,FALSE),0)</f>
        <v>0</v>
      </c>
      <c r="K3249" s="68"/>
      <c r="L3249" s="68"/>
      <c r="M3249" s="68"/>
      <c r="N3249" s="68"/>
      <c r="O3249" s="68"/>
      <c r="P3249" s="68"/>
      <c r="Q3249" s="68">
        <f>SUM(Devis[[#This Row],[Poste 1]:[Poste 6]])</f>
        <v>0</v>
      </c>
      <c r="R3249" s="71"/>
      <c r="S3249" s="68">
        <f>_xlfn.CEILING.MATH(Devis[[#This Row],[Quantité Totale]],Devis[[#This Row],[Conditionnement]])</f>
        <v>0</v>
      </c>
      <c r="T3249" s="72"/>
      <c r="U3249" s="106"/>
      <c r="V3249" s="74">
        <f>Devis[[#This Row],[Prix de Revient]]*Devis[[#This Row],[Poste 1]]</f>
        <v>0</v>
      </c>
      <c r="W3249" s="74">
        <f>Devis[[#This Row],[Prix de Revient]]*Devis[[#This Row],[Poste 2]]</f>
        <v>0</v>
      </c>
      <c r="X3249" s="74">
        <f>Devis[[#This Row],[Prix de Revient]]*Devis[[#This Row],[Poste 3]]</f>
        <v>0</v>
      </c>
      <c r="Y3249" s="74">
        <f>Devis[[#This Row],[Poste 4]]*Devis[[#This Row],[Prix de Revient]]</f>
        <v>0</v>
      </c>
      <c r="Z3249" s="74">
        <f>Devis[[#This Row],[Poste 5]]*Devis[[#This Row],[Prix de Revient]]</f>
        <v>0</v>
      </c>
      <c r="AA3249" s="74">
        <f>Devis[[#This Row],[Prix de Revient]]*Devis[[#This Row],[Poste 6]]</f>
        <v>0</v>
      </c>
      <c r="AB3249" s="74">
        <f>Devis[[#This Row],[Quantité Totale]]*Devis[[#This Row],[Prix de Revient]]</f>
        <v>0</v>
      </c>
    </row>
    <row r="3250" spans="1:28" ht="14.25" customHeight="1" outlineLevel="1" x14ac:dyDescent="0.2">
      <c r="A3250" s="75" t="s">
        <v>3558</v>
      </c>
      <c r="B3250" s="76" t="s">
        <v>3630</v>
      </c>
      <c r="C3250" s="76" t="s">
        <v>3631</v>
      </c>
      <c r="D3250" s="81" t="str">
        <f t="shared" si="59"/>
        <v>Régulation - MesureDébit mètreAPICO</v>
      </c>
      <c r="E3250" s="76" t="s">
        <v>3744</v>
      </c>
      <c r="F3250" s="81">
        <v>14</v>
      </c>
      <c r="G3250" s="86" t="s">
        <v>3746</v>
      </c>
      <c r="H3250" s="71" t="s">
        <v>3634</v>
      </c>
      <c r="I3250" s="75" t="s">
        <v>3747</v>
      </c>
      <c r="J3250" s="70">
        <f>IFERROR(VLOOKUP(Devis[[#This Row],[Ref Air Flux]],#REF!,3,FALSE),0)</f>
        <v>0</v>
      </c>
      <c r="K3250" s="68"/>
      <c r="L3250" s="68"/>
      <c r="M3250" s="68"/>
      <c r="N3250" s="68"/>
      <c r="O3250" s="68"/>
      <c r="P3250" s="68"/>
      <c r="Q3250" s="68">
        <f>SUM(Devis[[#This Row],[Poste 1]:[Poste 6]])</f>
        <v>0</v>
      </c>
      <c r="R3250" s="71"/>
      <c r="S3250" s="68">
        <f>_xlfn.CEILING.MATH(Devis[[#This Row],[Quantité Totale]],Devis[[#This Row],[Conditionnement]])</f>
        <v>0</v>
      </c>
      <c r="T3250" s="72"/>
      <c r="U3250" s="106"/>
      <c r="V3250" s="74">
        <f>Devis[[#This Row],[Prix de Revient]]*Devis[[#This Row],[Poste 1]]</f>
        <v>0</v>
      </c>
      <c r="W3250" s="74">
        <f>Devis[[#This Row],[Prix de Revient]]*Devis[[#This Row],[Poste 2]]</f>
        <v>0</v>
      </c>
      <c r="X3250" s="74">
        <f>Devis[[#This Row],[Prix de Revient]]*Devis[[#This Row],[Poste 3]]</f>
        <v>0</v>
      </c>
      <c r="Y3250" s="74">
        <f>Devis[[#This Row],[Poste 4]]*Devis[[#This Row],[Prix de Revient]]</f>
        <v>0</v>
      </c>
      <c r="Z3250" s="74">
        <f>Devis[[#This Row],[Poste 5]]*Devis[[#This Row],[Prix de Revient]]</f>
        <v>0</v>
      </c>
      <c r="AA3250" s="74">
        <f>Devis[[#This Row],[Prix de Revient]]*Devis[[#This Row],[Poste 6]]</f>
        <v>0</v>
      </c>
      <c r="AB3250" s="74">
        <f>Devis[[#This Row],[Quantité Totale]]*Devis[[#This Row],[Prix de Revient]]</f>
        <v>0</v>
      </c>
    </row>
    <row r="3251" spans="1:28" ht="14.25" outlineLevel="1" x14ac:dyDescent="0.2">
      <c r="A3251" s="75" t="s">
        <v>3558</v>
      </c>
      <c r="B3251" s="76" t="s">
        <v>3630</v>
      </c>
      <c r="C3251" s="76" t="s">
        <v>3631</v>
      </c>
      <c r="D3251" s="81" t="str">
        <f t="shared" si="59"/>
        <v>Régulation - MesureDébit mètreAPICO</v>
      </c>
      <c r="E3251" s="76" t="s">
        <v>3762</v>
      </c>
      <c r="F3251" s="81">
        <v>15</v>
      </c>
      <c r="G3251" s="86" t="s">
        <v>3763</v>
      </c>
      <c r="H3251" s="71" t="s">
        <v>3634</v>
      </c>
      <c r="I3251" s="75"/>
      <c r="J3251" s="70">
        <f>IFERROR(VLOOKUP(Devis[[#This Row],[Ref Air Flux]],#REF!,3,FALSE),0)</f>
        <v>0</v>
      </c>
      <c r="K3251" s="68"/>
      <c r="L3251" s="68"/>
      <c r="M3251" s="68"/>
      <c r="N3251" s="68"/>
      <c r="O3251" s="68"/>
      <c r="P3251" s="68"/>
      <c r="Q3251" s="68">
        <f>SUM(Devis[[#This Row],[Poste 1]:[Poste 6]])</f>
        <v>0</v>
      </c>
      <c r="R3251" s="71"/>
      <c r="S3251" s="68">
        <f>_xlfn.CEILING.MATH(Devis[[#This Row],[Quantité Totale]],Devis[[#This Row],[Conditionnement]])</f>
        <v>0</v>
      </c>
      <c r="T3251" s="72"/>
      <c r="U3251" s="106"/>
      <c r="V3251" s="74">
        <f>Devis[[#This Row],[Prix de Revient]]*Devis[[#This Row],[Poste 1]]</f>
        <v>0</v>
      </c>
      <c r="W3251" s="74">
        <f>Devis[[#This Row],[Prix de Revient]]*Devis[[#This Row],[Poste 2]]</f>
        <v>0</v>
      </c>
      <c r="X3251" s="74">
        <f>Devis[[#This Row],[Prix de Revient]]*Devis[[#This Row],[Poste 3]]</f>
        <v>0</v>
      </c>
      <c r="Y3251" s="74">
        <f>Devis[[#This Row],[Poste 4]]*Devis[[#This Row],[Prix de Revient]]</f>
        <v>0</v>
      </c>
      <c r="Z3251" s="74">
        <f>Devis[[#This Row],[Poste 5]]*Devis[[#This Row],[Prix de Revient]]</f>
        <v>0</v>
      </c>
      <c r="AA3251" s="74">
        <f>Devis[[#This Row],[Prix de Revient]]*Devis[[#This Row],[Poste 6]]</f>
        <v>0</v>
      </c>
      <c r="AB3251" s="74">
        <f>Devis[[#This Row],[Quantité Totale]]*Devis[[#This Row],[Prix de Revient]]</f>
        <v>0</v>
      </c>
    </row>
    <row r="3252" spans="1:28" ht="14.25" outlineLevel="1" x14ac:dyDescent="0.2">
      <c r="A3252" s="75" t="s">
        <v>3558</v>
      </c>
      <c r="B3252" s="76" t="s">
        <v>3630</v>
      </c>
      <c r="C3252" s="76" t="s">
        <v>3631</v>
      </c>
      <c r="D3252" s="81" t="str">
        <f t="shared" si="59"/>
        <v>Régulation - MesureDébit mètreAPICO</v>
      </c>
      <c r="E3252" s="76" t="s">
        <v>3764</v>
      </c>
      <c r="F3252" s="81">
        <v>16</v>
      </c>
      <c r="G3252" s="86" t="s">
        <v>3765</v>
      </c>
      <c r="H3252" s="71" t="s">
        <v>3634</v>
      </c>
      <c r="I3252" s="75"/>
      <c r="J3252" s="70">
        <f>IFERROR(VLOOKUP(Devis[[#This Row],[Ref Air Flux]],#REF!,3,FALSE),0)</f>
        <v>0</v>
      </c>
      <c r="K3252" s="68"/>
      <c r="L3252" s="68"/>
      <c r="M3252" s="68"/>
      <c r="N3252" s="68"/>
      <c r="O3252" s="68"/>
      <c r="P3252" s="68"/>
      <c r="Q3252" s="68">
        <f>SUM(Devis[[#This Row],[Poste 1]:[Poste 6]])</f>
        <v>0</v>
      </c>
      <c r="R3252" s="71"/>
      <c r="S3252" s="68">
        <f>_xlfn.CEILING.MATH(Devis[[#This Row],[Quantité Totale]],Devis[[#This Row],[Conditionnement]])</f>
        <v>0</v>
      </c>
      <c r="T3252" s="72"/>
      <c r="U3252" s="106"/>
      <c r="V3252" s="74">
        <f>Devis[[#This Row],[Prix de Revient]]*Devis[[#This Row],[Poste 1]]</f>
        <v>0</v>
      </c>
      <c r="W3252" s="74">
        <f>Devis[[#This Row],[Prix de Revient]]*Devis[[#This Row],[Poste 2]]</f>
        <v>0</v>
      </c>
      <c r="X3252" s="74">
        <f>Devis[[#This Row],[Prix de Revient]]*Devis[[#This Row],[Poste 3]]</f>
        <v>0</v>
      </c>
      <c r="Y3252" s="74">
        <f>Devis[[#This Row],[Poste 4]]*Devis[[#This Row],[Prix de Revient]]</f>
        <v>0</v>
      </c>
      <c r="Z3252" s="74">
        <f>Devis[[#This Row],[Poste 5]]*Devis[[#This Row],[Prix de Revient]]</f>
        <v>0</v>
      </c>
      <c r="AA3252" s="74">
        <f>Devis[[#This Row],[Prix de Revient]]*Devis[[#This Row],[Poste 6]]</f>
        <v>0</v>
      </c>
      <c r="AB3252" s="74">
        <f>Devis[[#This Row],[Quantité Totale]]*Devis[[#This Row],[Prix de Revient]]</f>
        <v>0</v>
      </c>
    </row>
    <row r="3253" spans="1:28" ht="14.25" outlineLevel="1" x14ac:dyDescent="0.2">
      <c r="A3253" s="75" t="s">
        <v>3558</v>
      </c>
      <c r="B3253" s="76" t="s">
        <v>3630</v>
      </c>
      <c r="C3253" s="76" t="s">
        <v>3631</v>
      </c>
      <c r="D3253" s="81" t="str">
        <f t="shared" si="59"/>
        <v>Régulation - MesureDébit mètreAPICO</v>
      </c>
      <c r="E3253" s="76" t="s">
        <v>3766</v>
      </c>
      <c r="F3253" s="81">
        <v>17</v>
      </c>
      <c r="G3253" s="86" t="s">
        <v>3767</v>
      </c>
      <c r="H3253" s="71" t="s">
        <v>3634</v>
      </c>
      <c r="I3253" s="75"/>
      <c r="J3253" s="70">
        <f>IFERROR(VLOOKUP(Devis[[#This Row],[Ref Air Flux]],#REF!,3,FALSE),0)</f>
        <v>0</v>
      </c>
      <c r="K3253" s="68"/>
      <c r="L3253" s="68"/>
      <c r="M3253" s="68"/>
      <c r="N3253" s="68"/>
      <c r="O3253" s="68"/>
      <c r="P3253" s="68"/>
      <c r="Q3253" s="68">
        <f>SUM(Devis[[#This Row],[Poste 1]:[Poste 6]])</f>
        <v>0</v>
      </c>
      <c r="R3253" s="71"/>
      <c r="S3253" s="68">
        <f>_xlfn.CEILING.MATH(Devis[[#This Row],[Quantité Totale]],Devis[[#This Row],[Conditionnement]])</f>
        <v>0</v>
      </c>
      <c r="T3253" s="72"/>
      <c r="U3253" s="106"/>
      <c r="V3253" s="74">
        <f>Devis[[#This Row],[Prix de Revient]]*Devis[[#This Row],[Poste 1]]</f>
        <v>0</v>
      </c>
      <c r="W3253" s="74">
        <f>Devis[[#This Row],[Prix de Revient]]*Devis[[#This Row],[Poste 2]]</f>
        <v>0</v>
      </c>
      <c r="X3253" s="74">
        <f>Devis[[#This Row],[Prix de Revient]]*Devis[[#This Row],[Poste 3]]</f>
        <v>0</v>
      </c>
      <c r="Y3253" s="74">
        <f>Devis[[#This Row],[Poste 4]]*Devis[[#This Row],[Prix de Revient]]</f>
        <v>0</v>
      </c>
      <c r="Z3253" s="74">
        <f>Devis[[#This Row],[Poste 5]]*Devis[[#This Row],[Prix de Revient]]</f>
        <v>0</v>
      </c>
      <c r="AA3253" s="74">
        <f>Devis[[#This Row],[Prix de Revient]]*Devis[[#This Row],[Poste 6]]</f>
        <v>0</v>
      </c>
      <c r="AB3253" s="74">
        <f>Devis[[#This Row],[Quantité Totale]]*Devis[[#This Row],[Prix de Revient]]</f>
        <v>0</v>
      </c>
    </row>
    <row r="3254" spans="1:28" ht="14.25" customHeight="1" outlineLevel="1" x14ac:dyDescent="0.2">
      <c r="A3254" s="75" t="s">
        <v>3558</v>
      </c>
      <c r="B3254" s="76" t="s">
        <v>3630</v>
      </c>
      <c r="C3254" s="76" t="s">
        <v>3631</v>
      </c>
      <c r="D3254" s="81" t="str">
        <f t="shared" si="59"/>
        <v>Régulation - MesureDébit mètreAPICO</v>
      </c>
      <c r="E3254" s="76" t="s">
        <v>3768</v>
      </c>
      <c r="F3254" s="81">
        <v>18</v>
      </c>
      <c r="G3254" s="86" t="s">
        <v>3769</v>
      </c>
      <c r="H3254" s="71" t="s">
        <v>3634</v>
      </c>
      <c r="I3254" s="75"/>
      <c r="J3254" s="70">
        <f>IFERROR(VLOOKUP(Devis[[#This Row],[Ref Air Flux]],#REF!,3,FALSE),0)</f>
        <v>0</v>
      </c>
      <c r="K3254" s="68"/>
      <c r="L3254" s="68"/>
      <c r="M3254" s="68"/>
      <c r="N3254" s="68"/>
      <c r="O3254" s="68"/>
      <c r="P3254" s="68"/>
      <c r="Q3254" s="68">
        <f>SUM(Devis[[#This Row],[Poste 1]:[Poste 6]])</f>
        <v>0</v>
      </c>
      <c r="R3254" s="71"/>
      <c r="S3254" s="68">
        <f>_xlfn.CEILING.MATH(Devis[[#This Row],[Quantité Totale]],Devis[[#This Row],[Conditionnement]])</f>
        <v>0</v>
      </c>
      <c r="T3254" s="72"/>
      <c r="U3254" s="106"/>
      <c r="V3254" s="74">
        <f>Devis[[#This Row],[Prix de Revient]]*Devis[[#This Row],[Poste 1]]</f>
        <v>0</v>
      </c>
      <c r="W3254" s="74">
        <f>Devis[[#This Row],[Prix de Revient]]*Devis[[#This Row],[Poste 2]]</f>
        <v>0</v>
      </c>
      <c r="X3254" s="74">
        <f>Devis[[#This Row],[Prix de Revient]]*Devis[[#This Row],[Poste 3]]</f>
        <v>0</v>
      </c>
      <c r="Y3254" s="74">
        <f>Devis[[#This Row],[Poste 4]]*Devis[[#This Row],[Prix de Revient]]</f>
        <v>0</v>
      </c>
      <c r="Z3254" s="74">
        <f>Devis[[#This Row],[Poste 5]]*Devis[[#This Row],[Prix de Revient]]</f>
        <v>0</v>
      </c>
      <c r="AA3254" s="74">
        <f>Devis[[#This Row],[Prix de Revient]]*Devis[[#This Row],[Poste 6]]</f>
        <v>0</v>
      </c>
      <c r="AB3254" s="74">
        <f>Devis[[#This Row],[Quantité Totale]]*Devis[[#This Row],[Prix de Revient]]</f>
        <v>0</v>
      </c>
    </row>
    <row r="3255" spans="1:28" ht="14.25" outlineLevel="1" x14ac:dyDescent="0.2">
      <c r="A3255" s="75" t="s">
        <v>3558</v>
      </c>
      <c r="B3255" s="76" t="s">
        <v>3630</v>
      </c>
      <c r="C3255" s="76" t="s">
        <v>3810</v>
      </c>
      <c r="D3255" s="81" t="str">
        <f t="shared" si="59"/>
        <v>Régulation - MesureDébit mètreBEKO</v>
      </c>
      <c r="E3255" s="76" t="s">
        <v>3809</v>
      </c>
      <c r="F3255" s="81">
        <v>19</v>
      </c>
      <c r="G3255" s="86" t="s">
        <v>3808</v>
      </c>
      <c r="H3255" s="71" t="s">
        <v>32</v>
      </c>
      <c r="I3255" s="75"/>
      <c r="J3255" s="70">
        <f>IFERROR(VLOOKUP(Devis[[#This Row],[Ref Air Flux]],#REF!,3,FALSE),0)</f>
        <v>0</v>
      </c>
      <c r="K3255" s="68"/>
      <c r="L3255" s="68"/>
      <c r="M3255" s="68"/>
      <c r="N3255" s="68"/>
      <c r="O3255" s="68"/>
      <c r="P3255" s="68"/>
      <c r="Q3255" s="68">
        <f>SUM(Devis[[#This Row],[Poste 1]:[Poste 6]])</f>
        <v>0</v>
      </c>
      <c r="R3255" s="71"/>
      <c r="S3255" s="68">
        <f>_xlfn.CEILING.MATH(Devis[[#This Row],[Quantité Totale]],Devis[[#This Row],[Conditionnement]])</f>
        <v>0</v>
      </c>
      <c r="T3255" s="72"/>
      <c r="U3255" s="106"/>
      <c r="V3255" s="74">
        <f>Devis[[#This Row],[Prix de Revient]]*Devis[[#This Row],[Poste 1]]</f>
        <v>0</v>
      </c>
      <c r="W3255" s="74">
        <f>Devis[[#This Row],[Prix de Revient]]*Devis[[#This Row],[Poste 2]]</f>
        <v>0</v>
      </c>
      <c r="X3255" s="74">
        <f>Devis[[#This Row],[Prix de Revient]]*Devis[[#This Row],[Poste 3]]</f>
        <v>0</v>
      </c>
      <c r="Y3255" s="74">
        <f>Devis[[#This Row],[Poste 4]]*Devis[[#This Row],[Prix de Revient]]</f>
        <v>0</v>
      </c>
      <c r="Z3255" s="74">
        <f>Devis[[#This Row],[Poste 5]]*Devis[[#This Row],[Prix de Revient]]</f>
        <v>0</v>
      </c>
      <c r="AA3255" s="74">
        <f>Devis[[#This Row],[Prix de Revient]]*Devis[[#This Row],[Poste 6]]</f>
        <v>0</v>
      </c>
      <c r="AB3255" s="74">
        <f>Devis[[#This Row],[Quantité Totale]]*Devis[[#This Row],[Prix de Revient]]</f>
        <v>0</v>
      </c>
    </row>
    <row r="3256" spans="1:28" ht="14.25" customHeight="1" x14ac:dyDescent="0.25">
      <c r="A3256" s="121" t="s">
        <v>3558</v>
      </c>
      <c r="B3256" s="65" t="s">
        <v>2979</v>
      </c>
      <c r="C3256" s="76"/>
      <c r="D3256" s="81" t="str">
        <f t="shared" si="59"/>
        <v>Régulation - MesureHygrometrie</v>
      </c>
      <c r="E3256" s="76"/>
      <c r="F3256" s="81">
        <v>0</v>
      </c>
      <c r="G3256" s="86"/>
      <c r="H3256" s="71"/>
      <c r="I3256" s="75"/>
      <c r="J3256" s="70">
        <f>IFERROR(VLOOKUP(Devis[[#This Row],[Ref Air Flux]],#REF!,3,FALSE),0)</f>
        <v>0</v>
      </c>
      <c r="K3256" s="68"/>
      <c r="L3256" s="68"/>
      <c r="M3256" s="68"/>
      <c r="N3256" s="68"/>
      <c r="O3256" s="68"/>
      <c r="P3256" s="68"/>
      <c r="Q3256" s="68">
        <f>SUM(Devis[[#This Row],[Poste 1]:[Poste 6]])</f>
        <v>0</v>
      </c>
      <c r="R3256" s="71"/>
      <c r="S3256" s="68">
        <f>_xlfn.CEILING.MATH(Devis[[#This Row],[Quantité Totale]],Devis[[#This Row],[Conditionnement]])</f>
        <v>0</v>
      </c>
      <c r="T3256" s="72"/>
      <c r="U3256" s="106"/>
      <c r="V3256" s="74">
        <f>Devis[[#This Row],[Prix de Revient]]*Devis[[#This Row],[Poste 1]]</f>
        <v>0</v>
      </c>
      <c r="W3256" s="74">
        <f>Devis[[#This Row],[Prix de Revient]]*Devis[[#This Row],[Poste 2]]</f>
        <v>0</v>
      </c>
      <c r="X3256" s="74">
        <f>Devis[[#This Row],[Prix de Revient]]*Devis[[#This Row],[Poste 3]]</f>
        <v>0</v>
      </c>
      <c r="Y3256" s="74">
        <f>Devis[[#This Row],[Poste 4]]*Devis[[#This Row],[Prix de Revient]]</f>
        <v>0</v>
      </c>
      <c r="Z3256" s="74">
        <f>Devis[[#This Row],[Poste 5]]*Devis[[#This Row],[Prix de Revient]]</f>
        <v>0</v>
      </c>
      <c r="AA3256" s="74">
        <f>Devis[[#This Row],[Prix de Revient]]*Devis[[#This Row],[Poste 6]]</f>
        <v>0</v>
      </c>
      <c r="AB3256" s="74">
        <f>Devis[[#This Row],[Quantité Totale]]*Devis[[#This Row],[Prix de Revient]]</f>
        <v>0</v>
      </c>
    </row>
    <row r="3257" spans="1:28" ht="14.25" customHeight="1" outlineLevel="1" x14ac:dyDescent="0.2">
      <c r="A3257" s="75" t="s">
        <v>3558</v>
      </c>
      <c r="B3257" s="76" t="s">
        <v>2979</v>
      </c>
      <c r="C3257" s="76" t="s">
        <v>3238</v>
      </c>
      <c r="D3257" s="81" t="str">
        <f t="shared" si="59"/>
        <v>Régulation - MesureHygrometrieEcran Encastrable 10"</v>
      </c>
      <c r="E3257" s="76" t="s">
        <v>3239</v>
      </c>
      <c r="F3257" s="81">
        <v>1</v>
      </c>
      <c r="G3257" s="86" t="s">
        <v>3240</v>
      </c>
      <c r="H3257" s="71" t="s">
        <v>3241</v>
      </c>
      <c r="I3257" s="75" t="s">
        <v>3240</v>
      </c>
      <c r="J3257" s="70">
        <f>IFERROR(VLOOKUP(Devis[[#This Row],[Ref Air Flux]],#REF!,3,FALSE),0)</f>
        <v>0</v>
      </c>
      <c r="K3257" s="68"/>
      <c r="L3257" s="68"/>
      <c r="M3257" s="68"/>
      <c r="N3257" s="68"/>
      <c r="O3257" s="68"/>
      <c r="P3257" s="68"/>
      <c r="Q3257" s="68">
        <f>SUM(Devis[[#This Row],[Poste 1]:[Poste 6]])</f>
        <v>0</v>
      </c>
      <c r="R3257" s="71"/>
      <c r="S3257" s="68">
        <f>_xlfn.CEILING.MATH(Devis[[#This Row],[Quantité Totale]],Devis[[#This Row],[Conditionnement]])</f>
        <v>0</v>
      </c>
      <c r="T3257" s="72"/>
      <c r="U3257" s="106" t="s">
        <v>3242</v>
      </c>
      <c r="V3257" s="74">
        <f>Devis[[#This Row],[Prix de Revient]]*Devis[[#This Row],[Poste 1]]</f>
        <v>0</v>
      </c>
      <c r="W3257" s="74">
        <f>Devis[[#This Row],[Prix de Revient]]*Devis[[#This Row],[Poste 2]]</f>
        <v>0</v>
      </c>
      <c r="X3257" s="74">
        <f>Devis[[#This Row],[Prix de Revient]]*Devis[[#This Row],[Poste 3]]</f>
        <v>0</v>
      </c>
      <c r="Y3257" s="74">
        <f>Devis[[#This Row],[Poste 4]]*Devis[[#This Row],[Prix de Revient]]</f>
        <v>0</v>
      </c>
      <c r="Z3257" s="74">
        <f>Devis[[#This Row],[Poste 5]]*Devis[[#This Row],[Prix de Revient]]</f>
        <v>0</v>
      </c>
      <c r="AA3257" s="74">
        <f>Devis[[#This Row],[Prix de Revient]]*Devis[[#This Row],[Poste 6]]</f>
        <v>0</v>
      </c>
      <c r="AB3257" s="74">
        <f>Devis[[#This Row],[Quantité Totale]]*Devis[[#This Row],[Prix de Revient]]</f>
        <v>0</v>
      </c>
    </row>
    <row r="3258" spans="1:28" ht="14.25" outlineLevel="1" x14ac:dyDescent="0.2">
      <c r="A3258" s="75" t="s">
        <v>3558</v>
      </c>
      <c r="B3258" s="76" t="s">
        <v>2979</v>
      </c>
      <c r="C3258" s="76" t="s">
        <v>3238</v>
      </c>
      <c r="D3258" s="81" t="str">
        <f t="shared" si="59"/>
        <v>Régulation - MesureHygrometrieEcran Encastrable 10"</v>
      </c>
      <c r="E3258" s="76" t="s">
        <v>3243</v>
      </c>
      <c r="F3258" s="81">
        <v>2</v>
      </c>
      <c r="G3258" s="86" t="s">
        <v>3244</v>
      </c>
      <c r="H3258" s="71" t="s">
        <v>3241</v>
      </c>
      <c r="I3258" s="75" t="s">
        <v>3244</v>
      </c>
      <c r="J3258" s="70">
        <f>IFERROR(VLOOKUP(Devis[[#This Row],[Ref Air Flux]],#REF!,3,FALSE),0)</f>
        <v>0</v>
      </c>
      <c r="K3258" s="68"/>
      <c r="L3258" s="68"/>
      <c r="M3258" s="68"/>
      <c r="N3258" s="68"/>
      <c r="O3258" s="68"/>
      <c r="P3258" s="68"/>
      <c r="Q3258" s="68">
        <f>SUM(Devis[[#This Row],[Poste 1]:[Poste 6]])</f>
        <v>0</v>
      </c>
      <c r="R3258" s="71"/>
      <c r="S3258" s="68">
        <f>_xlfn.CEILING.MATH(Devis[[#This Row],[Quantité Totale]],Devis[[#This Row],[Conditionnement]])</f>
        <v>0</v>
      </c>
      <c r="T3258" s="72"/>
      <c r="U3258" s="106" t="s">
        <v>3245</v>
      </c>
      <c r="V3258" s="74">
        <f>Devis[[#This Row],[Prix de Revient]]*Devis[[#This Row],[Poste 1]]</f>
        <v>0</v>
      </c>
      <c r="W3258" s="74">
        <f>Devis[[#This Row],[Prix de Revient]]*Devis[[#This Row],[Poste 2]]</f>
        <v>0</v>
      </c>
      <c r="X3258" s="74">
        <f>Devis[[#This Row],[Prix de Revient]]*Devis[[#This Row],[Poste 3]]</f>
        <v>0</v>
      </c>
      <c r="Y3258" s="74">
        <f>Devis[[#This Row],[Poste 4]]*Devis[[#This Row],[Prix de Revient]]</f>
        <v>0</v>
      </c>
      <c r="Z3258" s="74">
        <f>Devis[[#This Row],[Poste 5]]*Devis[[#This Row],[Prix de Revient]]</f>
        <v>0</v>
      </c>
      <c r="AA3258" s="74">
        <f>Devis[[#This Row],[Prix de Revient]]*Devis[[#This Row],[Poste 6]]</f>
        <v>0</v>
      </c>
      <c r="AB3258" s="74">
        <f>Devis[[#This Row],[Quantité Totale]]*Devis[[#This Row],[Prix de Revient]]</f>
        <v>0</v>
      </c>
    </row>
    <row r="3259" spans="1:28" ht="14.25" customHeight="1" outlineLevel="1" x14ac:dyDescent="0.2">
      <c r="A3259" s="75" t="s">
        <v>3558</v>
      </c>
      <c r="B3259" s="76" t="s">
        <v>2979</v>
      </c>
      <c r="C3259" s="76" t="s">
        <v>2975</v>
      </c>
      <c r="D3259" s="81" t="str">
        <f t="shared" si="59"/>
        <v>Régulation - MesureHygrometrieequipement capteur de pression</v>
      </c>
      <c r="E3259" s="76" t="s">
        <v>2976</v>
      </c>
      <c r="F3259" s="81">
        <v>3</v>
      </c>
      <c r="G3259" s="86" t="s">
        <v>2977</v>
      </c>
      <c r="H3259" s="71"/>
      <c r="I3259" s="75" t="s">
        <v>2978</v>
      </c>
      <c r="J3259" s="70">
        <f>IFERROR(VLOOKUP(Devis[[#This Row],[Ref Air Flux]],#REF!,3,FALSE),0)</f>
        <v>0</v>
      </c>
      <c r="K3259" s="68"/>
      <c r="L3259" s="68"/>
      <c r="M3259" s="68"/>
      <c r="N3259" s="68"/>
      <c r="O3259" s="68"/>
      <c r="P3259" s="68"/>
      <c r="Q3259" s="68">
        <f>SUM(Devis[[#This Row],[Poste 1]:[Poste 6]])</f>
        <v>0</v>
      </c>
      <c r="R3259" s="71"/>
      <c r="S3259" s="68">
        <f>_xlfn.CEILING.MATH(Devis[[#This Row],[Quantité Totale]],Devis[[#This Row],[Conditionnement]])</f>
        <v>0</v>
      </c>
      <c r="T3259" s="72"/>
      <c r="U3259" s="106"/>
      <c r="V3259" s="74">
        <f>Devis[[#This Row],[Prix de Revient]]*Devis[[#This Row],[Poste 1]]</f>
        <v>0</v>
      </c>
      <c r="W3259" s="74">
        <f>Devis[[#This Row],[Prix de Revient]]*Devis[[#This Row],[Poste 2]]</f>
        <v>0</v>
      </c>
      <c r="X3259" s="74">
        <f>Devis[[#This Row],[Prix de Revient]]*Devis[[#This Row],[Poste 3]]</f>
        <v>0</v>
      </c>
      <c r="Y3259" s="74">
        <f>Devis[[#This Row],[Poste 4]]*Devis[[#This Row],[Prix de Revient]]</f>
        <v>0</v>
      </c>
      <c r="Z3259" s="74">
        <f>Devis[[#This Row],[Poste 5]]*Devis[[#This Row],[Prix de Revient]]</f>
        <v>0</v>
      </c>
      <c r="AA3259" s="74">
        <f>Devis[[#This Row],[Prix de Revient]]*Devis[[#This Row],[Poste 6]]</f>
        <v>0</v>
      </c>
      <c r="AB3259" s="74">
        <f>Devis[[#This Row],[Quantité Totale]]*Devis[[#This Row],[Prix de Revient]]</f>
        <v>0</v>
      </c>
    </row>
    <row r="3260" spans="1:28" ht="14.25" customHeight="1" outlineLevel="1" x14ac:dyDescent="0.2">
      <c r="A3260" s="75" t="s">
        <v>3558</v>
      </c>
      <c r="B3260" s="76" t="s">
        <v>2979</v>
      </c>
      <c r="C3260" s="76" t="s">
        <v>3631</v>
      </c>
      <c r="D3260" s="81" t="str">
        <f t="shared" si="59"/>
        <v>Régulation - MesureHygrometrieAPICO</v>
      </c>
      <c r="E3260" s="76" t="s">
        <v>3750</v>
      </c>
      <c r="F3260" s="81">
        <v>4</v>
      </c>
      <c r="G3260" s="86" t="s">
        <v>3749</v>
      </c>
      <c r="H3260" s="71" t="s">
        <v>3634</v>
      </c>
      <c r="I3260" s="75" t="s">
        <v>3751</v>
      </c>
      <c r="J3260" s="70">
        <f>IFERROR(VLOOKUP(Devis[[#This Row],[Ref Air Flux]],#REF!,3,FALSE),0)</f>
        <v>0</v>
      </c>
      <c r="K3260" s="68"/>
      <c r="L3260" s="68"/>
      <c r="M3260" s="68"/>
      <c r="N3260" s="68"/>
      <c r="O3260" s="68"/>
      <c r="P3260" s="68"/>
      <c r="Q3260" s="68">
        <f>SUM(Devis[[#This Row],[Poste 1]:[Poste 6]])</f>
        <v>0</v>
      </c>
      <c r="R3260" s="71"/>
      <c r="S3260" s="68">
        <f>_xlfn.CEILING.MATH(Devis[[#This Row],[Quantité Totale]],Devis[[#This Row],[Conditionnement]])</f>
        <v>0</v>
      </c>
      <c r="T3260" s="72"/>
      <c r="U3260" s="106"/>
      <c r="V3260" s="74">
        <f>Devis[[#This Row],[Prix de Revient]]*Devis[[#This Row],[Poste 1]]</f>
        <v>0</v>
      </c>
      <c r="W3260" s="74">
        <f>Devis[[#This Row],[Prix de Revient]]*Devis[[#This Row],[Poste 2]]</f>
        <v>0</v>
      </c>
      <c r="X3260" s="74">
        <f>Devis[[#This Row],[Prix de Revient]]*Devis[[#This Row],[Poste 3]]</f>
        <v>0</v>
      </c>
      <c r="Y3260" s="74">
        <f>Devis[[#This Row],[Poste 4]]*Devis[[#This Row],[Prix de Revient]]</f>
        <v>0</v>
      </c>
      <c r="Z3260" s="74">
        <f>Devis[[#This Row],[Poste 5]]*Devis[[#This Row],[Prix de Revient]]</f>
        <v>0</v>
      </c>
      <c r="AA3260" s="74">
        <f>Devis[[#This Row],[Prix de Revient]]*Devis[[#This Row],[Poste 6]]</f>
        <v>0</v>
      </c>
      <c r="AB3260" s="74">
        <f>Devis[[#This Row],[Quantité Totale]]*Devis[[#This Row],[Prix de Revient]]</f>
        <v>0</v>
      </c>
    </row>
    <row r="3261" spans="1:28" ht="14.25" outlineLevel="1" x14ac:dyDescent="0.2">
      <c r="A3261" s="75" t="s">
        <v>3558</v>
      </c>
      <c r="B3261" s="76" t="s">
        <v>2979</v>
      </c>
      <c r="C3261" s="76" t="s">
        <v>3631</v>
      </c>
      <c r="D3261" s="81" t="str">
        <f t="shared" si="59"/>
        <v>Régulation - MesureHygrometrieAPICO</v>
      </c>
      <c r="E3261" s="76" t="s">
        <v>3753</v>
      </c>
      <c r="F3261" s="81">
        <v>5</v>
      </c>
      <c r="G3261" s="86" t="s">
        <v>3752</v>
      </c>
      <c r="H3261" s="71" t="s">
        <v>3634</v>
      </c>
      <c r="I3261" s="75"/>
      <c r="J3261" s="70">
        <f>IFERROR(VLOOKUP(Devis[[#This Row],[Ref Air Flux]],#REF!,3,FALSE),0)</f>
        <v>0</v>
      </c>
      <c r="K3261" s="68"/>
      <c r="L3261" s="68"/>
      <c r="M3261" s="68"/>
      <c r="N3261" s="68"/>
      <c r="O3261" s="68"/>
      <c r="P3261" s="68"/>
      <c r="Q3261" s="68">
        <f>SUM(Devis[[#This Row],[Poste 1]:[Poste 6]])</f>
        <v>0</v>
      </c>
      <c r="R3261" s="71"/>
      <c r="S3261" s="68">
        <f>_xlfn.CEILING.MATH(Devis[[#This Row],[Quantité Totale]],Devis[[#This Row],[Conditionnement]])</f>
        <v>0</v>
      </c>
      <c r="T3261" s="72"/>
      <c r="U3261" s="106"/>
      <c r="V3261" s="74">
        <f>Devis[[#This Row],[Prix de Revient]]*Devis[[#This Row],[Poste 1]]</f>
        <v>0</v>
      </c>
      <c r="W3261" s="74">
        <f>Devis[[#This Row],[Prix de Revient]]*Devis[[#This Row],[Poste 2]]</f>
        <v>0</v>
      </c>
      <c r="X3261" s="74">
        <f>Devis[[#This Row],[Prix de Revient]]*Devis[[#This Row],[Poste 3]]</f>
        <v>0</v>
      </c>
      <c r="Y3261" s="74">
        <f>Devis[[#This Row],[Poste 4]]*Devis[[#This Row],[Prix de Revient]]</f>
        <v>0</v>
      </c>
      <c r="Z3261" s="74">
        <f>Devis[[#This Row],[Poste 5]]*Devis[[#This Row],[Prix de Revient]]</f>
        <v>0</v>
      </c>
      <c r="AA3261" s="74">
        <f>Devis[[#This Row],[Prix de Revient]]*Devis[[#This Row],[Poste 6]]</f>
        <v>0</v>
      </c>
      <c r="AB3261" s="74">
        <f>Devis[[#This Row],[Quantité Totale]]*Devis[[#This Row],[Prix de Revient]]</f>
        <v>0</v>
      </c>
    </row>
    <row r="3262" spans="1:28" ht="14.25" customHeight="1" outlineLevel="1" x14ac:dyDescent="0.2">
      <c r="A3262" s="75" t="s">
        <v>3558</v>
      </c>
      <c r="B3262" s="76" t="s">
        <v>2979</v>
      </c>
      <c r="C3262" s="76" t="s">
        <v>3631</v>
      </c>
      <c r="D3262" s="81" t="str">
        <f t="shared" si="59"/>
        <v>Régulation - MesureHygrometrieAPICO</v>
      </c>
      <c r="E3262" s="76" t="s">
        <v>3755</v>
      </c>
      <c r="F3262" s="81">
        <v>6</v>
      </c>
      <c r="G3262" s="86" t="s">
        <v>3754</v>
      </c>
      <c r="H3262" s="71" t="s">
        <v>3634</v>
      </c>
      <c r="I3262" s="75"/>
      <c r="J3262" s="70">
        <f>IFERROR(VLOOKUP(Devis[[#This Row],[Ref Air Flux]],#REF!,3,FALSE),0)</f>
        <v>0</v>
      </c>
      <c r="K3262" s="68"/>
      <c r="L3262" s="68"/>
      <c r="M3262" s="68"/>
      <c r="N3262" s="68"/>
      <c r="O3262" s="68"/>
      <c r="P3262" s="68"/>
      <c r="Q3262" s="68">
        <f>SUM(Devis[[#This Row],[Poste 1]:[Poste 6]])</f>
        <v>0</v>
      </c>
      <c r="R3262" s="71"/>
      <c r="S3262" s="68">
        <f>_xlfn.CEILING.MATH(Devis[[#This Row],[Quantité Totale]],Devis[[#This Row],[Conditionnement]])</f>
        <v>0</v>
      </c>
      <c r="T3262" s="72"/>
      <c r="U3262" s="106"/>
      <c r="V3262" s="74">
        <f>Devis[[#This Row],[Prix de Revient]]*Devis[[#This Row],[Poste 1]]</f>
        <v>0</v>
      </c>
      <c r="W3262" s="74">
        <f>Devis[[#This Row],[Prix de Revient]]*Devis[[#This Row],[Poste 2]]</f>
        <v>0</v>
      </c>
      <c r="X3262" s="74">
        <f>Devis[[#This Row],[Prix de Revient]]*Devis[[#This Row],[Poste 3]]</f>
        <v>0</v>
      </c>
      <c r="Y3262" s="74">
        <f>Devis[[#This Row],[Poste 4]]*Devis[[#This Row],[Prix de Revient]]</f>
        <v>0</v>
      </c>
      <c r="Z3262" s="74">
        <f>Devis[[#This Row],[Poste 5]]*Devis[[#This Row],[Prix de Revient]]</f>
        <v>0</v>
      </c>
      <c r="AA3262" s="74">
        <f>Devis[[#This Row],[Prix de Revient]]*Devis[[#This Row],[Poste 6]]</f>
        <v>0</v>
      </c>
      <c r="AB3262" s="74">
        <f>Devis[[#This Row],[Quantité Totale]]*Devis[[#This Row],[Prix de Revient]]</f>
        <v>0</v>
      </c>
    </row>
    <row r="3263" spans="1:28" ht="15" customHeight="1" outlineLevel="1" x14ac:dyDescent="0.2">
      <c r="A3263" s="75" t="s">
        <v>3558</v>
      </c>
      <c r="B3263" s="76" t="s">
        <v>2979</v>
      </c>
      <c r="C3263" s="76" t="s">
        <v>3631</v>
      </c>
      <c r="D3263" s="81" t="str">
        <f t="shared" si="59"/>
        <v>Régulation - MesureHygrometrieAPICO</v>
      </c>
      <c r="E3263" s="76" t="s">
        <v>3756</v>
      </c>
      <c r="F3263" s="81">
        <v>7</v>
      </c>
      <c r="G3263" s="86" t="s">
        <v>3757</v>
      </c>
      <c r="H3263" s="71" t="s">
        <v>3634</v>
      </c>
      <c r="I3263" s="75"/>
      <c r="J3263" s="70">
        <f>IFERROR(VLOOKUP(Devis[[#This Row],[Ref Air Flux]],#REF!,3,FALSE),0)</f>
        <v>0</v>
      </c>
      <c r="K3263" s="68"/>
      <c r="L3263" s="68"/>
      <c r="M3263" s="68"/>
      <c r="N3263" s="68"/>
      <c r="O3263" s="68"/>
      <c r="P3263" s="68"/>
      <c r="Q3263" s="68">
        <f>SUM(Devis[[#This Row],[Poste 1]:[Poste 6]])</f>
        <v>0</v>
      </c>
      <c r="R3263" s="71"/>
      <c r="S3263" s="68">
        <f>_xlfn.CEILING.MATH(Devis[[#This Row],[Quantité Totale]],Devis[[#This Row],[Conditionnement]])</f>
        <v>0</v>
      </c>
      <c r="T3263" s="72"/>
      <c r="U3263" s="106"/>
      <c r="V3263" s="74">
        <f>Devis[[#This Row],[Prix de Revient]]*Devis[[#This Row],[Poste 1]]</f>
        <v>0</v>
      </c>
      <c r="W3263" s="74">
        <f>Devis[[#This Row],[Prix de Revient]]*Devis[[#This Row],[Poste 2]]</f>
        <v>0</v>
      </c>
      <c r="X3263" s="74">
        <f>Devis[[#This Row],[Prix de Revient]]*Devis[[#This Row],[Poste 3]]</f>
        <v>0</v>
      </c>
      <c r="Y3263" s="74">
        <f>Devis[[#This Row],[Poste 4]]*Devis[[#This Row],[Prix de Revient]]</f>
        <v>0</v>
      </c>
      <c r="Z3263" s="74">
        <f>Devis[[#This Row],[Poste 5]]*Devis[[#This Row],[Prix de Revient]]</f>
        <v>0</v>
      </c>
      <c r="AA3263" s="74">
        <f>Devis[[#This Row],[Prix de Revient]]*Devis[[#This Row],[Poste 6]]</f>
        <v>0</v>
      </c>
      <c r="AB3263" s="74">
        <f>Devis[[#This Row],[Quantité Totale]]*Devis[[#This Row],[Prix de Revient]]</f>
        <v>0</v>
      </c>
    </row>
    <row r="3264" spans="1:28" ht="14.25" outlineLevel="1" x14ac:dyDescent="0.2">
      <c r="A3264" s="75" t="s">
        <v>3558</v>
      </c>
      <c r="B3264" s="76" t="s">
        <v>2979</v>
      </c>
      <c r="C3264" s="76" t="s">
        <v>3631</v>
      </c>
      <c r="D3264" s="81" t="str">
        <f t="shared" si="59"/>
        <v>Régulation - MesureHygrometrieAPICO</v>
      </c>
      <c r="E3264" s="76" t="s">
        <v>3759</v>
      </c>
      <c r="F3264" s="81">
        <v>8</v>
      </c>
      <c r="G3264" s="86" t="s">
        <v>3758</v>
      </c>
      <c r="H3264" s="71" t="s">
        <v>3634</v>
      </c>
      <c r="I3264" s="75"/>
      <c r="J3264" s="70">
        <f>IFERROR(VLOOKUP(Devis[[#This Row],[Ref Air Flux]],#REF!,3,FALSE),0)</f>
        <v>0</v>
      </c>
      <c r="K3264" s="68"/>
      <c r="L3264" s="68"/>
      <c r="M3264" s="68"/>
      <c r="N3264" s="68"/>
      <c r="O3264" s="68"/>
      <c r="P3264" s="68"/>
      <c r="Q3264" s="68">
        <f>SUM(Devis[[#This Row],[Poste 1]:[Poste 6]])</f>
        <v>0</v>
      </c>
      <c r="R3264" s="71"/>
      <c r="S3264" s="68">
        <f>_xlfn.CEILING.MATH(Devis[[#This Row],[Quantité Totale]],Devis[[#This Row],[Conditionnement]])</f>
        <v>0</v>
      </c>
      <c r="T3264" s="72"/>
      <c r="U3264" s="106"/>
      <c r="V3264" s="74">
        <f>Devis[[#This Row],[Prix de Revient]]*Devis[[#This Row],[Poste 1]]</f>
        <v>0</v>
      </c>
      <c r="W3264" s="74">
        <f>Devis[[#This Row],[Prix de Revient]]*Devis[[#This Row],[Poste 2]]</f>
        <v>0</v>
      </c>
      <c r="X3264" s="74">
        <f>Devis[[#This Row],[Prix de Revient]]*Devis[[#This Row],[Poste 3]]</f>
        <v>0</v>
      </c>
      <c r="Y3264" s="74">
        <f>Devis[[#This Row],[Poste 4]]*Devis[[#This Row],[Prix de Revient]]</f>
        <v>0</v>
      </c>
      <c r="Z3264" s="74">
        <f>Devis[[#This Row],[Poste 5]]*Devis[[#This Row],[Prix de Revient]]</f>
        <v>0</v>
      </c>
      <c r="AA3264" s="74">
        <f>Devis[[#This Row],[Prix de Revient]]*Devis[[#This Row],[Poste 6]]</f>
        <v>0</v>
      </c>
      <c r="AB3264" s="74">
        <f>Devis[[#This Row],[Quantité Totale]]*Devis[[#This Row],[Prix de Revient]]</f>
        <v>0</v>
      </c>
    </row>
    <row r="3265" spans="1:28" ht="14.25" customHeight="1" outlineLevel="1" x14ac:dyDescent="0.2">
      <c r="A3265" s="75" t="s">
        <v>3558</v>
      </c>
      <c r="B3265" s="76" t="s">
        <v>2979</v>
      </c>
      <c r="C3265" s="76" t="s">
        <v>3631</v>
      </c>
      <c r="D3265" s="81" t="str">
        <f t="shared" si="59"/>
        <v>Régulation - MesureHygrometrieAPICO</v>
      </c>
      <c r="E3265" s="76" t="s">
        <v>3760</v>
      </c>
      <c r="F3265" s="81">
        <v>9</v>
      </c>
      <c r="G3265" s="86" t="s">
        <v>3761</v>
      </c>
      <c r="H3265" s="71" t="s">
        <v>3634</v>
      </c>
      <c r="I3265" s="75"/>
      <c r="J3265" s="70">
        <f>IFERROR(VLOOKUP(Devis[[#This Row],[Ref Air Flux]],#REF!,3,FALSE),0)</f>
        <v>0</v>
      </c>
      <c r="K3265" s="68"/>
      <c r="L3265" s="68"/>
      <c r="M3265" s="68"/>
      <c r="N3265" s="68"/>
      <c r="O3265" s="68"/>
      <c r="P3265" s="68"/>
      <c r="Q3265" s="68">
        <f>SUM(Devis[[#This Row],[Poste 1]:[Poste 6]])</f>
        <v>0</v>
      </c>
      <c r="R3265" s="71"/>
      <c r="S3265" s="68">
        <f>_xlfn.CEILING.MATH(Devis[[#This Row],[Quantité Totale]],Devis[[#This Row],[Conditionnement]])</f>
        <v>0</v>
      </c>
      <c r="T3265" s="72"/>
      <c r="U3265" s="106"/>
      <c r="V3265" s="74">
        <f>Devis[[#This Row],[Prix de Revient]]*Devis[[#This Row],[Poste 1]]</f>
        <v>0</v>
      </c>
      <c r="W3265" s="74">
        <f>Devis[[#This Row],[Prix de Revient]]*Devis[[#This Row],[Poste 2]]</f>
        <v>0</v>
      </c>
      <c r="X3265" s="74">
        <f>Devis[[#This Row],[Prix de Revient]]*Devis[[#This Row],[Poste 3]]</f>
        <v>0</v>
      </c>
      <c r="Y3265" s="74">
        <f>Devis[[#This Row],[Poste 4]]*Devis[[#This Row],[Prix de Revient]]</f>
        <v>0</v>
      </c>
      <c r="Z3265" s="74">
        <f>Devis[[#This Row],[Poste 5]]*Devis[[#This Row],[Prix de Revient]]</f>
        <v>0</v>
      </c>
      <c r="AA3265" s="74">
        <f>Devis[[#This Row],[Prix de Revient]]*Devis[[#This Row],[Poste 6]]</f>
        <v>0</v>
      </c>
      <c r="AB3265" s="74">
        <f>Devis[[#This Row],[Quantité Totale]]*Devis[[#This Row],[Prix de Revient]]</f>
        <v>0</v>
      </c>
    </row>
    <row r="3266" spans="1:28" ht="15" customHeight="1" outlineLevel="1" x14ac:dyDescent="0.2">
      <c r="A3266" s="75" t="s">
        <v>3558</v>
      </c>
      <c r="B3266" s="76" t="s">
        <v>2979</v>
      </c>
      <c r="C3266" s="76" t="s">
        <v>3774</v>
      </c>
      <c r="D3266" s="81" t="str">
        <f t="shared" si="59"/>
        <v>Régulation - MesureHygrometrieATC MESURE</v>
      </c>
      <c r="E3266" s="76" t="s">
        <v>3781</v>
      </c>
      <c r="F3266" s="81">
        <v>10</v>
      </c>
      <c r="G3266" s="86" t="s">
        <v>3775</v>
      </c>
      <c r="H3266" s="71" t="s">
        <v>3380</v>
      </c>
      <c r="I3266" s="75"/>
      <c r="J3266" s="70">
        <f>IFERROR(VLOOKUP(Devis[[#This Row],[Ref Air Flux]],#REF!,3,FALSE),0)</f>
        <v>0</v>
      </c>
      <c r="K3266" s="68"/>
      <c r="L3266" s="68"/>
      <c r="M3266" s="68"/>
      <c r="N3266" s="68"/>
      <c r="O3266" s="68"/>
      <c r="P3266" s="68"/>
      <c r="Q3266" s="68">
        <f>SUM(Devis[[#This Row],[Poste 1]:[Poste 6]])</f>
        <v>0</v>
      </c>
      <c r="R3266" s="71"/>
      <c r="S3266" s="68">
        <f>_xlfn.CEILING.MATH(Devis[[#This Row],[Quantité Totale]],Devis[[#This Row],[Conditionnement]])</f>
        <v>0</v>
      </c>
      <c r="T3266" s="72"/>
      <c r="U3266" s="106"/>
      <c r="V3266" s="74">
        <f>Devis[[#This Row],[Prix de Revient]]*Devis[[#This Row],[Poste 1]]</f>
        <v>0</v>
      </c>
      <c r="W3266" s="74">
        <f>Devis[[#This Row],[Prix de Revient]]*Devis[[#This Row],[Poste 2]]</f>
        <v>0</v>
      </c>
      <c r="X3266" s="74">
        <f>Devis[[#This Row],[Prix de Revient]]*Devis[[#This Row],[Poste 3]]</f>
        <v>0</v>
      </c>
      <c r="Y3266" s="74">
        <f>Devis[[#This Row],[Poste 4]]*Devis[[#This Row],[Prix de Revient]]</f>
        <v>0</v>
      </c>
      <c r="Z3266" s="74">
        <f>Devis[[#This Row],[Poste 5]]*Devis[[#This Row],[Prix de Revient]]</f>
        <v>0</v>
      </c>
      <c r="AA3266" s="74">
        <f>Devis[[#This Row],[Prix de Revient]]*Devis[[#This Row],[Poste 6]]</f>
        <v>0</v>
      </c>
      <c r="AB3266" s="74">
        <f>Devis[[#This Row],[Quantité Totale]]*Devis[[#This Row],[Prix de Revient]]</f>
        <v>0</v>
      </c>
    </row>
    <row r="3267" spans="1:28" ht="14.25" customHeight="1" outlineLevel="1" x14ac:dyDescent="0.2">
      <c r="A3267" s="75" t="s">
        <v>3558</v>
      </c>
      <c r="B3267" s="76" t="s">
        <v>2979</v>
      </c>
      <c r="C3267" s="76" t="s">
        <v>3774</v>
      </c>
      <c r="D3267" s="81" t="str">
        <f t="shared" si="59"/>
        <v>Régulation - MesureHygrometrieATC MESURE</v>
      </c>
      <c r="E3267" s="76" t="s">
        <v>3782</v>
      </c>
      <c r="F3267" s="81">
        <v>11</v>
      </c>
      <c r="G3267" s="86" t="s">
        <v>3776</v>
      </c>
      <c r="H3267" s="71" t="s">
        <v>3380</v>
      </c>
      <c r="I3267" s="75"/>
      <c r="J3267" s="70">
        <f>IFERROR(VLOOKUP(Devis[[#This Row],[Ref Air Flux]],#REF!,3,FALSE),0)</f>
        <v>0</v>
      </c>
      <c r="K3267" s="68"/>
      <c r="L3267" s="68"/>
      <c r="M3267" s="68"/>
      <c r="N3267" s="68"/>
      <c r="O3267" s="68"/>
      <c r="P3267" s="68"/>
      <c r="Q3267" s="68">
        <f>SUM(Devis[[#This Row],[Poste 1]:[Poste 6]])</f>
        <v>0</v>
      </c>
      <c r="R3267" s="71"/>
      <c r="S3267" s="68">
        <f>_xlfn.CEILING.MATH(Devis[[#This Row],[Quantité Totale]],Devis[[#This Row],[Conditionnement]])</f>
        <v>0</v>
      </c>
      <c r="T3267" s="72"/>
      <c r="U3267" s="106"/>
      <c r="V3267" s="74">
        <f>Devis[[#This Row],[Prix de Revient]]*Devis[[#This Row],[Poste 1]]</f>
        <v>0</v>
      </c>
      <c r="W3267" s="74">
        <f>Devis[[#This Row],[Prix de Revient]]*Devis[[#This Row],[Poste 2]]</f>
        <v>0</v>
      </c>
      <c r="X3267" s="74">
        <f>Devis[[#This Row],[Prix de Revient]]*Devis[[#This Row],[Poste 3]]</f>
        <v>0</v>
      </c>
      <c r="Y3267" s="74">
        <f>Devis[[#This Row],[Poste 4]]*Devis[[#This Row],[Prix de Revient]]</f>
        <v>0</v>
      </c>
      <c r="Z3267" s="74">
        <f>Devis[[#This Row],[Poste 5]]*Devis[[#This Row],[Prix de Revient]]</f>
        <v>0</v>
      </c>
      <c r="AA3267" s="74">
        <f>Devis[[#This Row],[Prix de Revient]]*Devis[[#This Row],[Poste 6]]</f>
        <v>0</v>
      </c>
      <c r="AB3267" s="74">
        <f>Devis[[#This Row],[Quantité Totale]]*Devis[[#This Row],[Prix de Revient]]</f>
        <v>0</v>
      </c>
    </row>
    <row r="3268" spans="1:28" ht="14.25" outlineLevel="1" x14ac:dyDescent="0.2">
      <c r="A3268" s="75" t="s">
        <v>3558</v>
      </c>
      <c r="B3268" s="76" t="s">
        <v>2979</v>
      </c>
      <c r="C3268" s="76" t="s">
        <v>3774</v>
      </c>
      <c r="D3268" s="81" t="str">
        <f t="shared" ref="D3268:D3289" si="60">A3268&amp;B3268&amp;C3268</f>
        <v>Régulation - MesureHygrometrieATC MESURE</v>
      </c>
      <c r="E3268" s="76" t="s">
        <v>3783</v>
      </c>
      <c r="F3268" s="81">
        <v>12</v>
      </c>
      <c r="G3268" s="86" t="s">
        <v>3777</v>
      </c>
      <c r="H3268" s="71" t="s">
        <v>3380</v>
      </c>
      <c r="I3268" s="75"/>
      <c r="J3268" s="70">
        <f>IFERROR(VLOOKUP(Devis[[#This Row],[Ref Air Flux]],#REF!,3,FALSE),0)</f>
        <v>0</v>
      </c>
      <c r="K3268" s="68"/>
      <c r="L3268" s="68"/>
      <c r="M3268" s="68"/>
      <c r="N3268" s="68"/>
      <c r="O3268" s="68"/>
      <c r="P3268" s="68"/>
      <c r="Q3268" s="68">
        <f>SUM(Devis[[#This Row],[Poste 1]:[Poste 6]])</f>
        <v>0</v>
      </c>
      <c r="R3268" s="71"/>
      <c r="S3268" s="68">
        <f>_xlfn.CEILING.MATH(Devis[[#This Row],[Quantité Totale]],Devis[[#This Row],[Conditionnement]])</f>
        <v>0</v>
      </c>
      <c r="T3268" s="72"/>
      <c r="U3268" s="106"/>
      <c r="V3268" s="74">
        <f>Devis[[#This Row],[Prix de Revient]]*Devis[[#This Row],[Poste 1]]</f>
        <v>0</v>
      </c>
      <c r="W3268" s="74">
        <f>Devis[[#This Row],[Prix de Revient]]*Devis[[#This Row],[Poste 2]]</f>
        <v>0</v>
      </c>
      <c r="X3268" s="74">
        <f>Devis[[#This Row],[Prix de Revient]]*Devis[[#This Row],[Poste 3]]</f>
        <v>0</v>
      </c>
      <c r="Y3268" s="74">
        <f>Devis[[#This Row],[Poste 4]]*Devis[[#This Row],[Prix de Revient]]</f>
        <v>0</v>
      </c>
      <c r="Z3268" s="74">
        <f>Devis[[#This Row],[Poste 5]]*Devis[[#This Row],[Prix de Revient]]</f>
        <v>0</v>
      </c>
      <c r="AA3268" s="74">
        <f>Devis[[#This Row],[Prix de Revient]]*Devis[[#This Row],[Poste 6]]</f>
        <v>0</v>
      </c>
      <c r="AB3268" s="74">
        <f>Devis[[#This Row],[Quantité Totale]]*Devis[[#This Row],[Prix de Revient]]</f>
        <v>0</v>
      </c>
    </row>
    <row r="3269" spans="1:28" ht="14.25" outlineLevel="1" x14ac:dyDescent="0.2">
      <c r="A3269" s="75" t="s">
        <v>3558</v>
      </c>
      <c r="B3269" s="76" t="s">
        <v>2979</v>
      </c>
      <c r="C3269" s="76" t="s">
        <v>3774</v>
      </c>
      <c r="D3269" s="81" t="str">
        <f t="shared" si="60"/>
        <v>Régulation - MesureHygrometrieATC MESURE</v>
      </c>
      <c r="E3269" s="76" t="s">
        <v>3784</v>
      </c>
      <c r="F3269" s="81">
        <v>13</v>
      </c>
      <c r="G3269" s="86" t="s">
        <v>3778</v>
      </c>
      <c r="H3269" s="71" t="s">
        <v>3380</v>
      </c>
      <c r="I3269" s="75"/>
      <c r="J3269" s="70">
        <f>IFERROR(VLOOKUP(Devis[[#This Row],[Ref Air Flux]],#REF!,3,FALSE),0)</f>
        <v>0</v>
      </c>
      <c r="K3269" s="68"/>
      <c r="L3269" s="68"/>
      <c r="M3269" s="68"/>
      <c r="N3269" s="68"/>
      <c r="O3269" s="68"/>
      <c r="P3269" s="68"/>
      <c r="Q3269" s="68">
        <f>SUM(Devis[[#This Row],[Poste 1]:[Poste 6]])</f>
        <v>0</v>
      </c>
      <c r="R3269" s="71"/>
      <c r="S3269" s="68">
        <f>_xlfn.CEILING.MATH(Devis[[#This Row],[Quantité Totale]],Devis[[#This Row],[Conditionnement]])</f>
        <v>0</v>
      </c>
      <c r="T3269" s="72"/>
      <c r="U3269" s="106"/>
      <c r="V3269" s="74">
        <f>Devis[[#This Row],[Prix de Revient]]*Devis[[#This Row],[Poste 1]]</f>
        <v>0</v>
      </c>
      <c r="W3269" s="74">
        <f>Devis[[#This Row],[Prix de Revient]]*Devis[[#This Row],[Poste 2]]</f>
        <v>0</v>
      </c>
      <c r="X3269" s="74">
        <f>Devis[[#This Row],[Prix de Revient]]*Devis[[#This Row],[Poste 3]]</f>
        <v>0</v>
      </c>
      <c r="Y3269" s="74">
        <f>Devis[[#This Row],[Poste 4]]*Devis[[#This Row],[Prix de Revient]]</f>
        <v>0</v>
      </c>
      <c r="Z3269" s="74">
        <f>Devis[[#This Row],[Poste 5]]*Devis[[#This Row],[Prix de Revient]]</f>
        <v>0</v>
      </c>
      <c r="AA3269" s="74">
        <f>Devis[[#This Row],[Prix de Revient]]*Devis[[#This Row],[Poste 6]]</f>
        <v>0</v>
      </c>
      <c r="AB3269" s="74">
        <f>Devis[[#This Row],[Quantité Totale]]*Devis[[#This Row],[Prix de Revient]]</f>
        <v>0</v>
      </c>
    </row>
    <row r="3270" spans="1:28" ht="14.25" outlineLevel="1" x14ac:dyDescent="0.2">
      <c r="A3270" s="75" t="s">
        <v>3558</v>
      </c>
      <c r="B3270" s="76" t="s">
        <v>2979</v>
      </c>
      <c r="C3270" s="76" t="s">
        <v>3774</v>
      </c>
      <c r="D3270" s="81" t="str">
        <f t="shared" si="60"/>
        <v>Régulation - MesureHygrometrieATC MESURE</v>
      </c>
      <c r="E3270" s="76" t="s">
        <v>3785</v>
      </c>
      <c r="F3270" s="81">
        <v>14</v>
      </c>
      <c r="G3270" s="86" t="s">
        <v>3779</v>
      </c>
      <c r="H3270" s="71" t="s">
        <v>3380</v>
      </c>
      <c r="I3270" s="75"/>
      <c r="J3270" s="70">
        <f>IFERROR(VLOOKUP(Devis[[#This Row],[Ref Air Flux]],#REF!,3,FALSE),0)</f>
        <v>0</v>
      </c>
      <c r="K3270" s="68"/>
      <c r="L3270" s="68"/>
      <c r="M3270" s="68"/>
      <c r="N3270" s="68"/>
      <c r="O3270" s="68"/>
      <c r="P3270" s="68"/>
      <c r="Q3270" s="68">
        <f>SUM(Devis[[#This Row],[Poste 1]:[Poste 6]])</f>
        <v>0</v>
      </c>
      <c r="R3270" s="71"/>
      <c r="S3270" s="68">
        <f>_xlfn.CEILING.MATH(Devis[[#This Row],[Quantité Totale]],Devis[[#This Row],[Conditionnement]])</f>
        <v>0</v>
      </c>
      <c r="T3270" s="72"/>
      <c r="U3270" s="106"/>
      <c r="V3270" s="74">
        <f>Devis[[#This Row],[Prix de Revient]]*Devis[[#This Row],[Poste 1]]</f>
        <v>0</v>
      </c>
      <c r="W3270" s="74">
        <f>Devis[[#This Row],[Prix de Revient]]*Devis[[#This Row],[Poste 2]]</f>
        <v>0</v>
      </c>
      <c r="X3270" s="74">
        <f>Devis[[#This Row],[Prix de Revient]]*Devis[[#This Row],[Poste 3]]</f>
        <v>0</v>
      </c>
      <c r="Y3270" s="74">
        <f>Devis[[#This Row],[Poste 4]]*Devis[[#This Row],[Prix de Revient]]</f>
        <v>0</v>
      </c>
      <c r="Z3270" s="74">
        <f>Devis[[#This Row],[Poste 5]]*Devis[[#This Row],[Prix de Revient]]</f>
        <v>0</v>
      </c>
      <c r="AA3270" s="74">
        <f>Devis[[#This Row],[Prix de Revient]]*Devis[[#This Row],[Poste 6]]</f>
        <v>0</v>
      </c>
      <c r="AB3270" s="74">
        <f>Devis[[#This Row],[Quantité Totale]]*Devis[[#This Row],[Prix de Revient]]</f>
        <v>0</v>
      </c>
    </row>
    <row r="3271" spans="1:28" ht="14.25" outlineLevel="1" x14ac:dyDescent="0.2">
      <c r="A3271" s="75" t="s">
        <v>3558</v>
      </c>
      <c r="B3271" s="76" t="s">
        <v>2979</v>
      </c>
      <c r="C3271" s="76" t="s">
        <v>3774</v>
      </c>
      <c r="D3271" s="81" t="str">
        <f t="shared" si="60"/>
        <v>Régulation - MesureHygrometrieATC MESURE</v>
      </c>
      <c r="E3271" s="76" t="s">
        <v>3786</v>
      </c>
      <c r="F3271" s="81">
        <v>15</v>
      </c>
      <c r="G3271" s="86" t="s">
        <v>3780</v>
      </c>
      <c r="H3271" s="71" t="s">
        <v>3380</v>
      </c>
      <c r="I3271" s="75"/>
      <c r="J3271" s="70">
        <f>IFERROR(VLOOKUP(Devis[[#This Row],[Ref Air Flux]],#REF!,3,FALSE),0)</f>
        <v>0</v>
      </c>
      <c r="K3271" s="68"/>
      <c r="L3271" s="68"/>
      <c r="M3271" s="68"/>
      <c r="N3271" s="68"/>
      <c r="O3271" s="68"/>
      <c r="P3271" s="68"/>
      <c r="Q3271" s="68">
        <f>SUM(Devis[[#This Row],[Poste 1]:[Poste 6]])</f>
        <v>0</v>
      </c>
      <c r="R3271" s="71"/>
      <c r="S3271" s="68">
        <f>_xlfn.CEILING.MATH(Devis[[#This Row],[Quantité Totale]],Devis[[#This Row],[Conditionnement]])</f>
        <v>0</v>
      </c>
      <c r="T3271" s="72"/>
      <c r="U3271" s="106"/>
      <c r="V3271" s="74">
        <f>Devis[[#This Row],[Prix de Revient]]*Devis[[#This Row],[Poste 1]]</f>
        <v>0</v>
      </c>
      <c r="W3271" s="74">
        <f>Devis[[#This Row],[Prix de Revient]]*Devis[[#This Row],[Poste 2]]</f>
        <v>0</v>
      </c>
      <c r="X3271" s="74">
        <f>Devis[[#This Row],[Prix de Revient]]*Devis[[#This Row],[Poste 3]]</f>
        <v>0</v>
      </c>
      <c r="Y3271" s="74">
        <f>Devis[[#This Row],[Poste 4]]*Devis[[#This Row],[Prix de Revient]]</f>
        <v>0</v>
      </c>
      <c r="Z3271" s="74">
        <f>Devis[[#This Row],[Poste 5]]*Devis[[#This Row],[Prix de Revient]]</f>
        <v>0</v>
      </c>
      <c r="AA3271" s="74">
        <f>Devis[[#This Row],[Prix de Revient]]*Devis[[#This Row],[Poste 6]]</f>
        <v>0</v>
      </c>
      <c r="AB3271" s="74">
        <f>Devis[[#This Row],[Quantité Totale]]*Devis[[#This Row],[Prix de Revient]]</f>
        <v>0</v>
      </c>
    </row>
    <row r="3272" spans="1:28" ht="14.25" outlineLevel="1" x14ac:dyDescent="0.2">
      <c r="A3272" s="75" t="s">
        <v>3558</v>
      </c>
      <c r="B3272" s="76" t="s">
        <v>2979</v>
      </c>
      <c r="C3272" s="76" t="s">
        <v>3774</v>
      </c>
      <c r="D3272" s="81" t="str">
        <f t="shared" si="60"/>
        <v>Régulation - MesureHygrometrieATC MESURE</v>
      </c>
      <c r="E3272" s="76" t="s">
        <v>3787</v>
      </c>
      <c r="F3272" s="81">
        <v>16</v>
      </c>
      <c r="G3272" s="86" t="s">
        <v>3789</v>
      </c>
      <c r="H3272" s="71" t="s">
        <v>3380</v>
      </c>
      <c r="I3272" s="75"/>
      <c r="J3272" s="70">
        <f>IFERROR(VLOOKUP(Devis[[#This Row],[Ref Air Flux]],#REF!,3,FALSE),0)</f>
        <v>0</v>
      </c>
      <c r="K3272" s="68"/>
      <c r="L3272" s="68"/>
      <c r="M3272" s="68"/>
      <c r="N3272" s="68"/>
      <c r="O3272" s="68"/>
      <c r="P3272" s="68"/>
      <c r="Q3272" s="68">
        <f>SUM(Devis[[#This Row],[Poste 1]:[Poste 6]])</f>
        <v>0</v>
      </c>
      <c r="R3272" s="71"/>
      <c r="S3272" s="68">
        <f>_xlfn.CEILING.MATH(Devis[[#This Row],[Quantité Totale]],Devis[[#This Row],[Conditionnement]])</f>
        <v>0</v>
      </c>
      <c r="T3272" s="72"/>
      <c r="U3272" s="106"/>
      <c r="V3272" s="74">
        <f>Devis[[#This Row],[Prix de Revient]]*Devis[[#This Row],[Poste 1]]</f>
        <v>0</v>
      </c>
      <c r="W3272" s="74">
        <f>Devis[[#This Row],[Prix de Revient]]*Devis[[#This Row],[Poste 2]]</f>
        <v>0</v>
      </c>
      <c r="X3272" s="74">
        <f>Devis[[#This Row],[Prix de Revient]]*Devis[[#This Row],[Poste 3]]</f>
        <v>0</v>
      </c>
      <c r="Y3272" s="74">
        <f>Devis[[#This Row],[Poste 4]]*Devis[[#This Row],[Prix de Revient]]</f>
        <v>0</v>
      </c>
      <c r="Z3272" s="74">
        <f>Devis[[#This Row],[Poste 5]]*Devis[[#This Row],[Prix de Revient]]</f>
        <v>0</v>
      </c>
      <c r="AA3272" s="74">
        <f>Devis[[#This Row],[Prix de Revient]]*Devis[[#This Row],[Poste 6]]</f>
        <v>0</v>
      </c>
      <c r="AB3272" s="74">
        <f>Devis[[#This Row],[Quantité Totale]]*Devis[[#This Row],[Prix de Revient]]</f>
        <v>0</v>
      </c>
    </row>
    <row r="3273" spans="1:28" ht="14.25" outlineLevel="1" x14ac:dyDescent="0.2">
      <c r="A3273" s="75" t="s">
        <v>3558</v>
      </c>
      <c r="B3273" s="76" t="s">
        <v>2979</v>
      </c>
      <c r="C3273" s="76" t="s">
        <v>3774</v>
      </c>
      <c r="D3273" s="81" t="str">
        <f t="shared" si="60"/>
        <v>Régulation - MesureHygrometrieATC MESURE</v>
      </c>
      <c r="E3273" s="76" t="s">
        <v>3790</v>
      </c>
      <c r="F3273" s="81">
        <v>17</v>
      </c>
      <c r="G3273" s="86" t="s">
        <v>3788</v>
      </c>
      <c r="H3273" s="71" t="s">
        <v>3380</v>
      </c>
      <c r="I3273" s="75"/>
      <c r="J3273" s="70">
        <f>IFERROR(VLOOKUP(Devis[[#This Row],[Ref Air Flux]],#REF!,3,FALSE),0)</f>
        <v>0</v>
      </c>
      <c r="K3273" s="68"/>
      <c r="L3273" s="68"/>
      <c r="M3273" s="68"/>
      <c r="N3273" s="68"/>
      <c r="O3273" s="68"/>
      <c r="P3273" s="68"/>
      <c r="Q3273" s="68">
        <f>SUM(Devis[[#This Row],[Poste 1]:[Poste 6]])</f>
        <v>0</v>
      </c>
      <c r="R3273" s="71"/>
      <c r="S3273" s="68">
        <f>_xlfn.CEILING.MATH(Devis[[#This Row],[Quantité Totale]],Devis[[#This Row],[Conditionnement]])</f>
        <v>0</v>
      </c>
      <c r="T3273" s="72"/>
      <c r="U3273" s="106"/>
      <c r="V3273" s="74">
        <f>Devis[[#This Row],[Prix de Revient]]*Devis[[#This Row],[Poste 1]]</f>
        <v>0</v>
      </c>
      <c r="W3273" s="74">
        <f>Devis[[#This Row],[Prix de Revient]]*Devis[[#This Row],[Poste 2]]</f>
        <v>0</v>
      </c>
      <c r="X3273" s="74">
        <f>Devis[[#This Row],[Prix de Revient]]*Devis[[#This Row],[Poste 3]]</f>
        <v>0</v>
      </c>
      <c r="Y3273" s="74">
        <f>Devis[[#This Row],[Poste 4]]*Devis[[#This Row],[Prix de Revient]]</f>
        <v>0</v>
      </c>
      <c r="Z3273" s="74">
        <f>Devis[[#This Row],[Poste 5]]*Devis[[#This Row],[Prix de Revient]]</f>
        <v>0</v>
      </c>
      <c r="AA3273" s="74">
        <f>Devis[[#This Row],[Prix de Revient]]*Devis[[#This Row],[Poste 6]]</f>
        <v>0</v>
      </c>
      <c r="AB3273" s="74">
        <f>Devis[[#This Row],[Quantité Totale]]*Devis[[#This Row],[Prix de Revient]]</f>
        <v>0</v>
      </c>
    </row>
    <row r="3274" spans="1:28" ht="15" customHeight="1" outlineLevel="1" x14ac:dyDescent="0.2">
      <c r="A3274" s="75" t="s">
        <v>3558</v>
      </c>
      <c r="B3274" s="76" t="s">
        <v>2979</v>
      </c>
      <c r="C3274" s="76" t="s">
        <v>3774</v>
      </c>
      <c r="D3274" s="81" t="str">
        <f t="shared" si="60"/>
        <v>Régulation - MesureHygrometrieATC MESURE</v>
      </c>
      <c r="E3274" s="76" t="s">
        <v>3791</v>
      </c>
      <c r="F3274" s="81">
        <v>18</v>
      </c>
      <c r="G3274" s="86" t="s">
        <v>3792</v>
      </c>
      <c r="H3274" s="71" t="s">
        <v>3380</v>
      </c>
      <c r="I3274" s="75"/>
      <c r="J3274" s="70">
        <f>IFERROR(VLOOKUP(Devis[[#This Row],[Ref Air Flux]],#REF!,3,FALSE),0)</f>
        <v>0</v>
      </c>
      <c r="K3274" s="68"/>
      <c r="L3274" s="68"/>
      <c r="M3274" s="68"/>
      <c r="N3274" s="68"/>
      <c r="O3274" s="68"/>
      <c r="P3274" s="68"/>
      <c r="Q3274" s="68">
        <f>SUM(Devis[[#This Row],[Poste 1]:[Poste 6]])</f>
        <v>0</v>
      </c>
      <c r="R3274" s="71"/>
      <c r="S3274" s="68">
        <f>_xlfn.CEILING.MATH(Devis[[#This Row],[Quantité Totale]],Devis[[#This Row],[Conditionnement]])</f>
        <v>0</v>
      </c>
      <c r="T3274" s="72"/>
      <c r="U3274" s="106"/>
      <c r="V3274" s="74">
        <f>Devis[[#This Row],[Prix de Revient]]*Devis[[#This Row],[Poste 1]]</f>
        <v>0</v>
      </c>
      <c r="W3274" s="74">
        <f>Devis[[#This Row],[Prix de Revient]]*Devis[[#This Row],[Poste 2]]</f>
        <v>0</v>
      </c>
      <c r="X3274" s="74">
        <f>Devis[[#This Row],[Prix de Revient]]*Devis[[#This Row],[Poste 3]]</f>
        <v>0</v>
      </c>
      <c r="Y3274" s="74">
        <f>Devis[[#This Row],[Poste 4]]*Devis[[#This Row],[Prix de Revient]]</f>
        <v>0</v>
      </c>
      <c r="Z3274" s="74">
        <f>Devis[[#This Row],[Poste 5]]*Devis[[#This Row],[Prix de Revient]]</f>
        <v>0</v>
      </c>
      <c r="AA3274" s="74">
        <f>Devis[[#This Row],[Prix de Revient]]*Devis[[#This Row],[Poste 6]]</f>
        <v>0</v>
      </c>
      <c r="AB3274" s="74">
        <f>Devis[[#This Row],[Quantité Totale]]*Devis[[#This Row],[Prix de Revient]]</f>
        <v>0</v>
      </c>
    </row>
    <row r="3275" spans="1:28" ht="14.25" outlineLevel="1" x14ac:dyDescent="0.2">
      <c r="A3275" s="75" t="s">
        <v>3558</v>
      </c>
      <c r="B3275" s="76" t="s">
        <v>2979</v>
      </c>
      <c r="C3275" s="76" t="s">
        <v>3774</v>
      </c>
      <c r="D3275" s="81" t="str">
        <f t="shared" si="60"/>
        <v>Régulation - MesureHygrometrieATC MESURE</v>
      </c>
      <c r="E3275" s="76" t="s">
        <v>3793</v>
      </c>
      <c r="F3275" s="81">
        <v>19</v>
      </c>
      <c r="G3275" s="86" t="s">
        <v>3795</v>
      </c>
      <c r="H3275" s="71" t="s">
        <v>3380</v>
      </c>
      <c r="I3275" s="75"/>
      <c r="J3275" s="70">
        <f>IFERROR(VLOOKUP(Devis[[#This Row],[Ref Air Flux]],#REF!,3,FALSE),0)</f>
        <v>0</v>
      </c>
      <c r="K3275" s="68"/>
      <c r="L3275" s="68"/>
      <c r="M3275" s="68"/>
      <c r="N3275" s="68"/>
      <c r="O3275" s="68"/>
      <c r="P3275" s="68"/>
      <c r="Q3275" s="68">
        <f>SUM(Devis[[#This Row],[Poste 1]:[Poste 6]])</f>
        <v>0</v>
      </c>
      <c r="R3275" s="71"/>
      <c r="S3275" s="68">
        <f>_xlfn.CEILING.MATH(Devis[[#This Row],[Quantité Totale]],Devis[[#This Row],[Conditionnement]])</f>
        <v>0</v>
      </c>
      <c r="T3275" s="72"/>
      <c r="U3275" s="106"/>
      <c r="V3275" s="74">
        <f>Devis[[#This Row],[Prix de Revient]]*Devis[[#This Row],[Poste 1]]</f>
        <v>0</v>
      </c>
      <c r="W3275" s="74">
        <f>Devis[[#This Row],[Prix de Revient]]*Devis[[#This Row],[Poste 2]]</f>
        <v>0</v>
      </c>
      <c r="X3275" s="74">
        <f>Devis[[#This Row],[Prix de Revient]]*Devis[[#This Row],[Poste 3]]</f>
        <v>0</v>
      </c>
      <c r="Y3275" s="74">
        <f>Devis[[#This Row],[Poste 4]]*Devis[[#This Row],[Prix de Revient]]</f>
        <v>0</v>
      </c>
      <c r="Z3275" s="74">
        <f>Devis[[#This Row],[Poste 5]]*Devis[[#This Row],[Prix de Revient]]</f>
        <v>0</v>
      </c>
      <c r="AA3275" s="74">
        <f>Devis[[#This Row],[Prix de Revient]]*Devis[[#This Row],[Poste 6]]</f>
        <v>0</v>
      </c>
      <c r="AB3275" s="74">
        <f>Devis[[#This Row],[Quantité Totale]]*Devis[[#This Row],[Prix de Revient]]</f>
        <v>0</v>
      </c>
    </row>
    <row r="3276" spans="1:28" ht="14.25" customHeight="1" outlineLevel="1" x14ac:dyDescent="0.2">
      <c r="A3276" s="75" t="s">
        <v>3558</v>
      </c>
      <c r="B3276" s="76" t="s">
        <v>2979</v>
      </c>
      <c r="C3276" s="76" t="s">
        <v>3774</v>
      </c>
      <c r="D3276" s="81" t="str">
        <f t="shared" si="60"/>
        <v>Régulation - MesureHygrometrieATC MESURE</v>
      </c>
      <c r="E3276" s="76" t="s">
        <v>3794</v>
      </c>
      <c r="F3276" s="81">
        <v>20</v>
      </c>
      <c r="G3276" s="86" t="s">
        <v>3796</v>
      </c>
      <c r="H3276" s="71" t="s">
        <v>3380</v>
      </c>
      <c r="I3276" s="75"/>
      <c r="J3276" s="70">
        <f>IFERROR(VLOOKUP(Devis[[#This Row],[Ref Air Flux]],#REF!,3,FALSE),0)</f>
        <v>0</v>
      </c>
      <c r="K3276" s="68"/>
      <c r="L3276" s="68"/>
      <c r="M3276" s="68"/>
      <c r="N3276" s="68"/>
      <c r="O3276" s="68"/>
      <c r="P3276" s="68"/>
      <c r="Q3276" s="68">
        <f>SUM(Devis[[#This Row],[Poste 1]:[Poste 6]])</f>
        <v>0</v>
      </c>
      <c r="R3276" s="71"/>
      <c r="S3276" s="68">
        <f>_xlfn.CEILING.MATH(Devis[[#This Row],[Quantité Totale]],Devis[[#This Row],[Conditionnement]])</f>
        <v>0</v>
      </c>
      <c r="T3276" s="72"/>
      <c r="U3276" s="106"/>
      <c r="V3276" s="74">
        <f>Devis[[#This Row],[Prix de Revient]]*Devis[[#This Row],[Poste 1]]</f>
        <v>0</v>
      </c>
      <c r="W3276" s="74">
        <f>Devis[[#This Row],[Prix de Revient]]*Devis[[#This Row],[Poste 2]]</f>
        <v>0</v>
      </c>
      <c r="X3276" s="74">
        <f>Devis[[#This Row],[Prix de Revient]]*Devis[[#This Row],[Poste 3]]</f>
        <v>0</v>
      </c>
      <c r="Y3276" s="74">
        <f>Devis[[#This Row],[Poste 4]]*Devis[[#This Row],[Prix de Revient]]</f>
        <v>0</v>
      </c>
      <c r="Z3276" s="74">
        <f>Devis[[#This Row],[Poste 5]]*Devis[[#This Row],[Prix de Revient]]</f>
        <v>0</v>
      </c>
      <c r="AA3276" s="74">
        <f>Devis[[#This Row],[Prix de Revient]]*Devis[[#This Row],[Poste 6]]</f>
        <v>0</v>
      </c>
      <c r="AB3276" s="74">
        <f>Devis[[#This Row],[Quantité Totale]]*Devis[[#This Row],[Prix de Revient]]</f>
        <v>0</v>
      </c>
    </row>
    <row r="3277" spans="1:28" ht="14.25" outlineLevel="1" x14ac:dyDescent="0.2">
      <c r="A3277" s="75" t="s">
        <v>3558</v>
      </c>
      <c r="B3277" s="76" t="s">
        <v>2979</v>
      </c>
      <c r="C3277" s="76" t="s">
        <v>3774</v>
      </c>
      <c r="D3277" s="81" t="str">
        <f t="shared" si="60"/>
        <v>Régulation - MesureHygrometrieATC MESURE</v>
      </c>
      <c r="E3277" s="76" t="s">
        <v>3802</v>
      </c>
      <c r="F3277" s="81">
        <v>21</v>
      </c>
      <c r="G3277" s="86" t="s">
        <v>3805</v>
      </c>
      <c r="H3277" s="71" t="s">
        <v>3380</v>
      </c>
      <c r="I3277" s="75"/>
      <c r="J3277" s="70">
        <f>IFERROR(VLOOKUP(Devis[[#This Row],[Ref Air Flux]],#REF!,3,FALSE),0)</f>
        <v>0</v>
      </c>
      <c r="K3277" s="68"/>
      <c r="L3277" s="68"/>
      <c r="M3277" s="68"/>
      <c r="N3277" s="68"/>
      <c r="O3277" s="68"/>
      <c r="P3277" s="68"/>
      <c r="Q3277" s="68">
        <f>SUM(Devis[[#This Row],[Poste 1]:[Poste 6]])</f>
        <v>0</v>
      </c>
      <c r="R3277" s="71"/>
      <c r="S3277" s="68">
        <f>_xlfn.CEILING.MATH(Devis[[#This Row],[Quantité Totale]],Devis[[#This Row],[Conditionnement]])</f>
        <v>0</v>
      </c>
      <c r="T3277" s="72"/>
      <c r="U3277" s="106"/>
      <c r="V3277" s="74">
        <f>Devis[[#This Row],[Prix de Revient]]*Devis[[#This Row],[Poste 1]]</f>
        <v>0</v>
      </c>
      <c r="W3277" s="74">
        <f>Devis[[#This Row],[Prix de Revient]]*Devis[[#This Row],[Poste 2]]</f>
        <v>0</v>
      </c>
      <c r="X3277" s="74">
        <f>Devis[[#This Row],[Prix de Revient]]*Devis[[#This Row],[Poste 3]]</f>
        <v>0</v>
      </c>
      <c r="Y3277" s="74">
        <f>Devis[[#This Row],[Poste 4]]*Devis[[#This Row],[Prix de Revient]]</f>
        <v>0</v>
      </c>
      <c r="Z3277" s="74">
        <f>Devis[[#This Row],[Poste 5]]*Devis[[#This Row],[Prix de Revient]]</f>
        <v>0</v>
      </c>
      <c r="AA3277" s="74">
        <f>Devis[[#This Row],[Prix de Revient]]*Devis[[#This Row],[Poste 6]]</f>
        <v>0</v>
      </c>
      <c r="AB3277" s="74">
        <f>Devis[[#This Row],[Quantité Totale]]*Devis[[#This Row],[Prix de Revient]]</f>
        <v>0</v>
      </c>
    </row>
    <row r="3278" spans="1:28" ht="14.25" customHeight="1" outlineLevel="1" x14ac:dyDescent="0.2">
      <c r="A3278" s="75" t="s">
        <v>3558</v>
      </c>
      <c r="B3278" s="76" t="s">
        <v>2979</v>
      </c>
      <c r="C3278" s="76" t="s">
        <v>3774</v>
      </c>
      <c r="D3278" s="81" t="str">
        <f t="shared" si="60"/>
        <v>Régulation - MesureHygrometrieATC MESURE</v>
      </c>
      <c r="E3278" s="76" t="s">
        <v>3803</v>
      </c>
      <c r="F3278" s="81">
        <v>22</v>
      </c>
      <c r="G3278" s="86" t="s">
        <v>3806</v>
      </c>
      <c r="H3278" s="71" t="s">
        <v>3380</v>
      </c>
      <c r="I3278" s="75"/>
      <c r="J3278" s="70">
        <f>IFERROR(VLOOKUP(Devis[[#This Row],[Ref Air Flux]],#REF!,3,FALSE),0)</f>
        <v>0</v>
      </c>
      <c r="K3278" s="68"/>
      <c r="L3278" s="68"/>
      <c r="M3278" s="68"/>
      <c r="N3278" s="68"/>
      <c r="O3278" s="68"/>
      <c r="P3278" s="68"/>
      <c r="Q3278" s="68">
        <f>SUM(Devis[[#This Row],[Poste 1]:[Poste 6]])</f>
        <v>0</v>
      </c>
      <c r="R3278" s="71"/>
      <c r="S3278" s="68">
        <f>_xlfn.CEILING.MATH(Devis[[#This Row],[Quantité Totale]],Devis[[#This Row],[Conditionnement]])</f>
        <v>0</v>
      </c>
      <c r="T3278" s="72"/>
      <c r="U3278" s="106"/>
      <c r="V3278" s="74">
        <f>Devis[[#This Row],[Prix de Revient]]*Devis[[#This Row],[Poste 1]]</f>
        <v>0</v>
      </c>
      <c r="W3278" s="74">
        <f>Devis[[#This Row],[Prix de Revient]]*Devis[[#This Row],[Poste 2]]</f>
        <v>0</v>
      </c>
      <c r="X3278" s="74">
        <f>Devis[[#This Row],[Prix de Revient]]*Devis[[#This Row],[Poste 3]]</f>
        <v>0</v>
      </c>
      <c r="Y3278" s="74">
        <f>Devis[[#This Row],[Poste 4]]*Devis[[#This Row],[Prix de Revient]]</f>
        <v>0</v>
      </c>
      <c r="Z3278" s="74">
        <f>Devis[[#This Row],[Poste 5]]*Devis[[#This Row],[Prix de Revient]]</f>
        <v>0</v>
      </c>
      <c r="AA3278" s="74">
        <f>Devis[[#This Row],[Prix de Revient]]*Devis[[#This Row],[Poste 6]]</f>
        <v>0</v>
      </c>
      <c r="AB3278" s="74">
        <f>Devis[[#This Row],[Quantité Totale]]*Devis[[#This Row],[Prix de Revient]]</f>
        <v>0</v>
      </c>
    </row>
    <row r="3279" spans="1:28" ht="14.25" outlineLevel="1" x14ac:dyDescent="0.2">
      <c r="A3279" s="75" t="s">
        <v>3558</v>
      </c>
      <c r="B3279" s="76" t="s">
        <v>2979</v>
      </c>
      <c r="C3279" s="76" t="s">
        <v>3774</v>
      </c>
      <c r="D3279" s="81" t="str">
        <f t="shared" si="60"/>
        <v>Régulation - MesureHygrometrieATC MESURE</v>
      </c>
      <c r="E3279" s="76" t="s">
        <v>3804</v>
      </c>
      <c r="F3279" s="81">
        <v>23</v>
      </c>
      <c r="G3279" s="86" t="s">
        <v>3807</v>
      </c>
      <c r="H3279" s="71" t="s">
        <v>3380</v>
      </c>
      <c r="I3279" s="75"/>
      <c r="J3279" s="70">
        <f>IFERROR(VLOOKUP(Devis[[#This Row],[Ref Air Flux]],#REF!,3,FALSE),0)</f>
        <v>0</v>
      </c>
      <c r="K3279" s="68"/>
      <c r="L3279" s="68"/>
      <c r="M3279" s="68"/>
      <c r="N3279" s="68"/>
      <c r="O3279" s="68"/>
      <c r="P3279" s="68"/>
      <c r="Q3279" s="68">
        <f>SUM(Devis[[#This Row],[Poste 1]:[Poste 6]])</f>
        <v>0</v>
      </c>
      <c r="R3279" s="71"/>
      <c r="S3279" s="68">
        <f>_xlfn.CEILING.MATH(Devis[[#This Row],[Quantité Totale]],Devis[[#This Row],[Conditionnement]])</f>
        <v>0</v>
      </c>
      <c r="T3279" s="72"/>
      <c r="U3279" s="106"/>
      <c r="V3279" s="74">
        <f>Devis[[#This Row],[Prix de Revient]]*Devis[[#This Row],[Poste 1]]</f>
        <v>0</v>
      </c>
      <c r="W3279" s="74">
        <f>Devis[[#This Row],[Prix de Revient]]*Devis[[#This Row],[Poste 2]]</f>
        <v>0</v>
      </c>
      <c r="X3279" s="74">
        <f>Devis[[#This Row],[Prix de Revient]]*Devis[[#This Row],[Poste 3]]</f>
        <v>0</v>
      </c>
      <c r="Y3279" s="74">
        <f>Devis[[#This Row],[Poste 4]]*Devis[[#This Row],[Prix de Revient]]</f>
        <v>0</v>
      </c>
      <c r="Z3279" s="74">
        <f>Devis[[#This Row],[Poste 5]]*Devis[[#This Row],[Prix de Revient]]</f>
        <v>0</v>
      </c>
      <c r="AA3279" s="74">
        <f>Devis[[#This Row],[Prix de Revient]]*Devis[[#This Row],[Poste 6]]</f>
        <v>0</v>
      </c>
      <c r="AB3279" s="74">
        <f>Devis[[#This Row],[Quantité Totale]]*Devis[[#This Row],[Prix de Revient]]</f>
        <v>0</v>
      </c>
    </row>
    <row r="3280" spans="1:28" ht="14.25" outlineLevel="1" x14ac:dyDescent="0.2">
      <c r="A3280" s="75" t="s">
        <v>3558</v>
      </c>
      <c r="B3280" s="76" t="s">
        <v>2979</v>
      </c>
      <c r="C3280" s="76" t="s">
        <v>3774</v>
      </c>
      <c r="D3280" s="81" t="str">
        <f t="shared" si="60"/>
        <v>Régulation - MesureHygrometrieATC MESURE</v>
      </c>
      <c r="E3280" s="76" t="s">
        <v>3797</v>
      </c>
      <c r="F3280" s="81">
        <v>24</v>
      </c>
      <c r="G3280" s="86" t="s">
        <v>3798</v>
      </c>
      <c r="H3280" s="71" t="s">
        <v>3380</v>
      </c>
      <c r="I3280" s="75"/>
      <c r="J3280" s="70">
        <f>IFERROR(VLOOKUP(Devis[[#This Row],[Ref Air Flux]],#REF!,3,FALSE),0)</f>
        <v>0</v>
      </c>
      <c r="K3280" s="68"/>
      <c r="L3280" s="68"/>
      <c r="M3280" s="68"/>
      <c r="N3280" s="68"/>
      <c r="O3280" s="68"/>
      <c r="P3280" s="68"/>
      <c r="Q3280" s="68">
        <f>SUM(Devis[[#This Row],[Poste 1]:[Poste 6]])</f>
        <v>0</v>
      </c>
      <c r="R3280" s="71"/>
      <c r="S3280" s="68">
        <f>_xlfn.CEILING.MATH(Devis[[#This Row],[Quantité Totale]],Devis[[#This Row],[Conditionnement]])</f>
        <v>0</v>
      </c>
      <c r="T3280" s="72"/>
      <c r="U3280" s="106"/>
      <c r="V3280" s="74">
        <f>Devis[[#This Row],[Prix de Revient]]*Devis[[#This Row],[Poste 1]]</f>
        <v>0</v>
      </c>
      <c r="W3280" s="74">
        <f>Devis[[#This Row],[Prix de Revient]]*Devis[[#This Row],[Poste 2]]</f>
        <v>0</v>
      </c>
      <c r="X3280" s="74">
        <f>Devis[[#This Row],[Prix de Revient]]*Devis[[#This Row],[Poste 3]]</f>
        <v>0</v>
      </c>
      <c r="Y3280" s="74">
        <f>Devis[[#This Row],[Poste 4]]*Devis[[#This Row],[Prix de Revient]]</f>
        <v>0</v>
      </c>
      <c r="Z3280" s="74">
        <f>Devis[[#This Row],[Poste 5]]*Devis[[#This Row],[Prix de Revient]]</f>
        <v>0</v>
      </c>
      <c r="AA3280" s="74">
        <f>Devis[[#This Row],[Prix de Revient]]*Devis[[#This Row],[Poste 6]]</f>
        <v>0</v>
      </c>
      <c r="AB3280" s="74">
        <f>Devis[[#This Row],[Quantité Totale]]*Devis[[#This Row],[Prix de Revient]]</f>
        <v>0</v>
      </c>
    </row>
    <row r="3281" spans="1:28" ht="14.25" customHeight="1" x14ac:dyDescent="0.25">
      <c r="A3281" s="65" t="s">
        <v>3558</v>
      </c>
      <c r="B3281" s="65" t="s">
        <v>4197</v>
      </c>
      <c r="C3281" s="65" t="s">
        <v>4198</v>
      </c>
      <c r="D3281" s="81" t="str">
        <f t="shared" si="60"/>
        <v>Régulation - MesureRécup calorieCompteur d'energies</v>
      </c>
      <c r="E3281" s="76"/>
      <c r="F3281" s="81">
        <v>0</v>
      </c>
      <c r="G3281" s="86"/>
      <c r="H3281" s="71"/>
      <c r="I3281" s="75"/>
      <c r="J3281" s="70">
        <f>IFERROR(VLOOKUP(Devis[[#This Row],[Ref Air Flux]],#REF!,3,FALSE),0)</f>
        <v>0</v>
      </c>
      <c r="K3281" s="68"/>
      <c r="L3281" s="68"/>
      <c r="M3281" s="68"/>
      <c r="N3281" s="68"/>
      <c r="O3281" s="68"/>
      <c r="P3281" s="68"/>
      <c r="Q3281" s="68">
        <f>SUM(Devis[[#This Row],[Poste 1]:[Poste 6]])</f>
        <v>0</v>
      </c>
      <c r="R3281" s="71"/>
      <c r="S3281" s="68">
        <f>_xlfn.CEILING.MATH(Devis[[#This Row],[Quantité Totale]],Devis[[#This Row],[Conditionnement]])</f>
        <v>0</v>
      </c>
      <c r="T3281" s="72"/>
      <c r="U3281" s="106"/>
      <c r="V3281" s="74">
        <f>Devis[[#This Row],[Prix de Revient]]*Devis[[#This Row],[Poste 1]]</f>
        <v>0</v>
      </c>
      <c r="W3281" s="74">
        <f>Devis[[#This Row],[Prix de Revient]]*Devis[[#This Row],[Poste 2]]</f>
        <v>0</v>
      </c>
      <c r="X3281" s="74">
        <f>Devis[[#This Row],[Prix de Revient]]*Devis[[#This Row],[Poste 3]]</f>
        <v>0</v>
      </c>
      <c r="Y3281" s="74">
        <f>Devis[[#This Row],[Poste 4]]*Devis[[#This Row],[Prix de Revient]]</f>
        <v>0</v>
      </c>
      <c r="Z3281" s="74">
        <f>Devis[[#This Row],[Poste 5]]*Devis[[#This Row],[Prix de Revient]]</f>
        <v>0</v>
      </c>
      <c r="AA3281" s="74">
        <f>Devis[[#This Row],[Prix de Revient]]*Devis[[#This Row],[Poste 6]]</f>
        <v>0</v>
      </c>
      <c r="AB3281" s="74">
        <f>Devis[[#This Row],[Quantité Totale]]*Devis[[#This Row],[Prix de Revient]]</f>
        <v>0</v>
      </c>
    </row>
    <row r="3282" spans="1:28" ht="15" customHeight="1" outlineLevel="1" x14ac:dyDescent="0.2">
      <c r="A3282" s="75" t="s">
        <v>3558</v>
      </c>
      <c r="B3282" s="76" t="s">
        <v>4197</v>
      </c>
      <c r="C3282" s="76" t="s">
        <v>4198</v>
      </c>
      <c r="D3282" s="81" t="str">
        <f t="shared" si="60"/>
        <v>Régulation - MesureRécup calorieCompteur d'energies</v>
      </c>
      <c r="E3282" s="80" t="s">
        <v>2973</v>
      </c>
      <c r="F3282" s="81">
        <v>1</v>
      </c>
      <c r="G3282" s="86" t="s">
        <v>2974</v>
      </c>
      <c r="H3282" s="71" t="s">
        <v>2967</v>
      </c>
      <c r="I3282" s="75"/>
      <c r="J3282" s="70">
        <f>IFERROR(VLOOKUP(Devis[[#This Row],[Ref Air Flux]],#REF!,3,FALSE),0)</f>
        <v>0</v>
      </c>
      <c r="K3282" s="68"/>
      <c r="L3282" s="68"/>
      <c r="M3282" s="68"/>
      <c r="N3282" s="68"/>
      <c r="O3282" s="68"/>
      <c r="P3282" s="68"/>
      <c r="Q3282" s="68">
        <f>SUM(Devis[[#This Row],[Poste 1]:[Poste 6]])</f>
        <v>0</v>
      </c>
      <c r="R3282" s="71"/>
      <c r="S3282" s="68">
        <f>_xlfn.CEILING.MATH(Devis[[#This Row],[Quantité Totale]],Devis[[#This Row],[Conditionnement]])</f>
        <v>0</v>
      </c>
      <c r="T3282" s="72"/>
      <c r="U3282" s="106"/>
      <c r="V3282" s="74">
        <f>Devis[[#This Row],[Prix de Revient]]*Devis[[#This Row],[Poste 1]]</f>
        <v>0</v>
      </c>
      <c r="W3282" s="74">
        <f>Devis[[#This Row],[Prix de Revient]]*Devis[[#This Row],[Poste 2]]</f>
        <v>0</v>
      </c>
      <c r="X3282" s="74">
        <f>Devis[[#This Row],[Prix de Revient]]*Devis[[#This Row],[Poste 3]]</f>
        <v>0</v>
      </c>
      <c r="Y3282" s="74">
        <f>Devis[[#This Row],[Poste 4]]*Devis[[#This Row],[Prix de Revient]]</f>
        <v>0</v>
      </c>
      <c r="Z3282" s="74">
        <f>Devis[[#This Row],[Poste 5]]*Devis[[#This Row],[Prix de Revient]]</f>
        <v>0</v>
      </c>
      <c r="AA3282" s="74">
        <f>Devis[[#This Row],[Prix de Revient]]*Devis[[#This Row],[Poste 6]]</f>
        <v>0</v>
      </c>
      <c r="AB3282" s="74">
        <f>Devis[[#This Row],[Quantité Totale]]*Devis[[#This Row],[Prix de Revient]]</f>
        <v>0</v>
      </c>
    </row>
    <row r="3283" spans="1:28" ht="14.25" customHeight="1" outlineLevel="1" x14ac:dyDescent="0.2">
      <c r="A3283" s="75" t="s">
        <v>3558</v>
      </c>
      <c r="B3283" s="76" t="s">
        <v>4197</v>
      </c>
      <c r="C3283" s="76" t="s">
        <v>4198</v>
      </c>
      <c r="D3283" s="81" t="str">
        <f t="shared" si="60"/>
        <v>Régulation - MesureRécup calorieCompteur d'energies</v>
      </c>
      <c r="E3283" s="76" t="s">
        <v>3854</v>
      </c>
      <c r="F3283" s="81">
        <v>2</v>
      </c>
      <c r="G3283" s="86" t="s">
        <v>3855</v>
      </c>
      <c r="H3283" s="71" t="s">
        <v>3563</v>
      </c>
      <c r="I3283" s="75"/>
      <c r="J3283" s="70">
        <f>IFERROR(VLOOKUP(Devis[[#This Row],[Ref Air Flux]],#REF!,3,FALSE),0)</f>
        <v>0</v>
      </c>
      <c r="K3283" s="68"/>
      <c r="L3283" s="68"/>
      <c r="M3283" s="68"/>
      <c r="N3283" s="68"/>
      <c r="O3283" s="68"/>
      <c r="P3283" s="68"/>
      <c r="Q3283" s="68">
        <f>SUM(Devis[[#This Row],[Poste 1]:[Poste 6]])</f>
        <v>0</v>
      </c>
      <c r="R3283" s="71"/>
      <c r="S3283" s="68">
        <f>_xlfn.CEILING.MATH(Devis[[#This Row],[Quantité Totale]],Devis[[#This Row],[Conditionnement]])</f>
        <v>0</v>
      </c>
      <c r="T3283" s="72"/>
      <c r="U3283" s="106"/>
      <c r="V3283" s="74">
        <f>Devis[[#This Row],[Prix de Revient]]*Devis[[#This Row],[Poste 1]]</f>
        <v>0</v>
      </c>
      <c r="W3283" s="74">
        <f>Devis[[#This Row],[Prix de Revient]]*Devis[[#This Row],[Poste 2]]</f>
        <v>0</v>
      </c>
      <c r="X3283" s="74">
        <f>Devis[[#This Row],[Prix de Revient]]*Devis[[#This Row],[Poste 3]]</f>
        <v>0</v>
      </c>
      <c r="Y3283" s="74">
        <f>Devis[[#This Row],[Poste 4]]*Devis[[#This Row],[Prix de Revient]]</f>
        <v>0</v>
      </c>
      <c r="Z3283" s="74">
        <f>Devis[[#This Row],[Poste 5]]*Devis[[#This Row],[Prix de Revient]]</f>
        <v>0</v>
      </c>
      <c r="AA3283" s="74">
        <f>Devis[[#This Row],[Prix de Revient]]*Devis[[#This Row],[Poste 6]]</f>
        <v>0</v>
      </c>
      <c r="AB3283" s="74">
        <f>Devis[[#This Row],[Quantité Totale]]*Devis[[#This Row],[Prix de Revient]]</f>
        <v>0</v>
      </c>
    </row>
    <row r="3284" spans="1:28" ht="14.25" customHeight="1" outlineLevel="1" x14ac:dyDescent="0.2">
      <c r="A3284" s="75" t="s">
        <v>3558</v>
      </c>
      <c r="B3284" s="76" t="s">
        <v>4197</v>
      </c>
      <c r="C3284" s="76" t="s">
        <v>4198</v>
      </c>
      <c r="D3284" s="81" t="str">
        <f t="shared" si="60"/>
        <v>Régulation - MesureRécup calorieCompteur d'energies</v>
      </c>
      <c r="E3284" s="76" t="s">
        <v>3858</v>
      </c>
      <c r="F3284" s="81">
        <v>3</v>
      </c>
      <c r="G3284" s="86" t="s">
        <v>3856</v>
      </c>
      <c r="H3284" s="71" t="s">
        <v>3563</v>
      </c>
      <c r="I3284" s="75"/>
      <c r="J3284" s="70">
        <f>IFERROR(VLOOKUP(Devis[[#This Row],[Ref Air Flux]],#REF!,3,FALSE),0)</f>
        <v>0</v>
      </c>
      <c r="K3284" s="68"/>
      <c r="L3284" s="68"/>
      <c r="M3284" s="68"/>
      <c r="N3284" s="68"/>
      <c r="O3284" s="68"/>
      <c r="P3284" s="68"/>
      <c r="Q3284" s="68">
        <f>SUM(Devis[[#This Row],[Poste 1]:[Poste 6]])</f>
        <v>0</v>
      </c>
      <c r="R3284" s="71"/>
      <c r="S3284" s="68">
        <f>_xlfn.CEILING.MATH(Devis[[#This Row],[Quantité Totale]],Devis[[#This Row],[Conditionnement]])</f>
        <v>0</v>
      </c>
      <c r="T3284" s="72"/>
      <c r="U3284" s="106"/>
      <c r="V3284" s="74">
        <f>Devis[[#This Row],[Prix de Revient]]*Devis[[#This Row],[Poste 1]]</f>
        <v>0</v>
      </c>
      <c r="W3284" s="74">
        <f>Devis[[#This Row],[Prix de Revient]]*Devis[[#This Row],[Poste 2]]</f>
        <v>0</v>
      </c>
      <c r="X3284" s="74">
        <f>Devis[[#This Row],[Prix de Revient]]*Devis[[#This Row],[Poste 3]]</f>
        <v>0</v>
      </c>
      <c r="Y3284" s="74">
        <f>Devis[[#This Row],[Poste 4]]*Devis[[#This Row],[Prix de Revient]]</f>
        <v>0</v>
      </c>
      <c r="Z3284" s="74">
        <f>Devis[[#This Row],[Poste 5]]*Devis[[#This Row],[Prix de Revient]]</f>
        <v>0</v>
      </c>
      <c r="AA3284" s="74">
        <f>Devis[[#This Row],[Prix de Revient]]*Devis[[#This Row],[Poste 6]]</f>
        <v>0</v>
      </c>
      <c r="AB3284" s="74">
        <f>Devis[[#This Row],[Quantité Totale]]*Devis[[#This Row],[Prix de Revient]]</f>
        <v>0</v>
      </c>
    </row>
    <row r="3285" spans="1:28" ht="14.25" customHeight="1" outlineLevel="1" x14ac:dyDescent="0.2">
      <c r="A3285" s="75" t="s">
        <v>3558</v>
      </c>
      <c r="B3285" s="76" t="s">
        <v>4197</v>
      </c>
      <c r="C3285" s="76" t="s">
        <v>4198</v>
      </c>
      <c r="D3285" s="81" t="str">
        <f t="shared" si="60"/>
        <v>Régulation - MesureRécup calorieCompteur d'energies</v>
      </c>
      <c r="E3285" s="76" t="s">
        <v>3859</v>
      </c>
      <c r="F3285" s="81">
        <v>4</v>
      </c>
      <c r="G3285" s="86" t="s">
        <v>3857</v>
      </c>
      <c r="H3285" s="71" t="s">
        <v>3563</v>
      </c>
      <c r="I3285" s="75"/>
      <c r="J3285" s="70">
        <f>IFERROR(VLOOKUP(Devis[[#This Row],[Ref Air Flux]],#REF!,3,FALSE),0)</f>
        <v>0</v>
      </c>
      <c r="K3285" s="68"/>
      <c r="L3285" s="68"/>
      <c r="M3285" s="68"/>
      <c r="N3285" s="68"/>
      <c r="O3285" s="68"/>
      <c r="P3285" s="68"/>
      <c r="Q3285" s="68">
        <f>SUM(Devis[[#This Row],[Poste 1]:[Poste 6]])</f>
        <v>0</v>
      </c>
      <c r="R3285" s="71"/>
      <c r="S3285" s="68">
        <f>_xlfn.CEILING.MATH(Devis[[#This Row],[Quantité Totale]],Devis[[#This Row],[Conditionnement]])</f>
        <v>0</v>
      </c>
      <c r="T3285" s="72"/>
      <c r="U3285" s="106"/>
      <c r="V3285" s="74">
        <f>Devis[[#This Row],[Prix de Revient]]*Devis[[#This Row],[Poste 1]]</f>
        <v>0</v>
      </c>
      <c r="W3285" s="74">
        <f>Devis[[#This Row],[Prix de Revient]]*Devis[[#This Row],[Poste 2]]</f>
        <v>0</v>
      </c>
      <c r="X3285" s="74">
        <f>Devis[[#This Row],[Prix de Revient]]*Devis[[#This Row],[Poste 3]]</f>
        <v>0</v>
      </c>
      <c r="Y3285" s="74">
        <f>Devis[[#This Row],[Poste 4]]*Devis[[#This Row],[Prix de Revient]]</f>
        <v>0</v>
      </c>
      <c r="Z3285" s="74">
        <f>Devis[[#This Row],[Poste 5]]*Devis[[#This Row],[Prix de Revient]]</f>
        <v>0</v>
      </c>
      <c r="AA3285" s="74">
        <f>Devis[[#This Row],[Prix de Revient]]*Devis[[#This Row],[Poste 6]]</f>
        <v>0</v>
      </c>
      <c r="AB3285" s="74">
        <f>Devis[[#This Row],[Quantité Totale]]*Devis[[#This Row],[Prix de Revient]]</f>
        <v>0</v>
      </c>
    </row>
    <row r="3286" spans="1:28" ht="14.25" customHeight="1" outlineLevel="1" x14ac:dyDescent="0.2">
      <c r="A3286" s="75" t="s">
        <v>3558</v>
      </c>
      <c r="B3286" s="76" t="s">
        <v>4197</v>
      </c>
      <c r="C3286" s="76" t="s">
        <v>4198</v>
      </c>
      <c r="D3286" s="81" t="str">
        <f t="shared" si="60"/>
        <v>Régulation - MesureRécup calorieCompteur d'energies</v>
      </c>
      <c r="E3286" s="76" t="s">
        <v>3569</v>
      </c>
      <c r="F3286" s="81">
        <v>5</v>
      </c>
      <c r="G3286" s="86" t="s">
        <v>3561</v>
      </c>
      <c r="H3286" s="71" t="s">
        <v>3563</v>
      </c>
      <c r="I3286" s="75" t="s">
        <v>3566</v>
      </c>
      <c r="J3286" s="70">
        <f>IFERROR(VLOOKUP(Devis[[#This Row],[Ref Air Flux]],#REF!,3,FALSE),0)</f>
        <v>0</v>
      </c>
      <c r="K3286" s="68"/>
      <c r="L3286" s="68"/>
      <c r="M3286" s="68"/>
      <c r="N3286" s="68"/>
      <c r="O3286" s="68"/>
      <c r="P3286" s="68"/>
      <c r="Q3286" s="68">
        <f>SUM(Devis[[#This Row],[Poste 1]:[Poste 6]])</f>
        <v>0</v>
      </c>
      <c r="R3286" s="71"/>
      <c r="S3286" s="68">
        <f>_xlfn.CEILING.MATH(Devis[[#This Row],[Quantité Totale]],Devis[[#This Row],[Conditionnement]])</f>
        <v>0</v>
      </c>
      <c r="T3286" s="72"/>
      <c r="U3286" s="106"/>
      <c r="V3286" s="74">
        <f>Devis[[#This Row],[Prix de Revient]]*Devis[[#This Row],[Poste 1]]</f>
        <v>0</v>
      </c>
      <c r="W3286" s="74">
        <f>Devis[[#This Row],[Prix de Revient]]*Devis[[#This Row],[Poste 2]]</f>
        <v>0</v>
      </c>
      <c r="X3286" s="74">
        <f>Devis[[#This Row],[Prix de Revient]]*Devis[[#This Row],[Poste 3]]</f>
        <v>0</v>
      </c>
      <c r="Y3286" s="74">
        <f>Devis[[#This Row],[Poste 4]]*Devis[[#This Row],[Prix de Revient]]</f>
        <v>0</v>
      </c>
      <c r="Z3286" s="74">
        <f>Devis[[#This Row],[Poste 5]]*Devis[[#This Row],[Prix de Revient]]</f>
        <v>0</v>
      </c>
      <c r="AA3286" s="74">
        <f>Devis[[#This Row],[Prix de Revient]]*Devis[[#This Row],[Poste 6]]</f>
        <v>0</v>
      </c>
      <c r="AB3286" s="74">
        <f>Devis[[#This Row],[Quantité Totale]]*Devis[[#This Row],[Prix de Revient]]</f>
        <v>0</v>
      </c>
    </row>
    <row r="3287" spans="1:28" ht="14.25" customHeight="1" outlineLevel="1" x14ac:dyDescent="0.2">
      <c r="A3287" s="75" t="s">
        <v>3558</v>
      </c>
      <c r="B3287" s="76" t="s">
        <v>4197</v>
      </c>
      <c r="C3287" s="76" t="s">
        <v>4198</v>
      </c>
      <c r="D3287" s="81" t="str">
        <f t="shared" si="60"/>
        <v>Régulation - MesureRécup calorieCompteur d'energies</v>
      </c>
      <c r="E3287" s="76" t="s">
        <v>3568</v>
      </c>
      <c r="F3287" s="81">
        <v>6</v>
      </c>
      <c r="G3287" s="86" t="s">
        <v>3560</v>
      </c>
      <c r="H3287" s="71" t="s">
        <v>3563</v>
      </c>
      <c r="I3287" s="75" t="s">
        <v>3565</v>
      </c>
      <c r="J3287" s="70">
        <f>IFERROR(VLOOKUP(Devis[[#This Row],[Ref Air Flux]],#REF!,3,FALSE),0)</f>
        <v>0</v>
      </c>
      <c r="K3287" s="68"/>
      <c r="L3287" s="68"/>
      <c r="M3287" s="68"/>
      <c r="N3287" s="68"/>
      <c r="O3287" s="68"/>
      <c r="P3287" s="68"/>
      <c r="Q3287" s="68">
        <f>SUM(Devis[[#This Row],[Poste 1]:[Poste 6]])</f>
        <v>0</v>
      </c>
      <c r="R3287" s="71"/>
      <c r="S3287" s="68">
        <f>_xlfn.CEILING.MATH(Devis[[#This Row],[Quantité Totale]],Devis[[#This Row],[Conditionnement]])</f>
        <v>0</v>
      </c>
      <c r="T3287" s="72"/>
      <c r="U3287" s="106"/>
      <c r="V3287" s="74">
        <f>Devis[[#This Row],[Prix de Revient]]*Devis[[#This Row],[Poste 1]]</f>
        <v>0</v>
      </c>
      <c r="W3287" s="74">
        <f>Devis[[#This Row],[Prix de Revient]]*Devis[[#This Row],[Poste 2]]</f>
        <v>0</v>
      </c>
      <c r="X3287" s="74">
        <f>Devis[[#This Row],[Prix de Revient]]*Devis[[#This Row],[Poste 3]]</f>
        <v>0</v>
      </c>
      <c r="Y3287" s="74">
        <f>Devis[[#This Row],[Poste 4]]*Devis[[#This Row],[Prix de Revient]]</f>
        <v>0</v>
      </c>
      <c r="Z3287" s="74">
        <f>Devis[[#This Row],[Poste 5]]*Devis[[#This Row],[Prix de Revient]]</f>
        <v>0</v>
      </c>
      <c r="AA3287" s="74">
        <f>Devis[[#This Row],[Prix de Revient]]*Devis[[#This Row],[Poste 6]]</f>
        <v>0</v>
      </c>
      <c r="AB3287" s="74">
        <f>Devis[[#This Row],[Quantité Totale]]*Devis[[#This Row],[Prix de Revient]]</f>
        <v>0</v>
      </c>
    </row>
    <row r="3288" spans="1:28" ht="14.25" customHeight="1" outlineLevel="1" x14ac:dyDescent="0.2">
      <c r="A3288" s="75" t="s">
        <v>3558</v>
      </c>
      <c r="B3288" s="76" t="s">
        <v>4197</v>
      </c>
      <c r="C3288" s="76" t="s">
        <v>4198</v>
      </c>
      <c r="D3288" s="81" t="str">
        <f t="shared" si="60"/>
        <v>Régulation - MesureRécup calorieCompteur d'energies</v>
      </c>
      <c r="E3288" s="76" t="s">
        <v>3571</v>
      </c>
      <c r="F3288" s="81">
        <v>7</v>
      </c>
      <c r="G3288" s="86" t="s">
        <v>3559</v>
      </c>
      <c r="H3288" s="71" t="s">
        <v>3563</v>
      </c>
      <c r="I3288" s="75" t="s">
        <v>3564</v>
      </c>
      <c r="J3288" s="70">
        <f>IFERROR(VLOOKUP(Devis[[#This Row],[Ref Air Flux]],#REF!,3,FALSE),0)</f>
        <v>0</v>
      </c>
      <c r="K3288" s="68"/>
      <c r="L3288" s="68"/>
      <c r="M3288" s="68"/>
      <c r="N3288" s="68"/>
      <c r="O3288" s="68"/>
      <c r="P3288" s="68"/>
      <c r="Q3288" s="68">
        <f>SUM(Devis[[#This Row],[Poste 1]:[Poste 6]])</f>
        <v>0</v>
      </c>
      <c r="R3288" s="71"/>
      <c r="S3288" s="68">
        <f>_xlfn.CEILING.MATH(Devis[[#This Row],[Quantité Totale]],Devis[[#This Row],[Conditionnement]])</f>
        <v>0</v>
      </c>
      <c r="T3288" s="72"/>
      <c r="U3288" s="106"/>
      <c r="V3288" s="74">
        <f>Devis[[#This Row],[Prix de Revient]]*Devis[[#This Row],[Poste 1]]</f>
        <v>0</v>
      </c>
      <c r="W3288" s="74">
        <f>Devis[[#This Row],[Prix de Revient]]*Devis[[#This Row],[Poste 2]]</f>
        <v>0</v>
      </c>
      <c r="X3288" s="74">
        <f>Devis[[#This Row],[Prix de Revient]]*Devis[[#This Row],[Poste 3]]</f>
        <v>0</v>
      </c>
      <c r="Y3288" s="74">
        <f>Devis[[#This Row],[Poste 4]]*Devis[[#This Row],[Prix de Revient]]</f>
        <v>0</v>
      </c>
      <c r="Z3288" s="74">
        <f>Devis[[#This Row],[Poste 5]]*Devis[[#This Row],[Prix de Revient]]</f>
        <v>0</v>
      </c>
      <c r="AA3288" s="74">
        <f>Devis[[#This Row],[Prix de Revient]]*Devis[[#This Row],[Poste 6]]</f>
        <v>0</v>
      </c>
      <c r="AB3288" s="74">
        <f>Devis[[#This Row],[Quantité Totale]]*Devis[[#This Row],[Prix de Revient]]</f>
        <v>0</v>
      </c>
    </row>
    <row r="3289" spans="1:28" ht="14.25" customHeight="1" outlineLevel="1" x14ac:dyDescent="0.2">
      <c r="A3289" s="75" t="s">
        <v>3558</v>
      </c>
      <c r="B3289" s="76" t="s">
        <v>4197</v>
      </c>
      <c r="C3289" s="76" t="s">
        <v>4198</v>
      </c>
      <c r="D3289" s="81" t="str">
        <f t="shared" si="60"/>
        <v>Régulation - MesureRécup calorieCompteur d'energies</v>
      </c>
      <c r="E3289" s="76" t="s">
        <v>3570</v>
      </c>
      <c r="F3289" s="81">
        <v>8</v>
      </c>
      <c r="G3289" s="86" t="s">
        <v>3562</v>
      </c>
      <c r="H3289" s="71" t="s">
        <v>3563</v>
      </c>
      <c r="I3289" s="75" t="s">
        <v>3567</v>
      </c>
      <c r="J3289" s="70">
        <f>IFERROR(VLOOKUP(Devis[[#This Row],[Ref Air Flux]],#REF!,3,FALSE),0)</f>
        <v>0</v>
      </c>
      <c r="K3289" s="68"/>
      <c r="L3289" s="68"/>
      <c r="M3289" s="68"/>
      <c r="N3289" s="68"/>
      <c r="O3289" s="68"/>
      <c r="P3289" s="68"/>
      <c r="Q3289" s="68">
        <f>SUM(Devis[[#This Row],[Poste 1]:[Poste 6]])</f>
        <v>0</v>
      </c>
      <c r="R3289" s="71"/>
      <c r="S3289" s="68">
        <f>_xlfn.CEILING.MATH(Devis[[#This Row],[Quantité Totale]],Devis[[#This Row],[Conditionnement]])</f>
        <v>0</v>
      </c>
      <c r="T3289" s="72"/>
      <c r="U3289" s="106"/>
      <c r="V3289" s="74">
        <f>Devis[[#This Row],[Prix de Revient]]*Devis[[#This Row],[Poste 1]]</f>
        <v>0</v>
      </c>
      <c r="W3289" s="74">
        <f>Devis[[#This Row],[Prix de Revient]]*Devis[[#This Row],[Poste 2]]</f>
        <v>0</v>
      </c>
      <c r="X3289" s="74">
        <f>Devis[[#This Row],[Prix de Revient]]*Devis[[#This Row],[Poste 3]]</f>
        <v>0</v>
      </c>
      <c r="Y3289" s="74">
        <f>Devis[[#This Row],[Poste 4]]*Devis[[#This Row],[Prix de Revient]]</f>
        <v>0</v>
      </c>
      <c r="Z3289" s="74">
        <f>Devis[[#This Row],[Poste 5]]*Devis[[#This Row],[Prix de Revient]]</f>
        <v>0</v>
      </c>
      <c r="AA3289" s="74">
        <f>Devis[[#This Row],[Prix de Revient]]*Devis[[#This Row],[Poste 6]]</f>
        <v>0</v>
      </c>
      <c r="AB3289" s="74">
        <f>Devis[[#This Row],[Quantité Totale]]*Devis[[#This Row],[Prix de Revient]]</f>
        <v>0</v>
      </c>
    </row>
    <row r="3290" spans="1:28" ht="14.25" customHeight="1" x14ac:dyDescent="0.25">
      <c r="A3290" s="65" t="s">
        <v>3558</v>
      </c>
      <c r="B3290" s="65" t="s">
        <v>3572</v>
      </c>
      <c r="C3290" s="67"/>
      <c r="D3290" s="67" t="str">
        <f>Général!$A1091&amp;Général!$B1091&amp;Général!$C1091</f>
        <v>FlexiblesFLEXIBLE CAOUTCHOUC MM1"1/2</v>
      </c>
      <c r="E3290" s="76"/>
      <c r="F3290" s="67">
        <v>0</v>
      </c>
      <c r="G3290" s="86"/>
      <c r="H3290" s="68"/>
      <c r="I3290" s="69"/>
      <c r="J3290" s="70">
        <f>IFERROR(VLOOKUP(Devis[[#This Row],[Ref Air Flux]],#REF!,3,FALSE),0)</f>
        <v>0</v>
      </c>
      <c r="K3290" s="68"/>
      <c r="L3290" s="68"/>
      <c r="M3290" s="68"/>
      <c r="N3290" s="68"/>
      <c r="O3290" s="68"/>
      <c r="P3290" s="68"/>
      <c r="Q3290" s="68">
        <f>SUM(Devis[[#This Row],[Poste 1]:[Poste 6]])</f>
        <v>0</v>
      </c>
      <c r="R3290" s="71"/>
      <c r="S3290" s="68">
        <f>_xlfn.CEILING.MATH(Devis[[#This Row],[Quantité Totale]],Devis[[#This Row],[Conditionnement]])</f>
        <v>0</v>
      </c>
      <c r="T3290" s="72"/>
      <c r="U3290" s="106"/>
      <c r="V3290" s="74">
        <f>Devis[[#This Row],[Prix de Revient]]*Devis[[#This Row],[Poste 1]]</f>
        <v>0</v>
      </c>
      <c r="W3290" s="74">
        <f>Devis[[#This Row],[Prix de Revient]]*Devis[[#This Row],[Poste 2]]</f>
        <v>0</v>
      </c>
      <c r="X3290" s="74">
        <f>Devis[[#This Row],[Prix de Revient]]*Devis[[#This Row],[Poste 3]]</f>
        <v>0</v>
      </c>
      <c r="Y3290" s="74">
        <f>Devis[[#This Row],[Poste 4]]*Devis[[#This Row],[Prix de Revient]]</f>
        <v>0</v>
      </c>
      <c r="Z3290" s="74">
        <f>Devis[[#This Row],[Poste 5]]*Devis[[#This Row],[Prix de Revient]]</f>
        <v>0</v>
      </c>
      <c r="AA3290" s="74">
        <f>Devis[[#This Row],[Prix de Revient]]*Devis[[#This Row],[Poste 6]]</f>
        <v>0</v>
      </c>
      <c r="AB3290" s="74">
        <f>Devis[[#This Row],[Quantité Totale]]*Devis[[#This Row],[Prix de Revient]]</f>
        <v>0</v>
      </c>
    </row>
    <row r="3291" spans="1:28" ht="14.25" outlineLevel="1" x14ac:dyDescent="0.2">
      <c r="A3291" s="75" t="s">
        <v>3558</v>
      </c>
      <c r="B3291" s="76" t="s">
        <v>3572</v>
      </c>
      <c r="C3291" s="76" t="s">
        <v>2980</v>
      </c>
      <c r="D3291" s="81" t="str">
        <f t="shared" ref="D3291:D3354" si="61">A3291&amp;B3291&amp;C3291</f>
        <v>Régulation - MesureRegulationRégulair Millenium</v>
      </c>
      <c r="E3291" s="110" t="s">
        <v>2980</v>
      </c>
      <c r="F3291" s="81">
        <v>1</v>
      </c>
      <c r="G3291" s="86" t="s">
        <v>2981</v>
      </c>
      <c r="H3291" s="71"/>
      <c r="I3291" s="75"/>
      <c r="J3291" s="70">
        <f>IFERROR(VLOOKUP(Devis[[#This Row],[Ref Air Flux]],#REF!,3,FALSE),0)</f>
        <v>0</v>
      </c>
      <c r="K3291" s="68"/>
      <c r="L3291" s="68"/>
      <c r="M3291" s="68"/>
      <c r="N3291" s="68"/>
      <c r="O3291" s="68"/>
      <c r="P3291" s="68"/>
      <c r="Q3291" s="68">
        <f>SUM(Devis[[#This Row],[Poste 1]:[Poste 6]])</f>
        <v>0</v>
      </c>
      <c r="R3291" s="71"/>
      <c r="S3291" s="68">
        <f>_xlfn.CEILING.MATH(Devis[[#This Row],[Quantité Totale]],Devis[[#This Row],[Conditionnement]])</f>
        <v>0</v>
      </c>
      <c r="T3291" s="72"/>
      <c r="U3291" s="106"/>
      <c r="V3291" s="74">
        <f>Devis[[#This Row],[Prix de Revient]]*Devis[[#This Row],[Poste 1]]</f>
        <v>0</v>
      </c>
      <c r="W3291" s="74">
        <f>Devis[[#This Row],[Prix de Revient]]*Devis[[#This Row],[Poste 2]]</f>
        <v>0</v>
      </c>
      <c r="X3291" s="74">
        <f>Devis[[#This Row],[Prix de Revient]]*Devis[[#This Row],[Poste 3]]</f>
        <v>0</v>
      </c>
      <c r="Y3291" s="74">
        <f>Devis[[#This Row],[Poste 4]]*Devis[[#This Row],[Prix de Revient]]</f>
        <v>0</v>
      </c>
      <c r="Z3291" s="74">
        <f>Devis[[#This Row],[Poste 5]]*Devis[[#This Row],[Prix de Revient]]</f>
        <v>0</v>
      </c>
      <c r="AA3291" s="74">
        <f>Devis[[#This Row],[Prix de Revient]]*Devis[[#This Row],[Poste 6]]</f>
        <v>0</v>
      </c>
      <c r="AB3291" s="74">
        <f>Devis[[#This Row],[Quantité Totale]]*Devis[[#This Row],[Prix de Revient]]</f>
        <v>0</v>
      </c>
    </row>
    <row r="3292" spans="1:28" ht="14.25" customHeight="1" outlineLevel="1" x14ac:dyDescent="0.25">
      <c r="A3292" s="65" t="s">
        <v>3558</v>
      </c>
      <c r="B3292" s="65" t="s">
        <v>3572</v>
      </c>
      <c r="C3292" s="65" t="s">
        <v>3501</v>
      </c>
      <c r="D3292" s="81" t="str">
        <f t="shared" si="61"/>
        <v>Régulation - MesureRegulationKaeser</v>
      </c>
      <c r="E3292" s="88"/>
      <c r="F3292" s="81">
        <v>2</v>
      </c>
      <c r="G3292" s="86"/>
      <c r="H3292" s="71"/>
      <c r="I3292" s="75"/>
      <c r="J3292" s="70">
        <f>IFERROR(VLOOKUP(Devis[[#This Row],[Ref Air Flux]],#REF!,3,FALSE),0)</f>
        <v>0</v>
      </c>
      <c r="K3292" s="68"/>
      <c r="L3292" s="68"/>
      <c r="M3292" s="68"/>
      <c r="N3292" s="68"/>
      <c r="O3292" s="68"/>
      <c r="P3292" s="68"/>
      <c r="Q3292" s="68">
        <f>SUM(Devis[[#This Row],[Poste 1]:[Poste 6]])</f>
        <v>0</v>
      </c>
      <c r="R3292" s="71"/>
      <c r="S3292" s="68">
        <f>_xlfn.CEILING.MATH(Devis[[#This Row],[Quantité Totale]],Devis[[#This Row],[Conditionnement]])</f>
        <v>0</v>
      </c>
      <c r="T3292" s="72"/>
      <c r="U3292" s="106"/>
      <c r="V3292" s="74">
        <f>Devis[[#This Row],[Prix de Revient]]*Devis[[#This Row],[Poste 1]]</f>
        <v>0</v>
      </c>
      <c r="W3292" s="74">
        <f>Devis[[#This Row],[Prix de Revient]]*Devis[[#This Row],[Poste 2]]</f>
        <v>0</v>
      </c>
      <c r="X3292" s="74">
        <f>Devis[[#This Row],[Prix de Revient]]*Devis[[#This Row],[Poste 3]]</f>
        <v>0</v>
      </c>
      <c r="Y3292" s="74">
        <f>Devis[[#This Row],[Poste 4]]*Devis[[#This Row],[Prix de Revient]]</f>
        <v>0</v>
      </c>
      <c r="Z3292" s="74">
        <f>Devis[[#This Row],[Poste 5]]*Devis[[#This Row],[Prix de Revient]]</f>
        <v>0</v>
      </c>
      <c r="AA3292" s="74">
        <f>Devis[[#This Row],[Prix de Revient]]*Devis[[#This Row],[Poste 6]]</f>
        <v>0</v>
      </c>
      <c r="AB3292" s="74">
        <f>Devis[[#This Row],[Quantité Totale]]*Devis[[#This Row],[Prix de Revient]]</f>
        <v>0</v>
      </c>
    </row>
    <row r="3293" spans="1:28" ht="15" customHeight="1" outlineLevel="1" x14ac:dyDescent="0.2">
      <c r="A3293" s="75" t="s">
        <v>3558</v>
      </c>
      <c r="B3293" s="76" t="s">
        <v>3572</v>
      </c>
      <c r="C3293" s="76" t="s">
        <v>3501</v>
      </c>
      <c r="D3293" s="81" t="str">
        <f t="shared" si="61"/>
        <v>Régulation - MesureRegulationKaeser</v>
      </c>
      <c r="E3293" s="88" t="s">
        <v>3544</v>
      </c>
      <c r="F3293" s="81">
        <v>3</v>
      </c>
      <c r="G3293" s="107" t="s">
        <v>3546</v>
      </c>
      <c r="H3293" s="71" t="s">
        <v>3501</v>
      </c>
      <c r="I3293" s="75" t="s">
        <v>3545</v>
      </c>
      <c r="J3293" s="70">
        <f>IFERROR(VLOOKUP(Devis[[#This Row],[Ref Air Flux]],#REF!,3,FALSE),0)</f>
        <v>0</v>
      </c>
      <c r="K3293" s="68"/>
      <c r="L3293" s="68"/>
      <c r="M3293" s="68"/>
      <c r="N3293" s="68"/>
      <c r="O3293" s="68"/>
      <c r="P3293" s="68"/>
      <c r="Q3293" s="68">
        <f>SUM(Devis[[#This Row],[Poste 1]:[Poste 6]])</f>
        <v>0</v>
      </c>
      <c r="R3293" s="71"/>
      <c r="S3293" s="68">
        <f>_xlfn.CEILING.MATH(Devis[[#This Row],[Quantité Totale]],Devis[[#This Row],[Conditionnement]])</f>
        <v>0</v>
      </c>
      <c r="T3293" s="72"/>
      <c r="U3293" s="106"/>
      <c r="V3293" s="74">
        <f>Devis[[#This Row],[Prix de Revient]]*Devis[[#This Row],[Poste 1]]</f>
        <v>0</v>
      </c>
      <c r="W3293" s="74">
        <f>Devis[[#This Row],[Prix de Revient]]*Devis[[#This Row],[Poste 2]]</f>
        <v>0</v>
      </c>
      <c r="X3293" s="74">
        <f>Devis[[#This Row],[Prix de Revient]]*Devis[[#This Row],[Poste 3]]</f>
        <v>0</v>
      </c>
      <c r="Y3293" s="74">
        <f>Devis[[#This Row],[Poste 4]]*Devis[[#This Row],[Prix de Revient]]</f>
        <v>0</v>
      </c>
      <c r="Z3293" s="74">
        <f>Devis[[#This Row],[Poste 5]]*Devis[[#This Row],[Prix de Revient]]</f>
        <v>0</v>
      </c>
      <c r="AA3293" s="74">
        <f>Devis[[#This Row],[Prix de Revient]]*Devis[[#This Row],[Poste 6]]</f>
        <v>0</v>
      </c>
      <c r="AB3293" s="74">
        <f>Devis[[#This Row],[Quantité Totale]]*Devis[[#This Row],[Prix de Revient]]</f>
        <v>0</v>
      </c>
    </row>
    <row r="3294" spans="1:28" ht="14.25" outlineLevel="1" x14ac:dyDescent="0.2">
      <c r="A3294" s="75" t="s">
        <v>3558</v>
      </c>
      <c r="B3294" s="76" t="s">
        <v>3572</v>
      </c>
      <c r="C3294" s="76" t="s">
        <v>3501</v>
      </c>
      <c r="D3294" s="81" t="str">
        <f t="shared" si="61"/>
        <v>Régulation - MesureRegulationKaeser</v>
      </c>
      <c r="E3294" s="88" t="s">
        <v>4199</v>
      </c>
      <c r="F3294" s="81">
        <v>4</v>
      </c>
      <c r="G3294" s="107" t="s">
        <v>3540</v>
      </c>
      <c r="H3294" s="71" t="s">
        <v>3501</v>
      </c>
      <c r="I3294" s="122" t="s">
        <v>3539</v>
      </c>
      <c r="J3294" s="70">
        <f>IFERROR(VLOOKUP(Devis[[#This Row],[Ref Air Flux]],#REF!,3,FALSE),0)</f>
        <v>0</v>
      </c>
      <c r="K3294" s="68"/>
      <c r="L3294" s="68"/>
      <c r="M3294" s="68"/>
      <c r="N3294" s="68"/>
      <c r="O3294" s="68"/>
      <c r="P3294" s="68"/>
      <c r="Q3294" s="68">
        <f>SUM(Devis[[#This Row],[Poste 1]:[Poste 6]])</f>
        <v>0</v>
      </c>
      <c r="R3294" s="71"/>
      <c r="S3294" s="68">
        <f>_xlfn.CEILING.MATH(Devis[[#This Row],[Quantité Totale]],Devis[[#This Row],[Conditionnement]])</f>
        <v>0</v>
      </c>
      <c r="T3294" s="72"/>
      <c r="U3294" s="106"/>
      <c r="V3294" s="74">
        <f>Devis[[#This Row],[Prix de Revient]]*Devis[[#This Row],[Poste 1]]</f>
        <v>0</v>
      </c>
      <c r="W3294" s="74">
        <f>Devis[[#This Row],[Prix de Revient]]*Devis[[#This Row],[Poste 2]]</f>
        <v>0</v>
      </c>
      <c r="X3294" s="74">
        <f>Devis[[#This Row],[Prix de Revient]]*Devis[[#This Row],[Poste 3]]</f>
        <v>0</v>
      </c>
      <c r="Y3294" s="74">
        <f>Devis[[#This Row],[Poste 4]]*Devis[[#This Row],[Prix de Revient]]</f>
        <v>0</v>
      </c>
      <c r="Z3294" s="74">
        <f>Devis[[#This Row],[Poste 5]]*Devis[[#This Row],[Prix de Revient]]</f>
        <v>0</v>
      </c>
      <c r="AA3294" s="74">
        <f>Devis[[#This Row],[Prix de Revient]]*Devis[[#This Row],[Poste 6]]</f>
        <v>0</v>
      </c>
      <c r="AB3294" s="74">
        <f>Devis[[#This Row],[Quantité Totale]]*Devis[[#This Row],[Prix de Revient]]</f>
        <v>0</v>
      </c>
    </row>
    <row r="3295" spans="1:28" ht="14.25" outlineLevel="1" x14ac:dyDescent="0.2">
      <c r="A3295" s="75" t="s">
        <v>3558</v>
      </c>
      <c r="B3295" s="76" t="s">
        <v>3572</v>
      </c>
      <c r="C3295" s="76" t="s">
        <v>3501</v>
      </c>
      <c r="D3295" s="81" t="str">
        <f t="shared" si="61"/>
        <v>Régulation - MesureRegulationKaeser</v>
      </c>
      <c r="E3295" s="88" t="s">
        <v>3541</v>
      </c>
      <c r="F3295" s="81">
        <v>5</v>
      </c>
      <c r="G3295" s="107" t="s">
        <v>3543</v>
      </c>
      <c r="H3295" s="71" t="s">
        <v>3501</v>
      </c>
      <c r="I3295" s="75" t="s">
        <v>3542</v>
      </c>
      <c r="J3295" s="70">
        <f>IFERROR(VLOOKUP(Devis[[#This Row],[Ref Air Flux]],#REF!,3,FALSE),0)</f>
        <v>0</v>
      </c>
      <c r="K3295" s="68"/>
      <c r="L3295" s="68"/>
      <c r="M3295" s="68"/>
      <c r="N3295" s="68"/>
      <c r="O3295" s="68"/>
      <c r="P3295" s="68"/>
      <c r="Q3295" s="68">
        <f>SUM(Devis[[#This Row],[Poste 1]:[Poste 6]])</f>
        <v>0</v>
      </c>
      <c r="R3295" s="71"/>
      <c r="S3295" s="68">
        <f>_xlfn.CEILING.MATH(Devis[[#This Row],[Quantité Totale]],Devis[[#This Row],[Conditionnement]])</f>
        <v>0</v>
      </c>
      <c r="T3295" s="72"/>
      <c r="U3295" s="106"/>
      <c r="V3295" s="74">
        <f>Devis[[#This Row],[Prix de Revient]]*Devis[[#This Row],[Poste 1]]</f>
        <v>0</v>
      </c>
      <c r="W3295" s="74">
        <f>Devis[[#This Row],[Prix de Revient]]*Devis[[#This Row],[Poste 2]]</f>
        <v>0</v>
      </c>
      <c r="X3295" s="74">
        <f>Devis[[#This Row],[Prix de Revient]]*Devis[[#This Row],[Poste 3]]</f>
        <v>0</v>
      </c>
      <c r="Y3295" s="74">
        <f>Devis[[#This Row],[Poste 4]]*Devis[[#This Row],[Prix de Revient]]</f>
        <v>0</v>
      </c>
      <c r="Z3295" s="74">
        <f>Devis[[#This Row],[Poste 5]]*Devis[[#This Row],[Prix de Revient]]</f>
        <v>0</v>
      </c>
      <c r="AA3295" s="74">
        <f>Devis[[#This Row],[Prix de Revient]]*Devis[[#This Row],[Poste 6]]</f>
        <v>0</v>
      </c>
      <c r="AB3295" s="74">
        <f>Devis[[#This Row],[Quantité Totale]]*Devis[[#This Row],[Prix de Revient]]</f>
        <v>0</v>
      </c>
    </row>
    <row r="3296" spans="1:28" ht="14.25" outlineLevel="1" x14ac:dyDescent="0.2">
      <c r="A3296" s="75" t="s">
        <v>3558</v>
      </c>
      <c r="B3296" s="76" t="s">
        <v>3572</v>
      </c>
      <c r="C3296" s="76" t="s">
        <v>3501</v>
      </c>
      <c r="D3296" s="81" t="str">
        <f t="shared" si="61"/>
        <v>Régulation - MesureRegulationKaeser</v>
      </c>
      <c r="E3296" s="76" t="s">
        <v>4200</v>
      </c>
      <c r="F3296" s="81">
        <v>6</v>
      </c>
      <c r="G3296" s="107" t="s">
        <v>4201</v>
      </c>
      <c r="H3296" s="71" t="s">
        <v>3501</v>
      </c>
      <c r="I3296" s="75" t="s">
        <v>4202</v>
      </c>
      <c r="J3296" s="70">
        <f>IFERROR(VLOOKUP(Devis[[#This Row],[Ref Air Flux]],#REF!,3,FALSE),0)</f>
        <v>0</v>
      </c>
      <c r="K3296" s="68"/>
      <c r="L3296" s="68"/>
      <c r="M3296" s="68"/>
      <c r="N3296" s="68"/>
      <c r="O3296" s="68"/>
      <c r="P3296" s="68"/>
      <c r="Q3296" s="68">
        <f>SUM(Devis[[#This Row],[Poste 1]:[Poste 6]])</f>
        <v>0</v>
      </c>
      <c r="R3296" s="71"/>
      <c r="S3296" s="68">
        <f>_xlfn.CEILING.MATH(Devis[[#This Row],[Quantité Totale]],Devis[[#This Row],[Conditionnement]])</f>
        <v>0</v>
      </c>
      <c r="T3296" s="72"/>
      <c r="U3296" s="106"/>
      <c r="V3296" s="74">
        <f>Devis[[#This Row],[Prix de Revient]]*Devis[[#This Row],[Poste 1]]</f>
        <v>0</v>
      </c>
      <c r="W3296" s="74">
        <f>Devis[[#This Row],[Prix de Revient]]*Devis[[#This Row],[Poste 2]]</f>
        <v>0</v>
      </c>
      <c r="X3296" s="74">
        <f>Devis[[#This Row],[Prix de Revient]]*Devis[[#This Row],[Poste 3]]</f>
        <v>0</v>
      </c>
      <c r="Y3296" s="74">
        <f>Devis[[#This Row],[Poste 4]]*Devis[[#This Row],[Prix de Revient]]</f>
        <v>0</v>
      </c>
      <c r="Z3296" s="74">
        <f>Devis[[#This Row],[Poste 5]]*Devis[[#This Row],[Prix de Revient]]</f>
        <v>0</v>
      </c>
      <c r="AA3296" s="74">
        <f>Devis[[#This Row],[Prix de Revient]]*Devis[[#This Row],[Poste 6]]</f>
        <v>0</v>
      </c>
      <c r="AB3296" s="74">
        <f>Devis[[#This Row],[Quantité Totale]]*Devis[[#This Row],[Prix de Revient]]</f>
        <v>0</v>
      </c>
    </row>
    <row r="3297" spans="1:28" ht="14.25" outlineLevel="1" x14ac:dyDescent="0.2">
      <c r="A3297" s="75" t="s">
        <v>3558</v>
      </c>
      <c r="B3297" s="76" t="s">
        <v>3572</v>
      </c>
      <c r="C3297" s="76" t="s">
        <v>3501</v>
      </c>
      <c r="D3297" s="81" t="str">
        <f t="shared" si="61"/>
        <v>Régulation - MesureRegulationKaeser</v>
      </c>
      <c r="E3297" s="88" t="s">
        <v>3538</v>
      </c>
      <c r="F3297" s="81">
        <v>7</v>
      </c>
      <c r="G3297" s="107" t="s">
        <v>4203</v>
      </c>
      <c r="H3297" s="71" t="s">
        <v>3501</v>
      </c>
      <c r="I3297" s="75" t="s">
        <v>4204</v>
      </c>
      <c r="J3297" s="70">
        <f>IFERROR(VLOOKUP(Devis[[#This Row],[Ref Air Flux]],#REF!,3,FALSE),0)</f>
        <v>0</v>
      </c>
      <c r="K3297" s="68"/>
      <c r="L3297" s="68"/>
      <c r="M3297" s="68"/>
      <c r="N3297" s="68"/>
      <c r="O3297" s="68"/>
      <c r="P3297" s="68"/>
      <c r="Q3297" s="68">
        <f>SUM(Devis[[#This Row],[Poste 1]:[Poste 6]])</f>
        <v>0</v>
      </c>
      <c r="R3297" s="71"/>
      <c r="S3297" s="68">
        <f>_xlfn.CEILING.MATH(Devis[[#This Row],[Quantité Totale]],Devis[[#This Row],[Conditionnement]])</f>
        <v>0</v>
      </c>
      <c r="T3297" s="72"/>
      <c r="U3297" s="106"/>
      <c r="V3297" s="74">
        <f>Devis[[#This Row],[Prix de Revient]]*Devis[[#This Row],[Poste 1]]</f>
        <v>0</v>
      </c>
      <c r="W3297" s="74">
        <f>Devis[[#This Row],[Prix de Revient]]*Devis[[#This Row],[Poste 2]]</f>
        <v>0</v>
      </c>
      <c r="X3297" s="74">
        <f>Devis[[#This Row],[Prix de Revient]]*Devis[[#This Row],[Poste 3]]</f>
        <v>0</v>
      </c>
      <c r="Y3297" s="74">
        <f>Devis[[#This Row],[Poste 4]]*Devis[[#This Row],[Prix de Revient]]</f>
        <v>0</v>
      </c>
      <c r="Z3297" s="74">
        <f>Devis[[#This Row],[Poste 5]]*Devis[[#This Row],[Prix de Revient]]</f>
        <v>0</v>
      </c>
      <c r="AA3297" s="74">
        <f>Devis[[#This Row],[Prix de Revient]]*Devis[[#This Row],[Poste 6]]</f>
        <v>0</v>
      </c>
      <c r="AB3297" s="74">
        <f>Devis[[#This Row],[Quantité Totale]]*Devis[[#This Row],[Prix de Revient]]</f>
        <v>0</v>
      </c>
    </row>
    <row r="3298" spans="1:28" ht="14.25" outlineLevel="1" x14ac:dyDescent="0.2">
      <c r="A3298" s="75" t="s">
        <v>3558</v>
      </c>
      <c r="B3298" s="76" t="s">
        <v>3572</v>
      </c>
      <c r="C3298" s="76" t="s">
        <v>3501</v>
      </c>
      <c r="D3298" s="81" t="str">
        <f t="shared" si="61"/>
        <v>Régulation - MesureRegulationKaeser</v>
      </c>
      <c r="E3298" s="76" t="s">
        <v>3502</v>
      </c>
      <c r="F3298" s="81">
        <v>8</v>
      </c>
      <c r="G3298" s="107" t="s">
        <v>3674</v>
      </c>
      <c r="H3298" s="71" t="s">
        <v>3501</v>
      </c>
      <c r="I3298" s="75" t="s">
        <v>4205</v>
      </c>
      <c r="J3298" s="70">
        <f>IFERROR(VLOOKUP(Devis[[#This Row],[Ref Air Flux]],#REF!,3,FALSE),0)</f>
        <v>0</v>
      </c>
      <c r="K3298" s="68"/>
      <c r="L3298" s="68"/>
      <c r="M3298" s="68"/>
      <c r="N3298" s="68"/>
      <c r="O3298" s="68"/>
      <c r="P3298" s="68"/>
      <c r="Q3298" s="68">
        <f>SUM(Devis[[#This Row],[Poste 1]:[Poste 6]])</f>
        <v>0</v>
      </c>
      <c r="R3298" s="71"/>
      <c r="S3298" s="68">
        <f>_xlfn.CEILING.MATH(Devis[[#This Row],[Quantité Totale]],Devis[[#This Row],[Conditionnement]])</f>
        <v>0</v>
      </c>
      <c r="T3298" s="72"/>
      <c r="U3298" s="106"/>
      <c r="V3298" s="74">
        <f>Devis[[#This Row],[Prix de Revient]]*Devis[[#This Row],[Poste 1]]</f>
        <v>0</v>
      </c>
      <c r="W3298" s="74">
        <f>Devis[[#This Row],[Prix de Revient]]*Devis[[#This Row],[Poste 2]]</f>
        <v>0</v>
      </c>
      <c r="X3298" s="74">
        <f>Devis[[#This Row],[Prix de Revient]]*Devis[[#This Row],[Poste 3]]</f>
        <v>0</v>
      </c>
      <c r="Y3298" s="74">
        <f>Devis[[#This Row],[Poste 4]]*Devis[[#This Row],[Prix de Revient]]</f>
        <v>0</v>
      </c>
      <c r="Z3298" s="74">
        <f>Devis[[#This Row],[Poste 5]]*Devis[[#This Row],[Prix de Revient]]</f>
        <v>0</v>
      </c>
      <c r="AA3298" s="74">
        <f>Devis[[#This Row],[Prix de Revient]]*Devis[[#This Row],[Poste 6]]</f>
        <v>0</v>
      </c>
      <c r="AB3298" s="74">
        <f>Devis[[#This Row],[Quantité Totale]]*Devis[[#This Row],[Prix de Revient]]</f>
        <v>0</v>
      </c>
    </row>
    <row r="3299" spans="1:28" ht="14.25" outlineLevel="1" x14ac:dyDescent="0.2">
      <c r="A3299" s="75" t="s">
        <v>3558</v>
      </c>
      <c r="B3299" s="76" t="s">
        <v>3572</v>
      </c>
      <c r="C3299" s="76" t="s">
        <v>3501</v>
      </c>
      <c r="D3299" s="81" t="str">
        <f t="shared" si="61"/>
        <v>Régulation - MesureRegulationKaeser</v>
      </c>
      <c r="E3299" s="76" t="s">
        <v>3504</v>
      </c>
      <c r="F3299" s="81">
        <v>9</v>
      </c>
      <c r="G3299" s="107" t="s">
        <v>4206</v>
      </c>
      <c r="H3299" s="71" t="s">
        <v>3501</v>
      </c>
      <c r="I3299" s="75" t="s">
        <v>4207</v>
      </c>
      <c r="J3299" s="70">
        <f>IFERROR(VLOOKUP(Devis[[#This Row],[Ref Air Flux]],#REF!,3,FALSE),0)</f>
        <v>0</v>
      </c>
      <c r="K3299" s="68"/>
      <c r="L3299" s="68"/>
      <c r="M3299" s="68"/>
      <c r="N3299" s="68"/>
      <c r="O3299" s="68"/>
      <c r="P3299" s="68"/>
      <c r="Q3299" s="68">
        <f>SUM(Devis[[#This Row],[Poste 1]:[Poste 6]])</f>
        <v>0</v>
      </c>
      <c r="R3299" s="71"/>
      <c r="S3299" s="68">
        <f>_xlfn.CEILING.MATH(Devis[[#This Row],[Quantité Totale]],Devis[[#This Row],[Conditionnement]])</f>
        <v>0</v>
      </c>
      <c r="T3299" s="72"/>
      <c r="U3299" s="106"/>
      <c r="V3299" s="74">
        <f>Devis[[#This Row],[Prix de Revient]]*Devis[[#This Row],[Poste 1]]</f>
        <v>0</v>
      </c>
      <c r="W3299" s="74">
        <f>Devis[[#This Row],[Prix de Revient]]*Devis[[#This Row],[Poste 2]]</f>
        <v>0</v>
      </c>
      <c r="X3299" s="74">
        <f>Devis[[#This Row],[Prix de Revient]]*Devis[[#This Row],[Poste 3]]</f>
        <v>0</v>
      </c>
      <c r="Y3299" s="74">
        <f>Devis[[#This Row],[Poste 4]]*Devis[[#This Row],[Prix de Revient]]</f>
        <v>0</v>
      </c>
      <c r="Z3299" s="74">
        <f>Devis[[#This Row],[Poste 5]]*Devis[[#This Row],[Prix de Revient]]</f>
        <v>0</v>
      </c>
      <c r="AA3299" s="74">
        <f>Devis[[#This Row],[Prix de Revient]]*Devis[[#This Row],[Poste 6]]</f>
        <v>0</v>
      </c>
      <c r="AB3299" s="74">
        <f>Devis[[#This Row],[Quantité Totale]]*Devis[[#This Row],[Prix de Revient]]</f>
        <v>0</v>
      </c>
    </row>
    <row r="3300" spans="1:28" ht="14.25" outlineLevel="1" x14ac:dyDescent="0.2">
      <c r="A3300" s="75" t="s">
        <v>3558</v>
      </c>
      <c r="B3300" s="76" t="s">
        <v>3572</v>
      </c>
      <c r="C3300" s="76" t="s">
        <v>3501</v>
      </c>
      <c r="D3300" s="81" t="str">
        <f t="shared" si="61"/>
        <v>Régulation - MesureRegulationKaeser</v>
      </c>
      <c r="E3300" s="76" t="s">
        <v>4208</v>
      </c>
      <c r="F3300" s="81">
        <v>10</v>
      </c>
      <c r="G3300" s="107" t="s">
        <v>4209</v>
      </c>
      <c r="H3300" s="71" t="s">
        <v>3501</v>
      </c>
      <c r="I3300" s="75" t="s">
        <v>3590</v>
      </c>
      <c r="J3300" s="70">
        <f>IFERROR(VLOOKUP(Devis[[#This Row],[Ref Air Flux]],#REF!,3,FALSE),0)</f>
        <v>0</v>
      </c>
      <c r="K3300" s="68"/>
      <c r="L3300" s="68"/>
      <c r="M3300" s="68"/>
      <c r="N3300" s="68"/>
      <c r="O3300" s="68"/>
      <c r="P3300" s="68"/>
      <c r="Q3300" s="68">
        <f>SUM(Devis[[#This Row],[Poste 1]:[Poste 6]])</f>
        <v>0</v>
      </c>
      <c r="R3300" s="71"/>
      <c r="S3300" s="68">
        <f>_xlfn.CEILING.MATH(Devis[[#This Row],[Quantité Totale]],Devis[[#This Row],[Conditionnement]])</f>
        <v>0</v>
      </c>
      <c r="T3300" s="72"/>
      <c r="U3300" s="106"/>
      <c r="V3300" s="74">
        <f>Devis[[#This Row],[Prix de Revient]]*Devis[[#This Row],[Poste 1]]</f>
        <v>0</v>
      </c>
      <c r="W3300" s="74">
        <f>Devis[[#This Row],[Prix de Revient]]*Devis[[#This Row],[Poste 2]]</f>
        <v>0</v>
      </c>
      <c r="X3300" s="74">
        <f>Devis[[#This Row],[Prix de Revient]]*Devis[[#This Row],[Poste 3]]</f>
        <v>0</v>
      </c>
      <c r="Y3300" s="74">
        <f>Devis[[#This Row],[Poste 4]]*Devis[[#This Row],[Prix de Revient]]</f>
        <v>0</v>
      </c>
      <c r="Z3300" s="74">
        <f>Devis[[#This Row],[Poste 5]]*Devis[[#This Row],[Prix de Revient]]</f>
        <v>0</v>
      </c>
      <c r="AA3300" s="74">
        <f>Devis[[#This Row],[Prix de Revient]]*Devis[[#This Row],[Poste 6]]</f>
        <v>0</v>
      </c>
      <c r="AB3300" s="74">
        <f>Devis[[#This Row],[Quantité Totale]]*Devis[[#This Row],[Prix de Revient]]</f>
        <v>0</v>
      </c>
    </row>
    <row r="3301" spans="1:28" ht="14.25" customHeight="1" outlineLevel="1" x14ac:dyDescent="0.2">
      <c r="A3301" s="75" t="s">
        <v>3558</v>
      </c>
      <c r="B3301" s="76" t="s">
        <v>3572</v>
      </c>
      <c r="C3301" s="76" t="s">
        <v>3501</v>
      </c>
      <c r="D3301" s="81" t="str">
        <f t="shared" si="61"/>
        <v>Régulation - MesureRegulationKaeser</v>
      </c>
      <c r="E3301" s="76" t="s">
        <v>3503</v>
      </c>
      <c r="F3301" s="81">
        <v>11</v>
      </c>
      <c r="G3301" s="107" t="s">
        <v>4210</v>
      </c>
      <c r="H3301" s="71" t="s">
        <v>3501</v>
      </c>
      <c r="I3301" s="75" t="s">
        <v>4211</v>
      </c>
      <c r="J3301" s="70">
        <f>IFERROR(VLOOKUP(Devis[[#This Row],[Ref Air Flux]],#REF!,3,FALSE),0)</f>
        <v>0</v>
      </c>
      <c r="K3301" s="68"/>
      <c r="L3301" s="68"/>
      <c r="M3301" s="68"/>
      <c r="N3301" s="68"/>
      <c r="O3301" s="68"/>
      <c r="P3301" s="68"/>
      <c r="Q3301" s="68">
        <f>SUM(Devis[[#This Row],[Poste 1]:[Poste 6]])</f>
        <v>0</v>
      </c>
      <c r="R3301" s="71"/>
      <c r="S3301" s="68">
        <f>_xlfn.CEILING.MATH(Devis[[#This Row],[Quantité Totale]],Devis[[#This Row],[Conditionnement]])</f>
        <v>0</v>
      </c>
      <c r="T3301" s="72"/>
      <c r="U3301" s="106"/>
      <c r="V3301" s="74">
        <f>Devis[[#This Row],[Prix de Revient]]*Devis[[#This Row],[Poste 1]]</f>
        <v>0</v>
      </c>
      <c r="W3301" s="74">
        <f>Devis[[#This Row],[Prix de Revient]]*Devis[[#This Row],[Poste 2]]</f>
        <v>0</v>
      </c>
      <c r="X3301" s="74">
        <f>Devis[[#This Row],[Prix de Revient]]*Devis[[#This Row],[Poste 3]]</f>
        <v>0</v>
      </c>
      <c r="Y3301" s="74">
        <f>Devis[[#This Row],[Poste 4]]*Devis[[#This Row],[Prix de Revient]]</f>
        <v>0</v>
      </c>
      <c r="Z3301" s="74">
        <f>Devis[[#This Row],[Poste 5]]*Devis[[#This Row],[Prix de Revient]]</f>
        <v>0</v>
      </c>
      <c r="AA3301" s="74">
        <f>Devis[[#This Row],[Prix de Revient]]*Devis[[#This Row],[Poste 6]]</f>
        <v>0</v>
      </c>
      <c r="AB3301" s="74">
        <f>Devis[[#This Row],[Quantité Totale]]*Devis[[#This Row],[Prix de Revient]]</f>
        <v>0</v>
      </c>
    </row>
    <row r="3302" spans="1:28" ht="14.25" outlineLevel="1" x14ac:dyDescent="0.2">
      <c r="A3302" s="75" t="s">
        <v>3558</v>
      </c>
      <c r="B3302" s="76" t="s">
        <v>3572</v>
      </c>
      <c r="C3302" s="76" t="s">
        <v>3501</v>
      </c>
      <c r="D3302" s="81" t="str">
        <f t="shared" si="61"/>
        <v>Régulation - MesureRegulationKaeser</v>
      </c>
      <c r="E3302" s="76" t="s">
        <v>3505</v>
      </c>
      <c r="F3302" s="81">
        <v>12</v>
      </c>
      <c r="G3302" s="107" t="s">
        <v>4212</v>
      </c>
      <c r="H3302" s="71" t="s">
        <v>3501</v>
      </c>
      <c r="I3302" s="75" t="s">
        <v>4213</v>
      </c>
      <c r="J3302" s="70">
        <f>IFERROR(VLOOKUP(Devis[[#This Row],[Ref Air Flux]],#REF!,3,FALSE),0)</f>
        <v>0</v>
      </c>
      <c r="K3302" s="68"/>
      <c r="L3302" s="68"/>
      <c r="M3302" s="68"/>
      <c r="N3302" s="68"/>
      <c r="O3302" s="68"/>
      <c r="P3302" s="68"/>
      <c r="Q3302" s="68">
        <f>SUM(Devis[[#This Row],[Poste 1]:[Poste 6]])</f>
        <v>0</v>
      </c>
      <c r="R3302" s="71"/>
      <c r="S3302" s="68">
        <f>_xlfn.CEILING.MATH(Devis[[#This Row],[Quantité Totale]],Devis[[#This Row],[Conditionnement]])</f>
        <v>0</v>
      </c>
      <c r="T3302" s="72"/>
      <c r="U3302" s="106"/>
      <c r="V3302" s="74">
        <f>Devis[[#This Row],[Prix de Revient]]*Devis[[#This Row],[Poste 1]]</f>
        <v>0</v>
      </c>
      <c r="W3302" s="74">
        <f>Devis[[#This Row],[Prix de Revient]]*Devis[[#This Row],[Poste 2]]</f>
        <v>0</v>
      </c>
      <c r="X3302" s="74">
        <f>Devis[[#This Row],[Prix de Revient]]*Devis[[#This Row],[Poste 3]]</f>
        <v>0</v>
      </c>
      <c r="Y3302" s="74">
        <f>Devis[[#This Row],[Poste 4]]*Devis[[#This Row],[Prix de Revient]]</f>
        <v>0</v>
      </c>
      <c r="Z3302" s="74">
        <f>Devis[[#This Row],[Poste 5]]*Devis[[#This Row],[Prix de Revient]]</f>
        <v>0</v>
      </c>
      <c r="AA3302" s="74">
        <f>Devis[[#This Row],[Prix de Revient]]*Devis[[#This Row],[Poste 6]]</f>
        <v>0</v>
      </c>
      <c r="AB3302" s="74">
        <f>Devis[[#This Row],[Quantité Totale]]*Devis[[#This Row],[Prix de Revient]]</f>
        <v>0</v>
      </c>
    </row>
    <row r="3303" spans="1:28" ht="14.25" outlineLevel="1" x14ac:dyDescent="0.2">
      <c r="A3303" s="75" t="s">
        <v>3558</v>
      </c>
      <c r="B3303" s="76" t="s">
        <v>3572</v>
      </c>
      <c r="C3303" s="76" t="s">
        <v>3501</v>
      </c>
      <c r="D3303" s="81" t="str">
        <f t="shared" si="61"/>
        <v>Régulation - MesureRegulationKaeser</v>
      </c>
      <c r="E3303" s="76" t="s">
        <v>3537</v>
      </c>
      <c r="F3303" s="81">
        <v>13</v>
      </c>
      <c r="G3303" s="107" t="s">
        <v>3591</v>
      </c>
      <c r="H3303" s="71" t="s">
        <v>3501</v>
      </c>
      <c r="I3303" s="75" t="s">
        <v>3589</v>
      </c>
      <c r="J3303" s="70">
        <f>IFERROR(VLOOKUP(Devis[[#This Row],[Ref Air Flux]],#REF!,3,FALSE),0)</f>
        <v>0</v>
      </c>
      <c r="K3303" s="68"/>
      <c r="L3303" s="68"/>
      <c r="M3303" s="68"/>
      <c r="N3303" s="68"/>
      <c r="O3303" s="68"/>
      <c r="P3303" s="68"/>
      <c r="Q3303" s="68">
        <f>SUM(Devis[[#This Row],[Poste 1]:[Poste 6]])</f>
        <v>0</v>
      </c>
      <c r="R3303" s="71"/>
      <c r="S3303" s="68">
        <f>_xlfn.CEILING.MATH(Devis[[#This Row],[Quantité Totale]],Devis[[#This Row],[Conditionnement]])</f>
        <v>0</v>
      </c>
      <c r="T3303" s="72"/>
      <c r="U3303" s="106"/>
      <c r="V3303" s="74">
        <f>Devis[[#This Row],[Prix de Revient]]*Devis[[#This Row],[Poste 1]]</f>
        <v>0</v>
      </c>
      <c r="W3303" s="74">
        <f>Devis[[#This Row],[Prix de Revient]]*Devis[[#This Row],[Poste 2]]</f>
        <v>0</v>
      </c>
      <c r="X3303" s="74">
        <f>Devis[[#This Row],[Prix de Revient]]*Devis[[#This Row],[Poste 3]]</f>
        <v>0</v>
      </c>
      <c r="Y3303" s="74">
        <f>Devis[[#This Row],[Poste 4]]*Devis[[#This Row],[Prix de Revient]]</f>
        <v>0</v>
      </c>
      <c r="Z3303" s="74">
        <f>Devis[[#This Row],[Poste 5]]*Devis[[#This Row],[Prix de Revient]]</f>
        <v>0</v>
      </c>
      <c r="AA3303" s="74">
        <f>Devis[[#This Row],[Prix de Revient]]*Devis[[#This Row],[Poste 6]]</f>
        <v>0</v>
      </c>
      <c r="AB3303" s="74">
        <f>Devis[[#This Row],[Quantité Totale]]*Devis[[#This Row],[Prix de Revient]]</f>
        <v>0</v>
      </c>
    </row>
    <row r="3304" spans="1:28" ht="14.25" customHeight="1" outlineLevel="1" x14ac:dyDescent="0.2">
      <c r="A3304" s="75" t="s">
        <v>3558</v>
      </c>
      <c r="B3304" s="76" t="s">
        <v>3572</v>
      </c>
      <c r="C3304" s="76" t="s">
        <v>3501</v>
      </c>
      <c r="D3304" s="81" t="str">
        <f t="shared" si="61"/>
        <v>Régulation - MesureRegulationKaeser</v>
      </c>
      <c r="E3304" s="76" t="s">
        <v>4214</v>
      </c>
      <c r="F3304" s="81">
        <v>14</v>
      </c>
      <c r="G3304" s="107" t="s">
        <v>4215</v>
      </c>
      <c r="H3304" s="71" t="s">
        <v>3501</v>
      </c>
      <c r="I3304" s="75" t="s">
        <v>4216</v>
      </c>
      <c r="J3304" s="70">
        <f>IFERROR(VLOOKUP(Devis[[#This Row],[Ref Air Flux]],#REF!,3,FALSE),0)</f>
        <v>0</v>
      </c>
      <c r="K3304" s="68"/>
      <c r="L3304" s="68"/>
      <c r="M3304" s="68"/>
      <c r="N3304" s="68"/>
      <c r="O3304" s="68"/>
      <c r="P3304" s="68"/>
      <c r="Q3304" s="68">
        <f>SUM(Devis[[#This Row],[Poste 1]:[Poste 6]])</f>
        <v>0</v>
      </c>
      <c r="R3304" s="71"/>
      <c r="S3304" s="68">
        <f>_xlfn.CEILING.MATH(Devis[[#This Row],[Quantité Totale]],Devis[[#This Row],[Conditionnement]])</f>
        <v>0</v>
      </c>
      <c r="T3304" s="72"/>
      <c r="U3304" s="106"/>
      <c r="V3304" s="74">
        <f>Devis[[#This Row],[Prix de Revient]]*Devis[[#This Row],[Poste 1]]</f>
        <v>0</v>
      </c>
      <c r="W3304" s="74">
        <f>Devis[[#This Row],[Prix de Revient]]*Devis[[#This Row],[Poste 2]]</f>
        <v>0</v>
      </c>
      <c r="X3304" s="74">
        <f>Devis[[#This Row],[Prix de Revient]]*Devis[[#This Row],[Poste 3]]</f>
        <v>0</v>
      </c>
      <c r="Y3304" s="74">
        <f>Devis[[#This Row],[Poste 4]]*Devis[[#This Row],[Prix de Revient]]</f>
        <v>0</v>
      </c>
      <c r="Z3304" s="74">
        <f>Devis[[#This Row],[Poste 5]]*Devis[[#This Row],[Prix de Revient]]</f>
        <v>0</v>
      </c>
      <c r="AA3304" s="74">
        <f>Devis[[#This Row],[Prix de Revient]]*Devis[[#This Row],[Poste 6]]</f>
        <v>0</v>
      </c>
      <c r="AB3304" s="74">
        <f>Devis[[#This Row],[Quantité Totale]]*Devis[[#This Row],[Prix de Revient]]</f>
        <v>0</v>
      </c>
    </row>
    <row r="3305" spans="1:28" ht="14.25" outlineLevel="1" x14ac:dyDescent="0.2">
      <c r="A3305" s="75" t="s">
        <v>3558</v>
      </c>
      <c r="B3305" s="76" t="s">
        <v>3572</v>
      </c>
      <c r="C3305" s="76" t="s">
        <v>3501</v>
      </c>
      <c r="D3305" s="81" t="str">
        <f t="shared" si="61"/>
        <v>Régulation - MesureRegulationKaeser</v>
      </c>
      <c r="E3305" s="76" t="s">
        <v>4217</v>
      </c>
      <c r="F3305" s="81">
        <v>15</v>
      </c>
      <c r="G3305" s="107" t="s">
        <v>3878</v>
      </c>
      <c r="H3305" s="71" t="s">
        <v>3501</v>
      </c>
      <c r="I3305" s="75" t="s">
        <v>3878</v>
      </c>
      <c r="J3305" s="70">
        <f>IFERROR(VLOOKUP(Devis[[#This Row],[Ref Air Flux]],#REF!,3,FALSE),0)</f>
        <v>0</v>
      </c>
      <c r="K3305" s="68"/>
      <c r="L3305" s="68"/>
      <c r="M3305" s="68"/>
      <c r="N3305" s="68"/>
      <c r="O3305" s="68"/>
      <c r="P3305" s="68"/>
      <c r="Q3305" s="68">
        <f>SUM(Devis[[#This Row],[Poste 1]:[Poste 6]])</f>
        <v>0</v>
      </c>
      <c r="R3305" s="71"/>
      <c r="S3305" s="68">
        <f>_xlfn.CEILING.MATH(Devis[[#This Row],[Quantité Totale]],Devis[[#This Row],[Conditionnement]])</f>
        <v>0</v>
      </c>
      <c r="T3305" s="72"/>
      <c r="U3305" s="106"/>
      <c r="V3305" s="74">
        <f>Devis[[#This Row],[Prix de Revient]]*Devis[[#This Row],[Poste 1]]</f>
        <v>0</v>
      </c>
      <c r="W3305" s="74">
        <f>Devis[[#This Row],[Prix de Revient]]*Devis[[#This Row],[Poste 2]]</f>
        <v>0</v>
      </c>
      <c r="X3305" s="74">
        <f>Devis[[#This Row],[Prix de Revient]]*Devis[[#This Row],[Poste 3]]</f>
        <v>0</v>
      </c>
      <c r="Y3305" s="74">
        <f>Devis[[#This Row],[Poste 4]]*Devis[[#This Row],[Prix de Revient]]</f>
        <v>0</v>
      </c>
      <c r="Z3305" s="74">
        <f>Devis[[#This Row],[Poste 5]]*Devis[[#This Row],[Prix de Revient]]</f>
        <v>0</v>
      </c>
      <c r="AA3305" s="74">
        <f>Devis[[#This Row],[Prix de Revient]]*Devis[[#This Row],[Poste 6]]</f>
        <v>0</v>
      </c>
      <c r="AB3305" s="74">
        <f>Devis[[#This Row],[Quantité Totale]]*Devis[[#This Row],[Prix de Revient]]</f>
        <v>0</v>
      </c>
    </row>
    <row r="3306" spans="1:28" ht="14.25" outlineLevel="1" x14ac:dyDescent="0.2">
      <c r="A3306" s="75" t="s">
        <v>3558</v>
      </c>
      <c r="B3306" s="76" t="s">
        <v>3572</v>
      </c>
      <c r="C3306" s="76" t="s">
        <v>3501</v>
      </c>
      <c r="D3306" s="81" t="str">
        <f t="shared" si="61"/>
        <v>Régulation - MesureRegulationKaeser</v>
      </c>
      <c r="E3306" s="76" t="s">
        <v>4218</v>
      </c>
      <c r="F3306" s="81">
        <v>16</v>
      </c>
      <c r="G3306" s="107" t="s">
        <v>4219</v>
      </c>
      <c r="H3306" s="71" t="s">
        <v>3501</v>
      </c>
      <c r="I3306" s="75" t="s">
        <v>3879</v>
      </c>
      <c r="J3306" s="70">
        <f>IFERROR(VLOOKUP(Devis[[#This Row],[Ref Air Flux]],#REF!,3,FALSE),0)</f>
        <v>0</v>
      </c>
      <c r="K3306" s="68"/>
      <c r="L3306" s="68"/>
      <c r="M3306" s="68"/>
      <c r="N3306" s="68"/>
      <c r="O3306" s="68"/>
      <c r="P3306" s="68"/>
      <c r="Q3306" s="68">
        <f>SUM(Devis[[#This Row],[Poste 1]:[Poste 6]])</f>
        <v>0</v>
      </c>
      <c r="R3306" s="71"/>
      <c r="S3306" s="68">
        <f>_xlfn.CEILING.MATH(Devis[[#This Row],[Quantité Totale]],Devis[[#This Row],[Conditionnement]])</f>
        <v>0</v>
      </c>
      <c r="T3306" s="72"/>
      <c r="U3306" s="106"/>
      <c r="V3306" s="74">
        <f>Devis[[#This Row],[Prix de Revient]]*Devis[[#This Row],[Poste 1]]</f>
        <v>0</v>
      </c>
      <c r="W3306" s="74">
        <f>Devis[[#This Row],[Prix de Revient]]*Devis[[#This Row],[Poste 2]]</f>
        <v>0</v>
      </c>
      <c r="X3306" s="74">
        <f>Devis[[#This Row],[Prix de Revient]]*Devis[[#This Row],[Poste 3]]</f>
        <v>0</v>
      </c>
      <c r="Y3306" s="74">
        <f>Devis[[#This Row],[Poste 4]]*Devis[[#This Row],[Prix de Revient]]</f>
        <v>0</v>
      </c>
      <c r="Z3306" s="74">
        <f>Devis[[#This Row],[Poste 5]]*Devis[[#This Row],[Prix de Revient]]</f>
        <v>0</v>
      </c>
      <c r="AA3306" s="74">
        <f>Devis[[#This Row],[Prix de Revient]]*Devis[[#This Row],[Poste 6]]</f>
        <v>0</v>
      </c>
      <c r="AB3306" s="74">
        <f>Devis[[#This Row],[Quantité Totale]]*Devis[[#This Row],[Prix de Revient]]</f>
        <v>0</v>
      </c>
    </row>
    <row r="3307" spans="1:28" ht="14.25" outlineLevel="1" x14ac:dyDescent="0.2">
      <c r="A3307" s="75" t="s">
        <v>3558</v>
      </c>
      <c r="B3307" s="76" t="s">
        <v>3572</v>
      </c>
      <c r="C3307" s="76" t="s">
        <v>3501</v>
      </c>
      <c r="D3307" s="81" t="str">
        <f t="shared" si="61"/>
        <v>Régulation - MesureRegulationKaeser</v>
      </c>
      <c r="E3307" s="76" t="s">
        <v>4220</v>
      </c>
      <c r="F3307" s="81">
        <v>17</v>
      </c>
      <c r="G3307" s="107" t="s">
        <v>4221</v>
      </c>
      <c r="H3307" s="71" t="s">
        <v>3501</v>
      </c>
      <c r="I3307" s="75" t="s">
        <v>4221</v>
      </c>
      <c r="J3307" s="70">
        <f>IFERROR(VLOOKUP(Devis[[#This Row],[Ref Air Flux]],#REF!,3,FALSE),0)</f>
        <v>0</v>
      </c>
      <c r="K3307" s="68"/>
      <c r="L3307" s="68"/>
      <c r="M3307" s="68"/>
      <c r="N3307" s="68"/>
      <c r="O3307" s="68"/>
      <c r="P3307" s="68"/>
      <c r="Q3307" s="68">
        <f>SUM(Devis[[#This Row],[Poste 1]:[Poste 6]])</f>
        <v>0</v>
      </c>
      <c r="R3307" s="71"/>
      <c r="S3307" s="68">
        <f>_xlfn.CEILING.MATH(Devis[[#This Row],[Quantité Totale]],Devis[[#This Row],[Conditionnement]])</f>
        <v>0</v>
      </c>
      <c r="T3307" s="72"/>
      <c r="U3307" s="106"/>
      <c r="V3307" s="74">
        <f>Devis[[#This Row],[Prix de Revient]]*Devis[[#This Row],[Poste 1]]</f>
        <v>0</v>
      </c>
      <c r="W3307" s="74">
        <f>Devis[[#This Row],[Prix de Revient]]*Devis[[#This Row],[Poste 2]]</f>
        <v>0</v>
      </c>
      <c r="X3307" s="74">
        <f>Devis[[#This Row],[Prix de Revient]]*Devis[[#This Row],[Poste 3]]</f>
        <v>0</v>
      </c>
      <c r="Y3307" s="74">
        <f>Devis[[#This Row],[Poste 4]]*Devis[[#This Row],[Prix de Revient]]</f>
        <v>0</v>
      </c>
      <c r="Z3307" s="74">
        <f>Devis[[#This Row],[Poste 5]]*Devis[[#This Row],[Prix de Revient]]</f>
        <v>0</v>
      </c>
      <c r="AA3307" s="74">
        <f>Devis[[#This Row],[Prix de Revient]]*Devis[[#This Row],[Poste 6]]</f>
        <v>0</v>
      </c>
      <c r="AB3307" s="74">
        <f>Devis[[#This Row],[Quantité Totale]]*Devis[[#This Row],[Prix de Revient]]</f>
        <v>0</v>
      </c>
    </row>
    <row r="3308" spans="1:28" ht="14.25" outlineLevel="1" x14ac:dyDescent="0.2">
      <c r="A3308" s="75" t="s">
        <v>3558</v>
      </c>
      <c r="B3308" s="76" t="s">
        <v>3572</v>
      </c>
      <c r="C3308" s="76" t="s">
        <v>3501</v>
      </c>
      <c r="D3308" s="81" t="str">
        <f t="shared" si="61"/>
        <v>Régulation - MesureRegulationKaeser</v>
      </c>
      <c r="E3308" s="76" t="s">
        <v>3629</v>
      </c>
      <c r="F3308" s="81">
        <v>18</v>
      </c>
      <c r="G3308" s="107" t="s">
        <v>4222</v>
      </c>
      <c r="H3308" s="71" t="s">
        <v>3501</v>
      </c>
      <c r="I3308" s="75" t="s">
        <v>4223</v>
      </c>
      <c r="J3308" s="70">
        <f>IFERROR(VLOOKUP(Devis[[#This Row],[Ref Air Flux]],#REF!,3,FALSE),0)</f>
        <v>0</v>
      </c>
      <c r="K3308" s="68"/>
      <c r="L3308" s="68"/>
      <c r="M3308" s="68"/>
      <c r="N3308" s="68"/>
      <c r="O3308" s="68"/>
      <c r="P3308" s="68"/>
      <c r="Q3308" s="68">
        <f>SUM(Devis[[#This Row],[Poste 1]:[Poste 6]])</f>
        <v>0</v>
      </c>
      <c r="R3308" s="71"/>
      <c r="S3308" s="68">
        <f>_xlfn.CEILING.MATH(Devis[[#This Row],[Quantité Totale]],Devis[[#This Row],[Conditionnement]])</f>
        <v>0</v>
      </c>
      <c r="T3308" s="72"/>
      <c r="U3308" s="106"/>
      <c r="V3308" s="74">
        <f>Devis[[#This Row],[Prix de Revient]]*Devis[[#This Row],[Poste 1]]</f>
        <v>0</v>
      </c>
      <c r="W3308" s="74">
        <f>Devis[[#This Row],[Prix de Revient]]*Devis[[#This Row],[Poste 2]]</f>
        <v>0</v>
      </c>
      <c r="X3308" s="74">
        <f>Devis[[#This Row],[Prix de Revient]]*Devis[[#This Row],[Poste 3]]</f>
        <v>0</v>
      </c>
      <c r="Y3308" s="74">
        <f>Devis[[#This Row],[Poste 4]]*Devis[[#This Row],[Prix de Revient]]</f>
        <v>0</v>
      </c>
      <c r="Z3308" s="74">
        <f>Devis[[#This Row],[Poste 5]]*Devis[[#This Row],[Prix de Revient]]</f>
        <v>0</v>
      </c>
      <c r="AA3308" s="74">
        <f>Devis[[#This Row],[Prix de Revient]]*Devis[[#This Row],[Poste 6]]</f>
        <v>0</v>
      </c>
      <c r="AB3308" s="74">
        <f>Devis[[#This Row],[Quantité Totale]]*Devis[[#This Row],[Prix de Revient]]</f>
        <v>0</v>
      </c>
    </row>
    <row r="3309" spans="1:28" ht="15" customHeight="1" outlineLevel="1" x14ac:dyDescent="0.25">
      <c r="A3309" s="65" t="s">
        <v>3558</v>
      </c>
      <c r="B3309" s="65" t="s">
        <v>3572</v>
      </c>
      <c r="C3309" s="65" t="s">
        <v>3526</v>
      </c>
      <c r="D3309" s="81" t="str">
        <f t="shared" si="61"/>
        <v>Régulation - MesureRegulationCMC</v>
      </c>
      <c r="E3309" s="76"/>
      <c r="F3309" s="81">
        <v>19</v>
      </c>
      <c r="G3309" s="86"/>
      <c r="H3309" s="71"/>
      <c r="I3309" s="75"/>
      <c r="J3309" s="70">
        <f>IFERROR(VLOOKUP(Devis[[#This Row],[Ref Air Flux]],#REF!,3,FALSE),0)</f>
        <v>0</v>
      </c>
      <c r="K3309" s="68"/>
      <c r="L3309" s="68"/>
      <c r="M3309" s="68"/>
      <c r="N3309" s="68"/>
      <c r="O3309" s="68"/>
      <c r="P3309" s="68"/>
      <c r="Q3309" s="68">
        <f>SUM(Devis[[#This Row],[Poste 1]:[Poste 6]])</f>
        <v>0</v>
      </c>
      <c r="R3309" s="71"/>
      <c r="S3309" s="68">
        <f>_xlfn.CEILING.MATH(Devis[[#This Row],[Quantité Totale]],Devis[[#This Row],[Conditionnement]])</f>
        <v>0</v>
      </c>
      <c r="T3309" s="72"/>
      <c r="U3309" s="106"/>
      <c r="V3309" s="74">
        <f>Devis[[#This Row],[Prix de Revient]]*Devis[[#This Row],[Poste 1]]</f>
        <v>0</v>
      </c>
      <c r="W3309" s="74">
        <f>Devis[[#This Row],[Prix de Revient]]*Devis[[#This Row],[Poste 2]]</f>
        <v>0</v>
      </c>
      <c r="X3309" s="74">
        <f>Devis[[#This Row],[Prix de Revient]]*Devis[[#This Row],[Poste 3]]</f>
        <v>0</v>
      </c>
      <c r="Y3309" s="74">
        <f>Devis[[#This Row],[Poste 4]]*Devis[[#This Row],[Prix de Revient]]</f>
        <v>0</v>
      </c>
      <c r="Z3309" s="74">
        <f>Devis[[#This Row],[Poste 5]]*Devis[[#This Row],[Prix de Revient]]</f>
        <v>0</v>
      </c>
      <c r="AA3309" s="74">
        <f>Devis[[#This Row],[Prix de Revient]]*Devis[[#This Row],[Poste 6]]</f>
        <v>0</v>
      </c>
      <c r="AB3309" s="74">
        <f>Devis[[#This Row],[Quantité Totale]]*Devis[[#This Row],[Prix de Revient]]</f>
        <v>0</v>
      </c>
    </row>
    <row r="3310" spans="1:28" ht="14.25" outlineLevel="1" x14ac:dyDescent="0.2">
      <c r="A3310" s="75" t="s">
        <v>3558</v>
      </c>
      <c r="B3310" s="76" t="s">
        <v>3572</v>
      </c>
      <c r="C3310" s="76" t="s">
        <v>3526</v>
      </c>
      <c r="D3310" s="81" t="str">
        <f t="shared" si="61"/>
        <v>Régulation - MesureRegulationCMC</v>
      </c>
      <c r="E3310" s="80" t="s">
        <v>3812</v>
      </c>
      <c r="F3310" s="81">
        <v>20</v>
      </c>
      <c r="G3310" s="86" t="s">
        <v>3820</v>
      </c>
      <c r="H3310" s="71" t="s">
        <v>3526</v>
      </c>
      <c r="I3310" s="75"/>
      <c r="J3310" s="70">
        <f>IFERROR(VLOOKUP(Devis[[#This Row],[Ref Air Flux]],#REF!,3,FALSE),0)</f>
        <v>0</v>
      </c>
      <c r="K3310" s="68"/>
      <c r="L3310" s="68"/>
      <c r="M3310" s="68"/>
      <c r="N3310" s="68"/>
      <c r="O3310" s="68"/>
      <c r="P3310" s="68"/>
      <c r="Q3310" s="68">
        <f>SUM(Devis[[#This Row],[Poste 1]:[Poste 6]])</f>
        <v>0</v>
      </c>
      <c r="R3310" s="71"/>
      <c r="S3310" s="68">
        <f>_xlfn.CEILING.MATH(Devis[[#This Row],[Quantité Totale]],Devis[[#This Row],[Conditionnement]])</f>
        <v>0</v>
      </c>
      <c r="T3310" s="72"/>
      <c r="U3310" s="106"/>
      <c r="V3310" s="74">
        <f>Devis[[#This Row],[Prix de Revient]]*Devis[[#This Row],[Poste 1]]</f>
        <v>0</v>
      </c>
      <c r="W3310" s="74">
        <f>Devis[[#This Row],[Prix de Revient]]*Devis[[#This Row],[Poste 2]]</f>
        <v>0</v>
      </c>
      <c r="X3310" s="74">
        <f>Devis[[#This Row],[Prix de Revient]]*Devis[[#This Row],[Poste 3]]</f>
        <v>0</v>
      </c>
      <c r="Y3310" s="74">
        <f>Devis[[#This Row],[Poste 4]]*Devis[[#This Row],[Prix de Revient]]</f>
        <v>0</v>
      </c>
      <c r="Z3310" s="74">
        <f>Devis[[#This Row],[Poste 5]]*Devis[[#This Row],[Prix de Revient]]</f>
        <v>0</v>
      </c>
      <c r="AA3310" s="74">
        <f>Devis[[#This Row],[Prix de Revient]]*Devis[[#This Row],[Poste 6]]</f>
        <v>0</v>
      </c>
      <c r="AB3310" s="74">
        <f>Devis[[#This Row],[Quantité Totale]]*Devis[[#This Row],[Prix de Revient]]</f>
        <v>0</v>
      </c>
    </row>
    <row r="3311" spans="1:28" ht="14.25" outlineLevel="1" x14ac:dyDescent="0.2">
      <c r="A3311" s="75" t="s">
        <v>3558</v>
      </c>
      <c r="B3311" s="76" t="s">
        <v>3572</v>
      </c>
      <c r="C3311" s="76" t="s">
        <v>3526</v>
      </c>
      <c r="D3311" s="81" t="str">
        <f t="shared" si="61"/>
        <v>Régulation - MesureRegulationCMC</v>
      </c>
      <c r="E3311" s="80" t="s">
        <v>3813</v>
      </c>
      <c r="F3311" s="81">
        <v>21</v>
      </c>
      <c r="G3311" s="86" t="s">
        <v>3821</v>
      </c>
      <c r="H3311" s="71" t="s">
        <v>3526</v>
      </c>
      <c r="I3311" s="75"/>
      <c r="J3311" s="70">
        <f>IFERROR(VLOOKUP(Devis[[#This Row],[Ref Air Flux]],#REF!,3,FALSE),0)</f>
        <v>0</v>
      </c>
      <c r="K3311" s="68"/>
      <c r="L3311" s="68"/>
      <c r="M3311" s="68"/>
      <c r="N3311" s="68"/>
      <c r="O3311" s="68"/>
      <c r="P3311" s="68"/>
      <c r="Q3311" s="68">
        <f>SUM(Devis[[#This Row],[Poste 1]:[Poste 6]])</f>
        <v>0</v>
      </c>
      <c r="R3311" s="71"/>
      <c r="S3311" s="68">
        <f>_xlfn.CEILING.MATH(Devis[[#This Row],[Quantité Totale]],Devis[[#This Row],[Conditionnement]])</f>
        <v>0</v>
      </c>
      <c r="T3311" s="72"/>
      <c r="U3311" s="106"/>
      <c r="V3311" s="74">
        <f>Devis[[#This Row],[Prix de Revient]]*Devis[[#This Row],[Poste 1]]</f>
        <v>0</v>
      </c>
      <c r="W3311" s="74">
        <f>Devis[[#This Row],[Prix de Revient]]*Devis[[#This Row],[Poste 2]]</f>
        <v>0</v>
      </c>
      <c r="X3311" s="74">
        <f>Devis[[#This Row],[Prix de Revient]]*Devis[[#This Row],[Poste 3]]</f>
        <v>0</v>
      </c>
      <c r="Y3311" s="74">
        <f>Devis[[#This Row],[Poste 4]]*Devis[[#This Row],[Prix de Revient]]</f>
        <v>0</v>
      </c>
      <c r="Z3311" s="74">
        <f>Devis[[#This Row],[Poste 5]]*Devis[[#This Row],[Prix de Revient]]</f>
        <v>0</v>
      </c>
      <c r="AA3311" s="74">
        <f>Devis[[#This Row],[Prix de Revient]]*Devis[[#This Row],[Poste 6]]</f>
        <v>0</v>
      </c>
      <c r="AB3311" s="74">
        <f>Devis[[#This Row],[Quantité Totale]]*Devis[[#This Row],[Prix de Revient]]</f>
        <v>0</v>
      </c>
    </row>
    <row r="3312" spans="1:28" ht="14.25" outlineLevel="1" x14ac:dyDescent="0.2">
      <c r="A3312" s="75" t="s">
        <v>3558</v>
      </c>
      <c r="B3312" s="76" t="s">
        <v>3572</v>
      </c>
      <c r="C3312" s="76" t="s">
        <v>3526</v>
      </c>
      <c r="D3312" s="81" t="str">
        <f t="shared" si="61"/>
        <v>Régulation - MesureRegulationCMC</v>
      </c>
      <c r="E3312" s="80" t="s">
        <v>3814</v>
      </c>
      <c r="F3312" s="81">
        <v>22</v>
      </c>
      <c r="G3312" s="86" t="s">
        <v>3819</v>
      </c>
      <c r="H3312" s="71" t="s">
        <v>3526</v>
      </c>
      <c r="I3312" s="75"/>
      <c r="J3312" s="70">
        <f>IFERROR(VLOOKUP(Devis[[#This Row],[Ref Air Flux]],#REF!,3,FALSE),0)</f>
        <v>0</v>
      </c>
      <c r="K3312" s="68"/>
      <c r="L3312" s="68"/>
      <c r="M3312" s="68"/>
      <c r="N3312" s="68"/>
      <c r="O3312" s="68"/>
      <c r="P3312" s="68"/>
      <c r="Q3312" s="68">
        <f>SUM(Devis[[#This Row],[Poste 1]:[Poste 6]])</f>
        <v>0</v>
      </c>
      <c r="R3312" s="71"/>
      <c r="S3312" s="68">
        <f>_xlfn.CEILING.MATH(Devis[[#This Row],[Quantité Totale]],Devis[[#This Row],[Conditionnement]])</f>
        <v>0</v>
      </c>
      <c r="T3312" s="72"/>
      <c r="U3312" s="106"/>
      <c r="V3312" s="74">
        <f>Devis[[#This Row],[Prix de Revient]]*Devis[[#This Row],[Poste 1]]</f>
        <v>0</v>
      </c>
      <c r="W3312" s="74">
        <f>Devis[[#This Row],[Prix de Revient]]*Devis[[#This Row],[Poste 2]]</f>
        <v>0</v>
      </c>
      <c r="X3312" s="74">
        <f>Devis[[#This Row],[Prix de Revient]]*Devis[[#This Row],[Poste 3]]</f>
        <v>0</v>
      </c>
      <c r="Y3312" s="74">
        <f>Devis[[#This Row],[Poste 4]]*Devis[[#This Row],[Prix de Revient]]</f>
        <v>0</v>
      </c>
      <c r="Z3312" s="74">
        <f>Devis[[#This Row],[Poste 5]]*Devis[[#This Row],[Prix de Revient]]</f>
        <v>0</v>
      </c>
      <c r="AA3312" s="74">
        <f>Devis[[#This Row],[Prix de Revient]]*Devis[[#This Row],[Poste 6]]</f>
        <v>0</v>
      </c>
      <c r="AB3312" s="74">
        <f>Devis[[#This Row],[Quantité Totale]]*Devis[[#This Row],[Prix de Revient]]</f>
        <v>0</v>
      </c>
    </row>
    <row r="3313" spans="1:28" ht="14.25" outlineLevel="1" x14ac:dyDescent="0.2">
      <c r="A3313" s="75" t="s">
        <v>3558</v>
      </c>
      <c r="B3313" s="76" t="s">
        <v>3572</v>
      </c>
      <c r="C3313" s="76" t="s">
        <v>3526</v>
      </c>
      <c r="D3313" s="81" t="str">
        <f t="shared" si="61"/>
        <v>Régulation - MesureRegulationCMC</v>
      </c>
      <c r="E3313" s="76" t="s">
        <v>3815</v>
      </c>
      <c r="F3313" s="81">
        <v>23</v>
      </c>
      <c r="G3313" s="86" t="s">
        <v>3816</v>
      </c>
      <c r="H3313" s="71" t="s">
        <v>3526</v>
      </c>
      <c r="I3313" s="75"/>
      <c r="J3313" s="70">
        <f>IFERROR(VLOOKUP(Devis[[#This Row],[Ref Air Flux]],#REF!,3,FALSE),0)</f>
        <v>0</v>
      </c>
      <c r="K3313" s="68"/>
      <c r="L3313" s="68"/>
      <c r="M3313" s="68"/>
      <c r="N3313" s="68"/>
      <c r="O3313" s="68"/>
      <c r="P3313" s="68"/>
      <c r="Q3313" s="68">
        <f>SUM(Devis[[#This Row],[Poste 1]:[Poste 6]])</f>
        <v>0</v>
      </c>
      <c r="R3313" s="71"/>
      <c r="S3313" s="68">
        <f>_xlfn.CEILING.MATH(Devis[[#This Row],[Quantité Totale]],Devis[[#This Row],[Conditionnement]])</f>
        <v>0</v>
      </c>
      <c r="T3313" s="72"/>
      <c r="U3313" s="106"/>
      <c r="V3313" s="74">
        <f>Devis[[#This Row],[Prix de Revient]]*Devis[[#This Row],[Poste 1]]</f>
        <v>0</v>
      </c>
      <c r="W3313" s="74">
        <f>Devis[[#This Row],[Prix de Revient]]*Devis[[#This Row],[Poste 2]]</f>
        <v>0</v>
      </c>
      <c r="X3313" s="74">
        <f>Devis[[#This Row],[Prix de Revient]]*Devis[[#This Row],[Poste 3]]</f>
        <v>0</v>
      </c>
      <c r="Y3313" s="74">
        <f>Devis[[#This Row],[Poste 4]]*Devis[[#This Row],[Prix de Revient]]</f>
        <v>0</v>
      </c>
      <c r="Z3313" s="74">
        <f>Devis[[#This Row],[Poste 5]]*Devis[[#This Row],[Prix de Revient]]</f>
        <v>0</v>
      </c>
      <c r="AA3313" s="74">
        <f>Devis[[#This Row],[Prix de Revient]]*Devis[[#This Row],[Poste 6]]</f>
        <v>0</v>
      </c>
      <c r="AB3313" s="74">
        <f>Devis[[#This Row],[Quantité Totale]]*Devis[[#This Row],[Prix de Revient]]</f>
        <v>0</v>
      </c>
    </row>
    <row r="3314" spans="1:28" ht="14.25" outlineLevel="1" x14ac:dyDescent="0.2">
      <c r="A3314" s="75" t="s">
        <v>3558</v>
      </c>
      <c r="B3314" s="76" t="s">
        <v>3572</v>
      </c>
      <c r="C3314" s="76" t="s">
        <v>3526</v>
      </c>
      <c r="D3314" s="81" t="str">
        <f t="shared" si="61"/>
        <v>Régulation - MesureRegulationCMC</v>
      </c>
      <c r="E3314" s="76" t="s">
        <v>3817</v>
      </c>
      <c r="F3314" s="81">
        <v>24</v>
      </c>
      <c r="G3314" s="86" t="s">
        <v>3822</v>
      </c>
      <c r="H3314" s="71" t="s">
        <v>3526</v>
      </c>
      <c r="I3314" s="75"/>
      <c r="J3314" s="70">
        <f>IFERROR(VLOOKUP(Devis[[#This Row],[Ref Air Flux]],#REF!,3,FALSE),0)</f>
        <v>0</v>
      </c>
      <c r="K3314" s="68"/>
      <c r="L3314" s="68"/>
      <c r="M3314" s="68"/>
      <c r="N3314" s="68"/>
      <c r="O3314" s="68"/>
      <c r="P3314" s="68"/>
      <c r="Q3314" s="68">
        <f>SUM(Devis[[#This Row],[Poste 1]:[Poste 6]])</f>
        <v>0</v>
      </c>
      <c r="R3314" s="71"/>
      <c r="S3314" s="68">
        <f>_xlfn.CEILING.MATH(Devis[[#This Row],[Quantité Totale]],Devis[[#This Row],[Conditionnement]])</f>
        <v>0</v>
      </c>
      <c r="T3314" s="72"/>
      <c r="U3314" s="73"/>
      <c r="V3314" s="74">
        <f>Devis[[#This Row],[Prix de Revient]]*Devis[[#This Row],[Poste 1]]</f>
        <v>0</v>
      </c>
      <c r="W3314" s="74">
        <f>Devis[[#This Row],[Prix de Revient]]*Devis[[#This Row],[Poste 2]]</f>
        <v>0</v>
      </c>
      <c r="X3314" s="74">
        <f>Devis[[#This Row],[Prix de Revient]]*Devis[[#This Row],[Poste 3]]</f>
        <v>0</v>
      </c>
      <c r="Y3314" s="74">
        <f>Devis[[#This Row],[Poste 4]]*Devis[[#This Row],[Prix de Revient]]</f>
        <v>0</v>
      </c>
      <c r="Z3314" s="74">
        <f>Devis[[#This Row],[Poste 5]]*Devis[[#This Row],[Prix de Revient]]</f>
        <v>0</v>
      </c>
      <c r="AA3314" s="74">
        <f>Devis[[#This Row],[Prix de Revient]]*Devis[[#This Row],[Poste 6]]</f>
        <v>0</v>
      </c>
      <c r="AB3314" s="74">
        <f>Devis[[#This Row],[Quantité Totale]]*Devis[[#This Row],[Prix de Revient]]</f>
        <v>0</v>
      </c>
    </row>
    <row r="3315" spans="1:28" ht="14.25" customHeight="1" outlineLevel="1" x14ac:dyDescent="0.2">
      <c r="A3315" s="75" t="s">
        <v>3558</v>
      </c>
      <c r="B3315" s="76" t="s">
        <v>3572</v>
      </c>
      <c r="C3315" s="76" t="s">
        <v>3526</v>
      </c>
      <c r="D3315" s="81" t="str">
        <f t="shared" si="61"/>
        <v>Régulation - MesureRegulationCMC</v>
      </c>
      <c r="E3315" s="76" t="s">
        <v>3818</v>
      </c>
      <c r="F3315" s="81">
        <v>25</v>
      </c>
      <c r="G3315" s="86" t="s">
        <v>3823</v>
      </c>
      <c r="H3315" s="71" t="s">
        <v>3526</v>
      </c>
      <c r="I3315" s="75"/>
      <c r="J3315" s="70">
        <f>IFERROR(VLOOKUP(Devis[[#This Row],[Ref Air Flux]],#REF!,3,FALSE),0)</f>
        <v>0</v>
      </c>
      <c r="K3315" s="68"/>
      <c r="L3315" s="68"/>
      <c r="M3315" s="68"/>
      <c r="N3315" s="68"/>
      <c r="O3315" s="68"/>
      <c r="P3315" s="68"/>
      <c r="Q3315" s="68">
        <f>SUM(Devis[[#This Row],[Poste 1]:[Poste 6]])</f>
        <v>0</v>
      </c>
      <c r="R3315" s="71"/>
      <c r="S3315" s="68">
        <f>_xlfn.CEILING.MATH(Devis[[#This Row],[Quantité Totale]],Devis[[#This Row],[Conditionnement]])</f>
        <v>0</v>
      </c>
      <c r="T3315" s="72"/>
      <c r="U3315" s="106"/>
      <c r="V3315" s="74">
        <f>Devis[[#This Row],[Prix de Revient]]*Devis[[#This Row],[Poste 1]]</f>
        <v>0</v>
      </c>
      <c r="W3315" s="74">
        <f>Devis[[#This Row],[Prix de Revient]]*Devis[[#This Row],[Poste 2]]</f>
        <v>0</v>
      </c>
      <c r="X3315" s="74">
        <f>Devis[[#This Row],[Prix de Revient]]*Devis[[#This Row],[Poste 3]]</f>
        <v>0</v>
      </c>
      <c r="Y3315" s="74">
        <f>Devis[[#This Row],[Poste 4]]*Devis[[#This Row],[Prix de Revient]]</f>
        <v>0</v>
      </c>
      <c r="Z3315" s="74">
        <f>Devis[[#This Row],[Poste 5]]*Devis[[#This Row],[Prix de Revient]]</f>
        <v>0</v>
      </c>
      <c r="AA3315" s="74">
        <f>Devis[[#This Row],[Prix de Revient]]*Devis[[#This Row],[Poste 6]]</f>
        <v>0</v>
      </c>
      <c r="AB3315" s="74">
        <f>Devis[[#This Row],[Quantité Totale]]*Devis[[#This Row],[Prix de Revient]]</f>
        <v>0</v>
      </c>
    </row>
    <row r="3316" spans="1:28" ht="14.25" outlineLevel="1" x14ac:dyDescent="0.2">
      <c r="A3316" s="75" t="s">
        <v>3558</v>
      </c>
      <c r="B3316" s="76" t="s">
        <v>3572</v>
      </c>
      <c r="C3316" s="76" t="s">
        <v>3526</v>
      </c>
      <c r="D3316" s="81" t="str">
        <f t="shared" si="61"/>
        <v>Régulation - MesureRegulationCMC</v>
      </c>
      <c r="E3316" s="76" t="s">
        <v>3826</v>
      </c>
      <c r="F3316" s="81">
        <v>26</v>
      </c>
      <c r="G3316" s="86" t="s">
        <v>3824</v>
      </c>
      <c r="H3316" s="71" t="s">
        <v>3526</v>
      </c>
      <c r="I3316" s="75"/>
      <c r="J3316" s="70">
        <f>IFERROR(VLOOKUP(Devis[[#This Row],[Ref Air Flux]],#REF!,3,FALSE),0)</f>
        <v>0</v>
      </c>
      <c r="K3316" s="68"/>
      <c r="L3316" s="68"/>
      <c r="M3316" s="68"/>
      <c r="N3316" s="68"/>
      <c r="O3316" s="68"/>
      <c r="P3316" s="68"/>
      <c r="Q3316" s="68">
        <f>SUM(Devis[[#This Row],[Poste 1]:[Poste 6]])</f>
        <v>0</v>
      </c>
      <c r="R3316" s="71"/>
      <c r="S3316" s="68">
        <f>_xlfn.CEILING.MATH(Devis[[#This Row],[Quantité Totale]],Devis[[#This Row],[Conditionnement]])</f>
        <v>0</v>
      </c>
      <c r="T3316" s="72"/>
      <c r="U3316" s="106"/>
      <c r="V3316" s="74">
        <f>Devis[[#This Row],[Prix de Revient]]*Devis[[#This Row],[Poste 1]]</f>
        <v>0</v>
      </c>
      <c r="W3316" s="74">
        <f>Devis[[#This Row],[Prix de Revient]]*Devis[[#This Row],[Poste 2]]</f>
        <v>0</v>
      </c>
      <c r="X3316" s="74">
        <f>Devis[[#This Row],[Prix de Revient]]*Devis[[#This Row],[Poste 3]]</f>
        <v>0</v>
      </c>
      <c r="Y3316" s="74">
        <f>Devis[[#This Row],[Poste 4]]*Devis[[#This Row],[Prix de Revient]]</f>
        <v>0</v>
      </c>
      <c r="Z3316" s="74">
        <f>Devis[[#This Row],[Poste 5]]*Devis[[#This Row],[Prix de Revient]]</f>
        <v>0</v>
      </c>
      <c r="AA3316" s="74">
        <f>Devis[[#This Row],[Prix de Revient]]*Devis[[#This Row],[Poste 6]]</f>
        <v>0</v>
      </c>
      <c r="AB3316" s="74">
        <f>Devis[[#This Row],[Quantité Totale]]*Devis[[#This Row],[Prix de Revient]]</f>
        <v>0</v>
      </c>
    </row>
    <row r="3317" spans="1:28" ht="14.25" customHeight="1" outlineLevel="1" x14ac:dyDescent="0.2">
      <c r="A3317" s="75" t="s">
        <v>3558</v>
      </c>
      <c r="B3317" s="76" t="s">
        <v>3572</v>
      </c>
      <c r="C3317" s="76" t="s">
        <v>3526</v>
      </c>
      <c r="D3317" s="81" t="str">
        <f t="shared" si="61"/>
        <v>Régulation - MesureRegulationCMC</v>
      </c>
      <c r="E3317" s="76" t="s">
        <v>3827</v>
      </c>
      <c r="F3317" s="81">
        <v>27</v>
      </c>
      <c r="G3317" s="86" t="s">
        <v>3825</v>
      </c>
      <c r="H3317" s="71" t="s">
        <v>3526</v>
      </c>
      <c r="I3317" s="75"/>
      <c r="J3317" s="70">
        <f>IFERROR(VLOOKUP(Devis[[#This Row],[Ref Air Flux]],#REF!,3,FALSE),0)</f>
        <v>0</v>
      </c>
      <c r="K3317" s="68"/>
      <c r="L3317" s="68"/>
      <c r="M3317" s="68"/>
      <c r="N3317" s="68"/>
      <c r="O3317" s="68"/>
      <c r="P3317" s="68"/>
      <c r="Q3317" s="68">
        <f>SUM(Devis[[#This Row],[Poste 1]:[Poste 6]])</f>
        <v>0</v>
      </c>
      <c r="R3317" s="71"/>
      <c r="S3317" s="68">
        <f>_xlfn.CEILING.MATH(Devis[[#This Row],[Quantité Totale]],Devis[[#This Row],[Conditionnement]])</f>
        <v>0</v>
      </c>
      <c r="T3317" s="72"/>
      <c r="U3317" s="106"/>
      <c r="V3317" s="74">
        <f>Devis[[#This Row],[Prix de Revient]]*Devis[[#This Row],[Poste 1]]</f>
        <v>0</v>
      </c>
      <c r="W3317" s="74">
        <f>Devis[[#This Row],[Prix de Revient]]*Devis[[#This Row],[Poste 2]]</f>
        <v>0</v>
      </c>
      <c r="X3317" s="74">
        <f>Devis[[#This Row],[Prix de Revient]]*Devis[[#This Row],[Poste 3]]</f>
        <v>0</v>
      </c>
      <c r="Y3317" s="74">
        <f>Devis[[#This Row],[Poste 4]]*Devis[[#This Row],[Prix de Revient]]</f>
        <v>0</v>
      </c>
      <c r="Z3317" s="74">
        <f>Devis[[#This Row],[Poste 5]]*Devis[[#This Row],[Prix de Revient]]</f>
        <v>0</v>
      </c>
      <c r="AA3317" s="74">
        <f>Devis[[#This Row],[Prix de Revient]]*Devis[[#This Row],[Poste 6]]</f>
        <v>0</v>
      </c>
      <c r="AB3317" s="74">
        <f>Devis[[#This Row],[Quantité Totale]]*Devis[[#This Row],[Prix de Revient]]</f>
        <v>0</v>
      </c>
    </row>
    <row r="3318" spans="1:28" ht="14.25" customHeight="1" outlineLevel="1" x14ac:dyDescent="0.2">
      <c r="A3318" s="75" t="s">
        <v>3558</v>
      </c>
      <c r="B3318" s="76" t="s">
        <v>3572</v>
      </c>
      <c r="C3318" s="76" t="s">
        <v>3526</v>
      </c>
      <c r="D3318" s="81" t="str">
        <f t="shared" si="61"/>
        <v>Régulation - MesureRegulationCMC</v>
      </c>
      <c r="E3318" s="76" t="s">
        <v>3839</v>
      </c>
      <c r="F3318" s="81">
        <v>28</v>
      </c>
      <c r="G3318" s="86" t="s">
        <v>3828</v>
      </c>
      <c r="H3318" s="71" t="s">
        <v>3526</v>
      </c>
      <c r="I3318" s="75"/>
      <c r="J3318" s="70">
        <f>IFERROR(VLOOKUP(Devis[[#This Row],[Ref Air Flux]],#REF!,3,FALSE),0)</f>
        <v>0</v>
      </c>
      <c r="K3318" s="68"/>
      <c r="L3318" s="68"/>
      <c r="M3318" s="68"/>
      <c r="N3318" s="68"/>
      <c r="O3318" s="68"/>
      <c r="P3318" s="68"/>
      <c r="Q3318" s="68">
        <f>SUM(Devis[[#This Row],[Poste 1]:[Poste 6]])</f>
        <v>0</v>
      </c>
      <c r="R3318" s="71"/>
      <c r="S3318" s="68">
        <f>_xlfn.CEILING.MATH(Devis[[#This Row],[Quantité Totale]],Devis[[#This Row],[Conditionnement]])</f>
        <v>0</v>
      </c>
      <c r="T3318" s="72"/>
      <c r="U3318" s="106"/>
      <c r="V3318" s="74">
        <f>Devis[[#This Row],[Prix de Revient]]*Devis[[#This Row],[Poste 1]]</f>
        <v>0</v>
      </c>
      <c r="W3318" s="74">
        <f>Devis[[#This Row],[Prix de Revient]]*Devis[[#This Row],[Poste 2]]</f>
        <v>0</v>
      </c>
      <c r="X3318" s="74">
        <f>Devis[[#This Row],[Prix de Revient]]*Devis[[#This Row],[Poste 3]]</f>
        <v>0</v>
      </c>
      <c r="Y3318" s="74">
        <f>Devis[[#This Row],[Poste 4]]*Devis[[#This Row],[Prix de Revient]]</f>
        <v>0</v>
      </c>
      <c r="Z3318" s="74">
        <f>Devis[[#This Row],[Poste 5]]*Devis[[#This Row],[Prix de Revient]]</f>
        <v>0</v>
      </c>
      <c r="AA3318" s="74">
        <f>Devis[[#This Row],[Prix de Revient]]*Devis[[#This Row],[Poste 6]]</f>
        <v>0</v>
      </c>
      <c r="AB3318" s="74">
        <f>Devis[[#This Row],[Quantité Totale]]*Devis[[#This Row],[Prix de Revient]]</f>
        <v>0</v>
      </c>
    </row>
    <row r="3319" spans="1:28" ht="15" customHeight="1" outlineLevel="1" x14ac:dyDescent="0.2">
      <c r="A3319" s="75" t="s">
        <v>3558</v>
      </c>
      <c r="B3319" s="76" t="s">
        <v>3572</v>
      </c>
      <c r="C3319" s="76" t="s">
        <v>3526</v>
      </c>
      <c r="D3319" s="81" t="str">
        <f t="shared" si="61"/>
        <v>Régulation - MesureRegulationCMC</v>
      </c>
      <c r="E3319" s="76" t="s">
        <v>3840</v>
      </c>
      <c r="F3319" s="81">
        <v>29</v>
      </c>
      <c r="G3319" s="86" t="s">
        <v>3829</v>
      </c>
      <c r="H3319" s="71" t="s">
        <v>3526</v>
      </c>
      <c r="I3319" s="75"/>
      <c r="J3319" s="70">
        <f>IFERROR(VLOOKUP(Devis[[#This Row],[Ref Air Flux]],#REF!,3,FALSE),0)</f>
        <v>0</v>
      </c>
      <c r="K3319" s="68"/>
      <c r="L3319" s="68"/>
      <c r="M3319" s="68"/>
      <c r="N3319" s="68"/>
      <c r="O3319" s="68"/>
      <c r="P3319" s="68"/>
      <c r="Q3319" s="68">
        <f>SUM(Devis[[#This Row],[Poste 1]:[Poste 6]])</f>
        <v>0</v>
      </c>
      <c r="R3319" s="71"/>
      <c r="S3319" s="68">
        <f>_xlfn.CEILING.MATH(Devis[[#This Row],[Quantité Totale]],Devis[[#This Row],[Conditionnement]])</f>
        <v>0</v>
      </c>
      <c r="T3319" s="72"/>
      <c r="U3319" s="106"/>
      <c r="V3319" s="74">
        <f>Devis[[#This Row],[Prix de Revient]]*Devis[[#This Row],[Poste 1]]</f>
        <v>0</v>
      </c>
      <c r="W3319" s="74">
        <f>Devis[[#This Row],[Prix de Revient]]*Devis[[#This Row],[Poste 2]]</f>
        <v>0</v>
      </c>
      <c r="X3319" s="74">
        <f>Devis[[#This Row],[Prix de Revient]]*Devis[[#This Row],[Poste 3]]</f>
        <v>0</v>
      </c>
      <c r="Y3319" s="74">
        <f>Devis[[#This Row],[Poste 4]]*Devis[[#This Row],[Prix de Revient]]</f>
        <v>0</v>
      </c>
      <c r="Z3319" s="74">
        <f>Devis[[#This Row],[Poste 5]]*Devis[[#This Row],[Prix de Revient]]</f>
        <v>0</v>
      </c>
      <c r="AA3319" s="74">
        <f>Devis[[#This Row],[Prix de Revient]]*Devis[[#This Row],[Poste 6]]</f>
        <v>0</v>
      </c>
      <c r="AB3319" s="74">
        <f>Devis[[#This Row],[Quantité Totale]]*Devis[[#This Row],[Prix de Revient]]</f>
        <v>0</v>
      </c>
    </row>
    <row r="3320" spans="1:28" ht="14.25" outlineLevel="1" x14ac:dyDescent="0.2">
      <c r="A3320" s="75" t="s">
        <v>3558</v>
      </c>
      <c r="B3320" s="76" t="s">
        <v>3572</v>
      </c>
      <c r="C3320" s="76" t="s">
        <v>3526</v>
      </c>
      <c r="D3320" s="81" t="str">
        <f t="shared" si="61"/>
        <v>Régulation - MesureRegulationCMC</v>
      </c>
      <c r="E3320" s="76" t="s">
        <v>3843</v>
      </c>
      <c r="F3320" s="81">
        <v>30</v>
      </c>
      <c r="G3320" s="86" t="s">
        <v>3830</v>
      </c>
      <c r="H3320" s="71" t="s">
        <v>3526</v>
      </c>
      <c r="I3320" s="75"/>
      <c r="J3320" s="70">
        <f>IFERROR(VLOOKUP(Devis[[#This Row],[Ref Air Flux]],#REF!,3,FALSE),0)</f>
        <v>0</v>
      </c>
      <c r="K3320" s="68"/>
      <c r="L3320" s="68"/>
      <c r="M3320" s="68"/>
      <c r="N3320" s="68"/>
      <c r="O3320" s="68"/>
      <c r="P3320" s="68"/>
      <c r="Q3320" s="68">
        <f>SUM(Devis[[#This Row],[Poste 1]:[Poste 6]])</f>
        <v>0</v>
      </c>
      <c r="R3320" s="71"/>
      <c r="S3320" s="68">
        <f>_xlfn.CEILING.MATH(Devis[[#This Row],[Quantité Totale]],Devis[[#This Row],[Conditionnement]])</f>
        <v>0</v>
      </c>
      <c r="T3320" s="72"/>
      <c r="U3320" s="106"/>
      <c r="V3320" s="74">
        <f>Devis[[#This Row],[Prix de Revient]]*Devis[[#This Row],[Poste 1]]</f>
        <v>0</v>
      </c>
      <c r="W3320" s="74">
        <f>Devis[[#This Row],[Prix de Revient]]*Devis[[#This Row],[Poste 2]]</f>
        <v>0</v>
      </c>
      <c r="X3320" s="74">
        <f>Devis[[#This Row],[Prix de Revient]]*Devis[[#This Row],[Poste 3]]</f>
        <v>0</v>
      </c>
      <c r="Y3320" s="74">
        <f>Devis[[#This Row],[Poste 4]]*Devis[[#This Row],[Prix de Revient]]</f>
        <v>0</v>
      </c>
      <c r="Z3320" s="74">
        <f>Devis[[#This Row],[Poste 5]]*Devis[[#This Row],[Prix de Revient]]</f>
        <v>0</v>
      </c>
      <c r="AA3320" s="74">
        <f>Devis[[#This Row],[Prix de Revient]]*Devis[[#This Row],[Poste 6]]</f>
        <v>0</v>
      </c>
      <c r="AB3320" s="74">
        <f>Devis[[#This Row],[Quantité Totale]]*Devis[[#This Row],[Prix de Revient]]</f>
        <v>0</v>
      </c>
    </row>
    <row r="3321" spans="1:28" ht="14.25" outlineLevel="1" x14ac:dyDescent="0.2">
      <c r="A3321" s="75" t="s">
        <v>3558</v>
      </c>
      <c r="B3321" s="76" t="s">
        <v>3572</v>
      </c>
      <c r="C3321" s="76" t="s">
        <v>3526</v>
      </c>
      <c r="D3321" s="81" t="str">
        <f t="shared" si="61"/>
        <v>Régulation - MesureRegulationCMC</v>
      </c>
      <c r="E3321" s="76" t="s">
        <v>3841</v>
      </c>
      <c r="F3321" s="81">
        <v>31</v>
      </c>
      <c r="G3321" s="86" t="s">
        <v>3831</v>
      </c>
      <c r="H3321" s="71" t="s">
        <v>3526</v>
      </c>
      <c r="I3321" s="75"/>
      <c r="J3321" s="70">
        <f>IFERROR(VLOOKUP(Devis[[#This Row],[Ref Air Flux]],#REF!,3,FALSE),0)</f>
        <v>0</v>
      </c>
      <c r="K3321" s="68"/>
      <c r="L3321" s="68"/>
      <c r="M3321" s="68"/>
      <c r="N3321" s="68"/>
      <c r="O3321" s="68"/>
      <c r="P3321" s="68"/>
      <c r="Q3321" s="68">
        <f>SUM(Devis[[#This Row],[Poste 1]:[Poste 6]])</f>
        <v>0</v>
      </c>
      <c r="R3321" s="71"/>
      <c r="S3321" s="68">
        <f>_xlfn.CEILING.MATH(Devis[[#This Row],[Quantité Totale]],Devis[[#This Row],[Conditionnement]])</f>
        <v>0</v>
      </c>
      <c r="T3321" s="72"/>
      <c r="U3321" s="106"/>
      <c r="V3321" s="74">
        <f>Devis[[#This Row],[Prix de Revient]]*Devis[[#This Row],[Poste 1]]</f>
        <v>0</v>
      </c>
      <c r="W3321" s="74">
        <f>Devis[[#This Row],[Prix de Revient]]*Devis[[#This Row],[Poste 2]]</f>
        <v>0</v>
      </c>
      <c r="X3321" s="74">
        <f>Devis[[#This Row],[Prix de Revient]]*Devis[[#This Row],[Poste 3]]</f>
        <v>0</v>
      </c>
      <c r="Y3321" s="74">
        <f>Devis[[#This Row],[Poste 4]]*Devis[[#This Row],[Prix de Revient]]</f>
        <v>0</v>
      </c>
      <c r="Z3321" s="74">
        <f>Devis[[#This Row],[Poste 5]]*Devis[[#This Row],[Prix de Revient]]</f>
        <v>0</v>
      </c>
      <c r="AA3321" s="74">
        <f>Devis[[#This Row],[Prix de Revient]]*Devis[[#This Row],[Poste 6]]</f>
        <v>0</v>
      </c>
      <c r="AB3321" s="74">
        <f>Devis[[#This Row],[Quantité Totale]]*Devis[[#This Row],[Prix de Revient]]</f>
        <v>0</v>
      </c>
    </row>
    <row r="3322" spans="1:28" ht="14.25" outlineLevel="1" x14ac:dyDescent="0.2">
      <c r="A3322" s="75" t="s">
        <v>3558</v>
      </c>
      <c r="B3322" s="76" t="s">
        <v>3572</v>
      </c>
      <c r="C3322" s="76" t="s">
        <v>3526</v>
      </c>
      <c r="D3322" s="81" t="str">
        <f t="shared" si="61"/>
        <v>Régulation - MesureRegulationCMC</v>
      </c>
      <c r="E3322" s="76" t="s">
        <v>3842</v>
      </c>
      <c r="F3322" s="81">
        <v>32</v>
      </c>
      <c r="G3322" s="86" t="s">
        <v>3832</v>
      </c>
      <c r="H3322" s="71" t="s">
        <v>3526</v>
      </c>
      <c r="I3322" s="75"/>
      <c r="J3322" s="70">
        <f>IFERROR(VLOOKUP(Devis[[#This Row],[Ref Air Flux]],#REF!,3,FALSE),0)</f>
        <v>0</v>
      </c>
      <c r="K3322" s="68"/>
      <c r="L3322" s="68"/>
      <c r="M3322" s="68"/>
      <c r="N3322" s="68"/>
      <c r="O3322" s="68"/>
      <c r="P3322" s="68"/>
      <c r="Q3322" s="68">
        <f>SUM(Devis[[#This Row],[Poste 1]:[Poste 6]])</f>
        <v>0</v>
      </c>
      <c r="R3322" s="71"/>
      <c r="S3322" s="68">
        <f>_xlfn.CEILING.MATH(Devis[[#This Row],[Quantité Totale]],Devis[[#This Row],[Conditionnement]])</f>
        <v>0</v>
      </c>
      <c r="T3322" s="72"/>
      <c r="U3322" s="106"/>
      <c r="V3322" s="74">
        <f>Devis[[#This Row],[Prix de Revient]]*Devis[[#This Row],[Poste 1]]</f>
        <v>0</v>
      </c>
      <c r="W3322" s="74">
        <f>Devis[[#This Row],[Prix de Revient]]*Devis[[#This Row],[Poste 2]]</f>
        <v>0</v>
      </c>
      <c r="X3322" s="74">
        <f>Devis[[#This Row],[Prix de Revient]]*Devis[[#This Row],[Poste 3]]</f>
        <v>0</v>
      </c>
      <c r="Y3322" s="74">
        <f>Devis[[#This Row],[Poste 4]]*Devis[[#This Row],[Prix de Revient]]</f>
        <v>0</v>
      </c>
      <c r="Z3322" s="74">
        <f>Devis[[#This Row],[Poste 5]]*Devis[[#This Row],[Prix de Revient]]</f>
        <v>0</v>
      </c>
      <c r="AA3322" s="74">
        <f>Devis[[#This Row],[Prix de Revient]]*Devis[[#This Row],[Poste 6]]</f>
        <v>0</v>
      </c>
      <c r="AB3322" s="74">
        <f>Devis[[#This Row],[Quantité Totale]]*Devis[[#This Row],[Prix de Revient]]</f>
        <v>0</v>
      </c>
    </row>
    <row r="3323" spans="1:28" ht="14.25" outlineLevel="1" x14ac:dyDescent="0.2">
      <c r="A3323" s="75" t="s">
        <v>3558</v>
      </c>
      <c r="B3323" s="76" t="s">
        <v>3572</v>
      </c>
      <c r="C3323" s="76" t="s">
        <v>3526</v>
      </c>
      <c r="D3323" s="81" t="str">
        <f t="shared" si="61"/>
        <v>Régulation - MesureRegulationCMC</v>
      </c>
      <c r="E3323" s="76" t="s">
        <v>3844</v>
      </c>
      <c r="F3323" s="81">
        <v>33</v>
      </c>
      <c r="G3323" s="86" t="s">
        <v>3833</v>
      </c>
      <c r="H3323" s="71" t="s">
        <v>3526</v>
      </c>
      <c r="I3323" s="75"/>
      <c r="J3323" s="70">
        <f>IFERROR(VLOOKUP(Devis[[#This Row],[Ref Air Flux]],#REF!,3,FALSE),0)</f>
        <v>0</v>
      </c>
      <c r="K3323" s="68"/>
      <c r="L3323" s="68"/>
      <c r="M3323" s="68"/>
      <c r="N3323" s="68"/>
      <c r="O3323" s="68"/>
      <c r="P3323" s="68"/>
      <c r="Q3323" s="68">
        <f>SUM(Devis[[#This Row],[Poste 1]:[Poste 6]])</f>
        <v>0</v>
      </c>
      <c r="R3323" s="71"/>
      <c r="S3323" s="68">
        <f>_xlfn.CEILING.MATH(Devis[[#This Row],[Quantité Totale]],Devis[[#This Row],[Conditionnement]])</f>
        <v>0</v>
      </c>
      <c r="T3323" s="72"/>
      <c r="U3323" s="106"/>
      <c r="V3323" s="74">
        <f>Devis[[#This Row],[Prix de Revient]]*Devis[[#This Row],[Poste 1]]</f>
        <v>0</v>
      </c>
      <c r="W3323" s="74">
        <f>Devis[[#This Row],[Prix de Revient]]*Devis[[#This Row],[Poste 2]]</f>
        <v>0</v>
      </c>
      <c r="X3323" s="74">
        <f>Devis[[#This Row],[Prix de Revient]]*Devis[[#This Row],[Poste 3]]</f>
        <v>0</v>
      </c>
      <c r="Y3323" s="74">
        <f>Devis[[#This Row],[Poste 4]]*Devis[[#This Row],[Prix de Revient]]</f>
        <v>0</v>
      </c>
      <c r="Z3323" s="74">
        <f>Devis[[#This Row],[Poste 5]]*Devis[[#This Row],[Prix de Revient]]</f>
        <v>0</v>
      </c>
      <c r="AA3323" s="74">
        <f>Devis[[#This Row],[Prix de Revient]]*Devis[[#This Row],[Poste 6]]</f>
        <v>0</v>
      </c>
      <c r="AB3323" s="74">
        <f>Devis[[#This Row],[Quantité Totale]]*Devis[[#This Row],[Prix de Revient]]</f>
        <v>0</v>
      </c>
    </row>
    <row r="3324" spans="1:28" ht="14.25" outlineLevel="1" x14ac:dyDescent="0.2">
      <c r="A3324" s="75" t="s">
        <v>3558</v>
      </c>
      <c r="B3324" s="76" t="s">
        <v>3572</v>
      </c>
      <c r="C3324" s="76" t="s">
        <v>3526</v>
      </c>
      <c r="D3324" s="81" t="str">
        <f t="shared" si="61"/>
        <v>Régulation - MesureRegulationCMC</v>
      </c>
      <c r="E3324" s="76" t="s">
        <v>3845</v>
      </c>
      <c r="F3324" s="81">
        <v>34</v>
      </c>
      <c r="G3324" s="86" t="s">
        <v>3834</v>
      </c>
      <c r="H3324" s="71" t="s">
        <v>3526</v>
      </c>
      <c r="I3324" s="75"/>
      <c r="J3324" s="70">
        <f>IFERROR(VLOOKUP(Devis[[#This Row],[Ref Air Flux]],#REF!,3,FALSE),0)</f>
        <v>0</v>
      </c>
      <c r="K3324" s="68"/>
      <c r="L3324" s="68"/>
      <c r="M3324" s="68"/>
      <c r="N3324" s="68"/>
      <c r="O3324" s="68"/>
      <c r="P3324" s="68"/>
      <c r="Q3324" s="68">
        <f>SUM(Devis[[#This Row],[Poste 1]:[Poste 6]])</f>
        <v>0</v>
      </c>
      <c r="R3324" s="71"/>
      <c r="S3324" s="68">
        <f>_xlfn.CEILING.MATH(Devis[[#This Row],[Quantité Totale]],Devis[[#This Row],[Conditionnement]])</f>
        <v>0</v>
      </c>
      <c r="T3324" s="72"/>
      <c r="U3324" s="106"/>
      <c r="V3324" s="74">
        <f>Devis[[#This Row],[Prix de Revient]]*Devis[[#This Row],[Poste 1]]</f>
        <v>0</v>
      </c>
      <c r="W3324" s="74">
        <f>Devis[[#This Row],[Prix de Revient]]*Devis[[#This Row],[Poste 2]]</f>
        <v>0</v>
      </c>
      <c r="X3324" s="74">
        <f>Devis[[#This Row],[Prix de Revient]]*Devis[[#This Row],[Poste 3]]</f>
        <v>0</v>
      </c>
      <c r="Y3324" s="74">
        <f>Devis[[#This Row],[Poste 4]]*Devis[[#This Row],[Prix de Revient]]</f>
        <v>0</v>
      </c>
      <c r="Z3324" s="74">
        <f>Devis[[#This Row],[Poste 5]]*Devis[[#This Row],[Prix de Revient]]</f>
        <v>0</v>
      </c>
      <c r="AA3324" s="74">
        <f>Devis[[#This Row],[Prix de Revient]]*Devis[[#This Row],[Poste 6]]</f>
        <v>0</v>
      </c>
      <c r="AB3324" s="74">
        <f>Devis[[#This Row],[Quantité Totale]]*Devis[[#This Row],[Prix de Revient]]</f>
        <v>0</v>
      </c>
    </row>
    <row r="3325" spans="1:28" ht="15" customHeight="1" outlineLevel="1" x14ac:dyDescent="0.2">
      <c r="A3325" s="75" t="s">
        <v>3558</v>
      </c>
      <c r="B3325" s="76" t="s">
        <v>3572</v>
      </c>
      <c r="C3325" s="76" t="s">
        <v>3526</v>
      </c>
      <c r="D3325" s="81" t="str">
        <f t="shared" si="61"/>
        <v>Régulation - MesureRegulationCMC</v>
      </c>
      <c r="E3325" s="76" t="s">
        <v>3846</v>
      </c>
      <c r="F3325" s="81">
        <v>35</v>
      </c>
      <c r="G3325" s="86" t="s">
        <v>3835</v>
      </c>
      <c r="H3325" s="71" t="s">
        <v>3526</v>
      </c>
      <c r="I3325" s="75"/>
      <c r="J3325" s="70">
        <f>IFERROR(VLOOKUP(Devis[[#This Row],[Ref Air Flux]],#REF!,3,FALSE),0)</f>
        <v>0</v>
      </c>
      <c r="K3325" s="68"/>
      <c r="L3325" s="68"/>
      <c r="M3325" s="68"/>
      <c r="N3325" s="68"/>
      <c r="O3325" s="68"/>
      <c r="P3325" s="68"/>
      <c r="Q3325" s="68">
        <f>SUM(Devis[[#This Row],[Poste 1]:[Poste 6]])</f>
        <v>0</v>
      </c>
      <c r="R3325" s="71"/>
      <c r="S3325" s="68">
        <f>_xlfn.CEILING.MATH(Devis[[#This Row],[Quantité Totale]],Devis[[#This Row],[Conditionnement]])</f>
        <v>0</v>
      </c>
      <c r="T3325" s="72"/>
      <c r="U3325" s="106"/>
      <c r="V3325" s="74">
        <f>Devis[[#This Row],[Prix de Revient]]*Devis[[#This Row],[Poste 1]]</f>
        <v>0</v>
      </c>
      <c r="W3325" s="74">
        <f>Devis[[#This Row],[Prix de Revient]]*Devis[[#This Row],[Poste 2]]</f>
        <v>0</v>
      </c>
      <c r="X3325" s="74">
        <f>Devis[[#This Row],[Prix de Revient]]*Devis[[#This Row],[Poste 3]]</f>
        <v>0</v>
      </c>
      <c r="Y3325" s="74">
        <f>Devis[[#This Row],[Poste 4]]*Devis[[#This Row],[Prix de Revient]]</f>
        <v>0</v>
      </c>
      <c r="Z3325" s="74">
        <f>Devis[[#This Row],[Poste 5]]*Devis[[#This Row],[Prix de Revient]]</f>
        <v>0</v>
      </c>
      <c r="AA3325" s="74">
        <f>Devis[[#This Row],[Prix de Revient]]*Devis[[#This Row],[Poste 6]]</f>
        <v>0</v>
      </c>
      <c r="AB3325" s="74">
        <f>Devis[[#This Row],[Quantité Totale]]*Devis[[#This Row],[Prix de Revient]]</f>
        <v>0</v>
      </c>
    </row>
    <row r="3326" spans="1:28" ht="14.25" customHeight="1" outlineLevel="1" x14ac:dyDescent="0.2">
      <c r="A3326" s="75" t="s">
        <v>3558</v>
      </c>
      <c r="B3326" s="76" t="s">
        <v>3572</v>
      </c>
      <c r="C3326" s="76" t="s">
        <v>3526</v>
      </c>
      <c r="D3326" s="81" t="str">
        <f t="shared" si="61"/>
        <v>Régulation - MesureRegulationCMC</v>
      </c>
      <c r="E3326" s="76" t="s">
        <v>3847</v>
      </c>
      <c r="F3326" s="81">
        <v>36</v>
      </c>
      <c r="G3326" s="86" t="s">
        <v>3836</v>
      </c>
      <c r="H3326" s="71" t="s">
        <v>3526</v>
      </c>
      <c r="I3326" s="75"/>
      <c r="J3326" s="70">
        <f>IFERROR(VLOOKUP(Devis[[#This Row],[Ref Air Flux]],#REF!,3,FALSE),0)</f>
        <v>0</v>
      </c>
      <c r="K3326" s="68"/>
      <c r="L3326" s="68"/>
      <c r="M3326" s="68"/>
      <c r="N3326" s="68"/>
      <c r="O3326" s="68"/>
      <c r="P3326" s="68"/>
      <c r="Q3326" s="68">
        <f>SUM(Devis[[#This Row],[Poste 1]:[Poste 6]])</f>
        <v>0</v>
      </c>
      <c r="R3326" s="71"/>
      <c r="S3326" s="68">
        <f>_xlfn.CEILING.MATH(Devis[[#This Row],[Quantité Totale]],Devis[[#This Row],[Conditionnement]])</f>
        <v>0</v>
      </c>
      <c r="T3326" s="72"/>
      <c r="U3326" s="106"/>
      <c r="V3326" s="74">
        <f>Devis[[#This Row],[Prix de Revient]]*Devis[[#This Row],[Poste 1]]</f>
        <v>0</v>
      </c>
      <c r="W3326" s="74">
        <f>Devis[[#This Row],[Prix de Revient]]*Devis[[#This Row],[Poste 2]]</f>
        <v>0</v>
      </c>
      <c r="X3326" s="74">
        <f>Devis[[#This Row],[Prix de Revient]]*Devis[[#This Row],[Poste 3]]</f>
        <v>0</v>
      </c>
      <c r="Y3326" s="74">
        <f>Devis[[#This Row],[Poste 4]]*Devis[[#This Row],[Prix de Revient]]</f>
        <v>0</v>
      </c>
      <c r="Z3326" s="74">
        <f>Devis[[#This Row],[Poste 5]]*Devis[[#This Row],[Prix de Revient]]</f>
        <v>0</v>
      </c>
      <c r="AA3326" s="74">
        <f>Devis[[#This Row],[Prix de Revient]]*Devis[[#This Row],[Poste 6]]</f>
        <v>0</v>
      </c>
      <c r="AB3326" s="74">
        <f>Devis[[#This Row],[Quantité Totale]]*Devis[[#This Row],[Prix de Revient]]</f>
        <v>0</v>
      </c>
    </row>
    <row r="3327" spans="1:28" ht="14.25" customHeight="1" outlineLevel="1" x14ac:dyDescent="0.2">
      <c r="A3327" s="75" t="s">
        <v>3558</v>
      </c>
      <c r="B3327" s="76" t="s">
        <v>3572</v>
      </c>
      <c r="C3327" s="76" t="s">
        <v>3526</v>
      </c>
      <c r="D3327" s="81" t="str">
        <f t="shared" si="61"/>
        <v>Régulation - MesureRegulationCMC</v>
      </c>
      <c r="E3327" s="76" t="s">
        <v>3848</v>
      </c>
      <c r="F3327" s="81">
        <v>37</v>
      </c>
      <c r="G3327" s="86" t="s">
        <v>3837</v>
      </c>
      <c r="H3327" s="71" t="s">
        <v>3526</v>
      </c>
      <c r="I3327" s="75"/>
      <c r="J3327" s="70">
        <f>IFERROR(VLOOKUP(Devis[[#This Row],[Ref Air Flux]],#REF!,3,FALSE),0)</f>
        <v>0</v>
      </c>
      <c r="K3327" s="68"/>
      <c r="L3327" s="68"/>
      <c r="M3327" s="68"/>
      <c r="N3327" s="68"/>
      <c r="O3327" s="68"/>
      <c r="P3327" s="68"/>
      <c r="Q3327" s="68">
        <f>SUM(Devis[[#This Row],[Poste 1]:[Poste 6]])</f>
        <v>0</v>
      </c>
      <c r="R3327" s="71"/>
      <c r="S3327" s="68">
        <f>_xlfn.CEILING.MATH(Devis[[#This Row],[Quantité Totale]],Devis[[#This Row],[Conditionnement]])</f>
        <v>0</v>
      </c>
      <c r="T3327" s="72"/>
      <c r="U3327" s="106"/>
      <c r="V3327" s="74">
        <f>Devis[[#This Row],[Prix de Revient]]*Devis[[#This Row],[Poste 1]]</f>
        <v>0</v>
      </c>
      <c r="W3327" s="74">
        <f>Devis[[#This Row],[Prix de Revient]]*Devis[[#This Row],[Poste 2]]</f>
        <v>0</v>
      </c>
      <c r="X3327" s="74">
        <f>Devis[[#This Row],[Prix de Revient]]*Devis[[#This Row],[Poste 3]]</f>
        <v>0</v>
      </c>
      <c r="Y3327" s="74">
        <f>Devis[[#This Row],[Poste 4]]*Devis[[#This Row],[Prix de Revient]]</f>
        <v>0</v>
      </c>
      <c r="Z3327" s="74">
        <f>Devis[[#This Row],[Poste 5]]*Devis[[#This Row],[Prix de Revient]]</f>
        <v>0</v>
      </c>
      <c r="AA3327" s="74">
        <f>Devis[[#This Row],[Prix de Revient]]*Devis[[#This Row],[Poste 6]]</f>
        <v>0</v>
      </c>
      <c r="AB3327" s="74">
        <f>Devis[[#This Row],[Quantité Totale]]*Devis[[#This Row],[Prix de Revient]]</f>
        <v>0</v>
      </c>
    </row>
    <row r="3328" spans="1:28" ht="14.25" customHeight="1" outlineLevel="1" x14ac:dyDescent="0.2">
      <c r="A3328" s="75" t="s">
        <v>3558</v>
      </c>
      <c r="B3328" s="76" t="s">
        <v>3572</v>
      </c>
      <c r="C3328" s="76" t="s">
        <v>3526</v>
      </c>
      <c r="D3328" s="81" t="str">
        <f t="shared" si="61"/>
        <v>Régulation - MesureRegulationCMC</v>
      </c>
      <c r="E3328" s="76" t="s">
        <v>3849</v>
      </c>
      <c r="F3328" s="81">
        <v>38</v>
      </c>
      <c r="G3328" s="86" t="s">
        <v>3838</v>
      </c>
      <c r="H3328" s="71" t="s">
        <v>3526</v>
      </c>
      <c r="I3328" s="75"/>
      <c r="J3328" s="70">
        <f>IFERROR(VLOOKUP(Devis[[#This Row],[Ref Air Flux]],#REF!,3,FALSE),0)</f>
        <v>0</v>
      </c>
      <c r="K3328" s="68"/>
      <c r="L3328" s="68"/>
      <c r="M3328" s="68"/>
      <c r="N3328" s="68"/>
      <c r="O3328" s="68"/>
      <c r="P3328" s="68"/>
      <c r="Q3328" s="68">
        <f>SUM(Devis[[#This Row],[Poste 1]:[Poste 6]])</f>
        <v>0</v>
      </c>
      <c r="R3328" s="71"/>
      <c r="S3328" s="68">
        <f>_xlfn.CEILING.MATH(Devis[[#This Row],[Quantité Totale]],Devis[[#This Row],[Conditionnement]])</f>
        <v>0</v>
      </c>
      <c r="T3328" s="72"/>
      <c r="U3328" s="106"/>
      <c r="V3328" s="74">
        <f>Devis[[#This Row],[Prix de Revient]]*Devis[[#This Row],[Poste 1]]</f>
        <v>0</v>
      </c>
      <c r="W3328" s="74">
        <f>Devis[[#This Row],[Prix de Revient]]*Devis[[#This Row],[Poste 2]]</f>
        <v>0</v>
      </c>
      <c r="X3328" s="74">
        <f>Devis[[#This Row],[Prix de Revient]]*Devis[[#This Row],[Poste 3]]</f>
        <v>0</v>
      </c>
      <c r="Y3328" s="74">
        <f>Devis[[#This Row],[Poste 4]]*Devis[[#This Row],[Prix de Revient]]</f>
        <v>0</v>
      </c>
      <c r="Z3328" s="74">
        <f>Devis[[#This Row],[Poste 5]]*Devis[[#This Row],[Prix de Revient]]</f>
        <v>0</v>
      </c>
      <c r="AA3328" s="74">
        <f>Devis[[#This Row],[Prix de Revient]]*Devis[[#This Row],[Poste 6]]</f>
        <v>0</v>
      </c>
      <c r="AB3328" s="74">
        <f>Devis[[#This Row],[Quantité Totale]]*Devis[[#This Row],[Prix de Revient]]</f>
        <v>0</v>
      </c>
    </row>
    <row r="3329" spans="1:28" ht="14.25" outlineLevel="1" x14ac:dyDescent="0.2">
      <c r="A3329" s="75" t="s">
        <v>3558</v>
      </c>
      <c r="B3329" s="76" t="s">
        <v>3572</v>
      </c>
      <c r="C3329" s="76" t="s">
        <v>3526</v>
      </c>
      <c r="D3329" s="81" t="str">
        <f t="shared" si="61"/>
        <v>Régulation - MesureRegulationCMC</v>
      </c>
      <c r="E3329" s="76" t="s">
        <v>3852</v>
      </c>
      <c r="F3329" s="81">
        <v>39</v>
      </c>
      <c r="G3329" s="86" t="s">
        <v>3850</v>
      </c>
      <c r="H3329" s="71" t="s">
        <v>3526</v>
      </c>
      <c r="I3329" s="75"/>
      <c r="J3329" s="70">
        <f>IFERROR(VLOOKUP(Devis[[#This Row],[Ref Air Flux]],#REF!,3,FALSE),0)</f>
        <v>0</v>
      </c>
      <c r="K3329" s="68"/>
      <c r="L3329" s="68"/>
      <c r="M3329" s="68"/>
      <c r="N3329" s="68"/>
      <c r="O3329" s="68"/>
      <c r="P3329" s="68"/>
      <c r="Q3329" s="68">
        <f>SUM(Devis[[#This Row],[Poste 1]:[Poste 6]])</f>
        <v>0</v>
      </c>
      <c r="R3329" s="71"/>
      <c r="S3329" s="68">
        <f>_xlfn.CEILING.MATH(Devis[[#This Row],[Quantité Totale]],Devis[[#This Row],[Conditionnement]])</f>
        <v>0</v>
      </c>
      <c r="T3329" s="72"/>
      <c r="U3329" s="106"/>
      <c r="V3329" s="74">
        <f>Devis[[#This Row],[Prix de Revient]]*Devis[[#This Row],[Poste 1]]</f>
        <v>0</v>
      </c>
      <c r="W3329" s="74">
        <f>Devis[[#This Row],[Prix de Revient]]*Devis[[#This Row],[Poste 2]]</f>
        <v>0</v>
      </c>
      <c r="X3329" s="74">
        <f>Devis[[#This Row],[Prix de Revient]]*Devis[[#This Row],[Poste 3]]</f>
        <v>0</v>
      </c>
      <c r="Y3329" s="74">
        <f>Devis[[#This Row],[Poste 4]]*Devis[[#This Row],[Prix de Revient]]</f>
        <v>0</v>
      </c>
      <c r="Z3329" s="74">
        <f>Devis[[#This Row],[Poste 5]]*Devis[[#This Row],[Prix de Revient]]</f>
        <v>0</v>
      </c>
      <c r="AA3329" s="74">
        <f>Devis[[#This Row],[Prix de Revient]]*Devis[[#This Row],[Poste 6]]</f>
        <v>0</v>
      </c>
      <c r="AB3329" s="74">
        <f>Devis[[#This Row],[Quantité Totale]]*Devis[[#This Row],[Prix de Revient]]</f>
        <v>0</v>
      </c>
    </row>
    <row r="3330" spans="1:28" ht="14.25" outlineLevel="1" x14ac:dyDescent="0.2">
      <c r="A3330" s="75" t="s">
        <v>3558</v>
      </c>
      <c r="B3330" s="76" t="s">
        <v>3572</v>
      </c>
      <c r="C3330" s="76" t="s">
        <v>3526</v>
      </c>
      <c r="D3330" s="81" t="str">
        <f t="shared" si="61"/>
        <v>Régulation - MesureRegulationCMC</v>
      </c>
      <c r="E3330" s="76" t="s">
        <v>3853</v>
      </c>
      <c r="F3330" s="81">
        <v>40</v>
      </c>
      <c r="G3330" s="86" t="s">
        <v>3851</v>
      </c>
      <c r="H3330" s="71" t="s">
        <v>3526</v>
      </c>
      <c r="I3330" s="75"/>
      <c r="J3330" s="70">
        <f>IFERROR(VLOOKUP(Devis[[#This Row],[Ref Air Flux]],#REF!,3,FALSE),0)</f>
        <v>0</v>
      </c>
      <c r="K3330" s="68"/>
      <c r="L3330" s="68"/>
      <c r="M3330" s="68"/>
      <c r="N3330" s="68"/>
      <c r="O3330" s="68"/>
      <c r="P3330" s="68"/>
      <c r="Q3330" s="68">
        <f>SUM(Devis[[#This Row],[Poste 1]:[Poste 6]])</f>
        <v>0</v>
      </c>
      <c r="R3330" s="71"/>
      <c r="S3330" s="68">
        <f>_xlfn.CEILING.MATH(Devis[[#This Row],[Quantité Totale]],Devis[[#This Row],[Conditionnement]])</f>
        <v>0</v>
      </c>
      <c r="T3330" s="72"/>
      <c r="U3330" s="106"/>
      <c r="V3330" s="74">
        <f>Devis[[#This Row],[Prix de Revient]]*Devis[[#This Row],[Poste 1]]</f>
        <v>0</v>
      </c>
      <c r="W3330" s="74">
        <f>Devis[[#This Row],[Prix de Revient]]*Devis[[#This Row],[Poste 2]]</f>
        <v>0</v>
      </c>
      <c r="X3330" s="74">
        <f>Devis[[#This Row],[Prix de Revient]]*Devis[[#This Row],[Poste 3]]</f>
        <v>0</v>
      </c>
      <c r="Y3330" s="74">
        <f>Devis[[#This Row],[Poste 4]]*Devis[[#This Row],[Prix de Revient]]</f>
        <v>0</v>
      </c>
      <c r="Z3330" s="74">
        <f>Devis[[#This Row],[Poste 5]]*Devis[[#This Row],[Prix de Revient]]</f>
        <v>0</v>
      </c>
      <c r="AA3330" s="74">
        <f>Devis[[#This Row],[Prix de Revient]]*Devis[[#This Row],[Poste 6]]</f>
        <v>0</v>
      </c>
      <c r="AB3330" s="74">
        <f>Devis[[#This Row],[Quantité Totale]]*Devis[[#This Row],[Prix de Revient]]</f>
        <v>0</v>
      </c>
    </row>
    <row r="3331" spans="1:28" ht="14.25" customHeight="1" x14ac:dyDescent="0.25">
      <c r="A3331" s="65" t="s">
        <v>3558</v>
      </c>
      <c r="B3331" s="65" t="s">
        <v>2982</v>
      </c>
      <c r="C3331" s="76"/>
      <c r="D3331" s="81" t="str">
        <f t="shared" si="61"/>
        <v>Régulation - MesureTelesurveillance</v>
      </c>
      <c r="E3331" s="76"/>
      <c r="F3331" s="81">
        <v>0</v>
      </c>
      <c r="G3331" s="86"/>
      <c r="H3331" s="71"/>
      <c r="I3331" s="75"/>
      <c r="J3331" s="70">
        <f>IFERROR(VLOOKUP(Devis[[#This Row],[Ref Air Flux]],#REF!,3,FALSE),0)</f>
        <v>0</v>
      </c>
      <c r="K3331" s="68"/>
      <c r="L3331" s="68"/>
      <c r="M3331" s="68"/>
      <c r="N3331" s="68"/>
      <c r="O3331" s="68"/>
      <c r="P3331" s="68"/>
      <c r="Q3331" s="68">
        <f>SUM(Devis[[#This Row],[Poste 1]:[Poste 6]])</f>
        <v>0</v>
      </c>
      <c r="R3331" s="71"/>
      <c r="S3331" s="68">
        <f>_xlfn.CEILING.MATH(Devis[[#This Row],[Quantité Totale]],Devis[[#This Row],[Conditionnement]])</f>
        <v>0</v>
      </c>
      <c r="T3331" s="72"/>
      <c r="U3331" s="106"/>
      <c r="V3331" s="74">
        <f>Devis[[#This Row],[Prix de Revient]]*Devis[[#This Row],[Poste 1]]</f>
        <v>0</v>
      </c>
      <c r="W3331" s="74">
        <f>Devis[[#This Row],[Prix de Revient]]*Devis[[#This Row],[Poste 2]]</f>
        <v>0</v>
      </c>
      <c r="X3331" s="74">
        <f>Devis[[#This Row],[Prix de Revient]]*Devis[[#This Row],[Poste 3]]</f>
        <v>0</v>
      </c>
      <c r="Y3331" s="74">
        <f>Devis[[#This Row],[Poste 4]]*Devis[[#This Row],[Prix de Revient]]</f>
        <v>0</v>
      </c>
      <c r="Z3331" s="74">
        <f>Devis[[#This Row],[Poste 5]]*Devis[[#This Row],[Prix de Revient]]</f>
        <v>0</v>
      </c>
      <c r="AA3331" s="74">
        <f>Devis[[#This Row],[Prix de Revient]]*Devis[[#This Row],[Poste 6]]</f>
        <v>0</v>
      </c>
      <c r="AB3331" s="74">
        <f>Devis[[#This Row],[Quantité Totale]]*Devis[[#This Row],[Prix de Revient]]</f>
        <v>0</v>
      </c>
    </row>
    <row r="3332" spans="1:28" ht="14.25" outlineLevel="1" x14ac:dyDescent="0.2">
      <c r="A3332" s="75" t="s">
        <v>3558</v>
      </c>
      <c r="B3332" s="76" t="s">
        <v>2982</v>
      </c>
      <c r="C3332" s="76" t="s">
        <v>3682</v>
      </c>
      <c r="D3332" s="81" t="str">
        <f t="shared" si="61"/>
        <v>Régulation - MesureTelesurveillanceSwitch</v>
      </c>
      <c r="E3332" s="76" t="s">
        <v>3535</v>
      </c>
      <c r="F3332" s="81">
        <v>1</v>
      </c>
      <c r="G3332" s="86" t="s">
        <v>3536</v>
      </c>
      <c r="H3332" s="71" t="s">
        <v>3528</v>
      </c>
      <c r="I3332" s="75" t="s">
        <v>3536</v>
      </c>
      <c r="J3332" s="70">
        <f>IFERROR(VLOOKUP(Devis[[#This Row],[Ref Air Flux]],#REF!,3,FALSE),0)</f>
        <v>0</v>
      </c>
      <c r="K3332" s="68"/>
      <c r="L3332" s="68"/>
      <c r="M3332" s="68"/>
      <c r="N3332" s="68"/>
      <c r="O3332" s="68"/>
      <c r="P3332" s="68"/>
      <c r="Q3332" s="68">
        <f>SUM(Devis[[#This Row],[Poste 1]:[Poste 6]])</f>
        <v>0</v>
      </c>
      <c r="R3332" s="71"/>
      <c r="S3332" s="68">
        <f>_xlfn.CEILING.MATH(Devis[[#This Row],[Quantité Totale]],Devis[[#This Row],[Conditionnement]])</f>
        <v>0</v>
      </c>
      <c r="T3332" s="72"/>
      <c r="U3332" s="106"/>
      <c r="V3332" s="74">
        <f>Devis[[#This Row],[Prix de Revient]]*Devis[[#This Row],[Poste 1]]</f>
        <v>0</v>
      </c>
      <c r="W3332" s="74">
        <f>Devis[[#This Row],[Prix de Revient]]*Devis[[#This Row],[Poste 2]]</f>
        <v>0</v>
      </c>
      <c r="X3332" s="74">
        <f>Devis[[#This Row],[Prix de Revient]]*Devis[[#This Row],[Poste 3]]</f>
        <v>0</v>
      </c>
      <c r="Y3332" s="74">
        <f>Devis[[#This Row],[Poste 4]]*Devis[[#This Row],[Prix de Revient]]</f>
        <v>0</v>
      </c>
      <c r="Z3332" s="74">
        <f>Devis[[#This Row],[Poste 5]]*Devis[[#This Row],[Prix de Revient]]</f>
        <v>0</v>
      </c>
      <c r="AA3332" s="74">
        <f>Devis[[#This Row],[Prix de Revient]]*Devis[[#This Row],[Poste 6]]</f>
        <v>0</v>
      </c>
      <c r="AB3332" s="74">
        <f>Devis[[#This Row],[Quantité Totale]]*Devis[[#This Row],[Prix de Revient]]</f>
        <v>0</v>
      </c>
    </row>
    <row r="3333" spans="1:28" ht="14.25" outlineLevel="1" x14ac:dyDescent="0.2">
      <c r="A3333" s="75" t="s">
        <v>3558</v>
      </c>
      <c r="B3333" s="76" t="s">
        <v>2982</v>
      </c>
      <c r="C3333" s="76" t="s">
        <v>3681</v>
      </c>
      <c r="D3333" s="81" t="str">
        <f t="shared" si="61"/>
        <v>Régulation - MesureTelesurveillanceAntenne modem</v>
      </c>
      <c r="E3333" s="76" t="s">
        <v>3530</v>
      </c>
      <c r="F3333" s="81">
        <v>2</v>
      </c>
      <c r="G3333" s="86" t="s">
        <v>3532</v>
      </c>
      <c r="H3333" s="71" t="s">
        <v>3533</v>
      </c>
      <c r="I3333" s="75" t="s">
        <v>3534</v>
      </c>
      <c r="J3333" s="70">
        <f>IFERROR(VLOOKUP(Devis[[#This Row],[Ref Air Flux]],#REF!,3,FALSE),0)</f>
        <v>0</v>
      </c>
      <c r="K3333" s="68"/>
      <c r="L3333" s="68"/>
      <c r="M3333" s="68"/>
      <c r="N3333" s="68"/>
      <c r="O3333" s="68"/>
      <c r="P3333" s="68"/>
      <c r="Q3333" s="68">
        <f>SUM(Devis[[#This Row],[Poste 1]:[Poste 6]])</f>
        <v>0</v>
      </c>
      <c r="R3333" s="71"/>
      <c r="S3333" s="68">
        <f>_xlfn.CEILING.MATH(Devis[[#This Row],[Quantité Totale]],Devis[[#This Row],[Conditionnement]])</f>
        <v>0</v>
      </c>
      <c r="T3333" s="72"/>
      <c r="U3333" s="106"/>
      <c r="V3333" s="74">
        <f>Devis[[#This Row],[Prix de Revient]]*Devis[[#This Row],[Poste 1]]</f>
        <v>0</v>
      </c>
      <c r="W3333" s="74">
        <f>Devis[[#This Row],[Prix de Revient]]*Devis[[#This Row],[Poste 2]]</f>
        <v>0</v>
      </c>
      <c r="X3333" s="74">
        <f>Devis[[#This Row],[Prix de Revient]]*Devis[[#This Row],[Poste 3]]</f>
        <v>0</v>
      </c>
      <c r="Y3333" s="74">
        <f>Devis[[#This Row],[Poste 4]]*Devis[[#This Row],[Prix de Revient]]</f>
        <v>0</v>
      </c>
      <c r="Z3333" s="74">
        <f>Devis[[#This Row],[Poste 5]]*Devis[[#This Row],[Prix de Revient]]</f>
        <v>0</v>
      </c>
      <c r="AA3333" s="74">
        <f>Devis[[#This Row],[Prix de Revient]]*Devis[[#This Row],[Poste 6]]</f>
        <v>0</v>
      </c>
      <c r="AB3333" s="74">
        <f>Devis[[#This Row],[Quantité Totale]]*Devis[[#This Row],[Prix de Revient]]</f>
        <v>0</v>
      </c>
    </row>
    <row r="3334" spans="1:28" ht="14.25" outlineLevel="1" x14ac:dyDescent="0.2">
      <c r="A3334" s="75" t="s">
        <v>3558</v>
      </c>
      <c r="B3334" s="76" t="s">
        <v>2982</v>
      </c>
      <c r="C3334" s="76" t="s">
        <v>3685</v>
      </c>
      <c r="D3334" s="81" t="str">
        <f t="shared" si="61"/>
        <v>Régulation - MesureTelesurveillanceRouteur</v>
      </c>
      <c r="E3334" s="76" t="s">
        <v>3529</v>
      </c>
      <c r="F3334" s="81">
        <v>3</v>
      </c>
      <c r="G3334" s="86" t="s">
        <v>3531</v>
      </c>
      <c r="H3334" s="71" t="s">
        <v>3533</v>
      </c>
      <c r="I3334" s="75">
        <v>1034002</v>
      </c>
      <c r="J3334" s="70">
        <f>IFERROR(VLOOKUP(Devis[[#This Row],[Ref Air Flux]],#REF!,3,FALSE),0)</f>
        <v>0</v>
      </c>
      <c r="K3334" s="68"/>
      <c r="L3334" s="68"/>
      <c r="M3334" s="68"/>
      <c r="N3334" s="68"/>
      <c r="O3334" s="68"/>
      <c r="P3334" s="68"/>
      <c r="Q3334" s="68">
        <f>SUM(Devis[[#This Row],[Poste 1]:[Poste 6]])</f>
        <v>0</v>
      </c>
      <c r="R3334" s="71"/>
      <c r="S3334" s="68">
        <f>_xlfn.CEILING.MATH(Devis[[#This Row],[Quantité Totale]],Devis[[#This Row],[Conditionnement]])</f>
        <v>0</v>
      </c>
      <c r="T3334" s="72"/>
      <c r="U3334" s="106"/>
      <c r="V3334" s="74">
        <f>Devis[[#This Row],[Prix de Revient]]*Devis[[#This Row],[Poste 1]]</f>
        <v>0</v>
      </c>
      <c r="W3334" s="74">
        <f>Devis[[#This Row],[Prix de Revient]]*Devis[[#This Row],[Poste 2]]</f>
        <v>0</v>
      </c>
      <c r="X3334" s="74">
        <f>Devis[[#This Row],[Prix de Revient]]*Devis[[#This Row],[Poste 3]]</f>
        <v>0</v>
      </c>
      <c r="Y3334" s="74">
        <f>Devis[[#This Row],[Poste 4]]*Devis[[#This Row],[Prix de Revient]]</f>
        <v>0</v>
      </c>
      <c r="Z3334" s="74">
        <f>Devis[[#This Row],[Poste 5]]*Devis[[#This Row],[Prix de Revient]]</f>
        <v>0</v>
      </c>
      <c r="AA3334" s="74">
        <f>Devis[[#This Row],[Prix de Revient]]*Devis[[#This Row],[Poste 6]]</f>
        <v>0</v>
      </c>
      <c r="AB3334" s="74">
        <f>Devis[[#This Row],[Quantité Totale]]*Devis[[#This Row],[Prix de Revient]]</f>
        <v>0</v>
      </c>
    </row>
    <row r="3335" spans="1:28" ht="15" customHeight="1" outlineLevel="1" x14ac:dyDescent="0.2">
      <c r="A3335" s="75" t="s">
        <v>3558</v>
      </c>
      <c r="B3335" s="76" t="s">
        <v>2982</v>
      </c>
      <c r="C3335" s="76" t="s">
        <v>3680</v>
      </c>
      <c r="D3335" s="81" t="str">
        <f t="shared" si="61"/>
        <v>Régulation - MesureTelesurveillancecordon de brassage</v>
      </c>
      <c r="E3335" s="76" t="s">
        <v>3675</v>
      </c>
      <c r="F3335" s="81">
        <v>4</v>
      </c>
      <c r="G3335" s="86" t="s">
        <v>3676</v>
      </c>
      <c r="H3335" s="71" t="s">
        <v>3678</v>
      </c>
      <c r="I3335" s="75"/>
      <c r="J3335" s="70">
        <f>IFERROR(VLOOKUP(Devis[[#This Row],[Ref Air Flux]],#REF!,3,FALSE),0)</f>
        <v>0</v>
      </c>
      <c r="K3335" s="68"/>
      <c r="L3335" s="68"/>
      <c r="M3335" s="68"/>
      <c r="N3335" s="68"/>
      <c r="O3335" s="68"/>
      <c r="P3335" s="68"/>
      <c r="Q3335" s="68">
        <f>SUM(Devis[[#This Row],[Poste 1]:[Poste 6]])</f>
        <v>0</v>
      </c>
      <c r="R3335" s="71"/>
      <c r="S3335" s="68">
        <f>_xlfn.CEILING.MATH(Devis[[#This Row],[Quantité Totale]],Devis[[#This Row],[Conditionnement]])</f>
        <v>0</v>
      </c>
      <c r="T3335" s="72"/>
      <c r="U3335" s="106"/>
      <c r="V3335" s="74">
        <f>Devis[[#This Row],[Prix de Revient]]*Devis[[#This Row],[Poste 1]]</f>
        <v>0</v>
      </c>
      <c r="W3335" s="74">
        <f>Devis[[#This Row],[Prix de Revient]]*Devis[[#This Row],[Poste 2]]</f>
        <v>0</v>
      </c>
      <c r="X3335" s="74">
        <f>Devis[[#This Row],[Prix de Revient]]*Devis[[#This Row],[Poste 3]]</f>
        <v>0</v>
      </c>
      <c r="Y3335" s="74">
        <f>Devis[[#This Row],[Poste 4]]*Devis[[#This Row],[Prix de Revient]]</f>
        <v>0</v>
      </c>
      <c r="Z3335" s="74">
        <f>Devis[[#This Row],[Poste 5]]*Devis[[#This Row],[Prix de Revient]]</f>
        <v>0</v>
      </c>
      <c r="AA3335" s="74">
        <f>Devis[[#This Row],[Prix de Revient]]*Devis[[#This Row],[Poste 6]]</f>
        <v>0</v>
      </c>
      <c r="AB3335" s="74">
        <f>Devis[[#This Row],[Quantité Totale]]*Devis[[#This Row],[Prix de Revient]]</f>
        <v>0</v>
      </c>
    </row>
    <row r="3336" spans="1:28" ht="14.25" outlineLevel="1" x14ac:dyDescent="0.2">
      <c r="A3336" s="75" t="s">
        <v>3558</v>
      </c>
      <c r="B3336" s="76" t="s">
        <v>2982</v>
      </c>
      <c r="C3336" s="76" t="s">
        <v>3680</v>
      </c>
      <c r="D3336" s="81" t="str">
        <f t="shared" si="61"/>
        <v>Régulation - MesureTelesurveillancecordon de brassage</v>
      </c>
      <c r="E3336" s="76" t="s">
        <v>3683</v>
      </c>
      <c r="F3336" s="81">
        <v>5</v>
      </c>
      <c r="G3336" s="86" t="s">
        <v>3684</v>
      </c>
      <c r="H3336" s="71" t="s">
        <v>3528</v>
      </c>
      <c r="I3336" s="75"/>
      <c r="J3336" s="70">
        <f>IFERROR(VLOOKUP(Devis[[#This Row],[Ref Air Flux]],#REF!,3,FALSE),0)</f>
        <v>0</v>
      </c>
      <c r="K3336" s="68"/>
      <c r="L3336" s="68"/>
      <c r="M3336" s="68"/>
      <c r="N3336" s="68"/>
      <c r="O3336" s="68"/>
      <c r="P3336" s="68"/>
      <c r="Q3336" s="68">
        <f>SUM(Devis[[#This Row],[Poste 1]:[Poste 6]])</f>
        <v>0</v>
      </c>
      <c r="R3336" s="71"/>
      <c r="S3336" s="68">
        <f>_xlfn.CEILING.MATH(Devis[[#This Row],[Quantité Totale]],Devis[[#This Row],[Conditionnement]])</f>
        <v>0</v>
      </c>
      <c r="T3336" s="72"/>
      <c r="U3336" s="106"/>
      <c r="V3336" s="74">
        <f>Devis[[#This Row],[Prix de Revient]]*Devis[[#This Row],[Poste 1]]</f>
        <v>0</v>
      </c>
      <c r="W3336" s="74">
        <f>Devis[[#This Row],[Prix de Revient]]*Devis[[#This Row],[Poste 2]]</f>
        <v>0</v>
      </c>
      <c r="X3336" s="74">
        <f>Devis[[#This Row],[Prix de Revient]]*Devis[[#This Row],[Poste 3]]</f>
        <v>0</v>
      </c>
      <c r="Y3336" s="74">
        <f>Devis[[#This Row],[Poste 4]]*Devis[[#This Row],[Prix de Revient]]</f>
        <v>0</v>
      </c>
      <c r="Z3336" s="74">
        <f>Devis[[#This Row],[Poste 5]]*Devis[[#This Row],[Prix de Revient]]</f>
        <v>0</v>
      </c>
      <c r="AA3336" s="74">
        <f>Devis[[#This Row],[Prix de Revient]]*Devis[[#This Row],[Poste 6]]</f>
        <v>0</v>
      </c>
      <c r="AB3336" s="74">
        <f>Devis[[#This Row],[Quantité Totale]]*Devis[[#This Row],[Prix de Revient]]</f>
        <v>0</v>
      </c>
    </row>
    <row r="3337" spans="1:28" ht="14.25" outlineLevel="1" x14ac:dyDescent="0.2">
      <c r="A3337" s="75" t="s">
        <v>3558</v>
      </c>
      <c r="B3337" s="76" t="s">
        <v>2982</v>
      </c>
      <c r="C3337" s="76" t="s">
        <v>3680</v>
      </c>
      <c r="D3337" s="81" t="str">
        <f t="shared" si="61"/>
        <v>Régulation - MesureTelesurveillancecordon de brassage</v>
      </c>
      <c r="E3337" s="76" t="s">
        <v>3679</v>
      </c>
      <c r="F3337" s="81">
        <v>6</v>
      </c>
      <c r="G3337" s="86" t="s">
        <v>3677</v>
      </c>
      <c r="H3337" s="71" t="s">
        <v>3678</v>
      </c>
      <c r="I3337" s="75"/>
      <c r="J3337" s="70">
        <f>IFERROR(VLOOKUP(Devis[[#This Row],[Ref Air Flux]],#REF!,3,FALSE),0)</f>
        <v>0</v>
      </c>
      <c r="K3337" s="68"/>
      <c r="L3337" s="68"/>
      <c r="M3337" s="68"/>
      <c r="N3337" s="68"/>
      <c r="O3337" s="68"/>
      <c r="P3337" s="68"/>
      <c r="Q3337" s="68">
        <f>SUM(Devis[[#This Row],[Poste 1]:[Poste 6]])</f>
        <v>0</v>
      </c>
      <c r="R3337" s="71"/>
      <c r="S3337" s="68">
        <f>_xlfn.CEILING.MATH(Devis[[#This Row],[Quantité Totale]],Devis[[#This Row],[Conditionnement]])</f>
        <v>0</v>
      </c>
      <c r="T3337" s="72"/>
      <c r="U3337" s="106"/>
      <c r="V3337" s="74">
        <f>Devis[[#This Row],[Prix de Revient]]*Devis[[#This Row],[Poste 1]]</f>
        <v>0</v>
      </c>
      <c r="W3337" s="74">
        <f>Devis[[#This Row],[Prix de Revient]]*Devis[[#This Row],[Poste 2]]</f>
        <v>0</v>
      </c>
      <c r="X3337" s="74">
        <f>Devis[[#This Row],[Prix de Revient]]*Devis[[#This Row],[Poste 3]]</f>
        <v>0</v>
      </c>
      <c r="Y3337" s="74">
        <f>Devis[[#This Row],[Poste 4]]*Devis[[#This Row],[Prix de Revient]]</f>
        <v>0</v>
      </c>
      <c r="Z3337" s="74">
        <f>Devis[[#This Row],[Poste 5]]*Devis[[#This Row],[Prix de Revient]]</f>
        <v>0</v>
      </c>
      <c r="AA3337" s="74">
        <f>Devis[[#This Row],[Prix de Revient]]*Devis[[#This Row],[Poste 6]]</f>
        <v>0</v>
      </c>
      <c r="AB3337" s="74">
        <f>Devis[[#This Row],[Quantité Totale]]*Devis[[#This Row],[Prix de Revient]]</f>
        <v>0</v>
      </c>
    </row>
    <row r="3338" spans="1:28" ht="14.25" outlineLevel="1" x14ac:dyDescent="0.2">
      <c r="A3338" s="75" t="s">
        <v>3558</v>
      </c>
      <c r="B3338" s="76" t="s">
        <v>2982</v>
      </c>
      <c r="C3338" s="76" t="s">
        <v>3686</v>
      </c>
      <c r="D3338" s="81" t="str">
        <f t="shared" si="61"/>
        <v>Régulation - MesureTelesurveillanceAF connect</v>
      </c>
      <c r="E3338" s="76" t="s">
        <v>3687</v>
      </c>
      <c r="F3338" s="81">
        <v>7</v>
      </c>
      <c r="G3338" s="86" t="s">
        <v>3689</v>
      </c>
      <c r="H3338" s="71" t="s">
        <v>3691</v>
      </c>
      <c r="I3338" s="75"/>
      <c r="J3338" s="70">
        <f>IFERROR(VLOOKUP(Devis[[#This Row],[Ref Air Flux]],#REF!,3,FALSE),0)</f>
        <v>0</v>
      </c>
      <c r="K3338" s="68"/>
      <c r="L3338" s="68"/>
      <c r="M3338" s="68"/>
      <c r="N3338" s="68"/>
      <c r="O3338" s="68"/>
      <c r="P3338" s="68"/>
      <c r="Q3338" s="68">
        <f>SUM(Devis[[#This Row],[Poste 1]:[Poste 6]])</f>
        <v>0</v>
      </c>
      <c r="R3338" s="71"/>
      <c r="S3338" s="68">
        <f>_xlfn.CEILING.MATH(Devis[[#This Row],[Quantité Totale]],Devis[[#This Row],[Conditionnement]])</f>
        <v>0</v>
      </c>
      <c r="T3338" s="72"/>
      <c r="U3338" s="106"/>
      <c r="V3338" s="74">
        <f>Devis[[#This Row],[Prix de Revient]]*Devis[[#This Row],[Poste 1]]</f>
        <v>0</v>
      </c>
      <c r="W3338" s="74">
        <f>Devis[[#This Row],[Prix de Revient]]*Devis[[#This Row],[Poste 2]]</f>
        <v>0</v>
      </c>
      <c r="X3338" s="74">
        <f>Devis[[#This Row],[Prix de Revient]]*Devis[[#This Row],[Poste 3]]</f>
        <v>0</v>
      </c>
      <c r="Y3338" s="74">
        <f>Devis[[#This Row],[Poste 4]]*Devis[[#This Row],[Prix de Revient]]</f>
        <v>0</v>
      </c>
      <c r="Z3338" s="74">
        <f>Devis[[#This Row],[Poste 5]]*Devis[[#This Row],[Prix de Revient]]</f>
        <v>0</v>
      </c>
      <c r="AA3338" s="74">
        <f>Devis[[#This Row],[Prix de Revient]]*Devis[[#This Row],[Poste 6]]</f>
        <v>0</v>
      </c>
      <c r="AB3338" s="74">
        <f>Devis[[#This Row],[Quantité Totale]]*Devis[[#This Row],[Prix de Revient]]</f>
        <v>0</v>
      </c>
    </row>
    <row r="3339" spans="1:28" ht="14.25" outlineLevel="1" x14ac:dyDescent="0.2">
      <c r="A3339" s="75" t="s">
        <v>3558</v>
      </c>
      <c r="B3339" s="76" t="s">
        <v>2982</v>
      </c>
      <c r="C3339" s="76" t="s">
        <v>3686</v>
      </c>
      <c r="D3339" s="81" t="str">
        <f t="shared" si="61"/>
        <v>Régulation - MesureTelesurveillanceAF connect</v>
      </c>
      <c r="E3339" s="76" t="s">
        <v>3688</v>
      </c>
      <c r="F3339" s="81">
        <v>8</v>
      </c>
      <c r="G3339" s="86" t="s">
        <v>3690</v>
      </c>
      <c r="H3339" s="71" t="s">
        <v>3691</v>
      </c>
      <c r="I3339" s="75"/>
      <c r="J3339" s="70">
        <f>IFERROR(VLOOKUP(Devis[[#This Row],[Ref Air Flux]],#REF!,3,FALSE),0)</f>
        <v>0</v>
      </c>
      <c r="K3339" s="68"/>
      <c r="L3339" s="68"/>
      <c r="M3339" s="68"/>
      <c r="N3339" s="68"/>
      <c r="O3339" s="68"/>
      <c r="P3339" s="68"/>
      <c r="Q3339" s="68">
        <f>SUM(Devis[[#This Row],[Poste 1]:[Poste 6]])</f>
        <v>0</v>
      </c>
      <c r="R3339" s="71"/>
      <c r="S3339" s="68">
        <f>_xlfn.CEILING.MATH(Devis[[#This Row],[Quantité Totale]],Devis[[#This Row],[Conditionnement]])</f>
        <v>0</v>
      </c>
      <c r="T3339" s="72"/>
      <c r="U3339" s="106"/>
      <c r="V3339" s="74">
        <f>Devis[[#This Row],[Prix de Revient]]*Devis[[#This Row],[Poste 1]]</f>
        <v>0</v>
      </c>
      <c r="W3339" s="74">
        <f>Devis[[#This Row],[Prix de Revient]]*Devis[[#This Row],[Poste 2]]</f>
        <v>0</v>
      </c>
      <c r="X3339" s="74">
        <f>Devis[[#This Row],[Prix de Revient]]*Devis[[#This Row],[Poste 3]]</f>
        <v>0</v>
      </c>
      <c r="Y3339" s="74">
        <f>Devis[[#This Row],[Poste 4]]*Devis[[#This Row],[Prix de Revient]]</f>
        <v>0</v>
      </c>
      <c r="Z3339" s="74">
        <f>Devis[[#This Row],[Poste 5]]*Devis[[#This Row],[Prix de Revient]]</f>
        <v>0</v>
      </c>
      <c r="AA3339" s="74">
        <f>Devis[[#This Row],[Prix de Revient]]*Devis[[#This Row],[Poste 6]]</f>
        <v>0</v>
      </c>
      <c r="AB3339" s="74">
        <f>Devis[[#This Row],[Quantité Totale]]*Devis[[#This Row],[Prix de Revient]]</f>
        <v>0</v>
      </c>
    </row>
    <row r="3340" spans="1:28" ht="14.25" customHeight="1" x14ac:dyDescent="0.25">
      <c r="A3340" s="65" t="s">
        <v>2983</v>
      </c>
      <c r="B3340" s="65" t="s">
        <v>31</v>
      </c>
      <c r="C3340" s="76"/>
      <c r="D3340" s="81" t="str">
        <f t="shared" si="61"/>
        <v>TransairAccessoires</v>
      </c>
      <c r="E3340" s="76"/>
      <c r="F3340" s="81">
        <v>0</v>
      </c>
      <c r="G3340" s="71"/>
      <c r="H3340" s="71"/>
      <c r="I3340" s="71"/>
      <c r="J3340" s="70">
        <f>IFERROR(VLOOKUP(Devis[[#This Row],[Ref Air Flux]],#REF!,3,FALSE),0)</f>
        <v>0</v>
      </c>
      <c r="K3340" s="68"/>
      <c r="L3340" s="68"/>
      <c r="M3340" s="68"/>
      <c r="N3340" s="68"/>
      <c r="O3340" s="68"/>
      <c r="P3340" s="68"/>
      <c r="Q3340" s="68">
        <f>SUM(Devis[[#This Row],[Poste 1]:[Poste 6]])</f>
        <v>0</v>
      </c>
      <c r="R3340" s="94"/>
      <c r="S3340" s="68">
        <f>_xlfn.CEILING.MATH(Devis[[#This Row],[Quantité Totale]],Devis[[#This Row],[Conditionnement]])</f>
        <v>0</v>
      </c>
      <c r="T3340" s="72"/>
      <c r="U3340" s="73"/>
      <c r="V3340" s="74">
        <f>Devis[[#This Row],[Prix de Revient]]*Devis[[#This Row],[Poste 1]]</f>
        <v>0</v>
      </c>
      <c r="W3340" s="74">
        <f>Devis[[#This Row],[Prix de Revient]]*Devis[[#This Row],[Poste 2]]</f>
        <v>0</v>
      </c>
      <c r="X3340" s="74">
        <f>Devis[[#This Row],[Prix de Revient]]*Devis[[#This Row],[Poste 3]]</f>
        <v>0</v>
      </c>
      <c r="Y3340" s="74">
        <f>Devis[[#This Row],[Poste 4]]*Devis[[#This Row],[Prix de Revient]]</f>
        <v>0</v>
      </c>
      <c r="Z3340" s="74">
        <f>Devis[[#This Row],[Poste 5]]*Devis[[#This Row],[Prix de Revient]]</f>
        <v>0</v>
      </c>
      <c r="AA3340" s="74">
        <f>Devis[[#This Row],[Prix de Revient]]*Devis[[#This Row],[Poste 6]]</f>
        <v>0</v>
      </c>
      <c r="AB3340" s="74">
        <f>Devis[[#This Row],[Quantité Totale]]*Devis[[#This Row],[Prix de Revient]]</f>
        <v>0</v>
      </c>
    </row>
    <row r="3341" spans="1:28" ht="15" customHeight="1" outlineLevel="1" x14ac:dyDescent="0.2">
      <c r="A3341" s="75" t="s">
        <v>2983</v>
      </c>
      <c r="B3341" s="76" t="s">
        <v>31</v>
      </c>
      <c r="C3341" s="75"/>
      <c r="D3341" s="81" t="str">
        <f t="shared" si="61"/>
        <v>TransairAccessoires</v>
      </c>
      <c r="E3341" s="104" t="s">
        <v>2985</v>
      </c>
      <c r="F3341" s="81">
        <v>1</v>
      </c>
      <c r="G3341" s="123">
        <v>66989903</v>
      </c>
      <c r="H3341" s="71" t="s">
        <v>3293</v>
      </c>
      <c r="I3341" s="104" t="s">
        <v>2986</v>
      </c>
      <c r="J3341" s="70">
        <f>IFERROR(VLOOKUP(Devis[[#This Row],[Ref Air Flux]],#REF!,3,FALSE),0)</f>
        <v>0</v>
      </c>
      <c r="K3341" s="68"/>
      <c r="L3341" s="68"/>
      <c r="M3341" s="68"/>
      <c r="N3341" s="68"/>
      <c r="O3341" s="68"/>
      <c r="P3341" s="68"/>
      <c r="Q3341" s="68">
        <f>SUM(Devis[[#This Row],[Poste 1]:[Poste 6]])</f>
        <v>0</v>
      </c>
      <c r="R3341" s="71"/>
      <c r="S3341" s="68">
        <f>_xlfn.CEILING.MATH(Devis[[#This Row],[Quantité Totale]],Devis[[#This Row],[Conditionnement]])</f>
        <v>0</v>
      </c>
      <c r="T3341" s="72"/>
      <c r="U3341" s="73"/>
      <c r="V3341" s="74">
        <f>Devis[[#This Row],[Prix de Revient]]*Devis[[#This Row],[Poste 1]]</f>
        <v>0</v>
      </c>
      <c r="W3341" s="74">
        <f>Devis[[#This Row],[Prix de Revient]]*Devis[[#This Row],[Poste 2]]</f>
        <v>0</v>
      </c>
      <c r="X3341" s="74">
        <f>Devis[[#This Row],[Prix de Revient]]*Devis[[#This Row],[Poste 3]]</f>
        <v>0</v>
      </c>
      <c r="Y3341" s="74">
        <f>Devis[[#This Row],[Poste 4]]*Devis[[#This Row],[Prix de Revient]]</f>
        <v>0</v>
      </c>
      <c r="Z3341" s="74">
        <f>Devis[[#This Row],[Poste 5]]*Devis[[#This Row],[Prix de Revient]]</f>
        <v>0</v>
      </c>
      <c r="AA3341" s="74">
        <f>Devis[[#This Row],[Prix de Revient]]*Devis[[#This Row],[Poste 6]]</f>
        <v>0</v>
      </c>
      <c r="AB3341" s="74">
        <f>Devis[[#This Row],[Quantité Totale]]*Devis[[#This Row],[Prix de Revient]]</f>
        <v>0</v>
      </c>
    </row>
    <row r="3342" spans="1:28" ht="14.25" outlineLevel="1" x14ac:dyDescent="0.2">
      <c r="A3342" s="75" t="s">
        <v>2983</v>
      </c>
      <c r="B3342" s="76" t="s">
        <v>31</v>
      </c>
      <c r="C3342" s="75" t="s">
        <v>5140</v>
      </c>
      <c r="D3342" s="81" t="str">
        <f t="shared" si="61"/>
        <v>TransairAccessoiresOutils</v>
      </c>
      <c r="E3342" s="75" t="s">
        <v>5141</v>
      </c>
      <c r="F3342" s="81">
        <v>2</v>
      </c>
      <c r="G3342" s="75" t="s">
        <v>5142</v>
      </c>
      <c r="H3342" s="71" t="s">
        <v>3293</v>
      </c>
      <c r="I3342" s="75" t="s">
        <v>5142</v>
      </c>
      <c r="J3342" s="70">
        <f>IFERROR(VLOOKUP(Devis[[#This Row],[Ref Air Flux]],#REF!,3,FALSE),0)</f>
        <v>0</v>
      </c>
      <c r="K3342" s="68"/>
      <c r="L3342" s="68"/>
      <c r="M3342" s="68"/>
      <c r="N3342" s="68"/>
      <c r="O3342" s="68"/>
      <c r="P3342" s="68"/>
      <c r="Q3342" s="68">
        <f>SUM(Devis[[#This Row],[Poste 1]:[Poste 6]])</f>
        <v>0</v>
      </c>
      <c r="R3342" s="71"/>
      <c r="S3342" s="68">
        <f>_xlfn.CEILING.MATH(Devis[[#This Row],[Quantité Totale]],Devis[[#This Row],[Conditionnement]])</f>
        <v>0</v>
      </c>
      <c r="T3342" s="72"/>
      <c r="U3342" s="73"/>
      <c r="V3342" s="74">
        <f>Devis[[#This Row],[Prix de Revient]]*Devis[[#This Row],[Poste 1]]</f>
        <v>0</v>
      </c>
      <c r="W3342" s="74">
        <f>Devis[[#This Row],[Prix de Revient]]*Devis[[#This Row],[Poste 2]]</f>
        <v>0</v>
      </c>
      <c r="X3342" s="74">
        <f>Devis[[#This Row],[Prix de Revient]]*Devis[[#This Row],[Poste 3]]</f>
        <v>0</v>
      </c>
      <c r="Y3342" s="74">
        <f>Devis[[#This Row],[Poste 4]]*Devis[[#This Row],[Prix de Revient]]</f>
        <v>0</v>
      </c>
      <c r="Z3342" s="74">
        <f>Devis[[#This Row],[Poste 5]]*Devis[[#This Row],[Prix de Revient]]</f>
        <v>0</v>
      </c>
      <c r="AA3342" s="74">
        <f>Devis[[#This Row],[Prix de Revient]]*Devis[[#This Row],[Poste 6]]</f>
        <v>0</v>
      </c>
      <c r="AB3342" s="74">
        <f>Devis[[#This Row],[Quantité Totale]]*Devis[[#This Row],[Prix de Revient]]</f>
        <v>0</v>
      </c>
    </row>
    <row r="3343" spans="1:28" ht="14.25" outlineLevel="1" x14ac:dyDescent="0.2">
      <c r="A3343" s="75" t="s">
        <v>2983</v>
      </c>
      <c r="B3343" s="76" t="s">
        <v>31</v>
      </c>
      <c r="C3343" s="75" t="s">
        <v>5140</v>
      </c>
      <c r="D3343" s="81" t="str">
        <f t="shared" si="61"/>
        <v>TransairAccessoiresOutils</v>
      </c>
      <c r="E3343" s="75" t="s">
        <v>5143</v>
      </c>
      <c r="F3343" s="81">
        <v>3</v>
      </c>
      <c r="G3343" s="75" t="s">
        <v>5144</v>
      </c>
      <c r="H3343" s="71" t="s">
        <v>3293</v>
      </c>
      <c r="I3343" s="75" t="s">
        <v>5144</v>
      </c>
      <c r="J3343" s="70">
        <f>IFERROR(VLOOKUP(Devis[[#This Row],[Ref Air Flux]],#REF!,3,FALSE),0)</f>
        <v>0</v>
      </c>
      <c r="K3343" s="68"/>
      <c r="L3343" s="68"/>
      <c r="M3343" s="68"/>
      <c r="N3343" s="68"/>
      <c r="O3343" s="68"/>
      <c r="P3343" s="68"/>
      <c r="Q3343" s="68">
        <f>SUM(Devis[[#This Row],[Poste 1]:[Poste 6]])</f>
        <v>0</v>
      </c>
      <c r="R3343" s="71"/>
      <c r="S3343" s="68">
        <f>_xlfn.CEILING.MATH(Devis[[#This Row],[Quantité Totale]],Devis[[#This Row],[Conditionnement]])</f>
        <v>0</v>
      </c>
      <c r="T3343" s="72"/>
      <c r="U3343" s="73"/>
      <c r="V3343" s="74">
        <f>Devis[[#This Row],[Prix de Revient]]*Devis[[#This Row],[Poste 1]]</f>
        <v>0</v>
      </c>
      <c r="W3343" s="74">
        <f>Devis[[#This Row],[Prix de Revient]]*Devis[[#This Row],[Poste 2]]</f>
        <v>0</v>
      </c>
      <c r="X3343" s="74">
        <f>Devis[[#This Row],[Prix de Revient]]*Devis[[#This Row],[Poste 3]]</f>
        <v>0</v>
      </c>
      <c r="Y3343" s="74">
        <f>Devis[[#This Row],[Poste 4]]*Devis[[#This Row],[Prix de Revient]]</f>
        <v>0</v>
      </c>
      <c r="Z3343" s="74">
        <f>Devis[[#This Row],[Poste 5]]*Devis[[#This Row],[Prix de Revient]]</f>
        <v>0</v>
      </c>
      <c r="AA3343" s="74">
        <f>Devis[[#This Row],[Prix de Revient]]*Devis[[#This Row],[Poste 6]]</f>
        <v>0</v>
      </c>
      <c r="AB3343" s="74">
        <f>Devis[[#This Row],[Quantité Totale]]*Devis[[#This Row],[Prix de Revient]]</f>
        <v>0</v>
      </c>
    </row>
    <row r="3344" spans="1:28" ht="14.25" customHeight="1" x14ac:dyDescent="0.25">
      <c r="A3344" s="65" t="s">
        <v>2983</v>
      </c>
      <c r="B3344" s="65" t="s">
        <v>64</v>
      </c>
      <c r="C3344" s="76"/>
      <c r="D3344" s="81" t="str">
        <f t="shared" si="61"/>
        <v>TransairBouchons</v>
      </c>
      <c r="E3344" s="76"/>
      <c r="F3344" s="81">
        <v>0</v>
      </c>
      <c r="G3344" s="71"/>
      <c r="H3344" s="71"/>
      <c r="I3344" s="71"/>
      <c r="J3344" s="70">
        <f>IFERROR(VLOOKUP(Devis[[#This Row],[Ref Air Flux]],#REF!,3,FALSE),0)</f>
        <v>0</v>
      </c>
      <c r="K3344" s="68"/>
      <c r="L3344" s="68"/>
      <c r="M3344" s="68"/>
      <c r="N3344" s="68"/>
      <c r="O3344" s="68"/>
      <c r="P3344" s="68"/>
      <c r="Q3344" s="68">
        <f>SUM(Devis[[#This Row],[Poste 1]:[Poste 6]])</f>
        <v>0</v>
      </c>
      <c r="R3344" s="71"/>
      <c r="S3344" s="68">
        <f>_xlfn.CEILING.MATH(Devis[[#This Row],[Quantité Totale]],Devis[[#This Row],[Conditionnement]])</f>
        <v>0</v>
      </c>
      <c r="T3344" s="72"/>
      <c r="U3344" s="73"/>
      <c r="V3344" s="74">
        <f>Devis[[#This Row],[Prix de Revient]]*Devis[[#This Row],[Poste 1]]</f>
        <v>0</v>
      </c>
      <c r="W3344" s="74">
        <f>Devis[[#This Row],[Prix de Revient]]*Devis[[#This Row],[Poste 2]]</f>
        <v>0</v>
      </c>
      <c r="X3344" s="74">
        <f>Devis[[#This Row],[Prix de Revient]]*Devis[[#This Row],[Poste 3]]</f>
        <v>0</v>
      </c>
      <c r="Y3344" s="74">
        <f>Devis[[#This Row],[Poste 4]]*Devis[[#This Row],[Prix de Revient]]</f>
        <v>0</v>
      </c>
      <c r="Z3344" s="74">
        <f>Devis[[#This Row],[Poste 5]]*Devis[[#This Row],[Prix de Revient]]</f>
        <v>0</v>
      </c>
      <c r="AA3344" s="74">
        <f>Devis[[#This Row],[Prix de Revient]]*Devis[[#This Row],[Poste 6]]</f>
        <v>0</v>
      </c>
      <c r="AB3344" s="74">
        <f>Devis[[#This Row],[Quantité Totale]]*Devis[[#This Row],[Prix de Revient]]</f>
        <v>0</v>
      </c>
    </row>
    <row r="3345" spans="1:28" ht="14.25" outlineLevel="1" x14ac:dyDescent="0.2">
      <c r="A3345" s="75" t="s">
        <v>2983</v>
      </c>
      <c r="B3345" s="76" t="s">
        <v>64</v>
      </c>
      <c r="C3345" s="75"/>
      <c r="D3345" s="81" t="str">
        <f t="shared" si="61"/>
        <v>TransairBouchons</v>
      </c>
      <c r="E3345" s="104" t="s">
        <v>5112</v>
      </c>
      <c r="F3345" s="81">
        <v>1</v>
      </c>
      <c r="G3345" s="123" t="s">
        <v>3432</v>
      </c>
      <c r="H3345" s="71" t="s">
        <v>3293</v>
      </c>
      <c r="I3345" s="104" t="s">
        <v>2987</v>
      </c>
      <c r="J3345" s="70">
        <f>IFERROR(VLOOKUP(Devis[[#This Row],[Ref Air Flux]],#REF!,3,FALSE),0)</f>
        <v>0</v>
      </c>
      <c r="K3345" s="68"/>
      <c r="L3345" s="68"/>
      <c r="M3345" s="68"/>
      <c r="N3345" s="68"/>
      <c r="O3345" s="68"/>
      <c r="P3345" s="68"/>
      <c r="Q3345" s="68">
        <f>SUM(Devis[[#This Row],[Poste 1]:[Poste 6]])</f>
        <v>0</v>
      </c>
      <c r="R3345" s="71"/>
      <c r="S3345" s="68">
        <f>_xlfn.CEILING.MATH(Devis[[#This Row],[Quantité Totale]],Devis[[#This Row],[Conditionnement]])</f>
        <v>0</v>
      </c>
      <c r="T3345" s="72"/>
      <c r="U3345" s="73"/>
      <c r="V3345" s="74">
        <f>Devis[[#This Row],[Prix de Revient]]*Devis[[#This Row],[Poste 1]]</f>
        <v>0</v>
      </c>
      <c r="W3345" s="74">
        <f>Devis[[#This Row],[Prix de Revient]]*Devis[[#This Row],[Poste 2]]</f>
        <v>0</v>
      </c>
      <c r="X3345" s="74">
        <f>Devis[[#This Row],[Prix de Revient]]*Devis[[#This Row],[Poste 3]]</f>
        <v>0</v>
      </c>
      <c r="Y3345" s="74">
        <f>Devis[[#This Row],[Poste 4]]*Devis[[#This Row],[Prix de Revient]]</f>
        <v>0</v>
      </c>
      <c r="Z3345" s="74">
        <f>Devis[[#This Row],[Poste 5]]*Devis[[#This Row],[Prix de Revient]]</f>
        <v>0</v>
      </c>
      <c r="AA3345" s="74">
        <f>Devis[[#This Row],[Prix de Revient]]*Devis[[#This Row],[Poste 6]]</f>
        <v>0</v>
      </c>
      <c r="AB3345" s="74">
        <f>Devis[[#This Row],[Quantité Totale]]*Devis[[#This Row],[Prix de Revient]]</f>
        <v>0</v>
      </c>
    </row>
    <row r="3346" spans="1:28" ht="14.25" customHeight="1" outlineLevel="1" x14ac:dyDescent="0.2">
      <c r="A3346" s="75" t="s">
        <v>2983</v>
      </c>
      <c r="B3346" s="76" t="s">
        <v>64</v>
      </c>
      <c r="C3346" s="75"/>
      <c r="D3346" s="81" t="str">
        <f t="shared" si="61"/>
        <v>TransairBouchons</v>
      </c>
      <c r="E3346" s="104" t="s">
        <v>5113</v>
      </c>
      <c r="F3346" s="81">
        <v>2</v>
      </c>
      <c r="G3346" s="123">
        <v>66252500</v>
      </c>
      <c r="H3346" s="71" t="s">
        <v>3293</v>
      </c>
      <c r="I3346" s="104" t="s">
        <v>2988</v>
      </c>
      <c r="J3346" s="70">
        <f>IFERROR(VLOOKUP(Devis[[#This Row],[Ref Air Flux]],#REF!,3,FALSE),0)</f>
        <v>0</v>
      </c>
      <c r="K3346" s="68"/>
      <c r="L3346" s="68"/>
      <c r="M3346" s="68"/>
      <c r="N3346" s="68"/>
      <c r="O3346" s="68"/>
      <c r="P3346" s="68"/>
      <c r="Q3346" s="68">
        <f>SUM(Devis[[#This Row],[Poste 1]:[Poste 6]])</f>
        <v>0</v>
      </c>
      <c r="R3346" s="71"/>
      <c r="S3346" s="68">
        <f>_xlfn.CEILING.MATH(Devis[[#This Row],[Quantité Totale]],Devis[[#This Row],[Conditionnement]])</f>
        <v>0</v>
      </c>
      <c r="T3346" s="72"/>
      <c r="U3346" s="73"/>
      <c r="V3346" s="74">
        <f>Devis[[#This Row],[Prix de Revient]]*Devis[[#This Row],[Poste 1]]</f>
        <v>0</v>
      </c>
      <c r="W3346" s="74">
        <f>Devis[[#This Row],[Prix de Revient]]*Devis[[#This Row],[Poste 2]]</f>
        <v>0</v>
      </c>
      <c r="X3346" s="74">
        <f>Devis[[#This Row],[Prix de Revient]]*Devis[[#This Row],[Poste 3]]</f>
        <v>0</v>
      </c>
      <c r="Y3346" s="74">
        <f>Devis[[#This Row],[Poste 4]]*Devis[[#This Row],[Prix de Revient]]</f>
        <v>0</v>
      </c>
      <c r="Z3346" s="74">
        <f>Devis[[#This Row],[Poste 5]]*Devis[[#This Row],[Prix de Revient]]</f>
        <v>0</v>
      </c>
      <c r="AA3346" s="74">
        <f>Devis[[#This Row],[Prix de Revient]]*Devis[[#This Row],[Poste 6]]</f>
        <v>0</v>
      </c>
      <c r="AB3346" s="74">
        <f>Devis[[#This Row],[Quantité Totale]]*Devis[[#This Row],[Prix de Revient]]</f>
        <v>0</v>
      </c>
    </row>
    <row r="3347" spans="1:28" ht="14.25" outlineLevel="1" x14ac:dyDescent="0.2">
      <c r="A3347" s="75" t="s">
        <v>2983</v>
      </c>
      <c r="B3347" s="76" t="s">
        <v>64</v>
      </c>
      <c r="C3347" s="75"/>
      <c r="D3347" s="81" t="str">
        <f t="shared" si="61"/>
        <v>TransairBouchons</v>
      </c>
      <c r="E3347" s="104" t="s">
        <v>5114</v>
      </c>
      <c r="F3347" s="81">
        <v>3</v>
      </c>
      <c r="G3347" s="123">
        <v>66254000</v>
      </c>
      <c r="H3347" s="71" t="s">
        <v>3293</v>
      </c>
      <c r="I3347" s="104" t="s">
        <v>2989</v>
      </c>
      <c r="J3347" s="70">
        <f>IFERROR(VLOOKUP(Devis[[#This Row],[Ref Air Flux]],#REF!,3,FALSE),0)</f>
        <v>0</v>
      </c>
      <c r="K3347" s="68"/>
      <c r="L3347" s="68"/>
      <c r="M3347" s="68"/>
      <c r="N3347" s="68"/>
      <c r="O3347" s="68"/>
      <c r="P3347" s="68"/>
      <c r="Q3347" s="68">
        <f>SUM(Devis[[#This Row],[Poste 1]:[Poste 6]])</f>
        <v>0</v>
      </c>
      <c r="R3347" s="71"/>
      <c r="S3347" s="68">
        <f>_xlfn.CEILING.MATH(Devis[[#This Row],[Quantité Totale]],Devis[[#This Row],[Conditionnement]])</f>
        <v>0</v>
      </c>
      <c r="T3347" s="72"/>
      <c r="U3347" s="73"/>
      <c r="V3347" s="74">
        <f>Devis[[#This Row],[Prix de Revient]]*Devis[[#This Row],[Poste 1]]</f>
        <v>0</v>
      </c>
      <c r="W3347" s="74">
        <f>Devis[[#This Row],[Prix de Revient]]*Devis[[#This Row],[Poste 2]]</f>
        <v>0</v>
      </c>
      <c r="X3347" s="74">
        <f>Devis[[#This Row],[Prix de Revient]]*Devis[[#This Row],[Poste 3]]</f>
        <v>0</v>
      </c>
      <c r="Y3347" s="74">
        <f>Devis[[#This Row],[Poste 4]]*Devis[[#This Row],[Prix de Revient]]</f>
        <v>0</v>
      </c>
      <c r="Z3347" s="74">
        <f>Devis[[#This Row],[Poste 5]]*Devis[[#This Row],[Prix de Revient]]</f>
        <v>0</v>
      </c>
      <c r="AA3347" s="74">
        <f>Devis[[#This Row],[Prix de Revient]]*Devis[[#This Row],[Poste 6]]</f>
        <v>0</v>
      </c>
      <c r="AB3347" s="74">
        <f>Devis[[#This Row],[Quantité Totale]]*Devis[[#This Row],[Prix de Revient]]</f>
        <v>0</v>
      </c>
    </row>
    <row r="3348" spans="1:28" ht="15" customHeight="1" outlineLevel="1" x14ac:dyDescent="0.2">
      <c r="A3348" s="75" t="s">
        <v>2983</v>
      </c>
      <c r="B3348" s="76" t="s">
        <v>64</v>
      </c>
      <c r="C3348" s="76"/>
      <c r="D3348" s="81" t="str">
        <f t="shared" si="61"/>
        <v>TransairBouchons</v>
      </c>
      <c r="E3348" s="104" t="s">
        <v>5115</v>
      </c>
      <c r="F3348" s="81">
        <v>4</v>
      </c>
      <c r="G3348" s="75">
        <v>66255000</v>
      </c>
      <c r="H3348" s="71" t="s">
        <v>3293</v>
      </c>
      <c r="I3348" s="75" t="s">
        <v>5145</v>
      </c>
      <c r="J3348" s="70">
        <f>IFERROR(VLOOKUP(Devis[[#This Row],[Ref Air Flux]],#REF!,3,FALSE),0)</f>
        <v>0</v>
      </c>
      <c r="K3348" s="68"/>
      <c r="L3348" s="68"/>
      <c r="M3348" s="68"/>
      <c r="N3348" s="68"/>
      <c r="O3348" s="68"/>
      <c r="P3348" s="68"/>
      <c r="Q3348" s="68">
        <f>SUM(Devis[[#This Row],[Poste 1]:[Poste 6]])</f>
        <v>0</v>
      </c>
      <c r="R3348" s="71"/>
      <c r="S3348" s="68">
        <f>_xlfn.CEILING.MATH(Devis[[#This Row],[Quantité Totale]],Devis[[#This Row],[Conditionnement]])</f>
        <v>0</v>
      </c>
      <c r="T3348" s="72"/>
      <c r="U3348" s="73"/>
      <c r="V3348" s="74">
        <f>Devis[[#This Row],[Prix de Revient]]*Devis[[#This Row],[Poste 1]]</f>
        <v>0</v>
      </c>
      <c r="W3348" s="74">
        <f>Devis[[#This Row],[Prix de Revient]]*Devis[[#This Row],[Poste 2]]</f>
        <v>0</v>
      </c>
      <c r="X3348" s="74">
        <f>Devis[[#This Row],[Prix de Revient]]*Devis[[#This Row],[Poste 3]]</f>
        <v>0</v>
      </c>
      <c r="Y3348" s="74">
        <f>Devis[[#This Row],[Poste 4]]*Devis[[#This Row],[Prix de Revient]]</f>
        <v>0</v>
      </c>
      <c r="Z3348" s="74">
        <f>Devis[[#This Row],[Poste 5]]*Devis[[#This Row],[Prix de Revient]]</f>
        <v>0</v>
      </c>
      <c r="AA3348" s="74">
        <f>Devis[[#This Row],[Prix de Revient]]*Devis[[#This Row],[Poste 6]]</f>
        <v>0</v>
      </c>
      <c r="AB3348" s="74">
        <f>Devis[[#This Row],[Quantité Totale]]*Devis[[#This Row],[Prix de Revient]]</f>
        <v>0</v>
      </c>
    </row>
    <row r="3349" spans="1:28" ht="14.25" customHeight="1" outlineLevel="1" x14ac:dyDescent="0.2">
      <c r="A3349" s="75" t="s">
        <v>2983</v>
      </c>
      <c r="B3349" s="76" t="s">
        <v>64</v>
      </c>
      <c r="C3349" s="75"/>
      <c r="D3349" s="81" t="str">
        <f t="shared" si="61"/>
        <v>TransairBouchons</v>
      </c>
      <c r="E3349" s="104" t="s">
        <v>5117</v>
      </c>
      <c r="F3349" s="81">
        <v>5</v>
      </c>
      <c r="G3349" s="123">
        <v>66256300</v>
      </c>
      <c r="H3349" s="71" t="s">
        <v>3293</v>
      </c>
      <c r="I3349" s="104" t="s">
        <v>2990</v>
      </c>
      <c r="J3349" s="70">
        <f>IFERROR(VLOOKUP(Devis[[#This Row],[Ref Air Flux]],#REF!,3,FALSE),0)</f>
        <v>0</v>
      </c>
      <c r="K3349" s="68"/>
      <c r="L3349" s="68"/>
      <c r="M3349" s="68"/>
      <c r="N3349" s="68"/>
      <c r="O3349" s="68"/>
      <c r="P3349" s="68"/>
      <c r="Q3349" s="68">
        <f>SUM(Devis[[#This Row],[Poste 1]:[Poste 6]])</f>
        <v>0</v>
      </c>
      <c r="R3349" s="71"/>
      <c r="S3349" s="68">
        <f>_xlfn.CEILING.MATH(Devis[[#This Row],[Quantité Totale]],Devis[[#This Row],[Conditionnement]])</f>
        <v>0</v>
      </c>
      <c r="T3349" s="72"/>
      <c r="U3349" s="73"/>
      <c r="V3349" s="74">
        <f>Devis[[#This Row],[Prix de Revient]]*Devis[[#This Row],[Poste 1]]</f>
        <v>0</v>
      </c>
      <c r="W3349" s="74">
        <f>Devis[[#This Row],[Prix de Revient]]*Devis[[#This Row],[Poste 2]]</f>
        <v>0</v>
      </c>
      <c r="X3349" s="74">
        <f>Devis[[#This Row],[Prix de Revient]]*Devis[[#This Row],[Poste 3]]</f>
        <v>0</v>
      </c>
      <c r="Y3349" s="74">
        <f>Devis[[#This Row],[Poste 4]]*Devis[[#This Row],[Prix de Revient]]</f>
        <v>0</v>
      </c>
      <c r="Z3349" s="74">
        <f>Devis[[#This Row],[Poste 5]]*Devis[[#This Row],[Prix de Revient]]</f>
        <v>0</v>
      </c>
      <c r="AA3349" s="74">
        <f>Devis[[#This Row],[Prix de Revient]]*Devis[[#This Row],[Poste 6]]</f>
        <v>0</v>
      </c>
      <c r="AB3349" s="74">
        <f>Devis[[#This Row],[Quantité Totale]]*Devis[[#This Row],[Prix de Revient]]</f>
        <v>0</v>
      </c>
    </row>
    <row r="3350" spans="1:28" ht="14.25" outlineLevel="1" x14ac:dyDescent="0.2">
      <c r="A3350" s="75" t="s">
        <v>2983</v>
      </c>
      <c r="B3350" s="76" t="s">
        <v>64</v>
      </c>
      <c r="C3350" s="75"/>
      <c r="D3350" s="81" t="str">
        <f t="shared" si="61"/>
        <v>TransairBouchons</v>
      </c>
      <c r="E3350" s="104" t="s">
        <v>5146</v>
      </c>
      <c r="F3350" s="81">
        <v>6</v>
      </c>
      <c r="G3350" s="123" t="s">
        <v>3295</v>
      </c>
      <c r="H3350" s="71" t="s">
        <v>3293</v>
      </c>
      <c r="I3350" s="104" t="s">
        <v>2991</v>
      </c>
      <c r="J3350" s="70">
        <f>IFERROR(VLOOKUP(Devis[[#This Row],[Ref Air Flux]],#REF!,3,FALSE),0)</f>
        <v>0</v>
      </c>
      <c r="K3350" s="68"/>
      <c r="L3350" s="68"/>
      <c r="M3350" s="68"/>
      <c r="N3350" s="68"/>
      <c r="O3350" s="68"/>
      <c r="P3350" s="68"/>
      <c r="Q3350" s="68">
        <f>SUM(Devis[[#This Row],[Poste 1]:[Poste 6]])</f>
        <v>0</v>
      </c>
      <c r="R3350" s="71"/>
      <c r="S3350" s="68">
        <f>_xlfn.CEILING.MATH(Devis[[#This Row],[Quantité Totale]],Devis[[#This Row],[Conditionnement]])</f>
        <v>0</v>
      </c>
      <c r="T3350" s="72"/>
      <c r="U3350" s="73"/>
      <c r="V3350" s="74">
        <f>Devis[[#This Row],[Prix de Revient]]*Devis[[#This Row],[Poste 1]]</f>
        <v>0</v>
      </c>
      <c r="W3350" s="74">
        <f>Devis[[#This Row],[Prix de Revient]]*Devis[[#This Row],[Poste 2]]</f>
        <v>0</v>
      </c>
      <c r="X3350" s="74">
        <f>Devis[[#This Row],[Prix de Revient]]*Devis[[#This Row],[Poste 3]]</f>
        <v>0</v>
      </c>
      <c r="Y3350" s="74">
        <f>Devis[[#This Row],[Poste 4]]*Devis[[#This Row],[Prix de Revient]]</f>
        <v>0</v>
      </c>
      <c r="Z3350" s="74">
        <f>Devis[[#This Row],[Poste 5]]*Devis[[#This Row],[Prix de Revient]]</f>
        <v>0</v>
      </c>
      <c r="AA3350" s="74">
        <f>Devis[[#This Row],[Prix de Revient]]*Devis[[#This Row],[Poste 6]]</f>
        <v>0</v>
      </c>
      <c r="AB3350" s="74">
        <f>Devis[[#This Row],[Quantité Totale]]*Devis[[#This Row],[Prix de Revient]]</f>
        <v>0</v>
      </c>
    </row>
    <row r="3351" spans="1:28" ht="14.25" customHeight="1" x14ac:dyDescent="0.25">
      <c r="A3351" s="65" t="s">
        <v>2983</v>
      </c>
      <c r="B3351" s="65" t="s">
        <v>2992</v>
      </c>
      <c r="C3351" s="76"/>
      <c r="D3351" s="81" t="str">
        <f t="shared" si="61"/>
        <v>TransairBrides</v>
      </c>
      <c r="E3351" s="76"/>
      <c r="F3351" s="81">
        <v>0</v>
      </c>
      <c r="G3351" s="71"/>
      <c r="H3351" s="71"/>
      <c r="I3351" s="71"/>
      <c r="J3351" s="70">
        <f>IFERROR(VLOOKUP(Devis[[#This Row],[Ref Air Flux]],#REF!,3,FALSE),0)</f>
        <v>0</v>
      </c>
      <c r="K3351" s="68"/>
      <c r="L3351" s="68"/>
      <c r="M3351" s="68"/>
      <c r="N3351" s="68"/>
      <c r="O3351" s="68"/>
      <c r="P3351" s="68"/>
      <c r="Q3351" s="68">
        <f>SUM(Devis[[#This Row],[Poste 1]:[Poste 6]])</f>
        <v>0</v>
      </c>
      <c r="R3351" s="71"/>
      <c r="S3351" s="68">
        <f>_xlfn.CEILING.MATH(Devis[[#This Row],[Quantité Totale]],Devis[[#This Row],[Conditionnement]])</f>
        <v>0</v>
      </c>
      <c r="T3351" s="72"/>
      <c r="U3351" s="73"/>
      <c r="V3351" s="74">
        <f>Devis[[#This Row],[Prix de Revient]]*Devis[[#This Row],[Poste 1]]</f>
        <v>0</v>
      </c>
      <c r="W3351" s="74">
        <f>Devis[[#This Row],[Prix de Revient]]*Devis[[#This Row],[Poste 2]]</f>
        <v>0</v>
      </c>
      <c r="X3351" s="74">
        <f>Devis[[#This Row],[Prix de Revient]]*Devis[[#This Row],[Poste 3]]</f>
        <v>0</v>
      </c>
      <c r="Y3351" s="74">
        <f>Devis[[#This Row],[Poste 4]]*Devis[[#This Row],[Prix de Revient]]</f>
        <v>0</v>
      </c>
      <c r="Z3351" s="74">
        <f>Devis[[#This Row],[Poste 5]]*Devis[[#This Row],[Prix de Revient]]</f>
        <v>0</v>
      </c>
      <c r="AA3351" s="74">
        <f>Devis[[#This Row],[Prix de Revient]]*Devis[[#This Row],[Poste 6]]</f>
        <v>0</v>
      </c>
      <c r="AB3351" s="74">
        <f>Devis[[#This Row],[Quantité Totale]]*Devis[[#This Row],[Prix de Revient]]</f>
        <v>0</v>
      </c>
    </row>
    <row r="3352" spans="1:28" ht="14.25" outlineLevel="1" x14ac:dyDescent="0.2">
      <c r="A3352" s="75" t="s">
        <v>2983</v>
      </c>
      <c r="B3352" s="76" t="s">
        <v>2992</v>
      </c>
      <c r="C3352" s="75"/>
      <c r="D3352" s="81" t="str">
        <f t="shared" si="61"/>
        <v>TransairBrides</v>
      </c>
      <c r="E3352" s="104" t="s">
        <v>5147</v>
      </c>
      <c r="F3352" s="81">
        <v>1</v>
      </c>
      <c r="G3352" s="123" t="s">
        <v>3296</v>
      </c>
      <c r="H3352" s="71" t="s">
        <v>3293</v>
      </c>
      <c r="I3352" s="104" t="s">
        <v>2993</v>
      </c>
      <c r="J3352" s="70">
        <f>IFERROR(VLOOKUP(Devis[[#This Row],[Ref Air Flux]],#REF!,3,FALSE),0)</f>
        <v>0</v>
      </c>
      <c r="K3352" s="68"/>
      <c r="L3352" s="68"/>
      <c r="M3352" s="68"/>
      <c r="N3352" s="68"/>
      <c r="O3352" s="68"/>
      <c r="P3352" s="68"/>
      <c r="Q3352" s="68">
        <f>SUM(Devis[[#This Row],[Poste 1]:[Poste 6]])</f>
        <v>0</v>
      </c>
      <c r="R3352" s="71"/>
      <c r="S3352" s="68">
        <f>_xlfn.CEILING.MATH(Devis[[#This Row],[Quantité Totale]],Devis[[#This Row],[Conditionnement]])</f>
        <v>0</v>
      </c>
      <c r="T3352" s="72"/>
      <c r="U3352" s="73"/>
      <c r="V3352" s="74">
        <f>Devis[[#This Row],[Prix de Revient]]*Devis[[#This Row],[Poste 1]]</f>
        <v>0</v>
      </c>
      <c r="W3352" s="74">
        <f>Devis[[#This Row],[Prix de Revient]]*Devis[[#This Row],[Poste 2]]</f>
        <v>0</v>
      </c>
      <c r="X3352" s="74">
        <f>Devis[[#This Row],[Prix de Revient]]*Devis[[#This Row],[Poste 3]]</f>
        <v>0</v>
      </c>
      <c r="Y3352" s="74">
        <f>Devis[[#This Row],[Poste 4]]*Devis[[#This Row],[Prix de Revient]]</f>
        <v>0</v>
      </c>
      <c r="Z3352" s="74">
        <f>Devis[[#This Row],[Poste 5]]*Devis[[#This Row],[Prix de Revient]]</f>
        <v>0</v>
      </c>
      <c r="AA3352" s="74">
        <f>Devis[[#This Row],[Prix de Revient]]*Devis[[#This Row],[Poste 6]]</f>
        <v>0</v>
      </c>
      <c r="AB3352" s="74">
        <f>Devis[[#This Row],[Quantité Totale]]*Devis[[#This Row],[Prix de Revient]]</f>
        <v>0</v>
      </c>
    </row>
    <row r="3353" spans="1:28" ht="14.25" outlineLevel="1" x14ac:dyDescent="0.2">
      <c r="A3353" s="75" t="s">
        <v>2983</v>
      </c>
      <c r="B3353" s="76" t="s">
        <v>2992</v>
      </c>
      <c r="C3353" s="75"/>
      <c r="D3353" s="81" t="str">
        <f t="shared" si="61"/>
        <v>TransairBrides</v>
      </c>
      <c r="E3353" s="104" t="s">
        <v>2994</v>
      </c>
      <c r="F3353" s="81">
        <v>2</v>
      </c>
      <c r="G3353" s="123" t="s">
        <v>3297</v>
      </c>
      <c r="H3353" s="71" t="s">
        <v>3293</v>
      </c>
      <c r="I3353" s="104" t="s">
        <v>2995</v>
      </c>
      <c r="J3353" s="70">
        <f>IFERROR(VLOOKUP(Devis[[#This Row],[Ref Air Flux]],#REF!,3,FALSE),0)</f>
        <v>0</v>
      </c>
      <c r="K3353" s="68"/>
      <c r="L3353" s="68"/>
      <c r="M3353" s="68"/>
      <c r="N3353" s="68"/>
      <c r="O3353" s="68"/>
      <c r="P3353" s="68"/>
      <c r="Q3353" s="68">
        <f>SUM(Devis[[#This Row],[Poste 1]:[Poste 6]])</f>
        <v>0</v>
      </c>
      <c r="R3353" s="71"/>
      <c r="S3353" s="68">
        <f>_xlfn.CEILING.MATH(Devis[[#This Row],[Quantité Totale]],Devis[[#This Row],[Conditionnement]])</f>
        <v>0</v>
      </c>
      <c r="T3353" s="72"/>
      <c r="U3353" s="73"/>
      <c r="V3353" s="74">
        <f>Devis[[#This Row],[Prix de Revient]]*Devis[[#This Row],[Poste 1]]</f>
        <v>0</v>
      </c>
      <c r="W3353" s="74">
        <f>Devis[[#This Row],[Prix de Revient]]*Devis[[#This Row],[Poste 2]]</f>
        <v>0</v>
      </c>
      <c r="X3353" s="74">
        <f>Devis[[#This Row],[Prix de Revient]]*Devis[[#This Row],[Poste 3]]</f>
        <v>0</v>
      </c>
      <c r="Y3353" s="74">
        <f>Devis[[#This Row],[Poste 4]]*Devis[[#This Row],[Prix de Revient]]</f>
        <v>0</v>
      </c>
      <c r="Z3353" s="74">
        <f>Devis[[#This Row],[Poste 5]]*Devis[[#This Row],[Prix de Revient]]</f>
        <v>0</v>
      </c>
      <c r="AA3353" s="74">
        <f>Devis[[#This Row],[Prix de Revient]]*Devis[[#This Row],[Poste 6]]</f>
        <v>0</v>
      </c>
      <c r="AB3353" s="74">
        <f>Devis[[#This Row],[Quantité Totale]]*Devis[[#This Row],[Prix de Revient]]</f>
        <v>0</v>
      </c>
    </row>
    <row r="3354" spans="1:28" ht="15" customHeight="1" outlineLevel="1" x14ac:dyDescent="0.25">
      <c r="A3354" s="65" t="s">
        <v>2983</v>
      </c>
      <c r="B3354" s="65" t="s">
        <v>5155</v>
      </c>
      <c r="C3354" s="76"/>
      <c r="D3354" s="81" t="str">
        <f t="shared" si="61"/>
        <v>TransairCoudes 45° Mixte M</v>
      </c>
      <c r="E3354" s="76"/>
      <c r="F3354" s="81">
        <v>0</v>
      </c>
      <c r="G3354" s="71"/>
      <c r="H3354" s="71"/>
      <c r="I3354" s="71"/>
      <c r="J3354" s="70">
        <f>IFERROR(VLOOKUP(Devis[[#This Row],[Ref Air Flux]],#REF!,3,FALSE),0)</f>
        <v>0</v>
      </c>
      <c r="K3354" s="68"/>
      <c r="L3354" s="68"/>
      <c r="M3354" s="68"/>
      <c r="N3354" s="68"/>
      <c r="O3354" s="68"/>
      <c r="P3354" s="68"/>
      <c r="Q3354" s="68">
        <f>SUM(Devis[[#This Row],[Poste 1]:[Poste 6]])</f>
        <v>0</v>
      </c>
      <c r="R3354" s="71"/>
      <c r="S3354" s="68">
        <f>_xlfn.CEILING.MATH(Devis[[#This Row],[Quantité Totale]],Devis[[#This Row],[Conditionnement]])</f>
        <v>0</v>
      </c>
      <c r="T3354" s="72"/>
      <c r="U3354" s="73"/>
      <c r="V3354" s="74">
        <f>Devis[[#This Row],[Prix de Revient]]*Devis[[#This Row],[Poste 1]]</f>
        <v>0</v>
      </c>
      <c r="W3354" s="74">
        <f>Devis[[#This Row],[Prix de Revient]]*Devis[[#This Row],[Poste 2]]</f>
        <v>0</v>
      </c>
      <c r="X3354" s="74">
        <f>Devis[[#This Row],[Prix de Revient]]*Devis[[#This Row],[Poste 3]]</f>
        <v>0</v>
      </c>
      <c r="Y3354" s="74">
        <f>Devis[[#This Row],[Poste 4]]*Devis[[#This Row],[Prix de Revient]]</f>
        <v>0</v>
      </c>
      <c r="Z3354" s="74">
        <f>Devis[[#This Row],[Poste 5]]*Devis[[#This Row],[Prix de Revient]]</f>
        <v>0</v>
      </c>
      <c r="AA3354" s="74">
        <f>Devis[[#This Row],[Prix de Revient]]*Devis[[#This Row],[Poste 6]]</f>
        <v>0</v>
      </c>
      <c r="AB3354" s="74">
        <f>Devis[[#This Row],[Quantité Totale]]*Devis[[#This Row],[Prix de Revient]]</f>
        <v>0</v>
      </c>
    </row>
    <row r="3355" spans="1:28" ht="14.25" outlineLevel="1" x14ac:dyDescent="0.2">
      <c r="A3355" s="75" t="s">
        <v>2983</v>
      </c>
      <c r="B3355" s="76" t="s">
        <v>5155</v>
      </c>
      <c r="C3355" s="75" t="s">
        <v>5156</v>
      </c>
      <c r="D3355" s="81" t="str">
        <f t="shared" ref="D3355:D3418" si="62">A3355&amp;B3355&amp;C3355</f>
        <v xml:space="preserve">TransairCoudes 45° Mixte M45° mixte M </v>
      </c>
      <c r="E3355" s="104" t="s">
        <v>5157</v>
      </c>
      <c r="F3355" s="81">
        <v>1</v>
      </c>
      <c r="G3355" s="123">
        <v>66192527</v>
      </c>
      <c r="H3355" s="71" t="s">
        <v>3293</v>
      </c>
      <c r="I3355" s="104" t="s">
        <v>3020</v>
      </c>
      <c r="J3355" s="70">
        <f>IFERROR(VLOOKUP(Devis[[#This Row],[Ref Air Flux]],#REF!,3,FALSE),0)</f>
        <v>0</v>
      </c>
      <c r="K3355" s="68"/>
      <c r="L3355" s="68"/>
      <c r="M3355" s="68"/>
      <c r="N3355" s="68"/>
      <c r="O3355" s="68"/>
      <c r="P3355" s="68"/>
      <c r="Q3355" s="68">
        <f>SUM(Devis[[#This Row],[Poste 1]:[Poste 6]])</f>
        <v>0</v>
      </c>
      <c r="R3355" s="71"/>
      <c r="S3355" s="68">
        <f>_xlfn.CEILING.MATH(Devis[[#This Row],[Quantité Totale]],Devis[[#This Row],[Conditionnement]])</f>
        <v>0</v>
      </c>
      <c r="T3355" s="72"/>
      <c r="U3355" s="73"/>
      <c r="V3355" s="74">
        <f>Devis[[#This Row],[Prix de Revient]]*Devis[[#This Row],[Poste 1]]</f>
        <v>0</v>
      </c>
      <c r="W3355" s="74">
        <f>Devis[[#This Row],[Prix de Revient]]*Devis[[#This Row],[Poste 2]]</f>
        <v>0</v>
      </c>
      <c r="X3355" s="74">
        <f>Devis[[#This Row],[Prix de Revient]]*Devis[[#This Row],[Poste 3]]</f>
        <v>0</v>
      </c>
      <c r="Y3355" s="74">
        <f>Devis[[#This Row],[Poste 4]]*Devis[[#This Row],[Prix de Revient]]</f>
        <v>0</v>
      </c>
      <c r="Z3355" s="74">
        <f>Devis[[#This Row],[Poste 5]]*Devis[[#This Row],[Prix de Revient]]</f>
        <v>0</v>
      </c>
      <c r="AA3355" s="74">
        <f>Devis[[#This Row],[Prix de Revient]]*Devis[[#This Row],[Poste 6]]</f>
        <v>0</v>
      </c>
      <c r="AB3355" s="74">
        <f>Devis[[#This Row],[Quantité Totale]]*Devis[[#This Row],[Prix de Revient]]</f>
        <v>0</v>
      </c>
    </row>
    <row r="3356" spans="1:28" ht="14.25" customHeight="1" x14ac:dyDescent="0.25">
      <c r="A3356" s="65" t="s">
        <v>2983</v>
      </c>
      <c r="B3356" s="65" t="s">
        <v>5148</v>
      </c>
      <c r="C3356" s="76"/>
      <c r="D3356" s="81" t="str">
        <f t="shared" si="62"/>
        <v>TransairCoudes 45°FF</v>
      </c>
      <c r="E3356" s="76"/>
      <c r="F3356" s="81">
        <v>0</v>
      </c>
      <c r="G3356" s="71"/>
      <c r="H3356" s="71"/>
      <c r="I3356" s="71"/>
      <c r="J3356" s="70">
        <f>IFERROR(VLOOKUP(Devis[[#This Row],[Ref Air Flux]],#REF!,3,FALSE),0)</f>
        <v>0</v>
      </c>
      <c r="K3356" s="68"/>
      <c r="L3356" s="68"/>
      <c r="M3356" s="68"/>
      <c r="N3356" s="68"/>
      <c r="O3356" s="68"/>
      <c r="P3356" s="68"/>
      <c r="Q3356" s="68">
        <f>SUM(Devis[[#This Row],[Poste 1]:[Poste 6]])</f>
        <v>0</v>
      </c>
      <c r="R3356" s="71"/>
      <c r="S3356" s="68">
        <f>_xlfn.CEILING.MATH(Devis[[#This Row],[Quantité Totale]],Devis[[#This Row],[Conditionnement]])</f>
        <v>0</v>
      </c>
      <c r="T3356" s="72"/>
      <c r="U3356" s="73"/>
      <c r="V3356" s="74">
        <f>Devis[[#This Row],[Prix de Revient]]*Devis[[#This Row],[Poste 1]]</f>
        <v>0</v>
      </c>
      <c r="W3356" s="74">
        <f>Devis[[#This Row],[Prix de Revient]]*Devis[[#This Row],[Poste 2]]</f>
        <v>0</v>
      </c>
      <c r="X3356" s="74">
        <f>Devis[[#This Row],[Prix de Revient]]*Devis[[#This Row],[Poste 3]]</f>
        <v>0</v>
      </c>
      <c r="Y3356" s="74">
        <f>Devis[[#This Row],[Poste 4]]*Devis[[#This Row],[Prix de Revient]]</f>
        <v>0</v>
      </c>
      <c r="Z3356" s="74">
        <f>Devis[[#This Row],[Poste 5]]*Devis[[#This Row],[Prix de Revient]]</f>
        <v>0</v>
      </c>
      <c r="AA3356" s="74">
        <f>Devis[[#This Row],[Prix de Revient]]*Devis[[#This Row],[Poste 6]]</f>
        <v>0</v>
      </c>
      <c r="AB3356" s="74">
        <f>Devis[[#This Row],[Quantité Totale]]*Devis[[#This Row],[Prix de Revient]]</f>
        <v>0</v>
      </c>
    </row>
    <row r="3357" spans="1:28" ht="14.25" customHeight="1" outlineLevel="1" x14ac:dyDescent="0.2">
      <c r="A3357" s="75" t="s">
        <v>2983</v>
      </c>
      <c r="B3357" s="76" t="s">
        <v>5148</v>
      </c>
      <c r="C3357" s="75" t="s">
        <v>5149</v>
      </c>
      <c r="D3357" s="81" t="str">
        <f t="shared" si="62"/>
        <v>TransairCoudes 45°FF45° FF</v>
      </c>
      <c r="E3357" s="104" t="s">
        <v>5113</v>
      </c>
      <c r="F3357" s="81">
        <v>1</v>
      </c>
      <c r="G3357" s="123">
        <v>66122500</v>
      </c>
      <c r="H3357" s="71" t="s">
        <v>3293</v>
      </c>
      <c r="I3357" s="104" t="s">
        <v>3009</v>
      </c>
      <c r="J3357" s="70">
        <f>IFERROR(VLOOKUP(Devis[[#This Row],[Ref Air Flux]],#REF!,3,FALSE),0)</f>
        <v>0</v>
      </c>
      <c r="K3357" s="68"/>
      <c r="L3357" s="68"/>
      <c r="M3357" s="68"/>
      <c r="N3357" s="68"/>
      <c r="O3357" s="68"/>
      <c r="P3357" s="68"/>
      <c r="Q3357" s="68">
        <f>SUM(Devis[[#This Row],[Poste 1]:[Poste 6]])</f>
        <v>0</v>
      </c>
      <c r="R3357" s="71"/>
      <c r="S3357" s="68">
        <f>_xlfn.CEILING.MATH(Devis[[#This Row],[Quantité Totale]],Devis[[#This Row],[Conditionnement]])</f>
        <v>0</v>
      </c>
      <c r="T3357" s="72"/>
      <c r="U3357" s="73"/>
      <c r="V3357" s="74">
        <f>Devis[[#This Row],[Prix de Revient]]*Devis[[#This Row],[Poste 1]]</f>
        <v>0</v>
      </c>
      <c r="W3357" s="74">
        <f>Devis[[#This Row],[Prix de Revient]]*Devis[[#This Row],[Poste 2]]</f>
        <v>0</v>
      </c>
      <c r="X3357" s="74">
        <f>Devis[[#This Row],[Prix de Revient]]*Devis[[#This Row],[Poste 3]]</f>
        <v>0</v>
      </c>
      <c r="Y3357" s="74">
        <f>Devis[[#This Row],[Poste 4]]*Devis[[#This Row],[Prix de Revient]]</f>
        <v>0</v>
      </c>
      <c r="Z3357" s="74">
        <f>Devis[[#This Row],[Poste 5]]*Devis[[#This Row],[Prix de Revient]]</f>
        <v>0</v>
      </c>
      <c r="AA3357" s="74">
        <f>Devis[[#This Row],[Prix de Revient]]*Devis[[#This Row],[Poste 6]]</f>
        <v>0</v>
      </c>
      <c r="AB3357" s="74">
        <f>Devis[[#This Row],[Quantité Totale]]*Devis[[#This Row],[Prix de Revient]]</f>
        <v>0</v>
      </c>
    </row>
    <row r="3358" spans="1:28" ht="14.25" outlineLevel="1" x14ac:dyDescent="0.2">
      <c r="A3358" s="75" t="s">
        <v>2983</v>
      </c>
      <c r="B3358" s="76" t="s">
        <v>5148</v>
      </c>
      <c r="C3358" s="75" t="s">
        <v>5149</v>
      </c>
      <c r="D3358" s="81" t="str">
        <f t="shared" si="62"/>
        <v>TransairCoudes 45°FF45° FF</v>
      </c>
      <c r="E3358" s="104" t="s">
        <v>5114</v>
      </c>
      <c r="F3358" s="81">
        <v>2</v>
      </c>
      <c r="G3358" s="123">
        <v>66124000</v>
      </c>
      <c r="H3358" s="71" t="s">
        <v>3293</v>
      </c>
      <c r="I3358" s="104" t="s">
        <v>3010</v>
      </c>
      <c r="J3358" s="70">
        <f>IFERROR(VLOOKUP(Devis[[#This Row],[Ref Air Flux]],#REF!,3,FALSE),0)</f>
        <v>0</v>
      </c>
      <c r="K3358" s="68"/>
      <c r="L3358" s="68"/>
      <c r="M3358" s="68"/>
      <c r="N3358" s="68"/>
      <c r="O3358" s="68"/>
      <c r="P3358" s="68"/>
      <c r="Q3358" s="68">
        <f>SUM(Devis[[#This Row],[Poste 1]:[Poste 6]])</f>
        <v>0</v>
      </c>
      <c r="R3358" s="71"/>
      <c r="S3358" s="68">
        <f>_xlfn.CEILING.MATH(Devis[[#This Row],[Quantité Totale]],Devis[[#This Row],[Conditionnement]])</f>
        <v>0</v>
      </c>
      <c r="T3358" s="72"/>
      <c r="U3358" s="73"/>
      <c r="V3358" s="74">
        <f>Devis[[#This Row],[Prix de Revient]]*Devis[[#This Row],[Poste 1]]</f>
        <v>0</v>
      </c>
      <c r="W3358" s="74">
        <f>Devis[[#This Row],[Prix de Revient]]*Devis[[#This Row],[Poste 2]]</f>
        <v>0</v>
      </c>
      <c r="X3358" s="74">
        <f>Devis[[#This Row],[Prix de Revient]]*Devis[[#This Row],[Poste 3]]</f>
        <v>0</v>
      </c>
      <c r="Y3358" s="74">
        <f>Devis[[#This Row],[Poste 4]]*Devis[[#This Row],[Prix de Revient]]</f>
        <v>0</v>
      </c>
      <c r="Z3358" s="74">
        <f>Devis[[#This Row],[Poste 5]]*Devis[[#This Row],[Prix de Revient]]</f>
        <v>0</v>
      </c>
      <c r="AA3358" s="74">
        <f>Devis[[#This Row],[Prix de Revient]]*Devis[[#This Row],[Poste 6]]</f>
        <v>0</v>
      </c>
      <c r="AB3358" s="74">
        <f>Devis[[#This Row],[Quantité Totale]]*Devis[[#This Row],[Prix de Revient]]</f>
        <v>0</v>
      </c>
    </row>
    <row r="3359" spans="1:28" ht="14.25" customHeight="1" outlineLevel="1" x14ac:dyDescent="0.2">
      <c r="A3359" s="75" t="s">
        <v>2983</v>
      </c>
      <c r="B3359" s="76" t="s">
        <v>5148</v>
      </c>
      <c r="C3359" s="75" t="s">
        <v>5149</v>
      </c>
      <c r="D3359" s="81" t="str">
        <f t="shared" si="62"/>
        <v>TransairCoudes 45°FF45° FF</v>
      </c>
      <c r="E3359" s="104" t="s">
        <v>5117</v>
      </c>
      <c r="F3359" s="81">
        <v>3</v>
      </c>
      <c r="G3359" s="123">
        <v>66126300</v>
      </c>
      <c r="H3359" s="71" t="s">
        <v>3293</v>
      </c>
      <c r="I3359" s="104" t="s">
        <v>3011</v>
      </c>
      <c r="J3359" s="70">
        <f>IFERROR(VLOOKUP(Devis[[#This Row],[Ref Air Flux]],#REF!,3,FALSE),0)</f>
        <v>0</v>
      </c>
      <c r="K3359" s="68"/>
      <c r="L3359" s="68"/>
      <c r="M3359" s="68"/>
      <c r="N3359" s="68"/>
      <c r="O3359" s="68"/>
      <c r="P3359" s="68"/>
      <c r="Q3359" s="68">
        <f>SUM(Devis[[#This Row],[Poste 1]:[Poste 6]])</f>
        <v>0</v>
      </c>
      <c r="R3359" s="71"/>
      <c r="S3359" s="68">
        <f>_xlfn.CEILING.MATH(Devis[[#This Row],[Quantité Totale]],Devis[[#This Row],[Conditionnement]])</f>
        <v>0</v>
      </c>
      <c r="T3359" s="72"/>
      <c r="U3359" s="73"/>
      <c r="V3359" s="74">
        <f>Devis[[#This Row],[Prix de Revient]]*Devis[[#This Row],[Poste 1]]</f>
        <v>0</v>
      </c>
      <c r="W3359" s="74">
        <f>Devis[[#This Row],[Prix de Revient]]*Devis[[#This Row],[Poste 2]]</f>
        <v>0</v>
      </c>
      <c r="X3359" s="74">
        <f>Devis[[#This Row],[Prix de Revient]]*Devis[[#This Row],[Poste 3]]</f>
        <v>0</v>
      </c>
      <c r="Y3359" s="74">
        <f>Devis[[#This Row],[Poste 4]]*Devis[[#This Row],[Prix de Revient]]</f>
        <v>0</v>
      </c>
      <c r="Z3359" s="74">
        <f>Devis[[#This Row],[Poste 5]]*Devis[[#This Row],[Prix de Revient]]</f>
        <v>0</v>
      </c>
      <c r="AA3359" s="74">
        <f>Devis[[#This Row],[Prix de Revient]]*Devis[[#This Row],[Poste 6]]</f>
        <v>0</v>
      </c>
      <c r="AB3359" s="74">
        <f>Devis[[#This Row],[Quantité Totale]]*Devis[[#This Row],[Prix de Revient]]</f>
        <v>0</v>
      </c>
    </row>
    <row r="3360" spans="1:28" ht="14.25" outlineLevel="1" x14ac:dyDescent="0.2">
      <c r="A3360" s="75" t="s">
        <v>2983</v>
      </c>
      <c r="B3360" s="76" t="s">
        <v>5148</v>
      </c>
      <c r="C3360" s="75" t="s">
        <v>5149</v>
      </c>
      <c r="D3360" s="81" t="str">
        <f t="shared" si="62"/>
        <v>TransairCoudes 45°FF45° FF</v>
      </c>
      <c r="E3360" s="104" t="s">
        <v>5146</v>
      </c>
      <c r="F3360" s="81">
        <v>4</v>
      </c>
      <c r="G3360" s="123" t="s">
        <v>3303</v>
      </c>
      <c r="H3360" s="71" t="s">
        <v>3293</v>
      </c>
      <c r="I3360" s="104" t="s">
        <v>3012</v>
      </c>
      <c r="J3360" s="70">
        <f>IFERROR(VLOOKUP(Devis[[#This Row],[Ref Air Flux]],#REF!,3,FALSE),0)</f>
        <v>0</v>
      </c>
      <c r="K3360" s="68"/>
      <c r="L3360" s="68"/>
      <c r="M3360" s="68"/>
      <c r="N3360" s="68"/>
      <c r="O3360" s="68"/>
      <c r="P3360" s="68"/>
      <c r="Q3360" s="68">
        <f>SUM(Devis[[#This Row],[Poste 1]:[Poste 6]])</f>
        <v>0</v>
      </c>
      <c r="R3360" s="71"/>
      <c r="S3360" s="68">
        <f>_xlfn.CEILING.MATH(Devis[[#This Row],[Quantité Totale]],Devis[[#This Row],[Conditionnement]])</f>
        <v>0</v>
      </c>
      <c r="T3360" s="72"/>
      <c r="U3360" s="73"/>
      <c r="V3360" s="74">
        <f>Devis[[#This Row],[Prix de Revient]]*Devis[[#This Row],[Poste 1]]</f>
        <v>0</v>
      </c>
      <c r="W3360" s="74">
        <f>Devis[[#This Row],[Prix de Revient]]*Devis[[#This Row],[Poste 2]]</f>
        <v>0</v>
      </c>
      <c r="X3360" s="74">
        <f>Devis[[#This Row],[Prix de Revient]]*Devis[[#This Row],[Poste 3]]</f>
        <v>0</v>
      </c>
      <c r="Y3360" s="74">
        <f>Devis[[#This Row],[Poste 4]]*Devis[[#This Row],[Prix de Revient]]</f>
        <v>0</v>
      </c>
      <c r="Z3360" s="74">
        <f>Devis[[#This Row],[Poste 5]]*Devis[[#This Row],[Prix de Revient]]</f>
        <v>0</v>
      </c>
      <c r="AA3360" s="74">
        <f>Devis[[#This Row],[Prix de Revient]]*Devis[[#This Row],[Poste 6]]</f>
        <v>0</v>
      </c>
      <c r="AB3360" s="74">
        <f>Devis[[#This Row],[Quantité Totale]]*Devis[[#This Row],[Prix de Revient]]</f>
        <v>0</v>
      </c>
    </row>
    <row r="3361" spans="1:28" ht="14.25" customHeight="1" x14ac:dyDescent="0.25">
      <c r="A3361" s="65" t="s">
        <v>2983</v>
      </c>
      <c r="B3361" s="65" t="s">
        <v>5158</v>
      </c>
      <c r="C3361" s="76"/>
      <c r="D3361" s="81" t="str">
        <f t="shared" si="62"/>
        <v>TransairCoudes 90° Mixte M</v>
      </c>
      <c r="E3361" s="76"/>
      <c r="F3361" s="81">
        <v>0</v>
      </c>
      <c r="G3361" s="71"/>
      <c r="H3361" s="71"/>
      <c r="I3361" s="71"/>
      <c r="J3361" s="70">
        <f>IFERROR(VLOOKUP(Devis[[#This Row],[Ref Air Flux]],#REF!,3,FALSE),0)</f>
        <v>0</v>
      </c>
      <c r="K3361" s="68"/>
      <c r="L3361" s="68"/>
      <c r="M3361" s="68"/>
      <c r="N3361" s="68"/>
      <c r="O3361" s="68"/>
      <c r="P3361" s="68"/>
      <c r="Q3361" s="68">
        <f>SUM(Devis[[#This Row],[Poste 1]:[Poste 6]])</f>
        <v>0</v>
      </c>
      <c r="R3361" s="71"/>
      <c r="S3361" s="68">
        <f>_xlfn.CEILING.MATH(Devis[[#This Row],[Quantité Totale]],Devis[[#This Row],[Conditionnement]])</f>
        <v>0</v>
      </c>
      <c r="T3361" s="72"/>
      <c r="U3361" s="73"/>
      <c r="V3361" s="74">
        <f>Devis[[#This Row],[Prix de Revient]]*Devis[[#This Row],[Poste 1]]</f>
        <v>0</v>
      </c>
      <c r="W3361" s="74">
        <f>Devis[[#This Row],[Prix de Revient]]*Devis[[#This Row],[Poste 2]]</f>
        <v>0</v>
      </c>
      <c r="X3361" s="74">
        <f>Devis[[#This Row],[Prix de Revient]]*Devis[[#This Row],[Poste 3]]</f>
        <v>0</v>
      </c>
      <c r="Y3361" s="74">
        <f>Devis[[#This Row],[Poste 4]]*Devis[[#This Row],[Prix de Revient]]</f>
        <v>0</v>
      </c>
      <c r="Z3361" s="74">
        <f>Devis[[#This Row],[Poste 5]]*Devis[[#This Row],[Prix de Revient]]</f>
        <v>0</v>
      </c>
      <c r="AA3361" s="74">
        <f>Devis[[#This Row],[Prix de Revient]]*Devis[[#This Row],[Poste 6]]</f>
        <v>0</v>
      </c>
      <c r="AB3361" s="74">
        <f>Devis[[#This Row],[Quantité Totale]]*Devis[[#This Row],[Prix de Revient]]</f>
        <v>0</v>
      </c>
    </row>
    <row r="3362" spans="1:28" ht="14.25" outlineLevel="1" x14ac:dyDescent="0.2">
      <c r="A3362" s="75" t="s">
        <v>2983</v>
      </c>
      <c r="B3362" s="76" t="s">
        <v>5158</v>
      </c>
      <c r="C3362" s="75" t="s">
        <v>5159</v>
      </c>
      <c r="D3362" s="81" t="str">
        <f t="shared" si="62"/>
        <v>TransairCoudes 90° Mixte M90° mixte M</v>
      </c>
      <c r="E3362" s="104" t="s">
        <v>5160</v>
      </c>
      <c r="F3362" s="81">
        <v>1</v>
      </c>
      <c r="G3362" s="123">
        <v>66091721</v>
      </c>
      <c r="H3362" s="71" t="s">
        <v>3293</v>
      </c>
      <c r="I3362" s="104" t="s">
        <v>3021</v>
      </c>
      <c r="J3362" s="70">
        <f>IFERROR(VLOOKUP(Devis[[#This Row],[Ref Air Flux]],#REF!,3,FALSE),0)</f>
        <v>0</v>
      </c>
      <c r="K3362" s="68"/>
      <c r="L3362" s="68"/>
      <c r="M3362" s="68"/>
      <c r="N3362" s="68"/>
      <c r="O3362" s="68"/>
      <c r="P3362" s="68"/>
      <c r="Q3362" s="68">
        <f>SUM(Devis[[#This Row],[Poste 1]:[Poste 6]])</f>
        <v>0</v>
      </c>
      <c r="R3362" s="71"/>
      <c r="S3362" s="68">
        <f>_xlfn.CEILING.MATH(Devis[[#This Row],[Quantité Totale]],Devis[[#This Row],[Conditionnement]])</f>
        <v>0</v>
      </c>
      <c r="T3362" s="72"/>
      <c r="U3362" s="73"/>
      <c r="V3362" s="74">
        <f>Devis[[#This Row],[Prix de Revient]]*Devis[[#This Row],[Poste 1]]</f>
        <v>0</v>
      </c>
      <c r="W3362" s="74">
        <f>Devis[[#This Row],[Prix de Revient]]*Devis[[#This Row],[Poste 2]]</f>
        <v>0</v>
      </c>
      <c r="X3362" s="74">
        <f>Devis[[#This Row],[Prix de Revient]]*Devis[[#This Row],[Poste 3]]</f>
        <v>0</v>
      </c>
      <c r="Y3362" s="74">
        <f>Devis[[#This Row],[Poste 4]]*Devis[[#This Row],[Prix de Revient]]</f>
        <v>0</v>
      </c>
      <c r="Z3362" s="74">
        <f>Devis[[#This Row],[Poste 5]]*Devis[[#This Row],[Prix de Revient]]</f>
        <v>0</v>
      </c>
      <c r="AA3362" s="74">
        <f>Devis[[#This Row],[Prix de Revient]]*Devis[[#This Row],[Poste 6]]</f>
        <v>0</v>
      </c>
      <c r="AB3362" s="74">
        <f>Devis[[#This Row],[Quantité Totale]]*Devis[[#This Row],[Prix de Revient]]</f>
        <v>0</v>
      </c>
    </row>
    <row r="3363" spans="1:28" ht="14.25" outlineLevel="1" x14ac:dyDescent="0.2">
      <c r="A3363" s="75" t="s">
        <v>2983</v>
      </c>
      <c r="B3363" s="76" t="s">
        <v>5158</v>
      </c>
      <c r="C3363" s="75" t="s">
        <v>5159</v>
      </c>
      <c r="D3363" s="81" t="str">
        <f t="shared" si="62"/>
        <v>TransairCoudes 90° Mixte M90° mixte M</v>
      </c>
      <c r="E3363" s="104" t="s">
        <v>5161</v>
      </c>
      <c r="F3363" s="81">
        <v>2</v>
      </c>
      <c r="G3363" s="123">
        <v>66092521</v>
      </c>
      <c r="H3363" s="71" t="s">
        <v>3293</v>
      </c>
      <c r="I3363" s="104" t="s">
        <v>3022</v>
      </c>
      <c r="J3363" s="70">
        <f>IFERROR(VLOOKUP(Devis[[#This Row],[Ref Air Flux]],#REF!,3,FALSE),0)</f>
        <v>0</v>
      </c>
      <c r="K3363" s="68"/>
      <c r="L3363" s="68"/>
      <c r="M3363" s="68"/>
      <c r="N3363" s="68"/>
      <c r="O3363" s="68"/>
      <c r="P3363" s="68"/>
      <c r="Q3363" s="68">
        <f>SUM(Devis[[#This Row],[Poste 1]:[Poste 6]])</f>
        <v>0</v>
      </c>
      <c r="R3363" s="71"/>
      <c r="S3363" s="68">
        <f>_xlfn.CEILING.MATH(Devis[[#This Row],[Quantité Totale]],Devis[[#This Row],[Conditionnement]])</f>
        <v>0</v>
      </c>
      <c r="T3363" s="72"/>
      <c r="U3363" s="73"/>
      <c r="V3363" s="74">
        <f>Devis[[#This Row],[Prix de Revient]]*Devis[[#This Row],[Poste 1]]</f>
        <v>0</v>
      </c>
      <c r="W3363" s="74">
        <f>Devis[[#This Row],[Prix de Revient]]*Devis[[#This Row],[Poste 2]]</f>
        <v>0</v>
      </c>
      <c r="X3363" s="74">
        <f>Devis[[#This Row],[Prix de Revient]]*Devis[[#This Row],[Poste 3]]</f>
        <v>0</v>
      </c>
      <c r="Y3363" s="74">
        <f>Devis[[#This Row],[Poste 4]]*Devis[[#This Row],[Prix de Revient]]</f>
        <v>0</v>
      </c>
      <c r="Z3363" s="74">
        <f>Devis[[#This Row],[Poste 5]]*Devis[[#This Row],[Prix de Revient]]</f>
        <v>0</v>
      </c>
      <c r="AA3363" s="74">
        <f>Devis[[#This Row],[Prix de Revient]]*Devis[[#This Row],[Poste 6]]</f>
        <v>0</v>
      </c>
      <c r="AB3363" s="74">
        <f>Devis[[#This Row],[Quantité Totale]]*Devis[[#This Row],[Prix de Revient]]</f>
        <v>0</v>
      </c>
    </row>
    <row r="3364" spans="1:28" ht="14.25" outlineLevel="1" x14ac:dyDescent="0.2">
      <c r="A3364" s="75" t="s">
        <v>2983</v>
      </c>
      <c r="B3364" s="76" t="s">
        <v>5158</v>
      </c>
      <c r="C3364" s="75" t="s">
        <v>5159</v>
      </c>
      <c r="D3364" s="81" t="str">
        <f t="shared" si="62"/>
        <v>TransairCoudes 90° Mixte M90° mixte M</v>
      </c>
      <c r="E3364" s="104" t="s">
        <v>5157</v>
      </c>
      <c r="F3364" s="81">
        <v>3</v>
      </c>
      <c r="G3364" s="123">
        <v>66092527</v>
      </c>
      <c r="H3364" s="71" t="s">
        <v>3293</v>
      </c>
      <c r="I3364" s="104" t="s">
        <v>3023</v>
      </c>
      <c r="J3364" s="70">
        <f>IFERROR(VLOOKUP(Devis[[#This Row],[Ref Air Flux]],#REF!,3,FALSE),0)</f>
        <v>0</v>
      </c>
      <c r="K3364" s="68"/>
      <c r="L3364" s="68"/>
      <c r="M3364" s="68"/>
      <c r="N3364" s="68"/>
      <c r="O3364" s="68"/>
      <c r="P3364" s="68"/>
      <c r="Q3364" s="68">
        <f>SUM(Devis[[#This Row],[Poste 1]:[Poste 6]])</f>
        <v>0</v>
      </c>
      <c r="R3364" s="71"/>
      <c r="S3364" s="68">
        <f>_xlfn.CEILING.MATH(Devis[[#This Row],[Quantité Totale]],Devis[[#This Row],[Conditionnement]])</f>
        <v>0</v>
      </c>
      <c r="T3364" s="72"/>
      <c r="U3364" s="73"/>
      <c r="V3364" s="74">
        <f>Devis[[#This Row],[Prix de Revient]]*Devis[[#This Row],[Poste 1]]</f>
        <v>0</v>
      </c>
      <c r="W3364" s="74">
        <f>Devis[[#This Row],[Prix de Revient]]*Devis[[#This Row],[Poste 2]]</f>
        <v>0</v>
      </c>
      <c r="X3364" s="74">
        <f>Devis[[#This Row],[Prix de Revient]]*Devis[[#This Row],[Poste 3]]</f>
        <v>0</v>
      </c>
      <c r="Y3364" s="74">
        <f>Devis[[#This Row],[Poste 4]]*Devis[[#This Row],[Prix de Revient]]</f>
        <v>0</v>
      </c>
      <c r="Z3364" s="74">
        <f>Devis[[#This Row],[Poste 5]]*Devis[[#This Row],[Prix de Revient]]</f>
        <v>0</v>
      </c>
      <c r="AA3364" s="74">
        <f>Devis[[#This Row],[Prix de Revient]]*Devis[[#This Row],[Poste 6]]</f>
        <v>0</v>
      </c>
      <c r="AB3364" s="74">
        <f>Devis[[#This Row],[Quantité Totale]]*Devis[[#This Row],[Prix de Revient]]</f>
        <v>0</v>
      </c>
    </row>
    <row r="3365" spans="1:28" ht="15" customHeight="1" outlineLevel="1" x14ac:dyDescent="0.2">
      <c r="A3365" s="75" t="s">
        <v>2983</v>
      </c>
      <c r="B3365" s="76" t="s">
        <v>5158</v>
      </c>
      <c r="C3365" s="75" t="s">
        <v>5159</v>
      </c>
      <c r="D3365" s="81" t="str">
        <f t="shared" si="62"/>
        <v>TransairCoudes 90° Mixte M90° mixte M</v>
      </c>
      <c r="E3365" s="104" t="s">
        <v>5162</v>
      </c>
      <c r="F3365" s="81">
        <v>4</v>
      </c>
      <c r="G3365" s="123">
        <v>66092534</v>
      </c>
      <c r="H3365" s="71" t="s">
        <v>3293</v>
      </c>
      <c r="I3365" s="104" t="s">
        <v>3024</v>
      </c>
      <c r="J3365" s="70">
        <f>IFERROR(VLOOKUP(Devis[[#This Row],[Ref Air Flux]],#REF!,3,FALSE),0)</f>
        <v>0</v>
      </c>
      <c r="K3365" s="68"/>
      <c r="L3365" s="68"/>
      <c r="M3365" s="68"/>
      <c r="N3365" s="68"/>
      <c r="O3365" s="68"/>
      <c r="P3365" s="68"/>
      <c r="Q3365" s="68">
        <f>SUM(Devis[[#This Row],[Poste 1]:[Poste 6]])</f>
        <v>0</v>
      </c>
      <c r="R3365" s="71"/>
      <c r="S3365" s="68">
        <f>_xlfn.CEILING.MATH(Devis[[#This Row],[Quantité Totale]],Devis[[#This Row],[Conditionnement]])</f>
        <v>0</v>
      </c>
      <c r="T3365" s="72"/>
      <c r="U3365" s="73"/>
      <c r="V3365" s="74">
        <f>Devis[[#This Row],[Prix de Revient]]*Devis[[#This Row],[Poste 1]]</f>
        <v>0</v>
      </c>
      <c r="W3365" s="74">
        <f>Devis[[#This Row],[Prix de Revient]]*Devis[[#This Row],[Poste 2]]</f>
        <v>0</v>
      </c>
      <c r="X3365" s="74">
        <f>Devis[[#This Row],[Prix de Revient]]*Devis[[#This Row],[Poste 3]]</f>
        <v>0</v>
      </c>
      <c r="Y3365" s="74">
        <f>Devis[[#This Row],[Poste 4]]*Devis[[#This Row],[Prix de Revient]]</f>
        <v>0</v>
      </c>
      <c r="Z3365" s="74">
        <f>Devis[[#This Row],[Poste 5]]*Devis[[#This Row],[Prix de Revient]]</f>
        <v>0</v>
      </c>
      <c r="AA3365" s="74">
        <f>Devis[[#This Row],[Prix de Revient]]*Devis[[#This Row],[Poste 6]]</f>
        <v>0</v>
      </c>
      <c r="AB3365" s="74">
        <f>Devis[[#This Row],[Quantité Totale]]*Devis[[#This Row],[Prix de Revient]]</f>
        <v>0</v>
      </c>
    </row>
    <row r="3366" spans="1:28" ht="14.25" outlineLevel="1" x14ac:dyDescent="0.2">
      <c r="A3366" s="75" t="s">
        <v>2983</v>
      </c>
      <c r="B3366" s="76" t="s">
        <v>5158</v>
      </c>
      <c r="C3366" s="75" t="s">
        <v>5159</v>
      </c>
      <c r="D3366" s="81" t="str">
        <f t="shared" si="62"/>
        <v>TransairCoudes 90° Mixte M90° mixte M</v>
      </c>
      <c r="E3366" s="104" t="s">
        <v>5163</v>
      </c>
      <c r="F3366" s="81">
        <v>5</v>
      </c>
      <c r="G3366" s="123">
        <v>66094034</v>
      </c>
      <c r="H3366" s="71" t="s">
        <v>3293</v>
      </c>
      <c r="I3366" s="104" t="s">
        <v>3025</v>
      </c>
      <c r="J3366" s="70">
        <f>IFERROR(VLOOKUP(Devis[[#This Row],[Ref Air Flux]],#REF!,3,FALSE),0)</f>
        <v>0</v>
      </c>
      <c r="K3366" s="68"/>
      <c r="L3366" s="68"/>
      <c r="M3366" s="68"/>
      <c r="N3366" s="68"/>
      <c r="O3366" s="68"/>
      <c r="P3366" s="68"/>
      <c r="Q3366" s="68">
        <f>SUM(Devis[[#This Row],[Poste 1]:[Poste 6]])</f>
        <v>0</v>
      </c>
      <c r="R3366" s="71"/>
      <c r="S3366" s="68">
        <f>_xlfn.CEILING.MATH(Devis[[#This Row],[Quantité Totale]],Devis[[#This Row],[Conditionnement]])</f>
        <v>0</v>
      </c>
      <c r="T3366" s="72"/>
      <c r="U3366" s="73"/>
      <c r="V3366" s="74">
        <f>Devis[[#This Row],[Prix de Revient]]*Devis[[#This Row],[Poste 1]]</f>
        <v>0</v>
      </c>
      <c r="W3366" s="74">
        <f>Devis[[#This Row],[Prix de Revient]]*Devis[[#This Row],[Poste 2]]</f>
        <v>0</v>
      </c>
      <c r="X3366" s="74">
        <f>Devis[[#This Row],[Prix de Revient]]*Devis[[#This Row],[Poste 3]]</f>
        <v>0</v>
      </c>
      <c r="Y3366" s="74">
        <f>Devis[[#This Row],[Poste 4]]*Devis[[#This Row],[Prix de Revient]]</f>
        <v>0</v>
      </c>
      <c r="Z3366" s="74">
        <f>Devis[[#This Row],[Poste 5]]*Devis[[#This Row],[Prix de Revient]]</f>
        <v>0</v>
      </c>
      <c r="AA3366" s="74">
        <f>Devis[[#This Row],[Prix de Revient]]*Devis[[#This Row],[Poste 6]]</f>
        <v>0</v>
      </c>
      <c r="AB3366" s="74">
        <f>Devis[[#This Row],[Quantité Totale]]*Devis[[#This Row],[Prix de Revient]]</f>
        <v>0</v>
      </c>
    </row>
    <row r="3367" spans="1:28" ht="14.25" outlineLevel="1" x14ac:dyDescent="0.2">
      <c r="A3367" s="75" t="s">
        <v>2983</v>
      </c>
      <c r="B3367" s="76" t="s">
        <v>5158</v>
      </c>
      <c r="C3367" s="75" t="s">
        <v>5159</v>
      </c>
      <c r="D3367" s="81" t="str">
        <f t="shared" si="62"/>
        <v>TransairCoudes 90° Mixte M90° mixte M</v>
      </c>
      <c r="E3367" s="104" t="s">
        <v>5164</v>
      </c>
      <c r="F3367" s="81">
        <v>6</v>
      </c>
      <c r="G3367" s="123">
        <v>66094042</v>
      </c>
      <c r="H3367" s="71" t="s">
        <v>3293</v>
      </c>
      <c r="I3367" s="104" t="s">
        <v>3026</v>
      </c>
      <c r="J3367" s="70">
        <f>IFERROR(VLOOKUP(Devis[[#This Row],[Ref Air Flux]],#REF!,3,FALSE),0)</f>
        <v>0</v>
      </c>
      <c r="K3367" s="68"/>
      <c r="L3367" s="68"/>
      <c r="M3367" s="68"/>
      <c r="N3367" s="68"/>
      <c r="O3367" s="68"/>
      <c r="P3367" s="68"/>
      <c r="Q3367" s="68">
        <f>SUM(Devis[[#This Row],[Poste 1]:[Poste 6]])</f>
        <v>0</v>
      </c>
      <c r="R3367" s="71"/>
      <c r="S3367" s="68">
        <f>_xlfn.CEILING.MATH(Devis[[#This Row],[Quantité Totale]],Devis[[#This Row],[Conditionnement]])</f>
        <v>0</v>
      </c>
      <c r="T3367" s="72"/>
      <c r="U3367" s="73"/>
      <c r="V3367" s="74">
        <f>Devis[[#This Row],[Prix de Revient]]*Devis[[#This Row],[Poste 1]]</f>
        <v>0</v>
      </c>
      <c r="W3367" s="74">
        <f>Devis[[#This Row],[Prix de Revient]]*Devis[[#This Row],[Poste 2]]</f>
        <v>0</v>
      </c>
      <c r="X3367" s="74">
        <f>Devis[[#This Row],[Prix de Revient]]*Devis[[#This Row],[Poste 3]]</f>
        <v>0</v>
      </c>
      <c r="Y3367" s="74">
        <f>Devis[[#This Row],[Poste 4]]*Devis[[#This Row],[Prix de Revient]]</f>
        <v>0</v>
      </c>
      <c r="Z3367" s="74">
        <f>Devis[[#This Row],[Poste 5]]*Devis[[#This Row],[Prix de Revient]]</f>
        <v>0</v>
      </c>
      <c r="AA3367" s="74">
        <f>Devis[[#This Row],[Prix de Revient]]*Devis[[#This Row],[Poste 6]]</f>
        <v>0</v>
      </c>
      <c r="AB3367" s="74">
        <f>Devis[[#This Row],[Quantité Totale]]*Devis[[#This Row],[Prix de Revient]]</f>
        <v>0</v>
      </c>
    </row>
    <row r="3368" spans="1:28" ht="14.25" outlineLevel="1" x14ac:dyDescent="0.2">
      <c r="A3368" s="75" t="s">
        <v>2983</v>
      </c>
      <c r="B3368" s="76" t="s">
        <v>5158</v>
      </c>
      <c r="C3368" s="75" t="s">
        <v>5159</v>
      </c>
      <c r="D3368" s="81" t="str">
        <f t="shared" si="62"/>
        <v>TransairCoudes 90° Mixte M90° mixte M</v>
      </c>
      <c r="E3368" s="104" t="s">
        <v>5165</v>
      </c>
      <c r="F3368" s="81">
        <v>7</v>
      </c>
      <c r="G3368" s="123">
        <v>66094049</v>
      </c>
      <c r="H3368" s="71" t="s">
        <v>3293</v>
      </c>
      <c r="I3368" s="104" t="s">
        <v>3027</v>
      </c>
      <c r="J3368" s="70">
        <f>IFERROR(VLOOKUP(Devis[[#This Row],[Ref Air Flux]],#REF!,3,FALSE),0)</f>
        <v>0</v>
      </c>
      <c r="K3368" s="68"/>
      <c r="L3368" s="68"/>
      <c r="M3368" s="68"/>
      <c r="N3368" s="68"/>
      <c r="O3368" s="68"/>
      <c r="P3368" s="68"/>
      <c r="Q3368" s="68">
        <f>SUM(Devis[[#This Row],[Poste 1]:[Poste 6]])</f>
        <v>0</v>
      </c>
      <c r="R3368" s="71"/>
      <c r="S3368" s="68">
        <f>_xlfn.CEILING.MATH(Devis[[#This Row],[Quantité Totale]],Devis[[#This Row],[Conditionnement]])</f>
        <v>0</v>
      </c>
      <c r="T3368" s="72"/>
      <c r="U3368" s="73"/>
      <c r="V3368" s="74">
        <f>Devis[[#This Row],[Prix de Revient]]*Devis[[#This Row],[Poste 1]]</f>
        <v>0</v>
      </c>
      <c r="W3368" s="74">
        <f>Devis[[#This Row],[Prix de Revient]]*Devis[[#This Row],[Poste 2]]</f>
        <v>0</v>
      </c>
      <c r="X3368" s="74">
        <f>Devis[[#This Row],[Prix de Revient]]*Devis[[#This Row],[Poste 3]]</f>
        <v>0</v>
      </c>
      <c r="Y3368" s="74">
        <f>Devis[[#This Row],[Poste 4]]*Devis[[#This Row],[Prix de Revient]]</f>
        <v>0</v>
      </c>
      <c r="Z3368" s="74">
        <f>Devis[[#This Row],[Poste 5]]*Devis[[#This Row],[Prix de Revient]]</f>
        <v>0</v>
      </c>
      <c r="AA3368" s="74">
        <f>Devis[[#This Row],[Prix de Revient]]*Devis[[#This Row],[Poste 6]]</f>
        <v>0</v>
      </c>
      <c r="AB3368" s="74">
        <f>Devis[[#This Row],[Quantité Totale]]*Devis[[#This Row],[Prix de Revient]]</f>
        <v>0</v>
      </c>
    </row>
    <row r="3369" spans="1:28" ht="14.25" outlineLevel="1" x14ac:dyDescent="0.2">
      <c r="A3369" s="75" t="s">
        <v>2983</v>
      </c>
      <c r="B3369" s="76" t="s">
        <v>5158</v>
      </c>
      <c r="C3369" s="75" t="s">
        <v>5159</v>
      </c>
      <c r="D3369" s="81" t="str">
        <f t="shared" si="62"/>
        <v>TransairCoudes 90° Mixte M90° mixte M</v>
      </c>
      <c r="E3369" s="104" t="s">
        <v>5166</v>
      </c>
      <c r="F3369" s="81">
        <v>8</v>
      </c>
      <c r="G3369" s="75">
        <v>66095048</v>
      </c>
      <c r="H3369" s="71" t="s">
        <v>3293</v>
      </c>
      <c r="I3369" s="75" t="s">
        <v>5167</v>
      </c>
      <c r="J3369" s="70">
        <f>IFERROR(VLOOKUP(Devis[[#This Row],[Ref Air Flux]],#REF!,3,FALSE),0)</f>
        <v>0</v>
      </c>
      <c r="K3369" s="68"/>
      <c r="L3369" s="68"/>
      <c r="M3369" s="68"/>
      <c r="N3369" s="68"/>
      <c r="O3369" s="68"/>
      <c r="P3369" s="68"/>
      <c r="Q3369" s="68">
        <f>SUM(Devis[[#This Row],[Poste 1]:[Poste 6]])</f>
        <v>0</v>
      </c>
      <c r="R3369" s="71"/>
      <c r="S3369" s="68">
        <f>_xlfn.CEILING.MATH(Devis[[#This Row],[Quantité Totale]],Devis[[#This Row],[Conditionnement]])</f>
        <v>0</v>
      </c>
      <c r="T3369" s="72"/>
      <c r="U3369" s="73"/>
      <c r="V3369" s="74">
        <f>Devis[[#This Row],[Prix de Revient]]*Devis[[#This Row],[Poste 1]]</f>
        <v>0</v>
      </c>
      <c r="W3369" s="74">
        <f>Devis[[#This Row],[Prix de Revient]]*Devis[[#This Row],[Poste 2]]</f>
        <v>0</v>
      </c>
      <c r="X3369" s="74">
        <f>Devis[[#This Row],[Prix de Revient]]*Devis[[#This Row],[Poste 3]]</f>
        <v>0</v>
      </c>
      <c r="Y3369" s="74">
        <f>Devis[[#This Row],[Poste 4]]*Devis[[#This Row],[Prix de Revient]]</f>
        <v>0</v>
      </c>
      <c r="Z3369" s="74">
        <f>Devis[[#This Row],[Poste 5]]*Devis[[#This Row],[Prix de Revient]]</f>
        <v>0</v>
      </c>
      <c r="AA3369" s="74">
        <f>Devis[[#This Row],[Prix de Revient]]*Devis[[#This Row],[Poste 6]]</f>
        <v>0</v>
      </c>
      <c r="AB3369" s="74">
        <f>Devis[[#This Row],[Quantité Totale]]*Devis[[#This Row],[Prix de Revient]]</f>
        <v>0</v>
      </c>
    </row>
    <row r="3370" spans="1:28" ht="14.25" outlineLevel="1" x14ac:dyDescent="0.2">
      <c r="A3370" s="75" t="s">
        <v>2983</v>
      </c>
      <c r="B3370" s="76" t="s">
        <v>5158</v>
      </c>
      <c r="C3370" s="75" t="s">
        <v>5159</v>
      </c>
      <c r="D3370" s="81" t="str">
        <f t="shared" si="62"/>
        <v>TransairCoudes 90° Mixte M90° mixte M</v>
      </c>
      <c r="E3370" s="104" t="s">
        <v>5168</v>
      </c>
      <c r="F3370" s="81">
        <v>9</v>
      </c>
      <c r="G3370" s="123">
        <v>66096348</v>
      </c>
      <c r="H3370" s="71" t="s">
        <v>3293</v>
      </c>
      <c r="I3370" s="104" t="s">
        <v>3028</v>
      </c>
      <c r="J3370" s="70">
        <f>IFERROR(VLOOKUP(Devis[[#This Row],[Ref Air Flux]],#REF!,3,FALSE),0)</f>
        <v>0</v>
      </c>
      <c r="K3370" s="68"/>
      <c r="L3370" s="68"/>
      <c r="M3370" s="68"/>
      <c r="N3370" s="68"/>
      <c r="O3370" s="68"/>
      <c r="P3370" s="68"/>
      <c r="Q3370" s="68">
        <f>SUM(Devis[[#This Row],[Poste 1]:[Poste 6]])</f>
        <v>0</v>
      </c>
      <c r="R3370" s="71"/>
      <c r="S3370" s="68">
        <f>_xlfn.CEILING.MATH(Devis[[#This Row],[Quantité Totale]],Devis[[#This Row],[Conditionnement]])</f>
        <v>0</v>
      </c>
      <c r="T3370" s="72"/>
      <c r="U3370" s="73"/>
      <c r="V3370" s="74">
        <f>Devis[[#This Row],[Prix de Revient]]*Devis[[#This Row],[Poste 1]]</f>
        <v>0</v>
      </c>
      <c r="W3370" s="74">
        <f>Devis[[#This Row],[Prix de Revient]]*Devis[[#This Row],[Poste 2]]</f>
        <v>0</v>
      </c>
      <c r="X3370" s="74">
        <f>Devis[[#This Row],[Prix de Revient]]*Devis[[#This Row],[Poste 3]]</f>
        <v>0</v>
      </c>
      <c r="Y3370" s="74">
        <f>Devis[[#This Row],[Poste 4]]*Devis[[#This Row],[Prix de Revient]]</f>
        <v>0</v>
      </c>
      <c r="Z3370" s="74">
        <f>Devis[[#This Row],[Poste 5]]*Devis[[#This Row],[Prix de Revient]]</f>
        <v>0</v>
      </c>
      <c r="AA3370" s="74">
        <f>Devis[[#This Row],[Prix de Revient]]*Devis[[#This Row],[Poste 6]]</f>
        <v>0</v>
      </c>
      <c r="AB3370" s="74">
        <f>Devis[[#This Row],[Quantité Totale]]*Devis[[#This Row],[Prix de Revient]]</f>
        <v>0</v>
      </c>
    </row>
    <row r="3371" spans="1:28" ht="14.25" outlineLevel="1" x14ac:dyDescent="0.2">
      <c r="A3371" s="75" t="s">
        <v>2983</v>
      </c>
      <c r="B3371" s="76" t="s">
        <v>5158</v>
      </c>
      <c r="C3371" s="75" t="s">
        <v>5159</v>
      </c>
      <c r="D3371" s="81" t="str">
        <f t="shared" si="62"/>
        <v>TransairCoudes 90° Mixte M90° mixte M</v>
      </c>
      <c r="E3371" s="104" t="s">
        <v>5169</v>
      </c>
      <c r="F3371" s="81">
        <v>10</v>
      </c>
      <c r="G3371" s="123" t="s">
        <v>3433</v>
      </c>
      <c r="H3371" s="71" t="s">
        <v>3293</v>
      </c>
      <c r="I3371" s="104" t="s">
        <v>3029</v>
      </c>
      <c r="J3371" s="70">
        <f>IFERROR(VLOOKUP(Devis[[#This Row],[Ref Air Flux]],#REF!,3,FALSE),0)</f>
        <v>0</v>
      </c>
      <c r="K3371" s="68"/>
      <c r="L3371" s="68"/>
      <c r="M3371" s="68"/>
      <c r="N3371" s="68"/>
      <c r="O3371" s="68"/>
      <c r="P3371" s="68"/>
      <c r="Q3371" s="68">
        <f>SUM(Devis[[#This Row],[Poste 1]:[Poste 6]])</f>
        <v>0</v>
      </c>
      <c r="R3371" s="71"/>
      <c r="S3371" s="68">
        <f>_xlfn.CEILING.MATH(Devis[[#This Row],[Quantité Totale]],Devis[[#This Row],[Conditionnement]])</f>
        <v>0</v>
      </c>
      <c r="T3371" s="72"/>
      <c r="U3371" s="73"/>
      <c r="V3371" s="74">
        <f>Devis[[#This Row],[Prix de Revient]]*Devis[[#This Row],[Poste 1]]</f>
        <v>0</v>
      </c>
      <c r="W3371" s="74">
        <f>Devis[[#This Row],[Prix de Revient]]*Devis[[#This Row],[Poste 2]]</f>
        <v>0</v>
      </c>
      <c r="X3371" s="74">
        <f>Devis[[#This Row],[Prix de Revient]]*Devis[[#This Row],[Poste 3]]</f>
        <v>0</v>
      </c>
      <c r="Y3371" s="74">
        <f>Devis[[#This Row],[Poste 4]]*Devis[[#This Row],[Prix de Revient]]</f>
        <v>0</v>
      </c>
      <c r="Z3371" s="74">
        <f>Devis[[#This Row],[Poste 5]]*Devis[[#This Row],[Prix de Revient]]</f>
        <v>0</v>
      </c>
      <c r="AA3371" s="74">
        <f>Devis[[#This Row],[Prix de Revient]]*Devis[[#This Row],[Poste 6]]</f>
        <v>0</v>
      </c>
      <c r="AB3371" s="74">
        <f>Devis[[#This Row],[Quantité Totale]]*Devis[[#This Row],[Prix de Revient]]</f>
        <v>0</v>
      </c>
    </row>
    <row r="3372" spans="1:28" ht="14.25" customHeight="1" x14ac:dyDescent="0.25">
      <c r="A3372" s="65" t="s">
        <v>2983</v>
      </c>
      <c r="B3372" s="65" t="s">
        <v>5150</v>
      </c>
      <c r="C3372" s="76"/>
      <c r="D3372" s="81" t="str">
        <f t="shared" si="62"/>
        <v>TransairCoudes 90°FF</v>
      </c>
      <c r="E3372" s="76"/>
      <c r="F3372" s="81">
        <v>0</v>
      </c>
      <c r="G3372" s="71"/>
      <c r="H3372" s="71"/>
      <c r="I3372" s="71"/>
      <c r="J3372" s="70">
        <f>IFERROR(VLOOKUP(Devis[[#This Row],[Ref Air Flux]],#REF!,3,FALSE),0)</f>
        <v>0</v>
      </c>
      <c r="K3372" s="68"/>
      <c r="L3372" s="68"/>
      <c r="M3372" s="68"/>
      <c r="N3372" s="68"/>
      <c r="O3372" s="68"/>
      <c r="P3372" s="68"/>
      <c r="Q3372" s="68">
        <f>SUM(Devis[[#This Row],[Poste 1]:[Poste 6]])</f>
        <v>0</v>
      </c>
      <c r="R3372" s="71"/>
      <c r="S3372" s="68">
        <f>_xlfn.CEILING.MATH(Devis[[#This Row],[Quantité Totale]],Devis[[#This Row],[Conditionnement]])</f>
        <v>0</v>
      </c>
      <c r="T3372" s="72"/>
      <c r="U3372" s="73"/>
      <c r="V3372" s="74">
        <f>Devis[[#This Row],[Prix de Revient]]*Devis[[#This Row],[Poste 1]]</f>
        <v>0</v>
      </c>
      <c r="W3372" s="74">
        <f>Devis[[#This Row],[Prix de Revient]]*Devis[[#This Row],[Poste 2]]</f>
        <v>0</v>
      </c>
      <c r="X3372" s="74">
        <f>Devis[[#This Row],[Prix de Revient]]*Devis[[#This Row],[Poste 3]]</f>
        <v>0</v>
      </c>
      <c r="Y3372" s="74">
        <f>Devis[[#This Row],[Poste 4]]*Devis[[#This Row],[Prix de Revient]]</f>
        <v>0</v>
      </c>
      <c r="Z3372" s="74">
        <f>Devis[[#This Row],[Poste 5]]*Devis[[#This Row],[Prix de Revient]]</f>
        <v>0</v>
      </c>
      <c r="AA3372" s="74">
        <f>Devis[[#This Row],[Prix de Revient]]*Devis[[#This Row],[Poste 6]]</f>
        <v>0</v>
      </c>
      <c r="AB3372" s="74">
        <f>Devis[[#This Row],[Quantité Totale]]*Devis[[#This Row],[Prix de Revient]]</f>
        <v>0</v>
      </c>
    </row>
    <row r="3373" spans="1:28" ht="15" customHeight="1" outlineLevel="1" x14ac:dyDescent="0.2">
      <c r="A3373" s="75" t="s">
        <v>2983</v>
      </c>
      <c r="B3373" s="76" t="s">
        <v>5150</v>
      </c>
      <c r="C3373" s="75" t="s">
        <v>5151</v>
      </c>
      <c r="D3373" s="81" t="str">
        <f t="shared" si="62"/>
        <v>TransairCoudes 90°FF90° FF</v>
      </c>
      <c r="E3373" s="104" t="s">
        <v>5112</v>
      </c>
      <c r="F3373" s="81">
        <v>1</v>
      </c>
      <c r="G3373" s="123">
        <v>66021700</v>
      </c>
      <c r="H3373" s="71" t="s">
        <v>3293</v>
      </c>
      <c r="I3373" s="104" t="s">
        <v>3013</v>
      </c>
      <c r="J3373" s="70">
        <f>IFERROR(VLOOKUP(Devis[[#This Row],[Ref Air Flux]],#REF!,3,FALSE),0)</f>
        <v>0</v>
      </c>
      <c r="K3373" s="68"/>
      <c r="L3373" s="68"/>
      <c r="M3373" s="68"/>
      <c r="N3373" s="68"/>
      <c r="O3373" s="68"/>
      <c r="P3373" s="68"/>
      <c r="Q3373" s="68">
        <f>SUM(Devis[[#This Row],[Poste 1]:[Poste 6]])</f>
        <v>0</v>
      </c>
      <c r="R3373" s="71"/>
      <c r="S3373" s="68">
        <f>_xlfn.CEILING.MATH(Devis[[#This Row],[Quantité Totale]],Devis[[#This Row],[Conditionnement]])</f>
        <v>0</v>
      </c>
      <c r="T3373" s="72"/>
      <c r="U3373" s="73"/>
      <c r="V3373" s="74">
        <f>Devis[[#This Row],[Prix de Revient]]*Devis[[#This Row],[Poste 1]]</f>
        <v>0</v>
      </c>
      <c r="W3373" s="74">
        <f>Devis[[#This Row],[Prix de Revient]]*Devis[[#This Row],[Poste 2]]</f>
        <v>0</v>
      </c>
      <c r="X3373" s="74">
        <f>Devis[[#This Row],[Prix de Revient]]*Devis[[#This Row],[Poste 3]]</f>
        <v>0</v>
      </c>
      <c r="Y3373" s="74">
        <f>Devis[[#This Row],[Poste 4]]*Devis[[#This Row],[Prix de Revient]]</f>
        <v>0</v>
      </c>
      <c r="Z3373" s="74">
        <f>Devis[[#This Row],[Poste 5]]*Devis[[#This Row],[Prix de Revient]]</f>
        <v>0</v>
      </c>
      <c r="AA3373" s="74">
        <f>Devis[[#This Row],[Prix de Revient]]*Devis[[#This Row],[Poste 6]]</f>
        <v>0</v>
      </c>
      <c r="AB3373" s="74">
        <f>Devis[[#This Row],[Quantité Totale]]*Devis[[#This Row],[Prix de Revient]]</f>
        <v>0</v>
      </c>
    </row>
    <row r="3374" spans="1:28" ht="14.25" outlineLevel="1" x14ac:dyDescent="0.2">
      <c r="A3374" s="75" t="s">
        <v>2983</v>
      </c>
      <c r="B3374" s="76" t="s">
        <v>5150</v>
      </c>
      <c r="C3374" s="75" t="s">
        <v>5151</v>
      </c>
      <c r="D3374" s="81" t="str">
        <f t="shared" si="62"/>
        <v>TransairCoudes 90°FF90° FF</v>
      </c>
      <c r="E3374" s="104" t="s">
        <v>5113</v>
      </c>
      <c r="F3374" s="81">
        <v>2</v>
      </c>
      <c r="G3374" s="123">
        <v>66022500</v>
      </c>
      <c r="H3374" s="71" t="s">
        <v>3293</v>
      </c>
      <c r="I3374" s="104" t="s">
        <v>3014</v>
      </c>
      <c r="J3374" s="70">
        <f>IFERROR(VLOOKUP(Devis[[#This Row],[Ref Air Flux]],#REF!,3,FALSE),0)</f>
        <v>0</v>
      </c>
      <c r="K3374" s="68"/>
      <c r="L3374" s="68"/>
      <c r="M3374" s="68"/>
      <c r="N3374" s="68"/>
      <c r="O3374" s="68"/>
      <c r="P3374" s="68"/>
      <c r="Q3374" s="68">
        <f>SUM(Devis[[#This Row],[Poste 1]:[Poste 6]])</f>
        <v>0</v>
      </c>
      <c r="R3374" s="71"/>
      <c r="S3374" s="68">
        <f>_xlfn.CEILING.MATH(Devis[[#This Row],[Quantité Totale]],Devis[[#This Row],[Conditionnement]])</f>
        <v>0</v>
      </c>
      <c r="T3374" s="72"/>
      <c r="U3374" s="73"/>
      <c r="V3374" s="74">
        <f>Devis[[#This Row],[Prix de Revient]]*Devis[[#This Row],[Poste 1]]</f>
        <v>0</v>
      </c>
      <c r="W3374" s="74">
        <f>Devis[[#This Row],[Prix de Revient]]*Devis[[#This Row],[Poste 2]]</f>
        <v>0</v>
      </c>
      <c r="X3374" s="74">
        <f>Devis[[#This Row],[Prix de Revient]]*Devis[[#This Row],[Poste 3]]</f>
        <v>0</v>
      </c>
      <c r="Y3374" s="74">
        <f>Devis[[#This Row],[Poste 4]]*Devis[[#This Row],[Prix de Revient]]</f>
        <v>0</v>
      </c>
      <c r="Z3374" s="74">
        <f>Devis[[#This Row],[Poste 5]]*Devis[[#This Row],[Prix de Revient]]</f>
        <v>0</v>
      </c>
      <c r="AA3374" s="74">
        <f>Devis[[#This Row],[Prix de Revient]]*Devis[[#This Row],[Poste 6]]</f>
        <v>0</v>
      </c>
      <c r="AB3374" s="74">
        <f>Devis[[#This Row],[Quantité Totale]]*Devis[[#This Row],[Prix de Revient]]</f>
        <v>0</v>
      </c>
    </row>
    <row r="3375" spans="1:28" ht="14.25" outlineLevel="1" x14ac:dyDescent="0.2">
      <c r="A3375" s="75" t="s">
        <v>2983</v>
      </c>
      <c r="B3375" s="76" t="s">
        <v>5150</v>
      </c>
      <c r="C3375" s="75" t="s">
        <v>5151</v>
      </c>
      <c r="D3375" s="81" t="str">
        <f t="shared" si="62"/>
        <v>TransairCoudes 90°FF90° FF</v>
      </c>
      <c r="E3375" s="104" t="s">
        <v>5114</v>
      </c>
      <c r="F3375" s="81">
        <v>3</v>
      </c>
      <c r="G3375" s="123">
        <v>66024000</v>
      </c>
      <c r="H3375" s="71" t="s">
        <v>3293</v>
      </c>
      <c r="I3375" s="104" t="s">
        <v>3015</v>
      </c>
      <c r="J3375" s="70">
        <f>IFERROR(VLOOKUP(Devis[[#This Row],[Ref Air Flux]],#REF!,3,FALSE),0)</f>
        <v>0</v>
      </c>
      <c r="K3375" s="68"/>
      <c r="L3375" s="68"/>
      <c r="M3375" s="68"/>
      <c r="N3375" s="68"/>
      <c r="O3375" s="68"/>
      <c r="P3375" s="68"/>
      <c r="Q3375" s="68">
        <f>SUM(Devis[[#This Row],[Poste 1]:[Poste 6]])</f>
        <v>0</v>
      </c>
      <c r="R3375" s="71"/>
      <c r="S3375" s="68">
        <f>_xlfn.CEILING.MATH(Devis[[#This Row],[Quantité Totale]],Devis[[#This Row],[Conditionnement]])</f>
        <v>0</v>
      </c>
      <c r="T3375" s="72"/>
      <c r="U3375" s="73"/>
      <c r="V3375" s="74">
        <f>Devis[[#This Row],[Prix de Revient]]*Devis[[#This Row],[Poste 1]]</f>
        <v>0</v>
      </c>
      <c r="W3375" s="74">
        <f>Devis[[#This Row],[Prix de Revient]]*Devis[[#This Row],[Poste 2]]</f>
        <v>0</v>
      </c>
      <c r="X3375" s="74">
        <f>Devis[[#This Row],[Prix de Revient]]*Devis[[#This Row],[Poste 3]]</f>
        <v>0</v>
      </c>
      <c r="Y3375" s="74">
        <f>Devis[[#This Row],[Poste 4]]*Devis[[#This Row],[Prix de Revient]]</f>
        <v>0</v>
      </c>
      <c r="Z3375" s="74">
        <f>Devis[[#This Row],[Poste 5]]*Devis[[#This Row],[Prix de Revient]]</f>
        <v>0</v>
      </c>
      <c r="AA3375" s="74">
        <f>Devis[[#This Row],[Prix de Revient]]*Devis[[#This Row],[Poste 6]]</f>
        <v>0</v>
      </c>
      <c r="AB3375" s="74">
        <f>Devis[[#This Row],[Quantité Totale]]*Devis[[#This Row],[Prix de Revient]]</f>
        <v>0</v>
      </c>
    </row>
    <row r="3376" spans="1:28" ht="14.25" outlineLevel="1" x14ac:dyDescent="0.2">
      <c r="A3376" s="75" t="s">
        <v>2983</v>
      </c>
      <c r="B3376" s="76" t="s">
        <v>5150</v>
      </c>
      <c r="C3376" s="75" t="s">
        <v>5151</v>
      </c>
      <c r="D3376" s="81" t="str">
        <f t="shared" si="62"/>
        <v>TransairCoudes 90°FF90° FF</v>
      </c>
      <c r="E3376" s="104" t="s">
        <v>5115</v>
      </c>
      <c r="F3376" s="81">
        <v>4</v>
      </c>
      <c r="G3376" s="75">
        <v>66025000</v>
      </c>
      <c r="H3376" s="71" t="s">
        <v>3293</v>
      </c>
      <c r="I3376" s="75" t="s">
        <v>5152</v>
      </c>
      <c r="J3376" s="70">
        <f>IFERROR(VLOOKUP(Devis[[#This Row],[Ref Air Flux]],#REF!,3,FALSE),0)</f>
        <v>0</v>
      </c>
      <c r="K3376" s="68"/>
      <c r="L3376" s="68"/>
      <c r="M3376" s="68"/>
      <c r="N3376" s="68"/>
      <c r="O3376" s="68"/>
      <c r="P3376" s="68"/>
      <c r="Q3376" s="68">
        <f>SUM(Devis[[#This Row],[Poste 1]:[Poste 6]])</f>
        <v>0</v>
      </c>
      <c r="R3376" s="71"/>
      <c r="S3376" s="68">
        <f>_xlfn.CEILING.MATH(Devis[[#This Row],[Quantité Totale]],Devis[[#This Row],[Conditionnement]])</f>
        <v>0</v>
      </c>
      <c r="T3376" s="72"/>
      <c r="U3376" s="73"/>
      <c r="V3376" s="74">
        <f>Devis[[#This Row],[Prix de Revient]]*Devis[[#This Row],[Poste 1]]</f>
        <v>0</v>
      </c>
      <c r="W3376" s="74">
        <f>Devis[[#This Row],[Prix de Revient]]*Devis[[#This Row],[Poste 2]]</f>
        <v>0</v>
      </c>
      <c r="X3376" s="74">
        <f>Devis[[#This Row],[Prix de Revient]]*Devis[[#This Row],[Poste 3]]</f>
        <v>0</v>
      </c>
      <c r="Y3376" s="74">
        <f>Devis[[#This Row],[Poste 4]]*Devis[[#This Row],[Prix de Revient]]</f>
        <v>0</v>
      </c>
      <c r="Z3376" s="74">
        <f>Devis[[#This Row],[Poste 5]]*Devis[[#This Row],[Prix de Revient]]</f>
        <v>0</v>
      </c>
      <c r="AA3376" s="74">
        <f>Devis[[#This Row],[Prix de Revient]]*Devis[[#This Row],[Poste 6]]</f>
        <v>0</v>
      </c>
      <c r="AB3376" s="74">
        <f>Devis[[#This Row],[Quantité Totale]]*Devis[[#This Row],[Prix de Revient]]</f>
        <v>0</v>
      </c>
    </row>
    <row r="3377" spans="1:28" ht="15" customHeight="1" outlineLevel="1" x14ac:dyDescent="0.2">
      <c r="A3377" s="75" t="s">
        <v>2983</v>
      </c>
      <c r="B3377" s="76" t="s">
        <v>5150</v>
      </c>
      <c r="C3377" s="75" t="s">
        <v>5151</v>
      </c>
      <c r="D3377" s="81" t="str">
        <f t="shared" si="62"/>
        <v>TransairCoudes 90°FF90° FF</v>
      </c>
      <c r="E3377" s="104" t="s">
        <v>5117</v>
      </c>
      <c r="F3377" s="81">
        <v>5</v>
      </c>
      <c r="G3377" s="123">
        <v>66026300</v>
      </c>
      <c r="H3377" s="71" t="s">
        <v>3293</v>
      </c>
      <c r="I3377" s="104" t="s">
        <v>3016</v>
      </c>
      <c r="J3377" s="70">
        <f>IFERROR(VLOOKUP(Devis[[#This Row],[Ref Air Flux]],#REF!,3,FALSE),0)</f>
        <v>0</v>
      </c>
      <c r="K3377" s="68"/>
      <c r="L3377" s="68"/>
      <c r="M3377" s="68"/>
      <c r="N3377" s="68"/>
      <c r="O3377" s="68"/>
      <c r="P3377" s="68"/>
      <c r="Q3377" s="68">
        <f>SUM(Devis[[#This Row],[Poste 1]:[Poste 6]])</f>
        <v>0</v>
      </c>
      <c r="R3377" s="71"/>
      <c r="S3377" s="68">
        <f>_xlfn.CEILING.MATH(Devis[[#This Row],[Quantité Totale]],Devis[[#This Row],[Conditionnement]])</f>
        <v>0</v>
      </c>
      <c r="T3377" s="72"/>
      <c r="U3377" s="73"/>
      <c r="V3377" s="74">
        <f>Devis[[#This Row],[Prix de Revient]]*Devis[[#This Row],[Poste 1]]</f>
        <v>0</v>
      </c>
      <c r="W3377" s="74">
        <f>Devis[[#This Row],[Prix de Revient]]*Devis[[#This Row],[Poste 2]]</f>
        <v>0</v>
      </c>
      <c r="X3377" s="74">
        <f>Devis[[#This Row],[Prix de Revient]]*Devis[[#This Row],[Poste 3]]</f>
        <v>0</v>
      </c>
      <c r="Y3377" s="74">
        <f>Devis[[#This Row],[Poste 4]]*Devis[[#This Row],[Prix de Revient]]</f>
        <v>0</v>
      </c>
      <c r="Z3377" s="74">
        <f>Devis[[#This Row],[Poste 5]]*Devis[[#This Row],[Prix de Revient]]</f>
        <v>0</v>
      </c>
      <c r="AA3377" s="74">
        <f>Devis[[#This Row],[Prix de Revient]]*Devis[[#This Row],[Poste 6]]</f>
        <v>0</v>
      </c>
      <c r="AB3377" s="74">
        <f>Devis[[#This Row],[Quantité Totale]]*Devis[[#This Row],[Prix de Revient]]</f>
        <v>0</v>
      </c>
    </row>
    <row r="3378" spans="1:28" ht="14.25" customHeight="1" outlineLevel="1" x14ac:dyDescent="0.2">
      <c r="A3378" s="75" t="s">
        <v>2983</v>
      </c>
      <c r="B3378" s="76" t="s">
        <v>5150</v>
      </c>
      <c r="C3378" s="75" t="s">
        <v>5151</v>
      </c>
      <c r="D3378" s="81" t="str">
        <f t="shared" si="62"/>
        <v>TransairCoudes 90°FF90° FF</v>
      </c>
      <c r="E3378" s="104" t="s">
        <v>5146</v>
      </c>
      <c r="F3378" s="81">
        <v>6</v>
      </c>
      <c r="G3378" s="123" t="s">
        <v>3304</v>
      </c>
      <c r="H3378" s="71" t="s">
        <v>3293</v>
      </c>
      <c r="I3378" s="104" t="s">
        <v>3017</v>
      </c>
      <c r="J3378" s="70">
        <f>IFERROR(VLOOKUP(Devis[[#This Row],[Ref Air Flux]],#REF!,3,FALSE),0)</f>
        <v>0</v>
      </c>
      <c r="K3378" s="68"/>
      <c r="L3378" s="68"/>
      <c r="M3378" s="68"/>
      <c r="N3378" s="68"/>
      <c r="O3378" s="68"/>
      <c r="P3378" s="68"/>
      <c r="Q3378" s="68">
        <f>SUM(Devis[[#This Row],[Poste 1]:[Poste 6]])</f>
        <v>0</v>
      </c>
      <c r="R3378" s="71"/>
      <c r="S3378" s="68">
        <f>_xlfn.CEILING.MATH(Devis[[#This Row],[Quantité Totale]],Devis[[#This Row],[Conditionnement]])</f>
        <v>0</v>
      </c>
      <c r="T3378" s="72"/>
      <c r="U3378" s="73"/>
      <c r="V3378" s="74">
        <f>Devis[[#This Row],[Prix de Revient]]*Devis[[#This Row],[Poste 1]]</f>
        <v>0</v>
      </c>
      <c r="W3378" s="74">
        <f>Devis[[#This Row],[Prix de Revient]]*Devis[[#This Row],[Poste 2]]</f>
        <v>0</v>
      </c>
      <c r="X3378" s="74">
        <f>Devis[[#This Row],[Prix de Revient]]*Devis[[#This Row],[Poste 3]]</f>
        <v>0</v>
      </c>
      <c r="Y3378" s="74">
        <f>Devis[[#This Row],[Poste 4]]*Devis[[#This Row],[Prix de Revient]]</f>
        <v>0</v>
      </c>
      <c r="Z3378" s="74">
        <f>Devis[[#This Row],[Poste 5]]*Devis[[#This Row],[Prix de Revient]]</f>
        <v>0</v>
      </c>
      <c r="AA3378" s="74">
        <f>Devis[[#This Row],[Prix de Revient]]*Devis[[#This Row],[Poste 6]]</f>
        <v>0</v>
      </c>
      <c r="AB3378" s="74">
        <f>Devis[[#This Row],[Quantité Totale]]*Devis[[#This Row],[Prix de Revient]]</f>
        <v>0</v>
      </c>
    </row>
    <row r="3379" spans="1:28" ht="14.25" outlineLevel="1" x14ac:dyDescent="0.2">
      <c r="A3379" s="75" t="s">
        <v>2983</v>
      </c>
      <c r="B3379" s="76" t="s">
        <v>5150</v>
      </c>
      <c r="C3379" s="75" t="s">
        <v>5151</v>
      </c>
      <c r="D3379" s="81" t="str">
        <f t="shared" si="62"/>
        <v>TransairCoudes 90°FF90° FF</v>
      </c>
      <c r="E3379" s="104" t="s">
        <v>5153</v>
      </c>
      <c r="F3379" s="81">
        <v>7</v>
      </c>
      <c r="G3379" s="123" t="s">
        <v>3305</v>
      </c>
      <c r="H3379" s="71" t="s">
        <v>3293</v>
      </c>
      <c r="I3379" s="104" t="s">
        <v>3018</v>
      </c>
      <c r="J3379" s="70">
        <f>IFERROR(VLOOKUP(Devis[[#This Row],[Ref Air Flux]],#REF!,3,FALSE),0)</f>
        <v>0</v>
      </c>
      <c r="K3379" s="68"/>
      <c r="L3379" s="68"/>
      <c r="M3379" s="68"/>
      <c r="N3379" s="68"/>
      <c r="O3379" s="68"/>
      <c r="P3379" s="68"/>
      <c r="Q3379" s="68">
        <f>SUM(Devis[[#This Row],[Poste 1]:[Poste 6]])</f>
        <v>0</v>
      </c>
      <c r="R3379" s="71"/>
      <c r="S3379" s="68">
        <f>_xlfn.CEILING.MATH(Devis[[#This Row],[Quantité Totale]],Devis[[#This Row],[Conditionnement]])</f>
        <v>0</v>
      </c>
      <c r="T3379" s="72"/>
      <c r="U3379" s="73"/>
      <c r="V3379" s="74">
        <f>Devis[[#This Row],[Prix de Revient]]*Devis[[#This Row],[Poste 1]]</f>
        <v>0</v>
      </c>
      <c r="W3379" s="74">
        <f>Devis[[#This Row],[Prix de Revient]]*Devis[[#This Row],[Poste 2]]</f>
        <v>0</v>
      </c>
      <c r="X3379" s="74">
        <f>Devis[[#This Row],[Prix de Revient]]*Devis[[#This Row],[Poste 3]]</f>
        <v>0</v>
      </c>
      <c r="Y3379" s="74">
        <f>Devis[[#This Row],[Poste 4]]*Devis[[#This Row],[Prix de Revient]]</f>
        <v>0</v>
      </c>
      <c r="Z3379" s="74">
        <f>Devis[[#This Row],[Poste 5]]*Devis[[#This Row],[Prix de Revient]]</f>
        <v>0</v>
      </c>
      <c r="AA3379" s="74">
        <f>Devis[[#This Row],[Prix de Revient]]*Devis[[#This Row],[Poste 6]]</f>
        <v>0</v>
      </c>
      <c r="AB3379" s="74">
        <f>Devis[[#This Row],[Quantité Totale]]*Devis[[#This Row],[Prix de Revient]]</f>
        <v>0</v>
      </c>
    </row>
    <row r="3380" spans="1:28" ht="15" customHeight="1" outlineLevel="1" x14ac:dyDescent="0.2">
      <c r="A3380" s="75" t="s">
        <v>2983</v>
      </c>
      <c r="B3380" s="76" t="s">
        <v>5150</v>
      </c>
      <c r="C3380" s="75" t="s">
        <v>5151</v>
      </c>
      <c r="D3380" s="81" t="str">
        <f t="shared" si="62"/>
        <v>TransairCoudes 90°FF90° FF</v>
      </c>
      <c r="E3380" s="104" t="s">
        <v>5154</v>
      </c>
      <c r="F3380" s="81">
        <v>8</v>
      </c>
      <c r="G3380" s="123" t="s">
        <v>3306</v>
      </c>
      <c r="H3380" s="71" t="s">
        <v>3293</v>
      </c>
      <c r="I3380" s="104" t="s">
        <v>3019</v>
      </c>
      <c r="J3380" s="70">
        <f>IFERROR(VLOOKUP(Devis[[#This Row],[Ref Air Flux]],#REF!,3,FALSE),0)</f>
        <v>0</v>
      </c>
      <c r="K3380" s="68"/>
      <c r="L3380" s="68"/>
      <c r="M3380" s="68"/>
      <c r="N3380" s="68"/>
      <c r="O3380" s="68"/>
      <c r="P3380" s="68"/>
      <c r="Q3380" s="68">
        <f>SUM(Devis[[#This Row],[Poste 1]:[Poste 6]])</f>
        <v>0</v>
      </c>
      <c r="R3380" s="71"/>
      <c r="S3380" s="68">
        <f>_xlfn.CEILING.MATH(Devis[[#This Row],[Quantité Totale]],Devis[[#This Row],[Conditionnement]])</f>
        <v>0</v>
      </c>
      <c r="T3380" s="72"/>
      <c r="U3380" s="73"/>
      <c r="V3380" s="74">
        <f>Devis[[#This Row],[Prix de Revient]]*Devis[[#This Row],[Poste 1]]</f>
        <v>0</v>
      </c>
      <c r="W3380" s="74">
        <f>Devis[[#This Row],[Prix de Revient]]*Devis[[#This Row],[Poste 2]]</f>
        <v>0</v>
      </c>
      <c r="X3380" s="74">
        <f>Devis[[#This Row],[Prix de Revient]]*Devis[[#This Row],[Poste 3]]</f>
        <v>0</v>
      </c>
      <c r="Y3380" s="74">
        <f>Devis[[#This Row],[Poste 4]]*Devis[[#This Row],[Prix de Revient]]</f>
        <v>0</v>
      </c>
      <c r="Z3380" s="74">
        <f>Devis[[#This Row],[Poste 5]]*Devis[[#This Row],[Prix de Revient]]</f>
        <v>0</v>
      </c>
      <c r="AA3380" s="74">
        <f>Devis[[#This Row],[Prix de Revient]]*Devis[[#This Row],[Poste 6]]</f>
        <v>0</v>
      </c>
      <c r="AB3380" s="74">
        <f>Devis[[#This Row],[Quantité Totale]]*Devis[[#This Row],[Prix de Revient]]</f>
        <v>0</v>
      </c>
    </row>
    <row r="3381" spans="1:28" ht="14.25" customHeight="1" outlineLevel="1" x14ac:dyDescent="0.25">
      <c r="A3381" s="65" t="s">
        <v>2983</v>
      </c>
      <c r="B3381" s="65" t="s">
        <v>5170</v>
      </c>
      <c r="C3381" s="76"/>
      <c r="D3381" s="81" t="str">
        <f t="shared" si="62"/>
        <v>TransairEtanchéité</v>
      </c>
      <c r="E3381" s="76"/>
      <c r="F3381" s="81">
        <v>0</v>
      </c>
      <c r="G3381" s="71"/>
      <c r="H3381" s="71"/>
      <c r="I3381" s="71"/>
      <c r="J3381" s="70">
        <f>IFERROR(VLOOKUP(Devis[[#This Row],[Ref Air Flux]],#REF!,3,FALSE),0)</f>
        <v>0</v>
      </c>
      <c r="K3381" s="68"/>
      <c r="L3381" s="68"/>
      <c r="M3381" s="68"/>
      <c r="N3381" s="68"/>
      <c r="O3381" s="68"/>
      <c r="P3381" s="68"/>
      <c r="Q3381" s="68">
        <f>SUM(Devis[[#This Row],[Poste 1]:[Poste 6]])</f>
        <v>0</v>
      </c>
      <c r="R3381" s="71"/>
      <c r="S3381" s="68">
        <f>_xlfn.CEILING.MATH(Devis[[#This Row],[Quantité Totale]],Devis[[#This Row],[Conditionnement]])</f>
        <v>0</v>
      </c>
      <c r="T3381" s="72"/>
      <c r="U3381" s="73"/>
      <c r="V3381" s="74">
        <f>Devis[[#This Row],[Prix de Revient]]*Devis[[#This Row],[Poste 1]]</f>
        <v>0</v>
      </c>
      <c r="W3381" s="74">
        <f>Devis[[#This Row],[Prix de Revient]]*Devis[[#This Row],[Poste 2]]</f>
        <v>0</v>
      </c>
      <c r="X3381" s="74">
        <f>Devis[[#This Row],[Prix de Revient]]*Devis[[#This Row],[Poste 3]]</f>
        <v>0</v>
      </c>
      <c r="Y3381" s="74">
        <f>Devis[[#This Row],[Poste 4]]*Devis[[#This Row],[Prix de Revient]]</f>
        <v>0</v>
      </c>
      <c r="Z3381" s="74">
        <f>Devis[[#This Row],[Poste 5]]*Devis[[#This Row],[Prix de Revient]]</f>
        <v>0</v>
      </c>
      <c r="AA3381" s="74">
        <f>Devis[[#This Row],[Prix de Revient]]*Devis[[#This Row],[Poste 6]]</f>
        <v>0</v>
      </c>
      <c r="AB3381" s="74">
        <f>Devis[[#This Row],[Quantité Totale]]*Devis[[#This Row],[Prix de Revient]]</f>
        <v>0</v>
      </c>
    </row>
    <row r="3382" spans="1:28" ht="14.25" outlineLevel="1" x14ac:dyDescent="0.2">
      <c r="A3382" s="75" t="s">
        <v>2983</v>
      </c>
      <c r="B3382" s="76" t="s">
        <v>5170</v>
      </c>
      <c r="C3382" s="75" t="s">
        <v>5171</v>
      </c>
      <c r="D3382" s="81" t="str">
        <f t="shared" si="62"/>
        <v>TransairEtanchéitéJoints</v>
      </c>
      <c r="E3382" s="104" t="s">
        <v>2997</v>
      </c>
      <c r="F3382" s="81">
        <v>1</v>
      </c>
      <c r="G3382" s="123" t="s">
        <v>3298</v>
      </c>
      <c r="H3382" s="71" t="s">
        <v>3293</v>
      </c>
      <c r="I3382" s="104" t="s">
        <v>2996</v>
      </c>
      <c r="J3382" s="70">
        <f>IFERROR(VLOOKUP(Devis[[#This Row],[Ref Air Flux]],#REF!,3,FALSE),0)</f>
        <v>0</v>
      </c>
      <c r="K3382" s="68"/>
      <c r="L3382" s="68"/>
      <c r="M3382" s="68"/>
      <c r="N3382" s="68"/>
      <c r="O3382" s="68"/>
      <c r="P3382" s="68"/>
      <c r="Q3382" s="68">
        <f>SUM(Devis[[#This Row],[Poste 1]:[Poste 6]])</f>
        <v>0</v>
      </c>
      <c r="R3382" s="71"/>
      <c r="S3382" s="68">
        <f>_xlfn.CEILING.MATH(Devis[[#This Row],[Quantité Totale]],Devis[[#This Row],[Conditionnement]])</f>
        <v>0</v>
      </c>
      <c r="T3382" s="72"/>
      <c r="U3382" s="73"/>
      <c r="V3382" s="74">
        <f>Devis[[#This Row],[Prix de Revient]]*Devis[[#This Row],[Poste 1]]</f>
        <v>0</v>
      </c>
      <c r="W3382" s="74">
        <f>Devis[[#This Row],[Prix de Revient]]*Devis[[#This Row],[Poste 2]]</f>
        <v>0</v>
      </c>
      <c r="X3382" s="74">
        <f>Devis[[#This Row],[Prix de Revient]]*Devis[[#This Row],[Poste 3]]</f>
        <v>0</v>
      </c>
      <c r="Y3382" s="74">
        <f>Devis[[#This Row],[Poste 4]]*Devis[[#This Row],[Prix de Revient]]</f>
        <v>0</v>
      </c>
      <c r="Z3382" s="74">
        <f>Devis[[#This Row],[Poste 5]]*Devis[[#This Row],[Prix de Revient]]</f>
        <v>0</v>
      </c>
      <c r="AA3382" s="74">
        <f>Devis[[#This Row],[Prix de Revient]]*Devis[[#This Row],[Poste 6]]</f>
        <v>0</v>
      </c>
      <c r="AB3382" s="74">
        <f>Devis[[#This Row],[Quantité Totale]]*Devis[[#This Row],[Prix de Revient]]</f>
        <v>0</v>
      </c>
    </row>
    <row r="3383" spans="1:28" ht="14.25" customHeight="1" x14ac:dyDescent="0.25">
      <c r="A3383" s="65" t="s">
        <v>2983</v>
      </c>
      <c r="B3383" s="65" t="s">
        <v>5172</v>
      </c>
      <c r="C3383" s="76"/>
      <c r="D3383" s="81" t="str">
        <f t="shared" si="62"/>
        <v>TransairManchons FF</v>
      </c>
      <c r="E3383" s="76"/>
      <c r="F3383" s="81">
        <v>0</v>
      </c>
      <c r="G3383" s="71"/>
      <c r="H3383" s="71"/>
      <c r="I3383" s="71"/>
      <c r="J3383" s="70">
        <f>IFERROR(VLOOKUP(Devis[[#This Row],[Ref Air Flux]],#REF!,3,FALSE),0)</f>
        <v>0</v>
      </c>
      <c r="K3383" s="68"/>
      <c r="L3383" s="68"/>
      <c r="M3383" s="68"/>
      <c r="N3383" s="68"/>
      <c r="O3383" s="68"/>
      <c r="P3383" s="68"/>
      <c r="Q3383" s="68">
        <f>SUM(Devis[[#This Row],[Poste 1]:[Poste 6]])</f>
        <v>0</v>
      </c>
      <c r="R3383" s="71"/>
      <c r="S3383" s="68">
        <f>_xlfn.CEILING.MATH(Devis[[#This Row],[Quantité Totale]],Devis[[#This Row],[Conditionnement]])</f>
        <v>0</v>
      </c>
      <c r="T3383" s="72"/>
      <c r="U3383" s="73"/>
      <c r="V3383" s="74">
        <f>Devis[[#This Row],[Prix de Revient]]*Devis[[#This Row],[Poste 1]]</f>
        <v>0</v>
      </c>
      <c r="W3383" s="74">
        <f>Devis[[#This Row],[Prix de Revient]]*Devis[[#This Row],[Poste 2]]</f>
        <v>0</v>
      </c>
      <c r="X3383" s="74">
        <f>Devis[[#This Row],[Prix de Revient]]*Devis[[#This Row],[Poste 3]]</f>
        <v>0</v>
      </c>
      <c r="Y3383" s="74">
        <f>Devis[[#This Row],[Poste 4]]*Devis[[#This Row],[Prix de Revient]]</f>
        <v>0</v>
      </c>
      <c r="Z3383" s="74">
        <f>Devis[[#This Row],[Poste 5]]*Devis[[#This Row],[Prix de Revient]]</f>
        <v>0</v>
      </c>
      <c r="AA3383" s="74">
        <f>Devis[[#This Row],[Prix de Revient]]*Devis[[#This Row],[Poste 6]]</f>
        <v>0</v>
      </c>
      <c r="AB3383" s="74">
        <f>Devis[[#This Row],[Quantité Totale]]*Devis[[#This Row],[Prix de Revient]]</f>
        <v>0</v>
      </c>
    </row>
    <row r="3384" spans="1:28" ht="14.25" outlineLevel="1" x14ac:dyDescent="0.2">
      <c r="A3384" s="75" t="s">
        <v>2983</v>
      </c>
      <c r="B3384" s="76" t="s">
        <v>5172</v>
      </c>
      <c r="C3384" s="75" t="s">
        <v>2691</v>
      </c>
      <c r="D3384" s="81" t="str">
        <f t="shared" si="62"/>
        <v>TransairManchons FFFF</v>
      </c>
      <c r="E3384" s="104" t="s">
        <v>5112</v>
      </c>
      <c r="F3384" s="81">
        <v>1</v>
      </c>
      <c r="G3384" s="123">
        <v>66061700</v>
      </c>
      <c r="H3384" s="71" t="s">
        <v>3293</v>
      </c>
      <c r="I3384" s="104" t="s">
        <v>3042</v>
      </c>
      <c r="J3384" s="70">
        <f>IFERROR(VLOOKUP(Devis[[#This Row],[Ref Air Flux]],#REF!,3,FALSE),0)</f>
        <v>0</v>
      </c>
      <c r="K3384" s="68"/>
      <c r="L3384" s="68"/>
      <c r="M3384" s="68"/>
      <c r="N3384" s="68"/>
      <c r="O3384" s="68"/>
      <c r="P3384" s="68"/>
      <c r="Q3384" s="68">
        <f>SUM(Devis[[#This Row],[Poste 1]:[Poste 6]])</f>
        <v>0</v>
      </c>
      <c r="R3384" s="71"/>
      <c r="S3384" s="68">
        <f>_xlfn.CEILING.MATH(Devis[[#This Row],[Quantité Totale]],Devis[[#This Row],[Conditionnement]])</f>
        <v>0</v>
      </c>
      <c r="T3384" s="72"/>
      <c r="U3384" s="73"/>
      <c r="V3384" s="74">
        <f>Devis[[#This Row],[Prix de Revient]]*Devis[[#This Row],[Poste 1]]</f>
        <v>0</v>
      </c>
      <c r="W3384" s="74">
        <f>Devis[[#This Row],[Prix de Revient]]*Devis[[#This Row],[Poste 2]]</f>
        <v>0</v>
      </c>
      <c r="X3384" s="74">
        <f>Devis[[#This Row],[Prix de Revient]]*Devis[[#This Row],[Poste 3]]</f>
        <v>0</v>
      </c>
      <c r="Y3384" s="74">
        <f>Devis[[#This Row],[Poste 4]]*Devis[[#This Row],[Prix de Revient]]</f>
        <v>0</v>
      </c>
      <c r="Z3384" s="74">
        <f>Devis[[#This Row],[Poste 5]]*Devis[[#This Row],[Prix de Revient]]</f>
        <v>0</v>
      </c>
      <c r="AA3384" s="74">
        <f>Devis[[#This Row],[Prix de Revient]]*Devis[[#This Row],[Poste 6]]</f>
        <v>0</v>
      </c>
      <c r="AB3384" s="74">
        <f>Devis[[#This Row],[Quantité Totale]]*Devis[[#This Row],[Prix de Revient]]</f>
        <v>0</v>
      </c>
    </row>
    <row r="3385" spans="1:28" ht="14.25" outlineLevel="1" x14ac:dyDescent="0.2">
      <c r="A3385" s="75" t="s">
        <v>2983</v>
      </c>
      <c r="B3385" s="76" t="s">
        <v>5172</v>
      </c>
      <c r="C3385" s="75" t="s">
        <v>2691</v>
      </c>
      <c r="D3385" s="81" t="str">
        <f t="shared" si="62"/>
        <v>TransairManchons FFFF</v>
      </c>
      <c r="E3385" s="104" t="s">
        <v>5113</v>
      </c>
      <c r="F3385" s="81">
        <v>2</v>
      </c>
      <c r="G3385" s="123">
        <v>66062500</v>
      </c>
      <c r="H3385" s="71" t="s">
        <v>3293</v>
      </c>
      <c r="I3385" s="104" t="s">
        <v>3043</v>
      </c>
      <c r="J3385" s="70">
        <f>IFERROR(VLOOKUP(Devis[[#This Row],[Ref Air Flux]],#REF!,3,FALSE),0)</f>
        <v>0</v>
      </c>
      <c r="K3385" s="68"/>
      <c r="L3385" s="68"/>
      <c r="M3385" s="68"/>
      <c r="N3385" s="68"/>
      <c r="O3385" s="68"/>
      <c r="P3385" s="68"/>
      <c r="Q3385" s="68">
        <f>SUM(Devis[[#This Row],[Poste 1]:[Poste 6]])</f>
        <v>0</v>
      </c>
      <c r="R3385" s="71"/>
      <c r="S3385" s="68">
        <f>_xlfn.CEILING.MATH(Devis[[#This Row],[Quantité Totale]],Devis[[#This Row],[Conditionnement]])</f>
        <v>0</v>
      </c>
      <c r="T3385" s="72"/>
      <c r="U3385" s="73"/>
      <c r="V3385" s="74">
        <f>Devis[[#This Row],[Prix de Revient]]*Devis[[#This Row],[Poste 1]]</f>
        <v>0</v>
      </c>
      <c r="W3385" s="74">
        <f>Devis[[#This Row],[Prix de Revient]]*Devis[[#This Row],[Poste 2]]</f>
        <v>0</v>
      </c>
      <c r="X3385" s="74">
        <f>Devis[[#This Row],[Prix de Revient]]*Devis[[#This Row],[Poste 3]]</f>
        <v>0</v>
      </c>
      <c r="Y3385" s="74">
        <f>Devis[[#This Row],[Poste 4]]*Devis[[#This Row],[Prix de Revient]]</f>
        <v>0</v>
      </c>
      <c r="Z3385" s="74">
        <f>Devis[[#This Row],[Poste 5]]*Devis[[#This Row],[Prix de Revient]]</f>
        <v>0</v>
      </c>
      <c r="AA3385" s="74">
        <f>Devis[[#This Row],[Prix de Revient]]*Devis[[#This Row],[Poste 6]]</f>
        <v>0</v>
      </c>
      <c r="AB3385" s="74">
        <f>Devis[[#This Row],[Quantité Totale]]*Devis[[#This Row],[Prix de Revient]]</f>
        <v>0</v>
      </c>
    </row>
    <row r="3386" spans="1:28" ht="14.25" outlineLevel="1" x14ac:dyDescent="0.2">
      <c r="A3386" s="75" t="s">
        <v>2983</v>
      </c>
      <c r="B3386" s="76" t="s">
        <v>5172</v>
      </c>
      <c r="C3386" s="75" t="s">
        <v>2691</v>
      </c>
      <c r="D3386" s="81" t="str">
        <f t="shared" si="62"/>
        <v>TransairManchons FFFF</v>
      </c>
      <c r="E3386" s="104" t="s">
        <v>3049</v>
      </c>
      <c r="F3386" s="81">
        <v>3</v>
      </c>
      <c r="G3386" s="123">
        <v>66762500</v>
      </c>
      <c r="H3386" s="71" t="s">
        <v>3293</v>
      </c>
      <c r="I3386" s="104" t="s">
        <v>3050</v>
      </c>
      <c r="J3386" s="70">
        <f>IFERROR(VLOOKUP(Devis[[#This Row],[Ref Air Flux]],#REF!,3,FALSE),0)</f>
        <v>0</v>
      </c>
      <c r="K3386" s="68"/>
      <c r="L3386" s="68"/>
      <c r="M3386" s="68"/>
      <c r="N3386" s="68"/>
      <c r="O3386" s="68"/>
      <c r="P3386" s="68"/>
      <c r="Q3386" s="68">
        <f>SUM(Devis[[#This Row],[Poste 1]:[Poste 6]])</f>
        <v>0</v>
      </c>
      <c r="R3386" s="71"/>
      <c r="S3386" s="68">
        <f>_xlfn.CEILING.MATH(Devis[[#This Row],[Quantité Totale]],Devis[[#This Row],[Conditionnement]])</f>
        <v>0</v>
      </c>
      <c r="T3386" s="72"/>
      <c r="U3386" s="73"/>
      <c r="V3386" s="74">
        <f>Devis[[#This Row],[Prix de Revient]]*Devis[[#This Row],[Poste 1]]</f>
        <v>0</v>
      </c>
      <c r="W3386" s="74">
        <f>Devis[[#This Row],[Prix de Revient]]*Devis[[#This Row],[Poste 2]]</f>
        <v>0</v>
      </c>
      <c r="X3386" s="74">
        <f>Devis[[#This Row],[Prix de Revient]]*Devis[[#This Row],[Poste 3]]</f>
        <v>0</v>
      </c>
      <c r="Y3386" s="74">
        <f>Devis[[#This Row],[Poste 4]]*Devis[[#This Row],[Prix de Revient]]</f>
        <v>0</v>
      </c>
      <c r="Z3386" s="74">
        <f>Devis[[#This Row],[Poste 5]]*Devis[[#This Row],[Prix de Revient]]</f>
        <v>0</v>
      </c>
      <c r="AA3386" s="74">
        <f>Devis[[#This Row],[Prix de Revient]]*Devis[[#This Row],[Poste 6]]</f>
        <v>0</v>
      </c>
      <c r="AB3386" s="74">
        <f>Devis[[#This Row],[Quantité Totale]]*Devis[[#This Row],[Prix de Revient]]</f>
        <v>0</v>
      </c>
    </row>
    <row r="3387" spans="1:28" ht="14.25" customHeight="1" outlineLevel="1" x14ac:dyDescent="0.2">
      <c r="A3387" s="75" t="s">
        <v>2983</v>
      </c>
      <c r="B3387" s="76" t="s">
        <v>5172</v>
      </c>
      <c r="C3387" s="75" t="s">
        <v>2691</v>
      </c>
      <c r="D3387" s="81" t="str">
        <f t="shared" si="62"/>
        <v>TransairManchons FFFF</v>
      </c>
      <c r="E3387" s="104" t="s">
        <v>5114</v>
      </c>
      <c r="F3387" s="81">
        <v>4</v>
      </c>
      <c r="G3387" s="123">
        <v>66064000</v>
      </c>
      <c r="H3387" s="71" t="s">
        <v>3293</v>
      </c>
      <c r="I3387" s="104" t="s">
        <v>3044</v>
      </c>
      <c r="J3387" s="70">
        <f>IFERROR(VLOOKUP(Devis[[#This Row],[Ref Air Flux]],#REF!,3,FALSE),0)</f>
        <v>0</v>
      </c>
      <c r="K3387" s="68"/>
      <c r="L3387" s="68"/>
      <c r="M3387" s="68"/>
      <c r="N3387" s="68"/>
      <c r="O3387" s="68"/>
      <c r="P3387" s="68"/>
      <c r="Q3387" s="68">
        <f>SUM(Devis[[#This Row],[Poste 1]:[Poste 6]])</f>
        <v>0</v>
      </c>
      <c r="R3387" s="71"/>
      <c r="S3387" s="68">
        <f>_xlfn.CEILING.MATH(Devis[[#This Row],[Quantité Totale]],Devis[[#This Row],[Conditionnement]])</f>
        <v>0</v>
      </c>
      <c r="T3387" s="72"/>
      <c r="U3387" s="73"/>
      <c r="V3387" s="74">
        <f>Devis[[#This Row],[Prix de Revient]]*Devis[[#This Row],[Poste 1]]</f>
        <v>0</v>
      </c>
      <c r="W3387" s="74">
        <f>Devis[[#This Row],[Prix de Revient]]*Devis[[#This Row],[Poste 2]]</f>
        <v>0</v>
      </c>
      <c r="X3387" s="74">
        <f>Devis[[#This Row],[Prix de Revient]]*Devis[[#This Row],[Poste 3]]</f>
        <v>0</v>
      </c>
      <c r="Y3387" s="74">
        <f>Devis[[#This Row],[Poste 4]]*Devis[[#This Row],[Prix de Revient]]</f>
        <v>0</v>
      </c>
      <c r="Z3387" s="74">
        <f>Devis[[#This Row],[Poste 5]]*Devis[[#This Row],[Prix de Revient]]</f>
        <v>0</v>
      </c>
      <c r="AA3387" s="74">
        <f>Devis[[#This Row],[Prix de Revient]]*Devis[[#This Row],[Poste 6]]</f>
        <v>0</v>
      </c>
      <c r="AB3387" s="74">
        <f>Devis[[#This Row],[Quantité Totale]]*Devis[[#This Row],[Prix de Revient]]</f>
        <v>0</v>
      </c>
    </row>
    <row r="3388" spans="1:28" ht="14.25" outlineLevel="1" x14ac:dyDescent="0.2">
      <c r="A3388" s="75" t="s">
        <v>2983</v>
      </c>
      <c r="B3388" s="76" t="s">
        <v>5172</v>
      </c>
      <c r="C3388" s="75" t="s">
        <v>2691</v>
      </c>
      <c r="D3388" s="81" t="str">
        <f t="shared" si="62"/>
        <v>TransairManchons FFFF</v>
      </c>
      <c r="E3388" s="104" t="s">
        <v>3051</v>
      </c>
      <c r="F3388" s="81">
        <v>5</v>
      </c>
      <c r="G3388" s="123">
        <v>66764000</v>
      </c>
      <c r="H3388" s="71" t="s">
        <v>3293</v>
      </c>
      <c r="I3388" s="104" t="s">
        <v>3052</v>
      </c>
      <c r="J3388" s="70">
        <f>IFERROR(VLOOKUP(Devis[[#This Row],[Ref Air Flux]],#REF!,3,FALSE),0)</f>
        <v>0</v>
      </c>
      <c r="K3388" s="68"/>
      <c r="L3388" s="68"/>
      <c r="M3388" s="68"/>
      <c r="N3388" s="68"/>
      <c r="O3388" s="68"/>
      <c r="P3388" s="68"/>
      <c r="Q3388" s="68">
        <f>SUM(Devis[[#This Row],[Poste 1]:[Poste 6]])</f>
        <v>0</v>
      </c>
      <c r="R3388" s="71"/>
      <c r="S3388" s="68">
        <f>_xlfn.CEILING.MATH(Devis[[#This Row],[Quantité Totale]],Devis[[#This Row],[Conditionnement]])</f>
        <v>0</v>
      </c>
      <c r="T3388" s="72"/>
      <c r="U3388" s="73"/>
      <c r="V3388" s="74">
        <f>Devis[[#This Row],[Prix de Revient]]*Devis[[#This Row],[Poste 1]]</f>
        <v>0</v>
      </c>
      <c r="W3388" s="74">
        <f>Devis[[#This Row],[Prix de Revient]]*Devis[[#This Row],[Poste 2]]</f>
        <v>0</v>
      </c>
      <c r="X3388" s="74">
        <f>Devis[[#This Row],[Prix de Revient]]*Devis[[#This Row],[Poste 3]]</f>
        <v>0</v>
      </c>
      <c r="Y3388" s="74">
        <f>Devis[[#This Row],[Poste 4]]*Devis[[#This Row],[Prix de Revient]]</f>
        <v>0</v>
      </c>
      <c r="Z3388" s="74">
        <f>Devis[[#This Row],[Poste 5]]*Devis[[#This Row],[Prix de Revient]]</f>
        <v>0</v>
      </c>
      <c r="AA3388" s="74">
        <f>Devis[[#This Row],[Prix de Revient]]*Devis[[#This Row],[Poste 6]]</f>
        <v>0</v>
      </c>
      <c r="AB3388" s="74">
        <f>Devis[[#This Row],[Quantité Totale]]*Devis[[#This Row],[Prix de Revient]]</f>
        <v>0</v>
      </c>
    </row>
    <row r="3389" spans="1:28" ht="14.25" customHeight="1" outlineLevel="1" x14ac:dyDescent="0.2">
      <c r="A3389" s="75" t="s">
        <v>2983</v>
      </c>
      <c r="B3389" s="76" t="s">
        <v>5172</v>
      </c>
      <c r="C3389" s="75" t="s">
        <v>2691</v>
      </c>
      <c r="D3389" s="81" t="str">
        <f t="shared" si="62"/>
        <v>TransairManchons FFFF</v>
      </c>
      <c r="E3389" s="104" t="s">
        <v>5115</v>
      </c>
      <c r="F3389" s="81">
        <v>6</v>
      </c>
      <c r="G3389" s="123">
        <v>66765000</v>
      </c>
      <c r="H3389" s="71" t="s">
        <v>3293</v>
      </c>
      <c r="I3389" s="104" t="s">
        <v>5173</v>
      </c>
      <c r="J3389" s="70">
        <f>IFERROR(VLOOKUP(Devis[[#This Row],[Ref Air Flux]],#REF!,3,FALSE),0)</f>
        <v>0</v>
      </c>
      <c r="K3389" s="68"/>
      <c r="L3389" s="68"/>
      <c r="M3389" s="68"/>
      <c r="N3389" s="68"/>
      <c r="O3389" s="68"/>
      <c r="P3389" s="68"/>
      <c r="Q3389" s="68">
        <f>SUM(Devis[[#This Row],[Poste 1]:[Poste 6]])</f>
        <v>0</v>
      </c>
      <c r="R3389" s="71"/>
      <c r="S3389" s="68">
        <f>_xlfn.CEILING.MATH(Devis[[#This Row],[Quantité Totale]],Devis[[#This Row],[Conditionnement]])</f>
        <v>0</v>
      </c>
      <c r="T3389" s="72"/>
      <c r="U3389" s="73"/>
      <c r="V3389" s="74">
        <f>Devis[[#This Row],[Prix de Revient]]*Devis[[#This Row],[Poste 1]]</f>
        <v>0</v>
      </c>
      <c r="W3389" s="74">
        <f>Devis[[#This Row],[Prix de Revient]]*Devis[[#This Row],[Poste 2]]</f>
        <v>0</v>
      </c>
      <c r="X3389" s="74">
        <f>Devis[[#This Row],[Prix de Revient]]*Devis[[#This Row],[Poste 3]]</f>
        <v>0</v>
      </c>
      <c r="Y3389" s="74">
        <f>Devis[[#This Row],[Poste 4]]*Devis[[#This Row],[Prix de Revient]]</f>
        <v>0</v>
      </c>
      <c r="Z3389" s="74">
        <f>Devis[[#This Row],[Poste 5]]*Devis[[#This Row],[Prix de Revient]]</f>
        <v>0</v>
      </c>
      <c r="AA3389" s="74">
        <f>Devis[[#This Row],[Prix de Revient]]*Devis[[#This Row],[Poste 6]]</f>
        <v>0</v>
      </c>
      <c r="AB3389" s="74">
        <f>Devis[[#This Row],[Quantité Totale]]*Devis[[#This Row],[Prix de Revient]]</f>
        <v>0</v>
      </c>
    </row>
    <row r="3390" spans="1:28" ht="14.25" outlineLevel="1" x14ac:dyDescent="0.2">
      <c r="A3390" s="75" t="s">
        <v>2983</v>
      </c>
      <c r="B3390" s="76" t="s">
        <v>5172</v>
      </c>
      <c r="C3390" s="75" t="s">
        <v>2691</v>
      </c>
      <c r="D3390" s="81" t="str">
        <f t="shared" si="62"/>
        <v>TransairManchons FFFF</v>
      </c>
      <c r="E3390" s="104" t="s">
        <v>5117</v>
      </c>
      <c r="F3390" s="81">
        <v>7</v>
      </c>
      <c r="G3390" s="123">
        <v>66066300</v>
      </c>
      <c r="H3390" s="71" t="s">
        <v>3293</v>
      </c>
      <c r="I3390" s="104" t="s">
        <v>3045</v>
      </c>
      <c r="J3390" s="70">
        <f>IFERROR(VLOOKUP(Devis[[#This Row],[Ref Air Flux]],#REF!,3,FALSE),0)</f>
        <v>0</v>
      </c>
      <c r="K3390" s="68"/>
      <c r="L3390" s="68"/>
      <c r="M3390" s="68"/>
      <c r="N3390" s="68"/>
      <c r="O3390" s="68"/>
      <c r="P3390" s="68"/>
      <c r="Q3390" s="68">
        <f>SUM(Devis[[#This Row],[Poste 1]:[Poste 6]])</f>
        <v>0</v>
      </c>
      <c r="R3390" s="71"/>
      <c r="S3390" s="68">
        <f>_xlfn.CEILING.MATH(Devis[[#This Row],[Quantité Totale]],Devis[[#This Row],[Conditionnement]])</f>
        <v>0</v>
      </c>
      <c r="T3390" s="72"/>
      <c r="U3390" s="73"/>
      <c r="V3390" s="74">
        <f>Devis[[#This Row],[Prix de Revient]]*Devis[[#This Row],[Poste 1]]</f>
        <v>0</v>
      </c>
      <c r="W3390" s="74">
        <f>Devis[[#This Row],[Prix de Revient]]*Devis[[#This Row],[Poste 2]]</f>
        <v>0</v>
      </c>
      <c r="X3390" s="74">
        <f>Devis[[#This Row],[Prix de Revient]]*Devis[[#This Row],[Poste 3]]</f>
        <v>0</v>
      </c>
      <c r="Y3390" s="74">
        <f>Devis[[#This Row],[Poste 4]]*Devis[[#This Row],[Prix de Revient]]</f>
        <v>0</v>
      </c>
      <c r="Z3390" s="74">
        <f>Devis[[#This Row],[Poste 5]]*Devis[[#This Row],[Prix de Revient]]</f>
        <v>0</v>
      </c>
      <c r="AA3390" s="74">
        <f>Devis[[#This Row],[Prix de Revient]]*Devis[[#This Row],[Poste 6]]</f>
        <v>0</v>
      </c>
      <c r="AB3390" s="74">
        <f>Devis[[#This Row],[Quantité Totale]]*Devis[[#This Row],[Prix de Revient]]</f>
        <v>0</v>
      </c>
    </row>
    <row r="3391" spans="1:28" ht="14.25" outlineLevel="1" x14ac:dyDescent="0.2">
      <c r="A3391" s="75" t="s">
        <v>2983</v>
      </c>
      <c r="B3391" s="76" t="s">
        <v>5172</v>
      </c>
      <c r="C3391" s="75" t="s">
        <v>2691</v>
      </c>
      <c r="D3391" s="81" t="str">
        <f t="shared" si="62"/>
        <v>TransairManchons FFFF</v>
      </c>
      <c r="E3391" s="104" t="s">
        <v>3053</v>
      </c>
      <c r="F3391" s="81">
        <v>8</v>
      </c>
      <c r="G3391" s="123">
        <v>66766300</v>
      </c>
      <c r="H3391" s="71" t="s">
        <v>3293</v>
      </c>
      <c r="I3391" s="104" t="s">
        <v>3054</v>
      </c>
      <c r="J3391" s="70">
        <f>IFERROR(VLOOKUP(Devis[[#This Row],[Ref Air Flux]],#REF!,3,FALSE),0)</f>
        <v>0</v>
      </c>
      <c r="K3391" s="68"/>
      <c r="L3391" s="68"/>
      <c r="M3391" s="68"/>
      <c r="N3391" s="68"/>
      <c r="O3391" s="68"/>
      <c r="P3391" s="68"/>
      <c r="Q3391" s="68">
        <f>SUM(Devis[[#This Row],[Poste 1]:[Poste 6]])</f>
        <v>0</v>
      </c>
      <c r="R3391" s="71"/>
      <c r="S3391" s="68">
        <f>_xlfn.CEILING.MATH(Devis[[#This Row],[Quantité Totale]],Devis[[#This Row],[Conditionnement]])</f>
        <v>0</v>
      </c>
      <c r="T3391" s="72"/>
      <c r="U3391" s="73"/>
      <c r="V3391" s="74">
        <f>Devis[[#This Row],[Prix de Revient]]*Devis[[#This Row],[Poste 1]]</f>
        <v>0</v>
      </c>
      <c r="W3391" s="74">
        <f>Devis[[#This Row],[Prix de Revient]]*Devis[[#This Row],[Poste 2]]</f>
        <v>0</v>
      </c>
      <c r="X3391" s="74">
        <f>Devis[[#This Row],[Prix de Revient]]*Devis[[#This Row],[Poste 3]]</f>
        <v>0</v>
      </c>
      <c r="Y3391" s="74">
        <f>Devis[[#This Row],[Poste 4]]*Devis[[#This Row],[Prix de Revient]]</f>
        <v>0</v>
      </c>
      <c r="Z3391" s="74">
        <f>Devis[[#This Row],[Poste 5]]*Devis[[#This Row],[Prix de Revient]]</f>
        <v>0</v>
      </c>
      <c r="AA3391" s="74">
        <f>Devis[[#This Row],[Prix de Revient]]*Devis[[#This Row],[Poste 6]]</f>
        <v>0</v>
      </c>
      <c r="AB3391" s="74">
        <f>Devis[[#This Row],[Quantité Totale]]*Devis[[#This Row],[Prix de Revient]]</f>
        <v>0</v>
      </c>
    </row>
    <row r="3392" spans="1:28" ht="15" customHeight="1" outlineLevel="1" x14ac:dyDescent="0.2">
      <c r="A3392" s="75" t="s">
        <v>2983</v>
      </c>
      <c r="B3392" s="76" t="s">
        <v>5172</v>
      </c>
      <c r="C3392" s="75" t="s">
        <v>2691</v>
      </c>
      <c r="D3392" s="81" t="str">
        <f t="shared" si="62"/>
        <v>TransairManchons FFFF</v>
      </c>
      <c r="E3392" s="104" t="s">
        <v>5146</v>
      </c>
      <c r="F3392" s="81">
        <v>9</v>
      </c>
      <c r="G3392" s="123" t="s">
        <v>3310</v>
      </c>
      <c r="H3392" s="71" t="s">
        <v>3293</v>
      </c>
      <c r="I3392" s="104" t="s">
        <v>3046</v>
      </c>
      <c r="J3392" s="70">
        <f>IFERROR(VLOOKUP(Devis[[#This Row],[Ref Air Flux]],#REF!,3,FALSE),0)</f>
        <v>0</v>
      </c>
      <c r="K3392" s="68"/>
      <c r="L3392" s="68"/>
      <c r="M3392" s="68"/>
      <c r="N3392" s="68"/>
      <c r="O3392" s="68"/>
      <c r="P3392" s="68"/>
      <c r="Q3392" s="68">
        <f>SUM(Devis[[#This Row],[Poste 1]:[Poste 6]])</f>
        <v>0</v>
      </c>
      <c r="R3392" s="71"/>
      <c r="S3392" s="68">
        <f>_xlfn.CEILING.MATH(Devis[[#This Row],[Quantité Totale]],Devis[[#This Row],[Conditionnement]])</f>
        <v>0</v>
      </c>
      <c r="T3392" s="72"/>
      <c r="U3392" s="73"/>
      <c r="V3392" s="74">
        <f>Devis[[#This Row],[Prix de Revient]]*Devis[[#This Row],[Poste 1]]</f>
        <v>0</v>
      </c>
      <c r="W3392" s="74">
        <f>Devis[[#This Row],[Prix de Revient]]*Devis[[#This Row],[Poste 2]]</f>
        <v>0</v>
      </c>
      <c r="X3392" s="74">
        <f>Devis[[#This Row],[Prix de Revient]]*Devis[[#This Row],[Poste 3]]</f>
        <v>0</v>
      </c>
      <c r="Y3392" s="74">
        <f>Devis[[#This Row],[Poste 4]]*Devis[[#This Row],[Prix de Revient]]</f>
        <v>0</v>
      </c>
      <c r="Z3392" s="74">
        <f>Devis[[#This Row],[Poste 5]]*Devis[[#This Row],[Prix de Revient]]</f>
        <v>0</v>
      </c>
      <c r="AA3392" s="74">
        <f>Devis[[#This Row],[Prix de Revient]]*Devis[[#This Row],[Poste 6]]</f>
        <v>0</v>
      </c>
      <c r="AB3392" s="74">
        <f>Devis[[#This Row],[Quantité Totale]]*Devis[[#This Row],[Prix de Revient]]</f>
        <v>0</v>
      </c>
    </row>
    <row r="3393" spans="1:28" ht="14.25" outlineLevel="1" x14ac:dyDescent="0.2">
      <c r="A3393" s="75" t="s">
        <v>2983</v>
      </c>
      <c r="B3393" s="76" t="s">
        <v>5172</v>
      </c>
      <c r="C3393" s="75" t="s">
        <v>2691</v>
      </c>
      <c r="D3393" s="81" t="str">
        <f t="shared" si="62"/>
        <v>TransairManchons FFFF</v>
      </c>
      <c r="E3393" s="104" t="s">
        <v>5153</v>
      </c>
      <c r="F3393" s="81">
        <v>10</v>
      </c>
      <c r="G3393" s="123" t="s">
        <v>3311</v>
      </c>
      <c r="H3393" s="71" t="s">
        <v>3293</v>
      </c>
      <c r="I3393" s="104" t="s">
        <v>3047</v>
      </c>
      <c r="J3393" s="70">
        <f>IFERROR(VLOOKUP(Devis[[#This Row],[Ref Air Flux]],#REF!,3,FALSE),0)</f>
        <v>0</v>
      </c>
      <c r="K3393" s="68"/>
      <c r="L3393" s="68"/>
      <c r="M3393" s="68"/>
      <c r="N3393" s="68"/>
      <c r="O3393" s="68"/>
      <c r="P3393" s="68"/>
      <c r="Q3393" s="68">
        <f>SUM(Devis[[#This Row],[Poste 1]:[Poste 6]])</f>
        <v>0</v>
      </c>
      <c r="R3393" s="71"/>
      <c r="S3393" s="68">
        <f>_xlfn.CEILING.MATH(Devis[[#This Row],[Quantité Totale]],Devis[[#This Row],[Conditionnement]])</f>
        <v>0</v>
      </c>
      <c r="T3393" s="72"/>
      <c r="U3393" s="73"/>
      <c r="V3393" s="74">
        <f>Devis[[#This Row],[Prix de Revient]]*Devis[[#This Row],[Poste 1]]</f>
        <v>0</v>
      </c>
      <c r="W3393" s="74">
        <f>Devis[[#This Row],[Prix de Revient]]*Devis[[#This Row],[Poste 2]]</f>
        <v>0</v>
      </c>
      <c r="X3393" s="74">
        <f>Devis[[#This Row],[Prix de Revient]]*Devis[[#This Row],[Poste 3]]</f>
        <v>0</v>
      </c>
      <c r="Y3393" s="74">
        <f>Devis[[#This Row],[Poste 4]]*Devis[[#This Row],[Prix de Revient]]</f>
        <v>0</v>
      </c>
      <c r="Z3393" s="74">
        <f>Devis[[#This Row],[Poste 5]]*Devis[[#This Row],[Prix de Revient]]</f>
        <v>0</v>
      </c>
      <c r="AA3393" s="74">
        <f>Devis[[#This Row],[Prix de Revient]]*Devis[[#This Row],[Poste 6]]</f>
        <v>0</v>
      </c>
      <c r="AB3393" s="74">
        <f>Devis[[#This Row],[Quantité Totale]]*Devis[[#This Row],[Prix de Revient]]</f>
        <v>0</v>
      </c>
    </row>
    <row r="3394" spans="1:28" ht="14.25" outlineLevel="1" x14ac:dyDescent="0.2">
      <c r="A3394" s="75" t="s">
        <v>2983</v>
      </c>
      <c r="B3394" s="76" t="s">
        <v>5172</v>
      </c>
      <c r="C3394" s="75" t="s">
        <v>2691</v>
      </c>
      <c r="D3394" s="81" t="str">
        <f t="shared" si="62"/>
        <v>TransairManchons FFFF</v>
      </c>
      <c r="E3394" s="104" t="s">
        <v>5154</v>
      </c>
      <c r="F3394" s="81">
        <v>11</v>
      </c>
      <c r="G3394" s="123" t="s">
        <v>3312</v>
      </c>
      <c r="H3394" s="71" t="s">
        <v>3293</v>
      </c>
      <c r="I3394" s="104" t="s">
        <v>3048</v>
      </c>
      <c r="J3394" s="70">
        <f>IFERROR(VLOOKUP(Devis[[#This Row],[Ref Air Flux]],#REF!,3,FALSE),0)</f>
        <v>0</v>
      </c>
      <c r="K3394" s="68"/>
      <c r="L3394" s="68"/>
      <c r="M3394" s="68"/>
      <c r="N3394" s="68"/>
      <c r="O3394" s="68"/>
      <c r="P3394" s="68"/>
      <c r="Q3394" s="68">
        <f>SUM(Devis[[#This Row],[Poste 1]:[Poste 6]])</f>
        <v>0</v>
      </c>
      <c r="R3394" s="71"/>
      <c r="S3394" s="68">
        <f>_xlfn.CEILING.MATH(Devis[[#This Row],[Quantité Totale]],Devis[[#This Row],[Conditionnement]])</f>
        <v>0</v>
      </c>
      <c r="T3394" s="72"/>
      <c r="U3394" s="73"/>
      <c r="V3394" s="74">
        <f>Devis[[#This Row],[Prix de Revient]]*Devis[[#This Row],[Poste 1]]</f>
        <v>0</v>
      </c>
      <c r="W3394" s="74">
        <f>Devis[[#This Row],[Prix de Revient]]*Devis[[#This Row],[Poste 2]]</f>
        <v>0</v>
      </c>
      <c r="X3394" s="74">
        <f>Devis[[#This Row],[Prix de Revient]]*Devis[[#This Row],[Poste 3]]</f>
        <v>0</v>
      </c>
      <c r="Y3394" s="74">
        <f>Devis[[#This Row],[Poste 4]]*Devis[[#This Row],[Prix de Revient]]</f>
        <v>0</v>
      </c>
      <c r="Z3394" s="74">
        <f>Devis[[#This Row],[Poste 5]]*Devis[[#This Row],[Prix de Revient]]</f>
        <v>0</v>
      </c>
      <c r="AA3394" s="74">
        <f>Devis[[#This Row],[Prix de Revient]]*Devis[[#This Row],[Poste 6]]</f>
        <v>0</v>
      </c>
      <c r="AB3394" s="74">
        <f>Devis[[#This Row],[Quantité Totale]]*Devis[[#This Row],[Prix de Revient]]</f>
        <v>0</v>
      </c>
    </row>
    <row r="3395" spans="1:28" ht="14.25" customHeight="1" x14ac:dyDescent="0.25">
      <c r="A3395" s="65" t="s">
        <v>2983</v>
      </c>
      <c r="B3395" s="65" t="s">
        <v>5174</v>
      </c>
      <c r="C3395" s="76"/>
      <c r="D3395" s="81" t="str">
        <f t="shared" si="62"/>
        <v>TransairManchons Mixte M</v>
      </c>
      <c r="E3395" s="76"/>
      <c r="F3395" s="81">
        <v>0</v>
      </c>
      <c r="G3395" s="71"/>
      <c r="H3395" s="71"/>
      <c r="I3395" s="71"/>
      <c r="J3395" s="70">
        <f>IFERROR(VLOOKUP(Devis[[#This Row],[Ref Air Flux]],#REF!,3,FALSE),0)</f>
        <v>0</v>
      </c>
      <c r="K3395" s="68"/>
      <c r="L3395" s="68"/>
      <c r="M3395" s="68"/>
      <c r="N3395" s="68"/>
      <c r="O3395" s="68"/>
      <c r="P3395" s="68"/>
      <c r="Q3395" s="68">
        <f>SUM(Devis[[#This Row],[Poste 1]:[Poste 6]])</f>
        <v>0</v>
      </c>
      <c r="R3395" s="71"/>
      <c r="S3395" s="68">
        <f>_xlfn.CEILING.MATH(Devis[[#This Row],[Quantité Totale]],Devis[[#This Row],[Conditionnement]])</f>
        <v>0</v>
      </c>
      <c r="T3395" s="72"/>
      <c r="U3395" s="73"/>
      <c r="V3395" s="74">
        <f>Devis[[#This Row],[Prix de Revient]]*Devis[[#This Row],[Poste 1]]</f>
        <v>0</v>
      </c>
      <c r="W3395" s="74">
        <f>Devis[[#This Row],[Prix de Revient]]*Devis[[#This Row],[Poste 2]]</f>
        <v>0</v>
      </c>
      <c r="X3395" s="74">
        <f>Devis[[#This Row],[Prix de Revient]]*Devis[[#This Row],[Poste 3]]</f>
        <v>0</v>
      </c>
      <c r="Y3395" s="74">
        <f>Devis[[#This Row],[Poste 4]]*Devis[[#This Row],[Prix de Revient]]</f>
        <v>0</v>
      </c>
      <c r="Z3395" s="74">
        <f>Devis[[#This Row],[Poste 5]]*Devis[[#This Row],[Prix de Revient]]</f>
        <v>0</v>
      </c>
      <c r="AA3395" s="74">
        <f>Devis[[#This Row],[Prix de Revient]]*Devis[[#This Row],[Poste 6]]</f>
        <v>0</v>
      </c>
      <c r="AB3395" s="74">
        <f>Devis[[#This Row],[Quantité Totale]]*Devis[[#This Row],[Prix de Revient]]</f>
        <v>0</v>
      </c>
    </row>
    <row r="3396" spans="1:28" ht="15" customHeight="1" outlineLevel="1" x14ac:dyDescent="0.2">
      <c r="A3396" s="75" t="s">
        <v>2983</v>
      </c>
      <c r="B3396" s="76" t="s">
        <v>5174</v>
      </c>
      <c r="C3396" s="75" t="s">
        <v>5175</v>
      </c>
      <c r="D3396" s="81" t="str">
        <f t="shared" si="62"/>
        <v>TransairManchons Mixte MMixte M</v>
      </c>
      <c r="E3396" s="104" t="s">
        <v>5176</v>
      </c>
      <c r="F3396" s="81">
        <v>1</v>
      </c>
      <c r="G3396" s="123">
        <v>66051713</v>
      </c>
      <c r="H3396" s="71" t="s">
        <v>3293</v>
      </c>
      <c r="I3396" s="104" t="s">
        <v>3055</v>
      </c>
      <c r="J3396" s="70">
        <f>IFERROR(VLOOKUP(Devis[[#This Row],[Ref Air Flux]],#REF!,3,FALSE),0)</f>
        <v>0</v>
      </c>
      <c r="K3396" s="68"/>
      <c r="L3396" s="68"/>
      <c r="M3396" s="68"/>
      <c r="N3396" s="68"/>
      <c r="O3396" s="68"/>
      <c r="P3396" s="68"/>
      <c r="Q3396" s="68">
        <f>SUM(Devis[[#This Row],[Poste 1]:[Poste 6]])</f>
        <v>0</v>
      </c>
      <c r="R3396" s="71"/>
      <c r="S3396" s="68">
        <f>_xlfn.CEILING.MATH(Devis[[#This Row],[Quantité Totale]],Devis[[#This Row],[Conditionnement]])</f>
        <v>0</v>
      </c>
      <c r="T3396" s="72"/>
      <c r="U3396" s="73"/>
      <c r="V3396" s="74">
        <f>Devis[[#This Row],[Prix de Revient]]*Devis[[#This Row],[Poste 1]]</f>
        <v>0</v>
      </c>
      <c r="W3396" s="74">
        <f>Devis[[#This Row],[Prix de Revient]]*Devis[[#This Row],[Poste 2]]</f>
        <v>0</v>
      </c>
      <c r="X3396" s="74">
        <f>Devis[[#This Row],[Prix de Revient]]*Devis[[#This Row],[Poste 3]]</f>
        <v>0</v>
      </c>
      <c r="Y3396" s="74">
        <f>Devis[[#This Row],[Poste 4]]*Devis[[#This Row],[Prix de Revient]]</f>
        <v>0</v>
      </c>
      <c r="Z3396" s="74">
        <f>Devis[[#This Row],[Poste 5]]*Devis[[#This Row],[Prix de Revient]]</f>
        <v>0</v>
      </c>
      <c r="AA3396" s="74">
        <f>Devis[[#This Row],[Prix de Revient]]*Devis[[#This Row],[Poste 6]]</f>
        <v>0</v>
      </c>
      <c r="AB3396" s="74">
        <f>Devis[[#This Row],[Quantité Totale]]*Devis[[#This Row],[Prix de Revient]]</f>
        <v>0</v>
      </c>
    </row>
    <row r="3397" spans="1:28" ht="14.25" customHeight="1" outlineLevel="1" x14ac:dyDescent="0.2">
      <c r="A3397" s="75" t="s">
        <v>2983</v>
      </c>
      <c r="B3397" s="76" t="s">
        <v>5174</v>
      </c>
      <c r="C3397" s="75" t="s">
        <v>5175</v>
      </c>
      <c r="D3397" s="81" t="str">
        <f t="shared" si="62"/>
        <v>TransairManchons Mixte MMixte M</v>
      </c>
      <c r="E3397" s="104" t="s">
        <v>5177</v>
      </c>
      <c r="F3397" s="81">
        <v>2</v>
      </c>
      <c r="G3397" s="123">
        <v>66051721</v>
      </c>
      <c r="H3397" s="71" t="s">
        <v>3293</v>
      </c>
      <c r="I3397" s="104" t="s">
        <v>3056</v>
      </c>
      <c r="J3397" s="70">
        <f>IFERROR(VLOOKUP(Devis[[#This Row],[Ref Air Flux]],#REF!,3,FALSE),0)</f>
        <v>0</v>
      </c>
      <c r="K3397" s="68"/>
      <c r="L3397" s="68"/>
      <c r="M3397" s="68"/>
      <c r="N3397" s="68"/>
      <c r="O3397" s="68"/>
      <c r="P3397" s="68"/>
      <c r="Q3397" s="68">
        <f>SUM(Devis[[#This Row],[Poste 1]:[Poste 6]])</f>
        <v>0</v>
      </c>
      <c r="R3397" s="71"/>
      <c r="S3397" s="68">
        <f>_xlfn.CEILING.MATH(Devis[[#This Row],[Quantité Totale]],Devis[[#This Row],[Conditionnement]])</f>
        <v>0</v>
      </c>
      <c r="T3397" s="72"/>
      <c r="U3397" s="73"/>
      <c r="V3397" s="74">
        <f>Devis[[#This Row],[Prix de Revient]]*Devis[[#This Row],[Poste 1]]</f>
        <v>0</v>
      </c>
      <c r="W3397" s="74">
        <f>Devis[[#This Row],[Prix de Revient]]*Devis[[#This Row],[Poste 2]]</f>
        <v>0</v>
      </c>
      <c r="X3397" s="74">
        <f>Devis[[#This Row],[Prix de Revient]]*Devis[[#This Row],[Poste 3]]</f>
        <v>0</v>
      </c>
      <c r="Y3397" s="74">
        <f>Devis[[#This Row],[Poste 4]]*Devis[[#This Row],[Prix de Revient]]</f>
        <v>0</v>
      </c>
      <c r="Z3397" s="74">
        <f>Devis[[#This Row],[Poste 5]]*Devis[[#This Row],[Prix de Revient]]</f>
        <v>0</v>
      </c>
      <c r="AA3397" s="74">
        <f>Devis[[#This Row],[Prix de Revient]]*Devis[[#This Row],[Poste 6]]</f>
        <v>0</v>
      </c>
      <c r="AB3397" s="74">
        <f>Devis[[#This Row],[Quantité Totale]]*Devis[[#This Row],[Prix de Revient]]</f>
        <v>0</v>
      </c>
    </row>
    <row r="3398" spans="1:28" ht="14.25" customHeight="1" outlineLevel="1" x14ac:dyDescent="0.2">
      <c r="A3398" s="75" t="s">
        <v>2983</v>
      </c>
      <c r="B3398" s="76" t="s">
        <v>5174</v>
      </c>
      <c r="C3398" s="75" t="s">
        <v>5175</v>
      </c>
      <c r="D3398" s="81" t="str">
        <f t="shared" si="62"/>
        <v>TransairManchons Mixte MMixte M</v>
      </c>
      <c r="E3398" s="104" t="s">
        <v>5178</v>
      </c>
      <c r="F3398" s="81">
        <v>3</v>
      </c>
      <c r="G3398" s="123">
        <v>66052521</v>
      </c>
      <c r="H3398" s="71" t="s">
        <v>3293</v>
      </c>
      <c r="I3398" s="104" t="s">
        <v>3057</v>
      </c>
      <c r="J3398" s="70">
        <f>IFERROR(VLOOKUP(Devis[[#This Row],[Ref Air Flux]],#REF!,3,FALSE),0)</f>
        <v>0</v>
      </c>
      <c r="K3398" s="68"/>
      <c r="L3398" s="68"/>
      <c r="M3398" s="68"/>
      <c r="N3398" s="68"/>
      <c r="O3398" s="68"/>
      <c r="P3398" s="68"/>
      <c r="Q3398" s="68">
        <f>SUM(Devis[[#This Row],[Poste 1]:[Poste 6]])</f>
        <v>0</v>
      </c>
      <c r="R3398" s="71"/>
      <c r="S3398" s="68">
        <f>_xlfn.CEILING.MATH(Devis[[#This Row],[Quantité Totale]],Devis[[#This Row],[Conditionnement]])</f>
        <v>0</v>
      </c>
      <c r="T3398" s="72"/>
      <c r="U3398" s="73"/>
      <c r="V3398" s="74">
        <f>Devis[[#This Row],[Prix de Revient]]*Devis[[#This Row],[Poste 1]]</f>
        <v>0</v>
      </c>
      <c r="W3398" s="74">
        <f>Devis[[#This Row],[Prix de Revient]]*Devis[[#This Row],[Poste 2]]</f>
        <v>0</v>
      </c>
      <c r="X3398" s="74">
        <f>Devis[[#This Row],[Prix de Revient]]*Devis[[#This Row],[Poste 3]]</f>
        <v>0</v>
      </c>
      <c r="Y3398" s="74">
        <f>Devis[[#This Row],[Poste 4]]*Devis[[#This Row],[Prix de Revient]]</f>
        <v>0</v>
      </c>
      <c r="Z3398" s="74">
        <f>Devis[[#This Row],[Poste 5]]*Devis[[#This Row],[Prix de Revient]]</f>
        <v>0</v>
      </c>
      <c r="AA3398" s="74">
        <f>Devis[[#This Row],[Prix de Revient]]*Devis[[#This Row],[Poste 6]]</f>
        <v>0</v>
      </c>
      <c r="AB3398" s="74">
        <f>Devis[[#This Row],[Quantité Totale]]*Devis[[#This Row],[Prix de Revient]]</f>
        <v>0</v>
      </c>
    </row>
    <row r="3399" spans="1:28" ht="14.25" outlineLevel="1" x14ac:dyDescent="0.2">
      <c r="A3399" s="75" t="s">
        <v>2983</v>
      </c>
      <c r="B3399" s="76" t="s">
        <v>5174</v>
      </c>
      <c r="C3399" s="75" t="s">
        <v>5175</v>
      </c>
      <c r="D3399" s="81" t="str">
        <f t="shared" si="62"/>
        <v>TransairManchons Mixte MMixte M</v>
      </c>
      <c r="E3399" s="104" t="s">
        <v>5179</v>
      </c>
      <c r="F3399" s="81">
        <v>4</v>
      </c>
      <c r="G3399" s="123">
        <v>66052527</v>
      </c>
      <c r="H3399" s="71" t="s">
        <v>3293</v>
      </c>
      <c r="I3399" s="104" t="s">
        <v>3058</v>
      </c>
      <c r="J3399" s="70">
        <f>IFERROR(VLOOKUP(Devis[[#This Row],[Ref Air Flux]],#REF!,3,FALSE),0)</f>
        <v>0</v>
      </c>
      <c r="K3399" s="68"/>
      <c r="L3399" s="68"/>
      <c r="M3399" s="68"/>
      <c r="N3399" s="68"/>
      <c r="O3399" s="68"/>
      <c r="P3399" s="68"/>
      <c r="Q3399" s="68">
        <f>SUM(Devis[[#This Row],[Poste 1]:[Poste 6]])</f>
        <v>0</v>
      </c>
      <c r="R3399" s="71"/>
      <c r="S3399" s="68">
        <f>_xlfn.CEILING.MATH(Devis[[#This Row],[Quantité Totale]],Devis[[#This Row],[Conditionnement]])</f>
        <v>0</v>
      </c>
      <c r="T3399" s="72"/>
      <c r="U3399" s="73"/>
      <c r="V3399" s="74">
        <f>Devis[[#This Row],[Prix de Revient]]*Devis[[#This Row],[Poste 1]]</f>
        <v>0</v>
      </c>
      <c r="W3399" s="74">
        <f>Devis[[#This Row],[Prix de Revient]]*Devis[[#This Row],[Poste 2]]</f>
        <v>0</v>
      </c>
      <c r="X3399" s="74">
        <f>Devis[[#This Row],[Prix de Revient]]*Devis[[#This Row],[Poste 3]]</f>
        <v>0</v>
      </c>
      <c r="Y3399" s="74">
        <f>Devis[[#This Row],[Poste 4]]*Devis[[#This Row],[Prix de Revient]]</f>
        <v>0</v>
      </c>
      <c r="Z3399" s="74">
        <f>Devis[[#This Row],[Poste 5]]*Devis[[#This Row],[Prix de Revient]]</f>
        <v>0</v>
      </c>
      <c r="AA3399" s="74">
        <f>Devis[[#This Row],[Prix de Revient]]*Devis[[#This Row],[Poste 6]]</f>
        <v>0</v>
      </c>
      <c r="AB3399" s="74">
        <f>Devis[[#This Row],[Quantité Totale]]*Devis[[#This Row],[Prix de Revient]]</f>
        <v>0</v>
      </c>
    </row>
    <row r="3400" spans="1:28" ht="14.25" outlineLevel="1" x14ac:dyDescent="0.2">
      <c r="A3400" s="75" t="s">
        <v>2983</v>
      </c>
      <c r="B3400" s="76" t="s">
        <v>5174</v>
      </c>
      <c r="C3400" s="75" t="s">
        <v>5175</v>
      </c>
      <c r="D3400" s="81" t="str">
        <f t="shared" si="62"/>
        <v>TransairManchons Mixte MMixte M</v>
      </c>
      <c r="E3400" s="104" t="s">
        <v>5180</v>
      </c>
      <c r="F3400" s="81">
        <v>5</v>
      </c>
      <c r="G3400" s="123">
        <v>66052534</v>
      </c>
      <c r="H3400" s="71" t="s">
        <v>3293</v>
      </c>
      <c r="I3400" s="104" t="s">
        <v>3059</v>
      </c>
      <c r="J3400" s="70">
        <f>IFERROR(VLOOKUP(Devis[[#This Row],[Ref Air Flux]],#REF!,3,FALSE),0)</f>
        <v>0</v>
      </c>
      <c r="K3400" s="68"/>
      <c r="L3400" s="68"/>
      <c r="M3400" s="68"/>
      <c r="N3400" s="68"/>
      <c r="O3400" s="68"/>
      <c r="P3400" s="68"/>
      <c r="Q3400" s="68">
        <f>SUM(Devis[[#This Row],[Poste 1]:[Poste 6]])</f>
        <v>0</v>
      </c>
      <c r="R3400" s="71"/>
      <c r="S3400" s="68">
        <f>_xlfn.CEILING.MATH(Devis[[#This Row],[Quantité Totale]],Devis[[#This Row],[Conditionnement]])</f>
        <v>0</v>
      </c>
      <c r="T3400" s="72"/>
      <c r="U3400" s="73"/>
      <c r="V3400" s="74">
        <f>Devis[[#This Row],[Prix de Revient]]*Devis[[#This Row],[Poste 1]]</f>
        <v>0</v>
      </c>
      <c r="W3400" s="74">
        <f>Devis[[#This Row],[Prix de Revient]]*Devis[[#This Row],[Poste 2]]</f>
        <v>0</v>
      </c>
      <c r="X3400" s="74">
        <f>Devis[[#This Row],[Prix de Revient]]*Devis[[#This Row],[Poste 3]]</f>
        <v>0</v>
      </c>
      <c r="Y3400" s="74">
        <f>Devis[[#This Row],[Poste 4]]*Devis[[#This Row],[Prix de Revient]]</f>
        <v>0</v>
      </c>
      <c r="Z3400" s="74">
        <f>Devis[[#This Row],[Poste 5]]*Devis[[#This Row],[Prix de Revient]]</f>
        <v>0</v>
      </c>
      <c r="AA3400" s="74">
        <f>Devis[[#This Row],[Prix de Revient]]*Devis[[#This Row],[Poste 6]]</f>
        <v>0</v>
      </c>
      <c r="AB3400" s="74">
        <f>Devis[[#This Row],[Quantité Totale]]*Devis[[#This Row],[Prix de Revient]]</f>
        <v>0</v>
      </c>
    </row>
    <row r="3401" spans="1:28" ht="14.25" outlineLevel="1" x14ac:dyDescent="0.2">
      <c r="A3401" s="75" t="s">
        <v>2983</v>
      </c>
      <c r="B3401" s="76" t="s">
        <v>5174</v>
      </c>
      <c r="C3401" s="75" t="s">
        <v>5175</v>
      </c>
      <c r="D3401" s="81" t="str">
        <f t="shared" si="62"/>
        <v>TransairManchons Mixte MMixte M</v>
      </c>
      <c r="E3401" s="104" t="s">
        <v>5181</v>
      </c>
      <c r="F3401" s="81">
        <v>6</v>
      </c>
      <c r="G3401" s="123">
        <v>66054034</v>
      </c>
      <c r="H3401" s="71" t="s">
        <v>3293</v>
      </c>
      <c r="I3401" s="104" t="s">
        <v>3060</v>
      </c>
      <c r="J3401" s="70">
        <f>IFERROR(VLOOKUP(Devis[[#This Row],[Ref Air Flux]],#REF!,3,FALSE),0)</f>
        <v>0</v>
      </c>
      <c r="K3401" s="68"/>
      <c r="L3401" s="68"/>
      <c r="M3401" s="68"/>
      <c r="N3401" s="68"/>
      <c r="O3401" s="68"/>
      <c r="P3401" s="68"/>
      <c r="Q3401" s="68">
        <f>SUM(Devis[[#This Row],[Poste 1]:[Poste 6]])</f>
        <v>0</v>
      </c>
      <c r="R3401" s="71"/>
      <c r="S3401" s="68">
        <f>_xlfn.CEILING.MATH(Devis[[#This Row],[Quantité Totale]],Devis[[#This Row],[Conditionnement]])</f>
        <v>0</v>
      </c>
      <c r="T3401" s="72"/>
      <c r="U3401" s="73"/>
      <c r="V3401" s="74">
        <f>Devis[[#This Row],[Prix de Revient]]*Devis[[#This Row],[Poste 1]]</f>
        <v>0</v>
      </c>
      <c r="W3401" s="74">
        <f>Devis[[#This Row],[Prix de Revient]]*Devis[[#This Row],[Poste 2]]</f>
        <v>0</v>
      </c>
      <c r="X3401" s="74">
        <f>Devis[[#This Row],[Prix de Revient]]*Devis[[#This Row],[Poste 3]]</f>
        <v>0</v>
      </c>
      <c r="Y3401" s="74">
        <f>Devis[[#This Row],[Poste 4]]*Devis[[#This Row],[Prix de Revient]]</f>
        <v>0</v>
      </c>
      <c r="Z3401" s="74">
        <f>Devis[[#This Row],[Poste 5]]*Devis[[#This Row],[Prix de Revient]]</f>
        <v>0</v>
      </c>
      <c r="AA3401" s="74">
        <f>Devis[[#This Row],[Prix de Revient]]*Devis[[#This Row],[Poste 6]]</f>
        <v>0</v>
      </c>
      <c r="AB3401" s="74">
        <f>Devis[[#This Row],[Quantité Totale]]*Devis[[#This Row],[Prix de Revient]]</f>
        <v>0</v>
      </c>
    </row>
    <row r="3402" spans="1:28" ht="14.25" customHeight="1" outlineLevel="1" x14ac:dyDescent="0.2">
      <c r="A3402" s="75" t="s">
        <v>2983</v>
      </c>
      <c r="B3402" s="76" t="s">
        <v>5174</v>
      </c>
      <c r="C3402" s="75" t="s">
        <v>5175</v>
      </c>
      <c r="D3402" s="81" t="str">
        <f t="shared" si="62"/>
        <v>TransairManchons Mixte MMixte M</v>
      </c>
      <c r="E3402" s="104" t="s">
        <v>5182</v>
      </c>
      <c r="F3402" s="81">
        <v>7</v>
      </c>
      <c r="G3402" s="123">
        <v>66054042</v>
      </c>
      <c r="H3402" s="71" t="s">
        <v>3293</v>
      </c>
      <c r="I3402" s="104" t="s">
        <v>3061</v>
      </c>
      <c r="J3402" s="70">
        <f>IFERROR(VLOOKUP(Devis[[#This Row],[Ref Air Flux]],#REF!,3,FALSE),0)</f>
        <v>0</v>
      </c>
      <c r="K3402" s="68"/>
      <c r="L3402" s="68"/>
      <c r="M3402" s="68"/>
      <c r="N3402" s="68"/>
      <c r="O3402" s="68"/>
      <c r="P3402" s="68"/>
      <c r="Q3402" s="68">
        <f>SUM(Devis[[#This Row],[Poste 1]:[Poste 6]])</f>
        <v>0</v>
      </c>
      <c r="R3402" s="71"/>
      <c r="S3402" s="68">
        <f>_xlfn.CEILING.MATH(Devis[[#This Row],[Quantité Totale]],Devis[[#This Row],[Conditionnement]])</f>
        <v>0</v>
      </c>
      <c r="T3402" s="72"/>
      <c r="U3402" s="73"/>
      <c r="V3402" s="74">
        <f>Devis[[#This Row],[Prix de Revient]]*Devis[[#This Row],[Poste 1]]</f>
        <v>0</v>
      </c>
      <c r="W3402" s="74">
        <f>Devis[[#This Row],[Prix de Revient]]*Devis[[#This Row],[Poste 2]]</f>
        <v>0</v>
      </c>
      <c r="X3402" s="74">
        <f>Devis[[#This Row],[Prix de Revient]]*Devis[[#This Row],[Poste 3]]</f>
        <v>0</v>
      </c>
      <c r="Y3402" s="74">
        <f>Devis[[#This Row],[Poste 4]]*Devis[[#This Row],[Prix de Revient]]</f>
        <v>0</v>
      </c>
      <c r="Z3402" s="74">
        <f>Devis[[#This Row],[Poste 5]]*Devis[[#This Row],[Prix de Revient]]</f>
        <v>0</v>
      </c>
      <c r="AA3402" s="74">
        <f>Devis[[#This Row],[Prix de Revient]]*Devis[[#This Row],[Poste 6]]</f>
        <v>0</v>
      </c>
      <c r="AB3402" s="74">
        <f>Devis[[#This Row],[Quantité Totale]]*Devis[[#This Row],[Prix de Revient]]</f>
        <v>0</v>
      </c>
    </row>
    <row r="3403" spans="1:28" ht="14.25" outlineLevel="1" x14ac:dyDescent="0.2">
      <c r="A3403" s="75" t="s">
        <v>2983</v>
      </c>
      <c r="B3403" s="76" t="s">
        <v>5174</v>
      </c>
      <c r="C3403" s="75" t="s">
        <v>5175</v>
      </c>
      <c r="D3403" s="81" t="str">
        <f t="shared" si="62"/>
        <v>TransairManchons Mixte MMixte M</v>
      </c>
      <c r="E3403" s="104" t="s">
        <v>5183</v>
      </c>
      <c r="F3403" s="81">
        <v>8</v>
      </c>
      <c r="G3403" s="123">
        <v>66154042</v>
      </c>
      <c r="H3403" s="71" t="s">
        <v>3293</v>
      </c>
      <c r="I3403" s="104" t="s">
        <v>3062</v>
      </c>
      <c r="J3403" s="70">
        <f>IFERROR(VLOOKUP(Devis[[#This Row],[Ref Air Flux]],#REF!,3,FALSE),0)</f>
        <v>0</v>
      </c>
      <c r="K3403" s="68"/>
      <c r="L3403" s="68"/>
      <c r="M3403" s="68"/>
      <c r="N3403" s="68"/>
      <c r="O3403" s="68"/>
      <c r="P3403" s="68"/>
      <c r="Q3403" s="68">
        <f>SUM(Devis[[#This Row],[Poste 1]:[Poste 6]])</f>
        <v>0</v>
      </c>
      <c r="R3403" s="71"/>
      <c r="S3403" s="68">
        <f>_xlfn.CEILING.MATH(Devis[[#This Row],[Quantité Totale]],Devis[[#This Row],[Conditionnement]])</f>
        <v>0</v>
      </c>
      <c r="T3403" s="72"/>
      <c r="U3403" s="73"/>
      <c r="V3403" s="74">
        <f>Devis[[#This Row],[Prix de Revient]]*Devis[[#This Row],[Poste 1]]</f>
        <v>0</v>
      </c>
      <c r="W3403" s="74">
        <f>Devis[[#This Row],[Prix de Revient]]*Devis[[#This Row],[Poste 2]]</f>
        <v>0</v>
      </c>
      <c r="X3403" s="74">
        <f>Devis[[#This Row],[Prix de Revient]]*Devis[[#This Row],[Poste 3]]</f>
        <v>0</v>
      </c>
      <c r="Y3403" s="74">
        <f>Devis[[#This Row],[Poste 4]]*Devis[[#This Row],[Prix de Revient]]</f>
        <v>0</v>
      </c>
      <c r="Z3403" s="74">
        <f>Devis[[#This Row],[Poste 5]]*Devis[[#This Row],[Prix de Revient]]</f>
        <v>0</v>
      </c>
      <c r="AA3403" s="74">
        <f>Devis[[#This Row],[Prix de Revient]]*Devis[[#This Row],[Poste 6]]</f>
        <v>0</v>
      </c>
      <c r="AB3403" s="74">
        <f>Devis[[#This Row],[Quantité Totale]]*Devis[[#This Row],[Prix de Revient]]</f>
        <v>0</v>
      </c>
    </row>
    <row r="3404" spans="1:28" ht="14.25" outlineLevel="1" x14ac:dyDescent="0.2">
      <c r="A3404" s="75" t="s">
        <v>2983</v>
      </c>
      <c r="B3404" s="76" t="s">
        <v>5174</v>
      </c>
      <c r="C3404" s="75" t="s">
        <v>5175</v>
      </c>
      <c r="D3404" s="81" t="str">
        <f t="shared" si="62"/>
        <v>TransairManchons Mixte MMixte M</v>
      </c>
      <c r="E3404" s="104" t="s">
        <v>5184</v>
      </c>
      <c r="F3404" s="81">
        <v>9</v>
      </c>
      <c r="G3404" s="123">
        <v>66054049</v>
      </c>
      <c r="H3404" s="71" t="s">
        <v>3293</v>
      </c>
      <c r="I3404" s="104" t="s">
        <v>3063</v>
      </c>
      <c r="J3404" s="70">
        <f>IFERROR(VLOOKUP(Devis[[#This Row],[Ref Air Flux]],#REF!,3,FALSE),0)</f>
        <v>0</v>
      </c>
      <c r="K3404" s="68"/>
      <c r="L3404" s="68"/>
      <c r="M3404" s="68"/>
      <c r="N3404" s="68"/>
      <c r="O3404" s="68"/>
      <c r="P3404" s="68"/>
      <c r="Q3404" s="68">
        <f>SUM(Devis[[#This Row],[Poste 1]:[Poste 6]])</f>
        <v>0</v>
      </c>
      <c r="R3404" s="71"/>
      <c r="S3404" s="68">
        <f>_xlfn.CEILING.MATH(Devis[[#This Row],[Quantité Totale]],Devis[[#This Row],[Conditionnement]])</f>
        <v>0</v>
      </c>
      <c r="T3404" s="72"/>
      <c r="U3404" s="73"/>
      <c r="V3404" s="74">
        <f>Devis[[#This Row],[Prix de Revient]]*Devis[[#This Row],[Poste 1]]</f>
        <v>0</v>
      </c>
      <c r="W3404" s="74">
        <f>Devis[[#This Row],[Prix de Revient]]*Devis[[#This Row],[Poste 2]]</f>
        <v>0</v>
      </c>
      <c r="X3404" s="74">
        <f>Devis[[#This Row],[Prix de Revient]]*Devis[[#This Row],[Poste 3]]</f>
        <v>0</v>
      </c>
      <c r="Y3404" s="74">
        <f>Devis[[#This Row],[Poste 4]]*Devis[[#This Row],[Prix de Revient]]</f>
        <v>0</v>
      </c>
      <c r="Z3404" s="74">
        <f>Devis[[#This Row],[Poste 5]]*Devis[[#This Row],[Prix de Revient]]</f>
        <v>0</v>
      </c>
      <c r="AA3404" s="74">
        <f>Devis[[#This Row],[Prix de Revient]]*Devis[[#This Row],[Poste 6]]</f>
        <v>0</v>
      </c>
      <c r="AB3404" s="74">
        <f>Devis[[#This Row],[Quantité Totale]]*Devis[[#This Row],[Prix de Revient]]</f>
        <v>0</v>
      </c>
    </row>
    <row r="3405" spans="1:28" ht="14.25" customHeight="1" outlineLevel="1" x14ac:dyDescent="0.2">
      <c r="A3405" s="75" t="s">
        <v>2983</v>
      </c>
      <c r="B3405" s="76" t="s">
        <v>5174</v>
      </c>
      <c r="C3405" s="75" t="s">
        <v>5175</v>
      </c>
      <c r="D3405" s="81" t="str">
        <f t="shared" si="62"/>
        <v>TransairManchons Mixte MMixte M</v>
      </c>
      <c r="E3405" s="104" t="s">
        <v>5185</v>
      </c>
      <c r="F3405" s="81">
        <v>10</v>
      </c>
      <c r="G3405" s="123">
        <v>66154049</v>
      </c>
      <c r="H3405" s="71" t="s">
        <v>3293</v>
      </c>
      <c r="I3405" s="104" t="s">
        <v>3064</v>
      </c>
      <c r="J3405" s="70">
        <f>IFERROR(VLOOKUP(Devis[[#This Row],[Ref Air Flux]],#REF!,3,FALSE),0)</f>
        <v>0</v>
      </c>
      <c r="K3405" s="68"/>
      <c r="L3405" s="68"/>
      <c r="M3405" s="68"/>
      <c r="N3405" s="68"/>
      <c r="O3405" s="68"/>
      <c r="P3405" s="68"/>
      <c r="Q3405" s="68">
        <f>SUM(Devis[[#This Row],[Poste 1]:[Poste 6]])</f>
        <v>0</v>
      </c>
      <c r="R3405" s="71"/>
      <c r="S3405" s="68">
        <f>_xlfn.CEILING.MATH(Devis[[#This Row],[Quantité Totale]],Devis[[#This Row],[Conditionnement]])</f>
        <v>0</v>
      </c>
      <c r="T3405" s="72"/>
      <c r="U3405" s="73"/>
      <c r="V3405" s="74">
        <f>Devis[[#This Row],[Prix de Revient]]*Devis[[#This Row],[Poste 1]]</f>
        <v>0</v>
      </c>
      <c r="W3405" s="74">
        <f>Devis[[#This Row],[Prix de Revient]]*Devis[[#This Row],[Poste 2]]</f>
        <v>0</v>
      </c>
      <c r="X3405" s="74">
        <f>Devis[[#This Row],[Prix de Revient]]*Devis[[#This Row],[Poste 3]]</f>
        <v>0</v>
      </c>
      <c r="Y3405" s="74">
        <f>Devis[[#This Row],[Poste 4]]*Devis[[#This Row],[Prix de Revient]]</f>
        <v>0</v>
      </c>
      <c r="Z3405" s="74">
        <f>Devis[[#This Row],[Poste 5]]*Devis[[#This Row],[Prix de Revient]]</f>
        <v>0</v>
      </c>
      <c r="AA3405" s="74">
        <f>Devis[[#This Row],[Prix de Revient]]*Devis[[#This Row],[Poste 6]]</f>
        <v>0</v>
      </c>
      <c r="AB3405" s="74">
        <f>Devis[[#This Row],[Quantité Totale]]*Devis[[#This Row],[Prix de Revient]]</f>
        <v>0</v>
      </c>
    </row>
    <row r="3406" spans="1:28" ht="15" customHeight="1" outlineLevel="1" x14ac:dyDescent="0.2">
      <c r="A3406" s="75" t="s">
        <v>2983</v>
      </c>
      <c r="B3406" s="76" t="s">
        <v>5174</v>
      </c>
      <c r="C3406" s="75" t="s">
        <v>5175</v>
      </c>
      <c r="D3406" s="81" t="str">
        <f t="shared" si="62"/>
        <v>TransairManchons Mixte MMixte M</v>
      </c>
      <c r="E3406" s="104" t="s">
        <v>5186</v>
      </c>
      <c r="F3406" s="81">
        <v>11</v>
      </c>
      <c r="G3406" s="75">
        <v>66055049</v>
      </c>
      <c r="H3406" s="71" t="s">
        <v>3293</v>
      </c>
      <c r="I3406" s="75" t="s">
        <v>5187</v>
      </c>
      <c r="J3406" s="70">
        <f>IFERROR(VLOOKUP(Devis[[#This Row],[Ref Air Flux]],#REF!,3,FALSE),0)</f>
        <v>0</v>
      </c>
      <c r="K3406" s="68"/>
      <c r="L3406" s="68"/>
      <c r="M3406" s="68"/>
      <c r="N3406" s="68"/>
      <c r="O3406" s="68"/>
      <c r="P3406" s="68"/>
      <c r="Q3406" s="68">
        <f>SUM(Devis[[#This Row],[Poste 1]:[Poste 6]])</f>
        <v>0</v>
      </c>
      <c r="R3406" s="71"/>
      <c r="S3406" s="68">
        <f>_xlfn.CEILING.MATH(Devis[[#This Row],[Quantité Totale]],Devis[[#This Row],[Conditionnement]])</f>
        <v>0</v>
      </c>
      <c r="T3406" s="72"/>
      <c r="U3406" s="73"/>
      <c r="V3406" s="74">
        <f>Devis[[#This Row],[Prix de Revient]]*Devis[[#This Row],[Poste 1]]</f>
        <v>0</v>
      </c>
      <c r="W3406" s="74">
        <f>Devis[[#This Row],[Prix de Revient]]*Devis[[#This Row],[Poste 2]]</f>
        <v>0</v>
      </c>
      <c r="X3406" s="74">
        <f>Devis[[#This Row],[Prix de Revient]]*Devis[[#This Row],[Poste 3]]</f>
        <v>0</v>
      </c>
      <c r="Y3406" s="74">
        <f>Devis[[#This Row],[Poste 4]]*Devis[[#This Row],[Prix de Revient]]</f>
        <v>0</v>
      </c>
      <c r="Z3406" s="74">
        <f>Devis[[#This Row],[Poste 5]]*Devis[[#This Row],[Prix de Revient]]</f>
        <v>0</v>
      </c>
      <c r="AA3406" s="74">
        <f>Devis[[#This Row],[Prix de Revient]]*Devis[[#This Row],[Poste 6]]</f>
        <v>0</v>
      </c>
      <c r="AB3406" s="74">
        <f>Devis[[#This Row],[Quantité Totale]]*Devis[[#This Row],[Prix de Revient]]</f>
        <v>0</v>
      </c>
    </row>
    <row r="3407" spans="1:28" ht="14.25" outlineLevel="1" x14ac:dyDescent="0.2">
      <c r="A3407" s="75" t="s">
        <v>2983</v>
      </c>
      <c r="B3407" s="76" t="s">
        <v>5174</v>
      </c>
      <c r="C3407" s="75" t="s">
        <v>5175</v>
      </c>
      <c r="D3407" s="81" t="str">
        <f t="shared" si="62"/>
        <v>TransairManchons Mixte MMixte M</v>
      </c>
      <c r="E3407" s="104" t="s">
        <v>5188</v>
      </c>
      <c r="F3407" s="81">
        <v>12</v>
      </c>
      <c r="G3407" s="123">
        <v>66055048</v>
      </c>
      <c r="H3407" s="71" t="s">
        <v>3293</v>
      </c>
      <c r="I3407" s="123" t="s">
        <v>5189</v>
      </c>
      <c r="J3407" s="70">
        <f>IFERROR(VLOOKUP(Devis[[#This Row],[Ref Air Flux]],#REF!,3,FALSE),0)</f>
        <v>0</v>
      </c>
      <c r="K3407" s="68"/>
      <c r="L3407" s="68"/>
      <c r="M3407" s="68"/>
      <c r="N3407" s="68"/>
      <c r="O3407" s="68"/>
      <c r="P3407" s="68"/>
      <c r="Q3407" s="68">
        <f>SUM(Devis[[#This Row],[Poste 1]:[Poste 6]])</f>
        <v>0</v>
      </c>
      <c r="R3407" s="71"/>
      <c r="S3407" s="68">
        <f>_xlfn.CEILING.MATH(Devis[[#This Row],[Quantité Totale]],Devis[[#This Row],[Conditionnement]])</f>
        <v>0</v>
      </c>
      <c r="T3407" s="72"/>
      <c r="U3407" s="73"/>
      <c r="V3407" s="74">
        <f>Devis[[#This Row],[Prix de Revient]]*Devis[[#This Row],[Poste 1]]</f>
        <v>0</v>
      </c>
      <c r="W3407" s="74">
        <f>Devis[[#This Row],[Prix de Revient]]*Devis[[#This Row],[Poste 2]]</f>
        <v>0</v>
      </c>
      <c r="X3407" s="74">
        <f>Devis[[#This Row],[Prix de Revient]]*Devis[[#This Row],[Poste 3]]</f>
        <v>0</v>
      </c>
      <c r="Y3407" s="74">
        <f>Devis[[#This Row],[Poste 4]]*Devis[[#This Row],[Prix de Revient]]</f>
        <v>0</v>
      </c>
      <c r="Z3407" s="74">
        <f>Devis[[#This Row],[Poste 5]]*Devis[[#This Row],[Prix de Revient]]</f>
        <v>0</v>
      </c>
      <c r="AA3407" s="74">
        <f>Devis[[#This Row],[Prix de Revient]]*Devis[[#This Row],[Poste 6]]</f>
        <v>0</v>
      </c>
      <c r="AB3407" s="74">
        <f>Devis[[#This Row],[Quantité Totale]]*Devis[[#This Row],[Prix de Revient]]</f>
        <v>0</v>
      </c>
    </row>
    <row r="3408" spans="1:28" ht="14.25" outlineLevel="1" x14ac:dyDescent="0.2">
      <c r="A3408" s="75" t="s">
        <v>2983</v>
      </c>
      <c r="B3408" s="76" t="s">
        <v>5174</v>
      </c>
      <c r="C3408" s="75" t="s">
        <v>5175</v>
      </c>
      <c r="D3408" s="81" t="str">
        <f t="shared" si="62"/>
        <v>TransairManchons Mixte MMixte M</v>
      </c>
      <c r="E3408" s="104" t="s">
        <v>5190</v>
      </c>
      <c r="F3408" s="81">
        <v>13</v>
      </c>
      <c r="G3408" s="123">
        <v>66056348</v>
      </c>
      <c r="H3408" s="71" t="s">
        <v>3293</v>
      </c>
      <c r="I3408" s="104" t="s">
        <v>3065</v>
      </c>
      <c r="J3408" s="70">
        <f>IFERROR(VLOOKUP(Devis[[#This Row],[Ref Air Flux]],#REF!,3,FALSE),0)</f>
        <v>0</v>
      </c>
      <c r="K3408" s="68"/>
      <c r="L3408" s="68"/>
      <c r="M3408" s="68"/>
      <c r="N3408" s="68"/>
      <c r="O3408" s="68"/>
      <c r="P3408" s="68"/>
      <c r="Q3408" s="68">
        <f>SUM(Devis[[#This Row],[Poste 1]:[Poste 6]])</f>
        <v>0</v>
      </c>
      <c r="R3408" s="71"/>
      <c r="S3408" s="68">
        <f>_xlfn.CEILING.MATH(Devis[[#This Row],[Quantité Totale]],Devis[[#This Row],[Conditionnement]])</f>
        <v>0</v>
      </c>
      <c r="T3408" s="72"/>
      <c r="U3408" s="73"/>
      <c r="V3408" s="74">
        <f>Devis[[#This Row],[Prix de Revient]]*Devis[[#This Row],[Poste 1]]</f>
        <v>0</v>
      </c>
      <c r="W3408" s="74">
        <f>Devis[[#This Row],[Prix de Revient]]*Devis[[#This Row],[Poste 2]]</f>
        <v>0</v>
      </c>
      <c r="X3408" s="74">
        <f>Devis[[#This Row],[Prix de Revient]]*Devis[[#This Row],[Poste 3]]</f>
        <v>0</v>
      </c>
      <c r="Y3408" s="74">
        <f>Devis[[#This Row],[Poste 4]]*Devis[[#This Row],[Prix de Revient]]</f>
        <v>0</v>
      </c>
      <c r="Z3408" s="74">
        <f>Devis[[#This Row],[Poste 5]]*Devis[[#This Row],[Prix de Revient]]</f>
        <v>0</v>
      </c>
      <c r="AA3408" s="74">
        <f>Devis[[#This Row],[Prix de Revient]]*Devis[[#This Row],[Poste 6]]</f>
        <v>0</v>
      </c>
      <c r="AB3408" s="74">
        <f>Devis[[#This Row],[Quantité Totale]]*Devis[[#This Row],[Prix de Revient]]</f>
        <v>0</v>
      </c>
    </row>
    <row r="3409" spans="1:28" ht="14.25" outlineLevel="1" x14ac:dyDescent="0.2">
      <c r="A3409" s="75" t="s">
        <v>2983</v>
      </c>
      <c r="B3409" s="76" t="s">
        <v>5174</v>
      </c>
      <c r="C3409" s="75" t="s">
        <v>5175</v>
      </c>
      <c r="D3409" s="81" t="str">
        <f t="shared" si="62"/>
        <v>TransairManchons Mixte MMixte M</v>
      </c>
      <c r="E3409" s="104" t="s">
        <v>5191</v>
      </c>
      <c r="F3409" s="81">
        <v>14</v>
      </c>
      <c r="G3409" s="123">
        <v>66056347</v>
      </c>
      <c r="H3409" s="71" t="s">
        <v>3293</v>
      </c>
      <c r="I3409" s="104" t="s">
        <v>3066</v>
      </c>
      <c r="J3409" s="70">
        <f>IFERROR(VLOOKUP(Devis[[#This Row],[Ref Air Flux]],#REF!,3,FALSE),0)</f>
        <v>0</v>
      </c>
      <c r="K3409" s="68"/>
      <c r="L3409" s="68"/>
      <c r="M3409" s="68"/>
      <c r="N3409" s="68"/>
      <c r="O3409" s="68"/>
      <c r="P3409" s="68"/>
      <c r="Q3409" s="68">
        <f>SUM(Devis[[#This Row],[Poste 1]:[Poste 6]])</f>
        <v>0</v>
      </c>
      <c r="R3409" s="71"/>
      <c r="S3409" s="68">
        <f>_xlfn.CEILING.MATH(Devis[[#This Row],[Quantité Totale]],Devis[[#This Row],[Conditionnement]])</f>
        <v>0</v>
      </c>
      <c r="T3409" s="72"/>
      <c r="U3409" s="73"/>
      <c r="V3409" s="74">
        <f>Devis[[#This Row],[Prix de Revient]]*Devis[[#This Row],[Poste 1]]</f>
        <v>0</v>
      </c>
      <c r="W3409" s="74">
        <f>Devis[[#This Row],[Prix de Revient]]*Devis[[#This Row],[Poste 2]]</f>
        <v>0</v>
      </c>
      <c r="X3409" s="74">
        <f>Devis[[#This Row],[Prix de Revient]]*Devis[[#This Row],[Poste 3]]</f>
        <v>0</v>
      </c>
      <c r="Y3409" s="74">
        <f>Devis[[#This Row],[Poste 4]]*Devis[[#This Row],[Prix de Revient]]</f>
        <v>0</v>
      </c>
      <c r="Z3409" s="74">
        <f>Devis[[#This Row],[Poste 5]]*Devis[[#This Row],[Prix de Revient]]</f>
        <v>0</v>
      </c>
      <c r="AA3409" s="74">
        <f>Devis[[#This Row],[Prix de Revient]]*Devis[[#This Row],[Poste 6]]</f>
        <v>0</v>
      </c>
      <c r="AB3409" s="74">
        <f>Devis[[#This Row],[Quantité Totale]]*Devis[[#This Row],[Prix de Revient]]</f>
        <v>0</v>
      </c>
    </row>
    <row r="3410" spans="1:28" ht="14.25" outlineLevel="1" x14ac:dyDescent="0.2">
      <c r="A3410" s="75" t="s">
        <v>2983</v>
      </c>
      <c r="B3410" s="76" t="s">
        <v>5174</v>
      </c>
      <c r="C3410" s="75" t="s">
        <v>5175</v>
      </c>
      <c r="D3410" s="81" t="str">
        <f t="shared" si="62"/>
        <v>TransairManchons Mixte MMixte M</v>
      </c>
      <c r="E3410" s="104" t="s">
        <v>5192</v>
      </c>
      <c r="F3410" s="81">
        <v>15</v>
      </c>
      <c r="G3410" s="123" t="s">
        <v>3294</v>
      </c>
      <c r="H3410" s="71" t="s">
        <v>3293</v>
      </c>
      <c r="I3410" s="104" t="s">
        <v>2984</v>
      </c>
      <c r="J3410" s="70">
        <f>IFERROR(VLOOKUP(Devis[[#This Row],[Ref Air Flux]],#REF!,3,FALSE),0)</f>
        <v>0</v>
      </c>
      <c r="K3410" s="68"/>
      <c r="L3410" s="68"/>
      <c r="M3410" s="68"/>
      <c r="N3410" s="68"/>
      <c r="O3410" s="68"/>
      <c r="P3410" s="68"/>
      <c r="Q3410" s="68">
        <f>SUM(Devis[[#This Row],[Poste 1]:[Poste 6]])</f>
        <v>0</v>
      </c>
      <c r="R3410" s="71"/>
      <c r="S3410" s="68">
        <f>_xlfn.CEILING.MATH(Devis[[#This Row],[Quantité Totale]],Devis[[#This Row],[Conditionnement]])</f>
        <v>0</v>
      </c>
      <c r="T3410" s="72"/>
      <c r="U3410" s="73"/>
      <c r="V3410" s="74">
        <f>Devis[[#This Row],[Prix de Revient]]*Devis[[#This Row],[Poste 1]]</f>
        <v>0</v>
      </c>
      <c r="W3410" s="74">
        <f>Devis[[#This Row],[Prix de Revient]]*Devis[[#This Row],[Poste 2]]</f>
        <v>0</v>
      </c>
      <c r="X3410" s="74">
        <f>Devis[[#This Row],[Prix de Revient]]*Devis[[#This Row],[Poste 3]]</f>
        <v>0</v>
      </c>
      <c r="Y3410" s="74">
        <f>Devis[[#This Row],[Poste 4]]*Devis[[#This Row],[Prix de Revient]]</f>
        <v>0</v>
      </c>
      <c r="Z3410" s="74">
        <f>Devis[[#This Row],[Poste 5]]*Devis[[#This Row],[Prix de Revient]]</f>
        <v>0</v>
      </c>
      <c r="AA3410" s="74">
        <f>Devis[[#This Row],[Prix de Revient]]*Devis[[#This Row],[Poste 6]]</f>
        <v>0</v>
      </c>
      <c r="AB3410" s="74">
        <f>Devis[[#This Row],[Quantité Totale]]*Devis[[#This Row],[Prix de Revient]]</f>
        <v>0</v>
      </c>
    </row>
    <row r="3411" spans="1:28" ht="14.25" customHeight="1" x14ac:dyDescent="0.25">
      <c r="A3411" s="65" t="s">
        <v>2983</v>
      </c>
      <c r="B3411" s="65" t="s">
        <v>5193</v>
      </c>
      <c r="C3411" s="76"/>
      <c r="D3411" s="81" t="str">
        <f t="shared" si="62"/>
        <v>TransairManchons Réduit FM</v>
      </c>
      <c r="E3411" s="76"/>
      <c r="F3411" s="81">
        <v>0</v>
      </c>
      <c r="G3411" s="71"/>
      <c r="H3411" s="71"/>
      <c r="I3411" s="71"/>
      <c r="J3411" s="70">
        <f>IFERROR(VLOOKUP(Devis[[#This Row],[Ref Air Flux]],#REF!,3,FALSE),0)</f>
        <v>0</v>
      </c>
      <c r="K3411" s="68"/>
      <c r="L3411" s="68"/>
      <c r="M3411" s="68"/>
      <c r="N3411" s="68"/>
      <c r="O3411" s="68"/>
      <c r="P3411" s="68"/>
      <c r="Q3411" s="68">
        <f>SUM(Devis[[#This Row],[Poste 1]:[Poste 6]])</f>
        <v>0</v>
      </c>
      <c r="R3411" s="71"/>
      <c r="S3411" s="68">
        <f>_xlfn.CEILING.MATH(Devis[[#This Row],[Quantité Totale]],Devis[[#This Row],[Conditionnement]])</f>
        <v>0</v>
      </c>
      <c r="T3411" s="72"/>
      <c r="U3411" s="73"/>
      <c r="V3411" s="74">
        <f>Devis[[#This Row],[Prix de Revient]]*Devis[[#This Row],[Poste 1]]</f>
        <v>0</v>
      </c>
      <c r="W3411" s="74">
        <f>Devis[[#This Row],[Prix de Revient]]*Devis[[#This Row],[Poste 2]]</f>
        <v>0</v>
      </c>
      <c r="X3411" s="74">
        <f>Devis[[#This Row],[Prix de Revient]]*Devis[[#This Row],[Poste 3]]</f>
        <v>0</v>
      </c>
      <c r="Y3411" s="74">
        <f>Devis[[#This Row],[Poste 4]]*Devis[[#This Row],[Prix de Revient]]</f>
        <v>0</v>
      </c>
      <c r="Z3411" s="74">
        <f>Devis[[#This Row],[Poste 5]]*Devis[[#This Row],[Prix de Revient]]</f>
        <v>0</v>
      </c>
      <c r="AA3411" s="74">
        <f>Devis[[#This Row],[Prix de Revient]]*Devis[[#This Row],[Poste 6]]</f>
        <v>0</v>
      </c>
      <c r="AB3411" s="74">
        <f>Devis[[#This Row],[Quantité Totale]]*Devis[[#This Row],[Prix de Revient]]</f>
        <v>0</v>
      </c>
    </row>
    <row r="3412" spans="1:28" ht="14.25" outlineLevel="1" x14ac:dyDescent="0.2">
      <c r="A3412" s="75" t="s">
        <v>2983</v>
      </c>
      <c r="B3412" s="76" t="s">
        <v>5193</v>
      </c>
      <c r="C3412" s="75" t="s">
        <v>5194</v>
      </c>
      <c r="D3412" s="81" t="str">
        <f t="shared" si="62"/>
        <v>TransairManchons Réduit FMRéduit FM</v>
      </c>
      <c r="E3412" s="104" t="s">
        <v>5195</v>
      </c>
      <c r="F3412" s="81">
        <v>1</v>
      </c>
      <c r="G3412" s="123">
        <v>66661725</v>
      </c>
      <c r="H3412" s="71" t="s">
        <v>3293</v>
      </c>
      <c r="I3412" s="104" t="s">
        <v>3067</v>
      </c>
      <c r="J3412" s="70">
        <f>IFERROR(VLOOKUP(Devis[[#This Row],[Ref Air Flux]],#REF!,3,FALSE),0)</f>
        <v>0</v>
      </c>
      <c r="K3412" s="68"/>
      <c r="L3412" s="68"/>
      <c r="M3412" s="68"/>
      <c r="N3412" s="68"/>
      <c r="O3412" s="68"/>
      <c r="P3412" s="68"/>
      <c r="Q3412" s="68">
        <f>SUM(Devis[[#This Row],[Poste 1]:[Poste 6]])</f>
        <v>0</v>
      </c>
      <c r="R3412" s="71"/>
      <c r="S3412" s="68">
        <f>_xlfn.CEILING.MATH(Devis[[#This Row],[Quantité Totale]],Devis[[#This Row],[Conditionnement]])</f>
        <v>0</v>
      </c>
      <c r="T3412" s="72"/>
      <c r="U3412" s="73"/>
      <c r="V3412" s="74">
        <f>Devis[[#This Row],[Prix de Revient]]*Devis[[#This Row],[Poste 1]]</f>
        <v>0</v>
      </c>
      <c r="W3412" s="74">
        <f>Devis[[#This Row],[Prix de Revient]]*Devis[[#This Row],[Poste 2]]</f>
        <v>0</v>
      </c>
      <c r="X3412" s="74">
        <f>Devis[[#This Row],[Prix de Revient]]*Devis[[#This Row],[Poste 3]]</f>
        <v>0</v>
      </c>
      <c r="Y3412" s="74">
        <f>Devis[[#This Row],[Poste 4]]*Devis[[#This Row],[Prix de Revient]]</f>
        <v>0</v>
      </c>
      <c r="Z3412" s="74">
        <f>Devis[[#This Row],[Poste 5]]*Devis[[#This Row],[Prix de Revient]]</f>
        <v>0</v>
      </c>
      <c r="AA3412" s="74">
        <f>Devis[[#This Row],[Prix de Revient]]*Devis[[#This Row],[Poste 6]]</f>
        <v>0</v>
      </c>
      <c r="AB3412" s="74">
        <f>Devis[[#This Row],[Quantité Totale]]*Devis[[#This Row],[Prix de Revient]]</f>
        <v>0</v>
      </c>
    </row>
    <row r="3413" spans="1:28" ht="14.25" outlineLevel="1" x14ac:dyDescent="0.2">
      <c r="A3413" s="75" t="s">
        <v>2983</v>
      </c>
      <c r="B3413" s="76" t="s">
        <v>5193</v>
      </c>
      <c r="C3413" s="75" t="s">
        <v>5194</v>
      </c>
      <c r="D3413" s="81" t="str">
        <f t="shared" si="62"/>
        <v>TransairManchons Réduit FMRéduit FM</v>
      </c>
      <c r="E3413" s="104" t="s">
        <v>5196</v>
      </c>
      <c r="F3413" s="81">
        <v>2</v>
      </c>
      <c r="G3413" s="123">
        <v>66662540</v>
      </c>
      <c r="H3413" s="71" t="s">
        <v>3293</v>
      </c>
      <c r="I3413" s="104" t="s">
        <v>3068</v>
      </c>
      <c r="J3413" s="70">
        <f>IFERROR(VLOOKUP(Devis[[#This Row],[Ref Air Flux]],#REF!,3,FALSE),0)</f>
        <v>0</v>
      </c>
      <c r="K3413" s="68"/>
      <c r="L3413" s="68"/>
      <c r="M3413" s="68"/>
      <c r="N3413" s="68"/>
      <c r="O3413" s="68"/>
      <c r="P3413" s="68"/>
      <c r="Q3413" s="68">
        <f>SUM(Devis[[#This Row],[Poste 1]:[Poste 6]])</f>
        <v>0</v>
      </c>
      <c r="R3413" s="71"/>
      <c r="S3413" s="68">
        <f>_xlfn.CEILING.MATH(Devis[[#This Row],[Quantité Totale]],Devis[[#This Row],[Conditionnement]])</f>
        <v>0</v>
      </c>
      <c r="T3413" s="72"/>
      <c r="U3413" s="73"/>
      <c r="V3413" s="74">
        <f>Devis[[#This Row],[Prix de Revient]]*Devis[[#This Row],[Poste 1]]</f>
        <v>0</v>
      </c>
      <c r="W3413" s="74">
        <f>Devis[[#This Row],[Prix de Revient]]*Devis[[#This Row],[Poste 2]]</f>
        <v>0</v>
      </c>
      <c r="X3413" s="74">
        <f>Devis[[#This Row],[Prix de Revient]]*Devis[[#This Row],[Poste 3]]</f>
        <v>0</v>
      </c>
      <c r="Y3413" s="74">
        <f>Devis[[#This Row],[Poste 4]]*Devis[[#This Row],[Prix de Revient]]</f>
        <v>0</v>
      </c>
      <c r="Z3413" s="74">
        <f>Devis[[#This Row],[Poste 5]]*Devis[[#This Row],[Prix de Revient]]</f>
        <v>0</v>
      </c>
      <c r="AA3413" s="74">
        <f>Devis[[#This Row],[Prix de Revient]]*Devis[[#This Row],[Poste 6]]</f>
        <v>0</v>
      </c>
      <c r="AB3413" s="74">
        <f>Devis[[#This Row],[Quantité Totale]]*Devis[[#This Row],[Prix de Revient]]</f>
        <v>0</v>
      </c>
    </row>
    <row r="3414" spans="1:28" ht="15" customHeight="1" outlineLevel="1" x14ac:dyDescent="0.2">
      <c r="A3414" s="75" t="s">
        <v>2983</v>
      </c>
      <c r="B3414" s="76" t="s">
        <v>5193</v>
      </c>
      <c r="C3414" s="75" t="s">
        <v>5194</v>
      </c>
      <c r="D3414" s="81" t="str">
        <f t="shared" si="62"/>
        <v>TransairManchons Réduit FMRéduit FM</v>
      </c>
      <c r="E3414" s="104" t="s">
        <v>5197</v>
      </c>
      <c r="F3414" s="81">
        <v>3</v>
      </c>
      <c r="G3414" s="75">
        <v>66662550</v>
      </c>
      <c r="H3414" s="71" t="s">
        <v>3293</v>
      </c>
      <c r="I3414" s="124" t="s">
        <v>5198</v>
      </c>
      <c r="J3414" s="70">
        <f>IFERROR(VLOOKUP(Devis[[#This Row],[Ref Air Flux]],#REF!,3,FALSE),0)</f>
        <v>0</v>
      </c>
      <c r="K3414" s="68"/>
      <c r="L3414" s="68"/>
      <c r="M3414" s="68"/>
      <c r="N3414" s="68"/>
      <c r="O3414" s="68"/>
      <c r="P3414" s="68"/>
      <c r="Q3414" s="68">
        <f>SUM(Devis[[#This Row],[Poste 1]:[Poste 6]])</f>
        <v>0</v>
      </c>
      <c r="R3414" s="71"/>
      <c r="S3414" s="68">
        <f>_xlfn.CEILING.MATH(Devis[[#This Row],[Quantité Totale]],Devis[[#This Row],[Conditionnement]])</f>
        <v>0</v>
      </c>
      <c r="T3414" s="72"/>
      <c r="U3414" s="73"/>
      <c r="V3414" s="74">
        <f>Devis[[#This Row],[Prix de Revient]]*Devis[[#This Row],[Poste 1]]</f>
        <v>0</v>
      </c>
      <c r="W3414" s="74">
        <f>Devis[[#This Row],[Prix de Revient]]*Devis[[#This Row],[Poste 2]]</f>
        <v>0</v>
      </c>
      <c r="X3414" s="74">
        <f>Devis[[#This Row],[Prix de Revient]]*Devis[[#This Row],[Poste 3]]</f>
        <v>0</v>
      </c>
      <c r="Y3414" s="74">
        <f>Devis[[#This Row],[Poste 4]]*Devis[[#This Row],[Prix de Revient]]</f>
        <v>0</v>
      </c>
      <c r="Z3414" s="74">
        <f>Devis[[#This Row],[Poste 5]]*Devis[[#This Row],[Prix de Revient]]</f>
        <v>0</v>
      </c>
      <c r="AA3414" s="74">
        <f>Devis[[#This Row],[Prix de Revient]]*Devis[[#This Row],[Poste 6]]</f>
        <v>0</v>
      </c>
      <c r="AB3414" s="74">
        <f>Devis[[#This Row],[Quantité Totale]]*Devis[[#This Row],[Prix de Revient]]</f>
        <v>0</v>
      </c>
    </row>
    <row r="3415" spans="1:28" ht="14.25" outlineLevel="1" x14ac:dyDescent="0.2">
      <c r="A3415" s="75" t="s">
        <v>2983</v>
      </c>
      <c r="B3415" s="76" t="s">
        <v>5193</v>
      </c>
      <c r="C3415" s="75" t="s">
        <v>5194</v>
      </c>
      <c r="D3415" s="81" t="str">
        <f t="shared" si="62"/>
        <v>TransairManchons Réduit FMRéduit FM</v>
      </c>
      <c r="E3415" s="104" t="s">
        <v>5199</v>
      </c>
      <c r="F3415" s="81">
        <v>4</v>
      </c>
      <c r="G3415" s="75">
        <v>66664050</v>
      </c>
      <c r="H3415" s="71" t="s">
        <v>3293</v>
      </c>
      <c r="I3415" s="75" t="s">
        <v>5200</v>
      </c>
      <c r="J3415" s="70">
        <f>IFERROR(VLOOKUP(Devis[[#This Row],[Ref Air Flux]],#REF!,3,FALSE),0)</f>
        <v>0</v>
      </c>
      <c r="K3415" s="68"/>
      <c r="L3415" s="68"/>
      <c r="M3415" s="68"/>
      <c r="N3415" s="68"/>
      <c r="O3415" s="68"/>
      <c r="P3415" s="68"/>
      <c r="Q3415" s="68">
        <f>SUM(Devis[[#This Row],[Poste 1]:[Poste 6]])</f>
        <v>0</v>
      </c>
      <c r="R3415" s="71"/>
      <c r="S3415" s="68">
        <f>_xlfn.CEILING.MATH(Devis[[#This Row],[Quantité Totale]],Devis[[#This Row],[Conditionnement]])</f>
        <v>0</v>
      </c>
      <c r="T3415" s="72"/>
      <c r="U3415" s="73"/>
      <c r="V3415" s="74">
        <f>Devis[[#This Row],[Prix de Revient]]*Devis[[#This Row],[Poste 1]]</f>
        <v>0</v>
      </c>
      <c r="W3415" s="74">
        <f>Devis[[#This Row],[Prix de Revient]]*Devis[[#This Row],[Poste 2]]</f>
        <v>0</v>
      </c>
      <c r="X3415" s="74">
        <f>Devis[[#This Row],[Prix de Revient]]*Devis[[#This Row],[Poste 3]]</f>
        <v>0</v>
      </c>
      <c r="Y3415" s="74">
        <f>Devis[[#This Row],[Poste 4]]*Devis[[#This Row],[Prix de Revient]]</f>
        <v>0</v>
      </c>
      <c r="Z3415" s="74">
        <f>Devis[[#This Row],[Poste 5]]*Devis[[#This Row],[Prix de Revient]]</f>
        <v>0</v>
      </c>
      <c r="AA3415" s="74">
        <f>Devis[[#This Row],[Prix de Revient]]*Devis[[#This Row],[Poste 6]]</f>
        <v>0</v>
      </c>
      <c r="AB3415" s="74">
        <f>Devis[[#This Row],[Quantité Totale]]*Devis[[#This Row],[Prix de Revient]]</f>
        <v>0</v>
      </c>
    </row>
    <row r="3416" spans="1:28" ht="14.25" outlineLevel="1" x14ac:dyDescent="0.2">
      <c r="A3416" s="75" t="s">
        <v>2983</v>
      </c>
      <c r="B3416" s="76" t="s">
        <v>5193</v>
      </c>
      <c r="C3416" s="75" t="s">
        <v>5194</v>
      </c>
      <c r="D3416" s="81" t="str">
        <f t="shared" si="62"/>
        <v>TransairManchons Réduit FMRéduit FM</v>
      </c>
      <c r="E3416" s="104" t="s">
        <v>5201</v>
      </c>
      <c r="F3416" s="81">
        <v>5</v>
      </c>
      <c r="G3416" s="123">
        <v>66664063</v>
      </c>
      <c r="H3416" s="71" t="s">
        <v>3293</v>
      </c>
      <c r="I3416" s="104" t="s">
        <v>3069</v>
      </c>
      <c r="J3416" s="70">
        <f>IFERROR(VLOOKUP(Devis[[#This Row],[Ref Air Flux]],#REF!,3,FALSE),0)</f>
        <v>0</v>
      </c>
      <c r="K3416" s="68"/>
      <c r="L3416" s="68"/>
      <c r="M3416" s="68"/>
      <c r="N3416" s="68"/>
      <c r="O3416" s="68"/>
      <c r="P3416" s="68"/>
      <c r="Q3416" s="68">
        <f>SUM(Devis[[#This Row],[Poste 1]:[Poste 6]])</f>
        <v>0</v>
      </c>
      <c r="R3416" s="71"/>
      <c r="S3416" s="68">
        <f>_xlfn.CEILING.MATH(Devis[[#This Row],[Quantité Totale]],Devis[[#This Row],[Conditionnement]])</f>
        <v>0</v>
      </c>
      <c r="T3416" s="72"/>
      <c r="U3416" s="73"/>
      <c r="V3416" s="74">
        <f>Devis[[#This Row],[Prix de Revient]]*Devis[[#This Row],[Poste 1]]</f>
        <v>0</v>
      </c>
      <c r="W3416" s="74">
        <f>Devis[[#This Row],[Prix de Revient]]*Devis[[#This Row],[Poste 2]]</f>
        <v>0</v>
      </c>
      <c r="X3416" s="74">
        <f>Devis[[#This Row],[Prix de Revient]]*Devis[[#This Row],[Poste 3]]</f>
        <v>0</v>
      </c>
      <c r="Y3416" s="74">
        <f>Devis[[#This Row],[Poste 4]]*Devis[[#This Row],[Prix de Revient]]</f>
        <v>0</v>
      </c>
      <c r="Z3416" s="74">
        <f>Devis[[#This Row],[Poste 5]]*Devis[[#This Row],[Prix de Revient]]</f>
        <v>0</v>
      </c>
      <c r="AA3416" s="74">
        <f>Devis[[#This Row],[Prix de Revient]]*Devis[[#This Row],[Poste 6]]</f>
        <v>0</v>
      </c>
      <c r="AB3416" s="74">
        <f>Devis[[#This Row],[Quantité Totale]]*Devis[[#This Row],[Prix de Revient]]</f>
        <v>0</v>
      </c>
    </row>
    <row r="3417" spans="1:28" ht="14.25" outlineLevel="1" x14ac:dyDescent="0.2">
      <c r="A3417" s="75" t="s">
        <v>2983</v>
      </c>
      <c r="B3417" s="76" t="s">
        <v>5193</v>
      </c>
      <c r="C3417" s="75" t="s">
        <v>5194</v>
      </c>
      <c r="D3417" s="81" t="str">
        <f t="shared" si="62"/>
        <v>TransairManchons Réduit FMRéduit FM</v>
      </c>
      <c r="E3417" s="104" t="s">
        <v>5202</v>
      </c>
      <c r="F3417" s="81">
        <v>6</v>
      </c>
      <c r="G3417" s="75" t="s">
        <v>5203</v>
      </c>
      <c r="H3417" s="71" t="s">
        <v>3293</v>
      </c>
      <c r="I3417" s="75" t="s">
        <v>5203</v>
      </c>
      <c r="J3417" s="70">
        <f>IFERROR(VLOOKUP(Devis[[#This Row],[Ref Air Flux]],#REF!,3,FALSE),0)</f>
        <v>0</v>
      </c>
      <c r="K3417" s="68"/>
      <c r="L3417" s="68"/>
      <c r="M3417" s="68"/>
      <c r="N3417" s="68"/>
      <c r="O3417" s="68"/>
      <c r="P3417" s="68"/>
      <c r="Q3417" s="68">
        <f>SUM(Devis[[#This Row],[Poste 1]:[Poste 6]])</f>
        <v>0</v>
      </c>
      <c r="R3417" s="71"/>
      <c r="S3417" s="68">
        <f>_xlfn.CEILING.MATH(Devis[[#This Row],[Quantité Totale]],Devis[[#This Row],[Conditionnement]])</f>
        <v>0</v>
      </c>
      <c r="T3417" s="72"/>
      <c r="U3417" s="73"/>
      <c r="V3417" s="74">
        <f>Devis[[#This Row],[Prix de Revient]]*Devis[[#This Row],[Poste 1]]</f>
        <v>0</v>
      </c>
      <c r="W3417" s="74">
        <f>Devis[[#This Row],[Prix de Revient]]*Devis[[#This Row],[Poste 2]]</f>
        <v>0</v>
      </c>
      <c r="X3417" s="74">
        <f>Devis[[#This Row],[Prix de Revient]]*Devis[[#This Row],[Poste 3]]</f>
        <v>0</v>
      </c>
      <c r="Y3417" s="74">
        <f>Devis[[#This Row],[Poste 4]]*Devis[[#This Row],[Prix de Revient]]</f>
        <v>0</v>
      </c>
      <c r="Z3417" s="74">
        <f>Devis[[#This Row],[Poste 5]]*Devis[[#This Row],[Prix de Revient]]</f>
        <v>0</v>
      </c>
      <c r="AA3417" s="74">
        <f>Devis[[#This Row],[Prix de Revient]]*Devis[[#This Row],[Poste 6]]</f>
        <v>0</v>
      </c>
      <c r="AB3417" s="74">
        <f>Devis[[#This Row],[Quantité Totale]]*Devis[[#This Row],[Prix de Revient]]</f>
        <v>0</v>
      </c>
    </row>
    <row r="3418" spans="1:28" ht="14.25" outlineLevel="1" x14ac:dyDescent="0.2">
      <c r="A3418" s="75" t="s">
        <v>2983</v>
      </c>
      <c r="B3418" s="76" t="s">
        <v>5193</v>
      </c>
      <c r="C3418" s="75" t="s">
        <v>5194</v>
      </c>
      <c r="D3418" s="81" t="str">
        <f t="shared" si="62"/>
        <v>TransairManchons Réduit FMRéduit FM</v>
      </c>
      <c r="E3418" s="104" t="s">
        <v>5204</v>
      </c>
      <c r="F3418" s="81">
        <v>7</v>
      </c>
      <c r="G3418" s="123" t="s">
        <v>3313</v>
      </c>
      <c r="H3418" s="71" t="s">
        <v>3293</v>
      </c>
      <c r="I3418" s="104" t="s">
        <v>3070</v>
      </c>
      <c r="J3418" s="70">
        <f>IFERROR(VLOOKUP(Devis[[#This Row],[Ref Air Flux]],#REF!,3,FALSE),0)</f>
        <v>0</v>
      </c>
      <c r="K3418" s="68"/>
      <c r="L3418" s="68"/>
      <c r="M3418" s="68"/>
      <c r="N3418" s="68"/>
      <c r="O3418" s="68"/>
      <c r="P3418" s="68"/>
      <c r="Q3418" s="68">
        <f>SUM(Devis[[#This Row],[Poste 1]:[Poste 6]])</f>
        <v>0</v>
      </c>
      <c r="R3418" s="71"/>
      <c r="S3418" s="68">
        <f>_xlfn.CEILING.MATH(Devis[[#This Row],[Quantité Totale]],Devis[[#This Row],[Conditionnement]])</f>
        <v>0</v>
      </c>
      <c r="T3418" s="72"/>
      <c r="U3418" s="73"/>
      <c r="V3418" s="74">
        <f>Devis[[#This Row],[Prix de Revient]]*Devis[[#This Row],[Poste 1]]</f>
        <v>0</v>
      </c>
      <c r="W3418" s="74">
        <f>Devis[[#This Row],[Prix de Revient]]*Devis[[#This Row],[Poste 2]]</f>
        <v>0</v>
      </c>
      <c r="X3418" s="74">
        <f>Devis[[#This Row],[Prix de Revient]]*Devis[[#This Row],[Poste 3]]</f>
        <v>0</v>
      </c>
      <c r="Y3418" s="74">
        <f>Devis[[#This Row],[Poste 4]]*Devis[[#This Row],[Prix de Revient]]</f>
        <v>0</v>
      </c>
      <c r="Z3418" s="74">
        <f>Devis[[#This Row],[Poste 5]]*Devis[[#This Row],[Prix de Revient]]</f>
        <v>0</v>
      </c>
      <c r="AA3418" s="74">
        <f>Devis[[#This Row],[Prix de Revient]]*Devis[[#This Row],[Poste 6]]</f>
        <v>0</v>
      </c>
      <c r="AB3418" s="74">
        <f>Devis[[#This Row],[Quantité Totale]]*Devis[[#This Row],[Prix de Revient]]</f>
        <v>0</v>
      </c>
    </row>
    <row r="3419" spans="1:28" ht="14.25" outlineLevel="1" x14ac:dyDescent="0.2">
      <c r="A3419" s="75" t="s">
        <v>2983</v>
      </c>
      <c r="B3419" s="76" t="s">
        <v>5193</v>
      </c>
      <c r="C3419" s="75" t="s">
        <v>5194</v>
      </c>
      <c r="D3419" s="81" t="str">
        <f t="shared" ref="D3419:D3482" si="63">A3419&amp;B3419&amp;C3419</f>
        <v>TransairManchons Réduit FMRéduit FM</v>
      </c>
      <c r="E3419" s="104" t="s">
        <v>5205</v>
      </c>
      <c r="F3419" s="81">
        <v>8</v>
      </c>
      <c r="G3419" s="123" t="s">
        <v>3314</v>
      </c>
      <c r="H3419" s="71" t="s">
        <v>3293</v>
      </c>
      <c r="I3419" s="104" t="s">
        <v>3071</v>
      </c>
      <c r="J3419" s="70">
        <f>IFERROR(VLOOKUP(Devis[[#This Row],[Ref Air Flux]],#REF!,3,FALSE),0)</f>
        <v>0</v>
      </c>
      <c r="K3419" s="68"/>
      <c r="L3419" s="68"/>
      <c r="M3419" s="68"/>
      <c r="N3419" s="68"/>
      <c r="O3419" s="68"/>
      <c r="P3419" s="68"/>
      <c r="Q3419" s="68">
        <f>SUM(Devis[[#This Row],[Poste 1]:[Poste 6]])</f>
        <v>0</v>
      </c>
      <c r="R3419" s="71"/>
      <c r="S3419" s="68">
        <f>_xlfn.CEILING.MATH(Devis[[#This Row],[Quantité Totale]],Devis[[#This Row],[Conditionnement]])</f>
        <v>0</v>
      </c>
      <c r="T3419" s="72"/>
      <c r="U3419" s="73"/>
      <c r="V3419" s="74">
        <f>Devis[[#This Row],[Prix de Revient]]*Devis[[#This Row],[Poste 1]]</f>
        <v>0</v>
      </c>
      <c r="W3419" s="74">
        <f>Devis[[#This Row],[Prix de Revient]]*Devis[[#This Row],[Poste 2]]</f>
        <v>0</v>
      </c>
      <c r="X3419" s="74">
        <f>Devis[[#This Row],[Prix de Revient]]*Devis[[#This Row],[Poste 3]]</f>
        <v>0</v>
      </c>
      <c r="Y3419" s="74">
        <f>Devis[[#This Row],[Poste 4]]*Devis[[#This Row],[Prix de Revient]]</f>
        <v>0</v>
      </c>
      <c r="Z3419" s="74">
        <f>Devis[[#This Row],[Poste 5]]*Devis[[#This Row],[Prix de Revient]]</f>
        <v>0</v>
      </c>
      <c r="AA3419" s="74">
        <f>Devis[[#This Row],[Prix de Revient]]*Devis[[#This Row],[Poste 6]]</f>
        <v>0</v>
      </c>
      <c r="AB3419" s="74">
        <f>Devis[[#This Row],[Quantité Totale]]*Devis[[#This Row],[Prix de Revient]]</f>
        <v>0</v>
      </c>
    </row>
    <row r="3420" spans="1:28" ht="14.25" customHeight="1" outlineLevel="1" x14ac:dyDescent="0.2">
      <c r="A3420" s="75" t="s">
        <v>2983</v>
      </c>
      <c r="B3420" s="76" t="s">
        <v>5193</v>
      </c>
      <c r="C3420" s="75" t="s">
        <v>5194</v>
      </c>
      <c r="D3420" s="81" t="str">
        <f t="shared" si="63"/>
        <v>TransairManchons Réduit FMRéduit FM</v>
      </c>
      <c r="E3420" s="104" t="s">
        <v>5206</v>
      </c>
      <c r="F3420" s="81">
        <v>9</v>
      </c>
      <c r="G3420" s="123" t="s">
        <v>3315</v>
      </c>
      <c r="H3420" s="71" t="s">
        <v>3293</v>
      </c>
      <c r="I3420" s="104" t="s">
        <v>3072</v>
      </c>
      <c r="J3420" s="70">
        <f>IFERROR(VLOOKUP(Devis[[#This Row],[Ref Air Flux]],#REF!,3,FALSE),0)</f>
        <v>0</v>
      </c>
      <c r="K3420" s="68"/>
      <c r="L3420" s="68"/>
      <c r="M3420" s="68"/>
      <c r="N3420" s="68"/>
      <c r="O3420" s="68"/>
      <c r="P3420" s="68"/>
      <c r="Q3420" s="68">
        <f>SUM(Devis[[#This Row],[Poste 1]:[Poste 6]])</f>
        <v>0</v>
      </c>
      <c r="R3420" s="71"/>
      <c r="S3420" s="68">
        <f>_xlfn.CEILING.MATH(Devis[[#This Row],[Quantité Totale]],Devis[[#This Row],[Conditionnement]])</f>
        <v>0</v>
      </c>
      <c r="T3420" s="72"/>
      <c r="U3420" s="73"/>
      <c r="V3420" s="74">
        <f>Devis[[#This Row],[Prix de Revient]]*Devis[[#This Row],[Poste 1]]</f>
        <v>0</v>
      </c>
      <c r="W3420" s="74">
        <f>Devis[[#This Row],[Prix de Revient]]*Devis[[#This Row],[Poste 2]]</f>
        <v>0</v>
      </c>
      <c r="X3420" s="74">
        <f>Devis[[#This Row],[Prix de Revient]]*Devis[[#This Row],[Poste 3]]</f>
        <v>0</v>
      </c>
      <c r="Y3420" s="74">
        <f>Devis[[#This Row],[Poste 4]]*Devis[[#This Row],[Prix de Revient]]</f>
        <v>0</v>
      </c>
      <c r="Z3420" s="74">
        <f>Devis[[#This Row],[Poste 5]]*Devis[[#This Row],[Prix de Revient]]</f>
        <v>0</v>
      </c>
      <c r="AA3420" s="74">
        <f>Devis[[#This Row],[Prix de Revient]]*Devis[[#This Row],[Poste 6]]</f>
        <v>0</v>
      </c>
      <c r="AB3420" s="74">
        <f>Devis[[#This Row],[Quantité Totale]]*Devis[[#This Row],[Prix de Revient]]</f>
        <v>0</v>
      </c>
    </row>
    <row r="3421" spans="1:28" ht="14.25" outlineLevel="1" x14ac:dyDescent="0.2">
      <c r="A3421" s="75" t="s">
        <v>2983</v>
      </c>
      <c r="B3421" s="76" t="s">
        <v>5193</v>
      </c>
      <c r="C3421" s="75" t="s">
        <v>5194</v>
      </c>
      <c r="D3421" s="81" t="str">
        <f t="shared" si="63"/>
        <v>TransairManchons Réduit FMRéduit FM</v>
      </c>
      <c r="E3421" s="104" t="s">
        <v>5207</v>
      </c>
      <c r="F3421" s="81">
        <v>10</v>
      </c>
      <c r="G3421" s="123" t="s">
        <v>3316</v>
      </c>
      <c r="H3421" s="71" t="s">
        <v>3293</v>
      </c>
      <c r="I3421" s="104" t="s">
        <v>3073</v>
      </c>
      <c r="J3421" s="70">
        <f>IFERROR(VLOOKUP(Devis[[#This Row],[Ref Air Flux]],#REF!,3,FALSE),0)</f>
        <v>0</v>
      </c>
      <c r="K3421" s="68"/>
      <c r="L3421" s="68"/>
      <c r="M3421" s="68"/>
      <c r="N3421" s="68"/>
      <c r="O3421" s="68"/>
      <c r="P3421" s="68"/>
      <c r="Q3421" s="68">
        <f>SUM(Devis[[#This Row],[Poste 1]:[Poste 6]])</f>
        <v>0</v>
      </c>
      <c r="R3421" s="71"/>
      <c r="S3421" s="68">
        <f>_xlfn.CEILING.MATH(Devis[[#This Row],[Quantité Totale]],Devis[[#This Row],[Conditionnement]])</f>
        <v>0</v>
      </c>
      <c r="T3421" s="72"/>
      <c r="U3421" s="73"/>
      <c r="V3421" s="74">
        <f>Devis[[#This Row],[Prix de Revient]]*Devis[[#This Row],[Poste 1]]</f>
        <v>0</v>
      </c>
      <c r="W3421" s="74">
        <f>Devis[[#This Row],[Prix de Revient]]*Devis[[#This Row],[Poste 2]]</f>
        <v>0</v>
      </c>
      <c r="X3421" s="74">
        <f>Devis[[#This Row],[Prix de Revient]]*Devis[[#This Row],[Poste 3]]</f>
        <v>0</v>
      </c>
      <c r="Y3421" s="74">
        <f>Devis[[#This Row],[Poste 4]]*Devis[[#This Row],[Prix de Revient]]</f>
        <v>0</v>
      </c>
      <c r="Z3421" s="74">
        <f>Devis[[#This Row],[Poste 5]]*Devis[[#This Row],[Prix de Revient]]</f>
        <v>0</v>
      </c>
      <c r="AA3421" s="74">
        <f>Devis[[#This Row],[Prix de Revient]]*Devis[[#This Row],[Poste 6]]</f>
        <v>0</v>
      </c>
      <c r="AB3421" s="74">
        <f>Devis[[#This Row],[Quantité Totale]]*Devis[[#This Row],[Prix de Revient]]</f>
        <v>0</v>
      </c>
    </row>
    <row r="3422" spans="1:28" ht="14.25" customHeight="1" x14ac:dyDescent="0.25">
      <c r="A3422" s="65" t="s">
        <v>2983</v>
      </c>
      <c r="B3422" s="65" t="s">
        <v>3091</v>
      </c>
      <c r="C3422" s="76"/>
      <c r="D3422" s="81" t="str">
        <f t="shared" si="63"/>
        <v>TransairNourrices</v>
      </c>
      <c r="E3422" s="76"/>
      <c r="F3422" s="81">
        <v>0</v>
      </c>
      <c r="G3422" s="71"/>
      <c r="H3422" s="71"/>
      <c r="I3422" s="71"/>
      <c r="J3422" s="70">
        <f>IFERROR(VLOOKUP(Devis[[#This Row],[Ref Air Flux]],#REF!,3,FALSE),0)</f>
        <v>0</v>
      </c>
      <c r="K3422" s="68"/>
      <c r="L3422" s="68"/>
      <c r="M3422" s="68"/>
      <c r="N3422" s="68"/>
      <c r="O3422" s="68"/>
      <c r="P3422" s="68"/>
      <c r="Q3422" s="68">
        <f>SUM(Devis[[#This Row],[Poste 1]:[Poste 6]])</f>
        <v>0</v>
      </c>
      <c r="R3422" s="71"/>
      <c r="S3422" s="68">
        <f>_xlfn.CEILING.MATH(Devis[[#This Row],[Quantité Totale]],Devis[[#This Row],[Conditionnement]])</f>
        <v>0</v>
      </c>
      <c r="T3422" s="72"/>
      <c r="U3422" s="73"/>
      <c r="V3422" s="74">
        <f>Devis[[#This Row],[Prix de Revient]]*Devis[[#This Row],[Poste 1]]</f>
        <v>0</v>
      </c>
      <c r="W3422" s="74">
        <f>Devis[[#This Row],[Prix de Revient]]*Devis[[#This Row],[Poste 2]]</f>
        <v>0</v>
      </c>
      <c r="X3422" s="74">
        <f>Devis[[#This Row],[Prix de Revient]]*Devis[[#This Row],[Poste 3]]</f>
        <v>0</v>
      </c>
      <c r="Y3422" s="74">
        <f>Devis[[#This Row],[Poste 4]]*Devis[[#This Row],[Prix de Revient]]</f>
        <v>0</v>
      </c>
      <c r="Z3422" s="74">
        <f>Devis[[#This Row],[Poste 5]]*Devis[[#This Row],[Prix de Revient]]</f>
        <v>0</v>
      </c>
      <c r="AA3422" s="74">
        <f>Devis[[#This Row],[Prix de Revient]]*Devis[[#This Row],[Poste 6]]</f>
        <v>0</v>
      </c>
      <c r="AB3422" s="74">
        <f>Devis[[#This Row],[Quantité Totale]]*Devis[[#This Row],[Prix de Revient]]</f>
        <v>0</v>
      </c>
    </row>
    <row r="3423" spans="1:28" ht="14.25" outlineLevel="1" x14ac:dyDescent="0.2">
      <c r="A3423" s="75" t="s">
        <v>2983</v>
      </c>
      <c r="B3423" s="76" t="s">
        <v>3091</v>
      </c>
      <c r="C3423" s="75"/>
      <c r="D3423" s="81" t="str">
        <f t="shared" si="63"/>
        <v>TransairNourrices</v>
      </c>
      <c r="E3423" s="104" t="s">
        <v>3092</v>
      </c>
      <c r="F3423" s="81">
        <v>1</v>
      </c>
      <c r="G3423" s="123">
        <v>6651251204</v>
      </c>
      <c r="H3423" s="71" t="s">
        <v>3293</v>
      </c>
      <c r="I3423" s="104" t="s">
        <v>3093</v>
      </c>
      <c r="J3423" s="70">
        <f>IFERROR(VLOOKUP(Devis[[#This Row],[Ref Air Flux]],#REF!,3,FALSE),0)</f>
        <v>0</v>
      </c>
      <c r="K3423" s="68"/>
      <c r="L3423" s="68"/>
      <c r="M3423" s="68"/>
      <c r="N3423" s="68"/>
      <c r="O3423" s="68"/>
      <c r="P3423" s="68"/>
      <c r="Q3423" s="68">
        <f>SUM(Devis[[#This Row],[Poste 1]:[Poste 6]])</f>
        <v>0</v>
      </c>
      <c r="R3423" s="71"/>
      <c r="S3423" s="68">
        <f>_xlfn.CEILING.MATH(Devis[[#This Row],[Quantité Totale]],Devis[[#This Row],[Conditionnement]])</f>
        <v>0</v>
      </c>
      <c r="T3423" s="72"/>
      <c r="U3423" s="73"/>
      <c r="V3423" s="74">
        <f>Devis[[#This Row],[Prix de Revient]]*Devis[[#This Row],[Poste 1]]</f>
        <v>0</v>
      </c>
      <c r="W3423" s="74">
        <f>Devis[[#This Row],[Prix de Revient]]*Devis[[#This Row],[Poste 2]]</f>
        <v>0</v>
      </c>
      <c r="X3423" s="74">
        <f>Devis[[#This Row],[Prix de Revient]]*Devis[[#This Row],[Poste 3]]</f>
        <v>0</v>
      </c>
      <c r="Y3423" s="74">
        <f>Devis[[#This Row],[Poste 4]]*Devis[[#This Row],[Prix de Revient]]</f>
        <v>0</v>
      </c>
      <c r="Z3423" s="74">
        <f>Devis[[#This Row],[Poste 5]]*Devis[[#This Row],[Prix de Revient]]</f>
        <v>0</v>
      </c>
      <c r="AA3423" s="74">
        <f>Devis[[#This Row],[Prix de Revient]]*Devis[[#This Row],[Poste 6]]</f>
        <v>0</v>
      </c>
      <c r="AB3423" s="74">
        <f>Devis[[#This Row],[Quantité Totale]]*Devis[[#This Row],[Prix de Revient]]</f>
        <v>0</v>
      </c>
    </row>
    <row r="3424" spans="1:28" ht="14.25" outlineLevel="1" x14ac:dyDescent="0.2">
      <c r="A3424" s="75" t="s">
        <v>2983</v>
      </c>
      <c r="B3424" s="76" t="s">
        <v>3091</v>
      </c>
      <c r="C3424" s="75"/>
      <c r="D3424" s="81" t="str">
        <f t="shared" si="63"/>
        <v>TransairNourrices</v>
      </c>
      <c r="E3424" s="104" t="s">
        <v>3094</v>
      </c>
      <c r="F3424" s="81">
        <v>2</v>
      </c>
      <c r="G3424" s="123">
        <v>6652252106</v>
      </c>
      <c r="H3424" s="71" t="s">
        <v>3293</v>
      </c>
      <c r="I3424" s="104" t="s">
        <v>3095</v>
      </c>
      <c r="J3424" s="70">
        <f>IFERROR(VLOOKUP(Devis[[#This Row],[Ref Air Flux]],#REF!,3,FALSE),0)</f>
        <v>0</v>
      </c>
      <c r="K3424" s="68"/>
      <c r="L3424" s="68"/>
      <c r="M3424" s="68"/>
      <c r="N3424" s="68"/>
      <c r="O3424" s="68"/>
      <c r="P3424" s="68"/>
      <c r="Q3424" s="68">
        <f>SUM(Devis[[#This Row],[Poste 1]:[Poste 6]])</f>
        <v>0</v>
      </c>
      <c r="R3424" s="71"/>
      <c r="S3424" s="68">
        <f>_xlfn.CEILING.MATH(Devis[[#This Row],[Quantité Totale]],Devis[[#This Row],[Conditionnement]])</f>
        <v>0</v>
      </c>
      <c r="T3424" s="72"/>
      <c r="U3424" s="73"/>
      <c r="V3424" s="74">
        <f>Devis[[#This Row],[Prix de Revient]]*Devis[[#This Row],[Poste 1]]</f>
        <v>0</v>
      </c>
      <c r="W3424" s="74">
        <f>Devis[[#This Row],[Prix de Revient]]*Devis[[#This Row],[Poste 2]]</f>
        <v>0</v>
      </c>
      <c r="X3424" s="74">
        <f>Devis[[#This Row],[Prix de Revient]]*Devis[[#This Row],[Poste 3]]</f>
        <v>0</v>
      </c>
      <c r="Y3424" s="74">
        <f>Devis[[#This Row],[Poste 4]]*Devis[[#This Row],[Prix de Revient]]</f>
        <v>0</v>
      </c>
      <c r="Z3424" s="74">
        <f>Devis[[#This Row],[Poste 5]]*Devis[[#This Row],[Prix de Revient]]</f>
        <v>0</v>
      </c>
      <c r="AA3424" s="74">
        <f>Devis[[#This Row],[Prix de Revient]]*Devis[[#This Row],[Poste 6]]</f>
        <v>0</v>
      </c>
      <c r="AB3424" s="74">
        <f>Devis[[#This Row],[Quantité Totale]]*Devis[[#This Row],[Prix de Revient]]</f>
        <v>0</v>
      </c>
    </row>
    <row r="3425" spans="1:28" ht="14.25" customHeight="1" x14ac:dyDescent="0.25">
      <c r="A3425" s="65" t="s">
        <v>2983</v>
      </c>
      <c r="B3425" s="65" t="s">
        <v>5208</v>
      </c>
      <c r="C3425" s="76"/>
      <c r="D3425" s="81" t="str">
        <f t="shared" si="63"/>
        <v>TransairPiquage</v>
      </c>
      <c r="E3425" s="76"/>
      <c r="F3425" s="81">
        <v>0</v>
      </c>
      <c r="G3425" s="71"/>
      <c r="H3425" s="71"/>
      <c r="I3425" s="71"/>
      <c r="J3425" s="70">
        <f>IFERROR(VLOOKUP(Devis[[#This Row],[Ref Air Flux]],#REF!,3,FALSE),0)</f>
        <v>0</v>
      </c>
      <c r="K3425" s="68"/>
      <c r="L3425" s="68"/>
      <c r="M3425" s="68"/>
      <c r="N3425" s="68"/>
      <c r="O3425" s="68"/>
      <c r="P3425" s="68"/>
      <c r="Q3425" s="68">
        <f>SUM(Devis[[#This Row],[Poste 1]:[Poste 6]])</f>
        <v>0</v>
      </c>
      <c r="R3425" s="71"/>
      <c r="S3425" s="68">
        <f>_xlfn.CEILING.MATH(Devis[[#This Row],[Quantité Totale]],Devis[[#This Row],[Conditionnement]])</f>
        <v>0</v>
      </c>
      <c r="T3425" s="72"/>
      <c r="U3425" s="73"/>
      <c r="V3425" s="74">
        <f>Devis[[#This Row],[Prix de Revient]]*Devis[[#This Row],[Poste 1]]</f>
        <v>0</v>
      </c>
      <c r="W3425" s="74">
        <f>Devis[[#This Row],[Prix de Revient]]*Devis[[#This Row],[Poste 2]]</f>
        <v>0</v>
      </c>
      <c r="X3425" s="74">
        <f>Devis[[#This Row],[Prix de Revient]]*Devis[[#This Row],[Poste 3]]</f>
        <v>0</v>
      </c>
      <c r="Y3425" s="74">
        <f>Devis[[#This Row],[Poste 4]]*Devis[[#This Row],[Prix de Revient]]</f>
        <v>0</v>
      </c>
      <c r="Z3425" s="74">
        <f>Devis[[#This Row],[Poste 5]]*Devis[[#This Row],[Prix de Revient]]</f>
        <v>0</v>
      </c>
      <c r="AA3425" s="74">
        <f>Devis[[#This Row],[Prix de Revient]]*Devis[[#This Row],[Poste 6]]</f>
        <v>0</v>
      </c>
      <c r="AB3425" s="74">
        <f>Devis[[#This Row],[Quantité Totale]]*Devis[[#This Row],[Prix de Revient]]</f>
        <v>0</v>
      </c>
    </row>
    <row r="3426" spans="1:28" ht="14.25" outlineLevel="1" x14ac:dyDescent="0.2">
      <c r="A3426" s="75" t="s">
        <v>2983</v>
      </c>
      <c r="B3426" s="76" t="s">
        <v>5208</v>
      </c>
      <c r="C3426" s="75" t="s">
        <v>5209</v>
      </c>
      <c r="D3426" s="81" t="str">
        <f t="shared" si="63"/>
        <v>TransairPiquageA emboiter</v>
      </c>
      <c r="E3426" s="104" t="s">
        <v>5195</v>
      </c>
      <c r="F3426" s="81">
        <v>1</v>
      </c>
      <c r="G3426" s="123">
        <v>66622517</v>
      </c>
      <c r="H3426" s="71" t="s">
        <v>3293</v>
      </c>
      <c r="I3426" s="104" t="s">
        <v>2998</v>
      </c>
      <c r="J3426" s="70">
        <f>IFERROR(VLOOKUP(Devis[[#This Row],[Ref Air Flux]],#REF!,3,FALSE),0)</f>
        <v>0</v>
      </c>
      <c r="K3426" s="68"/>
      <c r="L3426" s="68"/>
      <c r="M3426" s="68"/>
      <c r="N3426" s="68"/>
      <c r="O3426" s="68"/>
      <c r="P3426" s="68"/>
      <c r="Q3426" s="68">
        <f>SUM(Devis[[#This Row],[Poste 1]:[Poste 6]])</f>
        <v>0</v>
      </c>
      <c r="R3426" s="71"/>
      <c r="S3426" s="68">
        <f>_xlfn.CEILING.MATH(Devis[[#This Row],[Quantité Totale]],Devis[[#This Row],[Conditionnement]])</f>
        <v>0</v>
      </c>
      <c r="T3426" s="72"/>
      <c r="U3426" s="73"/>
      <c r="V3426" s="74">
        <f>Devis[[#This Row],[Prix de Revient]]*Devis[[#This Row],[Poste 1]]</f>
        <v>0</v>
      </c>
      <c r="W3426" s="74">
        <f>Devis[[#This Row],[Prix de Revient]]*Devis[[#This Row],[Poste 2]]</f>
        <v>0</v>
      </c>
      <c r="X3426" s="74">
        <f>Devis[[#This Row],[Prix de Revient]]*Devis[[#This Row],[Poste 3]]</f>
        <v>0</v>
      </c>
      <c r="Y3426" s="74">
        <f>Devis[[#This Row],[Poste 4]]*Devis[[#This Row],[Prix de Revient]]</f>
        <v>0</v>
      </c>
      <c r="Z3426" s="74">
        <f>Devis[[#This Row],[Poste 5]]*Devis[[#This Row],[Prix de Revient]]</f>
        <v>0</v>
      </c>
      <c r="AA3426" s="74">
        <f>Devis[[#This Row],[Prix de Revient]]*Devis[[#This Row],[Poste 6]]</f>
        <v>0</v>
      </c>
      <c r="AB3426" s="74">
        <f>Devis[[#This Row],[Quantité Totale]]*Devis[[#This Row],[Prix de Revient]]</f>
        <v>0</v>
      </c>
    </row>
    <row r="3427" spans="1:28" ht="15" customHeight="1" outlineLevel="1" x14ac:dyDescent="0.2">
      <c r="A3427" s="75" t="s">
        <v>2983</v>
      </c>
      <c r="B3427" s="76" t="s">
        <v>5208</v>
      </c>
      <c r="C3427" s="75" t="s">
        <v>5209</v>
      </c>
      <c r="D3427" s="81" t="str">
        <f t="shared" si="63"/>
        <v>TransairPiquageA emboiter</v>
      </c>
      <c r="E3427" s="104" t="s">
        <v>3003</v>
      </c>
      <c r="F3427" s="81">
        <v>2</v>
      </c>
      <c r="G3427" s="123" t="s">
        <v>3299</v>
      </c>
      <c r="H3427" s="71" t="s">
        <v>3293</v>
      </c>
      <c r="I3427" s="104" t="s">
        <v>3004</v>
      </c>
      <c r="J3427" s="70">
        <f>IFERROR(VLOOKUP(Devis[[#This Row],[Ref Air Flux]],#REF!,3,FALSE),0)</f>
        <v>0</v>
      </c>
      <c r="K3427" s="68"/>
      <c r="L3427" s="68"/>
      <c r="M3427" s="68"/>
      <c r="N3427" s="68"/>
      <c r="O3427" s="68"/>
      <c r="P3427" s="68"/>
      <c r="Q3427" s="68">
        <f>SUM(Devis[[#This Row],[Poste 1]:[Poste 6]])</f>
        <v>0</v>
      </c>
      <c r="R3427" s="71"/>
      <c r="S3427" s="68">
        <f>_xlfn.CEILING.MATH(Devis[[#This Row],[Quantité Totale]],Devis[[#This Row],[Conditionnement]])</f>
        <v>0</v>
      </c>
      <c r="T3427" s="72"/>
      <c r="U3427" s="73"/>
      <c r="V3427" s="74">
        <f>Devis[[#This Row],[Prix de Revient]]*Devis[[#This Row],[Poste 1]]</f>
        <v>0</v>
      </c>
      <c r="W3427" s="74">
        <f>Devis[[#This Row],[Prix de Revient]]*Devis[[#This Row],[Poste 2]]</f>
        <v>0</v>
      </c>
      <c r="X3427" s="74">
        <f>Devis[[#This Row],[Prix de Revient]]*Devis[[#This Row],[Poste 3]]</f>
        <v>0</v>
      </c>
      <c r="Y3427" s="74">
        <f>Devis[[#This Row],[Poste 4]]*Devis[[#This Row],[Prix de Revient]]</f>
        <v>0</v>
      </c>
      <c r="Z3427" s="74">
        <f>Devis[[#This Row],[Poste 5]]*Devis[[#This Row],[Prix de Revient]]</f>
        <v>0</v>
      </c>
      <c r="AA3427" s="74">
        <f>Devis[[#This Row],[Prix de Revient]]*Devis[[#This Row],[Poste 6]]</f>
        <v>0</v>
      </c>
      <c r="AB3427" s="74">
        <f>Devis[[#This Row],[Quantité Totale]]*Devis[[#This Row],[Prix de Revient]]</f>
        <v>0</v>
      </c>
    </row>
    <row r="3428" spans="1:28" ht="14.25" outlineLevel="1" x14ac:dyDescent="0.2">
      <c r="A3428" s="75" t="s">
        <v>2983</v>
      </c>
      <c r="B3428" s="76" t="s">
        <v>5208</v>
      </c>
      <c r="C3428" s="75" t="s">
        <v>5209</v>
      </c>
      <c r="D3428" s="81" t="str">
        <f t="shared" si="63"/>
        <v>TransairPiquageA emboiter</v>
      </c>
      <c r="E3428" s="104" t="s">
        <v>5210</v>
      </c>
      <c r="F3428" s="81">
        <v>3</v>
      </c>
      <c r="G3428" s="123">
        <v>66622500</v>
      </c>
      <c r="H3428" s="71" t="s">
        <v>3293</v>
      </c>
      <c r="I3428" s="104" t="s">
        <v>2999</v>
      </c>
      <c r="J3428" s="70">
        <f>IFERROR(VLOOKUP(Devis[[#This Row],[Ref Air Flux]],#REF!,3,FALSE),0)</f>
        <v>0</v>
      </c>
      <c r="K3428" s="68"/>
      <c r="L3428" s="68"/>
      <c r="M3428" s="68"/>
      <c r="N3428" s="68"/>
      <c r="O3428" s="68"/>
      <c r="P3428" s="68"/>
      <c r="Q3428" s="68">
        <f>SUM(Devis[[#This Row],[Poste 1]:[Poste 6]])</f>
        <v>0</v>
      </c>
      <c r="R3428" s="71"/>
      <c r="S3428" s="68">
        <f>_xlfn.CEILING.MATH(Devis[[#This Row],[Quantité Totale]],Devis[[#This Row],[Conditionnement]])</f>
        <v>0</v>
      </c>
      <c r="T3428" s="72"/>
      <c r="U3428" s="73"/>
      <c r="V3428" s="74">
        <f>Devis[[#This Row],[Prix de Revient]]*Devis[[#This Row],[Poste 1]]</f>
        <v>0</v>
      </c>
      <c r="W3428" s="74">
        <f>Devis[[#This Row],[Prix de Revient]]*Devis[[#This Row],[Poste 2]]</f>
        <v>0</v>
      </c>
      <c r="X3428" s="74">
        <f>Devis[[#This Row],[Prix de Revient]]*Devis[[#This Row],[Poste 3]]</f>
        <v>0</v>
      </c>
      <c r="Y3428" s="74">
        <f>Devis[[#This Row],[Poste 4]]*Devis[[#This Row],[Prix de Revient]]</f>
        <v>0</v>
      </c>
      <c r="Z3428" s="74">
        <f>Devis[[#This Row],[Poste 5]]*Devis[[#This Row],[Prix de Revient]]</f>
        <v>0</v>
      </c>
      <c r="AA3428" s="74">
        <f>Devis[[#This Row],[Prix de Revient]]*Devis[[#This Row],[Poste 6]]</f>
        <v>0</v>
      </c>
      <c r="AB3428" s="74">
        <f>Devis[[#This Row],[Quantité Totale]]*Devis[[#This Row],[Prix de Revient]]</f>
        <v>0</v>
      </c>
    </row>
    <row r="3429" spans="1:28" ht="14.25" outlineLevel="1" x14ac:dyDescent="0.2">
      <c r="A3429" s="75" t="s">
        <v>2983</v>
      </c>
      <c r="B3429" s="76" t="s">
        <v>5208</v>
      </c>
      <c r="C3429" s="75" t="s">
        <v>5209</v>
      </c>
      <c r="D3429" s="81" t="str">
        <f t="shared" si="63"/>
        <v>TransairPiquageA emboiter</v>
      </c>
      <c r="E3429" s="104" t="s">
        <v>5211</v>
      </c>
      <c r="F3429" s="81">
        <v>4</v>
      </c>
      <c r="G3429" s="123">
        <v>66624017</v>
      </c>
      <c r="H3429" s="71" t="s">
        <v>3293</v>
      </c>
      <c r="I3429" s="104" t="s">
        <v>3000</v>
      </c>
      <c r="J3429" s="70">
        <f>IFERROR(VLOOKUP(Devis[[#This Row],[Ref Air Flux]],#REF!,3,FALSE),0)</f>
        <v>0</v>
      </c>
      <c r="K3429" s="68"/>
      <c r="L3429" s="68"/>
      <c r="M3429" s="68"/>
      <c r="N3429" s="68"/>
      <c r="O3429" s="68"/>
      <c r="P3429" s="68"/>
      <c r="Q3429" s="68">
        <f>SUM(Devis[[#This Row],[Poste 1]:[Poste 6]])</f>
        <v>0</v>
      </c>
      <c r="R3429" s="71"/>
      <c r="S3429" s="68">
        <f>_xlfn.CEILING.MATH(Devis[[#This Row],[Quantité Totale]],Devis[[#This Row],[Conditionnement]])</f>
        <v>0</v>
      </c>
      <c r="T3429" s="72"/>
      <c r="U3429" s="73"/>
      <c r="V3429" s="74">
        <f>Devis[[#This Row],[Prix de Revient]]*Devis[[#This Row],[Poste 1]]</f>
        <v>0</v>
      </c>
      <c r="W3429" s="74">
        <f>Devis[[#This Row],[Prix de Revient]]*Devis[[#This Row],[Poste 2]]</f>
        <v>0</v>
      </c>
      <c r="X3429" s="74">
        <f>Devis[[#This Row],[Prix de Revient]]*Devis[[#This Row],[Poste 3]]</f>
        <v>0</v>
      </c>
      <c r="Y3429" s="74">
        <f>Devis[[#This Row],[Poste 4]]*Devis[[#This Row],[Prix de Revient]]</f>
        <v>0</v>
      </c>
      <c r="Z3429" s="74">
        <f>Devis[[#This Row],[Poste 5]]*Devis[[#This Row],[Prix de Revient]]</f>
        <v>0</v>
      </c>
      <c r="AA3429" s="74">
        <f>Devis[[#This Row],[Prix de Revient]]*Devis[[#This Row],[Poste 6]]</f>
        <v>0</v>
      </c>
      <c r="AB3429" s="74">
        <f>Devis[[#This Row],[Quantité Totale]]*Devis[[#This Row],[Prix de Revient]]</f>
        <v>0</v>
      </c>
    </row>
    <row r="3430" spans="1:28" ht="15" customHeight="1" outlineLevel="1" x14ac:dyDescent="0.2">
      <c r="A3430" s="75" t="s">
        <v>2983</v>
      </c>
      <c r="B3430" s="76" t="s">
        <v>5208</v>
      </c>
      <c r="C3430" s="75" t="s">
        <v>5209</v>
      </c>
      <c r="D3430" s="81" t="str">
        <f t="shared" si="63"/>
        <v>TransairPiquageA emboiter</v>
      </c>
      <c r="E3430" s="104" t="s">
        <v>5196</v>
      </c>
      <c r="F3430" s="81">
        <v>5</v>
      </c>
      <c r="G3430" s="123">
        <v>66624025</v>
      </c>
      <c r="H3430" s="71" t="s">
        <v>3293</v>
      </c>
      <c r="I3430" s="104" t="s">
        <v>3001</v>
      </c>
      <c r="J3430" s="70">
        <f>IFERROR(VLOOKUP(Devis[[#This Row],[Ref Air Flux]],#REF!,3,FALSE),0)</f>
        <v>0</v>
      </c>
      <c r="K3430" s="68"/>
      <c r="L3430" s="68"/>
      <c r="M3430" s="68"/>
      <c r="N3430" s="68"/>
      <c r="O3430" s="68"/>
      <c r="P3430" s="68"/>
      <c r="Q3430" s="68">
        <f>SUM(Devis[[#This Row],[Poste 1]:[Poste 6]])</f>
        <v>0</v>
      </c>
      <c r="R3430" s="71"/>
      <c r="S3430" s="68">
        <f>_xlfn.CEILING.MATH(Devis[[#This Row],[Quantité Totale]],Devis[[#This Row],[Conditionnement]])</f>
        <v>0</v>
      </c>
      <c r="T3430" s="72"/>
      <c r="U3430" s="73"/>
      <c r="V3430" s="74">
        <f>Devis[[#This Row],[Prix de Revient]]*Devis[[#This Row],[Poste 1]]</f>
        <v>0</v>
      </c>
      <c r="W3430" s="74">
        <f>Devis[[#This Row],[Prix de Revient]]*Devis[[#This Row],[Poste 2]]</f>
        <v>0</v>
      </c>
      <c r="X3430" s="74">
        <f>Devis[[#This Row],[Prix de Revient]]*Devis[[#This Row],[Poste 3]]</f>
        <v>0</v>
      </c>
      <c r="Y3430" s="74">
        <f>Devis[[#This Row],[Poste 4]]*Devis[[#This Row],[Prix de Revient]]</f>
        <v>0</v>
      </c>
      <c r="Z3430" s="74">
        <f>Devis[[#This Row],[Poste 5]]*Devis[[#This Row],[Prix de Revient]]</f>
        <v>0</v>
      </c>
      <c r="AA3430" s="74">
        <f>Devis[[#This Row],[Prix de Revient]]*Devis[[#This Row],[Poste 6]]</f>
        <v>0</v>
      </c>
      <c r="AB3430" s="74">
        <f>Devis[[#This Row],[Quantité Totale]]*Devis[[#This Row],[Prix de Revient]]</f>
        <v>0</v>
      </c>
    </row>
    <row r="3431" spans="1:28" ht="14.25" customHeight="1" outlineLevel="1" x14ac:dyDescent="0.2">
      <c r="A3431" s="75" t="s">
        <v>2983</v>
      </c>
      <c r="B3431" s="76" t="s">
        <v>5208</v>
      </c>
      <c r="C3431" s="75" t="s">
        <v>5209</v>
      </c>
      <c r="D3431" s="81" t="str">
        <f t="shared" si="63"/>
        <v>TransairPiquageA emboiter</v>
      </c>
      <c r="E3431" s="104" t="s">
        <v>3005</v>
      </c>
      <c r="F3431" s="81">
        <v>6</v>
      </c>
      <c r="G3431" s="123" t="s">
        <v>3300</v>
      </c>
      <c r="H3431" s="71" t="s">
        <v>3293</v>
      </c>
      <c r="I3431" s="104" t="s">
        <v>3006</v>
      </c>
      <c r="J3431" s="70">
        <f>IFERROR(VLOOKUP(Devis[[#This Row],[Ref Air Flux]],#REF!,3,FALSE),0)</f>
        <v>0</v>
      </c>
      <c r="K3431" s="68"/>
      <c r="L3431" s="68"/>
      <c r="M3431" s="68"/>
      <c r="N3431" s="68"/>
      <c r="O3431" s="68"/>
      <c r="P3431" s="68"/>
      <c r="Q3431" s="68">
        <f>SUM(Devis[[#This Row],[Poste 1]:[Poste 6]])</f>
        <v>0</v>
      </c>
      <c r="R3431" s="71"/>
      <c r="S3431" s="68">
        <f>_xlfn.CEILING.MATH(Devis[[#This Row],[Quantité Totale]],Devis[[#This Row],[Conditionnement]])</f>
        <v>0</v>
      </c>
      <c r="T3431" s="72"/>
      <c r="U3431" s="73"/>
      <c r="V3431" s="74">
        <f>Devis[[#This Row],[Prix de Revient]]*Devis[[#This Row],[Poste 1]]</f>
        <v>0</v>
      </c>
      <c r="W3431" s="74">
        <f>Devis[[#This Row],[Prix de Revient]]*Devis[[#This Row],[Poste 2]]</f>
        <v>0</v>
      </c>
      <c r="X3431" s="74">
        <f>Devis[[#This Row],[Prix de Revient]]*Devis[[#This Row],[Poste 3]]</f>
        <v>0</v>
      </c>
      <c r="Y3431" s="74">
        <f>Devis[[#This Row],[Poste 4]]*Devis[[#This Row],[Prix de Revient]]</f>
        <v>0</v>
      </c>
      <c r="Z3431" s="74">
        <f>Devis[[#This Row],[Poste 5]]*Devis[[#This Row],[Prix de Revient]]</f>
        <v>0</v>
      </c>
      <c r="AA3431" s="74">
        <f>Devis[[#This Row],[Prix de Revient]]*Devis[[#This Row],[Poste 6]]</f>
        <v>0</v>
      </c>
      <c r="AB3431" s="74">
        <f>Devis[[#This Row],[Quantité Totale]]*Devis[[#This Row],[Prix de Revient]]</f>
        <v>0</v>
      </c>
    </row>
    <row r="3432" spans="1:28" ht="14.25" outlineLevel="1" x14ac:dyDescent="0.2">
      <c r="A3432" s="75" t="s">
        <v>2983</v>
      </c>
      <c r="B3432" s="76" t="s">
        <v>5208</v>
      </c>
      <c r="C3432" s="75" t="s">
        <v>5209</v>
      </c>
      <c r="D3432" s="81" t="str">
        <f t="shared" si="63"/>
        <v>TransairPiquageA emboiter</v>
      </c>
      <c r="E3432" s="104" t="s">
        <v>5197</v>
      </c>
      <c r="F3432" s="81">
        <v>7</v>
      </c>
      <c r="G3432" s="75">
        <v>66625025</v>
      </c>
      <c r="H3432" s="71" t="s">
        <v>3293</v>
      </c>
      <c r="I3432" s="75" t="s">
        <v>5212</v>
      </c>
      <c r="J3432" s="70">
        <f>IFERROR(VLOOKUP(Devis[[#This Row],[Ref Air Flux]],#REF!,3,FALSE),0)</f>
        <v>0</v>
      </c>
      <c r="K3432" s="68"/>
      <c r="L3432" s="68"/>
      <c r="M3432" s="68"/>
      <c r="N3432" s="68"/>
      <c r="O3432" s="68"/>
      <c r="P3432" s="68"/>
      <c r="Q3432" s="68">
        <f>SUM(Devis[[#This Row],[Poste 1]:[Poste 6]])</f>
        <v>0</v>
      </c>
      <c r="R3432" s="71"/>
      <c r="S3432" s="68">
        <f>_xlfn.CEILING.MATH(Devis[[#This Row],[Quantité Totale]],Devis[[#This Row],[Conditionnement]])</f>
        <v>0</v>
      </c>
      <c r="T3432" s="72"/>
      <c r="U3432" s="73"/>
      <c r="V3432" s="74">
        <f>Devis[[#This Row],[Prix de Revient]]*Devis[[#This Row],[Poste 1]]</f>
        <v>0</v>
      </c>
      <c r="W3432" s="74">
        <f>Devis[[#This Row],[Prix de Revient]]*Devis[[#This Row],[Poste 2]]</f>
        <v>0</v>
      </c>
      <c r="X3432" s="74">
        <f>Devis[[#This Row],[Prix de Revient]]*Devis[[#This Row],[Poste 3]]</f>
        <v>0</v>
      </c>
      <c r="Y3432" s="74">
        <f>Devis[[#This Row],[Poste 4]]*Devis[[#This Row],[Prix de Revient]]</f>
        <v>0</v>
      </c>
      <c r="Z3432" s="74">
        <f>Devis[[#This Row],[Poste 5]]*Devis[[#This Row],[Prix de Revient]]</f>
        <v>0</v>
      </c>
      <c r="AA3432" s="74">
        <f>Devis[[#This Row],[Prix de Revient]]*Devis[[#This Row],[Poste 6]]</f>
        <v>0</v>
      </c>
      <c r="AB3432" s="74">
        <f>Devis[[#This Row],[Quantité Totale]]*Devis[[#This Row],[Prix de Revient]]</f>
        <v>0</v>
      </c>
    </row>
    <row r="3433" spans="1:28" ht="14.25" outlineLevel="1" x14ac:dyDescent="0.2">
      <c r="A3433" s="75" t="s">
        <v>2983</v>
      </c>
      <c r="B3433" s="76" t="s">
        <v>5208</v>
      </c>
      <c r="C3433" s="75" t="s">
        <v>5209</v>
      </c>
      <c r="D3433" s="81" t="str">
        <f t="shared" si="63"/>
        <v>TransairPiquageA emboiter</v>
      </c>
      <c r="E3433" s="104" t="s">
        <v>5213</v>
      </c>
      <c r="F3433" s="81">
        <v>8</v>
      </c>
      <c r="G3433" s="123">
        <v>66626325</v>
      </c>
      <c r="H3433" s="71" t="s">
        <v>3293</v>
      </c>
      <c r="I3433" s="104" t="s">
        <v>3002</v>
      </c>
      <c r="J3433" s="70">
        <f>IFERROR(VLOOKUP(Devis[[#This Row],[Ref Air Flux]],#REF!,3,FALSE),0)</f>
        <v>0</v>
      </c>
      <c r="K3433" s="68"/>
      <c r="L3433" s="68"/>
      <c r="M3433" s="68"/>
      <c r="N3433" s="68"/>
      <c r="O3433" s="68"/>
      <c r="P3433" s="68"/>
      <c r="Q3433" s="68">
        <f>SUM(Devis[[#This Row],[Poste 1]:[Poste 6]])</f>
        <v>0</v>
      </c>
      <c r="R3433" s="71"/>
      <c r="S3433" s="68">
        <f>_xlfn.CEILING.MATH(Devis[[#This Row],[Quantité Totale]],Devis[[#This Row],[Conditionnement]])</f>
        <v>0</v>
      </c>
      <c r="T3433" s="72"/>
      <c r="U3433" s="73"/>
      <c r="V3433" s="74">
        <f>Devis[[#This Row],[Prix de Revient]]*Devis[[#This Row],[Poste 1]]</f>
        <v>0</v>
      </c>
      <c r="W3433" s="74">
        <f>Devis[[#This Row],[Prix de Revient]]*Devis[[#This Row],[Poste 2]]</f>
        <v>0</v>
      </c>
      <c r="X3433" s="74">
        <f>Devis[[#This Row],[Prix de Revient]]*Devis[[#This Row],[Poste 3]]</f>
        <v>0</v>
      </c>
      <c r="Y3433" s="74">
        <f>Devis[[#This Row],[Poste 4]]*Devis[[#This Row],[Prix de Revient]]</f>
        <v>0</v>
      </c>
      <c r="Z3433" s="74">
        <f>Devis[[#This Row],[Poste 5]]*Devis[[#This Row],[Prix de Revient]]</f>
        <v>0</v>
      </c>
      <c r="AA3433" s="74">
        <f>Devis[[#This Row],[Prix de Revient]]*Devis[[#This Row],[Poste 6]]</f>
        <v>0</v>
      </c>
      <c r="AB3433" s="74">
        <f>Devis[[#This Row],[Quantité Totale]]*Devis[[#This Row],[Prix de Revient]]</f>
        <v>0</v>
      </c>
    </row>
    <row r="3434" spans="1:28" ht="14.25" outlineLevel="1" x14ac:dyDescent="0.2">
      <c r="A3434" s="75" t="s">
        <v>2983</v>
      </c>
      <c r="B3434" s="76" t="s">
        <v>5208</v>
      </c>
      <c r="C3434" s="75" t="s">
        <v>5214</v>
      </c>
      <c r="D3434" s="81" t="str">
        <f t="shared" si="63"/>
        <v>TransairPiquageA visser</v>
      </c>
      <c r="E3434" s="104" t="s">
        <v>5215</v>
      </c>
      <c r="F3434" s="81">
        <v>9</v>
      </c>
      <c r="G3434" s="123">
        <v>66612521</v>
      </c>
      <c r="H3434" s="71" t="s">
        <v>3293</v>
      </c>
      <c r="I3434" s="104" t="s">
        <v>3074</v>
      </c>
      <c r="J3434" s="70">
        <f>IFERROR(VLOOKUP(Devis[[#This Row],[Ref Air Flux]],#REF!,3,FALSE),0)</f>
        <v>0</v>
      </c>
      <c r="K3434" s="68"/>
      <c r="L3434" s="68"/>
      <c r="M3434" s="68"/>
      <c r="N3434" s="68"/>
      <c r="O3434" s="68"/>
      <c r="P3434" s="68"/>
      <c r="Q3434" s="68">
        <f>SUM(Devis[[#This Row],[Poste 1]:[Poste 6]])</f>
        <v>0</v>
      </c>
      <c r="R3434" s="71"/>
      <c r="S3434" s="68">
        <f>_xlfn.CEILING.MATH(Devis[[#This Row],[Quantité Totale]],Devis[[#This Row],[Conditionnement]])</f>
        <v>0</v>
      </c>
      <c r="T3434" s="72"/>
      <c r="U3434" s="73"/>
      <c r="V3434" s="74">
        <f>Devis[[#This Row],[Prix de Revient]]*Devis[[#This Row],[Poste 1]]</f>
        <v>0</v>
      </c>
      <c r="W3434" s="74">
        <f>Devis[[#This Row],[Prix de Revient]]*Devis[[#This Row],[Poste 2]]</f>
        <v>0</v>
      </c>
      <c r="X3434" s="74">
        <f>Devis[[#This Row],[Prix de Revient]]*Devis[[#This Row],[Poste 3]]</f>
        <v>0</v>
      </c>
      <c r="Y3434" s="74">
        <f>Devis[[#This Row],[Poste 4]]*Devis[[#This Row],[Prix de Revient]]</f>
        <v>0</v>
      </c>
      <c r="Z3434" s="74">
        <f>Devis[[#This Row],[Poste 5]]*Devis[[#This Row],[Prix de Revient]]</f>
        <v>0</v>
      </c>
      <c r="AA3434" s="74">
        <f>Devis[[#This Row],[Prix de Revient]]*Devis[[#This Row],[Poste 6]]</f>
        <v>0</v>
      </c>
      <c r="AB3434" s="74">
        <f>Devis[[#This Row],[Quantité Totale]]*Devis[[#This Row],[Prix de Revient]]</f>
        <v>0</v>
      </c>
    </row>
    <row r="3435" spans="1:28" ht="15" customHeight="1" outlineLevel="1" x14ac:dyDescent="0.2">
      <c r="A3435" s="75" t="s">
        <v>2983</v>
      </c>
      <c r="B3435" s="76" t="s">
        <v>5208</v>
      </c>
      <c r="C3435" s="75" t="s">
        <v>5214</v>
      </c>
      <c r="D3435" s="81" t="str">
        <f t="shared" si="63"/>
        <v>TransairPiquageA visser</v>
      </c>
      <c r="E3435" s="104" t="s">
        <v>5216</v>
      </c>
      <c r="F3435" s="81">
        <v>10</v>
      </c>
      <c r="G3435" s="123" t="s">
        <v>3318</v>
      </c>
      <c r="H3435" s="71" t="s">
        <v>3293</v>
      </c>
      <c r="I3435" s="104" t="s">
        <v>3085</v>
      </c>
      <c r="J3435" s="70">
        <f>IFERROR(VLOOKUP(Devis[[#This Row],[Ref Air Flux]],#REF!,3,FALSE),0)</f>
        <v>0</v>
      </c>
      <c r="K3435" s="68"/>
      <c r="L3435" s="68"/>
      <c r="M3435" s="68"/>
      <c r="N3435" s="68"/>
      <c r="O3435" s="68"/>
      <c r="P3435" s="68"/>
      <c r="Q3435" s="68">
        <f>SUM(Devis[[#This Row],[Poste 1]:[Poste 6]])</f>
        <v>0</v>
      </c>
      <c r="R3435" s="71"/>
      <c r="S3435" s="68">
        <f>_xlfn.CEILING.MATH(Devis[[#This Row],[Quantité Totale]],Devis[[#This Row],[Conditionnement]])</f>
        <v>0</v>
      </c>
      <c r="T3435" s="72"/>
      <c r="U3435" s="73"/>
      <c r="V3435" s="74">
        <f>Devis[[#This Row],[Prix de Revient]]*Devis[[#This Row],[Poste 1]]</f>
        <v>0</v>
      </c>
      <c r="W3435" s="74">
        <f>Devis[[#This Row],[Prix de Revient]]*Devis[[#This Row],[Poste 2]]</f>
        <v>0</v>
      </c>
      <c r="X3435" s="74">
        <f>Devis[[#This Row],[Prix de Revient]]*Devis[[#This Row],[Poste 3]]</f>
        <v>0</v>
      </c>
      <c r="Y3435" s="74">
        <f>Devis[[#This Row],[Poste 4]]*Devis[[#This Row],[Prix de Revient]]</f>
        <v>0</v>
      </c>
      <c r="Z3435" s="74">
        <f>Devis[[#This Row],[Poste 5]]*Devis[[#This Row],[Prix de Revient]]</f>
        <v>0</v>
      </c>
      <c r="AA3435" s="74">
        <f>Devis[[#This Row],[Prix de Revient]]*Devis[[#This Row],[Poste 6]]</f>
        <v>0</v>
      </c>
      <c r="AB3435" s="74">
        <f>Devis[[#This Row],[Quantité Totale]]*Devis[[#This Row],[Prix de Revient]]</f>
        <v>0</v>
      </c>
    </row>
    <row r="3436" spans="1:28" ht="14.25" customHeight="1" outlineLevel="1" x14ac:dyDescent="0.2">
      <c r="A3436" s="75" t="s">
        <v>2983</v>
      </c>
      <c r="B3436" s="76" t="s">
        <v>5208</v>
      </c>
      <c r="C3436" s="75" t="s">
        <v>5214</v>
      </c>
      <c r="D3436" s="81" t="str">
        <f t="shared" si="63"/>
        <v>TransairPiquageA visser</v>
      </c>
      <c r="E3436" s="104" t="s">
        <v>5217</v>
      </c>
      <c r="F3436" s="81">
        <v>11</v>
      </c>
      <c r="G3436" s="123">
        <v>66692521</v>
      </c>
      <c r="H3436" s="71" t="s">
        <v>3293</v>
      </c>
      <c r="I3436" s="104" t="s">
        <v>3080</v>
      </c>
      <c r="J3436" s="70">
        <f>IFERROR(VLOOKUP(Devis[[#This Row],[Ref Air Flux]],#REF!,3,FALSE),0)</f>
        <v>0</v>
      </c>
      <c r="K3436" s="68"/>
      <c r="L3436" s="68"/>
      <c r="M3436" s="68"/>
      <c r="N3436" s="68"/>
      <c r="O3436" s="68"/>
      <c r="P3436" s="68"/>
      <c r="Q3436" s="68">
        <f>SUM(Devis[[#This Row],[Poste 1]:[Poste 6]])</f>
        <v>0</v>
      </c>
      <c r="R3436" s="71"/>
      <c r="S3436" s="68">
        <f>_xlfn.CEILING.MATH(Devis[[#This Row],[Quantité Totale]],Devis[[#This Row],[Conditionnement]])</f>
        <v>0</v>
      </c>
      <c r="T3436" s="72"/>
      <c r="U3436" s="73"/>
      <c r="V3436" s="74">
        <f>Devis[[#This Row],[Prix de Revient]]*Devis[[#This Row],[Poste 1]]</f>
        <v>0</v>
      </c>
      <c r="W3436" s="74">
        <f>Devis[[#This Row],[Prix de Revient]]*Devis[[#This Row],[Poste 2]]</f>
        <v>0</v>
      </c>
      <c r="X3436" s="74">
        <f>Devis[[#This Row],[Prix de Revient]]*Devis[[#This Row],[Poste 3]]</f>
        <v>0</v>
      </c>
      <c r="Y3436" s="74">
        <f>Devis[[#This Row],[Poste 4]]*Devis[[#This Row],[Prix de Revient]]</f>
        <v>0</v>
      </c>
      <c r="Z3436" s="74">
        <f>Devis[[#This Row],[Poste 5]]*Devis[[#This Row],[Prix de Revient]]</f>
        <v>0</v>
      </c>
      <c r="AA3436" s="74">
        <f>Devis[[#This Row],[Prix de Revient]]*Devis[[#This Row],[Poste 6]]</f>
        <v>0</v>
      </c>
      <c r="AB3436" s="74">
        <f>Devis[[#This Row],[Quantité Totale]]*Devis[[#This Row],[Prix de Revient]]</f>
        <v>0</v>
      </c>
    </row>
    <row r="3437" spans="1:28" ht="14.25" outlineLevel="1" x14ac:dyDescent="0.2">
      <c r="A3437" s="75" t="s">
        <v>2983</v>
      </c>
      <c r="B3437" s="76" t="s">
        <v>5208</v>
      </c>
      <c r="C3437" s="75" t="s">
        <v>5214</v>
      </c>
      <c r="D3437" s="81" t="str">
        <f t="shared" si="63"/>
        <v>TransairPiquageA visser</v>
      </c>
      <c r="E3437" s="104" t="s">
        <v>5218</v>
      </c>
      <c r="F3437" s="81">
        <v>12</v>
      </c>
      <c r="G3437" s="123">
        <v>66614021</v>
      </c>
      <c r="H3437" s="71" t="s">
        <v>3293</v>
      </c>
      <c r="I3437" s="104" t="s">
        <v>3075</v>
      </c>
      <c r="J3437" s="70">
        <f>IFERROR(VLOOKUP(Devis[[#This Row],[Ref Air Flux]],#REF!,3,FALSE),0)</f>
        <v>0</v>
      </c>
      <c r="K3437" s="68"/>
      <c r="L3437" s="68"/>
      <c r="M3437" s="68"/>
      <c r="N3437" s="68"/>
      <c r="O3437" s="68"/>
      <c r="P3437" s="68"/>
      <c r="Q3437" s="68">
        <f>SUM(Devis[[#This Row],[Poste 1]:[Poste 6]])</f>
        <v>0</v>
      </c>
      <c r="R3437" s="71"/>
      <c r="S3437" s="68">
        <f>_xlfn.CEILING.MATH(Devis[[#This Row],[Quantité Totale]],Devis[[#This Row],[Conditionnement]])</f>
        <v>0</v>
      </c>
      <c r="T3437" s="72"/>
      <c r="U3437" s="73"/>
      <c r="V3437" s="74">
        <f>Devis[[#This Row],[Prix de Revient]]*Devis[[#This Row],[Poste 1]]</f>
        <v>0</v>
      </c>
      <c r="W3437" s="74">
        <f>Devis[[#This Row],[Prix de Revient]]*Devis[[#This Row],[Poste 2]]</f>
        <v>0</v>
      </c>
      <c r="X3437" s="74">
        <f>Devis[[#This Row],[Prix de Revient]]*Devis[[#This Row],[Poste 3]]</f>
        <v>0</v>
      </c>
      <c r="Y3437" s="74">
        <f>Devis[[#This Row],[Poste 4]]*Devis[[#This Row],[Prix de Revient]]</f>
        <v>0</v>
      </c>
      <c r="Z3437" s="74">
        <f>Devis[[#This Row],[Poste 5]]*Devis[[#This Row],[Prix de Revient]]</f>
        <v>0</v>
      </c>
      <c r="AA3437" s="74">
        <f>Devis[[#This Row],[Prix de Revient]]*Devis[[#This Row],[Poste 6]]</f>
        <v>0</v>
      </c>
      <c r="AB3437" s="74">
        <f>Devis[[#This Row],[Quantité Totale]]*Devis[[#This Row],[Prix de Revient]]</f>
        <v>0</v>
      </c>
    </row>
    <row r="3438" spans="1:28" ht="14.25" outlineLevel="1" x14ac:dyDescent="0.2">
      <c r="A3438" s="75" t="s">
        <v>2983</v>
      </c>
      <c r="B3438" s="76" t="s">
        <v>5208</v>
      </c>
      <c r="C3438" s="75" t="s">
        <v>5214</v>
      </c>
      <c r="D3438" s="81" t="str">
        <f t="shared" si="63"/>
        <v>TransairPiquageA visser</v>
      </c>
      <c r="E3438" s="104" t="s">
        <v>5219</v>
      </c>
      <c r="F3438" s="81">
        <v>13</v>
      </c>
      <c r="G3438" s="123" t="s">
        <v>3319</v>
      </c>
      <c r="H3438" s="71" t="s">
        <v>3293</v>
      </c>
      <c r="I3438" s="104" t="s">
        <v>3086</v>
      </c>
      <c r="J3438" s="70">
        <f>IFERROR(VLOOKUP(Devis[[#This Row],[Ref Air Flux]],#REF!,3,FALSE),0)</f>
        <v>0</v>
      </c>
      <c r="K3438" s="68"/>
      <c r="L3438" s="68"/>
      <c r="M3438" s="68"/>
      <c r="N3438" s="68"/>
      <c r="O3438" s="68"/>
      <c r="P3438" s="68"/>
      <c r="Q3438" s="68">
        <f>SUM(Devis[[#This Row],[Poste 1]:[Poste 6]])</f>
        <v>0</v>
      </c>
      <c r="R3438" s="71"/>
      <c r="S3438" s="68">
        <f>_xlfn.CEILING.MATH(Devis[[#This Row],[Quantité Totale]],Devis[[#This Row],[Conditionnement]])</f>
        <v>0</v>
      </c>
      <c r="T3438" s="72"/>
      <c r="U3438" s="73"/>
      <c r="V3438" s="74">
        <f>Devis[[#This Row],[Prix de Revient]]*Devis[[#This Row],[Poste 1]]</f>
        <v>0</v>
      </c>
      <c r="W3438" s="74">
        <f>Devis[[#This Row],[Prix de Revient]]*Devis[[#This Row],[Poste 2]]</f>
        <v>0</v>
      </c>
      <c r="X3438" s="74">
        <f>Devis[[#This Row],[Prix de Revient]]*Devis[[#This Row],[Poste 3]]</f>
        <v>0</v>
      </c>
      <c r="Y3438" s="74">
        <f>Devis[[#This Row],[Poste 4]]*Devis[[#This Row],[Prix de Revient]]</f>
        <v>0</v>
      </c>
      <c r="Z3438" s="74">
        <f>Devis[[#This Row],[Poste 5]]*Devis[[#This Row],[Prix de Revient]]</f>
        <v>0</v>
      </c>
      <c r="AA3438" s="74">
        <f>Devis[[#This Row],[Prix de Revient]]*Devis[[#This Row],[Poste 6]]</f>
        <v>0</v>
      </c>
      <c r="AB3438" s="74">
        <f>Devis[[#This Row],[Quantité Totale]]*Devis[[#This Row],[Prix de Revient]]</f>
        <v>0</v>
      </c>
    </row>
    <row r="3439" spans="1:28" ht="14.25" outlineLevel="1" x14ac:dyDescent="0.2">
      <c r="A3439" s="75" t="s">
        <v>2983</v>
      </c>
      <c r="B3439" s="76" t="s">
        <v>5208</v>
      </c>
      <c r="C3439" s="75" t="s">
        <v>5214</v>
      </c>
      <c r="D3439" s="81" t="str">
        <f t="shared" si="63"/>
        <v>TransairPiquageA visser</v>
      </c>
      <c r="E3439" s="104" t="s">
        <v>5220</v>
      </c>
      <c r="F3439" s="81">
        <v>14</v>
      </c>
      <c r="G3439" s="123">
        <v>66694021</v>
      </c>
      <c r="H3439" s="71" t="s">
        <v>3293</v>
      </c>
      <c r="I3439" s="104" t="s">
        <v>3081</v>
      </c>
      <c r="J3439" s="70">
        <f>IFERROR(VLOOKUP(Devis[[#This Row],[Ref Air Flux]],#REF!,3,FALSE),0)</f>
        <v>0</v>
      </c>
      <c r="K3439" s="68"/>
      <c r="L3439" s="68"/>
      <c r="M3439" s="68"/>
      <c r="N3439" s="68"/>
      <c r="O3439" s="68"/>
      <c r="P3439" s="68"/>
      <c r="Q3439" s="68">
        <f>SUM(Devis[[#This Row],[Poste 1]:[Poste 6]])</f>
        <v>0</v>
      </c>
      <c r="R3439" s="71"/>
      <c r="S3439" s="68">
        <f>_xlfn.CEILING.MATH(Devis[[#This Row],[Quantité Totale]],Devis[[#This Row],[Conditionnement]])</f>
        <v>0</v>
      </c>
      <c r="T3439" s="72"/>
      <c r="U3439" s="73"/>
      <c r="V3439" s="74">
        <f>Devis[[#This Row],[Prix de Revient]]*Devis[[#This Row],[Poste 1]]</f>
        <v>0</v>
      </c>
      <c r="W3439" s="74">
        <f>Devis[[#This Row],[Prix de Revient]]*Devis[[#This Row],[Poste 2]]</f>
        <v>0</v>
      </c>
      <c r="X3439" s="74">
        <f>Devis[[#This Row],[Prix de Revient]]*Devis[[#This Row],[Poste 3]]</f>
        <v>0</v>
      </c>
      <c r="Y3439" s="74">
        <f>Devis[[#This Row],[Poste 4]]*Devis[[#This Row],[Prix de Revient]]</f>
        <v>0</v>
      </c>
      <c r="Z3439" s="74">
        <f>Devis[[#This Row],[Poste 5]]*Devis[[#This Row],[Prix de Revient]]</f>
        <v>0</v>
      </c>
      <c r="AA3439" s="74">
        <f>Devis[[#This Row],[Prix de Revient]]*Devis[[#This Row],[Poste 6]]</f>
        <v>0</v>
      </c>
      <c r="AB3439" s="74">
        <f>Devis[[#This Row],[Quantité Totale]]*Devis[[#This Row],[Prix de Revient]]</f>
        <v>0</v>
      </c>
    </row>
    <row r="3440" spans="1:28" ht="14.25" outlineLevel="1" x14ac:dyDescent="0.2">
      <c r="A3440" s="75" t="s">
        <v>2983</v>
      </c>
      <c r="B3440" s="76" t="s">
        <v>5208</v>
      </c>
      <c r="C3440" s="75" t="s">
        <v>5214</v>
      </c>
      <c r="D3440" s="81" t="str">
        <f t="shared" si="63"/>
        <v>TransairPiquageA visser</v>
      </c>
      <c r="E3440" s="104" t="s">
        <v>5221</v>
      </c>
      <c r="F3440" s="81">
        <v>15</v>
      </c>
      <c r="G3440" s="123">
        <v>66614027</v>
      </c>
      <c r="H3440" s="71" t="s">
        <v>3293</v>
      </c>
      <c r="I3440" s="104" t="s">
        <v>3076</v>
      </c>
      <c r="J3440" s="70">
        <f>IFERROR(VLOOKUP(Devis[[#This Row],[Ref Air Flux]],#REF!,3,FALSE),0)</f>
        <v>0</v>
      </c>
      <c r="K3440" s="68"/>
      <c r="L3440" s="68"/>
      <c r="M3440" s="68"/>
      <c r="N3440" s="68"/>
      <c r="O3440" s="68"/>
      <c r="P3440" s="68"/>
      <c r="Q3440" s="68">
        <f>SUM(Devis[[#This Row],[Poste 1]:[Poste 6]])</f>
        <v>0</v>
      </c>
      <c r="R3440" s="71"/>
      <c r="S3440" s="68">
        <f>_xlfn.CEILING.MATH(Devis[[#This Row],[Quantité Totale]],Devis[[#This Row],[Conditionnement]])</f>
        <v>0</v>
      </c>
      <c r="T3440" s="72"/>
      <c r="U3440" s="73"/>
      <c r="V3440" s="74">
        <f>Devis[[#This Row],[Prix de Revient]]*Devis[[#This Row],[Poste 1]]</f>
        <v>0</v>
      </c>
      <c r="W3440" s="74">
        <f>Devis[[#This Row],[Prix de Revient]]*Devis[[#This Row],[Poste 2]]</f>
        <v>0</v>
      </c>
      <c r="X3440" s="74">
        <f>Devis[[#This Row],[Prix de Revient]]*Devis[[#This Row],[Poste 3]]</f>
        <v>0</v>
      </c>
      <c r="Y3440" s="74">
        <f>Devis[[#This Row],[Poste 4]]*Devis[[#This Row],[Prix de Revient]]</f>
        <v>0</v>
      </c>
      <c r="Z3440" s="74">
        <f>Devis[[#This Row],[Poste 5]]*Devis[[#This Row],[Prix de Revient]]</f>
        <v>0</v>
      </c>
      <c r="AA3440" s="74">
        <f>Devis[[#This Row],[Prix de Revient]]*Devis[[#This Row],[Poste 6]]</f>
        <v>0</v>
      </c>
      <c r="AB3440" s="74">
        <f>Devis[[#This Row],[Quantité Totale]]*Devis[[#This Row],[Prix de Revient]]</f>
        <v>0</v>
      </c>
    </row>
    <row r="3441" spans="1:28" ht="14.25" outlineLevel="1" x14ac:dyDescent="0.2">
      <c r="A3441" s="75" t="s">
        <v>2983</v>
      </c>
      <c r="B3441" s="76" t="s">
        <v>5208</v>
      </c>
      <c r="C3441" s="75" t="s">
        <v>5214</v>
      </c>
      <c r="D3441" s="81" t="str">
        <f t="shared" si="63"/>
        <v>TransairPiquageA visser</v>
      </c>
      <c r="E3441" s="104" t="s">
        <v>5222</v>
      </c>
      <c r="F3441" s="81">
        <v>16</v>
      </c>
      <c r="G3441" s="123">
        <v>66694027</v>
      </c>
      <c r="H3441" s="71" t="s">
        <v>3293</v>
      </c>
      <c r="I3441" s="104" t="s">
        <v>3082</v>
      </c>
      <c r="J3441" s="70">
        <f>IFERROR(VLOOKUP(Devis[[#This Row],[Ref Air Flux]],#REF!,3,FALSE),0)</f>
        <v>0</v>
      </c>
      <c r="K3441" s="68"/>
      <c r="L3441" s="68"/>
      <c r="M3441" s="68"/>
      <c r="N3441" s="68"/>
      <c r="O3441" s="68"/>
      <c r="P3441" s="68"/>
      <c r="Q3441" s="68">
        <f>SUM(Devis[[#This Row],[Poste 1]:[Poste 6]])</f>
        <v>0</v>
      </c>
      <c r="R3441" s="71"/>
      <c r="S3441" s="68">
        <f>_xlfn.CEILING.MATH(Devis[[#This Row],[Quantité Totale]],Devis[[#This Row],[Conditionnement]])</f>
        <v>0</v>
      </c>
      <c r="T3441" s="72"/>
      <c r="U3441" s="73"/>
      <c r="V3441" s="74">
        <f>Devis[[#This Row],[Prix de Revient]]*Devis[[#This Row],[Poste 1]]</f>
        <v>0</v>
      </c>
      <c r="W3441" s="74">
        <f>Devis[[#This Row],[Prix de Revient]]*Devis[[#This Row],[Poste 2]]</f>
        <v>0</v>
      </c>
      <c r="X3441" s="74">
        <f>Devis[[#This Row],[Prix de Revient]]*Devis[[#This Row],[Poste 3]]</f>
        <v>0</v>
      </c>
      <c r="Y3441" s="74">
        <f>Devis[[#This Row],[Poste 4]]*Devis[[#This Row],[Prix de Revient]]</f>
        <v>0</v>
      </c>
      <c r="Z3441" s="74">
        <f>Devis[[#This Row],[Poste 5]]*Devis[[#This Row],[Prix de Revient]]</f>
        <v>0</v>
      </c>
      <c r="AA3441" s="74">
        <f>Devis[[#This Row],[Prix de Revient]]*Devis[[#This Row],[Poste 6]]</f>
        <v>0</v>
      </c>
      <c r="AB3441" s="74">
        <f>Devis[[#This Row],[Quantité Totale]]*Devis[[#This Row],[Prix de Revient]]</f>
        <v>0</v>
      </c>
    </row>
    <row r="3442" spans="1:28" ht="14.25" outlineLevel="1" x14ac:dyDescent="0.2">
      <c r="A3442" s="75" t="s">
        <v>2983</v>
      </c>
      <c r="B3442" s="76" t="s">
        <v>5208</v>
      </c>
      <c r="C3442" s="75" t="s">
        <v>5214</v>
      </c>
      <c r="D3442" s="81" t="str">
        <f t="shared" si="63"/>
        <v>TransairPiquageA visser</v>
      </c>
      <c r="E3442" s="104" t="s">
        <v>5223</v>
      </c>
      <c r="F3442" s="81">
        <v>17</v>
      </c>
      <c r="G3442" s="75">
        <v>66695021</v>
      </c>
      <c r="H3442" s="71" t="s">
        <v>3293</v>
      </c>
      <c r="I3442" s="75" t="s">
        <v>5224</v>
      </c>
      <c r="J3442" s="70">
        <f>IFERROR(VLOOKUP(Devis[[#This Row],[Ref Air Flux]],#REF!,3,FALSE),0)</f>
        <v>0</v>
      </c>
      <c r="K3442" s="68"/>
      <c r="L3442" s="68"/>
      <c r="M3442" s="68"/>
      <c r="N3442" s="68"/>
      <c r="O3442" s="68"/>
      <c r="P3442" s="68"/>
      <c r="Q3442" s="68">
        <f>SUM(Devis[[#This Row],[Poste 1]:[Poste 6]])</f>
        <v>0</v>
      </c>
      <c r="R3442" s="71"/>
      <c r="S3442" s="68">
        <f>_xlfn.CEILING.MATH(Devis[[#This Row],[Quantité Totale]],Devis[[#This Row],[Conditionnement]])</f>
        <v>0</v>
      </c>
      <c r="T3442" s="72"/>
      <c r="U3442" s="73"/>
      <c r="V3442" s="74">
        <f>Devis[[#This Row],[Prix de Revient]]*Devis[[#This Row],[Poste 1]]</f>
        <v>0</v>
      </c>
      <c r="W3442" s="74">
        <f>Devis[[#This Row],[Prix de Revient]]*Devis[[#This Row],[Poste 2]]</f>
        <v>0</v>
      </c>
      <c r="X3442" s="74">
        <f>Devis[[#This Row],[Prix de Revient]]*Devis[[#This Row],[Poste 3]]</f>
        <v>0</v>
      </c>
      <c r="Y3442" s="74">
        <f>Devis[[#This Row],[Poste 4]]*Devis[[#This Row],[Prix de Revient]]</f>
        <v>0</v>
      </c>
      <c r="Z3442" s="74">
        <f>Devis[[#This Row],[Poste 5]]*Devis[[#This Row],[Prix de Revient]]</f>
        <v>0</v>
      </c>
      <c r="AA3442" s="74">
        <f>Devis[[#This Row],[Prix de Revient]]*Devis[[#This Row],[Poste 6]]</f>
        <v>0</v>
      </c>
      <c r="AB3442" s="74">
        <f>Devis[[#This Row],[Quantité Totale]]*Devis[[#This Row],[Prix de Revient]]</f>
        <v>0</v>
      </c>
    </row>
    <row r="3443" spans="1:28" ht="14.25" outlineLevel="1" x14ac:dyDescent="0.2">
      <c r="A3443" s="75" t="s">
        <v>2983</v>
      </c>
      <c r="B3443" s="76" t="s">
        <v>5208</v>
      </c>
      <c r="C3443" s="75" t="s">
        <v>5214</v>
      </c>
      <c r="D3443" s="81" t="str">
        <f t="shared" si="63"/>
        <v>TransairPiquageA visser</v>
      </c>
      <c r="E3443" s="104" t="s">
        <v>5225</v>
      </c>
      <c r="F3443" s="81">
        <v>18</v>
      </c>
      <c r="G3443" s="123">
        <v>66616321</v>
      </c>
      <c r="H3443" s="71" t="s">
        <v>3293</v>
      </c>
      <c r="I3443" s="104" t="s">
        <v>3077</v>
      </c>
      <c r="J3443" s="70">
        <f>IFERROR(VLOOKUP(Devis[[#This Row],[Ref Air Flux]],#REF!,3,FALSE),0)</f>
        <v>0</v>
      </c>
      <c r="K3443" s="68"/>
      <c r="L3443" s="68"/>
      <c r="M3443" s="68"/>
      <c r="N3443" s="68"/>
      <c r="O3443" s="68"/>
      <c r="P3443" s="68"/>
      <c r="Q3443" s="68">
        <f>SUM(Devis[[#This Row],[Poste 1]:[Poste 6]])</f>
        <v>0</v>
      </c>
      <c r="R3443" s="71"/>
      <c r="S3443" s="68">
        <f>_xlfn.CEILING.MATH(Devis[[#This Row],[Quantité Totale]],Devis[[#This Row],[Conditionnement]])</f>
        <v>0</v>
      </c>
      <c r="T3443" s="72"/>
      <c r="U3443" s="73"/>
      <c r="V3443" s="74">
        <f>Devis[[#This Row],[Prix de Revient]]*Devis[[#This Row],[Poste 1]]</f>
        <v>0</v>
      </c>
      <c r="W3443" s="74">
        <f>Devis[[#This Row],[Prix de Revient]]*Devis[[#This Row],[Poste 2]]</f>
        <v>0</v>
      </c>
      <c r="X3443" s="74">
        <f>Devis[[#This Row],[Prix de Revient]]*Devis[[#This Row],[Poste 3]]</f>
        <v>0</v>
      </c>
      <c r="Y3443" s="74">
        <f>Devis[[#This Row],[Poste 4]]*Devis[[#This Row],[Prix de Revient]]</f>
        <v>0</v>
      </c>
      <c r="Z3443" s="74">
        <f>Devis[[#This Row],[Poste 5]]*Devis[[#This Row],[Prix de Revient]]</f>
        <v>0</v>
      </c>
      <c r="AA3443" s="74">
        <f>Devis[[#This Row],[Prix de Revient]]*Devis[[#This Row],[Poste 6]]</f>
        <v>0</v>
      </c>
      <c r="AB3443" s="74">
        <f>Devis[[#This Row],[Quantité Totale]]*Devis[[#This Row],[Prix de Revient]]</f>
        <v>0</v>
      </c>
    </row>
    <row r="3444" spans="1:28" ht="14.25" outlineLevel="1" x14ac:dyDescent="0.2">
      <c r="A3444" s="75" t="s">
        <v>2983</v>
      </c>
      <c r="B3444" s="76" t="s">
        <v>5208</v>
      </c>
      <c r="C3444" s="75" t="s">
        <v>5214</v>
      </c>
      <c r="D3444" s="81" t="str">
        <f t="shared" si="63"/>
        <v>TransairPiquageA visser</v>
      </c>
      <c r="E3444" s="104" t="s">
        <v>5226</v>
      </c>
      <c r="F3444" s="81">
        <v>19</v>
      </c>
      <c r="G3444" s="123">
        <v>66696321</v>
      </c>
      <c r="H3444" s="71" t="s">
        <v>3293</v>
      </c>
      <c r="I3444" s="104" t="s">
        <v>3083</v>
      </c>
      <c r="J3444" s="70">
        <f>IFERROR(VLOOKUP(Devis[[#This Row],[Ref Air Flux]],#REF!,3,FALSE),0)</f>
        <v>0</v>
      </c>
      <c r="K3444" s="68"/>
      <c r="L3444" s="68"/>
      <c r="M3444" s="68"/>
      <c r="N3444" s="68"/>
      <c r="O3444" s="68"/>
      <c r="P3444" s="68"/>
      <c r="Q3444" s="68">
        <f>SUM(Devis[[#This Row],[Poste 1]:[Poste 6]])</f>
        <v>0</v>
      </c>
      <c r="R3444" s="71"/>
      <c r="S3444" s="68">
        <f>_xlfn.CEILING.MATH(Devis[[#This Row],[Quantité Totale]],Devis[[#This Row],[Conditionnement]])</f>
        <v>0</v>
      </c>
      <c r="T3444" s="72"/>
      <c r="U3444" s="73"/>
      <c r="V3444" s="74">
        <f>Devis[[#This Row],[Prix de Revient]]*Devis[[#This Row],[Poste 1]]</f>
        <v>0</v>
      </c>
      <c r="W3444" s="74">
        <f>Devis[[#This Row],[Prix de Revient]]*Devis[[#This Row],[Poste 2]]</f>
        <v>0</v>
      </c>
      <c r="X3444" s="74">
        <f>Devis[[#This Row],[Prix de Revient]]*Devis[[#This Row],[Poste 3]]</f>
        <v>0</v>
      </c>
      <c r="Y3444" s="74">
        <f>Devis[[#This Row],[Poste 4]]*Devis[[#This Row],[Prix de Revient]]</f>
        <v>0</v>
      </c>
      <c r="Z3444" s="74">
        <f>Devis[[#This Row],[Poste 5]]*Devis[[#This Row],[Prix de Revient]]</f>
        <v>0</v>
      </c>
      <c r="AA3444" s="74">
        <f>Devis[[#This Row],[Prix de Revient]]*Devis[[#This Row],[Poste 6]]</f>
        <v>0</v>
      </c>
      <c r="AB3444" s="74">
        <f>Devis[[#This Row],[Quantité Totale]]*Devis[[#This Row],[Prix de Revient]]</f>
        <v>0</v>
      </c>
    </row>
    <row r="3445" spans="1:28" ht="14.25" outlineLevel="1" x14ac:dyDescent="0.2">
      <c r="A3445" s="75" t="s">
        <v>2983</v>
      </c>
      <c r="B3445" s="76" t="s">
        <v>5208</v>
      </c>
      <c r="C3445" s="75" t="s">
        <v>5214</v>
      </c>
      <c r="D3445" s="81" t="str">
        <f t="shared" si="63"/>
        <v>TransairPiquageA visser</v>
      </c>
      <c r="E3445" s="104" t="s">
        <v>5227</v>
      </c>
      <c r="F3445" s="81">
        <v>20</v>
      </c>
      <c r="G3445" s="123">
        <v>66616327</v>
      </c>
      <c r="H3445" s="71" t="s">
        <v>3293</v>
      </c>
      <c r="I3445" s="104" t="s">
        <v>3078</v>
      </c>
      <c r="J3445" s="70">
        <f>IFERROR(VLOOKUP(Devis[[#This Row],[Ref Air Flux]],#REF!,3,FALSE),0)</f>
        <v>0</v>
      </c>
      <c r="K3445" s="68"/>
      <c r="L3445" s="68"/>
      <c r="M3445" s="68"/>
      <c r="N3445" s="68"/>
      <c r="O3445" s="68"/>
      <c r="P3445" s="68"/>
      <c r="Q3445" s="68">
        <f>SUM(Devis[[#This Row],[Poste 1]:[Poste 6]])</f>
        <v>0</v>
      </c>
      <c r="R3445" s="71"/>
      <c r="S3445" s="68">
        <f>_xlfn.CEILING.MATH(Devis[[#This Row],[Quantité Totale]],Devis[[#This Row],[Conditionnement]])</f>
        <v>0</v>
      </c>
      <c r="T3445" s="72"/>
      <c r="U3445" s="73"/>
      <c r="V3445" s="74">
        <f>Devis[[#This Row],[Prix de Revient]]*Devis[[#This Row],[Poste 1]]</f>
        <v>0</v>
      </c>
      <c r="W3445" s="74">
        <f>Devis[[#This Row],[Prix de Revient]]*Devis[[#This Row],[Poste 2]]</f>
        <v>0</v>
      </c>
      <c r="X3445" s="74">
        <f>Devis[[#This Row],[Prix de Revient]]*Devis[[#This Row],[Poste 3]]</f>
        <v>0</v>
      </c>
      <c r="Y3445" s="74">
        <f>Devis[[#This Row],[Poste 4]]*Devis[[#This Row],[Prix de Revient]]</f>
        <v>0</v>
      </c>
      <c r="Z3445" s="74">
        <f>Devis[[#This Row],[Poste 5]]*Devis[[#This Row],[Prix de Revient]]</f>
        <v>0</v>
      </c>
      <c r="AA3445" s="74">
        <f>Devis[[#This Row],[Prix de Revient]]*Devis[[#This Row],[Poste 6]]</f>
        <v>0</v>
      </c>
      <c r="AB3445" s="74">
        <f>Devis[[#This Row],[Quantité Totale]]*Devis[[#This Row],[Prix de Revient]]</f>
        <v>0</v>
      </c>
    </row>
    <row r="3446" spans="1:28" ht="14.25" outlineLevel="1" x14ac:dyDescent="0.2">
      <c r="A3446" s="75" t="s">
        <v>2983</v>
      </c>
      <c r="B3446" s="76" t="s">
        <v>5208</v>
      </c>
      <c r="C3446" s="75" t="s">
        <v>5214</v>
      </c>
      <c r="D3446" s="81" t="str">
        <f t="shared" si="63"/>
        <v>TransairPiquageA visser</v>
      </c>
      <c r="E3446" s="104" t="s">
        <v>5228</v>
      </c>
      <c r="F3446" s="81">
        <v>21</v>
      </c>
      <c r="G3446" s="123">
        <v>66696327</v>
      </c>
      <c r="H3446" s="71" t="s">
        <v>3293</v>
      </c>
      <c r="I3446" s="104" t="s">
        <v>3084</v>
      </c>
      <c r="J3446" s="70">
        <f>IFERROR(VLOOKUP(Devis[[#This Row],[Ref Air Flux]],#REF!,3,FALSE),0)</f>
        <v>0</v>
      </c>
      <c r="K3446" s="68"/>
      <c r="L3446" s="68"/>
      <c r="M3446" s="68"/>
      <c r="N3446" s="68"/>
      <c r="O3446" s="68"/>
      <c r="P3446" s="68"/>
      <c r="Q3446" s="68">
        <f>SUM(Devis[[#This Row],[Poste 1]:[Poste 6]])</f>
        <v>0</v>
      </c>
      <c r="R3446" s="71"/>
      <c r="S3446" s="68">
        <f>_xlfn.CEILING.MATH(Devis[[#This Row],[Quantité Totale]],Devis[[#This Row],[Conditionnement]])</f>
        <v>0</v>
      </c>
      <c r="T3446" s="72"/>
      <c r="U3446" s="73"/>
      <c r="V3446" s="74">
        <f>Devis[[#This Row],[Prix de Revient]]*Devis[[#This Row],[Poste 1]]</f>
        <v>0</v>
      </c>
      <c r="W3446" s="74">
        <f>Devis[[#This Row],[Prix de Revient]]*Devis[[#This Row],[Poste 2]]</f>
        <v>0</v>
      </c>
      <c r="X3446" s="74">
        <f>Devis[[#This Row],[Prix de Revient]]*Devis[[#This Row],[Poste 3]]</f>
        <v>0</v>
      </c>
      <c r="Y3446" s="74">
        <f>Devis[[#This Row],[Poste 4]]*Devis[[#This Row],[Prix de Revient]]</f>
        <v>0</v>
      </c>
      <c r="Z3446" s="74">
        <f>Devis[[#This Row],[Poste 5]]*Devis[[#This Row],[Prix de Revient]]</f>
        <v>0</v>
      </c>
      <c r="AA3446" s="74">
        <f>Devis[[#This Row],[Prix de Revient]]*Devis[[#This Row],[Poste 6]]</f>
        <v>0</v>
      </c>
      <c r="AB3446" s="74">
        <f>Devis[[#This Row],[Quantité Totale]]*Devis[[#This Row],[Prix de Revient]]</f>
        <v>0</v>
      </c>
    </row>
    <row r="3447" spans="1:28" ht="14.25" outlineLevel="1" x14ac:dyDescent="0.2">
      <c r="A3447" s="75" t="s">
        <v>2983</v>
      </c>
      <c r="B3447" s="76" t="s">
        <v>5208</v>
      </c>
      <c r="C3447" s="75" t="s">
        <v>5214</v>
      </c>
      <c r="D3447" s="81" t="str">
        <f t="shared" si="63"/>
        <v>TransairPiquageA visser</v>
      </c>
      <c r="E3447" s="104" t="s">
        <v>5229</v>
      </c>
      <c r="F3447" s="81">
        <v>22</v>
      </c>
      <c r="G3447" s="123" t="s">
        <v>3301</v>
      </c>
      <c r="H3447" s="71" t="s">
        <v>3293</v>
      </c>
      <c r="I3447" s="104" t="s">
        <v>3007</v>
      </c>
      <c r="J3447" s="70">
        <f>IFERROR(VLOOKUP(Devis[[#This Row],[Ref Air Flux]],#REF!,3,FALSE),0)</f>
        <v>0</v>
      </c>
      <c r="K3447" s="68"/>
      <c r="L3447" s="68"/>
      <c r="M3447" s="68"/>
      <c r="N3447" s="68"/>
      <c r="O3447" s="68"/>
      <c r="P3447" s="68"/>
      <c r="Q3447" s="68">
        <f>SUM(Devis[[#This Row],[Poste 1]:[Poste 6]])</f>
        <v>0</v>
      </c>
      <c r="R3447" s="71"/>
      <c r="S3447" s="68">
        <f>_xlfn.CEILING.MATH(Devis[[#This Row],[Quantité Totale]],Devis[[#This Row],[Conditionnement]])</f>
        <v>0</v>
      </c>
      <c r="T3447" s="72"/>
      <c r="U3447" s="73"/>
      <c r="V3447" s="74">
        <f>Devis[[#This Row],[Prix de Revient]]*Devis[[#This Row],[Poste 1]]</f>
        <v>0</v>
      </c>
      <c r="W3447" s="74">
        <f>Devis[[#This Row],[Prix de Revient]]*Devis[[#This Row],[Poste 2]]</f>
        <v>0</v>
      </c>
      <c r="X3447" s="74">
        <f>Devis[[#This Row],[Prix de Revient]]*Devis[[#This Row],[Poste 3]]</f>
        <v>0</v>
      </c>
      <c r="Y3447" s="74">
        <f>Devis[[#This Row],[Poste 4]]*Devis[[#This Row],[Prix de Revient]]</f>
        <v>0</v>
      </c>
      <c r="Z3447" s="74">
        <f>Devis[[#This Row],[Poste 5]]*Devis[[#This Row],[Prix de Revient]]</f>
        <v>0</v>
      </c>
      <c r="AA3447" s="74">
        <f>Devis[[#This Row],[Prix de Revient]]*Devis[[#This Row],[Poste 6]]</f>
        <v>0</v>
      </c>
      <c r="AB3447" s="74">
        <f>Devis[[#This Row],[Quantité Totale]]*Devis[[#This Row],[Prix de Revient]]</f>
        <v>0</v>
      </c>
    </row>
    <row r="3448" spans="1:28" ht="14.25" outlineLevel="1" x14ac:dyDescent="0.2">
      <c r="A3448" s="75" t="s">
        <v>2983</v>
      </c>
      <c r="B3448" s="76" t="s">
        <v>5208</v>
      </c>
      <c r="C3448" s="75" t="s">
        <v>5214</v>
      </c>
      <c r="D3448" s="81" t="str">
        <f t="shared" si="63"/>
        <v>TransairPiquageA visser</v>
      </c>
      <c r="E3448" s="104" t="s">
        <v>5230</v>
      </c>
      <c r="F3448" s="81">
        <v>23</v>
      </c>
      <c r="G3448" s="75" t="s">
        <v>5231</v>
      </c>
      <c r="H3448" s="71" t="s">
        <v>3293</v>
      </c>
      <c r="I3448" s="75" t="s">
        <v>5231</v>
      </c>
      <c r="J3448" s="70">
        <f>IFERROR(VLOOKUP(Devis[[#This Row],[Ref Air Flux]],#REF!,3,FALSE),0)</f>
        <v>0</v>
      </c>
      <c r="K3448" s="68"/>
      <c r="L3448" s="68"/>
      <c r="M3448" s="68"/>
      <c r="N3448" s="68"/>
      <c r="O3448" s="68"/>
      <c r="P3448" s="68"/>
      <c r="Q3448" s="68">
        <f>SUM(Devis[[#This Row],[Poste 1]:[Poste 6]])</f>
        <v>0</v>
      </c>
      <c r="R3448" s="71"/>
      <c r="S3448" s="68">
        <f>_xlfn.CEILING.MATH(Devis[[#This Row],[Quantité Totale]],Devis[[#This Row],[Conditionnement]])</f>
        <v>0</v>
      </c>
      <c r="T3448" s="72"/>
      <c r="U3448" s="73"/>
      <c r="V3448" s="74">
        <f>Devis[[#This Row],[Prix de Revient]]*Devis[[#This Row],[Poste 1]]</f>
        <v>0</v>
      </c>
      <c r="W3448" s="74">
        <f>Devis[[#This Row],[Prix de Revient]]*Devis[[#This Row],[Poste 2]]</f>
        <v>0</v>
      </c>
      <c r="X3448" s="74">
        <f>Devis[[#This Row],[Prix de Revient]]*Devis[[#This Row],[Poste 3]]</f>
        <v>0</v>
      </c>
      <c r="Y3448" s="74">
        <f>Devis[[#This Row],[Poste 4]]*Devis[[#This Row],[Prix de Revient]]</f>
        <v>0</v>
      </c>
      <c r="Z3448" s="74">
        <f>Devis[[#This Row],[Poste 5]]*Devis[[#This Row],[Prix de Revient]]</f>
        <v>0</v>
      </c>
      <c r="AA3448" s="74">
        <f>Devis[[#This Row],[Prix de Revient]]*Devis[[#This Row],[Poste 6]]</f>
        <v>0</v>
      </c>
      <c r="AB3448" s="74">
        <f>Devis[[#This Row],[Quantité Totale]]*Devis[[#This Row],[Prix de Revient]]</f>
        <v>0</v>
      </c>
    </row>
    <row r="3449" spans="1:28" ht="14.25" outlineLevel="1" x14ac:dyDescent="0.2">
      <c r="A3449" s="75" t="s">
        <v>2983</v>
      </c>
      <c r="B3449" s="76" t="s">
        <v>5208</v>
      </c>
      <c r="C3449" s="75" t="s">
        <v>5214</v>
      </c>
      <c r="D3449" s="81" t="str">
        <f t="shared" si="63"/>
        <v>TransairPiquageA visser</v>
      </c>
      <c r="E3449" s="104" t="s">
        <v>5232</v>
      </c>
      <c r="F3449" s="81">
        <v>24</v>
      </c>
      <c r="G3449" s="123" t="s">
        <v>3302</v>
      </c>
      <c r="H3449" s="71" t="s">
        <v>3293</v>
      </c>
      <c r="I3449" s="104" t="s">
        <v>3008</v>
      </c>
      <c r="J3449" s="70">
        <f>IFERROR(VLOOKUP(Devis[[#This Row],[Ref Air Flux]],#REF!,3,FALSE),0)</f>
        <v>0</v>
      </c>
      <c r="K3449" s="68"/>
      <c r="L3449" s="68"/>
      <c r="M3449" s="68"/>
      <c r="N3449" s="68"/>
      <c r="O3449" s="68"/>
      <c r="P3449" s="68"/>
      <c r="Q3449" s="68">
        <f>SUM(Devis[[#This Row],[Poste 1]:[Poste 6]])</f>
        <v>0</v>
      </c>
      <c r="R3449" s="71"/>
      <c r="S3449" s="68">
        <f>_xlfn.CEILING.MATH(Devis[[#This Row],[Quantité Totale]],Devis[[#This Row],[Conditionnement]])</f>
        <v>0</v>
      </c>
      <c r="T3449" s="72"/>
      <c r="U3449" s="73"/>
      <c r="V3449" s="74">
        <f>Devis[[#This Row],[Prix de Revient]]*Devis[[#This Row],[Poste 1]]</f>
        <v>0</v>
      </c>
      <c r="W3449" s="74">
        <f>Devis[[#This Row],[Prix de Revient]]*Devis[[#This Row],[Poste 2]]</f>
        <v>0</v>
      </c>
      <c r="X3449" s="74">
        <f>Devis[[#This Row],[Prix de Revient]]*Devis[[#This Row],[Poste 3]]</f>
        <v>0</v>
      </c>
      <c r="Y3449" s="74">
        <f>Devis[[#This Row],[Poste 4]]*Devis[[#This Row],[Prix de Revient]]</f>
        <v>0</v>
      </c>
      <c r="Z3449" s="74">
        <f>Devis[[#This Row],[Poste 5]]*Devis[[#This Row],[Prix de Revient]]</f>
        <v>0</v>
      </c>
      <c r="AA3449" s="74">
        <f>Devis[[#This Row],[Prix de Revient]]*Devis[[#This Row],[Poste 6]]</f>
        <v>0</v>
      </c>
      <c r="AB3449" s="74">
        <f>Devis[[#This Row],[Quantité Totale]]*Devis[[#This Row],[Prix de Revient]]</f>
        <v>0</v>
      </c>
    </row>
    <row r="3450" spans="1:28" ht="14.25" outlineLevel="1" x14ac:dyDescent="0.2">
      <c r="A3450" s="75" t="s">
        <v>2983</v>
      </c>
      <c r="B3450" s="76" t="s">
        <v>5208</v>
      </c>
      <c r="C3450" s="75" t="s">
        <v>5214</v>
      </c>
      <c r="D3450" s="81" t="str">
        <f t="shared" si="63"/>
        <v>TransairPiquageA visser</v>
      </c>
      <c r="E3450" s="104" t="s">
        <v>5233</v>
      </c>
      <c r="F3450" s="81">
        <v>25</v>
      </c>
      <c r="G3450" s="75" t="s">
        <v>5234</v>
      </c>
      <c r="H3450" s="71" t="s">
        <v>3293</v>
      </c>
      <c r="I3450" s="75" t="s">
        <v>5234</v>
      </c>
      <c r="J3450" s="70">
        <f>IFERROR(VLOOKUP(Devis[[#This Row],[Ref Air Flux]],#REF!,3,FALSE),0)</f>
        <v>0</v>
      </c>
      <c r="K3450" s="68"/>
      <c r="L3450" s="68"/>
      <c r="M3450" s="68"/>
      <c r="N3450" s="68"/>
      <c r="O3450" s="68"/>
      <c r="P3450" s="68"/>
      <c r="Q3450" s="68">
        <f>SUM(Devis[[#This Row],[Poste 1]:[Poste 6]])</f>
        <v>0</v>
      </c>
      <c r="R3450" s="71"/>
      <c r="S3450" s="68">
        <f>_xlfn.CEILING.MATH(Devis[[#This Row],[Quantité Totale]],Devis[[#This Row],[Conditionnement]])</f>
        <v>0</v>
      </c>
      <c r="T3450" s="72"/>
      <c r="U3450" s="73"/>
      <c r="V3450" s="74">
        <f>Devis[[#This Row],[Prix de Revient]]*Devis[[#This Row],[Poste 1]]</f>
        <v>0</v>
      </c>
      <c r="W3450" s="74">
        <f>Devis[[#This Row],[Prix de Revient]]*Devis[[#This Row],[Poste 2]]</f>
        <v>0</v>
      </c>
      <c r="X3450" s="74">
        <f>Devis[[#This Row],[Prix de Revient]]*Devis[[#This Row],[Poste 3]]</f>
        <v>0</v>
      </c>
      <c r="Y3450" s="74">
        <f>Devis[[#This Row],[Poste 4]]*Devis[[#This Row],[Prix de Revient]]</f>
        <v>0</v>
      </c>
      <c r="Z3450" s="74">
        <f>Devis[[#This Row],[Poste 5]]*Devis[[#This Row],[Prix de Revient]]</f>
        <v>0</v>
      </c>
      <c r="AA3450" s="74">
        <f>Devis[[#This Row],[Prix de Revient]]*Devis[[#This Row],[Poste 6]]</f>
        <v>0</v>
      </c>
      <c r="AB3450" s="74">
        <f>Devis[[#This Row],[Quantité Totale]]*Devis[[#This Row],[Prix de Revient]]</f>
        <v>0</v>
      </c>
    </row>
    <row r="3451" spans="1:28" ht="14.25" customHeight="1" outlineLevel="1" x14ac:dyDescent="0.2">
      <c r="A3451" s="75" t="s">
        <v>2983</v>
      </c>
      <c r="B3451" s="76" t="s">
        <v>5208</v>
      </c>
      <c r="C3451" s="75" t="s">
        <v>5235</v>
      </c>
      <c r="D3451" s="81" t="str">
        <f t="shared" si="63"/>
        <v>TransairPiquageAvec coupleur</v>
      </c>
      <c r="E3451" s="104" t="s">
        <v>3087</v>
      </c>
      <c r="F3451" s="81">
        <v>26</v>
      </c>
      <c r="G3451" s="123" t="s">
        <v>3320</v>
      </c>
      <c r="H3451" s="71" t="s">
        <v>3293</v>
      </c>
      <c r="I3451" s="104" t="s">
        <v>3088</v>
      </c>
      <c r="J3451" s="70">
        <f>IFERROR(VLOOKUP(Devis[[#This Row],[Ref Air Flux]],#REF!,3,FALSE),0)</f>
        <v>0</v>
      </c>
      <c r="K3451" s="68"/>
      <c r="L3451" s="68"/>
      <c r="M3451" s="68"/>
      <c r="N3451" s="68"/>
      <c r="O3451" s="68"/>
      <c r="P3451" s="68"/>
      <c r="Q3451" s="68">
        <f>SUM(Devis[[#This Row],[Poste 1]:[Poste 6]])</f>
        <v>0</v>
      </c>
      <c r="R3451" s="71"/>
      <c r="S3451" s="68">
        <f>_xlfn.CEILING.MATH(Devis[[#This Row],[Quantité Totale]],Devis[[#This Row],[Conditionnement]])</f>
        <v>0</v>
      </c>
      <c r="T3451" s="72"/>
      <c r="U3451" s="73"/>
      <c r="V3451" s="74">
        <f>Devis[[#This Row],[Prix de Revient]]*Devis[[#This Row],[Poste 1]]</f>
        <v>0</v>
      </c>
      <c r="W3451" s="74">
        <f>Devis[[#This Row],[Prix de Revient]]*Devis[[#This Row],[Poste 2]]</f>
        <v>0</v>
      </c>
      <c r="X3451" s="74">
        <f>Devis[[#This Row],[Prix de Revient]]*Devis[[#This Row],[Poste 3]]</f>
        <v>0</v>
      </c>
      <c r="Y3451" s="74">
        <f>Devis[[#This Row],[Poste 4]]*Devis[[#This Row],[Prix de Revient]]</f>
        <v>0</v>
      </c>
      <c r="Z3451" s="74">
        <f>Devis[[#This Row],[Poste 5]]*Devis[[#This Row],[Prix de Revient]]</f>
        <v>0</v>
      </c>
      <c r="AA3451" s="74">
        <f>Devis[[#This Row],[Prix de Revient]]*Devis[[#This Row],[Poste 6]]</f>
        <v>0</v>
      </c>
      <c r="AB3451" s="74">
        <f>Devis[[#This Row],[Quantité Totale]]*Devis[[#This Row],[Prix de Revient]]</f>
        <v>0</v>
      </c>
    </row>
    <row r="3452" spans="1:28" ht="14.25" customHeight="1" outlineLevel="1" x14ac:dyDescent="0.2">
      <c r="A3452" s="75" t="s">
        <v>2983</v>
      </c>
      <c r="B3452" s="76" t="s">
        <v>5208</v>
      </c>
      <c r="C3452" s="75" t="s">
        <v>5235</v>
      </c>
      <c r="D3452" s="81" t="str">
        <f t="shared" si="63"/>
        <v>TransairPiquageAvec coupleur</v>
      </c>
      <c r="E3452" s="104" t="s">
        <v>3089</v>
      </c>
      <c r="F3452" s="81">
        <v>27</v>
      </c>
      <c r="G3452" s="123" t="s">
        <v>3321</v>
      </c>
      <c r="H3452" s="71" t="s">
        <v>3293</v>
      </c>
      <c r="I3452" s="104" t="s">
        <v>3090</v>
      </c>
      <c r="J3452" s="70">
        <f>IFERROR(VLOOKUP(Devis[[#This Row],[Ref Air Flux]],#REF!,3,FALSE),0)</f>
        <v>0</v>
      </c>
      <c r="K3452" s="68"/>
      <c r="L3452" s="68"/>
      <c r="M3452" s="68"/>
      <c r="N3452" s="68"/>
      <c r="O3452" s="68"/>
      <c r="P3452" s="68"/>
      <c r="Q3452" s="68">
        <f>SUM(Devis[[#This Row],[Poste 1]:[Poste 6]])</f>
        <v>0</v>
      </c>
      <c r="R3452" s="71"/>
      <c r="S3452" s="68">
        <f>_xlfn.CEILING.MATH(Devis[[#This Row],[Quantité Totale]],Devis[[#This Row],[Conditionnement]])</f>
        <v>0</v>
      </c>
      <c r="T3452" s="72"/>
      <c r="U3452" s="73"/>
      <c r="V3452" s="74">
        <f>Devis[[#This Row],[Prix de Revient]]*Devis[[#This Row],[Poste 1]]</f>
        <v>0</v>
      </c>
      <c r="W3452" s="74">
        <f>Devis[[#This Row],[Prix de Revient]]*Devis[[#This Row],[Poste 2]]</f>
        <v>0</v>
      </c>
      <c r="X3452" s="74">
        <f>Devis[[#This Row],[Prix de Revient]]*Devis[[#This Row],[Poste 3]]</f>
        <v>0</v>
      </c>
      <c r="Y3452" s="74">
        <f>Devis[[#This Row],[Poste 4]]*Devis[[#This Row],[Prix de Revient]]</f>
        <v>0</v>
      </c>
      <c r="Z3452" s="74">
        <f>Devis[[#This Row],[Poste 5]]*Devis[[#This Row],[Prix de Revient]]</f>
        <v>0</v>
      </c>
      <c r="AA3452" s="74">
        <f>Devis[[#This Row],[Prix de Revient]]*Devis[[#This Row],[Poste 6]]</f>
        <v>0</v>
      </c>
      <c r="AB3452" s="74">
        <f>Devis[[#This Row],[Quantité Totale]]*Devis[[#This Row],[Prix de Revient]]</f>
        <v>0</v>
      </c>
    </row>
    <row r="3453" spans="1:28" ht="14.25" customHeight="1" x14ac:dyDescent="0.25">
      <c r="A3453" s="65" t="s">
        <v>2983</v>
      </c>
      <c r="B3453" s="65" t="s">
        <v>3096</v>
      </c>
      <c r="C3453" s="76"/>
      <c r="D3453" s="81" t="str">
        <f t="shared" si="63"/>
        <v>TransairPrises murales</v>
      </c>
      <c r="E3453" s="76"/>
      <c r="F3453" s="81">
        <v>0</v>
      </c>
      <c r="G3453" s="71"/>
      <c r="H3453" s="71"/>
      <c r="I3453" s="71"/>
      <c r="J3453" s="70">
        <f>IFERROR(VLOOKUP(Devis[[#This Row],[Ref Air Flux]],#REF!,3,FALSE),0)</f>
        <v>0</v>
      </c>
      <c r="K3453" s="68"/>
      <c r="L3453" s="68"/>
      <c r="M3453" s="68"/>
      <c r="N3453" s="68"/>
      <c r="O3453" s="68"/>
      <c r="P3453" s="68"/>
      <c r="Q3453" s="68">
        <f>SUM(Devis[[#This Row],[Poste 1]:[Poste 6]])</f>
        <v>0</v>
      </c>
      <c r="R3453" s="71"/>
      <c r="S3453" s="68">
        <f>_xlfn.CEILING.MATH(Devis[[#This Row],[Quantité Totale]],Devis[[#This Row],[Conditionnement]])</f>
        <v>0</v>
      </c>
      <c r="T3453" s="72"/>
      <c r="U3453" s="73"/>
      <c r="V3453" s="74">
        <f>Devis[[#This Row],[Prix de Revient]]*Devis[[#This Row],[Poste 1]]</f>
        <v>0</v>
      </c>
      <c r="W3453" s="74">
        <f>Devis[[#This Row],[Prix de Revient]]*Devis[[#This Row],[Poste 2]]</f>
        <v>0</v>
      </c>
      <c r="X3453" s="74">
        <f>Devis[[#This Row],[Prix de Revient]]*Devis[[#This Row],[Poste 3]]</f>
        <v>0</v>
      </c>
      <c r="Y3453" s="74">
        <f>Devis[[#This Row],[Poste 4]]*Devis[[#This Row],[Prix de Revient]]</f>
        <v>0</v>
      </c>
      <c r="Z3453" s="74">
        <f>Devis[[#This Row],[Poste 5]]*Devis[[#This Row],[Prix de Revient]]</f>
        <v>0</v>
      </c>
      <c r="AA3453" s="74">
        <f>Devis[[#This Row],[Prix de Revient]]*Devis[[#This Row],[Poste 6]]</f>
        <v>0</v>
      </c>
      <c r="AB3453" s="74">
        <f>Devis[[#This Row],[Quantité Totale]]*Devis[[#This Row],[Prix de Revient]]</f>
        <v>0</v>
      </c>
    </row>
    <row r="3454" spans="1:28" ht="14.25" outlineLevel="1" x14ac:dyDescent="0.2">
      <c r="A3454" s="75" t="s">
        <v>2983</v>
      </c>
      <c r="B3454" s="76" t="s">
        <v>3096</v>
      </c>
      <c r="C3454" s="75"/>
      <c r="D3454" s="81" t="str">
        <f t="shared" si="63"/>
        <v>TransairPrises murales</v>
      </c>
      <c r="E3454" s="104" t="s">
        <v>5236</v>
      </c>
      <c r="F3454" s="81">
        <v>1</v>
      </c>
      <c r="G3454" s="123">
        <v>66862121</v>
      </c>
      <c r="H3454" s="71" t="s">
        <v>3293</v>
      </c>
      <c r="I3454" s="104" t="s">
        <v>3100</v>
      </c>
      <c r="J3454" s="70">
        <f>IFERROR(VLOOKUP(Devis[[#This Row],[Ref Air Flux]],#REF!,3,FALSE),0)</f>
        <v>0</v>
      </c>
      <c r="K3454" s="68"/>
      <c r="L3454" s="68"/>
      <c r="M3454" s="68"/>
      <c r="N3454" s="68"/>
      <c r="O3454" s="68"/>
      <c r="P3454" s="68"/>
      <c r="Q3454" s="68">
        <f>SUM(Devis[[#This Row],[Poste 1]:[Poste 6]])</f>
        <v>0</v>
      </c>
      <c r="R3454" s="71"/>
      <c r="S3454" s="68">
        <f>_xlfn.CEILING.MATH(Devis[[#This Row],[Quantité Totale]],Devis[[#This Row],[Conditionnement]])</f>
        <v>0</v>
      </c>
      <c r="T3454" s="72"/>
      <c r="U3454" s="73"/>
      <c r="V3454" s="74">
        <f>Devis[[#This Row],[Prix de Revient]]*Devis[[#This Row],[Poste 1]]</f>
        <v>0</v>
      </c>
      <c r="W3454" s="74">
        <f>Devis[[#This Row],[Prix de Revient]]*Devis[[#This Row],[Poste 2]]</f>
        <v>0</v>
      </c>
      <c r="X3454" s="74">
        <f>Devis[[#This Row],[Prix de Revient]]*Devis[[#This Row],[Poste 3]]</f>
        <v>0</v>
      </c>
      <c r="Y3454" s="74">
        <f>Devis[[#This Row],[Poste 4]]*Devis[[#This Row],[Prix de Revient]]</f>
        <v>0</v>
      </c>
      <c r="Z3454" s="74">
        <f>Devis[[#This Row],[Poste 5]]*Devis[[#This Row],[Prix de Revient]]</f>
        <v>0</v>
      </c>
      <c r="AA3454" s="74">
        <f>Devis[[#This Row],[Prix de Revient]]*Devis[[#This Row],[Poste 6]]</f>
        <v>0</v>
      </c>
      <c r="AB3454" s="74">
        <f>Devis[[#This Row],[Quantité Totale]]*Devis[[#This Row],[Prix de Revient]]</f>
        <v>0</v>
      </c>
    </row>
    <row r="3455" spans="1:28" ht="14.25" outlineLevel="1" x14ac:dyDescent="0.2">
      <c r="A3455" s="75" t="s">
        <v>2983</v>
      </c>
      <c r="B3455" s="76" t="s">
        <v>3096</v>
      </c>
      <c r="C3455" s="75"/>
      <c r="D3455" s="81" t="str">
        <f t="shared" si="63"/>
        <v>TransairPrises murales</v>
      </c>
      <c r="E3455" s="104" t="s">
        <v>5237</v>
      </c>
      <c r="F3455" s="81">
        <v>2</v>
      </c>
      <c r="G3455" s="123">
        <v>66902121</v>
      </c>
      <c r="H3455" s="71" t="s">
        <v>3293</v>
      </c>
      <c r="I3455" s="104" t="s">
        <v>3108</v>
      </c>
      <c r="J3455" s="70">
        <f>IFERROR(VLOOKUP(Devis[[#This Row],[Ref Air Flux]],#REF!,3,FALSE),0)</f>
        <v>0</v>
      </c>
      <c r="K3455" s="68"/>
      <c r="L3455" s="68"/>
      <c r="M3455" s="68"/>
      <c r="N3455" s="68"/>
      <c r="O3455" s="68"/>
      <c r="P3455" s="68"/>
      <c r="Q3455" s="68">
        <f>SUM(Devis[[#This Row],[Poste 1]:[Poste 6]])</f>
        <v>0</v>
      </c>
      <c r="R3455" s="71"/>
      <c r="S3455" s="68">
        <f>_xlfn.CEILING.MATH(Devis[[#This Row],[Quantité Totale]],Devis[[#This Row],[Conditionnement]])</f>
        <v>0</v>
      </c>
      <c r="T3455" s="72"/>
      <c r="U3455" s="73"/>
      <c r="V3455" s="74">
        <f>Devis[[#This Row],[Prix de Revient]]*Devis[[#This Row],[Poste 1]]</f>
        <v>0</v>
      </c>
      <c r="W3455" s="74">
        <f>Devis[[#This Row],[Prix de Revient]]*Devis[[#This Row],[Poste 2]]</f>
        <v>0</v>
      </c>
      <c r="X3455" s="74">
        <f>Devis[[#This Row],[Prix de Revient]]*Devis[[#This Row],[Poste 3]]</f>
        <v>0</v>
      </c>
      <c r="Y3455" s="74">
        <f>Devis[[#This Row],[Poste 4]]*Devis[[#This Row],[Prix de Revient]]</f>
        <v>0</v>
      </c>
      <c r="Z3455" s="74">
        <f>Devis[[#This Row],[Poste 5]]*Devis[[#This Row],[Prix de Revient]]</f>
        <v>0</v>
      </c>
      <c r="AA3455" s="74">
        <f>Devis[[#This Row],[Prix de Revient]]*Devis[[#This Row],[Poste 6]]</f>
        <v>0</v>
      </c>
      <c r="AB3455" s="74">
        <f>Devis[[#This Row],[Quantité Totale]]*Devis[[#This Row],[Prix de Revient]]</f>
        <v>0</v>
      </c>
    </row>
    <row r="3456" spans="1:28" ht="14.25" outlineLevel="1" x14ac:dyDescent="0.2">
      <c r="A3456" s="75" t="s">
        <v>2983</v>
      </c>
      <c r="B3456" s="76" t="s">
        <v>3096</v>
      </c>
      <c r="C3456" s="75"/>
      <c r="D3456" s="81" t="str">
        <f t="shared" si="63"/>
        <v>TransairPrises murales</v>
      </c>
      <c r="E3456" s="104" t="s">
        <v>5238</v>
      </c>
      <c r="F3456" s="81">
        <v>3</v>
      </c>
      <c r="G3456" s="123">
        <v>66391721</v>
      </c>
      <c r="H3456" s="71" t="s">
        <v>3293</v>
      </c>
      <c r="I3456" s="104" t="s">
        <v>3097</v>
      </c>
      <c r="J3456" s="70">
        <f>IFERROR(VLOOKUP(Devis[[#This Row],[Ref Air Flux]],#REF!,3,FALSE),0)</f>
        <v>0</v>
      </c>
      <c r="K3456" s="68"/>
      <c r="L3456" s="68"/>
      <c r="M3456" s="68"/>
      <c r="N3456" s="68"/>
      <c r="O3456" s="68"/>
      <c r="P3456" s="68"/>
      <c r="Q3456" s="68">
        <f>SUM(Devis[[#This Row],[Poste 1]:[Poste 6]])</f>
        <v>0</v>
      </c>
      <c r="R3456" s="71"/>
      <c r="S3456" s="68">
        <f>_xlfn.CEILING.MATH(Devis[[#This Row],[Quantité Totale]],Devis[[#This Row],[Conditionnement]])</f>
        <v>0</v>
      </c>
      <c r="T3456" s="72"/>
      <c r="U3456" s="73"/>
      <c r="V3456" s="74">
        <f>Devis[[#This Row],[Prix de Revient]]*Devis[[#This Row],[Poste 1]]</f>
        <v>0</v>
      </c>
      <c r="W3456" s="74">
        <f>Devis[[#This Row],[Prix de Revient]]*Devis[[#This Row],[Poste 2]]</f>
        <v>0</v>
      </c>
      <c r="X3456" s="74">
        <f>Devis[[#This Row],[Prix de Revient]]*Devis[[#This Row],[Poste 3]]</f>
        <v>0</v>
      </c>
      <c r="Y3456" s="74">
        <f>Devis[[#This Row],[Poste 4]]*Devis[[#This Row],[Prix de Revient]]</f>
        <v>0</v>
      </c>
      <c r="Z3456" s="74">
        <f>Devis[[#This Row],[Poste 5]]*Devis[[#This Row],[Prix de Revient]]</f>
        <v>0</v>
      </c>
      <c r="AA3456" s="74">
        <f>Devis[[#This Row],[Prix de Revient]]*Devis[[#This Row],[Poste 6]]</f>
        <v>0</v>
      </c>
      <c r="AB3456" s="74">
        <f>Devis[[#This Row],[Quantité Totale]]*Devis[[#This Row],[Prix de Revient]]</f>
        <v>0</v>
      </c>
    </row>
    <row r="3457" spans="1:28" ht="14.25" customHeight="1" outlineLevel="1" x14ac:dyDescent="0.2">
      <c r="A3457" s="75" t="s">
        <v>2983</v>
      </c>
      <c r="B3457" s="76" t="s">
        <v>3096</v>
      </c>
      <c r="C3457" s="75"/>
      <c r="D3457" s="81" t="str">
        <f t="shared" si="63"/>
        <v>TransairPrises murales</v>
      </c>
      <c r="E3457" s="104" t="s">
        <v>5239</v>
      </c>
      <c r="F3457" s="81">
        <v>4</v>
      </c>
      <c r="G3457" s="123">
        <v>66821721</v>
      </c>
      <c r="H3457" s="71" t="s">
        <v>3293</v>
      </c>
      <c r="I3457" s="104" t="s">
        <v>3106</v>
      </c>
      <c r="J3457" s="70">
        <f>IFERROR(VLOOKUP(Devis[[#This Row],[Ref Air Flux]],#REF!,3,FALSE),0)</f>
        <v>0</v>
      </c>
      <c r="K3457" s="68"/>
      <c r="L3457" s="68"/>
      <c r="M3457" s="68"/>
      <c r="N3457" s="68"/>
      <c r="O3457" s="68"/>
      <c r="P3457" s="68"/>
      <c r="Q3457" s="68">
        <f>SUM(Devis[[#This Row],[Poste 1]:[Poste 6]])</f>
        <v>0</v>
      </c>
      <c r="R3457" s="71"/>
      <c r="S3457" s="68">
        <f>_xlfn.CEILING.MATH(Devis[[#This Row],[Quantité Totale]],Devis[[#This Row],[Conditionnement]])</f>
        <v>0</v>
      </c>
      <c r="T3457" s="72"/>
      <c r="U3457" s="73"/>
      <c r="V3457" s="74">
        <f>Devis[[#This Row],[Prix de Revient]]*Devis[[#This Row],[Poste 1]]</f>
        <v>0</v>
      </c>
      <c r="W3457" s="74">
        <f>Devis[[#This Row],[Prix de Revient]]*Devis[[#This Row],[Poste 2]]</f>
        <v>0</v>
      </c>
      <c r="X3457" s="74">
        <f>Devis[[#This Row],[Prix de Revient]]*Devis[[#This Row],[Poste 3]]</f>
        <v>0</v>
      </c>
      <c r="Y3457" s="74">
        <f>Devis[[#This Row],[Poste 4]]*Devis[[#This Row],[Prix de Revient]]</f>
        <v>0</v>
      </c>
      <c r="Z3457" s="74">
        <f>Devis[[#This Row],[Poste 5]]*Devis[[#This Row],[Prix de Revient]]</f>
        <v>0</v>
      </c>
      <c r="AA3457" s="74">
        <f>Devis[[#This Row],[Prix de Revient]]*Devis[[#This Row],[Poste 6]]</f>
        <v>0</v>
      </c>
      <c r="AB3457" s="74">
        <f>Devis[[#This Row],[Quantité Totale]]*Devis[[#This Row],[Prix de Revient]]</f>
        <v>0</v>
      </c>
    </row>
    <row r="3458" spans="1:28" ht="14.25" customHeight="1" outlineLevel="1" x14ac:dyDescent="0.2">
      <c r="A3458" s="75" t="s">
        <v>2983</v>
      </c>
      <c r="B3458" s="76" t="s">
        <v>3096</v>
      </c>
      <c r="C3458" s="75"/>
      <c r="D3458" s="81" t="str">
        <f t="shared" si="63"/>
        <v>TransairPrises murales</v>
      </c>
      <c r="E3458" s="104" t="s">
        <v>5240</v>
      </c>
      <c r="F3458" s="81">
        <v>5</v>
      </c>
      <c r="G3458" s="123">
        <v>66781721</v>
      </c>
      <c r="H3458" s="71" t="s">
        <v>3293</v>
      </c>
      <c r="I3458" s="104" t="s">
        <v>3113</v>
      </c>
      <c r="J3458" s="70">
        <f>IFERROR(VLOOKUP(Devis[[#This Row],[Ref Air Flux]],#REF!,3,FALSE),0)</f>
        <v>0</v>
      </c>
      <c r="K3458" s="68"/>
      <c r="L3458" s="68"/>
      <c r="M3458" s="68"/>
      <c r="N3458" s="68"/>
      <c r="O3458" s="68"/>
      <c r="P3458" s="68"/>
      <c r="Q3458" s="68">
        <f>SUM(Devis[[#This Row],[Poste 1]:[Poste 6]])</f>
        <v>0</v>
      </c>
      <c r="R3458" s="71"/>
      <c r="S3458" s="68">
        <f>_xlfn.CEILING.MATH(Devis[[#This Row],[Quantité Totale]],Devis[[#This Row],[Conditionnement]])</f>
        <v>0</v>
      </c>
      <c r="T3458" s="72"/>
      <c r="U3458" s="73"/>
      <c r="V3458" s="74">
        <f>Devis[[#This Row],[Prix de Revient]]*Devis[[#This Row],[Poste 1]]</f>
        <v>0</v>
      </c>
      <c r="W3458" s="74">
        <f>Devis[[#This Row],[Prix de Revient]]*Devis[[#This Row],[Poste 2]]</f>
        <v>0</v>
      </c>
      <c r="X3458" s="74">
        <f>Devis[[#This Row],[Prix de Revient]]*Devis[[#This Row],[Poste 3]]</f>
        <v>0</v>
      </c>
      <c r="Y3458" s="74">
        <f>Devis[[#This Row],[Poste 4]]*Devis[[#This Row],[Prix de Revient]]</f>
        <v>0</v>
      </c>
      <c r="Z3458" s="74">
        <f>Devis[[#This Row],[Poste 5]]*Devis[[#This Row],[Prix de Revient]]</f>
        <v>0</v>
      </c>
      <c r="AA3458" s="74">
        <f>Devis[[#This Row],[Prix de Revient]]*Devis[[#This Row],[Poste 6]]</f>
        <v>0</v>
      </c>
      <c r="AB3458" s="74">
        <f>Devis[[#This Row],[Quantité Totale]]*Devis[[#This Row],[Prix de Revient]]</f>
        <v>0</v>
      </c>
    </row>
    <row r="3459" spans="1:28" ht="14.25" customHeight="1" outlineLevel="1" x14ac:dyDescent="0.2">
      <c r="A3459" s="75" t="s">
        <v>2983</v>
      </c>
      <c r="B3459" s="76" t="s">
        <v>3096</v>
      </c>
      <c r="C3459" s="75"/>
      <c r="D3459" s="81" t="str">
        <f t="shared" si="63"/>
        <v>TransairPrises murales</v>
      </c>
      <c r="E3459" s="104" t="s">
        <v>5241</v>
      </c>
      <c r="F3459" s="81">
        <v>6</v>
      </c>
      <c r="G3459" s="123">
        <v>66931721</v>
      </c>
      <c r="H3459" s="71" t="s">
        <v>3293</v>
      </c>
      <c r="I3459" s="104" t="s">
        <v>3115</v>
      </c>
      <c r="J3459" s="70">
        <f>IFERROR(VLOOKUP(Devis[[#This Row],[Ref Air Flux]],#REF!,3,FALSE),0)</f>
        <v>0</v>
      </c>
      <c r="K3459" s="68"/>
      <c r="L3459" s="68"/>
      <c r="M3459" s="68"/>
      <c r="N3459" s="68"/>
      <c r="O3459" s="68"/>
      <c r="P3459" s="68"/>
      <c r="Q3459" s="68">
        <f>SUM(Devis[[#This Row],[Poste 1]:[Poste 6]])</f>
        <v>0</v>
      </c>
      <c r="R3459" s="71"/>
      <c r="S3459" s="68">
        <f>_xlfn.CEILING.MATH(Devis[[#This Row],[Quantité Totale]],Devis[[#This Row],[Conditionnement]])</f>
        <v>0</v>
      </c>
      <c r="T3459" s="72"/>
      <c r="U3459" s="73"/>
      <c r="V3459" s="74">
        <f>Devis[[#This Row],[Prix de Revient]]*Devis[[#This Row],[Poste 1]]</f>
        <v>0</v>
      </c>
      <c r="W3459" s="74">
        <f>Devis[[#This Row],[Prix de Revient]]*Devis[[#This Row],[Poste 2]]</f>
        <v>0</v>
      </c>
      <c r="X3459" s="74">
        <f>Devis[[#This Row],[Prix de Revient]]*Devis[[#This Row],[Poste 3]]</f>
        <v>0</v>
      </c>
      <c r="Y3459" s="74">
        <f>Devis[[#This Row],[Poste 4]]*Devis[[#This Row],[Prix de Revient]]</f>
        <v>0</v>
      </c>
      <c r="Z3459" s="74">
        <f>Devis[[#This Row],[Poste 5]]*Devis[[#This Row],[Prix de Revient]]</f>
        <v>0</v>
      </c>
      <c r="AA3459" s="74">
        <f>Devis[[#This Row],[Prix de Revient]]*Devis[[#This Row],[Poste 6]]</f>
        <v>0</v>
      </c>
      <c r="AB3459" s="74">
        <f>Devis[[#This Row],[Quantité Totale]]*Devis[[#This Row],[Prix de Revient]]</f>
        <v>0</v>
      </c>
    </row>
    <row r="3460" spans="1:28" ht="14.25" customHeight="1" outlineLevel="1" x14ac:dyDescent="0.2">
      <c r="A3460" s="75" t="s">
        <v>2983</v>
      </c>
      <c r="B3460" s="76" t="s">
        <v>3096</v>
      </c>
      <c r="C3460" s="75"/>
      <c r="D3460" s="81" t="str">
        <f t="shared" si="63"/>
        <v>TransairPrises murales</v>
      </c>
      <c r="E3460" s="104" t="s">
        <v>5242</v>
      </c>
      <c r="F3460" s="81">
        <v>7</v>
      </c>
      <c r="G3460" s="123" t="s">
        <v>3324</v>
      </c>
      <c r="H3460" s="71" t="s">
        <v>3293</v>
      </c>
      <c r="I3460" s="104" t="s">
        <v>3103</v>
      </c>
      <c r="J3460" s="70">
        <f>IFERROR(VLOOKUP(Devis[[#This Row],[Ref Air Flux]],#REF!,3,FALSE),0)</f>
        <v>0</v>
      </c>
      <c r="K3460" s="68"/>
      <c r="L3460" s="68"/>
      <c r="M3460" s="68"/>
      <c r="N3460" s="68"/>
      <c r="O3460" s="68"/>
      <c r="P3460" s="68"/>
      <c r="Q3460" s="68">
        <f>SUM(Devis[[#This Row],[Poste 1]:[Poste 6]])</f>
        <v>0</v>
      </c>
      <c r="R3460" s="71"/>
      <c r="S3460" s="68">
        <f>_xlfn.CEILING.MATH(Devis[[#This Row],[Quantité Totale]],Devis[[#This Row],[Conditionnement]])</f>
        <v>0</v>
      </c>
      <c r="T3460" s="72"/>
      <c r="U3460" s="73"/>
      <c r="V3460" s="74">
        <f>Devis[[#This Row],[Prix de Revient]]*Devis[[#This Row],[Poste 1]]</f>
        <v>0</v>
      </c>
      <c r="W3460" s="74">
        <f>Devis[[#This Row],[Prix de Revient]]*Devis[[#This Row],[Poste 2]]</f>
        <v>0</v>
      </c>
      <c r="X3460" s="74">
        <f>Devis[[#This Row],[Prix de Revient]]*Devis[[#This Row],[Poste 3]]</f>
        <v>0</v>
      </c>
      <c r="Y3460" s="74">
        <f>Devis[[#This Row],[Poste 4]]*Devis[[#This Row],[Prix de Revient]]</f>
        <v>0</v>
      </c>
      <c r="Z3460" s="74">
        <f>Devis[[#This Row],[Poste 5]]*Devis[[#This Row],[Prix de Revient]]</f>
        <v>0</v>
      </c>
      <c r="AA3460" s="74">
        <f>Devis[[#This Row],[Prix de Revient]]*Devis[[#This Row],[Poste 6]]</f>
        <v>0</v>
      </c>
      <c r="AB3460" s="74">
        <f>Devis[[#This Row],[Quantité Totale]]*Devis[[#This Row],[Prix de Revient]]</f>
        <v>0</v>
      </c>
    </row>
    <row r="3461" spans="1:28" ht="14.25" customHeight="1" outlineLevel="1" x14ac:dyDescent="0.2">
      <c r="A3461" s="75" t="s">
        <v>2983</v>
      </c>
      <c r="B3461" s="76" t="s">
        <v>3096</v>
      </c>
      <c r="C3461" s="75"/>
      <c r="D3461" s="81" t="str">
        <f t="shared" si="63"/>
        <v>TransairPrises murales</v>
      </c>
      <c r="E3461" s="104" t="s">
        <v>5243</v>
      </c>
      <c r="F3461" s="81">
        <v>8</v>
      </c>
      <c r="G3461" s="123" t="s">
        <v>3327</v>
      </c>
      <c r="H3461" s="71" t="s">
        <v>3293</v>
      </c>
      <c r="I3461" s="104" t="s">
        <v>3109</v>
      </c>
      <c r="J3461" s="70">
        <f>IFERROR(VLOOKUP(Devis[[#This Row],[Ref Air Flux]],#REF!,3,FALSE),0)</f>
        <v>0</v>
      </c>
      <c r="K3461" s="68"/>
      <c r="L3461" s="68"/>
      <c r="M3461" s="68"/>
      <c r="N3461" s="68"/>
      <c r="O3461" s="68"/>
      <c r="P3461" s="68"/>
      <c r="Q3461" s="68">
        <f>SUM(Devis[[#This Row],[Poste 1]:[Poste 6]])</f>
        <v>0</v>
      </c>
      <c r="R3461" s="71"/>
      <c r="S3461" s="68">
        <f>_xlfn.CEILING.MATH(Devis[[#This Row],[Quantité Totale]],Devis[[#This Row],[Conditionnement]])</f>
        <v>0</v>
      </c>
      <c r="T3461" s="72"/>
      <c r="U3461" s="73"/>
      <c r="V3461" s="74">
        <f>Devis[[#This Row],[Prix de Revient]]*Devis[[#This Row],[Poste 1]]</f>
        <v>0</v>
      </c>
      <c r="W3461" s="74">
        <f>Devis[[#This Row],[Prix de Revient]]*Devis[[#This Row],[Poste 2]]</f>
        <v>0</v>
      </c>
      <c r="X3461" s="74">
        <f>Devis[[#This Row],[Prix de Revient]]*Devis[[#This Row],[Poste 3]]</f>
        <v>0</v>
      </c>
      <c r="Y3461" s="74">
        <f>Devis[[#This Row],[Poste 4]]*Devis[[#This Row],[Prix de Revient]]</f>
        <v>0</v>
      </c>
      <c r="Z3461" s="74">
        <f>Devis[[#This Row],[Poste 5]]*Devis[[#This Row],[Prix de Revient]]</f>
        <v>0</v>
      </c>
      <c r="AA3461" s="74">
        <f>Devis[[#This Row],[Prix de Revient]]*Devis[[#This Row],[Poste 6]]</f>
        <v>0</v>
      </c>
      <c r="AB3461" s="74">
        <f>Devis[[#This Row],[Quantité Totale]]*Devis[[#This Row],[Prix de Revient]]</f>
        <v>0</v>
      </c>
    </row>
    <row r="3462" spans="1:28" ht="14.25" customHeight="1" outlineLevel="1" x14ac:dyDescent="0.2">
      <c r="A3462" s="75" t="s">
        <v>2983</v>
      </c>
      <c r="B3462" s="76" t="s">
        <v>3096</v>
      </c>
      <c r="C3462" s="75"/>
      <c r="D3462" s="81" t="str">
        <f t="shared" si="63"/>
        <v>TransairPrises murales</v>
      </c>
      <c r="E3462" s="104" t="s">
        <v>5244</v>
      </c>
      <c r="F3462" s="81">
        <v>9</v>
      </c>
      <c r="G3462" s="123">
        <v>66392521</v>
      </c>
      <c r="H3462" s="71" t="s">
        <v>3293</v>
      </c>
      <c r="I3462" s="104" t="s">
        <v>3098</v>
      </c>
      <c r="J3462" s="70">
        <f>IFERROR(VLOOKUP(Devis[[#This Row],[Ref Air Flux]],#REF!,3,FALSE),0)</f>
        <v>0</v>
      </c>
      <c r="K3462" s="68"/>
      <c r="L3462" s="68"/>
      <c r="M3462" s="68"/>
      <c r="N3462" s="68"/>
      <c r="O3462" s="68"/>
      <c r="P3462" s="68"/>
      <c r="Q3462" s="68">
        <f>SUM(Devis[[#This Row],[Poste 1]:[Poste 6]])</f>
        <v>0</v>
      </c>
      <c r="R3462" s="71"/>
      <c r="S3462" s="68">
        <f>_xlfn.CEILING.MATH(Devis[[#This Row],[Quantité Totale]],Devis[[#This Row],[Conditionnement]])</f>
        <v>0</v>
      </c>
      <c r="T3462" s="72"/>
      <c r="U3462" s="73"/>
      <c r="V3462" s="74">
        <f>Devis[[#This Row],[Prix de Revient]]*Devis[[#This Row],[Poste 1]]</f>
        <v>0</v>
      </c>
      <c r="W3462" s="74">
        <f>Devis[[#This Row],[Prix de Revient]]*Devis[[#This Row],[Poste 2]]</f>
        <v>0</v>
      </c>
      <c r="X3462" s="74">
        <f>Devis[[#This Row],[Prix de Revient]]*Devis[[#This Row],[Poste 3]]</f>
        <v>0</v>
      </c>
      <c r="Y3462" s="74">
        <f>Devis[[#This Row],[Poste 4]]*Devis[[#This Row],[Prix de Revient]]</f>
        <v>0</v>
      </c>
      <c r="Z3462" s="74">
        <f>Devis[[#This Row],[Poste 5]]*Devis[[#This Row],[Prix de Revient]]</f>
        <v>0</v>
      </c>
      <c r="AA3462" s="74">
        <f>Devis[[#This Row],[Prix de Revient]]*Devis[[#This Row],[Poste 6]]</f>
        <v>0</v>
      </c>
      <c r="AB3462" s="74">
        <f>Devis[[#This Row],[Quantité Totale]]*Devis[[#This Row],[Prix de Revient]]</f>
        <v>0</v>
      </c>
    </row>
    <row r="3463" spans="1:28" ht="14.25" customHeight="1" outlineLevel="1" x14ac:dyDescent="0.2">
      <c r="A3463" s="75" t="s">
        <v>2983</v>
      </c>
      <c r="B3463" s="76" t="s">
        <v>3096</v>
      </c>
      <c r="C3463" s="75"/>
      <c r="D3463" s="81" t="str">
        <f t="shared" si="63"/>
        <v>TransairPrises murales</v>
      </c>
      <c r="E3463" s="104" t="s">
        <v>5245</v>
      </c>
      <c r="F3463" s="81">
        <v>10</v>
      </c>
      <c r="G3463" s="123">
        <v>66812521</v>
      </c>
      <c r="H3463" s="71" t="s">
        <v>3293</v>
      </c>
      <c r="I3463" s="104" t="s">
        <v>3099</v>
      </c>
      <c r="J3463" s="70">
        <f>IFERROR(VLOOKUP(Devis[[#This Row],[Ref Air Flux]],#REF!,3,FALSE),0)</f>
        <v>0</v>
      </c>
      <c r="K3463" s="68"/>
      <c r="L3463" s="68"/>
      <c r="M3463" s="68"/>
      <c r="N3463" s="68"/>
      <c r="O3463" s="68"/>
      <c r="P3463" s="68"/>
      <c r="Q3463" s="68">
        <f>SUM(Devis[[#This Row],[Poste 1]:[Poste 6]])</f>
        <v>0</v>
      </c>
      <c r="R3463" s="71"/>
      <c r="S3463" s="68">
        <f>_xlfn.CEILING.MATH(Devis[[#This Row],[Quantité Totale]],Devis[[#This Row],[Conditionnement]])</f>
        <v>0</v>
      </c>
      <c r="T3463" s="72"/>
      <c r="U3463" s="73"/>
      <c r="V3463" s="74">
        <f>Devis[[#This Row],[Prix de Revient]]*Devis[[#This Row],[Poste 1]]</f>
        <v>0</v>
      </c>
      <c r="W3463" s="74">
        <f>Devis[[#This Row],[Prix de Revient]]*Devis[[#This Row],[Poste 2]]</f>
        <v>0</v>
      </c>
      <c r="X3463" s="74">
        <f>Devis[[#This Row],[Prix de Revient]]*Devis[[#This Row],[Poste 3]]</f>
        <v>0</v>
      </c>
      <c r="Y3463" s="74">
        <f>Devis[[#This Row],[Poste 4]]*Devis[[#This Row],[Prix de Revient]]</f>
        <v>0</v>
      </c>
      <c r="Z3463" s="74">
        <f>Devis[[#This Row],[Poste 5]]*Devis[[#This Row],[Prix de Revient]]</f>
        <v>0</v>
      </c>
      <c r="AA3463" s="74">
        <f>Devis[[#This Row],[Prix de Revient]]*Devis[[#This Row],[Poste 6]]</f>
        <v>0</v>
      </c>
      <c r="AB3463" s="74">
        <f>Devis[[#This Row],[Quantité Totale]]*Devis[[#This Row],[Prix de Revient]]</f>
        <v>0</v>
      </c>
    </row>
    <row r="3464" spans="1:28" ht="14.25" customHeight="1" outlineLevel="1" x14ac:dyDescent="0.2">
      <c r="A3464" s="75" t="s">
        <v>2983</v>
      </c>
      <c r="B3464" s="76" t="s">
        <v>3096</v>
      </c>
      <c r="C3464" s="75"/>
      <c r="D3464" s="81" t="str">
        <f t="shared" si="63"/>
        <v>TransairPrises murales</v>
      </c>
      <c r="E3464" s="104" t="s">
        <v>5246</v>
      </c>
      <c r="F3464" s="81">
        <v>11</v>
      </c>
      <c r="G3464" s="123" t="s">
        <v>3322</v>
      </c>
      <c r="H3464" s="71" t="s">
        <v>3293</v>
      </c>
      <c r="I3464" s="104" t="s">
        <v>3101</v>
      </c>
      <c r="J3464" s="70">
        <f>IFERROR(VLOOKUP(Devis[[#This Row],[Ref Air Flux]],#REF!,3,FALSE),0)</f>
        <v>0</v>
      </c>
      <c r="K3464" s="68"/>
      <c r="L3464" s="68"/>
      <c r="M3464" s="68"/>
      <c r="N3464" s="68"/>
      <c r="O3464" s="68"/>
      <c r="P3464" s="68"/>
      <c r="Q3464" s="68">
        <f>SUM(Devis[[#This Row],[Poste 1]:[Poste 6]])</f>
        <v>0</v>
      </c>
      <c r="R3464" s="71"/>
      <c r="S3464" s="68">
        <f>_xlfn.CEILING.MATH(Devis[[#This Row],[Quantité Totale]],Devis[[#This Row],[Conditionnement]])</f>
        <v>0</v>
      </c>
      <c r="T3464" s="72"/>
      <c r="U3464" s="73"/>
      <c r="V3464" s="74">
        <f>Devis[[#This Row],[Prix de Revient]]*Devis[[#This Row],[Poste 1]]</f>
        <v>0</v>
      </c>
      <c r="W3464" s="74">
        <f>Devis[[#This Row],[Prix de Revient]]*Devis[[#This Row],[Poste 2]]</f>
        <v>0</v>
      </c>
      <c r="X3464" s="74">
        <f>Devis[[#This Row],[Prix de Revient]]*Devis[[#This Row],[Poste 3]]</f>
        <v>0</v>
      </c>
      <c r="Y3464" s="74">
        <f>Devis[[#This Row],[Poste 4]]*Devis[[#This Row],[Prix de Revient]]</f>
        <v>0</v>
      </c>
      <c r="Z3464" s="74">
        <f>Devis[[#This Row],[Poste 5]]*Devis[[#This Row],[Prix de Revient]]</f>
        <v>0</v>
      </c>
      <c r="AA3464" s="74">
        <f>Devis[[#This Row],[Prix de Revient]]*Devis[[#This Row],[Poste 6]]</f>
        <v>0</v>
      </c>
      <c r="AB3464" s="74">
        <f>Devis[[#This Row],[Quantité Totale]]*Devis[[#This Row],[Prix de Revient]]</f>
        <v>0</v>
      </c>
    </row>
    <row r="3465" spans="1:28" ht="14.25" outlineLevel="1" x14ac:dyDescent="0.2">
      <c r="A3465" s="75" t="s">
        <v>2983</v>
      </c>
      <c r="B3465" s="76" t="s">
        <v>3096</v>
      </c>
      <c r="C3465" s="75"/>
      <c r="D3465" s="81" t="str">
        <f t="shared" si="63"/>
        <v>TransairPrises murales</v>
      </c>
      <c r="E3465" s="104" t="s">
        <v>5247</v>
      </c>
      <c r="F3465" s="81">
        <v>12</v>
      </c>
      <c r="G3465" s="123" t="s">
        <v>3323</v>
      </c>
      <c r="H3465" s="71" t="s">
        <v>3293</v>
      </c>
      <c r="I3465" s="104" t="s">
        <v>3102</v>
      </c>
      <c r="J3465" s="70">
        <f>IFERROR(VLOOKUP(Devis[[#This Row],[Ref Air Flux]],#REF!,3,FALSE),0)</f>
        <v>0</v>
      </c>
      <c r="K3465" s="68"/>
      <c r="L3465" s="68"/>
      <c r="M3465" s="68"/>
      <c r="N3465" s="68"/>
      <c r="O3465" s="68"/>
      <c r="P3465" s="68"/>
      <c r="Q3465" s="68">
        <f>SUM(Devis[[#This Row],[Poste 1]:[Poste 6]])</f>
        <v>0</v>
      </c>
      <c r="R3465" s="71"/>
      <c r="S3465" s="68">
        <f>_xlfn.CEILING.MATH(Devis[[#This Row],[Quantité Totale]],Devis[[#This Row],[Conditionnement]])</f>
        <v>0</v>
      </c>
      <c r="T3465" s="72"/>
      <c r="U3465" s="73"/>
      <c r="V3465" s="74">
        <f>Devis[[#This Row],[Prix de Revient]]*Devis[[#This Row],[Poste 1]]</f>
        <v>0</v>
      </c>
      <c r="W3465" s="74">
        <f>Devis[[#This Row],[Prix de Revient]]*Devis[[#This Row],[Poste 2]]</f>
        <v>0</v>
      </c>
      <c r="X3465" s="74">
        <f>Devis[[#This Row],[Prix de Revient]]*Devis[[#This Row],[Poste 3]]</f>
        <v>0</v>
      </c>
      <c r="Y3465" s="74">
        <f>Devis[[#This Row],[Poste 4]]*Devis[[#This Row],[Prix de Revient]]</f>
        <v>0</v>
      </c>
      <c r="Z3465" s="74">
        <f>Devis[[#This Row],[Poste 5]]*Devis[[#This Row],[Prix de Revient]]</f>
        <v>0</v>
      </c>
      <c r="AA3465" s="74">
        <f>Devis[[#This Row],[Prix de Revient]]*Devis[[#This Row],[Poste 6]]</f>
        <v>0</v>
      </c>
      <c r="AB3465" s="74">
        <f>Devis[[#This Row],[Quantité Totale]]*Devis[[#This Row],[Prix de Revient]]</f>
        <v>0</v>
      </c>
    </row>
    <row r="3466" spans="1:28" ht="15" customHeight="1" outlineLevel="1" x14ac:dyDescent="0.2">
      <c r="A3466" s="75" t="s">
        <v>2983</v>
      </c>
      <c r="B3466" s="76" t="s">
        <v>3096</v>
      </c>
      <c r="C3466" s="75"/>
      <c r="D3466" s="81" t="str">
        <f t="shared" si="63"/>
        <v>TransairPrises murales</v>
      </c>
      <c r="E3466" s="104" t="s">
        <v>5248</v>
      </c>
      <c r="F3466" s="81">
        <v>13</v>
      </c>
      <c r="G3466" s="123" t="s">
        <v>3325</v>
      </c>
      <c r="H3466" s="71" t="s">
        <v>3293</v>
      </c>
      <c r="I3466" s="104" t="s">
        <v>3104</v>
      </c>
      <c r="J3466" s="70">
        <f>IFERROR(VLOOKUP(Devis[[#This Row],[Ref Air Flux]],#REF!,3,FALSE),0)</f>
        <v>0</v>
      </c>
      <c r="K3466" s="68"/>
      <c r="L3466" s="68"/>
      <c r="M3466" s="68"/>
      <c r="N3466" s="68"/>
      <c r="O3466" s="68"/>
      <c r="P3466" s="68"/>
      <c r="Q3466" s="68">
        <f>SUM(Devis[[#This Row],[Poste 1]:[Poste 6]])</f>
        <v>0</v>
      </c>
      <c r="R3466" s="71"/>
      <c r="S3466" s="68">
        <f>_xlfn.CEILING.MATH(Devis[[#This Row],[Quantité Totale]],Devis[[#This Row],[Conditionnement]])</f>
        <v>0</v>
      </c>
      <c r="T3466" s="72"/>
      <c r="U3466" s="73"/>
      <c r="V3466" s="74">
        <f>Devis[[#This Row],[Prix de Revient]]*Devis[[#This Row],[Poste 1]]</f>
        <v>0</v>
      </c>
      <c r="W3466" s="74">
        <f>Devis[[#This Row],[Prix de Revient]]*Devis[[#This Row],[Poste 2]]</f>
        <v>0</v>
      </c>
      <c r="X3466" s="74">
        <f>Devis[[#This Row],[Prix de Revient]]*Devis[[#This Row],[Poste 3]]</f>
        <v>0</v>
      </c>
      <c r="Y3466" s="74">
        <f>Devis[[#This Row],[Poste 4]]*Devis[[#This Row],[Prix de Revient]]</f>
        <v>0</v>
      </c>
      <c r="Z3466" s="74">
        <f>Devis[[#This Row],[Poste 5]]*Devis[[#This Row],[Prix de Revient]]</f>
        <v>0</v>
      </c>
      <c r="AA3466" s="74">
        <f>Devis[[#This Row],[Prix de Revient]]*Devis[[#This Row],[Poste 6]]</f>
        <v>0</v>
      </c>
      <c r="AB3466" s="74">
        <f>Devis[[#This Row],[Quantité Totale]]*Devis[[#This Row],[Prix de Revient]]</f>
        <v>0</v>
      </c>
    </row>
    <row r="3467" spans="1:28" ht="14.25" outlineLevel="1" x14ac:dyDescent="0.2">
      <c r="A3467" s="75" t="s">
        <v>2983</v>
      </c>
      <c r="B3467" s="76" t="s">
        <v>3096</v>
      </c>
      <c r="C3467" s="75"/>
      <c r="D3467" s="81" t="str">
        <f t="shared" si="63"/>
        <v>TransairPrises murales</v>
      </c>
      <c r="E3467" s="104" t="s">
        <v>5249</v>
      </c>
      <c r="F3467" s="81">
        <v>14</v>
      </c>
      <c r="G3467" s="123" t="s">
        <v>3326</v>
      </c>
      <c r="H3467" s="71" t="s">
        <v>3293</v>
      </c>
      <c r="I3467" s="104" t="s">
        <v>3105</v>
      </c>
      <c r="J3467" s="70">
        <f>IFERROR(VLOOKUP(Devis[[#This Row],[Ref Air Flux]],#REF!,3,FALSE),0)</f>
        <v>0</v>
      </c>
      <c r="K3467" s="68"/>
      <c r="L3467" s="68"/>
      <c r="M3467" s="68"/>
      <c r="N3467" s="68"/>
      <c r="O3467" s="68"/>
      <c r="P3467" s="68"/>
      <c r="Q3467" s="68">
        <f>SUM(Devis[[#This Row],[Poste 1]:[Poste 6]])</f>
        <v>0</v>
      </c>
      <c r="R3467" s="71"/>
      <c r="S3467" s="68">
        <f>_xlfn.CEILING.MATH(Devis[[#This Row],[Quantité Totale]],Devis[[#This Row],[Conditionnement]])</f>
        <v>0</v>
      </c>
      <c r="T3467" s="72"/>
      <c r="U3467" s="73"/>
      <c r="V3467" s="74">
        <f>Devis[[#This Row],[Prix de Revient]]*Devis[[#This Row],[Poste 1]]</f>
        <v>0</v>
      </c>
      <c r="W3467" s="74">
        <f>Devis[[#This Row],[Prix de Revient]]*Devis[[#This Row],[Poste 2]]</f>
        <v>0</v>
      </c>
      <c r="X3467" s="74">
        <f>Devis[[#This Row],[Prix de Revient]]*Devis[[#This Row],[Poste 3]]</f>
        <v>0</v>
      </c>
      <c r="Y3467" s="74">
        <f>Devis[[#This Row],[Poste 4]]*Devis[[#This Row],[Prix de Revient]]</f>
        <v>0</v>
      </c>
      <c r="Z3467" s="74">
        <f>Devis[[#This Row],[Poste 5]]*Devis[[#This Row],[Prix de Revient]]</f>
        <v>0</v>
      </c>
      <c r="AA3467" s="74">
        <f>Devis[[#This Row],[Prix de Revient]]*Devis[[#This Row],[Poste 6]]</f>
        <v>0</v>
      </c>
      <c r="AB3467" s="74">
        <f>Devis[[#This Row],[Quantité Totale]]*Devis[[#This Row],[Prix de Revient]]</f>
        <v>0</v>
      </c>
    </row>
    <row r="3468" spans="1:28" ht="14.25" customHeight="1" outlineLevel="1" x14ac:dyDescent="0.2">
      <c r="A3468" s="75" t="s">
        <v>2983</v>
      </c>
      <c r="B3468" s="76" t="s">
        <v>3096</v>
      </c>
      <c r="C3468" s="75"/>
      <c r="D3468" s="81" t="str">
        <f t="shared" si="63"/>
        <v>TransairPrises murales</v>
      </c>
      <c r="E3468" s="104" t="s">
        <v>5250</v>
      </c>
      <c r="F3468" s="81">
        <v>15</v>
      </c>
      <c r="G3468" s="123">
        <v>66822521</v>
      </c>
      <c r="H3468" s="71" t="s">
        <v>3293</v>
      </c>
      <c r="I3468" s="104" t="s">
        <v>3107</v>
      </c>
      <c r="J3468" s="70">
        <f>IFERROR(VLOOKUP(Devis[[#This Row],[Ref Air Flux]],#REF!,3,FALSE),0)</f>
        <v>0</v>
      </c>
      <c r="K3468" s="68"/>
      <c r="L3468" s="68"/>
      <c r="M3468" s="68"/>
      <c r="N3468" s="68"/>
      <c r="O3468" s="68"/>
      <c r="P3468" s="68"/>
      <c r="Q3468" s="68">
        <f>SUM(Devis[[#This Row],[Poste 1]:[Poste 6]])</f>
        <v>0</v>
      </c>
      <c r="R3468" s="71"/>
      <c r="S3468" s="68">
        <f>_xlfn.CEILING.MATH(Devis[[#This Row],[Quantité Totale]],Devis[[#This Row],[Conditionnement]])</f>
        <v>0</v>
      </c>
      <c r="T3468" s="72"/>
      <c r="U3468" s="73"/>
      <c r="V3468" s="74">
        <f>Devis[[#This Row],[Prix de Revient]]*Devis[[#This Row],[Poste 1]]</f>
        <v>0</v>
      </c>
      <c r="W3468" s="74">
        <f>Devis[[#This Row],[Prix de Revient]]*Devis[[#This Row],[Poste 2]]</f>
        <v>0</v>
      </c>
      <c r="X3468" s="74">
        <f>Devis[[#This Row],[Prix de Revient]]*Devis[[#This Row],[Poste 3]]</f>
        <v>0</v>
      </c>
      <c r="Y3468" s="74">
        <f>Devis[[#This Row],[Poste 4]]*Devis[[#This Row],[Prix de Revient]]</f>
        <v>0</v>
      </c>
      <c r="Z3468" s="74">
        <f>Devis[[#This Row],[Poste 5]]*Devis[[#This Row],[Prix de Revient]]</f>
        <v>0</v>
      </c>
      <c r="AA3468" s="74">
        <f>Devis[[#This Row],[Prix de Revient]]*Devis[[#This Row],[Poste 6]]</f>
        <v>0</v>
      </c>
      <c r="AB3468" s="74">
        <f>Devis[[#This Row],[Quantité Totale]]*Devis[[#This Row],[Prix de Revient]]</f>
        <v>0</v>
      </c>
    </row>
    <row r="3469" spans="1:28" ht="15" customHeight="1" outlineLevel="1" x14ac:dyDescent="0.2">
      <c r="A3469" s="75" t="s">
        <v>2983</v>
      </c>
      <c r="B3469" s="76" t="s">
        <v>3096</v>
      </c>
      <c r="C3469" s="75"/>
      <c r="D3469" s="81" t="str">
        <f t="shared" si="63"/>
        <v>TransairPrises murales</v>
      </c>
      <c r="E3469" s="104" t="s">
        <v>5251</v>
      </c>
      <c r="F3469" s="81">
        <v>16</v>
      </c>
      <c r="G3469" s="123" t="s">
        <v>3328</v>
      </c>
      <c r="H3469" s="71" t="s">
        <v>3293</v>
      </c>
      <c r="I3469" s="104" t="s">
        <v>3110</v>
      </c>
      <c r="J3469" s="70">
        <f>IFERROR(VLOOKUP(Devis[[#This Row],[Ref Air Flux]],#REF!,3,FALSE),0)</f>
        <v>0</v>
      </c>
      <c r="K3469" s="68"/>
      <c r="L3469" s="68"/>
      <c r="M3469" s="68"/>
      <c r="N3469" s="68"/>
      <c r="O3469" s="68"/>
      <c r="P3469" s="68"/>
      <c r="Q3469" s="68">
        <f>SUM(Devis[[#This Row],[Poste 1]:[Poste 6]])</f>
        <v>0</v>
      </c>
      <c r="R3469" s="71"/>
      <c r="S3469" s="68">
        <f>_xlfn.CEILING.MATH(Devis[[#This Row],[Quantité Totale]],Devis[[#This Row],[Conditionnement]])</f>
        <v>0</v>
      </c>
      <c r="T3469" s="72"/>
      <c r="U3469" s="73"/>
      <c r="V3469" s="74">
        <f>Devis[[#This Row],[Prix de Revient]]*Devis[[#This Row],[Poste 1]]</f>
        <v>0</v>
      </c>
      <c r="W3469" s="74">
        <f>Devis[[#This Row],[Prix de Revient]]*Devis[[#This Row],[Poste 2]]</f>
        <v>0</v>
      </c>
      <c r="X3469" s="74">
        <f>Devis[[#This Row],[Prix de Revient]]*Devis[[#This Row],[Poste 3]]</f>
        <v>0</v>
      </c>
      <c r="Y3469" s="74">
        <f>Devis[[#This Row],[Poste 4]]*Devis[[#This Row],[Prix de Revient]]</f>
        <v>0</v>
      </c>
      <c r="Z3469" s="74">
        <f>Devis[[#This Row],[Poste 5]]*Devis[[#This Row],[Prix de Revient]]</f>
        <v>0</v>
      </c>
      <c r="AA3469" s="74">
        <f>Devis[[#This Row],[Prix de Revient]]*Devis[[#This Row],[Poste 6]]</f>
        <v>0</v>
      </c>
      <c r="AB3469" s="74">
        <f>Devis[[#This Row],[Quantité Totale]]*Devis[[#This Row],[Prix de Revient]]</f>
        <v>0</v>
      </c>
    </row>
    <row r="3470" spans="1:28" ht="14.25" outlineLevel="1" x14ac:dyDescent="0.2">
      <c r="A3470" s="75" t="s">
        <v>2983</v>
      </c>
      <c r="B3470" s="76" t="s">
        <v>3096</v>
      </c>
      <c r="C3470" s="75"/>
      <c r="D3470" s="81" t="str">
        <f t="shared" si="63"/>
        <v>TransairPrises murales</v>
      </c>
      <c r="E3470" s="104" t="s">
        <v>5252</v>
      </c>
      <c r="F3470" s="81">
        <v>17</v>
      </c>
      <c r="G3470" s="123" t="s">
        <v>3329</v>
      </c>
      <c r="H3470" s="71" t="s">
        <v>3293</v>
      </c>
      <c r="I3470" s="104" t="s">
        <v>3111</v>
      </c>
      <c r="J3470" s="70">
        <f>IFERROR(VLOOKUP(Devis[[#This Row],[Ref Air Flux]],#REF!,3,FALSE),0)</f>
        <v>0</v>
      </c>
      <c r="K3470" s="68"/>
      <c r="L3470" s="68"/>
      <c r="M3470" s="68"/>
      <c r="N3470" s="68"/>
      <c r="O3470" s="68"/>
      <c r="P3470" s="68"/>
      <c r="Q3470" s="68">
        <f>SUM(Devis[[#This Row],[Poste 1]:[Poste 6]])</f>
        <v>0</v>
      </c>
      <c r="R3470" s="71"/>
      <c r="S3470" s="68">
        <f>_xlfn.CEILING.MATH(Devis[[#This Row],[Quantité Totale]],Devis[[#This Row],[Conditionnement]])</f>
        <v>0</v>
      </c>
      <c r="T3470" s="72"/>
      <c r="U3470" s="73"/>
      <c r="V3470" s="74">
        <f>Devis[[#This Row],[Prix de Revient]]*Devis[[#This Row],[Poste 1]]</f>
        <v>0</v>
      </c>
      <c r="W3470" s="74">
        <f>Devis[[#This Row],[Prix de Revient]]*Devis[[#This Row],[Poste 2]]</f>
        <v>0</v>
      </c>
      <c r="X3470" s="74">
        <f>Devis[[#This Row],[Prix de Revient]]*Devis[[#This Row],[Poste 3]]</f>
        <v>0</v>
      </c>
      <c r="Y3470" s="74">
        <f>Devis[[#This Row],[Poste 4]]*Devis[[#This Row],[Prix de Revient]]</f>
        <v>0</v>
      </c>
      <c r="Z3470" s="74">
        <f>Devis[[#This Row],[Poste 5]]*Devis[[#This Row],[Prix de Revient]]</f>
        <v>0</v>
      </c>
      <c r="AA3470" s="74">
        <f>Devis[[#This Row],[Prix de Revient]]*Devis[[#This Row],[Poste 6]]</f>
        <v>0</v>
      </c>
      <c r="AB3470" s="74">
        <f>Devis[[#This Row],[Quantité Totale]]*Devis[[#This Row],[Prix de Revient]]</f>
        <v>0</v>
      </c>
    </row>
    <row r="3471" spans="1:28" ht="14.25" outlineLevel="1" x14ac:dyDescent="0.2">
      <c r="A3471" s="75" t="s">
        <v>2983</v>
      </c>
      <c r="B3471" s="76" t="s">
        <v>3096</v>
      </c>
      <c r="C3471" s="75"/>
      <c r="D3471" s="81" t="str">
        <f t="shared" si="63"/>
        <v>TransairPrises murales</v>
      </c>
      <c r="E3471" s="104" t="s">
        <v>5253</v>
      </c>
      <c r="F3471" s="81">
        <v>18</v>
      </c>
      <c r="G3471" s="123">
        <v>66952521</v>
      </c>
      <c r="H3471" s="71" t="s">
        <v>3293</v>
      </c>
      <c r="I3471" s="104" t="s">
        <v>3112</v>
      </c>
      <c r="J3471" s="70">
        <f>IFERROR(VLOOKUP(Devis[[#This Row],[Ref Air Flux]],#REF!,3,FALSE),0)</f>
        <v>0</v>
      </c>
      <c r="K3471" s="68"/>
      <c r="L3471" s="68"/>
      <c r="M3471" s="68"/>
      <c r="N3471" s="68"/>
      <c r="O3471" s="68"/>
      <c r="P3471" s="68"/>
      <c r="Q3471" s="68">
        <f>SUM(Devis[[#This Row],[Poste 1]:[Poste 6]])</f>
        <v>0</v>
      </c>
      <c r="R3471" s="71"/>
      <c r="S3471" s="68">
        <f>_xlfn.CEILING.MATH(Devis[[#This Row],[Quantité Totale]],Devis[[#This Row],[Conditionnement]])</f>
        <v>0</v>
      </c>
      <c r="T3471" s="72"/>
      <c r="U3471" s="73"/>
      <c r="V3471" s="74">
        <f>Devis[[#This Row],[Prix de Revient]]*Devis[[#This Row],[Poste 1]]</f>
        <v>0</v>
      </c>
      <c r="W3471" s="74">
        <f>Devis[[#This Row],[Prix de Revient]]*Devis[[#This Row],[Poste 2]]</f>
        <v>0</v>
      </c>
      <c r="X3471" s="74">
        <f>Devis[[#This Row],[Prix de Revient]]*Devis[[#This Row],[Poste 3]]</f>
        <v>0</v>
      </c>
      <c r="Y3471" s="74">
        <f>Devis[[#This Row],[Poste 4]]*Devis[[#This Row],[Prix de Revient]]</f>
        <v>0</v>
      </c>
      <c r="Z3471" s="74">
        <f>Devis[[#This Row],[Poste 5]]*Devis[[#This Row],[Prix de Revient]]</f>
        <v>0</v>
      </c>
      <c r="AA3471" s="74">
        <f>Devis[[#This Row],[Prix de Revient]]*Devis[[#This Row],[Poste 6]]</f>
        <v>0</v>
      </c>
      <c r="AB3471" s="74">
        <f>Devis[[#This Row],[Quantité Totale]]*Devis[[#This Row],[Prix de Revient]]</f>
        <v>0</v>
      </c>
    </row>
    <row r="3472" spans="1:28" ht="14.25" outlineLevel="1" x14ac:dyDescent="0.2">
      <c r="A3472" s="75" t="s">
        <v>2983</v>
      </c>
      <c r="B3472" s="76" t="s">
        <v>3096</v>
      </c>
      <c r="C3472" s="75"/>
      <c r="D3472" s="81" t="str">
        <f t="shared" si="63"/>
        <v>TransairPrises murales</v>
      </c>
      <c r="E3472" s="104" t="s">
        <v>5254</v>
      </c>
      <c r="F3472" s="81">
        <v>19</v>
      </c>
      <c r="G3472" s="123">
        <v>66782521</v>
      </c>
      <c r="H3472" s="71" t="s">
        <v>3293</v>
      </c>
      <c r="I3472" s="104" t="s">
        <v>3114</v>
      </c>
      <c r="J3472" s="70">
        <f>IFERROR(VLOOKUP(Devis[[#This Row],[Ref Air Flux]],#REF!,3,FALSE),0)</f>
        <v>0</v>
      </c>
      <c r="K3472" s="68"/>
      <c r="L3472" s="68"/>
      <c r="M3472" s="68"/>
      <c r="N3472" s="68"/>
      <c r="O3472" s="68"/>
      <c r="P3472" s="68"/>
      <c r="Q3472" s="68">
        <f>SUM(Devis[[#This Row],[Poste 1]:[Poste 6]])</f>
        <v>0</v>
      </c>
      <c r="R3472" s="71"/>
      <c r="S3472" s="68">
        <f>_xlfn.CEILING.MATH(Devis[[#This Row],[Quantité Totale]],Devis[[#This Row],[Conditionnement]])</f>
        <v>0</v>
      </c>
      <c r="T3472" s="72"/>
      <c r="U3472" s="73"/>
      <c r="V3472" s="74">
        <f>Devis[[#This Row],[Prix de Revient]]*Devis[[#This Row],[Poste 1]]</f>
        <v>0</v>
      </c>
      <c r="W3472" s="74">
        <f>Devis[[#This Row],[Prix de Revient]]*Devis[[#This Row],[Poste 2]]</f>
        <v>0</v>
      </c>
      <c r="X3472" s="74">
        <f>Devis[[#This Row],[Prix de Revient]]*Devis[[#This Row],[Poste 3]]</f>
        <v>0</v>
      </c>
      <c r="Y3472" s="74">
        <f>Devis[[#This Row],[Poste 4]]*Devis[[#This Row],[Prix de Revient]]</f>
        <v>0</v>
      </c>
      <c r="Z3472" s="74">
        <f>Devis[[#This Row],[Poste 5]]*Devis[[#This Row],[Prix de Revient]]</f>
        <v>0</v>
      </c>
      <c r="AA3472" s="74">
        <f>Devis[[#This Row],[Prix de Revient]]*Devis[[#This Row],[Poste 6]]</f>
        <v>0</v>
      </c>
      <c r="AB3472" s="74">
        <f>Devis[[#This Row],[Quantité Totale]]*Devis[[#This Row],[Prix de Revient]]</f>
        <v>0</v>
      </c>
    </row>
    <row r="3473" spans="1:28" ht="14.25" outlineLevel="1" x14ac:dyDescent="0.2">
      <c r="A3473" s="75" t="s">
        <v>2983</v>
      </c>
      <c r="B3473" s="76" t="s">
        <v>3096</v>
      </c>
      <c r="C3473" s="75"/>
      <c r="D3473" s="81" t="str">
        <f t="shared" si="63"/>
        <v>TransairPrises murales</v>
      </c>
      <c r="E3473" s="104" t="s">
        <v>5255</v>
      </c>
      <c r="F3473" s="81">
        <v>20</v>
      </c>
      <c r="G3473" s="123">
        <v>66932521</v>
      </c>
      <c r="H3473" s="71" t="s">
        <v>3293</v>
      </c>
      <c r="I3473" s="104" t="s">
        <v>3116</v>
      </c>
      <c r="J3473" s="70">
        <f>IFERROR(VLOOKUP(Devis[[#This Row],[Ref Air Flux]],#REF!,3,FALSE),0)</f>
        <v>0</v>
      </c>
      <c r="K3473" s="68"/>
      <c r="L3473" s="68"/>
      <c r="M3473" s="68"/>
      <c r="N3473" s="68"/>
      <c r="O3473" s="68"/>
      <c r="P3473" s="68"/>
      <c r="Q3473" s="68">
        <f>SUM(Devis[[#This Row],[Poste 1]:[Poste 6]])</f>
        <v>0</v>
      </c>
      <c r="R3473" s="71"/>
      <c r="S3473" s="68">
        <f>_xlfn.CEILING.MATH(Devis[[#This Row],[Quantité Totale]],Devis[[#This Row],[Conditionnement]])</f>
        <v>0</v>
      </c>
      <c r="T3473" s="72"/>
      <c r="U3473" s="73"/>
      <c r="V3473" s="74">
        <f>Devis[[#This Row],[Prix de Revient]]*Devis[[#This Row],[Poste 1]]</f>
        <v>0</v>
      </c>
      <c r="W3473" s="74">
        <f>Devis[[#This Row],[Prix de Revient]]*Devis[[#This Row],[Poste 2]]</f>
        <v>0</v>
      </c>
      <c r="X3473" s="74">
        <f>Devis[[#This Row],[Prix de Revient]]*Devis[[#This Row],[Poste 3]]</f>
        <v>0</v>
      </c>
      <c r="Y3473" s="74">
        <f>Devis[[#This Row],[Poste 4]]*Devis[[#This Row],[Prix de Revient]]</f>
        <v>0</v>
      </c>
      <c r="Z3473" s="74">
        <f>Devis[[#This Row],[Poste 5]]*Devis[[#This Row],[Prix de Revient]]</f>
        <v>0</v>
      </c>
      <c r="AA3473" s="74">
        <f>Devis[[#This Row],[Prix de Revient]]*Devis[[#This Row],[Poste 6]]</f>
        <v>0</v>
      </c>
      <c r="AB3473" s="74">
        <f>Devis[[#This Row],[Quantité Totale]]*Devis[[#This Row],[Prix de Revient]]</f>
        <v>0</v>
      </c>
    </row>
    <row r="3474" spans="1:28" ht="14.25" customHeight="1" x14ac:dyDescent="0.25">
      <c r="A3474" s="65" t="s">
        <v>2983</v>
      </c>
      <c r="B3474" s="65" t="s">
        <v>1932</v>
      </c>
      <c r="C3474" s="76"/>
      <c r="D3474" s="81" t="str">
        <f t="shared" si="63"/>
        <v>TransairTé Egal</v>
      </c>
      <c r="E3474" s="76"/>
      <c r="F3474" s="81">
        <v>0</v>
      </c>
      <c r="G3474" s="71"/>
      <c r="H3474" s="71"/>
      <c r="I3474" s="71"/>
      <c r="J3474" s="70">
        <f>IFERROR(VLOOKUP(Devis[[#This Row],[Ref Air Flux]],#REF!,3,FALSE),0)</f>
        <v>0</v>
      </c>
      <c r="K3474" s="68"/>
      <c r="L3474" s="68"/>
      <c r="M3474" s="68"/>
      <c r="N3474" s="68"/>
      <c r="O3474" s="68"/>
      <c r="P3474" s="68"/>
      <c r="Q3474" s="68">
        <f>SUM(Devis[[#This Row],[Poste 1]:[Poste 6]])</f>
        <v>0</v>
      </c>
      <c r="R3474" s="71"/>
      <c r="S3474" s="68">
        <f>_xlfn.CEILING.MATH(Devis[[#This Row],[Quantité Totale]],Devis[[#This Row],[Conditionnement]])</f>
        <v>0</v>
      </c>
      <c r="T3474" s="72"/>
      <c r="U3474" s="73"/>
      <c r="V3474" s="74">
        <f>Devis[[#This Row],[Prix de Revient]]*Devis[[#This Row],[Poste 1]]</f>
        <v>0</v>
      </c>
      <c r="W3474" s="74">
        <f>Devis[[#This Row],[Prix de Revient]]*Devis[[#This Row],[Poste 2]]</f>
        <v>0</v>
      </c>
      <c r="X3474" s="74">
        <f>Devis[[#This Row],[Prix de Revient]]*Devis[[#This Row],[Poste 3]]</f>
        <v>0</v>
      </c>
      <c r="Y3474" s="74">
        <f>Devis[[#This Row],[Poste 4]]*Devis[[#This Row],[Prix de Revient]]</f>
        <v>0</v>
      </c>
      <c r="Z3474" s="74">
        <f>Devis[[#This Row],[Poste 5]]*Devis[[#This Row],[Prix de Revient]]</f>
        <v>0</v>
      </c>
      <c r="AA3474" s="74">
        <f>Devis[[#This Row],[Prix de Revient]]*Devis[[#This Row],[Poste 6]]</f>
        <v>0</v>
      </c>
      <c r="AB3474" s="74">
        <f>Devis[[#This Row],[Quantité Totale]]*Devis[[#This Row],[Prix de Revient]]</f>
        <v>0</v>
      </c>
    </row>
    <row r="3475" spans="1:28" ht="14.25" outlineLevel="1" x14ac:dyDescent="0.2">
      <c r="A3475" s="75" t="s">
        <v>2983</v>
      </c>
      <c r="B3475" s="76" t="s">
        <v>1932</v>
      </c>
      <c r="C3475" s="75" t="s">
        <v>5256</v>
      </c>
      <c r="D3475" s="81" t="str">
        <f t="shared" si="63"/>
        <v>TransairTé EgalEgal</v>
      </c>
      <c r="E3475" s="104" t="s">
        <v>5112</v>
      </c>
      <c r="F3475" s="81">
        <v>1</v>
      </c>
      <c r="G3475" s="123">
        <v>66041700</v>
      </c>
      <c r="H3475" s="71" t="s">
        <v>3293</v>
      </c>
      <c r="I3475" s="104" t="s">
        <v>3138</v>
      </c>
      <c r="J3475" s="70">
        <f>IFERROR(VLOOKUP(Devis[[#This Row],[Ref Air Flux]],#REF!,3,FALSE),0)</f>
        <v>0</v>
      </c>
      <c r="K3475" s="68"/>
      <c r="L3475" s="68"/>
      <c r="M3475" s="68"/>
      <c r="N3475" s="68"/>
      <c r="O3475" s="68"/>
      <c r="P3475" s="68"/>
      <c r="Q3475" s="68">
        <f>SUM(Devis[[#This Row],[Poste 1]:[Poste 6]])</f>
        <v>0</v>
      </c>
      <c r="R3475" s="71"/>
      <c r="S3475" s="68">
        <f>_xlfn.CEILING.MATH(Devis[[#This Row],[Quantité Totale]],Devis[[#This Row],[Conditionnement]])</f>
        <v>0</v>
      </c>
      <c r="T3475" s="72"/>
      <c r="U3475" s="73"/>
      <c r="V3475" s="74">
        <f>Devis[[#This Row],[Prix de Revient]]*Devis[[#This Row],[Poste 1]]</f>
        <v>0</v>
      </c>
      <c r="W3475" s="74">
        <f>Devis[[#This Row],[Prix de Revient]]*Devis[[#This Row],[Poste 2]]</f>
        <v>0</v>
      </c>
      <c r="X3475" s="74">
        <f>Devis[[#This Row],[Prix de Revient]]*Devis[[#This Row],[Poste 3]]</f>
        <v>0</v>
      </c>
      <c r="Y3475" s="74">
        <f>Devis[[#This Row],[Poste 4]]*Devis[[#This Row],[Prix de Revient]]</f>
        <v>0</v>
      </c>
      <c r="Z3475" s="74">
        <f>Devis[[#This Row],[Poste 5]]*Devis[[#This Row],[Prix de Revient]]</f>
        <v>0</v>
      </c>
      <c r="AA3475" s="74">
        <f>Devis[[#This Row],[Prix de Revient]]*Devis[[#This Row],[Poste 6]]</f>
        <v>0</v>
      </c>
      <c r="AB3475" s="74">
        <f>Devis[[#This Row],[Quantité Totale]]*Devis[[#This Row],[Prix de Revient]]</f>
        <v>0</v>
      </c>
    </row>
    <row r="3476" spans="1:28" ht="14.25" customHeight="1" outlineLevel="1" x14ac:dyDescent="0.2">
      <c r="A3476" s="75" t="s">
        <v>2983</v>
      </c>
      <c r="B3476" s="76" t="s">
        <v>1932</v>
      </c>
      <c r="C3476" s="75" t="s">
        <v>5256</v>
      </c>
      <c r="D3476" s="81" t="str">
        <f t="shared" si="63"/>
        <v>TransairTé EgalEgal</v>
      </c>
      <c r="E3476" s="104" t="s">
        <v>5113</v>
      </c>
      <c r="F3476" s="81">
        <v>2</v>
      </c>
      <c r="G3476" s="123">
        <v>66042500</v>
      </c>
      <c r="H3476" s="71" t="s">
        <v>3293</v>
      </c>
      <c r="I3476" s="104" t="s">
        <v>3139</v>
      </c>
      <c r="J3476" s="70">
        <f>IFERROR(VLOOKUP(Devis[[#This Row],[Ref Air Flux]],#REF!,3,FALSE),0)</f>
        <v>0</v>
      </c>
      <c r="K3476" s="68"/>
      <c r="L3476" s="68"/>
      <c r="M3476" s="68"/>
      <c r="N3476" s="68"/>
      <c r="O3476" s="68"/>
      <c r="P3476" s="68"/>
      <c r="Q3476" s="68">
        <f>SUM(Devis[[#This Row],[Poste 1]:[Poste 6]])</f>
        <v>0</v>
      </c>
      <c r="R3476" s="71"/>
      <c r="S3476" s="68">
        <f>_xlfn.CEILING.MATH(Devis[[#This Row],[Quantité Totale]],Devis[[#This Row],[Conditionnement]])</f>
        <v>0</v>
      </c>
      <c r="T3476" s="72"/>
      <c r="U3476" s="73"/>
      <c r="V3476" s="74">
        <f>Devis[[#This Row],[Prix de Revient]]*Devis[[#This Row],[Poste 1]]</f>
        <v>0</v>
      </c>
      <c r="W3476" s="74">
        <f>Devis[[#This Row],[Prix de Revient]]*Devis[[#This Row],[Poste 2]]</f>
        <v>0</v>
      </c>
      <c r="X3476" s="74">
        <f>Devis[[#This Row],[Prix de Revient]]*Devis[[#This Row],[Poste 3]]</f>
        <v>0</v>
      </c>
      <c r="Y3476" s="74">
        <f>Devis[[#This Row],[Poste 4]]*Devis[[#This Row],[Prix de Revient]]</f>
        <v>0</v>
      </c>
      <c r="Z3476" s="74">
        <f>Devis[[#This Row],[Poste 5]]*Devis[[#This Row],[Prix de Revient]]</f>
        <v>0</v>
      </c>
      <c r="AA3476" s="74">
        <f>Devis[[#This Row],[Prix de Revient]]*Devis[[#This Row],[Poste 6]]</f>
        <v>0</v>
      </c>
      <c r="AB3476" s="74">
        <f>Devis[[#This Row],[Quantité Totale]]*Devis[[#This Row],[Prix de Revient]]</f>
        <v>0</v>
      </c>
    </row>
    <row r="3477" spans="1:28" ht="15" customHeight="1" outlineLevel="1" x14ac:dyDescent="0.2">
      <c r="A3477" s="75" t="s">
        <v>2983</v>
      </c>
      <c r="B3477" s="76" t="s">
        <v>1932</v>
      </c>
      <c r="C3477" s="75" t="s">
        <v>5256</v>
      </c>
      <c r="D3477" s="81" t="str">
        <f t="shared" si="63"/>
        <v>TransairTé EgalEgal</v>
      </c>
      <c r="E3477" s="104" t="s">
        <v>5114</v>
      </c>
      <c r="F3477" s="81">
        <v>3</v>
      </c>
      <c r="G3477" s="123">
        <v>66044000</v>
      </c>
      <c r="H3477" s="71" t="s">
        <v>3293</v>
      </c>
      <c r="I3477" s="104" t="s">
        <v>3140</v>
      </c>
      <c r="J3477" s="70">
        <f>IFERROR(VLOOKUP(Devis[[#This Row],[Ref Air Flux]],#REF!,3,FALSE),0)</f>
        <v>0</v>
      </c>
      <c r="K3477" s="68"/>
      <c r="L3477" s="68"/>
      <c r="M3477" s="68"/>
      <c r="N3477" s="68"/>
      <c r="O3477" s="68"/>
      <c r="P3477" s="68"/>
      <c r="Q3477" s="68">
        <f>SUM(Devis[[#This Row],[Poste 1]:[Poste 6]])</f>
        <v>0</v>
      </c>
      <c r="R3477" s="71"/>
      <c r="S3477" s="68">
        <f>_xlfn.CEILING.MATH(Devis[[#This Row],[Quantité Totale]],Devis[[#This Row],[Conditionnement]])</f>
        <v>0</v>
      </c>
      <c r="T3477" s="72"/>
      <c r="U3477" s="73"/>
      <c r="V3477" s="74">
        <f>Devis[[#This Row],[Prix de Revient]]*Devis[[#This Row],[Poste 1]]</f>
        <v>0</v>
      </c>
      <c r="W3477" s="74">
        <f>Devis[[#This Row],[Prix de Revient]]*Devis[[#This Row],[Poste 2]]</f>
        <v>0</v>
      </c>
      <c r="X3477" s="74">
        <f>Devis[[#This Row],[Prix de Revient]]*Devis[[#This Row],[Poste 3]]</f>
        <v>0</v>
      </c>
      <c r="Y3477" s="74">
        <f>Devis[[#This Row],[Poste 4]]*Devis[[#This Row],[Prix de Revient]]</f>
        <v>0</v>
      </c>
      <c r="Z3477" s="74">
        <f>Devis[[#This Row],[Poste 5]]*Devis[[#This Row],[Prix de Revient]]</f>
        <v>0</v>
      </c>
      <c r="AA3477" s="74">
        <f>Devis[[#This Row],[Prix de Revient]]*Devis[[#This Row],[Poste 6]]</f>
        <v>0</v>
      </c>
      <c r="AB3477" s="74">
        <f>Devis[[#This Row],[Quantité Totale]]*Devis[[#This Row],[Prix de Revient]]</f>
        <v>0</v>
      </c>
    </row>
    <row r="3478" spans="1:28" ht="14.25" outlineLevel="1" x14ac:dyDescent="0.2">
      <c r="A3478" s="75" t="s">
        <v>2983</v>
      </c>
      <c r="B3478" s="76" t="s">
        <v>1932</v>
      </c>
      <c r="C3478" s="75" t="s">
        <v>5256</v>
      </c>
      <c r="D3478" s="81" t="str">
        <f t="shared" si="63"/>
        <v>TransairTé EgalEgal</v>
      </c>
      <c r="E3478" s="104" t="s">
        <v>5115</v>
      </c>
      <c r="F3478" s="81">
        <v>4</v>
      </c>
      <c r="G3478" s="123">
        <v>66045000</v>
      </c>
      <c r="H3478" s="71" t="s">
        <v>3293</v>
      </c>
      <c r="I3478" s="75" t="s">
        <v>5257</v>
      </c>
      <c r="J3478" s="70">
        <f>IFERROR(VLOOKUP(Devis[[#This Row],[Ref Air Flux]],#REF!,3,FALSE),0)</f>
        <v>0</v>
      </c>
      <c r="K3478" s="68"/>
      <c r="L3478" s="68"/>
      <c r="M3478" s="68"/>
      <c r="N3478" s="68"/>
      <c r="O3478" s="68"/>
      <c r="P3478" s="68"/>
      <c r="Q3478" s="68">
        <f>SUM(Devis[[#This Row],[Poste 1]:[Poste 6]])</f>
        <v>0</v>
      </c>
      <c r="R3478" s="71"/>
      <c r="S3478" s="68">
        <f>_xlfn.CEILING.MATH(Devis[[#This Row],[Quantité Totale]],Devis[[#This Row],[Conditionnement]])</f>
        <v>0</v>
      </c>
      <c r="T3478" s="72"/>
      <c r="U3478" s="73"/>
      <c r="V3478" s="74">
        <f>Devis[[#This Row],[Prix de Revient]]*Devis[[#This Row],[Poste 1]]</f>
        <v>0</v>
      </c>
      <c r="W3478" s="74">
        <f>Devis[[#This Row],[Prix de Revient]]*Devis[[#This Row],[Poste 2]]</f>
        <v>0</v>
      </c>
      <c r="X3478" s="74">
        <f>Devis[[#This Row],[Prix de Revient]]*Devis[[#This Row],[Poste 3]]</f>
        <v>0</v>
      </c>
      <c r="Y3478" s="74">
        <f>Devis[[#This Row],[Poste 4]]*Devis[[#This Row],[Prix de Revient]]</f>
        <v>0</v>
      </c>
      <c r="Z3478" s="74">
        <f>Devis[[#This Row],[Poste 5]]*Devis[[#This Row],[Prix de Revient]]</f>
        <v>0</v>
      </c>
      <c r="AA3478" s="74">
        <f>Devis[[#This Row],[Prix de Revient]]*Devis[[#This Row],[Poste 6]]</f>
        <v>0</v>
      </c>
      <c r="AB3478" s="74">
        <f>Devis[[#This Row],[Quantité Totale]]*Devis[[#This Row],[Prix de Revient]]</f>
        <v>0</v>
      </c>
    </row>
    <row r="3479" spans="1:28" ht="14.25" outlineLevel="1" x14ac:dyDescent="0.2">
      <c r="A3479" s="75" t="s">
        <v>2983</v>
      </c>
      <c r="B3479" s="76" t="s">
        <v>1932</v>
      </c>
      <c r="C3479" s="75" t="s">
        <v>5256</v>
      </c>
      <c r="D3479" s="81" t="str">
        <f t="shared" si="63"/>
        <v>TransairTé EgalEgal</v>
      </c>
      <c r="E3479" s="104" t="s">
        <v>5117</v>
      </c>
      <c r="F3479" s="81">
        <v>5</v>
      </c>
      <c r="G3479" s="123">
        <v>66046300</v>
      </c>
      <c r="H3479" s="71" t="s">
        <v>3293</v>
      </c>
      <c r="I3479" s="104" t="s">
        <v>3141</v>
      </c>
      <c r="J3479" s="70">
        <f>IFERROR(VLOOKUP(Devis[[#This Row],[Ref Air Flux]],#REF!,3,FALSE),0)</f>
        <v>0</v>
      </c>
      <c r="K3479" s="68"/>
      <c r="L3479" s="68"/>
      <c r="M3479" s="68"/>
      <c r="N3479" s="68"/>
      <c r="O3479" s="68"/>
      <c r="P3479" s="68"/>
      <c r="Q3479" s="68">
        <f>SUM(Devis[[#This Row],[Poste 1]:[Poste 6]])</f>
        <v>0</v>
      </c>
      <c r="R3479" s="71"/>
      <c r="S3479" s="68">
        <f>_xlfn.CEILING.MATH(Devis[[#This Row],[Quantité Totale]],Devis[[#This Row],[Conditionnement]])</f>
        <v>0</v>
      </c>
      <c r="T3479" s="72"/>
      <c r="U3479" s="73"/>
      <c r="V3479" s="74">
        <f>Devis[[#This Row],[Prix de Revient]]*Devis[[#This Row],[Poste 1]]</f>
        <v>0</v>
      </c>
      <c r="W3479" s="74">
        <f>Devis[[#This Row],[Prix de Revient]]*Devis[[#This Row],[Poste 2]]</f>
        <v>0</v>
      </c>
      <c r="X3479" s="74">
        <f>Devis[[#This Row],[Prix de Revient]]*Devis[[#This Row],[Poste 3]]</f>
        <v>0</v>
      </c>
      <c r="Y3479" s="74">
        <f>Devis[[#This Row],[Poste 4]]*Devis[[#This Row],[Prix de Revient]]</f>
        <v>0</v>
      </c>
      <c r="Z3479" s="74">
        <f>Devis[[#This Row],[Poste 5]]*Devis[[#This Row],[Prix de Revient]]</f>
        <v>0</v>
      </c>
      <c r="AA3479" s="74">
        <f>Devis[[#This Row],[Prix de Revient]]*Devis[[#This Row],[Poste 6]]</f>
        <v>0</v>
      </c>
      <c r="AB3479" s="74">
        <f>Devis[[#This Row],[Quantité Totale]]*Devis[[#This Row],[Prix de Revient]]</f>
        <v>0</v>
      </c>
    </row>
    <row r="3480" spans="1:28" ht="15" customHeight="1" outlineLevel="1" x14ac:dyDescent="0.2">
      <c r="A3480" s="75" t="s">
        <v>2983</v>
      </c>
      <c r="B3480" s="76" t="s">
        <v>1932</v>
      </c>
      <c r="C3480" s="75" t="s">
        <v>5256</v>
      </c>
      <c r="D3480" s="81" t="str">
        <f t="shared" si="63"/>
        <v>TransairTé EgalEgal</v>
      </c>
      <c r="E3480" s="104" t="s">
        <v>5146</v>
      </c>
      <c r="F3480" s="81">
        <v>6</v>
      </c>
      <c r="G3480" s="123" t="s">
        <v>3347</v>
      </c>
      <c r="H3480" s="71" t="s">
        <v>3293</v>
      </c>
      <c r="I3480" s="104" t="s">
        <v>3142</v>
      </c>
      <c r="J3480" s="70">
        <f>IFERROR(VLOOKUP(Devis[[#This Row],[Ref Air Flux]],#REF!,3,FALSE),0)</f>
        <v>0</v>
      </c>
      <c r="K3480" s="68"/>
      <c r="L3480" s="68"/>
      <c r="M3480" s="68"/>
      <c r="N3480" s="68"/>
      <c r="O3480" s="68"/>
      <c r="P3480" s="68"/>
      <c r="Q3480" s="68">
        <f>SUM(Devis[[#This Row],[Poste 1]:[Poste 6]])</f>
        <v>0</v>
      </c>
      <c r="R3480" s="71"/>
      <c r="S3480" s="68">
        <f>_xlfn.CEILING.MATH(Devis[[#This Row],[Quantité Totale]],Devis[[#This Row],[Conditionnement]])</f>
        <v>0</v>
      </c>
      <c r="T3480" s="72"/>
      <c r="U3480" s="73"/>
      <c r="V3480" s="74">
        <f>Devis[[#This Row],[Prix de Revient]]*Devis[[#This Row],[Poste 1]]</f>
        <v>0</v>
      </c>
      <c r="W3480" s="74">
        <f>Devis[[#This Row],[Prix de Revient]]*Devis[[#This Row],[Poste 2]]</f>
        <v>0</v>
      </c>
      <c r="X3480" s="74">
        <f>Devis[[#This Row],[Prix de Revient]]*Devis[[#This Row],[Poste 3]]</f>
        <v>0</v>
      </c>
      <c r="Y3480" s="74">
        <f>Devis[[#This Row],[Poste 4]]*Devis[[#This Row],[Prix de Revient]]</f>
        <v>0</v>
      </c>
      <c r="Z3480" s="74">
        <f>Devis[[#This Row],[Poste 5]]*Devis[[#This Row],[Prix de Revient]]</f>
        <v>0</v>
      </c>
      <c r="AA3480" s="74">
        <f>Devis[[#This Row],[Prix de Revient]]*Devis[[#This Row],[Poste 6]]</f>
        <v>0</v>
      </c>
      <c r="AB3480" s="74">
        <f>Devis[[#This Row],[Quantité Totale]]*Devis[[#This Row],[Prix de Revient]]</f>
        <v>0</v>
      </c>
    </row>
    <row r="3481" spans="1:28" ht="14.25" outlineLevel="1" x14ac:dyDescent="0.2">
      <c r="A3481" s="75" t="s">
        <v>2983</v>
      </c>
      <c r="B3481" s="76" t="s">
        <v>1932</v>
      </c>
      <c r="C3481" s="75" t="s">
        <v>5256</v>
      </c>
      <c r="D3481" s="81" t="str">
        <f t="shared" si="63"/>
        <v>TransairTé EgalEgal</v>
      </c>
      <c r="E3481" s="104" t="s">
        <v>5153</v>
      </c>
      <c r="F3481" s="81">
        <v>7</v>
      </c>
      <c r="G3481" s="123" t="s">
        <v>3348</v>
      </c>
      <c r="H3481" s="71" t="s">
        <v>3293</v>
      </c>
      <c r="I3481" s="104" t="s">
        <v>3143</v>
      </c>
      <c r="J3481" s="70">
        <f>IFERROR(VLOOKUP(Devis[[#This Row],[Ref Air Flux]],#REF!,3,FALSE),0)</f>
        <v>0</v>
      </c>
      <c r="K3481" s="68"/>
      <c r="L3481" s="68"/>
      <c r="M3481" s="68"/>
      <c r="N3481" s="68"/>
      <c r="O3481" s="68"/>
      <c r="P3481" s="68"/>
      <c r="Q3481" s="68">
        <f>SUM(Devis[[#This Row],[Poste 1]:[Poste 6]])</f>
        <v>0</v>
      </c>
      <c r="R3481" s="71"/>
      <c r="S3481" s="68">
        <f>_xlfn.CEILING.MATH(Devis[[#This Row],[Quantité Totale]],Devis[[#This Row],[Conditionnement]])</f>
        <v>0</v>
      </c>
      <c r="T3481" s="72"/>
      <c r="U3481" s="73"/>
      <c r="V3481" s="74">
        <f>Devis[[#This Row],[Prix de Revient]]*Devis[[#This Row],[Poste 1]]</f>
        <v>0</v>
      </c>
      <c r="W3481" s="74">
        <f>Devis[[#This Row],[Prix de Revient]]*Devis[[#This Row],[Poste 2]]</f>
        <v>0</v>
      </c>
      <c r="X3481" s="74">
        <f>Devis[[#This Row],[Prix de Revient]]*Devis[[#This Row],[Poste 3]]</f>
        <v>0</v>
      </c>
      <c r="Y3481" s="74">
        <f>Devis[[#This Row],[Poste 4]]*Devis[[#This Row],[Prix de Revient]]</f>
        <v>0</v>
      </c>
      <c r="Z3481" s="74">
        <f>Devis[[#This Row],[Poste 5]]*Devis[[#This Row],[Prix de Revient]]</f>
        <v>0</v>
      </c>
      <c r="AA3481" s="74">
        <f>Devis[[#This Row],[Prix de Revient]]*Devis[[#This Row],[Poste 6]]</f>
        <v>0</v>
      </c>
      <c r="AB3481" s="74">
        <f>Devis[[#This Row],[Quantité Totale]]*Devis[[#This Row],[Prix de Revient]]</f>
        <v>0</v>
      </c>
    </row>
    <row r="3482" spans="1:28" ht="14.25" customHeight="1" outlineLevel="1" x14ac:dyDescent="0.2">
      <c r="A3482" s="75" t="s">
        <v>2983</v>
      </c>
      <c r="B3482" s="76" t="s">
        <v>1932</v>
      </c>
      <c r="C3482" s="75" t="s">
        <v>5256</v>
      </c>
      <c r="D3482" s="81" t="str">
        <f t="shared" si="63"/>
        <v>TransairTé EgalEgal</v>
      </c>
      <c r="E3482" s="104" t="s">
        <v>5154</v>
      </c>
      <c r="F3482" s="81">
        <v>8</v>
      </c>
      <c r="G3482" s="123" t="s">
        <v>3349</v>
      </c>
      <c r="H3482" s="71" t="s">
        <v>3293</v>
      </c>
      <c r="I3482" s="104" t="s">
        <v>3144</v>
      </c>
      <c r="J3482" s="70">
        <f>IFERROR(VLOOKUP(Devis[[#This Row],[Ref Air Flux]],#REF!,3,FALSE),0)</f>
        <v>0</v>
      </c>
      <c r="K3482" s="68"/>
      <c r="L3482" s="68"/>
      <c r="M3482" s="68"/>
      <c r="N3482" s="68"/>
      <c r="O3482" s="68"/>
      <c r="P3482" s="68"/>
      <c r="Q3482" s="68">
        <f>SUM(Devis[[#This Row],[Poste 1]:[Poste 6]])</f>
        <v>0</v>
      </c>
      <c r="R3482" s="71"/>
      <c r="S3482" s="68">
        <f>_xlfn.CEILING.MATH(Devis[[#This Row],[Quantité Totale]],Devis[[#This Row],[Conditionnement]])</f>
        <v>0</v>
      </c>
      <c r="T3482" s="72"/>
      <c r="U3482" s="73"/>
      <c r="V3482" s="74">
        <f>Devis[[#This Row],[Prix de Revient]]*Devis[[#This Row],[Poste 1]]</f>
        <v>0</v>
      </c>
      <c r="W3482" s="74">
        <f>Devis[[#This Row],[Prix de Revient]]*Devis[[#This Row],[Poste 2]]</f>
        <v>0</v>
      </c>
      <c r="X3482" s="74">
        <f>Devis[[#This Row],[Prix de Revient]]*Devis[[#This Row],[Poste 3]]</f>
        <v>0</v>
      </c>
      <c r="Y3482" s="74">
        <f>Devis[[#This Row],[Poste 4]]*Devis[[#This Row],[Prix de Revient]]</f>
        <v>0</v>
      </c>
      <c r="Z3482" s="74">
        <f>Devis[[#This Row],[Poste 5]]*Devis[[#This Row],[Prix de Revient]]</f>
        <v>0</v>
      </c>
      <c r="AA3482" s="74">
        <f>Devis[[#This Row],[Prix de Revient]]*Devis[[#This Row],[Poste 6]]</f>
        <v>0</v>
      </c>
      <c r="AB3482" s="74">
        <f>Devis[[#This Row],[Quantité Totale]]*Devis[[#This Row],[Prix de Revient]]</f>
        <v>0</v>
      </c>
    </row>
    <row r="3483" spans="1:28" ht="14.25" customHeight="1" x14ac:dyDescent="0.25">
      <c r="A3483" s="65" t="s">
        <v>2983</v>
      </c>
      <c r="B3483" s="65" t="s">
        <v>1971</v>
      </c>
      <c r="C3483" s="76"/>
      <c r="D3483" s="81" t="str">
        <f t="shared" ref="D3483:D3546" si="64">A3483&amp;B3483&amp;C3483</f>
        <v>TransairTé Réduit</v>
      </c>
      <c r="E3483" s="76"/>
      <c r="F3483" s="81">
        <v>0</v>
      </c>
      <c r="G3483" s="71"/>
      <c r="H3483" s="71"/>
      <c r="I3483" s="71"/>
      <c r="J3483" s="70">
        <f>IFERROR(VLOOKUP(Devis[[#This Row],[Ref Air Flux]],#REF!,3,FALSE),0)</f>
        <v>0</v>
      </c>
      <c r="K3483" s="68"/>
      <c r="L3483" s="68"/>
      <c r="M3483" s="68"/>
      <c r="N3483" s="68"/>
      <c r="O3483" s="68"/>
      <c r="P3483" s="68"/>
      <c r="Q3483" s="68">
        <f>SUM(Devis[[#This Row],[Poste 1]:[Poste 6]])</f>
        <v>0</v>
      </c>
      <c r="R3483" s="71"/>
      <c r="S3483" s="68">
        <f>_xlfn.CEILING.MATH(Devis[[#This Row],[Quantité Totale]],Devis[[#This Row],[Conditionnement]])</f>
        <v>0</v>
      </c>
      <c r="T3483" s="72"/>
      <c r="U3483" s="73"/>
      <c r="V3483" s="74">
        <f>Devis[[#This Row],[Prix de Revient]]*Devis[[#This Row],[Poste 1]]</f>
        <v>0</v>
      </c>
      <c r="W3483" s="74">
        <f>Devis[[#This Row],[Prix de Revient]]*Devis[[#This Row],[Poste 2]]</f>
        <v>0</v>
      </c>
      <c r="X3483" s="74">
        <f>Devis[[#This Row],[Prix de Revient]]*Devis[[#This Row],[Poste 3]]</f>
        <v>0</v>
      </c>
      <c r="Y3483" s="74">
        <f>Devis[[#This Row],[Poste 4]]*Devis[[#This Row],[Prix de Revient]]</f>
        <v>0</v>
      </c>
      <c r="Z3483" s="74">
        <f>Devis[[#This Row],[Poste 5]]*Devis[[#This Row],[Prix de Revient]]</f>
        <v>0</v>
      </c>
      <c r="AA3483" s="74">
        <f>Devis[[#This Row],[Prix de Revient]]*Devis[[#This Row],[Poste 6]]</f>
        <v>0</v>
      </c>
      <c r="AB3483" s="74">
        <f>Devis[[#This Row],[Quantité Totale]]*Devis[[#This Row],[Prix de Revient]]</f>
        <v>0</v>
      </c>
    </row>
    <row r="3484" spans="1:28" ht="14.25" outlineLevel="1" x14ac:dyDescent="0.2">
      <c r="A3484" s="75" t="s">
        <v>2983</v>
      </c>
      <c r="B3484" s="76" t="s">
        <v>1971</v>
      </c>
      <c r="C3484" s="75" t="s">
        <v>5258</v>
      </c>
      <c r="D3484" s="81" t="str">
        <f t="shared" si="64"/>
        <v>TransairTé RéduitRéduit</v>
      </c>
      <c r="E3484" s="104" t="s">
        <v>5201</v>
      </c>
      <c r="F3484" s="81">
        <v>1</v>
      </c>
      <c r="G3484" s="123">
        <v>66046340</v>
      </c>
      <c r="H3484" s="71" t="s">
        <v>3293</v>
      </c>
      <c r="I3484" s="104" t="s">
        <v>3145</v>
      </c>
      <c r="J3484" s="70">
        <f>IFERROR(VLOOKUP(Devis[[#This Row],[Ref Air Flux]],#REF!,3,FALSE),0)</f>
        <v>0</v>
      </c>
      <c r="K3484" s="68"/>
      <c r="L3484" s="68"/>
      <c r="M3484" s="68"/>
      <c r="N3484" s="68"/>
      <c r="O3484" s="68"/>
      <c r="P3484" s="68"/>
      <c r="Q3484" s="68">
        <f>SUM(Devis[[#This Row],[Poste 1]:[Poste 6]])</f>
        <v>0</v>
      </c>
      <c r="R3484" s="71"/>
      <c r="S3484" s="68">
        <f>_xlfn.CEILING.MATH(Devis[[#This Row],[Quantité Totale]],Devis[[#This Row],[Conditionnement]])</f>
        <v>0</v>
      </c>
      <c r="T3484" s="72"/>
      <c r="U3484" s="73"/>
      <c r="V3484" s="74">
        <f>Devis[[#This Row],[Prix de Revient]]*Devis[[#This Row],[Poste 1]]</f>
        <v>0</v>
      </c>
      <c r="W3484" s="74">
        <f>Devis[[#This Row],[Prix de Revient]]*Devis[[#This Row],[Poste 2]]</f>
        <v>0</v>
      </c>
      <c r="X3484" s="74">
        <f>Devis[[#This Row],[Prix de Revient]]*Devis[[#This Row],[Poste 3]]</f>
        <v>0</v>
      </c>
      <c r="Y3484" s="74">
        <f>Devis[[#This Row],[Poste 4]]*Devis[[#This Row],[Prix de Revient]]</f>
        <v>0</v>
      </c>
      <c r="Z3484" s="74">
        <f>Devis[[#This Row],[Poste 5]]*Devis[[#This Row],[Prix de Revient]]</f>
        <v>0</v>
      </c>
      <c r="AA3484" s="74">
        <f>Devis[[#This Row],[Prix de Revient]]*Devis[[#This Row],[Poste 6]]</f>
        <v>0</v>
      </c>
      <c r="AB3484" s="74">
        <f>Devis[[#This Row],[Quantité Totale]]*Devis[[#This Row],[Prix de Revient]]</f>
        <v>0</v>
      </c>
    </row>
    <row r="3485" spans="1:28" ht="14.25" outlineLevel="1" x14ac:dyDescent="0.2">
      <c r="A3485" s="75" t="s">
        <v>2983</v>
      </c>
      <c r="B3485" s="76" t="s">
        <v>1971</v>
      </c>
      <c r="C3485" s="75" t="s">
        <v>5258</v>
      </c>
      <c r="D3485" s="81" t="str">
        <f t="shared" si="64"/>
        <v>TransairTé RéduitRéduit</v>
      </c>
      <c r="E3485" s="75" t="s">
        <v>5259</v>
      </c>
      <c r="F3485" s="81">
        <v>2</v>
      </c>
      <c r="G3485" s="75" t="s">
        <v>5260</v>
      </c>
      <c r="H3485" s="71" t="s">
        <v>3293</v>
      </c>
      <c r="I3485" s="75" t="s">
        <v>5260</v>
      </c>
      <c r="J3485" s="70">
        <f>IFERROR(VLOOKUP(Devis[[#This Row],[Ref Air Flux]],#REF!,3,FALSE),0)</f>
        <v>0</v>
      </c>
      <c r="K3485" s="68"/>
      <c r="L3485" s="68"/>
      <c r="M3485" s="68"/>
      <c r="N3485" s="68"/>
      <c r="O3485" s="68"/>
      <c r="P3485" s="68"/>
      <c r="Q3485" s="68">
        <f>SUM(Devis[[#This Row],[Poste 1]:[Poste 6]])</f>
        <v>0</v>
      </c>
      <c r="R3485" s="71"/>
      <c r="S3485" s="68">
        <f>_xlfn.CEILING.MATH(Devis[[#This Row],[Quantité Totale]],Devis[[#This Row],[Conditionnement]])</f>
        <v>0</v>
      </c>
      <c r="T3485" s="72"/>
      <c r="U3485" s="73"/>
      <c r="V3485" s="74">
        <f>Devis[[#This Row],[Prix de Revient]]*Devis[[#This Row],[Poste 1]]</f>
        <v>0</v>
      </c>
      <c r="W3485" s="74">
        <f>Devis[[#This Row],[Prix de Revient]]*Devis[[#This Row],[Poste 2]]</f>
        <v>0</v>
      </c>
      <c r="X3485" s="74">
        <f>Devis[[#This Row],[Prix de Revient]]*Devis[[#This Row],[Poste 3]]</f>
        <v>0</v>
      </c>
      <c r="Y3485" s="74">
        <f>Devis[[#This Row],[Poste 4]]*Devis[[#This Row],[Prix de Revient]]</f>
        <v>0</v>
      </c>
      <c r="Z3485" s="74">
        <f>Devis[[#This Row],[Poste 5]]*Devis[[#This Row],[Prix de Revient]]</f>
        <v>0</v>
      </c>
      <c r="AA3485" s="74">
        <f>Devis[[#This Row],[Prix de Revient]]*Devis[[#This Row],[Poste 6]]</f>
        <v>0</v>
      </c>
      <c r="AB3485" s="74">
        <f>Devis[[#This Row],[Quantité Totale]]*Devis[[#This Row],[Prix de Revient]]</f>
        <v>0</v>
      </c>
    </row>
    <row r="3486" spans="1:28" ht="14.25" outlineLevel="1" x14ac:dyDescent="0.2">
      <c r="A3486" s="75" t="s">
        <v>2983</v>
      </c>
      <c r="B3486" s="76" t="s">
        <v>1971</v>
      </c>
      <c r="C3486" s="75" t="s">
        <v>5258</v>
      </c>
      <c r="D3486" s="81" t="str">
        <f t="shared" si="64"/>
        <v>TransairTé RéduitRéduit</v>
      </c>
      <c r="E3486" s="104" t="s">
        <v>5261</v>
      </c>
      <c r="F3486" s="81">
        <v>3</v>
      </c>
      <c r="G3486" s="123" t="s">
        <v>3350</v>
      </c>
      <c r="H3486" s="71" t="s">
        <v>3293</v>
      </c>
      <c r="I3486" s="104" t="s">
        <v>3146</v>
      </c>
      <c r="J3486" s="70">
        <f>IFERROR(VLOOKUP(Devis[[#This Row],[Ref Air Flux]],#REF!,3,FALSE),0)</f>
        <v>0</v>
      </c>
      <c r="K3486" s="68"/>
      <c r="L3486" s="68"/>
      <c r="M3486" s="68"/>
      <c r="N3486" s="68"/>
      <c r="O3486" s="68"/>
      <c r="P3486" s="68"/>
      <c r="Q3486" s="68">
        <f>SUM(Devis[[#This Row],[Poste 1]:[Poste 6]])</f>
        <v>0</v>
      </c>
      <c r="R3486" s="71"/>
      <c r="S3486" s="68">
        <f>_xlfn.CEILING.MATH(Devis[[#This Row],[Quantité Totale]],Devis[[#This Row],[Conditionnement]])</f>
        <v>0</v>
      </c>
      <c r="T3486" s="72"/>
      <c r="U3486" s="73"/>
      <c r="V3486" s="74">
        <f>Devis[[#This Row],[Prix de Revient]]*Devis[[#This Row],[Poste 1]]</f>
        <v>0</v>
      </c>
      <c r="W3486" s="74">
        <f>Devis[[#This Row],[Prix de Revient]]*Devis[[#This Row],[Poste 2]]</f>
        <v>0</v>
      </c>
      <c r="X3486" s="74">
        <f>Devis[[#This Row],[Prix de Revient]]*Devis[[#This Row],[Poste 3]]</f>
        <v>0</v>
      </c>
      <c r="Y3486" s="74">
        <f>Devis[[#This Row],[Poste 4]]*Devis[[#This Row],[Prix de Revient]]</f>
        <v>0</v>
      </c>
      <c r="Z3486" s="74">
        <f>Devis[[#This Row],[Poste 5]]*Devis[[#This Row],[Prix de Revient]]</f>
        <v>0</v>
      </c>
      <c r="AA3486" s="74">
        <f>Devis[[#This Row],[Prix de Revient]]*Devis[[#This Row],[Poste 6]]</f>
        <v>0</v>
      </c>
      <c r="AB3486" s="74">
        <f>Devis[[#This Row],[Quantité Totale]]*Devis[[#This Row],[Prix de Revient]]</f>
        <v>0</v>
      </c>
    </row>
    <row r="3487" spans="1:28" ht="14.25" outlineLevel="1" x14ac:dyDescent="0.2">
      <c r="A3487" s="75" t="s">
        <v>2983</v>
      </c>
      <c r="B3487" s="76" t="s">
        <v>1971</v>
      </c>
      <c r="C3487" s="75" t="s">
        <v>5258</v>
      </c>
      <c r="D3487" s="81" t="str">
        <f t="shared" si="64"/>
        <v>TransairTé RéduitRéduit</v>
      </c>
      <c r="E3487" s="104" t="s">
        <v>5202</v>
      </c>
      <c r="F3487" s="81">
        <v>4</v>
      </c>
      <c r="G3487" s="123" t="s">
        <v>5262</v>
      </c>
      <c r="H3487" s="71" t="s">
        <v>3293</v>
      </c>
      <c r="I3487" s="104" t="s">
        <v>5263</v>
      </c>
      <c r="J3487" s="70">
        <f>IFERROR(VLOOKUP(Devis[[#This Row],[Ref Air Flux]],#REF!,3,FALSE),0)</f>
        <v>0</v>
      </c>
      <c r="K3487" s="68"/>
      <c r="L3487" s="68"/>
      <c r="M3487" s="68"/>
      <c r="N3487" s="68"/>
      <c r="O3487" s="68"/>
      <c r="P3487" s="68"/>
      <c r="Q3487" s="68">
        <f>SUM(Devis[[#This Row],[Poste 1]:[Poste 6]])</f>
        <v>0</v>
      </c>
      <c r="R3487" s="71"/>
      <c r="S3487" s="68">
        <f>_xlfn.CEILING.MATH(Devis[[#This Row],[Quantité Totale]],Devis[[#This Row],[Conditionnement]])</f>
        <v>0</v>
      </c>
      <c r="T3487" s="72"/>
      <c r="U3487" s="73"/>
      <c r="V3487" s="74">
        <f>Devis[[#This Row],[Prix de Revient]]*Devis[[#This Row],[Poste 1]]</f>
        <v>0</v>
      </c>
      <c r="W3487" s="74">
        <f>Devis[[#This Row],[Prix de Revient]]*Devis[[#This Row],[Poste 2]]</f>
        <v>0</v>
      </c>
      <c r="X3487" s="74">
        <f>Devis[[#This Row],[Prix de Revient]]*Devis[[#This Row],[Poste 3]]</f>
        <v>0</v>
      </c>
      <c r="Y3487" s="74">
        <f>Devis[[#This Row],[Poste 4]]*Devis[[#This Row],[Prix de Revient]]</f>
        <v>0</v>
      </c>
      <c r="Z3487" s="74">
        <f>Devis[[#This Row],[Poste 5]]*Devis[[#This Row],[Prix de Revient]]</f>
        <v>0</v>
      </c>
      <c r="AA3487" s="74">
        <f>Devis[[#This Row],[Prix de Revient]]*Devis[[#This Row],[Poste 6]]</f>
        <v>0</v>
      </c>
      <c r="AB3487" s="74">
        <f>Devis[[#This Row],[Quantité Totale]]*Devis[[#This Row],[Prix de Revient]]</f>
        <v>0</v>
      </c>
    </row>
    <row r="3488" spans="1:28" ht="14.25" outlineLevel="1" x14ac:dyDescent="0.2">
      <c r="A3488" s="75" t="s">
        <v>2983</v>
      </c>
      <c r="B3488" s="76" t="s">
        <v>1971</v>
      </c>
      <c r="C3488" s="75" t="s">
        <v>5258</v>
      </c>
      <c r="D3488" s="81" t="str">
        <f t="shared" si="64"/>
        <v>TransairTé RéduitRéduit</v>
      </c>
      <c r="E3488" s="104" t="s">
        <v>5204</v>
      </c>
      <c r="F3488" s="81">
        <v>5</v>
      </c>
      <c r="G3488" s="123" t="s">
        <v>3351</v>
      </c>
      <c r="H3488" s="71" t="s">
        <v>3293</v>
      </c>
      <c r="I3488" s="104" t="s">
        <v>3147</v>
      </c>
      <c r="J3488" s="70">
        <f>IFERROR(VLOOKUP(Devis[[#This Row],[Ref Air Flux]],#REF!,3,FALSE),0)</f>
        <v>0</v>
      </c>
      <c r="K3488" s="68"/>
      <c r="L3488" s="68"/>
      <c r="M3488" s="68"/>
      <c r="N3488" s="68"/>
      <c r="O3488" s="68"/>
      <c r="P3488" s="68"/>
      <c r="Q3488" s="68">
        <f>SUM(Devis[[#This Row],[Poste 1]:[Poste 6]])</f>
        <v>0</v>
      </c>
      <c r="R3488" s="71"/>
      <c r="S3488" s="68">
        <f>_xlfn.CEILING.MATH(Devis[[#This Row],[Quantité Totale]],Devis[[#This Row],[Conditionnement]])</f>
        <v>0</v>
      </c>
      <c r="T3488" s="72"/>
      <c r="U3488" s="73"/>
      <c r="V3488" s="74">
        <f>Devis[[#This Row],[Prix de Revient]]*Devis[[#This Row],[Poste 1]]</f>
        <v>0</v>
      </c>
      <c r="W3488" s="74">
        <f>Devis[[#This Row],[Prix de Revient]]*Devis[[#This Row],[Poste 2]]</f>
        <v>0</v>
      </c>
      <c r="X3488" s="74">
        <f>Devis[[#This Row],[Prix de Revient]]*Devis[[#This Row],[Poste 3]]</f>
        <v>0</v>
      </c>
      <c r="Y3488" s="74">
        <f>Devis[[#This Row],[Poste 4]]*Devis[[#This Row],[Prix de Revient]]</f>
        <v>0</v>
      </c>
      <c r="Z3488" s="74">
        <f>Devis[[#This Row],[Poste 5]]*Devis[[#This Row],[Prix de Revient]]</f>
        <v>0</v>
      </c>
      <c r="AA3488" s="74">
        <f>Devis[[#This Row],[Prix de Revient]]*Devis[[#This Row],[Poste 6]]</f>
        <v>0</v>
      </c>
      <c r="AB3488" s="74">
        <f>Devis[[#This Row],[Quantité Totale]]*Devis[[#This Row],[Prix de Revient]]</f>
        <v>0</v>
      </c>
    </row>
    <row r="3489" spans="1:28" ht="14.25" outlineLevel="1" x14ac:dyDescent="0.2">
      <c r="A3489" s="75" t="s">
        <v>2983</v>
      </c>
      <c r="B3489" s="76" t="s">
        <v>1971</v>
      </c>
      <c r="C3489" s="75" t="s">
        <v>5258</v>
      </c>
      <c r="D3489" s="81" t="str">
        <f t="shared" si="64"/>
        <v>TransairTé RéduitRéduit</v>
      </c>
      <c r="E3489" s="104" t="s">
        <v>5206</v>
      </c>
      <c r="F3489" s="81">
        <v>6</v>
      </c>
      <c r="G3489" s="123" t="s">
        <v>3352</v>
      </c>
      <c r="H3489" s="71" t="s">
        <v>3293</v>
      </c>
      <c r="I3489" s="104" t="s">
        <v>3148</v>
      </c>
      <c r="J3489" s="70">
        <f>IFERROR(VLOOKUP(Devis[[#This Row],[Ref Air Flux]],#REF!,3,FALSE),0)</f>
        <v>0</v>
      </c>
      <c r="K3489" s="68"/>
      <c r="L3489" s="68"/>
      <c r="M3489" s="68"/>
      <c r="N3489" s="68"/>
      <c r="O3489" s="68"/>
      <c r="P3489" s="68"/>
      <c r="Q3489" s="68">
        <f>SUM(Devis[[#This Row],[Poste 1]:[Poste 6]])</f>
        <v>0</v>
      </c>
      <c r="R3489" s="71"/>
      <c r="S3489" s="68">
        <f>_xlfn.CEILING.MATH(Devis[[#This Row],[Quantité Totale]],Devis[[#This Row],[Conditionnement]])</f>
        <v>0</v>
      </c>
      <c r="T3489" s="72"/>
      <c r="U3489" s="73"/>
      <c r="V3489" s="74">
        <f>Devis[[#This Row],[Prix de Revient]]*Devis[[#This Row],[Poste 1]]</f>
        <v>0</v>
      </c>
      <c r="W3489" s="74">
        <f>Devis[[#This Row],[Prix de Revient]]*Devis[[#This Row],[Poste 2]]</f>
        <v>0</v>
      </c>
      <c r="X3489" s="74">
        <f>Devis[[#This Row],[Prix de Revient]]*Devis[[#This Row],[Poste 3]]</f>
        <v>0</v>
      </c>
      <c r="Y3489" s="74">
        <f>Devis[[#This Row],[Poste 4]]*Devis[[#This Row],[Prix de Revient]]</f>
        <v>0</v>
      </c>
      <c r="Z3489" s="74">
        <f>Devis[[#This Row],[Poste 5]]*Devis[[#This Row],[Prix de Revient]]</f>
        <v>0</v>
      </c>
      <c r="AA3489" s="74">
        <f>Devis[[#This Row],[Prix de Revient]]*Devis[[#This Row],[Poste 6]]</f>
        <v>0</v>
      </c>
      <c r="AB3489" s="74">
        <f>Devis[[#This Row],[Quantité Totale]]*Devis[[#This Row],[Prix de Revient]]</f>
        <v>0</v>
      </c>
    </row>
    <row r="3490" spans="1:28" ht="14.25" outlineLevel="1" x14ac:dyDescent="0.2">
      <c r="A3490" s="75" t="s">
        <v>2983</v>
      </c>
      <c r="B3490" s="76" t="s">
        <v>1971</v>
      </c>
      <c r="C3490" s="75" t="s">
        <v>5258</v>
      </c>
      <c r="D3490" s="81" t="str">
        <f t="shared" si="64"/>
        <v>TransairTé RéduitRéduit</v>
      </c>
      <c r="E3490" s="104" t="s">
        <v>5264</v>
      </c>
      <c r="F3490" s="81">
        <v>7</v>
      </c>
      <c r="G3490" s="123" t="s">
        <v>3353</v>
      </c>
      <c r="H3490" s="71" t="s">
        <v>3293</v>
      </c>
      <c r="I3490" s="104" t="s">
        <v>3149</v>
      </c>
      <c r="J3490" s="70">
        <f>IFERROR(VLOOKUP(Devis[[#This Row],[Ref Air Flux]],#REF!,3,FALSE),0)</f>
        <v>0</v>
      </c>
      <c r="K3490" s="68"/>
      <c r="L3490" s="68"/>
      <c r="M3490" s="68"/>
      <c r="N3490" s="68"/>
      <c r="O3490" s="68"/>
      <c r="P3490" s="68"/>
      <c r="Q3490" s="68">
        <f>SUM(Devis[[#This Row],[Poste 1]:[Poste 6]])</f>
        <v>0</v>
      </c>
      <c r="R3490" s="71"/>
      <c r="S3490" s="68">
        <f>_xlfn.CEILING.MATH(Devis[[#This Row],[Quantité Totale]],Devis[[#This Row],[Conditionnement]])</f>
        <v>0</v>
      </c>
      <c r="T3490" s="72"/>
      <c r="U3490" s="73"/>
      <c r="V3490" s="74">
        <f>Devis[[#This Row],[Prix de Revient]]*Devis[[#This Row],[Poste 1]]</f>
        <v>0</v>
      </c>
      <c r="W3490" s="74">
        <f>Devis[[#This Row],[Prix de Revient]]*Devis[[#This Row],[Poste 2]]</f>
        <v>0</v>
      </c>
      <c r="X3490" s="74">
        <f>Devis[[#This Row],[Prix de Revient]]*Devis[[#This Row],[Poste 3]]</f>
        <v>0</v>
      </c>
      <c r="Y3490" s="74">
        <f>Devis[[#This Row],[Poste 4]]*Devis[[#This Row],[Prix de Revient]]</f>
        <v>0</v>
      </c>
      <c r="Z3490" s="74">
        <f>Devis[[#This Row],[Poste 5]]*Devis[[#This Row],[Prix de Revient]]</f>
        <v>0</v>
      </c>
      <c r="AA3490" s="74">
        <f>Devis[[#This Row],[Prix de Revient]]*Devis[[#This Row],[Poste 6]]</f>
        <v>0</v>
      </c>
      <c r="AB3490" s="74">
        <f>Devis[[#This Row],[Quantité Totale]]*Devis[[#This Row],[Prix de Revient]]</f>
        <v>0</v>
      </c>
    </row>
    <row r="3491" spans="1:28" ht="14.25" outlineLevel="1" x14ac:dyDescent="0.2">
      <c r="A3491" s="75" t="s">
        <v>2983</v>
      </c>
      <c r="B3491" s="76" t="s">
        <v>1971</v>
      </c>
      <c r="C3491" s="75" t="s">
        <v>5265</v>
      </c>
      <c r="D3491" s="81" t="str">
        <f t="shared" si="64"/>
        <v>TransairTé RéduitMixte F</v>
      </c>
      <c r="E3491" s="104" t="s">
        <v>5266</v>
      </c>
      <c r="F3491" s="81">
        <v>8</v>
      </c>
      <c r="G3491" s="123" t="s">
        <v>3317</v>
      </c>
      <c r="H3491" s="71" t="s">
        <v>3293</v>
      </c>
      <c r="I3491" s="104" t="s">
        <v>3079</v>
      </c>
      <c r="J3491" s="70">
        <f>IFERROR(VLOOKUP(Devis[[#This Row],[Ref Air Flux]],#REF!,3,FALSE),0)</f>
        <v>0</v>
      </c>
      <c r="K3491" s="68"/>
      <c r="L3491" s="68"/>
      <c r="M3491" s="68"/>
      <c r="N3491" s="68"/>
      <c r="O3491" s="68"/>
      <c r="P3491" s="68"/>
      <c r="Q3491" s="68">
        <f>SUM(Devis[[#This Row],[Poste 1]:[Poste 6]])</f>
        <v>0</v>
      </c>
      <c r="R3491" s="71"/>
      <c r="S3491" s="68">
        <f>_xlfn.CEILING.MATH(Devis[[#This Row],[Quantité Totale]],Devis[[#This Row],[Conditionnement]])</f>
        <v>0</v>
      </c>
      <c r="T3491" s="72"/>
      <c r="U3491" s="73"/>
      <c r="V3491" s="74">
        <f>Devis[[#This Row],[Prix de Revient]]*Devis[[#This Row],[Poste 1]]</f>
        <v>0</v>
      </c>
      <c r="W3491" s="74">
        <f>Devis[[#This Row],[Prix de Revient]]*Devis[[#This Row],[Poste 2]]</f>
        <v>0</v>
      </c>
      <c r="X3491" s="74">
        <f>Devis[[#This Row],[Prix de Revient]]*Devis[[#This Row],[Poste 3]]</f>
        <v>0</v>
      </c>
      <c r="Y3491" s="74">
        <f>Devis[[#This Row],[Poste 4]]*Devis[[#This Row],[Prix de Revient]]</f>
        <v>0</v>
      </c>
      <c r="Z3491" s="74">
        <f>Devis[[#This Row],[Poste 5]]*Devis[[#This Row],[Prix de Revient]]</f>
        <v>0</v>
      </c>
      <c r="AA3491" s="74">
        <f>Devis[[#This Row],[Prix de Revient]]*Devis[[#This Row],[Poste 6]]</f>
        <v>0</v>
      </c>
      <c r="AB3491" s="74">
        <f>Devis[[#This Row],[Quantité Totale]]*Devis[[#This Row],[Prix de Revient]]</f>
        <v>0</v>
      </c>
    </row>
    <row r="3492" spans="1:28" ht="14.25" customHeight="1" x14ac:dyDescent="0.25">
      <c r="A3492" s="65" t="s">
        <v>2983</v>
      </c>
      <c r="B3492" s="65" t="s">
        <v>66</v>
      </c>
      <c r="C3492" s="76"/>
      <c r="D3492" s="81" t="str">
        <f t="shared" si="64"/>
        <v>TransairTube</v>
      </c>
      <c r="E3492" s="76"/>
      <c r="F3492" s="81">
        <v>0</v>
      </c>
      <c r="G3492" s="71"/>
      <c r="H3492" s="71"/>
      <c r="I3492" s="71"/>
      <c r="J3492" s="70">
        <f>IFERROR(VLOOKUP(Devis[[#This Row],[Ref Air Flux]],#REF!,3,FALSE),0)</f>
        <v>0</v>
      </c>
      <c r="K3492" s="68"/>
      <c r="L3492" s="68"/>
      <c r="M3492" s="68"/>
      <c r="N3492" s="68"/>
      <c r="O3492" s="68"/>
      <c r="P3492" s="68"/>
      <c r="Q3492" s="68">
        <f>SUM(Devis[[#This Row],[Poste 1]:[Poste 6]])</f>
        <v>0</v>
      </c>
      <c r="R3492" s="71"/>
      <c r="S3492" s="68">
        <f>_xlfn.CEILING.MATH(Devis[[#This Row],[Quantité Totale]],Devis[[#This Row],[Conditionnement]])</f>
        <v>0</v>
      </c>
      <c r="T3492" s="72"/>
      <c r="U3492" s="73"/>
      <c r="V3492" s="74">
        <f>Devis[[#This Row],[Prix de Revient]]*Devis[[#This Row],[Poste 1]]</f>
        <v>0</v>
      </c>
      <c r="W3492" s="74">
        <f>Devis[[#This Row],[Prix de Revient]]*Devis[[#This Row],[Poste 2]]</f>
        <v>0</v>
      </c>
      <c r="X3492" s="74">
        <f>Devis[[#This Row],[Prix de Revient]]*Devis[[#This Row],[Poste 3]]</f>
        <v>0</v>
      </c>
      <c r="Y3492" s="74">
        <f>Devis[[#This Row],[Poste 4]]*Devis[[#This Row],[Prix de Revient]]</f>
        <v>0</v>
      </c>
      <c r="Z3492" s="74">
        <f>Devis[[#This Row],[Poste 5]]*Devis[[#This Row],[Prix de Revient]]</f>
        <v>0</v>
      </c>
      <c r="AA3492" s="74">
        <f>Devis[[#This Row],[Prix de Revient]]*Devis[[#This Row],[Poste 6]]</f>
        <v>0</v>
      </c>
      <c r="AB3492" s="74">
        <f>Devis[[#This Row],[Quantité Totale]]*Devis[[#This Row],[Prix de Revient]]</f>
        <v>0</v>
      </c>
    </row>
    <row r="3493" spans="1:28" ht="14.25" customHeight="1" outlineLevel="1" x14ac:dyDescent="0.2">
      <c r="A3493" s="75" t="s">
        <v>2983</v>
      </c>
      <c r="B3493" s="76" t="s">
        <v>66</v>
      </c>
      <c r="C3493" s="75" t="s">
        <v>5267</v>
      </c>
      <c r="D3493" s="81" t="str">
        <f t="shared" si="64"/>
        <v>TransairTubeBleu (Air comprimé)</v>
      </c>
      <c r="E3493" s="104" t="s">
        <v>5268</v>
      </c>
      <c r="F3493" s="81">
        <v>1</v>
      </c>
      <c r="G3493" s="123" t="s">
        <v>3354</v>
      </c>
      <c r="H3493" s="71" t="s">
        <v>3293</v>
      </c>
      <c r="I3493" s="104" t="s">
        <v>3150</v>
      </c>
      <c r="J3493" s="70">
        <f>IFERROR(VLOOKUP(Devis[[#This Row],[Ref Air Flux]],#REF!,3,FALSE),0)</f>
        <v>0</v>
      </c>
      <c r="K3493" s="68"/>
      <c r="L3493" s="68"/>
      <c r="M3493" s="68"/>
      <c r="N3493" s="68"/>
      <c r="O3493" s="68"/>
      <c r="P3493" s="68"/>
      <c r="Q3493" s="68">
        <f>SUM(Devis[[#This Row],[Poste 1]:[Poste 6]])</f>
        <v>0</v>
      </c>
      <c r="R3493" s="71"/>
      <c r="S3493" s="68">
        <f>_xlfn.CEILING.MATH(Devis[[#This Row],[Quantité Totale]],Devis[[#This Row],[Conditionnement]])</f>
        <v>0</v>
      </c>
      <c r="T3493" s="72"/>
      <c r="U3493" s="73"/>
      <c r="V3493" s="74">
        <f>Devis[[#This Row],[Prix de Revient]]*Devis[[#This Row],[Poste 1]]</f>
        <v>0</v>
      </c>
      <c r="W3493" s="74">
        <f>Devis[[#This Row],[Prix de Revient]]*Devis[[#This Row],[Poste 2]]</f>
        <v>0</v>
      </c>
      <c r="X3493" s="74">
        <f>Devis[[#This Row],[Prix de Revient]]*Devis[[#This Row],[Poste 3]]</f>
        <v>0</v>
      </c>
      <c r="Y3493" s="74">
        <f>Devis[[#This Row],[Poste 4]]*Devis[[#This Row],[Prix de Revient]]</f>
        <v>0</v>
      </c>
      <c r="Z3493" s="74">
        <f>Devis[[#This Row],[Poste 5]]*Devis[[#This Row],[Prix de Revient]]</f>
        <v>0</v>
      </c>
      <c r="AA3493" s="74">
        <f>Devis[[#This Row],[Prix de Revient]]*Devis[[#This Row],[Poste 6]]</f>
        <v>0</v>
      </c>
      <c r="AB3493" s="74">
        <f>Devis[[#This Row],[Quantité Totale]]*Devis[[#This Row],[Prix de Revient]]</f>
        <v>0</v>
      </c>
    </row>
    <row r="3494" spans="1:28" ht="14.25" outlineLevel="1" x14ac:dyDescent="0.2">
      <c r="A3494" s="75" t="s">
        <v>2983</v>
      </c>
      <c r="B3494" s="76" t="s">
        <v>66</v>
      </c>
      <c r="C3494" s="75" t="s">
        <v>5267</v>
      </c>
      <c r="D3494" s="81" t="str">
        <f t="shared" si="64"/>
        <v>TransairTubeBleu (Air comprimé)</v>
      </c>
      <c r="E3494" s="104" t="s">
        <v>5269</v>
      </c>
      <c r="F3494" s="81">
        <v>2</v>
      </c>
      <c r="G3494" s="123" t="s">
        <v>3355</v>
      </c>
      <c r="H3494" s="71" t="s">
        <v>3293</v>
      </c>
      <c r="I3494" s="104" t="s">
        <v>3151</v>
      </c>
      <c r="J3494" s="70">
        <f>IFERROR(VLOOKUP(Devis[[#This Row],[Ref Air Flux]],#REF!,3,FALSE),0)</f>
        <v>0</v>
      </c>
      <c r="K3494" s="68"/>
      <c r="L3494" s="68"/>
      <c r="M3494" s="68"/>
      <c r="N3494" s="68"/>
      <c r="O3494" s="68"/>
      <c r="P3494" s="68"/>
      <c r="Q3494" s="68">
        <f>SUM(Devis[[#This Row],[Poste 1]:[Poste 6]])</f>
        <v>0</v>
      </c>
      <c r="R3494" s="71"/>
      <c r="S3494" s="68">
        <f>_xlfn.CEILING.MATH(Devis[[#This Row],[Quantité Totale]],Devis[[#This Row],[Conditionnement]])</f>
        <v>0</v>
      </c>
      <c r="T3494" s="72"/>
      <c r="U3494" s="73"/>
      <c r="V3494" s="74">
        <f>Devis[[#This Row],[Prix de Revient]]*Devis[[#This Row],[Poste 1]]</f>
        <v>0</v>
      </c>
      <c r="W3494" s="74">
        <f>Devis[[#This Row],[Prix de Revient]]*Devis[[#This Row],[Poste 2]]</f>
        <v>0</v>
      </c>
      <c r="X3494" s="74">
        <f>Devis[[#This Row],[Prix de Revient]]*Devis[[#This Row],[Poste 3]]</f>
        <v>0</v>
      </c>
      <c r="Y3494" s="74">
        <f>Devis[[#This Row],[Poste 4]]*Devis[[#This Row],[Prix de Revient]]</f>
        <v>0</v>
      </c>
      <c r="Z3494" s="74">
        <f>Devis[[#This Row],[Poste 5]]*Devis[[#This Row],[Prix de Revient]]</f>
        <v>0</v>
      </c>
      <c r="AA3494" s="74">
        <f>Devis[[#This Row],[Prix de Revient]]*Devis[[#This Row],[Poste 6]]</f>
        <v>0</v>
      </c>
      <c r="AB3494" s="74">
        <f>Devis[[#This Row],[Quantité Totale]]*Devis[[#This Row],[Prix de Revient]]</f>
        <v>0</v>
      </c>
    </row>
    <row r="3495" spans="1:28" ht="15" customHeight="1" outlineLevel="1" x14ac:dyDescent="0.2">
      <c r="A3495" s="75" t="s">
        <v>2983</v>
      </c>
      <c r="B3495" s="76" t="s">
        <v>66</v>
      </c>
      <c r="C3495" s="75" t="s">
        <v>5267</v>
      </c>
      <c r="D3495" s="81" t="str">
        <f t="shared" si="64"/>
        <v>TransairTubeBleu (Air comprimé)</v>
      </c>
      <c r="E3495" s="104" t="s">
        <v>5270</v>
      </c>
      <c r="F3495" s="81">
        <v>3</v>
      </c>
      <c r="G3495" s="123" t="s">
        <v>3356</v>
      </c>
      <c r="H3495" s="71" t="s">
        <v>3293</v>
      </c>
      <c r="I3495" s="104" t="s">
        <v>3152</v>
      </c>
      <c r="J3495" s="70">
        <f>IFERROR(VLOOKUP(Devis[[#This Row],[Ref Air Flux]],#REF!,3,FALSE),0)</f>
        <v>0</v>
      </c>
      <c r="K3495" s="68"/>
      <c r="L3495" s="68"/>
      <c r="M3495" s="68"/>
      <c r="N3495" s="68"/>
      <c r="O3495" s="68"/>
      <c r="P3495" s="68"/>
      <c r="Q3495" s="68">
        <f>SUM(Devis[[#This Row],[Poste 1]:[Poste 6]])</f>
        <v>0</v>
      </c>
      <c r="R3495" s="71"/>
      <c r="S3495" s="68">
        <f>_xlfn.CEILING.MATH(Devis[[#This Row],[Quantité Totale]],Devis[[#This Row],[Conditionnement]])</f>
        <v>0</v>
      </c>
      <c r="T3495" s="72"/>
      <c r="U3495" s="73"/>
      <c r="V3495" s="74">
        <f>Devis[[#This Row],[Prix de Revient]]*Devis[[#This Row],[Poste 1]]</f>
        <v>0</v>
      </c>
      <c r="W3495" s="74">
        <f>Devis[[#This Row],[Prix de Revient]]*Devis[[#This Row],[Poste 2]]</f>
        <v>0</v>
      </c>
      <c r="X3495" s="74">
        <f>Devis[[#This Row],[Prix de Revient]]*Devis[[#This Row],[Poste 3]]</f>
        <v>0</v>
      </c>
      <c r="Y3495" s="74">
        <f>Devis[[#This Row],[Poste 4]]*Devis[[#This Row],[Prix de Revient]]</f>
        <v>0</v>
      </c>
      <c r="Z3495" s="74">
        <f>Devis[[#This Row],[Poste 5]]*Devis[[#This Row],[Prix de Revient]]</f>
        <v>0</v>
      </c>
      <c r="AA3495" s="74">
        <f>Devis[[#This Row],[Prix de Revient]]*Devis[[#This Row],[Poste 6]]</f>
        <v>0</v>
      </c>
      <c r="AB3495" s="74">
        <f>Devis[[#This Row],[Quantité Totale]]*Devis[[#This Row],[Prix de Revient]]</f>
        <v>0</v>
      </c>
    </row>
    <row r="3496" spans="1:28" ht="14.25" outlineLevel="1" x14ac:dyDescent="0.2">
      <c r="A3496" s="75" t="s">
        <v>2983</v>
      </c>
      <c r="B3496" s="76" t="s">
        <v>66</v>
      </c>
      <c r="C3496" s="75" t="s">
        <v>5267</v>
      </c>
      <c r="D3496" s="81" t="str">
        <f t="shared" si="64"/>
        <v>TransairTubeBleu (Air comprimé)</v>
      </c>
      <c r="E3496" s="104" t="s">
        <v>5271</v>
      </c>
      <c r="F3496" s="81">
        <v>4</v>
      </c>
      <c r="G3496" s="123" t="s">
        <v>3357</v>
      </c>
      <c r="H3496" s="71" t="s">
        <v>3293</v>
      </c>
      <c r="I3496" s="104" t="s">
        <v>3153</v>
      </c>
      <c r="J3496" s="70">
        <f>IFERROR(VLOOKUP(Devis[[#This Row],[Ref Air Flux]],#REF!,3,FALSE),0)</f>
        <v>0</v>
      </c>
      <c r="K3496" s="68"/>
      <c r="L3496" s="68"/>
      <c r="M3496" s="68"/>
      <c r="N3496" s="68"/>
      <c r="O3496" s="68"/>
      <c r="P3496" s="68"/>
      <c r="Q3496" s="68">
        <f>SUM(Devis[[#This Row],[Poste 1]:[Poste 6]])</f>
        <v>0</v>
      </c>
      <c r="R3496" s="71"/>
      <c r="S3496" s="68">
        <f>_xlfn.CEILING.MATH(Devis[[#This Row],[Quantité Totale]],Devis[[#This Row],[Conditionnement]])</f>
        <v>0</v>
      </c>
      <c r="T3496" s="72"/>
      <c r="U3496" s="73"/>
      <c r="V3496" s="74">
        <f>Devis[[#This Row],[Prix de Revient]]*Devis[[#This Row],[Poste 1]]</f>
        <v>0</v>
      </c>
      <c r="W3496" s="74">
        <f>Devis[[#This Row],[Prix de Revient]]*Devis[[#This Row],[Poste 2]]</f>
        <v>0</v>
      </c>
      <c r="X3496" s="74">
        <f>Devis[[#This Row],[Prix de Revient]]*Devis[[#This Row],[Poste 3]]</f>
        <v>0</v>
      </c>
      <c r="Y3496" s="74">
        <f>Devis[[#This Row],[Poste 4]]*Devis[[#This Row],[Prix de Revient]]</f>
        <v>0</v>
      </c>
      <c r="Z3496" s="74">
        <f>Devis[[#This Row],[Poste 5]]*Devis[[#This Row],[Prix de Revient]]</f>
        <v>0</v>
      </c>
      <c r="AA3496" s="74">
        <f>Devis[[#This Row],[Prix de Revient]]*Devis[[#This Row],[Poste 6]]</f>
        <v>0</v>
      </c>
      <c r="AB3496" s="74">
        <f>Devis[[#This Row],[Quantité Totale]]*Devis[[#This Row],[Prix de Revient]]</f>
        <v>0</v>
      </c>
    </row>
    <row r="3497" spans="1:28" ht="14.25" outlineLevel="1" x14ac:dyDescent="0.2">
      <c r="A3497" s="75" t="s">
        <v>2983</v>
      </c>
      <c r="B3497" s="76" t="s">
        <v>66</v>
      </c>
      <c r="C3497" s="75" t="s">
        <v>5267</v>
      </c>
      <c r="D3497" s="81" t="str">
        <f t="shared" si="64"/>
        <v>TransairTubeBleu (Air comprimé)</v>
      </c>
      <c r="E3497" s="104" t="s">
        <v>5272</v>
      </c>
      <c r="F3497" s="81">
        <v>5</v>
      </c>
      <c r="G3497" s="123" t="s">
        <v>3358</v>
      </c>
      <c r="H3497" s="71" t="s">
        <v>3293</v>
      </c>
      <c r="I3497" s="104" t="s">
        <v>3154</v>
      </c>
      <c r="J3497" s="70">
        <f>IFERROR(VLOOKUP(Devis[[#This Row],[Ref Air Flux]],#REF!,3,FALSE),0)</f>
        <v>0</v>
      </c>
      <c r="K3497" s="68"/>
      <c r="L3497" s="68"/>
      <c r="M3497" s="68"/>
      <c r="N3497" s="68"/>
      <c r="O3497" s="68"/>
      <c r="P3497" s="68"/>
      <c r="Q3497" s="68">
        <f>SUM(Devis[[#This Row],[Poste 1]:[Poste 6]])</f>
        <v>0</v>
      </c>
      <c r="R3497" s="71"/>
      <c r="S3497" s="68">
        <f>_xlfn.CEILING.MATH(Devis[[#This Row],[Quantité Totale]],Devis[[#This Row],[Conditionnement]])</f>
        <v>0</v>
      </c>
      <c r="T3497" s="72"/>
      <c r="U3497" s="73"/>
      <c r="V3497" s="74">
        <f>Devis[[#This Row],[Prix de Revient]]*Devis[[#This Row],[Poste 1]]</f>
        <v>0</v>
      </c>
      <c r="W3497" s="74">
        <f>Devis[[#This Row],[Prix de Revient]]*Devis[[#This Row],[Poste 2]]</f>
        <v>0</v>
      </c>
      <c r="X3497" s="74">
        <f>Devis[[#This Row],[Prix de Revient]]*Devis[[#This Row],[Poste 3]]</f>
        <v>0</v>
      </c>
      <c r="Y3497" s="74">
        <f>Devis[[#This Row],[Poste 4]]*Devis[[#This Row],[Prix de Revient]]</f>
        <v>0</v>
      </c>
      <c r="Z3497" s="74">
        <f>Devis[[#This Row],[Poste 5]]*Devis[[#This Row],[Prix de Revient]]</f>
        <v>0</v>
      </c>
      <c r="AA3497" s="74">
        <f>Devis[[#This Row],[Prix de Revient]]*Devis[[#This Row],[Poste 6]]</f>
        <v>0</v>
      </c>
      <c r="AB3497" s="74">
        <f>Devis[[#This Row],[Quantité Totale]]*Devis[[#This Row],[Prix de Revient]]</f>
        <v>0</v>
      </c>
    </row>
    <row r="3498" spans="1:28" ht="14.25" outlineLevel="1" x14ac:dyDescent="0.2">
      <c r="A3498" s="75" t="s">
        <v>2983</v>
      </c>
      <c r="B3498" s="76" t="s">
        <v>66</v>
      </c>
      <c r="C3498" s="75" t="s">
        <v>5267</v>
      </c>
      <c r="D3498" s="81" t="str">
        <f t="shared" si="64"/>
        <v>TransairTubeBleu (Air comprimé)</v>
      </c>
      <c r="E3498" s="104" t="s">
        <v>5273</v>
      </c>
      <c r="F3498" s="81">
        <v>6</v>
      </c>
      <c r="G3498" s="123" t="s">
        <v>3359</v>
      </c>
      <c r="H3498" s="71" t="s">
        <v>3293</v>
      </c>
      <c r="I3498" s="104" t="s">
        <v>3155</v>
      </c>
      <c r="J3498" s="70">
        <f>IFERROR(VLOOKUP(Devis[[#This Row],[Ref Air Flux]],#REF!,3,FALSE),0)</f>
        <v>0</v>
      </c>
      <c r="K3498" s="68"/>
      <c r="L3498" s="68"/>
      <c r="M3498" s="68"/>
      <c r="N3498" s="68"/>
      <c r="O3498" s="68"/>
      <c r="P3498" s="68"/>
      <c r="Q3498" s="68">
        <f>SUM(Devis[[#This Row],[Poste 1]:[Poste 6]])</f>
        <v>0</v>
      </c>
      <c r="R3498" s="71"/>
      <c r="S3498" s="68">
        <f>_xlfn.CEILING.MATH(Devis[[#This Row],[Quantité Totale]],Devis[[#This Row],[Conditionnement]])</f>
        <v>0</v>
      </c>
      <c r="T3498" s="72"/>
      <c r="U3498" s="73"/>
      <c r="V3498" s="74">
        <f>Devis[[#This Row],[Prix de Revient]]*Devis[[#This Row],[Poste 1]]</f>
        <v>0</v>
      </c>
      <c r="W3498" s="74">
        <f>Devis[[#This Row],[Prix de Revient]]*Devis[[#This Row],[Poste 2]]</f>
        <v>0</v>
      </c>
      <c r="X3498" s="74">
        <f>Devis[[#This Row],[Prix de Revient]]*Devis[[#This Row],[Poste 3]]</f>
        <v>0</v>
      </c>
      <c r="Y3498" s="74">
        <f>Devis[[#This Row],[Poste 4]]*Devis[[#This Row],[Prix de Revient]]</f>
        <v>0</v>
      </c>
      <c r="Z3498" s="74">
        <f>Devis[[#This Row],[Poste 5]]*Devis[[#This Row],[Prix de Revient]]</f>
        <v>0</v>
      </c>
      <c r="AA3498" s="74">
        <f>Devis[[#This Row],[Prix de Revient]]*Devis[[#This Row],[Poste 6]]</f>
        <v>0</v>
      </c>
      <c r="AB3498" s="74">
        <f>Devis[[#This Row],[Quantité Totale]]*Devis[[#This Row],[Prix de Revient]]</f>
        <v>0</v>
      </c>
    </row>
    <row r="3499" spans="1:28" ht="14.25" customHeight="1" outlineLevel="1" x14ac:dyDescent="0.2">
      <c r="A3499" s="75" t="s">
        <v>2983</v>
      </c>
      <c r="B3499" s="76" t="s">
        <v>66</v>
      </c>
      <c r="C3499" s="75" t="s">
        <v>5267</v>
      </c>
      <c r="D3499" s="81" t="str">
        <f t="shared" si="64"/>
        <v>TransairTubeBleu (Air comprimé)</v>
      </c>
      <c r="E3499" s="104" t="s">
        <v>5274</v>
      </c>
      <c r="F3499" s="81">
        <v>7</v>
      </c>
      <c r="G3499" s="123" t="s">
        <v>5275</v>
      </c>
      <c r="H3499" s="71" t="s">
        <v>3293</v>
      </c>
      <c r="I3499" s="104" t="s">
        <v>5276</v>
      </c>
      <c r="J3499" s="70">
        <f>IFERROR(VLOOKUP(Devis[[#This Row],[Ref Air Flux]],#REF!,3,FALSE),0)</f>
        <v>0</v>
      </c>
      <c r="K3499" s="68"/>
      <c r="L3499" s="68"/>
      <c r="M3499" s="68"/>
      <c r="N3499" s="68"/>
      <c r="O3499" s="68"/>
      <c r="P3499" s="68"/>
      <c r="Q3499" s="68">
        <f>SUM(Devis[[#This Row],[Poste 1]:[Poste 6]])</f>
        <v>0</v>
      </c>
      <c r="R3499" s="71"/>
      <c r="S3499" s="68">
        <f>_xlfn.CEILING.MATH(Devis[[#This Row],[Quantité Totale]],Devis[[#This Row],[Conditionnement]])</f>
        <v>0</v>
      </c>
      <c r="T3499" s="72"/>
      <c r="U3499" s="73"/>
      <c r="V3499" s="74">
        <f>Devis[[#This Row],[Prix de Revient]]*Devis[[#This Row],[Poste 1]]</f>
        <v>0</v>
      </c>
      <c r="W3499" s="74">
        <f>Devis[[#This Row],[Prix de Revient]]*Devis[[#This Row],[Poste 2]]</f>
        <v>0</v>
      </c>
      <c r="X3499" s="74">
        <f>Devis[[#This Row],[Prix de Revient]]*Devis[[#This Row],[Poste 3]]</f>
        <v>0</v>
      </c>
      <c r="Y3499" s="74">
        <f>Devis[[#This Row],[Poste 4]]*Devis[[#This Row],[Prix de Revient]]</f>
        <v>0</v>
      </c>
      <c r="Z3499" s="74">
        <f>Devis[[#This Row],[Poste 5]]*Devis[[#This Row],[Prix de Revient]]</f>
        <v>0</v>
      </c>
      <c r="AA3499" s="74">
        <f>Devis[[#This Row],[Prix de Revient]]*Devis[[#This Row],[Poste 6]]</f>
        <v>0</v>
      </c>
      <c r="AB3499" s="74">
        <f>Devis[[#This Row],[Quantité Totale]]*Devis[[#This Row],[Prix de Revient]]</f>
        <v>0</v>
      </c>
    </row>
    <row r="3500" spans="1:28" ht="14.25" outlineLevel="1" x14ac:dyDescent="0.2">
      <c r="A3500" s="75" t="s">
        <v>2983</v>
      </c>
      <c r="B3500" s="76" t="s">
        <v>66</v>
      </c>
      <c r="C3500" s="75" t="s">
        <v>5267</v>
      </c>
      <c r="D3500" s="81" t="str">
        <f t="shared" si="64"/>
        <v>TransairTubeBleu (Air comprimé)</v>
      </c>
      <c r="E3500" s="104" t="s">
        <v>5277</v>
      </c>
      <c r="F3500" s="81">
        <v>8</v>
      </c>
      <c r="G3500" s="123" t="s">
        <v>3360</v>
      </c>
      <c r="H3500" s="71" t="s">
        <v>3293</v>
      </c>
      <c r="I3500" s="104" t="s">
        <v>3156</v>
      </c>
      <c r="J3500" s="70">
        <f>IFERROR(VLOOKUP(Devis[[#This Row],[Ref Air Flux]],#REF!,3,FALSE),0)</f>
        <v>0</v>
      </c>
      <c r="K3500" s="68"/>
      <c r="L3500" s="68"/>
      <c r="M3500" s="68"/>
      <c r="N3500" s="68"/>
      <c r="O3500" s="68"/>
      <c r="P3500" s="68"/>
      <c r="Q3500" s="68">
        <f>SUM(Devis[[#This Row],[Poste 1]:[Poste 6]])</f>
        <v>0</v>
      </c>
      <c r="R3500" s="71"/>
      <c r="S3500" s="68">
        <f>_xlfn.CEILING.MATH(Devis[[#This Row],[Quantité Totale]],Devis[[#This Row],[Conditionnement]])</f>
        <v>0</v>
      </c>
      <c r="T3500" s="72"/>
      <c r="U3500" s="73"/>
      <c r="V3500" s="74">
        <f>Devis[[#This Row],[Prix de Revient]]*Devis[[#This Row],[Poste 1]]</f>
        <v>0</v>
      </c>
      <c r="W3500" s="74">
        <f>Devis[[#This Row],[Prix de Revient]]*Devis[[#This Row],[Poste 2]]</f>
        <v>0</v>
      </c>
      <c r="X3500" s="74">
        <f>Devis[[#This Row],[Prix de Revient]]*Devis[[#This Row],[Poste 3]]</f>
        <v>0</v>
      </c>
      <c r="Y3500" s="74">
        <f>Devis[[#This Row],[Poste 4]]*Devis[[#This Row],[Prix de Revient]]</f>
        <v>0</v>
      </c>
      <c r="Z3500" s="74">
        <f>Devis[[#This Row],[Poste 5]]*Devis[[#This Row],[Prix de Revient]]</f>
        <v>0</v>
      </c>
      <c r="AA3500" s="74">
        <f>Devis[[#This Row],[Prix de Revient]]*Devis[[#This Row],[Poste 6]]</f>
        <v>0</v>
      </c>
      <c r="AB3500" s="74">
        <f>Devis[[#This Row],[Quantité Totale]]*Devis[[#This Row],[Prix de Revient]]</f>
        <v>0</v>
      </c>
    </row>
    <row r="3501" spans="1:28" ht="14.25" outlineLevel="1" x14ac:dyDescent="0.2">
      <c r="A3501" s="75" t="s">
        <v>2983</v>
      </c>
      <c r="B3501" s="76" t="s">
        <v>66</v>
      </c>
      <c r="C3501" s="75" t="s">
        <v>5267</v>
      </c>
      <c r="D3501" s="81" t="str">
        <f t="shared" si="64"/>
        <v>TransairTubeBleu (Air comprimé)</v>
      </c>
      <c r="E3501" s="104" t="s">
        <v>5278</v>
      </c>
      <c r="F3501" s="81">
        <v>9</v>
      </c>
      <c r="G3501" s="123" t="s">
        <v>3361</v>
      </c>
      <c r="H3501" s="71" t="s">
        <v>3293</v>
      </c>
      <c r="I3501" s="104" t="s">
        <v>3157</v>
      </c>
      <c r="J3501" s="70">
        <f>IFERROR(VLOOKUP(Devis[[#This Row],[Ref Air Flux]],#REF!,3,FALSE),0)</f>
        <v>0</v>
      </c>
      <c r="K3501" s="68"/>
      <c r="L3501" s="68"/>
      <c r="M3501" s="68"/>
      <c r="N3501" s="68"/>
      <c r="O3501" s="68"/>
      <c r="P3501" s="68"/>
      <c r="Q3501" s="68">
        <f>SUM(Devis[[#This Row],[Poste 1]:[Poste 6]])</f>
        <v>0</v>
      </c>
      <c r="R3501" s="71"/>
      <c r="S3501" s="68">
        <f>_xlfn.CEILING.MATH(Devis[[#This Row],[Quantité Totale]],Devis[[#This Row],[Conditionnement]])</f>
        <v>0</v>
      </c>
      <c r="T3501" s="72"/>
      <c r="U3501" s="73"/>
      <c r="V3501" s="74">
        <f>Devis[[#This Row],[Prix de Revient]]*Devis[[#This Row],[Poste 1]]</f>
        <v>0</v>
      </c>
      <c r="W3501" s="74">
        <f>Devis[[#This Row],[Prix de Revient]]*Devis[[#This Row],[Poste 2]]</f>
        <v>0</v>
      </c>
      <c r="X3501" s="74">
        <f>Devis[[#This Row],[Prix de Revient]]*Devis[[#This Row],[Poste 3]]</f>
        <v>0</v>
      </c>
      <c r="Y3501" s="74">
        <f>Devis[[#This Row],[Poste 4]]*Devis[[#This Row],[Prix de Revient]]</f>
        <v>0</v>
      </c>
      <c r="Z3501" s="74">
        <f>Devis[[#This Row],[Poste 5]]*Devis[[#This Row],[Prix de Revient]]</f>
        <v>0</v>
      </c>
      <c r="AA3501" s="74">
        <f>Devis[[#This Row],[Prix de Revient]]*Devis[[#This Row],[Poste 6]]</f>
        <v>0</v>
      </c>
      <c r="AB3501" s="74">
        <f>Devis[[#This Row],[Quantité Totale]]*Devis[[#This Row],[Prix de Revient]]</f>
        <v>0</v>
      </c>
    </row>
    <row r="3502" spans="1:28" ht="14.25" outlineLevel="1" x14ac:dyDescent="0.2">
      <c r="A3502" s="75" t="s">
        <v>2983</v>
      </c>
      <c r="B3502" s="76" t="s">
        <v>66</v>
      </c>
      <c r="C3502" s="75" t="s">
        <v>5267</v>
      </c>
      <c r="D3502" s="81" t="str">
        <f t="shared" si="64"/>
        <v>TransairTubeBleu (Air comprimé)</v>
      </c>
      <c r="E3502" s="104" t="s">
        <v>5279</v>
      </c>
      <c r="F3502" s="81">
        <v>10</v>
      </c>
      <c r="G3502" s="123" t="s">
        <v>3362</v>
      </c>
      <c r="H3502" s="71" t="s">
        <v>3293</v>
      </c>
      <c r="I3502" s="104" t="s">
        <v>3158</v>
      </c>
      <c r="J3502" s="70">
        <f>IFERROR(VLOOKUP(Devis[[#This Row],[Ref Air Flux]],#REF!,3,FALSE),0)</f>
        <v>0</v>
      </c>
      <c r="K3502" s="68"/>
      <c r="L3502" s="68"/>
      <c r="M3502" s="68"/>
      <c r="N3502" s="68"/>
      <c r="O3502" s="68"/>
      <c r="P3502" s="68"/>
      <c r="Q3502" s="68">
        <f>SUM(Devis[[#This Row],[Poste 1]:[Poste 6]])</f>
        <v>0</v>
      </c>
      <c r="R3502" s="71"/>
      <c r="S3502" s="68">
        <f>_xlfn.CEILING.MATH(Devis[[#This Row],[Quantité Totale]],Devis[[#This Row],[Conditionnement]])</f>
        <v>0</v>
      </c>
      <c r="T3502" s="72"/>
      <c r="U3502" s="73"/>
      <c r="V3502" s="74">
        <f>Devis[[#This Row],[Prix de Revient]]*Devis[[#This Row],[Poste 1]]</f>
        <v>0</v>
      </c>
      <c r="W3502" s="74">
        <f>Devis[[#This Row],[Prix de Revient]]*Devis[[#This Row],[Poste 2]]</f>
        <v>0</v>
      </c>
      <c r="X3502" s="74">
        <f>Devis[[#This Row],[Prix de Revient]]*Devis[[#This Row],[Poste 3]]</f>
        <v>0</v>
      </c>
      <c r="Y3502" s="74">
        <f>Devis[[#This Row],[Poste 4]]*Devis[[#This Row],[Prix de Revient]]</f>
        <v>0</v>
      </c>
      <c r="Z3502" s="74">
        <f>Devis[[#This Row],[Poste 5]]*Devis[[#This Row],[Prix de Revient]]</f>
        <v>0</v>
      </c>
      <c r="AA3502" s="74">
        <f>Devis[[#This Row],[Prix de Revient]]*Devis[[#This Row],[Poste 6]]</f>
        <v>0</v>
      </c>
      <c r="AB3502" s="74">
        <f>Devis[[#This Row],[Quantité Totale]]*Devis[[#This Row],[Prix de Revient]]</f>
        <v>0</v>
      </c>
    </row>
    <row r="3503" spans="1:28" ht="14.25" outlineLevel="1" x14ac:dyDescent="0.2">
      <c r="A3503" s="75" t="s">
        <v>2983</v>
      </c>
      <c r="B3503" s="76" t="s">
        <v>66</v>
      </c>
      <c r="C3503" s="75" t="s">
        <v>5267</v>
      </c>
      <c r="D3503" s="81" t="str">
        <f t="shared" si="64"/>
        <v>TransairTubeBleu (Air comprimé)</v>
      </c>
      <c r="E3503" s="104" t="s">
        <v>5280</v>
      </c>
      <c r="F3503" s="81">
        <v>11</v>
      </c>
      <c r="G3503" s="123" t="s">
        <v>3363</v>
      </c>
      <c r="H3503" s="71" t="s">
        <v>3293</v>
      </c>
      <c r="I3503" s="104" t="s">
        <v>3159</v>
      </c>
      <c r="J3503" s="70">
        <f>IFERROR(VLOOKUP(Devis[[#This Row],[Ref Air Flux]],#REF!,3,FALSE),0)</f>
        <v>0</v>
      </c>
      <c r="K3503" s="68"/>
      <c r="L3503" s="68"/>
      <c r="M3503" s="68"/>
      <c r="N3503" s="68"/>
      <c r="O3503" s="68"/>
      <c r="P3503" s="68"/>
      <c r="Q3503" s="68">
        <f>SUM(Devis[[#This Row],[Poste 1]:[Poste 6]])</f>
        <v>0</v>
      </c>
      <c r="R3503" s="71"/>
      <c r="S3503" s="68">
        <f>_xlfn.CEILING.MATH(Devis[[#This Row],[Quantité Totale]],Devis[[#This Row],[Conditionnement]])</f>
        <v>0</v>
      </c>
      <c r="T3503" s="72"/>
      <c r="U3503" s="73"/>
      <c r="V3503" s="74">
        <f>Devis[[#This Row],[Prix de Revient]]*Devis[[#This Row],[Poste 1]]</f>
        <v>0</v>
      </c>
      <c r="W3503" s="74">
        <f>Devis[[#This Row],[Prix de Revient]]*Devis[[#This Row],[Poste 2]]</f>
        <v>0</v>
      </c>
      <c r="X3503" s="74">
        <f>Devis[[#This Row],[Prix de Revient]]*Devis[[#This Row],[Poste 3]]</f>
        <v>0</v>
      </c>
      <c r="Y3503" s="74">
        <f>Devis[[#This Row],[Poste 4]]*Devis[[#This Row],[Prix de Revient]]</f>
        <v>0</v>
      </c>
      <c r="Z3503" s="74">
        <f>Devis[[#This Row],[Poste 5]]*Devis[[#This Row],[Prix de Revient]]</f>
        <v>0</v>
      </c>
      <c r="AA3503" s="74">
        <f>Devis[[#This Row],[Prix de Revient]]*Devis[[#This Row],[Poste 6]]</f>
        <v>0</v>
      </c>
      <c r="AB3503" s="74">
        <f>Devis[[#This Row],[Quantité Totale]]*Devis[[#This Row],[Prix de Revient]]</f>
        <v>0</v>
      </c>
    </row>
    <row r="3504" spans="1:28" ht="14.25" outlineLevel="1" x14ac:dyDescent="0.2">
      <c r="A3504" s="75" t="s">
        <v>2983</v>
      </c>
      <c r="B3504" s="76" t="s">
        <v>66</v>
      </c>
      <c r="C3504" s="75" t="s">
        <v>5267</v>
      </c>
      <c r="D3504" s="81" t="str">
        <f t="shared" si="64"/>
        <v>TransairTubeBleu (Air comprimé)</v>
      </c>
      <c r="E3504" s="104" t="s">
        <v>5281</v>
      </c>
      <c r="F3504" s="81">
        <v>12</v>
      </c>
      <c r="G3504" s="123" t="s">
        <v>3364</v>
      </c>
      <c r="H3504" s="71" t="s">
        <v>3293</v>
      </c>
      <c r="I3504" s="104" t="s">
        <v>3160</v>
      </c>
      <c r="J3504" s="70">
        <f>IFERROR(VLOOKUP(Devis[[#This Row],[Ref Air Flux]],#REF!,3,FALSE),0)</f>
        <v>0</v>
      </c>
      <c r="K3504" s="68"/>
      <c r="L3504" s="68"/>
      <c r="M3504" s="68"/>
      <c r="N3504" s="68"/>
      <c r="O3504" s="68"/>
      <c r="P3504" s="68"/>
      <c r="Q3504" s="68">
        <f>SUM(Devis[[#This Row],[Poste 1]:[Poste 6]])</f>
        <v>0</v>
      </c>
      <c r="R3504" s="71"/>
      <c r="S3504" s="68">
        <f>_xlfn.CEILING.MATH(Devis[[#This Row],[Quantité Totale]],Devis[[#This Row],[Conditionnement]])</f>
        <v>0</v>
      </c>
      <c r="T3504" s="72"/>
      <c r="U3504" s="73"/>
      <c r="V3504" s="74">
        <f>Devis[[#This Row],[Prix de Revient]]*Devis[[#This Row],[Poste 1]]</f>
        <v>0</v>
      </c>
      <c r="W3504" s="74">
        <f>Devis[[#This Row],[Prix de Revient]]*Devis[[#This Row],[Poste 2]]</f>
        <v>0</v>
      </c>
      <c r="X3504" s="74">
        <f>Devis[[#This Row],[Prix de Revient]]*Devis[[#This Row],[Poste 3]]</f>
        <v>0</v>
      </c>
      <c r="Y3504" s="74">
        <f>Devis[[#This Row],[Poste 4]]*Devis[[#This Row],[Prix de Revient]]</f>
        <v>0</v>
      </c>
      <c r="Z3504" s="74">
        <f>Devis[[#This Row],[Poste 5]]*Devis[[#This Row],[Prix de Revient]]</f>
        <v>0</v>
      </c>
      <c r="AA3504" s="74">
        <f>Devis[[#This Row],[Prix de Revient]]*Devis[[#This Row],[Poste 6]]</f>
        <v>0</v>
      </c>
      <c r="AB3504" s="74">
        <f>Devis[[#This Row],[Quantité Totale]]*Devis[[#This Row],[Prix de Revient]]</f>
        <v>0</v>
      </c>
    </row>
    <row r="3505" spans="1:28" ht="14.25" outlineLevel="1" x14ac:dyDescent="0.2">
      <c r="A3505" s="75" t="s">
        <v>2983</v>
      </c>
      <c r="B3505" s="76" t="s">
        <v>66</v>
      </c>
      <c r="C3505" s="75" t="s">
        <v>5267</v>
      </c>
      <c r="D3505" s="81" t="str">
        <f t="shared" si="64"/>
        <v>TransairTubeBleu (Air comprimé)</v>
      </c>
      <c r="E3505" s="104" t="s">
        <v>5282</v>
      </c>
      <c r="F3505" s="81">
        <v>13</v>
      </c>
      <c r="G3505" s="123" t="s">
        <v>3365</v>
      </c>
      <c r="H3505" s="71" t="s">
        <v>3293</v>
      </c>
      <c r="I3505" s="104" t="s">
        <v>3161</v>
      </c>
      <c r="J3505" s="70">
        <f>IFERROR(VLOOKUP(Devis[[#This Row],[Ref Air Flux]],#REF!,3,FALSE),0)</f>
        <v>0</v>
      </c>
      <c r="K3505" s="68"/>
      <c r="L3505" s="68"/>
      <c r="M3505" s="68"/>
      <c r="N3505" s="68"/>
      <c r="O3505" s="68"/>
      <c r="P3505" s="68"/>
      <c r="Q3505" s="68">
        <f>SUM(Devis[[#This Row],[Poste 1]:[Poste 6]])</f>
        <v>0</v>
      </c>
      <c r="R3505" s="71"/>
      <c r="S3505" s="68">
        <f>_xlfn.CEILING.MATH(Devis[[#This Row],[Quantité Totale]],Devis[[#This Row],[Conditionnement]])</f>
        <v>0</v>
      </c>
      <c r="T3505" s="72"/>
      <c r="U3505" s="73"/>
      <c r="V3505" s="74">
        <f>Devis[[#This Row],[Prix de Revient]]*Devis[[#This Row],[Poste 1]]</f>
        <v>0</v>
      </c>
      <c r="W3505" s="74">
        <f>Devis[[#This Row],[Prix de Revient]]*Devis[[#This Row],[Poste 2]]</f>
        <v>0</v>
      </c>
      <c r="X3505" s="74">
        <f>Devis[[#This Row],[Prix de Revient]]*Devis[[#This Row],[Poste 3]]</f>
        <v>0</v>
      </c>
      <c r="Y3505" s="74">
        <f>Devis[[#This Row],[Poste 4]]*Devis[[#This Row],[Prix de Revient]]</f>
        <v>0</v>
      </c>
      <c r="Z3505" s="74">
        <f>Devis[[#This Row],[Poste 5]]*Devis[[#This Row],[Prix de Revient]]</f>
        <v>0</v>
      </c>
      <c r="AA3505" s="74">
        <f>Devis[[#This Row],[Prix de Revient]]*Devis[[#This Row],[Poste 6]]</f>
        <v>0</v>
      </c>
      <c r="AB3505" s="74">
        <f>Devis[[#This Row],[Quantité Totale]]*Devis[[#This Row],[Prix de Revient]]</f>
        <v>0</v>
      </c>
    </row>
    <row r="3506" spans="1:28" ht="14.25" outlineLevel="1" x14ac:dyDescent="0.2">
      <c r="A3506" s="75" t="s">
        <v>2983</v>
      </c>
      <c r="B3506" s="76" t="s">
        <v>66</v>
      </c>
      <c r="C3506" s="75" t="s">
        <v>5283</v>
      </c>
      <c r="D3506" s="81" t="str">
        <f t="shared" si="64"/>
        <v>TransairTubeGris (Vide)</v>
      </c>
      <c r="E3506" s="104" t="s">
        <v>5270</v>
      </c>
      <c r="F3506" s="81">
        <v>14</v>
      </c>
      <c r="G3506" s="123" t="s">
        <v>3366</v>
      </c>
      <c r="H3506" s="71" t="s">
        <v>3293</v>
      </c>
      <c r="I3506" s="104" t="s">
        <v>3162</v>
      </c>
      <c r="J3506" s="70">
        <f>IFERROR(VLOOKUP(Devis[[#This Row],[Ref Air Flux]],#REF!,3,FALSE),0)</f>
        <v>0</v>
      </c>
      <c r="K3506" s="68"/>
      <c r="L3506" s="68"/>
      <c r="M3506" s="68"/>
      <c r="N3506" s="68"/>
      <c r="O3506" s="68"/>
      <c r="P3506" s="68"/>
      <c r="Q3506" s="68">
        <f>SUM(Devis[[#This Row],[Poste 1]:[Poste 6]])</f>
        <v>0</v>
      </c>
      <c r="R3506" s="71"/>
      <c r="S3506" s="68">
        <f>_xlfn.CEILING.MATH(Devis[[#This Row],[Quantité Totale]],Devis[[#This Row],[Conditionnement]])</f>
        <v>0</v>
      </c>
      <c r="T3506" s="72"/>
      <c r="U3506" s="73"/>
      <c r="V3506" s="74">
        <f>Devis[[#This Row],[Prix de Revient]]*Devis[[#This Row],[Poste 1]]</f>
        <v>0</v>
      </c>
      <c r="W3506" s="74">
        <f>Devis[[#This Row],[Prix de Revient]]*Devis[[#This Row],[Poste 2]]</f>
        <v>0</v>
      </c>
      <c r="X3506" s="74">
        <f>Devis[[#This Row],[Prix de Revient]]*Devis[[#This Row],[Poste 3]]</f>
        <v>0</v>
      </c>
      <c r="Y3506" s="74">
        <f>Devis[[#This Row],[Poste 4]]*Devis[[#This Row],[Prix de Revient]]</f>
        <v>0</v>
      </c>
      <c r="Z3506" s="74">
        <f>Devis[[#This Row],[Poste 5]]*Devis[[#This Row],[Prix de Revient]]</f>
        <v>0</v>
      </c>
      <c r="AA3506" s="74">
        <f>Devis[[#This Row],[Prix de Revient]]*Devis[[#This Row],[Poste 6]]</f>
        <v>0</v>
      </c>
      <c r="AB3506" s="74">
        <f>Devis[[#This Row],[Quantité Totale]]*Devis[[#This Row],[Prix de Revient]]</f>
        <v>0</v>
      </c>
    </row>
    <row r="3507" spans="1:28" ht="15" customHeight="1" outlineLevel="1" x14ac:dyDescent="0.2">
      <c r="A3507" s="75" t="s">
        <v>2983</v>
      </c>
      <c r="B3507" s="76" t="s">
        <v>66</v>
      </c>
      <c r="C3507" s="75" t="s">
        <v>5283</v>
      </c>
      <c r="D3507" s="81" t="str">
        <f t="shared" si="64"/>
        <v>TransairTubeGris (Vide)</v>
      </c>
      <c r="E3507" s="104" t="s">
        <v>5271</v>
      </c>
      <c r="F3507" s="81">
        <v>15</v>
      </c>
      <c r="G3507" s="123" t="s">
        <v>3367</v>
      </c>
      <c r="H3507" s="71" t="s">
        <v>3293</v>
      </c>
      <c r="I3507" s="104" t="s">
        <v>3163</v>
      </c>
      <c r="J3507" s="70">
        <f>IFERROR(VLOOKUP(Devis[[#This Row],[Ref Air Flux]],#REF!,3,FALSE),0)</f>
        <v>0</v>
      </c>
      <c r="K3507" s="68"/>
      <c r="L3507" s="68"/>
      <c r="M3507" s="68"/>
      <c r="N3507" s="68"/>
      <c r="O3507" s="68"/>
      <c r="P3507" s="68"/>
      <c r="Q3507" s="68">
        <f>SUM(Devis[[#This Row],[Poste 1]:[Poste 6]])</f>
        <v>0</v>
      </c>
      <c r="R3507" s="71"/>
      <c r="S3507" s="68">
        <f>_xlfn.CEILING.MATH(Devis[[#This Row],[Quantité Totale]],Devis[[#This Row],[Conditionnement]])</f>
        <v>0</v>
      </c>
      <c r="T3507" s="72"/>
      <c r="U3507" s="73"/>
      <c r="V3507" s="74">
        <f>Devis[[#This Row],[Prix de Revient]]*Devis[[#This Row],[Poste 1]]</f>
        <v>0</v>
      </c>
      <c r="W3507" s="74">
        <f>Devis[[#This Row],[Prix de Revient]]*Devis[[#This Row],[Poste 2]]</f>
        <v>0</v>
      </c>
      <c r="X3507" s="74">
        <f>Devis[[#This Row],[Prix de Revient]]*Devis[[#This Row],[Poste 3]]</f>
        <v>0</v>
      </c>
      <c r="Y3507" s="74">
        <f>Devis[[#This Row],[Poste 4]]*Devis[[#This Row],[Prix de Revient]]</f>
        <v>0</v>
      </c>
      <c r="Z3507" s="74">
        <f>Devis[[#This Row],[Poste 5]]*Devis[[#This Row],[Prix de Revient]]</f>
        <v>0</v>
      </c>
      <c r="AA3507" s="74">
        <f>Devis[[#This Row],[Prix de Revient]]*Devis[[#This Row],[Poste 6]]</f>
        <v>0</v>
      </c>
      <c r="AB3507" s="74">
        <f>Devis[[#This Row],[Quantité Totale]]*Devis[[#This Row],[Prix de Revient]]</f>
        <v>0</v>
      </c>
    </row>
    <row r="3508" spans="1:28" ht="14.25" outlineLevel="1" x14ac:dyDescent="0.2">
      <c r="A3508" s="75" t="s">
        <v>2983</v>
      </c>
      <c r="B3508" s="76" t="s">
        <v>66</v>
      </c>
      <c r="C3508" s="75" t="s">
        <v>5283</v>
      </c>
      <c r="D3508" s="81" t="str">
        <f t="shared" si="64"/>
        <v>TransairTubeGris (Vide)</v>
      </c>
      <c r="E3508" s="104" t="s">
        <v>5273</v>
      </c>
      <c r="F3508" s="81">
        <v>16</v>
      </c>
      <c r="G3508" s="123" t="s">
        <v>3368</v>
      </c>
      <c r="H3508" s="71" t="s">
        <v>3293</v>
      </c>
      <c r="I3508" s="104" t="s">
        <v>3164</v>
      </c>
      <c r="J3508" s="70">
        <f>IFERROR(VLOOKUP(Devis[[#This Row],[Ref Air Flux]],#REF!,3,FALSE),0)</f>
        <v>0</v>
      </c>
      <c r="K3508" s="68"/>
      <c r="L3508" s="68"/>
      <c r="M3508" s="68"/>
      <c r="N3508" s="68"/>
      <c r="O3508" s="68"/>
      <c r="P3508" s="68"/>
      <c r="Q3508" s="68">
        <f>SUM(Devis[[#This Row],[Poste 1]:[Poste 6]])</f>
        <v>0</v>
      </c>
      <c r="R3508" s="71"/>
      <c r="S3508" s="68">
        <f>_xlfn.CEILING.MATH(Devis[[#This Row],[Quantité Totale]],Devis[[#This Row],[Conditionnement]])</f>
        <v>0</v>
      </c>
      <c r="T3508" s="72"/>
      <c r="U3508" s="73"/>
      <c r="V3508" s="74">
        <f>Devis[[#This Row],[Prix de Revient]]*Devis[[#This Row],[Poste 1]]</f>
        <v>0</v>
      </c>
      <c r="W3508" s="74">
        <f>Devis[[#This Row],[Prix de Revient]]*Devis[[#This Row],[Poste 2]]</f>
        <v>0</v>
      </c>
      <c r="X3508" s="74">
        <f>Devis[[#This Row],[Prix de Revient]]*Devis[[#This Row],[Poste 3]]</f>
        <v>0</v>
      </c>
      <c r="Y3508" s="74">
        <f>Devis[[#This Row],[Poste 4]]*Devis[[#This Row],[Prix de Revient]]</f>
        <v>0</v>
      </c>
      <c r="Z3508" s="74">
        <f>Devis[[#This Row],[Poste 5]]*Devis[[#This Row],[Prix de Revient]]</f>
        <v>0</v>
      </c>
      <c r="AA3508" s="74">
        <f>Devis[[#This Row],[Prix de Revient]]*Devis[[#This Row],[Poste 6]]</f>
        <v>0</v>
      </c>
      <c r="AB3508" s="74">
        <f>Devis[[#This Row],[Quantité Totale]]*Devis[[#This Row],[Prix de Revient]]</f>
        <v>0</v>
      </c>
    </row>
    <row r="3509" spans="1:28" ht="14.25" customHeight="1" outlineLevel="1" x14ac:dyDescent="0.2">
      <c r="A3509" s="75" t="s">
        <v>2983</v>
      </c>
      <c r="B3509" s="76" t="s">
        <v>66</v>
      </c>
      <c r="C3509" s="75" t="s">
        <v>5283</v>
      </c>
      <c r="D3509" s="81" t="str">
        <f t="shared" si="64"/>
        <v>TransairTubeGris (Vide)</v>
      </c>
      <c r="E3509" s="104" t="s">
        <v>5274</v>
      </c>
      <c r="F3509" s="81">
        <v>17</v>
      </c>
      <c r="G3509" s="75" t="s">
        <v>5284</v>
      </c>
      <c r="H3509" s="71" t="s">
        <v>3293</v>
      </c>
      <c r="I3509" s="75" t="s">
        <v>5284</v>
      </c>
      <c r="J3509" s="70">
        <f>IFERROR(VLOOKUP(Devis[[#This Row],[Ref Air Flux]],#REF!,3,FALSE),0)</f>
        <v>0</v>
      </c>
      <c r="K3509" s="68"/>
      <c r="L3509" s="68"/>
      <c r="M3509" s="68"/>
      <c r="N3509" s="68"/>
      <c r="O3509" s="68"/>
      <c r="P3509" s="68"/>
      <c r="Q3509" s="68">
        <f>SUM(Devis[[#This Row],[Poste 1]:[Poste 6]])</f>
        <v>0</v>
      </c>
      <c r="R3509" s="71"/>
      <c r="S3509" s="68">
        <f>_xlfn.CEILING.MATH(Devis[[#This Row],[Quantité Totale]],Devis[[#This Row],[Conditionnement]])</f>
        <v>0</v>
      </c>
      <c r="T3509" s="72"/>
      <c r="U3509" s="73"/>
      <c r="V3509" s="74">
        <f>Devis[[#This Row],[Prix de Revient]]*Devis[[#This Row],[Poste 1]]</f>
        <v>0</v>
      </c>
      <c r="W3509" s="74">
        <f>Devis[[#This Row],[Prix de Revient]]*Devis[[#This Row],[Poste 2]]</f>
        <v>0</v>
      </c>
      <c r="X3509" s="74">
        <f>Devis[[#This Row],[Prix de Revient]]*Devis[[#This Row],[Poste 3]]</f>
        <v>0</v>
      </c>
      <c r="Y3509" s="74">
        <f>Devis[[#This Row],[Poste 4]]*Devis[[#This Row],[Prix de Revient]]</f>
        <v>0</v>
      </c>
      <c r="Z3509" s="74">
        <f>Devis[[#This Row],[Poste 5]]*Devis[[#This Row],[Prix de Revient]]</f>
        <v>0</v>
      </c>
      <c r="AA3509" s="74">
        <f>Devis[[#This Row],[Prix de Revient]]*Devis[[#This Row],[Poste 6]]</f>
        <v>0</v>
      </c>
      <c r="AB3509" s="74">
        <f>Devis[[#This Row],[Quantité Totale]]*Devis[[#This Row],[Prix de Revient]]</f>
        <v>0</v>
      </c>
    </row>
    <row r="3510" spans="1:28" ht="14.25" outlineLevel="1" x14ac:dyDescent="0.2">
      <c r="A3510" s="75" t="s">
        <v>2983</v>
      </c>
      <c r="B3510" s="76" t="s">
        <v>66</v>
      </c>
      <c r="C3510" s="75" t="s">
        <v>5283</v>
      </c>
      <c r="D3510" s="81" t="str">
        <f t="shared" si="64"/>
        <v>TransairTubeGris (Vide)</v>
      </c>
      <c r="E3510" s="104" t="s">
        <v>5278</v>
      </c>
      <c r="F3510" s="81">
        <v>18</v>
      </c>
      <c r="G3510" s="123" t="s">
        <v>3369</v>
      </c>
      <c r="H3510" s="71" t="s">
        <v>3293</v>
      </c>
      <c r="I3510" s="104" t="s">
        <v>3165</v>
      </c>
      <c r="J3510" s="70">
        <f>IFERROR(VLOOKUP(Devis[[#This Row],[Ref Air Flux]],#REF!,3,FALSE),0)</f>
        <v>0</v>
      </c>
      <c r="K3510" s="68"/>
      <c r="L3510" s="68"/>
      <c r="M3510" s="68"/>
      <c r="N3510" s="68"/>
      <c r="O3510" s="68"/>
      <c r="P3510" s="68"/>
      <c r="Q3510" s="68">
        <f>SUM(Devis[[#This Row],[Poste 1]:[Poste 6]])</f>
        <v>0</v>
      </c>
      <c r="R3510" s="71"/>
      <c r="S3510" s="68">
        <f>_xlfn.CEILING.MATH(Devis[[#This Row],[Quantité Totale]],Devis[[#This Row],[Conditionnement]])</f>
        <v>0</v>
      </c>
      <c r="T3510" s="72"/>
      <c r="U3510" s="73"/>
      <c r="V3510" s="74">
        <f>Devis[[#This Row],[Prix de Revient]]*Devis[[#This Row],[Poste 1]]</f>
        <v>0</v>
      </c>
      <c r="W3510" s="74">
        <f>Devis[[#This Row],[Prix de Revient]]*Devis[[#This Row],[Poste 2]]</f>
        <v>0</v>
      </c>
      <c r="X3510" s="74">
        <f>Devis[[#This Row],[Prix de Revient]]*Devis[[#This Row],[Poste 3]]</f>
        <v>0</v>
      </c>
      <c r="Y3510" s="74">
        <f>Devis[[#This Row],[Poste 4]]*Devis[[#This Row],[Prix de Revient]]</f>
        <v>0</v>
      </c>
      <c r="Z3510" s="74">
        <f>Devis[[#This Row],[Poste 5]]*Devis[[#This Row],[Prix de Revient]]</f>
        <v>0</v>
      </c>
      <c r="AA3510" s="74">
        <f>Devis[[#This Row],[Prix de Revient]]*Devis[[#This Row],[Poste 6]]</f>
        <v>0</v>
      </c>
      <c r="AB3510" s="74">
        <f>Devis[[#This Row],[Quantité Totale]]*Devis[[#This Row],[Prix de Revient]]</f>
        <v>0</v>
      </c>
    </row>
    <row r="3511" spans="1:28" ht="14.25" outlineLevel="1" x14ac:dyDescent="0.2">
      <c r="A3511" s="75" t="s">
        <v>2983</v>
      </c>
      <c r="B3511" s="76" t="s">
        <v>66</v>
      </c>
      <c r="C3511" s="75" t="s">
        <v>5285</v>
      </c>
      <c r="D3511" s="81" t="str">
        <f t="shared" si="64"/>
        <v>TransairTubeVert (Gazs neutres)</v>
      </c>
      <c r="E3511" s="104" t="s">
        <v>5269</v>
      </c>
      <c r="F3511" s="81">
        <v>19</v>
      </c>
      <c r="G3511" s="123" t="s">
        <v>3370</v>
      </c>
      <c r="H3511" s="71" t="s">
        <v>3293</v>
      </c>
      <c r="I3511" s="104" t="s">
        <v>3166</v>
      </c>
      <c r="J3511" s="70">
        <f>IFERROR(VLOOKUP(Devis[[#This Row],[Ref Air Flux]],#REF!,3,FALSE),0)</f>
        <v>0</v>
      </c>
      <c r="K3511" s="68"/>
      <c r="L3511" s="68"/>
      <c r="M3511" s="68"/>
      <c r="N3511" s="68"/>
      <c r="O3511" s="68"/>
      <c r="P3511" s="68"/>
      <c r="Q3511" s="68">
        <f>SUM(Devis[[#This Row],[Poste 1]:[Poste 6]])</f>
        <v>0</v>
      </c>
      <c r="R3511" s="71"/>
      <c r="S3511" s="68">
        <f>_xlfn.CEILING.MATH(Devis[[#This Row],[Quantité Totale]],Devis[[#This Row],[Conditionnement]])</f>
        <v>0</v>
      </c>
      <c r="T3511" s="72"/>
      <c r="U3511" s="73"/>
      <c r="V3511" s="74">
        <f>Devis[[#This Row],[Prix de Revient]]*Devis[[#This Row],[Poste 1]]</f>
        <v>0</v>
      </c>
      <c r="W3511" s="74">
        <f>Devis[[#This Row],[Prix de Revient]]*Devis[[#This Row],[Poste 2]]</f>
        <v>0</v>
      </c>
      <c r="X3511" s="74">
        <f>Devis[[#This Row],[Prix de Revient]]*Devis[[#This Row],[Poste 3]]</f>
        <v>0</v>
      </c>
      <c r="Y3511" s="74">
        <f>Devis[[#This Row],[Poste 4]]*Devis[[#This Row],[Prix de Revient]]</f>
        <v>0</v>
      </c>
      <c r="Z3511" s="74">
        <f>Devis[[#This Row],[Poste 5]]*Devis[[#This Row],[Prix de Revient]]</f>
        <v>0</v>
      </c>
      <c r="AA3511" s="74">
        <f>Devis[[#This Row],[Prix de Revient]]*Devis[[#This Row],[Poste 6]]</f>
        <v>0</v>
      </c>
      <c r="AB3511" s="74">
        <f>Devis[[#This Row],[Quantité Totale]]*Devis[[#This Row],[Prix de Revient]]</f>
        <v>0</v>
      </c>
    </row>
    <row r="3512" spans="1:28" ht="14.25" outlineLevel="1" x14ac:dyDescent="0.2">
      <c r="A3512" s="75" t="s">
        <v>2983</v>
      </c>
      <c r="B3512" s="76" t="s">
        <v>66</v>
      </c>
      <c r="C3512" s="75" t="s">
        <v>5285</v>
      </c>
      <c r="D3512" s="81" t="str">
        <f t="shared" si="64"/>
        <v>TransairTubeVert (Gazs neutres)</v>
      </c>
      <c r="E3512" s="104" t="s">
        <v>5286</v>
      </c>
      <c r="F3512" s="81">
        <v>20</v>
      </c>
      <c r="G3512" s="123" t="s">
        <v>3371</v>
      </c>
      <c r="H3512" s="71" t="s">
        <v>3293</v>
      </c>
      <c r="I3512" s="104" t="s">
        <v>3167</v>
      </c>
      <c r="J3512" s="70">
        <f>IFERROR(VLOOKUP(Devis[[#This Row],[Ref Air Flux]],#REF!,3,FALSE),0)</f>
        <v>0</v>
      </c>
      <c r="K3512" s="68"/>
      <c r="L3512" s="68"/>
      <c r="M3512" s="68"/>
      <c r="N3512" s="68"/>
      <c r="O3512" s="68"/>
      <c r="P3512" s="68"/>
      <c r="Q3512" s="68">
        <f>SUM(Devis[[#This Row],[Poste 1]:[Poste 6]])</f>
        <v>0</v>
      </c>
      <c r="R3512" s="71"/>
      <c r="S3512" s="68">
        <f>_xlfn.CEILING.MATH(Devis[[#This Row],[Quantité Totale]],Devis[[#This Row],[Conditionnement]])</f>
        <v>0</v>
      </c>
      <c r="T3512" s="72"/>
      <c r="U3512" s="73"/>
      <c r="V3512" s="74">
        <f>Devis[[#This Row],[Prix de Revient]]*Devis[[#This Row],[Poste 1]]</f>
        <v>0</v>
      </c>
      <c r="W3512" s="74">
        <f>Devis[[#This Row],[Prix de Revient]]*Devis[[#This Row],[Poste 2]]</f>
        <v>0</v>
      </c>
      <c r="X3512" s="74">
        <f>Devis[[#This Row],[Prix de Revient]]*Devis[[#This Row],[Poste 3]]</f>
        <v>0</v>
      </c>
      <c r="Y3512" s="74">
        <f>Devis[[#This Row],[Poste 4]]*Devis[[#This Row],[Prix de Revient]]</f>
        <v>0</v>
      </c>
      <c r="Z3512" s="74">
        <f>Devis[[#This Row],[Poste 5]]*Devis[[#This Row],[Prix de Revient]]</f>
        <v>0</v>
      </c>
      <c r="AA3512" s="74">
        <f>Devis[[#This Row],[Prix de Revient]]*Devis[[#This Row],[Poste 6]]</f>
        <v>0</v>
      </c>
      <c r="AB3512" s="74">
        <f>Devis[[#This Row],[Quantité Totale]]*Devis[[#This Row],[Prix de Revient]]</f>
        <v>0</v>
      </c>
    </row>
    <row r="3513" spans="1:28" ht="14.25" customHeight="1" outlineLevel="1" x14ac:dyDescent="0.2">
      <c r="A3513" s="75" t="s">
        <v>2983</v>
      </c>
      <c r="B3513" s="76" t="s">
        <v>66</v>
      </c>
      <c r="C3513" s="75" t="s">
        <v>5285</v>
      </c>
      <c r="D3513" s="81" t="str">
        <f t="shared" si="64"/>
        <v>TransairTubeVert (Gazs neutres)</v>
      </c>
      <c r="E3513" s="104" t="s">
        <v>5287</v>
      </c>
      <c r="F3513" s="81">
        <v>21</v>
      </c>
      <c r="G3513" s="73" t="s">
        <v>5288</v>
      </c>
      <c r="H3513" s="71" t="s">
        <v>3293</v>
      </c>
      <c r="I3513" s="104" t="s">
        <v>5289</v>
      </c>
      <c r="J3513" s="70">
        <f>IFERROR(VLOOKUP(Devis[[#This Row],[Ref Air Flux]],#REF!,3,FALSE),0)</f>
        <v>0</v>
      </c>
      <c r="K3513" s="68"/>
      <c r="L3513" s="68"/>
      <c r="M3513" s="68"/>
      <c r="N3513" s="68"/>
      <c r="O3513" s="68"/>
      <c r="P3513" s="68"/>
      <c r="Q3513" s="68">
        <f>SUM(Devis[[#This Row],[Poste 1]:[Poste 6]])</f>
        <v>0</v>
      </c>
      <c r="R3513" s="71"/>
      <c r="S3513" s="68">
        <f>_xlfn.CEILING.MATH(Devis[[#This Row],[Quantité Totale]],Devis[[#This Row],[Conditionnement]])</f>
        <v>0</v>
      </c>
      <c r="T3513" s="72"/>
      <c r="U3513" s="73"/>
      <c r="V3513" s="74">
        <f>Devis[[#This Row],[Prix de Revient]]*Devis[[#This Row],[Poste 1]]</f>
        <v>0</v>
      </c>
      <c r="W3513" s="74">
        <f>Devis[[#This Row],[Prix de Revient]]*Devis[[#This Row],[Poste 2]]</f>
        <v>0</v>
      </c>
      <c r="X3513" s="74">
        <f>Devis[[#This Row],[Prix de Revient]]*Devis[[#This Row],[Poste 3]]</f>
        <v>0</v>
      </c>
      <c r="Y3513" s="74">
        <f>Devis[[#This Row],[Poste 4]]*Devis[[#This Row],[Prix de Revient]]</f>
        <v>0</v>
      </c>
      <c r="Z3513" s="74">
        <f>Devis[[#This Row],[Poste 5]]*Devis[[#This Row],[Prix de Revient]]</f>
        <v>0</v>
      </c>
      <c r="AA3513" s="74">
        <f>Devis[[#This Row],[Prix de Revient]]*Devis[[#This Row],[Poste 6]]</f>
        <v>0</v>
      </c>
      <c r="AB3513" s="74">
        <f>Devis[[#This Row],[Quantité Totale]]*Devis[[#This Row],[Prix de Revient]]</f>
        <v>0</v>
      </c>
    </row>
    <row r="3514" spans="1:28" ht="14.25" customHeight="1" x14ac:dyDescent="0.25">
      <c r="A3514" s="65" t="s">
        <v>2983</v>
      </c>
      <c r="B3514" s="65" t="s">
        <v>3168</v>
      </c>
      <c r="C3514" s="76"/>
      <c r="D3514" s="81" t="str">
        <f t="shared" si="64"/>
        <v>TransairTuyaux flexibles</v>
      </c>
      <c r="E3514" s="76"/>
      <c r="F3514" s="81">
        <v>0</v>
      </c>
      <c r="G3514" s="71"/>
      <c r="H3514" s="71"/>
      <c r="I3514" s="71"/>
      <c r="J3514" s="70">
        <f>IFERROR(VLOOKUP(Devis[[#This Row],[Ref Air Flux]],#REF!,3,FALSE),0)</f>
        <v>0</v>
      </c>
      <c r="K3514" s="68"/>
      <c r="L3514" s="68"/>
      <c r="M3514" s="68"/>
      <c r="N3514" s="68"/>
      <c r="O3514" s="68"/>
      <c r="P3514" s="68"/>
      <c r="Q3514" s="68">
        <f>SUM(Devis[[#This Row],[Poste 1]:[Poste 6]])</f>
        <v>0</v>
      </c>
      <c r="R3514" s="71"/>
      <c r="S3514" s="68">
        <f>_xlfn.CEILING.MATH(Devis[[#This Row],[Quantité Totale]],Devis[[#This Row],[Conditionnement]])</f>
        <v>0</v>
      </c>
      <c r="T3514" s="72"/>
      <c r="U3514" s="73"/>
      <c r="V3514" s="74">
        <f>Devis[[#This Row],[Prix de Revient]]*Devis[[#This Row],[Poste 1]]</f>
        <v>0</v>
      </c>
      <c r="W3514" s="74">
        <f>Devis[[#This Row],[Prix de Revient]]*Devis[[#This Row],[Poste 2]]</f>
        <v>0</v>
      </c>
      <c r="X3514" s="74">
        <f>Devis[[#This Row],[Prix de Revient]]*Devis[[#This Row],[Poste 3]]</f>
        <v>0</v>
      </c>
      <c r="Y3514" s="74">
        <f>Devis[[#This Row],[Poste 4]]*Devis[[#This Row],[Prix de Revient]]</f>
        <v>0</v>
      </c>
      <c r="Z3514" s="74">
        <f>Devis[[#This Row],[Poste 5]]*Devis[[#This Row],[Prix de Revient]]</f>
        <v>0</v>
      </c>
      <c r="AA3514" s="74">
        <f>Devis[[#This Row],[Prix de Revient]]*Devis[[#This Row],[Poste 6]]</f>
        <v>0</v>
      </c>
      <c r="AB3514" s="74">
        <f>Devis[[#This Row],[Quantité Totale]]*Devis[[#This Row],[Prix de Revient]]</f>
        <v>0</v>
      </c>
    </row>
    <row r="3515" spans="1:28" ht="15" customHeight="1" outlineLevel="1" x14ac:dyDescent="0.2">
      <c r="A3515" s="75" t="s">
        <v>2983</v>
      </c>
      <c r="B3515" s="76" t="s">
        <v>3168</v>
      </c>
      <c r="C3515" s="75"/>
      <c r="D3515" s="81" t="str">
        <f t="shared" si="64"/>
        <v>TransairTuyaux flexibles</v>
      </c>
      <c r="E3515" s="104" t="s">
        <v>5290</v>
      </c>
      <c r="F3515" s="81">
        <v>1</v>
      </c>
      <c r="G3515" s="125" t="s">
        <v>3372</v>
      </c>
      <c r="H3515" s="71" t="s">
        <v>3293</v>
      </c>
      <c r="I3515" s="104" t="s">
        <v>3169</v>
      </c>
      <c r="J3515" s="70">
        <f>IFERROR(VLOOKUP(Devis[[#This Row],[Ref Air Flux]],#REF!,3,FALSE),0)</f>
        <v>0</v>
      </c>
      <c r="K3515" s="68"/>
      <c r="L3515" s="68"/>
      <c r="M3515" s="68"/>
      <c r="N3515" s="68"/>
      <c r="O3515" s="68"/>
      <c r="P3515" s="68"/>
      <c r="Q3515" s="68">
        <f>SUM(Devis[[#This Row],[Poste 1]:[Poste 6]])</f>
        <v>0</v>
      </c>
      <c r="R3515" s="71"/>
      <c r="S3515" s="68">
        <f>_xlfn.CEILING.MATH(Devis[[#This Row],[Quantité Totale]],Devis[[#This Row],[Conditionnement]])</f>
        <v>0</v>
      </c>
      <c r="T3515" s="72"/>
      <c r="U3515" s="73"/>
      <c r="V3515" s="74">
        <f>Devis[[#This Row],[Prix de Revient]]*Devis[[#This Row],[Poste 1]]</f>
        <v>0</v>
      </c>
      <c r="W3515" s="74">
        <f>Devis[[#This Row],[Prix de Revient]]*Devis[[#This Row],[Poste 2]]</f>
        <v>0</v>
      </c>
      <c r="X3515" s="74">
        <f>Devis[[#This Row],[Prix de Revient]]*Devis[[#This Row],[Poste 3]]</f>
        <v>0</v>
      </c>
      <c r="Y3515" s="74">
        <f>Devis[[#This Row],[Poste 4]]*Devis[[#This Row],[Prix de Revient]]</f>
        <v>0</v>
      </c>
      <c r="Z3515" s="74">
        <f>Devis[[#This Row],[Poste 5]]*Devis[[#This Row],[Prix de Revient]]</f>
        <v>0</v>
      </c>
      <c r="AA3515" s="74">
        <f>Devis[[#This Row],[Prix de Revient]]*Devis[[#This Row],[Poste 6]]</f>
        <v>0</v>
      </c>
      <c r="AB3515" s="74">
        <f>Devis[[#This Row],[Quantité Totale]]*Devis[[#This Row],[Prix de Revient]]</f>
        <v>0</v>
      </c>
    </row>
    <row r="3516" spans="1:28" ht="14.25" customHeight="1" outlineLevel="1" x14ac:dyDescent="0.2">
      <c r="A3516" s="75" t="s">
        <v>2983</v>
      </c>
      <c r="B3516" s="76" t="s">
        <v>3168</v>
      </c>
      <c r="C3516" s="75"/>
      <c r="D3516" s="81" t="str">
        <f t="shared" si="64"/>
        <v>TransairTuyaux flexibles</v>
      </c>
      <c r="E3516" s="104" t="s">
        <v>5291</v>
      </c>
      <c r="F3516" s="81">
        <v>2</v>
      </c>
      <c r="G3516" s="125" t="s">
        <v>3373</v>
      </c>
      <c r="H3516" s="71" t="s">
        <v>3293</v>
      </c>
      <c r="I3516" s="104" t="s">
        <v>3170</v>
      </c>
      <c r="J3516" s="70">
        <f>IFERROR(VLOOKUP(Devis[[#This Row],[Ref Air Flux]],#REF!,3,FALSE),0)</f>
        <v>0</v>
      </c>
      <c r="K3516" s="68"/>
      <c r="L3516" s="68"/>
      <c r="M3516" s="68"/>
      <c r="N3516" s="68"/>
      <c r="O3516" s="68"/>
      <c r="P3516" s="68"/>
      <c r="Q3516" s="68">
        <f>SUM(Devis[[#This Row],[Poste 1]:[Poste 6]])</f>
        <v>0</v>
      </c>
      <c r="R3516" s="71"/>
      <c r="S3516" s="68">
        <f>_xlfn.CEILING.MATH(Devis[[#This Row],[Quantité Totale]],Devis[[#This Row],[Conditionnement]])</f>
        <v>0</v>
      </c>
      <c r="T3516" s="72"/>
      <c r="U3516" s="73"/>
      <c r="V3516" s="74">
        <f>Devis[[#This Row],[Prix de Revient]]*Devis[[#This Row],[Poste 1]]</f>
        <v>0</v>
      </c>
      <c r="W3516" s="74">
        <f>Devis[[#This Row],[Prix de Revient]]*Devis[[#This Row],[Poste 2]]</f>
        <v>0</v>
      </c>
      <c r="X3516" s="74">
        <f>Devis[[#This Row],[Prix de Revient]]*Devis[[#This Row],[Poste 3]]</f>
        <v>0</v>
      </c>
      <c r="Y3516" s="74">
        <f>Devis[[#This Row],[Poste 4]]*Devis[[#This Row],[Prix de Revient]]</f>
        <v>0</v>
      </c>
      <c r="Z3516" s="74">
        <f>Devis[[#This Row],[Poste 5]]*Devis[[#This Row],[Prix de Revient]]</f>
        <v>0</v>
      </c>
      <c r="AA3516" s="74">
        <f>Devis[[#This Row],[Prix de Revient]]*Devis[[#This Row],[Poste 6]]</f>
        <v>0</v>
      </c>
      <c r="AB3516" s="74">
        <f>Devis[[#This Row],[Quantité Totale]]*Devis[[#This Row],[Prix de Revient]]</f>
        <v>0</v>
      </c>
    </row>
    <row r="3517" spans="1:28" ht="14.25" customHeight="1" outlineLevel="1" x14ac:dyDescent="0.2">
      <c r="A3517" s="75" t="s">
        <v>2983</v>
      </c>
      <c r="B3517" s="76" t="s">
        <v>3168</v>
      </c>
      <c r="C3517" s="75"/>
      <c r="D3517" s="81" t="str">
        <f t="shared" si="64"/>
        <v>TransairTuyaux flexibles</v>
      </c>
      <c r="E3517" s="104" t="s">
        <v>5292</v>
      </c>
      <c r="F3517" s="81">
        <v>3</v>
      </c>
      <c r="G3517" s="125" t="s">
        <v>3374</v>
      </c>
      <c r="H3517" s="71" t="s">
        <v>3293</v>
      </c>
      <c r="I3517" s="104" t="s">
        <v>3171</v>
      </c>
      <c r="J3517" s="70">
        <f>IFERROR(VLOOKUP(Devis[[#This Row],[Ref Air Flux]],#REF!,3,FALSE),0)</f>
        <v>0</v>
      </c>
      <c r="K3517" s="68"/>
      <c r="L3517" s="68"/>
      <c r="M3517" s="68"/>
      <c r="N3517" s="68"/>
      <c r="O3517" s="68"/>
      <c r="P3517" s="68"/>
      <c r="Q3517" s="68">
        <f>SUM(Devis[[#This Row],[Poste 1]:[Poste 6]])</f>
        <v>0</v>
      </c>
      <c r="R3517" s="71"/>
      <c r="S3517" s="68">
        <f>_xlfn.CEILING.MATH(Devis[[#This Row],[Quantité Totale]],Devis[[#This Row],[Conditionnement]])</f>
        <v>0</v>
      </c>
      <c r="T3517" s="72"/>
      <c r="U3517" s="73"/>
      <c r="V3517" s="74">
        <f>Devis[[#This Row],[Prix de Revient]]*Devis[[#This Row],[Poste 1]]</f>
        <v>0</v>
      </c>
      <c r="W3517" s="74">
        <f>Devis[[#This Row],[Prix de Revient]]*Devis[[#This Row],[Poste 2]]</f>
        <v>0</v>
      </c>
      <c r="X3517" s="74">
        <f>Devis[[#This Row],[Prix de Revient]]*Devis[[#This Row],[Poste 3]]</f>
        <v>0</v>
      </c>
      <c r="Y3517" s="74">
        <f>Devis[[#This Row],[Poste 4]]*Devis[[#This Row],[Prix de Revient]]</f>
        <v>0</v>
      </c>
      <c r="Z3517" s="74">
        <f>Devis[[#This Row],[Poste 5]]*Devis[[#This Row],[Prix de Revient]]</f>
        <v>0</v>
      </c>
      <c r="AA3517" s="74">
        <f>Devis[[#This Row],[Prix de Revient]]*Devis[[#This Row],[Poste 6]]</f>
        <v>0</v>
      </c>
      <c r="AB3517" s="74">
        <f>Devis[[#This Row],[Quantité Totale]]*Devis[[#This Row],[Prix de Revient]]</f>
        <v>0</v>
      </c>
    </row>
    <row r="3518" spans="1:28" ht="14.25" outlineLevel="1" x14ac:dyDescent="0.2">
      <c r="A3518" s="75" t="s">
        <v>2983</v>
      </c>
      <c r="B3518" s="76" t="s">
        <v>3168</v>
      </c>
      <c r="C3518" s="75"/>
      <c r="D3518" s="81" t="str">
        <f t="shared" si="64"/>
        <v>TransairTuyaux flexibles</v>
      </c>
      <c r="E3518" s="104" t="s">
        <v>5293</v>
      </c>
      <c r="F3518" s="81">
        <v>4</v>
      </c>
      <c r="G3518" s="125" t="s">
        <v>3375</v>
      </c>
      <c r="H3518" s="71" t="s">
        <v>3293</v>
      </c>
      <c r="I3518" s="104" t="s">
        <v>3172</v>
      </c>
      <c r="J3518" s="70">
        <f>IFERROR(VLOOKUP(Devis[[#This Row],[Ref Air Flux]],#REF!,3,FALSE),0)</f>
        <v>0</v>
      </c>
      <c r="K3518" s="68"/>
      <c r="L3518" s="68"/>
      <c r="M3518" s="68"/>
      <c r="N3518" s="68"/>
      <c r="O3518" s="68"/>
      <c r="P3518" s="68"/>
      <c r="Q3518" s="68">
        <f>SUM(Devis[[#This Row],[Poste 1]:[Poste 6]])</f>
        <v>0</v>
      </c>
      <c r="R3518" s="71"/>
      <c r="S3518" s="68">
        <f>_xlfn.CEILING.MATH(Devis[[#This Row],[Quantité Totale]],Devis[[#This Row],[Conditionnement]])</f>
        <v>0</v>
      </c>
      <c r="T3518" s="72"/>
      <c r="U3518" s="73"/>
      <c r="V3518" s="74">
        <f>Devis[[#This Row],[Prix de Revient]]*Devis[[#This Row],[Poste 1]]</f>
        <v>0</v>
      </c>
      <c r="W3518" s="74">
        <f>Devis[[#This Row],[Prix de Revient]]*Devis[[#This Row],[Poste 2]]</f>
        <v>0</v>
      </c>
      <c r="X3518" s="74">
        <f>Devis[[#This Row],[Prix de Revient]]*Devis[[#This Row],[Poste 3]]</f>
        <v>0</v>
      </c>
      <c r="Y3518" s="74">
        <f>Devis[[#This Row],[Poste 4]]*Devis[[#This Row],[Prix de Revient]]</f>
        <v>0</v>
      </c>
      <c r="Z3518" s="74">
        <f>Devis[[#This Row],[Poste 5]]*Devis[[#This Row],[Prix de Revient]]</f>
        <v>0</v>
      </c>
      <c r="AA3518" s="74">
        <f>Devis[[#This Row],[Prix de Revient]]*Devis[[#This Row],[Poste 6]]</f>
        <v>0</v>
      </c>
      <c r="AB3518" s="74">
        <f>Devis[[#This Row],[Quantité Totale]]*Devis[[#This Row],[Prix de Revient]]</f>
        <v>0</v>
      </c>
    </row>
    <row r="3519" spans="1:28" ht="14.25" customHeight="1" outlineLevel="1" x14ac:dyDescent="0.2">
      <c r="A3519" s="75" t="s">
        <v>2983</v>
      </c>
      <c r="B3519" s="76" t="s">
        <v>3168</v>
      </c>
      <c r="C3519" s="75"/>
      <c r="D3519" s="81" t="str">
        <f t="shared" si="64"/>
        <v>TransairTuyaux flexibles</v>
      </c>
      <c r="E3519" s="104" t="s">
        <v>5294</v>
      </c>
      <c r="F3519" s="81">
        <v>5</v>
      </c>
      <c r="G3519" s="125" t="s">
        <v>3376</v>
      </c>
      <c r="H3519" s="71" t="s">
        <v>3293</v>
      </c>
      <c r="I3519" s="104" t="s">
        <v>3173</v>
      </c>
      <c r="J3519" s="70">
        <f>IFERROR(VLOOKUP(Devis[[#This Row],[Ref Air Flux]],#REF!,3,FALSE),0)</f>
        <v>0</v>
      </c>
      <c r="K3519" s="68"/>
      <c r="L3519" s="68"/>
      <c r="M3519" s="68"/>
      <c r="N3519" s="68"/>
      <c r="O3519" s="68"/>
      <c r="P3519" s="68"/>
      <c r="Q3519" s="68">
        <f>SUM(Devis[[#This Row],[Poste 1]:[Poste 6]])</f>
        <v>0</v>
      </c>
      <c r="R3519" s="71"/>
      <c r="S3519" s="68">
        <f>_xlfn.CEILING.MATH(Devis[[#This Row],[Quantité Totale]],Devis[[#This Row],[Conditionnement]])</f>
        <v>0</v>
      </c>
      <c r="T3519" s="72"/>
      <c r="U3519" s="73"/>
      <c r="V3519" s="74">
        <f>Devis[[#This Row],[Prix de Revient]]*Devis[[#This Row],[Poste 1]]</f>
        <v>0</v>
      </c>
      <c r="W3519" s="74">
        <f>Devis[[#This Row],[Prix de Revient]]*Devis[[#This Row],[Poste 2]]</f>
        <v>0</v>
      </c>
      <c r="X3519" s="74">
        <f>Devis[[#This Row],[Prix de Revient]]*Devis[[#This Row],[Poste 3]]</f>
        <v>0</v>
      </c>
      <c r="Y3519" s="74">
        <f>Devis[[#This Row],[Poste 4]]*Devis[[#This Row],[Prix de Revient]]</f>
        <v>0</v>
      </c>
      <c r="Z3519" s="74">
        <f>Devis[[#This Row],[Poste 5]]*Devis[[#This Row],[Prix de Revient]]</f>
        <v>0</v>
      </c>
      <c r="AA3519" s="74">
        <f>Devis[[#This Row],[Prix de Revient]]*Devis[[#This Row],[Poste 6]]</f>
        <v>0</v>
      </c>
      <c r="AB3519" s="74">
        <f>Devis[[#This Row],[Quantité Totale]]*Devis[[#This Row],[Prix de Revient]]</f>
        <v>0</v>
      </c>
    </row>
    <row r="3520" spans="1:28" ht="14.25" outlineLevel="1" x14ac:dyDescent="0.2">
      <c r="A3520" s="75" t="s">
        <v>2983</v>
      </c>
      <c r="B3520" s="76" t="s">
        <v>3168</v>
      </c>
      <c r="C3520" s="75"/>
      <c r="D3520" s="81" t="str">
        <f t="shared" si="64"/>
        <v>TransairTuyaux flexibles</v>
      </c>
      <c r="E3520" s="104" t="s">
        <v>5295</v>
      </c>
      <c r="F3520" s="81">
        <v>6</v>
      </c>
      <c r="G3520" s="125" t="s">
        <v>3377</v>
      </c>
      <c r="H3520" s="71" t="s">
        <v>3293</v>
      </c>
      <c r="I3520" s="104" t="s">
        <v>3174</v>
      </c>
      <c r="J3520" s="70">
        <f>IFERROR(VLOOKUP(Devis[[#This Row],[Ref Air Flux]],#REF!,3,FALSE),0)</f>
        <v>0</v>
      </c>
      <c r="K3520" s="68"/>
      <c r="L3520" s="68"/>
      <c r="M3520" s="68"/>
      <c r="N3520" s="68"/>
      <c r="O3520" s="68"/>
      <c r="P3520" s="68"/>
      <c r="Q3520" s="68">
        <f>SUM(Devis[[#This Row],[Poste 1]:[Poste 6]])</f>
        <v>0</v>
      </c>
      <c r="R3520" s="71"/>
      <c r="S3520" s="68">
        <f>_xlfn.CEILING.MATH(Devis[[#This Row],[Quantité Totale]],Devis[[#This Row],[Conditionnement]])</f>
        <v>0</v>
      </c>
      <c r="T3520" s="72"/>
      <c r="U3520" s="73"/>
      <c r="V3520" s="74">
        <f>Devis[[#This Row],[Prix de Revient]]*Devis[[#This Row],[Poste 1]]</f>
        <v>0</v>
      </c>
      <c r="W3520" s="74">
        <f>Devis[[#This Row],[Prix de Revient]]*Devis[[#This Row],[Poste 2]]</f>
        <v>0</v>
      </c>
      <c r="X3520" s="74">
        <f>Devis[[#This Row],[Prix de Revient]]*Devis[[#This Row],[Poste 3]]</f>
        <v>0</v>
      </c>
      <c r="Y3520" s="74">
        <f>Devis[[#This Row],[Poste 4]]*Devis[[#This Row],[Prix de Revient]]</f>
        <v>0</v>
      </c>
      <c r="Z3520" s="74">
        <f>Devis[[#This Row],[Poste 5]]*Devis[[#This Row],[Prix de Revient]]</f>
        <v>0</v>
      </c>
      <c r="AA3520" s="74">
        <f>Devis[[#This Row],[Prix de Revient]]*Devis[[#This Row],[Poste 6]]</f>
        <v>0</v>
      </c>
      <c r="AB3520" s="74">
        <f>Devis[[#This Row],[Quantité Totale]]*Devis[[#This Row],[Prix de Revient]]</f>
        <v>0</v>
      </c>
    </row>
    <row r="3521" spans="1:28" ht="14.25" outlineLevel="1" x14ac:dyDescent="0.2">
      <c r="A3521" s="75" t="s">
        <v>2983</v>
      </c>
      <c r="B3521" s="76" t="s">
        <v>3168</v>
      </c>
      <c r="C3521" s="76"/>
      <c r="D3521" s="81" t="str">
        <f t="shared" si="64"/>
        <v>TransairTuyaux flexibles</v>
      </c>
      <c r="E3521" s="104" t="s">
        <v>5296</v>
      </c>
      <c r="F3521" s="81">
        <v>7</v>
      </c>
      <c r="G3521" s="126" t="s">
        <v>5297</v>
      </c>
      <c r="H3521" s="71" t="s">
        <v>3293</v>
      </c>
      <c r="I3521" s="75" t="s">
        <v>5298</v>
      </c>
      <c r="J3521" s="70">
        <f>IFERROR(VLOOKUP(Devis[[#This Row],[Ref Air Flux]],#REF!,3,FALSE),0)</f>
        <v>0</v>
      </c>
      <c r="K3521" s="68"/>
      <c r="L3521" s="68"/>
      <c r="M3521" s="68"/>
      <c r="N3521" s="68"/>
      <c r="O3521" s="68"/>
      <c r="P3521" s="68"/>
      <c r="Q3521" s="68">
        <f>SUM(Devis[[#This Row],[Poste 1]:[Poste 6]])</f>
        <v>0</v>
      </c>
      <c r="R3521" s="71"/>
      <c r="S3521" s="68">
        <f>_xlfn.CEILING.MATH(Devis[[#This Row],[Quantité Totale]],Devis[[#This Row],[Conditionnement]])</f>
        <v>0</v>
      </c>
      <c r="T3521" s="72"/>
      <c r="U3521" s="73"/>
      <c r="V3521" s="74">
        <f>Devis[[#This Row],[Prix de Revient]]*Devis[[#This Row],[Poste 1]]</f>
        <v>0</v>
      </c>
      <c r="W3521" s="74">
        <f>Devis[[#This Row],[Prix de Revient]]*Devis[[#This Row],[Poste 2]]</f>
        <v>0</v>
      </c>
      <c r="X3521" s="74">
        <f>Devis[[#This Row],[Prix de Revient]]*Devis[[#This Row],[Poste 3]]</f>
        <v>0</v>
      </c>
      <c r="Y3521" s="74">
        <f>Devis[[#This Row],[Poste 4]]*Devis[[#This Row],[Prix de Revient]]</f>
        <v>0</v>
      </c>
      <c r="Z3521" s="74">
        <f>Devis[[#This Row],[Poste 5]]*Devis[[#This Row],[Prix de Revient]]</f>
        <v>0</v>
      </c>
      <c r="AA3521" s="74">
        <f>Devis[[#This Row],[Prix de Revient]]*Devis[[#This Row],[Poste 6]]</f>
        <v>0</v>
      </c>
      <c r="AB3521" s="74">
        <f>Devis[[#This Row],[Quantité Totale]]*Devis[[#This Row],[Prix de Revient]]</f>
        <v>0</v>
      </c>
    </row>
    <row r="3522" spans="1:28" ht="14.25" customHeight="1" outlineLevel="1" x14ac:dyDescent="0.2">
      <c r="A3522" s="75" t="s">
        <v>2983</v>
      </c>
      <c r="B3522" s="76" t="s">
        <v>3168</v>
      </c>
      <c r="C3522" s="76"/>
      <c r="D3522" s="81" t="str">
        <f t="shared" si="64"/>
        <v>TransairTuyaux flexibles</v>
      </c>
      <c r="E3522" s="104" t="s">
        <v>5299</v>
      </c>
      <c r="F3522" s="81">
        <v>8</v>
      </c>
      <c r="G3522" s="126" t="s">
        <v>5300</v>
      </c>
      <c r="H3522" s="71" t="s">
        <v>3293</v>
      </c>
      <c r="I3522" s="75" t="s">
        <v>5301</v>
      </c>
      <c r="J3522" s="70">
        <f>IFERROR(VLOOKUP(Devis[[#This Row],[Ref Air Flux]],#REF!,3,FALSE),0)</f>
        <v>0</v>
      </c>
      <c r="K3522" s="68"/>
      <c r="L3522" s="68"/>
      <c r="M3522" s="68"/>
      <c r="N3522" s="68"/>
      <c r="O3522" s="68"/>
      <c r="P3522" s="68"/>
      <c r="Q3522" s="68">
        <f>SUM(Devis[[#This Row],[Poste 1]:[Poste 6]])</f>
        <v>0</v>
      </c>
      <c r="R3522" s="71"/>
      <c r="S3522" s="68">
        <f>_xlfn.CEILING.MATH(Devis[[#This Row],[Quantité Totale]],Devis[[#This Row],[Conditionnement]])</f>
        <v>0</v>
      </c>
      <c r="T3522" s="72"/>
      <c r="U3522" s="73"/>
      <c r="V3522" s="74">
        <f>Devis[[#This Row],[Prix de Revient]]*Devis[[#This Row],[Poste 1]]</f>
        <v>0</v>
      </c>
      <c r="W3522" s="74">
        <f>Devis[[#This Row],[Prix de Revient]]*Devis[[#This Row],[Poste 2]]</f>
        <v>0</v>
      </c>
      <c r="X3522" s="74">
        <f>Devis[[#This Row],[Prix de Revient]]*Devis[[#This Row],[Poste 3]]</f>
        <v>0</v>
      </c>
      <c r="Y3522" s="74">
        <f>Devis[[#This Row],[Poste 4]]*Devis[[#This Row],[Prix de Revient]]</f>
        <v>0</v>
      </c>
      <c r="Z3522" s="74">
        <f>Devis[[#This Row],[Poste 5]]*Devis[[#This Row],[Prix de Revient]]</f>
        <v>0</v>
      </c>
      <c r="AA3522" s="74">
        <f>Devis[[#This Row],[Prix de Revient]]*Devis[[#This Row],[Poste 6]]</f>
        <v>0</v>
      </c>
      <c r="AB3522" s="74">
        <f>Devis[[#This Row],[Quantité Totale]]*Devis[[#This Row],[Prix de Revient]]</f>
        <v>0</v>
      </c>
    </row>
    <row r="3523" spans="1:28" ht="14.25" outlineLevel="1" x14ac:dyDescent="0.2">
      <c r="A3523" s="75" t="s">
        <v>2983</v>
      </c>
      <c r="B3523" s="76" t="s">
        <v>3168</v>
      </c>
      <c r="C3523" s="75"/>
      <c r="D3523" s="81" t="str">
        <f t="shared" si="64"/>
        <v>TransairTuyaux flexibles</v>
      </c>
      <c r="E3523" s="104" t="s">
        <v>5302</v>
      </c>
      <c r="F3523" s="81">
        <v>9</v>
      </c>
      <c r="G3523" s="125" t="s">
        <v>3378</v>
      </c>
      <c r="H3523" s="71" t="s">
        <v>3293</v>
      </c>
      <c r="I3523" s="104" t="s">
        <v>3175</v>
      </c>
      <c r="J3523" s="70">
        <f>IFERROR(VLOOKUP(Devis[[#This Row],[Ref Air Flux]],#REF!,3,FALSE),0)</f>
        <v>0</v>
      </c>
      <c r="K3523" s="68"/>
      <c r="L3523" s="68"/>
      <c r="M3523" s="68"/>
      <c r="N3523" s="68"/>
      <c r="O3523" s="68"/>
      <c r="P3523" s="68"/>
      <c r="Q3523" s="68">
        <f>SUM(Devis[[#This Row],[Poste 1]:[Poste 6]])</f>
        <v>0</v>
      </c>
      <c r="R3523" s="71"/>
      <c r="S3523" s="68">
        <f>_xlfn.CEILING.MATH(Devis[[#This Row],[Quantité Totale]],Devis[[#This Row],[Conditionnement]])</f>
        <v>0</v>
      </c>
      <c r="T3523" s="72"/>
      <c r="U3523" s="73"/>
      <c r="V3523" s="74">
        <f>Devis[[#This Row],[Prix de Revient]]*Devis[[#This Row],[Poste 1]]</f>
        <v>0</v>
      </c>
      <c r="W3523" s="74">
        <f>Devis[[#This Row],[Prix de Revient]]*Devis[[#This Row],[Poste 2]]</f>
        <v>0</v>
      </c>
      <c r="X3523" s="74">
        <f>Devis[[#This Row],[Prix de Revient]]*Devis[[#This Row],[Poste 3]]</f>
        <v>0</v>
      </c>
      <c r="Y3523" s="74">
        <f>Devis[[#This Row],[Poste 4]]*Devis[[#This Row],[Prix de Revient]]</f>
        <v>0</v>
      </c>
      <c r="Z3523" s="74">
        <f>Devis[[#This Row],[Poste 5]]*Devis[[#This Row],[Prix de Revient]]</f>
        <v>0</v>
      </c>
      <c r="AA3523" s="74">
        <f>Devis[[#This Row],[Prix de Revient]]*Devis[[#This Row],[Poste 6]]</f>
        <v>0</v>
      </c>
      <c r="AB3523" s="74">
        <f>Devis[[#This Row],[Quantité Totale]]*Devis[[#This Row],[Prix de Revient]]</f>
        <v>0</v>
      </c>
    </row>
    <row r="3524" spans="1:28" ht="14.25" outlineLevel="1" x14ac:dyDescent="0.2">
      <c r="A3524" s="75" t="s">
        <v>2983</v>
      </c>
      <c r="B3524" s="76" t="s">
        <v>3168</v>
      </c>
      <c r="C3524" s="75"/>
      <c r="D3524" s="81" t="str">
        <f t="shared" si="64"/>
        <v>TransairTuyaux flexibles</v>
      </c>
      <c r="E3524" s="104" t="s">
        <v>5303</v>
      </c>
      <c r="F3524" s="81">
        <v>10</v>
      </c>
      <c r="G3524" s="125" t="s">
        <v>3379</v>
      </c>
      <c r="H3524" s="71" t="s">
        <v>3293</v>
      </c>
      <c r="I3524" s="104" t="s">
        <v>3176</v>
      </c>
      <c r="J3524" s="70">
        <f>IFERROR(VLOOKUP(Devis[[#This Row],[Ref Air Flux]],#REF!,3,FALSE),0)</f>
        <v>0</v>
      </c>
      <c r="K3524" s="68"/>
      <c r="L3524" s="68"/>
      <c r="M3524" s="68"/>
      <c r="N3524" s="68"/>
      <c r="O3524" s="68"/>
      <c r="P3524" s="68"/>
      <c r="Q3524" s="68">
        <f>SUM(Devis[[#This Row],[Poste 1]:[Poste 6]])</f>
        <v>0</v>
      </c>
      <c r="R3524" s="71"/>
      <c r="S3524" s="68">
        <f>_xlfn.CEILING.MATH(Devis[[#This Row],[Quantité Totale]],Devis[[#This Row],[Conditionnement]])</f>
        <v>0</v>
      </c>
      <c r="T3524" s="72"/>
      <c r="U3524" s="73"/>
      <c r="V3524" s="74">
        <f>Devis[[#This Row],[Prix de Revient]]*Devis[[#This Row],[Poste 1]]</f>
        <v>0</v>
      </c>
      <c r="W3524" s="74">
        <f>Devis[[#This Row],[Prix de Revient]]*Devis[[#This Row],[Poste 2]]</f>
        <v>0</v>
      </c>
      <c r="X3524" s="74">
        <f>Devis[[#This Row],[Prix de Revient]]*Devis[[#This Row],[Poste 3]]</f>
        <v>0</v>
      </c>
      <c r="Y3524" s="74">
        <f>Devis[[#This Row],[Poste 4]]*Devis[[#This Row],[Prix de Revient]]</f>
        <v>0</v>
      </c>
      <c r="Z3524" s="74">
        <f>Devis[[#This Row],[Poste 5]]*Devis[[#This Row],[Prix de Revient]]</f>
        <v>0</v>
      </c>
      <c r="AA3524" s="74">
        <f>Devis[[#This Row],[Prix de Revient]]*Devis[[#This Row],[Poste 6]]</f>
        <v>0</v>
      </c>
      <c r="AB3524" s="74">
        <f>Devis[[#This Row],[Quantité Totale]]*Devis[[#This Row],[Prix de Revient]]</f>
        <v>0</v>
      </c>
    </row>
    <row r="3525" spans="1:28" ht="14.25" customHeight="1" x14ac:dyDescent="0.25">
      <c r="A3525" s="65" t="s">
        <v>2983</v>
      </c>
      <c r="B3525" s="65" t="s">
        <v>3177</v>
      </c>
      <c r="C3525" s="76"/>
      <c r="D3525" s="81" t="str">
        <f t="shared" si="64"/>
        <v>TransairVannes</v>
      </c>
      <c r="E3525" s="76"/>
      <c r="F3525" s="81">
        <v>0</v>
      </c>
      <c r="G3525" s="71"/>
      <c r="H3525" s="71"/>
      <c r="I3525" s="71"/>
      <c r="J3525" s="70">
        <f>IFERROR(VLOOKUP(Devis[[#This Row],[Ref Air Flux]],#REF!,3,FALSE),0)</f>
        <v>0</v>
      </c>
      <c r="K3525" s="68"/>
      <c r="L3525" s="68"/>
      <c r="M3525" s="68"/>
      <c r="N3525" s="68"/>
      <c r="O3525" s="68"/>
      <c r="P3525" s="68"/>
      <c r="Q3525" s="68">
        <f>SUM(Devis[[#This Row],[Poste 1]:[Poste 6]])</f>
        <v>0</v>
      </c>
      <c r="R3525" s="71"/>
      <c r="S3525" s="68">
        <f>_xlfn.CEILING.MATH(Devis[[#This Row],[Quantité Totale]],Devis[[#This Row],[Conditionnement]])</f>
        <v>0</v>
      </c>
      <c r="T3525" s="72"/>
      <c r="U3525" s="73"/>
      <c r="V3525" s="74">
        <f>Devis[[#This Row],[Prix de Revient]]*Devis[[#This Row],[Poste 1]]</f>
        <v>0</v>
      </c>
      <c r="W3525" s="74">
        <f>Devis[[#This Row],[Prix de Revient]]*Devis[[#This Row],[Poste 2]]</f>
        <v>0</v>
      </c>
      <c r="X3525" s="74">
        <f>Devis[[#This Row],[Prix de Revient]]*Devis[[#This Row],[Poste 3]]</f>
        <v>0</v>
      </c>
      <c r="Y3525" s="74">
        <f>Devis[[#This Row],[Poste 4]]*Devis[[#This Row],[Prix de Revient]]</f>
        <v>0</v>
      </c>
      <c r="Z3525" s="74">
        <f>Devis[[#This Row],[Poste 5]]*Devis[[#This Row],[Prix de Revient]]</f>
        <v>0</v>
      </c>
      <c r="AA3525" s="74">
        <f>Devis[[#This Row],[Prix de Revient]]*Devis[[#This Row],[Poste 6]]</f>
        <v>0</v>
      </c>
      <c r="AB3525" s="74">
        <f>Devis[[#This Row],[Quantité Totale]]*Devis[[#This Row],[Prix de Revient]]</f>
        <v>0</v>
      </c>
    </row>
    <row r="3526" spans="1:28" ht="14.25" customHeight="1" outlineLevel="1" x14ac:dyDescent="0.2">
      <c r="A3526" s="75" t="s">
        <v>2983</v>
      </c>
      <c r="B3526" s="76" t="s">
        <v>3177</v>
      </c>
      <c r="C3526" s="75" t="s">
        <v>5304</v>
      </c>
      <c r="D3526" s="81" t="str">
        <f t="shared" si="64"/>
        <v>TransairVannesBoisseau sph. FF</v>
      </c>
      <c r="E3526" s="104" t="s">
        <v>5305</v>
      </c>
      <c r="F3526" s="81">
        <v>1</v>
      </c>
      <c r="G3526" s="123" t="s">
        <v>3333</v>
      </c>
      <c r="H3526" s="71" t="s">
        <v>3293</v>
      </c>
      <c r="I3526" s="104" t="s">
        <v>3120</v>
      </c>
      <c r="J3526" s="70">
        <f>IFERROR(VLOOKUP(Devis[[#This Row],[Ref Air Flux]],#REF!,3,FALSE),0)</f>
        <v>0</v>
      </c>
      <c r="K3526" s="68"/>
      <c r="L3526" s="68"/>
      <c r="M3526" s="68"/>
      <c r="N3526" s="68"/>
      <c r="O3526" s="68"/>
      <c r="P3526" s="68"/>
      <c r="Q3526" s="68">
        <f>SUM(Devis[[#This Row],[Poste 1]:[Poste 6]])</f>
        <v>0</v>
      </c>
      <c r="R3526" s="71"/>
      <c r="S3526" s="68">
        <f>_xlfn.CEILING.MATH(Devis[[#This Row],[Quantité Totale]],Devis[[#This Row],[Conditionnement]])</f>
        <v>0</v>
      </c>
      <c r="T3526" s="72"/>
      <c r="U3526" s="73"/>
      <c r="V3526" s="74">
        <f>Devis[[#This Row],[Prix de Revient]]*Devis[[#This Row],[Poste 1]]</f>
        <v>0</v>
      </c>
      <c r="W3526" s="74">
        <f>Devis[[#This Row],[Prix de Revient]]*Devis[[#This Row],[Poste 2]]</f>
        <v>0</v>
      </c>
      <c r="X3526" s="74">
        <f>Devis[[#This Row],[Prix de Revient]]*Devis[[#This Row],[Poste 3]]</f>
        <v>0</v>
      </c>
      <c r="Y3526" s="74">
        <f>Devis[[#This Row],[Poste 4]]*Devis[[#This Row],[Prix de Revient]]</f>
        <v>0</v>
      </c>
      <c r="Z3526" s="74">
        <f>Devis[[#This Row],[Poste 5]]*Devis[[#This Row],[Prix de Revient]]</f>
        <v>0</v>
      </c>
      <c r="AA3526" s="74">
        <f>Devis[[#This Row],[Prix de Revient]]*Devis[[#This Row],[Poste 6]]</f>
        <v>0</v>
      </c>
      <c r="AB3526" s="74">
        <f>Devis[[#This Row],[Quantité Totale]]*Devis[[#This Row],[Prix de Revient]]</f>
        <v>0</v>
      </c>
    </row>
    <row r="3527" spans="1:28" ht="14.25" outlineLevel="1" x14ac:dyDescent="0.2">
      <c r="A3527" s="75" t="s">
        <v>2983</v>
      </c>
      <c r="B3527" s="76" t="s">
        <v>3177</v>
      </c>
      <c r="C3527" s="75" t="s">
        <v>5304</v>
      </c>
      <c r="D3527" s="81" t="str">
        <f t="shared" si="64"/>
        <v>TransairVannesBoisseau sph. FF</v>
      </c>
      <c r="E3527" s="104" t="s">
        <v>5306</v>
      </c>
      <c r="F3527" s="81">
        <v>2</v>
      </c>
      <c r="G3527" s="123" t="s">
        <v>3334</v>
      </c>
      <c r="H3527" s="71" t="s">
        <v>3293</v>
      </c>
      <c r="I3527" s="104" t="s">
        <v>3121</v>
      </c>
      <c r="J3527" s="70">
        <f>IFERROR(VLOOKUP(Devis[[#This Row],[Ref Air Flux]],#REF!,3,FALSE),0)</f>
        <v>0</v>
      </c>
      <c r="K3527" s="68"/>
      <c r="L3527" s="68"/>
      <c r="M3527" s="68"/>
      <c r="N3527" s="68"/>
      <c r="O3527" s="68"/>
      <c r="P3527" s="68"/>
      <c r="Q3527" s="68">
        <f>SUM(Devis[[#This Row],[Poste 1]:[Poste 6]])</f>
        <v>0</v>
      </c>
      <c r="R3527" s="71"/>
      <c r="S3527" s="68">
        <f>_xlfn.CEILING.MATH(Devis[[#This Row],[Quantité Totale]],Devis[[#This Row],[Conditionnement]])</f>
        <v>0</v>
      </c>
      <c r="T3527" s="72"/>
      <c r="U3527" s="73"/>
      <c r="V3527" s="74">
        <f>Devis[[#This Row],[Prix de Revient]]*Devis[[#This Row],[Poste 1]]</f>
        <v>0</v>
      </c>
      <c r="W3527" s="74">
        <f>Devis[[#This Row],[Prix de Revient]]*Devis[[#This Row],[Poste 2]]</f>
        <v>0</v>
      </c>
      <c r="X3527" s="74">
        <f>Devis[[#This Row],[Prix de Revient]]*Devis[[#This Row],[Poste 3]]</f>
        <v>0</v>
      </c>
      <c r="Y3527" s="74">
        <f>Devis[[#This Row],[Poste 4]]*Devis[[#This Row],[Prix de Revient]]</f>
        <v>0</v>
      </c>
      <c r="Z3527" s="74">
        <f>Devis[[#This Row],[Poste 5]]*Devis[[#This Row],[Prix de Revient]]</f>
        <v>0</v>
      </c>
      <c r="AA3527" s="74">
        <f>Devis[[#This Row],[Prix de Revient]]*Devis[[#This Row],[Poste 6]]</f>
        <v>0</v>
      </c>
      <c r="AB3527" s="74">
        <f>Devis[[#This Row],[Quantité Totale]]*Devis[[#This Row],[Prix de Revient]]</f>
        <v>0</v>
      </c>
    </row>
    <row r="3528" spans="1:28" ht="14.25" customHeight="1" outlineLevel="1" x14ac:dyDescent="0.2">
      <c r="A3528" s="75" t="s">
        <v>2983</v>
      </c>
      <c r="B3528" s="76" t="s">
        <v>3177</v>
      </c>
      <c r="C3528" s="75" t="s">
        <v>5304</v>
      </c>
      <c r="D3528" s="81" t="str">
        <f t="shared" si="64"/>
        <v>TransairVannesBoisseau sph. FF</v>
      </c>
      <c r="E3528" s="104" t="s">
        <v>5307</v>
      </c>
      <c r="F3528" s="81">
        <v>3</v>
      </c>
      <c r="G3528" s="123" t="s">
        <v>3335</v>
      </c>
      <c r="H3528" s="71" t="s">
        <v>3293</v>
      </c>
      <c r="I3528" s="104" t="s">
        <v>3122</v>
      </c>
      <c r="J3528" s="70">
        <f>IFERROR(VLOOKUP(Devis[[#This Row],[Ref Air Flux]],#REF!,3,FALSE),0)</f>
        <v>0</v>
      </c>
      <c r="K3528" s="68"/>
      <c r="L3528" s="68"/>
      <c r="M3528" s="68"/>
      <c r="N3528" s="68"/>
      <c r="O3528" s="68"/>
      <c r="P3528" s="68"/>
      <c r="Q3528" s="68">
        <f>SUM(Devis[[#This Row],[Poste 1]:[Poste 6]])</f>
        <v>0</v>
      </c>
      <c r="R3528" s="71"/>
      <c r="S3528" s="68">
        <f>_xlfn.CEILING.MATH(Devis[[#This Row],[Quantité Totale]],Devis[[#This Row],[Conditionnement]])</f>
        <v>0</v>
      </c>
      <c r="T3528" s="72"/>
      <c r="U3528" s="73"/>
      <c r="V3528" s="74">
        <f>Devis[[#This Row],[Prix de Revient]]*Devis[[#This Row],[Poste 1]]</f>
        <v>0</v>
      </c>
      <c r="W3528" s="74">
        <f>Devis[[#This Row],[Prix de Revient]]*Devis[[#This Row],[Poste 2]]</f>
        <v>0</v>
      </c>
      <c r="X3528" s="74">
        <f>Devis[[#This Row],[Prix de Revient]]*Devis[[#This Row],[Poste 3]]</f>
        <v>0</v>
      </c>
      <c r="Y3528" s="74">
        <f>Devis[[#This Row],[Poste 4]]*Devis[[#This Row],[Prix de Revient]]</f>
        <v>0</v>
      </c>
      <c r="Z3528" s="74">
        <f>Devis[[#This Row],[Poste 5]]*Devis[[#This Row],[Prix de Revient]]</f>
        <v>0</v>
      </c>
      <c r="AA3528" s="74">
        <f>Devis[[#This Row],[Prix de Revient]]*Devis[[#This Row],[Poste 6]]</f>
        <v>0</v>
      </c>
      <c r="AB3528" s="74">
        <f>Devis[[#This Row],[Quantité Totale]]*Devis[[#This Row],[Prix de Revient]]</f>
        <v>0</v>
      </c>
    </row>
    <row r="3529" spans="1:28" ht="14.25" outlineLevel="1" x14ac:dyDescent="0.2">
      <c r="A3529" s="75" t="s">
        <v>2983</v>
      </c>
      <c r="B3529" s="76" t="s">
        <v>3177</v>
      </c>
      <c r="C3529" s="75" t="s">
        <v>5304</v>
      </c>
      <c r="D3529" s="81" t="str">
        <f t="shared" si="64"/>
        <v>TransairVannesBoisseau sph. FF</v>
      </c>
      <c r="E3529" s="104" t="s">
        <v>5308</v>
      </c>
      <c r="F3529" s="81">
        <v>4</v>
      </c>
      <c r="G3529" s="123" t="s">
        <v>3336</v>
      </c>
      <c r="H3529" s="71" t="s">
        <v>3293</v>
      </c>
      <c r="I3529" s="104" t="s">
        <v>3123</v>
      </c>
      <c r="J3529" s="70">
        <f>IFERROR(VLOOKUP(Devis[[#This Row],[Ref Air Flux]],#REF!,3,FALSE),0)</f>
        <v>0</v>
      </c>
      <c r="K3529" s="68"/>
      <c r="L3529" s="68"/>
      <c r="M3529" s="68"/>
      <c r="N3529" s="68"/>
      <c r="O3529" s="68"/>
      <c r="P3529" s="68"/>
      <c r="Q3529" s="68">
        <f>SUM(Devis[[#This Row],[Poste 1]:[Poste 6]])</f>
        <v>0</v>
      </c>
      <c r="R3529" s="71"/>
      <c r="S3529" s="68">
        <f>_xlfn.CEILING.MATH(Devis[[#This Row],[Quantité Totale]],Devis[[#This Row],[Conditionnement]])</f>
        <v>0</v>
      </c>
      <c r="T3529" s="72"/>
      <c r="U3529" s="73"/>
      <c r="V3529" s="74">
        <f>Devis[[#This Row],[Prix de Revient]]*Devis[[#This Row],[Poste 1]]</f>
        <v>0</v>
      </c>
      <c r="W3529" s="74">
        <f>Devis[[#This Row],[Prix de Revient]]*Devis[[#This Row],[Poste 2]]</f>
        <v>0</v>
      </c>
      <c r="X3529" s="74">
        <f>Devis[[#This Row],[Prix de Revient]]*Devis[[#This Row],[Poste 3]]</f>
        <v>0</v>
      </c>
      <c r="Y3529" s="74">
        <f>Devis[[#This Row],[Poste 4]]*Devis[[#This Row],[Prix de Revient]]</f>
        <v>0</v>
      </c>
      <c r="Z3529" s="74">
        <f>Devis[[#This Row],[Poste 5]]*Devis[[#This Row],[Prix de Revient]]</f>
        <v>0</v>
      </c>
      <c r="AA3529" s="74">
        <f>Devis[[#This Row],[Prix de Revient]]*Devis[[#This Row],[Poste 6]]</f>
        <v>0</v>
      </c>
      <c r="AB3529" s="74">
        <f>Devis[[#This Row],[Quantité Totale]]*Devis[[#This Row],[Prix de Revient]]</f>
        <v>0</v>
      </c>
    </row>
    <row r="3530" spans="1:28" ht="14.25" outlineLevel="1" x14ac:dyDescent="0.2">
      <c r="A3530" s="75" t="s">
        <v>2983</v>
      </c>
      <c r="B3530" s="76" t="s">
        <v>3177</v>
      </c>
      <c r="C3530" s="75" t="s">
        <v>5304</v>
      </c>
      <c r="D3530" s="81" t="str">
        <f t="shared" si="64"/>
        <v>TransairVannesBoisseau sph. FF</v>
      </c>
      <c r="E3530" s="104" t="s">
        <v>5309</v>
      </c>
      <c r="F3530" s="81">
        <v>5</v>
      </c>
      <c r="G3530" s="123" t="s">
        <v>3337</v>
      </c>
      <c r="H3530" s="71" t="s">
        <v>3293</v>
      </c>
      <c r="I3530" s="104" t="s">
        <v>3124</v>
      </c>
      <c r="J3530" s="70">
        <f>IFERROR(VLOOKUP(Devis[[#This Row],[Ref Air Flux]],#REF!,3,FALSE),0)</f>
        <v>0</v>
      </c>
      <c r="K3530" s="68"/>
      <c r="L3530" s="68"/>
      <c r="M3530" s="68"/>
      <c r="N3530" s="68"/>
      <c r="O3530" s="68"/>
      <c r="P3530" s="68"/>
      <c r="Q3530" s="68">
        <f>SUM(Devis[[#This Row],[Poste 1]:[Poste 6]])</f>
        <v>0</v>
      </c>
      <c r="R3530" s="71"/>
      <c r="S3530" s="68">
        <f>_xlfn.CEILING.MATH(Devis[[#This Row],[Quantité Totale]],Devis[[#This Row],[Conditionnement]])</f>
        <v>0</v>
      </c>
      <c r="T3530" s="72"/>
      <c r="U3530" s="73"/>
      <c r="V3530" s="74">
        <f>Devis[[#This Row],[Prix de Revient]]*Devis[[#This Row],[Poste 1]]</f>
        <v>0</v>
      </c>
      <c r="W3530" s="74">
        <f>Devis[[#This Row],[Prix de Revient]]*Devis[[#This Row],[Poste 2]]</f>
        <v>0</v>
      </c>
      <c r="X3530" s="74">
        <f>Devis[[#This Row],[Prix de Revient]]*Devis[[#This Row],[Poste 3]]</f>
        <v>0</v>
      </c>
      <c r="Y3530" s="74">
        <f>Devis[[#This Row],[Poste 4]]*Devis[[#This Row],[Prix de Revient]]</f>
        <v>0</v>
      </c>
      <c r="Z3530" s="74">
        <f>Devis[[#This Row],[Poste 5]]*Devis[[#This Row],[Prix de Revient]]</f>
        <v>0</v>
      </c>
      <c r="AA3530" s="74">
        <f>Devis[[#This Row],[Prix de Revient]]*Devis[[#This Row],[Poste 6]]</f>
        <v>0</v>
      </c>
      <c r="AB3530" s="74">
        <f>Devis[[#This Row],[Quantité Totale]]*Devis[[#This Row],[Prix de Revient]]</f>
        <v>0</v>
      </c>
    </row>
    <row r="3531" spans="1:28" ht="14.25" outlineLevel="1" x14ac:dyDescent="0.2">
      <c r="A3531" s="75" t="s">
        <v>2983</v>
      </c>
      <c r="B3531" s="76" t="s">
        <v>3177</v>
      </c>
      <c r="C3531" s="75" t="s">
        <v>5304</v>
      </c>
      <c r="D3531" s="81" t="str">
        <f t="shared" si="64"/>
        <v>TransairVannesBoisseau sph. FF</v>
      </c>
      <c r="E3531" s="104" t="s">
        <v>5310</v>
      </c>
      <c r="F3531" s="81">
        <v>6</v>
      </c>
      <c r="G3531" s="123" t="s">
        <v>3338</v>
      </c>
      <c r="H3531" s="71" t="s">
        <v>3293</v>
      </c>
      <c r="I3531" s="104" t="s">
        <v>3125</v>
      </c>
      <c r="J3531" s="70">
        <f>IFERROR(VLOOKUP(Devis[[#This Row],[Ref Air Flux]],#REF!,3,FALSE),0)</f>
        <v>0</v>
      </c>
      <c r="K3531" s="68"/>
      <c r="L3531" s="68"/>
      <c r="M3531" s="68"/>
      <c r="N3531" s="68"/>
      <c r="O3531" s="68"/>
      <c r="P3531" s="68"/>
      <c r="Q3531" s="68">
        <f>SUM(Devis[[#This Row],[Poste 1]:[Poste 6]])</f>
        <v>0</v>
      </c>
      <c r="R3531" s="71"/>
      <c r="S3531" s="68">
        <f>_xlfn.CEILING.MATH(Devis[[#This Row],[Quantité Totale]],Devis[[#This Row],[Conditionnement]])</f>
        <v>0</v>
      </c>
      <c r="T3531" s="72"/>
      <c r="U3531" s="73"/>
      <c r="V3531" s="74">
        <f>Devis[[#This Row],[Prix de Revient]]*Devis[[#This Row],[Poste 1]]</f>
        <v>0</v>
      </c>
      <c r="W3531" s="74">
        <f>Devis[[#This Row],[Prix de Revient]]*Devis[[#This Row],[Poste 2]]</f>
        <v>0</v>
      </c>
      <c r="X3531" s="74">
        <f>Devis[[#This Row],[Prix de Revient]]*Devis[[#This Row],[Poste 3]]</f>
        <v>0</v>
      </c>
      <c r="Y3531" s="74">
        <f>Devis[[#This Row],[Poste 4]]*Devis[[#This Row],[Prix de Revient]]</f>
        <v>0</v>
      </c>
      <c r="Z3531" s="74">
        <f>Devis[[#This Row],[Poste 5]]*Devis[[#This Row],[Prix de Revient]]</f>
        <v>0</v>
      </c>
      <c r="AA3531" s="74">
        <f>Devis[[#This Row],[Prix de Revient]]*Devis[[#This Row],[Poste 6]]</f>
        <v>0</v>
      </c>
      <c r="AB3531" s="74">
        <f>Devis[[#This Row],[Quantité Totale]]*Devis[[#This Row],[Prix de Revient]]</f>
        <v>0</v>
      </c>
    </row>
    <row r="3532" spans="1:28" ht="14.25" outlineLevel="1" x14ac:dyDescent="0.2">
      <c r="A3532" s="75" t="s">
        <v>2983</v>
      </c>
      <c r="B3532" s="76" t="s">
        <v>3177</v>
      </c>
      <c r="C3532" s="75" t="s">
        <v>5304</v>
      </c>
      <c r="D3532" s="81" t="str">
        <f t="shared" si="64"/>
        <v>TransairVannesBoisseau sph. FF</v>
      </c>
      <c r="E3532" s="104" t="s">
        <v>5311</v>
      </c>
      <c r="F3532" s="81">
        <v>7</v>
      </c>
      <c r="G3532" s="123" t="s">
        <v>3339</v>
      </c>
      <c r="H3532" s="71" t="s">
        <v>3293</v>
      </c>
      <c r="I3532" s="104" t="s">
        <v>3126</v>
      </c>
      <c r="J3532" s="70">
        <f>IFERROR(VLOOKUP(Devis[[#This Row],[Ref Air Flux]],#REF!,3,FALSE),0)</f>
        <v>0</v>
      </c>
      <c r="K3532" s="68"/>
      <c r="L3532" s="68"/>
      <c r="M3532" s="68"/>
      <c r="N3532" s="68"/>
      <c r="O3532" s="68"/>
      <c r="P3532" s="68"/>
      <c r="Q3532" s="68">
        <f>SUM(Devis[[#This Row],[Poste 1]:[Poste 6]])</f>
        <v>0</v>
      </c>
      <c r="R3532" s="71"/>
      <c r="S3532" s="68">
        <f>_xlfn.CEILING.MATH(Devis[[#This Row],[Quantité Totale]],Devis[[#This Row],[Conditionnement]])</f>
        <v>0</v>
      </c>
      <c r="T3532" s="72"/>
      <c r="U3532" s="73"/>
      <c r="V3532" s="74">
        <f>Devis[[#This Row],[Prix de Revient]]*Devis[[#This Row],[Poste 1]]</f>
        <v>0</v>
      </c>
      <c r="W3532" s="74">
        <f>Devis[[#This Row],[Prix de Revient]]*Devis[[#This Row],[Poste 2]]</f>
        <v>0</v>
      </c>
      <c r="X3532" s="74">
        <f>Devis[[#This Row],[Prix de Revient]]*Devis[[#This Row],[Poste 3]]</f>
        <v>0</v>
      </c>
      <c r="Y3532" s="74">
        <f>Devis[[#This Row],[Poste 4]]*Devis[[#This Row],[Prix de Revient]]</f>
        <v>0</v>
      </c>
      <c r="Z3532" s="74">
        <f>Devis[[#This Row],[Poste 5]]*Devis[[#This Row],[Prix de Revient]]</f>
        <v>0</v>
      </c>
      <c r="AA3532" s="74">
        <f>Devis[[#This Row],[Prix de Revient]]*Devis[[#This Row],[Poste 6]]</f>
        <v>0</v>
      </c>
      <c r="AB3532" s="74">
        <f>Devis[[#This Row],[Quantité Totale]]*Devis[[#This Row],[Prix de Revient]]</f>
        <v>0</v>
      </c>
    </row>
    <row r="3533" spans="1:28" ht="14.25" outlineLevel="1" x14ac:dyDescent="0.2">
      <c r="A3533" s="75" t="s">
        <v>2983</v>
      </c>
      <c r="B3533" s="76" t="s">
        <v>3177</v>
      </c>
      <c r="C3533" s="75" t="s">
        <v>5312</v>
      </c>
      <c r="D3533" s="81" t="str">
        <f t="shared" si="64"/>
        <v>TransairVannesBoisseau sph. MF</v>
      </c>
      <c r="E3533" s="104" t="s">
        <v>5313</v>
      </c>
      <c r="F3533" s="81">
        <v>8</v>
      </c>
      <c r="G3533" s="123" t="s">
        <v>3340</v>
      </c>
      <c r="H3533" s="71" t="s">
        <v>3293</v>
      </c>
      <c r="I3533" s="104" t="s">
        <v>3127</v>
      </c>
      <c r="J3533" s="70">
        <f>IFERROR(VLOOKUP(Devis[[#This Row],[Ref Air Flux]],#REF!,3,FALSE),0)</f>
        <v>0</v>
      </c>
      <c r="K3533" s="68"/>
      <c r="L3533" s="68"/>
      <c r="M3533" s="68"/>
      <c r="N3533" s="68"/>
      <c r="O3533" s="68"/>
      <c r="P3533" s="68"/>
      <c r="Q3533" s="68">
        <f>SUM(Devis[[#This Row],[Poste 1]:[Poste 6]])</f>
        <v>0</v>
      </c>
      <c r="R3533" s="71"/>
      <c r="S3533" s="68">
        <f>_xlfn.CEILING.MATH(Devis[[#This Row],[Quantité Totale]],Devis[[#This Row],[Conditionnement]])</f>
        <v>0</v>
      </c>
      <c r="T3533" s="72"/>
      <c r="U3533" s="73"/>
      <c r="V3533" s="74">
        <f>Devis[[#This Row],[Prix de Revient]]*Devis[[#This Row],[Poste 1]]</f>
        <v>0</v>
      </c>
      <c r="W3533" s="74">
        <f>Devis[[#This Row],[Prix de Revient]]*Devis[[#This Row],[Poste 2]]</f>
        <v>0</v>
      </c>
      <c r="X3533" s="74">
        <f>Devis[[#This Row],[Prix de Revient]]*Devis[[#This Row],[Poste 3]]</f>
        <v>0</v>
      </c>
      <c r="Y3533" s="74">
        <f>Devis[[#This Row],[Poste 4]]*Devis[[#This Row],[Prix de Revient]]</f>
        <v>0</v>
      </c>
      <c r="Z3533" s="74">
        <f>Devis[[#This Row],[Poste 5]]*Devis[[#This Row],[Prix de Revient]]</f>
        <v>0</v>
      </c>
      <c r="AA3533" s="74">
        <f>Devis[[#This Row],[Prix de Revient]]*Devis[[#This Row],[Poste 6]]</f>
        <v>0</v>
      </c>
      <c r="AB3533" s="74">
        <f>Devis[[#This Row],[Quantité Totale]]*Devis[[#This Row],[Prix de Revient]]</f>
        <v>0</v>
      </c>
    </row>
    <row r="3534" spans="1:28" ht="14.25" outlineLevel="1" x14ac:dyDescent="0.2">
      <c r="A3534" s="75" t="s">
        <v>2983</v>
      </c>
      <c r="B3534" s="76" t="s">
        <v>3177</v>
      </c>
      <c r="C3534" s="75" t="s">
        <v>5312</v>
      </c>
      <c r="D3534" s="81" t="str">
        <f t="shared" si="64"/>
        <v>TransairVannesBoisseau sph. MF</v>
      </c>
      <c r="E3534" s="104" t="s">
        <v>5314</v>
      </c>
      <c r="F3534" s="81">
        <v>9</v>
      </c>
      <c r="G3534" s="123" t="s">
        <v>3341</v>
      </c>
      <c r="H3534" s="71" t="s">
        <v>3293</v>
      </c>
      <c r="I3534" s="104" t="s">
        <v>3128</v>
      </c>
      <c r="J3534" s="70">
        <f>IFERROR(VLOOKUP(Devis[[#This Row],[Ref Air Flux]],#REF!,3,FALSE),0)</f>
        <v>0</v>
      </c>
      <c r="K3534" s="68"/>
      <c r="L3534" s="68"/>
      <c r="M3534" s="68"/>
      <c r="N3534" s="68"/>
      <c r="O3534" s="68"/>
      <c r="P3534" s="68"/>
      <c r="Q3534" s="68">
        <f>SUM(Devis[[#This Row],[Poste 1]:[Poste 6]])</f>
        <v>0</v>
      </c>
      <c r="R3534" s="71"/>
      <c r="S3534" s="68">
        <f>_xlfn.CEILING.MATH(Devis[[#This Row],[Quantité Totale]],Devis[[#This Row],[Conditionnement]])</f>
        <v>0</v>
      </c>
      <c r="T3534" s="72"/>
      <c r="U3534" s="73"/>
      <c r="V3534" s="74">
        <f>Devis[[#This Row],[Prix de Revient]]*Devis[[#This Row],[Poste 1]]</f>
        <v>0</v>
      </c>
      <c r="W3534" s="74">
        <f>Devis[[#This Row],[Prix de Revient]]*Devis[[#This Row],[Poste 2]]</f>
        <v>0</v>
      </c>
      <c r="X3534" s="74">
        <f>Devis[[#This Row],[Prix de Revient]]*Devis[[#This Row],[Poste 3]]</f>
        <v>0</v>
      </c>
      <c r="Y3534" s="74">
        <f>Devis[[#This Row],[Poste 4]]*Devis[[#This Row],[Prix de Revient]]</f>
        <v>0</v>
      </c>
      <c r="Z3534" s="74">
        <f>Devis[[#This Row],[Poste 5]]*Devis[[#This Row],[Prix de Revient]]</f>
        <v>0</v>
      </c>
      <c r="AA3534" s="74">
        <f>Devis[[#This Row],[Prix de Revient]]*Devis[[#This Row],[Poste 6]]</f>
        <v>0</v>
      </c>
      <c r="AB3534" s="74">
        <f>Devis[[#This Row],[Quantité Totale]]*Devis[[#This Row],[Prix de Revient]]</f>
        <v>0</v>
      </c>
    </row>
    <row r="3535" spans="1:28" ht="14.25" outlineLevel="1" x14ac:dyDescent="0.2">
      <c r="A3535" s="75" t="s">
        <v>2983</v>
      </c>
      <c r="B3535" s="76" t="s">
        <v>3177</v>
      </c>
      <c r="C3535" s="75" t="s">
        <v>5312</v>
      </c>
      <c r="D3535" s="81" t="str">
        <f t="shared" si="64"/>
        <v>TransairVannesBoisseau sph. MF</v>
      </c>
      <c r="E3535" s="104" t="s">
        <v>5315</v>
      </c>
      <c r="F3535" s="81">
        <v>10</v>
      </c>
      <c r="G3535" s="123" t="s">
        <v>3342</v>
      </c>
      <c r="H3535" s="71" t="s">
        <v>3293</v>
      </c>
      <c r="I3535" s="104" t="s">
        <v>3129</v>
      </c>
      <c r="J3535" s="70">
        <f>IFERROR(VLOOKUP(Devis[[#This Row],[Ref Air Flux]],#REF!,3,FALSE),0)</f>
        <v>0</v>
      </c>
      <c r="K3535" s="68"/>
      <c r="L3535" s="68"/>
      <c r="M3535" s="68"/>
      <c r="N3535" s="68"/>
      <c r="O3535" s="68"/>
      <c r="P3535" s="68"/>
      <c r="Q3535" s="68">
        <f>SUM(Devis[[#This Row],[Poste 1]:[Poste 6]])</f>
        <v>0</v>
      </c>
      <c r="R3535" s="71"/>
      <c r="S3535" s="68">
        <f>_xlfn.CEILING.MATH(Devis[[#This Row],[Quantité Totale]],Devis[[#This Row],[Conditionnement]])</f>
        <v>0</v>
      </c>
      <c r="T3535" s="72"/>
      <c r="U3535" s="73"/>
      <c r="V3535" s="74">
        <f>Devis[[#This Row],[Prix de Revient]]*Devis[[#This Row],[Poste 1]]</f>
        <v>0</v>
      </c>
      <c r="W3535" s="74">
        <f>Devis[[#This Row],[Prix de Revient]]*Devis[[#This Row],[Poste 2]]</f>
        <v>0</v>
      </c>
      <c r="X3535" s="74">
        <f>Devis[[#This Row],[Prix de Revient]]*Devis[[#This Row],[Poste 3]]</f>
        <v>0</v>
      </c>
      <c r="Y3535" s="74">
        <f>Devis[[#This Row],[Poste 4]]*Devis[[#This Row],[Prix de Revient]]</f>
        <v>0</v>
      </c>
      <c r="Z3535" s="74">
        <f>Devis[[#This Row],[Poste 5]]*Devis[[#This Row],[Prix de Revient]]</f>
        <v>0</v>
      </c>
      <c r="AA3535" s="74">
        <f>Devis[[#This Row],[Prix de Revient]]*Devis[[#This Row],[Poste 6]]</f>
        <v>0</v>
      </c>
      <c r="AB3535" s="74">
        <f>Devis[[#This Row],[Quantité Totale]]*Devis[[#This Row],[Prix de Revient]]</f>
        <v>0</v>
      </c>
    </row>
    <row r="3536" spans="1:28" ht="14.25" outlineLevel="1" x14ac:dyDescent="0.2">
      <c r="A3536" s="75" t="s">
        <v>2983</v>
      </c>
      <c r="B3536" s="76" t="s">
        <v>3177</v>
      </c>
      <c r="C3536" s="75" t="s">
        <v>5312</v>
      </c>
      <c r="D3536" s="81" t="str">
        <f t="shared" si="64"/>
        <v>TransairVannesBoisseau sph. MF</v>
      </c>
      <c r="E3536" s="104" t="s">
        <v>5316</v>
      </c>
      <c r="F3536" s="81">
        <v>11</v>
      </c>
      <c r="G3536" s="123" t="s">
        <v>3343</v>
      </c>
      <c r="H3536" s="71" t="s">
        <v>3293</v>
      </c>
      <c r="I3536" s="104" t="s">
        <v>3130</v>
      </c>
      <c r="J3536" s="70">
        <f>IFERROR(VLOOKUP(Devis[[#This Row],[Ref Air Flux]],#REF!,3,FALSE),0)</f>
        <v>0</v>
      </c>
      <c r="K3536" s="68"/>
      <c r="L3536" s="68"/>
      <c r="M3536" s="68"/>
      <c r="N3536" s="68"/>
      <c r="O3536" s="68"/>
      <c r="P3536" s="68"/>
      <c r="Q3536" s="68">
        <f>SUM(Devis[[#This Row],[Poste 1]:[Poste 6]])</f>
        <v>0</v>
      </c>
      <c r="R3536" s="71"/>
      <c r="S3536" s="68">
        <f>_xlfn.CEILING.MATH(Devis[[#This Row],[Quantité Totale]],Devis[[#This Row],[Conditionnement]])</f>
        <v>0</v>
      </c>
      <c r="T3536" s="72"/>
      <c r="U3536" s="73"/>
      <c r="V3536" s="74">
        <f>Devis[[#This Row],[Prix de Revient]]*Devis[[#This Row],[Poste 1]]</f>
        <v>0</v>
      </c>
      <c r="W3536" s="74">
        <f>Devis[[#This Row],[Prix de Revient]]*Devis[[#This Row],[Poste 2]]</f>
        <v>0</v>
      </c>
      <c r="X3536" s="74">
        <f>Devis[[#This Row],[Prix de Revient]]*Devis[[#This Row],[Poste 3]]</f>
        <v>0</v>
      </c>
      <c r="Y3536" s="74">
        <f>Devis[[#This Row],[Poste 4]]*Devis[[#This Row],[Prix de Revient]]</f>
        <v>0</v>
      </c>
      <c r="Z3536" s="74">
        <f>Devis[[#This Row],[Poste 5]]*Devis[[#This Row],[Prix de Revient]]</f>
        <v>0</v>
      </c>
      <c r="AA3536" s="74">
        <f>Devis[[#This Row],[Prix de Revient]]*Devis[[#This Row],[Poste 6]]</f>
        <v>0</v>
      </c>
      <c r="AB3536" s="74">
        <f>Devis[[#This Row],[Quantité Totale]]*Devis[[#This Row],[Prix de Revient]]</f>
        <v>0</v>
      </c>
    </row>
    <row r="3537" spans="1:28" ht="14.25" customHeight="1" outlineLevel="1" x14ac:dyDescent="0.2">
      <c r="A3537" s="75" t="s">
        <v>2983</v>
      </c>
      <c r="B3537" s="76" t="s">
        <v>3177</v>
      </c>
      <c r="C3537" s="75" t="s">
        <v>5312</v>
      </c>
      <c r="D3537" s="81" t="str">
        <f t="shared" si="64"/>
        <v>TransairVannesBoisseau sph. MF</v>
      </c>
      <c r="E3537" s="104" t="s">
        <v>5317</v>
      </c>
      <c r="F3537" s="81">
        <v>12</v>
      </c>
      <c r="G3537" s="123" t="s">
        <v>3344</v>
      </c>
      <c r="H3537" s="71" t="s">
        <v>3293</v>
      </c>
      <c r="I3537" s="104" t="s">
        <v>3131</v>
      </c>
      <c r="J3537" s="70">
        <f>IFERROR(VLOOKUP(Devis[[#This Row],[Ref Air Flux]],#REF!,3,FALSE),0)</f>
        <v>0</v>
      </c>
      <c r="K3537" s="68"/>
      <c r="L3537" s="68"/>
      <c r="M3537" s="68"/>
      <c r="N3537" s="68"/>
      <c r="O3537" s="68"/>
      <c r="P3537" s="68"/>
      <c r="Q3537" s="68">
        <f>SUM(Devis[[#This Row],[Poste 1]:[Poste 6]])</f>
        <v>0</v>
      </c>
      <c r="R3537" s="71"/>
      <c r="S3537" s="68">
        <f>_xlfn.CEILING.MATH(Devis[[#This Row],[Quantité Totale]],Devis[[#This Row],[Conditionnement]])</f>
        <v>0</v>
      </c>
      <c r="T3537" s="72"/>
      <c r="U3537" s="73"/>
      <c r="V3537" s="74">
        <f>Devis[[#This Row],[Prix de Revient]]*Devis[[#This Row],[Poste 1]]</f>
        <v>0</v>
      </c>
      <c r="W3537" s="74">
        <f>Devis[[#This Row],[Prix de Revient]]*Devis[[#This Row],[Poste 2]]</f>
        <v>0</v>
      </c>
      <c r="X3537" s="74">
        <f>Devis[[#This Row],[Prix de Revient]]*Devis[[#This Row],[Poste 3]]</f>
        <v>0</v>
      </c>
      <c r="Y3537" s="74">
        <f>Devis[[#This Row],[Poste 4]]*Devis[[#This Row],[Prix de Revient]]</f>
        <v>0</v>
      </c>
      <c r="Z3537" s="74">
        <f>Devis[[#This Row],[Poste 5]]*Devis[[#This Row],[Prix de Revient]]</f>
        <v>0</v>
      </c>
      <c r="AA3537" s="74">
        <f>Devis[[#This Row],[Prix de Revient]]*Devis[[#This Row],[Poste 6]]</f>
        <v>0</v>
      </c>
      <c r="AB3537" s="74">
        <f>Devis[[#This Row],[Quantité Totale]]*Devis[[#This Row],[Prix de Revient]]</f>
        <v>0</v>
      </c>
    </row>
    <row r="3538" spans="1:28" ht="14.25" customHeight="1" outlineLevel="1" x14ac:dyDescent="0.2">
      <c r="A3538" s="75" t="s">
        <v>2983</v>
      </c>
      <c r="B3538" s="76" t="s">
        <v>3177</v>
      </c>
      <c r="C3538" s="75" t="s">
        <v>5312</v>
      </c>
      <c r="D3538" s="81" t="str">
        <f t="shared" si="64"/>
        <v>TransairVannesBoisseau sph. MF</v>
      </c>
      <c r="E3538" s="104" t="s">
        <v>5318</v>
      </c>
      <c r="F3538" s="81">
        <v>13</v>
      </c>
      <c r="G3538" s="123" t="s">
        <v>3345</v>
      </c>
      <c r="H3538" s="71" t="s">
        <v>3293</v>
      </c>
      <c r="I3538" s="104" t="s">
        <v>3132</v>
      </c>
      <c r="J3538" s="70">
        <f>IFERROR(VLOOKUP(Devis[[#This Row],[Ref Air Flux]],#REF!,3,FALSE),0)</f>
        <v>0</v>
      </c>
      <c r="K3538" s="68"/>
      <c r="L3538" s="68"/>
      <c r="M3538" s="68"/>
      <c r="N3538" s="68"/>
      <c r="O3538" s="68"/>
      <c r="P3538" s="68"/>
      <c r="Q3538" s="68">
        <f>SUM(Devis[[#This Row],[Poste 1]:[Poste 6]])</f>
        <v>0</v>
      </c>
      <c r="R3538" s="71"/>
      <c r="S3538" s="68">
        <f>_xlfn.CEILING.MATH(Devis[[#This Row],[Quantité Totale]],Devis[[#This Row],[Conditionnement]])</f>
        <v>0</v>
      </c>
      <c r="T3538" s="72"/>
      <c r="U3538" s="73"/>
      <c r="V3538" s="74">
        <f>Devis[[#This Row],[Prix de Revient]]*Devis[[#This Row],[Poste 1]]</f>
        <v>0</v>
      </c>
      <c r="W3538" s="74">
        <f>Devis[[#This Row],[Prix de Revient]]*Devis[[#This Row],[Poste 2]]</f>
        <v>0</v>
      </c>
      <c r="X3538" s="74">
        <f>Devis[[#This Row],[Prix de Revient]]*Devis[[#This Row],[Poste 3]]</f>
        <v>0</v>
      </c>
      <c r="Y3538" s="74">
        <f>Devis[[#This Row],[Poste 4]]*Devis[[#This Row],[Prix de Revient]]</f>
        <v>0</v>
      </c>
      <c r="Z3538" s="74">
        <f>Devis[[#This Row],[Poste 5]]*Devis[[#This Row],[Prix de Revient]]</f>
        <v>0</v>
      </c>
      <c r="AA3538" s="74">
        <f>Devis[[#This Row],[Prix de Revient]]*Devis[[#This Row],[Poste 6]]</f>
        <v>0</v>
      </c>
      <c r="AB3538" s="74">
        <f>Devis[[#This Row],[Quantité Totale]]*Devis[[#This Row],[Prix de Revient]]</f>
        <v>0</v>
      </c>
    </row>
    <row r="3539" spans="1:28" ht="14.25" outlineLevel="1" x14ac:dyDescent="0.2">
      <c r="A3539" s="75" t="s">
        <v>2983</v>
      </c>
      <c r="B3539" s="76" t="s">
        <v>3177</v>
      </c>
      <c r="C3539" s="75" t="s">
        <v>5319</v>
      </c>
      <c r="D3539" s="81" t="str">
        <f t="shared" si="64"/>
        <v>TransairVannesMini vanne</v>
      </c>
      <c r="E3539" s="104" t="s">
        <v>5320</v>
      </c>
      <c r="F3539" s="81">
        <v>14</v>
      </c>
      <c r="G3539" s="123" t="s">
        <v>3346</v>
      </c>
      <c r="H3539" s="71" t="s">
        <v>3293</v>
      </c>
      <c r="I3539" s="104" t="s">
        <v>3133</v>
      </c>
      <c r="J3539" s="70">
        <f>IFERROR(VLOOKUP(Devis[[#This Row],[Ref Air Flux]],#REF!,3,FALSE),0)</f>
        <v>0</v>
      </c>
      <c r="K3539" s="68"/>
      <c r="L3539" s="68"/>
      <c r="M3539" s="68"/>
      <c r="N3539" s="68"/>
      <c r="O3539" s="68"/>
      <c r="P3539" s="68"/>
      <c r="Q3539" s="68">
        <f>SUM(Devis[[#This Row],[Poste 1]:[Poste 6]])</f>
        <v>0</v>
      </c>
      <c r="R3539" s="71"/>
      <c r="S3539" s="68">
        <f>_xlfn.CEILING.MATH(Devis[[#This Row],[Quantité Totale]],Devis[[#This Row],[Conditionnement]])</f>
        <v>0</v>
      </c>
      <c r="T3539" s="72"/>
      <c r="U3539" s="73"/>
      <c r="V3539" s="74">
        <f>Devis[[#This Row],[Prix de Revient]]*Devis[[#This Row],[Poste 1]]</f>
        <v>0</v>
      </c>
      <c r="W3539" s="74">
        <f>Devis[[#This Row],[Prix de Revient]]*Devis[[#This Row],[Poste 2]]</f>
        <v>0</v>
      </c>
      <c r="X3539" s="74">
        <f>Devis[[#This Row],[Prix de Revient]]*Devis[[#This Row],[Poste 3]]</f>
        <v>0</v>
      </c>
      <c r="Y3539" s="74">
        <f>Devis[[#This Row],[Poste 4]]*Devis[[#This Row],[Prix de Revient]]</f>
        <v>0</v>
      </c>
      <c r="Z3539" s="74">
        <f>Devis[[#This Row],[Poste 5]]*Devis[[#This Row],[Prix de Revient]]</f>
        <v>0</v>
      </c>
      <c r="AA3539" s="74">
        <f>Devis[[#This Row],[Prix de Revient]]*Devis[[#This Row],[Poste 6]]</f>
        <v>0</v>
      </c>
      <c r="AB3539" s="74">
        <f>Devis[[#This Row],[Quantité Totale]]*Devis[[#This Row],[Prix de Revient]]</f>
        <v>0</v>
      </c>
    </row>
    <row r="3540" spans="1:28" ht="14.25" customHeight="1" outlineLevel="1" x14ac:dyDescent="0.2">
      <c r="A3540" s="75" t="s">
        <v>2983</v>
      </c>
      <c r="B3540" s="76" t="s">
        <v>3177</v>
      </c>
      <c r="C3540" s="75" t="s">
        <v>5321</v>
      </c>
      <c r="D3540" s="81" t="str">
        <f t="shared" si="64"/>
        <v>TransairVannesPapillon joint NBR</v>
      </c>
      <c r="E3540" s="104" t="s">
        <v>627</v>
      </c>
      <c r="F3540" s="81">
        <v>15</v>
      </c>
      <c r="G3540" s="123" t="s">
        <v>3330</v>
      </c>
      <c r="H3540" s="71" t="s">
        <v>3293</v>
      </c>
      <c r="I3540" s="104" t="s">
        <v>3117</v>
      </c>
      <c r="J3540" s="70">
        <f>IFERROR(VLOOKUP(Devis[[#This Row],[Ref Air Flux]],#REF!,3,FALSE),0)</f>
        <v>0</v>
      </c>
      <c r="K3540" s="68"/>
      <c r="L3540" s="68"/>
      <c r="M3540" s="68"/>
      <c r="N3540" s="68"/>
      <c r="O3540" s="68"/>
      <c r="P3540" s="68"/>
      <c r="Q3540" s="68">
        <f>SUM(Devis[[#This Row],[Poste 1]:[Poste 6]])</f>
        <v>0</v>
      </c>
      <c r="R3540" s="71"/>
      <c r="S3540" s="68">
        <f>_xlfn.CEILING.MATH(Devis[[#This Row],[Quantité Totale]],Devis[[#This Row],[Conditionnement]])</f>
        <v>0</v>
      </c>
      <c r="T3540" s="72"/>
      <c r="U3540" s="73"/>
      <c r="V3540" s="74">
        <f>Devis[[#This Row],[Prix de Revient]]*Devis[[#This Row],[Poste 1]]</f>
        <v>0</v>
      </c>
      <c r="W3540" s="74">
        <f>Devis[[#This Row],[Prix de Revient]]*Devis[[#This Row],[Poste 2]]</f>
        <v>0</v>
      </c>
      <c r="X3540" s="74">
        <f>Devis[[#This Row],[Prix de Revient]]*Devis[[#This Row],[Poste 3]]</f>
        <v>0</v>
      </c>
      <c r="Y3540" s="74">
        <f>Devis[[#This Row],[Poste 4]]*Devis[[#This Row],[Prix de Revient]]</f>
        <v>0</v>
      </c>
      <c r="Z3540" s="74">
        <f>Devis[[#This Row],[Poste 5]]*Devis[[#This Row],[Prix de Revient]]</f>
        <v>0</v>
      </c>
      <c r="AA3540" s="74">
        <f>Devis[[#This Row],[Prix de Revient]]*Devis[[#This Row],[Poste 6]]</f>
        <v>0</v>
      </c>
      <c r="AB3540" s="74">
        <f>Devis[[#This Row],[Quantité Totale]]*Devis[[#This Row],[Prix de Revient]]</f>
        <v>0</v>
      </c>
    </row>
    <row r="3541" spans="1:28" ht="14.25" outlineLevel="1" x14ac:dyDescent="0.2">
      <c r="A3541" s="75" t="s">
        <v>2983</v>
      </c>
      <c r="B3541" s="76" t="s">
        <v>3177</v>
      </c>
      <c r="C3541" s="75" t="s">
        <v>5321</v>
      </c>
      <c r="D3541" s="81" t="str">
        <f t="shared" si="64"/>
        <v>TransairVannesPapillon joint NBR</v>
      </c>
      <c r="E3541" s="104" t="s">
        <v>629</v>
      </c>
      <c r="F3541" s="81">
        <v>16</v>
      </c>
      <c r="G3541" s="123" t="s">
        <v>3331</v>
      </c>
      <c r="H3541" s="71" t="s">
        <v>3293</v>
      </c>
      <c r="I3541" s="104" t="s">
        <v>3118</v>
      </c>
      <c r="J3541" s="70">
        <f>IFERROR(VLOOKUP(Devis[[#This Row],[Ref Air Flux]],#REF!,3,FALSE),0)</f>
        <v>0</v>
      </c>
      <c r="K3541" s="68"/>
      <c r="L3541" s="68"/>
      <c r="M3541" s="68"/>
      <c r="N3541" s="68"/>
      <c r="O3541" s="68"/>
      <c r="P3541" s="68"/>
      <c r="Q3541" s="68">
        <f>SUM(Devis[[#This Row],[Poste 1]:[Poste 6]])</f>
        <v>0</v>
      </c>
      <c r="R3541" s="71"/>
      <c r="S3541" s="68">
        <f>_xlfn.CEILING.MATH(Devis[[#This Row],[Quantité Totale]],Devis[[#This Row],[Conditionnement]])</f>
        <v>0</v>
      </c>
      <c r="T3541" s="72"/>
      <c r="U3541" s="73"/>
      <c r="V3541" s="74">
        <f>Devis[[#This Row],[Prix de Revient]]*Devis[[#This Row],[Poste 1]]</f>
        <v>0</v>
      </c>
      <c r="W3541" s="74">
        <f>Devis[[#This Row],[Prix de Revient]]*Devis[[#This Row],[Poste 2]]</f>
        <v>0</v>
      </c>
      <c r="X3541" s="74">
        <f>Devis[[#This Row],[Prix de Revient]]*Devis[[#This Row],[Poste 3]]</f>
        <v>0</v>
      </c>
      <c r="Y3541" s="74">
        <f>Devis[[#This Row],[Poste 4]]*Devis[[#This Row],[Prix de Revient]]</f>
        <v>0</v>
      </c>
      <c r="Z3541" s="74">
        <f>Devis[[#This Row],[Poste 5]]*Devis[[#This Row],[Prix de Revient]]</f>
        <v>0</v>
      </c>
      <c r="AA3541" s="74">
        <f>Devis[[#This Row],[Prix de Revient]]*Devis[[#This Row],[Poste 6]]</f>
        <v>0</v>
      </c>
      <c r="AB3541" s="74">
        <f>Devis[[#This Row],[Quantité Totale]]*Devis[[#This Row],[Prix de Revient]]</f>
        <v>0</v>
      </c>
    </row>
    <row r="3542" spans="1:28" ht="15" customHeight="1" outlineLevel="1" x14ac:dyDescent="0.2">
      <c r="A3542" s="75" t="s">
        <v>2983</v>
      </c>
      <c r="B3542" s="76" t="s">
        <v>3177</v>
      </c>
      <c r="C3542" s="75" t="s">
        <v>5321</v>
      </c>
      <c r="D3542" s="81" t="str">
        <f t="shared" si="64"/>
        <v>TransairVannesPapillon joint NBR</v>
      </c>
      <c r="E3542" s="104" t="s">
        <v>631</v>
      </c>
      <c r="F3542" s="81">
        <v>17</v>
      </c>
      <c r="G3542" s="123" t="s">
        <v>3332</v>
      </c>
      <c r="H3542" s="71" t="s">
        <v>3293</v>
      </c>
      <c r="I3542" s="104" t="s">
        <v>3119</v>
      </c>
      <c r="J3542" s="70">
        <f>IFERROR(VLOOKUP(Devis[[#This Row],[Ref Air Flux]],#REF!,3,FALSE),0)</f>
        <v>0</v>
      </c>
      <c r="K3542" s="68"/>
      <c r="L3542" s="68"/>
      <c r="M3542" s="68"/>
      <c r="N3542" s="68"/>
      <c r="O3542" s="68"/>
      <c r="P3542" s="68"/>
      <c r="Q3542" s="68">
        <f>SUM(Devis[[#This Row],[Poste 1]:[Poste 6]])</f>
        <v>0</v>
      </c>
      <c r="R3542" s="71"/>
      <c r="S3542" s="68">
        <f>_xlfn.CEILING.MATH(Devis[[#This Row],[Quantité Totale]],Devis[[#This Row],[Conditionnement]])</f>
        <v>0</v>
      </c>
      <c r="T3542" s="72"/>
      <c r="U3542" s="73"/>
      <c r="V3542" s="74">
        <f>Devis[[#This Row],[Prix de Revient]]*Devis[[#This Row],[Poste 1]]</f>
        <v>0</v>
      </c>
      <c r="W3542" s="74">
        <f>Devis[[#This Row],[Prix de Revient]]*Devis[[#This Row],[Poste 2]]</f>
        <v>0</v>
      </c>
      <c r="X3542" s="74">
        <f>Devis[[#This Row],[Prix de Revient]]*Devis[[#This Row],[Poste 3]]</f>
        <v>0</v>
      </c>
      <c r="Y3542" s="74">
        <f>Devis[[#This Row],[Poste 4]]*Devis[[#This Row],[Prix de Revient]]</f>
        <v>0</v>
      </c>
      <c r="Z3542" s="74">
        <f>Devis[[#This Row],[Poste 5]]*Devis[[#This Row],[Prix de Revient]]</f>
        <v>0</v>
      </c>
      <c r="AA3542" s="74">
        <f>Devis[[#This Row],[Prix de Revient]]*Devis[[#This Row],[Poste 6]]</f>
        <v>0</v>
      </c>
      <c r="AB3542" s="74">
        <f>Devis[[#This Row],[Quantité Totale]]*Devis[[#This Row],[Prix de Revient]]</f>
        <v>0</v>
      </c>
    </row>
    <row r="3543" spans="1:28" ht="14.25" customHeight="1" outlineLevel="1" x14ac:dyDescent="0.2">
      <c r="A3543" s="75" t="s">
        <v>2983</v>
      </c>
      <c r="B3543" s="76" t="s">
        <v>3177</v>
      </c>
      <c r="C3543" s="75" t="s">
        <v>5322</v>
      </c>
      <c r="D3543" s="81" t="str">
        <f t="shared" si="64"/>
        <v>TransairVannesPilotée</v>
      </c>
      <c r="E3543" s="104" t="s">
        <v>3134</v>
      </c>
      <c r="F3543" s="81">
        <v>18</v>
      </c>
      <c r="G3543" s="123">
        <v>42300040</v>
      </c>
      <c r="H3543" s="71" t="s">
        <v>3293</v>
      </c>
      <c r="I3543" s="104" t="s">
        <v>3135</v>
      </c>
      <c r="J3543" s="70">
        <f>IFERROR(VLOOKUP(Devis[[#This Row],[Ref Air Flux]],#REF!,3,FALSE),0)</f>
        <v>0</v>
      </c>
      <c r="K3543" s="68"/>
      <c r="L3543" s="68"/>
      <c r="M3543" s="68"/>
      <c r="N3543" s="68"/>
      <c r="O3543" s="68"/>
      <c r="P3543" s="68"/>
      <c r="Q3543" s="68">
        <f>SUM(Devis[[#This Row],[Poste 1]:[Poste 6]])</f>
        <v>0</v>
      </c>
      <c r="R3543" s="71"/>
      <c r="S3543" s="68">
        <f>_xlfn.CEILING.MATH(Devis[[#This Row],[Quantité Totale]],Devis[[#This Row],[Conditionnement]])</f>
        <v>0</v>
      </c>
      <c r="T3543" s="72"/>
      <c r="U3543" s="73"/>
      <c r="V3543" s="74">
        <f>Devis[[#This Row],[Prix de Revient]]*Devis[[#This Row],[Poste 1]]</f>
        <v>0</v>
      </c>
      <c r="W3543" s="74">
        <f>Devis[[#This Row],[Prix de Revient]]*Devis[[#This Row],[Poste 2]]</f>
        <v>0</v>
      </c>
      <c r="X3543" s="74">
        <f>Devis[[#This Row],[Prix de Revient]]*Devis[[#This Row],[Poste 3]]</f>
        <v>0</v>
      </c>
      <c r="Y3543" s="74">
        <f>Devis[[#This Row],[Poste 4]]*Devis[[#This Row],[Prix de Revient]]</f>
        <v>0</v>
      </c>
      <c r="Z3543" s="74">
        <f>Devis[[#This Row],[Poste 5]]*Devis[[#This Row],[Prix de Revient]]</f>
        <v>0</v>
      </c>
      <c r="AA3543" s="74">
        <f>Devis[[#This Row],[Prix de Revient]]*Devis[[#This Row],[Poste 6]]</f>
        <v>0</v>
      </c>
      <c r="AB3543" s="74">
        <f>Devis[[#This Row],[Quantité Totale]]*Devis[[#This Row],[Prix de Revient]]</f>
        <v>0</v>
      </c>
    </row>
    <row r="3544" spans="1:28" ht="14.25" outlineLevel="1" x14ac:dyDescent="0.2">
      <c r="A3544" s="75" t="s">
        <v>2983</v>
      </c>
      <c r="B3544" s="76" t="s">
        <v>3177</v>
      </c>
      <c r="C3544" s="75" t="s">
        <v>5322</v>
      </c>
      <c r="D3544" s="81" t="str">
        <f t="shared" si="64"/>
        <v>TransairVannesPilotée</v>
      </c>
      <c r="E3544" s="104" t="s">
        <v>3136</v>
      </c>
      <c r="F3544" s="81">
        <v>19</v>
      </c>
      <c r="G3544" s="123">
        <v>42990301</v>
      </c>
      <c r="H3544" s="71" t="s">
        <v>3293</v>
      </c>
      <c r="I3544" s="104" t="s">
        <v>3137</v>
      </c>
      <c r="J3544" s="70">
        <f>IFERROR(VLOOKUP(Devis[[#This Row],[Ref Air Flux]],#REF!,3,FALSE),0)</f>
        <v>0</v>
      </c>
      <c r="K3544" s="68"/>
      <c r="L3544" s="68"/>
      <c r="M3544" s="68"/>
      <c r="N3544" s="68"/>
      <c r="O3544" s="68"/>
      <c r="P3544" s="68"/>
      <c r="Q3544" s="68">
        <f>SUM(Devis[[#This Row],[Poste 1]:[Poste 6]])</f>
        <v>0</v>
      </c>
      <c r="R3544" s="71"/>
      <c r="S3544" s="68">
        <f>_xlfn.CEILING.MATH(Devis[[#This Row],[Quantité Totale]],Devis[[#This Row],[Conditionnement]])</f>
        <v>0</v>
      </c>
      <c r="T3544" s="72"/>
      <c r="U3544" s="73"/>
      <c r="V3544" s="74">
        <f>Devis[[#This Row],[Prix de Revient]]*Devis[[#This Row],[Poste 1]]</f>
        <v>0</v>
      </c>
      <c r="W3544" s="74">
        <f>Devis[[#This Row],[Prix de Revient]]*Devis[[#This Row],[Poste 2]]</f>
        <v>0</v>
      </c>
      <c r="X3544" s="74">
        <f>Devis[[#This Row],[Prix de Revient]]*Devis[[#This Row],[Poste 3]]</f>
        <v>0</v>
      </c>
      <c r="Y3544" s="74">
        <f>Devis[[#This Row],[Poste 4]]*Devis[[#This Row],[Prix de Revient]]</f>
        <v>0</v>
      </c>
      <c r="Z3544" s="74">
        <f>Devis[[#This Row],[Poste 5]]*Devis[[#This Row],[Prix de Revient]]</f>
        <v>0</v>
      </c>
      <c r="AA3544" s="74">
        <f>Devis[[#This Row],[Prix de Revient]]*Devis[[#This Row],[Poste 6]]</f>
        <v>0</v>
      </c>
      <c r="AB3544" s="74">
        <f>Devis[[#This Row],[Quantité Totale]]*Devis[[#This Row],[Prix de Revient]]</f>
        <v>0</v>
      </c>
    </row>
    <row r="3545" spans="1:28" ht="15" customHeight="1" x14ac:dyDescent="0.25">
      <c r="A3545" s="65" t="s">
        <v>3177</v>
      </c>
      <c r="B3545" s="65" t="s">
        <v>3935</v>
      </c>
      <c r="C3545" s="113" t="s">
        <v>3936</v>
      </c>
      <c r="D3545" s="81" t="str">
        <f t="shared" si="64"/>
        <v>VannesVanne 3VVanne 3V a secteur fonte</v>
      </c>
      <c r="E3545" s="76"/>
      <c r="F3545" s="76">
        <v>0</v>
      </c>
      <c r="G3545" s="71"/>
      <c r="H3545" s="71"/>
      <c r="I3545" s="71"/>
      <c r="J3545" s="70">
        <f>IFERROR(VLOOKUP(Devis[[#This Row],[Ref Air Flux]],#REF!,3,FALSE),0)</f>
        <v>0</v>
      </c>
      <c r="K3545" s="68"/>
      <c r="L3545" s="68"/>
      <c r="M3545" s="68"/>
      <c r="N3545" s="68"/>
      <c r="O3545" s="68"/>
      <c r="P3545" s="68"/>
      <c r="Q3545" s="68">
        <f>SUM(Devis[[#This Row],[Poste 1]:[Poste 6]])</f>
        <v>0</v>
      </c>
      <c r="R3545" s="94"/>
      <c r="S3545" s="68">
        <f>_xlfn.CEILING.MATH(Devis[[#This Row],[Quantité Totale]],Devis[[#This Row],[Conditionnement]])</f>
        <v>0</v>
      </c>
      <c r="T3545" s="72"/>
      <c r="U3545" s="73"/>
      <c r="V3545" s="74">
        <f>Devis[[#This Row],[Prix de Revient]]*Devis[[#This Row],[Poste 1]]</f>
        <v>0</v>
      </c>
      <c r="W3545" s="74">
        <f>Devis[[#This Row],[Prix de Revient]]*Devis[[#This Row],[Poste 2]]</f>
        <v>0</v>
      </c>
      <c r="X3545" s="74">
        <f>Devis[[#This Row],[Prix de Revient]]*Devis[[#This Row],[Poste 3]]</f>
        <v>0</v>
      </c>
      <c r="Y3545" s="74">
        <f>Devis[[#This Row],[Poste 4]]*Devis[[#This Row],[Prix de Revient]]</f>
        <v>0</v>
      </c>
      <c r="Z3545" s="74">
        <f>Devis[[#This Row],[Poste 5]]*Devis[[#This Row],[Prix de Revient]]</f>
        <v>0</v>
      </c>
      <c r="AA3545" s="74">
        <f>Devis[[#This Row],[Prix de Revient]]*Devis[[#This Row],[Poste 6]]</f>
        <v>0</v>
      </c>
      <c r="AB3545" s="74">
        <f>Devis[[#This Row],[Quantité Totale]]*Devis[[#This Row],[Prix de Revient]]</f>
        <v>0</v>
      </c>
    </row>
    <row r="3546" spans="1:28" ht="14.25" outlineLevel="1" x14ac:dyDescent="0.2">
      <c r="A3546" s="75" t="s">
        <v>3177</v>
      </c>
      <c r="B3546" s="76" t="s">
        <v>3935</v>
      </c>
      <c r="C3546" s="76" t="s">
        <v>3936</v>
      </c>
      <c r="D3546" s="81" t="str">
        <f t="shared" si="64"/>
        <v>VannesVanne 3VVanne 3V a secteur fonte</v>
      </c>
      <c r="E3546" s="76" t="s">
        <v>3937</v>
      </c>
      <c r="F3546" s="76">
        <v>1</v>
      </c>
      <c r="G3546" s="71" t="s">
        <v>2935</v>
      </c>
      <c r="H3546" s="71" t="s">
        <v>2936</v>
      </c>
      <c r="I3546" s="71" t="s">
        <v>2937</v>
      </c>
      <c r="J3546" s="70">
        <f>IFERROR(VLOOKUP(Devis[[#This Row],[Ref Air Flux]],#REF!,3,FALSE),0)</f>
        <v>0</v>
      </c>
      <c r="K3546" s="68"/>
      <c r="L3546" s="68"/>
      <c r="M3546" s="68"/>
      <c r="N3546" s="68"/>
      <c r="O3546" s="68"/>
      <c r="P3546" s="68"/>
      <c r="Q3546" s="68">
        <f>SUM(Devis[[#This Row],[Poste 1]:[Poste 6]])</f>
        <v>0</v>
      </c>
      <c r="R3546" s="71"/>
      <c r="S3546" s="68">
        <f>_xlfn.CEILING.MATH(Devis[[#This Row],[Quantité Totale]],Devis[[#This Row],[Conditionnement]])</f>
        <v>0</v>
      </c>
      <c r="T3546" s="72"/>
      <c r="U3546" s="73"/>
      <c r="V3546" s="74">
        <f>Devis[[#This Row],[Prix de Revient]]*Devis[[#This Row],[Poste 1]]</f>
        <v>0</v>
      </c>
      <c r="W3546" s="74">
        <f>Devis[[#This Row],[Prix de Revient]]*Devis[[#This Row],[Poste 2]]</f>
        <v>0</v>
      </c>
      <c r="X3546" s="74">
        <f>Devis[[#This Row],[Prix de Revient]]*Devis[[#This Row],[Poste 3]]</f>
        <v>0</v>
      </c>
      <c r="Y3546" s="74">
        <f>Devis[[#This Row],[Poste 4]]*Devis[[#This Row],[Prix de Revient]]</f>
        <v>0</v>
      </c>
      <c r="Z3546" s="74">
        <f>Devis[[#This Row],[Poste 5]]*Devis[[#This Row],[Prix de Revient]]</f>
        <v>0</v>
      </c>
      <c r="AA3546" s="74">
        <f>Devis[[#This Row],[Prix de Revient]]*Devis[[#This Row],[Poste 6]]</f>
        <v>0</v>
      </c>
      <c r="AB3546" s="74">
        <f>Devis[[#This Row],[Quantité Totale]]*Devis[[#This Row],[Prix de Revient]]</f>
        <v>0</v>
      </c>
    </row>
    <row r="3547" spans="1:28" ht="14.25" outlineLevel="1" x14ac:dyDescent="0.2">
      <c r="A3547" s="75" t="s">
        <v>3177</v>
      </c>
      <c r="B3547" s="76" t="s">
        <v>3935</v>
      </c>
      <c r="C3547" s="76" t="s">
        <v>3936</v>
      </c>
      <c r="D3547" s="81" t="str">
        <f t="shared" ref="D3547:D3610" si="65">A3547&amp;B3547&amp;C3547</f>
        <v>VannesVanne 3VVanne 3V a secteur fonte</v>
      </c>
      <c r="E3547" s="76" t="s">
        <v>3938</v>
      </c>
      <c r="F3547" s="76">
        <v>2</v>
      </c>
      <c r="G3547" s="71" t="s">
        <v>2939</v>
      </c>
      <c r="H3547" s="71" t="s">
        <v>2936</v>
      </c>
      <c r="I3547" s="71" t="s">
        <v>2940</v>
      </c>
      <c r="J3547" s="70">
        <f>IFERROR(VLOOKUP(Devis[[#This Row],[Ref Air Flux]],#REF!,3,FALSE),0)</f>
        <v>0</v>
      </c>
      <c r="K3547" s="68"/>
      <c r="L3547" s="68"/>
      <c r="M3547" s="68"/>
      <c r="N3547" s="68"/>
      <c r="O3547" s="68"/>
      <c r="P3547" s="68"/>
      <c r="Q3547" s="68">
        <f>SUM(Devis[[#This Row],[Poste 1]:[Poste 6]])</f>
        <v>0</v>
      </c>
      <c r="R3547" s="71"/>
      <c r="S3547" s="68">
        <f>_xlfn.CEILING.MATH(Devis[[#This Row],[Quantité Totale]],Devis[[#This Row],[Conditionnement]])</f>
        <v>0</v>
      </c>
      <c r="T3547" s="72"/>
      <c r="U3547" s="73"/>
      <c r="V3547" s="74">
        <f>Devis[[#This Row],[Prix de Revient]]*Devis[[#This Row],[Poste 1]]</f>
        <v>0</v>
      </c>
      <c r="W3547" s="74">
        <f>Devis[[#This Row],[Prix de Revient]]*Devis[[#This Row],[Poste 2]]</f>
        <v>0</v>
      </c>
      <c r="X3547" s="74">
        <f>Devis[[#This Row],[Prix de Revient]]*Devis[[#This Row],[Poste 3]]</f>
        <v>0</v>
      </c>
      <c r="Y3547" s="74">
        <f>Devis[[#This Row],[Poste 4]]*Devis[[#This Row],[Prix de Revient]]</f>
        <v>0</v>
      </c>
      <c r="Z3547" s="74">
        <f>Devis[[#This Row],[Poste 5]]*Devis[[#This Row],[Prix de Revient]]</f>
        <v>0</v>
      </c>
      <c r="AA3547" s="74">
        <f>Devis[[#This Row],[Prix de Revient]]*Devis[[#This Row],[Poste 6]]</f>
        <v>0</v>
      </c>
      <c r="AB3547" s="74">
        <f>Devis[[#This Row],[Quantité Totale]]*Devis[[#This Row],[Prix de Revient]]</f>
        <v>0</v>
      </c>
    </row>
    <row r="3548" spans="1:28" ht="14.25" outlineLevel="1" x14ac:dyDescent="0.2">
      <c r="A3548" s="75" t="s">
        <v>3177</v>
      </c>
      <c r="B3548" s="76" t="s">
        <v>3935</v>
      </c>
      <c r="C3548" s="76" t="s">
        <v>3936</v>
      </c>
      <c r="D3548" s="81" t="str">
        <f t="shared" si="65"/>
        <v>VannesVanne 3VVanne 3V a secteur fonte</v>
      </c>
      <c r="E3548" s="76" t="s">
        <v>3939</v>
      </c>
      <c r="F3548" s="76">
        <v>3</v>
      </c>
      <c r="G3548" s="71" t="s">
        <v>2942</v>
      </c>
      <c r="H3548" s="71" t="s">
        <v>2936</v>
      </c>
      <c r="I3548" s="71" t="s">
        <v>2943</v>
      </c>
      <c r="J3548" s="70">
        <f>IFERROR(VLOOKUP(Devis[[#This Row],[Ref Air Flux]],#REF!,3,FALSE),0)</f>
        <v>0</v>
      </c>
      <c r="K3548" s="68"/>
      <c r="L3548" s="68"/>
      <c r="M3548" s="68"/>
      <c r="N3548" s="68"/>
      <c r="O3548" s="68"/>
      <c r="P3548" s="68"/>
      <c r="Q3548" s="68">
        <f>SUM(Devis[[#This Row],[Poste 1]:[Poste 6]])</f>
        <v>0</v>
      </c>
      <c r="R3548" s="71"/>
      <c r="S3548" s="68">
        <f>_xlfn.CEILING.MATH(Devis[[#This Row],[Quantité Totale]],Devis[[#This Row],[Conditionnement]])</f>
        <v>0</v>
      </c>
      <c r="T3548" s="72"/>
      <c r="U3548" s="73"/>
      <c r="V3548" s="74">
        <f>Devis[[#This Row],[Prix de Revient]]*Devis[[#This Row],[Poste 1]]</f>
        <v>0</v>
      </c>
      <c r="W3548" s="74">
        <f>Devis[[#This Row],[Prix de Revient]]*Devis[[#This Row],[Poste 2]]</f>
        <v>0</v>
      </c>
      <c r="X3548" s="74">
        <f>Devis[[#This Row],[Prix de Revient]]*Devis[[#This Row],[Poste 3]]</f>
        <v>0</v>
      </c>
      <c r="Y3548" s="74">
        <f>Devis[[#This Row],[Poste 4]]*Devis[[#This Row],[Prix de Revient]]</f>
        <v>0</v>
      </c>
      <c r="Z3548" s="74">
        <f>Devis[[#This Row],[Poste 5]]*Devis[[#This Row],[Prix de Revient]]</f>
        <v>0</v>
      </c>
      <c r="AA3548" s="74">
        <f>Devis[[#This Row],[Prix de Revient]]*Devis[[#This Row],[Poste 6]]</f>
        <v>0</v>
      </c>
      <c r="AB3548" s="74">
        <f>Devis[[#This Row],[Quantité Totale]]*Devis[[#This Row],[Prix de Revient]]</f>
        <v>0</v>
      </c>
    </row>
    <row r="3549" spans="1:28" ht="14.25" outlineLevel="1" x14ac:dyDescent="0.2">
      <c r="A3549" s="75" t="s">
        <v>3177</v>
      </c>
      <c r="B3549" s="76" t="s">
        <v>3935</v>
      </c>
      <c r="C3549" s="76" t="s">
        <v>3936</v>
      </c>
      <c r="D3549" s="81" t="str">
        <f t="shared" si="65"/>
        <v>VannesVanne 3VVanne 3V a secteur fonte</v>
      </c>
      <c r="E3549" s="76" t="s">
        <v>3940</v>
      </c>
      <c r="F3549" s="76">
        <v>4</v>
      </c>
      <c r="G3549" s="71" t="s">
        <v>2945</v>
      </c>
      <c r="H3549" s="71" t="s">
        <v>2936</v>
      </c>
      <c r="I3549" s="71" t="s">
        <v>2946</v>
      </c>
      <c r="J3549" s="70">
        <f>IFERROR(VLOOKUP(Devis[[#This Row],[Ref Air Flux]],#REF!,3,FALSE),0)</f>
        <v>0</v>
      </c>
      <c r="K3549" s="68"/>
      <c r="L3549" s="68"/>
      <c r="M3549" s="68"/>
      <c r="N3549" s="68"/>
      <c r="O3549" s="68"/>
      <c r="P3549" s="68"/>
      <c r="Q3549" s="68">
        <f>SUM(Devis[[#This Row],[Poste 1]:[Poste 6]])</f>
        <v>0</v>
      </c>
      <c r="R3549" s="71"/>
      <c r="S3549" s="68">
        <f>_xlfn.CEILING.MATH(Devis[[#This Row],[Quantité Totale]],Devis[[#This Row],[Conditionnement]])</f>
        <v>0</v>
      </c>
      <c r="T3549" s="72"/>
      <c r="U3549" s="73"/>
      <c r="V3549" s="74">
        <f>Devis[[#This Row],[Prix de Revient]]*Devis[[#This Row],[Poste 1]]</f>
        <v>0</v>
      </c>
      <c r="W3549" s="74">
        <f>Devis[[#This Row],[Prix de Revient]]*Devis[[#This Row],[Poste 2]]</f>
        <v>0</v>
      </c>
      <c r="X3549" s="74">
        <f>Devis[[#This Row],[Prix de Revient]]*Devis[[#This Row],[Poste 3]]</f>
        <v>0</v>
      </c>
      <c r="Y3549" s="74">
        <f>Devis[[#This Row],[Poste 4]]*Devis[[#This Row],[Prix de Revient]]</f>
        <v>0</v>
      </c>
      <c r="Z3549" s="74">
        <f>Devis[[#This Row],[Poste 5]]*Devis[[#This Row],[Prix de Revient]]</f>
        <v>0</v>
      </c>
      <c r="AA3549" s="74">
        <f>Devis[[#This Row],[Prix de Revient]]*Devis[[#This Row],[Poste 6]]</f>
        <v>0</v>
      </c>
      <c r="AB3549" s="74">
        <f>Devis[[#This Row],[Quantité Totale]]*Devis[[#This Row],[Prix de Revient]]</f>
        <v>0</v>
      </c>
    </row>
    <row r="3550" spans="1:28" ht="14.25" customHeight="1" outlineLevel="1" x14ac:dyDescent="0.2">
      <c r="A3550" s="75" t="s">
        <v>3177</v>
      </c>
      <c r="B3550" s="76" t="s">
        <v>3935</v>
      </c>
      <c r="C3550" s="76" t="s">
        <v>3936</v>
      </c>
      <c r="D3550" s="81" t="str">
        <f t="shared" si="65"/>
        <v>VannesVanne 3VVanne 3V a secteur fonte</v>
      </c>
      <c r="E3550" s="76" t="s">
        <v>3941</v>
      </c>
      <c r="F3550" s="76">
        <v>5</v>
      </c>
      <c r="G3550" s="71" t="s">
        <v>2948</v>
      </c>
      <c r="H3550" s="71" t="s">
        <v>2936</v>
      </c>
      <c r="I3550" s="71" t="s">
        <v>2949</v>
      </c>
      <c r="J3550" s="70">
        <f>IFERROR(VLOOKUP(Devis[[#This Row],[Ref Air Flux]],#REF!,3,FALSE),0)</f>
        <v>0</v>
      </c>
      <c r="K3550" s="68"/>
      <c r="L3550" s="68"/>
      <c r="M3550" s="68"/>
      <c r="N3550" s="68"/>
      <c r="O3550" s="68"/>
      <c r="P3550" s="68"/>
      <c r="Q3550" s="68">
        <f>SUM(Devis[[#This Row],[Poste 1]:[Poste 6]])</f>
        <v>0</v>
      </c>
      <c r="R3550" s="71"/>
      <c r="S3550" s="68">
        <f>_xlfn.CEILING.MATH(Devis[[#This Row],[Quantité Totale]],Devis[[#This Row],[Conditionnement]])</f>
        <v>0</v>
      </c>
      <c r="T3550" s="72"/>
      <c r="U3550" s="73"/>
      <c r="V3550" s="74">
        <f>Devis[[#This Row],[Prix de Revient]]*Devis[[#This Row],[Poste 1]]</f>
        <v>0</v>
      </c>
      <c r="W3550" s="74">
        <f>Devis[[#This Row],[Prix de Revient]]*Devis[[#This Row],[Poste 2]]</f>
        <v>0</v>
      </c>
      <c r="X3550" s="74">
        <f>Devis[[#This Row],[Prix de Revient]]*Devis[[#This Row],[Poste 3]]</f>
        <v>0</v>
      </c>
      <c r="Y3550" s="74">
        <f>Devis[[#This Row],[Poste 4]]*Devis[[#This Row],[Prix de Revient]]</f>
        <v>0</v>
      </c>
      <c r="Z3550" s="74">
        <f>Devis[[#This Row],[Poste 5]]*Devis[[#This Row],[Prix de Revient]]</f>
        <v>0</v>
      </c>
      <c r="AA3550" s="74">
        <f>Devis[[#This Row],[Prix de Revient]]*Devis[[#This Row],[Poste 6]]</f>
        <v>0</v>
      </c>
      <c r="AB3550" s="74">
        <f>Devis[[#This Row],[Quantité Totale]]*Devis[[#This Row],[Prix de Revient]]</f>
        <v>0</v>
      </c>
    </row>
    <row r="3551" spans="1:28" ht="15" customHeight="1" x14ac:dyDescent="0.25">
      <c r="A3551" s="65" t="s">
        <v>3177</v>
      </c>
      <c r="B3551" s="65" t="s">
        <v>3942</v>
      </c>
      <c r="C3551" s="113" t="s">
        <v>3951</v>
      </c>
      <c r="D3551" s="81" t="str">
        <f t="shared" si="65"/>
        <v>VannesVanne Boisseau SphériqueInox Cadenassable FF - Poignée Longue</v>
      </c>
      <c r="E3551" s="76"/>
      <c r="F3551" s="76">
        <v>0</v>
      </c>
      <c r="G3551" s="71"/>
      <c r="H3551" s="71"/>
      <c r="I3551" s="71"/>
      <c r="J3551" s="70">
        <f>IFERROR(VLOOKUP(Devis[[#This Row],[Ref Air Flux]],#REF!,3,FALSE),0)</f>
        <v>0</v>
      </c>
      <c r="K3551" s="68"/>
      <c r="L3551" s="68"/>
      <c r="M3551" s="68"/>
      <c r="N3551" s="68"/>
      <c r="O3551" s="68"/>
      <c r="P3551" s="68"/>
      <c r="Q3551" s="68">
        <f>SUM(Devis[[#This Row],[Poste 1]:[Poste 6]])</f>
        <v>0</v>
      </c>
      <c r="R3551" s="71"/>
      <c r="S3551" s="68">
        <f>_xlfn.CEILING.MATH(Devis[[#This Row],[Quantité Totale]],Devis[[#This Row],[Conditionnement]])</f>
        <v>0</v>
      </c>
      <c r="T3551" s="72"/>
      <c r="U3551" s="73"/>
      <c r="V3551" s="74">
        <f>Devis[[#This Row],[Prix de Revient]]*Devis[[#This Row],[Poste 1]]</f>
        <v>0</v>
      </c>
      <c r="W3551" s="74">
        <f>Devis[[#This Row],[Prix de Revient]]*Devis[[#This Row],[Poste 2]]</f>
        <v>0</v>
      </c>
      <c r="X3551" s="74">
        <f>Devis[[#This Row],[Prix de Revient]]*Devis[[#This Row],[Poste 3]]</f>
        <v>0</v>
      </c>
      <c r="Y3551" s="74">
        <f>Devis[[#This Row],[Poste 4]]*Devis[[#This Row],[Prix de Revient]]</f>
        <v>0</v>
      </c>
      <c r="Z3551" s="74">
        <f>Devis[[#This Row],[Poste 5]]*Devis[[#This Row],[Prix de Revient]]</f>
        <v>0</v>
      </c>
      <c r="AA3551" s="74">
        <f>Devis[[#This Row],[Prix de Revient]]*Devis[[#This Row],[Poste 6]]</f>
        <v>0</v>
      </c>
      <c r="AB3551" s="74">
        <f>Devis[[#This Row],[Quantité Totale]]*Devis[[#This Row],[Prix de Revient]]</f>
        <v>0</v>
      </c>
    </row>
    <row r="3552" spans="1:28" ht="14.25" outlineLevel="1" x14ac:dyDescent="0.2">
      <c r="A3552" s="75" t="s">
        <v>3177</v>
      </c>
      <c r="B3552" s="76" t="s">
        <v>3942</v>
      </c>
      <c r="C3552" s="76" t="s">
        <v>3951</v>
      </c>
      <c r="D3552" s="81" t="str">
        <f t="shared" si="65"/>
        <v>VannesVanne Boisseau SphériqueInox Cadenassable FF - Poignée Longue</v>
      </c>
      <c r="E3552" s="76" t="s">
        <v>1943</v>
      </c>
      <c r="F3552" s="76">
        <v>1</v>
      </c>
      <c r="G3552" s="71" t="s">
        <v>3188</v>
      </c>
      <c r="H3552" s="71" t="s">
        <v>34</v>
      </c>
      <c r="I3552" s="71">
        <v>715104</v>
      </c>
      <c r="J3552" s="70">
        <f>IFERROR(VLOOKUP(Devis[[#This Row],[Ref Air Flux]],#REF!,3,FALSE),0)</f>
        <v>0</v>
      </c>
      <c r="K3552" s="68"/>
      <c r="L3552" s="68"/>
      <c r="M3552" s="68"/>
      <c r="N3552" s="68"/>
      <c r="O3552" s="68"/>
      <c r="P3552" s="68"/>
      <c r="Q3552" s="68">
        <f>SUM(Devis[[#This Row],[Poste 1]:[Poste 6]])</f>
        <v>0</v>
      </c>
      <c r="R3552" s="71"/>
      <c r="S3552" s="68">
        <f>_xlfn.CEILING.MATH(Devis[[#This Row],[Quantité Totale]],Devis[[#This Row],[Conditionnement]])</f>
        <v>0</v>
      </c>
      <c r="T3552" s="72"/>
      <c r="U3552" s="73"/>
      <c r="V3552" s="74">
        <f>Devis[[#This Row],[Prix de Revient]]*Devis[[#This Row],[Poste 1]]</f>
        <v>0</v>
      </c>
      <c r="W3552" s="74">
        <f>Devis[[#This Row],[Prix de Revient]]*Devis[[#This Row],[Poste 2]]</f>
        <v>0</v>
      </c>
      <c r="X3552" s="74">
        <f>Devis[[#This Row],[Prix de Revient]]*Devis[[#This Row],[Poste 3]]</f>
        <v>0</v>
      </c>
      <c r="Y3552" s="74">
        <f>Devis[[#This Row],[Poste 4]]*Devis[[#This Row],[Prix de Revient]]</f>
        <v>0</v>
      </c>
      <c r="Z3552" s="74">
        <f>Devis[[#This Row],[Poste 5]]*Devis[[#This Row],[Prix de Revient]]</f>
        <v>0</v>
      </c>
      <c r="AA3552" s="74">
        <f>Devis[[#This Row],[Prix de Revient]]*Devis[[#This Row],[Poste 6]]</f>
        <v>0</v>
      </c>
      <c r="AB3552" s="74">
        <f>Devis[[#This Row],[Quantité Totale]]*Devis[[#This Row],[Prix de Revient]]</f>
        <v>0</v>
      </c>
    </row>
    <row r="3553" spans="1:28" ht="14.25" outlineLevel="1" x14ac:dyDescent="0.2">
      <c r="A3553" s="75" t="s">
        <v>3177</v>
      </c>
      <c r="B3553" s="76" t="s">
        <v>3942</v>
      </c>
      <c r="C3553" s="76" t="s">
        <v>3951</v>
      </c>
      <c r="D3553" s="81" t="str">
        <f t="shared" si="65"/>
        <v>VannesVanne Boisseau SphériqueInox Cadenassable FF - Poignée Longue</v>
      </c>
      <c r="E3553" s="76" t="s">
        <v>2061</v>
      </c>
      <c r="F3553" s="76">
        <v>2</v>
      </c>
      <c r="G3553" s="71" t="s">
        <v>3189</v>
      </c>
      <c r="H3553" s="71" t="s">
        <v>34</v>
      </c>
      <c r="I3553" s="71">
        <v>715105</v>
      </c>
      <c r="J3553" s="70">
        <f>IFERROR(VLOOKUP(Devis[[#This Row],[Ref Air Flux]],#REF!,3,FALSE),0)</f>
        <v>0</v>
      </c>
      <c r="K3553" s="68"/>
      <c r="L3553" s="68"/>
      <c r="M3553" s="68"/>
      <c r="N3553" s="68"/>
      <c r="O3553" s="68"/>
      <c r="P3553" s="68"/>
      <c r="Q3553" s="68">
        <f>SUM(Devis[[#This Row],[Poste 1]:[Poste 6]])</f>
        <v>0</v>
      </c>
      <c r="R3553" s="71"/>
      <c r="S3553" s="68">
        <f>_xlfn.CEILING.MATH(Devis[[#This Row],[Quantité Totale]],Devis[[#This Row],[Conditionnement]])</f>
        <v>0</v>
      </c>
      <c r="T3553" s="72"/>
      <c r="U3553" s="75" t="s">
        <v>3952</v>
      </c>
      <c r="V3553" s="74">
        <f>Devis[[#This Row],[Prix de Revient]]*Devis[[#This Row],[Poste 1]]</f>
        <v>0</v>
      </c>
      <c r="W3553" s="74">
        <f>Devis[[#This Row],[Prix de Revient]]*Devis[[#This Row],[Poste 2]]</f>
        <v>0</v>
      </c>
      <c r="X3553" s="74">
        <f>Devis[[#This Row],[Prix de Revient]]*Devis[[#This Row],[Poste 3]]</f>
        <v>0</v>
      </c>
      <c r="Y3553" s="74">
        <f>Devis[[#This Row],[Poste 4]]*Devis[[#This Row],[Prix de Revient]]</f>
        <v>0</v>
      </c>
      <c r="Z3553" s="74">
        <f>Devis[[#This Row],[Poste 5]]*Devis[[#This Row],[Prix de Revient]]</f>
        <v>0</v>
      </c>
      <c r="AA3553" s="74">
        <f>Devis[[#This Row],[Prix de Revient]]*Devis[[#This Row],[Poste 6]]</f>
        <v>0</v>
      </c>
      <c r="AB3553" s="74">
        <f>Devis[[#This Row],[Quantité Totale]]*Devis[[#This Row],[Prix de Revient]]</f>
        <v>0</v>
      </c>
    </row>
    <row r="3554" spans="1:28" ht="14.25" outlineLevel="1" x14ac:dyDescent="0.2">
      <c r="A3554" s="75" t="s">
        <v>3177</v>
      </c>
      <c r="B3554" s="76" t="s">
        <v>3942</v>
      </c>
      <c r="C3554" s="76" t="s">
        <v>3951</v>
      </c>
      <c r="D3554" s="81" t="str">
        <f t="shared" si="65"/>
        <v>VannesVanne Boisseau SphériqueInox Cadenassable FF - Poignée Longue</v>
      </c>
      <c r="E3554" s="76" t="s">
        <v>2061</v>
      </c>
      <c r="F3554" s="76">
        <v>3</v>
      </c>
      <c r="G3554" s="71" t="s">
        <v>3953</v>
      </c>
      <c r="H3554" s="71" t="s">
        <v>3954</v>
      </c>
      <c r="I3554" s="71">
        <v>1610040</v>
      </c>
      <c r="J3554" s="70">
        <f>IFERROR(VLOOKUP(Devis[[#This Row],[Ref Air Flux]],#REF!,3,FALSE),0)</f>
        <v>0</v>
      </c>
      <c r="K3554" s="68"/>
      <c r="L3554" s="68"/>
      <c r="M3554" s="68"/>
      <c r="N3554" s="68"/>
      <c r="O3554" s="68"/>
      <c r="P3554" s="68"/>
      <c r="Q3554" s="68">
        <f>SUM(Devis[[#This Row],[Poste 1]:[Poste 6]])</f>
        <v>0</v>
      </c>
      <c r="R3554" s="71"/>
      <c r="S3554" s="68">
        <f>_xlfn.CEILING.MATH(Devis[[#This Row],[Quantité Totale]],Devis[[#This Row],[Conditionnement]])</f>
        <v>0</v>
      </c>
      <c r="T3554" s="72"/>
      <c r="U3554" s="75" t="s">
        <v>3952</v>
      </c>
      <c r="V3554" s="74">
        <f>Devis[[#This Row],[Prix de Revient]]*Devis[[#This Row],[Poste 1]]</f>
        <v>0</v>
      </c>
      <c r="W3554" s="74">
        <f>Devis[[#This Row],[Prix de Revient]]*Devis[[#This Row],[Poste 2]]</f>
        <v>0</v>
      </c>
      <c r="X3554" s="74">
        <f>Devis[[#This Row],[Prix de Revient]]*Devis[[#This Row],[Poste 3]]</f>
        <v>0</v>
      </c>
      <c r="Y3554" s="74">
        <f>Devis[[#This Row],[Poste 4]]*Devis[[#This Row],[Prix de Revient]]</f>
        <v>0</v>
      </c>
      <c r="Z3554" s="74">
        <f>Devis[[#This Row],[Poste 5]]*Devis[[#This Row],[Prix de Revient]]</f>
        <v>0</v>
      </c>
      <c r="AA3554" s="74">
        <f>Devis[[#This Row],[Prix de Revient]]*Devis[[#This Row],[Poste 6]]</f>
        <v>0</v>
      </c>
      <c r="AB3554" s="74">
        <f>Devis[[#This Row],[Quantité Totale]]*Devis[[#This Row],[Prix de Revient]]</f>
        <v>0</v>
      </c>
    </row>
    <row r="3555" spans="1:28" ht="14.25" outlineLevel="1" x14ac:dyDescent="0.2">
      <c r="A3555" s="75" t="s">
        <v>3177</v>
      </c>
      <c r="B3555" s="76" t="s">
        <v>3942</v>
      </c>
      <c r="C3555" s="76" t="s">
        <v>3951</v>
      </c>
      <c r="D3555" s="81" t="str">
        <f t="shared" si="65"/>
        <v>VannesVanne Boisseau SphériqueInox Cadenassable FF - Poignée Longue</v>
      </c>
      <c r="E3555" s="76" t="s">
        <v>19</v>
      </c>
      <c r="F3555" s="76">
        <v>4</v>
      </c>
      <c r="G3555" s="71" t="s">
        <v>3430</v>
      </c>
      <c r="H3555" s="71" t="s">
        <v>34</v>
      </c>
      <c r="I3555" s="71">
        <v>715106</v>
      </c>
      <c r="J3555" s="70">
        <f>IFERROR(VLOOKUP(Devis[[#This Row],[Ref Air Flux]],#REF!,3,FALSE),0)</f>
        <v>0</v>
      </c>
      <c r="K3555" s="68"/>
      <c r="L3555" s="68"/>
      <c r="M3555" s="68"/>
      <c r="N3555" s="68"/>
      <c r="O3555" s="68"/>
      <c r="P3555" s="68"/>
      <c r="Q3555" s="68">
        <f>SUM(Devis[[#This Row],[Poste 1]:[Poste 6]])</f>
        <v>0</v>
      </c>
      <c r="R3555" s="71"/>
      <c r="S3555" s="68">
        <f>_xlfn.CEILING.MATH(Devis[[#This Row],[Quantité Totale]],Devis[[#This Row],[Conditionnement]])</f>
        <v>0</v>
      </c>
      <c r="T3555" s="72"/>
      <c r="U3555" s="75"/>
      <c r="V3555" s="74">
        <f>Devis[[#This Row],[Prix de Revient]]*Devis[[#This Row],[Poste 1]]</f>
        <v>0</v>
      </c>
      <c r="W3555" s="74">
        <f>Devis[[#This Row],[Prix de Revient]]*Devis[[#This Row],[Poste 2]]</f>
        <v>0</v>
      </c>
      <c r="X3555" s="74">
        <f>Devis[[#This Row],[Prix de Revient]]*Devis[[#This Row],[Poste 3]]</f>
        <v>0</v>
      </c>
      <c r="Y3555" s="74">
        <f>Devis[[#This Row],[Poste 4]]*Devis[[#This Row],[Prix de Revient]]</f>
        <v>0</v>
      </c>
      <c r="Z3555" s="74">
        <f>Devis[[#This Row],[Poste 5]]*Devis[[#This Row],[Prix de Revient]]</f>
        <v>0</v>
      </c>
      <c r="AA3555" s="74">
        <f>Devis[[#This Row],[Prix de Revient]]*Devis[[#This Row],[Poste 6]]</f>
        <v>0</v>
      </c>
      <c r="AB3555" s="74">
        <f>Devis[[#This Row],[Quantité Totale]]*Devis[[#This Row],[Prix de Revient]]</f>
        <v>0</v>
      </c>
    </row>
    <row r="3556" spans="1:28" ht="14.25" customHeight="1" outlineLevel="1" x14ac:dyDescent="0.2">
      <c r="A3556" s="75" t="s">
        <v>3177</v>
      </c>
      <c r="B3556" s="76" t="s">
        <v>3942</v>
      </c>
      <c r="C3556" s="76" t="s">
        <v>3951</v>
      </c>
      <c r="D3556" s="81" t="str">
        <f t="shared" si="65"/>
        <v>VannesVanne Boisseau SphériqueInox Cadenassable FF - Poignée Longue</v>
      </c>
      <c r="E3556" s="76" t="s">
        <v>20</v>
      </c>
      <c r="F3556" s="76">
        <v>5</v>
      </c>
      <c r="G3556" s="71" t="s">
        <v>3190</v>
      </c>
      <c r="H3556" s="71" t="s">
        <v>34</v>
      </c>
      <c r="I3556" s="71">
        <v>715107</v>
      </c>
      <c r="J3556" s="70">
        <f>IFERROR(VLOOKUP(Devis[[#This Row],[Ref Air Flux]],#REF!,3,FALSE),0)</f>
        <v>0</v>
      </c>
      <c r="K3556" s="68"/>
      <c r="L3556" s="68"/>
      <c r="M3556" s="68"/>
      <c r="N3556" s="68"/>
      <c r="O3556" s="68"/>
      <c r="P3556" s="68"/>
      <c r="Q3556" s="68">
        <f>SUM(Devis[[#This Row],[Poste 1]:[Poste 6]])</f>
        <v>0</v>
      </c>
      <c r="R3556" s="71"/>
      <c r="S3556" s="68">
        <f>_xlfn.CEILING.MATH(Devis[[#This Row],[Quantité Totale]],Devis[[#This Row],[Conditionnement]])</f>
        <v>0</v>
      </c>
      <c r="T3556" s="72"/>
      <c r="U3556" s="75"/>
      <c r="V3556" s="74">
        <f>Devis[[#This Row],[Prix de Revient]]*Devis[[#This Row],[Poste 1]]</f>
        <v>0</v>
      </c>
      <c r="W3556" s="74">
        <f>Devis[[#This Row],[Prix de Revient]]*Devis[[#This Row],[Poste 2]]</f>
        <v>0</v>
      </c>
      <c r="X3556" s="74">
        <f>Devis[[#This Row],[Prix de Revient]]*Devis[[#This Row],[Poste 3]]</f>
        <v>0</v>
      </c>
      <c r="Y3556" s="74">
        <f>Devis[[#This Row],[Poste 4]]*Devis[[#This Row],[Prix de Revient]]</f>
        <v>0</v>
      </c>
      <c r="Z3556" s="74">
        <f>Devis[[#This Row],[Poste 5]]*Devis[[#This Row],[Prix de Revient]]</f>
        <v>0</v>
      </c>
      <c r="AA3556" s="74">
        <f>Devis[[#This Row],[Prix de Revient]]*Devis[[#This Row],[Poste 6]]</f>
        <v>0</v>
      </c>
      <c r="AB3556" s="74">
        <f>Devis[[#This Row],[Quantité Totale]]*Devis[[#This Row],[Prix de Revient]]</f>
        <v>0</v>
      </c>
    </row>
    <row r="3557" spans="1:28" ht="14.25" outlineLevel="1" x14ac:dyDescent="0.2">
      <c r="A3557" s="75" t="s">
        <v>3177</v>
      </c>
      <c r="B3557" s="76" t="s">
        <v>3942</v>
      </c>
      <c r="C3557" s="76" t="s">
        <v>3951</v>
      </c>
      <c r="D3557" s="81" t="str">
        <f t="shared" si="65"/>
        <v>VannesVanne Boisseau SphériqueInox Cadenassable FF - Poignée Longue</v>
      </c>
      <c r="E3557" s="76" t="s">
        <v>21</v>
      </c>
      <c r="F3557" s="76">
        <v>6</v>
      </c>
      <c r="G3557" s="71" t="s">
        <v>3191</v>
      </c>
      <c r="H3557" s="71" t="s">
        <v>34</v>
      </c>
      <c r="I3557" s="71">
        <v>715108</v>
      </c>
      <c r="J3557" s="70">
        <f>IFERROR(VLOOKUP(Devis[[#This Row],[Ref Air Flux]],#REF!,3,FALSE),0)</f>
        <v>0</v>
      </c>
      <c r="K3557" s="68"/>
      <c r="L3557" s="68"/>
      <c r="M3557" s="68"/>
      <c r="N3557" s="68"/>
      <c r="O3557" s="68"/>
      <c r="P3557" s="68"/>
      <c r="Q3557" s="68">
        <f>SUM(Devis[[#This Row],[Poste 1]:[Poste 6]])</f>
        <v>0</v>
      </c>
      <c r="R3557" s="71"/>
      <c r="S3557" s="68">
        <f>_xlfn.CEILING.MATH(Devis[[#This Row],[Quantité Totale]],Devis[[#This Row],[Conditionnement]])</f>
        <v>0</v>
      </c>
      <c r="T3557" s="72"/>
      <c r="U3557" s="75" t="s">
        <v>3955</v>
      </c>
      <c r="V3557" s="74">
        <f>Devis[[#This Row],[Prix de Revient]]*Devis[[#This Row],[Poste 1]]</f>
        <v>0</v>
      </c>
      <c r="W3557" s="74">
        <f>Devis[[#This Row],[Prix de Revient]]*Devis[[#This Row],[Poste 2]]</f>
        <v>0</v>
      </c>
      <c r="X3557" s="74">
        <f>Devis[[#This Row],[Prix de Revient]]*Devis[[#This Row],[Poste 3]]</f>
        <v>0</v>
      </c>
      <c r="Y3557" s="74">
        <f>Devis[[#This Row],[Poste 4]]*Devis[[#This Row],[Prix de Revient]]</f>
        <v>0</v>
      </c>
      <c r="Z3557" s="74">
        <f>Devis[[#This Row],[Poste 5]]*Devis[[#This Row],[Prix de Revient]]</f>
        <v>0</v>
      </c>
      <c r="AA3557" s="74">
        <f>Devis[[#This Row],[Prix de Revient]]*Devis[[#This Row],[Poste 6]]</f>
        <v>0</v>
      </c>
      <c r="AB3557" s="74">
        <f>Devis[[#This Row],[Quantité Totale]]*Devis[[#This Row],[Prix de Revient]]</f>
        <v>0</v>
      </c>
    </row>
    <row r="3558" spans="1:28" ht="14.25" outlineLevel="1" x14ac:dyDescent="0.2">
      <c r="A3558" s="75" t="s">
        <v>3177</v>
      </c>
      <c r="B3558" s="76" t="s">
        <v>3942</v>
      </c>
      <c r="C3558" s="76" t="s">
        <v>3951</v>
      </c>
      <c r="D3558" s="81" t="str">
        <f t="shared" si="65"/>
        <v>VannesVanne Boisseau SphériqueInox Cadenassable FF - Poignée Longue</v>
      </c>
      <c r="E3558" s="76" t="s">
        <v>21</v>
      </c>
      <c r="F3558" s="76">
        <v>7</v>
      </c>
      <c r="G3558" s="71" t="s">
        <v>3956</v>
      </c>
      <c r="H3558" s="71" t="s">
        <v>3954</v>
      </c>
      <c r="I3558" s="71">
        <v>1610070</v>
      </c>
      <c r="J3558" s="70">
        <f>IFERROR(VLOOKUP(Devis[[#This Row],[Ref Air Flux]],#REF!,3,FALSE),0)</f>
        <v>0</v>
      </c>
      <c r="K3558" s="68"/>
      <c r="L3558" s="68"/>
      <c r="M3558" s="68"/>
      <c r="N3558" s="68"/>
      <c r="O3558" s="68"/>
      <c r="P3558" s="68"/>
      <c r="Q3558" s="68">
        <f>SUM(Devis[[#This Row],[Poste 1]:[Poste 6]])</f>
        <v>0</v>
      </c>
      <c r="R3558" s="71"/>
      <c r="S3558" s="68">
        <f>_xlfn.CEILING.MATH(Devis[[#This Row],[Quantité Totale]],Devis[[#This Row],[Conditionnement]])</f>
        <v>0</v>
      </c>
      <c r="T3558" s="72"/>
      <c r="U3558" s="75" t="s">
        <v>3957</v>
      </c>
      <c r="V3558" s="74">
        <f>Devis[[#This Row],[Prix de Revient]]*Devis[[#This Row],[Poste 1]]</f>
        <v>0</v>
      </c>
      <c r="W3558" s="74">
        <f>Devis[[#This Row],[Prix de Revient]]*Devis[[#This Row],[Poste 2]]</f>
        <v>0</v>
      </c>
      <c r="X3558" s="74">
        <f>Devis[[#This Row],[Prix de Revient]]*Devis[[#This Row],[Poste 3]]</f>
        <v>0</v>
      </c>
      <c r="Y3558" s="74">
        <f>Devis[[#This Row],[Poste 4]]*Devis[[#This Row],[Prix de Revient]]</f>
        <v>0</v>
      </c>
      <c r="Z3558" s="74">
        <f>Devis[[#This Row],[Poste 5]]*Devis[[#This Row],[Prix de Revient]]</f>
        <v>0</v>
      </c>
      <c r="AA3558" s="74">
        <f>Devis[[#This Row],[Prix de Revient]]*Devis[[#This Row],[Poste 6]]</f>
        <v>0</v>
      </c>
      <c r="AB3558" s="74">
        <f>Devis[[#This Row],[Quantité Totale]]*Devis[[#This Row],[Prix de Revient]]</f>
        <v>0</v>
      </c>
    </row>
    <row r="3559" spans="1:28" ht="14.25" customHeight="1" outlineLevel="1" x14ac:dyDescent="0.2">
      <c r="A3559" s="75" t="s">
        <v>3177</v>
      </c>
      <c r="B3559" s="76" t="s">
        <v>3942</v>
      </c>
      <c r="C3559" s="76" t="s">
        <v>3951</v>
      </c>
      <c r="D3559" s="81" t="str">
        <f t="shared" si="65"/>
        <v>VannesVanne Boisseau SphériqueInox Cadenassable FF - Poignée Longue</v>
      </c>
      <c r="E3559" s="76" t="s">
        <v>0</v>
      </c>
      <c r="F3559" s="76">
        <v>8</v>
      </c>
      <c r="G3559" s="71" t="s">
        <v>3192</v>
      </c>
      <c r="H3559" s="71" t="s">
        <v>34</v>
      </c>
      <c r="I3559" s="71">
        <v>715109</v>
      </c>
      <c r="J3559" s="70">
        <f>IFERROR(VLOOKUP(Devis[[#This Row],[Ref Air Flux]],#REF!,3,FALSE),0)</f>
        <v>0</v>
      </c>
      <c r="K3559" s="68"/>
      <c r="L3559" s="68"/>
      <c r="M3559" s="68"/>
      <c r="N3559" s="68"/>
      <c r="O3559" s="68"/>
      <c r="P3559" s="68"/>
      <c r="Q3559" s="68">
        <f>SUM(Devis[[#This Row],[Poste 1]:[Poste 6]])</f>
        <v>0</v>
      </c>
      <c r="R3559" s="71"/>
      <c r="S3559" s="68">
        <f>_xlfn.CEILING.MATH(Devis[[#This Row],[Quantité Totale]],Devis[[#This Row],[Conditionnement]])</f>
        <v>0</v>
      </c>
      <c r="T3559" s="72"/>
      <c r="U3559" s="73"/>
      <c r="V3559" s="74">
        <f>Devis[[#This Row],[Prix de Revient]]*Devis[[#This Row],[Poste 1]]</f>
        <v>0</v>
      </c>
      <c r="W3559" s="74">
        <f>Devis[[#This Row],[Prix de Revient]]*Devis[[#This Row],[Poste 2]]</f>
        <v>0</v>
      </c>
      <c r="X3559" s="74">
        <f>Devis[[#This Row],[Prix de Revient]]*Devis[[#This Row],[Poste 3]]</f>
        <v>0</v>
      </c>
      <c r="Y3559" s="74">
        <f>Devis[[#This Row],[Poste 4]]*Devis[[#This Row],[Prix de Revient]]</f>
        <v>0</v>
      </c>
      <c r="Z3559" s="74">
        <f>Devis[[#This Row],[Poste 5]]*Devis[[#This Row],[Prix de Revient]]</f>
        <v>0</v>
      </c>
      <c r="AA3559" s="74">
        <f>Devis[[#This Row],[Prix de Revient]]*Devis[[#This Row],[Poste 6]]</f>
        <v>0</v>
      </c>
      <c r="AB3559" s="74">
        <f>Devis[[#This Row],[Quantité Totale]]*Devis[[#This Row],[Prix de Revient]]</f>
        <v>0</v>
      </c>
    </row>
    <row r="3560" spans="1:28" ht="15" customHeight="1" outlineLevel="1" x14ac:dyDescent="0.2">
      <c r="A3560" s="75" t="s">
        <v>3177</v>
      </c>
      <c r="B3560" s="76" t="s">
        <v>3942</v>
      </c>
      <c r="C3560" s="76" t="s">
        <v>3951</v>
      </c>
      <c r="D3560" s="81" t="str">
        <f t="shared" si="65"/>
        <v>VannesVanne Boisseau SphériqueInox Cadenassable FF - Poignée Longue</v>
      </c>
      <c r="E3560" s="76" t="s">
        <v>49</v>
      </c>
      <c r="F3560" s="76">
        <v>9</v>
      </c>
      <c r="G3560" s="71" t="s">
        <v>3193</v>
      </c>
      <c r="H3560" s="71" t="s">
        <v>34</v>
      </c>
      <c r="I3560" s="71">
        <v>715110</v>
      </c>
      <c r="J3560" s="70">
        <f>IFERROR(VLOOKUP(Devis[[#This Row],[Ref Air Flux]],#REF!,3,FALSE),0)</f>
        <v>0</v>
      </c>
      <c r="K3560" s="68"/>
      <c r="L3560" s="68"/>
      <c r="M3560" s="68"/>
      <c r="N3560" s="68"/>
      <c r="O3560" s="68"/>
      <c r="P3560" s="68"/>
      <c r="Q3560" s="68">
        <f>SUM(Devis[[#This Row],[Poste 1]:[Poste 6]])</f>
        <v>0</v>
      </c>
      <c r="R3560" s="71"/>
      <c r="S3560" s="68">
        <f>_xlfn.CEILING.MATH(Devis[[#This Row],[Quantité Totale]],Devis[[#This Row],[Conditionnement]])</f>
        <v>0</v>
      </c>
      <c r="T3560" s="72"/>
      <c r="U3560" s="73"/>
      <c r="V3560" s="74">
        <f>Devis[[#This Row],[Prix de Revient]]*Devis[[#This Row],[Poste 1]]</f>
        <v>0</v>
      </c>
      <c r="W3560" s="74">
        <f>Devis[[#This Row],[Prix de Revient]]*Devis[[#This Row],[Poste 2]]</f>
        <v>0</v>
      </c>
      <c r="X3560" s="74">
        <f>Devis[[#This Row],[Prix de Revient]]*Devis[[#This Row],[Poste 3]]</f>
        <v>0</v>
      </c>
      <c r="Y3560" s="74">
        <f>Devis[[#This Row],[Poste 4]]*Devis[[#This Row],[Prix de Revient]]</f>
        <v>0</v>
      </c>
      <c r="Z3560" s="74">
        <f>Devis[[#This Row],[Poste 5]]*Devis[[#This Row],[Prix de Revient]]</f>
        <v>0</v>
      </c>
      <c r="AA3560" s="74">
        <f>Devis[[#This Row],[Prix de Revient]]*Devis[[#This Row],[Poste 6]]</f>
        <v>0</v>
      </c>
      <c r="AB3560" s="74">
        <f>Devis[[#This Row],[Quantité Totale]]*Devis[[#This Row],[Prix de Revient]]</f>
        <v>0</v>
      </c>
    </row>
    <row r="3561" spans="1:28" ht="14.25" outlineLevel="1" x14ac:dyDescent="0.2">
      <c r="A3561" s="75" t="s">
        <v>3177</v>
      </c>
      <c r="B3561" s="76" t="s">
        <v>3942</v>
      </c>
      <c r="C3561" s="76" t="s">
        <v>3951</v>
      </c>
      <c r="D3561" s="81" t="str">
        <f t="shared" si="65"/>
        <v>VannesVanne Boisseau SphériqueInox Cadenassable FF - Poignée Longue</v>
      </c>
      <c r="E3561" s="76" t="s">
        <v>22</v>
      </c>
      <c r="F3561" s="76">
        <v>10</v>
      </c>
      <c r="G3561" s="71" t="s">
        <v>3194</v>
      </c>
      <c r="H3561" s="71" t="s">
        <v>34</v>
      </c>
      <c r="I3561" s="71">
        <v>715111</v>
      </c>
      <c r="J3561" s="70">
        <f>IFERROR(VLOOKUP(Devis[[#This Row],[Ref Air Flux]],#REF!,3,FALSE),0)</f>
        <v>0</v>
      </c>
      <c r="K3561" s="68"/>
      <c r="L3561" s="68"/>
      <c r="M3561" s="68"/>
      <c r="N3561" s="68"/>
      <c r="O3561" s="68"/>
      <c r="P3561" s="68"/>
      <c r="Q3561" s="68">
        <f>SUM(Devis[[#This Row],[Poste 1]:[Poste 6]])</f>
        <v>0</v>
      </c>
      <c r="R3561" s="71"/>
      <c r="S3561" s="68">
        <f>_xlfn.CEILING.MATH(Devis[[#This Row],[Quantité Totale]],Devis[[#This Row],[Conditionnement]])</f>
        <v>0</v>
      </c>
      <c r="T3561" s="72"/>
      <c r="U3561" s="73"/>
      <c r="V3561" s="74">
        <f>Devis[[#This Row],[Prix de Revient]]*Devis[[#This Row],[Poste 1]]</f>
        <v>0</v>
      </c>
      <c r="W3561" s="74">
        <f>Devis[[#This Row],[Prix de Revient]]*Devis[[#This Row],[Poste 2]]</f>
        <v>0</v>
      </c>
      <c r="X3561" s="74">
        <f>Devis[[#This Row],[Prix de Revient]]*Devis[[#This Row],[Poste 3]]</f>
        <v>0</v>
      </c>
      <c r="Y3561" s="74">
        <f>Devis[[#This Row],[Poste 4]]*Devis[[#This Row],[Prix de Revient]]</f>
        <v>0</v>
      </c>
      <c r="Z3561" s="74">
        <f>Devis[[#This Row],[Poste 5]]*Devis[[#This Row],[Prix de Revient]]</f>
        <v>0</v>
      </c>
      <c r="AA3561" s="74">
        <f>Devis[[#This Row],[Prix de Revient]]*Devis[[#This Row],[Poste 6]]</f>
        <v>0</v>
      </c>
      <c r="AB3561" s="74">
        <f>Devis[[#This Row],[Quantité Totale]]*Devis[[#This Row],[Prix de Revient]]</f>
        <v>0</v>
      </c>
    </row>
    <row r="3562" spans="1:28" ht="14.25" customHeight="1" outlineLevel="1" x14ac:dyDescent="0.25">
      <c r="A3562" s="65" t="s">
        <v>3177</v>
      </c>
      <c r="B3562" s="65" t="s">
        <v>3942</v>
      </c>
      <c r="C3562" s="113" t="s">
        <v>3967</v>
      </c>
      <c r="D3562" s="81" t="str">
        <f t="shared" si="65"/>
        <v>VannesVanne Boisseau SphériqueInox Cadenassable MF - Poignée Longue</v>
      </c>
      <c r="E3562" s="76"/>
      <c r="F3562" s="76">
        <v>11</v>
      </c>
      <c r="G3562" s="71"/>
      <c r="H3562" s="71"/>
      <c r="I3562" s="71"/>
      <c r="J3562" s="70">
        <f>IFERROR(VLOOKUP(Devis[[#This Row],[Ref Air Flux]],#REF!,3,FALSE),0)</f>
        <v>0</v>
      </c>
      <c r="K3562" s="68"/>
      <c r="L3562" s="68"/>
      <c r="M3562" s="68"/>
      <c r="N3562" s="68"/>
      <c r="O3562" s="68"/>
      <c r="P3562" s="68"/>
      <c r="Q3562" s="68">
        <f>SUM(Devis[[#This Row],[Poste 1]:[Poste 6]])</f>
        <v>0</v>
      </c>
      <c r="R3562" s="71"/>
      <c r="S3562" s="68">
        <f>_xlfn.CEILING.MATH(Devis[[#This Row],[Quantité Totale]],Devis[[#This Row],[Conditionnement]])</f>
        <v>0</v>
      </c>
      <c r="T3562" s="72"/>
      <c r="U3562" s="73"/>
      <c r="V3562" s="74">
        <f>Devis[[#This Row],[Prix de Revient]]*Devis[[#This Row],[Poste 1]]</f>
        <v>0</v>
      </c>
      <c r="W3562" s="74">
        <f>Devis[[#This Row],[Prix de Revient]]*Devis[[#This Row],[Poste 2]]</f>
        <v>0</v>
      </c>
      <c r="X3562" s="74">
        <f>Devis[[#This Row],[Prix de Revient]]*Devis[[#This Row],[Poste 3]]</f>
        <v>0</v>
      </c>
      <c r="Y3562" s="74">
        <f>Devis[[#This Row],[Poste 4]]*Devis[[#This Row],[Prix de Revient]]</f>
        <v>0</v>
      </c>
      <c r="Z3562" s="74">
        <f>Devis[[#This Row],[Poste 5]]*Devis[[#This Row],[Prix de Revient]]</f>
        <v>0</v>
      </c>
      <c r="AA3562" s="74">
        <f>Devis[[#This Row],[Prix de Revient]]*Devis[[#This Row],[Poste 6]]</f>
        <v>0</v>
      </c>
      <c r="AB3562" s="74">
        <f>Devis[[#This Row],[Quantité Totale]]*Devis[[#This Row],[Prix de Revient]]</f>
        <v>0</v>
      </c>
    </row>
    <row r="3563" spans="1:28" ht="15" customHeight="1" outlineLevel="1" x14ac:dyDescent="0.2">
      <c r="A3563" s="75" t="s">
        <v>3177</v>
      </c>
      <c r="B3563" s="76" t="s">
        <v>3942</v>
      </c>
      <c r="C3563" s="76" t="s">
        <v>3967</v>
      </c>
      <c r="D3563" s="81" t="str">
        <f t="shared" si="65"/>
        <v>VannesVanne Boisseau SphériqueInox Cadenassable MF - Poignée Longue</v>
      </c>
      <c r="E3563" s="76" t="s">
        <v>1943</v>
      </c>
      <c r="F3563" s="76">
        <v>12</v>
      </c>
      <c r="G3563" s="71" t="s">
        <v>3204</v>
      </c>
      <c r="H3563" s="71" t="s">
        <v>34</v>
      </c>
      <c r="I3563" s="71">
        <v>789004</v>
      </c>
      <c r="J3563" s="70">
        <f>IFERROR(VLOOKUP(Devis[[#This Row],[Ref Air Flux]],#REF!,3,FALSE),0)</f>
        <v>0</v>
      </c>
      <c r="K3563" s="68"/>
      <c r="L3563" s="68"/>
      <c r="M3563" s="68"/>
      <c r="N3563" s="68"/>
      <c r="O3563" s="68"/>
      <c r="P3563" s="68"/>
      <c r="Q3563" s="68">
        <f>SUM(Devis[[#This Row],[Poste 1]:[Poste 6]])</f>
        <v>0</v>
      </c>
      <c r="R3563" s="71"/>
      <c r="S3563" s="68">
        <f>_xlfn.CEILING.MATH(Devis[[#This Row],[Quantité Totale]],Devis[[#This Row],[Conditionnement]])</f>
        <v>0</v>
      </c>
      <c r="T3563" s="72"/>
      <c r="U3563" s="73"/>
      <c r="V3563" s="74">
        <f>Devis[[#This Row],[Prix de Revient]]*Devis[[#This Row],[Poste 1]]</f>
        <v>0</v>
      </c>
      <c r="W3563" s="74">
        <f>Devis[[#This Row],[Prix de Revient]]*Devis[[#This Row],[Poste 2]]</f>
        <v>0</v>
      </c>
      <c r="X3563" s="74">
        <f>Devis[[#This Row],[Prix de Revient]]*Devis[[#This Row],[Poste 3]]</f>
        <v>0</v>
      </c>
      <c r="Y3563" s="74">
        <f>Devis[[#This Row],[Poste 4]]*Devis[[#This Row],[Prix de Revient]]</f>
        <v>0</v>
      </c>
      <c r="Z3563" s="74">
        <f>Devis[[#This Row],[Poste 5]]*Devis[[#This Row],[Prix de Revient]]</f>
        <v>0</v>
      </c>
      <c r="AA3563" s="74">
        <f>Devis[[#This Row],[Prix de Revient]]*Devis[[#This Row],[Poste 6]]</f>
        <v>0</v>
      </c>
      <c r="AB3563" s="74">
        <f>Devis[[#This Row],[Quantité Totale]]*Devis[[#This Row],[Prix de Revient]]</f>
        <v>0</v>
      </c>
    </row>
    <row r="3564" spans="1:28" ht="14.25" outlineLevel="1" x14ac:dyDescent="0.2">
      <c r="A3564" s="75" t="s">
        <v>3177</v>
      </c>
      <c r="B3564" s="76" t="s">
        <v>3942</v>
      </c>
      <c r="C3564" s="76" t="s">
        <v>3967</v>
      </c>
      <c r="D3564" s="81" t="str">
        <f t="shared" si="65"/>
        <v>VannesVanne Boisseau SphériqueInox Cadenassable MF - Poignée Longue</v>
      </c>
      <c r="E3564" s="76" t="s">
        <v>2061</v>
      </c>
      <c r="F3564" s="76">
        <v>13</v>
      </c>
      <c r="G3564" s="71" t="s">
        <v>3205</v>
      </c>
      <c r="H3564" s="71" t="s">
        <v>34</v>
      </c>
      <c r="I3564" s="71">
        <v>789005</v>
      </c>
      <c r="J3564" s="70">
        <f>IFERROR(VLOOKUP(Devis[[#This Row],[Ref Air Flux]],#REF!,3,FALSE),0)</f>
        <v>0</v>
      </c>
      <c r="K3564" s="68"/>
      <c r="L3564" s="68"/>
      <c r="M3564" s="68"/>
      <c r="N3564" s="68"/>
      <c r="O3564" s="68"/>
      <c r="P3564" s="68"/>
      <c r="Q3564" s="68">
        <f>SUM(Devis[[#This Row],[Poste 1]:[Poste 6]])</f>
        <v>0</v>
      </c>
      <c r="R3564" s="71"/>
      <c r="S3564" s="68">
        <f>_xlfn.CEILING.MATH(Devis[[#This Row],[Quantité Totale]],Devis[[#This Row],[Conditionnement]])</f>
        <v>0</v>
      </c>
      <c r="T3564" s="72"/>
      <c r="U3564" s="73"/>
      <c r="V3564" s="74">
        <f>Devis[[#This Row],[Prix de Revient]]*Devis[[#This Row],[Poste 1]]</f>
        <v>0</v>
      </c>
      <c r="W3564" s="74">
        <f>Devis[[#This Row],[Prix de Revient]]*Devis[[#This Row],[Poste 2]]</f>
        <v>0</v>
      </c>
      <c r="X3564" s="74">
        <f>Devis[[#This Row],[Prix de Revient]]*Devis[[#This Row],[Poste 3]]</f>
        <v>0</v>
      </c>
      <c r="Y3564" s="74">
        <f>Devis[[#This Row],[Poste 4]]*Devis[[#This Row],[Prix de Revient]]</f>
        <v>0</v>
      </c>
      <c r="Z3564" s="74">
        <f>Devis[[#This Row],[Poste 5]]*Devis[[#This Row],[Prix de Revient]]</f>
        <v>0</v>
      </c>
      <c r="AA3564" s="74">
        <f>Devis[[#This Row],[Prix de Revient]]*Devis[[#This Row],[Poste 6]]</f>
        <v>0</v>
      </c>
      <c r="AB3564" s="74">
        <f>Devis[[#This Row],[Quantité Totale]]*Devis[[#This Row],[Prix de Revient]]</f>
        <v>0</v>
      </c>
    </row>
    <row r="3565" spans="1:28" ht="14.25" outlineLevel="1" x14ac:dyDescent="0.2">
      <c r="A3565" s="75" t="s">
        <v>3177</v>
      </c>
      <c r="B3565" s="76" t="s">
        <v>3942</v>
      </c>
      <c r="C3565" s="76" t="s">
        <v>3967</v>
      </c>
      <c r="D3565" s="81" t="str">
        <f t="shared" si="65"/>
        <v>VannesVanne Boisseau SphériqueInox Cadenassable MF - Poignée Longue</v>
      </c>
      <c r="E3565" s="76" t="s">
        <v>19</v>
      </c>
      <c r="F3565" s="76">
        <v>14</v>
      </c>
      <c r="G3565" s="71" t="s">
        <v>3206</v>
      </c>
      <c r="H3565" s="71" t="s">
        <v>34</v>
      </c>
      <c r="I3565" s="71">
        <v>789006</v>
      </c>
      <c r="J3565" s="70">
        <f>IFERROR(VLOOKUP(Devis[[#This Row],[Ref Air Flux]],#REF!,3,FALSE),0)</f>
        <v>0</v>
      </c>
      <c r="K3565" s="68"/>
      <c r="L3565" s="68"/>
      <c r="M3565" s="68"/>
      <c r="N3565" s="68"/>
      <c r="O3565" s="68"/>
      <c r="P3565" s="68"/>
      <c r="Q3565" s="68">
        <f>SUM(Devis[[#This Row],[Poste 1]:[Poste 6]])</f>
        <v>0</v>
      </c>
      <c r="R3565" s="71"/>
      <c r="S3565" s="68">
        <f>_xlfn.CEILING.MATH(Devis[[#This Row],[Quantité Totale]],Devis[[#This Row],[Conditionnement]])</f>
        <v>0</v>
      </c>
      <c r="T3565" s="72"/>
      <c r="U3565" s="73"/>
      <c r="V3565" s="74">
        <f>Devis[[#This Row],[Prix de Revient]]*Devis[[#This Row],[Poste 1]]</f>
        <v>0</v>
      </c>
      <c r="W3565" s="74">
        <f>Devis[[#This Row],[Prix de Revient]]*Devis[[#This Row],[Poste 2]]</f>
        <v>0</v>
      </c>
      <c r="X3565" s="74">
        <f>Devis[[#This Row],[Prix de Revient]]*Devis[[#This Row],[Poste 3]]</f>
        <v>0</v>
      </c>
      <c r="Y3565" s="74">
        <f>Devis[[#This Row],[Poste 4]]*Devis[[#This Row],[Prix de Revient]]</f>
        <v>0</v>
      </c>
      <c r="Z3565" s="74">
        <f>Devis[[#This Row],[Poste 5]]*Devis[[#This Row],[Prix de Revient]]</f>
        <v>0</v>
      </c>
      <c r="AA3565" s="74">
        <f>Devis[[#This Row],[Prix de Revient]]*Devis[[#This Row],[Poste 6]]</f>
        <v>0</v>
      </c>
      <c r="AB3565" s="74">
        <f>Devis[[#This Row],[Quantité Totale]]*Devis[[#This Row],[Prix de Revient]]</f>
        <v>0</v>
      </c>
    </row>
    <row r="3566" spans="1:28" ht="14.25" customHeight="1" outlineLevel="1" x14ac:dyDescent="0.2">
      <c r="A3566" s="75" t="s">
        <v>3177</v>
      </c>
      <c r="B3566" s="76" t="s">
        <v>3942</v>
      </c>
      <c r="C3566" s="76" t="s">
        <v>3967</v>
      </c>
      <c r="D3566" s="81" t="str">
        <f t="shared" si="65"/>
        <v>VannesVanne Boisseau SphériqueInox Cadenassable MF - Poignée Longue</v>
      </c>
      <c r="E3566" s="76" t="s">
        <v>20</v>
      </c>
      <c r="F3566" s="76">
        <v>15</v>
      </c>
      <c r="G3566" s="71" t="s">
        <v>3207</v>
      </c>
      <c r="H3566" s="71" t="s">
        <v>34</v>
      </c>
      <c r="I3566" s="71">
        <v>789007</v>
      </c>
      <c r="J3566" s="70">
        <f>IFERROR(VLOOKUP(Devis[[#This Row],[Ref Air Flux]],#REF!,3,FALSE),0)</f>
        <v>0</v>
      </c>
      <c r="K3566" s="68"/>
      <c r="L3566" s="68"/>
      <c r="M3566" s="68"/>
      <c r="N3566" s="68"/>
      <c r="O3566" s="68"/>
      <c r="P3566" s="68"/>
      <c r="Q3566" s="68">
        <f>SUM(Devis[[#This Row],[Poste 1]:[Poste 6]])</f>
        <v>0</v>
      </c>
      <c r="R3566" s="71"/>
      <c r="S3566" s="68">
        <f>_xlfn.CEILING.MATH(Devis[[#This Row],[Quantité Totale]],Devis[[#This Row],[Conditionnement]])</f>
        <v>0</v>
      </c>
      <c r="T3566" s="72"/>
      <c r="U3566" s="73"/>
      <c r="V3566" s="74">
        <f>Devis[[#This Row],[Prix de Revient]]*Devis[[#This Row],[Poste 1]]</f>
        <v>0</v>
      </c>
      <c r="W3566" s="74">
        <f>Devis[[#This Row],[Prix de Revient]]*Devis[[#This Row],[Poste 2]]</f>
        <v>0</v>
      </c>
      <c r="X3566" s="74">
        <f>Devis[[#This Row],[Prix de Revient]]*Devis[[#This Row],[Poste 3]]</f>
        <v>0</v>
      </c>
      <c r="Y3566" s="74">
        <f>Devis[[#This Row],[Poste 4]]*Devis[[#This Row],[Prix de Revient]]</f>
        <v>0</v>
      </c>
      <c r="Z3566" s="74">
        <f>Devis[[#This Row],[Poste 5]]*Devis[[#This Row],[Prix de Revient]]</f>
        <v>0</v>
      </c>
      <c r="AA3566" s="74">
        <f>Devis[[#This Row],[Prix de Revient]]*Devis[[#This Row],[Poste 6]]</f>
        <v>0</v>
      </c>
      <c r="AB3566" s="74">
        <f>Devis[[#This Row],[Quantité Totale]]*Devis[[#This Row],[Prix de Revient]]</f>
        <v>0</v>
      </c>
    </row>
    <row r="3567" spans="1:28" ht="14.25" customHeight="1" outlineLevel="1" x14ac:dyDescent="0.2">
      <c r="A3567" s="75" t="s">
        <v>3177</v>
      </c>
      <c r="B3567" s="76" t="s">
        <v>3942</v>
      </c>
      <c r="C3567" s="76" t="s">
        <v>3967</v>
      </c>
      <c r="D3567" s="81" t="str">
        <f t="shared" si="65"/>
        <v>VannesVanne Boisseau SphériqueInox Cadenassable MF - Poignée Longue</v>
      </c>
      <c r="E3567" s="76" t="s">
        <v>21</v>
      </c>
      <c r="F3567" s="76">
        <v>16</v>
      </c>
      <c r="G3567" s="71" t="s">
        <v>3208</v>
      </c>
      <c r="H3567" s="71" t="s">
        <v>34</v>
      </c>
      <c r="I3567" s="71">
        <v>789008</v>
      </c>
      <c r="J3567" s="70">
        <f>IFERROR(VLOOKUP(Devis[[#This Row],[Ref Air Flux]],#REF!,3,FALSE),0)</f>
        <v>0</v>
      </c>
      <c r="K3567" s="68"/>
      <c r="L3567" s="68"/>
      <c r="M3567" s="68"/>
      <c r="N3567" s="68"/>
      <c r="O3567" s="68"/>
      <c r="P3567" s="68"/>
      <c r="Q3567" s="68">
        <f>SUM(Devis[[#This Row],[Poste 1]:[Poste 6]])</f>
        <v>0</v>
      </c>
      <c r="R3567" s="71"/>
      <c r="S3567" s="68">
        <f>_xlfn.CEILING.MATH(Devis[[#This Row],[Quantité Totale]],Devis[[#This Row],[Conditionnement]])</f>
        <v>0</v>
      </c>
      <c r="T3567" s="72"/>
      <c r="U3567" s="73"/>
      <c r="V3567" s="74">
        <f>Devis[[#This Row],[Prix de Revient]]*Devis[[#This Row],[Poste 1]]</f>
        <v>0</v>
      </c>
      <c r="W3567" s="74">
        <f>Devis[[#This Row],[Prix de Revient]]*Devis[[#This Row],[Poste 2]]</f>
        <v>0</v>
      </c>
      <c r="X3567" s="74">
        <f>Devis[[#This Row],[Prix de Revient]]*Devis[[#This Row],[Poste 3]]</f>
        <v>0</v>
      </c>
      <c r="Y3567" s="74">
        <f>Devis[[#This Row],[Poste 4]]*Devis[[#This Row],[Prix de Revient]]</f>
        <v>0</v>
      </c>
      <c r="Z3567" s="74">
        <f>Devis[[#This Row],[Poste 5]]*Devis[[#This Row],[Prix de Revient]]</f>
        <v>0</v>
      </c>
      <c r="AA3567" s="74">
        <f>Devis[[#This Row],[Prix de Revient]]*Devis[[#This Row],[Poste 6]]</f>
        <v>0</v>
      </c>
      <c r="AB3567" s="74">
        <f>Devis[[#This Row],[Quantité Totale]]*Devis[[#This Row],[Prix de Revient]]</f>
        <v>0</v>
      </c>
    </row>
    <row r="3568" spans="1:28" ht="14.25" outlineLevel="1" x14ac:dyDescent="0.2">
      <c r="A3568" s="75" t="s">
        <v>3177</v>
      </c>
      <c r="B3568" s="76" t="s">
        <v>3942</v>
      </c>
      <c r="C3568" s="76" t="s">
        <v>3967</v>
      </c>
      <c r="D3568" s="81" t="str">
        <f t="shared" si="65"/>
        <v>VannesVanne Boisseau SphériqueInox Cadenassable MF - Poignée Longue</v>
      </c>
      <c r="E3568" s="76" t="s">
        <v>0</v>
      </c>
      <c r="F3568" s="76">
        <v>17</v>
      </c>
      <c r="G3568" s="71" t="s">
        <v>3209</v>
      </c>
      <c r="H3568" s="71" t="s">
        <v>34</v>
      </c>
      <c r="I3568" s="71">
        <v>789009</v>
      </c>
      <c r="J3568" s="70">
        <f>IFERROR(VLOOKUP(Devis[[#This Row],[Ref Air Flux]],#REF!,3,FALSE),0)</f>
        <v>0</v>
      </c>
      <c r="K3568" s="68"/>
      <c r="L3568" s="68"/>
      <c r="M3568" s="68"/>
      <c r="N3568" s="68"/>
      <c r="O3568" s="68"/>
      <c r="P3568" s="68"/>
      <c r="Q3568" s="68">
        <f>SUM(Devis[[#This Row],[Poste 1]:[Poste 6]])</f>
        <v>0</v>
      </c>
      <c r="R3568" s="71"/>
      <c r="S3568" s="68">
        <f>_xlfn.CEILING.MATH(Devis[[#This Row],[Quantité Totale]],Devis[[#This Row],[Conditionnement]])</f>
        <v>0</v>
      </c>
      <c r="T3568" s="72"/>
      <c r="U3568" s="73"/>
      <c r="V3568" s="74">
        <f>Devis[[#This Row],[Prix de Revient]]*Devis[[#This Row],[Poste 1]]</f>
        <v>0</v>
      </c>
      <c r="W3568" s="74">
        <f>Devis[[#This Row],[Prix de Revient]]*Devis[[#This Row],[Poste 2]]</f>
        <v>0</v>
      </c>
      <c r="X3568" s="74">
        <f>Devis[[#This Row],[Prix de Revient]]*Devis[[#This Row],[Poste 3]]</f>
        <v>0</v>
      </c>
      <c r="Y3568" s="74">
        <f>Devis[[#This Row],[Poste 4]]*Devis[[#This Row],[Prix de Revient]]</f>
        <v>0</v>
      </c>
      <c r="Z3568" s="74">
        <f>Devis[[#This Row],[Poste 5]]*Devis[[#This Row],[Prix de Revient]]</f>
        <v>0</v>
      </c>
      <c r="AA3568" s="74">
        <f>Devis[[#This Row],[Prix de Revient]]*Devis[[#This Row],[Poste 6]]</f>
        <v>0</v>
      </c>
      <c r="AB3568" s="74">
        <f>Devis[[#This Row],[Quantité Totale]]*Devis[[#This Row],[Prix de Revient]]</f>
        <v>0</v>
      </c>
    </row>
    <row r="3569" spans="1:28" ht="14.25" outlineLevel="1" x14ac:dyDescent="0.2">
      <c r="A3569" s="75" t="s">
        <v>3177</v>
      </c>
      <c r="B3569" s="76" t="s">
        <v>3942</v>
      </c>
      <c r="C3569" s="76" t="s">
        <v>3949</v>
      </c>
      <c r="D3569" s="81" t="str">
        <f t="shared" si="65"/>
        <v>VannesVanne Boisseau SphériqueLaiton Cadenassable FF - Poinge longue</v>
      </c>
      <c r="E3569" s="76" t="s">
        <v>0</v>
      </c>
      <c r="F3569" s="76">
        <v>18</v>
      </c>
      <c r="G3569" s="71" t="s">
        <v>3950</v>
      </c>
      <c r="H3569" s="71" t="s">
        <v>34</v>
      </c>
      <c r="I3569" s="71">
        <v>556009</v>
      </c>
      <c r="J3569" s="70">
        <f>IFERROR(VLOOKUP(Devis[[#This Row],[Ref Air Flux]],#REF!,3,FALSE),0)</f>
        <v>0</v>
      </c>
      <c r="K3569" s="68"/>
      <c r="L3569" s="68"/>
      <c r="M3569" s="68"/>
      <c r="N3569" s="68"/>
      <c r="O3569" s="68"/>
      <c r="P3569" s="68"/>
      <c r="Q3569" s="68">
        <f>SUM(Devis[[#This Row],[Poste 1]:[Poste 6]])</f>
        <v>0</v>
      </c>
      <c r="R3569" s="71"/>
      <c r="S3569" s="68">
        <f>_xlfn.CEILING.MATH(Devis[[#This Row],[Quantité Totale]],Devis[[#This Row],[Conditionnement]])</f>
        <v>0</v>
      </c>
      <c r="T3569" s="72"/>
      <c r="U3569" s="73"/>
      <c r="V3569" s="74">
        <f>Devis[[#This Row],[Prix de Revient]]*Devis[[#This Row],[Poste 1]]</f>
        <v>0</v>
      </c>
      <c r="W3569" s="74">
        <f>Devis[[#This Row],[Prix de Revient]]*Devis[[#This Row],[Poste 2]]</f>
        <v>0</v>
      </c>
      <c r="X3569" s="74">
        <f>Devis[[#This Row],[Prix de Revient]]*Devis[[#This Row],[Poste 3]]</f>
        <v>0</v>
      </c>
      <c r="Y3569" s="74">
        <f>Devis[[#This Row],[Poste 4]]*Devis[[#This Row],[Prix de Revient]]</f>
        <v>0</v>
      </c>
      <c r="Z3569" s="74">
        <f>Devis[[#This Row],[Poste 5]]*Devis[[#This Row],[Prix de Revient]]</f>
        <v>0</v>
      </c>
      <c r="AA3569" s="74">
        <f>Devis[[#This Row],[Prix de Revient]]*Devis[[#This Row],[Poste 6]]</f>
        <v>0</v>
      </c>
      <c r="AB3569" s="74">
        <f>Devis[[#This Row],[Quantité Totale]]*Devis[[#This Row],[Prix de Revient]]</f>
        <v>0</v>
      </c>
    </row>
    <row r="3570" spans="1:28" ht="15" customHeight="1" outlineLevel="1" x14ac:dyDescent="0.25">
      <c r="A3570" s="65" t="s">
        <v>3177</v>
      </c>
      <c r="B3570" s="65" t="s">
        <v>3942</v>
      </c>
      <c r="C3570" s="113" t="s">
        <v>3968</v>
      </c>
      <c r="D3570" s="81" t="str">
        <f t="shared" si="65"/>
        <v>VannesVanne Boisseau SphériqueLaiton FF - Poignée papillon</v>
      </c>
      <c r="E3570" s="76"/>
      <c r="F3570" s="76">
        <v>19</v>
      </c>
      <c r="G3570" s="71"/>
      <c r="H3570" s="71"/>
      <c r="I3570" s="71"/>
      <c r="J3570" s="70">
        <f>IFERROR(VLOOKUP(Devis[[#This Row],[Ref Air Flux]],#REF!,3,FALSE),0)</f>
        <v>0</v>
      </c>
      <c r="K3570" s="68"/>
      <c r="L3570" s="68"/>
      <c r="M3570" s="68"/>
      <c r="N3570" s="68"/>
      <c r="O3570" s="68"/>
      <c r="P3570" s="68"/>
      <c r="Q3570" s="68">
        <f>SUM(Devis[[#This Row],[Poste 1]:[Poste 6]])</f>
        <v>0</v>
      </c>
      <c r="R3570" s="71"/>
      <c r="S3570" s="68">
        <f>_xlfn.CEILING.MATH(Devis[[#This Row],[Quantité Totale]],Devis[[#This Row],[Conditionnement]])</f>
        <v>0</v>
      </c>
      <c r="T3570" s="72"/>
      <c r="U3570" s="73"/>
      <c r="V3570" s="74">
        <f>Devis[[#This Row],[Prix de Revient]]*Devis[[#This Row],[Poste 1]]</f>
        <v>0</v>
      </c>
      <c r="W3570" s="74">
        <f>Devis[[#This Row],[Prix de Revient]]*Devis[[#This Row],[Poste 2]]</f>
        <v>0</v>
      </c>
      <c r="X3570" s="74">
        <f>Devis[[#This Row],[Prix de Revient]]*Devis[[#This Row],[Poste 3]]</f>
        <v>0</v>
      </c>
      <c r="Y3570" s="74">
        <f>Devis[[#This Row],[Poste 4]]*Devis[[#This Row],[Prix de Revient]]</f>
        <v>0</v>
      </c>
      <c r="Z3570" s="74">
        <f>Devis[[#This Row],[Poste 5]]*Devis[[#This Row],[Prix de Revient]]</f>
        <v>0</v>
      </c>
      <c r="AA3570" s="74">
        <f>Devis[[#This Row],[Prix de Revient]]*Devis[[#This Row],[Poste 6]]</f>
        <v>0</v>
      </c>
      <c r="AB3570" s="74">
        <f>Devis[[#This Row],[Quantité Totale]]*Devis[[#This Row],[Prix de Revient]]</f>
        <v>0</v>
      </c>
    </row>
    <row r="3571" spans="1:28" ht="14.25" outlineLevel="1" x14ac:dyDescent="0.2">
      <c r="A3571" s="75" t="s">
        <v>3177</v>
      </c>
      <c r="B3571" s="76" t="s">
        <v>3942</v>
      </c>
      <c r="C3571" s="76" t="s">
        <v>3968</v>
      </c>
      <c r="D3571" s="81" t="str">
        <f t="shared" si="65"/>
        <v>VannesVanne Boisseau SphériqueLaiton FF - Poignée papillon</v>
      </c>
      <c r="E3571" s="76" t="s">
        <v>1943</v>
      </c>
      <c r="F3571" s="76">
        <v>20</v>
      </c>
      <c r="G3571" s="71" t="s">
        <v>3969</v>
      </c>
      <c r="H3571" s="71" t="s">
        <v>34</v>
      </c>
      <c r="I3571" s="71">
        <v>523004</v>
      </c>
      <c r="J3571" s="70">
        <f>IFERROR(VLOOKUP(Devis[[#This Row],[Ref Air Flux]],#REF!,3,FALSE),0)</f>
        <v>0</v>
      </c>
      <c r="K3571" s="68"/>
      <c r="L3571" s="68"/>
      <c r="M3571" s="68"/>
      <c r="N3571" s="68"/>
      <c r="O3571" s="68"/>
      <c r="P3571" s="68"/>
      <c r="Q3571" s="68">
        <f>SUM(Devis[[#This Row],[Poste 1]:[Poste 6]])</f>
        <v>0</v>
      </c>
      <c r="R3571" s="71"/>
      <c r="S3571" s="68">
        <f>_xlfn.CEILING.MATH(Devis[[#This Row],[Quantité Totale]],Devis[[#This Row],[Conditionnement]])</f>
        <v>0</v>
      </c>
      <c r="T3571" s="72"/>
      <c r="U3571" s="73"/>
      <c r="V3571" s="74">
        <f>Devis[[#This Row],[Prix de Revient]]*Devis[[#This Row],[Poste 1]]</f>
        <v>0</v>
      </c>
      <c r="W3571" s="74">
        <f>Devis[[#This Row],[Prix de Revient]]*Devis[[#This Row],[Poste 2]]</f>
        <v>0</v>
      </c>
      <c r="X3571" s="74">
        <f>Devis[[#This Row],[Prix de Revient]]*Devis[[#This Row],[Poste 3]]</f>
        <v>0</v>
      </c>
      <c r="Y3571" s="74">
        <f>Devis[[#This Row],[Poste 4]]*Devis[[#This Row],[Prix de Revient]]</f>
        <v>0</v>
      </c>
      <c r="Z3571" s="74">
        <f>Devis[[#This Row],[Poste 5]]*Devis[[#This Row],[Prix de Revient]]</f>
        <v>0</v>
      </c>
      <c r="AA3571" s="74">
        <f>Devis[[#This Row],[Prix de Revient]]*Devis[[#This Row],[Poste 6]]</f>
        <v>0</v>
      </c>
      <c r="AB3571" s="74">
        <f>Devis[[#This Row],[Quantité Totale]]*Devis[[#This Row],[Prix de Revient]]</f>
        <v>0</v>
      </c>
    </row>
    <row r="3572" spans="1:28" ht="14.25" outlineLevel="1" x14ac:dyDescent="0.2">
      <c r="A3572" s="75" t="s">
        <v>3177</v>
      </c>
      <c r="B3572" s="76" t="s">
        <v>3942</v>
      </c>
      <c r="C3572" s="76" t="s">
        <v>3968</v>
      </c>
      <c r="D3572" s="81" t="str">
        <f t="shared" si="65"/>
        <v>VannesVanne Boisseau SphériqueLaiton FF - Poignée papillon</v>
      </c>
      <c r="E3572" s="76" t="s">
        <v>1943</v>
      </c>
      <c r="F3572" s="76">
        <v>21</v>
      </c>
      <c r="G3572" s="71" t="s">
        <v>3970</v>
      </c>
      <c r="H3572" s="71" t="s">
        <v>3381</v>
      </c>
      <c r="I3572" s="71" t="s">
        <v>3970</v>
      </c>
      <c r="J3572" s="70">
        <f>IFERROR(VLOOKUP(Devis[[#This Row],[Ref Air Flux]],#REF!,3,FALSE),0)</f>
        <v>0</v>
      </c>
      <c r="K3572" s="68"/>
      <c r="L3572" s="68"/>
      <c r="M3572" s="68"/>
      <c r="N3572" s="68"/>
      <c r="O3572" s="68"/>
      <c r="P3572" s="68"/>
      <c r="Q3572" s="68">
        <f>SUM(Devis[[#This Row],[Poste 1]:[Poste 6]])</f>
        <v>0</v>
      </c>
      <c r="R3572" s="71"/>
      <c r="S3572" s="68">
        <f>_xlfn.CEILING.MATH(Devis[[#This Row],[Quantité Totale]],Devis[[#This Row],[Conditionnement]])</f>
        <v>0</v>
      </c>
      <c r="T3572" s="72"/>
      <c r="U3572" s="73"/>
      <c r="V3572" s="74">
        <f>Devis[[#This Row],[Prix de Revient]]*Devis[[#This Row],[Poste 1]]</f>
        <v>0</v>
      </c>
      <c r="W3572" s="74">
        <f>Devis[[#This Row],[Prix de Revient]]*Devis[[#This Row],[Poste 2]]</f>
        <v>0</v>
      </c>
      <c r="X3572" s="74">
        <f>Devis[[#This Row],[Prix de Revient]]*Devis[[#This Row],[Poste 3]]</f>
        <v>0</v>
      </c>
      <c r="Y3572" s="74">
        <f>Devis[[#This Row],[Poste 4]]*Devis[[#This Row],[Prix de Revient]]</f>
        <v>0</v>
      </c>
      <c r="Z3572" s="74">
        <f>Devis[[#This Row],[Poste 5]]*Devis[[#This Row],[Prix de Revient]]</f>
        <v>0</v>
      </c>
      <c r="AA3572" s="74">
        <f>Devis[[#This Row],[Prix de Revient]]*Devis[[#This Row],[Poste 6]]</f>
        <v>0</v>
      </c>
      <c r="AB3572" s="74">
        <f>Devis[[#This Row],[Quantité Totale]]*Devis[[#This Row],[Prix de Revient]]</f>
        <v>0</v>
      </c>
    </row>
    <row r="3573" spans="1:28" ht="14.25" outlineLevel="1" x14ac:dyDescent="0.2">
      <c r="A3573" s="75" t="s">
        <v>3177</v>
      </c>
      <c r="B3573" s="76" t="s">
        <v>3942</v>
      </c>
      <c r="C3573" s="76" t="s">
        <v>3968</v>
      </c>
      <c r="D3573" s="81" t="str">
        <f t="shared" si="65"/>
        <v>VannesVanne Boisseau SphériqueLaiton FF - Poignée papillon</v>
      </c>
      <c r="E3573" s="76" t="s">
        <v>2066</v>
      </c>
      <c r="F3573" s="76">
        <v>22</v>
      </c>
      <c r="G3573" s="71" t="s">
        <v>3977</v>
      </c>
      <c r="H3573" s="71" t="s">
        <v>2798</v>
      </c>
      <c r="I3573" s="71" t="s">
        <v>3978</v>
      </c>
      <c r="J3573" s="70">
        <f>IFERROR(VLOOKUP(Devis[[#This Row],[Ref Air Flux]],#REF!,3,FALSE),0)</f>
        <v>0</v>
      </c>
      <c r="K3573" s="68"/>
      <c r="L3573" s="68"/>
      <c r="M3573" s="68"/>
      <c r="N3573" s="68"/>
      <c r="O3573" s="68"/>
      <c r="P3573" s="68"/>
      <c r="Q3573" s="68">
        <f>SUM(Devis[[#This Row],[Poste 1]:[Poste 6]])</f>
        <v>0</v>
      </c>
      <c r="R3573" s="71"/>
      <c r="S3573" s="68">
        <f>_xlfn.CEILING.MATH(Devis[[#This Row],[Quantité Totale]],Devis[[#This Row],[Conditionnement]])</f>
        <v>0</v>
      </c>
      <c r="T3573" s="72"/>
      <c r="U3573" s="73"/>
      <c r="V3573" s="74">
        <f>Devis[[#This Row],[Prix de Revient]]*Devis[[#This Row],[Poste 1]]</f>
        <v>0</v>
      </c>
      <c r="W3573" s="74">
        <f>Devis[[#This Row],[Prix de Revient]]*Devis[[#This Row],[Poste 2]]</f>
        <v>0</v>
      </c>
      <c r="X3573" s="74">
        <f>Devis[[#This Row],[Prix de Revient]]*Devis[[#This Row],[Poste 3]]</f>
        <v>0</v>
      </c>
      <c r="Y3573" s="74">
        <f>Devis[[#This Row],[Poste 4]]*Devis[[#This Row],[Prix de Revient]]</f>
        <v>0</v>
      </c>
      <c r="Z3573" s="74">
        <f>Devis[[#This Row],[Poste 5]]*Devis[[#This Row],[Prix de Revient]]</f>
        <v>0</v>
      </c>
      <c r="AA3573" s="74">
        <f>Devis[[#This Row],[Prix de Revient]]*Devis[[#This Row],[Poste 6]]</f>
        <v>0</v>
      </c>
      <c r="AB3573" s="74">
        <f>Devis[[#This Row],[Quantité Totale]]*Devis[[#This Row],[Prix de Revient]]</f>
        <v>0</v>
      </c>
    </row>
    <row r="3574" spans="1:28" ht="14.25" customHeight="1" outlineLevel="1" x14ac:dyDescent="0.25">
      <c r="A3574" s="65" t="s">
        <v>3177</v>
      </c>
      <c r="B3574" s="65" t="s">
        <v>3942</v>
      </c>
      <c r="C3574" s="113" t="s">
        <v>3973</v>
      </c>
      <c r="D3574" s="81" t="str">
        <f t="shared" si="65"/>
        <v>VannesVanne Boisseau SphériqueLaiton FF - Poignée papillon - Filet long</v>
      </c>
      <c r="E3574" s="76"/>
      <c r="F3574" s="76">
        <v>23</v>
      </c>
      <c r="G3574" s="71"/>
      <c r="H3574" s="71"/>
      <c r="I3574" s="71"/>
      <c r="J3574" s="70">
        <f>IFERROR(VLOOKUP(Devis[[#This Row],[Ref Air Flux]],#REF!,3,FALSE),0)</f>
        <v>0</v>
      </c>
      <c r="K3574" s="68"/>
      <c r="L3574" s="68"/>
      <c r="M3574" s="68"/>
      <c r="N3574" s="68"/>
      <c r="O3574" s="68"/>
      <c r="P3574" s="68"/>
      <c r="Q3574" s="68">
        <f>SUM(Devis[[#This Row],[Poste 1]:[Poste 6]])</f>
        <v>0</v>
      </c>
      <c r="R3574" s="71"/>
      <c r="S3574" s="68">
        <f>_xlfn.CEILING.MATH(Devis[[#This Row],[Quantité Totale]],Devis[[#This Row],[Conditionnement]])</f>
        <v>0</v>
      </c>
      <c r="T3574" s="72"/>
      <c r="U3574" s="73"/>
      <c r="V3574" s="74">
        <f>Devis[[#This Row],[Prix de Revient]]*Devis[[#This Row],[Poste 1]]</f>
        <v>0</v>
      </c>
      <c r="W3574" s="74">
        <f>Devis[[#This Row],[Prix de Revient]]*Devis[[#This Row],[Poste 2]]</f>
        <v>0</v>
      </c>
      <c r="X3574" s="74">
        <f>Devis[[#This Row],[Prix de Revient]]*Devis[[#This Row],[Poste 3]]</f>
        <v>0</v>
      </c>
      <c r="Y3574" s="74">
        <f>Devis[[#This Row],[Poste 4]]*Devis[[#This Row],[Prix de Revient]]</f>
        <v>0</v>
      </c>
      <c r="Z3574" s="74">
        <f>Devis[[#This Row],[Poste 5]]*Devis[[#This Row],[Prix de Revient]]</f>
        <v>0</v>
      </c>
      <c r="AA3574" s="74">
        <f>Devis[[#This Row],[Prix de Revient]]*Devis[[#This Row],[Poste 6]]</f>
        <v>0</v>
      </c>
      <c r="AB3574" s="74">
        <f>Devis[[#This Row],[Quantité Totale]]*Devis[[#This Row],[Prix de Revient]]</f>
        <v>0</v>
      </c>
    </row>
    <row r="3575" spans="1:28" ht="14.25" customHeight="1" outlineLevel="1" x14ac:dyDescent="0.2">
      <c r="A3575" s="75" t="s">
        <v>3177</v>
      </c>
      <c r="B3575" s="76" t="s">
        <v>3942</v>
      </c>
      <c r="C3575" s="76" t="s">
        <v>3973</v>
      </c>
      <c r="D3575" s="81" t="str">
        <f t="shared" si="65"/>
        <v>VannesVanne Boisseau SphériqueLaiton FF - Poignée papillon - Filet long</v>
      </c>
      <c r="E3575" s="76" t="s">
        <v>19</v>
      </c>
      <c r="F3575" s="76">
        <v>24</v>
      </c>
      <c r="G3575" s="71" t="s">
        <v>3974</v>
      </c>
      <c r="H3575" s="71" t="s">
        <v>34</v>
      </c>
      <c r="I3575" s="71">
        <v>523006</v>
      </c>
      <c r="J3575" s="70">
        <f>IFERROR(VLOOKUP(Devis[[#This Row],[Ref Air Flux]],#REF!,3,FALSE),0)</f>
        <v>0</v>
      </c>
      <c r="K3575" s="68"/>
      <c r="L3575" s="68"/>
      <c r="M3575" s="68"/>
      <c r="N3575" s="68"/>
      <c r="O3575" s="68"/>
      <c r="P3575" s="68"/>
      <c r="Q3575" s="68">
        <f>SUM(Devis[[#This Row],[Poste 1]:[Poste 6]])</f>
        <v>0</v>
      </c>
      <c r="R3575" s="71"/>
      <c r="S3575" s="68">
        <f>_xlfn.CEILING.MATH(Devis[[#This Row],[Quantité Totale]],Devis[[#This Row],[Conditionnement]])</f>
        <v>0</v>
      </c>
      <c r="T3575" s="72"/>
      <c r="U3575" s="73"/>
      <c r="V3575" s="74">
        <f>Devis[[#This Row],[Prix de Revient]]*Devis[[#This Row],[Poste 1]]</f>
        <v>0</v>
      </c>
      <c r="W3575" s="74">
        <f>Devis[[#This Row],[Prix de Revient]]*Devis[[#This Row],[Poste 2]]</f>
        <v>0</v>
      </c>
      <c r="X3575" s="74">
        <f>Devis[[#This Row],[Prix de Revient]]*Devis[[#This Row],[Poste 3]]</f>
        <v>0</v>
      </c>
      <c r="Y3575" s="74">
        <f>Devis[[#This Row],[Poste 4]]*Devis[[#This Row],[Prix de Revient]]</f>
        <v>0</v>
      </c>
      <c r="Z3575" s="74">
        <f>Devis[[#This Row],[Poste 5]]*Devis[[#This Row],[Prix de Revient]]</f>
        <v>0</v>
      </c>
      <c r="AA3575" s="74">
        <f>Devis[[#This Row],[Prix de Revient]]*Devis[[#This Row],[Poste 6]]</f>
        <v>0</v>
      </c>
      <c r="AB3575" s="74">
        <f>Devis[[#This Row],[Quantité Totale]]*Devis[[#This Row],[Prix de Revient]]</f>
        <v>0</v>
      </c>
    </row>
    <row r="3576" spans="1:28" ht="14.25" outlineLevel="1" x14ac:dyDescent="0.2">
      <c r="A3576" s="75" t="s">
        <v>3177</v>
      </c>
      <c r="B3576" s="76" t="s">
        <v>3942</v>
      </c>
      <c r="C3576" s="76" t="s">
        <v>3973</v>
      </c>
      <c r="D3576" s="81" t="str">
        <f t="shared" si="65"/>
        <v>VannesVanne Boisseau SphériqueLaiton FF - Poignée papillon - Filet long</v>
      </c>
      <c r="E3576" s="76" t="s">
        <v>2061</v>
      </c>
      <c r="F3576" s="76">
        <v>25</v>
      </c>
      <c r="G3576" s="71" t="s">
        <v>3975</v>
      </c>
      <c r="H3576" s="71" t="s">
        <v>34</v>
      </c>
      <c r="I3576" s="71">
        <v>523005</v>
      </c>
      <c r="J3576" s="70">
        <f>IFERROR(VLOOKUP(Devis[[#This Row],[Ref Air Flux]],#REF!,3,FALSE),0)</f>
        <v>0</v>
      </c>
      <c r="K3576" s="68"/>
      <c r="L3576" s="68"/>
      <c r="M3576" s="68"/>
      <c r="N3576" s="68"/>
      <c r="O3576" s="68"/>
      <c r="P3576" s="68"/>
      <c r="Q3576" s="68">
        <f>SUM(Devis[[#This Row],[Poste 1]:[Poste 6]])</f>
        <v>0</v>
      </c>
      <c r="R3576" s="71"/>
      <c r="S3576" s="68">
        <f>_xlfn.CEILING.MATH(Devis[[#This Row],[Quantité Totale]],Devis[[#This Row],[Conditionnement]])</f>
        <v>0</v>
      </c>
      <c r="T3576" s="72"/>
      <c r="U3576" s="73"/>
      <c r="V3576" s="74">
        <f>Devis[[#This Row],[Prix de Revient]]*Devis[[#This Row],[Poste 1]]</f>
        <v>0</v>
      </c>
      <c r="W3576" s="74">
        <f>Devis[[#This Row],[Prix de Revient]]*Devis[[#This Row],[Poste 2]]</f>
        <v>0</v>
      </c>
      <c r="X3576" s="74">
        <f>Devis[[#This Row],[Prix de Revient]]*Devis[[#This Row],[Poste 3]]</f>
        <v>0</v>
      </c>
      <c r="Y3576" s="74">
        <f>Devis[[#This Row],[Poste 4]]*Devis[[#This Row],[Prix de Revient]]</f>
        <v>0</v>
      </c>
      <c r="Z3576" s="74">
        <f>Devis[[#This Row],[Poste 5]]*Devis[[#This Row],[Prix de Revient]]</f>
        <v>0</v>
      </c>
      <c r="AA3576" s="74">
        <f>Devis[[#This Row],[Prix de Revient]]*Devis[[#This Row],[Poste 6]]</f>
        <v>0</v>
      </c>
      <c r="AB3576" s="74">
        <f>Devis[[#This Row],[Quantité Totale]]*Devis[[#This Row],[Prix de Revient]]</f>
        <v>0</v>
      </c>
    </row>
    <row r="3577" spans="1:28" ht="14.25" customHeight="1" outlineLevel="1" x14ac:dyDescent="0.25">
      <c r="A3577" s="65" t="s">
        <v>3177</v>
      </c>
      <c r="B3577" s="65" t="s">
        <v>3942</v>
      </c>
      <c r="C3577" s="113" t="s">
        <v>5505</v>
      </c>
      <c r="D3577" s="81" t="str">
        <f t="shared" si="65"/>
        <v>VannesVanne Boisseau SphériqueLaiton FF - Poignée Longue</v>
      </c>
      <c r="E3577" s="76"/>
      <c r="F3577" s="76">
        <v>26</v>
      </c>
      <c r="G3577" s="71"/>
      <c r="H3577" s="71"/>
      <c r="I3577" s="71"/>
      <c r="J3577" s="70">
        <f>IFERROR(VLOOKUP(Devis[[#This Row],[Ref Air Flux]],#REF!,3,FALSE),0)</f>
        <v>0</v>
      </c>
      <c r="K3577" s="68"/>
      <c r="L3577" s="68"/>
      <c r="M3577" s="68"/>
      <c r="N3577" s="68"/>
      <c r="O3577" s="68"/>
      <c r="P3577" s="68"/>
      <c r="Q3577" s="68">
        <f>SUM(Devis[[#This Row],[Poste 1]:[Poste 6]])</f>
        <v>0</v>
      </c>
      <c r="R3577" s="71"/>
      <c r="S3577" s="68">
        <f>_xlfn.CEILING.MATH(Devis[[#This Row],[Quantité Totale]],Devis[[#This Row],[Conditionnement]])</f>
        <v>0</v>
      </c>
      <c r="T3577" s="72"/>
      <c r="U3577" s="73"/>
      <c r="V3577" s="74">
        <f>Devis[[#This Row],[Prix de Revient]]*Devis[[#This Row],[Poste 1]]</f>
        <v>0</v>
      </c>
      <c r="W3577" s="74">
        <f>Devis[[#This Row],[Prix de Revient]]*Devis[[#This Row],[Poste 2]]</f>
        <v>0</v>
      </c>
      <c r="X3577" s="74">
        <f>Devis[[#This Row],[Prix de Revient]]*Devis[[#This Row],[Poste 3]]</f>
        <v>0</v>
      </c>
      <c r="Y3577" s="74">
        <f>Devis[[#This Row],[Poste 4]]*Devis[[#This Row],[Prix de Revient]]</f>
        <v>0</v>
      </c>
      <c r="Z3577" s="74">
        <f>Devis[[#This Row],[Poste 5]]*Devis[[#This Row],[Prix de Revient]]</f>
        <v>0</v>
      </c>
      <c r="AA3577" s="74">
        <f>Devis[[#This Row],[Prix de Revient]]*Devis[[#This Row],[Poste 6]]</f>
        <v>0</v>
      </c>
      <c r="AB3577" s="74">
        <f>Devis[[#This Row],[Quantité Totale]]*Devis[[#This Row],[Prix de Revient]]</f>
        <v>0</v>
      </c>
    </row>
    <row r="3578" spans="1:28" ht="14.25" customHeight="1" outlineLevel="1" x14ac:dyDescent="0.2">
      <c r="A3578" s="75" t="s">
        <v>3177</v>
      </c>
      <c r="B3578" s="76" t="s">
        <v>3942</v>
      </c>
      <c r="C3578" s="76" t="s">
        <v>5505</v>
      </c>
      <c r="D3578" s="81" t="str">
        <f t="shared" si="65"/>
        <v>VannesVanne Boisseau SphériqueLaiton FF - Poignée Longue</v>
      </c>
      <c r="E3578" s="76" t="s">
        <v>2196</v>
      </c>
      <c r="F3578" s="76">
        <v>27</v>
      </c>
      <c r="G3578" s="71" t="s">
        <v>3943</v>
      </c>
      <c r="H3578" s="71" t="s">
        <v>34</v>
      </c>
      <c r="I3578" s="71">
        <v>576001</v>
      </c>
      <c r="J3578" s="70">
        <f>IFERROR(VLOOKUP(Devis[[#This Row],[Ref Air Flux]],#REF!,3,FALSE),0)</f>
        <v>0</v>
      </c>
      <c r="K3578" s="68"/>
      <c r="L3578" s="68"/>
      <c r="M3578" s="68"/>
      <c r="N3578" s="68"/>
      <c r="O3578" s="68"/>
      <c r="P3578" s="68"/>
      <c r="Q3578" s="68">
        <f>SUM(Devis[[#This Row],[Poste 1]:[Poste 6]])</f>
        <v>0</v>
      </c>
      <c r="R3578" s="71"/>
      <c r="S3578" s="68">
        <f>_xlfn.CEILING.MATH(Devis[[#This Row],[Quantité Totale]],Devis[[#This Row],[Conditionnement]])</f>
        <v>0</v>
      </c>
      <c r="T3578" s="72"/>
      <c r="U3578" s="73"/>
      <c r="V3578" s="74">
        <f>Devis[[#This Row],[Prix de Revient]]*Devis[[#This Row],[Poste 1]]</f>
        <v>0</v>
      </c>
      <c r="W3578" s="74">
        <f>Devis[[#This Row],[Prix de Revient]]*Devis[[#This Row],[Poste 2]]</f>
        <v>0</v>
      </c>
      <c r="X3578" s="74">
        <f>Devis[[#This Row],[Prix de Revient]]*Devis[[#This Row],[Poste 3]]</f>
        <v>0</v>
      </c>
      <c r="Y3578" s="74">
        <f>Devis[[#This Row],[Poste 4]]*Devis[[#This Row],[Prix de Revient]]</f>
        <v>0</v>
      </c>
      <c r="Z3578" s="74">
        <f>Devis[[#This Row],[Poste 5]]*Devis[[#This Row],[Prix de Revient]]</f>
        <v>0</v>
      </c>
      <c r="AA3578" s="74">
        <f>Devis[[#This Row],[Prix de Revient]]*Devis[[#This Row],[Poste 6]]</f>
        <v>0</v>
      </c>
      <c r="AB3578" s="74">
        <f>Devis[[#This Row],[Quantité Totale]]*Devis[[#This Row],[Prix de Revient]]</f>
        <v>0</v>
      </c>
    </row>
    <row r="3579" spans="1:28" ht="14.25" customHeight="1" outlineLevel="1" x14ac:dyDescent="0.2">
      <c r="A3579" s="75" t="s">
        <v>3177</v>
      </c>
      <c r="B3579" s="76" t="s">
        <v>3942</v>
      </c>
      <c r="C3579" s="76" t="s">
        <v>5505</v>
      </c>
      <c r="D3579" s="81" t="str">
        <f t="shared" si="65"/>
        <v>VannesVanne Boisseau SphériqueLaiton FF - Poignée Longue</v>
      </c>
      <c r="E3579" s="76" t="s">
        <v>1325</v>
      </c>
      <c r="F3579" s="76">
        <v>28</v>
      </c>
      <c r="G3579" s="71" t="s">
        <v>3178</v>
      </c>
      <c r="H3579" s="71" t="s">
        <v>34</v>
      </c>
      <c r="I3579" s="71">
        <v>580002</v>
      </c>
      <c r="J3579" s="70">
        <f>IFERROR(VLOOKUP(Devis[[#This Row],[Ref Air Flux]],#REF!,3,FALSE),0)</f>
        <v>0</v>
      </c>
      <c r="K3579" s="68"/>
      <c r="L3579" s="68"/>
      <c r="M3579" s="68"/>
      <c r="N3579" s="68"/>
      <c r="O3579" s="68"/>
      <c r="P3579" s="68"/>
      <c r="Q3579" s="68">
        <f>SUM(Devis[[#This Row],[Poste 1]:[Poste 6]])</f>
        <v>0</v>
      </c>
      <c r="R3579" s="71"/>
      <c r="S3579" s="68">
        <f>_xlfn.CEILING.MATH(Devis[[#This Row],[Quantité Totale]],Devis[[#This Row],[Conditionnement]])</f>
        <v>0</v>
      </c>
      <c r="T3579" s="72"/>
      <c r="U3579" s="73"/>
      <c r="V3579" s="74">
        <f>Devis[[#This Row],[Prix de Revient]]*Devis[[#This Row],[Poste 1]]</f>
        <v>0</v>
      </c>
      <c r="W3579" s="74">
        <f>Devis[[#This Row],[Prix de Revient]]*Devis[[#This Row],[Poste 2]]</f>
        <v>0</v>
      </c>
      <c r="X3579" s="74">
        <f>Devis[[#This Row],[Prix de Revient]]*Devis[[#This Row],[Poste 3]]</f>
        <v>0</v>
      </c>
      <c r="Y3579" s="74">
        <f>Devis[[#This Row],[Poste 4]]*Devis[[#This Row],[Prix de Revient]]</f>
        <v>0</v>
      </c>
      <c r="Z3579" s="74">
        <f>Devis[[#This Row],[Poste 5]]*Devis[[#This Row],[Prix de Revient]]</f>
        <v>0</v>
      </c>
      <c r="AA3579" s="74">
        <f>Devis[[#This Row],[Prix de Revient]]*Devis[[#This Row],[Poste 6]]</f>
        <v>0</v>
      </c>
      <c r="AB3579" s="74">
        <f>Devis[[#This Row],[Quantité Totale]]*Devis[[#This Row],[Prix de Revient]]</f>
        <v>0</v>
      </c>
    </row>
    <row r="3580" spans="1:28" ht="14.25" outlineLevel="1" x14ac:dyDescent="0.2">
      <c r="A3580" s="75" t="s">
        <v>3177</v>
      </c>
      <c r="B3580" s="76" t="s">
        <v>3942</v>
      </c>
      <c r="C3580" s="76" t="s">
        <v>5505</v>
      </c>
      <c r="D3580" s="81" t="str">
        <f t="shared" si="65"/>
        <v>VannesVanne Boisseau SphériqueLaiton FF - Poignée Longue</v>
      </c>
      <c r="E3580" s="76" t="s">
        <v>2066</v>
      </c>
      <c r="F3580" s="76">
        <v>29</v>
      </c>
      <c r="G3580" s="71" t="s">
        <v>3179</v>
      </c>
      <c r="H3580" s="71" t="s">
        <v>34</v>
      </c>
      <c r="I3580" s="71">
        <v>580003</v>
      </c>
      <c r="J3580" s="70">
        <f>IFERROR(VLOOKUP(Devis[[#This Row],[Ref Air Flux]],#REF!,3,FALSE),0)</f>
        <v>0</v>
      </c>
      <c r="K3580" s="68"/>
      <c r="L3580" s="68"/>
      <c r="M3580" s="68"/>
      <c r="N3580" s="68"/>
      <c r="O3580" s="68"/>
      <c r="P3580" s="68"/>
      <c r="Q3580" s="68">
        <f>SUM(Devis[[#This Row],[Poste 1]:[Poste 6]])</f>
        <v>0</v>
      </c>
      <c r="R3580" s="71"/>
      <c r="S3580" s="68">
        <f>_xlfn.CEILING.MATH(Devis[[#This Row],[Quantité Totale]],Devis[[#This Row],[Conditionnement]])</f>
        <v>0</v>
      </c>
      <c r="T3580" s="72"/>
      <c r="U3580" s="73"/>
      <c r="V3580" s="74">
        <f>Devis[[#This Row],[Prix de Revient]]*Devis[[#This Row],[Poste 1]]</f>
        <v>0</v>
      </c>
      <c r="W3580" s="74">
        <f>Devis[[#This Row],[Prix de Revient]]*Devis[[#This Row],[Poste 2]]</f>
        <v>0</v>
      </c>
      <c r="X3580" s="74">
        <f>Devis[[#This Row],[Prix de Revient]]*Devis[[#This Row],[Poste 3]]</f>
        <v>0</v>
      </c>
      <c r="Y3580" s="74">
        <f>Devis[[#This Row],[Poste 4]]*Devis[[#This Row],[Prix de Revient]]</f>
        <v>0</v>
      </c>
      <c r="Z3580" s="74">
        <f>Devis[[#This Row],[Poste 5]]*Devis[[#This Row],[Prix de Revient]]</f>
        <v>0</v>
      </c>
      <c r="AA3580" s="74">
        <f>Devis[[#This Row],[Prix de Revient]]*Devis[[#This Row],[Poste 6]]</f>
        <v>0</v>
      </c>
      <c r="AB3580" s="74">
        <f>Devis[[#This Row],[Quantité Totale]]*Devis[[#This Row],[Prix de Revient]]</f>
        <v>0</v>
      </c>
    </row>
    <row r="3581" spans="1:28" ht="14.25" outlineLevel="1" x14ac:dyDescent="0.2">
      <c r="A3581" s="75" t="s">
        <v>3177</v>
      </c>
      <c r="B3581" s="76" t="s">
        <v>3942</v>
      </c>
      <c r="C3581" s="76" t="s">
        <v>5505</v>
      </c>
      <c r="D3581" s="81" t="str">
        <f t="shared" si="65"/>
        <v>VannesVanne Boisseau SphériqueLaiton FF - Poignée Longue</v>
      </c>
      <c r="E3581" s="76" t="s">
        <v>1943</v>
      </c>
      <c r="F3581" s="76">
        <v>30</v>
      </c>
      <c r="G3581" s="71" t="s">
        <v>3180</v>
      </c>
      <c r="H3581" s="71" t="s">
        <v>34</v>
      </c>
      <c r="I3581" s="71">
        <v>580005</v>
      </c>
      <c r="J3581" s="70">
        <f>IFERROR(VLOOKUP(Devis[[#This Row],[Ref Air Flux]],#REF!,3,FALSE),0)</f>
        <v>0</v>
      </c>
      <c r="K3581" s="68"/>
      <c r="L3581" s="68"/>
      <c r="M3581" s="68"/>
      <c r="N3581" s="68"/>
      <c r="O3581" s="68"/>
      <c r="P3581" s="68"/>
      <c r="Q3581" s="68">
        <f>SUM(Devis[[#This Row],[Poste 1]:[Poste 6]])</f>
        <v>0</v>
      </c>
      <c r="R3581" s="71"/>
      <c r="S3581" s="68">
        <f>_xlfn.CEILING.MATH(Devis[[#This Row],[Quantité Totale]],Devis[[#This Row],[Conditionnement]])</f>
        <v>0</v>
      </c>
      <c r="T3581" s="72"/>
      <c r="U3581" s="75" t="s">
        <v>3944</v>
      </c>
      <c r="V3581" s="74">
        <f>Devis[[#This Row],[Prix de Revient]]*Devis[[#This Row],[Poste 1]]</f>
        <v>0</v>
      </c>
      <c r="W3581" s="74">
        <f>Devis[[#This Row],[Prix de Revient]]*Devis[[#This Row],[Poste 2]]</f>
        <v>0</v>
      </c>
      <c r="X3581" s="74">
        <f>Devis[[#This Row],[Prix de Revient]]*Devis[[#This Row],[Poste 3]]</f>
        <v>0</v>
      </c>
      <c r="Y3581" s="74">
        <f>Devis[[#This Row],[Poste 4]]*Devis[[#This Row],[Prix de Revient]]</f>
        <v>0</v>
      </c>
      <c r="Z3581" s="74">
        <f>Devis[[#This Row],[Poste 5]]*Devis[[#This Row],[Prix de Revient]]</f>
        <v>0</v>
      </c>
      <c r="AA3581" s="74">
        <f>Devis[[#This Row],[Prix de Revient]]*Devis[[#This Row],[Poste 6]]</f>
        <v>0</v>
      </c>
      <c r="AB3581" s="74">
        <f>Devis[[#This Row],[Quantité Totale]]*Devis[[#This Row],[Prix de Revient]]</f>
        <v>0</v>
      </c>
    </row>
    <row r="3582" spans="1:28" ht="15" customHeight="1" outlineLevel="1" x14ac:dyDescent="0.2">
      <c r="A3582" s="75" t="s">
        <v>3177</v>
      </c>
      <c r="B3582" s="76" t="s">
        <v>3942</v>
      </c>
      <c r="C3582" s="76" t="s">
        <v>5505</v>
      </c>
      <c r="D3582" s="81" t="str">
        <f t="shared" si="65"/>
        <v>VannesVanne Boisseau SphériqueLaiton FF - Poignée Longue</v>
      </c>
      <c r="E3582" s="76" t="s">
        <v>2061</v>
      </c>
      <c r="F3582" s="76">
        <v>31</v>
      </c>
      <c r="G3582" s="71" t="s">
        <v>3181</v>
      </c>
      <c r="H3582" s="71" t="s">
        <v>34</v>
      </c>
      <c r="I3582" s="71">
        <v>580004</v>
      </c>
      <c r="J3582" s="70">
        <f>IFERROR(VLOOKUP(Devis[[#This Row],[Ref Air Flux]],#REF!,3,FALSE),0)</f>
        <v>0</v>
      </c>
      <c r="K3582" s="68"/>
      <c r="L3582" s="68"/>
      <c r="M3582" s="68"/>
      <c r="N3582" s="68"/>
      <c r="O3582" s="68"/>
      <c r="P3582" s="68"/>
      <c r="Q3582" s="68">
        <f>SUM(Devis[[#This Row],[Poste 1]:[Poste 6]])</f>
        <v>0</v>
      </c>
      <c r="R3582" s="71"/>
      <c r="S3582" s="68">
        <f>_xlfn.CEILING.MATH(Devis[[#This Row],[Quantité Totale]],Devis[[#This Row],[Conditionnement]])</f>
        <v>0</v>
      </c>
      <c r="T3582" s="72"/>
      <c r="U3582" s="75" t="s">
        <v>3945</v>
      </c>
      <c r="V3582" s="74">
        <f>Devis[[#This Row],[Prix de Revient]]*Devis[[#This Row],[Poste 1]]</f>
        <v>0</v>
      </c>
      <c r="W3582" s="74">
        <f>Devis[[#This Row],[Prix de Revient]]*Devis[[#This Row],[Poste 2]]</f>
        <v>0</v>
      </c>
      <c r="X3582" s="74">
        <f>Devis[[#This Row],[Prix de Revient]]*Devis[[#This Row],[Poste 3]]</f>
        <v>0</v>
      </c>
      <c r="Y3582" s="74">
        <f>Devis[[#This Row],[Poste 4]]*Devis[[#This Row],[Prix de Revient]]</f>
        <v>0</v>
      </c>
      <c r="Z3582" s="74">
        <f>Devis[[#This Row],[Poste 5]]*Devis[[#This Row],[Prix de Revient]]</f>
        <v>0</v>
      </c>
      <c r="AA3582" s="74">
        <f>Devis[[#This Row],[Prix de Revient]]*Devis[[#This Row],[Poste 6]]</f>
        <v>0</v>
      </c>
      <c r="AB3582" s="74">
        <f>Devis[[#This Row],[Quantité Totale]]*Devis[[#This Row],[Prix de Revient]]</f>
        <v>0</v>
      </c>
    </row>
    <row r="3583" spans="1:28" ht="14.25" outlineLevel="1" x14ac:dyDescent="0.2">
      <c r="A3583" s="75" t="s">
        <v>3177</v>
      </c>
      <c r="B3583" s="76" t="s">
        <v>3942</v>
      </c>
      <c r="C3583" s="76" t="s">
        <v>5505</v>
      </c>
      <c r="D3583" s="81" t="str">
        <f t="shared" si="65"/>
        <v>VannesVanne Boisseau SphériqueLaiton FF - Poignée Longue</v>
      </c>
      <c r="E3583" s="76" t="s">
        <v>19</v>
      </c>
      <c r="F3583" s="76">
        <v>32</v>
      </c>
      <c r="G3583" s="71" t="s">
        <v>3182</v>
      </c>
      <c r="H3583" s="71" t="s">
        <v>34</v>
      </c>
      <c r="I3583" s="71">
        <v>580006</v>
      </c>
      <c r="J3583" s="70">
        <f>IFERROR(VLOOKUP(Devis[[#This Row],[Ref Air Flux]],#REF!,3,FALSE),0)</f>
        <v>0</v>
      </c>
      <c r="K3583" s="68"/>
      <c r="L3583" s="68"/>
      <c r="M3583" s="68"/>
      <c r="N3583" s="68"/>
      <c r="O3583" s="68"/>
      <c r="P3583" s="68"/>
      <c r="Q3583" s="68">
        <f>SUM(Devis[[#This Row],[Poste 1]:[Poste 6]])</f>
        <v>0</v>
      </c>
      <c r="R3583" s="71"/>
      <c r="S3583" s="68">
        <f>_xlfn.CEILING.MATH(Devis[[#This Row],[Quantité Totale]],Devis[[#This Row],[Conditionnement]])</f>
        <v>0</v>
      </c>
      <c r="T3583" s="72"/>
      <c r="U3583" s="75" t="s">
        <v>3946</v>
      </c>
      <c r="V3583" s="74">
        <f>Devis[[#This Row],[Prix de Revient]]*Devis[[#This Row],[Poste 1]]</f>
        <v>0</v>
      </c>
      <c r="W3583" s="74">
        <f>Devis[[#This Row],[Prix de Revient]]*Devis[[#This Row],[Poste 2]]</f>
        <v>0</v>
      </c>
      <c r="X3583" s="74">
        <f>Devis[[#This Row],[Prix de Revient]]*Devis[[#This Row],[Poste 3]]</f>
        <v>0</v>
      </c>
      <c r="Y3583" s="74">
        <f>Devis[[#This Row],[Poste 4]]*Devis[[#This Row],[Prix de Revient]]</f>
        <v>0</v>
      </c>
      <c r="Z3583" s="74">
        <f>Devis[[#This Row],[Poste 5]]*Devis[[#This Row],[Prix de Revient]]</f>
        <v>0</v>
      </c>
      <c r="AA3583" s="74">
        <f>Devis[[#This Row],[Prix de Revient]]*Devis[[#This Row],[Poste 6]]</f>
        <v>0</v>
      </c>
      <c r="AB3583" s="74">
        <f>Devis[[#This Row],[Quantité Totale]]*Devis[[#This Row],[Prix de Revient]]</f>
        <v>0</v>
      </c>
    </row>
    <row r="3584" spans="1:28" ht="14.25" outlineLevel="1" x14ac:dyDescent="0.2">
      <c r="A3584" s="75" t="s">
        <v>3177</v>
      </c>
      <c r="B3584" s="76" t="s">
        <v>3942</v>
      </c>
      <c r="C3584" s="76" t="s">
        <v>5505</v>
      </c>
      <c r="D3584" s="81" t="str">
        <f t="shared" si="65"/>
        <v>VannesVanne Boisseau SphériqueLaiton FF - Poignée Longue</v>
      </c>
      <c r="E3584" s="76" t="s">
        <v>20</v>
      </c>
      <c r="F3584" s="76">
        <v>33</v>
      </c>
      <c r="G3584" s="71" t="s">
        <v>3183</v>
      </c>
      <c r="H3584" s="71" t="s">
        <v>34</v>
      </c>
      <c r="I3584" s="71">
        <v>580007</v>
      </c>
      <c r="J3584" s="70">
        <f>IFERROR(VLOOKUP(Devis[[#This Row],[Ref Air Flux]],#REF!,3,FALSE),0)</f>
        <v>0</v>
      </c>
      <c r="K3584" s="68"/>
      <c r="L3584" s="68"/>
      <c r="M3584" s="68"/>
      <c r="N3584" s="68"/>
      <c r="O3584" s="68"/>
      <c r="P3584" s="68"/>
      <c r="Q3584" s="68">
        <f>SUM(Devis[[#This Row],[Poste 1]:[Poste 6]])</f>
        <v>0</v>
      </c>
      <c r="R3584" s="71"/>
      <c r="S3584" s="68">
        <f>_xlfn.CEILING.MATH(Devis[[#This Row],[Quantité Totale]],Devis[[#This Row],[Conditionnement]])</f>
        <v>0</v>
      </c>
      <c r="T3584" s="72"/>
      <c r="U3584" s="75" t="s">
        <v>3947</v>
      </c>
      <c r="V3584" s="74">
        <f>Devis[[#This Row],[Prix de Revient]]*Devis[[#This Row],[Poste 1]]</f>
        <v>0</v>
      </c>
      <c r="W3584" s="74">
        <f>Devis[[#This Row],[Prix de Revient]]*Devis[[#This Row],[Poste 2]]</f>
        <v>0</v>
      </c>
      <c r="X3584" s="74">
        <f>Devis[[#This Row],[Prix de Revient]]*Devis[[#This Row],[Poste 3]]</f>
        <v>0</v>
      </c>
      <c r="Y3584" s="74">
        <f>Devis[[#This Row],[Poste 4]]*Devis[[#This Row],[Prix de Revient]]</f>
        <v>0</v>
      </c>
      <c r="Z3584" s="74">
        <f>Devis[[#This Row],[Poste 5]]*Devis[[#This Row],[Prix de Revient]]</f>
        <v>0</v>
      </c>
      <c r="AA3584" s="74">
        <f>Devis[[#This Row],[Prix de Revient]]*Devis[[#This Row],[Poste 6]]</f>
        <v>0</v>
      </c>
      <c r="AB3584" s="74">
        <f>Devis[[#This Row],[Quantité Totale]]*Devis[[#This Row],[Prix de Revient]]</f>
        <v>0</v>
      </c>
    </row>
    <row r="3585" spans="1:28" ht="14.25" customHeight="1" outlineLevel="1" x14ac:dyDescent="0.2">
      <c r="A3585" s="75" t="s">
        <v>3177</v>
      </c>
      <c r="B3585" s="76" t="s">
        <v>3942</v>
      </c>
      <c r="C3585" s="76" t="s">
        <v>5505</v>
      </c>
      <c r="D3585" s="81" t="str">
        <f t="shared" si="65"/>
        <v>VannesVanne Boisseau SphériqueLaiton FF - Poignée Longue</v>
      </c>
      <c r="E3585" s="76" t="s">
        <v>21</v>
      </c>
      <c r="F3585" s="76">
        <v>34</v>
      </c>
      <c r="G3585" s="71" t="s">
        <v>3184</v>
      </c>
      <c r="H3585" s="71" t="s">
        <v>34</v>
      </c>
      <c r="I3585" s="71">
        <v>580008</v>
      </c>
      <c r="J3585" s="70">
        <f>IFERROR(VLOOKUP(Devis[[#This Row],[Ref Air Flux]],#REF!,3,FALSE),0)</f>
        <v>0</v>
      </c>
      <c r="K3585" s="68"/>
      <c r="L3585" s="68"/>
      <c r="M3585" s="68"/>
      <c r="N3585" s="68"/>
      <c r="O3585" s="68"/>
      <c r="P3585" s="68"/>
      <c r="Q3585" s="68">
        <f>SUM(Devis[[#This Row],[Poste 1]:[Poste 6]])</f>
        <v>0</v>
      </c>
      <c r="R3585" s="71"/>
      <c r="S3585" s="68">
        <f>_xlfn.CEILING.MATH(Devis[[#This Row],[Quantité Totale]],Devis[[#This Row],[Conditionnement]])</f>
        <v>0</v>
      </c>
      <c r="T3585" s="72"/>
      <c r="U3585" s="75" t="s">
        <v>3948</v>
      </c>
      <c r="V3585" s="74">
        <f>Devis[[#This Row],[Prix de Revient]]*Devis[[#This Row],[Poste 1]]</f>
        <v>0</v>
      </c>
      <c r="W3585" s="74">
        <f>Devis[[#This Row],[Prix de Revient]]*Devis[[#This Row],[Poste 2]]</f>
        <v>0</v>
      </c>
      <c r="X3585" s="74">
        <f>Devis[[#This Row],[Prix de Revient]]*Devis[[#This Row],[Poste 3]]</f>
        <v>0</v>
      </c>
      <c r="Y3585" s="74">
        <f>Devis[[#This Row],[Poste 4]]*Devis[[#This Row],[Prix de Revient]]</f>
        <v>0</v>
      </c>
      <c r="Z3585" s="74">
        <f>Devis[[#This Row],[Poste 5]]*Devis[[#This Row],[Prix de Revient]]</f>
        <v>0</v>
      </c>
      <c r="AA3585" s="74">
        <f>Devis[[#This Row],[Prix de Revient]]*Devis[[#This Row],[Poste 6]]</f>
        <v>0</v>
      </c>
      <c r="AB3585" s="74">
        <f>Devis[[#This Row],[Quantité Totale]]*Devis[[#This Row],[Prix de Revient]]</f>
        <v>0</v>
      </c>
    </row>
    <row r="3586" spans="1:28" ht="14.25" outlineLevel="1" x14ac:dyDescent="0.2">
      <c r="A3586" s="75" t="s">
        <v>3177</v>
      </c>
      <c r="B3586" s="76" t="s">
        <v>3942</v>
      </c>
      <c r="C3586" s="76" t="s">
        <v>5505</v>
      </c>
      <c r="D3586" s="81" t="str">
        <f t="shared" si="65"/>
        <v>VannesVanne Boisseau SphériqueLaiton FF - Poignée Longue</v>
      </c>
      <c r="E3586" s="76" t="s">
        <v>0</v>
      </c>
      <c r="F3586" s="76">
        <v>35</v>
      </c>
      <c r="G3586" s="71" t="s">
        <v>3185</v>
      </c>
      <c r="H3586" s="71" t="s">
        <v>34</v>
      </c>
      <c r="I3586" s="71">
        <v>580009</v>
      </c>
      <c r="J3586" s="70">
        <f>IFERROR(VLOOKUP(Devis[[#This Row],[Ref Air Flux]],#REF!,3,FALSE),0)</f>
        <v>0</v>
      </c>
      <c r="K3586" s="68"/>
      <c r="L3586" s="68"/>
      <c r="M3586" s="68"/>
      <c r="N3586" s="68"/>
      <c r="O3586" s="68"/>
      <c r="P3586" s="68"/>
      <c r="Q3586" s="68">
        <f>SUM(Devis[[#This Row],[Poste 1]:[Poste 6]])</f>
        <v>0</v>
      </c>
      <c r="R3586" s="71"/>
      <c r="S3586" s="68">
        <f>_xlfn.CEILING.MATH(Devis[[#This Row],[Quantité Totale]],Devis[[#This Row],[Conditionnement]])</f>
        <v>0</v>
      </c>
      <c r="T3586" s="72"/>
      <c r="U3586" s="75"/>
      <c r="V3586" s="74">
        <f>Devis[[#This Row],[Prix de Revient]]*Devis[[#This Row],[Poste 1]]</f>
        <v>0</v>
      </c>
      <c r="W3586" s="74">
        <f>Devis[[#This Row],[Prix de Revient]]*Devis[[#This Row],[Poste 2]]</f>
        <v>0</v>
      </c>
      <c r="X3586" s="74">
        <f>Devis[[#This Row],[Prix de Revient]]*Devis[[#This Row],[Poste 3]]</f>
        <v>0</v>
      </c>
      <c r="Y3586" s="74">
        <f>Devis[[#This Row],[Poste 4]]*Devis[[#This Row],[Prix de Revient]]</f>
        <v>0</v>
      </c>
      <c r="Z3586" s="74">
        <f>Devis[[#This Row],[Poste 5]]*Devis[[#This Row],[Prix de Revient]]</f>
        <v>0</v>
      </c>
      <c r="AA3586" s="74">
        <f>Devis[[#This Row],[Prix de Revient]]*Devis[[#This Row],[Poste 6]]</f>
        <v>0</v>
      </c>
      <c r="AB3586" s="74">
        <f>Devis[[#This Row],[Quantité Totale]]*Devis[[#This Row],[Prix de Revient]]</f>
        <v>0</v>
      </c>
    </row>
    <row r="3587" spans="1:28" ht="14.25" customHeight="1" outlineLevel="1" x14ac:dyDescent="0.2">
      <c r="A3587" s="75" t="s">
        <v>3177</v>
      </c>
      <c r="B3587" s="76" t="s">
        <v>3942</v>
      </c>
      <c r="C3587" s="76" t="s">
        <v>5505</v>
      </c>
      <c r="D3587" s="81" t="str">
        <f t="shared" si="65"/>
        <v>VannesVanne Boisseau SphériqueLaiton FF - Poignée Longue</v>
      </c>
      <c r="E3587" s="76" t="s">
        <v>49</v>
      </c>
      <c r="F3587" s="76">
        <v>36</v>
      </c>
      <c r="G3587" s="71" t="s">
        <v>3186</v>
      </c>
      <c r="H3587" s="71" t="s">
        <v>34</v>
      </c>
      <c r="I3587" s="71">
        <v>580010</v>
      </c>
      <c r="J3587" s="70">
        <f>IFERROR(VLOOKUP(Devis[[#This Row],[Ref Air Flux]],#REF!,3,FALSE),0)</f>
        <v>0</v>
      </c>
      <c r="K3587" s="68"/>
      <c r="L3587" s="68"/>
      <c r="M3587" s="68"/>
      <c r="N3587" s="68"/>
      <c r="O3587" s="68"/>
      <c r="P3587" s="68"/>
      <c r="Q3587" s="68">
        <f>SUM(Devis[[#This Row],[Poste 1]:[Poste 6]])</f>
        <v>0</v>
      </c>
      <c r="R3587" s="71"/>
      <c r="S3587" s="68">
        <f>_xlfn.CEILING.MATH(Devis[[#This Row],[Quantité Totale]],Devis[[#This Row],[Conditionnement]])</f>
        <v>0</v>
      </c>
      <c r="T3587" s="72"/>
      <c r="U3587" s="75"/>
      <c r="V3587" s="74">
        <f>Devis[[#This Row],[Prix de Revient]]*Devis[[#This Row],[Poste 1]]</f>
        <v>0</v>
      </c>
      <c r="W3587" s="74">
        <f>Devis[[#This Row],[Prix de Revient]]*Devis[[#This Row],[Poste 2]]</f>
        <v>0</v>
      </c>
      <c r="X3587" s="74">
        <f>Devis[[#This Row],[Prix de Revient]]*Devis[[#This Row],[Poste 3]]</f>
        <v>0</v>
      </c>
      <c r="Y3587" s="74">
        <f>Devis[[#This Row],[Poste 4]]*Devis[[#This Row],[Prix de Revient]]</f>
        <v>0</v>
      </c>
      <c r="Z3587" s="74">
        <f>Devis[[#This Row],[Poste 5]]*Devis[[#This Row],[Prix de Revient]]</f>
        <v>0</v>
      </c>
      <c r="AA3587" s="74">
        <f>Devis[[#This Row],[Prix de Revient]]*Devis[[#This Row],[Poste 6]]</f>
        <v>0</v>
      </c>
      <c r="AB3587" s="74">
        <f>Devis[[#This Row],[Quantité Totale]]*Devis[[#This Row],[Prix de Revient]]</f>
        <v>0</v>
      </c>
    </row>
    <row r="3588" spans="1:28" ht="14.25" outlineLevel="1" x14ac:dyDescent="0.2">
      <c r="A3588" s="75" t="s">
        <v>3177</v>
      </c>
      <c r="B3588" s="76" t="s">
        <v>3942</v>
      </c>
      <c r="C3588" s="76" t="s">
        <v>5505</v>
      </c>
      <c r="D3588" s="81" t="str">
        <f t="shared" si="65"/>
        <v>VannesVanne Boisseau SphériqueLaiton FF - Poignée Longue</v>
      </c>
      <c r="E3588" s="76" t="s">
        <v>22</v>
      </c>
      <c r="F3588" s="76">
        <v>37</v>
      </c>
      <c r="G3588" s="71" t="s">
        <v>3187</v>
      </c>
      <c r="H3588" s="71" t="s">
        <v>34</v>
      </c>
      <c r="I3588" s="71">
        <v>580011</v>
      </c>
      <c r="J3588" s="70">
        <f>IFERROR(VLOOKUP(Devis[[#This Row],[Ref Air Flux]],#REF!,3,FALSE),0)</f>
        <v>0</v>
      </c>
      <c r="K3588" s="68"/>
      <c r="L3588" s="68"/>
      <c r="M3588" s="68"/>
      <c r="N3588" s="68"/>
      <c r="O3588" s="68"/>
      <c r="P3588" s="68"/>
      <c r="Q3588" s="68">
        <f>SUM(Devis[[#This Row],[Poste 1]:[Poste 6]])</f>
        <v>0</v>
      </c>
      <c r="R3588" s="71"/>
      <c r="S3588" s="68">
        <f>_xlfn.CEILING.MATH(Devis[[#This Row],[Quantité Totale]],Devis[[#This Row],[Conditionnement]])</f>
        <v>0</v>
      </c>
      <c r="T3588" s="72"/>
      <c r="U3588" s="75"/>
      <c r="V3588" s="74">
        <f>Devis[[#This Row],[Prix de Revient]]*Devis[[#This Row],[Poste 1]]</f>
        <v>0</v>
      </c>
      <c r="W3588" s="74">
        <f>Devis[[#This Row],[Prix de Revient]]*Devis[[#This Row],[Poste 2]]</f>
        <v>0</v>
      </c>
      <c r="X3588" s="74">
        <f>Devis[[#This Row],[Prix de Revient]]*Devis[[#This Row],[Poste 3]]</f>
        <v>0</v>
      </c>
      <c r="Y3588" s="74">
        <f>Devis[[#This Row],[Poste 4]]*Devis[[#This Row],[Prix de Revient]]</f>
        <v>0</v>
      </c>
      <c r="Z3588" s="74">
        <f>Devis[[#This Row],[Poste 5]]*Devis[[#This Row],[Prix de Revient]]</f>
        <v>0</v>
      </c>
      <c r="AA3588" s="74">
        <f>Devis[[#This Row],[Prix de Revient]]*Devis[[#This Row],[Poste 6]]</f>
        <v>0</v>
      </c>
      <c r="AB3588" s="74">
        <f>Devis[[#This Row],[Quantité Totale]]*Devis[[#This Row],[Prix de Revient]]</f>
        <v>0</v>
      </c>
    </row>
    <row r="3589" spans="1:28" ht="14.25" customHeight="1" outlineLevel="1" x14ac:dyDescent="0.25">
      <c r="A3589" s="65" t="s">
        <v>3177</v>
      </c>
      <c r="B3589" s="65" t="s">
        <v>3942</v>
      </c>
      <c r="C3589" s="113" t="s">
        <v>3971</v>
      </c>
      <c r="D3589" s="81" t="str">
        <f t="shared" si="65"/>
        <v>VannesVanne Boisseau SphériqueLaiton MF - Poignée papillon</v>
      </c>
      <c r="E3589" s="76"/>
      <c r="F3589" s="76">
        <v>38</v>
      </c>
      <c r="G3589" s="71"/>
      <c r="H3589" s="71"/>
      <c r="I3589" s="71"/>
      <c r="J3589" s="70">
        <f>IFERROR(VLOOKUP(Devis[[#This Row],[Ref Air Flux]],#REF!,3,FALSE),0)</f>
        <v>0</v>
      </c>
      <c r="K3589" s="68"/>
      <c r="L3589" s="68"/>
      <c r="M3589" s="68"/>
      <c r="N3589" s="68"/>
      <c r="O3589" s="68"/>
      <c r="P3589" s="68"/>
      <c r="Q3589" s="68">
        <f>SUM(Devis[[#This Row],[Poste 1]:[Poste 6]])</f>
        <v>0</v>
      </c>
      <c r="R3589" s="71"/>
      <c r="S3589" s="68">
        <f>_xlfn.CEILING.MATH(Devis[[#This Row],[Quantité Totale]],Devis[[#This Row],[Conditionnement]])</f>
        <v>0</v>
      </c>
      <c r="T3589" s="72"/>
      <c r="U3589" s="75"/>
      <c r="V3589" s="74">
        <f>Devis[[#This Row],[Prix de Revient]]*Devis[[#This Row],[Poste 1]]</f>
        <v>0</v>
      </c>
      <c r="W3589" s="74">
        <f>Devis[[#This Row],[Prix de Revient]]*Devis[[#This Row],[Poste 2]]</f>
        <v>0</v>
      </c>
      <c r="X3589" s="74">
        <f>Devis[[#This Row],[Prix de Revient]]*Devis[[#This Row],[Poste 3]]</f>
        <v>0</v>
      </c>
      <c r="Y3589" s="74">
        <f>Devis[[#This Row],[Poste 4]]*Devis[[#This Row],[Prix de Revient]]</f>
        <v>0</v>
      </c>
      <c r="Z3589" s="74">
        <f>Devis[[#This Row],[Poste 5]]*Devis[[#This Row],[Prix de Revient]]</f>
        <v>0</v>
      </c>
      <c r="AA3589" s="74">
        <f>Devis[[#This Row],[Prix de Revient]]*Devis[[#This Row],[Poste 6]]</f>
        <v>0</v>
      </c>
      <c r="AB3589" s="74">
        <f>Devis[[#This Row],[Quantité Totale]]*Devis[[#This Row],[Prix de Revient]]</f>
        <v>0</v>
      </c>
    </row>
    <row r="3590" spans="1:28" ht="14.25" outlineLevel="1" x14ac:dyDescent="0.2">
      <c r="A3590" s="75" t="s">
        <v>3177</v>
      </c>
      <c r="B3590" s="76" t="s">
        <v>3942</v>
      </c>
      <c r="C3590" s="76" t="s">
        <v>3971</v>
      </c>
      <c r="D3590" s="81" t="str">
        <f t="shared" si="65"/>
        <v>VannesVanne Boisseau SphériqueLaiton MF - Poignée papillon</v>
      </c>
      <c r="E3590" s="76" t="s">
        <v>1943</v>
      </c>
      <c r="F3590" s="76">
        <v>39</v>
      </c>
      <c r="G3590" s="71" t="s">
        <v>3972</v>
      </c>
      <c r="H3590" s="71" t="s">
        <v>34</v>
      </c>
      <c r="I3590" s="71">
        <v>587004</v>
      </c>
      <c r="J3590" s="70">
        <f>IFERROR(VLOOKUP(Devis[[#This Row],[Ref Air Flux]],#REF!,3,FALSE),0)</f>
        <v>0</v>
      </c>
      <c r="K3590" s="68"/>
      <c r="L3590" s="68"/>
      <c r="M3590" s="68"/>
      <c r="N3590" s="68"/>
      <c r="O3590" s="68"/>
      <c r="P3590" s="68"/>
      <c r="Q3590" s="68">
        <f>SUM(Devis[[#This Row],[Poste 1]:[Poste 6]])</f>
        <v>0</v>
      </c>
      <c r="R3590" s="71"/>
      <c r="S3590" s="68">
        <f>_xlfn.CEILING.MATH(Devis[[#This Row],[Quantité Totale]],Devis[[#This Row],[Conditionnement]])</f>
        <v>0</v>
      </c>
      <c r="T3590" s="72"/>
      <c r="U3590" s="75"/>
      <c r="V3590" s="74">
        <f>Devis[[#This Row],[Prix de Revient]]*Devis[[#This Row],[Poste 1]]</f>
        <v>0</v>
      </c>
      <c r="W3590" s="74">
        <f>Devis[[#This Row],[Prix de Revient]]*Devis[[#This Row],[Poste 2]]</f>
        <v>0</v>
      </c>
      <c r="X3590" s="74">
        <f>Devis[[#This Row],[Prix de Revient]]*Devis[[#This Row],[Poste 3]]</f>
        <v>0</v>
      </c>
      <c r="Y3590" s="74">
        <f>Devis[[#This Row],[Poste 4]]*Devis[[#This Row],[Prix de Revient]]</f>
        <v>0</v>
      </c>
      <c r="Z3590" s="74">
        <f>Devis[[#This Row],[Poste 5]]*Devis[[#This Row],[Prix de Revient]]</f>
        <v>0</v>
      </c>
      <c r="AA3590" s="74">
        <f>Devis[[#This Row],[Prix de Revient]]*Devis[[#This Row],[Poste 6]]</f>
        <v>0</v>
      </c>
      <c r="AB3590" s="74">
        <f>Devis[[#This Row],[Quantité Totale]]*Devis[[#This Row],[Prix de Revient]]</f>
        <v>0</v>
      </c>
    </row>
    <row r="3591" spans="1:28" ht="14.25" outlineLevel="1" x14ac:dyDescent="0.2">
      <c r="A3591" s="75" t="s">
        <v>3177</v>
      </c>
      <c r="B3591" s="76" t="s">
        <v>3942</v>
      </c>
      <c r="C3591" s="76" t="s">
        <v>3971</v>
      </c>
      <c r="D3591" s="81" t="str">
        <f t="shared" si="65"/>
        <v>VannesVanne Boisseau SphériqueLaiton MF - Poignée papillon</v>
      </c>
      <c r="E3591" s="76" t="s">
        <v>2061</v>
      </c>
      <c r="F3591" s="76">
        <v>40</v>
      </c>
      <c r="G3591" s="71" t="s">
        <v>3976</v>
      </c>
      <c r="H3591" s="71" t="s">
        <v>34</v>
      </c>
      <c r="I3591" s="71">
        <v>587005</v>
      </c>
      <c r="J3591" s="70">
        <f>IFERROR(VLOOKUP(Devis[[#This Row],[Ref Air Flux]],#REF!,3,FALSE),0)</f>
        <v>0</v>
      </c>
      <c r="K3591" s="68"/>
      <c r="L3591" s="68"/>
      <c r="M3591" s="68"/>
      <c r="N3591" s="68"/>
      <c r="O3591" s="68"/>
      <c r="P3591" s="68"/>
      <c r="Q3591" s="68">
        <f>SUM(Devis[[#This Row],[Poste 1]:[Poste 6]])</f>
        <v>0</v>
      </c>
      <c r="R3591" s="71"/>
      <c r="S3591" s="68">
        <f>_xlfn.CEILING.MATH(Devis[[#This Row],[Quantité Totale]],Devis[[#This Row],[Conditionnement]])</f>
        <v>0</v>
      </c>
      <c r="T3591" s="72"/>
      <c r="U3591" s="75"/>
      <c r="V3591" s="74">
        <f>Devis[[#This Row],[Prix de Revient]]*Devis[[#This Row],[Poste 1]]</f>
        <v>0</v>
      </c>
      <c r="W3591" s="74">
        <f>Devis[[#This Row],[Prix de Revient]]*Devis[[#This Row],[Poste 2]]</f>
        <v>0</v>
      </c>
      <c r="X3591" s="74">
        <f>Devis[[#This Row],[Prix de Revient]]*Devis[[#This Row],[Poste 3]]</f>
        <v>0</v>
      </c>
      <c r="Y3591" s="74">
        <f>Devis[[#This Row],[Poste 4]]*Devis[[#This Row],[Prix de Revient]]</f>
        <v>0</v>
      </c>
      <c r="Z3591" s="74">
        <f>Devis[[#This Row],[Poste 5]]*Devis[[#This Row],[Prix de Revient]]</f>
        <v>0</v>
      </c>
      <c r="AA3591" s="74">
        <f>Devis[[#This Row],[Prix de Revient]]*Devis[[#This Row],[Poste 6]]</f>
        <v>0</v>
      </c>
      <c r="AB3591" s="74">
        <f>Devis[[#This Row],[Quantité Totale]]*Devis[[#This Row],[Prix de Revient]]</f>
        <v>0</v>
      </c>
    </row>
    <row r="3592" spans="1:28" ht="15" customHeight="1" outlineLevel="1" x14ac:dyDescent="0.2">
      <c r="A3592" s="75" t="s">
        <v>3177</v>
      </c>
      <c r="B3592" s="76" t="s">
        <v>3942</v>
      </c>
      <c r="C3592" s="76" t="s">
        <v>3971</v>
      </c>
      <c r="D3592" s="81" t="str">
        <f t="shared" si="65"/>
        <v>VannesVanne Boisseau SphériqueLaiton MF - Poignée papillon</v>
      </c>
      <c r="E3592" s="76" t="s">
        <v>2066</v>
      </c>
      <c r="F3592" s="76">
        <v>41</v>
      </c>
      <c r="G3592" s="71" t="s">
        <v>3979</v>
      </c>
      <c r="H3592" s="71" t="s">
        <v>34</v>
      </c>
      <c r="I3592" s="71">
        <v>587003</v>
      </c>
      <c r="J3592" s="70">
        <f>IFERROR(VLOOKUP(Devis[[#This Row],[Ref Air Flux]],#REF!,3,FALSE),0)</f>
        <v>0</v>
      </c>
      <c r="K3592" s="68"/>
      <c r="L3592" s="68"/>
      <c r="M3592" s="68"/>
      <c r="N3592" s="68"/>
      <c r="O3592" s="68"/>
      <c r="P3592" s="68"/>
      <c r="Q3592" s="68">
        <f>SUM(Devis[[#This Row],[Poste 1]:[Poste 6]])</f>
        <v>0</v>
      </c>
      <c r="R3592" s="71"/>
      <c r="S3592" s="68">
        <f>_xlfn.CEILING.MATH(Devis[[#This Row],[Quantité Totale]],Devis[[#This Row],[Conditionnement]])</f>
        <v>0</v>
      </c>
      <c r="T3592" s="72"/>
      <c r="U3592" s="75"/>
      <c r="V3592" s="74">
        <f>Devis[[#This Row],[Prix de Revient]]*Devis[[#This Row],[Poste 1]]</f>
        <v>0</v>
      </c>
      <c r="W3592" s="74">
        <f>Devis[[#This Row],[Prix de Revient]]*Devis[[#This Row],[Poste 2]]</f>
        <v>0</v>
      </c>
      <c r="X3592" s="74">
        <f>Devis[[#This Row],[Prix de Revient]]*Devis[[#This Row],[Poste 3]]</f>
        <v>0</v>
      </c>
      <c r="Y3592" s="74">
        <f>Devis[[#This Row],[Poste 4]]*Devis[[#This Row],[Prix de Revient]]</f>
        <v>0</v>
      </c>
      <c r="Z3592" s="74">
        <f>Devis[[#This Row],[Poste 5]]*Devis[[#This Row],[Prix de Revient]]</f>
        <v>0</v>
      </c>
      <c r="AA3592" s="74">
        <f>Devis[[#This Row],[Prix de Revient]]*Devis[[#This Row],[Poste 6]]</f>
        <v>0</v>
      </c>
      <c r="AB3592" s="74">
        <f>Devis[[#This Row],[Quantité Totale]]*Devis[[#This Row],[Prix de Revient]]</f>
        <v>0</v>
      </c>
    </row>
    <row r="3593" spans="1:28" ht="14.25" customHeight="1" outlineLevel="1" x14ac:dyDescent="0.25">
      <c r="A3593" s="65" t="s">
        <v>3177</v>
      </c>
      <c r="B3593" s="65" t="s">
        <v>3942</v>
      </c>
      <c r="C3593" s="113" t="s">
        <v>5506</v>
      </c>
      <c r="D3593" s="81" t="str">
        <f t="shared" si="65"/>
        <v>VannesVanne Boisseau SphériqueLaiton MF - Poignée Longue</v>
      </c>
      <c r="E3593" s="76"/>
      <c r="F3593" s="76">
        <v>42</v>
      </c>
      <c r="G3593" s="71"/>
      <c r="H3593" s="71"/>
      <c r="I3593" s="71"/>
      <c r="J3593" s="70">
        <f>IFERROR(VLOOKUP(Devis[[#This Row],[Ref Air Flux]],#REF!,3,FALSE),0)</f>
        <v>0</v>
      </c>
      <c r="K3593" s="68"/>
      <c r="L3593" s="68"/>
      <c r="M3593" s="68"/>
      <c r="N3593" s="68"/>
      <c r="O3593" s="68"/>
      <c r="P3593" s="68"/>
      <c r="Q3593" s="68">
        <f>SUM(Devis[[#This Row],[Poste 1]:[Poste 6]])</f>
        <v>0</v>
      </c>
      <c r="R3593" s="71"/>
      <c r="S3593" s="68">
        <f>_xlfn.CEILING.MATH(Devis[[#This Row],[Quantité Totale]],Devis[[#This Row],[Conditionnement]])</f>
        <v>0</v>
      </c>
      <c r="T3593" s="72"/>
      <c r="U3593" s="75"/>
      <c r="V3593" s="74">
        <f>Devis[[#This Row],[Prix de Revient]]*Devis[[#This Row],[Poste 1]]</f>
        <v>0</v>
      </c>
      <c r="W3593" s="74">
        <f>Devis[[#This Row],[Prix de Revient]]*Devis[[#This Row],[Poste 2]]</f>
        <v>0</v>
      </c>
      <c r="X3593" s="74">
        <f>Devis[[#This Row],[Prix de Revient]]*Devis[[#This Row],[Poste 3]]</f>
        <v>0</v>
      </c>
      <c r="Y3593" s="74">
        <f>Devis[[#This Row],[Poste 4]]*Devis[[#This Row],[Prix de Revient]]</f>
        <v>0</v>
      </c>
      <c r="Z3593" s="74">
        <f>Devis[[#This Row],[Poste 5]]*Devis[[#This Row],[Prix de Revient]]</f>
        <v>0</v>
      </c>
      <c r="AA3593" s="74">
        <f>Devis[[#This Row],[Prix de Revient]]*Devis[[#This Row],[Poste 6]]</f>
        <v>0</v>
      </c>
      <c r="AB3593" s="74">
        <f>Devis[[#This Row],[Quantité Totale]]*Devis[[#This Row],[Prix de Revient]]</f>
        <v>0</v>
      </c>
    </row>
    <row r="3594" spans="1:28" ht="14.25" customHeight="1" outlineLevel="1" x14ac:dyDescent="0.2">
      <c r="A3594" s="75" t="s">
        <v>3177</v>
      </c>
      <c r="B3594" s="76" t="s">
        <v>3942</v>
      </c>
      <c r="C3594" s="76" t="s">
        <v>5506</v>
      </c>
      <c r="D3594" s="81" t="str">
        <f t="shared" si="65"/>
        <v>VannesVanne Boisseau SphériqueLaiton MF - Poignée Longue</v>
      </c>
      <c r="E3594" s="76" t="s">
        <v>1325</v>
      </c>
      <c r="F3594" s="76">
        <v>43</v>
      </c>
      <c r="G3594" s="71" t="s">
        <v>3195</v>
      </c>
      <c r="H3594" s="71" t="s">
        <v>34</v>
      </c>
      <c r="I3594" s="71">
        <v>581002</v>
      </c>
      <c r="J3594" s="70">
        <f>IFERROR(VLOOKUP(Devis[[#This Row],[Ref Air Flux]],#REF!,3,FALSE),0)</f>
        <v>0</v>
      </c>
      <c r="K3594" s="68"/>
      <c r="L3594" s="68"/>
      <c r="M3594" s="68"/>
      <c r="N3594" s="68"/>
      <c r="O3594" s="68"/>
      <c r="P3594" s="68"/>
      <c r="Q3594" s="68">
        <f>SUM(Devis[[#This Row],[Poste 1]:[Poste 6]])</f>
        <v>0</v>
      </c>
      <c r="R3594" s="71"/>
      <c r="S3594" s="68">
        <f>_xlfn.CEILING.MATH(Devis[[#This Row],[Quantité Totale]],Devis[[#This Row],[Conditionnement]])</f>
        <v>0</v>
      </c>
      <c r="T3594" s="72"/>
      <c r="U3594" s="75"/>
      <c r="V3594" s="74">
        <f>Devis[[#This Row],[Prix de Revient]]*Devis[[#This Row],[Poste 1]]</f>
        <v>0</v>
      </c>
      <c r="W3594" s="74">
        <f>Devis[[#This Row],[Prix de Revient]]*Devis[[#This Row],[Poste 2]]</f>
        <v>0</v>
      </c>
      <c r="X3594" s="74">
        <f>Devis[[#This Row],[Prix de Revient]]*Devis[[#This Row],[Poste 3]]</f>
        <v>0</v>
      </c>
      <c r="Y3594" s="74">
        <f>Devis[[#This Row],[Poste 4]]*Devis[[#This Row],[Prix de Revient]]</f>
        <v>0</v>
      </c>
      <c r="Z3594" s="74">
        <f>Devis[[#This Row],[Poste 5]]*Devis[[#This Row],[Prix de Revient]]</f>
        <v>0</v>
      </c>
      <c r="AA3594" s="74">
        <f>Devis[[#This Row],[Prix de Revient]]*Devis[[#This Row],[Poste 6]]</f>
        <v>0</v>
      </c>
      <c r="AB3594" s="74">
        <f>Devis[[#This Row],[Quantité Totale]]*Devis[[#This Row],[Prix de Revient]]</f>
        <v>0</v>
      </c>
    </row>
    <row r="3595" spans="1:28" ht="14.25" outlineLevel="1" x14ac:dyDescent="0.2">
      <c r="A3595" s="75" t="s">
        <v>3177</v>
      </c>
      <c r="B3595" s="76" t="s">
        <v>3942</v>
      </c>
      <c r="C3595" s="76" t="s">
        <v>5506</v>
      </c>
      <c r="D3595" s="81" t="str">
        <f t="shared" si="65"/>
        <v>VannesVanne Boisseau SphériqueLaiton MF - Poignée Longue</v>
      </c>
      <c r="E3595" s="76" t="s">
        <v>2066</v>
      </c>
      <c r="F3595" s="76">
        <v>44</v>
      </c>
      <c r="G3595" s="71" t="s">
        <v>3196</v>
      </c>
      <c r="H3595" s="71" t="s">
        <v>34</v>
      </c>
      <c r="I3595" s="71">
        <v>581003</v>
      </c>
      <c r="J3595" s="70">
        <f>IFERROR(VLOOKUP(Devis[[#This Row],[Ref Air Flux]],#REF!,3,FALSE),0)</f>
        <v>0</v>
      </c>
      <c r="K3595" s="68"/>
      <c r="L3595" s="68"/>
      <c r="M3595" s="68"/>
      <c r="N3595" s="68"/>
      <c r="O3595" s="68"/>
      <c r="P3595" s="68"/>
      <c r="Q3595" s="68">
        <f>SUM(Devis[[#This Row],[Poste 1]:[Poste 6]])</f>
        <v>0</v>
      </c>
      <c r="R3595" s="71"/>
      <c r="S3595" s="68">
        <f>_xlfn.CEILING.MATH(Devis[[#This Row],[Quantité Totale]],Devis[[#This Row],[Conditionnement]])</f>
        <v>0</v>
      </c>
      <c r="T3595" s="72"/>
      <c r="U3595" s="75"/>
      <c r="V3595" s="74">
        <f>Devis[[#This Row],[Prix de Revient]]*Devis[[#This Row],[Poste 1]]</f>
        <v>0</v>
      </c>
      <c r="W3595" s="74">
        <f>Devis[[#This Row],[Prix de Revient]]*Devis[[#This Row],[Poste 2]]</f>
        <v>0</v>
      </c>
      <c r="X3595" s="74">
        <f>Devis[[#This Row],[Prix de Revient]]*Devis[[#This Row],[Poste 3]]</f>
        <v>0</v>
      </c>
      <c r="Y3595" s="74">
        <f>Devis[[#This Row],[Poste 4]]*Devis[[#This Row],[Prix de Revient]]</f>
        <v>0</v>
      </c>
      <c r="Z3595" s="74">
        <f>Devis[[#This Row],[Poste 5]]*Devis[[#This Row],[Prix de Revient]]</f>
        <v>0</v>
      </c>
      <c r="AA3595" s="74">
        <f>Devis[[#This Row],[Prix de Revient]]*Devis[[#This Row],[Poste 6]]</f>
        <v>0</v>
      </c>
      <c r="AB3595" s="74">
        <f>Devis[[#This Row],[Quantité Totale]]*Devis[[#This Row],[Prix de Revient]]</f>
        <v>0</v>
      </c>
    </row>
    <row r="3596" spans="1:28" ht="14.25" outlineLevel="1" x14ac:dyDescent="0.2">
      <c r="A3596" s="75" t="s">
        <v>3177</v>
      </c>
      <c r="B3596" s="76" t="s">
        <v>3942</v>
      </c>
      <c r="C3596" s="76" t="s">
        <v>5506</v>
      </c>
      <c r="D3596" s="81" t="str">
        <f t="shared" si="65"/>
        <v>VannesVanne Boisseau SphériqueLaiton MF - Poignée Longue</v>
      </c>
      <c r="E3596" s="76" t="s">
        <v>1943</v>
      </c>
      <c r="F3596" s="76">
        <v>45</v>
      </c>
      <c r="G3596" s="71" t="s">
        <v>3197</v>
      </c>
      <c r="H3596" s="71" t="s">
        <v>34</v>
      </c>
      <c r="I3596" s="71">
        <v>581004</v>
      </c>
      <c r="J3596" s="70">
        <f>IFERROR(VLOOKUP(Devis[[#This Row],[Ref Air Flux]],#REF!,3,FALSE),0)</f>
        <v>0</v>
      </c>
      <c r="K3596" s="68"/>
      <c r="L3596" s="68"/>
      <c r="M3596" s="68"/>
      <c r="N3596" s="68"/>
      <c r="O3596" s="68"/>
      <c r="P3596" s="68"/>
      <c r="Q3596" s="68">
        <f>SUM(Devis[[#This Row],[Poste 1]:[Poste 6]])</f>
        <v>0</v>
      </c>
      <c r="R3596" s="71"/>
      <c r="S3596" s="68">
        <f>_xlfn.CEILING.MATH(Devis[[#This Row],[Quantité Totale]],Devis[[#This Row],[Conditionnement]])</f>
        <v>0</v>
      </c>
      <c r="T3596" s="72"/>
      <c r="U3596" s="75" t="s">
        <v>3958</v>
      </c>
      <c r="V3596" s="74">
        <f>Devis[[#This Row],[Prix de Revient]]*Devis[[#This Row],[Poste 1]]</f>
        <v>0</v>
      </c>
      <c r="W3596" s="74">
        <f>Devis[[#This Row],[Prix de Revient]]*Devis[[#This Row],[Poste 2]]</f>
        <v>0</v>
      </c>
      <c r="X3596" s="74">
        <f>Devis[[#This Row],[Prix de Revient]]*Devis[[#This Row],[Poste 3]]</f>
        <v>0</v>
      </c>
      <c r="Y3596" s="74">
        <f>Devis[[#This Row],[Poste 4]]*Devis[[#This Row],[Prix de Revient]]</f>
        <v>0</v>
      </c>
      <c r="Z3596" s="74">
        <f>Devis[[#This Row],[Poste 5]]*Devis[[#This Row],[Prix de Revient]]</f>
        <v>0</v>
      </c>
      <c r="AA3596" s="74">
        <f>Devis[[#This Row],[Prix de Revient]]*Devis[[#This Row],[Poste 6]]</f>
        <v>0</v>
      </c>
      <c r="AB3596" s="74">
        <f>Devis[[#This Row],[Quantité Totale]]*Devis[[#This Row],[Prix de Revient]]</f>
        <v>0</v>
      </c>
    </row>
    <row r="3597" spans="1:28" ht="14.25" customHeight="1" outlineLevel="1" x14ac:dyDescent="0.2">
      <c r="A3597" s="75" t="s">
        <v>3177</v>
      </c>
      <c r="B3597" s="76" t="s">
        <v>3942</v>
      </c>
      <c r="C3597" s="76" t="s">
        <v>5506</v>
      </c>
      <c r="D3597" s="81" t="str">
        <f t="shared" si="65"/>
        <v>VannesVanne Boisseau SphériqueLaiton MF - Poignée Longue</v>
      </c>
      <c r="E3597" s="76" t="s">
        <v>2061</v>
      </c>
      <c r="F3597" s="76">
        <v>46</v>
      </c>
      <c r="G3597" s="71" t="s">
        <v>3198</v>
      </c>
      <c r="H3597" s="71" t="s">
        <v>34</v>
      </c>
      <c r="I3597" s="71">
        <v>581005</v>
      </c>
      <c r="J3597" s="70">
        <f>IFERROR(VLOOKUP(Devis[[#This Row],[Ref Air Flux]],#REF!,3,FALSE),0)</f>
        <v>0</v>
      </c>
      <c r="K3597" s="68"/>
      <c r="L3597" s="68"/>
      <c r="M3597" s="68"/>
      <c r="N3597" s="68"/>
      <c r="O3597" s="68"/>
      <c r="P3597" s="68"/>
      <c r="Q3597" s="68">
        <f>SUM(Devis[[#This Row],[Poste 1]:[Poste 6]])</f>
        <v>0</v>
      </c>
      <c r="R3597" s="71"/>
      <c r="S3597" s="68">
        <f>_xlfn.CEILING.MATH(Devis[[#This Row],[Quantité Totale]],Devis[[#This Row],[Conditionnement]])</f>
        <v>0</v>
      </c>
      <c r="T3597" s="72"/>
      <c r="U3597" s="73"/>
      <c r="V3597" s="74">
        <f>Devis[[#This Row],[Prix de Revient]]*Devis[[#This Row],[Poste 1]]</f>
        <v>0</v>
      </c>
      <c r="W3597" s="74">
        <f>Devis[[#This Row],[Prix de Revient]]*Devis[[#This Row],[Poste 2]]</f>
        <v>0</v>
      </c>
      <c r="X3597" s="74">
        <f>Devis[[#This Row],[Prix de Revient]]*Devis[[#This Row],[Poste 3]]</f>
        <v>0</v>
      </c>
      <c r="Y3597" s="74">
        <f>Devis[[#This Row],[Poste 4]]*Devis[[#This Row],[Prix de Revient]]</f>
        <v>0</v>
      </c>
      <c r="Z3597" s="74">
        <f>Devis[[#This Row],[Poste 5]]*Devis[[#This Row],[Prix de Revient]]</f>
        <v>0</v>
      </c>
      <c r="AA3597" s="74">
        <f>Devis[[#This Row],[Prix de Revient]]*Devis[[#This Row],[Poste 6]]</f>
        <v>0</v>
      </c>
      <c r="AB3597" s="74">
        <f>Devis[[#This Row],[Quantité Totale]]*Devis[[#This Row],[Prix de Revient]]</f>
        <v>0</v>
      </c>
    </row>
    <row r="3598" spans="1:28" ht="14.25" customHeight="1" outlineLevel="1" x14ac:dyDescent="0.2">
      <c r="A3598" s="75" t="s">
        <v>3177</v>
      </c>
      <c r="B3598" s="76" t="s">
        <v>3942</v>
      </c>
      <c r="C3598" s="76" t="s">
        <v>5506</v>
      </c>
      <c r="D3598" s="81" t="str">
        <f t="shared" si="65"/>
        <v>VannesVanne Boisseau SphériqueLaiton MF - Poignée Longue</v>
      </c>
      <c r="E3598" s="76" t="s">
        <v>19</v>
      </c>
      <c r="F3598" s="76">
        <v>47</v>
      </c>
      <c r="G3598" s="71" t="s">
        <v>3199</v>
      </c>
      <c r="H3598" s="71" t="s">
        <v>34</v>
      </c>
      <c r="I3598" s="71">
        <v>581006</v>
      </c>
      <c r="J3598" s="70">
        <f>IFERROR(VLOOKUP(Devis[[#This Row],[Ref Air Flux]],#REF!,3,FALSE),0)</f>
        <v>0</v>
      </c>
      <c r="K3598" s="68"/>
      <c r="L3598" s="68"/>
      <c r="M3598" s="68"/>
      <c r="N3598" s="68"/>
      <c r="O3598" s="68"/>
      <c r="P3598" s="68"/>
      <c r="Q3598" s="68">
        <f>SUM(Devis[[#This Row],[Poste 1]:[Poste 6]])</f>
        <v>0</v>
      </c>
      <c r="R3598" s="71"/>
      <c r="S3598" s="68">
        <f>_xlfn.CEILING.MATH(Devis[[#This Row],[Quantité Totale]],Devis[[#This Row],[Conditionnement]])</f>
        <v>0</v>
      </c>
      <c r="T3598" s="72"/>
      <c r="U3598" s="73"/>
      <c r="V3598" s="74">
        <f>Devis[[#This Row],[Prix de Revient]]*Devis[[#This Row],[Poste 1]]</f>
        <v>0</v>
      </c>
      <c r="W3598" s="74">
        <f>Devis[[#This Row],[Prix de Revient]]*Devis[[#This Row],[Poste 2]]</f>
        <v>0</v>
      </c>
      <c r="X3598" s="74">
        <f>Devis[[#This Row],[Prix de Revient]]*Devis[[#This Row],[Poste 3]]</f>
        <v>0</v>
      </c>
      <c r="Y3598" s="74">
        <f>Devis[[#This Row],[Poste 4]]*Devis[[#This Row],[Prix de Revient]]</f>
        <v>0</v>
      </c>
      <c r="Z3598" s="74">
        <f>Devis[[#This Row],[Poste 5]]*Devis[[#This Row],[Prix de Revient]]</f>
        <v>0</v>
      </c>
      <c r="AA3598" s="74">
        <f>Devis[[#This Row],[Prix de Revient]]*Devis[[#This Row],[Poste 6]]</f>
        <v>0</v>
      </c>
      <c r="AB3598" s="74">
        <f>Devis[[#This Row],[Quantité Totale]]*Devis[[#This Row],[Prix de Revient]]</f>
        <v>0</v>
      </c>
    </row>
    <row r="3599" spans="1:28" ht="14.25" outlineLevel="1" x14ac:dyDescent="0.2">
      <c r="A3599" s="75" t="s">
        <v>3177</v>
      </c>
      <c r="B3599" s="76" t="s">
        <v>3942</v>
      </c>
      <c r="C3599" s="76" t="s">
        <v>5506</v>
      </c>
      <c r="D3599" s="81" t="str">
        <f t="shared" si="65"/>
        <v>VannesVanne Boisseau SphériqueLaiton MF - Poignée Longue</v>
      </c>
      <c r="E3599" s="76" t="s">
        <v>20</v>
      </c>
      <c r="F3599" s="76">
        <v>48</v>
      </c>
      <c r="G3599" s="71" t="s">
        <v>3200</v>
      </c>
      <c r="H3599" s="71" t="s">
        <v>34</v>
      </c>
      <c r="I3599" s="71">
        <v>581007</v>
      </c>
      <c r="J3599" s="70">
        <f>IFERROR(VLOOKUP(Devis[[#This Row],[Ref Air Flux]],#REF!,3,FALSE),0)</f>
        <v>0</v>
      </c>
      <c r="K3599" s="68"/>
      <c r="L3599" s="68"/>
      <c r="M3599" s="68"/>
      <c r="N3599" s="68"/>
      <c r="O3599" s="68"/>
      <c r="P3599" s="68"/>
      <c r="Q3599" s="68">
        <f>SUM(Devis[[#This Row],[Poste 1]:[Poste 6]])</f>
        <v>0</v>
      </c>
      <c r="R3599" s="71"/>
      <c r="S3599" s="68">
        <f>_xlfn.CEILING.MATH(Devis[[#This Row],[Quantité Totale]],Devis[[#This Row],[Conditionnement]])</f>
        <v>0</v>
      </c>
      <c r="T3599" s="72"/>
      <c r="U3599" s="73"/>
      <c r="V3599" s="74">
        <f>Devis[[#This Row],[Prix de Revient]]*Devis[[#This Row],[Poste 1]]</f>
        <v>0</v>
      </c>
      <c r="W3599" s="74">
        <f>Devis[[#This Row],[Prix de Revient]]*Devis[[#This Row],[Poste 2]]</f>
        <v>0</v>
      </c>
      <c r="X3599" s="74">
        <f>Devis[[#This Row],[Prix de Revient]]*Devis[[#This Row],[Poste 3]]</f>
        <v>0</v>
      </c>
      <c r="Y3599" s="74">
        <f>Devis[[#This Row],[Poste 4]]*Devis[[#This Row],[Prix de Revient]]</f>
        <v>0</v>
      </c>
      <c r="Z3599" s="74">
        <f>Devis[[#This Row],[Poste 5]]*Devis[[#This Row],[Prix de Revient]]</f>
        <v>0</v>
      </c>
      <c r="AA3599" s="74">
        <f>Devis[[#This Row],[Prix de Revient]]*Devis[[#This Row],[Poste 6]]</f>
        <v>0</v>
      </c>
      <c r="AB3599" s="74">
        <f>Devis[[#This Row],[Quantité Totale]]*Devis[[#This Row],[Prix de Revient]]</f>
        <v>0</v>
      </c>
    </row>
    <row r="3600" spans="1:28" ht="14.25" customHeight="1" outlineLevel="1" x14ac:dyDescent="0.2">
      <c r="A3600" s="75" t="s">
        <v>3177</v>
      </c>
      <c r="B3600" s="76" t="s">
        <v>3942</v>
      </c>
      <c r="C3600" s="76" t="s">
        <v>5506</v>
      </c>
      <c r="D3600" s="81" t="str">
        <f t="shared" si="65"/>
        <v>VannesVanne Boisseau SphériqueLaiton MF - Poignée Longue</v>
      </c>
      <c r="E3600" s="76" t="s">
        <v>21</v>
      </c>
      <c r="F3600" s="76">
        <v>49</v>
      </c>
      <c r="G3600" s="71" t="s">
        <v>3201</v>
      </c>
      <c r="H3600" s="71" t="s">
        <v>34</v>
      </c>
      <c r="I3600" s="71">
        <v>581008</v>
      </c>
      <c r="J3600" s="70">
        <f>IFERROR(VLOOKUP(Devis[[#This Row],[Ref Air Flux]],#REF!,3,FALSE),0)</f>
        <v>0</v>
      </c>
      <c r="K3600" s="68"/>
      <c r="L3600" s="68"/>
      <c r="M3600" s="68"/>
      <c r="N3600" s="68"/>
      <c r="O3600" s="68"/>
      <c r="P3600" s="68"/>
      <c r="Q3600" s="68">
        <f>SUM(Devis[[#This Row],[Poste 1]:[Poste 6]])</f>
        <v>0</v>
      </c>
      <c r="R3600" s="71"/>
      <c r="S3600" s="68">
        <f>_xlfn.CEILING.MATH(Devis[[#This Row],[Quantité Totale]],Devis[[#This Row],[Conditionnement]])</f>
        <v>0</v>
      </c>
      <c r="T3600" s="72"/>
      <c r="U3600" s="73"/>
      <c r="V3600" s="74">
        <f>Devis[[#This Row],[Prix de Revient]]*Devis[[#This Row],[Poste 1]]</f>
        <v>0</v>
      </c>
      <c r="W3600" s="74">
        <f>Devis[[#This Row],[Prix de Revient]]*Devis[[#This Row],[Poste 2]]</f>
        <v>0</v>
      </c>
      <c r="X3600" s="74">
        <f>Devis[[#This Row],[Prix de Revient]]*Devis[[#This Row],[Poste 3]]</f>
        <v>0</v>
      </c>
      <c r="Y3600" s="74">
        <f>Devis[[#This Row],[Poste 4]]*Devis[[#This Row],[Prix de Revient]]</f>
        <v>0</v>
      </c>
      <c r="Z3600" s="74">
        <f>Devis[[#This Row],[Poste 5]]*Devis[[#This Row],[Prix de Revient]]</f>
        <v>0</v>
      </c>
      <c r="AA3600" s="74">
        <f>Devis[[#This Row],[Prix de Revient]]*Devis[[#This Row],[Poste 6]]</f>
        <v>0</v>
      </c>
      <c r="AB3600" s="74">
        <f>Devis[[#This Row],[Quantité Totale]]*Devis[[#This Row],[Prix de Revient]]</f>
        <v>0</v>
      </c>
    </row>
    <row r="3601" spans="1:28" ht="14.25" customHeight="1" outlineLevel="1" x14ac:dyDescent="0.2">
      <c r="A3601" s="75" t="s">
        <v>3177</v>
      </c>
      <c r="B3601" s="76" t="s">
        <v>3942</v>
      </c>
      <c r="C3601" s="76" t="s">
        <v>5506</v>
      </c>
      <c r="D3601" s="81" t="str">
        <f t="shared" si="65"/>
        <v>VannesVanne Boisseau SphériqueLaiton MF - Poignée Longue</v>
      </c>
      <c r="E3601" s="76" t="s">
        <v>0</v>
      </c>
      <c r="F3601" s="76">
        <v>50</v>
      </c>
      <c r="G3601" s="71" t="s">
        <v>3202</v>
      </c>
      <c r="H3601" s="71" t="s">
        <v>34</v>
      </c>
      <c r="I3601" s="71">
        <v>581009</v>
      </c>
      <c r="J3601" s="70">
        <f>IFERROR(VLOOKUP(Devis[[#This Row],[Ref Air Flux]],#REF!,3,FALSE),0)</f>
        <v>0</v>
      </c>
      <c r="K3601" s="68"/>
      <c r="L3601" s="68"/>
      <c r="M3601" s="68"/>
      <c r="N3601" s="68"/>
      <c r="O3601" s="68"/>
      <c r="P3601" s="68"/>
      <c r="Q3601" s="68">
        <f>SUM(Devis[[#This Row],[Poste 1]:[Poste 6]])</f>
        <v>0</v>
      </c>
      <c r="R3601" s="71"/>
      <c r="S3601" s="68">
        <f>_xlfn.CEILING.MATH(Devis[[#This Row],[Quantité Totale]],Devis[[#This Row],[Conditionnement]])</f>
        <v>0</v>
      </c>
      <c r="T3601" s="72"/>
      <c r="U3601" s="73"/>
      <c r="V3601" s="74">
        <f>Devis[[#This Row],[Prix de Revient]]*Devis[[#This Row],[Poste 1]]</f>
        <v>0</v>
      </c>
      <c r="W3601" s="74">
        <f>Devis[[#This Row],[Prix de Revient]]*Devis[[#This Row],[Poste 2]]</f>
        <v>0</v>
      </c>
      <c r="X3601" s="74">
        <f>Devis[[#This Row],[Prix de Revient]]*Devis[[#This Row],[Poste 3]]</f>
        <v>0</v>
      </c>
      <c r="Y3601" s="74">
        <f>Devis[[#This Row],[Poste 4]]*Devis[[#This Row],[Prix de Revient]]</f>
        <v>0</v>
      </c>
      <c r="Z3601" s="74">
        <f>Devis[[#This Row],[Poste 5]]*Devis[[#This Row],[Prix de Revient]]</f>
        <v>0</v>
      </c>
      <c r="AA3601" s="74">
        <f>Devis[[#This Row],[Prix de Revient]]*Devis[[#This Row],[Poste 6]]</f>
        <v>0</v>
      </c>
      <c r="AB3601" s="74">
        <f>Devis[[#This Row],[Quantité Totale]]*Devis[[#This Row],[Prix de Revient]]</f>
        <v>0</v>
      </c>
    </row>
    <row r="3602" spans="1:28" ht="14.25" customHeight="1" outlineLevel="1" x14ac:dyDescent="0.2">
      <c r="A3602" s="75" t="s">
        <v>3177</v>
      </c>
      <c r="B3602" s="76" t="s">
        <v>3942</v>
      </c>
      <c r="C3602" s="76" t="s">
        <v>5506</v>
      </c>
      <c r="D3602" s="81" t="str">
        <f t="shared" si="65"/>
        <v>VannesVanne Boisseau SphériqueLaiton MF - Poignée Longue</v>
      </c>
      <c r="E3602" s="76" t="s">
        <v>49</v>
      </c>
      <c r="F3602" s="76">
        <v>51</v>
      </c>
      <c r="G3602" s="71" t="s">
        <v>3203</v>
      </c>
      <c r="H3602" s="71" t="s">
        <v>34</v>
      </c>
      <c r="I3602" s="71"/>
      <c r="J3602" s="70">
        <f>IFERROR(VLOOKUP(Devis[[#This Row],[Ref Air Flux]],#REF!,3,FALSE),0)</f>
        <v>0</v>
      </c>
      <c r="K3602" s="68"/>
      <c r="L3602" s="68"/>
      <c r="M3602" s="68"/>
      <c r="N3602" s="68"/>
      <c r="O3602" s="68"/>
      <c r="P3602" s="68"/>
      <c r="Q3602" s="68">
        <f>SUM(Devis[[#This Row],[Poste 1]:[Poste 6]])</f>
        <v>0</v>
      </c>
      <c r="R3602" s="71"/>
      <c r="S3602" s="68">
        <f>_xlfn.CEILING.MATH(Devis[[#This Row],[Quantité Totale]],Devis[[#This Row],[Conditionnement]])</f>
        <v>0</v>
      </c>
      <c r="T3602" s="72"/>
      <c r="U3602" s="73"/>
      <c r="V3602" s="74">
        <f>Devis[[#This Row],[Prix de Revient]]*Devis[[#This Row],[Poste 1]]</f>
        <v>0</v>
      </c>
      <c r="W3602" s="74">
        <f>Devis[[#This Row],[Prix de Revient]]*Devis[[#This Row],[Poste 2]]</f>
        <v>0</v>
      </c>
      <c r="X3602" s="74">
        <f>Devis[[#This Row],[Prix de Revient]]*Devis[[#This Row],[Poste 3]]</f>
        <v>0</v>
      </c>
      <c r="Y3602" s="74">
        <f>Devis[[#This Row],[Poste 4]]*Devis[[#This Row],[Prix de Revient]]</f>
        <v>0</v>
      </c>
      <c r="Z3602" s="74">
        <f>Devis[[#This Row],[Poste 5]]*Devis[[#This Row],[Prix de Revient]]</f>
        <v>0</v>
      </c>
      <c r="AA3602" s="74">
        <f>Devis[[#This Row],[Prix de Revient]]*Devis[[#This Row],[Poste 6]]</f>
        <v>0</v>
      </c>
      <c r="AB3602" s="74">
        <f>Devis[[#This Row],[Quantité Totale]]*Devis[[#This Row],[Prix de Revient]]</f>
        <v>0</v>
      </c>
    </row>
    <row r="3603" spans="1:28" ht="14.25" customHeight="1" outlineLevel="1" x14ac:dyDescent="0.25">
      <c r="A3603" s="65" t="s">
        <v>3177</v>
      </c>
      <c r="B3603" s="65" t="s">
        <v>3942</v>
      </c>
      <c r="C3603" s="113" t="s">
        <v>3959</v>
      </c>
      <c r="D3603" s="81" t="str">
        <f t="shared" si="65"/>
        <v>VannesVanne Boisseau SphériqueLaiton MM</v>
      </c>
      <c r="E3603" s="76"/>
      <c r="F3603" s="76">
        <v>52</v>
      </c>
      <c r="G3603" s="71"/>
      <c r="H3603" s="71"/>
      <c r="I3603" s="71"/>
      <c r="J3603" s="70">
        <f>IFERROR(VLOOKUP(Devis[[#This Row],[Ref Air Flux]],#REF!,3,FALSE),0)</f>
        <v>0</v>
      </c>
      <c r="K3603" s="68"/>
      <c r="L3603" s="68"/>
      <c r="M3603" s="68"/>
      <c r="N3603" s="68"/>
      <c r="O3603" s="68"/>
      <c r="P3603" s="68"/>
      <c r="Q3603" s="68">
        <f>SUM(Devis[[#This Row],[Poste 1]:[Poste 6]])</f>
        <v>0</v>
      </c>
      <c r="R3603" s="71"/>
      <c r="S3603" s="68">
        <f>_xlfn.CEILING.MATH(Devis[[#This Row],[Quantité Totale]],Devis[[#This Row],[Conditionnement]])</f>
        <v>0</v>
      </c>
      <c r="T3603" s="72"/>
      <c r="U3603" s="73"/>
      <c r="V3603" s="74">
        <f>Devis[[#This Row],[Prix de Revient]]*Devis[[#This Row],[Poste 1]]</f>
        <v>0</v>
      </c>
      <c r="W3603" s="74">
        <f>Devis[[#This Row],[Prix de Revient]]*Devis[[#This Row],[Poste 2]]</f>
        <v>0</v>
      </c>
      <c r="X3603" s="74">
        <f>Devis[[#This Row],[Prix de Revient]]*Devis[[#This Row],[Poste 3]]</f>
        <v>0</v>
      </c>
      <c r="Y3603" s="74">
        <f>Devis[[#This Row],[Poste 4]]*Devis[[#This Row],[Prix de Revient]]</f>
        <v>0</v>
      </c>
      <c r="Z3603" s="74">
        <f>Devis[[#This Row],[Poste 5]]*Devis[[#This Row],[Prix de Revient]]</f>
        <v>0</v>
      </c>
      <c r="AA3603" s="74">
        <f>Devis[[#This Row],[Prix de Revient]]*Devis[[#This Row],[Poste 6]]</f>
        <v>0</v>
      </c>
      <c r="AB3603" s="74">
        <f>Devis[[#This Row],[Quantité Totale]]*Devis[[#This Row],[Prix de Revient]]</f>
        <v>0</v>
      </c>
    </row>
    <row r="3604" spans="1:28" ht="14.25" customHeight="1" outlineLevel="1" x14ac:dyDescent="0.2">
      <c r="A3604" s="75" t="s">
        <v>3177</v>
      </c>
      <c r="B3604" s="76" t="s">
        <v>3942</v>
      </c>
      <c r="C3604" s="76" t="s">
        <v>3959</v>
      </c>
      <c r="D3604" s="81" t="str">
        <f t="shared" si="65"/>
        <v>VannesVanne Boisseau SphériqueLaiton MM</v>
      </c>
      <c r="E3604" s="76" t="s">
        <v>2066</v>
      </c>
      <c r="F3604" s="76">
        <v>53</v>
      </c>
      <c r="G3604" s="71" t="s">
        <v>3960</v>
      </c>
      <c r="H3604" s="71" t="s">
        <v>34</v>
      </c>
      <c r="I3604" s="71">
        <v>582003</v>
      </c>
      <c r="J3604" s="70">
        <f>IFERROR(VLOOKUP(Devis[[#This Row],[Ref Air Flux]],#REF!,3,FALSE),0)</f>
        <v>0</v>
      </c>
      <c r="K3604" s="68"/>
      <c r="L3604" s="68"/>
      <c r="M3604" s="68"/>
      <c r="N3604" s="68"/>
      <c r="O3604" s="68"/>
      <c r="P3604" s="68"/>
      <c r="Q3604" s="68">
        <f>SUM(Devis[[#This Row],[Poste 1]:[Poste 6]])</f>
        <v>0</v>
      </c>
      <c r="R3604" s="71"/>
      <c r="S3604" s="68">
        <f>_xlfn.CEILING.MATH(Devis[[#This Row],[Quantité Totale]],Devis[[#This Row],[Conditionnement]])</f>
        <v>0</v>
      </c>
      <c r="T3604" s="72"/>
      <c r="U3604" s="73"/>
      <c r="V3604" s="74">
        <f>Devis[[#This Row],[Prix de Revient]]*Devis[[#This Row],[Poste 1]]</f>
        <v>0</v>
      </c>
      <c r="W3604" s="74">
        <f>Devis[[#This Row],[Prix de Revient]]*Devis[[#This Row],[Poste 2]]</f>
        <v>0</v>
      </c>
      <c r="X3604" s="74">
        <f>Devis[[#This Row],[Prix de Revient]]*Devis[[#This Row],[Poste 3]]</f>
        <v>0</v>
      </c>
      <c r="Y3604" s="74">
        <f>Devis[[#This Row],[Poste 4]]*Devis[[#This Row],[Prix de Revient]]</f>
        <v>0</v>
      </c>
      <c r="Z3604" s="74">
        <f>Devis[[#This Row],[Poste 5]]*Devis[[#This Row],[Prix de Revient]]</f>
        <v>0</v>
      </c>
      <c r="AA3604" s="74">
        <f>Devis[[#This Row],[Prix de Revient]]*Devis[[#This Row],[Poste 6]]</f>
        <v>0</v>
      </c>
      <c r="AB3604" s="74">
        <f>Devis[[#This Row],[Quantité Totale]]*Devis[[#This Row],[Prix de Revient]]</f>
        <v>0</v>
      </c>
    </row>
    <row r="3605" spans="1:28" ht="15" customHeight="1" outlineLevel="1" x14ac:dyDescent="0.2">
      <c r="A3605" s="75" t="s">
        <v>3177</v>
      </c>
      <c r="B3605" s="76" t="s">
        <v>3942</v>
      </c>
      <c r="C3605" s="76" t="s">
        <v>3959</v>
      </c>
      <c r="D3605" s="81" t="str">
        <f t="shared" si="65"/>
        <v>VannesVanne Boisseau SphériqueLaiton MM</v>
      </c>
      <c r="E3605" s="76" t="s">
        <v>1943</v>
      </c>
      <c r="F3605" s="76">
        <v>54</v>
      </c>
      <c r="G3605" s="71" t="s">
        <v>3961</v>
      </c>
      <c r="H3605" s="71" t="s">
        <v>34</v>
      </c>
      <c r="I3605" s="71">
        <v>582004</v>
      </c>
      <c r="J3605" s="70">
        <f>IFERROR(VLOOKUP(Devis[[#This Row],[Ref Air Flux]],#REF!,3,FALSE),0)</f>
        <v>0</v>
      </c>
      <c r="K3605" s="68"/>
      <c r="L3605" s="68"/>
      <c r="M3605" s="68"/>
      <c r="N3605" s="68"/>
      <c r="O3605" s="68"/>
      <c r="P3605" s="68"/>
      <c r="Q3605" s="68">
        <f>SUM(Devis[[#This Row],[Poste 1]:[Poste 6]])</f>
        <v>0</v>
      </c>
      <c r="R3605" s="71"/>
      <c r="S3605" s="68">
        <f>_xlfn.CEILING.MATH(Devis[[#This Row],[Quantité Totale]],Devis[[#This Row],[Conditionnement]])</f>
        <v>0</v>
      </c>
      <c r="T3605" s="72"/>
      <c r="U3605" s="73"/>
      <c r="V3605" s="74">
        <f>Devis[[#This Row],[Prix de Revient]]*Devis[[#This Row],[Poste 1]]</f>
        <v>0</v>
      </c>
      <c r="W3605" s="74">
        <f>Devis[[#This Row],[Prix de Revient]]*Devis[[#This Row],[Poste 2]]</f>
        <v>0</v>
      </c>
      <c r="X3605" s="74">
        <f>Devis[[#This Row],[Prix de Revient]]*Devis[[#This Row],[Poste 3]]</f>
        <v>0</v>
      </c>
      <c r="Y3605" s="74">
        <f>Devis[[#This Row],[Poste 4]]*Devis[[#This Row],[Prix de Revient]]</f>
        <v>0</v>
      </c>
      <c r="Z3605" s="74">
        <f>Devis[[#This Row],[Poste 5]]*Devis[[#This Row],[Prix de Revient]]</f>
        <v>0</v>
      </c>
      <c r="AA3605" s="74">
        <f>Devis[[#This Row],[Prix de Revient]]*Devis[[#This Row],[Poste 6]]</f>
        <v>0</v>
      </c>
      <c r="AB3605" s="74">
        <f>Devis[[#This Row],[Quantité Totale]]*Devis[[#This Row],[Prix de Revient]]</f>
        <v>0</v>
      </c>
    </row>
    <row r="3606" spans="1:28" ht="14.25" outlineLevel="1" x14ac:dyDescent="0.2">
      <c r="A3606" s="75" t="s">
        <v>3177</v>
      </c>
      <c r="B3606" s="76" t="s">
        <v>3942</v>
      </c>
      <c r="C3606" s="76" t="s">
        <v>3959</v>
      </c>
      <c r="D3606" s="81" t="str">
        <f t="shared" si="65"/>
        <v>VannesVanne Boisseau SphériqueLaiton MM</v>
      </c>
      <c r="E3606" s="76" t="s">
        <v>2061</v>
      </c>
      <c r="F3606" s="76">
        <v>55</v>
      </c>
      <c r="G3606" s="71" t="s">
        <v>3962</v>
      </c>
      <c r="H3606" s="71" t="s">
        <v>34</v>
      </c>
      <c r="I3606" s="71">
        <v>582005</v>
      </c>
      <c r="J3606" s="70">
        <f>IFERROR(VLOOKUP(Devis[[#This Row],[Ref Air Flux]],#REF!,3,FALSE),0)</f>
        <v>0</v>
      </c>
      <c r="K3606" s="68"/>
      <c r="L3606" s="68"/>
      <c r="M3606" s="68"/>
      <c r="N3606" s="68"/>
      <c r="O3606" s="68"/>
      <c r="P3606" s="68"/>
      <c r="Q3606" s="68">
        <f>SUM(Devis[[#This Row],[Poste 1]:[Poste 6]])</f>
        <v>0</v>
      </c>
      <c r="R3606" s="71"/>
      <c r="S3606" s="68">
        <f>_xlfn.CEILING.MATH(Devis[[#This Row],[Quantité Totale]],Devis[[#This Row],[Conditionnement]])</f>
        <v>0</v>
      </c>
      <c r="T3606" s="72"/>
      <c r="U3606" s="73"/>
      <c r="V3606" s="74">
        <f>Devis[[#This Row],[Prix de Revient]]*Devis[[#This Row],[Poste 1]]</f>
        <v>0</v>
      </c>
      <c r="W3606" s="74">
        <f>Devis[[#This Row],[Prix de Revient]]*Devis[[#This Row],[Poste 2]]</f>
        <v>0</v>
      </c>
      <c r="X3606" s="74">
        <f>Devis[[#This Row],[Prix de Revient]]*Devis[[#This Row],[Poste 3]]</f>
        <v>0</v>
      </c>
      <c r="Y3606" s="74">
        <f>Devis[[#This Row],[Poste 4]]*Devis[[#This Row],[Prix de Revient]]</f>
        <v>0</v>
      </c>
      <c r="Z3606" s="74">
        <f>Devis[[#This Row],[Poste 5]]*Devis[[#This Row],[Prix de Revient]]</f>
        <v>0</v>
      </c>
      <c r="AA3606" s="74">
        <f>Devis[[#This Row],[Prix de Revient]]*Devis[[#This Row],[Poste 6]]</f>
        <v>0</v>
      </c>
      <c r="AB3606" s="74">
        <f>Devis[[#This Row],[Quantité Totale]]*Devis[[#This Row],[Prix de Revient]]</f>
        <v>0</v>
      </c>
    </row>
    <row r="3607" spans="1:28" ht="14.25" outlineLevel="1" x14ac:dyDescent="0.2">
      <c r="A3607" s="75" t="s">
        <v>3177</v>
      </c>
      <c r="B3607" s="76" t="s">
        <v>3942</v>
      </c>
      <c r="C3607" s="76" t="s">
        <v>3959</v>
      </c>
      <c r="D3607" s="81" t="str">
        <f t="shared" si="65"/>
        <v>VannesVanne Boisseau SphériqueLaiton MM</v>
      </c>
      <c r="E3607" s="76" t="s">
        <v>19</v>
      </c>
      <c r="F3607" s="76">
        <v>56</v>
      </c>
      <c r="G3607" s="71" t="s">
        <v>3963</v>
      </c>
      <c r="H3607" s="71" t="s">
        <v>34</v>
      </c>
      <c r="I3607" s="71">
        <v>538006</v>
      </c>
      <c r="J3607" s="70">
        <f>IFERROR(VLOOKUP(Devis[[#This Row],[Ref Air Flux]],#REF!,3,FALSE),0)</f>
        <v>0</v>
      </c>
      <c r="K3607" s="68"/>
      <c r="L3607" s="68"/>
      <c r="M3607" s="68"/>
      <c r="N3607" s="68"/>
      <c r="O3607" s="68"/>
      <c r="P3607" s="68"/>
      <c r="Q3607" s="68">
        <f>SUM(Devis[[#This Row],[Poste 1]:[Poste 6]])</f>
        <v>0</v>
      </c>
      <c r="R3607" s="71"/>
      <c r="S3607" s="68">
        <f>_xlfn.CEILING.MATH(Devis[[#This Row],[Quantité Totale]],Devis[[#This Row],[Conditionnement]])</f>
        <v>0</v>
      </c>
      <c r="T3607" s="72"/>
      <c r="U3607" s="73"/>
      <c r="V3607" s="74">
        <f>Devis[[#This Row],[Prix de Revient]]*Devis[[#This Row],[Poste 1]]</f>
        <v>0</v>
      </c>
      <c r="W3607" s="74">
        <f>Devis[[#This Row],[Prix de Revient]]*Devis[[#This Row],[Poste 2]]</f>
        <v>0</v>
      </c>
      <c r="X3607" s="74">
        <f>Devis[[#This Row],[Prix de Revient]]*Devis[[#This Row],[Poste 3]]</f>
        <v>0</v>
      </c>
      <c r="Y3607" s="74">
        <f>Devis[[#This Row],[Poste 4]]*Devis[[#This Row],[Prix de Revient]]</f>
        <v>0</v>
      </c>
      <c r="Z3607" s="74">
        <f>Devis[[#This Row],[Poste 5]]*Devis[[#This Row],[Prix de Revient]]</f>
        <v>0</v>
      </c>
      <c r="AA3607" s="74">
        <f>Devis[[#This Row],[Prix de Revient]]*Devis[[#This Row],[Poste 6]]</f>
        <v>0</v>
      </c>
      <c r="AB3607" s="74">
        <f>Devis[[#This Row],[Quantité Totale]]*Devis[[#This Row],[Prix de Revient]]</f>
        <v>0</v>
      </c>
    </row>
    <row r="3608" spans="1:28" ht="14.25" customHeight="1" outlineLevel="1" x14ac:dyDescent="0.2">
      <c r="A3608" s="75" t="s">
        <v>3177</v>
      </c>
      <c r="B3608" s="76" t="s">
        <v>3942</v>
      </c>
      <c r="C3608" s="76" t="s">
        <v>3959</v>
      </c>
      <c r="D3608" s="81" t="str">
        <f t="shared" si="65"/>
        <v>VannesVanne Boisseau SphériqueLaiton MM</v>
      </c>
      <c r="E3608" s="76" t="s">
        <v>20</v>
      </c>
      <c r="F3608" s="76">
        <v>57</v>
      </c>
      <c r="G3608" s="71" t="s">
        <v>3964</v>
      </c>
      <c r="H3608" s="71" t="s">
        <v>34</v>
      </c>
      <c r="I3608" s="71">
        <v>566007</v>
      </c>
      <c r="J3608" s="70">
        <f>IFERROR(VLOOKUP(Devis[[#This Row],[Ref Air Flux]],#REF!,3,FALSE),0)</f>
        <v>0</v>
      </c>
      <c r="K3608" s="68"/>
      <c r="L3608" s="68"/>
      <c r="M3608" s="68"/>
      <c r="N3608" s="68"/>
      <c r="O3608" s="68"/>
      <c r="P3608" s="68"/>
      <c r="Q3608" s="68">
        <f>SUM(Devis[[#This Row],[Poste 1]:[Poste 6]])</f>
        <v>0</v>
      </c>
      <c r="R3608" s="71"/>
      <c r="S3608" s="68">
        <f>_xlfn.CEILING.MATH(Devis[[#This Row],[Quantité Totale]],Devis[[#This Row],[Conditionnement]])</f>
        <v>0</v>
      </c>
      <c r="T3608" s="72"/>
      <c r="U3608" s="73"/>
      <c r="V3608" s="74">
        <f>Devis[[#This Row],[Prix de Revient]]*Devis[[#This Row],[Poste 1]]</f>
        <v>0</v>
      </c>
      <c r="W3608" s="74">
        <f>Devis[[#This Row],[Prix de Revient]]*Devis[[#This Row],[Poste 2]]</f>
        <v>0</v>
      </c>
      <c r="X3608" s="74">
        <f>Devis[[#This Row],[Prix de Revient]]*Devis[[#This Row],[Poste 3]]</f>
        <v>0</v>
      </c>
      <c r="Y3608" s="74">
        <f>Devis[[#This Row],[Poste 4]]*Devis[[#This Row],[Prix de Revient]]</f>
        <v>0</v>
      </c>
      <c r="Z3608" s="74">
        <f>Devis[[#This Row],[Poste 5]]*Devis[[#This Row],[Prix de Revient]]</f>
        <v>0</v>
      </c>
      <c r="AA3608" s="74">
        <f>Devis[[#This Row],[Prix de Revient]]*Devis[[#This Row],[Poste 6]]</f>
        <v>0</v>
      </c>
      <c r="AB3608" s="74">
        <f>Devis[[#This Row],[Quantité Totale]]*Devis[[#This Row],[Prix de Revient]]</f>
        <v>0</v>
      </c>
    </row>
    <row r="3609" spans="1:28" ht="14.25" customHeight="1" outlineLevel="1" x14ac:dyDescent="0.2">
      <c r="A3609" s="75" t="s">
        <v>3177</v>
      </c>
      <c r="B3609" s="76" t="s">
        <v>3942</v>
      </c>
      <c r="C3609" s="76" t="s">
        <v>3959</v>
      </c>
      <c r="D3609" s="81" t="str">
        <f t="shared" si="65"/>
        <v>VannesVanne Boisseau SphériqueLaiton MM</v>
      </c>
      <c r="E3609" s="76" t="s">
        <v>21</v>
      </c>
      <c r="F3609" s="76">
        <v>58</v>
      </c>
      <c r="G3609" s="71" t="s">
        <v>3965</v>
      </c>
      <c r="H3609" s="71" t="s">
        <v>34</v>
      </c>
      <c r="I3609" s="71">
        <v>655008</v>
      </c>
      <c r="J3609" s="70">
        <f>IFERROR(VLOOKUP(Devis[[#This Row],[Ref Air Flux]],#REF!,3,FALSE),0)</f>
        <v>0</v>
      </c>
      <c r="K3609" s="68"/>
      <c r="L3609" s="68"/>
      <c r="M3609" s="68"/>
      <c r="N3609" s="68"/>
      <c r="O3609" s="68"/>
      <c r="P3609" s="68"/>
      <c r="Q3609" s="68">
        <f>SUM(Devis[[#This Row],[Poste 1]:[Poste 6]])</f>
        <v>0</v>
      </c>
      <c r="R3609" s="71"/>
      <c r="S3609" s="68">
        <f>_xlfn.CEILING.MATH(Devis[[#This Row],[Quantité Totale]],Devis[[#This Row],[Conditionnement]])</f>
        <v>0</v>
      </c>
      <c r="T3609" s="72"/>
      <c r="U3609" s="73"/>
      <c r="V3609" s="74">
        <f>Devis[[#This Row],[Prix de Revient]]*Devis[[#This Row],[Poste 1]]</f>
        <v>0</v>
      </c>
      <c r="W3609" s="74">
        <f>Devis[[#This Row],[Prix de Revient]]*Devis[[#This Row],[Poste 2]]</f>
        <v>0</v>
      </c>
      <c r="X3609" s="74">
        <f>Devis[[#This Row],[Prix de Revient]]*Devis[[#This Row],[Poste 3]]</f>
        <v>0</v>
      </c>
      <c r="Y3609" s="74">
        <f>Devis[[#This Row],[Poste 4]]*Devis[[#This Row],[Prix de Revient]]</f>
        <v>0</v>
      </c>
      <c r="Z3609" s="74">
        <f>Devis[[#This Row],[Poste 5]]*Devis[[#This Row],[Prix de Revient]]</f>
        <v>0</v>
      </c>
      <c r="AA3609" s="74">
        <f>Devis[[#This Row],[Prix de Revient]]*Devis[[#This Row],[Poste 6]]</f>
        <v>0</v>
      </c>
      <c r="AB3609" s="74">
        <f>Devis[[#This Row],[Quantité Totale]]*Devis[[#This Row],[Prix de Revient]]</f>
        <v>0</v>
      </c>
    </row>
    <row r="3610" spans="1:28" ht="14.25" outlineLevel="1" x14ac:dyDescent="0.2">
      <c r="A3610" s="75" t="s">
        <v>3177</v>
      </c>
      <c r="B3610" s="76" t="s">
        <v>3942</v>
      </c>
      <c r="C3610" s="76" t="s">
        <v>3959</v>
      </c>
      <c r="D3610" s="81" t="str">
        <f t="shared" si="65"/>
        <v>VannesVanne Boisseau SphériqueLaiton MM</v>
      </c>
      <c r="E3610" s="76" t="s">
        <v>0</v>
      </c>
      <c r="F3610" s="76">
        <v>59</v>
      </c>
      <c r="G3610" s="71" t="s">
        <v>3966</v>
      </c>
      <c r="H3610" s="71" t="s">
        <v>34</v>
      </c>
      <c r="I3610" s="71">
        <v>582009</v>
      </c>
      <c r="J3610" s="70">
        <f>IFERROR(VLOOKUP(Devis[[#This Row],[Ref Air Flux]],#REF!,3,FALSE),0)</f>
        <v>0</v>
      </c>
      <c r="K3610" s="68"/>
      <c r="L3610" s="68"/>
      <c r="M3610" s="68"/>
      <c r="N3610" s="68"/>
      <c r="O3610" s="68"/>
      <c r="P3610" s="68"/>
      <c r="Q3610" s="68">
        <f>SUM(Devis[[#This Row],[Poste 1]:[Poste 6]])</f>
        <v>0</v>
      </c>
      <c r="R3610" s="71"/>
      <c r="S3610" s="68">
        <f>_xlfn.CEILING.MATH(Devis[[#This Row],[Quantité Totale]],Devis[[#This Row],[Conditionnement]])</f>
        <v>0</v>
      </c>
      <c r="T3610" s="72"/>
      <c r="U3610" s="73"/>
      <c r="V3610" s="74">
        <f>Devis[[#This Row],[Prix de Revient]]*Devis[[#This Row],[Poste 1]]</f>
        <v>0</v>
      </c>
      <c r="W3610" s="74">
        <f>Devis[[#This Row],[Prix de Revient]]*Devis[[#This Row],[Poste 2]]</f>
        <v>0</v>
      </c>
      <c r="X3610" s="74">
        <f>Devis[[#This Row],[Prix de Revient]]*Devis[[#This Row],[Poste 3]]</f>
        <v>0</v>
      </c>
      <c r="Y3610" s="74">
        <f>Devis[[#This Row],[Poste 4]]*Devis[[#This Row],[Prix de Revient]]</f>
        <v>0</v>
      </c>
      <c r="Z3610" s="74">
        <f>Devis[[#This Row],[Poste 5]]*Devis[[#This Row],[Prix de Revient]]</f>
        <v>0</v>
      </c>
      <c r="AA3610" s="74">
        <f>Devis[[#This Row],[Prix de Revient]]*Devis[[#This Row],[Poste 6]]</f>
        <v>0</v>
      </c>
      <c r="AB3610" s="74">
        <f>Devis[[#This Row],[Quantité Totale]]*Devis[[#This Row],[Prix de Revient]]</f>
        <v>0</v>
      </c>
    </row>
    <row r="3611" spans="1:28" ht="14.25" customHeight="1" outlineLevel="1" x14ac:dyDescent="0.25">
      <c r="A3611" s="65" t="s">
        <v>3177</v>
      </c>
      <c r="B3611" s="65" t="s">
        <v>3210</v>
      </c>
      <c r="C3611" s="113" t="s">
        <v>3210</v>
      </c>
      <c r="D3611" s="81" t="str">
        <f t="shared" ref="D3611:D3667" si="66">A3611&amp;B3611&amp;C3611</f>
        <v>VannesVanne d'ajuttage ( pour manometre)Vanne d'ajuttage ( pour manometre)</v>
      </c>
      <c r="E3611" s="76"/>
      <c r="F3611" s="76">
        <v>0</v>
      </c>
      <c r="G3611" s="71"/>
      <c r="H3611" s="71"/>
      <c r="I3611" s="71"/>
      <c r="J3611" s="70">
        <f>IFERROR(VLOOKUP(Devis[[#This Row],[Ref Air Flux]],#REF!,3,FALSE),0)</f>
        <v>0</v>
      </c>
      <c r="K3611" s="68"/>
      <c r="L3611" s="68"/>
      <c r="M3611" s="68"/>
      <c r="N3611" s="68"/>
      <c r="O3611" s="68"/>
      <c r="P3611" s="68"/>
      <c r="Q3611" s="68">
        <f>SUM(Devis[[#This Row],[Poste 1]:[Poste 6]])</f>
        <v>0</v>
      </c>
      <c r="R3611" s="71"/>
      <c r="S3611" s="68">
        <f>_xlfn.CEILING.MATH(Devis[[#This Row],[Quantité Totale]],Devis[[#This Row],[Conditionnement]])</f>
        <v>0</v>
      </c>
      <c r="T3611" s="72"/>
      <c r="U3611" s="73"/>
      <c r="V3611" s="74">
        <f>Devis[[#This Row],[Prix de Revient]]*Devis[[#This Row],[Poste 1]]</f>
        <v>0</v>
      </c>
      <c r="W3611" s="74">
        <f>Devis[[#This Row],[Prix de Revient]]*Devis[[#This Row],[Poste 2]]</f>
        <v>0</v>
      </c>
      <c r="X3611" s="74">
        <f>Devis[[#This Row],[Prix de Revient]]*Devis[[#This Row],[Poste 3]]</f>
        <v>0</v>
      </c>
      <c r="Y3611" s="74">
        <f>Devis[[#This Row],[Poste 4]]*Devis[[#This Row],[Prix de Revient]]</f>
        <v>0</v>
      </c>
      <c r="Z3611" s="74">
        <f>Devis[[#This Row],[Poste 5]]*Devis[[#This Row],[Prix de Revient]]</f>
        <v>0</v>
      </c>
      <c r="AA3611" s="74">
        <f>Devis[[#This Row],[Prix de Revient]]*Devis[[#This Row],[Poste 6]]</f>
        <v>0</v>
      </c>
      <c r="AB3611" s="74">
        <f>Devis[[#This Row],[Quantité Totale]]*Devis[[#This Row],[Prix de Revient]]</f>
        <v>0</v>
      </c>
    </row>
    <row r="3612" spans="1:28" ht="14.25" customHeight="1" outlineLevel="1" x14ac:dyDescent="0.2">
      <c r="A3612" s="75" t="s">
        <v>3177</v>
      </c>
      <c r="B3612" s="76" t="s">
        <v>3210</v>
      </c>
      <c r="C3612" s="76" t="s">
        <v>3210</v>
      </c>
      <c r="D3612" s="81" t="str">
        <f t="shared" si="66"/>
        <v>VannesVanne d'ajuttage ( pour manometre)Vanne d'ajuttage ( pour manometre)</v>
      </c>
      <c r="E3612" s="76" t="s">
        <v>1943</v>
      </c>
      <c r="F3612" s="76">
        <v>1</v>
      </c>
      <c r="G3612" s="71">
        <v>71512</v>
      </c>
      <c r="H3612" s="71" t="s">
        <v>34</v>
      </c>
      <c r="I3612" s="71">
        <v>1307004</v>
      </c>
      <c r="J3612" s="70">
        <f>IFERROR(VLOOKUP(Devis[[#This Row],[Ref Air Flux]],#REF!,3,FALSE),0)</f>
        <v>0</v>
      </c>
      <c r="K3612" s="68"/>
      <c r="L3612" s="68"/>
      <c r="M3612" s="68"/>
      <c r="N3612" s="68"/>
      <c r="O3612" s="68"/>
      <c r="P3612" s="68"/>
      <c r="Q3612" s="68">
        <f>SUM(Devis[[#This Row],[Poste 1]:[Poste 6]])</f>
        <v>0</v>
      </c>
      <c r="R3612" s="71"/>
      <c r="S3612" s="68">
        <f>_xlfn.CEILING.MATH(Devis[[#This Row],[Quantité Totale]],Devis[[#This Row],[Conditionnement]])</f>
        <v>0</v>
      </c>
      <c r="T3612" s="72"/>
      <c r="U3612" s="73"/>
      <c r="V3612" s="74">
        <f>Devis[[#This Row],[Prix de Revient]]*Devis[[#This Row],[Poste 1]]</f>
        <v>0</v>
      </c>
      <c r="W3612" s="74">
        <f>Devis[[#This Row],[Prix de Revient]]*Devis[[#This Row],[Poste 2]]</f>
        <v>0</v>
      </c>
      <c r="X3612" s="74">
        <f>Devis[[#This Row],[Prix de Revient]]*Devis[[#This Row],[Poste 3]]</f>
        <v>0</v>
      </c>
      <c r="Y3612" s="74">
        <f>Devis[[#This Row],[Poste 4]]*Devis[[#This Row],[Prix de Revient]]</f>
        <v>0</v>
      </c>
      <c r="Z3612" s="74">
        <f>Devis[[#This Row],[Poste 5]]*Devis[[#This Row],[Prix de Revient]]</f>
        <v>0</v>
      </c>
      <c r="AA3612" s="74">
        <f>Devis[[#This Row],[Prix de Revient]]*Devis[[#This Row],[Poste 6]]</f>
        <v>0</v>
      </c>
      <c r="AB3612" s="74">
        <f>Devis[[#This Row],[Quantité Totale]]*Devis[[#This Row],[Prix de Revient]]</f>
        <v>0</v>
      </c>
    </row>
    <row r="3613" spans="1:28" ht="14.25" customHeight="1" x14ac:dyDescent="0.25">
      <c r="A3613" s="65" t="s">
        <v>3177</v>
      </c>
      <c r="B3613" s="65" t="s">
        <v>3980</v>
      </c>
      <c r="C3613" s="113" t="s">
        <v>3980</v>
      </c>
      <c r="D3613" s="81" t="str">
        <f t="shared" si="66"/>
        <v>VannesVanne d'équillibrageVanne d'équillibrage</v>
      </c>
      <c r="E3613" s="76"/>
      <c r="F3613" s="76">
        <v>0</v>
      </c>
      <c r="G3613" s="71"/>
      <c r="H3613" s="71"/>
      <c r="I3613" s="71"/>
      <c r="J3613" s="70">
        <f>IFERROR(VLOOKUP(Devis[[#This Row],[Ref Air Flux]],#REF!,3,FALSE),0)</f>
        <v>0</v>
      </c>
      <c r="K3613" s="68"/>
      <c r="L3613" s="68"/>
      <c r="M3613" s="68"/>
      <c r="N3613" s="68"/>
      <c r="O3613" s="68"/>
      <c r="P3613" s="68"/>
      <c r="Q3613" s="68">
        <f>SUM(Devis[[#This Row],[Poste 1]:[Poste 6]])</f>
        <v>0</v>
      </c>
      <c r="R3613" s="71"/>
      <c r="S3613" s="68">
        <f>_xlfn.CEILING.MATH(Devis[[#This Row],[Quantité Totale]],Devis[[#This Row],[Conditionnement]])</f>
        <v>0</v>
      </c>
      <c r="T3613" s="72"/>
      <c r="U3613" s="73"/>
      <c r="V3613" s="74">
        <f>Devis[[#This Row],[Prix de Revient]]*Devis[[#This Row],[Poste 1]]</f>
        <v>0</v>
      </c>
      <c r="W3613" s="74">
        <f>Devis[[#This Row],[Prix de Revient]]*Devis[[#This Row],[Poste 2]]</f>
        <v>0</v>
      </c>
      <c r="X3613" s="74">
        <f>Devis[[#This Row],[Prix de Revient]]*Devis[[#This Row],[Poste 3]]</f>
        <v>0</v>
      </c>
      <c r="Y3613" s="74">
        <f>Devis[[#This Row],[Poste 4]]*Devis[[#This Row],[Prix de Revient]]</f>
        <v>0</v>
      </c>
      <c r="Z3613" s="74">
        <f>Devis[[#This Row],[Poste 5]]*Devis[[#This Row],[Prix de Revient]]</f>
        <v>0</v>
      </c>
      <c r="AA3613" s="74">
        <f>Devis[[#This Row],[Prix de Revient]]*Devis[[#This Row],[Poste 6]]</f>
        <v>0</v>
      </c>
      <c r="AB3613" s="74">
        <f>Devis[[#This Row],[Quantité Totale]]*Devis[[#This Row],[Prix de Revient]]</f>
        <v>0</v>
      </c>
    </row>
    <row r="3614" spans="1:28" ht="14.25" outlineLevel="1" x14ac:dyDescent="0.2">
      <c r="A3614" s="75" t="s">
        <v>3177</v>
      </c>
      <c r="B3614" s="76" t="s">
        <v>3980</v>
      </c>
      <c r="C3614" s="76" t="s">
        <v>3981</v>
      </c>
      <c r="D3614" s="81" t="str">
        <f t="shared" si="66"/>
        <v>VannesVanne d'équillibrageFemelle - Femelle</v>
      </c>
      <c r="E3614" s="76" t="s">
        <v>3982</v>
      </c>
      <c r="F3614" s="76">
        <v>1</v>
      </c>
      <c r="G3614" s="71" t="s">
        <v>3211</v>
      </c>
      <c r="H3614" s="71" t="s">
        <v>2798</v>
      </c>
      <c r="I3614" s="71" t="s">
        <v>3983</v>
      </c>
      <c r="J3614" s="70">
        <f>IFERROR(VLOOKUP(Devis[[#This Row],[Ref Air Flux]],#REF!,3,FALSE),0)</f>
        <v>0</v>
      </c>
      <c r="K3614" s="68"/>
      <c r="L3614" s="68"/>
      <c r="M3614" s="68"/>
      <c r="N3614" s="68"/>
      <c r="O3614" s="68"/>
      <c r="P3614" s="68"/>
      <c r="Q3614" s="68">
        <f>SUM(Devis[[#This Row],[Poste 1]:[Poste 6]])</f>
        <v>0</v>
      </c>
      <c r="R3614" s="71"/>
      <c r="S3614" s="68">
        <f>_xlfn.CEILING.MATH(Devis[[#This Row],[Quantité Totale]],Devis[[#This Row],[Conditionnement]])</f>
        <v>0</v>
      </c>
      <c r="T3614" s="72"/>
      <c r="U3614" s="75" t="s">
        <v>3984</v>
      </c>
      <c r="V3614" s="74">
        <f>Devis[[#This Row],[Prix de Revient]]*Devis[[#This Row],[Poste 1]]</f>
        <v>0</v>
      </c>
      <c r="W3614" s="74">
        <f>Devis[[#This Row],[Prix de Revient]]*Devis[[#This Row],[Poste 2]]</f>
        <v>0</v>
      </c>
      <c r="X3614" s="74">
        <f>Devis[[#This Row],[Prix de Revient]]*Devis[[#This Row],[Poste 3]]</f>
        <v>0</v>
      </c>
      <c r="Y3614" s="74">
        <f>Devis[[#This Row],[Poste 4]]*Devis[[#This Row],[Prix de Revient]]</f>
        <v>0</v>
      </c>
      <c r="Z3614" s="74">
        <f>Devis[[#This Row],[Poste 5]]*Devis[[#This Row],[Prix de Revient]]</f>
        <v>0</v>
      </c>
      <c r="AA3614" s="74">
        <f>Devis[[#This Row],[Prix de Revient]]*Devis[[#This Row],[Poste 6]]</f>
        <v>0</v>
      </c>
      <c r="AB3614" s="74">
        <f>Devis[[#This Row],[Quantité Totale]]*Devis[[#This Row],[Prix de Revient]]</f>
        <v>0</v>
      </c>
    </row>
    <row r="3615" spans="1:28" ht="14.25" outlineLevel="1" x14ac:dyDescent="0.2">
      <c r="A3615" s="75" t="s">
        <v>3177</v>
      </c>
      <c r="B3615" s="76" t="s">
        <v>3980</v>
      </c>
      <c r="C3615" s="76" t="s">
        <v>3981</v>
      </c>
      <c r="D3615" s="81" t="str">
        <f t="shared" si="66"/>
        <v>VannesVanne d'équillibrageFemelle - Femelle</v>
      </c>
      <c r="E3615" s="76" t="s">
        <v>6271</v>
      </c>
      <c r="F3615" s="76">
        <v>2</v>
      </c>
      <c r="G3615" s="71" t="s">
        <v>6272</v>
      </c>
      <c r="H3615" s="71" t="s">
        <v>6273</v>
      </c>
      <c r="I3615" s="86" t="s">
        <v>6274</v>
      </c>
      <c r="J3615" s="70">
        <f>IFERROR(VLOOKUP(Devis[[#This Row],[Ref Air Flux]],#REF!,3,FALSE),0)</f>
        <v>0</v>
      </c>
      <c r="K3615" s="68"/>
      <c r="L3615" s="68"/>
      <c r="M3615" s="68"/>
      <c r="N3615" s="68"/>
      <c r="O3615" s="68"/>
      <c r="P3615" s="68"/>
      <c r="Q3615" s="68">
        <f>SUM(Devis[[#This Row],[Poste 1]:[Poste 6]])</f>
        <v>0</v>
      </c>
      <c r="R3615" s="71"/>
      <c r="S3615" s="68">
        <f>_xlfn.CEILING.MATH(Devis[[#This Row],[Quantité Totale]],Devis[[#This Row],[Conditionnement]])</f>
        <v>0</v>
      </c>
      <c r="T3615" s="72"/>
      <c r="U3615" s="75"/>
      <c r="V3615" s="74">
        <f>Devis[[#This Row],[Prix de Revient]]*Devis[[#This Row],[Poste 1]]</f>
        <v>0</v>
      </c>
      <c r="W3615" s="74">
        <f>Devis[[#This Row],[Prix de Revient]]*Devis[[#This Row],[Poste 2]]</f>
        <v>0</v>
      </c>
      <c r="X3615" s="74">
        <f>Devis[[#This Row],[Prix de Revient]]*Devis[[#This Row],[Poste 3]]</f>
        <v>0</v>
      </c>
      <c r="Y3615" s="74">
        <f>Devis[[#This Row],[Poste 4]]*Devis[[#This Row],[Prix de Revient]]</f>
        <v>0</v>
      </c>
      <c r="Z3615" s="74">
        <f>Devis[[#This Row],[Poste 5]]*Devis[[#This Row],[Prix de Revient]]</f>
        <v>0</v>
      </c>
      <c r="AA3615" s="74">
        <f>Devis[[#This Row],[Prix de Revient]]*Devis[[#This Row],[Poste 6]]</f>
        <v>0</v>
      </c>
      <c r="AB3615" s="74">
        <f>Devis[[#This Row],[Quantité Totale]]*Devis[[#This Row],[Prix de Revient]]</f>
        <v>0</v>
      </c>
    </row>
    <row r="3616" spans="1:28" ht="14.25" customHeight="1" outlineLevel="1" x14ac:dyDescent="0.2">
      <c r="A3616" s="75" t="s">
        <v>3177</v>
      </c>
      <c r="B3616" s="76" t="s">
        <v>3980</v>
      </c>
      <c r="C3616" s="76" t="s">
        <v>3981</v>
      </c>
      <c r="D3616" s="81" t="str">
        <f t="shared" si="66"/>
        <v>VannesVanne d'équillibrageFemelle - Femelle</v>
      </c>
      <c r="E3616" s="76" t="s">
        <v>3985</v>
      </c>
      <c r="F3616" s="76">
        <v>3</v>
      </c>
      <c r="G3616" s="71" t="s">
        <v>3986</v>
      </c>
      <c r="H3616" s="71" t="s">
        <v>2798</v>
      </c>
      <c r="I3616" s="71" t="s">
        <v>3987</v>
      </c>
      <c r="J3616" s="70">
        <f>IFERROR(VLOOKUP(Devis[[#This Row],[Ref Air Flux]],#REF!,3,FALSE),0)</f>
        <v>0</v>
      </c>
      <c r="K3616" s="68"/>
      <c r="L3616" s="68"/>
      <c r="M3616" s="68"/>
      <c r="N3616" s="68"/>
      <c r="O3616" s="68"/>
      <c r="P3616" s="68"/>
      <c r="Q3616" s="68">
        <f>SUM(Devis[[#This Row],[Poste 1]:[Poste 6]])</f>
        <v>0</v>
      </c>
      <c r="R3616" s="71"/>
      <c r="S3616" s="68">
        <f>_xlfn.CEILING.MATH(Devis[[#This Row],[Quantité Totale]],Devis[[#This Row],[Conditionnement]])</f>
        <v>0</v>
      </c>
      <c r="T3616" s="72"/>
      <c r="U3616" s="75" t="s">
        <v>3988</v>
      </c>
      <c r="V3616" s="74">
        <f>Devis[[#This Row],[Prix de Revient]]*Devis[[#This Row],[Poste 1]]</f>
        <v>0</v>
      </c>
      <c r="W3616" s="74">
        <f>Devis[[#This Row],[Prix de Revient]]*Devis[[#This Row],[Poste 2]]</f>
        <v>0</v>
      </c>
      <c r="X3616" s="74">
        <f>Devis[[#This Row],[Prix de Revient]]*Devis[[#This Row],[Poste 3]]</f>
        <v>0</v>
      </c>
      <c r="Y3616" s="74">
        <f>Devis[[#This Row],[Poste 4]]*Devis[[#This Row],[Prix de Revient]]</f>
        <v>0</v>
      </c>
      <c r="Z3616" s="74">
        <f>Devis[[#This Row],[Poste 5]]*Devis[[#This Row],[Prix de Revient]]</f>
        <v>0</v>
      </c>
      <c r="AA3616" s="74">
        <f>Devis[[#This Row],[Prix de Revient]]*Devis[[#This Row],[Poste 6]]</f>
        <v>0</v>
      </c>
      <c r="AB3616" s="74">
        <f>Devis[[#This Row],[Quantité Totale]]*Devis[[#This Row],[Prix de Revient]]</f>
        <v>0</v>
      </c>
    </row>
    <row r="3617" spans="1:28" ht="14.25" outlineLevel="1" x14ac:dyDescent="0.2">
      <c r="A3617" s="75" t="s">
        <v>3177</v>
      </c>
      <c r="B3617" s="76" t="s">
        <v>3980</v>
      </c>
      <c r="C3617" s="76" t="s">
        <v>3981</v>
      </c>
      <c r="D3617" s="81" t="str">
        <f t="shared" si="66"/>
        <v>VannesVanne d'équillibrageFemelle - Femelle</v>
      </c>
      <c r="E3617" s="76" t="s">
        <v>3989</v>
      </c>
      <c r="F3617" s="76">
        <v>4</v>
      </c>
      <c r="G3617" s="71" t="s">
        <v>3212</v>
      </c>
      <c r="H3617" s="71" t="s">
        <v>2798</v>
      </c>
      <c r="I3617" s="71" t="s">
        <v>3990</v>
      </c>
      <c r="J3617" s="70">
        <f>IFERROR(VLOOKUP(Devis[[#This Row],[Ref Air Flux]],#REF!,3,FALSE),0)</f>
        <v>0</v>
      </c>
      <c r="K3617" s="68"/>
      <c r="L3617" s="68"/>
      <c r="M3617" s="68"/>
      <c r="N3617" s="68"/>
      <c r="O3617" s="68"/>
      <c r="P3617" s="68"/>
      <c r="Q3617" s="68">
        <f>SUM(Devis[[#This Row],[Poste 1]:[Poste 6]])</f>
        <v>0</v>
      </c>
      <c r="R3617" s="71"/>
      <c r="S3617" s="68">
        <f>_xlfn.CEILING.MATH(Devis[[#This Row],[Quantité Totale]],Devis[[#This Row],[Conditionnement]])</f>
        <v>0</v>
      </c>
      <c r="T3617" s="72"/>
      <c r="U3617" s="73"/>
      <c r="V3617" s="74">
        <f>Devis[[#This Row],[Prix de Revient]]*Devis[[#This Row],[Poste 1]]</f>
        <v>0</v>
      </c>
      <c r="W3617" s="74">
        <f>Devis[[#This Row],[Prix de Revient]]*Devis[[#This Row],[Poste 2]]</f>
        <v>0</v>
      </c>
      <c r="X3617" s="74">
        <f>Devis[[#This Row],[Prix de Revient]]*Devis[[#This Row],[Poste 3]]</f>
        <v>0</v>
      </c>
      <c r="Y3617" s="74">
        <f>Devis[[#This Row],[Poste 4]]*Devis[[#This Row],[Prix de Revient]]</f>
        <v>0</v>
      </c>
      <c r="Z3617" s="74">
        <f>Devis[[#This Row],[Poste 5]]*Devis[[#This Row],[Prix de Revient]]</f>
        <v>0</v>
      </c>
      <c r="AA3617" s="74">
        <f>Devis[[#This Row],[Prix de Revient]]*Devis[[#This Row],[Poste 6]]</f>
        <v>0</v>
      </c>
      <c r="AB3617" s="74">
        <f>Devis[[#This Row],[Quantité Totale]]*Devis[[#This Row],[Prix de Revient]]</f>
        <v>0</v>
      </c>
    </row>
    <row r="3618" spans="1:28" ht="14.25" customHeight="1" outlineLevel="1" x14ac:dyDescent="0.2">
      <c r="A3618" s="75" t="s">
        <v>3177</v>
      </c>
      <c r="B3618" s="76" t="s">
        <v>3980</v>
      </c>
      <c r="C3618" s="76" t="s">
        <v>3981</v>
      </c>
      <c r="D3618" s="81" t="str">
        <f t="shared" si="66"/>
        <v>VannesVanne d'équillibrageFemelle - Femelle</v>
      </c>
      <c r="E3618" s="76" t="s">
        <v>3994</v>
      </c>
      <c r="F3618" s="76">
        <v>5</v>
      </c>
      <c r="G3618" s="71" t="s">
        <v>3213</v>
      </c>
      <c r="H3618" s="71" t="s">
        <v>2798</v>
      </c>
      <c r="I3618" s="71" t="s">
        <v>3995</v>
      </c>
      <c r="J3618" s="70">
        <f>IFERROR(VLOOKUP(Devis[[#This Row],[Ref Air Flux]],#REF!,3,FALSE),0)</f>
        <v>0</v>
      </c>
      <c r="K3618" s="68"/>
      <c r="L3618" s="68"/>
      <c r="M3618" s="68"/>
      <c r="N3618" s="68"/>
      <c r="O3618" s="68"/>
      <c r="P3618" s="68"/>
      <c r="Q3618" s="68">
        <f>SUM(Devis[[#This Row],[Poste 1]:[Poste 6]])</f>
        <v>0</v>
      </c>
      <c r="R3618" s="71"/>
      <c r="S3618" s="68">
        <f>_xlfn.CEILING.MATH(Devis[[#This Row],[Quantité Totale]],Devis[[#This Row],[Conditionnement]])</f>
        <v>0</v>
      </c>
      <c r="T3618" s="72"/>
      <c r="U3618" s="73"/>
      <c r="V3618" s="74">
        <f>Devis[[#This Row],[Prix de Revient]]*Devis[[#This Row],[Poste 1]]</f>
        <v>0</v>
      </c>
      <c r="W3618" s="74">
        <f>Devis[[#This Row],[Prix de Revient]]*Devis[[#This Row],[Poste 2]]</f>
        <v>0</v>
      </c>
      <c r="X3618" s="74">
        <f>Devis[[#This Row],[Prix de Revient]]*Devis[[#This Row],[Poste 3]]</f>
        <v>0</v>
      </c>
      <c r="Y3618" s="74">
        <f>Devis[[#This Row],[Poste 4]]*Devis[[#This Row],[Prix de Revient]]</f>
        <v>0</v>
      </c>
      <c r="Z3618" s="74">
        <f>Devis[[#This Row],[Poste 5]]*Devis[[#This Row],[Prix de Revient]]</f>
        <v>0</v>
      </c>
      <c r="AA3618" s="74">
        <f>Devis[[#This Row],[Prix de Revient]]*Devis[[#This Row],[Poste 6]]</f>
        <v>0</v>
      </c>
      <c r="AB3618" s="74">
        <f>Devis[[#This Row],[Quantité Totale]]*Devis[[#This Row],[Prix de Revient]]</f>
        <v>0</v>
      </c>
    </row>
    <row r="3619" spans="1:28" ht="14.25" outlineLevel="1" x14ac:dyDescent="0.2">
      <c r="A3619" s="75" t="s">
        <v>3177</v>
      </c>
      <c r="B3619" s="76" t="s">
        <v>3980</v>
      </c>
      <c r="C3619" s="76" t="s">
        <v>3981</v>
      </c>
      <c r="D3619" s="81" t="str">
        <f t="shared" si="66"/>
        <v>VannesVanne d'équillibrageFemelle - Femelle</v>
      </c>
      <c r="E3619" s="76" t="s">
        <v>3996</v>
      </c>
      <c r="F3619" s="76">
        <v>6</v>
      </c>
      <c r="G3619" s="71" t="s">
        <v>3214</v>
      </c>
      <c r="H3619" s="71" t="s">
        <v>2798</v>
      </c>
      <c r="I3619" s="71" t="s">
        <v>3997</v>
      </c>
      <c r="J3619" s="70">
        <f>IFERROR(VLOOKUP(Devis[[#This Row],[Ref Air Flux]],#REF!,3,FALSE),0)</f>
        <v>0</v>
      </c>
      <c r="K3619" s="68"/>
      <c r="L3619" s="68"/>
      <c r="M3619" s="68"/>
      <c r="N3619" s="68"/>
      <c r="O3619" s="68"/>
      <c r="P3619" s="68"/>
      <c r="Q3619" s="68">
        <f>SUM(Devis[[#This Row],[Poste 1]:[Poste 6]])</f>
        <v>0</v>
      </c>
      <c r="R3619" s="71"/>
      <c r="S3619" s="68">
        <f>_xlfn.CEILING.MATH(Devis[[#This Row],[Quantité Totale]],Devis[[#This Row],[Conditionnement]])</f>
        <v>0</v>
      </c>
      <c r="T3619" s="72"/>
      <c r="U3619" s="73"/>
      <c r="V3619" s="74">
        <f>Devis[[#This Row],[Prix de Revient]]*Devis[[#This Row],[Poste 1]]</f>
        <v>0</v>
      </c>
      <c r="W3619" s="74">
        <f>Devis[[#This Row],[Prix de Revient]]*Devis[[#This Row],[Poste 2]]</f>
        <v>0</v>
      </c>
      <c r="X3619" s="74">
        <f>Devis[[#This Row],[Prix de Revient]]*Devis[[#This Row],[Poste 3]]</f>
        <v>0</v>
      </c>
      <c r="Y3619" s="74">
        <f>Devis[[#This Row],[Poste 4]]*Devis[[#This Row],[Prix de Revient]]</f>
        <v>0</v>
      </c>
      <c r="Z3619" s="74">
        <f>Devis[[#This Row],[Poste 5]]*Devis[[#This Row],[Prix de Revient]]</f>
        <v>0</v>
      </c>
      <c r="AA3619" s="74">
        <f>Devis[[#This Row],[Prix de Revient]]*Devis[[#This Row],[Poste 6]]</f>
        <v>0</v>
      </c>
      <c r="AB3619" s="74">
        <f>Devis[[#This Row],[Quantité Totale]]*Devis[[#This Row],[Prix de Revient]]</f>
        <v>0</v>
      </c>
    </row>
    <row r="3620" spans="1:28" ht="14.25" outlineLevel="1" x14ac:dyDescent="0.2">
      <c r="A3620" s="75" t="s">
        <v>3177</v>
      </c>
      <c r="B3620" s="76" t="s">
        <v>3980</v>
      </c>
      <c r="C3620" s="76" t="s">
        <v>3981</v>
      </c>
      <c r="D3620" s="81" t="str">
        <f t="shared" si="66"/>
        <v>VannesVanne d'équillibrageFemelle - Femelle</v>
      </c>
      <c r="E3620" s="76" t="s">
        <v>3998</v>
      </c>
      <c r="F3620" s="76">
        <v>7</v>
      </c>
      <c r="G3620" s="71" t="s">
        <v>3215</v>
      </c>
      <c r="H3620" s="71" t="s">
        <v>2798</v>
      </c>
      <c r="I3620" s="71" t="s">
        <v>3999</v>
      </c>
      <c r="J3620" s="70">
        <f>IFERROR(VLOOKUP(Devis[[#This Row],[Ref Air Flux]],#REF!,3,FALSE),0)</f>
        <v>0</v>
      </c>
      <c r="K3620" s="68"/>
      <c r="L3620" s="68"/>
      <c r="M3620" s="68"/>
      <c r="N3620" s="68"/>
      <c r="O3620" s="68"/>
      <c r="P3620" s="68"/>
      <c r="Q3620" s="68">
        <f>SUM(Devis[[#This Row],[Poste 1]:[Poste 6]])</f>
        <v>0</v>
      </c>
      <c r="R3620" s="71"/>
      <c r="S3620" s="68">
        <f>_xlfn.CEILING.MATH(Devis[[#This Row],[Quantité Totale]],Devis[[#This Row],[Conditionnement]])</f>
        <v>0</v>
      </c>
      <c r="T3620" s="72"/>
      <c r="U3620" s="73"/>
      <c r="V3620" s="74">
        <f>Devis[[#This Row],[Prix de Revient]]*Devis[[#This Row],[Poste 1]]</f>
        <v>0</v>
      </c>
      <c r="W3620" s="74">
        <f>Devis[[#This Row],[Prix de Revient]]*Devis[[#This Row],[Poste 2]]</f>
        <v>0</v>
      </c>
      <c r="X3620" s="74">
        <f>Devis[[#This Row],[Prix de Revient]]*Devis[[#This Row],[Poste 3]]</f>
        <v>0</v>
      </c>
      <c r="Y3620" s="74">
        <f>Devis[[#This Row],[Poste 4]]*Devis[[#This Row],[Prix de Revient]]</f>
        <v>0</v>
      </c>
      <c r="Z3620" s="74">
        <f>Devis[[#This Row],[Poste 5]]*Devis[[#This Row],[Prix de Revient]]</f>
        <v>0</v>
      </c>
      <c r="AA3620" s="74">
        <f>Devis[[#This Row],[Prix de Revient]]*Devis[[#This Row],[Poste 6]]</f>
        <v>0</v>
      </c>
      <c r="AB3620" s="74">
        <f>Devis[[#This Row],[Quantité Totale]]*Devis[[#This Row],[Prix de Revient]]</f>
        <v>0</v>
      </c>
    </row>
    <row r="3621" spans="1:28" ht="15" customHeight="1" outlineLevel="1" x14ac:dyDescent="0.2">
      <c r="A3621" s="75" t="s">
        <v>3177</v>
      </c>
      <c r="B3621" s="76" t="s">
        <v>3980</v>
      </c>
      <c r="C3621" s="76" t="s">
        <v>3981</v>
      </c>
      <c r="D3621" s="81" t="str">
        <f t="shared" si="66"/>
        <v>VannesVanne d'équillibrageFemelle - Femelle</v>
      </c>
      <c r="E3621" s="76" t="s">
        <v>4000</v>
      </c>
      <c r="F3621" s="76">
        <v>8</v>
      </c>
      <c r="G3621" s="71" t="s">
        <v>3216</v>
      </c>
      <c r="H3621" s="71" t="s">
        <v>2798</v>
      </c>
      <c r="I3621" s="71" t="s">
        <v>4001</v>
      </c>
      <c r="J3621" s="70">
        <f>IFERROR(VLOOKUP(Devis[[#This Row],[Ref Air Flux]],#REF!,3,FALSE),0)</f>
        <v>0</v>
      </c>
      <c r="K3621" s="68"/>
      <c r="L3621" s="68"/>
      <c r="M3621" s="68"/>
      <c r="N3621" s="68"/>
      <c r="O3621" s="68"/>
      <c r="P3621" s="68"/>
      <c r="Q3621" s="68">
        <f>SUM(Devis[[#This Row],[Poste 1]:[Poste 6]])</f>
        <v>0</v>
      </c>
      <c r="R3621" s="71"/>
      <c r="S3621" s="68">
        <f>_xlfn.CEILING.MATH(Devis[[#This Row],[Quantité Totale]],Devis[[#This Row],[Conditionnement]])</f>
        <v>0</v>
      </c>
      <c r="T3621" s="72"/>
      <c r="U3621" s="73"/>
      <c r="V3621" s="74">
        <f>Devis[[#This Row],[Prix de Revient]]*Devis[[#This Row],[Poste 1]]</f>
        <v>0</v>
      </c>
      <c r="W3621" s="74">
        <f>Devis[[#This Row],[Prix de Revient]]*Devis[[#This Row],[Poste 2]]</f>
        <v>0</v>
      </c>
      <c r="X3621" s="74">
        <f>Devis[[#This Row],[Prix de Revient]]*Devis[[#This Row],[Poste 3]]</f>
        <v>0</v>
      </c>
      <c r="Y3621" s="74">
        <f>Devis[[#This Row],[Poste 4]]*Devis[[#This Row],[Prix de Revient]]</f>
        <v>0</v>
      </c>
      <c r="Z3621" s="74">
        <f>Devis[[#This Row],[Poste 5]]*Devis[[#This Row],[Prix de Revient]]</f>
        <v>0</v>
      </c>
      <c r="AA3621" s="74">
        <f>Devis[[#This Row],[Prix de Revient]]*Devis[[#This Row],[Poste 6]]</f>
        <v>0</v>
      </c>
      <c r="AB3621" s="74">
        <f>Devis[[#This Row],[Quantité Totale]]*Devis[[#This Row],[Prix de Revient]]</f>
        <v>0</v>
      </c>
    </row>
    <row r="3622" spans="1:28" ht="14.25" outlineLevel="1" x14ac:dyDescent="0.2">
      <c r="A3622" s="75" t="s">
        <v>3177</v>
      </c>
      <c r="B3622" s="76" t="s">
        <v>3980</v>
      </c>
      <c r="C3622" s="76" t="s">
        <v>3991</v>
      </c>
      <c r="D3622" s="81" t="str">
        <f t="shared" si="66"/>
        <v>VannesVanne d'équillibrageMale - Male</v>
      </c>
      <c r="E3622" s="76" t="s">
        <v>3992</v>
      </c>
      <c r="F3622" s="76">
        <v>9</v>
      </c>
      <c r="G3622" s="71" t="s">
        <v>3993</v>
      </c>
      <c r="H3622" s="71" t="s">
        <v>3381</v>
      </c>
      <c r="I3622" s="71">
        <v>72696</v>
      </c>
      <c r="J3622" s="70">
        <f>IFERROR(VLOOKUP(Devis[[#This Row],[Ref Air Flux]],#REF!,3,FALSE),0)</f>
        <v>0</v>
      </c>
      <c r="K3622" s="68"/>
      <c r="L3622" s="68"/>
      <c r="M3622" s="68"/>
      <c r="N3622" s="68"/>
      <c r="O3622" s="68"/>
      <c r="P3622" s="68"/>
      <c r="Q3622" s="68">
        <f>SUM(Devis[[#This Row],[Poste 1]:[Poste 6]])</f>
        <v>0</v>
      </c>
      <c r="R3622" s="71"/>
      <c r="S3622" s="68">
        <f>_xlfn.CEILING.MATH(Devis[[#This Row],[Quantité Totale]],Devis[[#This Row],[Conditionnement]])</f>
        <v>0</v>
      </c>
      <c r="T3622" s="72"/>
      <c r="U3622" s="73"/>
      <c r="V3622" s="74">
        <f>Devis[[#This Row],[Prix de Revient]]*Devis[[#This Row],[Poste 1]]</f>
        <v>0</v>
      </c>
      <c r="W3622" s="74">
        <f>Devis[[#This Row],[Prix de Revient]]*Devis[[#This Row],[Poste 2]]</f>
        <v>0</v>
      </c>
      <c r="X3622" s="74">
        <f>Devis[[#This Row],[Prix de Revient]]*Devis[[#This Row],[Poste 3]]</f>
        <v>0</v>
      </c>
      <c r="Y3622" s="74">
        <f>Devis[[#This Row],[Poste 4]]*Devis[[#This Row],[Prix de Revient]]</f>
        <v>0</v>
      </c>
      <c r="Z3622" s="74">
        <f>Devis[[#This Row],[Poste 5]]*Devis[[#This Row],[Prix de Revient]]</f>
        <v>0</v>
      </c>
      <c r="AA3622" s="74">
        <f>Devis[[#This Row],[Prix de Revient]]*Devis[[#This Row],[Poste 6]]</f>
        <v>0</v>
      </c>
      <c r="AB3622" s="74">
        <f>Devis[[#This Row],[Quantité Totale]]*Devis[[#This Row],[Prix de Revient]]</f>
        <v>0</v>
      </c>
    </row>
    <row r="3623" spans="1:28" ht="14.25" outlineLevel="1" x14ac:dyDescent="0.2">
      <c r="A3623" s="75" t="s">
        <v>3177</v>
      </c>
      <c r="B3623" s="76" t="s">
        <v>3980</v>
      </c>
      <c r="C3623" s="76" t="s">
        <v>4002</v>
      </c>
      <c r="D3623" s="81" t="str">
        <f t="shared" si="66"/>
        <v>VannesVanne d'équillibrageBride</v>
      </c>
      <c r="E3623" s="76" t="s">
        <v>625</v>
      </c>
      <c r="F3623" s="76">
        <v>10</v>
      </c>
      <c r="G3623" s="71" t="s">
        <v>6269</v>
      </c>
      <c r="H3623" s="71" t="s">
        <v>3381</v>
      </c>
      <c r="I3623" s="86" t="s">
        <v>6270</v>
      </c>
      <c r="J3623" s="70">
        <f>IFERROR(VLOOKUP(Devis[[#This Row],[Ref Air Flux]],#REF!,3,FALSE),0)</f>
        <v>0</v>
      </c>
      <c r="K3623" s="68"/>
      <c r="L3623" s="68"/>
      <c r="M3623" s="68"/>
      <c r="N3623" s="68"/>
      <c r="O3623" s="68"/>
      <c r="P3623" s="68"/>
      <c r="Q3623" s="68">
        <f>SUM(Devis[[#This Row],[Poste 1]:[Poste 6]])</f>
        <v>0</v>
      </c>
      <c r="R3623" s="71"/>
      <c r="S3623" s="68">
        <f>_xlfn.CEILING.MATH(Devis[[#This Row],[Quantité Totale]],Devis[[#This Row],[Conditionnement]])</f>
        <v>0</v>
      </c>
      <c r="T3623" s="72"/>
      <c r="U3623" s="73"/>
      <c r="V3623" s="74">
        <f>Devis[[#This Row],[Prix de Revient]]*Devis[[#This Row],[Poste 1]]</f>
        <v>0</v>
      </c>
      <c r="W3623" s="74">
        <f>Devis[[#This Row],[Prix de Revient]]*Devis[[#This Row],[Poste 2]]</f>
        <v>0</v>
      </c>
      <c r="X3623" s="74">
        <f>Devis[[#This Row],[Prix de Revient]]*Devis[[#This Row],[Poste 3]]</f>
        <v>0</v>
      </c>
      <c r="Y3623" s="74">
        <f>Devis[[#This Row],[Poste 4]]*Devis[[#This Row],[Prix de Revient]]</f>
        <v>0</v>
      </c>
      <c r="Z3623" s="74">
        <f>Devis[[#This Row],[Poste 5]]*Devis[[#This Row],[Prix de Revient]]</f>
        <v>0</v>
      </c>
      <c r="AA3623" s="74">
        <f>Devis[[#This Row],[Prix de Revient]]*Devis[[#This Row],[Poste 6]]</f>
        <v>0</v>
      </c>
      <c r="AB3623" s="74">
        <f>Devis[[#This Row],[Quantité Totale]]*Devis[[#This Row],[Prix de Revient]]</f>
        <v>0</v>
      </c>
    </row>
    <row r="3624" spans="1:28" ht="14.25" outlineLevel="1" x14ac:dyDescent="0.2">
      <c r="A3624" s="75" t="s">
        <v>3177</v>
      </c>
      <c r="B3624" s="76" t="s">
        <v>3980</v>
      </c>
      <c r="C3624" s="76" t="s">
        <v>4002</v>
      </c>
      <c r="D3624" s="81" t="str">
        <f t="shared" si="66"/>
        <v>VannesVanne d'équillibrageBride</v>
      </c>
      <c r="E3624" s="76" t="s">
        <v>627</v>
      </c>
      <c r="F3624" s="76">
        <v>11</v>
      </c>
      <c r="G3624" s="71" t="s">
        <v>4003</v>
      </c>
      <c r="H3624" s="71" t="s">
        <v>2936</v>
      </c>
      <c r="I3624" s="71">
        <v>130082</v>
      </c>
      <c r="J3624" s="70">
        <f>IFERROR(VLOOKUP(Devis[[#This Row],[Ref Air Flux]],#REF!,3,FALSE),0)</f>
        <v>0</v>
      </c>
      <c r="K3624" s="68"/>
      <c r="L3624" s="68"/>
      <c r="M3624" s="68"/>
      <c r="N3624" s="68"/>
      <c r="O3624" s="68"/>
      <c r="P3624" s="68"/>
      <c r="Q3624" s="68">
        <f>SUM(Devis[[#This Row],[Poste 1]:[Poste 6]])</f>
        <v>0</v>
      </c>
      <c r="R3624" s="71"/>
      <c r="S3624" s="68">
        <f>_xlfn.CEILING.MATH(Devis[[#This Row],[Quantité Totale]],Devis[[#This Row],[Conditionnement]])</f>
        <v>0</v>
      </c>
      <c r="T3624" s="72"/>
      <c r="U3624" s="73"/>
      <c r="V3624" s="74">
        <f>Devis[[#This Row],[Prix de Revient]]*Devis[[#This Row],[Poste 1]]</f>
        <v>0</v>
      </c>
      <c r="W3624" s="74">
        <f>Devis[[#This Row],[Prix de Revient]]*Devis[[#This Row],[Poste 2]]</f>
        <v>0</v>
      </c>
      <c r="X3624" s="74">
        <f>Devis[[#This Row],[Prix de Revient]]*Devis[[#This Row],[Poste 3]]</f>
        <v>0</v>
      </c>
      <c r="Y3624" s="74">
        <f>Devis[[#This Row],[Poste 4]]*Devis[[#This Row],[Prix de Revient]]</f>
        <v>0</v>
      </c>
      <c r="Z3624" s="74">
        <f>Devis[[#This Row],[Poste 5]]*Devis[[#This Row],[Prix de Revient]]</f>
        <v>0</v>
      </c>
      <c r="AA3624" s="74">
        <f>Devis[[#This Row],[Prix de Revient]]*Devis[[#This Row],[Poste 6]]</f>
        <v>0</v>
      </c>
      <c r="AB3624" s="74">
        <f>Devis[[#This Row],[Quantité Totale]]*Devis[[#This Row],[Prix de Revient]]</f>
        <v>0</v>
      </c>
    </row>
    <row r="3625" spans="1:28" ht="14.25" outlineLevel="1" x14ac:dyDescent="0.2">
      <c r="A3625" s="75" t="s">
        <v>3177</v>
      </c>
      <c r="B3625" s="76" t="s">
        <v>3980</v>
      </c>
      <c r="C3625" s="76" t="s">
        <v>4002</v>
      </c>
      <c r="D3625" s="81" t="str">
        <f t="shared" si="66"/>
        <v>VannesVanne d'équillibrageBride</v>
      </c>
      <c r="E3625" s="76" t="s">
        <v>4004</v>
      </c>
      <c r="F3625" s="76">
        <v>12</v>
      </c>
      <c r="G3625" s="71" t="s">
        <v>4005</v>
      </c>
      <c r="H3625" s="71" t="s">
        <v>2936</v>
      </c>
      <c r="I3625" s="71">
        <v>130102</v>
      </c>
      <c r="J3625" s="70">
        <f>IFERROR(VLOOKUP(Devis[[#This Row],[Ref Air Flux]],#REF!,3,FALSE),0)</f>
        <v>0</v>
      </c>
      <c r="K3625" s="68"/>
      <c r="L3625" s="68"/>
      <c r="M3625" s="68"/>
      <c r="N3625" s="68"/>
      <c r="O3625" s="68"/>
      <c r="P3625" s="68"/>
      <c r="Q3625" s="68">
        <f>SUM(Devis[[#This Row],[Poste 1]:[Poste 6]])</f>
        <v>0</v>
      </c>
      <c r="R3625" s="71"/>
      <c r="S3625" s="68">
        <f>_xlfn.CEILING.MATH(Devis[[#This Row],[Quantité Totale]],Devis[[#This Row],[Conditionnement]])</f>
        <v>0</v>
      </c>
      <c r="T3625" s="72"/>
      <c r="U3625" s="73"/>
      <c r="V3625" s="74">
        <f>Devis[[#This Row],[Prix de Revient]]*Devis[[#This Row],[Poste 1]]</f>
        <v>0</v>
      </c>
      <c r="W3625" s="74">
        <f>Devis[[#This Row],[Prix de Revient]]*Devis[[#This Row],[Poste 2]]</f>
        <v>0</v>
      </c>
      <c r="X3625" s="74">
        <f>Devis[[#This Row],[Prix de Revient]]*Devis[[#This Row],[Poste 3]]</f>
        <v>0</v>
      </c>
      <c r="Y3625" s="74">
        <f>Devis[[#This Row],[Poste 4]]*Devis[[#This Row],[Prix de Revient]]</f>
        <v>0</v>
      </c>
      <c r="Z3625" s="74">
        <f>Devis[[#This Row],[Poste 5]]*Devis[[#This Row],[Prix de Revient]]</f>
        <v>0</v>
      </c>
      <c r="AA3625" s="74">
        <f>Devis[[#This Row],[Prix de Revient]]*Devis[[#This Row],[Poste 6]]</f>
        <v>0</v>
      </c>
      <c r="AB3625" s="74">
        <f>Devis[[#This Row],[Quantité Totale]]*Devis[[#This Row],[Prix de Revient]]</f>
        <v>0</v>
      </c>
    </row>
    <row r="3626" spans="1:28" ht="14.25" outlineLevel="1" x14ac:dyDescent="0.2">
      <c r="A3626" s="75" t="s">
        <v>3177</v>
      </c>
      <c r="B3626" s="76" t="s">
        <v>3980</v>
      </c>
      <c r="C3626" s="76" t="s">
        <v>4002</v>
      </c>
      <c r="D3626" s="81" t="str">
        <f t="shared" si="66"/>
        <v>VannesVanne d'équillibrageBride</v>
      </c>
      <c r="E3626" s="76" t="s">
        <v>630</v>
      </c>
      <c r="F3626" s="76">
        <v>13</v>
      </c>
      <c r="G3626" s="71" t="s">
        <v>6284</v>
      </c>
      <c r="H3626" s="71" t="s">
        <v>3381</v>
      </c>
      <c r="I3626" s="86" t="s">
        <v>6286</v>
      </c>
      <c r="J3626" s="70">
        <f>IFERROR(VLOOKUP(Devis[[#This Row],[Ref Air Flux]],#REF!,3,FALSE),0)</f>
        <v>0</v>
      </c>
      <c r="K3626" s="68"/>
      <c r="L3626" s="68"/>
      <c r="M3626" s="68"/>
      <c r="N3626" s="68"/>
      <c r="O3626" s="68"/>
      <c r="P3626" s="68"/>
      <c r="Q3626" s="68">
        <f>SUM(Devis[[#This Row],[Poste 1]:[Poste 6]])</f>
        <v>0</v>
      </c>
      <c r="R3626" s="71"/>
      <c r="S3626" s="68">
        <f>_xlfn.CEILING.MATH(Devis[[#This Row],[Quantité Totale]],Devis[[#This Row],[Conditionnement]])</f>
        <v>0</v>
      </c>
      <c r="T3626" s="72"/>
      <c r="U3626" s="73"/>
      <c r="V3626" s="74">
        <f>Devis[[#This Row],[Prix de Revient]]*Devis[[#This Row],[Poste 1]]</f>
        <v>0</v>
      </c>
      <c r="W3626" s="74">
        <f>Devis[[#This Row],[Prix de Revient]]*Devis[[#This Row],[Poste 2]]</f>
        <v>0</v>
      </c>
      <c r="X3626" s="74">
        <f>Devis[[#This Row],[Prix de Revient]]*Devis[[#This Row],[Poste 3]]</f>
        <v>0</v>
      </c>
      <c r="Y3626" s="74">
        <f>Devis[[#This Row],[Poste 4]]*Devis[[#This Row],[Prix de Revient]]</f>
        <v>0</v>
      </c>
      <c r="Z3626" s="74">
        <f>Devis[[#This Row],[Poste 5]]*Devis[[#This Row],[Prix de Revient]]</f>
        <v>0</v>
      </c>
      <c r="AA3626" s="74">
        <f>Devis[[#This Row],[Prix de Revient]]*Devis[[#This Row],[Poste 6]]</f>
        <v>0</v>
      </c>
      <c r="AB3626" s="74">
        <f>Devis[[#This Row],[Quantité Totale]]*Devis[[#This Row],[Prix de Revient]]</f>
        <v>0</v>
      </c>
    </row>
    <row r="3627" spans="1:28" ht="14.25" outlineLevel="1" x14ac:dyDescent="0.2">
      <c r="A3627" s="75" t="s">
        <v>3177</v>
      </c>
      <c r="B3627" s="76" t="s">
        <v>3980</v>
      </c>
      <c r="C3627" s="76" t="s">
        <v>4002</v>
      </c>
      <c r="D3627" s="81" t="str">
        <f t="shared" si="66"/>
        <v>VannesVanne d'équillibrageBride</v>
      </c>
      <c r="E3627" s="76" t="s">
        <v>631</v>
      </c>
      <c r="F3627" s="76">
        <v>14</v>
      </c>
      <c r="G3627" s="71" t="s">
        <v>6283</v>
      </c>
      <c r="H3627" s="71" t="s">
        <v>3381</v>
      </c>
      <c r="I3627" s="86" t="s">
        <v>6285</v>
      </c>
      <c r="J3627" s="70">
        <f>IFERROR(VLOOKUP(Devis[[#This Row],[Ref Air Flux]],#REF!,3,FALSE),0)</f>
        <v>0</v>
      </c>
      <c r="K3627" s="68"/>
      <c r="L3627" s="68"/>
      <c r="M3627" s="68"/>
      <c r="N3627" s="68"/>
      <c r="O3627" s="68"/>
      <c r="P3627" s="68"/>
      <c r="Q3627" s="68">
        <f>SUM(Devis[[#This Row],[Poste 1]:[Poste 6]])</f>
        <v>0</v>
      </c>
      <c r="R3627" s="71"/>
      <c r="S3627" s="68">
        <f>_xlfn.CEILING.MATH(Devis[[#This Row],[Quantité Totale]],Devis[[#This Row],[Conditionnement]])</f>
        <v>0</v>
      </c>
      <c r="T3627" s="72"/>
      <c r="U3627" s="73"/>
      <c r="V3627" s="74">
        <f>Devis[[#This Row],[Prix de Revient]]*Devis[[#This Row],[Poste 1]]</f>
        <v>0</v>
      </c>
      <c r="W3627" s="74">
        <f>Devis[[#This Row],[Prix de Revient]]*Devis[[#This Row],[Poste 2]]</f>
        <v>0</v>
      </c>
      <c r="X3627" s="74">
        <f>Devis[[#This Row],[Prix de Revient]]*Devis[[#This Row],[Poste 3]]</f>
        <v>0</v>
      </c>
      <c r="Y3627" s="74">
        <f>Devis[[#This Row],[Poste 4]]*Devis[[#This Row],[Prix de Revient]]</f>
        <v>0</v>
      </c>
      <c r="Z3627" s="74">
        <f>Devis[[#This Row],[Poste 5]]*Devis[[#This Row],[Prix de Revient]]</f>
        <v>0</v>
      </c>
      <c r="AA3627" s="74">
        <f>Devis[[#This Row],[Prix de Revient]]*Devis[[#This Row],[Poste 6]]</f>
        <v>0</v>
      </c>
      <c r="AB3627" s="74">
        <f>Devis[[#This Row],[Quantité Totale]]*Devis[[#This Row],[Prix de Revient]]</f>
        <v>0</v>
      </c>
    </row>
    <row r="3628" spans="1:28" ht="14.25" customHeight="1" outlineLevel="1" x14ac:dyDescent="0.2">
      <c r="A3628" s="75" t="s">
        <v>3177</v>
      </c>
      <c r="B3628" s="76" t="s">
        <v>3980</v>
      </c>
      <c r="C3628" s="76" t="s">
        <v>4002</v>
      </c>
      <c r="D3628" s="81" t="str">
        <f t="shared" si="66"/>
        <v>VannesVanne d'équillibrageBride</v>
      </c>
      <c r="E3628" s="76" t="s">
        <v>554</v>
      </c>
      <c r="F3628" s="76">
        <v>15</v>
      </c>
      <c r="G3628" s="71" t="s">
        <v>6281</v>
      </c>
      <c r="H3628" s="71" t="s">
        <v>3381</v>
      </c>
      <c r="I3628" s="86" t="s">
        <v>6282</v>
      </c>
      <c r="J3628" s="70">
        <f>IFERROR(VLOOKUP(Devis[[#This Row],[Ref Air Flux]],#REF!,3,FALSE),0)</f>
        <v>0</v>
      </c>
      <c r="K3628" s="68"/>
      <c r="L3628" s="68"/>
      <c r="M3628" s="68"/>
      <c r="N3628" s="68"/>
      <c r="O3628" s="68"/>
      <c r="P3628" s="68"/>
      <c r="Q3628" s="68">
        <f>SUM(Devis[[#This Row],[Poste 1]:[Poste 6]])</f>
        <v>0</v>
      </c>
      <c r="R3628" s="71"/>
      <c r="S3628" s="68">
        <f>_xlfn.CEILING.MATH(Devis[[#This Row],[Quantité Totale]],Devis[[#This Row],[Conditionnement]])</f>
        <v>0</v>
      </c>
      <c r="T3628" s="72"/>
      <c r="U3628" s="73"/>
      <c r="V3628" s="74">
        <f>Devis[[#This Row],[Prix de Revient]]*Devis[[#This Row],[Poste 1]]</f>
        <v>0</v>
      </c>
      <c r="W3628" s="74">
        <f>Devis[[#This Row],[Prix de Revient]]*Devis[[#This Row],[Poste 2]]</f>
        <v>0</v>
      </c>
      <c r="X3628" s="74">
        <f>Devis[[#This Row],[Prix de Revient]]*Devis[[#This Row],[Poste 3]]</f>
        <v>0</v>
      </c>
      <c r="Y3628" s="74">
        <f>Devis[[#This Row],[Poste 4]]*Devis[[#This Row],[Prix de Revient]]</f>
        <v>0</v>
      </c>
      <c r="Z3628" s="74">
        <f>Devis[[#This Row],[Poste 5]]*Devis[[#This Row],[Prix de Revient]]</f>
        <v>0</v>
      </c>
      <c r="AA3628" s="74">
        <f>Devis[[#This Row],[Prix de Revient]]*Devis[[#This Row],[Poste 6]]</f>
        <v>0</v>
      </c>
      <c r="AB3628" s="74">
        <f>Devis[[#This Row],[Quantité Totale]]*Devis[[#This Row],[Prix de Revient]]</f>
        <v>0</v>
      </c>
    </row>
    <row r="3629" spans="1:28" ht="15" customHeight="1" outlineLevel="1" x14ac:dyDescent="0.2">
      <c r="A3629" s="75" t="s">
        <v>3177</v>
      </c>
      <c r="B3629" s="76" t="s">
        <v>3980</v>
      </c>
      <c r="C3629" s="76" t="s">
        <v>4002</v>
      </c>
      <c r="D3629" s="81" t="str">
        <f t="shared" si="66"/>
        <v>VannesVanne d'équillibrageBride</v>
      </c>
      <c r="E3629" s="76" t="s">
        <v>6279</v>
      </c>
      <c r="F3629" s="76">
        <v>16</v>
      </c>
      <c r="G3629" s="71" t="s">
        <v>6278</v>
      </c>
      <c r="H3629" s="71" t="s">
        <v>3381</v>
      </c>
      <c r="I3629" s="86" t="s">
        <v>6280</v>
      </c>
      <c r="J3629" s="70">
        <f>IFERROR(VLOOKUP(Devis[[#This Row],[Ref Air Flux]],#REF!,3,FALSE),0)</f>
        <v>0</v>
      </c>
      <c r="K3629" s="68"/>
      <c r="L3629" s="68"/>
      <c r="M3629" s="68"/>
      <c r="N3629" s="68"/>
      <c r="O3629" s="68"/>
      <c r="P3629" s="68"/>
      <c r="Q3629" s="68">
        <f>SUM(Devis[[#This Row],[Poste 1]:[Poste 6]])</f>
        <v>0</v>
      </c>
      <c r="R3629" s="71"/>
      <c r="S3629" s="68">
        <f>_xlfn.CEILING.MATH(Devis[[#This Row],[Quantité Totale]],Devis[[#This Row],[Conditionnement]])</f>
        <v>0</v>
      </c>
      <c r="T3629" s="72"/>
      <c r="U3629" s="73"/>
      <c r="V3629" s="74">
        <f>Devis[[#This Row],[Prix de Revient]]*Devis[[#This Row],[Poste 1]]</f>
        <v>0</v>
      </c>
      <c r="W3629" s="74">
        <f>Devis[[#This Row],[Prix de Revient]]*Devis[[#This Row],[Poste 2]]</f>
        <v>0</v>
      </c>
      <c r="X3629" s="74">
        <f>Devis[[#This Row],[Prix de Revient]]*Devis[[#This Row],[Poste 3]]</f>
        <v>0</v>
      </c>
      <c r="Y3629" s="74">
        <f>Devis[[#This Row],[Poste 4]]*Devis[[#This Row],[Prix de Revient]]</f>
        <v>0</v>
      </c>
      <c r="Z3629" s="74">
        <f>Devis[[#This Row],[Poste 5]]*Devis[[#This Row],[Prix de Revient]]</f>
        <v>0</v>
      </c>
      <c r="AA3629" s="74">
        <f>Devis[[#This Row],[Prix de Revient]]*Devis[[#This Row],[Poste 6]]</f>
        <v>0</v>
      </c>
      <c r="AB3629" s="74">
        <f>Devis[[#This Row],[Quantité Totale]]*Devis[[#This Row],[Prix de Revient]]</f>
        <v>0</v>
      </c>
    </row>
    <row r="3630" spans="1:28" ht="14.25" outlineLevel="1" x14ac:dyDescent="0.2">
      <c r="A3630" s="75" t="s">
        <v>3177</v>
      </c>
      <c r="B3630" s="76" t="s">
        <v>3980</v>
      </c>
      <c r="C3630" s="76" t="s">
        <v>4002</v>
      </c>
      <c r="D3630" s="81" t="str">
        <f t="shared" si="66"/>
        <v>VannesVanne d'équillibrageBride</v>
      </c>
      <c r="E3630" s="76" t="s">
        <v>6277</v>
      </c>
      <c r="F3630" s="76">
        <v>17</v>
      </c>
      <c r="G3630" s="71" t="s">
        <v>6275</v>
      </c>
      <c r="H3630" s="71" t="s">
        <v>3381</v>
      </c>
      <c r="I3630" s="86" t="s">
        <v>6276</v>
      </c>
      <c r="J3630" s="70">
        <f>IFERROR(VLOOKUP(Devis[[#This Row],[Ref Air Flux]],#REF!,3,FALSE),0)</f>
        <v>0</v>
      </c>
      <c r="K3630" s="68"/>
      <c r="L3630" s="68"/>
      <c r="M3630" s="68"/>
      <c r="N3630" s="68"/>
      <c r="O3630" s="68"/>
      <c r="P3630" s="68"/>
      <c r="Q3630" s="68">
        <f>SUM(Devis[[#This Row],[Poste 1]:[Poste 6]])</f>
        <v>0</v>
      </c>
      <c r="R3630" s="71"/>
      <c r="S3630" s="68">
        <f>_xlfn.CEILING.MATH(Devis[[#This Row],[Quantité Totale]],Devis[[#This Row],[Conditionnement]])</f>
        <v>0</v>
      </c>
      <c r="T3630" s="72"/>
      <c r="U3630" s="73"/>
      <c r="V3630" s="74">
        <f>Devis[[#This Row],[Prix de Revient]]*Devis[[#This Row],[Poste 1]]</f>
        <v>0</v>
      </c>
      <c r="W3630" s="74">
        <f>Devis[[#This Row],[Prix de Revient]]*Devis[[#This Row],[Poste 2]]</f>
        <v>0</v>
      </c>
      <c r="X3630" s="74">
        <f>Devis[[#This Row],[Prix de Revient]]*Devis[[#This Row],[Poste 3]]</f>
        <v>0</v>
      </c>
      <c r="Y3630" s="74">
        <f>Devis[[#This Row],[Poste 4]]*Devis[[#This Row],[Prix de Revient]]</f>
        <v>0</v>
      </c>
      <c r="Z3630" s="74">
        <f>Devis[[#This Row],[Poste 5]]*Devis[[#This Row],[Prix de Revient]]</f>
        <v>0</v>
      </c>
      <c r="AA3630" s="74">
        <f>Devis[[#This Row],[Prix de Revient]]*Devis[[#This Row],[Poste 6]]</f>
        <v>0</v>
      </c>
      <c r="AB3630" s="74">
        <f>Devis[[#This Row],[Quantité Totale]]*Devis[[#This Row],[Prix de Revient]]</f>
        <v>0</v>
      </c>
    </row>
    <row r="3631" spans="1:28" ht="14.25" outlineLevel="1" x14ac:dyDescent="0.2">
      <c r="A3631" s="75" t="s">
        <v>3177</v>
      </c>
      <c r="B3631" s="76" t="s">
        <v>3980</v>
      </c>
      <c r="C3631" s="76" t="s">
        <v>4002</v>
      </c>
      <c r="D3631" s="81" t="str">
        <f t="shared" si="66"/>
        <v>VannesVanne d'équillibrageBride</v>
      </c>
      <c r="E3631" s="76" t="s">
        <v>4006</v>
      </c>
      <c r="F3631" s="76">
        <v>18</v>
      </c>
      <c r="G3631" s="71" t="s">
        <v>4007</v>
      </c>
      <c r="H3631" s="71" t="s">
        <v>3381</v>
      </c>
      <c r="I3631" s="71" t="s">
        <v>4007</v>
      </c>
      <c r="J3631" s="70">
        <f>IFERROR(VLOOKUP(Devis[[#This Row],[Ref Air Flux]],#REF!,3,FALSE),0)</f>
        <v>0</v>
      </c>
      <c r="K3631" s="68"/>
      <c r="L3631" s="68"/>
      <c r="M3631" s="68"/>
      <c r="N3631" s="68"/>
      <c r="O3631" s="68"/>
      <c r="P3631" s="68"/>
      <c r="Q3631" s="68">
        <f>SUM(Devis[[#This Row],[Poste 1]:[Poste 6]])</f>
        <v>0</v>
      </c>
      <c r="R3631" s="71"/>
      <c r="S3631" s="68">
        <f>_xlfn.CEILING.MATH(Devis[[#This Row],[Quantité Totale]],Devis[[#This Row],[Conditionnement]])</f>
        <v>0</v>
      </c>
      <c r="T3631" s="72"/>
      <c r="U3631" s="73"/>
      <c r="V3631" s="74">
        <f>Devis[[#This Row],[Prix de Revient]]*Devis[[#This Row],[Poste 1]]</f>
        <v>0</v>
      </c>
      <c r="W3631" s="74">
        <f>Devis[[#This Row],[Prix de Revient]]*Devis[[#This Row],[Poste 2]]</f>
        <v>0</v>
      </c>
      <c r="X3631" s="74">
        <f>Devis[[#This Row],[Prix de Revient]]*Devis[[#This Row],[Poste 3]]</f>
        <v>0</v>
      </c>
      <c r="Y3631" s="74">
        <f>Devis[[#This Row],[Poste 4]]*Devis[[#This Row],[Prix de Revient]]</f>
        <v>0</v>
      </c>
      <c r="Z3631" s="74">
        <f>Devis[[#This Row],[Poste 5]]*Devis[[#This Row],[Prix de Revient]]</f>
        <v>0</v>
      </c>
      <c r="AA3631" s="74">
        <f>Devis[[#This Row],[Prix de Revient]]*Devis[[#This Row],[Poste 6]]</f>
        <v>0</v>
      </c>
      <c r="AB3631" s="74">
        <f>Devis[[#This Row],[Quantité Totale]]*Devis[[#This Row],[Prix de Revient]]</f>
        <v>0</v>
      </c>
    </row>
    <row r="3632" spans="1:28" ht="14.25" customHeight="1" x14ac:dyDescent="0.25">
      <c r="A3632" s="65" t="s">
        <v>3177</v>
      </c>
      <c r="B3632" s="65" t="s">
        <v>2950</v>
      </c>
      <c r="C3632" s="113" t="s">
        <v>2950</v>
      </c>
      <c r="D3632" s="81" t="str">
        <f t="shared" si="66"/>
        <v>VannesVanne motoriseVanne motorise</v>
      </c>
      <c r="E3632" s="76"/>
      <c r="F3632" s="76">
        <v>0</v>
      </c>
      <c r="G3632" s="71"/>
      <c r="H3632" s="71"/>
      <c r="I3632" s="71"/>
      <c r="J3632" s="70">
        <f>IFERROR(VLOOKUP(Devis[[#This Row],[Ref Air Flux]],#REF!,3,FALSE),0)</f>
        <v>0</v>
      </c>
      <c r="K3632" s="68"/>
      <c r="L3632" s="68"/>
      <c r="M3632" s="68"/>
      <c r="N3632" s="68"/>
      <c r="O3632" s="68"/>
      <c r="P3632" s="68"/>
      <c r="Q3632" s="68">
        <f>SUM(Devis[[#This Row],[Poste 1]:[Poste 6]])</f>
        <v>0</v>
      </c>
      <c r="R3632" s="71"/>
      <c r="S3632" s="68">
        <f>_xlfn.CEILING.MATH(Devis[[#This Row],[Quantité Totale]],Devis[[#This Row],[Conditionnement]])</f>
        <v>0</v>
      </c>
      <c r="T3632" s="72"/>
      <c r="U3632" s="73"/>
      <c r="V3632" s="74">
        <f>Devis[[#This Row],[Prix de Revient]]*Devis[[#This Row],[Poste 1]]</f>
        <v>0</v>
      </c>
      <c r="W3632" s="74">
        <f>Devis[[#This Row],[Prix de Revient]]*Devis[[#This Row],[Poste 2]]</f>
        <v>0</v>
      </c>
      <c r="X3632" s="74">
        <f>Devis[[#This Row],[Prix de Revient]]*Devis[[#This Row],[Poste 3]]</f>
        <v>0</v>
      </c>
      <c r="Y3632" s="74">
        <f>Devis[[#This Row],[Poste 4]]*Devis[[#This Row],[Prix de Revient]]</f>
        <v>0</v>
      </c>
      <c r="Z3632" s="74">
        <f>Devis[[#This Row],[Poste 5]]*Devis[[#This Row],[Prix de Revient]]</f>
        <v>0</v>
      </c>
      <c r="AA3632" s="74">
        <f>Devis[[#This Row],[Prix de Revient]]*Devis[[#This Row],[Poste 6]]</f>
        <v>0</v>
      </c>
      <c r="AB3632" s="74">
        <f>Devis[[#This Row],[Quantité Totale]]*Devis[[#This Row],[Prix de Revient]]</f>
        <v>0</v>
      </c>
    </row>
    <row r="3633" spans="1:28" ht="14.25" outlineLevel="1" x14ac:dyDescent="0.2">
      <c r="A3633" s="75" t="s">
        <v>3177</v>
      </c>
      <c r="B3633" s="76" t="s">
        <v>2950</v>
      </c>
      <c r="C3633" s="76" t="s">
        <v>2950</v>
      </c>
      <c r="D3633" s="81" t="str">
        <f t="shared" si="66"/>
        <v>VannesVanne motoriseVanne motorise</v>
      </c>
      <c r="E3633" s="76" t="s">
        <v>3260</v>
      </c>
      <c r="F3633" s="76">
        <v>1</v>
      </c>
      <c r="G3633" s="71" t="s">
        <v>3261</v>
      </c>
      <c r="H3633" s="71" t="s">
        <v>2953</v>
      </c>
      <c r="I3633" s="71" t="s">
        <v>3262</v>
      </c>
      <c r="J3633" s="70">
        <f>IFERROR(VLOOKUP(Devis[[#This Row],[Ref Air Flux]],#REF!,3,FALSE),0)</f>
        <v>0</v>
      </c>
      <c r="K3633" s="68"/>
      <c r="L3633" s="68"/>
      <c r="M3633" s="68"/>
      <c r="N3633" s="68"/>
      <c r="O3633" s="68"/>
      <c r="P3633" s="68"/>
      <c r="Q3633" s="68">
        <f>SUM(Devis[[#This Row],[Poste 1]:[Poste 6]])</f>
        <v>0</v>
      </c>
      <c r="R3633" s="71"/>
      <c r="S3633" s="68">
        <f>_xlfn.CEILING.MATH(Devis[[#This Row],[Quantité Totale]],Devis[[#This Row],[Conditionnement]])</f>
        <v>0</v>
      </c>
      <c r="T3633" s="72"/>
      <c r="U3633" s="73"/>
      <c r="V3633" s="74">
        <f>Devis[[#This Row],[Prix de Revient]]*Devis[[#This Row],[Poste 1]]</f>
        <v>0</v>
      </c>
      <c r="W3633" s="74">
        <f>Devis[[#This Row],[Prix de Revient]]*Devis[[#This Row],[Poste 2]]</f>
        <v>0</v>
      </c>
      <c r="X3633" s="74">
        <f>Devis[[#This Row],[Prix de Revient]]*Devis[[#This Row],[Poste 3]]</f>
        <v>0</v>
      </c>
      <c r="Y3633" s="74">
        <f>Devis[[#This Row],[Poste 4]]*Devis[[#This Row],[Prix de Revient]]</f>
        <v>0</v>
      </c>
      <c r="Z3633" s="74">
        <f>Devis[[#This Row],[Poste 5]]*Devis[[#This Row],[Prix de Revient]]</f>
        <v>0</v>
      </c>
      <c r="AA3633" s="74">
        <f>Devis[[#This Row],[Prix de Revient]]*Devis[[#This Row],[Poste 6]]</f>
        <v>0</v>
      </c>
      <c r="AB3633" s="74">
        <f>Devis[[#This Row],[Quantité Totale]]*Devis[[#This Row],[Prix de Revient]]</f>
        <v>0</v>
      </c>
    </row>
    <row r="3634" spans="1:28" ht="14.25" outlineLevel="1" x14ac:dyDescent="0.2">
      <c r="A3634" s="75" t="s">
        <v>3177</v>
      </c>
      <c r="B3634" s="76" t="s">
        <v>2950</v>
      </c>
      <c r="C3634" s="76" t="s">
        <v>2950</v>
      </c>
      <c r="D3634" s="81" t="str">
        <f t="shared" si="66"/>
        <v>VannesVanne motoriseVanne motorise</v>
      </c>
      <c r="E3634" s="76" t="s">
        <v>3263</v>
      </c>
      <c r="F3634" s="76">
        <v>2</v>
      </c>
      <c r="G3634" s="71" t="s">
        <v>3264</v>
      </c>
      <c r="H3634" s="71" t="s">
        <v>2953</v>
      </c>
      <c r="I3634" s="71" t="s">
        <v>3265</v>
      </c>
      <c r="J3634" s="70">
        <f>IFERROR(VLOOKUP(Devis[[#This Row],[Ref Air Flux]],#REF!,3,FALSE),0)</f>
        <v>0</v>
      </c>
      <c r="K3634" s="68"/>
      <c r="L3634" s="68"/>
      <c r="M3634" s="68"/>
      <c r="N3634" s="68"/>
      <c r="O3634" s="68"/>
      <c r="P3634" s="68"/>
      <c r="Q3634" s="68">
        <f>SUM(Devis[[#This Row],[Poste 1]:[Poste 6]])</f>
        <v>0</v>
      </c>
      <c r="R3634" s="71"/>
      <c r="S3634" s="68">
        <f>_xlfn.CEILING.MATH(Devis[[#This Row],[Quantité Totale]],Devis[[#This Row],[Conditionnement]])</f>
        <v>0</v>
      </c>
      <c r="T3634" s="72"/>
      <c r="U3634" s="73"/>
      <c r="V3634" s="74">
        <f>Devis[[#This Row],[Prix de Revient]]*Devis[[#This Row],[Poste 1]]</f>
        <v>0</v>
      </c>
      <c r="W3634" s="74">
        <f>Devis[[#This Row],[Prix de Revient]]*Devis[[#This Row],[Poste 2]]</f>
        <v>0</v>
      </c>
      <c r="X3634" s="74">
        <f>Devis[[#This Row],[Prix de Revient]]*Devis[[#This Row],[Poste 3]]</f>
        <v>0</v>
      </c>
      <c r="Y3634" s="74">
        <f>Devis[[#This Row],[Poste 4]]*Devis[[#This Row],[Prix de Revient]]</f>
        <v>0</v>
      </c>
      <c r="Z3634" s="74">
        <f>Devis[[#This Row],[Poste 5]]*Devis[[#This Row],[Prix de Revient]]</f>
        <v>0</v>
      </c>
      <c r="AA3634" s="74">
        <f>Devis[[#This Row],[Prix de Revient]]*Devis[[#This Row],[Poste 6]]</f>
        <v>0</v>
      </c>
      <c r="AB3634" s="74">
        <f>Devis[[#This Row],[Quantité Totale]]*Devis[[#This Row],[Prix de Revient]]</f>
        <v>0</v>
      </c>
    </row>
    <row r="3635" spans="1:28" ht="14.25" customHeight="1" outlineLevel="1" x14ac:dyDescent="0.2">
      <c r="A3635" s="75" t="s">
        <v>3177</v>
      </c>
      <c r="B3635" s="76" t="s">
        <v>2950</v>
      </c>
      <c r="C3635" s="76" t="s">
        <v>2950</v>
      </c>
      <c r="D3635" s="81" t="str">
        <f t="shared" si="66"/>
        <v>VannesVanne motoriseVanne motorise</v>
      </c>
      <c r="E3635" s="76" t="s">
        <v>2951</v>
      </c>
      <c r="F3635" s="76">
        <v>3</v>
      </c>
      <c r="G3635" s="71" t="s">
        <v>2952</v>
      </c>
      <c r="H3635" s="71" t="s">
        <v>2953</v>
      </c>
      <c r="I3635" s="71" t="s">
        <v>2954</v>
      </c>
      <c r="J3635" s="70">
        <f>IFERROR(VLOOKUP(Devis[[#This Row],[Ref Air Flux]],#REF!,3,FALSE),0)</f>
        <v>0</v>
      </c>
      <c r="K3635" s="68"/>
      <c r="L3635" s="68"/>
      <c r="M3635" s="68"/>
      <c r="N3635" s="68"/>
      <c r="O3635" s="68"/>
      <c r="P3635" s="68"/>
      <c r="Q3635" s="68">
        <f>SUM(Devis[[#This Row],[Poste 1]:[Poste 6]])</f>
        <v>0</v>
      </c>
      <c r="R3635" s="71"/>
      <c r="S3635" s="68">
        <f>_xlfn.CEILING.MATH(Devis[[#This Row],[Quantité Totale]],Devis[[#This Row],[Conditionnement]])</f>
        <v>0</v>
      </c>
      <c r="T3635" s="72"/>
      <c r="U3635" s="73"/>
      <c r="V3635" s="74">
        <f>Devis[[#This Row],[Prix de Revient]]*Devis[[#This Row],[Poste 1]]</f>
        <v>0</v>
      </c>
      <c r="W3635" s="74">
        <f>Devis[[#This Row],[Prix de Revient]]*Devis[[#This Row],[Poste 2]]</f>
        <v>0</v>
      </c>
      <c r="X3635" s="74">
        <f>Devis[[#This Row],[Prix de Revient]]*Devis[[#This Row],[Poste 3]]</f>
        <v>0</v>
      </c>
      <c r="Y3635" s="74">
        <f>Devis[[#This Row],[Poste 4]]*Devis[[#This Row],[Prix de Revient]]</f>
        <v>0</v>
      </c>
      <c r="Z3635" s="74">
        <f>Devis[[#This Row],[Poste 5]]*Devis[[#This Row],[Prix de Revient]]</f>
        <v>0</v>
      </c>
      <c r="AA3635" s="74">
        <f>Devis[[#This Row],[Prix de Revient]]*Devis[[#This Row],[Poste 6]]</f>
        <v>0</v>
      </c>
      <c r="AB3635" s="74">
        <f>Devis[[#This Row],[Quantité Totale]]*Devis[[#This Row],[Prix de Revient]]</f>
        <v>0</v>
      </c>
    </row>
    <row r="3636" spans="1:28" ht="14.25" outlineLevel="1" x14ac:dyDescent="0.2">
      <c r="A3636" s="75" t="s">
        <v>3177</v>
      </c>
      <c r="B3636" s="76" t="s">
        <v>2950</v>
      </c>
      <c r="C3636" s="76" t="s">
        <v>2950</v>
      </c>
      <c r="D3636" s="81" t="str">
        <f t="shared" si="66"/>
        <v>VannesVanne motoriseVanne motorise</v>
      </c>
      <c r="E3636" s="76" t="s">
        <v>2955</v>
      </c>
      <c r="F3636" s="76">
        <v>4</v>
      </c>
      <c r="G3636" s="71" t="s">
        <v>2956</v>
      </c>
      <c r="H3636" s="71" t="s">
        <v>2953</v>
      </c>
      <c r="I3636" s="71" t="s">
        <v>2957</v>
      </c>
      <c r="J3636" s="70">
        <f>IFERROR(VLOOKUP(Devis[[#This Row],[Ref Air Flux]],#REF!,3,FALSE),0)</f>
        <v>0</v>
      </c>
      <c r="K3636" s="68"/>
      <c r="L3636" s="68"/>
      <c r="M3636" s="68"/>
      <c r="N3636" s="68"/>
      <c r="O3636" s="68"/>
      <c r="P3636" s="68"/>
      <c r="Q3636" s="68">
        <f>SUM(Devis[[#This Row],[Poste 1]:[Poste 6]])</f>
        <v>0</v>
      </c>
      <c r="R3636" s="71"/>
      <c r="S3636" s="68">
        <f>_xlfn.CEILING.MATH(Devis[[#This Row],[Quantité Totale]],Devis[[#This Row],[Conditionnement]])</f>
        <v>0</v>
      </c>
      <c r="T3636" s="72"/>
      <c r="U3636" s="73"/>
      <c r="V3636" s="74">
        <f>Devis[[#This Row],[Prix de Revient]]*Devis[[#This Row],[Poste 1]]</f>
        <v>0</v>
      </c>
      <c r="W3636" s="74">
        <f>Devis[[#This Row],[Prix de Revient]]*Devis[[#This Row],[Poste 2]]</f>
        <v>0</v>
      </c>
      <c r="X3636" s="74">
        <f>Devis[[#This Row],[Prix de Revient]]*Devis[[#This Row],[Poste 3]]</f>
        <v>0</v>
      </c>
      <c r="Y3636" s="74">
        <f>Devis[[#This Row],[Poste 4]]*Devis[[#This Row],[Prix de Revient]]</f>
        <v>0</v>
      </c>
      <c r="Z3636" s="74">
        <f>Devis[[#This Row],[Poste 5]]*Devis[[#This Row],[Prix de Revient]]</f>
        <v>0</v>
      </c>
      <c r="AA3636" s="74">
        <f>Devis[[#This Row],[Prix de Revient]]*Devis[[#This Row],[Poste 6]]</f>
        <v>0</v>
      </c>
      <c r="AB3636" s="74">
        <f>Devis[[#This Row],[Quantité Totale]]*Devis[[#This Row],[Prix de Revient]]</f>
        <v>0</v>
      </c>
    </row>
    <row r="3637" spans="1:28" ht="14.25" customHeight="1" x14ac:dyDescent="0.25">
      <c r="A3637" s="65" t="s">
        <v>3177</v>
      </c>
      <c r="B3637" s="65" t="s">
        <v>4008</v>
      </c>
      <c r="C3637" s="113" t="s">
        <v>4008</v>
      </c>
      <c r="D3637" s="81" t="str">
        <f t="shared" si="66"/>
        <v>VannesVanne PapillonVanne Papillon</v>
      </c>
      <c r="E3637" s="76"/>
      <c r="F3637" s="76">
        <v>0</v>
      </c>
      <c r="G3637" s="71"/>
      <c r="H3637" s="71"/>
      <c r="I3637" s="71"/>
      <c r="J3637" s="70">
        <f>IFERROR(VLOOKUP(Devis[[#This Row],[Ref Air Flux]],#REF!,3,FALSE),0)</f>
        <v>0</v>
      </c>
      <c r="K3637" s="68"/>
      <c r="L3637" s="68"/>
      <c r="M3637" s="68"/>
      <c r="N3637" s="68"/>
      <c r="O3637" s="68"/>
      <c r="P3637" s="68"/>
      <c r="Q3637" s="68">
        <f>SUM(Devis[[#This Row],[Poste 1]:[Poste 6]])</f>
        <v>0</v>
      </c>
      <c r="R3637" s="71"/>
      <c r="S3637" s="68">
        <f>_xlfn.CEILING.MATH(Devis[[#This Row],[Quantité Totale]],Devis[[#This Row],[Conditionnement]])</f>
        <v>0</v>
      </c>
      <c r="T3637" s="72"/>
      <c r="U3637" s="73"/>
      <c r="V3637" s="74">
        <f>Devis[[#This Row],[Prix de Revient]]*Devis[[#This Row],[Poste 1]]</f>
        <v>0</v>
      </c>
      <c r="W3637" s="74">
        <f>Devis[[#This Row],[Prix de Revient]]*Devis[[#This Row],[Poste 2]]</f>
        <v>0</v>
      </c>
      <c r="X3637" s="74">
        <f>Devis[[#This Row],[Prix de Revient]]*Devis[[#This Row],[Poste 3]]</f>
        <v>0</v>
      </c>
      <c r="Y3637" s="74">
        <f>Devis[[#This Row],[Poste 4]]*Devis[[#This Row],[Prix de Revient]]</f>
        <v>0</v>
      </c>
      <c r="Z3637" s="74">
        <f>Devis[[#This Row],[Poste 5]]*Devis[[#This Row],[Prix de Revient]]</f>
        <v>0</v>
      </c>
      <c r="AA3637" s="74">
        <f>Devis[[#This Row],[Prix de Revient]]*Devis[[#This Row],[Poste 6]]</f>
        <v>0</v>
      </c>
      <c r="AB3637" s="74">
        <f>Devis[[#This Row],[Quantité Totale]]*Devis[[#This Row],[Prix de Revient]]</f>
        <v>0</v>
      </c>
    </row>
    <row r="3638" spans="1:28" ht="14.25" outlineLevel="1" x14ac:dyDescent="0.2">
      <c r="A3638" s="75" t="s">
        <v>3177</v>
      </c>
      <c r="B3638" s="76" t="s">
        <v>4008</v>
      </c>
      <c r="C3638" s="76" t="s">
        <v>4019</v>
      </c>
      <c r="D3638" s="81" t="str">
        <f t="shared" si="66"/>
        <v>VannesVanne PapillonOreille Taraudée - Fonte - NBR "Air"</v>
      </c>
      <c r="E3638" s="76" t="s">
        <v>3217</v>
      </c>
      <c r="F3638" s="76">
        <v>1</v>
      </c>
      <c r="G3638" s="71" t="s">
        <v>3226</v>
      </c>
      <c r="H3638" s="71" t="s">
        <v>34</v>
      </c>
      <c r="I3638" s="71">
        <v>1162050</v>
      </c>
      <c r="J3638" s="70">
        <f>IFERROR(VLOOKUP(Devis[[#This Row],[Ref Air Flux]],#REF!,3,FALSE),0)</f>
        <v>0</v>
      </c>
      <c r="K3638" s="68"/>
      <c r="L3638" s="68"/>
      <c r="M3638" s="68"/>
      <c r="N3638" s="68"/>
      <c r="O3638" s="68"/>
      <c r="P3638" s="68"/>
      <c r="Q3638" s="68">
        <f>SUM(Devis[[#This Row],[Poste 1]:[Poste 6]])</f>
        <v>0</v>
      </c>
      <c r="R3638" s="71"/>
      <c r="S3638" s="68">
        <f>_xlfn.CEILING.MATH(Devis[[#This Row],[Quantité Totale]],Devis[[#This Row],[Conditionnement]])</f>
        <v>0</v>
      </c>
      <c r="T3638" s="72"/>
      <c r="U3638" s="75" t="s">
        <v>4020</v>
      </c>
      <c r="V3638" s="74">
        <f>Devis[[#This Row],[Prix de Revient]]*Devis[[#This Row],[Poste 1]]</f>
        <v>0</v>
      </c>
      <c r="W3638" s="74">
        <f>Devis[[#This Row],[Prix de Revient]]*Devis[[#This Row],[Poste 2]]</f>
        <v>0</v>
      </c>
      <c r="X3638" s="74">
        <f>Devis[[#This Row],[Prix de Revient]]*Devis[[#This Row],[Poste 3]]</f>
        <v>0</v>
      </c>
      <c r="Y3638" s="74">
        <f>Devis[[#This Row],[Poste 4]]*Devis[[#This Row],[Prix de Revient]]</f>
        <v>0</v>
      </c>
      <c r="Z3638" s="74">
        <f>Devis[[#This Row],[Poste 5]]*Devis[[#This Row],[Prix de Revient]]</f>
        <v>0</v>
      </c>
      <c r="AA3638" s="74">
        <f>Devis[[#This Row],[Prix de Revient]]*Devis[[#This Row],[Poste 6]]</f>
        <v>0</v>
      </c>
      <c r="AB3638" s="74">
        <f>Devis[[#This Row],[Quantité Totale]]*Devis[[#This Row],[Prix de Revient]]</f>
        <v>0</v>
      </c>
    </row>
    <row r="3639" spans="1:28" ht="14.25" outlineLevel="1" x14ac:dyDescent="0.2">
      <c r="A3639" s="75" t="s">
        <v>3177</v>
      </c>
      <c r="B3639" s="76" t="s">
        <v>4008</v>
      </c>
      <c r="C3639" s="76" t="s">
        <v>4019</v>
      </c>
      <c r="D3639" s="81" t="str">
        <f t="shared" si="66"/>
        <v>VannesVanne PapillonOreille Taraudée - Fonte - NBR "Air"</v>
      </c>
      <c r="E3639" s="76" t="s">
        <v>3218</v>
      </c>
      <c r="F3639" s="76">
        <v>2</v>
      </c>
      <c r="G3639" s="71" t="s">
        <v>3227</v>
      </c>
      <c r="H3639" s="71" t="s">
        <v>34</v>
      </c>
      <c r="I3639" s="71">
        <v>1162065</v>
      </c>
      <c r="J3639" s="70">
        <f>IFERROR(VLOOKUP(Devis[[#This Row],[Ref Air Flux]],#REF!,3,FALSE),0)</f>
        <v>0</v>
      </c>
      <c r="K3639" s="68"/>
      <c r="L3639" s="68"/>
      <c r="M3639" s="68"/>
      <c r="N3639" s="68"/>
      <c r="O3639" s="68"/>
      <c r="P3639" s="68"/>
      <c r="Q3639" s="68">
        <f>SUM(Devis[[#This Row],[Poste 1]:[Poste 6]])</f>
        <v>0</v>
      </c>
      <c r="R3639" s="71"/>
      <c r="S3639" s="68">
        <f>_xlfn.CEILING.MATH(Devis[[#This Row],[Quantité Totale]],Devis[[#This Row],[Conditionnement]])</f>
        <v>0</v>
      </c>
      <c r="T3639" s="72"/>
      <c r="U3639" s="73"/>
      <c r="V3639" s="74">
        <f>Devis[[#This Row],[Prix de Revient]]*Devis[[#This Row],[Poste 1]]</f>
        <v>0</v>
      </c>
      <c r="W3639" s="74">
        <f>Devis[[#This Row],[Prix de Revient]]*Devis[[#This Row],[Poste 2]]</f>
        <v>0</v>
      </c>
      <c r="X3639" s="74">
        <f>Devis[[#This Row],[Prix de Revient]]*Devis[[#This Row],[Poste 3]]</f>
        <v>0</v>
      </c>
      <c r="Y3639" s="74">
        <f>Devis[[#This Row],[Poste 4]]*Devis[[#This Row],[Prix de Revient]]</f>
        <v>0</v>
      </c>
      <c r="Z3639" s="74">
        <f>Devis[[#This Row],[Poste 5]]*Devis[[#This Row],[Prix de Revient]]</f>
        <v>0</v>
      </c>
      <c r="AA3639" s="74">
        <f>Devis[[#This Row],[Prix de Revient]]*Devis[[#This Row],[Poste 6]]</f>
        <v>0</v>
      </c>
      <c r="AB3639" s="74">
        <f>Devis[[#This Row],[Quantité Totale]]*Devis[[#This Row],[Prix de Revient]]</f>
        <v>0</v>
      </c>
    </row>
    <row r="3640" spans="1:28" ht="14.25" outlineLevel="1" x14ac:dyDescent="0.2">
      <c r="A3640" s="75" t="s">
        <v>3177</v>
      </c>
      <c r="B3640" s="76" t="s">
        <v>4008</v>
      </c>
      <c r="C3640" s="76" t="s">
        <v>4019</v>
      </c>
      <c r="D3640" s="81" t="str">
        <f t="shared" si="66"/>
        <v>VannesVanne PapillonOreille Taraudée - Fonte - NBR "Air"</v>
      </c>
      <c r="E3640" s="76" t="s">
        <v>3220</v>
      </c>
      <c r="F3640" s="76">
        <v>3</v>
      </c>
      <c r="G3640" s="71" t="s">
        <v>3228</v>
      </c>
      <c r="H3640" s="71" t="s">
        <v>34</v>
      </c>
      <c r="I3640" s="71">
        <v>1162080</v>
      </c>
      <c r="J3640" s="70">
        <f>IFERROR(VLOOKUP(Devis[[#This Row],[Ref Air Flux]],#REF!,3,FALSE),0)</f>
        <v>0</v>
      </c>
      <c r="K3640" s="68"/>
      <c r="L3640" s="68"/>
      <c r="M3640" s="68"/>
      <c r="N3640" s="68"/>
      <c r="O3640" s="68"/>
      <c r="P3640" s="68"/>
      <c r="Q3640" s="68">
        <f>SUM(Devis[[#This Row],[Poste 1]:[Poste 6]])</f>
        <v>0</v>
      </c>
      <c r="R3640" s="71"/>
      <c r="S3640" s="68">
        <f>_xlfn.CEILING.MATH(Devis[[#This Row],[Quantité Totale]],Devis[[#This Row],[Conditionnement]])</f>
        <v>0</v>
      </c>
      <c r="T3640" s="72"/>
      <c r="U3640" s="73"/>
      <c r="V3640" s="74">
        <f>Devis[[#This Row],[Prix de Revient]]*Devis[[#This Row],[Poste 1]]</f>
        <v>0</v>
      </c>
      <c r="W3640" s="74">
        <f>Devis[[#This Row],[Prix de Revient]]*Devis[[#This Row],[Poste 2]]</f>
        <v>0</v>
      </c>
      <c r="X3640" s="74">
        <f>Devis[[#This Row],[Prix de Revient]]*Devis[[#This Row],[Poste 3]]</f>
        <v>0</v>
      </c>
      <c r="Y3640" s="74">
        <f>Devis[[#This Row],[Poste 4]]*Devis[[#This Row],[Prix de Revient]]</f>
        <v>0</v>
      </c>
      <c r="Z3640" s="74">
        <f>Devis[[#This Row],[Poste 5]]*Devis[[#This Row],[Prix de Revient]]</f>
        <v>0</v>
      </c>
      <c r="AA3640" s="74">
        <f>Devis[[#This Row],[Prix de Revient]]*Devis[[#This Row],[Poste 6]]</f>
        <v>0</v>
      </c>
      <c r="AB3640" s="74">
        <f>Devis[[#This Row],[Quantité Totale]]*Devis[[#This Row],[Prix de Revient]]</f>
        <v>0</v>
      </c>
    </row>
    <row r="3641" spans="1:28" ht="14.25" outlineLevel="1" x14ac:dyDescent="0.2">
      <c r="A3641" s="75" t="s">
        <v>3177</v>
      </c>
      <c r="B3641" s="76" t="s">
        <v>4008</v>
      </c>
      <c r="C3641" s="76" t="s">
        <v>4019</v>
      </c>
      <c r="D3641" s="81" t="str">
        <f t="shared" si="66"/>
        <v>VannesVanne PapillonOreille Taraudée - Fonte - NBR "Air"</v>
      </c>
      <c r="E3641" s="76" t="s">
        <v>3221</v>
      </c>
      <c r="F3641" s="76">
        <v>4</v>
      </c>
      <c r="G3641" s="71" t="s">
        <v>3229</v>
      </c>
      <c r="H3641" s="71" t="s">
        <v>34</v>
      </c>
      <c r="I3641" s="71">
        <v>1162100</v>
      </c>
      <c r="J3641" s="70">
        <f>IFERROR(VLOOKUP(Devis[[#This Row],[Ref Air Flux]],#REF!,3,FALSE),0)</f>
        <v>0</v>
      </c>
      <c r="K3641" s="68"/>
      <c r="L3641" s="68"/>
      <c r="M3641" s="68"/>
      <c r="N3641" s="68"/>
      <c r="O3641" s="68"/>
      <c r="P3641" s="68"/>
      <c r="Q3641" s="68">
        <f>SUM(Devis[[#This Row],[Poste 1]:[Poste 6]])</f>
        <v>0</v>
      </c>
      <c r="R3641" s="71"/>
      <c r="S3641" s="68">
        <f>_xlfn.CEILING.MATH(Devis[[#This Row],[Quantité Totale]],Devis[[#This Row],[Conditionnement]])</f>
        <v>0</v>
      </c>
      <c r="T3641" s="72"/>
      <c r="U3641" s="73"/>
      <c r="V3641" s="74">
        <f>Devis[[#This Row],[Prix de Revient]]*Devis[[#This Row],[Poste 1]]</f>
        <v>0</v>
      </c>
      <c r="W3641" s="74">
        <f>Devis[[#This Row],[Prix de Revient]]*Devis[[#This Row],[Poste 2]]</f>
        <v>0</v>
      </c>
      <c r="X3641" s="74">
        <f>Devis[[#This Row],[Prix de Revient]]*Devis[[#This Row],[Poste 3]]</f>
        <v>0</v>
      </c>
      <c r="Y3641" s="74">
        <f>Devis[[#This Row],[Poste 4]]*Devis[[#This Row],[Prix de Revient]]</f>
        <v>0</v>
      </c>
      <c r="Z3641" s="74">
        <f>Devis[[#This Row],[Poste 5]]*Devis[[#This Row],[Prix de Revient]]</f>
        <v>0</v>
      </c>
      <c r="AA3641" s="74">
        <f>Devis[[#This Row],[Prix de Revient]]*Devis[[#This Row],[Poste 6]]</f>
        <v>0</v>
      </c>
      <c r="AB3641" s="74">
        <f>Devis[[#This Row],[Quantité Totale]]*Devis[[#This Row],[Prix de Revient]]</f>
        <v>0</v>
      </c>
    </row>
    <row r="3642" spans="1:28" ht="15" customHeight="1" outlineLevel="1" x14ac:dyDescent="0.2">
      <c r="A3642" s="75" t="s">
        <v>3177</v>
      </c>
      <c r="B3642" s="76" t="s">
        <v>4008</v>
      </c>
      <c r="C3642" s="76" t="s">
        <v>4019</v>
      </c>
      <c r="D3642" s="81" t="str">
        <f t="shared" si="66"/>
        <v>VannesVanne PapillonOreille Taraudée - Fonte - NBR "Air"</v>
      </c>
      <c r="E3642" s="76" t="s">
        <v>3222</v>
      </c>
      <c r="F3642" s="76">
        <v>5</v>
      </c>
      <c r="G3642" s="71" t="s">
        <v>3230</v>
      </c>
      <c r="H3642" s="71" t="s">
        <v>34</v>
      </c>
      <c r="I3642" s="71">
        <v>1162125</v>
      </c>
      <c r="J3642" s="70">
        <f>IFERROR(VLOOKUP(Devis[[#This Row],[Ref Air Flux]],#REF!,3,FALSE),0)</f>
        <v>0</v>
      </c>
      <c r="K3642" s="68"/>
      <c r="L3642" s="68"/>
      <c r="M3642" s="68"/>
      <c r="N3642" s="68"/>
      <c r="O3642" s="68"/>
      <c r="P3642" s="68"/>
      <c r="Q3642" s="68">
        <f>SUM(Devis[[#This Row],[Poste 1]:[Poste 6]])</f>
        <v>0</v>
      </c>
      <c r="R3642" s="71"/>
      <c r="S3642" s="68">
        <f>_xlfn.CEILING.MATH(Devis[[#This Row],[Quantité Totale]],Devis[[#This Row],[Conditionnement]])</f>
        <v>0</v>
      </c>
      <c r="T3642" s="72"/>
      <c r="U3642" s="73"/>
      <c r="V3642" s="74">
        <f>Devis[[#This Row],[Prix de Revient]]*Devis[[#This Row],[Poste 1]]</f>
        <v>0</v>
      </c>
      <c r="W3642" s="74">
        <f>Devis[[#This Row],[Prix de Revient]]*Devis[[#This Row],[Poste 2]]</f>
        <v>0</v>
      </c>
      <c r="X3642" s="74">
        <f>Devis[[#This Row],[Prix de Revient]]*Devis[[#This Row],[Poste 3]]</f>
        <v>0</v>
      </c>
      <c r="Y3642" s="74">
        <f>Devis[[#This Row],[Poste 4]]*Devis[[#This Row],[Prix de Revient]]</f>
        <v>0</v>
      </c>
      <c r="Z3642" s="74">
        <f>Devis[[#This Row],[Poste 5]]*Devis[[#This Row],[Prix de Revient]]</f>
        <v>0</v>
      </c>
      <c r="AA3642" s="74">
        <f>Devis[[#This Row],[Prix de Revient]]*Devis[[#This Row],[Poste 6]]</f>
        <v>0</v>
      </c>
      <c r="AB3642" s="74">
        <f>Devis[[#This Row],[Quantité Totale]]*Devis[[#This Row],[Prix de Revient]]</f>
        <v>0</v>
      </c>
    </row>
    <row r="3643" spans="1:28" ht="14.25" outlineLevel="1" x14ac:dyDescent="0.2">
      <c r="A3643" s="75" t="s">
        <v>3177</v>
      </c>
      <c r="B3643" s="76" t="s">
        <v>4008</v>
      </c>
      <c r="C3643" s="76" t="s">
        <v>4019</v>
      </c>
      <c r="D3643" s="81" t="str">
        <f t="shared" si="66"/>
        <v>VannesVanne PapillonOreille Taraudée - Fonte - NBR "Air"</v>
      </c>
      <c r="E3643" s="76" t="s">
        <v>3223</v>
      </c>
      <c r="F3643" s="76">
        <v>6</v>
      </c>
      <c r="G3643" s="71" t="s">
        <v>3231</v>
      </c>
      <c r="H3643" s="71" t="s">
        <v>34</v>
      </c>
      <c r="I3643" s="71">
        <v>1162150</v>
      </c>
      <c r="J3643" s="70">
        <f>IFERROR(VLOOKUP(Devis[[#This Row],[Ref Air Flux]],#REF!,3,FALSE),0)</f>
        <v>0</v>
      </c>
      <c r="K3643" s="68"/>
      <c r="L3643" s="68"/>
      <c r="M3643" s="68"/>
      <c r="N3643" s="68"/>
      <c r="O3643" s="68"/>
      <c r="P3643" s="68"/>
      <c r="Q3643" s="68">
        <f>SUM(Devis[[#This Row],[Poste 1]:[Poste 6]])</f>
        <v>0</v>
      </c>
      <c r="R3643" s="71"/>
      <c r="S3643" s="68">
        <f>_xlfn.CEILING.MATH(Devis[[#This Row],[Quantité Totale]],Devis[[#This Row],[Conditionnement]])</f>
        <v>0</v>
      </c>
      <c r="T3643" s="72"/>
      <c r="U3643" s="73"/>
      <c r="V3643" s="74">
        <f>Devis[[#This Row],[Prix de Revient]]*Devis[[#This Row],[Poste 1]]</f>
        <v>0</v>
      </c>
      <c r="W3643" s="74">
        <f>Devis[[#This Row],[Prix de Revient]]*Devis[[#This Row],[Poste 2]]</f>
        <v>0</v>
      </c>
      <c r="X3643" s="74">
        <f>Devis[[#This Row],[Prix de Revient]]*Devis[[#This Row],[Poste 3]]</f>
        <v>0</v>
      </c>
      <c r="Y3643" s="74">
        <f>Devis[[#This Row],[Poste 4]]*Devis[[#This Row],[Prix de Revient]]</f>
        <v>0</v>
      </c>
      <c r="Z3643" s="74">
        <f>Devis[[#This Row],[Poste 5]]*Devis[[#This Row],[Prix de Revient]]</f>
        <v>0</v>
      </c>
      <c r="AA3643" s="74">
        <f>Devis[[#This Row],[Prix de Revient]]*Devis[[#This Row],[Poste 6]]</f>
        <v>0</v>
      </c>
      <c r="AB3643" s="74">
        <f>Devis[[#This Row],[Quantité Totale]]*Devis[[#This Row],[Prix de Revient]]</f>
        <v>0</v>
      </c>
    </row>
    <row r="3644" spans="1:28" ht="14.25" outlineLevel="1" x14ac:dyDescent="0.2">
      <c r="A3644" s="75" t="s">
        <v>3177</v>
      </c>
      <c r="B3644" s="76" t="s">
        <v>4008</v>
      </c>
      <c r="C3644" s="76" t="s">
        <v>4019</v>
      </c>
      <c r="D3644" s="81" t="str">
        <f t="shared" si="66"/>
        <v>VannesVanne PapillonOreille Taraudée - Fonte - NBR "Air"</v>
      </c>
      <c r="E3644" s="76" t="s">
        <v>3224</v>
      </c>
      <c r="F3644" s="76">
        <v>7</v>
      </c>
      <c r="G3644" s="71" t="s">
        <v>3232</v>
      </c>
      <c r="H3644" s="71" t="s">
        <v>34</v>
      </c>
      <c r="I3644" s="71">
        <v>1162200</v>
      </c>
      <c r="J3644" s="70">
        <f>IFERROR(VLOOKUP(Devis[[#This Row],[Ref Air Flux]],#REF!,3,FALSE),0)</f>
        <v>0</v>
      </c>
      <c r="K3644" s="68"/>
      <c r="L3644" s="68"/>
      <c r="M3644" s="68"/>
      <c r="N3644" s="68"/>
      <c r="O3644" s="68"/>
      <c r="P3644" s="68"/>
      <c r="Q3644" s="68">
        <f>SUM(Devis[[#This Row],[Poste 1]:[Poste 6]])</f>
        <v>0</v>
      </c>
      <c r="R3644" s="71"/>
      <c r="S3644" s="68">
        <f>_xlfn.CEILING.MATH(Devis[[#This Row],[Quantité Totale]],Devis[[#This Row],[Conditionnement]])</f>
        <v>0</v>
      </c>
      <c r="T3644" s="72"/>
      <c r="U3644" s="73"/>
      <c r="V3644" s="74">
        <f>Devis[[#This Row],[Prix de Revient]]*Devis[[#This Row],[Poste 1]]</f>
        <v>0</v>
      </c>
      <c r="W3644" s="74">
        <f>Devis[[#This Row],[Prix de Revient]]*Devis[[#This Row],[Poste 2]]</f>
        <v>0</v>
      </c>
      <c r="X3644" s="74">
        <f>Devis[[#This Row],[Prix de Revient]]*Devis[[#This Row],[Poste 3]]</f>
        <v>0</v>
      </c>
      <c r="Y3644" s="74">
        <f>Devis[[#This Row],[Poste 4]]*Devis[[#This Row],[Prix de Revient]]</f>
        <v>0</v>
      </c>
      <c r="Z3644" s="74">
        <f>Devis[[#This Row],[Poste 5]]*Devis[[#This Row],[Prix de Revient]]</f>
        <v>0</v>
      </c>
      <c r="AA3644" s="74">
        <f>Devis[[#This Row],[Prix de Revient]]*Devis[[#This Row],[Poste 6]]</f>
        <v>0</v>
      </c>
      <c r="AB3644" s="74">
        <f>Devis[[#This Row],[Quantité Totale]]*Devis[[#This Row],[Prix de Revient]]</f>
        <v>0</v>
      </c>
    </row>
    <row r="3645" spans="1:28" ht="14.25" outlineLevel="1" x14ac:dyDescent="0.2">
      <c r="A3645" s="75" t="s">
        <v>3177</v>
      </c>
      <c r="B3645" s="76" t="s">
        <v>4008</v>
      </c>
      <c r="C3645" s="76" t="s">
        <v>4019</v>
      </c>
      <c r="D3645" s="81" t="str">
        <f t="shared" si="66"/>
        <v>VannesVanne PapillonOreille Taraudée - Fonte - NBR "Air"</v>
      </c>
      <c r="E3645" s="76" t="s">
        <v>3225</v>
      </c>
      <c r="F3645" s="76">
        <v>8</v>
      </c>
      <c r="G3645" s="71" t="s">
        <v>4021</v>
      </c>
      <c r="H3645" s="71" t="s">
        <v>34</v>
      </c>
      <c r="I3645" s="71">
        <v>1162201</v>
      </c>
      <c r="J3645" s="70">
        <f>IFERROR(VLOOKUP(Devis[[#This Row],[Ref Air Flux]],#REF!,3,FALSE),0)</f>
        <v>0</v>
      </c>
      <c r="K3645" s="68"/>
      <c r="L3645" s="68"/>
      <c r="M3645" s="68"/>
      <c r="N3645" s="68"/>
      <c r="O3645" s="68"/>
      <c r="P3645" s="68"/>
      <c r="Q3645" s="68">
        <f>SUM(Devis[[#This Row],[Poste 1]:[Poste 6]])</f>
        <v>0</v>
      </c>
      <c r="R3645" s="71"/>
      <c r="S3645" s="68">
        <f>_xlfn.CEILING.MATH(Devis[[#This Row],[Quantité Totale]],Devis[[#This Row],[Conditionnement]])</f>
        <v>0</v>
      </c>
      <c r="T3645" s="72"/>
      <c r="U3645" s="73"/>
      <c r="V3645" s="74">
        <f>Devis[[#This Row],[Prix de Revient]]*Devis[[#This Row],[Poste 1]]</f>
        <v>0</v>
      </c>
      <c r="W3645" s="74">
        <f>Devis[[#This Row],[Prix de Revient]]*Devis[[#This Row],[Poste 2]]</f>
        <v>0</v>
      </c>
      <c r="X3645" s="74">
        <f>Devis[[#This Row],[Prix de Revient]]*Devis[[#This Row],[Poste 3]]</f>
        <v>0</v>
      </c>
      <c r="Y3645" s="74">
        <f>Devis[[#This Row],[Poste 4]]*Devis[[#This Row],[Prix de Revient]]</f>
        <v>0</v>
      </c>
      <c r="Z3645" s="74">
        <f>Devis[[#This Row],[Poste 5]]*Devis[[#This Row],[Prix de Revient]]</f>
        <v>0</v>
      </c>
      <c r="AA3645" s="74">
        <f>Devis[[#This Row],[Prix de Revient]]*Devis[[#This Row],[Poste 6]]</f>
        <v>0</v>
      </c>
      <c r="AB3645" s="74">
        <f>Devis[[#This Row],[Quantité Totale]]*Devis[[#This Row],[Prix de Revient]]</f>
        <v>0</v>
      </c>
    </row>
    <row r="3646" spans="1:28" ht="14.25" outlineLevel="1" x14ac:dyDescent="0.2">
      <c r="A3646" s="75" t="s">
        <v>3177</v>
      </c>
      <c r="B3646" s="76" t="s">
        <v>4008</v>
      </c>
      <c r="C3646" s="76"/>
      <c r="D3646" s="81" t="str">
        <f t="shared" si="66"/>
        <v>VannesVanne Papillon</v>
      </c>
      <c r="E3646" s="76"/>
      <c r="F3646" s="76">
        <v>9</v>
      </c>
      <c r="G3646" s="71"/>
      <c r="H3646" s="71"/>
      <c r="I3646" s="71"/>
      <c r="J3646" s="70">
        <f>IFERROR(VLOOKUP(Devis[[#This Row],[Ref Air Flux]],#REF!,3,FALSE),0)</f>
        <v>0</v>
      </c>
      <c r="K3646" s="68"/>
      <c r="L3646" s="68"/>
      <c r="M3646" s="68"/>
      <c r="N3646" s="68"/>
      <c r="O3646" s="68"/>
      <c r="P3646" s="68"/>
      <c r="Q3646" s="68">
        <f>SUM(Devis[[#This Row],[Poste 1]:[Poste 6]])</f>
        <v>0</v>
      </c>
      <c r="R3646" s="71"/>
      <c r="S3646" s="68">
        <f>_xlfn.CEILING.MATH(Devis[[#This Row],[Quantité Totale]],Devis[[#This Row],[Conditionnement]])</f>
        <v>0</v>
      </c>
      <c r="T3646" s="72"/>
      <c r="U3646" s="73"/>
      <c r="V3646" s="74">
        <f>Devis[[#This Row],[Prix de Revient]]*Devis[[#This Row],[Poste 1]]</f>
        <v>0</v>
      </c>
      <c r="W3646" s="74">
        <f>Devis[[#This Row],[Prix de Revient]]*Devis[[#This Row],[Poste 2]]</f>
        <v>0</v>
      </c>
      <c r="X3646" s="74">
        <f>Devis[[#This Row],[Prix de Revient]]*Devis[[#This Row],[Poste 3]]</f>
        <v>0</v>
      </c>
      <c r="Y3646" s="74">
        <f>Devis[[#This Row],[Poste 4]]*Devis[[#This Row],[Prix de Revient]]</f>
        <v>0</v>
      </c>
      <c r="Z3646" s="74">
        <f>Devis[[#This Row],[Poste 5]]*Devis[[#This Row],[Prix de Revient]]</f>
        <v>0</v>
      </c>
      <c r="AA3646" s="74">
        <f>Devis[[#This Row],[Prix de Revient]]*Devis[[#This Row],[Poste 6]]</f>
        <v>0</v>
      </c>
      <c r="AB3646" s="74">
        <f>Devis[[#This Row],[Quantité Totale]]*Devis[[#This Row],[Prix de Revient]]</f>
        <v>0</v>
      </c>
    </row>
    <row r="3647" spans="1:28" ht="14.25" outlineLevel="1" x14ac:dyDescent="0.2">
      <c r="A3647" s="75" t="s">
        <v>3177</v>
      </c>
      <c r="B3647" s="76" t="s">
        <v>4008</v>
      </c>
      <c r="C3647" s="76" t="s">
        <v>4023</v>
      </c>
      <c r="D3647" s="81" t="str">
        <f t="shared" si="66"/>
        <v>VannesVanne PapillonOreille de centrage - NBR "Air"</v>
      </c>
      <c r="E3647" s="76" t="s">
        <v>625</v>
      </c>
      <c r="F3647" s="76">
        <v>10</v>
      </c>
      <c r="G3647" s="71" t="s">
        <v>4030</v>
      </c>
      <c r="H3647" s="71" t="s">
        <v>34</v>
      </c>
      <c r="I3647" s="71">
        <v>1152065</v>
      </c>
      <c r="J3647" s="70">
        <f>IFERROR(VLOOKUP(Devis[[#This Row],[Ref Air Flux]],#REF!,3,FALSE),0)</f>
        <v>0</v>
      </c>
      <c r="K3647" s="68"/>
      <c r="L3647" s="68"/>
      <c r="M3647" s="68"/>
      <c r="N3647" s="68"/>
      <c r="O3647" s="68"/>
      <c r="P3647" s="68"/>
      <c r="Q3647" s="68">
        <f>SUM(Devis[[#This Row],[Poste 1]:[Poste 6]])</f>
        <v>0</v>
      </c>
      <c r="R3647" s="94"/>
      <c r="S3647" s="68">
        <f>_xlfn.CEILING.MATH(Devis[[#This Row],[Quantité Totale]],Devis[[#This Row],[Conditionnement]])</f>
        <v>0</v>
      </c>
      <c r="T3647" s="72"/>
      <c r="U3647" s="73"/>
      <c r="V3647" s="74">
        <f>Devis[[#This Row],[Prix de Revient]]*Devis[[#This Row],[Poste 1]]</f>
        <v>0</v>
      </c>
      <c r="W3647" s="74">
        <f>Devis[[#This Row],[Prix de Revient]]*Devis[[#This Row],[Poste 2]]</f>
        <v>0</v>
      </c>
      <c r="X3647" s="74">
        <f>Devis[[#This Row],[Prix de Revient]]*Devis[[#This Row],[Poste 3]]</f>
        <v>0</v>
      </c>
      <c r="Y3647" s="74">
        <f>Devis[[#This Row],[Poste 4]]*Devis[[#This Row],[Prix de Revient]]</f>
        <v>0</v>
      </c>
      <c r="Z3647" s="74">
        <f>Devis[[#This Row],[Poste 5]]*Devis[[#This Row],[Prix de Revient]]</f>
        <v>0</v>
      </c>
      <c r="AA3647" s="74">
        <f>Devis[[#This Row],[Prix de Revient]]*Devis[[#This Row],[Poste 6]]</f>
        <v>0</v>
      </c>
      <c r="AB3647" s="74">
        <f>Devis[[#This Row],[Quantité Totale]]*Devis[[#This Row],[Prix de Revient]]</f>
        <v>0</v>
      </c>
    </row>
    <row r="3648" spans="1:28" ht="14.25" outlineLevel="1" x14ac:dyDescent="0.2">
      <c r="A3648" s="75" t="s">
        <v>3177</v>
      </c>
      <c r="B3648" s="76" t="s">
        <v>4008</v>
      </c>
      <c r="C3648" s="76" t="s">
        <v>4023</v>
      </c>
      <c r="D3648" s="81" t="str">
        <f t="shared" si="66"/>
        <v>VannesVanne PapillonOreille de centrage - NBR "Air"</v>
      </c>
      <c r="E3648" s="76" t="s">
        <v>627</v>
      </c>
      <c r="F3648" s="76">
        <v>11</v>
      </c>
      <c r="G3648" s="71" t="s">
        <v>4033</v>
      </c>
      <c r="H3648" s="71" t="s">
        <v>34</v>
      </c>
      <c r="I3648" s="71">
        <v>1152080</v>
      </c>
      <c r="J3648" s="70">
        <f>IFERROR(VLOOKUP(Devis[[#This Row],[Ref Air Flux]],#REF!,3,FALSE),0)</f>
        <v>0</v>
      </c>
      <c r="K3648" s="68"/>
      <c r="L3648" s="68"/>
      <c r="M3648" s="68"/>
      <c r="N3648" s="68"/>
      <c r="O3648" s="68"/>
      <c r="P3648" s="68"/>
      <c r="Q3648" s="68">
        <f>SUM(Devis[[#This Row],[Poste 1]:[Poste 6]])</f>
        <v>0</v>
      </c>
      <c r="R3648" s="94"/>
      <c r="S3648" s="68">
        <f>_xlfn.CEILING.MATH(Devis[[#This Row],[Quantité Totale]],Devis[[#This Row],[Conditionnement]])</f>
        <v>0</v>
      </c>
      <c r="T3648" s="72"/>
      <c r="U3648" s="73"/>
      <c r="V3648" s="74">
        <f>Devis[[#This Row],[Prix de Revient]]*Devis[[#This Row],[Poste 1]]</f>
        <v>0</v>
      </c>
      <c r="W3648" s="74">
        <f>Devis[[#This Row],[Prix de Revient]]*Devis[[#This Row],[Poste 2]]</f>
        <v>0</v>
      </c>
      <c r="X3648" s="74">
        <f>Devis[[#This Row],[Prix de Revient]]*Devis[[#This Row],[Poste 3]]</f>
        <v>0</v>
      </c>
      <c r="Y3648" s="74">
        <f>Devis[[#This Row],[Poste 4]]*Devis[[#This Row],[Prix de Revient]]</f>
        <v>0</v>
      </c>
      <c r="Z3648" s="74">
        <f>Devis[[#This Row],[Poste 5]]*Devis[[#This Row],[Prix de Revient]]</f>
        <v>0</v>
      </c>
      <c r="AA3648" s="74">
        <f>Devis[[#This Row],[Prix de Revient]]*Devis[[#This Row],[Poste 6]]</f>
        <v>0</v>
      </c>
      <c r="AB3648" s="74">
        <f>Devis[[#This Row],[Quantité Totale]]*Devis[[#This Row],[Prix de Revient]]</f>
        <v>0</v>
      </c>
    </row>
    <row r="3649" spans="1:28" ht="14.25" customHeight="1" outlineLevel="1" x14ac:dyDescent="0.2">
      <c r="A3649" s="75" t="s">
        <v>3177</v>
      </c>
      <c r="B3649" s="76" t="s">
        <v>4008</v>
      </c>
      <c r="C3649" s="76" t="s">
        <v>4023</v>
      </c>
      <c r="D3649" s="81" t="str">
        <f t="shared" si="66"/>
        <v>VannesVanne PapillonOreille de centrage - NBR "Air"</v>
      </c>
      <c r="E3649" s="76" t="s">
        <v>629</v>
      </c>
      <c r="F3649" s="76">
        <v>12</v>
      </c>
      <c r="G3649" s="71" t="s">
        <v>4024</v>
      </c>
      <c r="H3649" s="71"/>
      <c r="I3649" s="71" t="s">
        <v>4025</v>
      </c>
      <c r="J3649" s="70">
        <f>IFERROR(VLOOKUP(Devis[[#This Row],[Ref Air Flux]],#REF!,3,FALSE),0)</f>
        <v>0</v>
      </c>
      <c r="K3649" s="68"/>
      <c r="L3649" s="68"/>
      <c r="M3649" s="68"/>
      <c r="N3649" s="68"/>
      <c r="O3649" s="68"/>
      <c r="P3649" s="68"/>
      <c r="Q3649" s="68">
        <f>SUM(Devis[[#This Row],[Poste 1]:[Poste 6]])</f>
        <v>0</v>
      </c>
      <c r="R3649" s="94"/>
      <c r="S3649" s="68">
        <f>_xlfn.CEILING.MATH(Devis[[#This Row],[Quantité Totale]],Devis[[#This Row],[Conditionnement]])</f>
        <v>0</v>
      </c>
      <c r="T3649" s="72"/>
      <c r="U3649" s="73"/>
      <c r="V3649" s="74">
        <f>Devis[[#This Row],[Prix de Revient]]*Devis[[#This Row],[Poste 1]]</f>
        <v>0</v>
      </c>
      <c r="W3649" s="74">
        <f>Devis[[#This Row],[Prix de Revient]]*Devis[[#This Row],[Poste 2]]</f>
        <v>0</v>
      </c>
      <c r="X3649" s="74">
        <f>Devis[[#This Row],[Prix de Revient]]*Devis[[#This Row],[Poste 3]]</f>
        <v>0</v>
      </c>
      <c r="Y3649" s="74">
        <f>Devis[[#This Row],[Poste 4]]*Devis[[#This Row],[Prix de Revient]]</f>
        <v>0</v>
      </c>
      <c r="Z3649" s="74">
        <f>Devis[[#This Row],[Poste 5]]*Devis[[#This Row],[Prix de Revient]]</f>
        <v>0</v>
      </c>
      <c r="AA3649" s="74">
        <f>Devis[[#This Row],[Prix de Revient]]*Devis[[#This Row],[Poste 6]]</f>
        <v>0</v>
      </c>
      <c r="AB3649" s="74">
        <f>Devis[[#This Row],[Quantité Totale]]*Devis[[#This Row],[Prix de Revient]]</f>
        <v>0</v>
      </c>
    </row>
    <row r="3650" spans="1:28" ht="15" customHeight="1" outlineLevel="1" x14ac:dyDescent="0.2">
      <c r="A3650" s="75" t="s">
        <v>3177</v>
      </c>
      <c r="B3650" s="76" t="s">
        <v>4008</v>
      </c>
      <c r="C3650" s="76" t="s">
        <v>4023</v>
      </c>
      <c r="D3650" s="81" t="str">
        <f t="shared" si="66"/>
        <v>VannesVanne PapillonOreille de centrage - NBR "Air"</v>
      </c>
      <c r="E3650" s="76" t="s">
        <v>630</v>
      </c>
      <c r="F3650" s="76">
        <v>13</v>
      </c>
      <c r="G3650" s="71" t="s">
        <v>4026</v>
      </c>
      <c r="H3650" s="71"/>
      <c r="I3650" s="71" t="s">
        <v>4027</v>
      </c>
      <c r="J3650" s="70">
        <f>IFERROR(VLOOKUP(Devis[[#This Row],[Ref Air Flux]],#REF!,3,FALSE),0)</f>
        <v>0</v>
      </c>
      <c r="K3650" s="68"/>
      <c r="L3650" s="68"/>
      <c r="M3650" s="68"/>
      <c r="N3650" s="68"/>
      <c r="O3650" s="68"/>
      <c r="P3650" s="68"/>
      <c r="Q3650" s="68">
        <f>SUM(Devis[[#This Row],[Poste 1]:[Poste 6]])</f>
        <v>0</v>
      </c>
      <c r="R3650" s="94"/>
      <c r="S3650" s="68">
        <f>_xlfn.CEILING.MATH(Devis[[#This Row],[Quantité Totale]],Devis[[#This Row],[Conditionnement]])</f>
        <v>0</v>
      </c>
      <c r="T3650" s="72"/>
      <c r="U3650" s="73"/>
      <c r="V3650" s="74">
        <f>Devis[[#This Row],[Prix de Revient]]*Devis[[#This Row],[Poste 1]]</f>
        <v>0</v>
      </c>
      <c r="W3650" s="74">
        <f>Devis[[#This Row],[Prix de Revient]]*Devis[[#This Row],[Poste 2]]</f>
        <v>0</v>
      </c>
      <c r="X3650" s="74">
        <f>Devis[[#This Row],[Prix de Revient]]*Devis[[#This Row],[Poste 3]]</f>
        <v>0</v>
      </c>
      <c r="Y3650" s="74">
        <f>Devis[[#This Row],[Poste 4]]*Devis[[#This Row],[Prix de Revient]]</f>
        <v>0</v>
      </c>
      <c r="Z3650" s="74">
        <f>Devis[[#This Row],[Poste 5]]*Devis[[#This Row],[Prix de Revient]]</f>
        <v>0</v>
      </c>
      <c r="AA3650" s="74">
        <f>Devis[[#This Row],[Prix de Revient]]*Devis[[#This Row],[Poste 6]]</f>
        <v>0</v>
      </c>
      <c r="AB3650" s="74">
        <f>Devis[[#This Row],[Quantité Totale]]*Devis[[#This Row],[Prix de Revient]]</f>
        <v>0</v>
      </c>
    </row>
    <row r="3651" spans="1:28" ht="14.25" outlineLevel="1" x14ac:dyDescent="0.2">
      <c r="A3651" s="75" t="s">
        <v>3177</v>
      </c>
      <c r="B3651" s="76" t="s">
        <v>4008</v>
      </c>
      <c r="C3651" s="76" t="s">
        <v>4023</v>
      </c>
      <c r="D3651" s="81" t="str">
        <f t="shared" si="66"/>
        <v>VannesVanne PapillonOreille de centrage - NBR "Air"</v>
      </c>
      <c r="E3651" s="76" t="s">
        <v>631</v>
      </c>
      <c r="F3651" s="76">
        <v>14</v>
      </c>
      <c r="G3651" s="71" t="s">
        <v>4028</v>
      </c>
      <c r="H3651" s="71"/>
      <c r="I3651" s="71" t="s">
        <v>4029</v>
      </c>
      <c r="J3651" s="70">
        <f>IFERROR(VLOOKUP(Devis[[#This Row],[Ref Air Flux]],#REF!,3,FALSE),0)</f>
        <v>0</v>
      </c>
      <c r="K3651" s="68"/>
      <c r="L3651" s="68"/>
      <c r="M3651" s="68"/>
      <c r="N3651" s="68"/>
      <c r="O3651" s="68"/>
      <c r="P3651" s="68"/>
      <c r="Q3651" s="68">
        <f>SUM(Devis[[#This Row],[Poste 1]:[Poste 6]])</f>
        <v>0</v>
      </c>
      <c r="R3651" s="94"/>
      <c r="S3651" s="68">
        <f>_xlfn.CEILING.MATH(Devis[[#This Row],[Quantité Totale]],Devis[[#This Row],[Conditionnement]])</f>
        <v>0</v>
      </c>
      <c r="T3651" s="72"/>
      <c r="U3651" s="73"/>
      <c r="V3651" s="74">
        <f>Devis[[#This Row],[Prix de Revient]]*Devis[[#This Row],[Poste 1]]</f>
        <v>0</v>
      </c>
      <c r="W3651" s="74">
        <f>Devis[[#This Row],[Prix de Revient]]*Devis[[#This Row],[Poste 2]]</f>
        <v>0</v>
      </c>
      <c r="X3651" s="74">
        <f>Devis[[#This Row],[Prix de Revient]]*Devis[[#This Row],[Poste 3]]</f>
        <v>0</v>
      </c>
      <c r="Y3651" s="74">
        <f>Devis[[#This Row],[Poste 4]]*Devis[[#This Row],[Prix de Revient]]</f>
        <v>0</v>
      </c>
      <c r="Z3651" s="74">
        <f>Devis[[#This Row],[Poste 5]]*Devis[[#This Row],[Prix de Revient]]</f>
        <v>0</v>
      </c>
      <c r="AA3651" s="74">
        <f>Devis[[#This Row],[Prix de Revient]]*Devis[[#This Row],[Poste 6]]</f>
        <v>0</v>
      </c>
      <c r="AB3651" s="74">
        <f>Devis[[#This Row],[Quantité Totale]]*Devis[[#This Row],[Prix de Revient]]</f>
        <v>0</v>
      </c>
    </row>
    <row r="3652" spans="1:28" ht="14.25" outlineLevel="1" x14ac:dyDescent="0.2">
      <c r="A3652" s="75" t="s">
        <v>3177</v>
      </c>
      <c r="B3652" s="76" t="s">
        <v>4008</v>
      </c>
      <c r="C3652" s="76"/>
      <c r="D3652" s="81" t="str">
        <f t="shared" si="66"/>
        <v>VannesVanne Papillon</v>
      </c>
      <c r="E3652" s="76"/>
      <c r="F3652" s="76">
        <v>15</v>
      </c>
      <c r="G3652" s="71"/>
      <c r="H3652" s="71"/>
      <c r="I3652" s="71"/>
      <c r="J3652" s="70">
        <f>IFERROR(VLOOKUP(Devis[[#This Row],[Ref Air Flux]],#REF!,3,FALSE),0)</f>
        <v>0</v>
      </c>
      <c r="K3652" s="68"/>
      <c r="L3652" s="68"/>
      <c r="M3652" s="68"/>
      <c r="N3652" s="68"/>
      <c r="O3652" s="68"/>
      <c r="P3652" s="68"/>
      <c r="Q3652" s="68">
        <f>SUM(Devis[[#This Row],[Poste 1]:[Poste 6]])</f>
        <v>0</v>
      </c>
      <c r="R3652" s="71"/>
      <c r="S3652" s="68">
        <f>_xlfn.CEILING.MATH(Devis[[#This Row],[Quantité Totale]],Devis[[#This Row],[Conditionnement]])</f>
        <v>0</v>
      </c>
      <c r="T3652" s="72"/>
      <c r="U3652" s="73"/>
      <c r="V3652" s="74">
        <f>Devis[[#This Row],[Prix de Revient]]*Devis[[#This Row],[Poste 1]]</f>
        <v>0</v>
      </c>
      <c r="W3652" s="74">
        <f>Devis[[#This Row],[Prix de Revient]]*Devis[[#This Row],[Poste 2]]</f>
        <v>0</v>
      </c>
      <c r="X3652" s="74">
        <f>Devis[[#This Row],[Prix de Revient]]*Devis[[#This Row],[Poste 3]]</f>
        <v>0</v>
      </c>
      <c r="Y3652" s="74">
        <f>Devis[[#This Row],[Poste 4]]*Devis[[#This Row],[Prix de Revient]]</f>
        <v>0</v>
      </c>
      <c r="Z3652" s="74">
        <f>Devis[[#This Row],[Poste 5]]*Devis[[#This Row],[Prix de Revient]]</f>
        <v>0</v>
      </c>
      <c r="AA3652" s="74">
        <f>Devis[[#This Row],[Prix de Revient]]*Devis[[#This Row],[Poste 6]]</f>
        <v>0</v>
      </c>
      <c r="AB3652" s="74">
        <f>Devis[[#This Row],[Quantité Totale]]*Devis[[#This Row],[Prix de Revient]]</f>
        <v>0</v>
      </c>
    </row>
    <row r="3653" spans="1:28" ht="15" customHeight="1" outlineLevel="1" x14ac:dyDescent="0.2">
      <c r="A3653" s="75" t="s">
        <v>3177</v>
      </c>
      <c r="B3653" s="76" t="s">
        <v>4008</v>
      </c>
      <c r="C3653" s="76" t="s">
        <v>4038</v>
      </c>
      <c r="D3653" s="81" t="str">
        <f t="shared" si="66"/>
        <v>VannesVanne PapillonOreille Taraudée - Inox - NBR "Air"</v>
      </c>
      <c r="E3653" s="76" t="s">
        <v>627</v>
      </c>
      <c r="F3653" s="76">
        <v>16</v>
      </c>
      <c r="G3653" s="71" t="s">
        <v>4039</v>
      </c>
      <c r="H3653" s="71" t="s">
        <v>4040</v>
      </c>
      <c r="I3653" s="71" t="s">
        <v>4041</v>
      </c>
      <c r="J3653" s="70">
        <f>IFERROR(VLOOKUP(Devis[[#This Row],[Ref Air Flux]],#REF!,3,FALSE),0)</f>
        <v>0</v>
      </c>
      <c r="K3653" s="68"/>
      <c r="L3653" s="68"/>
      <c r="M3653" s="68"/>
      <c r="N3653" s="68"/>
      <c r="O3653" s="68"/>
      <c r="P3653" s="68"/>
      <c r="Q3653" s="68">
        <f>SUM(Devis[[#This Row],[Poste 1]:[Poste 6]])</f>
        <v>0</v>
      </c>
      <c r="R3653" s="94"/>
      <c r="S3653" s="68">
        <f>_xlfn.CEILING.MATH(Devis[[#This Row],[Quantité Totale]],Devis[[#This Row],[Conditionnement]])</f>
        <v>0</v>
      </c>
      <c r="T3653" s="72"/>
      <c r="U3653" s="73"/>
      <c r="V3653" s="74">
        <f>Devis[[#This Row],[Prix de Revient]]*Devis[[#This Row],[Poste 1]]</f>
        <v>0</v>
      </c>
      <c r="W3653" s="74">
        <f>Devis[[#This Row],[Prix de Revient]]*Devis[[#This Row],[Poste 2]]</f>
        <v>0</v>
      </c>
      <c r="X3653" s="74">
        <f>Devis[[#This Row],[Prix de Revient]]*Devis[[#This Row],[Poste 3]]</f>
        <v>0</v>
      </c>
      <c r="Y3653" s="74">
        <f>Devis[[#This Row],[Poste 4]]*Devis[[#This Row],[Prix de Revient]]</f>
        <v>0</v>
      </c>
      <c r="Z3653" s="74">
        <f>Devis[[#This Row],[Poste 5]]*Devis[[#This Row],[Prix de Revient]]</f>
        <v>0</v>
      </c>
      <c r="AA3653" s="74">
        <f>Devis[[#This Row],[Prix de Revient]]*Devis[[#This Row],[Poste 6]]</f>
        <v>0</v>
      </c>
      <c r="AB3653" s="74">
        <f>Devis[[#This Row],[Quantité Totale]]*Devis[[#This Row],[Prix de Revient]]</f>
        <v>0</v>
      </c>
    </row>
    <row r="3654" spans="1:28" ht="14.25" outlineLevel="1" x14ac:dyDescent="0.2">
      <c r="A3654" s="75" t="s">
        <v>3177</v>
      </c>
      <c r="B3654" s="76" t="s">
        <v>4008</v>
      </c>
      <c r="C3654" s="76" t="s">
        <v>4042</v>
      </c>
      <c r="D3654" s="81" t="str">
        <f t="shared" si="66"/>
        <v>VannesVanne PapillonOreille Taraudée - Inox - NBR "Air"?</v>
      </c>
      <c r="E3654" s="76" t="s">
        <v>630</v>
      </c>
      <c r="F3654" s="76">
        <v>17</v>
      </c>
      <c r="G3654" s="71" t="s">
        <v>4043</v>
      </c>
      <c r="H3654" s="71" t="s">
        <v>4040</v>
      </c>
      <c r="I3654" s="71" t="s">
        <v>4044</v>
      </c>
      <c r="J3654" s="70">
        <f>IFERROR(VLOOKUP(Devis[[#This Row],[Ref Air Flux]],#REF!,3,FALSE),0)</f>
        <v>0</v>
      </c>
      <c r="K3654" s="68"/>
      <c r="L3654" s="68"/>
      <c r="M3654" s="68"/>
      <c r="N3654" s="68"/>
      <c r="O3654" s="68"/>
      <c r="P3654" s="68"/>
      <c r="Q3654" s="68">
        <f>SUM(Devis[[#This Row],[Poste 1]:[Poste 6]])</f>
        <v>0</v>
      </c>
      <c r="R3654" s="94"/>
      <c r="S3654" s="68">
        <f>_xlfn.CEILING.MATH(Devis[[#This Row],[Quantité Totale]],Devis[[#This Row],[Conditionnement]])</f>
        <v>0</v>
      </c>
      <c r="T3654" s="72"/>
      <c r="U3654" s="73"/>
      <c r="V3654" s="74">
        <f>Devis[[#This Row],[Prix de Revient]]*Devis[[#This Row],[Poste 1]]</f>
        <v>0</v>
      </c>
      <c r="W3654" s="74">
        <f>Devis[[#This Row],[Prix de Revient]]*Devis[[#This Row],[Poste 2]]</f>
        <v>0</v>
      </c>
      <c r="X3654" s="74">
        <f>Devis[[#This Row],[Prix de Revient]]*Devis[[#This Row],[Poste 3]]</f>
        <v>0</v>
      </c>
      <c r="Y3654" s="74">
        <f>Devis[[#This Row],[Poste 4]]*Devis[[#This Row],[Prix de Revient]]</f>
        <v>0</v>
      </c>
      <c r="Z3654" s="74">
        <f>Devis[[#This Row],[Poste 5]]*Devis[[#This Row],[Prix de Revient]]</f>
        <v>0</v>
      </c>
      <c r="AA3654" s="74">
        <f>Devis[[#This Row],[Prix de Revient]]*Devis[[#This Row],[Poste 6]]</f>
        <v>0</v>
      </c>
      <c r="AB3654" s="74">
        <f>Devis[[#This Row],[Quantité Totale]]*Devis[[#This Row],[Prix de Revient]]</f>
        <v>0</v>
      </c>
    </row>
    <row r="3655" spans="1:28" ht="14.25" outlineLevel="1" x14ac:dyDescent="0.2">
      <c r="A3655" s="75" t="s">
        <v>3177</v>
      </c>
      <c r="B3655" s="76" t="s">
        <v>4008</v>
      </c>
      <c r="C3655" s="76"/>
      <c r="D3655" s="81" t="str">
        <f t="shared" si="66"/>
        <v>VannesVanne Papillon</v>
      </c>
      <c r="E3655" s="76"/>
      <c r="F3655" s="76">
        <v>18</v>
      </c>
      <c r="G3655" s="71"/>
      <c r="H3655" s="71"/>
      <c r="I3655" s="71"/>
      <c r="J3655" s="70">
        <f>IFERROR(VLOOKUP(Devis[[#This Row],[Ref Air Flux]],#REF!,3,FALSE),0)</f>
        <v>0</v>
      </c>
      <c r="K3655" s="68"/>
      <c r="L3655" s="68"/>
      <c r="M3655" s="68"/>
      <c r="N3655" s="68"/>
      <c r="O3655" s="68"/>
      <c r="P3655" s="68"/>
      <c r="Q3655" s="68">
        <f>SUM(Devis[[#This Row],[Poste 1]:[Poste 6]])</f>
        <v>0</v>
      </c>
      <c r="R3655" s="71"/>
      <c r="S3655" s="68">
        <f>_xlfn.CEILING.MATH(Devis[[#This Row],[Quantité Totale]],Devis[[#This Row],[Conditionnement]])</f>
        <v>0</v>
      </c>
      <c r="T3655" s="72"/>
      <c r="U3655" s="73"/>
      <c r="V3655" s="74">
        <f>Devis[[#This Row],[Prix de Revient]]*Devis[[#This Row],[Poste 1]]</f>
        <v>0</v>
      </c>
      <c r="W3655" s="74">
        <f>Devis[[#This Row],[Prix de Revient]]*Devis[[#This Row],[Poste 2]]</f>
        <v>0</v>
      </c>
      <c r="X3655" s="74">
        <f>Devis[[#This Row],[Prix de Revient]]*Devis[[#This Row],[Poste 3]]</f>
        <v>0</v>
      </c>
      <c r="Y3655" s="74">
        <f>Devis[[#This Row],[Poste 4]]*Devis[[#This Row],[Prix de Revient]]</f>
        <v>0</v>
      </c>
      <c r="Z3655" s="74">
        <f>Devis[[#This Row],[Poste 5]]*Devis[[#This Row],[Prix de Revient]]</f>
        <v>0</v>
      </c>
      <c r="AA3655" s="74">
        <f>Devis[[#This Row],[Prix de Revient]]*Devis[[#This Row],[Poste 6]]</f>
        <v>0</v>
      </c>
      <c r="AB3655" s="74">
        <f>Devis[[#This Row],[Quantité Totale]]*Devis[[#This Row],[Prix de Revient]]</f>
        <v>0</v>
      </c>
    </row>
    <row r="3656" spans="1:28" ht="14.25" outlineLevel="1" x14ac:dyDescent="0.2">
      <c r="A3656" s="75" t="s">
        <v>3177</v>
      </c>
      <c r="B3656" s="76" t="s">
        <v>4008</v>
      </c>
      <c r="C3656" s="76" t="s">
        <v>4013</v>
      </c>
      <c r="D3656" s="81" t="str">
        <f t="shared" si="66"/>
        <v>VannesVanne PapillonOreille Taraudée - Inox - EPDM "Eau"</v>
      </c>
      <c r="E3656" s="76" t="s">
        <v>625</v>
      </c>
      <c r="F3656" s="76">
        <v>19</v>
      </c>
      <c r="G3656" s="71" t="s">
        <v>3219</v>
      </c>
      <c r="H3656" s="71" t="s">
        <v>34</v>
      </c>
      <c r="I3656" s="71">
        <v>1160065</v>
      </c>
      <c r="J3656" s="70">
        <f>IFERROR(VLOOKUP(Devis[[#This Row],[Ref Air Flux]],#REF!,3,FALSE),0)</f>
        <v>0</v>
      </c>
      <c r="K3656" s="68"/>
      <c r="L3656" s="68"/>
      <c r="M3656" s="68"/>
      <c r="N3656" s="68"/>
      <c r="O3656" s="68"/>
      <c r="P3656" s="68"/>
      <c r="Q3656" s="68">
        <f>SUM(Devis[[#This Row],[Poste 1]:[Poste 6]])</f>
        <v>0</v>
      </c>
      <c r="R3656" s="71"/>
      <c r="S3656" s="68">
        <f>_xlfn.CEILING.MATH(Devis[[#This Row],[Quantité Totale]],Devis[[#This Row],[Conditionnement]])</f>
        <v>0</v>
      </c>
      <c r="T3656" s="72"/>
      <c r="U3656" s="73"/>
      <c r="V3656" s="74">
        <f>Devis[[#This Row],[Prix de Revient]]*Devis[[#This Row],[Poste 1]]</f>
        <v>0</v>
      </c>
      <c r="W3656" s="74">
        <f>Devis[[#This Row],[Prix de Revient]]*Devis[[#This Row],[Poste 2]]</f>
        <v>0</v>
      </c>
      <c r="X3656" s="74">
        <f>Devis[[#This Row],[Prix de Revient]]*Devis[[#This Row],[Poste 3]]</f>
        <v>0</v>
      </c>
      <c r="Y3656" s="74">
        <f>Devis[[#This Row],[Poste 4]]*Devis[[#This Row],[Prix de Revient]]</f>
        <v>0</v>
      </c>
      <c r="Z3656" s="74">
        <f>Devis[[#This Row],[Poste 5]]*Devis[[#This Row],[Prix de Revient]]</f>
        <v>0</v>
      </c>
      <c r="AA3656" s="74">
        <f>Devis[[#This Row],[Prix de Revient]]*Devis[[#This Row],[Poste 6]]</f>
        <v>0</v>
      </c>
      <c r="AB3656" s="74">
        <f>Devis[[#This Row],[Quantité Totale]]*Devis[[#This Row],[Prix de Revient]]</f>
        <v>0</v>
      </c>
    </row>
    <row r="3657" spans="1:28" ht="15" customHeight="1" outlineLevel="1" x14ac:dyDescent="0.2">
      <c r="A3657" s="75" t="s">
        <v>3177</v>
      </c>
      <c r="B3657" s="76" t="s">
        <v>4008</v>
      </c>
      <c r="C3657" s="76" t="s">
        <v>4013</v>
      </c>
      <c r="D3657" s="81" t="str">
        <f t="shared" si="66"/>
        <v>VannesVanne PapillonOreille Taraudée - Inox - EPDM "Eau"</v>
      </c>
      <c r="E3657" s="76" t="s">
        <v>625</v>
      </c>
      <c r="F3657" s="76">
        <v>20</v>
      </c>
      <c r="G3657" s="71" t="s">
        <v>4014</v>
      </c>
      <c r="H3657" s="71" t="s">
        <v>34</v>
      </c>
      <c r="I3657" s="71">
        <v>1160065</v>
      </c>
      <c r="J3657" s="70">
        <f>IFERROR(VLOOKUP(Devis[[#This Row],[Ref Air Flux]],#REF!,3,FALSE),0)</f>
        <v>0</v>
      </c>
      <c r="K3657" s="68"/>
      <c r="L3657" s="68"/>
      <c r="M3657" s="68"/>
      <c r="N3657" s="68"/>
      <c r="O3657" s="68"/>
      <c r="P3657" s="68"/>
      <c r="Q3657" s="68">
        <f>SUM(Devis[[#This Row],[Poste 1]:[Poste 6]])</f>
        <v>0</v>
      </c>
      <c r="R3657" s="71"/>
      <c r="S3657" s="68">
        <f>_xlfn.CEILING.MATH(Devis[[#This Row],[Quantité Totale]],Devis[[#This Row],[Conditionnement]])</f>
        <v>0</v>
      </c>
      <c r="T3657" s="72"/>
      <c r="U3657" s="73"/>
      <c r="V3657" s="74">
        <f>Devis[[#This Row],[Prix de Revient]]*Devis[[#This Row],[Poste 1]]</f>
        <v>0</v>
      </c>
      <c r="W3657" s="74">
        <f>Devis[[#This Row],[Prix de Revient]]*Devis[[#This Row],[Poste 2]]</f>
        <v>0</v>
      </c>
      <c r="X3657" s="74">
        <f>Devis[[#This Row],[Prix de Revient]]*Devis[[#This Row],[Poste 3]]</f>
        <v>0</v>
      </c>
      <c r="Y3657" s="74">
        <f>Devis[[#This Row],[Poste 4]]*Devis[[#This Row],[Prix de Revient]]</f>
        <v>0</v>
      </c>
      <c r="Z3657" s="74">
        <f>Devis[[#This Row],[Poste 5]]*Devis[[#This Row],[Prix de Revient]]</f>
        <v>0</v>
      </c>
      <c r="AA3657" s="74">
        <f>Devis[[#This Row],[Prix de Revient]]*Devis[[#This Row],[Poste 6]]</f>
        <v>0</v>
      </c>
      <c r="AB3657" s="74">
        <f>Devis[[#This Row],[Quantité Totale]]*Devis[[#This Row],[Prix de Revient]]</f>
        <v>0</v>
      </c>
    </row>
    <row r="3658" spans="1:28" ht="14.25" customHeight="1" outlineLevel="1" x14ac:dyDescent="0.2">
      <c r="A3658" s="75" t="s">
        <v>3177</v>
      </c>
      <c r="B3658" s="76" t="s">
        <v>4008</v>
      </c>
      <c r="C3658" s="76" t="s">
        <v>4013</v>
      </c>
      <c r="D3658" s="81" t="str">
        <f t="shared" si="66"/>
        <v>VannesVanne PapillonOreille Taraudée - Inox - EPDM "Eau"</v>
      </c>
      <c r="E3658" s="76" t="s">
        <v>3220</v>
      </c>
      <c r="F3658" s="76">
        <v>20</v>
      </c>
      <c r="G3658" s="71" t="s">
        <v>4015</v>
      </c>
      <c r="H3658" s="71" t="s">
        <v>34</v>
      </c>
      <c r="I3658" s="71">
        <v>1160080</v>
      </c>
      <c r="J3658" s="70">
        <f>IFERROR(VLOOKUP(Devis[[#This Row],[Ref Air Flux]],#REF!,3,FALSE),0)</f>
        <v>0</v>
      </c>
      <c r="K3658" s="68"/>
      <c r="L3658" s="68"/>
      <c r="M3658" s="68"/>
      <c r="N3658" s="68"/>
      <c r="O3658" s="68"/>
      <c r="P3658" s="68"/>
      <c r="Q3658" s="68">
        <f>SUM(Devis[[#This Row],[Poste 1]:[Poste 6]])</f>
        <v>0</v>
      </c>
      <c r="R3658" s="71"/>
      <c r="S3658" s="68">
        <f>_xlfn.CEILING.MATH(Devis[[#This Row],[Quantité Totale]],Devis[[#This Row],[Conditionnement]])</f>
        <v>0</v>
      </c>
      <c r="T3658" s="72"/>
      <c r="U3658" s="73"/>
      <c r="V3658" s="74">
        <f>Devis[[#This Row],[Prix de Revient]]*Devis[[#This Row],[Poste 1]]</f>
        <v>0</v>
      </c>
      <c r="W3658" s="74">
        <f>Devis[[#This Row],[Prix de Revient]]*Devis[[#This Row],[Poste 2]]</f>
        <v>0</v>
      </c>
      <c r="X3658" s="74">
        <f>Devis[[#This Row],[Prix de Revient]]*Devis[[#This Row],[Poste 3]]</f>
        <v>0</v>
      </c>
      <c r="Y3658" s="74">
        <f>Devis[[#This Row],[Poste 4]]*Devis[[#This Row],[Prix de Revient]]</f>
        <v>0</v>
      </c>
      <c r="Z3658" s="74">
        <f>Devis[[#This Row],[Poste 5]]*Devis[[#This Row],[Prix de Revient]]</f>
        <v>0</v>
      </c>
      <c r="AA3658" s="74">
        <f>Devis[[#This Row],[Prix de Revient]]*Devis[[#This Row],[Poste 6]]</f>
        <v>0</v>
      </c>
      <c r="AB3658" s="74">
        <f>Devis[[#This Row],[Quantité Totale]]*Devis[[#This Row],[Prix de Revient]]</f>
        <v>0</v>
      </c>
    </row>
    <row r="3659" spans="1:28" ht="14.25" outlineLevel="1" x14ac:dyDescent="0.2">
      <c r="A3659" s="75" t="s">
        <v>3177</v>
      </c>
      <c r="B3659" s="76" t="s">
        <v>4008</v>
      </c>
      <c r="C3659" s="76" t="s">
        <v>4013</v>
      </c>
      <c r="D3659" s="81" t="str">
        <f t="shared" si="66"/>
        <v>VannesVanne PapillonOreille Taraudée - Inox - EPDM "Eau"</v>
      </c>
      <c r="E3659" s="76" t="s">
        <v>3221</v>
      </c>
      <c r="F3659" s="76">
        <v>21</v>
      </c>
      <c r="G3659" s="71" t="s">
        <v>4016</v>
      </c>
      <c r="H3659" s="71" t="s">
        <v>34</v>
      </c>
      <c r="I3659" s="71">
        <v>1160100</v>
      </c>
      <c r="J3659" s="70">
        <f>IFERROR(VLOOKUP(Devis[[#This Row],[Ref Air Flux]],#REF!,3,FALSE),0)</f>
        <v>0</v>
      </c>
      <c r="K3659" s="68"/>
      <c r="L3659" s="68"/>
      <c r="M3659" s="68"/>
      <c r="N3659" s="68"/>
      <c r="O3659" s="68"/>
      <c r="P3659" s="68"/>
      <c r="Q3659" s="68">
        <f>SUM(Devis[[#This Row],[Poste 1]:[Poste 6]])</f>
        <v>0</v>
      </c>
      <c r="R3659" s="71"/>
      <c r="S3659" s="68">
        <f>_xlfn.CEILING.MATH(Devis[[#This Row],[Quantité Totale]],Devis[[#This Row],[Conditionnement]])</f>
        <v>0</v>
      </c>
      <c r="T3659" s="72"/>
      <c r="U3659" s="73"/>
      <c r="V3659" s="74">
        <f>Devis[[#This Row],[Prix de Revient]]*Devis[[#This Row],[Poste 1]]</f>
        <v>0</v>
      </c>
      <c r="W3659" s="74">
        <f>Devis[[#This Row],[Prix de Revient]]*Devis[[#This Row],[Poste 2]]</f>
        <v>0</v>
      </c>
      <c r="X3659" s="74">
        <f>Devis[[#This Row],[Prix de Revient]]*Devis[[#This Row],[Poste 3]]</f>
        <v>0</v>
      </c>
      <c r="Y3659" s="74">
        <f>Devis[[#This Row],[Poste 4]]*Devis[[#This Row],[Prix de Revient]]</f>
        <v>0</v>
      </c>
      <c r="Z3659" s="74">
        <f>Devis[[#This Row],[Poste 5]]*Devis[[#This Row],[Prix de Revient]]</f>
        <v>0</v>
      </c>
      <c r="AA3659" s="74">
        <f>Devis[[#This Row],[Prix de Revient]]*Devis[[#This Row],[Poste 6]]</f>
        <v>0</v>
      </c>
      <c r="AB3659" s="74">
        <f>Devis[[#This Row],[Quantité Totale]]*Devis[[#This Row],[Prix de Revient]]</f>
        <v>0</v>
      </c>
    </row>
    <row r="3660" spans="1:28" ht="14.25" outlineLevel="1" x14ac:dyDescent="0.2">
      <c r="A3660" s="75" t="s">
        <v>3177</v>
      </c>
      <c r="B3660" s="76" t="s">
        <v>4008</v>
      </c>
      <c r="C3660" s="76"/>
      <c r="D3660" s="81" t="str">
        <f t="shared" si="66"/>
        <v>VannesVanne Papillon</v>
      </c>
      <c r="E3660" s="76"/>
      <c r="F3660" s="76">
        <v>22</v>
      </c>
      <c r="G3660" s="71"/>
      <c r="H3660" s="71"/>
      <c r="I3660" s="71"/>
      <c r="J3660" s="70">
        <f>IFERROR(VLOOKUP(Devis[[#This Row],[Ref Air Flux]],#REF!,3,FALSE),0)</f>
        <v>0</v>
      </c>
      <c r="K3660" s="68"/>
      <c r="L3660" s="68"/>
      <c r="M3660" s="68"/>
      <c r="N3660" s="68"/>
      <c r="O3660" s="68"/>
      <c r="P3660" s="68"/>
      <c r="Q3660" s="68">
        <f>SUM(Devis[[#This Row],[Poste 1]:[Poste 6]])</f>
        <v>0</v>
      </c>
      <c r="R3660" s="71"/>
      <c r="S3660" s="68">
        <f>_xlfn.CEILING.MATH(Devis[[#This Row],[Quantité Totale]],Devis[[#This Row],[Conditionnement]])</f>
        <v>0</v>
      </c>
      <c r="T3660" s="72"/>
      <c r="U3660" s="73"/>
      <c r="V3660" s="74">
        <f>Devis[[#This Row],[Prix de Revient]]*Devis[[#This Row],[Poste 1]]</f>
        <v>0</v>
      </c>
      <c r="W3660" s="74">
        <f>Devis[[#This Row],[Prix de Revient]]*Devis[[#This Row],[Poste 2]]</f>
        <v>0</v>
      </c>
      <c r="X3660" s="74">
        <f>Devis[[#This Row],[Prix de Revient]]*Devis[[#This Row],[Poste 3]]</f>
        <v>0</v>
      </c>
      <c r="Y3660" s="74">
        <f>Devis[[#This Row],[Poste 4]]*Devis[[#This Row],[Prix de Revient]]</f>
        <v>0</v>
      </c>
      <c r="Z3660" s="74">
        <f>Devis[[#This Row],[Poste 5]]*Devis[[#This Row],[Prix de Revient]]</f>
        <v>0</v>
      </c>
      <c r="AA3660" s="74">
        <f>Devis[[#This Row],[Prix de Revient]]*Devis[[#This Row],[Poste 6]]</f>
        <v>0</v>
      </c>
      <c r="AB3660" s="74">
        <f>Devis[[#This Row],[Quantité Totale]]*Devis[[#This Row],[Prix de Revient]]</f>
        <v>0</v>
      </c>
    </row>
    <row r="3661" spans="1:28" ht="14.25" outlineLevel="1" x14ac:dyDescent="0.2">
      <c r="A3661" s="75" t="s">
        <v>3177</v>
      </c>
      <c r="B3661" s="76" t="s">
        <v>4008</v>
      </c>
      <c r="C3661" s="76" t="s">
        <v>4031</v>
      </c>
      <c r="D3661" s="81" t="str">
        <f t="shared" si="66"/>
        <v>VannesVanne PapillonOreille de centrage - EPDM "Eau"</v>
      </c>
      <c r="E3661" s="76" t="s">
        <v>625</v>
      </c>
      <c r="F3661" s="76">
        <v>23</v>
      </c>
      <c r="G3661" s="71" t="s">
        <v>4032</v>
      </c>
      <c r="H3661" s="71" t="s">
        <v>34</v>
      </c>
      <c r="I3661" s="71">
        <v>1125065</v>
      </c>
      <c r="J3661" s="70">
        <f>IFERROR(VLOOKUP(Devis[[#This Row],[Ref Air Flux]],#REF!,3,FALSE),0)</f>
        <v>0</v>
      </c>
      <c r="K3661" s="68"/>
      <c r="L3661" s="68"/>
      <c r="M3661" s="68"/>
      <c r="N3661" s="68"/>
      <c r="O3661" s="68"/>
      <c r="P3661" s="68"/>
      <c r="Q3661" s="68">
        <f>SUM(Devis[[#This Row],[Poste 1]:[Poste 6]])</f>
        <v>0</v>
      </c>
      <c r="R3661" s="94"/>
      <c r="S3661" s="68">
        <f>_xlfn.CEILING.MATH(Devis[[#This Row],[Quantité Totale]],Devis[[#This Row],[Conditionnement]])</f>
        <v>0</v>
      </c>
      <c r="T3661" s="72"/>
      <c r="U3661" s="73"/>
      <c r="V3661" s="74">
        <f>Devis[[#This Row],[Prix de Revient]]*Devis[[#This Row],[Poste 1]]</f>
        <v>0</v>
      </c>
      <c r="W3661" s="74">
        <f>Devis[[#This Row],[Prix de Revient]]*Devis[[#This Row],[Poste 2]]</f>
        <v>0</v>
      </c>
      <c r="X3661" s="74">
        <f>Devis[[#This Row],[Prix de Revient]]*Devis[[#This Row],[Poste 3]]</f>
        <v>0</v>
      </c>
      <c r="Y3661" s="74">
        <f>Devis[[#This Row],[Poste 4]]*Devis[[#This Row],[Prix de Revient]]</f>
        <v>0</v>
      </c>
      <c r="Z3661" s="74">
        <f>Devis[[#This Row],[Poste 5]]*Devis[[#This Row],[Prix de Revient]]</f>
        <v>0</v>
      </c>
      <c r="AA3661" s="74">
        <f>Devis[[#This Row],[Prix de Revient]]*Devis[[#This Row],[Poste 6]]</f>
        <v>0</v>
      </c>
      <c r="AB3661" s="74">
        <f>Devis[[#This Row],[Quantité Totale]]*Devis[[#This Row],[Prix de Revient]]</f>
        <v>0</v>
      </c>
    </row>
    <row r="3662" spans="1:28" ht="14.25" outlineLevel="1" x14ac:dyDescent="0.2">
      <c r="A3662" s="75" t="s">
        <v>3177</v>
      </c>
      <c r="B3662" s="76" t="s">
        <v>4008</v>
      </c>
      <c r="C3662" s="76" t="s">
        <v>4009</v>
      </c>
      <c r="D3662" s="81" t="str">
        <f t="shared" si="66"/>
        <v>VannesVanne PapillonOreille de centrage - Fonte - EPDM "Eau"</v>
      </c>
      <c r="E3662" s="76" t="s">
        <v>3217</v>
      </c>
      <c r="F3662" s="76">
        <v>24</v>
      </c>
      <c r="G3662" s="71" t="s">
        <v>4010</v>
      </c>
      <c r="H3662" s="71" t="s">
        <v>3954</v>
      </c>
      <c r="I3662" s="71">
        <v>335080</v>
      </c>
      <c r="J3662" s="70">
        <f>IFERROR(VLOOKUP(Devis[[#This Row],[Ref Air Flux]],#REF!,3,FALSE),0)</f>
        <v>0</v>
      </c>
      <c r="K3662" s="68"/>
      <c r="L3662" s="68"/>
      <c r="M3662" s="68"/>
      <c r="N3662" s="68"/>
      <c r="O3662" s="68"/>
      <c r="P3662" s="68"/>
      <c r="Q3662" s="68">
        <f>SUM(Devis[[#This Row],[Poste 1]:[Poste 6]])</f>
        <v>0</v>
      </c>
      <c r="R3662" s="71"/>
      <c r="S3662" s="68">
        <f>_xlfn.CEILING.MATH(Devis[[#This Row],[Quantité Totale]],Devis[[#This Row],[Conditionnement]])</f>
        <v>0</v>
      </c>
      <c r="T3662" s="72"/>
      <c r="U3662" s="73"/>
      <c r="V3662" s="74">
        <f>Devis[[#This Row],[Prix de Revient]]*Devis[[#This Row],[Poste 1]]</f>
        <v>0</v>
      </c>
      <c r="W3662" s="74">
        <f>Devis[[#This Row],[Prix de Revient]]*Devis[[#This Row],[Poste 2]]</f>
        <v>0</v>
      </c>
      <c r="X3662" s="74">
        <f>Devis[[#This Row],[Prix de Revient]]*Devis[[#This Row],[Poste 3]]</f>
        <v>0</v>
      </c>
      <c r="Y3662" s="74">
        <f>Devis[[#This Row],[Poste 4]]*Devis[[#This Row],[Prix de Revient]]</f>
        <v>0</v>
      </c>
      <c r="Z3662" s="74">
        <f>Devis[[#This Row],[Poste 5]]*Devis[[#This Row],[Prix de Revient]]</f>
        <v>0</v>
      </c>
      <c r="AA3662" s="74">
        <f>Devis[[#This Row],[Prix de Revient]]*Devis[[#This Row],[Poste 6]]</f>
        <v>0</v>
      </c>
      <c r="AB3662" s="74">
        <f>Devis[[#This Row],[Quantité Totale]]*Devis[[#This Row],[Prix de Revient]]</f>
        <v>0</v>
      </c>
    </row>
    <row r="3663" spans="1:28" ht="14.25" outlineLevel="1" x14ac:dyDescent="0.2">
      <c r="A3663" s="75" t="s">
        <v>3177</v>
      </c>
      <c r="B3663" s="76" t="s">
        <v>4008</v>
      </c>
      <c r="C3663" s="76"/>
      <c r="D3663" s="81" t="str">
        <f t="shared" si="66"/>
        <v>VannesVanne Papillon</v>
      </c>
      <c r="E3663" s="76"/>
      <c r="F3663" s="76">
        <v>25</v>
      </c>
      <c r="G3663" s="71"/>
      <c r="H3663" s="71"/>
      <c r="I3663" s="71"/>
      <c r="J3663" s="70">
        <f>IFERROR(VLOOKUP(Devis[[#This Row],[Ref Air Flux]],#REF!,3,FALSE),0)</f>
        <v>0</v>
      </c>
      <c r="K3663" s="68"/>
      <c r="L3663" s="68"/>
      <c r="M3663" s="68"/>
      <c r="N3663" s="68"/>
      <c r="O3663" s="68"/>
      <c r="P3663" s="68"/>
      <c r="Q3663" s="68">
        <f>SUM(Devis[[#This Row],[Poste 1]:[Poste 6]])</f>
        <v>0</v>
      </c>
      <c r="R3663" s="71"/>
      <c r="S3663" s="68">
        <f>_xlfn.CEILING.MATH(Devis[[#This Row],[Quantité Totale]],Devis[[#This Row],[Conditionnement]])</f>
        <v>0</v>
      </c>
      <c r="T3663" s="72"/>
      <c r="U3663" s="73"/>
      <c r="V3663" s="74">
        <f>Devis[[#This Row],[Prix de Revient]]*Devis[[#This Row],[Poste 1]]</f>
        <v>0</v>
      </c>
      <c r="W3663" s="74">
        <f>Devis[[#This Row],[Prix de Revient]]*Devis[[#This Row],[Poste 2]]</f>
        <v>0</v>
      </c>
      <c r="X3663" s="74">
        <f>Devis[[#This Row],[Prix de Revient]]*Devis[[#This Row],[Poste 3]]</f>
        <v>0</v>
      </c>
      <c r="Y3663" s="74">
        <f>Devis[[#This Row],[Poste 4]]*Devis[[#This Row],[Prix de Revient]]</f>
        <v>0</v>
      </c>
      <c r="Z3663" s="74">
        <f>Devis[[#This Row],[Poste 5]]*Devis[[#This Row],[Prix de Revient]]</f>
        <v>0</v>
      </c>
      <c r="AA3663" s="74">
        <f>Devis[[#This Row],[Prix de Revient]]*Devis[[#This Row],[Poste 6]]</f>
        <v>0</v>
      </c>
      <c r="AB3663" s="74">
        <f>Devis[[#This Row],[Quantité Totale]]*Devis[[#This Row],[Prix de Revient]]</f>
        <v>0</v>
      </c>
    </row>
    <row r="3664" spans="1:28" ht="14.25" outlineLevel="1" x14ac:dyDescent="0.2">
      <c r="A3664" s="75" t="s">
        <v>3177</v>
      </c>
      <c r="B3664" s="76" t="s">
        <v>4008</v>
      </c>
      <c r="C3664" s="76" t="s">
        <v>4023</v>
      </c>
      <c r="D3664" s="81" t="str">
        <f t="shared" si="66"/>
        <v>VannesVanne PapillonOreille de centrage - NBR "Air"</v>
      </c>
      <c r="E3664" s="76" t="s">
        <v>4034</v>
      </c>
      <c r="F3664" s="76">
        <v>26</v>
      </c>
      <c r="G3664" s="71" t="s">
        <v>4035</v>
      </c>
      <c r="H3664" s="71" t="s">
        <v>4036</v>
      </c>
      <c r="I3664" s="71" t="s">
        <v>4037</v>
      </c>
      <c r="J3664" s="70">
        <f>IFERROR(VLOOKUP(Devis[[#This Row],[Ref Air Flux]],#REF!,3,FALSE),0)</f>
        <v>0</v>
      </c>
      <c r="K3664" s="68"/>
      <c r="L3664" s="68"/>
      <c r="M3664" s="68"/>
      <c r="N3664" s="68"/>
      <c r="O3664" s="68"/>
      <c r="P3664" s="68"/>
      <c r="Q3664" s="68">
        <f>SUM(Devis[[#This Row],[Poste 1]:[Poste 6]])</f>
        <v>0</v>
      </c>
      <c r="R3664" s="94"/>
      <c r="S3664" s="68">
        <f>_xlfn.CEILING.MATH(Devis[[#This Row],[Quantité Totale]],Devis[[#This Row],[Conditionnement]])</f>
        <v>0</v>
      </c>
      <c r="T3664" s="72"/>
      <c r="U3664" s="73"/>
      <c r="V3664" s="74">
        <f>Devis[[#This Row],[Prix de Revient]]*Devis[[#This Row],[Poste 1]]</f>
        <v>0</v>
      </c>
      <c r="W3664" s="74">
        <f>Devis[[#This Row],[Prix de Revient]]*Devis[[#This Row],[Poste 2]]</f>
        <v>0</v>
      </c>
      <c r="X3664" s="74">
        <f>Devis[[#This Row],[Prix de Revient]]*Devis[[#This Row],[Poste 3]]</f>
        <v>0</v>
      </c>
      <c r="Y3664" s="74">
        <f>Devis[[#This Row],[Poste 4]]*Devis[[#This Row],[Prix de Revient]]</f>
        <v>0</v>
      </c>
      <c r="Z3664" s="74">
        <f>Devis[[#This Row],[Poste 5]]*Devis[[#This Row],[Prix de Revient]]</f>
        <v>0</v>
      </c>
      <c r="AA3664" s="74">
        <f>Devis[[#This Row],[Prix de Revient]]*Devis[[#This Row],[Poste 6]]</f>
        <v>0</v>
      </c>
      <c r="AB3664" s="74">
        <f>Devis[[#This Row],[Quantité Totale]]*Devis[[#This Row],[Prix de Revient]]</f>
        <v>0</v>
      </c>
    </row>
    <row r="3665" spans="1:28" ht="14.25" outlineLevel="1" x14ac:dyDescent="0.2">
      <c r="A3665" s="75" t="s">
        <v>3177</v>
      </c>
      <c r="B3665" s="76" t="s">
        <v>4008</v>
      </c>
      <c r="C3665" s="76" t="s">
        <v>4017</v>
      </c>
      <c r="D3665" s="81" t="str">
        <f t="shared" si="66"/>
        <v>VannesVanne PapillonOreille Taraudée - Fonte - EPDM "Eau"</v>
      </c>
      <c r="E3665" s="76" t="s">
        <v>1682</v>
      </c>
      <c r="F3665" s="76">
        <v>27</v>
      </c>
      <c r="G3665" s="71" t="s">
        <v>4018</v>
      </c>
      <c r="H3665" s="71" t="s">
        <v>34</v>
      </c>
      <c r="I3665" s="71">
        <v>1125050</v>
      </c>
      <c r="J3665" s="70">
        <f>IFERROR(VLOOKUP(Devis[[#This Row],[Ref Air Flux]],#REF!,3,FALSE),0)</f>
        <v>0</v>
      </c>
      <c r="K3665" s="68"/>
      <c r="L3665" s="68"/>
      <c r="M3665" s="68"/>
      <c r="N3665" s="68"/>
      <c r="O3665" s="68"/>
      <c r="P3665" s="68"/>
      <c r="Q3665" s="68">
        <f>SUM(Devis[[#This Row],[Poste 1]:[Poste 6]])</f>
        <v>0</v>
      </c>
      <c r="R3665" s="71"/>
      <c r="S3665" s="68">
        <f>_xlfn.CEILING.MATH(Devis[[#This Row],[Quantité Totale]],Devis[[#This Row],[Conditionnement]])</f>
        <v>0</v>
      </c>
      <c r="T3665" s="72"/>
      <c r="U3665" s="73"/>
      <c r="V3665" s="74">
        <f>Devis[[#This Row],[Prix de Revient]]*Devis[[#This Row],[Poste 1]]</f>
        <v>0</v>
      </c>
      <c r="W3665" s="74">
        <f>Devis[[#This Row],[Prix de Revient]]*Devis[[#This Row],[Poste 2]]</f>
        <v>0</v>
      </c>
      <c r="X3665" s="74">
        <f>Devis[[#This Row],[Prix de Revient]]*Devis[[#This Row],[Poste 3]]</f>
        <v>0</v>
      </c>
      <c r="Y3665" s="74">
        <f>Devis[[#This Row],[Poste 4]]*Devis[[#This Row],[Prix de Revient]]</f>
        <v>0</v>
      </c>
      <c r="Z3665" s="74">
        <f>Devis[[#This Row],[Poste 5]]*Devis[[#This Row],[Prix de Revient]]</f>
        <v>0</v>
      </c>
      <c r="AA3665" s="74">
        <f>Devis[[#This Row],[Prix de Revient]]*Devis[[#This Row],[Poste 6]]</f>
        <v>0</v>
      </c>
      <c r="AB3665" s="74">
        <f>Devis[[#This Row],[Quantité Totale]]*Devis[[#This Row],[Prix de Revient]]</f>
        <v>0</v>
      </c>
    </row>
    <row r="3666" spans="1:28" ht="14.25" outlineLevel="1" x14ac:dyDescent="0.2">
      <c r="A3666" s="75" t="s">
        <v>3177</v>
      </c>
      <c r="B3666" s="76" t="s">
        <v>4008</v>
      </c>
      <c r="C3666" s="76" t="s">
        <v>4011</v>
      </c>
      <c r="D3666" s="81" t="str">
        <f t="shared" si="66"/>
        <v>VannesVanne PapillonOreille Taraudée - Inox/Fonte ? - EPDM "Eau"</v>
      </c>
      <c r="E3666" s="76" t="s">
        <v>3218</v>
      </c>
      <c r="F3666" s="76">
        <v>28</v>
      </c>
      <c r="G3666" s="71" t="s">
        <v>4012</v>
      </c>
      <c r="H3666" s="71" t="s">
        <v>3954</v>
      </c>
      <c r="I3666" s="71">
        <v>3305210</v>
      </c>
      <c r="J3666" s="70">
        <f>IFERROR(VLOOKUP(Devis[[#This Row],[Ref Air Flux]],#REF!,3,FALSE),0)</f>
        <v>0</v>
      </c>
      <c r="K3666" s="68"/>
      <c r="L3666" s="68"/>
      <c r="M3666" s="68"/>
      <c r="N3666" s="68"/>
      <c r="O3666" s="68"/>
      <c r="P3666" s="68"/>
      <c r="Q3666" s="68">
        <f>SUM(Devis[[#This Row],[Poste 1]:[Poste 6]])</f>
        <v>0</v>
      </c>
      <c r="R3666" s="71"/>
      <c r="S3666" s="68">
        <f>_xlfn.CEILING.MATH(Devis[[#This Row],[Quantité Totale]],Devis[[#This Row],[Conditionnement]])</f>
        <v>0</v>
      </c>
      <c r="T3666" s="72"/>
      <c r="U3666" s="73"/>
      <c r="V3666" s="74">
        <f>Devis[[#This Row],[Prix de Revient]]*Devis[[#This Row],[Poste 1]]</f>
        <v>0</v>
      </c>
      <c r="W3666" s="74">
        <f>Devis[[#This Row],[Prix de Revient]]*Devis[[#This Row],[Poste 2]]</f>
        <v>0</v>
      </c>
      <c r="X3666" s="74">
        <f>Devis[[#This Row],[Prix de Revient]]*Devis[[#This Row],[Poste 3]]</f>
        <v>0</v>
      </c>
      <c r="Y3666" s="74">
        <f>Devis[[#This Row],[Poste 4]]*Devis[[#This Row],[Prix de Revient]]</f>
        <v>0</v>
      </c>
      <c r="Z3666" s="74">
        <f>Devis[[#This Row],[Poste 5]]*Devis[[#This Row],[Prix de Revient]]</f>
        <v>0</v>
      </c>
      <c r="AA3666" s="74">
        <f>Devis[[#This Row],[Prix de Revient]]*Devis[[#This Row],[Poste 6]]</f>
        <v>0</v>
      </c>
      <c r="AB3666" s="74">
        <f>Devis[[#This Row],[Quantité Totale]]*Devis[[#This Row],[Prix de Revient]]</f>
        <v>0</v>
      </c>
    </row>
    <row r="3667" spans="1:28" ht="15" customHeight="1" outlineLevel="1" x14ac:dyDescent="0.2">
      <c r="A3667" s="75" t="s">
        <v>3177</v>
      </c>
      <c r="B3667" s="76" t="s">
        <v>4008</v>
      </c>
      <c r="C3667" s="76" t="s">
        <v>4022</v>
      </c>
      <c r="D3667" s="81" t="str">
        <f t="shared" si="66"/>
        <v>VannesVanne PapillonOreille Taraudée - Metal / Metal - Haute T°</v>
      </c>
      <c r="E3667" s="76" t="s">
        <v>3220</v>
      </c>
      <c r="F3667" s="76">
        <v>29</v>
      </c>
      <c r="G3667" s="71" t="s">
        <v>3233</v>
      </c>
      <c r="H3667" s="71"/>
      <c r="I3667" s="71">
        <v>1113080</v>
      </c>
      <c r="J3667" s="70">
        <f>IFERROR(VLOOKUP(Devis[[#This Row],[Ref Air Flux]],#REF!,3,FALSE),0)</f>
        <v>0</v>
      </c>
      <c r="K3667" s="68"/>
      <c r="L3667" s="68"/>
      <c r="M3667" s="68"/>
      <c r="N3667" s="68"/>
      <c r="O3667" s="68"/>
      <c r="P3667" s="68"/>
      <c r="Q3667" s="68">
        <f>SUM(Devis[[#This Row],[Poste 1]:[Poste 6]])</f>
        <v>0</v>
      </c>
      <c r="R3667" s="71"/>
      <c r="S3667" s="68">
        <f>_xlfn.CEILING.MATH(Devis[[#This Row],[Quantité Totale]],Devis[[#This Row],[Conditionnement]])</f>
        <v>0</v>
      </c>
      <c r="T3667" s="72"/>
      <c r="U3667" s="73"/>
      <c r="V3667" s="74">
        <f>Devis[[#This Row],[Prix de Revient]]*Devis[[#This Row],[Poste 1]]</f>
        <v>0</v>
      </c>
      <c r="W3667" s="74">
        <f>Devis[[#This Row],[Prix de Revient]]*Devis[[#This Row],[Poste 2]]</f>
        <v>0</v>
      </c>
      <c r="X3667" s="74">
        <f>Devis[[#This Row],[Prix de Revient]]*Devis[[#This Row],[Poste 3]]</f>
        <v>0</v>
      </c>
      <c r="Y3667" s="74">
        <f>Devis[[#This Row],[Poste 4]]*Devis[[#This Row],[Prix de Revient]]</f>
        <v>0</v>
      </c>
      <c r="Z3667" s="74">
        <f>Devis[[#This Row],[Poste 5]]*Devis[[#This Row],[Prix de Revient]]</f>
        <v>0</v>
      </c>
      <c r="AA3667" s="74">
        <f>Devis[[#This Row],[Prix de Revient]]*Devis[[#This Row],[Poste 6]]</f>
        <v>0</v>
      </c>
      <c r="AB3667" s="74">
        <f>Devis[[#This Row],[Quantité Totale]]*Devis[[#This Row],[Prix de Revient]]</f>
        <v>0</v>
      </c>
    </row>
  </sheetData>
  <phoneticPr fontId="3" type="noConversion"/>
  <hyperlinks>
    <hyperlink ref="I914" r:id="rId1" location="ANSCHLUSSGEWINDE_MM|ANSCHLUSSGEWINDE_MM!!M8+SAP_LAENGE|SAP_LAENGE!!40" display="115166" xr:uid="{0A144985-5C33-40FC-8005-FE888E3B94B4}"/>
    <hyperlink ref="I915" r:id="rId2" location="ANSCHLUSSGEWINDE_MM|ANSCHLUSSGEWINDE_MM!!M10+SAP_LAENGE|SAP_LAENGE!!35" display="115104" xr:uid="{24527CF0-FBF1-4E60-8BE8-25EE0CB7947B}"/>
  </hyperlinks>
  <pageMargins left="0.7" right="0.7" top="0.75" bottom="0.75" header="0.3" footer="0.3"/>
  <pageSetup paperSize="9" scale="26"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9459" r:id="rId6" name="Button 3">
              <controlPr defaultSize="0" print="0" autoFill="0" autoPict="0" macro="[0]!Filtrer">
                <anchor moveWithCells="1" sizeWithCells="1">
                  <from>
                    <xdr:col>16</xdr:col>
                    <xdr:colOff>28575</xdr:colOff>
                    <xdr:row>0</xdr:row>
                    <xdr:rowOff>66675</xdr:rowOff>
                  </from>
                  <to>
                    <xdr:col>16</xdr:col>
                    <xdr:colOff>657225</xdr:colOff>
                    <xdr:row>0</xdr:row>
                    <xdr:rowOff>495300</xdr:rowOff>
                  </to>
                </anchor>
              </controlPr>
            </control>
          </mc:Choice>
        </mc:AlternateContent>
        <mc:AlternateContent xmlns:mc="http://schemas.openxmlformats.org/markup-compatibility/2006">
          <mc:Choice Requires="x14">
            <control shapeId="19624" r:id="rId7" name="Button 168">
              <controlPr defaultSize="0" print="0" autoFill="0" autoPict="0" macro="[0]!Nettoyage">
                <anchor moveWithCells="1" sizeWithCells="1">
                  <from>
                    <xdr:col>8</xdr:col>
                    <xdr:colOff>1647825</xdr:colOff>
                    <xdr:row>0</xdr:row>
                    <xdr:rowOff>76200</xdr:rowOff>
                  </from>
                  <to>
                    <xdr:col>9</xdr:col>
                    <xdr:colOff>1228725</xdr:colOff>
                    <xdr:row>0</xdr:row>
                    <xdr:rowOff>504825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18C38-6873-4605-985C-E411A9DFBDF6}">
  <sheetPr codeName="Feuil3"/>
  <dimension ref="A2:AB566"/>
  <sheetViews>
    <sheetView topLeftCell="A529" workbookViewId="0">
      <selection activeCell="C567" sqref="C567"/>
    </sheetView>
  </sheetViews>
  <sheetFormatPr baseColWidth="10" defaultRowHeight="12.75" x14ac:dyDescent="0.2"/>
  <cols>
    <col min="3" max="3" width="16.140625" customWidth="1"/>
    <col min="4" max="4" width="31.28515625" customWidth="1"/>
    <col min="5" max="5" width="15.28515625" customWidth="1"/>
    <col min="6" max="6" width="42.42578125" customWidth="1"/>
    <col min="7" max="7" width="14.85546875" customWidth="1"/>
    <col min="8" max="8" width="15.42578125" customWidth="1"/>
    <col min="9" max="9" width="19.5703125" customWidth="1"/>
    <col min="10" max="10" width="20" customWidth="1"/>
    <col min="17" max="17" width="18.85546875" customWidth="1"/>
    <col min="18" max="18" width="20.5703125" customWidth="1"/>
    <col min="19" max="19" width="33.140625" customWidth="1"/>
    <col min="20" max="20" width="30.7109375" customWidth="1"/>
    <col min="21" max="21" width="16.5703125" customWidth="1"/>
    <col min="22" max="27" width="16.42578125" customWidth="1"/>
    <col min="28" max="28" width="14" customWidth="1"/>
  </cols>
  <sheetData>
    <row r="2" spans="1:28" ht="15" x14ac:dyDescent="0.2">
      <c r="A2" s="42" t="s">
        <v>1</v>
      </c>
      <c r="B2" s="41" t="s">
        <v>2</v>
      </c>
      <c r="C2" s="41" t="s">
        <v>3555</v>
      </c>
      <c r="D2" s="41" t="s">
        <v>4084</v>
      </c>
      <c r="E2" s="41" t="s">
        <v>3</v>
      </c>
      <c r="F2" s="41" t="s">
        <v>4082</v>
      </c>
      <c r="G2" s="43" t="s">
        <v>4</v>
      </c>
      <c r="H2" s="44" t="s">
        <v>5</v>
      </c>
      <c r="I2" s="45" t="s">
        <v>6</v>
      </c>
      <c r="J2" s="46" t="s">
        <v>7</v>
      </c>
      <c r="K2" s="47" t="s">
        <v>3397</v>
      </c>
      <c r="L2" s="47" t="s">
        <v>3398</v>
      </c>
      <c r="M2" s="47" t="s">
        <v>3399</v>
      </c>
      <c r="N2" s="47" t="s">
        <v>8</v>
      </c>
      <c r="O2" s="47" t="s">
        <v>9</v>
      </c>
      <c r="P2" s="47" t="s">
        <v>3287</v>
      </c>
      <c r="Q2" s="47" t="s">
        <v>10</v>
      </c>
      <c r="R2" s="47" t="s">
        <v>11</v>
      </c>
      <c r="S2" s="47" t="s">
        <v>12</v>
      </c>
      <c r="T2" s="41" t="s">
        <v>13</v>
      </c>
      <c r="U2" s="41" t="s">
        <v>14</v>
      </c>
      <c r="V2" s="48" t="s">
        <v>3410</v>
      </c>
      <c r="W2" s="48" t="s">
        <v>3411</v>
      </c>
      <c r="X2" s="48" t="s">
        <v>3412</v>
      </c>
      <c r="Y2" s="48" t="s">
        <v>3413</v>
      </c>
      <c r="Z2" s="48" t="s">
        <v>3414</v>
      </c>
      <c r="AA2" s="48" t="s">
        <v>3415</v>
      </c>
      <c r="AB2" s="49" t="s">
        <v>3408</v>
      </c>
    </row>
    <row r="3" spans="1:28" ht="14.25" x14ac:dyDescent="0.2">
      <c r="A3" s="50" t="s">
        <v>15</v>
      </c>
      <c r="B3" s="51" t="s">
        <v>5653</v>
      </c>
      <c r="C3" s="51"/>
      <c r="D3" s="52"/>
      <c r="E3" s="51" t="s">
        <v>5654</v>
      </c>
      <c r="F3" s="52"/>
      <c r="G3" s="53">
        <v>11423326</v>
      </c>
      <c r="H3" s="53"/>
      <c r="I3" s="53"/>
      <c r="J3" s="52"/>
      <c r="K3" s="52"/>
      <c r="L3" s="52"/>
      <c r="M3" s="52"/>
      <c r="N3" s="52"/>
      <c r="O3" s="52"/>
      <c r="P3" s="52"/>
      <c r="Q3" s="52"/>
      <c r="R3" s="52"/>
      <c r="S3" s="52"/>
      <c r="T3" s="52"/>
      <c r="U3" s="52"/>
      <c r="V3" s="52"/>
      <c r="W3" s="52"/>
      <c r="X3" s="52"/>
      <c r="Y3" s="52"/>
      <c r="Z3" s="52"/>
      <c r="AA3" s="52"/>
      <c r="AB3" s="52"/>
    </row>
    <row r="4" spans="1:28" ht="14.25" x14ac:dyDescent="0.2">
      <c r="A4" s="54" t="s">
        <v>15</v>
      </c>
      <c r="B4" s="55" t="s">
        <v>5653</v>
      </c>
      <c r="C4" s="55"/>
      <c r="D4" s="52"/>
      <c r="E4" s="55" t="s">
        <v>5655</v>
      </c>
      <c r="F4" s="52"/>
      <c r="G4" s="56">
        <v>11423327</v>
      </c>
      <c r="H4" s="56"/>
      <c r="I4" s="56"/>
      <c r="J4" s="52"/>
      <c r="K4" s="52"/>
      <c r="L4" s="52"/>
      <c r="M4" s="52"/>
      <c r="N4" s="52"/>
      <c r="O4" s="52"/>
      <c r="P4" s="52"/>
      <c r="Q4" s="52"/>
      <c r="R4" s="52"/>
      <c r="S4" s="52"/>
      <c r="T4" s="52"/>
      <c r="U4" s="52"/>
      <c r="V4" s="52"/>
      <c r="W4" s="52"/>
      <c r="X4" s="52"/>
      <c r="Y4" s="52"/>
      <c r="Z4" s="52"/>
      <c r="AA4" s="52"/>
      <c r="AB4" s="52"/>
    </row>
    <row r="5" spans="1:28" ht="14.25" x14ac:dyDescent="0.2">
      <c r="A5" s="50" t="s">
        <v>15</v>
      </c>
      <c r="B5" s="51" t="s">
        <v>5653</v>
      </c>
      <c r="C5" s="51"/>
      <c r="D5" s="52"/>
      <c r="E5" s="51" t="s">
        <v>5656</v>
      </c>
      <c r="F5" s="52"/>
      <c r="G5" s="53">
        <v>11423328</v>
      </c>
      <c r="H5" s="53"/>
      <c r="I5" s="53"/>
      <c r="J5" s="52"/>
      <c r="K5" s="52"/>
      <c r="L5" s="52"/>
      <c r="M5" s="52"/>
      <c r="N5" s="52"/>
      <c r="O5" s="52"/>
      <c r="P5" s="52"/>
      <c r="Q5" s="52"/>
      <c r="R5" s="52"/>
      <c r="S5" s="52"/>
      <c r="T5" s="52"/>
      <c r="U5" s="52"/>
      <c r="V5" s="52"/>
      <c r="W5" s="52"/>
      <c r="X5" s="52"/>
      <c r="Y5" s="52"/>
      <c r="Z5" s="52"/>
      <c r="AA5" s="52"/>
      <c r="AB5" s="52"/>
    </row>
    <row r="6" spans="1:28" ht="14.25" x14ac:dyDescent="0.2">
      <c r="A6" s="54" t="s">
        <v>15</v>
      </c>
      <c r="B6" s="55" t="s">
        <v>5653</v>
      </c>
      <c r="C6" s="55"/>
      <c r="D6" s="52"/>
      <c r="E6" s="55" t="s">
        <v>5657</v>
      </c>
      <c r="F6" s="52"/>
      <c r="G6" s="56">
        <v>11423329</v>
      </c>
      <c r="H6" s="56"/>
      <c r="I6" s="56"/>
      <c r="J6" s="52"/>
      <c r="K6" s="52"/>
      <c r="L6" s="52"/>
      <c r="M6" s="52"/>
      <c r="N6" s="52"/>
      <c r="O6" s="52"/>
      <c r="P6" s="52"/>
      <c r="Q6" s="52"/>
      <c r="R6" s="52"/>
      <c r="S6" s="52"/>
      <c r="T6" s="52"/>
      <c r="U6" s="52"/>
      <c r="V6" s="52"/>
      <c r="W6" s="52"/>
      <c r="X6" s="52"/>
      <c r="Y6" s="52"/>
      <c r="Z6" s="52"/>
      <c r="AA6" s="52"/>
      <c r="AB6" s="52"/>
    </row>
    <row r="7" spans="1:28" ht="14.25" x14ac:dyDescent="0.2">
      <c r="A7" s="50" t="s">
        <v>15</v>
      </c>
      <c r="B7" s="51" t="s">
        <v>5658</v>
      </c>
      <c r="C7" s="51"/>
      <c r="D7" s="52"/>
      <c r="E7" s="51">
        <v>12</v>
      </c>
      <c r="F7" s="52"/>
      <c r="G7" s="53">
        <v>11149304</v>
      </c>
      <c r="H7" s="53"/>
      <c r="I7" s="53"/>
      <c r="J7" s="52"/>
      <c r="K7" s="52"/>
      <c r="L7" s="52"/>
      <c r="M7" s="52"/>
      <c r="N7" s="52"/>
      <c r="O7" s="52"/>
      <c r="P7" s="52"/>
      <c r="Q7" s="52"/>
      <c r="R7" s="52"/>
      <c r="S7" s="52"/>
      <c r="T7" s="52"/>
      <c r="U7" s="52"/>
      <c r="V7" s="52"/>
      <c r="W7" s="52"/>
      <c r="X7" s="52"/>
      <c r="Y7" s="52"/>
      <c r="Z7" s="52"/>
      <c r="AA7" s="52"/>
      <c r="AB7" s="52"/>
    </row>
    <row r="8" spans="1:28" ht="14.25" x14ac:dyDescent="0.2">
      <c r="A8" s="54" t="s">
        <v>15</v>
      </c>
      <c r="B8" s="55" t="s">
        <v>5658</v>
      </c>
      <c r="C8" s="55"/>
      <c r="D8" s="52"/>
      <c r="E8" s="55">
        <v>16</v>
      </c>
      <c r="F8" s="52"/>
      <c r="G8" s="56">
        <v>11149305</v>
      </c>
      <c r="H8" s="56"/>
      <c r="I8" s="56"/>
      <c r="J8" s="52"/>
      <c r="K8" s="52"/>
      <c r="L8" s="52"/>
      <c r="M8" s="52"/>
      <c r="N8" s="52"/>
      <c r="O8" s="52"/>
      <c r="P8" s="52"/>
      <c r="Q8" s="52"/>
      <c r="R8" s="52"/>
      <c r="S8" s="52"/>
      <c r="T8" s="52"/>
      <c r="U8" s="52"/>
      <c r="V8" s="52"/>
      <c r="W8" s="52"/>
      <c r="X8" s="52"/>
      <c r="Y8" s="52"/>
      <c r="Z8" s="52"/>
      <c r="AA8" s="52"/>
      <c r="AB8" s="52"/>
    </row>
    <row r="9" spans="1:28" ht="14.25" x14ac:dyDescent="0.2">
      <c r="A9" s="50" t="s">
        <v>15</v>
      </c>
      <c r="B9" s="51" t="s">
        <v>5658</v>
      </c>
      <c r="C9" s="51"/>
      <c r="D9" s="52"/>
      <c r="E9" s="51">
        <v>20</v>
      </c>
      <c r="F9" s="52"/>
      <c r="G9" s="53">
        <v>11149306</v>
      </c>
      <c r="H9" s="53"/>
      <c r="I9" s="53"/>
      <c r="J9" s="52"/>
      <c r="K9" s="52"/>
      <c r="L9" s="52"/>
      <c r="M9" s="52"/>
      <c r="N9" s="52"/>
      <c r="O9" s="52"/>
      <c r="P9" s="52"/>
      <c r="Q9" s="52"/>
      <c r="R9" s="52"/>
      <c r="S9" s="52"/>
      <c r="T9" s="52"/>
      <c r="U9" s="52"/>
      <c r="V9" s="52"/>
      <c r="W9" s="52"/>
      <c r="X9" s="52"/>
      <c r="Y9" s="52"/>
      <c r="Z9" s="52"/>
      <c r="AA9" s="52"/>
      <c r="AB9" s="52"/>
    </row>
    <row r="10" spans="1:28" ht="14.25" x14ac:dyDescent="0.2">
      <c r="A10" s="54" t="s">
        <v>15</v>
      </c>
      <c r="B10" s="55" t="s">
        <v>5658</v>
      </c>
      <c r="C10" s="55"/>
      <c r="D10" s="52"/>
      <c r="E10" s="55">
        <v>25</v>
      </c>
      <c r="F10" s="52"/>
      <c r="G10" s="56">
        <v>11149307</v>
      </c>
      <c r="H10" s="56"/>
      <c r="I10" s="56"/>
      <c r="J10" s="52"/>
      <c r="K10" s="52"/>
      <c r="L10" s="52"/>
      <c r="M10" s="52"/>
      <c r="N10" s="52"/>
      <c r="O10" s="52"/>
      <c r="P10" s="52"/>
      <c r="Q10" s="52"/>
      <c r="R10" s="52"/>
      <c r="S10" s="52"/>
      <c r="T10" s="52"/>
      <c r="U10" s="52"/>
      <c r="V10" s="52"/>
      <c r="W10" s="52"/>
      <c r="X10" s="52"/>
      <c r="Y10" s="52"/>
      <c r="Z10" s="52"/>
      <c r="AA10" s="52"/>
      <c r="AB10" s="52"/>
    </row>
    <row r="11" spans="1:28" ht="14.25" x14ac:dyDescent="0.2">
      <c r="A11" s="50" t="s">
        <v>15</v>
      </c>
      <c r="B11" s="51" t="s">
        <v>5658</v>
      </c>
      <c r="C11" s="51"/>
      <c r="D11" s="52"/>
      <c r="E11" s="51">
        <v>32</v>
      </c>
      <c r="F11" s="52"/>
      <c r="G11" s="53">
        <v>11149308</v>
      </c>
      <c r="H11" s="53"/>
      <c r="I11" s="53"/>
      <c r="J11" s="52"/>
      <c r="K11" s="52"/>
      <c r="L11" s="52"/>
      <c r="M11" s="52"/>
      <c r="N11" s="52"/>
      <c r="O11" s="52"/>
      <c r="P11" s="52"/>
      <c r="Q11" s="52"/>
      <c r="R11" s="52"/>
      <c r="S11" s="52"/>
      <c r="T11" s="52"/>
      <c r="U11" s="52"/>
      <c r="V11" s="52"/>
      <c r="W11" s="52"/>
      <c r="X11" s="52"/>
      <c r="Y11" s="52"/>
      <c r="Z11" s="52"/>
      <c r="AA11" s="52"/>
      <c r="AB11" s="52"/>
    </row>
    <row r="12" spans="1:28" ht="14.25" x14ac:dyDescent="0.2">
      <c r="A12" s="54" t="s">
        <v>15</v>
      </c>
      <c r="B12" s="55" t="s">
        <v>5658</v>
      </c>
      <c r="C12" s="55"/>
      <c r="D12" s="52"/>
      <c r="E12" s="55">
        <v>40</v>
      </c>
      <c r="F12" s="52"/>
      <c r="G12" s="56">
        <v>11149309</v>
      </c>
      <c r="H12" s="56"/>
      <c r="I12" s="56"/>
      <c r="J12" s="52"/>
      <c r="K12" s="52"/>
      <c r="L12" s="52"/>
      <c r="M12" s="52"/>
      <c r="N12" s="52"/>
      <c r="O12" s="52"/>
      <c r="P12" s="52"/>
      <c r="Q12" s="52"/>
      <c r="R12" s="52"/>
      <c r="S12" s="52"/>
      <c r="T12" s="52"/>
      <c r="U12" s="52"/>
      <c r="V12" s="52"/>
      <c r="W12" s="52"/>
      <c r="X12" s="52"/>
      <c r="Y12" s="52"/>
      <c r="Z12" s="52"/>
      <c r="AA12" s="52"/>
      <c r="AB12" s="52"/>
    </row>
    <row r="13" spans="1:28" ht="14.25" x14ac:dyDescent="0.2">
      <c r="A13" s="50" t="s">
        <v>15</v>
      </c>
      <c r="B13" s="51" t="s">
        <v>5658</v>
      </c>
      <c r="C13" s="51"/>
      <c r="D13" s="52"/>
      <c r="E13" s="51">
        <v>50</v>
      </c>
      <c r="F13" s="52"/>
      <c r="G13" s="53">
        <v>11149310</v>
      </c>
      <c r="H13" s="53"/>
      <c r="I13" s="53"/>
      <c r="J13" s="52"/>
      <c r="K13" s="52"/>
      <c r="L13" s="52"/>
      <c r="M13" s="52"/>
      <c r="N13" s="52"/>
      <c r="O13" s="52"/>
      <c r="P13" s="52"/>
      <c r="Q13" s="52"/>
      <c r="R13" s="52"/>
      <c r="S13" s="52"/>
      <c r="T13" s="52"/>
      <c r="U13" s="52"/>
      <c r="V13" s="52"/>
      <c r="W13" s="52"/>
      <c r="X13" s="52"/>
      <c r="Y13" s="52"/>
      <c r="Z13" s="52"/>
      <c r="AA13" s="52"/>
      <c r="AB13" s="52"/>
    </row>
    <row r="14" spans="1:28" ht="14.25" x14ac:dyDescent="0.2">
      <c r="A14" s="54" t="s">
        <v>15</v>
      </c>
      <c r="B14" s="55" t="s">
        <v>5658</v>
      </c>
      <c r="C14" s="55"/>
      <c r="D14" s="52"/>
      <c r="E14" s="55">
        <v>63</v>
      </c>
      <c r="F14" s="52"/>
      <c r="G14" s="56">
        <v>11149311</v>
      </c>
      <c r="H14" s="56"/>
      <c r="I14" s="56"/>
      <c r="J14" s="52"/>
      <c r="K14" s="52"/>
      <c r="L14" s="52"/>
      <c r="M14" s="52"/>
      <c r="N14" s="52"/>
      <c r="O14" s="52"/>
      <c r="P14" s="52"/>
      <c r="Q14" s="52"/>
      <c r="R14" s="52"/>
      <c r="S14" s="52"/>
      <c r="T14" s="52"/>
      <c r="U14" s="52"/>
      <c r="V14" s="52"/>
      <c r="W14" s="52"/>
      <c r="X14" s="52"/>
      <c r="Y14" s="52"/>
      <c r="Z14" s="52"/>
      <c r="AA14" s="52"/>
      <c r="AB14" s="52"/>
    </row>
    <row r="15" spans="1:28" ht="14.25" x14ac:dyDescent="0.2">
      <c r="A15" s="50" t="s">
        <v>15</v>
      </c>
      <c r="B15" s="51" t="s">
        <v>5658</v>
      </c>
      <c r="C15" s="51"/>
      <c r="D15" s="52"/>
      <c r="E15" s="51">
        <v>75</v>
      </c>
      <c r="F15" s="52"/>
      <c r="G15" s="53">
        <v>11149312</v>
      </c>
      <c r="H15" s="53"/>
      <c r="I15" s="53"/>
      <c r="J15" s="52"/>
      <c r="K15" s="52"/>
      <c r="L15" s="52"/>
      <c r="M15" s="52"/>
      <c r="N15" s="52"/>
      <c r="O15" s="52"/>
      <c r="P15" s="52"/>
      <c r="Q15" s="52"/>
      <c r="R15" s="52"/>
      <c r="S15" s="52"/>
      <c r="T15" s="52"/>
      <c r="U15" s="52"/>
      <c r="V15" s="52"/>
      <c r="W15" s="52"/>
      <c r="X15" s="52"/>
      <c r="Y15" s="52"/>
      <c r="Z15" s="52"/>
      <c r="AA15" s="52"/>
      <c r="AB15" s="52"/>
    </row>
    <row r="16" spans="1:28" ht="14.25" x14ac:dyDescent="0.2">
      <c r="A16" s="54" t="s">
        <v>15</v>
      </c>
      <c r="B16" s="55" t="s">
        <v>5658</v>
      </c>
      <c r="C16" s="55"/>
      <c r="D16" s="52"/>
      <c r="E16" s="55">
        <v>90</v>
      </c>
      <c r="F16" s="52"/>
      <c r="G16" s="56">
        <v>11149313</v>
      </c>
      <c r="H16" s="56"/>
      <c r="I16" s="56"/>
      <c r="J16" s="52"/>
      <c r="K16" s="52"/>
      <c r="L16" s="52"/>
      <c r="M16" s="52"/>
      <c r="N16" s="52"/>
      <c r="O16" s="52"/>
      <c r="P16" s="52"/>
      <c r="Q16" s="52"/>
      <c r="R16" s="52"/>
      <c r="S16" s="52"/>
      <c r="T16" s="52"/>
      <c r="U16" s="52"/>
      <c r="V16" s="52"/>
      <c r="W16" s="52"/>
      <c r="X16" s="52"/>
      <c r="Y16" s="52"/>
      <c r="Z16" s="52"/>
      <c r="AA16" s="52"/>
      <c r="AB16" s="52"/>
    </row>
    <row r="17" spans="1:28" ht="14.25" x14ac:dyDescent="0.2">
      <c r="A17" s="50" t="s">
        <v>15</v>
      </c>
      <c r="B17" s="51" t="s">
        <v>5658</v>
      </c>
      <c r="C17" s="51"/>
      <c r="D17" s="52"/>
      <c r="E17" s="51">
        <v>110</v>
      </c>
      <c r="F17" s="52"/>
      <c r="G17" s="53">
        <v>11149314</v>
      </c>
      <c r="H17" s="53"/>
      <c r="I17" s="53"/>
      <c r="J17" s="52"/>
      <c r="K17" s="52"/>
      <c r="L17" s="52"/>
      <c r="M17" s="52"/>
      <c r="N17" s="52"/>
      <c r="O17" s="52"/>
      <c r="P17" s="52"/>
      <c r="Q17" s="52"/>
      <c r="R17" s="52"/>
      <c r="S17" s="52"/>
      <c r="T17" s="52"/>
      <c r="U17" s="52"/>
      <c r="V17" s="52"/>
      <c r="W17" s="52"/>
      <c r="X17" s="52"/>
      <c r="Y17" s="52"/>
      <c r="Z17" s="52"/>
      <c r="AA17" s="52"/>
      <c r="AB17" s="52"/>
    </row>
    <row r="18" spans="1:28" ht="14.25" x14ac:dyDescent="0.2">
      <c r="A18" s="54" t="s">
        <v>15</v>
      </c>
      <c r="B18" s="55" t="s">
        <v>5659</v>
      </c>
      <c r="C18" s="55"/>
      <c r="D18" s="52"/>
      <c r="E18" s="55" t="s">
        <v>16</v>
      </c>
      <c r="F18" s="52"/>
      <c r="G18" s="56">
        <v>1155101</v>
      </c>
      <c r="H18" s="56"/>
      <c r="I18" s="56"/>
      <c r="J18" s="52"/>
      <c r="K18" s="52"/>
      <c r="L18" s="52"/>
      <c r="M18" s="52"/>
      <c r="N18" s="52"/>
      <c r="O18" s="52"/>
      <c r="P18" s="52"/>
      <c r="Q18" s="52"/>
      <c r="R18" s="52"/>
      <c r="S18" s="52"/>
      <c r="T18" s="52"/>
      <c r="U18" s="52"/>
      <c r="V18" s="52"/>
      <c r="W18" s="52"/>
      <c r="X18" s="52"/>
      <c r="Y18" s="52"/>
      <c r="Z18" s="52"/>
      <c r="AA18" s="52"/>
      <c r="AB18" s="52"/>
    </row>
    <row r="19" spans="1:28" ht="14.25" x14ac:dyDescent="0.2">
      <c r="A19" s="50" t="s">
        <v>15</v>
      </c>
      <c r="B19" s="51" t="s">
        <v>5659</v>
      </c>
      <c r="C19" s="51"/>
      <c r="D19" s="52"/>
      <c r="E19" s="51" t="s">
        <v>17</v>
      </c>
      <c r="F19" s="52"/>
      <c r="G19" s="53">
        <v>1155102</v>
      </c>
      <c r="H19" s="53"/>
      <c r="I19" s="53"/>
      <c r="J19" s="52"/>
      <c r="K19" s="52"/>
      <c r="L19" s="52"/>
      <c r="M19" s="52"/>
      <c r="N19" s="52"/>
      <c r="O19" s="52"/>
      <c r="P19" s="52"/>
      <c r="Q19" s="52"/>
      <c r="R19" s="52"/>
      <c r="S19" s="52"/>
      <c r="T19" s="52"/>
      <c r="U19" s="52"/>
      <c r="V19" s="52"/>
      <c r="W19" s="52"/>
      <c r="X19" s="52"/>
      <c r="Y19" s="52"/>
      <c r="Z19" s="52"/>
      <c r="AA19" s="52"/>
      <c r="AB19" s="52"/>
    </row>
    <row r="20" spans="1:28" ht="14.25" x14ac:dyDescent="0.2">
      <c r="A20" s="54" t="s">
        <v>15</v>
      </c>
      <c r="B20" s="55" t="s">
        <v>5659</v>
      </c>
      <c r="C20" s="55"/>
      <c r="D20" s="52"/>
      <c r="E20" s="55" t="s">
        <v>18</v>
      </c>
      <c r="F20" s="52"/>
      <c r="G20" s="56">
        <v>1155103</v>
      </c>
      <c r="H20" s="56"/>
      <c r="I20" s="56"/>
      <c r="J20" s="52"/>
      <c r="K20" s="52"/>
      <c r="L20" s="52"/>
      <c r="M20" s="52"/>
      <c r="N20" s="52"/>
      <c r="O20" s="52"/>
      <c r="P20" s="52"/>
      <c r="Q20" s="52"/>
      <c r="R20" s="52"/>
      <c r="S20" s="52"/>
      <c r="T20" s="52"/>
      <c r="U20" s="52"/>
      <c r="V20" s="52"/>
      <c r="W20" s="52"/>
      <c r="X20" s="52"/>
      <c r="Y20" s="52"/>
      <c r="Z20" s="52"/>
      <c r="AA20" s="52"/>
      <c r="AB20" s="52"/>
    </row>
    <row r="21" spans="1:28" ht="14.25" x14ac:dyDescent="0.2">
      <c r="A21" s="50" t="s">
        <v>15</v>
      </c>
      <c r="B21" s="51" t="s">
        <v>5659</v>
      </c>
      <c r="C21" s="51"/>
      <c r="D21" s="52"/>
      <c r="E21" s="51" t="s">
        <v>19</v>
      </c>
      <c r="F21" s="52"/>
      <c r="G21" s="53">
        <v>1155104</v>
      </c>
      <c r="H21" s="53"/>
      <c r="I21" s="53"/>
      <c r="J21" s="52"/>
      <c r="K21" s="52"/>
      <c r="L21" s="52"/>
      <c r="M21" s="52"/>
      <c r="N21" s="52"/>
      <c r="O21" s="52"/>
      <c r="P21" s="52"/>
      <c r="Q21" s="52"/>
      <c r="R21" s="52"/>
      <c r="S21" s="52"/>
      <c r="T21" s="52"/>
      <c r="U21" s="52"/>
      <c r="V21" s="52"/>
      <c r="W21" s="52"/>
      <c r="X21" s="52"/>
      <c r="Y21" s="52"/>
      <c r="Z21" s="52"/>
      <c r="AA21" s="52"/>
      <c r="AB21" s="52"/>
    </row>
    <row r="22" spans="1:28" ht="14.25" x14ac:dyDescent="0.2">
      <c r="A22" s="54" t="s">
        <v>15</v>
      </c>
      <c r="B22" s="55" t="s">
        <v>5659</v>
      </c>
      <c r="C22" s="55"/>
      <c r="D22" s="52"/>
      <c r="E22" s="55" t="s">
        <v>20</v>
      </c>
      <c r="F22" s="52"/>
      <c r="G22" s="56">
        <v>1155105</v>
      </c>
      <c r="H22" s="56"/>
      <c r="I22" s="56"/>
      <c r="J22" s="52"/>
      <c r="K22" s="52"/>
      <c r="L22" s="52"/>
      <c r="M22" s="52"/>
      <c r="N22" s="52"/>
      <c r="O22" s="52"/>
      <c r="P22" s="52"/>
      <c r="Q22" s="52"/>
      <c r="R22" s="52"/>
      <c r="S22" s="52"/>
      <c r="T22" s="52"/>
      <c r="U22" s="52"/>
      <c r="V22" s="52"/>
      <c r="W22" s="52"/>
      <c r="X22" s="52"/>
      <c r="Y22" s="52"/>
      <c r="Z22" s="52"/>
      <c r="AA22" s="52"/>
      <c r="AB22" s="52"/>
    </row>
    <row r="23" spans="1:28" ht="14.25" x14ac:dyDescent="0.2">
      <c r="A23" s="50" t="s">
        <v>15</v>
      </c>
      <c r="B23" s="51" t="s">
        <v>5659</v>
      </c>
      <c r="C23" s="51"/>
      <c r="D23" s="52"/>
      <c r="E23" s="51" t="s">
        <v>21</v>
      </c>
      <c r="F23" s="52"/>
      <c r="G23" s="53">
        <v>1155106</v>
      </c>
      <c r="H23" s="53"/>
      <c r="I23" s="53"/>
      <c r="J23" s="52"/>
      <c r="K23" s="52"/>
      <c r="L23" s="52"/>
      <c r="M23" s="52"/>
      <c r="N23" s="52"/>
      <c r="O23" s="52"/>
      <c r="P23" s="52"/>
      <c r="Q23" s="52"/>
      <c r="R23" s="52"/>
      <c r="S23" s="52"/>
      <c r="T23" s="52"/>
      <c r="U23" s="52"/>
      <c r="V23" s="52"/>
      <c r="W23" s="52"/>
      <c r="X23" s="52"/>
      <c r="Y23" s="52"/>
      <c r="Z23" s="52"/>
      <c r="AA23" s="52"/>
      <c r="AB23" s="52"/>
    </row>
    <row r="24" spans="1:28" ht="14.25" x14ac:dyDescent="0.2">
      <c r="A24" s="54" t="s">
        <v>15</v>
      </c>
      <c r="B24" s="55" t="s">
        <v>5659</v>
      </c>
      <c r="C24" s="55"/>
      <c r="D24" s="52"/>
      <c r="E24" s="55" t="s">
        <v>0</v>
      </c>
      <c r="F24" s="52"/>
      <c r="G24" s="56">
        <v>1155107</v>
      </c>
      <c r="H24" s="56"/>
      <c r="I24" s="56"/>
      <c r="J24" s="52"/>
      <c r="K24" s="52"/>
      <c r="L24" s="52"/>
      <c r="M24" s="52"/>
      <c r="N24" s="52"/>
      <c r="O24" s="52"/>
      <c r="P24" s="52"/>
      <c r="Q24" s="52"/>
      <c r="R24" s="52"/>
      <c r="S24" s="52"/>
      <c r="T24" s="52"/>
      <c r="U24" s="52"/>
      <c r="V24" s="52"/>
      <c r="W24" s="52"/>
      <c r="X24" s="52"/>
      <c r="Y24" s="52"/>
      <c r="Z24" s="52"/>
      <c r="AA24" s="52"/>
      <c r="AB24" s="52"/>
    </row>
    <row r="25" spans="1:28" ht="14.25" x14ac:dyDescent="0.2">
      <c r="A25" s="50" t="s">
        <v>15</v>
      </c>
      <c r="B25" s="51" t="s">
        <v>5660</v>
      </c>
      <c r="C25" s="51"/>
      <c r="D25" s="52"/>
      <c r="E25" s="51" t="s">
        <v>16</v>
      </c>
      <c r="F25" s="52"/>
      <c r="G25" s="53">
        <v>1141101</v>
      </c>
      <c r="H25" s="53"/>
      <c r="I25" s="53"/>
      <c r="J25" s="52"/>
      <c r="K25" s="52"/>
      <c r="L25" s="52"/>
      <c r="M25" s="52"/>
      <c r="N25" s="52"/>
      <c r="O25" s="52"/>
      <c r="P25" s="52"/>
      <c r="Q25" s="52"/>
      <c r="R25" s="52"/>
      <c r="S25" s="52"/>
      <c r="T25" s="52"/>
      <c r="U25" s="52"/>
      <c r="V25" s="52"/>
      <c r="W25" s="52"/>
      <c r="X25" s="52"/>
      <c r="Y25" s="52"/>
      <c r="Z25" s="52"/>
      <c r="AA25" s="52"/>
      <c r="AB25" s="52"/>
    </row>
    <row r="26" spans="1:28" ht="14.25" x14ac:dyDescent="0.2">
      <c r="A26" s="54" t="s">
        <v>15</v>
      </c>
      <c r="B26" s="55" t="s">
        <v>5660</v>
      </c>
      <c r="C26" s="55"/>
      <c r="D26" s="52"/>
      <c r="E26" s="55" t="s">
        <v>17</v>
      </c>
      <c r="F26" s="52"/>
      <c r="G26" s="56">
        <v>1141102</v>
      </c>
      <c r="H26" s="56"/>
      <c r="I26" s="56"/>
      <c r="J26" s="52"/>
      <c r="K26" s="52"/>
      <c r="L26" s="52"/>
      <c r="M26" s="52"/>
      <c r="N26" s="52"/>
      <c r="O26" s="52"/>
      <c r="P26" s="52"/>
      <c r="Q26" s="52"/>
      <c r="R26" s="52"/>
      <c r="S26" s="52"/>
      <c r="T26" s="52"/>
      <c r="U26" s="52"/>
      <c r="V26" s="52"/>
      <c r="W26" s="52"/>
      <c r="X26" s="52"/>
      <c r="Y26" s="52"/>
      <c r="Z26" s="52"/>
      <c r="AA26" s="52"/>
      <c r="AB26" s="52"/>
    </row>
    <row r="27" spans="1:28" ht="14.25" x14ac:dyDescent="0.2">
      <c r="A27" s="50" t="s">
        <v>15</v>
      </c>
      <c r="B27" s="51" t="s">
        <v>5660</v>
      </c>
      <c r="C27" s="51"/>
      <c r="D27" s="52"/>
      <c r="E27" s="51" t="s">
        <v>18</v>
      </c>
      <c r="F27" s="52"/>
      <c r="G27" s="53">
        <v>1141103</v>
      </c>
      <c r="H27" s="53"/>
      <c r="I27" s="53"/>
      <c r="J27" s="52"/>
      <c r="K27" s="52"/>
      <c r="L27" s="52"/>
      <c r="M27" s="52"/>
      <c r="N27" s="52"/>
      <c r="O27" s="52"/>
      <c r="P27" s="52"/>
      <c r="Q27" s="52"/>
      <c r="R27" s="52"/>
      <c r="S27" s="52"/>
      <c r="T27" s="52"/>
      <c r="U27" s="52"/>
      <c r="V27" s="52"/>
      <c r="W27" s="52"/>
      <c r="X27" s="52"/>
      <c r="Y27" s="52"/>
      <c r="Z27" s="52"/>
      <c r="AA27" s="52"/>
      <c r="AB27" s="52"/>
    </row>
    <row r="28" spans="1:28" ht="14.25" x14ac:dyDescent="0.2">
      <c r="A28" s="54" t="s">
        <v>15</v>
      </c>
      <c r="B28" s="55" t="s">
        <v>5660</v>
      </c>
      <c r="C28" s="55"/>
      <c r="D28" s="52"/>
      <c r="E28" s="55" t="s">
        <v>19</v>
      </c>
      <c r="F28" s="52"/>
      <c r="G28" s="56">
        <v>1141104</v>
      </c>
      <c r="H28" s="56"/>
      <c r="I28" s="56"/>
      <c r="J28" s="52"/>
      <c r="K28" s="52"/>
      <c r="L28" s="52"/>
      <c r="M28" s="52"/>
      <c r="N28" s="52"/>
      <c r="O28" s="52"/>
      <c r="P28" s="52"/>
      <c r="Q28" s="52"/>
      <c r="R28" s="52"/>
      <c r="S28" s="52"/>
      <c r="T28" s="52"/>
      <c r="U28" s="52"/>
      <c r="V28" s="52"/>
      <c r="W28" s="52"/>
      <c r="X28" s="52"/>
      <c r="Y28" s="52"/>
      <c r="Z28" s="52"/>
      <c r="AA28" s="52"/>
      <c r="AB28" s="52"/>
    </row>
    <row r="29" spans="1:28" ht="14.25" x14ac:dyDescent="0.2">
      <c r="A29" s="50" t="s">
        <v>15</v>
      </c>
      <c r="B29" s="51" t="s">
        <v>5660</v>
      </c>
      <c r="C29" s="51"/>
      <c r="D29" s="52"/>
      <c r="E29" s="51" t="s">
        <v>21</v>
      </c>
      <c r="F29" s="52"/>
      <c r="G29" s="53">
        <v>1141105</v>
      </c>
      <c r="H29" s="53"/>
      <c r="I29" s="53"/>
      <c r="J29" s="52"/>
      <c r="K29" s="52"/>
      <c r="L29" s="52"/>
      <c r="M29" s="52"/>
      <c r="N29" s="52"/>
      <c r="O29" s="52"/>
      <c r="P29" s="52"/>
      <c r="Q29" s="52"/>
      <c r="R29" s="52"/>
      <c r="S29" s="52"/>
      <c r="T29" s="52"/>
      <c r="U29" s="52"/>
      <c r="V29" s="52"/>
      <c r="W29" s="52"/>
      <c r="X29" s="52"/>
      <c r="Y29" s="52"/>
      <c r="Z29" s="52"/>
      <c r="AA29" s="52"/>
      <c r="AB29" s="52"/>
    </row>
    <row r="30" spans="1:28" ht="14.25" x14ac:dyDescent="0.2">
      <c r="A30" s="54" t="s">
        <v>15</v>
      </c>
      <c r="B30" s="55" t="s">
        <v>5660</v>
      </c>
      <c r="C30" s="55"/>
      <c r="D30" s="52"/>
      <c r="E30" s="55" t="s">
        <v>0</v>
      </c>
      <c r="F30" s="52"/>
      <c r="G30" s="56">
        <v>1141107</v>
      </c>
      <c r="H30" s="56"/>
      <c r="I30" s="56"/>
      <c r="J30" s="52"/>
      <c r="K30" s="52"/>
      <c r="L30" s="52"/>
      <c r="M30" s="52"/>
      <c r="N30" s="52"/>
      <c r="O30" s="52"/>
      <c r="P30" s="52"/>
      <c r="Q30" s="52"/>
      <c r="R30" s="52"/>
      <c r="S30" s="52"/>
      <c r="T30" s="52"/>
      <c r="U30" s="52"/>
      <c r="V30" s="52"/>
      <c r="W30" s="52"/>
      <c r="X30" s="52"/>
      <c r="Y30" s="52"/>
      <c r="Z30" s="52"/>
      <c r="AA30" s="52"/>
      <c r="AB30" s="52"/>
    </row>
    <row r="31" spans="1:28" ht="14.25" x14ac:dyDescent="0.2">
      <c r="A31" s="50" t="s">
        <v>15</v>
      </c>
      <c r="B31" s="51" t="s">
        <v>5660</v>
      </c>
      <c r="C31" s="51"/>
      <c r="D31" s="52"/>
      <c r="E31" s="51" t="s">
        <v>22</v>
      </c>
      <c r="F31" s="52"/>
      <c r="G31" s="53">
        <v>1141109</v>
      </c>
      <c r="H31" s="53"/>
      <c r="I31" s="53"/>
      <c r="J31" s="52"/>
      <c r="K31" s="52"/>
      <c r="L31" s="52"/>
      <c r="M31" s="52"/>
      <c r="N31" s="52"/>
      <c r="O31" s="52"/>
      <c r="P31" s="52"/>
      <c r="Q31" s="52"/>
      <c r="R31" s="52"/>
      <c r="S31" s="52"/>
      <c r="T31" s="52"/>
      <c r="U31" s="52"/>
      <c r="V31" s="52"/>
      <c r="W31" s="52"/>
      <c r="X31" s="52"/>
      <c r="Y31" s="52"/>
      <c r="Z31" s="52"/>
      <c r="AA31" s="52"/>
      <c r="AB31" s="52"/>
    </row>
    <row r="32" spans="1:28" ht="14.25" x14ac:dyDescent="0.2">
      <c r="A32" s="54" t="s">
        <v>15</v>
      </c>
      <c r="B32" s="55" t="s">
        <v>5661</v>
      </c>
      <c r="C32" s="55"/>
      <c r="D32" s="52"/>
      <c r="E32" s="55">
        <v>32</v>
      </c>
      <c r="F32" s="52"/>
      <c r="G32" s="56">
        <v>13421308</v>
      </c>
      <c r="H32" s="56"/>
      <c r="I32" s="56"/>
      <c r="J32" s="52"/>
      <c r="K32" s="52"/>
      <c r="L32" s="52"/>
      <c r="M32" s="52"/>
      <c r="N32" s="52"/>
      <c r="O32" s="52"/>
      <c r="P32" s="52"/>
      <c r="Q32" s="52"/>
      <c r="R32" s="52"/>
      <c r="S32" s="52"/>
      <c r="T32" s="52"/>
      <c r="U32" s="52"/>
      <c r="V32" s="52"/>
      <c r="W32" s="52"/>
      <c r="X32" s="52"/>
      <c r="Y32" s="52"/>
      <c r="Z32" s="52"/>
      <c r="AA32" s="52"/>
      <c r="AB32" s="52"/>
    </row>
    <row r="33" spans="1:28" ht="14.25" x14ac:dyDescent="0.2">
      <c r="A33" s="50" t="s">
        <v>15</v>
      </c>
      <c r="B33" s="51" t="s">
        <v>5661</v>
      </c>
      <c r="C33" s="51"/>
      <c r="D33" s="52"/>
      <c r="E33" s="51">
        <v>40</v>
      </c>
      <c r="F33" s="52"/>
      <c r="G33" s="53">
        <v>13421309</v>
      </c>
      <c r="H33" s="53"/>
      <c r="I33" s="53"/>
      <c r="J33" s="52"/>
      <c r="K33" s="52"/>
      <c r="L33" s="52"/>
      <c r="M33" s="52"/>
      <c r="N33" s="52"/>
      <c r="O33" s="52"/>
      <c r="P33" s="52"/>
      <c r="Q33" s="52"/>
      <c r="R33" s="52"/>
      <c r="S33" s="52"/>
      <c r="T33" s="52"/>
      <c r="U33" s="52"/>
      <c r="V33" s="52"/>
      <c r="W33" s="52"/>
      <c r="X33" s="52"/>
      <c r="Y33" s="52"/>
      <c r="Z33" s="52"/>
      <c r="AA33" s="52"/>
      <c r="AB33" s="52"/>
    </row>
    <row r="34" spans="1:28" ht="14.25" x14ac:dyDescent="0.2">
      <c r="A34" s="54" t="s">
        <v>15</v>
      </c>
      <c r="B34" s="55" t="s">
        <v>5661</v>
      </c>
      <c r="C34" s="55"/>
      <c r="D34" s="52"/>
      <c r="E34" s="55">
        <v>50</v>
      </c>
      <c r="F34" s="52"/>
      <c r="G34" s="56">
        <v>13421310</v>
      </c>
      <c r="H34" s="56"/>
      <c r="I34" s="56"/>
      <c r="J34" s="52"/>
      <c r="K34" s="52"/>
      <c r="L34" s="52"/>
      <c r="M34" s="52"/>
      <c r="N34" s="52"/>
      <c r="O34" s="52"/>
      <c r="P34" s="52"/>
      <c r="Q34" s="52"/>
      <c r="R34" s="52"/>
      <c r="S34" s="52"/>
      <c r="T34" s="52"/>
      <c r="U34" s="52"/>
      <c r="V34" s="52"/>
      <c r="W34" s="52"/>
      <c r="X34" s="52"/>
      <c r="Y34" s="52"/>
      <c r="Z34" s="52"/>
      <c r="AA34" s="52"/>
      <c r="AB34" s="52"/>
    </row>
    <row r="35" spans="1:28" ht="14.25" x14ac:dyDescent="0.2">
      <c r="A35" s="50" t="s">
        <v>15</v>
      </c>
      <c r="B35" s="51" t="s">
        <v>5661</v>
      </c>
      <c r="C35" s="51"/>
      <c r="D35" s="52"/>
      <c r="E35" s="51">
        <v>63</v>
      </c>
      <c r="F35" s="52"/>
      <c r="G35" s="53">
        <v>13421311</v>
      </c>
      <c r="H35" s="53"/>
      <c r="I35" s="53"/>
      <c r="J35" s="52"/>
      <c r="K35" s="52"/>
      <c r="L35" s="52"/>
      <c r="M35" s="52"/>
      <c r="N35" s="52"/>
      <c r="O35" s="52"/>
      <c r="P35" s="52"/>
      <c r="Q35" s="52"/>
      <c r="R35" s="52"/>
      <c r="S35" s="52"/>
      <c r="T35" s="52"/>
      <c r="U35" s="52"/>
      <c r="V35" s="52"/>
      <c r="W35" s="52"/>
      <c r="X35" s="52"/>
      <c r="Y35" s="52"/>
      <c r="Z35" s="52"/>
      <c r="AA35" s="52"/>
      <c r="AB35" s="52"/>
    </row>
    <row r="36" spans="1:28" ht="14.25" x14ac:dyDescent="0.2">
      <c r="A36" s="54" t="s">
        <v>15</v>
      </c>
      <c r="B36" s="55" t="s">
        <v>5661</v>
      </c>
      <c r="C36" s="55"/>
      <c r="D36" s="52"/>
      <c r="E36" s="55">
        <v>75</v>
      </c>
      <c r="F36" s="52"/>
      <c r="G36" s="56">
        <v>13421312</v>
      </c>
      <c r="H36" s="56"/>
      <c r="I36" s="56"/>
      <c r="J36" s="52"/>
      <c r="K36" s="52"/>
      <c r="L36" s="52"/>
      <c r="M36" s="52"/>
      <c r="N36" s="52"/>
      <c r="O36" s="52"/>
      <c r="P36" s="52"/>
      <c r="Q36" s="52"/>
      <c r="R36" s="52"/>
      <c r="S36" s="52"/>
      <c r="T36" s="52"/>
      <c r="U36" s="52"/>
      <c r="V36" s="52"/>
      <c r="W36" s="52"/>
      <c r="X36" s="52"/>
      <c r="Y36" s="52"/>
      <c r="Z36" s="52"/>
      <c r="AA36" s="52"/>
      <c r="AB36" s="52"/>
    </row>
    <row r="37" spans="1:28" ht="14.25" x14ac:dyDescent="0.2">
      <c r="A37" s="50" t="s">
        <v>15</v>
      </c>
      <c r="B37" s="51" t="s">
        <v>5661</v>
      </c>
      <c r="C37" s="51"/>
      <c r="D37" s="52"/>
      <c r="E37" s="51">
        <v>90</v>
      </c>
      <c r="F37" s="52"/>
      <c r="G37" s="53">
        <v>13421313</v>
      </c>
      <c r="H37" s="53"/>
      <c r="I37" s="53"/>
      <c r="J37" s="52"/>
      <c r="K37" s="52"/>
      <c r="L37" s="52"/>
      <c r="M37" s="52"/>
      <c r="N37" s="52"/>
      <c r="O37" s="52"/>
      <c r="P37" s="52"/>
      <c r="Q37" s="52"/>
      <c r="R37" s="52"/>
      <c r="S37" s="52"/>
      <c r="T37" s="52"/>
      <c r="U37" s="52"/>
      <c r="V37" s="52"/>
      <c r="W37" s="52"/>
      <c r="X37" s="52"/>
      <c r="Y37" s="52"/>
      <c r="Z37" s="52"/>
      <c r="AA37" s="52"/>
      <c r="AB37" s="52"/>
    </row>
    <row r="38" spans="1:28" ht="14.25" x14ac:dyDescent="0.2">
      <c r="A38" s="54" t="s">
        <v>15</v>
      </c>
      <c r="B38" s="55" t="s">
        <v>5661</v>
      </c>
      <c r="C38" s="55"/>
      <c r="D38" s="52"/>
      <c r="E38" s="55">
        <v>110</v>
      </c>
      <c r="F38" s="52"/>
      <c r="G38" s="56">
        <v>13421314</v>
      </c>
      <c r="H38" s="56"/>
      <c r="I38" s="56"/>
      <c r="J38" s="52"/>
      <c r="K38" s="52"/>
      <c r="L38" s="52"/>
      <c r="M38" s="52"/>
      <c r="N38" s="52"/>
      <c r="O38" s="52"/>
      <c r="P38" s="52"/>
      <c r="Q38" s="52"/>
      <c r="R38" s="52"/>
      <c r="S38" s="52"/>
      <c r="T38" s="52"/>
      <c r="U38" s="52"/>
      <c r="V38" s="52"/>
      <c r="W38" s="52"/>
      <c r="X38" s="52"/>
      <c r="Y38" s="52"/>
      <c r="Z38" s="52"/>
      <c r="AA38" s="52"/>
      <c r="AB38" s="52"/>
    </row>
    <row r="39" spans="1:28" ht="14.25" x14ac:dyDescent="0.2">
      <c r="A39" s="50" t="s">
        <v>15</v>
      </c>
      <c r="B39" s="51" t="s">
        <v>5661</v>
      </c>
      <c r="C39" s="51"/>
      <c r="D39" s="52"/>
      <c r="E39" s="51">
        <v>16</v>
      </c>
      <c r="F39" s="52"/>
      <c r="G39" s="53">
        <v>13421305</v>
      </c>
      <c r="H39" s="53"/>
      <c r="I39" s="53"/>
      <c r="J39" s="52"/>
      <c r="K39" s="52"/>
      <c r="L39" s="52"/>
      <c r="M39" s="52"/>
      <c r="N39" s="52"/>
      <c r="O39" s="52"/>
      <c r="P39" s="52"/>
      <c r="Q39" s="52"/>
      <c r="R39" s="52"/>
      <c r="S39" s="52"/>
      <c r="T39" s="52"/>
      <c r="U39" s="52"/>
      <c r="V39" s="52"/>
      <c r="W39" s="52"/>
      <c r="X39" s="52"/>
      <c r="Y39" s="52"/>
      <c r="Z39" s="52"/>
      <c r="AA39" s="52"/>
      <c r="AB39" s="52"/>
    </row>
    <row r="40" spans="1:28" ht="14.25" x14ac:dyDescent="0.2">
      <c r="A40" s="54" t="s">
        <v>15</v>
      </c>
      <c r="B40" s="55" t="s">
        <v>5661</v>
      </c>
      <c r="C40" s="55"/>
      <c r="D40" s="52"/>
      <c r="E40" s="55">
        <v>20</v>
      </c>
      <c r="F40" s="52"/>
      <c r="G40" s="56">
        <v>13421306</v>
      </c>
      <c r="H40" s="56"/>
      <c r="I40" s="56"/>
      <c r="J40" s="52"/>
      <c r="K40" s="52"/>
      <c r="L40" s="52"/>
      <c r="M40" s="52"/>
      <c r="N40" s="52"/>
      <c r="O40" s="52"/>
      <c r="P40" s="52"/>
      <c r="Q40" s="52"/>
      <c r="R40" s="52"/>
      <c r="S40" s="52"/>
      <c r="T40" s="52"/>
      <c r="U40" s="52"/>
      <c r="V40" s="52"/>
      <c r="W40" s="52"/>
      <c r="X40" s="52"/>
      <c r="Y40" s="52"/>
      <c r="Z40" s="52"/>
      <c r="AA40" s="52"/>
      <c r="AB40" s="52"/>
    </row>
    <row r="41" spans="1:28" ht="14.25" x14ac:dyDescent="0.2">
      <c r="A41" s="50" t="s">
        <v>15</v>
      </c>
      <c r="B41" s="51" t="s">
        <v>5661</v>
      </c>
      <c r="C41" s="51"/>
      <c r="D41" s="52"/>
      <c r="E41" s="51">
        <v>25</v>
      </c>
      <c r="F41" s="52"/>
      <c r="G41" s="53">
        <v>13421307</v>
      </c>
      <c r="H41" s="53"/>
      <c r="I41" s="53"/>
      <c r="J41" s="52"/>
      <c r="K41" s="52"/>
      <c r="L41" s="52"/>
      <c r="M41" s="52"/>
      <c r="N41" s="52"/>
      <c r="O41" s="52"/>
      <c r="P41" s="52"/>
      <c r="Q41" s="52"/>
      <c r="R41" s="52"/>
      <c r="S41" s="52"/>
      <c r="T41" s="52"/>
      <c r="U41" s="52"/>
      <c r="V41" s="52"/>
      <c r="W41" s="52"/>
      <c r="X41" s="52"/>
      <c r="Y41" s="52"/>
      <c r="Z41" s="52"/>
      <c r="AA41" s="52"/>
      <c r="AB41" s="52"/>
    </row>
    <row r="42" spans="1:28" ht="14.25" x14ac:dyDescent="0.2">
      <c r="A42" s="54" t="s">
        <v>15</v>
      </c>
      <c r="B42" s="55" t="s">
        <v>5661</v>
      </c>
      <c r="C42" s="55"/>
      <c r="D42" s="52"/>
      <c r="E42" s="55">
        <v>125</v>
      </c>
      <c r="F42" s="52"/>
      <c r="G42" s="56">
        <v>13421315</v>
      </c>
      <c r="H42" s="56"/>
      <c r="I42" s="56"/>
      <c r="J42" s="52"/>
      <c r="K42" s="52"/>
      <c r="L42" s="52"/>
      <c r="M42" s="52"/>
      <c r="N42" s="52"/>
      <c r="O42" s="52"/>
      <c r="P42" s="52"/>
      <c r="Q42" s="52"/>
      <c r="R42" s="52"/>
      <c r="S42" s="52"/>
      <c r="T42" s="52"/>
      <c r="U42" s="52"/>
      <c r="V42" s="52"/>
      <c r="W42" s="52"/>
      <c r="X42" s="52"/>
      <c r="Y42" s="52"/>
      <c r="Z42" s="52"/>
      <c r="AA42" s="52"/>
      <c r="AB42" s="52"/>
    </row>
    <row r="43" spans="1:28" ht="14.25" x14ac:dyDescent="0.2">
      <c r="A43" s="50" t="s">
        <v>15</v>
      </c>
      <c r="B43" s="51" t="s">
        <v>5661</v>
      </c>
      <c r="C43" s="51"/>
      <c r="D43" s="52"/>
      <c r="E43" s="51">
        <v>140</v>
      </c>
      <c r="F43" s="52"/>
      <c r="G43" s="53">
        <v>13421316</v>
      </c>
      <c r="H43" s="53"/>
      <c r="I43" s="53"/>
      <c r="J43" s="52"/>
      <c r="K43" s="52"/>
      <c r="L43" s="52"/>
      <c r="M43" s="52"/>
      <c r="N43" s="52"/>
      <c r="O43" s="52"/>
      <c r="P43" s="52"/>
      <c r="Q43" s="52"/>
      <c r="R43" s="52"/>
      <c r="S43" s="52"/>
      <c r="T43" s="52"/>
      <c r="U43" s="52"/>
      <c r="V43" s="52"/>
      <c r="W43" s="52"/>
      <c r="X43" s="52"/>
      <c r="Y43" s="52"/>
      <c r="Z43" s="52"/>
      <c r="AA43" s="52"/>
      <c r="AB43" s="52"/>
    </row>
    <row r="44" spans="1:28" ht="14.25" x14ac:dyDescent="0.2">
      <c r="A44" s="54" t="s">
        <v>15</v>
      </c>
      <c r="B44" s="55" t="s">
        <v>5661</v>
      </c>
      <c r="C44" s="55"/>
      <c r="D44" s="52"/>
      <c r="E44" s="55">
        <v>160</v>
      </c>
      <c r="F44" s="52"/>
      <c r="G44" s="56">
        <v>13421317</v>
      </c>
      <c r="H44" s="56"/>
      <c r="I44" s="56"/>
      <c r="J44" s="52"/>
      <c r="K44" s="52"/>
      <c r="L44" s="52"/>
      <c r="M44" s="52"/>
      <c r="N44" s="52"/>
      <c r="O44" s="52"/>
      <c r="P44" s="52"/>
      <c r="Q44" s="52"/>
      <c r="R44" s="52"/>
      <c r="S44" s="52"/>
      <c r="T44" s="52"/>
      <c r="U44" s="52"/>
      <c r="V44" s="52"/>
      <c r="W44" s="52"/>
      <c r="X44" s="52"/>
      <c r="Y44" s="52"/>
      <c r="Z44" s="52"/>
      <c r="AA44" s="52"/>
      <c r="AB44" s="52"/>
    </row>
    <row r="45" spans="1:28" ht="14.25" x14ac:dyDescent="0.2">
      <c r="A45" s="50" t="s">
        <v>15</v>
      </c>
      <c r="B45" s="51" t="s">
        <v>5661</v>
      </c>
      <c r="C45" s="51"/>
      <c r="D45" s="52"/>
      <c r="E45" s="51">
        <v>200</v>
      </c>
      <c r="F45" s="52"/>
      <c r="G45" s="53">
        <v>13421318</v>
      </c>
      <c r="H45" s="53"/>
      <c r="I45" s="53"/>
      <c r="J45" s="52"/>
      <c r="K45" s="52"/>
      <c r="L45" s="52"/>
      <c r="M45" s="52"/>
      <c r="N45" s="52"/>
      <c r="O45" s="52"/>
      <c r="P45" s="52"/>
      <c r="Q45" s="52"/>
      <c r="R45" s="52"/>
      <c r="S45" s="52"/>
      <c r="T45" s="52"/>
      <c r="U45" s="52"/>
      <c r="V45" s="52"/>
      <c r="W45" s="52"/>
      <c r="X45" s="52"/>
      <c r="Y45" s="52"/>
      <c r="Z45" s="52"/>
      <c r="AA45" s="52"/>
      <c r="AB45" s="52"/>
    </row>
    <row r="46" spans="1:28" ht="14.25" x14ac:dyDescent="0.2">
      <c r="A46" s="54" t="s">
        <v>15</v>
      </c>
      <c r="B46" s="55" t="s">
        <v>5662</v>
      </c>
      <c r="C46" s="55"/>
      <c r="D46" s="52"/>
      <c r="E46" s="55" t="s">
        <v>5663</v>
      </c>
      <c r="F46" s="52"/>
      <c r="G46" s="56">
        <v>31461395</v>
      </c>
      <c r="H46" s="56"/>
      <c r="I46" s="56"/>
      <c r="J46" s="52"/>
      <c r="K46" s="52"/>
      <c r="L46" s="52"/>
      <c r="M46" s="52"/>
      <c r="N46" s="52"/>
      <c r="O46" s="52"/>
      <c r="P46" s="52"/>
      <c r="Q46" s="52"/>
      <c r="R46" s="52"/>
      <c r="S46" s="52"/>
      <c r="T46" s="52"/>
      <c r="U46" s="52"/>
      <c r="V46" s="52"/>
      <c r="W46" s="52"/>
      <c r="X46" s="52"/>
      <c r="Y46" s="52"/>
      <c r="Z46" s="52"/>
      <c r="AA46" s="52"/>
      <c r="AB46" s="52"/>
    </row>
    <row r="47" spans="1:28" ht="14.25" x14ac:dyDescent="0.2">
      <c r="A47" s="50" t="s">
        <v>15</v>
      </c>
      <c r="B47" s="51" t="s">
        <v>5662</v>
      </c>
      <c r="C47" s="51"/>
      <c r="D47" s="52"/>
      <c r="E47" s="51" t="s">
        <v>5664</v>
      </c>
      <c r="F47" s="52"/>
      <c r="G47" s="53">
        <v>31461396</v>
      </c>
      <c r="H47" s="53"/>
      <c r="I47" s="53"/>
      <c r="J47" s="52"/>
      <c r="K47" s="52"/>
      <c r="L47" s="52"/>
      <c r="M47" s="52"/>
      <c r="N47" s="52"/>
      <c r="O47" s="52"/>
      <c r="P47" s="52"/>
      <c r="Q47" s="52"/>
      <c r="R47" s="52"/>
      <c r="S47" s="52"/>
      <c r="T47" s="52"/>
      <c r="U47" s="52"/>
      <c r="V47" s="52"/>
      <c r="W47" s="52"/>
      <c r="X47" s="52"/>
      <c r="Y47" s="52"/>
      <c r="Z47" s="52"/>
      <c r="AA47" s="52"/>
      <c r="AB47" s="52"/>
    </row>
    <row r="48" spans="1:28" ht="14.25" x14ac:dyDescent="0.2">
      <c r="A48" s="54" t="s">
        <v>15</v>
      </c>
      <c r="B48" s="55" t="s">
        <v>5665</v>
      </c>
      <c r="C48" s="55"/>
      <c r="D48" s="52"/>
      <c r="E48" s="55">
        <v>16</v>
      </c>
      <c r="F48" s="52"/>
      <c r="G48" s="56">
        <v>11134305</v>
      </c>
      <c r="H48" s="56"/>
      <c r="I48" s="56"/>
      <c r="J48" s="52"/>
      <c r="K48" s="52"/>
      <c r="L48" s="52"/>
      <c r="M48" s="52"/>
      <c r="N48" s="52"/>
      <c r="O48" s="52"/>
      <c r="P48" s="52"/>
      <c r="Q48" s="52"/>
      <c r="R48" s="52"/>
      <c r="S48" s="52"/>
      <c r="T48" s="52"/>
      <c r="U48" s="52"/>
      <c r="V48" s="52"/>
      <c r="W48" s="52"/>
      <c r="X48" s="52"/>
      <c r="Y48" s="52"/>
      <c r="Z48" s="52"/>
      <c r="AA48" s="52"/>
      <c r="AB48" s="52"/>
    </row>
    <row r="49" spans="1:28" ht="14.25" x14ac:dyDescent="0.2">
      <c r="A49" s="50" t="s">
        <v>15</v>
      </c>
      <c r="B49" s="51" t="s">
        <v>5665</v>
      </c>
      <c r="C49" s="51"/>
      <c r="D49" s="52"/>
      <c r="E49" s="51">
        <v>20</v>
      </c>
      <c r="F49" s="52"/>
      <c r="G49" s="53">
        <v>11134306</v>
      </c>
      <c r="H49" s="53"/>
      <c r="I49" s="53"/>
      <c r="J49" s="52"/>
      <c r="K49" s="52"/>
      <c r="L49" s="52"/>
      <c r="M49" s="52"/>
      <c r="N49" s="52"/>
      <c r="O49" s="52"/>
      <c r="P49" s="52"/>
      <c r="Q49" s="52"/>
      <c r="R49" s="52"/>
      <c r="S49" s="52"/>
      <c r="T49" s="52"/>
      <c r="U49" s="52"/>
      <c r="V49" s="52"/>
      <c r="W49" s="52"/>
      <c r="X49" s="52"/>
      <c r="Y49" s="52"/>
      <c r="Z49" s="52"/>
      <c r="AA49" s="52"/>
      <c r="AB49" s="52"/>
    </row>
    <row r="50" spans="1:28" ht="14.25" x14ac:dyDescent="0.2">
      <c r="A50" s="54" t="s">
        <v>15</v>
      </c>
      <c r="B50" s="55" t="s">
        <v>5665</v>
      </c>
      <c r="C50" s="55"/>
      <c r="D50" s="52"/>
      <c r="E50" s="55">
        <v>25</v>
      </c>
      <c r="F50" s="52"/>
      <c r="G50" s="56">
        <v>11134307</v>
      </c>
      <c r="H50" s="56"/>
      <c r="I50" s="56"/>
      <c r="J50" s="52"/>
      <c r="K50" s="52"/>
      <c r="L50" s="52"/>
      <c r="M50" s="52"/>
      <c r="N50" s="52"/>
      <c r="O50" s="52"/>
      <c r="P50" s="52"/>
      <c r="Q50" s="52"/>
      <c r="R50" s="52"/>
      <c r="S50" s="52"/>
      <c r="T50" s="52"/>
      <c r="U50" s="52"/>
      <c r="V50" s="52"/>
      <c r="W50" s="52"/>
      <c r="X50" s="52"/>
      <c r="Y50" s="52"/>
      <c r="Z50" s="52"/>
      <c r="AA50" s="52"/>
      <c r="AB50" s="52"/>
    </row>
    <row r="51" spans="1:28" ht="14.25" x14ac:dyDescent="0.2">
      <c r="A51" s="50" t="s">
        <v>15</v>
      </c>
      <c r="B51" s="51" t="s">
        <v>5665</v>
      </c>
      <c r="C51" s="51"/>
      <c r="D51" s="52"/>
      <c r="E51" s="51">
        <v>32</v>
      </c>
      <c r="F51" s="52"/>
      <c r="G51" s="53">
        <v>11134308</v>
      </c>
      <c r="H51" s="53"/>
      <c r="I51" s="53"/>
      <c r="J51" s="52"/>
      <c r="K51" s="52"/>
      <c r="L51" s="52"/>
      <c r="M51" s="52"/>
      <c r="N51" s="52"/>
      <c r="O51" s="52"/>
      <c r="P51" s="52"/>
      <c r="Q51" s="52"/>
      <c r="R51" s="52"/>
      <c r="S51" s="52"/>
      <c r="T51" s="52"/>
      <c r="U51" s="52"/>
      <c r="V51" s="52"/>
      <c r="W51" s="52"/>
      <c r="X51" s="52"/>
      <c r="Y51" s="52"/>
      <c r="Z51" s="52"/>
      <c r="AA51" s="52"/>
      <c r="AB51" s="52"/>
    </row>
    <row r="52" spans="1:28" ht="14.25" x14ac:dyDescent="0.2">
      <c r="A52" s="54" t="s">
        <v>15</v>
      </c>
      <c r="B52" s="55" t="s">
        <v>5665</v>
      </c>
      <c r="C52" s="55"/>
      <c r="D52" s="52"/>
      <c r="E52" s="55">
        <v>40</v>
      </c>
      <c r="F52" s="52"/>
      <c r="G52" s="56">
        <v>11134309</v>
      </c>
      <c r="H52" s="56"/>
      <c r="I52" s="56"/>
      <c r="J52" s="52"/>
      <c r="K52" s="52"/>
      <c r="L52" s="52"/>
      <c r="M52" s="52"/>
      <c r="N52" s="52"/>
      <c r="O52" s="52"/>
      <c r="P52" s="52"/>
      <c r="Q52" s="52"/>
      <c r="R52" s="52"/>
      <c r="S52" s="52"/>
      <c r="T52" s="52"/>
      <c r="U52" s="52"/>
      <c r="V52" s="52"/>
      <c r="W52" s="52"/>
      <c r="X52" s="52"/>
      <c r="Y52" s="52"/>
      <c r="Z52" s="52"/>
      <c r="AA52" s="52"/>
      <c r="AB52" s="52"/>
    </row>
    <row r="53" spans="1:28" ht="14.25" x14ac:dyDescent="0.2">
      <c r="A53" s="50" t="s">
        <v>15</v>
      </c>
      <c r="B53" s="51" t="s">
        <v>5665</v>
      </c>
      <c r="C53" s="51"/>
      <c r="D53" s="52"/>
      <c r="E53" s="51">
        <v>50</v>
      </c>
      <c r="F53" s="52"/>
      <c r="G53" s="53">
        <v>11134310</v>
      </c>
      <c r="H53" s="53"/>
      <c r="I53" s="53"/>
      <c r="J53" s="52"/>
      <c r="K53" s="52"/>
      <c r="L53" s="52"/>
      <c r="M53" s="52"/>
      <c r="N53" s="52"/>
      <c r="O53" s="52"/>
      <c r="P53" s="52"/>
      <c r="Q53" s="52"/>
      <c r="R53" s="52"/>
      <c r="S53" s="52"/>
      <c r="T53" s="52"/>
      <c r="U53" s="52"/>
      <c r="V53" s="52"/>
      <c r="W53" s="52"/>
      <c r="X53" s="52"/>
      <c r="Y53" s="52"/>
      <c r="Z53" s="52"/>
      <c r="AA53" s="52"/>
      <c r="AB53" s="52"/>
    </row>
    <row r="54" spans="1:28" ht="14.25" x14ac:dyDescent="0.2">
      <c r="A54" s="54" t="s">
        <v>15</v>
      </c>
      <c r="B54" s="55" t="s">
        <v>5665</v>
      </c>
      <c r="C54" s="55"/>
      <c r="D54" s="52"/>
      <c r="E54" s="55">
        <v>63</v>
      </c>
      <c r="F54" s="52"/>
      <c r="G54" s="56">
        <v>11134311</v>
      </c>
      <c r="H54" s="56"/>
      <c r="I54" s="56"/>
      <c r="J54" s="52"/>
      <c r="K54" s="52"/>
      <c r="L54" s="52"/>
      <c r="M54" s="52"/>
      <c r="N54" s="52"/>
      <c r="O54" s="52"/>
      <c r="P54" s="52"/>
      <c r="Q54" s="52"/>
      <c r="R54" s="52"/>
      <c r="S54" s="52"/>
      <c r="T54" s="52"/>
      <c r="U54" s="52"/>
      <c r="V54" s="52"/>
      <c r="W54" s="52"/>
      <c r="X54" s="52"/>
      <c r="Y54" s="52"/>
      <c r="Z54" s="52"/>
      <c r="AA54" s="52"/>
      <c r="AB54" s="52"/>
    </row>
    <row r="55" spans="1:28" ht="14.25" x14ac:dyDescent="0.2">
      <c r="A55" s="50" t="s">
        <v>15</v>
      </c>
      <c r="B55" s="51" t="s">
        <v>5665</v>
      </c>
      <c r="C55" s="51"/>
      <c r="D55" s="52"/>
      <c r="E55" s="51">
        <v>75</v>
      </c>
      <c r="F55" s="52"/>
      <c r="G55" s="53">
        <v>11134312</v>
      </c>
      <c r="H55" s="53"/>
      <c r="I55" s="53"/>
      <c r="J55" s="52"/>
      <c r="K55" s="52"/>
      <c r="L55" s="52"/>
      <c r="M55" s="52"/>
      <c r="N55" s="52"/>
      <c r="O55" s="52"/>
      <c r="P55" s="52"/>
      <c r="Q55" s="52"/>
      <c r="R55" s="52"/>
      <c r="S55" s="52"/>
      <c r="T55" s="52"/>
      <c r="U55" s="52"/>
      <c r="V55" s="52"/>
      <c r="W55" s="52"/>
      <c r="X55" s="52"/>
      <c r="Y55" s="52"/>
      <c r="Z55" s="52"/>
      <c r="AA55" s="52"/>
      <c r="AB55" s="52"/>
    </row>
    <row r="56" spans="1:28" ht="14.25" x14ac:dyDescent="0.2">
      <c r="A56" s="54" t="s">
        <v>15</v>
      </c>
      <c r="B56" s="55" t="s">
        <v>5665</v>
      </c>
      <c r="C56" s="55"/>
      <c r="D56" s="52"/>
      <c r="E56" s="55">
        <v>90</v>
      </c>
      <c r="F56" s="52"/>
      <c r="G56" s="56">
        <v>11134313</v>
      </c>
      <c r="H56" s="56"/>
      <c r="I56" s="56"/>
      <c r="J56" s="52"/>
      <c r="K56" s="52"/>
      <c r="L56" s="52"/>
      <c r="M56" s="52"/>
      <c r="N56" s="52"/>
      <c r="O56" s="52"/>
      <c r="P56" s="52"/>
      <c r="Q56" s="52"/>
      <c r="R56" s="52"/>
      <c r="S56" s="52"/>
      <c r="T56" s="52"/>
      <c r="U56" s="52"/>
      <c r="V56" s="52"/>
      <c r="W56" s="52"/>
      <c r="X56" s="52"/>
      <c r="Y56" s="52"/>
      <c r="Z56" s="52"/>
      <c r="AA56" s="52"/>
      <c r="AB56" s="52"/>
    </row>
    <row r="57" spans="1:28" ht="14.25" x14ac:dyDescent="0.2">
      <c r="A57" s="50" t="s">
        <v>15</v>
      </c>
      <c r="B57" s="51" t="s">
        <v>5665</v>
      </c>
      <c r="C57" s="51"/>
      <c r="D57" s="52"/>
      <c r="E57" s="51">
        <v>110</v>
      </c>
      <c r="F57" s="52"/>
      <c r="G57" s="53">
        <v>11134314</v>
      </c>
      <c r="H57" s="53"/>
      <c r="I57" s="53"/>
      <c r="J57" s="52"/>
      <c r="K57" s="52"/>
      <c r="L57" s="52"/>
      <c r="M57" s="52"/>
      <c r="N57" s="52"/>
      <c r="O57" s="52"/>
      <c r="P57" s="52"/>
      <c r="Q57" s="52"/>
      <c r="R57" s="52"/>
      <c r="S57" s="52"/>
      <c r="T57" s="52"/>
      <c r="U57" s="52"/>
      <c r="V57" s="52"/>
      <c r="W57" s="52"/>
      <c r="X57" s="52"/>
      <c r="Y57" s="52"/>
      <c r="Z57" s="52"/>
      <c r="AA57" s="52"/>
      <c r="AB57" s="52"/>
    </row>
    <row r="58" spans="1:28" ht="14.25" x14ac:dyDescent="0.2">
      <c r="A58" s="54" t="s">
        <v>15</v>
      </c>
      <c r="B58" s="55" t="s">
        <v>5665</v>
      </c>
      <c r="C58" s="55"/>
      <c r="D58" s="52"/>
      <c r="E58" s="55">
        <v>125</v>
      </c>
      <c r="F58" s="52"/>
      <c r="G58" s="56">
        <v>11134315</v>
      </c>
      <c r="H58" s="56"/>
      <c r="I58" s="56"/>
      <c r="J58" s="52"/>
      <c r="K58" s="52"/>
      <c r="L58" s="52"/>
      <c r="M58" s="52"/>
      <c r="N58" s="52"/>
      <c r="O58" s="52"/>
      <c r="P58" s="52"/>
      <c r="Q58" s="52"/>
      <c r="R58" s="52"/>
      <c r="S58" s="52"/>
      <c r="T58" s="52"/>
      <c r="U58" s="52"/>
      <c r="V58" s="52"/>
      <c r="W58" s="52"/>
      <c r="X58" s="52"/>
      <c r="Y58" s="52"/>
      <c r="Z58" s="52"/>
      <c r="AA58" s="52"/>
      <c r="AB58" s="52"/>
    </row>
    <row r="59" spans="1:28" ht="14.25" x14ac:dyDescent="0.2">
      <c r="A59" s="50" t="s">
        <v>15</v>
      </c>
      <c r="B59" s="51" t="s">
        <v>5665</v>
      </c>
      <c r="C59" s="51"/>
      <c r="D59" s="52"/>
      <c r="E59" s="51">
        <v>140</v>
      </c>
      <c r="F59" s="52"/>
      <c r="G59" s="53">
        <v>11134316</v>
      </c>
      <c r="H59" s="53"/>
      <c r="I59" s="53"/>
      <c r="J59" s="52"/>
      <c r="K59" s="52"/>
      <c r="L59" s="52"/>
      <c r="M59" s="52"/>
      <c r="N59" s="52"/>
      <c r="O59" s="52"/>
      <c r="P59" s="52"/>
      <c r="Q59" s="52"/>
      <c r="R59" s="52"/>
      <c r="S59" s="52"/>
      <c r="T59" s="52"/>
      <c r="U59" s="52"/>
      <c r="V59" s="52"/>
      <c r="W59" s="52"/>
      <c r="X59" s="52"/>
      <c r="Y59" s="52"/>
      <c r="Z59" s="52"/>
      <c r="AA59" s="52"/>
      <c r="AB59" s="52"/>
    </row>
    <row r="60" spans="1:28" ht="14.25" x14ac:dyDescent="0.2">
      <c r="A60" s="54" t="s">
        <v>15</v>
      </c>
      <c r="B60" s="55" t="s">
        <v>5665</v>
      </c>
      <c r="C60" s="55"/>
      <c r="D60" s="52"/>
      <c r="E60" s="55">
        <v>160</v>
      </c>
      <c r="F60" s="52"/>
      <c r="G60" s="56">
        <v>11134317</v>
      </c>
      <c r="H60" s="56"/>
      <c r="I60" s="56"/>
      <c r="J60" s="52"/>
      <c r="K60" s="52"/>
      <c r="L60" s="52"/>
      <c r="M60" s="52"/>
      <c r="N60" s="52"/>
      <c r="O60" s="52"/>
      <c r="P60" s="52"/>
      <c r="Q60" s="52"/>
      <c r="R60" s="52"/>
      <c r="S60" s="52"/>
      <c r="T60" s="52"/>
      <c r="U60" s="52"/>
      <c r="V60" s="52"/>
      <c r="W60" s="52"/>
      <c r="X60" s="52"/>
      <c r="Y60" s="52"/>
      <c r="Z60" s="52"/>
      <c r="AA60" s="52"/>
      <c r="AB60" s="52"/>
    </row>
    <row r="61" spans="1:28" ht="14.25" x14ac:dyDescent="0.2">
      <c r="A61" s="50" t="s">
        <v>15</v>
      </c>
      <c r="B61" s="51" t="s">
        <v>5665</v>
      </c>
      <c r="C61" s="51"/>
      <c r="D61" s="52"/>
      <c r="E61" s="51">
        <v>200</v>
      </c>
      <c r="F61" s="52"/>
      <c r="G61" s="53">
        <v>11134318</v>
      </c>
      <c r="H61" s="53"/>
      <c r="I61" s="53"/>
      <c r="J61" s="52"/>
      <c r="K61" s="52"/>
      <c r="L61" s="52"/>
      <c r="M61" s="52"/>
      <c r="N61" s="52"/>
      <c r="O61" s="52"/>
      <c r="P61" s="52"/>
      <c r="Q61" s="52"/>
      <c r="R61" s="52"/>
      <c r="S61" s="52"/>
      <c r="T61" s="52"/>
      <c r="U61" s="52"/>
      <c r="V61" s="52"/>
      <c r="W61" s="52"/>
      <c r="X61" s="52"/>
      <c r="Y61" s="52"/>
      <c r="Z61" s="52"/>
      <c r="AA61" s="52"/>
      <c r="AB61" s="52"/>
    </row>
    <row r="62" spans="1:28" ht="14.25" x14ac:dyDescent="0.2">
      <c r="A62" s="54" t="s">
        <v>15</v>
      </c>
      <c r="B62" s="55" t="s">
        <v>5666</v>
      </c>
      <c r="C62" s="55"/>
      <c r="D62" s="52"/>
      <c r="E62" s="55">
        <v>16</v>
      </c>
      <c r="F62" s="52"/>
      <c r="G62" s="56">
        <v>11133305</v>
      </c>
      <c r="H62" s="56"/>
      <c r="I62" s="56"/>
      <c r="J62" s="52"/>
      <c r="K62" s="52"/>
      <c r="L62" s="52"/>
      <c r="M62" s="52"/>
      <c r="N62" s="52"/>
      <c r="O62" s="52"/>
      <c r="P62" s="52"/>
      <c r="Q62" s="52"/>
      <c r="R62" s="52"/>
      <c r="S62" s="52"/>
      <c r="T62" s="52"/>
      <c r="U62" s="52"/>
      <c r="V62" s="52"/>
      <c r="W62" s="52"/>
      <c r="X62" s="52"/>
      <c r="Y62" s="52"/>
      <c r="Z62" s="52"/>
      <c r="AA62" s="52"/>
      <c r="AB62" s="52"/>
    </row>
    <row r="63" spans="1:28" ht="14.25" x14ac:dyDescent="0.2">
      <c r="A63" s="50" t="s">
        <v>15</v>
      </c>
      <c r="B63" s="51" t="s">
        <v>5666</v>
      </c>
      <c r="C63" s="51"/>
      <c r="D63" s="52"/>
      <c r="E63" s="51">
        <v>20</v>
      </c>
      <c r="F63" s="52"/>
      <c r="G63" s="53">
        <v>11133306</v>
      </c>
      <c r="H63" s="53"/>
      <c r="I63" s="53"/>
      <c r="J63" s="52"/>
      <c r="K63" s="52"/>
      <c r="L63" s="52"/>
      <c r="M63" s="52"/>
      <c r="N63" s="52"/>
      <c r="O63" s="52"/>
      <c r="P63" s="52"/>
      <c r="Q63" s="52"/>
      <c r="R63" s="52"/>
      <c r="S63" s="52"/>
      <c r="T63" s="52"/>
      <c r="U63" s="52"/>
      <c r="V63" s="52"/>
      <c r="W63" s="52"/>
      <c r="X63" s="52"/>
      <c r="Y63" s="52"/>
      <c r="Z63" s="52"/>
      <c r="AA63" s="52"/>
      <c r="AB63" s="52"/>
    </row>
    <row r="64" spans="1:28" ht="14.25" x14ac:dyDescent="0.2">
      <c r="A64" s="54" t="s">
        <v>15</v>
      </c>
      <c r="B64" s="55" t="s">
        <v>5666</v>
      </c>
      <c r="C64" s="55"/>
      <c r="D64" s="52"/>
      <c r="E64" s="55">
        <v>25</v>
      </c>
      <c r="F64" s="52"/>
      <c r="G64" s="56">
        <v>11133307</v>
      </c>
      <c r="H64" s="56"/>
      <c r="I64" s="56"/>
      <c r="J64" s="52"/>
      <c r="K64" s="52"/>
      <c r="L64" s="52"/>
      <c r="M64" s="52"/>
      <c r="N64" s="52"/>
      <c r="O64" s="52"/>
      <c r="P64" s="52"/>
      <c r="Q64" s="52"/>
      <c r="R64" s="52"/>
      <c r="S64" s="52"/>
      <c r="T64" s="52"/>
      <c r="U64" s="52"/>
      <c r="V64" s="52"/>
      <c r="W64" s="52"/>
      <c r="X64" s="52"/>
      <c r="Y64" s="52"/>
      <c r="Z64" s="52"/>
      <c r="AA64" s="52"/>
      <c r="AB64" s="52"/>
    </row>
    <row r="65" spans="1:28" ht="14.25" x14ac:dyDescent="0.2">
      <c r="A65" s="50" t="s">
        <v>15</v>
      </c>
      <c r="B65" s="51" t="s">
        <v>5666</v>
      </c>
      <c r="C65" s="51"/>
      <c r="D65" s="52"/>
      <c r="E65" s="51">
        <v>32</v>
      </c>
      <c r="F65" s="52"/>
      <c r="G65" s="53">
        <v>11133308</v>
      </c>
      <c r="H65" s="53"/>
      <c r="I65" s="53"/>
      <c r="J65" s="52"/>
      <c r="K65" s="52"/>
      <c r="L65" s="52"/>
      <c r="M65" s="52"/>
      <c r="N65" s="52"/>
      <c r="O65" s="52"/>
      <c r="P65" s="52"/>
      <c r="Q65" s="52"/>
      <c r="R65" s="52"/>
      <c r="S65" s="52"/>
      <c r="T65" s="52"/>
      <c r="U65" s="52"/>
      <c r="V65" s="52"/>
      <c r="W65" s="52"/>
      <c r="X65" s="52"/>
      <c r="Y65" s="52"/>
      <c r="Z65" s="52"/>
      <c r="AA65" s="52"/>
      <c r="AB65" s="52"/>
    </row>
    <row r="66" spans="1:28" ht="14.25" x14ac:dyDescent="0.2">
      <c r="A66" s="54" t="s">
        <v>15</v>
      </c>
      <c r="B66" s="55" t="s">
        <v>5666</v>
      </c>
      <c r="C66" s="55"/>
      <c r="D66" s="52"/>
      <c r="E66" s="55">
        <v>40</v>
      </c>
      <c r="F66" s="52"/>
      <c r="G66" s="56">
        <v>11133309</v>
      </c>
      <c r="H66" s="56"/>
      <c r="I66" s="56"/>
      <c r="J66" s="52"/>
      <c r="K66" s="52"/>
      <c r="L66" s="52"/>
      <c r="M66" s="52"/>
      <c r="N66" s="52"/>
      <c r="O66" s="52"/>
      <c r="P66" s="52"/>
      <c r="Q66" s="52"/>
      <c r="R66" s="52"/>
      <c r="S66" s="52"/>
      <c r="T66" s="52"/>
      <c r="U66" s="52"/>
      <c r="V66" s="52"/>
      <c r="W66" s="52"/>
      <c r="X66" s="52"/>
      <c r="Y66" s="52"/>
      <c r="Z66" s="52"/>
      <c r="AA66" s="52"/>
      <c r="AB66" s="52"/>
    </row>
    <row r="67" spans="1:28" ht="14.25" x14ac:dyDescent="0.2">
      <c r="A67" s="50" t="s">
        <v>15</v>
      </c>
      <c r="B67" s="51" t="s">
        <v>5666</v>
      </c>
      <c r="C67" s="51"/>
      <c r="D67" s="52"/>
      <c r="E67" s="51">
        <v>50</v>
      </c>
      <c r="F67" s="52"/>
      <c r="G67" s="53">
        <v>11133310</v>
      </c>
      <c r="H67" s="53"/>
      <c r="I67" s="53"/>
      <c r="J67" s="52"/>
      <c r="K67" s="52"/>
      <c r="L67" s="52"/>
      <c r="M67" s="52"/>
      <c r="N67" s="52"/>
      <c r="O67" s="52"/>
      <c r="P67" s="52"/>
      <c r="Q67" s="52"/>
      <c r="R67" s="52"/>
      <c r="S67" s="52"/>
      <c r="T67" s="52"/>
      <c r="U67" s="52"/>
      <c r="V67" s="52"/>
      <c r="W67" s="52"/>
      <c r="X67" s="52"/>
      <c r="Y67" s="52"/>
      <c r="Z67" s="52"/>
      <c r="AA67" s="52"/>
      <c r="AB67" s="52"/>
    </row>
    <row r="68" spans="1:28" ht="14.25" x14ac:dyDescent="0.2">
      <c r="A68" s="54" t="s">
        <v>15</v>
      </c>
      <c r="B68" s="55" t="s">
        <v>5666</v>
      </c>
      <c r="C68" s="55"/>
      <c r="D68" s="52"/>
      <c r="E68" s="55">
        <v>63</v>
      </c>
      <c r="F68" s="52"/>
      <c r="G68" s="56">
        <v>11133311</v>
      </c>
      <c r="H68" s="56"/>
      <c r="I68" s="56"/>
      <c r="J68" s="52"/>
      <c r="K68" s="52"/>
      <c r="L68" s="52"/>
      <c r="M68" s="52"/>
      <c r="N68" s="52"/>
      <c r="O68" s="52"/>
      <c r="P68" s="52"/>
      <c r="Q68" s="52"/>
      <c r="R68" s="52"/>
      <c r="S68" s="52"/>
      <c r="T68" s="52"/>
      <c r="U68" s="52"/>
      <c r="V68" s="52"/>
      <c r="W68" s="52"/>
      <c r="X68" s="52"/>
      <c r="Y68" s="52"/>
      <c r="Z68" s="52"/>
      <c r="AA68" s="52"/>
      <c r="AB68" s="52"/>
    </row>
    <row r="69" spans="1:28" ht="14.25" x14ac:dyDescent="0.2">
      <c r="A69" s="50" t="s">
        <v>15</v>
      </c>
      <c r="B69" s="51" t="s">
        <v>5666</v>
      </c>
      <c r="C69" s="51"/>
      <c r="D69" s="52"/>
      <c r="E69" s="51">
        <v>75</v>
      </c>
      <c r="F69" s="52"/>
      <c r="G69" s="53">
        <v>11133312</v>
      </c>
      <c r="H69" s="53"/>
      <c r="I69" s="53"/>
      <c r="J69" s="52"/>
      <c r="K69" s="52"/>
      <c r="L69" s="52"/>
      <c r="M69" s="52"/>
      <c r="N69" s="52"/>
      <c r="O69" s="52"/>
      <c r="P69" s="52"/>
      <c r="Q69" s="52"/>
      <c r="R69" s="52"/>
      <c r="S69" s="52"/>
      <c r="T69" s="52"/>
      <c r="U69" s="52"/>
      <c r="V69" s="52"/>
      <c r="W69" s="52"/>
      <c r="X69" s="52"/>
      <c r="Y69" s="52"/>
      <c r="Z69" s="52"/>
      <c r="AA69" s="52"/>
      <c r="AB69" s="52"/>
    </row>
    <row r="70" spans="1:28" ht="14.25" x14ac:dyDescent="0.2">
      <c r="A70" s="54" t="s">
        <v>15</v>
      </c>
      <c r="B70" s="55" t="s">
        <v>5666</v>
      </c>
      <c r="C70" s="55"/>
      <c r="D70" s="52"/>
      <c r="E70" s="55">
        <v>90</v>
      </c>
      <c r="F70" s="52"/>
      <c r="G70" s="56">
        <v>11133313</v>
      </c>
      <c r="H70" s="56"/>
      <c r="I70" s="56"/>
      <c r="J70" s="52"/>
      <c r="K70" s="52"/>
      <c r="L70" s="52"/>
      <c r="M70" s="52"/>
      <c r="N70" s="52"/>
      <c r="O70" s="52"/>
      <c r="P70" s="52"/>
      <c r="Q70" s="52"/>
      <c r="R70" s="52"/>
      <c r="S70" s="52"/>
      <c r="T70" s="52"/>
      <c r="U70" s="52"/>
      <c r="V70" s="52"/>
      <c r="W70" s="52"/>
      <c r="X70" s="52"/>
      <c r="Y70" s="52"/>
      <c r="Z70" s="52"/>
      <c r="AA70" s="52"/>
      <c r="AB70" s="52"/>
    </row>
    <row r="71" spans="1:28" ht="14.25" x14ac:dyDescent="0.2">
      <c r="A71" s="50" t="s">
        <v>15</v>
      </c>
      <c r="B71" s="51" t="s">
        <v>5666</v>
      </c>
      <c r="C71" s="51"/>
      <c r="D71" s="52"/>
      <c r="E71" s="51">
        <v>110</v>
      </c>
      <c r="F71" s="52"/>
      <c r="G71" s="53">
        <v>11133314</v>
      </c>
      <c r="H71" s="53"/>
      <c r="I71" s="53"/>
      <c r="J71" s="52"/>
      <c r="K71" s="52"/>
      <c r="L71" s="52"/>
      <c r="M71" s="52"/>
      <c r="N71" s="52"/>
      <c r="O71" s="52"/>
      <c r="P71" s="52"/>
      <c r="Q71" s="52"/>
      <c r="R71" s="52"/>
      <c r="S71" s="52"/>
      <c r="T71" s="52"/>
      <c r="U71" s="52"/>
      <c r="V71" s="52"/>
      <c r="W71" s="52"/>
      <c r="X71" s="52"/>
      <c r="Y71" s="52"/>
      <c r="Z71" s="52"/>
      <c r="AA71" s="52"/>
      <c r="AB71" s="52"/>
    </row>
    <row r="72" spans="1:28" ht="14.25" x14ac:dyDescent="0.2">
      <c r="A72" s="54" t="s">
        <v>15</v>
      </c>
      <c r="B72" s="55" t="s">
        <v>5666</v>
      </c>
      <c r="C72" s="55"/>
      <c r="D72" s="52"/>
      <c r="E72" s="55">
        <v>125</v>
      </c>
      <c r="F72" s="52"/>
      <c r="G72" s="56">
        <v>11133315</v>
      </c>
      <c r="H72" s="56"/>
      <c r="I72" s="56"/>
      <c r="J72" s="52"/>
      <c r="K72" s="52"/>
      <c r="L72" s="52"/>
      <c r="M72" s="52"/>
      <c r="N72" s="52"/>
      <c r="O72" s="52"/>
      <c r="P72" s="52"/>
      <c r="Q72" s="52"/>
      <c r="R72" s="52"/>
      <c r="S72" s="52"/>
      <c r="T72" s="52"/>
      <c r="U72" s="52"/>
      <c r="V72" s="52"/>
      <c r="W72" s="52"/>
      <c r="X72" s="52"/>
      <c r="Y72" s="52"/>
      <c r="Z72" s="52"/>
      <c r="AA72" s="52"/>
      <c r="AB72" s="52"/>
    </row>
    <row r="73" spans="1:28" ht="14.25" x14ac:dyDescent="0.2">
      <c r="A73" s="50" t="s">
        <v>15</v>
      </c>
      <c r="B73" s="51" t="s">
        <v>5666</v>
      </c>
      <c r="C73" s="51"/>
      <c r="D73" s="52"/>
      <c r="E73" s="51">
        <v>140</v>
      </c>
      <c r="F73" s="52"/>
      <c r="G73" s="53">
        <v>11133316</v>
      </c>
      <c r="H73" s="53"/>
      <c r="I73" s="53"/>
      <c r="J73" s="52"/>
      <c r="K73" s="52"/>
      <c r="L73" s="52"/>
      <c r="M73" s="52"/>
      <c r="N73" s="52"/>
      <c r="O73" s="52"/>
      <c r="P73" s="52"/>
      <c r="Q73" s="52"/>
      <c r="R73" s="52"/>
      <c r="S73" s="52"/>
      <c r="T73" s="52"/>
      <c r="U73" s="52"/>
      <c r="V73" s="52"/>
      <c r="W73" s="52"/>
      <c r="X73" s="52"/>
      <c r="Y73" s="52"/>
      <c r="Z73" s="52"/>
      <c r="AA73" s="52"/>
      <c r="AB73" s="52"/>
    </row>
    <row r="74" spans="1:28" ht="14.25" x14ac:dyDescent="0.2">
      <c r="A74" s="54" t="s">
        <v>15</v>
      </c>
      <c r="B74" s="55" t="s">
        <v>5666</v>
      </c>
      <c r="C74" s="55"/>
      <c r="D74" s="52"/>
      <c r="E74" s="55">
        <v>160</v>
      </c>
      <c r="F74" s="52"/>
      <c r="G74" s="56">
        <v>11133317</v>
      </c>
      <c r="H74" s="56"/>
      <c r="I74" s="56"/>
      <c r="J74" s="52"/>
      <c r="K74" s="52"/>
      <c r="L74" s="52"/>
      <c r="M74" s="52"/>
      <c r="N74" s="52"/>
      <c r="O74" s="52"/>
      <c r="P74" s="52"/>
      <c r="Q74" s="52"/>
      <c r="R74" s="52"/>
      <c r="S74" s="52"/>
      <c r="T74" s="52"/>
      <c r="U74" s="52"/>
      <c r="V74" s="52"/>
      <c r="W74" s="52"/>
      <c r="X74" s="52"/>
      <c r="Y74" s="52"/>
      <c r="Z74" s="52"/>
      <c r="AA74" s="52"/>
      <c r="AB74" s="52"/>
    </row>
    <row r="75" spans="1:28" ht="14.25" x14ac:dyDescent="0.2">
      <c r="A75" s="50" t="s">
        <v>15</v>
      </c>
      <c r="B75" s="51" t="s">
        <v>5666</v>
      </c>
      <c r="C75" s="51"/>
      <c r="D75" s="52"/>
      <c r="E75" s="51">
        <v>200</v>
      </c>
      <c r="F75" s="52"/>
      <c r="G75" s="53">
        <v>11133318</v>
      </c>
      <c r="H75" s="53"/>
      <c r="I75" s="53"/>
      <c r="J75" s="52"/>
      <c r="K75" s="52"/>
      <c r="L75" s="52"/>
      <c r="M75" s="52"/>
      <c r="N75" s="52"/>
      <c r="O75" s="52"/>
      <c r="P75" s="52"/>
      <c r="Q75" s="52"/>
      <c r="R75" s="52"/>
      <c r="S75" s="52"/>
      <c r="T75" s="52"/>
      <c r="U75" s="52"/>
      <c r="V75" s="52"/>
      <c r="W75" s="52"/>
      <c r="X75" s="52"/>
      <c r="Y75" s="52"/>
      <c r="Z75" s="52"/>
      <c r="AA75" s="52"/>
      <c r="AB75" s="52"/>
    </row>
    <row r="76" spans="1:28" ht="14.25" x14ac:dyDescent="0.2">
      <c r="A76" s="54" t="s">
        <v>15</v>
      </c>
      <c r="B76" s="55" t="s">
        <v>23</v>
      </c>
      <c r="C76" s="55"/>
      <c r="D76" s="52"/>
      <c r="E76" s="55">
        <v>12</v>
      </c>
      <c r="F76" s="52"/>
      <c r="G76" s="56">
        <v>13424304</v>
      </c>
      <c r="H76" s="56"/>
      <c r="I76" s="56"/>
      <c r="J76" s="52"/>
      <c r="K76" s="52"/>
      <c r="L76" s="52"/>
      <c r="M76" s="52"/>
      <c r="N76" s="52"/>
      <c r="O76" s="52"/>
      <c r="P76" s="52"/>
      <c r="Q76" s="52"/>
      <c r="R76" s="52"/>
      <c r="S76" s="52"/>
      <c r="T76" s="52"/>
      <c r="U76" s="52"/>
      <c r="V76" s="52"/>
      <c r="W76" s="52"/>
      <c r="X76" s="52"/>
      <c r="Y76" s="52"/>
      <c r="Z76" s="52"/>
      <c r="AA76" s="52"/>
      <c r="AB76" s="52"/>
    </row>
    <row r="77" spans="1:28" ht="14.25" x14ac:dyDescent="0.2">
      <c r="A77" s="50" t="s">
        <v>15</v>
      </c>
      <c r="B77" s="51" t="s">
        <v>23</v>
      </c>
      <c r="C77" s="51"/>
      <c r="D77" s="52"/>
      <c r="E77" s="51">
        <v>16</v>
      </c>
      <c r="F77" s="52"/>
      <c r="G77" s="53">
        <v>13424305</v>
      </c>
      <c r="H77" s="53"/>
      <c r="I77" s="53"/>
      <c r="J77" s="52"/>
      <c r="K77" s="52"/>
      <c r="L77" s="52"/>
      <c r="M77" s="52"/>
      <c r="N77" s="52"/>
      <c r="O77" s="52"/>
      <c r="P77" s="52"/>
      <c r="Q77" s="52"/>
      <c r="R77" s="52"/>
      <c r="S77" s="52"/>
      <c r="T77" s="52"/>
      <c r="U77" s="52"/>
      <c r="V77" s="52"/>
      <c r="W77" s="52"/>
      <c r="X77" s="52"/>
      <c r="Y77" s="52"/>
      <c r="Z77" s="52"/>
      <c r="AA77" s="52"/>
      <c r="AB77" s="52"/>
    </row>
    <row r="78" spans="1:28" ht="14.25" x14ac:dyDescent="0.2">
      <c r="A78" s="54" t="s">
        <v>15</v>
      </c>
      <c r="B78" s="55" t="s">
        <v>23</v>
      </c>
      <c r="C78" s="55"/>
      <c r="D78" s="52"/>
      <c r="E78" s="55">
        <v>20</v>
      </c>
      <c r="F78" s="52"/>
      <c r="G78" s="56">
        <v>13424306</v>
      </c>
      <c r="H78" s="56"/>
      <c r="I78" s="56"/>
      <c r="J78" s="52"/>
      <c r="K78" s="52"/>
      <c r="L78" s="52"/>
      <c r="M78" s="52"/>
      <c r="N78" s="52"/>
      <c r="O78" s="52"/>
      <c r="P78" s="52"/>
      <c r="Q78" s="52"/>
      <c r="R78" s="52"/>
      <c r="S78" s="52"/>
      <c r="T78" s="52"/>
      <c r="U78" s="52"/>
      <c r="V78" s="52"/>
      <c r="W78" s="52"/>
      <c r="X78" s="52"/>
      <c r="Y78" s="52"/>
      <c r="Z78" s="52"/>
      <c r="AA78" s="52"/>
      <c r="AB78" s="52"/>
    </row>
    <row r="79" spans="1:28" ht="14.25" x14ac:dyDescent="0.2">
      <c r="A79" s="50" t="s">
        <v>15</v>
      </c>
      <c r="B79" s="51" t="s">
        <v>23</v>
      </c>
      <c r="C79" s="51"/>
      <c r="D79" s="52"/>
      <c r="E79" s="51">
        <v>25</v>
      </c>
      <c r="F79" s="52"/>
      <c r="G79" s="53">
        <v>13424307</v>
      </c>
      <c r="H79" s="53"/>
      <c r="I79" s="53"/>
      <c r="J79" s="52"/>
      <c r="K79" s="52"/>
      <c r="L79" s="52"/>
      <c r="M79" s="52"/>
      <c r="N79" s="52"/>
      <c r="O79" s="52"/>
      <c r="P79" s="52"/>
      <c r="Q79" s="52"/>
      <c r="R79" s="52"/>
      <c r="S79" s="52"/>
      <c r="T79" s="52"/>
      <c r="U79" s="52"/>
      <c r="V79" s="52"/>
      <c r="W79" s="52"/>
      <c r="X79" s="52"/>
      <c r="Y79" s="52"/>
      <c r="Z79" s="52"/>
      <c r="AA79" s="52"/>
      <c r="AB79" s="52"/>
    </row>
    <row r="80" spans="1:28" ht="14.25" x14ac:dyDescent="0.2">
      <c r="A80" s="54" t="s">
        <v>15</v>
      </c>
      <c r="B80" s="55" t="s">
        <v>23</v>
      </c>
      <c r="C80" s="55"/>
      <c r="D80" s="52"/>
      <c r="E80" s="55">
        <v>32</v>
      </c>
      <c r="F80" s="52"/>
      <c r="G80" s="56">
        <v>13424308</v>
      </c>
      <c r="H80" s="56"/>
      <c r="I80" s="56"/>
      <c r="J80" s="52"/>
      <c r="K80" s="52"/>
      <c r="L80" s="52"/>
      <c r="M80" s="52"/>
      <c r="N80" s="52"/>
      <c r="O80" s="52"/>
      <c r="P80" s="52"/>
      <c r="Q80" s="52"/>
      <c r="R80" s="52"/>
      <c r="S80" s="52"/>
      <c r="T80" s="52"/>
      <c r="U80" s="52"/>
      <c r="V80" s="52"/>
      <c r="W80" s="52"/>
      <c r="X80" s="52"/>
      <c r="Y80" s="52"/>
      <c r="Z80" s="52"/>
      <c r="AA80" s="52"/>
      <c r="AB80" s="52"/>
    </row>
    <row r="81" spans="1:28" ht="14.25" x14ac:dyDescent="0.2">
      <c r="A81" s="50" t="s">
        <v>15</v>
      </c>
      <c r="B81" s="51" t="s">
        <v>23</v>
      </c>
      <c r="C81" s="51"/>
      <c r="D81" s="52"/>
      <c r="E81" s="51">
        <v>40</v>
      </c>
      <c r="F81" s="52"/>
      <c r="G81" s="53">
        <v>13424309</v>
      </c>
      <c r="H81" s="53"/>
      <c r="I81" s="53"/>
      <c r="J81" s="52"/>
      <c r="K81" s="52"/>
      <c r="L81" s="52"/>
      <c r="M81" s="52"/>
      <c r="N81" s="52"/>
      <c r="O81" s="52"/>
      <c r="P81" s="52"/>
      <c r="Q81" s="52"/>
      <c r="R81" s="52"/>
      <c r="S81" s="52"/>
      <c r="T81" s="52"/>
      <c r="U81" s="52"/>
      <c r="V81" s="52"/>
      <c r="W81" s="52"/>
      <c r="X81" s="52"/>
      <c r="Y81" s="52"/>
      <c r="Z81" s="52"/>
      <c r="AA81" s="52"/>
      <c r="AB81" s="52"/>
    </row>
    <row r="82" spans="1:28" ht="14.25" x14ac:dyDescent="0.2">
      <c r="A82" s="54" t="s">
        <v>15</v>
      </c>
      <c r="B82" s="55" t="s">
        <v>23</v>
      </c>
      <c r="C82" s="55"/>
      <c r="D82" s="52"/>
      <c r="E82" s="55">
        <v>50</v>
      </c>
      <c r="F82" s="52"/>
      <c r="G82" s="56">
        <v>13424310</v>
      </c>
      <c r="H82" s="56"/>
      <c r="I82" s="56"/>
      <c r="J82" s="52"/>
      <c r="K82" s="52"/>
      <c r="L82" s="52"/>
      <c r="M82" s="52"/>
      <c r="N82" s="52"/>
      <c r="O82" s="52"/>
      <c r="P82" s="52"/>
      <c r="Q82" s="52"/>
      <c r="R82" s="52"/>
      <c r="S82" s="52"/>
      <c r="T82" s="52"/>
      <c r="U82" s="52"/>
      <c r="V82" s="52"/>
      <c r="W82" s="52"/>
      <c r="X82" s="52"/>
      <c r="Y82" s="52"/>
      <c r="Z82" s="52"/>
      <c r="AA82" s="52"/>
      <c r="AB82" s="52"/>
    </row>
    <row r="83" spans="1:28" ht="14.25" x14ac:dyDescent="0.2">
      <c r="A83" s="50" t="s">
        <v>15</v>
      </c>
      <c r="B83" s="51" t="s">
        <v>23</v>
      </c>
      <c r="C83" s="51"/>
      <c r="D83" s="52"/>
      <c r="E83" s="51">
        <v>63</v>
      </c>
      <c r="F83" s="52"/>
      <c r="G83" s="53">
        <v>13424311</v>
      </c>
      <c r="H83" s="53"/>
      <c r="I83" s="53"/>
      <c r="J83" s="52"/>
      <c r="K83" s="52"/>
      <c r="L83" s="52"/>
      <c r="M83" s="52"/>
      <c r="N83" s="52"/>
      <c r="O83" s="52"/>
      <c r="P83" s="52"/>
      <c r="Q83" s="52"/>
      <c r="R83" s="52"/>
      <c r="S83" s="52"/>
      <c r="T83" s="52"/>
      <c r="U83" s="52"/>
      <c r="V83" s="52"/>
      <c r="W83" s="52"/>
      <c r="X83" s="52"/>
      <c r="Y83" s="52"/>
      <c r="Z83" s="52"/>
      <c r="AA83" s="52"/>
      <c r="AB83" s="52"/>
    </row>
    <row r="84" spans="1:28" ht="14.25" x14ac:dyDescent="0.2">
      <c r="A84" s="54" t="s">
        <v>15</v>
      </c>
      <c r="B84" s="55" t="s">
        <v>23</v>
      </c>
      <c r="C84" s="55"/>
      <c r="D84" s="52"/>
      <c r="E84" s="55">
        <v>75</v>
      </c>
      <c r="F84" s="52"/>
      <c r="G84" s="56">
        <v>13424312</v>
      </c>
      <c r="H84" s="56"/>
      <c r="I84" s="56"/>
      <c r="J84" s="52"/>
      <c r="K84" s="52"/>
      <c r="L84" s="52"/>
      <c r="M84" s="52"/>
      <c r="N84" s="52"/>
      <c r="O84" s="52"/>
      <c r="P84" s="52"/>
      <c r="Q84" s="52"/>
      <c r="R84" s="52"/>
      <c r="S84" s="52"/>
      <c r="T84" s="52"/>
      <c r="U84" s="52"/>
      <c r="V84" s="52"/>
      <c r="W84" s="52"/>
      <c r="X84" s="52"/>
      <c r="Y84" s="52"/>
      <c r="Z84" s="52"/>
      <c r="AA84" s="52"/>
      <c r="AB84" s="52"/>
    </row>
    <row r="85" spans="1:28" ht="14.25" x14ac:dyDescent="0.2">
      <c r="A85" s="50" t="s">
        <v>15</v>
      </c>
      <c r="B85" s="51" t="s">
        <v>23</v>
      </c>
      <c r="C85" s="51"/>
      <c r="D85" s="52"/>
      <c r="E85" s="51">
        <v>90</v>
      </c>
      <c r="F85" s="52"/>
      <c r="G85" s="53">
        <v>13424313</v>
      </c>
      <c r="H85" s="53"/>
      <c r="I85" s="53"/>
      <c r="J85" s="52"/>
      <c r="K85" s="52"/>
      <c r="L85" s="52"/>
      <c r="M85" s="52"/>
      <c r="N85" s="52"/>
      <c r="O85" s="52"/>
      <c r="P85" s="52"/>
      <c r="Q85" s="52"/>
      <c r="R85" s="52"/>
      <c r="S85" s="52"/>
      <c r="T85" s="52"/>
      <c r="U85" s="52"/>
      <c r="V85" s="52"/>
      <c r="W85" s="52"/>
      <c r="X85" s="52"/>
      <c r="Y85" s="52"/>
      <c r="Z85" s="52"/>
      <c r="AA85" s="52"/>
      <c r="AB85" s="52"/>
    </row>
    <row r="86" spans="1:28" ht="14.25" x14ac:dyDescent="0.2">
      <c r="A86" s="54" t="s">
        <v>15</v>
      </c>
      <c r="B86" s="55" t="s">
        <v>23</v>
      </c>
      <c r="C86" s="55"/>
      <c r="D86" s="52"/>
      <c r="E86" s="55">
        <v>110</v>
      </c>
      <c r="F86" s="52"/>
      <c r="G86" s="56">
        <v>13424314</v>
      </c>
      <c r="H86" s="56"/>
      <c r="I86" s="56"/>
      <c r="J86" s="52"/>
      <c r="K86" s="52"/>
      <c r="L86" s="52"/>
      <c r="M86" s="52"/>
      <c r="N86" s="52"/>
      <c r="O86" s="52"/>
      <c r="P86" s="52"/>
      <c r="Q86" s="52"/>
      <c r="R86" s="52"/>
      <c r="S86" s="52"/>
      <c r="T86" s="52"/>
      <c r="U86" s="52"/>
      <c r="V86" s="52"/>
      <c r="W86" s="52"/>
      <c r="X86" s="52"/>
      <c r="Y86" s="52"/>
      <c r="Z86" s="52"/>
      <c r="AA86" s="52"/>
      <c r="AB86" s="52"/>
    </row>
    <row r="87" spans="1:28" ht="14.25" x14ac:dyDescent="0.2">
      <c r="A87" s="50" t="s">
        <v>15</v>
      </c>
      <c r="B87" s="51" t="s">
        <v>23</v>
      </c>
      <c r="C87" s="51"/>
      <c r="D87" s="52"/>
      <c r="E87" s="51">
        <v>125</v>
      </c>
      <c r="F87" s="52"/>
      <c r="G87" s="53">
        <v>13424315</v>
      </c>
      <c r="H87" s="53"/>
      <c r="I87" s="53"/>
      <c r="J87" s="52"/>
      <c r="K87" s="52"/>
      <c r="L87" s="52"/>
      <c r="M87" s="52"/>
      <c r="N87" s="52"/>
      <c r="O87" s="52"/>
      <c r="P87" s="52"/>
      <c r="Q87" s="52"/>
      <c r="R87" s="52"/>
      <c r="S87" s="52"/>
      <c r="T87" s="52"/>
      <c r="U87" s="52"/>
      <c r="V87" s="52"/>
      <c r="W87" s="52"/>
      <c r="X87" s="52"/>
      <c r="Y87" s="52"/>
      <c r="Z87" s="52"/>
      <c r="AA87" s="52"/>
      <c r="AB87" s="52"/>
    </row>
    <row r="88" spans="1:28" ht="14.25" x14ac:dyDescent="0.2">
      <c r="A88" s="54" t="s">
        <v>15</v>
      </c>
      <c r="B88" s="55" t="s">
        <v>23</v>
      </c>
      <c r="C88" s="55"/>
      <c r="D88" s="52"/>
      <c r="E88" s="55">
        <v>140</v>
      </c>
      <c r="F88" s="52"/>
      <c r="G88" s="56">
        <v>13424316</v>
      </c>
      <c r="H88" s="56"/>
      <c r="I88" s="56"/>
      <c r="J88" s="52"/>
      <c r="K88" s="52"/>
      <c r="L88" s="52"/>
      <c r="M88" s="52"/>
      <c r="N88" s="52"/>
      <c r="O88" s="52"/>
      <c r="P88" s="52"/>
      <c r="Q88" s="52"/>
      <c r="R88" s="52"/>
      <c r="S88" s="52"/>
      <c r="T88" s="52"/>
      <c r="U88" s="52"/>
      <c r="V88" s="52"/>
      <c r="W88" s="52"/>
      <c r="X88" s="52"/>
      <c r="Y88" s="52"/>
      <c r="Z88" s="52"/>
      <c r="AA88" s="52"/>
      <c r="AB88" s="52"/>
    </row>
    <row r="89" spans="1:28" ht="14.25" x14ac:dyDescent="0.2">
      <c r="A89" s="50" t="s">
        <v>15</v>
      </c>
      <c r="B89" s="51" t="s">
        <v>23</v>
      </c>
      <c r="C89" s="51"/>
      <c r="D89" s="52"/>
      <c r="E89" s="51">
        <v>160</v>
      </c>
      <c r="F89" s="52"/>
      <c r="G89" s="53">
        <v>13424317</v>
      </c>
      <c r="H89" s="53"/>
      <c r="I89" s="53"/>
      <c r="J89" s="52"/>
      <c r="K89" s="52"/>
      <c r="L89" s="52"/>
      <c r="M89" s="52"/>
      <c r="N89" s="52"/>
      <c r="O89" s="52"/>
      <c r="P89" s="52"/>
      <c r="Q89" s="52"/>
      <c r="R89" s="52"/>
      <c r="S89" s="52"/>
      <c r="T89" s="52"/>
      <c r="U89" s="52"/>
      <c r="V89" s="52"/>
      <c r="W89" s="52"/>
      <c r="X89" s="52"/>
      <c r="Y89" s="52"/>
      <c r="Z89" s="52"/>
      <c r="AA89" s="52"/>
      <c r="AB89" s="52"/>
    </row>
    <row r="90" spans="1:28" ht="14.25" x14ac:dyDescent="0.2">
      <c r="A90" s="54" t="s">
        <v>15</v>
      </c>
      <c r="B90" s="55" t="s">
        <v>5667</v>
      </c>
      <c r="C90" s="55"/>
      <c r="D90" s="52"/>
      <c r="E90" s="55">
        <v>12</v>
      </c>
      <c r="F90" s="52"/>
      <c r="G90" s="56">
        <v>11115304</v>
      </c>
      <c r="H90" s="56"/>
      <c r="I90" s="56"/>
      <c r="J90" s="52"/>
      <c r="K90" s="52"/>
      <c r="L90" s="52"/>
      <c r="M90" s="52"/>
      <c r="N90" s="52"/>
      <c r="O90" s="52"/>
      <c r="P90" s="52"/>
      <c r="Q90" s="52"/>
      <c r="R90" s="52"/>
      <c r="S90" s="52"/>
      <c r="T90" s="52"/>
      <c r="U90" s="52"/>
      <c r="V90" s="52"/>
      <c r="W90" s="52"/>
      <c r="X90" s="52"/>
      <c r="Y90" s="52"/>
      <c r="Z90" s="52"/>
      <c r="AA90" s="52"/>
      <c r="AB90" s="52"/>
    </row>
    <row r="91" spans="1:28" ht="14.25" x14ac:dyDescent="0.2">
      <c r="A91" s="50" t="s">
        <v>15</v>
      </c>
      <c r="B91" s="51" t="s">
        <v>5667</v>
      </c>
      <c r="C91" s="51"/>
      <c r="D91" s="52"/>
      <c r="E91" s="51">
        <v>16</v>
      </c>
      <c r="F91" s="52"/>
      <c r="G91" s="53">
        <v>11115305</v>
      </c>
      <c r="H91" s="53"/>
      <c r="I91" s="53"/>
      <c r="J91" s="52"/>
      <c r="K91" s="52"/>
      <c r="L91" s="52"/>
      <c r="M91" s="52"/>
      <c r="N91" s="52"/>
      <c r="O91" s="52"/>
      <c r="P91" s="52"/>
      <c r="Q91" s="52"/>
      <c r="R91" s="52"/>
      <c r="S91" s="52"/>
      <c r="T91" s="52"/>
      <c r="U91" s="52"/>
      <c r="V91" s="52"/>
      <c r="W91" s="52"/>
      <c r="X91" s="52"/>
      <c r="Y91" s="52"/>
      <c r="Z91" s="52"/>
      <c r="AA91" s="52"/>
      <c r="AB91" s="52"/>
    </row>
    <row r="92" spans="1:28" ht="14.25" x14ac:dyDescent="0.2">
      <c r="A92" s="54" t="s">
        <v>15</v>
      </c>
      <c r="B92" s="55" t="s">
        <v>5667</v>
      </c>
      <c r="C92" s="55"/>
      <c r="D92" s="52"/>
      <c r="E92" s="55">
        <v>20</v>
      </c>
      <c r="F92" s="52"/>
      <c r="G92" s="56">
        <v>11115306</v>
      </c>
      <c r="H92" s="56"/>
      <c r="I92" s="56"/>
      <c r="J92" s="52"/>
      <c r="K92" s="52"/>
      <c r="L92" s="52"/>
      <c r="M92" s="52"/>
      <c r="N92" s="52"/>
      <c r="O92" s="52"/>
      <c r="P92" s="52"/>
      <c r="Q92" s="52"/>
      <c r="R92" s="52"/>
      <c r="S92" s="52"/>
      <c r="T92" s="52"/>
      <c r="U92" s="52"/>
      <c r="V92" s="52"/>
      <c r="W92" s="52"/>
      <c r="X92" s="52"/>
      <c r="Y92" s="52"/>
      <c r="Z92" s="52"/>
      <c r="AA92" s="52"/>
      <c r="AB92" s="52"/>
    </row>
    <row r="93" spans="1:28" ht="14.25" x14ac:dyDescent="0.2">
      <c r="A93" s="50" t="s">
        <v>15</v>
      </c>
      <c r="B93" s="51" t="s">
        <v>5667</v>
      </c>
      <c r="C93" s="51"/>
      <c r="D93" s="52"/>
      <c r="E93" s="51">
        <v>25</v>
      </c>
      <c r="F93" s="52"/>
      <c r="G93" s="53">
        <v>11115307</v>
      </c>
      <c r="H93" s="53"/>
      <c r="I93" s="53"/>
      <c r="J93" s="52"/>
      <c r="K93" s="52"/>
      <c r="L93" s="52"/>
      <c r="M93" s="52"/>
      <c r="N93" s="52"/>
      <c r="O93" s="52"/>
      <c r="P93" s="52"/>
      <c r="Q93" s="52"/>
      <c r="R93" s="52"/>
      <c r="S93" s="52"/>
      <c r="T93" s="52"/>
      <c r="U93" s="52"/>
      <c r="V93" s="52"/>
      <c r="W93" s="52"/>
      <c r="X93" s="52"/>
      <c r="Y93" s="52"/>
      <c r="Z93" s="52"/>
      <c r="AA93" s="52"/>
      <c r="AB93" s="52"/>
    </row>
    <row r="94" spans="1:28" ht="14.25" x14ac:dyDescent="0.2">
      <c r="A94" s="54" t="s">
        <v>15</v>
      </c>
      <c r="B94" s="55" t="s">
        <v>5667</v>
      </c>
      <c r="C94" s="55"/>
      <c r="D94" s="52"/>
      <c r="E94" s="55">
        <v>32</v>
      </c>
      <c r="F94" s="52"/>
      <c r="G94" s="56">
        <v>11115308</v>
      </c>
      <c r="H94" s="56"/>
      <c r="I94" s="56"/>
      <c r="J94" s="52"/>
      <c r="K94" s="52"/>
      <c r="L94" s="52"/>
      <c r="M94" s="52"/>
      <c r="N94" s="52"/>
      <c r="O94" s="52"/>
      <c r="P94" s="52"/>
      <c r="Q94" s="52"/>
      <c r="R94" s="52"/>
      <c r="S94" s="52"/>
      <c r="T94" s="52"/>
      <c r="U94" s="52"/>
      <c r="V94" s="52"/>
      <c r="W94" s="52"/>
      <c r="X94" s="52"/>
      <c r="Y94" s="52"/>
      <c r="Z94" s="52"/>
      <c r="AA94" s="52"/>
      <c r="AB94" s="52"/>
    </row>
    <row r="95" spans="1:28" ht="14.25" x14ac:dyDescent="0.2">
      <c r="A95" s="50" t="s">
        <v>15</v>
      </c>
      <c r="B95" s="51" t="s">
        <v>5667</v>
      </c>
      <c r="C95" s="51"/>
      <c r="D95" s="52"/>
      <c r="E95" s="51">
        <v>40</v>
      </c>
      <c r="F95" s="52"/>
      <c r="G95" s="53">
        <v>11115309</v>
      </c>
      <c r="H95" s="53"/>
      <c r="I95" s="53"/>
      <c r="J95" s="52"/>
      <c r="K95" s="52"/>
      <c r="L95" s="52"/>
      <c r="M95" s="52"/>
      <c r="N95" s="52"/>
      <c r="O95" s="52"/>
      <c r="P95" s="52"/>
      <c r="Q95" s="52"/>
      <c r="R95" s="52"/>
      <c r="S95" s="52"/>
      <c r="T95" s="52"/>
      <c r="U95" s="52"/>
      <c r="V95" s="52"/>
      <c r="W95" s="52"/>
      <c r="X95" s="52"/>
      <c r="Y95" s="52"/>
      <c r="Z95" s="52"/>
      <c r="AA95" s="52"/>
      <c r="AB95" s="52"/>
    </row>
    <row r="96" spans="1:28" ht="14.25" x14ac:dyDescent="0.2">
      <c r="A96" s="54" t="s">
        <v>15</v>
      </c>
      <c r="B96" s="55" t="s">
        <v>5667</v>
      </c>
      <c r="C96" s="55"/>
      <c r="D96" s="52"/>
      <c r="E96" s="55">
        <v>50</v>
      </c>
      <c r="F96" s="52"/>
      <c r="G96" s="56">
        <v>11115310</v>
      </c>
      <c r="H96" s="56"/>
      <c r="I96" s="56"/>
      <c r="J96" s="52"/>
      <c r="K96" s="52"/>
      <c r="L96" s="52"/>
      <c r="M96" s="52"/>
      <c r="N96" s="52"/>
      <c r="O96" s="52"/>
      <c r="P96" s="52"/>
      <c r="Q96" s="52"/>
      <c r="R96" s="52"/>
      <c r="S96" s="52"/>
      <c r="T96" s="52"/>
      <c r="U96" s="52"/>
      <c r="V96" s="52"/>
      <c r="W96" s="52"/>
      <c r="X96" s="52"/>
      <c r="Y96" s="52"/>
      <c r="Z96" s="52"/>
      <c r="AA96" s="52"/>
      <c r="AB96" s="52"/>
    </row>
    <row r="97" spans="1:28" ht="14.25" x14ac:dyDescent="0.2">
      <c r="A97" s="50" t="s">
        <v>15</v>
      </c>
      <c r="B97" s="51" t="s">
        <v>5667</v>
      </c>
      <c r="C97" s="51"/>
      <c r="D97" s="52"/>
      <c r="E97" s="51">
        <v>63</v>
      </c>
      <c r="F97" s="52"/>
      <c r="G97" s="53">
        <v>11115311</v>
      </c>
      <c r="H97" s="53"/>
      <c r="I97" s="53"/>
      <c r="J97" s="52"/>
      <c r="K97" s="52"/>
      <c r="L97" s="52"/>
      <c r="M97" s="52"/>
      <c r="N97" s="52"/>
      <c r="O97" s="52"/>
      <c r="P97" s="52"/>
      <c r="Q97" s="52"/>
      <c r="R97" s="52"/>
      <c r="S97" s="52"/>
      <c r="T97" s="52"/>
      <c r="U97" s="52"/>
      <c r="V97" s="52"/>
      <c r="W97" s="52"/>
      <c r="X97" s="52"/>
      <c r="Y97" s="52"/>
      <c r="Z97" s="52"/>
      <c r="AA97" s="52"/>
      <c r="AB97" s="52"/>
    </row>
    <row r="98" spans="1:28" ht="14.25" x14ac:dyDescent="0.2">
      <c r="A98" s="54" t="s">
        <v>15</v>
      </c>
      <c r="B98" s="55" t="s">
        <v>5667</v>
      </c>
      <c r="C98" s="55"/>
      <c r="D98" s="52"/>
      <c r="E98" s="55">
        <v>75</v>
      </c>
      <c r="F98" s="52"/>
      <c r="G98" s="56">
        <v>11115312</v>
      </c>
      <c r="H98" s="56"/>
      <c r="I98" s="56"/>
      <c r="J98" s="52"/>
      <c r="K98" s="52"/>
      <c r="L98" s="52"/>
      <c r="M98" s="52"/>
      <c r="N98" s="52"/>
      <c r="O98" s="52"/>
      <c r="P98" s="52"/>
      <c r="Q98" s="52"/>
      <c r="R98" s="52"/>
      <c r="S98" s="52"/>
      <c r="T98" s="52"/>
      <c r="U98" s="52"/>
      <c r="V98" s="52"/>
      <c r="W98" s="52"/>
      <c r="X98" s="52"/>
      <c r="Y98" s="52"/>
      <c r="Z98" s="52"/>
      <c r="AA98" s="52"/>
      <c r="AB98" s="52"/>
    </row>
    <row r="99" spans="1:28" ht="14.25" x14ac:dyDescent="0.2">
      <c r="A99" s="50" t="s">
        <v>15</v>
      </c>
      <c r="B99" s="51" t="s">
        <v>5667</v>
      </c>
      <c r="C99" s="51"/>
      <c r="D99" s="52"/>
      <c r="E99" s="51">
        <v>90</v>
      </c>
      <c r="F99" s="52"/>
      <c r="G99" s="53">
        <v>11115313</v>
      </c>
      <c r="H99" s="53"/>
      <c r="I99" s="53"/>
      <c r="J99" s="52"/>
      <c r="K99" s="52"/>
      <c r="L99" s="52"/>
      <c r="M99" s="52"/>
      <c r="N99" s="52"/>
      <c r="O99" s="52"/>
      <c r="P99" s="52"/>
      <c r="Q99" s="52"/>
      <c r="R99" s="52"/>
      <c r="S99" s="52"/>
      <c r="T99" s="52"/>
      <c r="U99" s="52"/>
      <c r="V99" s="52"/>
      <c r="W99" s="52"/>
      <c r="X99" s="52"/>
      <c r="Y99" s="52"/>
      <c r="Z99" s="52"/>
      <c r="AA99" s="52"/>
      <c r="AB99" s="52"/>
    </row>
    <row r="100" spans="1:28" ht="14.25" x14ac:dyDescent="0.2">
      <c r="A100" s="54" t="s">
        <v>15</v>
      </c>
      <c r="B100" s="55" t="s">
        <v>5667</v>
      </c>
      <c r="C100" s="55"/>
      <c r="D100" s="52"/>
      <c r="E100" s="55">
        <v>110</v>
      </c>
      <c r="F100" s="52"/>
      <c r="G100" s="56">
        <v>11115314</v>
      </c>
      <c r="H100" s="56"/>
      <c r="I100" s="56"/>
      <c r="J100" s="52"/>
      <c r="K100" s="52"/>
      <c r="L100" s="52"/>
      <c r="M100" s="52"/>
      <c r="N100" s="52"/>
      <c r="O100" s="52"/>
      <c r="P100" s="52"/>
      <c r="Q100" s="52"/>
      <c r="R100" s="52"/>
      <c r="S100" s="52"/>
      <c r="T100" s="52"/>
      <c r="U100" s="52"/>
      <c r="V100" s="52"/>
      <c r="W100" s="52"/>
      <c r="X100" s="52"/>
      <c r="Y100" s="52"/>
      <c r="Z100" s="52"/>
      <c r="AA100" s="52"/>
      <c r="AB100" s="52"/>
    </row>
    <row r="101" spans="1:28" ht="14.25" x14ac:dyDescent="0.2">
      <c r="A101" s="50" t="s">
        <v>15</v>
      </c>
      <c r="B101" s="51" t="s">
        <v>5667</v>
      </c>
      <c r="C101" s="51"/>
      <c r="D101" s="52"/>
      <c r="E101" s="51">
        <v>125</v>
      </c>
      <c r="F101" s="52"/>
      <c r="G101" s="53">
        <v>11115315</v>
      </c>
      <c r="H101" s="53"/>
      <c r="I101" s="53"/>
      <c r="J101" s="52"/>
      <c r="K101" s="52"/>
      <c r="L101" s="52"/>
      <c r="M101" s="52"/>
      <c r="N101" s="52"/>
      <c r="O101" s="52"/>
      <c r="P101" s="52"/>
      <c r="Q101" s="52"/>
      <c r="R101" s="52"/>
      <c r="S101" s="52"/>
      <c r="T101" s="52"/>
      <c r="U101" s="52"/>
      <c r="V101" s="52"/>
      <c r="W101" s="52"/>
      <c r="X101" s="52"/>
      <c r="Y101" s="52"/>
      <c r="Z101" s="52"/>
      <c r="AA101" s="52"/>
      <c r="AB101" s="52"/>
    </row>
    <row r="102" spans="1:28" ht="14.25" x14ac:dyDescent="0.2">
      <c r="A102" s="54" t="s">
        <v>15</v>
      </c>
      <c r="B102" s="55" t="s">
        <v>5667</v>
      </c>
      <c r="C102" s="55"/>
      <c r="D102" s="52"/>
      <c r="E102" s="55">
        <v>140</v>
      </c>
      <c r="F102" s="52"/>
      <c r="G102" s="56">
        <v>11115316</v>
      </c>
      <c r="H102" s="56"/>
      <c r="I102" s="56"/>
      <c r="J102" s="52"/>
      <c r="K102" s="52"/>
      <c r="L102" s="52"/>
      <c r="M102" s="52"/>
      <c r="N102" s="52"/>
      <c r="O102" s="52"/>
      <c r="P102" s="52"/>
      <c r="Q102" s="52"/>
      <c r="R102" s="52"/>
      <c r="S102" s="52"/>
      <c r="T102" s="52"/>
      <c r="U102" s="52"/>
      <c r="V102" s="52"/>
      <c r="W102" s="52"/>
      <c r="X102" s="52"/>
      <c r="Y102" s="52"/>
      <c r="Z102" s="52"/>
      <c r="AA102" s="52"/>
      <c r="AB102" s="52"/>
    </row>
    <row r="103" spans="1:28" ht="14.25" x14ac:dyDescent="0.2">
      <c r="A103" s="50" t="s">
        <v>15</v>
      </c>
      <c r="B103" s="51" t="s">
        <v>5667</v>
      </c>
      <c r="C103" s="51"/>
      <c r="D103" s="52"/>
      <c r="E103" s="51">
        <v>160</v>
      </c>
      <c r="F103" s="52"/>
      <c r="G103" s="53">
        <v>11115317</v>
      </c>
      <c r="H103" s="53"/>
      <c r="I103" s="53"/>
      <c r="J103" s="52"/>
      <c r="K103" s="52"/>
      <c r="L103" s="52"/>
      <c r="M103" s="52"/>
      <c r="N103" s="52"/>
      <c r="O103" s="52"/>
      <c r="P103" s="52"/>
      <c r="Q103" s="52"/>
      <c r="R103" s="52"/>
      <c r="S103" s="52"/>
      <c r="T103" s="52"/>
      <c r="U103" s="52"/>
      <c r="V103" s="52"/>
      <c r="W103" s="52"/>
      <c r="X103" s="52"/>
      <c r="Y103" s="52"/>
      <c r="Z103" s="52"/>
      <c r="AA103" s="52"/>
      <c r="AB103" s="52"/>
    </row>
    <row r="104" spans="1:28" ht="14.25" x14ac:dyDescent="0.2">
      <c r="A104" s="54" t="s">
        <v>15</v>
      </c>
      <c r="B104" s="55" t="s">
        <v>5667</v>
      </c>
      <c r="C104" s="55"/>
      <c r="D104" s="52"/>
      <c r="E104" s="55">
        <v>200</v>
      </c>
      <c r="F104" s="52"/>
      <c r="G104" s="56">
        <v>11115318</v>
      </c>
      <c r="H104" s="56"/>
      <c r="I104" s="56"/>
      <c r="J104" s="52"/>
      <c r="K104" s="52"/>
      <c r="L104" s="52"/>
      <c r="M104" s="52"/>
      <c r="N104" s="52"/>
      <c r="O104" s="52"/>
      <c r="P104" s="52"/>
      <c r="Q104" s="52"/>
      <c r="R104" s="52"/>
      <c r="S104" s="52"/>
      <c r="T104" s="52"/>
      <c r="U104" s="52"/>
      <c r="V104" s="52"/>
      <c r="W104" s="52"/>
      <c r="X104" s="52"/>
      <c r="Y104" s="52"/>
      <c r="Z104" s="52"/>
      <c r="AA104" s="52"/>
      <c r="AB104" s="52"/>
    </row>
    <row r="105" spans="1:28" ht="14.25" x14ac:dyDescent="0.2">
      <c r="A105" s="50" t="s">
        <v>15</v>
      </c>
      <c r="B105" s="51" t="s">
        <v>5667</v>
      </c>
      <c r="C105" s="51"/>
      <c r="D105" s="52"/>
      <c r="E105" s="51">
        <v>225</v>
      </c>
      <c r="F105" s="52"/>
      <c r="G105" s="53">
        <v>11115319</v>
      </c>
      <c r="H105" s="53"/>
      <c r="I105" s="53"/>
      <c r="J105" s="52"/>
      <c r="K105" s="52"/>
      <c r="L105" s="52"/>
      <c r="M105" s="52"/>
      <c r="N105" s="52"/>
      <c r="O105" s="52"/>
      <c r="P105" s="52"/>
      <c r="Q105" s="52"/>
      <c r="R105" s="52"/>
      <c r="S105" s="52"/>
      <c r="T105" s="52"/>
      <c r="U105" s="52"/>
      <c r="V105" s="52"/>
      <c r="W105" s="52"/>
      <c r="X105" s="52"/>
      <c r="Y105" s="52"/>
      <c r="Z105" s="52"/>
      <c r="AA105" s="52"/>
      <c r="AB105" s="52"/>
    </row>
    <row r="106" spans="1:28" ht="14.25" x14ac:dyDescent="0.2">
      <c r="A106" s="54" t="s">
        <v>15</v>
      </c>
      <c r="B106" s="55" t="s">
        <v>5668</v>
      </c>
      <c r="C106" s="55"/>
      <c r="D106" s="52"/>
      <c r="E106" s="55" t="s">
        <v>17</v>
      </c>
      <c r="F106" s="52"/>
      <c r="G106" s="56">
        <v>1117102</v>
      </c>
      <c r="H106" s="56"/>
      <c r="I106" s="56"/>
      <c r="J106" s="52"/>
      <c r="K106" s="52"/>
      <c r="L106" s="52"/>
      <c r="M106" s="52"/>
      <c r="N106" s="52"/>
      <c r="O106" s="52"/>
      <c r="P106" s="52"/>
      <c r="Q106" s="52"/>
      <c r="R106" s="52"/>
      <c r="S106" s="52"/>
      <c r="T106" s="52"/>
      <c r="U106" s="52"/>
      <c r="V106" s="52"/>
      <c r="W106" s="52"/>
      <c r="X106" s="52"/>
      <c r="Y106" s="52"/>
      <c r="Z106" s="52"/>
      <c r="AA106" s="52"/>
      <c r="AB106" s="52"/>
    </row>
    <row r="107" spans="1:28" ht="14.25" x14ac:dyDescent="0.2">
      <c r="A107" s="50" t="s">
        <v>15</v>
      </c>
      <c r="B107" s="51" t="s">
        <v>5668</v>
      </c>
      <c r="C107" s="51"/>
      <c r="D107" s="52"/>
      <c r="E107" s="51" t="s">
        <v>18</v>
      </c>
      <c r="F107" s="52"/>
      <c r="G107" s="53">
        <v>1117103</v>
      </c>
      <c r="H107" s="53"/>
      <c r="I107" s="53"/>
      <c r="J107" s="52"/>
      <c r="K107" s="52"/>
      <c r="L107" s="52"/>
      <c r="M107" s="52"/>
      <c r="N107" s="52"/>
      <c r="O107" s="52"/>
      <c r="P107" s="52"/>
      <c r="Q107" s="52"/>
      <c r="R107" s="52"/>
      <c r="S107" s="52"/>
      <c r="T107" s="52"/>
      <c r="U107" s="52"/>
      <c r="V107" s="52"/>
      <c r="W107" s="52"/>
      <c r="X107" s="52"/>
      <c r="Y107" s="52"/>
      <c r="Z107" s="52"/>
      <c r="AA107" s="52"/>
      <c r="AB107" s="52"/>
    </row>
    <row r="108" spans="1:28" ht="14.25" x14ac:dyDescent="0.2">
      <c r="A108" s="54" t="s">
        <v>15</v>
      </c>
      <c r="B108" s="55" t="s">
        <v>5668</v>
      </c>
      <c r="C108" s="55"/>
      <c r="D108" s="52"/>
      <c r="E108" s="55" t="s">
        <v>19</v>
      </c>
      <c r="F108" s="52"/>
      <c r="G108" s="56">
        <v>1117104</v>
      </c>
      <c r="H108" s="56"/>
      <c r="I108" s="56"/>
      <c r="J108" s="52"/>
      <c r="K108" s="52"/>
      <c r="L108" s="52"/>
      <c r="M108" s="52"/>
      <c r="N108" s="52"/>
      <c r="O108" s="52"/>
      <c r="P108" s="52"/>
      <c r="Q108" s="52"/>
      <c r="R108" s="52"/>
      <c r="S108" s="52"/>
      <c r="T108" s="52"/>
      <c r="U108" s="52"/>
      <c r="V108" s="52"/>
      <c r="W108" s="52"/>
      <c r="X108" s="52"/>
      <c r="Y108" s="52"/>
      <c r="Z108" s="52"/>
      <c r="AA108" s="52"/>
      <c r="AB108" s="52"/>
    </row>
    <row r="109" spans="1:28" ht="14.25" x14ac:dyDescent="0.2">
      <c r="A109" s="50" t="s">
        <v>15</v>
      </c>
      <c r="B109" s="51" t="s">
        <v>5668</v>
      </c>
      <c r="C109" s="51"/>
      <c r="D109" s="52"/>
      <c r="E109" s="51" t="s">
        <v>21</v>
      </c>
      <c r="F109" s="52"/>
      <c r="G109" s="53">
        <v>1117106</v>
      </c>
      <c r="H109" s="53"/>
      <c r="I109" s="53"/>
      <c r="J109" s="52"/>
      <c r="K109" s="52"/>
      <c r="L109" s="52"/>
      <c r="M109" s="52"/>
      <c r="N109" s="52"/>
      <c r="O109" s="52"/>
      <c r="P109" s="52"/>
      <c r="Q109" s="52"/>
      <c r="R109" s="52"/>
      <c r="S109" s="52"/>
      <c r="T109" s="52"/>
      <c r="U109" s="52"/>
      <c r="V109" s="52"/>
      <c r="W109" s="52"/>
      <c r="X109" s="52"/>
      <c r="Y109" s="52"/>
      <c r="Z109" s="52"/>
      <c r="AA109" s="52"/>
      <c r="AB109" s="52"/>
    </row>
    <row r="110" spans="1:28" ht="14.25" x14ac:dyDescent="0.2">
      <c r="A110" s="54" t="s">
        <v>15</v>
      </c>
      <c r="B110" s="55" t="s">
        <v>5668</v>
      </c>
      <c r="C110" s="55"/>
      <c r="D110" s="52"/>
      <c r="E110" s="55" t="s">
        <v>0</v>
      </c>
      <c r="F110" s="52"/>
      <c r="G110" s="56">
        <v>1117107</v>
      </c>
      <c r="H110" s="56"/>
      <c r="I110" s="56"/>
      <c r="J110" s="52"/>
      <c r="K110" s="52"/>
      <c r="L110" s="52"/>
      <c r="M110" s="52"/>
      <c r="N110" s="52"/>
      <c r="O110" s="52"/>
      <c r="P110" s="52"/>
      <c r="Q110" s="52"/>
      <c r="R110" s="52"/>
      <c r="S110" s="52"/>
      <c r="T110" s="52"/>
      <c r="U110" s="52"/>
      <c r="V110" s="52"/>
      <c r="W110" s="52"/>
      <c r="X110" s="52"/>
      <c r="Y110" s="52"/>
      <c r="Z110" s="52"/>
      <c r="AA110" s="52"/>
      <c r="AB110" s="52"/>
    </row>
    <row r="111" spans="1:28" ht="14.25" x14ac:dyDescent="0.2">
      <c r="A111" s="50" t="s">
        <v>15</v>
      </c>
      <c r="B111" s="51" t="s">
        <v>5669</v>
      </c>
      <c r="C111" s="51"/>
      <c r="D111" s="52"/>
      <c r="E111" s="51">
        <v>12</v>
      </c>
      <c r="F111" s="52"/>
      <c r="G111" s="53">
        <v>11119304</v>
      </c>
      <c r="H111" s="53"/>
      <c r="I111" s="53"/>
      <c r="J111" s="52"/>
      <c r="K111" s="52"/>
      <c r="L111" s="52"/>
      <c r="M111" s="52"/>
      <c r="N111" s="52"/>
      <c r="O111" s="52"/>
      <c r="P111" s="52"/>
      <c r="Q111" s="52"/>
      <c r="R111" s="52"/>
      <c r="S111" s="52"/>
      <c r="T111" s="52"/>
      <c r="U111" s="52"/>
      <c r="V111" s="52"/>
      <c r="W111" s="52"/>
      <c r="X111" s="52"/>
      <c r="Y111" s="52"/>
      <c r="Z111" s="52"/>
      <c r="AA111" s="52"/>
      <c r="AB111" s="52"/>
    </row>
    <row r="112" spans="1:28" ht="14.25" x14ac:dyDescent="0.2">
      <c r="A112" s="54" t="s">
        <v>15</v>
      </c>
      <c r="B112" s="55" t="s">
        <v>5669</v>
      </c>
      <c r="C112" s="55"/>
      <c r="D112" s="52"/>
      <c r="E112" s="55">
        <v>16</v>
      </c>
      <c r="F112" s="52"/>
      <c r="G112" s="56">
        <v>11119305</v>
      </c>
      <c r="H112" s="56"/>
      <c r="I112" s="56"/>
      <c r="J112" s="52"/>
      <c r="K112" s="52"/>
      <c r="L112" s="52"/>
      <c r="M112" s="52"/>
      <c r="N112" s="52"/>
      <c r="O112" s="52"/>
      <c r="P112" s="52"/>
      <c r="Q112" s="52"/>
      <c r="R112" s="52"/>
      <c r="S112" s="52"/>
      <c r="T112" s="52"/>
      <c r="U112" s="52"/>
      <c r="V112" s="52"/>
      <c r="W112" s="52"/>
      <c r="X112" s="52"/>
      <c r="Y112" s="52"/>
      <c r="Z112" s="52"/>
      <c r="AA112" s="52"/>
      <c r="AB112" s="52"/>
    </row>
    <row r="113" spans="1:28" ht="14.25" x14ac:dyDescent="0.2">
      <c r="A113" s="50" t="s">
        <v>15</v>
      </c>
      <c r="B113" s="51" t="s">
        <v>5669</v>
      </c>
      <c r="C113" s="51"/>
      <c r="D113" s="52"/>
      <c r="E113" s="51">
        <v>20</v>
      </c>
      <c r="F113" s="52"/>
      <c r="G113" s="53">
        <v>11119306</v>
      </c>
      <c r="H113" s="53"/>
      <c r="I113" s="53"/>
      <c r="J113" s="52"/>
      <c r="K113" s="52"/>
      <c r="L113" s="52"/>
      <c r="M113" s="52"/>
      <c r="N113" s="52"/>
      <c r="O113" s="52"/>
      <c r="P113" s="52"/>
      <c r="Q113" s="52"/>
      <c r="R113" s="52"/>
      <c r="S113" s="52"/>
      <c r="T113" s="52"/>
      <c r="U113" s="52"/>
      <c r="V113" s="52"/>
      <c r="W113" s="52"/>
      <c r="X113" s="52"/>
      <c r="Y113" s="52"/>
      <c r="Z113" s="52"/>
      <c r="AA113" s="52"/>
      <c r="AB113" s="52"/>
    </row>
    <row r="114" spans="1:28" ht="14.25" x14ac:dyDescent="0.2">
      <c r="A114" s="54" t="s">
        <v>15</v>
      </c>
      <c r="B114" s="55" t="s">
        <v>5669</v>
      </c>
      <c r="C114" s="55"/>
      <c r="D114" s="52"/>
      <c r="E114" s="55">
        <v>25</v>
      </c>
      <c r="F114" s="52"/>
      <c r="G114" s="56">
        <v>11119307</v>
      </c>
      <c r="H114" s="56"/>
      <c r="I114" s="56"/>
      <c r="J114" s="52"/>
      <c r="K114" s="52"/>
      <c r="L114" s="52"/>
      <c r="M114" s="52"/>
      <c r="N114" s="52"/>
      <c r="O114" s="52"/>
      <c r="P114" s="52"/>
      <c r="Q114" s="52"/>
      <c r="R114" s="52"/>
      <c r="S114" s="52"/>
      <c r="T114" s="52"/>
      <c r="U114" s="52"/>
      <c r="V114" s="52"/>
      <c r="W114" s="52"/>
      <c r="X114" s="52"/>
      <c r="Y114" s="52"/>
      <c r="Z114" s="52"/>
      <c r="AA114" s="52"/>
      <c r="AB114" s="52"/>
    </row>
    <row r="115" spans="1:28" ht="14.25" x14ac:dyDescent="0.2">
      <c r="A115" s="50" t="s">
        <v>15</v>
      </c>
      <c r="B115" s="51" t="s">
        <v>5669</v>
      </c>
      <c r="C115" s="51"/>
      <c r="D115" s="52"/>
      <c r="E115" s="51">
        <v>32</v>
      </c>
      <c r="F115" s="52"/>
      <c r="G115" s="53">
        <v>11119308</v>
      </c>
      <c r="H115" s="53"/>
      <c r="I115" s="53"/>
      <c r="J115" s="52"/>
      <c r="K115" s="52"/>
      <c r="L115" s="52"/>
      <c r="M115" s="52"/>
      <c r="N115" s="52"/>
      <c r="O115" s="52"/>
      <c r="P115" s="52"/>
      <c r="Q115" s="52"/>
      <c r="R115" s="52"/>
      <c r="S115" s="52"/>
      <c r="T115" s="52"/>
      <c r="U115" s="52"/>
      <c r="V115" s="52"/>
      <c r="W115" s="52"/>
      <c r="X115" s="52"/>
      <c r="Y115" s="52"/>
      <c r="Z115" s="52"/>
      <c r="AA115" s="52"/>
      <c r="AB115" s="52"/>
    </row>
    <row r="116" spans="1:28" ht="14.25" x14ac:dyDescent="0.2">
      <c r="A116" s="54" t="s">
        <v>15</v>
      </c>
      <c r="B116" s="55" t="s">
        <v>5669</v>
      </c>
      <c r="C116" s="55"/>
      <c r="D116" s="52"/>
      <c r="E116" s="55">
        <v>40</v>
      </c>
      <c r="F116" s="52"/>
      <c r="G116" s="56">
        <v>11119309</v>
      </c>
      <c r="H116" s="56"/>
      <c r="I116" s="56"/>
      <c r="J116" s="52"/>
      <c r="K116" s="52"/>
      <c r="L116" s="52"/>
      <c r="M116" s="52"/>
      <c r="N116" s="52"/>
      <c r="O116" s="52"/>
      <c r="P116" s="52"/>
      <c r="Q116" s="52"/>
      <c r="R116" s="52"/>
      <c r="S116" s="52"/>
      <c r="T116" s="52"/>
      <c r="U116" s="52"/>
      <c r="V116" s="52"/>
      <c r="W116" s="52"/>
      <c r="X116" s="52"/>
      <c r="Y116" s="52"/>
      <c r="Z116" s="52"/>
      <c r="AA116" s="52"/>
      <c r="AB116" s="52"/>
    </row>
    <row r="117" spans="1:28" ht="14.25" x14ac:dyDescent="0.2">
      <c r="A117" s="50" t="s">
        <v>15</v>
      </c>
      <c r="B117" s="51" t="s">
        <v>5669</v>
      </c>
      <c r="C117" s="51"/>
      <c r="D117" s="52"/>
      <c r="E117" s="51">
        <v>50</v>
      </c>
      <c r="F117" s="52"/>
      <c r="G117" s="53">
        <v>11119310</v>
      </c>
      <c r="H117" s="53"/>
      <c r="I117" s="53"/>
      <c r="J117" s="52"/>
      <c r="K117" s="52"/>
      <c r="L117" s="52"/>
      <c r="M117" s="52"/>
      <c r="N117" s="52"/>
      <c r="O117" s="52"/>
      <c r="P117" s="52"/>
      <c r="Q117" s="52"/>
      <c r="R117" s="52"/>
      <c r="S117" s="52"/>
      <c r="T117" s="52"/>
      <c r="U117" s="52"/>
      <c r="V117" s="52"/>
      <c r="W117" s="52"/>
      <c r="X117" s="52"/>
      <c r="Y117" s="52"/>
      <c r="Z117" s="52"/>
      <c r="AA117" s="52"/>
      <c r="AB117" s="52"/>
    </row>
    <row r="118" spans="1:28" ht="14.25" x14ac:dyDescent="0.2">
      <c r="A118" s="54" t="s">
        <v>15</v>
      </c>
      <c r="B118" s="55" t="s">
        <v>5669</v>
      </c>
      <c r="C118" s="55"/>
      <c r="D118" s="52"/>
      <c r="E118" s="55">
        <v>63</v>
      </c>
      <c r="F118" s="52"/>
      <c r="G118" s="56">
        <v>11119311</v>
      </c>
      <c r="H118" s="56"/>
      <c r="I118" s="56"/>
      <c r="J118" s="52"/>
      <c r="K118" s="52"/>
      <c r="L118" s="52"/>
      <c r="M118" s="52"/>
      <c r="N118" s="52"/>
      <c r="O118" s="52"/>
      <c r="P118" s="52"/>
      <c r="Q118" s="52"/>
      <c r="R118" s="52"/>
      <c r="S118" s="52"/>
      <c r="T118" s="52"/>
      <c r="U118" s="52"/>
      <c r="V118" s="52"/>
      <c r="W118" s="52"/>
      <c r="X118" s="52"/>
      <c r="Y118" s="52"/>
      <c r="Z118" s="52"/>
      <c r="AA118" s="52"/>
      <c r="AB118" s="52"/>
    </row>
    <row r="119" spans="1:28" ht="14.25" x14ac:dyDescent="0.2">
      <c r="A119" s="50" t="s">
        <v>15</v>
      </c>
      <c r="B119" s="51" t="s">
        <v>5669</v>
      </c>
      <c r="C119" s="51"/>
      <c r="D119" s="52"/>
      <c r="E119" s="51">
        <v>75</v>
      </c>
      <c r="F119" s="52"/>
      <c r="G119" s="53">
        <v>11119312</v>
      </c>
      <c r="H119" s="53"/>
      <c r="I119" s="53"/>
      <c r="J119" s="52"/>
      <c r="K119" s="52"/>
      <c r="L119" s="52"/>
      <c r="M119" s="52"/>
      <c r="N119" s="52"/>
      <c r="O119" s="52"/>
      <c r="P119" s="52"/>
      <c r="Q119" s="52"/>
      <c r="R119" s="52"/>
      <c r="S119" s="52"/>
      <c r="T119" s="52"/>
      <c r="U119" s="52"/>
      <c r="V119" s="52"/>
      <c r="W119" s="52"/>
      <c r="X119" s="52"/>
      <c r="Y119" s="52"/>
      <c r="Z119" s="52"/>
      <c r="AA119" s="52"/>
      <c r="AB119" s="52"/>
    </row>
    <row r="120" spans="1:28" ht="14.25" x14ac:dyDescent="0.2">
      <c r="A120" s="54" t="s">
        <v>15</v>
      </c>
      <c r="B120" s="55" t="s">
        <v>5669</v>
      </c>
      <c r="C120" s="55"/>
      <c r="D120" s="52"/>
      <c r="E120" s="55">
        <v>90</v>
      </c>
      <c r="F120" s="52"/>
      <c r="G120" s="56">
        <v>11119313</v>
      </c>
      <c r="H120" s="56"/>
      <c r="I120" s="56"/>
      <c r="J120" s="52"/>
      <c r="K120" s="52"/>
      <c r="L120" s="52"/>
      <c r="M120" s="52"/>
      <c r="N120" s="52"/>
      <c r="O120" s="52"/>
      <c r="P120" s="52"/>
      <c r="Q120" s="52"/>
      <c r="R120" s="52"/>
      <c r="S120" s="52"/>
      <c r="T120" s="52"/>
      <c r="U120" s="52"/>
      <c r="V120" s="52"/>
      <c r="W120" s="52"/>
      <c r="X120" s="52"/>
      <c r="Y120" s="52"/>
      <c r="Z120" s="52"/>
      <c r="AA120" s="52"/>
      <c r="AB120" s="52"/>
    </row>
    <row r="121" spans="1:28" ht="14.25" x14ac:dyDescent="0.2">
      <c r="A121" s="50" t="s">
        <v>15</v>
      </c>
      <c r="B121" s="51" t="s">
        <v>5669</v>
      </c>
      <c r="C121" s="51"/>
      <c r="D121" s="52"/>
      <c r="E121" s="51">
        <v>110</v>
      </c>
      <c r="F121" s="52"/>
      <c r="G121" s="53">
        <v>11119314</v>
      </c>
      <c r="H121" s="53"/>
      <c r="I121" s="53"/>
      <c r="J121" s="52"/>
      <c r="K121" s="52"/>
      <c r="L121" s="52"/>
      <c r="M121" s="52"/>
      <c r="N121" s="52"/>
      <c r="O121" s="52"/>
      <c r="P121" s="52"/>
      <c r="Q121" s="52"/>
      <c r="R121" s="52"/>
      <c r="S121" s="52"/>
      <c r="T121" s="52"/>
      <c r="U121" s="52"/>
      <c r="V121" s="52"/>
      <c r="W121" s="52"/>
      <c r="X121" s="52"/>
      <c r="Y121" s="52"/>
      <c r="Z121" s="52"/>
      <c r="AA121" s="52"/>
      <c r="AB121" s="52"/>
    </row>
    <row r="122" spans="1:28" ht="14.25" x14ac:dyDescent="0.2">
      <c r="A122" s="54" t="s">
        <v>15</v>
      </c>
      <c r="B122" s="55" t="s">
        <v>5669</v>
      </c>
      <c r="C122" s="55"/>
      <c r="D122" s="52"/>
      <c r="E122" s="55">
        <v>125</v>
      </c>
      <c r="F122" s="52"/>
      <c r="G122" s="56">
        <v>11119315</v>
      </c>
      <c r="H122" s="56"/>
      <c r="I122" s="56"/>
      <c r="J122" s="52"/>
      <c r="K122" s="52"/>
      <c r="L122" s="52"/>
      <c r="M122" s="52"/>
      <c r="N122" s="52"/>
      <c r="O122" s="52"/>
      <c r="P122" s="52"/>
      <c r="Q122" s="52"/>
      <c r="R122" s="52"/>
      <c r="S122" s="52"/>
      <c r="T122" s="52"/>
      <c r="U122" s="52"/>
      <c r="V122" s="52"/>
      <c r="W122" s="52"/>
      <c r="X122" s="52"/>
      <c r="Y122" s="52"/>
      <c r="Z122" s="52"/>
      <c r="AA122" s="52"/>
      <c r="AB122" s="52"/>
    </row>
    <row r="123" spans="1:28" ht="14.25" x14ac:dyDescent="0.2">
      <c r="A123" s="50" t="s">
        <v>15</v>
      </c>
      <c r="B123" s="51" t="s">
        <v>5669</v>
      </c>
      <c r="C123" s="51"/>
      <c r="D123" s="52"/>
      <c r="E123" s="51">
        <v>140</v>
      </c>
      <c r="F123" s="52"/>
      <c r="G123" s="53">
        <v>11119316</v>
      </c>
      <c r="H123" s="53"/>
      <c r="I123" s="53"/>
      <c r="J123" s="52"/>
      <c r="K123" s="52"/>
      <c r="L123" s="52"/>
      <c r="M123" s="52"/>
      <c r="N123" s="52"/>
      <c r="O123" s="52"/>
      <c r="P123" s="52"/>
      <c r="Q123" s="52"/>
      <c r="R123" s="52"/>
      <c r="S123" s="52"/>
      <c r="T123" s="52"/>
      <c r="U123" s="52"/>
      <c r="V123" s="52"/>
      <c r="W123" s="52"/>
      <c r="X123" s="52"/>
      <c r="Y123" s="52"/>
      <c r="Z123" s="52"/>
      <c r="AA123" s="52"/>
      <c r="AB123" s="52"/>
    </row>
    <row r="124" spans="1:28" ht="14.25" x14ac:dyDescent="0.2">
      <c r="A124" s="54" t="s">
        <v>15</v>
      </c>
      <c r="B124" s="55" t="s">
        <v>5669</v>
      </c>
      <c r="C124" s="55"/>
      <c r="D124" s="52"/>
      <c r="E124" s="55">
        <v>160</v>
      </c>
      <c r="F124" s="52"/>
      <c r="G124" s="56">
        <v>11119317</v>
      </c>
      <c r="H124" s="56"/>
      <c r="I124" s="56"/>
      <c r="J124" s="52"/>
      <c r="K124" s="52"/>
      <c r="L124" s="52"/>
      <c r="M124" s="52"/>
      <c r="N124" s="52"/>
      <c r="O124" s="52"/>
      <c r="P124" s="52"/>
      <c r="Q124" s="52"/>
      <c r="R124" s="52"/>
      <c r="S124" s="52"/>
      <c r="T124" s="52"/>
      <c r="U124" s="52"/>
      <c r="V124" s="52"/>
      <c r="W124" s="52"/>
      <c r="X124" s="52"/>
      <c r="Y124" s="52"/>
      <c r="Z124" s="52"/>
      <c r="AA124" s="52"/>
      <c r="AB124" s="52"/>
    </row>
    <row r="125" spans="1:28" ht="14.25" x14ac:dyDescent="0.2">
      <c r="A125" s="50" t="s">
        <v>15</v>
      </c>
      <c r="B125" s="51" t="s">
        <v>5669</v>
      </c>
      <c r="C125" s="51"/>
      <c r="D125" s="52"/>
      <c r="E125" s="51">
        <v>200</v>
      </c>
      <c r="F125" s="52"/>
      <c r="G125" s="53">
        <v>11119318</v>
      </c>
      <c r="H125" s="53"/>
      <c r="I125" s="53"/>
      <c r="J125" s="52"/>
      <c r="K125" s="52"/>
      <c r="L125" s="52"/>
      <c r="M125" s="52"/>
      <c r="N125" s="52"/>
      <c r="O125" s="52"/>
      <c r="P125" s="52"/>
      <c r="Q125" s="52"/>
      <c r="R125" s="52"/>
      <c r="S125" s="52"/>
      <c r="T125" s="52"/>
      <c r="U125" s="52"/>
      <c r="V125" s="52"/>
      <c r="W125" s="52"/>
      <c r="X125" s="52"/>
      <c r="Y125" s="52"/>
      <c r="Z125" s="52"/>
      <c r="AA125" s="52"/>
      <c r="AB125" s="52"/>
    </row>
    <row r="126" spans="1:28" ht="14.25" x14ac:dyDescent="0.2">
      <c r="A126" s="54" t="s">
        <v>15</v>
      </c>
      <c r="B126" s="55" t="s">
        <v>5669</v>
      </c>
      <c r="C126" s="55"/>
      <c r="D126" s="52"/>
      <c r="E126" s="55">
        <v>225</v>
      </c>
      <c r="F126" s="52"/>
      <c r="G126" s="56">
        <v>11119319</v>
      </c>
      <c r="H126" s="56"/>
      <c r="I126" s="56"/>
      <c r="J126" s="52"/>
      <c r="K126" s="52"/>
      <c r="L126" s="52"/>
      <c r="M126" s="52"/>
      <c r="N126" s="52"/>
      <c r="O126" s="52"/>
      <c r="P126" s="52"/>
      <c r="Q126" s="52"/>
      <c r="R126" s="52"/>
      <c r="S126" s="52"/>
      <c r="T126" s="52"/>
      <c r="U126" s="52"/>
      <c r="V126" s="52"/>
      <c r="W126" s="52"/>
      <c r="X126" s="52"/>
      <c r="Y126" s="52"/>
      <c r="Z126" s="52"/>
      <c r="AA126" s="52"/>
      <c r="AB126" s="52"/>
    </row>
    <row r="127" spans="1:28" ht="14.25" x14ac:dyDescent="0.2">
      <c r="A127" s="50" t="s">
        <v>15</v>
      </c>
      <c r="B127" s="51" t="s">
        <v>5670</v>
      </c>
      <c r="C127" s="51"/>
      <c r="D127" s="52"/>
      <c r="E127" s="51">
        <v>32</v>
      </c>
      <c r="F127" s="52"/>
      <c r="G127" s="53">
        <v>31118308</v>
      </c>
      <c r="H127" s="53"/>
      <c r="I127" s="53"/>
      <c r="J127" s="52"/>
      <c r="K127" s="52"/>
      <c r="L127" s="52"/>
      <c r="M127" s="52"/>
      <c r="N127" s="52"/>
      <c r="O127" s="52"/>
      <c r="P127" s="52"/>
      <c r="Q127" s="52"/>
      <c r="R127" s="52"/>
      <c r="S127" s="52"/>
      <c r="T127" s="52"/>
      <c r="U127" s="52"/>
      <c r="V127" s="52"/>
      <c r="W127" s="52"/>
      <c r="X127" s="52"/>
      <c r="Y127" s="52"/>
      <c r="Z127" s="52"/>
      <c r="AA127" s="52"/>
      <c r="AB127" s="52"/>
    </row>
    <row r="128" spans="1:28" ht="14.25" x14ac:dyDescent="0.2">
      <c r="A128" s="54" t="s">
        <v>15</v>
      </c>
      <c r="B128" s="55" t="s">
        <v>5670</v>
      </c>
      <c r="C128" s="55"/>
      <c r="D128" s="52"/>
      <c r="E128" s="55">
        <v>12</v>
      </c>
      <c r="F128" s="52"/>
      <c r="G128" s="56">
        <v>11118304</v>
      </c>
      <c r="H128" s="56"/>
      <c r="I128" s="56"/>
      <c r="J128" s="52"/>
      <c r="K128" s="52"/>
      <c r="L128" s="52"/>
      <c r="M128" s="52"/>
      <c r="N128" s="52"/>
      <c r="O128" s="52"/>
      <c r="P128" s="52"/>
      <c r="Q128" s="52"/>
      <c r="R128" s="52"/>
      <c r="S128" s="52"/>
      <c r="T128" s="52"/>
      <c r="U128" s="52"/>
      <c r="V128" s="52"/>
      <c r="W128" s="52"/>
      <c r="X128" s="52"/>
      <c r="Y128" s="52"/>
      <c r="Z128" s="52"/>
      <c r="AA128" s="52"/>
      <c r="AB128" s="52"/>
    </row>
    <row r="129" spans="1:28" ht="14.25" x14ac:dyDescent="0.2">
      <c r="A129" s="50" t="s">
        <v>15</v>
      </c>
      <c r="B129" s="51" t="s">
        <v>5670</v>
      </c>
      <c r="C129" s="51"/>
      <c r="D129" s="52"/>
      <c r="E129" s="51">
        <v>16</v>
      </c>
      <c r="F129" s="52"/>
      <c r="G129" s="53">
        <v>11118305</v>
      </c>
      <c r="H129" s="53"/>
      <c r="I129" s="53"/>
      <c r="J129" s="52"/>
      <c r="K129" s="52"/>
      <c r="L129" s="52"/>
      <c r="M129" s="52"/>
      <c r="N129" s="52"/>
      <c r="O129" s="52"/>
      <c r="P129" s="52"/>
      <c r="Q129" s="52"/>
      <c r="R129" s="52"/>
      <c r="S129" s="52"/>
      <c r="T129" s="52"/>
      <c r="U129" s="52"/>
      <c r="V129" s="52"/>
      <c r="W129" s="52"/>
      <c r="X129" s="52"/>
      <c r="Y129" s="52"/>
      <c r="Z129" s="52"/>
      <c r="AA129" s="52"/>
      <c r="AB129" s="52"/>
    </row>
    <row r="130" spans="1:28" ht="14.25" x14ac:dyDescent="0.2">
      <c r="A130" s="54" t="s">
        <v>15</v>
      </c>
      <c r="B130" s="55" t="s">
        <v>5670</v>
      </c>
      <c r="C130" s="55"/>
      <c r="D130" s="52"/>
      <c r="E130" s="55">
        <v>20</v>
      </c>
      <c r="F130" s="52"/>
      <c r="G130" s="56">
        <v>11118306</v>
      </c>
      <c r="H130" s="56"/>
      <c r="I130" s="56"/>
      <c r="J130" s="52"/>
      <c r="K130" s="52"/>
      <c r="L130" s="52"/>
      <c r="M130" s="52"/>
      <c r="N130" s="52"/>
      <c r="O130" s="52"/>
      <c r="P130" s="52"/>
      <c r="Q130" s="52"/>
      <c r="R130" s="52"/>
      <c r="S130" s="52"/>
      <c r="T130" s="52"/>
      <c r="U130" s="52"/>
      <c r="V130" s="52"/>
      <c r="W130" s="52"/>
      <c r="X130" s="52"/>
      <c r="Y130" s="52"/>
      <c r="Z130" s="52"/>
      <c r="AA130" s="52"/>
      <c r="AB130" s="52"/>
    </row>
    <row r="131" spans="1:28" ht="14.25" x14ac:dyDescent="0.2">
      <c r="A131" s="50" t="s">
        <v>15</v>
      </c>
      <c r="B131" s="51" t="s">
        <v>5670</v>
      </c>
      <c r="C131" s="51"/>
      <c r="D131" s="52"/>
      <c r="E131" s="51">
        <v>25</v>
      </c>
      <c r="F131" s="52"/>
      <c r="G131" s="53">
        <v>11118307</v>
      </c>
      <c r="H131" s="53"/>
      <c r="I131" s="53"/>
      <c r="J131" s="52"/>
      <c r="K131" s="52"/>
      <c r="L131" s="52"/>
      <c r="M131" s="52"/>
      <c r="N131" s="52"/>
      <c r="O131" s="52"/>
      <c r="P131" s="52"/>
      <c r="Q131" s="52"/>
      <c r="R131" s="52"/>
      <c r="S131" s="52"/>
      <c r="T131" s="52"/>
      <c r="U131" s="52"/>
      <c r="V131" s="52"/>
      <c r="W131" s="52"/>
      <c r="X131" s="52"/>
      <c r="Y131" s="52"/>
      <c r="Z131" s="52"/>
      <c r="AA131" s="52"/>
      <c r="AB131" s="52"/>
    </row>
    <row r="132" spans="1:28" ht="14.25" x14ac:dyDescent="0.2">
      <c r="A132" s="54" t="s">
        <v>15</v>
      </c>
      <c r="B132" s="55" t="s">
        <v>5670</v>
      </c>
      <c r="C132" s="55"/>
      <c r="D132" s="52"/>
      <c r="E132" s="55">
        <v>40</v>
      </c>
      <c r="F132" s="52"/>
      <c r="G132" s="56">
        <v>11118309</v>
      </c>
      <c r="H132" s="56"/>
      <c r="I132" s="56"/>
      <c r="J132" s="52"/>
      <c r="K132" s="52"/>
      <c r="L132" s="52"/>
      <c r="M132" s="52"/>
      <c r="N132" s="52"/>
      <c r="O132" s="52"/>
      <c r="P132" s="52"/>
      <c r="Q132" s="52"/>
      <c r="R132" s="52"/>
      <c r="S132" s="52"/>
      <c r="T132" s="52"/>
      <c r="U132" s="52"/>
      <c r="V132" s="52"/>
      <c r="W132" s="52"/>
      <c r="X132" s="52"/>
      <c r="Y132" s="52"/>
      <c r="Z132" s="52"/>
      <c r="AA132" s="52"/>
      <c r="AB132" s="52"/>
    </row>
    <row r="133" spans="1:28" ht="14.25" x14ac:dyDescent="0.2">
      <c r="A133" s="50" t="s">
        <v>15</v>
      </c>
      <c r="B133" s="51" t="s">
        <v>5670</v>
      </c>
      <c r="C133" s="51"/>
      <c r="D133" s="52"/>
      <c r="E133" s="51">
        <v>50</v>
      </c>
      <c r="F133" s="52"/>
      <c r="G133" s="53">
        <v>11118310</v>
      </c>
      <c r="H133" s="53"/>
      <c r="I133" s="53"/>
      <c r="J133" s="52"/>
      <c r="K133" s="52"/>
      <c r="L133" s="52"/>
      <c r="M133" s="52"/>
      <c r="N133" s="52"/>
      <c r="O133" s="52"/>
      <c r="P133" s="52"/>
      <c r="Q133" s="52"/>
      <c r="R133" s="52"/>
      <c r="S133" s="52"/>
      <c r="T133" s="52"/>
      <c r="U133" s="52"/>
      <c r="V133" s="52"/>
      <c r="W133" s="52"/>
      <c r="X133" s="52"/>
      <c r="Y133" s="52"/>
      <c r="Z133" s="52"/>
      <c r="AA133" s="52"/>
      <c r="AB133" s="52"/>
    </row>
    <row r="134" spans="1:28" ht="14.25" x14ac:dyDescent="0.2">
      <c r="A134" s="54" t="s">
        <v>15</v>
      </c>
      <c r="B134" s="55" t="s">
        <v>5670</v>
      </c>
      <c r="C134" s="55"/>
      <c r="D134" s="52"/>
      <c r="E134" s="55">
        <v>63</v>
      </c>
      <c r="F134" s="52"/>
      <c r="G134" s="56">
        <v>11118311</v>
      </c>
      <c r="H134" s="56"/>
      <c r="I134" s="56"/>
      <c r="J134" s="52"/>
      <c r="K134" s="52"/>
      <c r="L134" s="52"/>
      <c r="M134" s="52"/>
      <c r="N134" s="52"/>
      <c r="O134" s="52"/>
      <c r="P134" s="52"/>
      <c r="Q134" s="52"/>
      <c r="R134" s="52"/>
      <c r="S134" s="52"/>
      <c r="T134" s="52"/>
      <c r="U134" s="52"/>
      <c r="V134" s="52"/>
      <c r="W134" s="52"/>
      <c r="X134" s="52"/>
      <c r="Y134" s="52"/>
      <c r="Z134" s="52"/>
      <c r="AA134" s="52"/>
      <c r="AB134" s="52"/>
    </row>
    <row r="135" spans="1:28" ht="14.25" x14ac:dyDescent="0.2">
      <c r="A135" s="50" t="s">
        <v>15</v>
      </c>
      <c r="B135" s="51" t="s">
        <v>5670</v>
      </c>
      <c r="C135" s="51"/>
      <c r="D135" s="52"/>
      <c r="E135" s="51">
        <v>75</v>
      </c>
      <c r="F135" s="52"/>
      <c r="G135" s="53">
        <v>11118312</v>
      </c>
      <c r="H135" s="53"/>
      <c r="I135" s="53"/>
      <c r="J135" s="52"/>
      <c r="K135" s="52"/>
      <c r="L135" s="52"/>
      <c r="M135" s="52"/>
      <c r="N135" s="52"/>
      <c r="O135" s="52"/>
      <c r="P135" s="52"/>
      <c r="Q135" s="52"/>
      <c r="R135" s="52"/>
      <c r="S135" s="52"/>
      <c r="T135" s="52"/>
      <c r="U135" s="52"/>
      <c r="V135" s="52"/>
      <c r="W135" s="52"/>
      <c r="X135" s="52"/>
      <c r="Y135" s="52"/>
      <c r="Z135" s="52"/>
      <c r="AA135" s="52"/>
      <c r="AB135" s="52"/>
    </row>
    <row r="136" spans="1:28" ht="14.25" x14ac:dyDescent="0.2">
      <c r="A136" s="54" t="s">
        <v>15</v>
      </c>
      <c r="B136" s="55" t="s">
        <v>5670</v>
      </c>
      <c r="C136" s="55"/>
      <c r="D136" s="52"/>
      <c r="E136" s="55">
        <v>90</v>
      </c>
      <c r="F136" s="52"/>
      <c r="G136" s="56">
        <v>11118313</v>
      </c>
      <c r="H136" s="56"/>
      <c r="I136" s="56"/>
      <c r="J136" s="52"/>
      <c r="K136" s="52"/>
      <c r="L136" s="52"/>
      <c r="M136" s="52"/>
      <c r="N136" s="52"/>
      <c r="O136" s="52"/>
      <c r="P136" s="52"/>
      <c r="Q136" s="52"/>
      <c r="R136" s="52"/>
      <c r="S136" s="52"/>
      <c r="T136" s="52"/>
      <c r="U136" s="52"/>
      <c r="V136" s="52"/>
      <c r="W136" s="52"/>
      <c r="X136" s="52"/>
      <c r="Y136" s="52"/>
      <c r="Z136" s="52"/>
      <c r="AA136" s="52"/>
      <c r="AB136" s="52"/>
    </row>
    <row r="137" spans="1:28" ht="14.25" x14ac:dyDescent="0.2">
      <c r="A137" s="50" t="s">
        <v>15</v>
      </c>
      <c r="B137" s="51" t="s">
        <v>5670</v>
      </c>
      <c r="C137" s="51"/>
      <c r="D137" s="52"/>
      <c r="E137" s="51">
        <v>110</v>
      </c>
      <c r="F137" s="52"/>
      <c r="G137" s="53">
        <v>11118314</v>
      </c>
      <c r="H137" s="53"/>
      <c r="I137" s="53"/>
      <c r="J137" s="52"/>
      <c r="K137" s="52"/>
      <c r="L137" s="52"/>
      <c r="M137" s="52"/>
      <c r="N137" s="52"/>
      <c r="O137" s="52"/>
      <c r="P137" s="52"/>
      <c r="Q137" s="52"/>
      <c r="R137" s="52"/>
      <c r="S137" s="52"/>
      <c r="T137" s="52"/>
      <c r="U137" s="52"/>
      <c r="V137" s="52"/>
      <c r="W137" s="52"/>
      <c r="X137" s="52"/>
      <c r="Y137" s="52"/>
      <c r="Z137" s="52"/>
      <c r="AA137" s="52"/>
      <c r="AB137" s="52"/>
    </row>
    <row r="138" spans="1:28" ht="14.25" x14ac:dyDescent="0.2">
      <c r="A138" s="54" t="s">
        <v>15</v>
      </c>
      <c r="B138" s="55" t="s">
        <v>5671</v>
      </c>
      <c r="C138" s="55"/>
      <c r="D138" s="52"/>
      <c r="E138" s="55" t="s">
        <v>5672</v>
      </c>
      <c r="F138" s="52"/>
      <c r="G138" s="56">
        <v>3463395</v>
      </c>
      <c r="H138" s="56"/>
      <c r="I138" s="56"/>
      <c r="J138" s="52"/>
      <c r="K138" s="52"/>
      <c r="L138" s="52"/>
      <c r="M138" s="52"/>
      <c r="N138" s="52"/>
      <c r="O138" s="52"/>
      <c r="P138" s="52"/>
      <c r="Q138" s="52"/>
      <c r="R138" s="52"/>
      <c r="S138" s="52"/>
      <c r="T138" s="52"/>
      <c r="U138" s="52"/>
      <c r="V138" s="52"/>
      <c r="W138" s="52"/>
      <c r="X138" s="52"/>
      <c r="Y138" s="52"/>
      <c r="Z138" s="52"/>
      <c r="AA138" s="52"/>
      <c r="AB138" s="52"/>
    </row>
    <row r="139" spans="1:28" ht="14.25" x14ac:dyDescent="0.2">
      <c r="A139" s="50" t="s">
        <v>15</v>
      </c>
      <c r="B139" s="51" t="s">
        <v>5671</v>
      </c>
      <c r="C139" s="51"/>
      <c r="D139" s="52"/>
      <c r="E139" s="51" t="s">
        <v>5673</v>
      </c>
      <c r="F139" s="52"/>
      <c r="G139" s="53">
        <v>3463394</v>
      </c>
      <c r="H139" s="53"/>
      <c r="I139" s="53"/>
      <c r="J139" s="52"/>
      <c r="K139" s="52"/>
      <c r="L139" s="52"/>
      <c r="M139" s="52"/>
      <c r="N139" s="52"/>
      <c r="O139" s="52"/>
      <c r="P139" s="52"/>
      <c r="Q139" s="52"/>
      <c r="R139" s="52"/>
      <c r="S139" s="52"/>
      <c r="T139" s="52"/>
      <c r="U139" s="52"/>
      <c r="V139" s="52"/>
      <c r="W139" s="52"/>
      <c r="X139" s="52"/>
      <c r="Y139" s="52"/>
      <c r="Z139" s="52"/>
      <c r="AA139" s="52"/>
      <c r="AB139" s="52"/>
    </row>
    <row r="140" spans="1:28" ht="14.25" x14ac:dyDescent="0.2">
      <c r="A140" s="54" t="s">
        <v>15</v>
      </c>
      <c r="B140" s="55" t="s">
        <v>5674</v>
      </c>
      <c r="C140" s="55"/>
      <c r="D140" s="52"/>
      <c r="E140" s="55">
        <v>16</v>
      </c>
      <c r="F140" s="52"/>
      <c r="G140" s="56">
        <v>11158305</v>
      </c>
      <c r="H140" s="56"/>
      <c r="I140" s="56"/>
      <c r="J140" s="52"/>
      <c r="K140" s="52"/>
      <c r="L140" s="52"/>
      <c r="M140" s="52"/>
      <c r="N140" s="52"/>
      <c r="O140" s="52"/>
      <c r="P140" s="52"/>
      <c r="Q140" s="52"/>
      <c r="R140" s="52"/>
      <c r="S140" s="52"/>
      <c r="T140" s="52"/>
      <c r="U140" s="52"/>
      <c r="V140" s="52"/>
      <c r="W140" s="52"/>
      <c r="X140" s="52"/>
      <c r="Y140" s="52"/>
      <c r="Z140" s="52"/>
      <c r="AA140" s="52"/>
      <c r="AB140" s="52"/>
    </row>
    <row r="141" spans="1:28" ht="14.25" x14ac:dyDescent="0.2">
      <c r="A141" s="50" t="s">
        <v>15</v>
      </c>
      <c r="B141" s="51" t="s">
        <v>5674</v>
      </c>
      <c r="C141" s="51"/>
      <c r="D141" s="52"/>
      <c r="E141" s="51">
        <v>20</v>
      </c>
      <c r="F141" s="52"/>
      <c r="G141" s="53">
        <v>11158306</v>
      </c>
      <c r="H141" s="53"/>
      <c r="I141" s="53"/>
      <c r="J141" s="52"/>
      <c r="K141" s="52"/>
      <c r="L141" s="52"/>
      <c r="M141" s="52"/>
      <c r="N141" s="52"/>
      <c r="O141" s="52"/>
      <c r="P141" s="52"/>
      <c r="Q141" s="52"/>
      <c r="R141" s="52"/>
      <c r="S141" s="52"/>
      <c r="T141" s="52"/>
      <c r="U141" s="52"/>
      <c r="V141" s="52"/>
      <c r="W141" s="52"/>
      <c r="X141" s="52"/>
      <c r="Y141" s="52"/>
      <c r="Z141" s="52"/>
      <c r="AA141" s="52"/>
      <c r="AB141" s="52"/>
    </row>
    <row r="142" spans="1:28" ht="14.25" x14ac:dyDescent="0.2">
      <c r="A142" s="54" t="s">
        <v>15</v>
      </c>
      <c r="B142" s="55" t="s">
        <v>5674</v>
      </c>
      <c r="C142" s="55"/>
      <c r="D142" s="52"/>
      <c r="E142" s="55">
        <v>25</v>
      </c>
      <c r="F142" s="52"/>
      <c r="G142" s="56">
        <v>11158307</v>
      </c>
      <c r="H142" s="56"/>
      <c r="I142" s="56"/>
      <c r="J142" s="52"/>
      <c r="K142" s="52"/>
      <c r="L142" s="52"/>
      <c r="M142" s="52"/>
      <c r="N142" s="52"/>
      <c r="O142" s="52"/>
      <c r="P142" s="52"/>
      <c r="Q142" s="52"/>
      <c r="R142" s="52"/>
      <c r="S142" s="52"/>
      <c r="T142" s="52"/>
      <c r="U142" s="52"/>
      <c r="V142" s="52"/>
      <c r="W142" s="52"/>
      <c r="X142" s="52"/>
      <c r="Y142" s="52"/>
      <c r="Z142" s="52"/>
      <c r="AA142" s="52"/>
      <c r="AB142" s="52"/>
    </row>
    <row r="143" spans="1:28" ht="14.25" x14ac:dyDescent="0.2">
      <c r="A143" s="50" t="s">
        <v>15</v>
      </c>
      <c r="B143" s="51" t="s">
        <v>5674</v>
      </c>
      <c r="C143" s="51"/>
      <c r="D143" s="52"/>
      <c r="E143" s="51">
        <v>32</v>
      </c>
      <c r="F143" s="52"/>
      <c r="G143" s="53">
        <v>11158308</v>
      </c>
      <c r="H143" s="53"/>
      <c r="I143" s="53"/>
      <c r="J143" s="52"/>
      <c r="K143" s="52"/>
      <c r="L143" s="52"/>
      <c r="M143" s="52"/>
      <c r="N143" s="52"/>
      <c r="O143" s="52"/>
      <c r="P143" s="52"/>
      <c r="Q143" s="52"/>
      <c r="R143" s="52"/>
      <c r="S143" s="52"/>
      <c r="T143" s="52"/>
      <c r="U143" s="52"/>
      <c r="V143" s="52"/>
      <c r="W143" s="52"/>
      <c r="X143" s="52"/>
      <c r="Y143" s="52"/>
      <c r="Z143" s="52"/>
      <c r="AA143" s="52"/>
      <c r="AB143" s="52"/>
    </row>
    <row r="144" spans="1:28" ht="14.25" x14ac:dyDescent="0.2">
      <c r="A144" s="54" t="s">
        <v>15</v>
      </c>
      <c r="B144" s="55" t="s">
        <v>5675</v>
      </c>
      <c r="C144" s="55"/>
      <c r="D144" s="52"/>
      <c r="E144" s="55" t="s">
        <v>5676</v>
      </c>
      <c r="F144" s="52"/>
      <c r="G144" s="56">
        <v>11153330</v>
      </c>
      <c r="H144" s="56"/>
      <c r="I144" s="56"/>
      <c r="J144" s="52"/>
      <c r="K144" s="52"/>
      <c r="L144" s="52"/>
      <c r="M144" s="52"/>
      <c r="N144" s="52"/>
      <c r="O144" s="52"/>
      <c r="P144" s="52"/>
      <c r="Q144" s="52"/>
      <c r="R144" s="52"/>
      <c r="S144" s="52"/>
      <c r="T144" s="52"/>
      <c r="U144" s="52"/>
      <c r="V144" s="52"/>
      <c r="W144" s="52"/>
      <c r="X144" s="52"/>
      <c r="Y144" s="52"/>
      <c r="Z144" s="52"/>
      <c r="AA144" s="52"/>
      <c r="AB144" s="52"/>
    </row>
    <row r="145" spans="1:28" ht="14.25" x14ac:dyDescent="0.2">
      <c r="A145" s="50" t="s">
        <v>15</v>
      </c>
      <c r="B145" s="51" t="s">
        <v>5675</v>
      </c>
      <c r="C145" s="51"/>
      <c r="D145" s="52"/>
      <c r="E145" s="51" t="s">
        <v>5677</v>
      </c>
      <c r="F145" s="52"/>
      <c r="G145" s="53">
        <v>11153331</v>
      </c>
      <c r="H145" s="53"/>
      <c r="I145" s="53"/>
      <c r="J145" s="52"/>
      <c r="K145" s="52"/>
      <c r="L145" s="52"/>
      <c r="M145" s="52"/>
      <c r="N145" s="52"/>
      <c r="O145" s="52"/>
      <c r="P145" s="52"/>
      <c r="Q145" s="52"/>
      <c r="R145" s="52"/>
      <c r="S145" s="52"/>
      <c r="T145" s="52"/>
      <c r="U145" s="52"/>
      <c r="V145" s="52"/>
      <c r="W145" s="52"/>
      <c r="X145" s="52"/>
      <c r="Y145" s="52"/>
      <c r="Z145" s="52"/>
      <c r="AA145" s="52"/>
      <c r="AB145" s="52"/>
    </row>
    <row r="146" spans="1:28" ht="14.25" x14ac:dyDescent="0.2">
      <c r="A146" s="54" t="s">
        <v>15</v>
      </c>
      <c r="B146" s="55" t="s">
        <v>5675</v>
      </c>
      <c r="C146" s="55"/>
      <c r="D146" s="52"/>
      <c r="E146" s="55" t="s">
        <v>5678</v>
      </c>
      <c r="F146" s="52"/>
      <c r="G146" s="56">
        <v>11153333</v>
      </c>
      <c r="H146" s="56"/>
      <c r="I146" s="56"/>
      <c r="J146" s="52"/>
      <c r="K146" s="52"/>
      <c r="L146" s="52"/>
      <c r="M146" s="52"/>
      <c r="N146" s="52"/>
      <c r="O146" s="52"/>
      <c r="P146" s="52"/>
      <c r="Q146" s="52"/>
      <c r="R146" s="52"/>
      <c r="S146" s="52"/>
      <c r="T146" s="52"/>
      <c r="U146" s="52"/>
      <c r="V146" s="52"/>
      <c r="W146" s="52"/>
      <c r="X146" s="52"/>
      <c r="Y146" s="52"/>
      <c r="Z146" s="52"/>
      <c r="AA146" s="52"/>
      <c r="AB146" s="52"/>
    </row>
    <row r="147" spans="1:28" ht="14.25" x14ac:dyDescent="0.2">
      <c r="A147" s="50" t="s">
        <v>15</v>
      </c>
      <c r="B147" s="51" t="s">
        <v>5675</v>
      </c>
      <c r="C147" s="51"/>
      <c r="D147" s="52"/>
      <c r="E147" s="51" t="s">
        <v>5679</v>
      </c>
      <c r="F147" s="52"/>
      <c r="G147" s="53">
        <v>11153335</v>
      </c>
      <c r="H147" s="53"/>
      <c r="I147" s="53"/>
      <c r="J147" s="52"/>
      <c r="K147" s="52"/>
      <c r="L147" s="52"/>
      <c r="M147" s="52"/>
      <c r="N147" s="52"/>
      <c r="O147" s="52"/>
      <c r="P147" s="52"/>
      <c r="Q147" s="52"/>
      <c r="R147" s="52"/>
      <c r="S147" s="52"/>
      <c r="T147" s="52"/>
      <c r="U147" s="52"/>
      <c r="V147" s="52"/>
      <c r="W147" s="52"/>
      <c r="X147" s="52"/>
      <c r="Y147" s="52"/>
      <c r="Z147" s="52"/>
      <c r="AA147" s="52"/>
      <c r="AB147" s="52"/>
    </row>
    <row r="148" spans="1:28" ht="14.25" x14ac:dyDescent="0.2">
      <c r="A148" s="54" t="s">
        <v>15</v>
      </c>
      <c r="B148" s="55" t="s">
        <v>5675</v>
      </c>
      <c r="C148" s="55"/>
      <c r="D148" s="52"/>
      <c r="E148" s="55" t="s">
        <v>5680</v>
      </c>
      <c r="F148" s="52"/>
      <c r="G148" s="56">
        <v>11153337</v>
      </c>
      <c r="H148" s="56"/>
      <c r="I148" s="56"/>
      <c r="J148" s="52"/>
      <c r="K148" s="52"/>
      <c r="L148" s="52"/>
      <c r="M148" s="52"/>
      <c r="N148" s="52"/>
      <c r="O148" s="52"/>
      <c r="P148" s="52"/>
      <c r="Q148" s="52"/>
      <c r="R148" s="52"/>
      <c r="S148" s="52"/>
      <c r="T148" s="52"/>
      <c r="U148" s="52"/>
      <c r="V148" s="52"/>
      <c r="W148" s="52"/>
      <c r="X148" s="52"/>
      <c r="Y148" s="52"/>
      <c r="Z148" s="52"/>
      <c r="AA148" s="52"/>
      <c r="AB148" s="52"/>
    </row>
    <row r="149" spans="1:28" ht="14.25" x14ac:dyDescent="0.2">
      <c r="A149" s="50" t="s">
        <v>15</v>
      </c>
      <c r="B149" s="51" t="s">
        <v>5675</v>
      </c>
      <c r="C149" s="51"/>
      <c r="D149" s="52"/>
      <c r="E149" s="51" t="s">
        <v>5681</v>
      </c>
      <c r="F149" s="52"/>
      <c r="G149" s="53">
        <v>11153339</v>
      </c>
      <c r="H149" s="53"/>
      <c r="I149" s="53"/>
      <c r="J149" s="52"/>
      <c r="K149" s="52"/>
      <c r="L149" s="52"/>
      <c r="M149" s="52"/>
      <c r="N149" s="52"/>
      <c r="O149" s="52"/>
      <c r="P149" s="52"/>
      <c r="Q149" s="52"/>
      <c r="R149" s="52"/>
      <c r="S149" s="52"/>
      <c r="T149" s="52"/>
      <c r="U149" s="52"/>
      <c r="V149" s="52"/>
      <c r="W149" s="52"/>
      <c r="X149" s="52"/>
      <c r="Y149" s="52"/>
      <c r="Z149" s="52"/>
      <c r="AA149" s="52"/>
      <c r="AB149" s="52"/>
    </row>
    <row r="150" spans="1:28" ht="14.25" x14ac:dyDescent="0.2">
      <c r="A150" s="54" t="s">
        <v>15</v>
      </c>
      <c r="B150" s="55" t="s">
        <v>5675</v>
      </c>
      <c r="C150" s="55"/>
      <c r="D150" s="52"/>
      <c r="E150" s="55" t="s">
        <v>5682</v>
      </c>
      <c r="F150" s="52"/>
      <c r="G150" s="56">
        <v>11153341</v>
      </c>
      <c r="H150" s="56"/>
      <c r="I150" s="56"/>
      <c r="J150" s="52"/>
      <c r="K150" s="52"/>
      <c r="L150" s="52"/>
      <c r="M150" s="52"/>
      <c r="N150" s="52"/>
      <c r="O150" s="52"/>
      <c r="P150" s="52"/>
      <c r="Q150" s="52"/>
      <c r="R150" s="52"/>
      <c r="S150" s="52"/>
      <c r="T150" s="52"/>
      <c r="U150" s="52"/>
      <c r="V150" s="52"/>
      <c r="W150" s="52"/>
      <c r="X150" s="52"/>
      <c r="Y150" s="52"/>
      <c r="Z150" s="52"/>
      <c r="AA150" s="52"/>
      <c r="AB150" s="52"/>
    </row>
    <row r="151" spans="1:28" ht="14.25" x14ac:dyDescent="0.2">
      <c r="A151" s="50" t="s">
        <v>15</v>
      </c>
      <c r="B151" s="51" t="s">
        <v>5675</v>
      </c>
      <c r="C151" s="51"/>
      <c r="D151" s="52"/>
      <c r="E151" s="51" t="s">
        <v>5683</v>
      </c>
      <c r="F151" s="52"/>
      <c r="G151" s="53">
        <v>11153343</v>
      </c>
      <c r="H151" s="53"/>
      <c r="I151" s="53"/>
      <c r="J151" s="52"/>
      <c r="K151" s="52"/>
      <c r="L151" s="52"/>
      <c r="M151" s="52"/>
      <c r="N151" s="52"/>
      <c r="O151" s="52"/>
      <c r="P151" s="52"/>
      <c r="Q151" s="52"/>
      <c r="R151" s="52"/>
      <c r="S151" s="52"/>
      <c r="T151" s="52"/>
      <c r="U151" s="52"/>
      <c r="V151" s="52"/>
      <c r="W151" s="52"/>
      <c r="X151" s="52"/>
      <c r="Y151" s="52"/>
      <c r="Z151" s="52"/>
      <c r="AA151" s="52"/>
      <c r="AB151" s="52"/>
    </row>
    <row r="152" spans="1:28" ht="14.25" x14ac:dyDescent="0.2">
      <c r="A152" s="54" t="s">
        <v>15</v>
      </c>
      <c r="B152" s="55" t="s">
        <v>5684</v>
      </c>
      <c r="C152" s="55"/>
      <c r="D152" s="52"/>
      <c r="E152" s="55" t="s">
        <v>5685</v>
      </c>
      <c r="F152" s="52"/>
      <c r="G152" s="56">
        <v>11151332</v>
      </c>
      <c r="H152" s="56"/>
      <c r="I152" s="56"/>
      <c r="J152" s="52"/>
      <c r="K152" s="52"/>
      <c r="L152" s="52"/>
      <c r="M152" s="52"/>
      <c r="N152" s="52"/>
      <c r="O152" s="52"/>
      <c r="P152" s="52"/>
      <c r="Q152" s="52"/>
      <c r="R152" s="52"/>
      <c r="S152" s="52"/>
      <c r="T152" s="52"/>
      <c r="U152" s="52"/>
      <c r="V152" s="52"/>
      <c r="W152" s="52"/>
      <c r="X152" s="52"/>
      <c r="Y152" s="52"/>
      <c r="Z152" s="52"/>
      <c r="AA152" s="52"/>
      <c r="AB152" s="52"/>
    </row>
    <row r="153" spans="1:28" ht="14.25" x14ac:dyDescent="0.2">
      <c r="A153" s="50" t="s">
        <v>15</v>
      </c>
      <c r="B153" s="51" t="s">
        <v>5684</v>
      </c>
      <c r="C153" s="51"/>
      <c r="D153" s="52"/>
      <c r="E153" s="51" t="s">
        <v>5686</v>
      </c>
      <c r="F153" s="52"/>
      <c r="G153" s="53">
        <v>11151333</v>
      </c>
      <c r="H153" s="53"/>
      <c r="I153" s="53"/>
      <c r="J153" s="52"/>
      <c r="K153" s="52"/>
      <c r="L153" s="52"/>
      <c r="M153" s="52"/>
      <c r="N153" s="52"/>
      <c r="O153" s="52"/>
      <c r="P153" s="52"/>
      <c r="Q153" s="52"/>
      <c r="R153" s="52"/>
      <c r="S153" s="52"/>
      <c r="T153" s="52"/>
      <c r="U153" s="52"/>
      <c r="V153" s="52"/>
      <c r="W153" s="52"/>
      <c r="X153" s="52"/>
      <c r="Y153" s="52"/>
      <c r="Z153" s="52"/>
      <c r="AA153" s="52"/>
      <c r="AB153" s="52"/>
    </row>
    <row r="154" spans="1:28" ht="14.25" x14ac:dyDescent="0.2">
      <c r="A154" s="54" t="s">
        <v>15</v>
      </c>
      <c r="B154" s="55" t="s">
        <v>5684</v>
      </c>
      <c r="C154" s="55"/>
      <c r="D154" s="52"/>
      <c r="E154" s="55" t="s">
        <v>5687</v>
      </c>
      <c r="F154" s="52"/>
      <c r="G154" s="56">
        <v>11151334</v>
      </c>
      <c r="H154" s="56"/>
      <c r="I154" s="56"/>
      <c r="J154" s="52"/>
      <c r="K154" s="52"/>
      <c r="L154" s="52"/>
      <c r="M154" s="52"/>
      <c r="N154" s="52"/>
      <c r="O154" s="52"/>
      <c r="P154" s="52"/>
      <c r="Q154" s="52"/>
      <c r="R154" s="52"/>
      <c r="S154" s="52"/>
      <c r="T154" s="52"/>
      <c r="U154" s="52"/>
      <c r="V154" s="52"/>
      <c r="W154" s="52"/>
      <c r="X154" s="52"/>
      <c r="Y154" s="52"/>
      <c r="Z154" s="52"/>
      <c r="AA154" s="52"/>
      <c r="AB154" s="52"/>
    </row>
    <row r="155" spans="1:28" ht="14.25" x14ac:dyDescent="0.2">
      <c r="A155" s="50" t="s">
        <v>15</v>
      </c>
      <c r="B155" s="51" t="s">
        <v>5684</v>
      </c>
      <c r="C155" s="51"/>
      <c r="D155" s="52"/>
      <c r="E155" s="51" t="s">
        <v>5688</v>
      </c>
      <c r="F155" s="52"/>
      <c r="G155" s="53">
        <v>11151335</v>
      </c>
      <c r="H155" s="53"/>
      <c r="I155" s="53"/>
      <c r="J155" s="52"/>
      <c r="K155" s="52"/>
      <c r="L155" s="52"/>
      <c r="M155" s="52"/>
      <c r="N155" s="52"/>
      <c r="O155" s="52"/>
      <c r="P155" s="52"/>
      <c r="Q155" s="52"/>
      <c r="R155" s="52"/>
      <c r="S155" s="52"/>
      <c r="T155" s="52"/>
      <c r="U155" s="52"/>
      <c r="V155" s="52"/>
      <c r="W155" s="52"/>
      <c r="X155" s="52"/>
      <c r="Y155" s="52"/>
      <c r="Z155" s="52"/>
      <c r="AA155" s="52"/>
      <c r="AB155" s="52"/>
    </row>
    <row r="156" spans="1:28" ht="14.25" x14ac:dyDescent="0.2">
      <c r="A156" s="54" t="s">
        <v>15</v>
      </c>
      <c r="B156" s="55" t="s">
        <v>5684</v>
      </c>
      <c r="C156" s="55"/>
      <c r="D156" s="52"/>
      <c r="E156" s="55" t="s">
        <v>5689</v>
      </c>
      <c r="F156" s="52"/>
      <c r="G156" s="56">
        <v>11151336</v>
      </c>
      <c r="H156" s="56"/>
      <c r="I156" s="56"/>
      <c r="J156" s="52"/>
      <c r="K156" s="52"/>
      <c r="L156" s="52"/>
      <c r="M156" s="52"/>
      <c r="N156" s="52"/>
      <c r="O156" s="52"/>
      <c r="P156" s="52"/>
      <c r="Q156" s="52"/>
      <c r="R156" s="52"/>
      <c r="S156" s="52"/>
      <c r="T156" s="52"/>
      <c r="U156" s="52"/>
      <c r="V156" s="52"/>
      <c r="W156" s="52"/>
      <c r="X156" s="52"/>
      <c r="Y156" s="52"/>
      <c r="Z156" s="52"/>
      <c r="AA156" s="52"/>
      <c r="AB156" s="52"/>
    </row>
    <row r="157" spans="1:28" ht="14.25" x14ac:dyDescent="0.2">
      <c r="A157" s="50" t="s">
        <v>15</v>
      </c>
      <c r="B157" s="51" t="s">
        <v>5684</v>
      </c>
      <c r="C157" s="51"/>
      <c r="D157" s="52"/>
      <c r="E157" s="51" t="s">
        <v>5690</v>
      </c>
      <c r="F157" s="52"/>
      <c r="G157" s="53">
        <v>11151337</v>
      </c>
      <c r="H157" s="53"/>
      <c r="I157" s="53"/>
      <c r="J157" s="52"/>
      <c r="K157" s="52"/>
      <c r="L157" s="52"/>
      <c r="M157" s="52"/>
      <c r="N157" s="52"/>
      <c r="O157" s="52"/>
      <c r="P157" s="52"/>
      <c r="Q157" s="52"/>
      <c r="R157" s="52"/>
      <c r="S157" s="52"/>
      <c r="T157" s="52"/>
      <c r="U157" s="52"/>
      <c r="V157" s="52"/>
      <c r="W157" s="52"/>
      <c r="X157" s="52"/>
      <c r="Y157" s="52"/>
      <c r="Z157" s="52"/>
      <c r="AA157" s="52"/>
      <c r="AB157" s="52"/>
    </row>
    <row r="158" spans="1:28" ht="14.25" x14ac:dyDescent="0.2">
      <c r="A158" s="54" t="s">
        <v>15</v>
      </c>
      <c r="B158" s="55" t="s">
        <v>5684</v>
      </c>
      <c r="C158" s="55"/>
      <c r="D158" s="52"/>
      <c r="E158" s="55" t="s">
        <v>5680</v>
      </c>
      <c r="F158" s="52"/>
      <c r="G158" s="56">
        <v>11151338</v>
      </c>
      <c r="H158" s="56"/>
      <c r="I158" s="56"/>
      <c r="J158" s="52"/>
      <c r="K158" s="52"/>
      <c r="L158" s="52"/>
      <c r="M158" s="52"/>
      <c r="N158" s="52"/>
      <c r="O158" s="52"/>
      <c r="P158" s="52"/>
      <c r="Q158" s="52"/>
      <c r="R158" s="52"/>
      <c r="S158" s="52"/>
      <c r="T158" s="52"/>
      <c r="U158" s="52"/>
      <c r="V158" s="52"/>
      <c r="W158" s="52"/>
      <c r="X158" s="52"/>
      <c r="Y158" s="52"/>
      <c r="Z158" s="52"/>
      <c r="AA158" s="52"/>
      <c r="AB158" s="52"/>
    </row>
    <row r="159" spans="1:28" ht="14.25" x14ac:dyDescent="0.2">
      <c r="A159" s="50" t="s">
        <v>15</v>
      </c>
      <c r="B159" s="51" t="s">
        <v>5684</v>
      </c>
      <c r="C159" s="51"/>
      <c r="D159" s="52"/>
      <c r="E159" s="51" t="s">
        <v>5691</v>
      </c>
      <c r="F159" s="52"/>
      <c r="G159" s="53">
        <v>11151339</v>
      </c>
      <c r="H159" s="53"/>
      <c r="I159" s="53"/>
      <c r="J159" s="52"/>
      <c r="K159" s="52"/>
      <c r="L159" s="52"/>
      <c r="M159" s="52"/>
      <c r="N159" s="52"/>
      <c r="O159" s="52"/>
      <c r="P159" s="52"/>
      <c r="Q159" s="52"/>
      <c r="R159" s="52"/>
      <c r="S159" s="52"/>
      <c r="T159" s="52"/>
      <c r="U159" s="52"/>
      <c r="V159" s="52"/>
      <c r="W159" s="52"/>
      <c r="X159" s="52"/>
      <c r="Y159" s="52"/>
      <c r="Z159" s="52"/>
      <c r="AA159" s="52"/>
      <c r="AB159" s="52"/>
    </row>
    <row r="160" spans="1:28" ht="14.25" x14ac:dyDescent="0.2">
      <c r="A160" s="54" t="s">
        <v>15</v>
      </c>
      <c r="B160" s="55" t="s">
        <v>5684</v>
      </c>
      <c r="C160" s="55"/>
      <c r="D160" s="52"/>
      <c r="E160" s="55" t="s">
        <v>5681</v>
      </c>
      <c r="F160" s="52"/>
      <c r="G160" s="56">
        <v>11151340</v>
      </c>
      <c r="H160" s="56"/>
      <c r="I160" s="56"/>
      <c r="J160" s="52"/>
      <c r="K160" s="52"/>
      <c r="L160" s="52"/>
      <c r="M160" s="52"/>
      <c r="N160" s="52"/>
      <c r="O160" s="52"/>
      <c r="P160" s="52"/>
      <c r="Q160" s="52"/>
      <c r="R160" s="52"/>
      <c r="S160" s="52"/>
      <c r="T160" s="52"/>
      <c r="U160" s="52"/>
      <c r="V160" s="52"/>
      <c r="W160" s="52"/>
      <c r="X160" s="52"/>
      <c r="Y160" s="52"/>
      <c r="Z160" s="52"/>
      <c r="AA160" s="52"/>
      <c r="AB160" s="52"/>
    </row>
    <row r="161" spans="1:28" ht="14.25" x14ac:dyDescent="0.2">
      <c r="A161" s="50" t="s">
        <v>15</v>
      </c>
      <c r="B161" s="51" t="s">
        <v>5684</v>
      </c>
      <c r="C161" s="51"/>
      <c r="D161" s="52"/>
      <c r="E161" s="51" t="s">
        <v>5692</v>
      </c>
      <c r="F161" s="52"/>
      <c r="G161" s="53">
        <v>11151341</v>
      </c>
      <c r="H161" s="53"/>
      <c r="I161" s="53"/>
      <c r="J161" s="52"/>
      <c r="K161" s="52"/>
      <c r="L161" s="52"/>
      <c r="M161" s="52"/>
      <c r="N161" s="52"/>
      <c r="O161" s="52"/>
      <c r="P161" s="52"/>
      <c r="Q161" s="52"/>
      <c r="R161" s="52"/>
      <c r="S161" s="52"/>
      <c r="T161" s="52"/>
      <c r="U161" s="52"/>
      <c r="V161" s="52"/>
      <c r="W161" s="52"/>
      <c r="X161" s="52"/>
      <c r="Y161" s="52"/>
      <c r="Z161" s="52"/>
      <c r="AA161" s="52"/>
      <c r="AB161" s="52"/>
    </row>
    <row r="162" spans="1:28" ht="14.25" x14ac:dyDescent="0.2">
      <c r="A162" s="54" t="s">
        <v>15</v>
      </c>
      <c r="B162" s="55" t="s">
        <v>5684</v>
      </c>
      <c r="C162" s="55"/>
      <c r="D162" s="52"/>
      <c r="E162" s="55" t="s">
        <v>5682</v>
      </c>
      <c r="F162" s="52"/>
      <c r="G162" s="56">
        <v>11151342</v>
      </c>
      <c r="H162" s="56"/>
      <c r="I162" s="56"/>
      <c r="J162" s="52"/>
      <c r="K162" s="52"/>
      <c r="L162" s="52"/>
      <c r="M162" s="52"/>
      <c r="N162" s="52"/>
      <c r="O162" s="52"/>
      <c r="P162" s="52"/>
      <c r="Q162" s="52"/>
      <c r="R162" s="52"/>
      <c r="S162" s="52"/>
      <c r="T162" s="52"/>
      <c r="U162" s="52"/>
      <c r="V162" s="52"/>
      <c r="W162" s="52"/>
      <c r="X162" s="52"/>
      <c r="Y162" s="52"/>
      <c r="Z162" s="52"/>
      <c r="AA162" s="52"/>
      <c r="AB162" s="52"/>
    </row>
    <row r="163" spans="1:28" ht="14.25" x14ac:dyDescent="0.2">
      <c r="A163" s="50" t="s">
        <v>15</v>
      </c>
      <c r="B163" s="51" t="s">
        <v>5684</v>
      </c>
      <c r="C163" s="51"/>
      <c r="D163" s="52"/>
      <c r="E163" s="51" t="s">
        <v>5693</v>
      </c>
      <c r="F163" s="52"/>
      <c r="G163" s="53">
        <v>11151343</v>
      </c>
      <c r="H163" s="53"/>
      <c r="I163" s="53"/>
      <c r="J163" s="52"/>
      <c r="K163" s="52"/>
      <c r="L163" s="52"/>
      <c r="M163" s="52"/>
      <c r="N163" s="52"/>
      <c r="O163" s="52"/>
      <c r="P163" s="52"/>
      <c r="Q163" s="52"/>
      <c r="R163" s="52"/>
      <c r="S163" s="52"/>
      <c r="T163" s="52"/>
      <c r="U163" s="52"/>
      <c r="V163" s="52"/>
      <c r="W163" s="52"/>
      <c r="X163" s="52"/>
      <c r="Y163" s="52"/>
      <c r="Z163" s="52"/>
      <c r="AA163" s="52"/>
      <c r="AB163" s="52"/>
    </row>
    <row r="164" spans="1:28" ht="14.25" x14ac:dyDescent="0.2">
      <c r="A164" s="54" t="s">
        <v>15</v>
      </c>
      <c r="B164" s="55" t="s">
        <v>5684</v>
      </c>
      <c r="C164" s="55"/>
      <c r="D164" s="52"/>
      <c r="E164" s="55" t="s">
        <v>5683</v>
      </c>
      <c r="F164" s="52"/>
      <c r="G164" s="56">
        <v>11151344</v>
      </c>
      <c r="H164" s="56"/>
      <c r="I164" s="56"/>
      <c r="J164" s="52"/>
      <c r="K164" s="52"/>
      <c r="L164" s="52"/>
      <c r="M164" s="52"/>
      <c r="N164" s="52"/>
      <c r="O164" s="52"/>
      <c r="P164" s="52"/>
      <c r="Q164" s="52"/>
      <c r="R164" s="52"/>
      <c r="S164" s="52"/>
      <c r="T164" s="52"/>
      <c r="U164" s="52"/>
      <c r="V164" s="52"/>
      <c r="W164" s="52"/>
      <c r="X164" s="52"/>
      <c r="Y164" s="52"/>
      <c r="Z164" s="52"/>
      <c r="AA164" s="52"/>
      <c r="AB164" s="52"/>
    </row>
    <row r="165" spans="1:28" ht="14.25" x14ac:dyDescent="0.2">
      <c r="A165" s="50" t="s">
        <v>15</v>
      </c>
      <c r="B165" s="51" t="s">
        <v>5684</v>
      </c>
      <c r="C165" s="51"/>
      <c r="D165" s="52"/>
      <c r="E165" s="51" t="s">
        <v>5694</v>
      </c>
      <c r="F165" s="52"/>
      <c r="G165" s="53">
        <v>11151345</v>
      </c>
      <c r="H165" s="53"/>
      <c r="I165" s="53"/>
      <c r="J165" s="52"/>
      <c r="K165" s="52"/>
      <c r="L165" s="52"/>
      <c r="M165" s="52"/>
      <c r="N165" s="52"/>
      <c r="O165" s="52"/>
      <c r="P165" s="52"/>
      <c r="Q165" s="52"/>
      <c r="R165" s="52"/>
      <c r="S165" s="52"/>
      <c r="T165" s="52"/>
      <c r="U165" s="52"/>
      <c r="V165" s="52"/>
      <c r="W165" s="52"/>
      <c r="X165" s="52"/>
      <c r="Y165" s="52"/>
      <c r="Z165" s="52"/>
      <c r="AA165" s="52"/>
      <c r="AB165" s="52"/>
    </row>
    <row r="166" spans="1:28" ht="14.25" x14ac:dyDescent="0.2">
      <c r="A166" s="54" t="s">
        <v>15</v>
      </c>
      <c r="B166" s="55" t="s">
        <v>5695</v>
      </c>
      <c r="C166" s="55"/>
      <c r="D166" s="52"/>
      <c r="E166" s="55">
        <v>16</v>
      </c>
      <c r="F166" s="52"/>
      <c r="G166" s="56">
        <v>13414305</v>
      </c>
      <c r="H166" s="56"/>
      <c r="I166" s="56"/>
      <c r="J166" s="52"/>
      <c r="K166" s="52"/>
      <c r="L166" s="52"/>
      <c r="M166" s="52"/>
      <c r="N166" s="52"/>
      <c r="O166" s="52"/>
      <c r="P166" s="52"/>
      <c r="Q166" s="52"/>
      <c r="R166" s="52"/>
      <c r="S166" s="52"/>
      <c r="T166" s="52"/>
      <c r="U166" s="52"/>
      <c r="V166" s="52"/>
      <c r="W166" s="52"/>
      <c r="X166" s="52"/>
      <c r="Y166" s="52"/>
      <c r="Z166" s="52"/>
      <c r="AA166" s="52"/>
      <c r="AB166" s="52"/>
    </row>
    <row r="167" spans="1:28" ht="14.25" x14ac:dyDescent="0.2">
      <c r="A167" s="50" t="s">
        <v>15</v>
      </c>
      <c r="B167" s="51" t="s">
        <v>5695</v>
      </c>
      <c r="C167" s="51"/>
      <c r="D167" s="52"/>
      <c r="E167" s="51">
        <v>20</v>
      </c>
      <c r="F167" s="52"/>
      <c r="G167" s="53">
        <v>13414306</v>
      </c>
      <c r="H167" s="53"/>
      <c r="I167" s="53"/>
      <c r="J167" s="52"/>
      <c r="K167" s="52"/>
      <c r="L167" s="52"/>
      <c r="M167" s="52"/>
      <c r="N167" s="52"/>
      <c r="O167" s="52"/>
      <c r="P167" s="52"/>
      <c r="Q167" s="52"/>
      <c r="R167" s="52"/>
      <c r="S167" s="52"/>
      <c r="T167" s="52"/>
      <c r="U167" s="52"/>
      <c r="V167" s="52"/>
      <c r="W167" s="52"/>
      <c r="X167" s="52"/>
      <c r="Y167" s="52"/>
      <c r="Z167" s="52"/>
      <c r="AA167" s="52"/>
      <c r="AB167" s="52"/>
    </row>
    <row r="168" spans="1:28" ht="14.25" x14ac:dyDescent="0.2">
      <c r="A168" s="54" t="s">
        <v>15</v>
      </c>
      <c r="B168" s="55" t="s">
        <v>5695</v>
      </c>
      <c r="C168" s="55"/>
      <c r="D168" s="52"/>
      <c r="E168" s="55">
        <v>25</v>
      </c>
      <c r="F168" s="52"/>
      <c r="G168" s="56">
        <v>13414307</v>
      </c>
      <c r="H168" s="56"/>
      <c r="I168" s="56"/>
      <c r="J168" s="52"/>
      <c r="K168" s="52"/>
      <c r="L168" s="52"/>
      <c r="M168" s="52"/>
      <c r="N168" s="52"/>
      <c r="O168" s="52"/>
      <c r="P168" s="52"/>
      <c r="Q168" s="52"/>
      <c r="R168" s="52"/>
      <c r="S168" s="52"/>
      <c r="T168" s="52"/>
      <c r="U168" s="52"/>
      <c r="V168" s="52"/>
      <c r="W168" s="52"/>
      <c r="X168" s="52"/>
      <c r="Y168" s="52"/>
      <c r="Z168" s="52"/>
      <c r="AA168" s="52"/>
      <c r="AB168" s="52"/>
    </row>
    <row r="169" spans="1:28" ht="14.25" x14ac:dyDescent="0.2">
      <c r="A169" s="50" t="s">
        <v>15</v>
      </c>
      <c r="B169" s="51" t="s">
        <v>5695</v>
      </c>
      <c r="C169" s="51"/>
      <c r="D169" s="52"/>
      <c r="E169" s="51">
        <v>32</v>
      </c>
      <c r="F169" s="52"/>
      <c r="G169" s="53">
        <v>13414308</v>
      </c>
      <c r="H169" s="53"/>
      <c r="I169" s="53"/>
      <c r="J169" s="52"/>
      <c r="K169" s="52"/>
      <c r="L169" s="52"/>
      <c r="M169" s="52"/>
      <c r="N169" s="52"/>
      <c r="O169" s="52"/>
      <c r="P169" s="52"/>
      <c r="Q169" s="52"/>
      <c r="R169" s="52"/>
      <c r="S169" s="52"/>
      <c r="T169" s="52"/>
      <c r="U169" s="52"/>
      <c r="V169" s="52"/>
      <c r="W169" s="52"/>
      <c r="X169" s="52"/>
      <c r="Y169" s="52"/>
      <c r="Z169" s="52"/>
      <c r="AA169" s="52"/>
      <c r="AB169" s="52"/>
    </row>
    <row r="170" spans="1:28" ht="14.25" x14ac:dyDescent="0.2">
      <c r="A170" s="54" t="s">
        <v>15</v>
      </c>
      <c r="B170" s="55" t="s">
        <v>5695</v>
      </c>
      <c r="C170" s="55"/>
      <c r="D170" s="52"/>
      <c r="E170" s="55">
        <v>40</v>
      </c>
      <c r="F170" s="52"/>
      <c r="G170" s="56">
        <v>13414309</v>
      </c>
      <c r="H170" s="56"/>
      <c r="I170" s="56"/>
      <c r="J170" s="52"/>
      <c r="K170" s="52"/>
      <c r="L170" s="52"/>
      <c r="M170" s="52"/>
      <c r="N170" s="52"/>
      <c r="O170" s="52"/>
      <c r="P170" s="52"/>
      <c r="Q170" s="52"/>
      <c r="R170" s="52"/>
      <c r="S170" s="52"/>
      <c r="T170" s="52"/>
      <c r="U170" s="52"/>
      <c r="V170" s="52"/>
      <c r="W170" s="52"/>
      <c r="X170" s="52"/>
      <c r="Y170" s="52"/>
      <c r="Z170" s="52"/>
      <c r="AA170" s="52"/>
      <c r="AB170" s="52"/>
    </row>
    <row r="171" spans="1:28" ht="14.25" x14ac:dyDescent="0.2">
      <c r="A171" s="50" t="s">
        <v>15</v>
      </c>
      <c r="B171" s="51" t="s">
        <v>5695</v>
      </c>
      <c r="C171" s="51"/>
      <c r="D171" s="52"/>
      <c r="E171" s="51">
        <v>50</v>
      </c>
      <c r="F171" s="52"/>
      <c r="G171" s="53">
        <v>13414310</v>
      </c>
      <c r="H171" s="53"/>
      <c r="I171" s="53"/>
      <c r="J171" s="52"/>
      <c r="K171" s="52"/>
      <c r="L171" s="52"/>
      <c r="M171" s="52"/>
      <c r="N171" s="52"/>
      <c r="O171" s="52"/>
      <c r="P171" s="52"/>
      <c r="Q171" s="52"/>
      <c r="R171" s="52"/>
      <c r="S171" s="52"/>
      <c r="T171" s="52"/>
      <c r="U171" s="52"/>
      <c r="V171" s="52"/>
      <c r="W171" s="52"/>
      <c r="X171" s="52"/>
      <c r="Y171" s="52"/>
      <c r="Z171" s="52"/>
      <c r="AA171" s="52"/>
      <c r="AB171" s="52"/>
    </row>
    <row r="172" spans="1:28" ht="14.25" x14ac:dyDescent="0.2">
      <c r="A172" s="54" t="s">
        <v>15</v>
      </c>
      <c r="B172" s="55" t="s">
        <v>5695</v>
      </c>
      <c r="C172" s="55"/>
      <c r="D172" s="52"/>
      <c r="E172" s="55">
        <v>63</v>
      </c>
      <c r="F172" s="52"/>
      <c r="G172" s="56">
        <v>13414311</v>
      </c>
      <c r="H172" s="56"/>
      <c r="I172" s="56"/>
      <c r="J172" s="52"/>
      <c r="K172" s="52"/>
      <c r="L172" s="52"/>
      <c r="M172" s="52"/>
      <c r="N172" s="52"/>
      <c r="O172" s="52"/>
      <c r="P172" s="52"/>
      <c r="Q172" s="52"/>
      <c r="R172" s="52"/>
      <c r="S172" s="52"/>
      <c r="T172" s="52"/>
      <c r="U172" s="52"/>
      <c r="V172" s="52"/>
      <c r="W172" s="52"/>
      <c r="X172" s="52"/>
      <c r="Y172" s="52"/>
      <c r="Z172" s="52"/>
      <c r="AA172" s="52"/>
      <c r="AB172" s="52"/>
    </row>
    <row r="173" spans="1:28" ht="14.25" x14ac:dyDescent="0.2">
      <c r="A173" s="50" t="s">
        <v>15</v>
      </c>
      <c r="B173" s="51" t="s">
        <v>5695</v>
      </c>
      <c r="C173" s="51"/>
      <c r="D173" s="52"/>
      <c r="E173" s="51">
        <v>75</v>
      </c>
      <c r="F173" s="52"/>
      <c r="G173" s="53">
        <v>13414312</v>
      </c>
      <c r="H173" s="53"/>
      <c r="I173" s="53"/>
      <c r="J173" s="52"/>
      <c r="K173" s="52"/>
      <c r="L173" s="52"/>
      <c r="M173" s="52"/>
      <c r="N173" s="52"/>
      <c r="O173" s="52"/>
      <c r="P173" s="52"/>
      <c r="Q173" s="52"/>
      <c r="R173" s="52"/>
      <c r="S173" s="52"/>
      <c r="T173" s="52"/>
      <c r="U173" s="52"/>
      <c r="V173" s="52"/>
      <c r="W173" s="52"/>
      <c r="X173" s="52"/>
      <c r="Y173" s="52"/>
      <c r="Z173" s="52"/>
      <c r="AA173" s="52"/>
      <c r="AB173" s="52"/>
    </row>
    <row r="174" spans="1:28" ht="14.25" x14ac:dyDescent="0.2">
      <c r="A174" s="54" t="s">
        <v>15</v>
      </c>
      <c r="B174" s="55" t="s">
        <v>5695</v>
      </c>
      <c r="C174" s="55"/>
      <c r="D174" s="52"/>
      <c r="E174" s="55">
        <v>90</v>
      </c>
      <c r="F174" s="52"/>
      <c r="G174" s="56">
        <v>13414313</v>
      </c>
      <c r="H174" s="56"/>
      <c r="I174" s="56"/>
      <c r="J174" s="52"/>
      <c r="K174" s="52"/>
      <c r="L174" s="52"/>
      <c r="M174" s="52"/>
      <c r="N174" s="52"/>
      <c r="O174" s="52"/>
      <c r="P174" s="52"/>
      <c r="Q174" s="52"/>
      <c r="R174" s="52"/>
      <c r="S174" s="52"/>
      <c r="T174" s="52"/>
      <c r="U174" s="52"/>
      <c r="V174" s="52"/>
      <c r="W174" s="52"/>
      <c r="X174" s="52"/>
      <c r="Y174" s="52"/>
      <c r="Z174" s="52"/>
      <c r="AA174" s="52"/>
      <c r="AB174" s="52"/>
    </row>
    <row r="175" spans="1:28" ht="14.25" x14ac:dyDescent="0.2">
      <c r="A175" s="50" t="s">
        <v>15</v>
      </c>
      <c r="B175" s="51" t="s">
        <v>5695</v>
      </c>
      <c r="C175" s="51"/>
      <c r="D175" s="52"/>
      <c r="E175" s="51">
        <v>110</v>
      </c>
      <c r="F175" s="52"/>
      <c r="G175" s="53">
        <v>13414314</v>
      </c>
      <c r="H175" s="53"/>
      <c r="I175" s="53"/>
      <c r="J175" s="52"/>
      <c r="K175" s="52"/>
      <c r="L175" s="52"/>
      <c r="M175" s="52"/>
      <c r="N175" s="52"/>
      <c r="O175" s="52"/>
      <c r="P175" s="52"/>
      <c r="Q175" s="52"/>
      <c r="R175" s="52"/>
      <c r="S175" s="52"/>
      <c r="T175" s="52"/>
      <c r="U175" s="52"/>
      <c r="V175" s="52"/>
      <c r="W175" s="52"/>
      <c r="X175" s="52"/>
      <c r="Y175" s="52"/>
      <c r="Z175" s="52"/>
      <c r="AA175" s="52"/>
      <c r="AB175" s="52"/>
    </row>
    <row r="176" spans="1:28" ht="14.25" x14ac:dyDescent="0.2">
      <c r="A176" s="54" t="s">
        <v>15</v>
      </c>
      <c r="B176" s="55" t="s">
        <v>5695</v>
      </c>
      <c r="C176" s="55"/>
      <c r="D176" s="52"/>
      <c r="E176" s="55">
        <v>125</v>
      </c>
      <c r="F176" s="52"/>
      <c r="G176" s="56">
        <v>13414315</v>
      </c>
      <c r="H176" s="56"/>
      <c r="I176" s="56"/>
      <c r="J176" s="52"/>
      <c r="K176" s="52"/>
      <c r="L176" s="52"/>
      <c r="M176" s="52"/>
      <c r="N176" s="52"/>
      <c r="O176" s="52"/>
      <c r="P176" s="52"/>
      <c r="Q176" s="52"/>
      <c r="R176" s="52"/>
      <c r="S176" s="52"/>
      <c r="T176" s="52"/>
      <c r="U176" s="52"/>
      <c r="V176" s="52"/>
      <c r="W176" s="52"/>
      <c r="X176" s="52"/>
      <c r="Y176" s="52"/>
      <c r="Z176" s="52"/>
      <c r="AA176" s="52"/>
      <c r="AB176" s="52"/>
    </row>
    <row r="177" spans="1:28" ht="14.25" x14ac:dyDescent="0.2">
      <c r="A177" s="50" t="s">
        <v>15</v>
      </c>
      <c r="B177" s="51" t="s">
        <v>5695</v>
      </c>
      <c r="C177" s="51"/>
      <c r="D177" s="52"/>
      <c r="E177" s="51">
        <v>140</v>
      </c>
      <c r="F177" s="52"/>
      <c r="G177" s="53">
        <v>13414316</v>
      </c>
      <c r="H177" s="53"/>
      <c r="I177" s="53"/>
      <c r="J177" s="52"/>
      <c r="K177" s="52"/>
      <c r="L177" s="52"/>
      <c r="M177" s="52"/>
      <c r="N177" s="52"/>
      <c r="O177" s="52"/>
      <c r="P177" s="52"/>
      <c r="Q177" s="52"/>
      <c r="R177" s="52"/>
      <c r="S177" s="52"/>
      <c r="T177" s="52"/>
      <c r="U177" s="52"/>
      <c r="V177" s="52"/>
      <c r="W177" s="52"/>
      <c r="X177" s="52"/>
      <c r="Y177" s="52"/>
      <c r="Z177" s="52"/>
      <c r="AA177" s="52"/>
      <c r="AB177" s="52"/>
    </row>
    <row r="178" spans="1:28" ht="14.25" x14ac:dyDescent="0.2">
      <c r="A178" s="54" t="s">
        <v>15</v>
      </c>
      <c r="B178" s="55" t="s">
        <v>5695</v>
      </c>
      <c r="C178" s="55"/>
      <c r="D178" s="52"/>
      <c r="E178" s="55">
        <v>160</v>
      </c>
      <c r="F178" s="52"/>
      <c r="G178" s="56">
        <v>13414317</v>
      </c>
      <c r="H178" s="56"/>
      <c r="I178" s="56"/>
      <c r="J178" s="52"/>
      <c r="K178" s="52"/>
      <c r="L178" s="52"/>
      <c r="M178" s="52"/>
      <c r="N178" s="52"/>
      <c r="O178" s="52"/>
      <c r="P178" s="52"/>
      <c r="Q178" s="52"/>
      <c r="R178" s="52"/>
      <c r="S178" s="52"/>
      <c r="T178" s="52"/>
      <c r="U178" s="52"/>
      <c r="V178" s="52"/>
      <c r="W178" s="52"/>
      <c r="X178" s="52"/>
      <c r="Y178" s="52"/>
      <c r="Z178" s="52"/>
      <c r="AA178" s="52"/>
      <c r="AB178" s="52"/>
    </row>
    <row r="179" spans="1:28" ht="14.25" x14ac:dyDescent="0.2">
      <c r="A179" s="50" t="s">
        <v>15</v>
      </c>
      <c r="B179" s="51" t="s">
        <v>5695</v>
      </c>
      <c r="C179" s="51"/>
      <c r="D179" s="52"/>
      <c r="E179" s="51">
        <v>200</v>
      </c>
      <c r="F179" s="52"/>
      <c r="G179" s="53">
        <v>13414318</v>
      </c>
      <c r="H179" s="53"/>
      <c r="I179" s="53"/>
      <c r="J179" s="52"/>
      <c r="K179" s="52"/>
      <c r="L179" s="52"/>
      <c r="M179" s="52"/>
      <c r="N179" s="52"/>
      <c r="O179" s="52"/>
      <c r="P179" s="52"/>
      <c r="Q179" s="52"/>
      <c r="R179" s="52"/>
      <c r="S179" s="52"/>
      <c r="T179" s="52"/>
      <c r="U179" s="52"/>
      <c r="V179" s="52"/>
      <c r="W179" s="52"/>
      <c r="X179" s="52"/>
      <c r="Y179" s="52"/>
      <c r="Z179" s="52"/>
      <c r="AA179" s="52"/>
      <c r="AB179" s="52"/>
    </row>
    <row r="180" spans="1:28" ht="14.25" x14ac:dyDescent="0.2">
      <c r="A180" s="54" t="s">
        <v>15</v>
      </c>
      <c r="B180" s="55" t="s">
        <v>5695</v>
      </c>
      <c r="C180" s="55"/>
      <c r="D180" s="52"/>
      <c r="E180" s="55">
        <v>225</v>
      </c>
      <c r="F180" s="52"/>
      <c r="G180" s="56">
        <v>13414319</v>
      </c>
      <c r="H180" s="56"/>
      <c r="I180" s="56"/>
      <c r="J180" s="52"/>
      <c r="K180" s="52"/>
      <c r="L180" s="52"/>
      <c r="M180" s="52"/>
      <c r="N180" s="52"/>
      <c r="O180" s="52"/>
      <c r="P180" s="52"/>
      <c r="Q180" s="52"/>
      <c r="R180" s="52"/>
      <c r="S180" s="52"/>
      <c r="T180" s="52"/>
      <c r="U180" s="52"/>
      <c r="V180" s="52"/>
      <c r="W180" s="52"/>
      <c r="X180" s="52"/>
      <c r="Y180" s="52"/>
      <c r="Z180" s="52"/>
      <c r="AA180" s="52"/>
      <c r="AB180" s="52"/>
    </row>
    <row r="181" spans="1:28" ht="14.25" x14ac:dyDescent="0.2">
      <c r="A181" s="50" t="s">
        <v>15</v>
      </c>
      <c r="B181" s="51" t="s">
        <v>5696</v>
      </c>
      <c r="C181" s="51"/>
      <c r="D181" s="52"/>
      <c r="E181" s="51">
        <v>63</v>
      </c>
      <c r="F181" s="52"/>
      <c r="G181" s="53">
        <v>11365311</v>
      </c>
      <c r="H181" s="53"/>
      <c r="I181" s="53"/>
      <c r="J181" s="52"/>
      <c r="K181" s="52"/>
      <c r="L181" s="52"/>
      <c r="M181" s="52"/>
      <c r="N181" s="52"/>
      <c r="O181" s="52"/>
      <c r="P181" s="52"/>
      <c r="Q181" s="52"/>
      <c r="R181" s="52"/>
      <c r="S181" s="52"/>
      <c r="T181" s="52"/>
      <c r="U181" s="52"/>
      <c r="V181" s="52"/>
      <c r="W181" s="52"/>
      <c r="X181" s="52"/>
      <c r="Y181" s="52"/>
      <c r="Z181" s="52"/>
      <c r="AA181" s="52"/>
      <c r="AB181" s="52"/>
    </row>
    <row r="182" spans="1:28" ht="14.25" x14ac:dyDescent="0.2">
      <c r="A182" s="54" t="s">
        <v>15</v>
      </c>
      <c r="B182" s="55" t="s">
        <v>5696</v>
      </c>
      <c r="C182" s="55"/>
      <c r="D182" s="52"/>
      <c r="E182" s="55">
        <v>90</v>
      </c>
      <c r="F182" s="52"/>
      <c r="G182" s="56">
        <v>11365313</v>
      </c>
      <c r="H182" s="56"/>
      <c r="I182" s="56"/>
      <c r="J182" s="52"/>
      <c r="K182" s="52"/>
      <c r="L182" s="52"/>
      <c r="M182" s="52"/>
      <c r="N182" s="52"/>
      <c r="O182" s="52"/>
      <c r="P182" s="52"/>
      <c r="Q182" s="52"/>
      <c r="R182" s="52"/>
      <c r="S182" s="52"/>
      <c r="T182" s="52"/>
      <c r="U182" s="52"/>
      <c r="V182" s="52"/>
      <c r="W182" s="52"/>
      <c r="X182" s="52"/>
      <c r="Y182" s="52"/>
      <c r="Z182" s="52"/>
      <c r="AA182" s="52"/>
      <c r="AB182" s="52"/>
    </row>
    <row r="183" spans="1:28" ht="14.25" x14ac:dyDescent="0.2">
      <c r="A183" s="50" t="s">
        <v>15</v>
      </c>
      <c r="B183" s="51" t="s">
        <v>5696</v>
      </c>
      <c r="C183" s="51"/>
      <c r="D183" s="52"/>
      <c r="E183" s="51">
        <v>110</v>
      </c>
      <c r="F183" s="52"/>
      <c r="G183" s="53">
        <v>11365314</v>
      </c>
      <c r="H183" s="53"/>
      <c r="I183" s="53"/>
      <c r="J183" s="52"/>
      <c r="K183" s="52"/>
      <c r="L183" s="52"/>
      <c r="M183" s="52"/>
      <c r="N183" s="52"/>
      <c r="O183" s="52"/>
      <c r="P183" s="52"/>
      <c r="Q183" s="52"/>
      <c r="R183" s="52"/>
      <c r="S183" s="52"/>
      <c r="T183" s="52"/>
      <c r="U183" s="52"/>
      <c r="V183" s="52"/>
      <c r="W183" s="52"/>
      <c r="X183" s="52"/>
      <c r="Y183" s="52"/>
      <c r="Z183" s="52"/>
      <c r="AA183" s="52"/>
      <c r="AB183" s="52"/>
    </row>
    <row r="184" spans="1:28" ht="14.25" x14ac:dyDescent="0.2">
      <c r="A184" s="54" t="s">
        <v>15</v>
      </c>
      <c r="B184" s="55" t="s">
        <v>5696</v>
      </c>
      <c r="C184" s="55"/>
      <c r="D184" s="52"/>
      <c r="E184" s="55">
        <v>160</v>
      </c>
      <c r="F184" s="52"/>
      <c r="G184" s="56">
        <v>11365317</v>
      </c>
      <c r="H184" s="56"/>
      <c r="I184" s="56"/>
      <c r="J184" s="52"/>
      <c r="K184" s="52"/>
      <c r="L184" s="52"/>
      <c r="M184" s="52"/>
      <c r="N184" s="52"/>
      <c r="O184" s="52"/>
      <c r="P184" s="52"/>
      <c r="Q184" s="52"/>
      <c r="R184" s="52"/>
      <c r="S184" s="52"/>
      <c r="T184" s="52"/>
      <c r="U184" s="52"/>
      <c r="V184" s="52"/>
      <c r="W184" s="52"/>
      <c r="X184" s="52"/>
      <c r="Y184" s="52"/>
      <c r="Z184" s="52"/>
      <c r="AA184" s="52"/>
      <c r="AB184" s="52"/>
    </row>
    <row r="185" spans="1:28" ht="14.25" x14ac:dyDescent="0.2">
      <c r="A185" s="50" t="s">
        <v>15</v>
      </c>
      <c r="B185" s="51" t="s">
        <v>24</v>
      </c>
      <c r="C185" s="51"/>
      <c r="D185" s="52"/>
      <c r="E185" s="51" t="s">
        <v>16</v>
      </c>
      <c r="F185" s="52"/>
      <c r="G185" s="53">
        <v>1315101</v>
      </c>
      <c r="H185" s="53"/>
      <c r="I185" s="53"/>
      <c r="J185" s="52"/>
      <c r="K185" s="52"/>
      <c r="L185" s="52"/>
      <c r="M185" s="52"/>
      <c r="N185" s="52"/>
      <c r="O185" s="52"/>
      <c r="P185" s="52"/>
      <c r="Q185" s="52"/>
      <c r="R185" s="52"/>
      <c r="S185" s="52"/>
      <c r="T185" s="52"/>
      <c r="U185" s="52"/>
      <c r="V185" s="52"/>
      <c r="W185" s="52"/>
      <c r="X185" s="52"/>
      <c r="Y185" s="52"/>
      <c r="Z185" s="52"/>
      <c r="AA185" s="52"/>
      <c r="AB185" s="52"/>
    </row>
    <row r="186" spans="1:28" ht="14.25" x14ac:dyDescent="0.2">
      <c r="A186" s="54" t="s">
        <v>15</v>
      </c>
      <c r="B186" s="55" t="s">
        <v>24</v>
      </c>
      <c r="C186" s="55"/>
      <c r="D186" s="52"/>
      <c r="E186" s="55" t="s">
        <v>17</v>
      </c>
      <c r="F186" s="52"/>
      <c r="G186" s="56">
        <v>1315102</v>
      </c>
      <c r="H186" s="56"/>
      <c r="I186" s="56"/>
      <c r="J186" s="52"/>
      <c r="K186" s="52"/>
      <c r="L186" s="52"/>
      <c r="M186" s="52"/>
      <c r="N186" s="52"/>
      <c r="O186" s="52"/>
      <c r="P186" s="52"/>
      <c r="Q186" s="52"/>
      <c r="R186" s="52"/>
      <c r="S186" s="52"/>
      <c r="T186" s="52"/>
      <c r="U186" s="52"/>
      <c r="V186" s="52"/>
      <c r="W186" s="52"/>
      <c r="X186" s="52"/>
      <c r="Y186" s="52"/>
      <c r="Z186" s="52"/>
      <c r="AA186" s="52"/>
      <c r="AB186" s="52"/>
    </row>
    <row r="187" spans="1:28" ht="14.25" x14ac:dyDescent="0.2">
      <c r="A187" s="50" t="s">
        <v>15</v>
      </c>
      <c r="B187" s="51" t="s">
        <v>24</v>
      </c>
      <c r="C187" s="51"/>
      <c r="D187" s="52"/>
      <c r="E187" s="51" t="s">
        <v>18</v>
      </c>
      <c r="F187" s="52"/>
      <c r="G187" s="53">
        <v>1315103</v>
      </c>
      <c r="H187" s="53"/>
      <c r="I187" s="53"/>
      <c r="J187" s="52"/>
      <c r="K187" s="52"/>
      <c r="L187" s="52"/>
      <c r="M187" s="52"/>
      <c r="N187" s="52"/>
      <c r="O187" s="52"/>
      <c r="P187" s="52"/>
      <c r="Q187" s="52"/>
      <c r="R187" s="52"/>
      <c r="S187" s="52"/>
      <c r="T187" s="52"/>
      <c r="U187" s="52"/>
      <c r="V187" s="52"/>
      <c r="W187" s="52"/>
      <c r="X187" s="52"/>
      <c r="Y187" s="52"/>
      <c r="Z187" s="52"/>
      <c r="AA187" s="52"/>
      <c r="AB187" s="52"/>
    </row>
    <row r="188" spans="1:28" ht="14.25" x14ac:dyDescent="0.2">
      <c r="A188" s="54" t="s">
        <v>15</v>
      </c>
      <c r="B188" s="55" t="s">
        <v>24</v>
      </c>
      <c r="C188" s="55"/>
      <c r="D188" s="52"/>
      <c r="E188" s="55" t="s">
        <v>19</v>
      </c>
      <c r="F188" s="52"/>
      <c r="G188" s="56">
        <v>1315104</v>
      </c>
      <c r="H188" s="56"/>
      <c r="I188" s="56"/>
      <c r="J188" s="52"/>
      <c r="K188" s="52"/>
      <c r="L188" s="52"/>
      <c r="M188" s="52"/>
      <c r="N188" s="52"/>
      <c r="O188" s="52"/>
      <c r="P188" s="52"/>
      <c r="Q188" s="52"/>
      <c r="R188" s="52"/>
      <c r="S188" s="52"/>
      <c r="T188" s="52"/>
      <c r="U188" s="52"/>
      <c r="V188" s="52"/>
      <c r="W188" s="52"/>
      <c r="X188" s="52"/>
      <c r="Y188" s="52"/>
      <c r="Z188" s="52"/>
      <c r="AA188" s="52"/>
      <c r="AB188" s="52"/>
    </row>
    <row r="189" spans="1:28" ht="14.25" x14ac:dyDescent="0.2">
      <c r="A189" s="50" t="s">
        <v>15</v>
      </c>
      <c r="B189" s="51" t="s">
        <v>24</v>
      </c>
      <c r="C189" s="51"/>
      <c r="D189" s="52"/>
      <c r="E189" s="51" t="s">
        <v>20</v>
      </c>
      <c r="F189" s="52"/>
      <c r="G189" s="53">
        <v>1315105</v>
      </c>
      <c r="H189" s="53"/>
      <c r="I189" s="53"/>
      <c r="J189" s="52"/>
      <c r="K189" s="52"/>
      <c r="L189" s="52"/>
      <c r="M189" s="52"/>
      <c r="N189" s="52"/>
      <c r="O189" s="52"/>
      <c r="P189" s="52"/>
      <c r="Q189" s="52"/>
      <c r="R189" s="52"/>
      <c r="S189" s="52"/>
      <c r="T189" s="52"/>
      <c r="U189" s="52"/>
      <c r="V189" s="52"/>
      <c r="W189" s="52"/>
      <c r="X189" s="52"/>
      <c r="Y189" s="52"/>
      <c r="Z189" s="52"/>
      <c r="AA189" s="52"/>
      <c r="AB189" s="52"/>
    </row>
    <row r="190" spans="1:28" ht="14.25" x14ac:dyDescent="0.2">
      <c r="A190" s="54" t="s">
        <v>15</v>
      </c>
      <c r="B190" s="55" t="s">
        <v>24</v>
      </c>
      <c r="C190" s="55"/>
      <c r="D190" s="52"/>
      <c r="E190" s="55" t="s">
        <v>21</v>
      </c>
      <c r="F190" s="52"/>
      <c r="G190" s="56">
        <v>1315106</v>
      </c>
      <c r="H190" s="56"/>
      <c r="I190" s="56"/>
      <c r="J190" s="52"/>
      <c r="K190" s="52"/>
      <c r="L190" s="52"/>
      <c r="M190" s="52"/>
      <c r="N190" s="52"/>
      <c r="O190" s="52"/>
      <c r="P190" s="52"/>
      <c r="Q190" s="52"/>
      <c r="R190" s="52"/>
      <c r="S190" s="52"/>
      <c r="T190" s="52"/>
      <c r="U190" s="52"/>
      <c r="V190" s="52"/>
      <c r="W190" s="52"/>
      <c r="X190" s="52"/>
      <c r="Y190" s="52"/>
      <c r="Z190" s="52"/>
      <c r="AA190" s="52"/>
      <c r="AB190" s="52"/>
    </row>
    <row r="191" spans="1:28" ht="14.25" x14ac:dyDescent="0.2">
      <c r="A191" s="50" t="s">
        <v>15</v>
      </c>
      <c r="B191" s="51" t="s">
        <v>24</v>
      </c>
      <c r="C191" s="51"/>
      <c r="D191" s="52"/>
      <c r="E191" s="51" t="s">
        <v>0</v>
      </c>
      <c r="F191" s="52"/>
      <c r="G191" s="53">
        <v>1315107</v>
      </c>
      <c r="H191" s="53"/>
      <c r="I191" s="53"/>
      <c r="J191" s="52"/>
      <c r="K191" s="52"/>
      <c r="L191" s="52"/>
      <c r="M191" s="52"/>
      <c r="N191" s="52"/>
      <c r="O191" s="52"/>
      <c r="P191" s="52"/>
      <c r="Q191" s="52"/>
      <c r="R191" s="52"/>
      <c r="S191" s="52"/>
      <c r="T191" s="52"/>
      <c r="U191" s="52"/>
      <c r="V191" s="52"/>
      <c r="W191" s="52"/>
      <c r="X191" s="52"/>
      <c r="Y191" s="52"/>
      <c r="Z191" s="52"/>
      <c r="AA191" s="52"/>
      <c r="AB191" s="52"/>
    </row>
    <row r="192" spans="1:28" ht="14.25" x14ac:dyDescent="0.2">
      <c r="A192" s="54" t="s">
        <v>15</v>
      </c>
      <c r="B192" s="55" t="s">
        <v>24</v>
      </c>
      <c r="C192" s="55"/>
      <c r="D192" s="52"/>
      <c r="E192" s="55" t="s">
        <v>22</v>
      </c>
      <c r="F192" s="52"/>
      <c r="G192" s="56">
        <v>1315109</v>
      </c>
      <c r="H192" s="56"/>
      <c r="I192" s="56"/>
      <c r="J192" s="52"/>
      <c r="K192" s="52"/>
      <c r="L192" s="52"/>
      <c r="M192" s="52"/>
      <c r="N192" s="52"/>
      <c r="O192" s="52"/>
      <c r="P192" s="52"/>
      <c r="Q192" s="52"/>
      <c r="R192" s="52"/>
      <c r="S192" s="52"/>
      <c r="T192" s="52"/>
      <c r="U192" s="52"/>
      <c r="V192" s="52"/>
      <c r="W192" s="52"/>
      <c r="X192" s="52"/>
      <c r="Y192" s="52"/>
      <c r="Z192" s="52"/>
      <c r="AA192" s="52"/>
      <c r="AB192" s="52"/>
    </row>
    <row r="193" spans="1:28" ht="14.25" x14ac:dyDescent="0.2">
      <c r="A193" s="50" t="s">
        <v>15</v>
      </c>
      <c r="B193" s="51" t="s">
        <v>24</v>
      </c>
      <c r="C193" s="51"/>
      <c r="D193" s="52"/>
      <c r="E193" s="51" t="s">
        <v>25</v>
      </c>
      <c r="F193" s="52"/>
      <c r="G193" s="53">
        <v>1315110</v>
      </c>
      <c r="H193" s="53"/>
      <c r="I193" s="53"/>
      <c r="J193" s="52"/>
      <c r="K193" s="52"/>
      <c r="L193" s="52"/>
      <c r="M193" s="52"/>
      <c r="N193" s="52"/>
      <c r="O193" s="52"/>
      <c r="P193" s="52"/>
      <c r="Q193" s="52"/>
      <c r="R193" s="52"/>
      <c r="S193" s="52"/>
      <c r="T193" s="52"/>
      <c r="U193" s="52"/>
      <c r="V193" s="52"/>
      <c r="W193" s="52"/>
      <c r="X193" s="52"/>
      <c r="Y193" s="52"/>
      <c r="Z193" s="52"/>
      <c r="AA193" s="52"/>
      <c r="AB193" s="52"/>
    </row>
    <row r="194" spans="1:28" ht="14.25" x14ac:dyDescent="0.2">
      <c r="A194" s="54" t="s">
        <v>15</v>
      </c>
      <c r="B194" s="55" t="s">
        <v>5697</v>
      </c>
      <c r="C194" s="55"/>
      <c r="D194" s="52"/>
      <c r="E194" s="55">
        <v>12</v>
      </c>
      <c r="F194" s="52"/>
      <c r="G194" s="56">
        <v>11100304</v>
      </c>
      <c r="H194" s="56"/>
      <c r="I194" s="56"/>
      <c r="J194" s="52"/>
      <c r="K194" s="52"/>
      <c r="L194" s="52"/>
      <c r="M194" s="52"/>
      <c r="N194" s="52"/>
      <c r="O194" s="52"/>
      <c r="P194" s="52"/>
      <c r="Q194" s="52"/>
      <c r="R194" s="52"/>
      <c r="S194" s="52"/>
      <c r="T194" s="52"/>
      <c r="U194" s="52"/>
      <c r="V194" s="52"/>
      <c r="W194" s="52"/>
      <c r="X194" s="52"/>
      <c r="Y194" s="52"/>
      <c r="Z194" s="52"/>
      <c r="AA194" s="52"/>
      <c r="AB194" s="52"/>
    </row>
    <row r="195" spans="1:28" ht="14.25" x14ac:dyDescent="0.2">
      <c r="A195" s="50" t="s">
        <v>15</v>
      </c>
      <c r="B195" s="51" t="s">
        <v>5697</v>
      </c>
      <c r="C195" s="51"/>
      <c r="D195" s="52"/>
      <c r="E195" s="51">
        <v>16</v>
      </c>
      <c r="F195" s="52"/>
      <c r="G195" s="53">
        <v>11100305</v>
      </c>
      <c r="H195" s="53"/>
      <c r="I195" s="53"/>
      <c r="J195" s="52"/>
      <c r="K195" s="52"/>
      <c r="L195" s="52"/>
      <c r="M195" s="52"/>
      <c r="N195" s="52"/>
      <c r="O195" s="52"/>
      <c r="P195" s="52"/>
      <c r="Q195" s="52"/>
      <c r="R195" s="52"/>
      <c r="S195" s="52"/>
      <c r="T195" s="52"/>
      <c r="U195" s="52"/>
      <c r="V195" s="52"/>
      <c r="W195" s="52"/>
      <c r="X195" s="52"/>
      <c r="Y195" s="52"/>
      <c r="Z195" s="52"/>
      <c r="AA195" s="52"/>
      <c r="AB195" s="52"/>
    </row>
    <row r="196" spans="1:28" ht="14.25" x14ac:dyDescent="0.2">
      <c r="A196" s="54" t="s">
        <v>15</v>
      </c>
      <c r="B196" s="55" t="s">
        <v>5697</v>
      </c>
      <c r="C196" s="55"/>
      <c r="D196" s="52"/>
      <c r="E196" s="55">
        <v>20</v>
      </c>
      <c r="F196" s="52"/>
      <c r="G196" s="56">
        <v>11100306</v>
      </c>
      <c r="H196" s="56"/>
      <c r="I196" s="56"/>
      <c r="J196" s="52"/>
      <c r="K196" s="52"/>
      <c r="L196" s="52"/>
      <c r="M196" s="52"/>
      <c r="N196" s="52"/>
      <c r="O196" s="52"/>
      <c r="P196" s="52"/>
      <c r="Q196" s="52"/>
      <c r="R196" s="52"/>
      <c r="S196" s="52"/>
      <c r="T196" s="52"/>
      <c r="U196" s="52"/>
      <c r="V196" s="52"/>
      <c r="W196" s="52"/>
      <c r="X196" s="52"/>
      <c r="Y196" s="52"/>
      <c r="Z196" s="52"/>
      <c r="AA196" s="52"/>
      <c r="AB196" s="52"/>
    </row>
    <row r="197" spans="1:28" ht="14.25" x14ac:dyDescent="0.2">
      <c r="A197" s="50" t="s">
        <v>15</v>
      </c>
      <c r="B197" s="51" t="s">
        <v>5697</v>
      </c>
      <c r="C197" s="51"/>
      <c r="D197" s="52"/>
      <c r="E197" s="51">
        <v>25</v>
      </c>
      <c r="F197" s="52"/>
      <c r="G197" s="53">
        <v>11100307</v>
      </c>
      <c r="H197" s="53"/>
      <c r="I197" s="53"/>
      <c r="J197" s="52"/>
      <c r="K197" s="52"/>
      <c r="L197" s="52"/>
      <c r="M197" s="52"/>
      <c r="N197" s="52"/>
      <c r="O197" s="52"/>
      <c r="P197" s="52"/>
      <c r="Q197" s="52"/>
      <c r="R197" s="52"/>
      <c r="S197" s="52"/>
      <c r="T197" s="52"/>
      <c r="U197" s="52"/>
      <c r="V197" s="52"/>
      <c r="W197" s="52"/>
      <c r="X197" s="52"/>
      <c r="Y197" s="52"/>
      <c r="Z197" s="52"/>
      <c r="AA197" s="52"/>
      <c r="AB197" s="52"/>
    </row>
    <row r="198" spans="1:28" ht="14.25" x14ac:dyDescent="0.2">
      <c r="A198" s="54" t="s">
        <v>15</v>
      </c>
      <c r="B198" s="55" t="s">
        <v>5697</v>
      </c>
      <c r="C198" s="55"/>
      <c r="D198" s="52"/>
      <c r="E198" s="55">
        <v>32</v>
      </c>
      <c r="F198" s="52"/>
      <c r="G198" s="56">
        <v>11100308</v>
      </c>
      <c r="H198" s="56"/>
      <c r="I198" s="56"/>
      <c r="J198" s="52"/>
      <c r="K198" s="52"/>
      <c r="L198" s="52"/>
      <c r="M198" s="52"/>
      <c r="N198" s="52"/>
      <c r="O198" s="52"/>
      <c r="P198" s="52"/>
      <c r="Q198" s="52"/>
      <c r="R198" s="52"/>
      <c r="S198" s="52"/>
      <c r="T198" s="52"/>
      <c r="U198" s="52"/>
      <c r="V198" s="52"/>
      <c r="W198" s="52"/>
      <c r="X198" s="52"/>
      <c r="Y198" s="52"/>
      <c r="Z198" s="52"/>
      <c r="AA198" s="52"/>
      <c r="AB198" s="52"/>
    </row>
    <row r="199" spans="1:28" ht="14.25" x14ac:dyDescent="0.2">
      <c r="A199" s="50" t="s">
        <v>15</v>
      </c>
      <c r="B199" s="51" t="s">
        <v>5697</v>
      </c>
      <c r="C199" s="51"/>
      <c r="D199" s="52"/>
      <c r="E199" s="51">
        <v>40</v>
      </c>
      <c r="F199" s="52"/>
      <c r="G199" s="53">
        <v>11100309</v>
      </c>
      <c r="H199" s="53"/>
      <c r="I199" s="53"/>
      <c r="J199" s="52"/>
      <c r="K199" s="52"/>
      <c r="L199" s="52"/>
      <c r="M199" s="52"/>
      <c r="N199" s="52"/>
      <c r="O199" s="52"/>
      <c r="P199" s="52"/>
      <c r="Q199" s="52"/>
      <c r="R199" s="52"/>
      <c r="S199" s="52"/>
      <c r="T199" s="52"/>
      <c r="U199" s="52"/>
      <c r="V199" s="52"/>
      <c r="W199" s="52"/>
      <c r="X199" s="52"/>
      <c r="Y199" s="52"/>
      <c r="Z199" s="52"/>
      <c r="AA199" s="52"/>
      <c r="AB199" s="52"/>
    </row>
    <row r="200" spans="1:28" ht="14.25" x14ac:dyDescent="0.2">
      <c r="A200" s="54" t="s">
        <v>15</v>
      </c>
      <c r="B200" s="55" t="s">
        <v>5697</v>
      </c>
      <c r="C200" s="55"/>
      <c r="D200" s="52"/>
      <c r="E200" s="55">
        <v>50</v>
      </c>
      <c r="F200" s="52"/>
      <c r="G200" s="56">
        <v>11100310</v>
      </c>
      <c r="H200" s="56"/>
      <c r="I200" s="56"/>
      <c r="J200" s="52"/>
      <c r="K200" s="52"/>
      <c r="L200" s="52"/>
      <c r="M200" s="52"/>
      <c r="N200" s="52"/>
      <c r="O200" s="52"/>
      <c r="P200" s="52"/>
      <c r="Q200" s="52"/>
      <c r="R200" s="52"/>
      <c r="S200" s="52"/>
      <c r="T200" s="52"/>
      <c r="U200" s="52"/>
      <c r="V200" s="52"/>
      <c r="W200" s="52"/>
      <c r="X200" s="52"/>
      <c r="Y200" s="52"/>
      <c r="Z200" s="52"/>
      <c r="AA200" s="52"/>
      <c r="AB200" s="52"/>
    </row>
    <row r="201" spans="1:28" ht="14.25" x14ac:dyDescent="0.2">
      <c r="A201" s="50" t="s">
        <v>15</v>
      </c>
      <c r="B201" s="51" t="s">
        <v>5697</v>
      </c>
      <c r="C201" s="51"/>
      <c r="D201" s="52"/>
      <c r="E201" s="51">
        <v>63</v>
      </c>
      <c r="F201" s="52"/>
      <c r="G201" s="53">
        <v>11100311</v>
      </c>
      <c r="H201" s="53"/>
      <c r="I201" s="53"/>
      <c r="J201" s="52"/>
      <c r="K201" s="52"/>
      <c r="L201" s="52"/>
      <c r="M201" s="52"/>
      <c r="N201" s="52"/>
      <c r="O201" s="52"/>
      <c r="P201" s="52"/>
      <c r="Q201" s="52"/>
      <c r="R201" s="52"/>
      <c r="S201" s="52"/>
      <c r="T201" s="52"/>
      <c r="U201" s="52"/>
      <c r="V201" s="52"/>
      <c r="W201" s="52"/>
      <c r="X201" s="52"/>
      <c r="Y201" s="52"/>
      <c r="Z201" s="52"/>
      <c r="AA201" s="52"/>
      <c r="AB201" s="52"/>
    </row>
    <row r="202" spans="1:28" ht="14.25" x14ac:dyDescent="0.2">
      <c r="A202" s="54" t="s">
        <v>15</v>
      </c>
      <c r="B202" s="55" t="s">
        <v>5697</v>
      </c>
      <c r="C202" s="55"/>
      <c r="D202" s="52"/>
      <c r="E202" s="55">
        <v>75</v>
      </c>
      <c r="F202" s="52"/>
      <c r="G202" s="56">
        <v>11100312</v>
      </c>
      <c r="H202" s="56"/>
      <c r="I202" s="56"/>
      <c r="J202" s="52"/>
      <c r="K202" s="52"/>
      <c r="L202" s="52"/>
      <c r="M202" s="52"/>
      <c r="N202" s="52"/>
      <c r="O202" s="52"/>
      <c r="P202" s="52"/>
      <c r="Q202" s="52"/>
      <c r="R202" s="52"/>
      <c r="S202" s="52"/>
      <c r="T202" s="52"/>
      <c r="U202" s="52"/>
      <c r="V202" s="52"/>
      <c r="W202" s="52"/>
      <c r="X202" s="52"/>
      <c r="Y202" s="52"/>
      <c r="Z202" s="52"/>
      <c r="AA202" s="52"/>
      <c r="AB202" s="52"/>
    </row>
    <row r="203" spans="1:28" ht="14.25" x14ac:dyDescent="0.2">
      <c r="A203" s="50" t="s">
        <v>15</v>
      </c>
      <c r="B203" s="51" t="s">
        <v>5697</v>
      </c>
      <c r="C203" s="51"/>
      <c r="D203" s="52"/>
      <c r="E203" s="51">
        <v>90</v>
      </c>
      <c r="F203" s="52"/>
      <c r="G203" s="53">
        <v>11100313</v>
      </c>
      <c r="H203" s="53"/>
      <c r="I203" s="53"/>
      <c r="J203" s="52"/>
      <c r="K203" s="52"/>
      <c r="L203" s="52"/>
      <c r="M203" s="52"/>
      <c r="N203" s="52"/>
      <c r="O203" s="52"/>
      <c r="P203" s="52"/>
      <c r="Q203" s="52"/>
      <c r="R203" s="52"/>
      <c r="S203" s="52"/>
      <c r="T203" s="52"/>
      <c r="U203" s="52"/>
      <c r="V203" s="52"/>
      <c r="W203" s="52"/>
      <c r="X203" s="52"/>
      <c r="Y203" s="52"/>
      <c r="Z203" s="52"/>
      <c r="AA203" s="52"/>
      <c r="AB203" s="52"/>
    </row>
    <row r="204" spans="1:28" ht="14.25" x14ac:dyDescent="0.2">
      <c r="A204" s="54" t="s">
        <v>15</v>
      </c>
      <c r="B204" s="55" t="s">
        <v>5697</v>
      </c>
      <c r="C204" s="55"/>
      <c r="D204" s="52"/>
      <c r="E204" s="55">
        <v>110</v>
      </c>
      <c r="F204" s="52"/>
      <c r="G204" s="56">
        <v>11100314</v>
      </c>
      <c r="H204" s="56"/>
      <c r="I204" s="56"/>
      <c r="J204" s="52"/>
      <c r="K204" s="52"/>
      <c r="L204" s="52"/>
      <c r="M204" s="52"/>
      <c r="N204" s="52"/>
      <c r="O204" s="52"/>
      <c r="P204" s="52"/>
      <c r="Q204" s="52"/>
      <c r="R204" s="52"/>
      <c r="S204" s="52"/>
      <c r="T204" s="52"/>
      <c r="U204" s="52"/>
      <c r="V204" s="52"/>
      <c r="W204" s="52"/>
      <c r="X204" s="52"/>
      <c r="Y204" s="52"/>
      <c r="Z204" s="52"/>
      <c r="AA204" s="52"/>
      <c r="AB204" s="52"/>
    </row>
    <row r="205" spans="1:28" ht="14.25" x14ac:dyDescent="0.2">
      <c r="A205" s="50" t="s">
        <v>15</v>
      </c>
      <c r="B205" s="51" t="s">
        <v>5697</v>
      </c>
      <c r="C205" s="51"/>
      <c r="D205" s="52"/>
      <c r="E205" s="51">
        <v>125</v>
      </c>
      <c r="F205" s="52"/>
      <c r="G205" s="53">
        <v>11100315</v>
      </c>
      <c r="H205" s="53"/>
      <c r="I205" s="53"/>
      <c r="J205" s="52"/>
      <c r="K205" s="52"/>
      <c r="L205" s="52"/>
      <c r="M205" s="52"/>
      <c r="N205" s="52"/>
      <c r="O205" s="52"/>
      <c r="P205" s="52"/>
      <c r="Q205" s="52"/>
      <c r="R205" s="52"/>
      <c r="S205" s="52"/>
      <c r="T205" s="52"/>
      <c r="U205" s="52"/>
      <c r="V205" s="52"/>
      <c r="W205" s="52"/>
      <c r="X205" s="52"/>
      <c r="Y205" s="52"/>
      <c r="Z205" s="52"/>
      <c r="AA205" s="52"/>
      <c r="AB205" s="52"/>
    </row>
    <row r="206" spans="1:28" ht="14.25" x14ac:dyDescent="0.2">
      <c r="A206" s="54" t="s">
        <v>15</v>
      </c>
      <c r="B206" s="55" t="s">
        <v>5697</v>
      </c>
      <c r="C206" s="55"/>
      <c r="D206" s="52"/>
      <c r="E206" s="55">
        <v>140</v>
      </c>
      <c r="F206" s="52"/>
      <c r="G206" s="56">
        <v>11100316</v>
      </c>
      <c r="H206" s="56"/>
      <c r="I206" s="56"/>
      <c r="J206" s="52"/>
      <c r="K206" s="52"/>
      <c r="L206" s="52"/>
      <c r="M206" s="52"/>
      <c r="N206" s="52"/>
      <c r="O206" s="52"/>
      <c r="P206" s="52"/>
      <c r="Q206" s="52"/>
      <c r="R206" s="52"/>
      <c r="S206" s="52"/>
      <c r="T206" s="52"/>
      <c r="U206" s="52"/>
      <c r="V206" s="52"/>
      <c r="W206" s="52"/>
      <c r="X206" s="52"/>
      <c r="Y206" s="52"/>
      <c r="Z206" s="52"/>
      <c r="AA206" s="52"/>
      <c r="AB206" s="52"/>
    </row>
    <row r="207" spans="1:28" ht="14.25" x14ac:dyDescent="0.2">
      <c r="A207" s="50" t="s">
        <v>15</v>
      </c>
      <c r="B207" s="51" t="s">
        <v>5697</v>
      </c>
      <c r="C207" s="51"/>
      <c r="D207" s="52"/>
      <c r="E207" s="51">
        <v>160</v>
      </c>
      <c r="F207" s="52"/>
      <c r="G207" s="53">
        <v>11100317</v>
      </c>
      <c r="H207" s="53"/>
      <c r="I207" s="53"/>
      <c r="J207" s="52"/>
      <c r="K207" s="52"/>
      <c r="L207" s="52"/>
      <c r="M207" s="52"/>
      <c r="N207" s="52"/>
      <c r="O207" s="52"/>
      <c r="P207" s="52"/>
      <c r="Q207" s="52"/>
      <c r="R207" s="52"/>
      <c r="S207" s="52"/>
      <c r="T207" s="52"/>
      <c r="U207" s="52"/>
      <c r="V207" s="52"/>
      <c r="W207" s="52"/>
      <c r="X207" s="52"/>
      <c r="Y207" s="52"/>
      <c r="Z207" s="52"/>
      <c r="AA207" s="52"/>
      <c r="AB207" s="52"/>
    </row>
    <row r="208" spans="1:28" ht="14.25" x14ac:dyDescent="0.2">
      <c r="A208" s="54" t="s">
        <v>15</v>
      </c>
      <c r="B208" s="55" t="s">
        <v>5697</v>
      </c>
      <c r="C208" s="55"/>
      <c r="D208" s="52"/>
      <c r="E208" s="55">
        <v>200</v>
      </c>
      <c r="F208" s="52"/>
      <c r="G208" s="56">
        <v>11100318</v>
      </c>
      <c r="H208" s="56"/>
      <c r="I208" s="56"/>
      <c r="J208" s="52"/>
      <c r="K208" s="52"/>
      <c r="L208" s="52"/>
      <c r="M208" s="52"/>
      <c r="N208" s="52"/>
      <c r="O208" s="52"/>
      <c r="P208" s="52"/>
      <c r="Q208" s="52"/>
      <c r="R208" s="52"/>
      <c r="S208" s="52"/>
      <c r="T208" s="52"/>
      <c r="U208" s="52"/>
      <c r="V208" s="52"/>
      <c r="W208" s="52"/>
      <c r="X208" s="52"/>
      <c r="Y208" s="52"/>
      <c r="Z208" s="52"/>
      <c r="AA208" s="52"/>
      <c r="AB208" s="52"/>
    </row>
    <row r="209" spans="1:28" ht="14.25" x14ac:dyDescent="0.2">
      <c r="A209" s="50" t="s">
        <v>15</v>
      </c>
      <c r="B209" s="51" t="s">
        <v>5697</v>
      </c>
      <c r="C209" s="51"/>
      <c r="D209" s="52"/>
      <c r="E209" s="51">
        <v>225</v>
      </c>
      <c r="F209" s="52"/>
      <c r="G209" s="53">
        <v>11100319</v>
      </c>
      <c r="H209" s="53"/>
      <c r="I209" s="53"/>
      <c r="J209" s="52"/>
      <c r="K209" s="52"/>
      <c r="L209" s="52"/>
      <c r="M209" s="52"/>
      <c r="N209" s="52"/>
      <c r="O209" s="52"/>
      <c r="P209" s="52"/>
      <c r="Q209" s="52"/>
      <c r="R209" s="52"/>
      <c r="S209" s="52"/>
      <c r="T209" s="52"/>
      <c r="U209" s="52"/>
      <c r="V209" s="52"/>
      <c r="W209" s="52"/>
      <c r="X209" s="52"/>
      <c r="Y209" s="52"/>
      <c r="Z209" s="52"/>
      <c r="AA209" s="52"/>
      <c r="AB209" s="52"/>
    </row>
    <row r="210" spans="1:28" ht="14.25" x14ac:dyDescent="0.2">
      <c r="A210" s="54" t="s">
        <v>15</v>
      </c>
      <c r="B210" s="55" t="s">
        <v>5698</v>
      </c>
      <c r="C210" s="55"/>
      <c r="D210" s="52"/>
      <c r="E210" s="55" t="s">
        <v>17</v>
      </c>
      <c r="F210" s="52"/>
      <c r="G210" s="56">
        <v>1102102</v>
      </c>
      <c r="H210" s="56"/>
      <c r="I210" s="56"/>
      <c r="J210" s="52"/>
      <c r="K210" s="52"/>
      <c r="L210" s="52"/>
      <c r="M210" s="52"/>
      <c r="N210" s="52"/>
      <c r="O210" s="52"/>
      <c r="P210" s="52"/>
      <c r="Q210" s="52"/>
      <c r="R210" s="52"/>
      <c r="S210" s="52"/>
      <c r="T210" s="52"/>
      <c r="U210" s="52"/>
      <c r="V210" s="52"/>
      <c r="W210" s="52"/>
      <c r="X210" s="52"/>
      <c r="Y210" s="52"/>
      <c r="Z210" s="52"/>
      <c r="AA210" s="52"/>
      <c r="AB210" s="52"/>
    </row>
    <row r="211" spans="1:28" ht="14.25" x14ac:dyDescent="0.2">
      <c r="A211" s="50" t="s">
        <v>15</v>
      </c>
      <c r="B211" s="51" t="s">
        <v>5698</v>
      </c>
      <c r="C211" s="51"/>
      <c r="D211" s="52"/>
      <c r="E211" s="51" t="s">
        <v>18</v>
      </c>
      <c r="F211" s="52"/>
      <c r="G211" s="53">
        <v>1102103</v>
      </c>
      <c r="H211" s="53"/>
      <c r="I211" s="53"/>
      <c r="J211" s="52"/>
      <c r="K211" s="52"/>
      <c r="L211" s="52"/>
      <c r="M211" s="52"/>
      <c r="N211" s="52"/>
      <c r="O211" s="52"/>
      <c r="P211" s="52"/>
      <c r="Q211" s="52"/>
      <c r="R211" s="52"/>
      <c r="S211" s="52"/>
      <c r="T211" s="52"/>
      <c r="U211" s="52"/>
      <c r="V211" s="52"/>
      <c r="W211" s="52"/>
      <c r="X211" s="52"/>
      <c r="Y211" s="52"/>
      <c r="Z211" s="52"/>
      <c r="AA211" s="52"/>
      <c r="AB211" s="52"/>
    </row>
    <row r="212" spans="1:28" ht="14.25" x14ac:dyDescent="0.2">
      <c r="A212" s="54" t="s">
        <v>15</v>
      </c>
      <c r="B212" s="55" t="s">
        <v>5698</v>
      </c>
      <c r="C212" s="55"/>
      <c r="D212" s="52"/>
      <c r="E212" s="55" t="s">
        <v>26</v>
      </c>
      <c r="F212" s="52"/>
      <c r="G212" s="56">
        <v>1102104</v>
      </c>
      <c r="H212" s="56"/>
      <c r="I212" s="56"/>
      <c r="J212" s="52"/>
      <c r="K212" s="52"/>
      <c r="L212" s="52"/>
      <c r="M212" s="52"/>
      <c r="N212" s="52"/>
      <c r="O212" s="52"/>
      <c r="P212" s="52"/>
      <c r="Q212" s="52"/>
      <c r="R212" s="52"/>
      <c r="S212" s="52"/>
      <c r="T212" s="52"/>
      <c r="U212" s="52"/>
      <c r="V212" s="52"/>
      <c r="W212" s="52"/>
      <c r="X212" s="52"/>
      <c r="Y212" s="52"/>
      <c r="Z212" s="52"/>
      <c r="AA212" s="52"/>
      <c r="AB212" s="52"/>
    </row>
    <row r="213" spans="1:28" ht="14.25" x14ac:dyDescent="0.2">
      <c r="A213" s="50" t="s">
        <v>15</v>
      </c>
      <c r="B213" s="51" t="s">
        <v>5698</v>
      </c>
      <c r="C213" s="51"/>
      <c r="D213" s="52"/>
      <c r="E213" s="51" t="s">
        <v>20</v>
      </c>
      <c r="F213" s="52"/>
      <c r="G213" s="53">
        <v>1102105</v>
      </c>
      <c r="H213" s="53"/>
      <c r="I213" s="53"/>
      <c r="J213" s="52"/>
      <c r="K213" s="52"/>
      <c r="L213" s="52"/>
      <c r="M213" s="52"/>
      <c r="N213" s="52"/>
      <c r="O213" s="52"/>
      <c r="P213" s="52"/>
      <c r="Q213" s="52"/>
      <c r="R213" s="52"/>
      <c r="S213" s="52"/>
      <c r="T213" s="52"/>
      <c r="U213" s="52"/>
      <c r="V213" s="52"/>
      <c r="W213" s="52"/>
      <c r="X213" s="52"/>
      <c r="Y213" s="52"/>
      <c r="Z213" s="52"/>
      <c r="AA213" s="52"/>
      <c r="AB213" s="52"/>
    </row>
    <row r="214" spans="1:28" ht="14.25" x14ac:dyDescent="0.2">
      <c r="A214" s="54" t="s">
        <v>15</v>
      </c>
      <c r="B214" s="55" t="s">
        <v>5698</v>
      </c>
      <c r="C214" s="55"/>
      <c r="D214" s="52"/>
      <c r="E214" s="55" t="s">
        <v>21</v>
      </c>
      <c r="F214" s="52"/>
      <c r="G214" s="56">
        <v>1102106</v>
      </c>
      <c r="H214" s="56"/>
      <c r="I214" s="56"/>
      <c r="J214" s="52"/>
      <c r="K214" s="52"/>
      <c r="L214" s="52"/>
      <c r="M214" s="52"/>
      <c r="N214" s="52"/>
      <c r="O214" s="52"/>
      <c r="P214" s="52"/>
      <c r="Q214" s="52"/>
      <c r="R214" s="52"/>
      <c r="S214" s="52"/>
      <c r="T214" s="52"/>
      <c r="U214" s="52"/>
      <c r="V214" s="52"/>
      <c r="W214" s="52"/>
      <c r="X214" s="52"/>
      <c r="Y214" s="52"/>
      <c r="Z214" s="52"/>
      <c r="AA214" s="52"/>
      <c r="AB214" s="52"/>
    </row>
    <row r="215" spans="1:28" ht="14.25" x14ac:dyDescent="0.2">
      <c r="A215" s="50" t="s">
        <v>15</v>
      </c>
      <c r="B215" s="51" t="s">
        <v>5698</v>
      </c>
      <c r="C215" s="51"/>
      <c r="D215" s="52"/>
      <c r="E215" s="51" t="s">
        <v>0</v>
      </c>
      <c r="F215" s="52"/>
      <c r="G215" s="53">
        <v>1102107</v>
      </c>
      <c r="H215" s="53"/>
      <c r="I215" s="53"/>
      <c r="J215" s="52"/>
      <c r="K215" s="52"/>
      <c r="L215" s="52"/>
      <c r="M215" s="52"/>
      <c r="N215" s="52"/>
      <c r="O215" s="52"/>
      <c r="P215" s="52"/>
      <c r="Q215" s="52"/>
      <c r="R215" s="52"/>
      <c r="S215" s="52"/>
      <c r="T215" s="52"/>
      <c r="U215" s="52"/>
      <c r="V215" s="52"/>
      <c r="W215" s="52"/>
      <c r="X215" s="52"/>
      <c r="Y215" s="52"/>
      <c r="Z215" s="52"/>
      <c r="AA215" s="52"/>
      <c r="AB215" s="52"/>
    </row>
    <row r="216" spans="1:28" ht="14.25" x14ac:dyDescent="0.2">
      <c r="A216" s="54" t="s">
        <v>15</v>
      </c>
      <c r="B216" s="55" t="s">
        <v>5698</v>
      </c>
      <c r="C216" s="55"/>
      <c r="D216" s="52"/>
      <c r="E216" s="55" t="s">
        <v>22</v>
      </c>
      <c r="F216" s="52"/>
      <c r="G216" s="56">
        <v>1102109</v>
      </c>
      <c r="H216" s="56"/>
      <c r="I216" s="56"/>
      <c r="J216" s="52"/>
      <c r="K216" s="52"/>
      <c r="L216" s="52"/>
      <c r="M216" s="52"/>
      <c r="N216" s="52"/>
      <c r="O216" s="52"/>
      <c r="P216" s="52"/>
      <c r="Q216" s="52"/>
      <c r="R216" s="52"/>
      <c r="S216" s="52"/>
      <c r="T216" s="52"/>
      <c r="U216" s="52"/>
      <c r="V216" s="52"/>
      <c r="W216" s="52"/>
      <c r="X216" s="52"/>
      <c r="Y216" s="52"/>
      <c r="Z216" s="52"/>
      <c r="AA216" s="52"/>
      <c r="AB216" s="52"/>
    </row>
    <row r="217" spans="1:28" ht="14.25" x14ac:dyDescent="0.2">
      <c r="A217" s="50" t="s">
        <v>15</v>
      </c>
      <c r="B217" s="51" t="s">
        <v>5699</v>
      </c>
      <c r="C217" s="51"/>
      <c r="D217" s="52"/>
      <c r="E217" s="51" t="s">
        <v>5700</v>
      </c>
      <c r="F217" s="52"/>
      <c r="G217" s="53">
        <v>11114410</v>
      </c>
      <c r="H217" s="53"/>
      <c r="I217" s="53"/>
      <c r="J217" s="52"/>
      <c r="K217" s="52"/>
      <c r="L217" s="52"/>
      <c r="M217" s="52"/>
      <c r="N217" s="52"/>
      <c r="O217" s="52"/>
      <c r="P217" s="52"/>
      <c r="Q217" s="52"/>
      <c r="R217" s="52"/>
      <c r="S217" s="52"/>
      <c r="T217" s="52"/>
      <c r="U217" s="52"/>
      <c r="V217" s="52"/>
      <c r="W217" s="52"/>
      <c r="X217" s="52"/>
      <c r="Y217" s="52"/>
      <c r="Z217" s="52"/>
      <c r="AA217" s="52"/>
      <c r="AB217" s="52"/>
    </row>
    <row r="218" spans="1:28" ht="14.25" x14ac:dyDescent="0.2">
      <c r="A218" s="54" t="s">
        <v>15</v>
      </c>
      <c r="B218" s="55" t="s">
        <v>5699</v>
      </c>
      <c r="C218" s="55"/>
      <c r="D218" s="52"/>
      <c r="E218" s="55" t="s">
        <v>5701</v>
      </c>
      <c r="F218" s="52"/>
      <c r="G218" s="56">
        <v>11114412</v>
      </c>
      <c r="H218" s="56"/>
      <c r="I218" s="56"/>
      <c r="J218" s="52"/>
      <c r="K218" s="52"/>
      <c r="L218" s="52"/>
      <c r="M218" s="52"/>
      <c r="N218" s="52"/>
      <c r="O218" s="52"/>
      <c r="P218" s="52"/>
      <c r="Q218" s="52"/>
      <c r="R218" s="52"/>
      <c r="S218" s="52"/>
      <c r="T218" s="52"/>
      <c r="U218" s="52"/>
      <c r="V218" s="52"/>
      <c r="W218" s="52"/>
      <c r="X218" s="52"/>
      <c r="Y218" s="52"/>
      <c r="Z218" s="52"/>
      <c r="AA218" s="52"/>
      <c r="AB218" s="52"/>
    </row>
    <row r="219" spans="1:28" ht="14.25" x14ac:dyDescent="0.2">
      <c r="A219" s="50" t="s">
        <v>15</v>
      </c>
      <c r="B219" s="51" t="s">
        <v>5699</v>
      </c>
      <c r="C219" s="51"/>
      <c r="D219" s="52"/>
      <c r="E219" s="51" t="s">
        <v>5702</v>
      </c>
      <c r="F219" s="52"/>
      <c r="G219" s="53">
        <v>11114415</v>
      </c>
      <c r="H219" s="53"/>
      <c r="I219" s="53"/>
      <c r="J219" s="52"/>
      <c r="K219" s="52"/>
      <c r="L219" s="52"/>
      <c r="M219" s="52"/>
      <c r="N219" s="52"/>
      <c r="O219" s="52"/>
      <c r="P219" s="52"/>
      <c r="Q219" s="52"/>
      <c r="R219" s="52"/>
      <c r="S219" s="52"/>
      <c r="T219" s="52"/>
      <c r="U219" s="52"/>
      <c r="V219" s="52"/>
      <c r="W219" s="52"/>
      <c r="X219" s="52"/>
      <c r="Y219" s="52"/>
      <c r="Z219" s="52"/>
      <c r="AA219" s="52"/>
      <c r="AB219" s="52"/>
    </row>
    <row r="220" spans="1:28" ht="14.25" x14ac:dyDescent="0.2">
      <c r="A220" s="54" t="s">
        <v>15</v>
      </c>
      <c r="B220" s="55" t="s">
        <v>5699</v>
      </c>
      <c r="C220" s="55"/>
      <c r="D220" s="52"/>
      <c r="E220" s="55" t="s">
        <v>5703</v>
      </c>
      <c r="F220" s="52"/>
      <c r="G220" s="56">
        <v>11114419</v>
      </c>
      <c r="H220" s="56"/>
      <c r="I220" s="56"/>
      <c r="J220" s="52"/>
      <c r="K220" s="52"/>
      <c r="L220" s="52"/>
      <c r="M220" s="52"/>
      <c r="N220" s="52"/>
      <c r="O220" s="52"/>
      <c r="P220" s="52"/>
      <c r="Q220" s="52"/>
      <c r="R220" s="52"/>
      <c r="S220" s="52"/>
      <c r="T220" s="52"/>
      <c r="U220" s="52"/>
      <c r="V220" s="52"/>
      <c r="W220" s="52"/>
      <c r="X220" s="52"/>
      <c r="Y220" s="52"/>
      <c r="Z220" s="52"/>
      <c r="AA220" s="52"/>
      <c r="AB220" s="52"/>
    </row>
    <row r="221" spans="1:28" ht="14.25" x14ac:dyDescent="0.2">
      <c r="A221" s="50" t="s">
        <v>15</v>
      </c>
      <c r="B221" s="51" t="s">
        <v>5699</v>
      </c>
      <c r="C221" s="51"/>
      <c r="D221" s="52"/>
      <c r="E221" s="51" t="s">
        <v>5704</v>
      </c>
      <c r="F221" s="52"/>
      <c r="G221" s="53">
        <v>11114423</v>
      </c>
      <c r="H221" s="53"/>
      <c r="I221" s="53"/>
      <c r="J221" s="52"/>
      <c r="K221" s="52"/>
      <c r="L221" s="52"/>
      <c r="M221" s="52"/>
      <c r="N221" s="52"/>
      <c r="O221" s="52"/>
      <c r="P221" s="52"/>
      <c r="Q221" s="52"/>
      <c r="R221" s="52"/>
      <c r="S221" s="52"/>
      <c r="T221" s="52"/>
      <c r="U221" s="52"/>
      <c r="V221" s="52"/>
      <c r="W221" s="52"/>
      <c r="X221" s="52"/>
      <c r="Y221" s="52"/>
      <c r="Z221" s="52"/>
      <c r="AA221" s="52"/>
      <c r="AB221" s="52"/>
    </row>
    <row r="222" spans="1:28" ht="14.25" x14ac:dyDescent="0.2">
      <c r="A222" s="54" t="s">
        <v>15</v>
      </c>
      <c r="B222" s="55" t="s">
        <v>5699</v>
      </c>
      <c r="C222" s="55"/>
      <c r="D222" s="52"/>
      <c r="E222" s="55" t="s">
        <v>5705</v>
      </c>
      <c r="F222" s="52"/>
      <c r="G222" s="56">
        <v>11114427</v>
      </c>
      <c r="H222" s="56"/>
      <c r="I222" s="56"/>
      <c r="J222" s="52"/>
      <c r="K222" s="52"/>
      <c r="L222" s="52"/>
      <c r="M222" s="52"/>
      <c r="N222" s="52"/>
      <c r="O222" s="52"/>
      <c r="P222" s="52"/>
      <c r="Q222" s="52"/>
      <c r="R222" s="52"/>
      <c r="S222" s="52"/>
      <c r="T222" s="52"/>
      <c r="U222" s="52"/>
      <c r="V222" s="52"/>
      <c r="W222" s="52"/>
      <c r="X222" s="52"/>
      <c r="Y222" s="52"/>
      <c r="Z222" s="52"/>
      <c r="AA222" s="52"/>
      <c r="AB222" s="52"/>
    </row>
    <row r="223" spans="1:28" ht="14.25" x14ac:dyDescent="0.2">
      <c r="A223" s="50" t="s">
        <v>15</v>
      </c>
      <c r="B223" s="51" t="s">
        <v>5699</v>
      </c>
      <c r="C223" s="51"/>
      <c r="D223" s="52"/>
      <c r="E223" s="51" t="s">
        <v>5706</v>
      </c>
      <c r="F223" s="52"/>
      <c r="G223" s="53">
        <v>11114432</v>
      </c>
      <c r="H223" s="53"/>
      <c r="I223" s="53"/>
      <c r="J223" s="52"/>
      <c r="K223" s="52"/>
      <c r="L223" s="52"/>
      <c r="M223" s="52"/>
      <c r="N223" s="52"/>
      <c r="O223" s="52"/>
      <c r="P223" s="52"/>
      <c r="Q223" s="52"/>
      <c r="R223" s="52"/>
      <c r="S223" s="52"/>
      <c r="T223" s="52"/>
      <c r="U223" s="52"/>
      <c r="V223" s="52"/>
      <c r="W223" s="52"/>
      <c r="X223" s="52"/>
      <c r="Y223" s="52"/>
      <c r="Z223" s="52"/>
      <c r="AA223" s="52"/>
      <c r="AB223" s="52"/>
    </row>
    <row r="224" spans="1:28" ht="14.25" x14ac:dyDescent="0.2">
      <c r="A224" s="54" t="s">
        <v>15</v>
      </c>
      <c r="B224" s="55" t="s">
        <v>5699</v>
      </c>
      <c r="C224" s="55"/>
      <c r="D224" s="52"/>
      <c r="E224" s="55" t="s">
        <v>5707</v>
      </c>
      <c r="F224" s="52"/>
      <c r="G224" s="56">
        <v>11114438</v>
      </c>
      <c r="H224" s="56"/>
      <c r="I224" s="56"/>
      <c r="J224" s="52"/>
      <c r="K224" s="52"/>
      <c r="L224" s="52"/>
      <c r="M224" s="52"/>
      <c r="N224" s="52"/>
      <c r="O224" s="52"/>
      <c r="P224" s="52"/>
      <c r="Q224" s="52"/>
      <c r="R224" s="52"/>
      <c r="S224" s="52"/>
      <c r="T224" s="52"/>
      <c r="U224" s="52"/>
      <c r="V224" s="52"/>
      <c r="W224" s="52"/>
      <c r="X224" s="52"/>
      <c r="Y224" s="52"/>
      <c r="Z224" s="52"/>
      <c r="AA224" s="52"/>
      <c r="AB224" s="52"/>
    </row>
    <row r="225" spans="1:28" ht="14.25" x14ac:dyDescent="0.2">
      <c r="A225" s="50" t="s">
        <v>15</v>
      </c>
      <c r="B225" s="51" t="s">
        <v>5699</v>
      </c>
      <c r="C225" s="51"/>
      <c r="D225" s="52"/>
      <c r="E225" s="51" t="s">
        <v>5708</v>
      </c>
      <c r="F225" s="52"/>
      <c r="G225" s="53">
        <v>11114444</v>
      </c>
      <c r="H225" s="53"/>
      <c r="I225" s="53"/>
      <c r="J225" s="52"/>
      <c r="K225" s="52"/>
      <c r="L225" s="52"/>
      <c r="M225" s="52"/>
      <c r="N225" s="52"/>
      <c r="O225" s="52"/>
      <c r="P225" s="52"/>
      <c r="Q225" s="52"/>
      <c r="R225" s="52"/>
      <c r="S225" s="52"/>
      <c r="T225" s="52"/>
      <c r="U225" s="52"/>
      <c r="V225" s="52"/>
      <c r="W225" s="52"/>
      <c r="X225" s="52"/>
      <c r="Y225" s="52"/>
      <c r="Z225" s="52"/>
      <c r="AA225" s="52"/>
      <c r="AB225" s="52"/>
    </row>
    <row r="226" spans="1:28" ht="14.25" x14ac:dyDescent="0.2">
      <c r="A226" s="54" t="s">
        <v>15</v>
      </c>
      <c r="B226" s="55" t="s">
        <v>5699</v>
      </c>
      <c r="C226" s="55"/>
      <c r="D226" s="52"/>
      <c r="E226" s="55" t="s">
        <v>5709</v>
      </c>
      <c r="F226" s="52"/>
      <c r="G226" s="56">
        <v>11114451</v>
      </c>
      <c r="H226" s="56"/>
      <c r="I226" s="56"/>
      <c r="J226" s="52"/>
      <c r="K226" s="52"/>
      <c r="L226" s="52"/>
      <c r="M226" s="52"/>
      <c r="N226" s="52"/>
      <c r="O226" s="52"/>
      <c r="P226" s="52"/>
      <c r="Q226" s="52"/>
      <c r="R226" s="52"/>
      <c r="S226" s="52"/>
      <c r="T226" s="52"/>
      <c r="U226" s="52"/>
      <c r="V226" s="52"/>
      <c r="W226" s="52"/>
      <c r="X226" s="52"/>
      <c r="Y226" s="52"/>
      <c r="Z226" s="52"/>
      <c r="AA226" s="52"/>
      <c r="AB226" s="52"/>
    </row>
    <row r="227" spans="1:28" ht="14.25" x14ac:dyDescent="0.2">
      <c r="A227" s="50" t="s">
        <v>15</v>
      </c>
      <c r="B227" s="51" t="s">
        <v>5699</v>
      </c>
      <c r="C227" s="51"/>
      <c r="D227" s="52"/>
      <c r="E227" s="51" t="s">
        <v>5710</v>
      </c>
      <c r="F227" s="52"/>
      <c r="G227" s="53">
        <v>11114459</v>
      </c>
      <c r="H227" s="53"/>
      <c r="I227" s="53"/>
      <c r="J227" s="52"/>
      <c r="K227" s="52"/>
      <c r="L227" s="52"/>
      <c r="M227" s="52"/>
      <c r="N227" s="52"/>
      <c r="O227" s="52"/>
      <c r="P227" s="52"/>
      <c r="Q227" s="52"/>
      <c r="R227" s="52"/>
      <c r="S227" s="52"/>
      <c r="T227" s="52"/>
      <c r="U227" s="52"/>
      <c r="V227" s="52"/>
      <c r="W227" s="52"/>
      <c r="X227" s="52"/>
      <c r="Y227" s="52"/>
      <c r="Z227" s="52"/>
      <c r="AA227" s="52"/>
      <c r="AB227" s="52"/>
    </row>
    <row r="228" spans="1:28" ht="14.25" x14ac:dyDescent="0.2">
      <c r="A228" s="54" t="s">
        <v>15</v>
      </c>
      <c r="B228" s="55" t="s">
        <v>5699</v>
      </c>
      <c r="C228" s="55"/>
      <c r="D228" s="52"/>
      <c r="E228" s="55" t="s">
        <v>5711</v>
      </c>
      <c r="F228" s="52"/>
      <c r="G228" s="56">
        <v>11114467</v>
      </c>
      <c r="H228" s="56"/>
      <c r="I228" s="56"/>
      <c r="J228" s="52"/>
      <c r="K228" s="52"/>
      <c r="L228" s="52"/>
      <c r="M228" s="52"/>
      <c r="N228" s="52"/>
      <c r="O228" s="52"/>
      <c r="P228" s="52"/>
      <c r="Q228" s="52"/>
      <c r="R228" s="52"/>
      <c r="S228" s="52"/>
      <c r="T228" s="52"/>
      <c r="U228" s="52"/>
      <c r="V228" s="52"/>
      <c r="W228" s="52"/>
      <c r="X228" s="52"/>
      <c r="Y228" s="52"/>
      <c r="Z228" s="52"/>
      <c r="AA228" s="52"/>
      <c r="AB228" s="52"/>
    </row>
    <row r="229" spans="1:28" ht="14.25" x14ac:dyDescent="0.2">
      <c r="A229" s="50" t="s">
        <v>15</v>
      </c>
      <c r="B229" s="51" t="s">
        <v>5699</v>
      </c>
      <c r="C229" s="51"/>
      <c r="D229" s="52"/>
      <c r="E229" s="51" t="s">
        <v>5712</v>
      </c>
      <c r="F229" s="52"/>
      <c r="G229" s="53">
        <v>11114476</v>
      </c>
      <c r="H229" s="53"/>
      <c r="I229" s="53"/>
      <c r="J229" s="52"/>
      <c r="K229" s="52"/>
      <c r="L229" s="52"/>
      <c r="M229" s="52"/>
      <c r="N229" s="52"/>
      <c r="O229" s="52"/>
      <c r="P229" s="52"/>
      <c r="Q229" s="52"/>
      <c r="R229" s="52"/>
      <c r="S229" s="52"/>
      <c r="T229" s="52"/>
      <c r="U229" s="52"/>
      <c r="V229" s="52"/>
      <c r="W229" s="52"/>
      <c r="X229" s="52"/>
      <c r="Y229" s="52"/>
      <c r="Z229" s="52"/>
      <c r="AA229" s="52"/>
      <c r="AB229" s="52"/>
    </row>
    <row r="230" spans="1:28" ht="14.25" x14ac:dyDescent="0.2">
      <c r="A230" s="54" t="s">
        <v>15</v>
      </c>
      <c r="B230" s="55" t="s">
        <v>5699</v>
      </c>
      <c r="C230" s="55"/>
      <c r="D230" s="52"/>
      <c r="E230" s="55" t="s">
        <v>5713</v>
      </c>
      <c r="F230" s="52"/>
      <c r="G230" s="56">
        <v>11114487</v>
      </c>
      <c r="H230" s="56"/>
      <c r="I230" s="56"/>
      <c r="J230" s="52"/>
      <c r="K230" s="52"/>
      <c r="L230" s="52"/>
      <c r="M230" s="52"/>
      <c r="N230" s="52"/>
      <c r="O230" s="52"/>
      <c r="P230" s="52"/>
      <c r="Q230" s="52"/>
      <c r="R230" s="52"/>
      <c r="S230" s="52"/>
      <c r="T230" s="52"/>
      <c r="U230" s="52"/>
      <c r="V230" s="52"/>
      <c r="W230" s="52"/>
      <c r="X230" s="52"/>
      <c r="Y230" s="52"/>
      <c r="Z230" s="52"/>
      <c r="AA230" s="52"/>
      <c r="AB230" s="52"/>
    </row>
    <row r="231" spans="1:28" ht="14.25" x14ac:dyDescent="0.2">
      <c r="A231" s="50" t="s">
        <v>15</v>
      </c>
      <c r="B231" s="51" t="s">
        <v>5714</v>
      </c>
      <c r="C231" s="51"/>
      <c r="D231" s="52"/>
      <c r="E231" s="51" t="s">
        <v>27</v>
      </c>
      <c r="F231" s="52"/>
      <c r="G231" s="53">
        <v>1113121</v>
      </c>
      <c r="H231" s="53"/>
      <c r="I231" s="53"/>
      <c r="J231" s="52"/>
      <c r="K231" s="52"/>
      <c r="L231" s="52"/>
      <c r="M231" s="52"/>
      <c r="N231" s="52"/>
      <c r="O231" s="52"/>
      <c r="P231" s="52"/>
      <c r="Q231" s="52"/>
      <c r="R231" s="52"/>
      <c r="S231" s="52"/>
      <c r="T231" s="52"/>
      <c r="U231" s="52"/>
      <c r="V231" s="52"/>
      <c r="W231" s="52"/>
      <c r="X231" s="52"/>
      <c r="Y231" s="52"/>
      <c r="Z231" s="52"/>
      <c r="AA231" s="52"/>
      <c r="AB231" s="52"/>
    </row>
    <row r="232" spans="1:28" ht="14.25" x14ac:dyDescent="0.2">
      <c r="A232" s="54" t="s">
        <v>15</v>
      </c>
      <c r="B232" s="55" t="s">
        <v>5714</v>
      </c>
      <c r="C232" s="55"/>
      <c r="D232" s="52"/>
      <c r="E232" s="55" t="s">
        <v>28</v>
      </c>
      <c r="F232" s="52"/>
      <c r="G232" s="56">
        <v>1113122</v>
      </c>
      <c r="H232" s="56"/>
      <c r="I232" s="56"/>
      <c r="J232" s="52"/>
      <c r="K232" s="52"/>
      <c r="L232" s="52"/>
      <c r="M232" s="52"/>
      <c r="N232" s="52"/>
      <c r="O232" s="52"/>
      <c r="P232" s="52"/>
      <c r="Q232" s="52"/>
      <c r="R232" s="52"/>
      <c r="S232" s="52"/>
      <c r="T232" s="52"/>
      <c r="U232" s="52"/>
      <c r="V232" s="52"/>
      <c r="W232" s="52"/>
      <c r="X232" s="52"/>
      <c r="Y232" s="52"/>
      <c r="Z232" s="52"/>
      <c r="AA232" s="52"/>
      <c r="AB232" s="52"/>
    </row>
    <row r="233" spans="1:28" ht="14.25" x14ac:dyDescent="0.2">
      <c r="A233" s="50" t="s">
        <v>15</v>
      </c>
      <c r="B233" s="51" t="s">
        <v>5714</v>
      </c>
      <c r="C233" s="51"/>
      <c r="D233" s="52"/>
      <c r="E233" s="51" t="s">
        <v>29</v>
      </c>
      <c r="F233" s="52"/>
      <c r="G233" s="53">
        <v>1113124</v>
      </c>
      <c r="H233" s="53"/>
      <c r="I233" s="53"/>
      <c r="J233" s="52"/>
      <c r="K233" s="52"/>
      <c r="L233" s="52"/>
      <c r="M233" s="52"/>
      <c r="N233" s="52"/>
      <c r="O233" s="52"/>
      <c r="P233" s="52"/>
      <c r="Q233" s="52"/>
      <c r="R233" s="52"/>
      <c r="S233" s="52"/>
      <c r="T233" s="52"/>
      <c r="U233" s="52"/>
      <c r="V233" s="52"/>
      <c r="W233" s="52"/>
      <c r="X233" s="52"/>
      <c r="Y233" s="52"/>
      <c r="Z233" s="52"/>
      <c r="AA233" s="52"/>
      <c r="AB233" s="52"/>
    </row>
    <row r="234" spans="1:28" ht="14.25" x14ac:dyDescent="0.2">
      <c r="A234" s="54" t="s">
        <v>15</v>
      </c>
      <c r="B234" s="55" t="s">
        <v>5714</v>
      </c>
      <c r="C234" s="55"/>
      <c r="D234" s="52"/>
      <c r="E234" s="55" t="s">
        <v>30</v>
      </c>
      <c r="F234" s="52"/>
      <c r="G234" s="56">
        <v>1113125</v>
      </c>
      <c r="H234" s="56"/>
      <c r="I234" s="56"/>
      <c r="J234" s="52"/>
      <c r="K234" s="52"/>
      <c r="L234" s="52"/>
      <c r="M234" s="52"/>
      <c r="N234" s="52"/>
      <c r="O234" s="52"/>
      <c r="P234" s="52"/>
      <c r="Q234" s="52"/>
      <c r="R234" s="52"/>
      <c r="S234" s="52"/>
      <c r="T234" s="52"/>
      <c r="U234" s="52"/>
      <c r="V234" s="52"/>
      <c r="W234" s="52"/>
      <c r="X234" s="52"/>
      <c r="Y234" s="52"/>
      <c r="Z234" s="52"/>
      <c r="AA234" s="52"/>
      <c r="AB234" s="52"/>
    </row>
    <row r="235" spans="1:28" ht="14.25" x14ac:dyDescent="0.2">
      <c r="A235" s="50" t="s">
        <v>15</v>
      </c>
      <c r="B235" s="51" t="s">
        <v>5715</v>
      </c>
      <c r="C235" s="51"/>
      <c r="D235" s="52"/>
      <c r="E235" s="51" t="s">
        <v>5716</v>
      </c>
      <c r="F235" s="52"/>
      <c r="G235" s="53">
        <v>11109410</v>
      </c>
      <c r="H235" s="53"/>
      <c r="I235" s="53"/>
      <c r="J235" s="52"/>
      <c r="K235" s="52"/>
      <c r="L235" s="52"/>
      <c r="M235" s="52"/>
      <c r="N235" s="52"/>
      <c r="O235" s="52"/>
      <c r="P235" s="52"/>
      <c r="Q235" s="52"/>
      <c r="R235" s="52"/>
      <c r="S235" s="52"/>
      <c r="T235" s="52"/>
      <c r="U235" s="52"/>
      <c r="V235" s="52"/>
      <c r="W235" s="52"/>
      <c r="X235" s="52"/>
      <c r="Y235" s="52"/>
      <c r="Z235" s="52"/>
      <c r="AA235" s="52"/>
      <c r="AB235" s="52"/>
    </row>
    <row r="236" spans="1:28" ht="14.25" x14ac:dyDescent="0.2">
      <c r="A236" s="54" t="s">
        <v>15</v>
      </c>
      <c r="B236" s="55" t="s">
        <v>5715</v>
      </c>
      <c r="C236" s="55"/>
      <c r="D236" s="52"/>
      <c r="E236" s="55" t="s">
        <v>5717</v>
      </c>
      <c r="F236" s="52"/>
      <c r="G236" s="56">
        <v>11109412</v>
      </c>
      <c r="H236" s="56"/>
      <c r="I236" s="56"/>
      <c r="J236" s="52"/>
      <c r="K236" s="52"/>
      <c r="L236" s="52"/>
      <c r="M236" s="52"/>
      <c r="N236" s="52"/>
      <c r="O236" s="52"/>
      <c r="P236" s="52"/>
      <c r="Q236" s="52"/>
      <c r="R236" s="52"/>
      <c r="S236" s="52"/>
      <c r="T236" s="52"/>
      <c r="U236" s="52"/>
      <c r="V236" s="52"/>
      <c r="W236" s="52"/>
      <c r="X236" s="52"/>
      <c r="Y236" s="52"/>
      <c r="Z236" s="52"/>
      <c r="AA236" s="52"/>
      <c r="AB236" s="52"/>
    </row>
    <row r="237" spans="1:28" ht="14.25" x14ac:dyDescent="0.2">
      <c r="A237" s="50" t="s">
        <v>15</v>
      </c>
      <c r="B237" s="51" t="s">
        <v>5715</v>
      </c>
      <c r="C237" s="51"/>
      <c r="D237" s="52"/>
      <c r="E237" s="51" t="s">
        <v>5718</v>
      </c>
      <c r="F237" s="52"/>
      <c r="G237" s="53">
        <v>11109415</v>
      </c>
      <c r="H237" s="53"/>
      <c r="I237" s="53"/>
      <c r="J237" s="52"/>
      <c r="K237" s="52"/>
      <c r="L237" s="52"/>
      <c r="M237" s="52"/>
      <c r="N237" s="52"/>
      <c r="O237" s="52"/>
      <c r="P237" s="52"/>
      <c r="Q237" s="52"/>
      <c r="R237" s="52"/>
      <c r="S237" s="52"/>
      <c r="T237" s="52"/>
      <c r="U237" s="52"/>
      <c r="V237" s="52"/>
      <c r="W237" s="52"/>
      <c r="X237" s="52"/>
      <c r="Y237" s="52"/>
      <c r="Z237" s="52"/>
      <c r="AA237" s="52"/>
      <c r="AB237" s="52"/>
    </row>
    <row r="238" spans="1:28" ht="14.25" x14ac:dyDescent="0.2">
      <c r="A238" s="54" t="s">
        <v>15</v>
      </c>
      <c r="B238" s="55" t="s">
        <v>5715</v>
      </c>
      <c r="C238" s="55"/>
      <c r="D238" s="52"/>
      <c r="E238" s="55" t="s">
        <v>5719</v>
      </c>
      <c r="F238" s="52"/>
      <c r="G238" s="56">
        <v>11109417</v>
      </c>
      <c r="H238" s="56"/>
      <c r="I238" s="56"/>
      <c r="J238" s="52"/>
      <c r="K238" s="52"/>
      <c r="L238" s="52"/>
      <c r="M238" s="52"/>
      <c r="N238" s="52"/>
      <c r="O238" s="52"/>
      <c r="P238" s="52"/>
      <c r="Q238" s="52"/>
      <c r="R238" s="52"/>
      <c r="S238" s="52"/>
      <c r="T238" s="52"/>
      <c r="U238" s="52"/>
      <c r="V238" s="52"/>
      <c r="W238" s="52"/>
      <c r="X238" s="52"/>
      <c r="Y238" s="52"/>
      <c r="Z238" s="52"/>
      <c r="AA238" s="52"/>
      <c r="AB238" s="52"/>
    </row>
    <row r="239" spans="1:28" ht="14.25" x14ac:dyDescent="0.2">
      <c r="A239" s="50" t="s">
        <v>15</v>
      </c>
      <c r="B239" s="51" t="s">
        <v>5715</v>
      </c>
      <c r="C239" s="51"/>
      <c r="D239" s="52"/>
      <c r="E239" s="51" t="s">
        <v>5720</v>
      </c>
      <c r="F239" s="52"/>
      <c r="G239" s="53">
        <v>11109419</v>
      </c>
      <c r="H239" s="53"/>
      <c r="I239" s="53"/>
      <c r="J239" s="52"/>
      <c r="K239" s="52"/>
      <c r="L239" s="52"/>
      <c r="M239" s="52"/>
      <c r="N239" s="52"/>
      <c r="O239" s="52"/>
      <c r="P239" s="52"/>
      <c r="Q239" s="52"/>
      <c r="R239" s="52"/>
      <c r="S239" s="52"/>
      <c r="T239" s="52"/>
      <c r="U239" s="52"/>
      <c r="V239" s="52"/>
      <c r="W239" s="52"/>
      <c r="X239" s="52"/>
      <c r="Y239" s="52"/>
      <c r="Z239" s="52"/>
      <c r="AA239" s="52"/>
      <c r="AB239" s="52"/>
    </row>
    <row r="240" spans="1:28" ht="14.25" x14ac:dyDescent="0.2">
      <c r="A240" s="54" t="s">
        <v>15</v>
      </c>
      <c r="B240" s="55" t="s">
        <v>5715</v>
      </c>
      <c r="C240" s="55"/>
      <c r="D240" s="52"/>
      <c r="E240" s="55" t="s">
        <v>5721</v>
      </c>
      <c r="F240" s="52"/>
      <c r="G240" s="56">
        <v>11109423</v>
      </c>
      <c r="H240" s="56"/>
      <c r="I240" s="56"/>
      <c r="J240" s="52"/>
      <c r="K240" s="52"/>
      <c r="L240" s="52"/>
      <c r="M240" s="52"/>
      <c r="N240" s="52"/>
      <c r="O240" s="52"/>
      <c r="P240" s="52"/>
      <c r="Q240" s="52"/>
      <c r="R240" s="52"/>
      <c r="S240" s="52"/>
      <c r="T240" s="52"/>
      <c r="U240" s="52"/>
      <c r="V240" s="52"/>
      <c r="W240" s="52"/>
      <c r="X240" s="52"/>
      <c r="Y240" s="52"/>
      <c r="Z240" s="52"/>
      <c r="AA240" s="52"/>
      <c r="AB240" s="52"/>
    </row>
    <row r="241" spans="1:28" ht="14.25" x14ac:dyDescent="0.2">
      <c r="A241" s="50" t="s">
        <v>15</v>
      </c>
      <c r="B241" s="51" t="s">
        <v>5715</v>
      </c>
      <c r="C241" s="51"/>
      <c r="D241" s="52"/>
      <c r="E241" s="51" t="s">
        <v>5722</v>
      </c>
      <c r="F241" s="52"/>
      <c r="G241" s="53">
        <v>11109426</v>
      </c>
      <c r="H241" s="53"/>
      <c r="I241" s="53"/>
      <c r="J241" s="52"/>
      <c r="K241" s="52"/>
      <c r="L241" s="52"/>
      <c r="M241" s="52"/>
      <c r="N241" s="52"/>
      <c r="O241" s="52"/>
      <c r="P241" s="52"/>
      <c r="Q241" s="52"/>
      <c r="R241" s="52"/>
      <c r="S241" s="52"/>
      <c r="T241" s="52"/>
      <c r="U241" s="52"/>
      <c r="V241" s="52"/>
      <c r="W241" s="52"/>
      <c r="X241" s="52"/>
      <c r="Y241" s="52"/>
      <c r="Z241" s="52"/>
      <c r="AA241" s="52"/>
      <c r="AB241" s="52"/>
    </row>
    <row r="242" spans="1:28" ht="14.25" x14ac:dyDescent="0.2">
      <c r="A242" s="54" t="s">
        <v>15</v>
      </c>
      <c r="B242" s="55" t="s">
        <v>5715</v>
      </c>
      <c r="C242" s="55"/>
      <c r="D242" s="52"/>
      <c r="E242" s="55" t="s">
        <v>5723</v>
      </c>
      <c r="F242" s="52"/>
      <c r="G242" s="56">
        <v>11109427</v>
      </c>
      <c r="H242" s="56"/>
      <c r="I242" s="56"/>
      <c r="J242" s="52"/>
      <c r="K242" s="52"/>
      <c r="L242" s="52"/>
      <c r="M242" s="52"/>
      <c r="N242" s="52"/>
      <c r="O242" s="52"/>
      <c r="P242" s="52"/>
      <c r="Q242" s="52"/>
      <c r="R242" s="52"/>
      <c r="S242" s="52"/>
      <c r="T242" s="52"/>
      <c r="U242" s="52"/>
      <c r="V242" s="52"/>
      <c r="W242" s="52"/>
      <c r="X242" s="52"/>
      <c r="Y242" s="52"/>
      <c r="Z242" s="52"/>
      <c r="AA242" s="52"/>
      <c r="AB242" s="52"/>
    </row>
    <row r="243" spans="1:28" ht="14.25" x14ac:dyDescent="0.2">
      <c r="A243" s="50" t="s">
        <v>15</v>
      </c>
      <c r="B243" s="51" t="s">
        <v>5715</v>
      </c>
      <c r="C243" s="51"/>
      <c r="D243" s="52"/>
      <c r="E243" s="51" t="s">
        <v>5724</v>
      </c>
      <c r="F243" s="52"/>
      <c r="G243" s="53">
        <v>11109430</v>
      </c>
      <c r="H243" s="53"/>
      <c r="I243" s="53"/>
      <c r="J243" s="52"/>
      <c r="K243" s="52"/>
      <c r="L243" s="52"/>
      <c r="M243" s="52"/>
      <c r="N243" s="52"/>
      <c r="O243" s="52"/>
      <c r="P243" s="52"/>
      <c r="Q243" s="52"/>
      <c r="R243" s="52"/>
      <c r="S243" s="52"/>
      <c r="T243" s="52"/>
      <c r="U243" s="52"/>
      <c r="V243" s="52"/>
      <c r="W243" s="52"/>
      <c r="X243" s="52"/>
      <c r="Y243" s="52"/>
      <c r="Z243" s="52"/>
      <c r="AA243" s="52"/>
      <c r="AB243" s="52"/>
    </row>
    <row r="244" spans="1:28" ht="14.25" x14ac:dyDescent="0.2">
      <c r="A244" s="54" t="s">
        <v>15</v>
      </c>
      <c r="B244" s="55" t="s">
        <v>5715</v>
      </c>
      <c r="C244" s="55"/>
      <c r="D244" s="52"/>
      <c r="E244" s="55" t="s">
        <v>5725</v>
      </c>
      <c r="F244" s="52"/>
      <c r="G244" s="56">
        <v>11109432</v>
      </c>
      <c r="H244" s="56"/>
      <c r="I244" s="56"/>
      <c r="J244" s="52"/>
      <c r="K244" s="52"/>
      <c r="L244" s="52"/>
      <c r="M244" s="52"/>
      <c r="N244" s="52"/>
      <c r="O244" s="52"/>
      <c r="P244" s="52"/>
      <c r="Q244" s="52"/>
      <c r="R244" s="52"/>
      <c r="S244" s="52"/>
      <c r="T244" s="52"/>
      <c r="U244" s="52"/>
      <c r="V244" s="52"/>
      <c r="W244" s="52"/>
      <c r="X244" s="52"/>
      <c r="Y244" s="52"/>
      <c r="Z244" s="52"/>
      <c r="AA244" s="52"/>
      <c r="AB244" s="52"/>
    </row>
    <row r="245" spans="1:28" ht="14.25" x14ac:dyDescent="0.2">
      <c r="A245" s="50" t="s">
        <v>15</v>
      </c>
      <c r="B245" s="51" t="s">
        <v>5715</v>
      </c>
      <c r="C245" s="51"/>
      <c r="D245" s="52"/>
      <c r="E245" s="51" t="s">
        <v>5726</v>
      </c>
      <c r="F245" s="52"/>
      <c r="G245" s="53">
        <v>11109438</v>
      </c>
      <c r="H245" s="53"/>
      <c r="I245" s="53"/>
      <c r="J245" s="52"/>
      <c r="K245" s="52"/>
      <c r="L245" s="52"/>
      <c r="M245" s="52"/>
      <c r="N245" s="52"/>
      <c r="O245" s="52"/>
      <c r="P245" s="52"/>
      <c r="Q245" s="52"/>
      <c r="R245" s="52"/>
      <c r="S245" s="52"/>
      <c r="T245" s="52"/>
      <c r="U245" s="52"/>
      <c r="V245" s="52"/>
      <c r="W245" s="52"/>
      <c r="X245" s="52"/>
      <c r="Y245" s="52"/>
      <c r="Z245" s="52"/>
      <c r="AA245" s="52"/>
      <c r="AB245" s="52"/>
    </row>
    <row r="246" spans="1:28" ht="14.25" x14ac:dyDescent="0.2">
      <c r="A246" s="54" t="s">
        <v>15</v>
      </c>
      <c r="B246" s="55" t="s">
        <v>5715</v>
      </c>
      <c r="C246" s="55"/>
      <c r="D246" s="52"/>
      <c r="E246" s="55" t="s">
        <v>5727</v>
      </c>
      <c r="F246" s="52"/>
      <c r="G246" s="56">
        <v>11109443</v>
      </c>
      <c r="H246" s="56"/>
      <c r="I246" s="56"/>
      <c r="J246" s="52"/>
      <c r="K246" s="52"/>
      <c r="L246" s="52"/>
      <c r="M246" s="52"/>
      <c r="N246" s="52"/>
      <c r="O246" s="52"/>
      <c r="P246" s="52"/>
      <c r="Q246" s="52"/>
      <c r="R246" s="52"/>
      <c r="S246" s="52"/>
      <c r="T246" s="52"/>
      <c r="U246" s="52"/>
      <c r="V246" s="52"/>
      <c r="W246" s="52"/>
      <c r="X246" s="52"/>
      <c r="Y246" s="52"/>
      <c r="Z246" s="52"/>
      <c r="AA246" s="52"/>
      <c r="AB246" s="52"/>
    </row>
    <row r="247" spans="1:28" ht="14.25" x14ac:dyDescent="0.2">
      <c r="A247" s="50" t="s">
        <v>15</v>
      </c>
      <c r="B247" s="51" t="s">
        <v>5715</v>
      </c>
      <c r="C247" s="51"/>
      <c r="D247" s="52"/>
      <c r="E247" s="51" t="s">
        <v>5728</v>
      </c>
      <c r="F247" s="52"/>
      <c r="G247" s="53">
        <v>11109444</v>
      </c>
      <c r="H247" s="53"/>
      <c r="I247" s="53"/>
      <c r="J247" s="52"/>
      <c r="K247" s="52"/>
      <c r="L247" s="52"/>
      <c r="M247" s="52"/>
      <c r="N247" s="52"/>
      <c r="O247" s="52"/>
      <c r="P247" s="52"/>
      <c r="Q247" s="52"/>
      <c r="R247" s="52"/>
      <c r="S247" s="52"/>
      <c r="T247" s="52"/>
      <c r="U247" s="52"/>
      <c r="V247" s="52"/>
      <c r="W247" s="52"/>
      <c r="X247" s="52"/>
      <c r="Y247" s="52"/>
      <c r="Z247" s="52"/>
      <c r="AA247" s="52"/>
      <c r="AB247" s="52"/>
    </row>
    <row r="248" spans="1:28" ht="14.25" x14ac:dyDescent="0.2">
      <c r="A248" s="54" t="s">
        <v>15</v>
      </c>
      <c r="B248" s="55" t="s">
        <v>5715</v>
      </c>
      <c r="C248" s="55"/>
      <c r="D248" s="52"/>
      <c r="E248" s="55" t="s">
        <v>5729</v>
      </c>
      <c r="F248" s="52"/>
      <c r="G248" s="56">
        <v>11109449</v>
      </c>
      <c r="H248" s="56"/>
      <c r="I248" s="56"/>
      <c r="J248" s="52"/>
      <c r="K248" s="52"/>
      <c r="L248" s="52"/>
      <c r="M248" s="52"/>
      <c r="N248" s="52"/>
      <c r="O248" s="52"/>
      <c r="P248" s="52"/>
      <c r="Q248" s="52"/>
      <c r="R248" s="52"/>
      <c r="S248" s="52"/>
      <c r="T248" s="52"/>
      <c r="U248" s="52"/>
      <c r="V248" s="52"/>
      <c r="W248" s="52"/>
      <c r="X248" s="52"/>
      <c r="Y248" s="52"/>
      <c r="Z248" s="52"/>
      <c r="AA248" s="52"/>
      <c r="AB248" s="52"/>
    </row>
    <row r="249" spans="1:28" ht="14.25" x14ac:dyDescent="0.2">
      <c r="A249" s="50" t="s">
        <v>15</v>
      </c>
      <c r="B249" s="51" t="s">
        <v>5715</v>
      </c>
      <c r="C249" s="51"/>
      <c r="D249" s="52"/>
      <c r="E249" s="51" t="s">
        <v>5730</v>
      </c>
      <c r="F249" s="52"/>
      <c r="G249" s="53">
        <v>11109451</v>
      </c>
      <c r="H249" s="53"/>
      <c r="I249" s="53"/>
      <c r="J249" s="52"/>
      <c r="K249" s="52"/>
      <c r="L249" s="52"/>
      <c r="M249" s="52"/>
      <c r="N249" s="52"/>
      <c r="O249" s="52"/>
      <c r="P249" s="52"/>
      <c r="Q249" s="52"/>
      <c r="R249" s="52"/>
      <c r="S249" s="52"/>
      <c r="T249" s="52"/>
      <c r="U249" s="52"/>
      <c r="V249" s="52"/>
      <c r="W249" s="52"/>
      <c r="X249" s="52"/>
      <c r="Y249" s="52"/>
      <c r="Z249" s="52"/>
      <c r="AA249" s="52"/>
      <c r="AB249" s="52"/>
    </row>
    <row r="250" spans="1:28" ht="14.25" x14ac:dyDescent="0.2">
      <c r="A250" s="54" t="s">
        <v>15</v>
      </c>
      <c r="B250" s="55" t="s">
        <v>5715</v>
      </c>
      <c r="C250" s="55"/>
      <c r="D250" s="52"/>
      <c r="E250" s="55" t="s">
        <v>5731</v>
      </c>
      <c r="F250" s="52"/>
      <c r="G250" s="56">
        <v>11109459</v>
      </c>
      <c r="H250" s="56"/>
      <c r="I250" s="56"/>
      <c r="J250" s="52"/>
      <c r="K250" s="52"/>
      <c r="L250" s="52"/>
      <c r="M250" s="52"/>
      <c r="N250" s="52"/>
      <c r="O250" s="52"/>
      <c r="P250" s="52"/>
      <c r="Q250" s="52"/>
      <c r="R250" s="52"/>
      <c r="S250" s="52"/>
      <c r="T250" s="52"/>
      <c r="U250" s="52"/>
      <c r="V250" s="52"/>
      <c r="W250" s="52"/>
      <c r="X250" s="52"/>
      <c r="Y250" s="52"/>
      <c r="Z250" s="52"/>
      <c r="AA250" s="52"/>
      <c r="AB250" s="52"/>
    </row>
    <row r="251" spans="1:28" ht="14.25" x14ac:dyDescent="0.2">
      <c r="A251" s="50" t="s">
        <v>15</v>
      </c>
      <c r="B251" s="51" t="s">
        <v>5715</v>
      </c>
      <c r="C251" s="51"/>
      <c r="D251" s="52"/>
      <c r="E251" s="51" t="s">
        <v>5732</v>
      </c>
      <c r="F251" s="52"/>
      <c r="G251" s="53">
        <v>11109467</v>
      </c>
      <c r="H251" s="53"/>
      <c r="I251" s="53"/>
      <c r="J251" s="52"/>
      <c r="K251" s="52"/>
      <c r="L251" s="52"/>
      <c r="M251" s="52"/>
      <c r="N251" s="52"/>
      <c r="O251" s="52"/>
      <c r="P251" s="52"/>
      <c r="Q251" s="52"/>
      <c r="R251" s="52"/>
      <c r="S251" s="52"/>
      <c r="T251" s="52"/>
      <c r="U251" s="52"/>
      <c r="V251" s="52"/>
      <c r="W251" s="52"/>
      <c r="X251" s="52"/>
      <c r="Y251" s="52"/>
      <c r="Z251" s="52"/>
      <c r="AA251" s="52"/>
      <c r="AB251" s="52"/>
    </row>
    <row r="252" spans="1:28" ht="14.25" x14ac:dyDescent="0.2">
      <c r="A252" s="54" t="s">
        <v>15</v>
      </c>
      <c r="B252" s="55" t="s">
        <v>5715</v>
      </c>
      <c r="C252" s="55"/>
      <c r="D252" s="52"/>
      <c r="E252" s="55" t="s">
        <v>5733</v>
      </c>
      <c r="F252" s="52"/>
      <c r="G252" s="56">
        <v>11109473</v>
      </c>
      <c r="H252" s="56"/>
      <c r="I252" s="56"/>
      <c r="J252" s="52"/>
      <c r="K252" s="52"/>
      <c r="L252" s="52"/>
      <c r="M252" s="52"/>
      <c r="N252" s="52"/>
      <c r="O252" s="52"/>
      <c r="P252" s="52"/>
      <c r="Q252" s="52"/>
      <c r="R252" s="52"/>
      <c r="S252" s="52"/>
      <c r="T252" s="52"/>
      <c r="U252" s="52"/>
      <c r="V252" s="52"/>
      <c r="W252" s="52"/>
      <c r="X252" s="52"/>
      <c r="Y252" s="52"/>
      <c r="Z252" s="52"/>
      <c r="AA252" s="52"/>
      <c r="AB252" s="52"/>
    </row>
    <row r="253" spans="1:28" ht="14.25" x14ac:dyDescent="0.2">
      <c r="A253" s="50" t="s">
        <v>15</v>
      </c>
      <c r="B253" s="51" t="s">
        <v>5715</v>
      </c>
      <c r="C253" s="51"/>
      <c r="D253" s="52"/>
      <c r="E253" s="51" t="s">
        <v>5734</v>
      </c>
      <c r="F253" s="52"/>
      <c r="G253" s="53">
        <v>11109474</v>
      </c>
      <c r="H253" s="53"/>
      <c r="I253" s="53"/>
      <c r="J253" s="52"/>
      <c r="K253" s="52"/>
      <c r="L253" s="52"/>
      <c r="M253" s="52"/>
      <c r="N253" s="52"/>
      <c r="O253" s="52"/>
      <c r="P253" s="52"/>
      <c r="Q253" s="52"/>
      <c r="R253" s="52"/>
      <c r="S253" s="52"/>
      <c r="T253" s="52"/>
      <c r="U253" s="52"/>
      <c r="V253" s="52"/>
      <c r="W253" s="52"/>
      <c r="X253" s="52"/>
      <c r="Y253" s="52"/>
      <c r="Z253" s="52"/>
      <c r="AA253" s="52"/>
      <c r="AB253" s="52"/>
    </row>
    <row r="254" spans="1:28" ht="14.25" x14ac:dyDescent="0.2">
      <c r="A254" s="54" t="s">
        <v>15</v>
      </c>
      <c r="B254" s="55" t="s">
        <v>5715</v>
      </c>
      <c r="C254" s="55"/>
      <c r="D254" s="52"/>
      <c r="E254" s="55" t="s">
        <v>5735</v>
      </c>
      <c r="F254" s="52"/>
      <c r="G254" s="56">
        <v>11109476</v>
      </c>
      <c r="H254" s="56"/>
      <c r="I254" s="56"/>
      <c r="J254" s="52"/>
      <c r="K254" s="52"/>
      <c r="L254" s="52"/>
      <c r="M254" s="52"/>
      <c r="N254" s="52"/>
      <c r="O254" s="52"/>
      <c r="P254" s="52"/>
      <c r="Q254" s="52"/>
      <c r="R254" s="52"/>
      <c r="S254" s="52"/>
      <c r="T254" s="52"/>
      <c r="U254" s="52"/>
      <c r="V254" s="52"/>
      <c r="W254" s="52"/>
      <c r="X254" s="52"/>
      <c r="Y254" s="52"/>
      <c r="Z254" s="52"/>
      <c r="AA254" s="52"/>
      <c r="AB254" s="52"/>
    </row>
    <row r="255" spans="1:28" ht="14.25" x14ac:dyDescent="0.2">
      <c r="A255" s="50" t="s">
        <v>15</v>
      </c>
      <c r="B255" s="51" t="s">
        <v>5715</v>
      </c>
      <c r="C255" s="51"/>
      <c r="D255" s="52"/>
      <c r="E255" s="51" t="s">
        <v>5736</v>
      </c>
      <c r="F255" s="52"/>
      <c r="G255" s="53">
        <v>11109487</v>
      </c>
      <c r="H255" s="53"/>
      <c r="I255" s="53"/>
      <c r="J255" s="52"/>
      <c r="K255" s="52"/>
      <c r="L255" s="52"/>
      <c r="M255" s="52"/>
      <c r="N255" s="52"/>
      <c r="O255" s="52"/>
      <c r="P255" s="52"/>
      <c r="Q255" s="52"/>
      <c r="R255" s="52"/>
      <c r="S255" s="52"/>
      <c r="T255" s="52"/>
      <c r="U255" s="52"/>
      <c r="V255" s="52"/>
      <c r="W255" s="52"/>
      <c r="X255" s="52"/>
      <c r="Y255" s="52"/>
      <c r="Z255" s="52"/>
      <c r="AA255" s="52"/>
      <c r="AB255" s="52"/>
    </row>
    <row r="256" spans="1:28" ht="14.25" x14ac:dyDescent="0.2">
      <c r="A256" s="54" t="s">
        <v>15</v>
      </c>
      <c r="B256" s="55" t="s">
        <v>5715</v>
      </c>
      <c r="C256" s="55"/>
      <c r="D256" s="52"/>
      <c r="E256" s="55" t="s">
        <v>5737</v>
      </c>
      <c r="F256" s="52"/>
      <c r="G256" s="56">
        <v>11109495</v>
      </c>
      <c r="H256" s="56"/>
      <c r="I256" s="56"/>
      <c r="J256" s="52"/>
      <c r="K256" s="52"/>
      <c r="L256" s="52"/>
      <c r="M256" s="52"/>
      <c r="N256" s="52"/>
      <c r="O256" s="52"/>
      <c r="P256" s="52"/>
      <c r="Q256" s="52"/>
      <c r="R256" s="52"/>
      <c r="S256" s="52"/>
      <c r="T256" s="52"/>
      <c r="U256" s="52"/>
      <c r="V256" s="52"/>
      <c r="W256" s="52"/>
      <c r="X256" s="52"/>
      <c r="Y256" s="52"/>
      <c r="Z256" s="52"/>
      <c r="AA256" s="52"/>
      <c r="AB256" s="52"/>
    </row>
    <row r="257" spans="1:28" ht="14.25" x14ac:dyDescent="0.2">
      <c r="A257" s="50" t="s">
        <v>15</v>
      </c>
      <c r="B257" s="51" t="s">
        <v>5715</v>
      </c>
      <c r="C257" s="51"/>
      <c r="D257" s="52"/>
      <c r="E257" s="51" t="s">
        <v>5738</v>
      </c>
      <c r="F257" s="52"/>
      <c r="G257" s="53">
        <v>11109496</v>
      </c>
      <c r="H257" s="53"/>
      <c r="I257" s="53"/>
      <c r="J257" s="52"/>
      <c r="K257" s="52"/>
      <c r="L257" s="52"/>
      <c r="M257" s="52"/>
      <c r="N257" s="52"/>
      <c r="O257" s="52"/>
      <c r="P257" s="52"/>
      <c r="Q257" s="52"/>
      <c r="R257" s="52"/>
      <c r="S257" s="52"/>
      <c r="T257" s="52"/>
      <c r="U257" s="52"/>
      <c r="V257" s="52"/>
      <c r="W257" s="52"/>
      <c r="X257" s="52"/>
      <c r="Y257" s="52"/>
      <c r="Z257" s="52"/>
      <c r="AA257" s="52"/>
      <c r="AB257" s="52"/>
    </row>
    <row r="258" spans="1:28" ht="14.25" x14ac:dyDescent="0.2">
      <c r="A258" s="54" t="s">
        <v>15</v>
      </c>
      <c r="B258" s="55" t="s">
        <v>5739</v>
      </c>
      <c r="C258" s="55"/>
      <c r="D258" s="52"/>
      <c r="E258" s="55">
        <v>32</v>
      </c>
      <c r="F258" s="52"/>
      <c r="G258" s="56">
        <v>31122308</v>
      </c>
      <c r="H258" s="56"/>
      <c r="I258" s="56"/>
      <c r="J258" s="52"/>
      <c r="K258" s="52"/>
      <c r="L258" s="52"/>
      <c r="M258" s="52"/>
      <c r="N258" s="52"/>
      <c r="O258" s="52"/>
      <c r="P258" s="52"/>
      <c r="Q258" s="52"/>
      <c r="R258" s="52"/>
      <c r="S258" s="52"/>
      <c r="T258" s="52"/>
      <c r="U258" s="52"/>
      <c r="V258" s="52"/>
      <c r="W258" s="52"/>
      <c r="X258" s="52"/>
      <c r="Y258" s="52"/>
      <c r="Z258" s="52"/>
      <c r="AA258" s="52"/>
      <c r="AB258" s="52"/>
    </row>
    <row r="259" spans="1:28" ht="14.25" x14ac:dyDescent="0.2">
      <c r="A259" s="50" t="s">
        <v>15</v>
      </c>
      <c r="B259" s="51" t="s">
        <v>5739</v>
      </c>
      <c r="C259" s="51"/>
      <c r="D259" s="52"/>
      <c r="E259" s="51">
        <v>12</v>
      </c>
      <c r="F259" s="52"/>
      <c r="G259" s="53">
        <v>11122304</v>
      </c>
      <c r="H259" s="53"/>
      <c r="I259" s="53"/>
      <c r="J259" s="52"/>
      <c r="K259" s="52"/>
      <c r="L259" s="52"/>
      <c r="M259" s="52"/>
      <c r="N259" s="52"/>
      <c r="O259" s="52"/>
      <c r="P259" s="52"/>
      <c r="Q259" s="52"/>
      <c r="R259" s="52"/>
      <c r="S259" s="52"/>
      <c r="T259" s="52"/>
      <c r="U259" s="52"/>
      <c r="V259" s="52"/>
      <c r="W259" s="52"/>
      <c r="X259" s="52"/>
      <c r="Y259" s="52"/>
      <c r="Z259" s="52"/>
      <c r="AA259" s="52"/>
      <c r="AB259" s="52"/>
    </row>
    <row r="260" spans="1:28" ht="14.25" x14ac:dyDescent="0.2">
      <c r="A260" s="54" t="s">
        <v>15</v>
      </c>
      <c r="B260" s="55" t="s">
        <v>5739</v>
      </c>
      <c r="C260" s="55"/>
      <c r="D260" s="52"/>
      <c r="E260" s="55">
        <v>16</v>
      </c>
      <c r="F260" s="52"/>
      <c r="G260" s="56">
        <v>11122305</v>
      </c>
      <c r="H260" s="56"/>
      <c r="I260" s="56"/>
      <c r="J260" s="52"/>
      <c r="K260" s="52"/>
      <c r="L260" s="52"/>
      <c r="M260" s="52"/>
      <c r="N260" s="52"/>
      <c r="O260" s="52"/>
      <c r="P260" s="52"/>
      <c r="Q260" s="52"/>
      <c r="R260" s="52"/>
      <c r="S260" s="52"/>
      <c r="T260" s="52"/>
      <c r="U260" s="52"/>
      <c r="V260" s="52"/>
      <c r="W260" s="52"/>
      <c r="X260" s="52"/>
      <c r="Y260" s="52"/>
      <c r="Z260" s="52"/>
      <c r="AA260" s="52"/>
      <c r="AB260" s="52"/>
    </row>
    <row r="261" spans="1:28" ht="14.25" x14ac:dyDescent="0.2">
      <c r="A261" s="50" t="s">
        <v>15</v>
      </c>
      <c r="B261" s="51" t="s">
        <v>5739</v>
      </c>
      <c r="C261" s="51"/>
      <c r="D261" s="52"/>
      <c r="E261" s="51">
        <v>20</v>
      </c>
      <c r="F261" s="52"/>
      <c r="G261" s="53">
        <v>11122306</v>
      </c>
      <c r="H261" s="53"/>
      <c r="I261" s="53"/>
      <c r="J261" s="52"/>
      <c r="K261" s="52"/>
      <c r="L261" s="52"/>
      <c r="M261" s="52"/>
      <c r="N261" s="52"/>
      <c r="O261" s="52"/>
      <c r="P261" s="52"/>
      <c r="Q261" s="52"/>
      <c r="R261" s="52"/>
      <c r="S261" s="52"/>
      <c r="T261" s="52"/>
      <c r="U261" s="52"/>
      <c r="V261" s="52"/>
      <c r="W261" s="52"/>
      <c r="X261" s="52"/>
      <c r="Y261" s="52"/>
      <c r="Z261" s="52"/>
      <c r="AA261" s="52"/>
      <c r="AB261" s="52"/>
    </row>
    <row r="262" spans="1:28" ht="14.25" x14ac:dyDescent="0.2">
      <c r="A262" s="54" t="s">
        <v>15</v>
      </c>
      <c r="B262" s="55" t="s">
        <v>5739</v>
      </c>
      <c r="C262" s="55"/>
      <c r="D262" s="52"/>
      <c r="E262" s="55">
        <v>25</v>
      </c>
      <c r="F262" s="52"/>
      <c r="G262" s="56">
        <v>11122307</v>
      </c>
      <c r="H262" s="56"/>
      <c r="I262" s="56"/>
      <c r="J262" s="52"/>
      <c r="K262" s="52"/>
      <c r="L262" s="52"/>
      <c r="M262" s="52"/>
      <c r="N262" s="52"/>
      <c r="O262" s="52"/>
      <c r="P262" s="52"/>
      <c r="Q262" s="52"/>
      <c r="R262" s="52"/>
      <c r="S262" s="52"/>
      <c r="T262" s="52"/>
      <c r="U262" s="52"/>
      <c r="V262" s="52"/>
      <c r="W262" s="52"/>
      <c r="X262" s="52"/>
      <c r="Y262" s="52"/>
      <c r="Z262" s="52"/>
      <c r="AA262" s="52"/>
      <c r="AB262" s="52"/>
    </row>
    <row r="263" spans="1:28" ht="14.25" x14ac:dyDescent="0.2">
      <c r="A263" s="50" t="s">
        <v>15</v>
      </c>
      <c r="B263" s="51" t="s">
        <v>5739</v>
      </c>
      <c r="C263" s="51"/>
      <c r="D263" s="52"/>
      <c r="E263" s="51">
        <v>40</v>
      </c>
      <c r="F263" s="52"/>
      <c r="G263" s="53">
        <v>11122309</v>
      </c>
      <c r="H263" s="53"/>
      <c r="I263" s="53"/>
      <c r="J263" s="52"/>
      <c r="K263" s="52"/>
      <c r="L263" s="52"/>
      <c r="M263" s="52"/>
      <c r="N263" s="52"/>
      <c r="O263" s="52"/>
      <c r="P263" s="52"/>
      <c r="Q263" s="52"/>
      <c r="R263" s="52"/>
      <c r="S263" s="52"/>
      <c r="T263" s="52"/>
      <c r="U263" s="52"/>
      <c r="V263" s="52"/>
      <c r="W263" s="52"/>
      <c r="X263" s="52"/>
      <c r="Y263" s="52"/>
      <c r="Z263" s="52"/>
      <c r="AA263" s="52"/>
      <c r="AB263" s="52"/>
    </row>
    <row r="264" spans="1:28" ht="14.25" x14ac:dyDescent="0.2">
      <c r="A264" s="54" t="s">
        <v>15</v>
      </c>
      <c r="B264" s="55" t="s">
        <v>5739</v>
      </c>
      <c r="C264" s="55"/>
      <c r="D264" s="52"/>
      <c r="E264" s="55">
        <v>50</v>
      </c>
      <c r="F264" s="52"/>
      <c r="G264" s="56">
        <v>11122310</v>
      </c>
      <c r="H264" s="56"/>
      <c r="I264" s="56"/>
      <c r="J264" s="52"/>
      <c r="K264" s="52"/>
      <c r="L264" s="52"/>
      <c r="M264" s="52"/>
      <c r="N264" s="52"/>
      <c r="O264" s="52"/>
      <c r="P264" s="52"/>
      <c r="Q264" s="52"/>
      <c r="R264" s="52"/>
      <c r="S264" s="52"/>
      <c r="T264" s="52"/>
      <c r="U264" s="52"/>
      <c r="V264" s="52"/>
      <c r="W264" s="52"/>
      <c r="X264" s="52"/>
      <c r="Y264" s="52"/>
      <c r="Z264" s="52"/>
      <c r="AA264" s="52"/>
      <c r="AB264" s="52"/>
    </row>
    <row r="265" spans="1:28" ht="14.25" x14ac:dyDescent="0.2">
      <c r="A265" s="50" t="s">
        <v>15</v>
      </c>
      <c r="B265" s="51" t="s">
        <v>5739</v>
      </c>
      <c r="C265" s="51"/>
      <c r="D265" s="52"/>
      <c r="E265" s="51">
        <v>63</v>
      </c>
      <c r="F265" s="52"/>
      <c r="G265" s="53">
        <v>11122311</v>
      </c>
      <c r="H265" s="53"/>
      <c r="I265" s="53"/>
      <c r="J265" s="52"/>
      <c r="K265" s="52"/>
      <c r="L265" s="52"/>
      <c r="M265" s="52"/>
      <c r="N265" s="52"/>
      <c r="O265" s="52"/>
      <c r="P265" s="52"/>
      <c r="Q265" s="52"/>
      <c r="R265" s="52"/>
      <c r="S265" s="52"/>
      <c r="T265" s="52"/>
      <c r="U265" s="52"/>
      <c r="V265" s="52"/>
      <c r="W265" s="52"/>
      <c r="X265" s="52"/>
      <c r="Y265" s="52"/>
      <c r="Z265" s="52"/>
      <c r="AA265" s="52"/>
      <c r="AB265" s="52"/>
    </row>
    <row r="266" spans="1:28" ht="14.25" x14ac:dyDescent="0.2">
      <c r="A266" s="54" t="s">
        <v>15</v>
      </c>
      <c r="B266" s="55" t="s">
        <v>5739</v>
      </c>
      <c r="C266" s="55"/>
      <c r="D266" s="52"/>
      <c r="E266" s="55">
        <v>75</v>
      </c>
      <c r="F266" s="52"/>
      <c r="G266" s="56">
        <v>11122312</v>
      </c>
      <c r="H266" s="56"/>
      <c r="I266" s="56"/>
      <c r="J266" s="52"/>
      <c r="K266" s="52"/>
      <c r="L266" s="52"/>
      <c r="M266" s="52"/>
      <c r="N266" s="52"/>
      <c r="O266" s="52"/>
      <c r="P266" s="52"/>
      <c r="Q266" s="52"/>
      <c r="R266" s="52"/>
      <c r="S266" s="52"/>
      <c r="T266" s="52"/>
      <c r="U266" s="52"/>
      <c r="V266" s="52"/>
      <c r="W266" s="52"/>
      <c r="X266" s="52"/>
      <c r="Y266" s="52"/>
      <c r="Z266" s="52"/>
      <c r="AA266" s="52"/>
      <c r="AB266" s="52"/>
    </row>
    <row r="267" spans="1:28" ht="14.25" x14ac:dyDescent="0.2">
      <c r="A267" s="50" t="s">
        <v>15</v>
      </c>
      <c r="B267" s="51" t="s">
        <v>5739</v>
      </c>
      <c r="C267" s="51"/>
      <c r="D267" s="52"/>
      <c r="E267" s="51">
        <v>90</v>
      </c>
      <c r="F267" s="52"/>
      <c r="G267" s="53">
        <v>11122313</v>
      </c>
      <c r="H267" s="53"/>
      <c r="I267" s="53"/>
      <c r="J267" s="52"/>
      <c r="K267" s="52"/>
      <c r="L267" s="52"/>
      <c r="M267" s="52"/>
      <c r="N267" s="52"/>
      <c r="O267" s="52"/>
      <c r="P267" s="52"/>
      <c r="Q267" s="52"/>
      <c r="R267" s="52"/>
      <c r="S267" s="52"/>
      <c r="T267" s="52"/>
      <c r="U267" s="52"/>
      <c r="V267" s="52"/>
      <c r="W267" s="52"/>
      <c r="X267" s="52"/>
      <c r="Y267" s="52"/>
      <c r="Z267" s="52"/>
      <c r="AA267" s="52"/>
      <c r="AB267" s="52"/>
    </row>
    <row r="268" spans="1:28" ht="14.25" x14ac:dyDescent="0.2">
      <c r="A268" s="54" t="s">
        <v>15</v>
      </c>
      <c r="B268" s="55" t="s">
        <v>5739</v>
      </c>
      <c r="C268" s="55"/>
      <c r="D268" s="52"/>
      <c r="E268" s="55">
        <v>110</v>
      </c>
      <c r="F268" s="52"/>
      <c r="G268" s="56">
        <v>11122314</v>
      </c>
      <c r="H268" s="56"/>
      <c r="I268" s="56"/>
      <c r="J268" s="52"/>
      <c r="K268" s="52"/>
      <c r="L268" s="52"/>
      <c r="M268" s="52"/>
      <c r="N268" s="52"/>
      <c r="O268" s="52"/>
      <c r="P268" s="52"/>
      <c r="Q268" s="52"/>
      <c r="R268" s="52"/>
      <c r="S268" s="52"/>
      <c r="T268" s="52"/>
      <c r="U268" s="52"/>
      <c r="V268" s="52"/>
      <c r="W268" s="52"/>
      <c r="X268" s="52"/>
      <c r="Y268" s="52"/>
      <c r="Z268" s="52"/>
      <c r="AA268" s="52"/>
      <c r="AB268" s="52"/>
    </row>
    <row r="269" spans="1:28" ht="14.25" x14ac:dyDescent="0.2">
      <c r="A269" s="50" t="s">
        <v>15</v>
      </c>
      <c r="B269" s="51" t="s">
        <v>5739</v>
      </c>
      <c r="C269" s="51"/>
      <c r="D269" s="52"/>
      <c r="E269" s="51">
        <v>125</v>
      </c>
      <c r="F269" s="52"/>
      <c r="G269" s="53">
        <v>11122315</v>
      </c>
      <c r="H269" s="53"/>
      <c r="I269" s="53"/>
      <c r="J269" s="52"/>
      <c r="K269" s="52"/>
      <c r="L269" s="52"/>
      <c r="M269" s="52"/>
      <c r="N269" s="52"/>
      <c r="O269" s="52"/>
      <c r="P269" s="52"/>
      <c r="Q269" s="52"/>
      <c r="R269" s="52"/>
      <c r="S269" s="52"/>
      <c r="T269" s="52"/>
      <c r="U269" s="52"/>
      <c r="V269" s="52"/>
      <c r="W269" s="52"/>
      <c r="X269" s="52"/>
      <c r="Y269" s="52"/>
      <c r="Z269" s="52"/>
      <c r="AA269" s="52"/>
      <c r="AB269" s="52"/>
    </row>
    <row r="270" spans="1:28" ht="14.25" x14ac:dyDescent="0.2">
      <c r="A270" s="54" t="s">
        <v>15</v>
      </c>
      <c r="B270" s="55" t="s">
        <v>5739</v>
      </c>
      <c r="C270" s="55"/>
      <c r="D270" s="52"/>
      <c r="E270" s="55">
        <v>140</v>
      </c>
      <c r="F270" s="52"/>
      <c r="G270" s="56">
        <v>11122316</v>
      </c>
      <c r="H270" s="56"/>
      <c r="I270" s="56"/>
      <c r="J270" s="52"/>
      <c r="K270" s="52"/>
      <c r="L270" s="52"/>
      <c r="M270" s="52"/>
      <c r="N270" s="52"/>
      <c r="O270" s="52"/>
      <c r="P270" s="52"/>
      <c r="Q270" s="52"/>
      <c r="R270" s="52"/>
      <c r="S270" s="52"/>
      <c r="T270" s="52"/>
      <c r="U270" s="52"/>
      <c r="V270" s="52"/>
      <c r="W270" s="52"/>
      <c r="X270" s="52"/>
      <c r="Y270" s="52"/>
      <c r="Z270" s="52"/>
      <c r="AA270" s="52"/>
      <c r="AB270" s="52"/>
    </row>
    <row r="271" spans="1:28" ht="14.25" x14ac:dyDescent="0.2">
      <c r="A271" s="50" t="s">
        <v>15</v>
      </c>
      <c r="B271" s="51" t="s">
        <v>5739</v>
      </c>
      <c r="C271" s="51"/>
      <c r="D271" s="52"/>
      <c r="E271" s="51">
        <v>160</v>
      </c>
      <c r="F271" s="52"/>
      <c r="G271" s="53">
        <v>11122317</v>
      </c>
      <c r="H271" s="53"/>
      <c r="I271" s="53"/>
      <c r="J271" s="52"/>
      <c r="K271" s="52"/>
      <c r="L271" s="52"/>
      <c r="M271" s="52"/>
      <c r="N271" s="52"/>
      <c r="O271" s="52"/>
      <c r="P271" s="52"/>
      <c r="Q271" s="52"/>
      <c r="R271" s="52"/>
      <c r="S271" s="52"/>
      <c r="T271" s="52"/>
      <c r="U271" s="52"/>
      <c r="V271" s="52"/>
      <c r="W271" s="52"/>
      <c r="X271" s="52"/>
      <c r="Y271" s="52"/>
      <c r="Z271" s="52"/>
      <c r="AA271" s="52"/>
      <c r="AB271" s="52"/>
    </row>
    <row r="272" spans="1:28" ht="14.25" x14ac:dyDescent="0.2">
      <c r="A272" s="54" t="s">
        <v>15</v>
      </c>
      <c r="B272" s="55" t="s">
        <v>5739</v>
      </c>
      <c r="C272" s="55"/>
      <c r="D272" s="52"/>
      <c r="E272" s="55">
        <v>200</v>
      </c>
      <c r="F272" s="52"/>
      <c r="G272" s="56">
        <v>11122318</v>
      </c>
      <c r="H272" s="56"/>
      <c r="I272" s="56"/>
      <c r="J272" s="52"/>
      <c r="K272" s="52"/>
      <c r="L272" s="52"/>
      <c r="M272" s="52"/>
      <c r="N272" s="52"/>
      <c r="O272" s="52"/>
      <c r="P272" s="52"/>
      <c r="Q272" s="52"/>
      <c r="R272" s="52"/>
      <c r="S272" s="52"/>
      <c r="T272" s="52"/>
      <c r="U272" s="52"/>
      <c r="V272" s="52"/>
      <c r="W272" s="52"/>
      <c r="X272" s="52"/>
      <c r="Y272" s="52"/>
      <c r="Z272" s="52"/>
      <c r="AA272" s="52"/>
      <c r="AB272" s="52"/>
    </row>
    <row r="273" spans="1:28" ht="14.25" x14ac:dyDescent="0.2">
      <c r="A273" s="50" t="s">
        <v>15</v>
      </c>
      <c r="B273" s="51" t="s">
        <v>5739</v>
      </c>
      <c r="C273" s="51"/>
      <c r="D273" s="52"/>
      <c r="E273" s="51">
        <v>225</v>
      </c>
      <c r="F273" s="52"/>
      <c r="G273" s="53">
        <v>11122319</v>
      </c>
      <c r="H273" s="53"/>
      <c r="I273" s="53"/>
      <c r="J273" s="52"/>
      <c r="K273" s="52"/>
      <c r="L273" s="52"/>
      <c r="M273" s="52"/>
      <c r="N273" s="52"/>
      <c r="O273" s="52"/>
      <c r="P273" s="52"/>
      <c r="Q273" s="52"/>
      <c r="R273" s="52"/>
      <c r="S273" s="52"/>
      <c r="T273" s="52"/>
      <c r="U273" s="52"/>
      <c r="V273" s="52"/>
      <c r="W273" s="52"/>
      <c r="X273" s="52"/>
      <c r="Y273" s="52"/>
      <c r="Z273" s="52"/>
      <c r="AA273" s="52"/>
      <c r="AB273" s="52"/>
    </row>
    <row r="274" spans="1:28" ht="14.25" x14ac:dyDescent="0.2">
      <c r="A274" s="54" t="s">
        <v>15</v>
      </c>
      <c r="B274" s="55" t="s">
        <v>5740</v>
      </c>
      <c r="C274" s="55"/>
      <c r="D274" s="52"/>
      <c r="E274" s="55" t="s">
        <v>5741</v>
      </c>
      <c r="F274" s="52"/>
      <c r="G274" s="56">
        <v>11124411</v>
      </c>
      <c r="H274" s="56"/>
      <c r="I274" s="56"/>
      <c r="J274" s="52"/>
      <c r="K274" s="52"/>
      <c r="L274" s="52"/>
      <c r="M274" s="52"/>
      <c r="N274" s="52"/>
      <c r="O274" s="52"/>
      <c r="P274" s="52"/>
      <c r="Q274" s="52"/>
      <c r="R274" s="52"/>
      <c r="S274" s="52"/>
      <c r="T274" s="52"/>
      <c r="U274" s="52"/>
      <c r="V274" s="52"/>
      <c r="W274" s="52"/>
      <c r="X274" s="52"/>
      <c r="Y274" s="52"/>
      <c r="Z274" s="52"/>
      <c r="AA274" s="52"/>
      <c r="AB274" s="52"/>
    </row>
    <row r="275" spans="1:28" ht="14.25" x14ac:dyDescent="0.2">
      <c r="A275" s="50" t="s">
        <v>15</v>
      </c>
      <c r="B275" s="51" t="s">
        <v>5740</v>
      </c>
      <c r="C275" s="51"/>
      <c r="D275" s="52"/>
      <c r="E275" s="51" t="s">
        <v>5742</v>
      </c>
      <c r="F275" s="52"/>
      <c r="G275" s="53">
        <v>11124412</v>
      </c>
      <c r="H275" s="53"/>
      <c r="I275" s="53"/>
      <c r="J275" s="52"/>
      <c r="K275" s="52"/>
      <c r="L275" s="52"/>
      <c r="M275" s="52"/>
      <c r="N275" s="52"/>
      <c r="O275" s="52"/>
      <c r="P275" s="52"/>
      <c r="Q275" s="52"/>
      <c r="R275" s="52"/>
      <c r="S275" s="52"/>
      <c r="T275" s="52"/>
      <c r="U275" s="52"/>
      <c r="V275" s="52"/>
      <c r="W275" s="52"/>
      <c r="X275" s="52"/>
      <c r="Y275" s="52"/>
      <c r="Z275" s="52"/>
      <c r="AA275" s="52"/>
      <c r="AB275" s="52"/>
    </row>
    <row r="276" spans="1:28" ht="14.25" x14ac:dyDescent="0.2">
      <c r="A276" s="54" t="s">
        <v>15</v>
      </c>
      <c r="B276" s="55" t="s">
        <v>5740</v>
      </c>
      <c r="C276" s="55"/>
      <c r="D276" s="52"/>
      <c r="E276" s="55" t="s">
        <v>5743</v>
      </c>
      <c r="F276" s="52"/>
      <c r="G276" s="56">
        <v>11124413</v>
      </c>
      <c r="H276" s="56"/>
      <c r="I276" s="56"/>
      <c r="J276" s="52"/>
      <c r="K276" s="52"/>
      <c r="L276" s="52"/>
      <c r="M276" s="52"/>
      <c r="N276" s="52"/>
      <c r="O276" s="52"/>
      <c r="P276" s="52"/>
      <c r="Q276" s="52"/>
      <c r="R276" s="52"/>
      <c r="S276" s="52"/>
      <c r="T276" s="52"/>
      <c r="U276" s="52"/>
      <c r="V276" s="52"/>
      <c r="W276" s="52"/>
      <c r="X276" s="52"/>
      <c r="Y276" s="52"/>
      <c r="Z276" s="52"/>
      <c r="AA276" s="52"/>
      <c r="AB276" s="52"/>
    </row>
    <row r="277" spans="1:28" ht="14.25" x14ac:dyDescent="0.2">
      <c r="A277" s="50" t="s">
        <v>15</v>
      </c>
      <c r="B277" s="51" t="s">
        <v>5740</v>
      </c>
      <c r="C277" s="51"/>
      <c r="D277" s="52"/>
      <c r="E277" s="51" t="s">
        <v>5744</v>
      </c>
      <c r="F277" s="52"/>
      <c r="G277" s="53">
        <v>11124414</v>
      </c>
      <c r="H277" s="53"/>
      <c r="I277" s="53"/>
      <c r="J277" s="52"/>
      <c r="K277" s="52"/>
      <c r="L277" s="52"/>
      <c r="M277" s="52"/>
      <c r="N277" s="52"/>
      <c r="O277" s="52"/>
      <c r="P277" s="52"/>
      <c r="Q277" s="52"/>
      <c r="R277" s="52"/>
      <c r="S277" s="52"/>
      <c r="T277" s="52"/>
      <c r="U277" s="52"/>
      <c r="V277" s="52"/>
      <c r="W277" s="52"/>
      <c r="X277" s="52"/>
      <c r="Y277" s="52"/>
      <c r="Z277" s="52"/>
      <c r="AA277" s="52"/>
      <c r="AB277" s="52"/>
    </row>
    <row r="278" spans="1:28" ht="14.25" x14ac:dyDescent="0.2">
      <c r="A278" s="54" t="s">
        <v>15</v>
      </c>
      <c r="B278" s="55" t="s">
        <v>5740</v>
      </c>
      <c r="C278" s="55"/>
      <c r="D278" s="52"/>
      <c r="E278" s="55" t="s">
        <v>5745</v>
      </c>
      <c r="F278" s="52"/>
      <c r="G278" s="56">
        <v>11124415</v>
      </c>
      <c r="H278" s="56"/>
      <c r="I278" s="56"/>
      <c r="J278" s="52"/>
      <c r="K278" s="52"/>
      <c r="L278" s="52"/>
      <c r="M278" s="52"/>
      <c r="N278" s="52"/>
      <c r="O278" s="52"/>
      <c r="P278" s="52"/>
      <c r="Q278" s="52"/>
      <c r="R278" s="52"/>
      <c r="S278" s="52"/>
      <c r="T278" s="52"/>
      <c r="U278" s="52"/>
      <c r="V278" s="52"/>
      <c r="W278" s="52"/>
      <c r="X278" s="52"/>
      <c r="Y278" s="52"/>
      <c r="Z278" s="52"/>
      <c r="AA278" s="52"/>
      <c r="AB278" s="52"/>
    </row>
    <row r="279" spans="1:28" ht="14.25" x14ac:dyDescent="0.2">
      <c r="A279" s="50" t="s">
        <v>15</v>
      </c>
      <c r="B279" s="51" t="s">
        <v>5740</v>
      </c>
      <c r="C279" s="51"/>
      <c r="D279" s="52"/>
      <c r="E279" s="51" t="s">
        <v>5746</v>
      </c>
      <c r="F279" s="52"/>
      <c r="G279" s="53">
        <v>11124416</v>
      </c>
      <c r="H279" s="53"/>
      <c r="I279" s="53"/>
      <c r="J279" s="52"/>
      <c r="K279" s="52"/>
      <c r="L279" s="52"/>
      <c r="M279" s="52"/>
      <c r="N279" s="52"/>
      <c r="O279" s="52"/>
      <c r="P279" s="52"/>
      <c r="Q279" s="52"/>
      <c r="R279" s="52"/>
      <c r="S279" s="52"/>
      <c r="T279" s="52"/>
      <c r="U279" s="52"/>
      <c r="V279" s="52"/>
      <c r="W279" s="52"/>
      <c r="X279" s="52"/>
      <c r="Y279" s="52"/>
      <c r="Z279" s="52"/>
      <c r="AA279" s="52"/>
      <c r="AB279" s="52"/>
    </row>
    <row r="280" spans="1:28" ht="14.25" x14ac:dyDescent="0.2">
      <c r="A280" s="54" t="s">
        <v>15</v>
      </c>
      <c r="B280" s="55" t="s">
        <v>5740</v>
      </c>
      <c r="C280" s="55"/>
      <c r="D280" s="52"/>
      <c r="E280" s="55" t="s">
        <v>5747</v>
      </c>
      <c r="F280" s="52"/>
      <c r="G280" s="56">
        <v>11124417</v>
      </c>
      <c r="H280" s="56"/>
      <c r="I280" s="56"/>
      <c r="J280" s="52"/>
      <c r="K280" s="52"/>
      <c r="L280" s="52"/>
      <c r="M280" s="52"/>
      <c r="N280" s="52"/>
      <c r="O280" s="52"/>
      <c r="P280" s="52"/>
      <c r="Q280" s="52"/>
      <c r="R280" s="52"/>
      <c r="S280" s="52"/>
      <c r="T280" s="52"/>
      <c r="U280" s="52"/>
      <c r="V280" s="52"/>
      <c r="W280" s="52"/>
      <c r="X280" s="52"/>
      <c r="Y280" s="52"/>
      <c r="Z280" s="52"/>
      <c r="AA280" s="52"/>
      <c r="AB280" s="52"/>
    </row>
    <row r="281" spans="1:28" ht="14.25" x14ac:dyDescent="0.2">
      <c r="A281" s="50" t="s">
        <v>15</v>
      </c>
      <c r="B281" s="51" t="s">
        <v>5740</v>
      </c>
      <c r="C281" s="51"/>
      <c r="D281" s="52"/>
      <c r="E281" s="51" t="s">
        <v>5748</v>
      </c>
      <c r="F281" s="52"/>
      <c r="G281" s="53">
        <v>11124418</v>
      </c>
      <c r="H281" s="53"/>
      <c r="I281" s="53"/>
      <c r="J281" s="52"/>
      <c r="K281" s="52"/>
      <c r="L281" s="52"/>
      <c r="M281" s="52"/>
      <c r="N281" s="52"/>
      <c r="O281" s="52"/>
      <c r="P281" s="52"/>
      <c r="Q281" s="52"/>
      <c r="R281" s="52"/>
      <c r="S281" s="52"/>
      <c r="T281" s="52"/>
      <c r="U281" s="52"/>
      <c r="V281" s="52"/>
      <c r="W281" s="52"/>
      <c r="X281" s="52"/>
      <c r="Y281" s="52"/>
      <c r="Z281" s="52"/>
      <c r="AA281" s="52"/>
      <c r="AB281" s="52"/>
    </row>
    <row r="282" spans="1:28" ht="14.25" x14ac:dyDescent="0.2">
      <c r="A282" s="54" t="s">
        <v>15</v>
      </c>
      <c r="B282" s="55" t="s">
        <v>5740</v>
      </c>
      <c r="C282" s="55"/>
      <c r="D282" s="52"/>
      <c r="E282" s="55" t="s">
        <v>5749</v>
      </c>
      <c r="F282" s="52"/>
      <c r="G282" s="56">
        <v>11124419</v>
      </c>
      <c r="H282" s="56"/>
      <c r="I282" s="56"/>
      <c r="J282" s="52"/>
      <c r="K282" s="52"/>
      <c r="L282" s="52"/>
      <c r="M282" s="52"/>
      <c r="N282" s="52"/>
      <c r="O282" s="52"/>
      <c r="P282" s="52"/>
      <c r="Q282" s="52"/>
      <c r="R282" s="52"/>
      <c r="S282" s="52"/>
      <c r="T282" s="52"/>
      <c r="U282" s="52"/>
      <c r="V282" s="52"/>
      <c r="W282" s="52"/>
      <c r="X282" s="52"/>
      <c r="Y282" s="52"/>
      <c r="Z282" s="52"/>
      <c r="AA282" s="52"/>
      <c r="AB282" s="52"/>
    </row>
    <row r="283" spans="1:28" ht="14.25" x14ac:dyDescent="0.2">
      <c r="A283" s="50" t="s">
        <v>15</v>
      </c>
      <c r="B283" s="51" t="s">
        <v>5740</v>
      </c>
      <c r="C283" s="51"/>
      <c r="D283" s="52"/>
      <c r="E283" s="51" t="s">
        <v>5750</v>
      </c>
      <c r="F283" s="52"/>
      <c r="G283" s="53">
        <v>11124420</v>
      </c>
      <c r="H283" s="53"/>
      <c r="I283" s="53"/>
      <c r="J283" s="52"/>
      <c r="K283" s="52"/>
      <c r="L283" s="52"/>
      <c r="M283" s="52"/>
      <c r="N283" s="52"/>
      <c r="O283" s="52"/>
      <c r="P283" s="52"/>
      <c r="Q283" s="52"/>
      <c r="R283" s="52"/>
      <c r="S283" s="52"/>
      <c r="T283" s="52"/>
      <c r="U283" s="52"/>
      <c r="V283" s="52"/>
      <c r="W283" s="52"/>
      <c r="X283" s="52"/>
      <c r="Y283" s="52"/>
      <c r="Z283" s="52"/>
      <c r="AA283" s="52"/>
      <c r="AB283" s="52"/>
    </row>
    <row r="284" spans="1:28" ht="14.25" x14ac:dyDescent="0.2">
      <c r="A284" s="54" t="s">
        <v>15</v>
      </c>
      <c r="B284" s="55" t="s">
        <v>5740</v>
      </c>
      <c r="C284" s="55"/>
      <c r="D284" s="52"/>
      <c r="E284" s="55" t="s">
        <v>5751</v>
      </c>
      <c r="F284" s="52"/>
      <c r="G284" s="56">
        <v>11124421</v>
      </c>
      <c r="H284" s="56"/>
      <c r="I284" s="56"/>
      <c r="J284" s="52"/>
      <c r="K284" s="52"/>
      <c r="L284" s="52"/>
      <c r="M284" s="52"/>
      <c r="N284" s="52"/>
      <c r="O284" s="52"/>
      <c r="P284" s="52"/>
      <c r="Q284" s="52"/>
      <c r="R284" s="52"/>
      <c r="S284" s="52"/>
      <c r="T284" s="52"/>
      <c r="U284" s="52"/>
      <c r="V284" s="52"/>
      <c r="W284" s="52"/>
      <c r="X284" s="52"/>
      <c r="Y284" s="52"/>
      <c r="Z284" s="52"/>
      <c r="AA284" s="52"/>
      <c r="AB284" s="52"/>
    </row>
    <row r="285" spans="1:28" ht="14.25" x14ac:dyDescent="0.2">
      <c r="A285" s="50" t="s">
        <v>15</v>
      </c>
      <c r="B285" s="51" t="s">
        <v>5740</v>
      </c>
      <c r="C285" s="51"/>
      <c r="D285" s="52"/>
      <c r="E285" s="51" t="s">
        <v>5752</v>
      </c>
      <c r="F285" s="52"/>
      <c r="G285" s="53">
        <v>11124422</v>
      </c>
      <c r="H285" s="53"/>
      <c r="I285" s="53"/>
      <c r="J285" s="52"/>
      <c r="K285" s="52"/>
      <c r="L285" s="52"/>
      <c r="M285" s="52"/>
      <c r="N285" s="52"/>
      <c r="O285" s="52"/>
      <c r="P285" s="52"/>
      <c r="Q285" s="52"/>
      <c r="R285" s="52"/>
      <c r="S285" s="52"/>
      <c r="T285" s="52"/>
      <c r="U285" s="52"/>
      <c r="V285" s="52"/>
      <c r="W285" s="52"/>
      <c r="X285" s="52"/>
      <c r="Y285" s="52"/>
      <c r="Z285" s="52"/>
      <c r="AA285" s="52"/>
      <c r="AB285" s="52"/>
    </row>
    <row r="286" spans="1:28" ht="14.25" x14ac:dyDescent="0.2">
      <c r="A286" s="54" t="s">
        <v>15</v>
      </c>
      <c r="B286" s="55" t="s">
        <v>5740</v>
      </c>
      <c r="C286" s="55"/>
      <c r="D286" s="52"/>
      <c r="E286" s="55" t="s">
        <v>5753</v>
      </c>
      <c r="F286" s="52"/>
      <c r="G286" s="56">
        <v>11124423</v>
      </c>
      <c r="H286" s="56"/>
      <c r="I286" s="56"/>
      <c r="J286" s="52"/>
      <c r="K286" s="52"/>
      <c r="L286" s="52"/>
      <c r="M286" s="52"/>
      <c r="N286" s="52"/>
      <c r="O286" s="52"/>
      <c r="P286" s="52"/>
      <c r="Q286" s="52"/>
      <c r="R286" s="52"/>
      <c r="S286" s="52"/>
      <c r="T286" s="52"/>
      <c r="U286" s="52"/>
      <c r="V286" s="52"/>
      <c r="W286" s="52"/>
      <c r="X286" s="52"/>
      <c r="Y286" s="52"/>
      <c r="Z286" s="52"/>
      <c r="AA286" s="52"/>
      <c r="AB286" s="52"/>
    </row>
    <row r="287" spans="1:28" ht="14.25" x14ac:dyDescent="0.2">
      <c r="A287" s="50" t="s">
        <v>15</v>
      </c>
      <c r="B287" s="51" t="s">
        <v>5740</v>
      </c>
      <c r="C287" s="51"/>
      <c r="D287" s="52"/>
      <c r="E287" s="51" t="s">
        <v>5754</v>
      </c>
      <c r="F287" s="52"/>
      <c r="G287" s="53">
        <v>11124424</v>
      </c>
      <c r="H287" s="53"/>
      <c r="I287" s="53"/>
      <c r="J287" s="52"/>
      <c r="K287" s="52"/>
      <c r="L287" s="52"/>
      <c r="M287" s="52"/>
      <c r="N287" s="52"/>
      <c r="O287" s="52"/>
      <c r="P287" s="52"/>
      <c r="Q287" s="52"/>
      <c r="R287" s="52"/>
      <c r="S287" s="52"/>
      <c r="T287" s="52"/>
      <c r="U287" s="52"/>
      <c r="V287" s="52"/>
      <c r="W287" s="52"/>
      <c r="X287" s="52"/>
      <c r="Y287" s="52"/>
      <c r="Z287" s="52"/>
      <c r="AA287" s="52"/>
      <c r="AB287" s="52"/>
    </row>
    <row r="288" spans="1:28" ht="14.25" x14ac:dyDescent="0.2">
      <c r="A288" s="54" t="s">
        <v>15</v>
      </c>
      <c r="B288" s="55" t="s">
        <v>5740</v>
      </c>
      <c r="C288" s="55"/>
      <c r="D288" s="52"/>
      <c r="E288" s="55" t="s">
        <v>5755</v>
      </c>
      <c r="F288" s="52"/>
      <c r="G288" s="56">
        <v>11124425</v>
      </c>
      <c r="H288" s="56"/>
      <c r="I288" s="56"/>
      <c r="J288" s="52"/>
      <c r="K288" s="52"/>
      <c r="L288" s="52"/>
      <c r="M288" s="52"/>
      <c r="N288" s="52"/>
      <c r="O288" s="52"/>
      <c r="P288" s="52"/>
      <c r="Q288" s="52"/>
      <c r="R288" s="52"/>
      <c r="S288" s="52"/>
      <c r="T288" s="52"/>
      <c r="U288" s="52"/>
      <c r="V288" s="52"/>
      <c r="W288" s="52"/>
      <c r="X288" s="52"/>
      <c r="Y288" s="52"/>
      <c r="Z288" s="52"/>
      <c r="AA288" s="52"/>
      <c r="AB288" s="52"/>
    </row>
    <row r="289" spans="1:28" ht="14.25" x14ac:dyDescent="0.2">
      <c r="A289" s="50" t="s">
        <v>15</v>
      </c>
      <c r="B289" s="51" t="s">
        <v>5740</v>
      </c>
      <c r="C289" s="51"/>
      <c r="D289" s="52"/>
      <c r="E289" s="51" t="s">
        <v>5756</v>
      </c>
      <c r="F289" s="52"/>
      <c r="G289" s="53">
        <v>11124426</v>
      </c>
      <c r="H289" s="53"/>
      <c r="I289" s="53"/>
      <c r="J289" s="52"/>
      <c r="K289" s="52"/>
      <c r="L289" s="52"/>
      <c r="M289" s="52"/>
      <c r="N289" s="52"/>
      <c r="O289" s="52"/>
      <c r="P289" s="52"/>
      <c r="Q289" s="52"/>
      <c r="R289" s="52"/>
      <c r="S289" s="52"/>
      <c r="T289" s="52"/>
      <c r="U289" s="52"/>
      <c r="V289" s="52"/>
      <c r="W289" s="52"/>
      <c r="X289" s="52"/>
      <c r="Y289" s="52"/>
      <c r="Z289" s="52"/>
      <c r="AA289" s="52"/>
      <c r="AB289" s="52"/>
    </row>
    <row r="290" spans="1:28" ht="14.25" x14ac:dyDescent="0.2">
      <c r="A290" s="54" t="s">
        <v>15</v>
      </c>
      <c r="B290" s="55" t="s">
        <v>5740</v>
      </c>
      <c r="C290" s="55"/>
      <c r="D290" s="52"/>
      <c r="E290" s="55" t="s">
        <v>5757</v>
      </c>
      <c r="F290" s="52"/>
      <c r="G290" s="56">
        <v>11124427</v>
      </c>
      <c r="H290" s="56"/>
      <c r="I290" s="56"/>
      <c r="J290" s="52"/>
      <c r="K290" s="52"/>
      <c r="L290" s="52"/>
      <c r="M290" s="52"/>
      <c r="N290" s="52"/>
      <c r="O290" s="52"/>
      <c r="P290" s="52"/>
      <c r="Q290" s="52"/>
      <c r="R290" s="52"/>
      <c r="S290" s="52"/>
      <c r="T290" s="52"/>
      <c r="U290" s="52"/>
      <c r="V290" s="52"/>
      <c r="W290" s="52"/>
      <c r="X290" s="52"/>
      <c r="Y290" s="52"/>
      <c r="Z290" s="52"/>
      <c r="AA290" s="52"/>
      <c r="AB290" s="52"/>
    </row>
    <row r="291" spans="1:28" ht="14.25" x14ac:dyDescent="0.2">
      <c r="A291" s="50" t="s">
        <v>15</v>
      </c>
      <c r="B291" s="51" t="s">
        <v>5740</v>
      </c>
      <c r="C291" s="51"/>
      <c r="D291" s="52"/>
      <c r="E291" s="51" t="s">
        <v>5758</v>
      </c>
      <c r="F291" s="52"/>
      <c r="G291" s="53">
        <v>11124428</v>
      </c>
      <c r="H291" s="53"/>
      <c r="I291" s="53"/>
      <c r="J291" s="52"/>
      <c r="K291" s="52"/>
      <c r="L291" s="52"/>
      <c r="M291" s="52"/>
      <c r="N291" s="52"/>
      <c r="O291" s="52"/>
      <c r="P291" s="52"/>
      <c r="Q291" s="52"/>
      <c r="R291" s="52"/>
      <c r="S291" s="52"/>
      <c r="T291" s="52"/>
      <c r="U291" s="52"/>
      <c r="V291" s="52"/>
      <c r="W291" s="52"/>
      <c r="X291" s="52"/>
      <c r="Y291" s="52"/>
      <c r="Z291" s="52"/>
      <c r="AA291" s="52"/>
      <c r="AB291" s="52"/>
    </row>
    <row r="292" spans="1:28" ht="14.25" x14ac:dyDescent="0.2">
      <c r="A292" s="54" t="s">
        <v>15</v>
      </c>
      <c r="B292" s="55" t="s">
        <v>5740</v>
      </c>
      <c r="C292" s="55"/>
      <c r="D292" s="52"/>
      <c r="E292" s="55" t="s">
        <v>5759</v>
      </c>
      <c r="F292" s="52"/>
      <c r="G292" s="56">
        <v>11124429</v>
      </c>
      <c r="H292" s="56"/>
      <c r="I292" s="56"/>
      <c r="J292" s="52"/>
      <c r="K292" s="52"/>
      <c r="L292" s="52"/>
      <c r="M292" s="52"/>
      <c r="N292" s="52"/>
      <c r="O292" s="52"/>
      <c r="P292" s="52"/>
      <c r="Q292" s="52"/>
      <c r="R292" s="52"/>
      <c r="S292" s="52"/>
      <c r="T292" s="52"/>
      <c r="U292" s="52"/>
      <c r="V292" s="52"/>
      <c r="W292" s="52"/>
      <c r="X292" s="52"/>
      <c r="Y292" s="52"/>
      <c r="Z292" s="52"/>
      <c r="AA292" s="52"/>
      <c r="AB292" s="52"/>
    </row>
    <row r="293" spans="1:28" ht="14.25" x14ac:dyDescent="0.2">
      <c r="A293" s="50" t="s">
        <v>15</v>
      </c>
      <c r="B293" s="51" t="s">
        <v>5740</v>
      </c>
      <c r="C293" s="51"/>
      <c r="D293" s="52"/>
      <c r="E293" s="51" t="s">
        <v>5760</v>
      </c>
      <c r="F293" s="52"/>
      <c r="G293" s="53">
        <v>11124430</v>
      </c>
      <c r="H293" s="53"/>
      <c r="I293" s="53"/>
      <c r="J293" s="52"/>
      <c r="K293" s="52"/>
      <c r="L293" s="52"/>
      <c r="M293" s="52"/>
      <c r="N293" s="52"/>
      <c r="O293" s="52"/>
      <c r="P293" s="52"/>
      <c r="Q293" s="52"/>
      <c r="R293" s="52"/>
      <c r="S293" s="52"/>
      <c r="T293" s="52"/>
      <c r="U293" s="52"/>
      <c r="V293" s="52"/>
      <c r="W293" s="52"/>
      <c r="X293" s="52"/>
      <c r="Y293" s="52"/>
      <c r="Z293" s="52"/>
      <c r="AA293" s="52"/>
      <c r="AB293" s="52"/>
    </row>
    <row r="294" spans="1:28" ht="14.25" x14ac:dyDescent="0.2">
      <c r="A294" s="54" t="s">
        <v>15</v>
      </c>
      <c r="B294" s="55" t="s">
        <v>5740</v>
      </c>
      <c r="C294" s="55"/>
      <c r="D294" s="52"/>
      <c r="E294" s="55" t="s">
        <v>5761</v>
      </c>
      <c r="F294" s="52"/>
      <c r="G294" s="56">
        <v>11124431</v>
      </c>
      <c r="H294" s="56"/>
      <c r="I294" s="56"/>
      <c r="J294" s="52"/>
      <c r="K294" s="52"/>
      <c r="L294" s="52"/>
      <c r="M294" s="52"/>
      <c r="N294" s="52"/>
      <c r="O294" s="52"/>
      <c r="P294" s="52"/>
      <c r="Q294" s="52"/>
      <c r="R294" s="52"/>
      <c r="S294" s="52"/>
      <c r="T294" s="52"/>
      <c r="U294" s="52"/>
      <c r="V294" s="52"/>
      <c r="W294" s="52"/>
      <c r="X294" s="52"/>
      <c r="Y294" s="52"/>
      <c r="Z294" s="52"/>
      <c r="AA294" s="52"/>
      <c r="AB294" s="52"/>
    </row>
    <row r="295" spans="1:28" ht="14.25" x14ac:dyDescent="0.2">
      <c r="A295" s="50" t="s">
        <v>15</v>
      </c>
      <c r="B295" s="51" t="s">
        <v>5740</v>
      </c>
      <c r="C295" s="51"/>
      <c r="D295" s="52"/>
      <c r="E295" s="51" t="s">
        <v>5762</v>
      </c>
      <c r="F295" s="52"/>
      <c r="G295" s="53">
        <v>11124432</v>
      </c>
      <c r="H295" s="53"/>
      <c r="I295" s="53"/>
      <c r="J295" s="52"/>
      <c r="K295" s="52"/>
      <c r="L295" s="52"/>
      <c r="M295" s="52"/>
      <c r="N295" s="52"/>
      <c r="O295" s="52"/>
      <c r="P295" s="52"/>
      <c r="Q295" s="52"/>
      <c r="R295" s="52"/>
      <c r="S295" s="52"/>
      <c r="T295" s="52"/>
      <c r="U295" s="52"/>
      <c r="V295" s="52"/>
      <c r="W295" s="52"/>
      <c r="X295" s="52"/>
      <c r="Y295" s="52"/>
      <c r="Z295" s="52"/>
      <c r="AA295" s="52"/>
      <c r="AB295" s="52"/>
    </row>
    <row r="296" spans="1:28" ht="14.25" x14ac:dyDescent="0.2">
      <c r="A296" s="54" t="s">
        <v>15</v>
      </c>
      <c r="B296" s="55" t="s">
        <v>5763</v>
      </c>
      <c r="C296" s="55"/>
      <c r="D296" s="52"/>
      <c r="E296" s="55">
        <v>12</v>
      </c>
      <c r="F296" s="52"/>
      <c r="G296" s="56">
        <v>11551304</v>
      </c>
      <c r="H296" s="56"/>
      <c r="I296" s="56"/>
      <c r="J296" s="52"/>
      <c r="K296" s="52"/>
      <c r="L296" s="52"/>
      <c r="M296" s="52"/>
      <c r="N296" s="52"/>
      <c r="O296" s="52"/>
      <c r="P296" s="52"/>
      <c r="Q296" s="52"/>
      <c r="R296" s="52"/>
      <c r="S296" s="52"/>
      <c r="T296" s="52"/>
      <c r="U296" s="52"/>
      <c r="V296" s="52"/>
      <c r="W296" s="52"/>
      <c r="X296" s="52"/>
      <c r="Y296" s="52"/>
      <c r="Z296" s="52"/>
      <c r="AA296" s="52"/>
      <c r="AB296" s="52"/>
    </row>
    <row r="297" spans="1:28" ht="14.25" x14ac:dyDescent="0.2">
      <c r="A297" s="50" t="s">
        <v>15</v>
      </c>
      <c r="B297" s="51" t="s">
        <v>5763</v>
      </c>
      <c r="C297" s="51"/>
      <c r="D297" s="52"/>
      <c r="E297" s="51">
        <v>16</v>
      </c>
      <c r="F297" s="52"/>
      <c r="G297" s="53">
        <v>11551305</v>
      </c>
      <c r="H297" s="53"/>
      <c r="I297" s="53"/>
      <c r="J297" s="52"/>
      <c r="K297" s="52"/>
      <c r="L297" s="52"/>
      <c r="M297" s="52"/>
      <c r="N297" s="52"/>
      <c r="O297" s="52"/>
      <c r="P297" s="52"/>
      <c r="Q297" s="52"/>
      <c r="R297" s="52"/>
      <c r="S297" s="52"/>
      <c r="T297" s="52"/>
      <c r="U297" s="52"/>
      <c r="V297" s="52"/>
      <c r="W297" s="52"/>
      <c r="X297" s="52"/>
      <c r="Y297" s="52"/>
      <c r="Z297" s="52"/>
      <c r="AA297" s="52"/>
      <c r="AB297" s="52"/>
    </row>
    <row r="298" spans="1:28" ht="14.25" x14ac:dyDescent="0.2">
      <c r="A298" s="54" t="s">
        <v>15</v>
      </c>
      <c r="B298" s="55" t="s">
        <v>5763</v>
      </c>
      <c r="C298" s="55"/>
      <c r="D298" s="52"/>
      <c r="E298" s="55">
        <v>20</v>
      </c>
      <c r="F298" s="52"/>
      <c r="G298" s="56">
        <v>11551306</v>
      </c>
      <c r="H298" s="56"/>
      <c r="I298" s="56"/>
      <c r="J298" s="52"/>
      <c r="K298" s="52"/>
      <c r="L298" s="52"/>
      <c r="M298" s="52"/>
      <c r="N298" s="52"/>
      <c r="O298" s="52"/>
      <c r="P298" s="52"/>
      <c r="Q298" s="52"/>
      <c r="R298" s="52"/>
      <c r="S298" s="52"/>
      <c r="T298" s="52"/>
      <c r="U298" s="52"/>
      <c r="V298" s="52"/>
      <c r="W298" s="52"/>
      <c r="X298" s="52"/>
      <c r="Y298" s="52"/>
      <c r="Z298" s="52"/>
      <c r="AA298" s="52"/>
      <c r="AB298" s="52"/>
    </row>
    <row r="299" spans="1:28" ht="14.25" x14ac:dyDescent="0.2">
      <c r="A299" s="50" t="s">
        <v>15</v>
      </c>
      <c r="B299" s="51" t="s">
        <v>5763</v>
      </c>
      <c r="C299" s="51"/>
      <c r="D299" s="52"/>
      <c r="E299" s="51">
        <v>25</v>
      </c>
      <c r="F299" s="52"/>
      <c r="G299" s="53">
        <v>11551307</v>
      </c>
      <c r="H299" s="53"/>
      <c r="I299" s="53"/>
      <c r="J299" s="52"/>
      <c r="K299" s="52"/>
      <c r="L299" s="52"/>
      <c r="M299" s="52"/>
      <c r="N299" s="52"/>
      <c r="O299" s="52"/>
      <c r="P299" s="52"/>
      <c r="Q299" s="52"/>
      <c r="R299" s="52"/>
      <c r="S299" s="52"/>
      <c r="T299" s="52"/>
      <c r="U299" s="52"/>
      <c r="V299" s="52"/>
      <c r="W299" s="52"/>
      <c r="X299" s="52"/>
      <c r="Y299" s="52"/>
      <c r="Z299" s="52"/>
      <c r="AA299" s="52"/>
      <c r="AB299" s="52"/>
    </row>
    <row r="300" spans="1:28" ht="14.25" x14ac:dyDescent="0.2">
      <c r="A300" s="54" t="s">
        <v>15</v>
      </c>
      <c r="B300" s="55" t="s">
        <v>5763</v>
      </c>
      <c r="C300" s="55"/>
      <c r="D300" s="52"/>
      <c r="E300" s="55">
        <v>32</v>
      </c>
      <c r="F300" s="52"/>
      <c r="G300" s="56">
        <v>11551308</v>
      </c>
      <c r="H300" s="56"/>
      <c r="I300" s="56"/>
      <c r="J300" s="52"/>
      <c r="K300" s="52"/>
      <c r="L300" s="52"/>
      <c r="M300" s="52"/>
      <c r="N300" s="52"/>
      <c r="O300" s="52"/>
      <c r="P300" s="52"/>
      <c r="Q300" s="52"/>
      <c r="R300" s="52"/>
      <c r="S300" s="52"/>
      <c r="T300" s="52"/>
      <c r="U300" s="52"/>
      <c r="V300" s="52"/>
      <c r="W300" s="52"/>
      <c r="X300" s="52"/>
      <c r="Y300" s="52"/>
      <c r="Z300" s="52"/>
      <c r="AA300" s="52"/>
      <c r="AB300" s="52"/>
    </row>
    <row r="301" spans="1:28" ht="14.25" x14ac:dyDescent="0.2">
      <c r="A301" s="50" t="s">
        <v>15</v>
      </c>
      <c r="B301" s="51" t="s">
        <v>5763</v>
      </c>
      <c r="C301" s="51"/>
      <c r="D301" s="52"/>
      <c r="E301" s="51">
        <v>40</v>
      </c>
      <c r="F301" s="52"/>
      <c r="G301" s="53">
        <v>11551309</v>
      </c>
      <c r="H301" s="53"/>
      <c r="I301" s="53"/>
      <c r="J301" s="52"/>
      <c r="K301" s="52"/>
      <c r="L301" s="52"/>
      <c r="M301" s="52"/>
      <c r="N301" s="52"/>
      <c r="O301" s="52"/>
      <c r="P301" s="52"/>
      <c r="Q301" s="52"/>
      <c r="R301" s="52"/>
      <c r="S301" s="52"/>
      <c r="T301" s="52"/>
      <c r="U301" s="52"/>
      <c r="V301" s="52"/>
      <c r="W301" s="52"/>
      <c r="X301" s="52"/>
      <c r="Y301" s="52"/>
      <c r="Z301" s="52"/>
      <c r="AA301" s="52"/>
      <c r="AB301" s="52"/>
    </row>
    <row r="302" spans="1:28" ht="14.25" x14ac:dyDescent="0.2">
      <c r="A302" s="54" t="s">
        <v>15</v>
      </c>
      <c r="B302" s="55" t="s">
        <v>5763</v>
      </c>
      <c r="C302" s="55"/>
      <c r="D302" s="52"/>
      <c r="E302" s="55">
        <v>50</v>
      </c>
      <c r="F302" s="52"/>
      <c r="G302" s="56">
        <v>11551310</v>
      </c>
      <c r="H302" s="56"/>
      <c r="I302" s="56"/>
      <c r="J302" s="52"/>
      <c r="K302" s="52"/>
      <c r="L302" s="52"/>
      <c r="M302" s="52"/>
      <c r="N302" s="52"/>
      <c r="O302" s="52"/>
      <c r="P302" s="52"/>
      <c r="Q302" s="52"/>
      <c r="R302" s="52"/>
      <c r="S302" s="52"/>
      <c r="T302" s="52"/>
      <c r="U302" s="52"/>
      <c r="V302" s="52"/>
      <c r="W302" s="52"/>
      <c r="X302" s="52"/>
      <c r="Y302" s="52"/>
      <c r="Z302" s="52"/>
      <c r="AA302" s="52"/>
      <c r="AB302" s="52"/>
    </row>
    <row r="303" spans="1:28" ht="14.25" x14ac:dyDescent="0.2">
      <c r="A303" s="50" t="s">
        <v>15</v>
      </c>
      <c r="B303" s="51" t="s">
        <v>5763</v>
      </c>
      <c r="C303" s="51"/>
      <c r="D303" s="52"/>
      <c r="E303" s="51">
        <v>63</v>
      </c>
      <c r="F303" s="52"/>
      <c r="G303" s="53">
        <v>11551311</v>
      </c>
      <c r="H303" s="53"/>
      <c r="I303" s="53"/>
      <c r="J303" s="52"/>
      <c r="K303" s="52"/>
      <c r="L303" s="52"/>
      <c r="M303" s="52"/>
      <c r="N303" s="52"/>
      <c r="O303" s="52"/>
      <c r="P303" s="52"/>
      <c r="Q303" s="52"/>
      <c r="R303" s="52"/>
      <c r="S303" s="52"/>
      <c r="T303" s="52"/>
      <c r="U303" s="52"/>
      <c r="V303" s="52"/>
      <c r="W303" s="52"/>
      <c r="X303" s="52"/>
      <c r="Y303" s="52"/>
      <c r="Z303" s="52"/>
      <c r="AA303" s="52"/>
      <c r="AB303" s="52"/>
    </row>
    <row r="304" spans="1:28" ht="14.25" x14ac:dyDescent="0.2">
      <c r="A304" s="54" t="s">
        <v>15</v>
      </c>
      <c r="B304" s="55" t="s">
        <v>5763</v>
      </c>
      <c r="C304" s="55"/>
      <c r="D304" s="52"/>
      <c r="E304" s="55">
        <v>75</v>
      </c>
      <c r="F304" s="52"/>
      <c r="G304" s="56">
        <v>11551312</v>
      </c>
      <c r="H304" s="56"/>
      <c r="I304" s="56"/>
      <c r="J304" s="52"/>
      <c r="K304" s="52"/>
      <c r="L304" s="52"/>
      <c r="M304" s="52"/>
      <c r="N304" s="52"/>
      <c r="O304" s="52"/>
      <c r="P304" s="52"/>
      <c r="Q304" s="52"/>
      <c r="R304" s="52"/>
      <c r="S304" s="52"/>
      <c r="T304" s="52"/>
      <c r="U304" s="52"/>
      <c r="V304" s="52"/>
      <c r="W304" s="52"/>
      <c r="X304" s="52"/>
      <c r="Y304" s="52"/>
      <c r="Z304" s="52"/>
      <c r="AA304" s="52"/>
      <c r="AB304" s="52"/>
    </row>
    <row r="305" spans="1:28" ht="14.25" x14ac:dyDescent="0.2">
      <c r="A305" s="50" t="s">
        <v>15</v>
      </c>
      <c r="B305" s="51" t="s">
        <v>5763</v>
      </c>
      <c r="C305" s="51"/>
      <c r="D305" s="52"/>
      <c r="E305" s="51">
        <v>90</v>
      </c>
      <c r="F305" s="52"/>
      <c r="G305" s="53">
        <v>11551313</v>
      </c>
      <c r="H305" s="53"/>
      <c r="I305" s="53"/>
      <c r="J305" s="52"/>
      <c r="K305" s="52"/>
      <c r="L305" s="52"/>
      <c r="M305" s="52"/>
      <c r="N305" s="52"/>
      <c r="O305" s="52"/>
      <c r="P305" s="52"/>
      <c r="Q305" s="52"/>
      <c r="R305" s="52"/>
      <c r="S305" s="52"/>
      <c r="T305" s="52"/>
      <c r="U305" s="52"/>
      <c r="V305" s="52"/>
      <c r="W305" s="52"/>
      <c r="X305" s="52"/>
      <c r="Y305" s="52"/>
      <c r="Z305" s="52"/>
      <c r="AA305" s="52"/>
      <c r="AB305" s="52"/>
    </row>
    <row r="306" spans="1:28" ht="14.25" x14ac:dyDescent="0.2">
      <c r="A306" s="54" t="s">
        <v>15</v>
      </c>
      <c r="B306" s="55" t="s">
        <v>5763</v>
      </c>
      <c r="C306" s="55"/>
      <c r="D306" s="52"/>
      <c r="E306" s="55">
        <v>110</v>
      </c>
      <c r="F306" s="52"/>
      <c r="G306" s="56">
        <v>11551314</v>
      </c>
      <c r="H306" s="56"/>
      <c r="I306" s="56"/>
      <c r="J306" s="52"/>
      <c r="K306" s="52"/>
      <c r="L306" s="52"/>
      <c r="M306" s="52"/>
      <c r="N306" s="52"/>
      <c r="O306" s="52"/>
      <c r="P306" s="52"/>
      <c r="Q306" s="52"/>
      <c r="R306" s="52"/>
      <c r="S306" s="52"/>
      <c r="T306" s="52"/>
      <c r="U306" s="52"/>
      <c r="V306" s="52"/>
      <c r="W306" s="52"/>
      <c r="X306" s="52"/>
      <c r="Y306" s="52"/>
      <c r="Z306" s="52"/>
      <c r="AA306" s="52"/>
      <c r="AB306" s="52"/>
    </row>
    <row r="307" spans="1:28" ht="14.25" x14ac:dyDescent="0.2">
      <c r="A307" s="50" t="s">
        <v>15</v>
      </c>
      <c r="B307" s="51" t="s">
        <v>5763</v>
      </c>
      <c r="C307" s="51"/>
      <c r="D307" s="52"/>
      <c r="E307" s="51">
        <v>125</v>
      </c>
      <c r="F307" s="52"/>
      <c r="G307" s="53">
        <v>11551315</v>
      </c>
      <c r="H307" s="53"/>
      <c r="I307" s="53"/>
      <c r="J307" s="52"/>
      <c r="K307" s="52"/>
      <c r="L307" s="52"/>
      <c r="M307" s="52"/>
      <c r="N307" s="52"/>
      <c r="O307" s="52"/>
      <c r="P307" s="52"/>
      <c r="Q307" s="52"/>
      <c r="R307" s="52"/>
      <c r="S307" s="52"/>
      <c r="T307" s="52"/>
      <c r="U307" s="52"/>
      <c r="V307" s="52"/>
      <c r="W307" s="52"/>
      <c r="X307" s="52"/>
      <c r="Y307" s="52"/>
      <c r="Z307" s="52"/>
      <c r="AA307" s="52"/>
      <c r="AB307" s="52"/>
    </row>
    <row r="308" spans="1:28" ht="14.25" x14ac:dyDescent="0.2">
      <c r="A308" s="54" t="s">
        <v>15</v>
      </c>
      <c r="B308" s="55" t="s">
        <v>5763</v>
      </c>
      <c r="C308" s="55"/>
      <c r="D308" s="52"/>
      <c r="E308" s="55">
        <v>140</v>
      </c>
      <c r="F308" s="52"/>
      <c r="G308" s="56">
        <v>11551316</v>
      </c>
      <c r="H308" s="56"/>
      <c r="I308" s="56"/>
      <c r="J308" s="52"/>
      <c r="K308" s="52"/>
      <c r="L308" s="52"/>
      <c r="M308" s="52"/>
      <c r="N308" s="52"/>
      <c r="O308" s="52"/>
      <c r="P308" s="52"/>
      <c r="Q308" s="52"/>
      <c r="R308" s="52"/>
      <c r="S308" s="52"/>
      <c r="T308" s="52"/>
      <c r="U308" s="52"/>
      <c r="V308" s="52"/>
      <c r="W308" s="52"/>
      <c r="X308" s="52"/>
      <c r="Y308" s="52"/>
      <c r="Z308" s="52"/>
      <c r="AA308" s="52"/>
      <c r="AB308" s="52"/>
    </row>
    <row r="309" spans="1:28" ht="14.25" x14ac:dyDescent="0.2">
      <c r="A309" s="50" t="s">
        <v>15</v>
      </c>
      <c r="B309" s="51" t="s">
        <v>5763</v>
      </c>
      <c r="C309" s="51"/>
      <c r="D309" s="52"/>
      <c r="E309" s="51">
        <v>160</v>
      </c>
      <c r="F309" s="52"/>
      <c r="G309" s="53">
        <v>11551317</v>
      </c>
      <c r="H309" s="53"/>
      <c r="I309" s="53"/>
      <c r="J309" s="52"/>
      <c r="K309" s="52"/>
      <c r="L309" s="52"/>
      <c r="M309" s="52"/>
      <c r="N309" s="52"/>
      <c r="O309" s="52"/>
      <c r="P309" s="52"/>
      <c r="Q309" s="52"/>
      <c r="R309" s="52"/>
      <c r="S309" s="52"/>
      <c r="T309" s="52"/>
      <c r="U309" s="52"/>
      <c r="V309" s="52"/>
      <c r="W309" s="52"/>
      <c r="X309" s="52"/>
      <c r="Y309" s="52"/>
      <c r="Z309" s="52"/>
      <c r="AA309" s="52"/>
      <c r="AB309" s="52"/>
    </row>
    <row r="310" spans="1:28" ht="14.25" x14ac:dyDescent="0.2">
      <c r="A310" s="54" t="s">
        <v>15</v>
      </c>
      <c r="B310" s="55" t="s">
        <v>5763</v>
      </c>
      <c r="C310" s="55"/>
      <c r="D310" s="52"/>
      <c r="E310" s="55">
        <v>200</v>
      </c>
      <c r="F310" s="52"/>
      <c r="G310" s="56">
        <v>11551318</v>
      </c>
      <c r="H310" s="56"/>
      <c r="I310" s="56"/>
      <c r="J310" s="52"/>
      <c r="K310" s="52"/>
      <c r="L310" s="52"/>
      <c r="M310" s="52"/>
      <c r="N310" s="52"/>
      <c r="O310" s="52"/>
      <c r="P310" s="52"/>
      <c r="Q310" s="52"/>
      <c r="R310" s="52"/>
      <c r="S310" s="52"/>
      <c r="T310" s="52"/>
      <c r="U310" s="52"/>
      <c r="V310" s="52"/>
      <c r="W310" s="52"/>
      <c r="X310" s="52"/>
      <c r="Y310" s="52"/>
      <c r="Z310" s="52"/>
      <c r="AA310" s="52"/>
      <c r="AB310" s="52"/>
    </row>
    <row r="311" spans="1:28" ht="14.25" x14ac:dyDescent="0.2">
      <c r="A311" s="50" t="s">
        <v>15</v>
      </c>
      <c r="B311" s="51" t="s">
        <v>5763</v>
      </c>
      <c r="C311" s="51"/>
      <c r="D311" s="52"/>
      <c r="E311" s="51">
        <v>225</v>
      </c>
      <c r="F311" s="52"/>
      <c r="G311" s="53">
        <v>11551319</v>
      </c>
      <c r="H311" s="53"/>
      <c r="I311" s="53"/>
      <c r="J311" s="52"/>
      <c r="K311" s="52"/>
      <c r="L311" s="52"/>
      <c r="M311" s="52"/>
      <c r="N311" s="52"/>
      <c r="O311" s="52"/>
      <c r="P311" s="52"/>
      <c r="Q311" s="52"/>
      <c r="R311" s="52"/>
      <c r="S311" s="52"/>
      <c r="T311" s="52"/>
      <c r="U311" s="52"/>
      <c r="V311" s="52"/>
      <c r="W311" s="52"/>
      <c r="X311" s="52"/>
      <c r="Y311" s="52"/>
      <c r="Z311" s="52"/>
      <c r="AA311" s="52"/>
      <c r="AB311" s="52"/>
    </row>
    <row r="312" spans="1:28" ht="14.25" x14ac:dyDescent="0.2">
      <c r="A312" s="54" t="s">
        <v>15</v>
      </c>
      <c r="B312" s="55" t="s">
        <v>5764</v>
      </c>
      <c r="C312" s="55"/>
      <c r="D312" s="52"/>
      <c r="E312" s="55">
        <v>90</v>
      </c>
      <c r="F312" s="52"/>
      <c r="G312" s="56">
        <v>11550313</v>
      </c>
      <c r="H312" s="56"/>
      <c r="I312" s="56"/>
      <c r="J312" s="52"/>
      <c r="K312" s="52"/>
      <c r="L312" s="52"/>
      <c r="M312" s="52"/>
      <c r="N312" s="52"/>
      <c r="O312" s="52"/>
      <c r="P312" s="52"/>
      <c r="Q312" s="52"/>
      <c r="R312" s="52"/>
      <c r="S312" s="52"/>
      <c r="T312" s="52"/>
      <c r="U312" s="52"/>
      <c r="V312" s="52"/>
      <c r="W312" s="52"/>
      <c r="X312" s="52"/>
      <c r="Y312" s="52"/>
      <c r="Z312" s="52"/>
      <c r="AA312" s="52"/>
      <c r="AB312" s="52"/>
    </row>
    <row r="313" spans="1:28" ht="14.25" x14ac:dyDescent="0.2">
      <c r="A313" s="54" t="s">
        <v>15</v>
      </c>
      <c r="B313" s="55" t="s">
        <v>5764</v>
      </c>
      <c r="C313" s="55"/>
      <c r="D313" s="52"/>
      <c r="E313" s="55">
        <v>32</v>
      </c>
      <c r="F313" s="52"/>
      <c r="G313" s="56">
        <v>11550308</v>
      </c>
      <c r="H313" s="56"/>
      <c r="I313" s="56"/>
      <c r="J313" s="52"/>
      <c r="K313" s="52"/>
      <c r="L313" s="52"/>
      <c r="M313" s="52"/>
      <c r="N313" s="52"/>
      <c r="O313" s="52"/>
      <c r="P313" s="52"/>
      <c r="Q313" s="52"/>
      <c r="R313" s="52"/>
      <c r="S313" s="52"/>
      <c r="T313" s="52"/>
      <c r="U313" s="52"/>
      <c r="V313" s="52"/>
      <c r="W313" s="52"/>
      <c r="X313" s="52"/>
      <c r="Y313" s="52"/>
      <c r="Z313" s="52"/>
      <c r="AA313" s="52"/>
      <c r="AB313" s="52"/>
    </row>
    <row r="314" spans="1:28" ht="14.25" x14ac:dyDescent="0.2">
      <c r="A314" s="50" t="s">
        <v>15</v>
      </c>
      <c r="B314" s="51" t="s">
        <v>5764</v>
      </c>
      <c r="C314" s="51"/>
      <c r="D314" s="52"/>
      <c r="E314" s="51">
        <v>40</v>
      </c>
      <c r="F314" s="52"/>
      <c r="G314" s="53">
        <v>11550309</v>
      </c>
      <c r="H314" s="53"/>
      <c r="I314" s="53"/>
      <c r="J314" s="52"/>
      <c r="K314" s="52"/>
      <c r="L314" s="52"/>
      <c r="M314" s="52"/>
      <c r="N314" s="52"/>
      <c r="O314" s="52"/>
      <c r="P314" s="52"/>
      <c r="Q314" s="52"/>
      <c r="R314" s="52"/>
      <c r="S314" s="52"/>
      <c r="T314" s="52"/>
      <c r="U314" s="52"/>
      <c r="V314" s="52"/>
      <c r="W314" s="52"/>
      <c r="X314" s="52"/>
      <c r="Y314" s="52"/>
      <c r="Z314" s="52"/>
      <c r="AA314" s="52"/>
      <c r="AB314" s="52"/>
    </row>
    <row r="315" spans="1:28" ht="14.25" x14ac:dyDescent="0.2">
      <c r="A315" s="54" t="s">
        <v>15</v>
      </c>
      <c r="B315" s="55" t="s">
        <v>5764</v>
      </c>
      <c r="C315" s="55"/>
      <c r="D315" s="52"/>
      <c r="E315" s="55">
        <v>50</v>
      </c>
      <c r="F315" s="52"/>
      <c r="G315" s="56">
        <v>11550310</v>
      </c>
      <c r="H315" s="56"/>
      <c r="I315" s="56"/>
      <c r="J315" s="52"/>
      <c r="K315" s="52"/>
      <c r="L315" s="52"/>
      <c r="M315" s="52"/>
      <c r="N315" s="52"/>
      <c r="O315" s="52"/>
      <c r="P315" s="52"/>
      <c r="Q315" s="52"/>
      <c r="R315" s="52"/>
      <c r="S315" s="52"/>
      <c r="T315" s="52"/>
      <c r="U315" s="52"/>
      <c r="V315" s="52"/>
      <c r="W315" s="52"/>
      <c r="X315" s="52"/>
      <c r="Y315" s="52"/>
      <c r="Z315" s="52"/>
      <c r="AA315" s="52"/>
      <c r="AB315" s="52"/>
    </row>
    <row r="316" spans="1:28" ht="14.25" x14ac:dyDescent="0.2">
      <c r="A316" s="50" t="s">
        <v>15</v>
      </c>
      <c r="B316" s="51" t="s">
        <v>5764</v>
      </c>
      <c r="C316" s="51"/>
      <c r="D316" s="52"/>
      <c r="E316" s="51">
        <v>63</v>
      </c>
      <c r="F316" s="52"/>
      <c r="G316" s="53">
        <v>11550311</v>
      </c>
      <c r="H316" s="53"/>
      <c r="I316" s="53"/>
      <c r="J316" s="52"/>
      <c r="K316" s="52"/>
      <c r="L316" s="52"/>
      <c r="M316" s="52"/>
      <c r="N316" s="52"/>
      <c r="O316" s="52"/>
      <c r="P316" s="52"/>
      <c r="Q316" s="52"/>
      <c r="R316" s="52"/>
      <c r="S316" s="52"/>
      <c r="T316" s="52"/>
      <c r="U316" s="52"/>
      <c r="V316" s="52"/>
      <c r="W316" s="52"/>
      <c r="X316" s="52"/>
      <c r="Y316" s="52"/>
      <c r="Z316" s="52"/>
      <c r="AA316" s="52"/>
      <c r="AB316" s="52"/>
    </row>
    <row r="317" spans="1:28" ht="14.25" x14ac:dyDescent="0.2">
      <c r="A317" s="54" t="s">
        <v>15</v>
      </c>
      <c r="B317" s="55" t="s">
        <v>5764</v>
      </c>
      <c r="C317" s="55"/>
      <c r="D317" s="52"/>
      <c r="E317" s="55">
        <v>110</v>
      </c>
      <c r="F317" s="52"/>
      <c r="G317" s="56">
        <v>11550314</v>
      </c>
      <c r="H317" s="56"/>
      <c r="I317" s="56"/>
      <c r="J317" s="52"/>
      <c r="K317" s="52"/>
      <c r="L317" s="52"/>
      <c r="M317" s="52"/>
      <c r="N317" s="52"/>
      <c r="O317" s="52"/>
      <c r="P317" s="52"/>
      <c r="Q317" s="52"/>
      <c r="R317" s="52"/>
      <c r="S317" s="52"/>
      <c r="T317" s="52"/>
      <c r="U317" s="52"/>
      <c r="V317" s="52"/>
      <c r="W317" s="52"/>
      <c r="X317" s="52"/>
      <c r="Y317" s="52"/>
      <c r="Z317" s="52"/>
      <c r="AA317" s="52"/>
      <c r="AB317" s="52"/>
    </row>
    <row r="318" spans="1:28" ht="14.25" x14ac:dyDescent="0.2">
      <c r="A318" s="50" t="s">
        <v>15</v>
      </c>
      <c r="B318" s="51" t="s">
        <v>5764</v>
      </c>
      <c r="C318" s="51"/>
      <c r="D318" s="52"/>
      <c r="E318" s="51">
        <v>160</v>
      </c>
      <c r="F318" s="52"/>
      <c r="G318" s="53">
        <v>11550317</v>
      </c>
      <c r="H318" s="53"/>
      <c r="I318" s="53"/>
      <c r="J318" s="52"/>
      <c r="K318" s="52"/>
      <c r="L318" s="52"/>
      <c r="M318" s="52"/>
      <c r="N318" s="52"/>
      <c r="O318" s="52"/>
      <c r="P318" s="52"/>
      <c r="Q318" s="52"/>
      <c r="R318" s="52"/>
      <c r="S318" s="52"/>
      <c r="T318" s="52"/>
      <c r="U318" s="52"/>
      <c r="V318" s="52"/>
      <c r="W318" s="52"/>
      <c r="X318" s="52"/>
      <c r="Y318" s="52"/>
      <c r="Z318" s="52"/>
      <c r="AA318" s="52"/>
      <c r="AB318" s="52"/>
    </row>
    <row r="319" spans="1:28" ht="14.25" x14ac:dyDescent="0.2">
      <c r="A319" s="54" t="s">
        <v>15</v>
      </c>
      <c r="B319" s="55" t="s">
        <v>5765</v>
      </c>
      <c r="C319" s="55"/>
      <c r="D319" s="52"/>
      <c r="E319" s="55">
        <v>12</v>
      </c>
      <c r="F319" s="52"/>
      <c r="G319" s="56">
        <v>11205304</v>
      </c>
      <c r="H319" s="56"/>
      <c r="I319" s="56"/>
      <c r="J319" s="52"/>
      <c r="K319" s="52"/>
      <c r="L319" s="52"/>
      <c r="M319" s="52"/>
      <c r="N319" s="52"/>
      <c r="O319" s="52"/>
      <c r="P319" s="52"/>
      <c r="Q319" s="52"/>
      <c r="R319" s="52"/>
      <c r="S319" s="52"/>
      <c r="T319" s="52"/>
      <c r="U319" s="52"/>
      <c r="V319" s="52"/>
      <c r="W319" s="52"/>
      <c r="X319" s="52"/>
      <c r="Y319" s="52"/>
      <c r="Z319" s="52"/>
      <c r="AA319" s="52"/>
      <c r="AB319" s="52"/>
    </row>
    <row r="320" spans="1:28" ht="14.25" x14ac:dyDescent="0.2">
      <c r="A320" s="50" t="s">
        <v>15</v>
      </c>
      <c r="B320" s="51" t="s">
        <v>5765</v>
      </c>
      <c r="C320" s="51"/>
      <c r="D320" s="52"/>
      <c r="E320" s="51">
        <v>16</v>
      </c>
      <c r="F320" s="52"/>
      <c r="G320" s="53">
        <v>11205305</v>
      </c>
      <c r="H320" s="53"/>
      <c r="I320" s="53"/>
      <c r="J320" s="52"/>
      <c r="K320" s="52"/>
      <c r="L320" s="52"/>
      <c r="M320" s="52"/>
      <c r="N320" s="52"/>
      <c r="O320" s="52"/>
      <c r="P320" s="52"/>
      <c r="Q320" s="52"/>
      <c r="R320" s="52"/>
      <c r="S320" s="52"/>
      <c r="T320" s="52"/>
      <c r="U320" s="52"/>
      <c r="V320" s="52"/>
      <c r="W320" s="52"/>
      <c r="X320" s="52"/>
      <c r="Y320" s="52"/>
      <c r="Z320" s="52"/>
      <c r="AA320" s="52"/>
      <c r="AB320" s="52"/>
    </row>
    <row r="321" spans="1:28" ht="14.25" x14ac:dyDescent="0.2">
      <c r="A321" s="54" t="s">
        <v>15</v>
      </c>
      <c r="B321" s="55" t="s">
        <v>5765</v>
      </c>
      <c r="C321" s="55"/>
      <c r="D321" s="52"/>
      <c r="E321" s="55">
        <v>20</v>
      </c>
      <c r="F321" s="52"/>
      <c r="G321" s="56">
        <v>11205306</v>
      </c>
      <c r="H321" s="56"/>
      <c r="I321" s="56"/>
      <c r="J321" s="52"/>
      <c r="K321" s="52"/>
      <c r="L321" s="52"/>
      <c r="M321" s="52"/>
      <c r="N321" s="52"/>
      <c r="O321" s="52"/>
      <c r="P321" s="52"/>
      <c r="Q321" s="52"/>
      <c r="R321" s="52"/>
      <c r="S321" s="52"/>
      <c r="T321" s="52"/>
      <c r="U321" s="52"/>
      <c r="V321" s="52"/>
      <c r="W321" s="52"/>
      <c r="X321" s="52"/>
      <c r="Y321" s="52"/>
      <c r="Z321" s="52"/>
      <c r="AA321" s="52"/>
      <c r="AB321" s="52"/>
    </row>
    <row r="322" spans="1:28" ht="14.25" x14ac:dyDescent="0.2">
      <c r="A322" s="50" t="s">
        <v>15</v>
      </c>
      <c r="B322" s="51" t="s">
        <v>5765</v>
      </c>
      <c r="C322" s="51"/>
      <c r="D322" s="52"/>
      <c r="E322" s="51">
        <v>25</v>
      </c>
      <c r="F322" s="52"/>
      <c r="G322" s="53">
        <v>11205307</v>
      </c>
      <c r="H322" s="53"/>
      <c r="I322" s="53"/>
      <c r="J322" s="52"/>
      <c r="K322" s="52"/>
      <c r="L322" s="52"/>
      <c r="M322" s="52"/>
      <c r="N322" s="52"/>
      <c r="O322" s="52"/>
      <c r="P322" s="52"/>
      <c r="Q322" s="52"/>
      <c r="R322" s="52"/>
      <c r="S322" s="52"/>
      <c r="T322" s="52"/>
      <c r="U322" s="52"/>
      <c r="V322" s="52"/>
      <c r="W322" s="52"/>
      <c r="X322" s="52"/>
      <c r="Y322" s="52"/>
      <c r="Z322" s="52"/>
      <c r="AA322" s="52"/>
      <c r="AB322" s="52"/>
    </row>
    <row r="323" spans="1:28" ht="14.25" x14ac:dyDescent="0.2">
      <c r="A323" s="54" t="s">
        <v>15</v>
      </c>
      <c r="B323" s="55" t="s">
        <v>5765</v>
      </c>
      <c r="C323" s="55"/>
      <c r="D323" s="52"/>
      <c r="E323" s="55">
        <v>32</v>
      </c>
      <c r="F323" s="52"/>
      <c r="G323" s="56">
        <v>11205308</v>
      </c>
      <c r="H323" s="56"/>
      <c r="I323" s="56"/>
      <c r="J323" s="52"/>
      <c r="K323" s="52"/>
      <c r="L323" s="52"/>
      <c r="M323" s="52"/>
      <c r="N323" s="52"/>
      <c r="O323" s="52"/>
      <c r="P323" s="52"/>
      <c r="Q323" s="52"/>
      <c r="R323" s="52"/>
      <c r="S323" s="52"/>
      <c r="T323" s="52"/>
      <c r="U323" s="52"/>
      <c r="V323" s="52"/>
      <c r="W323" s="52"/>
      <c r="X323" s="52"/>
      <c r="Y323" s="52"/>
      <c r="Z323" s="52"/>
      <c r="AA323" s="52"/>
      <c r="AB323" s="52"/>
    </row>
    <row r="324" spans="1:28" ht="14.25" x14ac:dyDescent="0.2">
      <c r="A324" s="50" t="s">
        <v>15</v>
      </c>
      <c r="B324" s="51" t="s">
        <v>5765</v>
      </c>
      <c r="C324" s="51"/>
      <c r="D324" s="52"/>
      <c r="E324" s="51">
        <v>40</v>
      </c>
      <c r="F324" s="52"/>
      <c r="G324" s="53">
        <v>11205309</v>
      </c>
      <c r="H324" s="53"/>
      <c r="I324" s="53"/>
      <c r="J324" s="52"/>
      <c r="K324" s="52"/>
      <c r="L324" s="52"/>
      <c r="M324" s="52"/>
      <c r="N324" s="52"/>
      <c r="O324" s="52"/>
      <c r="P324" s="52"/>
      <c r="Q324" s="52"/>
      <c r="R324" s="52"/>
      <c r="S324" s="52"/>
      <c r="T324" s="52"/>
      <c r="U324" s="52"/>
      <c r="V324" s="52"/>
      <c r="W324" s="52"/>
      <c r="X324" s="52"/>
      <c r="Y324" s="52"/>
      <c r="Z324" s="52"/>
      <c r="AA324" s="52"/>
      <c r="AB324" s="52"/>
    </row>
    <row r="325" spans="1:28" ht="14.25" x14ac:dyDescent="0.2">
      <c r="A325" s="54" t="s">
        <v>15</v>
      </c>
      <c r="B325" s="55" t="s">
        <v>5765</v>
      </c>
      <c r="C325" s="55"/>
      <c r="D325" s="52"/>
      <c r="E325" s="55">
        <v>50</v>
      </c>
      <c r="F325" s="52"/>
      <c r="G325" s="56">
        <v>11205310</v>
      </c>
      <c r="H325" s="56"/>
      <c r="I325" s="56"/>
      <c r="J325" s="52"/>
      <c r="K325" s="52"/>
      <c r="L325" s="52"/>
      <c r="M325" s="52"/>
      <c r="N325" s="52"/>
      <c r="O325" s="52"/>
      <c r="P325" s="52"/>
      <c r="Q325" s="52"/>
      <c r="R325" s="52"/>
      <c r="S325" s="52"/>
      <c r="T325" s="52"/>
      <c r="U325" s="52"/>
      <c r="V325" s="52"/>
      <c r="W325" s="52"/>
      <c r="X325" s="52"/>
      <c r="Y325" s="52"/>
      <c r="Z325" s="52"/>
      <c r="AA325" s="52"/>
      <c r="AB325" s="52"/>
    </row>
    <row r="326" spans="1:28" ht="14.25" x14ac:dyDescent="0.2">
      <c r="A326" s="50" t="s">
        <v>15</v>
      </c>
      <c r="B326" s="51" t="s">
        <v>5765</v>
      </c>
      <c r="C326" s="51"/>
      <c r="D326" s="52"/>
      <c r="E326" s="51">
        <v>63</v>
      </c>
      <c r="F326" s="52"/>
      <c r="G326" s="53">
        <v>11205311</v>
      </c>
      <c r="H326" s="53"/>
      <c r="I326" s="53"/>
      <c r="J326" s="52"/>
      <c r="K326" s="52"/>
      <c r="L326" s="52"/>
      <c r="M326" s="52"/>
      <c r="N326" s="52"/>
      <c r="O326" s="52"/>
      <c r="P326" s="52"/>
      <c r="Q326" s="52"/>
      <c r="R326" s="52"/>
      <c r="S326" s="52"/>
      <c r="T326" s="52"/>
      <c r="U326" s="52"/>
      <c r="V326" s="52"/>
      <c r="W326" s="52"/>
      <c r="X326" s="52"/>
      <c r="Y326" s="52"/>
      <c r="Z326" s="52"/>
      <c r="AA326" s="52"/>
      <c r="AB326" s="52"/>
    </row>
    <row r="327" spans="1:28" ht="14.25" x14ac:dyDescent="0.2">
      <c r="A327" s="54" t="s">
        <v>15</v>
      </c>
      <c r="B327" s="55" t="s">
        <v>5766</v>
      </c>
      <c r="C327" s="55"/>
      <c r="D327" s="52"/>
      <c r="E327" s="55" t="s">
        <v>5767</v>
      </c>
      <c r="F327" s="52"/>
      <c r="G327" s="56">
        <v>11217304</v>
      </c>
      <c r="H327" s="56"/>
      <c r="I327" s="56"/>
      <c r="J327" s="52"/>
      <c r="K327" s="52"/>
      <c r="L327" s="52"/>
      <c r="M327" s="52"/>
      <c r="N327" s="52"/>
      <c r="O327" s="52"/>
      <c r="P327" s="52"/>
      <c r="Q327" s="52"/>
      <c r="R327" s="52"/>
      <c r="S327" s="52"/>
      <c r="T327" s="52"/>
      <c r="U327" s="52"/>
      <c r="V327" s="52"/>
      <c r="W327" s="52"/>
      <c r="X327" s="52"/>
      <c r="Y327" s="52"/>
      <c r="Z327" s="52"/>
      <c r="AA327" s="52"/>
      <c r="AB327" s="52"/>
    </row>
    <row r="328" spans="1:28" ht="14.25" x14ac:dyDescent="0.2">
      <c r="A328" s="50" t="s">
        <v>15</v>
      </c>
      <c r="B328" s="51" t="s">
        <v>5766</v>
      </c>
      <c r="C328" s="51"/>
      <c r="D328" s="52"/>
      <c r="E328" s="51" t="s">
        <v>5654</v>
      </c>
      <c r="F328" s="52"/>
      <c r="G328" s="53">
        <v>11217305</v>
      </c>
      <c r="H328" s="53"/>
      <c r="I328" s="53"/>
      <c r="J328" s="52"/>
      <c r="K328" s="52"/>
      <c r="L328" s="52"/>
      <c r="M328" s="52"/>
      <c r="N328" s="52"/>
      <c r="O328" s="52"/>
      <c r="P328" s="52"/>
      <c r="Q328" s="52"/>
      <c r="R328" s="52"/>
      <c r="S328" s="52"/>
      <c r="T328" s="52"/>
      <c r="U328" s="52"/>
      <c r="V328" s="52"/>
      <c r="W328" s="52"/>
      <c r="X328" s="52"/>
      <c r="Y328" s="52"/>
      <c r="Z328" s="52"/>
      <c r="AA328" s="52"/>
      <c r="AB328" s="52"/>
    </row>
    <row r="329" spans="1:28" ht="14.25" x14ac:dyDescent="0.2">
      <c r="A329" s="54" t="s">
        <v>15</v>
      </c>
      <c r="B329" s="55" t="s">
        <v>5766</v>
      </c>
      <c r="C329" s="55"/>
      <c r="D329" s="52"/>
      <c r="E329" s="55" t="s">
        <v>5655</v>
      </c>
      <c r="F329" s="52"/>
      <c r="G329" s="56">
        <v>11217306</v>
      </c>
      <c r="H329" s="56"/>
      <c r="I329" s="56"/>
      <c r="J329" s="52"/>
      <c r="K329" s="52"/>
      <c r="L329" s="52"/>
      <c r="M329" s="52"/>
      <c r="N329" s="52"/>
      <c r="O329" s="52"/>
      <c r="P329" s="52"/>
      <c r="Q329" s="52"/>
      <c r="R329" s="52"/>
      <c r="S329" s="52"/>
      <c r="T329" s="52"/>
      <c r="U329" s="52"/>
      <c r="V329" s="52"/>
      <c r="W329" s="52"/>
      <c r="X329" s="52"/>
      <c r="Y329" s="52"/>
      <c r="Z329" s="52"/>
      <c r="AA329" s="52"/>
      <c r="AB329" s="52"/>
    </row>
    <row r="330" spans="1:28" ht="14.25" x14ac:dyDescent="0.2">
      <c r="A330" s="50" t="s">
        <v>15</v>
      </c>
      <c r="B330" s="51" t="s">
        <v>5766</v>
      </c>
      <c r="C330" s="51"/>
      <c r="D330" s="52"/>
      <c r="E330" s="51" t="s">
        <v>5657</v>
      </c>
      <c r="F330" s="52"/>
      <c r="G330" s="53">
        <v>11217307</v>
      </c>
      <c r="H330" s="53"/>
      <c r="I330" s="53"/>
      <c r="J330" s="52"/>
      <c r="K330" s="52"/>
      <c r="L330" s="52"/>
      <c r="M330" s="52"/>
      <c r="N330" s="52"/>
      <c r="O330" s="52"/>
      <c r="P330" s="52"/>
      <c r="Q330" s="52"/>
      <c r="R330" s="52"/>
      <c r="S330" s="52"/>
      <c r="T330" s="52"/>
      <c r="U330" s="52"/>
      <c r="V330" s="52"/>
      <c r="W330" s="52"/>
      <c r="X330" s="52"/>
      <c r="Y330" s="52"/>
      <c r="Z330" s="52"/>
      <c r="AA330" s="52"/>
      <c r="AB330" s="52"/>
    </row>
    <row r="331" spans="1:28" ht="14.25" x14ac:dyDescent="0.2">
      <c r="A331" s="54" t="s">
        <v>15</v>
      </c>
      <c r="B331" s="55" t="s">
        <v>5766</v>
      </c>
      <c r="C331" s="55"/>
      <c r="D331" s="52"/>
      <c r="E331" s="55" t="s">
        <v>5768</v>
      </c>
      <c r="F331" s="52"/>
      <c r="G331" s="56">
        <v>11217308</v>
      </c>
      <c r="H331" s="56"/>
      <c r="I331" s="56"/>
      <c r="J331" s="52"/>
      <c r="K331" s="52"/>
      <c r="L331" s="52"/>
      <c r="M331" s="52"/>
      <c r="N331" s="52"/>
      <c r="O331" s="52"/>
      <c r="P331" s="52"/>
      <c r="Q331" s="52"/>
      <c r="R331" s="52"/>
      <c r="S331" s="52"/>
      <c r="T331" s="52"/>
      <c r="U331" s="52"/>
      <c r="V331" s="52"/>
      <c r="W331" s="52"/>
      <c r="X331" s="52"/>
      <c r="Y331" s="52"/>
      <c r="Z331" s="52"/>
      <c r="AA331" s="52"/>
      <c r="AB331" s="52"/>
    </row>
    <row r="332" spans="1:28" ht="14.25" x14ac:dyDescent="0.2">
      <c r="A332" s="50" t="s">
        <v>15</v>
      </c>
      <c r="B332" s="51" t="s">
        <v>5766</v>
      </c>
      <c r="C332" s="51"/>
      <c r="D332" s="52"/>
      <c r="E332" s="51" t="s">
        <v>5769</v>
      </c>
      <c r="F332" s="52"/>
      <c r="G332" s="53">
        <v>11217309</v>
      </c>
      <c r="H332" s="53"/>
      <c r="I332" s="53"/>
      <c r="J332" s="52"/>
      <c r="K332" s="52"/>
      <c r="L332" s="52"/>
      <c r="M332" s="52"/>
      <c r="N332" s="52"/>
      <c r="O332" s="52"/>
      <c r="P332" s="52"/>
      <c r="Q332" s="52"/>
      <c r="R332" s="52"/>
      <c r="S332" s="52"/>
      <c r="T332" s="52"/>
      <c r="U332" s="52"/>
      <c r="V332" s="52"/>
      <c r="W332" s="52"/>
      <c r="X332" s="52"/>
      <c r="Y332" s="52"/>
      <c r="Z332" s="52"/>
      <c r="AA332" s="52"/>
      <c r="AB332" s="52"/>
    </row>
    <row r="333" spans="1:28" ht="14.25" x14ac:dyDescent="0.2">
      <c r="A333" s="54" t="s">
        <v>15</v>
      </c>
      <c r="B333" s="55" t="s">
        <v>5766</v>
      </c>
      <c r="C333" s="55"/>
      <c r="D333" s="52"/>
      <c r="E333" s="55" t="s">
        <v>5770</v>
      </c>
      <c r="F333" s="52"/>
      <c r="G333" s="56">
        <v>11217310</v>
      </c>
      <c r="H333" s="56"/>
      <c r="I333" s="56"/>
      <c r="J333" s="52"/>
      <c r="K333" s="52"/>
      <c r="L333" s="52"/>
      <c r="M333" s="52"/>
      <c r="N333" s="52"/>
      <c r="O333" s="52"/>
      <c r="P333" s="52"/>
      <c r="Q333" s="52"/>
      <c r="R333" s="52"/>
      <c r="S333" s="52"/>
      <c r="T333" s="52"/>
      <c r="U333" s="52"/>
      <c r="V333" s="52"/>
      <c r="W333" s="52"/>
      <c r="X333" s="52"/>
      <c r="Y333" s="52"/>
      <c r="Z333" s="52"/>
      <c r="AA333" s="52"/>
      <c r="AB333" s="52"/>
    </row>
    <row r="334" spans="1:28" ht="14.25" x14ac:dyDescent="0.2">
      <c r="A334" s="50" t="s">
        <v>15</v>
      </c>
      <c r="B334" s="51" t="s">
        <v>5766</v>
      </c>
      <c r="C334" s="51"/>
      <c r="D334" s="52"/>
      <c r="E334" s="51" t="s">
        <v>5771</v>
      </c>
      <c r="F334" s="52"/>
      <c r="G334" s="53">
        <v>11217311</v>
      </c>
      <c r="H334" s="53"/>
      <c r="I334" s="53"/>
      <c r="J334" s="52"/>
      <c r="K334" s="52"/>
      <c r="L334" s="52"/>
      <c r="M334" s="52"/>
      <c r="N334" s="52"/>
      <c r="O334" s="52"/>
      <c r="P334" s="52"/>
      <c r="Q334" s="52"/>
      <c r="R334" s="52"/>
      <c r="S334" s="52"/>
      <c r="T334" s="52"/>
      <c r="U334" s="52"/>
      <c r="V334" s="52"/>
      <c r="W334" s="52"/>
      <c r="X334" s="52"/>
      <c r="Y334" s="52"/>
      <c r="Z334" s="52"/>
      <c r="AA334" s="52"/>
      <c r="AB334" s="52"/>
    </row>
    <row r="335" spans="1:28" ht="14.25" x14ac:dyDescent="0.2">
      <c r="A335" s="54" t="s">
        <v>15</v>
      </c>
      <c r="B335" s="55" t="s">
        <v>5772</v>
      </c>
      <c r="C335" s="55"/>
      <c r="D335" s="52"/>
      <c r="E335" s="55" t="s">
        <v>5767</v>
      </c>
      <c r="F335" s="52"/>
      <c r="G335" s="56">
        <v>11216304</v>
      </c>
      <c r="H335" s="56"/>
      <c r="I335" s="56"/>
      <c r="J335" s="52"/>
      <c r="K335" s="52"/>
      <c r="L335" s="52"/>
      <c r="M335" s="52"/>
      <c r="N335" s="52"/>
      <c r="O335" s="52"/>
      <c r="P335" s="52"/>
      <c r="Q335" s="52"/>
      <c r="R335" s="52"/>
      <c r="S335" s="52"/>
      <c r="T335" s="52"/>
      <c r="U335" s="52"/>
      <c r="V335" s="52"/>
      <c r="W335" s="52"/>
      <c r="X335" s="52"/>
      <c r="Y335" s="52"/>
      <c r="Z335" s="52"/>
      <c r="AA335" s="52"/>
      <c r="AB335" s="52"/>
    </row>
    <row r="336" spans="1:28" ht="14.25" x14ac:dyDescent="0.2">
      <c r="A336" s="50" t="s">
        <v>15</v>
      </c>
      <c r="B336" s="51" t="s">
        <v>5772</v>
      </c>
      <c r="C336" s="51"/>
      <c r="D336" s="52"/>
      <c r="E336" s="51" t="s">
        <v>5654</v>
      </c>
      <c r="F336" s="52"/>
      <c r="G336" s="53">
        <v>11216305</v>
      </c>
      <c r="H336" s="53"/>
      <c r="I336" s="53"/>
      <c r="J336" s="52"/>
      <c r="K336" s="52"/>
      <c r="L336" s="52"/>
      <c r="M336" s="52"/>
      <c r="N336" s="52"/>
      <c r="O336" s="52"/>
      <c r="P336" s="52"/>
      <c r="Q336" s="52"/>
      <c r="R336" s="52"/>
      <c r="S336" s="52"/>
      <c r="T336" s="52"/>
      <c r="U336" s="52"/>
      <c r="V336" s="52"/>
      <c r="W336" s="52"/>
      <c r="X336" s="52"/>
      <c r="Y336" s="52"/>
      <c r="Z336" s="52"/>
      <c r="AA336" s="52"/>
      <c r="AB336" s="52"/>
    </row>
    <row r="337" spans="1:28" ht="14.25" x14ac:dyDescent="0.2">
      <c r="A337" s="54" t="s">
        <v>15</v>
      </c>
      <c r="B337" s="55" t="s">
        <v>5772</v>
      </c>
      <c r="C337" s="55"/>
      <c r="D337" s="52"/>
      <c r="E337" s="55" t="s">
        <v>5655</v>
      </c>
      <c r="F337" s="52"/>
      <c r="G337" s="56">
        <v>11216306</v>
      </c>
      <c r="H337" s="56"/>
      <c r="I337" s="56"/>
      <c r="J337" s="52"/>
      <c r="K337" s="52"/>
      <c r="L337" s="52"/>
      <c r="M337" s="52"/>
      <c r="N337" s="52"/>
      <c r="O337" s="52"/>
      <c r="P337" s="52"/>
      <c r="Q337" s="52"/>
      <c r="R337" s="52"/>
      <c r="S337" s="52"/>
      <c r="T337" s="52"/>
      <c r="U337" s="52"/>
      <c r="V337" s="52"/>
      <c r="W337" s="52"/>
      <c r="X337" s="52"/>
      <c r="Y337" s="52"/>
      <c r="Z337" s="52"/>
      <c r="AA337" s="52"/>
      <c r="AB337" s="52"/>
    </row>
    <row r="338" spans="1:28" ht="14.25" x14ac:dyDescent="0.2">
      <c r="A338" s="50" t="s">
        <v>15</v>
      </c>
      <c r="B338" s="51" t="s">
        <v>5772</v>
      </c>
      <c r="C338" s="51"/>
      <c r="D338" s="52"/>
      <c r="E338" s="51" t="s">
        <v>5657</v>
      </c>
      <c r="F338" s="52"/>
      <c r="G338" s="53">
        <v>11216307</v>
      </c>
      <c r="H338" s="53"/>
      <c r="I338" s="53"/>
      <c r="J338" s="52"/>
      <c r="K338" s="52"/>
      <c r="L338" s="52"/>
      <c r="M338" s="52"/>
      <c r="N338" s="52"/>
      <c r="O338" s="52"/>
      <c r="P338" s="52"/>
      <c r="Q338" s="52"/>
      <c r="R338" s="52"/>
      <c r="S338" s="52"/>
      <c r="T338" s="52"/>
      <c r="U338" s="52"/>
      <c r="V338" s="52"/>
      <c r="W338" s="52"/>
      <c r="X338" s="52"/>
      <c r="Y338" s="52"/>
      <c r="Z338" s="52"/>
      <c r="AA338" s="52"/>
      <c r="AB338" s="52"/>
    </row>
    <row r="339" spans="1:28" ht="14.25" x14ac:dyDescent="0.2">
      <c r="A339" s="54" t="s">
        <v>15</v>
      </c>
      <c r="B339" s="55" t="s">
        <v>5772</v>
      </c>
      <c r="C339" s="55"/>
      <c r="D339" s="52"/>
      <c r="E339" s="55" t="s">
        <v>5768</v>
      </c>
      <c r="F339" s="52"/>
      <c r="G339" s="56">
        <v>11216308</v>
      </c>
      <c r="H339" s="56"/>
      <c r="I339" s="56"/>
      <c r="J339" s="52"/>
      <c r="K339" s="52"/>
      <c r="L339" s="52"/>
      <c r="M339" s="52"/>
      <c r="N339" s="52"/>
      <c r="O339" s="52"/>
      <c r="P339" s="52"/>
      <c r="Q339" s="52"/>
      <c r="R339" s="52"/>
      <c r="S339" s="52"/>
      <c r="T339" s="52"/>
      <c r="U339" s="52"/>
      <c r="V339" s="52"/>
      <c r="W339" s="52"/>
      <c r="X339" s="52"/>
      <c r="Y339" s="52"/>
      <c r="Z339" s="52"/>
      <c r="AA339" s="52"/>
      <c r="AB339" s="52"/>
    </row>
    <row r="340" spans="1:28" ht="14.25" x14ac:dyDescent="0.2">
      <c r="A340" s="50" t="s">
        <v>15</v>
      </c>
      <c r="B340" s="51" t="s">
        <v>5772</v>
      </c>
      <c r="C340" s="51"/>
      <c r="D340" s="52"/>
      <c r="E340" s="51" t="s">
        <v>5769</v>
      </c>
      <c r="F340" s="52"/>
      <c r="G340" s="53">
        <v>11216309</v>
      </c>
      <c r="H340" s="53"/>
      <c r="I340" s="53"/>
      <c r="J340" s="52"/>
      <c r="K340" s="52"/>
      <c r="L340" s="52"/>
      <c r="M340" s="52"/>
      <c r="N340" s="52"/>
      <c r="O340" s="52"/>
      <c r="P340" s="52"/>
      <c r="Q340" s="52"/>
      <c r="R340" s="52"/>
      <c r="S340" s="52"/>
      <c r="T340" s="52"/>
      <c r="U340" s="52"/>
      <c r="V340" s="52"/>
      <c r="W340" s="52"/>
      <c r="X340" s="52"/>
      <c r="Y340" s="52"/>
      <c r="Z340" s="52"/>
      <c r="AA340" s="52"/>
      <c r="AB340" s="52"/>
    </row>
    <row r="341" spans="1:28" ht="14.25" x14ac:dyDescent="0.2">
      <c r="A341" s="54" t="s">
        <v>15</v>
      </c>
      <c r="B341" s="55" t="s">
        <v>5772</v>
      </c>
      <c r="C341" s="55"/>
      <c r="D341" s="52"/>
      <c r="E341" s="55" t="s">
        <v>5770</v>
      </c>
      <c r="F341" s="52"/>
      <c r="G341" s="56">
        <v>11216310</v>
      </c>
      <c r="H341" s="56"/>
      <c r="I341" s="56"/>
      <c r="J341" s="52"/>
      <c r="K341" s="52"/>
      <c r="L341" s="52"/>
      <c r="M341" s="52"/>
      <c r="N341" s="52"/>
      <c r="O341" s="52"/>
      <c r="P341" s="52"/>
      <c r="Q341" s="52"/>
      <c r="R341" s="52"/>
      <c r="S341" s="52"/>
      <c r="T341" s="52"/>
      <c r="U341" s="52"/>
      <c r="V341" s="52"/>
      <c r="W341" s="52"/>
      <c r="X341" s="52"/>
      <c r="Y341" s="52"/>
      <c r="Z341" s="52"/>
      <c r="AA341" s="52"/>
      <c r="AB341" s="52"/>
    </row>
    <row r="342" spans="1:28" ht="14.25" x14ac:dyDescent="0.2">
      <c r="A342" s="50" t="s">
        <v>15</v>
      </c>
      <c r="B342" s="51" t="s">
        <v>5772</v>
      </c>
      <c r="C342" s="51"/>
      <c r="D342" s="52"/>
      <c r="E342" s="51" t="s">
        <v>5771</v>
      </c>
      <c r="F342" s="52"/>
      <c r="G342" s="53">
        <v>11216311</v>
      </c>
      <c r="H342" s="53"/>
      <c r="I342" s="53"/>
      <c r="J342" s="52"/>
      <c r="K342" s="52"/>
      <c r="L342" s="52"/>
      <c r="M342" s="52"/>
      <c r="N342" s="52"/>
      <c r="O342" s="52"/>
      <c r="P342" s="52"/>
      <c r="Q342" s="52"/>
      <c r="R342" s="52"/>
      <c r="S342" s="52"/>
      <c r="T342" s="52"/>
      <c r="U342" s="52"/>
      <c r="V342" s="52"/>
      <c r="W342" s="52"/>
      <c r="X342" s="52"/>
      <c r="Y342" s="52"/>
      <c r="Z342" s="52"/>
      <c r="AA342" s="52"/>
      <c r="AB342" s="52"/>
    </row>
    <row r="343" spans="1:28" ht="14.25" x14ac:dyDescent="0.2">
      <c r="A343" s="54" t="s">
        <v>15</v>
      </c>
      <c r="B343" s="55" t="s">
        <v>5773</v>
      </c>
      <c r="C343" s="55"/>
      <c r="D343" s="52"/>
      <c r="E343" s="55">
        <v>16</v>
      </c>
      <c r="F343" s="52"/>
      <c r="G343" s="56">
        <v>11668305</v>
      </c>
      <c r="H343" s="56"/>
      <c r="I343" s="56"/>
      <c r="J343" s="52"/>
      <c r="K343" s="52"/>
      <c r="L343" s="52"/>
      <c r="M343" s="52"/>
      <c r="N343" s="52"/>
      <c r="O343" s="52"/>
      <c r="P343" s="52"/>
      <c r="Q343" s="52"/>
      <c r="R343" s="52"/>
      <c r="S343" s="52"/>
      <c r="T343" s="52"/>
      <c r="U343" s="52"/>
      <c r="V343" s="52"/>
      <c r="W343" s="52"/>
      <c r="X343" s="52"/>
      <c r="Y343" s="52"/>
      <c r="Z343" s="52"/>
      <c r="AA343" s="52"/>
      <c r="AB343" s="52"/>
    </row>
    <row r="344" spans="1:28" ht="14.25" x14ac:dyDescent="0.2">
      <c r="A344" s="50" t="s">
        <v>15</v>
      </c>
      <c r="B344" s="51" t="s">
        <v>5773</v>
      </c>
      <c r="C344" s="51"/>
      <c r="D344" s="52"/>
      <c r="E344" s="51">
        <v>20</v>
      </c>
      <c r="F344" s="52"/>
      <c r="G344" s="53">
        <v>11668306</v>
      </c>
      <c r="H344" s="53"/>
      <c r="I344" s="53"/>
      <c r="J344" s="52"/>
      <c r="K344" s="52"/>
      <c r="L344" s="52"/>
      <c r="M344" s="52"/>
      <c r="N344" s="52"/>
      <c r="O344" s="52"/>
      <c r="P344" s="52"/>
      <c r="Q344" s="52"/>
      <c r="R344" s="52"/>
      <c r="S344" s="52"/>
      <c r="T344" s="52"/>
      <c r="U344" s="52"/>
      <c r="V344" s="52"/>
      <c r="W344" s="52"/>
      <c r="X344" s="52"/>
      <c r="Y344" s="52"/>
      <c r="Z344" s="52"/>
      <c r="AA344" s="52"/>
      <c r="AB344" s="52"/>
    </row>
    <row r="345" spans="1:28" ht="14.25" x14ac:dyDescent="0.2">
      <c r="A345" s="54" t="s">
        <v>15</v>
      </c>
      <c r="B345" s="55" t="s">
        <v>5773</v>
      </c>
      <c r="C345" s="55"/>
      <c r="D345" s="52"/>
      <c r="E345" s="55">
        <v>25</v>
      </c>
      <c r="F345" s="52"/>
      <c r="G345" s="56">
        <v>11668307</v>
      </c>
      <c r="H345" s="56"/>
      <c r="I345" s="56"/>
      <c r="J345" s="52"/>
      <c r="K345" s="52"/>
      <c r="L345" s="52"/>
      <c r="M345" s="52"/>
      <c r="N345" s="52"/>
      <c r="O345" s="52"/>
      <c r="P345" s="52"/>
      <c r="Q345" s="52"/>
      <c r="R345" s="52"/>
      <c r="S345" s="52"/>
      <c r="T345" s="52"/>
      <c r="U345" s="52"/>
      <c r="V345" s="52"/>
      <c r="W345" s="52"/>
      <c r="X345" s="52"/>
      <c r="Y345" s="52"/>
      <c r="Z345" s="52"/>
      <c r="AA345" s="52"/>
      <c r="AB345" s="52"/>
    </row>
    <row r="346" spans="1:28" ht="14.25" x14ac:dyDescent="0.2">
      <c r="A346" s="50" t="s">
        <v>15</v>
      </c>
      <c r="B346" s="51" t="s">
        <v>5773</v>
      </c>
      <c r="C346" s="51"/>
      <c r="D346" s="52"/>
      <c r="E346" s="51">
        <v>32</v>
      </c>
      <c r="F346" s="52"/>
      <c r="G346" s="53">
        <v>11668308</v>
      </c>
      <c r="H346" s="53"/>
      <c r="I346" s="53"/>
      <c r="J346" s="52"/>
      <c r="K346" s="52"/>
      <c r="L346" s="52"/>
      <c r="M346" s="52"/>
      <c r="N346" s="52"/>
      <c r="O346" s="52"/>
      <c r="P346" s="52"/>
      <c r="Q346" s="52"/>
      <c r="R346" s="52"/>
      <c r="S346" s="52"/>
      <c r="T346" s="52"/>
      <c r="U346" s="52"/>
      <c r="V346" s="52"/>
      <c r="W346" s="52"/>
      <c r="X346" s="52"/>
      <c r="Y346" s="52"/>
      <c r="Z346" s="52"/>
      <c r="AA346" s="52"/>
      <c r="AB346" s="52"/>
    </row>
    <row r="347" spans="1:28" ht="14.25" x14ac:dyDescent="0.2">
      <c r="A347" s="54" t="s">
        <v>15</v>
      </c>
      <c r="B347" s="55" t="s">
        <v>5773</v>
      </c>
      <c r="C347" s="55"/>
      <c r="D347" s="52"/>
      <c r="E347" s="55">
        <v>40</v>
      </c>
      <c r="F347" s="52"/>
      <c r="G347" s="56">
        <v>11668309</v>
      </c>
      <c r="H347" s="56"/>
      <c r="I347" s="56"/>
      <c r="J347" s="52"/>
      <c r="K347" s="52"/>
      <c r="L347" s="52"/>
      <c r="M347" s="52"/>
      <c r="N347" s="52"/>
      <c r="O347" s="52"/>
      <c r="P347" s="52"/>
      <c r="Q347" s="52"/>
      <c r="R347" s="52"/>
      <c r="S347" s="52"/>
      <c r="T347" s="52"/>
      <c r="U347" s="52"/>
      <c r="V347" s="52"/>
      <c r="W347" s="52"/>
      <c r="X347" s="52"/>
      <c r="Y347" s="52"/>
      <c r="Z347" s="52"/>
      <c r="AA347" s="52"/>
      <c r="AB347" s="52"/>
    </row>
    <row r="348" spans="1:28" ht="14.25" x14ac:dyDescent="0.2">
      <c r="A348" s="50" t="s">
        <v>15</v>
      </c>
      <c r="B348" s="51" t="s">
        <v>5773</v>
      </c>
      <c r="C348" s="51"/>
      <c r="D348" s="52"/>
      <c r="E348" s="51">
        <v>50</v>
      </c>
      <c r="F348" s="52"/>
      <c r="G348" s="53">
        <v>11668310</v>
      </c>
      <c r="H348" s="53"/>
      <c r="I348" s="53"/>
      <c r="J348" s="52"/>
      <c r="K348" s="52"/>
      <c r="L348" s="52"/>
      <c r="M348" s="52"/>
      <c r="N348" s="52"/>
      <c r="O348" s="52"/>
      <c r="P348" s="52"/>
      <c r="Q348" s="52"/>
      <c r="R348" s="52"/>
      <c r="S348" s="52"/>
      <c r="T348" s="52"/>
      <c r="U348" s="52"/>
      <c r="V348" s="52"/>
      <c r="W348" s="52"/>
      <c r="X348" s="52"/>
      <c r="Y348" s="52"/>
      <c r="Z348" s="52"/>
      <c r="AA348" s="52"/>
      <c r="AB348" s="52"/>
    </row>
    <row r="349" spans="1:28" ht="14.25" x14ac:dyDescent="0.2">
      <c r="A349" s="54" t="s">
        <v>15</v>
      </c>
      <c r="B349" s="55" t="s">
        <v>5773</v>
      </c>
      <c r="C349" s="55"/>
      <c r="D349" s="52"/>
      <c r="E349" s="55">
        <v>63</v>
      </c>
      <c r="F349" s="52"/>
      <c r="G349" s="56">
        <v>11668311</v>
      </c>
      <c r="H349" s="56"/>
      <c r="I349" s="56"/>
      <c r="J349" s="52"/>
      <c r="K349" s="52"/>
      <c r="L349" s="52"/>
      <c r="M349" s="52"/>
      <c r="N349" s="52"/>
      <c r="O349" s="52"/>
      <c r="P349" s="52"/>
      <c r="Q349" s="52"/>
      <c r="R349" s="52"/>
      <c r="S349" s="52"/>
      <c r="T349" s="52"/>
      <c r="U349" s="52"/>
      <c r="V349" s="52"/>
      <c r="W349" s="52"/>
      <c r="X349" s="52"/>
      <c r="Y349" s="52"/>
      <c r="Z349" s="52"/>
      <c r="AA349" s="52"/>
      <c r="AB349" s="52"/>
    </row>
    <row r="350" spans="1:28" ht="14.25" x14ac:dyDescent="0.2">
      <c r="A350" s="50" t="s">
        <v>15</v>
      </c>
      <c r="B350" s="51" t="s">
        <v>5773</v>
      </c>
      <c r="C350" s="51"/>
      <c r="D350" s="52"/>
      <c r="E350" s="51">
        <v>75</v>
      </c>
      <c r="F350" s="52"/>
      <c r="G350" s="53">
        <v>11668312</v>
      </c>
      <c r="H350" s="53"/>
      <c r="I350" s="53"/>
      <c r="J350" s="52"/>
      <c r="K350" s="52"/>
      <c r="L350" s="52"/>
      <c r="M350" s="52"/>
      <c r="N350" s="52"/>
      <c r="O350" s="52"/>
      <c r="P350" s="52"/>
      <c r="Q350" s="52"/>
      <c r="R350" s="52"/>
      <c r="S350" s="52"/>
      <c r="T350" s="52"/>
      <c r="U350" s="52"/>
      <c r="V350" s="52"/>
      <c r="W350" s="52"/>
      <c r="X350" s="52"/>
      <c r="Y350" s="52"/>
      <c r="Z350" s="52"/>
      <c r="AA350" s="52"/>
      <c r="AB350" s="52"/>
    </row>
    <row r="351" spans="1:28" ht="14.25" x14ac:dyDescent="0.2">
      <c r="A351" s="54" t="s">
        <v>15</v>
      </c>
      <c r="B351" s="55" t="s">
        <v>5773</v>
      </c>
      <c r="C351" s="55"/>
      <c r="D351" s="52"/>
      <c r="E351" s="55">
        <v>90</v>
      </c>
      <c r="F351" s="52"/>
      <c r="G351" s="56">
        <v>11668313</v>
      </c>
      <c r="H351" s="56"/>
      <c r="I351" s="56"/>
      <c r="J351" s="52"/>
      <c r="K351" s="52"/>
      <c r="L351" s="52"/>
      <c r="M351" s="52"/>
      <c r="N351" s="52"/>
      <c r="O351" s="52"/>
      <c r="P351" s="52"/>
      <c r="Q351" s="52"/>
      <c r="R351" s="52"/>
      <c r="S351" s="52"/>
      <c r="T351" s="52"/>
      <c r="U351" s="52"/>
      <c r="V351" s="52"/>
      <c r="W351" s="52"/>
      <c r="X351" s="52"/>
      <c r="Y351" s="52"/>
      <c r="Z351" s="52"/>
      <c r="AA351" s="52"/>
      <c r="AB351" s="52"/>
    </row>
    <row r="352" spans="1:28" ht="14.25" x14ac:dyDescent="0.2">
      <c r="A352" s="50" t="s">
        <v>3270</v>
      </c>
      <c r="B352" s="51" t="s">
        <v>356</v>
      </c>
      <c r="C352" s="51" t="s">
        <v>5921</v>
      </c>
      <c r="D352" s="52"/>
      <c r="E352" s="51" t="s">
        <v>5921</v>
      </c>
      <c r="F352" s="52"/>
      <c r="G352" s="53" t="s">
        <v>5645</v>
      </c>
      <c r="H352" s="53" t="s">
        <v>3270</v>
      </c>
      <c r="I352" s="53" t="s">
        <v>5645</v>
      </c>
      <c r="J352" s="52"/>
      <c r="K352" s="52"/>
      <c r="L352" s="52"/>
      <c r="M352" s="52"/>
      <c r="N352" s="52"/>
      <c r="O352" s="52"/>
      <c r="P352" s="52"/>
      <c r="Q352" s="52"/>
      <c r="R352" s="52"/>
      <c r="S352" s="52"/>
      <c r="T352" s="52"/>
      <c r="U352" s="57" t="s">
        <v>5922</v>
      </c>
      <c r="V352" s="52"/>
      <c r="W352" s="52"/>
      <c r="X352" s="52"/>
      <c r="Y352" s="52"/>
      <c r="Z352" s="52"/>
      <c r="AA352" s="52"/>
      <c r="AB352" s="52"/>
    </row>
    <row r="353" spans="1:28" ht="14.25" x14ac:dyDescent="0.2">
      <c r="A353" s="54" t="s">
        <v>3270</v>
      </c>
      <c r="B353" s="55" t="s">
        <v>356</v>
      </c>
      <c r="C353" s="55" t="s">
        <v>5923</v>
      </c>
      <c r="D353" s="52"/>
      <c r="E353" s="55" t="s">
        <v>5923</v>
      </c>
      <c r="F353" s="52"/>
      <c r="G353" s="56" t="s">
        <v>5646</v>
      </c>
      <c r="H353" s="56" t="s">
        <v>3270</v>
      </c>
      <c r="I353" s="56" t="s">
        <v>5646</v>
      </c>
      <c r="J353" s="52"/>
      <c r="K353" s="52"/>
      <c r="L353" s="52"/>
      <c r="M353" s="52"/>
      <c r="N353" s="52"/>
      <c r="O353" s="52"/>
      <c r="P353" s="52"/>
      <c r="Q353" s="52"/>
      <c r="R353" s="52"/>
      <c r="S353" s="52"/>
      <c r="T353" s="52"/>
      <c r="U353" s="58" t="s">
        <v>5922</v>
      </c>
      <c r="V353" s="52"/>
      <c r="W353" s="52"/>
      <c r="X353" s="52"/>
      <c r="Y353" s="52"/>
      <c r="Z353" s="52"/>
      <c r="AA353" s="52"/>
      <c r="AB353" s="52"/>
    </row>
    <row r="354" spans="1:28" ht="14.25" x14ac:dyDescent="0.2">
      <c r="A354" s="50" t="s">
        <v>3270</v>
      </c>
      <c r="B354" s="51" t="s">
        <v>356</v>
      </c>
      <c r="C354" s="51" t="s">
        <v>3030</v>
      </c>
      <c r="D354" s="52"/>
      <c r="E354" s="51" t="s">
        <v>5924</v>
      </c>
      <c r="F354" s="52"/>
      <c r="G354" s="53" t="s">
        <v>5647</v>
      </c>
      <c r="H354" s="53" t="s">
        <v>3270</v>
      </c>
      <c r="I354" s="53" t="s">
        <v>5647</v>
      </c>
      <c r="J354" s="52"/>
      <c r="K354" s="52"/>
      <c r="L354" s="52"/>
      <c r="M354" s="52"/>
      <c r="N354" s="52"/>
      <c r="O354" s="52"/>
      <c r="P354" s="52"/>
      <c r="Q354" s="52"/>
      <c r="R354" s="52"/>
      <c r="S354" s="52"/>
      <c r="T354" s="52"/>
      <c r="U354" s="57" t="s">
        <v>5922</v>
      </c>
      <c r="V354" s="52"/>
      <c r="W354" s="52"/>
      <c r="X354" s="52"/>
      <c r="Y354" s="52"/>
      <c r="Z354" s="52"/>
      <c r="AA354" s="52"/>
      <c r="AB354" s="52"/>
    </row>
    <row r="355" spans="1:28" ht="14.25" x14ac:dyDescent="0.2">
      <c r="A355" s="54" t="s">
        <v>3270</v>
      </c>
      <c r="B355" s="55" t="s">
        <v>5925</v>
      </c>
      <c r="C355" s="55" t="s">
        <v>64</v>
      </c>
      <c r="D355" s="52"/>
      <c r="E355" s="55" t="s">
        <v>5926</v>
      </c>
      <c r="F355" s="52"/>
      <c r="G355" s="56" t="s">
        <v>5648</v>
      </c>
      <c r="H355" s="56" t="s">
        <v>3270</v>
      </c>
      <c r="I355" s="56" t="s">
        <v>5648</v>
      </c>
      <c r="J355" s="52"/>
      <c r="K355" s="52"/>
      <c r="L355" s="52"/>
      <c r="M355" s="52"/>
      <c r="N355" s="52"/>
      <c r="O355" s="52"/>
      <c r="P355" s="52"/>
      <c r="Q355" s="52"/>
      <c r="R355" s="52"/>
      <c r="S355" s="52"/>
      <c r="T355" s="52"/>
      <c r="U355" s="58" t="s">
        <v>5922</v>
      </c>
      <c r="V355" s="52"/>
      <c r="W355" s="52"/>
      <c r="X355" s="52"/>
      <c r="Y355" s="52"/>
      <c r="Z355" s="52"/>
      <c r="AA355" s="52"/>
      <c r="AB355" s="52"/>
    </row>
    <row r="356" spans="1:28" ht="14.25" x14ac:dyDescent="0.2">
      <c r="A356" s="50" t="s">
        <v>3270</v>
      </c>
      <c r="B356" s="51" t="s">
        <v>5925</v>
      </c>
      <c r="C356" s="51" t="s">
        <v>5927</v>
      </c>
      <c r="D356" s="52"/>
      <c r="E356" s="51" t="s">
        <v>19</v>
      </c>
      <c r="F356" s="52"/>
      <c r="G356" s="53" t="s">
        <v>5649</v>
      </c>
      <c r="H356" s="53" t="s">
        <v>3270</v>
      </c>
      <c r="I356" s="53" t="s">
        <v>5649</v>
      </c>
      <c r="J356" s="52"/>
      <c r="K356" s="52"/>
      <c r="L356" s="52"/>
      <c r="M356" s="52"/>
      <c r="N356" s="52"/>
      <c r="O356" s="52"/>
      <c r="P356" s="52"/>
      <c r="Q356" s="52"/>
      <c r="R356" s="52"/>
      <c r="S356" s="52"/>
      <c r="T356" s="52"/>
      <c r="U356" s="57" t="s">
        <v>5922</v>
      </c>
      <c r="V356" s="52"/>
      <c r="W356" s="52"/>
      <c r="X356" s="52"/>
      <c r="Y356" s="52"/>
      <c r="Z356" s="52"/>
      <c r="AA356" s="52"/>
      <c r="AB356" s="52"/>
    </row>
    <row r="357" spans="1:28" ht="14.25" x14ac:dyDescent="0.2">
      <c r="A357" s="54" t="s">
        <v>3270</v>
      </c>
      <c r="B357" s="55" t="s">
        <v>5925</v>
      </c>
      <c r="C357" s="55" t="s">
        <v>5927</v>
      </c>
      <c r="D357" s="52"/>
      <c r="E357" s="55" t="s">
        <v>1943</v>
      </c>
      <c r="F357" s="52"/>
      <c r="G357" s="56" t="s">
        <v>5650</v>
      </c>
      <c r="H357" s="56" t="s">
        <v>3270</v>
      </c>
      <c r="I357" s="56" t="s">
        <v>5650</v>
      </c>
      <c r="J357" s="52"/>
      <c r="K357" s="52"/>
      <c r="L357" s="52"/>
      <c r="M357" s="52"/>
      <c r="N357" s="52"/>
      <c r="O357" s="52"/>
      <c r="P357" s="52"/>
      <c r="Q357" s="52"/>
      <c r="R357" s="52"/>
      <c r="S357" s="52"/>
      <c r="T357" s="52"/>
      <c r="U357" s="58" t="s">
        <v>5922</v>
      </c>
      <c r="V357" s="52"/>
      <c r="W357" s="52"/>
      <c r="X357" s="52"/>
      <c r="Y357" s="52"/>
      <c r="Z357" s="52"/>
      <c r="AA357" s="52"/>
      <c r="AB357" s="52"/>
    </row>
    <row r="358" spans="1:28" ht="14.25" x14ac:dyDescent="0.2">
      <c r="A358" s="50" t="s">
        <v>3270</v>
      </c>
      <c r="B358" s="51" t="s">
        <v>5925</v>
      </c>
      <c r="C358" s="51" t="s">
        <v>5928</v>
      </c>
      <c r="D358" s="52"/>
      <c r="E358" s="51" t="s">
        <v>5926</v>
      </c>
      <c r="F358" s="52"/>
      <c r="G358" s="53" t="s">
        <v>5651</v>
      </c>
      <c r="H358" s="53" t="s">
        <v>3270</v>
      </c>
      <c r="I358" s="53" t="s">
        <v>5651</v>
      </c>
      <c r="J358" s="52"/>
      <c r="K358" s="52"/>
      <c r="L358" s="52"/>
      <c r="M358" s="52"/>
      <c r="N358" s="52"/>
      <c r="O358" s="52"/>
      <c r="P358" s="52"/>
      <c r="Q358" s="52"/>
      <c r="R358" s="52"/>
      <c r="S358" s="52"/>
      <c r="T358" s="52"/>
      <c r="U358" s="57" t="s">
        <v>5922</v>
      </c>
      <c r="V358" s="52"/>
      <c r="W358" s="52"/>
      <c r="X358" s="52"/>
      <c r="Y358" s="52"/>
      <c r="Z358" s="52"/>
      <c r="AA358" s="52"/>
      <c r="AB358" s="52"/>
    </row>
    <row r="359" spans="1:28" ht="14.25" x14ac:dyDescent="0.2">
      <c r="A359" s="50" t="s">
        <v>3270</v>
      </c>
      <c r="B359" s="51" t="s">
        <v>66</v>
      </c>
      <c r="C359" s="51" t="s">
        <v>5929</v>
      </c>
      <c r="D359" s="52"/>
      <c r="E359" s="51" t="s">
        <v>5930</v>
      </c>
      <c r="F359" s="52"/>
      <c r="G359" s="53" t="s">
        <v>5652</v>
      </c>
      <c r="H359" s="53" t="s">
        <v>3270</v>
      </c>
      <c r="I359" s="53" t="s">
        <v>5652</v>
      </c>
      <c r="J359" s="52"/>
      <c r="K359" s="52"/>
      <c r="L359" s="52"/>
      <c r="M359" s="52"/>
      <c r="N359" s="52"/>
      <c r="O359" s="52"/>
      <c r="P359" s="52"/>
      <c r="Q359" s="52"/>
      <c r="R359" s="52"/>
      <c r="S359" s="52"/>
      <c r="T359" s="52"/>
      <c r="U359" s="57" t="s">
        <v>5922</v>
      </c>
      <c r="V359" s="52"/>
      <c r="W359" s="52"/>
      <c r="X359" s="52"/>
      <c r="Y359" s="52"/>
      <c r="Z359" s="52"/>
      <c r="AA359" s="52"/>
      <c r="AB359" s="52"/>
    </row>
    <row r="360" spans="1:28" ht="14.25" x14ac:dyDescent="0.2">
      <c r="A360" s="54" t="s">
        <v>63</v>
      </c>
      <c r="B360" s="55" t="s">
        <v>5863</v>
      </c>
      <c r="C360" s="55"/>
      <c r="D360" s="52"/>
      <c r="E360" s="55" t="s">
        <v>5654</v>
      </c>
      <c r="F360" s="52"/>
      <c r="G360" s="56">
        <v>31422326</v>
      </c>
      <c r="H360" s="52"/>
      <c r="I360" s="52"/>
      <c r="J360" s="52"/>
      <c r="K360" s="52"/>
      <c r="L360" s="52"/>
      <c r="M360" s="52"/>
      <c r="N360" s="52"/>
      <c r="O360" s="52"/>
      <c r="P360" s="52"/>
      <c r="Q360" s="52"/>
      <c r="R360" s="52"/>
      <c r="S360" s="52"/>
      <c r="T360" s="52"/>
      <c r="U360" s="52"/>
      <c r="V360" s="52"/>
      <c r="W360" s="52"/>
      <c r="X360" s="52"/>
      <c r="Y360" s="52"/>
      <c r="Z360" s="52"/>
      <c r="AA360" s="52"/>
      <c r="AB360" s="52"/>
    </row>
    <row r="361" spans="1:28" ht="14.25" x14ac:dyDescent="0.2">
      <c r="A361" s="50" t="s">
        <v>63</v>
      </c>
      <c r="B361" s="51" t="s">
        <v>5863</v>
      </c>
      <c r="C361" s="51"/>
      <c r="D361" s="52"/>
      <c r="E361" s="51" t="s">
        <v>5655</v>
      </c>
      <c r="F361" s="52"/>
      <c r="G361" s="53">
        <v>31422327</v>
      </c>
      <c r="H361" s="52"/>
      <c r="I361" s="52"/>
      <c r="J361" s="52"/>
      <c r="K361" s="52"/>
      <c r="L361" s="52"/>
      <c r="M361" s="52"/>
      <c r="N361" s="52"/>
      <c r="O361" s="52"/>
      <c r="P361" s="52"/>
      <c r="Q361" s="52"/>
      <c r="R361" s="52"/>
      <c r="S361" s="52"/>
      <c r="T361" s="52"/>
      <c r="U361" s="52"/>
      <c r="V361" s="52"/>
      <c r="W361" s="52"/>
      <c r="X361" s="52"/>
      <c r="Y361" s="52"/>
      <c r="Z361" s="52"/>
      <c r="AA361" s="52"/>
      <c r="AB361" s="52"/>
    </row>
    <row r="362" spans="1:28" ht="14.25" x14ac:dyDescent="0.2">
      <c r="A362" s="54" t="s">
        <v>63</v>
      </c>
      <c r="B362" s="55" t="s">
        <v>5863</v>
      </c>
      <c r="C362" s="55"/>
      <c r="D362" s="52"/>
      <c r="E362" s="55" t="s">
        <v>5656</v>
      </c>
      <c r="F362" s="52"/>
      <c r="G362" s="56">
        <v>31422328</v>
      </c>
      <c r="H362" s="52"/>
      <c r="I362" s="52"/>
      <c r="J362" s="52"/>
      <c r="K362" s="52"/>
      <c r="L362" s="52"/>
      <c r="M362" s="52"/>
      <c r="N362" s="52"/>
      <c r="O362" s="52"/>
      <c r="P362" s="52"/>
      <c r="Q362" s="52"/>
      <c r="R362" s="52"/>
      <c r="S362" s="52"/>
      <c r="T362" s="52"/>
      <c r="U362" s="52"/>
      <c r="V362" s="52"/>
      <c r="W362" s="52"/>
      <c r="X362" s="52"/>
      <c r="Y362" s="52"/>
      <c r="Z362" s="52"/>
      <c r="AA362" s="52"/>
      <c r="AB362" s="52"/>
    </row>
    <row r="363" spans="1:28" ht="14.25" x14ac:dyDescent="0.2">
      <c r="A363" s="50" t="s">
        <v>63</v>
      </c>
      <c r="B363" s="51" t="s">
        <v>5863</v>
      </c>
      <c r="C363" s="51"/>
      <c r="D363" s="52"/>
      <c r="E363" s="51" t="s">
        <v>5657</v>
      </c>
      <c r="F363" s="52"/>
      <c r="G363" s="53">
        <v>31422329</v>
      </c>
      <c r="H363" s="52"/>
      <c r="I363" s="52"/>
      <c r="J363" s="52"/>
      <c r="K363" s="52"/>
      <c r="L363" s="52"/>
      <c r="M363" s="52"/>
      <c r="N363" s="52"/>
      <c r="O363" s="52"/>
      <c r="P363" s="52"/>
      <c r="Q363" s="52"/>
      <c r="R363" s="52"/>
      <c r="S363" s="52"/>
      <c r="T363" s="52"/>
      <c r="U363" s="52"/>
      <c r="V363" s="52"/>
      <c r="W363" s="52"/>
      <c r="X363" s="52"/>
      <c r="Y363" s="52"/>
      <c r="Z363" s="52"/>
      <c r="AA363" s="52"/>
      <c r="AB363" s="52"/>
    </row>
    <row r="364" spans="1:28" ht="14.25" x14ac:dyDescent="0.2">
      <c r="A364" s="54" t="s">
        <v>63</v>
      </c>
      <c r="B364" s="55" t="s">
        <v>5864</v>
      </c>
      <c r="C364" s="55"/>
      <c r="D364" s="52"/>
      <c r="E364" s="55" t="s">
        <v>5865</v>
      </c>
      <c r="F364" s="52"/>
      <c r="G364" s="56">
        <v>31429122</v>
      </c>
      <c r="H364" s="52"/>
      <c r="I364" s="52"/>
      <c r="J364" s="52"/>
      <c r="K364" s="52"/>
      <c r="L364" s="52"/>
      <c r="M364" s="52"/>
      <c r="N364" s="52"/>
      <c r="O364" s="52"/>
      <c r="P364" s="52"/>
      <c r="Q364" s="52"/>
      <c r="R364" s="52"/>
      <c r="S364" s="52"/>
      <c r="T364" s="52"/>
      <c r="U364" s="52"/>
      <c r="V364" s="52"/>
      <c r="W364" s="52"/>
      <c r="X364" s="52"/>
      <c r="Y364" s="52"/>
      <c r="Z364" s="52"/>
      <c r="AA364" s="52"/>
      <c r="AB364" s="52"/>
    </row>
    <row r="365" spans="1:28" ht="14.25" x14ac:dyDescent="0.2">
      <c r="A365" s="50" t="s">
        <v>63</v>
      </c>
      <c r="B365" s="51" t="s">
        <v>64</v>
      </c>
      <c r="C365" s="51"/>
      <c r="D365" s="52"/>
      <c r="E365" s="51">
        <v>16</v>
      </c>
      <c r="F365" s="52"/>
      <c r="G365" s="53">
        <v>31149305</v>
      </c>
      <c r="H365" s="52"/>
      <c r="I365" s="52"/>
      <c r="J365" s="52"/>
      <c r="K365" s="52"/>
      <c r="L365" s="52"/>
      <c r="M365" s="52"/>
      <c r="N365" s="52"/>
      <c r="O365" s="52"/>
      <c r="P365" s="52"/>
      <c r="Q365" s="52"/>
      <c r="R365" s="52"/>
      <c r="S365" s="52"/>
      <c r="T365" s="52"/>
      <c r="U365" s="52"/>
      <c r="V365" s="52"/>
      <c r="W365" s="52"/>
      <c r="X365" s="52"/>
      <c r="Y365" s="52"/>
      <c r="Z365" s="52"/>
      <c r="AA365" s="52"/>
      <c r="AB365" s="52"/>
    </row>
    <row r="366" spans="1:28" ht="14.25" x14ac:dyDescent="0.2">
      <c r="A366" s="54" t="s">
        <v>63</v>
      </c>
      <c r="B366" s="55" t="s">
        <v>64</v>
      </c>
      <c r="C366" s="55"/>
      <c r="D366" s="52"/>
      <c r="E366" s="55">
        <v>20</v>
      </c>
      <c r="F366" s="52"/>
      <c r="G366" s="56">
        <v>31149306</v>
      </c>
      <c r="H366" s="52"/>
      <c r="I366" s="52"/>
      <c r="J366" s="52"/>
      <c r="K366" s="52"/>
      <c r="L366" s="52"/>
      <c r="M366" s="52"/>
      <c r="N366" s="52"/>
      <c r="O366" s="52"/>
      <c r="P366" s="52"/>
      <c r="Q366" s="52"/>
      <c r="R366" s="52"/>
      <c r="S366" s="52"/>
      <c r="T366" s="52"/>
      <c r="U366" s="52"/>
      <c r="V366" s="52"/>
      <c r="W366" s="52"/>
      <c r="X366" s="52"/>
      <c r="Y366" s="52"/>
      <c r="Z366" s="52"/>
      <c r="AA366" s="52"/>
      <c r="AB366" s="52"/>
    </row>
    <row r="367" spans="1:28" ht="14.25" x14ac:dyDescent="0.2">
      <c r="A367" s="50" t="s">
        <v>63</v>
      </c>
      <c r="B367" s="51" t="s">
        <v>64</v>
      </c>
      <c r="C367" s="51"/>
      <c r="D367" s="52"/>
      <c r="E367" s="51">
        <v>25</v>
      </c>
      <c r="F367" s="52"/>
      <c r="G367" s="53">
        <v>31149307</v>
      </c>
      <c r="H367" s="52"/>
      <c r="I367" s="52"/>
      <c r="J367" s="52"/>
      <c r="K367" s="52"/>
      <c r="L367" s="52"/>
      <c r="M367" s="52"/>
      <c r="N367" s="52"/>
      <c r="O367" s="52"/>
      <c r="P367" s="52"/>
      <c r="Q367" s="52"/>
      <c r="R367" s="52"/>
      <c r="S367" s="52"/>
      <c r="T367" s="52"/>
      <c r="U367" s="52"/>
      <c r="V367" s="52"/>
      <c r="W367" s="52"/>
      <c r="X367" s="52"/>
      <c r="Y367" s="52"/>
      <c r="Z367" s="52"/>
      <c r="AA367" s="52"/>
      <c r="AB367" s="52"/>
    </row>
    <row r="368" spans="1:28" ht="14.25" x14ac:dyDescent="0.2">
      <c r="A368" s="54" t="s">
        <v>63</v>
      </c>
      <c r="B368" s="55" t="s">
        <v>64</v>
      </c>
      <c r="C368" s="55"/>
      <c r="D368" s="52"/>
      <c r="E368" s="55">
        <v>32</v>
      </c>
      <c r="F368" s="52"/>
      <c r="G368" s="56">
        <v>31149308</v>
      </c>
      <c r="H368" s="52"/>
      <c r="I368" s="52"/>
      <c r="J368" s="52"/>
      <c r="K368" s="52"/>
      <c r="L368" s="52"/>
      <c r="M368" s="52"/>
      <c r="N368" s="52"/>
      <c r="O368" s="52"/>
      <c r="P368" s="52"/>
      <c r="Q368" s="52"/>
      <c r="R368" s="52"/>
      <c r="S368" s="52"/>
      <c r="T368" s="52"/>
      <c r="U368" s="52"/>
      <c r="V368" s="52"/>
      <c r="W368" s="52"/>
      <c r="X368" s="52"/>
      <c r="Y368" s="52"/>
      <c r="Z368" s="52"/>
      <c r="AA368" s="52"/>
      <c r="AB368" s="52"/>
    </row>
    <row r="369" spans="1:28" ht="14.25" x14ac:dyDescent="0.2">
      <c r="A369" s="50" t="s">
        <v>63</v>
      </c>
      <c r="B369" s="51" t="s">
        <v>64</v>
      </c>
      <c r="C369" s="51"/>
      <c r="D369" s="52"/>
      <c r="E369" s="51">
        <v>40</v>
      </c>
      <c r="F369" s="52"/>
      <c r="G369" s="53">
        <v>31149309</v>
      </c>
      <c r="H369" s="52"/>
      <c r="I369" s="52"/>
      <c r="J369" s="52"/>
      <c r="K369" s="52"/>
      <c r="L369" s="52"/>
      <c r="M369" s="52"/>
      <c r="N369" s="52"/>
      <c r="O369" s="52"/>
      <c r="P369" s="52"/>
      <c r="Q369" s="52"/>
      <c r="R369" s="52"/>
      <c r="S369" s="52"/>
      <c r="T369" s="52"/>
      <c r="U369" s="52"/>
      <c r="V369" s="52"/>
      <c r="W369" s="52"/>
      <c r="X369" s="52"/>
      <c r="Y369" s="52"/>
      <c r="Z369" s="52"/>
      <c r="AA369" s="52"/>
      <c r="AB369" s="52"/>
    </row>
    <row r="370" spans="1:28" ht="14.25" x14ac:dyDescent="0.2">
      <c r="A370" s="54" t="s">
        <v>63</v>
      </c>
      <c r="B370" s="55" t="s">
        <v>64</v>
      </c>
      <c r="C370" s="55"/>
      <c r="D370" s="52"/>
      <c r="E370" s="55">
        <v>50</v>
      </c>
      <c r="F370" s="52"/>
      <c r="G370" s="56">
        <v>31149310</v>
      </c>
      <c r="H370" s="52"/>
      <c r="I370" s="52"/>
      <c r="J370" s="52"/>
      <c r="K370" s="52"/>
      <c r="L370" s="52"/>
      <c r="M370" s="52"/>
      <c r="N370" s="52"/>
      <c r="O370" s="52"/>
      <c r="P370" s="52"/>
      <c r="Q370" s="52"/>
      <c r="R370" s="52"/>
      <c r="S370" s="52"/>
      <c r="T370" s="52"/>
      <c r="U370" s="52"/>
      <c r="V370" s="52"/>
      <c r="W370" s="52"/>
      <c r="X370" s="52"/>
      <c r="Y370" s="52"/>
      <c r="Z370" s="52"/>
      <c r="AA370" s="52"/>
      <c r="AB370" s="52"/>
    </row>
    <row r="371" spans="1:28" ht="14.25" x14ac:dyDescent="0.2">
      <c r="A371" s="50" t="s">
        <v>63</v>
      </c>
      <c r="B371" s="51" t="s">
        <v>64</v>
      </c>
      <c r="C371" s="51"/>
      <c r="D371" s="52"/>
      <c r="E371" s="51">
        <v>63</v>
      </c>
      <c r="F371" s="52"/>
      <c r="G371" s="53">
        <v>31149311</v>
      </c>
      <c r="H371" s="52"/>
      <c r="I371" s="52"/>
      <c r="J371" s="52"/>
      <c r="K371" s="52"/>
      <c r="L371" s="52"/>
      <c r="M371" s="52"/>
      <c r="N371" s="52"/>
      <c r="O371" s="52"/>
      <c r="P371" s="52"/>
      <c r="Q371" s="52"/>
      <c r="R371" s="52"/>
      <c r="S371" s="52"/>
      <c r="T371" s="52"/>
      <c r="U371" s="52"/>
      <c r="V371" s="52"/>
      <c r="W371" s="52"/>
      <c r="X371" s="52"/>
      <c r="Y371" s="52"/>
      <c r="Z371" s="52"/>
      <c r="AA371" s="52"/>
      <c r="AB371" s="52"/>
    </row>
    <row r="372" spans="1:28" ht="14.25" x14ac:dyDescent="0.2">
      <c r="A372" s="54" t="s">
        <v>63</v>
      </c>
      <c r="B372" s="55" t="s">
        <v>5866</v>
      </c>
      <c r="C372" s="55"/>
      <c r="D372" s="52"/>
      <c r="E372" s="55">
        <v>32</v>
      </c>
      <c r="F372" s="52"/>
      <c r="G372" s="56">
        <v>11323308</v>
      </c>
      <c r="H372" s="52"/>
      <c r="I372" s="52"/>
      <c r="J372" s="52"/>
      <c r="K372" s="52"/>
      <c r="L372" s="52"/>
      <c r="M372" s="52"/>
      <c r="N372" s="52"/>
      <c r="O372" s="52"/>
      <c r="P372" s="52"/>
      <c r="Q372" s="52"/>
      <c r="R372" s="52"/>
      <c r="S372" s="52"/>
      <c r="T372" s="52"/>
      <c r="U372" s="52"/>
      <c r="V372" s="52"/>
      <c r="W372" s="52"/>
      <c r="X372" s="52"/>
      <c r="Y372" s="52"/>
      <c r="Z372" s="52"/>
      <c r="AA372" s="52"/>
      <c r="AB372" s="52"/>
    </row>
    <row r="373" spans="1:28" ht="14.25" x14ac:dyDescent="0.2">
      <c r="A373" s="50" t="s">
        <v>63</v>
      </c>
      <c r="B373" s="51" t="s">
        <v>5866</v>
      </c>
      <c r="C373" s="51"/>
      <c r="D373" s="52"/>
      <c r="E373" s="51">
        <v>40</v>
      </c>
      <c r="F373" s="52"/>
      <c r="G373" s="53">
        <v>11323309</v>
      </c>
      <c r="H373" s="52"/>
      <c r="I373" s="52"/>
      <c r="J373" s="52"/>
      <c r="K373" s="52"/>
      <c r="L373" s="52"/>
      <c r="M373" s="52"/>
      <c r="N373" s="52"/>
      <c r="O373" s="52"/>
      <c r="P373" s="52"/>
      <c r="Q373" s="52"/>
      <c r="R373" s="52"/>
      <c r="S373" s="52"/>
      <c r="T373" s="52"/>
      <c r="U373" s="52"/>
      <c r="V373" s="52"/>
      <c r="W373" s="52"/>
      <c r="X373" s="52"/>
      <c r="Y373" s="52"/>
      <c r="Z373" s="52"/>
      <c r="AA373" s="52"/>
      <c r="AB373" s="52"/>
    </row>
    <row r="374" spans="1:28" ht="14.25" x14ac:dyDescent="0.2">
      <c r="A374" s="54" t="s">
        <v>63</v>
      </c>
      <c r="B374" s="55" t="s">
        <v>5866</v>
      </c>
      <c r="C374" s="55"/>
      <c r="D374" s="52"/>
      <c r="E374" s="55">
        <v>50</v>
      </c>
      <c r="F374" s="52"/>
      <c r="G374" s="56">
        <v>11323310</v>
      </c>
      <c r="H374" s="52"/>
      <c r="I374" s="52"/>
      <c r="J374" s="52"/>
      <c r="K374" s="52"/>
      <c r="L374" s="52"/>
      <c r="M374" s="52"/>
      <c r="N374" s="52"/>
      <c r="O374" s="52"/>
      <c r="P374" s="52"/>
      <c r="Q374" s="52"/>
      <c r="R374" s="52"/>
      <c r="S374" s="52"/>
      <c r="T374" s="52"/>
      <c r="U374" s="52"/>
      <c r="V374" s="52"/>
      <c r="W374" s="52"/>
      <c r="X374" s="52"/>
      <c r="Y374" s="52"/>
      <c r="Z374" s="52"/>
      <c r="AA374" s="52"/>
      <c r="AB374" s="52"/>
    </row>
    <row r="375" spans="1:28" ht="14.25" x14ac:dyDescent="0.2">
      <c r="A375" s="50" t="s">
        <v>63</v>
      </c>
      <c r="B375" s="51" t="s">
        <v>5866</v>
      </c>
      <c r="C375" s="51"/>
      <c r="D375" s="52"/>
      <c r="E375" s="51">
        <v>63</v>
      </c>
      <c r="F375" s="52"/>
      <c r="G375" s="53">
        <v>11323311</v>
      </c>
      <c r="H375" s="52"/>
      <c r="I375" s="52"/>
      <c r="J375" s="52"/>
      <c r="K375" s="52"/>
      <c r="L375" s="52"/>
      <c r="M375" s="52"/>
      <c r="N375" s="52"/>
      <c r="O375" s="52"/>
      <c r="P375" s="52"/>
      <c r="Q375" s="52"/>
      <c r="R375" s="52"/>
      <c r="S375" s="52"/>
      <c r="T375" s="52"/>
      <c r="U375" s="52"/>
      <c r="V375" s="52"/>
      <c r="W375" s="52"/>
      <c r="X375" s="52"/>
      <c r="Y375" s="52"/>
      <c r="Z375" s="52"/>
      <c r="AA375" s="52"/>
      <c r="AB375" s="52"/>
    </row>
    <row r="376" spans="1:28" ht="14.25" x14ac:dyDescent="0.2">
      <c r="A376" s="54" t="s">
        <v>63</v>
      </c>
      <c r="B376" s="55" t="s">
        <v>5866</v>
      </c>
      <c r="C376" s="55"/>
      <c r="D376" s="52"/>
      <c r="E376" s="55">
        <v>75</v>
      </c>
      <c r="F376" s="52"/>
      <c r="G376" s="56">
        <v>11323312</v>
      </c>
      <c r="H376" s="52"/>
      <c r="I376" s="52"/>
      <c r="J376" s="52"/>
      <c r="K376" s="52"/>
      <c r="L376" s="52"/>
      <c r="M376" s="52"/>
      <c r="N376" s="52"/>
      <c r="O376" s="52"/>
      <c r="P376" s="52"/>
      <c r="Q376" s="52"/>
      <c r="R376" s="52"/>
      <c r="S376" s="52"/>
      <c r="T376" s="52"/>
      <c r="U376" s="52"/>
      <c r="V376" s="52"/>
      <c r="W376" s="52"/>
      <c r="X376" s="52"/>
      <c r="Y376" s="52"/>
      <c r="Z376" s="52"/>
      <c r="AA376" s="52"/>
      <c r="AB376" s="52"/>
    </row>
    <row r="377" spans="1:28" ht="14.25" x14ac:dyDescent="0.2">
      <c r="A377" s="50" t="s">
        <v>63</v>
      </c>
      <c r="B377" s="51" t="s">
        <v>5866</v>
      </c>
      <c r="C377" s="51"/>
      <c r="D377" s="52"/>
      <c r="E377" s="51">
        <v>90</v>
      </c>
      <c r="F377" s="52"/>
      <c r="G377" s="53">
        <v>11323313</v>
      </c>
      <c r="H377" s="52"/>
      <c r="I377" s="52"/>
      <c r="J377" s="52"/>
      <c r="K377" s="52"/>
      <c r="L377" s="52"/>
      <c r="M377" s="52"/>
      <c r="N377" s="52"/>
      <c r="O377" s="52"/>
      <c r="P377" s="52"/>
      <c r="Q377" s="52"/>
      <c r="R377" s="52"/>
      <c r="S377" s="52"/>
      <c r="T377" s="52"/>
      <c r="U377" s="52"/>
      <c r="V377" s="52"/>
      <c r="W377" s="52"/>
      <c r="X377" s="52"/>
      <c r="Y377" s="52"/>
      <c r="Z377" s="52"/>
      <c r="AA377" s="52"/>
      <c r="AB377" s="52"/>
    </row>
    <row r="378" spans="1:28" ht="14.25" x14ac:dyDescent="0.2">
      <c r="A378" s="54" t="s">
        <v>63</v>
      </c>
      <c r="B378" s="55" t="s">
        <v>5866</v>
      </c>
      <c r="C378" s="55"/>
      <c r="D378" s="52"/>
      <c r="E378" s="55">
        <v>110</v>
      </c>
      <c r="F378" s="52"/>
      <c r="G378" s="56">
        <v>11323314</v>
      </c>
      <c r="H378" s="52"/>
      <c r="I378" s="52"/>
      <c r="J378" s="52"/>
      <c r="K378" s="52"/>
      <c r="L378" s="52"/>
      <c r="M378" s="52"/>
      <c r="N378" s="52"/>
      <c r="O378" s="52"/>
      <c r="P378" s="52"/>
      <c r="Q378" s="52"/>
      <c r="R378" s="52"/>
      <c r="S378" s="52"/>
      <c r="T378" s="52"/>
      <c r="U378" s="52"/>
      <c r="V378" s="52"/>
      <c r="W378" s="52"/>
      <c r="X378" s="52"/>
      <c r="Y378" s="52"/>
      <c r="Z378" s="52"/>
      <c r="AA378" s="52"/>
      <c r="AB378" s="52"/>
    </row>
    <row r="379" spans="1:28" ht="14.25" x14ac:dyDescent="0.2">
      <c r="A379" s="54" t="s">
        <v>63</v>
      </c>
      <c r="B379" s="55" t="s">
        <v>5867</v>
      </c>
      <c r="C379" s="55"/>
      <c r="D379" s="52"/>
      <c r="E379" s="55">
        <v>32</v>
      </c>
      <c r="F379" s="52"/>
      <c r="G379" s="56">
        <v>31135308</v>
      </c>
      <c r="H379" s="52"/>
      <c r="I379" s="52"/>
      <c r="J379" s="52"/>
      <c r="K379" s="52"/>
      <c r="L379" s="52"/>
      <c r="M379" s="52"/>
      <c r="N379" s="52"/>
      <c r="O379" s="52"/>
      <c r="P379" s="52"/>
      <c r="Q379" s="52"/>
      <c r="R379" s="52"/>
      <c r="S379" s="52"/>
      <c r="T379" s="52"/>
      <c r="U379" s="52"/>
      <c r="V379" s="52"/>
      <c r="W379" s="52"/>
      <c r="X379" s="52"/>
      <c r="Y379" s="52"/>
      <c r="Z379" s="52"/>
      <c r="AA379" s="52"/>
      <c r="AB379" s="52"/>
    </row>
    <row r="380" spans="1:28" ht="14.25" x14ac:dyDescent="0.2">
      <c r="A380" s="50" t="s">
        <v>63</v>
      </c>
      <c r="B380" s="51" t="s">
        <v>5867</v>
      </c>
      <c r="C380" s="51"/>
      <c r="D380" s="52"/>
      <c r="E380" s="51">
        <v>40</v>
      </c>
      <c r="F380" s="52"/>
      <c r="G380" s="53">
        <v>31135309</v>
      </c>
      <c r="H380" s="52"/>
      <c r="I380" s="52"/>
      <c r="J380" s="52"/>
      <c r="K380" s="52"/>
      <c r="L380" s="52"/>
      <c r="M380" s="52"/>
      <c r="N380" s="52"/>
      <c r="O380" s="52"/>
      <c r="P380" s="52"/>
      <c r="Q380" s="52"/>
      <c r="R380" s="52"/>
      <c r="S380" s="52"/>
      <c r="T380" s="52"/>
      <c r="U380" s="52"/>
      <c r="V380" s="52"/>
      <c r="W380" s="52"/>
      <c r="X380" s="52"/>
      <c r="Y380" s="52"/>
      <c r="Z380" s="52"/>
      <c r="AA380" s="52"/>
      <c r="AB380" s="52"/>
    </row>
    <row r="381" spans="1:28" ht="14.25" x14ac:dyDescent="0.2">
      <c r="A381" s="54" t="s">
        <v>63</v>
      </c>
      <c r="B381" s="55" t="s">
        <v>5867</v>
      </c>
      <c r="C381" s="55"/>
      <c r="D381" s="52"/>
      <c r="E381" s="55">
        <v>50</v>
      </c>
      <c r="F381" s="52"/>
      <c r="G381" s="56">
        <v>31135310</v>
      </c>
      <c r="H381" s="52"/>
      <c r="I381" s="52"/>
      <c r="J381" s="52"/>
      <c r="K381" s="52"/>
      <c r="L381" s="52"/>
      <c r="M381" s="52"/>
      <c r="N381" s="52"/>
      <c r="O381" s="52"/>
      <c r="P381" s="52"/>
      <c r="Q381" s="52"/>
      <c r="R381" s="52"/>
      <c r="S381" s="52"/>
      <c r="T381" s="52"/>
      <c r="U381" s="52"/>
      <c r="V381" s="52"/>
      <c r="W381" s="52"/>
      <c r="X381" s="52"/>
      <c r="Y381" s="52"/>
      <c r="Z381" s="52"/>
      <c r="AA381" s="52"/>
      <c r="AB381" s="52"/>
    </row>
    <row r="382" spans="1:28" ht="14.25" x14ac:dyDescent="0.2">
      <c r="A382" s="50" t="s">
        <v>63</v>
      </c>
      <c r="B382" s="51" t="s">
        <v>5867</v>
      </c>
      <c r="C382" s="51"/>
      <c r="D382" s="52"/>
      <c r="E382" s="51">
        <v>63</v>
      </c>
      <c r="F382" s="52"/>
      <c r="G382" s="53">
        <v>31135311</v>
      </c>
      <c r="H382" s="52"/>
      <c r="I382" s="52"/>
      <c r="J382" s="52"/>
      <c r="K382" s="52"/>
      <c r="L382" s="52"/>
      <c r="M382" s="52"/>
      <c r="N382" s="52"/>
      <c r="O382" s="52"/>
      <c r="P382" s="52"/>
      <c r="Q382" s="52"/>
      <c r="R382" s="52"/>
      <c r="S382" s="52"/>
      <c r="T382" s="52"/>
      <c r="U382" s="52"/>
      <c r="V382" s="52"/>
      <c r="W382" s="52"/>
      <c r="X382" s="52"/>
      <c r="Y382" s="52"/>
      <c r="Z382" s="52"/>
      <c r="AA382" s="52"/>
      <c r="AB382" s="52"/>
    </row>
    <row r="383" spans="1:28" ht="14.25" x14ac:dyDescent="0.2">
      <c r="A383" s="54" t="s">
        <v>63</v>
      </c>
      <c r="B383" s="55" t="s">
        <v>5867</v>
      </c>
      <c r="C383" s="55"/>
      <c r="D383" s="52"/>
      <c r="E383" s="55">
        <v>75</v>
      </c>
      <c r="F383" s="52"/>
      <c r="G383" s="56">
        <v>31135312</v>
      </c>
      <c r="H383" s="52"/>
      <c r="I383" s="52"/>
      <c r="J383" s="52"/>
      <c r="K383" s="52"/>
      <c r="L383" s="52"/>
      <c r="M383" s="52"/>
      <c r="N383" s="52"/>
      <c r="O383" s="52"/>
      <c r="P383" s="52"/>
      <c r="Q383" s="52"/>
      <c r="R383" s="52"/>
      <c r="S383" s="52"/>
      <c r="T383" s="52"/>
      <c r="U383" s="52"/>
      <c r="V383" s="52"/>
      <c r="W383" s="52"/>
      <c r="X383" s="52"/>
      <c r="Y383" s="52"/>
      <c r="Z383" s="52"/>
      <c r="AA383" s="52"/>
      <c r="AB383" s="52"/>
    </row>
    <row r="384" spans="1:28" ht="14.25" x14ac:dyDescent="0.2">
      <c r="A384" s="50" t="s">
        <v>63</v>
      </c>
      <c r="B384" s="51" t="s">
        <v>5867</v>
      </c>
      <c r="C384" s="51"/>
      <c r="D384" s="52"/>
      <c r="E384" s="51">
        <v>90</v>
      </c>
      <c r="F384" s="52"/>
      <c r="G384" s="53">
        <v>31135313</v>
      </c>
      <c r="H384" s="52"/>
      <c r="I384" s="52"/>
      <c r="J384" s="52"/>
      <c r="K384" s="52"/>
      <c r="L384" s="52"/>
      <c r="M384" s="52"/>
      <c r="N384" s="52"/>
      <c r="O384" s="52"/>
      <c r="P384" s="52"/>
      <c r="Q384" s="52"/>
      <c r="R384" s="52"/>
      <c r="S384" s="52"/>
      <c r="T384" s="52"/>
      <c r="U384" s="52"/>
      <c r="V384" s="52"/>
      <c r="W384" s="52"/>
      <c r="X384" s="52"/>
      <c r="Y384" s="52"/>
      <c r="Z384" s="52"/>
      <c r="AA384" s="52"/>
      <c r="AB384" s="52"/>
    </row>
    <row r="385" spans="1:28" ht="14.25" x14ac:dyDescent="0.2">
      <c r="A385" s="54" t="s">
        <v>63</v>
      </c>
      <c r="B385" s="55" t="s">
        <v>5867</v>
      </c>
      <c r="C385" s="55"/>
      <c r="D385" s="52"/>
      <c r="E385" s="55">
        <v>110</v>
      </c>
      <c r="F385" s="52"/>
      <c r="G385" s="56">
        <v>31135314</v>
      </c>
      <c r="H385" s="52"/>
      <c r="I385" s="52"/>
      <c r="J385" s="52"/>
      <c r="K385" s="52"/>
      <c r="L385" s="52"/>
      <c r="M385" s="52"/>
      <c r="N385" s="52"/>
      <c r="O385" s="52"/>
      <c r="P385" s="52"/>
      <c r="Q385" s="52"/>
      <c r="R385" s="52"/>
      <c r="S385" s="52"/>
      <c r="T385" s="52"/>
      <c r="U385" s="52"/>
      <c r="V385" s="52"/>
      <c r="W385" s="52"/>
      <c r="X385" s="52"/>
      <c r="Y385" s="52"/>
      <c r="Z385" s="52"/>
      <c r="AA385" s="52"/>
      <c r="AB385" s="52"/>
    </row>
    <row r="386" spans="1:28" ht="14.25" x14ac:dyDescent="0.2">
      <c r="A386" s="50" t="s">
        <v>63</v>
      </c>
      <c r="B386" s="51" t="s">
        <v>23</v>
      </c>
      <c r="C386" s="51"/>
      <c r="D386" s="52"/>
      <c r="E386" s="51">
        <v>16</v>
      </c>
      <c r="F386" s="52"/>
      <c r="G386" s="53">
        <v>13434305</v>
      </c>
      <c r="H386" s="52"/>
      <c r="I386" s="52"/>
      <c r="J386" s="52"/>
      <c r="K386" s="52"/>
      <c r="L386" s="52"/>
      <c r="M386" s="52"/>
      <c r="N386" s="52"/>
      <c r="O386" s="52"/>
      <c r="P386" s="52"/>
      <c r="Q386" s="52"/>
      <c r="R386" s="52"/>
      <c r="S386" s="52"/>
      <c r="T386" s="52"/>
      <c r="U386" s="52"/>
      <c r="V386" s="52"/>
      <c r="W386" s="52"/>
      <c r="X386" s="52"/>
      <c r="Y386" s="52"/>
      <c r="Z386" s="52"/>
      <c r="AA386" s="52"/>
      <c r="AB386" s="52"/>
    </row>
    <row r="387" spans="1:28" ht="14.25" x14ac:dyDescent="0.2">
      <c r="A387" s="54" t="s">
        <v>63</v>
      </c>
      <c r="B387" s="55" t="s">
        <v>23</v>
      </c>
      <c r="C387" s="55"/>
      <c r="D387" s="52"/>
      <c r="E387" s="55">
        <v>20</v>
      </c>
      <c r="F387" s="52"/>
      <c r="G387" s="56">
        <v>13434306</v>
      </c>
      <c r="H387" s="52"/>
      <c r="I387" s="52"/>
      <c r="J387" s="52"/>
      <c r="K387" s="52"/>
      <c r="L387" s="52"/>
      <c r="M387" s="52"/>
      <c r="N387" s="52"/>
      <c r="O387" s="52"/>
      <c r="P387" s="52"/>
      <c r="Q387" s="52"/>
      <c r="R387" s="52"/>
      <c r="S387" s="52"/>
      <c r="T387" s="52"/>
      <c r="U387" s="52"/>
      <c r="V387" s="52"/>
      <c r="W387" s="52"/>
      <c r="X387" s="52"/>
      <c r="Y387" s="52"/>
      <c r="Z387" s="52"/>
      <c r="AA387" s="52"/>
      <c r="AB387" s="52"/>
    </row>
    <row r="388" spans="1:28" ht="14.25" x14ac:dyDescent="0.2">
      <c r="A388" s="50" t="s">
        <v>63</v>
      </c>
      <c r="B388" s="51" t="s">
        <v>23</v>
      </c>
      <c r="C388" s="51"/>
      <c r="D388" s="52"/>
      <c r="E388" s="51">
        <v>25</v>
      </c>
      <c r="F388" s="52"/>
      <c r="G388" s="53">
        <v>13434307</v>
      </c>
      <c r="H388" s="52"/>
      <c r="I388" s="52"/>
      <c r="J388" s="52"/>
      <c r="K388" s="52"/>
      <c r="L388" s="52"/>
      <c r="M388" s="52"/>
      <c r="N388" s="52"/>
      <c r="O388" s="52"/>
      <c r="P388" s="52"/>
      <c r="Q388" s="52"/>
      <c r="R388" s="52"/>
      <c r="S388" s="52"/>
      <c r="T388" s="52"/>
      <c r="U388" s="52"/>
      <c r="V388" s="52"/>
      <c r="W388" s="52"/>
      <c r="X388" s="52"/>
      <c r="Y388" s="52"/>
      <c r="Z388" s="52"/>
      <c r="AA388" s="52"/>
      <c r="AB388" s="52"/>
    </row>
    <row r="389" spans="1:28" ht="14.25" x14ac:dyDescent="0.2">
      <c r="A389" s="54" t="s">
        <v>63</v>
      </c>
      <c r="B389" s="55" t="s">
        <v>23</v>
      </c>
      <c r="C389" s="55"/>
      <c r="D389" s="52"/>
      <c r="E389" s="55">
        <v>32</v>
      </c>
      <c r="F389" s="52"/>
      <c r="G389" s="56">
        <v>13434308</v>
      </c>
      <c r="H389" s="52"/>
      <c r="I389" s="52"/>
      <c r="J389" s="52"/>
      <c r="K389" s="52"/>
      <c r="L389" s="52"/>
      <c r="M389" s="52"/>
      <c r="N389" s="52"/>
      <c r="O389" s="52"/>
      <c r="P389" s="52"/>
      <c r="Q389" s="52"/>
      <c r="R389" s="52"/>
      <c r="S389" s="52"/>
      <c r="T389" s="52"/>
      <c r="U389" s="52"/>
      <c r="V389" s="52"/>
      <c r="W389" s="52"/>
      <c r="X389" s="52"/>
      <c r="Y389" s="52"/>
      <c r="Z389" s="52"/>
      <c r="AA389" s="52"/>
      <c r="AB389" s="52"/>
    </row>
    <row r="390" spans="1:28" ht="14.25" x14ac:dyDescent="0.2">
      <c r="A390" s="50" t="s">
        <v>63</v>
      </c>
      <c r="B390" s="51" t="s">
        <v>23</v>
      </c>
      <c r="C390" s="51"/>
      <c r="D390" s="52"/>
      <c r="E390" s="51">
        <v>40</v>
      </c>
      <c r="F390" s="52"/>
      <c r="G390" s="53">
        <v>13434309</v>
      </c>
      <c r="H390" s="52"/>
      <c r="I390" s="52"/>
      <c r="J390" s="52"/>
      <c r="K390" s="52"/>
      <c r="L390" s="52"/>
      <c r="M390" s="52"/>
      <c r="N390" s="52"/>
      <c r="O390" s="52"/>
      <c r="P390" s="52"/>
      <c r="Q390" s="52"/>
      <c r="R390" s="52"/>
      <c r="S390" s="52"/>
      <c r="T390" s="52"/>
      <c r="U390" s="52"/>
      <c r="V390" s="52"/>
      <c r="W390" s="52"/>
      <c r="X390" s="52"/>
      <c r="Y390" s="52"/>
      <c r="Z390" s="52"/>
      <c r="AA390" s="52"/>
      <c r="AB390" s="52"/>
    </row>
    <row r="391" spans="1:28" ht="14.25" x14ac:dyDescent="0.2">
      <c r="A391" s="54" t="s">
        <v>63</v>
      </c>
      <c r="B391" s="55" t="s">
        <v>23</v>
      </c>
      <c r="C391" s="55"/>
      <c r="D391" s="52"/>
      <c r="E391" s="55">
        <v>50</v>
      </c>
      <c r="F391" s="52"/>
      <c r="G391" s="56">
        <v>13434310</v>
      </c>
      <c r="H391" s="52"/>
      <c r="I391" s="52"/>
      <c r="J391" s="52"/>
      <c r="K391" s="52"/>
      <c r="L391" s="52"/>
      <c r="M391" s="52"/>
      <c r="N391" s="52"/>
      <c r="O391" s="52"/>
      <c r="P391" s="52"/>
      <c r="Q391" s="52"/>
      <c r="R391" s="52"/>
      <c r="S391" s="52"/>
      <c r="T391" s="52"/>
      <c r="U391" s="52"/>
      <c r="V391" s="52"/>
      <c r="W391" s="52"/>
      <c r="X391" s="52"/>
      <c r="Y391" s="52"/>
      <c r="Z391" s="52"/>
      <c r="AA391" s="52"/>
      <c r="AB391" s="52"/>
    </row>
    <row r="392" spans="1:28" ht="14.25" x14ac:dyDescent="0.2">
      <c r="A392" s="50" t="s">
        <v>63</v>
      </c>
      <c r="B392" s="51" t="s">
        <v>23</v>
      </c>
      <c r="C392" s="51"/>
      <c r="D392" s="52"/>
      <c r="E392" s="51">
        <v>63</v>
      </c>
      <c r="F392" s="52"/>
      <c r="G392" s="53">
        <v>13434311</v>
      </c>
      <c r="H392" s="52"/>
      <c r="I392" s="52"/>
      <c r="J392" s="52"/>
      <c r="K392" s="52"/>
      <c r="L392" s="52"/>
      <c r="M392" s="52"/>
      <c r="N392" s="52"/>
      <c r="O392" s="52"/>
      <c r="P392" s="52"/>
      <c r="Q392" s="52"/>
      <c r="R392" s="52"/>
      <c r="S392" s="52"/>
      <c r="T392" s="52"/>
      <c r="U392" s="52"/>
      <c r="V392" s="52"/>
      <c r="W392" s="52"/>
      <c r="X392" s="52"/>
      <c r="Y392" s="52"/>
      <c r="Z392" s="52"/>
      <c r="AA392" s="52"/>
      <c r="AB392" s="52"/>
    </row>
    <row r="393" spans="1:28" ht="14.25" x14ac:dyDescent="0.2">
      <c r="A393" s="54" t="s">
        <v>63</v>
      </c>
      <c r="B393" s="55" t="s">
        <v>23</v>
      </c>
      <c r="C393" s="55"/>
      <c r="D393" s="52"/>
      <c r="E393" s="55">
        <v>75</v>
      </c>
      <c r="F393" s="52"/>
      <c r="G393" s="56">
        <v>13434312</v>
      </c>
      <c r="H393" s="52"/>
      <c r="I393" s="52"/>
      <c r="J393" s="52"/>
      <c r="K393" s="52"/>
      <c r="L393" s="52"/>
      <c r="M393" s="52"/>
      <c r="N393" s="52"/>
      <c r="O393" s="52"/>
      <c r="P393" s="52"/>
      <c r="Q393" s="52"/>
      <c r="R393" s="52"/>
      <c r="S393" s="52"/>
      <c r="T393" s="52"/>
      <c r="U393" s="52"/>
      <c r="V393" s="52"/>
      <c r="W393" s="52"/>
      <c r="X393" s="52"/>
      <c r="Y393" s="52"/>
      <c r="Z393" s="52"/>
      <c r="AA393" s="52"/>
      <c r="AB393" s="52"/>
    </row>
    <row r="394" spans="1:28" ht="14.25" x14ac:dyDescent="0.2">
      <c r="A394" s="50" t="s">
        <v>63</v>
      </c>
      <c r="B394" s="51" t="s">
        <v>23</v>
      </c>
      <c r="C394" s="51"/>
      <c r="D394" s="52"/>
      <c r="E394" s="51">
        <v>90</v>
      </c>
      <c r="F394" s="52"/>
      <c r="G394" s="53">
        <v>13434313</v>
      </c>
      <c r="H394" s="52"/>
      <c r="I394" s="52"/>
      <c r="J394" s="52"/>
      <c r="K394" s="52"/>
      <c r="L394" s="52"/>
      <c r="M394" s="52"/>
      <c r="N394" s="52"/>
      <c r="O394" s="52"/>
      <c r="P394" s="52"/>
      <c r="Q394" s="52"/>
      <c r="R394" s="52"/>
      <c r="S394" s="52"/>
      <c r="T394" s="52"/>
      <c r="U394" s="52"/>
      <c r="V394" s="52"/>
      <c r="W394" s="52"/>
      <c r="X394" s="52"/>
      <c r="Y394" s="52"/>
      <c r="Z394" s="52"/>
      <c r="AA394" s="52"/>
      <c r="AB394" s="52"/>
    </row>
    <row r="395" spans="1:28" ht="14.25" x14ac:dyDescent="0.2">
      <c r="A395" s="54" t="s">
        <v>63</v>
      </c>
      <c r="B395" s="55" t="s">
        <v>23</v>
      </c>
      <c r="C395" s="55"/>
      <c r="D395" s="52"/>
      <c r="E395" s="55">
        <v>110</v>
      </c>
      <c r="F395" s="52"/>
      <c r="G395" s="56">
        <v>13434314</v>
      </c>
      <c r="H395" s="52"/>
      <c r="I395" s="52"/>
      <c r="J395" s="52"/>
      <c r="K395" s="52"/>
      <c r="L395" s="52"/>
      <c r="M395" s="52"/>
      <c r="N395" s="52"/>
      <c r="O395" s="52"/>
      <c r="P395" s="52"/>
      <c r="Q395" s="52"/>
      <c r="R395" s="52"/>
      <c r="S395" s="52"/>
      <c r="T395" s="52"/>
      <c r="U395" s="52"/>
      <c r="V395" s="52"/>
      <c r="W395" s="52"/>
      <c r="X395" s="52"/>
      <c r="Y395" s="52"/>
      <c r="Z395" s="52"/>
      <c r="AA395" s="52"/>
      <c r="AB395" s="52"/>
    </row>
    <row r="396" spans="1:28" ht="14.25" x14ac:dyDescent="0.2">
      <c r="A396" s="50" t="s">
        <v>63</v>
      </c>
      <c r="B396" s="51" t="s">
        <v>5868</v>
      </c>
      <c r="C396" s="51"/>
      <c r="D396" s="52"/>
      <c r="E396" s="51" t="s">
        <v>5869</v>
      </c>
      <c r="F396" s="52"/>
      <c r="G396" s="53">
        <v>31436208</v>
      </c>
      <c r="H396" s="52"/>
      <c r="I396" s="52"/>
      <c r="J396" s="52"/>
      <c r="K396" s="52"/>
      <c r="L396" s="52"/>
      <c r="M396" s="52"/>
      <c r="N396" s="52"/>
      <c r="O396" s="52"/>
      <c r="P396" s="52"/>
      <c r="Q396" s="52"/>
      <c r="R396" s="52"/>
      <c r="S396" s="52"/>
      <c r="T396" s="52"/>
      <c r="U396" s="52"/>
      <c r="V396" s="52"/>
      <c r="W396" s="52"/>
      <c r="X396" s="52"/>
      <c r="Y396" s="52"/>
      <c r="Z396" s="52"/>
      <c r="AA396" s="52"/>
      <c r="AB396" s="52"/>
    </row>
    <row r="397" spans="1:28" ht="14.25" x14ac:dyDescent="0.2">
      <c r="A397" s="54" t="s">
        <v>63</v>
      </c>
      <c r="B397" s="55" t="s">
        <v>5868</v>
      </c>
      <c r="C397" s="55"/>
      <c r="D397" s="52"/>
      <c r="E397" s="55" t="s">
        <v>5870</v>
      </c>
      <c r="F397" s="52"/>
      <c r="G397" s="56">
        <v>31436211</v>
      </c>
      <c r="H397" s="52"/>
      <c r="I397" s="52"/>
      <c r="J397" s="52"/>
      <c r="K397" s="52"/>
      <c r="L397" s="52"/>
      <c r="M397" s="52"/>
      <c r="N397" s="52"/>
      <c r="O397" s="52"/>
      <c r="P397" s="52"/>
      <c r="Q397" s="52"/>
      <c r="R397" s="52"/>
      <c r="S397" s="52"/>
      <c r="T397" s="52"/>
      <c r="U397" s="52"/>
      <c r="V397" s="52"/>
      <c r="W397" s="52"/>
      <c r="X397" s="52"/>
      <c r="Y397" s="52"/>
      <c r="Z397" s="52"/>
      <c r="AA397" s="52"/>
      <c r="AB397" s="52"/>
    </row>
    <row r="398" spans="1:28" ht="14.25" x14ac:dyDescent="0.2">
      <c r="A398" s="50" t="s">
        <v>63</v>
      </c>
      <c r="B398" s="51" t="s">
        <v>5868</v>
      </c>
      <c r="C398" s="51"/>
      <c r="D398" s="52"/>
      <c r="E398" s="51" t="s">
        <v>5871</v>
      </c>
      <c r="F398" s="52"/>
      <c r="G398" s="53">
        <v>31436214</v>
      </c>
      <c r="H398" s="52"/>
      <c r="I398" s="52"/>
      <c r="J398" s="52"/>
      <c r="K398" s="52"/>
      <c r="L398" s="52"/>
      <c r="M398" s="52"/>
      <c r="N398" s="52"/>
      <c r="O398" s="52"/>
      <c r="P398" s="52"/>
      <c r="Q398" s="52"/>
      <c r="R398" s="52"/>
      <c r="S398" s="52"/>
      <c r="T398" s="52"/>
      <c r="U398" s="52"/>
      <c r="V398" s="52"/>
      <c r="W398" s="52"/>
      <c r="X398" s="52"/>
      <c r="Y398" s="52"/>
      <c r="Z398" s="52"/>
      <c r="AA398" s="52"/>
      <c r="AB398" s="52"/>
    </row>
    <row r="399" spans="1:28" ht="14.25" x14ac:dyDescent="0.2">
      <c r="A399" s="54" t="s">
        <v>63</v>
      </c>
      <c r="B399" s="55" t="s">
        <v>5868</v>
      </c>
      <c r="C399" s="55"/>
      <c r="D399" s="52"/>
      <c r="E399" s="55" t="s">
        <v>5872</v>
      </c>
      <c r="F399" s="52"/>
      <c r="G399" s="56">
        <v>31436219</v>
      </c>
      <c r="H399" s="52"/>
      <c r="I399" s="52"/>
      <c r="J399" s="52"/>
      <c r="K399" s="52"/>
      <c r="L399" s="52"/>
      <c r="M399" s="52"/>
      <c r="N399" s="52"/>
      <c r="O399" s="52"/>
      <c r="P399" s="52"/>
      <c r="Q399" s="52"/>
      <c r="R399" s="52"/>
      <c r="S399" s="52"/>
      <c r="T399" s="52"/>
      <c r="U399" s="52"/>
      <c r="V399" s="52"/>
      <c r="W399" s="52"/>
      <c r="X399" s="52"/>
      <c r="Y399" s="52"/>
      <c r="Z399" s="52"/>
      <c r="AA399" s="52"/>
      <c r="AB399" s="52"/>
    </row>
    <row r="400" spans="1:28" ht="14.25" x14ac:dyDescent="0.2">
      <c r="A400" s="50" t="s">
        <v>63</v>
      </c>
      <c r="B400" s="51" t="s">
        <v>5868</v>
      </c>
      <c r="C400" s="51"/>
      <c r="D400" s="52"/>
      <c r="E400" s="51" t="s">
        <v>5873</v>
      </c>
      <c r="F400" s="52"/>
      <c r="G400" s="53">
        <v>31436224</v>
      </c>
      <c r="H400" s="52"/>
      <c r="I400" s="52"/>
      <c r="J400" s="52"/>
      <c r="K400" s="52"/>
      <c r="L400" s="52"/>
      <c r="M400" s="52"/>
      <c r="N400" s="52"/>
      <c r="O400" s="52"/>
      <c r="P400" s="52"/>
      <c r="Q400" s="52"/>
      <c r="R400" s="52"/>
      <c r="S400" s="52"/>
      <c r="T400" s="52"/>
      <c r="U400" s="52"/>
      <c r="V400" s="52"/>
      <c r="W400" s="52"/>
      <c r="X400" s="52"/>
      <c r="Y400" s="52"/>
      <c r="Z400" s="52"/>
      <c r="AA400" s="52"/>
      <c r="AB400" s="52"/>
    </row>
    <row r="401" spans="1:28" ht="14.25" x14ac:dyDescent="0.2">
      <c r="A401" s="54" t="s">
        <v>63</v>
      </c>
      <c r="B401" s="55" t="s">
        <v>5874</v>
      </c>
      <c r="C401" s="55"/>
      <c r="D401" s="52"/>
      <c r="E401" s="55">
        <v>16</v>
      </c>
      <c r="F401" s="52"/>
      <c r="G401" s="56">
        <v>31119305</v>
      </c>
      <c r="H401" s="52"/>
      <c r="I401" s="52"/>
      <c r="J401" s="52"/>
      <c r="K401" s="52"/>
      <c r="L401" s="52"/>
      <c r="M401" s="52"/>
      <c r="N401" s="52"/>
      <c r="O401" s="52"/>
      <c r="P401" s="52"/>
      <c r="Q401" s="52"/>
      <c r="R401" s="52"/>
      <c r="S401" s="52"/>
      <c r="T401" s="52"/>
      <c r="U401" s="52"/>
      <c r="V401" s="52"/>
      <c r="W401" s="52"/>
      <c r="X401" s="52"/>
      <c r="Y401" s="52"/>
      <c r="Z401" s="52"/>
      <c r="AA401" s="52"/>
      <c r="AB401" s="52"/>
    </row>
    <row r="402" spans="1:28" ht="14.25" x14ac:dyDescent="0.2">
      <c r="A402" s="50" t="s">
        <v>63</v>
      </c>
      <c r="B402" s="51" t="s">
        <v>5874</v>
      </c>
      <c r="C402" s="51"/>
      <c r="D402" s="52"/>
      <c r="E402" s="51">
        <v>20</v>
      </c>
      <c r="F402" s="52"/>
      <c r="G402" s="53">
        <v>31119306</v>
      </c>
      <c r="H402" s="52"/>
      <c r="I402" s="52"/>
      <c r="J402" s="52"/>
      <c r="K402" s="52"/>
      <c r="L402" s="52"/>
      <c r="M402" s="52"/>
      <c r="N402" s="52"/>
      <c r="O402" s="52"/>
      <c r="P402" s="52"/>
      <c r="Q402" s="52"/>
      <c r="R402" s="52"/>
      <c r="S402" s="52"/>
      <c r="T402" s="52"/>
      <c r="U402" s="52"/>
      <c r="V402" s="52"/>
      <c r="W402" s="52"/>
      <c r="X402" s="52"/>
      <c r="Y402" s="52"/>
      <c r="Z402" s="52"/>
      <c r="AA402" s="52"/>
      <c r="AB402" s="52"/>
    </row>
    <row r="403" spans="1:28" ht="14.25" x14ac:dyDescent="0.2">
      <c r="A403" s="54" t="s">
        <v>63</v>
      </c>
      <c r="B403" s="55" t="s">
        <v>5874</v>
      </c>
      <c r="C403" s="55"/>
      <c r="D403" s="52"/>
      <c r="E403" s="55">
        <v>25</v>
      </c>
      <c r="F403" s="52"/>
      <c r="G403" s="56">
        <v>31119307</v>
      </c>
      <c r="H403" s="52"/>
      <c r="I403" s="52"/>
      <c r="J403" s="52"/>
      <c r="K403" s="52"/>
      <c r="L403" s="52"/>
      <c r="M403" s="52"/>
      <c r="N403" s="52"/>
      <c r="O403" s="52"/>
      <c r="P403" s="52"/>
      <c r="Q403" s="52"/>
      <c r="R403" s="52"/>
      <c r="S403" s="52"/>
      <c r="T403" s="52"/>
      <c r="U403" s="52"/>
      <c r="V403" s="52"/>
      <c r="W403" s="52"/>
      <c r="X403" s="52"/>
      <c r="Y403" s="52"/>
      <c r="Z403" s="52"/>
      <c r="AA403" s="52"/>
      <c r="AB403" s="52"/>
    </row>
    <row r="404" spans="1:28" ht="14.25" x14ac:dyDescent="0.2">
      <c r="A404" s="50" t="s">
        <v>63</v>
      </c>
      <c r="B404" s="51" t="s">
        <v>5874</v>
      </c>
      <c r="C404" s="51"/>
      <c r="D404" s="52"/>
      <c r="E404" s="51">
        <v>32</v>
      </c>
      <c r="F404" s="52"/>
      <c r="G404" s="53">
        <v>31119308</v>
      </c>
      <c r="H404" s="52"/>
      <c r="I404" s="52"/>
      <c r="J404" s="52"/>
      <c r="K404" s="52"/>
      <c r="L404" s="52"/>
      <c r="M404" s="52"/>
      <c r="N404" s="52"/>
      <c r="O404" s="52"/>
      <c r="P404" s="52"/>
      <c r="Q404" s="52"/>
      <c r="R404" s="52"/>
      <c r="S404" s="52"/>
      <c r="T404" s="52"/>
      <c r="U404" s="52"/>
      <c r="V404" s="52"/>
      <c r="W404" s="52"/>
      <c r="X404" s="52"/>
      <c r="Y404" s="52"/>
      <c r="Z404" s="52"/>
      <c r="AA404" s="52"/>
      <c r="AB404" s="52"/>
    </row>
    <row r="405" spans="1:28" ht="14.25" x14ac:dyDescent="0.2">
      <c r="A405" s="54" t="s">
        <v>63</v>
      </c>
      <c r="B405" s="55" t="s">
        <v>5874</v>
      </c>
      <c r="C405" s="55"/>
      <c r="D405" s="52"/>
      <c r="E405" s="55">
        <v>40</v>
      </c>
      <c r="F405" s="52"/>
      <c r="G405" s="56">
        <v>31119309</v>
      </c>
      <c r="H405" s="52"/>
      <c r="I405" s="52"/>
      <c r="J405" s="52"/>
      <c r="K405" s="52"/>
      <c r="L405" s="52"/>
      <c r="M405" s="52"/>
      <c r="N405" s="52"/>
      <c r="O405" s="52"/>
      <c r="P405" s="52"/>
      <c r="Q405" s="52"/>
      <c r="R405" s="52"/>
      <c r="S405" s="52"/>
      <c r="T405" s="52"/>
      <c r="U405" s="52"/>
      <c r="V405" s="52"/>
      <c r="W405" s="52"/>
      <c r="X405" s="52"/>
      <c r="Y405" s="52"/>
      <c r="Z405" s="52"/>
      <c r="AA405" s="52"/>
      <c r="AB405" s="52"/>
    </row>
    <row r="406" spans="1:28" ht="14.25" x14ac:dyDescent="0.2">
      <c r="A406" s="50" t="s">
        <v>63</v>
      </c>
      <c r="B406" s="51" t="s">
        <v>5874</v>
      </c>
      <c r="C406" s="51"/>
      <c r="D406" s="52"/>
      <c r="E406" s="51">
        <v>50</v>
      </c>
      <c r="F406" s="52"/>
      <c r="G406" s="53">
        <v>31119310</v>
      </c>
      <c r="H406" s="52"/>
      <c r="I406" s="52"/>
      <c r="J406" s="52"/>
      <c r="K406" s="52"/>
      <c r="L406" s="52"/>
      <c r="M406" s="52"/>
      <c r="N406" s="52"/>
      <c r="O406" s="52"/>
      <c r="P406" s="52"/>
      <c r="Q406" s="52"/>
      <c r="R406" s="52"/>
      <c r="S406" s="52"/>
      <c r="T406" s="52"/>
      <c r="U406" s="52"/>
      <c r="V406" s="52"/>
      <c r="W406" s="52"/>
      <c r="X406" s="52"/>
      <c r="Y406" s="52"/>
      <c r="Z406" s="52"/>
      <c r="AA406" s="52"/>
      <c r="AB406" s="52"/>
    </row>
    <row r="407" spans="1:28" ht="14.25" x14ac:dyDescent="0.2">
      <c r="A407" s="54" t="s">
        <v>63</v>
      </c>
      <c r="B407" s="55" t="s">
        <v>5874</v>
      </c>
      <c r="C407" s="55"/>
      <c r="D407" s="52"/>
      <c r="E407" s="55">
        <v>63</v>
      </c>
      <c r="F407" s="52"/>
      <c r="G407" s="56">
        <v>31119311</v>
      </c>
      <c r="H407" s="52"/>
      <c r="I407" s="52"/>
      <c r="J407" s="52"/>
      <c r="K407" s="52"/>
      <c r="L407" s="52"/>
      <c r="M407" s="52"/>
      <c r="N407" s="52"/>
      <c r="O407" s="52"/>
      <c r="P407" s="52"/>
      <c r="Q407" s="52"/>
      <c r="R407" s="52"/>
      <c r="S407" s="52"/>
      <c r="T407" s="52"/>
      <c r="U407" s="52"/>
      <c r="V407" s="52"/>
      <c r="W407" s="52"/>
      <c r="X407" s="52"/>
      <c r="Y407" s="52"/>
      <c r="Z407" s="52"/>
      <c r="AA407" s="52"/>
      <c r="AB407" s="52"/>
    </row>
    <row r="408" spans="1:28" ht="14.25" x14ac:dyDescent="0.2">
      <c r="A408" s="50" t="s">
        <v>63</v>
      </c>
      <c r="B408" s="51" t="s">
        <v>5874</v>
      </c>
      <c r="C408" s="51"/>
      <c r="D408" s="52"/>
      <c r="E408" s="51">
        <v>75</v>
      </c>
      <c r="F408" s="52"/>
      <c r="G408" s="53">
        <v>31119312</v>
      </c>
      <c r="H408" s="52"/>
      <c r="I408" s="52"/>
      <c r="J408" s="52"/>
      <c r="K408" s="52"/>
      <c r="L408" s="52"/>
      <c r="M408" s="52"/>
      <c r="N408" s="52"/>
      <c r="O408" s="52"/>
      <c r="P408" s="52"/>
      <c r="Q408" s="52"/>
      <c r="R408" s="52"/>
      <c r="S408" s="52"/>
      <c r="T408" s="52"/>
      <c r="U408" s="52"/>
      <c r="V408" s="52"/>
      <c r="W408" s="52"/>
      <c r="X408" s="52"/>
      <c r="Y408" s="52"/>
      <c r="Z408" s="52"/>
      <c r="AA408" s="52"/>
      <c r="AB408" s="52"/>
    </row>
    <row r="409" spans="1:28" ht="14.25" x14ac:dyDescent="0.2">
      <c r="A409" s="54" t="s">
        <v>63</v>
      </c>
      <c r="B409" s="55" t="s">
        <v>5874</v>
      </c>
      <c r="C409" s="55"/>
      <c r="D409" s="52"/>
      <c r="E409" s="55">
        <v>90</v>
      </c>
      <c r="F409" s="52"/>
      <c r="G409" s="56">
        <v>31119313</v>
      </c>
      <c r="H409" s="52"/>
      <c r="I409" s="52"/>
      <c r="J409" s="52"/>
      <c r="K409" s="52"/>
      <c r="L409" s="52"/>
      <c r="M409" s="52"/>
      <c r="N409" s="52"/>
      <c r="O409" s="52"/>
      <c r="P409" s="52"/>
      <c r="Q409" s="52"/>
      <c r="R409" s="52"/>
      <c r="S409" s="52"/>
      <c r="T409" s="52"/>
      <c r="U409" s="52"/>
      <c r="V409" s="52"/>
      <c r="W409" s="52"/>
      <c r="X409" s="52"/>
      <c r="Y409" s="52"/>
      <c r="Z409" s="52"/>
      <c r="AA409" s="52"/>
      <c r="AB409" s="52"/>
    </row>
    <row r="410" spans="1:28" ht="14.25" x14ac:dyDescent="0.2">
      <c r="A410" s="50" t="s">
        <v>63</v>
      </c>
      <c r="B410" s="51" t="s">
        <v>5874</v>
      </c>
      <c r="C410" s="51"/>
      <c r="D410" s="52"/>
      <c r="E410" s="51">
        <v>110</v>
      </c>
      <c r="F410" s="52"/>
      <c r="G410" s="53">
        <v>31119314</v>
      </c>
      <c r="H410" s="52"/>
      <c r="I410" s="52"/>
      <c r="J410" s="52"/>
      <c r="K410" s="52"/>
      <c r="L410" s="52"/>
      <c r="M410" s="52"/>
      <c r="N410" s="52"/>
      <c r="O410" s="52"/>
      <c r="P410" s="52"/>
      <c r="Q410" s="52"/>
      <c r="R410" s="52"/>
      <c r="S410" s="52"/>
      <c r="T410" s="52"/>
      <c r="U410" s="52"/>
      <c r="V410" s="52"/>
      <c r="W410" s="52"/>
      <c r="X410" s="52"/>
      <c r="Y410" s="52"/>
      <c r="Z410" s="52"/>
      <c r="AA410" s="52"/>
      <c r="AB410" s="52"/>
    </row>
    <row r="411" spans="1:28" ht="14.25" x14ac:dyDescent="0.2">
      <c r="A411" s="54" t="s">
        <v>63</v>
      </c>
      <c r="B411" s="55" t="s">
        <v>5667</v>
      </c>
      <c r="C411" s="55"/>
      <c r="D411" s="52"/>
      <c r="E411" s="55">
        <v>16</v>
      </c>
      <c r="F411" s="52"/>
      <c r="G411" s="56">
        <v>31115305</v>
      </c>
      <c r="H411" s="52"/>
      <c r="I411" s="52"/>
      <c r="J411" s="52"/>
      <c r="K411" s="52"/>
      <c r="L411" s="52"/>
      <c r="M411" s="52"/>
      <c r="N411" s="52"/>
      <c r="O411" s="52"/>
      <c r="P411" s="52"/>
      <c r="Q411" s="52"/>
      <c r="R411" s="52"/>
      <c r="S411" s="52"/>
      <c r="T411" s="52"/>
      <c r="U411" s="52"/>
      <c r="V411" s="52"/>
      <c r="W411" s="52"/>
      <c r="X411" s="52"/>
      <c r="Y411" s="52"/>
      <c r="Z411" s="52"/>
      <c r="AA411" s="52"/>
      <c r="AB411" s="52"/>
    </row>
    <row r="412" spans="1:28" ht="14.25" x14ac:dyDescent="0.2">
      <c r="A412" s="50" t="s">
        <v>63</v>
      </c>
      <c r="B412" s="51" t="s">
        <v>5667</v>
      </c>
      <c r="C412" s="51"/>
      <c r="D412" s="52"/>
      <c r="E412" s="51">
        <v>20</v>
      </c>
      <c r="F412" s="52"/>
      <c r="G412" s="53">
        <v>31115306</v>
      </c>
      <c r="H412" s="52"/>
      <c r="I412" s="52"/>
      <c r="J412" s="52"/>
      <c r="K412" s="52"/>
      <c r="L412" s="52"/>
      <c r="M412" s="52"/>
      <c r="N412" s="52"/>
      <c r="O412" s="52"/>
      <c r="P412" s="52"/>
      <c r="Q412" s="52"/>
      <c r="R412" s="52"/>
      <c r="S412" s="52"/>
      <c r="T412" s="52"/>
      <c r="U412" s="52"/>
      <c r="V412" s="52"/>
      <c r="W412" s="52"/>
      <c r="X412" s="52"/>
      <c r="Y412" s="52"/>
      <c r="Z412" s="52"/>
      <c r="AA412" s="52"/>
      <c r="AB412" s="52"/>
    </row>
    <row r="413" spans="1:28" ht="14.25" x14ac:dyDescent="0.2">
      <c r="A413" s="54" t="s">
        <v>63</v>
      </c>
      <c r="B413" s="55" t="s">
        <v>5667</v>
      </c>
      <c r="C413" s="55"/>
      <c r="D413" s="52"/>
      <c r="E413" s="55">
        <v>25</v>
      </c>
      <c r="F413" s="52"/>
      <c r="G413" s="56">
        <v>31115307</v>
      </c>
      <c r="H413" s="52"/>
      <c r="I413" s="52"/>
      <c r="J413" s="52"/>
      <c r="K413" s="52"/>
      <c r="L413" s="52"/>
      <c r="M413" s="52"/>
      <c r="N413" s="52"/>
      <c r="O413" s="52"/>
      <c r="P413" s="52"/>
      <c r="Q413" s="52"/>
      <c r="R413" s="52"/>
      <c r="S413" s="52"/>
      <c r="T413" s="52"/>
      <c r="U413" s="52"/>
      <c r="V413" s="52"/>
      <c r="W413" s="52"/>
      <c r="X413" s="52"/>
      <c r="Y413" s="52"/>
      <c r="Z413" s="52"/>
      <c r="AA413" s="52"/>
      <c r="AB413" s="52"/>
    </row>
    <row r="414" spans="1:28" ht="14.25" x14ac:dyDescent="0.2">
      <c r="A414" s="50" t="s">
        <v>63</v>
      </c>
      <c r="B414" s="51" t="s">
        <v>5667</v>
      </c>
      <c r="C414" s="51"/>
      <c r="D414" s="52"/>
      <c r="E414" s="51">
        <v>32</v>
      </c>
      <c r="F414" s="52"/>
      <c r="G414" s="53">
        <v>31115308</v>
      </c>
      <c r="H414" s="52"/>
      <c r="I414" s="52"/>
      <c r="J414" s="52"/>
      <c r="K414" s="52"/>
      <c r="L414" s="52"/>
      <c r="M414" s="52"/>
      <c r="N414" s="52"/>
      <c r="O414" s="52"/>
      <c r="P414" s="52"/>
      <c r="Q414" s="52"/>
      <c r="R414" s="52"/>
      <c r="S414" s="52"/>
      <c r="T414" s="52"/>
      <c r="U414" s="52"/>
      <c r="V414" s="52"/>
      <c r="W414" s="52"/>
      <c r="X414" s="52"/>
      <c r="Y414" s="52"/>
      <c r="Z414" s="52"/>
      <c r="AA414" s="52"/>
      <c r="AB414" s="52"/>
    </row>
    <row r="415" spans="1:28" ht="14.25" x14ac:dyDescent="0.2">
      <c r="A415" s="54" t="s">
        <v>63</v>
      </c>
      <c r="B415" s="55" t="s">
        <v>5667</v>
      </c>
      <c r="C415" s="55"/>
      <c r="D415" s="52"/>
      <c r="E415" s="55">
        <v>40</v>
      </c>
      <c r="F415" s="52"/>
      <c r="G415" s="56">
        <v>31115309</v>
      </c>
      <c r="H415" s="52"/>
      <c r="I415" s="52"/>
      <c r="J415" s="52"/>
      <c r="K415" s="52"/>
      <c r="L415" s="52"/>
      <c r="M415" s="52"/>
      <c r="N415" s="52"/>
      <c r="O415" s="52"/>
      <c r="P415" s="52"/>
      <c r="Q415" s="52"/>
      <c r="R415" s="52"/>
      <c r="S415" s="52"/>
      <c r="T415" s="52"/>
      <c r="U415" s="52"/>
      <c r="V415" s="52"/>
      <c r="W415" s="52"/>
      <c r="X415" s="52"/>
      <c r="Y415" s="52"/>
      <c r="Z415" s="52"/>
      <c r="AA415" s="52"/>
      <c r="AB415" s="52"/>
    </row>
    <row r="416" spans="1:28" ht="14.25" x14ac:dyDescent="0.2">
      <c r="A416" s="50" t="s">
        <v>63</v>
      </c>
      <c r="B416" s="51" t="s">
        <v>5667</v>
      </c>
      <c r="C416" s="51"/>
      <c r="D416" s="52"/>
      <c r="E416" s="51">
        <v>50</v>
      </c>
      <c r="F416" s="52"/>
      <c r="G416" s="53">
        <v>31115310</v>
      </c>
      <c r="H416" s="52"/>
      <c r="I416" s="52"/>
      <c r="J416" s="52"/>
      <c r="K416" s="52"/>
      <c r="L416" s="52"/>
      <c r="M416" s="52"/>
      <c r="N416" s="52"/>
      <c r="O416" s="52"/>
      <c r="P416" s="52"/>
      <c r="Q416" s="52"/>
      <c r="R416" s="52"/>
      <c r="S416" s="52"/>
      <c r="T416" s="52"/>
      <c r="U416" s="52"/>
      <c r="V416" s="52"/>
      <c r="W416" s="52"/>
      <c r="X416" s="52"/>
      <c r="Y416" s="52"/>
      <c r="Z416" s="52"/>
      <c r="AA416" s="52"/>
      <c r="AB416" s="52"/>
    </row>
    <row r="417" spans="1:28" ht="14.25" x14ac:dyDescent="0.2">
      <c r="A417" s="54" t="s">
        <v>63</v>
      </c>
      <c r="B417" s="55" t="s">
        <v>5667</v>
      </c>
      <c r="C417" s="55"/>
      <c r="D417" s="52"/>
      <c r="E417" s="55">
        <v>63</v>
      </c>
      <c r="F417" s="52"/>
      <c r="G417" s="56">
        <v>31115311</v>
      </c>
      <c r="H417" s="52"/>
      <c r="I417" s="52"/>
      <c r="J417" s="52"/>
      <c r="K417" s="52"/>
      <c r="L417" s="52"/>
      <c r="M417" s="52"/>
      <c r="N417" s="52"/>
      <c r="O417" s="52"/>
      <c r="P417" s="52"/>
      <c r="Q417" s="52"/>
      <c r="R417" s="52"/>
      <c r="S417" s="52"/>
      <c r="T417" s="52"/>
      <c r="U417" s="52"/>
      <c r="V417" s="52"/>
      <c r="W417" s="52"/>
      <c r="X417" s="52"/>
      <c r="Y417" s="52"/>
      <c r="Z417" s="52"/>
      <c r="AA417" s="52"/>
      <c r="AB417" s="52"/>
    </row>
    <row r="418" spans="1:28" ht="14.25" x14ac:dyDescent="0.2">
      <c r="A418" s="50" t="s">
        <v>63</v>
      </c>
      <c r="B418" s="51" t="s">
        <v>5667</v>
      </c>
      <c r="C418" s="51"/>
      <c r="D418" s="52"/>
      <c r="E418" s="51">
        <v>75</v>
      </c>
      <c r="F418" s="52"/>
      <c r="G418" s="53">
        <v>31115312</v>
      </c>
      <c r="H418" s="52"/>
      <c r="I418" s="52"/>
      <c r="J418" s="52"/>
      <c r="K418" s="52"/>
      <c r="L418" s="52"/>
      <c r="M418" s="52"/>
      <c r="N418" s="52"/>
      <c r="O418" s="52"/>
      <c r="P418" s="52"/>
      <c r="Q418" s="52"/>
      <c r="R418" s="52"/>
      <c r="S418" s="52"/>
      <c r="T418" s="52"/>
      <c r="U418" s="52"/>
      <c r="V418" s="52"/>
      <c r="W418" s="52"/>
      <c r="X418" s="52"/>
      <c r="Y418" s="52"/>
      <c r="Z418" s="52"/>
      <c r="AA418" s="52"/>
      <c r="AB418" s="52"/>
    </row>
    <row r="419" spans="1:28" ht="14.25" x14ac:dyDescent="0.2">
      <c r="A419" s="54" t="s">
        <v>63</v>
      </c>
      <c r="B419" s="55" t="s">
        <v>5667</v>
      </c>
      <c r="C419" s="55"/>
      <c r="D419" s="52"/>
      <c r="E419" s="55">
        <v>90</v>
      </c>
      <c r="F419" s="52"/>
      <c r="G419" s="56">
        <v>31115313</v>
      </c>
      <c r="H419" s="52"/>
      <c r="I419" s="52"/>
      <c r="J419" s="52"/>
      <c r="K419" s="52"/>
      <c r="L419" s="52"/>
      <c r="M419" s="52"/>
      <c r="N419" s="52"/>
      <c r="O419" s="52"/>
      <c r="P419" s="52"/>
      <c r="Q419" s="52"/>
      <c r="R419" s="52"/>
      <c r="S419" s="52"/>
      <c r="T419" s="52"/>
      <c r="U419" s="52"/>
      <c r="V419" s="52"/>
      <c r="W419" s="52"/>
      <c r="X419" s="52"/>
      <c r="Y419" s="52"/>
      <c r="Z419" s="52"/>
      <c r="AA419" s="52"/>
      <c r="AB419" s="52"/>
    </row>
    <row r="420" spans="1:28" ht="14.25" x14ac:dyDescent="0.2">
      <c r="A420" s="50" t="s">
        <v>63</v>
      </c>
      <c r="B420" s="51" t="s">
        <v>5667</v>
      </c>
      <c r="C420" s="51"/>
      <c r="D420" s="52"/>
      <c r="E420" s="51">
        <v>110</v>
      </c>
      <c r="F420" s="52"/>
      <c r="G420" s="53">
        <v>31115314</v>
      </c>
      <c r="H420" s="52"/>
      <c r="I420" s="52"/>
      <c r="J420" s="52"/>
      <c r="K420" s="52"/>
      <c r="L420" s="52"/>
      <c r="M420" s="52"/>
      <c r="N420" s="52"/>
      <c r="O420" s="52"/>
      <c r="P420" s="52"/>
      <c r="Q420" s="52"/>
      <c r="R420" s="52"/>
      <c r="S420" s="52"/>
      <c r="T420" s="52"/>
      <c r="U420" s="52"/>
      <c r="V420" s="52"/>
      <c r="W420" s="52"/>
      <c r="X420" s="52"/>
      <c r="Y420" s="52"/>
      <c r="Z420" s="52"/>
      <c r="AA420" s="52"/>
      <c r="AB420" s="52"/>
    </row>
    <row r="421" spans="1:28" ht="14.25" x14ac:dyDescent="0.2">
      <c r="A421" s="50" t="s">
        <v>63</v>
      </c>
      <c r="B421" s="51" t="s">
        <v>5670</v>
      </c>
      <c r="C421" s="51"/>
      <c r="D421" s="52"/>
      <c r="E421" s="51">
        <v>16</v>
      </c>
      <c r="F421" s="52"/>
      <c r="G421" s="53">
        <v>31118305</v>
      </c>
      <c r="H421" s="52"/>
      <c r="I421" s="52"/>
      <c r="J421" s="52"/>
      <c r="K421" s="52"/>
      <c r="L421" s="52"/>
      <c r="M421" s="52"/>
      <c r="N421" s="52"/>
      <c r="O421" s="52"/>
      <c r="P421" s="52"/>
      <c r="Q421" s="52"/>
      <c r="R421" s="52"/>
      <c r="S421" s="52"/>
      <c r="T421" s="52"/>
      <c r="U421" s="52"/>
      <c r="V421" s="52"/>
      <c r="W421" s="52"/>
      <c r="X421" s="52"/>
      <c r="Y421" s="52"/>
      <c r="Z421" s="52"/>
      <c r="AA421" s="52"/>
      <c r="AB421" s="52"/>
    </row>
    <row r="422" spans="1:28" ht="14.25" x14ac:dyDescent="0.2">
      <c r="A422" s="54" t="s">
        <v>63</v>
      </c>
      <c r="B422" s="55" t="s">
        <v>5670</v>
      </c>
      <c r="C422" s="55"/>
      <c r="D422" s="52"/>
      <c r="E422" s="55">
        <v>20</v>
      </c>
      <c r="F422" s="52"/>
      <c r="G422" s="56">
        <v>31118306</v>
      </c>
      <c r="H422" s="52"/>
      <c r="I422" s="52"/>
      <c r="J422" s="52"/>
      <c r="K422" s="52"/>
      <c r="L422" s="52"/>
      <c r="M422" s="52"/>
      <c r="N422" s="52"/>
      <c r="O422" s="52"/>
      <c r="P422" s="52"/>
      <c r="Q422" s="52"/>
      <c r="R422" s="52"/>
      <c r="S422" s="52"/>
      <c r="T422" s="52"/>
      <c r="U422" s="52"/>
      <c r="V422" s="52"/>
      <c r="W422" s="52"/>
      <c r="X422" s="52"/>
      <c r="Y422" s="52"/>
      <c r="Z422" s="52"/>
      <c r="AA422" s="52"/>
      <c r="AB422" s="52"/>
    </row>
    <row r="423" spans="1:28" ht="14.25" x14ac:dyDescent="0.2">
      <c r="A423" s="50" t="s">
        <v>63</v>
      </c>
      <c r="B423" s="51" t="s">
        <v>5670</v>
      </c>
      <c r="C423" s="51"/>
      <c r="D423" s="52"/>
      <c r="E423" s="51">
        <v>25</v>
      </c>
      <c r="F423" s="52"/>
      <c r="G423" s="53">
        <v>31118307</v>
      </c>
      <c r="H423" s="52"/>
      <c r="I423" s="52"/>
      <c r="J423" s="52"/>
      <c r="K423" s="52"/>
      <c r="L423" s="52"/>
      <c r="M423" s="52"/>
      <c r="N423" s="52"/>
      <c r="O423" s="52"/>
      <c r="P423" s="52"/>
      <c r="Q423" s="52"/>
      <c r="R423" s="52"/>
      <c r="S423" s="52"/>
      <c r="T423" s="52"/>
      <c r="U423" s="52"/>
      <c r="V423" s="52"/>
      <c r="W423" s="52"/>
      <c r="X423" s="52"/>
      <c r="Y423" s="52"/>
      <c r="Z423" s="52"/>
      <c r="AA423" s="52"/>
      <c r="AB423" s="52"/>
    </row>
    <row r="424" spans="1:28" ht="14.25" x14ac:dyDescent="0.2">
      <c r="A424" s="54" t="s">
        <v>63</v>
      </c>
      <c r="B424" s="55" t="s">
        <v>5670</v>
      </c>
      <c r="C424" s="55"/>
      <c r="D424" s="52"/>
      <c r="E424" s="55">
        <v>40</v>
      </c>
      <c r="F424" s="52"/>
      <c r="G424" s="56">
        <v>31118309</v>
      </c>
      <c r="H424" s="52"/>
      <c r="I424" s="52"/>
      <c r="J424" s="52"/>
      <c r="K424" s="52"/>
      <c r="L424" s="52"/>
      <c r="M424" s="52"/>
      <c r="N424" s="52"/>
      <c r="O424" s="52"/>
      <c r="P424" s="52"/>
      <c r="Q424" s="52"/>
      <c r="R424" s="52"/>
      <c r="S424" s="52"/>
      <c r="T424" s="52"/>
      <c r="U424" s="52"/>
      <c r="V424" s="52"/>
      <c r="W424" s="52"/>
      <c r="X424" s="52"/>
      <c r="Y424" s="52"/>
      <c r="Z424" s="52"/>
      <c r="AA424" s="52"/>
      <c r="AB424" s="52"/>
    </row>
    <row r="425" spans="1:28" ht="14.25" x14ac:dyDescent="0.2">
      <c r="A425" s="50" t="s">
        <v>63</v>
      </c>
      <c r="B425" s="51" t="s">
        <v>5670</v>
      </c>
      <c r="C425" s="51"/>
      <c r="D425" s="52"/>
      <c r="E425" s="51">
        <v>50</v>
      </c>
      <c r="F425" s="52"/>
      <c r="G425" s="53">
        <v>31118310</v>
      </c>
      <c r="H425" s="52"/>
      <c r="I425" s="52"/>
      <c r="J425" s="52"/>
      <c r="K425" s="52"/>
      <c r="L425" s="52"/>
      <c r="M425" s="52"/>
      <c r="N425" s="52"/>
      <c r="O425" s="52"/>
      <c r="P425" s="52"/>
      <c r="Q425" s="52"/>
      <c r="R425" s="52"/>
      <c r="S425" s="52"/>
      <c r="T425" s="52"/>
      <c r="U425" s="52"/>
      <c r="V425" s="52"/>
      <c r="W425" s="52"/>
      <c r="X425" s="52"/>
      <c r="Y425" s="52"/>
      <c r="Z425" s="52"/>
      <c r="AA425" s="52"/>
      <c r="AB425" s="52"/>
    </row>
    <row r="426" spans="1:28" ht="14.25" x14ac:dyDescent="0.2">
      <c r="A426" s="54" t="s">
        <v>63</v>
      </c>
      <c r="B426" s="55" t="s">
        <v>5670</v>
      </c>
      <c r="C426" s="55"/>
      <c r="D426" s="52"/>
      <c r="E426" s="55">
        <v>63</v>
      </c>
      <c r="F426" s="52"/>
      <c r="G426" s="56">
        <v>31118311</v>
      </c>
      <c r="H426" s="52"/>
      <c r="I426" s="52"/>
      <c r="J426" s="52"/>
      <c r="K426" s="52"/>
      <c r="L426" s="52"/>
      <c r="M426" s="52"/>
      <c r="N426" s="52"/>
      <c r="O426" s="52"/>
      <c r="P426" s="52"/>
      <c r="Q426" s="52"/>
      <c r="R426" s="52"/>
      <c r="S426" s="52"/>
      <c r="T426" s="52"/>
      <c r="U426" s="52"/>
      <c r="V426" s="52"/>
      <c r="W426" s="52"/>
      <c r="X426" s="52"/>
      <c r="Y426" s="52"/>
      <c r="Z426" s="52"/>
      <c r="AA426" s="52"/>
      <c r="AB426" s="52"/>
    </row>
    <row r="427" spans="1:28" ht="14.25" x14ac:dyDescent="0.2">
      <c r="A427" s="50" t="s">
        <v>63</v>
      </c>
      <c r="B427" s="51" t="s">
        <v>5670</v>
      </c>
      <c r="C427" s="51"/>
      <c r="D427" s="52"/>
      <c r="E427" s="51">
        <v>75</v>
      </c>
      <c r="F427" s="52"/>
      <c r="G427" s="53">
        <v>31118312</v>
      </c>
      <c r="H427" s="52"/>
      <c r="I427" s="52"/>
      <c r="J427" s="52"/>
      <c r="K427" s="52"/>
      <c r="L427" s="52"/>
      <c r="M427" s="52"/>
      <c r="N427" s="52"/>
      <c r="O427" s="52"/>
      <c r="P427" s="52"/>
      <c r="Q427" s="52"/>
      <c r="R427" s="52"/>
      <c r="S427" s="52"/>
      <c r="T427" s="52"/>
      <c r="U427" s="52"/>
      <c r="V427" s="52"/>
      <c r="W427" s="52"/>
      <c r="X427" s="52"/>
      <c r="Y427" s="52"/>
      <c r="Z427" s="52"/>
      <c r="AA427" s="52"/>
      <c r="AB427" s="52"/>
    </row>
    <row r="428" spans="1:28" ht="14.25" x14ac:dyDescent="0.2">
      <c r="A428" s="54" t="s">
        <v>63</v>
      </c>
      <c r="B428" s="55" t="s">
        <v>5670</v>
      </c>
      <c r="C428" s="55"/>
      <c r="D428" s="52"/>
      <c r="E428" s="55">
        <v>90</v>
      </c>
      <c r="F428" s="52"/>
      <c r="G428" s="56">
        <v>31118313</v>
      </c>
      <c r="H428" s="52"/>
      <c r="I428" s="52"/>
      <c r="J428" s="52"/>
      <c r="K428" s="52"/>
      <c r="L428" s="52"/>
      <c r="M428" s="52"/>
      <c r="N428" s="52"/>
      <c r="O428" s="52"/>
      <c r="P428" s="52"/>
      <c r="Q428" s="52"/>
      <c r="R428" s="52"/>
      <c r="S428" s="52"/>
      <c r="T428" s="52"/>
      <c r="U428" s="52"/>
      <c r="V428" s="52"/>
      <c r="W428" s="52"/>
      <c r="X428" s="52"/>
      <c r="Y428" s="52"/>
      <c r="Z428" s="52"/>
      <c r="AA428" s="52"/>
      <c r="AB428" s="52"/>
    </row>
    <row r="429" spans="1:28" ht="14.25" x14ac:dyDescent="0.2">
      <c r="A429" s="50" t="s">
        <v>63</v>
      </c>
      <c r="B429" s="51" t="s">
        <v>5670</v>
      </c>
      <c r="C429" s="51"/>
      <c r="D429" s="52"/>
      <c r="E429" s="51">
        <v>110</v>
      </c>
      <c r="F429" s="52"/>
      <c r="G429" s="53">
        <v>31118314</v>
      </c>
      <c r="H429" s="52"/>
      <c r="I429" s="52"/>
      <c r="J429" s="52"/>
      <c r="K429" s="52"/>
      <c r="L429" s="52"/>
      <c r="M429" s="52"/>
      <c r="N429" s="52"/>
      <c r="O429" s="52"/>
      <c r="P429" s="52"/>
      <c r="Q429" s="52"/>
      <c r="R429" s="52"/>
      <c r="S429" s="52"/>
      <c r="T429" s="52"/>
      <c r="U429" s="52"/>
      <c r="V429" s="52"/>
      <c r="W429" s="52"/>
      <c r="X429" s="52"/>
      <c r="Y429" s="52"/>
      <c r="Z429" s="52"/>
      <c r="AA429" s="52"/>
      <c r="AB429" s="52"/>
    </row>
    <row r="430" spans="1:28" ht="14.25" x14ac:dyDescent="0.2">
      <c r="A430" s="54" t="s">
        <v>63</v>
      </c>
      <c r="B430" s="55" t="s">
        <v>5875</v>
      </c>
      <c r="C430" s="55"/>
      <c r="D430" s="52"/>
      <c r="E430" s="55">
        <v>16</v>
      </c>
      <c r="F430" s="52"/>
      <c r="G430" s="56">
        <v>31312305</v>
      </c>
      <c r="H430" s="52"/>
      <c r="I430" s="52"/>
      <c r="J430" s="52"/>
      <c r="K430" s="52"/>
      <c r="L430" s="52"/>
      <c r="M430" s="52"/>
      <c r="N430" s="52"/>
      <c r="O430" s="52"/>
      <c r="P430" s="52"/>
      <c r="Q430" s="52"/>
      <c r="R430" s="52"/>
      <c r="S430" s="52"/>
      <c r="T430" s="52"/>
      <c r="U430" s="52"/>
      <c r="V430" s="52"/>
      <c r="W430" s="52"/>
      <c r="X430" s="52"/>
      <c r="Y430" s="52"/>
      <c r="Z430" s="52"/>
      <c r="AA430" s="52"/>
      <c r="AB430" s="52"/>
    </row>
    <row r="431" spans="1:28" ht="14.25" x14ac:dyDescent="0.2">
      <c r="A431" s="50" t="s">
        <v>63</v>
      </c>
      <c r="B431" s="51" t="s">
        <v>5875</v>
      </c>
      <c r="C431" s="51"/>
      <c r="D431" s="52"/>
      <c r="E431" s="51">
        <v>20</v>
      </c>
      <c r="F431" s="52"/>
      <c r="G431" s="53">
        <v>31312306</v>
      </c>
      <c r="H431" s="52"/>
      <c r="I431" s="52"/>
      <c r="J431" s="52"/>
      <c r="K431" s="52"/>
      <c r="L431" s="52"/>
      <c r="M431" s="52"/>
      <c r="N431" s="52"/>
      <c r="O431" s="52"/>
      <c r="P431" s="52"/>
      <c r="Q431" s="52"/>
      <c r="R431" s="52"/>
      <c r="S431" s="52"/>
      <c r="T431" s="52"/>
      <c r="U431" s="52"/>
      <c r="V431" s="52"/>
      <c r="W431" s="52"/>
      <c r="X431" s="52"/>
      <c r="Y431" s="52"/>
      <c r="Z431" s="52"/>
      <c r="AA431" s="52"/>
      <c r="AB431" s="52"/>
    </row>
    <row r="432" spans="1:28" ht="14.25" x14ac:dyDescent="0.2">
      <c r="A432" s="54" t="s">
        <v>63</v>
      </c>
      <c r="B432" s="55" t="s">
        <v>5875</v>
      </c>
      <c r="C432" s="55"/>
      <c r="D432" s="52"/>
      <c r="E432" s="55">
        <v>25</v>
      </c>
      <c r="F432" s="52"/>
      <c r="G432" s="56">
        <v>31312307</v>
      </c>
      <c r="H432" s="52"/>
      <c r="I432" s="52"/>
      <c r="J432" s="52"/>
      <c r="K432" s="52"/>
      <c r="L432" s="52"/>
      <c r="M432" s="52"/>
      <c r="N432" s="52"/>
      <c r="O432" s="52"/>
      <c r="P432" s="52"/>
      <c r="Q432" s="52"/>
      <c r="R432" s="52"/>
      <c r="S432" s="52"/>
      <c r="T432" s="52"/>
      <c r="U432" s="52"/>
      <c r="V432" s="52"/>
      <c r="W432" s="52"/>
      <c r="X432" s="52"/>
      <c r="Y432" s="52"/>
      <c r="Z432" s="52"/>
      <c r="AA432" s="52"/>
      <c r="AB432" s="52"/>
    </row>
    <row r="433" spans="1:28" ht="14.25" x14ac:dyDescent="0.2">
      <c r="A433" s="50" t="s">
        <v>63</v>
      </c>
      <c r="B433" s="51" t="s">
        <v>5875</v>
      </c>
      <c r="C433" s="51"/>
      <c r="D433" s="52"/>
      <c r="E433" s="51">
        <v>32</v>
      </c>
      <c r="F433" s="52"/>
      <c r="G433" s="53">
        <v>31312308</v>
      </c>
      <c r="H433" s="52"/>
      <c r="I433" s="52"/>
      <c r="J433" s="52"/>
      <c r="K433" s="52"/>
      <c r="L433" s="52"/>
      <c r="M433" s="52"/>
      <c r="N433" s="52"/>
      <c r="O433" s="52"/>
      <c r="P433" s="52"/>
      <c r="Q433" s="52"/>
      <c r="R433" s="52"/>
      <c r="S433" s="52"/>
      <c r="T433" s="52"/>
      <c r="U433" s="52"/>
      <c r="V433" s="52"/>
      <c r="W433" s="52"/>
      <c r="X433" s="52"/>
      <c r="Y433" s="52"/>
      <c r="Z433" s="52"/>
      <c r="AA433" s="52"/>
      <c r="AB433" s="52"/>
    </row>
    <row r="434" spans="1:28" ht="14.25" x14ac:dyDescent="0.2">
      <c r="A434" s="50" t="s">
        <v>63</v>
      </c>
      <c r="B434" s="51" t="s">
        <v>5876</v>
      </c>
      <c r="C434" s="51"/>
      <c r="D434" s="52"/>
      <c r="E434" s="51">
        <v>32</v>
      </c>
      <c r="F434" s="52"/>
      <c r="G434" s="53">
        <v>13411308</v>
      </c>
      <c r="H434" s="52"/>
      <c r="I434" s="52"/>
      <c r="J434" s="52"/>
      <c r="K434" s="52"/>
      <c r="L434" s="52"/>
      <c r="M434" s="52"/>
      <c r="N434" s="52"/>
      <c r="O434" s="52"/>
      <c r="P434" s="52"/>
      <c r="Q434" s="52"/>
      <c r="R434" s="52"/>
      <c r="S434" s="52"/>
      <c r="T434" s="52"/>
      <c r="U434" s="52"/>
      <c r="V434" s="52"/>
      <c r="W434" s="52"/>
      <c r="X434" s="52"/>
      <c r="Y434" s="52"/>
      <c r="Z434" s="52"/>
      <c r="AA434" s="52"/>
      <c r="AB434" s="52"/>
    </row>
    <row r="435" spans="1:28" ht="14.25" x14ac:dyDescent="0.2">
      <c r="A435" s="54" t="s">
        <v>63</v>
      </c>
      <c r="B435" s="55" t="s">
        <v>5876</v>
      </c>
      <c r="C435" s="55"/>
      <c r="D435" s="52"/>
      <c r="E435" s="55">
        <v>40</v>
      </c>
      <c r="F435" s="52"/>
      <c r="G435" s="56">
        <v>13411309</v>
      </c>
      <c r="H435" s="52"/>
      <c r="I435" s="52"/>
      <c r="J435" s="52"/>
      <c r="K435" s="52"/>
      <c r="L435" s="52"/>
      <c r="M435" s="52"/>
      <c r="N435" s="52"/>
      <c r="O435" s="52"/>
      <c r="P435" s="52"/>
      <c r="Q435" s="52"/>
      <c r="R435" s="52"/>
      <c r="S435" s="52"/>
      <c r="T435" s="52"/>
      <c r="U435" s="52"/>
      <c r="V435" s="52"/>
      <c r="W435" s="52"/>
      <c r="X435" s="52"/>
      <c r="Y435" s="52"/>
      <c r="Z435" s="52"/>
      <c r="AA435" s="52"/>
      <c r="AB435" s="52"/>
    </row>
    <row r="436" spans="1:28" ht="14.25" x14ac:dyDescent="0.2">
      <c r="A436" s="50" t="s">
        <v>63</v>
      </c>
      <c r="B436" s="51" t="s">
        <v>5876</v>
      </c>
      <c r="C436" s="51"/>
      <c r="D436" s="52"/>
      <c r="E436" s="51">
        <v>50</v>
      </c>
      <c r="F436" s="52"/>
      <c r="G436" s="53">
        <v>13411310</v>
      </c>
      <c r="H436" s="52"/>
      <c r="I436" s="52"/>
      <c r="J436" s="52"/>
      <c r="K436" s="52"/>
      <c r="L436" s="52"/>
      <c r="M436" s="52"/>
      <c r="N436" s="52"/>
      <c r="O436" s="52"/>
      <c r="P436" s="52"/>
      <c r="Q436" s="52"/>
      <c r="R436" s="52"/>
      <c r="S436" s="52"/>
      <c r="T436" s="52"/>
      <c r="U436" s="52"/>
      <c r="V436" s="52"/>
      <c r="W436" s="52"/>
      <c r="X436" s="52"/>
      <c r="Y436" s="52"/>
      <c r="Z436" s="52"/>
      <c r="AA436" s="52"/>
      <c r="AB436" s="52"/>
    </row>
    <row r="437" spans="1:28" ht="14.25" x14ac:dyDescent="0.2">
      <c r="A437" s="54" t="s">
        <v>63</v>
      </c>
      <c r="B437" s="55" t="s">
        <v>5876</v>
      </c>
      <c r="C437" s="55"/>
      <c r="D437" s="52"/>
      <c r="E437" s="55">
        <v>63</v>
      </c>
      <c r="F437" s="52"/>
      <c r="G437" s="56">
        <v>13411311</v>
      </c>
      <c r="H437" s="52"/>
      <c r="I437" s="52"/>
      <c r="J437" s="52"/>
      <c r="K437" s="52"/>
      <c r="L437" s="52"/>
      <c r="M437" s="52"/>
      <c r="N437" s="52"/>
      <c r="O437" s="52"/>
      <c r="P437" s="52"/>
      <c r="Q437" s="52"/>
      <c r="R437" s="52"/>
      <c r="S437" s="52"/>
      <c r="T437" s="52"/>
      <c r="U437" s="52"/>
      <c r="V437" s="52"/>
      <c r="W437" s="52"/>
      <c r="X437" s="52"/>
      <c r="Y437" s="52"/>
      <c r="Z437" s="52"/>
      <c r="AA437" s="52"/>
      <c r="AB437" s="52"/>
    </row>
    <row r="438" spans="1:28" ht="14.25" x14ac:dyDescent="0.2">
      <c r="A438" s="50" t="s">
        <v>63</v>
      </c>
      <c r="B438" s="51" t="s">
        <v>5876</v>
      </c>
      <c r="C438" s="51"/>
      <c r="D438" s="52"/>
      <c r="E438" s="51">
        <v>75</v>
      </c>
      <c r="F438" s="52"/>
      <c r="G438" s="53">
        <v>13411312</v>
      </c>
      <c r="H438" s="52"/>
      <c r="I438" s="52"/>
      <c r="J438" s="52"/>
      <c r="K438" s="52"/>
      <c r="L438" s="52"/>
      <c r="M438" s="52"/>
      <c r="N438" s="52"/>
      <c r="O438" s="52"/>
      <c r="P438" s="52"/>
      <c r="Q438" s="52"/>
      <c r="R438" s="52"/>
      <c r="S438" s="52"/>
      <c r="T438" s="52"/>
      <c r="U438" s="52"/>
      <c r="V438" s="52"/>
      <c r="W438" s="52"/>
      <c r="X438" s="52"/>
      <c r="Y438" s="52"/>
      <c r="Z438" s="52"/>
      <c r="AA438" s="52"/>
      <c r="AB438" s="52"/>
    </row>
    <row r="439" spans="1:28" ht="14.25" x14ac:dyDescent="0.2">
      <c r="A439" s="54" t="s">
        <v>63</v>
      </c>
      <c r="B439" s="55" t="s">
        <v>5876</v>
      </c>
      <c r="C439" s="55"/>
      <c r="D439" s="52"/>
      <c r="E439" s="55">
        <v>90</v>
      </c>
      <c r="F439" s="52"/>
      <c r="G439" s="56">
        <v>13411313</v>
      </c>
      <c r="H439" s="52"/>
      <c r="I439" s="52"/>
      <c r="J439" s="52"/>
      <c r="K439" s="52"/>
      <c r="L439" s="52"/>
      <c r="M439" s="52"/>
      <c r="N439" s="52"/>
      <c r="O439" s="52"/>
      <c r="P439" s="52"/>
      <c r="Q439" s="52"/>
      <c r="R439" s="52"/>
      <c r="S439" s="52"/>
      <c r="T439" s="52"/>
      <c r="U439" s="52"/>
      <c r="V439" s="52"/>
      <c r="W439" s="52"/>
      <c r="X439" s="52"/>
      <c r="Y439" s="52"/>
      <c r="Z439" s="52"/>
      <c r="AA439" s="52"/>
      <c r="AB439" s="52"/>
    </row>
    <row r="440" spans="1:28" ht="14.25" x14ac:dyDescent="0.2">
      <c r="A440" s="50" t="s">
        <v>63</v>
      </c>
      <c r="B440" s="51" t="s">
        <v>5876</v>
      </c>
      <c r="C440" s="51"/>
      <c r="D440" s="52"/>
      <c r="E440" s="51">
        <v>110</v>
      </c>
      <c r="F440" s="52"/>
      <c r="G440" s="53">
        <v>13411314</v>
      </c>
      <c r="H440" s="52"/>
      <c r="I440" s="52"/>
      <c r="J440" s="52"/>
      <c r="K440" s="52"/>
      <c r="L440" s="52"/>
      <c r="M440" s="52"/>
      <c r="N440" s="52"/>
      <c r="O440" s="52"/>
      <c r="P440" s="52"/>
      <c r="Q440" s="52"/>
      <c r="R440" s="52"/>
      <c r="S440" s="52"/>
      <c r="T440" s="52"/>
      <c r="U440" s="52"/>
      <c r="V440" s="52"/>
      <c r="W440" s="52"/>
      <c r="X440" s="52"/>
      <c r="Y440" s="52"/>
      <c r="Z440" s="52"/>
      <c r="AA440" s="52"/>
      <c r="AB440" s="52"/>
    </row>
    <row r="441" spans="1:28" ht="14.25" x14ac:dyDescent="0.2">
      <c r="A441" s="54" t="s">
        <v>63</v>
      </c>
      <c r="B441" s="55" t="s">
        <v>65</v>
      </c>
      <c r="C441" s="55"/>
      <c r="D441" s="52"/>
      <c r="E441" s="55">
        <v>16</v>
      </c>
      <c r="F441" s="52"/>
      <c r="G441" s="56">
        <v>31100305</v>
      </c>
      <c r="H441" s="52"/>
      <c r="I441" s="52"/>
      <c r="J441" s="52"/>
      <c r="K441" s="52"/>
      <c r="L441" s="52"/>
      <c r="M441" s="52"/>
      <c r="N441" s="52"/>
      <c r="O441" s="52"/>
      <c r="P441" s="52"/>
      <c r="Q441" s="52"/>
      <c r="R441" s="52"/>
      <c r="S441" s="52"/>
      <c r="T441" s="52"/>
      <c r="U441" s="52"/>
      <c r="V441" s="52"/>
      <c r="W441" s="52"/>
      <c r="X441" s="52"/>
      <c r="Y441" s="52"/>
      <c r="Z441" s="52"/>
      <c r="AA441" s="52"/>
      <c r="AB441" s="52"/>
    </row>
    <row r="442" spans="1:28" ht="14.25" x14ac:dyDescent="0.2">
      <c r="A442" s="50" t="s">
        <v>63</v>
      </c>
      <c r="B442" s="51" t="s">
        <v>65</v>
      </c>
      <c r="C442" s="51"/>
      <c r="D442" s="52"/>
      <c r="E442" s="51">
        <v>20</v>
      </c>
      <c r="F442" s="52"/>
      <c r="G442" s="53">
        <v>31100306</v>
      </c>
      <c r="H442" s="52"/>
      <c r="I442" s="52"/>
      <c r="J442" s="52"/>
      <c r="K442" s="52"/>
      <c r="L442" s="52"/>
      <c r="M442" s="52"/>
      <c r="N442" s="52"/>
      <c r="O442" s="52"/>
      <c r="P442" s="52"/>
      <c r="Q442" s="52"/>
      <c r="R442" s="52"/>
      <c r="S442" s="52"/>
      <c r="T442" s="52"/>
      <c r="U442" s="52"/>
      <c r="V442" s="52"/>
      <c r="W442" s="52"/>
      <c r="X442" s="52"/>
      <c r="Y442" s="52"/>
      <c r="Z442" s="52"/>
      <c r="AA442" s="52"/>
      <c r="AB442" s="52"/>
    </row>
    <row r="443" spans="1:28" ht="14.25" x14ac:dyDescent="0.2">
      <c r="A443" s="54" t="s">
        <v>63</v>
      </c>
      <c r="B443" s="55" t="s">
        <v>65</v>
      </c>
      <c r="C443" s="55"/>
      <c r="D443" s="52"/>
      <c r="E443" s="55">
        <v>25</v>
      </c>
      <c r="F443" s="52"/>
      <c r="G443" s="56">
        <v>31100307</v>
      </c>
      <c r="H443" s="52"/>
      <c r="I443" s="52"/>
      <c r="J443" s="52"/>
      <c r="K443" s="52"/>
      <c r="L443" s="52"/>
      <c r="M443" s="52"/>
      <c r="N443" s="52"/>
      <c r="O443" s="52"/>
      <c r="P443" s="52"/>
      <c r="Q443" s="52"/>
      <c r="R443" s="52"/>
      <c r="S443" s="52"/>
      <c r="T443" s="52"/>
      <c r="U443" s="52"/>
      <c r="V443" s="52"/>
      <c r="W443" s="52"/>
      <c r="X443" s="52"/>
      <c r="Y443" s="52"/>
      <c r="Z443" s="52"/>
      <c r="AA443" s="52"/>
      <c r="AB443" s="52"/>
    </row>
    <row r="444" spans="1:28" ht="14.25" x14ac:dyDescent="0.2">
      <c r="A444" s="50" t="s">
        <v>63</v>
      </c>
      <c r="B444" s="51" t="s">
        <v>65</v>
      </c>
      <c r="C444" s="51"/>
      <c r="D444" s="52"/>
      <c r="E444" s="51">
        <v>32</v>
      </c>
      <c r="F444" s="52"/>
      <c r="G444" s="53">
        <v>31100308</v>
      </c>
      <c r="H444" s="52"/>
      <c r="I444" s="52"/>
      <c r="J444" s="52"/>
      <c r="K444" s="52"/>
      <c r="L444" s="52"/>
      <c r="M444" s="52"/>
      <c r="N444" s="52"/>
      <c r="O444" s="52"/>
      <c r="P444" s="52"/>
      <c r="Q444" s="52"/>
      <c r="R444" s="52"/>
      <c r="S444" s="52"/>
      <c r="T444" s="52"/>
      <c r="U444" s="52"/>
      <c r="V444" s="52"/>
      <c r="W444" s="52"/>
      <c r="X444" s="52"/>
      <c r="Y444" s="52"/>
      <c r="Z444" s="52"/>
      <c r="AA444" s="52"/>
      <c r="AB444" s="52"/>
    </row>
    <row r="445" spans="1:28" ht="14.25" x14ac:dyDescent="0.2">
      <c r="A445" s="54" t="s">
        <v>63</v>
      </c>
      <c r="B445" s="55" t="s">
        <v>65</v>
      </c>
      <c r="C445" s="55"/>
      <c r="D445" s="52"/>
      <c r="E445" s="55">
        <v>40</v>
      </c>
      <c r="F445" s="52"/>
      <c r="G445" s="56">
        <v>31100309</v>
      </c>
      <c r="H445" s="52"/>
      <c r="I445" s="52"/>
      <c r="J445" s="52"/>
      <c r="K445" s="52"/>
      <c r="L445" s="52"/>
      <c r="M445" s="52"/>
      <c r="N445" s="52"/>
      <c r="O445" s="52"/>
      <c r="P445" s="52"/>
      <c r="Q445" s="52"/>
      <c r="R445" s="52"/>
      <c r="S445" s="52"/>
      <c r="T445" s="52"/>
      <c r="U445" s="52"/>
      <c r="V445" s="52"/>
      <c r="W445" s="52"/>
      <c r="X445" s="52"/>
      <c r="Y445" s="52"/>
      <c r="Z445" s="52"/>
      <c r="AA445" s="52"/>
      <c r="AB445" s="52"/>
    </row>
    <row r="446" spans="1:28" ht="14.25" x14ac:dyDescent="0.2">
      <c r="A446" s="50" t="s">
        <v>63</v>
      </c>
      <c r="B446" s="51" t="s">
        <v>65</v>
      </c>
      <c r="C446" s="51"/>
      <c r="D446" s="52"/>
      <c r="E446" s="51">
        <v>50</v>
      </c>
      <c r="F446" s="52"/>
      <c r="G446" s="53">
        <v>31100310</v>
      </c>
      <c r="H446" s="52"/>
      <c r="I446" s="52"/>
      <c r="J446" s="52"/>
      <c r="K446" s="52"/>
      <c r="L446" s="52"/>
      <c r="M446" s="52"/>
      <c r="N446" s="52"/>
      <c r="O446" s="52"/>
      <c r="P446" s="52"/>
      <c r="Q446" s="52"/>
      <c r="R446" s="52"/>
      <c r="S446" s="52"/>
      <c r="T446" s="52"/>
      <c r="U446" s="52"/>
      <c r="V446" s="52"/>
      <c r="W446" s="52"/>
      <c r="X446" s="52"/>
      <c r="Y446" s="52"/>
      <c r="Z446" s="52"/>
      <c r="AA446" s="52"/>
      <c r="AB446" s="52"/>
    </row>
    <row r="447" spans="1:28" ht="14.25" x14ac:dyDescent="0.2">
      <c r="A447" s="54" t="s">
        <v>63</v>
      </c>
      <c r="B447" s="55" t="s">
        <v>65</v>
      </c>
      <c r="C447" s="55"/>
      <c r="D447" s="52"/>
      <c r="E447" s="55">
        <v>63</v>
      </c>
      <c r="F447" s="52"/>
      <c r="G447" s="56">
        <v>31100311</v>
      </c>
      <c r="H447" s="52"/>
      <c r="I447" s="52"/>
      <c r="J447" s="52"/>
      <c r="K447" s="52"/>
      <c r="L447" s="52"/>
      <c r="M447" s="52"/>
      <c r="N447" s="52"/>
      <c r="O447" s="52"/>
      <c r="P447" s="52"/>
      <c r="Q447" s="52"/>
      <c r="R447" s="52"/>
      <c r="S447" s="52"/>
      <c r="T447" s="52"/>
      <c r="U447" s="52"/>
      <c r="V447" s="52"/>
      <c r="W447" s="52"/>
      <c r="X447" s="52"/>
      <c r="Y447" s="52"/>
      <c r="Z447" s="52"/>
      <c r="AA447" s="52"/>
      <c r="AB447" s="52"/>
    </row>
    <row r="448" spans="1:28" ht="14.25" x14ac:dyDescent="0.2">
      <c r="A448" s="50" t="s">
        <v>63</v>
      </c>
      <c r="B448" s="51" t="s">
        <v>65</v>
      </c>
      <c r="C448" s="51"/>
      <c r="D448" s="52"/>
      <c r="E448" s="51">
        <v>75</v>
      </c>
      <c r="F448" s="52"/>
      <c r="G448" s="53">
        <v>31100312</v>
      </c>
      <c r="H448" s="52"/>
      <c r="I448" s="52"/>
      <c r="J448" s="52"/>
      <c r="K448" s="52"/>
      <c r="L448" s="52"/>
      <c r="M448" s="52"/>
      <c r="N448" s="52"/>
      <c r="O448" s="52"/>
      <c r="P448" s="52"/>
      <c r="Q448" s="52"/>
      <c r="R448" s="52"/>
      <c r="S448" s="52"/>
      <c r="T448" s="52"/>
      <c r="U448" s="52"/>
      <c r="V448" s="52"/>
      <c r="W448" s="52"/>
      <c r="X448" s="52"/>
      <c r="Y448" s="52"/>
      <c r="Z448" s="52"/>
      <c r="AA448" s="52"/>
      <c r="AB448" s="52"/>
    </row>
    <row r="449" spans="1:28" ht="14.25" x14ac:dyDescent="0.2">
      <c r="A449" s="54" t="s">
        <v>63</v>
      </c>
      <c r="B449" s="55" t="s">
        <v>65</v>
      </c>
      <c r="C449" s="55"/>
      <c r="D449" s="52"/>
      <c r="E449" s="55">
        <v>90</v>
      </c>
      <c r="F449" s="52"/>
      <c r="G449" s="56">
        <v>31100313</v>
      </c>
      <c r="H449" s="52"/>
      <c r="I449" s="52"/>
      <c r="J449" s="52"/>
      <c r="K449" s="52"/>
      <c r="L449" s="52"/>
      <c r="M449" s="52"/>
      <c r="N449" s="52"/>
      <c r="O449" s="52"/>
      <c r="P449" s="52"/>
      <c r="Q449" s="52"/>
      <c r="R449" s="52"/>
      <c r="S449" s="52"/>
      <c r="T449" s="52"/>
      <c r="U449" s="52"/>
      <c r="V449" s="52"/>
      <c r="W449" s="52"/>
      <c r="X449" s="52"/>
      <c r="Y449" s="52"/>
      <c r="Z449" s="52"/>
      <c r="AA449" s="52"/>
      <c r="AB449" s="52"/>
    </row>
    <row r="450" spans="1:28" ht="14.25" x14ac:dyDescent="0.2">
      <c r="A450" s="50" t="s">
        <v>63</v>
      </c>
      <c r="B450" s="51" t="s">
        <v>65</v>
      </c>
      <c r="C450" s="51"/>
      <c r="D450" s="52"/>
      <c r="E450" s="51">
        <v>110</v>
      </c>
      <c r="F450" s="52"/>
      <c r="G450" s="53">
        <v>31100314</v>
      </c>
      <c r="H450" s="52"/>
      <c r="I450" s="52"/>
      <c r="J450" s="52"/>
      <c r="K450" s="52"/>
      <c r="L450" s="52"/>
      <c r="M450" s="52"/>
      <c r="N450" s="52"/>
      <c r="O450" s="52"/>
      <c r="P450" s="52"/>
      <c r="Q450" s="52"/>
      <c r="R450" s="52"/>
      <c r="S450" s="52"/>
      <c r="T450" s="52"/>
      <c r="U450" s="52"/>
      <c r="V450" s="52"/>
      <c r="W450" s="52"/>
      <c r="X450" s="52"/>
      <c r="Y450" s="52"/>
      <c r="Z450" s="52"/>
      <c r="AA450" s="52"/>
      <c r="AB450" s="52"/>
    </row>
    <row r="451" spans="1:28" ht="14.25" x14ac:dyDescent="0.2">
      <c r="A451" s="54" t="s">
        <v>63</v>
      </c>
      <c r="B451" s="55" t="s">
        <v>5877</v>
      </c>
      <c r="C451" s="55"/>
      <c r="D451" s="52"/>
      <c r="E451" s="55" t="s">
        <v>5655</v>
      </c>
      <c r="F451" s="52"/>
      <c r="G451" s="56">
        <v>31101306</v>
      </c>
      <c r="H451" s="52"/>
      <c r="I451" s="52"/>
      <c r="J451" s="52"/>
      <c r="K451" s="52"/>
      <c r="L451" s="52"/>
      <c r="M451" s="52"/>
      <c r="N451" s="52"/>
      <c r="O451" s="52"/>
      <c r="P451" s="52"/>
      <c r="Q451" s="52"/>
      <c r="R451" s="52"/>
      <c r="S451" s="52"/>
      <c r="T451" s="52"/>
      <c r="U451" s="52"/>
      <c r="V451" s="52"/>
      <c r="W451" s="52"/>
      <c r="X451" s="52"/>
      <c r="Y451" s="52"/>
      <c r="Z451" s="52"/>
      <c r="AA451" s="52"/>
      <c r="AB451" s="52"/>
    </row>
    <row r="452" spans="1:28" ht="14.25" x14ac:dyDescent="0.2">
      <c r="A452" s="50" t="s">
        <v>63</v>
      </c>
      <c r="B452" s="51" t="s">
        <v>5877</v>
      </c>
      <c r="C452" s="51"/>
      <c r="D452" s="52"/>
      <c r="E452" s="51" t="s">
        <v>5657</v>
      </c>
      <c r="F452" s="52"/>
      <c r="G452" s="53">
        <v>31101307</v>
      </c>
      <c r="H452" s="52"/>
      <c r="I452" s="52"/>
      <c r="J452" s="52"/>
      <c r="K452" s="52"/>
      <c r="L452" s="52"/>
      <c r="M452" s="52"/>
      <c r="N452" s="52"/>
      <c r="O452" s="52"/>
      <c r="P452" s="52"/>
      <c r="Q452" s="52"/>
      <c r="R452" s="52"/>
      <c r="S452" s="52"/>
      <c r="T452" s="52"/>
      <c r="U452" s="52"/>
      <c r="V452" s="52"/>
      <c r="W452" s="52"/>
      <c r="X452" s="52"/>
      <c r="Y452" s="52"/>
      <c r="Z452" s="52"/>
      <c r="AA452" s="52"/>
      <c r="AB452" s="52"/>
    </row>
    <row r="453" spans="1:28" ht="14.25" x14ac:dyDescent="0.2">
      <c r="A453" s="54" t="s">
        <v>63</v>
      </c>
      <c r="B453" s="55" t="s">
        <v>5877</v>
      </c>
      <c r="C453" s="55"/>
      <c r="D453" s="52"/>
      <c r="E453" s="55" t="s">
        <v>5878</v>
      </c>
      <c r="F453" s="52"/>
      <c r="G453" s="56">
        <v>31101308</v>
      </c>
      <c r="H453" s="52"/>
      <c r="I453" s="52"/>
      <c r="J453" s="52"/>
      <c r="K453" s="52"/>
      <c r="L453" s="52"/>
      <c r="M453" s="52"/>
      <c r="N453" s="52"/>
      <c r="O453" s="52"/>
      <c r="P453" s="52"/>
      <c r="Q453" s="52"/>
      <c r="R453" s="52"/>
      <c r="S453" s="52"/>
      <c r="T453" s="52"/>
      <c r="U453" s="52"/>
      <c r="V453" s="52"/>
      <c r="W453" s="52"/>
      <c r="X453" s="52"/>
      <c r="Y453" s="52"/>
      <c r="Z453" s="52"/>
      <c r="AA453" s="52"/>
      <c r="AB453" s="52"/>
    </row>
    <row r="454" spans="1:28" ht="14.25" x14ac:dyDescent="0.2">
      <c r="A454" s="50" t="s">
        <v>63</v>
      </c>
      <c r="B454" s="51" t="s">
        <v>5877</v>
      </c>
      <c r="C454" s="51"/>
      <c r="D454" s="52"/>
      <c r="E454" s="51" t="s">
        <v>5879</v>
      </c>
      <c r="F454" s="52"/>
      <c r="G454" s="53">
        <v>31153331</v>
      </c>
      <c r="H454" s="52"/>
      <c r="I454" s="52"/>
      <c r="J454" s="52"/>
      <c r="K454" s="52"/>
      <c r="L454" s="52"/>
      <c r="M454" s="52"/>
      <c r="N454" s="52"/>
      <c r="O454" s="52"/>
      <c r="P454" s="52"/>
      <c r="Q454" s="52"/>
      <c r="R454" s="52"/>
      <c r="S454" s="52"/>
      <c r="T454" s="52"/>
      <c r="U454" s="52"/>
      <c r="V454" s="52"/>
      <c r="W454" s="52"/>
      <c r="X454" s="52"/>
      <c r="Y454" s="52"/>
      <c r="Z454" s="52"/>
      <c r="AA454" s="52"/>
      <c r="AB454" s="52"/>
    </row>
    <row r="455" spans="1:28" ht="14.25" x14ac:dyDescent="0.2">
      <c r="A455" s="54" t="s">
        <v>63</v>
      </c>
      <c r="B455" s="55" t="s">
        <v>5877</v>
      </c>
      <c r="C455" s="55"/>
      <c r="D455" s="52"/>
      <c r="E455" s="55" t="s">
        <v>5678</v>
      </c>
      <c r="F455" s="52"/>
      <c r="G455" s="56">
        <v>31153333</v>
      </c>
      <c r="H455" s="52"/>
      <c r="I455" s="52"/>
      <c r="J455" s="52"/>
      <c r="K455" s="52"/>
      <c r="L455" s="52"/>
      <c r="M455" s="52"/>
      <c r="N455" s="52"/>
      <c r="O455" s="52"/>
      <c r="P455" s="52"/>
      <c r="Q455" s="52"/>
      <c r="R455" s="52"/>
      <c r="S455" s="52"/>
      <c r="T455" s="52"/>
      <c r="U455" s="52"/>
      <c r="V455" s="52"/>
      <c r="W455" s="52"/>
      <c r="X455" s="52"/>
      <c r="Y455" s="52"/>
      <c r="Z455" s="52"/>
      <c r="AA455" s="52"/>
      <c r="AB455" s="52"/>
    </row>
    <row r="456" spans="1:28" ht="14.25" x14ac:dyDescent="0.2">
      <c r="A456" s="50" t="s">
        <v>63</v>
      </c>
      <c r="B456" s="51" t="s">
        <v>5877</v>
      </c>
      <c r="C456" s="51"/>
      <c r="D456" s="52"/>
      <c r="E456" s="51" t="s">
        <v>5679</v>
      </c>
      <c r="F456" s="52"/>
      <c r="G456" s="53">
        <v>31153335</v>
      </c>
      <c r="H456" s="52"/>
      <c r="I456" s="52"/>
      <c r="J456" s="52"/>
      <c r="K456" s="52"/>
      <c r="L456" s="52"/>
      <c r="M456" s="52"/>
      <c r="N456" s="52"/>
      <c r="O456" s="52"/>
      <c r="P456" s="52"/>
      <c r="Q456" s="52"/>
      <c r="R456" s="52"/>
      <c r="S456" s="52"/>
      <c r="T456" s="52"/>
      <c r="U456" s="52"/>
      <c r="V456" s="52"/>
      <c r="W456" s="52"/>
      <c r="X456" s="52"/>
      <c r="Y456" s="52"/>
      <c r="Z456" s="52"/>
      <c r="AA456" s="52"/>
      <c r="AB456" s="52"/>
    </row>
    <row r="457" spans="1:28" ht="14.25" x14ac:dyDescent="0.2">
      <c r="A457" s="54" t="s">
        <v>63</v>
      </c>
      <c r="B457" s="55" t="s">
        <v>5877</v>
      </c>
      <c r="C457" s="55"/>
      <c r="D457" s="52"/>
      <c r="E457" s="55" t="s">
        <v>5680</v>
      </c>
      <c r="F457" s="52"/>
      <c r="G457" s="56">
        <v>31153337</v>
      </c>
      <c r="H457" s="52"/>
      <c r="I457" s="52"/>
      <c r="J457" s="52"/>
      <c r="K457" s="52"/>
      <c r="L457" s="52"/>
      <c r="M457" s="52"/>
      <c r="N457" s="52"/>
      <c r="O457" s="52"/>
      <c r="P457" s="52"/>
      <c r="Q457" s="52"/>
      <c r="R457" s="52"/>
      <c r="S457" s="52"/>
      <c r="T457" s="52"/>
      <c r="U457" s="52"/>
      <c r="V457" s="52"/>
      <c r="W457" s="52"/>
      <c r="X457" s="52"/>
      <c r="Y457" s="52"/>
      <c r="Z457" s="52"/>
      <c r="AA457" s="52"/>
      <c r="AB457" s="52"/>
    </row>
    <row r="458" spans="1:28" ht="14.25" x14ac:dyDescent="0.2">
      <c r="A458" s="50" t="s">
        <v>63</v>
      </c>
      <c r="B458" s="51" t="s">
        <v>5877</v>
      </c>
      <c r="C458" s="51"/>
      <c r="D458" s="52"/>
      <c r="E458" s="51" t="s">
        <v>5681</v>
      </c>
      <c r="F458" s="52"/>
      <c r="G458" s="53">
        <v>31153339</v>
      </c>
      <c r="H458" s="52"/>
      <c r="I458" s="52"/>
      <c r="J458" s="52"/>
      <c r="K458" s="52"/>
      <c r="L458" s="52"/>
      <c r="M458" s="52"/>
      <c r="N458" s="52"/>
      <c r="O458" s="52"/>
      <c r="P458" s="52"/>
      <c r="Q458" s="52"/>
      <c r="R458" s="52"/>
      <c r="S458" s="52"/>
      <c r="T458" s="52"/>
      <c r="U458" s="52"/>
      <c r="V458" s="52"/>
      <c r="W458" s="52"/>
      <c r="X458" s="52"/>
      <c r="Y458" s="52"/>
      <c r="Z458" s="52"/>
      <c r="AA458" s="52"/>
      <c r="AB458" s="52"/>
    </row>
    <row r="459" spans="1:28" ht="14.25" x14ac:dyDescent="0.2">
      <c r="A459" s="54" t="s">
        <v>63</v>
      </c>
      <c r="B459" s="55" t="s">
        <v>5877</v>
      </c>
      <c r="C459" s="55"/>
      <c r="D459" s="52"/>
      <c r="E459" s="55" t="s">
        <v>5682</v>
      </c>
      <c r="F459" s="52"/>
      <c r="G459" s="56">
        <v>31153341</v>
      </c>
      <c r="H459" s="52"/>
      <c r="I459" s="52"/>
      <c r="J459" s="52"/>
      <c r="K459" s="52"/>
      <c r="L459" s="52"/>
      <c r="M459" s="52"/>
      <c r="N459" s="52"/>
      <c r="O459" s="52"/>
      <c r="P459" s="52"/>
      <c r="Q459" s="52"/>
      <c r="R459" s="52"/>
      <c r="S459" s="52"/>
      <c r="T459" s="52"/>
      <c r="U459" s="52"/>
      <c r="V459" s="52"/>
      <c r="W459" s="52"/>
      <c r="X459" s="52"/>
      <c r="Y459" s="52"/>
      <c r="Z459" s="52"/>
      <c r="AA459" s="52"/>
      <c r="AB459" s="52"/>
    </row>
    <row r="460" spans="1:28" ht="14.25" x14ac:dyDescent="0.2">
      <c r="A460" s="50" t="s">
        <v>63</v>
      </c>
      <c r="B460" s="51" t="s">
        <v>5877</v>
      </c>
      <c r="C460" s="51"/>
      <c r="D460" s="52"/>
      <c r="E460" s="51" t="s">
        <v>5880</v>
      </c>
      <c r="F460" s="52"/>
      <c r="G460" s="53">
        <v>31153343</v>
      </c>
      <c r="H460" s="52"/>
      <c r="I460" s="52"/>
      <c r="J460" s="52"/>
      <c r="K460" s="52"/>
      <c r="L460" s="52"/>
      <c r="M460" s="52"/>
      <c r="N460" s="52"/>
      <c r="O460" s="52"/>
      <c r="P460" s="52"/>
      <c r="Q460" s="52"/>
      <c r="R460" s="52"/>
      <c r="S460" s="52"/>
      <c r="T460" s="52"/>
      <c r="U460" s="52"/>
      <c r="V460" s="52"/>
      <c r="W460" s="52"/>
      <c r="X460" s="52"/>
      <c r="Y460" s="52"/>
      <c r="Z460" s="52"/>
      <c r="AA460" s="52"/>
      <c r="AB460" s="52"/>
    </row>
    <row r="461" spans="1:28" ht="14.25" x14ac:dyDescent="0.2">
      <c r="A461" s="54" t="s">
        <v>63</v>
      </c>
      <c r="B461" s="55" t="s">
        <v>5881</v>
      </c>
      <c r="C461" s="55"/>
      <c r="D461" s="52"/>
      <c r="E461" s="55" t="s">
        <v>5745</v>
      </c>
      <c r="F461" s="52"/>
      <c r="G461" s="56">
        <v>31114412</v>
      </c>
      <c r="H461" s="52"/>
      <c r="I461" s="52"/>
      <c r="J461" s="52"/>
      <c r="K461" s="52"/>
      <c r="L461" s="52"/>
      <c r="M461" s="52"/>
      <c r="N461" s="52"/>
      <c r="O461" s="52"/>
      <c r="P461" s="52"/>
      <c r="Q461" s="52"/>
      <c r="R461" s="52"/>
      <c r="S461" s="52"/>
      <c r="T461" s="52"/>
      <c r="U461" s="52"/>
      <c r="V461" s="52"/>
      <c r="W461" s="52"/>
      <c r="X461" s="52"/>
      <c r="Y461" s="52"/>
      <c r="Z461" s="52"/>
      <c r="AA461" s="52"/>
      <c r="AB461" s="52"/>
    </row>
    <row r="462" spans="1:28" ht="14.25" x14ac:dyDescent="0.2">
      <c r="A462" s="50" t="s">
        <v>63</v>
      </c>
      <c r="B462" s="51" t="s">
        <v>5881</v>
      </c>
      <c r="C462" s="51"/>
      <c r="D462" s="52"/>
      <c r="E462" s="51" t="s">
        <v>5749</v>
      </c>
      <c r="F462" s="52"/>
      <c r="G462" s="53">
        <v>31114415</v>
      </c>
      <c r="H462" s="52"/>
      <c r="I462" s="52"/>
      <c r="J462" s="52"/>
      <c r="K462" s="52"/>
      <c r="L462" s="52"/>
      <c r="M462" s="52"/>
      <c r="N462" s="52"/>
      <c r="O462" s="52"/>
      <c r="P462" s="52"/>
      <c r="Q462" s="52"/>
      <c r="R462" s="52"/>
      <c r="S462" s="52"/>
      <c r="T462" s="52"/>
      <c r="U462" s="52"/>
      <c r="V462" s="52"/>
      <c r="W462" s="52"/>
      <c r="X462" s="52"/>
      <c r="Y462" s="52"/>
      <c r="Z462" s="52"/>
      <c r="AA462" s="52"/>
      <c r="AB462" s="52"/>
    </row>
    <row r="463" spans="1:28" ht="14.25" x14ac:dyDescent="0.2">
      <c r="A463" s="54" t="s">
        <v>63</v>
      </c>
      <c r="B463" s="55" t="s">
        <v>5881</v>
      </c>
      <c r="C463" s="55"/>
      <c r="D463" s="52"/>
      <c r="E463" s="55" t="s">
        <v>5753</v>
      </c>
      <c r="F463" s="52"/>
      <c r="G463" s="56">
        <v>31114419</v>
      </c>
      <c r="H463" s="52"/>
      <c r="I463" s="52"/>
      <c r="J463" s="52"/>
      <c r="K463" s="52"/>
      <c r="L463" s="52"/>
      <c r="M463" s="52"/>
      <c r="N463" s="52"/>
      <c r="O463" s="52"/>
      <c r="P463" s="52"/>
      <c r="Q463" s="52"/>
      <c r="R463" s="52"/>
      <c r="S463" s="52"/>
      <c r="T463" s="52"/>
      <c r="U463" s="52"/>
      <c r="V463" s="52"/>
      <c r="W463" s="52"/>
      <c r="X463" s="52"/>
      <c r="Y463" s="52"/>
      <c r="Z463" s="52"/>
      <c r="AA463" s="52"/>
      <c r="AB463" s="52"/>
    </row>
    <row r="464" spans="1:28" ht="14.25" x14ac:dyDescent="0.2">
      <c r="A464" s="50" t="s">
        <v>63</v>
      </c>
      <c r="B464" s="51" t="s">
        <v>5881</v>
      </c>
      <c r="C464" s="51"/>
      <c r="D464" s="52"/>
      <c r="E464" s="51" t="s">
        <v>5757</v>
      </c>
      <c r="F464" s="52"/>
      <c r="G464" s="53">
        <v>31114423</v>
      </c>
      <c r="H464" s="52"/>
      <c r="I464" s="52"/>
      <c r="J464" s="52"/>
      <c r="K464" s="52"/>
      <c r="L464" s="52"/>
      <c r="M464" s="52"/>
      <c r="N464" s="52"/>
      <c r="O464" s="52"/>
      <c r="P464" s="52"/>
      <c r="Q464" s="52"/>
      <c r="R464" s="52"/>
      <c r="S464" s="52"/>
      <c r="T464" s="52"/>
      <c r="U464" s="52"/>
      <c r="V464" s="52"/>
      <c r="W464" s="52"/>
      <c r="X464" s="52"/>
      <c r="Y464" s="52"/>
      <c r="Z464" s="52"/>
      <c r="AA464" s="52"/>
      <c r="AB464" s="52"/>
    </row>
    <row r="465" spans="1:28" ht="14.25" x14ac:dyDescent="0.2">
      <c r="A465" s="54" t="s">
        <v>63</v>
      </c>
      <c r="B465" s="55" t="s">
        <v>5881</v>
      </c>
      <c r="C465" s="55"/>
      <c r="D465" s="52"/>
      <c r="E465" s="55" t="s">
        <v>5762</v>
      </c>
      <c r="F465" s="52"/>
      <c r="G465" s="56">
        <v>31114427</v>
      </c>
      <c r="H465" s="52"/>
      <c r="I465" s="52"/>
      <c r="J465" s="52"/>
      <c r="K465" s="52"/>
      <c r="L465" s="52"/>
      <c r="M465" s="52"/>
      <c r="N465" s="52"/>
      <c r="O465" s="52"/>
      <c r="P465" s="52"/>
      <c r="Q465" s="52"/>
      <c r="R465" s="52"/>
      <c r="S465" s="52"/>
      <c r="T465" s="52"/>
      <c r="U465" s="52"/>
      <c r="V465" s="52"/>
      <c r="W465" s="52"/>
      <c r="X465" s="52"/>
      <c r="Y465" s="52"/>
      <c r="Z465" s="52"/>
      <c r="AA465" s="52"/>
      <c r="AB465" s="52"/>
    </row>
    <row r="466" spans="1:28" ht="14.25" x14ac:dyDescent="0.2">
      <c r="A466" s="50" t="s">
        <v>63</v>
      </c>
      <c r="B466" s="51" t="s">
        <v>5881</v>
      </c>
      <c r="C466" s="51"/>
      <c r="D466" s="52"/>
      <c r="E466" s="51" t="s">
        <v>5882</v>
      </c>
      <c r="F466" s="52"/>
      <c r="G466" s="53">
        <v>31114432</v>
      </c>
      <c r="H466" s="52"/>
      <c r="I466" s="52"/>
      <c r="J466" s="52"/>
      <c r="K466" s="52"/>
      <c r="L466" s="52"/>
      <c r="M466" s="52"/>
      <c r="N466" s="52"/>
      <c r="O466" s="52"/>
      <c r="P466" s="52"/>
      <c r="Q466" s="52"/>
      <c r="R466" s="52"/>
      <c r="S466" s="52"/>
      <c r="T466" s="52"/>
      <c r="U466" s="52"/>
      <c r="V466" s="52"/>
      <c r="W466" s="52"/>
      <c r="X466" s="52"/>
      <c r="Y466" s="52"/>
      <c r="Z466" s="52"/>
      <c r="AA466" s="52"/>
      <c r="AB466" s="52"/>
    </row>
    <row r="467" spans="1:28" ht="14.25" x14ac:dyDescent="0.2">
      <c r="A467" s="54" t="s">
        <v>63</v>
      </c>
      <c r="B467" s="55" t="s">
        <v>5881</v>
      </c>
      <c r="C467" s="55"/>
      <c r="D467" s="52"/>
      <c r="E467" s="55" t="s">
        <v>5883</v>
      </c>
      <c r="F467" s="52"/>
      <c r="G467" s="56">
        <v>31114438</v>
      </c>
      <c r="H467" s="52"/>
      <c r="I467" s="52"/>
      <c r="J467" s="52"/>
      <c r="K467" s="52"/>
      <c r="L467" s="52"/>
      <c r="M467" s="52"/>
      <c r="N467" s="52"/>
      <c r="O467" s="52"/>
      <c r="P467" s="52"/>
      <c r="Q467" s="52"/>
      <c r="R467" s="52"/>
      <c r="S467" s="52"/>
      <c r="T467" s="52"/>
      <c r="U467" s="52"/>
      <c r="V467" s="52"/>
      <c r="W467" s="52"/>
      <c r="X467" s="52"/>
      <c r="Y467" s="52"/>
      <c r="Z467" s="52"/>
      <c r="AA467" s="52"/>
      <c r="AB467" s="52"/>
    </row>
    <row r="468" spans="1:28" ht="14.25" x14ac:dyDescent="0.2">
      <c r="A468" s="50" t="s">
        <v>63</v>
      </c>
      <c r="B468" s="51" t="s">
        <v>5881</v>
      </c>
      <c r="C468" s="51"/>
      <c r="D468" s="52"/>
      <c r="E468" s="51" t="s">
        <v>5884</v>
      </c>
      <c r="F468" s="52"/>
      <c r="G468" s="53">
        <v>31114444</v>
      </c>
      <c r="H468" s="52"/>
      <c r="I468" s="52"/>
      <c r="J468" s="52"/>
      <c r="K468" s="52"/>
      <c r="L468" s="52"/>
      <c r="M468" s="52"/>
      <c r="N468" s="52"/>
      <c r="O468" s="52"/>
      <c r="P468" s="52"/>
      <c r="Q468" s="52"/>
      <c r="R468" s="52"/>
      <c r="S468" s="52"/>
      <c r="T468" s="52"/>
      <c r="U468" s="52"/>
      <c r="V468" s="52"/>
      <c r="W468" s="52"/>
      <c r="X468" s="52"/>
      <c r="Y468" s="52"/>
      <c r="Z468" s="52"/>
      <c r="AA468" s="52"/>
      <c r="AB468" s="52"/>
    </row>
    <row r="469" spans="1:28" ht="14.25" x14ac:dyDescent="0.2">
      <c r="A469" s="54" t="s">
        <v>63</v>
      </c>
      <c r="B469" s="55" t="s">
        <v>5885</v>
      </c>
      <c r="C469" s="55"/>
      <c r="D469" s="52"/>
      <c r="E469" s="55" t="s">
        <v>5742</v>
      </c>
      <c r="F469" s="52"/>
      <c r="G469" s="56">
        <v>31109412</v>
      </c>
      <c r="H469" s="52"/>
      <c r="I469" s="52"/>
      <c r="J469" s="52"/>
      <c r="K469" s="52"/>
      <c r="L469" s="52"/>
      <c r="M469" s="52"/>
      <c r="N469" s="52"/>
      <c r="O469" s="52"/>
      <c r="P469" s="52"/>
      <c r="Q469" s="52"/>
      <c r="R469" s="52"/>
      <c r="S469" s="52"/>
      <c r="T469" s="52"/>
      <c r="U469" s="52"/>
      <c r="V469" s="52"/>
      <c r="W469" s="52"/>
      <c r="X469" s="52"/>
      <c r="Y469" s="52"/>
      <c r="Z469" s="52"/>
      <c r="AA469" s="52"/>
      <c r="AB469" s="52"/>
    </row>
    <row r="470" spans="1:28" ht="14.25" x14ac:dyDescent="0.2">
      <c r="A470" s="50" t="s">
        <v>63</v>
      </c>
      <c r="B470" s="51" t="s">
        <v>5885</v>
      </c>
      <c r="C470" s="51"/>
      <c r="D470" s="52"/>
      <c r="E470" s="51" t="s">
        <v>5745</v>
      </c>
      <c r="F470" s="52"/>
      <c r="G470" s="53">
        <v>31109415</v>
      </c>
      <c r="H470" s="52"/>
      <c r="I470" s="52"/>
      <c r="J470" s="52"/>
      <c r="K470" s="52"/>
      <c r="L470" s="52"/>
      <c r="M470" s="52"/>
      <c r="N470" s="52"/>
      <c r="O470" s="52"/>
      <c r="P470" s="52"/>
      <c r="Q470" s="52"/>
      <c r="R470" s="52"/>
      <c r="S470" s="52"/>
      <c r="T470" s="52"/>
      <c r="U470" s="52"/>
      <c r="V470" s="52"/>
      <c r="W470" s="52"/>
      <c r="X470" s="52"/>
      <c r="Y470" s="52"/>
      <c r="Z470" s="52"/>
      <c r="AA470" s="52"/>
      <c r="AB470" s="52"/>
    </row>
    <row r="471" spans="1:28" ht="14.25" x14ac:dyDescent="0.2">
      <c r="A471" s="54" t="s">
        <v>63</v>
      </c>
      <c r="B471" s="55" t="s">
        <v>5885</v>
      </c>
      <c r="C471" s="55"/>
      <c r="D471" s="52"/>
      <c r="E471" s="55" t="s">
        <v>5747</v>
      </c>
      <c r="F471" s="52"/>
      <c r="G471" s="56">
        <v>31109417</v>
      </c>
      <c r="H471" s="52"/>
      <c r="I471" s="52"/>
      <c r="J471" s="52"/>
      <c r="K471" s="52"/>
      <c r="L471" s="52"/>
      <c r="M471" s="52"/>
      <c r="N471" s="52"/>
      <c r="O471" s="52"/>
      <c r="P471" s="52"/>
      <c r="Q471" s="52"/>
      <c r="R471" s="52"/>
      <c r="S471" s="52"/>
      <c r="T471" s="52"/>
      <c r="U471" s="52"/>
      <c r="V471" s="52"/>
      <c r="W471" s="52"/>
      <c r="X471" s="52"/>
      <c r="Y471" s="52"/>
      <c r="Z471" s="52"/>
      <c r="AA471" s="52"/>
      <c r="AB471" s="52"/>
    </row>
    <row r="472" spans="1:28" ht="14.25" x14ac:dyDescent="0.2">
      <c r="A472" s="50" t="s">
        <v>63</v>
      </c>
      <c r="B472" s="51" t="s">
        <v>5885</v>
      </c>
      <c r="C472" s="51"/>
      <c r="D472" s="52"/>
      <c r="E472" s="51" t="s">
        <v>5749</v>
      </c>
      <c r="F472" s="52"/>
      <c r="G472" s="53">
        <v>31109419</v>
      </c>
      <c r="H472" s="52"/>
      <c r="I472" s="52"/>
      <c r="J472" s="52"/>
      <c r="K472" s="52"/>
      <c r="L472" s="52"/>
      <c r="M472" s="52"/>
      <c r="N472" s="52"/>
      <c r="O472" s="52"/>
      <c r="P472" s="52"/>
      <c r="Q472" s="52"/>
      <c r="R472" s="52"/>
      <c r="S472" s="52"/>
      <c r="T472" s="52"/>
      <c r="U472" s="52"/>
      <c r="V472" s="52"/>
      <c r="W472" s="52"/>
      <c r="X472" s="52"/>
      <c r="Y472" s="52"/>
      <c r="Z472" s="52"/>
      <c r="AA472" s="52"/>
      <c r="AB472" s="52"/>
    </row>
    <row r="473" spans="1:28" ht="14.25" x14ac:dyDescent="0.2">
      <c r="A473" s="54" t="s">
        <v>63</v>
      </c>
      <c r="B473" s="55" t="s">
        <v>5885</v>
      </c>
      <c r="C473" s="55"/>
      <c r="D473" s="52"/>
      <c r="E473" s="55" t="s">
        <v>5753</v>
      </c>
      <c r="F473" s="52"/>
      <c r="G473" s="56">
        <v>31109423</v>
      </c>
      <c r="H473" s="52"/>
      <c r="I473" s="52"/>
      <c r="J473" s="52"/>
      <c r="K473" s="52"/>
      <c r="L473" s="52"/>
      <c r="M473" s="52"/>
      <c r="N473" s="52"/>
      <c r="O473" s="52"/>
      <c r="P473" s="52"/>
      <c r="Q473" s="52"/>
      <c r="R473" s="52"/>
      <c r="S473" s="52"/>
      <c r="T473" s="52"/>
      <c r="U473" s="52"/>
      <c r="V473" s="52"/>
      <c r="W473" s="52"/>
      <c r="X473" s="52"/>
      <c r="Y473" s="52"/>
      <c r="Z473" s="52"/>
      <c r="AA473" s="52"/>
      <c r="AB473" s="52"/>
    </row>
    <row r="474" spans="1:28" ht="14.25" x14ac:dyDescent="0.2">
      <c r="A474" s="50" t="s">
        <v>63</v>
      </c>
      <c r="B474" s="51" t="s">
        <v>5885</v>
      </c>
      <c r="C474" s="51"/>
      <c r="D474" s="52"/>
      <c r="E474" s="51" t="s">
        <v>5754</v>
      </c>
      <c r="F474" s="52"/>
      <c r="G474" s="53">
        <v>31109424</v>
      </c>
      <c r="H474" s="52"/>
      <c r="I474" s="52"/>
      <c r="J474" s="52"/>
      <c r="K474" s="52"/>
      <c r="L474" s="52"/>
      <c r="M474" s="52"/>
      <c r="N474" s="52"/>
      <c r="O474" s="52"/>
      <c r="P474" s="52"/>
      <c r="Q474" s="52"/>
      <c r="R474" s="52"/>
      <c r="S474" s="52"/>
      <c r="T474" s="52"/>
      <c r="U474" s="52"/>
      <c r="V474" s="52"/>
      <c r="W474" s="52"/>
      <c r="X474" s="52"/>
      <c r="Y474" s="52"/>
      <c r="Z474" s="52"/>
      <c r="AA474" s="52"/>
      <c r="AB474" s="52"/>
    </row>
    <row r="475" spans="1:28" ht="14.25" x14ac:dyDescent="0.2">
      <c r="A475" s="54" t="s">
        <v>63</v>
      </c>
      <c r="B475" s="55" t="s">
        <v>5885</v>
      </c>
      <c r="C475" s="55"/>
      <c r="D475" s="52"/>
      <c r="E475" s="55" t="s">
        <v>5755</v>
      </c>
      <c r="F475" s="52"/>
      <c r="G475" s="56">
        <v>31109425</v>
      </c>
      <c r="H475" s="52"/>
      <c r="I475" s="52"/>
      <c r="J475" s="52"/>
      <c r="K475" s="52"/>
      <c r="L475" s="52"/>
      <c r="M475" s="52"/>
      <c r="N475" s="52"/>
      <c r="O475" s="52"/>
      <c r="P475" s="52"/>
      <c r="Q475" s="52"/>
      <c r="R475" s="52"/>
      <c r="S475" s="52"/>
      <c r="T475" s="52"/>
      <c r="U475" s="52"/>
      <c r="V475" s="52"/>
      <c r="W475" s="52"/>
      <c r="X475" s="52"/>
      <c r="Y475" s="52"/>
      <c r="Z475" s="52"/>
      <c r="AA475" s="52"/>
      <c r="AB475" s="52"/>
    </row>
    <row r="476" spans="1:28" ht="14.25" x14ac:dyDescent="0.2">
      <c r="A476" s="50" t="s">
        <v>63</v>
      </c>
      <c r="B476" s="51" t="s">
        <v>5885</v>
      </c>
      <c r="C476" s="51"/>
      <c r="D476" s="52"/>
      <c r="E476" s="51" t="s">
        <v>5756</v>
      </c>
      <c r="F476" s="52"/>
      <c r="G476" s="53">
        <v>31109426</v>
      </c>
      <c r="H476" s="52"/>
      <c r="I476" s="52"/>
      <c r="J476" s="52"/>
      <c r="K476" s="52"/>
      <c r="L476" s="52"/>
      <c r="M476" s="52"/>
      <c r="N476" s="52"/>
      <c r="O476" s="52"/>
      <c r="P476" s="52"/>
      <c r="Q476" s="52"/>
      <c r="R476" s="52"/>
      <c r="S476" s="52"/>
      <c r="T476" s="52"/>
      <c r="U476" s="52"/>
      <c r="V476" s="52"/>
      <c r="W476" s="52"/>
      <c r="X476" s="52"/>
      <c r="Y476" s="52"/>
      <c r="Z476" s="52"/>
      <c r="AA476" s="52"/>
      <c r="AB476" s="52"/>
    </row>
    <row r="477" spans="1:28" ht="14.25" x14ac:dyDescent="0.2">
      <c r="A477" s="54" t="s">
        <v>63</v>
      </c>
      <c r="B477" s="55" t="s">
        <v>5885</v>
      </c>
      <c r="C477" s="55"/>
      <c r="D477" s="52"/>
      <c r="E477" s="55" t="s">
        <v>5757</v>
      </c>
      <c r="F477" s="52"/>
      <c r="G477" s="56">
        <v>31109427</v>
      </c>
      <c r="H477" s="52"/>
      <c r="I477" s="52"/>
      <c r="J477" s="52"/>
      <c r="K477" s="52"/>
      <c r="L477" s="52"/>
      <c r="M477" s="52"/>
      <c r="N477" s="52"/>
      <c r="O477" s="52"/>
      <c r="P477" s="52"/>
      <c r="Q477" s="52"/>
      <c r="R477" s="52"/>
      <c r="S477" s="52"/>
      <c r="T477" s="52"/>
      <c r="U477" s="52"/>
      <c r="V477" s="52"/>
      <c r="W477" s="52"/>
      <c r="X477" s="52"/>
      <c r="Y477" s="52"/>
      <c r="Z477" s="52"/>
      <c r="AA477" s="52"/>
      <c r="AB477" s="52"/>
    </row>
    <row r="478" spans="1:28" ht="14.25" x14ac:dyDescent="0.2">
      <c r="A478" s="50" t="s">
        <v>63</v>
      </c>
      <c r="B478" s="51" t="s">
        <v>5885</v>
      </c>
      <c r="C478" s="51"/>
      <c r="D478" s="52"/>
      <c r="E478" s="51" t="s">
        <v>5886</v>
      </c>
      <c r="F478" s="52"/>
      <c r="G478" s="53">
        <v>31109429</v>
      </c>
      <c r="H478" s="52"/>
      <c r="I478" s="52"/>
      <c r="J478" s="52"/>
      <c r="K478" s="52"/>
      <c r="L478" s="52"/>
      <c r="M478" s="52"/>
      <c r="N478" s="52"/>
      <c r="O478" s="52"/>
      <c r="P478" s="52"/>
      <c r="Q478" s="52"/>
      <c r="R478" s="52"/>
      <c r="S478" s="52"/>
      <c r="T478" s="52"/>
      <c r="U478" s="52"/>
      <c r="V478" s="52"/>
      <c r="W478" s="52"/>
      <c r="X478" s="52"/>
      <c r="Y478" s="52"/>
      <c r="Z478" s="52"/>
      <c r="AA478" s="52"/>
      <c r="AB478" s="52"/>
    </row>
    <row r="479" spans="1:28" ht="14.25" x14ac:dyDescent="0.2">
      <c r="A479" s="54" t="s">
        <v>63</v>
      </c>
      <c r="B479" s="55" t="s">
        <v>5885</v>
      </c>
      <c r="C479" s="55"/>
      <c r="D479" s="52"/>
      <c r="E479" s="55" t="s">
        <v>5760</v>
      </c>
      <c r="F479" s="52"/>
      <c r="G479" s="56">
        <v>31109430</v>
      </c>
      <c r="H479" s="52"/>
      <c r="I479" s="52"/>
      <c r="J479" s="52"/>
      <c r="K479" s="52"/>
      <c r="L479" s="52"/>
      <c r="M479" s="52"/>
      <c r="N479" s="52"/>
      <c r="O479" s="52"/>
      <c r="P479" s="52"/>
      <c r="Q479" s="52"/>
      <c r="R479" s="52"/>
      <c r="S479" s="52"/>
      <c r="T479" s="52"/>
      <c r="U479" s="52"/>
      <c r="V479" s="52"/>
      <c r="W479" s="52"/>
      <c r="X479" s="52"/>
      <c r="Y479" s="52"/>
      <c r="Z479" s="52"/>
      <c r="AA479" s="52"/>
      <c r="AB479" s="52"/>
    </row>
    <row r="480" spans="1:28" ht="14.25" x14ac:dyDescent="0.2">
      <c r="A480" s="50" t="s">
        <v>63</v>
      </c>
      <c r="B480" s="51" t="s">
        <v>5885</v>
      </c>
      <c r="C480" s="51"/>
      <c r="D480" s="52"/>
      <c r="E480" s="51" t="s">
        <v>5762</v>
      </c>
      <c r="F480" s="52"/>
      <c r="G480" s="53">
        <v>31109432</v>
      </c>
      <c r="H480" s="52"/>
      <c r="I480" s="52"/>
      <c r="J480" s="52"/>
      <c r="K480" s="52"/>
      <c r="L480" s="52"/>
      <c r="M480" s="52"/>
      <c r="N480" s="52"/>
      <c r="O480" s="52"/>
      <c r="P480" s="52"/>
      <c r="Q480" s="52"/>
      <c r="R480" s="52"/>
      <c r="S480" s="52"/>
      <c r="T480" s="52"/>
      <c r="U480" s="52"/>
      <c r="V480" s="52"/>
      <c r="W480" s="52"/>
      <c r="X480" s="52"/>
      <c r="Y480" s="52"/>
      <c r="Z480" s="52"/>
      <c r="AA480" s="52"/>
      <c r="AB480" s="52"/>
    </row>
    <row r="481" spans="1:28" ht="14.25" x14ac:dyDescent="0.2">
      <c r="A481" s="54" t="s">
        <v>63</v>
      </c>
      <c r="B481" s="55" t="s">
        <v>5885</v>
      </c>
      <c r="C481" s="55"/>
      <c r="D481" s="52"/>
      <c r="E481" s="55" t="s">
        <v>5882</v>
      </c>
      <c r="F481" s="52"/>
      <c r="G481" s="56">
        <v>31109438</v>
      </c>
      <c r="H481" s="52"/>
      <c r="I481" s="52"/>
      <c r="J481" s="52"/>
      <c r="K481" s="52"/>
      <c r="L481" s="52"/>
      <c r="M481" s="52"/>
      <c r="N481" s="52"/>
      <c r="O481" s="52"/>
      <c r="P481" s="52"/>
      <c r="Q481" s="52"/>
      <c r="R481" s="52"/>
      <c r="S481" s="52"/>
      <c r="T481" s="52"/>
      <c r="U481" s="52"/>
      <c r="V481" s="52"/>
      <c r="W481" s="52"/>
      <c r="X481" s="52"/>
      <c r="Y481" s="52"/>
      <c r="Z481" s="52"/>
      <c r="AA481" s="52"/>
      <c r="AB481" s="52"/>
    </row>
    <row r="482" spans="1:28" ht="14.25" x14ac:dyDescent="0.2">
      <c r="A482" s="50" t="s">
        <v>63</v>
      </c>
      <c r="B482" s="51" t="s">
        <v>5885</v>
      </c>
      <c r="C482" s="51"/>
      <c r="D482" s="52"/>
      <c r="E482" s="51" t="s">
        <v>5887</v>
      </c>
      <c r="F482" s="52"/>
      <c r="G482" s="53">
        <v>31109442</v>
      </c>
      <c r="H482" s="52"/>
      <c r="I482" s="52"/>
      <c r="J482" s="52"/>
      <c r="K482" s="52"/>
      <c r="L482" s="52"/>
      <c r="M482" s="52"/>
      <c r="N482" s="52"/>
      <c r="O482" s="52"/>
      <c r="P482" s="52"/>
      <c r="Q482" s="52"/>
      <c r="R482" s="52"/>
      <c r="S482" s="52"/>
      <c r="T482" s="52"/>
      <c r="U482" s="52"/>
      <c r="V482" s="52"/>
      <c r="W482" s="52"/>
      <c r="X482" s="52"/>
      <c r="Y482" s="52"/>
      <c r="Z482" s="52"/>
      <c r="AA482" s="52"/>
      <c r="AB482" s="52"/>
    </row>
    <row r="483" spans="1:28" ht="14.25" x14ac:dyDescent="0.2">
      <c r="A483" s="54" t="s">
        <v>63</v>
      </c>
      <c r="B483" s="55" t="s">
        <v>5885</v>
      </c>
      <c r="C483" s="55"/>
      <c r="D483" s="52"/>
      <c r="E483" s="55" t="s">
        <v>5888</v>
      </c>
      <c r="F483" s="52"/>
      <c r="G483" s="56">
        <v>31109443</v>
      </c>
      <c r="H483" s="52"/>
      <c r="I483" s="52"/>
      <c r="J483" s="52"/>
      <c r="K483" s="52"/>
      <c r="L483" s="52"/>
      <c r="M483" s="52"/>
      <c r="N483" s="52"/>
      <c r="O483" s="52"/>
      <c r="P483" s="52"/>
      <c r="Q483" s="52"/>
      <c r="R483" s="52"/>
      <c r="S483" s="52"/>
      <c r="T483" s="52"/>
      <c r="U483" s="52"/>
      <c r="V483" s="52"/>
      <c r="W483" s="52"/>
      <c r="X483" s="52"/>
      <c r="Y483" s="52"/>
      <c r="Z483" s="52"/>
      <c r="AA483" s="52"/>
      <c r="AB483" s="52"/>
    </row>
    <row r="484" spans="1:28" ht="14.25" x14ac:dyDescent="0.2">
      <c r="A484" s="50" t="s">
        <v>63</v>
      </c>
      <c r="B484" s="51" t="s">
        <v>5885</v>
      </c>
      <c r="C484" s="51"/>
      <c r="D484" s="52"/>
      <c r="E484" s="51" t="s">
        <v>5883</v>
      </c>
      <c r="F484" s="52"/>
      <c r="G484" s="53">
        <v>31109444</v>
      </c>
      <c r="H484" s="52"/>
      <c r="I484" s="52"/>
      <c r="J484" s="52"/>
      <c r="K484" s="52"/>
      <c r="L484" s="52"/>
      <c r="M484" s="52"/>
      <c r="N484" s="52"/>
      <c r="O484" s="52"/>
      <c r="P484" s="52"/>
      <c r="Q484" s="52"/>
      <c r="R484" s="52"/>
      <c r="S484" s="52"/>
      <c r="T484" s="52"/>
      <c r="U484" s="52"/>
      <c r="V484" s="52"/>
      <c r="W484" s="52"/>
      <c r="X484" s="52"/>
      <c r="Y484" s="52"/>
      <c r="Z484" s="52"/>
      <c r="AA484" s="52"/>
      <c r="AB484" s="52"/>
    </row>
    <row r="485" spans="1:28" ht="14.25" x14ac:dyDescent="0.2">
      <c r="A485" s="54" t="s">
        <v>63</v>
      </c>
      <c r="B485" s="55" t="s">
        <v>5885</v>
      </c>
      <c r="C485" s="55"/>
      <c r="D485" s="52"/>
      <c r="E485" s="55" t="s">
        <v>5889</v>
      </c>
      <c r="F485" s="52"/>
      <c r="G485" s="56">
        <v>31109449</v>
      </c>
      <c r="H485" s="52"/>
      <c r="I485" s="52"/>
      <c r="J485" s="52"/>
      <c r="K485" s="52"/>
      <c r="L485" s="52"/>
      <c r="M485" s="52"/>
      <c r="N485" s="52"/>
      <c r="O485" s="52"/>
      <c r="P485" s="52"/>
      <c r="Q485" s="52"/>
      <c r="R485" s="52"/>
      <c r="S485" s="52"/>
      <c r="T485" s="52"/>
      <c r="U485" s="52"/>
      <c r="V485" s="52"/>
      <c r="W485" s="52"/>
      <c r="X485" s="52"/>
      <c r="Y485" s="52"/>
      <c r="Z485" s="52"/>
      <c r="AA485" s="52"/>
      <c r="AB485" s="52"/>
    </row>
    <row r="486" spans="1:28" ht="14.25" x14ac:dyDescent="0.2">
      <c r="A486" s="50" t="s">
        <v>63</v>
      </c>
      <c r="B486" s="51" t="s">
        <v>5885</v>
      </c>
      <c r="C486" s="51"/>
      <c r="D486" s="52"/>
      <c r="E486" s="51" t="s">
        <v>5884</v>
      </c>
      <c r="F486" s="52"/>
      <c r="G486" s="53">
        <v>31109451</v>
      </c>
      <c r="H486" s="52"/>
      <c r="I486" s="52"/>
      <c r="J486" s="52"/>
      <c r="K486" s="52"/>
      <c r="L486" s="52"/>
      <c r="M486" s="52"/>
      <c r="N486" s="52"/>
      <c r="O486" s="52"/>
      <c r="P486" s="52"/>
      <c r="Q486" s="52"/>
      <c r="R486" s="52"/>
      <c r="S486" s="52"/>
      <c r="T486" s="52"/>
      <c r="U486" s="52"/>
      <c r="V486" s="52"/>
      <c r="W486" s="52"/>
      <c r="X486" s="52"/>
      <c r="Y486" s="52"/>
      <c r="Z486" s="52"/>
      <c r="AA486" s="52"/>
      <c r="AB486" s="52"/>
    </row>
    <row r="487" spans="1:28" ht="14.25" x14ac:dyDescent="0.2">
      <c r="A487" s="54" t="s">
        <v>63</v>
      </c>
      <c r="B487" s="55" t="s">
        <v>5890</v>
      </c>
      <c r="C487" s="55"/>
      <c r="D487" s="52"/>
      <c r="E487" s="55">
        <v>16</v>
      </c>
      <c r="F487" s="52"/>
      <c r="G487" s="56">
        <v>31882305</v>
      </c>
      <c r="H487" s="52"/>
      <c r="I487" s="52"/>
      <c r="J487" s="52"/>
      <c r="K487" s="52"/>
      <c r="L487" s="52"/>
      <c r="M487" s="52"/>
      <c r="N487" s="52"/>
      <c r="O487" s="52"/>
      <c r="P487" s="52"/>
      <c r="Q487" s="52"/>
      <c r="R487" s="52"/>
      <c r="S487" s="52"/>
      <c r="T487" s="52"/>
      <c r="U487" s="52"/>
      <c r="V487" s="52"/>
      <c r="W487" s="52"/>
      <c r="X487" s="52"/>
      <c r="Y487" s="52"/>
      <c r="Z487" s="52"/>
      <c r="AA487" s="52"/>
      <c r="AB487" s="52"/>
    </row>
    <row r="488" spans="1:28" ht="14.25" x14ac:dyDescent="0.2">
      <c r="A488" s="50" t="s">
        <v>63</v>
      </c>
      <c r="B488" s="51" t="s">
        <v>5890</v>
      </c>
      <c r="C488" s="51"/>
      <c r="D488" s="52"/>
      <c r="E488" s="51">
        <v>20</v>
      </c>
      <c r="F488" s="52"/>
      <c r="G488" s="53">
        <v>31882306</v>
      </c>
      <c r="H488" s="52"/>
      <c r="I488" s="52"/>
      <c r="J488" s="52"/>
      <c r="K488" s="52"/>
      <c r="L488" s="52"/>
      <c r="M488" s="52"/>
      <c r="N488" s="52"/>
      <c r="O488" s="52"/>
      <c r="P488" s="52"/>
      <c r="Q488" s="52"/>
      <c r="R488" s="52"/>
      <c r="S488" s="52"/>
      <c r="T488" s="52"/>
      <c r="U488" s="52"/>
      <c r="V488" s="52"/>
      <c r="W488" s="52"/>
      <c r="X488" s="52"/>
      <c r="Y488" s="52"/>
      <c r="Z488" s="52"/>
      <c r="AA488" s="52"/>
      <c r="AB488" s="52"/>
    </row>
    <row r="489" spans="1:28" ht="14.25" x14ac:dyDescent="0.2">
      <c r="A489" s="54" t="s">
        <v>63</v>
      </c>
      <c r="B489" s="55" t="s">
        <v>5890</v>
      </c>
      <c r="C489" s="55"/>
      <c r="D489" s="52"/>
      <c r="E489" s="55">
        <v>25</v>
      </c>
      <c r="F489" s="52"/>
      <c r="G489" s="56">
        <v>31882307</v>
      </c>
      <c r="H489" s="52"/>
      <c r="I489" s="52"/>
      <c r="J489" s="52"/>
      <c r="K489" s="52"/>
      <c r="L489" s="52"/>
      <c r="M489" s="52"/>
      <c r="N489" s="52"/>
      <c r="O489" s="52"/>
      <c r="P489" s="52"/>
      <c r="Q489" s="52"/>
      <c r="R489" s="52"/>
      <c r="S489" s="52"/>
      <c r="T489" s="52"/>
      <c r="U489" s="52"/>
      <c r="V489" s="52"/>
      <c r="W489" s="52"/>
      <c r="X489" s="52"/>
      <c r="Y489" s="52"/>
      <c r="Z489" s="52"/>
      <c r="AA489" s="52"/>
      <c r="AB489" s="52"/>
    </row>
    <row r="490" spans="1:28" ht="14.25" x14ac:dyDescent="0.2">
      <c r="A490" s="50" t="s">
        <v>63</v>
      </c>
      <c r="B490" s="51" t="s">
        <v>5890</v>
      </c>
      <c r="C490" s="51"/>
      <c r="D490" s="52"/>
      <c r="E490" s="51">
        <v>32</v>
      </c>
      <c r="F490" s="52"/>
      <c r="G490" s="53">
        <v>31882308</v>
      </c>
      <c r="H490" s="52"/>
      <c r="I490" s="52"/>
      <c r="J490" s="52"/>
      <c r="K490" s="52"/>
      <c r="L490" s="52"/>
      <c r="M490" s="52"/>
      <c r="N490" s="52"/>
      <c r="O490" s="52"/>
      <c r="P490" s="52"/>
      <c r="Q490" s="52"/>
      <c r="R490" s="52"/>
      <c r="S490" s="52"/>
      <c r="T490" s="52"/>
      <c r="U490" s="52"/>
      <c r="V490" s="52"/>
      <c r="W490" s="52"/>
      <c r="X490" s="52"/>
      <c r="Y490" s="52"/>
      <c r="Z490" s="52"/>
      <c r="AA490" s="52"/>
      <c r="AB490" s="52"/>
    </row>
    <row r="491" spans="1:28" ht="14.25" x14ac:dyDescent="0.2">
      <c r="A491" s="54" t="s">
        <v>63</v>
      </c>
      <c r="B491" s="55" t="s">
        <v>5890</v>
      </c>
      <c r="C491" s="55"/>
      <c r="D491" s="52"/>
      <c r="E491" s="55">
        <v>40</v>
      </c>
      <c r="F491" s="52"/>
      <c r="G491" s="56">
        <v>31882309</v>
      </c>
      <c r="H491" s="52"/>
      <c r="I491" s="52"/>
      <c r="J491" s="52"/>
      <c r="K491" s="52"/>
      <c r="L491" s="52"/>
      <c r="M491" s="52"/>
      <c r="N491" s="52"/>
      <c r="O491" s="52"/>
      <c r="P491" s="52"/>
      <c r="Q491" s="52"/>
      <c r="R491" s="52"/>
      <c r="S491" s="52"/>
      <c r="T491" s="52"/>
      <c r="U491" s="52"/>
      <c r="V491" s="52"/>
      <c r="W491" s="52"/>
      <c r="X491" s="52"/>
      <c r="Y491" s="52"/>
      <c r="Z491" s="52"/>
      <c r="AA491" s="52"/>
      <c r="AB491" s="52"/>
    </row>
    <row r="492" spans="1:28" ht="14.25" x14ac:dyDescent="0.2">
      <c r="A492" s="50" t="s">
        <v>63</v>
      </c>
      <c r="B492" s="51" t="s">
        <v>5890</v>
      </c>
      <c r="C492" s="51"/>
      <c r="D492" s="52"/>
      <c r="E492" s="51">
        <v>50</v>
      </c>
      <c r="F492" s="52"/>
      <c r="G492" s="53">
        <v>31882310</v>
      </c>
      <c r="H492" s="52"/>
      <c r="I492" s="52"/>
      <c r="J492" s="52"/>
      <c r="K492" s="52"/>
      <c r="L492" s="52"/>
      <c r="M492" s="52"/>
      <c r="N492" s="52"/>
      <c r="O492" s="52"/>
      <c r="P492" s="52"/>
      <c r="Q492" s="52"/>
      <c r="R492" s="52"/>
      <c r="S492" s="52"/>
      <c r="T492" s="52"/>
      <c r="U492" s="52"/>
      <c r="V492" s="52"/>
      <c r="W492" s="52"/>
      <c r="X492" s="52"/>
      <c r="Y492" s="52"/>
      <c r="Z492" s="52"/>
      <c r="AA492" s="52"/>
      <c r="AB492" s="52"/>
    </row>
    <row r="493" spans="1:28" ht="14.25" x14ac:dyDescent="0.2">
      <c r="A493" s="54" t="s">
        <v>63</v>
      </c>
      <c r="B493" s="55" t="s">
        <v>5890</v>
      </c>
      <c r="C493" s="55"/>
      <c r="D493" s="52"/>
      <c r="E493" s="55">
        <v>63</v>
      </c>
      <c r="F493" s="52"/>
      <c r="G493" s="56">
        <v>31882311</v>
      </c>
      <c r="H493" s="52"/>
      <c r="I493" s="52"/>
      <c r="J493" s="52"/>
      <c r="K493" s="52"/>
      <c r="L493" s="52"/>
      <c r="M493" s="52"/>
      <c r="N493" s="52"/>
      <c r="O493" s="52"/>
      <c r="P493" s="52"/>
      <c r="Q493" s="52"/>
      <c r="R493" s="52"/>
      <c r="S493" s="52"/>
      <c r="T493" s="52"/>
      <c r="U493" s="52"/>
      <c r="V493" s="52"/>
      <c r="W493" s="52"/>
      <c r="X493" s="52"/>
      <c r="Y493" s="52"/>
      <c r="Z493" s="52"/>
      <c r="AA493" s="52"/>
      <c r="AB493" s="52"/>
    </row>
    <row r="494" spans="1:28" ht="14.25" x14ac:dyDescent="0.2">
      <c r="A494" s="50" t="s">
        <v>63</v>
      </c>
      <c r="B494" s="51" t="s">
        <v>5890</v>
      </c>
      <c r="C494" s="51"/>
      <c r="D494" s="52"/>
      <c r="E494" s="51">
        <v>75</v>
      </c>
      <c r="F494" s="52"/>
      <c r="G494" s="53">
        <v>31882312</v>
      </c>
      <c r="H494" s="52"/>
      <c r="I494" s="52"/>
      <c r="J494" s="52"/>
      <c r="K494" s="52"/>
      <c r="L494" s="52"/>
      <c r="M494" s="52"/>
      <c r="N494" s="52"/>
      <c r="O494" s="52"/>
      <c r="P494" s="52"/>
      <c r="Q494" s="52"/>
      <c r="R494" s="52"/>
      <c r="S494" s="52"/>
      <c r="T494" s="52"/>
      <c r="U494" s="52"/>
      <c r="V494" s="52"/>
      <c r="W494" s="52"/>
      <c r="X494" s="52"/>
      <c r="Y494" s="52"/>
      <c r="Z494" s="52"/>
      <c r="AA494" s="52"/>
      <c r="AB494" s="52"/>
    </row>
    <row r="495" spans="1:28" ht="14.25" x14ac:dyDescent="0.2">
      <c r="A495" s="54" t="s">
        <v>63</v>
      </c>
      <c r="B495" s="55" t="s">
        <v>5890</v>
      </c>
      <c r="C495" s="55"/>
      <c r="D495" s="52"/>
      <c r="E495" s="55">
        <v>90</v>
      </c>
      <c r="F495" s="52"/>
      <c r="G495" s="56">
        <v>31882313</v>
      </c>
      <c r="H495" s="52"/>
      <c r="I495" s="52"/>
      <c r="J495" s="52"/>
      <c r="K495" s="52"/>
      <c r="L495" s="52"/>
      <c r="M495" s="52"/>
      <c r="N495" s="52"/>
      <c r="O495" s="52"/>
      <c r="P495" s="52"/>
      <c r="Q495" s="52"/>
      <c r="R495" s="52"/>
      <c r="S495" s="52"/>
      <c r="T495" s="52"/>
      <c r="U495" s="52"/>
      <c r="V495" s="52"/>
      <c r="W495" s="52"/>
      <c r="X495" s="52"/>
      <c r="Y495" s="52"/>
      <c r="Z495" s="52"/>
      <c r="AA495" s="52"/>
      <c r="AB495" s="52"/>
    </row>
    <row r="496" spans="1:28" ht="14.25" x14ac:dyDescent="0.2">
      <c r="A496" s="50" t="s">
        <v>63</v>
      </c>
      <c r="B496" s="51" t="s">
        <v>5891</v>
      </c>
      <c r="C496" s="51"/>
      <c r="D496" s="52"/>
      <c r="E496" s="51">
        <v>16</v>
      </c>
      <c r="F496" s="52"/>
      <c r="G496" s="53">
        <v>31459305</v>
      </c>
      <c r="H496" s="52"/>
      <c r="I496" s="52"/>
      <c r="J496" s="52"/>
      <c r="K496" s="52"/>
      <c r="L496" s="52"/>
      <c r="M496" s="52"/>
      <c r="N496" s="52"/>
      <c r="O496" s="52"/>
      <c r="P496" s="52"/>
      <c r="Q496" s="52"/>
      <c r="R496" s="52"/>
      <c r="S496" s="52"/>
      <c r="T496" s="52"/>
      <c r="U496" s="52"/>
      <c r="V496" s="52"/>
      <c r="W496" s="52"/>
      <c r="X496" s="52"/>
      <c r="Y496" s="52"/>
      <c r="Z496" s="52"/>
      <c r="AA496" s="52"/>
      <c r="AB496" s="52"/>
    </row>
    <row r="497" spans="1:28" ht="14.25" x14ac:dyDescent="0.2">
      <c r="A497" s="54" t="s">
        <v>63</v>
      </c>
      <c r="B497" s="55" t="s">
        <v>5891</v>
      </c>
      <c r="C497" s="55"/>
      <c r="D497" s="52"/>
      <c r="E497" s="55">
        <v>20</v>
      </c>
      <c r="F497" s="52"/>
      <c r="G497" s="56">
        <v>31459306</v>
      </c>
      <c r="H497" s="52"/>
      <c r="I497" s="52"/>
      <c r="J497" s="52"/>
      <c r="K497" s="52"/>
      <c r="L497" s="52"/>
      <c r="M497" s="52"/>
      <c r="N497" s="52"/>
      <c r="O497" s="52"/>
      <c r="P497" s="52"/>
      <c r="Q497" s="52"/>
      <c r="R497" s="52"/>
      <c r="S497" s="52"/>
      <c r="T497" s="52"/>
      <c r="U497" s="52"/>
      <c r="V497" s="52"/>
      <c r="W497" s="52"/>
      <c r="X497" s="52"/>
      <c r="Y497" s="52"/>
      <c r="Z497" s="52"/>
      <c r="AA497" s="52"/>
      <c r="AB497" s="52"/>
    </row>
    <row r="498" spans="1:28" ht="14.25" x14ac:dyDescent="0.2">
      <c r="A498" s="50" t="s">
        <v>63</v>
      </c>
      <c r="B498" s="51" t="s">
        <v>5891</v>
      </c>
      <c r="C498" s="51"/>
      <c r="D498" s="52"/>
      <c r="E498" s="51">
        <v>25</v>
      </c>
      <c r="F498" s="52"/>
      <c r="G498" s="53">
        <v>31459307</v>
      </c>
      <c r="H498" s="52"/>
      <c r="I498" s="52"/>
      <c r="J498" s="52"/>
      <c r="K498" s="52"/>
      <c r="L498" s="52"/>
      <c r="M498" s="52"/>
      <c r="N498" s="52"/>
      <c r="O498" s="52"/>
      <c r="P498" s="52"/>
      <c r="Q498" s="52"/>
      <c r="R498" s="52"/>
      <c r="S498" s="52"/>
      <c r="T498" s="52"/>
      <c r="U498" s="52"/>
      <c r="V498" s="52"/>
      <c r="W498" s="52"/>
      <c r="X498" s="52"/>
      <c r="Y498" s="52"/>
      <c r="Z498" s="52"/>
      <c r="AA498" s="52"/>
      <c r="AB498" s="52"/>
    </row>
    <row r="499" spans="1:28" ht="14.25" x14ac:dyDescent="0.2">
      <c r="A499" s="54" t="s">
        <v>63</v>
      </c>
      <c r="B499" s="55" t="s">
        <v>5891</v>
      </c>
      <c r="C499" s="55"/>
      <c r="D499" s="52"/>
      <c r="E499" s="55">
        <v>32</v>
      </c>
      <c r="F499" s="52"/>
      <c r="G499" s="56">
        <v>31459308</v>
      </c>
      <c r="H499" s="52"/>
      <c r="I499" s="52"/>
      <c r="J499" s="52"/>
      <c r="K499" s="52"/>
      <c r="L499" s="52"/>
      <c r="M499" s="52"/>
      <c r="N499" s="52"/>
      <c r="O499" s="52"/>
      <c r="P499" s="52"/>
      <c r="Q499" s="52"/>
      <c r="R499" s="52"/>
      <c r="S499" s="52"/>
      <c r="T499" s="52"/>
      <c r="U499" s="52"/>
      <c r="V499" s="52"/>
      <c r="W499" s="52"/>
      <c r="X499" s="52"/>
      <c r="Y499" s="52"/>
      <c r="Z499" s="52"/>
      <c r="AA499" s="52"/>
      <c r="AB499" s="52"/>
    </row>
    <row r="500" spans="1:28" ht="14.25" x14ac:dyDescent="0.2">
      <c r="A500" s="50" t="s">
        <v>63</v>
      </c>
      <c r="B500" s="51" t="s">
        <v>5891</v>
      </c>
      <c r="C500" s="51"/>
      <c r="D500" s="52"/>
      <c r="E500" s="51">
        <v>40</v>
      </c>
      <c r="F500" s="52"/>
      <c r="G500" s="53">
        <v>31459309</v>
      </c>
      <c r="H500" s="52"/>
      <c r="I500" s="52"/>
      <c r="J500" s="52"/>
      <c r="K500" s="52"/>
      <c r="L500" s="52"/>
      <c r="M500" s="52"/>
      <c r="N500" s="52"/>
      <c r="O500" s="52"/>
      <c r="P500" s="52"/>
      <c r="Q500" s="52"/>
      <c r="R500" s="52"/>
      <c r="S500" s="52"/>
      <c r="T500" s="52"/>
      <c r="U500" s="52"/>
      <c r="V500" s="52"/>
      <c r="W500" s="52"/>
      <c r="X500" s="52"/>
      <c r="Y500" s="52"/>
      <c r="Z500" s="52"/>
      <c r="AA500" s="52"/>
      <c r="AB500" s="52"/>
    </row>
    <row r="501" spans="1:28" ht="14.25" x14ac:dyDescent="0.2">
      <c r="A501" s="54" t="s">
        <v>63</v>
      </c>
      <c r="B501" s="55" t="s">
        <v>5891</v>
      </c>
      <c r="C501" s="55"/>
      <c r="D501" s="52"/>
      <c r="E501" s="55">
        <v>50</v>
      </c>
      <c r="F501" s="52"/>
      <c r="G501" s="56">
        <v>31459310</v>
      </c>
      <c r="H501" s="52"/>
      <c r="I501" s="52"/>
      <c r="J501" s="52"/>
      <c r="K501" s="52"/>
      <c r="L501" s="52"/>
      <c r="M501" s="52"/>
      <c r="N501" s="52"/>
      <c r="O501" s="52"/>
      <c r="P501" s="52"/>
      <c r="Q501" s="52"/>
      <c r="R501" s="52"/>
      <c r="S501" s="52"/>
      <c r="T501" s="52"/>
      <c r="U501" s="52"/>
      <c r="V501" s="52"/>
      <c r="W501" s="52"/>
      <c r="X501" s="52"/>
      <c r="Y501" s="52"/>
      <c r="Z501" s="52"/>
      <c r="AA501" s="52"/>
      <c r="AB501" s="52"/>
    </row>
    <row r="502" spans="1:28" ht="14.25" x14ac:dyDescent="0.2">
      <c r="A502" s="50" t="s">
        <v>63</v>
      </c>
      <c r="B502" s="51" t="s">
        <v>5891</v>
      </c>
      <c r="C502" s="51"/>
      <c r="D502" s="52"/>
      <c r="E502" s="51">
        <v>63</v>
      </c>
      <c r="F502" s="52"/>
      <c r="G502" s="53">
        <v>31459311</v>
      </c>
      <c r="H502" s="52"/>
      <c r="I502" s="52"/>
      <c r="J502" s="52"/>
      <c r="K502" s="52"/>
      <c r="L502" s="52"/>
      <c r="M502" s="52"/>
      <c r="N502" s="52"/>
      <c r="O502" s="52"/>
      <c r="P502" s="52"/>
      <c r="Q502" s="52"/>
      <c r="R502" s="52"/>
      <c r="S502" s="52"/>
      <c r="T502" s="52"/>
      <c r="U502" s="52"/>
      <c r="V502" s="52"/>
      <c r="W502" s="52"/>
      <c r="X502" s="52"/>
      <c r="Y502" s="52"/>
      <c r="Z502" s="52"/>
      <c r="AA502" s="52"/>
      <c r="AB502" s="52"/>
    </row>
    <row r="503" spans="1:28" ht="14.25" x14ac:dyDescent="0.2">
      <c r="A503" s="54" t="s">
        <v>63</v>
      </c>
      <c r="B503" s="55" t="s">
        <v>5891</v>
      </c>
      <c r="C503" s="55"/>
      <c r="D503" s="52"/>
      <c r="E503" s="55">
        <v>75</v>
      </c>
      <c r="F503" s="52"/>
      <c r="G503" s="56">
        <v>31459312</v>
      </c>
      <c r="H503" s="52"/>
      <c r="I503" s="52"/>
      <c r="J503" s="52"/>
      <c r="K503" s="52"/>
      <c r="L503" s="52"/>
      <c r="M503" s="52"/>
      <c r="N503" s="52"/>
      <c r="O503" s="52"/>
      <c r="P503" s="52"/>
      <c r="Q503" s="52"/>
      <c r="R503" s="52"/>
      <c r="S503" s="52"/>
      <c r="T503" s="52"/>
      <c r="U503" s="52"/>
      <c r="V503" s="52"/>
      <c r="W503" s="52"/>
      <c r="X503" s="52"/>
      <c r="Y503" s="52"/>
      <c r="Z503" s="52"/>
      <c r="AA503" s="52"/>
      <c r="AB503" s="52"/>
    </row>
    <row r="504" spans="1:28" ht="14.25" x14ac:dyDescent="0.2">
      <c r="A504" s="50" t="s">
        <v>63</v>
      </c>
      <c r="B504" s="51" t="s">
        <v>5891</v>
      </c>
      <c r="C504" s="51"/>
      <c r="D504" s="52"/>
      <c r="E504" s="51">
        <v>90</v>
      </c>
      <c r="F504" s="52"/>
      <c r="G504" s="53">
        <v>31459313</v>
      </c>
      <c r="H504" s="52"/>
      <c r="I504" s="52"/>
      <c r="J504" s="52"/>
      <c r="K504" s="52"/>
      <c r="L504" s="52"/>
      <c r="M504" s="52"/>
      <c r="N504" s="52"/>
      <c r="O504" s="52"/>
      <c r="P504" s="52"/>
      <c r="Q504" s="52"/>
      <c r="R504" s="52"/>
      <c r="S504" s="52"/>
      <c r="T504" s="52"/>
      <c r="U504" s="52"/>
      <c r="V504" s="52"/>
      <c r="W504" s="52"/>
      <c r="X504" s="52"/>
      <c r="Y504" s="52"/>
      <c r="Z504" s="52"/>
      <c r="AA504" s="52"/>
      <c r="AB504" s="52"/>
    </row>
    <row r="505" spans="1:28" ht="14.25" x14ac:dyDescent="0.2">
      <c r="A505" s="54" t="s">
        <v>63</v>
      </c>
      <c r="B505" s="55" t="s">
        <v>5891</v>
      </c>
      <c r="C505" s="55"/>
      <c r="D505" s="52"/>
      <c r="E505" s="55">
        <v>110</v>
      </c>
      <c r="F505" s="52"/>
      <c r="G505" s="56">
        <v>31459314</v>
      </c>
      <c r="H505" s="52"/>
      <c r="I505" s="52"/>
      <c r="J505" s="52"/>
      <c r="K505" s="52"/>
      <c r="L505" s="52"/>
      <c r="M505" s="52"/>
      <c r="N505" s="52"/>
      <c r="O505" s="52"/>
      <c r="P505" s="52"/>
      <c r="Q505" s="52"/>
      <c r="R505" s="52"/>
      <c r="S505" s="52"/>
      <c r="T505" s="52"/>
      <c r="U505" s="52"/>
      <c r="V505" s="52"/>
      <c r="W505" s="52"/>
      <c r="X505" s="52"/>
      <c r="Y505" s="52"/>
      <c r="Z505" s="52"/>
      <c r="AA505" s="52"/>
      <c r="AB505" s="52"/>
    </row>
    <row r="506" spans="1:28" ht="14.25" x14ac:dyDescent="0.2">
      <c r="A506" s="50" t="s">
        <v>63</v>
      </c>
      <c r="B506" s="51" t="s">
        <v>5891</v>
      </c>
      <c r="C506" s="51"/>
      <c r="D506" s="52"/>
      <c r="E506" s="51">
        <v>63</v>
      </c>
      <c r="F506" s="52"/>
      <c r="G506" s="53">
        <v>107</v>
      </c>
      <c r="H506" s="52"/>
      <c r="I506" s="52"/>
      <c r="J506" s="52"/>
      <c r="K506" s="52"/>
      <c r="L506" s="52"/>
      <c r="M506" s="52"/>
      <c r="N506" s="52"/>
      <c r="O506" s="52"/>
      <c r="P506" s="52"/>
      <c r="Q506" s="52"/>
      <c r="R506" s="52"/>
      <c r="S506" s="52"/>
      <c r="T506" s="52"/>
      <c r="U506" s="52"/>
      <c r="V506" s="52"/>
      <c r="W506" s="52"/>
      <c r="X506" s="52"/>
      <c r="Y506" s="52"/>
      <c r="Z506" s="52"/>
      <c r="AA506" s="52"/>
      <c r="AB506" s="52"/>
    </row>
    <row r="507" spans="1:28" ht="14.25" x14ac:dyDescent="0.2">
      <c r="A507" s="54" t="s">
        <v>63</v>
      </c>
      <c r="B507" s="55" t="s">
        <v>5891</v>
      </c>
      <c r="C507" s="55"/>
      <c r="D507" s="52"/>
      <c r="E507" s="55">
        <v>75</v>
      </c>
      <c r="F507" s="52"/>
      <c r="G507" s="56">
        <v>108</v>
      </c>
      <c r="H507" s="52"/>
      <c r="I507" s="52"/>
      <c r="J507" s="52"/>
      <c r="K507" s="52"/>
      <c r="L507" s="52"/>
      <c r="M507" s="52"/>
      <c r="N507" s="52"/>
      <c r="O507" s="52"/>
      <c r="P507" s="52"/>
      <c r="Q507" s="52"/>
      <c r="R507" s="52"/>
      <c r="S507" s="52"/>
      <c r="T507" s="52"/>
      <c r="U507" s="52"/>
      <c r="V507" s="52"/>
      <c r="W507" s="52"/>
      <c r="X507" s="52"/>
      <c r="Y507" s="52"/>
      <c r="Z507" s="52"/>
      <c r="AA507" s="52"/>
      <c r="AB507" s="52"/>
    </row>
    <row r="508" spans="1:28" ht="14.25" x14ac:dyDescent="0.2">
      <c r="A508" s="50" t="s">
        <v>63</v>
      </c>
      <c r="B508" s="51" t="s">
        <v>5891</v>
      </c>
      <c r="C508" s="51"/>
      <c r="D508" s="52"/>
      <c r="E508" s="51">
        <v>90</v>
      </c>
      <c r="F508" s="52"/>
      <c r="G508" s="53">
        <v>109</v>
      </c>
      <c r="H508" s="52"/>
      <c r="I508" s="52"/>
      <c r="J508" s="52"/>
      <c r="K508" s="52"/>
      <c r="L508" s="52"/>
      <c r="M508" s="52"/>
      <c r="N508" s="52"/>
      <c r="O508" s="52"/>
      <c r="P508" s="52"/>
      <c r="Q508" s="52"/>
      <c r="R508" s="52"/>
      <c r="S508" s="52"/>
      <c r="T508" s="52"/>
      <c r="U508" s="52"/>
      <c r="V508" s="52"/>
      <c r="W508" s="52"/>
      <c r="X508" s="52"/>
      <c r="Y508" s="52"/>
      <c r="Z508" s="52"/>
      <c r="AA508" s="52"/>
      <c r="AB508" s="52"/>
    </row>
    <row r="509" spans="1:28" ht="14.25" x14ac:dyDescent="0.2">
      <c r="A509" s="54" t="s">
        <v>63</v>
      </c>
      <c r="B509" s="55" t="s">
        <v>5891</v>
      </c>
      <c r="C509" s="55"/>
      <c r="D509" s="52"/>
      <c r="E509" s="55">
        <v>110</v>
      </c>
      <c r="F509" s="52"/>
      <c r="G509" s="56">
        <v>110</v>
      </c>
      <c r="H509" s="52"/>
      <c r="I509" s="52"/>
      <c r="J509" s="52"/>
      <c r="K509" s="52"/>
      <c r="L509" s="52"/>
      <c r="M509" s="52"/>
      <c r="N509" s="52"/>
      <c r="O509" s="52"/>
      <c r="P509" s="52"/>
      <c r="Q509" s="52"/>
      <c r="R509" s="52"/>
      <c r="S509" s="52"/>
      <c r="T509" s="52"/>
      <c r="U509" s="52"/>
      <c r="V509" s="52"/>
      <c r="W509" s="52"/>
      <c r="X509" s="52"/>
      <c r="Y509" s="52"/>
      <c r="Z509" s="52"/>
      <c r="AA509" s="52"/>
      <c r="AB509" s="52"/>
    </row>
    <row r="510" spans="1:28" ht="14.25" x14ac:dyDescent="0.2">
      <c r="A510" s="54" t="s">
        <v>63</v>
      </c>
      <c r="B510" s="55" t="s">
        <v>5892</v>
      </c>
      <c r="C510" s="55"/>
      <c r="D510" s="52"/>
      <c r="E510" s="55">
        <v>16</v>
      </c>
      <c r="F510" s="52"/>
      <c r="G510" s="56">
        <v>31122305</v>
      </c>
      <c r="H510" s="52"/>
      <c r="I510" s="52"/>
      <c r="J510" s="52"/>
      <c r="K510" s="52"/>
      <c r="L510" s="52"/>
      <c r="M510" s="52"/>
      <c r="N510" s="52"/>
      <c r="O510" s="52"/>
      <c r="P510" s="52"/>
      <c r="Q510" s="52"/>
      <c r="R510" s="52"/>
      <c r="S510" s="52"/>
      <c r="T510" s="52"/>
      <c r="U510" s="52"/>
      <c r="V510" s="52"/>
      <c r="W510" s="52"/>
      <c r="X510" s="52"/>
      <c r="Y510" s="52"/>
      <c r="Z510" s="52"/>
      <c r="AA510" s="52"/>
      <c r="AB510" s="52"/>
    </row>
    <row r="511" spans="1:28" ht="14.25" x14ac:dyDescent="0.2">
      <c r="A511" s="50" t="s">
        <v>63</v>
      </c>
      <c r="B511" s="51" t="s">
        <v>5892</v>
      </c>
      <c r="C511" s="51"/>
      <c r="D511" s="52"/>
      <c r="E511" s="51">
        <v>20</v>
      </c>
      <c r="F511" s="52"/>
      <c r="G511" s="53">
        <v>31122306</v>
      </c>
      <c r="H511" s="52"/>
      <c r="I511" s="52"/>
      <c r="J511" s="52"/>
      <c r="K511" s="52"/>
      <c r="L511" s="52"/>
      <c r="M511" s="52"/>
      <c r="N511" s="52"/>
      <c r="O511" s="52"/>
      <c r="P511" s="52"/>
      <c r="Q511" s="52"/>
      <c r="R511" s="52"/>
      <c r="S511" s="52"/>
      <c r="T511" s="52"/>
      <c r="U511" s="52"/>
      <c r="V511" s="52"/>
      <c r="W511" s="52"/>
      <c r="X511" s="52"/>
      <c r="Y511" s="52"/>
      <c r="Z511" s="52"/>
      <c r="AA511" s="52"/>
      <c r="AB511" s="52"/>
    </row>
    <row r="512" spans="1:28" ht="14.25" x14ac:dyDescent="0.2">
      <c r="A512" s="54" t="s">
        <v>63</v>
      </c>
      <c r="B512" s="55" t="s">
        <v>5892</v>
      </c>
      <c r="C512" s="55"/>
      <c r="D512" s="52"/>
      <c r="E512" s="55">
        <v>25</v>
      </c>
      <c r="F512" s="52"/>
      <c r="G512" s="56">
        <v>31122307</v>
      </c>
      <c r="H512" s="52"/>
      <c r="I512" s="52"/>
      <c r="J512" s="52"/>
      <c r="K512" s="52"/>
      <c r="L512" s="52"/>
      <c r="M512" s="52"/>
      <c r="N512" s="52"/>
      <c r="O512" s="52"/>
      <c r="P512" s="52"/>
      <c r="Q512" s="52"/>
      <c r="R512" s="52"/>
      <c r="S512" s="52"/>
      <c r="T512" s="52"/>
      <c r="U512" s="52"/>
      <c r="V512" s="52"/>
      <c r="W512" s="52"/>
      <c r="X512" s="52"/>
      <c r="Y512" s="52"/>
      <c r="Z512" s="52"/>
      <c r="AA512" s="52"/>
      <c r="AB512" s="52"/>
    </row>
    <row r="513" spans="1:28" ht="14.25" x14ac:dyDescent="0.2">
      <c r="A513" s="50" t="s">
        <v>63</v>
      </c>
      <c r="B513" s="51" t="s">
        <v>5892</v>
      </c>
      <c r="C513" s="51"/>
      <c r="D513" s="52"/>
      <c r="E513" s="51">
        <v>40</v>
      </c>
      <c r="F513" s="52"/>
      <c r="G513" s="53">
        <v>31122309</v>
      </c>
      <c r="H513" s="52"/>
      <c r="I513" s="52"/>
      <c r="J513" s="52"/>
      <c r="K513" s="52"/>
      <c r="L513" s="52"/>
      <c r="M513" s="52"/>
      <c r="N513" s="52"/>
      <c r="O513" s="52"/>
      <c r="P513" s="52"/>
      <c r="Q513" s="52"/>
      <c r="R513" s="52"/>
      <c r="S513" s="52"/>
      <c r="T513" s="52"/>
      <c r="U513" s="52"/>
      <c r="V513" s="52"/>
      <c r="W513" s="52"/>
      <c r="X513" s="52"/>
      <c r="Y513" s="52"/>
      <c r="Z513" s="52"/>
      <c r="AA513" s="52"/>
      <c r="AB513" s="52"/>
    </row>
    <row r="514" spans="1:28" ht="14.25" x14ac:dyDescent="0.2">
      <c r="A514" s="54" t="s">
        <v>63</v>
      </c>
      <c r="B514" s="55" t="s">
        <v>5892</v>
      </c>
      <c r="C514" s="55"/>
      <c r="D514" s="52"/>
      <c r="E514" s="55">
        <v>50</v>
      </c>
      <c r="F514" s="52"/>
      <c r="G514" s="56">
        <v>31122310</v>
      </c>
      <c r="H514" s="52"/>
      <c r="I514" s="52"/>
      <c r="J514" s="52"/>
      <c r="K514" s="52"/>
      <c r="L514" s="52"/>
      <c r="M514" s="52"/>
      <c r="N514" s="52"/>
      <c r="O514" s="52"/>
      <c r="P514" s="52"/>
      <c r="Q514" s="52"/>
      <c r="R514" s="52"/>
      <c r="S514" s="52"/>
      <c r="T514" s="52"/>
      <c r="U514" s="52"/>
      <c r="V514" s="52"/>
      <c r="W514" s="52"/>
      <c r="X514" s="52"/>
      <c r="Y514" s="52"/>
      <c r="Z514" s="52"/>
      <c r="AA514" s="52"/>
      <c r="AB514" s="52"/>
    </row>
    <row r="515" spans="1:28" ht="14.25" x14ac:dyDescent="0.2">
      <c r="A515" s="50" t="s">
        <v>63</v>
      </c>
      <c r="B515" s="51" t="s">
        <v>5892</v>
      </c>
      <c r="C515" s="51"/>
      <c r="D515" s="52"/>
      <c r="E515" s="51">
        <v>63</v>
      </c>
      <c r="F515" s="52"/>
      <c r="G515" s="53">
        <v>31122311</v>
      </c>
      <c r="H515" s="52"/>
      <c r="I515" s="52"/>
      <c r="J515" s="52"/>
      <c r="K515" s="52"/>
      <c r="L515" s="52"/>
      <c r="M515" s="52"/>
      <c r="N515" s="52"/>
      <c r="O515" s="52"/>
      <c r="P515" s="52"/>
      <c r="Q515" s="52"/>
      <c r="R515" s="52"/>
      <c r="S515" s="52"/>
      <c r="T515" s="52"/>
      <c r="U515" s="52"/>
      <c r="V515" s="52"/>
      <c r="W515" s="52"/>
      <c r="X515" s="52"/>
      <c r="Y515" s="52"/>
      <c r="Z515" s="52"/>
      <c r="AA515" s="52"/>
      <c r="AB515" s="52"/>
    </row>
    <row r="516" spans="1:28" ht="14.25" x14ac:dyDescent="0.2">
      <c r="A516" s="54" t="s">
        <v>63</v>
      </c>
      <c r="B516" s="55" t="s">
        <v>5892</v>
      </c>
      <c r="C516" s="55"/>
      <c r="D516" s="52"/>
      <c r="E516" s="55">
        <v>75</v>
      </c>
      <c r="F516" s="52"/>
      <c r="G516" s="56">
        <v>31122312</v>
      </c>
      <c r="H516" s="52"/>
      <c r="I516" s="52"/>
      <c r="J516" s="52"/>
      <c r="K516" s="52"/>
      <c r="L516" s="52"/>
      <c r="M516" s="52"/>
      <c r="N516" s="52"/>
      <c r="O516" s="52"/>
      <c r="P516" s="52"/>
      <c r="Q516" s="52"/>
      <c r="R516" s="52"/>
      <c r="S516" s="52"/>
      <c r="T516" s="52"/>
      <c r="U516" s="52"/>
      <c r="V516" s="52"/>
      <c r="W516" s="52"/>
      <c r="X516" s="52"/>
      <c r="Y516" s="52"/>
      <c r="Z516" s="52"/>
      <c r="AA516" s="52"/>
      <c r="AB516" s="52"/>
    </row>
    <row r="517" spans="1:28" ht="14.25" x14ac:dyDescent="0.2">
      <c r="A517" s="50" t="s">
        <v>63</v>
      </c>
      <c r="B517" s="51" t="s">
        <v>5892</v>
      </c>
      <c r="C517" s="51"/>
      <c r="D517" s="52"/>
      <c r="E517" s="51">
        <v>90</v>
      </c>
      <c r="F517" s="52"/>
      <c r="G517" s="53">
        <v>31122313</v>
      </c>
      <c r="H517" s="52"/>
      <c r="I517" s="52"/>
      <c r="J517" s="52"/>
      <c r="K517" s="52"/>
      <c r="L517" s="52"/>
      <c r="M517" s="52"/>
      <c r="N517" s="52"/>
      <c r="O517" s="52"/>
      <c r="P517" s="52"/>
      <c r="Q517" s="52"/>
      <c r="R517" s="52"/>
      <c r="S517" s="52"/>
      <c r="T517" s="52"/>
      <c r="U517" s="52"/>
      <c r="V517" s="52"/>
      <c r="W517" s="52"/>
      <c r="X517" s="52"/>
      <c r="Y517" s="52"/>
      <c r="Z517" s="52"/>
      <c r="AA517" s="52"/>
      <c r="AB517" s="52"/>
    </row>
    <row r="518" spans="1:28" ht="14.25" x14ac:dyDescent="0.2">
      <c r="A518" s="54" t="s">
        <v>63</v>
      </c>
      <c r="B518" s="55" t="s">
        <v>5892</v>
      </c>
      <c r="C518" s="55"/>
      <c r="D518" s="52"/>
      <c r="E518" s="55">
        <v>110</v>
      </c>
      <c r="F518" s="52"/>
      <c r="G518" s="56">
        <v>31122314</v>
      </c>
      <c r="H518" s="52"/>
      <c r="I518" s="52"/>
      <c r="J518" s="52"/>
      <c r="K518" s="52"/>
      <c r="L518" s="52"/>
      <c r="M518" s="52"/>
      <c r="N518" s="52"/>
      <c r="O518" s="52"/>
      <c r="P518" s="52"/>
      <c r="Q518" s="52"/>
      <c r="R518" s="52"/>
      <c r="S518" s="52"/>
      <c r="T518" s="52"/>
      <c r="U518" s="52"/>
      <c r="V518" s="52"/>
      <c r="W518" s="52"/>
      <c r="X518" s="52"/>
      <c r="Y518" s="52"/>
      <c r="Z518" s="52"/>
      <c r="AA518" s="52"/>
      <c r="AB518" s="52"/>
    </row>
    <row r="519" spans="1:28" ht="14.25" x14ac:dyDescent="0.2">
      <c r="A519" s="50" t="s">
        <v>63</v>
      </c>
      <c r="B519" s="51" t="s">
        <v>5893</v>
      </c>
      <c r="C519" s="51"/>
      <c r="D519" s="52"/>
      <c r="E519" s="51" t="s">
        <v>5742</v>
      </c>
      <c r="F519" s="52"/>
      <c r="G519" s="53">
        <v>31124412</v>
      </c>
      <c r="H519" s="52"/>
      <c r="I519" s="52"/>
      <c r="J519" s="52"/>
      <c r="K519" s="52"/>
      <c r="L519" s="52"/>
      <c r="M519" s="52"/>
      <c r="N519" s="52"/>
      <c r="O519" s="52"/>
      <c r="P519" s="52"/>
      <c r="Q519" s="52"/>
      <c r="R519" s="52"/>
      <c r="S519" s="52"/>
      <c r="T519" s="52"/>
      <c r="U519" s="52"/>
      <c r="V519" s="52"/>
      <c r="W519" s="52"/>
      <c r="X519" s="52"/>
      <c r="Y519" s="52"/>
      <c r="Z519" s="52"/>
      <c r="AA519" s="52"/>
      <c r="AB519" s="52"/>
    </row>
    <row r="520" spans="1:28" ht="14.25" x14ac:dyDescent="0.2">
      <c r="A520" s="54" t="s">
        <v>63</v>
      </c>
      <c r="B520" s="55" t="s">
        <v>5893</v>
      </c>
      <c r="C520" s="55"/>
      <c r="D520" s="52"/>
      <c r="E520" s="55" t="s">
        <v>5744</v>
      </c>
      <c r="F520" s="52"/>
      <c r="G520" s="56">
        <v>31124414</v>
      </c>
      <c r="H520" s="52"/>
      <c r="I520" s="52"/>
      <c r="J520" s="52"/>
      <c r="K520" s="52"/>
      <c r="L520" s="52"/>
      <c r="M520" s="52"/>
      <c r="N520" s="52"/>
      <c r="O520" s="52"/>
      <c r="P520" s="52"/>
      <c r="Q520" s="52"/>
      <c r="R520" s="52"/>
      <c r="S520" s="52"/>
      <c r="T520" s="52"/>
      <c r="U520" s="52"/>
      <c r="V520" s="52"/>
      <c r="W520" s="52"/>
      <c r="X520" s="52"/>
      <c r="Y520" s="52"/>
      <c r="Z520" s="52"/>
      <c r="AA520" s="52"/>
      <c r="AB520" s="52"/>
    </row>
    <row r="521" spans="1:28" ht="14.25" x14ac:dyDescent="0.2">
      <c r="A521" s="50" t="s">
        <v>63</v>
      </c>
      <c r="B521" s="51" t="s">
        <v>5893</v>
      </c>
      <c r="C521" s="51"/>
      <c r="D521" s="52"/>
      <c r="E521" s="51" t="s">
        <v>5745</v>
      </c>
      <c r="F521" s="52"/>
      <c r="G521" s="53">
        <v>31124415</v>
      </c>
      <c r="H521" s="52"/>
      <c r="I521" s="52"/>
      <c r="J521" s="52"/>
      <c r="K521" s="52"/>
      <c r="L521" s="52"/>
      <c r="M521" s="52"/>
      <c r="N521" s="52"/>
      <c r="O521" s="52"/>
      <c r="P521" s="52"/>
      <c r="Q521" s="52"/>
      <c r="R521" s="52"/>
      <c r="S521" s="52"/>
      <c r="T521" s="52"/>
      <c r="U521" s="52"/>
      <c r="V521" s="52"/>
      <c r="W521" s="52"/>
      <c r="X521" s="52"/>
      <c r="Y521" s="52"/>
      <c r="Z521" s="52"/>
      <c r="AA521" s="52"/>
      <c r="AB521" s="52"/>
    </row>
    <row r="522" spans="1:28" ht="14.25" x14ac:dyDescent="0.2">
      <c r="A522" s="54" t="s">
        <v>63</v>
      </c>
      <c r="B522" s="55" t="s">
        <v>5893</v>
      </c>
      <c r="C522" s="55"/>
      <c r="D522" s="52"/>
      <c r="E522" s="55" t="s">
        <v>5747</v>
      </c>
      <c r="F522" s="52"/>
      <c r="G522" s="56">
        <v>31124417</v>
      </c>
      <c r="H522" s="52"/>
      <c r="I522" s="52"/>
      <c r="J522" s="52"/>
      <c r="K522" s="52"/>
      <c r="L522" s="52"/>
      <c r="M522" s="52"/>
      <c r="N522" s="52"/>
      <c r="O522" s="52"/>
      <c r="P522" s="52"/>
      <c r="Q522" s="52"/>
      <c r="R522" s="52"/>
      <c r="S522" s="52"/>
      <c r="T522" s="52"/>
      <c r="U522" s="52"/>
      <c r="V522" s="52"/>
      <c r="W522" s="52"/>
      <c r="X522" s="52"/>
      <c r="Y522" s="52"/>
      <c r="Z522" s="52"/>
      <c r="AA522" s="52"/>
      <c r="AB522" s="52"/>
    </row>
    <row r="523" spans="1:28" ht="14.25" x14ac:dyDescent="0.2">
      <c r="A523" s="50" t="s">
        <v>63</v>
      </c>
      <c r="B523" s="51" t="s">
        <v>5893</v>
      </c>
      <c r="C523" s="51"/>
      <c r="D523" s="52"/>
      <c r="E523" s="51" t="s">
        <v>5748</v>
      </c>
      <c r="F523" s="52"/>
      <c r="G523" s="53">
        <v>31124418</v>
      </c>
      <c r="H523" s="52"/>
      <c r="I523" s="52"/>
      <c r="J523" s="52"/>
      <c r="K523" s="52"/>
      <c r="L523" s="52"/>
      <c r="M523" s="52"/>
      <c r="N523" s="52"/>
      <c r="O523" s="52"/>
      <c r="P523" s="52"/>
      <c r="Q523" s="52"/>
      <c r="R523" s="52"/>
      <c r="S523" s="52"/>
      <c r="T523" s="52"/>
      <c r="U523" s="52"/>
      <c r="V523" s="52"/>
      <c r="W523" s="52"/>
      <c r="X523" s="52"/>
      <c r="Y523" s="52"/>
      <c r="Z523" s="52"/>
      <c r="AA523" s="52"/>
      <c r="AB523" s="52"/>
    </row>
    <row r="524" spans="1:28" ht="14.25" x14ac:dyDescent="0.2">
      <c r="A524" s="54" t="s">
        <v>63</v>
      </c>
      <c r="B524" s="55" t="s">
        <v>5893</v>
      </c>
      <c r="C524" s="55"/>
      <c r="D524" s="52"/>
      <c r="E524" s="55" t="s">
        <v>5749</v>
      </c>
      <c r="F524" s="52"/>
      <c r="G524" s="56">
        <v>31124419</v>
      </c>
      <c r="H524" s="52"/>
      <c r="I524" s="52"/>
      <c r="J524" s="52"/>
      <c r="K524" s="52"/>
      <c r="L524" s="52"/>
      <c r="M524" s="52"/>
      <c r="N524" s="52"/>
      <c r="O524" s="52"/>
      <c r="P524" s="52"/>
      <c r="Q524" s="52"/>
      <c r="R524" s="52"/>
      <c r="S524" s="52"/>
      <c r="T524" s="52"/>
      <c r="U524" s="52"/>
      <c r="V524" s="52"/>
      <c r="W524" s="52"/>
      <c r="X524" s="52"/>
      <c r="Y524" s="52"/>
      <c r="Z524" s="52"/>
      <c r="AA524" s="52"/>
      <c r="AB524" s="52"/>
    </row>
    <row r="525" spans="1:28" ht="14.25" x14ac:dyDescent="0.2">
      <c r="A525" s="50" t="s">
        <v>63</v>
      </c>
      <c r="B525" s="51" t="s">
        <v>5893</v>
      </c>
      <c r="C525" s="51"/>
      <c r="D525" s="52"/>
      <c r="E525" s="51" t="s">
        <v>5751</v>
      </c>
      <c r="F525" s="52"/>
      <c r="G525" s="53">
        <v>31124421</v>
      </c>
      <c r="H525" s="52"/>
      <c r="I525" s="52"/>
      <c r="J525" s="52"/>
      <c r="K525" s="52"/>
      <c r="L525" s="52"/>
      <c r="M525" s="52"/>
      <c r="N525" s="52"/>
      <c r="O525" s="52"/>
      <c r="P525" s="52"/>
      <c r="Q525" s="52"/>
      <c r="R525" s="52"/>
      <c r="S525" s="52"/>
      <c r="T525" s="52"/>
      <c r="U525" s="52"/>
      <c r="V525" s="52"/>
      <c r="W525" s="52"/>
      <c r="X525" s="52"/>
      <c r="Y525" s="52"/>
      <c r="Z525" s="52"/>
      <c r="AA525" s="52"/>
      <c r="AB525" s="52"/>
    </row>
    <row r="526" spans="1:28" ht="14.25" x14ac:dyDescent="0.2">
      <c r="A526" s="54" t="s">
        <v>63</v>
      </c>
      <c r="B526" s="55" t="s">
        <v>5893</v>
      </c>
      <c r="C526" s="55"/>
      <c r="D526" s="52"/>
      <c r="E526" s="55" t="s">
        <v>5752</v>
      </c>
      <c r="F526" s="52"/>
      <c r="G526" s="56">
        <v>31124422</v>
      </c>
      <c r="H526" s="52"/>
      <c r="I526" s="52"/>
      <c r="J526" s="52"/>
      <c r="K526" s="52"/>
      <c r="L526" s="52"/>
      <c r="M526" s="52"/>
      <c r="N526" s="52"/>
      <c r="O526" s="52"/>
      <c r="P526" s="52"/>
      <c r="Q526" s="52"/>
      <c r="R526" s="52"/>
      <c r="S526" s="52"/>
      <c r="T526" s="52"/>
      <c r="U526" s="52"/>
      <c r="V526" s="52"/>
      <c r="W526" s="52"/>
      <c r="X526" s="52"/>
      <c r="Y526" s="52"/>
      <c r="Z526" s="52"/>
      <c r="AA526" s="52"/>
      <c r="AB526" s="52"/>
    </row>
    <row r="527" spans="1:28" ht="14.25" x14ac:dyDescent="0.2">
      <c r="A527" s="50" t="s">
        <v>63</v>
      </c>
      <c r="B527" s="51" t="s">
        <v>5893</v>
      </c>
      <c r="C527" s="51"/>
      <c r="D527" s="52"/>
      <c r="E527" s="51" t="s">
        <v>5753</v>
      </c>
      <c r="F527" s="52"/>
      <c r="G527" s="53">
        <v>31124423</v>
      </c>
      <c r="H527" s="52"/>
      <c r="I527" s="52"/>
      <c r="J527" s="52"/>
      <c r="K527" s="52"/>
      <c r="L527" s="52"/>
      <c r="M527" s="52"/>
      <c r="N527" s="52"/>
      <c r="O527" s="52"/>
      <c r="P527" s="52"/>
      <c r="Q527" s="52"/>
      <c r="R527" s="52"/>
      <c r="S527" s="52"/>
      <c r="T527" s="52"/>
      <c r="U527" s="52"/>
      <c r="V527" s="52"/>
      <c r="W527" s="52"/>
      <c r="X527" s="52"/>
      <c r="Y527" s="52"/>
      <c r="Z527" s="52"/>
      <c r="AA527" s="52"/>
      <c r="AB527" s="52"/>
    </row>
    <row r="528" spans="1:28" ht="14.25" x14ac:dyDescent="0.2">
      <c r="A528" s="54" t="s">
        <v>63</v>
      </c>
      <c r="B528" s="55" t="s">
        <v>5893</v>
      </c>
      <c r="C528" s="55"/>
      <c r="D528" s="52"/>
      <c r="E528" s="55" t="s">
        <v>5754</v>
      </c>
      <c r="F528" s="52"/>
      <c r="G528" s="56">
        <v>31124424</v>
      </c>
      <c r="H528" s="52"/>
      <c r="I528" s="52"/>
      <c r="J528" s="52"/>
      <c r="K528" s="52"/>
      <c r="L528" s="52"/>
      <c r="M528" s="52"/>
      <c r="N528" s="52"/>
      <c r="O528" s="52"/>
      <c r="P528" s="52"/>
      <c r="Q528" s="52"/>
      <c r="R528" s="52"/>
      <c r="S528" s="52"/>
      <c r="T528" s="52"/>
      <c r="U528" s="52"/>
      <c r="V528" s="52"/>
      <c r="W528" s="52"/>
      <c r="X528" s="52"/>
      <c r="Y528" s="52"/>
      <c r="Z528" s="52"/>
      <c r="AA528" s="52"/>
      <c r="AB528" s="52"/>
    </row>
    <row r="529" spans="1:28" ht="14.25" x14ac:dyDescent="0.2">
      <c r="A529" s="50" t="s">
        <v>63</v>
      </c>
      <c r="B529" s="51" t="s">
        <v>5893</v>
      </c>
      <c r="C529" s="51"/>
      <c r="D529" s="52"/>
      <c r="E529" s="51" t="s">
        <v>5755</v>
      </c>
      <c r="F529" s="52"/>
      <c r="G529" s="53">
        <v>31124425</v>
      </c>
      <c r="H529" s="52"/>
      <c r="I529" s="52"/>
      <c r="J529" s="52"/>
      <c r="K529" s="52"/>
      <c r="L529" s="52"/>
      <c r="M529" s="52"/>
      <c r="N529" s="52"/>
      <c r="O529" s="52"/>
      <c r="P529" s="52"/>
      <c r="Q529" s="52"/>
      <c r="R529" s="52"/>
      <c r="S529" s="52"/>
      <c r="T529" s="52"/>
      <c r="U529" s="52"/>
      <c r="V529" s="52"/>
      <c r="W529" s="52"/>
      <c r="X529" s="52"/>
      <c r="Y529" s="52"/>
      <c r="Z529" s="52"/>
      <c r="AA529" s="52"/>
      <c r="AB529" s="52"/>
    </row>
    <row r="530" spans="1:28" ht="14.25" x14ac:dyDescent="0.2">
      <c r="A530" s="54" t="s">
        <v>63</v>
      </c>
      <c r="B530" s="55" t="s">
        <v>5893</v>
      </c>
      <c r="C530" s="55"/>
      <c r="D530" s="52"/>
      <c r="E530" s="55" t="s">
        <v>5756</v>
      </c>
      <c r="F530" s="52"/>
      <c r="G530" s="56">
        <v>31124426</v>
      </c>
      <c r="H530" s="52"/>
      <c r="I530" s="52"/>
      <c r="J530" s="52"/>
      <c r="K530" s="52"/>
      <c r="L530" s="52"/>
      <c r="M530" s="52"/>
      <c r="N530" s="52"/>
      <c r="O530" s="52"/>
      <c r="P530" s="52"/>
      <c r="Q530" s="52"/>
      <c r="R530" s="52"/>
      <c r="S530" s="52"/>
      <c r="T530" s="52"/>
      <c r="U530" s="52"/>
      <c r="V530" s="52"/>
      <c r="W530" s="52"/>
      <c r="X530" s="52"/>
      <c r="Y530" s="52"/>
      <c r="Z530" s="52"/>
      <c r="AA530" s="52"/>
      <c r="AB530" s="52"/>
    </row>
    <row r="531" spans="1:28" ht="14.25" x14ac:dyDescent="0.2">
      <c r="A531" s="50" t="s">
        <v>63</v>
      </c>
      <c r="B531" s="51" t="s">
        <v>5893</v>
      </c>
      <c r="C531" s="51"/>
      <c r="D531" s="52"/>
      <c r="E531" s="51" t="s">
        <v>5757</v>
      </c>
      <c r="F531" s="52"/>
      <c r="G531" s="53">
        <v>31124427</v>
      </c>
      <c r="H531" s="52"/>
      <c r="I531" s="52"/>
      <c r="J531" s="52"/>
      <c r="K531" s="52"/>
      <c r="L531" s="52"/>
      <c r="M531" s="52"/>
      <c r="N531" s="52"/>
      <c r="O531" s="52"/>
      <c r="P531" s="52"/>
      <c r="Q531" s="52"/>
      <c r="R531" s="52"/>
      <c r="S531" s="52"/>
      <c r="T531" s="52"/>
      <c r="U531" s="52"/>
      <c r="V531" s="52"/>
      <c r="W531" s="52"/>
      <c r="X531" s="52"/>
      <c r="Y531" s="52"/>
      <c r="Z531" s="52"/>
      <c r="AA531" s="52"/>
      <c r="AB531" s="52"/>
    </row>
    <row r="532" spans="1:28" ht="14.25" x14ac:dyDescent="0.2">
      <c r="A532" s="54" t="s">
        <v>63</v>
      </c>
      <c r="B532" s="55" t="s">
        <v>5893</v>
      </c>
      <c r="C532" s="55"/>
      <c r="D532" s="52"/>
      <c r="E532" s="55" t="s">
        <v>5886</v>
      </c>
      <c r="F532" s="52"/>
      <c r="G532" s="56">
        <v>31124429</v>
      </c>
      <c r="H532" s="52"/>
      <c r="I532" s="52"/>
      <c r="J532" s="52"/>
      <c r="K532" s="52"/>
      <c r="L532" s="52"/>
      <c r="M532" s="52"/>
      <c r="N532" s="52"/>
      <c r="O532" s="52"/>
      <c r="P532" s="52"/>
      <c r="Q532" s="52"/>
      <c r="R532" s="52"/>
      <c r="S532" s="52"/>
      <c r="T532" s="52"/>
      <c r="U532" s="52"/>
      <c r="V532" s="52"/>
      <c r="W532" s="52"/>
      <c r="X532" s="52"/>
      <c r="Y532" s="52"/>
      <c r="Z532" s="52"/>
      <c r="AA532" s="52"/>
      <c r="AB532" s="52"/>
    </row>
    <row r="533" spans="1:28" ht="14.25" x14ac:dyDescent="0.2">
      <c r="A533" s="50" t="s">
        <v>63</v>
      </c>
      <c r="B533" s="51" t="s">
        <v>5893</v>
      </c>
      <c r="C533" s="51"/>
      <c r="D533" s="52"/>
      <c r="E533" s="51" t="s">
        <v>5760</v>
      </c>
      <c r="F533" s="52"/>
      <c r="G533" s="53">
        <v>31124430</v>
      </c>
      <c r="H533" s="52"/>
      <c r="I533" s="52"/>
      <c r="J533" s="52"/>
      <c r="K533" s="52"/>
      <c r="L533" s="52"/>
      <c r="M533" s="52"/>
      <c r="N533" s="52"/>
      <c r="O533" s="52"/>
      <c r="P533" s="52"/>
      <c r="Q533" s="52"/>
      <c r="R533" s="52"/>
      <c r="S533" s="52"/>
      <c r="T533" s="52"/>
      <c r="U533" s="52"/>
      <c r="V533" s="52"/>
      <c r="W533" s="52"/>
      <c r="X533" s="52"/>
      <c r="Y533" s="52"/>
      <c r="Z533" s="52"/>
      <c r="AA533" s="52"/>
      <c r="AB533" s="52"/>
    </row>
    <row r="534" spans="1:28" ht="14.25" x14ac:dyDescent="0.2">
      <c r="A534" s="54" t="s">
        <v>63</v>
      </c>
      <c r="B534" s="55" t="s">
        <v>5893</v>
      </c>
      <c r="C534" s="55"/>
      <c r="D534" s="52"/>
      <c r="E534" s="55" t="s">
        <v>5761</v>
      </c>
      <c r="F534" s="52"/>
      <c r="G534" s="56">
        <v>31124431</v>
      </c>
      <c r="H534" s="52"/>
      <c r="I534" s="52"/>
      <c r="J534" s="52"/>
      <c r="K534" s="52"/>
      <c r="L534" s="52"/>
      <c r="M534" s="52"/>
      <c r="N534" s="52"/>
      <c r="O534" s="52"/>
      <c r="P534" s="52"/>
      <c r="Q534" s="52"/>
      <c r="R534" s="52"/>
      <c r="S534" s="52"/>
      <c r="T534" s="52"/>
      <c r="U534" s="52"/>
      <c r="V534" s="52"/>
      <c r="W534" s="52"/>
      <c r="X534" s="52"/>
      <c r="Y534" s="52"/>
      <c r="Z534" s="52"/>
      <c r="AA534" s="52"/>
      <c r="AB534" s="52"/>
    </row>
    <row r="535" spans="1:28" ht="14.25" x14ac:dyDescent="0.2">
      <c r="A535" s="50" t="s">
        <v>63</v>
      </c>
      <c r="B535" s="51" t="s">
        <v>5893</v>
      </c>
      <c r="C535" s="51"/>
      <c r="D535" s="52"/>
      <c r="E535" s="51" t="s">
        <v>5762</v>
      </c>
      <c r="F535" s="52"/>
      <c r="G535" s="53">
        <v>31124432</v>
      </c>
      <c r="H535" s="52"/>
      <c r="I535" s="52"/>
      <c r="J535" s="52"/>
      <c r="K535" s="52"/>
      <c r="L535" s="52"/>
      <c r="M535" s="52"/>
      <c r="N535" s="52"/>
      <c r="O535" s="52"/>
      <c r="P535" s="52"/>
      <c r="Q535" s="52"/>
      <c r="R535" s="52"/>
      <c r="S535" s="52"/>
      <c r="T535" s="52"/>
      <c r="U535" s="52"/>
      <c r="V535" s="52"/>
      <c r="W535" s="52"/>
      <c r="X535" s="52"/>
      <c r="Y535" s="52"/>
      <c r="Z535" s="52"/>
      <c r="AA535" s="52"/>
      <c r="AB535" s="52"/>
    </row>
    <row r="536" spans="1:28" ht="14.25" x14ac:dyDescent="0.2">
      <c r="A536" s="54" t="s">
        <v>63</v>
      </c>
      <c r="B536" s="55" t="s">
        <v>66</v>
      </c>
      <c r="C536" s="55"/>
      <c r="D536" s="52"/>
      <c r="E536" s="55">
        <v>16</v>
      </c>
      <c r="F536" s="52"/>
      <c r="G536" s="56">
        <v>31557305</v>
      </c>
      <c r="H536" s="52"/>
      <c r="I536" s="52"/>
      <c r="J536" s="52"/>
      <c r="K536" s="52"/>
      <c r="L536" s="52"/>
      <c r="M536" s="52"/>
      <c r="N536" s="52"/>
      <c r="O536" s="52"/>
      <c r="P536" s="52"/>
      <c r="Q536" s="52"/>
      <c r="R536" s="52"/>
      <c r="S536" s="52"/>
      <c r="T536" s="52"/>
      <c r="U536" s="52"/>
      <c r="V536" s="52"/>
      <c r="W536" s="52"/>
      <c r="X536" s="52"/>
      <c r="Y536" s="52"/>
      <c r="Z536" s="52"/>
      <c r="AA536" s="52"/>
      <c r="AB536" s="52"/>
    </row>
    <row r="537" spans="1:28" ht="14.25" x14ac:dyDescent="0.2">
      <c r="A537" s="50" t="s">
        <v>63</v>
      </c>
      <c r="B537" s="51" t="s">
        <v>66</v>
      </c>
      <c r="C537" s="51"/>
      <c r="D537" s="52"/>
      <c r="E537" s="51">
        <v>20</v>
      </c>
      <c r="F537" s="52"/>
      <c r="G537" s="53">
        <v>31557306</v>
      </c>
      <c r="H537" s="52"/>
      <c r="I537" s="52"/>
      <c r="J537" s="52"/>
      <c r="K537" s="52"/>
      <c r="L537" s="52"/>
      <c r="M537" s="52"/>
      <c r="N537" s="52"/>
      <c r="O537" s="52"/>
      <c r="P537" s="52"/>
      <c r="Q537" s="52"/>
      <c r="R537" s="52"/>
      <c r="S537" s="52"/>
      <c r="T537" s="52"/>
      <c r="U537" s="52"/>
      <c r="V537" s="52"/>
      <c r="W537" s="52"/>
      <c r="X537" s="52"/>
      <c r="Y537" s="52"/>
      <c r="Z537" s="52"/>
      <c r="AA537" s="52"/>
      <c r="AB537" s="52"/>
    </row>
    <row r="538" spans="1:28" ht="14.25" x14ac:dyDescent="0.2">
      <c r="A538" s="54" t="s">
        <v>63</v>
      </c>
      <c r="B538" s="55" t="s">
        <v>66</v>
      </c>
      <c r="C538" s="55"/>
      <c r="D538" s="52"/>
      <c r="E538" s="55">
        <v>25</v>
      </c>
      <c r="F538" s="52"/>
      <c r="G538" s="56">
        <v>31557307</v>
      </c>
      <c r="H538" s="52"/>
      <c r="I538" s="52"/>
      <c r="J538" s="52"/>
      <c r="K538" s="52"/>
      <c r="L538" s="52"/>
      <c r="M538" s="52"/>
      <c r="N538" s="52"/>
      <c r="O538" s="52"/>
      <c r="P538" s="52"/>
      <c r="Q538" s="52"/>
      <c r="R538" s="52"/>
      <c r="S538" s="52"/>
      <c r="T538" s="52"/>
      <c r="U538" s="52"/>
      <c r="V538" s="52"/>
      <c r="W538" s="52"/>
      <c r="X538" s="52"/>
      <c r="Y538" s="52"/>
      <c r="Z538" s="52"/>
      <c r="AA538" s="52"/>
      <c r="AB538" s="52"/>
    </row>
    <row r="539" spans="1:28" ht="14.25" x14ac:dyDescent="0.2">
      <c r="A539" s="50" t="s">
        <v>63</v>
      </c>
      <c r="B539" s="51" t="s">
        <v>66</v>
      </c>
      <c r="C539" s="51"/>
      <c r="D539" s="52"/>
      <c r="E539" s="51">
        <v>32</v>
      </c>
      <c r="F539" s="52"/>
      <c r="G539" s="53">
        <v>31557308</v>
      </c>
      <c r="H539" s="52"/>
      <c r="I539" s="52"/>
      <c r="J539" s="52"/>
      <c r="K539" s="52"/>
      <c r="L539" s="52"/>
      <c r="M539" s="52"/>
      <c r="N539" s="52"/>
      <c r="O539" s="52"/>
      <c r="P539" s="52"/>
      <c r="Q539" s="52"/>
      <c r="R539" s="52"/>
      <c r="S539" s="52"/>
      <c r="T539" s="52"/>
      <c r="U539" s="52"/>
      <c r="V539" s="52"/>
      <c r="W539" s="52"/>
      <c r="X539" s="52"/>
      <c r="Y539" s="52"/>
      <c r="Z539" s="52"/>
      <c r="AA539" s="52"/>
      <c r="AB539" s="52"/>
    </row>
    <row r="540" spans="1:28" ht="14.25" x14ac:dyDescent="0.2">
      <c r="A540" s="54" t="s">
        <v>63</v>
      </c>
      <c r="B540" s="55" t="s">
        <v>66</v>
      </c>
      <c r="C540" s="55"/>
      <c r="D540" s="52"/>
      <c r="E540" s="55">
        <v>40</v>
      </c>
      <c r="F540" s="52"/>
      <c r="G540" s="56">
        <v>31557309</v>
      </c>
      <c r="H540" s="52"/>
      <c r="I540" s="52"/>
      <c r="J540" s="52"/>
      <c r="K540" s="52"/>
      <c r="L540" s="52"/>
      <c r="M540" s="52"/>
      <c r="N540" s="52"/>
      <c r="O540" s="52"/>
      <c r="P540" s="52"/>
      <c r="Q540" s="52"/>
      <c r="R540" s="52"/>
      <c r="S540" s="52"/>
      <c r="T540" s="52"/>
      <c r="U540" s="52"/>
      <c r="V540" s="52"/>
      <c r="W540" s="52"/>
      <c r="X540" s="52"/>
      <c r="Y540" s="52"/>
      <c r="Z540" s="52"/>
      <c r="AA540" s="52"/>
      <c r="AB540" s="52"/>
    </row>
    <row r="541" spans="1:28" ht="14.25" x14ac:dyDescent="0.2">
      <c r="A541" s="50" t="s">
        <v>63</v>
      </c>
      <c r="B541" s="51" t="s">
        <v>66</v>
      </c>
      <c r="C541" s="51"/>
      <c r="D541" s="52"/>
      <c r="E541" s="51">
        <v>50</v>
      </c>
      <c r="F541" s="52"/>
      <c r="G541" s="53">
        <v>31557310</v>
      </c>
      <c r="H541" s="52"/>
      <c r="I541" s="52"/>
      <c r="J541" s="52"/>
      <c r="K541" s="52"/>
      <c r="L541" s="52"/>
      <c r="M541" s="52"/>
      <c r="N541" s="52"/>
      <c r="O541" s="52"/>
      <c r="P541" s="52"/>
      <c r="Q541" s="52"/>
      <c r="R541" s="52"/>
      <c r="S541" s="52"/>
      <c r="T541" s="52"/>
      <c r="U541" s="52"/>
      <c r="V541" s="52"/>
      <c r="W541" s="52"/>
      <c r="X541" s="52"/>
      <c r="Y541" s="52"/>
      <c r="Z541" s="52"/>
      <c r="AA541" s="52"/>
      <c r="AB541" s="52"/>
    </row>
    <row r="542" spans="1:28" ht="14.25" x14ac:dyDescent="0.2">
      <c r="A542" s="54" t="s">
        <v>63</v>
      </c>
      <c r="B542" s="55" t="s">
        <v>66</v>
      </c>
      <c r="C542" s="55"/>
      <c r="D542" s="52"/>
      <c r="E542" s="55">
        <v>63</v>
      </c>
      <c r="F542" s="52"/>
      <c r="G542" s="56">
        <v>31557311</v>
      </c>
      <c r="H542" s="52"/>
      <c r="I542" s="52"/>
      <c r="J542" s="52"/>
      <c r="K542" s="52"/>
      <c r="L542" s="52"/>
      <c r="M542" s="52"/>
      <c r="N542" s="52"/>
      <c r="O542" s="52"/>
      <c r="P542" s="52"/>
      <c r="Q542" s="52"/>
      <c r="R542" s="52"/>
      <c r="S542" s="52"/>
      <c r="T542" s="52"/>
      <c r="U542" s="52"/>
      <c r="V542" s="52"/>
      <c r="W542" s="52"/>
      <c r="X542" s="52"/>
      <c r="Y542" s="52"/>
      <c r="Z542" s="52"/>
      <c r="AA542" s="52"/>
      <c r="AB542" s="52"/>
    </row>
    <row r="543" spans="1:28" ht="14.25" x14ac:dyDescent="0.2">
      <c r="A543" s="50" t="s">
        <v>63</v>
      </c>
      <c r="B543" s="51" t="s">
        <v>66</v>
      </c>
      <c r="C543" s="51"/>
      <c r="D543" s="52"/>
      <c r="E543" s="51">
        <v>75</v>
      </c>
      <c r="F543" s="52"/>
      <c r="G543" s="53">
        <v>31557312</v>
      </c>
      <c r="H543" s="52"/>
      <c r="I543" s="52"/>
      <c r="J543" s="52"/>
      <c r="K543" s="52"/>
      <c r="L543" s="52"/>
      <c r="M543" s="52"/>
      <c r="N543" s="52"/>
      <c r="O543" s="52"/>
      <c r="P543" s="52"/>
      <c r="Q543" s="52"/>
      <c r="R543" s="52"/>
      <c r="S543" s="52"/>
      <c r="T543" s="52"/>
      <c r="U543" s="52"/>
      <c r="V543" s="52"/>
      <c r="W543" s="52"/>
      <c r="X543" s="52"/>
      <c r="Y543" s="52"/>
      <c r="Z543" s="52"/>
      <c r="AA543" s="52"/>
      <c r="AB543" s="52"/>
    </row>
    <row r="544" spans="1:28" ht="14.25" x14ac:dyDescent="0.2">
      <c r="A544" s="54" t="s">
        <v>63</v>
      </c>
      <c r="B544" s="55" t="s">
        <v>66</v>
      </c>
      <c r="C544" s="55"/>
      <c r="D544" s="52"/>
      <c r="E544" s="55">
        <v>90</v>
      </c>
      <c r="F544" s="52"/>
      <c r="G544" s="56">
        <v>31557313</v>
      </c>
      <c r="H544" s="52"/>
      <c r="I544" s="52"/>
      <c r="J544" s="52"/>
      <c r="K544" s="52"/>
      <c r="L544" s="52"/>
      <c r="M544" s="52"/>
      <c r="N544" s="52"/>
      <c r="O544" s="52"/>
      <c r="P544" s="52"/>
      <c r="Q544" s="52"/>
      <c r="R544" s="52"/>
      <c r="S544" s="52"/>
      <c r="T544" s="52"/>
      <c r="U544" s="52"/>
      <c r="V544" s="52"/>
      <c r="W544" s="52"/>
      <c r="X544" s="52"/>
      <c r="Y544" s="52"/>
      <c r="Z544" s="52"/>
      <c r="AA544" s="52"/>
      <c r="AB544" s="52"/>
    </row>
    <row r="545" spans="1:28" ht="14.25" x14ac:dyDescent="0.2">
      <c r="A545" s="50" t="s">
        <v>63</v>
      </c>
      <c r="B545" s="51" t="s">
        <v>66</v>
      </c>
      <c r="C545" s="51"/>
      <c r="D545" s="52"/>
      <c r="E545" s="51">
        <v>110</v>
      </c>
      <c r="F545" s="52"/>
      <c r="G545" s="53">
        <v>31557314</v>
      </c>
      <c r="H545" s="52"/>
      <c r="I545" s="52"/>
      <c r="J545" s="52"/>
      <c r="K545" s="52"/>
      <c r="L545" s="52"/>
      <c r="M545" s="52"/>
      <c r="N545" s="52"/>
      <c r="O545" s="52"/>
      <c r="P545" s="52"/>
      <c r="Q545" s="52"/>
      <c r="R545" s="52"/>
      <c r="S545" s="52"/>
      <c r="T545" s="52"/>
      <c r="U545" s="52"/>
      <c r="V545" s="52"/>
      <c r="W545" s="52"/>
      <c r="X545" s="52"/>
      <c r="Y545" s="52"/>
      <c r="Z545" s="52"/>
      <c r="AA545" s="52"/>
      <c r="AB545" s="52"/>
    </row>
    <row r="546" spans="1:28" ht="14.25" x14ac:dyDescent="0.2">
      <c r="A546" s="54" t="s">
        <v>63</v>
      </c>
      <c r="B546" s="55" t="s">
        <v>67</v>
      </c>
      <c r="C546" s="55"/>
      <c r="D546" s="52"/>
      <c r="E546" s="55">
        <v>16</v>
      </c>
      <c r="F546" s="52"/>
      <c r="G546" s="56">
        <v>31205305</v>
      </c>
      <c r="H546" s="52"/>
      <c r="I546" s="52"/>
      <c r="J546" s="52"/>
      <c r="K546" s="52"/>
      <c r="L546" s="52"/>
      <c r="M546" s="52"/>
      <c r="N546" s="52"/>
      <c r="O546" s="52"/>
      <c r="P546" s="52"/>
      <c r="Q546" s="52"/>
      <c r="R546" s="52"/>
      <c r="S546" s="52"/>
      <c r="T546" s="52"/>
      <c r="U546" s="52"/>
      <c r="V546" s="52"/>
      <c r="W546" s="52"/>
      <c r="X546" s="52"/>
      <c r="Y546" s="52"/>
      <c r="Z546" s="52"/>
      <c r="AA546" s="52"/>
      <c r="AB546" s="52"/>
    </row>
    <row r="547" spans="1:28" ht="14.25" x14ac:dyDescent="0.2">
      <c r="A547" s="50" t="s">
        <v>63</v>
      </c>
      <c r="B547" s="51" t="s">
        <v>67</v>
      </c>
      <c r="C547" s="51"/>
      <c r="D547" s="52"/>
      <c r="E547" s="51">
        <v>20</v>
      </c>
      <c r="F547" s="52"/>
      <c r="G547" s="53">
        <v>31205306</v>
      </c>
      <c r="H547" s="52"/>
      <c r="I547" s="52"/>
      <c r="J547" s="52"/>
      <c r="K547" s="52"/>
      <c r="L547" s="52"/>
      <c r="M547" s="52"/>
      <c r="N547" s="52"/>
      <c r="O547" s="52"/>
      <c r="P547" s="52"/>
      <c r="Q547" s="52"/>
      <c r="R547" s="52"/>
      <c r="S547" s="52"/>
      <c r="T547" s="52"/>
      <c r="U547" s="52"/>
      <c r="V547" s="52"/>
      <c r="W547" s="52"/>
      <c r="X547" s="52"/>
      <c r="Y547" s="52"/>
      <c r="Z547" s="52"/>
      <c r="AA547" s="52"/>
      <c r="AB547" s="52"/>
    </row>
    <row r="548" spans="1:28" ht="14.25" x14ac:dyDescent="0.2">
      <c r="A548" s="54" t="s">
        <v>63</v>
      </c>
      <c r="B548" s="55" t="s">
        <v>67</v>
      </c>
      <c r="C548" s="55"/>
      <c r="D548" s="52"/>
      <c r="E548" s="55">
        <v>25</v>
      </c>
      <c r="F548" s="52"/>
      <c r="G548" s="56">
        <v>31205307</v>
      </c>
      <c r="H548" s="52"/>
      <c r="I548" s="52"/>
      <c r="J548" s="52"/>
      <c r="K548" s="52"/>
      <c r="L548" s="52"/>
      <c r="M548" s="52"/>
      <c r="N548" s="52"/>
      <c r="O548" s="52"/>
      <c r="P548" s="52"/>
      <c r="Q548" s="52"/>
      <c r="R548" s="52"/>
      <c r="S548" s="52"/>
      <c r="T548" s="52"/>
      <c r="U548" s="52"/>
      <c r="V548" s="52"/>
      <c r="W548" s="52"/>
      <c r="X548" s="52"/>
      <c r="Y548" s="52"/>
      <c r="Z548" s="52"/>
      <c r="AA548" s="52"/>
      <c r="AB548" s="52"/>
    </row>
    <row r="549" spans="1:28" ht="14.25" x14ac:dyDescent="0.2">
      <c r="A549" s="50" t="s">
        <v>63</v>
      </c>
      <c r="B549" s="51" t="s">
        <v>67</v>
      </c>
      <c r="C549" s="51"/>
      <c r="D549" s="52"/>
      <c r="E549" s="51">
        <v>32</v>
      </c>
      <c r="F549" s="52"/>
      <c r="G549" s="53">
        <v>31205308</v>
      </c>
      <c r="H549" s="52"/>
      <c r="I549" s="52"/>
      <c r="J549" s="52"/>
      <c r="K549" s="52"/>
      <c r="L549" s="52"/>
      <c r="M549" s="52"/>
      <c r="N549" s="52"/>
      <c r="O549" s="52"/>
      <c r="P549" s="52"/>
      <c r="Q549" s="52"/>
      <c r="R549" s="52"/>
      <c r="S549" s="52"/>
      <c r="T549" s="52"/>
      <c r="U549" s="52"/>
      <c r="V549" s="52"/>
      <c r="W549" s="52"/>
      <c r="X549" s="52"/>
      <c r="Y549" s="52"/>
      <c r="Z549" s="52"/>
      <c r="AA549" s="52"/>
      <c r="AB549" s="52"/>
    </row>
    <row r="550" spans="1:28" ht="14.25" x14ac:dyDescent="0.2">
      <c r="A550" s="54" t="s">
        <v>63</v>
      </c>
      <c r="B550" s="55" t="s">
        <v>67</v>
      </c>
      <c r="C550" s="55"/>
      <c r="D550" s="52"/>
      <c r="E550" s="55">
        <v>40</v>
      </c>
      <c r="F550" s="52"/>
      <c r="G550" s="56">
        <v>31205309</v>
      </c>
      <c r="H550" s="52"/>
      <c r="I550" s="52"/>
      <c r="J550" s="52"/>
      <c r="K550" s="52"/>
      <c r="L550" s="52"/>
      <c r="M550" s="52"/>
      <c r="N550" s="52"/>
      <c r="O550" s="52"/>
      <c r="P550" s="52"/>
      <c r="Q550" s="52"/>
      <c r="R550" s="52"/>
      <c r="S550" s="52"/>
      <c r="T550" s="52"/>
      <c r="U550" s="52"/>
      <c r="V550" s="52"/>
      <c r="W550" s="52"/>
      <c r="X550" s="52"/>
      <c r="Y550" s="52"/>
      <c r="Z550" s="52"/>
      <c r="AA550" s="52"/>
      <c r="AB550" s="52"/>
    </row>
    <row r="551" spans="1:28" ht="14.25" x14ac:dyDescent="0.2">
      <c r="A551" s="50" t="s">
        <v>63</v>
      </c>
      <c r="B551" s="51" t="s">
        <v>67</v>
      </c>
      <c r="C551" s="51"/>
      <c r="D551" s="52"/>
      <c r="E551" s="51">
        <v>50</v>
      </c>
      <c r="F551" s="52"/>
      <c r="G551" s="53">
        <v>31205310</v>
      </c>
      <c r="H551" s="52"/>
      <c r="I551" s="52"/>
      <c r="J551" s="52"/>
      <c r="K551" s="52"/>
      <c r="L551" s="52"/>
      <c r="M551" s="52"/>
      <c r="N551" s="52"/>
      <c r="O551" s="52"/>
      <c r="P551" s="52"/>
      <c r="Q551" s="52"/>
      <c r="R551" s="52"/>
      <c r="S551" s="52"/>
      <c r="T551" s="52"/>
      <c r="U551" s="52"/>
      <c r="V551" s="52"/>
      <c r="W551" s="52"/>
      <c r="X551" s="52"/>
      <c r="Y551" s="52"/>
      <c r="Z551" s="52"/>
      <c r="AA551" s="52"/>
      <c r="AB551" s="52"/>
    </row>
    <row r="552" spans="1:28" ht="14.25" x14ac:dyDescent="0.2">
      <c r="A552" s="54" t="s">
        <v>63</v>
      </c>
      <c r="B552" s="55" t="s">
        <v>67</v>
      </c>
      <c r="C552" s="55"/>
      <c r="D552" s="52"/>
      <c r="E552" s="55">
        <v>63</v>
      </c>
      <c r="F552" s="52"/>
      <c r="G552" s="56">
        <v>31205311</v>
      </c>
      <c r="H552" s="52"/>
      <c r="I552" s="52"/>
      <c r="J552" s="52"/>
      <c r="K552" s="52"/>
      <c r="L552" s="52"/>
      <c r="M552" s="52"/>
      <c r="N552" s="52"/>
      <c r="O552" s="52"/>
      <c r="P552" s="52"/>
      <c r="Q552" s="52"/>
      <c r="R552" s="52"/>
      <c r="S552" s="52"/>
      <c r="T552" s="52"/>
      <c r="U552" s="52"/>
      <c r="V552" s="52"/>
      <c r="W552" s="52"/>
      <c r="X552" s="52"/>
      <c r="Y552" s="52"/>
      <c r="Z552" s="52"/>
      <c r="AA552" s="52"/>
      <c r="AB552" s="52"/>
    </row>
    <row r="553" spans="1:28" ht="14.25" x14ac:dyDescent="0.2">
      <c r="A553" s="50" t="s">
        <v>63</v>
      </c>
      <c r="B553" s="51" t="s">
        <v>5894</v>
      </c>
      <c r="C553" s="51"/>
      <c r="D553" s="52"/>
      <c r="E553" s="51" t="s">
        <v>5654</v>
      </c>
      <c r="F553" s="52"/>
      <c r="G553" s="53">
        <v>31216305</v>
      </c>
      <c r="H553" s="52"/>
      <c r="I553" s="52"/>
      <c r="J553" s="52"/>
      <c r="K553" s="52"/>
      <c r="L553" s="52"/>
      <c r="M553" s="52"/>
      <c r="N553" s="52"/>
      <c r="O553" s="52"/>
      <c r="P553" s="52"/>
      <c r="Q553" s="52"/>
      <c r="R553" s="52"/>
      <c r="S553" s="52"/>
      <c r="T553" s="52"/>
      <c r="U553" s="52"/>
      <c r="V553" s="52"/>
      <c r="W553" s="52"/>
      <c r="X553" s="52"/>
      <c r="Y553" s="52"/>
      <c r="Z553" s="52"/>
      <c r="AA553" s="52"/>
      <c r="AB553" s="52"/>
    </row>
    <row r="554" spans="1:28" ht="14.25" x14ac:dyDescent="0.2">
      <c r="A554" s="54" t="s">
        <v>63</v>
      </c>
      <c r="B554" s="55" t="s">
        <v>5894</v>
      </c>
      <c r="C554" s="55"/>
      <c r="D554" s="52"/>
      <c r="E554" s="55" t="s">
        <v>5655</v>
      </c>
      <c r="F554" s="52"/>
      <c r="G554" s="56">
        <v>31216306</v>
      </c>
      <c r="H554" s="52"/>
      <c r="I554" s="52"/>
      <c r="J554" s="52"/>
      <c r="K554" s="52"/>
      <c r="L554" s="52"/>
      <c r="M554" s="52"/>
      <c r="N554" s="52"/>
      <c r="O554" s="52"/>
      <c r="P554" s="52"/>
      <c r="Q554" s="52"/>
      <c r="R554" s="52"/>
      <c r="S554" s="52"/>
      <c r="T554" s="52"/>
      <c r="U554" s="52"/>
      <c r="V554" s="52"/>
      <c r="W554" s="52"/>
      <c r="X554" s="52"/>
      <c r="Y554" s="52"/>
      <c r="Z554" s="52"/>
      <c r="AA554" s="52"/>
      <c r="AB554" s="52"/>
    </row>
    <row r="555" spans="1:28" ht="14.25" x14ac:dyDescent="0.2">
      <c r="A555" s="50" t="s">
        <v>63</v>
      </c>
      <c r="B555" s="51" t="s">
        <v>5894</v>
      </c>
      <c r="C555" s="51"/>
      <c r="D555" s="52"/>
      <c r="E555" s="51" t="s">
        <v>5657</v>
      </c>
      <c r="F555" s="52"/>
      <c r="G555" s="53">
        <v>31216307</v>
      </c>
      <c r="H555" s="52"/>
      <c r="I555" s="52"/>
      <c r="J555" s="52"/>
      <c r="K555" s="52"/>
      <c r="L555" s="52"/>
      <c r="M555" s="52"/>
      <c r="N555" s="52"/>
      <c r="O555" s="52"/>
      <c r="P555" s="52"/>
      <c r="Q555" s="52"/>
      <c r="R555" s="52"/>
      <c r="S555" s="52"/>
      <c r="T555" s="52"/>
      <c r="U555" s="52"/>
      <c r="V555" s="52"/>
      <c r="W555" s="52"/>
      <c r="X555" s="52"/>
      <c r="Y555" s="52"/>
      <c r="Z555" s="52"/>
      <c r="AA555" s="52"/>
      <c r="AB555" s="52"/>
    </row>
    <row r="556" spans="1:28" ht="14.25" x14ac:dyDescent="0.2">
      <c r="A556" s="54" t="s">
        <v>63</v>
      </c>
      <c r="B556" s="55" t="s">
        <v>5894</v>
      </c>
      <c r="C556" s="55"/>
      <c r="D556" s="52"/>
      <c r="E556" s="55" t="s">
        <v>5768</v>
      </c>
      <c r="F556" s="52"/>
      <c r="G556" s="56">
        <v>31216308</v>
      </c>
      <c r="H556" s="52"/>
      <c r="I556" s="52"/>
      <c r="J556" s="52"/>
      <c r="K556" s="52"/>
      <c r="L556" s="52"/>
      <c r="M556" s="52"/>
      <c r="N556" s="52"/>
      <c r="O556" s="52"/>
      <c r="P556" s="52"/>
      <c r="Q556" s="52"/>
      <c r="R556" s="52"/>
      <c r="S556" s="52"/>
      <c r="T556" s="52"/>
      <c r="U556" s="52"/>
      <c r="V556" s="52"/>
      <c r="W556" s="52"/>
      <c r="X556" s="52"/>
      <c r="Y556" s="52"/>
      <c r="Z556" s="52"/>
      <c r="AA556" s="52"/>
      <c r="AB556" s="52"/>
    </row>
    <row r="557" spans="1:28" ht="14.25" x14ac:dyDescent="0.2">
      <c r="A557" s="50" t="s">
        <v>63</v>
      </c>
      <c r="B557" s="51" t="s">
        <v>5894</v>
      </c>
      <c r="C557" s="51"/>
      <c r="D557" s="52"/>
      <c r="E557" s="51" t="s">
        <v>5769</v>
      </c>
      <c r="F557" s="52"/>
      <c r="G557" s="53">
        <v>31216309</v>
      </c>
      <c r="H557" s="52"/>
      <c r="I557" s="52"/>
      <c r="J557" s="52"/>
      <c r="K557" s="52"/>
      <c r="L557" s="52"/>
      <c r="M557" s="52"/>
      <c r="N557" s="52"/>
      <c r="O557" s="52"/>
      <c r="P557" s="52"/>
      <c r="Q557" s="52"/>
      <c r="R557" s="52"/>
      <c r="S557" s="52"/>
      <c r="T557" s="52"/>
      <c r="U557" s="52"/>
      <c r="V557" s="52"/>
      <c r="W557" s="52"/>
      <c r="X557" s="52"/>
      <c r="Y557" s="52"/>
      <c r="Z557" s="52"/>
      <c r="AA557" s="52"/>
      <c r="AB557" s="52"/>
    </row>
    <row r="558" spans="1:28" ht="14.25" x14ac:dyDescent="0.2">
      <c r="A558" s="54" t="s">
        <v>63</v>
      </c>
      <c r="B558" s="55" t="s">
        <v>5894</v>
      </c>
      <c r="C558" s="55"/>
      <c r="D558" s="52"/>
      <c r="E558" s="55" t="s">
        <v>5770</v>
      </c>
      <c r="F558" s="52"/>
      <c r="G558" s="56">
        <v>31216310</v>
      </c>
      <c r="H558" s="52"/>
      <c r="I558" s="52"/>
      <c r="J558" s="52"/>
      <c r="K558" s="52"/>
      <c r="L558" s="52"/>
      <c r="M558" s="52"/>
      <c r="N558" s="52"/>
      <c r="O558" s="52"/>
      <c r="P558" s="52"/>
      <c r="Q558" s="52"/>
      <c r="R558" s="52"/>
      <c r="S558" s="52"/>
      <c r="T558" s="52"/>
      <c r="U558" s="52"/>
      <c r="V558" s="52"/>
      <c r="W558" s="52"/>
      <c r="X558" s="52"/>
      <c r="Y558" s="52"/>
      <c r="Z558" s="52"/>
      <c r="AA558" s="52"/>
      <c r="AB558" s="52"/>
    </row>
    <row r="559" spans="1:28" ht="14.25" x14ac:dyDescent="0.2">
      <c r="A559" s="50" t="s">
        <v>63</v>
      </c>
      <c r="B559" s="51" t="s">
        <v>5894</v>
      </c>
      <c r="C559" s="51"/>
      <c r="D559" s="52"/>
      <c r="E559" s="51" t="s">
        <v>5771</v>
      </c>
      <c r="F559" s="52"/>
      <c r="G559" s="53">
        <v>31216311</v>
      </c>
      <c r="H559" s="52"/>
      <c r="I559" s="52"/>
      <c r="J559" s="52"/>
      <c r="K559" s="52"/>
      <c r="L559" s="52"/>
      <c r="M559" s="52"/>
      <c r="N559" s="52"/>
      <c r="O559" s="52"/>
      <c r="P559" s="52"/>
      <c r="Q559" s="52"/>
      <c r="R559" s="52"/>
      <c r="S559" s="52"/>
      <c r="T559" s="52"/>
      <c r="U559" s="52"/>
      <c r="V559" s="52"/>
      <c r="W559" s="52"/>
      <c r="X559" s="52"/>
      <c r="Y559" s="52"/>
      <c r="Z559" s="52"/>
      <c r="AA559" s="52"/>
      <c r="AB559" s="52"/>
    </row>
    <row r="560" spans="1:28" ht="14.25" x14ac:dyDescent="0.2">
      <c r="A560" s="54" t="s">
        <v>63</v>
      </c>
      <c r="B560" s="55" t="s">
        <v>5895</v>
      </c>
      <c r="C560" s="55"/>
      <c r="D560" s="52"/>
      <c r="E560" s="55" t="s">
        <v>5654</v>
      </c>
      <c r="F560" s="52"/>
      <c r="G560" s="56">
        <v>31217305</v>
      </c>
      <c r="H560" s="52"/>
      <c r="I560" s="52"/>
      <c r="J560" s="52"/>
      <c r="K560" s="52"/>
      <c r="L560" s="52"/>
      <c r="M560" s="52"/>
      <c r="N560" s="52"/>
      <c r="O560" s="52"/>
      <c r="P560" s="52"/>
      <c r="Q560" s="52"/>
      <c r="R560" s="52"/>
      <c r="S560" s="52"/>
      <c r="T560" s="52"/>
      <c r="U560" s="52"/>
      <c r="V560" s="52"/>
      <c r="W560" s="52"/>
      <c r="X560" s="52"/>
      <c r="Y560" s="52"/>
      <c r="Z560" s="52"/>
      <c r="AA560" s="52"/>
      <c r="AB560" s="52"/>
    </row>
    <row r="561" spans="1:28" ht="14.25" x14ac:dyDescent="0.2">
      <c r="A561" s="50" t="s">
        <v>63</v>
      </c>
      <c r="B561" s="51" t="s">
        <v>5895</v>
      </c>
      <c r="C561" s="51"/>
      <c r="D561" s="52"/>
      <c r="E561" s="51" t="s">
        <v>5655</v>
      </c>
      <c r="F561" s="52"/>
      <c r="G561" s="53">
        <v>31217306</v>
      </c>
      <c r="H561" s="52"/>
      <c r="I561" s="52"/>
      <c r="J561" s="52"/>
      <c r="K561" s="52"/>
      <c r="L561" s="52"/>
      <c r="M561" s="52"/>
      <c r="N561" s="52"/>
      <c r="O561" s="52"/>
      <c r="P561" s="52"/>
      <c r="Q561" s="52"/>
      <c r="R561" s="52"/>
      <c r="S561" s="52"/>
      <c r="T561" s="52"/>
      <c r="U561" s="52"/>
      <c r="V561" s="52"/>
      <c r="W561" s="52"/>
      <c r="X561" s="52"/>
      <c r="Y561" s="52"/>
      <c r="Z561" s="52"/>
      <c r="AA561" s="52"/>
      <c r="AB561" s="52"/>
    </row>
    <row r="562" spans="1:28" ht="14.25" x14ac:dyDescent="0.2">
      <c r="A562" s="54" t="s">
        <v>63</v>
      </c>
      <c r="B562" s="55" t="s">
        <v>5895</v>
      </c>
      <c r="C562" s="55"/>
      <c r="D562" s="52"/>
      <c r="E562" s="55" t="s">
        <v>5657</v>
      </c>
      <c r="F562" s="52"/>
      <c r="G562" s="56">
        <v>31217307</v>
      </c>
      <c r="H562" s="52"/>
      <c r="I562" s="52"/>
      <c r="J562" s="52"/>
      <c r="K562" s="52"/>
      <c r="L562" s="52"/>
      <c r="M562" s="52"/>
      <c r="N562" s="52"/>
      <c r="O562" s="52"/>
      <c r="P562" s="52"/>
      <c r="Q562" s="52"/>
      <c r="R562" s="52"/>
      <c r="S562" s="52"/>
      <c r="T562" s="52"/>
      <c r="U562" s="52"/>
      <c r="V562" s="52"/>
      <c r="W562" s="52"/>
      <c r="X562" s="52"/>
      <c r="Y562" s="52"/>
      <c r="Z562" s="52"/>
      <c r="AA562" s="52"/>
      <c r="AB562" s="52"/>
    </row>
    <row r="563" spans="1:28" ht="14.25" x14ac:dyDescent="0.2">
      <c r="A563" s="50" t="s">
        <v>63</v>
      </c>
      <c r="B563" s="51" t="s">
        <v>5895</v>
      </c>
      <c r="C563" s="51"/>
      <c r="D563" s="52"/>
      <c r="E563" s="51" t="s">
        <v>5768</v>
      </c>
      <c r="F563" s="52"/>
      <c r="G563" s="53">
        <v>31217308</v>
      </c>
      <c r="H563" s="52"/>
      <c r="I563" s="52"/>
      <c r="J563" s="52"/>
      <c r="K563" s="52"/>
      <c r="L563" s="52"/>
      <c r="M563" s="52"/>
      <c r="N563" s="52"/>
      <c r="O563" s="52"/>
      <c r="P563" s="52"/>
      <c r="Q563" s="52"/>
      <c r="R563" s="52"/>
      <c r="S563" s="52"/>
      <c r="T563" s="52"/>
      <c r="U563" s="52"/>
      <c r="V563" s="52"/>
      <c r="W563" s="52"/>
      <c r="X563" s="52"/>
      <c r="Y563" s="52"/>
      <c r="Z563" s="52"/>
      <c r="AA563" s="52"/>
      <c r="AB563" s="52"/>
    </row>
    <row r="564" spans="1:28" ht="14.25" x14ac:dyDescent="0.2">
      <c r="A564" s="54" t="s">
        <v>63</v>
      </c>
      <c r="B564" s="55" t="s">
        <v>5895</v>
      </c>
      <c r="C564" s="55"/>
      <c r="D564" s="52"/>
      <c r="E564" s="55" t="s">
        <v>5769</v>
      </c>
      <c r="F564" s="52"/>
      <c r="G564" s="56">
        <v>31217309</v>
      </c>
      <c r="H564" s="52"/>
      <c r="I564" s="52"/>
      <c r="J564" s="52"/>
      <c r="K564" s="52"/>
      <c r="L564" s="52"/>
      <c r="M564" s="52"/>
      <c r="N564" s="52"/>
      <c r="O564" s="52"/>
      <c r="P564" s="52"/>
      <c r="Q564" s="52"/>
      <c r="R564" s="52"/>
      <c r="S564" s="52"/>
      <c r="T564" s="52"/>
      <c r="U564" s="52"/>
      <c r="V564" s="52"/>
      <c r="W564" s="52"/>
      <c r="X564" s="52"/>
      <c r="Y564" s="52"/>
      <c r="Z564" s="52"/>
      <c r="AA564" s="52"/>
      <c r="AB564" s="52"/>
    </row>
    <row r="565" spans="1:28" ht="14.25" x14ac:dyDescent="0.2">
      <c r="A565" s="50" t="s">
        <v>63</v>
      </c>
      <c r="B565" s="51" t="s">
        <v>5895</v>
      </c>
      <c r="C565" s="51"/>
      <c r="D565" s="52"/>
      <c r="E565" s="51" t="s">
        <v>5770</v>
      </c>
      <c r="F565" s="52"/>
      <c r="G565" s="53">
        <v>31217310</v>
      </c>
      <c r="H565" s="52"/>
      <c r="I565" s="52"/>
      <c r="J565" s="52"/>
      <c r="K565" s="52"/>
      <c r="L565" s="52"/>
      <c r="M565" s="52"/>
      <c r="N565" s="52"/>
      <c r="O565" s="52"/>
      <c r="P565" s="52"/>
      <c r="Q565" s="52"/>
      <c r="R565" s="52"/>
      <c r="S565" s="52"/>
      <c r="T565" s="52"/>
      <c r="U565" s="52"/>
      <c r="V565" s="52"/>
      <c r="W565" s="52"/>
      <c r="X565" s="52"/>
      <c r="Y565" s="52"/>
      <c r="Z565" s="52"/>
      <c r="AA565" s="52"/>
      <c r="AB565" s="52"/>
    </row>
    <row r="566" spans="1:28" ht="14.25" x14ac:dyDescent="0.2">
      <c r="A566" s="54" t="s">
        <v>63</v>
      </c>
      <c r="B566" s="55" t="s">
        <v>5895</v>
      </c>
      <c r="C566" s="55"/>
      <c r="D566" s="52"/>
      <c r="E566" s="55" t="s">
        <v>5771</v>
      </c>
      <c r="F566" s="52"/>
      <c r="G566" s="56">
        <v>31217311</v>
      </c>
      <c r="H566" s="52"/>
      <c r="I566" s="52"/>
      <c r="J566" s="52"/>
      <c r="K566" s="52"/>
      <c r="L566" s="52"/>
      <c r="M566" s="52"/>
      <c r="N566" s="52"/>
      <c r="O566" s="52"/>
      <c r="P566" s="52"/>
      <c r="Q566" s="52"/>
      <c r="R566" s="52"/>
      <c r="S566" s="52"/>
      <c r="T566" s="52"/>
      <c r="U566" s="52"/>
      <c r="V566" s="52"/>
      <c r="W566" s="52"/>
      <c r="X566" s="52"/>
      <c r="Y566" s="52"/>
      <c r="Z566" s="52"/>
      <c r="AA566" s="52"/>
      <c r="AB566" s="5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AAE7E-44C6-4659-B802-CE6189AB5449}">
  <sheetPr codeName="Feuil10"/>
  <dimension ref="A1:D6"/>
  <sheetViews>
    <sheetView zoomScale="70" zoomScaleNormal="70" workbookViewId="0">
      <selection activeCell="F17" sqref="F17"/>
    </sheetView>
  </sheetViews>
  <sheetFormatPr baseColWidth="10" defaultRowHeight="12.75" x14ac:dyDescent="0.2"/>
  <cols>
    <col min="1" max="1" width="11.42578125" style="130"/>
    <col min="2" max="2" width="19.28515625" style="130" customWidth="1"/>
    <col min="3" max="3" width="11.42578125" style="130"/>
    <col min="4" max="4" width="31.140625" style="130" customWidth="1"/>
    <col min="5" max="16384" width="11.42578125" style="130"/>
  </cols>
  <sheetData>
    <row r="1" spans="1:4" x14ac:dyDescent="0.2">
      <c r="A1" s="130" t="s">
        <v>6304</v>
      </c>
      <c r="B1" s="130" t="s">
        <v>6305</v>
      </c>
      <c r="C1" s="130" t="s">
        <v>6306</v>
      </c>
      <c r="D1" s="130" t="s">
        <v>6307</v>
      </c>
    </row>
    <row r="2" spans="1:4" x14ac:dyDescent="0.2">
      <c r="A2" s="130">
        <v>1</v>
      </c>
      <c r="B2" s="130" t="s">
        <v>653</v>
      </c>
      <c r="C2" s="130">
        <v>1</v>
      </c>
    </row>
    <row r="3" spans="1:4" x14ac:dyDescent="0.2">
      <c r="A3" s="130">
        <v>1</v>
      </c>
      <c r="B3" s="130" t="s">
        <v>3199</v>
      </c>
      <c r="C3" s="130">
        <v>1</v>
      </c>
    </row>
    <row r="4" spans="1:4" x14ac:dyDescent="0.2">
      <c r="A4" s="130">
        <v>1</v>
      </c>
      <c r="B4" s="130" t="s">
        <v>1954</v>
      </c>
      <c r="C4" s="130">
        <v>1</v>
      </c>
    </row>
    <row r="5" spans="1:4" x14ac:dyDescent="0.2">
      <c r="A5" s="130">
        <v>2</v>
      </c>
      <c r="B5" s="130" t="s">
        <v>1920</v>
      </c>
      <c r="C5" s="130">
        <v>1</v>
      </c>
    </row>
    <row r="6" spans="1:4" x14ac:dyDescent="0.2">
      <c r="A6" s="130">
        <v>2</v>
      </c>
      <c r="B6" s="130" t="s">
        <v>3182</v>
      </c>
      <c r="C6" s="1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odule1.AjoutListe">
                <anchor moveWithCells="1" sizeWithCells="1">
                  <from>
                    <xdr:col>4</xdr:col>
                    <xdr:colOff>76200</xdr:colOff>
                    <xdr:row>0</xdr:row>
                    <xdr:rowOff>57150</xdr:rowOff>
                  </from>
                  <to>
                    <xdr:col>5</xdr:col>
                    <xdr:colOff>666750</xdr:colOff>
                    <xdr:row>3</xdr:row>
                    <xdr:rowOff>38100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4D5CA-D1EC-4B13-B511-11B998B7AB15}">
  <sheetPr codeName="Feuil11"/>
  <dimension ref="A1:AD40"/>
  <sheetViews>
    <sheetView zoomScaleNormal="100" workbookViewId="0">
      <selection activeCell="H30" sqref="H30"/>
    </sheetView>
  </sheetViews>
  <sheetFormatPr baseColWidth="10" defaultRowHeight="12.75" x14ac:dyDescent="0.2"/>
  <cols>
    <col min="1" max="1" width="9.140625" bestFit="1" customWidth="1"/>
    <col min="2" max="2" width="12.28515625" bestFit="1" customWidth="1"/>
    <col min="3" max="3" width="6.85546875" bestFit="1" customWidth="1"/>
    <col min="4" max="4" width="11.42578125" bestFit="1" customWidth="1"/>
    <col min="5" max="5" width="7.7109375" customWidth="1"/>
    <col min="6" max="6" width="13.42578125" bestFit="1" customWidth="1"/>
    <col min="7" max="7" width="27.140625" bestFit="1" customWidth="1"/>
    <col min="9" max="9" width="18.42578125" bestFit="1" customWidth="1"/>
    <col min="12" max="12" width="13.28515625" bestFit="1" customWidth="1"/>
    <col min="13" max="13" width="46.7109375" customWidth="1"/>
  </cols>
  <sheetData>
    <row r="1" spans="1:30" ht="13.5" thickBot="1" x14ac:dyDescent="0.25">
      <c r="Q1" t="s">
        <v>6351</v>
      </c>
    </row>
    <row r="2" spans="1:30" ht="13.5" thickBot="1" x14ac:dyDescent="0.25">
      <c r="A2" s="131" t="s">
        <v>6314</v>
      </c>
      <c r="B2" s="132" t="s">
        <v>6315</v>
      </c>
      <c r="C2" s="133"/>
      <c r="D2" s="133" t="s">
        <v>6316</v>
      </c>
      <c r="E2" s="133" t="s">
        <v>6317</v>
      </c>
      <c r="L2" s="1" t="s">
        <v>6342</v>
      </c>
      <c r="M2" s="1" t="s">
        <v>14</v>
      </c>
      <c r="N2" s="1"/>
      <c r="O2" s="1"/>
      <c r="P2" s="1"/>
      <c r="Q2" t="s">
        <v>6352</v>
      </c>
    </row>
    <row r="3" spans="1:30" ht="13.5" thickBot="1" x14ac:dyDescent="0.25">
      <c r="A3" s="170" t="s">
        <v>6318</v>
      </c>
      <c r="B3" s="134" t="s">
        <v>6319</v>
      </c>
      <c r="C3" s="135" t="s">
        <v>6320</v>
      </c>
      <c r="D3" s="135"/>
      <c r="E3" s="136"/>
      <c r="F3" s="1" t="s">
        <v>6339</v>
      </c>
      <c r="G3" s="151" t="s">
        <v>6479</v>
      </c>
      <c r="H3" s="152">
        <v>100</v>
      </c>
      <c r="I3" s="1" t="s">
        <v>66</v>
      </c>
      <c r="J3" s="1" t="s">
        <v>6347</v>
      </c>
      <c r="K3" s="1">
        <f>MROUND(H3*L3,6)+2*6</f>
        <v>120</v>
      </c>
      <c r="L3">
        <v>1.05</v>
      </c>
      <c r="M3" s="1" t="s">
        <v>6343</v>
      </c>
      <c r="N3" s="1"/>
      <c r="O3" s="1"/>
      <c r="P3" s="1"/>
      <c r="Q3" t="s">
        <v>6353</v>
      </c>
    </row>
    <row r="4" spans="1:30" ht="23.25" x14ac:dyDescent="0.35">
      <c r="A4" s="171"/>
      <c r="B4" s="137"/>
      <c r="C4" s="7" t="s">
        <v>6321</v>
      </c>
      <c r="D4" s="7"/>
      <c r="E4" s="138"/>
      <c r="G4" s="1" t="s">
        <v>6335</v>
      </c>
      <c r="H4" s="161"/>
      <c r="I4" s="1" t="s">
        <v>6340</v>
      </c>
      <c r="J4" s="1" t="s">
        <v>1828</v>
      </c>
      <c r="K4" s="1">
        <f>K3/6-1-ROUNDDOWN(0.8*(K11+K12+K13),0)+L4</f>
        <v>10</v>
      </c>
      <c r="M4" s="1" t="s">
        <v>6355</v>
      </c>
      <c r="N4" s="1"/>
      <c r="O4" s="1"/>
      <c r="Q4" s="142" t="s">
        <v>6333</v>
      </c>
      <c r="R4" s="173" t="s">
        <v>6334</v>
      </c>
      <c r="S4" s="173"/>
      <c r="T4" s="173"/>
      <c r="U4" s="173"/>
      <c r="V4" s="173"/>
      <c r="W4" s="173"/>
      <c r="X4" s="173"/>
      <c r="Y4" s="173"/>
      <c r="Z4" s="173"/>
      <c r="AA4" s="173"/>
      <c r="AB4" s="173"/>
      <c r="AC4" s="174"/>
    </row>
    <row r="5" spans="1:30" ht="13.5" thickBot="1" x14ac:dyDescent="0.25">
      <c r="A5" s="171"/>
      <c r="B5" s="139"/>
      <c r="C5" s="140" t="s">
        <v>6322</v>
      </c>
      <c r="D5" s="140"/>
      <c r="E5" s="141"/>
      <c r="G5" s="1" t="s">
        <v>6480</v>
      </c>
      <c r="H5" s="161"/>
      <c r="I5" s="1" t="s">
        <v>4671</v>
      </c>
      <c r="J5" s="1" t="s">
        <v>6470</v>
      </c>
      <c r="K5">
        <f>K3/L5</f>
        <v>60</v>
      </c>
      <c r="L5">
        <v>2</v>
      </c>
      <c r="M5" s="1" t="s">
        <v>6354</v>
      </c>
      <c r="Q5" s="143" t="s">
        <v>6335</v>
      </c>
      <c r="R5" s="7" t="s">
        <v>3515</v>
      </c>
      <c r="S5" s="7" t="s">
        <v>1666</v>
      </c>
      <c r="T5" s="7" t="s">
        <v>1671</v>
      </c>
      <c r="U5" s="7" t="s">
        <v>1674</v>
      </c>
      <c r="V5" s="7" t="s">
        <v>1677</v>
      </c>
      <c r="W5" s="7" t="s">
        <v>340</v>
      </c>
      <c r="X5" s="7" t="s">
        <v>1682</v>
      </c>
      <c r="Y5" s="7" t="s">
        <v>625</v>
      </c>
      <c r="Z5" s="7" t="s">
        <v>627</v>
      </c>
      <c r="AA5" s="7" t="s">
        <v>629</v>
      </c>
      <c r="AB5" s="7" t="s">
        <v>630</v>
      </c>
      <c r="AC5" s="144" t="s">
        <v>631</v>
      </c>
    </row>
    <row r="6" spans="1:30" x14ac:dyDescent="0.2">
      <c r="A6" s="171"/>
      <c r="B6" s="134" t="s">
        <v>6323</v>
      </c>
      <c r="C6" s="135" t="s">
        <v>6320</v>
      </c>
      <c r="D6" s="135"/>
      <c r="E6" s="136"/>
      <c r="F6" s="1" t="s">
        <v>356</v>
      </c>
      <c r="G6" s="1"/>
      <c r="I6" s="1" t="s">
        <v>6350</v>
      </c>
      <c r="J6">
        <v>41092</v>
      </c>
      <c r="K6">
        <f>K5</f>
        <v>60</v>
      </c>
      <c r="L6">
        <v>2</v>
      </c>
      <c r="M6" s="1" t="s">
        <v>6354</v>
      </c>
      <c r="Q6" s="143" t="s">
        <v>6336</v>
      </c>
      <c r="R6" s="145">
        <v>6</v>
      </c>
      <c r="S6" s="145">
        <v>6</v>
      </c>
      <c r="T6" s="145">
        <v>6</v>
      </c>
      <c r="U6" s="145">
        <v>6</v>
      </c>
      <c r="V6" s="145">
        <v>6</v>
      </c>
      <c r="W6" s="145">
        <v>5.5</v>
      </c>
      <c r="X6" s="145">
        <v>5.5</v>
      </c>
      <c r="Y6" s="145">
        <v>5</v>
      </c>
      <c r="Z6" s="145">
        <v>5</v>
      </c>
      <c r="AA6" s="145">
        <v>5</v>
      </c>
      <c r="AB6" s="145"/>
      <c r="AC6" s="146"/>
    </row>
    <row r="7" spans="1:30" ht="15" x14ac:dyDescent="0.25">
      <c r="A7" s="171"/>
      <c r="B7" s="137"/>
      <c r="C7" s="7" t="s">
        <v>6321</v>
      </c>
      <c r="D7" s="7"/>
      <c r="E7" s="138"/>
      <c r="I7" s="1" t="s">
        <v>6489</v>
      </c>
      <c r="J7">
        <v>115166</v>
      </c>
      <c r="K7">
        <f>K40</f>
        <v>0</v>
      </c>
      <c r="Q7" s="143" t="s">
        <v>6337</v>
      </c>
      <c r="R7" s="147">
        <v>4.5</v>
      </c>
      <c r="S7" s="145">
        <v>4.5</v>
      </c>
      <c r="T7" s="145">
        <v>4.5</v>
      </c>
      <c r="U7" s="145">
        <v>4.5</v>
      </c>
      <c r="V7" s="145">
        <v>4.5</v>
      </c>
      <c r="W7" s="145">
        <v>4</v>
      </c>
      <c r="X7" s="145">
        <v>4</v>
      </c>
      <c r="Y7" s="145">
        <v>3.5</v>
      </c>
      <c r="Z7" s="145">
        <v>3.5</v>
      </c>
      <c r="AA7" s="145">
        <v>3.5</v>
      </c>
      <c r="AB7" s="145"/>
      <c r="AC7" s="146"/>
    </row>
    <row r="8" spans="1:30" ht="15.75" thickBot="1" x14ac:dyDescent="0.3">
      <c r="A8" s="171"/>
      <c r="C8" s="140" t="s">
        <v>6322</v>
      </c>
      <c r="D8" s="140"/>
      <c r="E8" s="141"/>
      <c r="I8" s="1" t="s">
        <v>6493</v>
      </c>
      <c r="J8">
        <v>29645</v>
      </c>
      <c r="Q8" s="148" t="s">
        <v>6338</v>
      </c>
      <c r="R8" s="149">
        <v>4</v>
      </c>
      <c r="S8" s="149">
        <v>4</v>
      </c>
      <c r="T8" s="149">
        <v>4</v>
      </c>
      <c r="U8" s="149">
        <v>4</v>
      </c>
      <c r="V8" s="149">
        <v>4</v>
      </c>
      <c r="W8" s="149">
        <v>3.5</v>
      </c>
      <c r="X8" s="149">
        <v>3.5</v>
      </c>
      <c r="Y8" s="149">
        <v>3</v>
      </c>
      <c r="Z8" s="149">
        <v>3</v>
      </c>
      <c r="AA8" s="149">
        <v>3</v>
      </c>
      <c r="AB8" s="149"/>
      <c r="AC8" s="150"/>
    </row>
    <row r="9" spans="1:30" x14ac:dyDescent="0.2">
      <c r="A9" s="171"/>
      <c r="B9" s="134" t="s">
        <v>6324</v>
      </c>
      <c r="C9" s="135" t="s">
        <v>6320</v>
      </c>
      <c r="D9" s="135"/>
      <c r="E9" s="136"/>
      <c r="I9" s="1" t="s">
        <v>6504</v>
      </c>
      <c r="J9">
        <v>35351</v>
      </c>
    </row>
    <row r="10" spans="1:30" ht="13.5" thickBot="1" x14ac:dyDescent="0.25">
      <c r="A10" s="171"/>
      <c r="B10" s="137"/>
      <c r="C10" s="7" t="s">
        <v>6321</v>
      </c>
      <c r="D10" s="7"/>
      <c r="E10" s="138"/>
    </row>
    <row r="11" spans="1:30" ht="24" thickBot="1" x14ac:dyDescent="0.4">
      <c r="A11" s="171"/>
      <c r="B11" s="139"/>
      <c r="C11" s="140" t="s">
        <v>6322</v>
      </c>
      <c r="D11" s="140"/>
      <c r="E11" s="141"/>
      <c r="F11" s="1" t="s">
        <v>6311</v>
      </c>
      <c r="G11" s="1"/>
      <c r="H11" s="152">
        <v>4</v>
      </c>
      <c r="I11" s="151" t="s">
        <v>6311</v>
      </c>
      <c r="J11" s="151"/>
      <c r="Q11" s="142" t="s">
        <v>6333</v>
      </c>
      <c r="R11" s="175" t="s">
        <v>6349</v>
      </c>
      <c r="S11" s="176"/>
      <c r="T11" s="176"/>
      <c r="U11" s="176"/>
      <c r="V11" s="176"/>
      <c r="W11" s="176"/>
      <c r="X11" s="176"/>
      <c r="Y11" s="176"/>
      <c r="Z11" s="176"/>
      <c r="AA11" s="176"/>
      <c r="AB11" s="176"/>
      <c r="AC11" s="176"/>
      <c r="AD11" s="177"/>
    </row>
    <row r="12" spans="1:30" x14ac:dyDescent="0.2">
      <c r="A12" s="171"/>
      <c r="B12" s="134" t="s">
        <v>6325</v>
      </c>
      <c r="C12" s="135" t="s">
        <v>6320</v>
      </c>
      <c r="D12" s="135"/>
      <c r="E12" s="136"/>
      <c r="F12" s="1" t="s">
        <v>6341</v>
      </c>
      <c r="G12" s="1"/>
      <c r="H12" s="152">
        <v>4</v>
      </c>
      <c r="I12" s="151" t="s">
        <v>6341</v>
      </c>
      <c r="J12" s="151"/>
      <c r="Q12" s="156" t="s">
        <v>6335</v>
      </c>
      <c r="R12" s="11" t="s">
        <v>3515</v>
      </c>
      <c r="S12" s="11" t="s">
        <v>1666</v>
      </c>
      <c r="T12" s="11" t="s">
        <v>1671</v>
      </c>
      <c r="U12" s="11" t="s">
        <v>1674</v>
      </c>
      <c r="V12" s="11" t="s">
        <v>1677</v>
      </c>
      <c r="W12" s="11" t="s">
        <v>340</v>
      </c>
      <c r="X12" s="11" t="s">
        <v>1682</v>
      </c>
      <c r="Y12" s="11" t="s">
        <v>625</v>
      </c>
      <c r="Z12" s="11" t="s">
        <v>627</v>
      </c>
      <c r="AA12" s="11" t="s">
        <v>629</v>
      </c>
      <c r="AB12" s="11" t="s">
        <v>630</v>
      </c>
      <c r="AC12" s="11" t="s">
        <v>631</v>
      </c>
      <c r="AD12" s="157" t="s">
        <v>554</v>
      </c>
    </row>
    <row r="13" spans="1:30" x14ac:dyDescent="0.2">
      <c r="A13" s="171"/>
      <c r="B13" s="137"/>
      <c r="C13" s="7" t="s">
        <v>6321</v>
      </c>
      <c r="D13" s="7"/>
      <c r="E13" s="138"/>
      <c r="F13" s="1" t="s">
        <v>4008</v>
      </c>
      <c r="G13" s="1"/>
      <c r="H13" s="152">
        <v>12</v>
      </c>
      <c r="I13" s="1" t="s">
        <v>3500</v>
      </c>
      <c r="J13" s="151" t="s">
        <v>6473</v>
      </c>
      <c r="K13">
        <f>L13*H13</f>
        <v>12</v>
      </c>
      <c r="L13">
        <v>1</v>
      </c>
      <c r="M13" s="1" t="s">
        <v>6485</v>
      </c>
      <c r="Q13" s="143" t="s">
        <v>6336</v>
      </c>
      <c r="R13" s="145">
        <v>5.0999999999999996</v>
      </c>
      <c r="S13" s="145">
        <v>5.0999999999999996</v>
      </c>
      <c r="T13" s="145">
        <v>5.0999999999999996</v>
      </c>
      <c r="U13" s="145">
        <v>5.0999999999999996</v>
      </c>
      <c r="V13" s="145">
        <v>5.0999999999999996</v>
      </c>
      <c r="W13" s="145">
        <v>4.7</v>
      </c>
      <c r="X13" s="145">
        <v>4.7</v>
      </c>
      <c r="Y13" s="145">
        <v>4.7</v>
      </c>
      <c r="Z13" s="145">
        <v>4.25</v>
      </c>
      <c r="AA13" s="145">
        <v>4.25</v>
      </c>
      <c r="AB13" s="145">
        <v>4</v>
      </c>
      <c r="AC13" s="145">
        <v>3.5</v>
      </c>
      <c r="AD13" s="146">
        <v>3.5</v>
      </c>
    </row>
    <row r="14" spans="1:30" ht="15.75" thickBot="1" x14ac:dyDescent="0.3">
      <c r="A14" s="171"/>
      <c r="B14" s="139"/>
      <c r="C14" s="140" t="s">
        <v>6322</v>
      </c>
      <c r="D14" s="140"/>
      <c r="E14" s="141"/>
      <c r="I14" s="1" t="s">
        <v>4002</v>
      </c>
      <c r="J14" s="1" t="s">
        <v>6472</v>
      </c>
      <c r="K14">
        <f>H13*L14</f>
        <v>24</v>
      </c>
      <c r="L14">
        <v>2</v>
      </c>
      <c r="M14" s="1" t="s">
        <v>6471</v>
      </c>
      <c r="Q14" s="143" t="s">
        <v>6337</v>
      </c>
      <c r="R14" s="147">
        <v>3.8</v>
      </c>
      <c r="S14" s="147">
        <v>3.8</v>
      </c>
      <c r="T14" s="147">
        <v>3.8</v>
      </c>
      <c r="U14" s="147">
        <v>3.8</v>
      </c>
      <c r="V14" s="147">
        <v>3.8</v>
      </c>
      <c r="W14" s="145">
        <v>3.4</v>
      </c>
      <c r="X14" s="145">
        <v>3.4</v>
      </c>
      <c r="Y14" s="145">
        <v>3</v>
      </c>
      <c r="Z14" s="145">
        <v>3</v>
      </c>
      <c r="AA14" s="145">
        <v>3</v>
      </c>
      <c r="AB14" s="145">
        <v>2.7</v>
      </c>
      <c r="AC14" s="145">
        <v>2.5</v>
      </c>
      <c r="AD14" s="146">
        <v>2.5</v>
      </c>
    </row>
    <row r="15" spans="1:30" ht="15.75" thickBot="1" x14ac:dyDescent="0.3">
      <c r="A15" s="171"/>
      <c r="B15" s="134" t="s">
        <v>6326</v>
      </c>
      <c r="C15" s="135" t="s">
        <v>6320</v>
      </c>
      <c r="D15" s="135"/>
      <c r="E15" s="136"/>
      <c r="I15" s="1" t="s">
        <v>3556</v>
      </c>
      <c r="J15" s="1" t="s">
        <v>623</v>
      </c>
      <c r="K15">
        <f>H13*8*2</f>
        <v>192</v>
      </c>
      <c r="M15" s="1" t="s">
        <v>6486</v>
      </c>
      <c r="Q15" s="158" t="s">
        <v>6338</v>
      </c>
      <c r="R15" s="159">
        <v>3.4</v>
      </c>
      <c r="S15" s="159">
        <v>3.4</v>
      </c>
      <c r="T15" s="159">
        <v>3.4</v>
      </c>
      <c r="U15" s="159">
        <v>3.4</v>
      </c>
      <c r="V15" s="159">
        <v>3.4</v>
      </c>
      <c r="W15" s="159">
        <v>3</v>
      </c>
      <c r="X15" s="159">
        <v>3</v>
      </c>
      <c r="Y15" s="159">
        <v>2.6</v>
      </c>
      <c r="Z15" s="159">
        <v>2.6</v>
      </c>
      <c r="AA15" s="159">
        <v>2.6</v>
      </c>
      <c r="AB15" s="159">
        <v>2.2999999999999998</v>
      </c>
      <c r="AC15" s="159">
        <v>2</v>
      </c>
      <c r="AD15" s="160">
        <v>2</v>
      </c>
    </row>
    <row r="16" spans="1:30" x14ac:dyDescent="0.2">
      <c r="A16" s="171"/>
      <c r="B16" s="137"/>
      <c r="C16" s="7" t="s">
        <v>6321</v>
      </c>
      <c r="D16" s="7"/>
      <c r="E16" s="138"/>
      <c r="F16" s="1" t="s">
        <v>6344</v>
      </c>
      <c r="G16" s="1"/>
      <c r="H16" s="161"/>
      <c r="I16" s="1" t="s">
        <v>6346</v>
      </c>
      <c r="J16" s="1" t="s">
        <v>6474</v>
      </c>
      <c r="K16">
        <f>H16</f>
        <v>0</v>
      </c>
    </row>
    <row r="17" spans="1:13" ht="13.5" thickBot="1" x14ac:dyDescent="0.25">
      <c r="A17" s="171"/>
      <c r="B17" s="139"/>
      <c r="C17" s="140" t="s">
        <v>6322</v>
      </c>
      <c r="D17" s="140"/>
      <c r="E17" s="141"/>
      <c r="I17" s="1" t="s">
        <v>6345</v>
      </c>
      <c r="J17" s="1" t="s">
        <v>6475</v>
      </c>
      <c r="K17">
        <f>K16*L17</f>
        <v>0</v>
      </c>
      <c r="L17">
        <v>2</v>
      </c>
      <c r="M17" s="1" t="s">
        <v>6487</v>
      </c>
    </row>
    <row r="18" spans="1:13" x14ac:dyDescent="0.2">
      <c r="A18" s="171"/>
      <c r="B18" s="134" t="s">
        <v>6327</v>
      </c>
      <c r="C18" s="135" t="s">
        <v>6320</v>
      </c>
      <c r="D18" s="135"/>
      <c r="E18" s="136"/>
    </row>
    <row r="19" spans="1:13" x14ac:dyDescent="0.2">
      <c r="A19" s="171"/>
      <c r="B19" s="137"/>
      <c r="C19" s="7" t="s">
        <v>6321</v>
      </c>
      <c r="D19" s="7"/>
      <c r="E19" s="138"/>
    </row>
    <row r="20" spans="1:13" ht="13.5" thickBot="1" x14ac:dyDescent="0.25">
      <c r="A20" s="171"/>
      <c r="B20" s="139"/>
      <c r="C20" s="140" t="s">
        <v>6322</v>
      </c>
      <c r="D20" s="140"/>
      <c r="E20" s="141"/>
    </row>
    <row r="21" spans="1:13" x14ac:dyDescent="0.2">
      <c r="A21" s="171"/>
      <c r="B21" s="134" t="s">
        <v>6328</v>
      </c>
      <c r="C21" s="135" t="s">
        <v>6320</v>
      </c>
      <c r="D21" s="135"/>
      <c r="E21" s="136"/>
    </row>
    <row r="22" spans="1:13" x14ac:dyDescent="0.2">
      <c r="A22" s="171"/>
      <c r="B22" s="137"/>
      <c r="C22" s="7" t="s">
        <v>6321</v>
      </c>
      <c r="D22" s="7"/>
      <c r="E22" s="138"/>
    </row>
    <row r="23" spans="1:13" ht="13.5" thickBot="1" x14ac:dyDescent="0.25">
      <c r="A23" s="171"/>
      <c r="B23" s="139"/>
      <c r="C23" s="140" t="s">
        <v>6322</v>
      </c>
      <c r="D23" s="140"/>
      <c r="E23" s="141"/>
      <c r="F23" s="1" t="s">
        <v>6491</v>
      </c>
      <c r="G23" s="1" t="s">
        <v>6492</v>
      </c>
      <c r="H23" s="161">
        <v>60</v>
      </c>
      <c r="I23" s="1" t="s">
        <v>5518</v>
      </c>
      <c r="J23" s="1" t="s">
        <v>5518</v>
      </c>
      <c r="K23">
        <f>H23*L23</f>
        <v>66</v>
      </c>
      <c r="L23">
        <v>1.1000000000000001</v>
      </c>
      <c r="M23" s="1" t="s">
        <v>6495</v>
      </c>
    </row>
    <row r="24" spans="1:13" x14ac:dyDescent="0.2">
      <c r="A24" s="171"/>
      <c r="B24" t="s">
        <v>6329</v>
      </c>
      <c r="C24" s="135" t="s">
        <v>6320</v>
      </c>
      <c r="D24" s="135"/>
      <c r="E24" s="136"/>
      <c r="I24" s="1" t="s">
        <v>6498</v>
      </c>
      <c r="K24">
        <f>ROUNDUP(K23/(10-K28),0)</f>
        <v>12</v>
      </c>
      <c r="L24">
        <v>10</v>
      </c>
      <c r="M24" s="1" t="s">
        <v>6500</v>
      </c>
    </row>
    <row r="25" spans="1:13" x14ac:dyDescent="0.2">
      <c r="A25" s="171"/>
      <c r="B25" s="137"/>
      <c r="C25" s="7" t="s">
        <v>6321</v>
      </c>
      <c r="D25" s="7"/>
      <c r="E25" s="138"/>
      <c r="I25" s="1" t="s">
        <v>5520</v>
      </c>
      <c r="J25" s="1" t="s">
        <v>5520</v>
      </c>
      <c r="K25">
        <f>K24*L25+K26</f>
        <v>21</v>
      </c>
      <c r="L25">
        <v>1</v>
      </c>
      <c r="M25" s="1" t="s">
        <v>6501</v>
      </c>
    </row>
    <row r="26" spans="1:13" ht="13.5" thickBot="1" x14ac:dyDescent="0.25">
      <c r="A26" s="171"/>
      <c r="B26" s="139"/>
      <c r="C26" s="140" t="s">
        <v>6322</v>
      </c>
      <c r="D26" s="140"/>
      <c r="E26" s="141"/>
      <c r="I26" s="1" t="s">
        <v>5521</v>
      </c>
      <c r="J26" s="1" t="s">
        <v>5521</v>
      </c>
      <c r="K26">
        <f>IF(OR(H27&lt;125,K28&lt;3),0,MOD(K24,5)-1+ROUNDDOWN(K24/5,0)*4)</f>
        <v>9</v>
      </c>
      <c r="M26" s="1" t="s">
        <v>6499</v>
      </c>
    </row>
    <row r="27" spans="1:13" x14ac:dyDescent="0.2">
      <c r="A27" s="171"/>
      <c r="B27" t="s">
        <v>6330</v>
      </c>
      <c r="C27" s="135" t="s">
        <v>6320</v>
      </c>
      <c r="D27" s="135"/>
      <c r="E27" s="136"/>
      <c r="G27" s="1" t="s">
        <v>6496</v>
      </c>
      <c r="H27" s="161">
        <v>125</v>
      </c>
      <c r="I27" s="1" t="s">
        <v>5519</v>
      </c>
      <c r="J27" s="1" t="s">
        <v>5519</v>
      </c>
      <c r="K27">
        <f>H27*K24</f>
        <v>1500</v>
      </c>
    </row>
    <row r="28" spans="1:13" x14ac:dyDescent="0.2">
      <c r="A28" s="171"/>
      <c r="B28" s="137"/>
      <c r="C28" s="7" t="s">
        <v>6321</v>
      </c>
      <c r="D28" s="7"/>
      <c r="E28" s="138"/>
      <c r="I28" s="1" t="s">
        <v>6494</v>
      </c>
      <c r="J28" s="1" t="s">
        <v>6494</v>
      </c>
      <c r="K28">
        <f>H27*2/60</f>
        <v>4.166666666666667</v>
      </c>
      <c r="L28">
        <v>60</v>
      </c>
      <c r="M28" s="1" t="s">
        <v>6497</v>
      </c>
    </row>
    <row r="29" spans="1:13" ht="15.75" thickBot="1" x14ac:dyDescent="0.3">
      <c r="A29" s="171"/>
      <c r="B29" s="139"/>
      <c r="C29" s="140" t="s">
        <v>6322</v>
      </c>
      <c r="D29" s="140"/>
      <c r="E29" s="141"/>
      <c r="M29" s="168" t="s">
        <v>6502</v>
      </c>
    </row>
    <row r="30" spans="1:13" x14ac:dyDescent="0.2">
      <c r="A30" s="171"/>
      <c r="B30" t="s">
        <v>6331</v>
      </c>
      <c r="C30" s="135" t="s">
        <v>6320</v>
      </c>
      <c r="D30" s="135"/>
      <c r="E30" s="136"/>
      <c r="M30" s="169" t="s">
        <v>6503</v>
      </c>
    </row>
    <row r="31" spans="1:13" x14ac:dyDescent="0.2">
      <c r="A31" s="171"/>
      <c r="B31" s="137"/>
      <c r="C31" s="7" t="s">
        <v>6321</v>
      </c>
      <c r="D31" s="7"/>
      <c r="E31" s="138"/>
    </row>
    <row r="32" spans="1:13" ht="13.5" thickBot="1" x14ac:dyDescent="0.25">
      <c r="A32" s="172"/>
      <c r="B32" s="139"/>
      <c r="C32" s="140" t="s">
        <v>6322</v>
      </c>
      <c r="D32" s="140"/>
      <c r="E32" s="141"/>
    </row>
    <row r="33" spans="2:13" x14ac:dyDescent="0.2">
      <c r="F33" s="1" t="s">
        <v>6476</v>
      </c>
      <c r="G33" s="1" t="s">
        <v>6306</v>
      </c>
      <c r="H33" s="161"/>
      <c r="I33" s="1" t="s">
        <v>1605</v>
      </c>
      <c r="J33" s="1" t="s">
        <v>1989</v>
      </c>
      <c r="K33">
        <f>$H$33*L33</f>
        <v>0</v>
      </c>
      <c r="L33">
        <v>1</v>
      </c>
    </row>
    <row r="34" spans="2:13" x14ac:dyDescent="0.2">
      <c r="B34" t="s">
        <v>6332</v>
      </c>
      <c r="G34" s="1" t="s">
        <v>6482</v>
      </c>
      <c r="H34" s="161"/>
      <c r="I34" s="1" t="s">
        <v>3496</v>
      </c>
      <c r="J34" s="1" t="s">
        <v>1769</v>
      </c>
      <c r="K34">
        <f>$H$33*L34</f>
        <v>0</v>
      </c>
      <c r="L34">
        <v>1</v>
      </c>
    </row>
    <row r="35" spans="2:13" x14ac:dyDescent="0.2">
      <c r="G35" s="1" t="s">
        <v>6481</v>
      </c>
      <c r="H35" s="161"/>
      <c r="I35" s="1" t="s">
        <v>3495</v>
      </c>
      <c r="J35" s="1" t="s">
        <v>6310</v>
      </c>
      <c r="K35">
        <f>$H$33*L35</f>
        <v>0</v>
      </c>
      <c r="L35">
        <v>1</v>
      </c>
    </row>
    <row r="36" spans="2:13" x14ac:dyDescent="0.2">
      <c r="I36" s="1" t="s">
        <v>6477</v>
      </c>
      <c r="J36" s="1" t="s">
        <v>6478</v>
      </c>
      <c r="K36">
        <f>$H$33*L36</f>
        <v>0</v>
      </c>
      <c r="L36">
        <v>1</v>
      </c>
    </row>
    <row r="37" spans="2:13" x14ac:dyDescent="0.2">
      <c r="I37" s="1" t="s">
        <v>3500</v>
      </c>
      <c r="J37" s="1" t="s">
        <v>3180</v>
      </c>
      <c r="K37">
        <f>$H$33*L37</f>
        <v>0</v>
      </c>
      <c r="L37">
        <v>1</v>
      </c>
    </row>
    <row r="38" spans="2:13" x14ac:dyDescent="0.2">
      <c r="I38" s="1" t="s">
        <v>66</v>
      </c>
      <c r="J38" s="1" t="s">
        <v>2031</v>
      </c>
      <c r="K38">
        <f>MROUND(H35,6)</f>
        <v>0</v>
      </c>
      <c r="M38" s="1" t="s">
        <v>6488</v>
      </c>
    </row>
    <row r="39" spans="2:13" x14ac:dyDescent="0.2">
      <c r="I39" s="1" t="s">
        <v>4671</v>
      </c>
      <c r="J39" s="1" t="s">
        <v>6483</v>
      </c>
      <c r="K39">
        <f>IF(H34&gt;18,H33*2,H33*3)</f>
        <v>0</v>
      </c>
      <c r="M39" s="1" t="s">
        <v>6484</v>
      </c>
    </row>
    <row r="40" spans="2:13" x14ac:dyDescent="0.2">
      <c r="G40" s="1"/>
      <c r="I40" s="1" t="s">
        <v>6350</v>
      </c>
      <c r="J40" s="1" t="s">
        <v>519</v>
      </c>
      <c r="K40">
        <f>K39</f>
        <v>0</v>
      </c>
      <c r="L40">
        <v>3</v>
      </c>
      <c r="M40" s="1" t="s">
        <v>6484</v>
      </c>
    </row>
  </sheetData>
  <mergeCells count="3">
    <mergeCell ref="A3:A32"/>
    <mergeCell ref="R4:AC4"/>
    <mergeCell ref="R11:AD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B8BAE-8918-4026-9688-810E43D8D915}">
  <sheetPr codeName="Feuil9"/>
  <dimension ref="A2:T26"/>
  <sheetViews>
    <sheetView topLeftCell="A2" workbookViewId="0">
      <selection activeCell="F27" sqref="F27"/>
    </sheetView>
  </sheetViews>
  <sheetFormatPr baseColWidth="10" defaultRowHeight="12.75" x14ac:dyDescent="0.2"/>
  <cols>
    <col min="1" max="1" width="46.42578125" bestFit="1" customWidth="1"/>
    <col min="2" max="2" width="11.28515625" customWidth="1"/>
    <col min="3" max="12" width="14.28515625" bestFit="1" customWidth="1"/>
    <col min="13" max="13" width="11.7109375" customWidth="1"/>
    <col min="14" max="14" width="6.5703125" bestFit="1" customWidth="1"/>
    <col min="15" max="15" width="11.7109375" customWidth="1"/>
    <col min="16" max="16" width="5.7109375" customWidth="1"/>
    <col min="17" max="17" width="11.7109375" customWidth="1"/>
    <col min="18" max="18" width="5.7109375" customWidth="1"/>
    <col min="19" max="19" width="11.7109375" customWidth="1"/>
    <col min="20" max="20" width="5.7109375" customWidth="1"/>
    <col min="21" max="21" width="11.7109375" customWidth="1"/>
  </cols>
  <sheetData>
    <row r="2" spans="1:20" x14ac:dyDescent="0.2">
      <c r="B2" t="s">
        <v>3507</v>
      </c>
      <c r="C2" s="34" t="s">
        <v>3515</v>
      </c>
      <c r="D2" s="33" t="s">
        <v>1666</v>
      </c>
      <c r="E2" s="34" t="s">
        <v>1671</v>
      </c>
      <c r="F2" s="33" t="s">
        <v>1674</v>
      </c>
      <c r="G2" s="34" t="s">
        <v>1677</v>
      </c>
      <c r="H2" s="33" t="s">
        <v>340</v>
      </c>
      <c r="I2" s="33" t="s">
        <v>1682</v>
      </c>
      <c r="J2" s="33" t="s">
        <v>625</v>
      </c>
      <c r="K2" s="34" t="s">
        <v>627</v>
      </c>
      <c r="L2" s="34" t="s">
        <v>629</v>
      </c>
      <c r="N2" s="33"/>
      <c r="P2" s="34"/>
      <c r="R2" s="34"/>
      <c r="T2" s="34"/>
    </row>
    <row r="3" spans="1:20" x14ac:dyDescent="0.2">
      <c r="B3" t="s">
        <v>3509</v>
      </c>
      <c r="C3" s="33" t="s">
        <v>2066</v>
      </c>
      <c r="D3" s="33" t="s">
        <v>1943</v>
      </c>
      <c r="E3" s="34" t="s">
        <v>2061</v>
      </c>
      <c r="F3" s="33" t="s">
        <v>19</v>
      </c>
      <c r="G3" s="34" t="s">
        <v>20</v>
      </c>
      <c r="H3" s="33" t="s">
        <v>21</v>
      </c>
      <c r="I3" s="33" t="s">
        <v>0</v>
      </c>
      <c r="J3" s="33" t="s">
        <v>49</v>
      </c>
      <c r="K3" s="34" t="s">
        <v>22</v>
      </c>
      <c r="L3" s="34" t="s">
        <v>25</v>
      </c>
      <c r="N3" s="33"/>
      <c r="P3" s="34"/>
      <c r="R3" s="34"/>
      <c r="T3" s="34"/>
    </row>
    <row r="4" spans="1:20" x14ac:dyDescent="0.2">
      <c r="B4" t="s">
        <v>3508</v>
      </c>
      <c r="C4" s="34">
        <v>15</v>
      </c>
      <c r="D4" s="34">
        <v>18</v>
      </c>
      <c r="E4" s="34">
        <v>22</v>
      </c>
      <c r="F4" s="34">
        <v>28</v>
      </c>
      <c r="G4" s="34">
        <v>35</v>
      </c>
      <c r="H4" s="34">
        <v>42</v>
      </c>
      <c r="I4" s="34">
        <v>54</v>
      </c>
      <c r="J4" s="34">
        <v>76</v>
      </c>
      <c r="K4" s="34">
        <v>80</v>
      </c>
      <c r="L4" s="34">
        <v>108</v>
      </c>
      <c r="N4" s="34"/>
      <c r="P4" s="34"/>
      <c r="R4" s="34"/>
      <c r="T4" s="34"/>
    </row>
    <row r="5" spans="1:20" x14ac:dyDescent="0.2">
      <c r="B5" t="s">
        <v>3487</v>
      </c>
      <c r="C5" s="33" t="s">
        <v>3512</v>
      </c>
      <c r="D5" s="33" t="s">
        <v>3494</v>
      </c>
      <c r="E5" t="s">
        <v>3513</v>
      </c>
      <c r="F5" s="33" t="s">
        <v>3493</v>
      </c>
      <c r="G5" t="s">
        <v>3514</v>
      </c>
      <c r="H5" s="33" t="s">
        <v>3492</v>
      </c>
      <c r="I5" s="33" t="s">
        <v>3491</v>
      </c>
      <c r="J5" s="33" t="s">
        <v>3490</v>
      </c>
      <c r="K5" t="s">
        <v>3489</v>
      </c>
      <c r="L5" t="s">
        <v>3488</v>
      </c>
      <c r="N5" s="33"/>
    </row>
    <row r="6" spans="1:20" x14ac:dyDescent="0.2">
      <c r="A6" t="s">
        <v>66</v>
      </c>
      <c r="C6" t="s">
        <v>2030</v>
      </c>
      <c r="D6" t="s">
        <v>2031</v>
      </c>
      <c r="E6" t="s">
        <v>2032</v>
      </c>
      <c r="F6" t="s">
        <v>2033</v>
      </c>
      <c r="G6" t="s">
        <v>3427</v>
      </c>
      <c r="H6" t="s">
        <v>2034</v>
      </c>
      <c r="I6" t="s">
        <v>2036</v>
      </c>
      <c r="J6" t="s">
        <v>2037</v>
      </c>
      <c r="K6" t="s">
        <v>2039</v>
      </c>
      <c r="L6" t="s">
        <v>2041</v>
      </c>
    </row>
    <row r="7" spans="1:20" x14ac:dyDescent="0.2">
      <c r="A7" t="s">
        <v>1464</v>
      </c>
      <c r="C7" t="s">
        <v>1820</v>
      </c>
      <c r="D7" t="s">
        <v>1821</v>
      </c>
      <c r="E7" t="s">
        <v>1822</v>
      </c>
      <c r="F7" t="s">
        <v>1823</v>
      </c>
      <c r="G7" t="s">
        <v>1824</v>
      </c>
      <c r="H7" t="s">
        <v>1825</v>
      </c>
      <c r="I7" t="s">
        <v>1826</v>
      </c>
      <c r="J7" t="s">
        <v>1827</v>
      </c>
      <c r="K7" t="s">
        <v>1828</v>
      </c>
      <c r="L7" t="s">
        <v>1829</v>
      </c>
    </row>
    <row r="8" spans="1:20" x14ac:dyDescent="0.2">
      <c r="A8" t="s">
        <v>3495</v>
      </c>
      <c r="C8" t="s">
        <v>1758</v>
      </c>
      <c r="D8" t="s">
        <v>1759</v>
      </c>
      <c r="E8" t="s">
        <v>1760</v>
      </c>
      <c r="F8" t="s">
        <v>1761</v>
      </c>
      <c r="G8" t="s">
        <v>1762</v>
      </c>
      <c r="H8" t="s">
        <v>1763</v>
      </c>
      <c r="I8" t="s">
        <v>1764</v>
      </c>
      <c r="J8" t="s">
        <v>1765</v>
      </c>
      <c r="K8" t="s">
        <v>1766</v>
      </c>
      <c r="L8" t="s">
        <v>1767</v>
      </c>
    </row>
    <row r="9" spans="1:20" x14ac:dyDescent="0.2">
      <c r="A9" t="s">
        <v>3496</v>
      </c>
      <c r="C9" t="s">
        <v>1768</v>
      </c>
      <c r="D9" t="s">
        <v>1769</v>
      </c>
      <c r="E9" t="s">
        <v>1770</v>
      </c>
      <c r="F9" t="s">
        <v>1771</v>
      </c>
      <c r="G9" t="s">
        <v>1772</v>
      </c>
      <c r="H9" t="s">
        <v>1773</v>
      </c>
      <c r="I9" t="s">
        <v>1774</v>
      </c>
      <c r="J9" t="s">
        <v>1775</v>
      </c>
      <c r="K9" t="s">
        <v>1776</v>
      </c>
      <c r="L9" t="s">
        <v>1777</v>
      </c>
    </row>
    <row r="10" spans="1:20" x14ac:dyDescent="0.2">
      <c r="A10" t="s">
        <v>3521</v>
      </c>
      <c r="C10" t="s">
        <v>1907</v>
      </c>
      <c r="D10" t="s">
        <v>1910</v>
      </c>
      <c r="E10" t="s">
        <v>1913</v>
      </c>
      <c r="F10" t="s">
        <v>1918</v>
      </c>
      <c r="G10" t="s">
        <v>1922</v>
      </c>
      <c r="H10" t="s">
        <v>1925</v>
      </c>
      <c r="I10" t="s">
        <v>1927</v>
      </c>
      <c r="J10" t="s">
        <v>1693</v>
      </c>
      <c r="K10" t="s">
        <v>1695</v>
      </c>
      <c r="L10" t="s">
        <v>1697</v>
      </c>
    </row>
    <row r="11" spans="1:20" x14ac:dyDescent="0.2">
      <c r="A11" t="s">
        <v>3497</v>
      </c>
      <c r="F11" t="s">
        <v>1847</v>
      </c>
      <c r="G11" t="s">
        <v>3516</v>
      </c>
      <c r="H11" t="s">
        <v>1865</v>
      </c>
      <c r="I11" t="s">
        <v>1877</v>
      </c>
      <c r="J11" t="s">
        <v>1880</v>
      </c>
      <c r="K11" t="s">
        <v>3510</v>
      </c>
      <c r="L11" t="s">
        <v>1884</v>
      </c>
    </row>
    <row r="12" spans="1:20" x14ac:dyDescent="0.2">
      <c r="A12" t="s">
        <v>1932</v>
      </c>
      <c r="C12" t="s">
        <v>1931</v>
      </c>
      <c r="D12" t="s">
        <v>1933</v>
      </c>
      <c r="E12" t="s">
        <v>1934</v>
      </c>
      <c r="F12" t="s">
        <v>1935</v>
      </c>
      <c r="G12" t="s">
        <v>1936</v>
      </c>
      <c r="H12" t="s">
        <v>1937</v>
      </c>
      <c r="I12" t="s">
        <v>1938</v>
      </c>
      <c r="J12" t="s">
        <v>1939</v>
      </c>
      <c r="K12" t="s">
        <v>1940</v>
      </c>
      <c r="L12" t="s">
        <v>1941</v>
      </c>
    </row>
    <row r="13" spans="1:20" x14ac:dyDescent="0.2">
      <c r="A13" t="s">
        <v>3499</v>
      </c>
      <c r="E13" t="s">
        <v>1975</v>
      </c>
      <c r="F13" t="s">
        <v>1979</v>
      </c>
      <c r="G13" t="s">
        <v>1983</v>
      </c>
      <c r="H13" t="s">
        <v>1987</v>
      </c>
      <c r="I13" t="s">
        <v>1993</v>
      </c>
      <c r="J13" t="s">
        <v>2003</v>
      </c>
      <c r="K13" t="s">
        <v>3511</v>
      </c>
      <c r="L13" t="s">
        <v>2027</v>
      </c>
    </row>
    <row r="14" spans="1:20" x14ac:dyDescent="0.2">
      <c r="A14" t="s">
        <v>3522</v>
      </c>
      <c r="C14" t="s">
        <v>1942</v>
      </c>
      <c r="D14" t="s">
        <v>1944</v>
      </c>
      <c r="E14" t="s">
        <v>1946</v>
      </c>
      <c r="F14" t="s">
        <v>1948</v>
      </c>
      <c r="G14" t="s">
        <v>1951</v>
      </c>
      <c r="H14" t="s">
        <v>1955</v>
      </c>
      <c r="I14" t="s">
        <v>1960</v>
      </c>
      <c r="J14" t="s">
        <v>1963</v>
      </c>
      <c r="K14" t="s">
        <v>1966</v>
      </c>
      <c r="L14" t="s">
        <v>1968</v>
      </c>
    </row>
    <row r="15" spans="1:20" x14ac:dyDescent="0.2">
      <c r="A15" t="s">
        <v>3523</v>
      </c>
      <c r="C15" t="s">
        <v>1942</v>
      </c>
      <c r="D15" t="s">
        <v>1945</v>
      </c>
      <c r="E15" t="s">
        <v>1947</v>
      </c>
      <c r="F15" t="s">
        <v>1949</v>
      </c>
      <c r="G15" t="s">
        <v>1954</v>
      </c>
      <c r="H15" t="s">
        <v>1959</v>
      </c>
      <c r="I15" t="s">
        <v>1962</v>
      </c>
      <c r="J15" t="s">
        <v>1965</v>
      </c>
      <c r="K15" t="s">
        <v>1967</v>
      </c>
      <c r="L15" t="s">
        <v>1969</v>
      </c>
    </row>
    <row r="16" spans="1:20" x14ac:dyDescent="0.2">
      <c r="A16" t="s">
        <v>3500</v>
      </c>
      <c r="C16" t="s">
        <v>3196</v>
      </c>
      <c r="D16" t="s">
        <v>3180</v>
      </c>
      <c r="E16" t="s">
        <v>3181</v>
      </c>
      <c r="F16" t="s">
        <v>3182</v>
      </c>
      <c r="G16" t="s">
        <v>3183</v>
      </c>
      <c r="H16" t="s">
        <v>3184</v>
      </c>
      <c r="I16" t="s">
        <v>3185</v>
      </c>
      <c r="J16" s="1" t="s">
        <v>3227</v>
      </c>
      <c r="K16" s="1" t="s">
        <v>3228</v>
      </c>
      <c r="L16" t="s">
        <v>3229</v>
      </c>
    </row>
    <row r="17" spans="1:14" x14ac:dyDescent="0.2">
      <c r="A17" t="s">
        <v>3518</v>
      </c>
      <c r="C17" t="s">
        <v>458</v>
      </c>
      <c r="D17" t="s">
        <v>460</v>
      </c>
      <c r="E17" t="s">
        <v>461</v>
      </c>
      <c r="F17" t="s">
        <v>462</v>
      </c>
      <c r="G17" t="s">
        <v>463</v>
      </c>
      <c r="H17" t="s">
        <v>464</v>
      </c>
      <c r="I17" t="s">
        <v>465</v>
      </c>
      <c r="J17" t="s">
        <v>466</v>
      </c>
      <c r="K17" t="s">
        <v>467</v>
      </c>
      <c r="L17" t="s">
        <v>468</v>
      </c>
    </row>
    <row r="18" spans="1:14" x14ac:dyDescent="0.2">
      <c r="A18" t="s">
        <v>3517</v>
      </c>
      <c r="B18" s="153"/>
      <c r="C18" s="153" t="s">
        <v>469</v>
      </c>
      <c r="D18" s="153" t="s">
        <v>471</v>
      </c>
      <c r="E18" s="153" t="s">
        <v>473</v>
      </c>
      <c r="F18" s="153" t="s">
        <v>475</v>
      </c>
      <c r="G18" s="153" t="s">
        <v>477</v>
      </c>
      <c r="H18" s="153" t="s">
        <v>479</v>
      </c>
      <c r="I18" s="153" t="s">
        <v>481</v>
      </c>
      <c r="J18" s="153" t="s">
        <v>483</v>
      </c>
      <c r="K18" s="153" t="s">
        <v>485</v>
      </c>
      <c r="L18" s="153" t="s">
        <v>487</v>
      </c>
      <c r="M18" s="153"/>
      <c r="N18" s="153"/>
    </row>
    <row r="19" spans="1:14" x14ac:dyDescent="0.2">
      <c r="A19" t="s">
        <v>1379</v>
      </c>
      <c r="B19" s="153"/>
      <c r="C19" s="153" t="s">
        <v>1649</v>
      </c>
      <c r="D19" s="153" t="s">
        <v>1651</v>
      </c>
      <c r="E19" s="153" t="s">
        <v>1653</v>
      </c>
      <c r="F19" s="153" t="s">
        <v>1654</v>
      </c>
      <c r="G19" s="153" t="s">
        <v>1656</v>
      </c>
      <c r="H19" s="153" t="s">
        <v>1658</v>
      </c>
      <c r="I19" s="153" t="s">
        <v>1659</v>
      </c>
      <c r="J19" s="153" t="s">
        <v>1660</v>
      </c>
      <c r="K19" s="153" t="s">
        <v>1661</v>
      </c>
      <c r="L19" s="153" t="s">
        <v>1662</v>
      </c>
      <c r="M19" s="153"/>
      <c r="N19" s="153"/>
    </row>
    <row r="20" spans="1:14" x14ac:dyDescent="0.2">
      <c r="A20" t="s">
        <v>3519</v>
      </c>
      <c r="B20" s="153"/>
      <c r="C20" s="153" t="s">
        <v>1665</v>
      </c>
      <c r="D20" s="153" t="s">
        <v>1668</v>
      </c>
      <c r="E20" s="153" t="s">
        <v>1670</v>
      </c>
      <c r="F20" s="153" t="s">
        <v>1673</v>
      </c>
      <c r="G20" s="153" t="s">
        <v>1676</v>
      </c>
      <c r="H20" s="153" t="s">
        <v>1679</v>
      </c>
      <c r="I20" s="153" t="s">
        <v>1681</v>
      </c>
      <c r="J20" s="153" t="s">
        <v>1684</v>
      </c>
      <c r="K20" s="153" t="s">
        <v>1686</v>
      </c>
      <c r="L20" s="153" t="s">
        <v>1688</v>
      </c>
      <c r="M20" s="153"/>
      <c r="N20" s="153"/>
    </row>
    <row r="21" spans="1:14" x14ac:dyDescent="0.2">
      <c r="A21" t="s">
        <v>3520</v>
      </c>
      <c r="B21" s="153"/>
      <c r="C21" s="153" t="s">
        <v>3498</v>
      </c>
      <c r="D21" s="153" t="s">
        <v>3498</v>
      </c>
      <c r="E21" s="153" t="s">
        <v>3498</v>
      </c>
      <c r="F21" s="153" t="s">
        <v>3498</v>
      </c>
      <c r="G21" s="153" t="s">
        <v>3498</v>
      </c>
      <c r="H21" s="153" t="s">
        <v>3498</v>
      </c>
      <c r="I21" s="153" t="s">
        <v>1691</v>
      </c>
      <c r="J21" s="153" t="s">
        <v>1693</v>
      </c>
      <c r="K21" s="153" t="s">
        <v>1695</v>
      </c>
      <c r="L21" s="153" t="s">
        <v>1697</v>
      </c>
      <c r="M21" s="153"/>
      <c r="N21" s="153"/>
    </row>
    <row r="22" spans="1:14" x14ac:dyDescent="0.2">
      <c r="A22" s="1" t="s">
        <v>6348</v>
      </c>
      <c r="B22" s="153" t="s">
        <v>6336</v>
      </c>
      <c r="C22" s="154">
        <v>6</v>
      </c>
      <c r="D22" s="154">
        <v>6</v>
      </c>
      <c r="E22" s="154">
        <v>6</v>
      </c>
      <c r="F22" s="154">
        <v>6</v>
      </c>
      <c r="G22" s="154">
        <v>6</v>
      </c>
      <c r="H22" s="154">
        <v>5.5</v>
      </c>
      <c r="I22" s="154">
        <v>5.5</v>
      </c>
      <c r="J22" s="154">
        <v>5</v>
      </c>
      <c r="K22" s="154">
        <v>5</v>
      </c>
      <c r="L22" s="154">
        <v>5</v>
      </c>
      <c r="M22" s="154"/>
      <c r="N22" s="154"/>
    </row>
    <row r="23" spans="1:14" ht="15" x14ac:dyDescent="0.25">
      <c r="A23" s="1" t="s">
        <v>6348</v>
      </c>
      <c r="B23" s="153" t="s">
        <v>6337</v>
      </c>
      <c r="C23" s="155">
        <v>4.5</v>
      </c>
      <c r="D23" s="154">
        <v>4.5</v>
      </c>
      <c r="E23" s="154">
        <v>4.5</v>
      </c>
      <c r="F23" s="154">
        <v>4.5</v>
      </c>
      <c r="G23" s="154">
        <v>4.5</v>
      </c>
      <c r="H23" s="154">
        <v>4</v>
      </c>
      <c r="I23" s="154">
        <v>4</v>
      </c>
      <c r="J23" s="154">
        <v>3.5</v>
      </c>
      <c r="K23" s="154">
        <v>3.5</v>
      </c>
      <c r="L23" s="154">
        <v>3.5</v>
      </c>
      <c r="M23" s="154"/>
      <c r="N23" s="154"/>
    </row>
    <row r="24" spans="1:14" ht="15" x14ac:dyDescent="0.25">
      <c r="A24" s="1" t="s">
        <v>6348</v>
      </c>
      <c r="B24" s="153" t="s">
        <v>6338</v>
      </c>
      <c r="C24" s="154">
        <v>4</v>
      </c>
      <c r="D24" s="154">
        <v>4</v>
      </c>
      <c r="E24" s="154">
        <v>4</v>
      </c>
      <c r="F24" s="154">
        <v>4</v>
      </c>
      <c r="G24" s="154">
        <v>4</v>
      </c>
      <c r="H24" s="154">
        <v>3.5</v>
      </c>
      <c r="I24" s="154">
        <v>3.5</v>
      </c>
      <c r="J24" s="154">
        <v>3</v>
      </c>
      <c r="K24" s="154">
        <v>3</v>
      </c>
      <c r="L24" s="154">
        <v>3</v>
      </c>
      <c r="M24" s="154"/>
      <c r="N24" s="154"/>
    </row>
    <row r="25" spans="1:14" x14ac:dyDescent="0.2">
      <c r="A25" s="1"/>
      <c r="B25" s="153"/>
      <c r="C25" s="153"/>
      <c r="D25" s="153"/>
      <c r="E25" s="153"/>
      <c r="F25" s="153"/>
      <c r="G25" s="153"/>
      <c r="H25" s="153"/>
      <c r="I25" s="153"/>
      <c r="J25" s="153"/>
      <c r="K25" s="153"/>
      <c r="L25" s="153"/>
      <c r="M25" s="153"/>
      <c r="N25" s="153"/>
    </row>
    <row r="26" spans="1:14" x14ac:dyDescent="0.2">
      <c r="B26" s="153"/>
      <c r="C26" s="153"/>
      <c r="D26" s="153"/>
      <c r="E26" s="153"/>
      <c r="F26" s="153"/>
      <c r="G26" s="153"/>
      <c r="H26" s="153"/>
      <c r="I26" s="153"/>
      <c r="J26" s="153"/>
      <c r="K26" s="153"/>
      <c r="L26" s="153"/>
      <c r="M26" s="153"/>
      <c r="N26" s="1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B09F5-2625-4B9E-AA9B-699A1E64FC79}">
  <sheetPr codeName="Feuil5"/>
  <dimension ref="A1:F11"/>
  <sheetViews>
    <sheetView workbookViewId="0">
      <selection activeCell="C12" sqref="C12"/>
    </sheetView>
  </sheetViews>
  <sheetFormatPr baseColWidth="10" defaultColWidth="11.42578125" defaultRowHeight="12.75" x14ac:dyDescent="0.2"/>
  <cols>
    <col min="3" max="3" width="107.140625" customWidth="1"/>
  </cols>
  <sheetData>
    <row r="1" spans="1:6" x14ac:dyDescent="0.2">
      <c r="A1" s="1" t="s">
        <v>3271</v>
      </c>
      <c r="B1" s="1" t="s">
        <v>3272</v>
      </c>
      <c r="C1" s="1" t="s">
        <v>3273</v>
      </c>
      <c r="F1" s="1"/>
    </row>
    <row r="2" spans="1:6" ht="63.75" x14ac:dyDescent="0.2">
      <c r="A2" s="5">
        <v>44280</v>
      </c>
      <c r="B2" s="1" t="s">
        <v>3274</v>
      </c>
      <c r="C2" s="6" t="s">
        <v>3275</v>
      </c>
      <c r="F2" s="1"/>
    </row>
    <row r="3" spans="1:6" x14ac:dyDescent="0.2">
      <c r="A3" s="5">
        <v>44321</v>
      </c>
      <c r="B3" t="s">
        <v>3274</v>
      </c>
      <c r="C3" t="s">
        <v>3276</v>
      </c>
    </row>
    <row r="4" spans="1:6" x14ac:dyDescent="0.2">
      <c r="A4" s="5">
        <v>44376</v>
      </c>
      <c r="B4" t="s">
        <v>3274</v>
      </c>
      <c r="C4" t="s">
        <v>3292</v>
      </c>
    </row>
    <row r="5" spans="1:6" x14ac:dyDescent="0.2">
      <c r="A5" s="5">
        <v>44377</v>
      </c>
      <c r="B5" t="s">
        <v>3274</v>
      </c>
      <c r="C5" s="1" t="s">
        <v>3423</v>
      </c>
    </row>
    <row r="6" spans="1:6" x14ac:dyDescent="0.2">
      <c r="A6" s="5">
        <v>44412</v>
      </c>
      <c r="B6" t="s">
        <v>3274</v>
      </c>
      <c r="C6" s="1" t="s">
        <v>3425</v>
      </c>
    </row>
    <row r="7" spans="1:6" x14ac:dyDescent="0.2">
      <c r="A7" s="5">
        <v>44418</v>
      </c>
      <c r="B7" s="1" t="s">
        <v>3274</v>
      </c>
      <c r="C7" s="1" t="s">
        <v>3424</v>
      </c>
    </row>
    <row r="8" spans="1:6" x14ac:dyDescent="0.2">
      <c r="A8" s="5">
        <v>44671</v>
      </c>
      <c r="B8" s="1" t="s">
        <v>3274</v>
      </c>
      <c r="C8" s="1" t="s">
        <v>6196</v>
      </c>
    </row>
    <row r="9" spans="1:6" x14ac:dyDescent="0.2">
      <c r="A9" s="5">
        <v>44750</v>
      </c>
      <c r="B9" s="1" t="s">
        <v>3274</v>
      </c>
      <c r="C9" s="1" t="s">
        <v>6403</v>
      </c>
    </row>
    <row r="10" spans="1:6" x14ac:dyDescent="0.2">
      <c r="A10" s="5">
        <v>44750</v>
      </c>
      <c r="B10" s="1" t="s">
        <v>3274</v>
      </c>
      <c r="C10" s="1" t="s">
        <v>6404</v>
      </c>
    </row>
    <row r="11" spans="1:6" x14ac:dyDescent="0.2">
      <c r="A11" s="5">
        <v>44783</v>
      </c>
      <c r="B11" s="1" t="s">
        <v>3274</v>
      </c>
      <c r="C11" s="1" t="s">
        <v>6518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d60af7c-577b-4a2a-ba02-231db67517bd">
      <Terms xmlns="http://schemas.microsoft.com/office/infopath/2007/PartnerControls"/>
    </lcf76f155ced4ddcb4097134ff3c332f>
    <TaxCatchAll xmlns="3a24876f-a420-45f1-91de-5c1f22ef7d7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4" ma:contentTypeDescription="Crée un document." ma:contentTypeScope="" ma:versionID="3f8ae03ebaba0c543239e34da042dbb7">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558c293b4ae448f68ce7c397ba8b1298"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Location" ma:index="14" nillable="true" ma:displayName="Location" ma:internalName="MediaServiceLocatio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6169f471-b7c4-4b79-a95a-d7d4dd15d25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20" nillable="true" ma:displayName="Taxonomy Catch All Column" ma:hidden="true" ma:list="{61e82546-a800-49c3-839c-83c4a33296af}" ma:internalName="TaxCatchAll" ma:showField="CatchAllData" ma:web="3a24876f-a420-45f1-91de-5c1f22ef7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083E6EE0-1492-4787-90FF-50ACC7AD15D2}">
  <ds:schemaRefs>
    <ds:schemaRef ds:uri="http://purl.org/dc/dcmitype/"/>
    <ds:schemaRef ds:uri="http://schemas.microsoft.com/office/2006/documentManagement/types"/>
    <ds:schemaRef ds:uri="3a24876f-a420-45f1-91de-5c1f22ef7d75"/>
    <ds:schemaRef ds:uri="http://www.w3.org/XML/1998/namespace"/>
    <ds:schemaRef ds:uri="http://purl.org/dc/elements/1.1/"/>
    <ds:schemaRef ds:uri="http://schemas.microsoft.com/office/infopath/2007/PartnerControls"/>
    <ds:schemaRef ds:uri="http://purl.org/dc/terms/"/>
    <ds:schemaRef ds:uri="http://schemas.openxmlformats.org/package/2006/metadata/core-properties"/>
    <ds:schemaRef ds:uri="ed60af7c-577b-4a2a-ba02-231db67517bd"/>
    <ds:schemaRef ds:uri="http://schemas.microsoft.com/office/2006/metadata/properties"/>
  </ds:schemaRefs>
</ds:datastoreItem>
</file>

<file path=customXml/itemProps2.xml><?xml version="1.0" encoding="utf-8"?>
<ds:datastoreItem xmlns:ds="http://schemas.openxmlformats.org/officeDocument/2006/customXml" ds:itemID="{A821A60A-4C70-448C-84C4-BE2B616B9238}">
  <ds:schemaRefs>
    <ds:schemaRef ds:uri="http://schemas.microsoft.com/sharepoint/v3/contenttype/forms"/>
  </ds:schemaRefs>
</ds:datastoreItem>
</file>

<file path=customXml/itemProps3.xml><?xml version="1.0" encoding="utf-8"?>
<ds:datastoreItem xmlns:ds="http://schemas.openxmlformats.org/officeDocument/2006/customXml" ds:itemID="{016F3E21-1757-473C-8974-DBC635981E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8B840C8-54BE-40A5-BC06-1A801A4076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Devis Détaillé</vt:lpstr>
      <vt:lpstr>TCD Heure</vt:lpstr>
      <vt:lpstr>TCD MO</vt:lpstr>
      <vt:lpstr>Général</vt:lpstr>
      <vt:lpstr>Autre Familles</vt:lpstr>
      <vt:lpstr>Ajout de Liste</vt:lpstr>
      <vt:lpstr>Travail en cours</vt:lpstr>
      <vt:lpstr>Equivalence</vt:lpstr>
      <vt:lpstr>ChangeLog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dcterms:created xsi:type="dcterms:W3CDTF">1999-08-29T20:28:54Z</dcterms:created>
  <dcterms:modified xsi:type="dcterms:W3CDTF">2022-08-10T12:50:22Z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y fmtid="{D5CDD505-2E9C-101B-9397-08002B2CF9AE}" pid="3" name="MediaServiceImageTags">
    <vt:lpwstr/>
  </property>
</Properties>
</file>